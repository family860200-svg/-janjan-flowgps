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ERP資料" sheetId="2" state="visible" r:id="rId2"/>
    <sheet xmlns:r="http://schemas.openxmlformats.org/officeDocument/2006/relationships" name="紙管對照表" sheetId="3" state="visible" r:id="rId3"/>
    <sheet xmlns:r="http://schemas.openxmlformats.org/officeDocument/2006/relationships" name="100張客戶" sheetId="4" state="visible" r:id="rId4"/>
    <sheet xmlns:r="http://schemas.openxmlformats.org/officeDocument/2006/relationships" name="輔助計算" sheetId="5" state="hidden" r:id="rId5"/>
    <sheet xmlns:r="http://schemas.openxmlformats.org/officeDocument/2006/relationships" name="繳庫本" sheetId="6" state="visible" r:id="rId6"/>
    <sheet xmlns:r="http://schemas.openxmlformats.org/officeDocument/2006/relationships" name="生管本-平板" sheetId="7" state="visible" r:id="rId7"/>
    <sheet xmlns:r="http://schemas.openxmlformats.org/officeDocument/2006/relationships" name="生管本-捲筒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C00000"/>
      <sz val="10"/>
    </font>
    <font>
      <name val="Arial"/>
      <b val="1"/>
      <color rgb="00375623"/>
      <sz val="10"/>
    </font>
    <font>
      <name val="Arial"/>
      <b val="1"/>
      <color rgb="001F4E78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0F4F8"/>
        <bgColor rgb="00F0F4F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595959"/>
        <bgColor rgb="0059595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4" fillId="7" borderId="0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name val="Arial"/>
        <b val="1"/>
        <color rgb="007F6000"/>
        <sz val="10"/>
      </font>
      <fill>
        <patternFill patternType="solid">
          <fgColor rgb="00FFE699"/>
          <bgColor rgb="00FFE699"/>
        </patternFill>
      </fill>
    </dxf>
    <dxf>
      <font>
        <b val="1"/>
      </font>
      <fill>
        <patternFill patternType="solid">
          <fgColor rgb="00F0F4F8"/>
          <bgColor rgb="00F0F4F8"/>
        </patternFill>
      </fill>
    </dxf>
    <dxf>
      <border>
        <top style="medium">
          <color rgb="00333333"/>
        </top>
      </border>
    </dxf>
    <dxf>
      <fill>
        <patternFill patternType="solid">
          <fgColor rgb="00FFE699"/>
          <bgColor rgb="00FFE699"/>
        </patternFill>
      </fill>
    </dxf>
    <dxf>
      <font>
        <b val="1"/>
        <color rgb="000A6B54"/>
      </font>
      <fill>
        <patternFill patternType="solid">
          <bgColor rgb="00BEE5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訂單自動產出模板 v3.13</t>
        </is>
      </c>
    </row>
    <row r="2" ht="20" customHeight="1">
      <c r="A2" s="2" t="inlineStr"/>
      <c r="B2" s="2" t="inlineStr"/>
    </row>
    <row r="3" ht="20" customHeight="1">
      <c r="A3" s="3" t="inlineStr">
        <is>
          <t>步驟 1</t>
        </is>
      </c>
      <c r="B3" s="3" t="inlineStr">
        <is>
          <t>ERP 匯出裝櫃通知單</t>
        </is>
      </c>
    </row>
    <row r="4" ht="20" customHeight="1">
      <c r="A4" s="3" t="inlineStr">
        <is>
          <t>步驟 2</t>
        </is>
      </c>
      <c r="B4" s="3" t="inlineStr">
        <is>
          <t>★ 先按「裝櫃單號」排序</t>
        </is>
      </c>
    </row>
    <row r="5" ht="20" customHeight="1">
      <c r="A5" s="3" t="inlineStr">
        <is>
          <t>步驟 3</t>
        </is>
      </c>
      <c r="B5" s="3" t="inlineStr">
        <is>
          <t>複製全部資料（含標題列）</t>
        </is>
      </c>
    </row>
    <row r="6" ht="20" customHeight="1">
      <c r="A6" s="3" t="inlineStr">
        <is>
          <t>步驟 4</t>
        </is>
      </c>
      <c r="B6" s="3" t="inlineStr">
        <is>
          <t>貼到「ERP資料」分頁 A1</t>
        </is>
      </c>
    </row>
    <row r="7" ht="20" customHeight="1">
      <c r="A7" s="3" t="inlineStr">
        <is>
          <t>步驟 5</t>
        </is>
      </c>
      <c r="B7" s="3" t="inlineStr">
        <is>
          <t>查看繳庫本、生管本-平板、生管本-捲筒</t>
        </is>
      </c>
    </row>
    <row r="8" ht="20" customHeight="1">
      <c r="A8" s="2" t="inlineStr"/>
      <c r="B8" s="2" t="inlineStr"/>
    </row>
    <row r="9" ht="20" customHeight="1">
      <c r="A9" s="3" t="inlineStr">
        <is>
          <t>v3.13 更新</t>
        </is>
      </c>
      <c r="B9" s="3" t="inlineStr">
        <is>
          <t>新增「100張客戶」對照表 — 特殊備註自動標「100張」+提芬尼綠</t>
        </is>
      </c>
    </row>
    <row r="10" ht="20" customHeight="1">
      <c r="A10" s="2" t="inlineStr"/>
      <c r="B10" s="2" t="inlineStr">
        <is>
          <t>右側欄位：寬/長/件數(自動) + 狀態(下拉) + 訂購日期 + 備註</t>
        </is>
      </c>
    </row>
    <row r="11" ht="20" customHeight="1">
      <c r="A11" s="2" t="inlineStr"/>
      <c r="B11" s="2" t="inlineStr">
        <is>
          <t>狀態下拉選項：未訂 / 已訂 / 已到貨</t>
        </is>
      </c>
    </row>
    <row r="12" ht="20" customHeight="1">
      <c r="A12" s="2" t="inlineStr"/>
      <c r="B12" s="2" t="inlineStr"/>
    </row>
    <row r="13" ht="20" customHeight="1">
      <c r="A13" s="3" t="inlineStr">
        <is>
          <t>核心邏輯</t>
        </is>
      </c>
      <c r="B13" s="3" t="inlineStr">
        <is>
          <t>件數用「迄-起+1」計算，過濾 ERP 實蹈</t>
        </is>
      </c>
    </row>
    <row r="14" ht="20" customHeight="1">
      <c r="A14" s="2" t="inlineStr"/>
      <c r="B14" s="2" t="inlineStr">
        <is>
          <t>同尺寸自動合併，件數加總</t>
        </is>
      </c>
    </row>
    <row r="15" ht="20" customHeight="1">
      <c r="A15" s="2" t="inlineStr"/>
      <c r="B15" s="2" t="inlineStr"/>
    </row>
    <row r="16" ht="20" customHeight="1">
      <c r="A16" s="3" t="inlineStr">
        <is>
          <t>手動填欄位</t>
        </is>
      </c>
      <c r="B16" s="3" t="inlineStr">
        <is>
          <t>雙生、特殊備註、生產配對指示、已出數量、✓</t>
        </is>
      </c>
    </row>
    <row r="17" ht="20" customHeight="1">
      <c r="A17" s="2" t="inlineStr"/>
      <c r="B17" s="2" t="inlineStr">
        <is>
          <t>紙管規格：對照表沒有的客戶才需手動填</t>
        </is>
      </c>
    </row>
    <row r="18" ht="20" customHeight="1">
      <c r="A18" s="2" t="inlineStr"/>
      <c r="B18" s="2" t="inlineStr"/>
    </row>
    <row r="19" ht="20" customHeight="1">
      <c r="A19" s="4" t="inlineStr">
        <is>
          <t>色彩圖例</t>
        </is>
      </c>
      <c r="B19" s="3" t="inlineStr"/>
    </row>
    <row r="20" ht="20" customHeight="1">
      <c r="A20" s="5" t="inlineStr"/>
      <c r="B20" s="2" t="inlineStr">
        <is>
          <t>深藍底 = 標題列</t>
        </is>
      </c>
    </row>
    <row r="21" ht="20" customHeight="1">
      <c r="A21" s="6" t="inlineStr"/>
      <c r="B21" s="2" t="inlineStr">
        <is>
          <t>淡藍底 = 訂單標題行 / 對照表自動帶入</t>
        </is>
      </c>
    </row>
    <row r="22" ht="20" customHeight="1">
      <c r="A22" s="7" t="inlineStr"/>
      <c r="B22" s="2" t="inlineStr">
        <is>
          <t>綠色底 = 自動計算</t>
        </is>
      </c>
    </row>
    <row r="23" ht="20" customHeight="1">
      <c r="A23" s="8" t="inlineStr"/>
      <c r="B23" s="2" t="inlineStr">
        <is>
          <t>橘黃底 = 手動填寫</t>
        </is>
      </c>
    </row>
    <row r="24" ht="20" customHeight="1">
      <c r="A24" s="2" t="inlineStr"/>
      <c r="B24" s="2" t="inlineStr">
        <is>
          <t>亮黃底 = 雙生棧板提醒</t>
        </is>
      </c>
    </row>
  </sheetData>
  <mergeCells count="24">
    <mergeCell ref="B4:F4"/>
    <mergeCell ref="B7:F7"/>
    <mergeCell ref="B16:F16"/>
    <mergeCell ref="B3:F3"/>
    <mergeCell ref="B22:F22"/>
    <mergeCell ref="B18:F18"/>
    <mergeCell ref="B21:F21"/>
    <mergeCell ref="B12:F12"/>
    <mergeCell ref="B2:F2"/>
    <mergeCell ref="B11:F11"/>
    <mergeCell ref="B23:F23"/>
    <mergeCell ref="B14:F14"/>
    <mergeCell ref="B8:F8"/>
    <mergeCell ref="B17:F17"/>
    <mergeCell ref="B13:F13"/>
    <mergeCell ref="B10:F10"/>
    <mergeCell ref="B19:F19"/>
    <mergeCell ref="B9:F9"/>
    <mergeCell ref="B6:F6"/>
    <mergeCell ref="B24:F24"/>
    <mergeCell ref="B20:F20"/>
    <mergeCell ref="B15:F15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" customWidth="1" min="3" max="3"/>
    <col width="5" customWidth="1" min="4" max="4"/>
    <col width="10" customWidth="1" min="5" max="5"/>
    <col width="7" customWidth="1" min="6" max="6"/>
    <col width="8" customWidth="1" min="7" max="7"/>
    <col width="8" customWidth="1" min="8" max="8"/>
    <col width="9" customWidth="1" min="9" max="9"/>
    <col width="7" customWidth="1" min="10" max="10"/>
    <col width="6" customWidth="1" min="11" max="11"/>
    <col width="7" customWidth="1" min="12" max="12"/>
    <col width="9" customWidth="1" min="13" max="13"/>
    <col width="9" customWidth="1" min="14" max="14"/>
    <col width="8" customWidth="1" min="15" max="15"/>
    <col width="7" customWidth="1" min="16" max="16"/>
    <col width="9" customWidth="1" min="17" max="17"/>
    <col width="9" customWidth="1" min="18" max="18"/>
    <col width="16" customWidth="1" min="19" max="19"/>
    <col width="9" customWidth="1" min="20" max="20"/>
    <col width="10" customWidth="1" min="21" max="21"/>
    <col width="18" customWidth="1" min="22" max="22"/>
  </cols>
  <sheetData>
    <row r="1" ht="28" customHeight="1">
      <c r="A1" s="9" t="inlineStr">
        <is>
          <t>裝櫃通知單號</t>
        </is>
      </c>
      <c r="B1" s="9" t="inlineStr">
        <is>
          <t>結關日</t>
        </is>
      </c>
      <c r="C1" s="9" t="inlineStr">
        <is>
          <t>起</t>
        </is>
      </c>
      <c r="D1" s="9" t="inlineStr">
        <is>
          <t>迄</t>
        </is>
      </c>
      <c r="E1" s="9" t="inlineStr">
        <is>
          <t>材質</t>
        </is>
      </c>
      <c r="F1" s="9" t="inlineStr">
        <is>
          <t>基重</t>
        </is>
      </c>
      <c r="G1" s="9" t="inlineStr">
        <is>
          <t>寬</t>
        </is>
      </c>
      <c r="H1" s="9" t="inlineStr">
        <is>
          <t>長</t>
        </is>
      </c>
      <c r="I1" s="9" t="inlineStr">
        <is>
          <t>KG/件</t>
        </is>
      </c>
      <c r="J1" s="9" t="inlineStr">
        <is>
          <t>數量</t>
        </is>
      </c>
      <c r="K1" s="9" t="inlineStr">
        <is>
          <t>單位</t>
        </is>
      </c>
      <c r="L1" s="9" t="inlineStr">
        <is>
          <t>件數</t>
        </is>
      </c>
      <c r="M1" s="9" t="inlineStr">
        <is>
          <t>淨重</t>
        </is>
      </c>
      <c r="N1" s="9" t="inlineStr">
        <is>
          <t>毛重/件</t>
        </is>
      </c>
      <c r="O1" s="9" t="inlineStr">
        <is>
          <t>束/件</t>
        </is>
      </c>
      <c r="P1" s="9" t="inlineStr">
        <is>
          <t>單價</t>
        </is>
      </c>
      <c r="Q1" s="9" t="inlineStr">
        <is>
          <t>美金/MT</t>
        </is>
      </c>
      <c r="R1" s="9" t="inlineStr">
        <is>
          <t>毛重</t>
        </is>
      </c>
      <c r="S1" s="9" t="inlineStr">
        <is>
          <t>客戶</t>
        </is>
      </c>
      <c r="T1" s="9" t="inlineStr">
        <is>
          <t>產品別</t>
        </is>
      </c>
      <c r="U1" s="9" t="inlineStr">
        <is>
          <t>交易條件</t>
        </is>
      </c>
      <c r="V1" s="9" t="inlineStr">
        <is>
          <t>目的地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30" customWidth="1" min="4" max="4"/>
  </cols>
  <sheetData>
    <row r="1" ht="28" customHeight="1">
      <c r="A1" s="9" t="inlineStr">
        <is>
          <t>客戶代號</t>
        </is>
      </c>
      <c r="B1" s="9" t="inlineStr">
        <is>
          <t>客戶名稱</t>
        </is>
      </c>
      <c r="C1" s="9" t="inlineStr">
        <is>
          <t>管徑</t>
        </is>
      </c>
      <c r="D1" s="9" t="inlineStr">
        <is>
          <t>備註</t>
        </is>
      </c>
    </row>
    <row r="2">
      <c r="A2" s="10" t="inlineStr">
        <is>
          <t>E146</t>
        </is>
      </c>
      <c r="B2" s="10" t="inlineStr">
        <is>
          <t>虹育</t>
        </is>
      </c>
      <c r="C2" s="10" t="inlineStr">
        <is>
          <t>6"</t>
        </is>
      </c>
      <c r="D2" s="11" t="inlineStr"/>
    </row>
    <row r="3">
      <c r="A3" s="10" t="inlineStr">
        <is>
          <t>E293</t>
        </is>
      </c>
      <c r="B3" s="10" t="inlineStr">
        <is>
          <t>康發</t>
        </is>
      </c>
      <c r="C3" s="10" t="inlineStr">
        <is>
          <t>6"</t>
        </is>
      </c>
      <c r="D3" s="11" t="inlineStr"/>
    </row>
    <row r="4">
      <c r="A4" s="10" t="inlineStr">
        <is>
          <t>E343</t>
        </is>
      </c>
      <c r="B4" s="10" t="inlineStr">
        <is>
          <t>聰棋</t>
        </is>
      </c>
      <c r="C4" s="10" t="inlineStr">
        <is>
          <t>6"</t>
        </is>
      </c>
      <c r="D4" s="11" t="inlineStr"/>
    </row>
    <row r="5">
      <c r="A5" s="10" t="inlineStr">
        <is>
          <t>E361</t>
        </is>
      </c>
      <c r="B5" s="10" t="inlineStr">
        <is>
          <t>KOUFU</t>
        </is>
      </c>
      <c r="C5" s="10" t="inlineStr">
        <is>
          <t>6"</t>
        </is>
      </c>
      <c r="D5" s="11" t="inlineStr"/>
    </row>
    <row r="6">
      <c r="A6" s="10" t="inlineStr">
        <is>
          <t>E397</t>
        </is>
      </c>
      <c r="B6" s="10" t="inlineStr">
        <is>
          <t>合亨</t>
        </is>
      </c>
      <c r="C6" s="10" t="inlineStr">
        <is>
          <t>6"</t>
        </is>
      </c>
      <c r="D6" s="11" t="inlineStr"/>
    </row>
    <row r="7">
      <c r="A7" s="10" t="inlineStr">
        <is>
          <t>G007</t>
        </is>
      </c>
      <c r="B7" s="10" t="inlineStr">
        <is>
          <t>Eastern</t>
        </is>
      </c>
      <c r="C7" s="10" t="inlineStr">
        <is>
          <t>6"</t>
        </is>
      </c>
      <c r="D7" s="11" t="inlineStr">
        <is>
          <t>114年7月起 改用 6" 紙管</t>
        </is>
      </c>
    </row>
    <row r="8">
      <c r="A8" s="10" t="inlineStr">
        <is>
          <t>G114</t>
        </is>
      </c>
      <c r="B8" s="10" t="inlineStr">
        <is>
          <t>PTACCORD</t>
        </is>
      </c>
      <c r="C8" s="10" t="inlineStr">
        <is>
          <t>6"</t>
        </is>
      </c>
      <c r="D8" s="11" t="inlineStr">
        <is>
          <t>202509 起改用 6" (原 12")</t>
        </is>
      </c>
    </row>
    <row r="9">
      <c r="A9" s="10" t="inlineStr">
        <is>
          <t>G518</t>
        </is>
      </c>
      <c r="B9" s="10" t="inlineStr">
        <is>
          <t>ALI</t>
        </is>
      </c>
      <c r="C9" s="10" t="inlineStr">
        <is>
          <t>6"</t>
        </is>
      </c>
      <c r="D9" s="11" t="inlineStr"/>
    </row>
    <row r="10">
      <c r="A10" s="10" t="inlineStr">
        <is>
          <t>G533</t>
        </is>
      </c>
      <c r="B10" s="10" t="inlineStr">
        <is>
          <t>CROWN</t>
        </is>
      </c>
      <c r="C10" s="10" t="inlineStr">
        <is>
          <t>6"</t>
        </is>
      </c>
      <c r="D10" s="11" t="inlineStr"/>
    </row>
    <row r="11">
      <c r="A11" s="10" t="inlineStr">
        <is>
          <t>G580</t>
        </is>
      </c>
      <c r="B11" s="10" t="inlineStr">
        <is>
          <t>Prominen</t>
        </is>
      </c>
      <c r="C11" s="10" t="inlineStr">
        <is>
          <t>6"</t>
        </is>
      </c>
      <c r="D11" s="11" t="inlineStr"/>
    </row>
    <row r="12">
      <c r="A12" s="10" t="inlineStr">
        <is>
          <t>G751</t>
        </is>
      </c>
      <c r="B12" s="10" t="inlineStr">
        <is>
          <t>STARKSON</t>
        </is>
      </c>
      <c r="C12" s="10" t="inlineStr">
        <is>
          <t>6"</t>
        </is>
      </c>
      <c r="D12" s="11" t="inlineStr"/>
    </row>
    <row r="13">
      <c r="A13" s="10" t="inlineStr">
        <is>
          <t>G755</t>
        </is>
      </c>
      <c r="B13" s="10" t="inlineStr">
        <is>
          <t>PRECISIO</t>
        </is>
      </c>
      <c r="C13" s="10" t="inlineStr">
        <is>
          <t>6"</t>
        </is>
      </c>
      <c r="D13" s="11" t="inlineStr"/>
    </row>
    <row r="14">
      <c r="A14" s="10" t="inlineStr">
        <is>
          <t>G759</t>
        </is>
      </c>
      <c r="B14" s="10" t="inlineStr">
        <is>
          <t>WILLIAMS</t>
        </is>
      </c>
      <c r="C14" s="10" t="inlineStr">
        <is>
          <t>6"</t>
        </is>
      </c>
      <c r="D14" s="11" t="inlineStr"/>
    </row>
    <row r="15">
      <c r="A15" s="10" t="inlineStr">
        <is>
          <t>E357</t>
        </is>
      </c>
      <c r="B15" s="10" t="inlineStr">
        <is>
          <t>丞益</t>
        </is>
      </c>
      <c r="C15" s="10" t="inlineStr">
        <is>
          <t>12"</t>
        </is>
      </c>
      <c r="D15" s="11" t="inlineStr"/>
    </row>
    <row r="16">
      <c r="A16" s="10" t="inlineStr">
        <is>
          <t>E373</t>
        </is>
      </c>
      <c r="B16" s="10" t="inlineStr">
        <is>
          <t>東旭-廣銘</t>
        </is>
      </c>
      <c r="C16" s="10" t="inlineStr">
        <is>
          <t>12"</t>
        </is>
      </c>
      <c r="D16" s="11" t="inlineStr"/>
    </row>
    <row r="17">
      <c r="A17" s="10" t="inlineStr">
        <is>
          <t>G003</t>
        </is>
      </c>
      <c r="B17" s="10" t="inlineStr">
        <is>
          <t>Fong YEE</t>
        </is>
      </c>
      <c r="C17" s="10" t="inlineStr">
        <is>
          <t>12"</t>
        </is>
      </c>
      <c r="D17" s="11" t="inlineStr"/>
    </row>
    <row r="18">
      <c r="A18" s="10" t="inlineStr">
        <is>
          <t>G009</t>
        </is>
      </c>
      <c r="B18" s="10" t="inlineStr">
        <is>
          <t>IPG</t>
        </is>
      </c>
      <c r="C18" s="10" t="inlineStr">
        <is>
          <t>12"</t>
        </is>
      </c>
      <c r="D18" s="11" t="inlineStr"/>
    </row>
    <row r="19">
      <c r="A19" s="10" t="inlineStr">
        <is>
          <t>G025</t>
        </is>
      </c>
      <c r="B19" s="10" t="inlineStr">
        <is>
          <t>ELANTEC</t>
        </is>
      </c>
      <c r="C19" s="10" t="inlineStr">
        <is>
          <t>12"</t>
        </is>
      </c>
      <c r="D19" s="11" t="inlineStr"/>
    </row>
    <row r="20">
      <c r="A20" s="10" t="inlineStr">
        <is>
          <t>G035</t>
        </is>
      </c>
      <c r="B20" s="10" t="inlineStr">
        <is>
          <t>EASTSUN</t>
        </is>
      </c>
      <c r="C20" s="10" t="inlineStr">
        <is>
          <t>12"</t>
        </is>
      </c>
      <c r="D20" s="11" t="inlineStr"/>
    </row>
    <row r="21">
      <c r="A21" s="10" t="inlineStr">
        <is>
          <t>G037</t>
        </is>
      </c>
      <c r="B21" s="10" t="inlineStr">
        <is>
          <t>OVOL</t>
        </is>
      </c>
      <c r="C21" s="10" t="inlineStr">
        <is>
          <t>12"</t>
        </is>
      </c>
      <c r="D21" s="11" t="inlineStr"/>
    </row>
    <row r="22">
      <c r="A22" s="10" t="inlineStr">
        <is>
          <t>G106</t>
        </is>
      </c>
      <c r="B22" s="10" t="inlineStr">
        <is>
          <t>SUNWAY</t>
        </is>
      </c>
      <c r="C22" s="10" t="inlineStr">
        <is>
          <t>12"</t>
        </is>
      </c>
      <c r="D22" s="11" t="inlineStr"/>
    </row>
    <row r="23">
      <c r="A23" s="10" t="inlineStr">
        <is>
          <t>G137</t>
        </is>
      </c>
      <c r="B23" s="10" t="inlineStr">
        <is>
          <t>BANGKOK</t>
        </is>
      </c>
      <c r="C23" s="10" t="inlineStr">
        <is>
          <t>12"</t>
        </is>
      </c>
      <c r="D23" s="11" t="inlineStr"/>
    </row>
    <row r="24">
      <c r="A24" s="10" t="inlineStr">
        <is>
          <t>G331</t>
        </is>
      </c>
      <c r="B24" s="10" t="inlineStr">
        <is>
          <t>ROXCEL</t>
        </is>
      </c>
      <c r="C24" s="10" t="inlineStr">
        <is>
          <t>12"</t>
        </is>
      </c>
      <c r="D24" s="11" t="inlineStr"/>
    </row>
    <row r="25">
      <c r="A25" s="10" t="inlineStr">
        <is>
          <t>G519</t>
        </is>
      </c>
      <c r="B25" s="10" t="inlineStr">
        <is>
          <t>ZAMAN</t>
        </is>
      </c>
      <c r="C25" s="10" t="inlineStr">
        <is>
          <t>12"</t>
        </is>
      </c>
      <c r="D25" s="11" t="inlineStr"/>
    </row>
    <row r="26">
      <c r="A26" s="10" t="inlineStr">
        <is>
          <t>G520</t>
        </is>
      </c>
      <c r="B26" s="10" t="inlineStr">
        <is>
          <t>M.KAMIL</t>
        </is>
      </c>
      <c r="C26" s="10" t="inlineStr">
        <is>
          <t>12"</t>
        </is>
      </c>
      <c r="D26" s="11" t="inlineStr"/>
    </row>
    <row r="27">
      <c r="A27" s="10" t="inlineStr">
        <is>
          <t>G700</t>
        </is>
      </c>
      <c r="B27" s="10" t="inlineStr">
        <is>
          <t>ECOPAPER</t>
        </is>
      </c>
      <c r="C27" s="10" t="inlineStr">
        <is>
          <t>12"</t>
        </is>
      </c>
      <c r="D27" s="11" t="inlineStr"/>
    </row>
    <row r="28">
      <c r="A28" s="10" t="inlineStr">
        <is>
          <t>G713</t>
        </is>
      </c>
      <c r="B28" s="10" t="inlineStr">
        <is>
          <t>TIONGTAT</t>
        </is>
      </c>
      <c r="C28" s="10" t="inlineStr">
        <is>
          <t>12"</t>
        </is>
      </c>
      <c r="D28" s="11" t="inlineStr"/>
    </row>
    <row r="29">
      <c r="A29" s="10" t="inlineStr">
        <is>
          <t>G781</t>
        </is>
      </c>
      <c r="B29" s="10" t="inlineStr">
        <is>
          <t>TM TAN</t>
        </is>
      </c>
      <c r="C29" s="10" t="inlineStr">
        <is>
          <t>12"</t>
        </is>
      </c>
      <c r="D29" s="11" t="inlineStr"/>
    </row>
    <row r="30">
      <c r="A30" s="10" t="inlineStr">
        <is>
          <t>G801</t>
        </is>
      </c>
      <c r="B30" s="10" t="inlineStr">
        <is>
          <t>CV Surya</t>
        </is>
      </c>
      <c r="C30" s="10" t="inlineStr">
        <is>
          <t>-</t>
        </is>
      </c>
      <c r="D30" s="11" t="inlineStr">
        <is>
          <t>已倒閉</t>
        </is>
      </c>
    </row>
    <row r="33">
      <c r="A33" s="12" t="inlineStr">
        <is>
          <t>★ 新增客戶時，直接在此表加一列（客戶代號 4 碼 + 管徑），生管本-捲筒會自動帶入</t>
        </is>
      </c>
    </row>
  </sheetData>
  <mergeCells count="1">
    <mergeCell ref="A33:D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</cols>
  <sheetData>
    <row r="1" ht="28" customHeight="1">
      <c r="A1" s="9" t="inlineStr">
        <is>
          <t>客戶代號</t>
        </is>
      </c>
      <c r="B1" s="9" t="inlineStr">
        <is>
          <t>客戶名稱</t>
        </is>
      </c>
      <c r="C1" s="9" t="inlineStr">
        <is>
          <t>備註</t>
        </is>
      </c>
    </row>
    <row r="2">
      <c r="A2" s="10" t="inlineStr">
        <is>
          <t>G003</t>
        </is>
      </c>
      <c r="B2" s="10" t="inlineStr">
        <is>
          <t>Fong YEE</t>
        </is>
      </c>
      <c r="C2" s="11" t="inlineStr"/>
    </row>
    <row r="3">
      <c r="A3" s="10" t="inlineStr">
        <is>
          <t>G007</t>
        </is>
      </c>
      <c r="B3" s="10" t="inlineStr">
        <is>
          <t>Eastern</t>
        </is>
      </c>
      <c r="C3" s="11" t="inlineStr"/>
    </row>
    <row r="4">
      <c r="A4" s="10" t="inlineStr">
        <is>
          <t>G025</t>
        </is>
      </c>
      <c r="B4" s="10" t="inlineStr">
        <is>
          <t>ELANTEC</t>
        </is>
      </c>
      <c r="C4" s="11" t="inlineStr"/>
    </row>
    <row r="5">
      <c r="A5" s="10" t="inlineStr">
        <is>
          <t>G037</t>
        </is>
      </c>
      <c r="B5" s="10" t="inlineStr">
        <is>
          <t>OVOL</t>
        </is>
      </c>
      <c r="C5" s="11" t="inlineStr"/>
    </row>
    <row r="6">
      <c r="A6" s="10" t="inlineStr">
        <is>
          <t>G107</t>
        </is>
      </c>
      <c r="B6" s="10" t="inlineStr">
        <is>
          <t>STARLITE</t>
        </is>
      </c>
      <c r="C6" s="11" t="inlineStr"/>
    </row>
    <row r="7">
      <c r="A7" s="10" t="inlineStr">
        <is>
          <t>G137</t>
        </is>
      </c>
      <c r="B7" s="10" t="inlineStr">
        <is>
          <t>BANGKOK</t>
        </is>
      </c>
      <c r="C7" s="11" t="inlineStr"/>
    </row>
    <row r="8">
      <c r="A8" s="10" t="inlineStr">
        <is>
          <t>E384</t>
        </is>
      </c>
      <c r="B8" s="10" t="inlineStr">
        <is>
          <t>台灣丸紅</t>
        </is>
      </c>
      <c r="C8" s="11" t="inlineStr"/>
    </row>
    <row r="9">
      <c r="A9" s="10" t="inlineStr">
        <is>
          <t>G401</t>
        </is>
      </c>
      <c r="B9" s="10" t="inlineStr">
        <is>
          <t>LimTong</t>
        </is>
      </c>
      <c r="C9" s="11" t="inlineStr"/>
    </row>
    <row r="10">
      <c r="A10" s="10" t="inlineStr">
        <is>
          <t>G513</t>
        </is>
      </c>
      <c r="B10" s="10" t="inlineStr">
        <is>
          <t>MOHSIN</t>
        </is>
      </c>
      <c r="C10" s="11" t="inlineStr"/>
    </row>
    <row r="11">
      <c r="A11" s="10" t="inlineStr">
        <is>
          <t>G525</t>
        </is>
      </c>
      <c r="B11" s="10" t="inlineStr">
        <is>
          <t>ELAHI</t>
        </is>
      </c>
      <c r="C11" s="11" t="inlineStr"/>
    </row>
    <row r="12">
      <c r="A12" s="10" t="inlineStr">
        <is>
          <t>G703</t>
        </is>
      </c>
      <c r="B12" s="10" t="inlineStr">
        <is>
          <t>VIVAR</t>
        </is>
      </c>
      <c r="C12" s="11" t="inlineStr"/>
    </row>
    <row r="13">
      <c r="A13" s="10" t="inlineStr">
        <is>
          <t>G713</t>
        </is>
      </c>
      <c r="B13" s="10" t="inlineStr">
        <is>
          <t>TIONGTAT</t>
        </is>
      </c>
      <c r="C13" s="11" t="inlineStr"/>
    </row>
    <row r="14">
      <c r="A14" s="10" t="inlineStr">
        <is>
          <t>G801</t>
        </is>
      </c>
      <c r="B14" s="10" t="inlineStr">
        <is>
          <t>CV Surya</t>
        </is>
      </c>
      <c r="C14" s="11" t="inlineStr"/>
    </row>
    <row r="15">
      <c r="A15" s="10" t="inlineStr">
        <is>
          <t>G331</t>
        </is>
      </c>
      <c r="B15" s="10" t="inlineStr">
        <is>
          <t>ROXCEL</t>
        </is>
      </c>
      <c r="C15" s="11" t="inlineStr"/>
    </row>
    <row r="16">
      <c r="A16" s="10" t="inlineStr">
        <is>
          <t>G610</t>
        </is>
      </c>
      <c r="B16" s="10" t="inlineStr">
        <is>
          <t>ASAHI</t>
        </is>
      </c>
      <c r="C16" s="11" t="inlineStr"/>
    </row>
    <row r="17">
      <c r="A17" s="10" t="inlineStr">
        <is>
          <t>G518</t>
        </is>
      </c>
      <c r="B17" s="10" t="inlineStr">
        <is>
          <t>ALI</t>
        </is>
      </c>
      <c r="C17" s="11" t="inlineStr"/>
    </row>
    <row r="18">
      <c r="A18" s="10" t="inlineStr">
        <is>
          <t>G209</t>
        </is>
      </c>
      <c r="B18" s="10" t="inlineStr">
        <is>
          <t>AITKEN</t>
        </is>
      </c>
      <c r="C18" s="11" t="inlineStr"/>
    </row>
    <row r="19">
      <c r="A19" s="10" t="inlineStr">
        <is>
          <t>G216</t>
        </is>
      </c>
      <c r="B19" s="10" t="inlineStr">
        <is>
          <t>P. CARE</t>
        </is>
      </c>
      <c r="C19" s="11" t="inlineStr"/>
    </row>
    <row r="20">
      <c r="A20" s="10" t="inlineStr">
        <is>
          <t>G700</t>
        </is>
      </c>
      <c r="B20" s="10" t="inlineStr">
        <is>
          <t>ECOPAPER</t>
        </is>
      </c>
      <c r="C20" s="11" t="inlineStr"/>
    </row>
    <row r="21">
      <c r="A21" s="10" t="inlineStr">
        <is>
          <t>G205</t>
        </is>
      </c>
      <c r="B21" s="10" t="inlineStr">
        <is>
          <t>KISHORE</t>
        </is>
      </c>
      <c r="C21" s="11" t="inlineStr"/>
    </row>
    <row r="22">
      <c r="A22" s="10" t="inlineStr">
        <is>
          <t>G523</t>
        </is>
      </c>
      <c r="B22" s="10" t="inlineStr">
        <is>
          <t>SAMI P.</t>
        </is>
      </c>
      <c r="C22" s="11" t="inlineStr"/>
    </row>
    <row r="25">
      <c r="A25" s="12" t="inlineStr">
        <is>
          <t>★ 此表的客戶 + 基重 270 或 300 GSM → 自動在生管本標「100張」</t>
        </is>
      </c>
    </row>
  </sheetData>
  <mergeCells count="1">
    <mergeCell ref="A25:C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8" customWidth="1" min="3" max="3"/>
    <col width="10" customWidth="1" min="4" max="4"/>
    <col width="11" customWidth="1" min="5" max="5"/>
    <col width="11" customWidth="1" min="6" max="6"/>
    <col width="11" customWidth="1" min="7" max="7"/>
    <col width="10" customWidth="1" min="8" max="8"/>
  </cols>
  <sheetData>
    <row r="1">
      <c r="A1" s="13" t="inlineStr">
        <is>
          <t>row</t>
        </is>
      </c>
      <c r="B1" s="13" t="inlineStr">
        <is>
          <t>_key</t>
        </is>
      </c>
      <c r="C1" s="13" t="inlineStr">
        <is>
          <t>_first</t>
        </is>
      </c>
      <c r="D1" s="13" t="inlineStr">
        <is>
          <t>_sumqty</t>
        </is>
      </c>
      <c r="E1" s="13" t="inlineStr">
        <is>
          <t>_outrow_jk</t>
        </is>
      </c>
      <c r="F1" s="13" t="inlineStr">
        <is>
          <t>_outrow_pb</t>
        </is>
      </c>
      <c r="G1" s="13" t="inlineStr">
        <is>
          <t>_outrow_cj</t>
        </is>
      </c>
      <c r="H1" s="13" t="inlineStr">
        <is>
          <t>_rowqty</t>
        </is>
      </c>
    </row>
    <row r="2">
      <c r="A2" t="n">
        <v>2</v>
      </c>
      <c r="B2">
        <f>IF(ERP資料!A2="","",ERP資料!A2&amp;"|"&amp;ERP資料!E2&amp;"|"&amp;ERP資料!F2&amp;"|"&amp;ERP資料!G2&amp;"|"&amp;ERP資料!H2&amp;"|"&amp;ERP資料!O2)</f>
        <v/>
      </c>
      <c r="C2">
        <f>IF(B2="",0,IF(COUNTIF(B$2:B1,B2)=0,1,0))</f>
        <v/>
      </c>
      <c r="D2">
        <f>IF(B2="",0,SUMIFS($H$2:$H$801,$B$2:$B$801,B2))</f>
        <v/>
      </c>
      <c r="E2">
        <f>IF(AND(C2=1, TRIM(ERP資料!T2)="平板"), 1, 0)</f>
        <v/>
      </c>
      <c r="F2">
        <f>IF(AND(C2=1, TRIM(ERP資料!T2)="平板"), 1, 0)</f>
        <v/>
      </c>
      <c r="G2">
        <f>IF(AND(C2=1, TRIM(ERP資料!T2)="捲筒"), 1, 0)</f>
        <v/>
      </c>
      <c r="H2">
        <f>IF(OR(ERP資料!C2="",ERP資料!D2=""),0,ERP資料!D2-ERP資料!C2+1)</f>
        <v/>
      </c>
    </row>
    <row r="3">
      <c r="A3" t="n">
        <v>3</v>
      </c>
      <c r="B3">
        <f>IF(ERP資料!A3="","",ERP資料!A3&amp;"|"&amp;ERP資料!E3&amp;"|"&amp;ERP資料!F3&amp;"|"&amp;ERP資料!G3&amp;"|"&amp;ERP資料!H3&amp;"|"&amp;ERP資料!O3)</f>
        <v/>
      </c>
      <c r="C3">
        <f>IF(B3="",0,IF(COUNTIF(B$2:B2,B3)=0,1,0))</f>
        <v/>
      </c>
      <c r="D3">
        <f>IF(B3="",0,SUMIFS($H$2:$H$801,$B$2:$B$801,B3))</f>
        <v/>
      </c>
      <c r="E3">
        <f>IF(NOT(AND(C3=1, TRIM(ERP資料!T3)="平板")), 0, IF(MAX(E$2:E2)=0, 1, IF(ERP資料!A3=INDEX(ERP資料!$A$2:$A2, MATCH(MAX(E$2:E2), E$2:E2, 0)), MAX(E$2:E2)+1, MAX(E$2:E2)+2)))</f>
        <v/>
      </c>
      <c r="F3">
        <f>IF(NOT(AND(C3=1, TRIM(ERP資料!T3)="平板")), 0, IF(MAX(F$2:F2)=0, 1, IF(ERP資料!A3=INDEX(ERP資料!$A$2:$A2, MATCH(MAX(F$2:F2), F$2:F2, 0)), MAX(F$2:F2)+1, MAX(F$2:F2)+2)))</f>
        <v/>
      </c>
      <c r="G3">
        <f>IF(NOT(AND(C3=1, TRIM(ERP資料!T3)="捲筒")), 0, IF(MAX(G$2:G2)=0, 1, IF(ERP資料!A3=INDEX(ERP資料!$A$2:$A2, MATCH(MAX(G$2:G2), G$2:G2, 0)), MAX(G$2:G2)+1, MAX(G$2:G2)+2)))</f>
        <v/>
      </c>
      <c r="H3">
        <f>IF(OR(ERP資料!C3="",ERP資料!D3=""),0,ERP資料!D3-ERP資料!C3+1)</f>
        <v/>
      </c>
    </row>
    <row r="4">
      <c r="A4" t="n">
        <v>4</v>
      </c>
      <c r="B4">
        <f>IF(ERP資料!A4="","",ERP資料!A4&amp;"|"&amp;ERP資料!E4&amp;"|"&amp;ERP資料!F4&amp;"|"&amp;ERP資料!G4&amp;"|"&amp;ERP資料!H4&amp;"|"&amp;ERP資料!O4)</f>
        <v/>
      </c>
      <c r="C4">
        <f>IF(B4="",0,IF(COUNTIF(B$2:B3,B4)=0,1,0))</f>
        <v/>
      </c>
      <c r="D4">
        <f>IF(B4="",0,SUMIFS($H$2:$H$801,$B$2:$B$801,B4))</f>
        <v/>
      </c>
      <c r="E4">
        <f>IF(NOT(AND(C4=1, TRIM(ERP資料!T4)="平板")), 0, IF(MAX(E$2:E3)=0, 1, IF(ERP資料!A4=INDEX(ERP資料!$A$2:$A3, MATCH(MAX(E$2:E3), E$2:E3, 0)), MAX(E$2:E3)+1, MAX(E$2:E3)+2)))</f>
        <v/>
      </c>
      <c r="F4">
        <f>IF(NOT(AND(C4=1, TRIM(ERP資料!T4)="平板")), 0, IF(MAX(F$2:F3)=0, 1, IF(ERP資料!A4=INDEX(ERP資料!$A$2:$A3, MATCH(MAX(F$2:F3), F$2:F3, 0)), MAX(F$2:F3)+1, MAX(F$2:F3)+2)))</f>
        <v/>
      </c>
      <c r="G4">
        <f>IF(NOT(AND(C4=1, TRIM(ERP資料!T4)="捲筒")), 0, IF(MAX(G$2:G3)=0, 1, IF(ERP資料!A4=INDEX(ERP資料!$A$2:$A3, MATCH(MAX(G$2:G3), G$2:G3, 0)), MAX(G$2:G3)+1, MAX(G$2:G3)+2)))</f>
        <v/>
      </c>
      <c r="H4">
        <f>IF(OR(ERP資料!C4="",ERP資料!D4=""),0,ERP資料!D4-ERP資料!C4+1)</f>
        <v/>
      </c>
    </row>
    <row r="5">
      <c r="A5" t="n">
        <v>5</v>
      </c>
      <c r="B5">
        <f>IF(ERP資料!A5="","",ERP資料!A5&amp;"|"&amp;ERP資料!E5&amp;"|"&amp;ERP資料!F5&amp;"|"&amp;ERP資料!G5&amp;"|"&amp;ERP資料!H5&amp;"|"&amp;ERP資料!O5)</f>
        <v/>
      </c>
      <c r="C5">
        <f>IF(B5="",0,IF(COUNTIF(B$2:B4,B5)=0,1,0))</f>
        <v/>
      </c>
      <c r="D5">
        <f>IF(B5="",0,SUMIFS($H$2:$H$801,$B$2:$B$801,B5))</f>
        <v/>
      </c>
      <c r="E5">
        <f>IF(NOT(AND(C5=1, TRIM(ERP資料!T5)="平板")), 0, IF(MAX(E$2:E4)=0, 1, IF(ERP資料!A5=INDEX(ERP資料!$A$2:$A4, MATCH(MAX(E$2:E4), E$2:E4, 0)), MAX(E$2:E4)+1, MAX(E$2:E4)+2)))</f>
        <v/>
      </c>
      <c r="F5">
        <f>IF(NOT(AND(C5=1, TRIM(ERP資料!T5)="平板")), 0, IF(MAX(F$2:F4)=0, 1, IF(ERP資料!A5=INDEX(ERP資料!$A$2:$A4, MATCH(MAX(F$2:F4), F$2:F4, 0)), MAX(F$2:F4)+1, MAX(F$2:F4)+2)))</f>
        <v/>
      </c>
      <c r="G5">
        <f>IF(NOT(AND(C5=1, TRIM(ERP資料!T5)="捲筒")), 0, IF(MAX(G$2:G4)=0, 1, IF(ERP資料!A5=INDEX(ERP資料!$A$2:$A4, MATCH(MAX(G$2:G4), G$2:G4, 0)), MAX(G$2:G4)+1, MAX(G$2:G4)+2)))</f>
        <v/>
      </c>
      <c r="H5">
        <f>IF(OR(ERP資料!C5="",ERP資料!D5=""),0,ERP資料!D5-ERP資料!C5+1)</f>
        <v/>
      </c>
    </row>
    <row r="6">
      <c r="A6" t="n">
        <v>6</v>
      </c>
      <c r="B6">
        <f>IF(ERP資料!A6="","",ERP資料!A6&amp;"|"&amp;ERP資料!E6&amp;"|"&amp;ERP資料!F6&amp;"|"&amp;ERP資料!G6&amp;"|"&amp;ERP資料!H6&amp;"|"&amp;ERP資料!O6)</f>
        <v/>
      </c>
      <c r="C6">
        <f>IF(B6="",0,IF(COUNTIF(B$2:B5,B6)=0,1,0))</f>
        <v/>
      </c>
      <c r="D6">
        <f>IF(B6="",0,SUMIFS($H$2:$H$801,$B$2:$B$801,B6))</f>
        <v/>
      </c>
      <c r="E6">
        <f>IF(NOT(AND(C6=1, TRIM(ERP資料!T6)="平板")), 0, IF(MAX(E$2:E5)=0, 1, IF(ERP資料!A6=INDEX(ERP資料!$A$2:$A5, MATCH(MAX(E$2:E5), E$2:E5, 0)), MAX(E$2:E5)+1, MAX(E$2:E5)+2)))</f>
        <v/>
      </c>
      <c r="F6">
        <f>IF(NOT(AND(C6=1, TRIM(ERP資料!T6)="平板")), 0, IF(MAX(F$2:F5)=0, 1, IF(ERP資料!A6=INDEX(ERP資料!$A$2:$A5, MATCH(MAX(F$2:F5), F$2:F5, 0)), MAX(F$2:F5)+1, MAX(F$2:F5)+2)))</f>
        <v/>
      </c>
      <c r="G6">
        <f>IF(NOT(AND(C6=1, TRIM(ERP資料!T6)="捲筒")), 0, IF(MAX(G$2:G5)=0, 1, IF(ERP資料!A6=INDEX(ERP資料!$A$2:$A5, MATCH(MAX(G$2:G5), G$2:G5, 0)), MAX(G$2:G5)+1, MAX(G$2:G5)+2)))</f>
        <v/>
      </c>
      <c r="H6">
        <f>IF(OR(ERP資料!C6="",ERP資料!D6=""),0,ERP資料!D6-ERP資料!C6+1)</f>
        <v/>
      </c>
    </row>
    <row r="7">
      <c r="A7" t="n">
        <v>7</v>
      </c>
      <c r="B7">
        <f>IF(ERP資料!A7="","",ERP資料!A7&amp;"|"&amp;ERP資料!E7&amp;"|"&amp;ERP資料!F7&amp;"|"&amp;ERP資料!G7&amp;"|"&amp;ERP資料!H7&amp;"|"&amp;ERP資料!O7)</f>
        <v/>
      </c>
      <c r="C7">
        <f>IF(B7="",0,IF(COUNTIF(B$2:B6,B7)=0,1,0))</f>
        <v/>
      </c>
      <c r="D7">
        <f>IF(B7="",0,SUMIFS($H$2:$H$801,$B$2:$B$801,B7))</f>
        <v/>
      </c>
      <c r="E7">
        <f>IF(NOT(AND(C7=1, TRIM(ERP資料!T7)="平板")), 0, IF(MAX(E$2:E6)=0, 1, IF(ERP資料!A7=INDEX(ERP資料!$A$2:$A6, MATCH(MAX(E$2:E6), E$2:E6, 0)), MAX(E$2:E6)+1, MAX(E$2:E6)+2)))</f>
        <v/>
      </c>
      <c r="F7">
        <f>IF(NOT(AND(C7=1, TRIM(ERP資料!T7)="平板")), 0, IF(MAX(F$2:F6)=0, 1, IF(ERP資料!A7=INDEX(ERP資料!$A$2:$A6, MATCH(MAX(F$2:F6), F$2:F6, 0)), MAX(F$2:F6)+1, MAX(F$2:F6)+2)))</f>
        <v/>
      </c>
      <c r="G7">
        <f>IF(NOT(AND(C7=1, TRIM(ERP資料!T7)="捲筒")), 0, IF(MAX(G$2:G6)=0, 1, IF(ERP資料!A7=INDEX(ERP資料!$A$2:$A6, MATCH(MAX(G$2:G6), G$2:G6, 0)), MAX(G$2:G6)+1, MAX(G$2:G6)+2)))</f>
        <v/>
      </c>
      <c r="H7">
        <f>IF(OR(ERP資料!C7="",ERP資料!D7=""),0,ERP資料!D7-ERP資料!C7+1)</f>
        <v/>
      </c>
    </row>
    <row r="8">
      <c r="A8" t="n">
        <v>8</v>
      </c>
      <c r="B8">
        <f>IF(ERP資料!A8="","",ERP資料!A8&amp;"|"&amp;ERP資料!E8&amp;"|"&amp;ERP資料!F8&amp;"|"&amp;ERP資料!G8&amp;"|"&amp;ERP資料!H8&amp;"|"&amp;ERP資料!O8)</f>
        <v/>
      </c>
      <c r="C8">
        <f>IF(B8="",0,IF(COUNTIF(B$2:B7,B8)=0,1,0))</f>
        <v/>
      </c>
      <c r="D8">
        <f>IF(B8="",0,SUMIFS($H$2:$H$801,$B$2:$B$801,B8))</f>
        <v/>
      </c>
      <c r="E8">
        <f>IF(NOT(AND(C8=1, TRIM(ERP資料!T8)="平板")), 0, IF(MAX(E$2:E7)=0, 1, IF(ERP資料!A8=INDEX(ERP資料!$A$2:$A7, MATCH(MAX(E$2:E7), E$2:E7, 0)), MAX(E$2:E7)+1, MAX(E$2:E7)+2)))</f>
        <v/>
      </c>
      <c r="F8">
        <f>IF(NOT(AND(C8=1, TRIM(ERP資料!T8)="平板")), 0, IF(MAX(F$2:F7)=0, 1, IF(ERP資料!A8=INDEX(ERP資料!$A$2:$A7, MATCH(MAX(F$2:F7), F$2:F7, 0)), MAX(F$2:F7)+1, MAX(F$2:F7)+2)))</f>
        <v/>
      </c>
      <c r="G8">
        <f>IF(NOT(AND(C8=1, TRIM(ERP資料!T8)="捲筒")), 0, IF(MAX(G$2:G7)=0, 1, IF(ERP資料!A8=INDEX(ERP資料!$A$2:$A7, MATCH(MAX(G$2:G7), G$2:G7, 0)), MAX(G$2:G7)+1, MAX(G$2:G7)+2)))</f>
        <v/>
      </c>
      <c r="H8">
        <f>IF(OR(ERP資料!C8="",ERP資料!D8=""),0,ERP資料!D8-ERP資料!C8+1)</f>
        <v/>
      </c>
    </row>
    <row r="9">
      <c r="A9" t="n">
        <v>9</v>
      </c>
      <c r="B9">
        <f>IF(ERP資料!A9="","",ERP資料!A9&amp;"|"&amp;ERP資料!E9&amp;"|"&amp;ERP資料!F9&amp;"|"&amp;ERP資料!G9&amp;"|"&amp;ERP資料!H9&amp;"|"&amp;ERP資料!O9)</f>
        <v/>
      </c>
      <c r="C9">
        <f>IF(B9="",0,IF(COUNTIF(B$2:B8,B9)=0,1,0))</f>
        <v/>
      </c>
      <c r="D9">
        <f>IF(B9="",0,SUMIFS($H$2:$H$801,$B$2:$B$801,B9))</f>
        <v/>
      </c>
      <c r="E9">
        <f>IF(NOT(AND(C9=1, TRIM(ERP資料!T9)="平板")), 0, IF(MAX(E$2:E8)=0, 1, IF(ERP資料!A9=INDEX(ERP資料!$A$2:$A8, MATCH(MAX(E$2:E8), E$2:E8, 0)), MAX(E$2:E8)+1, MAX(E$2:E8)+2)))</f>
        <v/>
      </c>
      <c r="F9">
        <f>IF(NOT(AND(C9=1, TRIM(ERP資料!T9)="平板")), 0, IF(MAX(F$2:F8)=0, 1, IF(ERP資料!A9=INDEX(ERP資料!$A$2:$A8, MATCH(MAX(F$2:F8), F$2:F8, 0)), MAX(F$2:F8)+1, MAX(F$2:F8)+2)))</f>
        <v/>
      </c>
      <c r="G9">
        <f>IF(NOT(AND(C9=1, TRIM(ERP資料!T9)="捲筒")), 0, IF(MAX(G$2:G8)=0, 1, IF(ERP資料!A9=INDEX(ERP資料!$A$2:$A8, MATCH(MAX(G$2:G8), G$2:G8, 0)), MAX(G$2:G8)+1, MAX(G$2:G8)+2)))</f>
        <v/>
      </c>
      <c r="H9">
        <f>IF(OR(ERP資料!C9="",ERP資料!D9=""),0,ERP資料!D9-ERP資料!C9+1)</f>
        <v/>
      </c>
    </row>
    <row r="10">
      <c r="A10" t="n">
        <v>10</v>
      </c>
      <c r="B10">
        <f>IF(ERP資料!A10="","",ERP資料!A10&amp;"|"&amp;ERP資料!E10&amp;"|"&amp;ERP資料!F10&amp;"|"&amp;ERP資料!G10&amp;"|"&amp;ERP資料!H10&amp;"|"&amp;ERP資料!O10)</f>
        <v/>
      </c>
      <c r="C10">
        <f>IF(B10="",0,IF(COUNTIF(B$2:B9,B10)=0,1,0))</f>
        <v/>
      </c>
      <c r="D10">
        <f>IF(B10="",0,SUMIFS($H$2:$H$801,$B$2:$B$801,B10))</f>
        <v/>
      </c>
      <c r="E10">
        <f>IF(NOT(AND(C10=1, TRIM(ERP資料!T10)="平板")), 0, IF(MAX(E$2:E9)=0, 1, IF(ERP資料!A10=INDEX(ERP資料!$A$2:$A9, MATCH(MAX(E$2:E9), E$2:E9, 0)), MAX(E$2:E9)+1, MAX(E$2:E9)+2)))</f>
        <v/>
      </c>
      <c r="F10">
        <f>IF(NOT(AND(C10=1, TRIM(ERP資料!T10)="平板")), 0, IF(MAX(F$2:F9)=0, 1, IF(ERP資料!A10=INDEX(ERP資料!$A$2:$A9, MATCH(MAX(F$2:F9), F$2:F9, 0)), MAX(F$2:F9)+1, MAX(F$2:F9)+2)))</f>
        <v/>
      </c>
      <c r="G10">
        <f>IF(NOT(AND(C10=1, TRIM(ERP資料!T10)="捲筒")), 0, IF(MAX(G$2:G9)=0, 1, IF(ERP資料!A10=INDEX(ERP資料!$A$2:$A9, MATCH(MAX(G$2:G9), G$2:G9, 0)), MAX(G$2:G9)+1, MAX(G$2:G9)+2)))</f>
        <v/>
      </c>
      <c r="H10">
        <f>IF(OR(ERP資料!C10="",ERP資料!D10=""),0,ERP資料!D10-ERP資料!C10+1)</f>
        <v/>
      </c>
    </row>
    <row r="11">
      <c r="A11" t="n">
        <v>11</v>
      </c>
      <c r="B11">
        <f>IF(ERP資料!A11="","",ERP資料!A11&amp;"|"&amp;ERP資料!E11&amp;"|"&amp;ERP資料!F11&amp;"|"&amp;ERP資料!G11&amp;"|"&amp;ERP資料!H11&amp;"|"&amp;ERP資料!O11)</f>
        <v/>
      </c>
      <c r="C11">
        <f>IF(B11="",0,IF(COUNTIF(B$2:B10,B11)=0,1,0))</f>
        <v/>
      </c>
      <c r="D11">
        <f>IF(B11="",0,SUMIFS($H$2:$H$801,$B$2:$B$801,B11))</f>
        <v/>
      </c>
      <c r="E11">
        <f>IF(NOT(AND(C11=1, TRIM(ERP資料!T11)="平板")), 0, IF(MAX(E$2:E10)=0, 1, IF(ERP資料!A11=INDEX(ERP資料!$A$2:$A10, MATCH(MAX(E$2:E10), E$2:E10, 0)), MAX(E$2:E10)+1, MAX(E$2:E10)+2)))</f>
        <v/>
      </c>
      <c r="F11">
        <f>IF(NOT(AND(C11=1, TRIM(ERP資料!T11)="平板")), 0, IF(MAX(F$2:F10)=0, 1, IF(ERP資料!A11=INDEX(ERP資料!$A$2:$A10, MATCH(MAX(F$2:F10), F$2:F10, 0)), MAX(F$2:F10)+1, MAX(F$2:F10)+2)))</f>
        <v/>
      </c>
      <c r="G11">
        <f>IF(NOT(AND(C11=1, TRIM(ERP資料!T11)="捲筒")), 0, IF(MAX(G$2:G10)=0, 1, IF(ERP資料!A11=INDEX(ERP資料!$A$2:$A10, MATCH(MAX(G$2:G10), G$2:G10, 0)), MAX(G$2:G10)+1, MAX(G$2:G10)+2)))</f>
        <v/>
      </c>
      <c r="H11">
        <f>IF(OR(ERP資料!C11="",ERP資料!D11=""),0,ERP資料!D11-ERP資料!C11+1)</f>
        <v/>
      </c>
    </row>
    <row r="12">
      <c r="A12" t="n">
        <v>12</v>
      </c>
      <c r="B12">
        <f>IF(ERP資料!A12="","",ERP資料!A12&amp;"|"&amp;ERP資料!E12&amp;"|"&amp;ERP資料!F12&amp;"|"&amp;ERP資料!G12&amp;"|"&amp;ERP資料!H12&amp;"|"&amp;ERP資料!O12)</f>
        <v/>
      </c>
      <c r="C12">
        <f>IF(B12="",0,IF(COUNTIF(B$2:B11,B12)=0,1,0))</f>
        <v/>
      </c>
      <c r="D12">
        <f>IF(B12="",0,SUMIFS($H$2:$H$801,$B$2:$B$801,B12))</f>
        <v/>
      </c>
      <c r="E12">
        <f>IF(NOT(AND(C12=1, TRIM(ERP資料!T12)="平板")), 0, IF(MAX(E$2:E11)=0, 1, IF(ERP資料!A12=INDEX(ERP資料!$A$2:$A11, MATCH(MAX(E$2:E11), E$2:E11, 0)), MAX(E$2:E11)+1, MAX(E$2:E11)+2)))</f>
        <v/>
      </c>
      <c r="F12">
        <f>IF(NOT(AND(C12=1, TRIM(ERP資料!T12)="平板")), 0, IF(MAX(F$2:F11)=0, 1, IF(ERP資料!A12=INDEX(ERP資料!$A$2:$A11, MATCH(MAX(F$2:F11), F$2:F11, 0)), MAX(F$2:F11)+1, MAX(F$2:F11)+2)))</f>
        <v/>
      </c>
      <c r="G12">
        <f>IF(NOT(AND(C12=1, TRIM(ERP資料!T12)="捲筒")), 0, IF(MAX(G$2:G11)=0, 1, IF(ERP資料!A12=INDEX(ERP資料!$A$2:$A11, MATCH(MAX(G$2:G11), G$2:G11, 0)), MAX(G$2:G11)+1, MAX(G$2:G11)+2)))</f>
        <v/>
      </c>
      <c r="H12">
        <f>IF(OR(ERP資料!C12="",ERP資料!D12=""),0,ERP資料!D12-ERP資料!C12+1)</f>
        <v/>
      </c>
    </row>
    <row r="13">
      <c r="A13" t="n">
        <v>13</v>
      </c>
      <c r="B13">
        <f>IF(ERP資料!A13="","",ERP資料!A13&amp;"|"&amp;ERP資料!E13&amp;"|"&amp;ERP資料!F13&amp;"|"&amp;ERP資料!G13&amp;"|"&amp;ERP資料!H13&amp;"|"&amp;ERP資料!O13)</f>
        <v/>
      </c>
      <c r="C13">
        <f>IF(B13="",0,IF(COUNTIF(B$2:B12,B13)=0,1,0))</f>
        <v/>
      </c>
      <c r="D13">
        <f>IF(B13="",0,SUMIFS($H$2:$H$801,$B$2:$B$801,B13))</f>
        <v/>
      </c>
      <c r="E13">
        <f>IF(NOT(AND(C13=1, TRIM(ERP資料!T13)="平板")), 0, IF(MAX(E$2:E12)=0, 1, IF(ERP資料!A13=INDEX(ERP資料!$A$2:$A12, MATCH(MAX(E$2:E12), E$2:E12, 0)), MAX(E$2:E12)+1, MAX(E$2:E12)+2)))</f>
        <v/>
      </c>
      <c r="F13">
        <f>IF(NOT(AND(C13=1, TRIM(ERP資料!T13)="平板")), 0, IF(MAX(F$2:F12)=0, 1, IF(ERP資料!A13=INDEX(ERP資料!$A$2:$A12, MATCH(MAX(F$2:F12), F$2:F12, 0)), MAX(F$2:F12)+1, MAX(F$2:F12)+2)))</f>
        <v/>
      </c>
      <c r="G13">
        <f>IF(NOT(AND(C13=1, TRIM(ERP資料!T13)="捲筒")), 0, IF(MAX(G$2:G12)=0, 1, IF(ERP資料!A13=INDEX(ERP資料!$A$2:$A12, MATCH(MAX(G$2:G12), G$2:G12, 0)), MAX(G$2:G12)+1, MAX(G$2:G12)+2)))</f>
        <v/>
      </c>
      <c r="H13">
        <f>IF(OR(ERP資料!C13="",ERP資料!D13=""),0,ERP資料!D13-ERP資料!C13+1)</f>
        <v/>
      </c>
    </row>
    <row r="14">
      <c r="A14" t="n">
        <v>14</v>
      </c>
      <c r="B14">
        <f>IF(ERP資料!A14="","",ERP資料!A14&amp;"|"&amp;ERP資料!E14&amp;"|"&amp;ERP資料!F14&amp;"|"&amp;ERP資料!G14&amp;"|"&amp;ERP資料!H14&amp;"|"&amp;ERP資料!O14)</f>
        <v/>
      </c>
      <c r="C14">
        <f>IF(B14="",0,IF(COUNTIF(B$2:B13,B14)=0,1,0))</f>
        <v/>
      </c>
      <c r="D14">
        <f>IF(B14="",0,SUMIFS($H$2:$H$801,$B$2:$B$801,B14))</f>
        <v/>
      </c>
      <c r="E14">
        <f>IF(NOT(AND(C14=1, TRIM(ERP資料!T14)="平板")), 0, IF(MAX(E$2:E13)=0, 1, IF(ERP資料!A14=INDEX(ERP資料!$A$2:$A13, MATCH(MAX(E$2:E13), E$2:E13, 0)), MAX(E$2:E13)+1, MAX(E$2:E13)+2)))</f>
        <v/>
      </c>
      <c r="F14">
        <f>IF(NOT(AND(C14=1, TRIM(ERP資料!T14)="平板")), 0, IF(MAX(F$2:F13)=0, 1, IF(ERP資料!A14=INDEX(ERP資料!$A$2:$A13, MATCH(MAX(F$2:F13), F$2:F13, 0)), MAX(F$2:F13)+1, MAX(F$2:F13)+2)))</f>
        <v/>
      </c>
      <c r="G14">
        <f>IF(NOT(AND(C14=1, TRIM(ERP資料!T14)="捲筒")), 0, IF(MAX(G$2:G13)=0, 1, IF(ERP資料!A14=INDEX(ERP資料!$A$2:$A13, MATCH(MAX(G$2:G13), G$2:G13, 0)), MAX(G$2:G13)+1, MAX(G$2:G13)+2)))</f>
        <v/>
      </c>
      <c r="H14">
        <f>IF(OR(ERP資料!C14="",ERP資料!D14=""),0,ERP資料!D14-ERP資料!C14+1)</f>
        <v/>
      </c>
    </row>
    <row r="15">
      <c r="A15" t="n">
        <v>15</v>
      </c>
      <c r="B15">
        <f>IF(ERP資料!A15="","",ERP資料!A15&amp;"|"&amp;ERP資料!E15&amp;"|"&amp;ERP資料!F15&amp;"|"&amp;ERP資料!G15&amp;"|"&amp;ERP資料!H15&amp;"|"&amp;ERP資料!O15)</f>
        <v/>
      </c>
      <c r="C15">
        <f>IF(B15="",0,IF(COUNTIF(B$2:B14,B15)=0,1,0))</f>
        <v/>
      </c>
      <c r="D15">
        <f>IF(B15="",0,SUMIFS($H$2:$H$801,$B$2:$B$801,B15))</f>
        <v/>
      </c>
      <c r="E15">
        <f>IF(NOT(AND(C15=1, TRIM(ERP資料!T15)="平板")), 0, IF(MAX(E$2:E14)=0, 1, IF(ERP資料!A15=INDEX(ERP資料!$A$2:$A14, MATCH(MAX(E$2:E14), E$2:E14, 0)), MAX(E$2:E14)+1, MAX(E$2:E14)+2)))</f>
        <v/>
      </c>
      <c r="F15">
        <f>IF(NOT(AND(C15=1, TRIM(ERP資料!T15)="平板")), 0, IF(MAX(F$2:F14)=0, 1, IF(ERP資料!A15=INDEX(ERP資料!$A$2:$A14, MATCH(MAX(F$2:F14), F$2:F14, 0)), MAX(F$2:F14)+1, MAX(F$2:F14)+2)))</f>
        <v/>
      </c>
      <c r="G15">
        <f>IF(NOT(AND(C15=1, TRIM(ERP資料!T15)="捲筒")), 0, IF(MAX(G$2:G14)=0, 1, IF(ERP資料!A15=INDEX(ERP資料!$A$2:$A14, MATCH(MAX(G$2:G14), G$2:G14, 0)), MAX(G$2:G14)+1, MAX(G$2:G14)+2)))</f>
        <v/>
      </c>
      <c r="H15">
        <f>IF(OR(ERP資料!C15="",ERP資料!D15=""),0,ERP資料!D15-ERP資料!C15+1)</f>
        <v/>
      </c>
    </row>
    <row r="16">
      <c r="A16" t="n">
        <v>16</v>
      </c>
      <c r="B16">
        <f>IF(ERP資料!A16="","",ERP資料!A16&amp;"|"&amp;ERP資料!E16&amp;"|"&amp;ERP資料!F16&amp;"|"&amp;ERP資料!G16&amp;"|"&amp;ERP資料!H16&amp;"|"&amp;ERP資料!O16)</f>
        <v/>
      </c>
      <c r="C16">
        <f>IF(B16="",0,IF(COUNTIF(B$2:B15,B16)=0,1,0))</f>
        <v/>
      </c>
      <c r="D16">
        <f>IF(B16="",0,SUMIFS($H$2:$H$801,$B$2:$B$801,B16))</f>
        <v/>
      </c>
      <c r="E16">
        <f>IF(NOT(AND(C16=1, TRIM(ERP資料!T16)="平板")), 0, IF(MAX(E$2:E15)=0, 1, IF(ERP資料!A16=INDEX(ERP資料!$A$2:$A15, MATCH(MAX(E$2:E15), E$2:E15, 0)), MAX(E$2:E15)+1, MAX(E$2:E15)+2)))</f>
        <v/>
      </c>
      <c r="F16">
        <f>IF(NOT(AND(C16=1, TRIM(ERP資料!T16)="平板")), 0, IF(MAX(F$2:F15)=0, 1, IF(ERP資料!A16=INDEX(ERP資料!$A$2:$A15, MATCH(MAX(F$2:F15), F$2:F15, 0)), MAX(F$2:F15)+1, MAX(F$2:F15)+2)))</f>
        <v/>
      </c>
      <c r="G16">
        <f>IF(NOT(AND(C16=1, TRIM(ERP資料!T16)="捲筒")), 0, IF(MAX(G$2:G15)=0, 1, IF(ERP資料!A16=INDEX(ERP資料!$A$2:$A15, MATCH(MAX(G$2:G15), G$2:G15, 0)), MAX(G$2:G15)+1, MAX(G$2:G15)+2)))</f>
        <v/>
      </c>
      <c r="H16">
        <f>IF(OR(ERP資料!C16="",ERP資料!D16=""),0,ERP資料!D16-ERP資料!C16+1)</f>
        <v/>
      </c>
    </row>
    <row r="17">
      <c r="A17" t="n">
        <v>17</v>
      </c>
      <c r="B17">
        <f>IF(ERP資料!A17="","",ERP資料!A17&amp;"|"&amp;ERP資料!E17&amp;"|"&amp;ERP資料!F17&amp;"|"&amp;ERP資料!G17&amp;"|"&amp;ERP資料!H17&amp;"|"&amp;ERP資料!O17)</f>
        <v/>
      </c>
      <c r="C17">
        <f>IF(B17="",0,IF(COUNTIF(B$2:B16,B17)=0,1,0))</f>
        <v/>
      </c>
      <c r="D17">
        <f>IF(B17="",0,SUMIFS($H$2:$H$801,$B$2:$B$801,B17))</f>
        <v/>
      </c>
      <c r="E17">
        <f>IF(NOT(AND(C17=1, TRIM(ERP資料!T17)="平板")), 0, IF(MAX(E$2:E16)=0, 1, IF(ERP資料!A17=INDEX(ERP資料!$A$2:$A16, MATCH(MAX(E$2:E16), E$2:E16, 0)), MAX(E$2:E16)+1, MAX(E$2:E16)+2)))</f>
        <v/>
      </c>
      <c r="F17">
        <f>IF(NOT(AND(C17=1, TRIM(ERP資料!T17)="平板")), 0, IF(MAX(F$2:F16)=0, 1, IF(ERP資料!A17=INDEX(ERP資料!$A$2:$A16, MATCH(MAX(F$2:F16), F$2:F16, 0)), MAX(F$2:F16)+1, MAX(F$2:F16)+2)))</f>
        <v/>
      </c>
      <c r="G17">
        <f>IF(NOT(AND(C17=1, TRIM(ERP資料!T17)="捲筒")), 0, IF(MAX(G$2:G16)=0, 1, IF(ERP資料!A17=INDEX(ERP資料!$A$2:$A16, MATCH(MAX(G$2:G16), G$2:G16, 0)), MAX(G$2:G16)+1, MAX(G$2:G16)+2)))</f>
        <v/>
      </c>
      <c r="H17">
        <f>IF(OR(ERP資料!C17="",ERP資料!D17=""),0,ERP資料!D17-ERP資料!C17+1)</f>
        <v/>
      </c>
    </row>
    <row r="18">
      <c r="A18" t="n">
        <v>18</v>
      </c>
      <c r="B18">
        <f>IF(ERP資料!A18="","",ERP資料!A18&amp;"|"&amp;ERP資料!E18&amp;"|"&amp;ERP資料!F18&amp;"|"&amp;ERP資料!G18&amp;"|"&amp;ERP資料!H18&amp;"|"&amp;ERP資料!O18)</f>
        <v/>
      </c>
      <c r="C18">
        <f>IF(B18="",0,IF(COUNTIF(B$2:B17,B18)=0,1,0))</f>
        <v/>
      </c>
      <c r="D18">
        <f>IF(B18="",0,SUMIFS($H$2:$H$801,$B$2:$B$801,B18))</f>
        <v/>
      </c>
      <c r="E18">
        <f>IF(NOT(AND(C18=1, TRIM(ERP資料!T18)="平板")), 0, IF(MAX(E$2:E17)=0, 1, IF(ERP資料!A18=INDEX(ERP資料!$A$2:$A17, MATCH(MAX(E$2:E17), E$2:E17, 0)), MAX(E$2:E17)+1, MAX(E$2:E17)+2)))</f>
        <v/>
      </c>
      <c r="F18">
        <f>IF(NOT(AND(C18=1, TRIM(ERP資料!T18)="平板")), 0, IF(MAX(F$2:F17)=0, 1, IF(ERP資料!A18=INDEX(ERP資料!$A$2:$A17, MATCH(MAX(F$2:F17), F$2:F17, 0)), MAX(F$2:F17)+1, MAX(F$2:F17)+2)))</f>
        <v/>
      </c>
      <c r="G18">
        <f>IF(NOT(AND(C18=1, TRIM(ERP資料!T18)="捲筒")), 0, IF(MAX(G$2:G17)=0, 1, IF(ERP資料!A18=INDEX(ERP資料!$A$2:$A17, MATCH(MAX(G$2:G17), G$2:G17, 0)), MAX(G$2:G17)+1, MAX(G$2:G17)+2)))</f>
        <v/>
      </c>
      <c r="H18">
        <f>IF(OR(ERP資料!C18="",ERP資料!D18=""),0,ERP資料!D18-ERP資料!C18+1)</f>
        <v/>
      </c>
    </row>
    <row r="19">
      <c r="A19" t="n">
        <v>19</v>
      </c>
      <c r="B19">
        <f>IF(ERP資料!A19="","",ERP資料!A19&amp;"|"&amp;ERP資料!E19&amp;"|"&amp;ERP資料!F19&amp;"|"&amp;ERP資料!G19&amp;"|"&amp;ERP資料!H19&amp;"|"&amp;ERP資料!O19)</f>
        <v/>
      </c>
      <c r="C19">
        <f>IF(B19="",0,IF(COUNTIF(B$2:B18,B19)=0,1,0))</f>
        <v/>
      </c>
      <c r="D19">
        <f>IF(B19="",0,SUMIFS($H$2:$H$801,$B$2:$B$801,B19))</f>
        <v/>
      </c>
      <c r="E19">
        <f>IF(NOT(AND(C19=1, TRIM(ERP資料!T19)="平板")), 0, IF(MAX(E$2:E18)=0, 1, IF(ERP資料!A19=INDEX(ERP資料!$A$2:$A18, MATCH(MAX(E$2:E18), E$2:E18, 0)), MAX(E$2:E18)+1, MAX(E$2:E18)+2)))</f>
        <v/>
      </c>
      <c r="F19">
        <f>IF(NOT(AND(C19=1, TRIM(ERP資料!T19)="平板")), 0, IF(MAX(F$2:F18)=0, 1, IF(ERP資料!A19=INDEX(ERP資料!$A$2:$A18, MATCH(MAX(F$2:F18), F$2:F18, 0)), MAX(F$2:F18)+1, MAX(F$2:F18)+2)))</f>
        <v/>
      </c>
      <c r="G19">
        <f>IF(NOT(AND(C19=1, TRIM(ERP資料!T19)="捲筒")), 0, IF(MAX(G$2:G18)=0, 1, IF(ERP資料!A19=INDEX(ERP資料!$A$2:$A18, MATCH(MAX(G$2:G18), G$2:G18, 0)), MAX(G$2:G18)+1, MAX(G$2:G18)+2)))</f>
        <v/>
      </c>
      <c r="H19">
        <f>IF(OR(ERP資料!C19="",ERP資料!D19=""),0,ERP資料!D19-ERP資料!C19+1)</f>
        <v/>
      </c>
    </row>
    <row r="20">
      <c r="A20" t="n">
        <v>20</v>
      </c>
      <c r="B20">
        <f>IF(ERP資料!A20="","",ERP資料!A20&amp;"|"&amp;ERP資料!E20&amp;"|"&amp;ERP資料!F20&amp;"|"&amp;ERP資料!G20&amp;"|"&amp;ERP資料!H20&amp;"|"&amp;ERP資料!O20)</f>
        <v/>
      </c>
      <c r="C20">
        <f>IF(B20="",0,IF(COUNTIF(B$2:B19,B20)=0,1,0))</f>
        <v/>
      </c>
      <c r="D20">
        <f>IF(B20="",0,SUMIFS($H$2:$H$801,$B$2:$B$801,B20))</f>
        <v/>
      </c>
      <c r="E20">
        <f>IF(NOT(AND(C20=1, TRIM(ERP資料!T20)="平板")), 0, IF(MAX(E$2:E19)=0, 1, IF(ERP資料!A20=INDEX(ERP資料!$A$2:$A19, MATCH(MAX(E$2:E19), E$2:E19, 0)), MAX(E$2:E19)+1, MAX(E$2:E19)+2)))</f>
        <v/>
      </c>
      <c r="F20">
        <f>IF(NOT(AND(C20=1, TRIM(ERP資料!T20)="平板")), 0, IF(MAX(F$2:F19)=0, 1, IF(ERP資料!A20=INDEX(ERP資料!$A$2:$A19, MATCH(MAX(F$2:F19), F$2:F19, 0)), MAX(F$2:F19)+1, MAX(F$2:F19)+2)))</f>
        <v/>
      </c>
      <c r="G20">
        <f>IF(NOT(AND(C20=1, TRIM(ERP資料!T20)="捲筒")), 0, IF(MAX(G$2:G19)=0, 1, IF(ERP資料!A20=INDEX(ERP資料!$A$2:$A19, MATCH(MAX(G$2:G19), G$2:G19, 0)), MAX(G$2:G19)+1, MAX(G$2:G19)+2)))</f>
        <v/>
      </c>
      <c r="H20">
        <f>IF(OR(ERP資料!C20="",ERP資料!D20=""),0,ERP資料!D20-ERP資料!C20+1)</f>
        <v/>
      </c>
    </row>
    <row r="21">
      <c r="A21" t="n">
        <v>21</v>
      </c>
      <c r="B21">
        <f>IF(ERP資料!A21="","",ERP資料!A21&amp;"|"&amp;ERP資料!E21&amp;"|"&amp;ERP資料!F21&amp;"|"&amp;ERP資料!G21&amp;"|"&amp;ERP資料!H21&amp;"|"&amp;ERP資料!O21)</f>
        <v/>
      </c>
      <c r="C21">
        <f>IF(B21="",0,IF(COUNTIF(B$2:B20,B21)=0,1,0))</f>
        <v/>
      </c>
      <c r="D21">
        <f>IF(B21="",0,SUMIFS($H$2:$H$801,$B$2:$B$801,B21))</f>
        <v/>
      </c>
      <c r="E21">
        <f>IF(NOT(AND(C21=1, TRIM(ERP資料!T21)="平板")), 0, IF(MAX(E$2:E20)=0, 1, IF(ERP資料!A21=INDEX(ERP資料!$A$2:$A20, MATCH(MAX(E$2:E20), E$2:E20, 0)), MAX(E$2:E20)+1, MAX(E$2:E20)+2)))</f>
        <v/>
      </c>
      <c r="F21">
        <f>IF(NOT(AND(C21=1, TRIM(ERP資料!T21)="平板")), 0, IF(MAX(F$2:F20)=0, 1, IF(ERP資料!A21=INDEX(ERP資料!$A$2:$A20, MATCH(MAX(F$2:F20), F$2:F20, 0)), MAX(F$2:F20)+1, MAX(F$2:F20)+2)))</f>
        <v/>
      </c>
      <c r="G21">
        <f>IF(NOT(AND(C21=1, TRIM(ERP資料!T21)="捲筒")), 0, IF(MAX(G$2:G20)=0, 1, IF(ERP資料!A21=INDEX(ERP資料!$A$2:$A20, MATCH(MAX(G$2:G20), G$2:G20, 0)), MAX(G$2:G20)+1, MAX(G$2:G20)+2)))</f>
        <v/>
      </c>
      <c r="H21">
        <f>IF(OR(ERP資料!C21="",ERP資料!D21=""),0,ERP資料!D21-ERP資料!C21+1)</f>
        <v/>
      </c>
    </row>
    <row r="22">
      <c r="A22" t="n">
        <v>22</v>
      </c>
      <c r="B22">
        <f>IF(ERP資料!A22="","",ERP資料!A22&amp;"|"&amp;ERP資料!E22&amp;"|"&amp;ERP資料!F22&amp;"|"&amp;ERP資料!G22&amp;"|"&amp;ERP資料!H22&amp;"|"&amp;ERP資料!O22)</f>
        <v/>
      </c>
      <c r="C22">
        <f>IF(B22="",0,IF(COUNTIF(B$2:B21,B22)=0,1,0))</f>
        <v/>
      </c>
      <c r="D22">
        <f>IF(B22="",0,SUMIFS($H$2:$H$801,$B$2:$B$801,B22))</f>
        <v/>
      </c>
      <c r="E22">
        <f>IF(NOT(AND(C22=1, TRIM(ERP資料!T22)="平板")), 0, IF(MAX(E$2:E21)=0, 1, IF(ERP資料!A22=INDEX(ERP資料!$A$2:$A21, MATCH(MAX(E$2:E21), E$2:E21, 0)), MAX(E$2:E21)+1, MAX(E$2:E21)+2)))</f>
        <v/>
      </c>
      <c r="F22">
        <f>IF(NOT(AND(C22=1, TRIM(ERP資料!T22)="平板")), 0, IF(MAX(F$2:F21)=0, 1, IF(ERP資料!A22=INDEX(ERP資料!$A$2:$A21, MATCH(MAX(F$2:F21), F$2:F21, 0)), MAX(F$2:F21)+1, MAX(F$2:F21)+2)))</f>
        <v/>
      </c>
      <c r="G22">
        <f>IF(NOT(AND(C22=1, TRIM(ERP資料!T22)="捲筒")), 0, IF(MAX(G$2:G21)=0, 1, IF(ERP資料!A22=INDEX(ERP資料!$A$2:$A21, MATCH(MAX(G$2:G21), G$2:G21, 0)), MAX(G$2:G21)+1, MAX(G$2:G21)+2)))</f>
        <v/>
      </c>
      <c r="H22">
        <f>IF(OR(ERP資料!C22="",ERP資料!D22=""),0,ERP資料!D22-ERP資料!C22+1)</f>
        <v/>
      </c>
    </row>
    <row r="23">
      <c r="A23" t="n">
        <v>23</v>
      </c>
      <c r="B23">
        <f>IF(ERP資料!A23="","",ERP資料!A23&amp;"|"&amp;ERP資料!E23&amp;"|"&amp;ERP資料!F23&amp;"|"&amp;ERP資料!G23&amp;"|"&amp;ERP資料!H23&amp;"|"&amp;ERP資料!O23)</f>
        <v/>
      </c>
      <c r="C23">
        <f>IF(B23="",0,IF(COUNTIF(B$2:B22,B23)=0,1,0))</f>
        <v/>
      </c>
      <c r="D23">
        <f>IF(B23="",0,SUMIFS($H$2:$H$801,$B$2:$B$801,B23))</f>
        <v/>
      </c>
      <c r="E23">
        <f>IF(NOT(AND(C23=1, TRIM(ERP資料!T23)="平板")), 0, IF(MAX(E$2:E22)=0, 1, IF(ERP資料!A23=INDEX(ERP資料!$A$2:$A22, MATCH(MAX(E$2:E22), E$2:E22, 0)), MAX(E$2:E22)+1, MAX(E$2:E22)+2)))</f>
        <v/>
      </c>
      <c r="F23">
        <f>IF(NOT(AND(C23=1, TRIM(ERP資料!T23)="平板")), 0, IF(MAX(F$2:F22)=0, 1, IF(ERP資料!A23=INDEX(ERP資料!$A$2:$A22, MATCH(MAX(F$2:F22), F$2:F22, 0)), MAX(F$2:F22)+1, MAX(F$2:F22)+2)))</f>
        <v/>
      </c>
      <c r="G23">
        <f>IF(NOT(AND(C23=1, TRIM(ERP資料!T23)="捲筒")), 0, IF(MAX(G$2:G22)=0, 1, IF(ERP資料!A23=INDEX(ERP資料!$A$2:$A22, MATCH(MAX(G$2:G22), G$2:G22, 0)), MAX(G$2:G22)+1, MAX(G$2:G22)+2)))</f>
        <v/>
      </c>
      <c r="H23">
        <f>IF(OR(ERP資料!C23="",ERP資料!D23=""),0,ERP資料!D23-ERP資料!C23+1)</f>
        <v/>
      </c>
    </row>
    <row r="24">
      <c r="A24" t="n">
        <v>24</v>
      </c>
      <c r="B24">
        <f>IF(ERP資料!A24="","",ERP資料!A24&amp;"|"&amp;ERP資料!E24&amp;"|"&amp;ERP資料!F24&amp;"|"&amp;ERP資料!G24&amp;"|"&amp;ERP資料!H24&amp;"|"&amp;ERP資料!O24)</f>
        <v/>
      </c>
      <c r="C24">
        <f>IF(B24="",0,IF(COUNTIF(B$2:B23,B24)=0,1,0))</f>
        <v/>
      </c>
      <c r="D24">
        <f>IF(B24="",0,SUMIFS($H$2:$H$801,$B$2:$B$801,B24))</f>
        <v/>
      </c>
      <c r="E24">
        <f>IF(NOT(AND(C24=1, TRIM(ERP資料!T24)="平板")), 0, IF(MAX(E$2:E23)=0, 1, IF(ERP資料!A24=INDEX(ERP資料!$A$2:$A23, MATCH(MAX(E$2:E23), E$2:E23, 0)), MAX(E$2:E23)+1, MAX(E$2:E23)+2)))</f>
        <v/>
      </c>
      <c r="F24">
        <f>IF(NOT(AND(C24=1, TRIM(ERP資料!T24)="平板")), 0, IF(MAX(F$2:F23)=0, 1, IF(ERP資料!A24=INDEX(ERP資料!$A$2:$A23, MATCH(MAX(F$2:F23), F$2:F23, 0)), MAX(F$2:F23)+1, MAX(F$2:F23)+2)))</f>
        <v/>
      </c>
      <c r="G24">
        <f>IF(NOT(AND(C24=1, TRIM(ERP資料!T24)="捲筒")), 0, IF(MAX(G$2:G23)=0, 1, IF(ERP資料!A24=INDEX(ERP資料!$A$2:$A23, MATCH(MAX(G$2:G23), G$2:G23, 0)), MAX(G$2:G23)+1, MAX(G$2:G23)+2)))</f>
        <v/>
      </c>
      <c r="H24">
        <f>IF(OR(ERP資料!C24="",ERP資料!D24=""),0,ERP資料!D24-ERP資料!C24+1)</f>
        <v/>
      </c>
    </row>
    <row r="25">
      <c r="A25" t="n">
        <v>25</v>
      </c>
      <c r="B25">
        <f>IF(ERP資料!A25="","",ERP資料!A25&amp;"|"&amp;ERP資料!E25&amp;"|"&amp;ERP資料!F25&amp;"|"&amp;ERP資料!G25&amp;"|"&amp;ERP資料!H25&amp;"|"&amp;ERP資料!O25)</f>
        <v/>
      </c>
      <c r="C25">
        <f>IF(B25="",0,IF(COUNTIF(B$2:B24,B25)=0,1,0))</f>
        <v/>
      </c>
      <c r="D25">
        <f>IF(B25="",0,SUMIFS($H$2:$H$801,$B$2:$B$801,B25))</f>
        <v/>
      </c>
      <c r="E25">
        <f>IF(NOT(AND(C25=1, TRIM(ERP資料!T25)="平板")), 0, IF(MAX(E$2:E24)=0, 1, IF(ERP資料!A25=INDEX(ERP資料!$A$2:$A24, MATCH(MAX(E$2:E24), E$2:E24, 0)), MAX(E$2:E24)+1, MAX(E$2:E24)+2)))</f>
        <v/>
      </c>
      <c r="F25">
        <f>IF(NOT(AND(C25=1, TRIM(ERP資料!T25)="平板")), 0, IF(MAX(F$2:F24)=0, 1, IF(ERP資料!A25=INDEX(ERP資料!$A$2:$A24, MATCH(MAX(F$2:F24), F$2:F24, 0)), MAX(F$2:F24)+1, MAX(F$2:F24)+2)))</f>
        <v/>
      </c>
      <c r="G25">
        <f>IF(NOT(AND(C25=1, TRIM(ERP資料!T25)="捲筒")), 0, IF(MAX(G$2:G24)=0, 1, IF(ERP資料!A25=INDEX(ERP資料!$A$2:$A24, MATCH(MAX(G$2:G24), G$2:G24, 0)), MAX(G$2:G24)+1, MAX(G$2:G24)+2)))</f>
        <v/>
      </c>
      <c r="H25">
        <f>IF(OR(ERP資料!C25="",ERP資料!D25=""),0,ERP資料!D25-ERP資料!C25+1)</f>
        <v/>
      </c>
    </row>
    <row r="26">
      <c r="A26" t="n">
        <v>26</v>
      </c>
      <c r="B26">
        <f>IF(ERP資料!A26="","",ERP資料!A26&amp;"|"&amp;ERP資料!E26&amp;"|"&amp;ERP資料!F26&amp;"|"&amp;ERP資料!G26&amp;"|"&amp;ERP資料!H26&amp;"|"&amp;ERP資料!O26)</f>
        <v/>
      </c>
      <c r="C26">
        <f>IF(B26="",0,IF(COUNTIF(B$2:B25,B26)=0,1,0))</f>
        <v/>
      </c>
      <c r="D26">
        <f>IF(B26="",0,SUMIFS($H$2:$H$801,$B$2:$B$801,B26))</f>
        <v/>
      </c>
      <c r="E26">
        <f>IF(NOT(AND(C26=1, TRIM(ERP資料!T26)="平板")), 0, IF(MAX(E$2:E25)=0, 1, IF(ERP資料!A26=INDEX(ERP資料!$A$2:$A25, MATCH(MAX(E$2:E25), E$2:E25, 0)), MAX(E$2:E25)+1, MAX(E$2:E25)+2)))</f>
        <v/>
      </c>
      <c r="F26">
        <f>IF(NOT(AND(C26=1, TRIM(ERP資料!T26)="平板")), 0, IF(MAX(F$2:F25)=0, 1, IF(ERP資料!A26=INDEX(ERP資料!$A$2:$A25, MATCH(MAX(F$2:F25), F$2:F25, 0)), MAX(F$2:F25)+1, MAX(F$2:F25)+2)))</f>
        <v/>
      </c>
      <c r="G26">
        <f>IF(NOT(AND(C26=1, TRIM(ERP資料!T26)="捲筒")), 0, IF(MAX(G$2:G25)=0, 1, IF(ERP資料!A26=INDEX(ERP資料!$A$2:$A25, MATCH(MAX(G$2:G25), G$2:G25, 0)), MAX(G$2:G25)+1, MAX(G$2:G25)+2)))</f>
        <v/>
      </c>
      <c r="H26">
        <f>IF(OR(ERP資料!C26="",ERP資料!D26=""),0,ERP資料!D26-ERP資料!C26+1)</f>
        <v/>
      </c>
    </row>
    <row r="27">
      <c r="A27" t="n">
        <v>27</v>
      </c>
      <c r="B27">
        <f>IF(ERP資料!A27="","",ERP資料!A27&amp;"|"&amp;ERP資料!E27&amp;"|"&amp;ERP資料!F27&amp;"|"&amp;ERP資料!G27&amp;"|"&amp;ERP資料!H27&amp;"|"&amp;ERP資料!O27)</f>
        <v/>
      </c>
      <c r="C27">
        <f>IF(B27="",0,IF(COUNTIF(B$2:B26,B27)=0,1,0))</f>
        <v/>
      </c>
      <c r="D27">
        <f>IF(B27="",0,SUMIFS($H$2:$H$801,$B$2:$B$801,B27))</f>
        <v/>
      </c>
      <c r="E27">
        <f>IF(NOT(AND(C27=1, TRIM(ERP資料!T27)="平板")), 0, IF(MAX(E$2:E26)=0, 1, IF(ERP資料!A27=INDEX(ERP資料!$A$2:$A26, MATCH(MAX(E$2:E26), E$2:E26, 0)), MAX(E$2:E26)+1, MAX(E$2:E26)+2)))</f>
        <v/>
      </c>
      <c r="F27">
        <f>IF(NOT(AND(C27=1, TRIM(ERP資料!T27)="平板")), 0, IF(MAX(F$2:F26)=0, 1, IF(ERP資料!A27=INDEX(ERP資料!$A$2:$A26, MATCH(MAX(F$2:F26), F$2:F26, 0)), MAX(F$2:F26)+1, MAX(F$2:F26)+2)))</f>
        <v/>
      </c>
      <c r="G27">
        <f>IF(NOT(AND(C27=1, TRIM(ERP資料!T27)="捲筒")), 0, IF(MAX(G$2:G26)=0, 1, IF(ERP資料!A27=INDEX(ERP資料!$A$2:$A26, MATCH(MAX(G$2:G26), G$2:G26, 0)), MAX(G$2:G26)+1, MAX(G$2:G26)+2)))</f>
        <v/>
      </c>
      <c r="H27">
        <f>IF(OR(ERP資料!C27="",ERP資料!D27=""),0,ERP資料!D27-ERP資料!C27+1)</f>
        <v/>
      </c>
    </row>
    <row r="28">
      <c r="A28" t="n">
        <v>28</v>
      </c>
      <c r="B28">
        <f>IF(ERP資料!A28="","",ERP資料!A28&amp;"|"&amp;ERP資料!E28&amp;"|"&amp;ERP資料!F28&amp;"|"&amp;ERP資料!G28&amp;"|"&amp;ERP資料!H28&amp;"|"&amp;ERP資料!O28)</f>
        <v/>
      </c>
      <c r="C28">
        <f>IF(B28="",0,IF(COUNTIF(B$2:B27,B28)=0,1,0))</f>
        <v/>
      </c>
      <c r="D28">
        <f>IF(B28="",0,SUMIFS($H$2:$H$801,$B$2:$B$801,B28))</f>
        <v/>
      </c>
      <c r="E28">
        <f>IF(NOT(AND(C28=1, TRIM(ERP資料!T28)="平板")), 0, IF(MAX(E$2:E27)=0, 1, IF(ERP資料!A28=INDEX(ERP資料!$A$2:$A27, MATCH(MAX(E$2:E27), E$2:E27, 0)), MAX(E$2:E27)+1, MAX(E$2:E27)+2)))</f>
        <v/>
      </c>
      <c r="F28">
        <f>IF(NOT(AND(C28=1, TRIM(ERP資料!T28)="平板")), 0, IF(MAX(F$2:F27)=0, 1, IF(ERP資料!A28=INDEX(ERP資料!$A$2:$A27, MATCH(MAX(F$2:F27), F$2:F27, 0)), MAX(F$2:F27)+1, MAX(F$2:F27)+2)))</f>
        <v/>
      </c>
      <c r="G28">
        <f>IF(NOT(AND(C28=1, TRIM(ERP資料!T28)="捲筒")), 0, IF(MAX(G$2:G27)=0, 1, IF(ERP資料!A28=INDEX(ERP資料!$A$2:$A27, MATCH(MAX(G$2:G27), G$2:G27, 0)), MAX(G$2:G27)+1, MAX(G$2:G27)+2)))</f>
        <v/>
      </c>
      <c r="H28">
        <f>IF(OR(ERP資料!C28="",ERP資料!D28=""),0,ERP資料!D28-ERP資料!C28+1)</f>
        <v/>
      </c>
    </row>
    <row r="29">
      <c r="A29" t="n">
        <v>29</v>
      </c>
      <c r="B29">
        <f>IF(ERP資料!A29="","",ERP資料!A29&amp;"|"&amp;ERP資料!E29&amp;"|"&amp;ERP資料!F29&amp;"|"&amp;ERP資料!G29&amp;"|"&amp;ERP資料!H29&amp;"|"&amp;ERP資料!O29)</f>
        <v/>
      </c>
      <c r="C29">
        <f>IF(B29="",0,IF(COUNTIF(B$2:B28,B29)=0,1,0))</f>
        <v/>
      </c>
      <c r="D29">
        <f>IF(B29="",0,SUMIFS($H$2:$H$801,$B$2:$B$801,B29))</f>
        <v/>
      </c>
      <c r="E29">
        <f>IF(NOT(AND(C29=1, TRIM(ERP資料!T29)="平板")), 0, IF(MAX(E$2:E28)=0, 1, IF(ERP資料!A29=INDEX(ERP資料!$A$2:$A28, MATCH(MAX(E$2:E28), E$2:E28, 0)), MAX(E$2:E28)+1, MAX(E$2:E28)+2)))</f>
        <v/>
      </c>
      <c r="F29">
        <f>IF(NOT(AND(C29=1, TRIM(ERP資料!T29)="平板")), 0, IF(MAX(F$2:F28)=0, 1, IF(ERP資料!A29=INDEX(ERP資料!$A$2:$A28, MATCH(MAX(F$2:F28), F$2:F28, 0)), MAX(F$2:F28)+1, MAX(F$2:F28)+2)))</f>
        <v/>
      </c>
      <c r="G29">
        <f>IF(NOT(AND(C29=1, TRIM(ERP資料!T29)="捲筒")), 0, IF(MAX(G$2:G28)=0, 1, IF(ERP資料!A29=INDEX(ERP資料!$A$2:$A28, MATCH(MAX(G$2:G28), G$2:G28, 0)), MAX(G$2:G28)+1, MAX(G$2:G28)+2)))</f>
        <v/>
      </c>
      <c r="H29">
        <f>IF(OR(ERP資料!C29="",ERP資料!D29=""),0,ERP資料!D29-ERP資料!C29+1)</f>
        <v/>
      </c>
    </row>
    <row r="30">
      <c r="A30" t="n">
        <v>30</v>
      </c>
      <c r="B30">
        <f>IF(ERP資料!A30="","",ERP資料!A30&amp;"|"&amp;ERP資料!E30&amp;"|"&amp;ERP資料!F30&amp;"|"&amp;ERP資料!G30&amp;"|"&amp;ERP資料!H30&amp;"|"&amp;ERP資料!O30)</f>
        <v/>
      </c>
      <c r="C30">
        <f>IF(B30="",0,IF(COUNTIF(B$2:B29,B30)=0,1,0))</f>
        <v/>
      </c>
      <c r="D30">
        <f>IF(B30="",0,SUMIFS($H$2:$H$801,$B$2:$B$801,B30))</f>
        <v/>
      </c>
      <c r="E30">
        <f>IF(NOT(AND(C30=1, TRIM(ERP資料!T30)="平板")), 0, IF(MAX(E$2:E29)=0, 1, IF(ERP資料!A30=INDEX(ERP資料!$A$2:$A29, MATCH(MAX(E$2:E29), E$2:E29, 0)), MAX(E$2:E29)+1, MAX(E$2:E29)+2)))</f>
        <v/>
      </c>
      <c r="F30">
        <f>IF(NOT(AND(C30=1, TRIM(ERP資料!T30)="平板")), 0, IF(MAX(F$2:F29)=0, 1, IF(ERP資料!A30=INDEX(ERP資料!$A$2:$A29, MATCH(MAX(F$2:F29), F$2:F29, 0)), MAX(F$2:F29)+1, MAX(F$2:F29)+2)))</f>
        <v/>
      </c>
      <c r="G30">
        <f>IF(NOT(AND(C30=1, TRIM(ERP資料!T30)="捲筒")), 0, IF(MAX(G$2:G29)=0, 1, IF(ERP資料!A30=INDEX(ERP資料!$A$2:$A29, MATCH(MAX(G$2:G29), G$2:G29, 0)), MAX(G$2:G29)+1, MAX(G$2:G29)+2)))</f>
        <v/>
      </c>
      <c r="H30">
        <f>IF(OR(ERP資料!C30="",ERP資料!D30=""),0,ERP資料!D30-ERP資料!C30+1)</f>
        <v/>
      </c>
    </row>
    <row r="31">
      <c r="A31" t="n">
        <v>31</v>
      </c>
      <c r="B31">
        <f>IF(ERP資料!A31="","",ERP資料!A31&amp;"|"&amp;ERP資料!E31&amp;"|"&amp;ERP資料!F31&amp;"|"&amp;ERP資料!G31&amp;"|"&amp;ERP資料!H31&amp;"|"&amp;ERP資料!O31)</f>
        <v/>
      </c>
      <c r="C31">
        <f>IF(B31="",0,IF(COUNTIF(B$2:B30,B31)=0,1,0))</f>
        <v/>
      </c>
      <c r="D31">
        <f>IF(B31="",0,SUMIFS($H$2:$H$801,$B$2:$B$801,B31))</f>
        <v/>
      </c>
      <c r="E31">
        <f>IF(NOT(AND(C31=1, TRIM(ERP資料!T31)="平板")), 0, IF(MAX(E$2:E30)=0, 1, IF(ERP資料!A31=INDEX(ERP資料!$A$2:$A30, MATCH(MAX(E$2:E30), E$2:E30, 0)), MAX(E$2:E30)+1, MAX(E$2:E30)+2)))</f>
        <v/>
      </c>
      <c r="F31">
        <f>IF(NOT(AND(C31=1, TRIM(ERP資料!T31)="平板")), 0, IF(MAX(F$2:F30)=0, 1, IF(ERP資料!A31=INDEX(ERP資料!$A$2:$A30, MATCH(MAX(F$2:F30), F$2:F30, 0)), MAX(F$2:F30)+1, MAX(F$2:F30)+2)))</f>
        <v/>
      </c>
      <c r="G31">
        <f>IF(NOT(AND(C31=1, TRIM(ERP資料!T31)="捲筒")), 0, IF(MAX(G$2:G30)=0, 1, IF(ERP資料!A31=INDEX(ERP資料!$A$2:$A30, MATCH(MAX(G$2:G30), G$2:G30, 0)), MAX(G$2:G30)+1, MAX(G$2:G30)+2)))</f>
        <v/>
      </c>
      <c r="H31">
        <f>IF(OR(ERP資料!C31="",ERP資料!D31=""),0,ERP資料!D31-ERP資料!C31+1)</f>
        <v/>
      </c>
    </row>
    <row r="32">
      <c r="A32" t="n">
        <v>32</v>
      </c>
      <c r="B32">
        <f>IF(ERP資料!A32="","",ERP資料!A32&amp;"|"&amp;ERP資料!E32&amp;"|"&amp;ERP資料!F32&amp;"|"&amp;ERP資料!G32&amp;"|"&amp;ERP資料!H32&amp;"|"&amp;ERP資料!O32)</f>
        <v/>
      </c>
      <c r="C32">
        <f>IF(B32="",0,IF(COUNTIF(B$2:B31,B32)=0,1,0))</f>
        <v/>
      </c>
      <c r="D32">
        <f>IF(B32="",0,SUMIFS($H$2:$H$801,$B$2:$B$801,B32))</f>
        <v/>
      </c>
      <c r="E32">
        <f>IF(NOT(AND(C32=1, TRIM(ERP資料!T32)="平板")), 0, IF(MAX(E$2:E31)=0, 1, IF(ERP資料!A32=INDEX(ERP資料!$A$2:$A31, MATCH(MAX(E$2:E31), E$2:E31, 0)), MAX(E$2:E31)+1, MAX(E$2:E31)+2)))</f>
        <v/>
      </c>
      <c r="F32">
        <f>IF(NOT(AND(C32=1, TRIM(ERP資料!T32)="平板")), 0, IF(MAX(F$2:F31)=0, 1, IF(ERP資料!A32=INDEX(ERP資料!$A$2:$A31, MATCH(MAX(F$2:F31), F$2:F31, 0)), MAX(F$2:F31)+1, MAX(F$2:F31)+2)))</f>
        <v/>
      </c>
      <c r="G32">
        <f>IF(NOT(AND(C32=1, TRIM(ERP資料!T32)="捲筒")), 0, IF(MAX(G$2:G31)=0, 1, IF(ERP資料!A32=INDEX(ERP資料!$A$2:$A31, MATCH(MAX(G$2:G31), G$2:G31, 0)), MAX(G$2:G31)+1, MAX(G$2:G31)+2)))</f>
        <v/>
      </c>
      <c r="H32">
        <f>IF(OR(ERP資料!C32="",ERP資料!D32=""),0,ERP資料!D32-ERP資料!C32+1)</f>
        <v/>
      </c>
    </row>
    <row r="33">
      <c r="A33" t="n">
        <v>33</v>
      </c>
      <c r="B33">
        <f>IF(ERP資料!A33="","",ERP資料!A33&amp;"|"&amp;ERP資料!E33&amp;"|"&amp;ERP資料!F33&amp;"|"&amp;ERP資料!G33&amp;"|"&amp;ERP資料!H33&amp;"|"&amp;ERP資料!O33)</f>
        <v/>
      </c>
      <c r="C33">
        <f>IF(B33="",0,IF(COUNTIF(B$2:B32,B33)=0,1,0))</f>
        <v/>
      </c>
      <c r="D33">
        <f>IF(B33="",0,SUMIFS($H$2:$H$801,$B$2:$B$801,B33))</f>
        <v/>
      </c>
      <c r="E33">
        <f>IF(NOT(AND(C33=1, TRIM(ERP資料!T33)="平板")), 0, IF(MAX(E$2:E32)=0, 1, IF(ERP資料!A33=INDEX(ERP資料!$A$2:$A32, MATCH(MAX(E$2:E32), E$2:E32, 0)), MAX(E$2:E32)+1, MAX(E$2:E32)+2)))</f>
        <v/>
      </c>
      <c r="F33">
        <f>IF(NOT(AND(C33=1, TRIM(ERP資料!T33)="平板")), 0, IF(MAX(F$2:F32)=0, 1, IF(ERP資料!A33=INDEX(ERP資料!$A$2:$A32, MATCH(MAX(F$2:F32), F$2:F32, 0)), MAX(F$2:F32)+1, MAX(F$2:F32)+2)))</f>
        <v/>
      </c>
      <c r="G33">
        <f>IF(NOT(AND(C33=1, TRIM(ERP資料!T33)="捲筒")), 0, IF(MAX(G$2:G32)=0, 1, IF(ERP資料!A33=INDEX(ERP資料!$A$2:$A32, MATCH(MAX(G$2:G32), G$2:G32, 0)), MAX(G$2:G32)+1, MAX(G$2:G32)+2)))</f>
        <v/>
      </c>
      <c r="H33">
        <f>IF(OR(ERP資料!C33="",ERP資料!D33=""),0,ERP資料!D33-ERP資料!C33+1)</f>
        <v/>
      </c>
    </row>
    <row r="34">
      <c r="A34" t="n">
        <v>34</v>
      </c>
      <c r="B34">
        <f>IF(ERP資料!A34="","",ERP資料!A34&amp;"|"&amp;ERP資料!E34&amp;"|"&amp;ERP資料!F34&amp;"|"&amp;ERP資料!G34&amp;"|"&amp;ERP資料!H34&amp;"|"&amp;ERP資料!O34)</f>
        <v/>
      </c>
      <c r="C34">
        <f>IF(B34="",0,IF(COUNTIF(B$2:B33,B34)=0,1,0))</f>
        <v/>
      </c>
      <c r="D34">
        <f>IF(B34="",0,SUMIFS($H$2:$H$801,$B$2:$B$801,B34))</f>
        <v/>
      </c>
      <c r="E34">
        <f>IF(NOT(AND(C34=1, TRIM(ERP資料!T34)="平板")), 0, IF(MAX(E$2:E33)=0, 1, IF(ERP資料!A34=INDEX(ERP資料!$A$2:$A33, MATCH(MAX(E$2:E33), E$2:E33, 0)), MAX(E$2:E33)+1, MAX(E$2:E33)+2)))</f>
        <v/>
      </c>
      <c r="F34">
        <f>IF(NOT(AND(C34=1, TRIM(ERP資料!T34)="平板")), 0, IF(MAX(F$2:F33)=0, 1, IF(ERP資料!A34=INDEX(ERP資料!$A$2:$A33, MATCH(MAX(F$2:F33), F$2:F33, 0)), MAX(F$2:F33)+1, MAX(F$2:F33)+2)))</f>
        <v/>
      </c>
      <c r="G34">
        <f>IF(NOT(AND(C34=1, TRIM(ERP資料!T34)="捲筒")), 0, IF(MAX(G$2:G33)=0, 1, IF(ERP資料!A34=INDEX(ERP資料!$A$2:$A33, MATCH(MAX(G$2:G33), G$2:G33, 0)), MAX(G$2:G33)+1, MAX(G$2:G33)+2)))</f>
        <v/>
      </c>
      <c r="H34">
        <f>IF(OR(ERP資料!C34="",ERP資料!D34=""),0,ERP資料!D34-ERP資料!C34+1)</f>
        <v/>
      </c>
    </row>
    <row r="35">
      <c r="A35" t="n">
        <v>35</v>
      </c>
      <c r="B35">
        <f>IF(ERP資料!A35="","",ERP資料!A35&amp;"|"&amp;ERP資料!E35&amp;"|"&amp;ERP資料!F35&amp;"|"&amp;ERP資料!G35&amp;"|"&amp;ERP資料!H35&amp;"|"&amp;ERP資料!O35)</f>
        <v/>
      </c>
      <c r="C35">
        <f>IF(B35="",0,IF(COUNTIF(B$2:B34,B35)=0,1,0))</f>
        <v/>
      </c>
      <c r="D35">
        <f>IF(B35="",0,SUMIFS($H$2:$H$801,$B$2:$B$801,B35))</f>
        <v/>
      </c>
      <c r="E35">
        <f>IF(NOT(AND(C35=1, TRIM(ERP資料!T35)="平板")), 0, IF(MAX(E$2:E34)=0, 1, IF(ERP資料!A35=INDEX(ERP資料!$A$2:$A34, MATCH(MAX(E$2:E34), E$2:E34, 0)), MAX(E$2:E34)+1, MAX(E$2:E34)+2)))</f>
        <v/>
      </c>
      <c r="F35">
        <f>IF(NOT(AND(C35=1, TRIM(ERP資料!T35)="平板")), 0, IF(MAX(F$2:F34)=0, 1, IF(ERP資料!A35=INDEX(ERP資料!$A$2:$A34, MATCH(MAX(F$2:F34), F$2:F34, 0)), MAX(F$2:F34)+1, MAX(F$2:F34)+2)))</f>
        <v/>
      </c>
      <c r="G35">
        <f>IF(NOT(AND(C35=1, TRIM(ERP資料!T35)="捲筒")), 0, IF(MAX(G$2:G34)=0, 1, IF(ERP資料!A35=INDEX(ERP資料!$A$2:$A34, MATCH(MAX(G$2:G34), G$2:G34, 0)), MAX(G$2:G34)+1, MAX(G$2:G34)+2)))</f>
        <v/>
      </c>
      <c r="H35">
        <f>IF(OR(ERP資料!C35="",ERP資料!D35=""),0,ERP資料!D35-ERP資料!C35+1)</f>
        <v/>
      </c>
    </row>
    <row r="36">
      <c r="A36" t="n">
        <v>36</v>
      </c>
      <c r="B36">
        <f>IF(ERP資料!A36="","",ERP資料!A36&amp;"|"&amp;ERP資料!E36&amp;"|"&amp;ERP資料!F36&amp;"|"&amp;ERP資料!G36&amp;"|"&amp;ERP資料!H36&amp;"|"&amp;ERP資料!O36)</f>
        <v/>
      </c>
      <c r="C36">
        <f>IF(B36="",0,IF(COUNTIF(B$2:B35,B36)=0,1,0))</f>
        <v/>
      </c>
      <c r="D36">
        <f>IF(B36="",0,SUMIFS($H$2:$H$801,$B$2:$B$801,B36))</f>
        <v/>
      </c>
      <c r="E36">
        <f>IF(NOT(AND(C36=1, TRIM(ERP資料!T36)="平板")), 0, IF(MAX(E$2:E35)=0, 1, IF(ERP資料!A36=INDEX(ERP資料!$A$2:$A35, MATCH(MAX(E$2:E35), E$2:E35, 0)), MAX(E$2:E35)+1, MAX(E$2:E35)+2)))</f>
        <v/>
      </c>
      <c r="F36">
        <f>IF(NOT(AND(C36=1, TRIM(ERP資料!T36)="平板")), 0, IF(MAX(F$2:F35)=0, 1, IF(ERP資料!A36=INDEX(ERP資料!$A$2:$A35, MATCH(MAX(F$2:F35), F$2:F35, 0)), MAX(F$2:F35)+1, MAX(F$2:F35)+2)))</f>
        <v/>
      </c>
      <c r="G36">
        <f>IF(NOT(AND(C36=1, TRIM(ERP資料!T36)="捲筒")), 0, IF(MAX(G$2:G35)=0, 1, IF(ERP資料!A36=INDEX(ERP資料!$A$2:$A35, MATCH(MAX(G$2:G35), G$2:G35, 0)), MAX(G$2:G35)+1, MAX(G$2:G35)+2)))</f>
        <v/>
      </c>
      <c r="H36">
        <f>IF(OR(ERP資料!C36="",ERP資料!D36=""),0,ERP資料!D36-ERP資料!C36+1)</f>
        <v/>
      </c>
    </row>
    <row r="37">
      <c r="A37" t="n">
        <v>37</v>
      </c>
      <c r="B37">
        <f>IF(ERP資料!A37="","",ERP資料!A37&amp;"|"&amp;ERP資料!E37&amp;"|"&amp;ERP資料!F37&amp;"|"&amp;ERP資料!G37&amp;"|"&amp;ERP資料!H37&amp;"|"&amp;ERP資料!O37)</f>
        <v/>
      </c>
      <c r="C37">
        <f>IF(B37="",0,IF(COUNTIF(B$2:B36,B37)=0,1,0))</f>
        <v/>
      </c>
      <c r="D37">
        <f>IF(B37="",0,SUMIFS($H$2:$H$801,$B$2:$B$801,B37))</f>
        <v/>
      </c>
      <c r="E37">
        <f>IF(NOT(AND(C37=1, TRIM(ERP資料!T37)="平板")), 0, IF(MAX(E$2:E36)=0, 1, IF(ERP資料!A37=INDEX(ERP資料!$A$2:$A36, MATCH(MAX(E$2:E36), E$2:E36, 0)), MAX(E$2:E36)+1, MAX(E$2:E36)+2)))</f>
        <v/>
      </c>
      <c r="F37">
        <f>IF(NOT(AND(C37=1, TRIM(ERP資料!T37)="平板")), 0, IF(MAX(F$2:F36)=0, 1, IF(ERP資料!A37=INDEX(ERP資料!$A$2:$A36, MATCH(MAX(F$2:F36), F$2:F36, 0)), MAX(F$2:F36)+1, MAX(F$2:F36)+2)))</f>
        <v/>
      </c>
      <c r="G37">
        <f>IF(NOT(AND(C37=1, TRIM(ERP資料!T37)="捲筒")), 0, IF(MAX(G$2:G36)=0, 1, IF(ERP資料!A37=INDEX(ERP資料!$A$2:$A36, MATCH(MAX(G$2:G36), G$2:G36, 0)), MAX(G$2:G36)+1, MAX(G$2:G36)+2)))</f>
        <v/>
      </c>
      <c r="H37">
        <f>IF(OR(ERP資料!C37="",ERP資料!D37=""),0,ERP資料!D37-ERP資料!C37+1)</f>
        <v/>
      </c>
    </row>
    <row r="38">
      <c r="A38" t="n">
        <v>38</v>
      </c>
      <c r="B38">
        <f>IF(ERP資料!A38="","",ERP資料!A38&amp;"|"&amp;ERP資料!E38&amp;"|"&amp;ERP資料!F38&amp;"|"&amp;ERP資料!G38&amp;"|"&amp;ERP資料!H38&amp;"|"&amp;ERP資料!O38)</f>
        <v/>
      </c>
      <c r="C38">
        <f>IF(B38="",0,IF(COUNTIF(B$2:B37,B38)=0,1,0))</f>
        <v/>
      </c>
      <c r="D38">
        <f>IF(B38="",0,SUMIFS($H$2:$H$801,$B$2:$B$801,B38))</f>
        <v/>
      </c>
      <c r="E38">
        <f>IF(NOT(AND(C38=1, TRIM(ERP資料!T38)="平板")), 0, IF(MAX(E$2:E37)=0, 1, IF(ERP資料!A38=INDEX(ERP資料!$A$2:$A37, MATCH(MAX(E$2:E37), E$2:E37, 0)), MAX(E$2:E37)+1, MAX(E$2:E37)+2)))</f>
        <v/>
      </c>
      <c r="F38">
        <f>IF(NOT(AND(C38=1, TRIM(ERP資料!T38)="平板")), 0, IF(MAX(F$2:F37)=0, 1, IF(ERP資料!A38=INDEX(ERP資料!$A$2:$A37, MATCH(MAX(F$2:F37), F$2:F37, 0)), MAX(F$2:F37)+1, MAX(F$2:F37)+2)))</f>
        <v/>
      </c>
      <c r="G38">
        <f>IF(NOT(AND(C38=1, TRIM(ERP資料!T38)="捲筒")), 0, IF(MAX(G$2:G37)=0, 1, IF(ERP資料!A38=INDEX(ERP資料!$A$2:$A37, MATCH(MAX(G$2:G37), G$2:G37, 0)), MAX(G$2:G37)+1, MAX(G$2:G37)+2)))</f>
        <v/>
      </c>
      <c r="H38">
        <f>IF(OR(ERP資料!C38="",ERP資料!D38=""),0,ERP資料!D38-ERP資料!C38+1)</f>
        <v/>
      </c>
    </row>
    <row r="39">
      <c r="A39" t="n">
        <v>39</v>
      </c>
      <c r="B39">
        <f>IF(ERP資料!A39="","",ERP資料!A39&amp;"|"&amp;ERP資料!E39&amp;"|"&amp;ERP資料!F39&amp;"|"&amp;ERP資料!G39&amp;"|"&amp;ERP資料!H39&amp;"|"&amp;ERP資料!O39)</f>
        <v/>
      </c>
      <c r="C39">
        <f>IF(B39="",0,IF(COUNTIF(B$2:B38,B39)=0,1,0))</f>
        <v/>
      </c>
      <c r="D39">
        <f>IF(B39="",0,SUMIFS($H$2:$H$801,$B$2:$B$801,B39))</f>
        <v/>
      </c>
      <c r="E39">
        <f>IF(NOT(AND(C39=1, TRIM(ERP資料!T39)="平板")), 0, IF(MAX(E$2:E38)=0, 1, IF(ERP資料!A39=INDEX(ERP資料!$A$2:$A38, MATCH(MAX(E$2:E38), E$2:E38, 0)), MAX(E$2:E38)+1, MAX(E$2:E38)+2)))</f>
        <v/>
      </c>
      <c r="F39">
        <f>IF(NOT(AND(C39=1, TRIM(ERP資料!T39)="平板")), 0, IF(MAX(F$2:F38)=0, 1, IF(ERP資料!A39=INDEX(ERP資料!$A$2:$A38, MATCH(MAX(F$2:F38), F$2:F38, 0)), MAX(F$2:F38)+1, MAX(F$2:F38)+2)))</f>
        <v/>
      </c>
      <c r="G39">
        <f>IF(NOT(AND(C39=1, TRIM(ERP資料!T39)="捲筒")), 0, IF(MAX(G$2:G38)=0, 1, IF(ERP資料!A39=INDEX(ERP資料!$A$2:$A38, MATCH(MAX(G$2:G38), G$2:G38, 0)), MAX(G$2:G38)+1, MAX(G$2:G38)+2)))</f>
        <v/>
      </c>
      <c r="H39">
        <f>IF(OR(ERP資料!C39="",ERP資料!D39=""),0,ERP資料!D39-ERP資料!C39+1)</f>
        <v/>
      </c>
    </row>
    <row r="40">
      <c r="A40" t="n">
        <v>40</v>
      </c>
      <c r="B40">
        <f>IF(ERP資料!A40="","",ERP資料!A40&amp;"|"&amp;ERP資料!E40&amp;"|"&amp;ERP資料!F40&amp;"|"&amp;ERP資料!G40&amp;"|"&amp;ERP資料!H40&amp;"|"&amp;ERP資料!O40)</f>
        <v/>
      </c>
      <c r="C40">
        <f>IF(B40="",0,IF(COUNTIF(B$2:B39,B40)=0,1,0))</f>
        <v/>
      </c>
      <c r="D40">
        <f>IF(B40="",0,SUMIFS($H$2:$H$801,$B$2:$B$801,B40))</f>
        <v/>
      </c>
      <c r="E40">
        <f>IF(NOT(AND(C40=1, TRIM(ERP資料!T40)="平板")), 0, IF(MAX(E$2:E39)=0, 1, IF(ERP資料!A40=INDEX(ERP資料!$A$2:$A39, MATCH(MAX(E$2:E39), E$2:E39, 0)), MAX(E$2:E39)+1, MAX(E$2:E39)+2)))</f>
        <v/>
      </c>
      <c r="F40">
        <f>IF(NOT(AND(C40=1, TRIM(ERP資料!T40)="平板")), 0, IF(MAX(F$2:F39)=0, 1, IF(ERP資料!A40=INDEX(ERP資料!$A$2:$A39, MATCH(MAX(F$2:F39), F$2:F39, 0)), MAX(F$2:F39)+1, MAX(F$2:F39)+2)))</f>
        <v/>
      </c>
      <c r="G40">
        <f>IF(NOT(AND(C40=1, TRIM(ERP資料!T40)="捲筒")), 0, IF(MAX(G$2:G39)=0, 1, IF(ERP資料!A40=INDEX(ERP資料!$A$2:$A39, MATCH(MAX(G$2:G39), G$2:G39, 0)), MAX(G$2:G39)+1, MAX(G$2:G39)+2)))</f>
        <v/>
      </c>
      <c r="H40">
        <f>IF(OR(ERP資料!C40="",ERP資料!D40=""),0,ERP資料!D40-ERP資料!C40+1)</f>
        <v/>
      </c>
    </row>
    <row r="41">
      <c r="A41" t="n">
        <v>41</v>
      </c>
      <c r="B41">
        <f>IF(ERP資料!A41="","",ERP資料!A41&amp;"|"&amp;ERP資料!E41&amp;"|"&amp;ERP資料!F41&amp;"|"&amp;ERP資料!G41&amp;"|"&amp;ERP資料!H41&amp;"|"&amp;ERP資料!O41)</f>
        <v/>
      </c>
      <c r="C41">
        <f>IF(B41="",0,IF(COUNTIF(B$2:B40,B41)=0,1,0))</f>
        <v/>
      </c>
      <c r="D41">
        <f>IF(B41="",0,SUMIFS($H$2:$H$801,$B$2:$B$801,B41))</f>
        <v/>
      </c>
      <c r="E41">
        <f>IF(NOT(AND(C41=1, TRIM(ERP資料!T41)="平板")), 0, IF(MAX(E$2:E40)=0, 1, IF(ERP資料!A41=INDEX(ERP資料!$A$2:$A40, MATCH(MAX(E$2:E40), E$2:E40, 0)), MAX(E$2:E40)+1, MAX(E$2:E40)+2)))</f>
        <v/>
      </c>
      <c r="F41">
        <f>IF(NOT(AND(C41=1, TRIM(ERP資料!T41)="平板")), 0, IF(MAX(F$2:F40)=0, 1, IF(ERP資料!A41=INDEX(ERP資料!$A$2:$A40, MATCH(MAX(F$2:F40), F$2:F40, 0)), MAX(F$2:F40)+1, MAX(F$2:F40)+2)))</f>
        <v/>
      </c>
      <c r="G41">
        <f>IF(NOT(AND(C41=1, TRIM(ERP資料!T41)="捲筒")), 0, IF(MAX(G$2:G40)=0, 1, IF(ERP資料!A41=INDEX(ERP資料!$A$2:$A40, MATCH(MAX(G$2:G40), G$2:G40, 0)), MAX(G$2:G40)+1, MAX(G$2:G40)+2)))</f>
        <v/>
      </c>
      <c r="H41">
        <f>IF(OR(ERP資料!C41="",ERP資料!D41=""),0,ERP資料!D41-ERP資料!C41+1)</f>
        <v/>
      </c>
    </row>
    <row r="42">
      <c r="A42" t="n">
        <v>42</v>
      </c>
      <c r="B42">
        <f>IF(ERP資料!A42="","",ERP資料!A42&amp;"|"&amp;ERP資料!E42&amp;"|"&amp;ERP資料!F42&amp;"|"&amp;ERP資料!G42&amp;"|"&amp;ERP資料!H42&amp;"|"&amp;ERP資料!O42)</f>
        <v/>
      </c>
      <c r="C42">
        <f>IF(B42="",0,IF(COUNTIF(B$2:B41,B42)=0,1,0))</f>
        <v/>
      </c>
      <c r="D42">
        <f>IF(B42="",0,SUMIFS($H$2:$H$801,$B$2:$B$801,B42))</f>
        <v/>
      </c>
      <c r="E42">
        <f>IF(NOT(AND(C42=1, TRIM(ERP資料!T42)="平板")), 0, IF(MAX(E$2:E41)=0, 1, IF(ERP資料!A42=INDEX(ERP資料!$A$2:$A41, MATCH(MAX(E$2:E41), E$2:E41, 0)), MAX(E$2:E41)+1, MAX(E$2:E41)+2)))</f>
        <v/>
      </c>
      <c r="F42">
        <f>IF(NOT(AND(C42=1, TRIM(ERP資料!T42)="平板")), 0, IF(MAX(F$2:F41)=0, 1, IF(ERP資料!A42=INDEX(ERP資料!$A$2:$A41, MATCH(MAX(F$2:F41), F$2:F41, 0)), MAX(F$2:F41)+1, MAX(F$2:F41)+2)))</f>
        <v/>
      </c>
      <c r="G42">
        <f>IF(NOT(AND(C42=1, TRIM(ERP資料!T42)="捲筒")), 0, IF(MAX(G$2:G41)=0, 1, IF(ERP資料!A42=INDEX(ERP資料!$A$2:$A41, MATCH(MAX(G$2:G41), G$2:G41, 0)), MAX(G$2:G41)+1, MAX(G$2:G41)+2)))</f>
        <v/>
      </c>
      <c r="H42">
        <f>IF(OR(ERP資料!C42="",ERP資料!D42=""),0,ERP資料!D42-ERP資料!C42+1)</f>
        <v/>
      </c>
    </row>
    <row r="43">
      <c r="A43" t="n">
        <v>43</v>
      </c>
      <c r="B43">
        <f>IF(ERP資料!A43="","",ERP資料!A43&amp;"|"&amp;ERP資料!E43&amp;"|"&amp;ERP資料!F43&amp;"|"&amp;ERP資料!G43&amp;"|"&amp;ERP資料!H43&amp;"|"&amp;ERP資料!O43)</f>
        <v/>
      </c>
      <c r="C43">
        <f>IF(B43="",0,IF(COUNTIF(B$2:B42,B43)=0,1,0))</f>
        <v/>
      </c>
      <c r="D43">
        <f>IF(B43="",0,SUMIFS($H$2:$H$801,$B$2:$B$801,B43))</f>
        <v/>
      </c>
      <c r="E43">
        <f>IF(NOT(AND(C43=1, TRIM(ERP資料!T43)="平板")), 0, IF(MAX(E$2:E42)=0, 1, IF(ERP資料!A43=INDEX(ERP資料!$A$2:$A42, MATCH(MAX(E$2:E42), E$2:E42, 0)), MAX(E$2:E42)+1, MAX(E$2:E42)+2)))</f>
        <v/>
      </c>
      <c r="F43">
        <f>IF(NOT(AND(C43=1, TRIM(ERP資料!T43)="平板")), 0, IF(MAX(F$2:F42)=0, 1, IF(ERP資料!A43=INDEX(ERP資料!$A$2:$A42, MATCH(MAX(F$2:F42), F$2:F42, 0)), MAX(F$2:F42)+1, MAX(F$2:F42)+2)))</f>
        <v/>
      </c>
      <c r="G43">
        <f>IF(NOT(AND(C43=1, TRIM(ERP資料!T43)="捲筒")), 0, IF(MAX(G$2:G42)=0, 1, IF(ERP資料!A43=INDEX(ERP資料!$A$2:$A42, MATCH(MAX(G$2:G42), G$2:G42, 0)), MAX(G$2:G42)+1, MAX(G$2:G42)+2)))</f>
        <v/>
      </c>
      <c r="H43">
        <f>IF(OR(ERP資料!C43="",ERP資料!D43=""),0,ERP資料!D43-ERP資料!C43+1)</f>
        <v/>
      </c>
    </row>
    <row r="44">
      <c r="A44" t="n">
        <v>44</v>
      </c>
      <c r="B44">
        <f>IF(ERP資料!A44="","",ERP資料!A44&amp;"|"&amp;ERP資料!E44&amp;"|"&amp;ERP資料!F44&amp;"|"&amp;ERP資料!G44&amp;"|"&amp;ERP資料!H44&amp;"|"&amp;ERP資料!O44)</f>
        <v/>
      </c>
      <c r="C44">
        <f>IF(B44="",0,IF(COUNTIF(B$2:B43,B44)=0,1,0))</f>
        <v/>
      </c>
      <c r="D44">
        <f>IF(B44="",0,SUMIFS($H$2:$H$801,$B$2:$B$801,B44))</f>
        <v/>
      </c>
      <c r="E44">
        <f>IF(NOT(AND(C44=1, TRIM(ERP資料!T44)="平板")), 0, IF(MAX(E$2:E43)=0, 1, IF(ERP資料!A44=INDEX(ERP資料!$A$2:$A43, MATCH(MAX(E$2:E43), E$2:E43, 0)), MAX(E$2:E43)+1, MAX(E$2:E43)+2)))</f>
        <v/>
      </c>
      <c r="F44">
        <f>IF(NOT(AND(C44=1, TRIM(ERP資料!T44)="平板")), 0, IF(MAX(F$2:F43)=0, 1, IF(ERP資料!A44=INDEX(ERP資料!$A$2:$A43, MATCH(MAX(F$2:F43), F$2:F43, 0)), MAX(F$2:F43)+1, MAX(F$2:F43)+2)))</f>
        <v/>
      </c>
      <c r="G44">
        <f>IF(NOT(AND(C44=1, TRIM(ERP資料!T44)="捲筒")), 0, IF(MAX(G$2:G43)=0, 1, IF(ERP資料!A44=INDEX(ERP資料!$A$2:$A43, MATCH(MAX(G$2:G43), G$2:G43, 0)), MAX(G$2:G43)+1, MAX(G$2:G43)+2)))</f>
        <v/>
      </c>
      <c r="H44">
        <f>IF(OR(ERP資料!C44="",ERP資料!D44=""),0,ERP資料!D44-ERP資料!C44+1)</f>
        <v/>
      </c>
    </row>
    <row r="45">
      <c r="A45" t="n">
        <v>45</v>
      </c>
      <c r="B45">
        <f>IF(ERP資料!A45="","",ERP資料!A45&amp;"|"&amp;ERP資料!E45&amp;"|"&amp;ERP資料!F45&amp;"|"&amp;ERP資料!G45&amp;"|"&amp;ERP資料!H45&amp;"|"&amp;ERP資料!O45)</f>
        <v/>
      </c>
      <c r="C45">
        <f>IF(B45="",0,IF(COUNTIF(B$2:B44,B45)=0,1,0))</f>
        <v/>
      </c>
      <c r="D45">
        <f>IF(B45="",0,SUMIFS($H$2:$H$801,$B$2:$B$801,B45))</f>
        <v/>
      </c>
      <c r="E45">
        <f>IF(NOT(AND(C45=1, TRIM(ERP資料!T45)="平板")), 0, IF(MAX(E$2:E44)=0, 1, IF(ERP資料!A45=INDEX(ERP資料!$A$2:$A44, MATCH(MAX(E$2:E44), E$2:E44, 0)), MAX(E$2:E44)+1, MAX(E$2:E44)+2)))</f>
        <v/>
      </c>
      <c r="F45">
        <f>IF(NOT(AND(C45=1, TRIM(ERP資料!T45)="平板")), 0, IF(MAX(F$2:F44)=0, 1, IF(ERP資料!A45=INDEX(ERP資料!$A$2:$A44, MATCH(MAX(F$2:F44), F$2:F44, 0)), MAX(F$2:F44)+1, MAX(F$2:F44)+2)))</f>
        <v/>
      </c>
      <c r="G45">
        <f>IF(NOT(AND(C45=1, TRIM(ERP資料!T45)="捲筒")), 0, IF(MAX(G$2:G44)=0, 1, IF(ERP資料!A45=INDEX(ERP資料!$A$2:$A44, MATCH(MAX(G$2:G44), G$2:G44, 0)), MAX(G$2:G44)+1, MAX(G$2:G44)+2)))</f>
        <v/>
      </c>
      <c r="H45">
        <f>IF(OR(ERP資料!C45="",ERP資料!D45=""),0,ERP資料!D45-ERP資料!C45+1)</f>
        <v/>
      </c>
    </row>
    <row r="46">
      <c r="A46" t="n">
        <v>46</v>
      </c>
      <c r="B46">
        <f>IF(ERP資料!A46="","",ERP資料!A46&amp;"|"&amp;ERP資料!E46&amp;"|"&amp;ERP資料!F46&amp;"|"&amp;ERP資料!G46&amp;"|"&amp;ERP資料!H46&amp;"|"&amp;ERP資料!O46)</f>
        <v/>
      </c>
      <c r="C46">
        <f>IF(B46="",0,IF(COUNTIF(B$2:B45,B46)=0,1,0))</f>
        <v/>
      </c>
      <c r="D46">
        <f>IF(B46="",0,SUMIFS($H$2:$H$801,$B$2:$B$801,B46))</f>
        <v/>
      </c>
      <c r="E46">
        <f>IF(NOT(AND(C46=1, TRIM(ERP資料!T46)="平板")), 0, IF(MAX(E$2:E45)=0, 1, IF(ERP資料!A46=INDEX(ERP資料!$A$2:$A45, MATCH(MAX(E$2:E45), E$2:E45, 0)), MAX(E$2:E45)+1, MAX(E$2:E45)+2)))</f>
        <v/>
      </c>
      <c r="F46">
        <f>IF(NOT(AND(C46=1, TRIM(ERP資料!T46)="平板")), 0, IF(MAX(F$2:F45)=0, 1, IF(ERP資料!A46=INDEX(ERP資料!$A$2:$A45, MATCH(MAX(F$2:F45), F$2:F45, 0)), MAX(F$2:F45)+1, MAX(F$2:F45)+2)))</f>
        <v/>
      </c>
      <c r="G46">
        <f>IF(NOT(AND(C46=1, TRIM(ERP資料!T46)="捲筒")), 0, IF(MAX(G$2:G45)=0, 1, IF(ERP資料!A46=INDEX(ERP資料!$A$2:$A45, MATCH(MAX(G$2:G45), G$2:G45, 0)), MAX(G$2:G45)+1, MAX(G$2:G45)+2)))</f>
        <v/>
      </c>
      <c r="H46">
        <f>IF(OR(ERP資料!C46="",ERP資料!D46=""),0,ERP資料!D46-ERP資料!C46+1)</f>
        <v/>
      </c>
    </row>
    <row r="47">
      <c r="A47" t="n">
        <v>47</v>
      </c>
      <c r="B47">
        <f>IF(ERP資料!A47="","",ERP資料!A47&amp;"|"&amp;ERP資料!E47&amp;"|"&amp;ERP資料!F47&amp;"|"&amp;ERP資料!G47&amp;"|"&amp;ERP資料!H47&amp;"|"&amp;ERP資料!O47)</f>
        <v/>
      </c>
      <c r="C47">
        <f>IF(B47="",0,IF(COUNTIF(B$2:B46,B47)=0,1,0))</f>
        <v/>
      </c>
      <c r="D47">
        <f>IF(B47="",0,SUMIFS($H$2:$H$801,$B$2:$B$801,B47))</f>
        <v/>
      </c>
      <c r="E47">
        <f>IF(NOT(AND(C47=1, TRIM(ERP資料!T47)="平板")), 0, IF(MAX(E$2:E46)=0, 1, IF(ERP資料!A47=INDEX(ERP資料!$A$2:$A46, MATCH(MAX(E$2:E46), E$2:E46, 0)), MAX(E$2:E46)+1, MAX(E$2:E46)+2)))</f>
        <v/>
      </c>
      <c r="F47">
        <f>IF(NOT(AND(C47=1, TRIM(ERP資料!T47)="平板")), 0, IF(MAX(F$2:F46)=0, 1, IF(ERP資料!A47=INDEX(ERP資料!$A$2:$A46, MATCH(MAX(F$2:F46), F$2:F46, 0)), MAX(F$2:F46)+1, MAX(F$2:F46)+2)))</f>
        <v/>
      </c>
      <c r="G47">
        <f>IF(NOT(AND(C47=1, TRIM(ERP資料!T47)="捲筒")), 0, IF(MAX(G$2:G46)=0, 1, IF(ERP資料!A47=INDEX(ERP資料!$A$2:$A46, MATCH(MAX(G$2:G46), G$2:G46, 0)), MAX(G$2:G46)+1, MAX(G$2:G46)+2)))</f>
        <v/>
      </c>
      <c r="H47">
        <f>IF(OR(ERP資料!C47="",ERP資料!D47=""),0,ERP資料!D47-ERP資料!C47+1)</f>
        <v/>
      </c>
    </row>
    <row r="48">
      <c r="A48" t="n">
        <v>48</v>
      </c>
      <c r="B48">
        <f>IF(ERP資料!A48="","",ERP資料!A48&amp;"|"&amp;ERP資料!E48&amp;"|"&amp;ERP資料!F48&amp;"|"&amp;ERP資料!G48&amp;"|"&amp;ERP資料!H48&amp;"|"&amp;ERP資料!O48)</f>
        <v/>
      </c>
      <c r="C48">
        <f>IF(B48="",0,IF(COUNTIF(B$2:B47,B48)=0,1,0))</f>
        <v/>
      </c>
      <c r="D48">
        <f>IF(B48="",0,SUMIFS($H$2:$H$801,$B$2:$B$801,B48))</f>
        <v/>
      </c>
      <c r="E48">
        <f>IF(NOT(AND(C48=1, TRIM(ERP資料!T48)="平板")), 0, IF(MAX(E$2:E47)=0, 1, IF(ERP資料!A48=INDEX(ERP資料!$A$2:$A47, MATCH(MAX(E$2:E47), E$2:E47, 0)), MAX(E$2:E47)+1, MAX(E$2:E47)+2)))</f>
        <v/>
      </c>
      <c r="F48">
        <f>IF(NOT(AND(C48=1, TRIM(ERP資料!T48)="平板")), 0, IF(MAX(F$2:F47)=0, 1, IF(ERP資料!A48=INDEX(ERP資料!$A$2:$A47, MATCH(MAX(F$2:F47), F$2:F47, 0)), MAX(F$2:F47)+1, MAX(F$2:F47)+2)))</f>
        <v/>
      </c>
      <c r="G48">
        <f>IF(NOT(AND(C48=1, TRIM(ERP資料!T48)="捲筒")), 0, IF(MAX(G$2:G47)=0, 1, IF(ERP資料!A48=INDEX(ERP資料!$A$2:$A47, MATCH(MAX(G$2:G47), G$2:G47, 0)), MAX(G$2:G47)+1, MAX(G$2:G47)+2)))</f>
        <v/>
      </c>
      <c r="H48">
        <f>IF(OR(ERP資料!C48="",ERP資料!D48=""),0,ERP資料!D48-ERP資料!C48+1)</f>
        <v/>
      </c>
    </row>
    <row r="49">
      <c r="A49" t="n">
        <v>49</v>
      </c>
      <c r="B49">
        <f>IF(ERP資料!A49="","",ERP資料!A49&amp;"|"&amp;ERP資料!E49&amp;"|"&amp;ERP資料!F49&amp;"|"&amp;ERP資料!G49&amp;"|"&amp;ERP資料!H49&amp;"|"&amp;ERP資料!O49)</f>
        <v/>
      </c>
      <c r="C49">
        <f>IF(B49="",0,IF(COUNTIF(B$2:B48,B49)=0,1,0))</f>
        <v/>
      </c>
      <c r="D49">
        <f>IF(B49="",0,SUMIFS($H$2:$H$801,$B$2:$B$801,B49))</f>
        <v/>
      </c>
      <c r="E49">
        <f>IF(NOT(AND(C49=1, TRIM(ERP資料!T49)="平板")), 0, IF(MAX(E$2:E48)=0, 1, IF(ERP資料!A49=INDEX(ERP資料!$A$2:$A48, MATCH(MAX(E$2:E48), E$2:E48, 0)), MAX(E$2:E48)+1, MAX(E$2:E48)+2)))</f>
        <v/>
      </c>
      <c r="F49">
        <f>IF(NOT(AND(C49=1, TRIM(ERP資料!T49)="平板")), 0, IF(MAX(F$2:F48)=0, 1, IF(ERP資料!A49=INDEX(ERP資料!$A$2:$A48, MATCH(MAX(F$2:F48), F$2:F48, 0)), MAX(F$2:F48)+1, MAX(F$2:F48)+2)))</f>
        <v/>
      </c>
      <c r="G49">
        <f>IF(NOT(AND(C49=1, TRIM(ERP資料!T49)="捲筒")), 0, IF(MAX(G$2:G48)=0, 1, IF(ERP資料!A49=INDEX(ERP資料!$A$2:$A48, MATCH(MAX(G$2:G48), G$2:G48, 0)), MAX(G$2:G48)+1, MAX(G$2:G48)+2)))</f>
        <v/>
      </c>
      <c r="H49">
        <f>IF(OR(ERP資料!C49="",ERP資料!D49=""),0,ERP資料!D49-ERP資料!C49+1)</f>
        <v/>
      </c>
    </row>
    <row r="50">
      <c r="A50" t="n">
        <v>50</v>
      </c>
      <c r="B50">
        <f>IF(ERP資料!A50="","",ERP資料!A50&amp;"|"&amp;ERP資料!E50&amp;"|"&amp;ERP資料!F50&amp;"|"&amp;ERP資料!G50&amp;"|"&amp;ERP資料!H50&amp;"|"&amp;ERP資料!O50)</f>
        <v/>
      </c>
      <c r="C50">
        <f>IF(B50="",0,IF(COUNTIF(B$2:B49,B50)=0,1,0))</f>
        <v/>
      </c>
      <c r="D50">
        <f>IF(B50="",0,SUMIFS($H$2:$H$801,$B$2:$B$801,B50))</f>
        <v/>
      </c>
      <c r="E50">
        <f>IF(NOT(AND(C50=1, TRIM(ERP資料!T50)="平板")), 0, IF(MAX(E$2:E49)=0, 1, IF(ERP資料!A50=INDEX(ERP資料!$A$2:$A49, MATCH(MAX(E$2:E49), E$2:E49, 0)), MAX(E$2:E49)+1, MAX(E$2:E49)+2)))</f>
        <v/>
      </c>
      <c r="F50">
        <f>IF(NOT(AND(C50=1, TRIM(ERP資料!T50)="平板")), 0, IF(MAX(F$2:F49)=0, 1, IF(ERP資料!A50=INDEX(ERP資料!$A$2:$A49, MATCH(MAX(F$2:F49), F$2:F49, 0)), MAX(F$2:F49)+1, MAX(F$2:F49)+2)))</f>
        <v/>
      </c>
      <c r="G50">
        <f>IF(NOT(AND(C50=1, TRIM(ERP資料!T50)="捲筒")), 0, IF(MAX(G$2:G49)=0, 1, IF(ERP資料!A50=INDEX(ERP資料!$A$2:$A49, MATCH(MAX(G$2:G49), G$2:G49, 0)), MAX(G$2:G49)+1, MAX(G$2:G49)+2)))</f>
        <v/>
      </c>
      <c r="H50">
        <f>IF(OR(ERP資料!C50="",ERP資料!D50=""),0,ERP資料!D50-ERP資料!C50+1)</f>
        <v/>
      </c>
    </row>
    <row r="51">
      <c r="A51" t="n">
        <v>51</v>
      </c>
      <c r="B51">
        <f>IF(ERP資料!A51="","",ERP資料!A51&amp;"|"&amp;ERP資料!E51&amp;"|"&amp;ERP資料!F51&amp;"|"&amp;ERP資料!G51&amp;"|"&amp;ERP資料!H51&amp;"|"&amp;ERP資料!O51)</f>
        <v/>
      </c>
      <c r="C51">
        <f>IF(B51="",0,IF(COUNTIF(B$2:B50,B51)=0,1,0))</f>
        <v/>
      </c>
      <c r="D51">
        <f>IF(B51="",0,SUMIFS($H$2:$H$801,$B$2:$B$801,B51))</f>
        <v/>
      </c>
      <c r="E51">
        <f>IF(NOT(AND(C51=1, TRIM(ERP資料!T51)="平板")), 0, IF(MAX(E$2:E50)=0, 1, IF(ERP資料!A51=INDEX(ERP資料!$A$2:$A50, MATCH(MAX(E$2:E50), E$2:E50, 0)), MAX(E$2:E50)+1, MAX(E$2:E50)+2)))</f>
        <v/>
      </c>
      <c r="F51">
        <f>IF(NOT(AND(C51=1, TRIM(ERP資料!T51)="平板")), 0, IF(MAX(F$2:F50)=0, 1, IF(ERP資料!A51=INDEX(ERP資料!$A$2:$A50, MATCH(MAX(F$2:F50), F$2:F50, 0)), MAX(F$2:F50)+1, MAX(F$2:F50)+2)))</f>
        <v/>
      </c>
      <c r="G51">
        <f>IF(NOT(AND(C51=1, TRIM(ERP資料!T51)="捲筒")), 0, IF(MAX(G$2:G50)=0, 1, IF(ERP資料!A51=INDEX(ERP資料!$A$2:$A50, MATCH(MAX(G$2:G50), G$2:G50, 0)), MAX(G$2:G50)+1, MAX(G$2:G50)+2)))</f>
        <v/>
      </c>
      <c r="H51">
        <f>IF(OR(ERP資料!C51="",ERP資料!D51=""),0,ERP資料!D51-ERP資料!C51+1)</f>
        <v/>
      </c>
    </row>
    <row r="52">
      <c r="A52" t="n">
        <v>52</v>
      </c>
      <c r="B52">
        <f>IF(ERP資料!A52="","",ERP資料!A52&amp;"|"&amp;ERP資料!E52&amp;"|"&amp;ERP資料!F52&amp;"|"&amp;ERP資料!G52&amp;"|"&amp;ERP資料!H52&amp;"|"&amp;ERP資料!O52)</f>
        <v/>
      </c>
      <c r="C52">
        <f>IF(B52="",0,IF(COUNTIF(B$2:B51,B52)=0,1,0))</f>
        <v/>
      </c>
      <c r="D52">
        <f>IF(B52="",0,SUMIFS($H$2:$H$801,$B$2:$B$801,B52))</f>
        <v/>
      </c>
      <c r="E52">
        <f>IF(NOT(AND(C52=1, TRIM(ERP資料!T52)="平板")), 0, IF(MAX(E$2:E51)=0, 1, IF(ERP資料!A52=INDEX(ERP資料!$A$2:$A51, MATCH(MAX(E$2:E51), E$2:E51, 0)), MAX(E$2:E51)+1, MAX(E$2:E51)+2)))</f>
        <v/>
      </c>
      <c r="F52">
        <f>IF(NOT(AND(C52=1, TRIM(ERP資料!T52)="平板")), 0, IF(MAX(F$2:F51)=0, 1, IF(ERP資料!A52=INDEX(ERP資料!$A$2:$A51, MATCH(MAX(F$2:F51), F$2:F51, 0)), MAX(F$2:F51)+1, MAX(F$2:F51)+2)))</f>
        <v/>
      </c>
      <c r="G52">
        <f>IF(NOT(AND(C52=1, TRIM(ERP資料!T52)="捲筒")), 0, IF(MAX(G$2:G51)=0, 1, IF(ERP資料!A52=INDEX(ERP資料!$A$2:$A51, MATCH(MAX(G$2:G51), G$2:G51, 0)), MAX(G$2:G51)+1, MAX(G$2:G51)+2)))</f>
        <v/>
      </c>
      <c r="H52">
        <f>IF(OR(ERP資料!C52="",ERP資料!D52=""),0,ERP資料!D52-ERP資料!C52+1)</f>
        <v/>
      </c>
    </row>
    <row r="53">
      <c r="A53" t="n">
        <v>53</v>
      </c>
      <c r="B53">
        <f>IF(ERP資料!A53="","",ERP資料!A53&amp;"|"&amp;ERP資料!E53&amp;"|"&amp;ERP資料!F53&amp;"|"&amp;ERP資料!G53&amp;"|"&amp;ERP資料!H53&amp;"|"&amp;ERP資料!O53)</f>
        <v/>
      </c>
      <c r="C53">
        <f>IF(B53="",0,IF(COUNTIF(B$2:B52,B53)=0,1,0))</f>
        <v/>
      </c>
      <c r="D53">
        <f>IF(B53="",0,SUMIFS($H$2:$H$801,$B$2:$B$801,B53))</f>
        <v/>
      </c>
      <c r="E53">
        <f>IF(NOT(AND(C53=1, TRIM(ERP資料!T53)="平板")), 0, IF(MAX(E$2:E52)=0, 1, IF(ERP資料!A53=INDEX(ERP資料!$A$2:$A52, MATCH(MAX(E$2:E52), E$2:E52, 0)), MAX(E$2:E52)+1, MAX(E$2:E52)+2)))</f>
        <v/>
      </c>
      <c r="F53">
        <f>IF(NOT(AND(C53=1, TRIM(ERP資料!T53)="平板")), 0, IF(MAX(F$2:F52)=0, 1, IF(ERP資料!A53=INDEX(ERP資料!$A$2:$A52, MATCH(MAX(F$2:F52), F$2:F52, 0)), MAX(F$2:F52)+1, MAX(F$2:F52)+2)))</f>
        <v/>
      </c>
      <c r="G53">
        <f>IF(NOT(AND(C53=1, TRIM(ERP資料!T53)="捲筒")), 0, IF(MAX(G$2:G52)=0, 1, IF(ERP資料!A53=INDEX(ERP資料!$A$2:$A52, MATCH(MAX(G$2:G52), G$2:G52, 0)), MAX(G$2:G52)+1, MAX(G$2:G52)+2)))</f>
        <v/>
      </c>
      <c r="H53">
        <f>IF(OR(ERP資料!C53="",ERP資料!D53=""),0,ERP資料!D53-ERP資料!C53+1)</f>
        <v/>
      </c>
    </row>
    <row r="54">
      <c r="A54" t="n">
        <v>54</v>
      </c>
      <c r="B54">
        <f>IF(ERP資料!A54="","",ERP資料!A54&amp;"|"&amp;ERP資料!E54&amp;"|"&amp;ERP資料!F54&amp;"|"&amp;ERP資料!G54&amp;"|"&amp;ERP資料!H54&amp;"|"&amp;ERP資料!O54)</f>
        <v/>
      </c>
      <c r="C54">
        <f>IF(B54="",0,IF(COUNTIF(B$2:B53,B54)=0,1,0))</f>
        <v/>
      </c>
      <c r="D54">
        <f>IF(B54="",0,SUMIFS($H$2:$H$801,$B$2:$B$801,B54))</f>
        <v/>
      </c>
      <c r="E54">
        <f>IF(NOT(AND(C54=1, TRIM(ERP資料!T54)="平板")), 0, IF(MAX(E$2:E53)=0, 1, IF(ERP資料!A54=INDEX(ERP資料!$A$2:$A53, MATCH(MAX(E$2:E53), E$2:E53, 0)), MAX(E$2:E53)+1, MAX(E$2:E53)+2)))</f>
        <v/>
      </c>
      <c r="F54">
        <f>IF(NOT(AND(C54=1, TRIM(ERP資料!T54)="平板")), 0, IF(MAX(F$2:F53)=0, 1, IF(ERP資料!A54=INDEX(ERP資料!$A$2:$A53, MATCH(MAX(F$2:F53), F$2:F53, 0)), MAX(F$2:F53)+1, MAX(F$2:F53)+2)))</f>
        <v/>
      </c>
      <c r="G54">
        <f>IF(NOT(AND(C54=1, TRIM(ERP資料!T54)="捲筒")), 0, IF(MAX(G$2:G53)=0, 1, IF(ERP資料!A54=INDEX(ERP資料!$A$2:$A53, MATCH(MAX(G$2:G53), G$2:G53, 0)), MAX(G$2:G53)+1, MAX(G$2:G53)+2)))</f>
        <v/>
      </c>
      <c r="H54">
        <f>IF(OR(ERP資料!C54="",ERP資料!D54=""),0,ERP資料!D54-ERP資料!C54+1)</f>
        <v/>
      </c>
    </row>
    <row r="55">
      <c r="A55" t="n">
        <v>55</v>
      </c>
      <c r="B55">
        <f>IF(ERP資料!A55="","",ERP資料!A55&amp;"|"&amp;ERP資料!E55&amp;"|"&amp;ERP資料!F55&amp;"|"&amp;ERP資料!G55&amp;"|"&amp;ERP資料!H55&amp;"|"&amp;ERP資料!O55)</f>
        <v/>
      </c>
      <c r="C55">
        <f>IF(B55="",0,IF(COUNTIF(B$2:B54,B55)=0,1,0))</f>
        <v/>
      </c>
      <c r="D55">
        <f>IF(B55="",0,SUMIFS($H$2:$H$801,$B$2:$B$801,B55))</f>
        <v/>
      </c>
      <c r="E55">
        <f>IF(NOT(AND(C55=1, TRIM(ERP資料!T55)="平板")), 0, IF(MAX(E$2:E54)=0, 1, IF(ERP資料!A55=INDEX(ERP資料!$A$2:$A54, MATCH(MAX(E$2:E54), E$2:E54, 0)), MAX(E$2:E54)+1, MAX(E$2:E54)+2)))</f>
        <v/>
      </c>
      <c r="F55">
        <f>IF(NOT(AND(C55=1, TRIM(ERP資料!T55)="平板")), 0, IF(MAX(F$2:F54)=0, 1, IF(ERP資料!A55=INDEX(ERP資料!$A$2:$A54, MATCH(MAX(F$2:F54), F$2:F54, 0)), MAX(F$2:F54)+1, MAX(F$2:F54)+2)))</f>
        <v/>
      </c>
      <c r="G55">
        <f>IF(NOT(AND(C55=1, TRIM(ERP資料!T55)="捲筒")), 0, IF(MAX(G$2:G54)=0, 1, IF(ERP資料!A55=INDEX(ERP資料!$A$2:$A54, MATCH(MAX(G$2:G54), G$2:G54, 0)), MAX(G$2:G54)+1, MAX(G$2:G54)+2)))</f>
        <v/>
      </c>
      <c r="H55">
        <f>IF(OR(ERP資料!C55="",ERP資料!D55=""),0,ERP資料!D55-ERP資料!C55+1)</f>
        <v/>
      </c>
    </row>
    <row r="56">
      <c r="A56" t="n">
        <v>56</v>
      </c>
      <c r="B56">
        <f>IF(ERP資料!A56="","",ERP資料!A56&amp;"|"&amp;ERP資料!E56&amp;"|"&amp;ERP資料!F56&amp;"|"&amp;ERP資料!G56&amp;"|"&amp;ERP資料!H56&amp;"|"&amp;ERP資料!O56)</f>
        <v/>
      </c>
      <c r="C56">
        <f>IF(B56="",0,IF(COUNTIF(B$2:B55,B56)=0,1,0))</f>
        <v/>
      </c>
      <c r="D56">
        <f>IF(B56="",0,SUMIFS($H$2:$H$801,$B$2:$B$801,B56))</f>
        <v/>
      </c>
      <c r="E56">
        <f>IF(NOT(AND(C56=1, TRIM(ERP資料!T56)="平板")), 0, IF(MAX(E$2:E55)=0, 1, IF(ERP資料!A56=INDEX(ERP資料!$A$2:$A55, MATCH(MAX(E$2:E55), E$2:E55, 0)), MAX(E$2:E55)+1, MAX(E$2:E55)+2)))</f>
        <v/>
      </c>
      <c r="F56">
        <f>IF(NOT(AND(C56=1, TRIM(ERP資料!T56)="平板")), 0, IF(MAX(F$2:F55)=0, 1, IF(ERP資料!A56=INDEX(ERP資料!$A$2:$A55, MATCH(MAX(F$2:F55), F$2:F55, 0)), MAX(F$2:F55)+1, MAX(F$2:F55)+2)))</f>
        <v/>
      </c>
      <c r="G56">
        <f>IF(NOT(AND(C56=1, TRIM(ERP資料!T56)="捲筒")), 0, IF(MAX(G$2:G55)=0, 1, IF(ERP資料!A56=INDEX(ERP資料!$A$2:$A55, MATCH(MAX(G$2:G55), G$2:G55, 0)), MAX(G$2:G55)+1, MAX(G$2:G55)+2)))</f>
        <v/>
      </c>
      <c r="H56">
        <f>IF(OR(ERP資料!C56="",ERP資料!D56=""),0,ERP資料!D56-ERP資料!C56+1)</f>
        <v/>
      </c>
    </row>
    <row r="57">
      <c r="A57" t="n">
        <v>57</v>
      </c>
      <c r="B57">
        <f>IF(ERP資料!A57="","",ERP資料!A57&amp;"|"&amp;ERP資料!E57&amp;"|"&amp;ERP資料!F57&amp;"|"&amp;ERP資料!G57&amp;"|"&amp;ERP資料!H57&amp;"|"&amp;ERP資料!O57)</f>
        <v/>
      </c>
      <c r="C57">
        <f>IF(B57="",0,IF(COUNTIF(B$2:B56,B57)=0,1,0))</f>
        <v/>
      </c>
      <c r="D57">
        <f>IF(B57="",0,SUMIFS($H$2:$H$801,$B$2:$B$801,B57))</f>
        <v/>
      </c>
      <c r="E57">
        <f>IF(NOT(AND(C57=1, TRIM(ERP資料!T57)="平板")), 0, IF(MAX(E$2:E56)=0, 1, IF(ERP資料!A57=INDEX(ERP資料!$A$2:$A56, MATCH(MAX(E$2:E56), E$2:E56, 0)), MAX(E$2:E56)+1, MAX(E$2:E56)+2)))</f>
        <v/>
      </c>
      <c r="F57">
        <f>IF(NOT(AND(C57=1, TRIM(ERP資料!T57)="平板")), 0, IF(MAX(F$2:F56)=0, 1, IF(ERP資料!A57=INDEX(ERP資料!$A$2:$A56, MATCH(MAX(F$2:F56), F$2:F56, 0)), MAX(F$2:F56)+1, MAX(F$2:F56)+2)))</f>
        <v/>
      </c>
      <c r="G57">
        <f>IF(NOT(AND(C57=1, TRIM(ERP資料!T57)="捲筒")), 0, IF(MAX(G$2:G56)=0, 1, IF(ERP資料!A57=INDEX(ERP資料!$A$2:$A56, MATCH(MAX(G$2:G56), G$2:G56, 0)), MAX(G$2:G56)+1, MAX(G$2:G56)+2)))</f>
        <v/>
      </c>
      <c r="H57">
        <f>IF(OR(ERP資料!C57="",ERP資料!D57=""),0,ERP資料!D57-ERP資料!C57+1)</f>
        <v/>
      </c>
    </row>
    <row r="58">
      <c r="A58" t="n">
        <v>58</v>
      </c>
      <c r="B58">
        <f>IF(ERP資料!A58="","",ERP資料!A58&amp;"|"&amp;ERP資料!E58&amp;"|"&amp;ERP資料!F58&amp;"|"&amp;ERP資料!G58&amp;"|"&amp;ERP資料!H58&amp;"|"&amp;ERP資料!O58)</f>
        <v/>
      </c>
      <c r="C58">
        <f>IF(B58="",0,IF(COUNTIF(B$2:B57,B58)=0,1,0))</f>
        <v/>
      </c>
      <c r="D58">
        <f>IF(B58="",0,SUMIFS($H$2:$H$801,$B$2:$B$801,B58))</f>
        <v/>
      </c>
      <c r="E58">
        <f>IF(NOT(AND(C58=1, TRIM(ERP資料!T58)="平板")), 0, IF(MAX(E$2:E57)=0, 1, IF(ERP資料!A58=INDEX(ERP資料!$A$2:$A57, MATCH(MAX(E$2:E57), E$2:E57, 0)), MAX(E$2:E57)+1, MAX(E$2:E57)+2)))</f>
        <v/>
      </c>
      <c r="F58">
        <f>IF(NOT(AND(C58=1, TRIM(ERP資料!T58)="平板")), 0, IF(MAX(F$2:F57)=0, 1, IF(ERP資料!A58=INDEX(ERP資料!$A$2:$A57, MATCH(MAX(F$2:F57), F$2:F57, 0)), MAX(F$2:F57)+1, MAX(F$2:F57)+2)))</f>
        <v/>
      </c>
      <c r="G58">
        <f>IF(NOT(AND(C58=1, TRIM(ERP資料!T58)="捲筒")), 0, IF(MAX(G$2:G57)=0, 1, IF(ERP資料!A58=INDEX(ERP資料!$A$2:$A57, MATCH(MAX(G$2:G57), G$2:G57, 0)), MAX(G$2:G57)+1, MAX(G$2:G57)+2)))</f>
        <v/>
      </c>
      <c r="H58">
        <f>IF(OR(ERP資料!C58="",ERP資料!D58=""),0,ERP資料!D58-ERP資料!C58+1)</f>
        <v/>
      </c>
    </row>
    <row r="59">
      <c r="A59" t="n">
        <v>59</v>
      </c>
      <c r="B59">
        <f>IF(ERP資料!A59="","",ERP資料!A59&amp;"|"&amp;ERP資料!E59&amp;"|"&amp;ERP資料!F59&amp;"|"&amp;ERP資料!G59&amp;"|"&amp;ERP資料!H59&amp;"|"&amp;ERP資料!O59)</f>
        <v/>
      </c>
      <c r="C59">
        <f>IF(B59="",0,IF(COUNTIF(B$2:B58,B59)=0,1,0))</f>
        <v/>
      </c>
      <c r="D59">
        <f>IF(B59="",0,SUMIFS($H$2:$H$801,$B$2:$B$801,B59))</f>
        <v/>
      </c>
      <c r="E59">
        <f>IF(NOT(AND(C59=1, TRIM(ERP資料!T59)="平板")), 0, IF(MAX(E$2:E58)=0, 1, IF(ERP資料!A59=INDEX(ERP資料!$A$2:$A58, MATCH(MAX(E$2:E58), E$2:E58, 0)), MAX(E$2:E58)+1, MAX(E$2:E58)+2)))</f>
        <v/>
      </c>
      <c r="F59">
        <f>IF(NOT(AND(C59=1, TRIM(ERP資料!T59)="平板")), 0, IF(MAX(F$2:F58)=0, 1, IF(ERP資料!A59=INDEX(ERP資料!$A$2:$A58, MATCH(MAX(F$2:F58), F$2:F58, 0)), MAX(F$2:F58)+1, MAX(F$2:F58)+2)))</f>
        <v/>
      </c>
      <c r="G59">
        <f>IF(NOT(AND(C59=1, TRIM(ERP資料!T59)="捲筒")), 0, IF(MAX(G$2:G58)=0, 1, IF(ERP資料!A59=INDEX(ERP資料!$A$2:$A58, MATCH(MAX(G$2:G58), G$2:G58, 0)), MAX(G$2:G58)+1, MAX(G$2:G58)+2)))</f>
        <v/>
      </c>
      <c r="H59">
        <f>IF(OR(ERP資料!C59="",ERP資料!D59=""),0,ERP資料!D59-ERP資料!C59+1)</f>
        <v/>
      </c>
    </row>
    <row r="60">
      <c r="A60" t="n">
        <v>60</v>
      </c>
      <c r="B60">
        <f>IF(ERP資料!A60="","",ERP資料!A60&amp;"|"&amp;ERP資料!E60&amp;"|"&amp;ERP資料!F60&amp;"|"&amp;ERP資料!G60&amp;"|"&amp;ERP資料!H60&amp;"|"&amp;ERP資料!O60)</f>
        <v/>
      </c>
      <c r="C60">
        <f>IF(B60="",0,IF(COUNTIF(B$2:B59,B60)=0,1,0))</f>
        <v/>
      </c>
      <c r="D60">
        <f>IF(B60="",0,SUMIFS($H$2:$H$801,$B$2:$B$801,B60))</f>
        <v/>
      </c>
      <c r="E60">
        <f>IF(NOT(AND(C60=1, TRIM(ERP資料!T60)="平板")), 0, IF(MAX(E$2:E59)=0, 1, IF(ERP資料!A60=INDEX(ERP資料!$A$2:$A59, MATCH(MAX(E$2:E59), E$2:E59, 0)), MAX(E$2:E59)+1, MAX(E$2:E59)+2)))</f>
        <v/>
      </c>
      <c r="F60">
        <f>IF(NOT(AND(C60=1, TRIM(ERP資料!T60)="平板")), 0, IF(MAX(F$2:F59)=0, 1, IF(ERP資料!A60=INDEX(ERP資料!$A$2:$A59, MATCH(MAX(F$2:F59), F$2:F59, 0)), MAX(F$2:F59)+1, MAX(F$2:F59)+2)))</f>
        <v/>
      </c>
      <c r="G60">
        <f>IF(NOT(AND(C60=1, TRIM(ERP資料!T60)="捲筒")), 0, IF(MAX(G$2:G59)=0, 1, IF(ERP資料!A60=INDEX(ERP資料!$A$2:$A59, MATCH(MAX(G$2:G59), G$2:G59, 0)), MAX(G$2:G59)+1, MAX(G$2:G59)+2)))</f>
        <v/>
      </c>
      <c r="H60">
        <f>IF(OR(ERP資料!C60="",ERP資料!D60=""),0,ERP資料!D60-ERP資料!C60+1)</f>
        <v/>
      </c>
    </row>
    <row r="61">
      <c r="A61" t="n">
        <v>61</v>
      </c>
      <c r="B61">
        <f>IF(ERP資料!A61="","",ERP資料!A61&amp;"|"&amp;ERP資料!E61&amp;"|"&amp;ERP資料!F61&amp;"|"&amp;ERP資料!G61&amp;"|"&amp;ERP資料!H61&amp;"|"&amp;ERP資料!O61)</f>
        <v/>
      </c>
      <c r="C61">
        <f>IF(B61="",0,IF(COUNTIF(B$2:B60,B61)=0,1,0))</f>
        <v/>
      </c>
      <c r="D61">
        <f>IF(B61="",0,SUMIFS($H$2:$H$801,$B$2:$B$801,B61))</f>
        <v/>
      </c>
      <c r="E61">
        <f>IF(NOT(AND(C61=1, TRIM(ERP資料!T61)="平板")), 0, IF(MAX(E$2:E60)=0, 1, IF(ERP資料!A61=INDEX(ERP資料!$A$2:$A60, MATCH(MAX(E$2:E60), E$2:E60, 0)), MAX(E$2:E60)+1, MAX(E$2:E60)+2)))</f>
        <v/>
      </c>
      <c r="F61">
        <f>IF(NOT(AND(C61=1, TRIM(ERP資料!T61)="平板")), 0, IF(MAX(F$2:F60)=0, 1, IF(ERP資料!A61=INDEX(ERP資料!$A$2:$A60, MATCH(MAX(F$2:F60), F$2:F60, 0)), MAX(F$2:F60)+1, MAX(F$2:F60)+2)))</f>
        <v/>
      </c>
      <c r="G61">
        <f>IF(NOT(AND(C61=1, TRIM(ERP資料!T61)="捲筒")), 0, IF(MAX(G$2:G60)=0, 1, IF(ERP資料!A61=INDEX(ERP資料!$A$2:$A60, MATCH(MAX(G$2:G60), G$2:G60, 0)), MAX(G$2:G60)+1, MAX(G$2:G60)+2)))</f>
        <v/>
      </c>
      <c r="H61">
        <f>IF(OR(ERP資料!C61="",ERP資料!D61=""),0,ERP資料!D61-ERP資料!C61+1)</f>
        <v/>
      </c>
    </row>
    <row r="62">
      <c r="A62" t="n">
        <v>62</v>
      </c>
      <c r="B62">
        <f>IF(ERP資料!A62="","",ERP資料!A62&amp;"|"&amp;ERP資料!E62&amp;"|"&amp;ERP資料!F62&amp;"|"&amp;ERP資料!G62&amp;"|"&amp;ERP資料!H62&amp;"|"&amp;ERP資料!O62)</f>
        <v/>
      </c>
      <c r="C62">
        <f>IF(B62="",0,IF(COUNTIF(B$2:B61,B62)=0,1,0))</f>
        <v/>
      </c>
      <c r="D62">
        <f>IF(B62="",0,SUMIFS($H$2:$H$801,$B$2:$B$801,B62))</f>
        <v/>
      </c>
      <c r="E62">
        <f>IF(NOT(AND(C62=1, TRIM(ERP資料!T62)="平板")), 0, IF(MAX(E$2:E61)=0, 1, IF(ERP資料!A62=INDEX(ERP資料!$A$2:$A61, MATCH(MAX(E$2:E61), E$2:E61, 0)), MAX(E$2:E61)+1, MAX(E$2:E61)+2)))</f>
        <v/>
      </c>
      <c r="F62">
        <f>IF(NOT(AND(C62=1, TRIM(ERP資料!T62)="平板")), 0, IF(MAX(F$2:F61)=0, 1, IF(ERP資料!A62=INDEX(ERP資料!$A$2:$A61, MATCH(MAX(F$2:F61), F$2:F61, 0)), MAX(F$2:F61)+1, MAX(F$2:F61)+2)))</f>
        <v/>
      </c>
      <c r="G62">
        <f>IF(NOT(AND(C62=1, TRIM(ERP資料!T62)="捲筒")), 0, IF(MAX(G$2:G61)=0, 1, IF(ERP資料!A62=INDEX(ERP資料!$A$2:$A61, MATCH(MAX(G$2:G61), G$2:G61, 0)), MAX(G$2:G61)+1, MAX(G$2:G61)+2)))</f>
        <v/>
      </c>
      <c r="H62">
        <f>IF(OR(ERP資料!C62="",ERP資料!D62=""),0,ERP資料!D62-ERP資料!C62+1)</f>
        <v/>
      </c>
    </row>
    <row r="63">
      <c r="A63" t="n">
        <v>63</v>
      </c>
      <c r="B63">
        <f>IF(ERP資料!A63="","",ERP資料!A63&amp;"|"&amp;ERP資料!E63&amp;"|"&amp;ERP資料!F63&amp;"|"&amp;ERP資料!G63&amp;"|"&amp;ERP資料!H63&amp;"|"&amp;ERP資料!O63)</f>
        <v/>
      </c>
      <c r="C63">
        <f>IF(B63="",0,IF(COUNTIF(B$2:B62,B63)=0,1,0))</f>
        <v/>
      </c>
      <c r="D63">
        <f>IF(B63="",0,SUMIFS($H$2:$H$801,$B$2:$B$801,B63))</f>
        <v/>
      </c>
      <c r="E63">
        <f>IF(NOT(AND(C63=1, TRIM(ERP資料!T63)="平板")), 0, IF(MAX(E$2:E62)=0, 1, IF(ERP資料!A63=INDEX(ERP資料!$A$2:$A62, MATCH(MAX(E$2:E62), E$2:E62, 0)), MAX(E$2:E62)+1, MAX(E$2:E62)+2)))</f>
        <v/>
      </c>
      <c r="F63">
        <f>IF(NOT(AND(C63=1, TRIM(ERP資料!T63)="平板")), 0, IF(MAX(F$2:F62)=0, 1, IF(ERP資料!A63=INDEX(ERP資料!$A$2:$A62, MATCH(MAX(F$2:F62), F$2:F62, 0)), MAX(F$2:F62)+1, MAX(F$2:F62)+2)))</f>
        <v/>
      </c>
      <c r="G63">
        <f>IF(NOT(AND(C63=1, TRIM(ERP資料!T63)="捲筒")), 0, IF(MAX(G$2:G62)=0, 1, IF(ERP資料!A63=INDEX(ERP資料!$A$2:$A62, MATCH(MAX(G$2:G62), G$2:G62, 0)), MAX(G$2:G62)+1, MAX(G$2:G62)+2)))</f>
        <v/>
      </c>
      <c r="H63">
        <f>IF(OR(ERP資料!C63="",ERP資料!D63=""),0,ERP資料!D63-ERP資料!C63+1)</f>
        <v/>
      </c>
    </row>
    <row r="64">
      <c r="A64" t="n">
        <v>64</v>
      </c>
      <c r="B64">
        <f>IF(ERP資料!A64="","",ERP資料!A64&amp;"|"&amp;ERP資料!E64&amp;"|"&amp;ERP資料!F64&amp;"|"&amp;ERP資料!G64&amp;"|"&amp;ERP資料!H64&amp;"|"&amp;ERP資料!O64)</f>
        <v/>
      </c>
      <c r="C64">
        <f>IF(B64="",0,IF(COUNTIF(B$2:B63,B64)=0,1,0))</f>
        <v/>
      </c>
      <c r="D64">
        <f>IF(B64="",0,SUMIFS($H$2:$H$801,$B$2:$B$801,B64))</f>
        <v/>
      </c>
      <c r="E64">
        <f>IF(NOT(AND(C64=1, TRIM(ERP資料!T64)="平板")), 0, IF(MAX(E$2:E63)=0, 1, IF(ERP資料!A64=INDEX(ERP資料!$A$2:$A63, MATCH(MAX(E$2:E63), E$2:E63, 0)), MAX(E$2:E63)+1, MAX(E$2:E63)+2)))</f>
        <v/>
      </c>
      <c r="F64">
        <f>IF(NOT(AND(C64=1, TRIM(ERP資料!T64)="平板")), 0, IF(MAX(F$2:F63)=0, 1, IF(ERP資料!A64=INDEX(ERP資料!$A$2:$A63, MATCH(MAX(F$2:F63), F$2:F63, 0)), MAX(F$2:F63)+1, MAX(F$2:F63)+2)))</f>
        <v/>
      </c>
      <c r="G64">
        <f>IF(NOT(AND(C64=1, TRIM(ERP資料!T64)="捲筒")), 0, IF(MAX(G$2:G63)=0, 1, IF(ERP資料!A64=INDEX(ERP資料!$A$2:$A63, MATCH(MAX(G$2:G63), G$2:G63, 0)), MAX(G$2:G63)+1, MAX(G$2:G63)+2)))</f>
        <v/>
      </c>
      <c r="H64">
        <f>IF(OR(ERP資料!C64="",ERP資料!D64=""),0,ERP資料!D64-ERP資料!C64+1)</f>
        <v/>
      </c>
    </row>
    <row r="65">
      <c r="A65" t="n">
        <v>65</v>
      </c>
      <c r="B65">
        <f>IF(ERP資料!A65="","",ERP資料!A65&amp;"|"&amp;ERP資料!E65&amp;"|"&amp;ERP資料!F65&amp;"|"&amp;ERP資料!G65&amp;"|"&amp;ERP資料!H65&amp;"|"&amp;ERP資料!O65)</f>
        <v/>
      </c>
      <c r="C65">
        <f>IF(B65="",0,IF(COUNTIF(B$2:B64,B65)=0,1,0))</f>
        <v/>
      </c>
      <c r="D65">
        <f>IF(B65="",0,SUMIFS($H$2:$H$801,$B$2:$B$801,B65))</f>
        <v/>
      </c>
      <c r="E65">
        <f>IF(NOT(AND(C65=1, TRIM(ERP資料!T65)="平板")), 0, IF(MAX(E$2:E64)=0, 1, IF(ERP資料!A65=INDEX(ERP資料!$A$2:$A64, MATCH(MAX(E$2:E64), E$2:E64, 0)), MAX(E$2:E64)+1, MAX(E$2:E64)+2)))</f>
        <v/>
      </c>
      <c r="F65">
        <f>IF(NOT(AND(C65=1, TRIM(ERP資料!T65)="平板")), 0, IF(MAX(F$2:F64)=0, 1, IF(ERP資料!A65=INDEX(ERP資料!$A$2:$A64, MATCH(MAX(F$2:F64), F$2:F64, 0)), MAX(F$2:F64)+1, MAX(F$2:F64)+2)))</f>
        <v/>
      </c>
      <c r="G65">
        <f>IF(NOT(AND(C65=1, TRIM(ERP資料!T65)="捲筒")), 0, IF(MAX(G$2:G64)=0, 1, IF(ERP資料!A65=INDEX(ERP資料!$A$2:$A64, MATCH(MAX(G$2:G64), G$2:G64, 0)), MAX(G$2:G64)+1, MAX(G$2:G64)+2)))</f>
        <v/>
      </c>
      <c r="H65">
        <f>IF(OR(ERP資料!C65="",ERP資料!D65=""),0,ERP資料!D65-ERP資料!C65+1)</f>
        <v/>
      </c>
    </row>
    <row r="66">
      <c r="A66" t="n">
        <v>66</v>
      </c>
      <c r="B66">
        <f>IF(ERP資料!A66="","",ERP資料!A66&amp;"|"&amp;ERP資料!E66&amp;"|"&amp;ERP資料!F66&amp;"|"&amp;ERP資料!G66&amp;"|"&amp;ERP資料!H66&amp;"|"&amp;ERP資料!O66)</f>
        <v/>
      </c>
      <c r="C66">
        <f>IF(B66="",0,IF(COUNTIF(B$2:B65,B66)=0,1,0))</f>
        <v/>
      </c>
      <c r="D66">
        <f>IF(B66="",0,SUMIFS($H$2:$H$801,$B$2:$B$801,B66))</f>
        <v/>
      </c>
      <c r="E66">
        <f>IF(NOT(AND(C66=1, TRIM(ERP資料!T66)="平板")), 0, IF(MAX(E$2:E65)=0, 1, IF(ERP資料!A66=INDEX(ERP資料!$A$2:$A65, MATCH(MAX(E$2:E65), E$2:E65, 0)), MAX(E$2:E65)+1, MAX(E$2:E65)+2)))</f>
        <v/>
      </c>
      <c r="F66">
        <f>IF(NOT(AND(C66=1, TRIM(ERP資料!T66)="平板")), 0, IF(MAX(F$2:F65)=0, 1, IF(ERP資料!A66=INDEX(ERP資料!$A$2:$A65, MATCH(MAX(F$2:F65), F$2:F65, 0)), MAX(F$2:F65)+1, MAX(F$2:F65)+2)))</f>
        <v/>
      </c>
      <c r="G66">
        <f>IF(NOT(AND(C66=1, TRIM(ERP資料!T66)="捲筒")), 0, IF(MAX(G$2:G65)=0, 1, IF(ERP資料!A66=INDEX(ERP資料!$A$2:$A65, MATCH(MAX(G$2:G65), G$2:G65, 0)), MAX(G$2:G65)+1, MAX(G$2:G65)+2)))</f>
        <v/>
      </c>
      <c r="H66">
        <f>IF(OR(ERP資料!C66="",ERP資料!D66=""),0,ERP資料!D66-ERP資料!C66+1)</f>
        <v/>
      </c>
    </row>
    <row r="67">
      <c r="A67" t="n">
        <v>67</v>
      </c>
      <c r="B67">
        <f>IF(ERP資料!A67="","",ERP資料!A67&amp;"|"&amp;ERP資料!E67&amp;"|"&amp;ERP資料!F67&amp;"|"&amp;ERP資料!G67&amp;"|"&amp;ERP資料!H67&amp;"|"&amp;ERP資料!O67)</f>
        <v/>
      </c>
      <c r="C67">
        <f>IF(B67="",0,IF(COUNTIF(B$2:B66,B67)=0,1,0))</f>
        <v/>
      </c>
      <c r="D67">
        <f>IF(B67="",0,SUMIFS($H$2:$H$801,$B$2:$B$801,B67))</f>
        <v/>
      </c>
      <c r="E67">
        <f>IF(NOT(AND(C67=1, TRIM(ERP資料!T67)="平板")), 0, IF(MAX(E$2:E66)=0, 1, IF(ERP資料!A67=INDEX(ERP資料!$A$2:$A66, MATCH(MAX(E$2:E66), E$2:E66, 0)), MAX(E$2:E66)+1, MAX(E$2:E66)+2)))</f>
        <v/>
      </c>
      <c r="F67">
        <f>IF(NOT(AND(C67=1, TRIM(ERP資料!T67)="平板")), 0, IF(MAX(F$2:F66)=0, 1, IF(ERP資料!A67=INDEX(ERP資料!$A$2:$A66, MATCH(MAX(F$2:F66), F$2:F66, 0)), MAX(F$2:F66)+1, MAX(F$2:F66)+2)))</f>
        <v/>
      </c>
      <c r="G67">
        <f>IF(NOT(AND(C67=1, TRIM(ERP資料!T67)="捲筒")), 0, IF(MAX(G$2:G66)=0, 1, IF(ERP資料!A67=INDEX(ERP資料!$A$2:$A66, MATCH(MAX(G$2:G66), G$2:G66, 0)), MAX(G$2:G66)+1, MAX(G$2:G66)+2)))</f>
        <v/>
      </c>
      <c r="H67">
        <f>IF(OR(ERP資料!C67="",ERP資料!D67=""),0,ERP資料!D67-ERP資料!C67+1)</f>
        <v/>
      </c>
    </row>
    <row r="68">
      <c r="A68" t="n">
        <v>68</v>
      </c>
      <c r="B68">
        <f>IF(ERP資料!A68="","",ERP資料!A68&amp;"|"&amp;ERP資料!E68&amp;"|"&amp;ERP資料!F68&amp;"|"&amp;ERP資料!G68&amp;"|"&amp;ERP資料!H68&amp;"|"&amp;ERP資料!O68)</f>
        <v/>
      </c>
      <c r="C68">
        <f>IF(B68="",0,IF(COUNTIF(B$2:B67,B68)=0,1,0))</f>
        <v/>
      </c>
      <c r="D68">
        <f>IF(B68="",0,SUMIFS($H$2:$H$801,$B$2:$B$801,B68))</f>
        <v/>
      </c>
      <c r="E68">
        <f>IF(NOT(AND(C68=1, TRIM(ERP資料!T68)="平板")), 0, IF(MAX(E$2:E67)=0, 1, IF(ERP資料!A68=INDEX(ERP資料!$A$2:$A67, MATCH(MAX(E$2:E67), E$2:E67, 0)), MAX(E$2:E67)+1, MAX(E$2:E67)+2)))</f>
        <v/>
      </c>
      <c r="F68">
        <f>IF(NOT(AND(C68=1, TRIM(ERP資料!T68)="平板")), 0, IF(MAX(F$2:F67)=0, 1, IF(ERP資料!A68=INDEX(ERP資料!$A$2:$A67, MATCH(MAX(F$2:F67), F$2:F67, 0)), MAX(F$2:F67)+1, MAX(F$2:F67)+2)))</f>
        <v/>
      </c>
      <c r="G68">
        <f>IF(NOT(AND(C68=1, TRIM(ERP資料!T68)="捲筒")), 0, IF(MAX(G$2:G67)=0, 1, IF(ERP資料!A68=INDEX(ERP資料!$A$2:$A67, MATCH(MAX(G$2:G67), G$2:G67, 0)), MAX(G$2:G67)+1, MAX(G$2:G67)+2)))</f>
        <v/>
      </c>
      <c r="H68">
        <f>IF(OR(ERP資料!C68="",ERP資料!D68=""),0,ERP資料!D68-ERP資料!C68+1)</f>
        <v/>
      </c>
    </row>
    <row r="69">
      <c r="A69" t="n">
        <v>69</v>
      </c>
      <c r="B69">
        <f>IF(ERP資料!A69="","",ERP資料!A69&amp;"|"&amp;ERP資料!E69&amp;"|"&amp;ERP資料!F69&amp;"|"&amp;ERP資料!G69&amp;"|"&amp;ERP資料!H69&amp;"|"&amp;ERP資料!O69)</f>
        <v/>
      </c>
      <c r="C69">
        <f>IF(B69="",0,IF(COUNTIF(B$2:B68,B69)=0,1,0))</f>
        <v/>
      </c>
      <c r="D69">
        <f>IF(B69="",0,SUMIFS($H$2:$H$801,$B$2:$B$801,B69))</f>
        <v/>
      </c>
      <c r="E69">
        <f>IF(NOT(AND(C69=1, TRIM(ERP資料!T69)="平板")), 0, IF(MAX(E$2:E68)=0, 1, IF(ERP資料!A69=INDEX(ERP資料!$A$2:$A68, MATCH(MAX(E$2:E68), E$2:E68, 0)), MAX(E$2:E68)+1, MAX(E$2:E68)+2)))</f>
        <v/>
      </c>
      <c r="F69">
        <f>IF(NOT(AND(C69=1, TRIM(ERP資料!T69)="平板")), 0, IF(MAX(F$2:F68)=0, 1, IF(ERP資料!A69=INDEX(ERP資料!$A$2:$A68, MATCH(MAX(F$2:F68), F$2:F68, 0)), MAX(F$2:F68)+1, MAX(F$2:F68)+2)))</f>
        <v/>
      </c>
      <c r="G69">
        <f>IF(NOT(AND(C69=1, TRIM(ERP資料!T69)="捲筒")), 0, IF(MAX(G$2:G68)=0, 1, IF(ERP資料!A69=INDEX(ERP資料!$A$2:$A68, MATCH(MAX(G$2:G68), G$2:G68, 0)), MAX(G$2:G68)+1, MAX(G$2:G68)+2)))</f>
        <v/>
      </c>
      <c r="H69">
        <f>IF(OR(ERP資料!C69="",ERP資料!D69=""),0,ERP資料!D69-ERP資料!C69+1)</f>
        <v/>
      </c>
    </row>
    <row r="70">
      <c r="A70" t="n">
        <v>70</v>
      </c>
      <c r="B70">
        <f>IF(ERP資料!A70="","",ERP資料!A70&amp;"|"&amp;ERP資料!E70&amp;"|"&amp;ERP資料!F70&amp;"|"&amp;ERP資料!G70&amp;"|"&amp;ERP資料!H70&amp;"|"&amp;ERP資料!O70)</f>
        <v/>
      </c>
      <c r="C70">
        <f>IF(B70="",0,IF(COUNTIF(B$2:B69,B70)=0,1,0))</f>
        <v/>
      </c>
      <c r="D70">
        <f>IF(B70="",0,SUMIFS($H$2:$H$801,$B$2:$B$801,B70))</f>
        <v/>
      </c>
      <c r="E70">
        <f>IF(NOT(AND(C70=1, TRIM(ERP資料!T70)="平板")), 0, IF(MAX(E$2:E69)=0, 1, IF(ERP資料!A70=INDEX(ERP資料!$A$2:$A69, MATCH(MAX(E$2:E69), E$2:E69, 0)), MAX(E$2:E69)+1, MAX(E$2:E69)+2)))</f>
        <v/>
      </c>
      <c r="F70">
        <f>IF(NOT(AND(C70=1, TRIM(ERP資料!T70)="平板")), 0, IF(MAX(F$2:F69)=0, 1, IF(ERP資料!A70=INDEX(ERP資料!$A$2:$A69, MATCH(MAX(F$2:F69), F$2:F69, 0)), MAX(F$2:F69)+1, MAX(F$2:F69)+2)))</f>
        <v/>
      </c>
      <c r="G70">
        <f>IF(NOT(AND(C70=1, TRIM(ERP資料!T70)="捲筒")), 0, IF(MAX(G$2:G69)=0, 1, IF(ERP資料!A70=INDEX(ERP資料!$A$2:$A69, MATCH(MAX(G$2:G69), G$2:G69, 0)), MAX(G$2:G69)+1, MAX(G$2:G69)+2)))</f>
        <v/>
      </c>
      <c r="H70">
        <f>IF(OR(ERP資料!C70="",ERP資料!D70=""),0,ERP資料!D70-ERP資料!C70+1)</f>
        <v/>
      </c>
    </row>
    <row r="71">
      <c r="A71" t="n">
        <v>71</v>
      </c>
      <c r="B71">
        <f>IF(ERP資料!A71="","",ERP資料!A71&amp;"|"&amp;ERP資料!E71&amp;"|"&amp;ERP資料!F71&amp;"|"&amp;ERP資料!G71&amp;"|"&amp;ERP資料!H71&amp;"|"&amp;ERP資料!O71)</f>
        <v/>
      </c>
      <c r="C71">
        <f>IF(B71="",0,IF(COUNTIF(B$2:B70,B71)=0,1,0))</f>
        <v/>
      </c>
      <c r="D71">
        <f>IF(B71="",0,SUMIFS($H$2:$H$801,$B$2:$B$801,B71))</f>
        <v/>
      </c>
      <c r="E71">
        <f>IF(NOT(AND(C71=1, TRIM(ERP資料!T71)="平板")), 0, IF(MAX(E$2:E70)=0, 1, IF(ERP資料!A71=INDEX(ERP資料!$A$2:$A70, MATCH(MAX(E$2:E70), E$2:E70, 0)), MAX(E$2:E70)+1, MAX(E$2:E70)+2)))</f>
        <v/>
      </c>
      <c r="F71">
        <f>IF(NOT(AND(C71=1, TRIM(ERP資料!T71)="平板")), 0, IF(MAX(F$2:F70)=0, 1, IF(ERP資料!A71=INDEX(ERP資料!$A$2:$A70, MATCH(MAX(F$2:F70), F$2:F70, 0)), MAX(F$2:F70)+1, MAX(F$2:F70)+2)))</f>
        <v/>
      </c>
      <c r="G71">
        <f>IF(NOT(AND(C71=1, TRIM(ERP資料!T71)="捲筒")), 0, IF(MAX(G$2:G70)=0, 1, IF(ERP資料!A71=INDEX(ERP資料!$A$2:$A70, MATCH(MAX(G$2:G70), G$2:G70, 0)), MAX(G$2:G70)+1, MAX(G$2:G70)+2)))</f>
        <v/>
      </c>
      <c r="H71">
        <f>IF(OR(ERP資料!C71="",ERP資料!D71=""),0,ERP資料!D71-ERP資料!C71+1)</f>
        <v/>
      </c>
    </row>
    <row r="72">
      <c r="A72" t="n">
        <v>72</v>
      </c>
      <c r="B72">
        <f>IF(ERP資料!A72="","",ERP資料!A72&amp;"|"&amp;ERP資料!E72&amp;"|"&amp;ERP資料!F72&amp;"|"&amp;ERP資料!G72&amp;"|"&amp;ERP資料!H72&amp;"|"&amp;ERP資料!O72)</f>
        <v/>
      </c>
      <c r="C72">
        <f>IF(B72="",0,IF(COUNTIF(B$2:B71,B72)=0,1,0))</f>
        <v/>
      </c>
      <c r="D72">
        <f>IF(B72="",0,SUMIFS($H$2:$H$801,$B$2:$B$801,B72))</f>
        <v/>
      </c>
      <c r="E72">
        <f>IF(NOT(AND(C72=1, TRIM(ERP資料!T72)="平板")), 0, IF(MAX(E$2:E71)=0, 1, IF(ERP資料!A72=INDEX(ERP資料!$A$2:$A71, MATCH(MAX(E$2:E71), E$2:E71, 0)), MAX(E$2:E71)+1, MAX(E$2:E71)+2)))</f>
        <v/>
      </c>
      <c r="F72">
        <f>IF(NOT(AND(C72=1, TRIM(ERP資料!T72)="平板")), 0, IF(MAX(F$2:F71)=0, 1, IF(ERP資料!A72=INDEX(ERP資料!$A$2:$A71, MATCH(MAX(F$2:F71), F$2:F71, 0)), MAX(F$2:F71)+1, MAX(F$2:F71)+2)))</f>
        <v/>
      </c>
      <c r="G72">
        <f>IF(NOT(AND(C72=1, TRIM(ERP資料!T72)="捲筒")), 0, IF(MAX(G$2:G71)=0, 1, IF(ERP資料!A72=INDEX(ERP資料!$A$2:$A71, MATCH(MAX(G$2:G71), G$2:G71, 0)), MAX(G$2:G71)+1, MAX(G$2:G71)+2)))</f>
        <v/>
      </c>
      <c r="H72">
        <f>IF(OR(ERP資料!C72="",ERP資料!D72=""),0,ERP資料!D72-ERP資料!C72+1)</f>
        <v/>
      </c>
    </row>
    <row r="73">
      <c r="A73" t="n">
        <v>73</v>
      </c>
      <c r="B73">
        <f>IF(ERP資料!A73="","",ERP資料!A73&amp;"|"&amp;ERP資料!E73&amp;"|"&amp;ERP資料!F73&amp;"|"&amp;ERP資料!G73&amp;"|"&amp;ERP資料!H73&amp;"|"&amp;ERP資料!O73)</f>
        <v/>
      </c>
      <c r="C73">
        <f>IF(B73="",0,IF(COUNTIF(B$2:B72,B73)=0,1,0))</f>
        <v/>
      </c>
      <c r="D73">
        <f>IF(B73="",0,SUMIFS($H$2:$H$801,$B$2:$B$801,B73))</f>
        <v/>
      </c>
      <c r="E73">
        <f>IF(NOT(AND(C73=1, TRIM(ERP資料!T73)="平板")), 0, IF(MAX(E$2:E72)=0, 1, IF(ERP資料!A73=INDEX(ERP資料!$A$2:$A72, MATCH(MAX(E$2:E72), E$2:E72, 0)), MAX(E$2:E72)+1, MAX(E$2:E72)+2)))</f>
        <v/>
      </c>
      <c r="F73">
        <f>IF(NOT(AND(C73=1, TRIM(ERP資料!T73)="平板")), 0, IF(MAX(F$2:F72)=0, 1, IF(ERP資料!A73=INDEX(ERP資料!$A$2:$A72, MATCH(MAX(F$2:F72), F$2:F72, 0)), MAX(F$2:F72)+1, MAX(F$2:F72)+2)))</f>
        <v/>
      </c>
      <c r="G73">
        <f>IF(NOT(AND(C73=1, TRIM(ERP資料!T73)="捲筒")), 0, IF(MAX(G$2:G72)=0, 1, IF(ERP資料!A73=INDEX(ERP資料!$A$2:$A72, MATCH(MAX(G$2:G72), G$2:G72, 0)), MAX(G$2:G72)+1, MAX(G$2:G72)+2)))</f>
        <v/>
      </c>
      <c r="H73">
        <f>IF(OR(ERP資料!C73="",ERP資料!D73=""),0,ERP資料!D73-ERP資料!C73+1)</f>
        <v/>
      </c>
    </row>
    <row r="74">
      <c r="A74" t="n">
        <v>74</v>
      </c>
      <c r="B74">
        <f>IF(ERP資料!A74="","",ERP資料!A74&amp;"|"&amp;ERP資料!E74&amp;"|"&amp;ERP資料!F74&amp;"|"&amp;ERP資料!G74&amp;"|"&amp;ERP資料!H74&amp;"|"&amp;ERP資料!O74)</f>
        <v/>
      </c>
      <c r="C74">
        <f>IF(B74="",0,IF(COUNTIF(B$2:B73,B74)=0,1,0))</f>
        <v/>
      </c>
      <c r="D74">
        <f>IF(B74="",0,SUMIFS($H$2:$H$801,$B$2:$B$801,B74))</f>
        <v/>
      </c>
      <c r="E74">
        <f>IF(NOT(AND(C74=1, TRIM(ERP資料!T74)="平板")), 0, IF(MAX(E$2:E73)=0, 1, IF(ERP資料!A74=INDEX(ERP資料!$A$2:$A73, MATCH(MAX(E$2:E73), E$2:E73, 0)), MAX(E$2:E73)+1, MAX(E$2:E73)+2)))</f>
        <v/>
      </c>
      <c r="F74">
        <f>IF(NOT(AND(C74=1, TRIM(ERP資料!T74)="平板")), 0, IF(MAX(F$2:F73)=0, 1, IF(ERP資料!A74=INDEX(ERP資料!$A$2:$A73, MATCH(MAX(F$2:F73), F$2:F73, 0)), MAX(F$2:F73)+1, MAX(F$2:F73)+2)))</f>
        <v/>
      </c>
      <c r="G74">
        <f>IF(NOT(AND(C74=1, TRIM(ERP資料!T74)="捲筒")), 0, IF(MAX(G$2:G73)=0, 1, IF(ERP資料!A74=INDEX(ERP資料!$A$2:$A73, MATCH(MAX(G$2:G73), G$2:G73, 0)), MAX(G$2:G73)+1, MAX(G$2:G73)+2)))</f>
        <v/>
      </c>
      <c r="H74">
        <f>IF(OR(ERP資料!C74="",ERP資料!D74=""),0,ERP資料!D74-ERP資料!C74+1)</f>
        <v/>
      </c>
    </row>
    <row r="75">
      <c r="A75" t="n">
        <v>75</v>
      </c>
      <c r="B75">
        <f>IF(ERP資料!A75="","",ERP資料!A75&amp;"|"&amp;ERP資料!E75&amp;"|"&amp;ERP資料!F75&amp;"|"&amp;ERP資料!G75&amp;"|"&amp;ERP資料!H75&amp;"|"&amp;ERP資料!O75)</f>
        <v/>
      </c>
      <c r="C75">
        <f>IF(B75="",0,IF(COUNTIF(B$2:B74,B75)=0,1,0))</f>
        <v/>
      </c>
      <c r="D75">
        <f>IF(B75="",0,SUMIFS($H$2:$H$801,$B$2:$B$801,B75))</f>
        <v/>
      </c>
      <c r="E75">
        <f>IF(NOT(AND(C75=1, TRIM(ERP資料!T75)="平板")), 0, IF(MAX(E$2:E74)=0, 1, IF(ERP資料!A75=INDEX(ERP資料!$A$2:$A74, MATCH(MAX(E$2:E74), E$2:E74, 0)), MAX(E$2:E74)+1, MAX(E$2:E74)+2)))</f>
        <v/>
      </c>
      <c r="F75">
        <f>IF(NOT(AND(C75=1, TRIM(ERP資料!T75)="平板")), 0, IF(MAX(F$2:F74)=0, 1, IF(ERP資料!A75=INDEX(ERP資料!$A$2:$A74, MATCH(MAX(F$2:F74), F$2:F74, 0)), MAX(F$2:F74)+1, MAX(F$2:F74)+2)))</f>
        <v/>
      </c>
      <c r="G75">
        <f>IF(NOT(AND(C75=1, TRIM(ERP資料!T75)="捲筒")), 0, IF(MAX(G$2:G74)=0, 1, IF(ERP資料!A75=INDEX(ERP資料!$A$2:$A74, MATCH(MAX(G$2:G74), G$2:G74, 0)), MAX(G$2:G74)+1, MAX(G$2:G74)+2)))</f>
        <v/>
      </c>
      <c r="H75">
        <f>IF(OR(ERP資料!C75="",ERP資料!D75=""),0,ERP資料!D75-ERP資料!C75+1)</f>
        <v/>
      </c>
    </row>
    <row r="76">
      <c r="A76" t="n">
        <v>76</v>
      </c>
      <c r="B76">
        <f>IF(ERP資料!A76="","",ERP資料!A76&amp;"|"&amp;ERP資料!E76&amp;"|"&amp;ERP資料!F76&amp;"|"&amp;ERP資料!G76&amp;"|"&amp;ERP資料!H76&amp;"|"&amp;ERP資料!O76)</f>
        <v/>
      </c>
      <c r="C76">
        <f>IF(B76="",0,IF(COUNTIF(B$2:B75,B76)=0,1,0))</f>
        <v/>
      </c>
      <c r="D76">
        <f>IF(B76="",0,SUMIFS($H$2:$H$801,$B$2:$B$801,B76))</f>
        <v/>
      </c>
      <c r="E76">
        <f>IF(NOT(AND(C76=1, TRIM(ERP資料!T76)="平板")), 0, IF(MAX(E$2:E75)=0, 1, IF(ERP資料!A76=INDEX(ERP資料!$A$2:$A75, MATCH(MAX(E$2:E75), E$2:E75, 0)), MAX(E$2:E75)+1, MAX(E$2:E75)+2)))</f>
        <v/>
      </c>
      <c r="F76">
        <f>IF(NOT(AND(C76=1, TRIM(ERP資料!T76)="平板")), 0, IF(MAX(F$2:F75)=0, 1, IF(ERP資料!A76=INDEX(ERP資料!$A$2:$A75, MATCH(MAX(F$2:F75), F$2:F75, 0)), MAX(F$2:F75)+1, MAX(F$2:F75)+2)))</f>
        <v/>
      </c>
      <c r="G76">
        <f>IF(NOT(AND(C76=1, TRIM(ERP資料!T76)="捲筒")), 0, IF(MAX(G$2:G75)=0, 1, IF(ERP資料!A76=INDEX(ERP資料!$A$2:$A75, MATCH(MAX(G$2:G75), G$2:G75, 0)), MAX(G$2:G75)+1, MAX(G$2:G75)+2)))</f>
        <v/>
      </c>
      <c r="H76">
        <f>IF(OR(ERP資料!C76="",ERP資料!D76=""),0,ERP資料!D76-ERP資料!C76+1)</f>
        <v/>
      </c>
    </row>
    <row r="77">
      <c r="A77" t="n">
        <v>77</v>
      </c>
      <c r="B77">
        <f>IF(ERP資料!A77="","",ERP資料!A77&amp;"|"&amp;ERP資料!E77&amp;"|"&amp;ERP資料!F77&amp;"|"&amp;ERP資料!G77&amp;"|"&amp;ERP資料!H77&amp;"|"&amp;ERP資料!O77)</f>
        <v/>
      </c>
      <c r="C77">
        <f>IF(B77="",0,IF(COUNTIF(B$2:B76,B77)=0,1,0))</f>
        <v/>
      </c>
      <c r="D77">
        <f>IF(B77="",0,SUMIFS($H$2:$H$801,$B$2:$B$801,B77))</f>
        <v/>
      </c>
      <c r="E77">
        <f>IF(NOT(AND(C77=1, TRIM(ERP資料!T77)="平板")), 0, IF(MAX(E$2:E76)=0, 1, IF(ERP資料!A77=INDEX(ERP資料!$A$2:$A76, MATCH(MAX(E$2:E76), E$2:E76, 0)), MAX(E$2:E76)+1, MAX(E$2:E76)+2)))</f>
        <v/>
      </c>
      <c r="F77">
        <f>IF(NOT(AND(C77=1, TRIM(ERP資料!T77)="平板")), 0, IF(MAX(F$2:F76)=0, 1, IF(ERP資料!A77=INDEX(ERP資料!$A$2:$A76, MATCH(MAX(F$2:F76), F$2:F76, 0)), MAX(F$2:F76)+1, MAX(F$2:F76)+2)))</f>
        <v/>
      </c>
      <c r="G77">
        <f>IF(NOT(AND(C77=1, TRIM(ERP資料!T77)="捲筒")), 0, IF(MAX(G$2:G76)=0, 1, IF(ERP資料!A77=INDEX(ERP資料!$A$2:$A76, MATCH(MAX(G$2:G76), G$2:G76, 0)), MAX(G$2:G76)+1, MAX(G$2:G76)+2)))</f>
        <v/>
      </c>
      <c r="H77">
        <f>IF(OR(ERP資料!C77="",ERP資料!D77=""),0,ERP資料!D77-ERP資料!C77+1)</f>
        <v/>
      </c>
    </row>
    <row r="78">
      <c r="A78" t="n">
        <v>78</v>
      </c>
      <c r="B78">
        <f>IF(ERP資料!A78="","",ERP資料!A78&amp;"|"&amp;ERP資料!E78&amp;"|"&amp;ERP資料!F78&amp;"|"&amp;ERP資料!G78&amp;"|"&amp;ERP資料!H78&amp;"|"&amp;ERP資料!O78)</f>
        <v/>
      </c>
      <c r="C78">
        <f>IF(B78="",0,IF(COUNTIF(B$2:B77,B78)=0,1,0))</f>
        <v/>
      </c>
      <c r="D78">
        <f>IF(B78="",0,SUMIFS($H$2:$H$801,$B$2:$B$801,B78))</f>
        <v/>
      </c>
      <c r="E78">
        <f>IF(NOT(AND(C78=1, TRIM(ERP資料!T78)="平板")), 0, IF(MAX(E$2:E77)=0, 1, IF(ERP資料!A78=INDEX(ERP資料!$A$2:$A77, MATCH(MAX(E$2:E77), E$2:E77, 0)), MAX(E$2:E77)+1, MAX(E$2:E77)+2)))</f>
        <v/>
      </c>
      <c r="F78">
        <f>IF(NOT(AND(C78=1, TRIM(ERP資料!T78)="平板")), 0, IF(MAX(F$2:F77)=0, 1, IF(ERP資料!A78=INDEX(ERP資料!$A$2:$A77, MATCH(MAX(F$2:F77), F$2:F77, 0)), MAX(F$2:F77)+1, MAX(F$2:F77)+2)))</f>
        <v/>
      </c>
      <c r="G78">
        <f>IF(NOT(AND(C78=1, TRIM(ERP資料!T78)="捲筒")), 0, IF(MAX(G$2:G77)=0, 1, IF(ERP資料!A78=INDEX(ERP資料!$A$2:$A77, MATCH(MAX(G$2:G77), G$2:G77, 0)), MAX(G$2:G77)+1, MAX(G$2:G77)+2)))</f>
        <v/>
      </c>
      <c r="H78">
        <f>IF(OR(ERP資料!C78="",ERP資料!D78=""),0,ERP資料!D78-ERP資料!C78+1)</f>
        <v/>
      </c>
    </row>
    <row r="79">
      <c r="A79" t="n">
        <v>79</v>
      </c>
      <c r="B79">
        <f>IF(ERP資料!A79="","",ERP資料!A79&amp;"|"&amp;ERP資料!E79&amp;"|"&amp;ERP資料!F79&amp;"|"&amp;ERP資料!G79&amp;"|"&amp;ERP資料!H79&amp;"|"&amp;ERP資料!O79)</f>
        <v/>
      </c>
      <c r="C79">
        <f>IF(B79="",0,IF(COUNTIF(B$2:B78,B79)=0,1,0))</f>
        <v/>
      </c>
      <c r="D79">
        <f>IF(B79="",0,SUMIFS($H$2:$H$801,$B$2:$B$801,B79))</f>
        <v/>
      </c>
      <c r="E79">
        <f>IF(NOT(AND(C79=1, TRIM(ERP資料!T79)="平板")), 0, IF(MAX(E$2:E78)=0, 1, IF(ERP資料!A79=INDEX(ERP資料!$A$2:$A78, MATCH(MAX(E$2:E78), E$2:E78, 0)), MAX(E$2:E78)+1, MAX(E$2:E78)+2)))</f>
        <v/>
      </c>
      <c r="F79">
        <f>IF(NOT(AND(C79=1, TRIM(ERP資料!T79)="平板")), 0, IF(MAX(F$2:F78)=0, 1, IF(ERP資料!A79=INDEX(ERP資料!$A$2:$A78, MATCH(MAX(F$2:F78), F$2:F78, 0)), MAX(F$2:F78)+1, MAX(F$2:F78)+2)))</f>
        <v/>
      </c>
      <c r="G79">
        <f>IF(NOT(AND(C79=1, TRIM(ERP資料!T79)="捲筒")), 0, IF(MAX(G$2:G78)=0, 1, IF(ERP資料!A79=INDEX(ERP資料!$A$2:$A78, MATCH(MAX(G$2:G78), G$2:G78, 0)), MAX(G$2:G78)+1, MAX(G$2:G78)+2)))</f>
        <v/>
      </c>
      <c r="H79">
        <f>IF(OR(ERP資料!C79="",ERP資料!D79=""),0,ERP資料!D79-ERP資料!C79+1)</f>
        <v/>
      </c>
    </row>
    <row r="80">
      <c r="A80" t="n">
        <v>80</v>
      </c>
      <c r="B80">
        <f>IF(ERP資料!A80="","",ERP資料!A80&amp;"|"&amp;ERP資料!E80&amp;"|"&amp;ERP資料!F80&amp;"|"&amp;ERP資料!G80&amp;"|"&amp;ERP資料!H80&amp;"|"&amp;ERP資料!O80)</f>
        <v/>
      </c>
      <c r="C80">
        <f>IF(B80="",0,IF(COUNTIF(B$2:B79,B80)=0,1,0))</f>
        <v/>
      </c>
      <c r="D80">
        <f>IF(B80="",0,SUMIFS($H$2:$H$801,$B$2:$B$801,B80))</f>
        <v/>
      </c>
      <c r="E80">
        <f>IF(NOT(AND(C80=1, TRIM(ERP資料!T80)="平板")), 0, IF(MAX(E$2:E79)=0, 1, IF(ERP資料!A80=INDEX(ERP資料!$A$2:$A79, MATCH(MAX(E$2:E79), E$2:E79, 0)), MAX(E$2:E79)+1, MAX(E$2:E79)+2)))</f>
        <v/>
      </c>
      <c r="F80">
        <f>IF(NOT(AND(C80=1, TRIM(ERP資料!T80)="平板")), 0, IF(MAX(F$2:F79)=0, 1, IF(ERP資料!A80=INDEX(ERP資料!$A$2:$A79, MATCH(MAX(F$2:F79), F$2:F79, 0)), MAX(F$2:F79)+1, MAX(F$2:F79)+2)))</f>
        <v/>
      </c>
      <c r="G80">
        <f>IF(NOT(AND(C80=1, TRIM(ERP資料!T80)="捲筒")), 0, IF(MAX(G$2:G79)=0, 1, IF(ERP資料!A80=INDEX(ERP資料!$A$2:$A79, MATCH(MAX(G$2:G79), G$2:G79, 0)), MAX(G$2:G79)+1, MAX(G$2:G79)+2)))</f>
        <v/>
      </c>
      <c r="H80">
        <f>IF(OR(ERP資料!C80="",ERP資料!D80=""),0,ERP資料!D80-ERP資料!C80+1)</f>
        <v/>
      </c>
    </row>
    <row r="81">
      <c r="A81" t="n">
        <v>81</v>
      </c>
      <c r="B81">
        <f>IF(ERP資料!A81="","",ERP資料!A81&amp;"|"&amp;ERP資料!E81&amp;"|"&amp;ERP資料!F81&amp;"|"&amp;ERP資料!G81&amp;"|"&amp;ERP資料!H81&amp;"|"&amp;ERP資料!O81)</f>
        <v/>
      </c>
      <c r="C81">
        <f>IF(B81="",0,IF(COUNTIF(B$2:B80,B81)=0,1,0))</f>
        <v/>
      </c>
      <c r="D81">
        <f>IF(B81="",0,SUMIFS($H$2:$H$801,$B$2:$B$801,B81))</f>
        <v/>
      </c>
      <c r="E81">
        <f>IF(NOT(AND(C81=1, TRIM(ERP資料!T81)="平板")), 0, IF(MAX(E$2:E80)=0, 1, IF(ERP資料!A81=INDEX(ERP資料!$A$2:$A80, MATCH(MAX(E$2:E80), E$2:E80, 0)), MAX(E$2:E80)+1, MAX(E$2:E80)+2)))</f>
        <v/>
      </c>
      <c r="F81">
        <f>IF(NOT(AND(C81=1, TRIM(ERP資料!T81)="平板")), 0, IF(MAX(F$2:F80)=0, 1, IF(ERP資料!A81=INDEX(ERP資料!$A$2:$A80, MATCH(MAX(F$2:F80), F$2:F80, 0)), MAX(F$2:F80)+1, MAX(F$2:F80)+2)))</f>
        <v/>
      </c>
      <c r="G81">
        <f>IF(NOT(AND(C81=1, TRIM(ERP資料!T81)="捲筒")), 0, IF(MAX(G$2:G80)=0, 1, IF(ERP資料!A81=INDEX(ERP資料!$A$2:$A80, MATCH(MAX(G$2:G80), G$2:G80, 0)), MAX(G$2:G80)+1, MAX(G$2:G80)+2)))</f>
        <v/>
      </c>
      <c r="H81">
        <f>IF(OR(ERP資料!C81="",ERP資料!D81=""),0,ERP資料!D81-ERP資料!C81+1)</f>
        <v/>
      </c>
    </row>
    <row r="82">
      <c r="A82" t="n">
        <v>82</v>
      </c>
      <c r="B82">
        <f>IF(ERP資料!A82="","",ERP資料!A82&amp;"|"&amp;ERP資料!E82&amp;"|"&amp;ERP資料!F82&amp;"|"&amp;ERP資料!G82&amp;"|"&amp;ERP資料!H82&amp;"|"&amp;ERP資料!O82)</f>
        <v/>
      </c>
      <c r="C82">
        <f>IF(B82="",0,IF(COUNTIF(B$2:B81,B82)=0,1,0))</f>
        <v/>
      </c>
      <c r="D82">
        <f>IF(B82="",0,SUMIFS($H$2:$H$801,$B$2:$B$801,B82))</f>
        <v/>
      </c>
      <c r="E82">
        <f>IF(NOT(AND(C82=1, TRIM(ERP資料!T82)="平板")), 0, IF(MAX(E$2:E81)=0, 1, IF(ERP資料!A82=INDEX(ERP資料!$A$2:$A81, MATCH(MAX(E$2:E81), E$2:E81, 0)), MAX(E$2:E81)+1, MAX(E$2:E81)+2)))</f>
        <v/>
      </c>
      <c r="F82">
        <f>IF(NOT(AND(C82=1, TRIM(ERP資料!T82)="平板")), 0, IF(MAX(F$2:F81)=0, 1, IF(ERP資料!A82=INDEX(ERP資料!$A$2:$A81, MATCH(MAX(F$2:F81), F$2:F81, 0)), MAX(F$2:F81)+1, MAX(F$2:F81)+2)))</f>
        <v/>
      </c>
      <c r="G82">
        <f>IF(NOT(AND(C82=1, TRIM(ERP資料!T82)="捲筒")), 0, IF(MAX(G$2:G81)=0, 1, IF(ERP資料!A82=INDEX(ERP資料!$A$2:$A81, MATCH(MAX(G$2:G81), G$2:G81, 0)), MAX(G$2:G81)+1, MAX(G$2:G81)+2)))</f>
        <v/>
      </c>
      <c r="H82">
        <f>IF(OR(ERP資料!C82="",ERP資料!D82=""),0,ERP資料!D82-ERP資料!C82+1)</f>
        <v/>
      </c>
    </row>
    <row r="83">
      <c r="A83" t="n">
        <v>83</v>
      </c>
      <c r="B83">
        <f>IF(ERP資料!A83="","",ERP資料!A83&amp;"|"&amp;ERP資料!E83&amp;"|"&amp;ERP資料!F83&amp;"|"&amp;ERP資料!G83&amp;"|"&amp;ERP資料!H83&amp;"|"&amp;ERP資料!O83)</f>
        <v/>
      </c>
      <c r="C83">
        <f>IF(B83="",0,IF(COUNTIF(B$2:B82,B83)=0,1,0))</f>
        <v/>
      </c>
      <c r="D83">
        <f>IF(B83="",0,SUMIFS($H$2:$H$801,$B$2:$B$801,B83))</f>
        <v/>
      </c>
      <c r="E83">
        <f>IF(NOT(AND(C83=1, TRIM(ERP資料!T83)="平板")), 0, IF(MAX(E$2:E82)=0, 1, IF(ERP資料!A83=INDEX(ERP資料!$A$2:$A82, MATCH(MAX(E$2:E82), E$2:E82, 0)), MAX(E$2:E82)+1, MAX(E$2:E82)+2)))</f>
        <v/>
      </c>
      <c r="F83">
        <f>IF(NOT(AND(C83=1, TRIM(ERP資料!T83)="平板")), 0, IF(MAX(F$2:F82)=0, 1, IF(ERP資料!A83=INDEX(ERP資料!$A$2:$A82, MATCH(MAX(F$2:F82), F$2:F82, 0)), MAX(F$2:F82)+1, MAX(F$2:F82)+2)))</f>
        <v/>
      </c>
      <c r="G83">
        <f>IF(NOT(AND(C83=1, TRIM(ERP資料!T83)="捲筒")), 0, IF(MAX(G$2:G82)=0, 1, IF(ERP資料!A83=INDEX(ERP資料!$A$2:$A82, MATCH(MAX(G$2:G82), G$2:G82, 0)), MAX(G$2:G82)+1, MAX(G$2:G82)+2)))</f>
        <v/>
      </c>
      <c r="H83">
        <f>IF(OR(ERP資料!C83="",ERP資料!D83=""),0,ERP資料!D83-ERP資料!C83+1)</f>
        <v/>
      </c>
    </row>
    <row r="84">
      <c r="A84" t="n">
        <v>84</v>
      </c>
      <c r="B84">
        <f>IF(ERP資料!A84="","",ERP資料!A84&amp;"|"&amp;ERP資料!E84&amp;"|"&amp;ERP資料!F84&amp;"|"&amp;ERP資料!G84&amp;"|"&amp;ERP資料!H84&amp;"|"&amp;ERP資料!O84)</f>
        <v/>
      </c>
      <c r="C84">
        <f>IF(B84="",0,IF(COUNTIF(B$2:B83,B84)=0,1,0))</f>
        <v/>
      </c>
      <c r="D84">
        <f>IF(B84="",0,SUMIFS($H$2:$H$801,$B$2:$B$801,B84))</f>
        <v/>
      </c>
      <c r="E84">
        <f>IF(NOT(AND(C84=1, TRIM(ERP資料!T84)="平板")), 0, IF(MAX(E$2:E83)=0, 1, IF(ERP資料!A84=INDEX(ERP資料!$A$2:$A83, MATCH(MAX(E$2:E83), E$2:E83, 0)), MAX(E$2:E83)+1, MAX(E$2:E83)+2)))</f>
        <v/>
      </c>
      <c r="F84">
        <f>IF(NOT(AND(C84=1, TRIM(ERP資料!T84)="平板")), 0, IF(MAX(F$2:F83)=0, 1, IF(ERP資料!A84=INDEX(ERP資料!$A$2:$A83, MATCH(MAX(F$2:F83), F$2:F83, 0)), MAX(F$2:F83)+1, MAX(F$2:F83)+2)))</f>
        <v/>
      </c>
      <c r="G84">
        <f>IF(NOT(AND(C84=1, TRIM(ERP資料!T84)="捲筒")), 0, IF(MAX(G$2:G83)=0, 1, IF(ERP資料!A84=INDEX(ERP資料!$A$2:$A83, MATCH(MAX(G$2:G83), G$2:G83, 0)), MAX(G$2:G83)+1, MAX(G$2:G83)+2)))</f>
        <v/>
      </c>
      <c r="H84">
        <f>IF(OR(ERP資料!C84="",ERP資料!D84=""),0,ERP資料!D84-ERP資料!C84+1)</f>
        <v/>
      </c>
    </row>
    <row r="85">
      <c r="A85" t="n">
        <v>85</v>
      </c>
      <c r="B85">
        <f>IF(ERP資料!A85="","",ERP資料!A85&amp;"|"&amp;ERP資料!E85&amp;"|"&amp;ERP資料!F85&amp;"|"&amp;ERP資料!G85&amp;"|"&amp;ERP資料!H85&amp;"|"&amp;ERP資料!O85)</f>
        <v/>
      </c>
      <c r="C85">
        <f>IF(B85="",0,IF(COUNTIF(B$2:B84,B85)=0,1,0))</f>
        <v/>
      </c>
      <c r="D85">
        <f>IF(B85="",0,SUMIFS($H$2:$H$801,$B$2:$B$801,B85))</f>
        <v/>
      </c>
      <c r="E85">
        <f>IF(NOT(AND(C85=1, TRIM(ERP資料!T85)="平板")), 0, IF(MAX(E$2:E84)=0, 1, IF(ERP資料!A85=INDEX(ERP資料!$A$2:$A84, MATCH(MAX(E$2:E84), E$2:E84, 0)), MAX(E$2:E84)+1, MAX(E$2:E84)+2)))</f>
        <v/>
      </c>
      <c r="F85">
        <f>IF(NOT(AND(C85=1, TRIM(ERP資料!T85)="平板")), 0, IF(MAX(F$2:F84)=0, 1, IF(ERP資料!A85=INDEX(ERP資料!$A$2:$A84, MATCH(MAX(F$2:F84), F$2:F84, 0)), MAX(F$2:F84)+1, MAX(F$2:F84)+2)))</f>
        <v/>
      </c>
      <c r="G85">
        <f>IF(NOT(AND(C85=1, TRIM(ERP資料!T85)="捲筒")), 0, IF(MAX(G$2:G84)=0, 1, IF(ERP資料!A85=INDEX(ERP資料!$A$2:$A84, MATCH(MAX(G$2:G84), G$2:G84, 0)), MAX(G$2:G84)+1, MAX(G$2:G84)+2)))</f>
        <v/>
      </c>
      <c r="H85">
        <f>IF(OR(ERP資料!C85="",ERP資料!D85=""),0,ERP資料!D85-ERP資料!C85+1)</f>
        <v/>
      </c>
    </row>
    <row r="86">
      <c r="A86" t="n">
        <v>86</v>
      </c>
      <c r="B86">
        <f>IF(ERP資料!A86="","",ERP資料!A86&amp;"|"&amp;ERP資料!E86&amp;"|"&amp;ERP資料!F86&amp;"|"&amp;ERP資料!G86&amp;"|"&amp;ERP資料!H86&amp;"|"&amp;ERP資料!O86)</f>
        <v/>
      </c>
      <c r="C86">
        <f>IF(B86="",0,IF(COUNTIF(B$2:B85,B86)=0,1,0))</f>
        <v/>
      </c>
      <c r="D86">
        <f>IF(B86="",0,SUMIFS($H$2:$H$801,$B$2:$B$801,B86))</f>
        <v/>
      </c>
      <c r="E86">
        <f>IF(NOT(AND(C86=1, TRIM(ERP資料!T86)="平板")), 0, IF(MAX(E$2:E85)=0, 1, IF(ERP資料!A86=INDEX(ERP資料!$A$2:$A85, MATCH(MAX(E$2:E85), E$2:E85, 0)), MAX(E$2:E85)+1, MAX(E$2:E85)+2)))</f>
        <v/>
      </c>
      <c r="F86">
        <f>IF(NOT(AND(C86=1, TRIM(ERP資料!T86)="平板")), 0, IF(MAX(F$2:F85)=0, 1, IF(ERP資料!A86=INDEX(ERP資料!$A$2:$A85, MATCH(MAX(F$2:F85), F$2:F85, 0)), MAX(F$2:F85)+1, MAX(F$2:F85)+2)))</f>
        <v/>
      </c>
      <c r="G86">
        <f>IF(NOT(AND(C86=1, TRIM(ERP資料!T86)="捲筒")), 0, IF(MAX(G$2:G85)=0, 1, IF(ERP資料!A86=INDEX(ERP資料!$A$2:$A85, MATCH(MAX(G$2:G85), G$2:G85, 0)), MAX(G$2:G85)+1, MAX(G$2:G85)+2)))</f>
        <v/>
      </c>
      <c r="H86">
        <f>IF(OR(ERP資料!C86="",ERP資料!D86=""),0,ERP資料!D86-ERP資料!C86+1)</f>
        <v/>
      </c>
    </row>
    <row r="87">
      <c r="A87" t="n">
        <v>87</v>
      </c>
      <c r="B87">
        <f>IF(ERP資料!A87="","",ERP資料!A87&amp;"|"&amp;ERP資料!E87&amp;"|"&amp;ERP資料!F87&amp;"|"&amp;ERP資料!G87&amp;"|"&amp;ERP資料!H87&amp;"|"&amp;ERP資料!O87)</f>
        <v/>
      </c>
      <c r="C87">
        <f>IF(B87="",0,IF(COUNTIF(B$2:B86,B87)=0,1,0))</f>
        <v/>
      </c>
      <c r="D87">
        <f>IF(B87="",0,SUMIFS($H$2:$H$801,$B$2:$B$801,B87))</f>
        <v/>
      </c>
      <c r="E87">
        <f>IF(NOT(AND(C87=1, TRIM(ERP資料!T87)="平板")), 0, IF(MAX(E$2:E86)=0, 1, IF(ERP資料!A87=INDEX(ERP資料!$A$2:$A86, MATCH(MAX(E$2:E86), E$2:E86, 0)), MAX(E$2:E86)+1, MAX(E$2:E86)+2)))</f>
        <v/>
      </c>
      <c r="F87">
        <f>IF(NOT(AND(C87=1, TRIM(ERP資料!T87)="平板")), 0, IF(MAX(F$2:F86)=0, 1, IF(ERP資料!A87=INDEX(ERP資料!$A$2:$A86, MATCH(MAX(F$2:F86), F$2:F86, 0)), MAX(F$2:F86)+1, MAX(F$2:F86)+2)))</f>
        <v/>
      </c>
      <c r="G87">
        <f>IF(NOT(AND(C87=1, TRIM(ERP資料!T87)="捲筒")), 0, IF(MAX(G$2:G86)=0, 1, IF(ERP資料!A87=INDEX(ERP資料!$A$2:$A86, MATCH(MAX(G$2:G86), G$2:G86, 0)), MAX(G$2:G86)+1, MAX(G$2:G86)+2)))</f>
        <v/>
      </c>
      <c r="H87">
        <f>IF(OR(ERP資料!C87="",ERP資料!D87=""),0,ERP資料!D87-ERP資料!C87+1)</f>
        <v/>
      </c>
    </row>
    <row r="88">
      <c r="A88" t="n">
        <v>88</v>
      </c>
      <c r="B88">
        <f>IF(ERP資料!A88="","",ERP資料!A88&amp;"|"&amp;ERP資料!E88&amp;"|"&amp;ERP資料!F88&amp;"|"&amp;ERP資料!G88&amp;"|"&amp;ERP資料!H88&amp;"|"&amp;ERP資料!O88)</f>
        <v/>
      </c>
      <c r="C88">
        <f>IF(B88="",0,IF(COUNTIF(B$2:B87,B88)=0,1,0))</f>
        <v/>
      </c>
      <c r="D88">
        <f>IF(B88="",0,SUMIFS($H$2:$H$801,$B$2:$B$801,B88))</f>
        <v/>
      </c>
      <c r="E88">
        <f>IF(NOT(AND(C88=1, TRIM(ERP資料!T88)="平板")), 0, IF(MAX(E$2:E87)=0, 1, IF(ERP資料!A88=INDEX(ERP資料!$A$2:$A87, MATCH(MAX(E$2:E87), E$2:E87, 0)), MAX(E$2:E87)+1, MAX(E$2:E87)+2)))</f>
        <v/>
      </c>
      <c r="F88">
        <f>IF(NOT(AND(C88=1, TRIM(ERP資料!T88)="平板")), 0, IF(MAX(F$2:F87)=0, 1, IF(ERP資料!A88=INDEX(ERP資料!$A$2:$A87, MATCH(MAX(F$2:F87), F$2:F87, 0)), MAX(F$2:F87)+1, MAX(F$2:F87)+2)))</f>
        <v/>
      </c>
      <c r="G88">
        <f>IF(NOT(AND(C88=1, TRIM(ERP資料!T88)="捲筒")), 0, IF(MAX(G$2:G87)=0, 1, IF(ERP資料!A88=INDEX(ERP資料!$A$2:$A87, MATCH(MAX(G$2:G87), G$2:G87, 0)), MAX(G$2:G87)+1, MAX(G$2:G87)+2)))</f>
        <v/>
      </c>
      <c r="H88">
        <f>IF(OR(ERP資料!C88="",ERP資料!D88=""),0,ERP資料!D88-ERP資料!C88+1)</f>
        <v/>
      </c>
    </row>
    <row r="89">
      <c r="A89" t="n">
        <v>89</v>
      </c>
      <c r="B89">
        <f>IF(ERP資料!A89="","",ERP資料!A89&amp;"|"&amp;ERP資料!E89&amp;"|"&amp;ERP資料!F89&amp;"|"&amp;ERP資料!G89&amp;"|"&amp;ERP資料!H89&amp;"|"&amp;ERP資料!O89)</f>
        <v/>
      </c>
      <c r="C89">
        <f>IF(B89="",0,IF(COUNTIF(B$2:B88,B89)=0,1,0))</f>
        <v/>
      </c>
      <c r="D89">
        <f>IF(B89="",0,SUMIFS($H$2:$H$801,$B$2:$B$801,B89))</f>
        <v/>
      </c>
      <c r="E89">
        <f>IF(NOT(AND(C89=1, TRIM(ERP資料!T89)="平板")), 0, IF(MAX(E$2:E88)=0, 1, IF(ERP資料!A89=INDEX(ERP資料!$A$2:$A88, MATCH(MAX(E$2:E88), E$2:E88, 0)), MAX(E$2:E88)+1, MAX(E$2:E88)+2)))</f>
        <v/>
      </c>
      <c r="F89">
        <f>IF(NOT(AND(C89=1, TRIM(ERP資料!T89)="平板")), 0, IF(MAX(F$2:F88)=0, 1, IF(ERP資料!A89=INDEX(ERP資料!$A$2:$A88, MATCH(MAX(F$2:F88), F$2:F88, 0)), MAX(F$2:F88)+1, MAX(F$2:F88)+2)))</f>
        <v/>
      </c>
      <c r="G89">
        <f>IF(NOT(AND(C89=1, TRIM(ERP資料!T89)="捲筒")), 0, IF(MAX(G$2:G88)=0, 1, IF(ERP資料!A89=INDEX(ERP資料!$A$2:$A88, MATCH(MAX(G$2:G88), G$2:G88, 0)), MAX(G$2:G88)+1, MAX(G$2:G88)+2)))</f>
        <v/>
      </c>
      <c r="H89">
        <f>IF(OR(ERP資料!C89="",ERP資料!D89=""),0,ERP資料!D89-ERP資料!C89+1)</f>
        <v/>
      </c>
    </row>
    <row r="90">
      <c r="A90" t="n">
        <v>90</v>
      </c>
      <c r="B90">
        <f>IF(ERP資料!A90="","",ERP資料!A90&amp;"|"&amp;ERP資料!E90&amp;"|"&amp;ERP資料!F90&amp;"|"&amp;ERP資料!G90&amp;"|"&amp;ERP資料!H90&amp;"|"&amp;ERP資料!O90)</f>
        <v/>
      </c>
      <c r="C90">
        <f>IF(B90="",0,IF(COUNTIF(B$2:B89,B90)=0,1,0))</f>
        <v/>
      </c>
      <c r="D90">
        <f>IF(B90="",0,SUMIFS($H$2:$H$801,$B$2:$B$801,B90))</f>
        <v/>
      </c>
      <c r="E90">
        <f>IF(NOT(AND(C90=1, TRIM(ERP資料!T90)="平板")), 0, IF(MAX(E$2:E89)=0, 1, IF(ERP資料!A90=INDEX(ERP資料!$A$2:$A89, MATCH(MAX(E$2:E89), E$2:E89, 0)), MAX(E$2:E89)+1, MAX(E$2:E89)+2)))</f>
        <v/>
      </c>
      <c r="F90">
        <f>IF(NOT(AND(C90=1, TRIM(ERP資料!T90)="平板")), 0, IF(MAX(F$2:F89)=0, 1, IF(ERP資料!A90=INDEX(ERP資料!$A$2:$A89, MATCH(MAX(F$2:F89), F$2:F89, 0)), MAX(F$2:F89)+1, MAX(F$2:F89)+2)))</f>
        <v/>
      </c>
      <c r="G90">
        <f>IF(NOT(AND(C90=1, TRIM(ERP資料!T90)="捲筒")), 0, IF(MAX(G$2:G89)=0, 1, IF(ERP資料!A90=INDEX(ERP資料!$A$2:$A89, MATCH(MAX(G$2:G89), G$2:G89, 0)), MAX(G$2:G89)+1, MAX(G$2:G89)+2)))</f>
        <v/>
      </c>
      <c r="H90">
        <f>IF(OR(ERP資料!C90="",ERP資料!D90=""),0,ERP資料!D90-ERP資料!C90+1)</f>
        <v/>
      </c>
    </row>
    <row r="91">
      <c r="A91" t="n">
        <v>91</v>
      </c>
      <c r="B91">
        <f>IF(ERP資料!A91="","",ERP資料!A91&amp;"|"&amp;ERP資料!E91&amp;"|"&amp;ERP資料!F91&amp;"|"&amp;ERP資料!G91&amp;"|"&amp;ERP資料!H91&amp;"|"&amp;ERP資料!O91)</f>
        <v/>
      </c>
      <c r="C91">
        <f>IF(B91="",0,IF(COUNTIF(B$2:B90,B91)=0,1,0))</f>
        <v/>
      </c>
      <c r="D91">
        <f>IF(B91="",0,SUMIFS($H$2:$H$801,$B$2:$B$801,B91))</f>
        <v/>
      </c>
      <c r="E91">
        <f>IF(NOT(AND(C91=1, TRIM(ERP資料!T91)="平板")), 0, IF(MAX(E$2:E90)=0, 1, IF(ERP資料!A91=INDEX(ERP資料!$A$2:$A90, MATCH(MAX(E$2:E90), E$2:E90, 0)), MAX(E$2:E90)+1, MAX(E$2:E90)+2)))</f>
        <v/>
      </c>
      <c r="F91">
        <f>IF(NOT(AND(C91=1, TRIM(ERP資料!T91)="平板")), 0, IF(MAX(F$2:F90)=0, 1, IF(ERP資料!A91=INDEX(ERP資料!$A$2:$A90, MATCH(MAX(F$2:F90), F$2:F90, 0)), MAX(F$2:F90)+1, MAX(F$2:F90)+2)))</f>
        <v/>
      </c>
      <c r="G91">
        <f>IF(NOT(AND(C91=1, TRIM(ERP資料!T91)="捲筒")), 0, IF(MAX(G$2:G90)=0, 1, IF(ERP資料!A91=INDEX(ERP資料!$A$2:$A90, MATCH(MAX(G$2:G90), G$2:G90, 0)), MAX(G$2:G90)+1, MAX(G$2:G90)+2)))</f>
        <v/>
      </c>
      <c r="H91">
        <f>IF(OR(ERP資料!C91="",ERP資料!D91=""),0,ERP資料!D91-ERP資料!C91+1)</f>
        <v/>
      </c>
    </row>
    <row r="92">
      <c r="A92" t="n">
        <v>92</v>
      </c>
      <c r="B92">
        <f>IF(ERP資料!A92="","",ERP資料!A92&amp;"|"&amp;ERP資料!E92&amp;"|"&amp;ERP資料!F92&amp;"|"&amp;ERP資料!G92&amp;"|"&amp;ERP資料!H92&amp;"|"&amp;ERP資料!O92)</f>
        <v/>
      </c>
      <c r="C92">
        <f>IF(B92="",0,IF(COUNTIF(B$2:B91,B92)=0,1,0))</f>
        <v/>
      </c>
      <c r="D92">
        <f>IF(B92="",0,SUMIFS($H$2:$H$801,$B$2:$B$801,B92))</f>
        <v/>
      </c>
      <c r="E92">
        <f>IF(NOT(AND(C92=1, TRIM(ERP資料!T92)="平板")), 0, IF(MAX(E$2:E91)=0, 1, IF(ERP資料!A92=INDEX(ERP資料!$A$2:$A91, MATCH(MAX(E$2:E91), E$2:E91, 0)), MAX(E$2:E91)+1, MAX(E$2:E91)+2)))</f>
        <v/>
      </c>
      <c r="F92">
        <f>IF(NOT(AND(C92=1, TRIM(ERP資料!T92)="平板")), 0, IF(MAX(F$2:F91)=0, 1, IF(ERP資料!A92=INDEX(ERP資料!$A$2:$A91, MATCH(MAX(F$2:F91), F$2:F91, 0)), MAX(F$2:F91)+1, MAX(F$2:F91)+2)))</f>
        <v/>
      </c>
      <c r="G92">
        <f>IF(NOT(AND(C92=1, TRIM(ERP資料!T92)="捲筒")), 0, IF(MAX(G$2:G91)=0, 1, IF(ERP資料!A92=INDEX(ERP資料!$A$2:$A91, MATCH(MAX(G$2:G91), G$2:G91, 0)), MAX(G$2:G91)+1, MAX(G$2:G91)+2)))</f>
        <v/>
      </c>
      <c r="H92">
        <f>IF(OR(ERP資料!C92="",ERP資料!D92=""),0,ERP資料!D92-ERP資料!C92+1)</f>
        <v/>
      </c>
    </row>
    <row r="93">
      <c r="A93" t="n">
        <v>93</v>
      </c>
      <c r="B93">
        <f>IF(ERP資料!A93="","",ERP資料!A93&amp;"|"&amp;ERP資料!E93&amp;"|"&amp;ERP資料!F93&amp;"|"&amp;ERP資料!G93&amp;"|"&amp;ERP資料!H93&amp;"|"&amp;ERP資料!O93)</f>
        <v/>
      </c>
      <c r="C93">
        <f>IF(B93="",0,IF(COUNTIF(B$2:B92,B93)=0,1,0))</f>
        <v/>
      </c>
      <c r="D93">
        <f>IF(B93="",0,SUMIFS($H$2:$H$801,$B$2:$B$801,B93))</f>
        <v/>
      </c>
      <c r="E93">
        <f>IF(NOT(AND(C93=1, TRIM(ERP資料!T93)="平板")), 0, IF(MAX(E$2:E92)=0, 1, IF(ERP資料!A93=INDEX(ERP資料!$A$2:$A92, MATCH(MAX(E$2:E92), E$2:E92, 0)), MAX(E$2:E92)+1, MAX(E$2:E92)+2)))</f>
        <v/>
      </c>
      <c r="F93">
        <f>IF(NOT(AND(C93=1, TRIM(ERP資料!T93)="平板")), 0, IF(MAX(F$2:F92)=0, 1, IF(ERP資料!A93=INDEX(ERP資料!$A$2:$A92, MATCH(MAX(F$2:F92), F$2:F92, 0)), MAX(F$2:F92)+1, MAX(F$2:F92)+2)))</f>
        <v/>
      </c>
      <c r="G93">
        <f>IF(NOT(AND(C93=1, TRIM(ERP資料!T93)="捲筒")), 0, IF(MAX(G$2:G92)=0, 1, IF(ERP資料!A93=INDEX(ERP資料!$A$2:$A92, MATCH(MAX(G$2:G92), G$2:G92, 0)), MAX(G$2:G92)+1, MAX(G$2:G92)+2)))</f>
        <v/>
      </c>
      <c r="H93">
        <f>IF(OR(ERP資料!C93="",ERP資料!D93=""),0,ERP資料!D93-ERP資料!C93+1)</f>
        <v/>
      </c>
    </row>
    <row r="94">
      <c r="A94" t="n">
        <v>94</v>
      </c>
      <c r="B94">
        <f>IF(ERP資料!A94="","",ERP資料!A94&amp;"|"&amp;ERP資料!E94&amp;"|"&amp;ERP資料!F94&amp;"|"&amp;ERP資料!G94&amp;"|"&amp;ERP資料!H94&amp;"|"&amp;ERP資料!O94)</f>
        <v/>
      </c>
      <c r="C94">
        <f>IF(B94="",0,IF(COUNTIF(B$2:B93,B94)=0,1,0))</f>
        <v/>
      </c>
      <c r="D94">
        <f>IF(B94="",0,SUMIFS($H$2:$H$801,$B$2:$B$801,B94))</f>
        <v/>
      </c>
      <c r="E94">
        <f>IF(NOT(AND(C94=1, TRIM(ERP資料!T94)="平板")), 0, IF(MAX(E$2:E93)=0, 1, IF(ERP資料!A94=INDEX(ERP資料!$A$2:$A93, MATCH(MAX(E$2:E93), E$2:E93, 0)), MAX(E$2:E93)+1, MAX(E$2:E93)+2)))</f>
        <v/>
      </c>
      <c r="F94">
        <f>IF(NOT(AND(C94=1, TRIM(ERP資料!T94)="平板")), 0, IF(MAX(F$2:F93)=0, 1, IF(ERP資料!A94=INDEX(ERP資料!$A$2:$A93, MATCH(MAX(F$2:F93), F$2:F93, 0)), MAX(F$2:F93)+1, MAX(F$2:F93)+2)))</f>
        <v/>
      </c>
      <c r="G94">
        <f>IF(NOT(AND(C94=1, TRIM(ERP資料!T94)="捲筒")), 0, IF(MAX(G$2:G93)=0, 1, IF(ERP資料!A94=INDEX(ERP資料!$A$2:$A93, MATCH(MAX(G$2:G93), G$2:G93, 0)), MAX(G$2:G93)+1, MAX(G$2:G93)+2)))</f>
        <v/>
      </c>
      <c r="H94">
        <f>IF(OR(ERP資料!C94="",ERP資料!D94=""),0,ERP資料!D94-ERP資料!C94+1)</f>
        <v/>
      </c>
    </row>
    <row r="95">
      <c r="A95" t="n">
        <v>95</v>
      </c>
      <c r="B95">
        <f>IF(ERP資料!A95="","",ERP資料!A95&amp;"|"&amp;ERP資料!E95&amp;"|"&amp;ERP資料!F95&amp;"|"&amp;ERP資料!G95&amp;"|"&amp;ERP資料!H95&amp;"|"&amp;ERP資料!O95)</f>
        <v/>
      </c>
      <c r="C95">
        <f>IF(B95="",0,IF(COUNTIF(B$2:B94,B95)=0,1,0))</f>
        <v/>
      </c>
      <c r="D95">
        <f>IF(B95="",0,SUMIFS($H$2:$H$801,$B$2:$B$801,B95))</f>
        <v/>
      </c>
      <c r="E95">
        <f>IF(NOT(AND(C95=1, TRIM(ERP資料!T95)="平板")), 0, IF(MAX(E$2:E94)=0, 1, IF(ERP資料!A95=INDEX(ERP資料!$A$2:$A94, MATCH(MAX(E$2:E94), E$2:E94, 0)), MAX(E$2:E94)+1, MAX(E$2:E94)+2)))</f>
        <v/>
      </c>
      <c r="F95">
        <f>IF(NOT(AND(C95=1, TRIM(ERP資料!T95)="平板")), 0, IF(MAX(F$2:F94)=0, 1, IF(ERP資料!A95=INDEX(ERP資料!$A$2:$A94, MATCH(MAX(F$2:F94), F$2:F94, 0)), MAX(F$2:F94)+1, MAX(F$2:F94)+2)))</f>
        <v/>
      </c>
      <c r="G95">
        <f>IF(NOT(AND(C95=1, TRIM(ERP資料!T95)="捲筒")), 0, IF(MAX(G$2:G94)=0, 1, IF(ERP資料!A95=INDEX(ERP資料!$A$2:$A94, MATCH(MAX(G$2:G94), G$2:G94, 0)), MAX(G$2:G94)+1, MAX(G$2:G94)+2)))</f>
        <v/>
      </c>
      <c r="H95">
        <f>IF(OR(ERP資料!C95="",ERP資料!D95=""),0,ERP資料!D95-ERP資料!C95+1)</f>
        <v/>
      </c>
    </row>
    <row r="96">
      <c r="A96" t="n">
        <v>96</v>
      </c>
      <c r="B96">
        <f>IF(ERP資料!A96="","",ERP資料!A96&amp;"|"&amp;ERP資料!E96&amp;"|"&amp;ERP資料!F96&amp;"|"&amp;ERP資料!G96&amp;"|"&amp;ERP資料!H96&amp;"|"&amp;ERP資料!O96)</f>
        <v/>
      </c>
      <c r="C96">
        <f>IF(B96="",0,IF(COUNTIF(B$2:B95,B96)=0,1,0))</f>
        <v/>
      </c>
      <c r="D96">
        <f>IF(B96="",0,SUMIFS($H$2:$H$801,$B$2:$B$801,B96))</f>
        <v/>
      </c>
      <c r="E96">
        <f>IF(NOT(AND(C96=1, TRIM(ERP資料!T96)="平板")), 0, IF(MAX(E$2:E95)=0, 1, IF(ERP資料!A96=INDEX(ERP資料!$A$2:$A95, MATCH(MAX(E$2:E95), E$2:E95, 0)), MAX(E$2:E95)+1, MAX(E$2:E95)+2)))</f>
        <v/>
      </c>
      <c r="F96">
        <f>IF(NOT(AND(C96=1, TRIM(ERP資料!T96)="平板")), 0, IF(MAX(F$2:F95)=0, 1, IF(ERP資料!A96=INDEX(ERP資料!$A$2:$A95, MATCH(MAX(F$2:F95), F$2:F95, 0)), MAX(F$2:F95)+1, MAX(F$2:F95)+2)))</f>
        <v/>
      </c>
      <c r="G96">
        <f>IF(NOT(AND(C96=1, TRIM(ERP資料!T96)="捲筒")), 0, IF(MAX(G$2:G95)=0, 1, IF(ERP資料!A96=INDEX(ERP資料!$A$2:$A95, MATCH(MAX(G$2:G95), G$2:G95, 0)), MAX(G$2:G95)+1, MAX(G$2:G95)+2)))</f>
        <v/>
      </c>
      <c r="H96">
        <f>IF(OR(ERP資料!C96="",ERP資料!D96=""),0,ERP資料!D96-ERP資料!C96+1)</f>
        <v/>
      </c>
    </row>
    <row r="97">
      <c r="A97" t="n">
        <v>97</v>
      </c>
      <c r="B97">
        <f>IF(ERP資料!A97="","",ERP資料!A97&amp;"|"&amp;ERP資料!E97&amp;"|"&amp;ERP資料!F97&amp;"|"&amp;ERP資料!G97&amp;"|"&amp;ERP資料!H97&amp;"|"&amp;ERP資料!O97)</f>
        <v/>
      </c>
      <c r="C97">
        <f>IF(B97="",0,IF(COUNTIF(B$2:B96,B97)=0,1,0))</f>
        <v/>
      </c>
      <c r="D97">
        <f>IF(B97="",0,SUMIFS($H$2:$H$801,$B$2:$B$801,B97))</f>
        <v/>
      </c>
      <c r="E97">
        <f>IF(NOT(AND(C97=1, TRIM(ERP資料!T97)="平板")), 0, IF(MAX(E$2:E96)=0, 1, IF(ERP資料!A97=INDEX(ERP資料!$A$2:$A96, MATCH(MAX(E$2:E96), E$2:E96, 0)), MAX(E$2:E96)+1, MAX(E$2:E96)+2)))</f>
        <v/>
      </c>
      <c r="F97">
        <f>IF(NOT(AND(C97=1, TRIM(ERP資料!T97)="平板")), 0, IF(MAX(F$2:F96)=0, 1, IF(ERP資料!A97=INDEX(ERP資料!$A$2:$A96, MATCH(MAX(F$2:F96), F$2:F96, 0)), MAX(F$2:F96)+1, MAX(F$2:F96)+2)))</f>
        <v/>
      </c>
      <c r="G97">
        <f>IF(NOT(AND(C97=1, TRIM(ERP資料!T97)="捲筒")), 0, IF(MAX(G$2:G96)=0, 1, IF(ERP資料!A97=INDEX(ERP資料!$A$2:$A96, MATCH(MAX(G$2:G96), G$2:G96, 0)), MAX(G$2:G96)+1, MAX(G$2:G96)+2)))</f>
        <v/>
      </c>
      <c r="H97">
        <f>IF(OR(ERP資料!C97="",ERP資料!D97=""),0,ERP資料!D97-ERP資料!C97+1)</f>
        <v/>
      </c>
    </row>
    <row r="98">
      <c r="A98" t="n">
        <v>98</v>
      </c>
      <c r="B98">
        <f>IF(ERP資料!A98="","",ERP資料!A98&amp;"|"&amp;ERP資料!E98&amp;"|"&amp;ERP資料!F98&amp;"|"&amp;ERP資料!G98&amp;"|"&amp;ERP資料!H98&amp;"|"&amp;ERP資料!O98)</f>
        <v/>
      </c>
      <c r="C98">
        <f>IF(B98="",0,IF(COUNTIF(B$2:B97,B98)=0,1,0))</f>
        <v/>
      </c>
      <c r="D98">
        <f>IF(B98="",0,SUMIFS($H$2:$H$801,$B$2:$B$801,B98))</f>
        <v/>
      </c>
      <c r="E98">
        <f>IF(NOT(AND(C98=1, TRIM(ERP資料!T98)="平板")), 0, IF(MAX(E$2:E97)=0, 1, IF(ERP資料!A98=INDEX(ERP資料!$A$2:$A97, MATCH(MAX(E$2:E97), E$2:E97, 0)), MAX(E$2:E97)+1, MAX(E$2:E97)+2)))</f>
        <v/>
      </c>
      <c r="F98">
        <f>IF(NOT(AND(C98=1, TRIM(ERP資料!T98)="平板")), 0, IF(MAX(F$2:F97)=0, 1, IF(ERP資料!A98=INDEX(ERP資料!$A$2:$A97, MATCH(MAX(F$2:F97), F$2:F97, 0)), MAX(F$2:F97)+1, MAX(F$2:F97)+2)))</f>
        <v/>
      </c>
      <c r="G98">
        <f>IF(NOT(AND(C98=1, TRIM(ERP資料!T98)="捲筒")), 0, IF(MAX(G$2:G97)=0, 1, IF(ERP資料!A98=INDEX(ERP資料!$A$2:$A97, MATCH(MAX(G$2:G97), G$2:G97, 0)), MAX(G$2:G97)+1, MAX(G$2:G97)+2)))</f>
        <v/>
      </c>
      <c r="H98">
        <f>IF(OR(ERP資料!C98="",ERP資料!D98=""),0,ERP資料!D98-ERP資料!C98+1)</f>
        <v/>
      </c>
    </row>
    <row r="99">
      <c r="A99" t="n">
        <v>99</v>
      </c>
      <c r="B99">
        <f>IF(ERP資料!A99="","",ERP資料!A99&amp;"|"&amp;ERP資料!E99&amp;"|"&amp;ERP資料!F99&amp;"|"&amp;ERP資料!G99&amp;"|"&amp;ERP資料!H99&amp;"|"&amp;ERP資料!O99)</f>
        <v/>
      </c>
      <c r="C99">
        <f>IF(B99="",0,IF(COUNTIF(B$2:B98,B99)=0,1,0))</f>
        <v/>
      </c>
      <c r="D99">
        <f>IF(B99="",0,SUMIFS($H$2:$H$801,$B$2:$B$801,B99))</f>
        <v/>
      </c>
      <c r="E99">
        <f>IF(NOT(AND(C99=1, TRIM(ERP資料!T99)="平板")), 0, IF(MAX(E$2:E98)=0, 1, IF(ERP資料!A99=INDEX(ERP資料!$A$2:$A98, MATCH(MAX(E$2:E98), E$2:E98, 0)), MAX(E$2:E98)+1, MAX(E$2:E98)+2)))</f>
        <v/>
      </c>
      <c r="F99">
        <f>IF(NOT(AND(C99=1, TRIM(ERP資料!T99)="平板")), 0, IF(MAX(F$2:F98)=0, 1, IF(ERP資料!A99=INDEX(ERP資料!$A$2:$A98, MATCH(MAX(F$2:F98), F$2:F98, 0)), MAX(F$2:F98)+1, MAX(F$2:F98)+2)))</f>
        <v/>
      </c>
      <c r="G99">
        <f>IF(NOT(AND(C99=1, TRIM(ERP資料!T99)="捲筒")), 0, IF(MAX(G$2:G98)=0, 1, IF(ERP資料!A99=INDEX(ERP資料!$A$2:$A98, MATCH(MAX(G$2:G98), G$2:G98, 0)), MAX(G$2:G98)+1, MAX(G$2:G98)+2)))</f>
        <v/>
      </c>
      <c r="H99">
        <f>IF(OR(ERP資料!C99="",ERP資料!D99=""),0,ERP資料!D99-ERP資料!C99+1)</f>
        <v/>
      </c>
    </row>
    <row r="100">
      <c r="A100" t="n">
        <v>100</v>
      </c>
      <c r="B100">
        <f>IF(ERP資料!A100="","",ERP資料!A100&amp;"|"&amp;ERP資料!E100&amp;"|"&amp;ERP資料!F100&amp;"|"&amp;ERP資料!G100&amp;"|"&amp;ERP資料!H100&amp;"|"&amp;ERP資料!O100)</f>
        <v/>
      </c>
      <c r="C100">
        <f>IF(B100="",0,IF(COUNTIF(B$2:B99,B100)=0,1,0))</f>
        <v/>
      </c>
      <c r="D100">
        <f>IF(B100="",0,SUMIFS($H$2:$H$801,$B$2:$B$801,B100))</f>
        <v/>
      </c>
      <c r="E100">
        <f>IF(NOT(AND(C100=1, TRIM(ERP資料!T100)="平板")), 0, IF(MAX(E$2:E99)=0, 1, IF(ERP資料!A100=INDEX(ERP資料!$A$2:$A99, MATCH(MAX(E$2:E99), E$2:E99, 0)), MAX(E$2:E99)+1, MAX(E$2:E99)+2)))</f>
        <v/>
      </c>
      <c r="F100">
        <f>IF(NOT(AND(C100=1, TRIM(ERP資料!T100)="平板")), 0, IF(MAX(F$2:F99)=0, 1, IF(ERP資料!A100=INDEX(ERP資料!$A$2:$A99, MATCH(MAX(F$2:F99), F$2:F99, 0)), MAX(F$2:F99)+1, MAX(F$2:F99)+2)))</f>
        <v/>
      </c>
      <c r="G100">
        <f>IF(NOT(AND(C100=1, TRIM(ERP資料!T100)="捲筒")), 0, IF(MAX(G$2:G99)=0, 1, IF(ERP資料!A100=INDEX(ERP資料!$A$2:$A99, MATCH(MAX(G$2:G99), G$2:G99, 0)), MAX(G$2:G99)+1, MAX(G$2:G99)+2)))</f>
        <v/>
      </c>
      <c r="H100">
        <f>IF(OR(ERP資料!C100="",ERP資料!D100=""),0,ERP資料!D100-ERP資料!C100+1)</f>
        <v/>
      </c>
    </row>
    <row r="101">
      <c r="A101" t="n">
        <v>101</v>
      </c>
      <c r="B101">
        <f>IF(ERP資料!A101="","",ERP資料!A101&amp;"|"&amp;ERP資料!E101&amp;"|"&amp;ERP資料!F101&amp;"|"&amp;ERP資料!G101&amp;"|"&amp;ERP資料!H101&amp;"|"&amp;ERP資料!O101)</f>
        <v/>
      </c>
      <c r="C101">
        <f>IF(B101="",0,IF(COUNTIF(B$2:B100,B101)=0,1,0))</f>
        <v/>
      </c>
      <c r="D101">
        <f>IF(B101="",0,SUMIFS($H$2:$H$801,$B$2:$B$801,B101))</f>
        <v/>
      </c>
      <c r="E101">
        <f>IF(NOT(AND(C101=1, TRIM(ERP資料!T101)="平板")), 0, IF(MAX(E$2:E100)=0, 1, IF(ERP資料!A101=INDEX(ERP資料!$A$2:$A100, MATCH(MAX(E$2:E100), E$2:E100, 0)), MAX(E$2:E100)+1, MAX(E$2:E100)+2)))</f>
        <v/>
      </c>
      <c r="F101">
        <f>IF(NOT(AND(C101=1, TRIM(ERP資料!T101)="平板")), 0, IF(MAX(F$2:F100)=0, 1, IF(ERP資料!A101=INDEX(ERP資料!$A$2:$A100, MATCH(MAX(F$2:F100), F$2:F100, 0)), MAX(F$2:F100)+1, MAX(F$2:F100)+2)))</f>
        <v/>
      </c>
      <c r="G101">
        <f>IF(NOT(AND(C101=1, TRIM(ERP資料!T101)="捲筒")), 0, IF(MAX(G$2:G100)=0, 1, IF(ERP資料!A101=INDEX(ERP資料!$A$2:$A100, MATCH(MAX(G$2:G100), G$2:G100, 0)), MAX(G$2:G100)+1, MAX(G$2:G100)+2)))</f>
        <v/>
      </c>
      <c r="H101">
        <f>IF(OR(ERP資料!C101="",ERP資料!D101=""),0,ERP資料!D101-ERP資料!C101+1)</f>
        <v/>
      </c>
    </row>
    <row r="102">
      <c r="A102" t="n">
        <v>102</v>
      </c>
      <c r="B102">
        <f>IF(ERP資料!A102="","",ERP資料!A102&amp;"|"&amp;ERP資料!E102&amp;"|"&amp;ERP資料!F102&amp;"|"&amp;ERP資料!G102&amp;"|"&amp;ERP資料!H102&amp;"|"&amp;ERP資料!O102)</f>
        <v/>
      </c>
      <c r="C102">
        <f>IF(B102="",0,IF(COUNTIF(B$2:B101,B102)=0,1,0))</f>
        <v/>
      </c>
      <c r="D102">
        <f>IF(B102="",0,SUMIFS($H$2:$H$801,$B$2:$B$801,B102))</f>
        <v/>
      </c>
      <c r="E102">
        <f>IF(NOT(AND(C102=1, TRIM(ERP資料!T102)="平板")), 0, IF(MAX(E$2:E101)=0, 1, IF(ERP資料!A102=INDEX(ERP資料!$A$2:$A101, MATCH(MAX(E$2:E101), E$2:E101, 0)), MAX(E$2:E101)+1, MAX(E$2:E101)+2)))</f>
        <v/>
      </c>
      <c r="F102">
        <f>IF(NOT(AND(C102=1, TRIM(ERP資料!T102)="平板")), 0, IF(MAX(F$2:F101)=0, 1, IF(ERP資料!A102=INDEX(ERP資料!$A$2:$A101, MATCH(MAX(F$2:F101), F$2:F101, 0)), MAX(F$2:F101)+1, MAX(F$2:F101)+2)))</f>
        <v/>
      </c>
      <c r="G102">
        <f>IF(NOT(AND(C102=1, TRIM(ERP資料!T102)="捲筒")), 0, IF(MAX(G$2:G101)=0, 1, IF(ERP資料!A102=INDEX(ERP資料!$A$2:$A101, MATCH(MAX(G$2:G101), G$2:G101, 0)), MAX(G$2:G101)+1, MAX(G$2:G101)+2)))</f>
        <v/>
      </c>
      <c r="H102">
        <f>IF(OR(ERP資料!C102="",ERP資料!D102=""),0,ERP資料!D102-ERP資料!C102+1)</f>
        <v/>
      </c>
    </row>
    <row r="103">
      <c r="A103" t="n">
        <v>103</v>
      </c>
      <c r="B103">
        <f>IF(ERP資料!A103="","",ERP資料!A103&amp;"|"&amp;ERP資料!E103&amp;"|"&amp;ERP資料!F103&amp;"|"&amp;ERP資料!G103&amp;"|"&amp;ERP資料!H103&amp;"|"&amp;ERP資料!O103)</f>
        <v/>
      </c>
      <c r="C103">
        <f>IF(B103="",0,IF(COUNTIF(B$2:B102,B103)=0,1,0))</f>
        <v/>
      </c>
      <c r="D103">
        <f>IF(B103="",0,SUMIFS($H$2:$H$801,$B$2:$B$801,B103))</f>
        <v/>
      </c>
      <c r="E103">
        <f>IF(NOT(AND(C103=1, TRIM(ERP資料!T103)="平板")), 0, IF(MAX(E$2:E102)=0, 1, IF(ERP資料!A103=INDEX(ERP資料!$A$2:$A102, MATCH(MAX(E$2:E102), E$2:E102, 0)), MAX(E$2:E102)+1, MAX(E$2:E102)+2)))</f>
        <v/>
      </c>
      <c r="F103">
        <f>IF(NOT(AND(C103=1, TRIM(ERP資料!T103)="平板")), 0, IF(MAX(F$2:F102)=0, 1, IF(ERP資料!A103=INDEX(ERP資料!$A$2:$A102, MATCH(MAX(F$2:F102), F$2:F102, 0)), MAX(F$2:F102)+1, MAX(F$2:F102)+2)))</f>
        <v/>
      </c>
      <c r="G103">
        <f>IF(NOT(AND(C103=1, TRIM(ERP資料!T103)="捲筒")), 0, IF(MAX(G$2:G102)=0, 1, IF(ERP資料!A103=INDEX(ERP資料!$A$2:$A102, MATCH(MAX(G$2:G102), G$2:G102, 0)), MAX(G$2:G102)+1, MAX(G$2:G102)+2)))</f>
        <v/>
      </c>
      <c r="H103">
        <f>IF(OR(ERP資料!C103="",ERP資料!D103=""),0,ERP資料!D103-ERP資料!C103+1)</f>
        <v/>
      </c>
    </row>
    <row r="104">
      <c r="A104" t="n">
        <v>104</v>
      </c>
      <c r="B104">
        <f>IF(ERP資料!A104="","",ERP資料!A104&amp;"|"&amp;ERP資料!E104&amp;"|"&amp;ERP資料!F104&amp;"|"&amp;ERP資料!G104&amp;"|"&amp;ERP資料!H104&amp;"|"&amp;ERP資料!O104)</f>
        <v/>
      </c>
      <c r="C104">
        <f>IF(B104="",0,IF(COUNTIF(B$2:B103,B104)=0,1,0))</f>
        <v/>
      </c>
      <c r="D104">
        <f>IF(B104="",0,SUMIFS($H$2:$H$801,$B$2:$B$801,B104))</f>
        <v/>
      </c>
      <c r="E104">
        <f>IF(NOT(AND(C104=1, TRIM(ERP資料!T104)="平板")), 0, IF(MAX(E$2:E103)=0, 1, IF(ERP資料!A104=INDEX(ERP資料!$A$2:$A103, MATCH(MAX(E$2:E103), E$2:E103, 0)), MAX(E$2:E103)+1, MAX(E$2:E103)+2)))</f>
        <v/>
      </c>
      <c r="F104">
        <f>IF(NOT(AND(C104=1, TRIM(ERP資料!T104)="平板")), 0, IF(MAX(F$2:F103)=0, 1, IF(ERP資料!A104=INDEX(ERP資料!$A$2:$A103, MATCH(MAX(F$2:F103), F$2:F103, 0)), MAX(F$2:F103)+1, MAX(F$2:F103)+2)))</f>
        <v/>
      </c>
      <c r="G104">
        <f>IF(NOT(AND(C104=1, TRIM(ERP資料!T104)="捲筒")), 0, IF(MAX(G$2:G103)=0, 1, IF(ERP資料!A104=INDEX(ERP資料!$A$2:$A103, MATCH(MAX(G$2:G103), G$2:G103, 0)), MAX(G$2:G103)+1, MAX(G$2:G103)+2)))</f>
        <v/>
      </c>
      <c r="H104">
        <f>IF(OR(ERP資料!C104="",ERP資料!D104=""),0,ERP資料!D104-ERP資料!C104+1)</f>
        <v/>
      </c>
    </row>
    <row r="105">
      <c r="A105" t="n">
        <v>105</v>
      </c>
      <c r="B105">
        <f>IF(ERP資料!A105="","",ERP資料!A105&amp;"|"&amp;ERP資料!E105&amp;"|"&amp;ERP資料!F105&amp;"|"&amp;ERP資料!G105&amp;"|"&amp;ERP資料!H105&amp;"|"&amp;ERP資料!O105)</f>
        <v/>
      </c>
      <c r="C105">
        <f>IF(B105="",0,IF(COUNTIF(B$2:B104,B105)=0,1,0))</f>
        <v/>
      </c>
      <c r="D105">
        <f>IF(B105="",0,SUMIFS($H$2:$H$801,$B$2:$B$801,B105))</f>
        <v/>
      </c>
      <c r="E105">
        <f>IF(NOT(AND(C105=1, TRIM(ERP資料!T105)="平板")), 0, IF(MAX(E$2:E104)=0, 1, IF(ERP資料!A105=INDEX(ERP資料!$A$2:$A104, MATCH(MAX(E$2:E104), E$2:E104, 0)), MAX(E$2:E104)+1, MAX(E$2:E104)+2)))</f>
        <v/>
      </c>
      <c r="F105">
        <f>IF(NOT(AND(C105=1, TRIM(ERP資料!T105)="平板")), 0, IF(MAX(F$2:F104)=0, 1, IF(ERP資料!A105=INDEX(ERP資料!$A$2:$A104, MATCH(MAX(F$2:F104), F$2:F104, 0)), MAX(F$2:F104)+1, MAX(F$2:F104)+2)))</f>
        <v/>
      </c>
      <c r="G105">
        <f>IF(NOT(AND(C105=1, TRIM(ERP資料!T105)="捲筒")), 0, IF(MAX(G$2:G104)=0, 1, IF(ERP資料!A105=INDEX(ERP資料!$A$2:$A104, MATCH(MAX(G$2:G104), G$2:G104, 0)), MAX(G$2:G104)+1, MAX(G$2:G104)+2)))</f>
        <v/>
      </c>
      <c r="H105">
        <f>IF(OR(ERP資料!C105="",ERP資料!D105=""),0,ERP資料!D105-ERP資料!C105+1)</f>
        <v/>
      </c>
    </row>
    <row r="106">
      <c r="A106" t="n">
        <v>106</v>
      </c>
      <c r="B106">
        <f>IF(ERP資料!A106="","",ERP資料!A106&amp;"|"&amp;ERP資料!E106&amp;"|"&amp;ERP資料!F106&amp;"|"&amp;ERP資料!G106&amp;"|"&amp;ERP資料!H106&amp;"|"&amp;ERP資料!O106)</f>
        <v/>
      </c>
      <c r="C106">
        <f>IF(B106="",0,IF(COUNTIF(B$2:B105,B106)=0,1,0))</f>
        <v/>
      </c>
      <c r="D106">
        <f>IF(B106="",0,SUMIFS($H$2:$H$801,$B$2:$B$801,B106))</f>
        <v/>
      </c>
      <c r="E106">
        <f>IF(NOT(AND(C106=1, TRIM(ERP資料!T106)="平板")), 0, IF(MAX(E$2:E105)=0, 1, IF(ERP資料!A106=INDEX(ERP資料!$A$2:$A105, MATCH(MAX(E$2:E105), E$2:E105, 0)), MAX(E$2:E105)+1, MAX(E$2:E105)+2)))</f>
        <v/>
      </c>
      <c r="F106">
        <f>IF(NOT(AND(C106=1, TRIM(ERP資料!T106)="平板")), 0, IF(MAX(F$2:F105)=0, 1, IF(ERP資料!A106=INDEX(ERP資料!$A$2:$A105, MATCH(MAX(F$2:F105), F$2:F105, 0)), MAX(F$2:F105)+1, MAX(F$2:F105)+2)))</f>
        <v/>
      </c>
      <c r="G106">
        <f>IF(NOT(AND(C106=1, TRIM(ERP資料!T106)="捲筒")), 0, IF(MAX(G$2:G105)=0, 1, IF(ERP資料!A106=INDEX(ERP資料!$A$2:$A105, MATCH(MAX(G$2:G105), G$2:G105, 0)), MAX(G$2:G105)+1, MAX(G$2:G105)+2)))</f>
        <v/>
      </c>
      <c r="H106">
        <f>IF(OR(ERP資料!C106="",ERP資料!D106=""),0,ERP資料!D106-ERP資料!C106+1)</f>
        <v/>
      </c>
    </row>
    <row r="107">
      <c r="A107" t="n">
        <v>107</v>
      </c>
      <c r="B107">
        <f>IF(ERP資料!A107="","",ERP資料!A107&amp;"|"&amp;ERP資料!E107&amp;"|"&amp;ERP資料!F107&amp;"|"&amp;ERP資料!G107&amp;"|"&amp;ERP資料!H107&amp;"|"&amp;ERP資料!O107)</f>
        <v/>
      </c>
      <c r="C107">
        <f>IF(B107="",0,IF(COUNTIF(B$2:B106,B107)=0,1,0))</f>
        <v/>
      </c>
      <c r="D107">
        <f>IF(B107="",0,SUMIFS($H$2:$H$801,$B$2:$B$801,B107))</f>
        <v/>
      </c>
      <c r="E107">
        <f>IF(NOT(AND(C107=1, TRIM(ERP資料!T107)="平板")), 0, IF(MAX(E$2:E106)=0, 1, IF(ERP資料!A107=INDEX(ERP資料!$A$2:$A106, MATCH(MAX(E$2:E106), E$2:E106, 0)), MAX(E$2:E106)+1, MAX(E$2:E106)+2)))</f>
        <v/>
      </c>
      <c r="F107">
        <f>IF(NOT(AND(C107=1, TRIM(ERP資料!T107)="平板")), 0, IF(MAX(F$2:F106)=0, 1, IF(ERP資料!A107=INDEX(ERP資料!$A$2:$A106, MATCH(MAX(F$2:F106), F$2:F106, 0)), MAX(F$2:F106)+1, MAX(F$2:F106)+2)))</f>
        <v/>
      </c>
      <c r="G107">
        <f>IF(NOT(AND(C107=1, TRIM(ERP資料!T107)="捲筒")), 0, IF(MAX(G$2:G106)=0, 1, IF(ERP資料!A107=INDEX(ERP資料!$A$2:$A106, MATCH(MAX(G$2:G106), G$2:G106, 0)), MAX(G$2:G106)+1, MAX(G$2:G106)+2)))</f>
        <v/>
      </c>
      <c r="H107">
        <f>IF(OR(ERP資料!C107="",ERP資料!D107=""),0,ERP資料!D107-ERP資料!C107+1)</f>
        <v/>
      </c>
    </row>
    <row r="108">
      <c r="A108" t="n">
        <v>108</v>
      </c>
      <c r="B108">
        <f>IF(ERP資料!A108="","",ERP資料!A108&amp;"|"&amp;ERP資料!E108&amp;"|"&amp;ERP資料!F108&amp;"|"&amp;ERP資料!G108&amp;"|"&amp;ERP資料!H108&amp;"|"&amp;ERP資料!O108)</f>
        <v/>
      </c>
      <c r="C108">
        <f>IF(B108="",0,IF(COUNTIF(B$2:B107,B108)=0,1,0))</f>
        <v/>
      </c>
      <c r="D108">
        <f>IF(B108="",0,SUMIFS($H$2:$H$801,$B$2:$B$801,B108))</f>
        <v/>
      </c>
      <c r="E108">
        <f>IF(NOT(AND(C108=1, TRIM(ERP資料!T108)="平板")), 0, IF(MAX(E$2:E107)=0, 1, IF(ERP資料!A108=INDEX(ERP資料!$A$2:$A107, MATCH(MAX(E$2:E107), E$2:E107, 0)), MAX(E$2:E107)+1, MAX(E$2:E107)+2)))</f>
        <v/>
      </c>
      <c r="F108">
        <f>IF(NOT(AND(C108=1, TRIM(ERP資料!T108)="平板")), 0, IF(MAX(F$2:F107)=0, 1, IF(ERP資料!A108=INDEX(ERP資料!$A$2:$A107, MATCH(MAX(F$2:F107), F$2:F107, 0)), MAX(F$2:F107)+1, MAX(F$2:F107)+2)))</f>
        <v/>
      </c>
      <c r="G108">
        <f>IF(NOT(AND(C108=1, TRIM(ERP資料!T108)="捲筒")), 0, IF(MAX(G$2:G107)=0, 1, IF(ERP資料!A108=INDEX(ERP資料!$A$2:$A107, MATCH(MAX(G$2:G107), G$2:G107, 0)), MAX(G$2:G107)+1, MAX(G$2:G107)+2)))</f>
        <v/>
      </c>
      <c r="H108">
        <f>IF(OR(ERP資料!C108="",ERP資料!D108=""),0,ERP資料!D108-ERP資料!C108+1)</f>
        <v/>
      </c>
    </row>
    <row r="109">
      <c r="A109" t="n">
        <v>109</v>
      </c>
      <c r="B109">
        <f>IF(ERP資料!A109="","",ERP資料!A109&amp;"|"&amp;ERP資料!E109&amp;"|"&amp;ERP資料!F109&amp;"|"&amp;ERP資料!G109&amp;"|"&amp;ERP資料!H109&amp;"|"&amp;ERP資料!O109)</f>
        <v/>
      </c>
      <c r="C109">
        <f>IF(B109="",0,IF(COUNTIF(B$2:B108,B109)=0,1,0))</f>
        <v/>
      </c>
      <c r="D109">
        <f>IF(B109="",0,SUMIFS($H$2:$H$801,$B$2:$B$801,B109))</f>
        <v/>
      </c>
      <c r="E109">
        <f>IF(NOT(AND(C109=1, TRIM(ERP資料!T109)="平板")), 0, IF(MAX(E$2:E108)=0, 1, IF(ERP資料!A109=INDEX(ERP資料!$A$2:$A108, MATCH(MAX(E$2:E108), E$2:E108, 0)), MAX(E$2:E108)+1, MAX(E$2:E108)+2)))</f>
        <v/>
      </c>
      <c r="F109">
        <f>IF(NOT(AND(C109=1, TRIM(ERP資料!T109)="平板")), 0, IF(MAX(F$2:F108)=0, 1, IF(ERP資料!A109=INDEX(ERP資料!$A$2:$A108, MATCH(MAX(F$2:F108), F$2:F108, 0)), MAX(F$2:F108)+1, MAX(F$2:F108)+2)))</f>
        <v/>
      </c>
      <c r="G109">
        <f>IF(NOT(AND(C109=1, TRIM(ERP資料!T109)="捲筒")), 0, IF(MAX(G$2:G108)=0, 1, IF(ERP資料!A109=INDEX(ERP資料!$A$2:$A108, MATCH(MAX(G$2:G108), G$2:G108, 0)), MAX(G$2:G108)+1, MAX(G$2:G108)+2)))</f>
        <v/>
      </c>
      <c r="H109">
        <f>IF(OR(ERP資料!C109="",ERP資料!D109=""),0,ERP資料!D109-ERP資料!C109+1)</f>
        <v/>
      </c>
    </row>
    <row r="110">
      <c r="A110" t="n">
        <v>110</v>
      </c>
      <c r="B110">
        <f>IF(ERP資料!A110="","",ERP資料!A110&amp;"|"&amp;ERP資料!E110&amp;"|"&amp;ERP資料!F110&amp;"|"&amp;ERP資料!G110&amp;"|"&amp;ERP資料!H110&amp;"|"&amp;ERP資料!O110)</f>
        <v/>
      </c>
      <c r="C110">
        <f>IF(B110="",0,IF(COUNTIF(B$2:B109,B110)=0,1,0))</f>
        <v/>
      </c>
      <c r="D110">
        <f>IF(B110="",0,SUMIFS($H$2:$H$801,$B$2:$B$801,B110))</f>
        <v/>
      </c>
      <c r="E110">
        <f>IF(NOT(AND(C110=1, TRIM(ERP資料!T110)="平板")), 0, IF(MAX(E$2:E109)=0, 1, IF(ERP資料!A110=INDEX(ERP資料!$A$2:$A109, MATCH(MAX(E$2:E109), E$2:E109, 0)), MAX(E$2:E109)+1, MAX(E$2:E109)+2)))</f>
        <v/>
      </c>
      <c r="F110">
        <f>IF(NOT(AND(C110=1, TRIM(ERP資料!T110)="平板")), 0, IF(MAX(F$2:F109)=0, 1, IF(ERP資料!A110=INDEX(ERP資料!$A$2:$A109, MATCH(MAX(F$2:F109), F$2:F109, 0)), MAX(F$2:F109)+1, MAX(F$2:F109)+2)))</f>
        <v/>
      </c>
      <c r="G110">
        <f>IF(NOT(AND(C110=1, TRIM(ERP資料!T110)="捲筒")), 0, IF(MAX(G$2:G109)=0, 1, IF(ERP資料!A110=INDEX(ERP資料!$A$2:$A109, MATCH(MAX(G$2:G109), G$2:G109, 0)), MAX(G$2:G109)+1, MAX(G$2:G109)+2)))</f>
        <v/>
      </c>
      <c r="H110">
        <f>IF(OR(ERP資料!C110="",ERP資料!D110=""),0,ERP資料!D110-ERP資料!C110+1)</f>
        <v/>
      </c>
    </row>
    <row r="111">
      <c r="A111" t="n">
        <v>111</v>
      </c>
      <c r="B111">
        <f>IF(ERP資料!A111="","",ERP資料!A111&amp;"|"&amp;ERP資料!E111&amp;"|"&amp;ERP資料!F111&amp;"|"&amp;ERP資料!G111&amp;"|"&amp;ERP資料!H111&amp;"|"&amp;ERP資料!O111)</f>
        <v/>
      </c>
      <c r="C111">
        <f>IF(B111="",0,IF(COUNTIF(B$2:B110,B111)=0,1,0))</f>
        <v/>
      </c>
      <c r="D111">
        <f>IF(B111="",0,SUMIFS($H$2:$H$801,$B$2:$B$801,B111))</f>
        <v/>
      </c>
      <c r="E111">
        <f>IF(NOT(AND(C111=1, TRIM(ERP資料!T111)="平板")), 0, IF(MAX(E$2:E110)=0, 1, IF(ERP資料!A111=INDEX(ERP資料!$A$2:$A110, MATCH(MAX(E$2:E110), E$2:E110, 0)), MAX(E$2:E110)+1, MAX(E$2:E110)+2)))</f>
        <v/>
      </c>
      <c r="F111">
        <f>IF(NOT(AND(C111=1, TRIM(ERP資料!T111)="平板")), 0, IF(MAX(F$2:F110)=0, 1, IF(ERP資料!A111=INDEX(ERP資料!$A$2:$A110, MATCH(MAX(F$2:F110), F$2:F110, 0)), MAX(F$2:F110)+1, MAX(F$2:F110)+2)))</f>
        <v/>
      </c>
      <c r="G111">
        <f>IF(NOT(AND(C111=1, TRIM(ERP資料!T111)="捲筒")), 0, IF(MAX(G$2:G110)=0, 1, IF(ERP資料!A111=INDEX(ERP資料!$A$2:$A110, MATCH(MAX(G$2:G110), G$2:G110, 0)), MAX(G$2:G110)+1, MAX(G$2:G110)+2)))</f>
        <v/>
      </c>
      <c r="H111">
        <f>IF(OR(ERP資料!C111="",ERP資料!D111=""),0,ERP資料!D111-ERP資料!C111+1)</f>
        <v/>
      </c>
    </row>
    <row r="112">
      <c r="A112" t="n">
        <v>112</v>
      </c>
      <c r="B112">
        <f>IF(ERP資料!A112="","",ERP資料!A112&amp;"|"&amp;ERP資料!E112&amp;"|"&amp;ERP資料!F112&amp;"|"&amp;ERP資料!G112&amp;"|"&amp;ERP資料!H112&amp;"|"&amp;ERP資料!O112)</f>
        <v/>
      </c>
      <c r="C112">
        <f>IF(B112="",0,IF(COUNTIF(B$2:B111,B112)=0,1,0))</f>
        <v/>
      </c>
      <c r="D112">
        <f>IF(B112="",0,SUMIFS($H$2:$H$801,$B$2:$B$801,B112))</f>
        <v/>
      </c>
      <c r="E112">
        <f>IF(NOT(AND(C112=1, TRIM(ERP資料!T112)="平板")), 0, IF(MAX(E$2:E111)=0, 1, IF(ERP資料!A112=INDEX(ERP資料!$A$2:$A111, MATCH(MAX(E$2:E111), E$2:E111, 0)), MAX(E$2:E111)+1, MAX(E$2:E111)+2)))</f>
        <v/>
      </c>
      <c r="F112">
        <f>IF(NOT(AND(C112=1, TRIM(ERP資料!T112)="平板")), 0, IF(MAX(F$2:F111)=0, 1, IF(ERP資料!A112=INDEX(ERP資料!$A$2:$A111, MATCH(MAX(F$2:F111), F$2:F111, 0)), MAX(F$2:F111)+1, MAX(F$2:F111)+2)))</f>
        <v/>
      </c>
      <c r="G112">
        <f>IF(NOT(AND(C112=1, TRIM(ERP資料!T112)="捲筒")), 0, IF(MAX(G$2:G111)=0, 1, IF(ERP資料!A112=INDEX(ERP資料!$A$2:$A111, MATCH(MAX(G$2:G111), G$2:G111, 0)), MAX(G$2:G111)+1, MAX(G$2:G111)+2)))</f>
        <v/>
      </c>
      <c r="H112">
        <f>IF(OR(ERP資料!C112="",ERP資料!D112=""),0,ERP資料!D112-ERP資料!C112+1)</f>
        <v/>
      </c>
    </row>
    <row r="113">
      <c r="A113" t="n">
        <v>113</v>
      </c>
      <c r="B113">
        <f>IF(ERP資料!A113="","",ERP資料!A113&amp;"|"&amp;ERP資料!E113&amp;"|"&amp;ERP資料!F113&amp;"|"&amp;ERP資料!G113&amp;"|"&amp;ERP資料!H113&amp;"|"&amp;ERP資料!O113)</f>
        <v/>
      </c>
      <c r="C113">
        <f>IF(B113="",0,IF(COUNTIF(B$2:B112,B113)=0,1,0))</f>
        <v/>
      </c>
      <c r="D113">
        <f>IF(B113="",0,SUMIFS($H$2:$H$801,$B$2:$B$801,B113))</f>
        <v/>
      </c>
      <c r="E113">
        <f>IF(NOT(AND(C113=1, TRIM(ERP資料!T113)="平板")), 0, IF(MAX(E$2:E112)=0, 1, IF(ERP資料!A113=INDEX(ERP資料!$A$2:$A112, MATCH(MAX(E$2:E112), E$2:E112, 0)), MAX(E$2:E112)+1, MAX(E$2:E112)+2)))</f>
        <v/>
      </c>
      <c r="F113">
        <f>IF(NOT(AND(C113=1, TRIM(ERP資料!T113)="平板")), 0, IF(MAX(F$2:F112)=0, 1, IF(ERP資料!A113=INDEX(ERP資料!$A$2:$A112, MATCH(MAX(F$2:F112), F$2:F112, 0)), MAX(F$2:F112)+1, MAX(F$2:F112)+2)))</f>
        <v/>
      </c>
      <c r="G113">
        <f>IF(NOT(AND(C113=1, TRIM(ERP資料!T113)="捲筒")), 0, IF(MAX(G$2:G112)=0, 1, IF(ERP資料!A113=INDEX(ERP資料!$A$2:$A112, MATCH(MAX(G$2:G112), G$2:G112, 0)), MAX(G$2:G112)+1, MAX(G$2:G112)+2)))</f>
        <v/>
      </c>
      <c r="H113">
        <f>IF(OR(ERP資料!C113="",ERP資料!D113=""),0,ERP資料!D113-ERP資料!C113+1)</f>
        <v/>
      </c>
    </row>
    <row r="114">
      <c r="A114" t="n">
        <v>114</v>
      </c>
      <c r="B114">
        <f>IF(ERP資料!A114="","",ERP資料!A114&amp;"|"&amp;ERP資料!E114&amp;"|"&amp;ERP資料!F114&amp;"|"&amp;ERP資料!G114&amp;"|"&amp;ERP資料!H114&amp;"|"&amp;ERP資料!O114)</f>
        <v/>
      </c>
      <c r="C114">
        <f>IF(B114="",0,IF(COUNTIF(B$2:B113,B114)=0,1,0))</f>
        <v/>
      </c>
      <c r="D114">
        <f>IF(B114="",0,SUMIFS($H$2:$H$801,$B$2:$B$801,B114))</f>
        <v/>
      </c>
      <c r="E114">
        <f>IF(NOT(AND(C114=1, TRIM(ERP資料!T114)="平板")), 0, IF(MAX(E$2:E113)=0, 1, IF(ERP資料!A114=INDEX(ERP資料!$A$2:$A113, MATCH(MAX(E$2:E113), E$2:E113, 0)), MAX(E$2:E113)+1, MAX(E$2:E113)+2)))</f>
        <v/>
      </c>
      <c r="F114">
        <f>IF(NOT(AND(C114=1, TRIM(ERP資料!T114)="平板")), 0, IF(MAX(F$2:F113)=0, 1, IF(ERP資料!A114=INDEX(ERP資料!$A$2:$A113, MATCH(MAX(F$2:F113), F$2:F113, 0)), MAX(F$2:F113)+1, MAX(F$2:F113)+2)))</f>
        <v/>
      </c>
      <c r="G114">
        <f>IF(NOT(AND(C114=1, TRIM(ERP資料!T114)="捲筒")), 0, IF(MAX(G$2:G113)=0, 1, IF(ERP資料!A114=INDEX(ERP資料!$A$2:$A113, MATCH(MAX(G$2:G113), G$2:G113, 0)), MAX(G$2:G113)+1, MAX(G$2:G113)+2)))</f>
        <v/>
      </c>
      <c r="H114">
        <f>IF(OR(ERP資料!C114="",ERP資料!D114=""),0,ERP資料!D114-ERP資料!C114+1)</f>
        <v/>
      </c>
    </row>
    <row r="115">
      <c r="A115" t="n">
        <v>115</v>
      </c>
      <c r="B115">
        <f>IF(ERP資料!A115="","",ERP資料!A115&amp;"|"&amp;ERP資料!E115&amp;"|"&amp;ERP資料!F115&amp;"|"&amp;ERP資料!G115&amp;"|"&amp;ERP資料!H115&amp;"|"&amp;ERP資料!O115)</f>
        <v/>
      </c>
      <c r="C115">
        <f>IF(B115="",0,IF(COUNTIF(B$2:B114,B115)=0,1,0))</f>
        <v/>
      </c>
      <c r="D115">
        <f>IF(B115="",0,SUMIFS($H$2:$H$801,$B$2:$B$801,B115))</f>
        <v/>
      </c>
      <c r="E115">
        <f>IF(NOT(AND(C115=1, TRIM(ERP資料!T115)="平板")), 0, IF(MAX(E$2:E114)=0, 1, IF(ERP資料!A115=INDEX(ERP資料!$A$2:$A114, MATCH(MAX(E$2:E114), E$2:E114, 0)), MAX(E$2:E114)+1, MAX(E$2:E114)+2)))</f>
        <v/>
      </c>
      <c r="F115">
        <f>IF(NOT(AND(C115=1, TRIM(ERP資料!T115)="平板")), 0, IF(MAX(F$2:F114)=0, 1, IF(ERP資料!A115=INDEX(ERP資料!$A$2:$A114, MATCH(MAX(F$2:F114), F$2:F114, 0)), MAX(F$2:F114)+1, MAX(F$2:F114)+2)))</f>
        <v/>
      </c>
      <c r="G115">
        <f>IF(NOT(AND(C115=1, TRIM(ERP資料!T115)="捲筒")), 0, IF(MAX(G$2:G114)=0, 1, IF(ERP資料!A115=INDEX(ERP資料!$A$2:$A114, MATCH(MAX(G$2:G114), G$2:G114, 0)), MAX(G$2:G114)+1, MAX(G$2:G114)+2)))</f>
        <v/>
      </c>
      <c r="H115">
        <f>IF(OR(ERP資料!C115="",ERP資料!D115=""),0,ERP資料!D115-ERP資料!C115+1)</f>
        <v/>
      </c>
    </row>
    <row r="116">
      <c r="A116" t="n">
        <v>116</v>
      </c>
      <c r="B116">
        <f>IF(ERP資料!A116="","",ERP資料!A116&amp;"|"&amp;ERP資料!E116&amp;"|"&amp;ERP資料!F116&amp;"|"&amp;ERP資料!G116&amp;"|"&amp;ERP資料!H116&amp;"|"&amp;ERP資料!O116)</f>
        <v/>
      </c>
      <c r="C116">
        <f>IF(B116="",0,IF(COUNTIF(B$2:B115,B116)=0,1,0))</f>
        <v/>
      </c>
      <c r="D116">
        <f>IF(B116="",0,SUMIFS($H$2:$H$801,$B$2:$B$801,B116))</f>
        <v/>
      </c>
      <c r="E116">
        <f>IF(NOT(AND(C116=1, TRIM(ERP資料!T116)="平板")), 0, IF(MAX(E$2:E115)=0, 1, IF(ERP資料!A116=INDEX(ERP資料!$A$2:$A115, MATCH(MAX(E$2:E115), E$2:E115, 0)), MAX(E$2:E115)+1, MAX(E$2:E115)+2)))</f>
        <v/>
      </c>
      <c r="F116">
        <f>IF(NOT(AND(C116=1, TRIM(ERP資料!T116)="平板")), 0, IF(MAX(F$2:F115)=0, 1, IF(ERP資料!A116=INDEX(ERP資料!$A$2:$A115, MATCH(MAX(F$2:F115), F$2:F115, 0)), MAX(F$2:F115)+1, MAX(F$2:F115)+2)))</f>
        <v/>
      </c>
      <c r="G116">
        <f>IF(NOT(AND(C116=1, TRIM(ERP資料!T116)="捲筒")), 0, IF(MAX(G$2:G115)=0, 1, IF(ERP資料!A116=INDEX(ERP資料!$A$2:$A115, MATCH(MAX(G$2:G115), G$2:G115, 0)), MAX(G$2:G115)+1, MAX(G$2:G115)+2)))</f>
        <v/>
      </c>
      <c r="H116">
        <f>IF(OR(ERP資料!C116="",ERP資料!D116=""),0,ERP資料!D116-ERP資料!C116+1)</f>
        <v/>
      </c>
    </row>
    <row r="117">
      <c r="A117" t="n">
        <v>117</v>
      </c>
      <c r="B117">
        <f>IF(ERP資料!A117="","",ERP資料!A117&amp;"|"&amp;ERP資料!E117&amp;"|"&amp;ERP資料!F117&amp;"|"&amp;ERP資料!G117&amp;"|"&amp;ERP資料!H117&amp;"|"&amp;ERP資料!O117)</f>
        <v/>
      </c>
      <c r="C117">
        <f>IF(B117="",0,IF(COUNTIF(B$2:B116,B117)=0,1,0))</f>
        <v/>
      </c>
      <c r="D117">
        <f>IF(B117="",0,SUMIFS($H$2:$H$801,$B$2:$B$801,B117))</f>
        <v/>
      </c>
      <c r="E117">
        <f>IF(NOT(AND(C117=1, TRIM(ERP資料!T117)="平板")), 0, IF(MAX(E$2:E116)=0, 1, IF(ERP資料!A117=INDEX(ERP資料!$A$2:$A116, MATCH(MAX(E$2:E116), E$2:E116, 0)), MAX(E$2:E116)+1, MAX(E$2:E116)+2)))</f>
        <v/>
      </c>
      <c r="F117">
        <f>IF(NOT(AND(C117=1, TRIM(ERP資料!T117)="平板")), 0, IF(MAX(F$2:F116)=0, 1, IF(ERP資料!A117=INDEX(ERP資料!$A$2:$A116, MATCH(MAX(F$2:F116), F$2:F116, 0)), MAX(F$2:F116)+1, MAX(F$2:F116)+2)))</f>
        <v/>
      </c>
      <c r="G117">
        <f>IF(NOT(AND(C117=1, TRIM(ERP資料!T117)="捲筒")), 0, IF(MAX(G$2:G116)=0, 1, IF(ERP資料!A117=INDEX(ERP資料!$A$2:$A116, MATCH(MAX(G$2:G116), G$2:G116, 0)), MAX(G$2:G116)+1, MAX(G$2:G116)+2)))</f>
        <v/>
      </c>
      <c r="H117">
        <f>IF(OR(ERP資料!C117="",ERP資料!D117=""),0,ERP資料!D117-ERP資料!C117+1)</f>
        <v/>
      </c>
    </row>
    <row r="118">
      <c r="A118" t="n">
        <v>118</v>
      </c>
      <c r="B118">
        <f>IF(ERP資料!A118="","",ERP資料!A118&amp;"|"&amp;ERP資料!E118&amp;"|"&amp;ERP資料!F118&amp;"|"&amp;ERP資料!G118&amp;"|"&amp;ERP資料!H118&amp;"|"&amp;ERP資料!O118)</f>
        <v/>
      </c>
      <c r="C118">
        <f>IF(B118="",0,IF(COUNTIF(B$2:B117,B118)=0,1,0))</f>
        <v/>
      </c>
      <c r="D118">
        <f>IF(B118="",0,SUMIFS($H$2:$H$801,$B$2:$B$801,B118))</f>
        <v/>
      </c>
      <c r="E118">
        <f>IF(NOT(AND(C118=1, TRIM(ERP資料!T118)="平板")), 0, IF(MAX(E$2:E117)=0, 1, IF(ERP資料!A118=INDEX(ERP資料!$A$2:$A117, MATCH(MAX(E$2:E117), E$2:E117, 0)), MAX(E$2:E117)+1, MAX(E$2:E117)+2)))</f>
        <v/>
      </c>
      <c r="F118">
        <f>IF(NOT(AND(C118=1, TRIM(ERP資料!T118)="平板")), 0, IF(MAX(F$2:F117)=0, 1, IF(ERP資料!A118=INDEX(ERP資料!$A$2:$A117, MATCH(MAX(F$2:F117), F$2:F117, 0)), MAX(F$2:F117)+1, MAX(F$2:F117)+2)))</f>
        <v/>
      </c>
      <c r="G118">
        <f>IF(NOT(AND(C118=1, TRIM(ERP資料!T118)="捲筒")), 0, IF(MAX(G$2:G117)=0, 1, IF(ERP資料!A118=INDEX(ERP資料!$A$2:$A117, MATCH(MAX(G$2:G117), G$2:G117, 0)), MAX(G$2:G117)+1, MAX(G$2:G117)+2)))</f>
        <v/>
      </c>
      <c r="H118">
        <f>IF(OR(ERP資料!C118="",ERP資料!D118=""),0,ERP資料!D118-ERP資料!C118+1)</f>
        <v/>
      </c>
    </row>
    <row r="119">
      <c r="A119" t="n">
        <v>119</v>
      </c>
      <c r="B119">
        <f>IF(ERP資料!A119="","",ERP資料!A119&amp;"|"&amp;ERP資料!E119&amp;"|"&amp;ERP資料!F119&amp;"|"&amp;ERP資料!G119&amp;"|"&amp;ERP資料!H119&amp;"|"&amp;ERP資料!O119)</f>
        <v/>
      </c>
      <c r="C119">
        <f>IF(B119="",0,IF(COUNTIF(B$2:B118,B119)=0,1,0))</f>
        <v/>
      </c>
      <c r="D119">
        <f>IF(B119="",0,SUMIFS($H$2:$H$801,$B$2:$B$801,B119))</f>
        <v/>
      </c>
      <c r="E119">
        <f>IF(NOT(AND(C119=1, TRIM(ERP資料!T119)="平板")), 0, IF(MAX(E$2:E118)=0, 1, IF(ERP資料!A119=INDEX(ERP資料!$A$2:$A118, MATCH(MAX(E$2:E118), E$2:E118, 0)), MAX(E$2:E118)+1, MAX(E$2:E118)+2)))</f>
        <v/>
      </c>
      <c r="F119">
        <f>IF(NOT(AND(C119=1, TRIM(ERP資料!T119)="平板")), 0, IF(MAX(F$2:F118)=0, 1, IF(ERP資料!A119=INDEX(ERP資料!$A$2:$A118, MATCH(MAX(F$2:F118), F$2:F118, 0)), MAX(F$2:F118)+1, MAX(F$2:F118)+2)))</f>
        <v/>
      </c>
      <c r="G119">
        <f>IF(NOT(AND(C119=1, TRIM(ERP資料!T119)="捲筒")), 0, IF(MAX(G$2:G118)=0, 1, IF(ERP資料!A119=INDEX(ERP資料!$A$2:$A118, MATCH(MAX(G$2:G118), G$2:G118, 0)), MAX(G$2:G118)+1, MAX(G$2:G118)+2)))</f>
        <v/>
      </c>
      <c r="H119">
        <f>IF(OR(ERP資料!C119="",ERP資料!D119=""),0,ERP資料!D119-ERP資料!C119+1)</f>
        <v/>
      </c>
    </row>
    <row r="120">
      <c r="A120" t="n">
        <v>120</v>
      </c>
      <c r="B120">
        <f>IF(ERP資料!A120="","",ERP資料!A120&amp;"|"&amp;ERP資料!E120&amp;"|"&amp;ERP資料!F120&amp;"|"&amp;ERP資料!G120&amp;"|"&amp;ERP資料!H120&amp;"|"&amp;ERP資料!O120)</f>
        <v/>
      </c>
      <c r="C120">
        <f>IF(B120="",0,IF(COUNTIF(B$2:B119,B120)=0,1,0))</f>
        <v/>
      </c>
      <c r="D120">
        <f>IF(B120="",0,SUMIFS($H$2:$H$801,$B$2:$B$801,B120))</f>
        <v/>
      </c>
      <c r="E120">
        <f>IF(NOT(AND(C120=1, TRIM(ERP資料!T120)="平板")), 0, IF(MAX(E$2:E119)=0, 1, IF(ERP資料!A120=INDEX(ERP資料!$A$2:$A119, MATCH(MAX(E$2:E119), E$2:E119, 0)), MAX(E$2:E119)+1, MAX(E$2:E119)+2)))</f>
        <v/>
      </c>
      <c r="F120">
        <f>IF(NOT(AND(C120=1, TRIM(ERP資料!T120)="平板")), 0, IF(MAX(F$2:F119)=0, 1, IF(ERP資料!A120=INDEX(ERP資料!$A$2:$A119, MATCH(MAX(F$2:F119), F$2:F119, 0)), MAX(F$2:F119)+1, MAX(F$2:F119)+2)))</f>
        <v/>
      </c>
      <c r="G120">
        <f>IF(NOT(AND(C120=1, TRIM(ERP資料!T120)="捲筒")), 0, IF(MAX(G$2:G119)=0, 1, IF(ERP資料!A120=INDEX(ERP資料!$A$2:$A119, MATCH(MAX(G$2:G119), G$2:G119, 0)), MAX(G$2:G119)+1, MAX(G$2:G119)+2)))</f>
        <v/>
      </c>
      <c r="H120">
        <f>IF(OR(ERP資料!C120="",ERP資料!D120=""),0,ERP資料!D120-ERP資料!C120+1)</f>
        <v/>
      </c>
    </row>
    <row r="121">
      <c r="A121" t="n">
        <v>121</v>
      </c>
      <c r="B121">
        <f>IF(ERP資料!A121="","",ERP資料!A121&amp;"|"&amp;ERP資料!E121&amp;"|"&amp;ERP資料!F121&amp;"|"&amp;ERP資料!G121&amp;"|"&amp;ERP資料!H121&amp;"|"&amp;ERP資料!O121)</f>
        <v/>
      </c>
      <c r="C121">
        <f>IF(B121="",0,IF(COUNTIF(B$2:B120,B121)=0,1,0))</f>
        <v/>
      </c>
      <c r="D121">
        <f>IF(B121="",0,SUMIFS($H$2:$H$801,$B$2:$B$801,B121))</f>
        <v/>
      </c>
      <c r="E121">
        <f>IF(NOT(AND(C121=1, TRIM(ERP資料!T121)="平板")), 0, IF(MAX(E$2:E120)=0, 1, IF(ERP資料!A121=INDEX(ERP資料!$A$2:$A120, MATCH(MAX(E$2:E120), E$2:E120, 0)), MAX(E$2:E120)+1, MAX(E$2:E120)+2)))</f>
        <v/>
      </c>
      <c r="F121">
        <f>IF(NOT(AND(C121=1, TRIM(ERP資料!T121)="平板")), 0, IF(MAX(F$2:F120)=0, 1, IF(ERP資料!A121=INDEX(ERP資料!$A$2:$A120, MATCH(MAX(F$2:F120), F$2:F120, 0)), MAX(F$2:F120)+1, MAX(F$2:F120)+2)))</f>
        <v/>
      </c>
      <c r="G121">
        <f>IF(NOT(AND(C121=1, TRIM(ERP資料!T121)="捲筒")), 0, IF(MAX(G$2:G120)=0, 1, IF(ERP資料!A121=INDEX(ERP資料!$A$2:$A120, MATCH(MAX(G$2:G120), G$2:G120, 0)), MAX(G$2:G120)+1, MAX(G$2:G120)+2)))</f>
        <v/>
      </c>
      <c r="H121">
        <f>IF(OR(ERP資料!C121="",ERP資料!D121=""),0,ERP資料!D121-ERP資料!C121+1)</f>
        <v/>
      </c>
    </row>
    <row r="122">
      <c r="A122" t="n">
        <v>122</v>
      </c>
      <c r="B122">
        <f>IF(ERP資料!A122="","",ERP資料!A122&amp;"|"&amp;ERP資料!E122&amp;"|"&amp;ERP資料!F122&amp;"|"&amp;ERP資料!G122&amp;"|"&amp;ERP資料!H122&amp;"|"&amp;ERP資料!O122)</f>
        <v/>
      </c>
      <c r="C122">
        <f>IF(B122="",0,IF(COUNTIF(B$2:B121,B122)=0,1,0))</f>
        <v/>
      </c>
      <c r="D122">
        <f>IF(B122="",0,SUMIFS($H$2:$H$801,$B$2:$B$801,B122))</f>
        <v/>
      </c>
      <c r="E122">
        <f>IF(NOT(AND(C122=1, TRIM(ERP資料!T122)="平板")), 0, IF(MAX(E$2:E121)=0, 1, IF(ERP資料!A122=INDEX(ERP資料!$A$2:$A121, MATCH(MAX(E$2:E121), E$2:E121, 0)), MAX(E$2:E121)+1, MAX(E$2:E121)+2)))</f>
        <v/>
      </c>
      <c r="F122">
        <f>IF(NOT(AND(C122=1, TRIM(ERP資料!T122)="平板")), 0, IF(MAX(F$2:F121)=0, 1, IF(ERP資料!A122=INDEX(ERP資料!$A$2:$A121, MATCH(MAX(F$2:F121), F$2:F121, 0)), MAX(F$2:F121)+1, MAX(F$2:F121)+2)))</f>
        <v/>
      </c>
      <c r="G122">
        <f>IF(NOT(AND(C122=1, TRIM(ERP資料!T122)="捲筒")), 0, IF(MAX(G$2:G121)=0, 1, IF(ERP資料!A122=INDEX(ERP資料!$A$2:$A121, MATCH(MAX(G$2:G121), G$2:G121, 0)), MAX(G$2:G121)+1, MAX(G$2:G121)+2)))</f>
        <v/>
      </c>
      <c r="H122">
        <f>IF(OR(ERP資料!C122="",ERP資料!D122=""),0,ERP資料!D122-ERP資料!C122+1)</f>
        <v/>
      </c>
    </row>
    <row r="123">
      <c r="A123" t="n">
        <v>123</v>
      </c>
      <c r="B123">
        <f>IF(ERP資料!A123="","",ERP資料!A123&amp;"|"&amp;ERP資料!E123&amp;"|"&amp;ERP資料!F123&amp;"|"&amp;ERP資料!G123&amp;"|"&amp;ERP資料!H123&amp;"|"&amp;ERP資料!O123)</f>
        <v/>
      </c>
      <c r="C123">
        <f>IF(B123="",0,IF(COUNTIF(B$2:B122,B123)=0,1,0))</f>
        <v/>
      </c>
      <c r="D123">
        <f>IF(B123="",0,SUMIFS($H$2:$H$801,$B$2:$B$801,B123))</f>
        <v/>
      </c>
      <c r="E123">
        <f>IF(NOT(AND(C123=1, TRIM(ERP資料!T123)="平板")), 0, IF(MAX(E$2:E122)=0, 1, IF(ERP資料!A123=INDEX(ERP資料!$A$2:$A122, MATCH(MAX(E$2:E122), E$2:E122, 0)), MAX(E$2:E122)+1, MAX(E$2:E122)+2)))</f>
        <v/>
      </c>
      <c r="F123">
        <f>IF(NOT(AND(C123=1, TRIM(ERP資料!T123)="平板")), 0, IF(MAX(F$2:F122)=0, 1, IF(ERP資料!A123=INDEX(ERP資料!$A$2:$A122, MATCH(MAX(F$2:F122), F$2:F122, 0)), MAX(F$2:F122)+1, MAX(F$2:F122)+2)))</f>
        <v/>
      </c>
      <c r="G123">
        <f>IF(NOT(AND(C123=1, TRIM(ERP資料!T123)="捲筒")), 0, IF(MAX(G$2:G122)=0, 1, IF(ERP資料!A123=INDEX(ERP資料!$A$2:$A122, MATCH(MAX(G$2:G122), G$2:G122, 0)), MAX(G$2:G122)+1, MAX(G$2:G122)+2)))</f>
        <v/>
      </c>
      <c r="H123">
        <f>IF(OR(ERP資料!C123="",ERP資料!D123=""),0,ERP資料!D123-ERP資料!C123+1)</f>
        <v/>
      </c>
    </row>
    <row r="124">
      <c r="A124" t="n">
        <v>124</v>
      </c>
      <c r="B124">
        <f>IF(ERP資料!A124="","",ERP資料!A124&amp;"|"&amp;ERP資料!E124&amp;"|"&amp;ERP資料!F124&amp;"|"&amp;ERP資料!G124&amp;"|"&amp;ERP資料!H124&amp;"|"&amp;ERP資料!O124)</f>
        <v/>
      </c>
      <c r="C124">
        <f>IF(B124="",0,IF(COUNTIF(B$2:B123,B124)=0,1,0))</f>
        <v/>
      </c>
      <c r="D124">
        <f>IF(B124="",0,SUMIFS($H$2:$H$801,$B$2:$B$801,B124))</f>
        <v/>
      </c>
      <c r="E124">
        <f>IF(NOT(AND(C124=1, TRIM(ERP資料!T124)="平板")), 0, IF(MAX(E$2:E123)=0, 1, IF(ERP資料!A124=INDEX(ERP資料!$A$2:$A123, MATCH(MAX(E$2:E123), E$2:E123, 0)), MAX(E$2:E123)+1, MAX(E$2:E123)+2)))</f>
        <v/>
      </c>
      <c r="F124">
        <f>IF(NOT(AND(C124=1, TRIM(ERP資料!T124)="平板")), 0, IF(MAX(F$2:F123)=0, 1, IF(ERP資料!A124=INDEX(ERP資料!$A$2:$A123, MATCH(MAX(F$2:F123), F$2:F123, 0)), MAX(F$2:F123)+1, MAX(F$2:F123)+2)))</f>
        <v/>
      </c>
      <c r="G124">
        <f>IF(NOT(AND(C124=1, TRIM(ERP資料!T124)="捲筒")), 0, IF(MAX(G$2:G123)=0, 1, IF(ERP資料!A124=INDEX(ERP資料!$A$2:$A123, MATCH(MAX(G$2:G123), G$2:G123, 0)), MAX(G$2:G123)+1, MAX(G$2:G123)+2)))</f>
        <v/>
      </c>
      <c r="H124">
        <f>IF(OR(ERP資料!C124="",ERP資料!D124=""),0,ERP資料!D124-ERP資料!C124+1)</f>
        <v/>
      </c>
    </row>
    <row r="125">
      <c r="A125" t="n">
        <v>125</v>
      </c>
      <c r="B125">
        <f>IF(ERP資料!A125="","",ERP資料!A125&amp;"|"&amp;ERP資料!E125&amp;"|"&amp;ERP資料!F125&amp;"|"&amp;ERP資料!G125&amp;"|"&amp;ERP資料!H125&amp;"|"&amp;ERP資料!O125)</f>
        <v/>
      </c>
      <c r="C125">
        <f>IF(B125="",0,IF(COUNTIF(B$2:B124,B125)=0,1,0))</f>
        <v/>
      </c>
      <c r="D125">
        <f>IF(B125="",0,SUMIFS($H$2:$H$801,$B$2:$B$801,B125))</f>
        <v/>
      </c>
      <c r="E125">
        <f>IF(NOT(AND(C125=1, TRIM(ERP資料!T125)="平板")), 0, IF(MAX(E$2:E124)=0, 1, IF(ERP資料!A125=INDEX(ERP資料!$A$2:$A124, MATCH(MAX(E$2:E124), E$2:E124, 0)), MAX(E$2:E124)+1, MAX(E$2:E124)+2)))</f>
        <v/>
      </c>
      <c r="F125">
        <f>IF(NOT(AND(C125=1, TRIM(ERP資料!T125)="平板")), 0, IF(MAX(F$2:F124)=0, 1, IF(ERP資料!A125=INDEX(ERP資料!$A$2:$A124, MATCH(MAX(F$2:F124), F$2:F124, 0)), MAX(F$2:F124)+1, MAX(F$2:F124)+2)))</f>
        <v/>
      </c>
      <c r="G125">
        <f>IF(NOT(AND(C125=1, TRIM(ERP資料!T125)="捲筒")), 0, IF(MAX(G$2:G124)=0, 1, IF(ERP資料!A125=INDEX(ERP資料!$A$2:$A124, MATCH(MAX(G$2:G124), G$2:G124, 0)), MAX(G$2:G124)+1, MAX(G$2:G124)+2)))</f>
        <v/>
      </c>
      <c r="H125">
        <f>IF(OR(ERP資料!C125="",ERP資料!D125=""),0,ERP資料!D125-ERP資料!C125+1)</f>
        <v/>
      </c>
    </row>
    <row r="126">
      <c r="A126" t="n">
        <v>126</v>
      </c>
      <c r="B126">
        <f>IF(ERP資料!A126="","",ERP資料!A126&amp;"|"&amp;ERP資料!E126&amp;"|"&amp;ERP資料!F126&amp;"|"&amp;ERP資料!G126&amp;"|"&amp;ERP資料!H126&amp;"|"&amp;ERP資料!O126)</f>
        <v/>
      </c>
      <c r="C126">
        <f>IF(B126="",0,IF(COUNTIF(B$2:B125,B126)=0,1,0))</f>
        <v/>
      </c>
      <c r="D126">
        <f>IF(B126="",0,SUMIFS($H$2:$H$801,$B$2:$B$801,B126))</f>
        <v/>
      </c>
      <c r="E126">
        <f>IF(NOT(AND(C126=1, TRIM(ERP資料!T126)="平板")), 0, IF(MAX(E$2:E125)=0, 1, IF(ERP資料!A126=INDEX(ERP資料!$A$2:$A125, MATCH(MAX(E$2:E125), E$2:E125, 0)), MAX(E$2:E125)+1, MAX(E$2:E125)+2)))</f>
        <v/>
      </c>
      <c r="F126">
        <f>IF(NOT(AND(C126=1, TRIM(ERP資料!T126)="平板")), 0, IF(MAX(F$2:F125)=0, 1, IF(ERP資料!A126=INDEX(ERP資料!$A$2:$A125, MATCH(MAX(F$2:F125), F$2:F125, 0)), MAX(F$2:F125)+1, MAX(F$2:F125)+2)))</f>
        <v/>
      </c>
      <c r="G126">
        <f>IF(NOT(AND(C126=1, TRIM(ERP資料!T126)="捲筒")), 0, IF(MAX(G$2:G125)=0, 1, IF(ERP資料!A126=INDEX(ERP資料!$A$2:$A125, MATCH(MAX(G$2:G125), G$2:G125, 0)), MAX(G$2:G125)+1, MAX(G$2:G125)+2)))</f>
        <v/>
      </c>
      <c r="H126">
        <f>IF(OR(ERP資料!C126="",ERP資料!D126=""),0,ERP資料!D126-ERP資料!C126+1)</f>
        <v/>
      </c>
    </row>
    <row r="127">
      <c r="A127" t="n">
        <v>127</v>
      </c>
      <c r="B127">
        <f>IF(ERP資料!A127="","",ERP資料!A127&amp;"|"&amp;ERP資料!E127&amp;"|"&amp;ERP資料!F127&amp;"|"&amp;ERP資料!G127&amp;"|"&amp;ERP資料!H127&amp;"|"&amp;ERP資料!O127)</f>
        <v/>
      </c>
      <c r="C127">
        <f>IF(B127="",0,IF(COUNTIF(B$2:B126,B127)=0,1,0))</f>
        <v/>
      </c>
      <c r="D127">
        <f>IF(B127="",0,SUMIFS($H$2:$H$801,$B$2:$B$801,B127))</f>
        <v/>
      </c>
      <c r="E127">
        <f>IF(NOT(AND(C127=1, TRIM(ERP資料!T127)="平板")), 0, IF(MAX(E$2:E126)=0, 1, IF(ERP資料!A127=INDEX(ERP資料!$A$2:$A126, MATCH(MAX(E$2:E126), E$2:E126, 0)), MAX(E$2:E126)+1, MAX(E$2:E126)+2)))</f>
        <v/>
      </c>
      <c r="F127">
        <f>IF(NOT(AND(C127=1, TRIM(ERP資料!T127)="平板")), 0, IF(MAX(F$2:F126)=0, 1, IF(ERP資料!A127=INDEX(ERP資料!$A$2:$A126, MATCH(MAX(F$2:F126), F$2:F126, 0)), MAX(F$2:F126)+1, MAX(F$2:F126)+2)))</f>
        <v/>
      </c>
      <c r="G127">
        <f>IF(NOT(AND(C127=1, TRIM(ERP資料!T127)="捲筒")), 0, IF(MAX(G$2:G126)=0, 1, IF(ERP資料!A127=INDEX(ERP資料!$A$2:$A126, MATCH(MAX(G$2:G126), G$2:G126, 0)), MAX(G$2:G126)+1, MAX(G$2:G126)+2)))</f>
        <v/>
      </c>
      <c r="H127">
        <f>IF(OR(ERP資料!C127="",ERP資料!D127=""),0,ERP資料!D127-ERP資料!C127+1)</f>
        <v/>
      </c>
    </row>
    <row r="128">
      <c r="A128" t="n">
        <v>128</v>
      </c>
      <c r="B128">
        <f>IF(ERP資料!A128="","",ERP資料!A128&amp;"|"&amp;ERP資料!E128&amp;"|"&amp;ERP資料!F128&amp;"|"&amp;ERP資料!G128&amp;"|"&amp;ERP資料!H128&amp;"|"&amp;ERP資料!O128)</f>
        <v/>
      </c>
      <c r="C128">
        <f>IF(B128="",0,IF(COUNTIF(B$2:B127,B128)=0,1,0))</f>
        <v/>
      </c>
      <c r="D128">
        <f>IF(B128="",0,SUMIFS($H$2:$H$801,$B$2:$B$801,B128))</f>
        <v/>
      </c>
      <c r="E128">
        <f>IF(NOT(AND(C128=1, TRIM(ERP資料!T128)="平板")), 0, IF(MAX(E$2:E127)=0, 1, IF(ERP資料!A128=INDEX(ERP資料!$A$2:$A127, MATCH(MAX(E$2:E127), E$2:E127, 0)), MAX(E$2:E127)+1, MAX(E$2:E127)+2)))</f>
        <v/>
      </c>
      <c r="F128">
        <f>IF(NOT(AND(C128=1, TRIM(ERP資料!T128)="平板")), 0, IF(MAX(F$2:F127)=0, 1, IF(ERP資料!A128=INDEX(ERP資料!$A$2:$A127, MATCH(MAX(F$2:F127), F$2:F127, 0)), MAX(F$2:F127)+1, MAX(F$2:F127)+2)))</f>
        <v/>
      </c>
      <c r="G128">
        <f>IF(NOT(AND(C128=1, TRIM(ERP資料!T128)="捲筒")), 0, IF(MAX(G$2:G127)=0, 1, IF(ERP資料!A128=INDEX(ERP資料!$A$2:$A127, MATCH(MAX(G$2:G127), G$2:G127, 0)), MAX(G$2:G127)+1, MAX(G$2:G127)+2)))</f>
        <v/>
      </c>
      <c r="H128">
        <f>IF(OR(ERP資料!C128="",ERP資料!D128=""),0,ERP資料!D128-ERP資料!C128+1)</f>
        <v/>
      </c>
    </row>
    <row r="129">
      <c r="A129" t="n">
        <v>129</v>
      </c>
      <c r="B129">
        <f>IF(ERP資料!A129="","",ERP資料!A129&amp;"|"&amp;ERP資料!E129&amp;"|"&amp;ERP資料!F129&amp;"|"&amp;ERP資料!G129&amp;"|"&amp;ERP資料!H129&amp;"|"&amp;ERP資料!O129)</f>
        <v/>
      </c>
      <c r="C129">
        <f>IF(B129="",0,IF(COUNTIF(B$2:B128,B129)=0,1,0))</f>
        <v/>
      </c>
      <c r="D129">
        <f>IF(B129="",0,SUMIFS($H$2:$H$801,$B$2:$B$801,B129))</f>
        <v/>
      </c>
      <c r="E129">
        <f>IF(NOT(AND(C129=1, TRIM(ERP資料!T129)="平板")), 0, IF(MAX(E$2:E128)=0, 1, IF(ERP資料!A129=INDEX(ERP資料!$A$2:$A128, MATCH(MAX(E$2:E128), E$2:E128, 0)), MAX(E$2:E128)+1, MAX(E$2:E128)+2)))</f>
        <v/>
      </c>
      <c r="F129">
        <f>IF(NOT(AND(C129=1, TRIM(ERP資料!T129)="平板")), 0, IF(MAX(F$2:F128)=0, 1, IF(ERP資料!A129=INDEX(ERP資料!$A$2:$A128, MATCH(MAX(F$2:F128), F$2:F128, 0)), MAX(F$2:F128)+1, MAX(F$2:F128)+2)))</f>
        <v/>
      </c>
      <c r="G129">
        <f>IF(NOT(AND(C129=1, TRIM(ERP資料!T129)="捲筒")), 0, IF(MAX(G$2:G128)=0, 1, IF(ERP資料!A129=INDEX(ERP資料!$A$2:$A128, MATCH(MAX(G$2:G128), G$2:G128, 0)), MAX(G$2:G128)+1, MAX(G$2:G128)+2)))</f>
        <v/>
      </c>
      <c r="H129">
        <f>IF(OR(ERP資料!C129="",ERP資料!D129=""),0,ERP資料!D129-ERP資料!C129+1)</f>
        <v/>
      </c>
    </row>
    <row r="130">
      <c r="A130" t="n">
        <v>130</v>
      </c>
      <c r="B130">
        <f>IF(ERP資料!A130="","",ERP資料!A130&amp;"|"&amp;ERP資料!E130&amp;"|"&amp;ERP資料!F130&amp;"|"&amp;ERP資料!G130&amp;"|"&amp;ERP資料!H130&amp;"|"&amp;ERP資料!O130)</f>
        <v/>
      </c>
      <c r="C130">
        <f>IF(B130="",0,IF(COUNTIF(B$2:B129,B130)=0,1,0))</f>
        <v/>
      </c>
      <c r="D130">
        <f>IF(B130="",0,SUMIFS($H$2:$H$801,$B$2:$B$801,B130))</f>
        <v/>
      </c>
      <c r="E130">
        <f>IF(NOT(AND(C130=1, TRIM(ERP資料!T130)="平板")), 0, IF(MAX(E$2:E129)=0, 1, IF(ERP資料!A130=INDEX(ERP資料!$A$2:$A129, MATCH(MAX(E$2:E129), E$2:E129, 0)), MAX(E$2:E129)+1, MAX(E$2:E129)+2)))</f>
        <v/>
      </c>
      <c r="F130">
        <f>IF(NOT(AND(C130=1, TRIM(ERP資料!T130)="平板")), 0, IF(MAX(F$2:F129)=0, 1, IF(ERP資料!A130=INDEX(ERP資料!$A$2:$A129, MATCH(MAX(F$2:F129), F$2:F129, 0)), MAX(F$2:F129)+1, MAX(F$2:F129)+2)))</f>
        <v/>
      </c>
      <c r="G130">
        <f>IF(NOT(AND(C130=1, TRIM(ERP資料!T130)="捲筒")), 0, IF(MAX(G$2:G129)=0, 1, IF(ERP資料!A130=INDEX(ERP資料!$A$2:$A129, MATCH(MAX(G$2:G129), G$2:G129, 0)), MAX(G$2:G129)+1, MAX(G$2:G129)+2)))</f>
        <v/>
      </c>
      <c r="H130">
        <f>IF(OR(ERP資料!C130="",ERP資料!D130=""),0,ERP資料!D130-ERP資料!C130+1)</f>
        <v/>
      </c>
    </row>
    <row r="131">
      <c r="A131" t="n">
        <v>131</v>
      </c>
      <c r="B131">
        <f>IF(ERP資料!A131="","",ERP資料!A131&amp;"|"&amp;ERP資料!E131&amp;"|"&amp;ERP資料!F131&amp;"|"&amp;ERP資料!G131&amp;"|"&amp;ERP資料!H131&amp;"|"&amp;ERP資料!O131)</f>
        <v/>
      </c>
      <c r="C131">
        <f>IF(B131="",0,IF(COUNTIF(B$2:B130,B131)=0,1,0))</f>
        <v/>
      </c>
      <c r="D131">
        <f>IF(B131="",0,SUMIFS($H$2:$H$801,$B$2:$B$801,B131))</f>
        <v/>
      </c>
      <c r="E131">
        <f>IF(NOT(AND(C131=1, TRIM(ERP資料!T131)="平板")), 0, IF(MAX(E$2:E130)=0, 1, IF(ERP資料!A131=INDEX(ERP資料!$A$2:$A130, MATCH(MAX(E$2:E130), E$2:E130, 0)), MAX(E$2:E130)+1, MAX(E$2:E130)+2)))</f>
        <v/>
      </c>
      <c r="F131">
        <f>IF(NOT(AND(C131=1, TRIM(ERP資料!T131)="平板")), 0, IF(MAX(F$2:F130)=0, 1, IF(ERP資料!A131=INDEX(ERP資料!$A$2:$A130, MATCH(MAX(F$2:F130), F$2:F130, 0)), MAX(F$2:F130)+1, MAX(F$2:F130)+2)))</f>
        <v/>
      </c>
      <c r="G131">
        <f>IF(NOT(AND(C131=1, TRIM(ERP資料!T131)="捲筒")), 0, IF(MAX(G$2:G130)=0, 1, IF(ERP資料!A131=INDEX(ERP資料!$A$2:$A130, MATCH(MAX(G$2:G130), G$2:G130, 0)), MAX(G$2:G130)+1, MAX(G$2:G130)+2)))</f>
        <v/>
      </c>
      <c r="H131">
        <f>IF(OR(ERP資料!C131="",ERP資料!D131=""),0,ERP資料!D131-ERP資料!C131+1)</f>
        <v/>
      </c>
    </row>
    <row r="132">
      <c r="A132" t="n">
        <v>132</v>
      </c>
      <c r="B132">
        <f>IF(ERP資料!A132="","",ERP資料!A132&amp;"|"&amp;ERP資料!E132&amp;"|"&amp;ERP資料!F132&amp;"|"&amp;ERP資料!G132&amp;"|"&amp;ERP資料!H132&amp;"|"&amp;ERP資料!O132)</f>
        <v/>
      </c>
      <c r="C132">
        <f>IF(B132="",0,IF(COUNTIF(B$2:B131,B132)=0,1,0))</f>
        <v/>
      </c>
      <c r="D132">
        <f>IF(B132="",0,SUMIFS($H$2:$H$801,$B$2:$B$801,B132))</f>
        <v/>
      </c>
      <c r="E132">
        <f>IF(NOT(AND(C132=1, TRIM(ERP資料!T132)="平板")), 0, IF(MAX(E$2:E131)=0, 1, IF(ERP資料!A132=INDEX(ERP資料!$A$2:$A131, MATCH(MAX(E$2:E131), E$2:E131, 0)), MAX(E$2:E131)+1, MAX(E$2:E131)+2)))</f>
        <v/>
      </c>
      <c r="F132">
        <f>IF(NOT(AND(C132=1, TRIM(ERP資料!T132)="平板")), 0, IF(MAX(F$2:F131)=0, 1, IF(ERP資料!A132=INDEX(ERP資料!$A$2:$A131, MATCH(MAX(F$2:F131), F$2:F131, 0)), MAX(F$2:F131)+1, MAX(F$2:F131)+2)))</f>
        <v/>
      </c>
      <c r="G132">
        <f>IF(NOT(AND(C132=1, TRIM(ERP資料!T132)="捲筒")), 0, IF(MAX(G$2:G131)=0, 1, IF(ERP資料!A132=INDEX(ERP資料!$A$2:$A131, MATCH(MAX(G$2:G131), G$2:G131, 0)), MAX(G$2:G131)+1, MAX(G$2:G131)+2)))</f>
        <v/>
      </c>
      <c r="H132">
        <f>IF(OR(ERP資料!C132="",ERP資料!D132=""),0,ERP資料!D132-ERP資料!C132+1)</f>
        <v/>
      </c>
    </row>
    <row r="133">
      <c r="A133" t="n">
        <v>133</v>
      </c>
      <c r="B133">
        <f>IF(ERP資料!A133="","",ERP資料!A133&amp;"|"&amp;ERP資料!E133&amp;"|"&amp;ERP資料!F133&amp;"|"&amp;ERP資料!G133&amp;"|"&amp;ERP資料!H133&amp;"|"&amp;ERP資料!O133)</f>
        <v/>
      </c>
      <c r="C133">
        <f>IF(B133="",0,IF(COUNTIF(B$2:B132,B133)=0,1,0))</f>
        <v/>
      </c>
      <c r="D133">
        <f>IF(B133="",0,SUMIFS($H$2:$H$801,$B$2:$B$801,B133))</f>
        <v/>
      </c>
      <c r="E133">
        <f>IF(NOT(AND(C133=1, TRIM(ERP資料!T133)="平板")), 0, IF(MAX(E$2:E132)=0, 1, IF(ERP資料!A133=INDEX(ERP資料!$A$2:$A132, MATCH(MAX(E$2:E132), E$2:E132, 0)), MAX(E$2:E132)+1, MAX(E$2:E132)+2)))</f>
        <v/>
      </c>
      <c r="F133">
        <f>IF(NOT(AND(C133=1, TRIM(ERP資料!T133)="平板")), 0, IF(MAX(F$2:F132)=0, 1, IF(ERP資料!A133=INDEX(ERP資料!$A$2:$A132, MATCH(MAX(F$2:F132), F$2:F132, 0)), MAX(F$2:F132)+1, MAX(F$2:F132)+2)))</f>
        <v/>
      </c>
      <c r="G133">
        <f>IF(NOT(AND(C133=1, TRIM(ERP資料!T133)="捲筒")), 0, IF(MAX(G$2:G132)=0, 1, IF(ERP資料!A133=INDEX(ERP資料!$A$2:$A132, MATCH(MAX(G$2:G132), G$2:G132, 0)), MAX(G$2:G132)+1, MAX(G$2:G132)+2)))</f>
        <v/>
      </c>
      <c r="H133">
        <f>IF(OR(ERP資料!C133="",ERP資料!D133=""),0,ERP資料!D133-ERP資料!C133+1)</f>
        <v/>
      </c>
    </row>
    <row r="134">
      <c r="A134" t="n">
        <v>134</v>
      </c>
      <c r="B134">
        <f>IF(ERP資料!A134="","",ERP資料!A134&amp;"|"&amp;ERP資料!E134&amp;"|"&amp;ERP資料!F134&amp;"|"&amp;ERP資料!G134&amp;"|"&amp;ERP資料!H134&amp;"|"&amp;ERP資料!O134)</f>
        <v/>
      </c>
      <c r="C134">
        <f>IF(B134="",0,IF(COUNTIF(B$2:B133,B134)=0,1,0))</f>
        <v/>
      </c>
      <c r="D134">
        <f>IF(B134="",0,SUMIFS($H$2:$H$801,$B$2:$B$801,B134))</f>
        <v/>
      </c>
      <c r="E134">
        <f>IF(NOT(AND(C134=1, TRIM(ERP資料!T134)="平板")), 0, IF(MAX(E$2:E133)=0, 1, IF(ERP資料!A134=INDEX(ERP資料!$A$2:$A133, MATCH(MAX(E$2:E133), E$2:E133, 0)), MAX(E$2:E133)+1, MAX(E$2:E133)+2)))</f>
        <v/>
      </c>
      <c r="F134">
        <f>IF(NOT(AND(C134=1, TRIM(ERP資料!T134)="平板")), 0, IF(MAX(F$2:F133)=0, 1, IF(ERP資料!A134=INDEX(ERP資料!$A$2:$A133, MATCH(MAX(F$2:F133), F$2:F133, 0)), MAX(F$2:F133)+1, MAX(F$2:F133)+2)))</f>
        <v/>
      </c>
      <c r="G134">
        <f>IF(NOT(AND(C134=1, TRIM(ERP資料!T134)="捲筒")), 0, IF(MAX(G$2:G133)=0, 1, IF(ERP資料!A134=INDEX(ERP資料!$A$2:$A133, MATCH(MAX(G$2:G133), G$2:G133, 0)), MAX(G$2:G133)+1, MAX(G$2:G133)+2)))</f>
        <v/>
      </c>
      <c r="H134">
        <f>IF(OR(ERP資料!C134="",ERP資料!D134=""),0,ERP資料!D134-ERP資料!C134+1)</f>
        <v/>
      </c>
    </row>
    <row r="135">
      <c r="A135" t="n">
        <v>135</v>
      </c>
      <c r="B135">
        <f>IF(ERP資料!A135="","",ERP資料!A135&amp;"|"&amp;ERP資料!E135&amp;"|"&amp;ERP資料!F135&amp;"|"&amp;ERP資料!G135&amp;"|"&amp;ERP資料!H135&amp;"|"&amp;ERP資料!O135)</f>
        <v/>
      </c>
      <c r="C135">
        <f>IF(B135="",0,IF(COUNTIF(B$2:B134,B135)=0,1,0))</f>
        <v/>
      </c>
      <c r="D135">
        <f>IF(B135="",0,SUMIFS($H$2:$H$801,$B$2:$B$801,B135))</f>
        <v/>
      </c>
      <c r="E135">
        <f>IF(NOT(AND(C135=1, TRIM(ERP資料!T135)="平板")), 0, IF(MAX(E$2:E134)=0, 1, IF(ERP資料!A135=INDEX(ERP資料!$A$2:$A134, MATCH(MAX(E$2:E134), E$2:E134, 0)), MAX(E$2:E134)+1, MAX(E$2:E134)+2)))</f>
        <v/>
      </c>
      <c r="F135">
        <f>IF(NOT(AND(C135=1, TRIM(ERP資料!T135)="平板")), 0, IF(MAX(F$2:F134)=0, 1, IF(ERP資料!A135=INDEX(ERP資料!$A$2:$A134, MATCH(MAX(F$2:F134), F$2:F134, 0)), MAX(F$2:F134)+1, MAX(F$2:F134)+2)))</f>
        <v/>
      </c>
      <c r="G135">
        <f>IF(NOT(AND(C135=1, TRIM(ERP資料!T135)="捲筒")), 0, IF(MAX(G$2:G134)=0, 1, IF(ERP資料!A135=INDEX(ERP資料!$A$2:$A134, MATCH(MAX(G$2:G134), G$2:G134, 0)), MAX(G$2:G134)+1, MAX(G$2:G134)+2)))</f>
        <v/>
      </c>
      <c r="H135">
        <f>IF(OR(ERP資料!C135="",ERP資料!D135=""),0,ERP資料!D135-ERP資料!C135+1)</f>
        <v/>
      </c>
    </row>
    <row r="136">
      <c r="A136" t="n">
        <v>136</v>
      </c>
      <c r="B136">
        <f>IF(ERP資料!A136="","",ERP資料!A136&amp;"|"&amp;ERP資料!E136&amp;"|"&amp;ERP資料!F136&amp;"|"&amp;ERP資料!G136&amp;"|"&amp;ERP資料!H136&amp;"|"&amp;ERP資料!O136)</f>
        <v/>
      </c>
      <c r="C136">
        <f>IF(B136="",0,IF(COUNTIF(B$2:B135,B136)=0,1,0))</f>
        <v/>
      </c>
      <c r="D136">
        <f>IF(B136="",0,SUMIFS($H$2:$H$801,$B$2:$B$801,B136))</f>
        <v/>
      </c>
      <c r="E136">
        <f>IF(NOT(AND(C136=1, TRIM(ERP資料!T136)="平板")), 0, IF(MAX(E$2:E135)=0, 1, IF(ERP資料!A136=INDEX(ERP資料!$A$2:$A135, MATCH(MAX(E$2:E135), E$2:E135, 0)), MAX(E$2:E135)+1, MAX(E$2:E135)+2)))</f>
        <v/>
      </c>
      <c r="F136">
        <f>IF(NOT(AND(C136=1, TRIM(ERP資料!T136)="平板")), 0, IF(MAX(F$2:F135)=0, 1, IF(ERP資料!A136=INDEX(ERP資料!$A$2:$A135, MATCH(MAX(F$2:F135), F$2:F135, 0)), MAX(F$2:F135)+1, MAX(F$2:F135)+2)))</f>
        <v/>
      </c>
      <c r="G136">
        <f>IF(NOT(AND(C136=1, TRIM(ERP資料!T136)="捲筒")), 0, IF(MAX(G$2:G135)=0, 1, IF(ERP資料!A136=INDEX(ERP資料!$A$2:$A135, MATCH(MAX(G$2:G135), G$2:G135, 0)), MAX(G$2:G135)+1, MAX(G$2:G135)+2)))</f>
        <v/>
      </c>
      <c r="H136">
        <f>IF(OR(ERP資料!C136="",ERP資料!D136=""),0,ERP資料!D136-ERP資料!C136+1)</f>
        <v/>
      </c>
    </row>
    <row r="137">
      <c r="A137" t="n">
        <v>137</v>
      </c>
      <c r="B137">
        <f>IF(ERP資料!A137="","",ERP資料!A137&amp;"|"&amp;ERP資料!E137&amp;"|"&amp;ERP資料!F137&amp;"|"&amp;ERP資料!G137&amp;"|"&amp;ERP資料!H137&amp;"|"&amp;ERP資料!O137)</f>
        <v/>
      </c>
      <c r="C137">
        <f>IF(B137="",0,IF(COUNTIF(B$2:B136,B137)=0,1,0))</f>
        <v/>
      </c>
      <c r="D137">
        <f>IF(B137="",0,SUMIFS($H$2:$H$801,$B$2:$B$801,B137))</f>
        <v/>
      </c>
      <c r="E137">
        <f>IF(NOT(AND(C137=1, TRIM(ERP資料!T137)="平板")), 0, IF(MAX(E$2:E136)=0, 1, IF(ERP資料!A137=INDEX(ERP資料!$A$2:$A136, MATCH(MAX(E$2:E136), E$2:E136, 0)), MAX(E$2:E136)+1, MAX(E$2:E136)+2)))</f>
        <v/>
      </c>
      <c r="F137">
        <f>IF(NOT(AND(C137=1, TRIM(ERP資料!T137)="平板")), 0, IF(MAX(F$2:F136)=0, 1, IF(ERP資料!A137=INDEX(ERP資料!$A$2:$A136, MATCH(MAX(F$2:F136), F$2:F136, 0)), MAX(F$2:F136)+1, MAX(F$2:F136)+2)))</f>
        <v/>
      </c>
      <c r="G137">
        <f>IF(NOT(AND(C137=1, TRIM(ERP資料!T137)="捲筒")), 0, IF(MAX(G$2:G136)=0, 1, IF(ERP資料!A137=INDEX(ERP資料!$A$2:$A136, MATCH(MAX(G$2:G136), G$2:G136, 0)), MAX(G$2:G136)+1, MAX(G$2:G136)+2)))</f>
        <v/>
      </c>
      <c r="H137">
        <f>IF(OR(ERP資料!C137="",ERP資料!D137=""),0,ERP資料!D137-ERP資料!C137+1)</f>
        <v/>
      </c>
    </row>
    <row r="138">
      <c r="A138" t="n">
        <v>138</v>
      </c>
      <c r="B138">
        <f>IF(ERP資料!A138="","",ERP資料!A138&amp;"|"&amp;ERP資料!E138&amp;"|"&amp;ERP資料!F138&amp;"|"&amp;ERP資料!G138&amp;"|"&amp;ERP資料!H138&amp;"|"&amp;ERP資料!O138)</f>
        <v/>
      </c>
      <c r="C138">
        <f>IF(B138="",0,IF(COUNTIF(B$2:B137,B138)=0,1,0))</f>
        <v/>
      </c>
      <c r="D138">
        <f>IF(B138="",0,SUMIFS($H$2:$H$801,$B$2:$B$801,B138))</f>
        <v/>
      </c>
      <c r="E138">
        <f>IF(NOT(AND(C138=1, TRIM(ERP資料!T138)="平板")), 0, IF(MAX(E$2:E137)=0, 1, IF(ERP資料!A138=INDEX(ERP資料!$A$2:$A137, MATCH(MAX(E$2:E137), E$2:E137, 0)), MAX(E$2:E137)+1, MAX(E$2:E137)+2)))</f>
        <v/>
      </c>
      <c r="F138">
        <f>IF(NOT(AND(C138=1, TRIM(ERP資料!T138)="平板")), 0, IF(MAX(F$2:F137)=0, 1, IF(ERP資料!A138=INDEX(ERP資料!$A$2:$A137, MATCH(MAX(F$2:F137), F$2:F137, 0)), MAX(F$2:F137)+1, MAX(F$2:F137)+2)))</f>
        <v/>
      </c>
      <c r="G138">
        <f>IF(NOT(AND(C138=1, TRIM(ERP資料!T138)="捲筒")), 0, IF(MAX(G$2:G137)=0, 1, IF(ERP資料!A138=INDEX(ERP資料!$A$2:$A137, MATCH(MAX(G$2:G137), G$2:G137, 0)), MAX(G$2:G137)+1, MAX(G$2:G137)+2)))</f>
        <v/>
      </c>
      <c r="H138">
        <f>IF(OR(ERP資料!C138="",ERP資料!D138=""),0,ERP資料!D138-ERP資料!C138+1)</f>
        <v/>
      </c>
    </row>
    <row r="139">
      <c r="A139" t="n">
        <v>139</v>
      </c>
      <c r="B139">
        <f>IF(ERP資料!A139="","",ERP資料!A139&amp;"|"&amp;ERP資料!E139&amp;"|"&amp;ERP資料!F139&amp;"|"&amp;ERP資料!G139&amp;"|"&amp;ERP資料!H139&amp;"|"&amp;ERP資料!O139)</f>
        <v/>
      </c>
      <c r="C139">
        <f>IF(B139="",0,IF(COUNTIF(B$2:B138,B139)=0,1,0))</f>
        <v/>
      </c>
      <c r="D139">
        <f>IF(B139="",0,SUMIFS($H$2:$H$801,$B$2:$B$801,B139))</f>
        <v/>
      </c>
      <c r="E139">
        <f>IF(NOT(AND(C139=1, TRIM(ERP資料!T139)="平板")), 0, IF(MAX(E$2:E138)=0, 1, IF(ERP資料!A139=INDEX(ERP資料!$A$2:$A138, MATCH(MAX(E$2:E138), E$2:E138, 0)), MAX(E$2:E138)+1, MAX(E$2:E138)+2)))</f>
        <v/>
      </c>
      <c r="F139">
        <f>IF(NOT(AND(C139=1, TRIM(ERP資料!T139)="平板")), 0, IF(MAX(F$2:F138)=0, 1, IF(ERP資料!A139=INDEX(ERP資料!$A$2:$A138, MATCH(MAX(F$2:F138), F$2:F138, 0)), MAX(F$2:F138)+1, MAX(F$2:F138)+2)))</f>
        <v/>
      </c>
      <c r="G139">
        <f>IF(NOT(AND(C139=1, TRIM(ERP資料!T139)="捲筒")), 0, IF(MAX(G$2:G138)=0, 1, IF(ERP資料!A139=INDEX(ERP資料!$A$2:$A138, MATCH(MAX(G$2:G138), G$2:G138, 0)), MAX(G$2:G138)+1, MAX(G$2:G138)+2)))</f>
        <v/>
      </c>
      <c r="H139">
        <f>IF(OR(ERP資料!C139="",ERP資料!D139=""),0,ERP資料!D139-ERP資料!C139+1)</f>
        <v/>
      </c>
    </row>
    <row r="140">
      <c r="A140" t="n">
        <v>140</v>
      </c>
      <c r="B140">
        <f>IF(ERP資料!A140="","",ERP資料!A140&amp;"|"&amp;ERP資料!E140&amp;"|"&amp;ERP資料!F140&amp;"|"&amp;ERP資料!G140&amp;"|"&amp;ERP資料!H140&amp;"|"&amp;ERP資料!O140)</f>
        <v/>
      </c>
      <c r="C140">
        <f>IF(B140="",0,IF(COUNTIF(B$2:B139,B140)=0,1,0))</f>
        <v/>
      </c>
      <c r="D140">
        <f>IF(B140="",0,SUMIFS($H$2:$H$801,$B$2:$B$801,B140))</f>
        <v/>
      </c>
      <c r="E140">
        <f>IF(NOT(AND(C140=1, TRIM(ERP資料!T140)="平板")), 0, IF(MAX(E$2:E139)=0, 1, IF(ERP資料!A140=INDEX(ERP資料!$A$2:$A139, MATCH(MAX(E$2:E139), E$2:E139, 0)), MAX(E$2:E139)+1, MAX(E$2:E139)+2)))</f>
        <v/>
      </c>
      <c r="F140">
        <f>IF(NOT(AND(C140=1, TRIM(ERP資料!T140)="平板")), 0, IF(MAX(F$2:F139)=0, 1, IF(ERP資料!A140=INDEX(ERP資料!$A$2:$A139, MATCH(MAX(F$2:F139), F$2:F139, 0)), MAX(F$2:F139)+1, MAX(F$2:F139)+2)))</f>
        <v/>
      </c>
      <c r="G140">
        <f>IF(NOT(AND(C140=1, TRIM(ERP資料!T140)="捲筒")), 0, IF(MAX(G$2:G139)=0, 1, IF(ERP資料!A140=INDEX(ERP資料!$A$2:$A139, MATCH(MAX(G$2:G139), G$2:G139, 0)), MAX(G$2:G139)+1, MAX(G$2:G139)+2)))</f>
        <v/>
      </c>
      <c r="H140">
        <f>IF(OR(ERP資料!C140="",ERP資料!D140=""),0,ERP資料!D140-ERP資料!C140+1)</f>
        <v/>
      </c>
    </row>
    <row r="141">
      <c r="A141" t="n">
        <v>141</v>
      </c>
      <c r="B141">
        <f>IF(ERP資料!A141="","",ERP資料!A141&amp;"|"&amp;ERP資料!E141&amp;"|"&amp;ERP資料!F141&amp;"|"&amp;ERP資料!G141&amp;"|"&amp;ERP資料!H141&amp;"|"&amp;ERP資料!O141)</f>
        <v/>
      </c>
      <c r="C141">
        <f>IF(B141="",0,IF(COUNTIF(B$2:B140,B141)=0,1,0))</f>
        <v/>
      </c>
      <c r="D141">
        <f>IF(B141="",0,SUMIFS($H$2:$H$801,$B$2:$B$801,B141))</f>
        <v/>
      </c>
      <c r="E141">
        <f>IF(NOT(AND(C141=1, TRIM(ERP資料!T141)="平板")), 0, IF(MAX(E$2:E140)=0, 1, IF(ERP資料!A141=INDEX(ERP資料!$A$2:$A140, MATCH(MAX(E$2:E140), E$2:E140, 0)), MAX(E$2:E140)+1, MAX(E$2:E140)+2)))</f>
        <v/>
      </c>
      <c r="F141">
        <f>IF(NOT(AND(C141=1, TRIM(ERP資料!T141)="平板")), 0, IF(MAX(F$2:F140)=0, 1, IF(ERP資料!A141=INDEX(ERP資料!$A$2:$A140, MATCH(MAX(F$2:F140), F$2:F140, 0)), MAX(F$2:F140)+1, MAX(F$2:F140)+2)))</f>
        <v/>
      </c>
      <c r="G141">
        <f>IF(NOT(AND(C141=1, TRIM(ERP資料!T141)="捲筒")), 0, IF(MAX(G$2:G140)=0, 1, IF(ERP資料!A141=INDEX(ERP資料!$A$2:$A140, MATCH(MAX(G$2:G140), G$2:G140, 0)), MAX(G$2:G140)+1, MAX(G$2:G140)+2)))</f>
        <v/>
      </c>
      <c r="H141">
        <f>IF(OR(ERP資料!C141="",ERP資料!D141=""),0,ERP資料!D141-ERP資料!C141+1)</f>
        <v/>
      </c>
    </row>
    <row r="142">
      <c r="A142" t="n">
        <v>142</v>
      </c>
      <c r="B142">
        <f>IF(ERP資料!A142="","",ERP資料!A142&amp;"|"&amp;ERP資料!E142&amp;"|"&amp;ERP資料!F142&amp;"|"&amp;ERP資料!G142&amp;"|"&amp;ERP資料!H142&amp;"|"&amp;ERP資料!O142)</f>
        <v/>
      </c>
      <c r="C142">
        <f>IF(B142="",0,IF(COUNTIF(B$2:B141,B142)=0,1,0))</f>
        <v/>
      </c>
      <c r="D142">
        <f>IF(B142="",0,SUMIFS($H$2:$H$801,$B$2:$B$801,B142))</f>
        <v/>
      </c>
      <c r="E142">
        <f>IF(NOT(AND(C142=1, TRIM(ERP資料!T142)="平板")), 0, IF(MAX(E$2:E141)=0, 1, IF(ERP資料!A142=INDEX(ERP資料!$A$2:$A141, MATCH(MAX(E$2:E141), E$2:E141, 0)), MAX(E$2:E141)+1, MAX(E$2:E141)+2)))</f>
        <v/>
      </c>
      <c r="F142">
        <f>IF(NOT(AND(C142=1, TRIM(ERP資料!T142)="平板")), 0, IF(MAX(F$2:F141)=0, 1, IF(ERP資料!A142=INDEX(ERP資料!$A$2:$A141, MATCH(MAX(F$2:F141), F$2:F141, 0)), MAX(F$2:F141)+1, MAX(F$2:F141)+2)))</f>
        <v/>
      </c>
      <c r="G142">
        <f>IF(NOT(AND(C142=1, TRIM(ERP資料!T142)="捲筒")), 0, IF(MAX(G$2:G141)=0, 1, IF(ERP資料!A142=INDEX(ERP資料!$A$2:$A141, MATCH(MAX(G$2:G141), G$2:G141, 0)), MAX(G$2:G141)+1, MAX(G$2:G141)+2)))</f>
        <v/>
      </c>
      <c r="H142">
        <f>IF(OR(ERP資料!C142="",ERP資料!D142=""),0,ERP資料!D142-ERP資料!C142+1)</f>
        <v/>
      </c>
    </row>
    <row r="143">
      <c r="A143" t="n">
        <v>143</v>
      </c>
      <c r="B143">
        <f>IF(ERP資料!A143="","",ERP資料!A143&amp;"|"&amp;ERP資料!E143&amp;"|"&amp;ERP資料!F143&amp;"|"&amp;ERP資料!G143&amp;"|"&amp;ERP資料!H143&amp;"|"&amp;ERP資料!O143)</f>
        <v/>
      </c>
      <c r="C143">
        <f>IF(B143="",0,IF(COUNTIF(B$2:B142,B143)=0,1,0))</f>
        <v/>
      </c>
      <c r="D143">
        <f>IF(B143="",0,SUMIFS($H$2:$H$801,$B$2:$B$801,B143))</f>
        <v/>
      </c>
      <c r="E143">
        <f>IF(NOT(AND(C143=1, TRIM(ERP資料!T143)="平板")), 0, IF(MAX(E$2:E142)=0, 1, IF(ERP資料!A143=INDEX(ERP資料!$A$2:$A142, MATCH(MAX(E$2:E142), E$2:E142, 0)), MAX(E$2:E142)+1, MAX(E$2:E142)+2)))</f>
        <v/>
      </c>
      <c r="F143">
        <f>IF(NOT(AND(C143=1, TRIM(ERP資料!T143)="平板")), 0, IF(MAX(F$2:F142)=0, 1, IF(ERP資料!A143=INDEX(ERP資料!$A$2:$A142, MATCH(MAX(F$2:F142), F$2:F142, 0)), MAX(F$2:F142)+1, MAX(F$2:F142)+2)))</f>
        <v/>
      </c>
      <c r="G143">
        <f>IF(NOT(AND(C143=1, TRIM(ERP資料!T143)="捲筒")), 0, IF(MAX(G$2:G142)=0, 1, IF(ERP資料!A143=INDEX(ERP資料!$A$2:$A142, MATCH(MAX(G$2:G142), G$2:G142, 0)), MAX(G$2:G142)+1, MAX(G$2:G142)+2)))</f>
        <v/>
      </c>
      <c r="H143">
        <f>IF(OR(ERP資料!C143="",ERP資料!D143=""),0,ERP資料!D143-ERP資料!C143+1)</f>
        <v/>
      </c>
    </row>
    <row r="144">
      <c r="A144" t="n">
        <v>144</v>
      </c>
      <c r="B144">
        <f>IF(ERP資料!A144="","",ERP資料!A144&amp;"|"&amp;ERP資料!E144&amp;"|"&amp;ERP資料!F144&amp;"|"&amp;ERP資料!G144&amp;"|"&amp;ERP資料!H144&amp;"|"&amp;ERP資料!O144)</f>
        <v/>
      </c>
      <c r="C144">
        <f>IF(B144="",0,IF(COUNTIF(B$2:B143,B144)=0,1,0))</f>
        <v/>
      </c>
      <c r="D144">
        <f>IF(B144="",0,SUMIFS($H$2:$H$801,$B$2:$B$801,B144))</f>
        <v/>
      </c>
      <c r="E144">
        <f>IF(NOT(AND(C144=1, TRIM(ERP資料!T144)="平板")), 0, IF(MAX(E$2:E143)=0, 1, IF(ERP資料!A144=INDEX(ERP資料!$A$2:$A143, MATCH(MAX(E$2:E143), E$2:E143, 0)), MAX(E$2:E143)+1, MAX(E$2:E143)+2)))</f>
        <v/>
      </c>
      <c r="F144">
        <f>IF(NOT(AND(C144=1, TRIM(ERP資料!T144)="平板")), 0, IF(MAX(F$2:F143)=0, 1, IF(ERP資料!A144=INDEX(ERP資料!$A$2:$A143, MATCH(MAX(F$2:F143), F$2:F143, 0)), MAX(F$2:F143)+1, MAX(F$2:F143)+2)))</f>
        <v/>
      </c>
      <c r="G144">
        <f>IF(NOT(AND(C144=1, TRIM(ERP資料!T144)="捲筒")), 0, IF(MAX(G$2:G143)=0, 1, IF(ERP資料!A144=INDEX(ERP資料!$A$2:$A143, MATCH(MAX(G$2:G143), G$2:G143, 0)), MAX(G$2:G143)+1, MAX(G$2:G143)+2)))</f>
        <v/>
      </c>
      <c r="H144">
        <f>IF(OR(ERP資料!C144="",ERP資料!D144=""),0,ERP資料!D144-ERP資料!C144+1)</f>
        <v/>
      </c>
    </row>
    <row r="145">
      <c r="A145" t="n">
        <v>145</v>
      </c>
      <c r="B145">
        <f>IF(ERP資料!A145="","",ERP資料!A145&amp;"|"&amp;ERP資料!E145&amp;"|"&amp;ERP資料!F145&amp;"|"&amp;ERP資料!G145&amp;"|"&amp;ERP資料!H145&amp;"|"&amp;ERP資料!O145)</f>
        <v/>
      </c>
      <c r="C145">
        <f>IF(B145="",0,IF(COUNTIF(B$2:B144,B145)=0,1,0))</f>
        <v/>
      </c>
      <c r="D145">
        <f>IF(B145="",0,SUMIFS($H$2:$H$801,$B$2:$B$801,B145))</f>
        <v/>
      </c>
      <c r="E145">
        <f>IF(NOT(AND(C145=1, TRIM(ERP資料!T145)="平板")), 0, IF(MAX(E$2:E144)=0, 1, IF(ERP資料!A145=INDEX(ERP資料!$A$2:$A144, MATCH(MAX(E$2:E144), E$2:E144, 0)), MAX(E$2:E144)+1, MAX(E$2:E144)+2)))</f>
        <v/>
      </c>
      <c r="F145">
        <f>IF(NOT(AND(C145=1, TRIM(ERP資料!T145)="平板")), 0, IF(MAX(F$2:F144)=0, 1, IF(ERP資料!A145=INDEX(ERP資料!$A$2:$A144, MATCH(MAX(F$2:F144), F$2:F144, 0)), MAX(F$2:F144)+1, MAX(F$2:F144)+2)))</f>
        <v/>
      </c>
      <c r="G145">
        <f>IF(NOT(AND(C145=1, TRIM(ERP資料!T145)="捲筒")), 0, IF(MAX(G$2:G144)=0, 1, IF(ERP資料!A145=INDEX(ERP資料!$A$2:$A144, MATCH(MAX(G$2:G144), G$2:G144, 0)), MAX(G$2:G144)+1, MAX(G$2:G144)+2)))</f>
        <v/>
      </c>
      <c r="H145">
        <f>IF(OR(ERP資料!C145="",ERP資料!D145=""),0,ERP資料!D145-ERP資料!C145+1)</f>
        <v/>
      </c>
    </row>
    <row r="146">
      <c r="A146" t="n">
        <v>146</v>
      </c>
      <c r="B146">
        <f>IF(ERP資料!A146="","",ERP資料!A146&amp;"|"&amp;ERP資料!E146&amp;"|"&amp;ERP資料!F146&amp;"|"&amp;ERP資料!G146&amp;"|"&amp;ERP資料!H146&amp;"|"&amp;ERP資料!O146)</f>
        <v/>
      </c>
      <c r="C146">
        <f>IF(B146="",0,IF(COUNTIF(B$2:B145,B146)=0,1,0))</f>
        <v/>
      </c>
      <c r="D146">
        <f>IF(B146="",0,SUMIFS($H$2:$H$801,$B$2:$B$801,B146))</f>
        <v/>
      </c>
      <c r="E146">
        <f>IF(NOT(AND(C146=1, TRIM(ERP資料!T146)="平板")), 0, IF(MAX(E$2:E145)=0, 1, IF(ERP資料!A146=INDEX(ERP資料!$A$2:$A145, MATCH(MAX(E$2:E145), E$2:E145, 0)), MAX(E$2:E145)+1, MAX(E$2:E145)+2)))</f>
        <v/>
      </c>
      <c r="F146">
        <f>IF(NOT(AND(C146=1, TRIM(ERP資料!T146)="平板")), 0, IF(MAX(F$2:F145)=0, 1, IF(ERP資料!A146=INDEX(ERP資料!$A$2:$A145, MATCH(MAX(F$2:F145), F$2:F145, 0)), MAX(F$2:F145)+1, MAX(F$2:F145)+2)))</f>
        <v/>
      </c>
      <c r="G146">
        <f>IF(NOT(AND(C146=1, TRIM(ERP資料!T146)="捲筒")), 0, IF(MAX(G$2:G145)=0, 1, IF(ERP資料!A146=INDEX(ERP資料!$A$2:$A145, MATCH(MAX(G$2:G145), G$2:G145, 0)), MAX(G$2:G145)+1, MAX(G$2:G145)+2)))</f>
        <v/>
      </c>
      <c r="H146">
        <f>IF(OR(ERP資料!C146="",ERP資料!D146=""),0,ERP資料!D146-ERP資料!C146+1)</f>
        <v/>
      </c>
    </row>
    <row r="147">
      <c r="A147" t="n">
        <v>147</v>
      </c>
      <c r="B147">
        <f>IF(ERP資料!A147="","",ERP資料!A147&amp;"|"&amp;ERP資料!E147&amp;"|"&amp;ERP資料!F147&amp;"|"&amp;ERP資料!G147&amp;"|"&amp;ERP資料!H147&amp;"|"&amp;ERP資料!O147)</f>
        <v/>
      </c>
      <c r="C147">
        <f>IF(B147="",0,IF(COUNTIF(B$2:B146,B147)=0,1,0))</f>
        <v/>
      </c>
      <c r="D147">
        <f>IF(B147="",0,SUMIFS($H$2:$H$801,$B$2:$B$801,B147))</f>
        <v/>
      </c>
      <c r="E147">
        <f>IF(NOT(AND(C147=1, TRIM(ERP資料!T147)="平板")), 0, IF(MAX(E$2:E146)=0, 1, IF(ERP資料!A147=INDEX(ERP資料!$A$2:$A146, MATCH(MAX(E$2:E146), E$2:E146, 0)), MAX(E$2:E146)+1, MAX(E$2:E146)+2)))</f>
        <v/>
      </c>
      <c r="F147">
        <f>IF(NOT(AND(C147=1, TRIM(ERP資料!T147)="平板")), 0, IF(MAX(F$2:F146)=0, 1, IF(ERP資料!A147=INDEX(ERP資料!$A$2:$A146, MATCH(MAX(F$2:F146), F$2:F146, 0)), MAX(F$2:F146)+1, MAX(F$2:F146)+2)))</f>
        <v/>
      </c>
      <c r="G147">
        <f>IF(NOT(AND(C147=1, TRIM(ERP資料!T147)="捲筒")), 0, IF(MAX(G$2:G146)=0, 1, IF(ERP資料!A147=INDEX(ERP資料!$A$2:$A146, MATCH(MAX(G$2:G146), G$2:G146, 0)), MAX(G$2:G146)+1, MAX(G$2:G146)+2)))</f>
        <v/>
      </c>
      <c r="H147">
        <f>IF(OR(ERP資料!C147="",ERP資料!D147=""),0,ERP資料!D147-ERP資料!C147+1)</f>
        <v/>
      </c>
    </row>
    <row r="148">
      <c r="A148" t="n">
        <v>148</v>
      </c>
      <c r="B148">
        <f>IF(ERP資料!A148="","",ERP資料!A148&amp;"|"&amp;ERP資料!E148&amp;"|"&amp;ERP資料!F148&amp;"|"&amp;ERP資料!G148&amp;"|"&amp;ERP資料!H148&amp;"|"&amp;ERP資料!O148)</f>
        <v/>
      </c>
      <c r="C148">
        <f>IF(B148="",0,IF(COUNTIF(B$2:B147,B148)=0,1,0))</f>
        <v/>
      </c>
      <c r="D148">
        <f>IF(B148="",0,SUMIFS($H$2:$H$801,$B$2:$B$801,B148))</f>
        <v/>
      </c>
      <c r="E148">
        <f>IF(NOT(AND(C148=1, TRIM(ERP資料!T148)="平板")), 0, IF(MAX(E$2:E147)=0, 1, IF(ERP資料!A148=INDEX(ERP資料!$A$2:$A147, MATCH(MAX(E$2:E147), E$2:E147, 0)), MAX(E$2:E147)+1, MAX(E$2:E147)+2)))</f>
        <v/>
      </c>
      <c r="F148">
        <f>IF(NOT(AND(C148=1, TRIM(ERP資料!T148)="平板")), 0, IF(MAX(F$2:F147)=0, 1, IF(ERP資料!A148=INDEX(ERP資料!$A$2:$A147, MATCH(MAX(F$2:F147), F$2:F147, 0)), MAX(F$2:F147)+1, MAX(F$2:F147)+2)))</f>
        <v/>
      </c>
      <c r="G148">
        <f>IF(NOT(AND(C148=1, TRIM(ERP資料!T148)="捲筒")), 0, IF(MAX(G$2:G147)=0, 1, IF(ERP資料!A148=INDEX(ERP資料!$A$2:$A147, MATCH(MAX(G$2:G147), G$2:G147, 0)), MAX(G$2:G147)+1, MAX(G$2:G147)+2)))</f>
        <v/>
      </c>
      <c r="H148">
        <f>IF(OR(ERP資料!C148="",ERP資料!D148=""),0,ERP資料!D148-ERP資料!C148+1)</f>
        <v/>
      </c>
    </row>
    <row r="149">
      <c r="A149" t="n">
        <v>149</v>
      </c>
      <c r="B149">
        <f>IF(ERP資料!A149="","",ERP資料!A149&amp;"|"&amp;ERP資料!E149&amp;"|"&amp;ERP資料!F149&amp;"|"&amp;ERP資料!G149&amp;"|"&amp;ERP資料!H149&amp;"|"&amp;ERP資料!O149)</f>
        <v/>
      </c>
      <c r="C149">
        <f>IF(B149="",0,IF(COUNTIF(B$2:B148,B149)=0,1,0))</f>
        <v/>
      </c>
      <c r="D149">
        <f>IF(B149="",0,SUMIFS($H$2:$H$801,$B$2:$B$801,B149))</f>
        <v/>
      </c>
      <c r="E149">
        <f>IF(NOT(AND(C149=1, TRIM(ERP資料!T149)="平板")), 0, IF(MAX(E$2:E148)=0, 1, IF(ERP資料!A149=INDEX(ERP資料!$A$2:$A148, MATCH(MAX(E$2:E148), E$2:E148, 0)), MAX(E$2:E148)+1, MAX(E$2:E148)+2)))</f>
        <v/>
      </c>
      <c r="F149">
        <f>IF(NOT(AND(C149=1, TRIM(ERP資料!T149)="平板")), 0, IF(MAX(F$2:F148)=0, 1, IF(ERP資料!A149=INDEX(ERP資料!$A$2:$A148, MATCH(MAX(F$2:F148), F$2:F148, 0)), MAX(F$2:F148)+1, MAX(F$2:F148)+2)))</f>
        <v/>
      </c>
      <c r="G149">
        <f>IF(NOT(AND(C149=1, TRIM(ERP資料!T149)="捲筒")), 0, IF(MAX(G$2:G148)=0, 1, IF(ERP資料!A149=INDEX(ERP資料!$A$2:$A148, MATCH(MAX(G$2:G148), G$2:G148, 0)), MAX(G$2:G148)+1, MAX(G$2:G148)+2)))</f>
        <v/>
      </c>
      <c r="H149">
        <f>IF(OR(ERP資料!C149="",ERP資料!D149=""),0,ERP資料!D149-ERP資料!C149+1)</f>
        <v/>
      </c>
    </row>
    <row r="150">
      <c r="A150" t="n">
        <v>150</v>
      </c>
      <c r="B150">
        <f>IF(ERP資料!A150="","",ERP資料!A150&amp;"|"&amp;ERP資料!E150&amp;"|"&amp;ERP資料!F150&amp;"|"&amp;ERP資料!G150&amp;"|"&amp;ERP資料!H150&amp;"|"&amp;ERP資料!O150)</f>
        <v/>
      </c>
      <c r="C150">
        <f>IF(B150="",0,IF(COUNTIF(B$2:B149,B150)=0,1,0))</f>
        <v/>
      </c>
      <c r="D150">
        <f>IF(B150="",0,SUMIFS($H$2:$H$801,$B$2:$B$801,B150))</f>
        <v/>
      </c>
      <c r="E150">
        <f>IF(NOT(AND(C150=1, TRIM(ERP資料!T150)="平板")), 0, IF(MAX(E$2:E149)=0, 1, IF(ERP資料!A150=INDEX(ERP資料!$A$2:$A149, MATCH(MAX(E$2:E149), E$2:E149, 0)), MAX(E$2:E149)+1, MAX(E$2:E149)+2)))</f>
        <v/>
      </c>
      <c r="F150">
        <f>IF(NOT(AND(C150=1, TRIM(ERP資料!T150)="平板")), 0, IF(MAX(F$2:F149)=0, 1, IF(ERP資料!A150=INDEX(ERP資料!$A$2:$A149, MATCH(MAX(F$2:F149), F$2:F149, 0)), MAX(F$2:F149)+1, MAX(F$2:F149)+2)))</f>
        <v/>
      </c>
      <c r="G150">
        <f>IF(NOT(AND(C150=1, TRIM(ERP資料!T150)="捲筒")), 0, IF(MAX(G$2:G149)=0, 1, IF(ERP資料!A150=INDEX(ERP資料!$A$2:$A149, MATCH(MAX(G$2:G149), G$2:G149, 0)), MAX(G$2:G149)+1, MAX(G$2:G149)+2)))</f>
        <v/>
      </c>
      <c r="H150">
        <f>IF(OR(ERP資料!C150="",ERP資料!D150=""),0,ERP資料!D150-ERP資料!C150+1)</f>
        <v/>
      </c>
    </row>
    <row r="151">
      <c r="A151" t="n">
        <v>151</v>
      </c>
      <c r="B151">
        <f>IF(ERP資料!A151="","",ERP資料!A151&amp;"|"&amp;ERP資料!E151&amp;"|"&amp;ERP資料!F151&amp;"|"&amp;ERP資料!G151&amp;"|"&amp;ERP資料!H151&amp;"|"&amp;ERP資料!O151)</f>
        <v/>
      </c>
      <c r="C151">
        <f>IF(B151="",0,IF(COUNTIF(B$2:B150,B151)=0,1,0))</f>
        <v/>
      </c>
      <c r="D151">
        <f>IF(B151="",0,SUMIFS($H$2:$H$801,$B$2:$B$801,B151))</f>
        <v/>
      </c>
      <c r="E151">
        <f>IF(NOT(AND(C151=1, TRIM(ERP資料!T151)="平板")), 0, IF(MAX(E$2:E150)=0, 1, IF(ERP資料!A151=INDEX(ERP資料!$A$2:$A150, MATCH(MAX(E$2:E150), E$2:E150, 0)), MAX(E$2:E150)+1, MAX(E$2:E150)+2)))</f>
        <v/>
      </c>
      <c r="F151">
        <f>IF(NOT(AND(C151=1, TRIM(ERP資料!T151)="平板")), 0, IF(MAX(F$2:F150)=0, 1, IF(ERP資料!A151=INDEX(ERP資料!$A$2:$A150, MATCH(MAX(F$2:F150), F$2:F150, 0)), MAX(F$2:F150)+1, MAX(F$2:F150)+2)))</f>
        <v/>
      </c>
      <c r="G151">
        <f>IF(NOT(AND(C151=1, TRIM(ERP資料!T151)="捲筒")), 0, IF(MAX(G$2:G150)=0, 1, IF(ERP資料!A151=INDEX(ERP資料!$A$2:$A150, MATCH(MAX(G$2:G150), G$2:G150, 0)), MAX(G$2:G150)+1, MAX(G$2:G150)+2)))</f>
        <v/>
      </c>
      <c r="H151">
        <f>IF(OR(ERP資料!C151="",ERP資料!D151=""),0,ERP資料!D151-ERP資料!C151+1)</f>
        <v/>
      </c>
    </row>
    <row r="152">
      <c r="A152" t="n">
        <v>152</v>
      </c>
      <c r="B152">
        <f>IF(ERP資料!A152="","",ERP資料!A152&amp;"|"&amp;ERP資料!E152&amp;"|"&amp;ERP資料!F152&amp;"|"&amp;ERP資料!G152&amp;"|"&amp;ERP資料!H152&amp;"|"&amp;ERP資料!O152)</f>
        <v/>
      </c>
      <c r="C152">
        <f>IF(B152="",0,IF(COUNTIF(B$2:B151,B152)=0,1,0))</f>
        <v/>
      </c>
      <c r="D152">
        <f>IF(B152="",0,SUMIFS($H$2:$H$801,$B$2:$B$801,B152))</f>
        <v/>
      </c>
      <c r="E152">
        <f>IF(NOT(AND(C152=1, TRIM(ERP資料!T152)="平板")), 0, IF(MAX(E$2:E151)=0, 1, IF(ERP資料!A152=INDEX(ERP資料!$A$2:$A151, MATCH(MAX(E$2:E151), E$2:E151, 0)), MAX(E$2:E151)+1, MAX(E$2:E151)+2)))</f>
        <v/>
      </c>
      <c r="F152">
        <f>IF(NOT(AND(C152=1, TRIM(ERP資料!T152)="平板")), 0, IF(MAX(F$2:F151)=0, 1, IF(ERP資料!A152=INDEX(ERP資料!$A$2:$A151, MATCH(MAX(F$2:F151), F$2:F151, 0)), MAX(F$2:F151)+1, MAX(F$2:F151)+2)))</f>
        <v/>
      </c>
      <c r="G152">
        <f>IF(NOT(AND(C152=1, TRIM(ERP資料!T152)="捲筒")), 0, IF(MAX(G$2:G151)=0, 1, IF(ERP資料!A152=INDEX(ERP資料!$A$2:$A151, MATCH(MAX(G$2:G151), G$2:G151, 0)), MAX(G$2:G151)+1, MAX(G$2:G151)+2)))</f>
        <v/>
      </c>
      <c r="H152">
        <f>IF(OR(ERP資料!C152="",ERP資料!D152=""),0,ERP資料!D152-ERP資料!C152+1)</f>
        <v/>
      </c>
    </row>
    <row r="153">
      <c r="A153" t="n">
        <v>153</v>
      </c>
      <c r="B153">
        <f>IF(ERP資料!A153="","",ERP資料!A153&amp;"|"&amp;ERP資料!E153&amp;"|"&amp;ERP資料!F153&amp;"|"&amp;ERP資料!G153&amp;"|"&amp;ERP資料!H153&amp;"|"&amp;ERP資料!O153)</f>
        <v/>
      </c>
      <c r="C153">
        <f>IF(B153="",0,IF(COUNTIF(B$2:B152,B153)=0,1,0))</f>
        <v/>
      </c>
      <c r="D153">
        <f>IF(B153="",0,SUMIFS($H$2:$H$801,$B$2:$B$801,B153))</f>
        <v/>
      </c>
      <c r="E153">
        <f>IF(NOT(AND(C153=1, TRIM(ERP資料!T153)="平板")), 0, IF(MAX(E$2:E152)=0, 1, IF(ERP資料!A153=INDEX(ERP資料!$A$2:$A152, MATCH(MAX(E$2:E152), E$2:E152, 0)), MAX(E$2:E152)+1, MAX(E$2:E152)+2)))</f>
        <v/>
      </c>
      <c r="F153">
        <f>IF(NOT(AND(C153=1, TRIM(ERP資料!T153)="平板")), 0, IF(MAX(F$2:F152)=0, 1, IF(ERP資料!A153=INDEX(ERP資料!$A$2:$A152, MATCH(MAX(F$2:F152), F$2:F152, 0)), MAX(F$2:F152)+1, MAX(F$2:F152)+2)))</f>
        <v/>
      </c>
      <c r="G153">
        <f>IF(NOT(AND(C153=1, TRIM(ERP資料!T153)="捲筒")), 0, IF(MAX(G$2:G152)=0, 1, IF(ERP資料!A153=INDEX(ERP資料!$A$2:$A152, MATCH(MAX(G$2:G152), G$2:G152, 0)), MAX(G$2:G152)+1, MAX(G$2:G152)+2)))</f>
        <v/>
      </c>
      <c r="H153">
        <f>IF(OR(ERP資料!C153="",ERP資料!D153=""),0,ERP資料!D153-ERP資料!C153+1)</f>
        <v/>
      </c>
    </row>
    <row r="154">
      <c r="A154" t="n">
        <v>154</v>
      </c>
      <c r="B154">
        <f>IF(ERP資料!A154="","",ERP資料!A154&amp;"|"&amp;ERP資料!E154&amp;"|"&amp;ERP資料!F154&amp;"|"&amp;ERP資料!G154&amp;"|"&amp;ERP資料!H154&amp;"|"&amp;ERP資料!O154)</f>
        <v/>
      </c>
      <c r="C154">
        <f>IF(B154="",0,IF(COUNTIF(B$2:B153,B154)=0,1,0))</f>
        <v/>
      </c>
      <c r="D154">
        <f>IF(B154="",0,SUMIFS($H$2:$H$801,$B$2:$B$801,B154))</f>
        <v/>
      </c>
      <c r="E154">
        <f>IF(NOT(AND(C154=1, TRIM(ERP資料!T154)="平板")), 0, IF(MAX(E$2:E153)=0, 1, IF(ERP資料!A154=INDEX(ERP資料!$A$2:$A153, MATCH(MAX(E$2:E153), E$2:E153, 0)), MAX(E$2:E153)+1, MAX(E$2:E153)+2)))</f>
        <v/>
      </c>
      <c r="F154">
        <f>IF(NOT(AND(C154=1, TRIM(ERP資料!T154)="平板")), 0, IF(MAX(F$2:F153)=0, 1, IF(ERP資料!A154=INDEX(ERP資料!$A$2:$A153, MATCH(MAX(F$2:F153), F$2:F153, 0)), MAX(F$2:F153)+1, MAX(F$2:F153)+2)))</f>
        <v/>
      </c>
      <c r="G154">
        <f>IF(NOT(AND(C154=1, TRIM(ERP資料!T154)="捲筒")), 0, IF(MAX(G$2:G153)=0, 1, IF(ERP資料!A154=INDEX(ERP資料!$A$2:$A153, MATCH(MAX(G$2:G153), G$2:G153, 0)), MAX(G$2:G153)+1, MAX(G$2:G153)+2)))</f>
        <v/>
      </c>
      <c r="H154">
        <f>IF(OR(ERP資料!C154="",ERP資料!D154=""),0,ERP資料!D154-ERP資料!C154+1)</f>
        <v/>
      </c>
    </row>
    <row r="155">
      <c r="A155" t="n">
        <v>155</v>
      </c>
      <c r="B155">
        <f>IF(ERP資料!A155="","",ERP資料!A155&amp;"|"&amp;ERP資料!E155&amp;"|"&amp;ERP資料!F155&amp;"|"&amp;ERP資料!G155&amp;"|"&amp;ERP資料!H155&amp;"|"&amp;ERP資料!O155)</f>
        <v/>
      </c>
      <c r="C155">
        <f>IF(B155="",0,IF(COUNTIF(B$2:B154,B155)=0,1,0))</f>
        <v/>
      </c>
      <c r="D155">
        <f>IF(B155="",0,SUMIFS($H$2:$H$801,$B$2:$B$801,B155))</f>
        <v/>
      </c>
      <c r="E155">
        <f>IF(NOT(AND(C155=1, TRIM(ERP資料!T155)="平板")), 0, IF(MAX(E$2:E154)=0, 1, IF(ERP資料!A155=INDEX(ERP資料!$A$2:$A154, MATCH(MAX(E$2:E154), E$2:E154, 0)), MAX(E$2:E154)+1, MAX(E$2:E154)+2)))</f>
        <v/>
      </c>
      <c r="F155">
        <f>IF(NOT(AND(C155=1, TRIM(ERP資料!T155)="平板")), 0, IF(MAX(F$2:F154)=0, 1, IF(ERP資料!A155=INDEX(ERP資料!$A$2:$A154, MATCH(MAX(F$2:F154), F$2:F154, 0)), MAX(F$2:F154)+1, MAX(F$2:F154)+2)))</f>
        <v/>
      </c>
      <c r="G155">
        <f>IF(NOT(AND(C155=1, TRIM(ERP資料!T155)="捲筒")), 0, IF(MAX(G$2:G154)=0, 1, IF(ERP資料!A155=INDEX(ERP資料!$A$2:$A154, MATCH(MAX(G$2:G154), G$2:G154, 0)), MAX(G$2:G154)+1, MAX(G$2:G154)+2)))</f>
        <v/>
      </c>
      <c r="H155">
        <f>IF(OR(ERP資料!C155="",ERP資料!D155=""),0,ERP資料!D155-ERP資料!C155+1)</f>
        <v/>
      </c>
    </row>
    <row r="156">
      <c r="A156" t="n">
        <v>156</v>
      </c>
      <c r="B156">
        <f>IF(ERP資料!A156="","",ERP資料!A156&amp;"|"&amp;ERP資料!E156&amp;"|"&amp;ERP資料!F156&amp;"|"&amp;ERP資料!G156&amp;"|"&amp;ERP資料!H156&amp;"|"&amp;ERP資料!O156)</f>
        <v/>
      </c>
      <c r="C156">
        <f>IF(B156="",0,IF(COUNTIF(B$2:B155,B156)=0,1,0))</f>
        <v/>
      </c>
      <c r="D156">
        <f>IF(B156="",0,SUMIFS($H$2:$H$801,$B$2:$B$801,B156))</f>
        <v/>
      </c>
      <c r="E156">
        <f>IF(NOT(AND(C156=1, TRIM(ERP資料!T156)="平板")), 0, IF(MAX(E$2:E155)=0, 1, IF(ERP資料!A156=INDEX(ERP資料!$A$2:$A155, MATCH(MAX(E$2:E155), E$2:E155, 0)), MAX(E$2:E155)+1, MAX(E$2:E155)+2)))</f>
        <v/>
      </c>
      <c r="F156">
        <f>IF(NOT(AND(C156=1, TRIM(ERP資料!T156)="平板")), 0, IF(MAX(F$2:F155)=0, 1, IF(ERP資料!A156=INDEX(ERP資料!$A$2:$A155, MATCH(MAX(F$2:F155), F$2:F155, 0)), MAX(F$2:F155)+1, MAX(F$2:F155)+2)))</f>
        <v/>
      </c>
      <c r="G156">
        <f>IF(NOT(AND(C156=1, TRIM(ERP資料!T156)="捲筒")), 0, IF(MAX(G$2:G155)=0, 1, IF(ERP資料!A156=INDEX(ERP資料!$A$2:$A155, MATCH(MAX(G$2:G155), G$2:G155, 0)), MAX(G$2:G155)+1, MAX(G$2:G155)+2)))</f>
        <v/>
      </c>
      <c r="H156">
        <f>IF(OR(ERP資料!C156="",ERP資料!D156=""),0,ERP資料!D156-ERP資料!C156+1)</f>
        <v/>
      </c>
    </row>
    <row r="157">
      <c r="A157" t="n">
        <v>157</v>
      </c>
      <c r="B157">
        <f>IF(ERP資料!A157="","",ERP資料!A157&amp;"|"&amp;ERP資料!E157&amp;"|"&amp;ERP資料!F157&amp;"|"&amp;ERP資料!G157&amp;"|"&amp;ERP資料!H157&amp;"|"&amp;ERP資料!O157)</f>
        <v/>
      </c>
      <c r="C157">
        <f>IF(B157="",0,IF(COUNTIF(B$2:B156,B157)=0,1,0))</f>
        <v/>
      </c>
      <c r="D157">
        <f>IF(B157="",0,SUMIFS($H$2:$H$801,$B$2:$B$801,B157))</f>
        <v/>
      </c>
      <c r="E157">
        <f>IF(NOT(AND(C157=1, TRIM(ERP資料!T157)="平板")), 0, IF(MAX(E$2:E156)=0, 1, IF(ERP資料!A157=INDEX(ERP資料!$A$2:$A156, MATCH(MAX(E$2:E156), E$2:E156, 0)), MAX(E$2:E156)+1, MAX(E$2:E156)+2)))</f>
        <v/>
      </c>
      <c r="F157">
        <f>IF(NOT(AND(C157=1, TRIM(ERP資料!T157)="平板")), 0, IF(MAX(F$2:F156)=0, 1, IF(ERP資料!A157=INDEX(ERP資料!$A$2:$A156, MATCH(MAX(F$2:F156), F$2:F156, 0)), MAX(F$2:F156)+1, MAX(F$2:F156)+2)))</f>
        <v/>
      </c>
      <c r="G157">
        <f>IF(NOT(AND(C157=1, TRIM(ERP資料!T157)="捲筒")), 0, IF(MAX(G$2:G156)=0, 1, IF(ERP資料!A157=INDEX(ERP資料!$A$2:$A156, MATCH(MAX(G$2:G156), G$2:G156, 0)), MAX(G$2:G156)+1, MAX(G$2:G156)+2)))</f>
        <v/>
      </c>
      <c r="H157">
        <f>IF(OR(ERP資料!C157="",ERP資料!D157=""),0,ERP資料!D157-ERP資料!C157+1)</f>
        <v/>
      </c>
    </row>
    <row r="158">
      <c r="A158" t="n">
        <v>158</v>
      </c>
      <c r="B158">
        <f>IF(ERP資料!A158="","",ERP資料!A158&amp;"|"&amp;ERP資料!E158&amp;"|"&amp;ERP資料!F158&amp;"|"&amp;ERP資料!G158&amp;"|"&amp;ERP資料!H158&amp;"|"&amp;ERP資料!O158)</f>
        <v/>
      </c>
      <c r="C158">
        <f>IF(B158="",0,IF(COUNTIF(B$2:B157,B158)=0,1,0))</f>
        <v/>
      </c>
      <c r="D158">
        <f>IF(B158="",0,SUMIFS($H$2:$H$801,$B$2:$B$801,B158))</f>
        <v/>
      </c>
      <c r="E158">
        <f>IF(NOT(AND(C158=1, TRIM(ERP資料!T158)="平板")), 0, IF(MAX(E$2:E157)=0, 1, IF(ERP資料!A158=INDEX(ERP資料!$A$2:$A157, MATCH(MAX(E$2:E157), E$2:E157, 0)), MAX(E$2:E157)+1, MAX(E$2:E157)+2)))</f>
        <v/>
      </c>
      <c r="F158">
        <f>IF(NOT(AND(C158=1, TRIM(ERP資料!T158)="平板")), 0, IF(MAX(F$2:F157)=0, 1, IF(ERP資料!A158=INDEX(ERP資料!$A$2:$A157, MATCH(MAX(F$2:F157), F$2:F157, 0)), MAX(F$2:F157)+1, MAX(F$2:F157)+2)))</f>
        <v/>
      </c>
      <c r="G158">
        <f>IF(NOT(AND(C158=1, TRIM(ERP資料!T158)="捲筒")), 0, IF(MAX(G$2:G157)=0, 1, IF(ERP資料!A158=INDEX(ERP資料!$A$2:$A157, MATCH(MAX(G$2:G157), G$2:G157, 0)), MAX(G$2:G157)+1, MAX(G$2:G157)+2)))</f>
        <v/>
      </c>
      <c r="H158">
        <f>IF(OR(ERP資料!C158="",ERP資料!D158=""),0,ERP資料!D158-ERP資料!C158+1)</f>
        <v/>
      </c>
    </row>
    <row r="159">
      <c r="A159" t="n">
        <v>159</v>
      </c>
      <c r="B159">
        <f>IF(ERP資料!A159="","",ERP資料!A159&amp;"|"&amp;ERP資料!E159&amp;"|"&amp;ERP資料!F159&amp;"|"&amp;ERP資料!G159&amp;"|"&amp;ERP資料!H159&amp;"|"&amp;ERP資料!O159)</f>
        <v/>
      </c>
      <c r="C159">
        <f>IF(B159="",0,IF(COUNTIF(B$2:B158,B159)=0,1,0))</f>
        <v/>
      </c>
      <c r="D159">
        <f>IF(B159="",0,SUMIFS($H$2:$H$801,$B$2:$B$801,B159))</f>
        <v/>
      </c>
      <c r="E159">
        <f>IF(NOT(AND(C159=1, TRIM(ERP資料!T159)="平板")), 0, IF(MAX(E$2:E158)=0, 1, IF(ERP資料!A159=INDEX(ERP資料!$A$2:$A158, MATCH(MAX(E$2:E158), E$2:E158, 0)), MAX(E$2:E158)+1, MAX(E$2:E158)+2)))</f>
        <v/>
      </c>
      <c r="F159">
        <f>IF(NOT(AND(C159=1, TRIM(ERP資料!T159)="平板")), 0, IF(MAX(F$2:F158)=0, 1, IF(ERP資料!A159=INDEX(ERP資料!$A$2:$A158, MATCH(MAX(F$2:F158), F$2:F158, 0)), MAX(F$2:F158)+1, MAX(F$2:F158)+2)))</f>
        <v/>
      </c>
      <c r="G159">
        <f>IF(NOT(AND(C159=1, TRIM(ERP資料!T159)="捲筒")), 0, IF(MAX(G$2:G158)=0, 1, IF(ERP資料!A159=INDEX(ERP資料!$A$2:$A158, MATCH(MAX(G$2:G158), G$2:G158, 0)), MAX(G$2:G158)+1, MAX(G$2:G158)+2)))</f>
        <v/>
      </c>
      <c r="H159">
        <f>IF(OR(ERP資料!C159="",ERP資料!D159=""),0,ERP資料!D159-ERP資料!C159+1)</f>
        <v/>
      </c>
    </row>
    <row r="160">
      <c r="A160" t="n">
        <v>160</v>
      </c>
      <c r="B160">
        <f>IF(ERP資料!A160="","",ERP資料!A160&amp;"|"&amp;ERP資料!E160&amp;"|"&amp;ERP資料!F160&amp;"|"&amp;ERP資料!G160&amp;"|"&amp;ERP資料!H160&amp;"|"&amp;ERP資料!O160)</f>
        <v/>
      </c>
      <c r="C160">
        <f>IF(B160="",0,IF(COUNTIF(B$2:B159,B160)=0,1,0))</f>
        <v/>
      </c>
      <c r="D160">
        <f>IF(B160="",0,SUMIFS($H$2:$H$801,$B$2:$B$801,B160))</f>
        <v/>
      </c>
      <c r="E160">
        <f>IF(NOT(AND(C160=1, TRIM(ERP資料!T160)="平板")), 0, IF(MAX(E$2:E159)=0, 1, IF(ERP資料!A160=INDEX(ERP資料!$A$2:$A159, MATCH(MAX(E$2:E159), E$2:E159, 0)), MAX(E$2:E159)+1, MAX(E$2:E159)+2)))</f>
        <v/>
      </c>
      <c r="F160">
        <f>IF(NOT(AND(C160=1, TRIM(ERP資料!T160)="平板")), 0, IF(MAX(F$2:F159)=0, 1, IF(ERP資料!A160=INDEX(ERP資料!$A$2:$A159, MATCH(MAX(F$2:F159), F$2:F159, 0)), MAX(F$2:F159)+1, MAX(F$2:F159)+2)))</f>
        <v/>
      </c>
      <c r="G160">
        <f>IF(NOT(AND(C160=1, TRIM(ERP資料!T160)="捲筒")), 0, IF(MAX(G$2:G159)=0, 1, IF(ERP資料!A160=INDEX(ERP資料!$A$2:$A159, MATCH(MAX(G$2:G159), G$2:G159, 0)), MAX(G$2:G159)+1, MAX(G$2:G159)+2)))</f>
        <v/>
      </c>
      <c r="H160">
        <f>IF(OR(ERP資料!C160="",ERP資料!D160=""),0,ERP資料!D160-ERP資料!C160+1)</f>
        <v/>
      </c>
    </row>
    <row r="161">
      <c r="A161" t="n">
        <v>161</v>
      </c>
      <c r="B161">
        <f>IF(ERP資料!A161="","",ERP資料!A161&amp;"|"&amp;ERP資料!E161&amp;"|"&amp;ERP資料!F161&amp;"|"&amp;ERP資料!G161&amp;"|"&amp;ERP資料!H161&amp;"|"&amp;ERP資料!O161)</f>
        <v/>
      </c>
      <c r="C161">
        <f>IF(B161="",0,IF(COUNTIF(B$2:B160,B161)=0,1,0))</f>
        <v/>
      </c>
      <c r="D161">
        <f>IF(B161="",0,SUMIFS($H$2:$H$801,$B$2:$B$801,B161))</f>
        <v/>
      </c>
      <c r="E161">
        <f>IF(NOT(AND(C161=1, TRIM(ERP資料!T161)="平板")), 0, IF(MAX(E$2:E160)=0, 1, IF(ERP資料!A161=INDEX(ERP資料!$A$2:$A160, MATCH(MAX(E$2:E160), E$2:E160, 0)), MAX(E$2:E160)+1, MAX(E$2:E160)+2)))</f>
        <v/>
      </c>
      <c r="F161">
        <f>IF(NOT(AND(C161=1, TRIM(ERP資料!T161)="平板")), 0, IF(MAX(F$2:F160)=0, 1, IF(ERP資料!A161=INDEX(ERP資料!$A$2:$A160, MATCH(MAX(F$2:F160), F$2:F160, 0)), MAX(F$2:F160)+1, MAX(F$2:F160)+2)))</f>
        <v/>
      </c>
      <c r="G161">
        <f>IF(NOT(AND(C161=1, TRIM(ERP資料!T161)="捲筒")), 0, IF(MAX(G$2:G160)=0, 1, IF(ERP資料!A161=INDEX(ERP資料!$A$2:$A160, MATCH(MAX(G$2:G160), G$2:G160, 0)), MAX(G$2:G160)+1, MAX(G$2:G160)+2)))</f>
        <v/>
      </c>
      <c r="H161">
        <f>IF(OR(ERP資料!C161="",ERP資料!D161=""),0,ERP資料!D161-ERP資料!C161+1)</f>
        <v/>
      </c>
    </row>
    <row r="162">
      <c r="A162" t="n">
        <v>162</v>
      </c>
      <c r="B162">
        <f>IF(ERP資料!A162="","",ERP資料!A162&amp;"|"&amp;ERP資料!E162&amp;"|"&amp;ERP資料!F162&amp;"|"&amp;ERP資料!G162&amp;"|"&amp;ERP資料!H162&amp;"|"&amp;ERP資料!O162)</f>
        <v/>
      </c>
      <c r="C162">
        <f>IF(B162="",0,IF(COUNTIF(B$2:B161,B162)=0,1,0))</f>
        <v/>
      </c>
      <c r="D162">
        <f>IF(B162="",0,SUMIFS($H$2:$H$801,$B$2:$B$801,B162))</f>
        <v/>
      </c>
      <c r="E162">
        <f>IF(NOT(AND(C162=1, TRIM(ERP資料!T162)="平板")), 0, IF(MAX(E$2:E161)=0, 1, IF(ERP資料!A162=INDEX(ERP資料!$A$2:$A161, MATCH(MAX(E$2:E161), E$2:E161, 0)), MAX(E$2:E161)+1, MAX(E$2:E161)+2)))</f>
        <v/>
      </c>
      <c r="F162">
        <f>IF(NOT(AND(C162=1, TRIM(ERP資料!T162)="平板")), 0, IF(MAX(F$2:F161)=0, 1, IF(ERP資料!A162=INDEX(ERP資料!$A$2:$A161, MATCH(MAX(F$2:F161), F$2:F161, 0)), MAX(F$2:F161)+1, MAX(F$2:F161)+2)))</f>
        <v/>
      </c>
      <c r="G162">
        <f>IF(NOT(AND(C162=1, TRIM(ERP資料!T162)="捲筒")), 0, IF(MAX(G$2:G161)=0, 1, IF(ERP資料!A162=INDEX(ERP資料!$A$2:$A161, MATCH(MAX(G$2:G161), G$2:G161, 0)), MAX(G$2:G161)+1, MAX(G$2:G161)+2)))</f>
        <v/>
      </c>
      <c r="H162">
        <f>IF(OR(ERP資料!C162="",ERP資料!D162=""),0,ERP資料!D162-ERP資料!C162+1)</f>
        <v/>
      </c>
    </row>
    <row r="163">
      <c r="A163" t="n">
        <v>163</v>
      </c>
      <c r="B163">
        <f>IF(ERP資料!A163="","",ERP資料!A163&amp;"|"&amp;ERP資料!E163&amp;"|"&amp;ERP資料!F163&amp;"|"&amp;ERP資料!G163&amp;"|"&amp;ERP資料!H163&amp;"|"&amp;ERP資料!O163)</f>
        <v/>
      </c>
      <c r="C163">
        <f>IF(B163="",0,IF(COUNTIF(B$2:B162,B163)=0,1,0))</f>
        <v/>
      </c>
      <c r="D163">
        <f>IF(B163="",0,SUMIFS($H$2:$H$801,$B$2:$B$801,B163))</f>
        <v/>
      </c>
      <c r="E163">
        <f>IF(NOT(AND(C163=1, TRIM(ERP資料!T163)="平板")), 0, IF(MAX(E$2:E162)=0, 1, IF(ERP資料!A163=INDEX(ERP資料!$A$2:$A162, MATCH(MAX(E$2:E162), E$2:E162, 0)), MAX(E$2:E162)+1, MAX(E$2:E162)+2)))</f>
        <v/>
      </c>
      <c r="F163">
        <f>IF(NOT(AND(C163=1, TRIM(ERP資料!T163)="平板")), 0, IF(MAX(F$2:F162)=0, 1, IF(ERP資料!A163=INDEX(ERP資料!$A$2:$A162, MATCH(MAX(F$2:F162), F$2:F162, 0)), MAX(F$2:F162)+1, MAX(F$2:F162)+2)))</f>
        <v/>
      </c>
      <c r="G163">
        <f>IF(NOT(AND(C163=1, TRIM(ERP資料!T163)="捲筒")), 0, IF(MAX(G$2:G162)=0, 1, IF(ERP資料!A163=INDEX(ERP資料!$A$2:$A162, MATCH(MAX(G$2:G162), G$2:G162, 0)), MAX(G$2:G162)+1, MAX(G$2:G162)+2)))</f>
        <v/>
      </c>
      <c r="H163">
        <f>IF(OR(ERP資料!C163="",ERP資料!D163=""),0,ERP資料!D163-ERP資料!C163+1)</f>
        <v/>
      </c>
    </row>
    <row r="164">
      <c r="A164" t="n">
        <v>164</v>
      </c>
      <c r="B164">
        <f>IF(ERP資料!A164="","",ERP資料!A164&amp;"|"&amp;ERP資料!E164&amp;"|"&amp;ERP資料!F164&amp;"|"&amp;ERP資料!G164&amp;"|"&amp;ERP資料!H164&amp;"|"&amp;ERP資料!O164)</f>
        <v/>
      </c>
      <c r="C164">
        <f>IF(B164="",0,IF(COUNTIF(B$2:B163,B164)=0,1,0))</f>
        <v/>
      </c>
      <c r="D164">
        <f>IF(B164="",0,SUMIFS($H$2:$H$801,$B$2:$B$801,B164))</f>
        <v/>
      </c>
      <c r="E164">
        <f>IF(NOT(AND(C164=1, TRIM(ERP資料!T164)="平板")), 0, IF(MAX(E$2:E163)=0, 1, IF(ERP資料!A164=INDEX(ERP資料!$A$2:$A163, MATCH(MAX(E$2:E163), E$2:E163, 0)), MAX(E$2:E163)+1, MAX(E$2:E163)+2)))</f>
        <v/>
      </c>
      <c r="F164">
        <f>IF(NOT(AND(C164=1, TRIM(ERP資料!T164)="平板")), 0, IF(MAX(F$2:F163)=0, 1, IF(ERP資料!A164=INDEX(ERP資料!$A$2:$A163, MATCH(MAX(F$2:F163), F$2:F163, 0)), MAX(F$2:F163)+1, MAX(F$2:F163)+2)))</f>
        <v/>
      </c>
      <c r="G164">
        <f>IF(NOT(AND(C164=1, TRIM(ERP資料!T164)="捲筒")), 0, IF(MAX(G$2:G163)=0, 1, IF(ERP資料!A164=INDEX(ERP資料!$A$2:$A163, MATCH(MAX(G$2:G163), G$2:G163, 0)), MAX(G$2:G163)+1, MAX(G$2:G163)+2)))</f>
        <v/>
      </c>
      <c r="H164">
        <f>IF(OR(ERP資料!C164="",ERP資料!D164=""),0,ERP資料!D164-ERP資料!C164+1)</f>
        <v/>
      </c>
    </row>
    <row r="165">
      <c r="A165" t="n">
        <v>165</v>
      </c>
      <c r="B165">
        <f>IF(ERP資料!A165="","",ERP資料!A165&amp;"|"&amp;ERP資料!E165&amp;"|"&amp;ERP資料!F165&amp;"|"&amp;ERP資料!G165&amp;"|"&amp;ERP資料!H165&amp;"|"&amp;ERP資料!O165)</f>
        <v/>
      </c>
      <c r="C165">
        <f>IF(B165="",0,IF(COUNTIF(B$2:B164,B165)=0,1,0))</f>
        <v/>
      </c>
      <c r="D165">
        <f>IF(B165="",0,SUMIFS($H$2:$H$801,$B$2:$B$801,B165))</f>
        <v/>
      </c>
      <c r="E165">
        <f>IF(NOT(AND(C165=1, TRIM(ERP資料!T165)="平板")), 0, IF(MAX(E$2:E164)=0, 1, IF(ERP資料!A165=INDEX(ERP資料!$A$2:$A164, MATCH(MAX(E$2:E164), E$2:E164, 0)), MAX(E$2:E164)+1, MAX(E$2:E164)+2)))</f>
        <v/>
      </c>
      <c r="F165">
        <f>IF(NOT(AND(C165=1, TRIM(ERP資料!T165)="平板")), 0, IF(MAX(F$2:F164)=0, 1, IF(ERP資料!A165=INDEX(ERP資料!$A$2:$A164, MATCH(MAX(F$2:F164), F$2:F164, 0)), MAX(F$2:F164)+1, MAX(F$2:F164)+2)))</f>
        <v/>
      </c>
      <c r="G165">
        <f>IF(NOT(AND(C165=1, TRIM(ERP資料!T165)="捲筒")), 0, IF(MAX(G$2:G164)=0, 1, IF(ERP資料!A165=INDEX(ERP資料!$A$2:$A164, MATCH(MAX(G$2:G164), G$2:G164, 0)), MAX(G$2:G164)+1, MAX(G$2:G164)+2)))</f>
        <v/>
      </c>
      <c r="H165">
        <f>IF(OR(ERP資料!C165="",ERP資料!D165=""),0,ERP資料!D165-ERP資料!C165+1)</f>
        <v/>
      </c>
    </row>
    <row r="166">
      <c r="A166" t="n">
        <v>166</v>
      </c>
      <c r="B166">
        <f>IF(ERP資料!A166="","",ERP資料!A166&amp;"|"&amp;ERP資料!E166&amp;"|"&amp;ERP資料!F166&amp;"|"&amp;ERP資料!G166&amp;"|"&amp;ERP資料!H166&amp;"|"&amp;ERP資料!O166)</f>
        <v/>
      </c>
      <c r="C166">
        <f>IF(B166="",0,IF(COUNTIF(B$2:B165,B166)=0,1,0))</f>
        <v/>
      </c>
      <c r="D166">
        <f>IF(B166="",0,SUMIFS($H$2:$H$801,$B$2:$B$801,B166))</f>
        <v/>
      </c>
      <c r="E166">
        <f>IF(NOT(AND(C166=1, TRIM(ERP資料!T166)="平板")), 0, IF(MAX(E$2:E165)=0, 1, IF(ERP資料!A166=INDEX(ERP資料!$A$2:$A165, MATCH(MAX(E$2:E165), E$2:E165, 0)), MAX(E$2:E165)+1, MAX(E$2:E165)+2)))</f>
        <v/>
      </c>
      <c r="F166">
        <f>IF(NOT(AND(C166=1, TRIM(ERP資料!T166)="平板")), 0, IF(MAX(F$2:F165)=0, 1, IF(ERP資料!A166=INDEX(ERP資料!$A$2:$A165, MATCH(MAX(F$2:F165), F$2:F165, 0)), MAX(F$2:F165)+1, MAX(F$2:F165)+2)))</f>
        <v/>
      </c>
      <c r="G166">
        <f>IF(NOT(AND(C166=1, TRIM(ERP資料!T166)="捲筒")), 0, IF(MAX(G$2:G165)=0, 1, IF(ERP資料!A166=INDEX(ERP資料!$A$2:$A165, MATCH(MAX(G$2:G165), G$2:G165, 0)), MAX(G$2:G165)+1, MAX(G$2:G165)+2)))</f>
        <v/>
      </c>
      <c r="H166">
        <f>IF(OR(ERP資料!C166="",ERP資料!D166=""),0,ERP資料!D166-ERP資料!C166+1)</f>
        <v/>
      </c>
    </row>
    <row r="167">
      <c r="A167" t="n">
        <v>167</v>
      </c>
      <c r="B167">
        <f>IF(ERP資料!A167="","",ERP資料!A167&amp;"|"&amp;ERP資料!E167&amp;"|"&amp;ERP資料!F167&amp;"|"&amp;ERP資料!G167&amp;"|"&amp;ERP資料!H167&amp;"|"&amp;ERP資料!O167)</f>
        <v/>
      </c>
      <c r="C167">
        <f>IF(B167="",0,IF(COUNTIF(B$2:B166,B167)=0,1,0))</f>
        <v/>
      </c>
      <c r="D167">
        <f>IF(B167="",0,SUMIFS($H$2:$H$801,$B$2:$B$801,B167))</f>
        <v/>
      </c>
      <c r="E167">
        <f>IF(NOT(AND(C167=1, TRIM(ERP資料!T167)="平板")), 0, IF(MAX(E$2:E166)=0, 1, IF(ERP資料!A167=INDEX(ERP資料!$A$2:$A166, MATCH(MAX(E$2:E166), E$2:E166, 0)), MAX(E$2:E166)+1, MAX(E$2:E166)+2)))</f>
        <v/>
      </c>
      <c r="F167">
        <f>IF(NOT(AND(C167=1, TRIM(ERP資料!T167)="平板")), 0, IF(MAX(F$2:F166)=0, 1, IF(ERP資料!A167=INDEX(ERP資料!$A$2:$A166, MATCH(MAX(F$2:F166), F$2:F166, 0)), MAX(F$2:F166)+1, MAX(F$2:F166)+2)))</f>
        <v/>
      </c>
      <c r="G167">
        <f>IF(NOT(AND(C167=1, TRIM(ERP資料!T167)="捲筒")), 0, IF(MAX(G$2:G166)=0, 1, IF(ERP資料!A167=INDEX(ERP資料!$A$2:$A166, MATCH(MAX(G$2:G166), G$2:G166, 0)), MAX(G$2:G166)+1, MAX(G$2:G166)+2)))</f>
        <v/>
      </c>
      <c r="H167">
        <f>IF(OR(ERP資料!C167="",ERP資料!D167=""),0,ERP資料!D167-ERP資料!C167+1)</f>
        <v/>
      </c>
    </row>
    <row r="168">
      <c r="A168" t="n">
        <v>168</v>
      </c>
      <c r="B168">
        <f>IF(ERP資料!A168="","",ERP資料!A168&amp;"|"&amp;ERP資料!E168&amp;"|"&amp;ERP資料!F168&amp;"|"&amp;ERP資料!G168&amp;"|"&amp;ERP資料!H168&amp;"|"&amp;ERP資料!O168)</f>
        <v/>
      </c>
      <c r="C168">
        <f>IF(B168="",0,IF(COUNTIF(B$2:B167,B168)=0,1,0))</f>
        <v/>
      </c>
      <c r="D168">
        <f>IF(B168="",0,SUMIFS($H$2:$H$801,$B$2:$B$801,B168))</f>
        <v/>
      </c>
      <c r="E168">
        <f>IF(NOT(AND(C168=1, TRIM(ERP資料!T168)="平板")), 0, IF(MAX(E$2:E167)=0, 1, IF(ERP資料!A168=INDEX(ERP資料!$A$2:$A167, MATCH(MAX(E$2:E167), E$2:E167, 0)), MAX(E$2:E167)+1, MAX(E$2:E167)+2)))</f>
        <v/>
      </c>
      <c r="F168">
        <f>IF(NOT(AND(C168=1, TRIM(ERP資料!T168)="平板")), 0, IF(MAX(F$2:F167)=0, 1, IF(ERP資料!A168=INDEX(ERP資料!$A$2:$A167, MATCH(MAX(F$2:F167), F$2:F167, 0)), MAX(F$2:F167)+1, MAX(F$2:F167)+2)))</f>
        <v/>
      </c>
      <c r="G168">
        <f>IF(NOT(AND(C168=1, TRIM(ERP資料!T168)="捲筒")), 0, IF(MAX(G$2:G167)=0, 1, IF(ERP資料!A168=INDEX(ERP資料!$A$2:$A167, MATCH(MAX(G$2:G167), G$2:G167, 0)), MAX(G$2:G167)+1, MAX(G$2:G167)+2)))</f>
        <v/>
      </c>
      <c r="H168">
        <f>IF(OR(ERP資料!C168="",ERP資料!D168=""),0,ERP資料!D168-ERP資料!C168+1)</f>
        <v/>
      </c>
    </row>
    <row r="169">
      <c r="A169" t="n">
        <v>169</v>
      </c>
      <c r="B169">
        <f>IF(ERP資料!A169="","",ERP資料!A169&amp;"|"&amp;ERP資料!E169&amp;"|"&amp;ERP資料!F169&amp;"|"&amp;ERP資料!G169&amp;"|"&amp;ERP資料!H169&amp;"|"&amp;ERP資料!O169)</f>
        <v/>
      </c>
      <c r="C169">
        <f>IF(B169="",0,IF(COUNTIF(B$2:B168,B169)=0,1,0))</f>
        <v/>
      </c>
      <c r="D169">
        <f>IF(B169="",0,SUMIFS($H$2:$H$801,$B$2:$B$801,B169))</f>
        <v/>
      </c>
      <c r="E169">
        <f>IF(NOT(AND(C169=1, TRIM(ERP資料!T169)="平板")), 0, IF(MAX(E$2:E168)=0, 1, IF(ERP資料!A169=INDEX(ERP資料!$A$2:$A168, MATCH(MAX(E$2:E168), E$2:E168, 0)), MAX(E$2:E168)+1, MAX(E$2:E168)+2)))</f>
        <v/>
      </c>
      <c r="F169">
        <f>IF(NOT(AND(C169=1, TRIM(ERP資料!T169)="平板")), 0, IF(MAX(F$2:F168)=0, 1, IF(ERP資料!A169=INDEX(ERP資料!$A$2:$A168, MATCH(MAX(F$2:F168), F$2:F168, 0)), MAX(F$2:F168)+1, MAX(F$2:F168)+2)))</f>
        <v/>
      </c>
      <c r="G169">
        <f>IF(NOT(AND(C169=1, TRIM(ERP資料!T169)="捲筒")), 0, IF(MAX(G$2:G168)=0, 1, IF(ERP資料!A169=INDEX(ERP資料!$A$2:$A168, MATCH(MAX(G$2:G168), G$2:G168, 0)), MAX(G$2:G168)+1, MAX(G$2:G168)+2)))</f>
        <v/>
      </c>
      <c r="H169">
        <f>IF(OR(ERP資料!C169="",ERP資料!D169=""),0,ERP資料!D169-ERP資料!C169+1)</f>
        <v/>
      </c>
    </row>
    <row r="170">
      <c r="A170" t="n">
        <v>170</v>
      </c>
      <c r="B170">
        <f>IF(ERP資料!A170="","",ERP資料!A170&amp;"|"&amp;ERP資料!E170&amp;"|"&amp;ERP資料!F170&amp;"|"&amp;ERP資料!G170&amp;"|"&amp;ERP資料!H170&amp;"|"&amp;ERP資料!O170)</f>
        <v/>
      </c>
      <c r="C170">
        <f>IF(B170="",0,IF(COUNTIF(B$2:B169,B170)=0,1,0))</f>
        <v/>
      </c>
      <c r="D170">
        <f>IF(B170="",0,SUMIFS($H$2:$H$801,$B$2:$B$801,B170))</f>
        <v/>
      </c>
      <c r="E170">
        <f>IF(NOT(AND(C170=1, TRIM(ERP資料!T170)="平板")), 0, IF(MAX(E$2:E169)=0, 1, IF(ERP資料!A170=INDEX(ERP資料!$A$2:$A169, MATCH(MAX(E$2:E169), E$2:E169, 0)), MAX(E$2:E169)+1, MAX(E$2:E169)+2)))</f>
        <v/>
      </c>
      <c r="F170">
        <f>IF(NOT(AND(C170=1, TRIM(ERP資料!T170)="平板")), 0, IF(MAX(F$2:F169)=0, 1, IF(ERP資料!A170=INDEX(ERP資料!$A$2:$A169, MATCH(MAX(F$2:F169), F$2:F169, 0)), MAX(F$2:F169)+1, MAX(F$2:F169)+2)))</f>
        <v/>
      </c>
      <c r="G170">
        <f>IF(NOT(AND(C170=1, TRIM(ERP資料!T170)="捲筒")), 0, IF(MAX(G$2:G169)=0, 1, IF(ERP資料!A170=INDEX(ERP資料!$A$2:$A169, MATCH(MAX(G$2:G169), G$2:G169, 0)), MAX(G$2:G169)+1, MAX(G$2:G169)+2)))</f>
        <v/>
      </c>
      <c r="H170">
        <f>IF(OR(ERP資料!C170="",ERP資料!D170=""),0,ERP資料!D170-ERP資料!C170+1)</f>
        <v/>
      </c>
    </row>
    <row r="171">
      <c r="A171" t="n">
        <v>171</v>
      </c>
      <c r="B171">
        <f>IF(ERP資料!A171="","",ERP資料!A171&amp;"|"&amp;ERP資料!E171&amp;"|"&amp;ERP資料!F171&amp;"|"&amp;ERP資料!G171&amp;"|"&amp;ERP資料!H171&amp;"|"&amp;ERP資料!O171)</f>
        <v/>
      </c>
      <c r="C171">
        <f>IF(B171="",0,IF(COUNTIF(B$2:B170,B171)=0,1,0))</f>
        <v/>
      </c>
      <c r="D171">
        <f>IF(B171="",0,SUMIFS($H$2:$H$801,$B$2:$B$801,B171))</f>
        <v/>
      </c>
      <c r="E171">
        <f>IF(NOT(AND(C171=1, TRIM(ERP資料!T171)="平板")), 0, IF(MAX(E$2:E170)=0, 1, IF(ERP資料!A171=INDEX(ERP資料!$A$2:$A170, MATCH(MAX(E$2:E170), E$2:E170, 0)), MAX(E$2:E170)+1, MAX(E$2:E170)+2)))</f>
        <v/>
      </c>
      <c r="F171">
        <f>IF(NOT(AND(C171=1, TRIM(ERP資料!T171)="平板")), 0, IF(MAX(F$2:F170)=0, 1, IF(ERP資料!A171=INDEX(ERP資料!$A$2:$A170, MATCH(MAX(F$2:F170), F$2:F170, 0)), MAX(F$2:F170)+1, MAX(F$2:F170)+2)))</f>
        <v/>
      </c>
      <c r="G171">
        <f>IF(NOT(AND(C171=1, TRIM(ERP資料!T171)="捲筒")), 0, IF(MAX(G$2:G170)=0, 1, IF(ERP資料!A171=INDEX(ERP資料!$A$2:$A170, MATCH(MAX(G$2:G170), G$2:G170, 0)), MAX(G$2:G170)+1, MAX(G$2:G170)+2)))</f>
        <v/>
      </c>
      <c r="H171">
        <f>IF(OR(ERP資料!C171="",ERP資料!D171=""),0,ERP資料!D171-ERP資料!C171+1)</f>
        <v/>
      </c>
    </row>
    <row r="172">
      <c r="A172" t="n">
        <v>172</v>
      </c>
      <c r="B172">
        <f>IF(ERP資料!A172="","",ERP資料!A172&amp;"|"&amp;ERP資料!E172&amp;"|"&amp;ERP資料!F172&amp;"|"&amp;ERP資料!G172&amp;"|"&amp;ERP資料!H172&amp;"|"&amp;ERP資料!O172)</f>
        <v/>
      </c>
      <c r="C172">
        <f>IF(B172="",0,IF(COUNTIF(B$2:B171,B172)=0,1,0))</f>
        <v/>
      </c>
      <c r="D172">
        <f>IF(B172="",0,SUMIFS($H$2:$H$801,$B$2:$B$801,B172))</f>
        <v/>
      </c>
      <c r="E172">
        <f>IF(NOT(AND(C172=1, TRIM(ERP資料!T172)="平板")), 0, IF(MAX(E$2:E171)=0, 1, IF(ERP資料!A172=INDEX(ERP資料!$A$2:$A171, MATCH(MAX(E$2:E171), E$2:E171, 0)), MAX(E$2:E171)+1, MAX(E$2:E171)+2)))</f>
        <v/>
      </c>
      <c r="F172">
        <f>IF(NOT(AND(C172=1, TRIM(ERP資料!T172)="平板")), 0, IF(MAX(F$2:F171)=0, 1, IF(ERP資料!A172=INDEX(ERP資料!$A$2:$A171, MATCH(MAX(F$2:F171), F$2:F171, 0)), MAX(F$2:F171)+1, MAX(F$2:F171)+2)))</f>
        <v/>
      </c>
      <c r="G172">
        <f>IF(NOT(AND(C172=1, TRIM(ERP資料!T172)="捲筒")), 0, IF(MAX(G$2:G171)=0, 1, IF(ERP資料!A172=INDEX(ERP資料!$A$2:$A171, MATCH(MAX(G$2:G171), G$2:G171, 0)), MAX(G$2:G171)+1, MAX(G$2:G171)+2)))</f>
        <v/>
      </c>
      <c r="H172">
        <f>IF(OR(ERP資料!C172="",ERP資料!D172=""),0,ERP資料!D172-ERP資料!C172+1)</f>
        <v/>
      </c>
    </row>
    <row r="173">
      <c r="A173" t="n">
        <v>173</v>
      </c>
      <c r="B173">
        <f>IF(ERP資料!A173="","",ERP資料!A173&amp;"|"&amp;ERP資料!E173&amp;"|"&amp;ERP資料!F173&amp;"|"&amp;ERP資料!G173&amp;"|"&amp;ERP資料!H173&amp;"|"&amp;ERP資料!O173)</f>
        <v/>
      </c>
      <c r="C173">
        <f>IF(B173="",0,IF(COUNTIF(B$2:B172,B173)=0,1,0))</f>
        <v/>
      </c>
      <c r="D173">
        <f>IF(B173="",0,SUMIFS($H$2:$H$801,$B$2:$B$801,B173))</f>
        <v/>
      </c>
      <c r="E173">
        <f>IF(NOT(AND(C173=1, TRIM(ERP資料!T173)="平板")), 0, IF(MAX(E$2:E172)=0, 1, IF(ERP資料!A173=INDEX(ERP資料!$A$2:$A172, MATCH(MAX(E$2:E172), E$2:E172, 0)), MAX(E$2:E172)+1, MAX(E$2:E172)+2)))</f>
        <v/>
      </c>
      <c r="F173">
        <f>IF(NOT(AND(C173=1, TRIM(ERP資料!T173)="平板")), 0, IF(MAX(F$2:F172)=0, 1, IF(ERP資料!A173=INDEX(ERP資料!$A$2:$A172, MATCH(MAX(F$2:F172), F$2:F172, 0)), MAX(F$2:F172)+1, MAX(F$2:F172)+2)))</f>
        <v/>
      </c>
      <c r="G173">
        <f>IF(NOT(AND(C173=1, TRIM(ERP資料!T173)="捲筒")), 0, IF(MAX(G$2:G172)=0, 1, IF(ERP資料!A173=INDEX(ERP資料!$A$2:$A172, MATCH(MAX(G$2:G172), G$2:G172, 0)), MAX(G$2:G172)+1, MAX(G$2:G172)+2)))</f>
        <v/>
      </c>
      <c r="H173">
        <f>IF(OR(ERP資料!C173="",ERP資料!D173=""),0,ERP資料!D173-ERP資料!C173+1)</f>
        <v/>
      </c>
    </row>
    <row r="174">
      <c r="A174" t="n">
        <v>174</v>
      </c>
      <c r="B174">
        <f>IF(ERP資料!A174="","",ERP資料!A174&amp;"|"&amp;ERP資料!E174&amp;"|"&amp;ERP資料!F174&amp;"|"&amp;ERP資料!G174&amp;"|"&amp;ERP資料!H174&amp;"|"&amp;ERP資料!O174)</f>
        <v/>
      </c>
      <c r="C174">
        <f>IF(B174="",0,IF(COUNTIF(B$2:B173,B174)=0,1,0))</f>
        <v/>
      </c>
      <c r="D174">
        <f>IF(B174="",0,SUMIFS($H$2:$H$801,$B$2:$B$801,B174))</f>
        <v/>
      </c>
      <c r="E174">
        <f>IF(NOT(AND(C174=1, TRIM(ERP資料!T174)="平板")), 0, IF(MAX(E$2:E173)=0, 1, IF(ERP資料!A174=INDEX(ERP資料!$A$2:$A173, MATCH(MAX(E$2:E173), E$2:E173, 0)), MAX(E$2:E173)+1, MAX(E$2:E173)+2)))</f>
        <v/>
      </c>
      <c r="F174">
        <f>IF(NOT(AND(C174=1, TRIM(ERP資料!T174)="平板")), 0, IF(MAX(F$2:F173)=0, 1, IF(ERP資料!A174=INDEX(ERP資料!$A$2:$A173, MATCH(MAX(F$2:F173), F$2:F173, 0)), MAX(F$2:F173)+1, MAX(F$2:F173)+2)))</f>
        <v/>
      </c>
      <c r="G174">
        <f>IF(NOT(AND(C174=1, TRIM(ERP資料!T174)="捲筒")), 0, IF(MAX(G$2:G173)=0, 1, IF(ERP資料!A174=INDEX(ERP資料!$A$2:$A173, MATCH(MAX(G$2:G173), G$2:G173, 0)), MAX(G$2:G173)+1, MAX(G$2:G173)+2)))</f>
        <v/>
      </c>
      <c r="H174">
        <f>IF(OR(ERP資料!C174="",ERP資料!D174=""),0,ERP資料!D174-ERP資料!C174+1)</f>
        <v/>
      </c>
    </row>
    <row r="175">
      <c r="A175" t="n">
        <v>175</v>
      </c>
      <c r="B175">
        <f>IF(ERP資料!A175="","",ERP資料!A175&amp;"|"&amp;ERP資料!E175&amp;"|"&amp;ERP資料!F175&amp;"|"&amp;ERP資料!G175&amp;"|"&amp;ERP資料!H175&amp;"|"&amp;ERP資料!O175)</f>
        <v/>
      </c>
      <c r="C175">
        <f>IF(B175="",0,IF(COUNTIF(B$2:B174,B175)=0,1,0))</f>
        <v/>
      </c>
      <c r="D175">
        <f>IF(B175="",0,SUMIFS($H$2:$H$801,$B$2:$B$801,B175))</f>
        <v/>
      </c>
      <c r="E175">
        <f>IF(NOT(AND(C175=1, TRIM(ERP資料!T175)="平板")), 0, IF(MAX(E$2:E174)=0, 1, IF(ERP資料!A175=INDEX(ERP資料!$A$2:$A174, MATCH(MAX(E$2:E174), E$2:E174, 0)), MAX(E$2:E174)+1, MAX(E$2:E174)+2)))</f>
        <v/>
      </c>
      <c r="F175">
        <f>IF(NOT(AND(C175=1, TRIM(ERP資料!T175)="平板")), 0, IF(MAX(F$2:F174)=0, 1, IF(ERP資料!A175=INDEX(ERP資料!$A$2:$A174, MATCH(MAX(F$2:F174), F$2:F174, 0)), MAX(F$2:F174)+1, MAX(F$2:F174)+2)))</f>
        <v/>
      </c>
      <c r="G175">
        <f>IF(NOT(AND(C175=1, TRIM(ERP資料!T175)="捲筒")), 0, IF(MAX(G$2:G174)=0, 1, IF(ERP資料!A175=INDEX(ERP資料!$A$2:$A174, MATCH(MAX(G$2:G174), G$2:G174, 0)), MAX(G$2:G174)+1, MAX(G$2:G174)+2)))</f>
        <v/>
      </c>
      <c r="H175">
        <f>IF(OR(ERP資料!C175="",ERP資料!D175=""),0,ERP資料!D175-ERP資料!C175+1)</f>
        <v/>
      </c>
    </row>
    <row r="176">
      <c r="A176" t="n">
        <v>176</v>
      </c>
      <c r="B176">
        <f>IF(ERP資料!A176="","",ERP資料!A176&amp;"|"&amp;ERP資料!E176&amp;"|"&amp;ERP資料!F176&amp;"|"&amp;ERP資料!G176&amp;"|"&amp;ERP資料!H176&amp;"|"&amp;ERP資料!O176)</f>
        <v/>
      </c>
      <c r="C176">
        <f>IF(B176="",0,IF(COUNTIF(B$2:B175,B176)=0,1,0))</f>
        <v/>
      </c>
      <c r="D176">
        <f>IF(B176="",0,SUMIFS($H$2:$H$801,$B$2:$B$801,B176))</f>
        <v/>
      </c>
      <c r="E176">
        <f>IF(NOT(AND(C176=1, TRIM(ERP資料!T176)="平板")), 0, IF(MAX(E$2:E175)=0, 1, IF(ERP資料!A176=INDEX(ERP資料!$A$2:$A175, MATCH(MAX(E$2:E175), E$2:E175, 0)), MAX(E$2:E175)+1, MAX(E$2:E175)+2)))</f>
        <v/>
      </c>
      <c r="F176">
        <f>IF(NOT(AND(C176=1, TRIM(ERP資料!T176)="平板")), 0, IF(MAX(F$2:F175)=0, 1, IF(ERP資料!A176=INDEX(ERP資料!$A$2:$A175, MATCH(MAX(F$2:F175), F$2:F175, 0)), MAX(F$2:F175)+1, MAX(F$2:F175)+2)))</f>
        <v/>
      </c>
      <c r="G176">
        <f>IF(NOT(AND(C176=1, TRIM(ERP資料!T176)="捲筒")), 0, IF(MAX(G$2:G175)=0, 1, IF(ERP資料!A176=INDEX(ERP資料!$A$2:$A175, MATCH(MAX(G$2:G175), G$2:G175, 0)), MAX(G$2:G175)+1, MAX(G$2:G175)+2)))</f>
        <v/>
      </c>
      <c r="H176">
        <f>IF(OR(ERP資料!C176="",ERP資料!D176=""),0,ERP資料!D176-ERP資料!C176+1)</f>
        <v/>
      </c>
    </row>
    <row r="177">
      <c r="A177" t="n">
        <v>177</v>
      </c>
      <c r="B177">
        <f>IF(ERP資料!A177="","",ERP資料!A177&amp;"|"&amp;ERP資料!E177&amp;"|"&amp;ERP資料!F177&amp;"|"&amp;ERP資料!G177&amp;"|"&amp;ERP資料!H177&amp;"|"&amp;ERP資料!O177)</f>
        <v/>
      </c>
      <c r="C177">
        <f>IF(B177="",0,IF(COUNTIF(B$2:B176,B177)=0,1,0))</f>
        <v/>
      </c>
      <c r="D177">
        <f>IF(B177="",0,SUMIFS($H$2:$H$801,$B$2:$B$801,B177))</f>
        <v/>
      </c>
      <c r="E177">
        <f>IF(NOT(AND(C177=1, TRIM(ERP資料!T177)="平板")), 0, IF(MAX(E$2:E176)=0, 1, IF(ERP資料!A177=INDEX(ERP資料!$A$2:$A176, MATCH(MAX(E$2:E176), E$2:E176, 0)), MAX(E$2:E176)+1, MAX(E$2:E176)+2)))</f>
        <v/>
      </c>
      <c r="F177">
        <f>IF(NOT(AND(C177=1, TRIM(ERP資料!T177)="平板")), 0, IF(MAX(F$2:F176)=0, 1, IF(ERP資料!A177=INDEX(ERP資料!$A$2:$A176, MATCH(MAX(F$2:F176), F$2:F176, 0)), MAX(F$2:F176)+1, MAX(F$2:F176)+2)))</f>
        <v/>
      </c>
      <c r="G177">
        <f>IF(NOT(AND(C177=1, TRIM(ERP資料!T177)="捲筒")), 0, IF(MAX(G$2:G176)=0, 1, IF(ERP資料!A177=INDEX(ERP資料!$A$2:$A176, MATCH(MAX(G$2:G176), G$2:G176, 0)), MAX(G$2:G176)+1, MAX(G$2:G176)+2)))</f>
        <v/>
      </c>
      <c r="H177">
        <f>IF(OR(ERP資料!C177="",ERP資料!D177=""),0,ERP資料!D177-ERP資料!C177+1)</f>
        <v/>
      </c>
    </row>
    <row r="178">
      <c r="A178" t="n">
        <v>178</v>
      </c>
      <c r="B178">
        <f>IF(ERP資料!A178="","",ERP資料!A178&amp;"|"&amp;ERP資料!E178&amp;"|"&amp;ERP資料!F178&amp;"|"&amp;ERP資料!G178&amp;"|"&amp;ERP資料!H178&amp;"|"&amp;ERP資料!O178)</f>
        <v/>
      </c>
      <c r="C178">
        <f>IF(B178="",0,IF(COUNTIF(B$2:B177,B178)=0,1,0))</f>
        <v/>
      </c>
      <c r="D178">
        <f>IF(B178="",0,SUMIFS($H$2:$H$801,$B$2:$B$801,B178))</f>
        <v/>
      </c>
      <c r="E178">
        <f>IF(NOT(AND(C178=1, TRIM(ERP資料!T178)="平板")), 0, IF(MAX(E$2:E177)=0, 1, IF(ERP資料!A178=INDEX(ERP資料!$A$2:$A177, MATCH(MAX(E$2:E177), E$2:E177, 0)), MAX(E$2:E177)+1, MAX(E$2:E177)+2)))</f>
        <v/>
      </c>
      <c r="F178">
        <f>IF(NOT(AND(C178=1, TRIM(ERP資料!T178)="平板")), 0, IF(MAX(F$2:F177)=0, 1, IF(ERP資料!A178=INDEX(ERP資料!$A$2:$A177, MATCH(MAX(F$2:F177), F$2:F177, 0)), MAX(F$2:F177)+1, MAX(F$2:F177)+2)))</f>
        <v/>
      </c>
      <c r="G178">
        <f>IF(NOT(AND(C178=1, TRIM(ERP資料!T178)="捲筒")), 0, IF(MAX(G$2:G177)=0, 1, IF(ERP資料!A178=INDEX(ERP資料!$A$2:$A177, MATCH(MAX(G$2:G177), G$2:G177, 0)), MAX(G$2:G177)+1, MAX(G$2:G177)+2)))</f>
        <v/>
      </c>
      <c r="H178">
        <f>IF(OR(ERP資料!C178="",ERP資料!D178=""),0,ERP資料!D178-ERP資料!C178+1)</f>
        <v/>
      </c>
    </row>
    <row r="179">
      <c r="A179" t="n">
        <v>179</v>
      </c>
      <c r="B179">
        <f>IF(ERP資料!A179="","",ERP資料!A179&amp;"|"&amp;ERP資料!E179&amp;"|"&amp;ERP資料!F179&amp;"|"&amp;ERP資料!G179&amp;"|"&amp;ERP資料!H179&amp;"|"&amp;ERP資料!O179)</f>
        <v/>
      </c>
      <c r="C179">
        <f>IF(B179="",0,IF(COUNTIF(B$2:B178,B179)=0,1,0))</f>
        <v/>
      </c>
      <c r="D179">
        <f>IF(B179="",0,SUMIFS($H$2:$H$801,$B$2:$B$801,B179))</f>
        <v/>
      </c>
      <c r="E179">
        <f>IF(NOT(AND(C179=1, TRIM(ERP資料!T179)="平板")), 0, IF(MAX(E$2:E178)=0, 1, IF(ERP資料!A179=INDEX(ERP資料!$A$2:$A178, MATCH(MAX(E$2:E178), E$2:E178, 0)), MAX(E$2:E178)+1, MAX(E$2:E178)+2)))</f>
        <v/>
      </c>
      <c r="F179">
        <f>IF(NOT(AND(C179=1, TRIM(ERP資料!T179)="平板")), 0, IF(MAX(F$2:F178)=0, 1, IF(ERP資料!A179=INDEX(ERP資料!$A$2:$A178, MATCH(MAX(F$2:F178), F$2:F178, 0)), MAX(F$2:F178)+1, MAX(F$2:F178)+2)))</f>
        <v/>
      </c>
      <c r="G179">
        <f>IF(NOT(AND(C179=1, TRIM(ERP資料!T179)="捲筒")), 0, IF(MAX(G$2:G178)=0, 1, IF(ERP資料!A179=INDEX(ERP資料!$A$2:$A178, MATCH(MAX(G$2:G178), G$2:G178, 0)), MAX(G$2:G178)+1, MAX(G$2:G178)+2)))</f>
        <v/>
      </c>
      <c r="H179">
        <f>IF(OR(ERP資料!C179="",ERP資料!D179=""),0,ERP資料!D179-ERP資料!C179+1)</f>
        <v/>
      </c>
    </row>
    <row r="180">
      <c r="A180" t="n">
        <v>180</v>
      </c>
      <c r="B180">
        <f>IF(ERP資料!A180="","",ERP資料!A180&amp;"|"&amp;ERP資料!E180&amp;"|"&amp;ERP資料!F180&amp;"|"&amp;ERP資料!G180&amp;"|"&amp;ERP資料!H180&amp;"|"&amp;ERP資料!O180)</f>
        <v/>
      </c>
      <c r="C180">
        <f>IF(B180="",0,IF(COUNTIF(B$2:B179,B180)=0,1,0))</f>
        <v/>
      </c>
      <c r="D180">
        <f>IF(B180="",0,SUMIFS($H$2:$H$801,$B$2:$B$801,B180))</f>
        <v/>
      </c>
      <c r="E180">
        <f>IF(NOT(AND(C180=1, TRIM(ERP資料!T180)="平板")), 0, IF(MAX(E$2:E179)=0, 1, IF(ERP資料!A180=INDEX(ERP資料!$A$2:$A179, MATCH(MAX(E$2:E179), E$2:E179, 0)), MAX(E$2:E179)+1, MAX(E$2:E179)+2)))</f>
        <v/>
      </c>
      <c r="F180">
        <f>IF(NOT(AND(C180=1, TRIM(ERP資料!T180)="平板")), 0, IF(MAX(F$2:F179)=0, 1, IF(ERP資料!A180=INDEX(ERP資料!$A$2:$A179, MATCH(MAX(F$2:F179), F$2:F179, 0)), MAX(F$2:F179)+1, MAX(F$2:F179)+2)))</f>
        <v/>
      </c>
      <c r="G180">
        <f>IF(NOT(AND(C180=1, TRIM(ERP資料!T180)="捲筒")), 0, IF(MAX(G$2:G179)=0, 1, IF(ERP資料!A180=INDEX(ERP資料!$A$2:$A179, MATCH(MAX(G$2:G179), G$2:G179, 0)), MAX(G$2:G179)+1, MAX(G$2:G179)+2)))</f>
        <v/>
      </c>
      <c r="H180">
        <f>IF(OR(ERP資料!C180="",ERP資料!D180=""),0,ERP資料!D180-ERP資料!C180+1)</f>
        <v/>
      </c>
    </row>
    <row r="181">
      <c r="A181" t="n">
        <v>181</v>
      </c>
      <c r="B181">
        <f>IF(ERP資料!A181="","",ERP資料!A181&amp;"|"&amp;ERP資料!E181&amp;"|"&amp;ERP資料!F181&amp;"|"&amp;ERP資料!G181&amp;"|"&amp;ERP資料!H181&amp;"|"&amp;ERP資料!O181)</f>
        <v/>
      </c>
      <c r="C181">
        <f>IF(B181="",0,IF(COUNTIF(B$2:B180,B181)=0,1,0))</f>
        <v/>
      </c>
      <c r="D181">
        <f>IF(B181="",0,SUMIFS($H$2:$H$801,$B$2:$B$801,B181))</f>
        <v/>
      </c>
      <c r="E181">
        <f>IF(NOT(AND(C181=1, TRIM(ERP資料!T181)="平板")), 0, IF(MAX(E$2:E180)=0, 1, IF(ERP資料!A181=INDEX(ERP資料!$A$2:$A180, MATCH(MAX(E$2:E180), E$2:E180, 0)), MAX(E$2:E180)+1, MAX(E$2:E180)+2)))</f>
        <v/>
      </c>
      <c r="F181">
        <f>IF(NOT(AND(C181=1, TRIM(ERP資料!T181)="平板")), 0, IF(MAX(F$2:F180)=0, 1, IF(ERP資料!A181=INDEX(ERP資料!$A$2:$A180, MATCH(MAX(F$2:F180), F$2:F180, 0)), MAX(F$2:F180)+1, MAX(F$2:F180)+2)))</f>
        <v/>
      </c>
      <c r="G181">
        <f>IF(NOT(AND(C181=1, TRIM(ERP資料!T181)="捲筒")), 0, IF(MAX(G$2:G180)=0, 1, IF(ERP資料!A181=INDEX(ERP資料!$A$2:$A180, MATCH(MAX(G$2:G180), G$2:G180, 0)), MAX(G$2:G180)+1, MAX(G$2:G180)+2)))</f>
        <v/>
      </c>
      <c r="H181">
        <f>IF(OR(ERP資料!C181="",ERP資料!D181=""),0,ERP資料!D181-ERP資料!C181+1)</f>
        <v/>
      </c>
    </row>
    <row r="182">
      <c r="A182" t="n">
        <v>182</v>
      </c>
      <c r="B182">
        <f>IF(ERP資料!A182="","",ERP資料!A182&amp;"|"&amp;ERP資料!E182&amp;"|"&amp;ERP資料!F182&amp;"|"&amp;ERP資料!G182&amp;"|"&amp;ERP資料!H182&amp;"|"&amp;ERP資料!O182)</f>
        <v/>
      </c>
      <c r="C182">
        <f>IF(B182="",0,IF(COUNTIF(B$2:B181,B182)=0,1,0))</f>
        <v/>
      </c>
      <c r="D182">
        <f>IF(B182="",0,SUMIFS($H$2:$H$801,$B$2:$B$801,B182))</f>
        <v/>
      </c>
      <c r="E182">
        <f>IF(NOT(AND(C182=1, TRIM(ERP資料!T182)="平板")), 0, IF(MAX(E$2:E181)=0, 1, IF(ERP資料!A182=INDEX(ERP資料!$A$2:$A181, MATCH(MAX(E$2:E181), E$2:E181, 0)), MAX(E$2:E181)+1, MAX(E$2:E181)+2)))</f>
        <v/>
      </c>
      <c r="F182">
        <f>IF(NOT(AND(C182=1, TRIM(ERP資料!T182)="平板")), 0, IF(MAX(F$2:F181)=0, 1, IF(ERP資料!A182=INDEX(ERP資料!$A$2:$A181, MATCH(MAX(F$2:F181), F$2:F181, 0)), MAX(F$2:F181)+1, MAX(F$2:F181)+2)))</f>
        <v/>
      </c>
      <c r="G182">
        <f>IF(NOT(AND(C182=1, TRIM(ERP資料!T182)="捲筒")), 0, IF(MAX(G$2:G181)=0, 1, IF(ERP資料!A182=INDEX(ERP資料!$A$2:$A181, MATCH(MAX(G$2:G181), G$2:G181, 0)), MAX(G$2:G181)+1, MAX(G$2:G181)+2)))</f>
        <v/>
      </c>
      <c r="H182">
        <f>IF(OR(ERP資料!C182="",ERP資料!D182=""),0,ERP資料!D182-ERP資料!C182+1)</f>
        <v/>
      </c>
    </row>
    <row r="183">
      <c r="A183" t="n">
        <v>183</v>
      </c>
      <c r="B183">
        <f>IF(ERP資料!A183="","",ERP資料!A183&amp;"|"&amp;ERP資料!E183&amp;"|"&amp;ERP資料!F183&amp;"|"&amp;ERP資料!G183&amp;"|"&amp;ERP資料!H183&amp;"|"&amp;ERP資料!O183)</f>
        <v/>
      </c>
      <c r="C183">
        <f>IF(B183="",0,IF(COUNTIF(B$2:B182,B183)=0,1,0))</f>
        <v/>
      </c>
      <c r="D183">
        <f>IF(B183="",0,SUMIFS($H$2:$H$801,$B$2:$B$801,B183))</f>
        <v/>
      </c>
      <c r="E183">
        <f>IF(NOT(AND(C183=1, TRIM(ERP資料!T183)="平板")), 0, IF(MAX(E$2:E182)=0, 1, IF(ERP資料!A183=INDEX(ERP資料!$A$2:$A182, MATCH(MAX(E$2:E182), E$2:E182, 0)), MAX(E$2:E182)+1, MAX(E$2:E182)+2)))</f>
        <v/>
      </c>
      <c r="F183">
        <f>IF(NOT(AND(C183=1, TRIM(ERP資料!T183)="平板")), 0, IF(MAX(F$2:F182)=0, 1, IF(ERP資料!A183=INDEX(ERP資料!$A$2:$A182, MATCH(MAX(F$2:F182), F$2:F182, 0)), MAX(F$2:F182)+1, MAX(F$2:F182)+2)))</f>
        <v/>
      </c>
      <c r="G183">
        <f>IF(NOT(AND(C183=1, TRIM(ERP資料!T183)="捲筒")), 0, IF(MAX(G$2:G182)=0, 1, IF(ERP資料!A183=INDEX(ERP資料!$A$2:$A182, MATCH(MAX(G$2:G182), G$2:G182, 0)), MAX(G$2:G182)+1, MAX(G$2:G182)+2)))</f>
        <v/>
      </c>
      <c r="H183">
        <f>IF(OR(ERP資料!C183="",ERP資料!D183=""),0,ERP資料!D183-ERP資料!C183+1)</f>
        <v/>
      </c>
    </row>
    <row r="184">
      <c r="A184" t="n">
        <v>184</v>
      </c>
      <c r="B184">
        <f>IF(ERP資料!A184="","",ERP資料!A184&amp;"|"&amp;ERP資料!E184&amp;"|"&amp;ERP資料!F184&amp;"|"&amp;ERP資料!G184&amp;"|"&amp;ERP資料!H184&amp;"|"&amp;ERP資料!O184)</f>
        <v/>
      </c>
      <c r="C184">
        <f>IF(B184="",0,IF(COUNTIF(B$2:B183,B184)=0,1,0))</f>
        <v/>
      </c>
      <c r="D184">
        <f>IF(B184="",0,SUMIFS($H$2:$H$801,$B$2:$B$801,B184))</f>
        <v/>
      </c>
      <c r="E184">
        <f>IF(NOT(AND(C184=1, TRIM(ERP資料!T184)="平板")), 0, IF(MAX(E$2:E183)=0, 1, IF(ERP資料!A184=INDEX(ERP資料!$A$2:$A183, MATCH(MAX(E$2:E183), E$2:E183, 0)), MAX(E$2:E183)+1, MAX(E$2:E183)+2)))</f>
        <v/>
      </c>
      <c r="F184">
        <f>IF(NOT(AND(C184=1, TRIM(ERP資料!T184)="平板")), 0, IF(MAX(F$2:F183)=0, 1, IF(ERP資料!A184=INDEX(ERP資料!$A$2:$A183, MATCH(MAX(F$2:F183), F$2:F183, 0)), MAX(F$2:F183)+1, MAX(F$2:F183)+2)))</f>
        <v/>
      </c>
      <c r="G184">
        <f>IF(NOT(AND(C184=1, TRIM(ERP資料!T184)="捲筒")), 0, IF(MAX(G$2:G183)=0, 1, IF(ERP資料!A184=INDEX(ERP資料!$A$2:$A183, MATCH(MAX(G$2:G183), G$2:G183, 0)), MAX(G$2:G183)+1, MAX(G$2:G183)+2)))</f>
        <v/>
      </c>
      <c r="H184">
        <f>IF(OR(ERP資料!C184="",ERP資料!D184=""),0,ERP資料!D184-ERP資料!C184+1)</f>
        <v/>
      </c>
    </row>
    <row r="185">
      <c r="A185" t="n">
        <v>185</v>
      </c>
      <c r="B185">
        <f>IF(ERP資料!A185="","",ERP資料!A185&amp;"|"&amp;ERP資料!E185&amp;"|"&amp;ERP資料!F185&amp;"|"&amp;ERP資料!G185&amp;"|"&amp;ERP資料!H185&amp;"|"&amp;ERP資料!O185)</f>
        <v/>
      </c>
      <c r="C185">
        <f>IF(B185="",0,IF(COUNTIF(B$2:B184,B185)=0,1,0))</f>
        <v/>
      </c>
      <c r="D185">
        <f>IF(B185="",0,SUMIFS($H$2:$H$801,$B$2:$B$801,B185))</f>
        <v/>
      </c>
      <c r="E185">
        <f>IF(NOT(AND(C185=1, TRIM(ERP資料!T185)="平板")), 0, IF(MAX(E$2:E184)=0, 1, IF(ERP資料!A185=INDEX(ERP資料!$A$2:$A184, MATCH(MAX(E$2:E184), E$2:E184, 0)), MAX(E$2:E184)+1, MAX(E$2:E184)+2)))</f>
        <v/>
      </c>
      <c r="F185">
        <f>IF(NOT(AND(C185=1, TRIM(ERP資料!T185)="平板")), 0, IF(MAX(F$2:F184)=0, 1, IF(ERP資料!A185=INDEX(ERP資料!$A$2:$A184, MATCH(MAX(F$2:F184), F$2:F184, 0)), MAX(F$2:F184)+1, MAX(F$2:F184)+2)))</f>
        <v/>
      </c>
      <c r="G185">
        <f>IF(NOT(AND(C185=1, TRIM(ERP資料!T185)="捲筒")), 0, IF(MAX(G$2:G184)=0, 1, IF(ERP資料!A185=INDEX(ERP資料!$A$2:$A184, MATCH(MAX(G$2:G184), G$2:G184, 0)), MAX(G$2:G184)+1, MAX(G$2:G184)+2)))</f>
        <v/>
      </c>
      <c r="H185">
        <f>IF(OR(ERP資料!C185="",ERP資料!D185=""),0,ERP資料!D185-ERP資料!C185+1)</f>
        <v/>
      </c>
    </row>
    <row r="186">
      <c r="A186" t="n">
        <v>186</v>
      </c>
      <c r="B186">
        <f>IF(ERP資料!A186="","",ERP資料!A186&amp;"|"&amp;ERP資料!E186&amp;"|"&amp;ERP資料!F186&amp;"|"&amp;ERP資料!G186&amp;"|"&amp;ERP資料!H186&amp;"|"&amp;ERP資料!O186)</f>
        <v/>
      </c>
      <c r="C186">
        <f>IF(B186="",0,IF(COUNTIF(B$2:B185,B186)=0,1,0))</f>
        <v/>
      </c>
      <c r="D186">
        <f>IF(B186="",0,SUMIFS($H$2:$H$801,$B$2:$B$801,B186))</f>
        <v/>
      </c>
      <c r="E186">
        <f>IF(NOT(AND(C186=1, TRIM(ERP資料!T186)="平板")), 0, IF(MAX(E$2:E185)=0, 1, IF(ERP資料!A186=INDEX(ERP資料!$A$2:$A185, MATCH(MAX(E$2:E185), E$2:E185, 0)), MAX(E$2:E185)+1, MAX(E$2:E185)+2)))</f>
        <v/>
      </c>
      <c r="F186">
        <f>IF(NOT(AND(C186=1, TRIM(ERP資料!T186)="平板")), 0, IF(MAX(F$2:F185)=0, 1, IF(ERP資料!A186=INDEX(ERP資料!$A$2:$A185, MATCH(MAX(F$2:F185), F$2:F185, 0)), MAX(F$2:F185)+1, MAX(F$2:F185)+2)))</f>
        <v/>
      </c>
      <c r="G186">
        <f>IF(NOT(AND(C186=1, TRIM(ERP資料!T186)="捲筒")), 0, IF(MAX(G$2:G185)=0, 1, IF(ERP資料!A186=INDEX(ERP資料!$A$2:$A185, MATCH(MAX(G$2:G185), G$2:G185, 0)), MAX(G$2:G185)+1, MAX(G$2:G185)+2)))</f>
        <v/>
      </c>
      <c r="H186">
        <f>IF(OR(ERP資料!C186="",ERP資料!D186=""),0,ERP資料!D186-ERP資料!C186+1)</f>
        <v/>
      </c>
    </row>
    <row r="187">
      <c r="A187" t="n">
        <v>187</v>
      </c>
      <c r="B187">
        <f>IF(ERP資料!A187="","",ERP資料!A187&amp;"|"&amp;ERP資料!E187&amp;"|"&amp;ERP資料!F187&amp;"|"&amp;ERP資料!G187&amp;"|"&amp;ERP資料!H187&amp;"|"&amp;ERP資料!O187)</f>
        <v/>
      </c>
      <c r="C187">
        <f>IF(B187="",0,IF(COUNTIF(B$2:B186,B187)=0,1,0))</f>
        <v/>
      </c>
      <c r="D187">
        <f>IF(B187="",0,SUMIFS($H$2:$H$801,$B$2:$B$801,B187))</f>
        <v/>
      </c>
      <c r="E187">
        <f>IF(NOT(AND(C187=1, TRIM(ERP資料!T187)="平板")), 0, IF(MAX(E$2:E186)=0, 1, IF(ERP資料!A187=INDEX(ERP資料!$A$2:$A186, MATCH(MAX(E$2:E186), E$2:E186, 0)), MAX(E$2:E186)+1, MAX(E$2:E186)+2)))</f>
        <v/>
      </c>
      <c r="F187">
        <f>IF(NOT(AND(C187=1, TRIM(ERP資料!T187)="平板")), 0, IF(MAX(F$2:F186)=0, 1, IF(ERP資料!A187=INDEX(ERP資料!$A$2:$A186, MATCH(MAX(F$2:F186), F$2:F186, 0)), MAX(F$2:F186)+1, MAX(F$2:F186)+2)))</f>
        <v/>
      </c>
      <c r="G187">
        <f>IF(NOT(AND(C187=1, TRIM(ERP資料!T187)="捲筒")), 0, IF(MAX(G$2:G186)=0, 1, IF(ERP資料!A187=INDEX(ERP資料!$A$2:$A186, MATCH(MAX(G$2:G186), G$2:G186, 0)), MAX(G$2:G186)+1, MAX(G$2:G186)+2)))</f>
        <v/>
      </c>
      <c r="H187">
        <f>IF(OR(ERP資料!C187="",ERP資料!D187=""),0,ERP資料!D187-ERP資料!C187+1)</f>
        <v/>
      </c>
    </row>
    <row r="188">
      <c r="A188" t="n">
        <v>188</v>
      </c>
      <c r="B188">
        <f>IF(ERP資料!A188="","",ERP資料!A188&amp;"|"&amp;ERP資料!E188&amp;"|"&amp;ERP資料!F188&amp;"|"&amp;ERP資料!G188&amp;"|"&amp;ERP資料!H188&amp;"|"&amp;ERP資料!O188)</f>
        <v/>
      </c>
      <c r="C188">
        <f>IF(B188="",0,IF(COUNTIF(B$2:B187,B188)=0,1,0))</f>
        <v/>
      </c>
      <c r="D188">
        <f>IF(B188="",0,SUMIFS($H$2:$H$801,$B$2:$B$801,B188))</f>
        <v/>
      </c>
      <c r="E188">
        <f>IF(NOT(AND(C188=1, TRIM(ERP資料!T188)="平板")), 0, IF(MAX(E$2:E187)=0, 1, IF(ERP資料!A188=INDEX(ERP資料!$A$2:$A187, MATCH(MAX(E$2:E187), E$2:E187, 0)), MAX(E$2:E187)+1, MAX(E$2:E187)+2)))</f>
        <v/>
      </c>
      <c r="F188">
        <f>IF(NOT(AND(C188=1, TRIM(ERP資料!T188)="平板")), 0, IF(MAX(F$2:F187)=0, 1, IF(ERP資料!A188=INDEX(ERP資料!$A$2:$A187, MATCH(MAX(F$2:F187), F$2:F187, 0)), MAX(F$2:F187)+1, MAX(F$2:F187)+2)))</f>
        <v/>
      </c>
      <c r="G188">
        <f>IF(NOT(AND(C188=1, TRIM(ERP資料!T188)="捲筒")), 0, IF(MAX(G$2:G187)=0, 1, IF(ERP資料!A188=INDEX(ERP資料!$A$2:$A187, MATCH(MAX(G$2:G187), G$2:G187, 0)), MAX(G$2:G187)+1, MAX(G$2:G187)+2)))</f>
        <v/>
      </c>
      <c r="H188">
        <f>IF(OR(ERP資料!C188="",ERP資料!D188=""),0,ERP資料!D188-ERP資料!C188+1)</f>
        <v/>
      </c>
    </row>
    <row r="189">
      <c r="A189" t="n">
        <v>189</v>
      </c>
      <c r="B189">
        <f>IF(ERP資料!A189="","",ERP資料!A189&amp;"|"&amp;ERP資料!E189&amp;"|"&amp;ERP資料!F189&amp;"|"&amp;ERP資料!G189&amp;"|"&amp;ERP資料!H189&amp;"|"&amp;ERP資料!O189)</f>
        <v/>
      </c>
      <c r="C189">
        <f>IF(B189="",0,IF(COUNTIF(B$2:B188,B189)=0,1,0))</f>
        <v/>
      </c>
      <c r="D189">
        <f>IF(B189="",0,SUMIFS($H$2:$H$801,$B$2:$B$801,B189))</f>
        <v/>
      </c>
      <c r="E189">
        <f>IF(NOT(AND(C189=1, TRIM(ERP資料!T189)="平板")), 0, IF(MAX(E$2:E188)=0, 1, IF(ERP資料!A189=INDEX(ERP資料!$A$2:$A188, MATCH(MAX(E$2:E188), E$2:E188, 0)), MAX(E$2:E188)+1, MAX(E$2:E188)+2)))</f>
        <v/>
      </c>
      <c r="F189">
        <f>IF(NOT(AND(C189=1, TRIM(ERP資料!T189)="平板")), 0, IF(MAX(F$2:F188)=0, 1, IF(ERP資料!A189=INDEX(ERP資料!$A$2:$A188, MATCH(MAX(F$2:F188), F$2:F188, 0)), MAX(F$2:F188)+1, MAX(F$2:F188)+2)))</f>
        <v/>
      </c>
      <c r="G189">
        <f>IF(NOT(AND(C189=1, TRIM(ERP資料!T189)="捲筒")), 0, IF(MAX(G$2:G188)=0, 1, IF(ERP資料!A189=INDEX(ERP資料!$A$2:$A188, MATCH(MAX(G$2:G188), G$2:G188, 0)), MAX(G$2:G188)+1, MAX(G$2:G188)+2)))</f>
        <v/>
      </c>
      <c r="H189">
        <f>IF(OR(ERP資料!C189="",ERP資料!D189=""),0,ERP資料!D189-ERP資料!C189+1)</f>
        <v/>
      </c>
    </row>
    <row r="190">
      <c r="A190" t="n">
        <v>190</v>
      </c>
      <c r="B190">
        <f>IF(ERP資料!A190="","",ERP資料!A190&amp;"|"&amp;ERP資料!E190&amp;"|"&amp;ERP資料!F190&amp;"|"&amp;ERP資料!G190&amp;"|"&amp;ERP資料!H190&amp;"|"&amp;ERP資料!O190)</f>
        <v/>
      </c>
      <c r="C190">
        <f>IF(B190="",0,IF(COUNTIF(B$2:B189,B190)=0,1,0))</f>
        <v/>
      </c>
      <c r="D190">
        <f>IF(B190="",0,SUMIFS($H$2:$H$801,$B$2:$B$801,B190))</f>
        <v/>
      </c>
      <c r="E190">
        <f>IF(NOT(AND(C190=1, TRIM(ERP資料!T190)="平板")), 0, IF(MAX(E$2:E189)=0, 1, IF(ERP資料!A190=INDEX(ERP資料!$A$2:$A189, MATCH(MAX(E$2:E189), E$2:E189, 0)), MAX(E$2:E189)+1, MAX(E$2:E189)+2)))</f>
        <v/>
      </c>
      <c r="F190">
        <f>IF(NOT(AND(C190=1, TRIM(ERP資料!T190)="平板")), 0, IF(MAX(F$2:F189)=0, 1, IF(ERP資料!A190=INDEX(ERP資料!$A$2:$A189, MATCH(MAX(F$2:F189), F$2:F189, 0)), MAX(F$2:F189)+1, MAX(F$2:F189)+2)))</f>
        <v/>
      </c>
      <c r="G190">
        <f>IF(NOT(AND(C190=1, TRIM(ERP資料!T190)="捲筒")), 0, IF(MAX(G$2:G189)=0, 1, IF(ERP資料!A190=INDEX(ERP資料!$A$2:$A189, MATCH(MAX(G$2:G189), G$2:G189, 0)), MAX(G$2:G189)+1, MAX(G$2:G189)+2)))</f>
        <v/>
      </c>
      <c r="H190">
        <f>IF(OR(ERP資料!C190="",ERP資料!D190=""),0,ERP資料!D190-ERP資料!C190+1)</f>
        <v/>
      </c>
    </row>
    <row r="191">
      <c r="A191" t="n">
        <v>191</v>
      </c>
      <c r="B191">
        <f>IF(ERP資料!A191="","",ERP資料!A191&amp;"|"&amp;ERP資料!E191&amp;"|"&amp;ERP資料!F191&amp;"|"&amp;ERP資料!G191&amp;"|"&amp;ERP資料!H191&amp;"|"&amp;ERP資料!O191)</f>
        <v/>
      </c>
      <c r="C191">
        <f>IF(B191="",0,IF(COUNTIF(B$2:B190,B191)=0,1,0))</f>
        <v/>
      </c>
      <c r="D191">
        <f>IF(B191="",0,SUMIFS($H$2:$H$801,$B$2:$B$801,B191))</f>
        <v/>
      </c>
      <c r="E191">
        <f>IF(NOT(AND(C191=1, TRIM(ERP資料!T191)="平板")), 0, IF(MAX(E$2:E190)=0, 1, IF(ERP資料!A191=INDEX(ERP資料!$A$2:$A190, MATCH(MAX(E$2:E190), E$2:E190, 0)), MAX(E$2:E190)+1, MAX(E$2:E190)+2)))</f>
        <v/>
      </c>
      <c r="F191">
        <f>IF(NOT(AND(C191=1, TRIM(ERP資料!T191)="平板")), 0, IF(MAX(F$2:F190)=0, 1, IF(ERP資料!A191=INDEX(ERP資料!$A$2:$A190, MATCH(MAX(F$2:F190), F$2:F190, 0)), MAX(F$2:F190)+1, MAX(F$2:F190)+2)))</f>
        <v/>
      </c>
      <c r="G191">
        <f>IF(NOT(AND(C191=1, TRIM(ERP資料!T191)="捲筒")), 0, IF(MAX(G$2:G190)=0, 1, IF(ERP資料!A191=INDEX(ERP資料!$A$2:$A190, MATCH(MAX(G$2:G190), G$2:G190, 0)), MAX(G$2:G190)+1, MAX(G$2:G190)+2)))</f>
        <v/>
      </c>
      <c r="H191">
        <f>IF(OR(ERP資料!C191="",ERP資料!D191=""),0,ERP資料!D191-ERP資料!C191+1)</f>
        <v/>
      </c>
    </row>
    <row r="192">
      <c r="A192" t="n">
        <v>192</v>
      </c>
      <c r="B192">
        <f>IF(ERP資料!A192="","",ERP資料!A192&amp;"|"&amp;ERP資料!E192&amp;"|"&amp;ERP資料!F192&amp;"|"&amp;ERP資料!G192&amp;"|"&amp;ERP資料!H192&amp;"|"&amp;ERP資料!O192)</f>
        <v/>
      </c>
      <c r="C192">
        <f>IF(B192="",0,IF(COUNTIF(B$2:B191,B192)=0,1,0))</f>
        <v/>
      </c>
      <c r="D192">
        <f>IF(B192="",0,SUMIFS($H$2:$H$801,$B$2:$B$801,B192))</f>
        <v/>
      </c>
      <c r="E192">
        <f>IF(NOT(AND(C192=1, TRIM(ERP資料!T192)="平板")), 0, IF(MAX(E$2:E191)=0, 1, IF(ERP資料!A192=INDEX(ERP資料!$A$2:$A191, MATCH(MAX(E$2:E191), E$2:E191, 0)), MAX(E$2:E191)+1, MAX(E$2:E191)+2)))</f>
        <v/>
      </c>
      <c r="F192">
        <f>IF(NOT(AND(C192=1, TRIM(ERP資料!T192)="平板")), 0, IF(MAX(F$2:F191)=0, 1, IF(ERP資料!A192=INDEX(ERP資料!$A$2:$A191, MATCH(MAX(F$2:F191), F$2:F191, 0)), MAX(F$2:F191)+1, MAX(F$2:F191)+2)))</f>
        <v/>
      </c>
      <c r="G192">
        <f>IF(NOT(AND(C192=1, TRIM(ERP資料!T192)="捲筒")), 0, IF(MAX(G$2:G191)=0, 1, IF(ERP資料!A192=INDEX(ERP資料!$A$2:$A191, MATCH(MAX(G$2:G191), G$2:G191, 0)), MAX(G$2:G191)+1, MAX(G$2:G191)+2)))</f>
        <v/>
      </c>
      <c r="H192">
        <f>IF(OR(ERP資料!C192="",ERP資料!D192=""),0,ERP資料!D192-ERP資料!C192+1)</f>
        <v/>
      </c>
    </row>
    <row r="193">
      <c r="A193" t="n">
        <v>193</v>
      </c>
      <c r="B193">
        <f>IF(ERP資料!A193="","",ERP資料!A193&amp;"|"&amp;ERP資料!E193&amp;"|"&amp;ERP資料!F193&amp;"|"&amp;ERP資料!G193&amp;"|"&amp;ERP資料!H193&amp;"|"&amp;ERP資料!O193)</f>
        <v/>
      </c>
      <c r="C193">
        <f>IF(B193="",0,IF(COUNTIF(B$2:B192,B193)=0,1,0))</f>
        <v/>
      </c>
      <c r="D193">
        <f>IF(B193="",0,SUMIFS($H$2:$H$801,$B$2:$B$801,B193))</f>
        <v/>
      </c>
      <c r="E193">
        <f>IF(NOT(AND(C193=1, TRIM(ERP資料!T193)="平板")), 0, IF(MAX(E$2:E192)=0, 1, IF(ERP資料!A193=INDEX(ERP資料!$A$2:$A192, MATCH(MAX(E$2:E192), E$2:E192, 0)), MAX(E$2:E192)+1, MAX(E$2:E192)+2)))</f>
        <v/>
      </c>
      <c r="F193">
        <f>IF(NOT(AND(C193=1, TRIM(ERP資料!T193)="平板")), 0, IF(MAX(F$2:F192)=0, 1, IF(ERP資料!A193=INDEX(ERP資料!$A$2:$A192, MATCH(MAX(F$2:F192), F$2:F192, 0)), MAX(F$2:F192)+1, MAX(F$2:F192)+2)))</f>
        <v/>
      </c>
      <c r="G193">
        <f>IF(NOT(AND(C193=1, TRIM(ERP資料!T193)="捲筒")), 0, IF(MAX(G$2:G192)=0, 1, IF(ERP資料!A193=INDEX(ERP資料!$A$2:$A192, MATCH(MAX(G$2:G192), G$2:G192, 0)), MAX(G$2:G192)+1, MAX(G$2:G192)+2)))</f>
        <v/>
      </c>
      <c r="H193">
        <f>IF(OR(ERP資料!C193="",ERP資料!D193=""),0,ERP資料!D193-ERP資料!C193+1)</f>
        <v/>
      </c>
    </row>
    <row r="194">
      <c r="A194" t="n">
        <v>194</v>
      </c>
      <c r="B194">
        <f>IF(ERP資料!A194="","",ERP資料!A194&amp;"|"&amp;ERP資料!E194&amp;"|"&amp;ERP資料!F194&amp;"|"&amp;ERP資料!G194&amp;"|"&amp;ERP資料!H194&amp;"|"&amp;ERP資料!O194)</f>
        <v/>
      </c>
      <c r="C194">
        <f>IF(B194="",0,IF(COUNTIF(B$2:B193,B194)=0,1,0))</f>
        <v/>
      </c>
      <c r="D194">
        <f>IF(B194="",0,SUMIFS($H$2:$H$801,$B$2:$B$801,B194))</f>
        <v/>
      </c>
      <c r="E194">
        <f>IF(NOT(AND(C194=1, TRIM(ERP資料!T194)="平板")), 0, IF(MAX(E$2:E193)=0, 1, IF(ERP資料!A194=INDEX(ERP資料!$A$2:$A193, MATCH(MAX(E$2:E193), E$2:E193, 0)), MAX(E$2:E193)+1, MAX(E$2:E193)+2)))</f>
        <v/>
      </c>
      <c r="F194">
        <f>IF(NOT(AND(C194=1, TRIM(ERP資料!T194)="平板")), 0, IF(MAX(F$2:F193)=0, 1, IF(ERP資料!A194=INDEX(ERP資料!$A$2:$A193, MATCH(MAX(F$2:F193), F$2:F193, 0)), MAX(F$2:F193)+1, MAX(F$2:F193)+2)))</f>
        <v/>
      </c>
      <c r="G194">
        <f>IF(NOT(AND(C194=1, TRIM(ERP資料!T194)="捲筒")), 0, IF(MAX(G$2:G193)=0, 1, IF(ERP資料!A194=INDEX(ERP資料!$A$2:$A193, MATCH(MAX(G$2:G193), G$2:G193, 0)), MAX(G$2:G193)+1, MAX(G$2:G193)+2)))</f>
        <v/>
      </c>
      <c r="H194">
        <f>IF(OR(ERP資料!C194="",ERP資料!D194=""),0,ERP資料!D194-ERP資料!C194+1)</f>
        <v/>
      </c>
    </row>
    <row r="195">
      <c r="A195" t="n">
        <v>195</v>
      </c>
      <c r="B195">
        <f>IF(ERP資料!A195="","",ERP資料!A195&amp;"|"&amp;ERP資料!E195&amp;"|"&amp;ERP資料!F195&amp;"|"&amp;ERP資料!G195&amp;"|"&amp;ERP資料!H195&amp;"|"&amp;ERP資料!O195)</f>
        <v/>
      </c>
      <c r="C195">
        <f>IF(B195="",0,IF(COUNTIF(B$2:B194,B195)=0,1,0))</f>
        <v/>
      </c>
      <c r="D195">
        <f>IF(B195="",0,SUMIFS($H$2:$H$801,$B$2:$B$801,B195))</f>
        <v/>
      </c>
      <c r="E195">
        <f>IF(NOT(AND(C195=1, TRIM(ERP資料!T195)="平板")), 0, IF(MAX(E$2:E194)=0, 1, IF(ERP資料!A195=INDEX(ERP資料!$A$2:$A194, MATCH(MAX(E$2:E194), E$2:E194, 0)), MAX(E$2:E194)+1, MAX(E$2:E194)+2)))</f>
        <v/>
      </c>
      <c r="F195">
        <f>IF(NOT(AND(C195=1, TRIM(ERP資料!T195)="平板")), 0, IF(MAX(F$2:F194)=0, 1, IF(ERP資料!A195=INDEX(ERP資料!$A$2:$A194, MATCH(MAX(F$2:F194), F$2:F194, 0)), MAX(F$2:F194)+1, MAX(F$2:F194)+2)))</f>
        <v/>
      </c>
      <c r="G195">
        <f>IF(NOT(AND(C195=1, TRIM(ERP資料!T195)="捲筒")), 0, IF(MAX(G$2:G194)=0, 1, IF(ERP資料!A195=INDEX(ERP資料!$A$2:$A194, MATCH(MAX(G$2:G194), G$2:G194, 0)), MAX(G$2:G194)+1, MAX(G$2:G194)+2)))</f>
        <v/>
      </c>
      <c r="H195">
        <f>IF(OR(ERP資料!C195="",ERP資料!D195=""),0,ERP資料!D195-ERP資料!C195+1)</f>
        <v/>
      </c>
    </row>
    <row r="196">
      <c r="A196" t="n">
        <v>196</v>
      </c>
      <c r="B196">
        <f>IF(ERP資料!A196="","",ERP資料!A196&amp;"|"&amp;ERP資料!E196&amp;"|"&amp;ERP資料!F196&amp;"|"&amp;ERP資料!G196&amp;"|"&amp;ERP資料!H196&amp;"|"&amp;ERP資料!O196)</f>
        <v/>
      </c>
      <c r="C196">
        <f>IF(B196="",0,IF(COUNTIF(B$2:B195,B196)=0,1,0))</f>
        <v/>
      </c>
      <c r="D196">
        <f>IF(B196="",0,SUMIFS($H$2:$H$801,$B$2:$B$801,B196))</f>
        <v/>
      </c>
      <c r="E196">
        <f>IF(NOT(AND(C196=1, TRIM(ERP資料!T196)="平板")), 0, IF(MAX(E$2:E195)=0, 1, IF(ERP資料!A196=INDEX(ERP資料!$A$2:$A195, MATCH(MAX(E$2:E195), E$2:E195, 0)), MAX(E$2:E195)+1, MAX(E$2:E195)+2)))</f>
        <v/>
      </c>
      <c r="F196">
        <f>IF(NOT(AND(C196=1, TRIM(ERP資料!T196)="平板")), 0, IF(MAX(F$2:F195)=0, 1, IF(ERP資料!A196=INDEX(ERP資料!$A$2:$A195, MATCH(MAX(F$2:F195), F$2:F195, 0)), MAX(F$2:F195)+1, MAX(F$2:F195)+2)))</f>
        <v/>
      </c>
      <c r="G196">
        <f>IF(NOT(AND(C196=1, TRIM(ERP資料!T196)="捲筒")), 0, IF(MAX(G$2:G195)=0, 1, IF(ERP資料!A196=INDEX(ERP資料!$A$2:$A195, MATCH(MAX(G$2:G195), G$2:G195, 0)), MAX(G$2:G195)+1, MAX(G$2:G195)+2)))</f>
        <v/>
      </c>
      <c r="H196">
        <f>IF(OR(ERP資料!C196="",ERP資料!D196=""),0,ERP資料!D196-ERP資料!C196+1)</f>
        <v/>
      </c>
    </row>
    <row r="197">
      <c r="A197" t="n">
        <v>197</v>
      </c>
      <c r="B197">
        <f>IF(ERP資料!A197="","",ERP資料!A197&amp;"|"&amp;ERP資料!E197&amp;"|"&amp;ERP資料!F197&amp;"|"&amp;ERP資料!G197&amp;"|"&amp;ERP資料!H197&amp;"|"&amp;ERP資料!O197)</f>
        <v/>
      </c>
      <c r="C197">
        <f>IF(B197="",0,IF(COUNTIF(B$2:B196,B197)=0,1,0))</f>
        <v/>
      </c>
      <c r="D197">
        <f>IF(B197="",0,SUMIFS($H$2:$H$801,$B$2:$B$801,B197))</f>
        <v/>
      </c>
      <c r="E197">
        <f>IF(NOT(AND(C197=1, TRIM(ERP資料!T197)="平板")), 0, IF(MAX(E$2:E196)=0, 1, IF(ERP資料!A197=INDEX(ERP資料!$A$2:$A196, MATCH(MAX(E$2:E196), E$2:E196, 0)), MAX(E$2:E196)+1, MAX(E$2:E196)+2)))</f>
        <v/>
      </c>
      <c r="F197">
        <f>IF(NOT(AND(C197=1, TRIM(ERP資料!T197)="平板")), 0, IF(MAX(F$2:F196)=0, 1, IF(ERP資料!A197=INDEX(ERP資料!$A$2:$A196, MATCH(MAX(F$2:F196), F$2:F196, 0)), MAX(F$2:F196)+1, MAX(F$2:F196)+2)))</f>
        <v/>
      </c>
      <c r="G197">
        <f>IF(NOT(AND(C197=1, TRIM(ERP資料!T197)="捲筒")), 0, IF(MAX(G$2:G196)=0, 1, IF(ERP資料!A197=INDEX(ERP資料!$A$2:$A196, MATCH(MAX(G$2:G196), G$2:G196, 0)), MAX(G$2:G196)+1, MAX(G$2:G196)+2)))</f>
        <v/>
      </c>
      <c r="H197">
        <f>IF(OR(ERP資料!C197="",ERP資料!D197=""),0,ERP資料!D197-ERP資料!C197+1)</f>
        <v/>
      </c>
    </row>
    <row r="198">
      <c r="A198" t="n">
        <v>198</v>
      </c>
      <c r="B198">
        <f>IF(ERP資料!A198="","",ERP資料!A198&amp;"|"&amp;ERP資料!E198&amp;"|"&amp;ERP資料!F198&amp;"|"&amp;ERP資料!G198&amp;"|"&amp;ERP資料!H198&amp;"|"&amp;ERP資料!O198)</f>
        <v/>
      </c>
      <c r="C198">
        <f>IF(B198="",0,IF(COUNTIF(B$2:B197,B198)=0,1,0))</f>
        <v/>
      </c>
      <c r="D198">
        <f>IF(B198="",0,SUMIFS($H$2:$H$801,$B$2:$B$801,B198))</f>
        <v/>
      </c>
      <c r="E198">
        <f>IF(NOT(AND(C198=1, TRIM(ERP資料!T198)="平板")), 0, IF(MAX(E$2:E197)=0, 1, IF(ERP資料!A198=INDEX(ERP資料!$A$2:$A197, MATCH(MAX(E$2:E197), E$2:E197, 0)), MAX(E$2:E197)+1, MAX(E$2:E197)+2)))</f>
        <v/>
      </c>
      <c r="F198">
        <f>IF(NOT(AND(C198=1, TRIM(ERP資料!T198)="平板")), 0, IF(MAX(F$2:F197)=0, 1, IF(ERP資料!A198=INDEX(ERP資料!$A$2:$A197, MATCH(MAX(F$2:F197), F$2:F197, 0)), MAX(F$2:F197)+1, MAX(F$2:F197)+2)))</f>
        <v/>
      </c>
      <c r="G198">
        <f>IF(NOT(AND(C198=1, TRIM(ERP資料!T198)="捲筒")), 0, IF(MAX(G$2:G197)=0, 1, IF(ERP資料!A198=INDEX(ERP資料!$A$2:$A197, MATCH(MAX(G$2:G197), G$2:G197, 0)), MAX(G$2:G197)+1, MAX(G$2:G197)+2)))</f>
        <v/>
      </c>
      <c r="H198">
        <f>IF(OR(ERP資料!C198="",ERP資料!D198=""),0,ERP資料!D198-ERP資料!C198+1)</f>
        <v/>
      </c>
    </row>
    <row r="199">
      <c r="A199" t="n">
        <v>199</v>
      </c>
      <c r="B199">
        <f>IF(ERP資料!A199="","",ERP資料!A199&amp;"|"&amp;ERP資料!E199&amp;"|"&amp;ERP資料!F199&amp;"|"&amp;ERP資料!G199&amp;"|"&amp;ERP資料!H199&amp;"|"&amp;ERP資料!O199)</f>
        <v/>
      </c>
      <c r="C199">
        <f>IF(B199="",0,IF(COUNTIF(B$2:B198,B199)=0,1,0))</f>
        <v/>
      </c>
      <c r="D199">
        <f>IF(B199="",0,SUMIFS($H$2:$H$801,$B$2:$B$801,B199))</f>
        <v/>
      </c>
      <c r="E199">
        <f>IF(NOT(AND(C199=1, TRIM(ERP資料!T199)="平板")), 0, IF(MAX(E$2:E198)=0, 1, IF(ERP資料!A199=INDEX(ERP資料!$A$2:$A198, MATCH(MAX(E$2:E198), E$2:E198, 0)), MAX(E$2:E198)+1, MAX(E$2:E198)+2)))</f>
        <v/>
      </c>
      <c r="F199">
        <f>IF(NOT(AND(C199=1, TRIM(ERP資料!T199)="平板")), 0, IF(MAX(F$2:F198)=0, 1, IF(ERP資料!A199=INDEX(ERP資料!$A$2:$A198, MATCH(MAX(F$2:F198), F$2:F198, 0)), MAX(F$2:F198)+1, MAX(F$2:F198)+2)))</f>
        <v/>
      </c>
      <c r="G199">
        <f>IF(NOT(AND(C199=1, TRIM(ERP資料!T199)="捲筒")), 0, IF(MAX(G$2:G198)=0, 1, IF(ERP資料!A199=INDEX(ERP資料!$A$2:$A198, MATCH(MAX(G$2:G198), G$2:G198, 0)), MAX(G$2:G198)+1, MAX(G$2:G198)+2)))</f>
        <v/>
      </c>
      <c r="H199">
        <f>IF(OR(ERP資料!C199="",ERP資料!D199=""),0,ERP資料!D199-ERP資料!C199+1)</f>
        <v/>
      </c>
    </row>
    <row r="200">
      <c r="A200" t="n">
        <v>200</v>
      </c>
      <c r="B200">
        <f>IF(ERP資料!A200="","",ERP資料!A200&amp;"|"&amp;ERP資料!E200&amp;"|"&amp;ERP資料!F200&amp;"|"&amp;ERP資料!G200&amp;"|"&amp;ERP資料!H200&amp;"|"&amp;ERP資料!O200)</f>
        <v/>
      </c>
      <c r="C200">
        <f>IF(B200="",0,IF(COUNTIF(B$2:B199,B200)=0,1,0))</f>
        <v/>
      </c>
      <c r="D200">
        <f>IF(B200="",0,SUMIFS($H$2:$H$801,$B$2:$B$801,B200))</f>
        <v/>
      </c>
      <c r="E200">
        <f>IF(NOT(AND(C200=1, TRIM(ERP資料!T200)="平板")), 0, IF(MAX(E$2:E199)=0, 1, IF(ERP資料!A200=INDEX(ERP資料!$A$2:$A199, MATCH(MAX(E$2:E199), E$2:E199, 0)), MAX(E$2:E199)+1, MAX(E$2:E199)+2)))</f>
        <v/>
      </c>
      <c r="F200">
        <f>IF(NOT(AND(C200=1, TRIM(ERP資料!T200)="平板")), 0, IF(MAX(F$2:F199)=0, 1, IF(ERP資料!A200=INDEX(ERP資料!$A$2:$A199, MATCH(MAX(F$2:F199), F$2:F199, 0)), MAX(F$2:F199)+1, MAX(F$2:F199)+2)))</f>
        <v/>
      </c>
      <c r="G200">
        <f>IF(NOT(AND(C200=1, TRIM(ERP資料!T200)="捲筒")), 0, IF(MAX(G$2:G199)=0, 1, IF(ERP資料!A200=INDEX(ERP資料!$A$2:$A199, MATCH(MAX(G$2:G199), G$2:G199, 0)), MAX(G$2:G199)+1, MAX(G$2:G199)+2)))</f>
        <v/>
      </c>
      <c r="H200">
        <f>IF(OR(ERP資料!C200="",ERP資料!D200=""),0,ERP資料!D200-ERP資料!C200+1)</f>
        <v/>
      </c>
    </row>
    <row r="201">
      <c r="A201" t="n">
        <v>201</v>
      </c>
      <c r="B201">
        <f>IF(ERP資料!A201="","",ERP資料!A201&amp;"|"&amp;ERP資料!E201&amp;"|"&amp;ERP資料!F201&amp;"|"&amp;ERP資料!G201&amp;"|"&amp;ERP資料!H201&amp;"|"&amp;ERP資料!O201)</f>
        <v/>
      </c>
      <c r="C201">
        <f>IF(B201="",0,IF(COUNTIF(B$2:B200,B201)=0,1,0))</f>
        <v/>
      </c>
      <c r="D201">
        <f>IF(B201="",0,SUMIFS($H$2:$H$801,$B$2:$B$801,B201))</f>
        <v/>
      </c>
      <c r="E201">
        <f>IF(NOT(AND(C201=1, TRIM(ERP資料!T201)="平板")), 0, IF(MAX(E$2:E200)=0, 1, IF(ERP資料!A201=INDEX(ERP資料!$A$2:$A200, MATCH(MAX(E$2:E200), E$2:E200, 0)), MAX(E$2:E200)+1, MAX(E$2:E200)+2)))</f>
        <v/>
      </c>
      <c r="F201">
        <f>IF(NOT(AND(C201=1, TRIM(ERP資料!T201)="平板")), 0, IF(MAX(F$2:F200)=0, 1, IF(ERP資料!A201=INDEX(ERP資料!$A$2:$A200, MATCH(MAX(F$2:F200), F$2:F200, 0)), MAX(F$2:F200)+1, MAX(F$2:F200)+2)))</f>
        <v/>
      </c>
      <c r="G201">
        <f>IF(NOT(AND(C201=1, TRIM(ERP資料!T201)="捲筒")), 0, IF(MAX(G$2:G200)=0, 1, IF(ERP資料!A201=INDEX(ERP資料!$A$2:$A200, MATCH(MAX(G$2:G200), G$2:G200, 0)), MAX(G$2:G200)+1, MAX(G$2:G200)+2)))</f>
        <v/>
      </c>
      <c r="H201">
        <f>IF(OR(ERP資料!C201="",ERP資料!D201=""),0,ERP資料!D201-ERP資料!C201+1)</f>
        <v/>
      </c>
    </row>
    <row r="202">
      <c r="A202" t="n">
        <v>202</v>
      </c>
      <c r="B202">
        <f>IF(ERP資料!A202="","",ERP資料!A202&amp;"|"&amp;ERP資料!E202&amp;"|"&amp;ERP資料!F202&amp;"|"&amp;ERP資料!G202&amp;"|"&amp;ERP資料!H202&amp;"|"&amp;ERP資料!O202)</f>
        <v/>
      </c>
      <c r="C202">
        <f>IF(B202="",0,IF(COUNTIF(B$2:B201,B202)=0,1,0))</f>
        <v/>
      </c>
      <c r="D202">
        <f>IF(B202="",0,SUMIFS($H$2:$H$801,$B$2:$B$801,B202))</f>
        <v/>
      </c>
      <c r="E202">
        <f>IF(NOT(AND(C202=1, TRIM(ERP資料!T202)="平板")), 0, IF(MAX(E$2:E201)=0, 1, IF(ERP資料!A202=INDEX(ERP資料!$A$2:$A201, MATCH(MAX(E$2:E201), E$2:E201, 0)), MAX(E$2:E201)+1, MAX(E$2:E201)+2)))</f>
        <v/>
      </c>
      <c r="F202">
        <f>IF(NOT(AND(C202=1, TRIM(ERP資料!T202)="平板")), 0, IF(MAX(F$2:F201)=0, 1, IF(ERP資料!A202=INDEX(ERP資料!$A$2:$A201, MATCH(MAX(F$2:F201), F$2:F201, 0)), MAX(F$2:F201)+1, MAX(F$2:F201)+2)))</f>
        <v/>
      </c>
      <c r="G202">
        <f>IF(NOT(AND(C202=1, TRIM(ERP資料!T202)="捲筒")), 0, IF(MAX(G$2:G201)=0, 1, IF(ERP資料!A202=INDEX(ERP資料!$A$2:$A201, MATCH(MAX(G$2:G201), G$2:G201, 0)), MAX(G$2:G201)+1, MAX(G$2:G201)+2)))</f>
        <v/>
      </c>
      <c r="H202">
        <f>IF(OR(ERP資料!C202="",ERP資料!D202=""),0,ERP資料!D202-ERP資料!C202+1)</f>
        <v/>
      </c>
    </row>
    <row r="203">
      <c r="A203" t="n">
        <v>203</v>
      </c>
      <c r="B203">
        <f>IF(ERP資料!A203="","",ERP資料!A203&amp;"|"&amp;ERP資料!E203&amp;"|"&amp;ERP資料!F203&amp;"|"&amp;ERP資料!G203&amp;"|"&amp;ERP資料!H203&amp;"|"&amp;ERP資料!O203)</f>
        <v/>
      </c>
      <c r="C203">
        <f>IF(B203="",0,IF(COUNTIF(B$2:B202,B203)=0,1,0))</f>
        <v/>
      </c>
      <c r="D203">
        <f>IF(B203="",0,SUMIFS($H$2:$H$801,$B$2:$B$801,B203))</f>
        <v/>
      </c>
      <c r="E203">
        <f>IF(NOT(AND(C203=1, TRIM(ERP資料!T203)="平板")), 0, IF(MAX(E$2:E202)=0, 1, IF(ERP資料!A203=INDEX(ERP資料!$A$2:$A202, MATCH(MAX(E$2:E202), E$2:E202, 0)), MAX(E$2:E202)+1, MAX(E$2:E202)+2)))</f>
        <v/>
      </c>
      <c r="F203">
        <f>IF(NOT(AND(C203=1, TRIM(ERP資料!T203)="平板")), 0, IF(MAX(F$2:F202)=0, 1, IF(ERP資料!A203=INDEX(ERP資料!$A$2:$A202, MATCH(MAX(F$2:F202), F$2:F202, 0)), MAX(F$2:F202)+1, MAX(F$2:F202)+2)))</f>
        <v/>
      </c>
      <c r="G203">
        <f>IF(NOT(AND(C203=1, TRIM(ERP資料!T203)="捲筒")), 0, IF(MAX(G$2:G202)=0, 1, IF(ERP資料!A203=INDEX(ERP資料!$A$2:$A202, MATCH(MAX(G$2:G202), G$2:G202, 0)), MAX(G$2:G202)+1, MAX(G$2:G202)+2)))</f>
        <v/>
      </c>
      <c r="H203">
        <f>IF(OR(ERP資料!C203="",ERP資料!D203=""),0,ERP資料!D203-ERP資料!C203+1)</f>
        <v/>
      </c>
    </row>
    <row r="204">
      <c r="A204" t="n">
        <v>204</v>
      </c>
      <c r="B204">
        <f>IF(ERP資料!A204="","",ERP資料!A204&amp;"|"&amp;ERP資料!E204&amp;"|"&amp;ERP資料!F204&amp;"|"&amp;ERP資料!G204&amp;"|"&amp;ERP資料!H204&amp;"|"&amp;ERP資料!O204)</f>
        <v/>
      </c>
      <c r="C204">
        <f>IF(B204="",0,IF(COUNTIF(B$2:B203,B204)=0,1,0))</f>
        <v/>
      </c>
      <c r="D204">
        <f>IF(B204="",0,SUMIFS($H$2:$H$801,$B$2:$B$801,B204))</f>
        <v/>
      </c>
      <c r="E204">
        <f>IF(NOT(AND(C204=1, TRIM(ERP資料!T204)="平板")), 0, IF(MAX(E$2:E203)=0, 1, IF(ERP資料!A204=INDEX(ERP資料!$A$2:$A203, MATCH(MAX(E$2:E203), E$2:E203, 0)), MAX(E$2:E203)+1, MAX(E$2:E203)+2)))</f>
        <v/>
      </c>
      <c r="F204">
        <f>IF(NOT(AND(C204=1, TRIM(ERP資料!T204)="平板")), 0, IF(MAX(F$2:F203)=0, 1, IF(ERP資料!A204=INDEX(ERP資料!$A$2:$A203, MATCH(MAX(F$2:F203), F$2:F203, 0)), MAX(F$2:F203)+1, MAX(F$2:F203)+2)))</f>
        <v/>
      </c>
      <c r="G204">
        <f>IF(NOT(AND(C204=1, TRIM(ERP資料!T204)="捲筒")), 0, IF(MAX(G$2:G203)=0, 1, IF(ERP資料!A204=INDEX(ERP資料!$A$2:$A203, MATCH(MAX(G$2:G203), G$2:G203, 0)), MAX(G$2:G203)+1, MAX(G$2:G203)+2)))</f>
        <v/>
      </c>
      <c r="H204">
        <f>IF(OR(ERP資料!C204="",ERP資料!D204=""),0,ERP資料!D204-ERP資料!C204+1)</f>
        <v/>
      </c>
    </row>
    <row r="205">
      <c r="A205" t="n">
        <v>205</v>
      </c>
      <c r="B205">
        <f>IF(ERP資料!A205="","",ERP資料!A205&amp;"|"&amp;ERP資料!E205&amp;"|"&amp;ERP資料!F205&amp;"|"&amp;ERP資料!G205&amp;"|"&amp;ERP資料!H205&amp;"|"&amp;ERP資料!O205)</f>
        <v/>
      </c>
      <c r="C205">
        <f>IF(B205="",0,IF(COUNTIF(B$2:B204,B205)=0,1,0))</f>
        <v/>
      </c>
      <c r="D205">
        <f>IF(B205="",0,SUMIFS($H$2:$H$801,$B$2:$B$801,B205))</f>
        <v/>
      </c>
      <c r="E205">
        <f>IF(NOT(AND(C205=1, TRIM(ERP資料!T205)="平板")), 0, IF(MAX(E$2:E204)=0, 1, IF(ERP資料!A205=INDEX(ERP資料!$A$2:$A204, MATCH(MAX(E$2:E204), E$2:E204, 0)), MAX(E$2:E204)+1, MAX(E$2:E204)+2)))</f>
        <v/>
      </c>
      <c r="F205">
        <f>IF(NOT(AND(C205=1, TRIM(ERP資料!T205)="平板")), 0, IF(MAX(F$2:F204)=0, 1, IF(ERP資料!A205=INDEX(ERP資料!$A$2:$A204, MATCH(MAX(F$2:F204), F$2:F204, 0)), MAX(F$2:F204)+1, MAX(F$2:F204)+2)))</f>
        <v/>
      </c>
      <c r="G205">
        <f>IF(NOT(AND(C205=1, TRIM(ERP資料!T205)="捲筒")), 0, IF(MAX(G$2:G204)=0, 1, IF(ERP資料!A205=INDEX(ERP資料!$A$2:$A204, MATCH(MAX(G$2:G204), G$2:G204, 0)), MAX(G$2:G204)+1, MAX(G$2:G204)+2)))</f>
        <v/>
      </c>
      <c r="H205">
        <f>IF(OR(ERP資料!C205="",ERP資料!D205=""),0,ERP資料!D205-ERP資料!C205+1)</f>
        <v/>
      </c>
    </row>
    <row r="206">
      <c r="A206" t="n">
        <v>206</v>
      </c>
      <c r="B206">
        <f>IF(ERP資料!A206="","",ERP資料!A206&amp;"|"&amp;ERP資料!E206&amp;"|"&amp;ERP資料!F206&amp;"|"&amp;ERP資料!G206&amp;"|"&amp;ERP資料!H206&amp;"|"&amp;ERP資料!O206)</f>
        <v/>
      </c>
      <c r="C206">
        <f>IF(B206="",0,IF(COUNTIF(B$2:B205,B206)=0,1,0))</f>
        <v/>
      </c>
      <c r="D206">
        <f>IF(B206="",0,SUMIFS($H$2:$H$801,$B$2:$B$801,B206))</f>
        <v/>
      </c>
      <c r="E206">
        <f>IF(NOT(AND(C206=1, TRIM(ERP資料!T206)="平板")), 0, IF(MAX(E$2:E205)=0, 1, IF(ERP資料!A206=INDEX(ERP資料!$A$2:$A205, MATCH(MAX(E$2:E205), E$2:E205, 0)), MAX(E$2:E205)+1, MAX(E$2:E205)+2)))</f>
        <v/>
      </c>
      <c r="F206">
        <f>IF(NOT(AND(C206=1, TRIM(ERP資料!T206)="平板")), 0, IF(MAX(F$2:F205)=0, 1, IF(ERP資料!A206=INDEX(ERP資料!$A$2:$A205, MATCH(MAX(F$2:F205), F$2:F205, 0)), MAX(F$2:F205)+1, MAX(F$2:F205)+2)))</f>
        <v/>
      </c>
      <c r="G206">
        <f>IF(NOT(AND(C206=1, TRIM(ERP資料!T206)="捲筒")), 0, IF(MAX(G$2:G205)=0, 1, IF(ERP資料!A206=INDEX(ERP資料!$A$2:$A205, MATCH(MAX(G$2:G205), G$2:G205, 0)), MAX(G$2:G205)+1, MAX(G$2:G205)+2)))</f>
        <v/>
      </c>
      <c r="H206">
        <f>IF(OR(ERP資料!C206="",ERP資料!D206=""),0,ERP資料!D206-ERP資料!C206+1)</f>
        <v/>
      </c>
    </row>
    <row r="207">
      <c r="A207" t="n">
        <v>207</v>
      </c>
      <c r="B207">
        <f>IF(ERP資料!A207="","",ERP資料!A207&amp;"|"&amp;ERP資料!E207&amp;"|"&amp;ERP資料!F207&amp;"|"&amp;ERP資料!G207&amp;"|"&amp;ERP資料!H207&amp;"|"&amp;ERP資料!O207)</f>
        <v/>
      </c>
      <c r="C207">
        <f>IF(B207="",0,IF(COUNTIF(B$2:B206,B207)=0,1,0))</f>
        <v/>
      </c>
      <c r="D207">
        <f>IF(B207="",0,SUMIFS($H$2:$H$801,$B$2:$B$801,B207))</f>
        <v/>
      </c>
      <c r="E207">
        <f>IF(NOT(AND(C207=1, TRIM(ERP資料!T207)="平板")), 0, IF(MAX(E$2:E206)=0, 1, IF(ERP資料!A207=INDEX(ERP資料!$A$2:$A206, MATCH(MAX(E$2:E206), E$2:E206, 0)), MAX(E$2:E206)+1, MAX(E$2:E206)+2)))</f>
        <v/>
      </c>
      <c r="F207">
        <f>IF(NOT(AND(C207=1, TRIM(ERP資料!T207)="平板")), 0, IF(MAX(F$2:F206)=0, 1, IF(ERP資料!A207=INDEX(ERP資料!$A$2:$A206, MATCH(MAX(F$2:F206), F$2:F206, 0)), MAX(F$2:F206)+1, MAX(F$2:F206)+2)))</f>
        <v/>
      </c>
      <c r="G207">
        <f>IF(NOT(AND(C207=1, TRIM(ERP資料!T207)="捲筒")), 0, IF(MAX(G$2:G206)=0, 1, IF(ERP資料!A207=INDEX(ERP資料!$A$2:$A206, MATCH(MAX(G$2:G206), G$2:G206, 0)), MAX(G$2:G206)+1, MAX(G$2:G206)+2)))</f>
        <v/>
      </c>
      <c r="H207">
        <f>IF(OR(ERP資料!C207="",ERP資料!D207=""),0,ERP資料!D207-ERP資料!C207+1)</f>
        <v/>
      </c>
    </row>
    <row r="208">
      <c r="A208" t="n">
        <v>208</v>
      </c>
      <c r="B208">
        <f>IF(ERP資料!A208="","",ERP資料!A208&amp;"|"&amp;ERP資料!E208&amp;"|"&amp;ERP資料!F208&amp;"|"&amp;ERP資料!G208&amp;"|"&amp;ERP資料!H208&amp;"|"&amp;ERP資料!O208)</f>
        <v/>
      </c>
      <c r="C208">
        <f>IF(B208="",0,IF(COUNTIF(B$2:B207,B208)=0,1,0))</f>
        <v/>
      </c>
      <c r="D208">
        <f>IF(B208="",0,SUMIFS($H$2:$H$801,$B$2:$B$801,B208))</f>
        <v/>
      </c>
      <c r="E208">
        <f>IF(NOT(AND(C208=1, TRIM(ERP資料!T208)="平板")), 0, IF(MAX(E$2:E207)=0, 1, IF(ERP資料!A208=INDEX(ERP資料!$A$2:$A207, MATCH(MAX(E$2:E207), E$2:E207, 0)), MAX(E$2:E207)+1, MAX(E$2:E207)+2)))</f>
        <v/>
      </c>
      <c r="F208">
        <f>IF(NOT(AND(C208=1, TRIM(ERP資料!T208)="平板")), 0, IF(MAX(F$2:F207)=0, 1, IF(ERP資料!A208=INDEX(ERP資料!$A$2:$A207, MATCH(MAX(F$2:F207), F$2:F207, 0)), MAX(F$2:F207)+1, MAX(F$2:F207)+2)))</f>
        <v/>
      </c>
      <c r="G208">
        <f>IF(NOT(AND(C208=1, TRIM(ERP資料!T208)="捲筒")), 0, IF(MAX(G$2:G207)=0, 1, IF(ERP資料!A208=INDEX(ERP資料!$A$2:$A207, MATCH(MAX(G$2:G207), G$2:G207, 0)), MAX(G$2:G207)+1, MAX(G$2:G207)+2)))</f>
        <v/>
      </c>
      <c r="H208">
        <f>IF(OR(ERP資料!C208="",ERP資料!D208=""),0,ERP資料!D208-ERP資料!C208+1)</f>
        <v/>
      </c>
    </row>
    <row r="209">
      <c r="A209" t="n">
        <v>209</v>
      </c>
      <c r="B209">
        <f>IF(ERP資料!A209="","",ERP資料!A209&amp;"|"&amp;ERP資料!E209&amp;"|"&amp;ERP資料!F209&amp;"|"&amp;ERP資料!G209&amp;"|"&amp;ERP資料!H209&amp;"|"&amp;ERP資料!O209)</f>
        <v/>
      </c>
      <c r="C209">
        <f>IF(B209="",0,IF(COUNTIF(B$2:B208,B209)=0,1,0))</f>
        <v/>
      </c>
      <c r="D209">
        <f>IF(B209="",0,SUMIFS($H$2:$H$801,$B$2:$B$801,B209))</f>
        <v/>
      </c>
      <c r="E209">
        <f>IF(NOT(AND(C209=1, TRIM(ERP資料!T209)="平板")), 0, IF(MAX(E$2:E208)=0, 1, IF(ERP資料!A209=INDEX(ERP資料!$A$2:$A208, MATCH(MAX(E$2:E208), E$2:E208, 0)), MAX(E$2:E208)+1, MAX(E$2:E208)+2)))</f>
        <v/>
      </c>
      <c r="F209">
        <f>IF(NOT(AND(C209=1, TRIM(ERP資料!T209)="平板")), 0, IF(MAX(F$2:F208)=0, 1, IF(ERP資料!A209=INDEX(ERP資料!$A$2:$A208, MATCH(MAX(F$2:F208), F$2:F208, 0)), MAX(F$2:F208)+1, MAX(F$2:F208)+2)))</f>
        <v/>
      </c>
      <c r="G209">
        <f>IF(NOT(AND(C209=1, TRIM(ERP資料!T209)="捲筒")), 0, IF(MAX(G$2:G208)=0, 1, IF(ERP資料!A209=INDEX(ERP資料!$A$2:$A208, MATCH(MAX(G$2:G208), G$2:G208, 0)), MAX(G$2:G208)+1, MAX(G$2:G208)+2)))</f>
        <v/>
      </c>
      <c r="H209">
        <f>IF(OR(ERP資料!C209="",ERP資料!D209=""),0,ERP資料!D209-ERP資料!C209+1)</f>
        <v/>
      </c>
    </row>
    <row r="210">
      <c r="A210" t="n">
        <v>210</v>
      </c>
      <c r="B210">
        <f>IF(ERP資料!A210="","",ERP資料!A210&amp;"|"&amp;ERP資料!E210&amp;"|"&amp;ERP資料!F210&amp;"|"&amp;ERP資料!G210&amp;"|"&amp;ERP資料!H210&amp;"|"&amp;ERP資料!O210)</f>
        <v/>
      </c>
      <c r="C210">
        <f>IF(B210="",0,IF(COUNTIF(B$2:B209,B210)=0,1,0))</f>
        <v/>
      </c>
      <c r="D210">
        <f>IF(B210="",0,SUMIFS($H$2:$H$801,$B$2:$B$801,B210))</f>
        <v/>
      </c>
      <c r="E210">
        <f>IF(NOT(AND(C210=1, TRIM(ERP資料!T210)="平板")), 0, IF(MAX(E$2:E209)=0, 1, IF(ERP資料!A210=INDEX(ERP資料!$A$2:$A209, MATCH(MAX(E$2:E209), E$2:E209, 0)), MAX(E$2:E209)+1, MAX(E$2:E209)+2)))</f>
        <v/>
      </c>
      <c r="F210">
        <f>IF(NOT(AND(C210=1, TRIM(ERP資料!T210)="平板")), 0, IF(MAX(F$2:F209)=0, 1, IF(ERP資料!A210=INDEX(ERP資料!$A$2:$A209, MATCH(MAX(F$2:F209), F$2:F209, 0)), MAX(F$2:F209)+1, MAX(F$2:F209)+2)))</f>
        <v/>
      </c>
      <c r="G210">
        <f>IF(NOT(AND(C210=1, TRIM(ERP資料!T210)="捲筒")), 0, IF(MAX(G$2:G209)=0, 1, IF(ERP資料!A210=INDEX(ERP資料!$A$2:$A209, MATCH(MAX(G$2:G209), G$2:G209, 0)), MAX(G$2:G209)+1, MAX(G$2:G209)+2)))</f>
        <v/>
      </c>
      <c r="H210">
        <f>IF(OR(ERP資料!C210="",ERP資料!D210=""),0,ERP資料!D210-ERP資料!C210+1)</f>
        <v/>
      </c>
    </row>
    <row r="211">
      <c r="A211" t="n">
        <v>211</v>
      </c>
      <c r="B211">
        <f>IF(ERP資料!A211="","",ERP資料!A211&amp;"|"&amp;ERP資料!E211&amp;"|"&amp;ERP資料!F211&amp;"|"&amp;ERP資料!G211&amp;"|"&amp;ERP資料!H211&amp;"|"&amp;ERP資料!O211)</f>
        <v/>
      </c>
      <c r="C211">
        <f>IF(B211="",0,IF(COUNTIF(B$2:B210,B211)=0,1,0))</f>
        <v/>
      </c>
      <c r="D211">
        <f>IF(B211="",0,SUMIFS($H$2:$H$801,$B$2:$B$801,B211))</f>
        <v/>
      </c>
      <c r="E211">
        <f>IF(NOT(AND(C211=1, TRIM(ERP資料!T211)="平板")), 0, IF(MAX(E$2:E210)=0, 1, IF(ERP資料!A211=INDEX(ERP資料!$A$2:$A210, MATCH(MAX(E$2:E210), E$2:E210, 0)), MAX(E$2:E210)+1, MAX(E$2:E210)+2)))</f>
        <v/>
      </c>
      <c r="F211">
        <f>IF(NOT(AND(C211=1, TRIM(ERP資料!T211)="平板")), 0, IF(MAX(F$2:F210)=0, 1, IF(ERP資料!A211=INDEX(ERP資料!$A$2:$A210, MATCH(MAX(F$2:F210), F$2:F210, 0)), MAX(F$2:F210)+1, MAX(F$2:F210)+2)))</f>
        <v/>
      </c>
      <c r="G211">
        <f>IF(NOT(AND(C211=1, TRIM(ERP資料!T211)="捲筒")), 0, IF(MAX(G$2:G210)=0, 1, IF(ERP資料!A211=INDEX(ERP資料!$A$2:$A210, MATCH(MAX(G$2:G210), G$2:G210, 0)), MAX(G$2:G210)+1, MAX(G$2:G210)+2)))</f>
        <v/>
      </c>
      <c r="H211">
        <f>IF(OR(ERP資料!C211="",ERP資料!D211=""),0,ERP資料!D211-ERP資料!C211+1)</f>
        <v/>
      </c>
    </row>
    <row r="212">
      <c r="A212" t="n">
        <v>212</v>
      </c>
      <c r="B212">
        <f>IF(ERP資料!A212="","",ERP資料!A212&amp;"|"&amp;ERP資料!E212&amp;"|"&amp;ERP資料!F212&amp;"|"&amp;ERP資料!G212&amp;"|"&amp;ERP資料!H212&amp;"|"&amp;ERP資料!O212)</f>
        <v/>
      </c>
      <c r="C212">
        <f>IF(B212="",0,IF(COUNTIF(B$2:B211,B212)=0,1,0))</f>
        <v/>
      </c>
      <c r="D212">
        <f>IF(B212="",0,SUMIFS($H$2:$H$801,$B$2:$B$801,B212))</f>
        <v/>
      </c>
      <c r="E212">
        <f>IF(NOT(AND(C212=1, TRIM(ERP資料!T212)="平板")), 0, IF(MAX(E$2:E211)=0, 1, IF(ERP資料!A212=INDEX(ERP資料!$A$2:$A211, MATCH(MAX(E$2:E211), E$2:E211, 0)), MAX(E$2:E211)+1, MAX(E$2:E211)+2)))</f>
        <v/>
      </c>
      <c r="F212">
        <f>IF(NOT(AND(C212=1, TRIM(ERP資料!T212)="平板")), 0, IF(MAX(F$2:F211)=0, 1, IF(ERP資料!A212=INDEX(ERP資料!$A$2:$A211, MATCH(MAX(F$2:F211), F$2:F211, 0)), MAX(F$2:F211)+1, MAX(F$2:F211)+2)))</f>
        <v/>
      </c>
      <c r="G212">
        <f>IF(NOT(AND(C212=1, TRIM(ERP資料!T212)="捲筒")), 0, IF(MAX(G$2:G211)=0, 1, IF(ERP資料!A212=INDEX(ERP資料!$A$2:$A211, MATCH(MAX(G$2:G211), G$2:G211, 0)), MAX(G$2:G211)+1, MAX(G$2:G211)+2)))</f>
        <v/>
      </c>
      <c r="H212">
        <f>IF(OR(ERP資料!C212="",ERP資料!D212=""),0,ERP資料!D212-ERP資料!C212+1)</f>
        <v/>
      </c>
    </row>
    <row r="213">
      <c r="A213" t="n">
        <v>213</v>
      </c>
      <c r="B213">
        <f>IF(ERP資料!A213="","",ERP資料!A213&amp;"|"&amp;ERP資料!E213&amp;"|"&amp;ERP資料!F213&amp;"|"&amp;ERP資料!G213&amp;"|"&amp;ERP資料!H213&amp;"|"&amp;ERP資料!O213)</f>
        <v/>
      </c>
      <c r="C213">
        <f>IF(B213="",0,IF(COUNTIF(B$2:B212,B213)=0,1,0))</f>
        <v/>
      </c>
      <c r="D213">
        <f>IF(B213="",0,SUMIFS($H$2:$H$801,$B$2:$B$801,B213))</f>
        <v/>
      </c>
      <c r="E213">
        <f>IF(NOT(AND(C213=1, TRIM(ERP資料!T213)="平板")), 0, IF(MAX(E$2:E212)=0, 1, IF(ERP資料!A213=INDEX(ERP資料!$A$2:$A212, MATCH(MAX(E$2:E212), E$2:E212, 0)), MAX(E$2:E212)+1, MAX(E$2:E212)+2)))</f>
        <v/>
      </c>
      <c r="F213">
        <f>IF(NOT(AND(C213=1, TRIM(ERP資料!T213)="平板")), 0, IF(MAX(F$2:F212)=0, 1, IF(ERP資料!A213=INDEX(ERP資料!$A$2:$A212, MATCH(MAX(F$2:F212), F$2:F212, 0)), MAX(F$2:F212)+1, MAX(F$2:F212)+2)))</f>
        <v/>
      </c>
      <c r="G213">
        <f>IF(NOT(AND(C213=1, TRIM(ERP資料!T213)="捲筒")), 0, IF(MAX(G$2:G212)=0, 1, IF(ERP資料!A213=INDEX(ERP資料!$A$2:$A212, MATCH(MAX(G$2:G212), G$2:G212, 0)), MAX(G$2:G212)+1, MAX(G$2:G212)+2)))</f>
        <v/>
      </c>
      <c r="H213">
        <f>IF(OR(ERP資料!C213="",ERP資料!D213=""),0,ERP資料!D213-ERP資料!C213+1)</f>
        <v/>
      </c>
    </row>
    <row r="214">
      <c r="A214" t="n">
        <v>214</v>
      </c>
      <c r="B214">
        <f>IF(ERP資料!A214="","",ERP資料!A214&amp;"|"&amp;ERP資料!E214&amp;"|"&amp;ERP資料!F214&amp;"|"&amp;ERP資料!G214&amp;"|"&amp;ERP資料!H214&amp;"|"&amp;ERP資料!O214)</f>
        <v/>
      </c>
      <c r="C214">
        <f>IF(B214="",0,IF(COUNTIF(B$2:B213,B214)=0,1,0))</f>
        <v/>
      </c>
      <c r="D214">
        <f>IF(B214="",0,SUMIFS($H$2:$H$801,$B$2:$B$801,B214))</f>
        <v/>
      </c>
      <c r="E214">
        <f>IF(NOT(AND(C214=1, TRIM(ERP資料!T214)="平板")), 0, IF(MAX(E$2:E213)=0, 1, IF(ERP資料!A214=INDEX(ERP資料!$A$2:$A213, MATCH(MAX(E$2:E213), E$2:E213, 0)), MAX(E$2:E213)+1, MAX(E$2:E213)+2)))</f>
        <v/>
      </c>
      <c r="F214">
        <f>IF(NOT(AND(C214=1, TRIM(ERP資料!T214)="平板")), 0, IF(MAX(F$2:F213)=0, 1, IF(ERP資料!A214=INDEX(ERP資料!$A$2:$A213, MATCH(MAX(F$2:F213), F$2:F213, 0)), MAX(F$2:F213)+1, MAX(F$2:F213)+2)))</f>
        <v/>
      </c>
      <c r="G214">
        <f>IF(NOT(AND(C214=1, TRIM(ERP資料!T214)="捲筒")), 0, IF(MAX(G$2:G213)=0, 1, IF(ERP資料!A214=INDEX(ERP資料!$A$2:$A213, MATCH(MAX(G$2:G213), G$2:G213, 0)), MAX(G$2:G213)+1, MAX(G$2:G213)+2)))</f>
        <v/>
      </c>
      <c r="H214">
        <f>IF(OR(ERP資料!C214="",ERP資料!D214=""),0,ERP資料!D214-ERP資料!C214+1)</f>
        <v/>
      </c>
    </row>
    <row r="215">
      <c r="A215" t="n">
        <v>215</v>
      </c>
      <c r="B215">
        <f>IF(ERP資料!A215="","",ERP資料!A215&amp;"|"&amp;ERP資料!E215&amp;"|"&amp;ERP資料!F215&amp;"|"&amp;ERP資料!G215&amp;"|"&amp;ERP資料!H215&amp;"|"&amp;ERP資料!O215)</f>
        <v/>
      </c>
      <c r="C215">
        <f>IF(B215="",0,IF(COUNTIF(B$2:B214,B215)=0,1,0))</f>
        <v/>
      </c>
      <c r="D215">
        <f>IF(B215="",0,SUMIFS($H$2:$H$801,$B$2:$B$801,B215))</f>
        <v/>
      </c>
      <c r="E215">
        <f>IF(NOT(AND(C215=1, TRIM(ERP資料!T215)="平板")), 0, IF(MAX(E$2:E214)=0, 1, IF(ERP資料!A215=INDEX(ERP資料!$A$2:$A214, MATCH(MAX(E$2:E214), E$2:E214, 0)), MAX(E$2:E214)+1, MAX(E$2:E214)+2)))</f>
        <v/>
      </c>
      <c r="F215">
        <f>IF(NOT(AND(C215=1, TRIM(ERP資料!T215)="平板")), 0, IF(MAX(F$2:F214)=0, 1, IF(ERP資料!A215=INDEX(ERP資料!$A$2:$A214, MATCH(MAX(F$2:F214), F$2:F214, 0)), MAX(F$2:F214)+1, MAX(F$2:F214)+2)))</f>
        <v/>
      </c>
      <c r="G215">
        <f>IF(NOT(AND(C215=1, TRIM(ERP資料!T215)="捲筒")), 0, IF(MAX(G$2:G214)=0, 1, IF(ERP資料!A215=INDEX(ERP資料!$A$2:$A214, MATCH(MAX(G$2:G214), G$2:G214, 0)), MAX(G$2:G214)+1, MAX(G$2:G214)+2)))</f>
        <v/>
      </c>
      <c r="H215">
        <f>IF(OR(ERP資料!C215="",ERP資料!D215=""),0,ERP資料!D215-ERP資料!C215+1)</f>
        <v/>
      </c>
    </row>
    <row r="216">
      <c r="A216" t="n">
        <v>216</v>
      </c>
      <c r="B216">
        <f>IF(ERP資料!A216="","",ERP資料!A216&amp;"|"&amp;ERP資料!E216&amp;"|"&amp;ERP資料!F216&amp;"|"&amp;ERP資料!G216&amp;"|"&amp;ERP資料!H216&amp;"|"&amp;ERP資料!O216)</f>
        <v/>
      </c>
      <c r="C216">
        <f>IF(B216="",0,IF(COUNTIF(B$2:B215,B216)=0,1,0))</f>
        <v/>
      </c>
      <c r="D216">
        <f>IF(B216="",0,SUMIFS($H$2:$H$801,$B$2:$B$801,B216))</f>
        <v/>
      </c>
      <c r="E216">
        <f>IF(NOT(AND(C216=1, TRIM(ERP資料!T216)="平板")), 0, IF(MAX(E$2:E215)=0, 1, IF(ERP資料!A216=INDEX(ERP資料!$A$2:$A215, MATCH(MAX(E$2:E215), E$2:E215, 0)), MAX(E$2:E215)+1, MAX(E$2:E215)+2)))</f>
        <v/>
      </c>
      <c r="F216">
        <f>IF(NOT(AND(C216=1, TRIM(ERP資料!T216)="平板")), 0, IF(MAX(F$2:F215)=0, 1, IF(ERP資料!A216=INDEX(ERP資料!$A$2:$A215, MATCH(MAX(F$2:F215), F$2:F215, 0)), MAX(F$2:F215)+1, MAX(F$2:F215)+2)))</f>
        <v/>
      </c>
      <c r="G216">
        <f>IF(NOT(AND(C216=1, TRIM(ERP資料!T216)="捲筒")), 0, IF(MAX(G$2:G215)=0, 1, IF(ERP資料!A216=INDEX(ERP資料!$A$2:$A215, MATCH(MAX(G$2:G215), G$2:G215, 0)), MAX(G$2:G215)+1, MAX(G$2:G215)+2)))</f>
        <v/>
      </c>
      <c r="H216">
        <f>IF(OR(ERP資料!C216="",ERP資料!D216=""),0,ERP資料!D216-ERP資料!C216+1)</f>
        <v/>
      </c>
    </row>
    <row r="217">
      <c r="A217" t="n">
        <v>217</v>
      </c>
      <c r="B217">
        <f>IF(ERP資料!A217="","",ERP資料!A217&amp;"|"&amp;ERP資料!E217&amp;"|"&amp;ERP資料!F217&amp;"|"&amp;ERP資料!G217&amp;"|"&amp;ERP資料!H217&amp;"|"&amp;ERP資料!O217)</f>
        <v/>
      </c>
      <c r="C217">
        <f>IF(B217="",0,IF(COUNTIF(B$2:B216,B217)=0,1,0))</f>
        <v/>
      </c>
      <c r="D217">
        <f>IF(B217="",0,SUMIFS($H$2:$H$801,$B$2:$B$801,B217))</f>
        <v/>
      </c>
      <c r="E217">
        <f>IF(NOT(AND(C217=1, TRIM(ERP資料!T217)="平板")), 0, IF(MAX(E$2:E216)=0, 1, IF(ERP資料!A217=INDEX(ERP資料!$A$2:$A216, MATCH(MAX(E$2:E216), E$2:E216, 0)), MAX(E$2:E216)+1, MAX(E$2:E216)+2)))</f>
        <v/>
      </c>
      <c r="F217">
        <f>IF(NOT(AND(C217=1, TRIM(ERP資料!T217)="平板")), 0, IF(MAX(F$2:F216)=0, 1, IF(ERP資料!A217=INDEX(ERP資料!$A$2:$A216, MATCH(MAX(F$2:F216), F$2:F216, 0)), MAX(F$2:F216)+1, MAX(F$2:F216)+2)))</f>
        <v/>
      </c>
      <c r="G217">
        <f>IF(NOT(AND(C217=1, TRIM(ERP資料!T217)="捲筒")), 0, IF(MAX(G$2:G216)=0, 1, IF(ERP資料!A217=INDEX(ERP資料!$A$2:$A216, MATCH(MAX(G$2:G216), G$2:G216, 0)), MAX(G$2:G216)+1, MAX(G$2:G216)+2)))</f>
        <v/>
      </c>
      <c r="H217">
        <f>IF(OR(ERP資料!C217="",ERP資料!D217=""),0,ERP資料!D217-ERP資料!C217+1)</f>
        <v/>
      </c>
    </row>
    <row r="218">
      <c r="A218" t="n">
        <v>218</v>
      </c>
      <c r="B218">
        <f>IF(ERP資料!A218="","",ERP資料!A218&amp;"|"&amp;ERP資料!E218&amp;"|"&amp;ERP資料!F218&amp;"|"&amp;ERP資料!G218&amp;"|"&amp;ERP資料!H218&amp;"|"&amp;ERP資料!O218)</f>
        <v/>
      </c>
      <c r="C218">
        <f>IF(B218="",0,IF(COUNTIF(B$2:B217,B218)=0,1,0))</f>
        <v/>
      </c>
      <c r="D218">
        <f>IF(B218="",0,SUMIFS($H$2:$H$801,$B$2:$B$801,B218))</f>
        <v/>
      </c>
      <c r="E218">
        <f>IF(NOT(AND(C218=1, TRIM(ERP資料!T218)="平板")), 0, IF(MAX(E$2:E217)=0, 1, IF(ERP資料!A218=INDEX(ERP資料!$A$2:$A217, MATCH(MAX(E$2:E217), E$2:E217, 0)), MAX(E$2:E217)+1, MAX(E$2:E217)+2)))</f>
        <v/>
      </c>
      <c r="F218">
        <f>IF(NOT(AND(C218=1, TRIM(ERP資料!T218)="平板")), 0, IF(MAX(F$2:F217)=0, 1, IF(ERP資料!A218=INDEX(ERP資料!$A$2:$A217, MATCH(MAX(F$2:F217), F$2:F217, 0)), MAX(F$2:F217)+1, MAX(F$2:F217)+2)))</f>
        <v/>
      </c>
      <c r="G218">
        <f>IF(NOT(AND(C218=1, TRIM(ERP資料!T218)="捲筒")), 0, IF(MAX(G$2:G217)=0, 1, IF(ERP資料!A218=INDEX(ERP資料!$A$2:$A217, MATCH(MAX(G$2:G217), G$2:G217, 0)), MAX(G$2:G217)+1, MAX(G$2:G217)+2)))</f>
        <v/>
      </c>
      <c r="H218">
        <f>IF(OR(ERP資料!C218="",ERP資料!D218=""),0,ERP資料!D218-ERP資料!C218+1)</f>
        <v/>
      </c>
    </row>
    <row r="219">
      <c r="A219" t="n">
        <v>219</v>
      </c>
      <c r="B219">
        <f>IF(ERP資料!A219="","",ERP資料!A219&amp;"|"&amp;ERP資料!E219&amp;"|"&amp;ERP資料!F219&amp;"|"&amp;ERP資料!G219&amp;"|"&amp;ERP資料!H219&amp;"|"&amp;ERP資料!O219)</f>
        <v/>
      </c>
      <c r="C219">
        <f>IF(B219="",0,IF(COUNTIF(B$2:B218,B219)=0,1,0))</f>
        <v/>
      </c>
      <c r="D219">
        <f>IF(B219="",0,SUMIFS($H$2:$H$801,$B$2:$B$801,B219))</f>
        <v/>
      </c>
      <c r="E219">
        <f>IF(NOT(AND(C219=1, TRIM(ERP資料!T219)="平板")), 0, IF(MAX(E$2:E218)=0, 1, IF(ERP資料!A219=INDEX(ERP資料!$A$2:$A218, MATCH(MAX(E$2:E218), E$2:E218, 0)), MAX(E$2:E218)+1, MAX(E$2:E218)+2)))</f>
        <v/>
      </c>
      <c r="F219">
        <f>IF(NOT(AND(C219=1, TRIM(ERP資料!T219)="平板")), 0, IF(MAX(F$2:F218)=0, 1, IF(ERP資料!A219=INDEX(ERP資料!$A$2:$A218, MATCH(MAX(F$2:F218), F$2:F218, 0)), MAX(F$2:F218)+1, MAX(F$2:F218)+2)))</f>
        <v/>
      </c>
      <c r="G219">
        <f>IF(NOT(AND(C219=1, TRIM(ERP資料!T219)="捲筒")), 0, IF(MAX(G$2:G218)=0, 1, IF(ERP資料!A219=INDEX(ERP資料!$A$2:$A218, MATCH(MAX(G$2:G218), G$2:G218, 0)), MAX(G$2:G218)+1, MAX(G$2:G218)+2)))</f>
        <v/>
      </c>
      <c r="H219">
        <f>IF(OR(ERP資料!C219="",ERP資料!D219=""),0,ERP資料!D219-ERP資料!C219+1)</f>
        <v/>
      </c>
    </row>
    <row r="220">
      <c r="A220" t="n">
        <v>220</v>
      </c>
      <c r="B220">
        <f>IF(ERP資料!A220="","",ERP資料!A220&amp;"|"&amp;ERP資料!E220&amp;"|"&amp;ERP資料!F220&amp;"|"&amp;ERP資料!G220&amp;"|"&amp;ERP資料!H220&amp;"|"&amp;ERP資料!O220)</f>
        <v/>
      </c>
      <c r="C220">
        <f>IF(B220="",0,IF(COUNTIF(B$2:B219,B220)=0,1,0))</f>
        <v/>
      </c>
      <c r="D220">
        <f>IF(B220="",0,SUMIFS($H$2:$H$801,$B$2:$B$801,B220))</f>
        <v/>
      </c>
      <c r="E220">
        <f>IF(NOT(AND(C220=1, TRIM(ERP資料!T220)="平板")), 0, IF(MAX(E$2:E219)=0, 1, IF(ERP資料!A220=INDEX(ERP資料!$A$2:$A219, MATCH(MAX(E$2:E219), E$2:E219, 0)), MAX(E$2:E219)+1, MAX(E$2:E219)+2)))</f>
        <v/>
      </c>
      <c r="F220">
        <f>IF(NOT(AND(C220=1, TRIM(ERP資料!T220)="平板")), 0, IF(MAX(F$2:F219)=0, 1, IF(ERP資料!A220=INDEX(ERP資料!$A$2:$A219, MATCH(MAX(F$2:F219), F$2:F219, 0)), MAX(F$2:F219)+1, MAX(F$2:F219)+2)))</f>
        <v/>
      </c>
      <c r="G220">
        <f>IF(NOT(AND(C220=1, TRIM(ERP資料!T220)="捲筒")), 0, IF(MAX(G$2:G219)=0, 1, IF(ERP資料!A220=INDEX(ERP資料!$A$2:$A219, MATCH(MAX(G$2:G219), G$2:G219, 0)), MAX(G$2:G219)+1, MAX(G$2:G219)+2)))</f>
        <v/>
      </c>
      <c r="H220">
        <f>IF(OR(ERP資料!C220="",ERP資料!D220=""),0,ERP資料!D220-ERP資料!C220+1)</f>
        <v/>
      </c>
    </row>
    <row r="221">
      <c r="A221" t="n">
        <v>221</v>
      </c>
      <c r="B221">
        <f>IF(ERP資料!A221="","",ERP資料!A221&amp;"|"&amp;ERP資料!E221&amp;"|"&amp;ERP資料!F221&amp;"|"&amp;ERP資料!G221&amp;"|"&amp;ERP資料!H221&amp;"|"&amp;ERP資料!O221)</f>
        <v/>
      </c>
      <c r="C221">
        <f>IF(B221="",0,IF(COUNTIF(B$2:B220,B221)=0,1,0))</f>
        <v/>
      </c>
      <c r="D221">
        <f>IF(B221="",0,SUMIFS($H$2:$H$801,$B$2:$B$801,B221))</f>
        <v/>
      </c>
      <c r="E221">
        <f>IF(NOT(AND(C221=1, TRIM(ERP資料!T221)="平板")), 0, IF(MAX(E$2:E220)=0, 1, IF(ERP資料!A221=INDEX(ERP資料!$A$2:$A220, MATCH(MAX(E$2:E220), E$2:E220, 0)), MAX(E$2:E220)+1, MAX(E$2:E220)+2)))</f>
        <v/>
      </c>
      <c r="F221">
        <f>IF(NOT(AND(C221=1, TRIM(ERP資料!T221)="平板")), 0, IF(MAX(F$2:F220)=0, 1, IF(ERP資料!A221=INDEX(ERP資料!$A$2:$A220, MATCH(MAX(F$2:F220), F$2:F220, 0)), MAX(F$2:F220)+1, MAX(F$2:F220)+2)))</f>
        <v/>
      </c>
      <c r="G221">
        <f>IF(NOT(AND(C221=1, TRIM(ERP資料!T221)="捲筒")), 0, IF(MAX(G$2:G220)=0, 1, IF(ERP資料!A221=INDEX(ERP資料!$A$2:$A220, MATCH(MAX(G$2:G220), G$2:G220, 0)), MAX(G$2:G220)+1, MAX(G$2:G220)+2)))</f>
        <v/>
      </c>
      <c r="H221">
        <f>IF(OR(ERP資料!C221="",ERP資料!D221=""),0,ERP資料!D221-ERP資料!C221+1)</f>
        <v/>
      </c>
    </row>
    <row r="222">
      <c r="A222" t="n">
        <v>222</v>
      </c>
      <c r="B222">
        <f>IF(ERP資料!A222="","",ERP資料!A222&amp;"|"&amp;ERP資料!E222&amp;"|"&amp;ERP資料!F222&amp;"|"&amp;ERP資料!G222&amp;"|"&amp;ERP資料!H222&amp;"|"&amp;ERP資料!O222)</f>
        <v/>
      </c>
      <c r="C222">
        <f>IF(B222="",0,IF(COUNTIF(B$2:B221,B222)=0,1,0))</f>
        <v/>
      </c>
      <c r="D222">
        <f>IF(B222="",0,SUMIFS($H$2:$H$801,$B$2:$B$801,B222))</f>
        <v/>
      </c>
      <c r="E222">
        <f>IF(NOT(AND(C222=1, TRIM(ERP資料!T222)="平板")), 0, IF(MAX(E$2:E221)=0, 1, IF(ERP資料!A222=INDEX(ERP資料!$A$2:$A221, MATCH(MAX(E$2:E221), E$2:E221, 0)), MAX(E$2:E221)+1, MAX(E$2:E221)+2)))</f>
        <v/>
      </c>
      <c r="F222">
        <f>IF(NOT(AND(C222=1, TRIM(ERP資料!T222)="平板")), 0, IF(MAX(F$2:F221)=0, 1, IF(ERP資料!A222=INDEX(ERP資料!$A$2:$A221, MATCH(MAX(F$2:F221), F$2:F221, 0)), MAX(F$2:F221)+1, MAX(F$2:F221)+2)))</f>
        <v/>
      </c>
      <c r="G222">
        <f>IF(NOT(AND(C222=1, TRIM(ERP資料!T222)="捲筒")), 0, IF(MAX(G$2:G221)=0, 1, IF(ERP資料!A222=INDEX(ERP資料!$A$2:$A221, MATCH(MAX(G$2:G221), G$2:G221, 0)), MAX(G$2:G221)+1, MAX(G$2:G221)+2)))</f>
        <v/>
      </c>
      <c r="H222">
        <f>IF(OR(ERP資料!C222="",ERP資料!D222=""),0,ERP資料!D222-ERP資料!C222+1)</f>
        <v/>
      </c>
    </row>
    <row r="223">
      <c r="A223" t="n">
        <v>223</v>
      </c>
      <c r="B223">
        <f>IF(ERP資料!A223="","",ERP資料!A223&amp;"|"&amp;ERP資料!E223&amp;"|"&amp;ERP資料!F223&amp;"|"&amp;ERP資料!G223&amp;"|"&amp;ERP資料!H223&amp;"|"&amp;ERP資料!O223)</f>
        <v/>
      </c>
      <c r="C223">
        <f>IF(B223="",0,IF(COUNTIF(B$2:B222,B223)=0,1,0))</f>
        <v/>
      </c>
      <c r="D223">
        <f>IF(B223="",0,SUMIFS($H$2:$H$801,$B$2:$B$801,B223))</f>
        <v/>
      </c>
      <c r="E223">
        <f>IF(NOT(AND(C223=1, TRIM(ERP資料!T223)="平板")), 0, IF(MAX(E$2:E222)=0, 1, IF(ERP資料!A223=INDEX(ERP資料!$A$2:$A222, MATCH(MAX(E$2:E222), E$2:E222, 0)), MAX(E$2:E222)+1, MAX(E$2:E222)+2)))</f>
        <v/>
      </c>
      <c r="F223">
        <f>IF(NOT(AND(C223=1, TRIM(ERP資料!T223)="平板")), 0, IF(MAX(F$2:F222)=0, 1, IF(ERP資料!A223=INDEX(ERP資料!$A$2:$A222, MATCH(MAX(F$2:F222), F$2:F222, 0)), MAX(F$2:F222)+1, MAX(F$2:F222)+2)))</f>
        <v/>
      </c>
      <c r="G223">
        <f>IF(NOT(AND(C223=1, TRIM(ERP資料!T223)="捲筒")), 0, IF(MAX(G$2:G222)=0, 1, IF(ERP資料!A223=INDEX(ERP資料!$A$2:$A222, MATCH(MAX(G$2:G222), G$2:G222, 0)), MAX(G$2:G222)+1, MAX(G$2:G222)+2)))</f>
        <v/>
      </c>
      <c r="H223">
        <f>IF(OR(ERP資料!C223="",ERP資料!D223=""),0,ERP資料!D223-ERP資料!C223+1)</f>
        <v/>
      </c>
    </row>
    <row r="224">
      <c r="A224" t="n">
        <v>224</v>
      </c>
      <c r="B224">
        <f>IF(ERP資料!A224="","",ERP資料!A224&amp;"|"&amp;ERP資料!E224&amp;"|"&amp;ERP資料!F224&amp;"|"&amp;ERP資料!G224&amp;"|"&amp;ERP資料!H224&amp;"|"&amp;ERP資料!O224)</f>
        <v/>
      </c>
      <c r="C224">
        <f>IF(B224="",0,IF(COUNTIF(B$2:B223,B224)=0,1,0))</f>
        <v/>
      </c>
      <c r="D224">
        <f>IF(B224="",0,SUMIFS($H$2:$H$801,$B$2:$B$801,B224))</f>
        <v/>
      </c>
      <c r="E224">
        <f>IF(NOT(AND(C224=1, TRIM(ERP資料!T224)="平板")), 0, IF(MAX(E$2:E223)=0, 1, IF(ERP資料!A224=INDEX(ERP資料!$A$2:$A223, MATCH(MAX(E$2:E223), E$2:E223, 0)), MAX(E$2:E223)+1, MAX(E$2:E223)+2)))</f>
        <v/>
      </c>
      <c r="F224">
        <f>IF(NOT(AND(C224=1, TRIM(ERP資料!T224)="平板")), 0, IF(MAX(F$2:F223)=0, 1, IF(ERP資料!A224=INDEX(ERP資料!$A$2:$A223, MATCH(MAX(F$2:F223), F$2:F223, 0)), MAX(F$2:F223)+1, MAX(F$2:F223)+2)))</f>
        <v/>
      </c>
      <c r="G224">
        <f>IF(NOT(AND(C224=1, TRIM(ERP資料!T224)="捲筒")), 0, IF(MAX(G$2:G223)=0, 1, IF(ERP資料!A224=INDEX(ERP資料!$A$2:$A223, MATCH(MAX(G$2:G223), G$2:G223, 0)), MAX(G$2:G223)+1, MAX(G$2:G223)+2)))</f>
        <v/>
      </c>
      <c r="H224">
        <f>IF(OR(ERP資料!C224="",ERP資料!D224=""),0,ERP資料!D224-ERP資料!C224+1)</f>
        <v/>
      </c>
    </row>
    <row r="225">
      <c r="A225" t="n">
        <v>225</v>
      </c>
      <c r="B225">
        <f>IF(ERP資料!A225="","",ERP資料!A225&amp;"|"&amp;ERP資料!E225&amp;"|"&amp;ERP資料!F225&amp;"|"&amp;ERP資料!G225&amp;"|"&amp;ERP資料!H225&amp;"|"&amp;ERP資料!O225)</f>
        <v/>
      </c>
      <c r="C225">
        <f>IF(B225="",0,IF(COUNTIF(B$2:B224,B225)=0,1,0))</f>
        <v/>
      </c>
      <c r="D225">
        <f>IF(B225="",0,SUMIFS($H$2:$H$801,$B$2:$B$801,B225))</f>
        <v/>
      </c>
      <c r="E225">
        <f>IF(NOT(AND(C225=1, TRIM(ERP資料!T225)="平板")), 0, IF(MAX(E$2:E224)=0, 1, IF(ERP資料!A225=INDEX(ERP資料!$A$2:$A224, MATCH(MAX(E$2:E224), E$2:E224, 0)), MAX(E$2:E224)+1, MAX(E$2:E224)+2)))</f>
        <v/>
      </c>
      <c r="F225">
        <f>IF(NOT(AND(C225=1, TRIM(ERP資料!T225)="平板")), 0, IF(MAX(F$2:F224)=0, 1, IF(ERP資料!A225=INDEX(ERP資料!$A$2:$A224, MATCH(MAX(F$2:F224), F$2:F224, 0)), MAX(F$2:F224)+1, MAX(F$2:F224)+2)))</f>
        <v/>
      </c>
      <c r="G225">
        <f>IF(NOT(AND(C225=1, TRIM(ERP資料!T225)="捲筒")), 0, IF(MAX(G$2:G224)=0, 1, IF(ERP資料!A225=INDEX(ERP資料!$A$2:$A224, MATCH(MAX(G$2:G224), G$2:G224, 0)), MAX(G$2:G224)+1, MAX(G$2:G224)+2)))</f>
        <v/>
      </c>
      <c r="H225">
        <f>IF(OR(ERP資料!C225="",ERP資料!D225=""),0,ERP資料!D225-ERP資料!C225+1)</f>
        <v/>
      </c>
    </row>
    <row r="226">
      <c r="A226" t="n">
        <v>226</v>
      </c>
      <c r="B226">
        <f>IF(ERP資料!A226="","",ERP資料!A226&amp;"|"&amp;ERP資料!E226&amp;"|"&amp;ERP資料!F226&amp;"|"&amp;ERP資料!G226&amp;"|"&amp;ERP資料!H226&amp;"|"&amp;ERP資料!O226)</f>
        <v/>
      </c>
      <c r="C226">
        <f>IF(B226="",0,IF(COUNTIF(B$2:B225,B226)=0,1,0))</f>
        <v/>
      </c>
      <c r="D226">
        <f>IF(B226="",0,SUMIFS($H$2:$H$801,$B$2:$B$801,B226))</f>
        <v/>
      </c>
      <c r="E226">
        <f>IF(NOT(AND(C226=1, TRIM(ERP資料!T226)="平板")), 0, IF(MAX(E$2:E225)=0, 1, IF(ERP資料!A226=INDEX(ERP資料!$A$2:$A225, MATCH(MAX(E$2:E225), E$2:E225, 0)), MAX(E$2:E225)+1, MAX(E$2:E225)+2)))</f>
        <v/>
      </c>
      <c r="F226">
        <f>IF(NOT(AND(C226=1, TRIM(ERP資料!T226)="平板")), 0, IF(MAX(F$2:F225)=0, 1, IF(ERP資料!A226=INDEX(ERP資料!$A$2:$A225, MATCH(MAX(F$2:F225), F$2:F225, 0)), MAX(F$2:F225)+1, MAX(F$2:F225)+2)))</f>
        <v/>
      </c>
      <c r="G226">
        <f>IF(NOT(AND(C226=1, TRIM(ERP資料!T226)="捲筒")), 0, IF(MAX(G$2:G225)=0, 1, IF(ERP資料!A226=INDEX(ERP資料!$A$2:$A225, MATCH(MAX(G$2:G225), G$2:G225, 0)), MAX(G$2:G225)+1, MAX(G$2:G225)+2)))</f>
        <v/>
      </c>
      <c r="H226">
        <f>IF(OR(ERP資料!C226="",ERP資料!D226=""),0,ERP資料!D226-ERP資料!C226+1)</f>
        <v/>
      </c>
    </row>
    <row r="227">
      <c r="A227" t="n">
        <v>227</v>
      </c>
      <c r="B227">
        <f>IF(ERP資料!A227="","",ERP資料!A227&amp;"|"&amp;ERP資料!E227&amp;"|"&amp;ERP資料!F227&amp;"|"&amp;ERP資料!G227&amp;"|"&amp;ERP資料!H227&amp;"|"&amp;ERP資料!O227)</f>
        <v/>
      </c>
      <c r="C227">
        <f>IF(B227="",0,IF(COUNTIF(B$2:B226,B227)=0,1,0))</f>
        <v/>
      </c>
      <c r="D227">
        <f>IF(B227="",0,SUMIFS($H$2:$H$801,$B$2:$B$801,B227))</f>
        <v/>
      </c>
      <c r="E227">
        <f>IF(NOT(AND(C227=1, TRIM(ERP資料!T227)="平板")), 0, IF(MAX(E$2:E226)=0, 1, IF(ERP資料!A227=INDEX(ERP資料!$A$2:$A226, MATCH(MAX(E$2:E226), E$2:E226, 0)), MAX(E$2:E226)+1, MAX(E$2:E226)+2)))</f>
        <v/>
      </c>
      <c r="F227">
        <f>IF(NOT(AND(C227=1, TRIM(ERP資料!T227)="平板")), 0, IF(MAX(F$2:F226)=0, 1, IF(ERP資料!A227=INDEX(ERP資料!$A$2:$A226, MATCH(MAX(F$2:F226), F$2:F226, 0)), MAX(F$2:F226)+1, MAX(F$2:F226)+2)))</f>
        <v/>
      </c>
      <c r="G227">
        <f>IF(NOT(AND(C227=1, TRIM(ERP資料!T227)="捲筒")), 0, IF(MAX(G$2:G226)=0, 1, IF(ERP資料!A227=INDEX(ERP資料!$A$2:$A226, MATCH(MAX(G$2:G226), G$2:G226, 0)), MAX(G$2:G226)+1, MAX(G$2:G226)+2)))</f>
        <v/>
      </c>
      <c r="H227">
        <f>IF(OR(ERP資料!C227="",ERP資料!D227=""),0,ERP資料!D227-ERP資料!C227+1)</f>
        <v/>
      </c>
    </row>
    <row r="228">
      <c r="A228" t="n">
        <v>228</v>
      </c>
      <c r="B228">
        <f>IF(ERP資料!A228="","",ERP資料!A228&amp;"|"&amp;ERP資料!E228&amp;"|"&amp;ERP資料!F228&amp;"|"&amp;ERP資料!G228&amp;"|"&amp;ERP資料!H228&amp;"|"&amp;ERP資料!O228)</f>
        <v/>
      </c>
      <c r="C228">
        <f>IF(B228="",0,IF(COUNTIF(B$2:B227,B228)=0,1,0))</f>
        <v/>
      </c>
      <c r="D228">
        <f>IF(B228="",0,SUMIFS($H$2:$H$801,$B$2:$B$801,B228))</f>
        <v/>
      </c>
      <c r="E228">
        <f>IF(NOT(AND(C228=1, TRIM(ERP資料!T228)="平板")), 0, IF(MAX(E$2:E227)=0, 1, IF(ERP資料!A228=INDEX(ERP資料!$A$2:$A227, MATCH(MAX(E$2:E227), E$2:E227, 0)), MAX(E$2:E227)+1, MAX(E$2:E227)+2)))</f>
        <v/>
      </c>
      <c r="F228">
        <f>IF(NOT(AND(C228=1, TRIM(ERP資料!T228)="平板")), 0, IF(MAX(F$2:F227)=0, 1, IF(ERP資料!A228=INDEX(ERP資料!$A$2:$A227, MATCH(MAX(F$2:F227), F$2:F227, 0)), MAX(F$2:F227)+1, MAX(F$2:F227)+2)))</f>
        <v/>
      </c>
      <c r="G228">
        <f>IF(NOT(AND(C228=1, TRIM(ERP資料!T228)="捲筒")), 0, IF(MAX(G$2:G227)=0, 1, IF(ERP資料!A228=INDEX(ERP資料!$A$2:$A227, MATCH(MAX(G$2:G227), G$2:G227, 0)), MAX(G$2:G227)+1, MAX(G$2:G227)+2)))</f>
        <v/>
      </c>
      <c r="H228">
        <f>IF(OR(ERP資料!C228="",ERP資料!D228=""),0,ERP資料!D228-ERP資料!C228+1)</f>
        <v/>
      </c>
    </row>
    <row r="229">
      <c r="A229" t="n">
        <v>229</v>
      </c>
      <c r="B229">
        <f>IF(ERP資料!A229="","",ERP資料!A229&amp;"|"&amp;ERP資料!E229&amp;"|"&amp;ERP資料!F229&amp;"|"&amp;ERP資料!G229&amp;"|"&amp;ERP資料!H229&amp;"|"&amp;ERP資料!O229)</f>
        <v/>
      </c>
      <c r="C229">
        <f>IF(B229="",0,IF(COUNTIF(B$2:B228,B229)=0,1,0))</f>
        <v/>
      </c>
      <c r="D229">
        <f>IF(B229="",0,SUMIFS($H$2:$H$801,$B$2:$B$801,B229))</f>
        <v/>
      </c>
      <c r="E229">
        <f>IF(NOT(AND(C229=1, TRIM(ERP資料!T229)="平板")), 0, IF(MAX(E$2:E228)=0, 1, IF(ERP資料!A229=INDEX(ERP資料!$A$2:$A228, MATCH(MAX(E$2:E228), E$2:E228, 0)), MAX(E$2:E228)+1, MAX(E$2:E228)+2)))</f>
        <v/>
      </c>
      <c r="F229">
        <f>IF(NOT(AND(C229=1, TRIM(ERP資料!T229)="平板")), 0, IF(MAX(F$2:F228)=0, 1, IF(ERP資料!A229=INDEX(ERP資料!$A$2:$A228, MATCH(MAX(F$2:F228), F$2:F228, 0)), MAX(F$2:F228)+1, MAX(F$2:F228)+2)))</f>
        <v/>
      </c>
      <c r="G229">
        <f>IF(NOT(AND(C229=1, TRIM(ERP資料!T229)="捲筒")), 0, IF(MAX(G$2:G228)=0, 1, IF(ERP資料!A229=INDEX(ERP資料!$A$2:$A228, MATCH(MAX(G$2:G228), G$2:G228, 0)), MAX(G$2:G228)+1, MAX(G$2:G228)+2)))</f>
        <v/>
      </c>
      <c r="H229">
        <f>IF(OR(ERP資料!C229="",ERP資料!D229=""),0,ERP資料!D229-ERP資料!C229+1)</f>
        <v/>
      </c>
    </row>
    <row r="230">
      <c r="A230" t="n">
        <v>230</v>
      </c>
      <c r="B230">
        <f>IF(ERP資料!A230="","",ERP資料!A230&amp;"|"&amp;ERP資料!E230&amp;"|"&amp;ERP資料!F230&amp;"|"&amp;ERP資料!G230&amp;"|"&amp;ERP資料!H230&amp;"|"&amp;ERP資料!O230)</f>
        <v/>
      </c>
      <c r="C230">
        <f>IF(B230="",0,IF(COUNTIF(B$2:B229,B230)=0,1,0))</f>
        <v/>
      </c>
      <c r="D230">
        <f>IF(B230="",0,SUMIFS($H$2:$H$801,$B$2:$B$801,B230))</f>
        <v/>
      </c>
      <c r="E230">
        <f>IF(NOT(AND(C230=1, TRIM(ERP資料!T230)="平板")), 0, IF(MAX(E$2:E229)=0, 1, IF(ERP資料!A230=INDEX(ERP資料!$A$2:$A229, MATCH(MAX(E$2:E229), E$2:E229, 0)), MAX(E$2:E229)+1, MAX(E$2:E229)+2)))</f>
        <v/>
      </c>
      <c r="F230">
        <f>IF(NOT(AND(C230=1, TRIM(ERP資料!T230)="平板")), 0, IF(MAX(F$2:F229)=0, 1, IF(ERP資料!A230=INDEX(ERP資料!$A$2:$A229, MATCH(MAX(F$2:F229), F$2:F229, 0)), MAX(F$2:F229)+1, MAX(F$2:F229)+2)))</f>
        <v/>
      </c>
      <c r="G230">
        <f>IF(NOT(AND(C230=1, TRIM(ERP資料!T230)="捲筒")), 0, IF(MAX(G$2:G229)=0, 1, IF(ERP資料!A230=INDEX(ERP資料!$A$2:$A229, MATCH(MAX(G$2:G229), G$2:G229, 0)), MAX(G$2:G229)+1, MAX(G$2:G229)+2)))</f>
        <v/>
      </c>
      <c r="H230">
        <f>IF(OR(ERP資料!C230="",ERP資料!D230=""),0,ERP資料!D230-ERP資料!C230+1)</f>
        <v/>
      </c>
    </row>
    <row r="231">
      <c r="A231" t="n">
        <v>231</v>
      </c>
      <c r="B231">
        <f>IF(ERP資料!A231="","",ERP資料!A231&amp;"|"&amp;ERP資料!E231&amp;"|"&amp;ERP資料!F231&amp;"|"&amp;ERP資料!G231&amp;"|"&amp;ERP資料!H231&amp;"|"&amp;ERP資料!O231)</f>
        <v/>
      </c>
      <c r="C231">
        <f>IF(B231="",0,IF(COUNTIF(B$2:B230,B231)=0,1,0))</f>
        <v/>
      </c>
      <c r="D231">
        <f>IF(B231="",0,SUMIFS($H$2:$H$801,$B$2:$B$801,B231))</f>
        <v/>
      </c>
      <c r="E231">
        <f>IF(NOT(AND(C231=1, TRIM(ERP資料!T231)="平板")), 0, IF(MAX(E$2:E230)=0, 1, IF(ERP資料!A231=INDEX(ERP資料!$A$2:$A230, MATCH(MAX(E$2:E230), E$2:E230, 0)), MAX(E$2:E230)+1, MAX(E$2:E230)+2)))</f>
        <v/>
      </c>
      <c r="F231">
        <f>IF(NOT(AND(C231=1, TRIM(ERP資料!T231)="平板")), 0, IF(MAX(F$2:F230)=0, 1, IF(ERP資料!A231=INDEX(ERP資料!$A$2:$A230, MATCH(MAX(F$2:F230), F$2:F230, 0)), MAX(F$2:F230)+1, MAX(F$2:F230)+2)))</f>
        <v/>
      </c>
      <c r="G231">
        <f>IF(NOT(AND(C231=1, TRIM(ERP資料!T231)="捲筒")), 0, IF(MAX(G$2:G230)=0, 1, IF(ERP資料!A231=INDEX(ERP資料!$A$2:$A230, MATCH(MAX(G$2:G230), G$2:G230, 0)), MAX(G$2:G230)+1, MAX(G$2:G230)+2)))</f>
        <v/>
      </c>
      <c r="H231">
        <f>IF(OR(ERP資料!C231="",ERP資料!D231=""),0,ERP資料!D231-ERP資料!C231+1)</f>
        <v/>
      </c>
    </row>
    <row r="232">
      <c r="A232" t="n">
        <v>232</v>
      </c>
      <c r="B232">
        <f>IF(ERP資料!A232="","",ERP資料!A232&amp;"|"&amp;ERP資料!E232&amp;"|"&amp;ERP資料!F232&amp;"|"&amp;ERP資料!G232&amp;"|"&amp;ERP資料!H232&amp;"|"&amp;ERP資料!O232)</f>
        <v/>
      </c>
      <c r="C232">
        <f>IF(B232="",0,IF(COUNTIF(B$2:B231,B232)=0,1,0))</f>
        <v/>
      </c>
      <c r="D232">
        <f>IF(B232="",0,SUMIFS($H$2:$H$801,$B$2:$B$801,B232))</f>
        <v/>
      </c>
      <c r="E232">
        <f>IF(NOT(AND(C232=1, TRIM(ERP資料!T232)="平板")), 0, IF(MAX(E$2:E231)=0, 1, IF(ERP資料!A232=INDEX(ERP資料!$A$2:$A231, MATCH(MAX(E$2:E231), E$2:E231, 0)), MAX(E$2:E231)+1, MAX(E$2:E231)+2)))</f>
        <v/>
      </c>
      <c r="F232">
        <f>IF(NOT(AND(C232=1, TRIM(ERP資料!T232)="平板")), 0, IF(MAX(F$2:F231)=0, 1, IF(ERP資料!A232=INDEX(ERP資料!$A$2:$A231, MATCH(MAX(F$2:F231), F$2:F231, 0)), MAX(F$2:F231)+1, MAX(F$2:F231)+2)))</f>
        <v/>
      </c>
      <c r="G232">
        <f>IF(NOT(AND(C232=1, TRIM(ERP資料!T232)="捲筒")), 0, IF(MAX(G$2:G231)=0, 1, IF(ERP資料!A232=INDEX(ERP資料!$A$2:$A231, MATCH(MAX(G$2:G231), G$2:G231, 0)), MAX(G$2:G231)+1, MAX(G$2:G231)+2)))</f>
        <v/>
      </c>
      <c r="H232">
        <f>IF(OR(ERP資料!C232="",ERP資料!D232=""),0,ERP資料!D232-ERP資料!C232+1)</f>
        <v/>
      </c>
    </row>
    <row r="233">
      <c r="A233" t="n">
        <v>233</v>
      </c>
      <c r="B233">
        <f>IF(ERP資料!A233="","",ERP資料!A233&amp;"|"&amp;ERP資料!E233&amp;"|"&amp;ERP資料!F233&amp;"|"&amp;ERP資料!G233&amp;"|"&amp;ERP資料!H233&amp;"|"&amp;ERP資料!O233)</f>
        <v/>
      </c>
      <c r="C233">
        <f>IF(B233="",0,IF(COUNTIF(B$2:B232,B233)=0,1,0))</f>
        <v/>
      </c>
      <c r="D233">
        <f>IF(B233="",0,SUMIFS($H$2:$H$801,$B$2:$B$801,B233))</f>
        <v/>
      </c>
      <c r="E233">
        <f>IF(NOT(AND(C233=1, TRIM(ERP資料!T233)="平板")), 0, IF(MAX(E$2:E232)=0, 1, IF(ERP資料!A233=INDEX(ERP資料!$A$2:$A232, MATCH(MAX(E$2:E232), E$2:E232, 0)), MAX(E$2:E232)+1, MAX(E$2:E232)+2)))</f>
        <v/>
      </c>
      <c r="F233">
        <f>IF(NOT(AND(C233=1, TRIM(ERP資料!T233)="平板")), 0, IF(MAX(F$2:F232)=0, 1, IF(ERP資料!A233=INDEX(ERP資料!$A$2:$A232, MATCH(MAX(F$2:F232), F$2:F232, 0)), MAX(F$2:F232)+1, MAX(F$2:F232)+2)))</f>
        <v/>
      </c>
      <c r="G233">
        <f>IF(NOT(AND(C233=1, TRIM(ERP資料!T233)="捲筒")), 0, IF(MAX(G$2:G232)=0, 1, IF(ERP資料!A233=INDEX(ERP資料!$A$2:$A232, MATCH(MAX(G$2:G232), G$2:G232, 0)), MAX(G$2:G232)+1, MAX(G$2:G232)+2)))</f>
        <v/>
      </c>
      <c r="H233">
        <f>IF(OR(ERP資料!C233="",ERP資料!D233=""),0,ERP資料!D233-ERP資料!C233+1)</f>
        <v/>
      </c>
    </row>
    <row r="234">
      <c r="A234" t="n">
        <v>234</v>
      </c>
      <c r="B234">
        <f>IF(ERP資料!A234="","",ERP資料!A234&amp;"|"&amp;ERP資料!E234&amp;"|"&amp;ERP資料!F234&amp;"|"&amp;ERP資料!G234&amp;"|"&amp;ERP資料!H234&amp;"|"&amp;ERP資料!O234)</f>
        <v/>
      </c>
      <c r="C234">
        <f>IF(B234="",0,IF(COUNTIF(B$2:B233,B234)=0,1,0))</f>
        <v/>
      </c>
      <c r="D234">
        <f>IF(B234="",0,SUMIFS($H$2:$H$801,$B$2:$B$801,B234))</f>
        <v/>
      </c>
      <c r="E234">
        <f>IF(NOT(AND(C234=1, TRIM(ERP資料!T234)="平板")), 0, IF(MAX(E$2:E233)=0, 1, IF(ERP資料!A234=INDEX(ERP資料!$A$2:$A233, MATCH(MAX(E$2:E233), E$2:E233, 0)), MAX(E$2:E233)+1, MAX(E$2:E233)+2)))</f>
        <v/>
      </c>
      <c r="F234">
        <f>IF(NOT(AND(C234=1, TRIM(ERP資料!T234)="平板")), 0, IF(MAX(F$2:F233)=0, 1, IF(ERP資料!A234=INDEX(ERP資料!$A$2:$A233, MATCH(MAX(F$2:F233), F$2:F233, 0)), MAX(F$2:F233)+1, MAX(F$2:F233)+2)))</f>
        <v/>
      </c>
      <c r="G234">
        <f>IF(NOT(AND(C234=1, TRIM(ERP資料!T234)="捲筒")), 0, IF(MAX(G$2:G233)=0, 1, IF(ERP資料!A234=INDEX(ERP資料!$A$2:$A233, MATCH(MAX(G$2:G233), G$2:G233, 0)), MAX(G$2:G233)+1, MAX(G$2:G233)+2)))</f>
        <v/>
      </c>
      <c r="H234">
        <f>IF(OR(ERP資料!C234="",ERP資料!D234=""),0,ERP資料!D234-ERP資料!C234+1)</f>
        <v/>
      </c>
    </row>
    <row r="235">
      <c r="A235" t="n">
        <v>235</v>
      </c>
      <c r="B235">
        <f>IF(ERP資料!A235="","",ERP資料!A235&amp;"|"&amp;ERP資料!E235&amp;"|"&amp;ERP資料!F235&amp;"|"&amp;ERP資料!G235&amp;"|"&amp;ERP資料!H235&amp;"|"&amp;ERP資料!O235)</f>
        <v/>
      </c>
      <c r="C235">
        <f>IF(B235="",0,IF(COUNTIF(B$2:B234,B235)=0,1,0))</f>
        <v/>
      </c>
      <c r="D235">
        <f>IF(B235="",0,SUMIFS($H$2:$H$801,$B$2:$B$801,B235))</f>
        <v/>
      </c>
      <c r="E235">
        <f>IF(NOT(AND(C235=1, TRIM(ERP資料!T235)="平板")), 0, IF(MAX(E$2:E234)=0, 1, IF(ERP資料!A235=INDEX(ERP資料!$A$2:$A234, MATCH(MAX(E$2:E234), E$2:E234, 0)), MAX(E$2:E234)+1, MAX(E$2:E234)+2)))</f>
        <v/>
      </c>
      <c r="F235">
        <f>IF(NOT(AND(C235=1, TRIM(ERP資料!T235)="平板")), 0, IF(MAX(F$2:F234)=0, 1, IF(ERP資料!A235=INDEX(ERP資料!$A$2:$A234, MATCH(MAX(F$2:F234), F$2:F234, 0)), MAX(F$2:F234)+1, MAX(F$2:F234)+2)))</f>
        <v/>
      </c>
      <c r="G235">
        <f>IF(NOT(AND(C235=1, TRIM(ERP資料!T235)="捲筒")), 0, IF(MAX(G$2:G234)=0, 1, IF(ERP資料!A235=INDEX(ERP資料!$A$2:$A234, MATCH(MAX(G$2:G234), G$2:G234, 0)), MAX(G$2:G234)+1, MAX(G$2:G234)+2)))</f>
        <v/>
      </c>
      <c r="H235">
        <f>IF(OR(ERP資料!C235="",ERP資料!D235=""),0,ERP資料!D235-ERP資料!C235+1)</f>
        <v/>
      </c>
    </row>
    <row r="236">
      <c r="A236" t="n">
        <v>236</v>
      </c>
      <c r="B236">
        <f>IF(ERP資料!A236="","",ERP資料!A236&amp;"|"&amp;ERP資料!E236&amp;"|"&amp;ERP資料!F236&amp;"|"&amp;ERP資料!G236&amp;"|"&amp;ERP資料!H236&amp;"|"&amp;ERP資料!O236)</f>
        <v/>
      </c>
      <c r="C236">
        <f>IF(B236="",0,IF(COUNTIF(B$2:B235,B236)=0,1,0))</f>
        <v/>
      </c>
      <c r="D236">
        <f>IF(B236="",0,SUMIFS($H$2:$H$801,$B$2:$B$801,B236))</f>
        <v/>
      </c>
      <c r="E236">
        <f>IF(NOT(AND(C236=1, TRIM(ERP資料!T236)="平板")), 0, IF(MAX(E$2:E235)=0, 1, IF(ERP資料!A236=INDEX(ERP資料!$A$2:$A235, MATCH(MAX(E$2:E235), E$2:E235, 0)), MAX(E$2:E235)+1, MAX(E$2:E235)+2)))</f>
        <v/>
      </c>
      <c r="F236">
        <f>IF(NOT(AND(C236=1, TRIM(ERP資料!T236)="平板")), 0, IF(MAX(F$2:F235)=0, 1, IF(ERP資料!A236=INDEX(ERP資料!$A$2:$A235, MATCH(MAX(F$2:F235), F$2:F235, 0)), MAX(F$2:F235)+1, MAX(F$2:F235)+2)))</f>
        <v/>
      </c>
      <c r="G236">
        <f>IF(NOT(AND(C236=1, TRIM(ERP資料!T236)="捲筒")), 0, IF(MAX(G$2:G235)=0, 1, IF(ERP資料!A236=INDEX(ERP資料!$A$2:$A235, MATCH(MAX(G$2:G235), G$2:G235, 0)), MAX(G$2:G235)+1, MAX(G$2:G235)+2)))</f>
        <v/>
      </c>
      <c r="H236">
        <f>IF(OR(ERP資料!C236="",ERP資料!D236=""),0,ERP資料!D236-ERP資料!C236+1)</f>
        <v/>
      </c>
    </row>
    <row r="237">
      <c r="A237" t="n">
        <v>237</v>
      </c>
      <c r="B237">
        <f>IF(ERP資料!A237="","",ERP資料!A237&amp;"|"&amp;ERP資料!E237&amp;"|"&amp;ERP資料!F237&amp;"|"&amp;ERP資料!G237&amp;"|"&amp;ERP資料!H237&amp;"|"&amp;ERP資料!O237)</f>
        <v/>
      </c>
      <c r="C237">
        <f>IF(B237="",0,IF(COUNTIF(B$2:B236,B237)=0,1,0))</f>
        <v/>
      </c>
      <c r="D237">
        <f>IF(B237="",0,SUMIFS($H$2:$H$801,$B$2:$B$801,B237))</f>
        <v/>
      </c>
      <c r="E237">
        <f>IF(NOT(AND(C237=1, TRIM(ERP資料!T237)="平板")), 0, IF(MAX(E$2:E236)=0, 1, IF(ERP資料!A237=INDEX(ERP資料!$A$2:$A236, MATCH(MAX(E$2:E236), E$2:E236, 0)), MAX(E$2:E236)+1, MAX(E$2:E236)+2)))</f>
        <v/>
      </c>
      <c r="F237">
        <f>IF(NOT(AND(C237=1, TRIM(ERP資料!T237)="平板")), 0, IF(MAX(F$2:F236)=0, 1, IF(ERP資料!A237=INDEX(ERP資料!$A$2:$A236, MATCH(MAX(F$2:F236), F$2:F236, 0)), MAX(F$2:F236)+1, MAX(F$2:F236)+2)))</f>
        <v/>
      </c>
      <c r="G237">
        <f>IF(NOT(AND(C237=1, TRIM(ERP資料!T237)="捲筒")), 0, IF(MAX(G$2:G236)=0, 1, IF(ERP資料!A237=INDEX(ERP資料!$A$2:$A236, MATCH(MAX(G$2:G236), G$2:G236, 0)), MAX(G$2:G236)+1, MAX(G$2:G236)+2)))</f>
        <v/>
      </c>
      <c r="H237">
        <f>IF(OR(ERP資料!C237="",ERP資料!D237=""),0,ERP資料!D237-ERP資料!C237+1)</f>
        <v/>
      </c>
    </row>
    <row r="238">
      <c r="A238" t="n">
        <v>238</v>
      </c>
      <c r="B238">
        <f>IF(ERP資料!A238="","",ERP資料!A238&amp;"|"&amp;ERP資料!E238&amp;"|"&amp;ERP資料!F238&amp;"|"&amp;ERP資料!G238&amp;"|"&amp;ERP資料!H238&amp;"|"&amp;ERP資料!O238)</f>
        <v/>
      </c>
      <c r="C238">
        <f>IF(B238="",0,IF(COUNTIF(B$2:B237,B238)=0,1,0))</f>
        <v/>
      </c>
      <c r="D238">
        <f>IF(B238="",0,SUMIFS($H$2:$H$801,$B$2:$B$801,B238))</f>
        <v/>
      </c>
      <c r="E238">
        <f>IF(NOT(AND(C238=1, TRIM(ERP資料!T238)="平板")), 0, IF(MAX(E$2:E237)=0, 1, IF(ERP資料!A238=INDEX(ERP資料!$A$2:$A237, MATCH(MAX(E$2:E237), E$2:E237, 0)), MAX(E$2:E237)+1, MAX(E$2:E237)+2)))</f>
        <v/>
      </c>
      <c r="F238">
        <f>IF(NOT(AND(C238=1, TRIM(ERP資料!T238)="平板")), 0, IF(MAX(F$2:F237)=0, 1, IF(ERP資料!A238=INDEX(ERP資料!$A$2:$A237, MATCH(MAX(F$2:F237), F$2:F237, 0)), MAX(F$2:F237)+1, MAX(F$2:F237)+2)))</f>
        <v/>
      </c>
      <c r="G238">
        <f>IF(NOT(AND(C238=1, TRIM(ERP資料!T238)="捲筒")), 0, IF(MAX(G$2:G237)=0, 1, IF(ERP資料!A238=INDEX(ERP資料!$A$2:$A237, MATCH(MAX(G$2:G237), G$2:G237, 0)), MAX(G$2:G237)+1, MAX(G$2:G237)+2)))</f>
        <v/>
      </c>
      <c r="H238">
        <f>IF(OR(ERP資料!C238="",ERP資料!D238=""),0,ERP資料!D238-ERP資料!C238+1)</f>
        <v/>
      </c>
    </row>
    <row r="239">
      <c r="A239" t="n">
        <v>239</v>
      </c>
      <c r="B239">
        <f>IF(ERP資料!A239="","",ERP資料!A239&amp;"|"&amp;ERP資料!E239&amp;"|"&amp;ERP資料!F239&amp;"|"&amp;ERP資料!G239&amp;"|"&amp;ERP資料!H239&amp;"|"&amp;ERP資料!O239)</f>
        <v/>
      </c>
      <c r="C239">
        <f>IF(B239="",0,IF(COUNTIF(B$2:B238,B239)=0,1,0))</f>
        <v/>
      </c>
      <c r="D239">
        <f>IF(B239="",0,SUMIFS($H$2:$H$801,$B$2:$B$801,B239))</f>
        <v/>
      </c>
      <c r="E239">
        <f>IF(NOT(AND(C239=1, TRIM(ERP資料!T239)="平板")), 0, IF(MAX(E$2:E238)=0, 1, IF(ERP資料!A239=INDEX(ERP資料!$A$2:$A238, MATCH(MAX(E$2:E238), E$2:E238, 0)), MAX(E$2:E238)+1, MAX(E$2:E238)+2)))</f>
        <v/>
      </c>
      <c r="F239">
        <f>IF(NOT(AND(C239=1, TRIM(ERP資料!T239)="平板")), 0, IF(MAX(F$2:F238)=0, 1, IF(ERP資料!A239=INDEX(ERP資料!$A$2:$A238, MATCH(MAX(F$2:F238), F$2:F238, 0)), MAX(F$2:F238)+1, MAX(F$2:F238)+2)))</f>
        <v/>
      </c>
      <c r="G239">
        <f>IF(NOT(AND(C239=1, TRIM(ERP資料!T239)="捲筒")), 0, IF(MAX(G$2:G238)=0, 1, IF(ERP資料!A239=INDEX(ERP資料!$A$2:$A238, MATCH(MAX(G$2:G238), G$2:G238, 0)), MAX(G$2:G238)+1, MAX(G$2:G238)+2)))</f>
        <v/>
      </c>
      <c r="H239">
        <f>IF(OR(ERP資料!C239="",ERP資料!D239=""),0,ERP資料!D239-ERP資料!C239+1)</f>
        <v/>
      </c>
    </row>
    <row r="240">
      <c r="A240" t="n">
        <v>240</v>
      </c>
      <c r="B240">
        <f>IF(ERP資料!A240="","",ERP資料!A240&amp;"|"&amp;ERP資料!E240&amp;"|"&amp;ERP資料!F240&amp;"|"&amp;ERP資料!G240&amp;"|"&amp;ERP資料!H240&amp;"|"&amp;ERP資料!O240)</f>
        <v/>
      </c>
      <c r="C240">
        <f>IF(B240="",0,IF(COUNTIF(B$2:B239,B240)=0,1,0))</f>
        <v/>
      </c>
      <c r="D240">
        <f>IF(B240="",0,SUMIFS($H$2:$H$801,$B$2:$B$801,B240))</f>
        <v/>
      </c>
      <c r="E240">
        <f>IF(NOT(AND(C240=1, TRIM(ERP資料!T240)="平板")), 0, IF(MAX(E$2:E239)=0, 1, IF(ERP資料!A240=INDEX(ERP資料!$A$2:$A239, MATCH(MAX(E$2:E239), E$2:E239, 0)), MAX(E$2:E239)+1, MAX(E$2:E239)+2)))</f>
        <v/>
      </c>
      <c r="F240">
        <f>IF(NOT(AND(C240=1, TRIM(ERP資料!T240)="平板")), 0, IF(MAX(F$2:F239)=0, 1, IF(ERP資料!A240=INDEX(ERP資料!$A$2:$A239, MATCH(MAX(F$2:F239), F$2:F239, 0)), MAX(F$2:F239)+1, MAX(F$2:F239)+2)))</f>
        <v/>
      </c>
      <c r="G240">
        <f>IF(NOT(AND(C240=1, TRIM(ERP資料!T240)="捲筒")), 0, IF(MAX(G$2:G239)=0, 1, IF(ERP資料!A240=INDEX(ERP資料!$A$2:$A239, MATCH(MAX(G$2:G239), G$2:G239, 0)), MAX(G$2:G239)+1, MAX(G$2:G239)+2)))</f>
        <v/>
      </c>
      <c r="H240">
        <f>IF(OR(ERP資料!C240="",ERP資料!D240=""),0,ERP資料!D240-ERP資料!C240+1)</f>
        <v/>
      </c>
    </row>
    <row r="241">
      <c r="A241" t="n">
        <v>241</v>
      </c>
      <c r="B241">
        <f>IF(ERP資料!A241="","",ERP資料!A241&amp;"|"&amp;ERP資料!E241&amp;"|"&amp;ERP資料!F241&amp;"|"&amp;ERP資料!G241&amp;"|"&amp;ERP資料!H241&amp;"|"&amp;ERP資料!O241)</f>
        <v/>
      </c>
      <c r="C241">
        <f>IF(B241="",0,IF(COUNTIF(B$2:B240,B241)=0,1,0))</f>
        <v/>
      </c>
      <c r="D241">
        <f>IF(B241="",0,SUMIFS($H$2:$H$801,$B$2:$B$801,B241))</f>
        <v/>
      </c>
      <c r="E241">
        <f>IF(NOT(AND(C241=1, TRIM(ERP資料!T241)="平板")), 0, IF(MAX(E$2:E240)=0, 1, IF(ERP資料!A241=INDEX(ERP資料!$A$2:$A240, MATCH(MAX(E$2:E240), E$2:E240, 0)), MAX(E$2:E240)+1, MAX(E$2:E240)+2)))</f>
        <v/>
      </c>
      <c r="F241">
        <f>IF(NOT(AND(C241=1, TRIM(ERP資料!T241)="平板")), 0, IF(MAX(F$2:F240)=0, 1, IF(ERP資料!A241=INDEX(ERP資料!$A$2:$A240, MATCH(MAX(F$2:F240), F$2:F240, 0)), MAX(F$2:F240)+1, MAX(F$2:F240)+2)))</f>
        <v/>
      </c>
      <c r="G241">
        <f>IF(NOT(AND(C241=1, TRIM(ERP資料!T241)="捲筒")), 0, IF(MAX(G$2:G240)=0, 1, IF(ERP資料!A241=INDEX(ERP資料!$A$2:$A240, MATCH(MAX(G$2:G240), G$2:G240, 0)), MAX(G$2:G240)+1, MAX(G$2:G240)+2)))</f>
        <v/>
      </c>
      <c r="H241">
        <f>IF(OR(ERP資料!C241="",ERP資料!D241=""),0,ERP資料!D241-ERP資料!C241+1)</f>
        <v/>
      </c>
    </row>
    <row r="242">
      <c r="A242" t="n">
        <v>242</v>
      </c>
      <c r="B242">
        <f>IF(ERP資料!A242="","",ERP資料!A242&amp;"|"&amp;ERP資料!E242&amp;"|"&amp;ERP資料!F242&amp;"|"&amp;ERP資料!G242&amp;"|"&amp;ERP資料!H242&amp;"|"&amp;ERP資料!O242)</f>
        <v/>
      </c>
      <c r="C242">
        <f>IF(B242="",0,IF(COUNTIF(B$2:B241,B242)=0,1,0))</f>
        <v/>
      </c>
      <c r="D242">
        <f>IF(B242="",0,SUMIFS($H$2:$H$801,$B$2:$B$801,B242))</f>
        <v/>
      </c>
      <c r="E242">
        <f>IF(NOT(AND(C242=1, TRIM(ERP資料!T242)="平板")), 0, IF(MAX(E$2:E241)=0, 1, IF(ERP資料!A242=INDEX(ERP資料!$A$2:$A241, MATCH(MAX(E$2:E241), E$2:E241, 0)), MAX(E$2:E241)+1, MAX(E$2:E241)+2)))</f>
        <v/>
      </c>
      <c r="F242">
        <f>IF(NOT(AND(C242=1, TRIM(ERP資料!T242)="平板")), 0, IF(MAX(F$2:F241)=0, 1, IF(ERP資料!A242=INDEX(ERP資料!$A$2:$A241, MATCH(MAX(F$2:F241), F$2:F241, 0)), MAX(F$2:F241)+1, MAX(F$2:F241)+2)))</f>
        <v/>
      </c>
      <c r="G242">
        <f>IF(NOT(AND(C242=1, TRIM(ERP資料!T242)="捲筒")), 0, IF(MAX(G$2:G241)=0, 1, IF(ERP資料!A242=INDEX(ERP資料!$A$2:$A241, MATCH(MAX(G$2:G241), G$2:G241, 0)), MAX(G$2:G241)+1, MAX(G$2:G241)+2)))</f>
        <v/>
      </c>
      <c r="H242">
        <f>IF(OR(ERP資料!C242="",ERP資料!D242=""),0,ERP資料!D242-ERP資料!C242+1)</f>
        <v/>
      </c>
    </row>
    <row r="243">
      <c r="A243" t="n">
        <v>243</v>
      </c>
      <c r="B243">
        <f>IF(ERP資料!A243="","",ERP資料!A243&amp;"|"&amp;ERP資料!E243&amp;"|"&amp;ERP資料!F243&amp;"|"&amp;ERP資料!G243&amp;"|"&amp;ERP資料!H243&amp;"|"&amp;ERP資料!O243)</f>
        <v/>
      </c>
      <c r="C243">
        <f>IF(B243="",0,IF(COUNTIF(B$2:B242,B243)=0,1,0))</f>
        <v/>
      </c>
      <c r="D243">
        <f>IF(B243="",0,SUMIFS($H$2:$H$801,$B$2:$B$801,B243))</f>
        <v/>
      </c>
      <c r="E243">
        <f>IF(NOT(AND(C243=1, TRIM(ERP資料!T243)="平板")), 0, IF(MAX(E$2:E242)=0, 1, IF(ERP資料!A243=INDEX(ERP資料!$A$2:$A242, MATCH(MAX(E$2:E242), E$2:E242, 0)), MAX(E$2:E242)+1, MAX(E$2:E242)+2)))</f>
        <v/>
      </c>
      <c r="F243">
        <f>IF(NOT(AND(C243=1, TRIM(ERP資料!T243)="平板")), 0, IF(MAX(F$2:F242)=0, 1, IF(ERP資料!A243=INDEX(ERP資料!$A$2:$A242, MATCH(MAX(F$2:F242), F$2:F242, 0)), MAX(F$2:F242)+1, MAX(F$2:F242)+2)))</f>
        <v/>
      </c>
      <c r="G243">
        <f>IF(NOT(AND(C243=1, TRIM(ERP資料!T243)="捲筒")), 0, IF(MAX(G$2:G242)=0, 1, IF(ERP資料!A243=INDEX(ERP資料!$A$2:$A242, MATCH(MAX(G$2:G242), G$2:G242, 0)), MAX(G$2:G242)+1, MAX(G$2:G242)+2)))</f>
        <v/>
      </c>
      <c r="H243">
        <f>IF(OR(ERP資料!C243="",ERP資料!D243=""),0,ERP資料!D243-ERP資料!C243+1)</f>
        <v/>
      </c>
    </row>
    <row r="244">
      <c r="A244" t="n">
        <v>244</v>
      </c>
      <c r="B244">
        <f>IF(ERP資料!A244="","",ERP資料!A244&amp;"|"&amp;ERP資料!E244&amp;"|"&amp;ERP資料!F244&amp;"|"&amp;ERP資料!G244&amp;"|"&amp;ERP資料!H244&amp;"|"&amp;ERP資料!O244)</f>
        <v/>
      </c>
      <c r="C244">
        <f>IF(B244="",0,IF(COUNTIF(B$2:B243,B244)=0,1,0))</f>
        <v/>
      </c>
      <c r="D244">
        <f>IF(B244="",0,SUMIFS($H$2:$H$801,$B$2:$B$801,B244))</f>
        <v/>
      </c>
      <c r="E244">
        <f>IF(NOT(AND(C244=1, TRIM(ERP資料!T244)="平板")), 0, IF(MAX(E$2:E243)=0, 1, IF(ERP資料!A244=INDEX(ERP資料!$A$2:$A243, MATCH(MAX(E$2:E243), E$2:E243, 0)), MAX(E$2:E243)+1, MAX(E$2:E243)+2)))</f>
        <v/>
      </c>
      <c r="F244">
        <f>IF(NOT(AND(C244=1, TRIM(ERP資料!T244)="平板")), 0, IF(MAX(F$2:F243)=0, 1, IF(ERP資料!A244=INDEX(ERP資料!$A$2:$A243, MATCH(MAX(F$2:F243), F$2:F243, 0)), MAX(F$2:F243)+1, MAX(F$2:F243)+2)))</f>
        <v/>
      </c>
      <c r="G244">
        <f>IF(NOT(AND(C244=1, TRIM(ERP資料!T244)="捲筒")), 0, IF(MAX(G$2:G243)=0, 1, IF(ERP資料!A244=INDEX(ERP資料!$A$2:$A243, MATCH(MAX(G$2:G243), G$2:G243, 0)), MAX(G$2:G243)+1, MAX(G$2:G243)+2)))</f>
        <v/>
      </c>
      <c r="H244">
        <f>IF(OR(ERP資料!C244="",ERP資料!D244=""),0,ERP資料!D244-ERP資料!C244+1)</f>
        <v/>
      </c>
    </row>
    <row r="245">
      <c r="A245" t="n">
        <v>245</v>
      </c>
      <c r="B245">
        <f>IF(ERP資料!A245="","",ERP資料!A245&amp;"|"&amp;ERP資料!E245&amp;"|"&amp;ERP資料!F245&amp;"|"&amp;ERP資料!G245&amp;"|"&amp;ERP資料!H245&amp;"|"&amp;ERP資料!O245)</f>
        <v/>
      </c>
      <c r="C245">
        <f>IF(B245="",0,IF(COUNTIF(B$2:B244,B245)=0,1,0))</f>
        <v/>
      </c>
      <c r="D245">
        <f>IF(B245="",0,SUMIFS($H$2:$H$801,$B$2:$B$801,B245))</f>
        <v/>
      </c>
      <c r="E245">
        <f>IF(NOT(AND(C245=1, TRIM(ERP資料!T245)="平板")), 0, IF(MAX(E$2:E244)=0, 1, IF(ERP資料!A245=INDEX(ERP資料!$A$2:$A244, MATCH(MAX(E$2:E244), E$2:E244, 0)), MAX(E$2:E244)+1, MAX(E$2:E244)+2)))</f>
        <v/>
      </c>
      <c r="F245">
        <f>IF(NOT(AND(C245=1, TRIM(ERP資料!T245)="平板")), 0, IF(MAX(F$2:F244)=0, 1, IF(ERP資料!A245=INDEX(ERP資料!$A$2:$A244, MATCH(MAX(F$2:F244), F$2:F244, 0)), MAX(F$2:F244)+1, MAX(F$2:F244)+2)))</f>
        <v/>
      </c>
      <c r="G245">
        <f>IF(NOT(AND(C245=1, TRIM(ERP資料!T245)="捲筒")), 0, IF(MAX(G$2:G244)=0, 1, IF(ERP資料!A245=INDEX(ERP資料!$A$2:$A244, MATCH(MAX(G$2:G244), G$2:G244, 0)), MAX(G$2:G244)+1, MAX(G$2:G244)+2)))</f>
        <v/>
      </c>
      <c r="H245">
        <f>IF(OR(ERP資料!C245="",ERP資料!D245=""),0,ERP資料!D245-ERP資料!C245+1)</f>
        <v/>
      </c>
    </row>
    <row r="246">
      <c r="A246" t="n">
        <v>246</v>
      </c>
      <c r="B246">
        <f>IF(ERP資料!A246="","",ERP資料!A246&amp;"|"&amp;ERP資料!E246&amp;"|"&amp;ERP資料!F246&amp;"|"&amp;ERP資料!G246&amp;"|"&amp;ERP資料!H246&amp;"|"&amp;ERP資料!O246)</f>
        <v/>
      </c>
      <c r="C246">
        <f>IF(B246="",0,IF(COUNTIF(B$2:B245,B246)=0,1,0))</f>
        <v/>
      </c>
      <c r="D246">
        <f>IF(B246="",0,SUMIFS($H$2:$H$801,$B$2:$B$801,B246))</f>
        <v/>
      </c>
      <c r="E246">
        <f>IF(NOT(AND(C246=1, TRIM(ERP資料!T246)="平板")), 0, IF(MAX(E$2:E245)=0, 1, IF(ERP資料!A246=INDEX(ERP資料!$A$2:$A245, MATCH(MAX(E$2:E245), E$2:E245, 0)), MAX(E$2:E245)+1, MAX(E$2:E245)+2)))</f>
        <v/>
      </c>
      <c r="F246">
        <f>IF(NOT(AND(C246=1, TRIM(ERP資料!T246)="平板")), 0, IF(MAX(F$2:F245)=0, 1, IF(ERP資料!A246=INDEX(ERP資料!$A$2:$A245, MATCH(MAX(F$2:F245), F$2:F245, 0)), MAX(F$2:F245)+1, MAX(F$2:F245)+2)))</f>
        <v/>
      </c>
      <c r="G246">
        <f>IF(NOT(AND(C246=1, TRIM(ERP資料!T246)="捲筒")), 0, IF(MAX(G$2:G245)=0, 1, IF(ERP資料!A246=INDEX(ERP資料!$A$2:$A245, MATCH(MAX(G$2:G245), G$2:G245, 0)), MAX(G$2:G245)+1, MAX(G$2:G245)+2)))</f>
        <v/>
      </c>
      <c r="H246">
        <f>IF(OR(ERP資料!C246="",ERP資料!D246=""),0,ERP資料!D246-ERP資料!C246+1)</f>
        <v/>
      </c>
    </row>
    <row r="247">
      <c r="A247" t="n">
        <v>247</v>
      </c>
      <c r="B247">
        <f>IF(ERP資料!A247="","",ERP資料!A247&amp;"|"&amp;ERP資料!E247&amp;"|"&amp;ERP資料!F247&amp;"|"&amp;ERP資料!G247&amp;"|"&amp;ERP資料!H247&amp;"|"&amp;ERP資料!O247)</f>
        <v/>
      </c>
      <c r="C247">
        <f>IF(B247="",0,IF(COUNTIF(B$2:B246,B247)=0,1,0))</f>
        <v/>
      </c>
      <c r="D247">
        <f>IF(B247="",0,SUMIFS($H$2:$H$801,$B$2:$B$801,B247))</f>
        <v/>
      </c>
      <c r="E247">
        <f>IF(NOT(AND(C247=1, TRIM(ERP資料!T247)="平板")), 0, IF(MAX(E$2:E246)=0, 1, IF(ERP資料!A247=INDEX(ERP資料!$A$2:$A246, MATCH(MAX(E$2:E246), E$2:E246, 0)), MAX(E$2:E246)+1, MAX(E$2:E246)+2)))</f>
        <v/>
      </c>
      <c r="F247">
        <f>IF(NOT(AND(C247=1, TRIM(ERP資料!T247)="平板")), 0, IF(MAX(F$2:F246)=0, 1, IF(ERP資料!A247=INDEX(ERP資料!$A$2:$A246, MATCH(MAX(F$2:F246), F$2:F246, 0)), MAX(F$2:F246)+1, MAX(F$2:F246)+2)))</f>
        <v/>
      </c>
      <c r="G247">
        <f>IF(NOT(AND(C247=1, TRIM(ERP資料!T247)="捲筒")), 0, IF(MAX(G$2:G246)=0, 1, IF(ERP資料!A247=INDEX(ERP資料!$A$2:$A246, MATCH(MAX(G$2:G246), G$2:G246, 0)), MAX(G$2:G246)+1, MAX(G$2:G246)+2)))</f>
        <v/>
      </c>
      <c r="H247">
        <f>IF(OR(ERP資料!C247="",ERP資料!D247=""),0,ERP資料!D247-ERP資料!C247+1)</f>
        <v/>
      </c>
    </row>
    <row r="248">
      <c r="A248" t="n">
        <v>248</v>
      </c>
      <c r="B248">
        <f>IF(ERP資料!A248="","",ERP資料!A248&amp;"|"&amp;ERP資料!E248&amp;"|"&amp;ERP資料!F248&amp;"|"&amp;ERP資料!G248&amp;"|"&amp;ERP資料!H248&amp;"|"&amp;ERP資料!O248)</f>
        <v/>
      </c>
      <c r="C248">
        <f>IF(B248="",0,IF(COUNTIF(B$2:B247,B248)=0,1,0))</f>
        <v/>
      </c>
      <c r="D248">
        <f>IF(B248="",0,SUMIFS($H$2:$H$801,$B$2:$B$801,B248))</f>
        <v/>
      </c>
      <c r="E248">
        <f>IF(NOT(AND(C248=1, TRIM(ERP資料!T248)="平板")), 0, IF(MAX(E$2:E247)=0, 1, IF(ERP資料!A248=INDEX(ERP資料!$A$2:$A247, MATCH(MAX(E$2:E247), E$2:E247, 0)), MAX(E$2:E247)+1, MAX(E$2:E247)+2)))</f>
        <v/>
      </c>
      <c r="F248">
        <f>IF(NOT(AND(C248=1, TRIM(ERP資料!T248)="平板")), 0, IF(MAX(F$2:F247)=0, 1, IF(ERP資料!A248=INDEX(ERP資料!$A$2:$A247, MATCH(MAX(F$2:F247), F$2:F247, 0)), MAX(F$2:F247)+1, MAX(F$2:F247)+2)))</f>
        <v/>
      </c>
      <c r="G248">
        <f>IF(NOT(AND(C248=1, TRIM(ERP資料!T248)="捲筒")), 0, IF(MAX(G$2:G247)=0, 1, IF(ERP資料!A248=INDEX(ERP資料!$A$2:$A247, MATCH(MAX(G$2:G247), G$2:G247, 0)), MAX(G$2:G247)+1, MAX(G$2:G247)+2)))</f>
        <v/>
      </c>
      <c r="H248">
        <f>IF(OR(ERP資料!C248="",ERP資料!D248=""),0,ERP資料!D248-ERP資料!C248+1)</f>
        <v/>
      </c>
    </row>
    <row r="249">
      <c r="A249" t="n">
        <v>249</v>
      </c>
      <c r="B249">
        <f>IF(ERP資料!A249="","",ERP資料!A249&amp;"|"&amp;ERP資料!E249&amp;"|"&amp;ERP資料!F249&amp;"|"&amp;ERP資料!G249&amp;"|"&amp;ERP資料!H249&amp;"|"&amp;ERP資料!O249)</f>
        <v/>
      </c>
      <c r="C249">
        <f>IF(B249="",0,IF(COUNTIF(B$2:B248,B249)=0,1,0))</f>
        <v/>
      </c>
      <c r="D249">
        <f>IF(B249="",0,SUMIFS($H$2:$H$801,$B$2:$B$801,B249))</f>
        <v/>
      </c>
      <c r="E249">
        <f>IF(NOT(AND(C249=1, TRIM(ERP資料!T249)="平板")), 0, IF(MAX(E$2:E248)=0, 1, IF(ERP資料!A249=INDEX(ERP資料!$A$2:$A248, MATCH(MAX(E$2:E248), E$2:E248, 0)), MAX(E$2:E248)+1, MAX(E$2:E248)+2)))</f>
        <v/>
      </c>
      <c r="F249">
        <f>IF(NOT(AND(C249=1, TRIM(ERP資料!T249)="平板")), 0, IF(MAX(F$2:F248)=0, 1, IF(ERP資料!A249=INDEX(ERP資料!$A$2:$A248, MATCH(MAX(F$2:F248), F$2:F248, 0)), MAX(F$2:F248)+1, MAX(F$2:F248)+2)))</f>
        <v/>
      </c>
      <c r="G249">
        <f>IF(NOT(AND(C249=1, TRIM(ERP資料!T249)="捲筒")), 0, IF(MAX(G$2:G248)=0, 1, IF(ERP資料!A249=INDEX(ERP資料!$A$2:$A248, MATCH(MAX(G$2:G248), G$2:G248, 0)), MAX(G$2:G248)+1, MAX(G$2:G248)+2)))</f>
        <v/>
      </c>
      <c r="H249">
        <f>IF(OR(ERP資料!C249="",ERP資料!D249=""),0,ERP資料!D249-ERP資料!C249+1)</f>
        <v/>
      </c>
    </row>
    <row r="250">
      <c r="A250" t="n">
        <v>250</v>
      </c>
      <c r="B250">
        <f>IF(ERP資料!A250="","",ERP資料!A250&amp;"|"&amp;ERP資料!E250&amp;"|"&amp;ERP資料!F250&amp;"|"&amp;ERP資料!G250&amp;"|"&amp;ERP資料!H250&amp;"|"&amp;ERP資料!O250)</f>
        <v/>
      </c>
      <c r="C250">
        <f>IF(B250="",0,IF(COUNTIF(B$2:B249,B250)=0,1,0))</f>
        <v/>
      </c>
      <c r="D250">
        <f>IF(B250="",0,SUMIFS($H$2:$H$801,$B$2:$B$801,B250))</f>
        <v/>
      </c>
      <c r="E250">
        <f>IF(NOT(AND(C250=1, TRIM(ERP資料!T250)="平板")), 0, IF(MAX(E$2:E249)=0, 1, IF(ERP資料!A250=INDEX(ERP資料!$A$2:$A249, MATCH(MAX(E$2:E249), E$2:E249, 0)), MAX(E$2:E249)+1, MAX(E$2:E249)+2)))</f>
        <v/>
      </c>
      <c r="F250">
        <f>IF(NOT(AND(C250=1, TRIM(ERP資料!T250)="平板")), 0, IF(MAX(F$2:F249)=0, 1, IF(ERP資料!A250=INDEX(ERP資料!$A$2:$A249, MATCH(MAX(F$2:F249), F$2:F249, 0)), MAX(F$2:F249)+1, MAX(F$2:F249)+2)))</f>
        <v/>
      </c>
      <c r="G250">
        <f>IF(NOT(AND(C250=1, TRIM(ERP資料!T250)="捲筒")), 0, IF(MAX(G$2:G249)=0, 1, IF(ERP資料!A250=INDEX(ERP資料!$A$2:$A249, MATCH(MAX(G$2:G249), G$2:G249, 0)), MAX(G$2:G249)+1, MAX(G$2:G249)+2)))</f>
        <v/>
      </c>
      <c r="H250">
        <f>IF(OR(ERP資料!C250="",ERP資料!D250=""),0,ERP資料!D250-ERP資料!C250+1)</f>
        <v/>
      </c>
    </row>
    <row r="251">
      <c r="A251" t="n">
        <v>251</v>
      </c>
      <c r="B251">
        <f>IF(ERP資料!A251="","",ERP資料!A251&amp;"|"&amp;ERP資料!E251&amp;"|"&amp;ERP資料!F251&amp;"|"&amp;ERP資料!G251&amp;"|"&amp;ERP資料!H251&amp;"|"&amp;ERP資料!O251)</f>
        <v/>
      </c>
      <c r="C251">
        <f>IF(B251="",0,IF(COUNTIF(B$2:B250,B251)=0,1,0))</f>
        <v/>
      </c>
      <c r="D251">
        <f>IF(B251="",0,SUMIFS($H$2:$H$801,$B$2:$B$801,B251))</f>
        <v/>
      </c>
      <c r="E251">
        <f>IF(NOT(AND(C251=1, TRIM(ERP資料!T251)="平板")), 0, IF(MAX(E$2:E250)=0, 1, IF(ERP資料!A251=INDEX(ERP資料!$A$2:$A250, MATCH(MAX(E$2:E250), E$2:E250, 0)), MAX(E$2:E250)+1, MAX(E$2:E250)+2)))</f>
        <v/>
      </c>
      <c r="F251">
        <f>IF(NOT(AND(C251=1, TRIM(ERP資料!T251)="平板")), 0, IF(MAX(F$2:F250)=0, 1, IF(ERP資料!A251=INDEX(ERP資料!$A$2:$A250, MATCH(MAX(F$2:F250), F$2:F250, 0)), MAX(F$2:F250)+1, MAX(F$2:F250)+2)))</f>
        <v/>
      </c>
      <c r="G251">
        <f>IF(NOT(AND(C251=1, TRIM(ERP資料!T251)="捲筒")), 0, IF(MAX(G$2:G250)=0, 1, IF(ERP資料!A251=INDEX(ERP資料!$A$2:$A250, MATCH(MAX(G$2:G250), G$2:G250, 0)), MAX(G$2:G250)+1, MAX(G$2:G250)+2)))</f>
        <v/>
      </c>
      <c r="H251">
        <f>IF(OR(ERP資料!C251="",ERP資料!D251=""),0,ERP資料!D251-ERP資料!C251+1)</f>
        <v/>
      </c>
    </row>
    <row r="252">
      <c r="A252" t="n">
        <v>252</v>
      </c>
      <c r="B252">
        <f>IF(ERP資料!A252="","",ERP資料!A252&amp;"|"&amp;ERP資料!E252&amp;"|"&amp;ERP資料!F252&amp;"|"&amp;ERP資料!G252&amp;"|"&amp;ERP資料!H252&amp;"|"&amp;ERP資料!O252)</f>
        <v/>
      </c>
      <c r="C252">
        <f>IF(B252="",0,IF(COUNTIF(B$2:B251,B252)=0,1,0))</f>
        <v/>
      </c>
      <c r="D252">
        <f>IF(B252="",0,SUMIFS($H$2:$H$801,$B$2:$B$801,B252))</f>
        <v/>
      </c>
      <c r="E252">
        <f>IF(NOT(AND(C252=1, TRIM(ERP資料!T252)="平板")), 0, IF(MAX(E$2:E251)=0, 1, IF(ERP資料!A252=INDEX(ERP資料!$A$2:$A251, MATCH(MAX(E$2:E251), E$2:E251, 0)), MAX(E$2:E251)+1, MAX(E$2:E251)+2)))</f>
        <v/>
      </c>
      <c r="F252">
        <f>IF(NOT(AND(C252=1, TRIM(ERP資料!T252)="平板")), 0, IF(MAX(F$2:F251)=0, 1, IF(ERP資料!A252=INDEX(ERP資料!$A$2:$A251, MATCH(MAX(F$2:F251), F$2:F251, 0)), MAX(F$2:F251)+1, MAX(F$2:F251)+2)))</f>
        <v/>
      </c>
      <c r="G252">
        <f>IF(NOT(AND(C252=1, TRIM(ERP資料!T252)="捲筒")), 0, IF(MAX(G$2:G251)=0, 1, IF(ERP資料!A252=INDEX(ERP資料!$A$2:$A251, MATCH(MAX(G$2:G251), G$2:G251, 0)), MAX(G$2:G251)+1, MAX(G$2:G251)+2)))</f>
        <v/>
      </c>
      <c r="H252">
        <f>IF(OR(ERP資料!C252="",ERP資料!D252=""),0,ERP資料!D252-ERP資料!C252+1)</f>
        <v/>
      </c>
    </row>
    <row r="253">
      <c r="A253" t="n">
        <v>253</v>
      </c>
      <c r="B253">
        <f>IF(ERP資料!A253="","",ERP資料!A253&amp;"|"&amp;ERP資料!E253&amp;"|"&amp;ERP資料!F253&amp;"|"&amp;ERP資料!G253&amp;"|"&amp;ERP資料!H253&amp;"|"&amp;ERP資料!O253)</f>
        <v/>
      </c>
      <c r="C253">
        <f>IF(B253="",0,IF(COUNTIF(B$2:B252,B253)=0,1,0))</f>
        <v/>
      </c>
      <c r="D253">
        <f>IF(B253="",0,SUMIFS($H$2:$H$801,$B$2:$B$801,B253))</f>
        <v/>
      </c>
      <c r="E253">
        <f>IF(NOT(AND(C253=1, TRIM(ERP資料!T253)="平板")), 0, IF(MAX(E$2:E252)=0, 1, IF(ERP資料!A253=INDEX(ERP資料!$A$2:$A252, MATCH(MAX(E$2:E252), E$2:E252, 0)), MAX(E$2:E252)+1, MAX(E$2:E252)+2)))</f>
        <v/>
      </c>
      <c r="F253">
        <f>IF(NOT(AND(C253=1, TRIM(ERP資料!T253)="平板")), 0, IF(MAX(F$2:F252)=0, 1, IF(ERP資料!A253=INDEX(ERP資料!$A$2:$A252, MATCH(MAX(F$2:F252), F$2:F252, 0)), MAX(F$2:F252)+1, MAX(F$2:F252)+2)))</f>
        <v/>
      </c>
      <c r="G253">
        <f>IF(NOT(AND(C253=1, TRIM(ERP資料!T253)="捲筒")), 0, IF(MAX(G$2:G252)=0, 1, IF(ERP資料!A253=INDEX(ERP資料!$A$2:$A252, MATCH(MAX(G$2:G252), G$2:G252, 0)), MAX(G$2:G252)+1, MAX(G$2:G252)+2)))</f>
        <v/>
      </c>
      <c r="H253">
        <f>IF(OR(ERP資料!C253="",ERP資料!D253=""),0,ERP資料!D253-ERP資料!C253+1)</f>
        <v/>
      </c>
    </row>
    <row r="254">
      <c r="A254" t="n">
        <v>254</v>
      </c>
      <c r="B254">
        <f>IF(ERP資料!A254="","",ERP資料!A254&amp;"|"&amp;ERP資料!E254&amp;"|"&amp;ERP資料!F254&amp;"|"&amp;ERP資料!G254&amp;"|"&amp;ERP資料!H254&amp;"|"&amp;ERP資料!O254)</f>
        <v/>
      </c>
      <c r="C254">
        <f>IF(B254="",0,IF(COUNTIF(B$2:B253,B254)=0,1,0))</f>
        <v/>
      </c>
      <c r="D254">
        <f>IF(B254="",0,SUMIFS($H$2:$H$801,$B$2:$B$801,B254))</f>
        <v/>
      </c>
      <c r="E254">
        <f>IF(NOT(AND(C254=1, TRIM(ERP資料!T254)="平板")), 0, IF(MAX(E$2:E253)=0, 1, IF(ERP資料!A254=INDEX(ERP資料!$A$2:$A253, MATCH(MAX(E$2:E253), E$2:E253, 0)), MAX(E$2:E253)+1, MAX(E$2:E253)+2)))</f>
        <v/>
      </c>
      <c r="F254">
        <f>IF(NOT(AND(C254=1, TRIM(ERP資料!T254)="平板")), 0, IF(MAX(F$2:F253)=0, 1, IF(ERP資料!A254=INDEX(ERP資料!$A$2:$A253, MATCH(MAX(F$2:F253), F$2:F253, 0)), MAX(F$2:F253)+1, MAX(F$2:F253)+2)))</f>
        <v/>
      </c>
      <c r="G254">
        <f>IF(NOT(AND(C254=1, TRIM(ERP資料!T254)="捲筒")), 0, IF(MAX(G$2:G253)=0, 1, IF(ERP資料!A254=INDEX(ERP資料!$A$2:$A253, MATCH(MAX(G$2:G253), G$2:G253, 0)), MAX(G$2:G253)+1, MAX(G$2:G253)+2)))</f>
        <v/>
      </c>
      <c r="H254">
        <f>IF(OR(ERP資料!C254="",ERP資料!D254=""),0,ERP資料!D254-ERP資料!C254+1)</f>
        <v/>
      </c>
    </row>
    <row r="255">
      <c r="A255" t="n">
        <v>255</v>
      </c>
      <c r="B255">
        <f>IF(ERP資料!A255="","",ERP資料!A255&amp;"|"&amp;ERP資料!E255&amp;"|"&amp;ERP資料!F255&amp;"|"&amp;ERP資料!G255&amp;"|"&amp;ERP資料!H255&amp;"|"&amp;ERP資料!O255)</f>
        <v/>
      </c>
      <c r="C255">
        <f>IF(B255="",0,IF(COUNTIF(B$2:B254,B255)=0,1,0))</f>
        <v/>
      </c>
      <c r="D255">
        <f>IF(B255="",0,SUMIFS($H$2:$H$801,$B$2:$B$801,B255))</f>
        <v/>
      </c>
      <c r="E255">
        <f>IF(NOT(AND(C255=1, TRIM(ERP資料!T255)="平板")), 0, IF(MAX(E$2:E254)=0, 1, IF(ERP資料!A255=INDEX(ERP資料!$A$2:$A254, MATCH(MAX(E$2:E254), E$2:E254, 0)), MAX(E$2:E254)+1, MAX(E$2:E254)+2)))</f>
        <v/>
      </c>
      <c r="F255">
        <f>IF(NOT(AND(C255=1, TRIM(ERP資料!T255)="平板")), 0, IF(MAX(F$2:F254)=0, 1, IF(ERP資料!A255=INDEX(ERP資料!$A$2:$A254, MATCH(MAX(F$2:F254), F$2:F254, 0)), MAX(F$2:F254)+1, MAX(F$2:F254)+2)))</f>
        <v/>
      </c>
      <c r="G255">
        <f>IF(NOT(AND(C255=1, TRIM(ERP資料!T255)="捲筒")), 0, IF(MAX(G$2:G254)=0, 1, IF(ERP資料!A255=INDEX(ERP資料!$A$2:$A254, MATCH(MAX(G$2:G254), G$2:G254, 0)), MAX(G$2:G254)+1, MAX(G$2:G254)+2)))</f>
        <v/>
      </c>
      <c r="H255">
        <f>IF(OR(ERP資料!C255="",ERP資料!D255=""),0,ERP資料!D255-ERP資料!C255+1)</f>
        <v/>
      </c>
    </row>
    <row r="256">
      <c r="A256" t="n">
        <v>256</v>
      </c>
      <c r="B256">
        <f>IF(ERP資料!A256="","",ERP資料!A256&amp;"|"&amp;ERP資料!E256&amp;"|"&amp;ERP資料!F256&amp;"|"&amp;ERP資料!G256&amp;"|"&amp;ERP資料!H256&amp;"|"&amp;ERP資料!O256)</f>
        <v/>
      </c>
      <c r="C256">
        <f>IF(B256="",0,IF(COUNTIF(B$2:B255,B256)=0,1,0))</f>
        <v/>
      </c>
      <c r="D256">
        <f>IF(B256="",0,SUMIFS($H$2:$H$801,$B$2:$B$801,B256))</f>
        <v/>
      </c>
      <c r="E256">
        <f>IF(NOT(AND(C256=1, TRIM(ERP資料!T256)="平板")), 0, IF(MAX(E$2:E255)=0, 1, IF(ERP資料!A256=INDEX(ERP資料!$A$2:$A255, MATCH(MAX(E$2:E255), E$2:E255, 0)), MAX(E$2:E255)+1, MAX(E$2:E255)+2)))</f>
        <v/>
      </c>
      <c r="F256">
        <f>IF(NOT(AND(C256=1, TRIM(ERP資料!T256)="平板")), 0, IF(MAX(F$2:F255)=0, 1, IF(ERP資料!A256=INDEX(ERP資料!$A$2:$A255, MATCH(MAX(F$2:F255), F$2:F255, 0)), MAX(F$2:F255)+1, MAX(F$2:F255)+2)))</f>
        <v/>
      </c>
      <c r="G256">
        <f>IF(NOT(AND(C256=1, TRIM(ERP資料!T256)="捲筒")), 0, IF(MAX(G$2:G255)=0, 1, IF(ERP資料!A256=INDEX(ERP資料!$A$2:$A255, MATCH(MAX(G$2:G255), G$2:G255, 0)), MAX(G$2:G255)+1, MAX(G$2:G255)+2)))</f>
        <v/>
      </c>
      <c r="H256">
        <f>IF(OR(ERP資料!C256="",ERP資料!D256=""),0,ERP資料!D256-ERP資料!C256+1)</f>
        <v/>
      </c>
    </row>
    <row r="257">
      <c r="A257" t="n">
        <v>257</v>
      </c>
      <c r="B257">
        <f>IF(ERP資料!A257="","",ERP資料!A257&amp;"|"&amp;ERP資料!E257&amp;"|"&amp;ERP資料!F257&amp;"|"&amp;ERP資料!G257&amp;"|"&amp;ERP資料!H257&amp;"|"&amp;ERP資料!O257)</f>
        <v/>
      </c>
      <c r="C257">
        <f>IF(B257="",0,IF(COUNTIF(B$2:B256,B257)=0,1,0))</f>
        <v/>
      </c>
      <c r="D257">
        <f>IF(B257="",0,SUMIFS($H$2:$H$801,$B$2:$B$801,B257))</f>
        <v/>
      </c>
      <c r="E257">
        <f>IF(NOT(AND(C257=1, TRIM(ERP資料!T257)="平板")), 0, IF(MAX(E$2:E256)=0, 1, IF(ERP資料!A257=INDEX(ERP資料!$A$2:$A256, MATCH(MAX(E$2:E256), E$2:E256, 0)), MAX(E$2:E256)+1, MAX(E$2:E256)+2)))</f>
        <v/>
      </c>
      <c r="F257">
        <f>IF(NOT(AND(C257=1, TRIM(ERP資料!T257)="平板")), 0, IF(MAX(F$2:F256)=0, 1, IF(ERP資料!A257=INDEX(ERP資料!$A$2:$A256, MATCH(MAX(F$2:F256), F$2:F256, 0)), MAX(F$2:F256)+1, MAX(F$2:F256)+2)))</f>
        <v/>
      </c>
      <c r="G257">
        <f>IF(NOT(AND(C257=1, TRIM(ERP資料!T257)="捲筒")), 0, IF(MAX(G$2:G256)=0, 1, IF(ERP資料!A257=INDEX(ERP資料!$A$2:$A256, MATCH(MAX(G$2:G256), G$2:G256, 0)), MAX(G$2:G256)+1, MAX(G$2:G256)+2)))</f>
        <v/>
      </c>
      <c r="H257">
        <f>IF(OR(ERP資料!C257="",ERP資料!D257=""),0,ERP資料!D257-ERP資料!C257+1)</f>
        <v/>
      </c>
    </row>
    <row r="258">
      <c r="A258" t="n">
        <v>258</v>
      </c>
      <c r="B258">
        <f>IF(ERP資料!A258="","",ERP資料!A258&amp;"|"&amp;ERP資料!E258&amp;"|"&amp;ERP資料!F258&amp;"|"&amp;ERP資料!G258&amp;"|"&amp;ERP資料!H258&amp;"|"&amp;ERP資料!O258)</f>
        <v/>
      </c>
      <c r="C258">
        <f>IF(B258="",0,IF(COUNTIF(B$2:B257,B258)=0,1,0))</f>
        <v/>
      </c>
      <c r="D258">
        <f>IF(B258="",0,SUMIFS($H$2:$H$801,$B$2:$B$801,B258))</f>
        <v/>
      </c>
      <c r="E258">
        <f>IF(NOT(AND(C258=1, TRIM(ERP資料!T258)="平板")), 0, IF(MAX(E$2:E257)=0, 1, IF(ERP資料!A258=INDEX(ERP資料!$A$2:$A257, MATCH(MAX(E$2:E257), E$2:E257, 0)), MAX(E$2:E257)+1, MAX(E$2:E257)+2)))</f>
        <v/>
      </c>
      <c r="F258">
        <f>IF(NOT(AND(C258=1, TRIM(ERP資料!T258)="平板")), 0, IF(MAX(F$2:F257)=0, 1, IF(ERP資料!A258=INDEX(ERP資料!$A$2:$A257, MATCH(MAX(F$2:F257), F$2:F257, 0)), MAX(F$2:F257)+1, MAX(F$2:F257)+2)))</f>
        <v/>
      </c>
      <c r="G258">
        <f>IF(NOT(AND(C258=1, TRIM(ERP資料!T258)="捲筒")), 0, IF(MAX(G$2:G257)=0, 1, IF(ERP資料!A258=INDEX(ERP資料!$A$2:$A257, MATCH(MAX(G$2:G257), G$2:G257, 0)), MAX(G$2:G257)+1, MAX(G$2:G257)+2)))</f>
        <v/>
      </c>
      <c r="H258">
        <f>IF(OR(ERP資料!C258="",ERP資料!D258=""),0,ERP資料!D258-ERP資料!C258+1)</f>
        <v/>
      </c>
    </row>
    <row r="259">
      <c r="A259" t="n">
        <v>259</v>
      </c>
      <c r="B259">
        <f>IF(ERP資料!A259="","",ERP資料!A259&amp;"|"&amp;ERP資料!E259&amp;"|"&amp;ERP資料!F259&amp;"|"&amp;ERP資料!G259&amp;"|"&amp;ERP資料!H259&amp;"|"&amp;ERP資料!O259)</f>
        <v/>
      </c>
      <c r="C259">
        <f>IF(B259="",0,IF(COUNTIF(B$2:B258,B259)=0,1,0))</f>
        <v/>
      </c>
      <c r="D259">
        <f>IF(B259="",0,SUMIFS($H$2:$H$801,$B$2:$B$801,B259))</f>
        <v/>
      </c>
      <c r="E259">
        <f>IF(NOT(AND(C259=1, TRIM(ERP資料!T259)="平板")), 0, IF(MAX(E$2:E258)=0, 1, IF(ERP資料!A259=INDEX(ERP資料!$A$2:$A258, MATCH(MAX(E$2:E258), E$2:E258, 0)), MAX(E$2:E258)+1, MAX(E$2:E258)+2)))</f>
        <v/>
      </c>
      <c r="F259">
        <f>IF(NOT(AND(C259=1, TRIM(ERP資料!T259)="平板")), 0, IF(MAX(F$2:F258)=0, 1, IF(ERP資料!A259=INDEX(ERP資料!$A$2:$A258, MATCH(MAX(F$2:F258), F$2:F258, 0)), MAX(F$2:F258)+1, MAX(F$2:F258)+2)))</f>
        <v/>
      </c>
      <c r="G259">
        <f>IF(NOT(AND(C259=1, TRIM(ERP資料!T259)="捲筒")), 0, IF(MAX(G$2:G258)=0, 1, IF(ERP資料!A259=INDEX(ERP資料!$A$2:$A258, MATCH(MAX(G$2:G258), G$2:G258, 0)), MAX(G$2:G258)+1, MAX(G$2:G258)+2)))</f>
        <v/>
      </c>
      <c r="H259">
        <f>IF(OR(ERP資料!C259="",ERP資料!D259=""),0,ERP資料!D259-ERP資料!C259+1)</f>
        <v/>
      </c>
    </row>
    <row r="260">
      <c r="A260" t="n">
        <v>260</v>
      </c>
      <c r="B260">
        <f>IF(ERP資料!A260="","",ERP資料!A260&amp;"|"&amp;ERP資料!E260&amp;"|"&amp;ERP資料!F260&amp;"|"&amp;ERP資料!G260&amp;"|"&amp;ERP資料!H260&amp;"|"&amp;ERP資料!O260)</f>
        <v/>
      </c>
      <c r="C260">
        <f>IF(B260="",0,IF(COUNTIF(B$2:B259,B260)=0,1,0))</f>
        <v/>
      </c>
      <c r="D260">
        <f>IF(B260="",0,SUMIFS($H$2:$H$801,$B$2:$B$801,B260))</f>
        <v/>
      </c>
      <c r="E260">
        <f>IF(NOT(AND(C260=1, TRIM(ERP資料!T260)="平板")), 0, IF(MAX(E$2:E259)=0, 1, IF(ERP資料!A260=INDEX(ERP資料!$A$2:$A259, MATCH(MAX(E$2:E259), E$2:E259, 0)), MAX(E$2:E259)+1, MAX(E$2:E259)+2)))</f>
        <v/>
      </c>
      <c r="F260">
        <f>IF(NOT(AND(C260=1, TRIM(ERP資料!T260)="平板")), 0, IF(MAX(F$2:F259)=0, 1, IF(ERP資料!A260=INDEX(ERP資料!$A$2:$A259, MATCH(MAX(F$2:F259), F$2:F259, 0)), MAX(F$2:F259)+1, MAX(F$2:F259)+2)))</f>
        <v/>
      </c>
      <c r="G260">
        <f>IF(NOT(AND(C260=1, TRIM(ERP資料!T260)="捲筒")), 0, IF(MAX(G$2:G259)=0, 1, IF(ERP資料!A260=INDEX(ERP資料!$A$2:$A259, MATCH(MAX(G$2:G259), G$2:G259, 0)), MAX(G$2:G259)+1, MAX(G$2:G259)+2)))</f>
        <v/>
      </c>
      <c r="H260">
        <f>IF(OR(ERP資料!C260="",ERP資料!D260=""),0,ERP資料!D260-ERP資料!C260+1)</f>
        <v/>
      </c>
    </row>
    <row r="261">
      <c r="A261" t="n">
        <v>261</v>
      </c>
      <c r="B261">
        <f>IF(ERP資料!A261="","",ERP資料!A261&amp;"|"&amp;ERP資料!E261&amp;"|"&amp;ERP資料!F261&amp;"|"&amp;ERP資料!G261&amp;"|"&amp;ERP資料!H261&amp;"|"&amp;ERP資料!O261)</f>
        <v/>
      </c>
      <c r="C261">
        <f>IF(B261="",0,IF(COUNTIF(B$2:B260,B261)=0,1,0))</f>
        <v/>
      </c>
      <c r="D261">
        <f>IF(B261="",0,SUMIFS($H$2:$H$801,$B$2:$B$801,B261))</f>
        <v/>
      </c>
      <c r="E261">
        <f>IF(NOT(AND(C261=1, TRIM(ERP資料!T261)="平板")), 0, IF(MAX(E$2:E260)=0, 1, IF(ERP資料!A261=INDEX(ERP資料!$A$2:$A260, MATCH(MAX(E$2:E260), E$2:E260, 0)), MAX(E$2:E260)+1, MAX(E$2:E260)+2)))</f>
        <v/>
      </c>
      <c r="F261">
        <f>IF(NOT(AND(C261=1, TRIM(ERP資料!T261)="平板")), 0, IF(MAX(F$2:F260)=0, 1, IF(ERP資料!A261=INDEX(ERP資料!$A$2:$A260, MATCH(MAX(F$2:F260), F$2:F260, 0)), MAX(F$2:F260)+1, MAX(F$2:F260)+2)))</f>
        <v/>
      </c>
      <c r="G261">
        <f>IF(NOT(AND(C261=1, TRIM(ERP資料!T261)="捲筒")), 0, IF(MAX(G$2:G260)=0, 1, IF(ERP資料!A261=INDEX(ERP資料!$A$2:$A260, MATCH(MAX(G$2:G260), G$2:G260, 0)), MAX(G$2:G260)+1, MAX(G$2:G260)+2)))</f>
        <v/>
      </c>
      <c r="H261">
        <f>IF(OR(ERP資料!C261="",ERP資料!D261=""),0,ERP資料!D261-ERP資料!C261+1)</f>
        <v/>
      </c>
    </row>
    <row r="262">
      <c r="A262" t="n">
        <v>262</v>
      </c>
      <c r="B262">
        <f>IF(ERP資料!A262="","",ERP資料!A262&amp;"|"&amp;ERP資料!E262&amp;"|"&amp;ERP資料!F262&amp;"|"&amp;ERP資料!G262&amp;"|"&amp;ERP資料!H262&amp;"|"&amp;ERP資料!O262)</f>
        <v/>
      </c>
      <c r="C262">
        <f>IF(B262="",0,IF(COUNTIF(B$2:B261,B262)=0,1,0))</f>
        <v/>
      </c>
      <c r="D262">
        <f>IF(B262="",0,SUMIFS($H$2:$H$801,$B$2:$B$801,B262))</f>
        <v/>
      </c>
      <c r="E262">
        <f>IF(NOT(AND(C262=1, TRIM(ERP資料!T262)="平板")), 0, IF(MAX(E$2:E261)=0, 1, IF(ERP資料!A262=INDEX(ERP資料!$A$2:$A261, MATCH(MAX(E$2:E261), E$2:E261, 0)), MAX(E$2:E261)+1, MAX(E$2:E261)+2)))</f>
        <v/>
      </c>
      <c r="F262">
        <f>IF(NOT(AND(C262=1, TRIM(ERP資料!T262)="平板")), 0, IF(MAX(F$2:F261)=0, 1, IF(ERP資料!A262=INDEX(ERP資料!$A$2:$A261, MATCH(MAX(F$2:F261), F$2:F261, 0)), MAX(F$2:F261)+1, MAX(F$2:F261)+2)))</f>
        <v/>
      </c>
      <c r="G262">
        <f>IF(NOT(AND(C262=1, TRIM(ERP資料!T262)="捲筒")), 0, IF(MAX(G$2:G261)=0, 1, IF(ERP資料!A262=INDEX(ERP資料!$A$2:$A261, MATCH(MAX(G$2:G261), G$2:G261, 0)), MAX(G$2:G261)+1, MAX(G$2:G261)+2)))</f>
        <v/>
      </c>
      <c r="H262">
        <f>IF(OR(ERP資料!C262="",ERP資料!D262=""),0,ERP資料!D262-ERP資料!C262+1)</f>
        <v/>
      </c>
    </row>
    <row r="263">
      <c r="A263" t="n">
        <v>263</v>
      </c>
      <c r="B263">
        <f>IF(ERP資料!A263="","",ERP資料!A263&amp;"|"&amp;ERP資料!E263&amp;"|"&amp;ERP資料!F263&amp;"|"&amp;ERP資料!G263&amp;"|"&amp;ERP資料!H263&amp;"|"&amp;ERP資料!O263)</f>
        <v/>
      </c>
      <c r="C263">
        <f>IF(B263="",0,IF(COUNTIF(B$2:B262,B263)=0,1,0))</f>
        <v/>
      </c>
      <c r="D263">
        <f>IF(B263="",0,SUMIFS($H$2:$H$801,$B$2:$B$801,B263))</f>
        <v/>
      </c>
      <c r="E263">
        <f>IF(NOT(AND(C263=1, TRIM(ERP資料!T263)="平板")), 0, IF(MAX(E$2:E262)=0, 1, IF(ERP資料!A263=INDEX(ERP資料!$A$2:$A262, MATCH(MAX(E$2:E262), E$2:E262, 0)), MAX(E$2:E262)+1, MAX(E$2:E262)+2)))</f>
        <v/>
      </c>
      <c r="F263">
        <f>IF(NOT(AND(C263=1, TRIM(ERP資料!T263)="平板")), 0, IF(MAX(F$2:F262)=0, 1, IF(ERP資料!A263=INDEX(ERP資料!$A$2:$A262, MATCH(MAX(F$2:F262), F$2:F262, 0)), MAX(F$2:F262)+1, MAX(F$2:F262)+2)))</f>
        <v/>
      </c>
      <c r="G263">
        <f>IF(NOT(AND(C263=1, TRIM(ERP資料!T263)="捲筒")), 0, IF(MAX(G$2:G262)=0, 1, IF(ERP資料!A263=INDEX(ERP資料!$A$2:$A262, MATCH(MAX(G$2:G262), G$2:G262, 0)), MAX(G$2:G262)+1, MAX(G$2:G262)+2)))</f>
        <v/>
      </c>
      <c r="H263">
        <f>IF(OR(ERP資料!C263="",ERP資料!D263=""),0,ERP資料!D263-ERP資料!C263+1)</f>
        <v/>
      </c>
    </row>
    <row r="264">
      <c r="A264" t="n">
        <v>264</v>
      </c>
      <c r="B264">
        <f>IF(ERP資料!A264="","",ERP資料!A264&amp;"|"&amp;ERP資料!E264&amp;"|"&amp;ERP資料!F264&amp;"|"&amp;ERP資料!G264&amp;"|"&amp;ERP資料!H264&amp;"|"&amp;ERP資料!O264)</f>
        <v/>
      </c>
      <c r="C264">
        <f>IF(B264="",0,IF(COUNTIF(B$2:B263,B264)=0,1,0))</f>
        <v/>
      </c>
      <c r="D264">
        <f>IF(B264="",0,SUMIFS($H$2:$H$801,$B$2:$B$801,B264))</f>
        <v/>
      </c>
      <c r="E264">
        <f>IF(NOT(AND(C264=1, TRIM(ERP資料!T264)="平板")), 0, IF(MAX(E$2:E263)=0, 1, IF(ERP資料!A264=INDEX(ERP資料!$A$2:$A263, MATCH(MAX(E$2:E263), E$2:E263, 0)), MAX(E$2:E263)+1, MAX(E$2:E263)+2)))</f>
        <v/>
      </c>
      <c r="F264">
        <f>IF(NOT(AND(C264=1, TRIM(ERP資料!T264)="平板")), 0, IF(MAX(F$2:F263)=0, 1, IF(ERP資料!A264=INDEX(ERP資料!$A$2:$A263, MATCH(MAX(F$2:F263), F$2:F263, 0)), MAX(F$2:F263)+1, MAX(F$2:F263)+2)))</f>
        <v/>
      </c>
      <c r="G264">
        <f>IF(NOT(AND(C264=1, TRIM(ERP資料!T264)="捲筒")), 0, IF(MAX(G$2:G263)=0, 1, IF(ERP資料!A264=INDEX(ERP資料!$A$2:$A263, MATCH(MAX(G$2:G263), G$2:G263, 0)), MAX(G$2:G263)+1, MAX(G$2:G263)+2)))</f>
        <v/>
      </c>
      <c r="H264">
        <f>IF(OR(ERP資料!C264="",ERP資料!D264=""),0,ERP資料!D264-ERP資料!C264+1)</f>
        <v/>
      </c>
    </row>
    <row r="265">
      <c r="A265" t="n">
        <v>265</v>
      </c>
      <c r="B265">
        <f>IF(ERP資料!A265="","",ERP資料!A265&amp;"|"&amp;ERP資料!E265&amp;"|"&amp;ERP資料!F265&amp;"|"&amp;ERP資料!G265&amp;"|"&amp;ERP資料!H265&amp;"|"&amp;ERP資料!O265)</f>
        <v/>
      </c>
      <c r="C265">
        <f>IF(B265="",0,IF(COUNTIF(B$2:B264,B265)=0,1,0))</f>
        <v/>
      </c>
      <c r="D265">
        <f>IF(B265="",0,SUMIFS($H$2:$H$801,$B$2:$B$801,B265))</f>
        <v/>
      </c>
      <c r="E265">
        <f>IF(NOT(AND(C265=1, TRIM(ERP資料!T265)="平板")), 0, IF(MAX(E$2:E264)=0, 1, IF(ERP資料!A265=INDEX(ERP資料!$A$2:$A264, MATCH(MAX(E$2:E264), E$2:E264, 0)), MAX(E$2:E264)+1, MAX(E$2:E264)+2)))</f>
        <v/>
      </c>
      <c r="F265">
        <f>IF(NOT(AND(C265=1, TRIM(ERP資料!T265)="平板")), 0, IF(MAX(F$2:F264)=0, 1, IF(ERP資料!A265=INDEX(ERP資料!$A$2:$A264, MATCH(MAX(F$2:F264), F$2:F264, 0)), MAX(F$2:F264)+1, MAX(F$2:F264)+2)))</f>
        <v/>
      </c>
      <c r="G265">
        <f>IF(NOT(AND(C265=1, TRIM(ERP資料!T265)="捲筒")), 0, IF(MAX(G$2:G264)=0, 1, IF(ERP資料!A265=INDEX(ERP資料!$A$2:$A264, MATCH(MAX(G$2:G264), G$2:G264, 0)), MAX(G$2:G264)+1, MAX(G$2:G264)+2)))</f>
        <v/>
      </c>
      <c r="H265">
        <f>IF(OR(ERP資料!C265="",ERP資料!D265=""),0,ERP資料!D265-ERP資料!C265+1)</f>
        <v/>
      </c>
    </row>
    <row r="266">
      <c r="A266" t="n">
        <v>266</v>
      </c>
      <c r="B266">
        <f>IF(ERP資料!A266="","",ERP資料!A266&amp;"|"&amp;ERP資料!E266&amp;"|"&amp;ERP資料!F266&amp;"|"&amp;ERP資料!G266&amp;"|"&amp;ERP資料!H266&amp;"|"&amp;ERP資料!O266)</f>
        <v/>
      </c>
      <c r="C266">
        <f>IF(B266="",0,IF(COUNTIF(B$2:B265,B266)=0,1,0))</f>
        <v/>
      </c>
      <c r="D266">
        <f>IF(B266="",0,SUMIFS($H$2:$H$801,$B$2:$B$801,B266))</f>
        <v/>
      </c>
      <c r="E266">
        <f>IF(NOT(AND(C266=1, TRIM(ERP資料!T266)="平板")), 0, IF(MAX(E$2:E265)=0, 1, IF(ERP資料!A266=INDEX(ERP資料!$A$2:$A265, MATCH(MAX(E$2:E265), E$2:E265, 0)), MAX(E$2:E265)+1, MAX(E$2:E265)+2)))</f>
        <v/>
      </c>
      <c r="F266">
        <f>IF(NOT(AND(C266=1, TRIM(ERP資料!T266)="平板")), 0, IF(MAX(F$2:F265)=0, 1, IF(ERP資料!A266=INDEX(ERP資料!$A$2:$A265, MATCH(MAX(F$2:F265), F$2:F265, 0)), MAX(F$2:F265)+1, MAX(F$2:F265)+2)))</f>
        <v/>
      </c>
      <c r="G266">
        <f>IF(NOT(AND(C266=1, TRIM(ERP資料!T266)="捲筒")), 0, IF(MAX(G$2:G265)=0, 1, IF(ERP資料!A266=INDEX(ERP資料!$A$2:$A265, MATCH(MAX(G$2:G265), G$2:G265, 0)), MAX(G$2:G265)+1, MAX(G$2:G265)+2)))</f>
        <v/>
      </c>
      <c r="H266">
        <f>IF(OR(ERP資料!C266="",ERP資料!D266=""),0,ERP資料!D266-ERP資料!C266+1)</f>
        <v/>
      </c>
    </row>
    <row r="267">
      <c r="A267" t="n">
        <v>267</v>
      </c>
      <c r="B267">
        <f>IF(ERP資料!A267="","",ERP資料!A267&amp;"|"&amp;ERP資料!E267&amp;"|"&amp;ERP資料!F267&amp;"|"&amp;ERP資料!G267&amp;"|"&amp;ERP資料!H267&amp;"|"&amp;ERP資料!O267)</f>
        <v/>
      </c>
      <c r="C267">
        <f>IF(B267="",0,IF(COUNTIF(B$2:B266,B267)=0,1,0))</f>
        <v/>
      </c>
      <c r="D267">
        <f>IF(B267="",0,SUMIFS($H$2:$H$801,$B$2:$B$801,B267))</f>
        <v/>
      </c>
      <c r="E267">
        <f>IF(NOT(AND(C267=1, TRIM(ERP資料!T267)="平板")), 0, IF(MAX(E$2:E266)=0, 1, IF(ERP資料!A267=INDEX(ERP資料!$A$2:$A266, MATCH(MAX(E$2:E266), E$2:E266, 0)), MAX(E$2:E266)+1, MAX(E$2:E266)+2)))</f>
        <v/>
      </c>
      <c r="F267">
        <f>IF(NOT(AND(C267=1, TRIM(ERP資料!T267)="平板")), 0, IF(MAX(F$2:F266)=0, 1, IF(ERP資料!A267=INDEX(ERP資料!$A$2:$A266, MATCH(MAX(F$2:F266), F$2:F266, 0)), MAX(F$2:F266)+1, MAX(F$2:F266)+2)))</f>
        <v/>
      </c>
      <c r="G267">
        <f>IF(NOT(AND(C267=1, TRIM(ERP資料!T267)="捲筒")), 0, IF(MAX(G$2:G266)=0, 1, IF(ERP資料!A267=INDEX(ERP資料!$A$2:$A266, MATCH(MAX(G$2:G266), G$2:G266, 0)), MAX(G$2:G266)+1, MAX(G$2:G266)+2)))</f>
        <v/>
      </c>
      <c r="H267">
        <f>IF(OR(ERP資料!C267="",ERP資料!D267=""),0,ERP資料!D267-ERP資料!C267+1)</f>
        <v/>
      </c>
    </row>
    <row r="268">
      <c r="A268" t="n">
        <v>268</v>
      </c>
      <c r="B268">
        <f>IF(ERP資料!A268="","",ERP資料!A268&amp;"|"&amp;ERP資料!E268&amp;"|"&amp;ERP資料!F268&amp;"|"&amp;ERP資料!G268&amp;"|"&amp;ERP資料!H268&amp;"|"&amp;ERP資料!O268)</f>
        <v/>
      </c>
      <c r="C268">
        <f>IF(B268="",0,IF(COUNTIF(B$2:B267,B268)=0,1,0))</f>
        <v/>
      </c>
      <c r="D268">
        <f>IF(B268="",0,SUMIFS($H$2:$H$801,$B$2:$B$801,B268))</f>
        <v/>
      </c>
      <c r="E268">
        <f>IF(NOT(AND(C268=1, TRIM(ERP資料!T268)="平板")), 0, IF(MAX(E$2:E267)=0, 1, IF(ERP資料!A268=INDEX(ERP資料!$A$2:$A267, MATCH(MAX(E$2:E267), E$2:E267, 0)), MAX(E$2:E267)+1, MAX(E$2:E267)+2)))</f>
        <v/>
      </c>
      <c r="F268">
        <f>IF(NOT(AND(C268=1, TRIM(ERP資料!T268)="平板")), 0, IF(MAX(F$2:F267)=0, 1, IF(ERP資料!A268=INDEX(ERP資料!$A$2:$A267, MATCH(MAX(F$2:F267), F$2:F267, 0)), MAX(F$2:F267)+1, MAX(F$2:F267)+2)))</f>
        <v/>
      </c>
      <c r="G268">
        <f>IF(NOT(AND(C268=1, TRIM(ERP資料!T268)="捲筒")), 0, IF(MAX(G$2:G267)=0, 1, IF(ERP資料!A268=INDEX(ERP資料!$A$2:$A267, MATCH(MAX(G$2:G267), G$2:G267, 0)), MAX(G$2:G267)+1, MAX(G$2:G267)+2)))</f>
        <v/>
      </c>
      <c r="H268">
        <f>IF(OR(ERP資料!C268="",ERP資料!D268=""),0,ERP資料!D268-ERP資料!C268+1)</f>
        <v/>
      </c>
    </row>
    <row r="269">
      <c r="A269" t="n">
        <v>269</v>
      </c>
      <c r="B269">
        <f>IF(ERP資料!A269="","",ERP資料!A269&amp;"|"&amp;ERP資料!E269&amp;"|"&amp;ERP資料!F269&amp;"|"&amp;ERP資料!G269&amp;"|"&amp;ERP資料!H269&amp;"|"&amp;ERP資料!O269)</f>
        <v/>
      </c>
      <c r="C269">
        <f>IF(B269="",0,IF(COUNTIF(B$2:B268,B269)=0,1,0))</f>
        <v/>
      </c>
      <c r="D269">
        <f>IF(B269="",0,SUMIFS($H$2:$H$801,$B$2:$B$801,B269))</f>
        <v/>
      </c>
      <c r="E269">
        <f>IF(NOT(AND(C269=1, TRIM(ERP資料!T269)="平板")), 0, IF(MAX(E$2:E268)=0, 1, IF(ERP資料!A269=INDEX(ERP資料!$A$2:$A268, MATCH(MAX(E$2:E268), E$2:E268, 0)), MAX(E$2:E268)+1, MAX(E$2:E268)+2)))</f>
        <v/>
      </c>
      <c r="F269">
        <f>IF(NOT(AND(C269=1, TRIM(ERP資料!T269)="平板")), 0, IF(MAX(F$2:F268)=0, 1, IF(ERP資料!A269=INDEX(ERP資料!$A$2:$A268, MATCH(MAX(F$2:F268), F$2:F268, 0)), MAX(F$2:F268)+1, MAX(F$2:F268)+2)))</f>
        <v/>
      </c>
      <c r="G269">
        <f>IF(NOT(AND(C269=1, TRIM(ERP資料!T269)="捲筒")), 0, IF(MAX(G$2:G268)=0, 1, IF(ERP資料!A269=INDEX(ERP資料!$A$2:$A268, MATCH(MAX(G$2:G268), G$2:G268, 0)), MAX(G$2:G268)+1, MAX(G$2:G268)+2)))</f>
        <v/>
      </c>
      <c r="H269">
        <f>IF(OR(ERP資料!C269="",ERP資料!D269=""),0,ERP資料!D269-ERP資料!C269+1)</f>
        <v/>
      </c>
    </row>
    <row r="270">
      <c r="A270" t="n">
        <v>270</v>
      </c>
      <c r="B270">
        <f>IF(ERP資料!A270="","",ERP資料!A270&amp;"|"&amp;ERP資料!E270&amp;"|"&amp;ERP資料!F270&amp;"|"&amp;ERP資料!G270&amp;"|"&amp;ERP資料!H270&amp;"|"&amp;ERP資料!O270)</f>
        <v/>
      </c>
      <c r="C270">
        <f>IF(B270="",0,IF(COUNTIF(B$2:B269,B270)=0,1,0))</f>
        <v/>
      </c>
      <c r="D270">
        <f>IF(B270="",0,SUMIFS($H$2:$H$801,$B$2:$B$801,B270))</f>
        <v/>
      </c>
      <c r="E270">
        <f>IF(NOT(AND(C270=1, TRIM(ERP資料!T270)="平板")), 0, IF(MAX(E$2:E269)=0, 1, IF(ERP資料!A270=INDEX(ERP資料!$A$2:$A269, MATCH(MAX(E$2:E269), E$2:E269, 0)), MAX(E$2:E269)+1, MAX(E$2:E269)+2)))</f>
        <v/>
      </c>
      <c r="F270">
        <f>IF(NOT(AND(C270=1, TRIM(ERP資料!T270)="平板")), 0, IF(MAX(F$2:F269)=0, 1, IF(ERP資料!A270=INDEX(ERP資料!$A$2:$A269, MATCH(MAX(F$2:F269), F$2:F269, 0)), MAX(F$2:F269)+1, MAX(F$2:F269)+2)))</f>
        <v/>
      </c>
      <c r="G270">
        <f>IF(NOT(AND(C270=1, TRIM(ERP資料!T270)="捲筒")), 0, IF(MAX(G$2:G269)=0, 1, IF(ERP資料!A270=INDEX(ERP資料!$A$2:$A269, MATCH(MAX(G$2:G269), G$2:G269, 0)), MAX(G$2:G269)+1, MAX(G$2:G269)+2)))</f>
        <v/>
      </c>
      <c r="H270">
        <f>IF(OR(ERP資料!C270="",ERP資料!D270=""),0,ERP資料!D270-ERP資料!C270+1)</f>
        <v/>
      </c>
    </row>
    <row r="271">
      <c r="A271" t="n">
        <v>271</v>
      </c>
      <c r="B271">
        <f>IF(ERP資料!A271="","",ERP資料!A271&amp;"|"&amp;ERP資料!E271&amp;"|"&amp;ERP資料!F271&amp;"|"&amp;ERP資料!G271&amp;"|"&amp;ERP資料!H271&amp;"|"&amp;ERP資料!O271)</f>
        <v/>
      </c>
      <c r="C271">
        <f>IF(B271="",0,IF(COUNTIF(B$2:B270,B271)=0,1,0))</f>
        <v/>
      </c>
      <c r="D271">
        <f>IF(B271="",0,SUMIFS($H$2:$H$801,$B$2:$B$801,B271))</f>
        <v/>
      </c>
      <c r="E271">
        <f>IF(NOT(AND(C271=1, TRIM(ERP資料!T271)="平板")), 0, IF(MAX(E$2:E270)=0, 1, IF(ERP資料!A271=INDEX(ERP資料!$A$2:$A270, MATCH(MAX(E$2:E270), E$2:E270, 0)), MAX(E$2:E270)+1, MAX(E$2:E270)+2)))</f>
        <v/>
      </c>
      <c r="F271">
        <f>IF(NOT(AND(C271=1, TRIM(ERP資料!T271)="平板")), 0, IF(MAX(F$2:F270)=0, 1, IF(ERP資料!A271=INDEX(ERP資料!$A$2:$A270, MATCH(MAX(F$2:F270), F$2:F270, 0)), MAX(F$2:F270)+1, MAX(F$2:F270)+2)))</f>
        <v/>
      </c>
      <c r="G271">
        <f>IF(NOT(AND(C271=1, TRIM(ERP資料!T271)="捲筒")), 0, IF(MAX(G$2:G270)=0, 1, IF(ERP資料!A271=INDEX(ERP資料!$A$2:$A270, MATCH(MAX(G$2:G270), G$2:G270, 0)), MAX(G$2:G270)+1, MAX(G$2:G270)+2)))</f>
        <v/>
      </c>
      <c r="H271">
        <f>IF(OR(ERP資料!C271="",ERP資料!D271=""),0,ERP資料!D271-ERP資料!C271+1)</f>
        <v/>
      </c>
    </row>
    <row r="272">
      <c r="A272" t="n">
        <v>272</v>
      </c>
      <c r="B272">
        <f>IF(ERP資料!A272="","",ERP資料!A272&amp;"|"&amp;ERP資料!E272&amp;"|"&amp;ERP資料!F272&amp;"|"&amp;ERP資料!G272&amp;"|"&amp;ERP資料!H272&amp;"|"&amp;ERP資料!O272)</f>
        <v/>
      </c>
      <c r="C272">
        <f>IF(B272="",0,IF(COUNTIF(B$2:B271,B272)=0,1,0))</f>
        <v/>
      </c>
      <c r="D272">
        <f>IF(B272="",0,SUMIFS($H$2:$H$801,$B$2:$B$801,B272))</f>
        <v/>
      </c>
      <c r="E272">
        <f>IF(NOT(AND(C272=1, TRIM(ERP資料!T272)="平板")), 0, IF(MAX(E$2:E271)=0, 1, IF(ERP資料!A272=INDEX(ERP資料!$A$2:$A271, MATCH(MAX(E$2:E271), E$2:E271, 0)), MAX(E$2:E271)+1, MAX(E$2:E271)+2)))</f>
        <v/>
      </c>
      <c r="F272">
        <f>IF(NOT(AND(C272=1, TRIM(ERP資料!T272)="平板")), 0, IF(MAX(F$2:F271)=0, 1, IF(ERP資料!A272=INDEX(ERP資料!$A$2:$A271, MATCH(MAX(F$2:F271), F$2:F271, 0)), MAX(F$2:F271)+1, MAX(F$2:F271)+2)))</f>
        <v/>
      </c>
      <c r="G272">
        <f>IF(NOT(AND(C272=1, TRIM(ERP資料!T272)="捲筒")), 0, IF(MAX(G$2:G271)=0, 1, IF(ERP資料!A272=INDEX(ERP資料!$A$2:$A271, MATCH(MAX(G$2:G271), G$2:G271, 0)), MAX(G$2:G271)+1, MAX(G$2:G271)+2)))</f>
        <v/>
      </c>
      <c r="H272">
        <f>IF(OR(ERP資料!C272="",ERP資料!D272=""),0,ERP資料!D272-ERP資料!C272+1)</f>
        <v/>
      </c>
    </row>
    <row r="273">
      <c r="A273" t="n">
        <v>273</v>
      </c>
      <c r="B273">
        <f>IF(ERP資料!A273="","",ERP資料!A273&amp;"|"&amp;ERP資料!E273&amp;"|"&amp;ERP資料!F273&amp;"|"&amp;ERP資料!G273&amp;"|"&amp;ERP資料!H273&amp;"|"&amp;ERP資料!O273)</f>
        <v/>
      </c>
      <c r="C273">
        <f>IF(B273="",0,IF(COUNTIF(B$2:B272,B273)=0,1,0))</f>
        <v/>
      </c>
      <c r="D273">
        <f>IF(B273="",0,SUMIFS($H$2:$H$801,$B$2:$B$801,B273))</f>
        <v/>
      </c>
      <c r="E273">
        <f>IF(NOT(AND(C273=1, TRIM(ERP資料!T273)="平板")), 0, IF(MAX(E$2:E272)=0, 1, IF(ERP資料!A273=INDEX(ERP資料!$A$2:$A272, MATCH(MAX(E$2:E272), E$2:E272, 0)), MAX(E$2:E272)+1, MAX(E$2:E272)+2)))</f>
        <v/>
      </c>
      <c r="F273">
        <f>IF(NOT(AND(C273=1, TRIM(ERP資料!T273)="平板")), 0, IF(MAX(F$2:F272)=0, 1, IF(ERP資料!A273=INDEX(ERP資料!$A$2:$A272, MATCH(MAX(F$2:F272), F$2:F272, 0)), MAX(F$2:F272)+1, MAX(F$2:F272)+2)))</f>
        <v/>
      </c>
      <c r="G273">
        <f>IF(NOT(AND(C273=1, TRIM(ERP資料!T273)="捲筒")), 0, IF(MAX(G$2:G272)=0, 1, IF(ERP資料!A273=INDEX(ERP資料!$A$2:$A272, MATCH(MAX(G$2:G272), G$2:G272, 0)), MAX(G$2:G272)+1, MAX(G$2:G272)+2)))</f>
        <v/>
      </c>
      <c r="H273">
        <f>IF(OR(ERP資料!C273="",ERP資料!D273=""),0,ERP資料!D273-ERP資料!C273+1)</f>
        <v/>
      </c>
    </row>
    <row r="274">
      <c r="A274" t="n">
        <v>274</v>
      </c>
      <c r="B274">
        <f>IF(ERP資料!A274="","",ERP資料!A274&amp;"|"&amp;ERP資料!E274&amp;"|"&amp;ERP資料!F274&amp;"|"&amp;ERP資料!G274&amp;"|"&amp;ERP資料!H274&amp;"|"&amp;ERP資料!O274)</f>
        <v/>
      </c>
      <c r="C274">
        <f>IF(B274="",0,IF(COUNTIF(B$2:B273,B274)=0,1,0))</f>
        <v/>
      </c>
      <c r="D274">
        <f>IF(B274="",0,SUMIFS($H$2:$H$801,$B$2:$B$801,B274))</f>
        <v/>
      </c>
      <c r="E274">
        <f>IF(NOT(AND(C274=1, TRIM(ERP資料!T274)="平板")), 0, IF(MAX(E$2:E273)=0, 1, IF(ERP資料!A274=INDEX(ERP資料!$A$2:$A273, MATCH(MAX(E$2:E273), E$2:E273, 0)), MAX(E$2:E273)+1, MAX(E$2:E273)+2)))</f>
        <v/>
      </c>
      <c r="F274">
        <f>IF(NOT(AND(C274=1, TRIM(ERP資料!T274)="平板")), 0, IF(MAX(F$2:F273)=0, 1, IF(ERP資料!A274=INDEX(ERP資料!$A$2:$A273, MATCH(MAX(F$2:F273), F$2:F273, 0)), MAX(F$2:F273)+1, MAX(F$2:F273)+2)))</f>
        <v/>
      </c>
      <c r="G274">
        <f>IF(NOT(AND(C274=1, TRIM(ERP資料!T274)="捲筒")), 0, IF(MAX(G$2:G273)=0, 1, IF(ERP資料!A274=INDEX(ERP資料!$A$2:$A273, MATCH(MAX(G$2:G273), G$2:G273, 0)), MAX(G$2:G273)+1, MAX(G$2:G273)+2)))</f>
        <v/>
      </c>
      <c r="H274">
        <f>IF(OR(ERP資料!C274="",ERP資料!D274=""),0,ERP資料!D274-ERP資料!C274+1)</f>
        <v/>
      </c>
    </row>
    <row r="275">
      <c r="A275" t="n">
        <v>275</v>
      </c>
      <c r="B275">
        <f>IF(ERP資料!A275="","",ERP資料!A275&amp;"|"&amp;ERP資料!E275&amp;"|"&amp;ERP資料!F275&amp;"|"&amp;ERP資料!G275&amp;"|"&amp;ERP資料!H275&amp;"|"&amp;ERP資料!O275)</f>
        <v/>
      </c>
      <c r="C275">
        <f>IF(B275="",0,IF(COUNTIF(B$2:B274,B275)=0,1,0))</f>
        <v/>
      </c>
      <c r="D275">
        <f>IF(B275="",0,SUMIFS($H$2:$H$801,$B$2:$B$801,B275))</f>
        <v/>
      </c>
      <c r="E275">
        <f>IF(NOT(AND(C275=1, TRIM(ERP資料!T275)="平板")), 0, IF(MAX(E$2:E274)=0, 1, IF(ERP資料!A275=INDEX(ERP資料!$A$2:$A274, MATCH(MAX(E$2:E274), E$2:E274, 0)), MAX(E$2:E274)+1, MAX(E$2:E274)+2)))</f>
        <v/>
      </c>
      <c r="F275">
        <f>IF(NOT(AND(C275=1, TRIM(ERP資料!T275)="平板")), 0, IF(MAX(F$2:F274)=0, 1, IF(ERP資料!A275=INDEX(ERP資料!$A$2:$A274, MATCH(MAX(F$2:F274), F$2:F274, 0)), MAX(F$2:F274)+1, MAX(F$2:F274)+2)))</f>
        <v/>
      </c>
      <c r="G275">
        <f>IF(NOT(AND(C275=1, TRIM(ERP資料!T275)="捲筒")), 0, IF(MAX(G$2:G274)=0, 1, IF(ERP資料!A275=INDEX(ERP資料!$A$2:$A274, MATCH(MAX(G$2:G274), G$2:G274, 0)), MAX(G$2:G274)+1, MAX(G$2:G274)+2)))</f>
        <v/>
      </c>
      <c r="H275">
        <f>IF(OR(ERP資料!C275="",ERP資料!D275=""),0,ERP資料!D275-ERP資料!C275+1)</f>
        <v/>
      </c>
    </row>
    <row r="276">
      <c r="A276" t="n">
        <v>276</v>
      </c>
      <c r="B276">
        <f>IF(ERP資料!A276="","",ERP資料!A276&amp;"|"&amp;ERP資料!E276&amp;"|"&amp;ERP資料!F276&amp;"|"&amp;ERP資料!G276&amp;"|"&amp;ERP資料!H276&amp;"|"&amp;ERP資料!O276)</f>
        <v/>
      </c>
      <c r="C276">
        <f>IF(B276="",0,IF(COUNTIF(B$2:B275,B276)=0,1,0))</f>
        <v/>
      </c>
      <c r="D276">
        <f>IF(B276="",0,SUMIFS($H$2:$H$801,$B$2:$B$801,B276))</f>
        <v/>
      </c>
      <c r="E276">
        <f>IF(NOT(AND(C276=1, TRIM(ERP資料!T276)="平板")), 0, IF(MAX(E$2:E275)=0, 1, IF(ERP資料!A276=INDEX(ERP資料!$A$2:$A275, MATCH(MAX(E$2:E275), E$2:E275, 0)), MAX(E$2:E275)+1, MAX(E$2:E275)+2)))</f>
        <v/>
      </c>
      <c r="F276">
        <f>IF(NOT(AND(C276=1, TRIM(ERP資料!T276)="平板")), 0, IF(MAX(F$2:F275)=0, 1, IF(ERP資料!A276=INDEX(ERP資料!$A$2:$A275, MATCH(MAX(F$2:F275), F$2:F275, 0)), MAX(F$2:F275)+1, MAX(F$2:F275)+2)))</f>
        <v/>
      </c>
      <c r="G276">
        <f>IF(NOT(AND(C276=1, TRIM(ERP資料!T276)="捲筒")), 0, IF(MAX(G$2:G275)=0, 1, IF(ERP資料!A276=INDEX(ERP資料!$A$2:$A275, MATCH(MAX(G$2:G275), G$2:G275, 0)), MAX(G$2:G275)+1, MAX(G$2:G275)+2)))</f>
        <v/>
      </c>
      <c r="H276">
        <f>IF(OR(ERP資料!C276="",ERP資料!D276=""),0,ERP資料!D276-ERP資料!C276+1)</f>
        <v/>
      </c>
    </row>
    <row r="277">
      <c r="A277" t="n">
        <v>277</v>
      </c>
      <c r="B277">
        <f>IF(ERP資料!A277="","",ERP資料!A277&amp;"|"&amp;ERP資料!E277&amp;"|"&amp;ERP資料!F277&amp;"|"&amp;ERP資料!G277&amp;"|"&amp;ERP資料!H277&amp;"|"&amp;ERP資料!O277)</f>
        <v/>
      </c>
      <c r="C277">
        <f>IF(B277="",0,IF(COUNTIF(B$2:B276,B277)=0,1,0))</f>
        <v/>
      </c>
      <c r="D277">
        <f>IF(B277="",0,SUMIFS($H$2:$H$801,$B$2:$B$801,B277))</f>
        <v/>
      </c>
      <c r="E277">
        <f>IF(NOT(AND(C277=1, TRIM(ERP資料!T277)="平板")), 0, IF(MAX(E$2:E276)=0, 1, IF(ERP資料!A277=INDEX(ERP資料!$A$2:$A276, MATCH(MAX(E$2:E276), E$2:E276, 0)), MAX(E$2:E276)+1, MAX(E$2:E276)+2)))</f>
        <v/>
      </c>
      <c r="F277">
        <f>IF(NOT(AND(C277=1, TRIM(ERP資料!T277)="平板")), 0, IF(MAX(F$2:F276)=0, 1, IF(ERP資料!A277=INDEX(ERP資料!$A$2:$A276, MATCH(MAX(F$2:F276), F$2:F276, 0)), MAX(F$2:F276)+1, MAX(F$2:F276)+2)))</f>
        <v/>
      </c>
      <c r="G277">
        <f>IF(NOT(AND(C277=1, TRIM(ERP資料!T277)="捲筒")), 0, IF(MAX(G$2:G276)=0, 1, IF(ERP資料!A277=INDEX(ERP資料!$A$2:$A276, MATCH(MAX(G$2:G276), G$2:G276, 0)), MAX(G$2:G276)+1, MAX(G$2:G276)+2)))</f>
        <v/>
      </c>
      <c r="H277">
        <f>IF(OR(ERP資料!C277="",ERP資料!D277=""),0,ERP資料!D277-ERP資料!C277+1)</f>
        <v/>
      </c>
    </row>
    <row r="278">
      <c r="A278" t="n">
        <v>278</v>
      </c>
      <c r="B278">
        <f>IF(ERP資料!A278="","",ERP資料!A278&amp;"|"&amp;ERP資料!E278&amp;"|"&amp;ERP資料!F278&amp;"|"&amp;ERP資料!G278&amp;"|"&amp;ERP資料!H278&amp;"|"&amp;ERP資料!O278)</f>
        <v/>
      </c>
      <c r="C278">
        <f>IF(B278="",0,IF(COUNTIF(B$2:B277,B278)=0,1,0))</f>
        <v/>
      </c>
      <c r="D278">
        <f>IF(B278="",0,SUMIFS($H$2:$H$801,$B$2:$B$801,B278))</f>
        <v/>
      </c>
      <c r="E278">
        <f>IF(NOT(AND(C278=1, TRIM(ERP資料!T278)="平板")), 0, IF(MAX(E$2:E277)=0, 1, IF(ERP資料!A278=INDEX(ERP資料!$A$2:$A277, MATCH(MAX(E$2:E277), E$2:E277, 0)), MAX(E$2:E277)+1, MAX(E$2:E277)+2)))</f>
        <v/>
      </c>
      <c r="F278">
        <f>IF(NOT(AND(C278=1, TRIM(ERP資料!T278)="平板")), 0, IF(MAX(F$2:F277)=0, 1, IF(ERP資料!A278=INDEX(ERP資料!$A$2:$A277, MATCH(MAX(F$2:F277), F$2:F277, 0)), MAX(F$2:F277)+1, MAX(F$2:F277)+2)))</f>
        <v/>
      </c>
      <c r="G278">
        <f>IF(NOT(AND(C278=1, TRIM(ERP資料!T278)="捲筒")), 0, IF(MAX(G$2:G277)=0, 1, IF(ERP資料!A278=INDEX(ERP資料!$A$2:$A277, MATCH(MAX(G$2:G277), G$2:G277, 0)), MAX(G$2:G277)+1, MAX(G$2:G277)+2)))</f>
        <v/>
      </c>
      <c r="H278">
        <f>IF(OR(ERP資料!C278="",ERP資料!D278=""),0,ERP資料!D278-ERP資料!C278+1)</f>
        <v/>
      </c>
    </row>
    <row r="279">
      <c r="A279" t="n">
        <v>279</v>
      </c>
      <c r="B279">
        <f>IF(ERP資料!A279="","",ERP資料!A279&amp;"|"&amp;ERP資料!E279&amp;"|"&amp;ERP資料!F279&amp;"|"&amp;ERP資料!G279&amp;"|"&amp;ERP資料!H279&amp;"|"&amp;ERP資料!O279)</f>
        <v/>
      </c>
      <c r="C279">
        <f>IF(B279="",0,IF(COUNTIF(B$2:B278,B279)=0,1,0))</f>
        <v/>
      </c>
      <c r="D279">
        <f>IF(B279="",0,SUMIFS($H$2:$H$801,$B$2:$B$801,B279))</f>
        <v/>
      </c>
      <c r="E279">
        <f>IF(NOT(AND(C279=1, TRIM(ERP資料!T279)="平板")), 0, IF(MAX(E$2:E278)=0, 1, IF(ERP資料!A279=INDEX(ERP資料!$A$2:$A278, MATCH(MAX(E$2:E278), E$2:E278, 0)), MAX(E$2:E278)+1, MAX(E$2:E278)+2)))</f>
        <v/>
      </c>
      <c r="F279">
        <f>IF(NOT(AND(C279=1, TRIM(ERP資料!T279)="平板")), 0, IF(MAX(F$2:F278)=0, 1, IF(ERP資料!A279=INDEX(ERP資料!$A$2:$A278, MATCH(MAX(F$2:F278), F$2:F278, 0)), MAX(F$2:F278)+1, MAX(F$2:F278)+2)))</f>
        <v/>
      </c>
      <c r="G279">
        <f>IF(NOT(AND(C279=1, TRIM(ERP資料!T279)="捲筒")), 0, IF(MAX(G$2:G278)=0, 1, IF(ERP資料!A279=INDEX(ERP資料!$A$2:$A278, MATCH(MAX(G$2:G278), G$2:G278, 0)), MAX(G$2:G278)+1, MAX(G$2:G278)+2)))</f>
        <v/>
      </c>
      <c r="H279">
        <f>IF(OR(ERP資料!C279="",ERP資料!D279=""),0,ERP資料!D279-ERP資料!C279+1)</f>
        <v/>
      </c>
    </row>
    <row r="280">
      <c r="A280" t="n">
        <v>280</v>
      </c>
      <c r="B280">
        <f>IF(ERP資料!A280="","",ERP資料!A280&amp;"|"&amp;ERP資料!E280&amp;"|"&amp;ERP資料!F280&amp;"|"&amp;ERP資料!G280&amp;"|"&amp;ERP資料!H280&amp;"|"&amp;ERP資料!O280)</f>
        <v/>
      </c>
      <c r="C280">
        <f>IF(B280="",0,IF(COUNTIF(B$2:B279,B280)=0,1,0))</f>
        <v/>
      </c>
      <c r="D280">
        <f>IF(B280="",0,SUMIFS($H$2:$H$801,$B$2:$B$801,B280))</f>
        <v/>
      </c>
      <c r="E280">
        <f>IF(NOT(AND(C280=1, TRIM(ERP資料!T280)="平板")), 0, IF(MAX(E$2:E279)=0, 1, IF(ERP資料!A280=INDEX(ERP資料!$A$2:$A279, MATCH(MAX(E$2:E279), E$2:E279, 0)), MAX(E$2:E279)+1, MAX(E$2:E279)+2)))</f>
        <v/>
      </c>
      <c r="F280">
        <f>IF(NOT(AND(C280=1, TRIM(ERP資料!T280)="平板")), 0, IF(MAX(F$2:F279)=0, 1, IF(ERP資料!A280=INDEX(ERP資料!$A$2:$A279, MATCH(MAX(F$2:F279), F$2:F279, 0)), MAX(F$2:F279)+1, MAX(F$2:F279)+2)))</f>
        <v/>
      </c>
      <c r="G280">
        <f>IF(NOT(AND(C280=1, TRIM(ERP資料!T280)="捲筒")), 0, IF(MAX(G$2:G279)=0, 1, IF(ERP資料!A280=INDEX(ERP資料!$A$2:$A279, MATCH(MAX(G$2:G279), G$2:G279, 0)), MAX(G$2:G279)+1, MAX(G$2:G279)+2)))</f>
        <v/>
      </c>
      <c r="H280">
        <f>IF(OR(ERP資料!C280="",ERP資料!D280=""),0,ERP資料!D280-ERP資料!C280+1)</f>
        <v/>
      </c>
    </row>
    <row r="281">
      <c r="A281" t="n">
        <v>281</v>
      </c>
      <c r="B281">
        <f>IF(ERP資料!A281="","",ERP資料!A281&amp;"|"&amp;ERP資料!E281&amp;"|"&amp;ERP資料!F281&amp;"|"&amp;ERP資料!G281&amp;"|"&amp;ERP資料!H281&amp;"|"&amp;ERP資料!O281)</f>
        <v/>
      </c>
      <c r="C281">
        <f>IF(B281="",0,IF(COUNTIF(B$2:B280,B281)=0,1,0))</f>
        <v/>
      </c>
      <c r="D281">
        <f>IF(B281="",0,SUMIFS($H$2:$H$801,$B$2:$B$801,B281))</f>
        <v/>
      </c>
      <c r="E281">
        <f>IF(NOT(AND(C281=1, TRIM(ERP資料!T281)="平板")), 0, IF(MAX(E$2:E280)=0, 1, IF(ERP資料!A281=INDEX(ERP資料!$A$2:$A280, MATCH(MAX(E$2:E280), E$2:E280, 0)), MAX(E$2:E280)+1, MAX(E$2:E280)+2)))</f>
        <v/>
      </c>
      <c r="F281">
        <f>IF(NOT(AND(C281=1, TRIM(ERP資料!T281)="平板")), 0, IF(MAX(F$2:F280)=0, 1, IF(ERP資料!A281=INDEX(ERP資料!$A$2:$A280, MATCH(MAX(F$2:F280), F$2:F280, 0)), MAX(F$2:F280)+1, MAX(F$2:F280)+2)))</f>
        <v/>
      </c>
      <c r="G281">
        <f>IF(NOT(AND(C281=1, TRIM(ERP資料!T281)="捲筒")), 0, IF(MAX(G$2:G280)=0, 1, IF(ERP資料!A281=INDEX(ERP資料!$A$2:$A280, MATCH(MAX(G$2:G280), G$2:G280, 0)), MAX(G$2:G280)+1, MAX(G$2:G280)+2)))</f>
        <v/>
      </c>
      <c r="H281">
        <f>IF(OR(ERP資料!C281="",ERP資料!D281=""),0,ERP資料!D281-ERP資料!C281+1)</f>
        <v/>
      </c>
    </row>
    <row r="282">
      <c r="A282" t="n">
        <v>282</v>
      </c>
      <c r="B282">
        <f>IF(ERP資料!A282="","",ERP資料!A282&amp;"|"&amp;ERP資料!E282&amp;"|"&amp;ERP資料!F282&amp;"|"&amp;ERP資料!G282&amp;"|"&amp;ERP資料!H282&amp;"|"&amp;ERP資料!O282)</f>
        <v/>
      </c>
      <c r="C282">
        <f>IF(B282="",0,IF(COUNTIF(B$2:B281,B282)=0,1,0))</f>
        <v/>
      </c>
      <c r="D282">
        <f>IF(B282="",0,SUMIFS($H$2:$H$801,$B$2:$B$801,B282))</f>
        <v/>
      </c>
      <c r="E282">
        <f>IF(NOT(AND(C282=1, TRIM(ERP資料!T282)="平板")), 0, IF(MAX(E$2:E281)=0, 1, IF(ERP資料!A282=INDEX(ERP資料!$A$2:$A281, MATCH(MAX(E$2:E281), E$2:E281, 0)), MAX(E$2:E281)+1, MAX(E$2:E281)+2)))</f>
        <v/>
      </c>
      <c r="F282">
        <f>IF(NOT(AND(C282=1, TRIM(ERP資料!T282)="平板")), 0, IF(MAX(F$2:F281)=0, 1, IF(ERP資料!A282=INDEX(ERP資料!$A$2:$A281, MATCH(MAX(F$2:F281), F$2:F281, 0)), MAX(F$2:F281)+1, MAX(F$2:F281)+2)))</f>
        <v/>
      </c>
      <c r="G282">
        <f>IF(NOT(AND(C282=1, TRIM(ERP資料!T282)="捲筒")), 0, IF(MAX(G$2:G281)=0, 1, IF(ERP資料!A282=INDEX(ERP資料!$A$2:$A281, MATCH(MAX(G$2:G281), G$2:G281, 0)), MAX(G$2:G281)+1, MAX(G$2:G281)+2)))</f>
        <v/>
      </c>
      <c r="H282">
        <f>IF(OR(ERP資料!C282="",ERP資料!D282=""),0,ERP資料!D282-ERP資料!C282+1)</f>
        <v/>
      </c>
    </row>
    <row r="283">
      <c r="A283" t="n">
        <v>283</v>
      </c>
      <c r="B283">
        <f>IF(ERP資料!A283="","",ERP資料!A283&amp;"|"&amp;ERP資料!E283&amp;"|"&amp;ERP資料!F283&amp;"|"&amp;ERP資料!G283&amp;"|"&amp;ERP資料!H283&amp;"|"&amp;ERP資料!O283)</f>
        <v/>
      </c>
      <c r="C283">
        <f>IF(B283="",0,IF(COUNTIF(B$2:B282,B283)=0,1,0))</f>
        <v/>
      </c>
      <c r="D283">
        <f>IF(B283="",0,SUMIFS($H$2:$H$801,$B$2:$B$801,B283))</f>
        <v/>
      </c>
      <c r="E283">
        <f>IF(NOT(AND(C283=1, TRIM(ERP資料!T283)="平板")), 0, IF(MAX(E$2:E282)=0, 1, IF(ERP資料!A283=INDEX(ERP資料!$A$2:$A282, MATCH(MAX(E$2:E282), E$2:E282, 0)), MAX(E$2:E282)+1, MAX(E$2:E282)+2)))</f>
        <v/>
      </c>
      <c r="F283">
        <f>IF(NOT(AND(C283=1, TRIM(ERP資料!T283)="平板")), 0, IF(MAX(F$2:F282)=0, 1, IF(ERP資料!A283=INDEX(ERP資料!$A$2:$A282, MATCH(MAX(F$2:F282), F$2:F282, 0)), MAX(F$2:F282)+1, MAX(F$2:F282)+2)))</f>
        <v/>
      </c>
      <c r="G283">
        <f>IF(NOT(AND(C283=1, TRIM(ERP資料!T283)="捲筒")), 0, IF(MAX(G$2:G282)=0, 1, IF(ERP資料!A283=INDEX(ERP資料!$A$2:$A282, MATCH(MAX(G$2:G282), G$2:G282, 0)), MAX(G$2:G282)+1, MAX(G$2:G282)+2)))</f>
        <v/>
      </c>
      <c r="H283">
        <f>IF(OR(ERP資料!C283="",ERP資料!D283=""),0,ERP資料!D283-ERP資料!C283+1)</f>
        <v/>
      </c>
    </row>
    <row r="284">
      <c r="A284" t="n">
        <v>284</v>
      </c>
      <c r="B284">
        <f>IF(ERP資料!A284="","",ERP資料!A284&amp;"|"&amp;ERP資料!E284&amp;"|"&amp;ERP資料!F284&amp;"|"&amp;ERP資料!G284&amp;"|"&amp;ERP資料!H284&amp;"|"&amp;ERP資料!O284)</f>
        <v/>
      </c>
      <c r="C284">
        <f>IF(B284="",0,IF(COUNTIF(B$2:B283,B284)=0,1,0))</f>
        <v/>
      </c>
      <c r="D284">
        <f>IF(B284="",0,SUMIFS($H$2:$H$801,$B$2:$B$801,B284))</f>
        <v/>
      </c>
      <c r="E284">
        <f>IF(NOT(AND(C284=1, TRIM(ERP資料!T284)="平板")), 0, IF(MAX(E$2:E283)=0, 1, IF(ERP資料!A284=INDEX(ERP資料!$A$2:$A283, MATCH(MAX(E$2:E283), E$2:E283, 0)), MAX(E$2:E283)+1, MAX(E$2:E283)+2)))</f>
        <v/>
      </c>
      <c r="F284">
        <f>IF(NOT(AND(C284=1, TRIM(ERP資料!T284)="平板")), 0, IF(MAX(F$2:F283)=0, 1, IF(ERP資料!A284=INDEX(ERP資料!$A$2:$A283, MATCH(MAX(F$2:F283), F$2:F283, 0)), MAX(F$2:F283)+1, MAX(F$2:F283)+2)))</f>
        <v/>
      </c>
      <c r="G284">
        <f>IF(NOT(AND(C284=1, TRIM(ERP資料!T284)="捲筒")), 0, IF(MAX(G$2:G283)=0, 1, IF(ERP資料!A284=INDEX(ERP資料!$A$2:$A283, MATCH(MAX(G$2:G283), G$2:G283, 0)), MAX(G$2:G283)+1, MAX(G$2:G283)+2)))</f>
        <v/>
      </c>
      <c r="H284">
        <f>IF(OR(ERP資料!C284="",ERP資料!D284=""),0,ERP資料!D284-ERP資料!C284+1)</f>
        <v/>
      </c>
    </row>
    <row r="285">
      <c r="A285" t="n">
        <v>285</v>
      </c>
      <c r="B285">
        <f>IF(ERP資料!A285="","",ERP資料!A285&amp;"|"&amp;ERP資料!E285&amp;"|"&amp;ERP資料!F285&amp;"|"&amp;ERP資料!G285&amp;"|"&amp;ERP資料!H285&amp;"|"&amp;ERP資料!O285)</f>
        <v/>
      </c>
      <c r="C285">
        <f>IF(B285="",0,IF(COUNTIF(B$2:B284,B285)=0,1,0))</f>
        <v/>
      </c>
      <c r="D285">
        <f>IF(B285="",0,SUMIFS($H$2:$H$801,$B$2:$B$801,B285))</f>
        <v/>
      </c>
      <c r="E285">
        <f>IF(NOT(AND(C285=1, TRIM(ERP資料!T285)="平板")), 0, IF(MAX(E$2:E284)=0, 1, IF(ERP資料!A285=INDEX(ERP資料!$A$2:$A284, MATCH(MAX(E$2:E284), E$2:E284, 0)), MAX(E$2:E284)+1, MAX(E$2:E284)+2)))</f>
        <v/>
      </c>
      <c r="F285">
        <f>IF(NOT(AND(C285=1, TRIM(ERP資料!T285)="平板")), 0, IF(MAX(F$2:F284)=0, 1, IF(ERP資料!A285=INDEX(ERP資料!$A$2:$A284, MATCH(MAX(F$2:F284), F$2:F284, 0)), MAX(F$2:F284)+1, MAX(F$2:F284)+2)))</f>
        <v/>
      </c>
      <c r="G285">
        <f>IF(NOT(AND(C285=1, TRIM(ERP資料!T285)="捲筒")), 0, IF(MAX(G$2:G284)=0, 1, IF(ERP資料!A285=INDEX(ERP資料!$A$2:$A284, MATCH(MAX(G$2:G284), G$2:G284, 0)), MAX(G$2:G284)+1, MAX(G$2:G284)+2)))</f>
        <v/>
      </c>
      <c r="H285">
        <f>IF(OR(ERP資料!C285="",ERP資料!D285=""),0,ERP資料!D285-ERP資料!C285+1)</f>
        <v/>
      </c>
    </row>
    <row r="286">
      <c r="A286" t="n">
        <v>286</v>
      </c>
      <c r="B286">
        <f>IF(ERP資料!A286="","",ERP資料!A286&amp;"|"&amp;ERP資料!E286&amp;"|"&amp;ERP資料!F286&amp;"|"&amp;ERP資料!G286&amp;"|"&amp;ERP資料!H286&amp;"|"&amp;ERP資料!O286)</f>
        <v/>
      </c>
      <c r="C286">
        <f>IF(B286="",0,IF(COUNTIF(B$2:B285,B286)=0,1,0))</f>
        <v/>
      </c>
      <c r="D286">
        <f>IF(B286="",0,SUMIFS($H$2:$H$801,$B$2:$B$801,B286))</f>
        <v/>
      </c>
      <c r="E286">
        <f>IF(NOT(AND(C286=1, TRIM(ERP資料!T286)="平板")), 0, IF(MAX(E$2:E285)=0, 1, IF(ERP資料!A286=INDEX(ERP資料!$A$2:$A285, MATCH(MAX(E$2:E285), E$2:E285, 0)), MAX(E$2:E285)+1, MAX(E$2:E285)+2)))</f>
        <v/>
      </c>
      <c r="F286">
        <f>IF(NOT(AND(C286=1, TRIM(ERP資料!T286)="平板")), 0, IF(MAX(F$2:F285)=0, 1, IF(ERP資料!A286=INDEX(ERP資料!$A$2:$A285, MATCH(MAX(F$2:F285), F$2:F285, 0)), MAX(F$2:F285)+1, MAX(F$2:F285)+2)))</f>
        <v/>
      </c>
      <c r="G286">
        <f>IF(NOT(AND(C286=1, TRIM(ERP資料!T286)="捲筒")), 0, IF(MAX(G$2:G285)=0, 1, IF(ERP資料!A286=INDEX(ERP資料!$A$2:$A285, MATCH(MAX(G$2:G285), G$2:G285, 0)), MAX(G$2:G285)+1, MAX(G$2:G285)+2)))</f>
        <v/>
      </c>
      <c r="H286">
        <f>IF(OR(ERP資料!C286="",ERP資料!D286=""),0,ERP資料!D286-ERP資料!C286+1)</f>
        <v/>
      </c>
    </row>
    <row r="287">
      <c r="A287" t="n">
        <v>287</v>
      </c>
      <c r="B287">
        <f>IF(ERP資料!A287="","",ERP資料!A287&amp;"|"&amp;ERP資料!E287&amp;"|"&amp;ERP資料!F287&amp;"|"&amp;ERP資料!G287&amp;"|"&amp;ERP資料!H287&amp;"|"&amp;ERP資料!O287)</f>
        <v/>
      </c>
      <c r="C287">
        <f>IF(B287="",0,IF(COUNTIF(B$2:B286,B287)=0,1,0))</f>
        <v/>
      </c>
      <c r="D287">
        <f>IF(B287="",0,SUMIFS($H$2:$H$801,$B$2:$B$801,B287))</f>
        <v/>
      </c>
      <c r="E287">
        <f>IF(NOT(AND(C287=1, TRIM(ERP資料!T287)="平板")), 0, IF(MAX(E$2:E286)=0, 1, IF(ERP資料!A287=INDEX(ERP資料!$A$2:$A286, MATCH(MAX(E$2:E286), E$2:E286, 0)), MAX(E$2:E286)+1, MAX(E$2:E286)+2)))</f>
        <v/>
      </c>
      <c r="F287">
        <f>IF(NOT(AND(C287=1, TRIM(ERP資料!T287)="平板")), 0, IF(MAX(F$2:F286)=0, 1, IF(ERP資料!A287=INDEX(ERP資料!$A$2:$A286, MATCH(MAX(F$2:F286), F$2:F286, 0)), MAX(F$2:F286)+1, MAX(F$2:F286)+2)))</f>
        <v/>
      </c>
      <c r="G287">
        <f>IF(NOT(AND(C287=1, TRIM(ERP資料!T287)="捲筒")), 0, IF(MAX(G$2:G286)=0, 1, IF(ERP資料!A287=INDEX(ERP資料!$A$2:$A286, MATCH(MAX(G$2:G286), G$2:G286, 0)), MAX(G$2:G286)+1, MAX(G$2:G286)+2)))</f>
        <v/>
      </c>
      <c r="H287">
        <f>IF(OR(ERP資料!C287="",ERP資料!D287=""),0,ERP資料!D287-ERP資料!C287+1)</f>
        <v/>
      </c>
    </row>
    <row r="288">
      <c r="A288" t="n">
        <v>288</v>
      </c>
      <c r="B288">
        <f>IF(ERP資料!A288="","",ERP資料!A288&amp;"|"&amp;ERP資料!E288&amp;"|"&amp;ERP資料!F288&amp;"|"&amp;ERP資料!G288&amp;"|"&amp;ERP資料!H288&amp;"|"&amp;ERP資料!O288)</f>
        <v/>
      </c>
      <c r="C288">
        <f>IF(B288="",0,IF(COUNTIF(B$2:B287,B288)=0,1,0))</f>
        <v/>
      </c>
      <c r="D288">
        <f>IF(B288="",0,SUMIFS($H$2:$H$801,$B$2:$B$801,B288))</f>
        <v/>
      </c>
      <c r="E288">
        <f>IF(NOT(AND(C288=1, TRIM(ERP資料!T288)="平板")), 0, IF(MAX(E$2:E287)=0, 1, IF(ERP資料!A288=INDEX(ERP資料!$A$2:$A287, MATCH(MAX(E$2:E287), E$2:E287, 0)), MAX(E$2:E287)+1, MAX(E$2:E287)+2)))</f>
        <v/>
      </c>
      <c r="F288">
        <f>IF(NOT(AND(C288=1, TRIM(ERP資料!T288)="平板")), 0, IF(MAX(F$2:F287)=0, 1, IF(ERP資料!A288=INDEX(ERP資料!$A$2:$A287, MATCH(MAX(F$2:F287), F$2:F287, 0)), MAX(F$2:F287)+1, MAX(F$2:F287)+2)))</f>
        <v/>
      </c>
      <c r="G288">
        <f>IF(NOT(AND(C288=1, TRIM(ERP資料!T288)="捲筒")), 0, IF(MAX(G$2:G287)=0, 1, IF(ERP資料!A288=INDEX(ERP資料!$A$2:$A287, MATCH(MAX(G$2:G287), G$2:G287, 0)), MAX(G$2:G287)+1, MAX(G$2:G287)+2)))</f>
        <v/>
      </c>
      <c r="H288">
        <f>IF(OR(ERP資料!C288="",ERP資料!D288=""),0,ERP資料!D288-ERP資料!C288+1)</f>
        <v/>
      </c>
    </row>
    <row r="289">
      <c r="A289" t="n">
        <v>289</v>
      </c>
      <c r="B289">
        <f>IF(ERP資料!A289="","",ERP資料!A289&amp;"|"&amp;ERP資料!E289&amp;"|"&amp;ERP資料!F289&amp;"|"&amp;ERP資料!G289&amp;"|"&amp;ERP資料!H289&amp;"|"&amp;ERP資料!O289)</f>
        <v/>
      </c>
      <c r="C289">
        <f>IF(B289="",0,IF(COUNTIF(B$2:B288,B289)=0,1,0))</f>
        <v/>
      </c>
      <c r="D289">
        <f>IF(B289="",0,SUMIFS($H$2:$H$801,$B$2:$B$801,B289))</f>
        <v/>
      </c>
      <c r="E289">
        <f>IF(NOT(AND(C289=1, TRIM(ERP資料!T289)="平板")), 0, IF(MAX(E$2:E288)=0, 1, IF(ERP資料!A289=INDEX(ERP資料!$A$2:$A288, MATCH(MAX(E$2:E288), E$2:E288, 0)), MAX(E$2:E288)+1, MAX(E$2:E288)+2)))</f>
        <v/>
      </c>
      <c r="F289">
        <f>IF(NOT(AND(C289=1, TRIM(ERP資料!T289)="平板")), 0, IF(MAX(F$2:F288)=0, 1, IF(ERP資料!A289=INDEX(ERP資料!$A$2:$A288, MATCH(MAX(F$2:F288), F$2:F288, 0)), MAX(F$2:F288)+1, MAX(F$2:F288)+2)))</f>
        <v/>
      </c>
      <c r="G289">
        <f>IF(NOT(AND(C289=1, TRIM(ERP資料!T289)="捲筒")), 0, IF(MAX(G$2:G288)=0, 1, IF(ERP資料!A289=INDEX(ERP資料!$A$2:$A288, MATCH(MAX(G$2:G288), G$2:G288, 0)), MAX(G$2:G288)+1, MAX(G$2:G288)+2)))</f>
        <v/>
      </c>
      <c r="H289">
        <f>IF(OR(ERP資料!C289="",ERP資料!D289=""),0,ERP資料!D289-ERP資料!C289+1)</f>
        <v/>
      </c>
    </row>
    <row r="290">
      <c r="A290" t="n">
        <v>290</v>
      </c>
      <c r="B290">
        <f>IF(ERP資料!A290="","",ERP資料!A290&amp;"|"&amp;ERP資料!E290&amp;"|"&amp;ERP資料!F290&amp;"|"&amp;ERP資料!G290&amp;"|"&amp;ERP資料!H290&amp;"|"&amp;ERP資料!O290)</f>
        <v/>
      </c>
      <c r="C290">
        <f>IF(B290="",0,IF(COUNTIF(B$2:B289,B290)=0,1,0))</f>
        <v/>
      </c>
      <c r="D290">
        <f>IF(B290="",0,SUMIFS($H$2:$H$801,$B$2:$B$801,B290))</f>
        <v/>
      </c>
      <c r="E290">
        <f>IF(NOT(AND(C290=1, TRIM(ERP資料!T290)="平板")), 0, IF(MAX(E$2:E289)=0, 1, IF(ERP資料!A290=INDEX(ERP資料!$A$2:$A289, MATCH(MAX(E$2:E289), E$2:E289, 0)), MAX(E$2:E289)+1, MAX(E$2:E289)+2)))</f>
        <v/>
      </c>
      <c r="F290">
        <f>IF(NOT(AND(C290=1, TRIM(ERP資料!T290)="平板")), 0, IF(MAX(F$2:F289)=0, 1, IF(ERP資料!A290=INDEX(ERP資料!$A$2:$A289, MATCH(MAX(F$2:F289), F$2:F289, 0)), MAX(F$2:F289)+1, MAX(F$2:F289)+2)))</f>
        <v/>
      </c>
      <c r="G290">
        <f>IF(NOT(AND(C290=1, TRIM(ERP資料!T290)="捲筒")), 0, IF(MAX(G$2:G289)=0, 1, IF(ERP資料!A290=INDEX(ERP資料!$A$2:$A289, MATCH(MAX(G$2:G289), G$2:G289, 0)), MAX(G$2:G289)+1, MAX(G$2:G289)+2)))</f>
        <v/>
      </c>
      <c r="H290">
        <f>IF(OR(ERP資料!C290="",ERP資料!D290=""),0,ERP資料!D290-ERP資料!C290+1)</f>
        <v/>
      </c>
    </row>
    <row r="291">
      <c r="A291" t="n">
        <v>291</v>
      </c>
      <c r="B291">
        <f>IF(ERP資料!A291="","",ERP資料!A291&amp;"|"&amp;ERP資料!E291&amp;"|"&amp;ERP資料!F291&amp;"|"&amp;ERP資料!G291&amp;"|"&amp;ERP資料!H291&amp;"|"&amp;ERP資料!O291)</f>
        <v/>
      </c>
      <c r="C291">
        <f>IF(B291="",0,IF(COUNTIF(B$2:B290,B291)=0,1,0))</f>
        <v/>
      </c>
      <c r="D291">
        <f>IF(B291="",0,SUMIFS($H$2:$H$801,$B$2:$B$801,B291))</f>
        <v/>
      </c>
      <c r="E291">
        <f>IF(NOT(AND(C291=1, TRIM(ERP資料!T291)="平板")), 0, IF(MAX(E$2:E290)=0, 1, IF(ERP資料!A291=INDEX(ERP資料!$A$2:$A290, MATCH(MAX(E$2:E290), E$2:E290, 0)), MAX(E$2:E290)+1, MAX(E$2:E290)+2)))</f>
        <v/>
      </c>
      <c r="F291">
        <f>IF(NOT(AND(C291=1, TRIM(ERP資料!T291)="平板")), 0, IF(MAX(F$2:F290)=0, 1, IF(ERP資料!A291=INDEX(ERP資料!$A$2:$A290, MATCH(MAX(F$2:F290), F$2:F290, 0)), MAX(F$2:F290)+1, MAX(F$2:F290)+2)))</f>
        <v/>
      </c>
      <c r="G291">
        <f>IF(NOT(AND(C291=1, TRIM(ERP資料!T291)="捲筒")), 0, IF(MAX(G$2:G290)=0, 1, IF(ERP資料!A291=INDEX(ERP資料!$A$2:$A290, MATCH(MAX(G$2:G290), G$2:G290, 0)), MAX(G$2:G290)+1, MAX(G$2:G290)+2)))</f>
        <v/>
      </c>
      <c r="H291">
        <f>IF(OR(ERP資料!C291="",ERP資料!D291=""),0,ERP資料!D291-ERP資料!C291+1)</f>
        <v/>
      </c>
    </row>
    <row r="292">
      <c r="A292" t="n">
        <v>292</v>
      </c>
      <c r="B292">
        <f>IF(ERP資料!A292="","",ERP資料!A292&amp;"|"&amp;ERP資料!E292&amp;"|"&amp;ERP資料!F292&amp;"|"&amp;ERP資料!G292&amp;"|"&amp;ERP資料!H292&amp;"|"&amp;ERP資料!O292)</f>
        <v/>
      </c>
      <c r="C292">
        <f>IF(B292="",0,IF(COUNTIF(B$2:B291,B292)=0,1,0))</f>
        <v/>
      </c>
      <c r="D292">
        <f>IF(B292="",0,SUMIFS($H$2:$H$801,$B$2:$B$801,B292))</f>
        <v/>
      </c>
      <c r="E292">
        <f>IF(NOT(AND(C292=1, TRIM(ERP資料!T292)="平板")), 0, IF(MAX(E$2:E291)=0, 1, IF(ERP資料!A292=INDEX(ERP資料!$A$2:$A291, MATCH(MAX(E$2:E291), E$2:E291, 0)), MAX(E$2:E291)+1, MAX(E$2:E291)+2)))</f>
        <v/>
      </c>
      <c r="F292">
        <f>IF(NOT(AND(C292=1, TRIM(ERP資料!T292)="平板")), 0, IF(MAX(F$2:F291)=0, 1, IF(ERP資料!A292=INDEX(ERP資料!$A$2:$A291, MATCH(MAX(F$2:F291), F$2:F291, 0)), MAX(F$2:F291)+1, MAX(F$2:F291)+2)))</f>
        <v/>
      </c>
      <c r="G292">
        <f>IF(NOT(AND(C292=1, TRIM(ERP資料!T292)="捲筒")), 0, IF(MAX(G$2:G291)=0, 1, IF(ERP資料!A292=INDEX(ERP資料!$A$2:$A291, MATCH(MAX(G$2:G291), G$2:G291, 0)), MAX(G$2:G291)+1, MAX(G$2:G291)+2)))</f>
        <v/>
      </c>
      <c r="H292">
        <f>IF(OR(ERP資料!C292="",ERP資料!D292=""),0,ERP資料!D292-ERP資料!C292+1)</f>
        <v/>
      </c>
    </row>
    <row r="293">
      <c r="A293" t="n">
        <v>293</v>
      </c>
      <c r="B293">
        <f>IF(ERP資料!A293="","",ERP資料!A293&amp;"|"&amp;ERP資料!E293&amp;"|"&amp;ERP資料!F293&amp;"|"&amp;ERP資料!G293&amp;"|"&amp;ERP資料!H293&amp;"|"&amp;ERP資料!O293)</f>
        <v/>
      </c>
      <c r="C293">
        <f>IF(B293="",0,IF(COUNTIF(B$2:B292,B293)=0,1,0))</f>
        <v/>
      </c>
      <c r="D293">
        <f>IF(B293="",0,SUMIFS($H$2:$H$801,$B$2:$B$801,B293))</f>
        <v/>
      </c>
      <c r="E293">
        <f>IF(NOT(AND(C293=1, TRIM(ERP資料!T293)="平板")), 0, IF(MAX(E$2:E292)=0, 1, IF(ERP資料!A293=INDEX(ERP資料!$A$2:$A292, MATCH(MAX(E$2:E292), E$2:E292, 0)), MAX(E$2:E292)+1, MAX(E$2:E292)+2)))</f>
        <v/>
      </c>
      <c r="F293">
        <f>IF(NOT(AND(C293=1, TRIM(ERP資料!T293)="平板")), 0, IF(MAX(F$2:F292)=0, 1, IF(ERP資料!A293=INDEX(ERP資料!$A$2:$A292, MATCH(MAX(F$2:F292), F$2:F292, 0)), MAX(F$2:F292)+1, MAX(F$2:F292)+2)))</f>
        <v/>
      </c>
      <c r="G293">
        <f>IF(NOT(AND(C293=1, TRIM(ERP資料!T293)="捲筒")), 0, IF(MAX(G$2:G292)=0, 1, IF(ERP資料!A293=INDEX(ERP資料!$A$2:$A292, MATCH(MAX(G$2:G292), G$2:G292, 0)), MAX(G$2:G292)+1, MAX(G$2:G292)+2)))</f>
        <v/>
      </c>
      <c r="H293">
        <f>IF(OR(ERP資料!C293="",ERP資料!D293=""),0,ERP資料!D293-ERP資料!C293+1)</f>
        <v/>
      </c>
    </row>
    <row r="294">
      <c r="A294" t="n">
        <v>294</v>
      </c>
      <c r="B294">
        <f>IF(ERP資料!A294="","",ERP資料!A294&amp;"|"&amp;ERP資料!E294&amp;"|"&amp;ERP資料!F294&amp;"|"&amp;ERP資料!G294&amp;"|"&amp;ERP資料!H294&amp;"|"&amp;ERP資料!O294)</f>
        <v/>
      </c>
      <c r="C294">
        <f>IF(B294="",0,IF(COUNTIF(B$2:B293,B294)=0,1,0))</f>
        <v/>
      </c>
      <c r="D294">
        <f>IF(B294="",0,SUMIFS($H$2:$H$801,$B$2:$B$801,B294))</f>
        <v/>
      </c>
      <c r="E294">
        <f>IF(NOT(AND(C294=1, TRIM(ERP資料!T294)="平板")), 0, IF(MAX(E$2:E293)=0, 1, IF(ERP資料!A294=INDEX(ERP資料!$A$2:$A293, MATCH(MAX(E$2:E293), E$2:E293, 0)), MAX(E$2:E293)+1, MAX(E$2:E293)+2)))</f>
        <v/>
      </c>
      <c r="F294">
        <f>IF(NOT(AND(C294=1, TRIM(ERP資料!T294)="平板")), 0, IF(MAX(F$2:F293)=0, 1, IF(ERP資料!A294=INDEX(ERP資料!$A$2:$A293, MATCH(MAX(F$2:F293), F$2:F293, 0)), MAX(F$2:F293)+1, MAX(F$2:F293)+2)))</f>
        <v/>
      </c>
      <c r="G294">
        <f>IF(NOT(AND(C294=1, TRIM(ERP資料!T294)="捲筒")), 0, IF(MAX(G$2:G293)=0, 1, IF(ERP資料!A294=INDEX(ERP資料!$A$2:$A293, MATCH(MAX(G$2:G293), G$2:G293, 0)), MAX(G$2:G293)+1, MAX(G$2:G293)+2)))</f>
        <v/>
      </c>
      <c r="H294">
        <f>IF(OR(ERP資料!C294="",ERP資料!D294=""),0,ERP資料!D294-ERP資料!C294+1)</f>
        <v/>
      </c>
    </row>
    <row r="295">
      <c r="A295" t="n">
        <v>295</v>
      </c>
      <c r="B295">
        <f>IF(ERP資料!A295="","",ERP資料!A295&amp;"|"&amp;ERP資料!E295&amp;"|"&amp;ERP資料!F295&amp;"|"&amp;ERP資料!G295&amp;"|"&amp;ERP資料!H295&amp;"|"&amp;ERP資料!O295)</f>
        <v/>
      </c>
      <c r="C295">
        <f>IF(B295="",0,IF(COUNTIF(B$2:B294,B295)=0,1,0))</f>
        <v/>
      </c>
      <c r="D295">
        <f>IF(B295="",0,SUMIFS($H$2:$H$801,$B$2:$B$801,B295))</f>
        <v/>
      </c>
      <c r="E295">
        <f>IF(NOT(AND(C295=1, TRIM(ERP資料!T295)="平板")), 0, IF(MAX(E$2:E294)=0, 1, IF(ERP資料!A295=INDEX(ERP資料!$A$2:$A294, MATCH(MAX(E$2:E294), E$2:E294, 0)), MAX(E$2:E294)+1, MAX(E$2:E294)+2)))</f>
        <v/>
      </c>
      <c r="F295">
        <f>IF(NOT(AND(C295=1, TRIM(ERP資料!T295)="平板")), 0, IF(MAX(F$2:F294)=0, 1, IF(ERP資料!A295=INDEX(ERP資料!$A$2:$A294, MATCH(MAX(F$2:F294), F$2:F294, 0)), MAX(F$2:F294)+1, MAX(F$2:F294)+2)))</f>
        <v/>
      </c>
      <c r="G295">
        <f>IF(NOT(AND(C295=1, TRIM(ERP資料!T295)="捲筒")), 0, IF(MAX(G$2:G294)=0, 1, IF(ERP資料!A295=INDEX(ERP資料!$A$2:$A294, MATCH(MAX(G$2:G294), G$2:G294, 0)), MAX(G$2:G294)+1, MAX(G$2:G294)+2)))</f>
        <v/>
      </c>
      <c r="H295">
        <f>IF(OR(ERP資料!C295="",ERP資料!D295=""),0,ERP資料!D295-ERP資料!C295+1)</f>
        <v/>
      </c>
    </row>
    <row r="296">
      <c r="A296" t="n">
        <v>296</v>
      </c>
      <c r="B296">
        <f>IF(ERP資料!A296="","",ERP資料!A296&amp;"|"&amp;ERP資料!E296&amp;"|"&amp;ERP資料!F296&amp;"|"&amp;ERP資料!G296&amp;"|"&amp;ERP資料!H296&amp;"|"&amp;ERP資料!O296)</f>
        <v/>
      </c>
      <c r="C296">
        <f>IF(B296="",0,IF(COUNTIF(B$2:B295,B296)=0,1,0))</f>
        <v/>
      </c>
      <c r="D296">
        <f>IF(B296="",0,SUMIFS($H$2:$H$801,$B$2:$B$801,B296))</f>
        <v/>
      </c>
      <c r="E296">
        <f>IF(NOT(AND(C296=1, TRIM(ERP資料!T296)="平板")), 0, IF(MAX(E$2:E295)=0, 1, IF(ERP資料!A296=INDEX(ERP資料!$A$2:$A295, MATCH(MAX(E$2:E295), E$2:E295, 0)), MAX(E$2:E295)+1, MAX(E$2:E295)+2)))</f>
        <v/>
      </c>
      <c r="F296">
        <f>IF(NOT(AND(C296=1, TRIM(ERP資料!T296)="平板")), 0, IF(MAX(F$2:F295)=0, 1, IF(ERP資料!A296=INDEX(ERP資料!$A$2:$A295, MATCH(MAX(F$2:F295), F$2:F295, 0)), MAX(F$2:F295)+1, MAX(F$2:F295)+2)))</f>
        <v/>
      </c>
      <c r="G296">
        <f>IF(NOT(AND(C296=1, TRIM(ERP資料!T296)="捲筒")), 0, IF(MAX(G$2:G295)=0, 1, IF(ERP資料!A296=INDEX(ERP資料!$A$2:$A295, MATCH(MAX(G$2:G295), G$2:G295, 0)), MAX(G$2:G295)+1, MAX(G$2:G295)+2)))</f>
        <v/>
      </c>
      <c r="H296">
        <f>IF(OR(ERP資料!C296="",ERP資料!D296=""),0,ERP資料!D296-ERP資料!C296+1)</f>
        <v/>
      </c>
    </row>
    <row r="297">
      <c r="A297" t="n">
        <v>297</v>
      </c>
      <c r="B297">
        <f>IF(ERP資料!A297="","",ERP資料!A297&amp;"|"&amp;ERP資料!E297&amp;"|"&amp;ERP資料!F297&amp;"|"&amp;ERP資料!G297&amp;"|"&amp;ERP資料!H297&amp;"|"&amp;ERP資料!O297)</f>
        <v/>
      </c>
      <c r="C297">
        <f>IF(B297="",0,IF(COUNTIF(B$2:B296,B297)=0,1,0))</f>
        <v/>
      </c>
      <c r="D297">
        <f>IF(B297="",0,SUMIFS($H$2:$H$801,$B$2:$B$801,B297))</f>
        <v/>
      </c>
      <c r="E297">
        <f>IF(NOT(AND(C297=1, TRIM(ERP資料!T297)="平板")), 0, IF(MAX(E$2:E296)=0, 1, IF(ERP資料!A297=INDEX(ERP資料!$A$2:$A296, MATCH(MAX(E$2:E296), E$2:E296, 0)), MAX(E$2:E296)+1, MAX(E$2:E296)+2)))</f>
        <v/>
      </c>
      <c r="F297">
        <f>IF(NOT(AND(C297=1, TRIM(ERP資料!T297)="平板")), 0, IF(MAX(F$2:F296)=0, 1, IF(ERP資料!A297=INDEX(ERP資料!$A$2:$A296, MATCH(MAX(F$2:F296), F$2:F296, 0)), MAX(F$2:F296)+1, MAX(F$2:F296)+2)))</f>
        <v/>
      </c>
      <c r="G297">
        <f>IF(NOT(AND(C297=1, TRIM(ERP資料!T297)="捲筒")), 0, IF(MAX(G$2:G296)=0, 1, IF(ERP資料!A297=INDEX(ERP資料!$A$2:$A296, MATCH(MAX(G$2:G296), G$2:G296, 0)), MAX(G$2:G296)+1, MAX(G$2:G296)+2)))</f>
        <v/>
      </c>
      <c r="H297">
        <f>IF(OR(ERP資料!C297="",ERP資料!D297=""),0,ERP資料!D297-ERP資料!C297+1)</f>
        <v/>
      </c>
    </row>
    <row r="298">
      <c r="A298" t="n">
        <v>298</v>
      </c>
      <c r="B298">
        <f>IF(ERP資料!A298="","",ERP資料!A298&amp;"|"&amp;ERP資料!E298&amp;"|"&amp;ERP資料!F298&amp;"|"&amp;ERP資料!G298&amp;"|"&amp;ERP資料!H298&amp;"|"&amp;ERP資料!O298)</f>
        <v/>
      </c>
      <c r="C298">
        <f>IF(B298="",0,IF(COUNTIF(B$2:B297,B298)=0,1,0))</f>
        <v/>
      </c>
      <c r="D298">
        <f>IF(B298="",0,SUMIFS($H$2:$H$801,$B$2:$B$801,B298))</f>
        <v/>
      </c>
      <c r="E298">
        <f>IF(NOT(AND(C298=1, TRIM(ERP資料!T298)="平板")), 0, IF(MAX(E$2:E297)=0, 1, IF(ERP資料!A298=INDEX(ERP資料!$A$2:$A297, MATCH(MAX(E$2:E297), E$2:E297, 0)), MAX(E$2:E297)+1, MAX(E$2:E297)+2)))</f>
        <v/>
      </c>
      <c r="F298">
        <f>IF(NOT(AND(C298=1, TRIM(ERP資料!T298)="平板")), 0, IF(MAX(F$2:F297)=0, 1, IF(ERP資料!A298=INDEX(ERP資料!$A$2:$A297, MATCH(MAX(F$2:F297), F$2:F297, 0)), MAX(F$2:F297)+1, MAX(F$2:F297)+2)))</f>
        <v/>
      </c>
      <c r="G298">
        <f>IF(NOT(AND(C298=1, TRIM(ERP資料!T298)="捲筒")), 0, IF(MAX(G$2:G297)=0, 1, IF(ERP資料!A298=INDEX(ERP資料!$A$2:$A297, MATCH(MAX(G$2:G297), G$2:G297, 0)), MAX(G$2:G297)+1, MAX(G$2:G297)+2)))</f>
        <v/>
      </c>
      <c r="H298">
        <f>IF(OR(ERP資料!C298="",ERP資料!D298=""),0,ERP資料!D298-ERP資料!C298+1)</f>
        <v/>
      </c>
    </row>
    <row r="299">
      <c r="A299" t="n">
        <v>299</v>
      </c>
      <c r="B299">
        <f>IF(ERP資料!A299="","",ERP資料!A299&amp;"|"&amp;ERP資料!E299&amp;"|"&amp;ERP資料!F299&amp;"|"&amp;ERP資料!G299&amp;"|"&amp;ERP資料!H299&amp;"|"&amp;ERP資料!O299)</f>
        <v/>
      </c>
      <c r="C299">
        <f>IF(B299="",0,IF(COUNTIF(B$2:B298,B299)=0,1,0))</f>
        <v/>
      </c>
      <c r="D299">
        <f>IF(B299="",0,SUMIFS($H$2:$H$801,$B$2:$B$801,B299))</f>
        <v/>
      </c>
      <c r="E299">
        <f>IF(NOT(AND(C299=1, TRIM(ERP資料!T299)="平板")), 0, IF(MAX(E$2:E298)=0, 1, IF(ERP資料!A299=INDEX(ERP資料!$A$2:$A298, MATCH(MAX(E$2:E298), E$2:E298, 0)), MAX(E$2:E298)+1, MAX(E$2:E298)+2)))</f>
        <v/>
      </c>
      <c r="F299">
        <f>IF(NOT(AND(C299=1, TRIM(ERP資料!T299)="平板")), 0, IF(MAX(F$2:F298)=0, 1, IF(ERP資料!A299=INDEX(ERP資料!$A$2:$A298, MATCH(MAX(F$2:F298), F$2:F298, 0)), MAX(F$2:F298)+1, MAX(F$2:F298)+2)))</f>
        <v/>
      </c>
      <c r="G299">
        <f>IF(NOT(AND(C299=1, TRIM(ERP資料!T299)="捲筒")), 0, IF(MAX(G$2:G298)=0, 1, IF(ERP資料!A299=INDEX(ERP資料!$A$2:$A298, MATCH(MAX(G$2:G298), G$2:G298, 0)), MAX(G$2:G298)+1, MAX(G$2:G298)+2)))</f>
        <v/>
      </c>
      <c r="H299">
        <f>IF(OR(ERP資料!C299="",ERP資料!D299=""),0,ERP資料!D299-ERP資料!C299+1)</f>
        <v/>
      </c>
    </row>
    <row r="300">
      <c r="A300" t="n">
        <v>300</v>
      </c>
      <c r="B300">
        <f>IF(ERP資料!A300="","",ERP資料!A300&amp;"|"&amp;ERP資料!E300&amp;"|"&amp;ERP資料!F300&amp;"|"&amp;ERP資料!G300&amp;"|"&amp;ERP資料!H300&amp;"|"&amp;ERP資料!O300)</f>
        <v/>
      </c>
      <c r="C300">
        <f>IF(B300="",0,IF(COUNTIF(B$2:B299,B300)=0,1,0))</f>
        <v/>
      </c>
      <c r="D300">
        <f>IF(B300="",0,SUMIFS($H$2:$H$801,$B$2:$B$801,B300))</f>
        <v/>
      </c>
      <c r="E300">
        <f>IF(NOT(AND(C300=1, TRIM(ERP資料!T300)="平板")), 0, IF(MAX(E$2:E299)=0, 1, IF(ERP資料!A300=INDEX(ERP資料!$A$2:$A299, MATCH(MAX(E$2:E299), E$2:E299, 0)), MAX(E$2:E299)+1, MAX(E$2:E299)+2)))</f>
        <v/>
      </c>
      <c r="F300">
        <f>IF(NOT(AND(C300=1, TRIM(ERP資料!T300)="平板")), 0, IF(MAX(F$2:F299)=0, 1, IF(ERP資料!A300=INDEX(ERP資料!$A$2:$A299, MATCH(MAX(F$2:F299), F$2:F299, 0)), MAX(F$2:F299)+1, MAX(F$2:F299)+2)))</f>
        <v/>
      </c>
      <c r="G300">
        <f>IF(NOT(AND(C300=1, TRIM(ERP資料!T300)="捲筒")), 0, IF(MAX(G$2:G299)=0, 1, IF(ERP資料!A300=INDEX(ERP資料!$A$2:$A299, MATCH(MAX(G$2:G299), G$2:G299, 0)), MAX(G$2:G299)+1, MAX(G$2:G299)+2)))</f>
        <v/>
      </c>
      <c r="H300">
        <f>IF(OR(ERP資料!C300="",ERP資料!D300=""),0,ERP資料!D300-ERP資料!C300+1)</f>
        <v/>
      </c>
    </row>
    <row r="301">
      <c r="A301" t="n">
        <v>301</v>
      </c>
      <c r="B301">
        <f>IF(ERP資料!A301="","",ERP資料!A301&amp;"|"&amp;ERP資料!E301&amp;"|"&amp;ERP資料!F301&amp;"|"&amp;ERP資料!G301&amp;"|"&amp;ERP資料!H301&amp;"|"&amp;ERP資料!O301)</f>
        <v/>
      </c>
      <c r="C301">
        <f>IF(B301="",0,IF(COUNTIF(B$2:B300,B301)=0,1,0))</f>
        <v/>
      </c>
      <c r="D301">
        <f>IF(B301="",0,SUMIFS($H$2:$H$801,$B$2:$B$801,B301))</f>
        <v/>
      </c>
      <c r="E301">
        <f>IF(NOT(AND(C301=1, TRIM(ERP資料!T301)="平板")), 0, IF(MAX(E$2:E300)=0, 1, IF(ERP資料!A301=INDEX(ERP資料!$A$2:$A300, MATCH(MAX(E$2:E300), E$2:E300, 0)), MAX(E$2:E300)+1, MAX(E$2:E300)+2)))</f>
        <v/>
      </c>
      <c r="F301">
        <f>IF(NOT(AND(C301=1, TRIM(ERP資料!T301)="平板")), 0, IF(MAX(F$2:F300)=0, 1, IF(ERP資料!A301=INDEX(ERP資料!$A$2:$A300, MATCH(MAX(F$2:F300), F$2:F300, 0)), MAX(F$2:F300)+1, MAX(F$2:F300)+2)))</f>
        <v/>
      </c>
      <c r="G301">
        <f>IF(NOT(AND(C301=1, TRIM(ERP資料!T301)="捲筒")), 0, IF(MAX(G$2:G300)=0, 1, IF(ERP資料!A301=INDEX(ERP資料!$A$2:$A300, MATCH(MAX(G$2:G300), G$2:G300, 0)), MAX(G$2:G300)+1, MAX(G$2:G300)+2)))</f>
        <v/>
      </c>
      <c r="H301">
        <f>IF(OR(ERP資料!C301="",ERP資料!D301=""),0,ERP資料!D301-ERP資料!C301+1)</f>
        <v/>
      </c>
    </row>
    <row r="302">
      <c r="A302" t="n">
        <v>302</v>
      </c>
      <c r="B302">
        <f>IF(ERP資料!A302="","",ERP資料!A302&amp;"|"&amp;ERP資料!E302&amp;"|"&amp;ERP資料!F302&amp;"|"&amp;ERP資料!G302&amp;"|"&amp;ERP資料!H302&amp;"|"&amp;ERP資料!O302)</f>
        <v/>
      </c>
      <c r="C302">
        <f>IF(B302="",0,IF(COUNTIF(B$2:B301,B302)=0,1,0))</f>
        <v/>
      </c>
      <c r="D302">
        <f>IF(B302="",0,SUMIFS($H$2:$H$801,$B$2:$B$801,B302))</f>
        <v/>
      </c>
      <c r="E302">
        <f>IF(NOT(AND(C302=1, TRIM(ERP資料!T302)="平板")), 0, IF(MAX(E$2:E301)=0, 1, IF(ERP資料!A302=INDEX(ERP資料!$A$2:$A301, MATCH(MAX(E$2:E301), E$2:E301, 0)), MAX(E$2:E301)+1, MAX(E$2:E301)+2)))</f>
        <v/>
      </c>
      <c r="F302">
        <f>IF(NOT(AND(C302=1, TRIM(ERP資料!T302)="平板")), 0, IF(MAX(F$2:F301)=0, 1, IF(ERP資料!A302=INDEX(ERP資料!$A$2:$A301, MATCH(MAX(F$2:F301), F$2:F301, 0)), MAX(F$2:F301)+1, MAX(F$2:F301)+2)))</f>
        <v/>
      </c>
      <c r="G302">
        <f>IF(NOT(AND(C302=1, TRIM(ERP資料!T302)="捲筒")), 0, IF(MAX(G$2:G301)=0, 1, IF(ERP資料!A302=INDEX(ERP資料!$A$2:$A301, MATCH(MAX(G$2:G301), G$2:G301, 0)), MAX(G$2:G301)+1, MAX(G$2:G301)+2)))</f>
        <v/>
      </c>
      <c r="H302">
        <f>IF(OR(ERP資料!C302="",ERP資料!D302=""),0,ERP資料!D302-ERP資料!C302+1)</f>
        <v/>
      </c>
    </row>
    <row r="303">
      <c r="A303" t="n">
        <v>303</v>
      </c>
      <c r="B303">
        <f>IF(ERP資料!A303="","",ERP資料!A303&amp;"|"&amp;ERP資料!E303&amp;"|"&amp;ERP資料!F303&amp;"|"&amp;ERP資料!G303&amp;"|"&amp;ERP資料!H303&amp;"|"&amp;ERP資料!O303)</f>
        <v/>
      </c>
      <c r="C303">
        <f>IF(B303="",0,IF(COUNTIF(B$2:B302,B303)=0,1,0))</f>
        <v/>
      </c>
      <c r="D303">
        <f>IF(B303="",0,SUMIFS($H$2:$H$801,$B$2:$B$801,B303))</f>
        <v/>
      </c>
      <c r="E303">
        <f>IF(NOT(AND(C303=1, TRIM(ERP資料!T303)="平板")), 0, IF(MAX(E$2:E302)=0, 1, IF(ERP資料!A303=INDEX(ERP資料!$A$2:$A302, MATCH(MAX(E$2:E302), E$2:E302, 0)), MAX(E$2:E302)+1, MAX(E$2:E302)+2)))</f>
        <v/>
      </c>
      <c r="F303">
        <f>IF(NOT(AND(C303=1, TRIM(ERP資料!T303)="平板")), 0, IF(MAX(F$2:F302)=0, 1, IF(ERP資料!A303=INDEX(ERP資料!$A$2:$A302, MATCH(MAX(F$2:F302), F$2:F302, 0)), MAX(F$2:F302)+1, MAX(F$2:F302)+2)))</f>
        <v/>
      </c>
      <c r="G303">
        <f>IF(NOT(AND(C303=1, TRIM(ERP資料!T303)="捲筒")), 0, IF(MAX(G$2:G302)=0, 1, IF(ERP資料!A303=INDEX(ERP資料!$A$2:$A302, MATCH(MAX(G$2:G302), G$2:G302, 0)), MAX(G$2:G302)+1, MAX(G$2:G302)+2)))</f>
        <v/>
      </c>
      <c r="H303">
        <f>IF(OR(ERP資料!C303="",ERP資料!D303=""),0,ERP資料!D303-ERP資料!C303+1)</f>
        <v/>
      </c>
    </row>
    <row r="304">
      <c r="A304" t="n">
        <v>304</v>
      </c>
      <c r="B304">
        <f>IF(ERP資料!A304="","",ERP資料!A304&amp;"|"&amp;ERP資料!E304&amp;"|"&amp;ERP資料!F304&amp;"|"&amp;ERP資料!G304&amp;"|"&amp;ERP資料!H304&amp;"|"&amp;ERP資料!O304)</f>
        <v/>
      </c>
      <c r="C304">
        <f>IF(B304="",0,IF(COUNTIF(B$2:B303,B304)=0,1,0))</f>
        <v/>
      </c>
      <c r="D304">
        <f>IF(B304="",0,SUMIFS($H$2:$H$801,$B$2:$B$801,B304))</f>
        <v/>
      </c>
      <c r="E304">
        <f>IF(NOT(AND(C304=1, TRIM(ERP資料!T304)="平板")), 0, IF(MAX(E$2:E303)=0, 1, IF(ERP資料!A304=INDEX(ERP資料!$A$2:$A303, MATCH(MAX(E$2:E303), E$2:E303, 0)), MAX(E$2:E303)+1, MAX(E$2:E303)+2)))</f>
        <v/>
      </c>
      <c r="F304">
        <f>IF(NOT(AND(C304=1, TRIM(ERP資料!T304)="平板")), 0, IF(MAX(F$2:F303)=0, 1, IF(ERP資料!A304=INDEX(ERP資料!$A$2:$A303, MATCH(MAX(F$2:F303), F$2:F303, 0)), MAX(F$2:F303)+1, MAX(F$2:F303)+2)))</f>
        <v/>
      </c>
      <c r="G304">
        <f>IF(NOT(AND(C304=1, TRIM(ERP資料!T304)="捲筒")), 0, IF(MAX(G$2:G303)=0, 1, IF(ERP資料!A304=INDEX(ERP資料!$A$2:$A303, MATCH(MAX(G$2:G303), G$2:G303, 0)), MAX(G$2:G303)+1, MAX(G$2:G303)+2)))</f>
        <v/>
      </c>
      <c r="H304">
        <f>IF(OR(ERP資料!C304="",ERP資料!D304=""),0,ERP資料!D304-ERP資料!C304+1)</f>
        <v/>
      </c>
    </row>
    <row r="305">
      <c r="A305" t="n">
        <v>305</v>
      </c>
      <c r="B305">
        <f>IF(ERP資料!A305="","",ERP資料!A305&amp;"|"&amp;ERP資料!E305&amp;"|"&amp;ERP資料!F305&amp;"|"&amp;ERP資料!G305&amp;"|"&amp;ERP資料!H305&amp;"|"&amp;ERP資料!O305)</f>
        <v/>
      </c>
      <c r="C305">
        <f>IF(B305="",0,IF(COUNTIF(B$2:B304,B305)=0,1,0))</f>
        <v/>
      </c>
      <c r="D305">
        <f>IF(B305="",0,SUMIFS($H$2:$H$801,$B$2:$B$801,B305))</f>
        <v/>
      </c>
      <c r="E305">
        <f>IF(NOT(AND(C305=1, TRIM(ERP資料!T305)="平板")), 0, IF(MAX(E$2:E304)=0, 1, IF(ERP資料!A305=INDEX(ERP資料!$A$2:$A304, MATCH(MAX(E$2:E304), E$2:E304, 0)), MAX(E$2:E304)+1, MAX(E$2:E304)+2)))</f>
        <v/>
      </c>
      <c r="F305">
        <f>IF(NOT(AND(C305=1, TRIM(ERP資料!T305)="平板")), 0, IF(MAX(F$2:F304)=0, 1, IF(ERP資料!A305=INDEX(ERP資料!$A$2:$A304, MATCH(MAX(F$2:F304), F$2:F304, 0)), MAX(F$2:F304)+1, MAX(F$2:F304)+2)))</f>
        <v/>
      </c>
      <c r="G305">
        <f>IF(NOT(AND(C305=1, TRIM(ERP資料!T305)="捲筒")), 0, IF(MAX(G$2:G304)=0, 1, IF(ERP資料!A305=INDEX(ERP資料!$A$2:$A304, MATCH(MAX(G$2:G304), G$2:G304, 0)), MAX(G$2:G304)+1, MAX(G$2:G304)+2)))</f>
        <v/>
      </c>
      <c r="H305">
        <f>IF(OR(ERP資料!C305="",ERP資料!D305=""),0,ERP資料!D305-ERP資料!C305+1)</f>
        <v/>
      </c>
    </row>
    <row r="306">
      <c r="A306" t="n">
        <v>306</v>
      </c>
      <c r="B306">
        <f>IF(ERP資料!A306="","",ERP資料!A306&amp;"|"&amp;ERP資料!E306&amp;"|"&amp;ERP資料!F306&amp;"|"&amp;ERP資料!G306&amp;"|"&amp;ERP資料!H306&amp;"|"&amp;ERP資料!O306)</f>
        <v/>
      </c>
      <c r="C306">
        <f>IF(B306="",0,IF(COUNTIF(B$2:B305,B306)=0,1,0))</f>
        <v/>
      </c>
      <c r="D306">
        <f>IF(B306="",0,SUMIFS($H$2:$H$801,$B$2:$B$801,B306))</f>
        <v/>
      </c>
      <c r="E306">
        <f>IF(NOT(AND(C306=1, TRIM(ERP資料!T306)="平板")), 0, IF(MAX(E$2:E305)=0, 1, IF(ERP資料!A306=INDEX(ERP資料!$A$2:$A305, MATCH(MAX(E$2:E305), E$2:E305, 0)), MAX(E$2:E305)+1, MAX(E$2:E305)+2)))</f>
        <v/>
      </c>
      <c r="F306">
        <f>IF(NOT(AND(C306=1, TRIM(ERP資料!T306)="平板")), 0, IF(MAX(F$2:F305)=0, 1, IF(ERP資料!A306=INDEX(ERP資料!$A$2:$A305, MATCH(MAX(F$2:F305), F$2:F305, 0)), MAX(F$2:F305)+1, MAX(F$2:F305)+2)))</f>
        <v/>
      </c>
      <c r="G306">
        <f>IF(NOT(AND(C306=1, TRIM(ERP資料!T306)="捲筒")), 0, IF(MAX(G$2:G305)=0, 1, IF(ERP資料!A306=INDEX(ERP資料!$A$2:$A305, MATCH(MAX(G$2:G305), G$2:G305, 0)), MAX(G$2:G305)+1, MAX(G$2:G305)+2)))</f>
        <v/>
      </c>
      <c r="H306">
        <f>IF(OR(ERP資料!C306="",ERP資料!D306=""),0,ERP資料!D306-ERP資料!C306+1)</f>
        <v/>
      </c>
    </row>
    <row r="307">
      <c r="A307" t="n">
        <v>307</v>
      </c>
      <c r="B307">
        <f>IF(ERP資料!A307="","",ERP資料!A307&amp;"|"&amp;ERP資料!E307&amp;"|"&amp;ERP資料!F307&amp;"|"&amp;ERP資料!G307&amp;"|"&amp;ERP資料!H307&amp;"|"&amp;ERP資料!O307)</f>
        <v/>
      </c>
      <c r="C307">
        <f>IF(B307="",0,IF(COUNTIF(B$2:B306,B307)=0,1,0))</f>
        <v/>
      </c>
      <c r="D307">
        <f>IF(B307="",0,SUMIFS($H$2:$H$801,$B$2:$B$801,B307))</f>
        <v/>
      </c>
      <c r="E307">
        <f>IF(NOT(AND(C307=1, TRIM(ERP資料!T307)="平板")), 0, IF(MAX(E$2:E306)=0, 1, IF(ERP資料!A307=INDEX(ERP資料!$A$2:$A306, MATCH(MAX(E$2:E306), E$2:E306, 0)), MAX(E$2:E306)+1, MAX(E$2:E306)+2)))</f>
        <v/>
      </c>
      <c r="F307">
        <f>IF(NOT(AND(C307=1, TRIM(ERP資料!T307)="平板")), 0, IF(MAX(F$2:F306)=0, 1, IF(ERP資料!A307=INDEX(ERP資料!$A$2:$A306, MATCH(MAX(F$2:F306), F$2:F306, 0)), MAX(F$2:F306)+1, MAX(F$2:F306)+2)))</f>
        <v/>
      </c>
      <c r="G307">
        <f>IF(NOT(AND(C307=1, TRIM(ERP資料!T307)="捲筒")), 0, IF(MAX(G$2:G306)=0, 1, IF(ERP資料!A307=INDEX(ERP資料!$A$2:$A306, MATCH(MAX(G$2:G306), G$2:G306, 0)), MAX(G$2:G306)+1, MAX(G$2:G306)+2)))</f>
        <v/>
      </c>
      <c r="H307">
        <f>IF(OR(ERP資料!C307="",ERP資料!D307=""),0,ERP資料!D307-ERP資料!C307+1)</f>
        <v/>
      </c>
    </row>
    <row r="308">
      <c r="A308" t="n">
        <v>308</v>
      </c>
      <c r="B308">
        <f>IF(ERP資料!A308="","",ERP資料!A308&amp;"|"&amp;ERP資料!E308&amp;"|"&amp;ERP資料!F308&amp;"|"&amp;ERP資料!G308&amp;"|"&amp;ERP資料!H308&amp;"|"&amp;ERP資料!O308)</f>
        <v/>
      </c>
      <c r="C308">
        <f>IF(B308="",0,IF(COUNTIF(B$2:B307,B308)=0,1,0))</f>
        <v/>
      </c>
      <c r="D308">
        <f>IF(B308="",0,SUMIFS($H$2:$H$801,$B$2:$B$801,B308))</f>
        <v/>
      </c>
      <c r="E308">
        <f>IF(NOT(AND(C308=1, TRIM(ERP資料!T308)="平板")), 0, IF(MAX(E$2:E307)=0, 1, IF(ERP資料!A308=INDEX(ERP資料!$A$2:$A307, MATCH(MAX(E$2:E307), E$2:E307, 0)), MAX(E$2:E307)+1, MAX(E$2:E307)+2)))</f>
        <v/>
      </c>
      <c r="F308">
        <f>IF(NOT(AND(C308=1, TRIM(ERP資料!T308)="平板")), 0, IF(MAX(F$2:F307)=0, 1, IF(ERP資料!A308=INDEX(ERP資料!$A$2:$A307, MATCH(MAX(F$2:F307), F$2:F307, 0)), MAX(F$2:F307)+1, MAX(F$2:F307)+2)))</f>
        <v/>
      </c>
      <c r="G308">
        <f>IF(NOT(AND(C308=1, TRIM(ERP資料!T308)="捲筒")), 0, IF(MAX(G$2:G307)=0, 1, IF(ERP資料!A308=INDEX(ERP資料!$A$2:$A307, MATCH(MAX(G$2:G307), G$2:G307, 0)), MAX(G$2:G307)+1, MAX(G$2:G307)+2)))</f>
        <v/>
      </c>
      <c r="H308">
        <f>IF(OR(ERP資料!C308="",ERP資料!D308=""),0,ERP資料!D308-ERP資料!C308+1)</f>
        <v/>
      </c>
    </row>
    <row r="309">
      <c r="A309" t="n">
        <v>309</v>
      </c>
      <c r="B309">
        <f>IF(ERP資料!A309="","",ERP資料!A309&amp;"|"&amp;ERP資料!E309&amp;"|"&amp;ERP資料!F309&amp;"|"&amp;ERP資料!G309&amp;"|"&amp;ERP資料!H309&amp;"|"&amp;ERP資料!O309)</f>
        <v/>
      </c>
      <c r="C309">
        <f>IF(B309="",0,IF(COUNTIF(B$2:B308,B309)=0,1,0))</f>
        <v/>
      </c>
      <c r="D309">
        <f>IF(B309="",0,SUMIFS($H$2:$H$801,$B$2:$B$801,B309))</f>
        <v/>
      </c>
      <c r="E309">
        <f>IF(NOT(AND(C309=1, TRIM(ERP資料!T309)="平板")), 0, IF(MAX(E$2:E308)=0, 1, IF(ERP資料!A309=INDEX(ERP資料!$A$2:$A308, MATCH(MAX(E$2:E308), E$2:E308, 0)), MAX(E$2:E308)+1, MAX(E$2:E308)+2)))</f>
        <v/>
      </c>
      <c r="F309">
        <f>IF(NOT(AND(C309=1, TRIM(ERP資料!T309)="平板")), 0, IF(MAX(F$2:F308)=0, 1, IF(ERP資料!A309=INDEX(ERP資料!$A$2:$A308, MATCH(MAX(F$2:F308), F$2:F308, 0)), MAX(F$2:F308)+1, MAX(F$2:F308)+2)))</f>
        <v/>
      </c>
      <c r="G309">
        <f>IF(NOT(AND(C309=1, TRIM(ERP資料!T309)="捲筒")), 0, IF(MAX(G$2:G308)=0, 1, IF(ERP資料!A309=INDEX(ERP資料!$A$2:$A308, MATCH(MAX(G$2:G308), G$2:G308, 0)), MAX(G$2:G308)+1, MAX(G$2:G308)+2)))</f>
        <v/>
      </c>
      <c r="H309">
        <f>IF(OR(ERP資料!C309="",ERP資料!D309=""),0,ERP資料!D309-ERP資料!C309+1)</f>
        <v/>
      </c>
    </row>
    <row r="310">
      <c r="A310" t="n">
        <v>310</v>
      </c>
      <c r="B310">
        <f>IF(ERP資料!A310="","",ERP資料!A310&amp;"|"&amp;ERP資料!E310&amp;"|"&amp;ERP資料!F310&amp;"|"&amp;ERP資料!G310&amp;"|"&amp;ERP資料!H310&amp;"|"&amp;ERP資料!O310)</f>
        <v/>
      </c>
      <c r="C310">
        <f>IF(B310="",0,IF(COUNTIF(B$2:B309,B310)=0,1,0))</f>
        <v/>
      </c>
      <c r="D310">
        <f>IF(B310="",0,SUMIFS($H$2:$H$801,$B$2:$B$801,B310))</f>
        <v/>
      </c>
      <c r="E310">
        <f>IF(NOT(AND(C310=1, TRIM(ERP資料!T310)="平板")), 0, IF(MAX(E$2:E309)=0, 1, IF(ERP資料!A310=INDEX(ERP資料!$A$2:$A309, MATCH(MAX(E$2:E309), E$2:E309, 0)), MAX(E$2:E309)+1, MAX(E$2:E309)+2)))</f>
        <v/>
      </c>
      <c r="F310">
        <f>IF(NOT(AND(C310=1, TRIM(ERP資料!T310)="平板")), 0, IF(MAX(F$2:F309)=0, 1, IF(ERP資料!A310=INDEX(ERP資料!$A$2:$A309, MATCH(MAX(F$2:F309), F$2:F309, 0)), MAX(F$2:F309)+1, MAX(F$2:F309)+2)))</f>
        <v/>
      </c>
      <c r="G310">
        <f>IF(NOT(AND(C310=1, TRIM(ERP資料!T310)="捲筒")), 0, IF(MAX(G$2:G309)=0, 1, IF(ERP資料!A310=INDEX(ERP資料!$A$2:$A309, MATCH(MAX(G$2:G309), G$2:G309, 0)), MAX(G$2:G309)+1, MAX(G$2:G309)+2)))</f>
        <v/>
      </c>
      <c r="H310">
        <f>IF(OR(ERP資料!C310="",ERP資料!D310=""),0,ERP資料!D310-ERP資料!C310+1)</f>
        <v/>
      </c>
    </row>
    <row r="311">
      <c r="A311" t="n">
        <v>311</v>
      </c>
      <c r="B311">
        <f>IF(ERP資料!A311="","",ERP資料!A311&amp;"|"&amp;ERP資料!E311&amp;"|"&amp;ERP資料!F311&amp;"|"&amp;ERP資料!G311&amp;"|"&amp;ERP資料!H311&amp;"|"&amp;ERP資料!O311)</f>
        <v/>
      </c>
      <c r="C311">
        <f>IF(B311="",0,IF(COUNTIF(B$2:B310,B311)=0,1,0))</f>
        <v/>
      </c>
      <c r="D311">
        <f>IF(B311="",0,SUMIFS($H$2:$H$801,$B$2:$B$801,B311))</f>
        <v/>
      </c>
      <c r="E311">
        <f>IF(NOT(AND(C311=1, TRIM(ERP資料!T311)="平板")), 0, IF(MAX(E$2:E310)=0, 1, IF(ERP資料!A311=INDEX(ERP資料!$A$2:$A310, MATCH(MAX(E$2:E310), E$2:E310, 0)), MAX(E$2:E310)+1, MAX(E$2:E310)+2)))</f>
        <v/>
      </c>
      <c r="F311">
        <f>IF(NOT(AND(C311=1, TRIM(ERP資料!T311)="平板")), 0, IF(MAX(F$2:F310)=0, 1, IF(ERP資料!A311=INDEX(ERP資料!$A$2:$A310, MATCH(MAX(F$2:F310), F$2:F310, 0)), MAX(F$2:F310)+1, MAX(F$2:F310)+2)))</f>
        <v/>
      </c>
      <c r="G311">
        <f>IF(NOT(AND(C311=1, TRIM(ERP資料!T311)="捲筒")), 0, IF(MAX(G$2:G310)=0, 1, IF(ERP資料!A311=INDEX(ERP資料!$A$2:$A310, MATCH(MAX(G$2:G310), G$2:G310, 0)), MAX(G$2:G310)+1, MAX(G$2:G310)+2)))</f>
        <v/>
      </c>
      <c r="H311">
        <f>IF(OR(ERP資料!C311="",ERP資料!D311=""),0,ERP資料!D311-ERP資料!C311+1)</f>
        <v/>
      </c>
    </row>
    <row r="312">
      <c r="A312" t="n">
        <v>312</v>
      </c>
      <c r="B312">
        <f>IF(ERP資料!A312="","",ERP資料!A312&amp;"|"&amp;ERP資料!E312&amp;"|"&amp;ERP資料!F312&amp;"|"&amp;ERP資料!G312&amp;"|"&amp;ERP資料!H312&amp;"|"&amp;ERP資料!O312)</f>
        <v/>
      </c>
      <c r="C312">
        <f>IF(B312="",0,IF(COUNTIF(B$2:B311,B312)=0,1,0))</f>
        <v/>
      </c>
      <c r="D312">
        <f>IF(B312="",0,SUMIFS($H$2:$H$801,$B$2:$B$801,B312))</f>
        <v/>
      </c>
      <c r="E312">
        <f>IF(NOT(AND(C312=1, TRIM(ERP資料!T312)="平板")), 0, IF(MAX(E$2:E311)=0, 1, IF(ERP資料!A312=INDEX(ERP資料!$A$2:$A311, MATCH(MAX(E$2:E311), E$2:E311, 0)), MAX(E$2:E311)+1, MAX(E$2:E311)+2)))</f>
        <v/>
      </c>
      <c r="F312">
        <f>IF(NOT(AND(C312=1, TRIM(ERP資料!T312)="平板")), 0, IF(MAX(F$2:F311)=0, 1, IF(ERP資料!A312=INDEX(ERP資料!$A$2:$A311, MATCH(MAX(F$2:F311), F$2:F311, 0)), MAX(F$2:F311)+1, MAX(F$2:F311)+2)))</f>
        <v/>
      </c>
      <c r="G312">
        <f>IF(NOT(AND(C312=1, TRIM(ERP資料!T312)="捲筒")), 0, IF(MAX(G$2:G311)=0, 1, IF(ERP資料!A312=INDEX(ERP資料!$A$2:$A311, MATCH(MAX(G$2:G311), G$2:G311, 0)), MAX(G$2:G311)+1, MAX(G$2:G311)+2)))</f>
        <v/>
      </c>
      <c r="H312">
        <f>IF(OR(ERP資料!C312="",ERP資料!D312=""),0,ERP資料!D312-ERP資料!C312+1)</f>
        <v/>
      </c>
    </row>
    <row r="313">
      <c r="A313" t="n">
        <v>313</v>
      </c>
      <c r="B313">
        <f>IF(ERP資料!A313="","",ERP資料!A313&amp;"|"&amp;ERP資料!E313&amp;"|"&amp;ERP資料!F313&amp;"|"&amp;ERP資料!G313&amp;"|"&amp;ERP資料!H313&amp;"|"&amp;ERP資料!O313)</f>
        <v/>
      </c>
      <c r="C313">
        <f>IF(B313="",0,IF(COUNTIF(B$2:B312,B313)=0,1,0))</f>
        <v/>
      </c>
      <c r="D313">
        <f>IF(B313="",0,SUMIFS($H$2:$H$801,$B$2:$B$801,B313))</f>
        <v/>
      </c>
      <c r="E313">
        <f>IF(NOT(AND(C313=1, TRIM(ERP資料!T313)="平板")), 0, IF(MAX(E$2:E312)=0, 1, IF(ERP資料!A313=INDEX(ERP資料!$A$2:$A312, MATCH(MAX(E$2:E312), E$2:E312, 0)), MAX(E$2:E312)+1, MAX(E$2:E312)+2)))</f>
        <v/>
      </c>
      <c r="F313">
        <f>IF(NOT(AND(C313=1, TRIM(ERP資料!T313)="平板")), 0, IF(MAX(F$2:F312)=0, 1, IF(ERP資料!A313=INDEX(ERP資料!$A$2:$A312, MATCH(MAX(F$2:F312), F$2:F312, 0)), MAX(F$2:F312)+1, MAX(F$2:F312)+2)))</f>
        <v/>
      </c>
      <c r="G313">
        <f>IF(NOT(AND(C313=1, TRIM(ERP資料!T313)="捲筒")), 0, IF(MAX(G$2:G312)=0, 1, IF(ERP資料!A313=INDEX(ERP資料!$A$2:$A312, MATCH(MAX(G$2:G312), G$2:G312, 0)), MAX(G$2:G312)+1, MAX(G$2:G312)+2)))</f>
        <v/>
      </c>
      <c r="H313">
        <f>IF(OR(ERP資料!C313="",ERP資料!D313=""),0,ERP資料!D313-ERP資料!C313+1)</f>
        <v/>
      </c>
    </row>
    <row r="314">
      <c r="A314" t="n">
        <v>314</v>
      </c>
      <c r="B314">
        <f>IF(ERP資料!A314="","",ERP資料!A314&amp;"|"&amp;ERP資料!E314&amp;"|"&amp;ERP資料!F314&amp;"|"&amp;ERP資料!G314&amp;"|"&amp;ERP資料!H314&amp;"|"&amp;ERP資料!O314)</f>
        <v/>
      </c>
      <c r="C314">
        <f>IF(B314="",0,IF(COUNTIF(B$2:B313,B314)=0,1,0))</f>
        <v/>
      </c>
      <c r="D314">
        <f>IF(B314="",0,SUMIFS($H$2:$H$801,$B$2:$B$801,B314))</f>
        <v/>
      </c>
      <c r="E314">
        <f>IF(NOT(AND(C314=1, TRIM(ERP資料!T314)="平板")), 0, IF(MAX(E$2:E313)=0, 1, IF(ERP資料!A314=INDEX(ERP資料!$A$2:$A313, MATCH(MAX(E$2:E313), E$2:E313, 0)), MAX(E$2:E313)+1, MAX(E$2:E313)+2)))</f>
        <v/>
      </c>
      <c r="F314">
        <f>IF(NOT(AND(C314=1, TRIM(ERP資料!T314)="平板")), 0, IF(MAX(F$2:F313)=0, 1, IF(ERP資料!A314=INDEX(ERP資料!$A$2:$A313, MATCH(MAX(F$2:F313), F$2:F313, 0)), MAX(F$2:F313)+1, MAX(F$2:F313)+2)))</f>
        <v/>
      </c>
      <c r="G314">
        <f>IF(NOT(AND(C314=1, TRIM(ERP資料!T314)="捲筒")), 0, IF(MAX(G$2:G313)=0, 1, IF(ERP資料!A314=INDEX(ERP資料!$A$2:$A313, MATCH(MAX(G$2:G313), G$2:G313, 0)), MAX(G$2:G313)+1, MAX(G$2:G313)+2)))</f>
        <v/>
      </c>
      <c r="H314">
        <f>IF(OR(ERP資料!C314="",ERP資料!D314=""),0,ERP資料!D314-ERP資料!C314+1)</f>
        <v/>
      </c>
    </row>
    <row r="315">
      <c r="A315" t="n">
        <v>315</v>
      </c>
      <c r="B315">
        <f>IF(ERP資料!A315="","",ERP資料!A315&amp;"|"&amp;ERP資料!E315&amp;"|"&amp;ERP資料!F315&amp;"|"&amp;ERP資料!G315&amp;"|"&amp;ERP資料!H315&amp;"|"&amp;ERP資料!O315)</f>
        <v/>
      </c>
      <c r="C315">
        <f>IF(B315="",0,IF(COUNTIF(B$2:B314,B315)=0,1,0))</f>
        <v/>
      </c>
      <c r="D315">
        <f>IF(B315="",0,SUMIFS($H$2:$H$801,$B$2:$B$801,B315))</f>
        <v/>
      </c>
      <c r="E315">
        <f>IF(NOT(AND(C315=1, TRIM(ERP資料!T315)="平板")), 0, IF(MAX(E$2:E314)=0, 1, IF(ERP資料!A315=INDEX(ERP資料!$A$2:$A314, MATCH(MAX(E$2:E314), E$2:E314, 0)), MAX(E$2:E314)+1, MAX(E$2:E314)+2)))</f>
        <v/>
      </c>
      <c r="F315">
        <f>IF(NOT(AND(C315=1, TRIM(ERP資料!T315)="平板")), 0, IF(MAX(F$2:F314)=0, 1, IF(ERP資料!A315=INDEX(ERP資料!$A$2:$A314, MATCH(MAX(F$2:F314), F$2:F314, 0)), MAX(F$2:F314)+1, MAX(F$2:F314)+2)))</f>
        <v/>
      </c>
      <c r="G315">
        <f>IF(NOT(AND(C315=1, TRIM(ERP資料!T315)="捲筒")), 0, IF(MAX(G$2:G314)=0, 1, IF(ERP資料!A315=INDEX(ERP資料!$A$2:$A314, MATCH(MAX(G$2:G314), G$2:G314, 0)), MAX(G$2:G314)+1, MAX(G$2:G314)+2)))</f>
        <v/>
      </c>
      <c r="H315">
        <f>IF(OR(ERP資料!C315="",ERP資料!D315=""),0,ERP資料!D315-ERP資料!C315+1)</f>
        <v/>
      </c>
    </row>
    <row r="316">
      <c r="A316" t="n">
        <v>316</v>
      </c>
      <c r="B316">
        <f>IF(ERP資料!A316="","",ERP資料!A316&amp;"|"&amp;ERP資料!E316&amp;"|"&amp;ERP資料!F316&amp;"|"&amp;ERP資料!G316&amp;"|"&amp;ERP資料!H316&amp;"|"&amp;ERP資料!O316)</f>
        <v/>
      </c>
      <c r="C316">
        <f>IF(B316="",0,IF(COUNTIF(B$2:B315,B316)=0,1,0))</f>
        <v/>
      </c>
      <c r="D316">
        <f>IF(B316="",0,SUMIFS($H$2:$H$801,$B$2:$B$801,B316))</f>
        <v/>
      </c>
      <c r="E316">
        <f>IF(NOT(AND(C316=1, TRIM(ERP資料!T316)="平板")), 0, IF(MAX(E$2:E315)=0, 1, IF(ERP資料!A316=INDEX(ERP資料!$A$2:$A315, MATCH(MAX(E$2:E315), E$2:E315, 0)), MAX(E$2:E315)+1, MAX(E$2:E315)+2)))</f>
        <v/>
      </c>
      <c r="F316">
        <f>IF(NOT(AND(C316=1, TRIM(ERP資料!T316)="平板")), 0, IF(MAX(F$2:F315)=0, 1, IF(ERP資料!A316=INDEX(ERP資料!$A$2:$A315, MATCH(MAX(F$2:F315), F$2:F315, 0)), MAX(F$2:F315)+1, MAX(F$2:F315)+2)))</f>
        <v/>
      </c>
      <c r="G316">
        <f>IF(NOT(AND(C316=1, TRIM(ERP資料!T316)="捲筒")), 0, IF(MAX(G$2:G315)=0, 1, IF(ERP資料!A316=INDEX(ERP資料!$A$2:$A315, MATCH(MAX(G$2:G315), G$2:G315, 0)), MAX(G$2:G315)+1, MAX(G$2:G315)+2)))</f>
        <v/>
      </c>
      <c r="H316">
        <f>IF(OR(ERP資料!C316="",ERP資料!D316=""),0,ERP資料!D316-ERP資料!C316+1)</f>
        <v/>
      </c>
    </row>
    <row r="317">
      <c r="A317" t="n">
        <v>317</v>
      </c>
      <c r="B317">
        <f>IF(ERP資料!A317="","",ERP資料!A317&amp;"|"&amp;ERP資料!E317&amp;"|"&amp;ERP資料!F317&amp;"|"&amp;ERP資料!G317&amp;"|"&amp;ERP資料!H317&amp;"|"&amp;ERP資料!O317)</f>
        <v/>
      </c>
      <c r="C317">
        <f>IF(B317="",0,IF(COUNTIF(B$2:B316,B317)=0,1,0))</f>
        <v/>
      </c>
      <c r="D317">
        <f>IF(B317="",0,SUMIFS($H$2:$H$801,$B$2:$B$801,B317))</f>
        <v/>
      </c>
      <c r="E317">
        <f>IF(NOT(AND(C317=1, TRIM(ERP資料!T317)="平板")), 0, IF(MAX(E$2:E316)=0, 1, IF(ERP資料!A317=INDEX(ERP資料!$A$2:$A316, MATCH(MAX(E$2:E316), E$2:E316, 0)), MAX(E$2:E316)+1, MAX(E$2:E316)+2)))</f>
        <v/>
      </c>
      <c r="F317">
        <f>IF(NOT(AND(C317=1, TRIM(ERP資料!T317)="平板")), 0, IF(MAX(F$2:F316)=0, 1, IF(ERP資料!A317=INDEX(ERP資料!$A$2:$A316, MATCH(MAX(F$2:F316), F$2:F316, 0)), MAX(F$2:F316)+1, MAX(F$2:F316)+2)))</f>
        <v/>
      </c>
      <c r="G317">
        <f>IF(NOT(AND(C317=1, TRIM(ERP資料!T317)="捲筒")), 0, IF(MAX(G$2:G316)=0, 1, IF(ERP資料!A317=INDEX(ERP資料!$A$2:$A316, MATCH(MAX(G$2:G316), G$2:G316, 0)), MAX(G$2:G316)+1, MAX(G$2:G316)+2)))</f>
        <v/>
      </c>
      <c r="H317">
        <f>IF(OR(ERP資料!C317="",ERP資料!D317=""),0,ERP資料!D317-ERP資料!C317+1)</f>
        <v/>
      </c>
    </row>
    <row r="318">
      <c r="A318" t="n">
        <v>318</v>
      </c>
      <c r="B318">
        <f>IF(ERP資料!A318="","",ERP資料!A318&amp;"|"&amp;ERP資料!E318&amp;"|"&amp;ERP資料!F318&amp;"|"&amp;ERP資料!G318&amp;"|"&amp;ERP資料!H318&amp;"|"&amp;ERP資料!O318)</f>
        <v/>
      </c>
      <c r="C318">
        <f>IF(B318="",0,IF(COUNTIF(B$2:B317,B318)=0,1,0))</f>
        <v/>
      </c>
      <c r="D318">
        <f>IF(B318="",0,SUMIFS($H$2:$H$801,$B$2:$B$801,B318))</f>
        <v/>
      </c>
      <c r="E318">
        <f>IF(NOT(AND(C318=1, TRIM(ERP資料!T318)="平板")), 0, IF(MAX(E$2:E317)=0, 1, IF(ERP資料!A318=INDEX(ERP資料!$A$2:$A317, MATCH(MAX(E$2:E317), E$2:E317, 0)), MAX(E$2:E317)+1, MAX(E$2:E317)+2)))</f>
        <v/>
      </c>
      <c r="F318">
        <f>IF(NOT(AND(C318=1, TRIM(ERP資料!T318)="平板")), 0, IF(MAX(F$2:F317)=0, 1, IF(ERP資料!A318=INDEX(ERP資料!$A$2:$A317, MATCH(MAX(F$2:F317), F$2:F317, 0)), MAX(F$2:F317)+1, MAX(F$2:F317)+2)))</f>
        <v/>
      </c>
      <c r="G318">
        <f>IF(NOT(AND(C318=1, TRIM(ERP資料!T318)="捲筒")), 0, IF(MAX(G$2:G317)=0, 1, IF(ERP資料!A318=INDEX(ERP資料!$A$2:$A317, MATCH(MAX(G$2:G317), G$2:G317, 0)), MAX(G$2:G317)+1, MAX(G$2:G317)+2)))</f>
        <v/>
      </c>
      <c r="H318">
        <f>IF(OR(ERP資料!C318="",ERP資料!D318=""),0,ERP資料!D318-ERP資料!C318+1)</f>
        <v/>
      </c>
    </row>
    <row r="319">
      <c r="A319" t="n">
        <v>319</v>
      </c>
      <c r="B319">
        <f>IF(ERP資料!A319="","",ERP資料!A319&amp;"|"&amp;ERP資料!E319&amp;"|"&amp;ERP資料!F319&amp;"|"&amp;ERP資料!G319&amp;"|"&amp;ERP資料!H319&amp;"|"&amp;ERP資料!O319)</f>
        <v/>
      </c>
      <c r="C319">
        <f>IF(B319="",0,IF(COUNTIF(B$2:B318,B319)=0,1,0))</f>
        <v/>
      </c>
      <c r="D319">
        <f>IF(B319="",0,SUMIFS($H$2:$H$801,$B$2:$B$801,B319))</f>
        <v/>
      </c>
      <c r="E319">
        <f>IF(NOT(AND(C319=1, TRIM(ERP資料!T319)="平板")), 0, IF(MAX(E$2:E318)=0, 1, IF(ERP資料!A319=INDEX(ERP資料!$A$2:$A318, MATCH(MAX(E$2:E318), E$2:E318, 0)), MAX(E$2:E318)+1, MAX(E$2:E318)+2)))</f>
        <v/>
      </c>
      <c r="F319">
        <f>IF(NOT(AND(C319=1, TRIM(ERP資料!T319)="平板")), 0, IF(MAX(F$2:F318)=0, 1, IF(ERP資料!A319=INDEX(ERP資料!$A$2:$A318, MATCH(MAX(F$2:F318), F$2:F318, 0)), MAX(F$2:F318)+1, MAX(F$2:F318)+2)))</f>
        <v/>
      </c>
      <c r="G319">
        <f>IF(NOT(AND(C319=1, TRIM(ERP資料!T319)="捲筒")), 0, IF(MAX(G$2:G318)=0, 1, IF(ERP資料!A319=INDEX(ERP資料!$A$2:$A318, MATCH(MAX(G$2:G318), G$2:G318, 0)), MAX(G$2:G318)+1, MAX(G$2:G318)+2)))</f>
        <v/>
      </c>
      <c r="H319">
        <f>IF(OR(ERP資料!C319="",ERP資料!D319=""),0,ERP資料!D319-ERP資料!C319+1)</f>
        <v/>
      </c>
    </row>
    <row r="320">
      <c r="A320" t="n">
        <v>320</v>
      </c>
      <c r="B320">
        <f>IF(ERP資料!A320="","",ERP資料!A320&amp;"|"&amp;ERP資料!E320&amp;"|"&amp;ERP資料!F320&amp;"|"&amp;ERP資料!G320&amp;"|"&amp;ERP資料!H320&amp;"|"&amp;ERP資料!O320)</f>
        <v/>
      </c>
      <c r="C320">
        <f>IF(B320="",0,IF(COUNTIF(B$2:B319,B320)=0,1,0))</f>
        <v/>
      </c>
      <c r="D320">
        <f>IF(B320="",0,SUMIFS($H$2:$H$801,$B$2:$B$801,B320))</f>
        <v/>
      </c>
      <c r="E320">
        <f>IF(NOT(AND(C320=1, TRIM(ERP資料!T320)="平板")), 0, IF(MAX(E$2:E319)=0, 1, IF(ERP資料!A320=INDEX(ERP資料!$A$2:$A319, MATCH(MAX(E$2:E319), E$2:E319, 0)), MAX(E$2:E319)+1, MAX(E$2:E319)+2)))</f>
        <v/>
      </c>
      <c r="F320">
        <f>IF(NOT(AND(C320=1, TRIM(ERP資料!T320)="平板")), 0, IF(MAX(F$2:F319)=0, 1, IF(ERP資料!A320=INDEX(ERP資料!$A$2:$A319, MATCH(MAX(F$2:F319), F$2:F319, 0)), MAX(F$2:F319)+1, MAX(F$2:F319)+2)))</f>
        <v/>
      </c>
      <c r="G320">
        <f>IF(NOT(AND(C320=1, TRIM(ERP資料!T320)="捲筒")), 0, IF(MAX(G$2:G319)=0, 1, IF(ERP資料!A320=INDEX(ERP資料!$A$2:$A319, MATCH(MAX(G$2:G319), G$2:G319, 0)), MAX(G$2:G319)+1, MAX(G$2:G319)+2)))</f>
        <v/>
      </c>
      <c r="H320">
        <f>IF(OR(ERP資料!C320="",ERP資料!D320=""),0,ERP資料!D320-ERP資料!C320+1)</f>
        <v/>
      </c>
    </row>
    <row r="321">
      <c r="A321" t="n">
        <v>321</v>
      </c>
      <c r="B321">
        <f>IF(ERP資料!A321="","",ERP資料!A321&amp;"|"&amp;ERP資料!E321&amp;"|"&amp;ERP資料!F321&amp;"|"&amp;ERP資料!G321&amp;"|"&amp;ERP資料!H321&amp;"|"&amp;ERP資料!O321)</f>
        <v/>
      </c>
      <c r="C321">
        <f>IF(B321="",0,IF(COUNTIF(B$2:B320,B321)=0,1,0))</f>
        <v/>
      </c>
      <c r="D321">
        <f>IF(B321="",0,SUMIFS($H$2:$H$801,$B$2:$B$801,B321))</f>
        <v/>
      </c>
      <c r="E321">
        <f>IF(NOT(AND(C321=1, TRIM(ERP資料!T321)="平板")), 0, IF(MAX(E$2:E320)=0, 1, IF(ERP資料!A321=INDEX(ERP資料!$A$2:$A320, MATCH(MAX(E$2:E320), E$2:E320, 0)), MAX(E$2:E320)+1, MAX(E$2:E320)+2)))</f>
        <v/>
      </c>
      <c r="F321">
        <f>IF(NOT(AND(C321=1, TRIM(ERP資料!T321)="平板")), 0, IF(MAX(F$2:F320)=0, 1, IF(ERP資料!A321=INDEX(ERP資料!$A$2:$A320, MATCH(MAX(F$2:F320), F$2:F320, 0)), MAX(F$2:F320)+1, MAX(F$2:F320)+2)))</f>
        <v/>
      </c>
      <c r="G321">
        <f>IF(NOT(AND(C321=1, TRIM(ERP資料!T321)="捲筒")), 0, IF(MAX(G$2:G320)=0, 1, IF(ERP資料!A321=INDEX(ERP資料!$A$2:$A320, MATCH(MAX(G$2:G320), G$2:G320, 0)), MAX(G$2:G320)+1, MAX(G$2:G320)+2)))</f>
        <v/>
      </c>
      <c r="H321">
        <f>IF(OR(ERP資料!C321="",ERP資料!D321=""),0,ERP資料!D321-ERP資料!C321+1)</f>
        <v/>
      </c>
    </row>
    <row r="322">
      <c r="A322" t="n">
        <v>322</v>
      </c>
      <c r="B322">
        <f>IF(ERP資料!A322="","",ERP資料!A322&amp;"|"&amp;ERP資料!E322&amp;"|"&amp;ERP資料!F322&amp;"|"&amp;ERP資料!G322&amp;"|"&amp;ERP資料!H322&amp;"|"&amp;ERP資料!O322)</f>
        <v/>
      </c>
      <c r="C322">
        <f>IF(B322="",0,IF(COUNTIF(B$2:B321,B322)=0,1,0))</f>
        <v/>
      </c>
      <c r="D322">
        <f>IF(B322="",0,SUMIFS($H$2:$H$801,$B$2:$B$801,B322))</f>
        <v/>
      </c>
      <c r="E322">
        <f>IF(NOT(AND(C322=1, TRIM(ERP資料!T322)="平板")), 0, IF(MAX(E$2:E321)=0, 1, IF(ERP資料!A322=INDEX(ERP資料!$A$2:$A321, MATCH(MAX(E$2:E321), E$2:E321, 0)), MAX(E$2:E321)+1, MAX(E$2:E321)+2)))</f>
        <v/>
      </c>
      <c r="F322">
        <f>IF(NOT(AND(C322=1, TRIM(ERP資料!T322)="平板")), 0, IF(MAX(F$2:F321)=0, 1, IF(ERP資料!A322=INDEX(ERP資料!$A$2:$A321, MATCH(MAX(F$2:F321), F$2:F321, 0)), MAX(F$2:F321)+1, MAX(F$2:F321)+2)))</f>
        <v/>
      </c>
      <c r="G322">
        <f>IF(NOT(AND(C322=1, TRIM(ERP資料!T322)="捲筒")), 0, IF(MAX(G$2:G321)=0, 1, IF(ERP資料!A322=INDEX(ERP資料!$A$2:$A321, MATCH(MAX(G$2:G321), G$2:G321, 0)), MAX(G$2:G321)+1, MAX(G$2:G321)+2)))</f>
        <v/>
      </c>
      <c r="H322">
        <f>IF(OR(ERP資料!C322="",ERP資料!D322=""),0,ERP資料!D322-ERP資料!C322+1)</f>
        <v/>
      </c>
    </row>
    <row r="323">
      <c r="A323" t="n">
        <v>323</v>
      </c>
      <c r="B323">
        <f>IF(ERP資料!A323="","",ERP資料!A323&amp;"|"&amp;ERP資料!E323&amp;"|"&amp;ERP資料!F323&amp;"|"&amp;ERP資料!G323&amp;"|"&amp;ERP資料!H323&amp;"|"&amp;ERP資料!O323)</f>
        <v/>
      </c>
      <c r="C323">
        <f>IF(B323="",0,IF(COUNTIF(B$2:B322,B323)=0,1,0))</f>
        <v/>
      </c>
      <c r="D323">
        <f>IF(B323="",0,SUMIFS($H$2:$H$801,$B$2:$B$801,B323))</f>
        <v/>
      </c>
      <c r="E323">
        <f>IF(NOT(AND(C323=1, TRIM(ERP資料!T323)="平板")), 0, IF(MAX(E$2:E322)=0, 1, IF(ERP資料!A323=INDEX(ERP資料!$A$2:$A322, MATCH(MAX(E$2:E322), E$2:E322, 0)), MAX(E$2:E322)+1, MAX(E$2:E322)+2)))</f>
        <v/>
      </c>
      <c r="F323">
        <f>IF(NOT(AND(C323=1, TRIM(ERP資料!T323)="平板")), 0, IF(MAX(F$2:F322)=0, 1, IF(ERP資料!A323=INDEX(ERP資料!$A$2:$A322, MATCH(MAX(F$2:F322), F$2:F322, 0)), MAX(F$2:F322)+1, MAX(F$2:F322)+2)))</f>
        <v/>
      </c>
      <c r="G323">
        <f>IF(NOT(AND(C323=1, TRIM(ERP資料!T323)="捲筒")), 0, IF(MAX(G$2:G322)=0, 1, IF(ERP資料!A323=INDEX(ERP資料!$A$2:$A322, MATCH(MAX(G$2:G322), G$2:G322, 0)), MAX(G$2:G322)+1, MAX(G$2:G322)+2)))</f>
        <v/>
      </c>
      <c r="H323">
        <f>IF(OR(ERP資料!C323="",ERP資料!D323=""),0,ERP資料!D323-ERP資料!C323+1)</f>
        <v/>
      </c>
    </row>
    <row r="324">
      <c r="A324" t="n">
        <v>324</v>
      </c>
      <c r="B324">
        <f>IF(ERP資料!A324="","",ERP資料!A324&amp;"|"&amp;ERP資料!E324&amp;"|"&amp;ERP資料!F324&amp;"|"&amp;ERP資料!G324&amp;"|"&amp;ERP資料!H324&amp;"|"&amp;ERP資料!O324)</f>
        <v/>
      </c>
      <c r="C324">
        <f>IF(B324="",0,IF(COUNTIF(B$2:B323,B324)=0,1,0))</f>
        <v/>
      </c>
      <c r="D324">
        <f>IF(B324="",0,SUMIFS($H$2:$H$801,$B$2:$B$801,B324))</f>
        <v/>
      </c>
      <c r="E324">
        <f>IF(NOT(AND(C324=1, TRIM(ERP資料!T324)="平板")), 0, IF(MAX(E$2:E323)=0, 1, IF(ERP資料!A324=INDEX(ERP資料!$A$2:$A323, MATCH(MAX(E$2:E323), E$2:E323, 0)), MAX(E$2:E323)+1, MAX(E$2:E323)+2)))</f>
        <v/>
      </c>
      <c r="F324">
        <f>IF(NOT(AND(C324=1, TRIM(ERP資料!T324)="平板")), 0, IF(MAX(F$2:F323)=0, 1, IF(ERP資料!A324=INDEX(ERP資料!$A$2:$A323, MATCH(MAX(F$2:F323), F$2:F323, 0)), MAX(F$2:F323)+1, MAX(F$2:F323)+2)))</f>
        <v/>
      </c>
      <c r="G324">
        <f>IF(NOT(AND(C324=1, TRIM(ERP資料!T324)="捲筒")), 0, IF(MAX(G$2:G323)=0, 1, IF(ERP資料!A324=INDEX(ERP資料!$A$2:$A323, MATCH(MAX(G$2:G323), G$2:G323, 0)), MAX(G$2:G323)+1, MAX(G$2:G323)+2)))</f>
        <v/>
      </c>
      <c r="H324">
        <f>IF(OR(ERP資料!C324="",ERP資料!D324=""),0,ERP資料!D324-ERP資料!C324+1)</f>
        <v/>
      </c>
    </row>
    <row r="325">
      <c r="A325" t="n">
        <v>325</v>
      </c>
      <c r="B325">
        <f>IF(ERP資料!A325="","",ERP資料!A325&amp;"|"&amp;ERP資料!E325&amp;"|"&amp;ERP資料!F325&amp;"|"&amp;ERP資料!G325&amp;"|"&amp;ERP資料!H325&amp;"|"&amp;ERP資料!O325)</f>
        <v/>
      </c>
      <c r="C325">
        <f>IF(B325="",0,IF(COUNTIF(B$2:B324,B325)=0,1,0))</f>
        <v/>
      </c>
      <c r="D325">
        <f>IF(B325="",0,SUMIFS($H$2:$H$801,$B$2:$B$801,B325))</f>
        <v/>
      </c>
      <c r="E325">
        <f>IF(NOT(AND(C325=1, TRIM(ERP資料!T325)="平板")), 0, IF(MAX(E$2:E324)=0, 1, IF(ERP資料!A325=INDEX(ERP資料!$A$2:$A324, MATCH(MAX(E$2:E324), E$2:E324, 0)), MAX(E$2:E324)+1, MAX(E$2:E324)+2)))</f>
        <v/>
      </c>
      <c r="F325">
        <f>IF(NOT(AND(C325=1, TRIM(ERP資料!T325)="平板")), 0, IF(MAX(F$2:F324)=0, 1, IF(ERP資料!A325=INDEX(ERP資料!$A$2:$A324, MATCH(MAX(F$2:F324), F$2:F324, 0)), MAX(F$2:F324)+1, MAX(F$2:F324)+2)))</f>
        <v/>
      </c>
      <c r="G325">
        <f>IF(NOT(AND(C325=1, TRIM(ERP資料!T325)="捲筒")), 0, IF(MAX(G$2:G324)=0, 1, IF(ERP資料!A325=INDEX(ERP資料!$A$2:$A324, MATCH(MAX(G$2:G324), G$2:G324, 0)), MAX(G$2:G324)+1, MAX(G$2:G324)+2)))</f>
        <v/>
      </c>
      <c r="H325">
        <f>IF(OR(ERP資料!C325="",ERP資料!D325=""),0,ERP資料!D325-ERP資料!C325+1)</f>
        <v/>
      </c>
    </row>
    <row r="326">
      <c r="A326" t="n">
        <v>326</v>
      </c>
      <c r="B326">
        <f>IF(ERP資料!A326="","",ERP資料!A326&amp;"|"&amp;ERP資料!E326&amp;"|"&amp;ERP資料!F326&amp;"|"&amp;ERP資料!G326&amp;"|"&amp;ERP資料!H326&amp;"|"&amp;ERP資料!O326)</f>
        <v/>
      </c>
      <c r="C326">
        <f>IF(B326="",0,IF(COUNTIF(B$2:B325,B326)=0,1,0))</f>
        <v/>
      </c>
      <c r="D326">
        <f>IF(B326="",0,SUMIFS($H$2:$H$801,$B$2:$B$801,B326))</f>
        <v/>
      </c>
      <c r="E326">
        <f>IF(NOT(AND(C326=1, TRIM(ERP資料!T326)="平板")), 0, IF(MAX(E$2:E325)=0, 1, IF(ERP資料!A326=INDEX(ERP資料!$A$2:$A325, MATCH(MAX(E$2:E325), E$2:E325, 0)), MAX(E$2:E325)+1, MAX(E$2:E325)+2)))</f>
        <v/>
      </c>
      <c r="F326">
        <f>IF(NOT(AND(C326=1, TRIM(ERP資料!T326)="平板")), 0, IF(MAX(F$2:F325)=0, 1, IF(ERP資料!A326=INDEX(ERP資料!$A$2:$A325, MATCH(MAX(F$2:F325), F$2:F325, 0)), MAX(F$2:F325)+1, MAX(F$2:F325)+2)))</f>
        <v/>
      </c>
      <c r="G326">
        <f>IF(NOT(AND(C326=1, TRIM(ERP資料!T326)="捲筒")), 0, IF(MAX(G$2:G325)=0, 1, IF(ERP資料!A326=INDEX(ERP資料!$A$2:$A325, MATCH(MAX(G$2:G325), G$2:G325, 0)), MAX(G$2:G325)+1, MAX(G$2:G325)+2)))</f>
        <v/>
      </c>
      <c r="H326">
        <f>IF(OR(ERP資料!C326="",ERP資料!D326=""),0,ERP資料!D326-ERP資料!C326+1)</f>
        <v/>
      </c>
    </row>
    <row r="327">
      <c r="A327" t="n">
        <v>327</v>
      </c>
      <c r="B327">
        <f>IF(ERP資料!A327="","",ERP資料!A327&amp;"|"&amp;ERP資料!E327&amp;"|"&amp;ERP資料!F327&amp;"|"&amp;ERP資料!G327&amp;"|"&amp;ERP資料!H327&amp;"|"&amp;ERP資料!O327)</f>
        <v/>
      </c>
      <c r="C327">
        <f>IF(B327="",0,IF(COUNTIF(B$2:B326,B327)=0,1,0))</f>
        <v/>
      </c>
      <c r="D327">
        <f>IF(B327="",0,SUMIFS($H$2:$H$801,$B$2:$B$801,B327))</f>
        <v/>
      </c>
      <c r="E327">
        <f>IF(NOT(AND(C327=1, TRIM(ERP資料!T327)="平板")), 0, IF(MAX(E$2:E326)=0, 1, IF(ERP資料!A327=INDEX(ERP資料!$A$2:$A326, MATCH(MAX(E$2:E326), E$2:E326, 0)), MAX(E$2:E326)+1, MAX(E$2:E326)+2)))</f>
        <v/>
      </c>
      <c r="F327">
        <f>IF(NOT(AND(C327=1, TRIM(ERP資料!T327)="平板")), 0, IF(MAX(F$2:F326)=0, 1, IF(ERP資料!A327=INDEX(ERP資料!$A$2:$A326, MATCH(MAX(F$2:F326), F$2:F326, 0)), MAX(F$2:F326)+1, MAX(F$2:F326)+2)))</f>
        <v/>
      </c>
      <c r="G327">
        <f>IF(NOT(AND(C327=1, TRIM(ERP資料!T327)="捲筒")), 0, IF(MAX(G$2:G326)=0, 1, IF(ERP資料!A327=INDEX(ERP資料!$A$2:$A326, MATCH(MAX(G$2:G326), G$2:G326, 0)), MAX(G$2:G326)+1, MAX(G$2:G326)+2)))</f>
        <v/>
      </c>
      <c r="H327">
        <f>IF(OR(ERP資料!C327="",ERP資料!D327=""),0,ERP資料!D327-ERP資料!C327+1)</f>
        <v/>
      </c>
    </row>
    <row r="328">
      <c r="A328" t="n">
        <v>328</v>
      </c>
      <c r="B328">
        <f>IF(ERP資料!A328="","",ERP資料!A328&amp;"|"&amp;ERP資料!E328&amp;"|"&amp;ERP資料!F328&amp;"|"&amp;ERP資料!G328&amp;"|"&amp;ERP資料!H328&amp;"|"&amp;ERP資料!O328)</f>
        <v/>
      </c>
      <c r="C328">
        <f>IF(B328="",0,IF(COUNTIF(B$2:B327,B328)=0,1,0))</f>
        <v/>
      </c>
      <c r="D328">
        <f>IF(B328="",0,SUMIFS($H$2:$H$801,$B$2:$B$801,B328))</f>
        <v/>
      </c>
      <c r="E328">
        <f>IF(NOT(AND(C328=1, TRIM(ERP資料!T328)="平板")), 0, IF(MAX(E$2:E327)=0, 1, IF(ERP資料!A328=INDEX(ERP資料!$A$2:$A327, MATCH(MAX(E$2:E327), E$2:E327, 0)), MAX(E$2:E327)+1, MAX(E$2:E327)+2)))</f>
        <v/>
      </c>
      <c r="F328">
        <f>IF(NOT(AND(C328=1, TRIM(ERP資料!T328)="平板")), 0, IF(MAX(F$2:F327)=0, 1, IF(ERP資料!A328=INDEX(ERP資料!$A$2:$A327, MATCH(MAX(F$2:F327), F$2:F327, 0)), MAX(F$2:F327)+1, MAX(F$2:F327)+2)))</f>
        <v/>
      </c>
      <c r="G328">
        <f>IF(NOT(AND(C328=1, TRIM(ERP資料!T328)="捲筒")), 0, IF(MAX(G$2:G327)=0, 1, IF(ERP資料!A328=INDEX(ERP資料!$A$2:$A327, MATCH(MAX(G$2:G327), G$2:G327, 0)), MAX(G$2:G327)+1, MAX(G$2:G327)+2)))</f>
        <v/>
      </c>
      <c r="H328">
        <f>IF(OR(ERP資料!C328="",ERP資料!D328=""),0,ERP資料!D328-ERP資料!C328+1)</f>
        <v/>
      </c>
    </row>
    <row r="329">
      <c r="A329" t="n">
        <v>329</v>
      </c>
      <c r="B329">
        <f>IF(ERP資料!A329="","",ERP資料!A329&amp;"|"&amp;ERP資料!E329&amp;"|"&amp;ERP資料!F329&amp;"|"&amp;ERP資料!G329&amp;"|"&amp;ERP資料!H329&amp;"|"&amp;ERP資料!O329)</f>
        <v/>
      </c>
      <c r="C329">
        <f>IF(B329="",0,IF(COUNTIF(B$2:B328,B329)=0,1,0))</f>
        <v/>
      </c>
      <c r="D329">
        <f>IF(B329="",0,SUMIFS($H$2:$H$801,$B$2:$B$801,B329))</f>
        <v/>
      </c>
      <c r="E329">
        <f>IF(NOT(AND(C329=1, TRIM(ERP資料!T329)="平板")), 0, IF(MAX(E$2:E328)=0, 1, IF(ERP資料!A329=INDEX(ERP資料!$A$2:$A328, MATCH(MAX(E$2:E328), E$2:E328, 0)), MAX(E$2:E328)+1, MAX(E$2:E328)+2)))</f>
        <v/>
      </c>
      <c r="F329">
        <f>IF(NOT(AND(C329=1, TRIM(ERP資料!T329)="平板")), 0, IF(MAX(F$2:F328)=0, 1, IF(ERP資料!A329=INDEX(ERP資料!$A$2:$A328, MATCH(MAX(F$2:F328), F$2:F328, 0)), MAX(F$2:F328)+1, MAX(F$2:F328)+2)))</f>
        <v/>
      </c>
      <c r="G329">
        <f>IF(NOT(AND(C329=1, TRIM(ERP資料!T329)="捲筒")), 0, IF(MAX(G$2:G328)=0, 1, IF(ERP資料!A329=INDEX(ERP資料!$A$2:$A328, MATCH(MAX(G$2:G328), G$2:G328, 0)), MAX(G$2:G328)+1, MAX(G$2:G328)+2)))</f>
        <v/>
      </c>
      <c r="H329">
        <f>IF(OR(ERP資料!C329="",ERP資料!D329=""),0,ERP資料!D329-ERP資料!C329+1)</f>
        <v/>
      </c>
    </row>
    <row r="330">
      <c r="A330" t="n">
        <v>330</v>
      </c>
      <c r="B330">
        <f>IF(ERP資料!A330="","",ERP資料!A330&amp;"|"&amp;ERP資料!E330&amp;"|"&amp;ERP資料!F330&amp;"|"&amp;ERP資料!G330&amp;"|"&amp;ERP資料!H330&amp;"|"&amp;ERP資料!O330)</f>
        <v/>
      </c>
      <c r="C330">
        <f>IF(B330="",0,IF(COUNTIF(B$2:B329,B330)=0,1,0))</f>
        <v/>
      </c>
      <c r="D330">
        <f>IF(B330="",0,SUMIFS($H$2:$H$801,$B$2:$B$801,B330))</f>
        <v/>
      </c>
      <c r="E330">
        <f>IF(NOT(AND(C330=1, TRIM(ERP資料!T330)="平板")), 0, IF(MAX(E$2:E329)=0, 1, IF(ERP資料!A330=INDEX(ERP資料!$A$2:$A329, MATCH(MAX(E$2:E329), E$2:E329, 0)), MAX(E$2:E329)+1, MAX(E$2:E329)+2)))</f>
        <v/>
      </c>
      <c r="F330">
        <f>IF(NOT(AND(C330=1, TRIM(ERP資料!T330)="平板")), 0, IF(MAX(F$2:F329)=0, 1, IF(ERP資料!A330=INDEX(ERP資料!$A$2:$A329, MATCH(MAX(F$2:F329), F$2:F329, 0)), MAX(F$2:F329)+1, MAX(F$2:F329)+2)))</f>
        <v/>
      </c>
      <c r="G330">
        <f>IF(NOT(AND(C330=1, TRIM(ERP資料!T330)="捲筒")), 0, IF(MAX(G$2:G329)=0, 1, IF(ERP資料!A330=INDEX(ERP資料!$A$2:$A329, MATCH(MAX(G$2:G329), G$2:G329, 0)), MAX(G$2:G329)+1, MAX(G$2:G329)+2)))</f>
        <v/>
      </c>
      <c r="H330">
        <f>IF(OR(ERP資料!C330="",ERP資料!D330=""),0,ERP資料!D330-ERP資料!C330+1)</f>
        <v/>
      </c>
    </row>
    <row r="331">
      <c r="A331" t="n">
        <v>331</v>
      </c>
      <c r="B331">
        <f>IF(ERP資料!A331="","",ERP資料!A331&amp;"|"&amp;ERP資料!E331&amp;"|"&amp;ERP資料!F331&amp;"|"&amp;ERP資料!G331&amp;"|"&amp;ERP資料!H331&amp;"|"&amp;ERP資料!O331)</f>
        <v/>
      </c>
      <c r="C331">
        <f>IF(B331="",0,IF(COUNTIF(B$2:B330,B331)=0,1,0))</f>
        <v/>
      </c>
      <c r="D331">
        <f>IF(B331="",0,SUMIFS($H$2:$H$801,$B$2:$B$801,B331))</f>
        <v/>
      </c>
      <c r="E331">
        <f>IF(NOT(AND(C331=1, TRIM(ERP資料!T331)="平板")), 0, IF(MAX(E$2:E330)=0, 1, IF(ERP資料!A331=INDEX(ERP資料!$A$2:$A330, MATCH(MAX(E$2:E330), E$2:E330, 0)), MAX(E$2:E330)+1, MAX(E$2:E330)+2)))</f>
        <v/>
      </c>
      <c r="F331">
        <f>IF(NOT(AND(C331=1, TRIM(ERP資料!T331)="平板")), 0, IF(MAX(F$2:F330)=0, 1, IF(ERP資料!A331=INDEX(ERP資料!$A$2:$A330, MATCH(MAX(F$2:F330), F$2:F330, 0)), MAX(F$2:F330)+1, MAX(F$2:F330)+2)))</f>
        <v/>
      </c>
      <c r="G331">
        <f>IF(NOT(AND(C331=1, TRIM(ERP資料!T331)="捲筒")), 0, IF(MAX(G$2:G330)=0, 1, IF(ERP資料!A331=INDEX(ERP資料!$A$2:$A330, MATCH(MAX(G$2:G330), G$2:G330, 0)), MAX(G$2:G330)+1, MAX(G$2:G330)+2)))</f>
        <v/>
      </c>
      <c r="H331">
        <f>IF(OR(ERP資料!C331="",ERP資料!D331=""),0,ERP資料!D331-ERP資料!C331+1)</f>
        <v/>
      </c>
    </row>
    <row r="332">
      <c r="A332" t="n">
        <v>332</v>
      </c>
      <c r="B332">
        <f>IF(ERP資料!A332="","",ERP資料!A332&amp;"|"&amp;ERP資料!E332&amp;"|"&amp;ERP資料!F332&amp;"|"&amp;ERP資料!G332&amp;"|"&amp;ERP資料!H332&amp;"|"&amp;ERP資料!O332)</f>
        <v/>
      </c>
      <c r="C332">
        <f>IF(B332="",0,IF(COUNTIF(B$2:B331,B332)=0,1,0))</f>
        <v/>
      </c>
      <c r="D332">
        <f>IF(B332="",0,SUMIFS($H$2:$H$801,$B$2:$B$801,B332))</f>
        <v/>
      </c>
      <c r="E332">
        <f>IF(NOT(AND(C332=1, TRIM(ERP資料!T332)="平板")), 0, IF(MAX(E$2:E331)=0, 1, IF(ERP資料!A332=INDEX(ERP資料!$A$2:$A331, MATCH(MAX(E$2:E331), E$2:E331, 0)), MAX(E$2:E331)+1, MAX(E$2:E331)+2)))</f>
        <v/>
      </c>
      <c r="F332">
        <f>IF(NOT(AND(C332=1, TRIM(ERP資料!T332)="平板")), 0, IF(MAX(F$2:F331)=0, 1, IF(ERP資料!A332=INDEX(ERP資料!$A$2:$A331, MATCH(MAX(F$2:F331), F$2:F331, 0)), MAX(F$2:F331)+1, MAX(F$2:F331)+2)))</f>
        <v/>
      </c>
      <c r="G332">
        <f>IF(NOT(AND(C332=1, TRIM(ERP資料!T332)="捲筒")), 0, IF(MAX(G$2:G331)=0, 1, IF(ERP資料!A332=INDEX(ERP資料!$A$2:$A331, MATCH(MAX(G$2:G331), G$2:G331, 0)), MAX(G$2:G331)+1, MAX(G$2:G331)+2)))</f>
        <v/>
      </c>
      <c r="H332">
        <f>IF(OR(ERP資料!C332="",ERP資料!D332=""),0,ERP資料!D332-ERP資料!C332+1)</f>
        <v/>
      </c>
    </row>
    <row r="333">
      <c r="A333" t="n">
        <v>333</v>
      </c>
      <c r="B333">
        <f>IF(ERP資料!A333="","",ERP資料!A333&amp;"|"&amp;ERP資料!E333&amp;"|"&amp;ERP資料!F333&amp;"|"&amp;ERP資料!G333&amp;"|"&amp;ERP資料!H333&amp;"|"&amp;ERP資料!O333)</f>
        <v/>
      </c>
      <c r="C333">
        <f>IF(B333="",0,IF(COUNTIF(B$2:B332,B333)=0,1,0))</f>
        <v/>
      </c>
      <c r="D333">
        <f>IF(B333="",0,SUMIFS($H$2:$H$801,$B$2:$B$801,B333))</f>
        <v/>
      </c>
      <c r="E333">
        <f>IF(NOT(AND(C333=1, TRIM(ERP資料!T333)="平板")), 0, IF(MAX(E$2:E332)=0, 1, IF(ERP資料!A333=INDEX(ERP資料!$A$2:$A332, MATCH(MAX(E$2:E332), E$2:E332, 0)), MAX(E$2:E332)+1, MAX(E$2:E332)+2)))</f>
        <v/>
      </c>
      <c r="F333">
        <f>IF(NOT(AND(C333=1, TRIM(ERP資料!T333)="平板")), 0, IF(MAX(F$2:F332)=0, 1, IF(ERP資料!A333=INDEX(ERP資料!$A$2:$A332, MATCH(MAX(F$2:F332), F$2:F332, 0)), MAX(F$2:F332)+1, MAX(F$2:F332)+2)))</f>
        <v/>
      </c>
      <c r="G333">
        <f>IF(NOT(AND(C333=1, TRIM(ERP資料!T333)="捲筒")), 0, IF(MAX(G$2:G332)=0, 1, IF(ERP資料!A333=INDEX(ERP資料!$A$2:$A332, MATCH(MAX(G$2:G332), G$2:G332, 0)), MAX(G$2:G332)+1, MAX(G$2:G332)+2)))</f>
        <v/>
      </c>
      <c r="H333">
        <f>IF(OR(ERP資料!C333="",ERP資料!D333=""),0,ERP資料!D333-ERP資料!C333+1)</f>
        <v/>
      </c>
    </row>
    <row r="334">
      <c r="A334" t="n">
        <v>334</v>
      </c>
      <c r="B334">
        <f>IF(ERP資料!A334="","",ERP資料!A334&amp;"|"&amp;ERP資料!E334&amp;"|"&amp;ERP資料!F334&amp;"|"&amp;ERP資料!G334&amp;"|"&amp;ERP資料!H334&amp;"|"&amp;ERP資料!O334)</f>
        <v/>
      </c>
      <c r="C334">
        <f>IF(B334="",0,IF(COUNTIF(B$2:B333,B334)=0,1,0))</f>
        <v/>
      </c>
      <c r="D334">
        <f>IF(B334="",0,SUMIFS($H$2:$H$801,$B$2:$B$801,B334))</f>
        <v/>
      </c>
      <c r="E334">
        <f>IF(NOT(AND(C334=1, TRIM(ERP資料!T334)="平板")), 0, IF(MAX(E$2:E333)=0, 1, IF(ERP資料!A334=INDEX(ERP資料!$A$2:$A333, MATCH(MAX(E$2:E333), E$2:E333, 0)), MAX(E$2:E333)+1, MAX(E$2:E333)+2)))</f>
        <v/>
      </c>
      <c r="F334">
        <f>IF(NOT(AND(C334=1, TRIM(ERP資料!T334)="平板")), 0, IF(MAX(F$2:F333)=0, 1, IF(ERP資料!A334=INDEX(ERP資料!$A$2:$A333, MATCH(MAX(F$2:F333), F$2:F333, 0)), MAX(F$2:F333)+1, MAX(F$2:F333)+2)))</f>
        <v/>
      </c>
      <c r="G334">
        <f>IF(NOT(AND(C334=1, TRIM(ERP資料!T334)="捲筒")), 0, IF(MAX(G$2:G333)=0, 1, IF(ERP資料!A334=INDEX(ERP資料!$A$2:$A333, MATCH(MAX(G$2:G333), G$2:G333, 0)), MAX(G$2:G333)+1, MAX(G$2:G333)+2)))</f>
        <v/>
      </c>
      <c r="H334">
        <f>IF(OR(ERP資料!C334="",ERP資料!D334=""),0,ERP資料!D334-ERP資料!C334+1)</f>
        <v/>
      </c>
    </row>
    <row r="335">
      <c r="A335" t="n">
        <v>335</v>
      </c>
      <c r="B335">
        <f>IF(ERP資料!A335="","",ERP資料!A335&amp;"|"&amp;ERP資料!E335&amp;"|"&amp;ERP資料!F335&amp;"|"&amp;ERP資料!G335&amp;"|"&amp;ERP資料!H335&amp;"|"&amp;ERP資料!O335)</f>
        <v/>
      </c>
      <c r="C335">
        <f>IF(B335="",0,IF(COUNTIF(B$2:B334,B335)=0,1,0))</f>
        <v/>
      </c>
      <c r="D335">
        <f>IF(B335="",0,SUMIFS($H$2:$H$801,$B$2:$B$801,B335))</f>
        <v/>
      </c>
      <c r="E335">
        <f>IF(NOT(AND(C335=1, TRIM(ERP資料!T335)="平板")), 0, IF(MAX(E$2:E334)=0, 1, IF(ERP資料!A335=INDEX(ERP資料!$A$2:$A334, MATCH(MAX(E$2:E334), E$2:E334, 0)), MAX(E$2:E334)+1, MAX(E$2:E334)+2)))</f>
        <v/>
      </c>
      <c r="F335">
        <f>IF(NOT(AND(C335=1, TRIM(ERP資料!T335)="平板")), 0, IF(MAX(F$2:F334)=0, 1, IF(ERP資料!A335=INDEX(ERP資料!$A$2:$A334, MATCH(MAX(F$2:F334), F$2:F334, 0)), MAX(F$2:F334)+1, MAX(F$2:F334)+2)))</f>
        <v/>
      </c>
      <c r="G335">
        <f>IF(NOT(AND(C335=1, TRIM(ERP資料!T335)="捲筒")), 0, IF(MAX(G$2:G334)=0, 1, IF(ERP資料!A335=INDEX(ERP資料!$A$2:$A334, MATCH(MAX(G$2:G334), G$2:G334, 0)), MAX(G$2:G334)+1, MAX(G$2:G334)+2)))</f>
        <v/>
      </c>
      <c r="H335">
        <f>IF(OR(ERP資料!C335="",ERP資料!D335=""),0,ERP資料!D335-ERP資料!C335+1)</f>
        <v/>
      </c>
    </row>
    <row r="336">
      <c r="A336" t="n">
        <v>336</v>
      </c>
      <c r="B336">
        <f>IF(ERP資料!A336="","",ERP資料!A336&amp;"|"&amp;ERP資料!E336&amp;"|"&amp;ERP資料!F336&amp;"|"&amp;ERP資料!G336&amp;"|"&amp;ERP資料!H336&amp;"|"&amp;ERP資料!O336)</f>
        <v/>
      </c>
      <c r="C336">
        <f>IF(B336="",0,IF(COUNTIF(B$2:B335,B336)=0,1,0))</f>
        <v/>
      </c>
      <c r="D336">
        <f>IF(B336="",0,SUMIFS($H$2:$H$801,$B$2:$B$801,B336))</f>
        <v/>
      </c>
      <c r="E336">
        <f>IF(NOT(AND(C336=1, TRIM(ERP資料!T336)="平板")), 0, IF(MAX(E$2:E335)=0, 1, IF(ERP資料!A336=INDEX(ERP資料!$A$2:$A335, MATCH(MAX(E$2:E335), E$2:E335, 0)), MAX(E$2:E335)+1, MAX(E$2:E335)+2)))</f>
        <v/>
      </c>
      <c r="F336">
        <f>IF(NOT(AND(C336=1, TRIM(ERP資料!T336)="平板")), 0, IF(MAX(F$2:F335)=0, 1, IF(ERP資料!A336=INDEX(ERP資料!$A$2:$A335, MATCH(MAX(F$2:F335), F$2:F335, 0)), MAX(F$2:F335)+1, MAX(F$2:F335)+2)))</f>
        <v/>
      </c>
      <c r="G336">
        <f>IF(NOT(AND(C336=1, TRIM(ERP資料!T336)="捲筒")), 0, IF(MAX(G$2:G335)=0, 1, IF(ERP資料!A336=INDEX(ERP資料!$A$2:$A335, MATCH(MAX(G$2:G335), G$2:G335, 0)), MAX(G$2:G335)+1, MAX(G$2:G335)+2)))</f>
        <v/>
      </c>
      <c r="H336">
        <f>IF(OR(ERP資料!C336="",ERP資料!D336=""),0,ERP資料!D336-ERP資料!C336+1)</f>
        <v/>
      </c>
    </row>
    <row r="337">
      <c r="A337" t="n">
        <v>337</v>
      </c>
      <c r="B337">
        <f>IF(ERP資料!A337="","",ERP資料!A337&amp;"|"&amp;ERP資料!E337&amp;"|"&amp;ERP資料!F337&amp;"|"&amp;ERP資料!G337&amp;"|"&amp;ERP資料!H337&amp;"|"&amp;ERP資料!O337)</f>
        <v/>
      </c>
      <c r="C337">
        <f>IF(B337="",0,IF(COUNTIF(B$2:B336,B337)=0,1,0))</f>
        <v/>
      </c>
      <c r="D337">
        <f>IF(B337="",0,SUMIFS($H$2:$H$801,$B$2:$B$801,B337))</f>
        <v/>
      </c>
      <c r="E337">
        <f>IF(NOT(AND(C337=1, TRIM(ERP資料!T337)="平板")), 0, IF(MAX(E$2:E336)=0, 1, IF(ERP資料!A337=INDEX(ERP資料!$A$2:$A336, MATCH(MAX(E$2:E336), E$2:E336, 0)), MAX(E$2:E336)+1, MAX(E$2:E336)+2)))</f>
        <v/>
      </c>
      <c r="F337">
        <f>IF(NOT(AND(C337=1, TRIM(ERP資料!T337)="平板")), 0, IF(MAX(F$2:F336)=0, 1, IF(ERP資料!A337=INDEX(ERP資料!$A$2:$A336, MATCH(MAX(F$2:F336), F$2:F336, 0)), MAX(F$2:F336)+1, MAX(F$2:F336)+2)))</f>
        <v/>
      </c>
      <c r="G337">
        <f>IF(NOT(AND(C337=1, TRIM(ERP資料!T337)="捲筒")), 0, IF(MAX(G$2:G336)=0, 1, IF(ERP資料!A337=INDEX(ERP資料!$A$2:$A336, MATCH(MAX(G$2:G336), G$2:G336, 0)), MAX(G$2:G336)+1, MAX(G$2:G336)+2)))</f>
        <v/>
      </c>
      <c r="H337">
        <f>IF(OR(ERP資料!C337="",ERP資料!D337=""),0,ERP資料!D337-ERP資料!C337+1)</f>
        <v/>
      </c>
    </row>
    <row r="338">
      <c r="A338" t="n">
        <v>338</v>
      </c>
      <c r="B338">
        <f>IF(ERP資料!A338="","",ERP資料!A338&amp;"|"&amp;ERP資料!E338&amp;"|"&amp;ERP資料!F338&amp;"|"&amp;ERP資料!G338&amp;"|"&amp;ERP資料!H338&amp;"|"&amp;ERP資料!O338)</f>
        <v/>
      </c>
      <c r="C338">
        <f>IF(B338="",0,IF(COUNTIF(B$2:B337,B338)=0,1,0))</f>
        <v/>
      </c>
      <c r="D338">
        <f>IF(B338="",0,SUMIFS($H$2:$H$801,$B$2:$B$801,B338))</f>
        <v/>
      </c>
      <c r="E338">
        <f>IF(NOT(AND(C338=1, TRIM(ERP資料!T338)="平板")), 0, IF(MAX(E$2:E337)=0, 1, IF(ERP資料!A338=INDEX(ERP資料!$A$2:$A337, MATCH(MAX(E$2:E337), E$2:E337, 0)), MAX(E$2:E337)+1, MAX(E$2:E337)+2)))</f>
        <v/>
      </c>
      <c r="F338">
        <f>IF(NOT(AND(C338=1, TRIM(ERP資料!T338)="平板")), 0, IF(MAX(F$2:F337)=0, 1, IF(ERP資料!A338=INDEX(ERP資料!$A$2:$A337, MATCH(MAX(F$2:F337), F$2:F337, 0)), MAX(F$2:F337)+1, MAX(F$2:F337)+2)))</f>
        <v/>
      </c>
      <c r="G338">
        <f>IF(NOT(AND(C338=1, TRIM(ERP資料!T338)="捲筒")), 0, IF(MAX(G$2:G337)=0, 1, IF(ERP資料!A338=INDEX(ERP資料!$A$2:$A337, MATCH(MAX(G$2:G337), G$2:G337, 0)), MAX(G$2:G337)+1, MAX(G$2:G337)+2)))</f>
        <v/>
      </c>
      <c r="H338">
        <f>IF(OR(ERP資料!C338="",ERP資料!D338=""),0,ERP資料!D338-ERP資料!C338+1)</f>
        <v/>
      </c>
    </row>
    <row r="339">
      <c r="A339" t="n">
        <v>339</v>
      </c>
      <c r="B339">
        <f>IF(ERP資料!A339="","",ERP資料!A339&amp;"|"&amp;ERP資料!E339&amp;"|"&amp;ERP資料!F339&amp;"|"&amp;ERP資料!G339&amp;"|"&amp;ERP資料!H339&amp;"|"&amp;ERP資料!O339)</f>
        <v/>
      </c>
      <c r="C339">
        <f>IF(B339="",0,IF(COUNTIF(B$2:B338,B339)=0,1,0))</f>
        <v/>
      </c>
      <c r="D339">
        <f>IF(B339="",0,SUMIFS($H$2:$H$801,$B$2:$B$801,B339))</f>
        <v/>
      </c>
      <c r="E339">
        <f>IF(NOT(AND(C339=1, TRIM(ERP資料!T339)="平板")), 0, IF(MAX(E$2:E338)=0, 1, IF(ERP資料!A339=INDEX(ERP資料!$A$2:$A338, MATCH(MAX(E$2:E338), E$2:E338, 0)), MAX(E$2:E338)+1, MAX(E$2:E338)+2)))</f>
        <v/>
      </c>
      <c r="F339">
        <f>IF(NOT(AND(C339=1, TRIM(ERP資料!T339)="平板")), 0, IF(MAX(F$2:F338)=0, 1, IF(ERP資料!A339=INDEX(ERP資料!$A$2:$A338, MATCH(MAX(F$2:F338), F$2:F338, 0)), MAX(F$2:F338)+1, MAX(F$2:F338)+2)))</f>
        <v/>
      </c>
      <c r="G339">
        <f>IF(NOT(AND(C339=1, TRIM(ERP資料!T339)="捲筒")), 0, IF(MAX(G$2:G338)=0, 1, IF(ERP資料!A339=INDEX(ERP資料!$A$2:$A338, MATCH(MAX(G$2:G338), G$2:G338, 0)), MAX(G$2:G338)+1, MAX(G$2:G338)+2)))</f>
        <v/>
      </c>
      <c r="H339">
        <f>IF(OR(ERP資料!C339="",ERP資料!D339=""),0,ERP資料!D339-ERP資料!C339+1)</f>
        <v/>
      </c>
    </row>
    <row r="340">
      <c r="A340" t="n">
        <v>340</v>
      </c>
      <c r="B340">
        <f>IF(ERP資料!A340="","",ERP資料!A340&amp;"|"&amp;ERP資料!E340&amp;"|"&amp;ERP資料!F340&amp;"|"&amp;ERP資料!G340&amp;"|"&amp;ERP資料!H340&amp;"|"&amp;ERP資料!O340)</f>
        <v/>
      </c>
      <c r="C340">
        <f>IF(B340="",0,IF(COUNTIF(B$2:B339,B340)=0,1,0))</f>
        <v/>
      </c>
      <c r="D340">
        <f>IF(B340="",0,SUMIFS($H$2:$H$801,$B$2:$B$801,B340))</f>
        <v/>
      </c>
      <c r="E340">
        <f>IF(NOT(AND(C340=1, TRIM(ERP資料!T340)="平板")), 0, IF(MAX(E$2:E339)=0, 1, IF(ERP資料!A340=INDEX(ERP資料!$A$2:$A339, MATCH(MAX(E$2:E339), E$2:E339, 0)), MAX(E$2:E339)+1, MAX(E$2:E339)+2)))</f>
        <v/>
      </c>
      <c r="F340">
        <f>IF(NOT(AND(C340=1, TRIM(ERP資料!T340)="平板")), 0, IF(MAX(F$2:F339)=0, 1, IF(ERP資料!A340=INDEX(ERP資料!$A$2:$A339, MATCH(MAX(F$2:F339), F$2:F339, 0)), MAX(F$2:F339)+1, MAX(F$2:F339)+2)))</f>
        <v/>
      </c>
      <c r="G340">
        <f>IF(NOT(AND(C340=1, TRIM(ERP資料!T340)="捲筒")), 0, IF(MAX(G$2:G339)=0, 1, IF(ERP資料!A340=INDEX(ERP資料!$A$2:$A339, MATCH(MAX(G$2:G339), G$2:G339, 0)), MAX(G$2:G339)+1, MAX(G$2:G339)+2)))</f>
        <v/>
      </c>
      <c r="H340">
        <f>IF(OR(ERP資料!C340="",ERP資料!D340=""),0,ERP資料!D340-ERP資料!C340+1)</f>
        <v/>
      </c>
    </row>
    <row r="341">
      <c r="A341" t="n">
        <v>341</v>
      </c>
      <c r="B341">
        <f>IF(ERP資料!A341="","",ERP資料!A341&amp;"|"&amp;ERP資料!E341&amp;"|"&amp;ERP資料!F341&amp;"|"&amp;ERP資料!G341&amp;"|"&amp;ERP資料!H341&amp;"|"&amp;ERP資料!O341)</f>
        <v/>
      </c>
      <c r="C341">
        <f>IF(B341="",0,IF(COUNTIF(B$2:B340,B341)=0,1,0))</f>
        <v/>
      </c>
      <c r="D341">
        <f>IF(B341="",0,SUMIFS($H$2:$H$801,$B$2:$B$801,B341))</f>
        <v/>
      </c>
      <c r="E341">
        <f>IF(NOT(AND(C341=1, TRIM(ERP資料!T341)="平板")), 0, IF(MAX(E$2:E340)=0, 1, IF(ERP資料!A341=INDEX(ERP資料!$A$2:$A340, MATCH(MAX(E$2:E340), E$2:E340, 0)), MAX(E$2:E340)+1, MAX(E$2:E340)+2)))</f>
        <v/>
      </c>
      <c r="F341">
        <f>IF(NOT(AND(C341=1, TRIM(ERP資料!T341)="平板")), 0, IF(MAX(F$2:F340)=0, 1, IF(ERP資料!A341=INDEX(ERP資料!$A$2:$A340, MATCH(MAX(F$2:F340), F$2:F340, 0)), MAX(F$2:F340)+1, MAX(F$2:F340)+2)))</f>
        <v/>
      </c>
      <c r="G341">
        <f>IF(NOT(AND(C341=1, TRIM(ERP資料!T341)="捲筒")), 0, IF(MAX(G$2:G340)=0, 1, IF(ERP資料!A341=INDEX(ERP資料!$A$2:$A340, MATCH(MAX(G$2:G340), G$2:G340, 0)), MAX(G$2:G340)+1, MAX(G$2:G340)+2)))</f>
        <v/>
      </c>
      <c r="H341">
        <f>IF(OR(ERP資料!C341="",ERP資料!D341=""),0,ERP資料!D341-ERP資料!C341+1)</f>
        <v/>
      </c>
    </row>
    <row r="342">
      <c r="A342" t="n">
        <v>342</v>
      </c>
      <c r="B342">
        <f>IF(ERP資料!A342="","",ERP資料!A342&amp;"|"&amp;ERP資料!E342&amp;"|"&amp;ERP資料!F342&amp;"|"&amp;ERP資料!G342&amp;"|"&amp;ERP資料!H342&amp;"|"&amp;ERP資料!O342)</f>
        <v/>
      </c>
      <c r="C342">
        <f>IF(B342="",0,IF(COUNTIF(B$2:B341,B342)=0,1,0))</f>
        <v/>
      </c>
      <c r="D342">
        <f>IF(B342="",0,SUMIFS($H$2:$H$801,$B$2:$B$801,B342))</f>
        <v/>
      </c>
      <c r="E342">
        <f>IF(NOT(AND(C342=1, TRIM(ERP資料!T342)="平板")), 0, IF(MAX(E$2:E341)=0, 1, IF(ERP資料!A342=INDEX(ERP資料!$A$2:$A341, MATCH(MAX(E$2:E341), E$2:E341, 0)), MAX(E$2:E341)+1, MAX(E$2:E341)+2)))</f>
        <v/>
      </c>
      <c r="F342">
        <f>IF(NOT(AND(C342=1, TRIM(ERP資料!T342)="平板")), 0, IF(MAX(F$2:F341)=0, 1, IF(ERP資料!A342=INDEX(ERP資料!$A$2:$A341, MATCH(MAX(F$2:F341), F$2:F341, 0)), MAX(F$2:F341)+1, MAX(F$2:F341)+2)))</f>
        <v/>
      </c>
      <c r="G342">
        <f>IF(NOT(AND(C342=1, TRIM(ERP資料!T342)="捲筒")), 0, IF(MAX(G$2:G341)=0, 1, IF(ERP資料!A342=INDEX(ERP資料!$A$2:$A341, MATCH(MAX(G$2:G341), G$2:G341, 0)), MAX(G$2:G341)+1, MAX(G$2:G341)+2)))</f>
        <v/>
      </c>
      <c r="H342">
        <f>IF(OR(ERP資料!C342="",ERP資料!D342=""),0,ERP資料!D342-ERP資料!C342+1)</f>
        <v/>
      </c>
    </row>
    <row r="343">
      <c r="A343" t="n">
        <v>343</v>
      </c>
      <c r="B343">
        <f>IF(ERP資料!A343="","",ERP資料!A343&amp;"|"&amp;ERP資料!E343&amp;"|"&amp;ERP資料!F343&amp;"|"&amp;ERP資料!G343&amp;"|"&amp;ERP資料!H343&amp;"|"&amp;ERP資料!O343)</f>
        <v/>
      </c>
      <c r="C343">
        <f>IF(B343="",0,IF(COUNTIF(B$2:B342,B343)=0,1,0))</f>
        <v/>
      </c>
      <c r="D343">
        <f>IF(B343="",0,SUMIFS($H$2:$H$801,$B$2:$B$801,B343))</f>
        <v/>
      </c>
      <c r="E343">
        <f>IF(NOT(AND(C343=1, TRIM(ERP資料!T343)="平板")), 0, IF(MAX(E$2:E342)=0, 1, IF(ERP資料!A343=INDEX(ERP資料!$A$2:$A342, MATCH(MAX(E$2:E342), E$2:E342, 0)), MAX(E$2:E342)+1, MAX(E$2:E342)+2)))</f>
        <v/>
      </c>
      <c r="F343">
        <f>IF(NOT(AND(C343=1, TRIM(ERP資料!T343)="平板")), 0, IF(MAX(F$2:F342)=0, 1, IF(ERP資料!A343=INDEX(ERP資料!$A$2:$A342, MATCH(MAX(F$2:F342), F$2:F342, 0)), MAX(F$2:F342)+1, MAX(F$2:F342)+2)))</f>
        <v/>
      </c>
      <c r="G343">
        <f>IF(NOT(AND(C343=1, TRIM(ERP資料!T343)="捲筒")), 0, IF(MAX(G$2:G342)=0, 1, IF(ERP資料!A343=INDEX(ERP資料!$A$2:$A342, MATCH(MAX(G$2:G342), G$2:G342, 0)), MAX(G$2:G342)+1, MAX(G$2:G342)+2)))</f>
        <v/>
      </c>
      <c r="H343">
        <f>IF(OR(ERP資料!C343="",ERP資料!D343=""),0,ERP資料!D343-ERP資料!C343+1)</f>
        <v/>
      </c>
    </row>
    <row r="344">
      <c r="A344" t="n">
        <v>344</v>
      </c>
      <c r="B344">
        <f>IF(ERP資料!A344="","",ERP資料!A344&amp;"|"&amp;ERP資料!E344&amp;"|"&amp;ERP資料!F344&amp;"|"&amp;ERP資料!G344&amp;"|"&amp;ERP資料!H344&amp;"|"&amp;ERP資料!O344)</f>
        <v/>
      </c>
      <c r="C344">
        <f>IF(B344="",0,IF(COUNTIF(B$2:B343,B344)=0,1,0))</f>
        <v/>
      </c>
      <c r="D344">
        <f>IF(B344="",0,SUMIFS($H$2:$H$801,$B$2:$B$801,B344))</f>
        <v/>
      </c>
      <c r="E344">
        <f>IF(NOT(AND(C344=1, TRIM(ERP資料!T344)="平板")), 0, IF(MAX(E$2:E343)=0, 1, IF(ERP資料!A344=INDEX(ERP資料!$A$2:$A343, MATCH(MAX(E$2:E343), E$2:E343, 0)), MAX(E$2:E343)+1, MAX(E$2:E343)+2)))</f>
        <v/>
      </c>
      <c r="F344">
        <f>IF(NOT(AND(C344=1, TRIM(ERP資料!T344)="平板")), 0, IF(MAX(F$2:F343)=0, 1, IF(ERP資料!A344=INDEX(ERP資料!$A$2:$A343, MATCH(MAX(F$2:F343), F$2:F343, 0)), MAX(F$2:F343)+1, MAX(F$2:F343)+2)))</f>
        <v/>
      </c>
      <c r="G344">
        <f>IF(NOT(AND(C344=1, TRIM(ERP資料!T344)="捲筒")), 0, IF(MAX(G$2:G343)=0, 1, IF(ERP資料!A344=INDEX(ERP資料!$A$2:$A343, MATCH(MAX(G$2:G343), G$2:G343, 0)), MAX(G$2:G343)+1, MAX(G$2:G343)+2)))</f>
        <v/>
      </c>
      <c r="H344">
        <f>IF(OR(ERP資料!C344="",ERP資料!D344=""),0,ERP資料!D344-ERP資料!C344+1)</f>
        <v/>
      </c>
    </row>
    <row r="345">
      <c r="A345" t="n">
        <v>345</v>
      </c>
      <c r="B345">
        <f>IF(ERP資料!A345="","",ERP資料!A345&amp;"|"&amp;ERP資料!E345&amp;"|"&amp;ERP資料!F345&amp;"|"&amp;ERP資料!G345&amp;"|"&amp;ERP資料!H345&amp;"|"&amp;ERP資料!O345)</f>
        <v/>
      </c>
      <c r="C345">
        <f>IF(B345="",0,IF(COUNTIF(B$2:B344,B345)=0,1,0))</f>
        <v/>
      </c>
      <c r="D345">
        <f>IF(B345="",0,SUMIFS($H$2:$H$801,$B$2:$B$801,B345))</f>
        <v/>
      </c>
      <c r="E345">
        <f>IF(NOT(AND(C345=1, TRIM(ERP資料!T345)="平板")), 0, IF(MAX(E$2:E344)=0, 1, IF(ERP資料!A345=INDEX(ERP資料!$A$2:$A344, MATCH(MAX(E$2:E344), E$2:E344, 0)), MAX(E$2:E344)+1, MAX(E$2:E344)+2)))</f>
        <v/>
      </c>
      <c r="F345">
        <f>IF(NOT(AND(C345=1, TRIM(ERP資料!T345)="平板")), 0, IF(MAX(F$2:F344)=0, 1, IF(ERP資料!A345=INDEX(ERP資料!$A$2:$A344, MATCH(MAX(F$2:F344), F$2:F344, 0)), MAX(F$2:F344)+1, MAX(F$2:F344)+2)))</f>
        <v/>
      </c>
      <c r="G345">
        <f>IF(NOT(AND(C345=1, TRIM(ERP資料!T345)="捲筒")), 0, IF(MAX(G$2:G344)=0, 1, IF(ERP資料!A345=INDEX(ERP資料!$A$2:$A344, MATCH(MAX(G$2:G344), G$2:G344, 0)), MAX(G$2:G344)+1, MAX(G$2:G344)+2)))</f>
        <v/>
      </c>
      <c r="H345">
        <f>IF(OR(ERP資料!C345="",ERP資料!D345=""),0,ERP資料!D345-ERP資料!C345+1)</f>
        <v/>
      </c>
    </row>
    <row r="346">
      <c r="A346" t="n">
        <v>346</v>
      </c>
      <c r="B346">
        <f>IF(ERP資料!A346="","",ERP資料!A346&amp;"|"&amp;ERP資料!E346&amp;"|"&amp;ERP資料!F346&amp;"|"&amp;ERP資料!G346&amp;"|"&amp;ERP資料!H346&amp;"|"&amp;ERP資料!O346)</f>
        <v/>
      </c>
      <c r="C346">
        <f>IF(B346="",0,IF(COUNTIF(B$2:B345,B346)=0,1,0))</f>
        <v/>
      </c>
      <c r="D346">
        <f>IF(B346="",0,SUMIFS($H$2:$H$801,$B$2:$B$801,B346))</f>
        <v/>
      </c>
      <c r="E346">
        <f>IF(NOT(AND(C346=1, TRIM(ERP資料!T346)="平板")), 0, IF(MAX(E$2:E345)=0, 1, IF(ERP資料!A346=INDEX(ERP資料!$A$2:$A345, MATCH(MAX(E$2:E345), E$2:E345, 0)), MAX(E$2:E345)+1, MAX(E$2:E345)+2)))</f>
        <v/>
      </c>
      <c r="F346">
        <f>IF(NOT(AND(C346=1, TRIM(ERP資料!T346)="平板")), 0, IF(MAX(F$2:F345)=0, 1, IF(ERP資料!A346=INDEX(ERP資料!$A$2:$A345, MATCH(MAX(F$2:F345), F$2:F345, 0)), MAX(F$2:F345)+1, MAX(F$2:F345)+2)))</f>
        <v/>
      </c>
      <c r="G346">
        <f>IF(NOT(AND(C346=1, TRIM(ERP資料!T346)="捲筒")), 0, IF(MAX(G$2:G345)=0, 1, IF(ERP資料!A346=INDEX(ERP資料!$A$2:$A345, MATCH(MAX(G$2:G345), G$2:G345, 0)), MAX(G$2:G345)+1, MAX(G$2:G345)+2)))</f>
        <v/>
      </c>
      <c r="H346">
        <f>IF(OR(ERP資料!C346="",ERP資料!D346=""),0,ERP資料!D346-ERP資料!C346+1)</f>
        <v/>
      </c>
    </row>
    <row r="347">
      <c r="A347" t="n">
        <v>347</v>
      </c>
      <c r="B347">
        <f>IF(ERP資料!A347="","",ERP資料!A347&amp;"|"&amp;ERP資料!E347&amp;"|"&amp;ERP資料!F347&amp;"|"&amp;ERP資料!G347&amp;"|"&amp;ERP資料!H347&amp;"|"&amp;ERP資料!O347)</f>
        <v/>
      </c>
      <c r="C347">
        <f>IF(B347="",0,IF(COUNTIF(B$2:B346,B347)=0,1,0))</f>
        <v/>
      </c>
      <c r="D347">
        <f>IF(B347="",0,SUMIFS($H$2:$H$801,$B$2:$B$801,B347))</f>
        <v/>
      </c>
      <c r="E347">
        <f>IF(NOT(AND(C347=1, TRIM(ERP資料!T347)="平板")), 0, IF(MAX(E$2:E346)=0, 1, IF(ERP資料!A347=INDEX(ERP資料!$A$2:$A346, MATCH(MAX(E$2:E346), E$2:E346, 0)), MAX(E$2:E346)+1, MAX(E$2:E346)+2)))</f>
        <v/>
      </c>
      <c r="F347">
        <f>IF(NOT(AND(C347=1, TRIM(ERP資料!T347)="平板")), 0, IF(MAX(F$2:F346)=0, 1, IF(ERP資料!A347=INDEX(ERP資料!$A$2:$A346, MATCH(MAX(F$2:F346), F$2:F346, 0)), MAX(F$2:F346)+1, MAX(F$2:F346)+2)))</f>
        <v/>
      </c>
      <c r="G347">
        <f>IF(NOT(AND(C347=1, TRIM(ERP資料!T347)="捲筒")), 0, IF(MAX(G$2:G346)=0, 1, IF(ERP資料!A347=INDEX(ERP資料!$A$2:$A346, MATCH(MAX(G$2:G346), G$2:G346, 0)), MAX(G$2:G346)+1, MAX(G$2:G346)+2)))</f>
        <v/>
      </c>
      <c r="H347">
        <f>IF(OR(ERP資料!C347="",ERP資料!D347=""),0,ERP資料!D347-ERP資料!C347+1)</f>
        <v/>
      </c>
    </row>
    <row r="348">
      <c r="A348" t="n">
        <v>348</v>
      </c>
      <c r="B348">
        <f>IF(ERP資料!A348="","",ERP資料!A348&amp;"|"&amp;ERP資料!E348&amp;"|"&amp;ERP資料!F348&amp;"|"&amp;ERP資料!G348&amp;"|"&amp;ERP資料!H348&amp;"|"&amp;ERP資料!O348)</f>
        <v/>
      </c>
      <c r="C348">
        <f>IF(B348="",0,IF(COUNTIF(B$2:B347,B348)=0,1,0))</f>
        <v/>
      </c>
      <c r="D348">
        <f>IF(B348="",0,SUMIFS($H$2:$H$801,$B$2:$B$801,B348))</f>
        <v/>
      </c>
      <c r="E348">
        <f>IF(NOT(AND(C348=1, TRIM(ERP資料!T348)="平板")), 0, IF(MAX(E$2:E347)=0, 1, IF(ERP資料!A348=INDEX(ERP資料!$A$2:$A347, MATCH(MAX(E$2:E347), E$2:E347, 0)), MAX(E$2:E347)+1, MAX(E$2:E347)+2)))</f>
        <v/>
      </c>
      <c r="F348">
        <f>IF(NOT(AND(C348=1, TRIM(ERP資料!T348)="平板")), 0, IF(MAX(F$2:F347)=0, 1, IF(ERP資料!A348=INDEX(ERP資料!$A$2:$A347, MATCH(MAX(F$2:F347), F$2:F347, 0)), MAX(F$2:F347)+1, MAX(F$2:F347)+2)))</f>
        <v/>
      </c>
      <c r="G348">
        <f>IF(NOT(AND(C348=1, TRIM(ERP資料!T348)="捲筒")), 0, IF(MAX(G$2:G347)=0, 1, IF(ERP資料!A348=INDEX(ERP資料!$A$2:$A347, MATCH(MAX(G$2:G347), G$2:G347, 0)), MAX(G$2:G347)+1, MAX(G$2:G347)+2)))</f>
        <v/>
      </c>
      <c r="H348">
        <f>IF(OR(ERP資料!C348="",ERP資料!D348=""),0,ERP資料!D348-ERP資料!C348+1)</f>
        <v/>
      </c>
    </row>
    <row r="349">
      <c r="A349" t="n">
        <v>349</v>
      </c>
      <c r="B349">
        <f>IF(ERP資料!A349="","",ERP資料!A349&amp;"|"&amp;ERP資料!E349&amp;"|"&amp;ERP資料!F349&amp;"|"&amp;ERP資料!G349&amp;"|"&amp;ERP資料!H349&amp;"|"&amp;ERP資料!O349)</f>
        <v/>
      </c>
      <c r="C349">
        <f>IF(B349="",0,IF(COUNTIF(B$2:B348,B349)=0,1,0))</f>
        <v/>
      </c>
      <c r="D349">
        <f>IF(B349="",0,SUMIFS($H$2:$H$801,$B$2:$B$801,B349))</f>
        <v/>
      </c>
      <c r="E349">
        <f>IF(NOT(AND(C349=1, TRIM(ERP資料!T349)="平板")), 0, IF(MAX(E$2:E348)=0, 1, IF(ERP資料!A349=INDEX(ERP資料!$A$2:$A348, MATCH(MAX(E$2:E348), E$2:E348, 0)), MAX(E$2:E348)+1, MAX(E$2:E348)+2)))</f>
        <v/>
      </c>
      <c r="F349">
        <f>IF(NOT(AND(C349=1, TRIM(ERP資料!T349)="平板")), 0, IF(MAX(F$2:F348)=0, 1, IF(ERP資料!A349=INDEX(ERP資料!$A$2:$A348, MATCH(MAX(F$2:F348), F$2:F348, 0)), MAX(F$2:F348)+1, MAX(F$2:F348)+2)))</f>
        <v/>
      </c>
      <c r="G349">
        <f>IF(NOT(AND(C349=1, TRIM(ERP資料!T349)="捲筒")), 0, IF(MAX(G$2:G348)=0, 1, IF(ERP資料!A349=INDEX(ERP資料!$A$2:$A348, MATCH(MAX(G$2:G348), G$2:G348, 0)), MAX(G$2:G348)+1, MAX(G$2:G348)+2)))</f>
        <v/>
      </c>
      <c r="H349">
        <f>IF(OR(ERP資料!C349="",ERP資料!D349=""),0,ERP資料!D349-ERP資料!C349+1)</f>
        <v/>
      </c>
    </row>
    <row r="350">
      <c r="A350" t="n">
        <v>350</v>
      </c>
      <c r="B350">
        <f>IF(ERP資料!A350="","",ERP資料!A350&amp;"|"&amp;ERP資料!E350&amp;"|"&amp;ERP資料!F350&amp;"|"&amp;ERP資料!G350&amp;"|"&amp;ERP資料!H350&amp;"|"&amp;ERP資料!O350)</f>
        <v/>
      </c>
      <c r="C350">
        <f>IF(B350="",0,IF(COUNTIF(B$2:B349,B350)=0,1,0))</f>
        <v/>
      </c>
      <c r="D350">
        <f>IF(B350="",0,SUMIFS($H$2:$H$801,$B$2:$B$801,B350))</f>
        <v/>
      </c>
      <c r="E350">
        <f>IF(NOT(AND(C350=1, TRIM(ERP資料!T350)="平板")), 0, IF(MAX(E$2:E349)=0, 1, IF(ERP資料!A350=INDEX(ERP資料!$A$2:$A349, MATCH(MAX(E$2:E349), E$2:E349, 0)), MAX(E$2:E349)+1, MAX(E$2:E349)+2)))</f>
        <v/>
      </c>
      <c r="F350">
        <f>IF(NOT(AND(C350=1, TRIM(ERP資料!T350)="平板")), 0, IF(MAX(F$2:F349)=0, 1, IF(ERP資料!A350=INDEX(ERP資料!$A$2:$A349, MATCH(MAX(F$2:F349), F$2:F349, 0)), MAX(F$2:F349)+1, MAX(F$2:F349)+2)))</f>
        <v/>
      </c>
      <c r="G350">
        <f>IF(NOT(AND(C350=1, TRIM(ERP資料!T350)="捲筒")), 0, IF(MAX(G$2:G349)=0, 1, IF(ERP資料!A350=INDEX(ERP資料!$A$2:$A349, MATCH(MAX(G$2:G349), G$2:G349, 0)), MAX(G$2:G349)+1, MAX(G$2:G349)+2)))</f>
        <v/>
      </c>
      <c r="H350">
        <f>IF(OR(ERP資料!C350="",ERP資料!D350=""),0,ERP資料!D350-ERP資料!C350+1)</f>
        <v/>
      </c>
    </row>
    <row r="351">
      <c r="A351" t="n">
        <v>351</v>
      </c>
      <c r="B351">
        <f>IF(ERP資料!A351="","",ERP資料!A351&amp;"|"&amp;ERP資料!E351&amp;"|"&amp;ERP資料!F351&amp;"|"&amp;ERP資料!G351&amp;"|"&amp;ERP資料!H351&amp;"|"&amp;ERP資料!O351)</f>
        <v/>
      </c>
      <c r="C351">
        <f>IF(B351="",0,IF(COUNTIF(B$2:B350,B351)=0,1,0))</f>
        <v/>
      </c>
      <c r="D351">
        <f>IF(B351="",0,SUMIFS($H$2:$H$801,$B$2:$B$801,B351))</f>
        <v/>
      </c>
      <c r="E351">
        <f>IF(NOT(AND(C351=1, TRIM(ERP資料!T351)="平板")), 0, IF(MAX(E$2:E350)=0, 1, IF(ERP資料!A351=INDEX(ERP資料!$A$2:$A350, MATCH(MAX(E$2:E350), E$2:E350, 0)), MAX(E$2:E350)+1, MAX(E$2:E350)+2)))</f>
        <v/>
      </c>
      <c r="F351">
        <f>IF(NOT(AND(C351=1, TRIM(ERP資料!T351)="平板")), 0, IF(MAX(F$2:F350)=0, 1, IF(ERP資料!A351=INDEX(ERP資料!$A$2:$A350, MATCH(MAX(F$2:F350), F$2:F350, 0)), MAX(F$2:F350)+1, MAX(F$2:F350)+2)))</f>
        <v/>
      </c>
      <c r="G351">
        <f>IF(NOT(AND(C351=1, TRIM(ERP資料!T351)="捲筒")), 0, IF(MAX(G$2:G350)=0, 1, IF(ERP資料!A351=INDEX(ERP資料!$A$2:$A350, MATCH(MAX(G$2:G350), G$2:G350, 0)), MAX(G$2:G350)+1, MAX(G$2:G350)+2)))</f>
        <v/>
      </c>
      <c r="H351">
        <f>IF(OR(ERP資料!C351="",ERP資料!D351=""),0,ERP資料!D351-ERP資料!C351+1)</f>
        <v/>
      </c>
    </row>
    <row r="352">
      <c r="A352" t="n">
        <v>352</v>
      </c>
      <c r="B352">
        <f>IF(ERP資料!A352="","",ERP資料!A352&amp;"|"&amp;ERP資料!E352&amp;"|"&amp;ERP資料!F352&amp;"|"&amp;ERP資料!G352&amp;"|"&amp;ERP資料!H352&amp;"|"&amp;ERP資料!O352)</f>
        <v/>
      </c>
      <c r="C352">
        <f>IF(B352="",0,IF(COUNTIF(B$2:B351,B352)=0,1,0))</f>
        <v/>
      </c>
      <c r="D352">
        <f>IF(B352="",0,SUMIFS($H$2:$H$801,$B$2:$B$801,B352))</f>
        <v/>
      </c>
      <c r="E352">
        <f>IF(NOT(AND(C352=1, TRIM(ERP資料!T352)="平板")), 0, IF(MAX(E$2:E351)=0, 1, IF(ERP資料!A352=INDEX(ERP資料!$A$2:$A351, MATCH(MAX(E$2:E351), E$2:E351, 0)), MAX(E$2:E351)+1, MAX(E$2:E351)+2)))</f>
        <v/>
      </c>
      <c r="F352">
        <f>IF(NOT(AND(C352=1, TRIM(ERP資料!T352)="平板")), 0, IF(MAX(F$2:F351)=0, 1, IF(ERP資料!A352=INDEX(ERP資料!$A$2:$A351, MATCH(MAX(F$2:F351), F$2:F351, 0)), MAX(F$2:F351)+1, MAX(F$2:F351)+2)))</f>
        <v/>
      </c>
      <c r="G352">
        <f>IF(NOT(AND(C352=1, TRIM(ERP資料!T352)="捲筒")), 0, IF(MAX(G$2:G351)=0, 1, IF(ERP資料!A352=INDEX(ERP資料!$A$2:$A351, MATCH(MAX(G$2:G351), G$2:G351, 0)), MAX(G$2:G351)+1, MAX(G$2:G351)+2)))</f>
        <v/>
      </c>
      <c r="H352">
        <f>IF(OR(ERP資料!C352="",ERP資料!D352=""),0,ERP資料!D352-ERP資料!C352+1)</f>
        <v/>
      </c>
    </row>
    <row r="353">
      <c r="A353" t="n">
        <v>353</v>
      </c>
      <c r="B353">
        <f>IF(ERP資料!A353="","",ERP資料!A353&amp;"|"&amp;ERP資料!E353&amp;"|"&amp;ERP資料!F353&amp;"|"&amp;ERP資料!G353&amp;"|"&amp;ERP資料!H353&amp;"|"&amp;ERP資料!O353)</f>
        <v/>
      </c>
      <c r="C353">
        <f>IF(B353="",0,IF(COUNTIF(B$2:B352,B353)=0,1,0))</f>
        <v/>
      </c>
      <c r="D353">
        <f>IF(B353="",0,SUMIFS($H$2:$H$801,$B$2:$B$801,B353))</f>
        <v/>
      </c>
      <c r="E353">
        <f>IF(NOT(AND(C353=1, TRIM(ERP資料!T353)="平板")), 0, IF(MAX(E$2:E352)=0, 1, IF(ERP資料!A353=INDEX(ERP資料!$A$2:$A352, MATCH(MAX(E$2:E352), E$2:E352, 0)), MAX(E$2:E352)+1, MAX(E$2:E352)+2)))</f>
        <v/>
      </c>
      <c r="F353">
        <f>IF(NOT(AND(C353=1, TRIM(ERP資料!T353)="平板")), 0, IF(MAX(F$2:F352)=0, 1, IF(ERP資料!A353=INDEX(ERP資料!$A$2:$A352, MATCH(MAX(F$2:F352), F$2:F352, 0)), MAX(F$2:F352)+1, MAX(F$2:F352)+2)))</f>
        <v/>
      </c>
      <c r="G353">
        <f>IF(NOT(AND(C353=1, TRIM(ERP資料!T353)="捲筒")), 0, IF(MAX(G$2:G352)=0, 1, IF(ERP資料!A353=INDEX(ERP資料!$A$2:$A352, MATCH(MAX(G$2:G352), G$2:G352, 0)), MAX(G$2:G352)+1, MAX(G$2:G352)+2)))</f>
        <v/>
      </c>
      <c r="H353">
        <f>IF(OR(ERP資料!C353="",ERP資料!D353=""),0,ERP資料!D353-ERP資料!C353+1)</f>
        <v/>
      </c>
    </row>
    <row r="354">
      <c r="A354" t="n">
        <v>354</v>
      </c>
      <c r="B354">
        <f>IF(ERP資料!A354="","",ERP資料!A354&amp;"|"&amp;ERP資料!E354&amp;"|"&amp;ERP資料!F354&amp;"|"&amp;ERP資料!G354&amp;"|"&amp;ERP資料!H354&amp;"|"&amp;ERP資料!O354)</f>
        <v/>
      </c>
      <c r="C354">
        <f>IF(B354="",0,IF(COUNTIF(B$2:B353,B354)=0,1,0))</f>
        <v/>
      </c>
      <c r="D354">
        <f>IF(B354="",0,SUMIFS($H$2:$H$801,$B$2:$B$801,B354))</f>
        <v/>
      </c>
      <c r="E354">
        <f>IF(NOT(AND(C354=1, TRIM(ERP資料!T354)="平板")), 0, IF(MAX(E$2:E353)=0, 1, IF(ERP資料!A354=INDEX(ERP資料!$A$2:$A353, MATCH(MAX(E$2:E353), E$2:E353, 0)), MAX(E$2:E353)+1, MAX(E$2:E353)+2)))</f>
        <v/>
      </c>
      <c r="F354">
        <f>IF(NOT(AND(C354=1, TRIM(ERP資料!T354)="平板")), 0, IF(MAX(F$2:F353)=0, 1, IF(ERP資料!A354=INDEX(ERP資料!$A$2:$A353, MATCH(MAX(F$2:F353), F$2:F353, 0)), MAX(F$2:F353)+1, MAX(F$2:F353)+2)))</f>
        <v/>
      </c>
      <c r="G354">
        <f>IF(NOT(AND(C354=1, TRIM(ERP資料!T354)="捲筒")), 0, IF(MAX(G$2:G353)=0, 1, IF(ERP資料!A354=INDEX(ERP資料!$A$2:$A353, MATCH(MAX(G$2:G353), G$2:G353, 0)), MAX(G$2:G353)+1, MAX(G$2:G353)+2)))</f>
        <v/>
      </c>
      <c r="H354">
        <f>IF(OR(ERP資料!C354="",ERP資料!D354=""),0,ERP資料!D354-ERP資料!C354+1)</f>
        <v/>
      </c>
    </row>
    <row r="355">
      <c r="A355" t="n">
        <v>355</v>
      </c>
      <c r="B355">
        <f>IF(ERP資料!A355="","",ERP資料!A355&amp;"|"&amp;ERP資料!E355&amp;"|"&amp;ERP資料!F355&amp;"|"&amp;ERP資料!G355&amp;"|"&amp;ERP資料!H355&amp;"|"&amp;ERP資料!O355)</f>
        <v/>
      </c>
      <c r="C355">
        <f>IF(B355="",0,IF(COUNTIF(B$2:B354,B355)=0,1,0))</f>
        <v/>
      </c>
      <c r="D355">
        <f>IF(B355="",0,SUMIFS($H$2:$H$801,$B$2:$B$801,B355))</f>
        <v/>
      </c>
      <c r="E355">
        <f>IF(NOT(AND(C355=1, TRIM(ERP資料!T355)="平板")), 0, IF(MAX(E$2:E354)=0, 1, IF(ERP資料!A355=INDEX(ERP資料!$A$2:$A354, MATCH(MAX(E$2:E354), E$2:E354, 0)), MAX(E$2:E354)+1, MAX(E$2:E354)+2)))</f>
        <v/>
      </c>
      <c r="F355">
        <f>IF(NOT(AND(C355=1, TRIM(ERP資料!T355)="平板")), 0, IF(MAX(F$2:F354)=0, 1, IF(ERP資料!A355=INDEX(ERP資料!$A$2:$A354, MATCH(MAX(F$2:F354), F$2:F354, 0)), MAX(F$2:F354)+1, MAX(F$2:F354)+2)))</f>
        <v/>
      </c>
      <c r="G355">
        <f>IF(NOT(AND(C355=1, TRIM(ERP資料!T355)="捲筒")), 0, IF(MAX(G$2:G354)=0, 1, IF(ERP資料!A355=INDEX(ERP資料!$A$2:$A354, MATCH(MAX(G$2:G354), G$2:G354, 0)), MAX(G$2:G354)+1, MAX(G$2:G354)+2)))</f>
        <v/>
      </c>
      <c r="H355">
        <f>IF(OR(ERP資料!C355="",ERP資料!D355=""),0,ERP資料!D355-ERP資料!C355+1)</f>
        <v/>
      </c>
    </row>
    <row r="356">
      <c r="A356" t="n">
        <v>356</v>
      </c>
      <c r="B356">
        <f>IF(ERP資料!A356="","",ERP資料!A356&amp;"|"&amp;ERP資料!E356&amp;"|"&amp;ERP資料!F356&amp;"|"&amp;ERP資料!G356&amp;"|"&amp;ERP資料!H356&amp;"|"&amp;ERP資料!O356)</f>
        <v/>
      </c>
      <c r="C356">
        <f>IF(B356="",0,IF(COUNTIF(B$2:B355,B356)=0,1,0))</f>
        <v/>
      </c>
      <c r="D356">
        <f>IF(B356="",0,SUMIFS($H$2:$H$801,$B$2:$B$801,B356))</f>
        <v/>
      </c>
      <c r="E356">
        <f>IF(NOT(AND(C356=1, TRIM(ERP資料!T356)="平板")), 0, IF(MAX(E$2:E355)=0, 1, IF(ERP資料!A356=INDEX(ERP資料!$A$2:$A355, MATCH(MAX(E$2:E355), E$2:E355, 0)), MAX(E$2:E355)+1, MAX(E$2:E355)+2)))</f>
        <v/>
      </c>
      <c r="F356">
        <f>IF(NOT(AND(C356=1, TRIM(ERP資料!T356)="平板")), 0, IF(MAX(F$2:F355)=0, 1, IF(ERP資料!A356=INDEX(ERP資料!$A$2:$A355, MATCH(MAX(F$2:F355), F$2:F355, 0)), MAX(F$2:F355)+1, MAX(F$2:F355)+2)))</f>
        <v/>
      </c>
      <c r="G356">
        <f>IF(NOT(AND(C356=1, TRIM(ERP資料!T356)="捲筒")), 0, IF(MAX(G$2:G355)=0, 1, IF(ERP資料!A356=INDEX(ERP資料!$A$2:$A355, MATCH(MAX(G$2:G355), G$2:G355, 0)), MAX(G$2:G355)+1, MAX(G$2:G355)+2)))</f>
        <v/>
      </c>
      <c r="H356">
        <f>IF(OR(ERP資料!C356="",ERP資料!D356=""),0,ERP資料!D356-ERP資料!C356+1)</f>
        <v/>
      </c>
    </row>
    <row r="357">
      <c r="A357" t="n">
        <v>357</v>
      </c>
      <c r="B357">
        <f>IF(ERP資料!A357="","",ERP資料!A357&amp;"|"&amp;ERP資料!E357&amp;"|"&amp;ERP資料!F357&amp;"|"&amp;ERP資料!G357&amp;"|"&amp;ERP資料!H357&amp;"|"&amp;ERP資料!O357)</f>
        <v/>
      </c>
      <c r="C357">
        <f>IF(B357="",0,IF(COUNTIF(B$2:B356,B357)=0,1,0))</f>
        <v/>
      </c>
      <c r="D357">
        <f>IF(B357="",0,SUMIFS($H$2:$H$801,$B$2:$B$801,B357))</f>
        <v/>
      </c>
      <c r="E357">
        <f>IF(NOT(AND(C357=1, TRIM(ERP資料!T357)="平板")), 0, IF(MAX(E$2:E356)=0, 1, IF(ERP資料!A357=INDEX(ERP資料!$A$2:$A356, MATCH(MAX(E$2:E356), E$2:E356, 0)), MAX(E$2:E356)+1, MAX(E$2:E356)+2)))</f>
        <v/>
      </c>
      <c r="F357">
        <f>IF(NOT(AND(C357=1, TRIM(ERP資料!T357)="平板")), 0, IF(MAX(F$2:F356)=0, 1, IF(ERP資料!A357=INDEX(ERP資料!$A$2:$A356, MATCH(MAX(F$2:F356), F$2:F356, 0)), MAX(F$2:F356)+1, MAX(F$2:F356)+2)))</f>
        <v/>
      </c>
      <c r="G357">
        <f>IF(NOT(AND(C357=1, TRIM(ERP資料!T357)="捲筒")), 0, IF(MAX(G$2:G356)=0, 1, IF(ERP資料!A357=INDEX(ERP資料!$A$2:$A356, MATCH(MAX(G$2:G356), G$2:G356, 0)), MAX(G$2:G356)+1, MAX(G$2:G356)+2)))</f>
        <v/>
      </c>
      <c r="H357">
        <f>IF(OR(ERP資料!C357="",ERP資料!D357=""),0,ERP資料!D357-ERP資料!C357+1)</f>
        <v/>
      </c>
    </row>
    <row r="358">
      <c r="A358" t="n">
        <v>358</v>
      </c>
      <c r="B358">
        <f>IF(ERP資料!A358="","",ERP資料!A358&amp;"|"&amp;ERP資料!E358&amp;"|"&amp;ERP資料!F358&amp;"|"&amp;ERP資料!G358&amp;"|"&amp;ERP資料!H358&amp;"|"&amp;ERP資料!O358)</f>
        <v/>
      </c>
      <c r="C358">
        <f>IF(B358="",0,IF(COUNTIF(B$2:B357,B358)=0,1,0))</f>
        <v/>
      </c>
      <c r="D358">
        <f>IF(B358="",0,SUMIFS($H$2:$H$801,$B$2:$B$801,B358))</f>
        <v/>
      </c>
      <c r="E358">
        <f>IF(NOT(AND(C358=1, TRIM(ERP資料!T358)="平板")), 0, IF(MAX(E$2:E357)=0, 1, IF(ERP資料!A358=INDEX(ERP資料!$A$2:$A357, MATCH(MAX(E$2:E357), E$2:E357, 0)), MAX(E$2:E357)+1, MAX(E$2:E357)+2)))</f>
        <v/>
      </c>
      <c r="F358">
        <f>IF(NOT(AND(C358=1, TRIM(ERP資料!T358)="平板")), 0, IF(MAX(F$2:F357)=0, 1, IF(ERP資料!A358=INDEX(ERP資料!$A$2:$A357, MATCH(MAX(F$2:F357), F$2:F357, 0)), MAX(F$2:F357)+1, MAX(F$2:F357)+2)))</f>
        <v/>
      </c>
      <c r="G358">
        <f>IF(NOT(AND(C358=1, TRIM(ERP資料!T358)="捲筒")), 0, IF(MAX(G$2:G357)=0, 1, IF(ERP資料!A358=INDEX(ERP資料!$A$2:$A357, MATCH(MAX(G$2:G357), G$2:G357, 0)), MAX(G$2:G357)+1, MAX(G$2:G357)+2)))</f>
        <v/>
      </c>
      <c r="H358">
        <f>IF(OR(ERP資料!C358="",ERP資料!D358=""),0,ERP資料!D358-ERP資料!C358+1)</f>
        <v/>
      </c>
    </row>
    <row r="359">
      <c r="A359" t="n">
        <v>359</v>
      </c>
      <c r="B359">
        <f>IF(ERP資料!A359="","",ERP資料!A359&amp;"|"&amp;ERP資料!E359&amp;"|"&amp;ERP資料!F359&amp;"|"&amp;ERP資料!G359&amp;"|"&amp;ERP資料!H359&amp;"|"&amp;ERP資料!O359)</f>
        <v/>
      </c>
      <c r="C359">
        <f>IF(B359="",0,IF(COUNTIF(B$2:B358,B359)=0,1,0))</f>
        <v/>
      </c>
      <c r="D359">
        <f>IF(B359="",0,SUMIFS($H$2:$H$801,$B$2:$B$801,B359))</f>
        <v/>
      </c>
      <c r="E359">
        <f>IF(NOT(AND(C359=1, TRIM(ERP資料!T359)="平板")), 0, IF(MAX(E$2:E358)=0, 1, IF(ERP資料!A359=INDEX(ERP資料!$A$2:$A358, MATCH(MAX(E$2:E358), E$2:E358, 0)), MAX(E$2:E358)+1, MAX(E$2:E358)+2)))</f>
        <v/>
      </c>
      <c r="F359">
        <f>IF(NOT(AND(C359=1, TRIM(ERP資料!T359)="平板")), 0, IF(MAX(F$2:F358)=0, 1, IF(ERP資料!A359=INDEX(ERP資料!$A$2:$A358, MATCH(MAX(F$2:F358), F$2:F358, 0)), MAX(F$2:F358)+1, MAX(F$2:F358)+2)))</f>
        <v/>
      </c>
      <c r="G359">
        <f>IF(NOT(AND(C359=1, TRIM(ERP資料!T359)="捲筒")), 0, IF(MAX(G$2:G358)=0, 1, IF(ERP資料!A359=INDEX(ERP資料!$A$2:$A358, MATCH(MAX(G$2:G358), G$2:G358, 0)), MAX(G$2:G358)+1, MAX(G$2:G358)+2)))</f>
        <v/>
      </c>
      <c r="H359">
        <f>IF(OR(ERP資料!C359="",ERP資料!D359=""),0,ERP資料!D359-ERP資料!C359+1)</f>
        <v/>
      </c>
    </row>
    <row r="360">
      <c r="A360" t="n">
        <v>360</v>
      </c>
      <c r="B360">
        <f>IF(ERP資料!A360="","",ERP資料!A360&amp;"|"&amp;ERP資料!E360&amp;"|"&amp;ERP資料!F360&amp;"|"&amp;ERP資料!G360&amp;"|"&amp;ERP資料!H360&amp;"|"&amp;ERP資料!O360)</f>
        <v/>
      </c>
      <c r="C360">
        <f>IF(B360="",0,IF(COUNTIF(B$2:B359,B360)=0,1,0))</f>
        <v/>
      </c>
      <c r="D360">
        <f>IF(B360="",0,SUMIFS($H$2:$H$801,$B$2:$B$801,B360))</f>
        <v/>
      </c>
      <c r="E360">
        <f>IF(NOT(AND(C360=1, TRIM(ERP資料!T360)="平板")), 0, IF(MAX(E$2:E359)=0, 1, IF(ERP資料!A360=INDEX(ERP資料!$A$2:$A359, MATCH(MAX(E$2:E359), E$2:E359, 0)), MAX(E$2:E359)+1, MAX(E$2:E359)+2)))</f>
        <v/>
      </c>
      <c r="F360">
        <f>IF(NOT(AND(C360=1, TRIM(ERP資料!T360)="平板")), 0, IF(MAX(F$2:F359)=0, 1, IF(ERP資料!A360=INDEX(ERP資料!$A$2:$A359, MATCH(MAX(F$2:F359), F$2:F359, 0)), MAX(F$2:F359)+1, MAX(F$2:F359)+2)))</f>
        <v/>
      </c>
      <c r="G360">
        <f>IF(NOT(AND(C360=1, TRIM(ERP資料!T360)="捲筒")), 0, IF(MAX(G$2:G359)=0, 1, IF(ERP資料!A360=INDEX(ERP資料!$A$2:$A359, MATCH(MAX(G$2:G359), G$2:G359, 0)), MAX(G$2:G359)+1, MAX(G$2:G359)+2)))</f>
        <v/>
      </c>
      <c r="H360">
        <f>IF(OR(ERP資料!C360="",ERP資料!D360=""),0,ERP資料!D360-ERP資料!C360+1)</f>
        <v/>
      </c>
    </row>
    <row r="361">
      <c r="A361" t="n">
        <v>361</v>
      </c>
      <c r="B361">
        <f>IF(ERP資料!A361="","",ERP資料!A361&amp;"|"&amp;ERP資料!E361&amp;"|"&amp;ERP資料!F361&amp;"|"&amp;ERP資料!G361&amp;"|"&amp;ERP資料!H361&amp;"|"&amp;ERP資料!O361)</f>
        <v/>
      </c>
      <c r="C361">
        <f>IF(B361="",0,IF(COUNTIF(B$2:B360,B361)=0,1,0))</f>
        <v/>
      </c>
      <c r="D361">
        <f>IF(B361="",0,SUMIFS($H$2:$H$801,$B$2:$B$801,B361))</f>
        <v/>
      </c>
      <c r="E361">
        <f>IF(NOT(AND(C361=1, TRIM(ERP資料!T361)="平板")), 0, IF(MAX(E$2:E360)=0, 1, IF(ERP資料!A361=INDEX(ERP資料!$A$2:$A360, MATCH(MAX(E$2:E360), E$2:E360, 0)), MAX(E$2:E360)+1, MAX(E$2:E360)+2)))</f>
        <v/>
      </c>
      <c r="F361">
        <f>IF(NOT(AND(C361=1, TRIM(ERP資料!T361)="平板")), 0, IF(MAX(F$2:F360)=0, 1, IF(ERP資料!A361=INDEX(ERP資料!$A$2:$A360, MATCH(MAX(F$2:F360), F$2:F360, 0)), MAX(F$2:F360)+1, MAX(F$2:F360)+2)))</f>
        <v/>
      </c>
      <c r="G361">
        <f>IF(NOT(AND(C361=1, TRIM(ERP資料!T361)="捲筒")), 0, IF(MAX(G$2:G360)=0, 1, IF(ERP資料!A361=INDEX(ERP資料!$A$2:$A360, MATCH(MAX(G$2:G360), G$2:G360, 0)), MAX(G$2:G360)+1, MAX(G$2:G360)+2)))</f>
        <v/>
      </c>
      <c r="H361">
        <f>IF(OR(ERP資料!C361="",ERP資料!D361=""),0,ERP資料!D361-ERP資料!C361+1)</f>
        <v/>
      </c>
    </row>
    <row r="362">
      <c r="A362" t="n">
        <v>362</v>
      </c>
      <c r="B362">
        <f>IF(ERP資料!A362="","",ERP資料!A362&amp;"|"&amp;ERP資料!E362&amp;"|"&amp;ERP資料!F362&amp;"|"&amp;ERP資料!G362&amp;"|"&amp;ERP資料!H362&amp;"|"&amp;ERP資料!O362)</f>
        <v/>
      </c>
      <c r="C362">
        <f>IF(B362="",0,IF(COUNTIF(B$2:B361,B362)=0,1,0))</f>
        <v/>
      </c>
      <c r="D362">
        <f>IF(B362="",0,SUMIFS($H$2:$H$801,$B$2:$B$801,B362))</f>
        <v/>
      </c>
      <c r="E362">
        <f>IF(NOT(AND(C362=1, TRIM(ERP資料!T362)="平板")), 0, IF(MAX(E$2:E361)=0, 1, IF(ERP資料!A362=INDEX(ERP資料!$A$2:$A361, MATCH(MAX(E$2:E361), E$2:E361, 0)), MAX(E$2:E361)+1, MAX(E$2:E361)+2)))</f>
        <v/>
      </c>
      <c r="F362">
        <f>IF(NOT(AND(C362=1, TRIM(ERP資料!T362)="平板")), 0, IF(MAX(F$2:F361)=0, 1, IF(ERP資料!A362=INDEX(ERP資料!$A$2:$A361, MATCH(MAX(F$2:F361), F$2:F361, 0)), MAX(F$2:F361)+1, MAX(F$2:F361)+2)))</f>
        <v/>
      </c>
      <c r="G362">
        <f>IF(NOT(AND(C362=1, TRIM(ERP資料!T362)="捲筒")), 0, IF(MAX(G$2:G361)=0, 1, IF(ERP資料!A362=INDEX(ERP資料!$A$2:$A361, MATCH(MAX(G$2:G361), G$2:G361, 0)), MAX(G$2:G361)+1, MAX(G$2:G361)+2)))</f>
        <v/>
      </c>
      <c r="H362">
        <f>IF(OR(ERP資料!C362="",ERP資料!D362=""),0,ERP資料!D362-ERP資料!C362+1)</f>
        <v/>
      </c>
    </row>
    <row r="363">
      <c r="A363" t="n">
        <v>363</v>
      </c>
      <c r="B363">
        <f>IF(ERP資料!A363="","",ERP資料!A363&amp;"|"&amp;ERP資料!E363&amp;"|"&amp;ERP資料!F363&amp;"|"&amp;ERP資料!G363&amp;"|"&amp;ERP資料!H363&amp;"|"&amp;ERP資料!O363)</f>
        <v/>
      </c>
      <c r="C363">
        <f>IF(B363="",0,IF(COUNTIF(B$2:B362,B363)=0,1,0))</f>
        <v/>
      </c>
      <c r="D363">
        <f>IF(B363="",0,SUMIFS($H$2:$H$801,$B$2:$B$801,B363))</f>
        <v/>
      </c>
      <c r="E363">
        <f>IF(NOT(AND(C363=1, TRIM(ERP資料!T363)="平板")), 0, IF(MAX(E$2:E362)=0, 1, IF(ERP資料!A363=INDEX(ERP資料!$A$2:$A362, MATCH(MAX(E$2:E362), E$2:E362, 0)), MAX(E$2:E362)+1, MAX(E$2:E362)+2)))</f>
        <v/>
      </c>
      <c r="F363">
        <f>IF(NOT(AND(C363=1, TRIM(ERP資料!T363)="平板")), 0, IF(MAX(F$2:F362)=0, 1, IF(ERP資料!A363=INDEX(ERP資料!$A$2:$A362, MATCH(MAX(F$2:F362), F$2:F362, 0)), MAX(F$2:F362)+1, MAX(F$2:F362)+2)))</f>
        <v/>
      </c>
      <c r="G363">
        <f>IF(NOT(AND(C363=1, TRIM(ERP資料!T363)="捲筒")), 0, IF(MAX(G$2:G362)=0, 1, IF(ERP資料!A363=INDEX(ERP資料!$A$2:$A362, MATCH(MAX(G$2:G362), G$2:G362, 0)), MAX(G$2:G362)+1, MAX(G$2:G362)+2)))</f>
        <v/>
      </c>
      <c r="H363">
        <f>IF(OR(ERP資料!C363="",ERP資料!D363=""),0,ERP資料!D363-ERP資料!C363+1)</f>
        <v/>
      </c>
    </row>
    <row r="364">
      <c r="A364" t="n">
        <v>364</v>
      </c>
      <c r="B364">
        <f>IF(ERP資料!A364="","",ERP資料!A364&amp;"|"&amp;ERP資料!E364&amp;"|"&amp;ERP資料!F364&amp;"|"&amp;ERP資料!G364&amp;"|"&amp;ERP資料!H364&amp;"|"&amp;ERP資料!O364)</f>
        <v/>
      </c>
      <c r="C364">
        <f>IF(B364="",0,IF(COUNTIF(B$2:B363,B364)=0,1,0))</f>
        <v/>
      </c>
      <c r="D364">
        <f>IF(B364="",0,SUMIFS($H$2:$H$801,$B$2:$B$801,B364))</f>
        <v/>
      </c>
      <c r="E364">
        <f>IF(NOT(AND(C364=1, TRIM(ERP資料!T364)="平板")), 0, IF(MAX(E$2:E363)=0, 1, IF(ERP資料!A364=INDEX(ERP資料!$A$2:$A363, MATCH(MAX(E$2:E363), E$2:E363, 0)), MAX(E$2:E363)+1, MAX(E$2:E363)+2)))</f>
        <v/>
      </c>
      <c r="F364">
        <f>IF(NOT(AND(C364=1, TRIM(ERP資料!T364)="平板")), 0, IF(MAX(F$2:F363)=0, 1, IF(ERP資料!A364=INDEX(ERP資料!$A$2:$A363, MATCH(MAX(F$2:F363), F$2:F363, 0)), MAX(F$2:F363)+1, MAX(F$2:F363)+2)))</f>
        <v/>
      </c>
      <c r="G364">
        <f>IF(NOT(AND(C364=1, TRIM(ERP資料!T364)="捲筒")), 0, IF(MAX(G$2:G363)=0, 1, IF(ERP資料!A364=INDEX(ERP資料!$A$2:$A363, MATCH(MAX(G$2:G363), G$2:G363, 0)), MAX(G$2:G363)+1, MAX(G$2:G363)+2)))</f>
        <v/>
      </c>
      <c r="H364">
        <f>IF(OR(ERP資料!C364="",ERP資料!D364=""),0,ERP資料!D364-ERP資料!C364+1)</f>
        <v/>
      </c>
    </row>
    <row r="365">
      <c r="A365" t="n">
        <v>365</v>
      </c>
      <c r="B365">
        <f>IF(ERP資料!A365="","",ERP資料!A365&amp;"|"&amp;ERP資料!E365&amp;"|"&amp;ERP資料!F365&amp;"|"&amp;ERP資料!G365&amp;"|"&amp;ERP資料!H365&amp;"|"&amp;ERP資料!O365)</f>
        <v/>
      </c>
      <c r="C365">
        <f>IF(B365="",0,IF(COUNTIF(B$2:B364,B365)=0,1,0))</f>
        <v/>
      </c>
      <c r="D365">
        <f>IF(B365="",0,SUMIFS($H$2:$H$801,$B$2:$B$801,B365))</f>
        <v/>
      </c>
      <c r="E365">
        <f>IF(NOT(AND(C365=1, TRIM(ERP資料!T365)="平板")), 0, IF(MAX(E$2:E364)=0, 1, IF(ERP資料!A365=INDEX(ERP資料!$A$2:$A364, MATCH(MAX(E$2:E364), E$2:E364, 0)), MAX(E$2:E364)+1, MAX(E$2:E364)+2)))</f>
        <v/>
      </c>
      <c r="F365">
        <f>IF(NOT(AND(C365=1, TRIM(ERP資料!T365)="平板")), 0, IF(MAX(F$2:F364)=0, 1, IF(ERP資料!A365=INDEX(ERP資料!$A$2:$A364, MATCH(MAX(F$2:F364), F$2:F364, 0)), MAX(F$2:F364)+1, MAX(F$2:F364)+2)))</f>
        <v/>
      </c>
      <c r="G365">
        <f>IF(NOT(AND(C365=1, TRIM(ERP資料!T365)="捲筒")), 0, IF(MAX(G$2:G364)=0, 1, IF(ERP資料!A365=INDEX(ERP資料!$A$2:$A364, MATCH(MAX(G$2:G364), G$2:G364, 0)), MAX(G$2:G364)+1, MAX(G$2:G364)+2)))</f>
        <v/>
      </c>
      <c r="H365">
        <f>IF(OR(ERP資料!C365="",ERP資料!D365=""),0,ERP資料!D365-ERP資料!C365+1)</f>
        <v/>
      </c>
    </row>
    <row r="366">
      <c r="A366" t="n">
        <v>366</v>
      </c>
      <c r="B366">
        <f>IF(ERP資料!A366="","",ERP資料!A366&amp;"|"&amp;ERP資料!E366&amp;"|"&amp;ERP資料!F366&amp;"|"&amp;ERP資料!G366&amp;"|"&amp;ERP資料!H366&amp;"|"&amp;ERP資料!O366)</f>
        <v/>
      </c>
      <c r="C366">
        <f>IF(B366="",0,IF(COUNTIF(B$2:B365,B366)=0,1,0))</f>
        <v/>
      </c>
      <c r="D366">
        <f>IF(B366="",0,SUMIFS($H$2:$H$801,$B$2:$B$801,B366))</f>
        <v/>
      </c>
      <c r="E366">
        <f>IF(NOT(AND(C366=1, TRIM(ERP資料!T366)="平板")), 0, IF(MAX(E$2:E365)=0, 1, IF(ERP資料!A366=INDEX(ERP資料!$A$2:$A365, MATCH(MAX(E$2:E365), E$2:E365, 0)), MAX(E$2:E365)+1, MAX(E$2:E365)+2)))</f>
        <v/>
      </c>
      <c r="F366">
        <f>IF(NOT(AND(C366=1, TRIM(ERP資料!T366)="平板")), 0, IF(MAX(F$2:F365)=0, 1, IF(ERP資料!A366=INDEX(ERP資料!$A$2:$A365, MATCH(MAX(F$2:F365), F$2:F365, 0)), MAX(F$2:F365)+1, MAX(F$2:F365)+2)))</f>
        <v/>
      </c>
      <c r="G366">
        <f>IF(NOT(AND(C366=1, TRIM(ERP資料!T366)="捲筒")), 0, IF(MAX(G$2:G365)=0, 1, IF(ERP資料!A366=INDEX(ERP資料!$A$2:$A365, MATCH(MAX(G$2:G365), G$2:G365, 0)), MAX(G$2:G365)+1, MAX(G$2:G365)+2)))</f>
        <v/>
      </c>
      <c r="H366">
        <f>IF(OR(ERP資料!C366="",ERP資料!D366=""),0,ERP資料!D366-ERP資料!C366+1)</f>
        <v/>
      </c>
    </row>
    <row r="367">
      <c r="A367" t="n">
        <v>367</v>
      </c>
      <c r="B367">
        <f>IF(ERP資料!A367="","",ERP資料!A367&amp;"|"&amp;ERP資料!E367&amp;"|"&amp;ERP資料!F367&amp;"|"&amp;ERP資料!G367&amp;"|"&amp;ERP資料!H367&amp;"|"&amp;ERP資料!O367)</f>
        <v/>
      </c>
      <c r="C367">
        <f>IF(B367="",0,IF(COUNTIF(B$2:B366,B367)=0,1,0))</f>
        <v/>
      </c>
      <c r="D367">
        <f>IF(B367="",0,SUMIFS($H$2:$H$801,$B$2:$B$801,B367))</f>
        <v/>
      </c>
      <c r="E367">
        <f>IF(NOT(AND(C367=1, TRIM(ERP資料!T367)="平板")), 0, IF(MAX(E$2:E366)=0, 1, IF(ERP資料!A367=INDEX(ERP資料!$A$2:$A366, MATCH(MAX(E$2:E366), E$2:E366, 0)), MAX(E$2:E366)+1, MAX(E$2:E366)+2)))</f>
        <v/>
      </c>
      <c r="F367">
        <f>IF(NOT(AND(C367=1, TRIM(ERP資料!T367)="平板")), 0, IF(MAX(F$2:F366)=0, 1, IF(ERP資料!A367=INDEX(ERP資料!$A$2:$A366, MATCH(MAX(F$2:F366), F$2:F366, 0)), MAX(F$2:F366)+1, MAX(F$2:F366)+2)))</f>
        <v/>
      </c>
      <c r="G367">
        <f>IF(NOT(AND(C367=1, TRIM(ERP資料!T367)="捲筒")), 0, IF(MAX(G$2:G366)=0, 1, IF(ERP資料!A367=INDEX(ERP資料!$A$2:$A366, MATCH(MAX(G$2:G366), G$2:G366, 0)), MAX(G$2:G366)+1, MAX(G$2:G366)+2)))</f>
        <v/>
      </c>
      <c r="H367">
        <f>IF(OR(ERP資料!C367="",ERP資料!D367=""),0,ERP資料!D367-ERP資料!C367+1)</f>
        <v/>
      </c>
    </row>
    <row r="368">
      <c r="A368" t="n">
        <v>368</v>
      </c>
      <c r="B368">
        <f>IF(ERP資料!A368="","",ERP資料!A368&amp;"|"&amp;ERP資料!E368&amp;"|"&amp;ERP資料!F368&amp;"|"&amp;ERP資料!G368&amp;"|"&amp;ERP資料!H368&amp;"|"&amp;ERP資料!O368)</f>
        <v/>
      </c>
      <c r="C368">
        <f>IF(B368="",0,IF(COUNTIF(B$2:B367,B368)=0,1,0))</f>
        <v/>
      </c>
      <c r="D368">
        <f>IF(B368="",0,SUMIFS($H$2:$H$801,$B$2:$B$801,B368))</f>
        <v/>
      </c>
      <c r="E368">
        <f>IF(NOT(AND(C368=1, TRIM(ERP資料!T368)="平板")), 0, IF(MAX(E$2:E367)=0, 1, IF(ERP資料!A368=INDEX(ERP資料!$A$2:$A367, MATCH(MAX(E$2:E367), E$2:E367, 0)), MAX(E$2:E367)+1, MAX(E$2:E367)+2)))</f>
        <v/>
      </c>
      <c r="F368">
        <f>IF(NOT(AND(C368=1, TRIM(ERP資料!T368)="平板")), 0, IF(MAX(F$2:F367)=0, 1, IF(ERP資料!A368=INDEX(ERP資料!$A$2:$A367, MATCH(MAX(F$2:F367), F$2:F367, 0)), MAX(F$2:F367)+1, MAX(F$2:F367)+2)))</f>
        <v/>
      </c>
      <c r="G368">
        <f>IF(NOT(AND(C368=1, TRIM(ERP資料!T368)="捲筒")), 0, IF(MAX(G$2:G367)=0, 1, IF(ERP資料!A368=INDEX(ERP資料!$A$2:$A367, MATCH(MAX(G$2:G367), G$2:G367, 0)), MAX(G$2:G367)+1, MAX(G$2:G367)+2)))</f>
        <v/>
      </c>
      <c r="H368">
        <f>IF(OR(ERP資料!C368="",ERP資料!D368=""),0,ERP資料!D368-ERP資料!C368+1)</f>
        <v/>
      </c>
    </row>
    <row r="369">
      <c r="A369" t="n">
        <v>369</v>
      </c>
      <c r="B369">
        <f>IF(ERP資料!A369="","",ERP資料!A369&amp;"|"&amp;ERP資料!E369&amp;"|"&amp;ERP資料!F369&amp;"|"&amp;ERP資料!G369&amp;"|"&amp;ERP資料!H369&amp;"|"&amp;ERP資料!O369)</f>
        <v/>
      </c>
      <c r="C369">
        <f>IF(B369="",0,IF(COUNTIF(B$2:B368,B369)=0,1,0))</f>
        <v/>
      </c>
      <c r="D369">
        <f>IF(B369="",0,SUMIFS($H$2:$H$801,$B$2:$B$801,B369))</f>
        <v/>
      </c>
      <c r="E369">
        <f>IF(NOT(AND(C369=1, TRIM(ERP資料!T369)="平板")), 0, IF(MAX(E$2:E368)=0, 1, IF(ERP資料!A369=INDEX(ERP資料!$A$2:$A368, MATCH(MAX(E$2:E368), E$2:E368, 0)), MAX(E$2:E368)+1, MAX(E$2:E368)+2)))</f>
        <v/>
      </c>
      <c r="F369">
        <f>IF(NOT(AND(C369=1, TRIM(ERP資料!T369)="平板")), 0, IF(MAX(F$2:F368)=0, 1, IF(ERP資料!A369=INDEX(ERP資料!$A$2:$A368, MATCH(MAX(F$2:F368), F$2:F368, 0)), MAX(F$2:F368)+1, MAX(F$2:F368)+2)))</f>
        <v/>
      </c>
      <c r="G369">
        <f>IF(NOT(AND(C369=1, TRIM(ERP資料!T369)="捲筒")), 0, IF(MAX(G$2:G368)=0, 1, IF(ERP資料!A369=INDEX(ERP資料!$A$2:$A368, MATCH(MAX(G$2:G368), G$2:G368, 0)), MAX(G$2:G368)+1, MAX(G$2:G368)+2)))</f>
        <v/>
      </c>
      <c r="H369">
        <f>IF(OR(ERP資料!C369="",ERP資料!D369=""),0,ERP資料!D369-ERP資料!C369+1)</f>
        <v/>
      </c>
    </row>
    <row r="370">
      <c r="A370" t="n">
        <v>370</v>
      </c>
      <c r="B370">
        <f>IF(ERP資料!A370="","",ERP資料!A370&amp;"|"&amp;ERP資料!E370&amp;"|"&amp;ERP資料!F370&amp;"|"&amp;ERP資料!G370&amp;"|"&amp;ERP資料!H370&amp;"|"&amp;ERP資料!O370)</f>
        <v/>
      </c>
      <c r="C370">
        <f>IF(B370="",0,IF(COUNTIF(B$2:B369,B370)=0,1,0))</f>
        <v/>
      </c>
      <c r="D370">
        <f>IF(B370="",0,SUMIFS($H$2:$H$801,$B$2:$B$801,B370))</f>
        <v/>
      </c>
      <c r="E370">
        <f>IF(NOT(AND(C370=1, TRIM(ERP資料!T370)="平板")), 0, IF(MAX(E$2:E369)=0, 1, IF(ERP資料!A370=INDEX(ERP資料!$A$2:$A369, MATCH(MAX(E$2:E369), E$2:E369, 0)), MAX(E$2:E369)+1, MAX(E$2:E369)+2)))</f>
        <v/>
      </c>
      <c r="F370">
        <f>IF(NOT(AND(C370=1, TRIM(ERP資料!T370)="平板")), 0, IF(MAX(F$2:F369)=0, 1, IF(ERP資料!A370=INDEX(ERP資料!$A$2:$A369, MATCH(MAX(F$2:F369), F$2:F369, 0)), MAX(F$2:F369)+1, MAX(F$2:F369)+2)))</f>
        <v/>
      </c>
      <c r="G370">
        <f>IF(NOT(AND(C370=1, TRIM(ERP資料!T370)="捲筒")), 0, IF(MAX(G$2:G369)=0, 1, IF(ERP資料!A370=INDEX(ERP資料!$A$2:$A369, MATCH(MAX(G$2:G369), G$2:G369, 0)), MAX(G$2:G369)+1, MAX(G$2:G369)+2)))</f>
        <v/>
      </c>
      <c r="H370">
        <f>IF(OR(ERP資料!C370="",ERP資料!D370=""),0,ERP資料!D370-ERP資料!C370+1)</f>
        <v/>
      </c>
    </row>
    <row r="371">
      <c r="A371" t="n">
        <v>371</v>
      </c>
      <c r="B371">
        <f>IF(ERP資料!A371="","",ERP資料!A371&amp;"|"&amp;ERP資料!E371&amp;"|"&amp;ERP資料!F371&amp;"|"&amp;ERP資料!G371&amp;"|"&amp;ERP資料!H371&amp;"|"&amp;ERP資料!O371)</f>
        <v/>
      </c>
      <c r="C371">
        <f>IF(B371="",0,IF(COUNTIF(B$2:B370,B371)=0,1,0))</f>
        <v/>
      </c>
      <c r="D371">
        <f>IF(B371="",0,SUMIFS($H$2:$H$801,$B$2:$B$801,B371))</f>
        <v/>
      </c>
      <c r="E371">
        <f>IF(NOT(AND(C371=1, TRIM(ERP資料!T371)="平板")), 0, IF(MAX(E$2:E370)=0, 1, IF(ERP資料!A371=INDEX(ERP資料!$A$2:$A370, MATCH(MAX(E$2:E370), E$2:E370, 0)), MAX(E$2:E370)+1, MAX(E$2:E370)+2)))</f>
        <v/>
      </c>
      <c r="F371">
        <f>IF(NOT(AND(C371=1, TRIM(ERP資料!T371)="平板")), 0, IF(MAX(F$2:F370)=0, 1, IF(ERP資料!A371=INDEX(ERP資料!$A$2:$A370, MATCH(MAX(F$2:F370), F$2:F370, 0)), MAX(F$2:F370)+1, MAX(F$2:F370)+2)))</f>
        <v/>
      </c>
      <c r="G371">
        <f>IF(NOT(AND(C371=1, TRIM(ERP資料!T371)="捲筒")), 0, IF(MAX(G$2:G370)=0, 1, IF(ERP資料!A371=INDEX(ERP資料!$A$2:$A370, MATCH(MAX(G$2:G370), G$2:G370, 0)), MAX(G$2:G370)+1, MAX(G$2:G370)+2)))</f>
        <v/>
      </c>
      <c r="H371">
        <f>IF(OR(ERP資料!C371="",ERP資料!D371=""),0,ERP資料!D371-ERP資料!C371+1)</f>
        <v/>
      </c>
    </row>
    <row r="372">
      <c r="A372" t="n">
        <v>372</v>
      </c>
      <c r="B372">
        <f>IF(ERP資料!A372="","",ERP資料!A372&amp;"|"&amp;ERP資料!E372&amp;"|"&amp;ERP資料!F372&amp;"|"&amp;ERP資料!G372&amp;"|"&amp;ERP資料!H372&amp;"|"&amp;ERP資料!O372)</f>
        <v/>
      </c>
      <c r="C372">
        <f>IF(B372="",0,IF(COUNTIF(B$2:B371,B372)=0,1,0))</f>
        <v/>
      </c>
      <c r="D372">
        <f>IF(B372="",0,SUMIFS($H$2:$H$801,$B$2:$B$801,B372))</f>
        <v/>
      </c>
      <c r="E372">
        <f>IF(NOT(AND(C372=1, TRIM(ERP資料!T372)="平板")), 0, IF(MAX(E$2:E371)=0, 1, IF(ERP資料!A372=INDEX(ERP資料!$A$2:$A371, MATCH(MAX(E$2:E371), E$2:E371, 0)), MAX(E$2:E371)+1, MAX(E$2:E371)+2)))</f>
        <v/>
      </c>
      <c r="F372">
        <f>IF(NOT(AND(C372=1, TRIM(ERP資料!T372)="平板")), 0, IF(MAX(F$2:F371)=0, 1, IF(ERP資料!A372=INDEX(ERP資料!$A$2:$A371, MATCH(MAX(F$2:F371), F$2:F371, 0)), MAX(F$2:F371)+1, MAX(F$2:F371)+2)))</f>
        <v/>
      </c>
      <c r="G372">
        <f>IF(NOT(AND(C372=1, TRIM(ERP資料!T372)="捲筒")), 0, IF(MAX(G$2:G371)=0, 1, IF(ERP資料!A372=INDEX(ERP資料!$A$2:$A371, MATCH(MAX(G$2:G371), G$2:G371, 0)), MAX(G$2:G371)+1, MAX(G$2:G371)+2)))</f>
        <v/>
      </c>
      <c r="H372">
        <f>IF(OR(ERP資料!C372="",ERP資料!D372=""),0,ERP資料!D372-ERP資料!C372+1)</f>
        <v/>
      </c>
    </row>
    <row r="373">
      <c r="A373" t="n">
        <v>373</v>
      </c>
      <c r="B373">
        <f>IF(ERP資料!A373="","",ERP資料!A373&amp;"|"&amp;ERP資料!E373&amp;"|"&amp;ERP資料!F373&amp;"|"&amp;ERP資料!G373&amp;"|"&amp;ERP資料!H373&amp;"|"&amp;ERP資料!O373)</f>
        <v/>
      </c>
      <c r="C373">
        <f>IF(B373="",0,IF(COUNTIF(B$2:B372,B373)=0,1,0))</f>
        <v/>
      </c>
      <c r="D373">
        <f>IF(B373="",0,SUMIFS($H$2:$H$801,$B$2:$B$801,B373))</f>
        <v/>
      </c>
      <c r="E373">
        <f>IF(NOT(AND(C373=1, TRIM(ERP資料!T373)="平板")), 0, IF(MAX(E$2:E372)=0, 1, IF(ERP資料!A373=INDEX(ERP資料!$A$2:$A372, MATCH(MAX(E$2:E372), E$2:E372, 0)), MAX(E$2:E372)+1, MAX(E$2:E372)+2)))</f>
        <v/>
      </c>
      <c r="F373">
        <f>IF(NOT(AND(C373=1, TRIM(ERP資料!T373)="平板")), 0, IF(MAX(F$2:F372)=0, 1, IF(ERP資料!A373=INDEX(ERP資料!$A$2:$A372, MATCH(MAX(F$2:F372), F$2:F372, 0)), MAX(F$2:F372)+1, MAX(F$2:F372)+2)))</f>
        <v/>
      </c>
      <c r="G373">
        <f>IF(NOT(AND(C373=1, TRIM(ERP資料!T373)="捲筒")), 0, IF(MAX(G$2:G372)=0, 1, IF(ERP資料!A373=INDEX(ERP資料!$A$2:$A372, MATCH(MAX(G$2:G372), G$2:G372, 0)), MAX(G$2:G372)+1, MAX(G$2:G372)+2)))</f>
        <v/>
      </c>
      <c r="H373">
        <f>IF(OR(ERP資料!C373="",ERP資料!D373=""),0,ERP資料!D373-ERP資料!C373+1)</f>
        <v/>
      </c>
    </row>
    <row r="374">
      <c r="A374" t="n">
        <v>374</v>
      </c>
      <c r="B374">
        <f>IF(ERP資料!A374="","",ERP資料!A374&amp;"|"&amp;ERP資料!E374&amp;"|"&amp;ERP資料!F374&amp;"|"&amp;ERP資料!G374&amp;"|"&amp;ERP資料!H374&amp;"|"&amp;ERP資料!O374)</f>
        <v/>
      </c>
      <c r="C374">
        <f>IF(B374="",0,IF(COUNTIF(B$2:B373,B374)=0,1,0))</f>
        <v/>
      </c>
      <c r="D374">
        <f>IF(B374="",0,SUMIFS($H$2:$H$801,$B$2:$B$801,B374))</f>
        <v/>
      </c>
      <c r="E374">
        <f>IF(NOT(AND(C374=1, TRIM(ERP資料!T374)="平板")), 0, IF(MAX(E$2:E373)=0, 1, IF(ERP資料!A374=INDEX(ERP資料!$A$2:$A373, MATCH(MAX(E$2:E373), E$2:E373, 0)), MAX(E$2:E373)+1, MAX(E$2:E373)+2)))</f>
        <v/>
      </c>
      <c r="F374">
        <f>IF(NOT(AND(C374=1, TRIM(ERP資料!T374)="平板")), 0, IF(MAX(F$2:F373)=0, 1, IF(ERP資料!A374=INDEX(ERP資料!$A$2:$A373, MATCH(MAX(F$2:F373), F$2:F373, 0)), MAX(F$2:F373)+1, MAX(F$2:F373)+2)))</f>
        <v/>
      </c>
      <c r="G374">
        <f>IF(NOT(AND(C374=1, TRIM(ERP資料!T374)="捲筒")), 0, IF(MAX(G$2:G373)=0, 1, IF(ERP資料!A374=INDEX(ERP資料!$A$2:$A373, MATCH(MAX(G$2:G373), G$2:G373, 0)), MAX(G$2:G373)+1, MAX(G$2:G373)+2)))</f>
        <v/>
      </c>
      <c r="H374">
        <f>IF(OR(ERP資料!C374="",ERP資料!D374=""),0,ERP資料!D374-ERP資料!C374+1)</f>
        <v/>
      </c>
    </row>
    <row r="375">
      <c r="A375" t="n">
        <v>375</v>
      </c>
      <c r="B375">
        <f>IF(ERP資料!A375="","",ERP資料!A375&amp;"|"&amp;ERP資料!E375&amp;"|"&amp;ERP資料!F375&amp;"|"&amp;ERP資料!G375&amp;"|"&amp;ERP資料!H375&amp;"|"&amp;ERP資料!O375)</f>
        <v/>
      </c>
      <c r="C375">
        <f>IF(B375="",0,IF(COUNTIF(B$2:B374,B375)=0,1,0))</f>
        <v/>
      </c>
      <c r="D375">
        <f>IF(B375="",0,SUMIFS($H$2:$H$801,$B$2:$B$801,B375))</f>
        <v/>
      </c>
      <c r="E375">
        <f>IF(NOT(AND(C375=1, TRIM(ERP資料!T375)="平板")), 0, IF(MAX(E$2:E374)=0, 1, IF(ERP資料!A375=INDEX(ERP資料!$A$2:$A374, MATCH(MAX(E$2:E374), E$2:E374, 0)), MAX(E$2:E374)+1, MAX(E$2:E374)+2)))</f>
        <v/>
      </c>
      <c r="F375">
        <f>IF(NOT(AND(C375=1, TRIM(ERP資料!T375)="平板")), 0, IF(MAX(F$2:F374)=0, 1, IF(ERP資料!A375=INDEX(ERP資料!$A$2:$A374, MATCH(MAX(F$2:F374), F$2:F374, 0)), MAX(F$2:F374)+1, MAX(F$2:F374)+2)))</f>
        <v/>
      </c>
      <c r="G375">
        <f>IF(NOT(AND(C375=1, TRIM(ERP資料!T375)="捲筒")), 0, IF(MAX(G$2:G374)=0, 1, IF(ERP資料!A375=INDEX(ERP資料!$A$2:$A374, MATCH(MAX(G$2:G374), G$2:G374, 0)), MAX(G$2:G374)+1, MAX(G$2:G374)+2)))</f>
        <v/>
      </c>
      <c r="H375">
        <f>IF(OR(ERP資料!C375="",ERP資料!D375=""),0,ERP資料!D375-ERP資料!C375+1)</f>
        <v/>
      </c>
    </row>
    <row r="376">
      <c r="A376" t="n">
        <v>376</v>
      </c>
      <c r="B376">
        <f>IF(ERP資料!A376="","",ERP資料!A376&amp;"|"&amp;ERP資料!E376&amp;"|"&amp;ERP資料!F376&amp;"|"&amp;ERP資料!G376&amp;"|"&amp;ERP資料!H376&amp;"|"&amp;ERP資料!O376)</f>
        <v/>
      </c>
      <c r="C376">
        <f>IF(B376="",0,IF(COUNTIF(B$2:B375,B376)=0,1,0))</f>
        <v/>
      </c>
      <c r="D376">
        <f>IF(B376="",0,SUMIFS($H$2:$H$801,$B$2:$B$801,B376))</f>
        <v/>
      </c>
      <c r="E376">
        <f>IF(NOT(AND(C376=1, TRIM(ERP資料!T376)="平板")), 0, IF(MAX(E$2:E375)=0, 1, IF(ERP資料!A376=INDEX(ERP資料!$A$2:$A375, MATCH(MAX(E$2:E375), E$2:E375, 0)), MAX(E$2:E375)+1, MAX(E$2:E375)+2)))</f>
        <v/>
      </c>
      <c r="F376">
        <f>IF(NOT(AND(C376=1, TRIM(ERP資料!T376)="平板")), 0, IF(MAX(F$2:F375)=0, 1, IF(ERP資料!A376=INDEX(ERP資料!$A$2:$A375, MATCH(MAX(F$2:F375), F$2:F375, 0)), MAX(F$2:F375)+1, MAX(F$2:F375)+2)))</f>
        <v/>
      </c>
      <c r="G376">
        <f>IF(NOT(AND(C376=1, TRIM(ERP資料!T376)="捲筒")), 0, IF(MAX(G$2:G375)=0, 1, IF(ERP資料!A376=INDEX(ERP資料!$A$2:$A375, MATCH(MAX(G$2:G375), G$2:G375, 0)), MAX(G$2:G375)+1, MAX(G$2:G375)+2)))</f>
        <v/>
      </c>
      <c r="H376">
        <f>IF(OR(ERP資料!C376="",ERP資料!D376=""),0,ERP資料!D376-ERP資料!C376+1)</f>
        <v/>
      </c>
    </row>
    <row r="377">
      <c r="A377" t="n">
        <v>377</v>
      </c>
      <c r="B377">
        <f>IF(ERP資料!A377="","",ERP資料!A377&amp;"|"&amp;ERP資料!E377&amp;"|"&amp;ERP資料!F377&amp;"|"&amp;ERP資料!G377&amp;"|"&amp;ERP資料!H377&amp;"|"&amp;ERP資料!O377)</f>
        <v/>
      </c>
      <c r="C377">
        <f>IF(B377="",0,IF(COUNTIF(B$2:B376,B377)=0,1,0))</f>
        <v/>
      </c>
      <c r="D377">
        <f>IF(B377="",0,SUMIFS($H$2:$H$801,$B$2:$B$801,B377))</f>
        <v/>
      </c>
      <c r="E377">
        <f>IF(NOT(AND(C377=1, TRIM(ERP資料!T377)="平板")), 0, IF(MAX(E$2:E376)=0, 1, IF(ERP資料!A377=INDEX(ERP資料!$A$2:$A376, MATCH(MAX(E$2:E376), E$2:E376, 0)), MAX(E$2:E376)+1, MAX(E$2:E376)+2)))</f>
        <v/>
      </c>
      <c r="F377">
        <f>IF(NOT(AND(C377=1, TRIM(ERP資料!T377)="平板")), 0, IF(MAX(F$2:F376)=0, 1, IF(ERP資料!A377=INDEX(ERP資料!$A$2:$A376, MATCH(MAX(F$2:F376), F$2:F376, 0)), MAX(F$2:F376)+1, MAX(F$2:F376)+2)))</f>
        <v/>
      </c>
      <c r="G377">
        <f>IF(NOT(AND(C377=1, TRIM(ERP資料!T377)="捲筒")), 0, IF(MAX(G$2:G376)=0, 1, IF(ERP資料!A377=INDEX(ERP資料!$A$2:$A376, MATCH(MAX(G$2:G376), G$2:G376, 0)), MAX(G$2:G376)+1, MAX(G$2:G376)+2)))</f>
        <v/>
      </c>
      <c r="H377">
        <f>IF(OR(ERP資料!C377="",ERP資料!D377=""),0,ERP資料!D377-ERP資料!C377+1)</f>
        <v/>
      </c>
    </row>
    <row r="378">
      <c r="A378" t="n">
        <v>378</v>
      </c>
      <c r="B378">
        <f>IF(ERP資料!A378="","",ERP資料!A378&amp;"|"&amp;ERP資料!E378&amp;"|"&amp;ERP資料!F378&amp;"|"&amp;ERP資料!G378&amp;"|"&amp;ERP資料!H378&amp;"|"&amp;ERP資料!O378)</f>
        <v/>
      </c>
      <c r="C378">
        <f>IF(B378="",0,IF(COUNTIF(B$2:B377,B378)=0,1,0))</f>
        <v/>
      </c>
      <c r="D378">
        <f>IF(B378="",0,SUMIFS($H$2:$H$801,$B$2:$B$801,B378))</f>
        <v/>
      </c>
      <c r="E378">
        <f>IF(NOT(AND(C378=1, TRIM(ERP資料!T378)="平板")), 0, IF(MAX(E$2:E377)=0, 1, IF(ERP資料!A378=INDEX(ERP資料!$A$2:$A377, MATCH(MAX(E$2:E377), E$2:E377, 0)), MAX(E$2:E377)+1, MAX(E$2:E377)+2)))</f>
        <v/>
      </c>
      <c r="F378">
        <f>IF(NOT(AND(C378=1, TRIM(ERP資料!T378)="平板")), 0, IF(MAX(F$2:F377)=0, 1, IF(ERP資料!A378=INDEX(ERP資料!$A$2:$A377, MATCH(MAX(F$2:F377), F$2:F377, 0)), MAX(F$2:F377)+1, MAX(F$2:F377)+2)))</f>
        <v/>
      </c>
      <c r="G378">
        <f>IF(NOT(AND(C378=1, TRIM(ERP資料!T378)="捲筒")), 0, IF(MAX(G$2:G377)=0, 1, IF(ERP資料!A378=INDEX(ERP資料!$A$2:$A377, MATCH(MAX(G$2:G377), G$2:G377, 0)), MAX(G$2:G377)+1, MAX(G$2:G377)+2)))</f>
        <v/>
      </c>
      <c r="H378">
        <f>IF(OR(ERP資料!C378="",ERP資料!D378=""),0,ERP資料!D378-ERP資料!C378+1)</f>
        <v/>
      </c>
    </row>
    <row r="379">
      <c r="A379" t="n">
        <v>379</v>
      </c>
      <c r="B379">
        <f>IF(ERP資料!A379="","",ERP資料!A379&amp;"|"&amp;ERP資料!E379&amp;"|"&amp;ERP資料!F379&amp;"|"&amp;ERP資料!G379&amp;"|"&amp;ERP資料!H379&amp;"|"&amp;ERP資料!O379)</f>
        <v/>
      </c>
      <c r="C379">
        <f>IF(B379="",0,IF(COUNTIF(B$2:B378,B379)=0,1,0))</f>
        <v/>
      </c>
      <c r="D379">
        <f>IF(B379="",0,SUMIFS($H$2:$H$801,$B$2:$B$801,B379))</f>
        <v/>
      </c>
      <c r="E379">
        <f>IF(NOT(AND(C379=1, TRIM(ERP資料!T379)="平板")), 0, IF(MAX(E$2:E378)=0, 1, IF(ERP資料!A379=INDEX(ERP資料!$A$2:$A378, MATCH(MAX(E$2:E378), E$2:E378, 0)), MAX(E$2:E378)+1, MAX(E$2:E378)+2)))</f>
        <v/>
      </c>
      <c r="F379">
        <f>IF(NOT(AND(C379=1, TRIM(ERP資料!T379)="平板")), 0, IF(MAX(F$2:F378)=0, 1, IF(ERP資料!A379=INDEX(ERP資料!$A$2:$A378, MATCH(MAX(F$2:F378), F$2:F378, 0)), MAX(F$2:F378)+1, MAX(F$2:F378)+2)))</f>
        <v/>
      </c>
      <c r="G379">
        <f>IF(NOT(AND(C379=1, TRIM(ERP資料!T379)="捲筒")), 0, IF(MAX(G$2:G378)=0, 1, IF(ERP資料!A379=INDEX(ERP資料!$A$2:$A378, MATCH(MAX(G$2:G378), G$2:G378, 0)), MAX(G$2:G378)+1, MAX(G$2:G378)+2)))</f>
        <v/>
      </c>
      <c r="H379">
        <f>IF(OR(ERP資料!C379="",ERP資料!D379=""),0,ERP資料!D379-ERP資料!C379+1)</f>
        <v/>
      </c>
    </row>
    <row r="380">
      <c r="A380" t="n">
        <v>380</v>
      </c>
      <c r="B380">
        <f>IF(ERP資料!A380="","",ERP資料!A380&amp;"|"&amp;ERP資料!E380&amp;"|"&amp;ERP資料!F380&amp;"|"&amp;ERP資料!G380&amp;"|"&amp;ERP資料!H380&amp;"|"&amp;ERP資料!O380)</f>
        <v/>
      </c>
      <c r="C380">
        <f>IF(B380="",0,IF(COUNTIF(B$2:B379,B380)=0,1,0))</f>
        <v/>
      </c>
      <c r="D380">
        <f>IF(B380="",0,SUMIFS($H$2:$H$801,$B$2:$B$801,B380))</f>
        <v/>
      </c>
      <c r="E380">
        <f>IF(NOT(AND(C380=1, TRIM(ERP資料!T380)="平板")), 0, IF(MAX(E$2:E379)=0, 1, IF(ERP資料!A380=INDEX(ERP資料!$A$2:$A379, MATCH(MAX(E$2:E379), E$2:E379, 0)), MAX(E$2:E379)+1, MAX(E$2:E379)+2)))</f>
        <v/>
      </c>
      <c r="F380">
        <f>IF(NOT(AND(C380=1, TRIM(ERP資料!T380)="平板")), 0, IF(MAX(F$2:F379)=0, 1, IF(ERP資料!A380=INDEX(ERP資料!$A$2:$A379, MATCH(MAX(F$2:F379), F$2:F379, 0)), MAX(F$2:F379)+1, MAX(F$2:F379)+2)))</f>
        <v/>
      </c>
      <c r="G380">
        <f>IF(NOT(AND(C380=1, TRIM(ERP資料!T380)="捲筒")), 0, IF(MAX(G$2:G379)=0, 1, IF(ERP資料!A380=INDEX(ERP資料!$A$2:$A379, MATCH(MAX(G$2:G379), G$2:G379, 0)), MAX(G$2:G379)+1, MAX(G$2:G379)+2)))</f>
        <v/>
      </c>
      <c r="H380">
        <f>IF(OR(ERP資料!C380="",ERP資料!D380=""),0,ERP資料!D380-ERP資料!C380+1)</f>
        <v/>
      </c>
    </row>
    <row r="381">
      <c r="A381" t="n">
        <v>381</v>
      </c>
      <c r="B381">
        <f>IF(ERP資料!A381="","",ERP資料!A381&amp;"|"&amp;ERP資料!E381&amp;"|"&amp;ERP資料!F381&amp;"|"&amp;ERP資料!G381&amp;"|"&amp;ERP資料!H381&amp;"|"&amp;ERP資料!O381)</f>
        <v/>
      </c>
      <c r="C381">
        <f>IF(B381="",0,IF(COUNTIF(B$2:B380,B381)=0,1,0))</f>
        <v/>
      </c>
      <c r="D381">
        <f>IF(B381="",0,SUMIFS($H$2:$H$801,$B$2:$B$801,B381))</f>
        <v/>
      </c>
      <c r="E381">
        <f>IF(NOT(AND(C381=1, TRIM(ERP資料!T381)="平板")), 0, IF(MAX(E$2:E380)=0, 1, IF(ERP資料!A381=INDEX(ERP資料!$A$2:$A380, MATCH(MAX(E$2:E380), E$2:E380, 0)), MAX(E$2:E380)+1, MAX(E$2:E380)+2)))</f>
        <v/>
      </c>
      <c r="F381">
        <f>IF(NOT(AND(C381=1, TRIM(ERP資料!T381)="平板")), 0, IF(MAX(F$2:F380)=0, 1, IF(ERP資料!A381=INDEX(ERP資料!$A$2:$A380, MATCH(MAX(F$2:F380), F$2:F380, 0)), MAX(F$2:F380)+1, MAX(F$2:F380)+2)))</f>
        <v/>
      </c>
      <c r="G381">
        <f>IF(NOT(AND(C381=1, TRIM(ERP資料!T381)="捲筒")), 0, IF(MAX(G$2:G380)=0, 1, IF(ERP資料!A381=INDEX(ERP資料!$A$2:$A380, MATCH(MAX(G$2:G380), G$2:G380, 0)), MAX(G$2:G380)+1, MAX(G$2:G380)+2)))</f>
        <v/>
      </c>
      <c r="H381">
        <f>IF(OR(ERP資料!C381="",ERP資料!D381=""),0,ERP資料!D381-ERP資料!C381+1)</f>
        <v/>
      </c>
    </row>
    <row r="382">
      <c r="A382" t="n">
        <v>382</v>
      </c>
      <c r="B382">
        <f>IF(ERP資料!A382="","",ERP資料!A382&amp;"|"&amp;ERP資料!E382&amp;"|"&amp;ERP資料!F382&amp;"|"&amp;ERP資料!G382&amp;"|"&amp;ERP資料!H382&amp;"|"&amp;ERP資料!O382)</f>
        <v/>
      </c>
      <c r="C382">
        <f>IF(B382="",0,IF(COUNTIF(B$2:B381,B382)=0,1,0))</f>
        <v/>
      </c>
      <c r="D382">
        <f>IF(B382="",0,SUMIFS($H$2:$H$801,$B$2:$B$801,B382))</f>
        <v/>
      </c>
      <c r="E382">
        <f>IF(NOT(AND(C382=1, TRIM(ERP資料!T382)="平板")), 0, IF(MAX(E$2:E381)=0, 1, IF(ERP資料!A382=INDEX(ERP資料!$A$2:$A381, MATCH(MAX(E$2:E381), E$2:E381, 0)), MAX(E$2:E381)+1, MAX(E$2:E381)+2)))</f>
        <v/>
      </c>
      <c r="F382">
        <f>IF(NOT(AND(C382=1, TRIM(ERP資料!T382)="平板")), 0, IF(MAX(F$2:F381)=0, 1, IF(ERP資料!A382=INDEX(ERP資料!$A$2:$A381, MATCH(MAX(F$2:F381), F$2:F381, 0)), MAX(F$2:F381)+1, MAX(F$2:F381)+2)))</f>
        <v/>
      </c>
      <c r="G382">
        <f>IF(NOT(AND(C382=1, TRIM(ERP資料!T382)="捲筒")), 0, IF(MAX(G$2:G381)=0, 1, IF(ERP資料!A382=INDEX(ERP資料!$A$2:$A381, MATCH(MAX(G$2:G381), G$2:G381, 0)), MAX(G$2:G381)+1, MAX(G$2:G381)+2)))</f>
        <v/>
      </c>
      <c r="H382">
        <f>IF(OR(ERP資料!C382="",ERP資料!D382=""),0,ERP資料!D382-ERP資料!C382+1)</f>
        <v/>
      </c>
    </row>
    <row r="383">
      <c r="A383" t="n">
        <v>383</v>
      </c>
      <c r="B383">
        <f>IF(ERP資料!A383="","",ERP資料!A383&amp;"|"&amp;ERP資料!E383&amp;"|"&amp;ERP資料!F383&amp;"|"&amp;ERP資料!G383&amp;"|"&amp;ERP資料!H383&amp;"|"&amp;ERP資料!O383)</f>
        <v/>
      </c>
      <c r="C383">
        <f>IF(B383="",0,IF(COUNTIF(B$2:B382,B383)=0,1,0))</f>
        <v/>
      </c>
      <c r="D383">
        <f>IF(B383="",0,SUMIFS($H$2:$H$801,$B$2:$B$801,B383))</f>
        <v/>
      </c>
      <c r="E383">
        <f>IF(NOT(AND(C383=1, TRIM(ERP資料!T383)="平板")), 0, IF(MAX(E$2:E382)=0, 1, IF(ERP資料!A383=INDEX(ERP資料!$A$2:$A382, MATCH(MAX(E$2:E382), E$2:E382, 0)), MAX(E$2:E382)+1, MAX(E$2:E382)+2)))</f>
        <v/>
      </c>
      <c r="F383">
        <f>IF(NOT(AND(C383=1, TRIM(ERP資料!T383)="平板")), 0, IF(MAX(F$2:F382)=0, 1, IF(ERP資料!A383=INDEX(ERP資料!$A$2:$A382, MATCH(MAX(F$2:F382), F$2:F382, 0)), MAX(F$2:F382)+1, MAX(F$2:F382)+2)))</f>
        <v/>
      </c>
      <c r="G383">
        <f>IF(NOT(AND(C383=1, TRIM(ERP資料!T383)="捲筒")), 0, IF(MAX(G$2:G382)=0, 1, IF(ERP資料!A383=INDEX(ERP資料!$A$2:$A382, MATCH(MAX(G$2:G382), G$2:G382, 0)), MAX(G$2:G382)+1, MAX(G$2:G382)+2)))</f>
        <v/>
      </c>
      <c r="H383">
        <f>IF(OR(ERP資料!C383="",ERP資料!D383=""),0,ERP資料!D383-ERP資料!C383+1)</f>
        <v/>
      </c>
    </row>
    <row r="384">
      <c r="A384" t="n">
        <v>384</v>
      </c>
      <c r="B384">
        <f>IF(ERP資料!A384="","",ERP資料!A384&amp;"|"&amp;ERP資料!E384&amp;"|"&amp;ERP資料!F384&amp;"|"&amp;ERP資料!G384&amp;"|"&amp;ERP資料!H384&amp;"|"&amp;ERP資料!O384)</f>
        <v/>
      </c>
      <c r="C384">
        <f>IF(B384="",0,IF(COUNTIF(B$2:B383,B384)=0,1,0))</f>
        <v/>
      </c>
      <c r="D384">
        <f>IF(B384="",0,SUMIFS($H$2:$H$801,$B$2:$B$801,B384))</f>
        <v/>
      </c>
      <c r="E384">
        <f>IF(NOT(AND(C384=1, TRIM(ERP資料!T384)="平板")), 0, IF(MAX(E$2:E383)=0, 1, IF(ERP資料!A384=INDEX(ERP資料!$A$2:$A383, MATCH(MAX(E$2:E383), E$2:E383, 0)), MAX(E$2:E383)+1, MAX(E$2:E383)+2)))</f>
        <v/>
      </c>
      <c r="F384">
        <f>IF(NOT(AND(C384=1, TRIM(ERP資料!T384)="平板")), 0, IF(MAX(F$2:F383)=0, 1, IF(ERP資料!A384=INDEX(ERP資料!$A$2:$A383, MATCH(MAX(F$2:F383), F$2:F383, 0)), MAX(F$2:F383)+1, MAX(F$2:F383)+2)))</f>
        <v/>
      </c>
      <c r="G384">
        <f>IF(NOT(AND(C384=1, TRIM(ERP資料!T384)="捲筒")), 0, IF(MAX(G$2:G383)=0, 1, IF(ERP資料!A384=INDEX(ERP資料!$A$2:$A383, MATCH(MAX(G$2:G383), G$2:G383, 0)), MAX(G$2:G383)+1, MAX(G$2:G383)+2)))</f>
        <v/>
      </c>
      <c r="H384">
        <f>IF(OR(ERP資料!C384="",ERP資料!D384=""),0,ERP資料!D384-ERP資料!C384+1)</f>
        <v/>
      </c>
    </row>
    <row r="385">
      <c r="A385" t="n">
        <v>385</v>
      </c>
      <c r="B385">
        <f>IF(ERP資料!A385="","",ERP資料!A385&amp;"|"&amp;ERP資料!E385&amp;"|"&amp;ERP資料!F385&amp;"|"&amp;ERP資料!G385&amp;"|"&amp;ERP資料!H385&amp;"|"&amp;ERP資料!O385)</f>
        <v/>
      </c>
      <c r="C385">
        <f>IF(B385="",0,IF(COUNTIF(B$2:B384,B385)=0,1,0))</f>
        <v/>
      </c>
      <c r="D385">
        <f>IF(B385="",0,SUMIFS($H$2:$H$801,$B$2:$B$801,B385))</f>
        <v/>
      </c>
      <c r="E385">
        <f>IF(NOT(AND(C385=1, TRIM(ERP資料!T385)="平板")), 0, IF(MAX(E$2:E384)=0, 1, IF(ERP資料!A385=INDEX(ERP資料!$A$2:$A384, MATCH(MAX(E$2:E384), E$2:E384, 0)), MAX(E$2:E384)+1, MAX(E$2:E384)+2)))</f>
        <v/>
      </c>
      <c r="F385">
        <f>IF(NOT(AND(C385=1, TRIM(ERP資料!T385)="平板")), 0, IF(MAX(F$2:F384)=0, 1, IF(ERP資料!A385=INDEX(ERP資料!$A$2:$A384, MATCH(MAX(F$2:F384), F$2:F384, 0)), MAX(F$2:F384)+1, MAX(F$2:F384)+2)))</f>
        <v/>
      </c>
      <c r="G385">
        <f>IF(NOT(AND(C385=1, TRIM(ERP資料!T385)="捲筒")), 0, IF(MAX(G$2:G384)=0, 1, IF(ERP資料!A385=INDEX(ERP資料!$A$2:$A384, MATCH(MAX(G$2:G384), G$2:G384, 0)), MAX(G$2:G384)+1, MAX(G$2:G384)+2)))</f>
        <v/>
      </c>
      <c r="H385">
        <f>IF(OR(ERP資料!C385="",ERP資料!D385=""),0,ERP資料!D385-ERP資料!C385+1)</f>
        <v/>
      </c>
    </row>
    <row r="386">
      <c r="A386" t="n">
        <v>386</v>
      </c>
      <c r="B386">
        <f>IF(ERP資料!A386="","",ERP資料!A386&amp;"|"&amp;ERP資料!E386&amp;"|"&amp;ERP資料!F386&amp;"|"&amp;ERP資料!G386&amp;"|"&amp;ERP資料!H386&amp;"|"&amp;ERP資料!O386)</f>
        <v/>
      </c>
      <c r="C386">
        <f>IF(B386="",0,IF(COUNTIF(B$2:B385,B386)=0,1,0))</f>
        <v/>
      </c>
      <c r="D386">
        <f>IF(B386="",0,SUMIFS($H$2:$H$801,$B$2:$B$801,B386))</f>
        <v/>
      </c>
      <c r="E386">
        <f>IF(NOT(AND(C386=1, TRIM(ERP資料!T386)="平板")), 0, IF(MAX(E$2:E385)=0, 1, IF(ERP資料!A386=INDEX(ERP資料!$A$2:$A385, MATCH(MAX(E$2:E385), E$2:E385, 0)), MAX(E$2:E385)+1, MAX(E$2:E385)+2)))</f>
        <v/>
      </c>
      <c r="F386">
        <f>IF(NOT(AND(C386=1, TRIM(ERP資料!T386)="平板")), 0, IF(MAX(F$2:F385)=0, 1, IF(ERP資料!A386=INDEX(ERP資料!$A$2:$A385, MATCH(MAX(F$2:F385), F$2:F385, 0)), MAX(F$2:F385)+1, MAX(F$2:F385)+2)))</f>
        <v/>
      </c>
      <c r="G386">
        <f>IF(NOT(AND(C386=1, TRIM(ERP資料!T386)="捲筒")), 0, IF(MAX(G$2:G385)=0, 1, IF(ERP資料!A386=INDEX(ERP資料!$A$2:$A385, MATCH(MAX(G$2:G385), G$2:G385, 0)), MAX(G$2:G385)+1, MAX(G$2:G385)+2)))</f>
        <v/>
      </c>
      <c r="H386">
        <f>IF(OR(ERP資料!C386="",ERP資料!D386=""),0,ERP資料!D386-ERP資料!C386+1)</f>
        <v/>
      </c>
    </row>
    <row r="387">
      <c r="A387" t="n">
        <v>387</v>
      </c>
      <c r="B387">
        <f>IF(ERP資料!A387="","",ERP資料!A387&amp;"|"&amp;ERP資料!E387&amp;"|"&amp;ERP資料!F387&amp;"|"&amp;ERP資料!G387&amp;"|"&amp;ERP資料!H387&amp;"|"&amp;ERP資料!O387)</f>
        <v/>
      </c>
      <c r="C387">
        <f>IF(B387="",0,IF(COUNTIF(B$2:B386,B387)=0,1,0))</f>
        <v/>
      </c>
      <c r="D387">
        <f>IF(B387="",0,SUMIFS($H$2:$H$801,$B$2:$B$801,B387))</f>
        <v/>
      </c>
      <c r="E387">
        <f>IF(NOT(AND(C387=1, TRIM(ERP資料!T387)="平板")), 0, IF(MAX(E$2:E386)=0, 1, IF(ERP資料!A387=INDEX(ERP資料!$A$2:$A386, MATCH(MAX(E$2:E386), E$2:E386, 0)), MAX(E$2:E386)+1, MAX(E$2:E386)+2)))</f>
        <v/>
      </c>
      <c r="F387">
        <f>IF(NOT(AND(C387=1, TRIM(ERP資料!T387)="平板")), 0, IF(MAX(F$2:F386)=0, 1, IF(ERP資料!A387=INDEX(ERP資料!$A$2:$A386, MATCH(MAX(F$2:F386), F$2:F386, 0)), MAX(F$2:F386)+1, MAX(F$2:F386)+2)))</f>
        <v/>
      </c>
      <c r="G387">
        <f>IF(NOT(AND(C387=1, TRIM(ERP資料!T387)="捲筒")), 0, IF(MAX(G$2:G386)=0, 1, IF(ERP資料!A387=INDEX(ERP資料!$A$2:$A386, MATCH(MAX(G$2:G386), G$2:G386, 0)), MAX(G$2:G386)+1, MAX(G$2:G386)+2)))</f>
        <v/>
      </c>
      <c r="H387">
        <f>IF(OR(ERP資料!C387="",ERP資料!D387=""),0,ERP資料!D387-ERP資料!C387+1)</f>
        <v/>
      </c>
    </row>
    <row r="388">
      <c r="A388" t="n">
        <v>388</v>
      </c>
      <c r="B388">
        <f>IF(ERP資料!A388="","",ERP資料!A388&amp;"|"&amp;ERP資料!E388&amp;"|"&amp;ERP資料!F388&amp;"|"&amp;ERP資料!G388&amp;"|"&amp;ERP資料!H388&amp;"|"&amp;ERP資料!O388)</f>
        <v/>
      </c>
      <c r="C388">
        <f>IF(B388="",0,IF(COUNTIF(B$2:B387,B388)=0,1,0))</f>
        <v/>
      </c>
      <c r="D388">
        <f>IF(B388="",0,SUMIFS($H$2:$H$801,$B$2:$B$801,B388))</f>
        <v/>
      </c>
      <c r="E388">
        <f>IF(NOT(AND(C388=1, TRIM(ERP資料!T388)="平板")), 0, IF(MAX(E$2:E387)=0, 1, IF(ERP資料!A388=INDEX(ERP資料!$A$2:$A387, MATCH(MAX(E$2:E387), E$2:E387, 0)), MAX(E$2:E387)+1, MAX(E$2:E387)+2)))</f>
        <v/>
      </c>
      <c r="F388">
        <f>IF(NOT(AND(C388=1, TRIM(ERP資料!T388)="平板")), 0, IF(MAX(F$2:F387)=0, 1, IF(ERP資料!A388=INDEX(ERP資料!$A$2:$A387, MATCH(MAX(F$2:F387), F$2:F387, 0)), MAX(F$2:F387)+1, MAX(F$2:F387)+2)))</f>
        <v/>
      </c>
      <c r="G388">
        <f>IF(NOT(AND(C388=1, TRIM(ERP資料!T388)="捲筒")), 0, IF(MAX(G$2:G387)=0, 1, IF(ERP資料!A388=INDEX(ERP資料!$A$2:$A387, MATCH(MAX(G$2:G387), G$2:G387, 0)), MAX(G$2:G387)+1, MAX(G$2:G387)+2)))</f>
        <v/>
      </c>
      <c r="H388">
        <f>IF(OR(ERP資料!C388="",ERP資料!D388=""),0,ERP資料!D388-ERP資料!C388+1)</f>
        <v/>
      </c>
    </row>
    <row r="389">
      <c r="A389" t="n">
        <v>389</v>
      </c>
      <c r="B389">
        <f>IF(ERP資料!A389="","",ERP資料!A389&amp;"|"&amp;ERP資料!E389&amp;"|"&amp;ERP資料!F389&amp;"|"&amp;ERP資料!G389&amp;"|"&amp;ERP資料!H389&amp;"|"&amp;ERP資料!O389)</f>
        <v/>
      </c>
      <c r="C389">
        <f>IF(B389="",0,IF(COUNTIF(B$2:B388,B389)=0,1,0))</f>
        <v/>
      </c>
      <c r="D389">
        <f>IF(B389="",0,SUMIFS($H$2:$H$801,$B$2:$B$801,B389))</f>
        <v/>
      </c>
      <c r="E389">
        <f>IF(NOT(AND(C389=1, TRIM(ERP資料!T389)="平板")), 0, IF(MAX(E$2:E388)=0, 1, IF(ERP資料!A389=INDEX(ERP資料!$A$2:$A388, MATCH(MAX(E$2:E388), E$2:E388, 0)), MAX(E$2:E388)+1, MAX(E$2:E388)+2)))</f>
        <v/>
      </c>
      <c r="F389">
        <f>IF(NOT(AND(C389=1, TRIM(ERP資料!T389)="平板")), 0, IF(MAX(F$2:F388)=0, 1, IF(ERP資料!A389=INDEX(ERP資料!$A$2:$A388, MATCH(MAX(F$2:F388), F$2:F388, 0)), MAX(F$2:F388)+1, MAX(F$2:F388)+2)))</f>
        <v/>
      </c>
      <c r="G389">
        <f>IF(NOT(AND(C389=1, TRIM(ERP資料!T389)="捲筒")), 0, IF(MAX(G$2:G388)=0, 1, IF(ERP資料!A389=INDEX(ERP資料!$A$2:$A388, MATCH(MAX(G$2:G388), G$2:G388, 0)), MAX(G$2:G388)+1, MAX(G$2:G388)+2)))</f>
        <v/>
      </c>
      <c r="H389">
        <f>IF(OR(ERP資料!C389="",ERP資料!D389=""),0,ERP資料!D389-ERP資料!C389+1)</f>
        <v/>
      </c>
    </row>
    <row r="390">
      <c r="A390" t="n">
        <v>390</v>
      </c>
      <c r="B390">
        <f>IF(ERP資料!A390="","",ERP資料!A390&amp;"|"&amp;ERP資料!E390&amp;"|"&amp;ERP資料!F390&amp;"|"&amp;ERP資料!G390&amp;"|"&amp;ERP資料!H390&amp;"|"&amp;ERP資料!O390)</f>
        <v/>
      </c>
      <c r="C390">
        <f>IF(B390="",0,IF(COUNTIF(B$2:B389,B390)=0,1,0))</f>
        <v/>
      </c>
      <c r="D390">
        <f>IF(B390="",0,SUMIFS($H$2:$H$801,$B$2:$B$801,B390))</f>
        <v/>
      </c>
      <c r="E390">
        <f>IF(NOT(AND(C390=1, TRIM(ERP資料!T390)="平板")), 0, IF(MAX(E$2:E389)=0, 1, IF(ERP資料!A390=INDEX(ERP資料!$A$2:$A389, MATCH(MAX(E$2:E389), E$2:E389, 0)), MAX(E$2:E389)+1, MAX(E$2:E389)+2)))</f>
        <v/>
      </c>
      <c r="F390">
        <f>IF(NOT(AND(C390=1, TRIM(ERP資料!T390)="平板")), 0, IF(MAX(F$2:F389)=0, 1, IF(ERP資料!A390=INDEX(ERP資料!$A$2:$A389, MATCH(MAX(F$2:F389), F$2:F389, 0)), MAX(F$2:F389)+1, MAX(F$2:F389)+2)))</f>
        <v/>
      </c>
      <c r="G390">
        <f>IF(NOT(AND(C390=1, TRIM(ERP資料!T390)="捲筒")), 0, IF(MAX(G$2:G389)=0, 1, IF(ERP資料!A390=INDEX(ERP資料!$A$2:$A389, MATCH(MAX(G$2:G389), G$2:G389, 0)), MAX(G$2:G389)+1, MAX(G$2:G389)+2)))</f>
        <v/>
      </c>
      <c r="H390">
        <f>IF(OR(ERP資料!C390="",ERP資料!D390=""),0,ERP資料!D390-ERP資料!C390+1)</f>
        <v/>
      </c>
    </row>
    <row r="391">
      <c r="A391" t="n">
        <v>391</v>
      </c>
      <c r="B391">
        <f>IF(ERP資料!A391="","",ERP資料!A391&amp;"|"&amp;ERP資料!E391&amp;"|"&amp;ERP資料!F391&amp;"|"&amp;ERP資料!G391&amp;"|"&amp;ERP資料!H391&amp;"|"&amp;ERP資料!O391)</f>
        <v/>
      </c>
      <c r="C391">
        <f>IF(B391="",0,IF(COUNTIF(B$2:B390,B391)=0,1,0))</f>
        <v/>
      </c>
      <c r="D391">
        <f>IF(B391="",0,SUMIFS($H$2:$H$801,$B$2:$B$801,B391))</f>
        <v/>
      </c>
      <c r="E391">
        <f>IF(NOT(AND(C391=1, TRIM(ERP資料!T391)="平板")), 0, IF(MAX(E$2:E390)=0, 1, IF(ERP資料!A391=INDEX(ERP資料!$A$2:$A390, MATCH(MAX(E$2:E390), E$2:E390, 0)), MAX(E$2:E390)+1, MAX(E$2:E390)+2)))</f>
        <v/>
      </c>
      <c r="F391">
        <f>IF(NOT(AND(C391=1, TRIM(ERP資料!T391)="平板")), 0, IF(MAX(F$2:F390)=0, 1, IF(ERP資料!A391=INDEX(ERP資料!$A$2:$A390, MATCH(MAX(F$2:F390), F$2:F390, 0)), MAX(F$2:F390)+1, MAX(F$2:F390)+2)))</f>
        <v/>
      </c>
      <c r="G391">
        <f>IF(NOT(AND(C391=1, TRIM(ERP資料!T391)="捲筒")), 0, IF(MAX(G$2:G390)=0, 1, IF(ERP資料!A391=INDEX(ERP資料!$A$2:$A390, MATCH(MAX(G$2:G390), G$2:G390, 0)), MAX(G$2:G390)+1, MAX(G$2:G390)+2)))</f>
        <v/>
      </c>
      <c r="H391">
        <f>IF(OR(ERP資料!C391="",ERP資料!D391=""),0,ERP資料!D391-ERP資料!C391+1)</f>
        <v/>
      </c>
    </row>
    <row r="392">
      <c r="A392" t="n">
        <v>392</v>
      </c>
      <c r="B392">
        <f>IF(ERP資料!A392="","",ERP資料!A392&amp;"|"&amp;ERP資料!E392&amp;"|"&amp;ERP資料!F392&amp;"|"&amp;ERP資料!G392&amp;"|"&amp;ERP資料!H392&amp;"|"&amp;ERP資料!O392)</f>
        <v/>
      </c>
      <c r="C392">
        <f>IF(B392="",0,IF(COUNTIF(B$2:B391,B392)=0,1,0))</f>
        <v/>
      </c>
      <c r="D392">
        <f>IF(B392="",0,SUMIFS($H$2:$H$801,$B$2:$B$801,B392))</f>
        <v/>
      </c>
      <c r="E392">
        <f>IF(NOT(AND(C392=1, TRIM(ERP資料!T392)="平板")), 0, IF(MAX(E$2:E391)=0, 1, IF(ERP資料!A392=INDEX(ERP資料!$A$2:$A391, MATCH(MAX(E$2:E391), E$2:E391, 0)), MAX(E$2:E391)+1, MAX(E$2:E391)+2)))</f>
        <v/>
      </c>
      <c r="F392">
        <f>IF(NOT(AND(C392=1, TRIM(ERP資料!T392)="平板")), 0, IF(MAX(F$2:F391)=0, 1, IF(ERP資料!A392=INDEX(ERP資料!$A$2:$A391, MATCH(MAX(F$2:F391), F$2:F391, 0)), MAX(F$2:F391)+1, MAX(F$2:F391)+2)))</f>
        <v/>
      </c>
      <c r="G392">
        <f>IF(NOT(AND(C392=1, TRIM(ERP資料!T392)="捲筒")), 0, IF(MAX(G$2:G391)=0, 1, IF(ERP資料!A392=INDEX(ERP資料!$A$2:$A391, MATCH(MAX(G$2:G391), G$2:G391, 0)), MAX(G$2:G391)+1, MAX(G$2:G391)+2)))</f>
        <v/>
      </c>
      <c r="H392">
        <f>IF(OR(ERP資料!C392="",ERP資料!D392=""),0,ERP資料!D392-ERP資料!C392+1)</f>
        <v/>
      </c>
    </row>
    <row r="393">
      <c r="A393" t="n">
        <v>393</v>
      </c>
      <c r="B393">
        <f>IF(ERP資料!A393="","",ERP資料!A393&amp;"|"&amp;ERP資料!E393&amp;"|"&amp;ERP資料!F393&amp;"|"&amp;ERP資料!G393&amp;"|"&amp;ERP資料!H393&amp;"|"&amp;ERP資料!O393)</f>
        <v/>
      </c>
      <c r="C393">
        <f>IF(B393="",0,IF(COUNTIF(B$2:B392,B393)=0,1,0))</f>
        <v/>
      </c>
      <c r="D393">
        <f>IF(B393="",0,SUMIFS($H$2:$H$801,$B$2:$B$801,B393))</f>
        <v/>
      </c>
      <c r="E393">
        <f>IF(NOT(AND(C393=1, TRIM(ERP資料!T393)="平板")), 0, IF(MAX(E$2:E392)=0, 1, IF(ERP資料!A393=INDEX(ERP資料!$A$2:$A392, MATCH(MAX(E$2:E392), E$2:E392, 0)), MAX(E$2:E392)+1, MAX(E$2:E392)+2)))</f>
        <v/>
      </c>
      <c r="F393">
        <f>IF(NOT(AND(C393=1, TRIM(ERP資料!T393)="平板")), 0, IF(MAX(F$2:F392)=0, 1, IF(ERP資料!A393=INDEX(ERP資料!$A$2:$A392, MATCH(MAX(F$2:F392), F$2:F392, 0)), MAX(F$2:F392)+1, MAX(F$2:F392)+2)))</f>
        <v/>
      </c>
      <c r="G393">
        <f>IF(NOT(AND(C393=1, TRIM(ERP資料!T393)="捲筒")), 0, IF(MAX(G$2:G392)=0, 1, IF(ERP資料!A393=INDEX(ERP資料!$A$2:$A392, MATCH(MAX(G$2:G392), G$2:G392, 0)), MAX(G$2:G392)+1, MAX(G$2:G392)+2)))</f>
        <v/>
      </c>
      <c r="H393">
        <f>IF(OR(ERP資料!C393="",ERP資料!D393=""),0,ERP資料!D393-ERP資料!C393+1)</f>
        <v/>
      </c>
    </row>
    <row r="394">
      <c r="A394" t="n">
        <v>394</v>
      </c>
      <c r="B394">
        <f>IF(ERP資料!A394="","",ERP資料!A394&amp;"|"&amp;ERP資料!E394&amp;"|"&amp;ERP資料!F394&amp;"|"&amp;ERP資料!G394&amp;"|"&amp;ERP資料!H394&amp;"|"&amp;ERP資料!O394)</f>
        <v/>
      </c>
      <c r="C394">
        <f>IF(B394="",0,IF(COUNTIF(B$2:B393,B394)=0,1,0))</f>
        <v/>
      </c>
      <c r="D394">
        <f>IF(B394="",0,SUMIFS($H$2:$H$801,$B$2:$B$801,B394))</f>
        <v/>
      </c>
      <c r="E394">
        <f>IF(NOT(AND(C394=1, TRIM(ERP資料!T394)="平板")), 0, IF(MAX(E$2:E393)=0, 1, IF(ERP資料!A394=INDEX(ERP資料!$A$2:$A393, MATCH(MAX(E$2:E393), E$2:E393, 0)), MAX(E$2:E393)+1, MAX(E$2:E393)+2)))</f>
        <v/>
      </c>
      <c r="F394">
        <f>IF(NOT(AND(C394=1, TRIM(ERP資料!T394)="平板")), 0, IF(MAX(F$2:F393)=0, 1, IF(ERP資料!A394=INDEX(ERP資料!$A$2:$A393, MATCH(MAX(F$2:F393), F$2:F393, 0)), MAX(F$2:F393)+1, MAX(F$2:F393)+2)))</f>
        <v/>
      </c>
      <c r="G394">
        <f>IF(NOT(AND(C394=1, TRIM(ERP資料!T394)="捲筒")), 0, IF(MAX(G$2:G393)=0, 1, IF(ERP資料!A394=INDEX(ERP資料!$A$2:$A393, MATCH(MAX(G$2:G393), G$2:G393, 0)), MAX(G$2:G393)+1, MAX(G$2:G393)+2)))</f>
        <v/>
      </c>
      <c r="H394">
        <f>IF(OR(ERP資料!C394="",ERP資料!D394=""),0,ERP資料!D394-ERP資料!C394+1)</f>
        <v/>
      </c>
    </row>
    <row r="395">
      <c r="A395" t="n">
        <v>395</v>
      </c>
      <c r="B395">
        <f>IF(ERP資料!A395="","",ERP資料!A395&amp;"|"&amp;ERP資料!E395&amp;"|"&amp;ERP資料!F395&amp;"|"&amp;ERP資料!G395&amp;"|"&amp;ERP資料!H395&amp;"|"&amp;ERP資料!O395)</f>
        <v/>
      </c>
      <c r="C395">
        <f>IF(B395="",0,IF(COUNTIF(B$2:B394,B395)=0,1,0))</f>
        <v/>
      </c>
      <c r="D395">
        <f>IF(B395="",0,SUMIFS($H$2:$H$801,$B$2:$B$801,B395))</f>
        <v/>
      </c>
      <c r="E395">
        <f>IF(NOT(AND(C395=1, TRIM(ERP資料!T395)="平板")), 0, IF(MAX(E$2:E394)=0, 1, IF(ERP資料!A395=INDEX(ERP資料!$A$2:$A394, MATCH(MAX(E$2:E394), E$2:E394, 0)), MAX(E$2:E394)+1, MAX(E$2:E394)+2)))</f>
        <v/>
      </c>
      <c r="F395">
        <f>IF(NOT(AND(C395=1, TRIM(ERP資料!T395)="平板")), 0, IF(MAX(F$2:F394)=0, 1, IF(ERP資料!A395=INDEX(ERP資料!$A$2:$A394, MATCH(MAX(F$2:F394), F$2:F394, 0)), MAX(F$2:F394)+1, MAX(F$2:F394)+2)))</f>
        <v/>
      </c>
      <c r="G395">
        <f>IF(NOT(AND(C395=1, TRIM(ERP資料!T395)="捲筒")), 0, IF(MAX(G$2:G394)=0, 1, IF(ERP資料!A395=INDEX(ERP資料!$A$2:$A394, MATCH(MAX(G$2:G394), G$2:G394, 0)), MAX(G$2:G394)+1, MAX(G$2:G394)+2)))</f>
        <v/>
      </c>
      <c r="H395">
        <f>IF(OR(ERP資料!C395="",ERP資料!D395=""),0,ERP資料!D395-ERP資料!C395+1)</f>
        <v/>
      </c>
    </row>
    <row r="396">
      <c r="A396" t="n">
        <v>396</v>
      </c>
      <c r="B396">
        <f>IF(ERP資料!A396="","",ERP資料!A396&amp;"|"&amp;ERP資料!E396&amp;"|"&amp;ERP資料!F396&amp;"|"&amp;ERP資料!G396&amp;"|"&amp;ERP資料!H396&amp;"|"&amp;ERP資料!O396)</f>
        <v/>
      </c>
      <c r="C396">
        <f>IF(B396="",0,IF(COUNTIF(B$2:B395,B396)=0,1,0))</f>
        <v/>
      </c>
      <c r="D396">
        <f>IF(B396="",0,SUMIFS($H$2:$H$801,$B$2:$B$801,B396))</f>
        <v/>
      </c>
      <c r="E396">
        <f>IF(NOT(AND(C396=1, TRIM(ERP資料!T396)="平板")), 0, IF(MAX(E$2:E395)=0, 1, IF(ERP資料!A396=INDEX(ERP資料!$A$2:$A395, MATCH(MAX(E$2:E395), E$2:E395, 0)), MAX(E$2:E395)+1, MAX(E$2:E395)+2)))</f>
        <v/>
      </c>
      <c r="F396">
        <f>IF(NOT(AND(C396=1, TRIM(ERP資料!T396)="平板")), 0, IF(MAX(F$2:F395)=0, 1, IF(ERP資料!A396=INDEX(ERP資料!$A$2:$A395, MATCH(MAX(F$2:F395), F$2:F395, 0)), MAX(F$2:F395)+1, MAX(F$2:F395)+2)))</f>
        <v/>
      </c>
      <c r="G396">
        <f>IF(NOT(AND(C396=1, TRIM(ERP資料!T396)="捲筒")), 0, IF(MAX(G$2:G395)=0, 1, IF(ERP資料!A396=INDEX(ERP資料!$A$2:$A395, MATCH(MAX(G$2:G395), G$2:G395, 0)), MAX(G$2:G395)+1, MAX(G$2:G395)+2)))</f>
        <v/>
      </c>
      <c r="H396">
        <f>IF(OR(ERP資料!C396="",ERP資料!D396=""),0,ERP資料!D396-ERP資料!C396+1)</f>
        <v/>
      </c>
    </row>
    <row r="397">
      <c r="A397" t="n">
        <v>397</v>
      </c>
      <c r="B397">
        <f>IF(ERP資料!A397="","",ERP資料!A397&amp;"|"&amp;ERP資料!E397&amp;"|"&amp;ERP資料!F397&amp;"|"&amp;ERP資料!G397&amp;"|"&amp;ERP資料!H397&amp;"|"&amp;ERP資料!O397)</f>
        <v/>
      </c>
      <c r="C397">
        <f>IF(B397="",0,IF(COUNTIF(B$2:B396,B397)=0,1,0))</f>
        <v/>
      </c>
      <c r="D397">
        <f>IF(B397="",0,SUMIFS($H$2:$H$801,$B$2:$B$801,B397))</f>
        <v/>
      </c>
      <c r="E397">
        <f>IF(NOT(AND(C397=1, TRIM(ERP資料!T397)="平板")), 0, IF(MAX(E$2:E396)=0, 1, IF(ERP資料!A397=INDEX(ERP資料!$A$2:$A396, MATCH(MAX(E$2:E396), E$2:E396, 0)), MAX(E$2:E396)+1, MAX(E$2:E396)+2)))</f>
        <v/>
      </c>
      <c r="F397">
        <f>IF(NOT(AND(C397=1, TRIM(ERP資料!T397)="平板")), 0, IF(MAX(F$2:F396)=0, 1, IF(ERP資料!A397=INDEX(ERP資料!$A$2:$A396, MATCH(MAX(F$2:F396), F$2:F396, 0)), MAX(F$2:F396)+1, MAX(F$2:F396)+2)))</f>
        <v/>
      </c>
      <c r="G397">
        <f>IF(NOT(AND(C397=1, TRIM(ERP資料!T397)="捲筒")), 0, IF(MAX(G$2:G396)=0, 1, IF(ERP資料!A397=INDEX(ERP資料!$A$2:$A396, MATCH(MAX(G$2:G396), G$2:G396, 0)), MAX(G$2:G396)+1, MAX(G$2:G396)+2)))</f>
        <v/>
      </c>
      <c r="H397">
        <f>IF(OR(ERP資料!C397="",ERP資料!D397=""),0,ERP資料!D397-ERP資料!C397+1)</f>
        <v/>
      </c>
    </row>
    <row r="398">
      <c r="A398" t="n">
        <v>398</v>
      </c>
      <c r="B398">
        <f>IF(ERP資料!A398="","",ERP資料!A398&amp;"|"&amp;ERP資料!E398&amp;"|"&amp;ERP資料!F398&amp;"|"&amp;ERP資料!G398&amp;"|"&amp;ERP資料!H398&amp;"|"&amp;ERP資料!O398)</f>
        <v/>
      </c>
      <c r="C398">
        <f>IF(B398="",0,IF(COUNTIF(B$2:B397,B398)=0,1,0))</f>
        <v/>
      </c>
      <c r="D398">
        <f>IF(B398="",0,SUMIFS($H$2:$H$801,$B$2:$B$801,B398))</f>
        <v/>
      </c>
      <c r="E398">
        <f>IF(NOT(AND(C398=1, TRIM(ERP資料!T398)="平板")), 0, IF(MAX(E$2:E397)=0, 1, IF(ERP資料!A398=INDEX(ERP資料!$A$2:$A397, MATCH(MAX(E$2:E397), E$2:E397, 0)), MAX(E$2:E397)+1, MAX(E$2:E397)+2)))</f>
        <v/>
      </c>
      <c r="F398">
        <f>IF(NOT(AND(C398=1, TRIM(ERP資料!T398)="平板")), 0, IF(MAX(F$2:F397)=0, 1, IF(ERP資料!A398=INDEX(ERP資料!$A$2:$A397, MATCH(MAX(F$2:F397), F$2:F397, 0)), MAX(F$2:F397)+1, MAX(F$2:F397)+2)))</f>
        <v/>
      </c>
      <c r="G398">
        <f>IF(NOT(AND(C398=1, TRIM(ERP資料!T398)="捲筒")), 0, IF(MAX(G$2:G397)=0, 1, IF(ERP資料!A398=INDEX(ERP資料!$A$2:$A397, MATCH(MAX(G$2:G397), G$2:G397, 0)), MAX(G$2:G397)+1, MAX(G$2:G397)+2)))</f>
        <v/>
      </c>
      <c r="H398">
        <f>IF(OR(ERP資料!C398="",ERP資料!D398=""),0,ERP資料!D398-ERP資料!C398+1)</f>
        <v/>
      </c>
    </row>
    <row r="399">
      <c r="A399" t="n">
        <v>399</v>
      </c>
      <c r="B399">
        <f>IF(ERP資料!A399="","",ERP資料!A399&amp;"|"&amp;ERP資料!E399&amp;"|"&amp;ERP資料!F399&amp;"|"&amp;ERP資料!G399&amp;"|"&amp;ERP資料!H399&amp;"|"&amp;ERP資料!O399)</f>
        <v/>
      </c>
      <c r="C399">
        <f>IF(B399="",0,IF(COUNTIF(B$2:B398,B399)=0,1,0))</f>
        <v/>
      </c>
      <c r="D399">
        <f>IF(B399="",0,SUMIFS($H$2:$H$801,$B$2:$B$801,B399))</f>
        <v/>
      </c>
      <c r="E399">
        <f>IF(NOT(AND(C399=1, TRIM(ERP資料!T399)="平板")), 0, IF(MAX(E$2:E398)=0, 1, IF(ERP資料!A399=INDEX(ERP資料!$A$2:$A398, MATCH(MAX(E$2:E398), E$2:E398, 0)), MAX(E$2:E398)+1, MAX(E$2:E398)+2)))</f>
        <v/>
      </c>
      <c r="F399">
        <f>IF(NOT(AND(C399=1, TRIM(ERP資料!T399)="平板")), 0, IF(MAX(F$2:F398)=0, 1, IF(ERP資料!A399=INDEX(ERP資料!$A$2:$A398, MATCH(MAX(F$2:F398), F$2:F398, 0)), MAX(F$2:F398)+1, MAX(F$2:F398)+2)))</f>
        <v/>
      </c>
      <c r="G399">
        <f>IF(NOT(AND(C399=1, TRIM(ERP資料!T399)="捲筒")), 0, IF(MAX(G$2:G398)=0, 1, IF(ERP資料!A399=INDEX(ERP資料!$A$2:$A398, MATCH(MAX(G$2:G398), G$2:G398, 0)), MAX(G$2:G398)+1, MAX(G$2:G398)+2)))</f>
        <v/>
      </c>
      <c r="H399">
        <f>IF(OR(ERP資料!C399="",ERP資料!D399=""),0,ERP資料!D399-ERP資料!C399+1)</f>
        <v/>
      </c>
    </row>
    <row r="400">
      <c r="A400" t="n">
        <v>400</v>
      </c>
      <c r="B400">
        <f>IF(ERP資料!A400="","",ERP資料!A400&amp;"|"&amp;ERP資料!E400&amp;"|"&amp;ERP資料!F400&amp;"|"&amp;ERP資料!G400&amp;"|"&amp;ERP資料!H400&amp;"|"&amp;ERP資料!O400)</f>
        <v/>
      </c>
      <c r="C400">
        <f>IF(B400="",0,IF(COUNTIF(B$2:B399,B400)=0,1,0))</f>
        <v/>
      </c>
      <c r="D400">
        <f>IF(B400="",0,SUMIFS($H$2:$H$801,$B$2:$B$801,B400))</f>
        <v/>
      </c>
      <c r="E400">
        <f>IF(NOT(AND(C400=1, TRIM(ERP資料!T400)="平板")), 0, IF(MAX(E$2:E399)=0, 1, IF(ERP資料!A400=INDEX(ERP資料!$A$2:$A399, MATCH(MAX(E$2:E399), E$2:E399, 0)), MAX(E$2:E399)+1, MAX(E$2:E399)+2)))</f>
        <v/>
      </c>
      <c r="F400">
        <f>IF(NOT(AND(C400=1, TRIM(ERP資料!T400)="平板")), 0, IF(MAX(F$2:F399)=0, 1, IF(ERP資料!A400=INDEX(ERP資料!$A$2:$A399, MATCH(MAX(F$2:F399), F$2:F399, 0)), MAX(F$2:F399)+1, MAX(F$2:F399)+2)))</f>
        <v/>
      </c>
      <c r="G400">
        <f>IF(NOT(AND(C400=1, TRIM(ERP資料!T400)="捲筒")), 0, IF(MAX(G$2:G399)=0, 1, IF(ERP資料!A400=INDEX(ERP資料!$A$2:$A399, MATCH(MAX(G$2:G399), G$2:G399, 0)), MAX(G$2:G399)+1, MAX(G$2:G399)+2)))</f>
        <v/>
      </c>
      <c r="H400">
        <f>IF(OR(ERP資料!C400="",ERP資料!D400=""),0,ERP資料!D400-ERP資料!C400+1)</f>
        <v/>
      </c>
    </row>
    <row r="401">
      <c r="A401" t="n">
        <v>401</v>
      </c>
      <c r="B401">
        <f>IF(ERP資料!A401="","",ERP資料!A401&amp;"|"&amp;ERP資料!E401&amp;"|"&amp;ERP資料!F401&amp;"|"&amp;ERP資料!G401&amp;"|"&amp;ERP資料!H401&amp;"|"&amp;ERP資料!O401)</f>
        <v/>
      </c>
      <c r="C401">
        <f>IF(B401="",0,IF(COUNTIF(B$2:B400,B401)=0,1,0))</f>
        <v/>
      </c>
      <c r="D401">
        <f>IF(B401="",0,SUMIFS($H$2:$H$801,$B$2:$B$801,B401))</f>
        <v/>
      </c>
      <c r="E401">
        <f>IF(NOT(AND(C401=1, TRIM(ERP資料!T401)="平板")), 0, IF(MAX(E$2:E400)=0, 1, IF(ERP資料!A401=INDEX(ERP資料!$A$2:$A400, MATCH(MAX(E$2:E400), E$2:E400, 0)), MAX(E$2:E400)+1, MAX(E$2:E400)+2)))</f>
        <v/>
      </c>
      <c r="F401">
        <f>IF(NOT(AND(C401=1, TRIM(ERP資料!T401)="平板")), 0, IF(MAX(F$2:F400)=0, 1, IF(ERP資料!A401=INDEX(ERP資料!$A$2:$A400, MATCH(MAX(F$2:F400), F$2:F400, 0)), MAX(F$2:F400)+1, MAX(F$2:F400)+2)))</f>
        <v/>
      </c>
      <c r="G401">
        <f>IF(NOT(AND(C401=1, TRIM(ERP資料!T401)="捲筒")), 0, IF(MAX(G$2:G400)=0, 1, IF(ERP資料!A401=INDEX(ERP資料!$A$2:$A400, MATCH(MAX(G$2:G400), G$2:G400, 0)), MAX(G$2:G400)+1, MAX(G$2:G400)+2)))</f>
        <v/>
      </c>
      <c r="H401">
        <f>IF(OR(ERP資料!C401="",ERP資料!D401=""),0,ERP資料!D401-ERP資料!C401+1)</f>
        <v/>
      </c>
    </row>
    <row r="402">
      <c r="A402" t="n">
        <v>402</v>
      </c>
      <c r="B402">
        <f>IF(ERP資料!A402="","",ERP資料!A402&amp;"|"&amp;ERP資料!E402&amp;"|"&amp;ERP資料!F402&amp;"|"&amp;ERP資料!G402&amp;"|"&amp;ERP資料!H402&amp;"|"&amp;ERP資料!O402)</f>
        <v/>
      </c>
      <c r="C402">
        <f>IF(B402="",0,IF(COUNTIF(B$2:B401,B402)=0,1,0))</f>
        <v/>
      </c>
      <c r="D402">
        <f>IF(B402="",0,SUMIFS($H$2:$H$801,$B$2:$B$801,B402))</f>
        <v/>
      </c>
      <c r="E402">
        <f>IF(NOT(AND(C402=1, TRIM(ERP資料!T402)="平板")), 0, IF(MAX(E$2:E401)=0, 1, IF(ERP資料!A402=INDEX(ERP資料!$A$2:$A401, MATCH(MAX(E$2:E401), E$2:E401, 0)), MAX(E$2:E401)+1, MAX(E$2:E401)+2)))</f>
        <v/>
      </c>
      <c r="F402">
        <f>IF(NOT(AND(C402=1, TRIM(ERP資料!T402)="平板")), 0, IF(MAX(F$2:F401)=0, 1, IF(ERP資料!A402=INDEX(ERP資料!$A$2:$A401, MATCH(MAX(F$2:F401), F$2:F401, 0)), MAX(F$2:F401)+1, MAX(F$2:F401)+2)))</f>
        <v/>
      </c>
      <c r="G402">
        <f>IF(NOT(AND(C402=1, TRIM(ERP資料!T402)="捲筒")), 0, IF(MAX(G$2:G401)=0, 1, IF(ERP資料!A402=INDEX(ERP資料!$A$2:$A401, MATCH(MAX(G$2:G401), G$2:G401, 0)), MAX(G$2:G401)+1, MAX(G$2:G401)+2)))</f>
        <v/>
      </c>
      <c r="H402">
        <f>IF(OR(ERP資料!C402="",ERP資料!D402=""),0,ERP資料!D402-ERP資料!C402+1)</f>
        <v/>
      </c>
    </row>
    <row r="403">
      <c r="A403" t="n">
        <v>403</v>
      </c>
      <c r="B403">
        <f>IF(ERP資料!A403="","",ERP資料!A403&amp;"|"&amp;ERP資料!E403&amp;"|"&amp;ERP資料!F403&amp;"|"&amp;ERP資料!G403&amp;"|"&amp;ERP資料!H403&amp;"|"&amp;ERP資料!O403)</f>
        <v/>
      </c>
      <c r="C403">
        <f>IF(B403="",0,IF(COUNTIF(B$2:B402,B403)=0,1,0))</f>
        <v/>
      </c>
      <c r="D403">
        <f>IF(B403="",0,SUMIFS($H$2:$H$801,$B$2:$B$801,B403))</f>
        <v/>
      </c>
      <c r="E403">
        <f>IF(NOT(AND(C403=1, TRIM(ERP資料!T403)="平板")), 0, IF(MAX(E$2:E402)=0, 1, IF(ERP資料!A403=INDEX(ERP資料!$A$2:$A402, MATCH(MAX(E$2:E402), E$2:E402, 0)), MAX(E$2:E402)+1, MAX(E$2:E402)+2)))</f>
        <v/>
      </c>
      <c r="F403">
        <f>IF(NOT(AND(C403=1, TRIM(ERP資料!T403)="平板")), 0, IF(MAX(F$2:F402)=0, 1, IF(ERP資料!A403=INDEX(ERP資料!$A$2:$A402, MATCH(MAX(F$2:F402), F$2:F402, 0)), MAX(F$2:F402)+1, MAX(F$2:F402)+2)))</f>
        <v/>
      </c>
      <c r="G403">
        <f>IF(NOT(AND(C403=1, TRIM(ERP資料!T403)="捲筒")), 0, IF(MAX(G$2:G402)=0, 1, IF(ERP資料!A403=INDEX(ERP資料!$A$2:$A402, MATCH(MAX(G$2:G402), G$2:G402, 0)), MAX(G$2:G402)+1, MAX(G$2:G402)+2)))</f>
        <v/>
      </c>
      <c r="H403">
        <f>IF(OR(ERP資料!C403="",ERP資料!D403=""),0,ERP資料!D403-ERP資料!C403+1)</f>
        <v/>
      </c>
    </row>
    <row r="404">
      <c r="A404" t="n">
        <v>404</v>
      </c>
      <c r="B404">
        <f>IF(ERP資料!A404="","",ERP資料!A404&amp;"|"&amp;ERP資料!E404&amp;"|"&amp;ERP資料!F404&amp;"|"&amp;ERP資料!G404&amp;"|"&amp;ERP資料!H404&amp;"|"&amp;ERP資料!O404)</f>
        <v/>
      </c>
      <c r="C404">
        <f>IF(B404="",0,IF(COUNTIF(B$2:B403,B404)=0,1,0))</f>
        <v/>
      </c>
      <c r="D404">
        <f>IF(B404="",0,SUMIFS($H$2:$H$801,$B$2:$B$801,B404))</f>
        <v/>
      </c>
      <c r="E404">
        <f>IF(NOT(AND(C404=1, TRIM(ERP資料!T404)="平板")), 0, IF(MAX(E$2:E403)=0, 1, IF(ERP資料!A404=INDEX(ERP資料!$A$2:$A403, MATCH(MAX(E$2:E403), E$2:E403, 0)), MAX(E$2:E403)+1, MAX(E$2:E403)+2)))</f>
        <v/>
      </c>
      <c r="F404">
        <f>IF(NOT(AND(C404=1, TRIM(ERP資料!T404)="平板")), 0, IF(MAX(F$2:F403)=0, 1, IF(ERP資料!A404=INDEX(ERP資料!$A$2:$A403, MATCH(MAX(F$2:F403), F$2:F403, 0)), MAX(F$2:F403)+1, MAX(F$2:F403)+2)))</f>
        <v/>
      </c>
      <c r="G404">
        <f>IF(NOT(AND(C404=1, TRIM(ERP資料!T404)="捲筒")), 0, IF(MAX(G$2:G403)=0, 1, IF(ERP資料!A404=INDEX(ERP資料!$A$2:$A403, MATCH(MAX(G$2:G403), G$2:G403, 0)), MAX(G$2:G403)+1, MAX(G$2:G403)+2)))</f>
        <v/>
      </c>
      <c r="H404">
        <f>IF(OR(ERP資料!C404="",ERP資料!D404=""),0,ERP資料!D404-ERP資料!C404+1)</f>
        <v/>
      </c>
    </row>
    <row r="405">
      <c r="A405" t="n">
        <v>405</v>
      </c>
      <c r="B405">
        <f>IF(ERP資料!A405="","",ERP資料!A405&amp;"|"&amp;ERP資料!E405&amp;"|"&amp;ERP資料!F405&amp;"|"&amp;ERP資料!G405&amp;"|"&amp;ERP資料!H405&amp;"|"&amp;ERP資料!O405)</f>
        <v/>
      </c>
      <c r="C405">
        <f>IF(B405="",0,IF(COUNTIF(B$2:B404,B405)=0,1,0))</f>
        <v/>
      </c>
      <c r="D405">
        <f>IF(B405="",0,SUMIFS($H$2:$H$801,$B$2:$B$801,B405))</f>
        <v/>
      </c>
      <c r="E405">
        <f>IF(NOT(AND(C405=1, TRIM(ERP資料!T405)="平板")), 0, IF(MAX(E$2:E404)=0, 1, IF(ERP資料!A405=INDEX(ERP資料!$A$2:$A404, MATCH(MAX(E$2:E404), E$2:E404, 0)), MAX(E$2:E404)+1, MAX(E$2:E404)+2)))</f>
        <v/>
      </c>
      <c r="F405">
        <f>IF(NOT(AND(C405=1, TRIM(ERP資料!T405)="平板")), 0, IF(MAX(F$2:F404)=0, 1, IF(ERP資料!A405=INDEX(ERP資料!$A$2:$A404, MATCH(MAX(F$2:F404), F$2:F404, 0)), MAX(F$2:F404)+1, MAX(F$2:F404)+2)))</f>
        <v/>
      </c>
      <c r="G405">
        <f>IF(NOT(AND(C405=1, TRIM(ERP資料!T405)="捲筒")), 0, IF(MAX(G$2:G404)=0, 1, IF(ERP資料!A405=INDEX(ERP資料!$A$2:$A404, MATCH(MAX(G$2:G404), G$2:G404, 0)), MAX(G$2:G404)+1, MAX(G$2:G404)+2)))</f>
        <v/>
      </c>
      <c r="H405">
        <f>IF(OR(ERP資料!C405="",ERP資料!D405=""),0,ERP資料!D405-ERP資料!C405+1)</f>
        <v/>
      </c>
    </row>
    <row r="406">
      <c r="A406" t="n">
        <v>406</v>
      </c>
      <c r="B406">
        <f>IF(ERP資料!A406="","",ERP資料!A406&amp;"|"&amp;ERP資料!E406&amp;"|"&amp;ERP資料!F406&amp;"|"&amp;ERP資料!G406&amp;"|"&amp;ERP資料!H406&amp;"|"&amp;ERP資料!O406)</f>
        <v/>
      </c>
      <c r="C406">
        <f>IF(B406="",0,IF(COUNTIF(B$2:B405,B406)=0,1,0))</f>
        <v/>
      </c>
      <c r="D406">
        <f>IF(B406="",0,SUMIFS($H$2:$H$801,$B$2:$B$801,B406))</f>
        <v/>
      </c>
      <c r="E406">
        <f>IF(NOT(AND(C406=1, TRIM(ERP資料!T406)="平板")), 0, IF(MAX(E$2:E405)=0, 1, IF(ERP資料!A406=INDEX(ERP資料!$A$2:$A405, MATCH(MAX(E$2:E405), E$2:E405, 0)), MAX(E$2:E405)+1, MAX(E$2:E405)+2)))</f>
        <v/>
      </c>
      <c r="F406">
        <f>IF(NOT(AND(C406=1, TRIM(ERP資料!T406)="平板")), 0, IF(MAX(F$2:F405)=0, 1, IF(ERP資料!A406=INDEX(ERP資料!$A$2:$A405, MATCH(MAX(F$2:F405), F$2:F405, 0)), MAX(F$2:F405)+1, MAX(F$2:F405)+2)))</f>
        <v/>
      </c>
      <c r="G406">
        <f>IF(NOT(AND(C406=1, TRIM(ERP資料!T406)="捲筒")), 0, IF(MAX(G$2:G405)=0, 1, IF(ERP資料!A406=INDEX(ERP資料!$A$2:$A405, MATCH(MAX(G$2:G405), G$2:G405, 0)), MAX(G$2:G405)+1, MAX(G$2:G405)+2)))</f>
        <v/>
      </c>
      <c r="H406">
        <f>IF(OR(ERP資料!C406="",ERP資料!D406=""),0,ERP資料!D406-ERP資料!C406+1)</f>
        <v/>
      </c>
    </row>
    <row r="407">
      <c r="A407" t="n">
        <v>407</v>
      </c>
      <c r="B407">
        <f>IF(ERP資料!A407="","",ERP資料!A407&amp;"|"&amp;ERP資料!E407&amp;"|"&amp;ERP資料!F407&amp;"|"&amp;ERP資料!G407&amp;"|"&amp;ERP資料!H407&amp;"|"&amp;ERP資料!O407)</f>
        <v/>
      </c>
      <c r="C407">
        <f>IF(B407="",0,IF(COUNTIF(B$2:B406,B407)=0,1,0))</f>
        <v/>
      </c>
      <c r="D407">
        <f>IF(B407="",0,SUMIFS($H$2:$H$801,$B$2:$B$801,B407))</f>
        <v/>
      </c>
      <c r="E407">
        <f>IF(NOT(AND(C407=1, TRIM(ERP資料!T407)="平板")), 0, IF(MAX(E$2:E406)=0, 1, IF(ERP資料!A407=INDEX(ERP資料!$A$2:$A406, MATCH(MAX(E$2:E406), E$2:E406, 0)), MAX(E$2:E406)+1, MAX(E$2:E406)+2)))</f>
        <v/>
      </c>
      <c r="F407">
        <f>IF(NOT(AND(C407=1, TRIM(ERP資料!T407)="平板")), 0, IF(MAX(F$2:F406)=0, 1, IF(ERP資料!A407=INDEX(ERP資料!$A$2:$A406, MATCH(MAX(F$2:F406), F$2:F406, 0)), MAX(F$2:F406)+1, MAX(F$2:F406)+2)))</f>
        <v/>
      </c>
      <c r="G407">
        <f>IF(NOT(AND(C407=1, TRIM(ERP資料!T407)="捲筒")), 0, IF(MAX(G$2:G406)=0, 1, IF(ERP資料!A407=INDEX(ERP資料!$A$2:$A406, MATCH(MAX(G$2:G406), G$2:G406, 0)), MAX(G$2:G406)+1, MAX(G$2:G406)+2)))</f>
        <v/>
      </c>
      <c r="H407">
        <f>IF(OR(ERP資料!C407="",ERP資料!D407=""),0,ERP資料!D407-ERP資料!C407+1)</f>
        <v/>
      </c>
    </row>
    <row r="408">
      <c r="A408" t="n">
        <v>408</v>
      </c>
      <c r="B408">
        <f>IF(ERP資料!A408="","",ERP資料!A408&amp;"|"&amp;ERP資料!E408&amp;"|"&amp;ERP資料!F408&amp;"|"&amp;ERP資料!G408&amp;"|"&amp;ERP資料!H408&amp;"|"&amp;ERP資料!O408)</f>
        <v/>
      </c>
      <c r="C408">
        <f>IF(B408="",0,IF(COUNTIF(B$2:B407,B408)=0,1,0))</f>
        <v/>
      </c>
      <c r="D408">
        <f>IF(B408="",0,SUMIFS($H$2:$H$801,$B$2:$B$801,B408))</f>
        <v/>
      </c>
      <c r="E408">
        <f>IF(NOT(AND(C408=1, TRIM(ERP資料!T408)="平板")), 0, IF(MAX(E$2:E407)=0, 1, IF(ERP資料!A408=INDEX(ERP資料!$A$2:$A407, MATCH(MAX(E$2:E407), E$2:E407, 0)), MAX(E$2:E407)+1, MAX(E$2:E407)+2)))</f>
        <v/>
      </c>
      <c r="F408">
        <f>IF(NOT(AND(C408=1, TRIM(ERP資料!T408)="平板")), 0, IF(MAX(F$2:F407)=0, 1, IF(ERP資料!A408=INDEX(ERP資料!$A$2:$A407, MATCH(MAX(F$2:F407), F$2:F407, 0)), MAX(F$2:F407)+1, MAX(F$2:F407)+2)))</f>
        <v/>
      </c>
      <c r="G408">
        <f>IF(NOT(AND(C408=1, TRIM(ERP資料!T408)="捲筒")), 0, IF(MAX(G$2:G407)=0, 1, IF(ERP資料!A408=INDEX(ERP資料!$A$2:$A407, MATCH(MAX(G$2:G407), G$2:G407, 0)), MAX(G$2:G407)+1, MAX(G$2:G407)+2)))</f>
        <v/>
      </c>
      <c r="H408">
        <f>IF(OR(ERP資料!C408="",ERP資料!D408=""),0,ERP資料!D408-ERP資料!C408+1)</f>
        <v/>
      </c>
    </row>
    <row r="409">
      <c r="A409" t="n">
        <v>409</v>
      </c>
      <c r="B409">
        <f>IF(ERP資料!A409="","",ERP資料!A409&amp;"|"&amp;ERP資料!E409&amp;"|"&amp;ERP資料!F409&amp;"|"&amp;ERP資料!G409&amp;"|"&amp;ERP資料!H409&amp;"|"&amp;ERP資料!O409)</f>
        <v/>
      </c>
      <c r="C409">
        <f>IF(B409="",0,IF(COUNTIF(B$2:B408,B409)=0,1,0))</f>
        <v/>
      </c>
      <c r="D409">
        <f>IF(B409="",0,SUMIFS($H$2:$H$801,$B$2:$B$801,B409))</f>
        <v/>
      </c>
      <c r="E409">
        <f>IF(NOT(AND(C409=1, TRIM(ERP資料!T409)="平板")), 0, IF(MAX(E$2:E408)=0, 1, IF(ERP資料!A409=INDEX(ERP資料!$A$2:$A408, MATCH(MAX(E$2:E408), E$2:E408, 0)), MAX(E$2:E408)+1, MAX(E$2:E408)+2)))</f>
        <v/>
      </c>
      <c r="F409">
        <f>IF(NOT(AND(C409=1, TRIM(ERP資料!T409)="平板")), 0, IF(MAX(F$2:F408)=0, 1, IF(ERP資料!A409=INDEX(ERP資料!$A$2:$A408, MATCH(MAX(F$2:F408), F$2:F408, 0)), MAX(F$2:F408)+1, MAX(F$2:F408)+2)))</f>
        <v/>
      </c>
      <c r="G409">
        <f>IF(NOT(AND(C409=1, TRIM(ERP資料!T409)="捲筒")), 0, IF(MAX(G$2:G408)=0, 1, IF(ERP資料!A409=INDEX(ERP資料!$A$2:$A408, MATCH(MAX(G$2:G408), G$2:G408, 0)), MAX(G$2:G408)+1, MAX(G$2:G408)+2)))</f>
        <v/>
      </c>
      <c r="H409">
        <f>IF(OR(ERP資料!C409="",ERP資料!D409=""),0,ERP資料!D409-ERP資料!C409+1)</f>
        <v/>
      </c>
    </row>
    <row r="410">
      <c r="A410" t="n">
        <v>410</v>
      </c>
      <c r="B410">
        <f>IF(ERP資料!A410="","",ERP資料!A410&amp;"|"&amp;ERP資料!E410&amp;"|"&amp;ERP資料!F410&amp;"|"&amp;ERP資料!G410&amp;"|"&amp;ERP資料!H410&amp;"|"&amp;ERP資料!O410)</f>
        <v/>
      </c>
      <c r="C410">
        <f>IF(B410="",0,IF(COUNTIF(B$2:B409,B410)=0,1,0))</f>
        <v/>
      </c>
      <c r="D410">
        <f>IF(B410="",0,SUMIFS($H$2:$H$801,$B$2:$B$801,B410))</f>
        <v/>
      </c>
      <c r="E410">
        <f>IF(NOT(AND(C410=1, TRIM(ERP資料!T410)="平板")), 0, IF(MAX(E$2:E409)=0, 1, IF(ERP資料!A410=INDEX(ERP資料!$A$2:$A409, MATCH(MAX(E$2:E409), E$2:E409, 0)), MAX(E$2:E409)+1, MAX(E$2:E409)+2)))</f>
        <v/>
      </c>
      <c r="F410">
        <f>IF(NOT(AND(C410=1, TRIM(ERP資料!T410)="平板")), 0, IF(MAX(F$2:F409)=0, 1, IF(ERP資料!A410=INDEX(ERP資料!$A$2:$A409, MATCH(MAX(F$2:F409), F$2:F409, 0)), MAX(F$2:F409)+1, MAX(F$2:F409)+2)))</f>
        <v/>
      </c>
      <c r="G410">
        <f>IF(NOT(AND(C410=1, TRIM(ERP資料!T410)="捲筒")), 0, IF(MAX(G$2:G409)=0, 1, IF(ERP資料!A410=INDEX(ERP資料!$A$2:$A409, MATCH(MAX(G$2:G409), G$2:G409, 0)), MAX(G$2:G409)+1, MAX(G$2:G409)+2)))</f>
        <v/>
      </c>
      <c r="H410">
        <f>IF(OR(ERP資料!C410="",ERP資料!D410=""),0,ERP資料!D410-ERP資料!C410+1)</f>
        <v/>
      </c>
    </row>
    <row r="411">
      <c r="A411" t="n">
        <v>411</v>
      </c>
      <c r="B411">
        <f>IF(ERP資料!A411="","",ERP資料!A411&amp;"|"&amp;ERP資料!E411&amp;"|"&amp;ERP資料!F411&amp;"|"&amp;ERP資料!G411&amp;"|"&amp;ERP資料!H411&amp;"|"&amp;ERP資料!O411)</f>
        <v/>
      </c>
      <c r="C411">
        <f>IF(B411="",0,IF(COUNTIF(B$2:B410,B411)=0,1,0))</f>
        <v/>
      </c>
      <c r="D411">
        <f>IF(B411="",0,SUMIFS($H$2:$H$801,$B$2:$B$801,B411))</f>
        <v/>
      </c>
      <c r="E411">
        <f>IF(NOT(AND(C411=1, TRIM(ERP資料!T411)="平板")), 0, IF(MAX(E$2:E410)=0, 1, IF(ERP資料!A411=INDEX(ERP資料!$A$2:$A410, MATCH(MAX(E$2:E410), E$2:E410, 0)), MAX(E$2:E410)+1, MAX(E$2:E410)+2)))</f>
        <v/>
      </c>
      <c r="F411">
        <f>IF(NOT(AND(C411=1, TRIM(ERP資料!T411)="平板")), 0, IF(MAX(F$2:F410)=0, 1, IF(ERP資料!A411=INDEX(ERP資料!$A$2:$A410, MATCH(MAX(F$2:F410), F$2:F410, 0)), MAX(F$2:F410)+1, MAX(F$2:F410)+2)))</f>
        <v/>
      </c>
      <c r="G411">
        <f>IF(NOT(AND(C411=1, TRIM(ERP資料!T411)="捲筒")), 0, IF(MAX(G$2:G410)=0, 1, IF(ERP資料!A411=INDEX(ERP資料!$A$2:$A410, MATCH(MAX(G$2:G410), G$2:G410, 0)), MAX(G$2:G410)+1, MAX(G$2:G410)+2)))</f>
        <v/>
      </c>
      <c r="H411">
        <f>IF(OR(ERP資料!C411="",ERP資料!D411=""),0,ERP資料!D411-ERP資料!C411+1)</f>
        <v/>
      </c>
    </row>
    <row r="412">
      <c r="A412" t="n">
        <v>412</v>
      </c>
      <c r="B412">
        <f>IF(ERP資料!A412="","",ERP資料!A412&amp;"|"&amp;ERP資料!E412&amp;"|"&amp;ERP資料!F412&amp;"|"&amp;ERP資料!G412&amp;"|"&amp;ERP資料!H412&amp;"|"&amp;ERP資料!O412)</f>
        <v/>
      </c>
      <c r="C412">
        <f>IF(B412="",0,IF(COUNTIF(B$2:B411,B412)=0,1,0))</f>
        <v/>
      </c>
      <c r="D412">
        <f>IF(B412="",0,SUMIFS($H$2:$H$801,$B$2:$B$801,B412))</f>
        <v/>
      </c>
      <c r="E412">
        <f>IF(NOT(AND(C412=1, TRIM(ERP資料!T412)="平板")), 0, IF(MAX(E$2:E411)=0, 1, IF(ERP資料!A412=INDEX(ERP資料!$A$2:$A411, MATCH(MAX(E$2:E411), E$2:E411, 0)), MAX(E$2:E411)+1, MAX(E$2:E411)+2)))</f>
        <v/>
      </c>
      <c r="F412">
        <f>IF(NOT(AND(C412=1, TRIM(ERP資料!T412)="平板")), 0, IF(MAX(F$2:F411)=0, 1, IF(ERP資料!A412=INDEX(ERP資料!$A$2:$A411, MATCH(MAX(F$2:F411), F$2:F411, 0)), MAX(F$2:F411)+1, MAX(F$2:F411)+2)))</f>
        <v/>
      </c>
      <c r="G412">
        <f>IF(NOT(AND(C412=1, TRIM(ERP資料!T412)="捲筒")), 0, IF(MAX(G$2:G411)=0, 1, IF(ERP資料!A412=INDEX(ERP資料!$A$2:$A411, MATCH(MAX(G$2:G411), G$2:G411, 0)), MAX(G$2:G411)+1, MAX(G$2:G411)+2)))</f>
        <v/>
      </c>
      <c r="H412">
        <f>IF(OR(ERP資料!C412="",ERP資料!D412=""),0,ERP資料!D412-ERP資料!C412+1)</f>
        <v/>
      </c>
    </row>
    <row r="413">
      <c r="A413" t="n">
        <v>413</v>
      </c>
      <c r="B413">
        <f>IF(ERP資料!A413="","",ERP資料!A413&amp;"|"&amp;ERP資料!E413&amp;"|"&amp;ERP資料!F413&amp;"|"&amp;ERP資料!G413&amp;"|"&amp;ERP資料!H413&amp;"|"&amp;ERP資料!O413)</f>
        <v/>
      </c>
      <c r="C413">
        <f>IF(B413="",0,IF(COUNTIF(B$2:B412,B413)=0,1,0))</f>
        <v/>
      </c>
      <c r="D413">
        <f>IF(B413="",0,SUMIFS($H$2:$H$801,$B$2:$B$801,B413))</f>
        <v/>
      </c>
      <c r="E413">
        <f>IF(NOT(AND(C413=1, TRIM(ERP資料!T413)="平板")), 0, IF(MAX(E$2:E412)=0, 1, IF(ERP資料!A413=INDEX(ERP資料!$A$2:$A412, MATCH(MAX(E$2:E412), E$2:E412, 0)), MAX(E$2:E412)+1, MAX(E$2:E412)+2)))</f>
        <v/>
      </c>
      <c r="F413">
        <f>IF(NOT(AND(C413=1, TRIM(ERP資料!T413)="平板")), 0, IF(MAX(F$2:F412)=0, 1, IF(ERP資料!A413=INDEX(ERP資料!$A$2:$A412, MATCH(MAX(F$2:F412), F$2:F412, 0)), MAX(F$2:F412)+1, MAX(F$2:F412)+2)))</f>
        <v/>
      </c>
      <c r="G413">
        <f>IF(NOT(AND(C413=1, TRIM(ERP資料!T413)="捲筒")), 0, IF(MAX(G$2:G412)=0, 1, IF(ERP資料!A413=INDEX(ERP資料!$A$2:$A412, MATCH(MAX(G$2:G412), G$2:G412, 0)), MAX(G$2:G412)+1, MAX(G$2:G412)+2)))</f>
        <v/>
      </c>
      <c r="H413">
        <f>IF(OR(ERP資料!C413="",ERP資料!D413=""),0,ERP資料!D413-ERP資料!C413+1)</f>
        <v/>
      </c>
    </row>
    <row r="414">
      <c r="A414" t="n">
        <v>414</v>
      </c>
      <c r="B414">
        <f>IF(ERP資料!A414="","",ERP資料!A414&amp;"|"&amp;ERP資料!E414&amp;"|"&amp;ERP資料!F414&amp;"|"&amp;ERP資料!G414&amp;"|"&amp;ERP資料!H414&amp;"|"&amp;ERP資料!O414)</f>
        <v/>
      </c>
      <c r="C414">
        <f>IF(B414="",0,IF(COUNTIF(B$2:B413,B414)=0,1,0))</f>
        <v/>
      </c>
      <c r="D414">
        <f>IF(B414="",0,SUMIFS($H$2:$H$801,$B$2:$B$801,B414))</f>
        <v/>
      </c>
      <c r="E414">
        <f>IF(NOT(AND(C414=1, TRIM(ERP資料!T414)="平板")), 0, IF(MAX(E$2:E413)=0, 1, IF(ERP資料!A414=INDEX(ERP資料!$A$2:$A413, MATCH(MAX(E$2:E413), E$2:E413, 0)), MAX(E$2:E413)+1, MAX(E$2:E413)+2)))</f>
        <v/>
      </c>
      <c r="F414">
        <f>IF(NOT(AND(C414=1, TRIM(ERP資料!T414)="平板")), 0, IF(MAX(F$2:F413)=0, 1, IF(ERP資料!A414=INDEX(ERP資料!$A$2:$A413, MATCH(MAX(F$2:F413), F$2:F413, 0)), MAX(F$2:F413)+1, MAX(F$2:F413)+2)))</f>
        <v/>
      </c>
      <c r="G414">
        <f>IF(NOT(AND(C414=1, TRIM(ERP資料!T414)="捲筒")), 0, IF(MAX(G$2:G413)=0, 1, IF(ERP資料!A414=INDEX(ERP資料!$A$2:$A413, MATCH(MAX(G$2:G413), G$2:G413, 0)), MAX(G$2:G413)+1, MAX(G$2:G413)+2)))</f>
        <v/>
      </c>
      <c r="H414">
        <f>IF(OR(ERP資料!C414="",ERP資料!D414=""),0,ERP資料!D414-ERP資料!C414+1)</f>
        <v/>
      </c>
    </row>
    <row r="415">
      <c r="A415" t="n">
        <v>415</v>
      </c>
      <c r="B415">
        <f>IF(ERP資料!A415="","",ERP資料!A415&amp;"|"&amp;ERP資料!E415&amp;"|"&amp;ERP資料!F415&amp;"|"&amp;ERP資料!G415&amp;"|"&amp;ERP資料!H415&amp;"|"&amp;ERP資料!O415)</f>
        <v/>
      </c>
      <c r="C415">
        <f>IF(B415="",0,IF(COUNTIF(B$2:B414,B415)=0,1,0))</f>
        <v/>
      </c>
      <c r="D415">
        <f>IF(B415="",0,SUMIFS($H$2:$H$801,$B$2:$B$801,B415))</f>
        <v/>
      </c>
      <c r="E415">
        <f>IF(NOT(AND(C415=1, TRIM(ERP資料!T415)="平板")), 0, IF(MAX(E$2:E414)=0, 1, IF(ERP資料!A415=INDEX(ERP資料!$A$2:$A414, MATCH(MAX(E$2:E414), E$2:E414, 0)), MAX(E$2:E414)+1, MAX(E$2:E414)+2)))</f>
        <v/>
      </c>
      <c r="F415">
        <f>IF(NOT(AND(C415=1, TRIM(ERP資料!T415)="平板")), 0, IF(MAX(F$2:F414)=0, 1, IF(ERP資料!A415=INDEX(ERP資料!$A$2:$A414, MATCH(MAX(F$2:F414), F$2:F414, 0)), MAX(F$2:F414)+1, MAX(F$2:F414)+2)))</f>
        <v/>
      </c>
      <c r="G415">
        <f>IF(NOT(AND(C415=1, TRIM(ERP資料!T415)="捲筒")), 0, IF(MAX(G$2:G414)=0, 1, IF(ERP資料!A415=INDEX(ERP資料!$A$2:$A414, MATCH(MAX(G$2:G414), G$2:G414, 0)), MAX(G$2:G414)+1, MAX(G$2:G414)+2)))</f>
        <v/>
      </c>
      <c r="H415">
        <f>IF(OR(ERP資料!C415="",ERP資料!D415=""),0,ERP資料!D415-ERP資料!C415+1)</f>
        <v/>
      </c>
    </row>
    <row r="416">
      <c r="A416" t="n">
        <v>416</v>
      </c>
      <c r="B416">
        <f>IF(ERP資料!A416="","",ERP資料!A416&amp;"|"&amp;ERP資料!E416&amp;"|"&amp;ERP資料!F416&amp;"|"&amp;ERP資料!G416&amp;"|"&amp;ERP資料!H416&amp;"|"&amp;ERP資料!O416)</f>
        <v/>
      </c>
      <c r="C416">
        <f>IF(B416="",0,IF(COUNTIF(B$2:B415,B416)=0,1,0))</f>
        <v/>
      </c>
      <c r="D416">
        <f>IF(B416="",0,SUMIFS($H$2:$H$801,$B$2:$B$801,B416))</f>
        <v/>
      </c>
      <c r="E416">
        <f>IF(NOT(AND(C416=1, TRIM(ERP資料!T416)="平板")), 0, IF(MAX(E$2:E415)=0, 1, IF(ERP資料!A416=INDEX(ERP資料!$A$2:$A415, MATCH(MAX(E$2:E415), E$2:E415, 0)), MAX(E$2:E415)+1, MAX(E$2:E415)+2)))</f>
        <v/>
      </c>
      <c r="F416">
        <f>IF(NOT(AND(C416=1, TRIM(ERP資料!T416)="平板")), 0, IF(MAX(F$2:F415)=0, 1, IF(ERP資料!A416=INDEX(ERP資料!$A$2:$A415, MATCH(MAX(F$2:F415), F$2:F415, 0)), MAX(F$2:F415)+1, MAX(F$2:F415)+2)))</f>
        <v/>
      </c>
      <c r="G416">
        <f>IF(NOT(AND(C416=1, TRIM(ERP資料!T416)="捲筒")), 0, IF(MAX(G$2:G415)=0, 1, IF(ERP資料!A416=INDEX(ERP資料!$A$2:$A415, MATCH(MAX(G$2:G415), G$2:G415, 0)), MAX(G$2:G415)+1, MAX(G$2:G415)+2)))</f>
        <v/>
      </c>
      <c r="H416">
        <f>IF(OR(ERP資料!C416="",ERP資料!D416=""),0,ERP資料!D416-ERP資料!C416+1)</f>
        <v/>
      </c>
    </row>
    <row r="417">
      <c r="A417" t="n">
        <v>417</v>
      </c>
      <c r="B417">
        <f>IF(ERP資料!A417="","",ERP資料!A417&amp;"|"&amp;ERP資料!E417&amp;"|"&amp;ERP資料!F417&amp;"|"&amp;ERP資料!G417&amp;"|"&amp;ERP資料!H417&amp;"|"&amp;ERP資料!O417)</f>
        <v/>
      </c>
      <c r="C417">
        <f>IF(B417="",0,IF(COUNTIF(B$2:B416,B417)=0,1,0))</f>
        <v/>
      </c>
      <c r="D417">
        <f>IF(B417="",0,SUMIFS($H$2:$H$801,$B$2:$B$801,B417))</f>
        <v/>
      </c>
      <c r="E417">
        <f>IF(NOT(AND(C417=1, TRIM(ERP資料!T417)="平板")), 0, IF(MAX(E$2:E416)=0, 1, IF(ERP資料!A417=INDEX(ERP資料!$A$2:$A416, MATCH(MAX(E$2:E416), E$2:E416, 0)), MAX(E$2:E416)+1, MAX(E$2:E416)+2)))</f>
        <v/>
      </c>
      <c r="F417">
        <f>IF(NOT(AND(C417=1, TRIM(ERP資料!T417)="平板")), 0, IF(MAX(F$2:F416)=0, 1, IF(ERP資料!A417=INDEX(ERP資料!$A$2:$A416, MATCH(MAX(F$2:F416), F$2:F416, 0)), MAX(F$2:F416)+1, MAX(F$2:F416)+2)))</f>
        <v/>
      </c>
      <c r="G417">
        <f>IF(NOT(AND(C417=1, TRIM(ERP資料!T417)="捲筒")), 0, IF(MAX(G$2:G416)=0, 1, IF(ERP資料!A417=INDEX(ERP資料!$A$2:$A416, MATCH(MAX(G$2:G416), G$2:G416, 0)), MAX(G$2:G416)+1, MAX(G$2:G416)+2)))</f>
        <v/>
      </c>
      <c r="H417">
        <f>IF(OR(ERP資料!C417="",ERP資料!D417=""),0,ERP資料!D417-ERP資料!C417+1)</f>
        <v/>
      </c>
    </row>
    <row r="418">
      <c r="A418" t="n">
        <v>418</v>
      </c>
      <c r="B418">
        <f>IF(ERP資料!A418="","",ERP資料!A418&amp;"|"&amp;ERP資料!E418&amp;"|"&amp;ERP資料!F418&amp;"|"&amp;ERP資料!G418&amp;"|"&amp;ERP資料!H418&amp;"|"&amp;ERP資料!O418)</f>
        <v/>
      </c>
      <c r="C418">
        <f>IF(B418="",0,IF(COUNTIF(B$2:B417,B418)=0,1,0))</f>
        <v/>
      </c>
      <c r="D418">
        <f>IF(B418="",0,SUMIFS($H$2:$H$801,$B$2:$B$801,B418))</f>
        <v/>
      </c>
      <c r="E418">
        <f>IF(NOT(AND(C418=1, TRIM(ERP資料!T418)="平板")), 0, IF(MAX(E$2:E417)=0, 1, IF(ERP資料!A418=INDEX(ERP資料!$A$2:$A417, MATCH(MAX(E$2:E417), E$2:E417, 0)), MAX(E$2:E417)+1, MAX(E$2:E417)+2)))</f>
        <v/>
      </c>
      <c r="F418">
        <f>IF(NOT(AND(C418=1, TRIM(ERP資料!T418)="平板")), 0, IF(MAX(F$2:F417)=0, 1, IF(ERP資料!A418=INDEX(ERP資料!$A$2:$A417, MATCH(MAX(F$2:F417), F$2:F417, 0)), MAX(F$2:F417)+1, MAX(F$2:F417)+2)))</f>
        <v/>
      </c>
      <c r="G418">
        <f>IF(NOT(AND(C418=1, TRIM(ERP資料!T418)="捲筒")), 0, IF(MAX(G$2:G417)=0, 1, IF(ERP資料!A418=INDEX(ERP資料!$A$2:$A417, MATCH(MAX(G$2:G417), G$2:G417, 0)), MAX(G$2:G417)+1, MAX(G$2:G417)+2)))</f>
        <v/>
      </c>
      <c r="H418">
        <f>IF(OR(ERP資料!C418="",ERP資料!D418=""),0,ERP資料!D418-ERP資料!C418+1)</f>
        <v/>
      </c>
    </row>
    <row r="419">
      <c r="A419" t="n">
        <v>419</v>
      </c>
      <c r="B419">
        <f>IF(ERP資料!A419="","",ERP資料!A419&amp;"|"&amp;ERP資料!E419&amp;"|"&amp;ERP資料!F419&amp;"|"&amp;ERP資料!G419&amp;"|"&amp;ERP資料!H419&amp;"|"&amp;ERP資料!O419)</f>
        <v/>
      </c>
      <c r="C419">
        <f>IF(B419="",0,IF(COUNTIF(B$2:B418,B419)=0,1,0))</f>
        <v/>
      </c>
      <c r="D419">
        <f>IF(B419="",0,SUMIFS($H$2:$H$801,$B$2:$B$801,B419))</f>
        <v/>
      </c>
      <c r="E419">
        <f>IF(NOT(AND(C419=1, TRIM(ERP資料!T419)="平板")), 0, IF(MAX(E$2:E418)=0, 1, IF(ERP資料!A419=INDEX(ERP資料!$A$2:$A418, MATCH(MAX(E$2:E418), E$2:E418, 0)), MAX(E$2:E418)+1, MAX(E$2:E418)+2)))</f>
        <v/>
      </c>
      <c r="F419">
        <f>IF(NOT(AND(C419=1, TRIM(ERP資料!T419)="平板")), 0, IF(MAX(F$2:F418)=0, 1, IF(ERP資料!A419=INDEX(ERP資料!$A$2:$A418, MATCH(MAX(F$2:F418), F$2:F418, 0)), MAX(F$2:F418)+1, MAX(F$2:F418)+2)))</f>
        <v/>
      </c>
      <c r="G419">
        <f>IF(NOT(AND(C419=1, TRIM(ERP資料!T419)="捲筒")), 0, IF(MAX(G$2:G418)=0, 1, IF(ERP資料!A419=INDEX(ERP資料!$A$2:$A418, MATCH(MAX(G$2:G418), G$2:G418, 0)), MAX(G$2:G418)+1, MAX(G$2:G418)+2)))</f>
        <v/>
      </c>
      <c r="H419">
        <f>IF(OR(ERP資料!C419="",ERP資料!D419=""),0,ERP資料!D419-ERP資料!C419+1)</f>
        <v/>
      </c>
    </row>
    <row r="420">
      <c r="A420" t="n">
        <v>420</v>
      </c>
      <c r="B420">
        <f>IF(ERP資料!A420="","",ERP資料!A420&amp;"|"&amp;ERP資料!E420&amp;"|"&amp;ERP資料!F420&amp;"|"&amp;ERP資料!G420&amp;"|"&amp;ERP資料!H420&amp;"|"&amp;ERP資料!O420)</f>
        <v/>
      </c>
      <c r="C420">
        <f>IF(B420="",0,IF(COUNTIF(B$2:B419,B420)=0,1,0))</f>
        <v/>
      </c>
      <c r="D420">
        <f>IF(B420="",0,SUMIFS($H$2:$H$801,$B$2:$B$801,B420))</f>
        <v/>
      </c>
      <c r="E420">
        <f>IF(NOT(AND(C420=1, TRIM(ERP資料!T420)="平板")), 0, IF(MAX(E$2:E419)=0, 1, IF(ERP資料!A420=INDEX(ERP資料!$A$2:$A419, MATCH(MAX(E$2:E419), E$2:E419, 0)), MAX(E$2:E419)+1, MAX(E$2:E419)+2)))</f>
        <v/>
      </c>
      <c r="F420">
        <f>IF(NOT(AND(C420=1, TRIM(ERP資料!T420)="平板")), 0, IF(MAX(F$2:F419)=0, 1, IF(ERP資料!A420=INDEX(ERP資料!$A$2:$A419, MATCH(MAX(F$2:F419), F$2:F419, 0)), MAX(F$2:F419)+1, MAX(F$2:F419)+2)))</f>
        <v/>
      </c>
      <c r="G420">
        <f>IF(NOT(AND(C420=1, TRIM(ERP資料!T420)="捲筒")), 0, IF(MAX(G$2:G419)=0, 1, IF(ERP資料!A420=INDEX(ERP資料!$A$2:$A419, MATCH(MAX(G$2:G419), G$2:G419, 0)), MAX(G$2:G419)+1, MAX(G$2:G419)+2)))</f>
        <v/>
      </c>
      <c r="H420">
        <f>IF(OR(ERP資料!C420="",ERP資料!D420=""),0,ERP資料!D420-ERP資料!C420+1)</f>
        <v/>
      </c>
    </row>
    <row r="421">
      <c r="A421" t="n">
        <v>421</v>
      </c>
      <c r="B421">
        <f>IF(ERP資料!A421="","",ERP資料!A421&amp;"|"&amp;ERP資料!E421&amp;"|"&amp;ERP資料!F421&amp;"|"&amp;ERP資料!G421&amp;"|"&amp;ERP資料!H421&amp;"|"&amp;ERP資料!O421)</f>
        <v/>
      </c>
      <c r="C421">
        <f>IF(B421="",0,IF(COUNTIF(B$2:B420,B421)=0,1,0))</f>
        <v/>
      </c>
      <c r="D421">
        <f>IF(B421="",0,SUMIFS($H$2:$H$801,$B$2:$B$801,B421))</f>
        <v/>
      </c>
      <c r="E421">
        <f>IF(NOT(AND(C421=1, TRIM(ERP資料!T421)="平板")), 0, IF(MAX(E$2:E420)=0, 1, IF(ERP資料!A421=INDEX(ERP資料!$A$2:$A420, MATCH(MAX(E$2:E420), E$2:E420, 0)), MAX(E$2:E420)+1, MAX(E$2:E420)+2)))</f>
        <v/>
      </c>
      <c r="F421">
        <f>IF(NOT(AND(C421=1, TRIM(ERP資料!T421)="平板")), 0, IF(MAX(F$2:F420)=0, 1, IF(ERP資料!A421=INDEX(ERP資料!$A$2:$A420, MATCH(MAX(F$2:F420), F$2:F420, 0)), MAX(F$2:F420)+1, MAX(F$2:F420)+2)))</f>
        <v/>
      </c>
      <c r="G421">
        <f>IF(NOT(AND(C421=1, TRIM(ERP資料!T421)="捲筒")), 0, IF(MAX(G$2:G420)=0, 1, IF(ERP資料!A421=INDEX(ERP資料!$A$2:$A420, MATCH(MAX(G$2:G420), G$2:G420, 0)), MAX(G$2:G420)+1, MAX(G$2:G420)+2)))</f>
        <v/>
      </c>
      <c r="H421">
        <f>IF(OR(ERP資料!C421="",ERP資料!D421=""),0,ERP資料!D421-ERP資料!C421+1)</f>
        <v/>
      </c>
    </row>
    <row r="422">
      <c r="A422" t="n">
        <v>422</v>
      </c>
      <c r="B422">
        <f>IF(ERP資料!A422="","",ERP資料!A422&amp;"|"&amp;ERP資料!E422&amp;"|"&amp;ERP資料!F422&amp;"|"&amp;ERP資料!G422&amp;"|"&amp;ERP資料!H422&amp;"|"&amp;ERP資料!O422)</f>
        <v/>
      </c>
      <c r="C422">
        <f>IF(B422="",0,IF(COUNTIF(B$2:B421,B422)=0,1,0))</f>
        <v/>
      </c>
      <c r="D422">
        <f>IF(B422="",0,SUMIFS($H$2:$H$801,$B$2:$B$801,B422))</f>
        <v/>
      </c>
      <c r="E422">
        <f>IF(NOT(AND(C422=1, TRIM(ERP資料!T422)="平板")), 0, IF(MAX(E$2:E421)=0, 1, IF(ERP資料!A422=INDEX(ERP資料!$A$2:$A421, MATCH(MAX(E$2:E421), E$2:E421, 0)), MAX(E$2:E421)+1, MAX(E$2:E421)+2)))</f>
        <v/>
      </c>
      <c r="F422">
        <f>IF(NOT(AND(C422=1, TRIM(ERP資料!T422)="平板")), 0, IF(MAX(F$2:F421)=0, 1, IF(ERP資料!A422=INDEX(ERP資料!$A$2:$A421, MATCH(MAX(F$2:F421), F$2:F421, 0)), MAX(F$2:F421)+1, MAX(F$2:F421)+2)))</f>
        <v/>
      </c>
      <c r="G422">
        <f>IF(NOT(AND(C422=1, TRIM(ERP資料!T422)="捲筒")), 0, IF(MAX(G$2:G421)=0, 1, IF(ERP資料!A422=INDEX(ERP資料!$A$2:$A421, MATCH(MAX(G$2:G421), G$2:G421, 0)), MAX(G$2:G421)+1, MAX(G$2:G421)+2)))</f>
        <v/>
      </c>
      <c r="H422">
        <f>IF(OR(ERP資料!C422="",ERP資料!D422=""),0,ERP資料!D422-ERP資料!C422+1)</f>
        <v/>
      </c>
    </row>
    <row r="423">
      <c r="A423" t="n">
        <v>423</v>
      </c>
      <c r="B423">
        <f>IF(ERP資料!A423="","",ERP資料!A423&amp;"|"&amp;ERP資料!E423&amp;"|"&amp;ERP資料!F423&amp;"|"&amp;ERP資料!G423&amp;"|"&amp;ERP資料!H423&amp;"|"&amp;ERP資料!O423)</f>
        <v/>
      </c>
      <c r="C423">
        <f>IF(B423="",0,IF(COUNTIF(B$2:B422,B423)=0,1,0))</f>
        <v/>
      </c>
      <c r="D423">
        <f>IF(B423="",0,SUMIFS($H$2:$H$801,$B$2:$B$801,B423))</f>
        <v/>
      </c>
      <c r="E423">
        <f>IF(NOT(AND(C423=1, TRIM(ERP資料!T423)="平板")), 0, IF(MAX(E$2:E422)=0, 1, IF(ERP資料!A423=INDEX(ERP資料!$A$2:$A422, MATCH(MAX(E$2:E422), E$2:E422, 0)), MAX(E$2:E422)+1, MAX(E$2:E422)+2)))</f>
        <v/>
      </c>
      <c r="F423">
        <f>IF(NOT(AND(C423=1, TRIM(ERP資料!T423)="平板")), 0, IF(MAX(F$2:F422)=0, 1, IF(ERP資料!A423=INDEX(ERP資料!$A$2:$A422, MATCH(MAX(F$2:F422), F$2:F422, 0)), MAX(F$2:F422)+1, MAX(F$2:F422)+2)))</f>
        <v/>
      </c>
      <c r="G423">
        <f>IF(NOT(AND(C423=1, TRIM(ERP資料!T423)="捲筒")), 0, IF(MAX(G$2:G422)=0, 1, IF(ERP資料!A423=INDEX(ERP資料!$A$2:$A422, MATCH(MAX(G$2:G422), G$2:G422, 0)), MAX(G$2:G422)+1, MAX(G$2:G422)+2)))</f>
        <v/>
      </c>
      <c r="H423">
        <f>IF(OR(ERP資料!C423="",ERP資料!D423=""),0,ERP資料!D423-ERP資料!C423+1)</f>
        <v/>
      </c>
    </row>
    <row r="424">
      <c r="A424" t="n">
        <v>424</v>
      </c>
      <c r="B424">
        <f>IF(ERP資料!A424="","",ERP資料!A424&amp;"|"&amp;ERP資料!E424&amp;"|"&amp;ERP資料!F424&amp;"|"&amp;ERP資料!G424&amp;"|"&amp;ERP資料!H424&amp;"|"&amp;ERP資料!O424)</f>
        <v/>
      </c>
      <c r="C424">
        <f>IF(B424="",0,IF(COUNTIF(B$2:B423,B424)=0,1,0))</f>
        <v/>
      </c>
      <c r="D424">
        <f>IF(B424="",0,SUMIFS($H$2:$H$801,$B$2:$B$801,B424))</f>
        <v/>
      </c>
      <c r="E424">
        <f>IF(NOT(AND(C424=1, TRIM(ERP資料!T424)="平板")), 0, IF(MAX(E$2:E423)=0, 1, IF(ERP資料!A424=INDEX(ERP資料!$A$2:$A423, MATCH(MAX(E$2:E423), E$2:E423, 0)), MAX(E$2:E423)+1, MAX(E$2:E423)+2)))</f>
        <v/>
      </c>
      <c r="F424">
        <f>IF(NOT(AND(C424=1, TRIM(ERP資料!T424)="平板")), 0, IF(MAX(F$2:F423)=0, 1, IF(ERP資料!A424=INDEX(ERP資料!$A$2:$A423, MATCH(MAX(F$2:F423), F$2:F423, 0)), MAX(F$2:F423)+1, MAX(F$2:F423)+2)))</f>
        <v/>
      </c>
      <c r="G424">
        <f>IF(NOT(AND(C424=1, TRIM(ERP資料!T424)="捲筒")), 0, IF(MAX(G$2:G423)=0, 1, IF(ERP資料!A424=INDEX(ERP資料!$A$2:$A423, MATCH(MAX(G$2:G423), G$2:G423, 0)), MAX(G$2:G423)+1, MAX(G$2:G423)+2)))</f>
        <v/>
      </c>
      <c r="H424">
        <f>IF(OR(ERP資料!C424="",ERP資料!D424=""),0,ERP資料!D424-ERP資料!C424+1)</f>
        <v/>
      </c>
    </row>
    <row r="425">
      <c r="A425" t="n">
        <v>425</v>
      </c>
      <c r="B425">
        <f>IF(ERP資料!A425="","",ERP資料!A425&amp;"|"&amp;ERP資料!E425&amp;"|"&amp;ERP資料!F425&amp;"|"&amp;ERP資料!G425&amp;"|"&amp;ERP資料!H425&amp;"|"&amp;ERP資料!O425)</f>
        <v/>
      </c>
      <c r="C425">
        <f>IF(B425="",0,IF(COUNTIF(B$2:B424,B425)=0,1,0))</f>
        <v/>
      </c>
      <c r="D425">
        <f>IF(B425="",0,SUMIFS($H$2:$H$801,$B$2:$B$801,B425))</f>
        <v/>
      </c>
      <c r="E425">
        <f>IF(NOT(AND(C425=1, TRIM(ERP資料!T425)="平板")), 0, IF(MAX(E$2:E424)=0, 1, IF(ERP資料!A425=INDEX(ERP資料!$A$2:$A424, MATCH(MAX(E$2:E424), E$2:E424, 0)), MAX(E$2:E424)+1, MAX(E$2:E424)+2)))</f>
        <v/>
      </c>
      <c r="F425">
        <f>IF(NOT(AND(C425=1, TRIM(ERP資料!T425)="平板")), 0, IF(MAX(F$2:F424)=0, 1, IF(ERP資料!A425=INDEX(ERP資料!$A$2:$A424, MATCH(MAX(F$2:F424), F$2:F424, 0)), MAX(F$2:F424)+1, MAX(F$2:F424)+2)))</f>
        <v/>
      </c>
      <c r="G425">
        <f>IF(NOT(AND(C425=1, TRIM(ERP資料!T425)="捲筒")), 0, IF(MAX(G$2:G424)=0, 1, IF(ERP資料!A425=INDEX(ERP資料!$A$2:$A424, MATCH(MAX(G$2:G424), G$2:G424, 0)), MAX(G$2:G424)+1, MAX(G$2:G424)+2)))</f>
        <v/>
      </c>
      <c r="H425">
        <f>IF(OR(ERP資料!C425="",ERP資料!D425=""),0,ERP資料!D425-ERP資料!C425+1)</f>
        <v/>
      </c>
    </row>
    <row r="426">
      <c r="A426" t="n">
        <v>426</v>
      </c>
      <c r="B426">
        <f>IF(ERP資料!A426="","",ERP資料!A426&amp;"|"&amp;ERP資料!E426&amp;"|"&amp;ERP資料!F426&amp;"|"&amp;ERP資料!G426&amp;"|"&amp;ERP資料!H426&amp;"|"&amp;ERP資料!O426)</f>
        <v/>
      </c>
      <c r="C426">
        <f>IF(B426="",0,IF(COUNTIF(B$2:B425,B426)=0,1,0))</f>
        <v/>
      </c>
      <c r="D426">
        <f>IF(B426="",0,SUMIFS($H$2:$H$801,$B$2:$B$801,B426))</f>
        <v/>
      </c>
      <c r="E426">
        <f>IF(NOT(AND(C426=1, TRIM(ERP資料!T426)="平板")), 0, IF(MAX(E$2:E425)=0, 1, IF(ERP資料!A426=INDEX(ERP資料!$A$2:$A425, MATCH(MAX(E$2:E425), E$2:E425, 0)), MAX(E$2:E425)+1, MAX(E$2:E425)+2)))</f>
        <v/>
      </c>
      <c r="F426">
        <f>IF(NOT(AND(C426=1, TRIM(ERP資料!T426)="平板")), 0, IF(MAX(F$2:F425)=0, 1, IF(ERP資料!A426=INDEX(ERP資料!$A$2:$A425, MATCH(MAX(F$2:F425), F$2:F425, 0)), MAX(F$2:F425)+1, MAX(F$2:F425)+2)))</f>
        <v/>
      </c>
      <c r="G426">
        <f>IF(NOT(AND(C426=1, TRIM(ERP資料!T426)="捲筒")), 0, IF(MAX(G$2:G425)=0, 1, IF(ERP資料!A426=INDEX(ERP資料!$A$2:$A425, MATCH(MAX(G$2:G425), G$2:G425, 0)), MAX(G$2:G425)+1, MAX(G$2:G425)+2)))</f>
        <v/>
      </c>
      <c r="H426">
        <f>IF(OR(ERP資料!C426="",ERP資料!D426=""),0,ERP資料!D426-ERP資料!C426+1)</f>
        <v/>
      </c>
    </row>
    <row r="427">
      <c r="A427" t="n">
        <v>427</v>
      </c>
      <c r="B427">
        <f>IF(ERP資料!A427="","",ERP資料!A427&amp;"|"&amp;ERP資料!E427&amp;"|"&amp;ERP資料!F427&amp;"|"&amp;ERP資料!G427&amp;"|"&amp;ERP資料!H427&amp;"|"&amp;ERP資料!O427)</f>
        <v/>
      </c>
      <c r="C427">
        <f>IF(B427="",0,IF(COUNTIF(B$2:B426,B427)=0,1,0))</f>
        <v/>
      </c>
      <c r="D427">
        <f>IF(B427="",0,SUMIFS($H$2:$H$801,$B$2:$B$801,B427))</f>
        <v/>
      </c>
      <c r="E427">
        <f>IF(NOT(AND(C427=1, TRIM(ERP資料!T427)="平板")), 0, IF(MAX(E$2:E426)=0, 1, IF(ERP資料!A427=INDEX(ERP資料!$A$2:$A426, MATCH(MAX(E$2:E426), E$2:E426, 0)), MAX(E$2:E426)+1, MAX(E$2:E426)+2)))</f>
        <v/>
      </c>
      <c r="F427">
        <f>IF(NOT(AND(C427=1, TRIM(ERP資料!T427)="平板")), 0, IF(MAX(F$2:F426)=0, 1, IF(ERP資料!A427=INDEX(ERP資料!$A$2:$A426, MATCH(MAX(F$2:F426), F$2:F426, 0)), MAX(F$2:F426)+1, MAX(F$2:F426)+2)))</f>
        <v/>
      </c>
      <c r="G427">
        <f>IF(NOT(AND(C427=1, TRIM(ERP資料!T427)="捲筒")), 0, IF(MAX(G$2:G426)=0, 1, IF(ERP資料!A427=INDEX(ERP資料!$A$2:$A426, MATCH(MAX(G$2:G426), G$2:G426, 0)), MAX(G$2:G426)+1, MAX(G$2:G426)+2)))</f>
        <v/>
      </c>
      <c r="H427">
        <f>IF(OR(ERP資料!C427="",ERP資料!D427=""),0,ERP資料!D427-ERP資料!C427+1)</f>
        <v/>
      </c>
    </row>
    <row r="428">
      <c r="A428" t="n">
        <v>428</v>
      </c>
      <c r="B428">
        <f>IF(ERP資料!A428="","",ERP資料!A428&amp;"|"&amp;ERP資料!E428&amp;"|"&amp;ERP資料!F428&amp;"|"&amp;ERP資料!G428&amp;"|"&amp;ERP資料!H428&amp;"|"&amp;ERP資料!O428)</f>
        <v/>
      </c>
      <c r="C428">
        <f>IF(B428="",0,IF(COUNTIF(B$2:B427,B428)=0,1,0))</f>
        <v/>
      </c>
      <c r="D428">
        <f>IF(B428="",0,SUMIFS($H$2:$H$801,$B$2:$B$801,B428))</f>
        <v/>
      </c>
      <c r="E428">
        <f>IF(NOT(AND(C428=1, TRIM(ERP資料!T428)="平板")), 0, IF(MAX(E$2:E427)=0, 1, IF(ERP資料!A428=INDEX(ERP資料!$A$2:$A427, MATCH(MAX(E$2:E427), E$2:E427, 0)), MAX(E$2:E427)+1, MAX(E$2:E427)+2)))</f>
        <v/>
      </c>
      <c r="F428">
        <f>IF(NOT(AND(C428=1, TRIM(ERP資料!T428)="平板")), 0, IF(MAX(F$2:F427)=0, 1, IF(ERP資料!A428=INDEX(ERP資料!$A$2:$A427, MATCH(MAX(F$2:F427), F$2:F427, 0)), MAX(F$2:F427)+1, MAX(F$2:F427)+2)))</f>
        <v/>
      </c>
      <c r="G428">
        <f>IF(NOT(AND(C428=1, TRIM(ERP資料!T428)="捲筒")), 0, IF(MAX(G$2:G427)=0, 1, IF(ERP資料!A428=INDEX(ERP資料!$A$2:$A427, MATCH(MAX(G$2:G427), G$2:G427, 0)), MAX(G$2:G427)+1, MAX(G$2:G427)+2)))</f>
        <v/>
      </c>
      <c r="H428">
        <f>IF(OR(ERP資料!C428="",ERP資料!D428=""),0,ERP資料!D428-ERP資料!C428+1)</f>
        <v/>
      </c>
    </row>
    <row r="429">
      <c r="A429" t="n">
        <v>429</v>
      </c>
      <c r="B429">
        <f>IF(ERP資料!A429="","",ERP資料!A429&amp;"|"&amp;ERP資料!E429&amp;"|"&amp;ERP資料!F429&amp;"|"&amp;ERP資料!G429&amp;"|"&amp;ERP資料!H429&amp;"|"&amp;ERP資料!O429)</f>
        <v/>
      </c>
      <c r="C429">
        <f>IF(B429="",0,IF(COUNTIF(B$2:B428,B429)=0,1,0))</f>
        <v/>
      </c>
      <c r="D429">
        <f>IF(B429="",0,SUMIFS($H$2:$H$801,$B$2:$B$801,B429))</f>
        <v/>
      </c>
      <c r="E429">
        <f>IF(NOT(AND(C429=1, TRIM(ERP資料!T429)="平板")), 0, IF(MAX(E$2:E428)=0, 1, IF(ERP資料!A429=INDEX(ERP資料!$A$2:$A428, MATCH(MAX(E$2:E428), E$2:E428, 0)), MAX(E$2:E428)+1, MAX(E$2:E428)+2)))</f>
        <v/>
      </c>
      <c r="F429">
        <f>IF(NOT(AND(C429=1, TRIM(ERP資料!T429)="平板")), 0, IF(MAX(F$2:F428)=0, 1, IF(ERP資料!A429=INDEX(ERP資料!$A$2:$A428, MATCH(MAX(F$2:F428), F$2:F428, 0)), MAX(F$2:F428)+1, MAX(F$2:F428)+2)))</f>
        <v/>
      </c>
      <c r="G429">
        <f>IF(NOT(AND(C429=1, TRIM(ERP資料!T429)="捲筒")), 0, IF(MAX(G$2:G428)=0, 1, IF(ERP資料!A429=INDEX(ERP資料!$A$2:$A428, MATCH(MAX(G$2:G428), G$2:G428, 0)), MAX(G$2:G428)+1, MAX(G$2:G428)+2)))</f>
        <v/>
      </c>
      <c r="H429">
        <f>IF(OR(ERP資料!C429="",ERP資料!D429=""),0,ERP資料!D429-ERP資料!C429+1)</f>
        <v/>
      </c>
    </row>
    <row r="430">
      <c r="A430" t="n">
        <v>430</v>
      </c>
      <c r="B430">
        <f>IF(ERP資料!A430="","",ERP資料!A430&amp;"|"&amp;ERP資料!E430&amp;"|"&amp;ERP資料!F430&amp;"|"&amp;ERP資料!G430&amp;"|"&amp;ERP資料!H430&amp;"|"&amp;ERP資料!O430)</f>
        <v/>
      </c>
      <c r="C430">
        <f>IF(B430="",0,IF(COUNTIF(B$2:B429,B430)=0,1,0))</f>
        <v/>
      </c>
      <c r="D430">
        <f>IF(B430="",0,SUMIFS($H$2:$H$801,$B$2:$B$801,B430))</f>
        <v/>
      </c>
      <c r="E430">
        <f>IF(NOT(AND(C430=1, TRIM(ERP資料!T430)="平板")), 0, IF(MAX(E$2:E429)=0, 1, IF(ERP資料!A430=INDEX(ERP資料!$A$2:$A429, MATCH(MAX(E$2:E429), E$2:E429, 0)), MAX(E$2:E429)+1, MAX(E$2:E429)+2)))</f>
        <v/>
      </c>
      <c r="F430">
        <f>IF(NOT(AND(C430=1, TRIM(ERP資料!T430)="平板")), 0, IF(MAX(F$2:F429)=0, 1, IF(ERP資料!A430=INDEX(ERP資料!$A$2:$A429, MATCH(MAX(F$2:F429), F$2:F429, 0)), MAX(F$2:F429)+1, MAX(F$2:F429)+2)))</f>
        <v/>
      </c>
      <c r="G430">
        <f>IF(NOT(AND(C430=1, TRIM(ERP資料!T430)="捲筒")), 0, IF(MAX(G$2:G429)=0, 1, IF(ERP資料!A430=INDEX(ERP資料!$A$2:$A429, MATCH(MAX(G$2:G429), G$2:G429, 0)), MAX(G$2:G429)+1, MAX(G$2:G429)+2)))</f>
        <v/>
      </c>
      <c r="H430">
        <f>IF(OR(ERP資料!C430="",ERP資料!D430=""),0,ERP資料!D430-ERP資料!C430+1)</f>
        <v/>
      </c>
    </row>
    <row r="431">
      <c r="A431" t="n">
        <v>431</v>
      </c>
      <c r="B431">
        <f>IF(ERP資料!A431="","",ERP資料!A431&amp;"|"&amp;ERP資料!E431&amp;"|"&amp;ERP資料!F431&amp;"|"&amp;ERP資料!G431&amp;"|"&amp;ERP資料!H431&amp;"|"&amp;ERP資料!O431)</f>
        <v/>
      </c>
      <c r="C431">
        <f>IF(B431="",0,IF(COUNTIF(B$2:B430,B431)=0,1,0))</f>
        <v/>
      </c>
      <c r="D431">
        <f>IF(B431="",0,SUMIFS($H$2:$H$801,$B$2:$B$801,B431))</f>
        <v/>
      </c>
      <c r="E431">
        <f>IF(NOT(AND(C431=1, TRIM(ERP資料!T431)="平板")), 0, IF(MAX(E$2:E430)=0, 1, IF(ERP資料!A431=INDEX(ERP資料!$A$2:$A430, MATCH(MAX(E$2:E430), E$2:E430, 0)), MAX(E$2:E430)+1, MAX(E$2:E430)+2)))</f>
        <v/>
      </c>
      <c r="F431">
        <f>IF(NOT(AND(C431=1, TRIM(ERP資料!T431)="平板")), 0, IF(MAX(F$2:F430)=0, 1, IF(ERP資料!A431=INDEX(ERP資料!$A$2:$A430, MATCH(MAX(F$2:F430), F$2:F430, 0)), MAX(F$2:F430)+1, MAX(F$2:F430)+2)))</f>
        <v/>
      </c>
      <c r="G431">
        <f>IF(NOT(AND(C431=1, TRIM(ERP資料!T431)="捲筒")), 0, IF(MAX(G$2:G430)=0, 1, IF(ERP資料!A431=INDEX(ERP資料!$A$2:$A430, MATCH(MAX(G$2:G430), G$2:G430, 0)), MAX(G$2:G430)+1, MAX(G$2:G430)+2)))</f>
        <v/>
      </c>
      <c r="H431">
        <f>IF(OR(ERP資料!C431="",ERP資料!D431=""),0,ERP資料!D431-ERP資料!C431+1)</f>
        <v/>
      </c>
    </row>
    <row r="432">
      <c r="A432" t="n">
        <v>432</v>
      </c>
      <c r="B432">
        <f>IF(ERP資料!A432="","",ERP資料!A432&amp;"|"&amp;ERP資料!E432&amp;"|"&amp;ERP資料!F432&amp;"|"&amp;ERP資料!G432&amp;"|"&amp;ERP資料!H432&amp;"|"&amp;ERP資料!O432)</f>
        <v/>
      </c>
      <c r="C432">
        <f>IF(B432="",0,IF(COUNTIF(B$2:B431,B432)=0,1,0))</f>
        <v/>
      </c>
      <c r="D432">
        <f>IF(B432="",0,SUMIFS($H$2:$H$801,$B$2:$B$801,B432))</f>
        <v/>
      </c>
      <c r="E432">
        <f>IF(NOT(AND(C432=1, TRIM(ERP資料!T432)="平板")), 0, IF(MAX(E$2:E431)=0, 1, IF(ERP資料!A432=INDEX(ERP資料!$A$2:$A431, MATCH(MAX(E$2:E431), E$2:E431, 0)), MAX(E$2:E431)+1, MAX(E$2:E431)+2)))</f>
        <v/>
      </c>
      <c r="F432">
        <f>IF(NOT(AND(C432=1, TRIM(ERP資料!T432)="平板")), 0, IF(MAX(F$2:F431)=0, 1, IF(ERP資料!A432=INDEX(ERP資料!$A$2:$A431, MATCH(MAX(F$2:F431), F$2:F431, 0)), MAX(F$2:F431)+1, MAX(F$2:F431)+2)))</f>
        <v/>
      </c>
      <c r="G432">
        <f>IF(NOT(AND(C432=1, TRIM(ERP資料!T432)="捲筒")), 0, IF(MAX(G$2:G431)=0, 1, IF(ERP資料!A432=INDEX(ERP資料!$A$2:$A431, MATCH(MAX(G$2:G431), G$2:G431, 0)), MAX(G$2:G431)+1, MAX(G$2:G431)+2)))</f>
        <v/>
      </c>
      <c r="H432">
        <f>IF(OR(ERP資料!C432="",ERP資料!D432=""),0,ERP資料!D432-ERP資料!C432+1)</f>
        <v/>
      </c>
    </row>
    <row r="433">
      <c r="A433" t="n">
        <v>433</v>
      </c>
      <c r="B433">
        <f>IF(ERP資料!A433="","",ERP資料!A433&amp;"|"&amp;ERP資料!E433&amp;"|"&amp;ERP資料!F433&amp;"|"&amp;ERP資料!G433&amp;"|"&amp;ERP資料!H433&amp;"|"&amp;ERP資料!O433)</f>
        <v/>
      </c>
      <c r="C433">
        <f>IF(B433="",0,IF(COUNTIF(B$2:B432,B433)=0,1,0))</f>
        <v/>
      </c>
      <c r="D433">
        <f>IF(B433="",0,SUMIFS($H$2:$H$801,$B$2:$B$801,B433))</f>
        <v/>
      </c>
      <c r="E433">
        <f>IF(NOT(AND(C433=1, TRIM(ERP資料!T433)="平板")), 0, IF(MAX(E$2:E432)=0, 1, IF(ERP資料!A433=INDEX(ERP資料!$A$2:$A432, MATCH(MAX(E$2:E432), E$2:E432, 0)), MAX(E$2:E432)+1, MAX(E$2:E432)+2)))</f>
        <v/>
      </c>
      <c r="F433">
        <f>IF(NOT(AND(C433=1, TRIM(ERP資料!T433)="平板")), 0, IF(MAX(F$2:F432)=0, 1, IF(ERP資料!A433=INDEX(ERP資料!$A$2:$A432, MATCH(MAX(F$2:F432), F$2:F432, 0)), MAX(F$2:F432)+1, MAX(F$2:F432)+2)))</f>
        <v/>
      </c>
      <c r="G433">
        <f>IF(NOT(AND(C433=1, TRIM(ERP資料!T433)="捲筒")), 0, IF(MAX(G$2:G432)=0, 1, IF(ERP資料!A433=INDEX(ERP資料!$A$2:$A432, MATCH(MAX(G$2:G432), G$2:G432, 0)), MAX(G$2:G432)+1, MAX(G$2:G432)+2)))</f>
        <v/>
      </c>
      <c r="H433">
        <f>IF(OR(ERP資料!C433="",ERP資料!D433=""),0,ERP資料!D433-ERP資料!C433+1)</f>
        <v/>
      </c>
    </row>
    <row r="434">
      <c r="A434" t="n">
        <v>434</v>
      </c>
      <c r="B434">
        <f>IF(ERP資料!A434="","",ERP資料!A434&amp;"|"&amp;ERP資料!E434&amp;"|"&amp;ERP資料!F434&amp;"|"&amp;ERP資料!G434&amp;"|"&amp;ERP資料!H434&amp;"|"&amp;ERP資料!O434)</f>
        <v/>
      </c>
      <c r="C434">
        <f>IF(B434="",0,IF(COUNTIF(B$2:B433,B434)=0,1,0))</f>
        <v/>
      </c>
      <c r="D434">
        <f>IF(B434="",0,SUMIFS($H$2:$H$801,$B$2:$B$801,B434))</f>
        <v/>
      </c>
      <c r="E434">
        <f>IF(NOT(AND(C434=1, TRIM(ERP資料!T434)="平板")), 0, IF(MAX(E$2:E433)=0, 1, IF(ERP資料!A434=INDEX(ERP資料!$A$2:$A433, MATCH(MAX(E$2:E433), E$2:E433, 0)), MAX(E$2:E433)+1, MAX(E$2:E433)+2)))</f>
        <v/>
      </c>
      <c r="F434">
        <f>IF(NOT(AND(C434=1, TRIM(ERP資料!T434)="平板")), 0, IF(MAX(F$2:F433)=0, 1, IF(ERP資料!A434=INDEX(ERP資料!$A$2:$A433, MATCH(MAX(F$2:F433), F$2:F433, 0)), MAX(F$2:F433)+1, MAX(F$2:F433)+2)))</f>
        <v/>
      </c>
      <c r="G434">
        <f>IF(NOT(AND(C434=1, TRIM(ERP資料!T434)="捲筒")), 0, IF(MAX(G$2:G433)=0, 1, IF(ERP資料!A434=INDEX(ERP資料!$A$2:$A433, MATCH(MAX(G$2:G433), G$2:G433, 0)), MAX(G$2:G433)+1, MAX(G$2:G433)+2)))</f>
        <v/>
      </c>
      <c r="H434">
        <f>IF(OR(ERP資料!C434="",ERP資料!D434=""),0,ERP資料!D434-ERP資料!C434+1)</f>
        <v/>
      </c>
    </row>
    <row r="435">
      <c r="A435" t="n">
        <v>435</v>
      </c>
      <c r="B435">
        <f>IF(ERP資料!A435="","",ERP資料!A435&amp;"|"&amp;ERP資料!E435&amp;"|"&amp;ERP資料!F435&amp;"|"&amp;ERP資料!G435&amp;"|"&amp;ERP資料!H435&amp;"|"&amp;ERP資料!O435)</f>
        <v/>
      </c>
      <c r="C435">
        <f>IF(B435="",0,IF(COUNTIF(B$2:B434,B435)=0,1,0))</f>
        <v/>
      </c>
      <c r="D435">
        <f>IF(B435="",0,SUMIFS($H$2:$H$801,$B$2:$B$801,B435))</f>
        <v/>
      </c>
      <c r="E435">
        <f>IF(NOT(AND(C435=1, TRIM(ERP資料!T435)="平板")), 0, IF(MAX(E$2:E434)=0, 1, IF(ERP資料!A435=INDEX(ERP資料!$A$2:$A434, MATCH(MAX(E$2:E434), E$2:E434, 0)), MAX(E$2:E434)+1, MAX(E$2:E434)+2)))</f>
        <v/>
      </c>
      <c r="F435">
        <f>IF(NOT(AND(C435=1, TRIM(ERP資料!T435)="平板")), 0, IF(MAX(F$2:F434)=0, 1, IF(ERP資料!A435=INDEX(ERP資料!$A$2:$A434, MATCH(MAX(F$2:F434), F$2:F434, 0)), MAX(F$2:F434)+1, MAX(F$2:F434)+2)))</f>
        <v/>
      </c>
      <c r="G435">
        <f>IF(NOT(AND(C435=1, TRIM(ERP資料!T435)="捲筒")), 0, IF(MAX(G$2:G434)=0, 1, IF(ERP資料!A435=INDEX(ERP資料!$A$2:$A434, MATCH(MAX(G$2:G434), G$2:G434, 0)), MAX(G$2:G434)+1, MAX(G$2:G434)+2)))</f>
        <v/>
      </c>
      <c r="H435">
        <f>IF(OR(ERP資料!C435="",ERP資料!D435=""),0,ERP資料!D435-ERP資料!C435+1)</f>
        <v/>
      </c>
    </row>
    <row r="436">
      <c r="A436" t="n">
        <v>436</v>
      </c>
      <c r="B436">
        <f>IF(ERP資料!A436="","",ERP資料!A436&amp;"|"&amp;ERP資料!E436&amp;"|"&amp;ERP資料!F436&amp;"|"&amp;ERP資料!G436&amp;"|"&amp;ERP資料!H436&amp;"|"&amp;ERP資料!O436)</f>
        <v/>
      </c>
      <c r="C436">
        <f>IF(B436="",0,IF(COUNTIF(B$2:B435,B436)=0,1,0))</f>
        <v/>
      </c>
      <c r="D436">
        <f>IF(B436="",0,SUMIFS($H$2:$H$801,$B$2:$B$801,B436))</f>
        <v/>
      </c>
      <c r="E436">
        <f>IF(NOT(AND(C436=1, TRIM(ERP資料!T436)="平板")), 0, IF(MAX(E$2:E435)=0, 1, IF(ERP資料!A436=INDEX(ERP資料!$A$2:$A435, MATCH(MAX(E$2:E435), E$2:E435, 0)), MAX(E$2:E435)+1, MAX(E$2:E435)+2)))</f>
        <v/>
      </c>
      <c r="F436">
        <f>IF(NOT(AND(C436=1, TRIM(ERP資料!T436)="平板")), 0, IF(MAX(F$2:F435)=0, 1, IF(ERP資料!A436=INDEX(ERP資料!$A$2:$A435, MATCH(MAX(F$2:F435), F$2:F435, 0)), MAX(F$2:F435)+1, MAX(F$2:F435)+2)))</f>
        <v/>
      </c>
      <c r="G436">
        <f>IF(NOT(AND(C436=1, TRIM(ERP資料!T436)="捲筒")), 0, IF(MAX(G$2:G435)=0, 1, IF(ERP資料!A436=INDEX(ERP資料!$A$2:$A435, MATCH(MAX(G$2:G435), G$2:G435, 0)), MAX(G$2:G435)+1, MAX(G$2:G435)+2)))</f>
        <v/>
      </c>
      <c r="H436">
        <f>IF(OR(ERP資料!C436="",ERP資料!D436=""),0,ERP資料!D436-ERP資料!C436+1)</f>
        <v/>
      </c>
    </row>
    <row r="437">
      <c r="A437" t="n">
        <v>437</v>
      </c>
      <c r="B437">
        <f>IF(ERP資料!A437="","",ERP資料!A437&amp;"|"&amp;ERP資料!E437&amp;"|"&amp;ERP資料!F437&amp;"|"&amp;ERP資料!G437&amp;"|"&amp;ERP資料!H437&amp;"|"&amp;ERP資料!O437)</f>
        <v/>
      </c>
      <c r="C437">
        <f>IF(B437="",0,IF(COUNTIF(B$2:B436,B437)=0,1,0))</f>
        <v/>
      </c>
      <c r="D437">
        <f>IF(B437="",0,SUMIFS($H$2:$H$801,$B$2:$B$801,B437))</f>
        <v/>
      </c>
      <c r="E437">
        <f>IF(NOT(AND(C437=1, TRIM(ERP資料!T437)="平板")), 0, IF(MAX(E$2:E436)=0, 1, IF(ERP資料!A437=INDEX(ERP資料!$A$2:$A436, MATCH(MAX(E$2:E436), E$2:E436, 0)), MAX(E$2:E436)+1, MAX(E$2:E436)+2)))</f>
        <v/>
      </c>
      <c r="F437">
        <f>IF(NOT(AND(C437=1, TRIM(ERP資料!T437)="平板")), 0, IF(MAX(F$2:F436)=0, 1, IF(ERP資料!A437=INDEX(ERP資料!$A$2:$A436, MATCH(MAX(F$2:F436), F$2:F436, 0)), MAX(F$2:F436)+1, MAX(F$2:F436)+2)))</f>
        <v/>
      </c>
      <c r="G437">
        <f>IF(NOT(AND(C437=1, TRIM(ERP資料!T437)="捲筒")), 0, IF(MAX(G$2:G436)=0, 1, IF(ERP資料!A437=INDEX(ERP資料!$A$2:$A436, MATCH(MAX(G$2:G436), G$2:G436, 0)), MAX(G$2:G436)+1, MAX(G$2:G436)+2)))</f>
        <v/>
      </c>
      <c r="H437">
        <f>IF(OR(ERP資料!C437="",ERP資料!D437=""),0,ERP資料!D437-ERP資料!C437+1)</f>
        <v/>
      </c>
    </row>
    <row r="438">
      <c r="A438" t="n">
        <v>438</v>
      </c>
      <c r="B438">
        <f>IF(ERP資料!A438="","",ERP資料!A438&amp;"|"&amp;ERP資料!E438&amp;"|"&amp;ERP資料!F438&amp;"|"&amp;ERP資料!G438&amp;"|"&amp;ERP資料!H438&amp;"|"&amp;ERP資料!O438)</f>
        <v/>
      </c>
      <c r="C438">
        <f>IF(B438="",0,IF(COUNTIF(B$2:B437,B438)=0,1,0))</f>
        <v/>
      </c>
      <c r="D438">
        <f>IF(B438="",0,SUMIFS($H$2:$H$801,$B$2:$B$801,B438))</f>
        <v/>
      </c>
      <c r="E438">
        <f>IF(NOT(AND(C438=1, TRIM(ERP資料!T438)="平板")), 0, IF(MAX(E$2:E437)=0, 1, IF(ERP資料!A438=INDEX(ERP資料!$A$2:$A437, MATCH(MAX(E$2:E437), E$2:E437, 0)), MAX(E$2:E437)+1, MAX(E$2:E437)+2)))</f>
        <v/>
      </c>
      <c r="F438">
        <f>IF(NOT(AND(C438=1, TRIM(ERP資料!T438)="平板")), 0, IF(MAX(F$2:F437)=0, 1, IF(ERP資料!A438=INDEX(ERP資料!$A$2:$A437, MATCH(MAX(F$2:F437), F$2:F437, 0)), MAX(F$2:F437)+1, MAX(F$2:F437)+2)))</f>
        <v/>
      </c>
      <c r="G438">
        <f>IF(NOT(AND(C438=1, TRIM(ERP資料!T438)="捲筒")), 0, IF(MAX(G$2:G437)=0, 1, IF(ERP資料!A438=INDEX(ERP資料!$A$2:$A437, MATCH(MAX(G$2:G437), G$2:G437, 0)), MAX(G$2:G437)+1, MAX(G$2:G437)+2)))</f>
        <v/>
      </c>
      <c r="H438">
        <f>IF(OR(ERP資料!C438="",ERP資料!D438=""),0,ERP資料!D438-ERP資料!C438+1)</f>
        <v/>
      </c>
    </row>
    <row r="439">
      <c r="A439" t="n">
        <v>439</v>
      </c>
      <c r="B439">
        <f>IF(ERP資料!A439="","",ERP資料!A439&amp;"|"&amp;ERP資料!E439&amp;"|"&amp;ERP資料!F439&amp;"|"&amp;ERP資料!G439&amp;"|"&amp;ERP資料!H439&amp;"|"&amp;ERP資料!O439)</f>
        <v/>
      </c>
      <c r="C439">
        <f>IF(B439="",0,IF(COUNTIF(B$2:B438,B439)=0,1,0))</f>
        <v/>
      </c>
      <c r="D439">
        <f>IF(B439="",0,SUMIFS($H$2:$H$801,$B$2:$B$801,B439))</f>
        <v/>
      </c>
      <c r="E439">
        <f>IF(NOT(AND(C439=1, TRIM(ERP資料!T439)="平板")), 0, IF(MAX(E$2:E438)=0, 1, IF(ERP資料!A439=INDEX(ERP資料!$A$2:$A438, MATCH(MAX(E$2:E438), E$2:E438, 0)), MAX(E$2:E438)+1, MAX(E$2:E438)+2)))</f>
        <v/>
      </c>
      <c r="F439">
        <f>IF(NOT(AND(C439=1, TRIM(ERP資料!T439)="平板")), 0, IF(MAX(F$2:F438)=0, 1, IF(ERP資料!A439=INDEX(ERP資料!$A$2:$A438, MATCH(MAX(F$2:F438), F$2:F438, 0)), MAX(F$2:F438)+1, MAX(F$2:F438)+2)))</f>
        <v/>
      </c>
      <c r="G439">
        <f>IF(NOT(AND(C439=1, TRIM(ERP資料!T439)="捲筒")), 0, IF(MAX(G$2:G438)=0, 1, IF(ERP資料!A439=INDEX(ERP資料!$A$2:$A438, MATCH(MAX(G$2:G438), G$2:G438, 0)), MAX(G$2:G438)+1, MAX(G$2:G438)+2)))</f>
        <v/>
      </c>
      <c r="H439">
        <f>IF(OR(ERP資料!C439="",ERP資料!D439=""),0,ERP資料!D439-ERP資料!C439+1)</f>
        <v/>
      </c>
    </row>
    <row r="440">
      <c r="A440" t="n">
        <v>440</v>
      </c>
      <c r="B440">
        <f>IF(ERP資料!A440="","",ERP資料!A440&amp;"|"&amp;ERP資料!E440&amp;"|"&amp;ERP資料!F440&amp;"|"&amp;ERP資料!G440&amp;"|"&amp;ERP資料!H440&amp;"|"&amp;ERP資料!O440)</f>
        <v/>
      </c>
      <c r="C440">
        <f>IF(B440="",0,IF(COUNTIF(B$2:B439,B440)=0,1,0))</f>
        <v/>
      </c>
      <c r="D440">
        <f>IF(B440="",0,SUMIFS($H$2:$H$801,$B$2:$B$801,B440))</f>
        <v/>
      </c>
      <c r="E440">
        <f>IF(NOT(AND(C440=1, TRIM(ERP資料!T440)="平板")), 0, IF(MAX(E$2:E439)=0, 1, IF(ERP資料!A440=INDEX(ERP資料!$A$2:$A439, MATCH(MAX(E$2:E439), E$2:E439, 0)), MAX(E$2:E439)+1, MAX(E$2:E439)+2)))</f>
        <v/>
      </c>
      <c r="F440">
        <f>IF(NOT(AND(C440=1, TRIM(ERP資料!T440)="平板")), 0, IF(MAX(F$2:F439)=0, 1, IF(ERP資料!A440=INDEX(ERP資料!$A$2:$A439, MATCH(MAX(F$2:F439), F$2:F439, 0)), MAX(F$2:F439)+1, MAX(F$2:F439)+2)))</f>
        <v/>
      </c>
      <c r="G440">
        <f>IF(NOT(AND(C440=1, TRIM(ERP資料!T440)="捲筒")), 0, IF(MAX(G$2:G439)=0, 1, IF(ERP資料!A440=INDEX(ERP資料!$A$2:$A439, MATCH(MAX(G$2:G439), G$2:G439, 0)), MAX(G$2:G439)+1, MAX(G$2:G439)+2)))</f>
        <v/>
      </c>
      <c r="H440">
        <f>IF(OR(ERP資料!C440="",ERP資料!D440=""),0,ERP資料!D440-ERP資料!C440+1)</f>
        <v/>
      </c>
    </row>
    <row r="441">
      <c r="A441" t="n">
        <v>441</v>
      </c>
      <c r="B441">
        <f>IF(ERP資料!A441="","",ERP資料!A441&amp;"|"&amp;ERP資料!E441&amp;"|"&amp;ERP資料!F441&amp;"|"&amp;ERP資料!G441&amp;"|"&amp;ERP資料!H441&amp;"|"&amp;ERP資料!O441)</f>
        <v/>
      </c>
      <c r="C441">
        <f>IF(B441="",0,IF(COUNTIF(B$2:B440,B441)=0,1,0))</f>
        <v/>
      </c>
      <c r="D441">
        <f>IF(B441="",0,SUMIFS($H$2:$H$801,$B$2:$B$801,B441))</f>
        <v/>
      </c>
      <c r="E441">
        <f>IF(NOT(AND(C441=1, TRIM(ERP資料!T441)="平板")), 0, IF(MAX(E$2:E440)=0, 1, IF(ERP資料!A441=INDEX(ERP資料!$A$2:$A440, MATCH(MAX(E$2:E440), E$2:E440, 0)), MAX(E$2:E440)+1, MAX(E$2:E440)+2)))</f>
        <v/>
      </c>
      <c r="F441">
        <f>IF(NOT(AND(C441=1, TRIM(ERP資料!T441)="平板")), 0, IF(MAX(F$2:F440)=0, 1, IF(ERP資料!A441=INDEX(ERP資料!$A$2:$A440, MATCH(MAX(F$2:F440), F$2:F440, 0)), MAX(F$2:F440)+1, MAX(F$2:F440)+2)))</f>
        <v/>
      </c>
      <c r="G441">
        <f>IF(NOT(AND(C441=1, TRIM(ERP資料!T441)="捲筒")), 0, IF(MAX(G$2:G440)=0, 1, IF(ERP資料!A441=INDEX(ERP資料!$A$2:$A440, MATCH(MAX(G$2:G440), G$2:G440, 0)), MAX(G$2:G440)+1, MAX(G$2:G440)+2)))</f>
        <v/>
      </c>
      <c r="H441">
        <f>IF(OR(ERP資料!C441="",ERP資料!D441=""),0,ERP資料!D441-ERP資料!C441+1)</f>
        <v/>
      </c>
    </row>
    <row r="442">
      <c r="A442" t="n">
        <v>442</v>
      </c>
      <c r="B442">
        <f>IF(ERP資料!A442="","",ERP資料!A442&amp;"|"&amp;ERP資料!E442&amp;"|"&amp;ERP資料!F442&amp;"|"&amp;ERP資料!G442&amp;"|"&amp;ERP資料!H442&amp;"|"&amp;ERP資料!O442)</f>
        <v/>
      </c>
      <c r="C442">
        <f>IF(B442="",0,IF(COUNTIF(B$2:B441,B442)=0,1,0))</f>
        <v/>
      </c>
      <c r="D442">
        <f>IF(B442="",0,SUMIFS($H$2:$H$801,$B$2:$B$801,B442))</f>
        <v/>
      </c>
      <c r="E442">
        <f>IF(NOT(AND(C442=1, TRIM(ERP資料!T442)="平板")), 0, IF(MAX(E$2:E441)=0, 1, IF(ERP資料!A442=INDEX(ERP資料!$A$2:$A441, MATCH(MAX(E$2:E441), E$2:E441, 0)), MAX(E$2:E441)+1, MAX(E$2:E441)+2)))</f>
        <v/>
      </c>
      <c r="F442">
        <f>IF(NOT(AND(C442=1, TRIM(ERP資料!T442)="平板")), 0, IF(MAX(F$2:F441)=0, 1, IF(ERP資料!A442=INDEX(ERP資料!$A$2:$A441, MATCH(MAX(F$2:F441), F$2:F441, 0)), MAX(F$2:F441)+1, MAX(F$2:F441)+2)))</f>
        <v/>
      </c>
      <c r="G442">
        <f>IF(NOT(AND(C442=1, TRIM(ERP資料!T442)="捲筒")), 0, IF(MAX(G$2:G441)=0, 1, IF(ERP資料!A442=INDEX(ERP資料!$A$2:$A441, MATCH(MAX(G$2:G441), G$2:G441, 0)), MAX(G$2:G441)+1, MAX(G$2:G441)+2)))</f>
        <v/>
      </c>
      <c r="H442">
        <f>IF(OR(ERP資料!C442="",ERP資料!D442=""),0,ERP資料!D442-ERP資料!C442+1)</f>
        <v/>
      </c>
    </row>
    <row r="443">
      <c r="A443" t="n">
        <v>443</v>
      </c>
      <c r="B443">
        <f>IF(ERP資料!A443="","",ERP資料!A443&amp;"|"&amp;ERP資料!E443&amp;"|"&amp;ERP資料!F443&amp;"|"&amp;ERP資料!G443&amp;"|"&amp;ERP資料!H443&amp;"|"&amp;ERP資料!O443)</f>
        <v/>
      </c>
      <c r="C443">
        <f>IF(B443="",0,IF(COUNTIF(B$2:B442,B443)=0,1,0))</f>
        <v/>
      </c>
      <c r="D443">
        <f>IF(B443="",0,SUMIFS($H$2:$H$801,$B$2:$B$801,B443))</f>
        <v/>
      </c>
      <c r="E443">
        <f>IF(NOT(AND(C443=1, TRIM(ERP資料!T443)="平板")), 0, IF(MAX(E$2:E442)=0, 1, IF(ERP資料!A443=INDEX(ERP資料!$A$2:$A442, MATCH(MAX(E$2:E442), E$2:E442, 0)), MAX(E$2:E442)+1, MAX(E$2:E442)+2)))</f>
        <v/>
      </c>
      <c r="F443">
        <f>IF(NOT(AND(C443=1, TRIM(ERP資料!T443)="平板")), 0, IF(MAX(F$2:F442)=0, 1, IF(ERP資料!A443=INDEX(ERP資料!$A$2:$A442, MATCH(MAX(F$2:F442), F$2:F442, 0)), MAX(F$2:F442)+1, MAX(F$2:F442)+2)))</f>
        <v/>
      </c>
      <c r="G443">
        <f>IF(NOT(AND(C443=1, TRIM(ERP資料!T443)="捲筒")), 0, IF(MAX(G$2:G442)=0, 1, IF(ERP資料!A443=INDEX(ERP資料!$A$2:$A442, MATCH(MAX(G$2:G442), G$2:G442, 0)), MAX(G$2:G442)+1, MAX(G$2:G442)+2)))</f>
        <v/>
      </c>
      <c r="H443">
        <f>IF(OR(ERP資料!C443="",ERP資料!D443=""),0,ERP資料!D443-ERP資料!C443+1)</f>
        <v/>
      </c>
    </row>
    <row r="444">
      <c r="A444" t="n">
        <v>444</v>
      </c>
      <c r="B444">
        <f>IF(ERP資料!A444="","",ERP資料!A444&amp;"|"&amp;ERP資料!E444&amp;"|"&amp;ERP資料!F444&amp;"|"&amp;ERP資料!G444&amp;"|"&amp;ERP資料!H444&amp;"|"&amp;ERP資料!O444)</f>
        <v/>
      </c>
      <c r="C444">
        <f>IF(B444="",0,IF(COUNTIF(B$2:B443,B444)=0,1,0))</f>
        <v/>
      </c>
      <c r="D444">
        <f>IF(B444="",0,SUMIFS($H$2:$H$801,$B$2:$B$801,B444))</f>
        <v/>
      </c>
      <c r="E444">
        <f>IF(NOT(AND(C444=1, TRIM(ERP資料!T444)="平板")), 0, IF(MAX(E$2:E443)=0, 1, IF(ERP資料!A444=INDEX(ERP資料!$A$2:$A443, MATCH(MAX(E$2:E443), E$2:E443, 0)), MAX(E$2:E443)+1, MAX(E$2:E443)+2)))</f>
        <v/>
      </c>
      <c r="F444">
        <f>IF(NOT(AND(C444=1, TRIM(ERP資料!T444)="平板")), 0, IF(MAX(F$2:F443)=0, 1, IF(ERP資料!A444=INDEX(ERP資料!$A$2:$A443, MATCH(MAX(F$2:F443), F$2:F443, 0)), MAX(F$2:F443)+1, MAX(F$2:F443)+2)))</f>
        <v/>
      </c>
      <c r="G444">
        <f>IF(NOT(AND(C444=1, TRIM(ERP資料!T444)="捲筒")), 0, IF(MAX(G$2:G443)=0, 1, IF(ERP資料!A444=INDEX(ERP資料!$A$2:$A443, MATCH(MAX(G$2:G443), G$2:G443, 0)), MAX(G$2:G443)+1, MAX(G$2:G443)+2)))</f>
        <v/>
      </c>
      <c r="H444">
        <f>IF(OR(ERP資料!C444="",ERP資料!D444=""),0,ERP資料!D444-ERP資料!C444+1)</f>
        <v/>
      </c>
    </row>
    <row r="445">
      <c r="A445" t="n">
        <v>445</v>
      </c>
      <c r="B445">
        <f>IF(ERP資料!A445="","",ERP資料!A445&amp;"|"&amp;ERP資料!E445&amp;"|"&amp;ERP資料!F445&amp;"|"&amp;ERP資料!G445&amp;"|"&amp;ERP資料!H445&amp;"|"&amp;ERP資料!O445)</f>
        <v/>
      </c>
      <c r="C445">
        <f>IF(B445="",0,IF(COUNTIF(B$2:B444,B445)=0,1,0))</f>
        <v/>
      </c>
      <c r="D445">
        <f>IF(B445="",0,SUMIFS($H$2:$H$801,$B$2:$B$801,B445))</f>
        <v/>
      </c>
      <c r="E445">
        <f>IF(NOT(AND(C445=1, TRIM(ERP資料!T445)="平板")), 0, IF(MAX(E$2:E444)=0, 1, IF(ERP資料!A445=INDEX(ERP資料!$A$2:$A444, MATCH(MAX(E$2:E444), E$2:E444, 0)), MAX(E$2:E444)+1, MAX(E$2:E444)+2)))</f>
        <v/>
      </c>
      <c r="F445">
        <f>IF(NOT(AND(C445=1, TRIM(ERP資料!T445)="平板")), 0, IF(MAX(F$2:F444)=0, 1, IF(ERP資料!A445=INDEX(ERP資料!$A$2:$A444, MATCH(MAX(F$2:F444), F$2:F444, 0)), MAX(F$2:F444)+1, MAX(F$2:F444)+2)))</f>
        <v/>
      </c>
      <c r="G445">
        <f>IF(NOT(AND(C445=1, TRIM(ERP資料!T445)="捲筒")), 0, IF(MAX(G$2:G444)=0, 1, IF(ERP資料!A445=INDEX(ERP資料!$A$2:$A444, MATCH(MAX(G$2:G444), G$2:G444, 0)), MAX(G$2:G444)+1, MAX(G$2:G444)+2)))</f>
        <v/>
      </c>
      <c r="H445">
        <f>IF(OR(ERP資料!C445="",ERP資料!D445=""),0,ERP資料!D445-ERP資料!C445+1)</f>
        <v/>
      </c>
    </row>
    <row r="446">
      <c r="A446" t="n">
        <v>446</v>
      </c>
      <c r="B446">
        <f>IF(ERP資料!A446="","",ERP資料!A446&amp;"|"&amp;ERP資料!E446&amp;"|"&amp;ERP資料!F446&amp;"|"&amp;ERP資料!G446&amp;"|"&amp;ERP資料!H446&amp;"|"&amp;ERP資料!O446)</f>
        <v/>
      </c>
      <c r="C446">
        <f>IF(B446="",0,IF(COUNTIF(B$2:B445,B446)=0,1,0))</f>
        <v/>
      </c>
      <c r="D446">
        <f>IF(B446="",0,SUMIFS($H$2:$H$801,$B$2:$B$801,B446))</f>
        <v/>
      </c>
      <c r="E446">
        <f>IF(NOT(AND(C446=1, TRIM(ERP資料!T446)="平板")), 0, IF(MAX(E$2:E445)=0, 1, IF(ERP資料!A446=INDEX(ERP資料!$A$2:$A445, MATCH(MAX(E$2:E445), E$2:E445, 0)), MAX(E$2:E445)+1, MAX(E$2:E445)+2)))</f>
        <v/>
      </c>
      <c r="F446">
        <f>IF(NOT(AND(C446=1, TRIM(ERP資料!T446)="平板")), 0, IF(MAX(F$2:F445)=0, 1, IF(ERP資料!A446=INDEX(ERP資料!$A$2:$A445, MATCH(MAX(F$2:F445), F$2:F445, 0)), MAX(F$2:F445)+1, MAX(F$2:F445)+2)))</f>
        <v/>
      </c>
      <c r="G446">
        <f>IF(NOT(AND(C446=1, TRIM(ERP資料!T446)="捲筒")), 0, IF(MAX(G$2:G445)=0, 1, IF(ERP資料!A446=INDEX(ERP資料!$A$2:$A445, MATCH(MAX(G$2:G445), G$2:G445, 0)), MAX(G$2:G445)+1, MAX(G$2:G445)+2)))</f>
        <v/>
      </c>
      <c r="H446">
        <f>IF(OR(ERP資料!C446="",ERP資料!D446=""),0,ERP資料!D446-ERP資料!C446+1)</f>
        <v/>
      </c>
    </row>
    <row r="447">
      <c r="A447" t="n">
        <v>447</v>
      </c>
      <c r="B447">
        <f>IF(ERP資料!A447="","",ERP資料!A447&amp;"|"&amp;ERP資料!E447&amp;"|"&amp;ERP資料!F447&amp;"|"&amp;ERP資料!G447&amp;"|"&amp;ERP資料!H447&amp;"|"&amp;ERP資料!O447)</f>
        <v/>
      </c>
      <c r="C447">
        <f>IF(B447="",0,IF(COUNTIF(B$2:B446,B447)=0,1,0))</f>
        <v/>
      </c>
      <c r="D447">
        <f>IF(B447="",0,SUMIFS($H$2:$H$801,$B$2:$B$801,B447))</f>
        <v/>
      </c>
      <c r="E447">
        <f>IF(NOT(AND(C447=1, TRIM(ERP資料!T447)="平板")), 0, IF(MAX(E$2:E446)=0, 1, IF(ERP資料!A447=INDEX(ERP資料!$A$2:$A446, MATCH(MAX(E$2:E446), E$2:E446, 0)), MAX(E$2:E446)+1, MAX(E$2:E446)+2)))</f>
        <v/>
      </c>
      <c r="F447">
        <f>IF(NOT(AND(C447=1, TRIM(ERP資料!T447)="平板")), 0, IF(MAX(F$2:F446)=0, 1, IF(ERP資料!A447=INDEX(ERP資料!$A$2:$A446, MATCH(MAX(F$2:F446), F$2:F446, 0)), MAX(F$2:F446)+1, MAX(F$2:F446)+2)))</f>
        <v/>
      </c>
      <c r="G447">
        <f>IF(NOT(AND(C447=1, TRIM(ERP資料!T447)="捲筒")), 0, IF(MAX(G$2:G446)=0, 1, IF(ERP資料!A447=INDEX(ERP資料!$A$2:$A446, MATCH(MAX(G$2:G446), G$2:G446, 0)), MAX(G$2:G446)+1, MAX(G$2:G446)+2)))</f>
        <v/>
      </c>
      <c r="H447">
        <f>IF(OR(ERP資料!C447="",ERP資料!D447=""),0,ERP資料!D447-ERP資料!C447+1)</f>
        <v/>
      </c>
    </row>
    <row r="448">
      <c r="A448" t="n">
        <v>448</v>
      </c>
      <c r="B448">
        <f>IF(ERP資料!A448="","",ERP資料!A448&amp;"|"&amp;ERP資料!E448&amp;"|"&amp;ERP資料!F448&amp;"|"&amp;ERP資料!G448&amp;"|"&amp;ERP資料!H448&amp;"|"&amp;ERP資料!O448)</f>
        <v/>
      </c>
      <c r="C448">
        <f>IF(B448="",0,IF(COUNTIF(B$2:B447,B448)=0,1,0))</f>
        <v/>
      </c>
      <c r="D448">
        <f>IF(B448="",0,SUMIFS($H$2:$H$801,$B$2:$B$801,B448))</f>
        <v/>
      </c>
      <c r="E448">
        <f>IF(NOT(AND(C448=1, TRIM(ERP資料!T448)="平板")), 0, IF(MAX(E$2:E447)=0, 1, IF(ERP資料!A448=INDEX(ERP資料!$A$2:$A447, MATCH(MAX(E$2:E447), E$2:E447, 0)), MAX(E$2:E447)+1, MAX(E$2:E447)+2)))</f>
        <v/>
      </c>
      <c r="F448">
        <f>IF(NOT(AND(C448=1, TRIM(ERP資料!T448)="平板")), 0, IF(MAX(F$2:F447)=0, 1, IF(ERP資料!A448=INDEX(ERP資料!$A$2:$A447, MATCH(MAX(F$2:F447), F$2:F447, 0)), MAX(F$2:F447)+1, MAX(F$2:F447)+2)))</f>
        <v/>
      </c>
      <c r="G448">
        <f>IF(NOT(AND(C448=1, TRIM(ERP資料!T448)="捲筒")), 0, IF(MAX(G$2:G447)=0, 1, IF(ERP資料!A448=INDEX(ERP資料!$A$2:$A447, MATCH(MAX(G$2:G447), G$2:G447, 0)), MAX(G$2:G447)+1, MAX(G$2:G447)+2)))</f>
        <v/>
      </c>
      <c r="H448">
        <f>IF(OR(ERP資料!C448="",ERP資料!D448=""),0,ERP資料!D448-ERP資料!C448+1)</f>
        <v/>
      </c>
    </row>
    <row r="449">
      <c r="A449" t="n">
        <v>449</v>
      </c>
      <c r="B449">
        <f>IF(ERP資料!A449="","",ERP資料!A449&amp;"|"&amp;ERP資料!E449&amp;"|"&amp;ERP資料!F449&amp;"|"&amp;ERP資料!G449&amp;"|"&amp;ERP資料!H449&amp;"|"&amp;ERP資料!O449)</f>
        <v/>
      </c>
      <c r="C449">
        <f>IF(B449="",0,IF(COUNTIF(B$2:B448,B449)=0,1,0))</f>
        <v/>
      </c>
      <c r="D449">
        <f>IF(B449="",0,SUMIFS($H$2:$H$801,$B$2:$B$801,B449))</f>
        <v/>
      </c>
      <c r="E449">
        <f>IF(NOT(AND(C449=1, TRIM(ERP資料!T449)="平板")), 0, IF(MAX(E$2:E448)=0, 1, IF(ERP資料!A449=INDEX(ERP資料!$A$2:$A448, MATCH(MAX(E$2:E448), E$2:E448, 0)), MAX(E$2:E448)+1, MAX(E$2:E448)+2)))</f>
        <v/>
      </c>
      <c r="F449">
        <f>IF(NOT(AND(C449=1, TRIM(ERP資料!T449)="平板")), 0, IF(MAX(F$2:F448)=0, 1, IF(ERP資料!A449=INDEX(ERP資料!$A$2:$A448, MATCH(MAX(F$2:F448), F$2:F448, 0)), MAX(F$2:F448)+1, MAX(F$2:F448)+2)))</f>
        <v/>
      </c>
      <c r="G449">
        <f>IF(NOT(AND(C449=1, TRIM(ERP資料!T449)="捲筒")), 0, IF(MAX(G$2:G448)=0, 1, IF(ERP資料!A449=INDEX(ERP資料!$A$2:$A448, MATCH(MAX(G$2:G448), G$2:G448, 0)), MAX(G$2:G448)+1, MAX(G$2:G448)+2)))</f>
        <v/>
      </c>
      <c r="H449">
        <f>IF(OR(ERP資料!C449="",ERP資料!D449=""),0,ERP資料!D449-ERP資料!C449+1)</f>
        <v/>
      </c>
    </row>
    <row r="450">
      <c r="A450" t="n">
        <v>450</v>
      </c>
      <c r="B450">
        <f>IF(ERP資料!A450="","",ERP資料!A450&amp;"|"&amp;ERP資料!E450&amp;"|"&amp;ERP資料!F450&amp;"|"&amp;ERP資料!G450&amp;"|"&amp;ERP資料!H450&amp;"|"&amp;ERP資料!O450)</f>
        <v/>
      </c>
      <c r="C450">
        <f>IF(B450="",0,IF(COUNTIF(B$2:B449,B450)=0,1,0))</f>
        <v/>
      </c>
      <c r="D450">
        <f>IF(B450="",0,SUMIFS($H$2:$H$801,$B$2:$B$801,B450))</f>
        <v/>
      </c>
      <c r="E450">
        <f>IF(NOT(AND(C450=1, TRIM(ERP資料!T450)="平板")), 0, IF(MAX(E$2:E449)=0, 1, IF(ERP資料!A450=INDEX(ERP資料!$A$2:$A449, MATCH(MAX(E$2:E449), E$2:E449, 0)), MAX(E$2:E449)+1, MAX(E$2:E449)+2)))</f>
        <v/>
      </c>
      <c r="F450">
        <f>IF(NOT(AND(C450=1, TRIM(ERP資料!T450)="平板")), 0, IF(MAX(F$2:F449)=0, 1, IF(ERP資料!A450=INDEX(ERP資料!$A$2:$A449, MATCH(MAX(F$2:F449), F$2:F449, 0)), MAX(F$2:F449)+1, MAX(F$2:F449)+2)))</f>
        <v/>
      </c>
      <c r="G450">
        <f>IF(NOT(AND(C450=1, TRIM(ERP資料!T450)="捲筒")), 0, IF(MAX(G$2:G449)=0, 1, IF(ERP資料!A450=INDEX(ERP資料!$A$2:$A449, MATCH(MAX(G$2:G449), G$2:G449, 0)), MAX(G$2:G449)+1, MAX(G$2:G449)+2)))</f>
        <v/>
      </c>
      <c r="H450">
        <f>IF(OR(ERP資料!C450="",ERP資料!D450=""),0,ERP資料!D450-ERP資料!C450+1)</f>
        <v/>
      </c>
    </row>
    <row r="451">
      <c r="A451" t="n">
        <v>451</v>
      </c>
      <c r="B451">
        <f>IF(ERP資料!A451="","",ERP資料!A451&amp;"|"&amp;ERP資料!E451&amp;"|"&amp;ERP資料!F451&amp;"|"&amp;ERP資料!G451&amp;"|"&amp;ERP資料!H451&amp;"|"&amp;ERP資料!O451)</f>
        <v/>
      </c>
      <c r="C451">
        <f>IF(B451="",0,IF(COUNTIF(B$2:B450,B451)=0,1,0))</f>
        <v/>
      </c>
      <c r="D451">
        <f>IF(B451="",0,SUMIFS($H$2:$H$801,$B$2:$B$801,B451))</f>
        <v/>
      </c>
      <c r="E451">
        <f>IF(NOT(AND(C451=1, TRIM(ERP資料!T451)="平板")), 0, IF(MAX(E$2:E450)=0, 1, IF(ERP資料!A451=INDEX(ERP資料!$A$2:$A450, MATCH(MAX(E$2:E450), E$2:E450, 0)), MAX(E$2:E450)+1, MAX(E$2:E450)+2)))</f>
        <v/>
      </c>
      <c r="F451">
        <f>IF(NOT(AND(C451=1, TRIM(ERP資料!T451)="平板")), 0, IF(MAX(F$2:F450)=0, 1, IF(ERP資料!A451=INDEX(ERP資料!$A$2:$A450, MATCH(MAX(F$2:F450), F$2:F450, 0)), MAX(F$2:F450)+1, MAX(F$2:F450)+2)))</f>
        <v/>
      </c>
      <c r="G451">
        <f>IF(NOT(AND(C451=1, TRIM(ERP資料!T451)="捲筒")), 0, IF(MAX(G$2:G450)=0, 1, IF(ERP資料!A451=INDEX(ERP資料!$A$2:$A450, MATCH(MAX(G$2:G450), G$2:G450, 0)), MAX(G$2:G450)+1, MAX(G$2:G450)+2)))</f>
        <v/>
      </c>
      <c r="H451">
        <f>IF(OR(ERP資料!C451="",ERP資料!D451=""),0,ERP資料!D451-ERP資料!C451+1)</f>
        <v/>
      </c>
    </row>
    <row r="452">
      <c r="A452" t="n">
        <v>452</v>
      </c>
      <c r="B452">
        <f>IF(ERP資料!A452="","",ERP資料!A452&amp;"|"&amp;ERP資料!E452&amp;"|"&amp;ERP資料!F452&amp;"|"&amp;ERP資料!G452&amp;"|"&amp;ERP資料!H452&amp;"|"&amp;ERP資料!O452)</f>
        <v/>
      </c>
      <c r="C452">
        <f>IF(B452="",0,IF(COUNTIF(B$2:B451,B452)=0,1,0))</f>
        <v/>
      </c>
      <c r="D452">
        <f>IF(B452="",0,SUMIFS($H$2:$H$801,$B$2:$B$801,B452))</f>
        <v/>
      </c>
      <c r="E452">
        <f>IF(NOT(AND(C452=1, TRIM(ERP資料!T452)="平板")), 0, IF(MAX(E$2:E451)=0, 1, IF(ERP資料!A452=INDEX(ERP資料!$A$2:$A451, MATCH(MAX(E$2:E451), E$2:E451, 0)), MAX(E$2:E451)+1, MAX(E$2:E451)+2)))</f>
        <v/>
      </c>
      <c r="F452">
        <f>IF(NOT(AND(C452=1, TRIM(ERP資料!T452)="平板")), 0, IF(MAX(F$2:F451)=0, 1, IF(ERP資料!A452=INDEX(ERP資料!$A$2:$A451, MATCH(MAX(F$2:F451), F$2:F451, 0)), MAX(F$2:F451)+1, MAX(F$2:F451)+2)))</f>
        <v/>
      </c>
      <c r="G452">
        <f>IF(NOT(AND(C452=1, TRIM(ERP資料!T452)="捲筒")), 0, IF(MAX(G$2:G451)=0, 1, IF(ERP資料!A452=INDEX(ERP資料!$A$2:$A451, MATCH(MAX(G$2:G451), G$2:G451, 0)), MAX(G$2:G451)+1, MAX(G$2:G451)+2)))</f>
        <v/>
      </c>
      <c r="H452">
        <f>IF(OR(ERP資料!C452="",ERP資料!D452=""),0,ERP資料!D452-ERP資料!C452+1)</f>
        <v/>
      </c>
    </row>
    <row r="453">
      <c r="A453" t="n">
        <v>453</v>
      </c>
      <c r="B453">
        <f>IF(ERP資料!A453="","",ERP資料!A453&amp;"|"&amp;ERP資料!E453&amp;"|"&amp;ERP資料!F453&amp;"|"&amp;ERP資料!G453&amp;"|"&amp;ERP資料!H453&amp;"|"&amp;ERP資料!O453)</f>
        <v/>
      </c>
      <c r="C453">
        <f>IF(B453="",0,IF(COUNTIF(B$2:B452,B453)=0,1,0))</f>
        <v/>
      </c>
      <c r="D453">
        <f>IF(B453="",0,SUMIFS($H$2:$H$801,$B$2:$B$801,B453))</f>
        <v/>
      </c>
      <c r="E453">
        <f>IF(NOT(AND(C453=1, TRIM(ERP資料!T453)="平板")), 0, IF(MAX(E$2:E452)=0, 1, IF(ERP資料!A453=INDEX(ERP資料!$A$2:$A452, MATCH(MAX(E$2:E452), E$2:E452, 0)), MAX(E$2:E452)+1, MAX(E$2:E452)+2)))</f>
        <v/>
      </c>
      <c r="F453">
        <f>IF(NOT(AND(C453=1, TRIM(ERP資料!T453)="平板")), 0, IF(MAX(F$2:F452)=0, 1, IF(ERP資料!A453=INDEX(ERP資料!$A$2:$A452, MATCH(MAX(F$2:F452), F$2:F452, 0)), MAX(F$2:F452)+1, MAX(F$2:F452)+2)))</f>
        <v/>
      </c>
      <c r="G453">
        <f>IF(NOT(AND(C453=1, TRIM(ERP資料!T453)="捲筒")), 0, IF(MAX(G$2:G452)=0, 1, IF(ERP資料!A453=INDEX(ERP資料!$A$2:$A452, MATCH(MAX(G$2:G452), G$2:G452, 0)), MAX(G$2:G452)+1, MAX(G$2:G452)+2)))</f>
        <v/>
      </c>
      <c r="H453">
        <f>IF(OR(ERP資料!C453="",ERP資料!D453=""),0,ERP資料!D453-ERP資料!C453+1)</f>
        <v/>
      </c>
    </row>
    <row r="454">
      <c r="A454" t="n">
        <v>454</v>
      </c>
      <c r="B454">
        <f>IF(ERP資料!A454="","",ERP資料!A454&amp;"|"&amp;ERP資料!E454&amp;"|"&amp;ERP資料!F454&amp;"|"&amp;ERP資料!G454&amp;"|"&amp;ERP資料!H454&amp;"|"&amp;ERP資料!O454)</f>
        <v/>
      </c>
      <c r="C454">
        <f>IF(B454="",0,IF(COUNTIF(B$2:B453,B454)=0,1,0))</f>
        <v/>
      </c>
      <c r="D454">
        <f>IF(B454="",0,SUMIFS($H$2:$H$801,$B$2:$B$801,B454))</f>
        <v/>
      </c>
      <c r="E454">
        <f>IF(NOT(AND(C454=1, TRIM(ERP資料!T454)="平板")), 0, IF(MAX(E$2:E453)=0, 1, IF(ERP資料!A454=INDEX(ERP資料!$A$2:$A453, MATCH(MAX(E$2:E453), E$2:E453, 0)), MAX(E$2:E453)+1, MAX(E$2:E453)+2)))</f>
        <v/>
      </c>
      <c r="F454">
        <f>IF(NOT(AND(C454=1, TRIM(ERP資料!T454)="平板")), 0, IF(MAX(F$2:F453)=0, 1, IF(ERP資料!A454=INDEX(ERP資料!$A$2:$A453, MATCH(MAX(F$2:F453), F$2:F453, 0)), MAX(F$2:F453)+1, MAX(F$2:F453)+2)))</f>
        <v/>
      </c>
      <c r="G454">
        <f>IF(NOT(AND(C454=1, TRIM(ERP資料!T454)="捲筒")), 0, IF(MAX(G$2:G453)=0, 1, IF(ERP資料!A454=INDEX(ERP資料!$A$2:$A453, MATCH(MAX(G$2:G453), G$2:G453, 0)), MAX(G$2:G453)+1, MAX(G$2:G453)+2)))</f>
        <v/>
      </c>
      <c r="H454">
        <f>IF(OR(ERP資料!C454="",ERP資料!D454=""),0,ERP資料!D454-ERP資料!C454+1)</f>
        <v/>
      </c>
    </row>
    <row r="455">
      <c r="A455" t="n">
        <v>455</v>
      </c>
      <c r="B455">
        <f>IF(ERP資料!A455="","",ERP資料!A455&amp;"|"&amp;ERP資料!E455&amp;"|"&amp;ERP資料!F455&amp;"|"&amp;ERP資料!G455&amp;"|"&amp;ERP資料!H455&amp;"|"&amp;ERP資料!O455)</f>
        <v/>
      </c>
      <c r="C455">
        <f>IF(B455="",0,IF(COUNTIF(B$2:B454,B455)=0,1,0))</f>
        <v/>
      </c>
      <c r="D455">
        <f>IF(B455="",0,SUMIFS($H$2:$H$801,$B$2:$B$801,B455))</f>
        <v/>
      </c>
      <c r="E455">
        <f>IF(NOT(AND(C455=1, TRIM(ERP資料!T455)="平板")), 0, IF(MAX(E$2:E454)=0, 1, IF(ERP資料!A455=INDEX(ERP資料!$A$2:$A454, MATCH(MAX(E$2:E454), E$2:E454, 0)), MAX(E$2:E454)+1, MAX(E$2:E454)+2)))</f>
        <v/>
      </c>
      <c r="F455">
        <f>IF(NOT(AND(C455=1, TRIM(ERP資料!T455)="平板")), 0, IF(MAX(F$2:F454)=0, 1, IF(ERP資料!A455=INDEX(ERP資料!$A$2:$A454, MATCH(MAX(F$2:F454), F$2:F454, 0)), MAX(F$2:F454)+1, MAX(F$2:F454)+2)))</f>
        <v/>
      </c>
      <c r="G455">
        <f>IF(NOT(AND(C455=1, TRIM(ERP資料!T455)="捲筒")), 0, IF(MAX(G$2:G454)=0, 1, IF(ERP資料!A455=INDEX(ERP資料!$A$2:$A454, MATCH(MAX(G$2:G454), G$2:G454, 0)), MAX(G$2:G454)+1, MAX(G$2:G454)+2)))</f>
        <v/>
      </c>
      <c r="H455">
        <f>IF(OR(ERP資料!C455="",ERP資料!D455=""),0,ERP資料!D455-ERP資料!C455+1)</f>
        <v/>
      </c>
    </row>
    <row r="456">
      <c r="A456" t="n">
        <v>456</v>
      </c>
      <c r="B456">
        <f>IF(ERP資料!A456="","",ERP資料!A456&amp;"|"&amp;ERP資料!E456&amp;"|"&amp;ERP資料!F456&amp;"|"&amp;ERP資料!G456&amp;"|"&amp;ERP資料!H456&amp;"|"&amp;ERP資料!O456)</f>
        <v/>
      </c>
      <c r="C456">
        <f>IF(B456="",0,IF(COUNTIF(B$2:B455,B456)=0,1,0))</f>
        <v/>
      </c>
      <c r="D456">
        <f>IF(B456="",0,SUMIFS($H$2:$H$801,$B$2:$B$801,B456))</f>
        <v/>
      </c>
      <c r="E456">
        <f>IF(NOT(AND(C456=1, TRIM(ERP資料!T456)="平板")), 0, IF(MAX(E$2:E455)=0, 1, IF(ERP資料!A456=INDEX(ERP資料!$A$2:$A455, MATCH(MAX(E$2:E455), E$2:E455, 0)), MAX(E$2:E455)+1, MAX(E$2:E455)+2)))</f>
        <v/>
      </c>
      <c r="F456">
        <f>IF(NOT(AND(C456=1, TRIM(ERP資料!T456)="平板")), 0, IF(MAX(F$2:F455)=0, 1, IF(ERP資料!A456=INDEX(ERP資料!$A$2:$A455, MATCH(MAX(F$2:F455), F$2:F455, 0)), MAX(F$2:F455)+1, MAX(F$2:F455)+2)))</f>
        <v/>
      </c>
      <c r="G456">
        <f>IF(NOT(AND(C456=1, TRIM(ERP資料!T456)="捲筒")), 0, IF(MAX(G$2:G455)=0, 1, IF(ERP資料!A456=INDEX(ERP資料!$A$2:$A455, MATCH(MAX(G$2:G455), G$2:G455, 0)), MAX(G$2:G455)+1, MAX(G$2:G455)+2)))</f>
        <v/>
      </c>
      <c r="H456">
        <f>IF(OR(ERP資料!C456="",ERP資料!D456=""),0,ERP資料!D456-ERP資料!C456+1)</f>
        <v/>
      </c>
    </row>
    <row r="457">
      <c r="A457" t="n">
        <v>457</v>
      </c>
      <c r="B457">
        <f>IF(ERP資料!A457="","",ERP資料!A457&amp;"|"&amp;ERP資料!E457&amp;"|"&amp;ERP資料!F457&amp;"|"&amp;ERP資料!G457&amp;"|"&amp;ERP資料!H457&amp;"|"&amp;ERP資料!O457)</f>
        <v/>
      </c>
      <c r="C457">
        <f>IF(B457="",0,IF(COUNTIF(B$2:B456,B457)=0,1,0))</f>
        <v/>
      </c>
      <c r="D457">
        <f>IF(B457="",0,SUMIFS($H$2:$H$801,$B$2:$B$801,B457))</f>
        <v/>
      </c>
      <c r="E457">
        <f>IF(NOT(AND(C457=1, TRIM(ERP資料!T457)="平板")), 0, IF(MAX(E$2:E456)=0, 1, IF(ERP資料!A457=INDEX(ERP資料!$A$2:$A456, MATCH(MAX(E$2:E456), E$2:E456, 0)), MAX(E$2:E456)+1, MAX(E$2:E456)+2)))</f>
        <v/>
      </c>
      <c r="F457">
        <f>IF(NOT(AND(C457=1, TRIM(ERP資料!T457)="平板")), 0, IF(MAX(F$2:F456)=0, 1, IF(ERP資料!A457=INDEX(ERP資料!$A$2:$A456, MATCH(MAX(F$2:F456), F$2:F456, 0)), MAX(F$2:F456)+1, MAX(F$2:F456)+2)))</f>
        <v/>
      </c>
      <c r="G457">
        <f>IF(NOT(AND(C457=1, TRIM(ERP資料!T457)="捲筒")), 0, IF(MAX(G$2:G456)=0, 1, IF(ERP資料!A457=INDEX(ERP資料!$A$2:$A456, MATCH(MAX(G$2:G456), G$2:G456, 0)), MAX(G$2:G456)+1, MAX(G$2:G456)+2)))</f>
        <v/>
      </c>
      <c r="H457">
        <f>IF(OR(ERP資料!C457="",ERP資料!D457=""),0,ERP資料!D457-ERP資料!C457+1)</f>
        <v/>
      </c>
    </row>
    <row r="458">
      <c r="A458" t="n">
        <v>458</v>
      </c>
      <c r="B458">
        <f>IF(ERP資料!A458="","",ERP資料!A458&amp;"|"&amp;ERP資料!E458&amp;"|"&amp;ERP資料!F458&amp;"|"&amp;ERP資料!G458&amp;"|"&amp;ERP資料!H458&amp;"|"&amp;ERP資料!O458)</f>
        <v/>
      </c>
      <c r="C458">
        <f>IF(B458="",0,IF(COUNTIF(B$2:B457,B458)=0,1,0))</f>
        <v/>
      </c>
      <c r="D458">
        <f>IF(B458="",0,SUMIFS($H$2:$H$801,$B$2:$B$801,B458))</f>
        <v/>
      </c>
      <c r="E458">
        <f>IF(NOT(AND(C458=1, TRIM(ERP資料!T458)="平板")), 0, IF(MAX(E$2:E457)=0, 1, IF(ERP資料!A458=INDEX(ERP資料!$A$2:$A457, MATCH(MAX(E$2:E457), E$2:E457, 0)), MAX(E$2:E457)+1, MAX(E$2:E457)+2)))</f>
        <v/>
      </c>
      <c r="F458">
        <f>IF(NOT(AND(C458=1, TRIM(ERP資料!T458)="平板")), 0, IF(MAX(F$2:F457)=0, 1, IF(ERP資料!A458=INDEX(ERP資料!$A$2:$A457, MATCH(MAX(F$2:F457), F$2:F457, 0)), MAX(F$2:F457)+1, MAX(F$2:F457)+2)))</f>
        <v/>
      </c>
      <c r="G458">
        <f>IF(NOT(AND(C458=1, TRIM(ERP資料!T458)="捲筒")), 0, IF(MAX(G$2:G457)=0, 1, IF(ERP資料!A458=INDEX(ERP資料!$A$2:$A457, MATCH(MAX(G$2:G457), G$2:G457, 0)), MAX(G$2:G457)+1, MAX(G$2:G457)+2)))</f>
        <v/>
      </c>
      <c r="H458">
        <f>IF(OR(ERP資料!C458="",ERP資料!D458=""),0,ERP資料!D458-ERP資料!C458+1)</f>
        <v/>
      </c>
    </row>
    <row r="459">
      <c r="A459" t="n">
        <v>459</v>
      </c>
      <c r="B459">
        <f>IF(ERP資料!A459="","",ERP資料!A459&amp;"|"&amp;ERP資料!E459&amp;"|"&amp;ERP資料!F459&amp;"|"&amp;ERP資料!G459&amp;"|"&amp;ERP資料!H459&amp;"|"&amp;ERP資料!O459)</f>
        <v/>
      </c>
      <c r="C459">
        <f>IF(B459="",0,IF(COUNTIF(B$2:B458,B459)=0,1,0))</f>
        <v/>
      </c>
      <c r="D459">
        <f>IF(B459="",0,SUMIFS($H$2:$H$801,$B$2:$B$801,B459))</f>
        <v/>
      </c>
      <c r="E459">
        <f>IF(NOT(AND(C459=1, TRIM(ERP資料!T459)="平板")), 0, IF(MAX(E$2:E458)=0, 1, IF(ERP資料!A459=INDEX(ERP資料!$A$2:$A458, MATCH(MAX(E$2:E458), E$2:E458, 0)), MAX(E$2:E458)+1, MAX(E$2:E458)+2)))</f>
        <v/>
      </c>
      <c r="F459">
        <f>IF(NOT(AND(C459=1, TRIM(ERP資料!T459)="平板")), 0, IF(MAX(F$2:F458)=0, 1, IF(ERP資料!A459=INDEX(ERP資料!$A$2:$A458, MATCH(MAX(F$2:F458), F$2:F458, 0)), MAX(F$2:F458)+1, MAX(F$2:F458)+2)))</f>
        <v/>
      </c>
      <c r="G459">
        <f>IF(NOT(AND(C459=1, TRIM(ERP資料!T459)="捲筒")), 0, IF(MAX(G$2:G458)=0, 1, IF(ERP資料!A459=INDEX(ERP資料!$A$2:$A458, MATCH(MAX(G$2:G458), G$2:G458, 0)), MAX(G$2:G458)+1, MAX(G$2:G458)+2)))</f>
        <v/>
      </c>
      <c r="H459">
        <f>IF(OR(ERP資料!C459="",ERP資料!D459=""),0,ERP資料!D459-ERP資料!C459+1)</f>
        <v/>
      </c>
    </row>
    <row r="460">
      <c r="A460" t="n">
        <v>460</v>
      </c>
      <c r="B460">
        <f>IF(ERP資料!A460="","",ERP資料!A460&amp;"|"&amp;ERP資料!E460&amp;"|"&amp;ERP資料!F460&amp;"|"&amp;ERP資料!G460&amp;"|"&amp;ERP資料!H460&amp;"|"&amp;ERP資料!O460)</f>
        <v/>
      </c>
      <c r="C460">
        <f>IF(B460="",0,IF(COUNTIF(B$2:B459,B460)=0,1,0))</f>
        <v/>
      </c>
      <c r="D460">
        <f>IF(B460="",0,SUMIFS($H$2:$H$801,$B$2:$B$801,B460))</f>
        <v/>
      </c>
      <c r="E460">
        <f>IF(NOT(AND(C460=1, TRIM(ERP資料!T460)="平板")), 0, IF(MAX(E$2:E459)=0, 1, IF(ERP資料!A460=INDEX(ERP資料!$A$2:$A459, MATCH(MAX(E$2:E459), E$2:E459, 0)), MAX(E$2:E459)+1, MAX(E$2:E459)+2)))</f>
        <v/>
      </c>
      <c r="F460">
        <f>IF(NOT(AND(C460=1, TRIM(ERP資料!T460)="平板")), 0, IF(MAX(F$2:F459)=0, 1, IF(ERP資料!A460=INDEX(ERP資料!$A$2:$A459, MATCH(MAX(F$2:F459), F$2:F459, 0)), MAX(F$2:F459)+1, MAX(F$2:F459)+2)))</f>
        <v/>
      </c>
      <c r="G460">
        <f>IF(NOT(AND(C460=1, TRIM(ERP資料!T460)="捲筒")), 0, IF(MAX(G$2:G459)=0, 1, IF(ERP資料!A460=INDEX(ERP資料!$A$2:$A459, MATCH(MAX(G$2:G459), G$2:G459, 0)), MAX(G$2:G459)+1, MAX(G$2:G459)+2)))</f>
        <v/>
      </c>
      <c r="H460">
        <f>IF(OR(ERP資料!C460="",ERP資料!D460=""),0,ERP資料!D460-ERP資料!C460+1)</f>
        <v/>
      </c>
    </row>
    <row r="461">
      <c r="A461" t="n">
        <v>461</v>
      </c>
      <c r="B461">
        <f>IF(ERP資料!A461="","",ERP資料!A461&amp;"|"&amp;ERP資料!E461&amp;"|"&amp;ERP資料!F461&amp;"|"&amp;ERP資料!G461&amp;"|"&amp;ERP資料!H461&amp;"|"&amp;ERP資料!O461)</f>
        <v/>
      </c>
      <c r="C461">
        <f>IF(B461="",0,IF(COUNTIF(B$2:B460,B461)=0,1,0))</f>
        <v/>
      </c>
      <c r="D461">
        <f>IF(B461="",0,SUMIFS($H$2:$H$801,$B$2:$B$801,B461))</f>
        <v/>
      </c>
      <c r="E461">
        <f>IF(NOT(AND(C461=1, TRIM(ERP資料!T461)="平板")), 0, IF(MAX(E$2:E460)=0, 1, IF(ERP資料!A461=INDEX(ERP資料!$A$2:$A460, MATCH(MAX(E$2:E460), E$2:E460, 0)), MAX(E$2:E460)+1, MAX(E$2:E460)+2)))</f>
        <v/>
      </c>
      <c r="F461">
        <f>IF(NOT(AND(C461=1, TRIM(ERP資料!T461)="平板")), 0, IF(MAX(F$2:F460)=0, 1, IF(ERP資料!A461=INDEX(ERP資料!$A$2:$A460, MATCH(MAX(F$2:F460), F$2:F460, 0)), MAX(F$2:F460)+1, MAX(F$2:F460)+2)))</f>
        <v/>
      </c>
      <c r="G461">
        <f>IF(NOT(AND(C461=1, TRIM(ERP資料!T461)="捲筒")), 0, IF(MAX(G$2:G460)=0, 1, IF(ERP資料!A461=INDEX(ERP資料!$A$2:$A460, MATCH(MAX(G$2:G460), G$2:G460, 0)), MAX(G$2:G460)+1, MAX(G$2:G460)+2)))</f>
        <v/>
      </c>
      <c r="H461">
        <f>IF(OR(ERP資料!C461="",ERP資料!D461=""),0,ERP資料!D461-ERP資料!C461+1)</f>
        <v/>
      </c>
    </row>
    <row r="462">
      <c r="A462" t="n">
        <v>462</v>
      </c>
      <c r="B462">
        <f>IF(ERP資料!A462="","",ERP資料!A462&amp;"|"&amp;ERP資料!E462&amp;"|"&amp;ERP資料!F462&amp;"|"&amp;ERP資料!G462&amp;"|"&amp;ERP資料!H462&amp;"|"&amp;ERP資料!O462)</f>
        <v/>
      </c>
      <c r="C462">
        <f>IF(B462="",0,IF(COUNTIF(B$2:B461,B462)=0,1,0))</f>
        <v/>
      </c>
      <c r="D462">
        <f>IF(B462="",0,SUMIFS($H$2:$H$801,$B$2:$B$801,B462))</f>
        <v/>
      </c>
      <c r="E462">
        <f>IF(NOT(AND(C462=1, TRIM(ERP資料!T462)="平板")), 0, IF(MAX(E$2:E461)=0, 1, IF(ERP資料!A462=INDEX(ERP資料!$A$2:$A461, MATCH(MAX(E$2:E461), E$2:E461, 0)), MAX(E$2:E461)+1, MAX(E$2:E461)+2)))</f>
        <v/>
      </c>
      <c r="F462">
        <f>IF(NOT(AND(C462=1, TRIM(ERP資料!T462)="平板")), 0, IF(MAX(F$2:F461)=0, 1, IF(ERP資料!A462=INDEX(ERP資料!$A$2:$A461, MATCH(MAX(F$2:F461), F$2:F461, 0)), MAX(F$2:F461)+1, MAX(F$2:F461)+2)))</f>
        <v/>
      </c>
      <c r="G462">
        <f>IF(NOT(AND(C462=1, TRIM(ERP資料!T462)="捲筒")), 0, IF(MAX(G$2:G461)=0, 1, IF(ERP資料!A462=INDEX(ERP資料!$A$2:$A461, MATCH(MAX(G$2:G461), G$2:G461, 0)), MAX(G$2:G461)+1, MAX(G$2:G461)+2)))</f>
        <v/>
      </c>
      <c r="H462">
        <f>IF(OR(ERP資料!C462="",ERP資料!D462=""),0,ERP資料!D462-ERP資料!C462+1)</f>
        <v/>
      </c>
    </row>
    <row r="463">
      <c r="A463" t="n">
        <v>463</v>
      </c>
      <c r="B463">
        <f>IF(ERP資料!A463="","",ERP資料!A463&amp;"|"&amp;ERP資料!E463&amp;"|"&amp;ERP資料!F463&amp;"|"&amp;ERP資料!G463&amp;"|"&amp;ERP資料!H463&amp;"|"&amp;ERP資料!O463)</f>
        <v/>
      </c>
      <c r="C463">
        <f>IF(B463="",0,IF(COUNTIF(B$2:B462,B463)=0,1,0))</f>
        <v/>
      </c>
      <c r="D463">
        <f>IF(B463="",0,SUMIFS($H$2:$H$801,$B$2:$B$801,B463))</f>
        <v/>
      </c>
      <c r="E463">
        <f>IF(NOT(AND(C463=1, TRIM(ERP資料!T463)="平板")), 0, IF(MAX(E$2:E462)=0, 1, IF(ERP資料!A463=INDEX(ERP資料!$A$2:$A462, MATCH(MAX(E$2:E462), E$2:E462, 0)), MAX(E$2:E462)+1, MAX(E$2:E462)+2)))</f>
        <v/>
      </c>
      <c r="F463">
        <f>IF(NOT(AND(C463=1, TRIM(ERP資料!T463)="平板")), 0, IF(MAX(F$2:F462)=0, 1, IF(ERP資料!A463=INDEX(ERP資料!$A$2:$A462, MATCH(MAX(F$2:F462), F$2:F462, 0)), MAX(F$2:F462)+1, MAX(F$2:F462)+2)))</f>
        <v/>
      </c>
      <c r="G463">
        <f>IF(NOT(AND(C463=1, TRIM(ERP資料!T463)="捲筒")), 0, IF(MAX(G$2:G462)=0, 1, IF(ERP資料!A463=INDEX(ERP資料!$A$2:$A462, MATCH(MAX(G$2:G462), G$2:G462, 0)), MAX(G$2:G462)+1, MAX(G$2:G462)+2)))</f>
        <v/>
      </c>
      <c r="H463">
        <f>IF(OR(ERP資料!C463="",ERP資料!D463=""),0,ERP資料!D463-ERP資料!C463+1)</f>
        <v/>
      </c>
    </row>
    <row r="464">
      <c r="A464" t="n">
        <v>464</v>
      </c>
      <c r="B464">
        <f>IF(ERP資料!A464="","",ERP資料!A464&amp;"|"&amp;ERP資料!E464&amp;"|"&amp;ERP資料!F464&amp;"|"&amp;ERP資料!G464&amp;"|"&amp;ERP資料!H464&amp;"|"&amp;ERP資料!O464)</f>
        <v/>
      </c>
      <c r="C464">
        <f>IF(B464="",0,IF(COUNTIF(B$2:B463,B464)=0,1,0))</f>
        <v/>
      </c>
      <c r="D464">
        <f>IF(B464="",0,SUMIFS($H$2:$H$801,$B$2:$B$801,B464))</f>
        <v/>
      </c>
      <c r="E464">
        <f>IF(NOT(AND(C464=1, TRIM(ERP資料!T464)="平板")), 0, IF(MAX(E$2:E463)=0, 1, IF(ERP資料!A464=INDEX(ERP資料!$A$2:$A463, MATCH(MAX(E$2:E463), E$2:E463, 0)), MAX(E$2:E463)+1, MAX(E$2:E463)+2)))</f>
        <v/>
      </c>
      <c r="F464">
        <f>IF(NOT(AND(C464=1, TRIM(ERP資料!T464)="平板")), 0, IF(MAX(F$2:F463)=0, 1, IF(ERP資料!A464=INDEX(ERP資料!$A$2:$A463, MATCH(MAX(F$2:F463), F$2:F463, 0)), MAX(F$2:F463)+1, MAX(F$2:F463)+2)))</f>
        <v/>
      </c>
      <c r="G464">
        <f>IF(NOT(AND(C464=1, TRIM(ERP資料!T464)="捲筒")), 0, IF(MAX(G$2:G463)=0, 1, IF(ERP資料!A464=INDEX(ERP資料!$A$2:$A463, MATCH(MAX(G$2:G463), G$2:G463, 0)), MAX(G$2:G463)+1, MAX(G$2:G463)+2)))</f>
        <v/>
      </c>
      <c r="H464">
        <f>IF(OR(ERP資料!C464="",ERP資料!D464=""),0,ERP資料!D464-ERP資料!C464+1)</f>
        <v/>
      </c>
    </row>
    <row r="465">
      <c r="A465" t="n">
        <v>465</v>
      </c>
      <c r="B465">
        <f>IF(ERP資料!A465="","",ERP資料!A465&amp;"|"&amp;ERP資料!E465&amp;"|"&amp;ERP資料!F465&amp;"|"&amp;ERP資料!G465&amp;"|"&amp;ERP資料!H465&amp;"|"&amp;ERP資料!O465)</f>
        <v/>
      </c>
      <c r="C465">
        <f>IF(B465="",0,IF(COUNTIF(B$2:B464,B465)=0,1,0))</f>
        <v/>
      </c>
      <c r="D465">
        <f>IF(B465="",0,SUMIFS($H$2:$H$801,$B$2:$B$801,B465))</f>
        <v/>
      </c>
      <c r="E465">
        <f>IF(NOT(AND(C465=1, TRIM(ERP資料!T465)="平板")), 0, IF(MAX(E$2:E464)=0, 1, IF(ERP資料!A465=INDEX(ERP資料!$A$2:$A464, MATCH(MAX(E$2:E464), E$2:E464, 0)), MAX(E$2:E464)+1, MAX(E$2:E464)+2)))</f>
        <v/>
      </c>
      <c r="F465">
        <f>IF(NOT(AND(C465=1, TRIM(ERP資料!T465)="平板")), 0, IF(MAX(F$2:F464)=0, 1, IF(ERP資料!A465=INDEX(ERP資料!$A$2:$A464, MATCH(MAX(F$2:F464), F$2:F464, 0)), MAX(F$2:F464)+1, MAX(F$2:F464)+2)))</f>
        <v/>
      </c>
      <c r="G465">
        <f>IF(NOT(AND(C465=1, TRIM(ERP資料!T465)="捲筒")), 0, IF(MAX(G$2:G464)=0, 1, IF(ERP資料!A465=INDEX(ERP資料!$A$2:$A464, MATCH(MAX(G$2:G464), G$2:G464, 0)), MAX(G$2:G464)+1, MAX(G$2:G464)+2)))</f>
        <v/>
      </c>
      <c r="H465">
        <f>IF(OR(ERP資料!C465="",ERP資料!D465=""),0,ERP資料!D465-ERP資料!C465+1)</f>
        <v/>
      </c>
    </row>
    <row r="466">
      <c r="A466" t="n">
        <v>466</v>
      </c>
      <c r="B466">
        <f>IF(ERP資料!A466="","",ERP資料!A466&amp;"|"&amp;ERP資料!E466&amp;"|"&amp;ERP資料!F466&amp;"|"&amp;ERP資料!G466&amp;"|"&amp;ERP資料!H466&amp;"|"&amp;ERP資料!O466)</f>
        <v/>
      </c>
      <c r="C466">
        <f>IF(B466="",0,IF(COUNTIF(B$2:B465,B466)=0,1,0))</f>
        <v/>
      </c>
      <c r="D466">
        <f>IF(B466="",0,SUMIFS($H$2:$H$801,$B$2:$B$801,B466))</f>
        <v/>
      </c>
      <c r="E466">
        <f>IF(NOT(AND(C466=1, TRIM(ERP資料!T466)="平板")), 0, IF(MAX(E$2:E465)=0, 1, IF(ERP資料!A466=INDEX(ERP資料!$A$2:$A465, MATCH(MAX(E$2:E465), E$2:E465, 0)), MAX(E$2:E465)+1, MAX(E$2:E465)+2)))</f>
        <v/>
      </c>
      <c r="F466">
        <f>IF(NOT(AND(C466=1, TRIM(ERP資料!T466)="平板")), 0, IF(MAX(F$2:F465)=0, 1, IF(ERP資料!A466=INDEX(ERP資料!$A$2:$A465, MATCH(MAX(F$2:F465), F$2:F465, 0)), MAX(F$2:F465)+1, MAX(F$2:F465)+2)))</f>
        <v/>
      </c>
      <c r="G466">
        <f>IF(NOT(AND(C466=1, TRIM(ERP資料!T466)="捲筒")), 0, IF(MAX(G$2:G465)=0, 1, IF(ERP資料!A466=INDEX(ERP資料!$A$2:$A465, MATCH(MAX(G$2:G465), G$2:G465, 0)), MAX(G$2:G465)+1, MAX(G$2:G465)+2)))</f>
        <v/>
      </c>
      <c r="H466">
        <f>IF(OR(ERP資料!C466="",ERP資料!D466=""),0,ERP資料!D466-ERP資料!C466+1)</f>
        <v/>
      </c>
    </row>
    <row r="467">
      <c r="A467" t="n">
        <v>467</v>
      </c>
      <c r="B467">
        <f>IF(ERP資料!A467="","",ERP資料!A467&amp;"|"&amp;ERP資料!E467&amp;"|"&amp;ERP資料!F467&amp;"|"&amp;ERP資料!G467&amp;"|"&amp;ERP資料!H467&amp;"|"&amp;ERP資料!O467)</f>
        <v/>
      </c>
      <c r="C467">
        <f>IF(B467="",0,IF(COUNTIF(B$2:B466,B467)=0,1,0))</f>
        <v/>
      </c>
      <c r="D467">
        <f>IF(B467="",0,SUMIFS($H$2:$H$801,$B$2:$B$801,B467))</f>
        <v/>
      </c>
      <c r="E467">
        <f>IF(NOT(AND(C467=1, TRIM(ERP資料!T467)="平板")), 0, IF(MAX(E$2:E466)=0, 1, IF(ERP資料!A467=INDEX(ERP資料!$A$2:$A466, MATCH(MAX(E$2:E466), E$2:E466, 0)), MAX(E$2:E466)+1, MAX(E$2:E466)+2)))</f>
        <v/>
      </c>
      <c r="F467">
        <f>IF(NOT(AND(C467=1, TRIM(ERP資料!T467)="平板")), 0, IF(MAX(F$2:F466)=0, 1, IF(ERP資料!A467=INDEX(ERP資料!$A$2:$A466, MATCH(MAX(F$2:F466), F$2:F466, 0)), MAX(F$2:F466)+1, MAX(F$2:F466)+2)))</f>
        <v/>
      </c>
      <c r="G467">
        <f>IF(NOT(AND(C467=1, TRIM(ERP資料!T467)="捲筒")), 0, IF(MAX(G$2:G466)=0, 1, IF(ERP資料!A467=INDEX(ERP資料!$A$2:$A466, MATCH(MAX(G$2:G466), G$2:G466, 0)), MAX(G$2:G466)+1, MAX(G$2:G466)+2)))</f>
        <v/>
      </c>
      <c r="H467">
        <f>IF(OR(ERP資料!C467="",ERP資料!D467=""),0,ERP資料!D467-ERP資料!C467+1)</f>
        <v/>
      </c>
    </row>
    <row r="468">
      <c r="A468" t="n">
        <v>468</v>
      </c>
      <c r="B468">
        <f>IF(ERP資料!A468="","",ERP資料!A468&amp;"|"&amp;ERP資料!E468&amp;"|"&amp;ERP資料!F468&amp;"|"&amp;ERP資料!G468&amp;"|"&amp;ERP資料!H468&amp;"|"&amp;ERP資料!O468)</f>
        <v/>
      </c>
      <c r="C468">
        <f>IF(B468="",0,IF(COUNTIF(B$2:B467,B468)=0,1,0))</f>
        <v/>
      </c>
      <c r="D468">
        <f>IF(B468="",0,SUMIFS($H$2:$H$801,$B$2:$B$801,B468))</f>
        <v/>
      </c>
      <c r="E468">
        <f>IF(NOT(AND(C468=1, TRIM(ERP資料!T468)="平板")), 0, IF(MAX(E$2:E467)=0, 1, IF(ERP資料!A468=INDEX(ERP資料!$A$2:$A467, MATCH(MAX(E$2:E467), E$2:E467, 0)), MAX(E$2:E467)+1, MAX(E$2:E467)+2)))</f>
        <v/>
      </c>
      <c r="F468">
        <f>IF(NOT(AND(C468=1, TRIM(ERP資料!T468)="平板")), 0, IF(MAX(F$2:F467)=0, 1, IF(ERP資料!A468=INDEX(ERP資料!$A$2:$A467, MATCH(MAX(F$2:F467), F$2:F467, 0)), MAX(F$2:F467)+1, MAX(F$2:F467)+2)))</f>
        <v/>
      </c>
      <c r="G468">
        <f>IF(NOT(AND(C468=1, TRIM(ERP資料!T468)="捲筒")), 0, IF(MAX(G$2:G467)=0, 1, IF(ERP資料!A468=INDEX(ERP資料!$A$2:$A467, MATCH(MAX(G$2:G467), G$2:G467, 0)), MAX(G$2:G467)+1, MAX(G$2:G467)+2)))</f>
        <v/>
      </c>
      <c r="H468">
        <f>IF(OR(ERP資料!C468="",ERP資料!D468=""),0,ERP資料!D468-ERP資料!C468+1)</f>
        <v/>
      </c>
    </row>
    <row r="469">
      <c r="A469" t="n">
        <v>469</v>
      </c>
      <c r="B469">
        <f>IF(ERP資料!A469="","",ERP資料!A469&amp;"|"&amp;ERP資料!E469&amp;"|"&amp;ERP資料!F469&amp;"|"&amp;ERP資料!G469&amp;"|"&amp;ERP資料!H469&amp;"|"&amp;ERP資料!O469)</f>
        <v/>
      </c>
      <c r="C469">
        <f>IF(B469="",0,IF(COUNTIF(B$2:B468,B469)=0,1,0))</f>
        <v/>
      </c>
      <c r="D469">
        <f>IF(B469="",0,SUMIFS($H$2:$H$801,$B$2:$B$801,B469))</f>
        <v/>
      </c>
      <c r="E469">
        <f>IF(NOT(AND(C469=1, TRIM(ERP資料!T469)="平板")), 0, IF(MAX(E$2:E468)=0, 1, IF(ERP資料!A469=INDEX(ERP資料!$A$2:$A468, MATCH(MAX(E$2:E468), E$2:E468, 0)), MAX(E$2:E468)+1, MAX(E$2:E468)+2)))</f>
        <v/>
      </c>
      <c r="F469">
        <f>IF(NOT(AND(C469=1, TRIM(ERP資料!T469)="平板")), 0, IF(MAX(F$2:F468)=0, 1, IF(ERP資料!A469=INDEX(ERP資料!$A$2:$A468, MATCH(MAX(F$2:F468), F$2:F468, 0)), MAX(F$2:F468)+1, MAX(F$2:F468)+2)))</f>
        <v/>
      </c>
      <c r="G469">
        <f>IF(NOT(AND(C469=1, TRIM(ERP資料!T469)="捲筒")), 0, IF(MAX(G$2:G468)=0, 1, IF(ERP資料!A469=INDEX(ERP資料!$A$2:$A468, MATCH(MAX(G$2:G468), G$2:G468, 0)), MAX(G$2:G468)+1, MAX(G$2:G468)+2)))</f>
        <v/>
      </c>
      <c r="H469">
        <f>IF(OR(ERP資料!C469="",ERP資料!D469=""),0,ERP資料!D469-ERP資料!C469+1)</f>
        <v/>
      </c>
    </row>
    <row r="470">
      <c r="A470" t="n">
        <v>470</v>
      </c>
      <c r="B470">
        <f>IF(ERP資料!A470="","",ERP資料!A470&amp;"|"&amp;ERP資料!E470&amp;"|"&amp;ERP資料!F470&amp;"|"&amp;ERP資料!G470&amp;"|"&amp;ERP資料!H470&amp;"|"&amp;ERP資料!O470)</f>
        <v/>
      </c>
      <c r="C470">
        <f>IF(B470="",0,IF(COUNTIF(B$2:B469,B470)=0,1,0))</f>
        <v/>
      </c>
      <c r="D470">
        <f>IF(B470="",0,SUMIFS($H$2:$H$801,$B$2:$B$801,B470))</f>
        <v/>
      </c>
      <c r="E470">
        <f>IF(NOT(AND(C470=1, TRIM(ERP資料!T470)="平板")), 0, IF(MAX(E$2:E469)=0, 1, IF(ERP資料!A470=INDEX(ERP資料!$A$2:$A469, MATCH(MAX(E$2:E469), E$2:E469, 0)), MAX(E$2:E469)+1, MAX(E$2:E469)+2)))</f>
        <v/>
      </c>
      <c r="F470">
        <f>IF(NOT(AND(C470=1, TRIM(ERP資料!T470)="平板")), 0, IF(MAX(F$2:F469)=0, 1, IF(ERP資料!A470=INDEX(ERP資料!$A$2:$A469, MATCH(MAX(F$2:F469), F$2:F469, 0)), MAX(F$2:F469)+1, MAX(F$2:F469)+2)))</f>
        <v/>
      </c>
      <c r="G470">
        <f>IF(NOT(AND(C470=1, TRIM(ERP資料!T470)="捲筒")), 0, IF(MAX(G$2:G469)=0, 1, IF(ERP資料!A470=INDEX(ERP資料!$A$2:$A469, MATCH(MAX(G$2:G469), G$2:G469, 0)), MAX(G$2:G469)+1, MAX(G$2:G469)+2)))</f>
        <v/>
      </c>
      <c r="H470">
        <f>IF(OR(ERP資料!C470="",ERP資料!D470=""),0,ERP資料!D470-ERP資料!C470+1)</f>
        <v/>
      </c>
    </row>
    <row r="471">
      <c r="A471" t="n">
        <v>471</v>
      </c>
      <c r="B471">
        <f>IF(ERP資料!A471="","",ERP資料!A471&amp;"|"&amp;ERP資料!E471&amp;"|"&amp;ERP資料!F471&amp;"|"&amp;ERP資料!G471&amp;"|"&amp;ERP資料!H471&amp;"|"&amp;ERP資料!O471)</f>
        <v/>
      </c>
      <c r="C471">
        <f>IF(B471="",0,IF(COUNTIF(B$2:B470,B471)=0,1,0))</f>
        <v/>
      </c>
      <c r="D471">
        <f>IF(B471="",0,SUMIFS($H$2:$H$801,$B$2:$B$801,B471))</f>
        <v/>
      </c>
      <c r="E471">
        <f>IF(NOT(AND(C471=1, TRIM(ERP資料!T471)="平板")), 0, IF(MAX(E$2:E470)=0, 1, IF(ERP資料!A471=INDEX(ERP資料!$A$2:$A470, MATCH(MAX(E$2:E470), E$2:E470, 0)), MAX(E$2:E470)+1, MAX(E$2:E470)+2)))</f>
        <v/>
      </c>
      <c r="F471">
        <f>IF(NOT(AND(C471=1, TRIM(ERP資料!T471)="平板")), 0, IF(MAX(F$2:F470)=0, 1, IF(ERP資料!A471=INDEX(ERP資料!$A$2:$A470, MATCH(MAX(F$2:F470), F$2:F470, 0)), MAX(F$2:F470)+1, MAX(F$2:F470)+2)))</f>
        <v/>
      </c>
      <c r="G471">
        <f>IF(NOT(AND(C471=1, TRIM(ERP資料!T471)="捲筒")), 0, IF(MAX(G$2:G470)=0, 1, IF(ERP資料!A471=INDEX(ERP資料!$A$2:$A470, MATCH(MAX(G$2:G470), G$2:G470, 0)), MAX(G$2:G470)+1, MAX(G$2:G470)+2)))</f>
        <v/>
      </c>
      <c r="H471">
        <f>IF(OR(ERP資料!C471="",ERP資料!D471=""),0,ERP資料!D471-ERP資料!C471+1)</f>
        <v/>
      </c>
    </row>
    <row r="472">
      <c r="A472" t="n">
        <v>472</v>
      </c>
      <c r="B472">
        <f>IF(ERP資料!A472="","",ERP資料!A472&amp;"|"&amp;ERP資料!E472&amp;"|"&amp;ERP資料!F472&amp;"|"&amp;ERP資料!G472&amp;"|"&amp;ERP資料!H472&amp;"|"&amp;ERP資料!O472)</f>
        <v/>
      </c>
      <c r="C472">
        <f>IF(B472="",0,IF(COUNTIF(B$2:B471,B472)=0,1,0))</f>
        <v/>
      </c>
      <c r="D472">
        <f>IF(B472="",0,SUMIFS($H$2:$H$801,$B$2:$B$801,B472))</f>
        <v/>
      </c>
      <c r="E472">
        <f>IF(NOT(AND(C472=1, TRIM(ERP資料!T472)="平板")), 0, IF(MAX(E$2:E471)=0, 1, IF(ERP資料!A472=INDEX(ERP資料!$A$2:$A471, MATCH(MAX(E$2:E471), E$2:E471, 0)), MAX(E$2:E471)+1, MAX(E$2:E471)+2)))</f>
        <v/>
      </c>
      <c r="F472">
        <f>IF(NOT(AND(C472=1, TRIM(ERP資料!T472)="平板")), 0, IF(MAX(F$2:F471)=0, 1, IF(ERP資料!A472=INDEX(ERP資料!$A$2:$A471, MATCH(MAX(F$2:F471), F$2:F471, 0)), MAX(F$2:F471)+1, MAX(F$2:F471)+2)))</f>
        <v/>
      </c>
      <c r="G472">
        <f>IF(NOT(AND(C472=1, TRIM(ERP資料!T472)="捲筒")), 0, IF(MAX(G$2:G471)=0, 1, IF(ERP資料!A472=INDEX(ERP資料!$A$2:$A471, MATCH(MAX(G$2:G471), G$2:G471, 0)), MAX(G$2:G471)+1, MAX(G$2:G471)+2)))</f>
        <v/>
      </c>
      <c r="H472">
        <f>IF(OR(ERP資料!C472="",ERP資料!D472=""),0,ERP資料!D472-ERP資料!C472+1)</f>
        <v/>
      </c>
    </row>
    <row r="473">
      <c r="A473" t="n">
        <v>473</v>
      </c>
      <c r="B473">
        <f>IF(ERP資料!A473="","",ERP資料!A473&amp;"|"&amp;ERP資料!E473&amp;"|"&amp;ERP資料!F473&amp;"|"&amp;ERP資料!G473&amp;"|"&amp;ERP資料!H473&amp;"|"&amp;ERP資料!O473)</f>
        <v/>
      </c>
      <c r="C473">
        <f>IF(B473="",0,IF(COUNTIF(B$2:B472,B473)=0,1,0))</f>
        <v/>
      </c>
      <c r="D473">
        <f>IF(B473="",0,SUMIFS($H$2:$H$801,$B$2:$B$801,B473))</f>
        <v/>
      </c>
      <c r="E473">
        <f>IF(NOT(AND(C473=1, TRIM(ERP資料!T473)="平板")), 0, IF(MAX(E$2:E472)=0, 1, IF(ERP資料!A473=INDEX(ERP資料!$A$2:$A472, MATCH(MAX(E$2:E472), E$2:E472, 0)), MAX(E$2:E472)+1, MAX(E$2:E472)+2)))</f>
        <v/>
      </c>
      <c r="F473">
        <f>IF(NOT(AND(C473=1, TRIM(ERP資料!T473)="平板")), 0, IF(MAX(F$2:F472)=0, 1, IF(ERP資料!A473=INDEX(ERP資料!$A$2:$A472, MATCH(MAX(F$2:F472), F$2:F472, 0)), MAX(F$2:F472)+1, MAX(F$2:F472)+2)))</f>
        <v/>
      </c>
      <c r="G473">
        <f>IF(NOT(AND(C473=1, TRIM(ERP資料!T473)="捲筒")), 0, IF(MAX(G$2:G472)=0, 1, IF(ERP資料!A473=INDEX(ERP資料!$A$2:$A472, MATCH(MAX(G$2:G472), G$2:G472, 0)), MAX(G$2:G472)+1, MAX(G$2:G472)+2)))</f>
        <v/>
      </c>
      <c r="H473">
        <f>IF(OR(ERP資料!C473="",ERP資料!D473=""),0,ERP資料!D473-ERP資料!C473+1)</f>
        <v/>
      </c>
    </row>
    <row r="474">
      <c r="A474" t="n">
        <v>474</v>
      </c>
      <c r="B474">
        <f>IF(ERP資料!A474="","",ERP資料!A474&amp;"|"&amp;ERP資料!E474&amp;"|"&amp;ERP資料!F474&amp;"|"&amp;ERP資料!G474&amp;"|"&amp;ERP資料!H474&amp;"|"&amp;ERP資料!O474)</f>
        <v/>
      </c>
      <c r="C474">
        <f>IF(B474="",0,IF(COUNTIF(B$2:B473,B474)=0,1,0))</f>
        <v/>
      </c>
      <c r="D474">
        <f>IF(B474="",0,SUMIFS($H$2:$H$801,$B$2:$B$801,B474))</f>
        <v/>
      </c>
      <c r="E474">
        <f>IF(NOT(AND(C474=1, TRIM(ERP資料!T474)="平板")), 0, IF(MAX(E$2:E473)=0, 1, IF(ERP資料!A474=INDEX(ERP資料!$A$2:$A473, MATCH(MAX(E$2:E473), E$2:E473, 0)), MAX(E$2:E473)+1, MAX(E$2:E473)+2)))</f>
        <v/>
      </c>
      <c r="F474">
        <f>IF(NOT(AND(C474=1, TRIM(ERP資料!T474)="平板")), 0, IF(MAX(F$2:F473)=0, 1, IF(ERP資料!A474=INDEX(ERP資料!$A$2:$A473, MATCH(MAX(F$2:F473), F$2:F473, 0)), MAX(F$2:F473)+1, MAX(F$2:F473)+2)))</f>
        <v/>
      </c>
      <c r="G474">
        <f>IF(NOT(AND(C474=1, TRIM(ERP資料!T474)="捲筒")), 0, IF(MAX(G$2:G473)=0, 1, IF(ERP資料!A474=INDEX(ERP資料!$A$2:$A473, MATCH(MAX(G$2:G473), G$2:G473, 0)), MAX(G$2:G473)+1, MAX(G$2:G473)+2)))</f>
        <v/>
      </c>
      <c r="H474">
        <f>IF(OR(ERP資料!C474="",ERP資料!D474=""),0,ERP資料!D474-ERP資料!C474+1)</f>
        <v/>
      </c>
    </row>
    <row r="475">
      <c r="A475" t="n">
        <v>475</v>
      </c>
      <c r="B475">
        <f>IF(ERP資料!A475="","",ERP資料!A475&amp;"|"&amp;ERP資料!E475&amp;"|"&amp;ERP資料!F475&amp;"|"&amp;ERP資料!G475&amp;"|"&amp;ERP資料!H475&amp;"|"&amp;ERP資料!O475)</f>
        <v/>
      </c>
      <c r="C475">
        <f>IF(B475="",0,IF(COUNTIF(B$2:B474,B475)=0,1,0))</f>
        <v/>
      </c>
      <c r="D475">
        <f>IF(B475="",0,SUMIFS($H$2:$H$801,$B$2:$B$801,B475))</f>
        <v/>
      </c>
      <c r="E475">
        <f>IF(NOT(AND(C475=1, TRIM(ERP資料!T475)="平板")), 0, IF(MAX(E$2:E474)=0, 1, IF(ERP資料!A475=INDEX(ERP資料!$A$2:$A474, MATCH(MAX(E$2:E474), E$2:E474, 0)), MAX(E$2:E474)+1, MAX(E$2:E474)+2)))</f>
        <v/>
      </c>
      <c r="F475">
        <f>IF(NOT(AND(C475=1, TRIM(ERP資料!T475)="平板")), 0, IF(MAX(F$2:F474)=0, 1, IF(ERP資料!A475=INDEX(ERP資料!$A$2:$A474, MATCH(MAX(F$2:F474), F$2:F474, 0)), MAX(F$2:F474)+1, MAX(F$2:F474)+2)))</f>
        <v/>
      </c>
      <c r="G475">
        <f>IF(NOT(AND(C475=1, TRIM(ERP資料!T475)="捲筒")), 0, IF(MAX(G$2:G474)=0, 1, IF(ERP資料!A475=INDEX(ERP資料!$A$2:$A474, MATCH(MAX(G$2:G474), G$2:G474, 0)), MAX(G$2:G474)+1, MAX(G$2:G474)+2)))</f>
        <v/>
      </c>
      <c r="H475">
        <f>IF(OR(ERP資料!C475="",ERP資料!D475=""),0,ERP資料!D475-ERP資料!C475+1)</f>
        <v/>
      </c>
    </row>
    <row r="476">
      <c r="A476" t="n">
        <v>476</v>
      </c>
      <c r="B476">
        <f>IF(ERP資料!A476="","",ERP資料!A476&amp;"|"&amp;ERP資料!E476&amp;"|"&amp;ERP資料!F476&amp;"|"&amp;ERP資料!G476&amp;"|"&amp;ERP資料!H476&amp;"|"&amp;ERP資料!O476)</f>
        <v/>
      </c>
      <c r="C476">
        <f>IF(B476="",0,IF(COUNTIF(B$2:B475,B476)=0,1,0))</f>
        <v/>
      </c>
      <c r="D476">
        <f>IF(B476="",0,SUMIFS($H$2:$H$801,$B$2:$B$801,B476))</f>
        <v/>
      </c>
      <c r="E476">
        <f>IF(NOT(AND(C476=1, TRIM(ERP資料!T476)="平板")), 0, IF(MAX(E$2:E475)=0, 1, IF(ERP資料!A476=INDEX(ERP資料!$A$2:$A475, MATCH(MAX(E$2:E475), E$2:E475, 0)), MAX(E$2:E475)+1, MAX(E$2:E475)+2)))</f>
        <v/>
      </c>
      <c r="F476">
        <f>IF(NOT(AND(C476=1, TRIM(ERP資料!T476)="平板")), 0, IF(MAX(F$2:F475)=0, 1, IF(ERP資料!A476=INDEX(ERP資料!$A$2:$A475, MATCH(MAX(F$2:F475), F$2:F475, 0)), MAX(F$2:F475)+1, MAX(F$2:F475)+2)))</f>
        <v/>
      </c>
      <c r="G476">
        <f>IF(NOT(AND(C476=1, TRIM(ERP資料!T476)="捲筒")), 0, IF(MAX(G$2:G475)=0, 1, IF(ERP資料!A476=INDEX(ERP資料!$A$2:$A475, MATCH(MAX(G$2:G475), G$2:G475, 0)), MAX(G$2:G475)+1, MAX(G$2:G475)+2)))</f>
        <v/>
      </c>
      <c r="H476">
        <f>IF(OR(ERP資料!C476="",ERP資料!D476=""),0,ERP資料!D476-ERP資料!C476+1)</f>
        <v/>
      </c>
    </row>
    <row r="477">
      <c r="A477" t="n">
        <v>477</v>
      </c>
      <c r="B477">
        <f>IF(ERP資料!A477="","",ERP資料!A477&amp;"|"&amp;ERP資料!E477&amp;"|"&amp;ERP資料!F477&amp;"|"&amp;ERP資料!G477&amp;"|"&amp;ERP資料!H477&amp;"|"&amp;ERP資料!O477)</f>
        <v/>
      </c>
      <c r="C477">
        <f>IF(B477="",0,IF(COUNTIF(B$2:B476,B477)=0,1,0))</f>
        <v/>
      </c>
      <c r="D477">
        <f>IF(B477="",0,SUMIFS($H$2:$H$801,$B$2:$B$801,B477))</f>
        <v/>
      </c>
      <c r="E477">
        <f>IF(NOT(AND(C477=1, TRIM(ERP資料!T477)="平板")), 0, IF(MAX(E$2:E476)=0, 1, IF(ERP資料!A477=INDEX(ERP資料!$A$2:$A476, MATCH(MAX(E$2:E476), E$2:E476, 0)), MAX(E$2:E476)+1, MAX(E$2:E476)+2)))</f>
        <v/>
      </c>
      <c r="F477">
        <f>IF(NOT(AND(C477=1, TRIM(ERP資料!T477)="平板")), 0, IF(MAX(F$2:F476)=0, 1, IF(ERP資料!A477=INDEX(ERP資料!$A$2:$A476, MATCH(MAX(F$2:F476), F$2:F476, 0)), MAX(F$2:F476)+1, MAX(F$2:F476)+2)))</f>
        <v/>
      </c>
      <c r="G477">
        <f>IF(NOT(AND(C477=1, TRIM(ERP資料!T477)="捲筒")), 0, IF(MAX(G$2:G476)=0, 1, IF(ERP資料!A477=INDEX(ERP資料!$A$2:$A476, MATCH(MAX(G$2:G476), G$2:G476, 0)), MAX(G$2:G476)+1, MAX(G$2:G476)+2)))</f>
        <v/>
      </c>
      <c r="H477">
        <f>IF(OR(ERP資料!C477="",ERP資料!D477=""),0,ERP資料!D477-ERP資料!C477+1)</f>
        <v/>
      </c>
    </row>
    <row r="478">
      <c r="A478" t="n">
        <v>478</v>
      </c>
      <c r="B478">
        <f>IF(ERP資料!A478="","",ERP資料!A478&amp;"|"&amp;ERP資料!E478&amp;"|"&amp;ERP資料!F478&amp;"|"&amp;ERP資料!G478&amp;"|"&amp;ERP資料!H478&amp;"|"&amp;ERP資料!O478)</f>
        <v/>
      </c>
      <c r="C478">
        <f>IF(B478="",0,IF(COUNTIF(B$2:B477,B478)=0,1,0))</f>
        <v/>
      </c>
      <c r="D478">
        <f>IF(B478="",0,SUMIFS($H$2:$H$801,$B$2:$B$801,B478))</f>
        <v/>
      </c>
      <c r="E478">
        <f>IF(NOT(AND(C478=1, TRIM(ERP資料!T478)="平板")), 0, IF(MAX(E$2:E477)=0, 1, IF(ERP資料!A478=INDEX(ERP資料!$A$2:$A477, MATCH(MAX(E$2:E477), E$2:E477, 0)), MAX(E$2:E477)+1, MAX(E$2:E477)+2)))</f>
        <v/>
      </c>
      <c r="F478">
        <f>IF(NOT(AND(C478=1, TRIM(ERP資料!T478)="平板")), 0, IF(MAX(F$2:F477)=0, 1, IF(ERP資料!A478=INDEX(ERP資料!$A$2:$A477, MATCH(MAX(F$2:F477), F$2:F477, 0)), MAX(F$2:F477)+1, MAX(F$2:F477)+2)))</f>
        <v/>
      </c>
      <c r="G478">
        <f>IF(NOT(AND(C478=1, TRIM(ERP資料!T478)="捲筒")), 0, IF(MAX(G$2:G477)=0, 1, IF(ERP資料!A478=INDEX(ERP資料!$A$2:$A477, MATCH(MAX(G$2:G477), G$2:G477, 0)), MAX(G$2:G477)+1, MAX(G$2:G477)+2)))</f>
        <v/>
      </c>
      <c r="H478">
        <f>IF(OR(ERP資料!C478="",ERP資料!D478=""),0,ERP資料!D478-ERP資料!C478+1)</f>
        <v/>
      </c>
    </row>
    <row r="479">
      <c r="A479" t="n">
        <v>479</v>
      </c>
      <c r="B479">
        <f>IF(ERP資料!A479="","",ERP資料!A479&amp;"|"&amp;ERP資料!E479&amp;"|"&amp;ERP資料!F479&amp;"|"&amp;ERP資料!G479&amp;"|"&amp;ERP資料!H479&amp;"|"&amp;ERP資料!O479)</f>
        <v/>
      </c>
      <c r="C479">
        <f>IF(B479="",0,IF(COUNTIF(B$2:B478,B479)=0,1,0))</f>
        <v/>
      </c>
      <c r="D479">
        <f>IF(B479="",0,SUMIFS($H$2:$H$801,$B$2:$B$801,B479))</f>
        <v/>
      </c>
      <c r="E479">
        <f>IF(NOT(AND(C479=1, TRIM(ERP資料!T479)="平板")), 0, IF(MAX(E$2:E478)=0, 1, IF(ERP資料!A479=INDEX(ERP資料!$A$2:$A478, MATCH(MAX(E$2:E478), E$2:E478, 0)), MAX(E$2:E478)+1, MAX(E$2:E478)+2)))</f>
        <v/>
      </c>
      <c r="F479">
        <f>IF(NOT(AND(C479=1, TRIM(ERP資料!T479)="平板")), 0, IF(MAX(F$2:F478)=0, 1, IF(ERP資料!A479=INDEX(ERP資料!$A$2:$A478, MATCH(MAX(F$2:F478), F$2:F478, 0)), MAX(F$2:F478)+1, MAX(F$2:F478)+2)))</f>
        <v/>
      </c>
      <c r="G479">
        <f>IF(NOT(AND(C479=1, TRIM(ERP資料!T479)="捲筒")), 0, IF(MAX(G$2:G478)=0, 1, IF(ERP資料!A479=INDEX(ERP資料!$A$2:$A478, MATCH(MAX(G$2:G478), G$2:G478, 0)), MAX(G$2:G478)+1, MAX(G$2:G478)+2)))</f>
        <v/>
      </c>
      <c r="H479">
        <f>IF(OR(ERP資料!C479="",ERP資料!D479=""),0,ERP資料!D479-ERP資料!C479+1)</f>
        <v/>
      </c>
    </row>
    <row r="480">
      <c r="A480" t="n">
        <v>480</v>
      </c>
      <c r="B480">
        <f>IF(ERP資料!A480="","",ERP資料!A480&amp;"|"&amp;ERP資料!E480&amp;"|"&amp;ERP資料!F480&amp;"|"&amp;ERP資料!G480&amp;"|"&amp;ERP資料!H480&amp;"|"&amp;ERP資料!O480)</f>
        <v/>
      </c>
      <c r="C480">
        <f>IF(B480="",0,IF(COUNTIF(B$2:B479,B480)=0,1,0))</f>
        <v/>
      </c>
      <c r="D480">
        <f>IF(B480="",0,SUMIFS($H$2:$H$801,$B$2:$B$801,B480))</f>
        <v/>
      </c>
      <c r="E480">
        <f>IF(NOT(AND(C480=1, TRIM(ERP資料!T480)="平板")), 0, IF(MAX(E$2:E479)=0, 1, IF(ERP資料!A480=INDEX(ERP資料!$A$2:$A479, MATCH(MAX(E$2:E479), E$2:E479, 0)), MAX(E$2:E479)+1, MAX(E$2:E479)+2)))</f>
        <v/>
      </c>
      <c r="F480">
        <f>IF(NOT(AND(C480=1, TRIM(ERP資料!T480)="平板")), 0, IF(MAX(F$2:F479)=0, 1, IF(ERP資料!A480=INDEX(ERP資料!$A$2:$A479, MATCH(MAX(F$2:F479), F$2:F479, 0)), MAX(F$2:F479)+1, MAX(F$2:F479)+2)))</f>
        <v/>
      </c>
      <c r="G480">
        <f>IF(NOT(AND(C480=1, TRIM(ERP資料!T480)="捲筒")), 0, IF(MAX(G$2:G479)=0, 1, IF(ERP資料!A480=INDEX(ERP資料!$A$2:$A479, MATCH(MAX(G$2:G479), G$2:G479, 0)), MAX(G$2:G479)+1, MAX(G$2:G479)+2)))</f>
        <v/>
      </c>
      <c r="H480">
        <f>IF(OR(ERP資料!C480="",ERP資料!D480=""),0,ERP資料!D480-ERP資料!C480+1)</f>
        <v/>
      </c>
    </row>
    <row r="481">
      <c r="A481" t="n">
        <v>481</v>
      </c>
      <c r="B481">
        <f>IF(ERP資料!A481="","",ERP資料!A481&amp;"|"&amp;ERP資料!E481&amp;"|"&amp;ERP資料!F481&amp;"|"&amp;ERP資料!G481&amp;"|"&amp;ERP資料!H481&amp;"|"&amp;ERP資料!O481)</f>
        <v/>
      </c>
      <c r="C481">
        <f>IF(B481="",0,IF(COUNTIF(B$2:B480,B481)=0,1,0))</f>
        <v/>
      </c>
      <c r="D481">
        <f>IF(B481="",0,SUMIFS($H$2:$H$801,$B$2:$B$801,B481))</f>
        <v/>
      </c>
      <c r="E481">
        <f>IF(NOT(AND(C481=1, TRIM(ERP資料!T481)="平板")), 0, IF(MAX(E$2:E480)=0, 1, IF(ERP資料!A481=INDEX(ERP資料!$A$2:$A480, MATCH(MAX(E$2:E480), E$2:E480, 0)), MAX(E$2:E480)+1, MAX(E$2:E480)+2)))</f>
        <v/>
      </c>
      <c r="F481">
        <f>IF(NOT(AND(C481=1, TRIM(ERP資料!T481)="平板")), 0, IF(MAX(F$2:F480)=0, 1, IF(ERP資料!A481=INDEX(ERP資料!$A$2:$A480, MATCH(MAX(F$2:F480), F$2:F480, 0)), MAX(F$2:F480)+1, MAX(F$2:F480)+2)))</f>
        <v/>
      </c>
      <c r="G481">
        <f>IF(NOT(AND(C481=1, TRIM(ERP資料!T481)="捲筒")), 0, IF(MAX(G$2:G480)=0, 1, IF(ERP資料!A481=INDEX(ERP資料!$A$2:$A480, MATCH(MAX(G$2:G480), G$2:G480, 0)), MAX(G$2:G480)+1, MAX(G$2:G480)+2)))</f>
        <v/>
      </c>
      <c r="H481">
        <f>IF(OR(ERP資料!C481="",ERP資料!D481=""),0,ERP資料!D481-ERP資料!C481+1)</f>
        <v/>
      </c>
    </row>
    <row r="482">
      <c r="A482" t="n">
        <v>482</v>
      </c>
      <c r="B482">
        <f>IF(ERP資料!A482="","",ERP資料!A482&amp;"|"&amp;ERP資料!E482&amp;"|"&amp;ERP資料!F482&amp;"|"&amp;ERP資料!G482&amp;"|"&amp;ERP資料!H482&amp;"|"&amp;ERP資料!O482)</f>
        <v/>
      </c>
      <c r="C482">
        <f>IF(B482="",0,IF(COUNTIF(B$2:B481,B482)=0,1,0))</f>
        <v/>
      </c>
      <c r="D482">
        <f>IF(B482="",0,SUMIFS($H$2:$H$801,$B$2:$B$801,B482))</f>
        <v/>
      </c>
      <c r="E482">
        <f>IF(NOT(AND(C482=1, TRIM(ERP資料!T482)="平板")), 0, IF(MAX(E$2:E481)=0, 1, IF(ERP資料!A482=INDEX(ERP資料!$A$2:$A481, MATCH(MAX(E$2:E481), E$2:E481, 0)), MAX(E$2:E481)+1, MAX(E$2:E481)+2)))</f>
        <v/>
      </c>
      <c r="F482">
        <f>IF(NOT(AND(C482=1, TRIM(ERP資料!T482)="平板")), 0, IF(MAX(F$2:F481)=0, 1, IF(ERP資料!A482=INDEX(ERP資料!$A$2:$A481, MATCH(MAX(F$2:F481), F$2:F481, 0)), MAX(F$2:F481)+1, MAX(F$2:F481)+2)))</f>
        <v/>
      </c>
      <c r="G482">
        <f>IF(NOT(AND(C482=1, TRIM(ERP資料!T482)="捲筒")), 0, IF(MAX(G$2:G481)=0, 1, IF(ERP資料!A482=INDEX(ERP資料!$A$2:$A481, MATCH(MAX(G$2:G481), G$2:G481, 0)), MAX(G$2:G481)+1, MAX(G$2:G481)+2)))</f>
        <v/>
      </c>
      <c r="H482">
        <f>IF(OR(ERP資料!C482="",ERP資料!D482=""),0,ERP資料!D482-ERP資料!C482+1)</f>
        <v/>
      </c>
    </row>
    <row r="483">
      <c r="A483" t="n">
        <v>483</v>
      </c>
      <c r="B483">
        <f>IF(ERP資料!A483="","",ERP資料!A483&amp;"|"&amp;ERP資料!E483&amp;"|"&amp;ERP資料!F483&amp;"|"&amp;ERP資料!G483&amp;"|"&amp;ERP資料!H483&amp;"|"&amp;ERP資料!O483)</f>
        <v/>
      </c>
      <c r="C483">
        <f>IF(B483="",0,IF(COUNTIF(B$2:B482,B483)=0,1,0))</f>
        <v/>
      </c>
      <c r="D483">
        <f>IF(B483="",0,SUMIFS($H$2:$H$801,$B$2:$B$801,B483))</f>
        <v/>
      </c>
      <c r="E483">
        <f>IF(NOT(AND(C483=1, TRIM(ERP資料!T483)="平板")), 0, IF(MAX(E$2:E482)=0, 1, IF(ERP資料!A483=INDEX(ERP資料!$A$2:$A482, MATCH(MAX(E$2:E482), E$2:E482, 0)), MAX(E$2:E482)+1, MAX(E$2:E482)+2)))</f>
        <v/>
      </c>
      <c r="F483">
        <f>IF(NOT(AND(C483=1, TRIM(ERP資料!T483)="平板")), 0, IF(MAX(F$2:F482)=0, 1, IF(ERP資料!A483=INDEX(ERP資料!$A$2:$A482, MATCH(MAX(F$2:F482), F$2:F482, 0)), MAX(F$2:F482)+1, MAX(F$2:F482)+2)))</f>
        <v/>
      </c>
      <c r="G483">
        <f>IF(NOT(AND(C483=1, TRIM(ERP資料!T483)="捲筒")), 0, IF(MAX(G$2:G482)=0, 1, IF(ERP資料!A483=INDEX(ERP資料!$A$2:$A482, MATCH(MAX(G$2:G482), G$2:G482, 0)), MAX(G$2:G482)+1, MAX(G$2:G482)+2)))</f>
        <v/>
      </c>
      <c r="H483">
        <f>IF(OR(ERP資料!C483="",ERP資料!D483=""),0,ERP資料!D483-ERP資料!C483+1)</f>
        <v/>
      </c>
    </row>
    <row r="484">
      <c r="A484" t="n">
        <v>484</v>
      </c>
      <c r="B484">
        <f>IF(ERP資料!A484="","",ERP資料!A484&amp;"|"&amp;ERP資料!E484&amp;"|"&amp;ERP資料!F484&amp;"|"&amp;ERP資料!G484&amp;"|"&amp;ERP資料!H484&amp;"|"&amp;ERP資料!O484)</f>
        <v/>
      </c>
      <c r="C484">
        <f>IF(B484="",0,IF(COUNTIF(B$2:B483,B484)=0,1,0))</f>
        <v/>
      </c>
      <c r="D484">
        <f>IF(B484="",0,SUMIFS($H$2:$H$801,$B$2:$B$801,B484))</f>
        <v/>
      </c>
      <c r="E484">
        <f>IF(NOT(AND(C484=1, TRIM(ERP資料!T484)="平板")), 0, IF(MAX(E$2:E483)=0, 1, IF(ERP資料!A484=INDEX(ERP資料!$A$2:$A483, MATCH(MAX(E$2:E483), E$2:E483, 0)), MAX(E$2:E483)+1, MAX(E$2:E483)+2)))</f>
        <v/>
      </c>
      <c r="F484">
        <f>IF(NOT(AND(C484=1, TRIM(ERP資料!T484)="平板")), 0, IF(MAX(F$2:F483)=0, 1, IF(ERP資料!A484=INDEX(ERP資料!$A$2:$A483, MATCH(MAX(F$2:F483), F$2:F483, 0)), MAX(F$2:F483)+1, MAX(F$2:F483)+2)))</f>
        <v/>
      </c>
      <c r="G484">
        <f>IF(NOT(AND(C484=1, TRIM(ERP資料!T484)="捲筒")), 0, IF(MAX(G$2:G483)=0, 1, IF(ERP資料!A484=INDEX(ERP資料!$A$2:$A483, MATCH(MAX(G$2:G483), G$2:G483, 0)), MAX(G$2:G483)+1, MAX(G$2:G483)+2)))</f>
        <v/>
      </c>
      <c r="H484">
        <f>IF(OR(ERP資料!C484="",ERP資料!D484=""),0,ERP資料!D484-ERP資料!C484+1)</f>
        <v/>
      </c>
    </row>
    <row r="485">
      <c r="A485" t="n">
        <v>485</v>
      </c>
      <c r="B485">
        <f>IF(ERP資料!A485="","",ERP資料!A485&amp;"|"&amp;ERP資料!E485&amp;"|"&amp;ERP資料!F485&amp;"|"&amp;ERP資料!G485&amp;"|"&amp;ERP資料!H485&amp;"|"&amp;ERP資料!O485)</f>
        <v/>
      </c>
      <c r="C485">
        <f>IF(B485="",0,IF(COUNTIF(B$2:B484,B485)=0,1,0))</f>
        <v/>
      </c>
      <c r="D485">
        <f>IF(B485="",0,SUMIFS($H$2:$H$801,$B$2:$B$801,B485))</f>
        <v/>
      </c>
      <c r="E485">
        <f>IF(NOT(AND(C485=1, TRIM(ERP資料!T485)="平板")), 0, IF(MAX(E$2:E484)=0, 1, IF(ERP資料!A485=INDEX(ERP資料!$A$2:$A484, MATCH(MAX(E$2:E484), E$2:E484, 0)), MAX(E$2:E484)+1, MAX(E$2:E484)+2)))</f>
        <v/>
      </c>
      <c r="F485">
        <f>IF(NOT(AND(C485=1, TRIM(ERP資料!T485)="平板")), 0, IF(MAX(F$2:F484)=0, 1, IF(ERP資料!A485=INDEX(ERP資料!$A$2:$A484, MATCH(MAX(F$2:F484), F$2:F484, 0)), MAX(F$2:F484)+1, MAX(F$2:F484)+2)))</f>
        <v/>
      </c>
      <c r="G485">
        <f>IF(NOT(AND(C485=1, TRIM(ERP資料!T485)="捲筒")), 0, IF(MAX(G$2:G484)=0, 1, IF(ERP資料!A485=INDEX(ERP資料!$A$2:$A484, MATCH(MAX(G$2:G484), G$2:G484, 0)), MAX(G$2:G484)+1, MAX(G$2:G484)+2)))</f>
        <v/>
      </c>
      <c r="H485">
        <f>IF(OR(ERP資料!C485="",ERP資料!D485=""),0,ERP資料!D485-ERP資料!C485+1)</f>
        <v/>
      </c>
    </row>
    <row r="486">
      <c r="A486" t="n">
        <v>486</v>
      </c>
      <c r="B486">
        <f>IF(ERP資料!A486="","",ERP資料!A486&amp;"|"&amp;ERP資料!E486&amp;"|"&amp;ERP資料!F486&amp;"|"&amp;ERP資料!G486&amp;"|"&amp;ERP資料!H486&amp;"|"&amp;ERP資料!O486)</f>
        <v/>
      </c>
      <c r="C486">
        <f>IF(B486="",0,IF(COUNTIF(B$2:B485,B486)=0,1,0))</f>
        <v/>
      </c>
      <c r="D486">
        <f>IF(B486="",0,SUMIFS($H$2:$H$801,$B$2:$B$801,B486))</f>
        <v/>
      </c>
      <c r="E486">
        <f>IF(NOT(AND(C486=1, TRIM(ERP資料!T486)="平板")), 0, IF(MAX(E$2:E485)=0, 1, IF(ERP資料!A486=INDEX(ERP資料!$A$2:$A485, MATCH(MAX(E$2:E485), E$2:E485, 0)), MAX(E$2:E485)+1, MAX(E$2:E485)+2)))</f>
        <v/>
      </c>
      <c r="F486">
        <f>IF(NOT(AND(C486=1, TRIM(ERP資料!T486)="平板")), 0, IF(MAX(F$2:F485)=0, 1, IF(ERP資料!A486=INDEX(ERP資料!$A$2:$A485, MATCH(MAX(F$2:F485), F$2:F485, 0)), MAX(F$2:F485)+1, MAX(F$2:F485)+2)))</f>
        <v/>
      </c>
      <c r="G486">
        <f>IF(NOT(AND(C486=1, TRIM(ERP資料!T486)="捲筒")), 0, IF(MAX(G$2:G485)=0, 1, IF(ERP資料!A486=INDEX(ERP資料!$A$2:$A485, MATCH(MAX(G$2:G485), G$2:G485, 0)), MAX(G$2:G485)+1, MAX(G$2:G485)+2)))</f>
        <v/>
      </c>
      <c r="H486">
        <f>IF(OR(ERP資料!C486="",ERP資料!D486=""),0,ERP資料!D486-ERP資料!C486+1)</f>
        <v/>
      </c>
    </row>
    <row r="487">
      <c r="A487" t="n">
        <v>487</v>
      </c>
      <c r="B487">
        <f>IF(ERP資料!A487="","",ERP資料!A487&amp;"|"&amp;ERP資料!E487&amp;"|"&amp;ERP資料!F487&amp;"|"&amp;ERP資料!G487&amp;"|"&amp;ERP資料!H487&amp;"|"&amp;ERP資料!O487)</f>
        <v/>
      </c>
      <c r="C487">
        <f>IF(B487="",0,IF(COUNTIF(B$2:B486,B487)=0,1,0))</f>
        <v/>
      </c>
      <c r="D487">
        <f>IF(B487="",0,SUMIFS($H$2:$H$801,$B$2:$B$801,B487))</f>
        <v/>
      </c>
      <c r="E487">
        <f>IF(NOT(AND(C487=1, TRIM(ERP資料!T487)="平板")), 0, IF(MAX(E$2:E486)=0, 1, IF(ERP資料!A487=INDEX(ERP資料!$A$2:$A486, MATCH(MAX(E$2:E486), E$2:E486, 0)), MAX(E$2:E486)+1, MAX(E$2:E486)+2)))</f>
        <v/>
      </c>
      <c r="F487">
        <f>IF(NOT(AND(C487=1, TRIM(ERP資料!T487)="平板")), 0, IF(MAX(F$2:F486)=0, 1, IF(ERP資料!A487=INDEX(ERP資料!$A$2:$A486, MATCH(MAX(F$2:F486), F$2:F486, 0)), MAX(F$2:F486)+1, MAX(F$2:F486)+2)))</f>
        <v/>
      </c>
      <c r="G487">
        <f>IF(NOT(AND(C487=1, TRIM(ERP資料!T487)="捲筒")), 0, IF(MAX(G$2:G486)=0, 1, IF(ERP資料!A487=INDEX(ERP資料!$A$2:$A486, MATCH(MAX(G$2:G486), G$2:G486, 0)), MAX(G$2:G486)+1, MAX(G$2:G486)+2)))</f>
        <v/>
      </c>
      <c r="H487">
        <f>IF(OR(ERP資料!C487="",ERP資料!D487=""),0,ERP資料!D487-ERP資料!C487+1)</f>
        <v/>
      </c>
    </row>
    <row r="488">
      <c r="A488" t="n">
        <v>488</v>
      </c>
      <c r="B488">
        <f>IF(ERP資料!A488="","",ERP資料!A488&amp;"|"&amp;ERP資料!E488&amp;"|"&amp;ERP資料!F488&amp;"|"&amp;ERP資料!G488&amp;"|"&amp;ERP資料!H488&amp;"|"&amp;ERP資料!O488)</f>
        <v/>
      </c>
      <c r="C488">
        <f>IF(B488="",0,IF(COUNTIF(B$2:B487,B488)=0,1,0))</f>
        <v/>
      </c>
      <c r="D488">
        <f>IF(B488="",0,SUMIFS($H$2:$H$801,$B$2:$B$801,B488))</f>
        <v/>
      </c>
      <c r="E488">
        <f>IF(NOT(AND(C488=1, TRIM(ERP資料!T488)="平板")), 0, IF(MAX(E$2:E487)=0, 1, IF(ERP資料!A488=INDEX(ERP資料!$A$2:$A487, MATCH(MAX(E$2:E487), E$2:E487, 0)), MAX(E$2:E487)+1, MAX(E$2:E487)+2)))</f>
        <v/>
      </c>
      <c r="F488">
        <f>IF(NOT(AND(C488=1, TRIM(ERP資料!T488)="平板")), 0, IF(MAX(F$2:F487)=0, 1, IF(ERP資料!A488=INDEX(ERP資料!$A$2:$A487, MATCH(MAX(F$2:F487), F$2:F487, 0)), MAX(F$2:F487)+1, MAX(F$2:F487)+2)))</f>
        <v/>
      </c>
      <c r="G488">
        <f>IF(NOT(AND(C488=1, TRIM(ERP資料!T488)="捲筒")), 0, IF(MAX(G$2:G487)=0, 1, IF(ERP資料!A488=INDEX(ERP資料!$A$2:$A487, MATCH(MAX(G$2:G487), G$2:G487, 0)), MAX(G$2:G487)+1, MAX(G$2:G487)+2)))</f>
        <v/>
      </c>
      <c r="H488">
        <f>IF(OR(ERP資料!C488="",ERP資料!D488=""),0,ERP資料!D488-ERP資料!C488+1)</f>
        <v/>
      </c>
    </row>
    <row r="489">
      <c r="A489" t="n">
        <v>489</v>
      </c>
      <c r="B489">
        <f>IF(ERP資料!A489="","",ERP資料!A489&amp;"|"&amp;ERP資料!E489&amp;"|"&amp;ERP資料!F489&amp;"|"&amp;ERP資料!G489&amp;"|"&amp;ERP資料!H489&amp;"|"&amp;ERP資料!O489)</f>
        <v/>
      </c>
      <c r="C489">
        <f>IF(B489="",0,IF(COUNTIF(B$2:B488,B489)=0,1,0))</f>
        <v/>
      </c>
      <c r="D489">
        <f>IF(B489="",0,SUMIFS($H$2:$H$801,$B$2:$B$801,B489))</f>
        <v/>
      </c>
      <c r="E489">
        <f>IF(NOT(AND(C489=1, TRIM(ERP資料!T489)="平板")), 0, IF(MAX(E$2:E488)=0, 1, IF(ERP資料!A489=INDEX(ERP資料!$A$2:$A488, MATCH(MAX(E$2:E488), E$2:E488, 0)), MAX(E$2:E488)+1, MAX(E$2:E488)+2)))</f>
        <v/>
      </c>
      <c r="F489">
        <f>IF(NOT(AND(C489=1, TRIM(ERP資料!T489)="平板")), 0, IF(MAX(F$2:F488)=0, 1, IF(ERP資料!A489=INDEX(ERP資料!$A$2:$A488, MATCH(MAX(F$2:F488), F$2:F488, 0)), MAX(F$2:F488)+1, MAX(F$2:F488)+2)))</f>
        <v/>
      </c>
      <c r="G489">
        <f>IF(NOT(AND(C489=1, TRIM(ERP資料!T489)="捲筒")), 0, IF(MAX(G$2:G488)=0, 1, IF(ERP資料!A489=INDEX(ERP資料!$A$2:$A488, MATCH(MAX(G$2:G488), G$2:G488, 0)), MAX(G$2:G488)+1, MAX(G$2:G488)+2)))</f>
        <v/>
      </c>
      <c r="H489">
        <f>IF(OR(ERP資料!C489="",ERP資料!D489=""),0,ERP資料!D489-ERP資料!C489+1)</f>
        <v/>
      </c>
    </row>
    <row r="490">
      <c r="A490" t="n">
        <v>490</v>
      </c>
      <c r="B490">
        <f>IF(ERP資料!A490="","",ERP資料!A490&amp;"|"&amp;ERP資料!E490&amp;"|"&amp;ERP資料!F490&amp;"|"&amp;ERP資料!G490&amp;"|"&amp;ERP資料!H490&amp;"|"&amp;ERP資料!O490)</f>
        <v/>
      </c>
      <c r="C490">
        <f>IF(B490="",0,IF(COUNTIF(B$2:B489,B490)=0,1,0))</f>
        <v/>
      </c>
      <c r="D490">
        <f>IF(B490="",0,SUMIFS($H$2:$H$801,$B$2:$B$801,B490))</f>
        <v/>
      </c>
      <c r="E490">
        <f>IF(NOT(AND(C490=1, TRIM(ERP資料!T490)="平板")), 0, IF(MAX(E$2:E489)=0, 1, IF(ERP資料!A490=INDEX(ERP資料!$A$2:$A489, MATCH(MAX(E$2:E489), E$2:E489, 0)), MAX(E$2:E489)+1, MAX(E$2:E489)+2)))</f>
        <v/>
      </c>
      <c r="F490">
        <f>IF(NOT(AND(C490=1, TRIM(ERP資料!T490)="平板")), 0, IF(MAX(F$2:F489)=0, 1, IF(ERP資料!A490=INDEX(ERP資料!$A$2:$A489, MATCH(MAX(F$2:F489), F$2:F489, 0)), MAX(F$2:F489)+1, MAX(F$2:F489)+2)))</f>
        <v/>
      </c>
      <c r="G490">
        <f>IF(NOT(AND(C490=1, TRIM(ERP資料!T490)="捲筒")), 0, IF(MAX(G$2:G489)=0, 1, IF(ERP資料!A490=INDEX(ERP資料!$A$2:$A489, MATCH(MAX(G$2:G489), G$2:G489, 0)), MAX(G$2:G489)+1, MAX(G$2:G489)+2)))</f>
        <v/>
      </c>
      <c r="H490">
        <f>IF(OR(ERP資料!C490="",ERP資料!D490=""),0,ERP資料!D490-ERP資料!C490+1)</f>
        <v/>
      </c>
    </row>
    <row r="491">
      <c r="A491" t="n">
        <v>491</v>
      </c>
      <c r="B491">
        <f>IF(ERP資料!A491="","",ERP資料!A491&amp;"|"&amp;ERP資料!E491&amp;"|"&amp;ERP資料!F491&amp;"|"&amp;ERP資料!G491&amp;"|"&amp;ERP資料!H491&amp;"|"&amp;ERP資料!O491)</f>
        <v/>
      </c>
      <c r="C491">
        <f>IF(B491="",0,IF(COUNTIF(B$2:B490,B491)=0,1,0))</f>
        <v/>
      </c>
      <c r="D491">
        <f>IF(B491="",0,SUMIFS($H$2:$H$801,$B$2:$B$801,B491))</f>
        <v/>
      </c>
      <c r="E491">
        <f>IF(NOT(AND(C491=1, TRIM(ERP資料!T491)="平板")), 0, IF(MAX(E$2:E490)=0, 1, IF(ERP資料!A491=INDEX(ERP資料!$A$2:$A490, MATCH(MAX(E$2:E490), E$2:E490, 0)), MAX(E$2:E490)+1, MAX(E$2:E490)+2)))</f>
        <v/>
      </c>
      <c r="F491">
        <f>IF(NOT(AND(C491=1, TRIM(ERP資料!T491)="平板")), 0, IF(MAX(F$2:F490)=0, 1, IF(ERP資料!A491=INDEX(ERP資料!$A$2:$A490, MATCH(MAX(F$2:F490), F$2:F490, 0)), MAX(F$2:F490)+1, MAX(F$2:F490)+2)))</f>
        <v/>
      </c>
      <c r="G491">
        <f>IF(NOT(AND(C491=1, TRIM(ERP資料!T491)="捲筒")), 0, IF(MAX(G$2:G490)=0, 1, IF(ERP資料!A491=INDEX(ERP資料!$A$2:$A490, MATCH(MAX(G$2:G490), G$2:G490, 0)), MAX(G$2:G490)+1, MAX(G$2:G490)+2)))</f>
        <v/>
      </c>
      <c r="H491">
        <f>IF(OR(ERP資料!C491="",ERP資料!D491=""),0,ERP資料!D491-ERP資料!C491+1)</f>
        <v/>
      </c>
    </row>
    <row r="492">
      <c r="A492" t="n">
        <v>492</v>
      </c>
      <c r="B492">
        <f>IF(ERP資料!A492="","",ERP資料!A492&amp;"|"&amp;ERP資料!E492&amp;"|"&amp;ERP資料!F492&amp;"|"&amp;ERP資料!G492&amp;"|"&amp;ERP資料!H492&amp;"|"&amp;ERP資料!O492)</f>
        <v/>
      </c>
      <c r="C492">
        <f>IF(B492="",0,IF(COUNTIF(B$2:B491,B492)=0,1,0))</f>
        <v/>
      </c>
      <c r="D492">
        <f>IF(B492="",0,SUMIFS($H$2:$H$801,$B$2:$B$801,B492))</f>
        <v/>
      </c>
      <c r="E492">
        <f>IF(NOT(AND(C492=1, TRIM(ERP資料!T492)="平板")), 0, IF(MAX(E$2:E491)=0, 1, IF(ERP資料!A492=INDEX(ERP資料!$A$2:$A491, MATCH(MAX(E$2:E491), E$2:E491, 0)), MAX(E$2:E491)+1, MAX(E$2:E491)+2)))</f>
        <v/>
      </c>
      <c r="F492">
        <f>IF(NOT(AND(C492=1, TRIM(ERP資料!T492)="平板")), 0, IF(MAX(F$2:F491)=0, 1, IF(ERP資料!A492=INDEX(ERP資料!$A$2:$A491, MATCH(MAX(F$2:F491), F$2:F491, 0)), MAX(F$2:F491)+1, MAX(F$2:F491)+2)))</f>
        <v/>
      </c>
      <c r="G492">
        <f>IF(NOT(AND(C492=1, TRIM(ERP資料!T492)="捲筒")), 0, IF(MAX(G$2:G491)=0, 1, IF(ERP資料!A492=INDEX(ERP資料!$A$2:$A491, MATCH(MAX(G$2:G491), G$2:G491, 0)), MAX(G$2:G491)+1, MAX(G$2:G491)+2)))</f>
        <v/>
      </c>
      <c r="H492">
        <f>IF(OR(ERP資料!C492="",ERP資料!D492=""),0,ERP資料!D492-ERP資料!C492+1)</f>
        <v/>
      </c>
    </row>
    <row r="493">
      <c r="A493" t="n">
        <v>493</v>
      </c>
      <c r="B493">
        <f>IF(ERP資料!A493="","",ERP資料!A493&amp;"|"&amp;ERP資料!E493&amp;"|"&amp;ERP資料!F493&amp;"|"&amp;ERP資料!G493&amp;"|"&amp;ERP資料!H493&amp;"|"&amp;ERP資料!O493)</f>
        <v/>
      </c>
      <c r="C493">
        <f>IF(B493="",0,IF(COUNTIF(B$2:B492,B493)=0,1,0))</f>
        <v/>
      </c>
      <c r="D493">
        <f>IF(B493="",0,SUMIFS($H$2:$H$801,$B$2:$B$801,B493))</f>
        <v/>
      </c>
      <c r="E493">
        <f>IF(NOT(AND(C493=1, TRIM(ERP資料!T493)="平板")), 0, IF(MAX(E$2:E492)=0, 1, IF(ERP資料!A493=INDEX(ERP資料!$A$2:$A492, MATCH(MAX(E$2:E492), E$2:E492, 0)), MAX(E$2:E492)+1, MAX(E$2:E492)+2)))</f>
        <v/>
      </c>
      <c r="F493">
        <f>IF(NOT(AND(C493=1, TRIM(ERP資料!T493)="平板")), 0, IF(MAX(F$2:F492)=0, 1, IF(ERP資料!A493=INDEX(ERP資料!$A$2:$A492, MATCH(MAX(F$2:F492), F$2:F492, 0)), MAX(F$2:F492)+1, MAX(F$2:F492)+2)))</f>
        <v/>
      </c>
      <c r="G493">
        <f>IF(NOT(AND(C493=1, TRIM(ERP資料!T493)="捲筒")), 0, IF(MAX(G$2:G492)=0, 1, IF(ERP資料!A493=INDEX(ERP資料!$A$2:$A492, MATCH(MAX(G$2:G492), G$2:G492, 0)), MAX(G$2:G492)+1, MAX(G$2:G492)+2)))</f>
        <v/>
      </c>
      <c r="H493">
        <f>IF(OR(ERP資料!C493="",ERP資料!D493=""),0,ERP資料!D493-ERP資料!C493+1)</f>
        <v/>
      </c>
    </row>
    <row r="494">
      <c r="A494" t="n">
        <v>494</v>
      </c>
      <c r="B494">
        <f>IF(ERP資料!A494="","",ERP資料!A494&amp;"|"&amp;ERP資料!E494&amp;"|"&amp;ERP資料!F494&amp;"|"&amp;ERP資料!G494&amp;"|"&amp;ERP資料!H494&amp;"|"&amp;ERP資料!O494)</f>
        <v/>
      </c>
      <c r="C494">
        <f>IF(B494="",0,IF(COUNTIF(B$2:B493,B494)=0,1,0))</f>
        <v/>
      </c>
      <c r="D494">
        <f>IF(B494="",0,SUMIFS($H$2:$H$801,$B$2:$B$801,B494))</f>
        <v/>
      </c>
      <c r="E494">
        <f>IF(NOT(AND(C494=1, TRIM(ERP資料!T494)="平板")), 0, IF(MAX(E$2:E493)=0, 1, IF(ERP資料!A494=INDEX(ERP資料!$A$2:$A493, MATCH(MAX(E$2:E493), E$2:E493, 0)), MAX(E$2:E493)+1, MAX(E$2:E493)+2)))</f>
        <v/>
      </c>
      <c r="F494">
        <f>IF(NOT(AND(C494=1, TRIM(ERP資料!T494)="平板")), 0, IF(MAX(F$2:F493)=0, 1, IF(ERP資料!A494=INDEX(ERP資料!$A$2:$A493, MATCH(MAX(F$2:F493), F$2:F493, 0)), MAX(F$2:F493)+1, MAX(F$2:F493)+2)))</f>
        <v/>
      </c>
      <c r="G494">
        <f>IF(NOT(AND(C494=1, TRIM(ERP資料!T494)="捲筒")), 0, IF(MAX(G$2:G493)=0, 1, IF(ERP資料!A494=INDEX(ERP資料!$A$2:$A493, MATCH(MAX(G$2:G493), G$2:G493, 0)), MAX(G$2:G493)+1, MAX(G$2:G493)+2)))</f>
        <v/>
      </c>
      <c r="H494">
        <f>IF(OR(ERP資料!C494="",ERP資料!D494=""),0,ERP資料!D494-ERP資料!C494+1)</f>
        <v/>
      </c>
    </row>
    <row r="495">
      <c r="A495" t="n">
        <v>495</v>
      </c>
      <c r="B495">
        <f>IF(ERP資料!A495="","",ERP資料!A495&amp;"|"&amp;ERP資料!E495&amp;"|"&amp;ERP資料!F495&amp;"|"&amp;ERP資料!G495&amp;"|"&amp;ERP資料!H495&amp;"|"&amp;ERP資料!O495)</f>
        <v/>
      </c>
      <c r="C495">
        <f>IF(B495="",0,IF(COUNTIF(B$2:B494,B495)=0,1,0))</f>
        <v/>
      </c>
      <c r="D495">
        <f>IF(B495="",0,SUMIFS($H$2:$H$801,$B$2:$B$801,B495))</f>
        <v/>
      </c>
      <c r="E495">
        <f>IF(NOT(AND(C495=1, TRIM(ERP資料!T495)="平板")), 0, IF(MAX(E$2:E494)=0, 1, IF(ERP資料!A495=INDEX(ERP資料!$A$2:$A494, MATCH(MAX(E$2:E494), E$2:E494, 0)), MAX(E$2:E494)+1, MAX(E$2:E494)+2)))</f>
        <v/>
      </c>
      <c r="F495">
        <f>IF(NOT(AND(C495=1, TRIM(ERP資料!T495)="平板")), 0, IF(MAX(F$2:F494)=0, 1, IF(ERP資料!A495=INDEX(ERP資料!$A$2:$A494, MATCH(MAX(F$2:F494), F$2:F494, 0)), MAX(F$2:F494)+1, MAX(F$2:F494)+2)))</f>
        <v/>
      </c>
      <c r="G495">
        <f>IF(NOT(AND(C495=1, TRIM(ERP資料!T495)="捲筒")), 0, IF(MAX(G$2:G494)=0, 1, IF(ERP資料!A495=INDEX(ERP資料!$A$2:$A494, MATCH(MAX(G$2:G494), G$2:G494, 0)), MAX(G$2:G494)+1, MAX(G$2:G494)+2)))</f>
        <v/>
      </c>
      <c r="H495">
        <f>IF(OR(ERP資料!C495="",ERP資料!D495=""),0,ERP資料!D495-ERP資料!C495+1)</f>
        <v/>
      </c>
    </row>
    <row r="496">
      <c r="A496" t="n">
        <v>496</v>
      </c>
      <c r="B496">
        <f>IF(ERP資料!A496="","",ERP資料!A496&amp;"|"&amp;ERP資料!E496&amp;"|"&amp;ERP資料!F496&amp;"|"&amp;ERP資料!G496&amp;"|"&amp;ERP資料!H496&amp;"|"&amp;ERP資料!O496)</f>
        <v/>
      </c>
      <c r="C496">
        <f>IF(B496="",0,IF(COUNTIF(B$2:B495,B496)=0,1,0))</f>
        <v/>
      </c>
      <c r="D496">
        <f>IF(B496="",0,SUMIFS($H$2:$H$801,$B$2:$B$801,B496))</f>
        <v/>
      </c>
      <c r="E496">
        <f>IF(NOT(AND(C496=1, TRIM(ERP資料!T496)="平板")), 0, IF(MAX(E$2:E495)=0, 1, IF(ERP資料!A496=INDEX(ERP資料!$A$2:$A495, MATCH(MAX(E$2:E495), E$2:E495, 0)), MAX(E$2:E495)+1, MAX(E$2:E495)+2)))</f>
        <v/>
      </c>
      <c r="F496">
        <f>IF(NOT(AND(C496=1, TRIM(ERP資料!T496)="平板")), 0, IF(MAX(F$2:F495)=0, 1, IF(ERP資料!A496=INDEX(ERP資料!$A$2:$A495, MATCH(MAX(F$2:F495), F$2:F495, 0)), MAX(F$2:F495)+1, MAX(F$2:F495)+2)))</f>
        <v/>
      </c>
      <c r="G496">
        <f>IF(NOT(AND(C496=1, TRIM(ERP資料!T496)="捲筒")), 0, IF(MAX(G$2:G495)=0, 1, IF(ERP資料!A496=INDEX(ERP資料!$A$2:$A495, MATCH(MAX(G$2:G495), G$2:G495, 0)), MAX(G$2:G495)+1, MAX(G$2:G495)+2)))</f>
        <v/>
      </c>
      <c r="H496">
        <f>IF(OR(ERP資料!C496="",ERP資料!D496=""),0,ERP資料!D496-ERP資料!C496+1)</f>
        <v/>
      </c>
    </row>
    <row r="497">
      <c r="A497" t="n">
        <v>497</v>
      </c>
      <c r="B497">
        <f>IF(ERP資料!A497="","",ERP資料!A497&amp;"|"&amp;ERP資料!E497&amp;"|"&amp;ERP資料!F497&amp;"|"&amp;ERP資料!G497&amp;"|"&amp;ERP資料!H497&amp;"|"&amp;ERP資料!O497)</f>
        <v/>
      </c>
      <c r="C497">
        <f>IF(B497="",0,IF(COUNTIF(B$2:B496,B497)=0,1,0))</f>
        <v/>
      </c>
      <c r="D497">
        <f>IF(B497="",0,SUMIFS($H$2:$H$801,$B$2:$B$801,B497))</f>
        <v/>
      </c>
      <c r="E497">
        <f>IF(NOT(AND(C497=1, TRIM(ERP資料!T497)="平板")), 0, IF(MAX(E$2:E496)=0, 1, IF(ERP資料!A497=INDEX(ERP資料!$A$2:$A496, MATCH(MAX(E$2:E496), E$2:E496, 0)), MAX(E$2:E496)+1, MAX(E$2:E496)+2)))</f>
        <v/>
      </c>
      <c r="F497">
        <f>IF(NOT(AND(C497=1, TRIM(ERP資料!T497)="平板")), 0, IF(MAX(F$2:F496)=0, 1, IF(ERP資料!A497=INDEX(ERP資料!$A$2:$A496, MATCH(MAX(F$2:F496), F$2:F496, 0)), MAX(F$2:F496)+1, MAX(F$2:F496)+2)))</f>
        <v/>
      </c>
      <c r="G497">
        <f>IF(NOT(AND(C497=1, TRIM(ERP資料!T497)="捲筒")), 0, IF(MAX(G$2:G496)=0, 1, IF(ERP資料!A497=INDEX(ERP資料!$A$2:$A496, MATCH(MAX(G$2:G496), G$2:G496, 0)), MAX(G$2:G496)+1, MAX(G$2:G496)+2)))</f>
        <v/>
      </c>
      <c r="H497">
        <f>IF(OR(ERP資料!C497="",ERP資料!D497=""),0,ERP資料!D497-ERP資料!C497+1)</f>
        <v/>
      </c>
    </row>
    <row r="498">
      <c r="A498" t="n">
        <v>498</v>
      </c>
      <c r="B498">
        <f>IF(ERP資料!A498="","",ERP資料!A498&amp;"|"&amp;ERP資料!E498&amp;"|"&amp;ERP資料!F498&amp;"|"&amp;ERP資料!G498&amp;"|"&amp;ERP資料!H498&amp;"|"&amp;ERP資料!O498)</f>
        <v/>
      </c>
      <c r="C498">
        <f>IF(B498="",0,IF(COUNTIF(B$2:B497,B498)=0,1,0))</f>
        <v/>
      </c>
      <c r="D498">
        <f>IF(B498="",0,SUMIFS($H$2:$H$801,$B$2:$B$801,B498))</f>
        <v/>
      </c>
      <c r="E498">
        <f>IF(NOT(AND(C498=1, TRIM(ERP資料!T498)="平板")), 0, IF(MAX(E$2:E497)=0, 1, IF(ERP資料!A498=INDEX(ERP資料!$A$2:$A497, MATCH(MAX(E$2:E497), E$2:E497, 0)), MAX(E$2:E497)+1, MAX(E$2:E497)+2)))</f>
        <v/>
      </c>
      <c r="F498">
        <f>IF(NOT(AND(C498=1, TRIM(ERP資料!T498)="平板")), 0, IF(MAX(F$2:F497)=0, 1, IF(ERP資料!A498=INDEX(ERP資料!$A$2:$A497, MATCH(MAX(F$2:F497), F$2:F497, 0)), MAX(F$2:F497)+1, MAX(F$2:F497)+2)))</f>
        <v/>
      </c>
      <c r="G498">
        <f>IF(NOT(AND(C498=1, TRIM(ERP資料!T498)="捲筒")), 0, IF(MAX(G$2:G497)=0, 1, IF(ERP資料!A498=INDEX(ERP資料!$A$2:$A497, MATCH(MAX(G$2:G497), G$2:G497, 0)), MAX(G$2:G497)+1, MAX(G$2:G497)+2)))</f>
        <v/>
      </c>
      <c r="H498">
        <f>IF(OR(ERP資料!C498="",ERP資料!D498=""),0,ERP資料!D498-ERP資料!C498+1)</f>
        <v/>
      </c>
    </row>
    <row r="499">
      <c r="A499" t="n">
        <v>499</v>
      </c>
      <c r="B499">
        <f>IF(ERP資料!A499="","",ERP資料!A499&amp;"|"&amp;ERP資料!E499&amp;"|"&amp;ERP資料!F499&amp;"|"&amp;ERP資料!G499&amp;"|"&amp;ERP資料!H499&amp;"|"&amp;ERP資料!O499)</f>
        <v/>
      </c>
      <c r="C499">
        <f>IF(B499="",0,IF(COUNTIF(B$2:B498,B499)=0,1,0))</f>
        <v/>
      </c>
      <c r="D499">
        <f>IF(B499="",0,SUMIFS($H$2:$H$801,$B$2:$B$801,B499))</f>
        <v/>
      </c>
      <c r="E499">
        <f>IF(NOT(AND(C499=1, TRIM(ERP資料!T499)="平板")), 0, IF(MAX(E$2:E498)=0, 1, IF(ERP資料!A499=INDEX(ERP資料!$A$2:$A498, MATCH(MAX(E$2:E498), E$2:E498, 0)), MAX(E$2:E498)+1, MAX(E$2:E498)+2)))</f>
        <v/>
      </c>
      <c r="F499">
        <f>IF(NOT(AND(C499=1, TRIM(ERP資料!T499)="平板")), 0, IF(MAX(F$2:F498)=0, 1, IF(ERP資料!A499=INDEX(ERP資料!$A$2:$A498, MATCH(MAX(F$2:F498), F$2:F498, 0)), MAX(F$2:F498)+1, MAX(F$2:F498)+2)))</f>
        <v/>
      </c>
      <c r="G499">
        <f>IF(NOT(AND(C499=1, TRIM(ERP資料!T499)="捲筒")), 0, IF(MAX(G$2:G498)=0, 1, IF(ERP資料!A499=INDEX(ERP資料!$A$2:$A498, MATCH(MAX(G$2:G498), G$2:G498, 0)), MAX(G$2:G498)+1, MAX(G$2:G498)+2)))</f>
        <v/>
      </c>
      <c r="H499">
        <f>IF(OR(ERP資料!C499="",ERP資料!D499=""),0,ERP資料!D499-ERP資料!C499+1)</f>
        <v/>
      </c>
    </row>
    <row r="500">
      <c r="A500" t="n">
        <v>500</v>
      </c>
      <c r="B500">
        <f>IF(ERP資料!A500="","",ERP資料!A500&amp;"|"&amp;ERP資料!E500&amp;"|"&amp;ERP資料!F500&amp;"|"&amp;ERP資料!G500&amp;"|"&amp;ERP資料!H500&amp;"|"&amp;ERP資料!O500)</f>
        <v/>
      </c>
      <c r="C500">
        <f>IF(B500="",0,IF(COUNTIF(B$2:B499,B500)=0,1,0))</f>
        <v/>
      </c>
      <c r="D500">
        <f>IF(B500="",0,SUMIFS($H$2:$H$801,$B$2:$B$801,B500))</f>
        <v/>
      </c>
      <c r="E500">
        <f>IF(NOT(AND(C500=1, TRIM(ERP資料!T500)="平板")), 0, IF(MAX(E$2:E499)=0, 1, IF(ERP資料!A500=INDEX(ERP資料!$A$2:$A499, MATCH(MAX(E$2:E499), E$2:E499, 0)), MAX(E$2:E499)+1, MAX(E$2:E499)+2)))</f>
        <v/>
      </c>
      <c r="F500">
        <f>IF(NOT(AND(C500=1, TRIM(ERP資料!T500)="平板")), 0, IF(MAX(F$2:F499)=0, 1, IF(ERP資料!A500=INDEX(ERP資料!$A$2:$A499, MATCH(MAX(F$2:F499), F$2:F499, 0)), MAX(F$2:F499)+1, MAX(F$2:F499)+2)))</f>
        <v/>
      </c>
      <c r="G500">
        <f>IF(NOT(AND(C500=1, TRIM(ERP資料!T500)="捲筒")), 0, IF(MAX(G$2:G499)=0, 1, IF(ERP資料!A500=INDEX(ERP資料!$A$2:$A499, MATCH(MAX(G$2:G499), G$2:G499, 0)), MAX(G$2:G499)+1, MAX(G$2:G499)+2)))</f>
        <v/>
      </c>
      <c r="H500">
        <f>IF(OR(ERP資料!C500="",ERP資料!D500=""),0,ERP資料!D500-ERP資料!C500+1)</f>
        <v/>
      </c>
    </row>
    <row r="501">
      <c r="A501" t="n">
        <v>501</v>
      </c>
      <c r="B501">
        <f>IF(ERP資料!A501="","",ERP資料!A501&amp;"|"&amp;ERP資料!E501&amp;"|"&amp;ERP資料!F501&amp;"|"&amp;ERP資料!G501&amp;"|"&amp;ERP資料!H501&amp;"|"&amp;ERP資料!O501)</f>
        <v/>
      </c>
      <c r="C501">
        <f>IF(B501="",0,IF(COUNTIF(B$2:B500,B501)=0,1,0))</f>
        <v/>
      </c>
      <c r="D501">
        <f>IF(B501="",0,SUMIFS($H$2:$H$801,$B$2:$B$801,B501))</f>
        <v/>
      </c>
      <c r="E501">
        <f>IF(NOT(AND(C501=1, TRIM(ERP資料!T501)="平板")), 0, IF(MAX(E$2:E500)=0, 1, IF(ERP資料!A501=INDEX(ERP資料!$A$2:$A500, MATCH(MAX(E$2:E500), E$2:E500, 0)), MAX(E$2:E500)+1, MAX(E$2:E500)+2)))</f>
        <v/>
      </c>
      <c r="F501">
        <f>IF(NOT(AND(C501=1, TRIM(ERP資料!T501)="平板")), 0, IF(MAX(F$2:F500)=0, 1, IF(ERP資料!A501=INDEX(ERP資料!$A$2:$A500, MATCH(MAX(F$2:F500), F$2:F500, 0)), MAX(F$2:F500)+1, MAX(F$2:F500)+2)))</f>
        <v/>
      </c>
      <c r="G501">
        <f>IF(NOT(AND(C501=1, TRIM(ERP資料!T501)="捲筒")), 0, IF(MAX(G$2:G500)=0, 1, IF(ERP資料!A501=INDEX(ERP資料!$A$2:$A500, MATCH(MAX(G$2:G500), G$2:G500, 0)), MAX(G$2:G500)+1, MAX(G$2:G500)+2)))</f>
        <v/>
      </c>
      <c r="H501">
        <f>IF(OR(ERP資料!C501="",ERP資料!D501=""),0,ERP資料!D501-ERP資料!C501+1)</f>
        <v/>
      </c>
    </row>
    <row r="502">
      <c r="A502" t="n">
        <v>502</v>
      </c>
      <c r="B502">
        <f>IF(ERP資料!A502="","",ERP資料!A502&amp;"|"&amp;ERP資料!E502&amp;"|"&amp;ERP資料!F502&amp;"|"&amp;ERP資料!G502&amp;"|"&amp;ERP資料!H502&amp;"|"&amp;ERP資料!O502)</f>
        <v/>
      </c>
      <c r="C502">
        <f>IF(B502="",0,IF(COUNTIF(B$2:B501,B502)=0,1,0))</f>
        <v/>
      </c>
      <c r="D502">
        <f>IF(B502="",0,SUMIFS($H$2:$H$801,$B$2:$B$801,B502))</f>
        <v/>
      </c>
      <c r="E502">
        <f>IF(NOT(AND(C502=1, TRIM(ERP資料!T502)="平板")), 0, IF(MAX(E$2:E501)=0, 1, IF(ERP資料!A502=INDEX(ERP資料!$A$2:$A501, MATCH(MAX(E$2:E501), E$2:E501, 0)), MAX(E$2:E501)+1, MAX(E$2:E501)+2)))</f>
        <v/>
      </c>
      <c r="F502">
        <f>IF(NOT(AND(C502=1, TRIM(ERP資料!T502)="平板")), 0, IF(MAX(F$2:F501)=0, 1, IF(ERP資料!A502=INDEX(ERP資料!$A$2:$A501, MATCH(MAX(F$2:F501), F$2:F501, 0)), MAX(F$2:F501)+1, MAX(F$2:F501)+2)))</f>
        <v/>
      </c>
      <c r="G502">
        <f>IF(NOT(AND(C502=1, TRIM(ERP資料!T502)="捲筒")), 0, IF(MAX(G$2:G501)=0, 1, IF(ERP資料!A502=INDEX(ERP資料!$A$2:$A501, MATCH(MAX(G$2:G501), G$2:G501, 0)), MAX(G$2:G501)+1, MAX(G$2:G501)+2)))</f>
        <v/>
      </c>
      <c r="H502">
        <f>IF(OR(ERP資料!C502="",ERP資料!D502=""),0,ERP資料!D502-ERP資料!C502+1)</f>
        <v/>
      </c>
    </row>
    <row r="503">
      <c r="A503" t="n">
        <v>503</v>
      </c>
      <c r="B503">
        <f>IF(ERP資料!A503="","",ERP資料!A503&amp;"|"&amp;ERP資料!E503&amp;"|"&amp;ERP資料!F503&amp;"|"&amp;ERP資料!G503&amp;"|"&amp;ERP資料!H503&amp;"|"&amp;ERP資料!O503)</f>
        <v/>
      </c>
      <c r="C503">
        <f>IF(B503="",0,IF(COUNTIF(B$2:B502,B503)=0,1,0))</f>
        <v/>
      </c>
      <c r="D503">
        <f>IF(B503="",0,SUMIFS($H$2:$H$801,$B$2:$B$801,B503))</f>
        <v/>
      </c>
      <c r="E503">
        <f>IF(NOT(AND(C503=1, TRIM(ERP資料!T503)="平板")), 0, IF(MAX(E$2:E502)=0, 1, IF(ERP資料!A503=INDEX(ERP資料!$A$2:$A502, MATCH(MAX(E$2:E502), E$2:E502, 0)), MAX(E$2:E502)+1, MAX(E$2:E502)+2)))</f>
        <v/>
      </c>
      <c r="F503">
        <f>IF(NOT(AND(C503=1, TRIM(ERP資料!T503)="平板")), 0, IF(MAX(F$2:F502)=0, 1, IF(ERP資料!A503=INDEX(ERP資料!$A$2:$A502, MATCH(MAX(F$2:F502), F$2:F502, 0)), MAX(F$2:F502)+1, MAX(F$2:F502)+2)))</f>
        <v/>
      </c>
      <c r="G503">
        <f>IF(NOT(AND(C503=1, TRIM(ERP資料!T503)="捲筒")), 0, IF(MAX(G$2:G502)=0, 1, IF(ERP資料!A503=INDEX(ERP資料!$A$2:$A502, MATCH(MAX(G$2:G502), G$2:G502, 0)), MAX(G$2:G502)+1, MAX(G$2:G502)+2)))</f>
        <v/>
      </c>
      <c r="H503">
        <f>IF(OR(ERP資料!C503="",ERP資料!D503=""),0,ERP資料!D503-ERP資料!C503+1)</f>
        <v/>
      </c>
    </row>
    <row r="504">
      <c r="A504" t="n">
        <v>504</v>
      </c>
      <c r="B504">
        <f>IF(ERP資料!A504="","",ERP資料!A504&amp;"|"&amp;ERP資料!E504&amp;"|"&amp;ERP資料!F504&amp;"|"&amp;ERP資料!G504&amp;"|"&amp;ERP資料!H504&amp;"|"&amp;ERP資料!O504)</f>
        <v/>
      </c>
      <c r="C504">
        <f>IF(B504="",0,IF(COUNTIF(B$2:B503,B504)=0,1,0))</f>
        <v/>
      </c>
      <c r="D504">
        <f>IF(B504="",0,SUMIFS($H$2:$H$801,$B$2:$B$801,B504))</f>
        <v/>
      </c>
      <c r="E504">
        <f>IF(NOT(AND(C504=1, TRIM(ERP資料!T504)="平板")), 0, IF(MAX(E$2:E503)=0, 1, IF(ERP資料!A504=INDEX(ERP資料!$A$2:$A503, MATCH(MAX(E$2:E503), E$2:E503, 0)), MAX(E$2:E503)+1, MAX(E$2:E503)+2)))</f>
        <v/>
      </c>
      <c r="F504">
        <f>IF(NOT(AND(C504=1, TRIM(ERP資料!T504)="平板")), 0, IF(MAX(F$2:F503)=0, 1, IF(ERP資料!A504=INDEX(ERP資料!$A$2:$A503, MATCH(MAX(F$2:F503), F$2:F503, 0)), MAX(F$2:F503)+1, MAX(F$2:F503)+2)))</f>
        <v/>
      </c>
      <c r="G504">
        <f>IF(NOT(AND(C504=1, TRIM(ERP資料!T504)="捲筒")), 0, IF(MAX(G$2:G503)=0, 1, IF(ERP資料!A504=INDEX(ERP資料!$A$2:$A503, MATCH(MAX(G$2:G503), G$2:G503, 0)), MAX(G$2:G503)+1, MAX(G$2:G503)+2)))</f>
        <v/>
      </c>
      <c r="H504">
        <f>IF(OR(ERP資料!C504="",ERP資料!D504=""),0,ERP資料!D504-ERP資料!C504+1)</f>
        <v/>
      </c>
    </row>
    <row r="505">
      <c r="A505" t="n">
        <v>505</v>
      </c>
      <c r="B505">
        <f>IF(ERP資料!A505="","",ERP資料!A505&amp;"|"&amp;ERP資料!E505&amp;"|"&amp;ERP資料!F505&amp;"|"&amp;ERP資料!G505&amp;"|"&amp;ERP資料!H505&amp;"|"&amp;ERP資料!O505)</f>
        <v/>
      </c>
      <c r="C505">
        <f>IF(B505="",0,IF(COUNTIF(B$2:B504,B505)=0,1,0))</f>
        <v/>
      </c>
      <c r="D505">
        <f>IF(B505="",0,SUMIFS($H$2:$H$801,$B$2:$B$801,B505))</f>
        <v/>
      </c>
      <c r="E505">
        <f>IF(NOT(AND(C505=1, TRIM(ERP資料!T505)="平板")), 0, IF(MAX(E$2:E504)=0, 1, IF(ERP資料!A505=INDEX(ERP資料!$A$2:$A504, MATCH(MAX(E$2:E504), E$2:E504, 0)), MAX(E$2:E504)+1, MAX(E$2:E504)+2)))</f>
        <v/>
      </c>
      <c r="F505">
        <f>IF(NOT(AND(C505=1, TRIM(ERP資料!T505)="平板")), 0, IF(MAX(F$2:F504)=0, 1, IF(ERP資料!A505=INDEX(ERP資料!$A$2:$A504, MATCH(MAX(F$2:F504), F$2:F504, 0)), MAX(F$2:F504)+1, MAX(F$2:F504)+2)))</f>
        <v/>
      </c>
      <c r="G505">
        <f>IF(NOT(AND(C505=1, TRIM(ERP資料!T505)="捲筒")), 0, IF(MAX(G$2:G504)=0, 1, IF(ERP資料!A505=INDEX(ERP資料!$A$2:$A504, MATCH(MAX(G$2:G504), G$2:G504, 0)), MAX(G$2:G504)+1, MAX(G$2:G504)+2)))</f>
        <v/>
      </c>
      <c r="H505">
        <f>IF(OR(ERP資料!C505="",ERP資料!D505=""),0,ERP資料!D505-ERP資料!C505+1)</f>
        <v/>
      </c>
    </row>
    <row r="506">
      <c r="A506" t="n">
        <v>506</v>
      </c>
      <c r="B506">
        <f>IF(ERP資料!A506="","",ERP資料!A506&amp;"|"&amp;ERP資料!E506&amp;"|"&amp;ERP資料!F506&amp;"|"&amp;ERP資料!G506&amp;"|"&amp;ERP資料!H506&amp;"|"&amp;ERP資料!O506)</f>
        <v/>
      </c>
      <c r="C506">
        <f>IF(B506="",0,IF(COUNTIF(B$2:B505,B506)=0,1,0))</f>
        <v/>
      </c>
      <c r="D506">
        <f>IF(B506="",0,SUMIFS($H$2:$H$801,$B$2:$B$801,B506))</f>
        <v/>
      </c>
      <c r="E506">
        <f>IF(NOT(AND(C506=1, TRIM(ERP資料!T506)="平板")), 0, IF(MAX(E$2:E505)=0, 1, IF(ERP資料!A506=INDEX(ERP資料!$A$2:$A505, MATCH(MAX(E$2:E505), E$2:E505, 0)), MAX(E$2:E505)+1, MAX(E$2:E505)+2)))</f>
        <v/>
      </c>
      <c r="F506">
        <f>IF(NOT(AND(C506=1, TRIM(ERP資料!T506)="平板")), 0, IF(MAX(F$2:F505)=0, 1, IF(ERP資料!A506=INDEX(ERP資料!$A$2:$A505, MATCH(MAX(F$2:F505), F$2:F505, 0)), MAX(F$2:F505)+1, MAX(F$2:F505)+2)))</f>
        <v/>
      </c>
      <c r="G506">
        <f>IF(NOT(AND(C506=1, TRIM(ERP資料!T506)="捲筒")), 0, IF(MAX(G$2:G505)=0, 1, IF(ERP資料!A506=INDEX(ERP資料!$A$2:$A505, MATCH(MAX(G$2:G505), G$2:G505, 0)), MAX(G$2:G505)+1, MAX(G$2:G505)+2)))</f>
        <v/>
      </c>
      <c r="H506">
        <f>IF(OR(ERP資料!C506="",ERP資料!D506=""),0,ERP資料!D506-ERP資料!C506+1)</f>
        <v/>
      </c>
    </row>
    <row r="507">
      <c r="A507" t="n">
        <v>507</v>
      </c>
      <c r="B507">
        <f>IF(ERP資料!A507="","",ERP資料!A507&amp;"|"&amp;ERP資料!E507&amp;"|"&amp;ERP資料!F507&amp;"|"&amp;ERP資料!G507&amp;"|"&amp;ERP資料!H507&amp;"|"&amp;ERP資料!O507)</f>
        <v/>
      </c>
      <c r="C507">
        <f>IF(B507="",0,IF(COUNTIF(B$2:B506,B507)=0,1,0))</f>
        <v/>
      </c>
      <c r="D507">
        <f>IF(B507="",0,SUMIFS($H$2:$H$801,$B$2:$B$801,B507))</f>
        <v/>
      </c>
      <c r="E507">
        <f>IF(NOT(AND(C507=1, TRIM(ERP資料!T507)="平板")), 0, IF(MAX(E$2:E506)=0, 1, IF(ERP資料!A507=INDEX(ERP資料!$A$2:$A506, MATCH(MAX(E$2:E506), E$2:E506, 0)), MAX(E$2:E506)+1, MAX(E$2:E506)+2)))</f>
        <v/>
      </c>
      <c r="F507">
        <f>IF(NOT(AND(C507=1, TRIM(ERP資料!T507)="平板")), 0, IF(MAX(F$2:F506)=0, 1, IF(ERP資料!A507=INDEX(ERP資料!$A$2:$A506, MATCH(MAX(F$2:F506), F$2:F506, 0)), MAX(F$2:F506)+1, MAX(F$2:F506)+2)))</f>
        <v/>
      </c>
      <c r="G507">
        <f>IF(NOT(AND(C507=1, TRIM(ERP資料!T507)="捲筒")), 0, IF(MAX(G$2:G506)=0, 1, IF(ERP資料!A507=INDEX(ERP資料!$A$2:$A506, MATCH(MAX(G$2:G506), G$2:G506, 0)), MAX(G$2:G506)+1, MAX(G$2:G506)+2)))</f>
        <v/>
      </c>
      <c r="H507">
        <f>IF(OR(ERP資料!C507="",ERP資料!D507=""),0,ERP資料!D507-ERP資料!C507+1)</f>
        <v/>
      </c>
    </row>
    <row r="508">
      <c r="A508" t="n">
        <v>508</v>
      </c>
      <c r="B508">
        <f>IF(ERP資料!A508="","",ERP資料!A508&amp;"|"&amp;ERP資料!E508&amp;"|"&amp;ERP資料!F508&amp;"|"&amp;ERP資料!G508&amp;"|"&amp;ERP資料!H508&amp;"|"&amp;ERP資料!O508)</f>
        <v/>
      </c>
      <c r="C508">
        <f>IF(B508="",0,IF(COUNTIF(B$2:B507,B508)=0,1,0))</f>
        <v/>
      </c>
      <c r="D508">
        <f>IF(B508="",0,SUMIFS($H$2:$H$801,$B$2:$B$801,B508))</f>
        <v/>
      </c>
      <c r="E508">
        <f>IF(NOT(AND(C508=1, TRIM(ERP資料!T508)="平板")), 0, IF(MAX(E$2:E507)=0, 1, IF(ERP資料!A508=INDEX(ERP資料!$A$2:$A507, MATCH(MAX(E$2:E507), E$2:E507, 0)), MAX(E$2:E507)+1, MAX(E$2:E507)+2)))</f>
        <v/>
      </c>
      <c r="F508">
        <f>IF(NOT(AND(C508=1, TRIM(ERP資料!T508)="平板")), 0, IF(MAX(F$2:F507)=0, 1, IF(ERP資料!A508=INDEX(ERP資料!$A$2:$A507, MATCH(MAX(F$2:F507), F$2:F507, 0)), MAX(F$2:F507)+1, MAX(F$2:F507)+2)))</f>
        <v/>
      </c>
      <c r="G508">
        <f>IF(NOT(AND(C508=1, TRIM(ERP資料!T508)="捲筒")), 0, IF(MAX(G$2:G507)=0, 1, IF(ERP資料!A508=INDEX(ERP資料!$A$2:$A507, MATCH(MAX(G$2:G507), G$2:G507, 0)), MAX(G$2:G507)+1, MAX(G$2:G507)+2)))</f>
        <v/>
      </c>
      <c r="H508">
        <f>IF(OR(ERP資料!C508="",ERP資料!D508=""),0,ERP資料!D508-ERP資料!C508+1)</f>
        <v/>
      </c>
    </row>
    <row r="509">
      <c r="A509" t="n">
        <v>509</v>
      </c>
      <c r="B509">
        <f>IF(ERP資料!A509="","",ERP資料!A509&amp;"|"&amp;ERP資料!E509&amp;"|"&amp;ERP資料!F509&amp;"|"&amp;ERP資料!G509&amp;"|"&amp;ERP資料!H509&amp;"|"&amp;ERP資料!O509)</f>
        <v/>
      </c>
      <c r="C509">
        <f>IF(B509="",0,IF(COUNTIF(B$2:B508,B509)=0,1,0))</f>
        <v/>
      </c>
      <c r="D509">
        <f>IF(B509="",0,SUMIFS($H$2:$H$801,$B$2:$B$801,B509))</f>
        <v/>
      </c>
      <c r="E509">
        <f>IF(NOT(AND(C509=1, TRIM(ERP資料!T509)="平板")), 0, IF(MAX(E$2:E508)=0, 1, IF(ERP資料!A509=INDEX(ERP資料!$A$2:$A508, MATCH(MAX(E$2:E508), E$2:E508, 0)), MAX(E$2:E508)+1, MAX(E$2:E508)+2)))</f>
        <v/>
      </c>
      <c r="F509">
        <f>IF(NOT(AND(C509=1, TRIM(ERP資料!T509)="平板")), 0, IF(MAX(F$2:F508)=0, 1, IF(ERP資料!A509=INDEX(ERP資料!$A$2:$A508, MATCH(MAX(F$2:F508), F$2:F508, 0)), MAX(F$2:F508)+1, MAX(F$2:F508)+2)))</f>
        <v/>
      </c>
      <c r="G509">
        <f>IF(NOT(AND(C509=1, TRIM(ERP資料!T509)="捲筒")), 0, IF(MAX(G$2:G508)=0, 1, IF(ERP資料!A509=INDEX(ERP資料!$A$2:$A508, MATCH(MAX(G$2:G508), G$2:G508, 0)), MAX(G$2:G508)+1, MAX(G$2:G508)+2)))</f>
        <v/>
      </c>
      <c r="H509">
        <f>IF(OR(ERP資料!C509="",ERP資料!D509=""),0,ERP資料!D509-ERP資料!C509+1)</f>
        <v/>
      </c>
    </row>
    <row r="510">
      <c r="A510" t="n">
        <v>510</v>
      </c>
      <c r="B510">
        <f>IF(ERP資料!A510="","",ERP資料!A510&amp;"|"&amp;ERP資料!E510&amp;"|"&amp;ERP資料!F510&amp;"|"&amp;ERP資料!G510&amp;"|"&amp;ERP資料!H510&amp;"|"&amp;ERP資料!O510)</f>
        <v/>
      </c>
      <c r="C510">
        <f>IF(B510="",0,IF(COUNTIF(B$2:B509,B510)=0,1,0))</f>
        <v/>
      </c>
      <c r="D510">
        <f>IF(B510="",0,SUMIFS($H$2:$H$801,$B$2:$B$801,B510))</f>
        <v/>
      </c>
      <c r="E510">
        <f>IF(NOT(AND(C510=1, TRIM(ERP資料!T510)="平板")), 0, IF(MAX(E$2:E509)=0, 1, IF(ERP資料!A510=INDEX(ERP資料!$A$2:$A509, MATCH(MAX(E$2:E509), E$2:E509, 0)), MAX(E$2:E509)+1, MAX(E$2:E509)+2)))</f>
        <v/>
      </c>
      <c r="F510">
        <f>IF(NOT(AND(C510=1, TRIM(ERP資料!T510)="平板")), 0, IF(MAX(F$2:F509)=0, 1, IF(ERP資料!A510=INDEX(ERP資料!$A$2:$A509, MATCH(MAX(F$2:F509), F$2:F509, 0)), MAX(F$2:F509)+1, MAX(F$2:F509)+2)))</f>
        <v/>
      </c>
      <c r="G510">
        <f>IF(NOT(AND(C510=1, TRIM(ERP資料!T510)="捲筒")), 0, IF(MAX(G$2:G509)=0, 1, IF(ERP資料!A510=INDEX(ERP資料!$A$2:$A509, MATCH(MAX(G$2:G509), G$2:G509, 0)), MAX(G$2:G509)+1, MAX(G$2:G509)+2)))</f>
        <v/>
      </c>
      <c r="H510">
        <f>IF(OR(ERP資料!C510="",ERP資料!D510=""),0,ERP資料!D510-ERP資料!C510+1)</f>
        <v/>
      </c>
    </row>
    <row r="511">
      <c r="A511" t="n">
        <v>511</v>
      </c>
      <c r="B511">
        <f>IF(ERP資料!A511="","",ERP資料!A511&amp;"|"&amp;ERP資料!E511&amp;"|"&amp;ERP資料!F511&amp;"|"&amp;ERP資料!G511&amp;"|"&amp;ERP資料!H511&amp;"|"&amp;ERP資料!O511)</f>
        <v/>
      </c>
      <c r="C511">
        <f>IF(B511="",0,IF(COUNTIF(B$2:B510,B511)=0,1,0))</f>
        <v/>
      </c>
      <c r="D511">
        <f>IF(B511="",0,SUMIFS($H$2:$H$801,$B$2:$B$801,B511))</f>
        <v/>
      </c>
      <c r="E511">
        <f>IF(NOT(AND(C511=1, TRIM(ERP資料!T511)="平板")), 0, IF(MAX(E$2:E510)=0, 1, IF(ERP資料!A511=INDEX(ERP資料!$A$2:$A510, MATCH(MAX(E$2:E510), E$2:E510, 0)), MAX(E$2:E510)+1, MAX(E$2:E510)+2)))</f>
        <v/>
      </c>
      <c r="F511">
        <f>IF(NOT(AND(C511=1, TRIM(ERP資料!T511)="平板")), 0, IF(MAX(F$2:F510)=0, 1, IF(ERP資料!A511=INDEX(ERP資料!$A$2:$A510, MATCH(MAX(F$2:F510), F$2:F510, 0)), MAX(F$2:F510)+1, MAX(F$2:F510)+2)))</f>
        <v/>
      </c>
      <c r="G511">
        <f>IF(NOT(AND(C511=1, TRIM(ERP資料!T511)="捲筒")), 0, IF(MAX(G$2:G510)=0, 1, IF(ERP資料!A511=INDEX(ERP資料!$A$2:$A510, MATCH(MAX(G$2:G510), G$2:G510, 0)), MAX(G$2:G510)+1, MAX(G$2:G510)+2)))</f>
        <v/>
      </c>
      <c r="H511">
        <f>IF(OR(ERP資料!C511="",ERP資料!D511=""),0,ERP資料!D511-ERP資料!C511+1)</f>
        <v/>
      </c>
    </row>
    <row r="512">
      <c r="A512" t="n">
        <v>512</v>
      </c>
      <c r="B512">
        <f>IF(ERP資料!A512="","",ERP資料!A512&amp;"|"&amp;ERP資料!E512&amp;"|"&amp;ERP資料!F512&amp;"|"&amp;ERP資料!G512&amp;"|"&amp;ERP資料!H512&amp;"|"&amp;ERP資料!O512)</f>
        <v/>
      </c>
      <c r="C512">
        <f>IF(B512="",0,IF(COUNTIF(B$2:B511,B512)=0,1,0))</f>
        <v/>
      </c>
      <c r="D512">
        <f>IF(B512="",0,SUMIFS($H$2:$H$801,$B$2:$B$801,B512))</f>
        <v/>
      </c>
      <c r="E512">
        <f>IF(NOT(AND(C512=1, TRIM(ERP資料!T512)="平板")), 0, IF(MAX(E$2:E511)=0, 1, IF(ERP資料!A512=INDEX(ERP資料!$A$2:$A511, MATCH(MAX(E$2:E511), E$2:E511, 0)), MAX(E$2:E511)+1, MAX(E$2:E511)+2)))</f>
        <v/>
      </c>
      <c r="F512">
        <f>IF(NOT(AND(C512=1, TRIM(ERP資料!T512)="平板")), 0, IF(MAX(F$2:F511)=0, 1, IF(ERP資料!A512=INDEX(ERP資料!$A$2:$A511, MATCH(MAX(F$2:F511), F$2:F511, 0)), MAX(F$2:F511)+1, MAX(F$2:F511)+2)))</f>
        <v/>
      </c>
      <c r="G512">
        <f>IF(NOT(AND(C512=1, TRIM(ERP資料!T512)="捲筒")), 0, IF(MAX(G$2:G511)=0, 1, IF(ERP資料!A512=INDEX(ERP資料!$A$2:$A511, MATCH(MAX(G$2:G511), G$2:G511, 0)), MAX(G$2:G511)+1, MAX(G$2:G511)+2)))</f>
        <v/>
      </c>
      <c r="H512">
        <f>IF(OR(ERP資料!C512="",ERP資料!D512=""),0,ERP資料!D512-ERP資料!C512+1)</f>
        <v/>
      </c>
    </row>
    <row r="513">
      <c r="A513" t="n">
        <v>513</v>
      </c>
      <c r="B513">
        <f>IF(ERP資料!A513="","",ERP資料!A513&amp;"|"&amp;ERP資料!E513&amp;"|"&amp;ERP資料!F513&amp;"|"&amp;ERP資料!G513&amp;"|"&amp;ERP資料!H513&amp;"|"&amp;ERP資料!O513)</f>
        <v/>
      </c>
      <c r="C513">
        <f>IF(B513="",0,IF(COUNTIF(B$2:B512,B513)=0,1,0))</f>
        <v/>
      </c>
      <c r="D513">
        <f>IF(B513="",0,SUMIFS($H$2:$H$801,$B$2:$B$801,B513))</f>
        <v/>
      </c>
      <c r="E513">
        <f>IF(NOT(AND(C513=1, TRIM(ERP資料!T513)="平板")), 0, IF(MAX(E$2:E512)=0, 1, IF(ERP資料!A513=INDEX(ERP資料!$A$2:$A512, MATCH(MAX(E$2:E512), E$2:E512, 0)), MAX(E$2:E512)+1, MAX(E$2:E512)+2)))</f>
        <v/>
      </c>
      <c r="F513">
        <f>IF(NOT(AND(C513=1, TRIM(ERP資料!T513)="平板")), 0, IF(MAX(F$2:F512)=0, 1, IF(ERP資料!A513=INDEX(ERP資料!$A$2:$A512, MATCH(MAX(F$2:F512), F$2:F512, 0)), MAX(F$2:F512)+1, MAX(F$2:F512)+2)))</f>
        <v/>
      </c>
      <c r="G513">
        <f>IF(NOT(AND(C513=1, TRIM(ERP資料!T513)="捲筒")), 0, IF(MAX(G$2:G512)=0, 1, IF(ERP資料!A513=INDEX(ERP資料!$A$2:$A512, MATCH(MAX(G$2:G512), G$2:G512, 0)), MAX(G$2:G512)+1, MAX(G$2:G512)+2)))</f>
        <v/>
      </c>
      <c r="H513">
        <f>IF(OR(ERP資料!C513="",ERP資料!D513=""),0,ERP資料!D513-ERP資料!C513+1)</f>
        <v/>
      </c>
    </row>
    <row r="514">
      <c r="A514" t="n">
        <v>514</v>
      </c>
      <c r="B514">
        <f>IF(ERP資料!A514="","",ERP資料!A514&amp;"|"&amp;ERP資料!E514&amp;"|"&amp;ERP資料!F514&amp;"|"&amp;ERP資料!G514&amp;"|"&amp;ERP資料!H514&amp;"|"&amp;ERP資料!O514)</f>
        <v/>
      </c>
      <c r="C514">
        <f>IF(B514="",0,IF(COUNTIF(B$2:B513,B514)=0,1,0))</f>
        <v/>
      </c>
      <c r="D514">
        <f>IF(B514="",0,SUMIFS($H$2:$H$801,$B$2:$B$801,B514))</f>
        <v/>
      </c>
      <c r="E514">
        <f>IF(NOT(AND(C514=1, TRIM(ERP資料!T514)="平板")), 0, IF(MAX(E$2:E513)=0, 1, IF(ERP資料!A514=INDEX(ERP資料!$A$2:$A513, MATCH(MAX(E$2:E513), E$2:E513, 0)), MAX(E$2:E513)+1, MAX(E$2:E513)+2)))</f>
        <v/>
      </c>
      <c r="F514">
        <f>IF(NOT(AND(C514=1, TRIM(ERP資料!T514)="平板")), 0, IF(MAX(F$2:F513)=0, 1, IF(ERP資料!A514=INDEX(ERP資料!$A$2:$A513, MATCH(MAX(F$2:F513), F$2:F513, 0)), MAX(F$2:F513)+1, MAX(F$2:F513)+2)))</f>
        <v/>
      </c>
      <c r="G514">
        <f>IF(NOT(AND(C514=1, TRIM(ERP資料!T514)="捲筒")), 0, IF(MAX(G$2:G513)=0, 1, IF(ERP資料!A514=INDEX(ERP資料!$A$2:$A513, MATCH(MAX(G$2:G513), G$2:G513, 0)), MAX(G$2:G513)+1, MAX(G$2:G513)+2)))</f>
        <v/>
      </c>
      <c r="H514">
        <f>IF(OR(ERP資料!C514="",ERP資料!D514=""),0,ERP資料!D514-ERP資料!C514+1)</f>
        <v/>
      </c>
    </row>
    <row r="515">
      <c r="A515" t="n">
        <v>515</v>
      </c>
      <c r="B515">
        <f>IF(ERP資料!A515="","",ERP資料!A515&amp;"|"&amp;ERP資料!E515&amp;"|"&amp;ERP資料!F515&amp;"|"&amp;ERP資料!G515&amp;"|"&amp;ERP資料!H515&amp;"|"&amp;ERP資料!O515)</f>
        <v/>
      </c>
      <c r="C515">
        <f>IF(B515="",0,IF(COUNTIF(B$2:B514,B515)=0,1,0))</f>
        <v/>
      </c>
      <c r="D515">
        <f>IF(B515="",0,SUMIFS($H$2:$H$801,$B$2:$B$801,B515))</f>
        <v/>
      </c>
      <c r="E515">
        <f>IF(NOT(AND(C515=1, TRIM(ERP資料!T515)="平板")), 0, IF(MAX(E$2:E514)=0, 1, IF(ERP資料!A515=INDEX(ERP資料!$A$2:$A514, MATCH(MAX(E$2:E514), E$2:E514, 0)), MAX(E$2:E514)+1, MAX(E$2:E514)+2)))</f>
        <v/>
      </c>
      <c r="F515">
        <f>IF(NOT(AND(C515=1, TRIM(ERP資料!T515)="平板")), 0, IF(MAX(F$2:F514)=0, 1, IF(ERP資料!A515=INDEX(ERP資料!$A$2:$A514, MATCH(MAX(F$2:F514), F$2:F514, 0)), MAX(F$2:F514)+1, MAX(F$2:F514)+2)))</f>
        <v/>
      </c>
      <c r="G515">
        <f>IF(NOT(AND(C515=1, TRIM(ERP資料!T515)="捲筒")), 0, IF(MAX(G$2:G514)=0, 1, IF(ERP資料!A515=INDEX(ERP資料!$A$2:$A514, MATCH(MAX(G$2:G514), G$2:G514, 0)), MAX(G$2:G514)+1, MAX(G$2:G514)+2)))</f>
        <v/>
      </c>
      <c r="H515">
        <f>IF(OR(ERP資料!C515="",ERP資料!D515=""),0,ERP資料!D515-ERP資料!C515+1)</f>
        <v/>
      </c>
    </row>
    <row r="516">
      <c r="A516" t="n">
        <v>516</v>
      </c>
      <c r="B516">
        <f>IF(ERP資料!A516="","",ERP資料!A516&amp;"|"&amp;ERP資料!E516&amp;"|"&amp;ERP資料!F516&amp;"|"&amp;ERP資料!G516&amp;"|"&amp;ERP資料!H516&amp;"|"&amp;ERP資料!O516)</f>
        <v/>
      </c>
      <c r="C516">
        <f>IF(B516="",0,IF(COUNTIF(B$2:B515,B516)=0,1,0))</f>
        <v/>
      </c>
      <c r="D516">
        <f>IF(B516="",0,SUMIFS($H$2:$H$801,$B$2:$B$801,B516))</f>
        <v/>
      </c>
      <c r="E516">
        <f>IF(NOT(AND(C516=1, TRIM(ERP資料!T516)="平板")), 0, IF(MAX(E$2:E515)=0, 1, IF(ERP資料!A516=INDEX(ERP資料!$A$2:$A515, MATCH(MAX(E$2:E515), E$2:E515, 0)), MAX(E$2:E515)+1, MAX(E$2:E515)+2)))</f>
        <v/>
      </c>
      <c r="F516">
        <f>IF(NOT(AND(C516=1, TRIM(ERP資料!T516)="平板")), 0, IF(MAX(F$2:F515)=0, 1, IF(ERP資料!A516=INDEX(ERP資料!$A$2:$A515, MATCH(MAX(F$2:F515), F$2:F515, 0)), MAX(F$2:F515)+1, MAX(F$2:F515)+2)))</f>
        <v/>
      </c>
      <c r="G516">
        <f>IF(NOT(AND(C516=1, TRIM(ERP資料!T516)="捲筒")), 0, IF(MAX(G$2:G515)=0, 1, IF(ERP資料!A516=INDEX(ERP資料!$A$2:$A515, MATCH(MAX(G$2:G515), G$2:G515, 0)), MAX(G$2:G515)+1, MAX(G$2:G515)+2)))</f>
        <v/>
      </c>
      <c r="H516">
        <f>IF(OR(ERP資料!C516="",ERP資料!D516=""),0,ERP資料!D516-ERP資料!C516+1)</f>
        <v/>
      </c>
    </row>
    <row r="517">
      <c r="A517" t="n">
        <v>517</v>
      </c>
      <c r="B517">
        <f>IF(ERP資料!A517="","",ERP資料!A517&amp;"|"&amp;ERP資料!E517&amp;"|"&amp;ERP資料!F517&amp;"|"&amp;ERP資料!G517&amp;"|"&amp;ERP資料!H517&amp;"|"&amp;ERP資料!O517)</f>
        <v/>
      </c>
      <c r="C517">
        <f>IF(B517="",0,IF(COUNTIF(B$2:B516,B517)=0,1,0))</f>
        <v/>
      </c>
      <c r="D517">
        <f>IF(B517="",0,SUMIFS($H$2:$H$801,$B$2:$B$801,B517))</f>
        <v/>
      </c>
      <c r="E517">
        <f>IF(NOT(AND(C517=1, TRIM(ERP資料!T517)="平板")), 0, IF(MAX(E$2:E516)=0, 1, IF(ERP資料!A517=INDEX(ERP資料!$A$2:$A516, MATCH(MAX(E$2:E516), E$2:E516, 0)), MAX(E$2:E516)+1, MAX(E$2:E516)+2)))</f>
        <v/>
      </c>
      <c r="F517">
        <f>IF(NOT(AND(C517=1, TRIM(ERP資料!T517)="平板")), 0, IF(MAX(F$2:F516)=0, 1, IF(ERP資料!A517=INDEX(ERP資料!$A$2:$A516, MATCH(MAX(F$2:F516), F$2:F516, 0)), MAX(F$2:F516)+1, MAX(F$2:F516)+2)))</f>
        <v/>
      </c>
      <c r="G517">
        <f>IF(NOT(AND(C517=1, TRIM(ERP資料!T517)="捲筒")), 0, IF(MAX(G$2:G516)=0, 1, IF(ERP資料!A517=INDEX(ERP資料!$A$2:$A516, MATCH(MAX(G$2:G516), G$2:G516, 0)), MAX(G$2:G516)+1, MAX(G$2:G516)+2)))</f>
        <v/>
      </c>
      <c r="H517">
        <f>IF(OR(ERP資料!C517="",ERP資料!D517=""),0,ERP資料!D517-ERP資料!C517+1)</f>
        <v/>
      </c>
    </row>
    <row r="518">
      <c r="A518" t="n">
        <v>518</v>
      </c>
      <c r="B518">
        <f>IF(ERP資料!A518="","",ERP資料!A518&amp;"|"&amp;ERP資料!E518&amp;"|"&amp;ERP資料!F518&amp;"|"&amp;ERP資料!G518&amp;"|"&amp;ERP資料!H518&amp;"|"&amp;ERP資料!O518)</f>
        <v/>
      </c>
      <c r="C518">
        <f>IF(B518="",0,IF(COUNTIF(B$2:B517,B518)=0,1,0))</f>
        <v/>
      </c>
      <c r="D518">
        <f>IF(B518="",0,SUMIFS($H$2:$H$801,$B$2:$B$801,B518))</f>
        <v/>
      </c>
      <c r="E518">
        <f>IF(NOT(AND(C518=1, TRIM(ERP資料!T518)="平板")), 0, IF(MAX(E$2:E517)=0, 1, IF(ERP資料!A518=INDEX(ERP資料!$A$2:$A517, MATCH(MAX(E$2:E517), E$2:E517, 0)), MAX(E$2:E517)+1, MAX(E$2:E517)+2)))</f>
        <v/>
      </c>
      <c r="F518">
        <f>IF(NOT(AND(C518=1, TRIM(ERP資料!T518)="平板")), 0, IF(MAX(F$2:F517)=0, 1, IF(ERP資料!A518=INDEX(ERP資料!$A$2:$A517, MATCH(MAX(F$2:F517), F$2:F517, 0)), MAX(F$2:F517)+1, MAX(F$2:F517)+2)))</f>
        <v/>
      </c>
      <c r="G518">
        <f>IF(NOT(AND(C518=1, TRIM(ERP資料!T518)="捲筒")), 0, IF(MAX(G$2:G517)=0, 1, IF(ERP資料!A518=INDEX(ERP資料!$A$2:$A517, MATCH(MAX(G$2:G517), G$2:G517, 0)), MAX(G$2:G517)+1, MAX(G$2:G517)+2)))</f>
        <v/>
      </c>
      <c r="H518">
        <f>IF(OR(ERP資料!C518="",ERP資料!D518=""),0,ERP資料!D518-ERP資料!C518+1)</f>
        <v/>
      </c>
    </row>
    <row r="519">
      <c r="A519" t="n">
        <v>519</v>
      </c>
      <c r="B519">
        <f>IF(ERP資料!A519="","",ERP資料!A519&amp;"|"&amp;ERP資料!E519&amp;"|"&amp;ERP資料!F519&amp;"|"&amp;ERP資料!G519&amp;"|"&amp;ERP資料!H519&amp;"|"&amp;ERP資料!O519)</f>
        <v/>
      </c>
      <c r="C519">
        <f>IF(B519="",0,IF(COUNTIF(B$2:B518,B519)=0,1,0))</f>
        <v/>
      </c>
      <c r="D519">
        <f>IF(B519="",0,SUMIFS($H$2:$H$801,$B$2:$B$801,B519))</f>
        <v/>
      </c>
      <c r="E519">
        <f>IF(NOT(AND(C519=1, TRIM(ERP資料!T519)="平板")), 0, IF(MAX(E$2:E518)=0, 1, IF(ERP資料!A519=INDEX(ERP資料!$A$2:$A518, MATCH(MAX(E$2:E518), E$2:E518, 0)), MAX(E$2:E518)+1, MAX(E$2:E518)+2)))</f>
        <v/>
      </c>
      <c r="F519">
        <f>IF(NOT(AND(C519=1, TRIM(ERP資料!T519)="平板")), 0, IF(MAX(F$2:F518)=0, 1, IF(ERP資料!A519=INDEX(ERP資料!$A$2:$A518, MATCH(MAX(F$2:F518), F$2:F518, 0)), MAX(F$2:F518)+1, MAX(F$2:F518)+2)))</f>
        <v/>
      </c>
      <c r="G519">
        <f>IF(NOT(AND(C519=1, TRIM(ERP資料!T519)="捲筒")), 0, IF(MAX(G$2:G518)=0, 1, IF(ERP資料!A519=INDEX(ERP資料!$A$2:$A518, MATCH(MAX(G$2:G518), G$2:G518, 0)), MAX(G$2:G518)+1, MAX(G$2:G518)+2)))</f>
        <v/>
      </c>
      <c r="H519">
        <f>IF(OR(ERP資料!C519="",ERP資料!D519=""),0,ERP資料!D519-ERP資料!C519+1)</f>
        <v/>
      </c>
    </row>
    <row r="520">
      <c r="A520" t="n">
        <v>520</v>
      </c>
      <c r="B520">
        <f>IF(ERP資料!A520="","",ERP資料!A520&amp;"|"&amp;ERP資料!E520&amp;"|"&amp;ERP資料!F520&amp;"|"&amp;ERP資料!G520&amp;"|"&amp;ERP資料!H520&amp;"|"&amp;ERP資料!O520)</f>
        <v/>
      </c>
      <c r="C520">
        <f>IF(B520="",0,IF(COUNTIF(B$2:B519,B520)=0,1,0))</f>
        <v/>
      </c>
      <c r="D520">
        <f>IF(B520="",0,SUMIFS($H$2:$H$801,$B$2:$B$801,B520))</f>
        <v/>
      </c>
      <c r="E520">
        <f>IF(NOT(AND(C520=1, TRIM(ERP資料!T520)="平板")), 0, IF(MAX(E$2:E519)=0, 1, IF(ERP資料!A520=INDEX(ERP資料!$A$2:$A519, MATCH(MAX(E$2:E519), E$2:E519, 0)), MAX(E$2:E519)+1, MAX(E$2:E519)+2)))</f>
        <v/>
      </c>
      <c r="F520">
        <f>IF(NOT(AND(C520=1, TRIM(ERP資料!T520)="平板")), 0, IF(MAX(F$2:F519)=0, 1, IF(ERP資料!A520=INDEX(ERP資料!$A$2:$A519, MATCH(MAX(F$2:F519), F$2:F519, 0)), MAX(F$2:F519)+1, MAX(F$2:F519)+2)))</f>
        <v/>
      </c>
      <c r="G520">
        <f>IF(NOT(AND(C520=1, TRIM(ERP資料!T520)="捲筒")), 0, IF(MAX(G$2:G519)=0, 1, IF(ERP資料!A520=INDEX(ERP資料!$A$2:$A519, MATCH(MAX(G$2:G519), G$2:G519, 0)), MAX(G$2:G519)+1, MAX(G$2:G519)+2)))</f>
        <v/>
      </c>
      <c r="H520">
        <f>IF(OR(ERP資料!C520="",ERP資料!D520=""),0,ERP資料!D520-ERP資料!C520+1)</f>
        <v/>
      </c>
    </row>
    <row r="521">
      <c r="A521" t="n">
        <v>521</v>
      </c>
      <c r="B521">
        <f>IF(ERP資料!A521="","",ERP資料!A521&amp;"|"&amp;ERP資料!E521&amp;"|"&amp;ERP資料!F521&amp;"|"&amp;ERP資料!G521&amp;"|"&amp;ERP資料!H521&amp;"|"&amp;ERP資料!O521)</f>
        <v/>
      </c>
      <c r="C521">
        <f>IF(B521="",0,IF(COUNTIF(B$2:B520,B521)=0,1,0))</f>
        <v/>
      </c>
      <c r="D521">
        <f>IF(B521="",0,SUMIFS($H$2:$H$801,$B$2:$B$801,B521))</f>
        <v/>
      </c>
      <c r="E521">
        <f>IF(NOT(AND(C521=1, TRIM(ERP資料!T521)="平板")), 0, IF(MAX(E$2:E520)=0, 1, IF(ERP資料!A521=INDEX(ERP資料!$A$2:$A520, MATCH(MAX(E$2:E520), E$2:E520, 0)), MAX(E$2:E520)+1, MAX(E$2:E520)+2)))</f>
        <v/>
      </c>
      <c r="F521">
        <f>IF(NOT(AND(C521=1, TRIM(ERP資料!T521)="平板")), 0, IF(MAX(F$2:F520)=0, 1, IF(ERP資料!A521=INDEX(ERP資料!$A$2:$A520, MATCH(MAX(F$2:F520), F$2:F520, 0)), MAX(F$2:F520)+1, MAX(F$2:F520)+2)))</f>
        <v/>
      </c>
      <c r="G521">
        <f>IF(NOT(AND(C521=1, TRIM(ERP資料!T521)="捲筒")), 0, IF(MAX(G$2:G520)=0, 1, IF(ERP資料!A521=INDEX(ERP資料!$A$2:$A520, MATCH(MAX(G$2:G520), G$2:G520, 0)), MAX(G$2:G520)+1, MAX(G$2:G520)+2)))</f>
        <v/>
      </c>
      <c r="H521">
        <f>IF(OR(ERP資料!C521="",ERP資料!D521=""),0,ERP資料!D521-ERP資料!C521+1)</f>
        <v/>
      </c>
    </row>
    <row r="522">
      <c r="A522" t="n">
        <v>522</v>
      </c>
      <c r="B522">
        <f>IF(ERP資料!A522="","",ERP資料!A522&amp;"|"&amp;ERP資料!E522&amp;"|"&amp;ERP資料!F522&amp;"|"&amp;ERP資料!G522&amp;"|"&amp;ERP資料!H522&amp;"|"&amp;ERP資料!O522)</f>
        <v/>
      </c>
      <c r="C522">
        <f>IF(B522="",0,IF(COUNTIF(B$2:B521,B522)=0,1,0))</f>
        <v/>
      </c>
      <c r="D522">
        <f>IF(B522="",0,SUMIFS($H$2:$H$801,$B$2:$B$801,B522))</f>
        <v/>
      </c>
      <c r="E522">
        <f>IF(NOT(AND(C522=1, TRIM(ERP資料!T522)="平板")), 0, IF(MAX(E$2:E521)=0, 1, IF(ERP資料!A522=INDEX(ERP資料!$A$2:$A521, MATCH(MAX(E$2:E521), E$2:E521, 0)), MAX(E$2:E521)+1, MAX(E$2:E521)+2)))</f>
        <v/>
      </c>
      <c r="F522">
        <f>IF(NOT(AND(C522=1, TRIM(ERP資料!T522)="平板")), 0, IF(MAX(F$2:F521)=0, 1, IF(ERP資料!A522=INDEX(ERP資料!$A$2:$A521, MATCH(MAX(F$2:F521), F$2:F521, 0)), MAX(F$2:F521)+1, MAX(F$2:F521)+2)))</f>
        <v/>
      </c>
      <c r="G522">
        <f>IF(NOT(AND(C522=1, TRIM(ERP資料!T522)="捲筒")), 0, IF(MAX(G$2:G521)=0, 1, IF(ERP資料!A522=INDEX(ERP資料!$A$2:$A521, MATCH(MAX(G$2:G521), G$2:G521, 0)), MAX(G$2:G521)+1, MAX(G$2:G521)+2)))</f>
        <v/>
      </c>
      <c r="H522">
        <f>IF(OR(ERP資料!C522="",ERP資料!D522=""),0,ERP資料!D522-ERP資料!C522+1)</f>
        <v/>
      </c>
    </row>
    <row r="523">
      <c r="A523" t="n">
        <v>523</v>
      </c>
      <c r="B523">
        <f>IF(ERP資料!A523="","",ERP資料!A523&amp;"|"&amp;ERP資料!E523&amp;"|"&amp;ERP資料!F523&amp;"|"&amp;ERP資料!G523&amp;"|"&amp;ERP資料!H523&amp;"|"&amp;ERP資料!O523)</f>
        <v/>
      </c>
      <c r="C523">
        <f>IF(B523="",0,IF(COUNTIF(B$2:B522,B523)=0,1,0))</f>
        <v/>
      </c>
      <c r="D523">
        <f>IF(B523="",0,SUMIFS($H$2:$H$801,$B$2:$B$801,B523))</f>
        <v/>
      </c>
      <c r="E523">
        <f>IF(NOT(AND(C523=1, TRIM(ERP資料!T523)="平板")), 0, IF(MAX(E$2:E522)=0, 1, IF(ERP資料!A523=INDEX(ERP資料!$A$2:$A522, MATCH(MAX(E$2:E522), E$2:E522, 0)), MAX(E$2:E522)+1, MAX(E$2:E522)+2)))</f>
        <v/>
      </c>
      <c r="F523">
        <f>IF(NOT(AND(C523=1, TRIM(ERP資料!T523)="平板")), 0, IF(MAX(F$2:F522)=0, 1, IF(ERP資料!A523=INDEX(ERP資料!$A$2:$A522, MATCH(MAX(F$2:F522), F$2:F522, 0)), MAX(F$2:F522)+1, MAX(F$2:F522)+2)))</f>
        <v/>
      </c>
      <c r="G523">
        <f>IF(NOT(AND(C523=1, TRIM(ERP資料!T523)="捲筒")), 0, IF(MAX(G$2:G522)=0, 1, IF(ERP資料!A523=INDEX(ERP資料!$A$2:$A522, MATCH(MAX(G$2:G522), G$2:G522, 0)), MAX(G$2:G522)+1, MAX(G$2:G522)+2)))</f>
        <v/>
      </c>
      <c r="H523">
        <f>IF(OR(ERP資料!C523="",ERP資料!D523=""),0,ERP資料!D523-ERP資料!C523+1)</f>
        <v/>
      </c>
    </row>
    <row r="524">
      <c r="A524" t="n">
        <v>524</v>
      </c>
      <c r="B524">
        <f>IF(ERP資料!A524="","",ERP資料!A524&amp;"|"&amp;ERP資料!E524&amp;"|"&amp;ERP資料!F524&amp;"|"&amp;ERP資料!G524&amp;"|"&amp;ERP資料!H524&amp;"|"&amp;ERP資料!O524)</f>
        <v/>
      </c>
      <c r="C524">
        <f>IF(B524="",0,IF(COUNTIF(B$2:B523,B524)=0,1,0))</f>
        <v/>
      </c>
      <c r="D524">
        <f>IF(B524="",0,SUMIFS($H$2:$H$801,$B$2:$B$801,B524))</f>
        <v/>
      </c>
      <c r="E524">
        <f>IF(NOT(AND(C524=1, TRIM(ERP資料!T524)="平板")), 0, IF(MAX(E$2:E523)=0, 1, IF(ERP資料!A524=INDEX(ERP資料!$A$2:$A523, MATCH(MAX(E$2:E523), E$2:E523, 0)), MAX(E$2:E523)+1, MAX(E$2:E523)+2)))</f>
        <v/>
      </c>
      <c r="F524">
        <f>IF(NOT(AND(C524=1, TRIM(ERP資料!T524)="平板")), 0, IF(MAX(F$2:F523)=0, 1, IF(ERP資料!A524=INDEX(ERP資料!$A$2:$A523, MATCH(MAX(F$2:F523), F$2:F523, 0)), MAX(F$2:F523)+1, MAX(F$2:F523)+2)))</f>
        <v/>
      </c>
      <c r="G524">
        <f>IF(NOT(AND(C524=1, TRIM(ERP資料!T524)="捲筒")), 0, IF(MAX(G$2:G523)=0, 1, IF(ERP資料!A524=INDEX(ERP資料!$A$2:$A523, MATCH(MAX(G$2:G523), G$2:G523, 0)), MAX(G$2:G523)+1, MAX(G$2:G523)+2)))</f>
        <v/>
      </c>
      <c r="H524">
        <f>IF(OR(ERP資料!C524="",ERP資料!D524=""),0,ERP資料!D524-ERP資料!C524+1)</f>
        <v/>
      </c>
    </row>
    <row r="525">
      <c r="A525" t="n">
        <v>525</v>
      </c>
      <c r="B525">
        <f>IF(ERP資料!A525="","",ERP資料!A525&amp;"|"&amp;ERP資料!E525&amp;"|"&amp;ERP資料!F525&amp;"|"&amp;ERP資料!G525&amp;"|"&amp;ERP資料!H525&amp;"|"&amp;ERP資料!O525)</f>
        <v/>
      </c>
      <c r="C525">
        <f>IF(B525="",0,IF(COUNTIF(B$2:B524,B525)=0,1,0))</f>
        <v/>
      </c>
      <c r="D525">
        <f>IF(B525="",0,SUMIFS($H$2:$H$801,$B$2:$B$801,B525))</f>
        <v/>
      </c>
      <c r="E525">
        <f>IF(NOT(AND(C525=1, TRIM(ERP資料!T525)="平板")), 0, IF(MAX(E$2:E524)=0, 1, IF(ERP資料!A525=INDEX(ERP資料!$A$2:$A524, MATCH(MAX(E$2:E524), E$2:E524, 0)), MAX(E$2:E524)+1, MAX(E$2:E524)+2)))</f>
        <v/>
      </c>
      <c r="F525">
        <f>IF(NOT(AND(C525=1, TRIM(ERP資料!T525)="平板")), 0, IF(MAX(F$2:F524)=0, 1, IF(ERP資料!A525=INDEX(ERP資料!$A$2:$A524, MATCH(MAX(F$2:F524), F$2:F524, 0)), MAX(F$2:F524)+1, MAX(F$2:F524)+2)))</f>
        <v/>
      </c>
      <c r="G525">
        <f>IF(NOT(AND(C525=1, TRIM(ERP資料!T525)="捲筒")), 0, IF(MAX(G$2:G524)=0, 1, IF(ERP資料!A525=INDEX(ERP資料!$A$2:$A524, MATCH(MAX(G$2:G524), G$2:G524, 0)), MAX(G$2:G524)+1, MAX(G$2:G524)+2)))</f>
        <v/>
      </c>
      <c r="H525">
        <f>IF(OR(ERP資料!C525="",ERP資料!D525=""),0,ERP資料!D525-ERP資料!C525+1)</f>
        <v/>
      </c>
    </row>
    <row r="526">
      <c r="A526" t="n">
        <v>526</v>
      </c>
      <c r="B526">
        <f>IF(ERP資料!A526="","",ERP資料!A526&amp;"|"&amp;ERP資料!E526&amp;"|"&amp;ERP資料!F526&amp;"|"&amp;ERP資料!G526&amp;"|"&amp;ERP資料!H526&amp;"|"&amp;ERP資料!O526)</f>
        <v/>
      </c>
      <c r="C526">
        <f>IF(B526="",0,IF(COUNTIF(B$2:B525,B526)=0,1,0))</f>
        <v/>
      </c>
      <c r="D526">
        <f>IF(B526="",0,SUMIFS($H$2:$H$801,$B$2:$B$801,B526))</f>
        <v/>
      </c>
      <c r="E526">
        <f>IF(NOT(AND(C526=1, TRIM(ERP資料!T526)="平板")), 0, IF(MAX(E$2:E525)=0, 1, IF(ERP資料!A526=INDEX(ERP資料!$A$2:$A525, MATCH(MAX(E$2:E525), E$2:E525, 0)), MAX(E$2:E525)+1, MAX(E$2:E525)+2)))</f>
        <v/>
      </c>
      <c r="F526">
        <f>IF(NOT(AND(C526=1, TRIM(ERP資料!T526)="平板")), 0, IF(MAX(F$2:F525)=0, 1, IF(ERP資料!A526=INDEX(ERP資料!$A$2:$A525, MATCH(MAX(F$2:F525), F$2:F525, 0)), MAX(F$2:F525)+1, MAX(F$2:F525)+2)))</f>
        <v/>
      </c>
      <c r="G526">
        <f>IF(NOT(AND(C526=1, TRIM(ERP資料!T526)="捲筒")), 0, IF(MAX(G$2:G525)=0, 1, IF(ERP資料!A526=INDEX(ERP資料!$A$2:$A525, MATCH(MAX(G$2:G525), G$2:G525, 0)), MAX(G$2:G525)+1, MAX(G$2:G525)+2)))</f>
        <v/>
      </c>
      <c r="H526">
        <f>IF(OR(ERP資料!C526="",ERP資料!D526=""),0,ERP資料!D526-ERP資料!C526+1)</f>
        <v/>
      </c>
    </row>
    <row r="527">
      <c r="A527" t="n">
        <v>527</v>
      </c>
      <c r="B527">
        <f>IF(ERP資料!A527="","",ERP資料!A527&amp;"|"&amp;ERP資料!E527&amp;"|"&amp;ERP資料!F527&amp;"|"&amp;ERP資料!G527&amp;"|"&amp;ERP資料!H527&amp;"|"&amp;ERP資料!O527)</f>
        <v/>
      </c>
      <c r="C527">
        <f>IF(B527="",0,IF(COUNTIF(B$2:B526,B527)=0,1,0))</f>
        <v/>
      </c>
      <c r="D527">
        <f>IF(B527="",0,SUMIFS($H$2:$H$801,$B$2:$B$801,B527))</f>
        <v/>
      </c>
      <c r="E527">
        <f>IF(NOT(AND(C527=1, TRIM(ERP資料!T527)="平板")), 0, IF(MAX(E$2:E526)=0, 1, IF(ERP資料!A527=INDEX(ERP資料!$A$2:$A526, MATCH(MAX(E$2:E526), E$2:E526, 0)), MAX(E$2:E526)+1, MAX(E$2:E526)+2)))</f>
        <v/>
      </c>
      <c r="F527">
        <f>IF(NOT(AND(C527=1, TRIM(ERP資料!T527)="平板")), 0, IF(MAX(F$2:F526)=0, 1, IF(ERP資料!A527=INDEX(ERP資料!$A$2:$A526, MATCH(MAX(F$2:F526), F$2:F526, 0)), MAX(F$2:F526)+1, MAX(F$2:F526)+2)))</f>
        <v/>
      </c>
      <c r="G527">
        <f>IF(NOT(AND(C527=1, TRIM(ERP資料!T527)="捲筒")), 0, IF(MAX(G$2:G526)=0, 1, IF(ERP資料!A527=INDEX(ERP資料!$A$2:$A526, MATCH(MAX(G$2:G526), G$2:G526, 0)), MAX(G$2:G526)+1, MAX(G$2:G526)+2)))</f>
        <v/>
      </c>
      <c r="H527">
        <f>IF(OR(ERP資料!C527="",ERP資料!D527=""),0,ERP資料!D527-ERP資料!C527+1)</f>
        <v/>
      </c>
    </row>
    <row r="528">
      <c r="A528" t="n">
        <v>528</v>
      </c>
      <c r="B528">
        <f>IF(ERP資料!A528="","",ERP資料!A528&amp;"|"&amp;ERP資料!E528&amp;"|"&amp;ERP資料!F528&amp;"|"&amp;ERP資料!G528&amp;"|"&amp;ERP資料!H528&amp;"|"&amp;ERP資料!O528)</f>
        <v/>
      </c>
      <c r="C528">
        <f>IF(B528="",0,IF(COUNTIF(B$2:B527,B528)=0,1,0))</f>
        <v/>
      </c>
      <c r="D528">
        <f>IF(B528="",0,SUMIFS($H$2:$H$801,$B$2:$B$801,B528))</f>
        <v/>
      </c>
      <c r="E528">
        <f>IF(NOT(AND(C528=1, TRIM(ERP資料!T528)="平板")), 0, IF(MAX(E$2:E527)=0, 1, IF(ERP資料!A528=INDEX(ERP資料!$A$2:$A527, MATCH(MAX(E$2:E527), E$2:E527, 0)), MAX(E$2:E527)+1, MAX(E$2:E527)+2)))</f>
        <v/>
      </c>
      <c r="F528">
        <f>IF(NOT(AND(C528=1, TRIM(ERP資料!T528)="平板")), 0, IF(MAX(F$2:F527)=0, 1, IF(ERP資料!A528=INDEX(ERP資料!$A$2:$A527, MATCH(MAX(F$2:F527), F$2:F527, 0)), MAX(F$2:F527)+1, MAX(F$2:F527)+2)))</f>
        <v/>
      </c>
      <c r="G528">
        <f>IF(NOT(AND(C528=1, TRIM(ERP資料!T528)="捲筒")), 0, IF(MAX(G$2:G527)=0, 1, IF(ERP資料!A528=INDEX(ERP資料!$A$2:$A527, MATCH(MAX(G$2:G527), G$2:G527, 0)), MAX(G$2:G527)+1, MAX(G$2:G527)+2)))</f>
        <v/>
      </c>
      <c r="H528">
        <f>IF(OR(ERP資料!C528="",ERP資料!D528=""),0,ERP資料!D528-ERP資料!C528+1)</f>
        <v/>
      </c>
    </row>
    <row r="529">
      <c r="A529" t="n">
        <v>529</v>
      </c>
      <c r="B529">
        <f>IF(ERP資料!A529="","",ERP資料!A529&amp;"|"&amp;ERP資料!E529&amp;"|"&amp;ERP資料!F529&amp;"|"&amp;ERP資料!G529&amp;"|"&amp;ERP資料!H529&amp;"|"&amp;ERP資料!O529)</f>
        <v/>
      </c>
      <c r="C529">
        <f>IF(B529="",0,IF(COUNTIF(B$2:B528,B529)=0,1,0))</f>
        <v/>
      </c>
      <c r="D529">
        <f>IF(B529="",0,SUMIFS($H$2:$H$801,$B$2:$B$801,B529))</f>
        <v/>
      </c>
      <c r="E529">
        <f>IF(NOT(AND(C529=1, TRIM(ERP資料!T529)="平板")), 0, IF(MAX(E$2:E528)=0, 1, IF(ERP資料!A529=INDEX(ERP資料!$A$2:$A528, MATCH(MAX(E$2:E528), E$2:E528, 0)), MAX(E$2:E528)+1, MAX(E$2:E528)+2)))</f>
        <v/>
      </c>
      <c r="F529">
        <f>IF(NOT(AND(C529=1, TRIM(ERP資料!T529)="平板")), 0, IF(MAX(F$2:F528)=0, 1, IF(ERP資料!A529=INDEX(ERP資料!$A$2:$A528, MATCH(MAX(F$2:F528), F$2:F528, 0)), MAX(F$2:F528)+1, MAX(F$2:F528)+2)))</f>
        <v/>
      </c>
      <c r="G529">
        <f>IF(NOT(AND(C529=1, TRIM(ERP資料!T529)="捲筒")), 0, IF(MAX(G$2:G528)=0, 1, IF(ERP資料!A529=INDEX(ERP資料!$A$2:$A528, MATCH(MAX(G$2:G528), G$2:G528, 0)), MAX(G$2:G528)+1, MAX(G$2:G528)+2)))</f>
        <v/>
      </c>
      <c r="H529">
        <f>IF(OR(ERP資料!C529="",ERP資料!D529=""),0,ERP資料!D529-ERP資料!C529+1)</f>
        <v/>
      </c>
    </row>
    <row r="530">
      <c r="A530" t="n">
        <v>530</v>
      </c>
      <c r="B530">
        <f>IF(ERP資料!A530="","",ERP資料!A530&amp;"|"&amp;ERP資料!E530&amp;"|"&amp;ERP資料!F530&amp;"|"&amp;ERP資料!G530&amp;"|"&amp;ERP資料!H530&amp;"|"&amp;ERP資料!O530)</f>
        <v/>
      </c>
      <c r="C530">
        <f>IF(B530="",0,IF(COUNTIF(B$2:B529,B530)=0,1,0))</f>
        <v/>
      </c>
      <c r="D530">
        <f>IF(B530="",0,SUMIFS($H$2:$H$801,$B$2:$B$801,B530))</f>
        <v/>
      </c>
      <c r="E530">
        <f>IF(NOT(AND(C530=1, TRIM(ERP資料!T530)="平板")), 0, IF(MAX(E$2:E529)=0, 1, IF(ERP資料!A530=INDEX(ERP資料!$A$2:$A529, MATCH(MAX(E$2:E529), E$2:E529, 0)), MAX(E$2:E529)+1, MAX(E$2:E529)+2)))</f>
        <v/>
      </c>
      <c r="F530">
        <f>IF(NOT(AND(C530=1, TRIM(ERP資料!T530)="平板")), 0, IF(MAX(F$2:F529)=0, 1, IF(ERP資料!A530=INDEX(ERP資料!$A$2:$A529, MATCH(MAX(F$2:F529), F$2:F529, 0)), MAX(F$2:F529)+1, MAX(F$2:F529)+2)))</f>
        <v/>
      </c>
      <c r="G530">
        <f>IF(NOT(AND(C530=1, TRIM(ERP資料!T530)="捲筒")), 0, IF(MAX(G$2:G529)=0, 1, IF(ERP資料!A530=INDEX(ERP資料!$A$2:$A529, MATCH(MAX(G$2:G529), G$2:G529, 0)), MAX(G$2:G529)+1, MAX(G$2:G529)+2)))</f>
        <v/>
      </c>
      <c r="H530">
        <f>IF(OR(ERP資料!C530="",ERP資料!D530=""),0,ERP資料!D530-ERP資料!C530+1)</f>
        <v/>
      </c>
    </row>
    <row r="531">
      <c r="A531" t="n">
        <v>531</v>
      </c>
      <c r="B531">
        <f>IF(ERP資料!A531="","",ERP資料!A531&amp;"|"&amp;ERP資料!E531&amp;"|"&amp;ERP資料!F531&amp;"|"&amp;ERP資料!G531&amp;"|"&amp;ERP資料!H531&amp;"|"&amp;ERP資料!O531)</f>
        <v/>
      </c>
      <c r="C531">
        <f>IF(B531="",0,IF(COUNTIF(B$2:B530,B531)=0,1,0))</f>
        <v/>
      </c>
      <c r="D531">
        <f>IF(B531="",0,SUMIFS($H$2:$H$801,$B$2:$B$801,B531))</f>
        <v/>
      </c>
      <c r="E531">
        <f>IF(NOT(AND(C531=1, TRIM(ERP資料!T531)="平板")), 0, IF(MAX(E$2:E530)=0, 1, IF(ERP資料!A531=INDEX(ERP資料!$A$2:$A530, MATCH(MAX(E$2:E530), E$2:E530, 0)), MAX(E$2:E530)+1, MAX(E$2:E530)+2)))</f>
        <v/>
      </c>
      <c r="F531">
        <f>IF(NOT(AND(C531=1, TRIM(ERP資料!T531)="平板")), 0, IF(MAX(F$2:F530)=0, 1, IF(ERP資料!A531=INDEX(ERP資料!$A$2:$A530, MATCH(MAX(F$2:F530), F$2:F530, 0)), MAX(F$2:F530)+1, MAX(F$2:F530)+2)))</f>
        <v/>
      </c>
      <c r="G531">
        <f>IF(NOT(AND(C531=1, TRIM(ERP資料!T531)="捲筒")), 0, IF(MAX(G$2:G530)=0, 1, IF(ERP資料!A531=INDEX(ERP資料!$A$2:$A530, MATCH(MAX(G$2:G530), G$2:G530, 0)), MAX(G$2:G530)+1, MAX(G$2:G530)+2)))</f>
        <v/>
      </c>
      <c r="H531">
        <f>IF(OR(ERP資料!C531="",ERP資料!D531=""),0,ERP資料!D531-ERP資料!C531+1)</f>
        <v/>
      </c>
    </row>
    <row r="532">
      <c r="A532" t="n">
        <v>532</v>
      </c>
      <c r="B532">
        <f>IF(ERP資料!A532="","",ERP資料!A532&amp;"|"&amp;ERP資料!E532&amp;"|"&amp;ERP資料!F532&amp;"|"&amp;ERP資料!G532&amp;"|"&amp;ERP資料!H532&amp;"|"&amp;ERP資料!O532)</f>
        <v/>
      </c>
      <c r="C532">
        <f>IF(B532="",0,IF(COUNTIF(B$2:B531,B532)=0,1,0))</f>
        <v/>
      </c>
      <c r="D532">
        <f>IF(B532="",0,SUMIFS($H$2:$H$801,$B$2:$B$801,B532))</f>
        <v/>
      </c>
      <c r="E532">
        <f>IF(NOT(AND(C532=1, TRIM(ERP資料!T532)="平板")), 0, IF(MAX(E$2:E531)=0, 1, IF(ERP資料!A532=INDEX(ERP資料!$A$2:$A531, MATCH(MAX(E$2:E531), E$2:E531, 0)), MAX(E$2:E531)+1, MAX(E$2:E531)+2)))</f>
        <v/>
      </c>
      <c r="F532">
        <f>IF(NOT(AND(C532=1, TRIM(ERP資料!T532)="平板")), 0, IF(MAX(F$2:F531)=0, 1, IF(ERP資料!A532=INDEX(ERP資料!$A$2:$A531, MATCH(MAX(F$2:F531), F$2:F531, 0)), MAX(F$2:F531)+1, MAX(F$2:F531)+2)))</f>
        <v/>
      </c>
      <c r="G532">
        <f>IF(NOT(AND(C532=1, TRIM(ERP資料!T532)="捲筒")), 0, IF(MAX(G$2:G531)=0, 1, IF(ERP資料!A532=INDEX(ERP資料!$A$2:$A531, MATCH(MAX(G$2:G531), G$2:G531, 0)), MAX(G$2:G531)+1, MAX(G$2:G531)+2)))</f>
        <v/>
      </c>
      <c r="H532">
        <f>IF(OR(ERP資料!C532="",ERP資料!D532=""),0,ERP資料!D532-ERP資料!C532+1)</f>
        <v/>
      </c>
    </row>
    <row r="533">
      <c r="A533" t="n">
        <v>533</v>
      </c>
      <c r="B533">
        <f>IF(ERP資料!A533="","",ERP資料!A533&amp;"|"&amp;ERP資料!E533&amp;"|"&amp;ERP資料!F533&amp;"|"&amp;ERP資料!G533&amp;"|"&amp;ERP資料!H533&amp;"|"&amp;ERP資料!O533)</f>
        <v/>
      </c>
      <c r="C533">
        <f>IF(B533="",0,IF(COUNTIF(B$2:B532,B533)=0,1,0))</f>
        <v/>
      </c>
      <c r="D533">
        <f>IF(B533="",0,SUMIFS($H$2:$H$801,$B$2:$B$801,B533))</f>
        <v/>
      </c>
      <c r="E533">
        <f>IF(NOT(AND(C533=1, TRIM(ERP資料!T533)="平板")), 0, IF(MAX(E$2:E532)=0, 1, IF(ERP資料!A533=INDEX(ERP資料!$A$2:$A532, MATCH(MAX(E$2:E532), E$2:E532, 0)), MAX(E$2:E532)+1, MAX(E$2:E532)+2)))</f>
        <v/>
      </c>
      <c r="F533">
        <f>IF(NOT(AND(C533=1, TRIM(ERP資料!T533)="平板")), 0, IF(MAX(F$2:F532)=0, 1, IF(ERP資料!A533=INDEX(ERP資料!$A$2:$A532, MATCH(MAX(F$2:F532), F$2:F532, 0)), MAX(F$2:F532)+1, MAX(F$2:F532)+2)))</f>
        <v/>
      </c>
      <c r="G533">
        <f>IF(NOT(AND(C533=1, TRIM(ERP資料!T533)="捲筒")), 0, IF(MAX(G$2:G532)=0, 1, IF(ERP資料!A533=INDEX(ERP資料!$A$2:$A532, MATCH(MAX(G$2:G532), G$2:G532, 0)), MAX(G$2:G532)+1, MAX(G$2:G532)+2)))</f>
        <v/>
      </c>
      <c r="H533">
        <f>IF(OR(ERP資料!C533="",ERP資料!D533=""),0,ERP資料!D533-ERP資料!C533+1)</f>
        <v/>
      </c>
    </row>
    <row r="534">
      <c r="A534" t="n">
        <v>534</v>
      </c>
      <c r="B534">
        <f>IF(ERP資料!A534="","",ERP資料!A534&amp;"|"&amp;ERP資料!E534&amp;"|"&amp;ERP資料!F534&amp;"|"&amp;ERP資料!G534&amp;"|"&amp;ERP資料!H534&amp;"|"&amp;ERP資料!O534)</f>
        <v/>
      </c>
      <c r="C534">
        <f>IF(B534="",0,IF(COUNTIF(B$2:B533,B534)=0,1,0))</f>
        <v/>
      </c>
      <c r="D534">
        <f>IF(B534="",0,SUMIFS($H$2:$H$801,$B$2:$B$801,B534))</f>
        <v/>
      </c>
      <c r="E534">
        <f>IF(NOT(AND(C534=1, TRIM(ERP資料!T534)="平板")), 0, IF(MAX(E$2:E533)=0, 1, IF(ERP資料!A534=INDEX(ERP資料!$A$2:$A533, MATCH(MAX(E$2:E533), E$2:E533, 0)), MAX(E$2:E533)+1, MAX(E$2:E533)+2)))</f>
        <v/>
      </c>
      <c r="F534">
        <f>IF(NOT(AND(C534=1, TRIM(ERP資料!T534)="平板")), 0, IF(MAX(F$2:F533)=0, 1, IF(ERP資料!A534=INDEX(ERP資料!$A$2:$A533, MATCH(MAX(F$2:F533), F$2:F533, 0)), MAX(F$2:F533)+1, MAX(F$2:F533)+2)))</f>
        <v/>
      </c>
      <c r="G534">
        <f>IF(NOT(AND(C534=1, TRIM(ERP資料!T534)="捲筒")), 0, IF(MAX(G$2:G533)=0, 1, IF(ERP資料!A534=INDEX(ERP資料!$A$2:$A533, MATCH(MAX(G$2:G533), G$2:G533, 0)), MAX(G$2:G533)+1, MAX(G$2:G533)+2)))</f>
        <v/>
      </c>
      <c r="H534">
        <f>IF(OR(ERP資料!C534="",ERP資料!D534=""),0,ERP資料!D534-ERP資料!C534+1)</f>
        <v/>
      </c>
    </row>
    <row r="535">
      <c r="A535" t="n">
        <v>535</v>
      </c>
      <c r="B535">
        <f>IF(ERP資料!A535="","",ERP資料!A535&amp;"|"&amp;ERP資料!E535&amp;"|"&amp;ERP資料!F535&amp;"|"&amp;ERP資料!G535&amp;"|"&amp;ERP資料!H535&amp;"|"&amp;ERP資料!O535)</f>
        <v/>
      </c>
      <c r="C535">
        <f>IF(B535="",0,IF(COUNTIF(B$2:B534,B535)=0,1,0))</f>
        <v/>
      </c>
      <c r="D535">
        <f>IF(B535="",0,SUMIFS($H$2:$H$801,$B$2:$B$801,B535))</f>
        <v/>
      </c>
      <c r="E535">
        <f>IF(NOT(AND(C535=1, TRIM(ERP資料!T535)="平板")), 0, IF(MAX(E$2:E534)=0, 1, IF(ERP資料!A535=INDEX(ERP資料!$A$2:$A534, MATCH(MAX(E$2:E534), E$2:E534, 0)), MAX(E$2:E534)+1, MAX(E$2:E534)+2)))</f>
        <v/>
      </c>
      <c r="F535">
        <f>IF(NOT(AND(C535=1, TRIM(ERP資料!T535)="平板")), 0, IF(MAX(F$2:F534)=0, 1, IF(ERP資料!A535=INDEX(ERP資料!$A$2:$A534, MATCH(MAX(F$2:F534), F$2:F534, 0)), MAX(F$2:F534)+1, MAX(F$2:F534)+2)))</f>
        <v/>
      </c>
      <c r="G535">
        <f>IF(NOT(AND(C535=1, TRIM(ERP資料!T535)="捲筒")), 0, IF(MAX(G$2:G534)=0, 1, IF(ERP資料!A535=INDEX(ERP資料!$A$2:$A534, MATCH(MAX(G$2:G534), G$2:G534, 0)), MAX(G$2:G534)+1, MAX(G$2:G534)+2)))</f>
        <v/>
      </c>
      <c r="H535">
        <f>IF(OR(ERP資料!C535="",ERP資料!D535=""),0,ERP資料!D535-ERP資料!C535+1)</f>
        <v/>
      </c>
    </row>
    <row r="536">
      <c r="A536" t="n">
        <v>536</v>
      </c>
      <c r="B536">
        <f>IF(ERP資料!A536="","",ERP資料!A536&amp;"|"&amp;ERP資料!E536&amp;"|"&amp;ERP資料!F536&amp;"|"&amp;ERP資料!G536&amp;"|"&amp;ERP資料!H536&amp;"|"&amp;ERP資料!O536)</f>
        <v/>
      </c>
      <c r="C536">
        <f>IF(B536="",0,IF(COUNTIF(B$2:B535,B536)=0,1,0))</f>
        <v/>
      </c>
      <c r="D536">
        <f>IF(B536="",0,SUMIFS($H$2:$H$801,$B$2:$B$801,B536))</f>
        <v/>
      </c>
      <c r="E536">
        <f>IF(NOT(AND(C536=1, TRIM(ERP資料!T536)="平板")), 0, IF(MAX(E$2:E535)=0, 1, IF(ERP資料!A536=INDEX(ERP資料!$A$2:$A535, MATCH(MAX(E$2:E535), E$2:E535, 0)), MAX(E$2:E535)+1, MAX(E$2:E535)+2)))</f>
        <v/>
      </c>
      <c r="F536">
        <f>IF(NOT(AND(C536=1, TRIM(ERP資料!T536)="平板")), 0, IF(MAX(F$2:F535)=0, 1, IF(ERP資料!A536=INDEX(ERP資料!$A$2:$A535, MATCH(MAX(F$2:F535), F$2:F535, 0)), MAX(F$2:F535)+1, MAX(F$2:F535)+2)))</f>
        <v/>
      </c>
      <c r="G536">
        <f>IF(NOT(AND(C536=1, TRIM(ERP資料!T536)="捲筒")), 0, IF(MAX(G$2:G535)=0, 1, IF(ERP資料!A536=INDEX(ERP資料!$A$2:$A535, MATCH(MAX(G$2:G535), G$2:G535, 0)), MAX(G$2:G535)+1, MAX(G$2:G535)+2)))</f>
        <v/>
      </c>
      <c r="H536">
        <f>IF(OR(ERP資料!C536="",ERP資料!D536=""),0,ERP資料!D536-ERP資料!C536+1)</f>
        <v/>
      </c>
    </row>
    <row r="537">
      <c r="A537" t="n">
        <v>537</v>
      </c>
      <c r="B537">
        <f>IF(ERP資料!A537="","",ERP資料!A537&amp;"|"&amp;ERP資料!E537&amp;"|"&amp;ERP資料!F537&amp;"|"&amp;ERP資料!G537&amp;"|"&amp;ERP資料!H537&amp;"|"&amp;ERP資料!O537)</f>
        <v/>
      </c>
      <c r="C537">
        <f>IF(B537="",0,IF(COUNTIF(B$2:B536,B537)=0,1,0))</f>
        <v/>
      </c>
      <c r="D537">
        <f>IF(B537="",0,SUMIFS($H$2:$H$801,$B$2:$B$801,B537))</f>
        <v/>
      </c>
      <c r="E537">
        <f>IF(NOT(AND(C537=1, TRIM(ERP資料!T537)="平板")), 0, IF(MAX(E$2:E536)=0, 1, IF(ERP資料!A537=INDEX(ERP資料!$A$2:$A536, MATCH(MAX(E$2:E536), E$2:E536, 0)), MAX(E$2:E536)+1, MAX(E$2:E536)+2)))</f>
        <v/>
      </c>
      <c r="F537">
        <f>IF(NOT(AND(C537=1, TRIM(ERP資料!T537)="平板")), 0, IF(MAX(F$2:F536)=0, 1, IF(ERP資料!A537=INDEX(ERP資料!$A$2:$A536, MATCH(MAX(F$2:F536), F$2:F536, 0)), MAX(F$2:F536)+1, MAX(F$2:F536)+2)))</f>
        <v/>
      </c>
      <c r="G537">
        <f>IF(NOT(AND(C537=1, TRIM(ERP資料!T537)="捲筒")), 0, IF(MAX(G$2:G536)=0, 1, IF(ERP資料!A537=INDEX(ERP資料!$A$2:$A536, MATCH(MAX(G$2:G536), G$2:G536, 0)), MAX(G$2:G536)+1, MAX(G$2:G536)+2)))</f>
        <v/>
      </c>
      <c r="H537">
        <f>IF(OR(ERP資料!C537="",ERP資料!D537=""),0,ERP資料!D537-ERP資料!C537+1)</f>
        <v/>
      </c>
    </row>
    <row r="538">
      <c r="A538" t="n">
        <v>538</v>
      </c>
      <c r="B538">
        <f>IF(ERP資料!A538="","",ERP資料!A538&amp;"|"&amp;ERP資料!E538&amp;"|"&amp;ERP資料!F538&amp;"|"&amp;ERP資料!G538&amp;"|"&amp;ERP資料!H538&amp;"|"&amp;ERP資料!O538)</f>
        <v/>
      </c>
      <c r="C538">
        <f>IF(B538="",0,IF(COUNTIF(B$2:B537,B538)=0,1,0))</f>
        <v/>
      </c>
      <c r="D538">
        <f>IF(B538="",0,SUMIFS($H$2:$H$801,$B$2:$B$801,B538))</f>
        <v/>
      </c>
      <c r="E538">
        <f>IF(NOT(AND(C538=1, TRIM(ERP資料!T538)="平板")), 0, IF(MAX(E$2:E537)=0, 1, IF(ERP資料!A538=INDEX(ERP資料!$A$2:$A537, MATCH(MAX(E$2:E537), E$2:E537, 0)), MAX(E$2:E537)+1, MAX(E$2:E537)+2)))</f>
        <v/>
      </c>
      <c r="F538">
        <f>IF(NOT(AND(C538=1, TRIM(ERP資料!T538)="平板")), 0, IF(MAX(F$2:F537)=0, 1, IF(ERP資料!A538=INDEX(ERP資料!$A$2:$A537, MATCH(MAX(F$2:F537), F$2:F537, 0)), MAX(F$2:F537)+1, MAX(F$2:F537)+2)))</f>
        <v/>
      </c>
      <c r="G538">
        <f>IF(NOT(AND(C538=1, TRIM(ERP資料!T538)="捲筒")), 0, IF(MAX(G$2:G537)=0, 1, IF(ERP資料!A538=INDEX(ERP資料!$A$2:$A537, MATCH(MAX(G$2:G537), G$2:G537, 0)), MAX(G$2:G537)+1, MAX(G$2:G537)+2)))</f>
        <v/>
      </c>
      <c r="H538">
        <f>IF(OR(ERP資料!C538="",ERP資料!D538=""),0,ERP資料!D538-ERP資料!C538+1)</f>
        <v/>
      </c>
    </row>
    <row r="539">
      <c r="A539" t="n">
        <v>539</v>
      </c>
      <c r="B539">
        <f>IF(ERP資料!A539="","",ERP資料!A539&amp;"|"&amp;ERP資料!E539&amp;"|"&amp;ERP資料!F539&amp;"|"&amp;ERP資料!G539&amp;"|"&amp;ERP資料!H539&amp;"|"&amp;ERP資料!O539)</f>
        <v/>
      </c>
      <c r="C539">
        <f>IF(B539="",0,IF(COUNTIF(B$2:B538,B539)=0,1,0))</f>
        <v/>
      </c>
      <c r="D539">
        <f>IF(B539="",0,SUMIFS($H$2:$H$801,$B$2:$B$801,B539))</f>
        <v/>
      </c>
      <c r="E539">
        <f>IF(NOT(AND(C539=1, TRIM(ERP資料!T539)="平板")), 0, IF(MAX(E$2:E538)=0, 1, IF(ERP資料!A539=INDEX(ERP資料!$A$2:$A538, MATCH(MAX(E$2:E538), E$2:E538, 0)), MAX(E$2:E538)+1, MAX(E$2:E538)+2)))</f>
        <v/>
      </c>
      <c r="F539">
        <f>IF(NOT(AND(C539=1, TRIM(ERP資料!T539)="平板")), 0, IF(MAX(F$2:F538)=0, 1, IF(ERP資料!A539=INDEX(ERP資料!$A$2:$A538, MATCH(MAX(F$2:F538), F$2:F538, 0)), MAX(F$2:F538)+1, MAX(F$2:F538)+2)))</f>
        <v/>
      </c>
      <c r="G539">
        <f>IF(NOT(AND(C539=1, TRIM(ERP資料!T539)="捲筒")), 0, IF(MAX(G$2:G538)=0, 1, IF(ERP資料!A539=INDEX(ERP資料!$A$2:$A538, MATCH(MAX(G$2:G538), G$2:G538, 0)), MAX(G$2:G538)+1, MAX(G$2:G538)+2)))</f>
        <v/>
      </c>
      <c r="H539">
        <f>IF(OR(ERP資料!C539="",ERP資料!D539=""),0,ERP資料!D539-ERP資料!C539+1)</f>
        <v/>
      </c>
    </row>
    <row r="540">
      <c r="A540" t="n">
        <v>540</v>
      </c>
      <c r="B540">
        <f>IF(ERP資料!A540="","",ERP資料!A540&amp;"|"&amp;ERP資料!E540&amp;"|"&amp;ERP資料!F540&amp;"|"&amp;ERP資料!G540&amp;"|"&amp;ERP資料!H540&amp;"|"&amp;ERP資料!O540)</f>
        <v/>
      </c>
      <c r="C540">
        <f>IF(B540="",0,IF(COUNTIF(B$2:B539,B540)=0,1,0))</f>
        <v/>
      </c>
      <c r="D540">
        <f>IF(B540="",0,SUMIFS($H$2:$H$801,$B$2:$B$801,B540))</f>
        <v/>
      </c>
      <c r="E540">
        <f>IF(NOT(AND(C540=1, TRIM(ERP資料!T540)="平板")), 0, IF(MAX(E$2:E539)=0, 1, IF(ERP資料!A540=INDEX(ERP資料!$A$2:$A539, MATCH(MAX(E$2:E539), E$2:E539, 0)), MAX(E$2:E539)+1, MAX(E$2:E539)+2)))</f>
        <v/>
      </c>
      <c r="F540">
        <f>IF(NOT(AND(C540=1, TRIM(ERP資料!T540)="平板")), 0, IF(MAX(F$2:F539)=0, 1, IF(ERP資料!A540=INDEX(ERP資料!$A$2:$A539, MATCH(MAX(F$2:F539), F$2:F539, 0)), MAX(F$2:F539)+1, MAX(F$2:F539)+2)))</f>
        <v/>
      </c>
      <c r="G540">
        <f>IF(NOT(AND(C540=1, TRIM(ERP資料!T540)="捲筒")), 0, IF(MAX(G$2:G539)=0, 1, IF(ERP資料!A540=INDEX(ERP資料!$A$2:$A539, MATCH(MAX(G$2:G539), G$2:G539, 0)), MAX(G$2:G539)+1, MAX(G$2:G539)+2)))</f>
        <v/>
      </c>
      <c r="H540">
        <f>IF(OR(ERP資料!C540="",ERP資料!D540=""),0,ERP資料!D540-ERP資料!C540+1)</f>
        <v/>
      </c>
    </row>
    <row r="541">
      <c r="A541" t="n">
        <v>541</v>
      </c>
      <c r="B541">
        <f>IF(ERP資料!A541="","",ERP資料!A541&amp;"|"&amp;ERP資料!E541&amp;"|"&amp;ERP資料!F541&amp;"|"&amp;ERP資料!G541&amp;"|"&amp;ERP資料!H541&amp;"|"&amp;ERP資料!O541)</f>
        <v/>
      </c>
      <c r="C541">
        <f>IF(B541="",0,IF(COUNTIF(B$2:B540,B541)=0,1,0))</f>
        <v/>
      </c>
      <c r="D541">
        <f>IF(B541="",0,SUMIFS($H$2:$H$801,$B$2:$B$801,B541))</f>
        <v/>
      </c>
      <c r="E541">
        <f>IF(NOT(AND(C541=1, TRIM(ERP資料!T541)="平板")), 0, IF(MAX(E$2:E540)=0, 1, IF(ERP資料!A541=INDEX(ERP資料!$A$2:$A540, MATCH(MAX(E$2:E540), E$2:E540, 0)), MAX(E$2:E540)+1, MAX(E$2:E540)+2)))</f>
        <v/>
      </c>
      <c r="F541">
        <f>IF(NOT(AND(C541=1, TRIM(ERP資料!T541)="平板")), 0, IF(MAX(F$2:F540)=0, 1, IF(ERP資料!A541=INDEX(ERP資料!$A$2:$A540, MATCH(MAX(F$2:F540), F$2:F540, 0)), MAX(F$2:F540)+1, MAX(F$2:F540)+2)))</f>
        <v/>
      </c>
      <c r="G541">
        <f>IF(NOT(AND(C541=1, TRIM(ERP資料!T541)="捲筒")), 0, IF(MAX(G$2:G540)=0, 1, IF(ERP資料!A541=INDEX(ERP資料!$A$2:$A540, MATCH(MAX(G$2:G540), G$2:G540, 0)), MAX(G$2:G540)+1, MAX(G$2:G540)+2)))</f>
        <v/>
      </c>
      <c r="H541">
        <f>IF(OR(ERP資料!C541="",ERP資料!D541=""),0,ERP資料!D541-ERP資料!C541+1)</f>
        <v/>
      </c>
    </row>
    <row r="542">
      <c r="A542" t="n">
        <v>542</v>
      </c>
      <c r="B542">
        <f>IF(ERP資料!A542="","",ERP資料!A542&amp;"|"&amp;ERP資料!E542&amp;"|"&amp;ERP資料!F542&amp;"|"&amp;ERP資料!G542&amp;"|"&amp;ERP資料!H542&amp;"|"&amp;ERP資料!O542)</f>
        <v/>
      </c>
      <c r="C542">
        <f>IF(B542="",0,IF(COUNTIF(B$2:B541,B542)=0,1,0))</f>
        <v/>
      </c>
      <c r="D542">
        <f>IF(B542="",0,SUMIFS($H$2:$H$801,$B$2:$B$801,B542))</f>
        <v/>
      </c>
      <c r="E542">
        <f>IF(NOT(AND(C542=1, TRIM(ERP資料!T542)="平板")), 0, IF(MAX(E$2:E541)=0, 1, IF(ERP資料!A542=INDEX(ERP資料!$A$2:$A541, MATCH(MAX(E$2:E541), E$2:E541, 0)), MAX(E$2:E541)+1, MAX(E$2:E541)+2)))</f>
        <v/>
      </c>
      <c r="F542">
        <f>IF(NOT(AND(C542=1, TRIM(ERP資料!T542)="平板")), 0, IF(MAX(F$2:F541)=0, 1, IF(ERP資料!A542=INDEX(ERP資料!$A$2:$A541, MATCH(MAX(F$2:F541), F$2:F541, 0)), MAX(F$2:F541)+1, MAX(F$2:F541)+2)))</f>
        <v/>
      </c>
      <c r="G542">
        <f>IF(NOT(AND(C542=1, TRIM(ERP資料!T542)="捲筒")), 0, IF(MAX(G$2:G541)=0, 1, IF(ERP資料!A542=INDEX(ERP資料!$A$2:$A541, MATCH(MAX(G$2:G541), G$2:G541, 0)), MAX(G$2:G541)+1, MAX(G$2:G541)+2)))</f>
        <v/>
      </c>
      <c r="H542">
        <f>IF(OR(ERP資料!C542="",ERP資料!D542=""),0,ERP資料!D542-ERP資料!C542+1)</f>
        <v/>
      </c>
    </row>
    <row r="543">
      <c r="A543" t="n">
        <v>543</v>
      </c>
      <c r="B543">
        <f>IF(ERP資料!A543="","",ERP資料!A543&amp;"|"&amp;ERP資料!E543&amp;"|"&amp;ERP資料!F543&amp;"|"&amp;ERP資料!G543&amp;"|"&amp;ERP資料!H543&amp;"|"&amp;ERP資料!O543)</f>
        <v/>
      </c>
      <c r="C543">
        <f>IF(B543="",0,IF(COUNTIF(B$2:B542,B543)=0,1,0))</f>
        <v/>
      </c>
      <c r="D543">
        <f>IF(B543="",0,SUMIFS($H$2:$H$801,$B$2:$B$801,B543))</f>
        <v/>
      </c>
      <c r="E543">
        <f>IF(NOT(AND(C543=1, TRIM(ERP資料!T543)="平板")), 0, IF(MAX(E$2:E542)=0, 1, IF(ERP資料!A543=INDEX(ERP資料!$A$2:$A542, MATCH(MAX(E$2:E542), E$2:E542, 0)), MAX(E$2:E542)+1, MAX(E$2:E542)+2)))</f>
        <v/>
      </c>
      <c r="F543">
        <f>IF(NOT(AND(C543=1, TRIM(ERP資料!T543)="平板")), 0, IF(MAX(F$2:F542)=0, 1, IF(ERP資料!A543=INDEX(ERP資料!$A$2:$A542, MATCH(MAX(F$2:F542), F$2:F542, 0)), MAX(F$2:F542)+1, MAX(F$2:F542)+2)))</f>
        <v/>
      </c>
      <c r="G543">
        <f>IF(NOT(AND(C543=1, TRIM(ERP資料!T543)="捲筒")), 0, IF(MAX(G$2:G542)=0, 1, IF(ERP資料!A543=INDEX(ERP資料!$A$2:$A542, MATCH(MAX(G$2:G542), G$2:G542, 0)), MAX(G$2:G542)+1, MAX(G$2:G542)+2)))</f>
        <v/>
      </c>
      <c r="H543">
        <f>IF(OR(ERP資料!C543="",ERP資料!D543=""),0,ERP資料!D543-ERP資料!C543+1)</f>
        <v/>
      </c>
    </row>
    <row r="544">
      <c r="A544" t="n">
        <v>544</v>
      </c>
      <c r="B544">
        <f>IF(ERP資料!A544="","",ERP資料!A544&amp;"|"&amp;ERP資料!E544&amp;"|"&amp;ERP資料!F544&amp;"|"&amp;ERP資料!G544&amp;"|"&amp;ERP資料!H544&amp;"|"&amp;ERP資料!O544)</f>
        <v/>
      </c>
      <c r="C544">
        <f>IF(B544="",0,IF(COUNTIF(B$2:B543,B544)=0,1,0))</f>
        <v/>
      </c>
      <c r="D544">
        <f>IF(B544="",0,SUMIFS($H$2:$H$801,$B$2:$B$801,B544))</f>
        <v/>
      </c>
      <c r="E544">
        <f>IF(NOT(AND(C544=1, TRIM(ERP資料!T544)="平板")), 0, IF(MAX(E$2:E543)=0, 1, IF(ERP資料!A544=INDEX(ERP資料!$A$2:$A543, MATCH(MAX(E$2:E543), E$2:E543, 0)), MAX(E$2:E543)+1, MAX(E$2:E543)+2)))</f>
        <v/>
      </c>
      <c r="F544">
        <f>IF(NOT(AND(C544=1, TRIM(ERP資料!T544)="平板")), 0, IF(MAX(F$2:F543)=0, 1, IF(ERP資料!A544=INDEX(ERP資料!$A$2:$A543, MATCH(MAX(F$2:F543), F$2:F543, 0)), MAX(F$2:F543)+1, MAX(F$2:F543)+2)))</f>
        <v/>
      </c>
      <c r="G544">
        <f>IF(NOT(AND(C544=1, TRIM(ERP資料!T544)="捲筒")), 0, IF(MAX(G$2:G543)=0, 1, IF(ERP資料!A544=INDEX(ERP資料!$A$2:$A543, MATCH(MAX(G$2:G543), G$2:G543, 0)), MAX(G$2:G543)+1, MAX(G$2:G543)+2)))</f>
        <v/>
      </c>
      <c r="H544">
        <f>IF(OR(ERP資料!C544="",ERP資料!D544=""),0,ERP資料!D544-ERP資料!C544+1)</f>
        <v/>
      </c>
    </row>
    <row r="545">
      <c r="A545" t="n">
        <v>545</v>
      </c>
      <c r="B545">
        <f>IF(ERP資料!A545="","",ERP資料!A545&amp;"|"&amp;ERP資料!E545&amp;"|"&amp;ERP資料!F545&amp;"|"&amp;ERP資料!G545&amp;"|"&amp;ERP資料!H545&amp;"|"&amp;ERP資料!O545)</f>
        <v/>
      </c>
      <c r="C545">
        <f>IF(B545="",0,IF(COUNTIF(B$2:B544,B545)=0,1,0))</f>
        <v/>
      </c>
      <c r="D545">
        <f>IF(B545="",0,SUMIFS($H$2:$H$801,$B$2:$B$801,B545))</f>
        <v/>
      </c>
      <c r="E545">
        <f>IF(NOT(AND(C545=1, TRIM(ERP資料!T545)="平板")), 0, IF(MAX(E$2:E544)=0, 1, IF(ERP資料!A545=INDEX(ERP資料!$A$2:$A544, MATCH(MAX(E$2:E544), E$2:E544, 0)), MAX(E$2:E544)+1, MAX(E$2:E544)+2)))</f>
        <v/>
      </c>
      <c r="F545">
        <f>IF(NOT(AND(C545=1, TRIM(ERP資料!T545)="平板")), 0, IF(MAX(F$2:F544)=0, 1, IF(ERP資料!A545=INDEX(ERP資料!$A$2:$A544, MATCH(MAX(F$2:F544), F$2:F544, 0)), MAX(F$2:F544)+1, MAX(F$2:F544)+2)))</f>
        <v/>
      </c>
      <c r="G545">
        <f>IF(NOT(AND(C545=1, TRIM(ERP資料!T545)="捲筒")), 0, IF(MAX(G$2:G544)=0, 1, IF(ERP資料!A545=INDEX(ERP資料!$A$2:$A544, MATCH(MAX(G$2:G544), G$2:G544, 0)), MAX(G$2:G544)+1, MAX(G$2:G544)+2)))</f>
        <v/>
      </c>
      <c r="H545">
        <f>IF(OR(ERP資料!C545="",ERP資料!D545=""),0,ERP資料!D545-ERP資料!C545+1)</f>
        <v/>
      </c>
    </row>
    <row r="546">
      <c r="A546" t="n">
        <v>546</v>
      </c>
      <c r="B546">
        <f>IF(ERP資料!A546="","",ERP資料!A546&amp;"|"&amp;ERP資料!E546&amp;"|"&amp;ERP資料!F546&amp;"|"&amp;ERP資料!G546&amp;"|"&amp;ERP資料!H546&amp;"|"&amp;ERP資料!O546)</f>
        <v/>
      </c>
      <c r="C546">
        <f>IF(B546="",0,IF(COUNTIF(B$2:B545,B546)=0,1,0))</f>
        <v/>
      </c>
      <c r="D546">
        <f>IF(B546="",0,SUMIFS($H$2:$H$801,$B$2:$B$801,B546))</f>
        <v/>
      </c>
      <c r="E546">
        <f>IF(NOT(AND(C546=1, TRIM(ERP資料!T546)="平板")), 0, IF(MAX(E$2:E545)=0, 1, IF(ERP資料!A546=INDEX(ERP資料!$A$2:$A545, MATCH(MAX(E$2:E545), E$2:E545, 0)), MAX(E$2:E545)+1, MAX(E$2:E545)+2)))</f>
        <v/>
      </c>
      <c r="F546">
        <f>IF(NOT(AND(C546=1, TRIM(ERP資料!T546)="平板")), 0, IF(MAX(F$2:F545)=0, 1, IF(ERP資料!A546=INDEX(ERP資料!$A$2:$A545, MATCH(MAX(F$2:F545), F$2:F545, 0)), MAX(F$2:F545)+1, MAX(F$2:F545)+2)))</f>
        <v/>
      </c>
      <c r="G546">
        <f>IF(NOT(AND(C546=1, TRIM(ERP資料!T546)="捲筒")), 0, IF(MAX(G$2:G545)=0, 1, IF(ERP資料!A546=INDEX(ERP資料!$A$2:$A545, MATCH(MAX(G$2:G545), G$2:G545, 0)), MAX(G$2:G545)+1, MAX(G$2:G545)+2)))</f>
        <v/>
      </c>
      <c r="H546">
        <f>IF(OR(ERP資料!C546="",ERP資料!D546=""),0,ERP資料!D546-ERP資料!C546+1)</f>
        <v/>
      </c>
    </row>
    <row r="547">
      <c r="A547" t="n">
        <v>547</v>
      </c>
      <c r="B547">
        <f>IF(ERP資料!A547="","",ERP資料!A547&amp;"|"&amp;ERP資料!E547&amp;"|"&amp;ERP資料!F547&amp;"|"&amp;ERP資料!G547&amp;"|"&amp;ERP資料!H547&amp;"|"&amp;ERP資料!O547)</f>
        <v/>
      </c>
      <c r="C547">
        <f>IF(B547="",0,IF(COUNTIF(B$2:B546,B547)=0,1,0))</f>
        <v/>
      </c>
      <c r="D547">
        <f>IF(B547="",0,SUMIFS($H$2:$H$801,$B$2:$B$801,B547))</f>
        <v/>
      </c>
      <c r="E547">
        <f>IF(NOT(AND(C547=1, TRIM(ERP資料!T547)="平板")), 0, IF(MAX(E$2:E546)=0, 1, IF(ERP資料!A547=INDEX(ERP資料!$A$2:$A546, MATCH(MAX(E$2:E546), E$2:E546, 0)), MAX(E$2:E546)+1, MAX(E$2:E546)+2)))</f>
        <v/>
      </c>
      <c r="F547">
        <f>IF(NOT(AND(C547=1, TRIM(ERP資料!T547)="平板")), 0, IF(MAX(F$2:F546)=0, 1, IF(ERP資料!A547=INDEX(ERP資料!$A$2:$A546, MATCH(MAX(F$2:F546), F$2:F546, 0)), MAX(F$2:F546)+1, MAX(F$2:F546)+2)))</f>
        <v/>
      </c>
      <c r="G547">
        <f>IF(NOT(AND(C547=1, TRIM(ERP資料!T547)="捲筒")), 0, IF(MAX(G$2:G546)=0, 1, IF(ERP資料!A547=INDEX(ERP資料!$A$2:$A546, MATCH(MAX(G$2:G546), G$2:G546, 0)), MAX(G$2:G546)+1, MAX(G$2:G546)+2)))</f>
        <v/>
      </c>
      <c r="H547">
        <f>IF(OR(ERP資料!C547="",ERP資料!D547=""),0,ERP資料!D547-ERP資料!C547+1)</f>
        <v/>
      </c>
    </row>
    <row r="548">
      <c r="A548" t="n">
        <v>548</v>
      </c>
      <c r="B548">
        <f>IF(ERP資料!A548="","",ERP資料!A548&amp;"|"&amp;ERP資料!E548&amp;"|"&amp;ERP資料!F548&amp;"|"&amp;ERP資料!G548&amp;"|"&amp;ERP資料!H548&amp;"|"&amp;ERP資料!O548)</f>
        <v/>
      </c>
      <c r="C548">
        <f>IF(B548="",0,IF(COUNTIF(B$2:B547,B548)=0,1,0))</f>
        <v/>
      </c>
      <c r="D548">
        <f>IF(B548="",0,SUMIFS($H$2:$H$801,$B$2:$B$801,B548))</f>
        <v/>
      </c>
      <c r="E548">
        <f>IF(NOT(AND(C548=1, TRIM(ERP資料!T548)="平板")), 0, IF(MAX(E$2:E547)=0, 1, IF(ERP資料!A548=INDEX(ERP資料!$A$2:$A547, MATCH(MAX(E$2:E547), E$2:E547, 0)), MAX(E$2:E547)+1, MAX(E$2:E547)+2)))</f>
        <v/>
      </c>
      <c r="F548">
        <f>IF(NOT(AND(C548=1, TRIM(ERP資料!T548)="平板")), 0, IF(MAX(F$2:F547)=0, 1, IF(ERP資料!A548=INDEX(ERP資料!$A$2:$A547, MATCH(MAX(F$2:F547), F$2:F547, 0)), MAX(F$2:F547)+1, MAX(F$2:F547)+2)))</f>
        <v/>
      </c>
      <c r="G548">
        <f>IF(NOT(AND(C548=1, TRIM(ERP資料!T548)="捲筒")), 0, IF(MAX(G$2:G547)=0, 1, IF(ERP資料!A548=INDEX(ERP資料!$A$2:$A547, MATCH(MAX(G$2:G547), G$2:G547, 0)), MAX(G$2:G547)+1, MAX(G$2:G547)+2)))</f>
        <v/>
      </c>
      <c r="H548">
        <f>IF(OR(ERP資料!C548="",ERP資料!D548=""),0,ERP資料!D548-ERP資料!C548+1)</f>
        <v/>
      </c>
    </row>
    <row r="549">
      <c r="A549" t="n">
        <v>549</v>
      </c>
      <c r="B549">
        <f>IF(ERP資料!A549="","",ERP資料!A549&amp;"|"&amp;ERP資料!E549&amp;"|"&amp;ERP資料!F549&amp;"|"&amp;ERP資料!G549&amp;"|"&amp;ERP資料!H549&amp;"|"&amp;ERP資料!O549)</f>
        <v/>
      </c>
      <c r="C549">
        <f>IF(B549="",0,IF(COUNTIF(B$2:B548,B549)=0,1,0))</f>
        <v/>
      </c>
      <c r="D549">
        <f>IF(B549="",0,SUMIFS($H$2:$H$801,$B$2:$B$801,B549))</f>
        <v/>
      </c>
      <c r="E549">
        <f>IF(NOT(AND(C549=1, TRIM(ERP資料!T549)="平板")), 0, IF(MAX(E$2:E548)=0, 1, IF(ERP資料!A549=INDEX(ERP資料!$A$2:$A548, MATCH(MAX(E$2:E548), E$2:E548, 0)), MAX(E$2:E548)+1, MAX(E$2:E548)+2)))</f>
        <v/>
      </c>
      <c r="F549">
        <f>IF(NOT(AND(C549=1, TRIM(ERP資料!T549)="平板")), 0, IF(MAX(F$2:F548)=0, 1, IF(ERP資料!A549=INDEX(ERP資料!$A$2:$A548, MATCH(MAX(F$2:F548), F$2:F548, 0)), MAX(F$2:F548)+1, MAX(F$2:F548)+2)))</f>
        <v/>
      </c>
      <c r="G549">
        <f>IF(NOT(AND(C549=1, TRIM(ERP資料!T549)="捲筒")), 0, IF(MAX(G$2:G548)=0, 1, IF(ERP資料!A549=INDEX(ERP資料!$A$2:$A548, MATCH(MAX(G$2:G548), G$2:G548, 0)), MAX(G$2:G548)+1, MAX(G$2:G548)+2)))</f>
        <v/>
      </c>
      <c r="H549">
        <f>IF(OR(ERP資料!C549="",ERP資料!D549=""),0,ERP資料!D549-ERP資料!C549+1)</f>
        <v/>
      </c>
    </row>
    <row r="550">
      <c r="A550" t="n">
        <v>550</v>
      </c>
      <c r="B550">
        <f>IF(ERP資料!A550="","",ERP資料!A550&amp;"|"&amp;ERP資料!E550&amp;"|"&amp;ERP資料!F550&amp;"|"&amp;ERP資料!G550&amp;"|"&amp;ERP資料!H550&amp;"|"&amp;ERP資料!O550)</f>
        <v/>
      </c>
      <c r="C550">
        <f>IF(B550="",0,IF(COUNTIF(B$2:B549,B550)=0,1,0))</f>
        <v/>
      </c>
      <c r="D550">
        <f>IF(B550="",0,SUMIFS($H$2:$H$801,$B$2:$B$801,B550))</f>
        <v/>
      </c>
      <c r="E550">
        <f>IF(NOT(AND(C550=1, TRIM(ERP資料!T550)="平板")), 0, IF(MAX(E$2:E549)=0, 1, IF(ERP資料!A550=INDEX(ERP資料!$A$2:$A549, MATCH(MAX(E$2:E549), E$2:E549, 0)), MAX(E$2:E549)+1, MAX(E$2:E549)+2)))</f>
        <v/>
      </c>
      <c r="F550">
        <f>IF(NOT(AND(C550=1, TRIM(ERP資料!T550)="平板")), 0, IF(MAX(F$2:F549)=0, 1, IF(ERP資料!A550=INDEX(ERP資料!$A$2:$A549, MATCH(MAX(F$2:F549), F$2:F549, 0)), MAX(F$2:F549)+1, MAX(F$2:F549)+2)))</f>
        <v/>
      </c>
      <c r="G550">
        <f>IF(NOT(AND(C550=1, TRIM(ERP資料!T550)="捲筒")), 0, IF(MAX(G$2:G549)=0, 1, IF(ERP資料!A550=INDEX(ERP資料!$A$2:$A549, MATCH(MAX(G$2:G549), G$2:G549, 0)), MAX(G$2:G549)+1, MAX(G$2:G549)+2)))</f>
        <v/>
      </c>
      <c r="H550">
        <f>IF(OR(ERP資料!C550="",ERP資料!D550=""),0,ERP資料!D550-ERP資料!C550+1)</f>
        <v/>
      </c>
    </row>
    <row r="551">
      <c r="A551" t="n">
        <v>551</v>
      </c>
      <c r="B551">
        <f>IF(ERP資料!A551="","",ERP資料!A551&amp;"|"&amp;ERP資料!E551&amp;"|"&amp;ERP資料!F551&amp;"|"&amp;ERP資料!G551&amp;"|"&amp;ERP資料!H551&amp;"|"&amp;ERP資料!O551)</f>
        <v/>
      </c>
      <c r="C551">
        <f>IF(B551="",0,IF(COUNTIF(B$2:B550,B551)=0,1,0))</f>
        <v/>
      </c>
      <c r="D551">
        <f>IF(B551="",0,SUMIFS($H$2:$H$801,$B$2:$B$801,B551))</f>
        <v/>
      </c>
      <c r="E551">
        <f>IF(NOT(AND(C551=1, TRIM(ERP資料!T551)="平板")), 0, IF(MAX(E$2:E550)=0, 1, IF(ERP資料!A551=INDEX(ERP資料!$A$2:$A550, MATCH(MAX(E$2:E550), E$2:E550, 0)), MAX(E$2:E550)+1, MAX(E$2:E550)+2)))</f>
        <v/>
      </c>
      <c r="F551">
        <f>IF(NOT(AND(C551=1, TRIM(ERP資料!T551)="平板")), 0, IF(MAX(F$2:F550)=0, 1, IF(ERP資料!A551=INDEX(ERP資料!$A$2:$A550, MATCH(MAX(F$2:F550), F$2:F550, 0)), MAX(F$2:F550)+1, MAX(F$2:F550)+2)))</f>
        <v/>
      </c>
      <c r="G551">
        <f>IF(NOT(AND(C551=1, TRIM(ERP資料!T551)="捲筒")), 0, IF(MAX(G$2:G550)=0, 1, IF(ERP資料!A551=INDEX(ERP資料!$A$2:$A550, MATCH(MAX(G$2:G550), G$2:G550, 0)), MAX(G$2:G550)+1, MAX(G$2:G550)+2)))</f>
        <v/>
      </c>
      <c r="H551">
        <f>IF(OR(ERP資料!C551="",ERP資料!D551=""),0,ERP資料!D551-ERP資料!C551+1)</f>
        <v/>
      </c>
    </row>
    <row r="552">
      <c r="A552" t="n">
        <v>552</v>
      </c>
      <c r="B552">
        <f>IF(ERP資料!A552="","",ERP資料!A552&amp;"|"&amp;ERP資料!E552&amp;"|"&amp;ERP資料!F552&amp;"|"&amp;ERP資料!G552&amp;"|"&amp;ERP資料!H552&amp;"|"&amp;ERP資料!O552)</f>
        <v/>
      </c>
      <c r="C552">
        <f>IF(B552="",0,IF(COUNTIF(B$2:B551,B552)=0,1,0))</f>
        <v/>
      </c>
      <c r="D552">
        <f>IF(B552="",0,SUMIFS($H$2:$H$801,$B$2:$B$801,B552))</f>
        <v/>
      </c>
      <c r="E552">
        <f>IF(NOT(AND(C552=1, TRIM(ERP資料!T552)="平板")), 0, IF(MAX(E$2:E551)=0, 1, IF(ERP資料!A552=INDEX(ERP資料!$A$2:$A551, MATCH(MAX(E$2:E551), E$2:E551, 0)), MAX(E$2:E551)+1, MAX(E$2:E551)+2)))</f>
        <v/>
      </c>
      <c r="F552">
        <f>IF(NOT(AND(C552=1, TRIM(ERP資料!T552)="平板")), 0, IF(MAX(F$2:F551)=0, 1, IF(ERP資料!A552=INDEX(ERP資料!$A$2:$A551, MATCH(MAX(F$2:F551), F$2:F551, 0)), MAX(F$2:F551)+1, MAX(F$2:F551)+2)))</f>
        <v/>
      </c>
      <c r="G552">
        <f>IF(NOT(AND(C552=1, TRIM(ERP資料!T552)="捲筒")), 0, IF(MAX(G$2:G551)=0, 1, IF(ERP資料!A552=INDEX(ERP資料!$A$2:$A551, MATCH(MAX(G$2:G551), G$2:G551, 0)), MAX(G$2:G551)+1, MAX(G$2:G551)+2)))</f>
        <v/>
      </c>
      <c r="H552">
        <f>IF(OR(ERP資料!C552="",ERP資料!D552=""),0,ERP資料!D552-ERP資料!C552+1)</f>
        <v/>
      </c>
    </row>
    <row r="553">
      <c r="A553" t="n">
        <v>553</v>
      </c>
      <c r="B553">
        <f>IF(ERP資料!A553="","",ERP資料!A553&amp;"|"&amp;ERP資料!E553&amp;"|"&amp;ERP資料!F553&amp;"|"&amp;ERP資料!G553&amp;"|"&amp;ERP資料!H553&amp;"|"&amp;ERP資料!O553)</f>
        <v/>
      </c>
      <c r="C553">
        <f>IF(B553="",0,IF(COUNTIF(B$2:B552,B553)=0,1,0))</f>
        <v/>
      </c>
      <c r="D553">
        <f>IF(B553="",0,SUMIFS($H$2:$H$801,$B$2:$B$801,B553))</f>
        <v/>
      </c>
      <c r="E553">
        <f>IF(NOT(AND(C553=1, TRIM(ERP資料!T553)="平板")), 0, IF(MAX(E$2:E552)=0, 1, IF(ERP資料!A553=INDEX(ERP資料!$A$2:$A552, MATCH(MAX(E$2:E552), E$2:E552, 0)), MAX(E$2:E552)+1, MAX(E$2:E552)+2)))</f>
        <v/>
      </c>
      <c r="F553">
        <f>IF(NOT(AND(C553=1, TRIM(ERP資料!T553)="平板")), 0, IF(MAX(F$2:F552)=0, 1, IF(ERP資料!A553=INDEX(ERP資料!$A$2:$A552, MATCH(MAX(F$2:F552), F$2:F552, 0)), MAX(F$2:F552)+1, MAX(F$2:F552)+2)))</f>
        <v/>
      </c>
      <c r="G553">
        <f>IF(NOT(AND(C553=1, TRIM(ERP資料!T553)="捲筒")), 0, IF(MAX(G$2:G552)=0, 1, IF(ERP資料!A553=INDEX(ERP資料!$A$2:$A552, MATCH(MAX(G$2:G552), G$2:G552, 0)), MAX(G$2:G552)+1, MAX(G$2:G552)+2)))</f>
        <v/>
      </c>
      <c r="H553">
        <f>IF(OR(ERP資料!C553="",ERP資料!D553=""),0,ERP資料!D553-ERP資料!C553+1)</f>
        <v/>
      </c>
    </row>
    <row r="554">
      <c r="A554" t="n">
        <v>554</v>
      </c>
      <c r="B554">
        <f>IF(ERP資料!A554="","",ERP資料!A554&amp;"|"&amp;ERP資料!E554&amp;"|"&amp;ERP資料!F554&amp;"|"&amp;ERP資料!G554&amp;"|"&amp;ERP資料!H554&amp;"|"&amp;ERP資料!O554)</f>
        <v/>
      </c>
      <c r="C554">
        <f>IF(B554="",0,IF(COUNTIF(B$2:B553,B554)=0,1,0))</f>
        <v/>
      </c>
      <c r="D554">
        <f>IF(B554="",0,SUMIFS($H$2:$H$801,$B$2:$B$801,B554))</f>
        <v/>
      </c>
      <c r="E554">
        <f>IF(NOT(AND(C554=1, TRIM(ERP資料!T554)="平板")), 0, IF(MAX(E$2:E553)=0, 1, IF(ERP資料!A554=INDEX(ERP資料!$A$2:$A553, MATCH(MAX(E$2:E553), E$2:E553, 0)), MAX(E$2:E553)+1, MAX(E$2:E553)+2)))</f>
        <v/>
      </c>
      <c r="F554">
        <f>IF(NOT(AND(C554=1, TRIM(ERP資料!T554)="平板")), 0, IF(MAX(F$2:F553)=0, 1, IF(ERP資料!A554=INDEX(ERP資料!$A$2:$A553, MATCH(MAX(F$2:F553), F$2:F553, 0)), MAX(F$2:F553)+1, MAX(F$2:F553)+2)))</f>
        <v/>
      </c>
      <c r="G554">
        <f>IF(NOT(AND(C554=1, TRIM(ERP資料!T554)="捲筒")), 0, IF(MAX(G$2:G553)=0, 1, IF(ERP資料!A554=INDEX(ERP資料!$A$2:$A553, MATCH(MAX(G$2:G553), G$2:G553, 0)), MAX(G$2:G553)+1, MAX(G$2:G553)+2)))</f>
        <v/>
      </c>
      <c r="H554">
        <f>IF(OR(ERP資料!C554="",ERP資料!D554=""),0,ERP資料!D554-ERP資料!C554+1)</f>
        <v/>
      </c>
    </row>
    <row r="555">
      <c r="A555" t="n">
        <v>555</v>
      </c>
      <c r="B555">
        <f>IF(ERP資料!A555="","",ERP資料!A555&amp;"|"&amp;ERP資料!E555&amp;"|"&amp;ERP資料!F555&amp;"|"&amp;ERP資料!G555&amp;"|"&amp;ERP資料!H555&amp;"|"&amp;ERP資料!O555)</f>
        <v/>
      </c>
      <c r="C555">
        <f>IF(B555="",0,IF(COUNTIF(B$2:B554,B555)=0,1,0))</f>
        <v/>
      </c>
      <c r="D555">
        <f>IF(B555="",0,SUMIFS($H$2:$H$801,$B$2:$B$801,B555))</f>
        <v/>
      </c>
      <c r="E555">
        <f>IF(NOT(AND(C555=1, TRIM(ERP資料!T555)="平板")), 0, IF(MAX(E$2:E554)=0, 1, IF(ERP資料!A555=INDEX(ERP資料!$A$2:$A554, MATCH(MAX(E$2:E554), E$2:E554, 0)), MAX(E$2:E554)+1, MAX(E$2:E554)+2)))</f>
        <v/>
      </c>
      <c r="F555">
        <f>IF(NOT(AND(C555=1, TRIM(ERP資料!T555)="平板")), 0, IF(MAX(F$2:F554)=0, 1, IF(ERP資料!A555=INDEX(ERP資料!$A$2:$A554, MATCH(MAX(F$2:F554), F$2:F554, 0)), MAX(F$2:F554)+1, MAX(F$2:F554)+2)))</f>
        <v/>
      </c>
      <c r="G555">
        <f>IF(NOT(AND(C555=1, TRIM(ERP資料!T555)="捲筒")), 0, IF(MAX(G$2:G554)=0, 1, IF(ERP資料!A555=INDEX(ERP資料!$A$2:$A554, MATCH(MAX(G$2:G554), G$2:G554, 0)), MAX(G$2:G554)+1, MAX(G$2:G554)+2)))</f>
        <v/>
      </c>
      <c r="H555">
        <f>IF(OR(ERP資料!C555="",ERP資料!D555=""),0,ERP資料!D555-ERP資料!C555+1)</f>
        <v/>
      </c>
    </row>
    <row r="556">
      <c r="A556" t="n">
        <v>556</v>
      </c>
      <c r="B556">
        <f>IF(ERP資料!A556="","",ERP資料!A556&amp;"|"&amp;ERP資料!E556&amp;"|"&amp;ERP資料!F556&amp;"|"&amp;ERP資料!G556&amp;"|"&amp;ERP資料!H556&amp;"|"&amp;ERP資料!O556)</f>
        <v/>
      </c>
      <c r="C556">
        <f>IF(B556="",0,IF(COUNTIF(B$2:B555,B556)=0,1,0))</f>
        <v/>
      </c>
      <c r="D556">
        <f>IF(B556="",0,SUMIFS($H$2:$H$801,$B$2:$B$801,B556))</f>
        <v/>
      </c>
      <c r="E556">
        <f>IF(NOT(AND(C556=1, TRIM(ERP資料!T556)="平板")), 0, IF(MAX(E$2:E555)=0, 1, IF(ERP資料!A556=INDEX(ERP資料!$A$2:$A555, MATCH(MAX(E$2:E555), E$2:E555, 0)), MAX(E$2:E555)+1, MAX(E$2:E555)+2)))</f>
        <v/>
      </c>
      <c r="F556">
        <f>IF(NOT(AND(C556=1, TRIM(ERP資料!T556)="平板")), 0, IF(MAX(F$2:F555)=0, 1, IF(ERP資料!A556=INDEX(ERP資料!$A$2:$A555, MATCH(MAX(F$2:F555), F$2:F555, 0)), MAX(F$2:F555)+1, MAX(F$2:F555)+2)))</f>
        <v/>
      </c>
      <c r="G556">
        <f>IF(NOT(AND(C556=1, TRIM(ERP資料!T556)="捲筒")), 0, IF(MAX(G$2:G555)=0, 1, IF(ERP資料!A556=INDEX(ERP資料!$A$2:$A555, MATCH(MAX(G$2:G555), G$2:G555, 0)), MAX(G$2:G555)+1, MAX(G$2:G555)+2)))</f>
        <v/>
      </c>
      <c r="H556">
        <f>IF(OR(ERP資料!C556="",ERP資料!D556=""),0,ERP資料!D556-ERP資料!C556+1)</f>
        <v/>
      </c>
    </row>
    <row r="557">
      <c r="A557" t="n">
        <v>557</v>
      </c>
      <c r="B557">
        <f>IF(ERP資料!A557="","",ERP資料!A557&amp;"|"&amp;ERP資料!E557&amp;"|"&amp;ERP資料!F557&amp;"|"&amp;ERP資料!G557&amp;"|"&amp;ERP資料!H557&amp;"|"&amp;ERP資料!O557)</f>
        <v/>
      </c>
      <c r="C557">
        <f>IF(B557="",0,IF(COUNTIF(B$2:B556,B557)=0,1,0))</f>
        <v/>
      </c>
      <c r="D557">
        <f>IF(B557="",0,SUMIFS($H$2:$H$801,$B$2:$B$801,B557))</f>
        <v/>
      </c>
      <c r="E557">
        <f>IF(NOT(AND(C557=1, TRIM(ERP資料!T557)="平板")), 0, IF(MAX(E$2:E556)=0, 1, IF(ERP資料!A557=INDEX(ERP資料!$A$2:$A556, MATCH(MAX(E$2:E556), E$2:E556, 0)), MAX(E$2:E556)+1, MAX(E$2:E556)+2)))</f>
        <v/>
      </c>
      <c r="F557">
        <f>IF(NOT(AND(C557=1, TRIM(ERP資料!T557)="平板")), 0, IF(MAX(F$2:F556)=0, 1, IF(ERP資料!A557=INDEX(ERP資料!$A$2:$A556, MATCH(MAX(F$2:F556), F$2:F556, 0)), MAX(F$2:F556)+1, MAX(F$2:F556)+2)))</f>
        <v/>
      </c>
      <c r="G557">
        <f>IF(NOT(AND(C557=1, TRIM(ERP資料!T557)="捲筒")), 0, IF(MAX(G$2:G556)=0, 1, IF(ERP資料!A557=INDEX(ERP資料!$A$2:$A556, MATCH(MAX(G$2:G556), G$2:G556, 0)), MAX(G$2:G556)+1, MAX(G$2:G556)+2)))</f>
        <v/>
      </c>
      <c r="H557">
        <f>IF(OR(ERP資料!C557="",ERP資料!D557=""),0,ERP資料!D557-ERP資料!C557+1)</f>
        <v/>
      </c>
    </row>
    <row r="558">
      <c r="A558" t="n">
        <v>558</v>
      </c>
      <c r="B558">
        <f>IF(ERP資料!A558="","",ERP資料!A558&amp;"|"&amp;ERP資料!E558&amp;"|"&amp;ERP資料!F558&amp;"|"&amp;ERP資料!G558&amp;"|"&amp;ERP資料!H558&amp;"|"&amp;ERP資料!O558)</f>
        <v/>
      </c>
      <c r="C558">
        <f>IF(B558="",0,IF(COUNTIF(B$2:B557,B558)=0,1,0))</f>
        <v/>
      </c>
      <c r="D558">
        <f>IF(B558="",0,SUMIFS($H$2:$H$801,$B$2:$B$801,B558))</f>
        <v/>
      </c>
      <c r="E558">
        <f>IF(NOT(AND(C558=1, TRIM(ERP資料!T558)="平板")), 0, IF(MAX(E$2:E557)=0, 1, IF(ERP資料!A558=INDEX(ERP資料!$A$2:$A557, MATCH(MAX(E$2:E557), E$2:E557, 0)), MAX(E$2:E557)+1, MAX(E$2:E557)+2)))</f>
        <v/>
      </c>
      <c r="F558">
        <f>IF(NOT(AND(C558=1, TRIM(ERP資料!T558)="平板")), 0, IF(MAX(F$2:F557)=0, 1, IF(ERP資料!A558=INDEX(ERP資料!$A$2:$A557, MATCH(MAX(F$2:F557), F$2:F557, 0)), MAX(F$2:F557)+1, MAX(F$2:F557)+2)))</f>
        <v/>
      </c>
      <c r="G558">
        <f>IF(NOT(AND(C558=1, TRIM(ERP資料!T558)="捲筒")), 0, IF(MAX(G$2:G557)=0, 1, IF(ERP資料!A558=INDEX(ERP資料!$A$2:$A557, MATCH(MAX(G$2:G557), G$2:G557, 0)), MAX(G$2:G557)+1, MAX(G$2:G557)+2)))</f>
        <v/>
      </c>
      <c r="H558">
        <f>IF(OR(ERP資料!C558="",ERP資料!D558=""),0,ERP資料!D558-ERP資料!C558+1)</f>
        <v/>
      </c>
    </row>
    <row r="559">
      <c r="A559" t="n">
        <v>559</v>
      </c>
      <c r="B559">
        <f>IF(ERP資料!A559="","",ERP資料!A559&amp;"|"&amp;ERP資料!E559&amp;"|"&amp;ERP資料!F559&amp;"|"&amp;ERP資料!G559&amp;"|"&amp;ERP資料!H559&amp;"|"&amp;ERP資料!O559)</f>
        <v/>
      </c>
      <c r="C559">
        <f>IF(B559="",0,IF(COUNTIF(B$2:B558,B559)=0,1,0))</f>
        <v/>
      </c>
      <c r="D559">
        <f>IF(B559="",0,SUMIFS($H$2:$H$801,$B$2:$B$801,B559))</f>
        <v/>
      </c>
      <c r="E559">
        <f>IF(NOT(AND(C559=1, TRIM(ERP資料!T559)="平板")), 0, IF(MAX(E$2:E558)=0, 1, IF(ERP資料!A559=INDEX(ERP資料!$A$2:$A558, MATCH(MAX(E$2:E558), E$2:E558, 0)), MAX(E$2:E558)+1, MAX(E$2:E558)+2)))</f>
        <v/>
      </c>
      <c r="F559">
        <f>IF(NOT(AND(C559=1, TRIM(ERP資料!T559)="平板")), 0, IF(MAX(F$2:F558)=0, 1, IF(ERP資料!A559=INDEX(ERP資料!$A$2:$A558, MATCH(MAX(F$2:F558), F$2:F558, 0)), MAX(F$2:F558)+1, MAX(F$2:F558)+2)))</f>
        <v/>
      </c>
      <c r="G559">
        <f>IF(NOT(AND(C559=1, TRIM(ERP資料!T559)="捲筒")), 0, IF(MAX(G$2:G558)=0, 1, IF(ERP資料!A559=INDEX(ERP資料!$A$2:$A558, MATCH(MAX(G$2:G558), G$2:G558, 0)), MAX(G$2:G558)+1, MAX(G$2:G558)+2)))</f>
        <v/>
      </c>
      <c r="H559">
        <f>IF(OR(ERP資料!C559="",ERP資料!D559=""),0,ERP資料!D559-ERP資料!C559+1)</f>
        <v/>
      </c>
    </row>
    <row r="560">
      <c r="A560" t="n">
        <v>560</v>
      </c>
      <c r="B560">
        <f>IF(ERP資料!A560="","",ERP資料!A560&amp;"|"&amp;ERP資料!E560&amp;"|"&amp;ERP資料!F560&amp;"|"&amp;ERP資料!G560&amp;"|"&amp;ERP資料!H560&amp;"|"&amp;ERP資料!O560)</f>
        <v/>
      </c>
      <c r="C560">
        <f>IF(B560="",0,IF(COUNTIF(B$2:B559,B560)=0,1,0))</f>
        <v/>
      </c>
      <c r="D560">
        <f>IF(B560="",0,SUMIFS($H$2:$H$801,$B$2:$B$801,B560))</f>
        <v/>
      </c>
      <c r="E560">
        <f>IF(NOT(AND(C560=1, TRIM(ERP資料!T560)="平板")), 0, IF(MAX(E$2:E559)=0, 1, IF(ERP資料!A560=INDEX(ERP資料!$A$2:$A559, MATCH(MAX(E$2:E559), E$2:E559, 0)), MAX(E$2:E559)+1, MAX(E$2:E559)+2)))</f>
        <v/>
      </c>
      <c r="F560">
        <f>IF(NOT(AND(C560=1, TRIM(ERP資料!T560)="平板")), 0, IF(MAX(F$2:F559)=0, 1, IF(ERP資料!A560=INDEX(ERP資料!$A$2:$A559, MATCH(MAX(F$2:F559), F$2:F559, 0)), MAX(F$2:F559)+1, MAX(F$2:F559)+2)))</f>
        <v/>
      </c>
      <c r="G560">
        <f>IF(NOT(AND(C560=1, TRIM(ERP資料!T560)="捲筒")), 0, IF(MAX(G$2:G559)=0, 1, IF(ERP資料!A560=INDEX(ERP資料!$A$2:$A559, MATCH(MAX(G$2:G559), G$2:G559, 0)), MAX(G$2:G559)+1, MAX(G$2:G559)+2)))</f>
        <v/>
      </c>
      <c r="H560">
        <f>IF(OR(ERP資料!C560="",ERP資料!D560=""),0,ERP資料!D560-ERP資料!C560+1)</f>
        <v/>
      </c>
    </row>
    <row r="561">
      <c r="A561" t="n">
        <v>561</v>
      </c>
      <c r="B561">
        <f>IF(ERP資料!A561="","",ERP資料!A561&amp;"|"&amp;ERP資料!E561&amp;"|"&amp;ERP資料!F561&amp;"|"&amp;ERP資料!G561&amp;"|"&amp;ERP資料!H561&amp;"|"&amp;ERP資料!O561)</f>
        <v/>
      </c>
      <c r="C561">
        <f>IF(B561="",0,IF(COUNTIF(B$2:B560,B561)=0,1,0))</f>
        <v/>
      </c>
      <c r="D561">
        <f>IF(B561="",0,SUMIFS($H$2:$H$801,$B$2:$B$801,B561))</f>
        <v/>
      </c>
      <c r="E561">
        <f>IF(NOT(AND(C561=1, TRIM(ERP資料!T561)="平板")), 0, IF(MAX(E$2:E560)=0, 1, IF(ERP資料!A561=INDEX(ERP資料!$A$2:$A560, MATCH(MAX(E$2:E560), E$2:E560, 0)), MAX(E$2:E560)+1, MAX(E$2:E560)+2)))</f>
        <v/>
      </c>
      <c r="F561">
        <f>IF(NOT(AND(C561=1, TRIM(ERP資料!T561)="平板")), 0, IF(MAX(F$2:F560)=0, 1, IF(ERP資料!A561=INDEX(ERP資料!$A$2:$A560, MATCH(MAX(F$2:F560), F$2:F560, 0)), MAX(F$2:F560)+1, MAX(F$2:F560)+2)))</f>
        <v/>
      </c>
      <c r="G561">
        <f>IF(NOT(AND(C561=1, TRIM(ERP資料!T561)="捲筒")), 0, IF(MAX(G$2:G560)=0, 1, IF(ERP資料!A561=INDEX(ERP資料!$A$2:$A560, MATCH(MAX(G$2:G560), G$2:G560, 0)), MAX(G$2:G560)+1, MAX(G$2:G560)+2)))</f>
        <v/>
      </c>
      <c r="H561">
        <f>IF(OR(ERP資料!C561="",ERP資料!D561=""),0,ERP資料!D561-ERP資料!C561+1)</f>
        <v/>
      </c>
    </row>
    <row r="562">
      <c r="A562" t="n">
        <v>562</v>
      </c>
      <c r="B562">
        <f>IF(ERP資料!A562="","",ERP資料!A562&amp;"|"&amp;ERP資料!E562&amp;"|"&amp;ERP資料!F562&amp;"|"&amp;ERP資料!G562&amp;"|"&amp;ERP資料!H562&amp;"|"&amp;ERP資料!O562)</f>
        <v/>
      </c>
      <c r="C562">
        <f>IF(B562="",0,IF(COUNTIF(B$2:B561,B562)=0,1,0))</f>
        <v/>
      </c>
      <c r="D562">
        <f>IF(B562="",0,SUMIFS($H$2:$H$801,$B$2:$B$801,B562))</f>
        <v/>
      </c>
      <c r="E562">
        <f>IF(NOT(AND(C562=1, TRIM(ERP資料!T562)="平板")), 0, IF(MAX(E$2:E561)=0, 1, IF(ERP資料!A562=INDEX(ERP資料!$A$2:$A561, MATCH(MAX(E$2:E561), E$2:E561, 0)), MAX(E$2:E561)+1, MAX(E$2:E561)+2)))</f>
        <v/>
      </c>
      <c r="F562">
        <f>IF(NOT(AND(C562=1, TRIM(ERP資料!T562)="平板")), 0, IF(MAX(F$2:F561)=0, 1, IF(ERP資料!A562=INDEX(ERP資料!$A$2:$A561, MATCH(MAX(F$2:F561), F$2:F561, 0)), MAX(F$2:F561)+1, MAX(F$2:F561)+2)))</f>
        <v/>
      </c>
      <c r="G562">
        <f>IF(NOT(AND(C562=1, TRIM(ERP資料!T562)="捲筒")), 0, IF(MAX(G$2:G561)=0, 1, IF(ERP資料!A562=INDEX(ERP資料!$A$2:$A561, MATCH(MAX(G$2:G561), G$2:G561, 0)), MAX(G$2:G561)+1, MAX(G$2:G561)+2)))</f>
        <v/>
      </c>
      <c r="H562">
        <f>IF(OR(ERP資料!C562="",ERP資料!D562=""),0,ERP資料!D562-ERP資料!C562+1)</f>
        <v/>
      </c>
    </row>
    <row r="563">
      <c r="A563" t="n">
        <v>563</v>
      </c>
      <c r="B563">
        <f>IF(ERP資料!A563="","",ERP資料!A563&amp;"|"&amp;ERP資料!E563&amp;"|"&amp;ERP資料!F563&amp;"|"&amp;ERP資料!G563&amp;"|"&amp;ERP資料!H563&amp;"|"&amp;ERP資料!O563)</f>
        <v/>
      </c>
      <c r="C563">
        <f>IF(B563="",0,IF(COUNTIF(B$2:B562,B563)=0,1,0))</f>
        <v/>
      </c>
      <c r="D563">
        <f>IF(B563="",0,SUMIFS($H$2:$H$801,$B$2:$B$801,B563))</f>
        <v/>
      </c>
      <c r="E563">
        <f>IF(NOT(AND(C563=1, TRIM(ERP資料!T563)="平板")), 0, IF(MAX(E$2:E562)=0, 1, IF(ERP資料!A563=INDEX(ERP資料!$A$2:$A562, MATCH(MAX(E$2:E562), E$2:E562, 0)), MAX(E$2:E562)+1, MAX(E$2:E562)+2)))</f>
        <v/>
      </c>
      <c r="F563">
        <f>IF(NOT(AND(C563=1, TRIM(ERP資料!T563)="平板")), 0, IF(MAX(F$2:F562)=0, 1, IF(ERP資料!A563=INDEX(ERP資料!$A$2:$A562, MATCH(MAX(F$2:F562), F$2:F562, 0)), MAX(F$2:F562)+1, MAX(F$2:F562)+2)))</f>
        <v/>
      </c>
      <c r="G563">
        <f>IF(NOT(AND(C563=1, TRIM(ERP資料!T563)="捲筒")), 0, IF(MAX(G$2:G562)=0, 1, IF(ERP資料!A563=INDEX(ERP資料!$A$2:$A562, MATCH(MAX(G$2:G562), G$2:G562, 0)), MAX(G$2:G562)+1, MAX(G$2:G562)+2)))</f>
        <v/>
      </c>
      <c r="H563">
        <f>IF(OR(ERP資料!C563="",ERP資料!D563=""),0,ERP資料!D563-ERP資料!C563+1)</f>
        <v/>
      </c>
    </row>
    <row r="564">
      <c r="A564" t="n">
        <v>564</v>
      </c>
      <c r="B564">
        <f>IF(ERP資料!A564="","",ERP資料!A564&amp;"|"&amp;ERP資料!E564&amp;"|"&amp;ERP資料!F564&amp;"|"&amp;ERP資料!G564&amp;"|"&amp;ERP資料!H564&amp;"|"&amp;ERP資料!O564)</f>
        <v/>
      </c>
      <c r="C564">
        <f>IF(B564="",0,IF(COUNTIF(B$2:B563,B564)=0,1,0))</f>
        <v/>
      </c>
      <c r="D564">
        <f>IF(B564="",0,SUMIFS($H$2:$H$801,$B$2:$B$801,B564))</f>
        <v/>
      </c>
      <c r="E564">
        <f>IF(NOT(AND(C564=1, TRIM(ERP資料!T564)="平板")), 0, IF(MAX(E$2:E563)=0, 1, IF(ERP資料!A564=INDEX(ERP資料!$A$2:$A563, MATCH(MAX(E$2:E563), E$2:E563, 0)), MAX(E$2:E563)+1, MAX(E$2:E563)+2)))</f>
        <v/>
      </c>
      <c r="F564">
        <f>IF(NOT(AND(C564=1, TRIM(ERP資料!T564)="平板")), 0, IF(MAX(F$2:F563)=0, 1, IF(ERP資料!A564=INDEX(ERP資料!$A$2:$A563, MATCH(MAX(F$2:F563), F$2:F563, 0)), MAX(F$2:F563)+1, MAX(F$2:F563)+2)))</f>
        <v/>
      </c>
      <c r="G564">
        <f>IF(NOT(AND(C564=1, TRIM(ERP資料!T564)="捲筒")), 0, IF(MAX(G$2:G563)=0, 1, IF(ERP資料!A564=INDEX(ERP資料!$A$2:$A563, MATCH(MAX(G$2:G563), G$2:G563, 0)), MAX(G$2:G563)+1, MAX(G$2:G563)+2)))</f>
        <v/>
      </c>
      <c r="H564">
        <f>IF(OR(ERP資料!C564="",ERP資料!D564=""),0,ERP資料!D564-ERP資料!C564+1)</f>
        <v/>
      </c>
    </row>
    <row r="565">
      <c r="A565" t="n">
        <v>565</v>
      </c>
      <c r="B565">
        <f>IF(ERP資料!A565="","",ERP資料!A565&amp;"|"&amp;ERP資料!E565&amp;"|"&amp;ERP資料!F565&amp;"|"&amp;ERP資料!G565&amp;"|"&amp;ERP資料!H565&amp;"|"&amp;ERP資料!O565)</f>
        <v/>
      </c>
      <c r="C565">
        <f>IF(B565="",0,IF(COUNTIF(B$2:B564,B565)=0,1,0))</f>
        <v/>
      </c>
      <c r="D565">
        <f>IF(B565="",0,SUMIFS($H$2:$H$801,$B$2:$B$801,B565))</f>
        <v/>
      </c>
      <c r="E565">
        <f>IF(NOT(AND(C565=1, TRIM(ERP資料!T565)="平板")), 0, IF(MAX(E$2:E564)=0, 1, IF(ERP資料!A565=INDEX(ERP資料!$A$2:$A564, MATCH(MAX(E$2:E564), E$2:E564, 0)), MAX(E$2:E564)+1, MAX(E$2:E564)+2)))</f>
        <v/>
      </c>
      <c r="F565">
        <f>IF(NOT(AND(C565=1, TRIM(ERP資料!T565)="平板")), 0, IF(MAX(F$2:F564)=0, 1, IF(ERP資料!A565=INDEX(ERP資料!$A$2:$A564, MATCH(MAX(F$2:F564), F$2:F564, 0)), MAX(F$2:F564)+1, MAX(F$2:F564)+2)))</f>
        <v/>
      </c>
      <c r="G565">
        <f>IF(NOT(AND(C565=1, TRIM(ERP資料!T565)="捲筒")), 0, IF(MAX(G$2:G564)=0, 1, IF(ERP資料!A565=INDEX(ERP資料!$A$2:$A564, MATCH(MAX(G$2:G564), G$2:G564, 0)), MAX(G$2:G564)+1, MAX(G$2:G564)+2)))</f>
        <v/>
      </c>
      <c r="H565">
        <f>IF(OR(ERP資料!C565="",ERP資料!D565=""),0,ERP資料!D565-ERP資料!C565+1)</f>
        <v/>
      </c>
    </row>
    <row r="566">
      <c r="A566" t="n">
        <v>566</v>
      </c>
      <c r="B566">
        <f>IF(ERP資料!A566="","",ERP資料!A566&amp;"|"&amp;ERP資料!E566&amp;"|"&amp;ERP資料!F566&amp;"|"&amp;ERP資料!G566&amp;"|"&amp;ERP資料!H566&amp;"|"&amp;ERP資料!O566)</f>
        <v/>
      </c>
      <c r="C566">
        <f>IF(B566="",0,IF(COUNTIF(B$2:B565,B566)=0,1,0))</f>
        <v/>
      </c>
      <c r="D566">
        <f>IF(B566="",0,SUMIFS($H$2:$H$801,$B$2:$B$801,B566))</f>
        <v/>
      </c>
      <c r="E566">
        <f>IF(NOT(AND(C566=1, TRIM(ERP資料!T566)="平板")), 0, IF(MAX(E$2:E565)=0, 1, IF(ERP資料!A566=INDEX(ERP資料!$A$2:$A565, MATCH(MAX(E$2:E565), E$2:E565, 0)), MAX(E$2:E565)+1, MAX(E$2:E565)+2)))</f>
        <v/>
      </c>
      <c r="F566">
        <f>IF(NOT(AND(C566=1, TRIM(ERP資料!T566)="平板")), 0, IF(MAX(F$2:F565)=0, 1, IF(ERP資料!A566=INDEX(ERP資料!$A$2:$A565, MATCH(MAX(F$2:F565), F$2:F565, 0)), MAX(F$2:F565)+1, MAX(F$2:F565)+2)))</f>
        <v/>
      </c>
      <c r="G566">
        <f>IF(NOT(AND(C566=1, TRIM(ERP資料!T566)="捲筒")), 0, IF(MAX(G$2:G565)=0, 1, IF(ERP資料!A566=INDEX(ERP資料!$A$2:$A565, MATCH(MAX(G$2:G565), G$2:G565, 0)), MAX(G$2:G565)+1, MAX(G$2:G565)+2)))</f>
        <v/>
      </c>
      <c r="H566">
        <f>IF(OR(ERP資料!C566="",ERP資料!D566=""),0,ERP資料!D566-ERP資料!C566+1)</f>
        <v/>
      </c>
    </row>
    <row r="567">
      <c r="A567" t="n">
        <v>567</v>
      </c>
      <c r="B567">
        <f>IF(ERP資料!A567="","",ERP資料!A567&amp;"|"&amp;ERP資料!E567&amp;"|"&amp;ERP資料!F567&amp;"|"&amp;ERP資料!G567&amp;"|"&amp;ERP資料!H567&amp;"|"&amp;ERP資料!O567)</f>
        <v/>
      </c>
      <c r="C567">
        <f>IF(B567="",0,IF(COUNTIF(B$2:B566,B567)=0,1,0))</f>
        <v/>
      </c>
      <c r="D567">
        <f>IF(B567="",0,SUMIFS($H$2:$H$801,$B$2:$B$801,B567))</f>
        <v/>
      </c>
      <c r="E567">
        <f>IF(NOT(AND(C567=1, TRIM(ERP資料!T567)="平板")), 0, IF(MAX(E$2:E566)=0, 1, IF(ERP資料!A567=INDEX(ERP資料!$A$2:$A566, MATCH(MAX(E$2:E566), E$2:E566, 0)), MAX(E$2:E566)+1, MAX(E$2:E566)+2)))</f>
        <v/>
      </c>
      <c r="F567">
        <f>IF(NOT(AND(C567=1, TRIM(ERP資料!T567)="平板")), 0, IF(MAX(F$2:F566)=0, 1, IF(ERP資料!A567=INDEX(ERP資料!$A$2:$A566, MATCH(MAX(F$2:F566), F$2:F566, 0)), MAX(F$2:F566)+1, MAX(F$2:F566)+2)))</f>
        <v/>
      </c>
      <c r="G567">
        <f>IF(NOT(AND(C567=1, TRIM(ERP資料!T567)="捲筒")), 0, IF(MAX(G$2:G566)=0, 1, IF(ERP資料!A567=INDEX(ERP資料!$A$2:$A566, MATCH(MAX(G$2:G566), G$2:G566, 0)), MAX(G$2:G566)+1, MAX(G$2:G566)+2)))</f>
        <v/>
      </c>
      <c r="H567">
        <f>IF(OR(ERP資料!C567="",ERP資料!D567=""),0,ERP資料!D567-ERP資料!C567+1)</f>
        <v/>
      </c>
    </row>
    <row r="568">
      <c r="A568" t="n">
        <v>568</v>
      </c>
      <c r="B568">
        <f>IF(ERP資料!A568="","",ERP資料!A568&amp;"|"&amp;ERP資料!E568&amp;"|"&amp;ERP資料!F568&amp;"|"&amp;ERP資料!G568&amp;"|"&amp;ERP資料!H568&amp;"|"&amp;ERP資料!O568)</f>
        <v/>
      </c>
      <c r="C568">
        <f>IF(B568="",0,IF(COUNTIF(B$2:B567,B568)=0,1,0))</f>
        <v/>
      </c>
      <c r="D568">
        <f>IF(B568="",0,SUMIFS($H$2:$H$801,$B$2:$B$801,B568))</f>
        <v/>
      </c>
      <c r="E568">
        <f>IF(NOT(AND(C568=1, TRIM(ERP資料!T568)="平板")), 0, IF(MAX(E$2:E567)=0, 1, IF(ERP資料!A568=INDEX(ERP資料!$A$2:$A567, MATCH(MAX(E$2:E567), E$2:E567, 0)), MAX(E$2:E567)+1, MAX(E$2:E567)+2)))</f>
        <v/>
      </c>
      <c r="F568">
        <f>IF(NOT(AND(C568=1, TRIM(ERP資料!T568)="平板")), 0, IF(MAX(F$2:F567)=0, 1, IF(ERP資料!A568=INDEX(ERP資料!$A$2:$A567, MATCH(MAX(F$2:F567), F$2:F567, 0)), MAX(F$2:F567)+1, MAX(F$2:F567)+2)))</f>
        <v/>
      </c>
      <c r="G568">
        <f>IF(NOT(AND(C568=1, TRIM(ERP資料!T568)="捲筒")), 0, IF(MAX(G$2:G567)=0, 1, IF(ERP資料!A568=INDEX(ERP資料!$A$2:$A567, MATCH(MAX(G$2:G567), G$2:G567, 0)), MAX(G$2:G567)+1, MAX(G$2:G567)+2)))</f>
        <v/>
      </c>
      <c r="H568">
        <f>IF(OR(ERP資料!C568="",ERP資料!D568=""),0,ERP資料!D568-ERP資料!C568+1)</f>
        <v/>
      </c>
    </row>
    <row r="569">
      <c r="A569" t="n">
        <v>569</v>
      </c>
      <c r="B569">
        <f>IF(ERP資料!A569="","",ERP資料!A569&amp;"|"&amp;ERP資料!E569&amp;"|"&amp;ERP資料!F569&amp;"|"&amp;ERP資料!G569&amp;"|"&amp;ERP資料!H569&amp;"|"&amp;ERP資料!O569)</f>
        <v/>
      </c>
      <c r="C569">
        <f>IF(B569="",0,IF(COUNTIF(B$2:B568,B569)=0,1,0))</f>
        <v/>
      </c>
      <c r="D569">
        <f>IF(B569="",0,SUMIFS($H$2:$H$801,$B$2:$B$801,B569))</f>
        <v/>
      </c>
      <c r="E569">
        <f>IF(NOT(AND(C569=1, TRIM(ERP資料!T569)="平板")), 0, IF(MAX(E$2:E568)=0, 1, IF(ERP資料!A569=INDEX(ERP資料!$A$2:$A568, MATCH(MAX(E$2:E568), E$2:E568, 0)), MAX(E$2:E568)+1, MAX(E$2:E568)+2)))</f>
        <v/>
      </c>
      <c r="F569">
        <f>IF(NOT(AND(C569=1, TRIM(ERP資料!T569)="平板")), 0, IF(MAX(F$2:F568)=0, 1, IF(ERP資料!A569=INDEX(ERP資料!$A$2:$A568, MATCH(MAX(F$2:F568), F$2:F568, 0)), MAX(F$2:F568)+1, MAX(F$2:F568)+2)))</f>
        <v/>
      </c>
      <c r="G569">
        <f>IF(NOT(AND(C569=1, TRIM(ERP資料!T569)="捲筒")), 0, IF(MAX(G$2:G568)=0, 1, IF(ERP資料!A569=INDEX(ERP資料!$A$2:$A568, MATCH(MAX(G$2:G568), G$2:G568, 0)), MAX(G$2:G568)+1, MAX(G$2:G568)+2)))</f>
        <v/>
      </c>
      <c r="H569">
        <f>IF(OR(ERP資料!C569="",ERP資料!D569=""),0,ERP資料!D569-ERP資料!C569+1)</f>
        <v/>
      </c>
    </row>
    <row r="570">
      <c r="A570" t="n">
        <v>570</v>
      </c>
      <c r="B570">
        <f>IF(ERP資料!A570="","",ERP資料!A570&amp;"|"&amp;ERP資料!E570&amp;"|"&amp;ERP資料!F570&amp;"|"&amp;ERP資料!G570&amp;"|"&amp;ERP資料!H570&amp;"|"&amp;ERP資料!O570)</f>
        <v/>
      </c>
      <c r="C570">
        <f>IF(B570="",0,IF(COUNTIF(B$2:B569,B570)=0,1,0))</f>
        <v/>
      </c>
      <c r="D570">
        <f>IF(B570="",0,SUMIFS($H$2:$H$801,$B$2:$B$801,B570))</f>
        <v/>
      </c>
      <c r="E570">
        <f>IF(NOT(AND(C570=1, TRIM(ERP資料!T570)="平板")), 0, IF(MAX(E$2:E569)=0, 1, IF(ERP資料!A570=INDEX(ERP資料!$A$2:$A569, MATCH(MAX(E$2:E569), E$2:E569, 0)), MAX(E$2:E569)+1, MAX(E$2:E569)+2)))</f>
        <v/>
      </c>
      <c r="F570">
        <f>IF(NOT(AND(C570=1, TRIM(ERP資料!T570)="平板")), 0, IF(MAX(F$2:F569)=0, 1, IF(ERP資料!A570=INDEX(ERP資料!$A$2:$A569, MATCH(MAX(F$2:F569), F$2:F569, 0)), MAX(F$2:F569)+1, MAX(F$2:F569)+2)))</f>
        <v/>
      </c>
      <c r="G570">
        <f>IF(NOT(AND(C570=1, TRIM(ERP資料!T570)="捲筒")), 0, IF(MAX(G$2:G569)=0, 1, IF(ERP資料!A570=INDEX(ERP資料!$A$2:$A569, MATCH(MAX(G$2:G569), G$2:G569, 0)), MAX(G$2:G569)+1, MAX(G$2:G569)+2)))</f>
        <v/>
      </c>
      <c r="H570">
        <f>IF(OR(ERP資料!C570="",ERP資料!D570=""),0,ERP資料!D570-ERP資料!C570+1)</f>
        <v/>
      </c>
    </row>
    <row r="571">
      <c r="A571" t="n">
        <v>571</v>
      </c>
      <c r="B571">
        <f>IF(ERP資料!A571="","",ERP資料!A571&amp;"|"&amp;ERP資料!E571&amp;"|"&amp;ERP資料!F571&amp;"|"&amp;ERP資料!G571&amp;"|"&amp;ERP資料!H571&amp;"|"&amp;ERP資料!O571)</f>
        <v/>
      </c>
      <c r="C571">
        <f>IF(B571="",0,IF(COUNTIF(B$2:B570,B571)=0,1,0))</f>
        <v/>
      </c>
      <c r="D571">
        <f>IF(B571="",0,SUMIFS($H$2:$H$801,$B$2:$B$801,B571))</f>
        <v/>
      </c>
      <c r="E571">
        <f>IF(NOT(AND(C571=1, TRIM(ERP資料!T571)="平板")), 0, IF(MAX(E$2:E570)=0, 1, IF(ERP資料!A571=INDEX(ERP資料!$A$2:$A570, MATCH(MAX(E$2:E570), E$2:E570, 0)), MAX(E$2:E570)+1, MAX(E$2:E570)+2)))</f>
        <v/>
      </c>
      <c r="F571">
        <f>IF(NOT(AND(C571=1, TRIM(ERP資料!T571)="平板")), 0, IF(MAX(F$2:F570)=0, 1, IF(ERP資料!A571=INDEX(ERP資料!$A$2:$A570, MATCH(MAX(F$2:F570), F$2:F570, 0)), MAX(F$2:F570)+1, MAX(F$2:F570)+2)))</f>
        <v/>
      </c>
      <c r="G571">
        <f>IF(NOT(AND(C571=1, TRIM(ERP資料!T571)="捲筒")), 0, IF(MAX(G$2:G570)=0, 1, IF(ERP資料!A571=INDEX(ERP資料!$A$2:$A570, MATCH(MAX(G$2:G570), G$2:G570, 0)), MAX(G$2:G570)+1, MAX(G$2:G570)+2)))</f>
        <v/>
      </c>
      <c r="H571">
        <f>IF(OR(ERP資料!C571="",ERP資料!D571=""),0,ERP資料!D571-ERP資料!C571+1)</f>
        <v/>
      </c>
    </row>
    <row r="572">
      <c r="A572" t="n">
        <v>572</v>
      </c>
      <c r="B572">
        <f>IF(ERP資料!A572="","",ERP資料!A572&amp;"|"&amp;ERP資料!E572&amp;"|"&amp;ERP資料!F572&amp;"|"&amp;ERP資料!G572&amp;"|"&amp;ERP資料!H572&amp;"|"&amp;ERP資料!O572)</f>
        <v/>
      </c>
      <c r="C572">
        <f>IF(B572="",0,IF(COUNTIF(B$2:B571,B572)=0,1,0))</f>
        <v/>
      </c>
      <c r="D572">
        <f>IF(B572="",0,SUMIFS($H$2:$H$801,$B$2:$B$801,B572))</f>
        <v/>
      </c>
      <c r="E572">
        <f>IF(NOT(AND(C572=1, TRIM(ERP資料!T572)="平板")), 0, IF(MAX(E$2:E571)=0, 1, IF(ERP資料!A572=INDEX(ERP資料!$A$2:$A571, MATCH(MAX(E$2:E571), E$2:E571, 0)), MAX(E$2:E571)+1, MAX(E$2:E571)+2)))</f>
        <v/>
      </c>
      <c r="F572">
        <f>IF(NOT(AND(C572=1, TRIM(ERP資料!T572)="平板")), 0, IF(MAX(F$2:F571)=0, 1, IF(ERP資料!A572=INDEX(ERP資料!$A$2:$A571, MATCH(MAX(F$2:F571), F$2:F571, 0)), MAX(F$2:F571)+1, MAX(F$2:F571)+2)))</f>
        <v/>
      </c>
      <c r="G572">
        <f>IF(NOT(AND(C572=1, TRIM(ERP資料!T572)="捲筒")), 0, IF(MAX(G$2:G571)=0, 1, IF(ERP資料!A572=INDEX(ERP資料!$A$2:$A571, MATCH(MAX(G$2:G571), G$2:G571, 0)), MAX(G$2:G571)+1, MAX(G$2:G571)+2)))</f>
        <v/>
      </c>
      <c r="H572">
        <f>IF(OR(ERP資料!C572="",ERP資料!D572=""),0,ERP資料!D572-ERP資料!C572+1)</f>
        <v/>
      </c>
    </row>
    <row r="573">
      <c r="A573" t="n">
        <v>573</v>
      </c>
      <c r="B573">
        <f>IF(ERP資料!A573="","",ERP資料!A573&amp;"|"&amp;ERP資料!E573&amp;"|"&amp;ERP資料!F573&amp;"|"&amp;ERP資料!G573&amp;"|"&amp;ERP資料!H573&amp;"|"&amp;ERP資料!O573)</f>
        <v/>
      </c>
      <c r="C573">
        <f>IF(B573="",0,IF(COUNTIF(B$2:B572,B573)=0,1,0))</f>
        <v/>
      </c>
      <c r="D573">
        <f>IF(B573="",0,SUMIFS($H$2:$H$801,$B$2:$B$801,B573))</f>
        <v/>
      </c>
      <c r="E573">
        <f>IF(NOT(AND(C573=1, TRIM(ERP資料!T573)="平板")), 0, IF(MAX(E$2:E572)=0, 1, IF(ERP資料!A573=INDEX(ERP資料!$A$2:$A572, MATCH(MAX(E$2:E572), E$2:E572, 0)), MAX(E$2:E572)+1, MAX(E$2:E572)+2)))</f>
        <v/>
      </c>
      <c r="F573">
        <f>IF(NOT(AND(C573=1, TRIM(ERP資料!T573)="平板")), 0, IF(MAX(F$2:F572)=0, 1, IF(ERP資料!A573=INDEX(ERP資料!$A$2:$A572, MATCH(MAX(F$2:F572), F$2:F572, 0)), MAX(F$2:F572)+1, MAX(F$2:F572)+2)))</f>
        <v/>
      </c>
      <c r="G573">
        <f>IF(NOT(AND(C573=1, TRIM(ERP資料!T573)="捲筒")), 0, IF(MAX(G$2:G572)=0, 1, IF(ERP資料!A573=INDEX(ERP資料!$A$2:$A572, MATCH(MAX(G$2:G572), G$2:G572, 0)), MAX(G$2:G572)+1, MAX(G$2:G572)+2)))</f>
        <v/>
      </c>
      <c r="H573">
        <f>IF(OR(ERP資料!C573="",ERP資料!D573=""),0,ERP資料!D573-ERP資料!C573+1)</f>
        <v/>
      </c>
    </row>
    <row r="574">
      <c r="A574" t="n">
        <v>574</v>
      </c>
      <c r="B574">
        <f>IF(ERP資料!A574="","",ERP資料!A574&amp;"|"&amp;ERP資料!E574&amp;"|"&amp;ERP資料!F574&amp;"|"&amp;ERP資料!G574&amp;"|"&amp;ERP資料!H574&amp;"|"&amp;ERP資料!O574)</f>
        <v/>
      </c>
      <c r="C574">
        <f>IF(B574="",0,IF(COUNTIF(B$2:B573,B574)=0,1,0))</f>
        <v/>
      </c>
      <c r="D574">
        <f>IF(B574="",0,SUMIFS($H$2:$H$801,$B$2:$B$801,B574))</f>
        <v/>
      </c>
      <c r="E574">
        <f>IF(NOT(AND(C574=1, TRIM(ERP資料!T574)="平板")), 0, IF(MAX(E$2:E573)=0, 1, IF(ERP資料!A574=INDEX(ERP資料!$A$2:$A573, MATCH(MAX(E$2:E573), E$2:E573, 0)), MAX(E$2:E573)+1, MAX(E$2:E573)+2)))</f>
        <v/>
      </c>
      <c r="F574">
        <f>IF(NOT(AND(C574=1, TRIM(ERP資料!T574)="平板")), 0, IF(MAX(F$2:F573)=0, 1, IF(ERP資料!A574=INDEX(ERP資料!$A$2:$A573, MATCH(MAX(F$2:F573), F$2:F573, 0)), MAX(F$2:F573)+1, MAX(F$2:F573)+2)))</f>
        <v/>
      </c>
      <c r="G574">
        <f>IF(NOT(AND(C574=1, TRIM(ERP資料!T574)="捲筒")), 0, IF(MAX(G$2:G573)=0, 1, IF(ERP資料!A574=INDEX(ERP資料!$A$2:$A573, MATCH(MAX(G$2:G573), G$2:G573, 0)), MAX(G$2:G573)+1, MAX(G$2:G573)+2)))</f>
        <v/>
      </c>
      <c r="H574">
        <f>IF(OR(ERP資料!C574="",ERP資料!D574=""),0,ERP資料!D574-ERP資料!C574+1)</f>
        <v/>
      </c>
    </row>
    <row r="575">
      <c r="A575" t="n">
        <v>575</v>
      </c>
      <c r="B575">
        <f>IF(ERP資料!A575="","",ERP資料!A575&amp;"|"&amp;ERP資料!E575&amp;"|"&amp;ERP資料!F575&amp;"|"&amp;ERP資料!G575&amp;"|"&amp;ERP資料!H575&amp;"|"&amp;ERP資料!O575)</f>
        <v/>
      </c>
      <c r="C575">
        <f>IF(B575="",0,IF(COUNTIF(B$2:B574,B575)=0,1,0))</f>
        <v/>
      </c>
      <c r="D575">
        <f>IF(B575="",0,SUMIFS($H$2:$H$801,$B$2:$B$801,B575))</f>
        <v/>
      </c>
      <c r="E575">
        <f>IF(NOT(AND(C575=1, TRIM(ERP資料!T575)="平板")), 0, IF(MAX(E$2:E574)=0, 1, IF(ERP資料!A575=INDEX(ERP資料!$A$2:$A574, MATCH(MAX(E$2:E574), E$2:E574, 0)), MAX(E$2:E574)+1, MAX(E$2:E574)+2)))</f>
        <v/>
      </c>
      <c r="F575">
        <f>IF(NOT(AND(C575=1, TRIM(ERP資料!T575)="平板")), 0, IF(MAX(F$2:F574)=0, 1, IF(ERP資料!A575=INDEX(ERP資料!$A$2:$A574, MATCH(MAX(F$2:F574), F$2:F574, 0)), MAX(F$2:F574)+1, MAX(F$2:F574)+2)))</f>
        <v/>
      </c>
      <c r="G575">
        <f>IF(NOT(AND(C575=1, TRIM(ERP資料!T575)="捲筒")), 0, IF(MAX(G$2:G574)=0, 1, IF(ERP資料!A575=INDEX(ERP資料!$A$2:$A574, MATCH(MAX(G$2:G574), G$2:G574, 0)), MAX(G$2:G574)+1, MAX(G$2:G574)+2)))</f>
        <v/>
      </c>
      <c r="H575">
        <f>IF(OR(ERP資料!C575="",ERP資料!D575=""),0,ERP資料!D575-ERP資料!C575+1)</f>
        <v/>
      </c>
    </row>
    <row r="576">
      <c r="A576" t="n">
        <v>576</v>
      </c>
      <c r="B576">
        <f>IF(ERP資料!A576="","",ERP資料!A576&amp;"|"&amp;ERP資料!E576&amp;"|"&amp;ERP資料!F576&amp;"|"&amp;ERP資料!G576&amp;"|"&amp;ERP資料!H576&amp;"|"&amp;ERP資料!O576)</f>
        <v/>
      </c>
      <c r="C576">
        <f>IF(B576="",0,IF(COUNTIF(B$2:B575,B576)=0,1,0))</f>
        <v/>
      </c>
      <c r="D576">
        <f>IF(B576="",0,SUMIFS($H$2:$H$801,$B$2:$B$801,B576))</f>
        <v/>
      </c>
      <c r="E576">
        <f>IF(NOT(AND(C576=1, TRIM(ERP資料!T576)="平板")), 0, IF(MAX(E$2:E575)=0, 1, IF(ERP資料!A576=INDEX(ERP資料!$A$2:$A575, MATCH(MAX(E$2:E575), E$2:E575, 0)), MAX(E$2:E575)+1, MAX(E$2:E575)+2)))</f>
        <v/>
      </c>
      <c r="F576">
        <f>IF(NOT(AND(C576=1, TRIM(ERP資料!T576)="平板")), 0, IF(MAX(F$2:F575)=0, 1, IF(ERP資料!A576=INDEX(ERP資料!$A$2:$A575, MATCH(MAX(F$2:F575), F$2:F575, 0)), MAX(F$2:F575)+1, MAX(F$2:F575)+2)))</f>
        <v/>
      </c>
      <c r="G576">
        <f>IF(NOT(AND(C576=1, TRIM(ERP資料!T576)="捲筒")), 0, IF(MAX(G$2:G575)=0, 1, IF(ERP資料!A576=INDEX(ERP資料!$A$2:$A575, MATCH(MAX(G$2:G575), G$2:G575, 0)), MAX(G$2:G575)+1, MAX(G$2:G575)+2)))</f>
        <v/>
      </c>
      <c r="H576">
        <f>IF(OR(ERP資料!C576="",ERP資料!D576=""),0,ERP資料!D576-ERP資料!C576+1)</f>
        <v/>
      </c>
    </row>
    <row r="577">
      <c r="A577" t="n">
        <v>577</v>
      </c>
      <c r="B577">
        <f>IF(ERP資料!A577="","",ERP資料!A577&amp;"|"&amp;ERP資料!E577&amp;"|"&amp;ERP資料!F577&amp;"|"&amp;ERP資料!G577&amp;"|"&amp;ERP資料!H577&amp;"|"&amp;ERP資料!O577)</f>
        <v/>
      </c>
      <c r="C577">
        <f>IF(B577="",0,IF(COUNTIF(B$2:B576,B577)=0,1,0))</f>
        <v/>
      </c>
      <c r="D577">
        <f>IF(B577="",0,SUMIFS($H$2:$H$801,$B$2:$B$801,B577))</f>
        <v/>
      </c>
      <c r="E577">
        <f>IF(NOT(AND(C577=1, TRIM(ERP資料!T577)="平板")), 0, IF(MAX(E$2:E576)=0, 1, IF(ERP資料!A577=INDEX(ERP資料!$A$2:$A576, MATCH(MAX(E$2:E576), E$2:E576, 0)), MAX(E$2:E576)+1, MAX(E$2:E576)+2)))</f>
        <v/>
      </c>
      <c r="F577">
        <f>IF(NOT(AND(C577=1, TRIM(ERP資料!T577)="平板")), 0, IF(MAX(F$2:F576)=0, 1, IF(ERP資料!A577=INDEX(ERP資料!$A$2:$A576, MATCH(MAX(F$2:F576), F$2:F576, 0)), MAX(F$2:F576)+1, MAX(F$2:F576)+2)))</f>
        <v/>
      </c>
      <c r="G577">
        <f>IF(NOT(AND(C577=1, TRIM(ERP資料!T577)="捲筒")), 0, IF(MAX(G$2:G576)=0, 1, IF(ERP資料!A577=INDEX(ERP資料!$A$2:$A576, MATCH(MAX(G$2:G576), G$2:G576, 0)), MAX(G$2:G576)+1, MAX(G$2:G576)+2)))</f>
        <v/>
      </c>
      <c r="H577">
        <f>IF(OR(ERP資料!C577="",ERP資料!D577=""),0,ERP資料!D577-ERP資料!C577+1)</f>
        <v/>
      </c>
    </row>
    <row r="578">
      <c r="A578" t="n">
        <v>578</v>
      </c>
      <c r="B578">
        <f>IF(ERP資料!A578="","",ERP資料!A578&amp;"|"&amp;ERP資料!E578&amp;"|"&amp;ERP資料!F578&amp;"|"&amp;ERP資料!G578&amp;"|"&amp;ERP資料!H578&amp;"|"&amp;ERP資料!O578)</f>
        <v/>
      </c>
      <c r="C578">
        <f>IF(B578="",0,IF(COUNTIF(B$2:B577,B578)=0,1,0))</f>
        <v/>
      </c>
      <c r="D578">
        <f>IF(B578="",0,SUMIFS($H$2:$H$801,$B$2:$B$801,B578))</f>
        <v/>
      </c>
      <c r="E578">
        <f>IF(NOT(AND(C578=1, TRIM(ERP資料!T578)="平板")), 0, IF(MAX(E$2:E577)=0, 1, IF(ERP資料!A578=INDEX(ERP資料!$A$2:$A577, MATCH(MAX(E$2:E577), E$2:E577, 0)), MAX(E$2:E577)+1, MAX(E$2:E577)+2)))</f>
        <v/>
      </c>
      <c r="F578">
        <f>IF(NOT(AND(C578=1, TRIM(ERP資料!T578)="平板")), 0, IF(MAX(F$2:F577)=0, 1, IF(ERP資料!A578=INDEX(ERP資料!$A$2:$A577, MATCH(MAX(F$2:F577), F$2:F577, 0)), MAX(F$2:F577)+1, MAX(F$2:F577)+2)))</f>
        <v/>
      </c>
      <c r="G578">
        <f>IF(NOT(AND(C578=1, TRIM(ERP資料!T578)="捲筒")), 0, IF(MAX(G$2:G577)=0, 1, IF(ERP資料!A578=INDEX(ERP資料!$A$2:$A577, MATCH(MAX(G$2:G577), G$2:G577, 0)), MAX(G$2:G577)+1, MAX(G$2:G577)+2)))</f>
        <v/>
      </c>
      <c r="H578">
        <f>IF(OR(ERP資料!C578="",ERP資料!D578=""),0,ERP資料!D578-ERP資料!C578+1)</f>
        <v/>
      </c>
    </row>
    <row r="579">
      <c r="A579" t="n">
        <v>579</v>
      </c>
      <c r="B579">
        <f>IF(ERP資料!A579="","",ERP資料!A579&amp;"|"&amp;ERP資料!E579&amp;"|"&amp;ERP資料!F579&amp;"|"&amp;ERP資料!G579&amp;"|"&amp;ERP資料!H579&amp;"|"&amp;ERP資料!O579)</f>
        <v/>
      </c>
      <c r="C579">
        <f>IF(B579="",0,IF(COUNTIF(B$2:B578,B579)=0,1,0))</f>
        <v/>
      </c>
      <c r="D579">
        <f>IF(B579="",0,SUMIFS($H$2:$H$801,$B$2:$B$801,B579))</f>
        <v/>
      </c>
      <c r="E579">
        <f>IF(NOT(AND(C579=1, TRIM(ERP資料!T579)="平板")), 0, IF(MAX(E$2:E578)=0, 1, IF(ERP資料!A579=INDEX(ERP資料!$A$2:$A578, MATCH(MAX(E$2:E578), E$2:E578, 0)), MAX(E$2:E578)+1, MAX(E$2:E578)+2)))</f>
        <v/>
      </c>
      <c r="F579">
        <f>IF(NOT(AND(C579=1, TRIM(ERP資料!T579)="平板")), 0, IF(MAX(F$2:F578)=0, 1, IF(ERP資料!A579=INDEX(ERP資料!$A$2:$A578, MATCH(MAX(F$2:F578), F$2:F578, 0)), MAX(F$2:F578)+1, MAX(F$2:F578)+2)))</f>
        <v/>
      </c>
      <c r="G579">
        <f>IF(NOT(AND(C579=1, TRIM(ERP資料!T579)="捲筒")), 0, IF(MAX(G$2:G578)=0, 1, IF(ERP資料!A579=INDEX(ERP資料!$A$2:$A578, MATCH(MAX(G$2:G578), G$2:G578, 0)), MAX(G$2:G578)+1, MAX(G$2:G578)+2)))</f>
        <v/>
      </c>
      <c r="H579">
        <f>IF(OR(ERP資料!C579="",ERP資料!D579=""),0,ERP資料!D579-ERP資料!C579+1)</f>
        <v/>
      </c>
    </row>
    <row r="580">
      <c r="A580" t="n">
        <v>580</v>
      </c>
      <c r="B580">
        <f>IF(ERP資料!A580="","",ERP資料!A580&amp;"|"&amp;ERP資料!E580&amp;"|"&amp;ERP資料!F580&amp;"|"&amp;ERP資料!G580&amp;"|"&amp;ERP資料!H580&amp;"|"&amp;ERP資料!O580)</f>
        <v/>
      </c>
      <c r="C580">
        <f>IF(B580="",0,IF(COUNTIF(B$2:B579,B580)=0,1,0))</f>
        <v/>
      </c>
      <c r="D580">
        <f>IF(B580="",0,SUMIFS($H$2:$H$801,$B$2:$B$801,B580))</f>
        <v/>
      </c>
      <c r="E580">
        <f>IF(NOT(AND(C580=1, TRIM(ERP資料!T580)="平板")), 0, IF(MAX(E$2:E579)=0, 1, IF(ERP資料!A580=INDEX(ERP資料!$A$2:$A579, MATCH(MAX(E$2:E579), E$2:E579, 0)), MAX(E$2:E579)+1, MAX(E$2:E579)+2)))</f>
        <v/>
      </c>
      <c r="F580">
        <f>IF(NOT(AND(C580=1, TRIM(ERP資料!T580)="平板")), 0, IF(MAX(F$2:F579)=0, 1, IF(ERP資料!A580=INDEX(ERP資料!$A$2:$A579, MATCH(MAX(F$2:F579), F$2:F579, 0)), MAX(F$2:F579)+1, MAX(F$2:F579)+2)))</f>
        <v/>
      </c>
      <c r="G580">
        <f>IF(NOT(AND(C580=1, TRIM(ERP資料!T580)="捲筒")), 0, IF(MAX(G$2:G579)=0, 1, IF(ERP資料!A580=INDEX(ERP資料!$A$2:$A579, MATCH(MAX(G$2:G579), G$2:G579, 0)), MAX(G$2:G579)+1, MAX(G$2:G579)+2)))</f>
        <v/>
      </c>
      <c r="H580">
        <f>IF(OR(ERP資料!C580="",ERP資料!D580=""),0,ERP資料!D580-ERP資料!C580+1)</f>
        <v/>
      </c>
    </row>
    <row r="581">
      <c r="A581" t="n">
        <v>581</v>
      </c>
      <c r="B581">
        <f>IF(ERP資料!A581="","",ERP資料!A581&amp;"|"&amp;ERP資料!E581&amp;"|"&amp;ERP資料!F581&amp;"|"&amp;ERP資料!G581&amp;"|"&amp;ERP資料!H581&amp;"|"&amp;ERP資料!O581)</f>
        <v/>
      </c>
      <c r="C581">
        <f>IF(B581="",0,IF(COUNTIF(B$2:B580,B581)=0,1,0))</f>
        <v/>
      </c>
      <c r="D581">
        <f>IF(B581="",0,SUMIFS($H$2:$H$801,$B$2:$B$801,B581))</f>
        <v/>
      </c>
      <c r="E581">
        <f>IF(NOT(AND(C581=1, TRIM(ERP資料!T581)="平板")), 0, IF(MAX(E$2:E580)=0, 1, IF(ERP資料!A581=INDEX(ERP資料!$A$2:$A580, MATCH(MAX(E$2:E580), E$2:E580, 0)), MAX(E$2:E580)+1, MAX(E$2:E580)+2)))</f>
        <v/>
      </c>
      <c r="F581">
        <f>IF(NOT(AND(C581=1, TRIM(ERP資料!T581)="平板")), 0, IF(MAX(F$2:F580)=0, 1, IF(ERP資料!A581=INDEX(ERP資料!$A$2:$A580, MATCH(MAX(F$2:F580), F$2:F580, 0)), MAX(F$2:F580)+1, MAX(F$2:F580)+2)))</f>
        <v/>
      </c>
      <c r="G581">
        <f>IF(NOT(AND(C581=1, TRIM(ERP資料!T581)="捲筒")), 0, IF(MAX(G$2:G580)=0, 1, IF(ERP資料!A581=INDEX(ERP資料!$A$2:$A580, MATCH(MAX(G$2:G580), G$2:G580, 0)), MAX(G$2:G580)+1, MAX(G$2:G580)+2)))</f>
        <v/>
      </c>
      <c r="H581">
        <f>IF(OR(ERP資料!C581="",ERP資料!D581=""),0,ERP資料!D581-ERP資料!C581+1)</f>
        <v/>
      </c>
    </row>
    <row r="582">
      <c r="A582" t="n">
        <v>582</v>
      </c>
      <c r="B582">
        <f>IF(ERP資料!A582="","",ERP資料!A582&amp;"|"&amp;ERP資料!E582&amp;"|"&amp;ERP資料!F582&amp;"|"&amp;ERP資料!G582&amp;"|"&amp;ERP資料!H582&amp;"|"&amp;ERP資料!O582)</f>
        <v/>
      </c>
      <c r="C582">
        <f>IF(B582="",0,IF(COUNTIF(B$2:B581,B582)=0,1,0))</f>
        <v/>
      </c>
      <c r="D582">
        <f>IF(B582="",0,SUMIFS($H$2:$H$801,$B$2:$B$801,B582))</f>
        <v/>
      </c>
      <c r="E582">
        <f>IF(NOT(AND(C582=1, TRIM(ERP資料!T582)="平板")), 0, IF(MAX(E$2:E581)=0, 1, IF(ERP資料!A582=INDEX(ERP資料!$A$2:$A581, MATCH(MAX(E$2:E581), E$2:E581, 0)), MAX(E$2:E581)+1, MAX(E$2:E581)+2)))</f>
        <v/>
      </c>
      <c r="F582">
        <f>IF(NOT(AND(C582=1, TRIM(ERP資料!T582)="平板")), 0, IF(MAX(F$2:F581)=0, 1, IF(ERP資料!A582=INDEX(ERP資料!$A$2:$A581, MATCH(MAX(F$2:F581), F$2:F581, 0)), MAX(F$2:F581)+1, MAX(F$2:F581)+2)))</f>
        <v/>
      </c>
      <c r="G582">
        <f>IF(NOT(AND(C582=1, TRIM(ERP資料!T582)="捲筒")), 0, IF(MAX(G$2:G581)=0, 1, IF(ERP資料!A582=INDEX(ERP資料!$A$2:$A581, MATCH(MAX(G$2:G581), G$2:G581, 0)), MAX(G$2:G581)+1, MAX(G$2:G581)+2)))</f>
        <v/>
      </c>
      <c r="H582">
        <f>IF(OR(ERP資料!C582="",ERP資料!D582=""),0,ERP資料!D582-ERP資料!C582+1)</f>
        <v/>
      </c>
    </row>
    <row r="583">
      <c r="A583" t="n">
        <v>583</v>
      </c>
      <c r="B583">
        <f>IF(ERP資料!A583="","",ERP資料!A583&amp;"|"&amp;ERP資料!E583&amp;"|"&amp;ERP資料!F583&amp;"|"&amp;ERP資料!G583&amp;"|"&amp;ERP資料!H583&amp;"|"&amp;ERP資料!O583)</f>
        <v/>
      </c>
      <c r="C583">
        <f>IF(B583="",0,IF(COUNTIF(B$2:B582,B583)=0,1,0))</f>
        <v/>
      </c>
      <c r="D583">
        <f>IF(B583="",0,SUMIFS($H$2:$H$801,$B$2:$B$801,B583))</f>
        <v/>
      </c>
      <c r="E583">
        <f>IF(NOT(AND(C583=1, TRIM(ERP資料!T583)="平板")), 0, IF(MAX(E$2:E582)=0, 1, IF(ERP資料!A583=INDEX(ERP資料!$A$2:$A582, MATCH(MAX(E$2:E582), E$2:E582, 0)), MAX(E$2:E582)+1, MAX(E$2:E582)+2)))</f>
        <v/>
      </c>
      <c r="F583">
        <f>IF(NOT(AND(C583=1, TRIM(ERP資料!T583)="平板")), 0, IF(MAX(F$2:F582)=0, 1, IF(ERP資料!A583=INDEX(ERP資料!$A$2:$A582, MATCH(MAX(F$2:F582), F$2:F582, 0)), MAX(F$2:F582)+1, MAX(F$2:F582)+2)))</f>
        <v/>
      </c>
      <c r="G583">
        <f>IF(NOT(AND(C583=1, TRIM(ERP資料!T583)="捲筒")), 0, IF(MAX(G$2:G582)=0, 1, IF(ERP資料!A583=INDEX(ERP資料!$A$2:$A582, MATCH(MAX(G$2:G582), G$2:G582, 0)), MAX(G$2:G582)+1, MAX(G$2:G582)+2)))</f>
        <v/>
      </c>
      <c r="H583">
        <f>IF(OR(ERP資料!C583="",ERP資料!D583=""),0,ERP資料!D583-ERP資料!C583+1)</f>
        <v/>
      </c>
    </row>
    <row r="584">
      <c r="A584" t="n">
        <v>584</v>
      </c>
      <c r="B584">
        <f>IF(ERP資料!A584="","",ERP資料!A584&amp;"|"&amp;ERP資料!E584&amp;"|"&amp;ERP資料!F584&amp;"|"&amp;ERP資料!G584&amp;"|"&amp;ERP資料!H584&amp;"|"&amp;ERP資料!O584)</f>
        <v/>
      </c>
      <c r="C584">
        <f>IF(B584="",0,IF(COUNTIF(B$2:B583,B584)=0,1,0))</f>
        <v/>
      </c>
      <c r="D584">
        <f>IF(B584="",0,SUMIFS($H$2:$H$801,$B$2:$B$801,B584))</f>
        <v/>
      </c>
      <c r="E584">
        <f>IF(NOT(AND(C584=1, TRIM(ERP資料!T584)="平板")), 0, IF(MAX(E$2:E583)=0, 1, IF(ERP資料!A584=INDEX(ERP資料!$A$2:$A583, MATCH(MAX(E$2:E583), E$2:E583, 0)), MAX(E$2:E583)+1, MAX(E$2:E583)+2)))</f>
        <v/>
      </c>
      <c r="F584">
        <f>IF(NOT(AND(C584=1, TRIM(ERP資料!T584)="平板")), 0, IF(MAX(F$2:F583)=0, 1, IF(ERP資料!A584=INDEX(ERP資料!$A$2:$A583, MATCH(MAX(F$2:F583), F$2:F583, 0)), MAX(F$2:F583)+1, MAX(F$2:F583)+2)))</f>
        <v/>
      </c>
      <c r="G584">
        <f>IF(NOT(AND(C584=1, TRIM(ERP資料!T584)="捲筒")), 0, IF(MAX(G$2:G583)=0, 1, IF(ERP資料!A584=INDEX(ERP資料!$A$2:$A583, MATCH(MAX(G$2:G583), G$2:G583, 0)), MAX(G$2:G583)+1, MAX(G$2:G583)+2)))</f>
        <v/>
      </c>
      <c r="H584">
        <f>IF(OR(ERP資料!C584="",ERP資料!D584=""),0,ERP資料!D584-ERP資料!C584+1)</f>
        <v/>
      </c>
    </row>
    <row r="585">
      <c r="A585" t="n">
        <v>585</v>
      </c>
      <c r="B585">
        <f>IF(ERP資料!A585="","",ERP資料!A585&amp;"|"&amp;ERP資料!E585&amp;"|"&amp;ERP資料!F585&amp;"|"&amp;ERP資料!G585&amp;"|"&amp;ERP資料!H585&amp;"|"&amp;ERP資料!O585)</f>
        <v/>
      </c>
      <c r="C585">
        <f>IF(B585="",0,IF(COUNTIF(B$2:B584,B585)=0,1,0))</f>
        <v/>
      </c>
      <c r="D585">
        <f>IF(B585="",0,SUMIFS($H$2:$H$801,$B$2:$B$801,B585))</f>
        <v/>
      </c>
      <c r="E585">
        <f>IF(NOT(AND(C585=1, TRIM(ERP資料!T585)="平板")), 0, IF(MAX(E$2:E584)=0, 1, IF(ERP資料!A585=INDEX(ERP資料!$A$2:$A584, MATCH(MAX(E$2:E584), E$2:E584, 0)), MAX(E$2:E584)+1, MAX(E$2:E584)+2)))</f>
        <v/>
      </c>
      <c r="F585">
        <f>IF(NOT(AND(C585=1, TRIM(ERP資料!T585)="平板")), 0, IF(MAX(F$2:F584)=0, 1, IF(ERP資料!A585=INDEX(ERP資料!$A$2:$A584, MATCH(MAX(F$2:F584), F$2:F584, 0)), MAX(F$2:F584)+1, MAX(F$2:F584)+2)))</f>
        <v/>
      </c>
      <c r="G585">
        <f>IF(NOT(AND(C585=1, TRIM(ERP資料!T585)="捲筒")), 0, IF(MAX(G$2:G584)=0, 1, IF(ERP資料!A585=INDEX(ERP資料!$A$2:$A584, MATCH(MAX(G$2:G584), G$2:G584, 0)), MAX(G$2:G584)+1, MAX(G$2:G584)+2)))</f>
        <v/>
      </c>
      <c r="H585">
        <f>IF(OR(ERP資料!C585="",ERP資料!D585=""),0,ERP資料!D585-ERP資料!C585+1)</f>
        <v/>
      </c>
    </row>
    <row r="586">
      <c r="A586" t="n">
        <v>586</v>
      </c>
      <c r="B586">
        <f>IF(ERP資料!A586="","",ERP資料!A586&amp;"|"&amp;ERP資料!E586&amp;"|"&amp;ERP資料!F586&amp;"|"&amp;ERP資料!G586&amp;"|"&amp;ERP資料!H586&amp;"|"&amp;ERP資料!O586)</f>
        <v/>
      </c>
      <c r="C586">
        <f>IF(B586="",0,IF(COUNTIF(B$2:B585,B586)=0,1,0))</f>
        <v/>
      </c>
      <c r="D586">
        <f>IF(B586="",0,SUMIFS($H$2:$H$801,$B$2:$B$801,B586))</f>
        <v/>
      </c>
      <c r="E586">
        <f>IF(NOT(AND(C586=1, TRIM(ERP資料!T586)="平板")), 0, IF(MAX(E$2:E585)=0, 1, IF(ERP資料!A586=INDEX(ERP資料!$A$2:$A585, MATCH(MAX(E$2:E585), E$2:E585, 0)), MAX(E$2:E585)+1, MAX(E$2:E585)+2)))</f>
        <v/>
      </c>
      <c r="F586">
        <f>IF(NOT(AND(C586=1, TRIM(ERP資料!T586)="平板")), 0, IF(MAX(F$2:F585)=0, 1, IF(ERP資料!A586=INDEX(ERP資料!$A$2:$A585, MATCH(MAX(F$2:F585), F$2:F585, 0)), MAX(F$2:F585)+1, MAX(F$2:F585)+2)))</f>
        <v/>
      </c>
      <c r="G586">
        <f>IF(NOT(AND(C586=1, TRIM(ERP資料!T586)="捲筒")), 0, IF(MAX(G$2:G585)=0, 1, IF(ERP資料!A586=INDEX(ERP資料!$A$2:$A585, MATCH(MAX(G$2:G585), G$2:G585, 0)), MAX(G$2:G585)+1, MAX(G$2:G585)+2)))</f>
        <v/>
      </c>
      <c r="H586">
        <f>IF(OR(ERP資料!C586="",ERP資料!D586=""),0,ERP資料!D586-ERP資料!C586+1)</f>
        <v/>
      </c>
    </row>
    <row r="587">
      <c r="A587" t="n">
        <v>587</v>
      </c>
      <c r="B587">
        <f>IF(ERP資料!A587="","",ERP資料!A587&amp;"|"&amp;ERP資料!E587&amp;"|"&amp;ERP資料!F587&amp;"|"&amp;ERP資料!G587&amp;"|"&amp;ERP資料!H587&amp;"|"&amp;ERP資料!O587)</f>
        <v/>
      </c>
      <c r="C587">
        <f>IF(B587="",0,IF(COUNTIF(B$2:B586,B587)=0,1,0))</f>
        <v/>
      </c>
      <c r="D587">
        <f>IF(B587="",0,SUMIFS($H$2:$H$801,$B$2:$B$801,B587))</f>
        <v/>
      </c>
      <c r="E587">
        <f>IF(NOT(AND(C587=1, TRIM(ERP資料!T587)="平板")), 0, IF(MAX(E$2:E586)=0, 1, IF(ERP資料!A587=INDEX(ERP資料!$A$2:$A586, MATCH(MAX(E$2:E586), E$2:E586, 0)), MAX(E$2:E586)+1, MAX(E$2:E586)+2)))</f>
        <v/>
      </c>
      <c r="F587">
        <f>IF(NOT(AND(C587=1, TRIM(ERP資料!T587)="平板")), 0, IF(MAX(F$2:F586)=0, 1, IF(ERP資料!A587=INDEX(ERP資料!$A$2:$A586, MATCH(MAX(F$2:F586), F$2:F586, 0)), MAX(F$2:F586)+1, MAX(F$2:F586)+2)))</f>
        <v/>
      </c>
      <c r="G587">
        <f>IF(NOT(AND(C587=1, TRIM(ERP資料!T587)="捲筒")), 0, IF(MAX(G$2:G586)=0, 1, IF(ERP資料!A587=INDEX(ERP資料!$A$2:$A586, MATCH(MAX(G$2:G586), G$2:G586, 0)), MAX(G$2:G586)+1, MAX(G$2:G586)+2)))</f>
        <v/>
      </c>
      <c r="H587">
        <f>IF(OR(ERP資料!C587="",ERP資料!D587=""),0,ERP資料!D587-ERP資料!C587+1)</f>
        <v/>
      </c>
    </row>
    <row r="588">
      <c r="A588" t="n">
        <v>588</v>
      </c>
      <c r="B588">
        <f>IF(ERP資料!A588="","",ERP資料!A588&amp;"|"&amp;ERP資料!E588&amp;"|"&amp;ERP資料!F588&amp;"|"&amp;ERP資料!G588&amp;"|"&amp;ERP資料!H588&amp;"|"&amp;ERP資料!O588)</f>
        <v/>
      </c>
      <c r="C588">
        <f>IF(B588="",0,IF(COUNTIF(B$2:B587,B588)=0,1,0))</f>
        <v/>
      </c>
      <c r="D588">
        <f>IF(B588="",0,SUMIFS($H$2:$H$801,$B$2:$B$801,B588))</f>
        <v/>
      </c>
      <c r="E588">
        <f>IF(NOT(AND(C588=1, TRIM(ERP資料!T588)="平板")), 0, IF(MAX(E$2:E587)=0, 1, IF(ERP資料!A588=INDEX(ERP資料!$A$2:$A587, MATCH(MAX(E$2:E587), E$2:E587, 0)), MAX(E$2:E587)+1, MAX(E$2:E587)+2)))</f>
        <v/>
      </c>
      <c r="F588">
        <f>IF(NOT(AND(C588=1, TRIM(ERP資料!T588)="平板")), 0, IF(MAX(F$2:F587)=0, 1, IF(ERP資料!A588=INDEX(ERP資料!$A$2:$A587, MATCH(MAX(F$2:F587), F$2:F587, 0)), MAX(F$2:F587)+1, MAX(F$2:F587)+2)))</f>
        <v/>
      </c>
      <c r="G588">
        <f>IF(NOT(AND(C588=1, TRIM(ERP資料!T588)="捲筒")), 0, IF(MAX(G$2:G587)=0, 1, IF(ERP資料!A588=INDEX(ERP資料!$A$2:$A587, MATCH(MAX(G$2:G587), G$2:G587, 0)), MAX(G$2:G587)+1, MAX(G$2:G587)+2)))</f>
        <v/>
      </c>
      <c r="H588">
        <f>IF(OR(ERP資料!C588="",ERP資料!D588=""),0,ERP資料!D588-ERP資料!C588+1)</f>
        <v/>
      </c>
    </row>
    <row r="589">
      <c r="A589" t="n">
        <v>589</v>
      </c>
      <c r="B589">
        <f>IF(ERP資料!A589="","",ERP資料!A589&amp;"|"&amp;ERP資料!E589&amp;"|"&amp;ERP資料!F589&amp;"|"&amp;ERP資料!G589&amp;"|"&amp;ERP資料!H589&amp;"|"&amp;ERP資料!O589)</f>
        <v/>
      </c>
      <c r="C589">
        <f>IF(B589="",0,IF(COUNTIF(B$2:B588,B589)=0,1,0))</f>
        <v/>
      </c>
      <c r="D589">
        <f>IF(B589="",0,SUMIFS($H$2:$H$801,$B$2:$B$801,B589))</f>
        <v/>
      </c>
      <c r="E589">
        <f>IF(NOT(AND(C589=1, TRIM(ERP資料!T589)="平板")), 0, IF(MAX(E$2:E588)=0, 1, IF(ERP資料!A589=INDEX(ERP資料!$A$2:$A588, MATCH(MAX(E$2:E588), E$2:E588, 0)), MAX(E$2:E588)+1, MAX(E$2:E588)+2)))</f>
        <v/>
      </c>
      <c r="F589">
        <f>IF(NOT(AND(C589=1, TRIM(ERP資料!T589)="平板")), 0, IF(MAX(F$2:F588)=0, 1, IF(ERP資料!A589=INDEX(ERP資料!$A$2:$A588, MATCH(MAX(F$2:F588), F$2:F588, 0)), MAX(F$2:F588)+1, MAX(F$2:F588)+2)))</f>
        <v/>
      </c>
      <c r="G589">
        <f>IF(NOT(AND(C589=1, TRIM(ERP資料!T589)="捲筒")), 0, IF(MAX(G$2:G588)=0, 1, IF(ERP資料!A589=INDEX(ERP資料!$A$2:$A588, MATCH(MAX(G$2:G588), G$2:G588, 0)), MAX(G$2:G588)+1, MAX(G$2:G588)+2)))</f>
        <v/>
      </c>
      <c r="H589">
        <f>IF(OR(ERP資料!C589="",ERP資料!D589=""),0,ERP資料!D589-ERP資料!C589+1)</f>
        <v/>
      </c>
    </row>
    <row r="590">
      <c r="A590" t="n">
        <v>590</v>
      </c>
      <c r="B590">
        <f>IF(ERP資料!A590="","",ERP資料!A590&amp;"|"&amp;ERP資料!E590&amp;"|"&amp;ERP資料!F590&amp;"|"&amp;ERP資料!G590&amp;"|"&amp;ERP資料!H590&amp;"|"&amp;ERP資料!O590)</f>
        <v/>
      </c>
      <c r="C590">
        <f>IF(B590="",0,IF(COUNTIF(B$2:B589,B590)=0,1,0))</f>
        <v/>
      </c>
      <c r="D590">
        <f>IF(B590="",0,SUMIFS($H$2:$H$801,$B$2:$B$801,B590))</f>
        <v/>
      </c>
      <c r="E590">
        <f>IF(NOT(AND(C590=1, TRIM(ERP資料!T590)="平板")), 0, IF(MAX(E$2:E589)=0, 1, IF(ERP資料!A590=INDEX(ERP資料!$A$2:$A589, MATCH(MAX(E$2:E589), E$2:E589, 0)), MAX(E$2:E589)+1, MAX(E$2:E589)+2)))</f>
        <v/>
      </c>
      <c r="F590">
        <f>IF(NOT(AND(C590=1, TRIM(ERP資料!T590)="平板")), 0, IF(MAX(F$2:F589)=0, 1, IF(ERP資料!A590=INDEX(ERP資料!$A$2:$A589, MATCH(MAX(F$2:F589), F$2:F589, 0)), MAX(F$2:F589)+1, MAX(F$2:F589)+2)))</f>
        <v/>
      </c>
      <c r="G590">
        <f>IF(NOT(AND(C590=1, TRIM(ERP資料!T590)="捲筒")), 0, IF(MAX(G$2:G589)=0, 1, IF(ERP資料!A590=INDEX(ERP資料!$A$2:$A589, MATCH(MAX(G$2:G589), G$2:G589, 0)), MAX(G$2:G589)+1, MAX(G$2:G589)+2)))</f>
        <v/>
      </c>
      <c r="H590">
        <f>IF(OR(ERP資料!C590="",ERP資料!D590=""),0,ERP資料!D590-ERP資料!C590+1)</f>
        <v/>
      </c>
    </row>
    <row r="591">
      <c r="A591" t="n">
        <v>591</v>
      </c>
      <c r="B591">
        <f>IF(ERP資料!A591="","",ERP資料!A591&amp;"|"&amp;ERP資料!E591&amp;"|"&amp;ERP資料!F591&amp;"|"&amp;ERP資料!G591&amp;"|"&amp;ERP資料!H591&amp;"|"&amp;ERP資料!O591)</f>
        <v/>
      </c>
      <c r="C591">
        <f>IF(B591="",0,IF(COUNTIF(B$2:B590,B591)=0,1,0))</f>
        <v/>
      </c>
      <c r="D591">
        <f>IF(B591="",0,SUMIFS($H$2:$H$801,$B$2:$B$801,B591))</f>
        <v/>
      </c>
      <c r="E591">
        <f>IF(NOT(AND(C591=1, TRIM(ERP資料!T591)="平板")), 0, IF(MAX(E$2:E590)=0, 1, IF(ERP資料!A591=INDEX(ERP資料!$A$2:$A590, MATCH(MAX(E$2:E590), E$2:E590, 0)), MAX(E$2:E590)+1, MAX(E$2:E590)+2)))</f>
        <v/>
      </c>
      <c r="F591">
        <f>IF(NOT(AND(C591=1, TRIM(ERP資料!T591)="平板")), 0, IF(MAX(F$2:F590)=0, 1, IF(ERP資料!A591=INDEX(ERP資料!$A$2:$A590, MATCH(MAX(F$2:F590), F$2:F590, 0)), MAX(F$2:F590)+1, MAX(F$2:F590)+2)))</f>
        <v/>
      </c>
      <c r="G591">
        <f>IF(NOT(AND(C591=1, TRIM(ERP資料!T591)="捲筒")), 0, IF(MAX(G$2:G590)=0, 1, IF(ERP資料!A591=INDEX(ERP資料!$A$2:$A590, MATCH(MAX(G$2:G590), G$2:G590, 0)), MAX(G$2:G590)+1, MAX(G$2:G590)+2)))</f>
        <v/>
      </c>
      <c r="H591">
        <f>IF(OR(ERP資料!C591="",ERP資料!D591=""),0,ERP資料!D591-ERP資料!C591+1)</f>
        <v/>
      </c>
    </row>
    <row r="592">
      <c r="A592" t="n">
        <v>592</v>
      </c>
      <c r="B592">
        <f>IF(ERP資料!A592="","",ERP資料!A592&amp;"|"&amp;ERP資料!E592&amp;"|"&amp;ERP資料!F592&amp;"|"&amp;ERP資料!G592&amp;"|"&amp;ERP資料!H592&amp;"|"&amp;ERP資料!O592)</f>
        <v/>
      </c>
      <c r="C592">
        <f>IF(B592="",0,IF(COUNTIF(B$2:B591,B592)=0,1,0))</f>
        <v/>
      </c>
      <c r="D592">
        <f>IF(B592="",0,SUMIFS($H$2:$H$801,$B$2:$B$801,B592))</f>
        <v/>
      </c>
      <c r="E592">
        <f>IF(NOT(AND(C592=1, TRIM(ERP資料!T592)="平板")), 0, IF(MAX(E$2:E591)=0, 1, IF(ERP資料!A592=INDEX(ERP資料!$A$2:$A591, MATCH(MAX(E$2:E591), E$2:E591, 0)), MAX(E$2:E591)+1, MAX(E$2:E591)+2)))</f>
        <v/>
      </c>
      <c r="F592">
        <f>IF(NOT(AND(C592=1, TRIM(ERP資料!T592)="平板")), 0, IF(MAX(F$2:F591)=0, 1, IF(ERP資料!A592=INDEX(ERP資料!$A$2:$A591, MATCH(MAX(F$2:F591), F$2:F591, 0)), MAX(F$2:F591)+1, MAX(F$2:F591)+2)))</f>
        <v/>
      </c>
      <c r="G592">
        <f>IF(NOT(AND(C592=1, TRIM(ERP資料!T592)="捲筒")), 0, IF(MAX(G$2:G591)=0, 1, IF(ERP資料!A592=INDEX(ERP資料!$A$2:$A591, MATCH(MAX(G$2:G591), G$2:G591, 0)), MAX(G$2:G591)+1, MAX(G$2:G591)+2)))</f>
        <v/>
      </c>
      <c r="H592">
        <f>IF(OR(ERP資料!C592="",ERP資料!D592=""),0,ERP資料!D592-ERP資料!C592+1)</f>
        <v/>
      </c>
    </row>
    <row r="593">
      <c r="A593" t="n">
        <v>593</v>
      </c>
      <c r="B593">
        <f>IF(ERP資料!A593="","",ERP資料!A593&amp;"|"&amp;ERP資料!E593&amp;"|"&amp;ERP資料!F593&amp;"|"&amp;ERP資料!G593&amp;"|"&amp;ERP資料!H593&amp;"|"&amp;ERP資料!O593)</f>
        <v/>
      </c>
      <c r="C593">
        <f>IF(B593="",0,IF(COUNTIF(B$2:B592,B593)=0,1,0))</f>
        <v/>
      </c>
      <c r="D593">
        <f>IF(B593="",0,SUMIFS($H$2:$H$801,$B$2:$B$801,B593))</f>
        <v/>
      </c>
      <c r="E593">
        <f>IF(NOT(AND(C593=1, TRIM(ERP資料!T593)="平板")), 0, IF(MAX(E$2:E592)=0, 1, IF(ERP資料!A593=INDEX(ERP資料!$A$2:$A592, MATCH(MAX(E$2:E592), E$2:E592, 0)), MAX(E$2:E592)+1, MAX(E$2:E592)+2)))</f>
        <v/>
      </c>
      <c r="F593">
        <f>IF(NOT(AND(C593=1, TRIM(ERP資料!T593)="平板")), 0, IF(MAX(F$2:F592)=0, 1, IF(ERP資料!A593=INDEX(ERP資料!$A$2:$A592, MATCH(MAX(F$2:F592), F$2:F592, 0)), MAX(F$2:F592)+1, MAX(F$2:F592)+2)))</f>
        <v/>
      </c>
      <c r="G593">
        <f>IF(NOT(AND(C593=1, TRIM(ERP資料!T593)="捲筒")), 0, IF(MAX(G$2:G592)=0, 1, IF(ERP資料!A593=INDEX(ERP資料!$A$2:$A592, MATCH(MAX(G$2:G592), G$2:G592, 0)), MAX(G$2:G592)+1, MAX(G$2:G592)+2)))</f>
        <v/>
      </c>
      <c r="H593">
        <f>IF(OR(ERP資料!C593="",ERP資料!D593=""),0,ERP資料!D593-ERP資料!C593+1)</f>
        <v/>
      </c>
    </row>
    <row r="594">
      <c r="A594" t="n">
        <v>594</v>
      </c>
      <c r="B594">
        <f>IF(ERP資料!A594="","",ERP資料!A594&amp;"|"&amp;ERP資料!E594&amp;"|"&amp;ERP資料!F594&amp;"|"&amp;ERP資料!G594&amp;"|"&amp;ERP資料!H594&amp;"|"&amp;ERP資料!O594)</f>
        <v/>
      </c>
      <c r="C594">
        <f>IF(B594="",0,IF(COUNTIF(B$2:B593,B594)=0,1,0))</f>
        <v/>
      </c>
      <c r="D594">
        <f>IF(B594="",0,SUMIFS($H$2:$H$801,$B$2:$B$801,B594))</f>
        <v/>
      </c>
      <c r="E594">
        <f>IF(NOT(AND(C594=1, TRIM(ERP資料!T594)="平板")), 0, IF(MAX(E$2:E593)=0, 1, IF(ERP資料!A594=INDEX(ERP資料!$A$2:$A593, MATCH(MAX(E$2:E593), E$2:E593, 0)), MAX(E$2:E593)+1, MAX(E$2:E593)+2)))</f>
        <v/>
      </c>
      <c r="F594">
        <f>IF(NOT(AND(C594=1, TRIM(ERP資料!T594)="平板")), 0, IF(MAX(F$2:F593)=0, 1, IF(ERP資料!A594=INDEX(ERP資料!$A$2:$A593, MATCH(MAX(F$2:F593), F$2:F593, 0)), MAX(F$2:F593)+1, MAX(F$2:F593)+2)))</f>
        <v/>
      </c>
      <c r="G594">
        <f>IF(NOT(AND(C594=1, TRIM(ERP資料!T594)="捲筒")), 0, IF(MAX(G$2:G593)=0, 1, IF(ERP資料!A594=INDEX(ERP資料!$A$2:$A593, MATCH(MAX(G$2:G593), G$2:G593, 0)), MAX(G$2:G593)+1, MAX(G$2:G593)+2)))</f>
        <v/>
      </c>
      <c r="H594">
        <f>IF(OR(ERP資料!C594="",ERP資料!D594=""),0,ERP資料!D594-ERP資料!C594+1)</f>
        <v/>
      </c>
    </row>
    <row r="595">
      <c r="A595" t="n">
        <v>595</v>
      </c>
      <c r="B595">
        <f>IF(ERP資料!A595="","",ERP資料!A595&amp;"|"&amp;ERP資料!E595&amp;"|"&amp;ERP資料!F595&amp;"|"&amp;ERP資料!G595&amp;"|"&amp;ERP資料!H595&amp;"|"&amp;ERP資料!O595)</f>
        <v/>
      </c>
      <c r="C595">
        <f>IF(B595="",0,IF(COUNTIF(B$2:B594,B595)=0,1,0))</f>
        <v/>
      </c>
      <c r="D595">
        <f>IF(B595="",0,SUMIFS($H$2:$H$801,$B$2:$B$801,B595))</f>
        <v/>
      </c>
      <c r="E595">
        <f>IF(NOT(AND(C595=1, TRIM(ERP資料!T595)="平板")), 0, IF(MAX(E$2:E594)=0, 1, IF(ERP資料!A595=INDEX(ERP資料!$A$2:$A594, MATCH(MAX(E$2:E594), E$2:E594, 0)), MAX(E$2:E594)+1, MAX(E$2:E594)+2)))</f>
        <v/>
      </c>
      <c r="F595">
        <f>IF(NOT(AND(C595=1, TRIM(ERP資料!T595)="平板")), 0, IF(MAX(F$2:F594)=0, 1, IF(ERP資料!A595=INDEX(ERP資料!$A$2:$A594, MATCH(MAX(F$2:F594), F$2:F594, 0)), MAX(F$2:F594)+1, MAX(F$2:F594)+2)))</f>
        <v/>
      </c>
      <c r="G595">
        <f>IF(NOT(AND(C595=1, TRIM(ERP資料!T595)="捲筒")), 0, IF(MAX(G$2:G594)=0, 1, IF(ERP資料!A595=INDEX(ERP資料!$A$2:$A594, MATCH(MAX(G$2:G594), G$2:G594, 0)), MAX(G$2:G594)+1, MAX(G$2:G594)+2)))</f>
        <v/>
      </c>
      <c r="H595">
        <f>IF(OR(ERP資料!C595="",ERP資料!D595=""),0,ERP資料!D595-ERP資料!C595+1)</f>
        <v/>
      </c>
    </row>
    <row r="596">
      <c r="A596" t="n">
        <v>596</v>
      </c>
      <c r="B596">
        <f>IF(ERP資料!A596="","",ERP資料!A596&amp;"|"&amp;ERP資料!E596&amp;"|"&amp;ERP資料!F596&amp;"|"&amp;ERP資料!G596&amp;"|"&amp;ERP資料!H596&amp;"|"&amp;ERP資料!O596)</f>
        <v/>
      </c>
      <c r="C596">
        <f>IF(B596="",0,IF(COUNTIF(B$2:B595,B596)=0,1,0))</f>
        <v/>
      </c>
      <c r="D596">
        <f>IF(B596="",0,SUMIFS($H$2:$H$801,$B$2:$B$801,B596))</f>
        <v/>
      </c>
      <c r="E596">
        <f>IF(NOT(AND(C596=1, TRIM(ERP資料!T596)="平板")), 0, IF(MAX(E$2:E595)=0, 1, IF(ERP資料!A596=INDEX(ERP資料!$A$2:$A595, MATCH(MAX(E$2:E595), E$2:E595, 0)), MAX(E$2:E595)+1, MAX(E$2:E595)+2)))</f>
        <v/>
      </c>
      <c r="F596">
        <f>IF(NOT(AND(C596=1, TRIM(ERP資料!T596)="平板")), 0, IF(MAX(F$2:F595)=0, 1, IF(ERP資料!A596=INDEX(ERP資料!$A$2:$A595, MATCH(MAX(F$2:F595), F$2:F595, 0)), MAX(F$2:F595)+1, MAX(F$2:F595)+2)))</f>
        <v/>
      </c>
      <c r="G596">
        <f>IF(NOT(AND(C596=1, TRIM(ERP資料!T596)="捲筒")), 0, IF(MAX(G$2:G595)=0, 1, IF(ERP資料!A596=INDEX(ERP資料!$A$2:$A595, MATCH(MAX(G$2:G595), G$2:G595, 0)), MAX(G$2:G595)+1, MAX(G$2:G595)+2)))</f>
        <v/>
      </c>
      <c r="H596">
        <f>IF(OR(ERP資料!C596="",ERP資料!D596=""),0,ERP資料!D596-ERP資料!C596+1)</f>
        <v/>
      </c>
    </row>
    <row r="597">
      <c r="A597" t="n">
        <v>597</v>
      </c>
      <c r="B597">
        <f>IF(ERP資料!A597="","",ERP資料!A597&amp;"|"&amp;ERP資料!E597&amp;"|"&amp;ERP資料!F597&amp;"|"&amp;ERP資料!G597&amp;"|"&amp;ERP資料!H597&amp;"|"&amp;ERP資料!O597)</f>
        <v/>
      </c>
      <c r="C597">
        <f>IF(B597="",0,IF(COUNTIF(B$2:B596,B597)=0,1,0))</f>
        <v/>
      </c>
      <c r="D597">
        <f>IF(B597="",0,SUMIFS($H$2:$H$801,$B$2:$B$801,B597))</f>
        <v/>
      </c>
      <c r="E597">
        <f>IF(NOT(AND(C597=1, TRIM(ERP資料!T597)="平板")), 0, IF(MAX(E$2:E596)=0, 1, IF(ERP資料!A597=INDEX(ERP資料!$A$2:$A596, MATCH(MAX(E$2:E596), E$2:E596, 0)), MAX(E$2:E596)+1, MAX(E$2:E596)+2)))</f>
        <v/>
      </c>
      <c r="F597">
        <f>IF(NOT(AND(C597=1, TRIM(ERP資料!T597)="平板")), 0, IF(MAX(F$2:F596)=0, 1, IF(ERP資料!A597=INDEX(ERP資料!$A$2:$A596, MATCH(MAX(F$2:F596), F$2:F596, 0)), MAX(F$2:F596)+1, MAX(F$2:F596)+2)))</f>
        <v/>
      </c>
      <c r="G597">
        <f>IF(NOT(AND(C597=1, TRIM(ERP資料!T597)="捲筒")), 0, IF(MAX(G$2:G596)=0, 1, IF(ERP資料!A597=INDEX(ERP資料!$A$2:$A596, MATCH(MAX(G$2:G596), G$2:G596, 0)), MAX(G$2:G596)+1, MAX(G$2:G596)+2)))</f>
        <v/>
      </c>
      <c r="H597">
        <f>IF(OR(ERP資料!C597="",ERP資料!D597=""),0,ERP資料!D597-ERP資料!C597+1)</f>
        <v/>
      </c>
    </row>
    <row r="598">
      <c r="A598" t="n">
        <v>598</v>
      </c>
      <c r="B598">
        <f>IF(ERP資料!A598="","",ERP資料!A598&amp;"|"&amp;ERP資料!E598&amp;"|"&amp;ERP資料!F598&amp;"|"&amp;ERP資料!G598&amp;"|"&amp;ERP資料!H598&amp;"|"&amp;ERP資料!O598)</f>
        <v/>
      </c>
      <c r="C598">
        <f>IF(B598="",0,IF(COUNTIF(B$2:B597,B598)=0,1,0))</f>
        <v/>
      </c>
      <c r="D598">
        <f>IF(B598="",0,SUMIFS($H$2:$H$801,$B$2:$B$801,B598))</f>
        <v/>
      </c>
      <c r="E598">
        <f>IF(NOT(AND(C598=1, TRIM(ERP資料!T598)="平板")), 0, IF(MAX(E$2:E597)=0, 1, IF(ERP資料!A598=INDEX(ERP資料!$A$2:$A597, MATCH(MAX(E$2:E597), E$2:E597, 0)), MAX(E$2:E597)+1, MAX(E$2:E597)+2)))</f>
        <v/>
      </c>
      <c r="F598">
        <f>IF(NOT(AND(C598=1, TRIM(ERP資料!T598)="平板")), 0, IF(MAX(F$2:F597)=0, 1, IF(ERP資料!A598=INDEX(ERP資料!$A$2:$A597, MATCH(MAX(F$2:F597), F$2:F597, 0)), MAX(F$2:F597)+1, MAX(F$2:F597)+2)))</f>
        <v/>
      </c>
      <c r="G598">
        <f>IF(NOT(AND(C598=1, TRIM(ERP資料!T598)="捲筒")), 0, IF(MAX(G$2:G597)=0, 1, IF(ERP資料!A598=INDEX(ERP資料!$A$2:$A597, MATCH(MAX(G$2:G597), G$2:G597, 0)), MAX(G$2:G597)+1, MAX(G$2:G597)+2)))</f>
        <v/>
      </c>
      <c r="H598">
        <f>IF(OR(ERP資料!C598="",ERP資料!D598=""),0,ERP資料!D598-ERP資料!C598+1)</f>
        <v/>
      </c>
    </row>
    <row r="599">
      <c r="A599" t="n">
        <v>599</v>
      </c>
      <c r="B599">
        <f>IF(ERP資料!A599="","",ERP資料!A599&amp;"|"&amp;ERP資料!E599&amp;"|"&amp;ERP資料!F599&amp;"|"&amp;ERP資料!G599&amp;"|"&amp;ERP資料!H599&amp;"|"&amp;ERP資料!O599)</f>
        <v/>
      </c>
      <c r="C599">
        <f>IF(B599="",0,IF(COUNTIF(B$2:B598,B599)=0,1,0))</f>
        <v/>
      </c>
      <c r="D599">
        <f>IF(B599="",0,SUMIFS($H$2:$H$801,$B$2:$B$801,B599))</f>
        <v/>
      </c>
      <c r="E599">
        <f>IF(NOT(AND(C599=1, TRIM(ERP資料!T599)="平板")), 0, IF(MAX(E$2:E598)=0, 1, IF(ERP資料!A599=INDEX(ERP資料!$A$2:$A598, MATCH(MAX(E$2:E598), E$2:E598, 0)), MAX(E$2:E598)+1, MAX(E$2:E598)+2)))</f>
        <v/>
      </c>
      <c r="F599">
        <f>IF(NOT(AND(C599=1, TRIM(ERP資料!T599)="平板")), 0, IF(MAX(F$2:F598)=0, 1, IF(ERP資料!A599=INDEX(ERP資料!$A$2:$A598, MATCH(MAX(F$2:F598), F$2:F598, 0)), MAX(F$2:F598)+1, MAX(F$2:F598)+2)))</f>
        <v/>
      </c>
      <c r="G599">
        <f>IF(NOT(AND(C599=1, TRIM(ERP資料!T599)="捲筒")), 0, IF(MAX(G$2:G598)=0, 1, IF(ERP資料!A599=INDEX(ERP資料!$A$2:$A598, MATCH(MAX(G$2:G598), G$2:G598, 0)), MAX(G$2:G598)+1, MAX(G$2:G598)+2)))</f>
        <v/>
      </c>
      <c r="H599">
        <f>IF(OR(ERP資料!C599="",ERP資料!D599=""),0,ERP資料!D599-ERP資料!C599+1)</f>
        <v/>
      </c>
    </row>
    <row r="600">
      <c r="A600" t="n">
        <v>600</v>
      </c>
      <c r="B600">
        <f>IF(ERP資料!A600="","",ERP資料!A600&amp;"|"&amp;ERP資料!E600&amp;"|"&amp;ERP資料!F600&amp;"|"&amp;ERP資料!G600&amp;"|"&amp;ERP資料!H600&amp;"|"&amp;ERP資料!O600)</f>
        <v/>
      </c>
      <c r="C600">
        <f>IF(B600="",0,IF(COUNTIF(B$2:B599,B600)=0,1,0))</f>
        <v/>
      </c>
      <c r="D600">
        <f>IF(B600="",0,SUMIFS($H$2:$H$801,$B$2:$B$801,B600))</f>
        <v/>
      </c>
      <c r="E600">
        <f>IF(NOT(AND(C600=1, TRIM(ERP資料!T600)="平板")), 0, IF(MAX(E$2:E599)=0, 1, IF(ERP資料!A600=INDEX(ERP資料!$A$2:$A599, MATCH(MAX(E$2:E599), E$2:E599, 0)), MAX(E$2:E599)+1, MAX(E$2:E599)+2)))</f>
        <v/>
      </c>
      <c r="F600">
        <f>IF(NOT(AND(C600=1, TRIM(ERP資料!T600)="平板")), 0, IF(MAX(F$2:F599)=0, 1, IF(ERP資料!A600=INDEX(ERP資料!$A$2:$A599, MATCH(MAX(F$2:F599), F$2:F599, 0)), MAX(F$2:F599)+1, MAX(F$2:F599)+2)))</f>
        <v/>
      </c>
      <c r="G600">
        <f>IF(NOT(AND(C600=1, TRIM(ERP資料!T600)="捲筒")), 0, IF(MAX(G$2:G599)=0, 1, IF(ERP資料!A600=INDEX(ERP資料!$A$2:$A599, MATCH(MAX(G$2:G599), G$2:G599, 0)), MAX(G$2:G599)+1, MAX(G$2:G599)+2)))</f>
        <v/>
      </c>
      <c r="H600">
        <f>IF(OR(ERP資料!C600="",ERP資料!D600=""),0,ERP資料!D600-ERP資料!C600+1)</f>
        <v/>
      </c>
    </row>
    <row r="601">
      <c r="A601" t="n">
        <v>601</v>
      </c>
      <c r="B601">
        <f>IF(ERP資料!A601="","",ERP資料!A601&amp;"|"&amp;ERP資料!E601&amp;"|"&amp;ERP資料!F601&amp;"|"&amp;ERP資料!G601&amp;"|"&amp;ERP資料!H601&amp;"|"&amp;ERP資料!O601)</f>
        <v/>
      </c>
      <c r="C601">
        <f>IF(B601="",0,IF(COUNTIF(B$2:B600,B601)=0,1,0))</f>
        <v/>
      </c>
      <c r="D601">
        <f>IF(B601="",0,SUMIFS($H$2:$H$801,$B$2:$B$801,B601))</f>
        <v/>
      </c>
      <c r="E601">
        <f>IF(NOT(AND(C601=1, TRIM(ERP資料!T601)="平板")), 0, IF(MAX(E$2:E600)=0, 1, IF(ERP資料!A601=INDEX(ERP資料!$A$2:$A600, MATCH(MAX(E$2:E600), E$2:E600, 0)), MAX(E$2:E600)+1, MAX(E$2:E600)+2)))</f>
        <v/>
      </c>
      <c r="F601">
        <f>IF(NOT(AND(C601=1, TRIM(ERP資料!T601)="平板")), 0, IF(MAX(F$2:F600)=0, 1, IF(ERP資料!A601=INDEX(ERP資料!$A$2:$A600, MATCH(MAX(F$2:F600), F$2:F600, 0)), MAX(F$2:F600)+1, MAX(F$2:F600)+2)))</f>
        <v/>
      </c>
      <c r="G601">
        <f>IF(NOT(AND(C601=1, TRIM(ERP資料!T601)="捲筒")), 0, IF(MAX(G$2:G600)=0, 1, IF(ERP資料!A601=INDEX(ERP資料!$A$2:$A600, MATCH(MAX(G$2:G600), G$2:G600, 0)), MAX(G$2:G600)+1, MAX(G$2:G600)+2)))</f>
        <v/>
      </c>
      <c r="H601">
        <f>IF(OR(ERP資料!C601="",ERP資料!D601=""),0,ERP資料!D601-ERP資料!C601+1)</f>
        <v/>
      </c>
    </row>
    <row r="602">
      <c r="A602" t="n">
        <v>602</v>
      </c>
      <c r="B602">
        <f>IF(ERP資料!A602="","",ERP資料!A602&amp;"|"&amp;ERP資料!E602&amp;"|"&amp;ERP資料!F602&amp;"|"&amp;ERP資料!G602&amp;"|"&amp;ERP資料!H602&amp;"|"&amp;ERP資料!O602)</f>
        <v/>
      </c>
      <c r="C602">
        <f>IF(B602="",0,IF(COUNTIF(B$2:B601,B602)=0,1,0))</f>
        <v/>
      </c>
      <c r="D602">
        <f>IF(B602="",0,SUMIFS($H$2:$H$801,$B$2:$B$801,B602))</f>
        <v/>
      </c>
      <c r="E602">
        <f>IF(NOT(AND(C602=1, TRIM(ERP資料!T602)="平板")), 0, IF(MAX(E$2:E601)=0, 1, IF(ERP資料!A602=INDEX(ERP資料!$A$2:$A601, MATCH(MAX(E$2:E601), E$2:E601, 0)), MAX(E$2:E601)+1, MAX(E$2:E601)+2)))</f>
        <v/>
      </c>
      <c r="F602">
        <f>IF(NOT(AND(C602=1, TRIM(ERP資料!T602)="平板")), 0, IF(MAX(F$2:F601)=0, 1, IF(ERP資料!A602=INDEX(ERP資料!$A$2:$A601, MATCH(MAX(F$2:F601), F$2:F601, 0)), MAX(F$2:F601)+1, MAX(F$2:F601)+2)))</f>
        <v/>
      </c>
      <c r="G602">
        <f>IF(NOT(AND(C602=1, TRIM(ERP資料!T602)="捲筒")), 0, IF(MAX(G$2:G601)=0, 1, IF(ERP資料!A602=INDEX(ERP資料!$A$2:$A601, MATCH(MAX(G$2:G601), G$2:G601, 0)), MAX(G$2:G601)+1, MAX(G$2:G601)+2)))</f>
        <v/>
      </c>
      <c r="H602">
        <f>IF(OR(ERP資料!C602="",ERP資料!D602=""),0,ERP資料!D602-ERP資料!C602+1)</f>
        <v/>
      </c>
    </row>
    <row r="603">
      <c r="A603" t="n">
        <v>603</v>
      </c>
      <c r="B603">
        <f>IF(ERP資料!A603="","",ERP資料!A603&amp;"|"&amp;ERP資料!E603&amp;"|"&amp;ERP資料!F603&amp;"|"&amp;ERP資料!G603&amp;"|"&amp;ERP資料!H603&amp;"|"&amp;ERP資料!O603)</f>
        <v/>
      </c>
      <c r="C603">
        <f>IF(B603="",0,IF(COUNTIF(B$2:B602,B603)=0,1,0))</f>
        <v/>
      </c>
      <c r="D603">
        <f>IF(B603="",0,SUMIFS($H$2:$H$801,$B$2:$B$801,B603))</f>
        <v/>
      </c>
      <c r="E603">
        <f>IF(NOT(AND(C603=1, TRIM(ERP資料!T603)="平板")), 0, IF(MAX(E$2:E602)=0, 1, IF(ERP資料!A603=INDEX(ERP資料!$A$2:$A602, MATCH(MAX(E$2:E602), E$2:E602, 0)), MAX(E$2:E602)+1, MAX(E$2:E602)+2)))</f>
        <v/>
      </c>
      <c r="F603">
        <f>IF(NOT(AND(C603=1, TRIM(ERP資料!T603)="平板")), 0, IF(MAX(F$2:F602)=0, 1, IF(ERP資料!A603=INDEX(ERP資料!$A$2:$A602, MATCH(MAX(F$2:F602), F$2:F602, 0)), MAX(F$2:F602)+1, MAX(F$2:F602)+2)))</f>
        <v/>
      </c>
      <c r="G603">
        <f>IF(NOT(AND(C603=1, TRIM(ERP資料!T603)="捲筒")), 0, IF(MAX(G$2:G602)=0, 1, IF(ERP資料!A603=INDEX(ERP資料!$A$2:$A602, MATCH(MAX(G$2:G602), G$2:G602, 0)), MAX(G$2:G602)+1, MAX(G$2:G602)+2)))</f>
        <v/>
      </c>
      <c r="H603">
        <f>IF(OR(ERP資料!C603="",ERP資料!D603=""),0,ERP資料!D603-ERP資料!C603+1)</f>
        <v/>
      </c>
    </row>
    <row r="604">
      <c r="A604" t="n">
        <v>604</v>
      </c>
      <c r="B604">
        <f>IF(ERP資料!A604="","",ERP資料!A604&amp;"|"&amp;ERP資料!E604&amp;"|"&amp;ERP資料!F604&amp;"|"&amp;ERP資料!G604&amp;"|"&amp;ERP資料!H604&amp;"|"&amp;ERP資料!O604)</f>
        <v/>
      </c>
      <c r="C604">
        <f>IF(B604="",0,IF(COUNTIF(B$2:B603,B604)=0,1,0))</f>
        <v/>
      </c>
      <c r="D604">
        <f>IF(B604="",0,SUMIFS($H$2:$H$801,$B$2:$B$801,B604))</f>
        <v/>
      </c>
      <c r="E604">
        <f>IF(NOT(AND(C604=1, TRIM(ERP資料!T604)="平板")), 0, IF(MAX(E$2:E603)=0, 1, IF(ERP資料!A604=INDEX(ERP資料!$A$2:$A603, MATCH(MAX(E$2:E603), E$2:E603, 0)), MAX(E$2:E603)+1, MAX(E$2:E603)+2)))</f>
        <v/>
      </c>
      <c r="F604">
        <f>IF(NOT(AND(C604=1, TRIM(ERP資料!T604)="平板")), 0, IF(MAX(F$2:F603)=0, 1, IF(ERP資料!A604=INDEX(ERP資料!$A$2:$A603, MATCH(MAX(F$2:F603), F$2:F603, 0)), MAX(F$2:F603)+1, MAX(F$2:F603)+2)))</f>
        <v/>
      </c>
      <c r="G604">
        <f>IF(NOT(AND(C604=1, TRIM(ERP資料!T604)="捲筒")), 0, IF(MAX(G$2:G603)=0, 1, IF(ERP資料!A604=INDEX(ERP資料!$A$2:$A603, MATCH(MAX(G$2:G603), G$2:G603, 0)), MAX(G$2:G603)+1, MAX(G$2:G603)+2)))</f>
        <v/>
      </c>
      <c r="H604">
        <f>IF(OR(ERP資料!C604="",ERP資料!D604=""),0,ERP資料!D604-ERP資料!C604+1)</f>
        <v/>
      </c>
    </row>
    <row r="605">
      <c r="A605" t="n">
        <v>605</v>
      </c>
      <c r="B605">
        <f>IF(ERP資料!A605="","",ERP資料!A605&amp;"|"&amp;ERP資料!E605&amp;"|"&amp;ERP資料!F605&amp;"|"&amp;ERP資料!G605&amp;"|"&amp;ERP資料!H605&amp;"|"&amp;ERP資料!O605)</f>
        <v/>
      </c>
      <c r="C605">
        <f>IF(B605="",0,IF(COUNTIF(B$2:B604,B605)=0,1,0))</f>
        <v/>
      </c>
      <c r="D605">
        <f>IF(B605="",0,SUMIFS($H$2:$H$801,$B$2:$B$801,B605))</f>
        <v/>
      </c>
      <c r="E605">
        <f>IF(NOT(AND(C605=1, TRIM(ERP資料!T605)="平板")), 0, IF(MAX(E$2:E604)=0, 1, IF(ERP資料!A605=INDEX(ERP資料!$A$2:$A604, MATCH(MAX(E$2:E604), E$2:E604, 0)), MAX(E$2:E604)+1, MAX(E$2:E604)+2)))</f>
        <v/>
      </c>
      <c r="F605">
        <f>IF(NOT(AND(C605=1, TRIM(ERP資料!T605)="平板")), 0, IF(MAX(F$2:F604)=0, 1, IF(ERP資料!A605=INDEX(ERP資料!$A$2:$A604, MATCH(MAX(F$2:F604), F$2:F604, 0)), MAX(F$2:F604)+1, MAX(F$2:F604)+2)))</f>
        <v/>
      </c>
      <c r="G605">
        <f>IF(NOT(AND(C605=1, TRIM(ERP資料!T605)="捲筒")), 0, IF(MAX(G$2:G604)=0, 1, IF(ERP資料!A605=INDEX(ERP資料!$A$2:$A604, MATCH(MAX(G$2:G604), G$2:G604, 0)), MAX(G$2:G604)+1, MAX(G$2:G604)+2)))</f>
        <v/>
      </c>
      <c r="H605">
        <f>IF(OR(ERP資料!C605="",ERP資料!D605=""),0,ERP資料!D605-ERP資料!C605+1)</f>
        <v/>
      </c>
    </row>
    <row r="606">
      <c r="A606" t="n">
        <v>606</v>
      </c>
      <c r="B606">
        <f>IF(ERP資料!A606="","",ERP資料!A606&amp;"|"&amp;ERP資料!E606&amp;"|"&amp;ERP資料!F606&amp;"|"&amp;ERP資料!G606&amp;"|"&amp;ERP資料!H606&amp;"|"&amp;ERP資料!O606)</f>
        <v/>
      </c>
      <c r="C606">
        <f>IF(B606="",0,IF(COUNTIF(B$2:B605,B606)=0,1,0))</f>
        <v/>
      </c>
      <c r="D606">
        <f>IF(B606="",0,SUMIFS($H$2:$H$801,$B$2:$B$801,B606))</f>
        <v/>
      </c>
      <c r="E606">
        <f>IF(NOT(AND(C606=1, TRIM(ERP資料!T606)="平板")), 0, IF(MAX(E$2:E605)=0, 1, IF(ERP資料!A606=INDEX(ERP資料!$A$2:$A605, MATCH(MAX(E$2:E605), E$2:E605, 0)), MAX(E$2:E605)+1, MAX(E$2:E605)+2)))</f>
        <v/>
      </c>
      <c r="F606">
        <f>IF(NOT(AND(C606=1, TRIM(ERP資料!T606)="平板")), 0, IF(MAX(F$2:F605)=0, 1, IF(ERP資料!A606=INDEX(ERP資料!$A$2:$A605, MATCH(MAX(F$2:F605), F$2:F605, 0)), MAX(F$2:F605)+1, MAX(F$2:F605)+2)))</f>
        <v/>
      </c>
      <c r="G606">
        <f>IF(NOT(AND(C606=1, TRIM(ERP資料!T606)="捲筒")), 0, IF(MAX(G$2:G605)=0, 1, IF(ERP資料!A606=INDEX(ERP資料!$A$2:$A605, MATCH(MAX(G$2:G605), G$2:G605, 0)), MAX(G$2:G605)+1, MAX(G$2:G605)+2)))</f>
        <v/>
      </c>
      <c r="H606">
        <f>IF(OR(ERP資料!C606="",ERP資料!D606=""),0,ERP資料!D606-ERP資料!C606+1)</f>
        <v/>
      </c>
    </row>
    <row r="607">
      <c r="A607" t="n">
        <v>607</v>
      </c>
      <c r="B607">
        <f>IF(ERP資料!A607="","",ERP資料!A607&amp;"|"&amp;ERP資料!E607&amp;"|"&amp;ERP資料!F607&amp;"|"&amp;ERP資料!G607&amp;"|"&amp;ERP資料!H607&amp;"|"&amp;ERP資料!O607)</f>
        <v/>
      </c>
      <c r="C607">
        <f>IF(B607="",0,IF(COUNTIF(B$2:B606,B607)=0,1,0))</f>
        <v/>
      </c>
      <c r="D607">
        <f>IF(B607="",0,SUMIFS($H$2:$H$801,$B$2:$B$801,B607))</f>
        <v/>
      </c>
      <c r="E607">
        <f>IF(NOT(AND(C607=1, TRIM(ERP資料!T607)="平板")), 0, IF(MAX(E$2:E606)=0, 1, IF(ERP資料!A607=INDEX(ERP資料!$A$2:$A606, MATCH(MAX(E$2:E606), E$2:E606, 0)), MAX(E$2:E606)+1, MAX(E$2:E606)+2)))</f>
        <v/>
      </c>
      <c r="F607">
        <f>IF(NOT(AND(C607=1, TRIM(ERP資料!T607)="平板")), 0, IF(MAX(F$2:F606)=0, 1, IF(ERP資料!A607=INDEX(ERP資料!$A$2:$A606, MATCH(MAX(F$2:F606), F$2:F606, 0)), MAX(F$2:F606)+1, MAX(F$2:F606)+2)))</f>
        <v/>
      </c>
      <c r="G607">
        <f>IF(NOT(AND(C607=1, TRIM(ERP資料!T607)="捲筒")), 0, IF(MAX(G$2:G606)=0, 1, IF(ERP資料!A607=INDEX(ERP資料!$A$2:$A606, MATCH(MAX(G$2:G606), G$2:G606, 0)), MAX(G$2:G606)+1, MAX(G$2:G606)+2)))</f>
        <v/>
      </c>
      <c r="H607">
        <f>IF(OR(ERP資料!C607="",ERP資料!D607=""),0,ERP資料!D607-ERP資料!C607+1)</f>
        <v/>
      </c>
    </row>
    <row r="608">
      <c r="A608" t="n">
        <v>608</v>
      </c>
      <c r="B608">
        <f>IF(ERP資料!A608="","",ERP資料!A608&amp;"|"&amp;ERP資料!E608&amp;"|"&amp;ERP資料!F608&amp;"|"&amp;ERP資料!G608&amp;"|"&amp;ERP資料!H608&amp;"|"&amp;ERP資料!O608)</f>
        <v/>
      </c>
      <c r="C608">
        <f>IF(B608="",0,IF(COUNTIF(B$2:B607,B608)=0,1,0))</f>
        <v/>
      </c>
      <c r="D608">
        <f>IF(B608="",0,SUMIFS($H$2:$H$801,$B$2:$B$801,B608))</f>
        <v/>
      </c>
      <c r="E608">
        <f>IF(NOT(AND(C608=1, TRIM(ERP資料!T608)="平板")), 0, IF(MAX(E$2:E607)=0, 1, IF(ERP資料!A608=INDEX(ERP資料!$A$2:$A607, MATCH(MAX(E$2:E607), E$2:E607, 0)), MAX(E$2:E607)+1, MAX(E$2:E607)+2)))</f>
        <v/>
      </c>
      <c r="F608">
        <f>IF(NOT(AND(C608=1, TRIM(ERP資料!T608)="平板")), 0, IF(MAX(F$2:F607)=0, 1, IF(ERP資料!A608=INDEX(ERP資料!$A$2:$A607, MATCH(MAX(F$2:F607), F$2:F607, 0)), MAX(F$2:F607)+1, MAX(F$2:F607)+2)))</f>
        <v/>
      </c>
      <c r="G608">
        <f>IF(NOT(AND(C608=1, TRIM(ERP資料!T608)="捲筒")), 0, IF(MAX(G$2:G607)=0, 1, IF(ERP資料!A608=INDEX(ERP資料!$A$2:$A607, MATCH(MAX(G$2:G607), G$2:G607, 0)), MAX(G$2:G607)+1, MAX(G$2:G607)+2)))</f>
        <v/>
      </c>
      <c r="H608">
        <f>IF(OR(ERP資料!C608="",ERP資料!D608=""),0,ERP資料!D608-ERP資料!C608+1)</f>
        <v/>
      </c>
    </row>
    <row r="609">
      <c r="A609" t="n">
        <v>609</v>
      </c>
      <c r="B609">
        <f>IF(ERP資料!A609="","",ERP資料!A609&amp;"|"&amp;ERP資料!E609&amp;"|"&amp;ERP資料!F609&amp;"|"&amp;ERP資料!G609&amp;"|"&amp;ERP資料!H609&amp;"|"&amp;ERP資料!O609)</f>
        <v/>
      </c>
      <c r="C609">
        <f>IF(B609="",0,IF(COUNTIF(B$2:B608,B609)=0,1,0))</f>
        <v/>
      </c>
      <c r="D609">
        <f>IF(B609="",0,SUMIFS($H$2:$H$801,$B$2:$B$801,B609))</f>
        <v/>
      </c>
      <c r="E609">
        <f>IF(NOT(AND(C609=1, TRIM(ERP資料!T609)="平板")), 0, IF(MAX(E$2:E608)=0, 1, IF(ERP資料!A609=INDEX(ERP資料!$A$2:$A608, MATCH(MAX(E$2:E608), E$2:E608, 0)), MAX(E$2:E608)+1, MAX(E$2:E608)+2)))</f>
        <v/>
      </c>
      <c r="F609">
        <f>IF(NOT(AND(C609=1, TRIM(ERP資料!T609)="平板")), 0, IF(MAX(F$2:F608)=0, 1, IF(ERP資料!A609=INDEX(ERP資料!$A$2:$A608, MATCH(MAX(F$2:F608), F$2:F608, 0)), MAX(F$2:F608)+1, MAX(F$2:F608)+2)))</f>
        <v/>
      </c>
      <c r="G609">
        <f>IF(NOT(AND(C609=1, TRIM(ERP資料!T609)="捲筒")), 0, IF(MAX(G$2:G608)=0, 1, IF(ERP資料!A609=INDEX(ERP資料!$A$2:$A608, MATCH(MAX(G$2:G608), G$2:G608, 0)), MAX(G$2:G608)+1, MAX(G$2:G608)+2)))</f>
        <v/>
      </c>
      <c r="H609">
        <f>IF(OR(ERP資料!C609="",ERP資料!D609=""),0,ERP資料!D609-ERP資料!C609+1)</f>
        <v/>
      </c>
    </row>
    <row r="610">
      <c r="A610" t="n">
        <v>610</v>
      </c>
      <c r="B610">
        <f>IF(ERP資料!A610="","",ERP資料!A610&amp;"|"&amp;ERP資料!E610&amp;"|"&amp;ERP資料!F610&amp;"|"&amp;ERP資料!G610&amp;"|"&amp;ERP資料!H610&amp;"|"&amp;ERP資料!O610)</f>
        <v/>
      </c>
      <c r="C610">
        <f>IF(B610="",0,IF(COUNTIF(B$2:B609,B610)=0,1,0))</f>
        <v/>
      </c>
      <c r="D610">
        <f>IF(B610="",0,SUMIFS($H$2:$H$801,$B$2:$B$801,B610))</f>
        <v/>
      </c>
      <c r="E610">
        <f>IF(NOT(AND(C610=1, TRIM(ERP資料!T610)="平板")), 0, IF(MAX(E$2:E609)=0, 1, IF(ERP資料!A610=INDEX(ERP資料!$A$2:$A609, MATCH(MAX(E$2:E609), E$2:E609, 0)), MAX(E$2:E609)+1, MAX(E$2:E609)+2)))</f>
        <v/>
      </c>
      <c r="F610">
        <f>IF(NOT(AND(C610=1, TRIM(ERP資料!T610)="平板")), 0, IF(MAX(F$2:F609)=0, 1, IF(ERP資料!A610=INDEX(ERP資料!$A$2:$A609, MATCH(MAX(F$2:F609), F$2:F609, 0)), MAX(F$2:F609)+1, MAX(F$2:F609)+2)))</f>
        <v/>
      </c>
      <c r="G610">
        <f>IF(NOT(AND(C610=1, TRIM(ERP資料!T610)="捲筒")), 0, IF(MAX(G$2:G609)=0, 1, IF(ERP資料!A610=INDEX(ERP資料!$A$2:$A609, MATCH(MAX(G$2:G609), G$2:G609, 0)), MAX(G$2:G609)+1, MAX(G$2:G609)+2)))</f>
        <v/>
      </c>
      <c r="H610">
        <f>IF(OR(ERP資料!C610="",ERP資料!D610=""),0,ERP資料!D610-ERP資料!C610+1)</f>
        <v/>
      </c>
    </row>
    <row r="611">
      <c r="A611" t="n">
        <v>611</v>
      </c>
      <c r="B611">
        <f>IF(ERP資料!A611="","",ERP資料!A611&amp;"|"&amp;ERP資料!E611&amp;"|"&amp;ERP資料!F611&amp;"|"&amp;ERP資料!G611&amp;"|"&amp;ERP資料!H611&amp;"|"&amp;ERP資料!O611)</f>
        <v/>
      </c>
      <c r="C611">
        <f>IF(B611="",0,IF(COUNTIF(B$2:B610,B611)=0,1,0))</f>
        <v/>
      </c>
      <c r="D611">
        <f>IF(B611="",0,SUMIFS($H$2:$H$801,$B$2:$B$801,B611))</f>
        <v/>
      </c>
      <c r="E611">
        <f>IF(NOT(AND(C611=1, TRIM(ERP資料!T611)="平板")), 0, IF(MAX(E$2:E610)=0, 1, IF(ERP資料!A611=INDEX(ERP資料!$A$2:$A610, MATCH(MAX(E$2:E610), E$2:E610, 0)), MAX(E$2:E610)+1, MAX(E$2:E610)+2)))</f>
        <v/>
      </c>
      <c r="F611">
        <f>IF(NOT(AND(C611=1, TRIM(ERP資料!T611)="平板")), 0, IF(MAX(F$2:F610)=0, 1, IF(ERP資料!A611=INDEX(ERP資料!$A$2:$A610, MATCH(MAX(F$2:F610), F$2:F610, 0)), MAX(F$2:F610)+1, MAX(F$2:F610)+2)))</f>
        <v/>
      </c>
      <c r="G611">
        <f>IF(NOT(AND(C611=1, TRIM(ERP資料!T611)="捲筒")), 0, IF(MAX(G$2:G610)=0, 1, IF(ERP資料!A611=INDEX(ERP資料!$A$2:$A610, MATCH(MAX(G$2:G610), G$2:G610, 0)), MAX(G$2:G610)+1, MAX(G$2:G610)+2)))</f>
        <v/>
      </c>
      <c r="H611">
        <f>IF(OR(ERP資料!C611="",ERP資料!D611=""),0,ERP資料!D611-ERP資料!C611+1)</f>
        <v/>
      </c>
    </row>
    <row r="612">
      <c r="A612" t="n">
        <v>612</v>
      </c>
      <c r="B612">
        <f>IF(ERP資料!A612="","",ERP資料!A612&amp;"|"&amp;ERP資料!E612&amp;"|"&amp;ERP資料!F612&amp;"|"&amp;ERP資料!G612&amp;"|"&amp;ERP資料!H612&amp;"|"&amp;ERP資料!O612)</f>
        <v/>
      </c>
      <c r="C612">
        <f>IF(B612="",0,IF(COUNTIF(B$2:B611,B612)=0,1,0))</f>
        <v/>
      </c>
      <c r="D612">
        <f>IF(B612="",0,SUMIFS($H$2:$H$801,$B$2:$B$801,B612))</f>
        <v/>
      </c>
      <c r="E612">
        <f>IF(NOT(AND(C612=1, TRIM(ERP資料!T612)="平板")), 0, IF(MAX(E$2:E611)=0, 1, IF(ERP資料!A612=INDEX(ERP資料!$A$2:$A611, MATCH(MAX(E$2:E611), E$2:E611, 0)), MAX(E$2:E611)+1, MAX(E$2:E611)+2)))</f>
        <v/>
      </c>
      <c r="F612">
        <f>IF(NOT(AND(C612=1, TRIM(ERP資料!T612)="平板")), 0, IF(MAX(F$2:F611)=0, 1, IF(ERP資料!A612=INDEX(ERP資料!$A$2:$A611, MATCH(MAX(F$2:F611), F$2:F611, 0)), MAX(F$2:F611)+1, MAX(F$2:F611)+2)))</f>
        <v/>
      </c>
      <c r="G612">
        <f>IF(NOT(AND(C612=1, TRIM(ERP資料!T612)="捲筒")), 0, IF(MAX(G$2:G611)=0, 1, IF(ERP資料!A612=INDEX(ERP資料!$A$2:$A611, MATCH(MAX(G$2:G611), G$2:G611, 0)), MAX(G$2:G611)+1, MAX(G$2:G611)+2)))</f>
        <v/>
      </c>
      <c r="H612">
        <f>IF(OR(ERP資料!C612="",ERP資料!D612=""),0,ERP資料!D612-ERP資料!C612+1)</f>
        <v/>
      </c>
    </row>
    <row r="613">
      <c r="A613" t="n">
        <v>613</v>
      </c>
      <c r="B613">
        <f>IF(ERP資料!A613="","",ERP資料!A613&amp;"|"&amp;ERP資料!E613&amp;"|"&amp;ERP資料!F613&amp;"|"&amp;ERP資料!G613&amp;"|"&amp;ERP資料!H613&amp;"|"&amp;ERP資料!O613)</f>
        <v/>
      </c>
      <c r="C613">
        <f>IF(B613="",0,IF(COUNTIF(B$2:B612,B613)=0,1,0))</f>
        <v/>
      </c>
      <c r="D613">
        <f>IF(B613="",0,SUMIFS($H$2:$H$801,$B$2:$B$801,B613))</f>
        <v/>
      </c>
      <c r="E613">
        <f>IF(NOT(AND(C613=1, TRIM(ERP資料!T613)="平板")), 0, IF(MAX(E$2:E612)=0, 1, IF(ERP資料!A613=INDEX(ERP資料!$A$2:$A612, MATCH(MAX(E$2:E612), E$2:E612, 0)), MAX(E$2:E612)+1, MAX(E$2:E612)+2)))</f>
        <v/>
      </c>
      <c r="F613">
        <f>IF(NOT(AND(C613=1, TRIM(ERP資料!T613)="平板")), 0, IF(MAX(F$2:F612)=0, 1, IF(ERP資料!A613=INDEX(ERP資料!$A$2:$A612, MATCH(MAX(F$2:F612), F$2:F612, 0)), MAX(F$2:F612)+1, MAX(F$2:F612)+2)))</f>
        <v/>
      </c>
      <c r="G613">
        <f>IF(NOT(AND(C613=1, TRIM(ERP資料!T613)="捲筒")), 0, IF(MAX(G$2:G612)=0, 1, IF(ERP資料!A613=INDEX(ERP資料!$A$2:$A612, MATCH(MAX(G$2:G612), G$2:G612, 0)), MAX(G$2:G612)+1, MAX(G$2:G612)+2)))</f>
        <v/>
      </c>
      <c r="H613">
        <f>IF(OR(ERP資料!C613="",ERP資料!D613=""),0,ERP資料!D613-ERP資料!C613+1)</f>
        <v/>
      </c>
    </row>
    <row r="614">
      <c r="A614" t="n">
        <v>614</v>
      </c>
      <c r="B614">
        <f>IF(ERP資料!A614="","",ERP資料!A614&amp;"|"&amp;ERP資料!E614&amp;"|"&amp;ERP資料!F614&amp;"|"&amp;ERP資料!G614&amp;"|"&amp;ERP資料!H614&amp;"|"&amp;ERP資料!O614)</f>
        <v/>
      </c>
      <c r="C614">
        <f>IF(B614="",0,IF(COUNTIF(B$2:B613,B614)=0,1,0))</f>
        <v/>
      </c>
      <c r="D614">
        <f>IF(B614="",0,SUMIFS($H$2:$H$801,$B$2:$B$801,B614))</f>
        <v/>
      </c>
      <c r="E614">
        <f>IF(NOT(AND(C614=1, TRIM(ERP資料!T614)="平板")), 0, IF(MAX(E$2:E613)=0, 1, IF(ERP資料!A614=INDEX(ERP資料!$A$2:$A613, MATCH(MAX(E$2:E613), E$2:E613, 0)), MAX(E$2:E613)+1, MAX(E$2:E613)+2)))</f>
        <v/>
      </c>
      <c r="F614">
        <f>IF(NOT(AND(C614=1, TRIM(ERP資料!T614)="平板")), 0, IF(MAX(F$2:F613)=0, 1, IF(ERP資料!A614=INDEX(ERP資料!$A$2:$A613, MATCH(MAX(F$2:F613), F$2:F613, 0)), MAX(F$2:F613)+1, MAX(F$2:F613)+2)))</f>
        <v/>
      </c>
      <c r="G614">
        <f>IF(NOT(AND(C614=1, TRIM(ERP資料!T614)="捲筒")), 0, IF(MAX(G$2:G613)=0, 1, IF(ERP資料!A614=INDEX(ERP資料!$A$2:$A613, MATCH(MAX(G$2:G613), G$2:G613, 0)), MAX(G$2:G613)+1, MAX(G$2:G613)+2)))</f>
        <v/>
      </c>
      <c r="H614">
        <f>IF(OR(ERP資料!C614="",ERP資料!D614=""),0,ERP資料!D614-ERP資料!C614+1)</f>
        <v/>
      </c>
    </row>
    <row r="615">
      <c r="A615" t="n">
        <v>615</v>
      </c>
      <c r="B615">
        <f>IF(ERP資料!A615="","",ERP資料!A615&amp;"|"&amp;ERP資料!E615&amp;"|"&amp;ERP資料!F615&amp;"|"&amp;ERP資料!G615&amp;"|"&amp;ERP資料!H615&amp;"|"&amp;ERP資料!O615)</f>
        <v/>
      </c>
      <c r="C615">
        <f>IF(B615="",0,IF(COUNTIF(B$2:B614,B615)=0,1,0))</f>
        <v/>
      </c>
      <c r="D615">
        <f>IF(B615="",0,SUMIFS($H$2:$H$801,$B$2:$B$801,B615))</f>
        <v/>
      </c>
      <c r="E615">
        <f>IF(NOT(AND(C615=1, TRIM(ERP資料!T615)="平板")), 0, IF(MAX(E$2:E614)=0, 1, IF(ERP資料!A615=INDEX(ERP資料!$A$2:$A614, MATCH(MAX(E$2:E614), E$2:E614, 0)), MAX(E$2:E614)+1, MAX(E$2:E614)+2)))</f>
        <v/>
      </c>
      <c r="F615">
        <f>IF(NOT(AND(C615=1, TRIM(ERP資料!T615)="平板")), 0, IF(MAX(F$2:F614)=0, 1, IF(ERP資料!A615=INDEX(ERP資料!$A$2:$A614, MATCH(MAX(F$2:F614), F$2:F614, 0)), MAX(F$2:F614)+1, MAX(F$2:F614)+2)))</f>
        <v/>
      </c>
      <c r="G615">
        <f>IF(NOT(AND(C615=1, TRIM(ERP資料!T615)="捲筒")), 0, IF(MAX(G$2:G614)=0, 1, IF(ERP資料!A615=INDEX(ERP資料!$A$2:$A614, MATCH(MAX(G$2:G614), G$2:G614, 0)), MAX(G$2:G614)+1, MAX(G$2:G614)+2)))</f>
        <v/>
      </c>
      <c r="H615">
        <f>IF(OR(ERP資料!C615="",ERP資料!D615=""),0,ERP資料!D615-ERP資料!C615+1)</f>
        <v/>
      </c>
    </row>
    <row r="616">
      <c r="A616" t="n">
        <v>616</v>
      </c>
      <c r="B616">
        <f>IF(ERP資料!A616="","",ERP資料!A616&amp;"|"&amp;ERP資料!E616&amp;"|"&amp;ERP資料!F616&amp;"|"&amp;ERP資料!G616&amp;"|"&amp;ERP資料!H616&amp;"|"&amp;ERP資料!O616)</f>
        <v/>
      </c>
      <c r="C616">
        <f>IF(B616="",0,IF(COUNTIF(B$2:B615,B616)=0,1,0))</f>
        <v/>
      </c>
      <c r="D616">
        <f>IF(B616="",0,SUMIFS($H$2:$H$801,$B$2:$B$801,B616))</f>
        <v/>
      </c>
      <c r="E616">
        <f>IF(NOT(AND(C616=1, TRIM(ERP資料!T616)="平板")), 0, IF(MAX(E$2:E615)=0, 1, IF(ERP資料!A616=INDEX(ERP資料!$A$2:$A615, MATCH(MAX(E$2:E615), E$2:E615, 0)), MAX(E$2:E615)+1, MAX(E$2:E615)+2)))</f>
        <v/>
      </c>
      <c r="F616">
        <f>IF(NOT(AND(C616=1, TRIM(ERP資料!T616)="平板")), 0, IF(MAX(F$2:F615)=0, 1, IF(ERP資料!A616=INDEX(ERP資料!$A$2:$A615, MATCH(MAX(F$2:F615), F$2:F615, 0)), MAX(F$2:F615)+1, MAX(F$2:F615)+2)))</f>
        <v/>
      </c>
      <c r="G616">
        <f>IF(NOT(AND(C616=1, TRIM(ERP資料!T616)="捲筒")), 0, IF(MAX(G$2:G615)=0, 1, IF(ERP資料!A616=INDEX(ERP資料!$A$2:$A615, MATCH(MAX(G$2:G615), G$2:G615, 0)), MAX(G$2:G615)+1, MAX(G$2:G615)+2)))</f>
        <v/>
      </c>
      <c r="H616">
        <f>IF(OR(ERP資料!C616="",ERP資料!D616=""),0,ERP資料!D616-ERP資料!C616+1)</f>
        <v/>
      </c>
    </row>
    <row r="617">
      <c r="A617" t="n">
        <v>617</v>
      </c>
      <c r="B617">
        <f>IF(ERP資料!A617="","",ERP資料!A617&amp;"|"&amp;ERP資料!E617&amp;"|"&amp;ERP資料!F617&amp;"|"&amp;ERP資料!G617&amp;"|"&amp;ERP資料!H617&amp;"|"&amp;ERP資料!O617)</f>
        <v/>
      </c>
      <c r="C617">
        <f>IF(B617="",0,IF(COUNTIF(B$2:B616,B617)=0,1,0))</f>
        <v/>
      </c>
      <c r="D617">
        <f>IF(B617="",0,SUMIFS($H$2:$H$801,$B$2:$B$801,B617))</f>
        <v/>
      </c>
      <c r="E617">
        <f>IF(NOT(AND(C617=1, TRIM(ERP資料!T617)="平板")), 0, IF(MAX(E$2:E616)=0, 1, IF(ERP資料!A617=INDEX(ERP資料!$A$2:$A616, MATCH(MAX(E$2:E616), E$2:E616, 0)), MAX(E$2:E616)+1, MAX(E$2:E616)+2)))</f>
        <v/>
      </c>
      <c r="F617">
        <f>IF(NOT(AND(C617=1, TRIM(ERP資料!T617)="平板")), 0, IF(MAX(F$2:F616)=0, 1, IF(ERP資料!A617=INDEX(ERP資料!$A$2:$A616, MATCH(MAX(F$2:F616), F$2:F616, 0)), MAX(F$2:F616)+1, MAX(F$2:F616)+2)))</f>
        <v/>
      </c>
      <c r="G617">
        <f>IF(NOT(AND(C617=1, TRIM(ERP資料!T617)="捲筒")), 0, IF(MAX(G$2:G616)=0, 1, IF(ERP資料!A617=INDEX(ERP資料!$A$2:$A616, MATCH(MAX(G$2:G616), G$2:G616, 0)), MAX(G$2:G616)+1, MAX(G$2:G616)+2)))</f>
        <v/>
      </c>
      <c r="H617">
        <f>IF(OR(ERP資料!C617="",ERP資料!D617=""),0,ERP資料!D617-ERP資料!C617+1)</f>
        <v/>
      </c>
    </row>
    <row r="618">
      <c r="A618" t="n">
        <v>618</v>
      </c>
      <c r="B618">
        <f>IF(ERP資料!A618="","",ERP資料!A618&amp;"|"&amp;ERP資料!E618&amp;"|"&amp;ERP資料!F618&amp;"|"&amp;ERP資料!G618&amp;"|"&amp;ERP資料!H618&amp;"|"&amp;ERP資料!O618)</f>
        <v/>
      </c>
      <c r="C618">
        <f>IF(B618="",0,IF(COUNTIF(B$2:B617,B618)=0,1,0))</f>
        <v/>
      </c>
      <c r="D618">
        <f>IF(B618="",0,SUMIFS($H$2:$H$801,$B$2:$B$801,B618))</f>
        <v/>
      </c>
      <c r="E618">
        <f>IF(NOT(AND(C618=1, TRIM(ERP資料!T618)="平板")), 0, IF(MAX(E$2:E617)=0, 1, IF(ERP資料!A618=INDEX(ERP資料!$A$2:$A617, MATCH(MAX(E$2:E617), E$2:E617, 0)), MAX(E$2:E617)+1, MAX(E$2:E617)+2)))</f>
        <v/>
      </c>
      <c r="F618">
        <f>IF(NOT(AND(C618=1, TRIM(ERP資料!T618)="平板")), 0, IF(MAX(F$2:F617)=0, 1, IF(ERP資料!A618=INDEX(ERP資料!$A$2:$A617, MATCH(MAX(F$2:F617), F$2:F617, 0)), MAX(F$2:F617)+1, MAX(F$2:F617)+2)))</f>
        <v/>
      </c>
      <c r="G618">
        <f>IF(NOT(AND(C618=1, TRIM(ERP資料!T618)="捲筒")), 0, IF(MAX(G$2:G617)=0, 1, IF(ERP資料!A618=INDEX(ERP資料!$A$2:$A617, MATCH(MAX(G$2:G617), G$2:G617, 0)), MAX(G$2:G617)+1, MAX(G$2:G617)+2)))</f>
        <v/>
      </c>
      <c r="H618">
        <f>IF(OR(ERP資料!C618="",ERP資料!D618=""),0,ERP資料!D618-ERP資料!C618+1)</f>
        <v/>
      </c>
    </row>
    <row r="619">
      <c r="A619" t="n">
        <v>619</v>
      </c>
      <c r="B619">
        <f>IF(ERP資料!A619="","",ERP資料!A619&amp;"|"&amp;ERP資料!E619&amp;"|"&amp;ERP資料!F619&amp;"|"&amp;ERP資料!G619&amp;"|"&amp;ERP資料!H619&amp;"|"&amp;ERP資料!O619)</f>
        <v/>
      </c>
      <c r="C619">
        <f>IF(B619="",0,IF(COUNTIF(B$2:B618,B619)=0,1,0))</f>
        <v/>
      </c>
      <c r="D619">
        <f>IF(B619="",0,SUMIFS($H$2:$H$801,$B$2:$B$801,B619))</f>
        <v/>
      </c>
      <c r="E619">
        <f>IF(NOT(AND(C619=1, TRIM(ERP資料!T619)="平板")), 0, IF(MAX(E$2:E618)=0, 1, IF(ERP資料!A619=INDEX(ERP資料!$A$2:$A618, MATCH(MAX(E$2:E618), E$2:E618, 0)), MAX(E$2:E618)+1, MAX(E$2:E618)+2)))</f>
        <v/>
      </c>
      <c r="F619">
        <f>IF(NOT(AND(C619=1, TRIM(ERP資料!T619)="平板")), 0, IF(MAX(F$2:F618)=0, 1, IF(ERP資料!A619=INDEX(ERP資料!$A$2:$A618, MATCH(MAX(F$2:F618), F$2:F618, 0)), MAX(F$2:F618)+1, MAX(F$2:F618)+2)))</f>
        <v/>
      </c>
      <c r="G619">
        <f>IF(NOT(AND(C619=1, TRIM(ERP資料!T619)="捲筒")), 0, IF(MAX(G$2:G618)=0, 1, IF(ERP資料!A619=INDEX(ERP資料!$A$2:$A618, MATCH(MAX(G$2:G618), G$2:G618, 0)), MAX(G$2:G618)+1, MAX(G$2:G618)+2)))</f>
        <v/>
      </c>
      <c r="H619">
        <f>IF(OR(ERP資料!C619="",ERP資料!D619=""),0,ERP資料!D619-ERP資料!C619+1)</f>
        <v/>
      </c>
    </row>
    <row r="620">
      <c r="A620" t="n">
        <v>620</v>
      </c>
      <c r="B620">
        <f>IF(ERP資料!A620="","",ERP資料!A620&amp;"|"&amp;ERP資料!E620&amp;"|"&amp;ERP資料!F620&amp;"|"&amp;ERP資料!G620&amp;"|"&amp;ERP資料!H620&amp;"|"&amp;ERP資料!O620)</f>
        <v/>
      </c>
      <c r="C620">
        <f>IF(B620="",0,IF(COUNTIF(B$2:B619,B620)=0,1,0))</f>
        <v/>
      </c>
      <c r="D620">
        <f>IF(B620="",0,SUMIFS($H$2:$H$801,$B$2:$B$801,B620))</f>
        <v/>
      </c>
      <c r="E620">
        <f>IF(NOT(AND(C620=1, TRIM(ERP資料!T620)="平板")), 0, IF(MAX(E$2:E619)=0, 1, IF(ERP資料!A620=INDEX(ERP資料!$A$2:$A619, MATCH(MAX(E$2:E619), E$2:E619, 0)), MAX(E$2:E619)+1, MAX(E$2:E619)+2)))</f>
        <v/>
      </c>
      <c r="F620">
        <f>IF(NOT(AND(C620=1, TRIM(ERP資料!T620)="平板")), 0, IF(MAX(F$2:F619)=0, 1, IF(ERP資料!A620=INDEX(ERP資料!$A$2:$A619, MATCH(MAX(F$2:F619), F$2:F619, 0)), MAX(F$2:F619)+1, MAX(F$2:F619)+2)))</f>
        <v/>
      </c>
      <c r="G620">
        <f>IF(NOT(AND(C620=1, TRIM(ERP資料!T620)="捲筒")), 0, IF(MAX(G$2:G619)=0, 1, IF(ERP資料!A620=INDEX(ERP資料!$A$2:$A619, MATCH(MAX(G$2:G619), G$2:G619, 0)), MAX(G$2:G619)+1, MAX(G$2:G619)+2)))</f>
        <v/>
      </c>
      <c r="H620">
        <f>IF(OR(ERP資料!C620="",ERP資料!D620=""),0,ERP資料!D620-ERP資料!C620+1)</f>
        <v/>
      </c>
    </row>
    <row r="621">
      <c r="A621" t="n">
        <v>621</v>
      </c>
      <c r="B621">
        <f>IF(ERP資料!A621="","",ERP資料!A621&amp;"|"&amp;ERP資料!E621&amp;"|"&amp;ERP資料!F621&amp;"|"&amp;ERP資料!G621&amp;"|"&amp;ERP資料!H621&amp;"|"&amp;ERP資料!O621)</f>
        <v/>
      </c>
      <c r="C621">
        <f>IF(B621="",0,IF(COUNTIF(B$2:B620,B621)=0,1,0))</f>
        <v/>
      </c>
      <c r="D621">
        <f>IF(B621="",0,SUMIFS($H$2:$H$801,$B$2:$B$801,B621))</f>
        <v/>
      </c>
      <c r="E621">
        <f>IF(NOT(AND(C621=1, TRIM(ERP資料!T621)="平板")), 0, IF(MAX(E$2:E620)=0, 1, IF(ERP資料!A621=INDEX(ERP資料!$A$2:$A620, MATCH(MAX(E$2:E620), E$2:E620, 0)), MAX(E$2:E620)+1, MAX(E$2:E620)+2)))</f>
        <v/>
      </c>
      <c r="F621">
        <f>IF(NOT(AND(C621=1, TRIM(ERP資料!T621)="平板")), 0, IF(MAX(F$2:F620)=0, 1, IF(ERP資料!A621=INDEX(ERP資料!$A$2:$A620, MATCH(MAX(F$2:F620), F$2:F620, 0)), MAX(F$2:F620)+1, MAX(F$2:F620)+2)))</f>
        <v/>
      </c>
      <c r="G621">
        <f>IF(NOT(AND(C621=1, TRIM(ERP資料!T621)="捲筒")), 0, IF(MAX(G$2:G620)=0, 1, IF(ERP資料!A621=INDEX(ERP資料!$A$2:$A620, MATCH(MAX(G$2:G620), G$2:G620, 0)), MAX(G$2:G620)+1, MAX(G$2:G620)+2)))</f>
        <v/>
      </c>
      <c r="H621">
        <f>IF(OR(ERP資料!C621="",ERP資料!D621=""),0,ERP資料!D621-ERP資料!C621+1)</f>
        <v/>
      </c>
    </row>
    <row r="622">
      <c r="A622" t="n">
        <v>622</v>
      </c>
      <c r="B622">
        <f>IF(ERP資料!A622="","",ERP資料!A622&amp;"|"&amp;ERP資料!E622&amp;"|"&amp;ERP資料!F622&amp;"|"&amp;ERP資料!G622&amp;"|"&amp;ERP資料!H622&amp;"|"&amp;ERP資料!O622)</f>
        <v/>
      </c>
      <c r="C622">
        <f>IF(B622="",0,IF(COUNTIF(B$2:B621,B622)=0,1,0))</f>
        <v/>
      </c>
      <c r="D622">
        <f>IF(B622="",0,SUMIFS($H$2:$H$801,$B$2:$B$801,B622))</f>
        <v/>
      </c>
      <c r="E622">
        <f>IF(NOT(AND(C622=1, TRIM(ERP資料!T622)="平板")), 0, IF(MAX(E$2:E621)=0, 1, IF(ERP資料!A622=INDEX(ERP資料!$A$2:$A621, MATCH(MAX(E$2:E621), E$2:E621, 0)), MAX(E$2:E621)+1, MAX(E$2:E621)+2)))</f>
        <v/>
      </c>
      <c r="F622">
        <f>IF(NOT(AND(C622=1, TRIM(ERP資料!T622)="平板")), 0, IF(MAX(F$2:F621)=0, 1, IF(ERP資料!A622=INDEX(ERP資料!$A$2:$A621, MATCH(MAX(F$2:F621), F$2:F621, 0)), MAX(F$2:F621)+1, MAX(F$2:F621)+2)))</f>
        <v/>
      </c>
      <c r="G622">
        <f>IF(NOT(AND(C622=1, TRIM(ERP資料!T622)="捲筒")), 0, IF(MAX(G$2:G621)=0, 1, IF(ERP資料!A622=INDEX(ERP資料!$A$2:$A621, MATCH(MAX(G$2:G621), G$2:G621, 0)), MAX(G$2:G621)+1, MAX(G$2:G621)+2)))</f>
        <v/>
      </c>
      <c r="H622">
        <f>IF(OR(ERP資料!C622="",ERP資料!D622=""),0,ERP資料!D622-ERP資料!C622+1)</f>
        <v/>
      </c>
    </row>
    <row r="623">
      <c r="A623" t="n">
        <v>623</v>
      </c>
      <c r="B623">
        <f>IF(ERP資料!A623="","",ERP資料!A623&amp;"|"&amp;ERP資料!E623&amp;"|"&amp;ERP資料!F623&amp;"|"&amp;ERP資料!G623&amp;"|"&amp;ERP資料!H623&amp;"|"&amp;ERP資料!O623)</f>
        <v/>
      </c>
      <c r="C623">
        <f>IF(B623="",0,IF(COUNTIF(B$2:B622,B623)=0,1,0))</f>
        <v/>
      </c>
      <c r="D623">
        <f>IF(B623="",0,SUMIFS($H$2:$H$801,$B$2:$B$801,B623))</f>
        <v/>
      </c>
      <c r="E623">
        <f>IF(NOT(AND(C623=1, TRIM(ERP資料!T623)="平板")), 0, IF(MAX(E$2:E622)=0, 1, IF(ERP資料!A623=INDEX(ERP資料!$A$2:$A622, MATCH(MAX(E$2:E622), E$2:E622, 0)), MAX(E$2:E622)+1, MAX(E$2:E622)+2)))</f>
        <v/>
      </c>
      <c r="F623">
        <f>IF(NOT(AND(C623=1, TRIM(ERP資料!T623)="平板")), 0, IF(MAX(F$2:F622)=0, 1, IF(ERP資料!A623=INDEX(ERP資料!$A$2:$A622, MATCH(MAX(F$2:F622), F$2:F622, 0)), MAX(F$2:F622)+1, MAX(F$2:F622)+2)))</f>
        <v/>
      </c>
      <c r="G623">
        <f>IF(NOT(AND(C623=1, TRIM(ERP資料!T623)="捲筒")), 0, IF(MAX(G$2:G622)=0, 1, IF(ERP資料!A623=INDEX(ERP資料!$A$2:$A622, MATCH(MAX(G$2:G622), G$2:G622, 0)), MAX(G$2:G622)+1, MAX(G$2:G622)+2)))</f>
        <v/>
      </c>
      <c r="H623">
        <f>IF(OR(ERP資料!C623="",ERP資料!D623=""),0,ERP資料!D623-ERP資料!C623+1)</f>
        <v/>
      </c>
    </row>
    <row r="624">
      <c r="A624" t="n">
        <v>624</v>
      </c>
      <c r="B624">
        <f>IF(ERP資料!A624="","",ERP資料!A624&amp;"|"&amp;ERP資料!E624&amp;"|"&amp;ERP資料!F624&amp;"|"&amp;ERP資料!G624&amp;"|"&amp;ERP資料!H624&amp;"|"&amp;ERP資料!O624)</f>
        <v/>
      </c>
      <c r="C624">
        <f>IF(B624="",0,IF(COUNTIF(B$2:B623,B624)=0,1,0))</f>
        <v/>
      </c>
      <c r="D624">
        <f>IF(B624="",0,SUMIFS($H$2:$H$801,$B$2:$B$801,B624))</f>
        <v/>
      </c>
      <c r="E624">
        <f>IF(NOT(AND(C624=1, TRIM(ERP資料!T624)="平板")), 0, IF(MAX(E$2:E623)=0, 1, IF(ERP資料!A624=INDEX(ERP資料!$A$2:$A623, MATCH(MAX(E$2:E623), E$2:E623, 0)), MAX(E$2:E623)+1, MAX(E$2:E623)+2)))</f>
        <v/>
      </c>
      <c r="F624">
        <f>IF(NOT(AND(C624=1, TRIM(ERP資料!T624)="平板")), 0, IF(MAX(F$2:F623)=0, 1, IF(ERP資料!A624=INDEX(ERP資料!$A$2:$A623, MATCH(MAX(F$2:F623), F$2:F623, 0)), MAX(F$2:F623)+1, MAX(F$2:F623)+2)))</f>
        <v/>
      </c>
      <c r="G624">
        <f>IF(NOT(AND(C624=1, TRIM(ERP資料!T624)="捲筒")), 0, IF(MAX(G$2:G623)=0, 1, IF(ERP資料!A624=INDEX(ERP資料!$A$2:$A623, MATCH(MAX(G$2:G623), G$2:G623, 0)), MAX(G$2:G623)+1, MAX(G$2:G623)+2)))</f>
        <v/>
      </c>
      <c r="H624">
        <f>IF(OR(ERP資料!C624="",ERP資料!D624=""),0,ERP資料!D624-ERP資料!C624+1)</f>
        <v/>
      </c>
    </row>
    <row r="625">
      <c r="A625" t="n">
        <v>625</v>
      </c>
      <c r="B625">
        <f>IF(ERP資料!A625="","",ERP資料!A625&amp;"|"&amp;ERP資料!E625&amp;"|"&amp;ERP資料!F625&amp;"|"&amp;ERP資料!G625&amp;"|"&amp;ERP資料!H625&amp;"|"&amp;ERP資料!O625)</f>
        <v/>
      </c>
      <c r="C625">
        <f>IF(B625="",0,IF(COUNTIF(B$2:B624,B625)=0,1,0))</f>
        <v/>
      </c>
      <c r="D625">
        <f>IF(B625="",0,SUMIFS($H$2:$H$801,$B$2:$B$801,B625))</f>
        <v/>
      </c>
      <c r="E625">
        <f>IF(NOT(AND(C625=1, TRIM(ERP資料!T625)="平板")), 0, IF(MAX(E$2:E624)=0, 1, IF(ERP資料!A625=INDEX(ERP資料!$A$2:$A624, MATCH(MAX(E$2:E624), E$2:E624, 0)), MAX(E$2:E624)+1, MAX(E$2:E624)+2)))</f>
        <v/>
      </c>
      <c r="F625">
        <f>IF(NOT(AND(C625=1, TRIM(ERP資料!T625)="平板")), 0, IF(MAX(F$2:F624)=0, 1, IF(ERP資料!A625=INDEX(ERP資料!$A$2:$A624, MATCH(MAX(F$2:F624), F$2:F624, 0)), MAX(F$2:F624)+1, MAX(F$2:F624)+2)))</f>
        <v/>
      </c>
      <c r="G625">
        <f>IF(NOT(AND(C625=1, TRIM(ERP資料!T625)="捲筒")), 0, IF(MAX(G$2:G624)=0, 1, IF(ERP資料!A625=INDEX(ERP資料!$A$2:$A624, MATCH(MAX(G$2:G624), G$2:G624, 0)), MAX(G$2:G624)+1, MAX(G$2:G624)+2)))</f>
        <v/>
      </c>
      <c r="H625">
        <f>IF(OR(ERP資料!C625="",ERP資料!D625=""),0,ERP資料!D625-ERP資料!C625+1)</f>
        <v/>
      </c>
    </row>
    <row r="626">
      <c r="A626" t="n">
        <v>626</v>
      </c>
      <c r="B626">
        <f>IF(ERP資料!A626="","",ERP資料!A626&amp;"|"&amp;ERP資料!E626&amp;"|"&amp;ERP資料!F626&amp;"|"&amp;ERP資料!G626&amp;"|"&amp;ERP資料!H626&amp;"|"&amp;ERP資料!O626)</f>
        <v/>
      </c>
      <c r="C626">
        <f>IF(B626="",0,IF(COUNTIF(B$2:B625,B626)=0,1,0))</f>
        <v/>
      </c>
      <c r="D626">
        <f>IF(B626="",0,SUMIFS($H$2:$H$801,$B$2:$B$801,B626))</f>
        <v/>
      </c>
      <c r="E626">
        <f>IF(NOT(AND(C626=1, TRIM(ERP資料!T626)="平板")), 0, IF(MAX(E$2:E625)=0, 1, IF(ERP資料!A626=INDEX(ERP資料!$A$2:$A625, MATCH(MAX(E$2:E625), E$2:E625, 0)), MAX(E$2:E625)+1, MAX(E$2:E625)+2)))</f>
        <v/>
      </c>
      <c r="F626">
        <f>IF(NOT(AND(C626=1, TRIM(ERP資料!T626)="平板")), 0, IF(MAX(F$2:F625)=0, 1, IF(ERP資料!A626=INDEX(ERP資料!$A$2:$A625, MATCH(MAX(F$2:F625), F$2:F625, 0)), MAX(F$2:F625)+1, MAX(F$2:F625)+2)))</f>
        <v/>
      </c>
      <c r="G626">
        <f>IF(NOT(AND(C626=1, TRIM(ERP資料!T626)="捲筒")), 0, IF(MAX(G$2:G625)=0, 1, IF(ERP資料!A626=INDEX(ERP資料!$A$2:$A625, MATCH(MAX(G$2:G625), G$2:G625, 0)), MAX(G$2:G625)+1, MAX(G$2:G625)+2)))</f>
        <v/>
      </c>
      <c r="H626">
        <f>IF(OR(ERP資料!C626="",ERP資料!D626=""),0,ERP資料!D626-ERP資料!C626+1)</f>
        <v/>
      </c>
    </row>
    <row r="627">
      <c r="A627" t="n">
        <v>627</v>
      </c>
      <c r="B627">
        <f>IF(ERP資料!A627="","",ERP資料!A627&amp;"|"&amp;ERP資料!E627&amp;"|"&amp;ERP資料!F627&amp;"|"&amp;ERP資料!G627&amp;"|"&amp;ERP資料!H627&amp;"|"&amp;ERP資料!O627)</f>
        <v/>
      </c>
      <c r="C627">
        <f>IF(B627="",0,IF(COUNTIF(B$2:B626,B627)=0,1,0))</f>
        <v/>
      </c>
      <c r="D627">
        <f>IF(B627="",0,SUMIFS($H$2:$H$801,$B$2:$B$801,B627))</f>
        <v/>
      </c>
      <c r="E627">
        <f>IF(NOT(AND(C627=1, TRIM(ERP資料!T627)="平板")), 0, IF(MAX(E$2:E626)=0, 1, IF(ERP資料!A627=INDEX(ERP資料!$A$2:$A626, MATCH(MAX(E$2:E626), E$2:E626, 0)), MAX(E$2:E626)+1, MAX(E$2:E626)+2)))</f>
        <v/>
      </c>
      <c r="F627">
        <f>IF(NOT(AND(C627=1, TRIM(ERP資料!T627)="平板")), 0, IF(MAX(F$2:F626)=0, 1, IF(ERP資料!A627=INDEX(ERP資料!$A$2:$A626, MATCH(MAX(F$2:F626), F$2:F626, 0)), MAX(F$2:F626)+1, MAX(F$2:F626)+2)))</f>
        <v/>
      </c>
      <c r="G627">
        <f>IF(NOT(AND(C627=1, TRIM(ERP資料!T627)="捲筒")), 0, IF(MAX(G$2:G626)=0, 1, IF(ERP資料!A627=INDEX(ERP資料!$A$2:$A626, MATCH(MAX(G$2:G626), G$2:G626, 0)), MAX(G$2:G626)+1, MAX(G$2:G626)+2)))</f>
        <v/>
      </c>
      <c r="H627">
        <f>IF(OR(ERP資料!C627="",ERP資料!D627=""),0,ERP資料!D627-ERP資料!C627+1)</f>
        <v/>
      </c>
    </row>
    <row r="628">
      <c r="A628" t="n">
        <v>628</v>
      </c>
      <c r="B628">
        <f>IF(ERP資料!A628="","",ERP資料!A628&amp;"|"&amp;ERP資料!E628&amp;"|"&amp;ERP資料!F628&amp;"|"&amp;ERP資料!G628&amp;"|"&amp;ERP資料!H628&amp;"|"&amp;ERP資料!O628)</f>
        <v/>
      </c>
      <c r="C628">
        <f>IF(B628="",0,IF(COUNTIF(B$2:B627,B628)=0,1,0))</f>
        <v/>
      </c>
      <c r="D628">
        <f>IF(B628="",0,SUMIFS($H$2:$H$801,$B$2:$B$801,B628))</f>
        <v/>
      </c>
      <c r="E628">
        <f>IF(NOT(AND(C628=1, TRIM(ERP資料!T628)="平板")), 0, IF(MAX(E$2:E627)=0, 1, IF(ERP資料!A628=INDEX(ERP資料!$A$2:$A627, MATCH(MAX(E$2:E627), E$2:E627, 0)), MAX(E$2:E627)+1, MAX(E$2:E627)+2)))</f>
        <v/>
      </c>
      <c r="F628">
        <f>IF(NOT(AND(C628=1, TRIM(ERP資料!T628)="平板")), 0, IF(MAX(F$2:F627)=0, 1, IF(ERP資料!A628=INDEX(ERP資料!$A$2:$A627, MATCH(MAX(F$2:F627), F$2:F627, 0)), MAX(F$2:F627)+1, MAX(F$2:F627)+2)))</f>
        <v/>
      </c>
      <c r="G628">
        <f>IF(NOT(AND(C628=1, TRIM(ERP資料!T628)="捲筒")), 0, IF(MAX(G$2:G627)=0, 1, IF(ERP資料!A628=INDEX(ERP資料!$A$2:$A627, MATCH(MAX(G$2:G627), G$2:G627, 0)), MAX(G$2:G627)+1, MAX(G$2:G627)+2)))</f>
        <v/>
      </c>
      <c r="H628">
        <f>IF(OR(ERP資料!C628="",ERP資料!D628=""),0,ERP資料!D628-ERP資料!C628+1)</f>
        <v/>
      </c>
    </row>
    <row r="629">
      <c r="A629" t="n">
        <v>629</v>
      </c>
      <c r="B629">
        <f>IF(ERP資料!A629="","",ERP資料!A629&amp;"|"&amp;ERP資料!E629&amp;"|"&amp;ERP資料!F629&amp;"|"&amp;ERP資料!G629&amp;"|"&amp;ERP資料!H629&amp;"|"&amp;ERP資料!O629)</f>
        <v/>
      </c>
      <c r="C629">
        <f>IF(B629="",0,IF(COUNTIF(B$2:B628,B629)=0,1,0))</f>
        <v/>
      </c>
      <c r="D629">
        <f>IF(B629="",0,SUMIFS($H$2:$H$801,$B$2:$B$801,B629))</f>
        <v/>
      </c>
      <c r="E629">
        <f>IF(NOT(AND(C629=1, TRIM(ERP資料!T629)="平板")), 0, IF(MAX(E$2:E628)=0, 1, IF(ERP資料!A629=INDEX(ERP資料!$A$2:$A628, MATCH(MAX(E$2:E628), E$2:E628, 0)), MAX(E$2:E628)+1, MAX(E$2:E628)+2)))</f>
        <v/>
      </c>
      <c r="F629">
        <f>IF(NOT(AND(C629=1, TRIM(ERP資料!T629)="平板")), 0, IF(MAX(F$2:F628)=0, 1, IF(ERP資料!A629=INDEX(ERP資料!$A$2:$A628, MATCH(MAX(F$2:F628), F$2:F628, 0)), MAX(F$2:F628)+1, MAX(F$2:F628)+2)))</f>
        <v/>
      </c>
      <c r="G629">
        <f>IF(NOT(AND(C629=1, TRIM(ERP資料!T629)="捲筒")), 0, IF(MAX(G$2:G628)=0, 1, IF(ERP資料!A629=INDEX(ERP資料!$A$2:$A628, MATCH(MAX(G$2:G628), G$2:G628, 0)), MAX(G$2:G628)+1, MAX(G$2:G628)+2)))</f>
        <v/>
      </c>
      <c r="H629">
        <f>IF(OR(ERP資料!C629="",ERP資料!D629=""),0,ERP資料!D629-ERP資料!C629+1)</f>
        <v/>
      </c>
    </row>
    <row r="630">
      <c r="A630" t="n">
        <v>630</v>
      </c>
      <c r="B630">
        <f>IF(ERP資料!A630="","",ERP資料!A630&amp;"|"&amp;ERP資料!E630&amp;"|"&amp;ERP資料!F630&amp;"|"&amp;ERP資料!G630&amp;"|"&amp;ERP資料!H630&amp;"|"&amp;ERP資料!O630)</f>
        <v/>
      </c>
      <c r="C630">
        <f>IF(B630="",0,IF(COUNTIF(B$2:B629,B630)=0,1,0))</f>
        <v/>
      </c>
      <c r="D630">
        <f>IF(B630="",0,SUMIFS($H$2:$H$801,$B$2:$B$801,B630))</f>
        <v/>
      </c>
      <c r="E630">
        <f>IF(NOT(AND(C630=1, TRIM(ERP資料!T630)="平板")), 0, IF(MAX(E$2:E629)=0, 1, IF(ERP資料!A630=INDEX(ERP資料!$A$2:$A629, MATCH(MAX(E$2:E629), E$2:E629, 0)), MAX(E$2:E629)+1, MAX(E$2:E629)+2)))</f>
        <v/>
      </c>
      <c r="F630">
        <f>IF(NOT(AND(C630=1, TRIM(ERP資料!T630)="平板")), 0, IF(MAX(F$2:F629)=0, 1, IF(ERP資料!A630=INDEX(ERP資料!$A$2:$A629, MATCH(MAX(F$2:F629), F$2:F629, 0)), MAX(F$2:F629)+1, MAX(F$2:F629)+2)))</f>
        <v/>
      </c>
      <c r="G630">
        <f>IF(NOT(AND(C630=1, TRIM(ERP資料!T630)="捲筒")), 0, IF(MAX(G$2:G629)=0, 1, IF(ERP資料!A630=INDEX(ERP資料!$A$2:$A629, MATCH(MAX(G$2:G629), G$2:G629, 0)), MAX(G$2:G629)+1, MAX(G$2:G629)+2)))</f>
        <v/>
      </c>
      <c r="H630">
        <f>IF(OR(ERP資料!C630="",ERP資料!D630=""),0,ERP資料!D630-ERP資料!C630+1)</f>
        <v/>
      </c>
    </row>
    <row r="631">
      <c r="A631" t="n">
        <v>631</v>
      </c>
      <c r="B631">
        <f>IF(ERP資料!A631="","",ERP資料!A631&amp;"|"&amp;ERP資料!E631&amp;"|"&amp;ERP資料!F631&amp;"|"&amp;ERP資料!G631&amp;"|"&amp;ERP資料!H631&amp;"|"&amp;ERP資料!O631)</f>
        <v/>
      </c>
      <c r="C631">
        <f>IF(B631="",0,IF(COUNTIF(B$2:B630,B631)=0,1,0))</f>
        <v/>
      </c>
      <c r="D631">
        <f>IF(B631="",0,SUMIFS($H$2:$H$801,$B$2:$B$801,B631))</f>
        <v/>
      </c>
      <c r="E631">
        <f>IF(NOT(AND(C631=1, TRIM(ERP資料!T631)="平板")), 0, IF(MAX(E$2:E630)=0, 1, IF(ERP資料!A631=INDEX(ERP資料!$A$2:$A630, MATCH(MAX(E$2:E630), E$2:E630, 0)), MAX(E$2:E630)+1, MAX(E$2:E630)+2)))</f>
        <v/>
      </c>
      <c r="F631">
        <f>IF(NOT(AND(C631=1, TRIM(ERP資料!T631)="平板")), 0, IF(MAX(F$2:F630)=0, 1, IF(ERP資料!A631=INDEX(ERP資料!$A$2:$A630, MATCH(MAX(F$2:F630), F$2:F630, 0)), MAX(F$2:F630)+1, MAX(F$2:F630)+2)))</f>
        <v/>
      </c>
      <c r="G631">
        <f>IF(NOT(AND(C631=1, TRIM(ERP資料!T631)="捲筒")), 0, IF(MAX(G$2:G630)=0, 1, IF(ERP資料!A631=INDEX(ERP資料!$A$2:$A630, MATCH(MAX(G$2:G630), G$2:G630, 0)), MAX(G$2:G630)+1, MAX(G$2:G630)+2)))</f>
        <v/>
      </c>
      <c r="H631">
        <f>IF(OR(ERP資料!C631="",ERP資料!D631=""),0,ERP資料!D631-ERP資料!C631+1)</f>
        <v/>
      </c>
    </row>
    <row r="632">
      <c r="A632" t="n">
        <v>632</v>
      </c>
      <c r="B632">
        <f>IF(ERP資料!A632="","",ERP資料!A632&amp;"|"&amp;ERP資料!E632&amp;"|"&amp;ERP資料!F632&amp;"|"&amp;ERP資料!G632&amp;"|"&amp;ERP資料!H632&amp;"|"&amp;ERP資料!O632)</f>
        <v/>
      </c>
      <c r="C632">
        <f>IF(B632="",0,IF(COUNTIF(B$2:B631,B632)=0,1,0))</f>
        <v/>
      </c>
      <c r="D632">
        <f>IF(B632="",0,SUMIFS($H$2:$H$801,$B$2:$B$801,B632))</f>
        <v/>
      </c>
      <c r="E632">
        <f>IF(NOT(AND(C632=1, TRIM(ERP資料!T632)="平板")), 0, IF(MAX(E$2:E631)=0, 1, IF(ERP資料!A632=INDEX(ERP資料!$A$2:$A631, MATCH(MAX(E$2:E631), E$2:E631, 0)), MAX(E$2:E631)+1, MAX(E$2:E631)+2)))</f>
        <v/>
      </c>
      <c r="F632">
        <f>IF(NOT(AND(C632=1, TRIM(ERP資料!T632)="平板")), 0, IF(MAX(F$2:F631)=0, 1, IF(ERP資料!A632=INDEX(ERP資料!$A$2:$A631, MATCH(MAX(F$2:F631), F$2:F631, 0)), MAX(F$2:F631)+1, MAX(F$2:F631)+2)))</f>
        <v/>
      </c>
      <c r="G632">
        <f>IF(NOT(AND(C632=1, TRIM(ERP資料!T632)="捲筒")), 0, IF(MAX(G$2:G631)=0, 1, IF(ERP資料!A632=INDEX(ERP資料!$A$2:$A631, MATCH(MAX(G$2:G631), G$2:G631, 0)), MAX(G$2:G631)+1, MAX(G$2:G631)+2)))</f>
        <v/>
      </c>
      <c r="H632">
        <f>IF(OR(ERP資料!C632="",ERP資料!D632=""),0,ERP資料!D632-ERP資料!C632+1)</f>
        <v/>
      </c>
    </row>
    <row r="633">
      <c r="A633" t="n">
        <v>633</v>
      </c>
      <c r="B633">
        <f>IF(ERP資料!A633="","",ERP資料!A633&amp;"|"&amp;ERP資料!E633&amp;"|"&amp;ERP資料!F633&amp;"|"&amp;ERP資料!G633&amp;"|"&amp;ERP資料!H633&amp;"|"&amp;ERP資料!O633)</f>
        <v/>
      </c>
      <c r="C633">
        <f>IF(B633="",0,IF(COUNTIF(B$2:B632,B633)=0,1,0))</f>
        <v/>
      </c>
      <c r="D633">
        <f>IF(B633="",0,SUMIFS($H$2:$H$801,$B$2:$B$801,B633))</f>
        <v/>
      </c>
      <c r="E633">
        <f>IF(NOT(AND(C633=1, TRIM(ERP資料!T633)="平板")), 0, IF(MAX(E$2:E632)=0, 1, IF(ERP資料!A633=INDEX(ERP資料!$A$2:$A632, MATCH(MAX(E$2:E632), E$2:E632, 0)), MAX(E$2:E632)+1, MAX(E$2:E632)+2)))</f>
        <v/>
      </c>
      <c r="F633">
        <f>IF(NOT(AND(C633=1, TRIM(ERP資料!T633)="平板")), 0, IF(MAX(F$2:F632)=0, 1, IF(ERP資料!A633=INDEX(ERP資料!$A$2:$A632, MATCH(MAX(F$2:F632), F$2:F632, 0)), MAX(F$2:F632)+1, MAX(F$2:F632)+2)))</f>
        <v/>
      </c>
      <c r="G633">
        <f>IF(NOT(AND(C633=1, TRIM(ERP資料!T633)="捲筒")), 0, IF(MAX(G$2:G632)=0, 1, IF(ERP資料!A633=INDEX(ERP資料!$A$2:$A632, MATCH(MAX(G$2:G632), G$2:G632, 0)), MAX(G$2:G632)+1, MAX(G$2:G632)+2)))</f>
        <v/>
      </c>
      <c r="H633">
        <f>IF(OR(ERP資料!C633="",ERP資料!D633=""),0,ERP資料!D633-ERP資料!C633+1)</f>
        <v/>
      </c>
    </row>
    <row r="634">
      <c r="A634" t="n">
        <v>634</v>
      </c>
      <c r="B634">
        <f>IF(ERP資料!A634="","",ERP資料!A634&amp;"|"&amp;ERP資料!E634&amp;"|"&amp;ERP資料!F634&amp;"|"&amp;ERP資料!G634&amp;"|"&amp;ERP資料!H634&amp;"|"&amp;ERP資料!O634)</f>
        <v/>
      </c>
      <c r="C634">
        <f>IF(B634="",0,IF(COUNTIF(B$2:B633,B634)=0,1,0))</f>
        <v/>
      </c>
      <c r="D634">
        <f>IF(B634="",0,SUMIFS($H$2:$H$801,$B$2:$B$801,B634))</f>
        <v/>
      </c>
      <c r="E634">
        <f>IF(NOT(AND(C634=1, TRIM(ERP資料!T634)="平板")), 0, IF(MAX(E$2:E633)=0, 1, IF(ERP資料!A634=INDEX(ERP資料!$A$2:$A633, MATCH(MAX(E$2:E633), E$2:E633, 0)), MAX(E$2:E633)+1, MAX(E$2:E633)+2)))</f>
        <v/>
      </c>
      <c r="F634">
        <f>IF(NOT(AND(C634=1, TRIM(ERP資料!T634)="平板")), 0, IF(MAX(F$2:F633)=0, 1, IF(ERP資料!A634=INDEX(ERP資料!$A$2:$A633, MATCH(MAX(F$2:F633), F$2:F633, 0)), MAX(F$2:F633)+1, MAX(F$2:F633)+2)))</f>
        <v/>
      </c>
      <c r="G634">
        <f>IF(NOT(AND(C634=1, TRIM(ERP資料!T634)="捲筒")), 0, IF(MAX(G$2:G633)=0, 1, IF(ERP資料!A634=INDEX(ERP資料!$A$2:$A633, MATCH(MAX(G$2:G633), G$2:G633, 0)), MAX(G$2:G633)+1, MAX(G$2:G633)+2)))</f>
        <v/>
      </c>
      <c r="H634">
        <f>IF(OR(ERP資料!C634="",ERP資料!D634=""),0,ERP資料!D634-ERP資料!C634+1)</f>
        <v/>
      </c>
    </row>
    <row r="635">
      <c r="A635" t="n">
        <v>635</v>
      </c>
      <c r="B635">
        <f>IF(ERP資料!A635="","",ERP資料!A635&amp;"|"&amp;ERP資料!E635&amp;"|"&amp;ERP資料!F635&amp;"|"&amp;ERP資料!G635&amp;"|"&amp;ERP資料!H635&amp;"|"&amp;ERP資料!O635)</f>
        <v/>
      </c>
      <c r="C635">
        <f>IF(B635="",0,IF(COUNTIF(B$2:B634,B635)=0,1,0))</f>
        <v/>
      </c>
      <c r="D635">
        <f>IF(B635="",0,SUMIFS($H$2:$H$801,$B$2:$B$801,B635))</f>
        <v/>
      </c>
      <c r="E635">
        <f>IF(NOT(AND(C635=1, TRIM(ERP資料!T635)="平板")), 0, IF(MAX(E$2:E634)=0, 1, IF(ERP資料!A635=INDEX(ERP資料!$A$2:$A634, MATCH(MAX(E$2:E634), E$2:E634, 0)), MAX(E$2:E634)+1, MAX(E$2:E634)+2)))</f>
        <v/>
      </c>
      <c r="F635">
        <f>IF(NOT(AND(C635=1, TRIM(ERP資料!T635)="平板")), 0, IF(MAX(F$2:F634)=0, 1, IF(ERP資料!A635=INDEX(ERP資料!$A$2:$A634, MATCH(MAX(F$2:F634), F$2:F634, 0)), MAX(F$2:F634)+1, MAX(F$2:F634)+2)))</f>
        <v/>
      </c>
      <c r="G635">
        <f>IF(NOT(AND(C635=1, TRIM(ERP資料!T635)="捲筒")), 0, IF(MAX(G$2:G634)=0, 1, IF(ERP資料!A635=INDEX(ERP資料!$A$2:$A634, MATCH(MAX(G$2:G634), G$2:G634, 0)), MAX(G$2:G634)+1, MAX(G$2:G634)+2)))</f>
        <v/>
      </c>
      <c r="H635">
        <f>IF(OR(ERP資料!C635="",ERP資料!D635=""),0,ERP資料!D635-ERP資料!C635+1)</f>
        <v/>
      </c>
    </row>
    <row r="636">
      <c r="A636" t="n">
        <v>636</v>
      </c>
      <c r="B636">
        <f>IF(ERP資料!A636="","",ERP資料!A636&amp;"|"&amp;ERP資料!E636&amp;"|"&amp;ERP資料!F636&amp;"|"&amp;ERP資料!G636&amp;"|"&amp;ERP資料!H636&amp;"|"&amp;ERP資料!O636)</f>
        <v/>
      </c>
      <c r="C636">
        <f>IF(B636="",0,IF(COUNTIF(B$2:B635,B636)=0,1,0))</f>
        <v/>
      </c>
      <c r="D636">
        <f>IF(B636="",0,SUMIFS($H$2:$H$801,$B$2:$B$801,B636))</f>
        <v/>
      </c>
      <c r="E636">
        <f>IF(NOT(AND(C636=1, TRIM(ERP資料!T636)="平板")), 0, IF(MAX(E$2:E635)=0, 1, IF(ERP資料!A636=INDEX(ERP資料!$A$2:$A635, MATCH(MAX(E$2:E635), E$2:E635, 0)), MAX(E$2:E635)+1, MAX(E$2:E635)+2)))</f>
        <v/>
      </c>
      <c r="F636">
        <f>IF(NOT(AND(C636=1, TRIM(ERP資料!T636)="平板")), 0, IF(MAX(F$2:F635)=0, 1, IF(ERP資料!A636=INDEX(ERP資料!$A$2:$A635, MATCH(MAX(F$2:F635), F$2:F635, 0)), MAX(F$2:F635)+1, MAX(F$2:F635)+2)))</f>
        <v/>
      </c>
      <c r="G636">
        <f>IF(NOT(AND(C636=1, TRIM(ERP資料!T636)="捲筒")), 0, IF(MAX(G$2:G635)=0, 1, IF(ERP資料!A636=INDEX(ERP資料!$A$2:$A635, MATCH(MAX(G$2:G635), G$2:G635, 0)), MAX(G$2:G635)+1, MAX(G$2:G635)+2)))</f>
        <v/>
      </c>
      <c r="H636">
        <f>IF(OR(ERP資料!C636="",ERP資料!D636=""),0,ERP資料!D636-ERP資料!C636+1)</f>
        <v/>
      </c>
    </row>
    <row r="637">
      <c r="A637" t="n">
        <v>637</v>
      </c>
      <c r="B637">
        <f>IF(ERP資料!A637="","",ERP資料!A637&amp;"|"&amp;ERP資料!E637&amp;"|"&amp;ERP資料!F637&amp;"|"&amp;ERP資料!G637&amp;"|"&amp;ERP資料!H637&amp;"|"&amp;ERP資料!O637)</f>
        <v/>
      </c>
      <c r="C637">
        <f>IF(B637="",0,IF(COUNTIF(B$2:B636,B637)=0,1,0))</f>
        <v/>
      </c>
      <c r="D637">
        <f>IF(B637="",0,SUMIFS($H$2:$H$801,$B$2:$B$801,B637))</f>
        <v/>
      </c>
      <c r="E637">
        <f>IF(NOT(AND(C637=1, TRIM(ERP資料!T637)="平板")), 0, IF(MAX(E$2:E636)=0, 1, IF(ERP資料!A637=INDEX(ERP資料!$A$2:$A636, MATCH(MAX(E$2:E636), E$2:E636, 0)), MAX(E$2:E636)+1, MAX(E$2:E636)+2)))</f>
        <v/>
      </c>
      <c r="F637">
        <f>IF(NOT(AND(C637=1, TRIM(ERP資料!T637)="平板")), 0, IF(MAX(F$2:F636)=0, 1, IF(ERP資料!A637=INDEX(ERP資料!$A$2:$A636, MATCH(MAX(F$2:F636), F$2:F636, 0)), MAX(F$2:F636)+1, MAX(F$2:F636)+2)))</f>
        <v/>
      </c>
      <c r="G637">
        <f>IF(NOT(AND(C637=1, TRIM(ERP資料!T637)="捲筒")), 0, IF(MAX(G$2:G636)=0, 1, IF(ERP資料!A637=INDEX(ERP資料!$A$2:$A636, MATCH(MAX(G$2:G636), G$2:G636, 0)), MAX(G$2:G636)+1, MAX(G$2:G636)+2)))</f>
        <v/>
      </c>
      <c r="H637">
        <f>IF(OR(ERP資料!C637="",ERP資料!D637=""),0,ERP資料!D637-ERP資料!C637+1)</f>
        <v/>
      </c>
    </row>
    <row r="638">
      <c r="A638" t="n">
        <v>638</v>
      </c>
      <c r="B638">
        <f>IF(ERP資料!A638="","",ERP資料!A638&amp;"|"&amp;ERP資料!E638&amp;"|"&amp;ERP資料!F638&amp;"|"&amp;ERP資料!G638&amp;"|"&amp;ERP資料!H638&amp;"|"&amp;ERP資料!O638)</f>
        <v/>
      </c>
      <c r="C638">
        <f>IF(B638="",0,IF(COUNTIF(B$2:B637,B638)=0,1,0))</f>
        <v/>
      </c>
      <c r="D638">
        <f>IF(B638="",0,SUMIFS($H$2:$H$801,$B$2:$B$801,B638))</f>
        <v/>
      </c>
      <c r="E638">
        <f>IF(NOT(AND(C638=1, TRIM(ERP資料!T638)="平板")), 0, IF(MAX(E$2:E637)=0, 1, IF(ERP資料!A638=INDEX(ERP資料!$A$2:$A637, MATCH(MAX(E$2:E637), E$2:E637, 0)), MAX(E$2:E637)+1, MAX(E$2:E637)+2)))</f>
        <v/>
      </c>
      <c r="F638">
        <f>IF(NOT(AND(C638=1, TRIM(ERP資料!T638)="平板")), 0, IF(MAX(F$2:F637)=0, 1, IF(ERP資料!A638=INDEX(ERP資料!$A$2:$A637, MATCH(MAX(F$2:F637), F$2:F637, 0)), MAX(F$2:F637)+1, MAX(F$2:F637)+2)))</f>
        <v/>
      </c>
      <c r="G638">
        <f>IF(NOT(AND(C638=1, TRIM(ERP資料!T638)="捲筒")), 0, IF(MAX(G$2:G637)=0, 1, IF(ERP資料!A638=INDEX(ERP資料!$A$2:$A637, MATCH(MAX(G$2:G637), G$2:G637, 0)), MAX(G$2:G637)+1, MAX(G$2:G637)+2)))</f>
        <v/>
      </c>
      <c r="H638">
        <f>IF(OR(ERP資料!C638="",ERP資料!D638=""),0,ERP資料!D638-ERP資料!C638+1)</f>
        <v/>
      </c>
    </row>
    <row r="639">
      <c r="A639" t="n">
        <v>639</v>
      </c>
      <c r="B639">
        <f>IF(ERP資料!A639="","",ERP資料!A639&amp;"|"&amp;ERP資料!E639&amp;"|"&amp;ERP資料!F639&amp;"|"&amp;ERP資料!G639&amp;"|"&amp;ERP資料!H639&amp;"|"&amp;ERP資料!O639)</f>
        <v/>
      </c>
      <c r="C639">
        <f>IF(B639="",0,IF(COUNTIF(B$2:B638,B639)=0,1,0))</f>
        <v/>
      </c>
      <c r="D639">
        <f>IF(B639="",0,SUMIFS($H$2:$H$801,$B$2:$B$801,B639))</f>
        <v/>
      </c>
      <c r="E639">
        <f>IF(NOT(AND(C639=1, TRIM(ERP資料!T639)="平板")), 0, IF(MAX(E$2:E638)=0, 1, IF(ERP資料!A639=INDEX(ERP資料!$A$2:$A638, MATCH(MAX(E$2:E638), E$2:E638, 0)), MAX(E$2:E638)+1, MAX(E$2:E638)+2)))</f>
        <v/>
      </c>
      <c r="F639">
        <f>IF(NOT(AND(C639=1, TRIM(ERP資料!T639)="平板")), 0, IF(MAX(F$2:F638)=0, 1, IF(ERP資料!A639=INDEX(ERP資料!$A$2:$A638, MATCH(MAX(F$2:F638), F$2:F638, 0)), MAX(F$2:F638)+1, MAX(F$2:F638)+2)))</f>
        <v/>
      </c>
      <c r="G639">
        <f>IF(NOT(AND(C639=1, TRIM(ERP資料!T639)="捲筒")), 0, IF(MAX(G$2:G638)=0, 1, IF(ERP資料!A639=INDEX(ERP資料!$A$2:$A638, MATCH(MAX(G$2:G638), G$2:G638, 0)), MAX(G$2:G638)+1, MAX(G$2:G638)+2)))</f>
        <v/>
      </c>
      <c r="H639">
        <f>IF(OR(ERP資料!C639="",ERP資料!D639=""),0,ERP資料!D639-ERP資料!C639+1)</f>
        <v/>
      </c>
    </row>
    <row r="640">
      <c r="A640" t="n">
        <v>640</v>
      </c>
      <c r="B640">
        <f>IF(ERP資料!A640="","",ERP資料!A640&amp;"|"&amp;ERP資料!E640&amp;"|"&amp;ERP資料!F640&amp;"|"&amp;ERP資料!G640&amp;"|"&amp;ERP資料!H640&amp;"|"&amp;ERP資料!O640)</f>
        <v/>
      </c>
      <c r="C640">
        <f>IF(B640="",0,IF(COUNTIF(B$2:B639,B640)=0,1,0))</f>
        <v/>
      </c>
      <c r="D640">
        <f>IF(B640="",0,SUMIFS($H$2:$H$801,$B$2:$B$801,B640))</f>
        <v/>
      </c>
      <c r="E640">
        <f>IF(NOT(AND(C640=1, TRIM(ERP資料!T640)="平板")), 0, IF(MAX(E$2:E639)=0, 1, IF(ERP資料!A640=INDEX(ERP資料!$A$2:$A639, MATCH(MAX(E$2:E639), E$2:E639, 0)), MAX(E$2:E639)+1, MAX(E$2:E639)+2)))</f>
        <v/>
      </c>
      <c r="F640">
        <f>IF(NOT(AND(C640=1, TRIM(ERP資料!T640)="平板")), 0, IF(MAX(F$2:F639)=0, 1, IF(ERP資料!A640=INDEX(ERP資料!$A$2:$A639, MATCH(MAX(F$2:F639), F$2:F639, 0)), MAX(F$2:F639)+1, MAX(F$2:F639)+2)))</f>
        <v/>
      </c>
      <c r="G640">
        <f>IF(NOT(AND(C640=1, TRIM(ERP資料!T640)="捲筒")), 0, IF(MAX(G$2:G639)=0, 1, IF(ERP資料!A640=INDEX(ERP資料!$A$2:$A639, MATCH(MAX(G$2:G639), G$2:G639, 0)), MAX(G$2:G639)+1, MAX(G$2:G639)+2)))</f>
        <v/>
      </c>
      <c r="H640">
        <f>IF(OR(ERP資料!C640="",ERP資料!D640=""),0,ERP資料!D640-ERP資料!C640+1)</f>
        <v/>
      </c>
    </row>
    <row r="641">
      <c r="A641" t="n">
        <v>641</v>
      </c>
      <c r="B641">
        <f>IF(ERP資料!A641="","",ERP資料!A641&amp;"|"&amp;ERP資料!E641&amp;"|"&amp;ERP資料!F641&amp;"|"&amp;ERP資料!G641&amp;"|"&amp;ERP資料!H641&amp;"|"&amp;ERP資料!O641)</f>
        <v/>
      </c>
      <c r="C641">
        <f>IF(B641="",0,IF(COUNTIF(B$2:B640,B641)=0,1,0))</f>
        <v/>
      </c>
      <c r="D641">
        <f>IF(B641="",0,SUMIFS($H$2:$H$801,$B$2:$B$801,B641))</f>
        <v/>
      </c>
      <c r="E641">
        <f>IF(NOT(AND(C641=1, TRIM(ERP資料!T641)="平板")), 0, IF(MAX(E$2:E640)=0, 1, IF(ERP資料!A641=INDEX(ERP資料!$A$2:$A640, MATCH(MAX(E$2:E640), E$2:E640, 0)), MAX(E$2:E640)+1, MAX(E$2:E640)+2)))</f>
        <v/>
      </c>
      <c r="F641">
        <f>IF(NOT(AND(C641=1, TRIM(ERP資料!T641)="平板")), 0, IF(MAX(F$2:F640)=0, 1, IF(ERP資料!A641=INDEX(ERP資料!$A$2:$A640, MATCH(MAX(F$2:F640), F$2:F640, 0)), MAX(F$2:F640)+1, MAX(F$2:F640)+2)))</f>
        <v/>
      </c>
      <c r="G641">
        <f>IF(NOT(AND(C641=1, TRIM(ERP資料!T641)="捲筒")), 0, IF(MAX(G$2:G640)=0, 1, IF(ERP資料!A641=INDEX(ERP資料!$A$2:$A640, MATCH(MAX(G$2:G640), G$2:G640, 0)), MAX(G$2:G640)+1, MAX(G$2:G640)+2)))</f>
        <v/>
      </c>
      <c r="H641">
        <f>IF(OR(ERP資料!C641="",ERP資料!D641=""),0,ERP資料!D641-ERP資料!C641+1)</f>
        <v/>
      </c>
    </row>
    <row r="642">
      <c r="A642" t="n">
        <v>642</v>
      </c>
      <c r="B642">
        <f>IF(ERP資料!A642="","",ERP資料!A642&amp;"|"&amp;ERP資料!E642&amp;"|"&amp;ERP資料!F642&amp;"|"&amp;ERP資料!G642&amp;"|"&amp;ERP資料!H642&amp;"|"&amp;ERP資料!O642)</f>
        <v/>
      </c>
      <c r="C642">
        <f>IF(B642="",0,IF(COUNTIF(B$2:B641,B642)=0,1,0))</f>
        <v/>
      </c>
      <c r="D642">
        <f>IF(B642="",0,SUMIFS($H$2:$H$801,$B$2:$B$801,B642))</f>
        <v/>
      </c>
      <c r="E642">
        <f>IF(NOT(AND(C642=1, TRIM(ERP資料!T642)="平板")), 0, IF(MAX(E$2:E641)=0, 1, IF(ERP資料!A642=INDEX(ERP資料!$A$2:$A641, MATCH(MAX(E$2:E641), E$2:E641, 0)), MAX(E$2:E641)+1, MAX(E$2:E641)+2)))</f>
        <v/>
      </c>
      <c r="F642">
        <f>IF(NOT(AND(C642=1, TRIM(ERP資料!T642)="平板")), 0, IF(MAX(F$2:F641)=0, 1, IF(ERP資料!A642=INDEX(ERP資料!$A$2:$A641, MATCH(MAX(F$2:F641), F$2:F641, 0)), MAX(F$2:F641)+1, MAX(F$2:F641)+2)))</f>
        <v/>
      </c>
      <c r="G642">
        <f>IF(NOT(AND(C642=1, TRIM(ERP資料!T642)="捲筒")), 0, IF(MAX(G$2:G641)=0, 1, IF(ERP資料!A642=INDEX(ERP資料!$A$2:$A641, MATCH(MAX(G$2:G641), G$2:G641, 0)), MAX(G$2:G641)+1, MAX(G$2:G641)+2)))</f>
        <v/>
      </c>
      <c r="H642">
        <f>IF(OR(ERP資料!C642="",ERP資料!D642=""),0,ERP資料!D642-ERP資料!C642+1)</f>
        <v/>
      </c>
    </row>
    <row r="643">
      <c r="A643" t="n">
        <v>643</v>
      </c>
      <c r="B643">
        <f>IF(ERP資料!A643="","",ERP資料!A643&amp;"|"&amp;ERP資料!E643&amp;"|"&amp;ERP資料!F643&amp;"|"&amp;ERP資料!G643&amp;"|"&amp;ERP資料!H643&amp;"|"&amp;ERP資料!O643)</f>
        <v/>
      </c>
      <c r="C643">
        <f>IF(B643="",0,IF(COUNTIF(B$2:B642,B643)=0,1,0))</f>
        <v/>
      </c>
      <c r="D643">
        <f>IF(B643="",0,SUMIFS($H$2:$H$801,$B$2:$B$801,B643))</f>
        <v/>
      </c>
      <c r="E643">
        <f>IF(NOT(AND(C643=1, TRIM(ERP資料!T643)="平板")), 0, IF(MAX(E$2:E642)=0, 1, IF(ERP資料!A643=INDEX(ERP資料!$A$2:$A642, MATCH(MAX(E$2:E642), E$2:E642, 0)), MAX(E$2:E642)+1, MAX(E$2:E642)+2)))</f>
        <v/>
      </c>
      <c r="F643">
        <f>IF(NOT(AND(C643=1, TRIM(ERP資料!T643)="平板")), 0, IF(MAX(F$2:F642)=0, 1, IF(ERP資料!A643=INDEX(ERP資料!$A$2:$A642, MATCH(MAX(F$2:F642), F$2:F642, 0)), MAX(F$2:F642)+1, MAX(F$2:F642)+2)))</f>
        <v/>
      </c>
      <c r="G643">
        <f>IF(NOT(AND(C643=1, TRIM(ERP資料!T643)="捲筒")), 0, IF(MAX(G$2:G642)=0, 1, IF(ERP資料!A643=INDEX(ERP資料!$A$2:$A642, MATCH(MAX(G$2:G642), G$2:G642, 0)), MAX(G$2:G642)+1, MAX(G$2:G642)+2)))</f>
        <v/>
      </c>
      <c r="H643">
        <f>IF(OR(ERP資料!C643="",ERP資料!D643=""),0,ERP資料!D643-ERP資料!C643+1)</f>
        <v/>
      </c>
    </row>
    <row r="644">
      <c r="A644" t="n">
        <v>644</v>
      </c>
      <c r="B644">
        <f>IF(ERP資料!A644="","",ERP資料!A644&amp;"|"&amp;ERP資料!E644&amp;"|"&amp;ERP資料!F644&amp;"|"&amp;ERP資料!G644&amp;"|"&amp;ERP資料!H644&amp;"|"&amp;ERP資料!O644)</f>
        <v/>
      </c>
      <c r="C644">
        <f>IF(B644="",0,IF(COUNTIF(B$2:B643,B644)=0,1,0))</f>
        <v/>
      </c>
      <c r="D644">
        <f>IF(B644="",0,SUMIFS($H$2:$H$801,$B$2:$B$801,B644))</f>
        <v/>
      </c>
      <c r="E644">
        <f>IF(NOT(AND(C644=1, TRIM(ERP資料!T644)="平板")), 0, IF(MAX(E$2:E643)=0, 1, IF(ERP資料!A644=INDEX(ERP資料!$A$2:$A643, MATCH(MAX(E$2:E643), E$2:E643, 0)), MAX(E$2:E643)+1, MAX(E$2:E643)+2)))</f>
        <v/>
      </c>
      <c r="F644">
        <f>IF(NOT(AND(C644=1, TRIM(ERP資料!T644)="平板")), 0, IF(MAX(F$2:F643)=0, 1, IF(ERP資料!A644=INDEX(ERP資料!$A$2:$A643, MATCH(MAX(F$2:F643), F$2:F643, 0)), MAX(F$2:F643)+1, MAX(F$2:F643)+2)))</f>
        <v/>
      </c>
      <c r="G644">
        <f>IF(NOT(AND(C644=1, TRIM(ERP資料!T644)="捲筒")), 0, IF(MAX(G$2:G643)=0, 1, IF(ERP資料!A644=INDEX(ERP資料!$A$2:$A643, MATCH(MAX(G$2:G643), G$2:G643, 0)), MAX(G$2:G643)+1, MAX(G$2:G643)+2)))</f>
        <v/>
      </c>
      <c r="H644">
        <f>IF(OR(ERP資料!C644="",ERP資料!D644=""),0,ERP資料!D644-ERP資料!C644+1)</f>
        <v/>
      </c>
    </row>
    <row r="645">
      <c r="A645" t="n">
        <v>645</v>
      </c>
      <c r="B645">
        <f>IF(ERP資料!A645="","",ERP資料!A645&amp;"|"&amp;ERP資料!E645&amp;"|"&amp;ERP資料!F645&amp;"|"&amp;ERP資料!G645&amp;"|"&amp;ERP資料!H645&amp;"|"&amp;ERP資料!O645)</f>
        <v/>
      </c>
      <c r="C645">
        <f>IF(B645="",0,IF(COUNTIF(B$2:B644,B645)=0,1,0))</f>
        <v/>
      </c>
      <c r="D645">
        <f>IF(B645="",0,SUMIFS($H$2:$H$801,$B$2:$B$801,B645))</f>
        <v/>
      </c>
      <c r="E645">
        <f>IF(NOT(AND(C645=1, TRIM(ERP資料!T645)="平板")), 0, IF(MAX(E$2:E644)=0, 1, IF(ERP資料!A645=INDEX(ERP資料!$A$2:$A644, MATCH(MAX(E$2:E644), E$2:E644, 0)), MAX(E$2:E644)+1, MAX(E$2:E644)+2)))</f>
        <v/>
      </c>
      <c r="F645">
        <f>IF(NOT(AND(C645=1, TRIM(ERP資料!T645)="平板")), 0, IF(MAX(F$2:F644)=0, 1, IF(ERP資料!A645=INDEX(ERP資料!$A$2:$A644, MATCH(MAX(F$2:F644), F$2:F644, 0)), MAX(F$2:F644)+1, MAX(F$2:F644)+2)))</f>
        <v/>
      </c>
      <c r="G645">
        <f>IF(NOT(AND(C645=1, TRIM(ERP資料!T645)="捲筒")), 0, IF(MAX(G$2:G644)=0, 1, IF(ERP資料!A645=INDEX(ERP資料!$A$2:$A644, MATCH(MAX(G$2:G644), G$2:G644, 0)), MAX(G$2:G644)+1, MAX(G$2:G644)+2)))</f>
        <v/>
      </c>
      <c r="H645">
        <f>IF(OR(ERP資料!C645="",ERP資料!D645=""),0,ERP資料!D645-ERP資料!C645+1)</f>
        <v/>
      </c>
    </row>
    <row r="646">
      <c r="A646" t="n">
        <v>646</v>
      </c>
      <c r="B646">
        <f>IF(ERP資料!A646="","",ERP資料!A646&amp;"|"&amp;ERP資料!E646&amp;"|"&amp;ERP資料!F646&amp;"|"&amp;ERP資料!G646&amp;"|"&amp;ERP資料!H646&amp;"|"&amp;ERP資料!O646)</f>
        <v/>
      </c>
      <c r="C646">
        <f>IF(B646="",0,IF(COUNTIF(B$2:B645,B646)=0,1,0))</f>
        <v/>
      </c>
      <c r="D646">
        <f>IF(B646="",0,SUMIFS($H$2:$H$801,$B$2:$B$801,B646))</f>
        <v/>
      </c>
      <c r="E646">
        <f>IF(NOT(AND(C646=1, TRIM(ERP資料!T646)="平板")), 0, IF(MAX(E$2:E645)=0, 1, IF(ERP資料!A646=INDEX(ERP資料!$A$2:$A645, MATCH(MAX(E$2:E645), E$2:E645, 0)), MAX(E$2:E645)+1, MAX(E$2:E645)+2)))</f>
        <v/>
      </c>
      <c r="F646">
        <f>IF(NOT(AND(C646=1, TRIM(ERP資料!T646)="平板")), 0, IF(MAX(F$2:F645)=0, 1, IF(ERP資料!A646=INDEX(ERP資料!$A$2:$A645, MATCH(MAX(F$2:F645), F$2:F645, 0)), MAX(F$2:F645)+1, MAX(F$2:F645)+2)))</f>
        <v/>
      </c>
      <c r="G646">
        <f>IF(NOT(AND(C646=1, TRIM(ERP資料!T646)="捲筒")), 0, IF(MAX(G$2:G645)=0, 1, IF(ERP資料!A646=INDEX(ERP資料!$A$2:$A645, MATCH(MAX(G$2:G645), G$2:G645, 0)), MAX(G$2:G645)+1, MAX(G$2:G645)+2)))</f>
        <v/>
      </c>
      <c r="H646">
        <f>IF(OR(ERP資料!C646="",ERP資料!D646=""),0,ERP資料!D646-ERP資料!C646+1)</f>
        <v/>
      </c>
    </row>
    <row r="647">
      <c r="A647" t="n">
        <v>647</v>
      </c>
      <c r="B647">
        <f>IF(ERP資料!A647="","",ERP資料!A647&amp;"|"&amp;ERP資料!E647&amp;"|"&amp;ERP資料!F647&amp;"|"&amp;ERP資料!G647&amp;"|"&amp;ERP資料!H647&amp;"|"&amp;ERP資料!O647)</f>
        <v/>
      </c>
      <c r="C647">
        <f>IF(B647="",0,IF(COUNTIF(B$2:B646,B647)=0,1,0))</f>
        <v/>
      </c>
      <c r="D647">
        <f>IF(B647="",0,SUMIFS($H$2:$H$801,$B$2:$B$801,B647))</f>
        <v/>
      </c>
      <c r="E647">
        <f>IF(NOT(AND(C647=1, TRIM(ERP資料!T647)="平板")), 0, IF(MAX(E$2:E646)=0, 1, IF(ERP資料!A647=INDEX(ERP資料!$A$2:$A646, MATCH(MAX(E$2:E646), E$2:E646, 0)), MAX(E$2:E646)+1, MAX(E$2:E646)+2)))</f>
        <v/>
      </c>
      <c r="F647">
        <f>IF(NOT(AND(C647=1, TRIM(ERP資料!T647)="平板")), 0, IF(MAX(F$2:F646)=0, 1, IF(ERP資料!A647=INDEX(ERP資料!$A$2:$A646, MATCH(MAX(F$2:F646), F$2:F646, 0)), MAX(F$2:F646)+1, MAX(F$2:F646)+2)))</f>
        <v/>
      </c>
      <c r="G647">
        <f>IF(NOT(AND(C647=1, TRIM(ERP資料!T647)="捲筒")), 0, IF(MAX(G$2:G646)=0, 1, IF(ERP資料!A647=INDEX(ERP資料!$A$2:$A646, MATCH(MAX(G$2:G646), G$2:G646, 0)), MAX(G$2:G646)+1, MAX(G$2:G646)+2)))</f>
        <v/>
      </c>
      <c r="H647">
        <f>IF(OR(ERP資料!C647="",ERP資料!D647=""),0,ERP資料!D647-ERP資料!C647+1)</f>
        <v/>
      </c>
    </row>
    <row r="648">
      <c r="A648" t="n">
        <v>648</v>
      </c>
      <c r="B648">
        <f>IF(ERP資料!A648="","",ERP資料!A648&amp;"|"&amp;ERP資料!E648&amp;"|"&amp;ERP資料!F648&amp;"|"&amp;ERP資料!G648&amp;"|"&amp;ERP資料!H648&amp;"|"&amp;ERP資料!O648)</f>
        <v/>
      </c>
      <c r="C648">
        <f>IF(B648="",0,IF(COUNTIF(B$2:B647,B648)=0,1,0))</f>
        <v/>
      </c>
      <c r="D648">
        <f>IF(B648="",0,SUMIFS($H$2:$H$801,$B$2:$B$801,B648))</f>
        <v/>
      </c>
      <c r="E648">
        <f>IF(NOT(AND(C648=1, TRIM(ERP資料!T648)="平板")), 0, IF(MAX(E$2:E647)=0, 1, IF(ERP資料!A648=INDEX(ERP資料!$A$2:$A647, MATCH(MAX(E$2:E647), E$2:E647, 0)), MAX(E$2:E647)+1, MAX(E$2:E647)+2)))</f>
        <v/>
      </c>
      <c r="F648">
        <f>IF(NOT(AND(C648=1, TRIM(ERP資料!T648)="平板")), 0, IF(MAX(F$2:F647)=0, 1, IF(ERP資料!A648=INDEX(ERP資料!$A$2:$A647, MATCH(MAX(F$2:F647), F$2:F647, 0)), MAX(F$2:F647)+1, MAX(F$2:F647)+2)))</f>
        <v/>
      </c>
      <c r="G648">
        <f>IF(NOT(AND(C648=1, TRIM(ERP資料!T648)="捲筒")), 0, IF(MAX(G$2:G647)=0, 1, IF(ERP資料!A648=INDEX(ERP資料!$A$2:$A647, MATCH(MAX(G$2:G647), G$2:G647, 0)), MAX(G$2:G647)+1, MAX(G$2:G647)+2)))</f>
        <v/>
      </c>
      <c r="H648">
        <f>IF(OR(ERP資料!C648="",ERP資料!D648=""),0,ERP資料!D648-ERP資料!C648+1)</f>
        <v/>
      </c>
    </row>
    <row r="649">
      <c r="A649" t="n">
        <v>649</v>
      </c>
      <c r="B649">
        <f>IF(ERP資料!A649="","",ERP資料!A649&amp;"|"&amp;ERP資料!E649&amp;"|"&amp;ERP資料!F649&amp;"|"&amp;ERP資料!G649&amp;"|"&amp;ERP資料!H649&amp;"|"&amp;ERP資料!O649)</f>
        <v/>
      </c>
      <c r="C649">
        <f>IF(B649="",0,IF(COUNTIF(B$2:B648,B649)=0,1,0))</f>
        <v/>
      </c>
      <c r="D649">
        <f>IF(B649="",0,SUMIFS($H$2:$H$801,$B$2:$B$801,B649))</f>
        <v/>
      </c>
      <c r="E649">
        <f>IF(NOT(AND(C649=1, TRIM(ERP資料!T649)="平板")), 0, IF(MAX(E$2:E648)=0, 1, IF(ERP資料!A649=INDEX(ERP資料!$A$2:$A648, MATCH(MAX(E$2:E648), E$2:E648, 0)), MAX(E$2:E648)+1, MAX(E$2:E648)+2)))</f>
        <v/>
      </c>
      <c r="F649">
        <f>IF(NOT(AND(C649=1, TRIM(ERP資料!T649)="平板")), 0, IF(MAX(F$2:F648)=0, 1, IF(ERP資料!A649=INDEX(ERP資料!$A$2:$A648, MATCH(MAX(F$2:F648), F$2:F648, 0)), MAX(F$2:F648)+1, MAX(F$2:F648)+2)))</f>
        <v/>
      </c>
      <c r="G649">
        <f>IF(NOT(AND(C649=1, TRIM(ERP資料!T649)="捲筒")), 0, IF(MAX(G$2:G648)=0, 1, IF(ERP資料!A649=INDEX(ERP資料!$A$2:$A648, MATCH(MAX(G$2:G648), G$2:G648, 0)), MAX(G$2:G648)+1, MAX(G$2:G648)+2)))</f>
        <v/>
      </c>
      <c r="H649">
        <f>IF(OR(ERP資料!C649="",ERP資料!D649=""),0,ERP資料!D649-ERP資料!C649+1)</f>
        <v/>
      </c>
    </row>
    <row r="650">
      <c r="A650" t="n">
        <v>650</v>
      </c>
      <c r="B650">
        <f>IF(ERP資料!A650="","",ERP資料!A650&amp;"|"&amp;ERP資料!E650&amp;"|"&amp;ERP資料!F650&amp;"|"&amp;ERP資料!G650&amp;"|"&amp;ERP資料!H650&amp;"|"&amp;ERP資料!O650)</f>
        <v/>
      </c>
      <c r="C650">
        <f>IF(B650="",0,IF(COUNTIF(B$2:B649,B650)=0,1,0))</f>
        <v/>
      </c>
      <c r="D650">
        <f>IF(B650="",0,SUMIFS($H$2:$H$801,$B$2:$B$801,B650))</f>
        <v/>
      </c>
      <c r="E650">
        <f>IF(NOT(AND(C650=1, TRIM(ERP資料!T650)="平板")), 0, IF(MAX(E$2:E649)=0, 1, IF(ERP資料!A650=INDEX(ERP資料!$A$2:$A649, MATCH(MAX(E$2:E649), E$2:E649, 0)), MAX(E$2:E649)+1, MAX(E$2:E649)+2)))</f>
        <v/>
      </c>
      <c r="F650">
        <f>IF(NOT(AND(C650=1, TRIM(ERP資料!T650)="平板")), 0, IF(MAX(F$2:F649)=0, 1, IF(ERP資料!A650=INDEX(ERP資料!$A$2:$A649, MATCH(MAX(F$2:F649), F$2:F649, 0)), MAX(F$2:F649)+1, MAX(F$2:F649)+2)))</f>
        <v/>
      </c>
      <c r="G650">
        <f>IF(NOT(AND(C650=1, TRIM(ERP資料!T650)="捲筒")), 0, IF(MAX(G$2:G649)=0, 1, IF(ERP資料!A650=INDEX(ERP資料!$A$2:$A649, MATCH(MAX(G$2:G649), G$2:G649, 0)), MAX(G$2:G649)+1, MAX(G$2:G649)+2)))</f>
        <v/>
      </c>
      <c r="H650">
        <f>IF(OR(ERP資料!C650="",ERP資料!D650=""),0,ERP資料!D650-ERP資料!C650+1)</f>
        <v/>
      </c>
    </row>
    <row r="651">
      <c r="A651" t="n">
        <v>651</v>
      </c>
      <c r="B651">
        <f>IF(ERP資料!A651="","",ERP資料!A651&amp;"|"&amp;ERP資料!E651&amp;"|"&amp;ERP資料!F651&amp;"|"&amp;ERP資料!G651&amp;"|"&amp;ERP資料!H651&amp;"|"&amp;ERP資料!O651)</f>
        <v/>
      </c>
      <c r="C651">
        <f>IF(B651="",0,IF(COUNTIF(B$2:B650,B651)=0,1,0))</f>
        <v/>
      </c>
      <c r="D651">
        <f>IF(B651="",0,SUMIFS($H$2:$H$801,$B$2:$B$801,B651))</f>
        <v/>
      </c>
      <c r="E651">
        <f>IF(NOT(AND(C651=1, TRIM(ERP資料!T651)="平板")), 0, IF(MAX(E$2:E650)=0, 1, IF(ERP資料!A651=INDEX(ERP資料!$A$2:$A650, MATCH(MAX(E$2:E650), E$2:E650, 0)), MAX(E$2:E650)+1, MAX(E$2:E650)+2)))</f>
        <v/>
      </c>
      <c r="F651">
        <f>IF(NOT(AND(C651=1, TRIM(ERP資料!T651)="平板")), 0, IF(MAX(F$2:F650)=0, 1, IF(ERP資料!A651=INDEX(ERP資料!$A$2:$A650, MATCH(MAX(F$2:F650), F$2:F650, 0)), MAX(F$2:F650)+1, MAX(F$2:F650)+2)))</f>
        <v/>
      </c>
      <c r="G651">
        <f>IF(NOT(AND(C651=1, TRIM(ERP資料!T651)="捲筒")), 0, IF(MAX(G$2:G650)=0, 1, IF(ERP資料!A651=INDEX(ERP資料!$A$2:$A650, MATCH(MAX(G$2:G650), G$2:G650, 0)), MAX(G$2:G650)+1, MAX(G$2:G650)+2)))</f>
        <v/>
      </c>
      <c r="H651">
        <f>IF(OR(ERP資料!C651="",ERP資料!D651=""),0,ERP資料!D651-ERP資料!C651+1)</f>
        <v/>
      </c>
    </row>
    <row r="652">
      <c r="A652" t="n">
        <v>652</v>
      </c>
      <c r="B652">
        <f>IF(ERP資料!A652="","",ERP資料!A652&amp;"|"&amp;ERP資料!E652&amp;"|"&amp;ERP資料!F652&amp;"|"&amp;ERP資料!G652&amp;"|"&amp;ERP資料!H652&amp;"|"&amp;ERP資料!O652)</f>
        <v/>
      </c>
      <c r="C652">
        <f>IF(B652="",0,IF(COUNTIF(B$2:B651,B652)=0,1,0))</f>
        <v/>
      </c>
      <c r="D652">
        <f>IF(B652="",0,SUMIFS($H$2:$H$801,$B$2:$B$801,B652))</f>
        <v/>
      </c>
      <c r="E652">
        <f>IF(NOT(AND(C652=1, TRIM(ERP資料!T652)="平板")), 0, IF(MAX(E$2:E651)=0, 1, IF(ERP資料!A652=INDEX(ERP資料!$A$2:$A651, MATCH(MAX(E$2:E651), E$2:E651, 0)), MAX(E$2:E651)+1, MAX(E$2:E651)+2)))</f>
        <v/>
      </c>
      <c r="F652">
        <f>IF(NOT(AND(C652=1, TRIM(ERP資料!T652)="平板")), 0, IF(MAX(F$2:F651)=0, 1, IF(ERP資料!A652=INDEX(ERP資料!$A$2:$A651, MATCH(MAX(F$2:F651), F$2:F651, 0)), MAX(F$2:F651)+1, MAX(F$2:F651)+2)))</f>
        <v/>
      </c>
      <c r="G652">
        <f>IF(NOT(AND(C652=1, TRIM(ERP資料!T652)="捲筒")), 0, IF(MAX(G$2:G651)=0, 1, IF(ERP資料!A652=INDEX(ERP資料!$A$2:$A651, MATCH(MAX(G$2:G651), G$2:G651, 0)), MAX(G$2:G651)+1, MAX(G$2:G651)+2)))</f>
        <v/>
      </c>
      <c r="H652">
        <f>IF(OR(ERP資料!C652="",ERP資料!D652=""),0,ERP資料!D652-ERP資料!C652+1)</f>
        <v/>
      </c>
    </row>
    <row r="653">
      <c r="A653" t="n">
        <v>653</v>
      </c>
      <c r="B653">
        <f>IF(ERP資料!A653="","",ERP資料!A653&amp;"|"&amp;ERP資料!E653&amp;"|"&amp;ERP資料!F653&amp;"|"&amp;ERP資料!G653&amp;"|"&amp;ERP資料!H653&amp;"|"&amp;ERP資料!O653)</f>
        <v/>
      </c>
      <c r="C653">
        <f>IF(B653="",0,IF(COUNTIF(B$2:B652,B653)=0,1,0))</f>
        <v/>
      </c>
      <c r="D653">
        <f>IF(B653="",0,SUMIFS($H$2:$H$801,$B$2:$B$801,B653))</f>
        <v/>
      </c>
      <c r="E653">
        <f>IF(NOT(AND(C653=1, TRIM(ERP資料!T653)="平板")), 0, IF(MAX(E$2:E652)=0, 1, IF(ERP資料!A653=INDEX(ERP資料!$A$2:$A652, MATCH(MAX(E$2:E652), E$2:E652, 0)), MAX(E$2:E652)+1, MAX(E$2:E652)+2)))</f>
        <v/>
      </c>
      <c r="F653">
        <f>IF(NOT(AND(C653=1, TRIM(ERP資料!T653)="平板")), 0, IF(MAX(F$2:F652)=0, 1, IF(ERP資料!A653=INDEX(ERP資料!$A$2:$A652, MATCH(MAX(F$2:F652), F$2:F652, 0)), MAX(F$2:F652)+1, MAX(F$2:F652)+2)))</f>
        <v/>
      </c>
      <c r="G653">
        <f>IF(NOT(AND(C653=1, TRIM(ERP資料!T653)="捲筒")), 0, IF(MAX(G$2:G652)=0, 1, IF(ERP資料!A653=INDEX(ERP資料!$A$2:$A652, MATCH(MAX(G$2:G652), G$2:G652, 0)), MAX(G$2:G652)+1, MAX(G$2:G652)+2)))</f>
        <v/>
      </c>
      <c r="H653">
        <f>IF(OR(ERP資料!C653="",ERP資料!D653=""),0,ERP資料!D653-ERP資料!C653+1)</f>
        <v/>
      </c>
    </row>
    <row r="654">
      <c r="A654" t="n">
        <v>654</v>
      </c>
      <c r="B654">
        <f>IF(ERP資料!A654="","",ERP資料!A654&amp;"|"&amp;ERP資料!E654&amp;"|"&amp;ERP資料!F654&amp;"|"&amp;ERP資料!G654&amp;"|"&amp;ERP資料!H654&amp;"|"&amp;ERP資料!O654)</f>
        <v/>
      </c>
      <c r="C654">
        <f>IF(B654="",0,IF(COUNTIF(B$2:B653,B654)=0,1,0))</f>
        <v/>
      </c>
      <c r="D654">
        <f>IF(B654="",0,SUMIFS($H$2:$H$801,$B$2:$B$801,B654))</f>
        <v/>
      </c>
      <c r="E654">
        <f>IF(NOT(AND(C654=1, TRIM(ERP資料!T654)="平板")), 0, IF(MAX(E$2:E653)=0, 1, IF(ERP資料!A654=INDEX(ERP資料!$A$2:$A653, MATCH(MAX(E$2:E653), E$2:E653, 0)), MAX(E$2:E653)+1, MAX(E$2:E653)+2)))</f>
        <v/>
      </c>
      <c r="F654">
        <f>IF(NOT(AND(C654=1, TRIM(ERP資料!T654)="平板")), 0, IF(MAX(F$2:F653)=0, 1, IF(ERP資料!A654=INDEX(ERP資料!$A$2:$A653, MATCH(MAX(F$2:F653), F$2:F653, 0)), MAX(F$2:F653)+1, MAX(F$2:F653)+2)))</f>
        <v/>
      </c>
      <c r="G654">
        <f>IF(NOT(AND(C654=1, TRIM(ERP資料!T654)="捲筒")), 0, IF(MAX(G$2:G653)=0, 1, IF(ERP資料!A654=INDEX(ERP資料!$A$2:$A653, MATCH(MAX(G$2:G653), G$2:G653, 0)), MAX(G$2:G653)+1, MAX(G$2:G653)+2)))</f>
        <v/>
      </c>
      <c r="H654">
        <f>IF(OR(ERP資料!C654="",ERP資料!D654=""),0,ERP資料!D654-ERP資料!C654+1)</f>
        <v/>
      </c>
    </row>
    <row r="655">
      <c r="A655" t="n">
        <v>655</v>
      </c>
      <c r="B655">
        <f>IF(ERP資料!A655="","",ERP資料!A655&amp;"|"&amp;ERP資料!E655&amp;"|"&amp;ERP資料!F655&amp;"|"&amp;ERP資料!G655&amp;"|"&amp;ERP資料!H655&amp;"|"&amp;ERP資料!O655)</f>
        <v/>
      </c>
      <c r="C655">
        <f>IF(B655="",0,IF(COUNTIF(B$2:B654,B655)=0,1,0))</f>
        <v/>
      </c>
      <c r="D655">
        <f>IF(B655="",0,SUMIFS($H$2:$H$801,$B$2:$B$801,B655))</f>
        <v/>
      </c>
      <c r="E655">
        <f>IF(NOT(AND(C655=1, TRIM(ERP資料!T655)="平板")), 0, IF(MAX(E$2:E654)=0, 1, IF(ERP資料!A655=INDEX(ERP資料!$A$2:$A654, MATCH(MAX(E$2:E654), E$2:E654, 0)), MAX(E$2:E654)+1, MAX(E$2:E654)+2)))</f>
        <v/>
      </c>
      <c r="F655">
        <f>IF(NOT(AND(C655=1, TRIM(ERP資料!T655)="平板")), 0, IF(MAX(F$2:F654)=0, 1, IF(ERP資料!A655=INDEX(ERP資料!$A$2:$A654, MATCH(MAX(F$2:F654), F$2:F654, 0)), MAX(F$2:F654)+1, MAX(F$2:F654)+2)))</f>
        <v/>
      </c>
      <c r="G655">
        <f>IF(NOT(AND(C655=1, TRIM(ERP資料!T655)="捲筒")), 0, IF(MAX(G$2:G654)=0, 1, IF(ERP資料!A655=INDEX(ERP資料!$A$2:$A654, MATCH(MAX(G$2:G654), G$2:G654, 0)), MAX(G$2:G654)+1, MAX(G$2:G654)+2)))</f>
        <v/>
      </c>
      <c r="H655">
        <f>IF(OR(ERP資料!C655="",ERP資料!D655=""),0,ERP資料!D655-ERP資料!C655+1)</f>
        <v/>
      </c>
    </row>
    <row r="656">
      <c r="A656" t="n">
        <v>656</v>
      </c>
      <c r="B656">
        <f>IF(ERP資料!A656="","",ERP資料!A656&amp;"|"&amp;ERP資料!E656&amp;"|"&amp;ERP資料!F656&amp;"|"&amp;ERP資料!G656&amp;"|"&amp;ERP資料!H656&amp;"|"&amp;ERP資料!O656)</f>
        <v/>
      </c>
      <c r="C656">
        <f>IF(B656="",0,IF(COUNTIF(B$2:B655,B656)=0,1,0))</f>
        <v/>
      </c>
      <c r="D656">
        <f>IF(B656="",0,SUMIFS($H$2:$H$801,$B$2:$B$801,B656))</f>
        <v/>
      </c>
      <c r="E656">
        <f>IF(NOT(AND(C656=1, TRIM(ERP資料!T656)="平板")), 0, IF(MAX(E$2:E655)=0, 1, IF(ERP資料!A656=INDEX(ERP資料!$A$2:$A655, MATCH(MAX(E$2:E655), E$2:E655, 0)), MAX(E$2:E655)+1, MAX(E$2:E655)+2)))</f>
        <v/>
      </c>
      <c r="F656">
        <f>IF(NOT(AND(C656=1, TRIM(ERP資料!T656)="平板")), 0, IF(MAX(F$2:F655)=0, 1, IF(ERP資料!A656=INDEX(ERP資料!$A$2:$A655, MATCH(MAX(F$2:F655), F$2:F655, 0)), MAX(F$2:F655)+1, MAX(F$2:F655)+2)))</f>
        <v/>
      </c>
      <c r="G656">
        <f>IF(NOT(AND(C656=1, TRIM(ERP資料!T656)="捲筒")), 0, IF(MAX(G$2:G655)=0, 1, IF(ERP資料!A656=INDEX(ERP資料!$A$2:$A655, MATCH(MAX(G$2:G655), G$2:G655, 0)), MAX(G$2:G655)+1, MAX(G$2:G655)+2)))</f>
        <v/>
      </c>
      <c r="H656">
        <f>IF(OR(ERP資料!C656="",ERP資料!D656=""),0,ERP資料!D656-ERP資料!C656+1)</f>
        <v/>
      </c>
    </row>
    <row r="657">
      <c r="A657" t="n">
        <v>657</v>
      </c>
      <c r="B657">
        <f>IF(ERP資料!A657="","",ERP資料!A657&amp;"|"&amp;ERP資料!E657&amp;"|"&amp;ERP資料!F657&amp;"|"&amp;ERP資料!G657&amp;"|"&amp;ERP資料!H657&amp;"|"&amp;ERP資料!O657)</f>
        <v/>
      </c>
      <c r="C657">
        <f>IF(B657="",0,IF(COUNTIF(B$2:B656,B657)=0,1,0))</f>
        <v/>
      </c>
      <c r="D657">
        <f>IF(B657="",0,SUMIFS($H$2:$H$801,$B$2:$B$801,B657))</f>
        <v/>
      </c>
      <c r="E657">
        <f>IF(NOT(AND(C657=1, TRIM(ERP資料!T657)="平板")), 0, IF(MAX(E$2:E656)=0, 1, IF(ERP資料!A657=INDEX(ERP資料!$A$2:$A656, MATCH(MAX(E$2:E656), E$2:E656, 0)), MAX(E$2:E656)+1, MAX(E$2:E656)+2)))</f>
        <v/>
      </c>
      <c r="F657">
        <f>IF(NOT(AND(C657=1, TRIM(ERP資料!T657)="平板")), 0, IF(MAX(F$2:F656)=0, 1, IF(ERP資料!A657=INDEX(ERP資料!$A$2:$A656, MATCH(MAX(F$2:F656), F$2:F656, 0)), MAX(F$2:F656)+1, MAX(F$2:F656)+2)))</f>
        <v/>
      </c>
      <c r="G657">
        <f>IF(NOT(AND(C657=1, TRIM(ERP資料!T657)="捲筒")), 0, IF(MAX(G$2:G656)=0, 1, IF(ERP資料!A657=INDEX(ERP資料!$A$2:$A656, MATCH(MAX(G$2:G656), G$2:G656, 0)), MAX(G$2:G656)+1, MAX(G$2:G656)+2)))</f>
        <v/>
      </c>
      <c r="H657">
        <f>IF(OR(ERP資料!C657="",ERP資料!D657=""),0,ERP資料!D657-ERP資料!C657+1)</f>
        <v/>
      </c>
    </row>
    <row r="658">
      <c r="A658" t="n">
        <v>658</v>
      </c>
      <c r="B658">
        <f>IF(ERP資料!A658="","",ERP資料!A658&amp;"|"&amp;ERP資料!E658&amp;"|"&amp;ERP資料!F658&amp;"|"&amp;ERP資料!G658&amp;"|"&amp;ERP資料!H658&amp;"|"&amp;ERP資料!O658)</f>
        <v/>
      </c>
      <c r="C658">
        <f>IF(B658="",0,IF(COUNTIF(B$2:B657,B658)=0,1,0))</f>
        <v/>
      </c>
      <c r="D658">
        <f>IF(B658="",0,SUMIFS($H$2:$H$801,$B$2:$B$801,B658))</f>
        <v/>
      </c>
      <c r="E658">
        <f>IF(NOT(AND(C658=1, TRIM(ERP資料!T658)="平板")), 0, IF(MAX(E$2:E657)=0, 1, IF(ERP資料!A658=INDEX(ERP資料!$A$2:$A657, MATCH(MAX(E$2:E657), E$2:E657, 0)), MAX(E$2:E657)+1, MAX(E$2:E657)+2)))</f>
        <v/>
      </c>
      <c r="F658">
        <f>IF(NOT(AND(C658=1, TRIM(ERP資料!T658)="平板")), 0, IF(MAX(F$2:F657)=0, 1, IF(ERP資料!A658=INDEX(ERP資料!$A$2:$A657, MATCH(MAX(F$2:F657), F$2:F657, 0)), MAX(F$2:F657)+1, MAX(F$2:F657)+2)))</f>
        <v/>
      </c>
      <c r="G658">
        <f>IF(NOT(AND(C658=1, TRIM(ERP資料!T658)="捲筒")), 0, IF(MAX(G$2:G657)=0, 1, IF(ERP資料!A658=INDEX(ERP資料!$A$2:$A657, MATCH(MAX(G$2:G657), G$2:G657, 0)), MAX(G$2:G657)+1, MAX(G$2:G657)+2)))</f>
        <v/>
      </c>
      <c r="H658">
        <f>IF(OR(ERP資料!C658="",ERP資料!D658=""),0,ERP資料!D658-ERP資料!C658+1)</f>
        <v/>
      </c>
    </row>
    <row r="659">
      <c r="A659" t="n">
        <v>659</v>
      </c>
      <c r="B659">
        <f>IF(ERP資料!A659="","",ERP資料!A659&amp;"|"&amp;ERP資料!E659&amp;"|"&amp;ERP資料!F659&amp;"|"&amp;ERP資料!G659&amp;"|"&amp;ERP資料!H659&amp;"|"&amp;ERP資料!O659)</f>
        <v/>
      </c>
      <c r="C659">
        <f>IF(B659="",0,IF(COUNTIF(B$2:B658,B659)=0,1,0))</f>
        <v/>
      </c>
      <c r="D659">
        <f>IF(B659="",0,SUMIFS($H$2:$H$801,$B$2:$B$801,B659))</f>
        <v/>
      </c>
      <c r="E659">
        <f>IF(NOT(AND(C659=1, TRIM(ERP資料!T659)="平板")), 0, IF(MAX(E$2:E658)=0, 1, IF(ERP資料!A659=INDEX(ERP資料!$A$2:$A658, MATCH(MAX(E$2:E658), E$2:E658, 0)), MAX(E$2:E658)+1, MAX(E$2:E658)+2)))</f>
        <v/>
      </c>
      <c r="F659">
        <f>IF(NOT(AND(C659=1, TRIM(ERP資料!T659)="平板")), 0, IF(MAX(F$2:F658)=0, 1, IF(ERP資料!A659=INDEX(ERP資料!$A$2:$A658, MATCH(MAX(F$2:F658), F$2:F658, 0)), MAX(F$2:F658)+1, MAX(F$2:F658)+2)))</f>
        <v/>
      </c>
      <c r="G659">
        <f>IF(NOT(AND(C659=1, TRIM(ERP資料!T659)="捲筒")), 0, IF(MAX(G$2:G658)=0, 1, IF(ERP資料!A659=INDEX(ERP資料!$A$2:$A658, MATCH(MAX(G$2:G658), G$2:G658, 0)), MAX(G$2:G658)+1, MAX(G$2:G658)+2)))</f>
        <v/>
      </c>
      <c r="H659">
        <f>IF(OR(ERP資料!C659="",ERP資料!D659=""),0,ERP資料!D659-ERP資料!C659+1)</f>
        <v/>
      </c>
    </row>
    <row r="660">
      <c r="A660" t="n">
        <v>660</v>
      </c>
      <c r="B660">
        <f>IF(ERP資料!A660="","",ERP資料!A660&amp;"|"&amp;ERP資料!E660&amp;"|"&amp;ERP資料!F660&amp;"|"&amp;ERP資料!G660&amp;"|"&amp;ERP資料!H660&amp;"|"&amp;ERP資料!O660)</f>
        <v/>
      </c>
      <c r="C660">
        <f>IF(B660="",0,IF(COUNTIF(B$2:B659,B660)=0,1,0))</f>
        <v/>
      </c>
      <c r="D660">
        <f>IF(B660="",0,SUMIFS($H$2:$H$801,$B$2:$B$801,B660))</f>
        <v/>
      </c>
      <c r="E660">
        <f>IF(NOT(AND(C660=1, TRIM(ERP資料!T660)="平板")), 0, IF(MAX(E$2:E659)=0, 1, IF(ERP資料!A660=INDEX(ERP資料!$A$2:$A659, MATCH(MAX(E$2:E659), E$2:E659, 0)), MAX(E$2:E659)+1, MAX(E$2:E659)+2)))</f>
        <v/>
      </c>
      <c r="F660">
        <f>IF(NOT(AND(C660=1, TRIM(ERP資料!T660)="平板")), 0, IF(MAX(F$2:F659)=0, 1, IF(ERP資料!A660=INDEX(ERP資料!$A$2:$A659, MATCH(MAX(F$2:F659), F$2:F659, 0)), MAX(F$2:F659)+1, MAX(F$2:F659)+2)))</f>
        <v/>
      </c>
      <c r="G660">
        <f>IF(NOT(AND(C660=1, TRIM(ERP資料!T660)="捲筒")), 0, IF(MAX(G$2:G659)=0, 1, IF(ERP資料!A660=INDEX(ERP資料!$A$2:$A659, MATCH(MAX(G$2:G659), G$2:G659, 0)), MAX(G$2:G659)+1, MAX(G$2:G659)+2)))</f>
        <v/>
      </c>
      <c r="H660">
        <f>IF(OR(ERP資料!C660="",ERP資料!D660=""),0,ERP資料!D660-ERP資料!C660+1)</f>
        <v/>
      </c>
    </row>
    <row r="661">
      <c r="A661" t="n">
        <v>661</v>
      </c>
      <c r="B661">
        <f>IF(ERP資料!A661="","",ERP資料!A661&amp;"|"&amp;ERP資料!E661&amp;"|"&amp;ERP資料!F661&amp;"|"&amp;ERP資料!G661&amp;"|"&amp;ERP資料!H661&amp;"|"&amp;ERP資料!O661)</f>
        <v/>
      </c>
      <c r="C661">
        <f>IF(B661="",0,IF(COUNTIF(B$2:B660,B661)=0,1,0))</f>
        <v/>
      </c>
      <c r="D661">
        <f>IF(B661="",0,SUMIFS($H$2:$H$801,$B$2:$B$801,B661))</f>
        <v/>
      </c>
      <c r="E661">
        <f>IF(NOT(AND(C661=1, TRIM(ERP資料!T661)="平板")), 0, IF(MAX(E$2:E660)=0, 1, IF(ERP資料!A661=INDEX(ERP資料!$A$2:$A660, MATCH(MAX(E$2:E660), E$2:E660, 0)), MAX(E$2:E660)+1, MAX(E$2:E660)+2)))</f>
        <v/>
      </c>
      <c r="F661">
        <f>IF(NOT(AND(C661=1, TRIM(ERP資料!T661)="平板")), 0, IF(MAX(F$2:F660)=0, 1, IF(ERP資料!A661=INDEX(ERP資料!$A$2:$A660, MATCH(MAX(F$2:F660), F$2:F660, 0)), MAX(F$2:F660)+1, MAX(F$2:F660)+2)))</f>
        <v/>
      </c>
      <c r="G661">
        <f>IF(NOT(AND(C661=1, TRIM(ERP資料!T661)="捲筒")), 0, IF(MAX(G$2:G660)=0, 1, IF(ERP資料!A661=INDEX(ERP資料!$A$2:$A660, MATCH(MAX(G$2:G660), G$2:G660, 0)), MAX(G$2:G660)+1, MAX(G$2:G660)+2)))</f>
        <v/>
      </c>
      <c r="H661">
        <f>IF(OR(ERP資料!C661="",ERP資料!D661=""),0,ERP資料!D661-ERP資料!C661+1)</f>
        <v/>
      </c>
    </row>
    <row r="662">
      <c r="A662" t="n">
        <v>662</v>
      </c>
      <c r="B662">
        <f>IF(ERP資料!A662="","",ERP資料!A662&amp;"|"&amp;ERP資料!E662&amp;"|"&amp;ERP資料!F662&amp;"|"&amp;ERP資料!G662&amp;"|"&amp;ERP資料!H662&amp;"|"&amp;ERP資料!O662)</f>
        <v/>
      </c>
      <c r="C662">
        <f>IF(B662="",0,IF(COUNTIF(B$2:B661,B662)=0,1,0))</f>
        <v/>
      </c>
      <c r="D662">
        <f>IF(B662="",0,SUMIFS($H$2:$H$801,$B$2:$B$801,B662))</f>
        <v/>
      </c>
      <c r="E662">
        <f>IF(NOT(AND(C662=1, TRIM(ERP資料!T662)="平板")), 0, IF(MAX(E$2:E661)=0, 1, IF(ERP資料!A662=INDEX(ERP資料!$A$2:$A661, MATCH(MAX(E$2:E661), E$2:E661, 0)), MAX(E$2:E661)+1, MAX(E$2:E661)+2)))</f>
        <v/>
      </c>
      <c r="F662">
        <f>IF(NOT(AND(C662=1, TRIM(ERP資料!T662)="平板")), 0, IF(MAX(F$2:F661)=0, 1, IF(ERP資料!A662=INDEX(ERP資料!$A$2:$A661, MATCH(MAX(F$2:F661), F$2:F661, 0)), MAX(F$2:F661)+1, MAX(F$2:F661)+2)))</f>
        <v/>
      </c>
      <c r="G662">
        <f>IF(NOT(AND(C662=1, TRIM(ERP資料!T662)="捲筒")), 0, IF(MAX(G$2:G661)=0, 1, IF(ERP資料!A662=INDEX(ERP資料!$A$2:$A661, MATCH(MAX(G$2:G661), G$2:G661, 0)), MAX(G$2:G661)+1, MAX(G$2:G661)+2)))</f>
        <v/>
      </c>
      <c r="H662">
        <f>IF(OR(ERP資料!C662="",ERP資料!D662=""),0,ERP資料!D662-ERP資料!C662+1)</f>
        <v/>
      </c>
    </row>
    <row r="663">
      <c r="A663" t="n">
        <v>663</v>
      </c>
      <c r="B663">
        <f>IF(ERP資料!A663="","",ERP資料!A663&amp;"|"&amp;ERP資料!E663&amp;"|"&amp;ERP資料!F663&amp;"|"&amp;ERP資料!G663&amp;"|"&amp;ERP資料!H663&amp;"|"&amp;ERP資料!O663)</f>
        <v/>
      </c>
      <c r="C663">
        <f>IF(B663="",0,IF(COUNTIF(B$2:B662,B663)=0,1,0))</f>
        <v/>
      </c>
      <c r="D663">
        <f>IF(B663="",0,SUMIFS($H$2:$H$801,$B$2:$B$801,B663))</f>
        <v/>
      </c>
      <c r="E663">
        <f>IF(NOT(AND(C663=1, TRIM(ERP資料!T663)="平板")), 0, IF(MAX(E$2:E662)=0, 1, IF(ERP資料!A663=INDEX(ERP資料!$A$2:$A662, MATCH(MAX(E$2:E662), E$2:E662, 0)), MAX(E$2:E662)+1, MAX(E$2:E662)+2)))</f>
        <v/>
      </c>
      <c r="F663">
        <f>IF(NOT(AND(C663=1, TRIM(ERP資料!T663)="平板")), 0, IF(MAX(F$2:F662)=0, 1, IF(ERP資料!A663=INDEX(ERP資料!$A$2:$A662, MATCH(MAX(F$2:F662), F$2:F662, 0)), MAX(F$2:F662)+1, MAX(F$2:F662)+2)))</f>
        <v/>
      </c>
      <c r="G663">
        <f>IF(NOT(AND(C663=1, TRIM(ERP資料!T663)="捲筒")), 0, IF(MAX(G$2:G662)=0, 1, IF(ERP資料!A663=INDEX(ERP資料!$A$2:$A662, MATCH(MAX(G$2:G662), G$2:G662, 0)), MAX(G$2:G662)+1, MAX(G$2:G662)+2)))</f>
        <v/>
      </c>
      <c r="H663">
        <f>IF(OR(ERP資料!C663="",ERP資料!D663=""),0,ERP資料!D663-ERP資料!C663+1)</f>
        <v/>
      </c>
    </row>
    <row r="664">
      <c r="A664" t="n">
        <v>664</v>
      </c>
      <c r="B664">
        <f>IF(ERP資料!A664="","",ERP資料!A664&amp;"|"&amp;ERP資料!E664&amp;"|"&amp;ERP資料!F664&amp;"|"&amp;ERP資料!G664&amp;"|"&amp;ERP資料!H664&amp;"|"&amp;ERP資料!O664)</f>
        <v/>
      </c>
      <c r="C664">
        <f>IF(B664="",0,IF(COUNTIF(B$2:B663,B664)=0,1,0))</f>
        <v/>
      </c>
      <c r="D664">
        <f>IF(B664="",0,SUMIFS($H$2:$H$801,$B$2:$B$801,B664))</f>
        <v/>
      </c>
      <c r="E664">
        <f>IF(NOT(AND(C664=1, TRIM(ERP資料!T664)="平板")), 0, IF(MAX(E$2:E663)=0, 1, IF(ERP資料!A664=INDEX(ERP資料!$A$2:$A663, MATCH(MAX(E$2:E663), E$2:E663, 0)), MAX(E$2:E663)+1, MAX(E$2:E663)+2)))</f>
        <v/>
      </c>
      <c r="F664">
        <f>IF(NOT(AND(C664=1, TRIM(ERP資料!T664)="平板")), 0, IF(MAX(F$2:F663)=0, 1, IF(ERP資料!A664=INDEX(ERP資料!$A$2:$A663, MATCH(MAX(F$2:F663), F$2:F663, 0)), MAX(F$2:F663)+1, MAX(F$2:F663)+2)))</f>
        <v/>
      </c>
      <c r="G664">
        <f>IF(NOT(AND(C664=1, TRIM(ERP資料!T664)="捲筒")), 0, IF(MAX(G$2:G663)=0, 1, IF(ERP資料!A664=INDEX(ERP資料!$A$2:$A663, MATCH(MAX(G$2:G663), G$2:G663, 0)), MAX(G$2:G663)+1, MAX(G$2:G663)+2)))</f>
        <v/>
      </c>
      <c r="H664">
        <f>IF(OR(ERP資料!C664="",ERP資料!D664=""),0,ERP資料!D664-ERP資料!C664+1)</f>
        <v/>
      </c>
    </row>
    <row r="665">
      <c r="A665" t="n">
        <v>665</v>
      </c>
      <c r="B665">
        <f>IF(ERP資料!A665="","",ERP資料!A665&amp;"|"&amp;ERP資料!E665&amp;"|"&amp;ERP資料!F665&amp;"|"&amp;ERP資料!G665&amp;"|"&amp;ERP資料!H665&amp;"|"&amp;ERP資料!O665)</f>
        <v/>
      </c>
      <c r="C665">
        <f>IF(B665="",0,IF(COUNTIF(B$2:B664,B665)=0,1,0))</f>
        <v/>
      </c>
      <c r="D665">
        <f>IF(B665="",0,SUMIFS($H$2:$H$801,$B$2:$B$801,B665))</f>
        <v/>
      </c>
      <c r="E665">
        <f>IF(NOT(AND(C665=1, TRIM(ERP資料!T665)="平板")), 0, IF(MAX(E$2:E664)=0, 1, IF(ERP資料!A665=INDEX(ERP資料!$A$2:$A664, MATCH(MAX(E$2:E664), E$2:E664, 0)), MAX(E$2:E664)+1, MAX(E$2:E664)+2)))</f>
        <v/>
      </c>
      <c r="F665">
        <f>IF(NOT(AND(C665=1, TRIM(ERP資料!T665)="平板")), 0, IF(MAX(F$2:F664)=0, 1, IF(ERP資料!A665=INDEX(ERP資料!$A$2:$A664, MATCH(MAX(F$2:F664), F$2:F664, 0)), MAX(F$2:F664)+1, MAX(F$2:F664)+2)))</f>
        <v/>
      </c>
      <c r="G665">
        <f>IF(NOT(AND(C665=1, TRIM(ERP資料!T665)="捲筒")), 0, IF(MAX(G$2:G664)=0, 1, IF(ERP資料!A665=INDEX(ERP資料!$A$2:$A664, MATCH(MAX(G$2:G664), G$2:G664, 0)), MAX(G$2:G664)+1, MAX(G$2:G664)+2)))</f>
        <v/>
      </c>
      <c r="H665">
        <f>IF(OR(ERP資料!C665="",ERP資料!D665=""),0,ERP資料!D665-ERP資料!C665+1)</f>
        <v/>
      </c>
    </row>
    <row r="666">
      <c r="A666" t="n">
        <v>666</v>
      </c>
      <c r="B666">
        <f>IF(ERP資料!A666="","",ERP資料!A666&amp;"|"&amp;ERP資料!E666&amp;"|"&amp;ERP資料!F666&amp;"|"&amp;ERP資料!G666&amp;"|"&amp;ERP資料!H666&amp;"|"&amp;ERP資料!O666)</f>
        <v/>
      </c>
      <c r="C666">
        <f>IF(B666="",0,IF(COUNTIF(B$2:B665,B666)=0,1,0))</f>
        <v/>
      </c>
      <c r="D666">
        <f>IF(B666="",0,SUMIFS($H$2:$H$801,$B$2:$B$801,B666))</f>
        <v/>
      </c>
      <c r="E666">
        <f>IF(NOT(AND(C666=1, TRIM(ERP資料!T666)="平板")), 0, IF(MAX(E$2:E665)=0, 1, IF(ERP資料!A666=INDEX(ERP資料!$A$2:$A665, MATCH(MAX(E$2:E665), E$2:E665, 0)), MAX(E$2:E665)+1, MAX(E$2:E665)+2)))</f>
        <v/>
      </c>
      <c r="F666">
        <f>IF(NOT(AND(C666=1, TRIM(ERP資料!T666)="平板")), 0, IF(MAX(F$2:F665)=0, 1, IF(ERP資料!A666=INDEX(ERP資料!$A$2:$A665, MATCH(MAX(F$2:F665), F$2:F665, 0)), MAX(F$2:F665)+1, MAX(F$2:F665)+2)))</f>
        <v/>
      </c>
      <c r="G666">
        <f>IF(NOT(AND(C666=1, TRIM(ERP資料!T666)="捲筒")), 0, IF(MAX(G$2:G665)=0, 1, IF(ERP資料!A666=INDEX(ERP資料!$A$2:$A665, MATCH(MAX(G$2:G665), G$2:G665, 0)), MAX(G$2:G665)+1, MAX(G$2:G665)+2)))</f>
        <v/>
      </c>
      <c r="H666">
        <f>IF(OR(ERP資料!C666="",ERP資料!D666=""),0,ERP資料!D666-ERP資料!C666+1)</f>
        <v/>
      </c>
    </row>
    <row r="667">
      <c r="A667" t="n">
        <v>667</v>
      </c>
      <c r="B667">
        <f>IF(ERP資料!A667="","",ERP資料!A667&amp;"|"&amp;ERP資料!E667&amp;"|"&amp;ERP資料!F667&amp;"|"&amp;ERP資料!G667&amp;"|"&amp;ERP資料!H667&amp;"|"&amp;ERP資料!O667)</f>
        <v/>
      </c>
      <c r="C667">
        <f>IF(B667="",0,IF(COUNTIF(B$2:B666,B667)=0,1,0))</f>
        <v/>
      </c>
      <c r="D667">
        <f>IF(B667="",0,SUMIFS($H$2:$H$801,$B$2:$B$801,B667))</f>
        <v/>
      </c>
      <c r="E667">
        <f>IF(NOT(AND(C667=1, TRIM(ERP資料!T667)="平板")), 0, IF(MAX(E$2:E666)=0, 1, IF(ERP資料!A667=INDEX(ERP資料!$A$2:$A666, MATCH(MAX(E$2:E666), E$2:E666, 0)), MAX(E$2:E666)+1, MAX(E$2:E666)+2)))</f>
        <v/>
      </c>
      <c r="F667">
        <f>IF(NOT(AND(C667=1, TRIM(ERP資料!T667)="平板")), 0, IF(MAX(F$2:F666)=0, 1, IF(ERP資料!A667=INDEX(ERP資料!$A$2:$A666, MATCH(MAX(F$2:F666), F$2:F666, 0)), MAX(F$2:F666)+1, MAX(F$2:F666)+2)))</f>
        <v/>
      </c>
      <c r="G667">
        <f>IF(NOT(AND(C667=1, TRIM(ERP資料!T667)="捲筒")), 0, IF(MAX(G$2:G666)=0, 1, IF(ERP資料!A667=INDEX(ERP資料!$A$2:$A666, MATCH(MAX(G$2:G666), G$2:G666, 0)), MAX(G$2:G666)+1, MAX(G$2:G666)+2)))</f>
        <v/>
      </c>
      <c r="H667">
        <f>IF(OR(ERP資料!C667="",ERP資料!D667=""),0,ERP資料!D667-ERP資料!C667+1)</f>
        <v/>
      </c>
    </row>
    <row r="668">
      <c r="A668" t="n">
        <v>668</v>
      </c>
      <c r="B668">
        <f>IF(ERP資料!A668="","",ERP資料!A668&amp;"|"&amp;ERP資料!E668&amp;"|"&amp;ERP資料!F668&amp;"|"&amp;ERP資料!G668&amp;"|"&amp;ERP資料!H668&amp;"|"&amp;ERP資料!O668)</f>
        <v/>
      </c>
      <c r="C668">
        <f>IF(B668="",0,IF(COUNTIF(B$2:B667,B668)=0,1,0))</f>
        <v/>
      </c>
      <c r="D668">
        <f>IF(B668="",0,SUMIFS($H$2:$H$801,$B$2:$B$801,B668))</f>
        <v/>
      </c>
      <c r="E668">
        <f>IF(NOT(AND(C668=1, TRIM(ERP資料!T668)="平板")), 0, IF(MAX(E$2:E667)=0, 1, IF(ERP資料!A668=INDEX(ERP資料!$A$2:$A667, MATCH(MAX(E$2:E667), E$2:E667, 0)), MAX(E$2:E667)+1, MAX(E$2:E667)+2)))</f>
        <v/>
      </c>
      <c r="F668">
        <f>IF(NOT(AND(C668=1, TRIM(ERP資料!T668)="平板")), 0, IF(MAX(F$2:F667)=0, 1, IF(ERP資料!A668=INDEX(ERP資料!$A$2:$A667, MATCH(MAX(F$2:F667), F$2:F667, 0)), MAX(F$2:F667)+1, MAX(F$2:F667)+2)))</f>
        <v/>
      </c>
      <c r="G668">
        <f>IF(NOT(AND(C668=1, TRIM(ERP資料!T668)="捲筒")), 0, IF(MAX(G$2:G667)=0, 1, IF(ERP資料!A668=INDEX(ERP資料!$A$2:$A667, MATCH(MAX(G$2:G667), G$2:G667, 0)), MAX(G$2:G667)+1, MAX(G$2:G667)+2)))</f>
        <v/>
      </c>
      <c r="H668">
        <f>IF(OR(ERP資料!C668="",ERP資料!D668=""),0,ERP資料!D668-ERP資料!C668+1)</f>
        <v/>
      </c>
    </row>
    <row r="669">
      <c r="A669" t="n">
        <v>669</v>
      </c>
      <c r="B669">
        <f>IF(ERP資料!A669="","",ERP資料!A669&amp;"|"&amp;ERP資料!E669&amp;"|"&amp;ERP資料!F669&amp;"|"&amp;ERP資料!G669&amp;"|"&amp;ERP資料!H669&amp;"|"&amp;ERP資料!O669)</f>
        <v/>
      </c>
      <c r="C669">
        <f>IF(B669="",0,IF(COUNTIF(B$2:B668,B669)=0,1,0))</f>
        <v/>
      </c>
      <c r="D669">
        <f>IF(B669="",0,SUMIFS($H$2:$H$801,$B$2:$B$801,B669))</f>
        <v/>
      </c>
      <c r="E669">
        <f>IF(NOT(AND(C669=1, TRIM(ERP資料!T669)="平板")), 0, IF(MAX(E$2:E668)=0, 1, IF(ERP資料!A669=INDEX(ERP資料!$A$2:$A668, MATCH(MAX(E$2:E668), E$2:E668, 0)), MAX(E$2:E668)+1, MAX(E$2:E668)+2)))</f>
        <v/>
      </c>
      <c r="F669">
        <f>IF(NOT(AND(C669=1, TRIM(ERP資料!T669)="平板")), 0, IF(MAX(F$2:F668)=0, 1, IF(ERP資料!A669=INDEX(ERP資料!$A$2:$A668, MATCH(MAX(F$2:F668), F$2:F668, 0)), MAX(F$2:F668)+1, MAX(F$2:F668)+2)))</f>
        <v/>
      </c>
      <c r="G669">
        <f>IF(NOT(AND(C669=1, TRIM(ERP資料!T669)="捲筒")), 0, IF(MAX(G$2:G668)=0, 1, IF(ERP資料!A669=INDEX(ERP資料!$A$2:$A668, MATCH(MAX(G$2:G668), G$2:G668, 0)), MAX(G$2:G668)+1, MAX(G$2:G668)+2)))</f>
        <v/>
      </c>
      <c r="H669">
        <f>IF(OR(ERP資料!C669="",ERP資料!D669=""),0,ERP資料!D669-ERP資料!C669+1)</f>
        <v/>
      </c>
    </row>
    <row r="670">
      <c r="A670" t="n">
        <v>670</v>
      </c>
      <c r="B670">
        <f>IF(ERP資料!A670="","",ERP資料!A670&amp;"|"&amp;ERP資料!E670&amp;"|"&amp;ERP資料!F670&amp;"|"&amp;ERP資料!G670&amp;"|"&amp;ERP資料!H670&amp;"|"&amp;ERP資料!O670)</f>
        <v/>
      </c>
      <c r="C670">
        <f>IF(B670="",0,IF(COUNTIF(B$2:B669,B670)=0,1,0))</f>
        <v/>
      </c>
      <c r="D670">
        <f>IF(B670="",0,SUMIFS($H$2:$H$801,$B$2:$B$801,B670))</f>
        <v/>
      </c>
      <c r="E670">
        <f>IF(NOT(AND(C670=1, TRIM(ERP資料!T670)="平板")), 0, IF(MAX(E$2:E669)=0, 1, IF(ERP資料!A670=INDEX(ERP資料!$A$2:$A669, MATCH(MAX(E$2:E669), E$2:E669, 0)), MAX(E$2:E669)+1, MAX(E$2:E669)+2)))</f>
        <v/>
      </c>
      <c r="F670">
        <f>IF(NOT(AND(C670=1, TRIM(ERP資料!T670)="平板")), 0, IF(MAX(F$2:F669)=0, 1, IF(ERP資料!A670=INDEX(ERP資料!$A$2:$A669, MATCH(MAX(F$2:F669), F$2:F669, 0)), MAX(F$2:F669)+1, MAX(F$2:F669)+2)))</f>
        <v/>
      </c>
      <c r="G670">
        <f>IF(NOT(AND(C670=1, TRIM(ERP資料!T670)="捲筒")), 0, IF(MAX(G$2:G669)=0, 1, IF(ERP資料!A670=INDEX(ERP資料!$A$2:$A669, MATCH(MAX(G$2:G669), G$2:G669, 0)), MAX(G$2:G669)+1, MAX(G$2:G669)+2)))</f>
        <v/>
      </c>
      <c r="H670">
        <f>IF(OR(ERP資料!C670="",ERP資料!D670=""),0,ERP資料!D670-ERP資料!C670+1)</f>
        <v/>
      </c>
    </row>
    <row r="671">
      <c r="A671" t="n">
        <v>671</v>
      </c>
      <c r="B671">
        <f>IF(ERP資料!A671="","",ERP資料!A671&amp;"|"&amp;ERP資料!E671&amp;"|"&amp;ERP資料!F671&amp;"|"&amp;ERP資料!G671&amp;"|"&amp;ERP資料!H671&amp;"|"&amp;ERP資料!O671)</f>
        <v/>
      </c>
      <c r="C671">
        <f>IF(B671="",0,IF(COUNTIF(B$2:B670,B671)=0,1,0))</f>
        <v/>
      </c>
      <c r="D671">
        <f>IF(B671="",0,SUMIFS($H$2:$H$801,$B$2:$B$801,B671))</f>
        <v/>
      </c>
      <c r="E671">
        <f>IF(NOT(AND(C671=1, TRIM(ERP資料!T671)="平板")), 0, IF(MAX(E$2:E670)=0, 1, IF(ERP資料!A671=INDEX(ERP資料!$A$2:$A670, MATCH(MAX(E$2:E670), E$2:E670, 0)), MAX(E$2:E670)+1, MAX(E$2:E670)+2)))</f>
        <v/>
      </c>
      <c r="F671">
        <f>IF(NOT(AND(C671=1, TRIM(ERP資料!T671)="平板")), 0, IF(MAX(F$2:F670)=0, 1, IF(ERP資料!A671=INDEX(ERP資料!$A$2:$A670, MATCH(MAX(F$2:F670), F$2:F670, 0)), MAX(F$2:F670)+1, MAX(F$2:F670)+2)))</f>
        <v/>
      </c>
      <c r="G671">
        <f>IF(NOT(AND(C671=1, TRIM(ERP資料!T671)="捲筒")), 0, IF(MAX(G$2:G670)=0, 1, IF(ERP資料!A671=INDEX(ERP資料!$A$2:$A670, MATCH(MAX(G$2:G670), G$2:G670, 0)), MAX(G$2:G670)+1, MAX(G$2:G670)+2)))</f>
        <v/>
      </c>
      <c r="H671">
        <f>IF(OR(ERP資料!C671="",ERP資料!D671=""),0,ERP資料!D671-ERP資料!C671+1)</f>
        <v/>
      </c>
    </row>
    <row r="672">
      <c r="A672" t="n">
        <v>672</v>
      </c>
      <c r="B672">
        <f>IF(ERP資料!A672="","",ERP資料!A672&amp;"|"&amp;ERP資料!E672&amp;"|"&amp;ERP資料!F672&amp;"|"&amp;ERP資料!G672&amp;"|"&amp;ERP資料!H672&amp;"|"&amp;ERP資料!O672)</f>
        <v/>
      </c>
      <c r="C672">
        <f>IF(B672="",0,IF(COUNTIF(B$2:B671,B672)=0,1,0))</f>
        <v/>
      </c>
      <c r="D672">
        <f>IF(B672="",0,SUMIFS($H$2:$H$801,$B$2:$B$801,B672))</f>
        <v/>
      </c>
      <c r="E672">
        <f>IF(NOT(AND(C672=1, TRIM(ERP資料!T672)="平板")), 0, IF(MAX(E$2:E671)=0, 1, IF(ERP資料!A672=INDEX(ERP資料!$A$2:$A671, MATCH(MAX(E$2:E671), E$2:E671, 0)), MAX(E$2:E671)+1, MAX(E$2:E671)+2)))</f>
        <v/>
      </c>
      <c r="F672">
        <f>IF(NOT(AND(C672=1, TRIM(ERP資料!T672)="平板")), 0, IF(MAX(F$2:F671)=0, 1, IF(ERP資料!A672=INDEX(ERP資料!$A$2:$A671, MATCH(MAX(F$2:F671), F$2:F671, 0)), MAX(F$2:F671)+1, MAX(F$2:F671)+2)))</f>
        <v/>
      </c>
      <c r="G672">
        <f>IF(NOT(AND(C672=1, TRIM(ERP資料!T672)="捲筒")), 0, IF(MAX(G$2:G671)=0, 1, IF(ERP資料!A672=INDEX(ERP資料!$A$2:$A671, MATCH(MAX(G$2:G671), G$2:G671, 0)), MAX(G$2:G671)+1, MAX(G$2:G671)+2)))</f>
        <v/>
      </c>
      <c r="H672">
        <f>IF(OR(ERP資料!C672="",ERP資料!D672=""),0,ERP資料!D672-ERP資料!C672+1)</f>
        <v/>
      </c>
    </row>
    <row r="673">
      <c r="A673" t="n">
        <v>673</v>
      </c>
      <c r="B673">
        <f>IF(ERP資料!A673="","",ERP資料!A673&amp;"|"&amp;ERP資料!E673&amp;"|"&amp;ERP資料!F673&amp;"|"&amp;ERP資料!G673&amp;"|"&amp;ERP資料!H673&amp;"|"&amp;ERP資料!O673)</f>
        <v/>
      </c>
      <c r="C673">
        <f>IF(B673="",0,IF(COUNTIF(B$2:B672,B673)=0,1,0))</f>
        <v/>
      </c>
      <c r="D673">
        <f>IF(B673="",0,SUMIFS($H$2:$H$801,$B$2:$B$801,B673))</f>
        <v/>
      </c>
      <c r="E673">
        <f>IF(NOT(AND(C673=1, TRIM(ERP資料!T673)="平板")), 0, IF(MAX(E$2:E672)=0, 1, IF(ERP資料!A673=INDEX(ERP資料!$A$2:$A672, MATCH(MAX(E$2:E672), E$2:E672, 0)), MAX(E$2:E672)+1, MAX(E$2:E672)+2)))</f>
        <v/>
      </c>
      <c r="F673">
        <f>IF(NOT(AND(C673=1, TRIM(ERP資料!T673)="平板")), 0, IF(MAX(F$2:F672)=0, 1, IF(ERP資料!A673=INDEX(ERP資料!$A$2:$A672, MATCH(MAX(F$2:F672), F$2:F672, 0)), MAX(F$2:F672)+1, MAX(F$2:F672)+2)))</f>
        <v/>
      </c>
      <c r="G673">
        <f>IF(NOT(AND(C673=1, TRIM(ERP資料!T673)="捲筒")), 0, IF(MAX(G$2:G672)=0, 1, IF(ERP資料!A673=INDEX(ERP資料!$A$2:$A672, MATCH(MAX(G$2:G672), G$2:G672, 0)), MAX(G$2:G672)+1, MAX(G$2:G672)+2)))</f>
        <v/>
      </c>
      <c r="H673">
        <f>IF(OR(ERP資料!C673="",ERP資料!D673=""),0,ERP資料!D673-ERP資料!C673+1)</f>
        <v/>
      </c>
    </row>
    <row r="674">
      <c r="A674" t="n">
        <v>674</v>
      </c>
      <c r="B674">
        <f>IF(ERP資料!A674="","",ERP資料!A674&amp;"|"&amp;ERP資料!E674&amp;"|"&amp;ERP資料!F674&amp;"|"&amp;ERP資料!G674&amp;"|"&amp;ERP資料!H674&amp;"|"&amp;ERP資料!O674)</f>
        <v/>
      </c>
      <c r="C674">
        <f>IF(B674="",0,IF(COUNTIF(B$2:B673,B674)=0,1,0))</f>
        <v/>
      </c>
      <c r="D674">
        <f>IF(B674="",0,SUMIFS($H$2:$H$801,$B$2:$B$801,B674))</f>
        <v/>
      </c>
      <c r="E674">
        <f>IF(NOT(AND(C674=1, TRIM(ERP資料!T674)="平板")), 0, IF(MAX(E$2:E673)=0, 1, IF(ERP資料!A674=INDEX(ERP資料!$A$2:$A673, MATCH(MAX(E$2:E673), E$2:E673, 0)), MAX(E$2:E673)+1, MAX(E$2:E673)+2)))</f>
        <v/>
      </c>
      <c r="F674">
        <f>IF(NOT(AND(C674=1, TRIM(ERP資料!T674)="平板")), 0, IF(MAX(F$2:F673)=0, 1, IF(ERP資料!A674=INDEX(ERP資料!$A$2:$A673, MATCH(MAX(F$2:F673), F$2:F673, 0)), MAX(F$2:F673)+1, MAX(F$2:F673)+2)))</f>
        <v/>
      </c>
      <c r="G674">
        <f>IF(NOT(AND(C674=1, TRIM(ERP資料!T674)="捲筒")), 0, IF(MAX(G$2:G673)=0, 1, IF(ERP資料!A674=INDEX(ERP資料!$A$2:$A673, MATCH(MAX(G$2:G673), G$2:G673, 0)), MAX(G$2:G673)+1, MAX(G$2:G673)+2)))</f>
        <v/>
      </c>
      <c r="H674">
        <f>IF(OR(ERP資料!C674="",ERP資料!D674=""),0,ERP資料!D674-ERP資料!C674+1)</f>
        <v/>
      </c>
    </row>
    <row r="675">
      <c r="A675" t="n">
        <v>675</v>
      </c>
      <c r="B675">
        <f>IF(ERP資料!A675="","",ERP資料!A675&amp;"|"&amp;ERP資料!E675&amp;"|"&amp;ERP資料!F675&amp;"|"&amp;ERP資料!G675&amp;"|"&amp;ERP資料!H675&amp;"|"&amp;ERP資料!O675)</f>
        <v/>
      </c>
      <c r="C675">
        <f>IF(B675="",0,IF(COUNTIF(B$2:B674,B675)=0,1,0))</f>
        <v/>
      </c>
      <c r="D675">
        <f>IF(B675="",0,SUMIFS($H$2:$H$801,$B$2:$B$801,B675))</f>
        <v/>
      </c>
      <c r="E675">
        <f>IF(NOT(AND(C675=1, TRIM(ERP資料!T675)="平板")), 0, IF(MAX(E$2:E674)=0, 1, IF(ERP資料!A675=INDEX(ERP資料!$A$2:$A674, MATCH(MAX(E$2:E674), E$2:E674, 0)), MAX(E$2:E674)+1, MAX(E$2:E674)+2)))</f>
        <v/>
      </c>
      <c r="F675">
        <f>IF(NOT(AND(C675=1, TRIM(ERP資料!T675)="平板")), 0, IF(MAX(F$2:F674)=0, 1, IF(ERP資料!A675=INDEX(ERP資料!$A$2:$A674, MATCH(MAX(F$2:F674), F$2:F674, 0)), MAX(F$2:F674)+1, MAX(F$2:F674)+2)))</f>
        <v/>
      </c>
      <c r="G675">
        <f>IF(NOT(AND(C675=1, TRIM(ERP資料!T675)="捲筒")), 0, IF(MAX(G$2:G674)=0, 1, IF(ERP資料!A675=INDEX(ERP資料!$A$2:$A674, MATCH(MAX(G$2:G674), G$2:G674, 0)), MAX(G$2:G674)+1, MAX(G$2:G674)+2)))</f>
        <v/>
      </c>
      <c r="H675">
        <f>IF(OR(ERP資料!C675="",ERP資料!D675=""),0,ERP資料!D675-ERP資料!C675+1)</f>
        <v/>
      </c>
    </row>
    <row r="676">
      <c r="A676" t="n">
        <v>676</v>
      </c>
      <c r="B676">
        <f>IF(ERP資料!A676="","",ERP資料!A676&amp;"|"&amp;ERP資料!E676&amp;"|"&amp;ERP資料!F676&amp;"|"&amp;ERP資料!G676&amp;"|"&amp;ERP資料!H676&amp;"|"&amp;ERP資料!O676)</f>
        <v/>
      </c>
      <c r="C676">
        <f>IF(B676="",0,IF(COUNTIF(B$2:B675,B676)=0,1,0))</f>
        <v/>
      </c>
      <c r="D676">
        <f>IF(B676="",0,SUMIFS($H$2:$H$801,$B$2:$B$801,B676))</f>
        <v/>
      </c>
      <c r="E676">
        <f>IF(NOT(AND(C676=1, TRIM(ERP資料!T676)="平板")), 0, IF(MAX(E$2:E675)=0, 1, IF(ERP資料!A676=INDEX(ERP資料!$A$2:$A675, MATCH(MAX(E$2:E675), E$2:E675, 0)), MAX(E$2:E675)+1, MAX(E$2:E675)+2)))</f>
        <v/>
      </c>
      <c r="F676">
        <f>IF(NOT(AND(C676=1, TRIM(ERP資料!T676)="平板")), 0, IF(MAX(F$2:F675)=0, 1, IF(ERP資料!A676=INDEX(ERP資料!$A$2:$A675, MATCH(MAX(F$2:F675), F$2:F675, 0)), MAX(F$2:F675)+1, MAX(F$2:F675)+2)))</f>
        <v/>
      </c>
      <c r="G676">
        <f>IF(NOT(AND(C676=1, TRIM(ERP資料!T676)="捲筒")), 0, IF(MAX(G$2:G675)=0, 1, IF(ERP資料!A676=INDEX(ERP資料!$A$2:$A675, MATCH(MAX(G$2:G675), G$2:G675, 0)), MAX(G$2:G675)+1, MAX(G$2:G675)+2)))</f>
        <v/>
      </c>
      <c r="H676">
        <f>IF(OR(ERP資料!C676="",ERP資料!D676=""),0,ERP資料!D676-ERP資料!C676+1)</f>
        <v/>
      </c>
    </row>
    <row r="677">
      <c r="A677" t="n">
        <v>677</v>
      </c>
      <c r="B677">
        <f>IF(ERP資料!A677="","",ERP資料!A677&amp;"|"&amp;ERP資料!E677&amp;"|"&amp;ERP資料!F677&amp;"|"&amp;ERP資料!G677&amp;"|"&amp;ERP資料!H677&amp;"|"&amp;ERP資料!O677)</f>
        <v/>
      </c>
      <c r="C677">
        <f>IF(B677="",0,IF(COUNTIF(B$2:B676,B677)=0,1,0))</f>
        <v/>
      </c>
      <c r="D677">
        <f>IF(B677="",0,SUMIFS($H$2:$H$801,$B$2:$B$801,B677))</f>
        <v/>
      </c>
      <c r="E677">
        <f>IF(NOT(AND(C677=1, TRIM(ERP資料!T677)="平板")), 0, IF(MAX(E$2:E676)=0, 1, IF(ERP資料!A677=INDEX(ERP資料!$A$2:$A676, MATCH(MAX(E$2:E676), E$2:E676, 0)), MAX(E$2:E676)+1, MAX(E$2:E676)+2)))</f>
        <v/>
      </c>
      <c r="F677">
        <f>IF(NOT(AND(C677=1, TRIM(ERP資料!T677)="平板")), 0, IF(MAX(F$2:F676)=0, 1, IF(ERP資料!A677=INDEX(ERP資料!$A$2:$A676, MATCH(MAX(F$2:F676), F$2:F676, 0)), MAX(F$2:F676)+1, MAX(F$2:F676)+2)))</f>
        <v/>
      </c>
      <c r="G677">
        <f>IF(NOT(AND(C677=1, TRIM(ERP資料!T677)="捲筒")), 0, IF(MAX(G$2:G676)=0, 1, IF(ERP資料!A677=INDEX(ERP資料!$A$2:$A676, MATCH(MAX(G$2:G676), G$2:G676, 0)), MAX(G$2:G676)+1, MAX(G$2:G676)+2)))</f>
        <v/>
      </c>
      <c r="H677">
        <f>IF(OR(ERP資料!C677="",ERP資料!D677=""),0,ERP資料!D677-ERP資料!C677+1)</f>
        <v/>
      </c>
    </row>
    <row r="678">
      <c r="A678" t="n">
        <v>678</v>
      </c>
      <c r="B678">
        <f>IF(ERP資料!A678="","",ERP資料!A678&amp;"|"&amp;ERP資料!E678&amp;"|"&amp;ERP資料!F678&amp;"|"&amp;ERP資料!G678&amp;"|"&amp;ERP資料!H678&amp;"|"&amp;ERP資料!O678)</f>
        <v/>
      </c>
      <c r="C678">
        <f>IF(B678="",0,IF(COUNTIF(B$2:B677,B678)=0,1,0))</f>
        <v/>
      </c>
      <c r="D678">
        <f>IF(B678="",0,SUMIFS($H$2:$H$801,$B$2:$B$801,B678))</f>
        <v/>
      </c>
      <c r="E678">
        <f>IF(NOT(AND(C678=1, TRIM(ERP資料!T678)="平板")), 0, IF(MAX(E$2:E677)=0, 1, IF(ERP資料!A678=INDEX(ERP資料!$A$2:$A677, MATCH(MAX(E$2:E677), E$2:E677, 0)), MAX(E$2:E677)+1, MAX(E$2:E677)+2)))</f>
        <v/>
      </c>
      <c r="F678">
        <f>IF(NOT(AND(C678=1, TRIM(ERP資料!T678)="平板")), 0, IF(MAX(F$2:F677)=0, 1, IF(ERP資料!A678=INDEX(ERP資料!$A$2:$A677, MATCH(MAX(F$2:F677), F$2:F677, 0)), MAX(F$2:F677)+1, MAX(F$2:F677)+2)))</f>
        <v/>
      </c>
      <c r="G678">
        <f>IF(NOT(AND(C678=1, TRIM(ERP資料!T678)="捲筒")), 0, IF(MAX(G$2:G677)=0, 1, IF(ERP資料!A678=INDEX(ERP資料!$A$2:$A677, MATCH(MAX(G$2:G677), G$2:G677, 0)), MAX(G$2:G677)+1, MAX(G$2:G677)+2)))</f>
        <v/>
      </c>
      <c r="H678">
        <f>IF(OR(ERP資料!C678="",ERP資料!D678=""),0,ERP資料!D678-ERP資料!C678+1)</f>
        <v/>
      </c>
    </row>
    <row r="679">
      <c r="A679" t="n">
        <v>679</v>
      </c>
      <c r="B679">
        <f>IF(ERP資料!A679="","",ERP資料!A679&amp;"|"&amp;ERP資料!E679&amp;"|"&amp;ERP資料!F679&amp;"|"&amp;ERP資料!G679&amp;"|"&amp;ERP資料!H679&amp;"|"&amp;ERP資料!O679)</f>
        <v/>
      </c>
      <c r="C679">
        <f>IF(B679="",0,IF(COUNTIF(B$2:B678,B679)=0,1,0))</f>
        <v/>
      </c>
      <c r="D679">
        <f>IF(B679="",0,SUMIFS($H$2:$H$801,$B$2:$B$801,B679))</f>
        <v/>
      </c>
      <c r="E679">
        <f>IF(NOT(AND(C679=1, TRIM(ERP資料!T679)="平板")), 0, IF(MAX(E$2:E678)=0, 1, IF(ERP資料!A679=INDEX(ERP資料!$A$2:$A678, MATCH(MAX(E$2:E678), E$2:E678, 0)), MAX(E$2:E678)+1, MAX(E$2:E678)+2)))</f>
        <v/>
      </c>
      <c r="F679">
        <f>IF(NOT(AND(C679=1, TRIM(ERP資料!T679)="平板")), 0, IF(MAX(F$2:F678)=0, 1, IF(ERP資料!A679=INDEX(ERP資料!$A$2:$A678, MATCH(MAX(F$2:F678), F$2:F678, 0)), MAX(F$2:F678)+1, MAX(F$2:F678)+2)))</f>
        <v/>
      </c>
      <c r="G679">
        <f>IF(NOT(AND(C679=1, TRIM(ERP資料!T679)="捲筒")), 0, IF(MAX(G$2:G678)=0, 1, IF(ERP資料!A679=INDEX(ERP資料!$A$2:$A678, MATCH(MAX(G$2:G678), G$2:G678, 0)), MAX(G$2:G678)+1, MAX(G$2:G678)+2)))</f>
        <v/>
      </c>
      <c r="H679">
        <f>IF(OR(ERP資料!C679="",ERP資料!D679=""),0,ERP資料!D679-ERP資料!C679+1)</f>
        <v/>
      </c>
    </row>
    <row r="680">
      <c r="A680" t="n">
        <v>680</v>
      </c>
      <c r="B680">
        <f>IF(ERP資料!A680="","",ERP資料!A680&amp;"|"&amp;ERP資料!E680&amp;"|"&amp;ERP資料!F680&amp;"|"&amp;ERP資料!G680&amp;"|"&amp;ERP資料!H680&amp;"|"&amp;ERP資料!O680)</f>
        <v/>
      </c>
      <c r="C680">
        <f>IF(B680="",0,IF(COUNTIF(B$2:B679,B680)=0,1,0))</f>
        <v/>
      </c>
      <c r="D680">
        <f>IF(B680="",0,SUMIFS($H$2:$H$801,$B$2:$B$801,B680))</f>
        <v/>
      </c>
      <c r="E680">
        <f>IF(NOT(AND(C680=1, TRIM(ERP資料!T680)="平板")), 0, IF(MAX(E$2:E679)=0, 1, IF(ERP資料!A680=INDEX(ERP資料!$A$2:$A679, MATCH(MAX(E$2:E679), E$2:E679, 0)), MAX(E$2:E679)+1, MAX(E$2:E679)+2)))</f>
        <v/>
      </c>
      <c r="F680">
        <f>IF(NOT(AND(C680=1, TRIM(ERP資料!T680)="平板")), 0, IF(MAX(F$2:F679)=0, 1, IF(ERP資料!A680=INDEX(ERP資料!$A$2:$A679, MATCH(MAX(F$2:F679), F$2:F679, 0)), MAX(F$2:F679)+1, MAX(F$2:F679)+2)))</f>
        <v/>
      </c>
      <c r="G680">
        <f>IF(NOT(AND(C680=1, TRIM(ERP資料!T680)="捲筒")), 0, IF(MAX(G$2:G679)=0, 1, IF(ERP資料!A680=INDEX(ERP資料!$A$2:$A679, MATCH(MAX(G$2:G679), G$2:G679, 0)), MAX(G$2:G679)+1, MAX(G$2:G679)+2)))</f>
        <v/>
      </c>
      <c r="H680">
        <f>IF(OR(ERP資料!C680="",ERP資料!D680=""),0,ERP資料!D680-ERP資料!C680+1)</f>
        <v/>
      </c>
    </row>
    <row r="681">
      <c r="A681" t="n">
        <v>681</v>
      </c>
      <c r="B681">
        <f>IF(ERP資料!A681="","",ERP資料!A681&amp;"|"&amp;ERP資料!E681&amp;"|"&amp;ERP資料!F681&amp;"|"&amp;ERP資料!G681&amp;"|"&amp;ERP資料!H681&amp;"|"&amp;ERP資料!O681)</f>
        <v/>
      </c>
      <c r="C681">
        <f>IF(B681="",0,IF(COUNTIF(B$2:B680,B681)=0,1,0))</f>
        <v/>
      </c>
      <c r="D681">
        <f>IF(B681="",0,SUMIFS($H$2:$H$801,$B$2:$B$801,B681))</f>
        <v/>
      </c>
      <c r="E681">
        <f>IF(NOT(AND(C681=1, TRIM(ERP資料!T681)="平板")), 0, IF(MAX(E$2:E680)=0, 1, IF(ERP資料!A681=INDEX(ERP資料!$A$2:$A680, MATCH(MAX(E$2:E680), E$2:E680, 0)), MAX(E$2:E680)+1, MAX(E$2:E680)+2)))</f>
        <v/>
      </c>
      <c r="F681">
        <f>IF(NOT(AND(C681=1, TRIM(ERP資料!T681)="平板")), 0, IF(MAX(F$2:F680)=0, 1, IF(ERP資料!A681=INDEX(ERP資料!$A$2:$A680, MATCH(MAX(F$2:F680), F$2:F680, 0)), MAX(F$2:F680)+1, MAX(F$2:F680)+2)))</f>
        <v/>
      </c>
      <c r="G681">
        <f>IF(NOT(AND(C681=1, TRIM(ERP資料!T681)="捲筒")), 0, IF(MAX(G$2:G680)=0, 1, IF(ERP資料!A681=INDEX(ERP資料!$A$2:$A680, MATCH(MAX(G$2:G680), G$2:G680, 0)), MAX(G$2:G680)+1, MAX(G$2:G680)+2)))</f>
        <v/>
      </c>
      <c r="H681">
        <f>IF(OR(ERP資料!C681="",ERP資料!D681=""),0,ERP資料!D681-ERP資料!C681+1)</f>
        <v/>
      </c>
    </row>
    <row r="682">
      <c r="A682" t="n">
        <v>682</v>
      </c>
      <c r="B682">
        <f>IF(ERP資料!A682="","",ERP資料!A682&amp;"|"&amp;ERP資料!E682&amp;"|"&amp;ERP資料!F682&amp;"|"&amp;ERP資料!G682&amp;"|"&amp;ERP資料!H682&amp;"|"&amp;ERP資料!O682)</f>
        <v/>
      </c>
      <c r="C682">
        <f>IF(B682="",0,IF(COUNTIF(B$2:B681,B682)=0,1,0))</f>
        <v/>
      </c>
      <c r="D682">
        <f>IF(B682="",0,SUMIFS($H$2:$H$801,$B$2:$B$801,B682))</f>
        <v/>
      </c>
      <c r="E682">
        <f>IF(NOT(AND(C682=1, TRIM(ERP資料!T682)="平板")), 0, IF(MAX(E$2:E681)=0, 1, IF(ERP資料!A682=INDEX(ERP資料!$A$2:$A681, MATCH(MAX(E$2:E681), E$2:E681, 0)), MAX(E$2:E681)+1, MAX(E$2:E681)+2)))</f>
        <v/>
      </c>
      <c r="F682">
        <f>IF(NOT(AND(C682=1, TRIM(ERP資料!T682)="平板")), 0, IF(MAX(F$2:F681)=0, 1, IF(ERP資料!A682=INDEX(ERP資料!$A$2:$A681, MATCH(MAX(F$2:F681), F$2:F681, 0)), MAX(F$2:F681)+1, MAX(F$2:F681)+2)))</f>
        <v/>
      </c>
      <c r="G682">
        <f>IF(NOT(AND(C682=1, TRIM(ERP資料!T682)="捲筒")), 0, IF(MAX(G$2:G681)=0, 1, IF(ERP資料!A682=INDEX(ERP資料!$A$2:$A681, MATCH(MAX(G$2:G681), G$2:G681, 0)), MAX(G$2:G681)+1, MAX(G$2:G681)+2)))</f>
        <v/>
      </c>
      <c r="H682">
        <f>IF(OR(ERP資料!C682="",ERP資料!D682=""),0,ERP資料!D682-ERP資料!C682+1)</f>
        <v/>
      </c>
    </row>
    <row r="683">
      <c r="A683" t="n">
        <v>683</v>
      </c>
      <c r="B683">
        <f>IF(ERP資料!A683="","",ERP資料!A683&amp;"|"&amp;ERP資料!E683&amp;"|"&amp;ERP資料!F683&amp;"|"&amp;ERP資料!G683&amp;"|"&amp;ERP資料!H683&amp;"|"&amp;ERP資料!O683)</f>
        <v/>
      </c>
      <c r="C683">
        <f>IF(B683="",0,IF(COUNTIF(B$2:B682,B683)=0,1,0))</f>
        <v/>
      </c>
      <c r="D683">
        <f>IF(B683="",0,SUMIFS($H$2:$H$801,$B$2:$B$801,B683))</f>
        <v/>
      </c>
      <c r="E683">
        <f>IF(NOT(AND(C683=1, TRIM(ERP資料!T683)="平板")), 0, IF(MAX(E$2:E682)=0, 1, IF(ERP資料!A683=INDEX(ERP資料!$A$2:$A682, MATCH(MAX(E$2:E682), E$2:E682, 0)), MAX(E$2:E682)+1, MAX(E$2:E682)+2)))</f>
        <v/>
      </c>
      <c r="F683">
        <f>IF(NOT(AND(C683=1, TRIM(ERP資料!T683)="平板")), 0, IF(MAX(F$2:F682)=0, 1, IF(ERP資料!A683=INDEX(ERP資料!$A$2:$A682, MATCH(MAX(F$2:F682), F$2:F682, 0)), MAX(F$2:F682)+1, MAX(F$2:F682)+2)))</f>
        <v/>
      </c>
      <c r="G683">
        <f>IF(NOT(AND(C683=1, TRIM(ERP資料!T683)="捲筒")), 0, IF(MAX(G$2:G682)=0, 1, IF(ERP資料!A683=INDEX(ERP資料!$A$2:$A682, MATCH(MAX(G$2:G682), G$2:G682, 0)), MAX(G$2:G682)+1, MAX(G$2:G682)+2)))</f>
        <v/>
      </c>
      <c r="H683">
        <f>IF(OR(ERP資料!C683="",ERP資料!D683=""),0,ERP資料!D683-ERP資料!C683+1)</f>
        <v/>
      </c>
    </row>
    <row r="684">
      <c r="A684" t="n">
        <v>684</v>
      </c>
      <c r="B684">
        <f>IF(ERP資料!A684="","",ERP資料!A684&amp;"|"&amp;ERP資料!E684&amp;"|"&amp;ERP資料!F684&amp;"|"&amp;ERP資料!G684&amp;"|"&amp;ERP資料!H684&amp;"|"&amp;ERP資料!O684)</f>
        <v/>
      </c>
      <c r="C684">
        <f>IF(B684="",0,IF(COUNTIF(B$2:B683,B684)=0,1,0))</f>
        <v/>
      </c>
      <c r="D684">
        <f>IF(B684="",0,SUMIFS($H$2:$H$801,$B$2:$B$801,B684))</f>
        <v/>
      </c>
      <c r="E684">
        <f>IF(NOT(AND(C684=1, TRIM(ERP資料!T684)="平板")), 0, IF(MAX(E$2:E683)=0, 1, IF(ERP資料!A684=INDEX(ERP資料!$A$2:$A683, MATCH(MAX(E$2:E683), E$2:E683, 0)), MAX(E$2:E683)+1, MAX(E$2:E683)+2)))</f>
        <v/>
      </c>
      <c r="F684">
        <f>IF(NOT(AND(C684=1, TRIM(ERP資料!T684)="平板")), 0, IF(MAX(F$2:F683)=0, 1, IF(ERP資料!A684=INDEX(ERP資料!$A$2:$A683, MATCH(MAX(F$2:F683), F$2:F683, 0)), MAX(F$2:F683)+1, MAX(F$2:F683)+2)))</f>
        <v/>
      </c>
      <c r="G684">
        <f>IF(NOT(AND(C684=1, TRIM(ERP資料!T684)="捲筒")), 0, IF(MAX(G$2:G683)=0, 1, IF(ERP資料!A684=INDEX(ERP資料!$A$2:$A683, MATCH(MAX(G$2:G683), G$2:G683, 0)), MAX(G$2:G683)+1, MAX(G$2:G683)+2)))</f>
        <v/>
      </c>
      <c r="H684">
        <f>IF(OR(ERP資料!C684="",ERP資料!D684=""),0,ERP資料!D684-ERP資料!C684+1)</f>
        <v/>
      </c>
    </row>
    <row r="685">
      <c r="A685" t="n">
        <v>685</v>
      </c>
      <c r="B685">
        <f>IF(ERP資料!A685="","",ERP資料!A685&amp;"|"&amp;ERP資料!E685&amp;"|"&amp;ERP資料!F685&amp;"|"&amp;ERP資料!G685&amp;"|"&amp;ERP資料!H685&amp;"|"&amp;ERP資料!O685)</f>
        <v/>
      </c>
      <c r="C685">
        <f>IF(B685="",0,IF(COUNTIF(B$2:B684,B685)=0,1,0))</f>
        <v/>
      </c>
      <c r="D685">
        <f>IF(B685="",0,SUMIFS($H$2:$H$801,$B$2:$B$801,B685))</f>
        <v/>
      </c>
      <c r="E685">
        <f>IF(NOT(AND(C685=1, TRIM(ERP資料!T685)="平板")), 0, IF(MAX(E$2:E684)=0, 1, IF(ERP資料!A685=INDEX(ERP資料!$A$2:$A684, MATCH(MAX(E$2:E684), E$2:E684, 0)), MAX(E$2:E684)+1, MAX(E$2:E684)+2)))</f>
        <v/>
      </c>
      <c r="F685">
        <f>IF(NOT(AND(C685=1, TRIM(ERP資料!T685)="平板")), 0, IF(MAX(F$2:F684)=0, 1, IF(ERP資料!A685=INDEX(ERP資料!$A$2:$A684, MATCH(MAX(F$2:F684), F$2:F684, 0)), MAX(F$2:F684)+1, MAX(F$2:F684)+2)))</f>
        <v/>
      </c>
      <c r="G685">
        <f>IF(NOT(AND(C685=1, TRIM(ERP資料!T685)="捲筒")), 0, IF(MAX(G$2:G684)=0, 1, IF(ERP資料!A685=INDEX(ERP資料!$A$2:$A684, MATCH(MAX(G$2:G684), G$2:G684, 0)), MAX(G$2:G684)+1, MAX(G$2:G684)+2)))</f>
        <v/>
      </c>
      <c r="H685">
        <f>IF(OR(ERP資料!C685="",ERP資料!D685=""),0,ERP資料!D685-ERP資料!C685+1)</f>
        <v/>
      </c>
    </row>
    <row r="686">
      <c r="A686" t="n">
        <v>686</v>
      </c>
      <c r="B686">
        <f>IF(ERP資料!A686="","",ERP資料!A686&amp;"|"&amp;ERP資料!E686&amp;"|"&amp;ERP資料!F686&amp;"|"&amp;ERP資料!G686&amp;"|"&amp;ERP資料!H686&amp;"|"&amp;ERP資料!O686)</f>
        <v/>
      </c>
      <c r="C686">
        <f>IF(B686="",0,IF(COUNTIF(B$2:B685,B686)=0,1,0))</f>
        <v/>
      </c>
      <c r="D686">
        <f>IF(B686="",0,SUMIFS($H$2:$H$801,$B$2:$B$801,B686))</f>
        <v/>
      </c>
      <c r="E686">
        <f>IF(NOT(AND(C686=1, TRIM(ERP資料!T686)="平板")), 0, IF(MAX(E$2:E685)=0, 1, IF(ERP資料!A686=INDEX(ERP資料!$A$2:$A685, MATCH(MAX(E$2:E685), E$2:E685, 0)), MAX(E$2:E685)+1, MAX(E$2:E685)+2)))</f>
        <v/>
      </c>
      <c r="F686">
        <f>IF(NOT(AND(C686=1, TRIM(ERP資料!T686)="平板")), 0, IF(MAX(F$2:F685)=0, 1, IF(ERP資料!A686=INDEX(ERP資料!$A$2:$A685, MATCH(MAX(F$2:F685), F$2:F685, 0)), MAX(F$2:F685)+1, MAX(F$2:F685)+2)))</f>
        <v/>
      </c>
      <c r="G686">
        <f>IF(NOT(AND(C686=1, TRIM(ERP資料!T686)="捲筒")), 0, IF(MAX(G$2:G685)=0, 1, IF(ERP資料!A686=INDEX(ERP資料!$A$2:$A685, MATCH(MAX(G$2:G685), G$2:G685, 0)), MAX(G$2:G685)+1, MAX(G$2:G685)+2)))</f>
        <v/>
      </c>
      <c r="H686">
        <f>IF(OR(ERP資料!C686="",ERP資料!D686=""),0,ERP資料!D686-ERP資料!C686+1)</f>
        <v/>
      </c>
    </row>
    <row r="687">
      <c r="A687" t="n">
        <v>687</v>
      </c>
      <c r="B687">
        <f>IF(ERP資料!A687="","",ERP資料!A687&amp;"|"&amp;ERP資料!E687&amp;"|"&amp;ERP資料!F687&amp;"|"&amp;ERP資料!G687&amp;"|"&amp;ERP資料!H687&amp;"|"&amp;ERP資料!O687)</f>
        <v/>
      </c>
      <c r="C687">
        <f>IF(B687="",0,IF(COUNTIF(B$2:B686,B687)=0,1,0))</f>
        <v/>
      </c>
      <c r="D687">
        <f>IF(B687="",0,SUMIFS($H$2:$H$801,$B$2:$B$801,B687))</f>
        <v/>
      </c>
      <c r="E687">
        <f>IF(NOT(AND(C687=1, TRIM(ERP資料!T687)="平板")), 0, IF(MAX(E$2:E686)=0, 1, IF(ERP資料!A687=INDEX(ERP資料!$A$2:$A686, MATCH(MAX(E$2:E686), E$2:E686, 0)), MAX(E$2:E686)+1, MAX(E$2:E686)+2)))</f>
        <v/>
      </c>
      <c r="F687">
        <f>IF(NOT(AND(C687=1, TRIM(ERP資料!T687)="平板")), 0, IF(MAX(F$2:F686)=0, 1, IF(ERP資料!A687=INDEX(ERP資料!$A$2:$A686, MATCH(MAX(F$2:F686), F$2:F686, 0)), MAX(F$2:F686)+1, MAX(F$2:F686)+2)))</f>
        <v/>
      </c>
      <c r="G687">
        <f>IF(NOT(AND(C687=1, TRIM(ERP資料!T687)="捲筒")), 0, IF(MAX(G$2:G686)=0, 1, IF(ERP資料!A687=INDEX(ERP資料!$A$2:$A686, MATCH(MAX(G$2:G686), G$2:G686, 0)), MAX(G$2:G686)+1, MAX(G$2:G686)+2)))</f>
        <v/>
      </c>
      <c r="H687">
        <f>IF(OR(ERP資料!C687="",ERP資料!D687=""),0,ERP資料!D687-ERP資料!C687+1)</f>
        <v/>
      </c>
    </row>
    <row r="688">
      <c r="A688" t="n">
        <v>688</v>
      </c>
      <c r="B688">
        <f>IF(ERP資料!A688="","",ERP資料!A688&amp;"|"&amp;ERP資料!E688&amp;"|"&amp;ERP資料!F688&amp;"|"&amp;ERP資料!G688&amp;"|"&amp;ERP資料!H688&amp;"|"&amp;ERP資料!O688)</f>
        <v/>
      </c>
      <c r="C688">
        <f>IF(B688="",0,IF(COUNTIF(B$2:B687,B688)=0,1,0))</f>
        <v/>
      </c>
      <c r="D688">
        <f>IF(B688="",0,SUMIFS($H$2:$H$801,$B$2:$B$801,B688))</f>
        <v/>
      </c>
      <c r="E688">
        <f>IF(NOT(AND(C688=1, TRIM(ERP資料!T688)="平板")), 0, IF(MAX(E$2:E687)=0, 1, IF(ERP資料!A688=INDEX(ERP資料!$A$2:$A687, MATCH(MAX(E$2:E687), E$2:E687, 0)), MAX(E$2:E687)+1, MAX(E$2:E687)+2)))</f>
        <v/>
      </c>
      <c r="F688">
        <f>IF(NOT(AND(C688=1, TRIM(ERP資料!T688)="平板")), 0, IF(MAX(F$2:F687)=0, 1, IF(ERP資料!A688=INDEX(ERP資料!$A$2:$A687, MATCH(MAX(F$2:F687), F$2:F687, 0)), MAX(F$2:F687)+1, MAX(F$2:F687)+2)))</f>
        <v/>
      </c>
      <c r="G688">
        <f>IF(NOT(AND(C688=1, TRIM(ERP資料!T688)="捲筒")), 0, IF(MAX(G$2:G687)=0, 1, IF(ERP資料!A688=INDEX(ERP資料!$A$2:$A687, MATCH(MAX(G$2:G687), G$2:G687, 0)), MAX(G$2:G687)+1, MAX(G$2:G687)+2)))</f>
        <v/>
      </c>
      <c r="H688">
        <f>IF(OR(ERP資料!C688="",ERP資料!D688=""),0,ERP資料!D688-ERP資料!C688+1)</f>
        <v/>
      </c>
    </row>
    <row r="689">
      <c r="A689" t="n">
        <v>689</v>
      </c>
      <c r="B689">
        <f>IF(ERP資料!A689="","",ERP資料!A689&amp;"|"&amp;ERP資料!E689&amp;"|"&amp;ERP資料!F689&amp;"|"&amp;ERP資料!G689&amp;"|"&amp;ERP資料!H689&amp;"|"&amp;ERP資料!O689)</f>
        <v/>
      </c>
      <c r="C689">
        <f>IF(B689="",0,IF(COUNTIF(B$2:B688,B689)=0,1,0))</f>
        <v/>
      </c>
      <c r="D689">
        <f>IF(B689="",0,SUMIFS($H$2:$H$801,$B$2:$B$801,B689))</f>
        <v/>
      </c>
      <c r="E689">
        <f>IF(NOT(AND(C689=1, TRIM(ERP資料!T689)="平板")), 0, IF(MAX(E$2:E688)=0, 1, IF(ERP資料!A689=INDEX(ERP資料!$A$2:$A688, MATCH(MAX(E$2:E688), E$2:E688, 0)), MAX(E$2:E688)+1, MAX(E$2:E688)+2)))</f>
        <v/>
      </c>
      <c r="F689">
        <f>IF(NOT(AND(C689=1, TRIM(ERP資料!T689)="平板")), 0, IF(MAX(F$2:F688)=0, 1, IF(ERP資料!A689=INDEX(ERP資料!$A$2:$A688, MATCH(MAX(F$2:F688), F$2:F688, 0)), MAX(F$2:F688)+1, MAX(F$2:F688)+2)))</f>
        <v/>
      </c>
      <c r="G689">
        <f>IF(NOT(AND(C689=1, TRIM(ERP資料!T689)="捲筒")), 0, IF(MAX(G$2:G688)=0, 1, IF(ERP資料!A689=INDEX(ERP資料!$A$2:$A688, MATCH(MAX(G$2:G688), G$2:G688, 0)), MAX(G$2:G688)+1, MAX(G$2:G688)+2)))</f>
        <v/>
      </c>
      <c r="H689">
        <f>IF(OR(ERP資料!C689="",ERP資料!D689=""),0,ERP資料!D689-ERP資料!C689+1)</f>
        <v/>
      </c>
    </row>
    <row r="690">
      <c r="A690" t="n">
        <v>690</v>
      </c>
      <c r="B690">
        <f>IF(ERP資料!A690="","",ERP資料!A690&amp;"|"&amp;ERP資料!E690&amp;"|"&amp;ERP資料!F690&amp;"|"&amp;ERP資料!G690&amp;"|"&amp;ERP資料!H690&amp;"|"&amp;ERP資料!O690)</f>
        <v/>
      </c>
      <c r="C690">
        <f>IF(B690="",0,IF(COUNTIF(B$2:B689,B690)=0,1,0))</f>
        <v/>
      </c>
      <c r="D690">
        <f>IF(B690="",0,SUMIFS($H$2:$H$801,$B$2:$B$801,B690))</f>
        <v/>
      </c>
      <c r="E690">
        <f>IF(NOT(AND(C690=1, TRIM(ERP資料!T690)="平板")), 0, IF(MAX(E$2:E689)=0, 1, IF(ERP資料!A690=INDEX(ERP資料!$A$2:$A689, MATCH(MAX(E$2:E689), E$2:E689, 0)), MAX(E$2:E689)+1, MAX(E$2:E689)+2)))</f>
        <v/>
      </c>
      <c r="F690">
        <f>IF(NOT(AND(C690=1, TRIM(ERP資料!T690)="平板")), 0, IF(MAX(F$2:F689)=0, 1, IF(ERP資料!A690=INDEX(ERP資料!$A$2:$A689, MATCH(MAX(F$2:F689), F$2:F689, 0)), MAX(F$2:F689)+1, MAX(F$2:F689)+2)))</f>
        <v/>
      </c>
      <c r="G690">
        <f>IF(NOT(AND(C690=1, TRIM(ERP資料!T690)="捲筒")), 0, IF(MAX(G$2:G689)=0, 1, IF(ERP資料!A690=INDEX(ERP資料!$A$2:$A689, MATCH(MAX(G$2:G689), G$2:G689, 0)), MAX(G$2:G689)+1, MAX(G$2:G689)+2)))</f>
        <v/>
      </c>
      <c r="H690">
        <f>IF(OR(ERP資料!C690="",ERP資料!D690=""),0,ERP資料!D690-ERP資料!C690+1)</f>
        <v/>
      </c>
    </row>
    <row r="691">
      <c r="A691" t="n">
        <v>691</v>
      </c>
      <c r="B691">
        <f>IF(ERP資料!A691="","",ERP資料!A691&amp;"|"&amp;ERP資料!E691&amp;"|"&amp;ERP資料!F691&amp;"|"&amp;ERP資料!G691&amp;"|"&amp;ERP資料!H691&amp;"|"&amp;ERP資料!O691)</f>
        <v/>
      </c>
      <c r="C691">
        <f>IF(B691="",0,IF(COUNTIF(B$2:B690,B691)=0,1,0))</f>
        <v/>
      </c>
      <c r="D691">
        <f>IF(B691="",0,SUMIFS($H$2:$H$801,$B$2:$B$801,B691))</f>
        <v/>
      </c>
      <c r="E691">
        <f>IF(NOT(AND(C691=1, TRIM(ERP資料!T691)="平板")), 0, IF(MAX(E$2:E690)=0, 1, IF(ERP資料!A691=INDEX(ERP資料!$A$2:$A690, MATCH(MAX(E$2:E690), E$2:E690, 0)), MAX(E$2:E690)+1, MAX(E$2:E690)+2)))</f>
        <v/>
      </c>
      <c r="F691">
        <f>IF(NOT(AND(C691=1, TRIM(ERP資料!T691)="平板")), 0, IF(MAX(F$2:F690)=0, 1, IF(ERP資料!A691=INDEX(ERP資料!$A$2:$A690, MATCH(MAX(F$2:F690), F$2:F690, 0)), MAX(F$2:F690)+1, MAX(F$2:F690)+2)))</f>
        <v/>
      </c>
      <c r="G691">
        <f>IF(NOT(AND(C691=1, TRIM(ERP資料!T691)="捲筒")), 0, IF(MAX(G$2:G690)=0, 1, IF(ERP資料!A691=INDEX(ERP資料!$A$2:$A690, MATCH(MAX(G$2:G690), G$2:G690, 0)), MAX(G$2:G690)+1, MAX(G$2:G690)+2)))</f>
        <v/>
      </c>
      <c r="H691">
        <f>IF(OR(ERP資料!C691="",ERP資料!D691=""),0,ERP資料!D691-ERP資料!C691+1)</f>
        <v/>
      </c>
    </row>
    <row r="692">
      <c r="A692" t="n">
        <v>692</v>
      </c>
      <c r="B692">
        <f>IF(ERP資料!A692="","",ERP資料!A692&amp;"|"&amp;ERP資料!E692&amp;"|"&amp;ERP資料!F692&amp;"|"&amp;ERP資料!G692&amp;"|"&amp;ERP資料!H692&amp;"|"&amp;ERP資料!O692)</f>
        <v/>
      </c>
      <c r="C692">
        <f>IF(B692="",0,IF(COUNTIF(B$2:B691,B692)=0,1,0))</f>
        <v/>
      </c>
      <c r="D692">
        <f>IF(B692="",0,SUMIFS($H$2:$H$801,$B$2:$B$801,B692))</f>
        <v/>
      </c>
      <c r="E692">
        <f>IF(NOT(AND(C692=1, TRIM(ERP資料!T692)="平板")), 0, IF(MAX(E$2:E691)=0, 1, IF(ERP資料!A692=INDEX(ERP資料!$A$2:$A691, MATCH(MAX(E$2:E691), E$2:E691, 0)), MAX(E$2:E691)+1, MAX(E$2:E691)+2)))</f>
        <v/>
      </c>
      <c r="F692">
        <f>IF(NOT(AND(C692=1, TRIM(ERP資料!T692)="平板")), 0, IF(MAX(F$2:F691)=0, 1, IF(ERP資料!A692=INDEX(ERP資料!$A$2:$A691, MATCH(MAX(F$2:F691), F$2:F691, 0)), MAX(F$2:F691)+1, MAX(F$2:F691)+2)))</f>
        <v/>
      </c>
      <c r="G692">
        <f>IF(NOT(AND(C692=1, TRIM(ERP資料!T692)="捲筒")), 0, IF(MAX(G$2:G691)=0, 1, IF(ERP資料!A692=INDEX(ERP資料!$A$2:$A691, MATCH(MAX(G$2:G691), G$2:G691, 0)), MAX(G$2:G691)+1, MAX(G$2:G691)+2)))</f>
        <v/>
      </c>
      <c r="H692">
        <f>IF(OR(ERP資料!C692="",ERP資料!D692=""),0,ERP資料!D692-ERP資料!C692+1)</f>
        <v/>
      </c>
    </row>
    <row r="693">
      <c r="A693" t="n">
        <v>693</v>
      </c>
      <c r="B693">
        <f>IF(ERP資料!A693="","",ERP資料!A693&amp;"|"&amp;ERP資料!E693&amp;"|"&amp;ERP資料!F693&amp;"|"&amp;ERP資料!G693&amp;"|"&amp;ERP資料!H693&amp;"|"&amp;ERP資料!O693)</f>
        <v/>
      </c>
      <c r="C693">
        <f>IF(B693="",0,IF(COUNTIF(B$2:B692,B693)=0,1,0))</f>
        <v/>
      </c>
      <c r="D693">
        <f>IF(B693="",0,SUMIFS($H$2:$H$801,$B$2:$B$801,B693))</f>
        <v/>
      </c>
      <c r="E693">
        <f>IF(NOT(AND(C693=1, TRIM(ERP資料!T693)="平板")), 0, IF(MAX(E$2:E692)=0, 1, IF(ERP資料!A693=INDEX(ERP資料!$A$2:$A692, MATCH(MAX(E$2:E692), E$2:E692, 0)), MAX(E$2:E692)+1, MAX(E$2:E692)+2)))</f>
        <v/>
      </c>
      <c r="F693">
        <f>IF(NOT(AND(C693=1, TRIM(ERP資料!T693)="平板")), 0, IF(MAX(F$2:F692)=0, 1, IF(ERP資料!A693=INDEX(ERP資料!$A$2:$A692, MATCH(MAX(F$2:F692), F$2:F692, 0)), MAX(F$2:F692)+1, MAX(F$2:F692)+2)))</f>
        <v/>
      </c>
      <c r="G693">
        <f>IF(NOT(AND(C693=1, TRIM(ERP資料!T693)="捲筒")), 0, IF(MAX(G$2:G692)=0, 1, IF(ERP資料!A693=INDEX(ERP資料!$A$2:$A692, MATCH(MAX(G$2:G692), G$2:G692, 0)), MAX(G$2:G692)+1, MAX(G$2:G692)+2)))</f>
        <v/>
      </c>
      <c r="H693">
        <f>IF(OR(ERP資料!C693="",ERP資料!D693=""),0,ERP資料!D693-ERP資料!C693+1)</f>
        <v/>
      </c>
    </row>
    <row r="694">
      <c r="A694" t="n">
        <v>694</v>
      </c>
      <c r="B694">
        <f>IF(ERP資料!A694="","",ERP資料!A694&amp;"|"&amp;ERP資料!E694&amp;"|"&amp;ERP資料!F694&amp;"|"&amp;ERP資料!G694&amp;"|"&amp;ERP資料!H694&amp;"|"&amp;ERP資料!O694)</f>
        <v/>
      </c>
      <c r="C694">
        <f>IF(B694="",0,IF(COUNTIF(B$2:B693,B694)=0,1,0))</f>
        <v/>
      </c>
      <c r="D694">
        <f>IF(B694="",0,SUMIFS($H$2:$H$801,$B$2:$B$801,B694))</f>
        <v/>
      </c>
      <c r="E694">
        <f>IF(NOT(AND(C694=1, TRIM(ERP資料!T694)="平板")), 0, IF(MAX(E$2:E693)=0, 1, IF(ERP資料!A694=INDEX(ERP資料!$A$2:$A693, MATCH(MAX(E$2:E693), E$2:E693, 0)), MAX(E$2:E693)+1, MAX(E$2:E693)+2)))</f>
        <v/>
      </c>
      <c r="F694">
        <f>IF(NOT(AND(C694=1, TRIM(ERP資料!T694)="平板")), 0, IF(MAX(F$2:F693)=0, 1, IF(ERP資料!A694=INDEX(ERP資料!$A$2:$A693, MATCH(MAX(F$2:F693), F$2:F693, 0)), MAX(F$2:F693)+1, MAX(F$2:F693)+2)))</f>
        <v/>
      </c>
      <c r="G694">
        <f>IF(NOT(AND(C694=1, TRIM(ERP資料!T694)="捲筒")), 0, IF(MAX(G$2:G693)=0, 1, IF(ERP資料!A694=INDEX(ERP資料!$A$2:$A693, MATCH(MAX(G$2:G693), G$2:G693, 0)), MAX(G$2:G693)+1, MAX(G$2:G693)+2)))</f>
        <v/>
      </c>
      <c r="H694">
        <f>IF(OR(ERP資料!C694="",ERP資料!D694=""),0,ERP資料!D694-ERP資料!C694+1)</f>
        <v/>
      </c>
    </row>
    <row r="695">
      <c r="A695" t="n">
        <v>695</v>
      </c>
      <c r="B695">
        <f>IF(ERP資料!A695="","",ERP資料!A695&amp;"|"&amp;ERP資料!E695&amp;"|"&amp;ERP資料!F695&amp;"|"&amp;ERP資料!G695&amp;"|"&amp;ERP資料!H695&amp;"|"&amp;ERP資料!O695)</f>
        <v/>
      </c>
      <c r="C695">
        <f>IF(B695="",0,IF(COUNTIF(B$2:B694,B695)=0,1,0))</f>
        <v/>
      </c>
      <c r="D695">
        <f>IF(B695="",0,SUMIFS($H$2:$H$801,$B$2:$B$801,B695))</f>
        <v/>
      </c>
      <c r="E695">
        <f>IF(NOT(AND(C695=1, TRIM(ERP資料!T695)="平板")), 0, IF(MAX(E$2:E694)=0, 1, IF(ERP資料!A695=INDEX(ERP資料!$A$2:$A694, MATCH(MAX(E$2:E694), E$2:E694, 0)), MAX(E$2:E694)+1, MAX(E$2:E694)+2)))</f>
        <v/>
      </c>
      <c r="F695">
        <f>IF(NOT(AND(C695=1, TRIM(ERP資料!T695)="平板")), 0, IF(MAX(F$2:F694)=0, 1, IF(ERP資料!A695=INDEX(ERP資料!$A$2:$A694, MATCH(MAX(F$2:F694), F$2:F694, 0)), MAX(F$2:F694)+1, MAX(F$2:F694)+2)))</f>
        <v/>
      </c>
      <c r="G695">
        <f>IF(NOT(AND(C695=1, TRIM(ERP資料!T695)="捲筒")), 0, IF(MAX(G$2:G694)=0, 1, IF(ERP資料!A695=INDEX(ERP資料!$A$2:$A694, MATCH(MAX(G$2:G694), G$2:G694, 0)), MAX(G$2:G694)+1, MAX(G$2:G694)+2)))</f>
        <v/>
      </c>
      <c r="H695">
        <f>IF(OR(ERP資料!C695="",ERP資料!D695=""),0,ERP資料!D695-ERP資料!C695+1)</f>
        <v/>
      </c>
    </row>
    <row r="696">
      <c r="A696" t="n">
        <v>696</v>
      </c>
      <c r="B696">
        <f>IF(ERP資料!A696="","",ERP資料!A696&amp;"|"&amp;ERP資料!E696&amp;"|"&amp;ERP資料!F696&amp;"|"&amp;ERP資料!G696&amp;"|"&amp;ERP資料!H696&amp;"|"&amp;ERP資料!O696)</f>
        <v/>
      </c>
      <c r="C696">
        <f>IF(B696="",0,IF(COUNTIF(B$2:B695,B696)=0,1,0))</f>
        <v/>
      </c>
      <c r="D696">
        <f>IF(B696="",0,SUMIFS($H$2:$H$801,$B$2:$B$801,B696))</f>
        <v/>
      </c>
      <c r="E696">
        <f>IF(NOT(AND(C696=1, TRIM(ERP資料!T696)="平板")), 0, IF(MAX(E$2:E695)=0, 1, IF(ERP資料!A696=INDEX(ERP資料!$A$2:$A695, MATCH(MAX(E$2:E695), E$2:E695, 0)), MAX(E$2:E695)+1, MAX(E$2:E695)+2)))</f>
        <v/>
      </c>
      <c r="F696">
        <f>IF(NOT(AND(C696=1, TRIM(ERP資料!T696)="平板")), 0, IF(MAX(F$2:F695)=0, 1, IF(ERP資料!A696=INDEX(ERP資料!$A$2:$A695, MATCH(MAX(F$2:F695), F$2:F695, 0)), MAX(F$2:F695)+1, MAX(F$2:F695)+2)))</f>
        <v/>
      </c>
      <c r="G696">
        <f>IF(NOT(AND(C696=1, TRIM(ERP資料!T696)="捲筒")), 0, IF(MAX(G$2:G695)=0, 1, IF(ERP資料!A696=INDEX(ERP資料!$A$2:$A695, MATCH(MAX(G$2:G695), G$2:G695, 0)), MAX(G$2:G695)+1, MAX(G$2:G695)+2)))</f>
        <v/>
      </c>
      <c r="H696">
        <f>IF(OR(ERP資料!C696="",ERP資料!D696=""),0,ERP資料!D696-ERP資料!C696+1)</f>
        <v/>
      </c>
    </row>
    <row r="697">
      <c r="A697" t="n">
        <v>697</v>
      </c>
      <c r="B697">
        <f>IF(ERP資料!A697="","",ERP資料!A697&amp;"|"&amp;ERP資料!E697&amp;"|"&amp;ERP資料!F697&amp;"|"&amp;ERP資料!G697&amp;"|"&amp;ERP資料!H697&amp;"|"&amp;ERP資料!O697)</f>
        <v/>
      </c>
      <c r="C697">
        <f>IF(B697="",0,IF(COUNTIF(B$2:B696,B697)=0,1,0))</f>
        <v/>
      </c>
      <c r="D697">
        <f>IF(B697="",0,SUMIFS($H$2:$H$801,$B$2:$B$801,B697))</f>
        <v/>
      </c>
      <c r="E697">
        <f>IF(NOT(AND(C697=1, TRIM(ERP資料!T697)="平板")), 0, IF(MAX(E$2:E696)=0, 1, IF(ERP資料!A697=INDEX(ERP資料!$A$2:$A696, MATCH(MAX(E$2:E696), E$2:E696, 0)), MAX(E$2:E696)+1, MAX(E$2:E696)+2)))</f>
        <v/>
      </c>
      <c r="F697">
        <f>IF(NOT(AND(C697=1, TRIM(ERP資料!T697)="平板")), 0, IF(MAX(F$2:F696)=0, 1, IF(ERP資料!A697=INDEX(ERP資料!$A$2:$A696, MATCH(MAX(F$2:F696), F$2:F696, 0)), MAX(F$2:F696)+1, MAX(F$2:F696)+2)))</f>
        <v/>
      </c>
      <c r="G697">
        <f>IF(NOT(AND(C697=1, TRIM(ERP資料!T697)="捲筒")), 0, IF(MAX(G$2:G696)=0, 1, IF(ERP資料!A697=INDEX(ERP資料!$A$2:$A696, MATCH(MAX(G$2:G696), G$2:G696, 0)), MAX(G$2:G696)+1, MAX(G$2:G696)+2)))</f>
        <v/>
      </c>
      <c r="H697">
        <f>IF(OR(ERP資料!C697="",ERP資料!D697=""),0,ERP資料!D697-ERP資料!C697+1)</f>
        <v/>
      </c>
    </row>
    <row r="698">
      <c r="A698" t="n">
        <v>698</v>
      </c>
      <c r="B698">
        <f>IF(ERP資料!A698="","",ERP資料!A698&amp;"|"&amp;ERP資料!E698&amp;"|"&amp;ERP資料!F698&amp;"|"&amp;ERP資料!G698&amp;"|"&amp;ERP資料!H698&amp;"|"&amp;ERP資料!O698)</f>
        <v/>
      </c>
      <c r="C698">
        <f>IF(B698="",0,IF(COUNTIF(B$2:B697,B698)=0,1,0))</f>
        <v/>
      </c>
      <c r="D698">
        <f>IF(B698="",0,SUMIFS($H$2:$H$801,$B$2:$B$801,B698))</f>
        <v/>
      </c>
      <c r="E698">
        <f>IF(NOT(AND(C698=1, TRIM(ERP資料!T698)="平板")), 0, IF(MAX(E$2:E697)=0, 1, IF(ERP資料!A698=INDEX(ERP資料!$A$2:$A697, MATCH(MAX(E$2:E697), E$2:E697, 0)), MAX(E$2:E697)+1, MAX(E$2:E697)+2)))</f>
        <v/>
      </c>
      <c r="F698">
        <f>IF(NOT(AND(C698=1, TRIM(ERP資料!T698)="平板")), 0, IF(MAX(F$2:F697)=0, 1, IF(ERP資料!A698=INDEX(ERP資料!$A$2:$A697, MATCH(MAX(F$2:F697), F$2:F697, 0)), MAX(F$2:F697)+1, MAX(F$2:F697)+2)))</f>
        <v/>
      </c>
      <c r="G698">
        <f>IF(NOT(AND(C698=1, TRIM(ERP資料!T698)="捲筒")), 0, IF(MAX(G$2:G697)=0, 1, IF(ERP資料!A698=INDEX(ERP資料!$A$2:$A697, MATCH(MAX(G$2:G697), G$2:G697, 0)), MAX(G$2:G697)+1, MAX(G$2:G697)+2)))</f>
        <v/>
      </c>
      <c r="H698">
        <f>IF(OR(ERP資料!C698="",ERP資料!D698=""),0,ERP資料!D698-ERP資料!C698+1)</f>
        <v/>
      </c>
    </row>
    <row r="699">
      <c r="A699" t="n">
        <v>699</v>
      </c>
      <c r="B699">
        <f>IF(ERP資料!A699="","",ERP資料!A699&amp;"|"&amp;ERP資料!E699&amp;"|"&amp;ERP資料!F699&amp;"|"&amp;ERP資料!G699&amp;"|"&amp;ERP資料!H699&amp;"|"&amp;ERP資料!O699)</f>
        <v/>
      </c>
      <c r="C699">
        <f>IF(B699="",0,IF(COUNTIF(B$2:B698,B699)=0,1,0))</f>
        <v/>
      </c>
      <c r="D699">
        <f>IF(B699="",0,SUMIFS($H$2:$H$801,$B$2:$B$801,B699))</f>
        <v/>
      </c>
      <c r="E699">
        <f>IF(NOT(AND(C699=1, TRIM(ERP資料!T699)="平板")), 0, IF(MAX(E$2:E698)=0, 1, IF(ERP資料!A699=INDEX(ERP資料!$A$2:$A698, MATCH(MAX(E$2:E698), E$2:E698, 0)), MAX(E$2:E698)+1, MAX(E$2:E698)+2)))</f>
        <v/>
      </c>
      <c r="F699">
        <f>IF(NOT(AND(C699=1, TRIM(ERP資料!T699)="平板")), 0, IF(MAX(F$2:F698)=0, 1, IF(ERP資料!A699=INDEX(ERP資料!$A$2:$A698, MATCH(MAX(F$2:F698), F$2:F698, 0)), MAX(F$2:F698)+1, MAX(F$2:F698)+2)))</f>
        <v/>
      </c>
      <c r="G699">
        <f>IF(NOT(AND(C699=1, TRIM(ERP資料!T699)="捲筒")), 0, IF(MAX(G$2:G698)=0, 1, IF(ERP資料!A699=INDEX(ERP資料!$A$2:$A698, MATCH(MAX(G$2:G698), G$2:G698, 0)), MAX(G$2:G698)+1, MAX(G$2:G698)+2)))</f>
        <v/>
      </c>
      <c r="H699">
        <f>IF(OR(ERP資料!C699="",ERP資料!D699=""),0,ERP資料!D699-ERP資料!C699+1)</f>
        <v/>
      </c>
    </row>
    <row r="700">
      <c r="A700" t="n">
        <v>700</v>
      </c>
      <c r="B700">
        <f>IF(ERP資料!A700="","",ERP資料!A700&amp;"|"&amp;ERP資料!E700&amp;"|"&amp;ERP資料!F700&amp;"|"&amp;ERP資料!G700&amp;"|"&amp;ERP資料!H700&amp;"|"&amp;ERP資料!O700)</f>
        <v/>
      </c>
      <c r="C700">
        <f>IF(B700="",0,IF(COUNTIF(B$2:B699,B700)=0,1,0))</f>
        <v/>
      </c>
      <c r="D700">
        <f>IF(B700="",0,SUMIFS($H$2:$H$801,$B$2:$B$801,B700))</f>
        <v/>
      </c>
      <c r="E700">
        <f>IF(NOT(AND(C700=1, TRIM(ERP資料!T700)="平板")), 0, IF(MAX(E$2:E699)=0, 1, IF(ERP資料!A700=INDEX(ERP資料!$A$2:$A699, MATCH(MAX(E$2:E699), E$2:E699, 0)), MAX(E$2:E699)+1, MAX(E$2:E699)+2)))</f>
        <v/>
      </c>
      <c r="F700">
        <f>IF(NOT(AND(C700=1, TRIM(ERP資料!T700)="平板")), 0, IF(MAX(F$2:F699)=0, 1, IF(ERP資料!A700=INDEX(ERP資料!$A$2:$A699, MATCH(MAX(F$2:F699), F$2:F699, 0)), MAX(F$2:F699)+1, MAX(F$2:F699)+2)))</f>
        <v/>
      </c>
      <c r="G700">
        <f>IF(NOT(AND(C700=1, TRIM(ERP資料!T700)="捲筒")), 0, IF(MAX(G$2:G699)=0, 1, IF(ERP資料!A700=INDEX(ERP資料!$A$2:$A699, MATCH(MAX(G$2:G699), G$2:G699, 0)), MAX(G$2:G699)+1, MAX(G$2:G699)+2)))</f>
        <v/>
      </c>
      <c r="H700">
        <f>IF(OR(ERP資料!C700="",ERP資料!D700=""),0,ERP資料!D700-ERP資料!C700+1)</f>
        <v/>
      </c>
    </row>
    <row r="701">
      <c r="A701" t="n">
        <v>701</v>
      </c>
      <c r="B701">
        <f>IF(ERP資料!A701="","",ERP資料!A701&amp;"|"&amp;ERP資料!E701&amp;"|"&amp;ERP資料!F701&amp;"|"&amp;ERP資料!G701&amp;"|"&amp;ERP資料!H701&amp;"|"&amp;ERP資料!O701)</f>
        <v/>
      </c>
      <c r="C701">
        <f>IF(B701="",0,IF(COUNTIF(B$2:B700,B701)=0,1,0))</f>
        <v/>
      </c>
      <c r="D701">
        <f>IF(B701="",0,SUMIFS($H$2:$H$801,$B$2:$B$801,B701))</f>
        <v/>
      </c>
      <c r="E701">
        <f>IF(NOT(AND(C701=1, TRIM(ERP資料!T701)="平板")), 0, IF(MAX(E$2:E700)=0, 1, IF(ERP資料!A701=INDEX(ERP資料!$A$2:$A700, MATCH(MAX(E$2:E700), E$2:E700, 0)), MAX(E$2:E700)+1, MAX(E$2:E700)+2)))</f>
        <v/>
      </c>
      <c r="F701">
        <f>IF(NOT(AND(C701=1, TRIM(ERP資料!T701)="平板")), 0, IF(MAX(F$2:F700)=0, 1, IF(ERP資料!A701=INDEX(ERP資料!$A$2:$A700, MATCH(MAX(F$2:F700), F$2:F700, 0)), MAX(F$2:F700)+1, MAX(F$2:F700)+2)))</f>
        <v/>
      </c>
      <c r="G701">
        <f>IF(NOT(AND(C701=1, TRIM(ERP資料!T701)="捲筒")), 0, IF(MAX(G$2:G700)=0, 1, IF(ERP資料!A701=INDEX(ERP資料!$A$2:$A700, MATCH(MAX(G$2:G700), G$2:G700, 0)), MAX(G$2:G700)+1, MAX(G$2:G700)+2)))</f>
        <v/>
      </c>
      <c r="H701">
        <f>IF(OR(ERP資料!C701="",ERP資料!D701=""),0,ERP資料!D701-ERP資料!C701+1)</f>
        <v/>
      </c>
    </row>
    <row r="702">
      <c r="A702" t="n">
        <v>702</v>
      </c>
      <c r="B702">
        <f>IF(ERP資料!A702="","",ERP資料!A702&amp;"|"&amp;ERP資料!E702&amp;"|"&amp;ERP資料!F702&amp;"|"&amp;ERP資料!G702&amp;"|"&amp;ERP資料!H702&amp;"|"&amp;ERP資料!O702)</f>
        <v/>
      </c>
      <c r="C702">
        <f>IF(B702="",0,IF(COUNTIF(B$2:B701,B702)=0,1,0))</f>
        <v/>
      </c>
      <c r="D702">
        <f>IF(B702="",0,SUMIFS($H$2:$H$801,$B$2:$B$801,B702))</f>
        <v/>
      </c>
      <c r="E702">
        <f>IF(NOT(AND(C702=1, TRIM(ERP資料!T702)="平板")), 0, IF(MAX(E$2:E701)=0, 1, IF(ERP資料!A702=INDEX(ERP資料!$A$2:$A701, MATCH(MAX(E$2:E701), E$2:E701, 0)), MAX(E$2:E701)+1, MAX(E$2:E701)+2)))</f>
        <v/>
      </c>
      <c r="F702">
        <f>IF(NOT(AND(C702=1, TRIM(ERP資料!T702)="平板")), 0, IF(MAX(F$2:F701)=0, 1, IF(ERP資料!A702=INDEX(ERP資料!$A$2:$A701, MATCH(MAX(F$2:F701), F$2:F701, 0)), MAX(F$2:F701)+1, MAX(F$2:F701)+2)))</f>
        <v/>
      </c>
      <c r="G702">
        <f>IF(NOT(AND(C702=1, TRIM(ERP資料!T702)="捲筒")), 0, IF(MAX(G$2:G701)=0, 1, IF(ERP資料!A702=INDEX(ERP資料!$A$2:$A701, MATCH(MAX(G$2:G701), G$2:G701, 0)), MAX(G$2:G701)+1, MAX(G$2:G701)+2)))</f>
        <v/>
      </c>
      <c r="H702">
        <f>IF(OR(ERP資料!C702="",ERP資料!D702=""),0,ERP資料!D702-ERP資料!C702+1)</f>
        <v/>
      </c>
    </row>
    <row r="703">
      <c r="A703" t="n">
        <v>703</v>
      </c>
      <c r="B703">
        <f>IF(ERP資料!A703="","",ERP資料!A703&amp;"|"&amp;ERP資料!E703&amp;"|"&amp;ERP資料!F703&amp;"|"&amp;ERP資料!G703&amp;"|"&amp;ERP資料!H703&amp;"|"&amp;ERP資料!O703)</f>
        <v/>
      </c>
      <c r="C703">
        <f>IF(B703="",0,IF(COUNTIF(B$2:B702,B703)=0,1,0))</f>
        <v/>
      </c>
      <c r="D703">
        <f>IF(B703="",0,SUMIFS($H$2:$H$801,$B$2:$B$801,B703))</f>
        <v/>
      </c>
      <c r="E703">
        <f>IF(NOT(AND(C703=1, TRIM(ERP資料!T703)="平板")), 0, IF(MAX(E$2:E702)=0, 1, IF(ERP資料!A703=INDEX(ERP資料!$A$2:$A702, MATCH(MAX(E$2:E702), E$2:E702, 0)), MAX(E$2:E702)+1, MAX(E$2:E702)+2)))</f>
        <v/>
      </c>
      <c r="F703">
        <f>IF(NOT(AND(C703=1, TRIM(ERP資料!T703)="平板")), 0, IF(MAX(F$2:F702)=0, 1, IF(ERP資料!A703=INDEX(ERP資料!$A$2:$A702, MATCH(MAX(F$2:F702), F$2:F702, 0)), MAX(F$2:F702)+1, MAX(F$2:F702)+2)))</f>
        <v/>
      </c>
      <c r="G703">
        <f>IF(NOT(AND(C703=1, TRIM(ERP資料!T703)="捲筒")), 0, IF(MAX(G$2:G702)=0, 1, IF(ERP資料!A703=INDEX(ERP資料!$A$2:$A702, MATCH(MAX(G$2:G702), G$2:G702, 0)), MAX(G$2:G702)+1, MAX(G$2:G702)+2)))</f>
        <v/>
      </c>
      <c r="H703">
        <f>IF(OR(ERP資料!C703="",ERP資料!D703=""),0,ERP資料!D703-ERP資料!C703+1)</f>
        <v/>
      </c>
    </row>
    <row r="704">
      <c r="A704" t="n">
        <v>704</v>
      </c>
      <c r="B704">
        <f>IF(ERP資料!A704="","",ERP資料!A704&amp;"|"&amp;ERP資料!E704&amp;"|"&amp;ERP資料!F704&amp;"|"&amp;ERP資料!G704&amp;"|"&amp;ERP資料!H704&amp;"|"&amp;ERP資料!O704)</f>
        <v/>
      </c>
      <c r="C704">
        <f>IF(B704="",0,IF(COUNTIF(B$2:B703,B704)=0,1,0))</f>
        <v/>
      </c>
      <c r="D704">
        <f>IF(B704="",0,SUMIFS($H$2:$H$801,$B$2:$B$801,B704))</f>
        <v/>
      </c>
      <c r="E704">
        <f>IF(NOT(AND(C704=1, TRIM(ERP資料!T704)="平板")), 0, IF(MAX(E$2:E703)=0, 1, IF(ERP資料!A704=INDEX(ERP資料!$A$2:$A703, MATCH(MAX(E$2:E703), E$2:E703, 0)), MAX(E$2:E703)+1, MAX(E$2:E703)+2)))</f>
        <v/>
      </c>
      <c r="F704">
        <f>IF(NOT(AND(C704=1, TRIM(ERP資料!T704)="平板")), 0, IF(MAX(F$2:F703)=0, 1, IF(ERP資料!A704=INDEX(ERP資料!$A$2:$A703, MATCH(MAX(F$2:F703), F$2:F703, 0)), MAX(F$2:F703)+1, MAX(F$2:F703)+2)))</f>
        <v/>
      </c>
      <c r="G704">
        <f>IF(NOT(AND(C704=1, TRIM(ERP資料!T704)="捲筒")), 0, IF(MAX(G$2:G703)=0, 1, IF(ERP資料!A704=INDEX(ERP資料!$A$2:$A703, MATCH(MAX(G$2:G703), G$2:G703, 0)), MAX(G$2:G703)+1, MAX(G$2:G703)+2)))</f>
        <v/>
      </c>
      <c r="H704">
        <f>IF(OR(ERP資料!C704="",ERP資料!D704=""),0,ERP資料!D704-ERP資料!C704+1)</f>
        <v/>
      </c>
    </row>
    <row r="705">
      <c r="A705" t="n">
        <v>705</v>
      </c>
      <c r="B705">
        <f>IF(ERP資料!A705="","",ERP資料!A705&amp;"|"&amp;ERP資料!E705&amp;"|"&amp;ERP資料!F705&amp;"|"&amp;ERP資料!G705&amp;"|"&amp;ERP資料!H705&amp;"|"&amp;ERP資料!O705)</f>
        <v/>
      </c>
      <c r="C705">
        <f>IF(B705="",0,IF(COUNTIF(B$2:B704,B705)=0,1,0))</f>
        <v/>
      </c>
      <c r="D705">
        <f>IF(B705="",0,SUMIFS($H$2:$H$801,$B$2:$B$801,B705))</f>
        <v/>
      </c>
      <c r="E705">
        <f>IF(NOT(AND(C705=1, TRIM(ERP資料!T705)="平板")), 0, IF(MAX(E$2:E704)=0, 1, IF(ERP資料!A705=INDEX(ERP資料!$A$2:$A704, MATCH(MAX(E$2:E704), E$2:E704, 0)), MAX(E$2:E704)+1, MAX(E$2:E704)+2)))</f>
        <v/>
      </c>
      <c r="F705">
        <f>IF(NOT(AND(C705=1, TRIM(ERP資料!T705)="平板")), 0, IF(MAX(F$2:F704)=0, 1, IF(ERP資料!A705=INDEX(ERP資料!$A$2:$A704, MATCH(MAX(F$2:F704), F$2:F704, 0)), MAX(F$2:F704)+1, MAX(F$2:F704)+2)))</f>
        <v/>
      </c>
      <c r="G705">
        <f>IF(NOT(AND(C705=1, TRIM(ERP資料!T705)="捲筒")), 0, IF(MAX(G$2:G704)=0, 1, IF(ERP資料!A705=INDEX(ERP資料!$A$2:$A704, MATCH(MAX(G$2:G704), G$2:G704, 0)), MAX(G$2:G704)+1, MAX(G$2:G704)+2)))</f>
        <v/>
      </c>
      <c r="H705">
        <f>IF(OR(ERP資料!C705="",ERP資料!D705=""),0,ERP資料!D705-ERP資料!C705+1)</f>
        <v/>
      </c>
    </row>
    <row r="706">
      <c r="A706" t="n">
        <v>706</v>
      </c>
      <c r="B706">
        <f>IF(ERP資料!A706="","",ERP資料!A706&amp;"|"&amp;ERP資料!E706&amp;"|"&amp;ERP資料!F706&amp;"|"&amp;ERP資料!G706&amp;"|"&amp;ERP資料!H706&amp;"|"&amp;ERP資料!O706)</f>
        <v/>
      </c>
      <c r="C706">
        <f>IF(B706="",0,IF(COUNTIF(B$2:B705,B706)=0,1,0))</f>
        <v/>
      </c>
      <c r="D706">
        <f>IF(B706="",0,SUMIFS($H$2:$H$801,$B$2:$B$801,B706))</f>
        <v/>
      </c>
      <c r="E706">
        <f>IF(NOT(AND(C706=1, TRIM(ERP資料!T706)="平板")), 0, IF(MAX(E$2:E705)=0, 1, IF(ERP資料!A706=INDEX(ERP資料!$A$2:$A705, MATCH(MAX(E$2:E705), E$2:E705, 0)), MAX(E$2:E705)+1, MAX(E$2:E705)+2)))</f>
        <v/>
      </c>
      <c r="F706">
        <f>IF(NOT(AND(C706=1, TRIM(ERP資料!T706)="平板")), 0, IF(MAX(F$2:F705)=0, 1, IF(ERP資料!A706=INDEX(ERP資料!$A$2:$A705, MATCH(MAX(F$2:F705), F$2:F705, 0)), MAX(F$2:F705)+1, MAX(F$2:F705)+2)))</f>
        <v/>
      </c>
      <c r="G706">
        <f>IF(NOT(AND(C706=1, TRIM(ERP資料!T706)="捲筒")), 0, IF(MAX(G$2:G705)=0, 1, IF(ERP資料!A706=INDEX(ERP資料!$A$2:$A705, MATCH(MAX(G$2:G705), G$2:G705, 0)), MAX(G$2:G705)+1, MAX(G$2:G705)+2)))</f>
        <v/>
      </c>
      <c r="H706">
        <f>IF(OR(ERP資料!C706="",ERP資料!D706=""),0,ERP資料!D706-ERP資料!C706+1)</f>
        <v/>
      </c>
    </row>
    <row r="707">
      <c r="A707" t="n">
        <v>707</v>
      </c>
      <c r="B707">
        <f>IF(ERP資料!A707="","",ERP資料!A707&amp;"|"&amp;ERP資料!E707&amp;"|"&amp;ERP資料!F707&amp;"|"&amp;ERP資料!G707&amp;"|"&amp;ERP資料!H707&amp;"|"&amp;ERP資料!O707)</f>
        <v/>
      </c>
      <c r="C707">
        <f>IF(B707="",0,IF(COUNTIF(B$2:B706,B707)=0,1,0))</f>
        <v/>
      </c>
      <c r="D707">
        <f>IF(B707="",0,SUMIFS($H$2:$H$801,$B$2:$B$801,B707))</f>
        <v/>
      </c>
      <c r="E707">
        <f>IF(NOT(AND(C707=1, TRIM(ERP資料!T707)="平板")), 0, IF(MAX(E$2:E706)=0, 1, IF(ERP資料!A707=INDEX(ERP資料!$A$2:$A706, MATCH(MAX(E$2:E706), E$2:E706, 0)), MAX(E$2:E706)+1, MAX(E$2:E706)+2)))</f>
        <v/>
      </c>
      <c r="F707">
        <f>IF(NOT(AND(C707=1, TRIM(ERP資料!T707)="平板")), 0, IF(MAX(F$2:F706)=0, 1, IF(ERP資料!A707=INDEX(ERP資料!$A$2:$A706, MATCH(MAX(F$2:F706), F$2:F706, 0)), MAX(F$2:F706)+1, MAX(F$2:F706)+2)))</f>
        <v/>
      </c>
      <c r="G707">
        <f>IF(NOT(AND(C707=1, TRIM(ERP資料!T707)="捲筒")), 0, IF(MAX(G$2:G706)=0, 1, IF(ERP資料!A707=INDEX(ERP資料!$A$2:$A706, MATCH(MAX(G$2:G706), G$2:G706, 0)), MAX(G$2:G706)+1, MAX(G$2:G706)+2)))</f>
        <v/>
      </c>
      <c r="H707">
        <f>IF(OR(ERP資料!C707="",ERP資料!D707=""),0,ERP資料!D707-ERP資料!C707+1)</f>
        <v/>
      </c>
    </row>
    <row r="708">
      <c r="A708" t="n">
        <v>708</v>
      </c>
      <c r="B708">
        <f>IF(ERP資料!A708="","",ERP資料!A708&amp;"|"&amp;ERP資料!E708&amp;"|"&amp;ERP資料!F708&amp;"|"&amp;ERP資料!G708&amp;"|"&amp;ERP資料!H708&amp;"|"&amp;ERP資料!O708)</f>
        <v/>
      </c>
      <c r="C708">
        <f>IF(B708="",0,IF(COUNTIF(B$2:B707,B708)=0,1,0))</f>
        <v/>
      </c>
      <c r="D708">
        <f>IF(B708="",0,SUMIFS($H$2:$H$801,$B$2:$B$801,B708))</f>
        <v/>
      </c>
      <c r="E708">
        <f>IF(NOT(AND(C708=1, TRIM(ERP資料!T708)="平板")), 0, IF(MAX(E$2:E707)=0, 1, IF(ERP資料!A708=INDEX(ERP資料!$A$2:$A707, MATCH(MAX(E$2:E707), E$2:E707, 0)), MAX(E$2:E707)+1, MAX(E$2:E707)+2)))</f>
        <v/>
      </c>
      <c r="F708">
        <f>IF(NOT(AND(C708=1, TRIM(ERP資料!T708)="平板")), 0, IF(MAX(F$2:F707)=0, 1, IF(ERP資料!A708=INDEX(ERP資料!$A$2:$A707, MATCH(MAX(F$2:F707), F$2:F707, 0)), MAX(F$2:F707)+1, MAX(F$2:F707)+2)))</f>
        <v/>
      </c>
      <c r="G708">
        <f>IF(NOT(AND(C708=1, TRIM(ERP資料!T708)="捲筒")), 0, IF(MAX(G$2:G707)=0, 1, IF(ERP資料!A708=INDEX(ERP資料!$A$2:$A707, MATCH(MAX(G$2:G707), G$2:G707, 0)), MAX(G$2:G707)+1, MAX(G$2:G707)+2)))</f>
        <v/>
      </c>
      <c r="H708">
        <f>IF(OR(ERP資料!C708="",ERP資料!D708=""),0,ERP資料!D708-ERP資料!C708+1)</f>
        <v/>
      </c>
    </row>
    <row r="709">
      <c r="A709" t="n">
        <v>709</v>
      </c>
      <c r="B709">
        <f>IF(ERP資料!A709="","",ERP資料!A709&amp;"|"&amp;ERP資料!E709&amp;"|"&amp;ERP資料!F709&amp;"|"&amp;ERP資料!G709&amp;"|"&amp;ERP資料!H709&amp;"|"&amp;ERP資料!O709)</f>
        <v/>
      </c>
      <c r="C709">
        <f>IF(B709="",0,IF(COUNTIF(B$2:B708,B709)=0,1,0))</f>
        <v/>
      </c>
      <c r="D709">
        <f>IF(B709="",0,SUMIFS($H$2:$H$801,$B$2:$B$801,B709))</f>
        <v/>
      </c>
      <c r="E709">
        <f>IF(NOT(AND(C709=1, TRIM(ERP資料!T709)="平板")), 0, IF(MAX(E$2:E708)=0, 1, IF(ERP資料!A709=INDEX(ERP資料!$A$2:$A708, MATCH(MAX(E$2:E708), E$2:E708, 0)), MAX(E$2:E708)+1, MAX(E$2:E708)+2)))</f>
        <v/>
      </c>
      <c r="F709">
        <f>IF(NOT(AND(C709=1, TRIM(ERP資料!T709)="平板")), 0, IF(MAX(F$2:F708)=0, 1, IF(ERP資料!A709=INDEX(ERP資料!$A$2:$A708, MATCH(MAX(F$2:F708), F$2:F708, 0)), MAX(F$2:F708)+1, MAX(F$2:F708)+2)))</f>
        <v/>
      </c>
      <c r="G709">
        <f>IF(NOT(AND(C709=1, TRIM(ERP資料!T709)="捲筒")), 0, IF(MAX(G$2:G708)=0, 1, IF(ERP資料!A709=INDEX(ERP資料!$A$2:$A708, MATCH(MAX(G$2:G708), G$2:G708, 0)), MAX(G$2:G708)+1, MAX(G$2:G708)+2)))</f>
        <v/>
      </c>
      <c r="H709">
        <f>IF(OR(ERP資料!C709="",ERP資料!D709=""),0,ERP資料!D709-ERP資料!C709+1)</f>
        <v/>
      </c>
    </row>
    <row r="710">
      <c r="A710" t="n">
        <v>710</v>
      </c>
      <c r="B710">
        <f>IF(ERP資料!A710="","",ERP資料!A710&amp;"|"&amp;ERP資料!E710&amp;"|"&amp;ERP資料!F710&amp;"|"&amp;ERP資料!G710&amp;"|"&amp;ERP資料!H710&amp;"|"&amp;ERP資料!O710)</f>
        <v/>
      </c>
      <c r="C710">
        <f>IF(B710="",0,IF(COUNTIF(B$2:B709,B710)=0,1,0))</f>
        <v/>
      </c>
      <c r="D710">
        <f>IF(B710="",0,SUMIFS($H$2:$H$801,$B$2:$B$801,B710))</f>
        <v/>
      </c>
      <c r="E710">
        <f>IF(NOT(AND(C710=1, TRIM(ERP資料!T710)="平板")), 0, IF(MAX(E$2:E709)=0, 1, IF(ERP資料!A710=INDEX(ERP資料!$A$2:$A709, MATCH(MAX(E$2:E709), E$2:E709, 0)), MAX(E$2:E709)+1, MAX(E$2:E709)+2)))</f>
        <v/>
      </c>
      <c r="F710">
        <f>IF(NOT(AND(C710=1, TRIM(ERP資料!T710)="平板")), 0, IF(MAX(F$2:F709)=0, 1, IF(ERP資料!A710=INDEX(ERP資料!$A$2:$A709, MATCH(MAX(F$2:F709), F$2:F709, 0)), MAX(F$2:F709)+1, MAX(F$2:F709)+2)))</f>
        <v/>
      </c>
      <c r="G710">
        <f>IF(NOT(AND(C710=1, TRIM(ERP資料!T710)="捲筒")), 0, IF(MAX(G$2:G709)=0, 1, IF(ERP資料!A710=INDEX(ERP資料!$A$2:$A709, MATCH(MAX(G$2:G709), G$2:G709, 0)), MAX(G$2:G709)+1, MAX(G$2:G709)+2)))</f>
        <v/>
      </c>
      <c r="H710">
        <f>IF(OR(ERP資料!C710="",ERP資料!D710=""),0,ERP資料!D710-ERP資料!C710+1)</f>
        <v/>
      </c>
    </row>
    <row r="711">
      <c r="A711" t="n">
        <v>711</v>
      </c>
      <c r="B711">
        <f>IF(ERP資料!A711="","",ERP資料!A711&amp;"|"&amp;ERP資料!E711&amp;"|"&amp;ERP資料!F711&amp;"|"&amp;ERP資料!G711&amp;"|"&amp;ERP資料!H711&amp;"|"&amp;ERP資料!O711)</f>
        <v/>
      </c>
      <c r="C711">
        <f>IF(B711="",0,IF(COUNTIF(B$2:B710,B711)=0,1,0))</f>
        <v/>
      </c>
      <c r="D711">
        <f>IF(B711="",0,SUMIFS($H$2:$H$801,$B$2:$B$801,B711))</f>
        <v/>
      </c>
      <c r="E711">
        <f>IF(NOT(AND(C711=1, TRIM(ERP資料!T711)="平板")), 0, IF(MAX(E$2:E710)=0, 1, IF(ERP資料!A711=INDEX(ERP資料!$A$2:$A710, MATCH(MAX(E$2:E710), E$2:E710, 0)), MAX(E$2:E710)+1, MAX(E$2:E710)+2)))</f>
        <v/>
      </c>
      <c r="F711">
        <f>IF(NOT(AND(C711=1, TRIM(ERP資料!T711)="平板")), 0, IF(MAX(F$2:F710)=0, 1, IF(ERP資料!A711=INDEX(ERP資料!$A$2:$A710, MATCH(MAX(F$2:F710), F$2:F710, 0)), MAX(F$2:F710)+1, MAX(F$2:F710)+2)))</f>
        <v/>
      </c>
      <c r="G711">
        <f>IF(NOT(AND(C711=1, TRIM(ERP資料!T711)="捲筒")), 0, IF(MAX(G$2:G710)=0, 1, IF(ERP資料!A711=INDEX(ERP資料!$A$2:$A710, MATCH(MAX(G$2:G710), G$2:G710, 0)), MAX(G$2:G710)+1, MAX(G$2:G710)+2)))</f>
        <v/>
      </c>
      <c r="H711">
        <f>IF(OR(ERP資料!C711="",ERP資料!D711=""),0,ERP資料!D711-ERP資料!C711+1)</f>
        <v/>
      </c>
    </row>
    <row r="712">
      <c r="A712" t="n">
        <v>712</v>
      </c>
      <c r="B712">
        <f>IF(ERP資料!A712="","",ERP資料!A712&amp;"|"&amp;ERP資料!E712&amp;"|"&amp;ERP資料!F712&amp;"|"&amp;ERP資料!G712&amp;"|"&amp;ERP資料!H712&amp;"|"&amp;ERP資料!O712)</f>
        <v/>
      </c>
      <c r="C712">
        <f>IF(B712="",0,IF(COUNTIF(B$2:B711,B712)=0,1,0))</f>
        <v/>
      </c>
      <c r="D712">
        <f>IF(B712="",0,SUMIFS($H$2:$H$801,$B$2:$B$801,B712))</f>
        <v/>
      </c>
      <c r="E712">
        <f>IF(NOT(AND(C712=1, TRIM(ERP資料!T712)="平板")), 0, IF(MAX(E$2:E711)=0, 1, IF(ERP資料!A712=INDEX(ERP資料!$A$2:$A711, MATCH(MAX(E$2:E711), E$2:E711, 0)), MAX(E$2:E711)+1, MAX(E$2:E711)+2)))</f>
        <v/>
      </c>
      <c r="F712">
        <f>IF(NOT(AND(C712=1, TRIM(ERP資料!T712)="平板")), 0, IF(MAX(F$2:F711)=0, 1, IF(ERP資料!A712=INDEX(ERP資料!$A$2:$A711, MATCH(MAX(F$2:F711), F$2:F711, 0)), MAX(F$2:F711)+1, MAX(F$2:F711)+2)))</f>
        <v/>
      </c>
      <c r="G712">
        <f>IF(NOT(AND(C712=1, TRIM(ERP資料!T712)="捲筒")), 0, IF(MAX(G$2:G711)=0, 1, IF(ERP資料!A712=INDEX(ERP資料!$A$2:$A711, MATCH(MAX(G$2:G711), G$2:G711, 0)), MAX(G$2:G711)+1, MAX(G$2:G711)+2)))</f>
        <v/>
      </c>
      <c r="H712">
        <f>IF(OR(ERP資料!C712="",ERP資料!D712=""),0,ERP資料!D712-ERP資料!C712+1)</f>
        <v/>
      </c>
    </row>
    <row r="713">
      <c r="A713" t="n">
        <v>713</v>
      </c>
      <c r="B713">
        <f>IF(ERP資料!A713="","",ERP資料!A713&amp;"|"&amp;ERP資料!E713&amp;"|"&amp;ERP資料!F713&amp;"|"&amp;ERP資料!G713&amp;"|"&amp;ERP資料!H713&amp;"|"&amp;ERP資料!O713)</f>
        <v/>
      </c>
      <c r="C713">
        <f>IF(B713="",0,IF(COUNTIF(B$2:B712,B713)=0,1,0))</f>
        <v/>
      </c>
      <c r="D713">
        <f>IF(B713="",0,SUMIFS($H$2:$H$801,$B$2:$B$801,B713))</f>
        <v/>
      </c>
      <c r="E713">
        <f>IF(NOT(AND(C713=1, TRIM(ERP資料!T713)="平板")), 0, IF(MAX(E$2:E712)=0, 1, IF(ERP資料!A713=INDEX(ERP資料!$A$2:$A712, MATCH(MAX(E$2:E712), E$2:E712, 0)), MAX(E$2:E712)+1, MAX(E$2:E712)+2)))</f>
        <v/>
      </c>
      <c r="F713">
        <f>IF(NOT(AND(C713=1, TRIM(ERP資料!T713)="平板")), 0, IF(MAX(F$2:F712)=0, 1, IF(ERP資料!A713=INDEX(ERP資料!$A$2:$A712, MATCH(MAX(F$2:F712), F$2:F712, 0)), MAX(F$2:F712)+1, MAX(F$2:F712)+2)))</f>
        <v/>
      </c>
      <c r="G713">
        <f>IF(NOT(AND(C713=1, TRIM(ERP資料!T713)="捲筒")), 0, IF(MAX(G$2:G712)=0, 1, IF(ERP資料!A713=INDEX(ERP資料!$A$2:$A712, MATCH(MAX(G$2:G712), G$2:G712, 0)), MAX(G$2:G712)+1, MAX(G$2:G712)+2)))</f>
        <v/>
      </c>
      <c r="H713">
        <f>IF(OR(ERP資料!C713="",ERP資料!D713=""),0,ERP資料!D713-ERP資料!C713+1)</f>
        <v/>
      </c>
    </row>
    <row r="714">
      <c r="A714" t="n">
        <v>714</v>
      </c>
      <c r="B714">
        <f>IF(ERP資料!A714="","",ERP資料!A714&amp;"|"&amp;ERP資料!E714&amp;"|"&amp;ERP資料!F714&amp;"|"&amp;ERP資料!G714&amp;"|"&amp;ERP資料!H714&amp;"|"&amp;ERP資料!O714)</f>
        <v/>
      </c>
      <c r="C714">
        <f>IF(B714="",0,IF(COUNTIF(B$2:B713,B714)=0,1,0))</f>
        <v/>
      </c>
      <c r="D714">
        <f>IF(B714="",0,SUMIFS($H$2:$H$801,$B$2:$B$801,B714))</f>
        <v/>
      </c>
      <c r="E714">
        <f>IF(NOT(AND(C714=1, TRIM(ERP資料!T714)="平板")), 0, IF(MAX(E$2:E713)=0, 1, IF(ERP資料!A714=INDEX(ERP資料!$A$2:$A713, MATCH(MAX(E$2:E713), E$2:E713, 0)), MAX(E$2:E713)+1, MAX(E$2:E713)+2)))</f>
        <v/>
      </c>
      <c r="F714">
        <f>IF(NOT(AND(C714=1, TRIM(ERP資料!T714)="平板")), 0, IF(MAX(F$2:F713)=0, 1, IF(ERP資料!A714=INDEX(ERP資料!$A$2:$A713, MATCH(MAX(F$2:F713), F$2:F713, 0)), MAX(F$2:F713)+1, MAX(F$2:F713)+2)))</f>
        <v/>
      </c>
      <c r="G714">
        <f>IF(NOT(AND(C714=1, TRIM(ERP資料!T714)="捲筒")), 0, IF(MAX(G$2:G713)=0, 1, IF(ERP資料!A714=INDEX(ERP資料!$A$2:$A713, MATCH(MAX(G$2:G713), G$2:G713, 0)), MAX(G$2:G713)+1, MAX(G$2:G713)+2)))</f>
        <v/>
      </c>
      <c r="H714">
        <f>IF(OR(ERP資料!C714="",ERP資料!D714=""),0,ERP資料!D714-ERP資料!C714+1)</f>
        <v/>
      </c>
    </row>
    <row r="715">
      <c r="A715" t="n">
        <v>715</v>
      </c>
      <c r="B715">
        <f>IF(ERP資料!A715="","",ERP資料!A715&amp;"|"&amp;ERP資料!E715&amp;"|"&amp;ERP資料!F715&amp;"|"&amp;ERP資料!G715&amp;"|"&amp;ERP資料!H715&amp;"|"&amp;ERP資料!O715)</f>
        <v/>
      </c>
      <c r="C715">
        <f>IF(B715="",0,IF(COUNTIF(B$2:B714,B715)=0,1,0))</f>
        <v/>
      </c>
      <c r="D715">
        <f>IF(B715="",0,SUMIFS($H$2:$H$801,$B$2:$B$801,B715))</f>
        <v/>
      </c>
      <c r="E715">
        <f>IF(NOT(AND(C715=1, TRIM(ERP資料!T715)="平板")), 0, IF(MAX(E$2:E714)=0, 1, IF(ERP資料!A715=INDEX(ERP資料!$A$2:$A714, MATCH(MAX(E$2:E714), E$2:E714, 0)), MAX(E$2:E714)+1, MAX(E$2:E714)+2)))</f>
        <v/>
      </c>
      <c r="F715">
        <f>IF(NOT(AND(C715=1, TRIM(ERP資料!T715)="平板")), 0, IF(MAX(F$2:F714)=0, 1, IF(ERP資料!A715=INDEX(ERP資料!$A$2:$A714, MATCH(MAX(F$2:F714), F$2:F714, 0)), MAX(F$2:F714)+1, MAX(F$2:F714)+2)))</f>
        <v/>
      </c>
      <c r="G715">
        <f>IF(NOT(AND(C715=1, TRIM(ERP資料!T715)="捲筒")), 0, IF(MAX(G$2:G714)=0, 1, IF(ERP資料!A715=INDEX(ERP資料!$A$2:$A714, MATCH(MAX(G$2:G714), G$2:G714, 0)), MAX(G$2:G714)+1, MAX(G$2:G714)+2)))</f>
        <v/>
      </c>
      <c r="H715">
        <f>IF(OR(ERP資料!C715="",ERP資料!D715=""),0,ERP資料!D715-ERP資料!C715+1)</f>
        <v/>
      </c>
    </row>
    <row r="716">
      <c r="A716" t="n">
        <v>716</v>
      </c>
      <c r="B716">
        <f>IF(ERP資料!A716="","",ERP資料!A716&amp;"|"&amp;ERP資料!E716&amp;"|"&amp;ERP資料!F716&amp;"|"&amp;ERP資料!G716&amp;"|"&amp;ERP資料!H716&amp;"|"&amp;ERP資料!O716)</f>
        <v/>
      </c>
      <c r="C716">
        <f>IF(B716="",0,IF(COUNTIF(B$2:B715,B716)=0,1,0))</f>
        <v/>
      </c>
      <c r="D716">
        <f>IF(B716="",0,SUMIFS($H$2:$H$801,$B$2:$B$801,B716))</f>
        <v/>
      </c>
      <c r="E716">
        <f>IF(NOT(AND(C716=1, TRIM(ERP資料!T716)="平板")), 0, IF(MAX(E$2:E715)=0, 1, IF(ERP資料!A716=INDEX(ERP資料!$A$2:$A715, MATCH(MAX(E$2:E715), E$2:E715, 0)), MAX(E$2:E715)+1, MAX(E$2:E715)+2)))</f>
        <v/>
      </c>
      <c r="F716">
        <f>IF(NOT(AND(C716=1, TRIM(ERP資料!T716)="平板")), 0, IF(MAX(F$2:F715)=0, 1, IF(ERP資料!A716=INDEX(ERP資料!$A$2:$A715, MATCH(MAX(F$2:F715), F$2:F715, 0)), MAX(F$2:F715)+1, MAX(F$2:F715)+2)))</f>
        <v/>
      </c>
      <c r="G716">
        <f>IF(NOT(AND(C716=1, TRIM(ERP資料!T716)="捲筒")), 0, IF(MAX(G$2:G715)=0, 1, IF(ERP資料!A716=INDEX(ERP資料!$A$2:$A715, MATCH(MAX(G$2:G715), G$2:G715, 0)), MAX(G$2:G715)+1, MAX(G$2:G715)+2)))</f>
        <v/>
      </c>
      <c r="H716">
        <f>IF(OR(ERP資料!C716="",ERP資料!D716=""),0,ERP資料!D716-ERP資料!C716+1)</f>
        <v/>
      </c>
    </row>
    <row r="717">
      <c r="A717" t="n">
        <v>717</v>
      </c>
      <c r="B717">
        <f>IF(ERP資料!A717="","",ERP資料!A717&amp;"|"&amp;ERP資料!E717&amp;"|"&amp;ERP資料!F717&amp;"|"&amp;ERP資料!G717&amp;"|"&amp;ERP資料!H717&amp;"|"&amp;ERP資料!O717)</f>
        <v/>
      </c>
      <c r="C717">
        <f>IF(B717="",0,IF(COUNTIF(B$2:B716,B717)=0,1,0))</f>
        <v/>
      </c>
      <c r="D717">
        <f>IF(B717="",0,SUMIFS($H$2:$H$801,$B$2:$B$801,B717))</f>
        <v/>
      </c>
      <c r="E717">
        <f>IF(NOT(AND(C717=1, TRIM(ERP資料!T717)="平板")), 0, IF(MAX(E$2:E716)=0, 1, IF(ERP資料!A717=INDEX(ERP資料!$A$2:$A716, MATCH(MAX(E$2:E716), E$2:E716, 0)), MAX(E$2:E716)+1, MAX(E$2:E716)+2)))</f>
        <v/>
      </c>
      <c r="F717">
        <f>IF(NOT(AND(C717=1, TRIM(ERP資料!T717)="平板")), 0, IF(MAX(F$2:F716)=0, 1, IF(ERP資料!A717=INDEX(ERP資料!$A$2:$A716, MATCH(MAX(F$2:F716), F$2:F716, 0)), MAX(F$2:F716)+1, MAX(F$2:F716)+2)))</f>
        <v/>
      </c>
      <c r="G717">
        <f>IF(NOT(AND(C717=1, TRIM(ERP資料!T717)="捲筒")), 0, IF(MAX(G$2:G716)=0, 1, IF(ERP資料!A717=INDEX(ERP資料!$A$2:$A716, MATCH(MAX(G$2:G716), G$2:G716, 0)), MAX(G$2:G716)+1, MAX(G$2:G716)+2)))</f>
        <v/>
      </c>
      <c r="H717">
        <f>IF(OR(ERP資料!C717="",ERP資料!D717=""),0,ERP資料!D717-ERP資料!C717+1)</f>
        <v/>
      </c>
    </row>
    <row r="718">
      <c r="A718" t="n">
        <v>718</v>
      </c>
      <c r="B718">
        <f>IF(ERP資料!A718="","",ERP資料!A718&amp;"|"&amp;ERP資料!E718&amp;"|"&amp;ERP資料!F718&amp;"|"&amp;ERP資料!G718&amp;"|"&amp;ERP資料!H718&amp;"|"&amp;ERP資料!O718)</f>
        <v/>
      </c>
      <c r="C718">
        <f>IF(B718="",0,IF(COUNTIF(B$2:B717,B718)=0,1,0))</f>
        <v/>
      </c>
      <c r="D718">
        <f>IF(B718="",0,SUMIFS($H$2:$H$801,$B$2:$B$801,B718))</f>
        <v/>
      </c>
      <c r="E718">
        <f>IF(NOT(AND(C718=1, TRIM(ERP資料!T718)="平板")), 0, IF(MAX(E$2:E717)=0, 1, IF(ERP資料!A718=INDEX(ERP資料!$A$2:$A717, MATCH(MAX(E$2:E717), E$2:E717, 0)), MAX(E$2:E717)+1, MAX(E$2:E717)+2)))</f>
        <v/>
      </c>
      <c r="F718">
        <f>IF(NOT(AND(C718=1, TRIM(ERP資料!T718)="平板")), 0, IF(MAX(F$2:F717)=0, 1, IF(ERP資料!A718=INDEX(ERP資料!$A$2:$A717, MATCH(MAX(F$2:F717), F$2:F717, 0)), MAX(F$2:F717)+1, MAX(F$2:F717)+2)))</f>
        <v/>
      </c>
      <c r="G718">
        <f>IF(NOT(AND(C718=1, TRIM(ERP資料!T718)="捲筒")), 0, IF(MAX(G$2:G717)=0, 1, IF(ERP資料!A718=INDEX(ERP資料!$A$2:$A717, MATCH(MAX(G$2:G717), G$2:G717, 0)), MAX(G$2:G717)+1, MAX(G$2:G717)+2)))</f>
        <v/>
      </c>
      <c r="H718">
        <f>IF(OR(ERP資料!C718="",ERP資料!D718=""),0,ERP資料!D718-ERP資料!C718+1)</f>
        <v/>
      </c>
    </row>
    <row r="719">
      <c r="A719" t="n">
        <v>719</v>
      </c>
      <c r="B719">
        <f>IF(ERP資料!A719="","",ERP資料!A719&amp;"|"&amp;ERP資料!E719&amp;"|"&amp;ERP資料!F719&amp;"|"&amp;ERP資料!G719&amp;"|"&amp;ERP資料!H719&amp;"|"&amp;ERP資料!O719)</f>
        <v/>
      </c>
      <c r="C719">
        <f>IF(B719="",0,IF(COUNTIF(B$2:B718,B719)=0,1,0))</f>
        <v/>
      </c>
      <c r="D719">
        <f>IF(B719="",0,SUMIFS($H$2:$H$801,$B$2:$B$801,B719))</f>
        <v/>
      </c>
      <c r="E719">
        <f>IF(NOT(AND(C719=1, TRIM(ERP資料!T719)="平板")), 0, IF(MAX(E$2:E718)=0, 1, IF(ERP資料!A719=INDEX(ERP資料!$A$2:$A718, MATCH(MAX(E$2:E718), E$2:E718, 0)), MAX(E$2:E718)+1, MAX(E$2:E718)+2)))</f>
        <v/>
      </c>
      <c r="F719">
        <f>IF(NOT(AND(C719=1, TRIM(ERP資料!T719)="平板")), 0, IF(MAX(F$2:F718)=0, 1, IF(ERP資料!A719=INDEX(ERP資料!$A$2:$A718, MATCH(MAX(F$2:F718), F$2:F718, 0)), MAX(F$2:F718)+1, MAX(F$2:F718)+2)))</f>
        <v/>
      </c>
      <c r="G719">
        <f>IF(NOT(AND(C719=1, TRIM(ERP資料!T719)="捲筒")), 0, IF(MAX(G$2:G718)=0, 1, IF(ERP資料!A719=INDEX(ERP資料!$A$2:$A718, MATCH(MAX(G$2:G718), G$2:G718, 0)), MAX(G$2:G718)+1, MAX(G$2:G718)+2)))</f>
        <v/>
      </c>
      <c r="H719">
        <f>IF(OR(ERP資料!C719="",ERP資料!D719=""),0,ERP資料!D719-ERP資料!C719+1)</f>
        <v/>
      </c>
    </row>
    <row r="720">
      <c r="A720" t="n">
        <v>720</v>
      </c>
      <c r="B720">
        <f>IF(ERP資料!A720="","",ERP資料!A720&amp;"|"&amp;ERP資料!E720&amp;"|"&amp;ERP資料!F720&amp;"|"&amp;ERP資料!G720&amp;"|"&amp;ERP資料!H720&amp;"|"&amp;ERP資料!O720)</f>
        <v/>
      </c>
      <c r="C720">
        <f>IF(B720="",0,IF(COUNTIF(B$2:B719,B720)=0,1,0))</f>
        <v/>
      </c>
      <c r="D720">
        <f>IF(B720="",0,SUMIFS($H$2:$H$801,$B$2:$B$801,B720))</f>
        <v/>
      </c>
      <c r="E720">
        <f>IF(NOT(AND(C720=1, TRIM(ERP資料!T720)="平板")), 0, IF(MAX(E$2:E719)=0, 1, IF(ERP資料!A720=INDEX(ERP資料!$A$2:$A719, MATCH(MAX(E$2:E719), E$2:E719, 0)), MAX(E$2:E719)+1, MAX(E$2:E719)+2)))</f>
        <v/>
      </c>
      <c r="F720">
        <f>IF(NOT(AND(C720=1, TRIM(ERP資料!T720)="平板")), 0, IF(MAX(F$2:F719)=0, 1, IF(ERP資料!A720=INDEX(ERP資料!$A$2:$A719, MATCH(MAX(F$2:F719), F$2:F719, 0)), MAX(F$2:F719)+1, MAX(F$2:F719)+2)))</f>
        <v/>
      </c>
      <c r="G720">
        <f>IF(NOT(AND(C720=1, TRIM(ERP資料!T720)="捲筒")), 0, IF(MAX(G$2:G719)=0, 1, IF(ERP資料!A720=INDEX(ERP資料!$A$2:$A719, MATCH(MAX(G$2:G719), G$2:G719, 0)), MAX(G$2:G719)+1, MAX(G$2:G719)+2)))</f>
        <v/>
      </c>
      <c r="H720">
        <f>IF(OR(ERP資料!C720="",ERP資料!D720=""),0,ERP資料!D720-ERP資料!C720+1)</f>
        <v/>
      </c>
    </row>
    <row r="721">
      <c r="A721" t="n">
        <v>721</v>
      </c>
      <c r="B721">
        <f>IF(ERP資料!A721="","",ERP資料!A721&amp;"|"&amp;ERP資料!E721&amp;"|"&amp;ERP資料!F721&amp;"|"&amp;ERP資料!G721&amp;"|"&amp;ERP資料!H721&amp;"|"&amp;ERP資料!O721)</f>
        <v/>
      </c>
      <c r="C721">
        <f>IF(B721="",0,IF(COUNTIF(B$2:B720,B721)=0,1,0))</f>
        <v/>
      </c>
      <c r="D721">
        <f>IF(B721="",0,SUMIFS($H$2:$H$801,$B$2:$B$801,B721))</f>
        <v/>
      </c>
      <c r="E721">
        <f>IF(NOT(AND(C721=1, TRIM(ERP資料!T721)="平板")), 0, IF(MAX(E$2:E720)=0, 1, IF(ERP資料!A721=INDEX(ERP資料!$A$2:$A720, MATCH(MAX(E$2:E720), E$2:E720, 0)), MAX(E$2:E720)+1, MAX(E$2:E720)+2)))</f>
        <v/>
      </c>
      <c r="F721">
        <f>IF(NOT(AND(C721=1, TRIM(ERP資料!T721)="平板")), 0, IF(MAX(F$2:F720)=0, 1, IF(ERP資料!A721=INDEX(ERP資料!$A$2:$A720, MATCH(MAX(F$2:F720), F$2:F720, 0)), MAX(F$2:F720)+1, MAX(F$2:F720)+2)))</f>
        <v/>
      </c>
      <c r="G721">
        <f>IF(NOT(AND(C721=1, TRIM(ERP資料!T721)="捲筒")), 0, IF(MAX(G$2:G720)=0, 1, IF(ERP資料!A721=INDEX(ERP資料!$A$2:$A720, MATCH(MAX(G$2:G720), G$2:G720, 0)), MAX(G$2:G720)+1, MAX(G$2:G720)+2)))</f>
        <v/>
      </c>
      <c r="H721">
        <f>IF(OR(ERP資料!C721="",ERP資料!D721=""),0,ERP資料!D721-ERP資料!C721+1)</f>
        <v/>
      </c>
    </row>
    <row r="722">
      <c r="A722" t="n">
        <v>722</v>
      </c>
      <c r="B722">
        <f>IF(ERP資料!A722="","",ERP資料!A722&amp;"|"&amp;ERP資料!E722&amp;"|"&amp;ERP資料!F722&amp;"|"&amp;ERP資料!G722&amp;"|"&amp;ERP資料!H722&amp;"|"&amp;ERP資料!O722)</f>
        <v/>
      </c>
      <c r="C722">
        <f>IF(B722="",0,IF(COUNTIF(B$2:B721,B722)=0,1,0))</f>
        <v/>
      </c>
      <c r="D722">
        <f>IF(B722="",0,SUMIFS($H$2:$H$801,$B$2:$B$801,B722))</f>
        <v/>
      </c>
      <c r="E722">
        <f>IF(NOT(AND(C722=1, TRIM(ERP資料!T722)="平板")), 0, IF(MAX(E$2:E721)=0, 1, IF(ERP資料!A722=INDEX(ERP資料!$A$2:$A721, MATCH(MAX(E$2:E721), E$2:E721, 0)), MAX(E$2:E721)+1, MAX(E$2:E721)+2)))</f>
        <v/>
      </c>
      <c r="F722">
        <f>IF(NOT(AND(C722=1, TRIM(ERP資料!T722)="平板")), 0, IF(MAX(F$2:F721)=0, 1, IF(ERP資料!A722=INDEX(ERP資料!$A$2:$A721, MATCH(MAX(F$2:F721), F$2:F721, 0)), MAX(F$2:F721)+1, MAX(F$2:F721)+2)))</f>
        <v/>
      </c>
      <c r="G722">
        <f>IF(NOT(AND(C722=1, TRIM(ERP資料!T722)="捲筒")), 0, IF(MAX(G$2:G721)=0, 1, IF(ERP資料!A722=INDEX(ERP資料!$A$2:$A721, MATCH(MAX(G$2:G721), G$2:G721, 0)), MAX(G$2:G721)+1, MAX(G$2:G721)+2)))</f>
        <v/>
      </c>
      <c r="H722">
        <f>IF(OR(ERP資料!C722="",ERP資料!D722=""),0,ERP資料!D722-ERP資料!C722+1)</f>
        <v/>
      </c>
    </row>
    <row r="723">
      <c r="A723" t="n">
        <v>723</v>
      </c>
      <c r="B723">
        <f>IF(ERP資料!A723="","",ERP資料!A723&amp;"|"&amp;ERP資料!E723&amp;"|"&amp;ERP資料!F723&amp;"|"&amp;ERP資料!G723&amp;"|"&amp;ERP資料!H723&amp;"|"&amp;ERP資料!O723)</f>
        <v/>
      </c>
      <c r="C723">
        <f>IF(B723="",0,IF(COUNTIF(B$2:B722,B723)=0,1,0))</f>
        <v/>
      </c>
      <c r="D723">
        <f>IF(B723="",0,SUMIFS($H$2:$H$801,$B$2:$B$801,B723))</f>
        <v/>
      </c>
      <c r="E723">
        <f>IF(NOT(AND(C723=1, TRIM(ERP資料!T723)="平板")), 0, IF(MAX(E$2:E722)=0, 1, IF(ERP資料!A723=INDEX(ERP資料!$A$2:$A722, MATCH(MAX(E$2:E722), E$2:E722, 0)), MAX(E$2:E722)+1, MAX(E$2:E722)+2)))</f>
        <v/>
      </c>
      <c r="F723">
        <f>IF(NOT(AND(C723=1, TRIM(ERP資料!T723)="平板")), 0, IF(MAX(F$2:F722)=0, 1, IF(ERP資料!A723=INDEX(ERP資料!$A$2:$A722, MATCH(MAX(F$2:F722), F$2:F722, 0)), MAX(F$2:F722)+1, MAX(F$2:F722)+2)))</f>
        <v/>
      </c>
      <c r="G723">
        <f>IF(NOT(AND(C723=1, TRIM(ERP資料!T723)="捲筒")), 0, IF(MAX(G$2:G722)=0, 1, IF(ERP資料!A723=INDEX(ERP資料!$A$2:$A722, MATCH(MAX(G$2:G722), G$2:G722, 0)), MAX(G$2:G722)+1, MAX(G$2:G722)+2)))</f>
        <v/>
      </c>
      <c r="H723">
        <f>IF(OR(ERP資料!C723="",ERP資料!D723=""),0,ERP資料!D723-ERP資料!C723+1)</f>
        <v/>
      </c>
    </row>
    <row r="724">
      <c r="A724" t="n">
        <v>724</v>
      </c>
      <c r="B724">
        <f>IF(ERP資料!A724="","",ERP資料!A724&amp;"|"&amp;ERP資料!E724&amp;"|"&amp;ERP資料!F724&amp;"|"&amp;ERP資料!G724&amp;"|"&amp;ERP資料!H724&amp;"|"&amp;ERP資料!O724)</f>
        <v/>
      </c>
      <c r="C724">
        <f>IF(B724="",0,IF(COUNTIF(B$2:B723,B724)=0,1,0))</f>
        <v/>
      </c>
      <c r="D724">
        <f>IF(B724="",0,SUMIFS($H$2:$H$801,$B$2:$B$801,B724))</f>
        <v/>
      </c>
      <c r="E724">
        <f>IF(NOT(AND(C724=1, TRIM(ERP資料!T724)="平板")), 0, IF(MAX(E$2:E723)=0, 1, IF(ERP資料!A724=INDEX(ERP資料!$A$2:$A723, MATCH(MAX(E$2:E723), E$2:E723, 0)), MAX(E$2:E723)+1, MAX(E$2:E723)+2)))</f>
        <v/>
      </c>
      <c r="F724">
        <f>IF(NOT(AND(C724=1, TRIM(ERP資料!T724)="平板")), 0, IF(MAX(F$2:F723)=0, 1, IF(ERP資料!A724=INDEX(ERP資料!$A$2:$A723, MATCH(MAX(F$2:F723), F$2:F723, 0)), MAX(F$2:F723)+1, MAX(F$2:F723)+2)))</f>
        <v/>
      </c>
      <c r="G724">
        <f>IF(NOT(AND(C724=1, TRIM(ERP資料!T724)="捲筒")), 0, IF(MAX(G$2:G723)=0, 1, IF(ERP資料!A724=INDEX(ERP資料!$A$2:$A723, MATCH(MAX(G$2:G723), G$2:G723, 0)), MAX(G$2:G723)+1, MAX(G$2:G723)+2)))</f>
        <v/>
      </c>
      <c r="H724">
        <f>IF(OR(ERP資料!C724="",ERP資料!D724=""),0,ERP資料!D724-ERP資料!C724+1)</f>
        <v/>
      </c>
    </row>
    <row r="725">
      <c r="A725" t="n">
        <v>725</v>
      </c>
      <c r="B725">
        <f>IF(ERP資料!A725="","",ERP資料!A725&amp;"|"&amp;ERP資料!E725&amp;"|"&amp;ERP資料!F725&amp;"|"&amp;ERP資料!G725&amp;"|"&amp;ERP資料!H725&amp;"|"&amp;ERP資料!O725)</f>
        <v/>
      </c>
      <c r="C725">
        <f>IF(B725="",0,IF(COUNTIF(B$2:B724,B725)=0,1,0))</f>
        <v/>
      </c>
      <c r="D725">
        <f>IF(B725="",0,SUMIFS($H$2:$H$801,$B$2:$B$801,B725))</f>
        <v/>
      </c>
      <c r="E725">
        <f>IF(NOT(AND(C725=1, TRIM(ERP資料!T725)="平板")), 0, IF(MAX(E$2:E724)=0, 1, IF(ERP資料!A725=INDEX(ERP資料!$A$2:$A724, MATCH(MAX(E$2:E724), E$2:E724, 0)), MAX(E$2:E724)+1, MAX(E$2:E724)+2)))</f>
        <v/>
      </c>
      <c r="F725">
        <f>IF(NOT(AND(C725=1, TRIM(ERP資料!T725)="平板")), 0, IF(MAX(F$2:F724)=0, 1, IF(ERP資料!A725=INDEX(ERP資料!$A$2:$A724, MATCH(MAX(F$2:F724), F$2:F724, 0)), MAX(F$2:F724)+1, MAX(F$2:F724)+2)))</f>
        <v/>
      </c>
      <c r="G725">
        <f>IF(NOT(AND(C725=1, TRIM(ERP資料!T725)="捲筒")), 0, IF(MAX(G$2:G724)=0, 1, IF(ERP資料!A725=INDEX(ERP資料!$A$2:$A724, MATCH(MAX(G$2:G724), G$2:G724, 0)), MAX(G$2:G724)+1, MAX(G$2:G724)+2)))</f>
        <v/>
      </c>
      <c r="H725">
        <f>IF(OR(ERP資料!C725="",ERP資料!D725=""),0,ERP資料!D725-ERP資料!C725+1)</f>
        <v/>
      </c>
    </row>
    <row r="726">
      <c r="A726" t="n">
        <v>726</v>
      </c>
      <c r="B726">
        <f>IF(ERP資料!A726="","",ERP資料!A726&amp;"|"&amp;ERP資料!E726&amp;"|"&amp;ERP資料!F726&amp;"|"&amp;ERP資料!G726&amp;"|"&amp;ERP資料!H726&amp;"|"&amp;ERP資料!O726)</f>
        <v/>
      </c>
      <c r="C726">
        <f>IF(B726="",0,IF(COUNTIF(B$2:B725,B726)=0,1,0))</f>
        <v/>
      </c>
      <c r="D726">
        <f>IF(B726="",0,SUMIFS($H$2:$H$801,$B$2:$B$801,B726))</f>
        <v/>
      </c>
      <c r="E726">
        <f>IF(NOT(AND(C726=1, TRIM(ERP資料!T726)="平板")), 0, IF(MAX(E$2:E725)=0, 1, IF(ERP資料!A726=INDEX(ERP資料!$A$2:$A725, MATCH(MAX(E$2:E725), E$2:E725, 0)), MAX(E$2:E725)+1, MAX(E$2:E725)+2)))</f>
        <v/>
      </c>
      <c r="F726">
        <f>IF(NOT(AND(C726=1, TRIM(ERP資料!T726)="平板")), 0, IF(MAX(F$2:F725)=0, 1, IF(ERP資料!A726=INDEX(ERP資料!$A$2:$A725, MATCH(MAX(F$2:F725), F$2:F725, 0)), MAX(F$2:F725)+1, MAX(F$2:F725)+2)))</f>
        <v/>
      </c>
      <c r="G726">
        <f>IF(NOT(AND(C726=1, TRIM(ERP資料!T726)="捲筒")), 0, IF(MAX(G$2:G725)=0, 1, IF(ERP資料!A726=INDEX(ERP資料!$A$2:$A725, MATCH(MAX(G$2:G725), G$2:G725, 0)), MAX(G$2:G725)+1, MAX(G$2:G725)+2)))</f>
        <v/>
      </c>
      <c r="H726">
        <f>IF(OR(ERP資料!C726="",ERP資料!D726=""),0,ERP資料!D726-ERP資料!C726+1)</f>
        <v/>
      </c>
    </row>
    <row r="727">
      <c r="A727" t="n">
        <v>727</v>
      </c>
      <c r="B727">
        <f>IF(ERP資料!A727="","",ERP資料!A727&amp;"|"&amp;ERP資料!E727&amp;"|"&amp;ERP資料!F727&amp;"|"&amp;ERP資料!G727&amp;"|"&amp;ERP資料!H727&amp;"|"&amp;ERP資料!O727)</f>
        <v/>
      </c>
      <c r="C727">
        <f>IF(B727="",0,IF(COUNTIF(B$2:B726,B727)=0,1,0))</f>
        <v/>
      </c>
      <c r="D727">
        <f>IF(B727="",0,SUMIFS($H$2:$H$801,$B$2:$B$801,B727))</f>
        <v/>
      </c>
      <c r="E727">
        <f>IF(NOT(AND(C727=1, TRIM(ERP資料!T727)="平板")), 0, IF(MAX(E$2:E726)=0, 1, IF(ERP資料!A727=INDEX(ERP資料!$A$2:$A726, MATCH(MAX(E$2:E726), E$2:E726, 0)), MAX(E$2:E726)+1, MAX(E$2:E726)+2)))</f>
        <v/>
      </c>
      <c r="F727">
        <f>IF(NOT(AND(C727=1, TRIM(ERP資料!T727)="平板")), 0, IF(MAX(F$2:F726)=0, 1, IF(ERP資料!A727=INDEX(ERP資料!$A$2:$A726, MATCH(MAX(F$2:F726), F$2:F726, 0)), MAX(F$2:F726)+1, MAX(F$2:F726)+2)))</f>
        <v/>
      </c>
      <c r="G727">
        <f>IF(NOT(AND(C727=1, TRIM(ERP資料!T727)="捲筒")), 0, IF(MAX(G$2:G726)=0, 1, IF(ERP資料!A727=INDEX(ERP資料!$A$2:$A726, MATCH(MAX(G$2:G726), G$2:G726, 0)), MAX(G$2:G726)+1, MAX(G$2:G726)+2)))</f>
        <v/>
      </c>
      <c r="H727">
        <f>IF(OR(ERP資料!C727="",ERP資料!D727=""),0,ERP資料!D727-ERP資料!C727+1)</f>
        <v/>
      </c>
    </row>
    <row r="728">
      <c r="A728" t="n">
        <v>728</v>
      </c>
      <c r="B728">
        <f>IF(ERP資料!A728="","",ERP資料!A728&amp;"|"&amp;ERP資料!E728&amp;"|"&amp;ERP資料!F728&amp;"|"&amp;ERP資料!G728&amp;"|"&amp;ERP資料!H728&amp;"|"&amp;ERP資料!O728)</f>
        <v/>
      </c>
      <c r="C728">
        <f>IF(B728="",0,IF(COUNTIF(B$2:B727,B728)=0,1,0))</f>
        <v/>
      </c>
      <c r="D728">
        <f>IF(B728="",0,SUMIFS($H$2:$H$801,$B$2:$B$801,B728))</f>
        <v/>
      </c>
      <c r="E728">
        <f>IF(NOT(AND(C728=1, TRIM(ERP資料!T728)="平板")), 0, IF(MAX(E$2:E727)=0, 1, IF(ERP資料!A728=INDEX(ERP資料!$A$2:$A727, MATCH(MAX(E$2:E727), E$2:E727, 0)), MAX(E$2:E727)+1, MAX(E$2:E727)+2)))</f>
        <v/>
      </c>
      <c r="F728">
        <f>IF(NOT(AND(C728=1, TRIM(ERP資料!T728)="平板")), 0, IF(MAX(F$2:F727)=0, 1, IF(ERP資料!A728=INDEX(ERP資料!$A$2:$A727, MATCH(MAX(F$2:F727), F$2:F727, 0)), MAX(F$2:F727)+1, MAX(F$2:F727)+2)))</f>
        <v/>
      </c>
      <c r="G728">
        <f>IF(NOT(AND(C728=1, TRIM(ERP資料!T728)="捲筒")), 0, IF(MAX(G$2:G727)=0, 1, IF(ERP資料!A728=INDEX(ERP資料!$A$2:$A727, MATCH(MAX(G$2:G727), G$2:G727, 0)), MAX(G$2:G727)+1, MAX(G$2:G727)+2)))</f>
        <v/>
      </c>
      <c r="H728">
        <f>IF(OR(ERP資料!C728="",ERP資料!D728=""),0,ERP資料!D728-ERP資料!C728+1)</f>
        <v/>
      </c>
    </row>
    <row r="729">
      <c r="A729" t="n">
        <v>729</v>
      </c>
      <c r="B729">
        <f>IF(ERP資料!A729="","",ERP資料!A729&amp;"|"&amp;ERP資料!E729&amp;"|"&amp;ERP資料!F729&amp;"|"&amp;ERP資料!G729&amp;"|"&amp;ERP資料!H729&amp;"|"&amp;ERP資料!O729)</f>
        <v/>
      </c>
      <c r="C729">
        <f>IF(B729="",0,IF(COUNTIF(B$2:B728,B729)=0,1,0))</f>
        <v/>
      </c>
      <c r="D729">
        <f>IF(B729="",0,SUMIFS($H$2:$H$801,$B$2:$B$801,B729))</f>
        <v/>
      </c>
      <c r="E729">
        <f>IF(NOT(AND(C729=1, TRIM(ERP資料!T729)="平板")), 0, IF(MAX(E$2:E728)=0, 1, IF(ERP資料!A729=INDEX(ERP資料!$A$2:$A728, MATCH(MAX(E$2:E728), E$2:E728, 0)), MAX(E$2:E728)+1, MAX(E$2:E728)+2)))</f>
        <v/>
      </c>
      <c r="F729">
        <f>IF(NOT(AND(C729=1, TRIM(ERP資料!T729)="平板")), 0, IF(MAX(F$2:F728)=0, 1, IF(ERP資料!A729=INDEX(ERP資料!$A$2:$A728, MATCH(MAX(F$2:F728), F$2:F728, 0)), MAX(F$2:F728)+1, MAX(F$2:F728)+2)))</f>
        <v/>
      </c>
      <c r="G729">
        <f>IF(NOT(AND(C729=1, TRIM(ERP資料!T729)="捲筒")), 0, IF(MAX(G$2:G728)=0, 1, IF(ERP資料!A729=INDEX(ERP資料!$A$2:$A728, MATCH(MAX(G$2:G728), G$2:G728, 0)), MAX(G$2:G728)+1, MAX(G$2:G728)+2)))</f>
        <v/>
      </c>
      <c r="H729">
        <f>IF(OR(ERP資料!C729="",ERP資料!D729=""),0,ERP資料!D729-ERP資料!C729+1)</f>
        <v/>
      </c>
    </row>
    <row r="730">
      <c r="A730" t="n">
        <v>730</v>
      </c>
      <c r="B730">
        <f>IF(ERP資料!A730="","",ERP資料!A730&amp;"|"&amp;ERP資料!E730&amp;"|"&amp;ERP資料!F730&amp;"|"&amp;ERP資料!G730&amp;"|"&amp;ERP資料!H730&amp;"|"&amp;ERP資料!O730)</f>
        <v/>
      </c>
      <c r="C730">
        <f>IF(B730="",0,IF(COUNTIF(B$2:B729,B730)=0,1,0))</f>
        <v/>
      </c>
      <c r="D730">
        <f>IF(B730="",0,SUMIFS($H$2:$H$801,$B$2:$B$801,B730))</f>
        <v/>
      </c>
      <c r="E730">
        <f>IF(NOT(AND(C730=1, TRIM(ERP資料!T730)="平板")), 0, IF(MAX(E$2:E729)=0, 1, IF(ERP資料!A730=INDEX(ERP資料!$A$2:$A729, MATCH(MAX(E$2:E729), E$2:E729, 0)), MAX(E$2:E729)+1, MAX(E$2:E729)+2)))</f>
        <v/>
      </c>
      <c r="F730">
        <f>IF(NOT(AND(C730=1, TRIM(ERP資料!T730)="平板")), 0, IF(MAX(F$2:F729)=0, 1, IF(ERP資料!A730=INDEX(ERP資料!$A$2:$A729, MATCH(MAX(F$2:F729), F$2:F729, 0)), MAX(F$2:F729)+1, MAX(F$2:F729)+2)))</f>
        <v/>
      </c>
      <c r="G730">
        <f>IF(NOT(AND(C730=1, TRIM(ERP資料!T730)="捲筒")), 0, IF(MAX(G$2:G729)=0, 1, IF(ERP資料!A730=INDEX(ERP資料!$A$2:$A729, MATCH(MAX(G$2:G729), G$2:G729, 0)), MAX(G$2:G729)+1, MAX(G$2:G729)+2)))</f>
        <v/>
      </c>
      <c r="H730">
        <f>IF(OR(ERP資料!C730="",ERP資料!D730=""),0,ERP資料!D730-ERP資料!C730+1)</f>
        <v/>
      </c>
    </row>
    <row r="731">
      <c r="A731" t="n">
        <v>731</v>
      </c>
      <c r="B731">
        <f>IF(ERP資料!A731="","",ERP資料!A731&amp;"|"&amp;ERP資料!E731&amp;"|"&amp;ERP資料!F731&amp;"|"&amp;ERP資料!G731&amp;"|"&amp;ERP資料!H731&amp;"|"&amp;ERP資料!O731)</f>
        <v/>
      </c>
      <c r="C731">
        <f>IF(B731="",0,IF(COUNTIF(B$2:B730,B731)=0,1,0))</f>
        <v/>
      </c>
      <c r="D731">
        <f>IF(B731="",0,SUMIFS($H$2:$H$801,$B$2:$B$801,B731))</f>
        <v/>
      </c>
      <c r="E731">
        <f>IF(NOT(AND(C731=1, TRIM(ERP資料!T731)="平板")), 0, IF(MAX(E$2:E730)=0, 1, IF(ERP資料!A731=INDEX(ERP資料!$A$2:$A730, MATCH(MAX(E$2:E730), E$2:E730, 0)), MAX(E$2:E730)+1, MAX(E$2:E730)+2)))</f>
        <v/>
      </c>
      <c r="F731">
        <f>IF(NOT(AND(C731=1, TRIM(ERP資料!T731)="平板")), 0, IF(MAX(F$2:F730)=0, 1, IF(ERP資料!A731=INDEX(ERP資料!$A$2:$A730, MATCH(MAX(F$2:F730), F$2:F730, 0)), MAX(F$2:F730)+1, MAX(F$2:F730)+2)))</f>
        <v/>
      </c>
      <c r="G731">
        <f>IF(NOT(AND(C731=1, TRIM(ERP資料!T731)="捲筒")), 0, IF(MAX(G$2:G730)=0, 1, IF(ERP資料!A731=INDEX(ERP資料!$A$2:$A730, MATCH(MAX(G$2:G730), G$2:G730, 0)), MAX(G$2:G730)+1, MAX(G$2:G730)+2)))</f>
        <v/>
      </c>
      <c r="H731">
        <f>IF(OR(ERP資料!C731="",ERP資料!D731=""),0,ERP資料!D731-ERP資料!C731+1)</f>
        <v/>
      </c>
    </row>
    <row r="732">
      <c r="A732" t="n">
        <v>732</v>
      </c>
      <c r="B732">
        <f>IF(ERP資料!A732="","",ERP資料!A732&amp;"|"&amp;ERP資料!E732&amp;"|"&amp;ERP資料!F732&amp;"|"&amp;ERP資料!G732&amp;"|"&amp;ERP資料!H732&amp;"|"&amp;ERP資料!O732)</f>
        <v/>
      </c>
      <c r="C732">
        <f>IF(B732="",0,IF(COUNTIF(B$2:B731,B732)=0,1,0))</f>
        <v/>
      </c>
      <c r="D732">
        <f>IF(B732="",0,SUMIFS($H$2:$H$801,$B$2:$B$801,B732))</f>
        <v/>
      </c>
      <c r="E732">
        <f>IF(NOT(AND(C732=1, TRIM(ERP資料!T732)="平板")), 0, IF(MAX(E$2:E731)=0, 1, IF(ERP資料!A732=INDEX(ERP資料!$A$2:$A731, MATCH(MAX(E$2:E731), E$2:E731, 0)), MAX(E$2:E731)+1, MAX(E$2:E731)+2)))</f>
        <v/>
      </c>
      <c r="F732">
        <f>IF(NOT(AND(C732=1, TRIM(ERP資料!T732)="平板")), 0, IF(MAX(F$2:F731)=0, 1, IF(ERP資料!A732=INDEX(ERP資料!$A$2:$A731, MATCH(MAX(F$2:F731), F$2:F731, 0)), MAX(F$2:F731)+1, MAX(F$2:F731)+2)))</f>
        <v/>
      </c>
      <c r="G732">
        <f>IF(NOT(AND(C732=1, TRIM(ERP資料!T732)="捲筒")), 0, IF(MAX(G$2:G731)=0, 1, IF(ERP資料!A732=INDEX(ERP資料!$A$2:$A731, MATCH(MAX(G$2:G731), G$2:G731, 0)), MAX(G$2:G731)+1, MAX(G$2:G731)+2)))</f>
        <v/>
      </c>
      <c r="H732">
        <f>IF(OR(ERP資料!C732="",ERP資料!D732=""),0,ERP資料!D732-ERP資料!C732+1)</f>
        <v/>
      </c>
    </row>
    <row r="733">
      <c r="A733" t="n">
        <v>733</v>
      </c>
      <c r="B733">
        <f>IF(ERP資料!A733="","",ERP資料!A733&amp;"|"&amp;ERP資料!E733&amp;"|"&amp;ERP資料!F733&amp;"|"&amp;ERP資料!G733&amp;"|"&amp;ERP資料!H733&amp;"|"&amp;ERP資料!O733)</f>
        <v/>
      </c>
      <c r="C733">
        <f>IF(B733="",0,IF(COUNTIF(B$2:B732,B733)=0,1,0))</f>
        <v/>
      </c>
      <c r="D733">
        <f>IF(B733="",0,SUMIFS($H$2:$H$801,$B$2:$B$801,B733))</f>
        <v/>
      </c>
      <c r="E733">
        <f>IF(NOT(AND(C733=1, TRIM(ERP資料!T733)="平板")), 0, IF(MAX(E$2:E732)=0, 1, IF(ERP資料!A733=INDEX(ERP資料!$A$2:$A732, MATCH(MAX(E$2:E732), E$2:E732, 0)), MAX(E$2:E732)+1, MAX(E$2:E732)+2)))</f>
        <v/>
      </c>
      <c r="F733">
        <f>IF(NOT(AND(C733=1, TRIM(ERP資料!T733)="平板")), 0, IF(MAX(F$2:F732)=0, 1, IF(ERP資料!A733=INDEX(ERP資料!$A$2:$A732, MATCH(MAX(F$2:F732), F$2:F732, 0)), MAX(F$2:F732)+1, MAX(F$2:F732)+2)))</f>
        <v/>
      </c>
      <c r="G733">
        <f>IF(NOT(AND(C733=1, TRIM(ERP資料!T733)="捲筒")), 0, IF(MAX(G$2:G732)=0, 1, IF(ERP資料!A733=INDEX(ERP資料!$A$2:$A732, MATCH(MAX(G$2:G732), G$2:G732, 0)), MAX(G$2:G732)+1, MAX(G$2:G732)+2)))</f>
        <v/>
      </c>
      <c r="H733">
        <f>IF(OR(ERP資料!C733="",ERP資料!D733=""),0,ERP資料!D733-ERP資料!C733+1)</f>
        <v/>
      </c>
    </row>
    <row r="734">
      <c r="A734" t="n">
        <v>734</v>
      </c>
      <c r="B734">
        <f>IF(ERP資料!A734="","",ERP資料!A734&amp;"|"&amp;ERP資料!E734&amp;"|"&amp;ERP資料!F734&amp;"|"&amp;ERP資料!G734&amp;"|"&amp;ERP資料!H734&amp;"|"&amp;ERP資料!O734)</f>
        <v/>
      </c>
      <c r="C734">
        <f>IF(B734="",0,IF(COUNTIF(B$2:B733,B734)=0,1,0))</f>
        <v/>
      </c>
      <c r="D734">
        <f>IF(B734="",0,SUMIFS($H$2:$H$801,$B$2:$B$801,B734))</f>
        <v/>
      </c>
      <c r="E734">
        <f>IF(NOT(AND(C734=1, TRIM(ERP資料!T734)="平板")), 0, IF(MAX(E$2:E733)=0, 1, IF(ERP資料!A734=INDEX(ERP資料!$A$2:$A733, MATCH(MAX(E$2:E733), E$2:E733, 0)), MAX(E$2:E733)+1, MAX(E$2:E733)+2)))</f>
        <v/>
      </c>
      <c r="F734">
        <f>IF(NOT(AND(C734=1, TRIM(ERP資料!T734)="平板")), 0, IF(MAX(F$2:F733)=0, 1, IF(ERP資料!A734=INDEX(ERP資料!$A$2:$A733, MATCH(MAX(F$2:F733), F$2:F733, 0)), MAX(F$2:F733)+1, MAX(F$2:F733)+2)))</f>
        <v/>
      </c>
      <c r="G734">
        <f>IF(NOT(AND(C734=1, TRIM(ERP資料!T734)="捲筒")), 0, IF(MAX(G$2:G733)=0, 1, IF(ERP資料!A734=INDEX(ERP資料!$A$2:$A733, MATCH(MAX(G$2:G733), G$2:G733, 0)), MAX(G$2:G733)+1, MAX(G$2:G733)+2)))</f>
        <v/>
      </c>
      <c r="H734">
        <f>IF(OR(ERP資料!C734="",ERP資料!D734=""),0,ERP資料!D734-ERP資料!C734+1)</f>
        <v/>
      </c>
    </row>
    <row r="735">
      <c r="A735" t="n">
        <v>735</v>
      </c>
      <c r="B735">
        <f>IF(ERP資料!A735="","",ERP資料!A735&amp;"|"&amp;ERP資料!E735&amp;"|"&amp;ERP資料!F735&amp;"|"&amp;ERP資料!G735&amp;"|"&amp;ERP資料!H735&amp;"|"&amp;ERP資料!O735)</f>
        <v/>
      </c>
      <c r="C735">
        <f>IF(B735="",0,IF(COUNTIF(B$2:B734,B735)=0,1,0))</f>
        <v/>
      </c>
      <c r="D735">
        <f>IF(B735="",0,SUMIFS($H$2:$H$801,$B$2:$B$801,B735))</f>
        <v/>
      </c>
      <c r="E735">
        <f>IF(NOT(AND(C735=1, TRIM(ERP資料!T735)="平板")), 0, IF(MAX(E$2:E734)=0, 1, IF(ERP資料!A735=INDEX(ERP資料!$A$2:$A734, MATCH(MAX(E$2:E734), E$2:E734, 0)), MAX(E$2:E734)+1, MAX(E$2:E734)+2)))</f>
        <v/>
      </c>
      <c r="F735">
        <f>IF(NOT(AND(C735=1, TRIM(ERP資料!T735)="平板")), 0, IF(MAX(F$2:F734)=0, 1, IF(ERP資料!A735=INDEX(ERP資料!$A$2:$A734, MATCH(MAX(F$2:F734), F$2:F734, 0)), MAX(F$2:F734)+1, MAX(F$2:F734)+2)))</f>
        <v/>
      </c>
      <c r="G735">
        <f>IF(NOT(AND(C735=1, TRIM(ERP資料!T735)="捲筒")), 0, IF(MAX(G$2:G734)=0, 1, IF(ERP資料!A735=INDEX(ERP資料!$A$2:$A734, MATCH(MAX(G$2:G734), G$2:G734, 0)), MAX(G$2:G734)+1, MAX(G$2:G734)+2)))</f>
        <v/>
      </c>
      <c r="H735">
        <f>IF(OR(ERP資料!C735="",ERP資料!D735=""),0,ERP資料!D735-ERP資料!C735+1)</f>
        <v/>
      </c>
    </row>
    <row r="736">
      <c r="A736" t="n">
        <v>736</v>
      </c>
      <c r="B736">
        <f>IF(ERP資料!A736="","",ERP資料!A736&amp;"|"&amp;ERP資料!E736&amp;"|"&amp;ERP資料!F736&amp;"|"&amp;ERP資料!G736&amp;"|"&amp;ERP資料!H736&amp;"|"&amp;ERP資料!O736)</f>
        <v/>
      </c>
      <c r="C736">
        <f>IF(B736="",0,IF(COUNTIF(B$2:B735,B736)=0,1,0))</f>
        <v/>
      </c>
      <c r="D736">
        <f>IF(B736="",0,SUMIFS($H$2:$H$801,$B$2:$B$801,B736))</f>
        <v/>
      </c>
      <c r="E736">
        <f>IF(NOT(AND(C736=1, TRIM(ERP資料!T736)="平板")), 0, IF(MAX(E$2:E735)=0, 1, IF(ERP資料!A736=INDEX(ERP資料!$A$2:$A735, MATCH(MAX(E$2:E735), E$2:E735, 0)), MAX(E$2:E735)+1, MAX(E$2:E735)+2)))</f>
        <v/>
      </c>
      <c r="F736">
        <f>IF(NOT(AND(C736=1, TRIM(ERP資料!T736)="平板")), 0, IF(MAX(F$2:F735)=0, 1, IF(ERP資料!A736=INDEX(ERP資料!$A$2:$A735, MATCH(MAX(F$2:F735), F$2:F735, 0)), MAX(F$2:F735)+1, MAX(F$2:F735)+2)))</f>
        <v/>
      </c>
      <c r="G736">
        <f>IF(NOT(AND(C736=1, TRIM(ERP資料!T736)="捲筒")), 0, IF(MAX(G$2:G735)=0, 1, IF(ERP資料!A736=INDEX(ERP資料!$A$2:$A735, MATCH(MAX(G$2:G735), G$2:G735, 0)), MAX(G$2:G735)+1, MAX(G$2:G735)+2)))</f>
        <v/>
      </c>
      <c r="H736">
        <f>IF(OR(ERP資料!C736="",ERP資料!D736=""),0,ERP資料!D736-ERP資料!C736+1)</f>
        <v/>
      </c>
    </row>
    <row r="737">
      <c r="A737" t="n">
        <v>737</v>
      </c>
      <c r="B737">
        <f>IF(ERP資料!A737="","",ERP資料!A737&amp;"|"&amp;ERP資料!E737&amp;"|"&amp;ERP資料!F737&amp;"|"&amp;ERP資料!G737&amp;"|"&amp;ERP資料!H737&amp;"|"&amp;ERP資料!O737)</f>
        <v/>
      </c>
      <c r="C737">
        <f>IF(B737="",0,IF(COUNTIF(B$2:B736,B737)=0,1,0))</f>
        <v/>
      </c>
      <c r="D737">
        <f>IF(B737="",0,SUMIFS($H$2:$H$801,$B$2:$B$801,B737))</f>
        <v/>
      </c>
      <c r="E737">
        <f>IF(NOT(AND(C737=1, TRIM(ERP資料!T737)="平板")), 0, IF(MAX(E$2:E736)=0, 1, IF(ERP資料!A737=INDEX(ERP資料!$A$2:$A736, MATCH(MAX(E$2:E736), E$2:E736, 0)), MAX(E$2:E736)+1, MAX(E$2:E736)+2)))</f>
        <v/>
      </c>
      <c r="F737">
        <f>IF(NOT(AND(C737=1, TRIM(ERP資料!T737)="平板")), 0, IF(MAX(F$2:F736)=0, 1, IF(ERP資料!A737=INDEX(ERP資料!$A$2:$A736, MATCH(MAX(F$2:F736), F$2:F736, 0)), MAX(F$2:F736)+1, MAX(F$2:F736)+2)))</f>
        <v/>
      </c>
      <c r="G737">
        <f>IF(NOT(AND(C737=1, TRIM(ERP資料!T737)="捲筒")), 0, IF(MAX(G$2:G736)=0, 1, IF(ERP資料!A737=INDEX(ERP資料!$A$2:$A736, MATCH(MAX(G$2:G736), G$2:G736, 0)), MAX(G$2:G736)+1, MAX(G$2:G736)+2)))</f>
        <v/>
      </c>
      <c r="H737">
        <f>IF(OR(ERP資料!C737="",ERP資料!D737=""),0,ERP資料!D737-ERP資料!C737+1)</f>
        <v/>
      </c>
    </row>
    <row r="738">
      <c r="A738" t="n">
        <v>738</v>
      </c>
      <c r="B738">
        <f>IF(ERP資料!A738="","",ERP資料!A738&amp;"|"&amp;ERP資料!E738&amp;"|"&amp;ERP資料!F738&amp;"|"&amp;ERP資料!G738&amp;"|"&amp;ERP資料!H738&amp;"|"&amp;ERP資料!O738)</f>
        <v/>
      </c>
      <c r="C738">
        <f>IF(B738="",0,IF(COUNTIF(B$2:B737,B738)=0,1,0))</f>
        <v/>
      </c>
      <c r="D738">
        <f>IF(B738="",0,SUMIFS($H$2:$H$801,$B$2:$B$801,B738))</f>
        <v/>
      </c>
      <c r="E738">
        <f>IF(NOT(AND(C738=1, TRIM(ERP資料!T738)="平板")), 0, IF(MAX(E$2:E737)=0, 1, IF(ERP資料!A738=INDEX(ERP資料!$A$2:$A737, MATCH(MAX(E$2:E737), E$2:E737, 0)), MAX(E$2:E737)+1, MAX(E$2:E737)+2)))</f>
        <v/>
      </c>
      <c r="F738">
        <f>IF(NOT(AND(C738=1, TRIM(ERP資料!T738)="平板")), 0, IF(MAX(F$2:F737)=0, 1, IF(ERP資料!A738=INDEX(ERP資料!$A$2:$A737, MATCH(MAX(F$2:F737), F$2:F737, 0)), MAX(F$2:F737)+1, MAX(F$2:F737)+2)))</f>
        <v/>
      </c>
      <c r="G738">
        <f>IF(NOT(AND(C738=1, TRIM(ERP資料!T738)="捲筒")), 0, IF(MAX(G$2:G737)=0, 1, IF(ERP資料!A738=INDEX(ERP資料!$A$2:$A737, MATCH(MAX(G$2:G737), G$2:G737, 0)), MAX(G$2:G737)+1, MAX(G$2:G737)+2)))</f>
        <v/>
      </c>
      <c r="H738">
        <f>IF(OR(ERP資料!C738="",ERP資料!D738=""),0,ERP資料!D738-ERP資料!C738+1)</f>
        <v/>
      </c>
    </row>
    <row r="739">
      <c r="A739" t="n">
        <v>739</v>
      </c>
      <c r="B739">
        <f>IF(ERP資料!A739="","",ERP資料!A739&amp;"|"&amp;ERP資料!E739&amp;"|"&amp;ERP資料!F739&amp;"|"&amp;ERP資料!G739&amp;"|"&amp;ERP資料!H739&amp;"|"&amp;ERP資料!O739)</f>
        <v/>
      </c>
      <c r="C739">
        <f>IF(B739="",0,IF(COUNTIF(B$2:B738,B739)=0,1,0))</f>
        <v/>
      </c>
      <c r="D739">
        <f>IF(B739="",0,SUMIFS($H$2:$H$801,$B$2:$B$801,B739))</f>
        <v/>
      </c>
      <c r="E739">
        <f>IF(NOT(AND(C739=1, TRIM(ERP資料!T739)="平板")), 0, IF(MAX(E$2:E738)=0, 1, IF(ERP資料!A739=INDEX(ERP資料!$A$2:$A738, MATCH(MAX(E$2:E738), E$2:E738, 0)), MAX(E$2:E738)+1, MAX(E$2:E738)+2)))</f>
        <v/>
      </c>
      <c r="F739">
        <f>IF(NOT(AND(C739=1, TRIM(ERP資料!T739)="平板")), 0, IF(MAX(F$2:F738)=0, 1, IF(ERP資料!A739=INDEX(ERP資料!$A$2:$A738, MATCH(MAX(F$2:F738), F$2:F738, 0)), MAX(F$2:F738)+1, MAX(F$2:F738)+2)))</f>
        <v/>
      </c>
      <c r="G739">
        <f>IF(NOT(AND(C739=1, TRIM(ERP資料!T739)="捲筒")), 0, IF(MAX(G$2:G738)=0, 1, IF(ERP資料!A739=INDEX(ERP資料!$A$2:$A738, MATCH(MAX(G$2:G738), G$2:G738, 0)), MAX(G$2:G738)+1, MAX(G$2:G738)+2)))</f>
        <v/>
      </c>
      <c r="H739">
        <f>IF(OR(ERP資料!C739="",ERP資料!D739=""),0,ERP資料!D739-ERP資料!C739+1)</f>
        <v/>
      </c>
    </row>
    <row r="740">
      <c r="A740" t="n">
        <v>740</v>
      </c>
      <c r="B740">
        <f>IF(ERP資料!A740="","",ERP資料!A740&amp;"|"&amp;ERP資料!E740&amp;"|"&amp;ERP資料!F740&amp;"|"&amp;ERP資料!G740&amp;"|"&amp;ERP資料!H740&amp;"|"&amp;ERP資料!O740)</f>
        <v/>
      </c>
      <c r="C740">
        <f>IF(B740="",0,IF(COUNTIF(B$2:B739,B740)=0,1,0))</f>
        <v/>
      </c>
      <c r="D740">
        <f>IF(B740="",0,SUMIFS($H$2:$H$801,$B$2:$B$801,B740))</f>
        <v/>
      </c>
      <c r="E740">
        <f>IF(NOT(AND(C740=1, TRIM(ERP資料!T740)="平板")), 0, IF(MAX(E$2:E739)=0, 1, IF(ERP資料!A740=INDEX(ERP資料!$A$2:$A739, MATCH(MAX(E$2:E739), E$2:E739, 0)), MAX(E$2:E739)+1, MAX(E$2:E739)+2)))</f>
        <v/>
      </c>
      <c r="F740">
        <f>IF(NOT(AND(C740=1, TRIM(ERP資料!T740)="平板")), 0, IF(MAX(F$2:F739)=0, 1, IF(ERP資料!A740=INDEX(ERP資料!$A$2:$A739, MATCH(MAX(F$2:F739), F$2:F739, 0)), MAX(F$2:F739)+1, MAX(F$2:F739)+2)))</f>
        <v/>
      </c>
      <c r="G740">
        <f>IF(NOT(AND(C740=1, TRIM(ERP資料!T740)="捲筒")), 0, IF(MAX(G$2:G739)=0, 1, IF(ERP資料!A740=INDEX(ERP資料!$A$2:$A739, MATCH(MAX(G$2:G739), G$2:G739, 0)), MAX(G$2:G739)+1, MAX(G$2:G739)+2)))</f>
        <v/>
      </c>
      <c r="H740">
        <f>IF(OR(ERP資料!C740="",ERP資料!D740=""),0,ERP資料!D740-ERP資料!C740+1)</f>
        <v/>
      </c>
    </row>
    <row r="741">
      <c r="A741" t="n">
        <v>741</v>
      </c>
      <c r="B741">
        <f>IF(ERP資料!A741="","",ERP資料!A741&amp;"|"&amp;ERP資料!E741&amp;"|"&amp;ERP資料!F741&amp;"|"&amp;ERP資料!G741&amp;"|"&amp;ERP資料!H741&amp;"|"&amp;ERP資料!O741)</f>
        <v/>
      </c>
      <c r="C741">
        <f>IF(B741="",0,IF(COUNTIF(B$2:B740,B741)=0,1,0))</f>
        <v/>
      </c>
      <c r="D741">
        <f>IF(B741="",0,SUMIFS($H$2:$H$801,$B$2:$B$801,B741))</f>
        <v/>
      </c>
      <c r="E741">
        <f>IF(NOT(AND(C741=1, TRIM(ERP資料!T741)="平板")), 0, IF(MAX(E$2:E740)=0, 1, IF(ERP資料!A741=INDEX(ERP資料!$A$2:$A740, MATCH(MAX(E$2:E740), E$2:E740, 0)), MAX(E$2:E740)+1, MAX(E$2:E740)+2)))</f>
        <v/>
      </c>
      <c r="F741">
        <f>IF(NOT(AND(C741=1, TRIM(ERP資料!T741)="平板")), 0, IF(MAX(F$2:F740)=0, 1, IF(ERP資料!A741=INDEX(ERP資料!$A$2:$A740, MATCH(MAX(F$2:F740), F$2:F740, 0)), MAX(F$2:F740)+1, MAX(F$2:F740)+2)))</f>
        <v/>
      </c>
      <c r="G741">
        <f>IF(NOT(AND(C741=1, TRIM(ERP資料!T741)="捲筒")), 0, IF(MAX(G$2:G740)=0, 1, IF(ERP資料!A741=INDEX(ERP資料!$A$2:$A740, MATCH(MAX(G$2:G740), G$2:G740, 0)), MAX(G$2:G740)+1, MAX(G$2:G740)+2)))</f>
        <v/>
      </c>
      <c r="H741">
        <f>IF(OR(ERP資料!C741="",ERP資料!D741=""),0,ERP資料!D741-ERP資料!C741+1)</f>
        <v/>
      </c>
    </row>
    <row r="742">
      <c r="A742" t="n">
        <v>742</v>
      </c>
      <c r="B742">
        <f>IF(ERP資料!A742="","",ERP資料!A742&amp;"|"&amp;ERP資料!E742&amp;"|"&amp;ERP資料!F742&amp;"|"&amp;ERP資料!G742&amp;"|"&amp;ERP資料!H742&amp;"|"&amp;ERP資料!O742)</f>
        <v/>
      </c>
      <c r="C742">
        <f>IF(B742="",0,IF(COUNTIF(B$2:B741,B742)=0,1,0))</f>
        <v/>
      </c>
      <c r="D742">
        <f>IF(B742="",0,SUMIFS($H$2:$H$801,$B$2:$B$801,B742))</f>
        <v/>
      </c>
      <c r="E742">
        <f>IF(NOT(AND(C742=1, TRIM(ERP資料!T742)="平板")), 0, IF(MAX(E$2:E741)=0, 1, IF(ERP資料!A742=INDEX(ERP資料!$A$2:$A741, MATCH(MAX(E$2:E741), E$2:E741, 0)), MAX(E$2:E741)+1, MAX(E$2:E741)+2)))</f>
        <v/>
      </c>
      <c r="F742">
        <f>IF(NOT(AND(C742=1, TRIM(ERP資料!T742)="平板")), 0, IF(MAX(F$2:F741)=0, 1, IF(ERP資料!A742=INDEX(ERP資料!$A$2:$A741, MATCH(MAX(F$2:F741), F$2:F741, 0)), MAX(F$2:F741)+1, MAX(F$2:F741)+2)))</f>
        <v/>
      </c>
      <c r="G742">
        <f>IF(NOT(AND(C742=1, TRIM(ERP資料!T742)="捲筒")), 0, IF(MAX(G$2:G741)=0, 1, IF(ERP資料!A742=INDEX(ERP資料!$A$2:$A741, MATCH(MAX(G$2:G741), G$2:G741, 0)), MAX(G$2:G741)+1, MAX(G$2:G741)+2)))</f>
        <v/>
      </c>
      <c r="H742">
        <f>IF(OR(ERP資料!C742="",ERP資料!D742=""),0,ERP資料!D742-ERP資料!C742+1)</f>
        <v/>
      </c>
    </row>
    <row r="743">
      <c r="A743" t="n">
        <v>743</v>
      </c>
      <c r="B743">
        <f>IF(ERP資料!A743="","",ERP資料!A743&amp;"|"&amp;ERP資料!E743&amp;"|"&amp;ERP資料!F743&amp;"|"&amp;ERP資料!G743&amp;"|"&amp;ERP資料!H743&amp;"|"&amp;ERP資料!O743)</f>
        <v/>
      </c>
      <c r="C743">
        <f>IF(B743="",0,IF(COUNTIF(B$2:B742,B743)=0,1,0))</f>
        <v/>
      </c>
      <c r="D743">
        <f>IF(B743="",0,SUMIFS($H$2:$H$801,$B$2:$B$801,B743))</f>
        <v/>
      </c>
      <c r="E743">
        <f>IF(NOT(AND(C743=1, TRIM(ERP資料!T743)="平板")), 0, IF(MAX(E$2:E742)=0, 1, IF(ERP資料!A743=INDEX(ERP資料!$A$2:$A742, MATCH(MAX(E$2:E742), E$2:E742, 0)), MAX(E$2:E742)+1, MAX(E$2:E742)+2)))</f>
        <v/>
      </c>
      <c r="F743">
        <f>IF(NOT(AND(C743=1, TRIM(ERP資料!T743)="平板")), 0, IF(MAX(F$2:F742)=0, 1, IF(ERP資料!A743=INDEX(ERP資料!$A$2:$A742, MATCH(MAX(F$2:F742), F$2:F742, 0)), MAX(F$2:F742)+1, MAX(F$2:F742)+2)))</f>
        <v/>
      </c>
      <c r="G743">
        <f>IF(NOT(AND(C743=1, TRIM(ERP資料!T743)="捲筒")), 0, IF(MAX(G$2:G742)=0, 1, IF(ERP資料!A743=INDEX(ERP資料!$A$2:$A742, MATCH(MAX(G$2:G742), G$2:G742, 0)), MAX(G$2:G742)+1, MAX(G$2:G742)+2)))</f>
        <v/>
      </c>
      <c r="H743">
        <f>IF(OR(ERP資料!C743="",ERP資料!D743=""),0,ERP資料!D743-ERP資料!C743+1)</f>
        <v/>
      </c>
    </row>
    <row r="744">
      <c r="A744" t="n">
        <v>744</v>
      </c>
      <c r="B744">
        <f>IF(ERP資料!A744="","",ERP資料!A744&amp;"|"&amp;ERP資料!E744&amp;"|"&amp;ERP資料!F744&amp;"|"&amp;ERP資料!G744&amp;"|"&amp;ERP資料!H744&amp;"|"&amp;ERP資料!O744)</f>
        <v/>
      </c>
      <c r="C744">
        <f>IF(B744="",0,IF(COUNTIF(B$2:B743,B744)=0,1,0))</f>
        <v/>
      </c>
      <c r="D744">
        <f>IF(B744="",0,SUMIFS($H$2:$H$801,$B$2:$B$801,B744))</f>
        <v/>
      </c>
      <c r="E744">
        <f>IF(NOT(AND(C744=1, TRIM(ERP資料!T744)="平板")), 0, IF(MAX(E$2:E743)=0, 1, IF(ERP資料!A744=INDEX(ERP資料!$A$2:$A743, MATCH(MAX(E$2:E743), E$2:E743, 0)), MAX(E$2:E743)+1, MAX(E$2:E743)+2)))</f>
        <v/>
      </c>
      <c r="F744">
        <f>IF(NOT(AND(C744=1, TRIM(ERP資料!T744)="平板")), 0, IF(MAX(F$2:F743)=0, 1, IF(ERP資料!A744=INDEX(ERP資料!$A$2:$A743, MATCH(MAX(F$2:F743), F$2:F743, 0)), MAX(F$2:F743)+1, MAX(F$2:F743)+2)))</f>
        <v/>
      </c>
      <c r="G744">
        <f>IF(NOT(AND(C744=1, TRIM(ERP資料!T744)="捲筒")), 0, IF(MAX(G$2:G743)=0, 1, IF(ERP資料!A744=INDEX(ERP資料!$A$2:$A743, MATCH(MAX(G$2:G743), G$2:G743, 0)), MAX(G$2:G743)+1, MAX(G$2:G743)+2)))</f>
        <v/>
      </c>
      <c r="H744">
        <f>IF(OR(ERP資料!C744="",ERP資料!D744=""),0,ERP資料!D744-ERP資料!C744+1)</f>
        <v/>
      </c>
    </row>
    <row r="745">
      <c r="A745" t="n">
        <v>745</v>
      </c>
      <c r="B745">
        <f>IF(ERP資料!A745="","",ERP資料!A745&amp;"|"&amp;ERP資料!E745&amp;"|"&amp;ERP資料!F745&amp;"|"&amp;ERP資料!G745&amp;"|"&amp;ERP資料!H745&amp;"|"&amp;ERP資料!O745)</f>
        <v/>
      </c>
      <c r="C745">
        <f>IF(B745="",0,IF(COUNTIF(B$2:B744,B745)=0,1,0))</f>
        <v/>
      </c>
      <c r="D745">
        <f>IF(B745="",0,SUMIFS($H$2:$H$801,$B$2:$B$801,B745))</f>
        <v/>
      </c>
      <c r="E745">
        <f>IF(NOT(AND(C745=1, TRIM(ERP資料!T745)="平板")), 0, IF(MAX(E$2:E744)=0, 1, IF(ERP資料!A745=INDEX(ERP資料!$A$2:$A744, MATCH(MAX(E$2:E744), E$2:E744, 0)), MAX(E$2:E744)+1, MAX(E$2:E744)+2)))</f>
        <v/>
      </c>
      <c r="F745">
        <f>IF(NOT(AND(C745=1, TRIM(ERP資料!T745)="平板")), 0, IF(MAX(F$2:F744)=0, 1, IF(ERP資料!A745=INDEX(ERP資料!$A$2:$A744, MATCH(MAX(F$2:F744), F$2:F744, 0)), MAX(F$2:F744)+1, MAX(F$2:F744)+2)))</f>
        <v/>
      </c>
      <c r="G745">
        <f>IF(NOT(AND(C745=1, TRIM(ERP資料!T745)="捲筒")), 0, IF(MAX(G$2:G744)=0, 1, IF(ERP資料!A745=INDEX(ERP資料!$A$2:$A744, MATCH(MAX(G$2:G744), G$2:G744, 0)), MAX(G$2:G744)+1, MAX(G$2:G744)+2)))</f>
        <v/>
      </c>
      <c r="H745">
        <f>IF(OR(ERP資料!C745="",ERP資料!D745=""),0,ERP資料!D745-ERP資料!C745+1)</f>
        <v/>
      </c>
    </row>
    <row r="746">
      <c r="A746" t="n">
        <v>746</v>
      </c>
      <c r="B746">
        <f>IF(ERP資料!A746="","",ERP資料!A746&amp;"|"&amp;ERP資料!E746&amp;"|"&amp;ERP資料!F746&amp;"|"&amp;ERP資料!G746&amp;"|"&amp;ERP資料!H746&amp;"|"&amp;ERP資料!O746)</f>
        <v/>
      </c>
      <c r="C746">
        <f>IF(B746="",0,IF(COUNTIF(B$2:B745,B746)=0,1,0))</f>
        <v/>
      </c>
      <c r="D746">
        <f>IF(B746="",0,SUMIFS($H$2:$H$801,$B$2:$B$801,B746))</f>
        <v/>
      </c>
      <c r="E746">
        <f>IF(NOT(AND(C746=1, TRIM(ERP資料!T746)="平板")), 0, IF(MAX(E$2:E745)=0, 1, IF(ERP資料!A746=INDEX(ERP資料!$A$2:$A745, MATCH(MAX(E$2:E745), E$2:E745, 0)), MAX(E$2:E745)+1, MAX(E$2:E745)+2)))</f>
        <v/>
      </c>
      <c r="F746">
        <f>IF(NOT(AND(C746=1, TRIM(ERP資料!T746)="平板")), 0, IF(MAX(F$2:F745)=0, 1, IF(ERP資料!A746=INDEX(ERP資料!$A$2:$A745, MATCH(MAX(F$2:F745), F$2:F745, 0)), MAX(F$2:F745)+1, MAX(F$2:F745)+2)))</f>
        <v/>
      </c>
      <c r="G746">
        <f>IF(NOT(AND(C746=1, TRIM(ERP資料!T746)="捲筒")), 0, IF(MAX(G$2:G745)=0, 1, IF(ERP資料!A746=INDEX(ERP資料!$A$2:$A745, MATCH(MAX(G$2:G745), G$2:G745, 0)), MAX(G$2:G745)+1, MAX(G$2:G745)+2)))</f>
        <v/>
      </c>
      <c r="H746">
        <f>IF(OR(ERP資料!C746="",ERP資料!D746=""),0,ERP資料!D746-ERP資料!C746+1)</f>
        <v/>
      </c>
    </row>
    <row r="747">
      <c r="A747" t="n">
        <v>747</v>
      </c>
      <c r="B747">
        <f>IF(ERP資料!A747="","",ERP資料!A747&amp;"|"&amp;ERP資料!E747&amp;"|"&amp;ERP資料!F747&amp;"|"&amp;ERP資料!G747&amp;"|"&amp;ERP資料!H747&amp;"|"&amp;ERP資料!O747)</f>
        <v/>
      </c>
      <c r="C747">
        <f>IF(B747="",0,IF(COUNTIF(B$2:B746,B747)=0,1,0))</f>
        <v/>
      </c>
      <c r="D747">
        <f>IF(B747="",0,SUMIFS($H$2:$H$801,$B$2:$B$801,B747))</f>
        <v/>
      </c>
      <c r="E747">
        <f>IF(NOT(AND(C747=1, TRIM(ERP資料!T747)="平板")), 0, IF(MAX(E$2:E746)=0, 1, IF(ERP資料!A747=INDEX(ERP資料!$A$2:$A746, MATCH(MAX(E$2:E746), E$2:E746, 0)), MAX(E$2:E746)+1, MAX(E$2:E746)+2)))</f>
        <v/>
      </c>
      <c r="F747">
        <f>IF(NOT(AND(C747=1, TRIM(ERP資料!T747)="平板")), 0, IF(MAX(F$2:F746)=0, 1, IF(ERP資料!A747=INDEX(ERP資料!$A$2:$A746, MATCH(MAX(F$2:F746), F$2:F746, 0)), MAX(F$2:F746)+1, MAX(F$2:F746)+2)))</f>
        <v/>
      </c>
      <c r="G747">
        <f>IF(NOT(AND(C747=1, TRIM(ERP資料!T747)="捲筒")), 0, IF(MAX(G$2:G746)=0, 1, IF(ERP資料!A747=INDEX(ERP資料!$A$2:$A746, MATCH(MAX(G$2:G746), G$2:G746, 0)), MAX(G$2:G746)+1, MAX(G$2:G746)+2)))</f>
        <v/>
      </c>
      <c r="H747">
        <f>IF(OR(ERP資料!C747="",ERP資料!D747=""),0,ERP資料!D747-ERP資料!C747+1)</f>
        <v/>
      </c>
    </row>
    <row r="748">
      <c r="A748" t="n">
        <v>748</v>
      </c>
      <c r="B748">
        <f>IF(ERP資料!A748="","",ERP資料!A748&amp;"|"&amp;ERP資料!E748&amp;"|"&amp;ERP資料!F748&amp;"|"&amp;ERP資料!G748&amp;"|"&amp;ERP資料!H748&amp;"|"&amp;ERP資料!O748)</f>
        <v/>
      </c>
      <c r="C748">
        <f>IF(B748="",0,IF(COUNTIF(B$2:B747,B748)=0,1,0))</f>
        <v/>
      </c>
      <c r="D748">
        <f>IF(B748="",0,SUMIFS($H$2:$H$801,$B$2:$B$801,B748))</f>
        <v/>
      </c>
      <c r="E748">
        <f>IF(NOT(AND(C748=1, TRIM(ERP資料!T748)="平板")), 0, IF(MAX(E$2:E747)=0, 1, IF(ERP資料!A748=INDEX(ERP資料!$A$2:$A747, MATCH(MAX(E$2:E747), E$2:E747, 0)), MAX(E$2:E747)+1, MAX(E$2:E747)+2)))</f>
        <v/>
      </c>
      <c r="F748">
        <f>IF(NOT(AND(C748=1, TRIM(ERP資料!T748)="平板")), 0, IF(MAX(F$2:F747)=0, 1, IF(ERP資料!A748=INDEX(ERP資料!$A$2:$A747, MATCH(MAX(F$2:F747), F$2:F747, 0)), MAX(F$2:F747)+1, MAX(F$2:F747)+2)))</f>
        <v/>
      </c>
      <c r="G748">
        <f>IF(NOT(AND(C748=1, TRIM(ERP資料!T748)="捲筒")), 0, IF(MAX(G$2:G747)=0, 1, IF(ERP資料!A748=INDEX(ERP資料!$A$2:$A747, MATCH(MAX(G$2:G747), G$2:G747, 0)), MAX(G$2:G747)+1, MAX(G$2:G747)+2)))</f>
        <v/>
      </c>
      <c r="H748">
        <f>IF(OR(ERP資料!C748="",ERP資料!D748=""),0,ERP資料!D748-ERP資料!C748+1)</f>
        <v/>
      </c>
    </row>
    <row r="749">
      <c r="A749" t="n">
        <v>749</v>
      </c>
      <c r="B749">
        <f>IF(ERP資料!A749="","",ERP資料!A749&amp;"|"&amp;ERP資料!E749&amp;"|"&amp;ERP資料!F749&amp;"|"&amp;ERP資料!G749&amp;"|"&amp;ERP資料!H749&amp;"|"&amp;ERP資料!O749)</f>
        <v/>
      </c>
      <c r="C749">
        <f>IF(B749="",0,IF(COUNTIF(B$2:B748,B749)=0,1,0))</f>
        <v/>
      </c>
      <c r="D749">
        <f>IF(B749="",0,SUMIFS($H$2:$H$801,$B$2:$B$801,B749))</f>
        <v/>
      </c>
      <c r="E749">
        <f>IF(NOT(AND(C749=1, TRIM(ERP資料!T749)="平板")), 0, IF(MAX(E$2:E748)=0, 1, IF(ERP資料!A749=INDEX(ERP資料!$A$2:$A748, MATCH(MAX(E$2:E748), E$2:E748, 0)), MAX(E$2:E748)+1, MAX(E$2:E748)+2)))</f>
        <v/>
      </c>
      <c r="F749">
        <f>IF(NOT(AND(C749=1, TRIM(ERP資料!T749)="平板")), 0, IF(MAX(F$2:F748)=0, 1, IF(ERP資料!A749=INDEX(ERP資料!$A$2:$A748, MATCH(MAX(F$2:F748), F$2:F748, 0)), MAX(F$2:F748)+1, MAX(F$2:F748)+2)))</f>
        <v/>
      </c>
      <c r="G749">
        <f>IF(NOT(AND(C749=1, TRIM(ERP資料!T749)="捲筒")), 0, IF(MAX(G$2:G748)=0, 1, IF(ERP資料!A749=INDEX(ERP資料!$A$2:$A748, MATCH(MAX(G$2:G748), G$2:G748, 0)), MAX(G$2:G748)+1, MAX(G$2:G748)+2)))</f>
        <v/>
      </c>
      <c r="H749">
        <f>IF(OR(ERP資料!C749="",ERP資料!D749=""),0,ERP資料!D749-ERP資料!C749+1)</f>
        <v/>
      </c>
    </row>
    <row r="750">
      <c r="A750" t="n">
        <v>750</v>
      </c>
      <c r="B750">
        <f>IF(ERP資料!A750="","",ERP資料!A750&amp;"|"&amp;ERP資料!E750&amp;"|"&amp;ERP資料!F750&amp;"|"&amp;ERP資料!G750&amp;"|"&amp;ERP資料!H750&amp;"|"&amp;ERP資料!O750)</f>
        <v/>
      </c>
      <c r="C750">
        <f>IF(B750="",0,IF(COUNTIF(B$2:B749,B750)=0,1,0))</f>
        <v/>
      </c>
      <c r="D750">
        <f>IF(B750="",0,SUMIFS($H$2:$H$801,$B$2:$B$801,B750))</f>
        <v/>
      </c>
      <c r="E750">
        <f>IF(NOT(AND(C750=1, TRIM(ERP資料!T750)="平板")), 0, IF(MAX(E$2:E749)=0, 1, IF(ERP資料!A750=INDEX(ERP資料!$A$2:$A749, MATCH(MAX(E$2:E749), E$2:E749, 0)), MAX(E$2:E749)+1, MAX(E$2:E749)+2)))</f>
        <v/>
      </c>
      <c r="F750">
        <f>IF(NOT(AND(C750=1, TRIM(ERP資料!T750)="平板")), 0, IF(MAX(F$2:F749)=0, 1, IF(ERP資料!A750=INDEX(ERP資料!$A$2:$A749, MATCH(MAX(F$2:F749), F$2:F749, 0)), MAX(F$2:F749)+1, MAX(F$2:F749)+2)))</f>
        <v/>
      </c>
      <c r="G750">
        <f>IF(NOT(AND(C750=1, TRIM(ERP資料!T750)="捲筒")), 0, IF(MAX(G$2:G749)=0, 1, IF(ERP資料!A750=INDEX(ERP資料!$A$2:$A749, MATCH(MAX(G$2:G749), G$2:G749, 0)), MAX(G$2:G749)+1, MAX(G$2:G749)+2)))</f>
        <v/>
      </c>
      <c r="H750">
        <f>IF(OR(ERP資料!C750="",ERP資料!D750=""),0,ERP資料!D750-ERP資料!C750+1)</f>
        <v/>
      </c>
    </row>
    <row r="751">
      <c r="A751" t="n">
        <v>751</v>
      </c>
      <c r="B751">
        <f>IF(ERP資料!A751="","",ERP資料!A751&amp;"|"&amp;ERP資料!E751&amp;"|"&amp;ERP資料!F751&amp;"|"&amp;ERP資料!G751&amp;"|"&amp;ERP資料!H751&amp;"|"&amp;ERP資料!O751)</f>
        <v/>
      </c>
      <c r="C751">
        <f>IF(B751="",0,IF(COUNTIF(B$2:B750,B751)=0,1,0))</f>
        <v/>
      </c>
      <c r="D751">
        <f>IF(B751="",0,SUMIFS($H$2:$H$801,$B$2:$B$801,B751))</f>
        <v/>
      </c>
      <c r="E751">
        <f>IF(NOT(AND(C751=1, TRIM(ERP資料!T751)="平板")), 0, IF(MAX(E$2:E750)=0, 1, IF(ERP資料!A751=INDEX(ERP資料!$A$2:$A750, MATCH(MAX(E$2:E750), E$2:E750, 0)), MAX(E$2:E750)+1, MAX(E$2:E750)+2)))</f>
        <v/>
      </c>
      <c r="F751">
        <f>IF(NOT(AND(C751=1, TRIM(ERP資料!T751)="平板")), 0, IF(MAX(F$2:F750)=0, 1, IF(ERP資料!A751=INDEX(ERP資料!$A$2:$A750, MATCH(MAX(F$2:F750), F$2:F750, 0)), MAX(F$2:F750)+1, MAX(F$2:F750)+2)))</f>
        <v/>
      </c>
      <c r="G751">
        <f>IF(NOT(AND(C751=1, TRIM(ERP資料!T751)="捲筒")), 0, IF(MAX(G$2:G750)=0, 1, IF(ERP資料!A751=INDEX(ERP資料!$A$2:$A750, MATCH(MAX(G$2:G750), G$2:G750, 0)), MAX(G$2:G750)+1, MAX(G$2:G750)+2)))</f>
        <v/>
      </c>
      <c r="H751">
        <f>IF(OR(ERP資料!C751="",ERP資料!D751=""),0,ERP資料!D751-ERP資料!C751+1)</f>
        <v/>
      </c>
    </row>
    <row r="752">
      <c r="A752" t="n">
        <v>752</v>
      </c>
      <c r="B752">
        <f>IF(ERP資料!A752="","",ERP資料!A752&amp;"|"&amp;ERP資料!E752&amp;"|"&amp;ERP資料!F752&amp;"|"&amp;ERP資料!G752&amp;"|"&amp;ERP資料!H752&amp;"|"&amp;ERP資料!O752)</f>
        <v/>
      </c>
      <c r="C752">
        <f>IF(B752="",0,IF(COUNTIF(B$2:B751,B752)=0,1,0))</f>
        <v/>
      </c>
      <c r="D752">
        <f>IF(B752="",0,SUMIFS($H$2:$H$801,$B$2:$B$801,B752))</f>
        <v/>
      </c>
      <c r="E752">
        <f>IF(NOT(AND(C752=1, TRIM(ERP資料!T752)="平板")), 0, IF(MAX(E$2:E751)=0, 1, IF(ERP資料!A752=INDEX(ERP資料!$A$2:$A751, MATCH(MAX(E$2:E751), E$2:E751, 0)), MAX(E$2:E751)+1, MAX(E$2:E751)+2)))</f>
        <v/>
      </c>
      <c r="F752">
        <f>IF(NOT(AND(C752=1, TRIM(ERP資料!T752)="平板")), 0, IF(MAX(F$2:F751)=0, 1, IF(ERP資料!A752=INDEX(ERP資料!$A$2:$A751, MATCH(MAX(F$2:F751), F$2:F751, 0)), MAX(F$2:F751)+1, MAX(F$2:F751)+2)))</f>
        <v/>
      </c>
      <c r="G752">
        <f>IF(NOT(AND(C752=1, TRIM(ERP資料!T752)="捲筒")), 0, IF(MAX(G$2:G751)=0, 1, IF(ERP資料!A752=INDEX(ERP資料!$A$2:$A751, MATCH(MAX(G$2:G751), G$2:G751, 0)), MAX(G$2:G751)+1, MAX(G$2:G751)+2)))</f>
        <v/>
      </c>
      <c r="H752">
        <f>IF(OR(ERP資料!C752="",ERP資料!D752=""),0,ERP資料!D752-ERP資料!C752+1)</f>
        <v/>
      </c>
    </row>
    <row r="753">
      <c r="A753" t="n">
        <v>753</v>
      </c>
      <c r="B753">
        <f>IF(ERP資料!A753="","",ERP資料!A753&amp;"|"&amp;ERP資料!E753&amp;"|"&amp;ERP資料!F753&amp;"|"&amp;ERP資料!G753&amp;"|"&amp;ERP資料!H753&amp;"|"&amp;ERP資料!O753)</f>
        <v/>
      </c>
      <c r="C753">
        <f>IF(B753="",0,IF(COUNTIF(B$2:B752,B753)=0,1,0))</f>
        <v/>
      </c>
      <c r="D753">
        <f>IF(B753="",0,SUMIFS($H$2:$H$801,$B$2:$B$801,B753))</f>
        <v/>
      </c>
      <c r="E753">
        <f>IF(NOT(AND(C753=1, TRIM(ERP資料!T753)="平板")), 0, IF(MAX(E$2:E752)=0, 1, IF(ERP資料!A753=INDEX(ERP資料!$A$2:$A752, MATCH(MAX(E$2:E752), E$2:E752, 0)), MAX(E$2:E752)+1, MAX(E$2:E752)+2)))</f>
        <v/>
      </c>
      <c r="F753">
        <f>IF(NOT(AND(C753=1, TRIM(ERP資料!T753)="平板")), 0, IF(MAX(F$2:F752)=0, 1, IF(ERP資料!A753=INDEX(ERP資料!$A$2:$A752, MATCH(MAX(F$2:F752), F$2:F752, 0)), MAX(F$2:F752)+1, MAX(F$2:F752)+2)))</f>
        <v/>
      </c>
      <c r="G753">
        <f>IF(NOT(AND(C753=1, TRIM(ERP資料!T753)="捲筒")), 0, IF(MAX(G$2:G752)=0, 1, IF(ERP資料!A753=INDEX(ERP資料!$A$2:$A752, MATCH(MAX(G$2:G752), G$2:G752, 0)), MAX(G$2:G752)+1, MAX(G$2:G752)+2)))</f>
        <v/>
      </c>
      <c r="H753">
        <f>IF(OR(ERP資料!C753="",ERP資料!D753=""),0,ERP資料!D753-ERP資料!C753+1)</f>
        <v/>
      </c>
    </row>
    <row r="754">
      <c r="A754" t="n">
        <v>754</v>
      </c>
      <c r="B754">
        <f>IF(ERP資料!A754="","",ERP資料!A754&amp;"|"&amp;ERP資料!E754&amp;"|"&amp;ERP資料!F754&amp;"|"&amp;ERP資料!G754&amp;"|"&amp;ERP資料!H754&amp;"|"&amp;ERP資料!O754)</f>
        <v/>
      </c>
      <c r="C754">
        <f>IF(B754="",0,IF(COUNTIF(B$2:B753,B754)=0,1,0))</f>
        <v/>
      </c>
      <c r="D754">
        <f>IF(B754="",0,SUMIFS($H$2:$H$801,$B$2:$B$801,B754))</f>
        <v/>
      </c>
      <c r="E754">
        <f>IF(NOT(AND(C754=1, TRIM(ERP資料!T754)="平板")), 0, IF(MAX(E$2:E753)=0, 1, IF(ERP資料!A754=INDEX(ERP資料!$A$2:$A753, MATCH(MAX(E$2:E753), E$2:E753, 0)), MAX(E$2:E753)+1, MAX(E$2:E753)+2)))</f>
        <v/>
      </c>
      <c r="F754">
        <f>IF(NOT(AND(C754=1, TRIM(ERP資料!T754)="平板")), 0, IF(MAX(F$2:F753)=0, 1, IF(ERP資料!A754=INDEX(ERP資料!$A$2:$A753, MATCH(MAX(F$2:F753), F$2:F753, 0)), MAX(F$2:F753)+1, MAX(F$2:F753)+2)))</f>
        <v/>
      </c>
      <c r="G754">
        <f>IF(NOT(AND(C754=1, TRIM(ERP資料!T754)="捲筒")), 0, IF(MAX(G$2:G753)=0, 1, IF(ERP資料!A754=INDEX(ERP資料!$A$2:$A753, MATCH(MAX(G$2:G753), G$2:G753, 0)), MAX(G$2:G753)+1, MAX(G$2:G753)+2)))</f>
        <v/>
      </c>
      <c r="H754">
        <f>IF(OR(ERP資料!C754="",ERP資料!D754=""),0,ERP資料!D754-ERP資料!C754+1)</f>
        <v/>
      </c>
    </row>
    <row r="755">
      <c r="A755" t="n">
        <v>755</v>
      </c>
      <c r="B755">
        <f>IF(ERP資料!A755="","",ERP資料!A755&amp;"|"&amp;ERP資料!E755&amp;"|"&amp;ERP資料!F755&amp;"|"&amp;ERP資料!G755&amp;"|"&amp;ERP資料!H755&amp;"|"&amp;ERP資料!O755)</f>
        <v/>
      </c>
      <c r="C755">
        <f>IF(B755="",0,IF(COUNTIF(B$2:B754,B755)=0,1,0))</f>
        <v/>
      </c>
      <c r="D755">
        <f>IF(B755="",0,SUMIFS($H$2:$H$801,$B$2:$B$801,B755))</f>
        <v/>
      </c>
      <c r="E755">
        <f>IF(NOT(AND(C755=1, TRIM(ERP資料!T755)="平板")), 0, IF(MAX(E$2:E754)=0, 1, IF(ERP資料!A755=INDEX(ERP資料!$A$2:$A754, MATCH(MAX(E$2:E754), E$2:E754, 0)), MAX(E$2:E754)+1, MAX(E$2:E754)+2)))</f>
        <v/>
      </c>
      <c r="F755">
        <f>IF(NOT(AND(C755=1, TRIM(ERP資料!T755)="平板")), 0, IF(MAX(F$2:F754)=0, 1, IF(ERP資料!A755=INDEX(ERP資料!$A$2:$A754, MATCH(MAX(F$2:F754), F$2:F754, 0)), MAX(F$2:F754)+1, MAX(F$2:F754)+2)))</f>
        <v/>
      </c>
      <c r="G755">
        <f>IF(NOT(AND(C755=1, TRIM(ERP資料!T755)="捲筒")), 0, IF(MAX(G$2:G754)=0, 1, IF(ERP資料!A755=INDEX(ERP資料!$A$2:$A754, MATCH(MAX(G$2:G754), G$2:G754, 0)), MAX(G$2:G754)+1, MAX(G$2:G754)+2)))</f>
        <v/>
      </c>
      <c r="H755">
        <f>IF(OR(ERP資料!C755="",ERP資料!D755=""),0,ERP資料!D755-ERP資料!C755+1)</f>
        <v/>
      </c>
    </row>
    <row r="756">
      <c r="A756" t="n">
        <v>756</v>
      </c>
      <c r="B756">
        <f>IF(ERP資料!A756="","",ERP資料!A756&amp;"|"&amp;ERP資料!E756&amp;"|"&amp;ERP資料!F756&amp;"|"&amp;ERP資料!G756&amp;"|"&amp;ERP資料!H756&amp;"|"&amp;ERP資料!O756)</f>
        <v/>
      </c>
      <c r="C756">
        <f>IF(B756="",0,IF(COUNTIF(B$2:B755,B756)=0,1,0))</f>
        <v/>
      </c>
      <c r="D756">
        <f>IF(B756="",0,SUMIFS($H$2:$H$801,$B$2:$B$801,B756))</f>
        <v/>
      </c>
      <c r="E756">
        <f>IF(NOT(AND(C756=1, TRIM(ERP資料!T756)="平板")), 0, IF(MAX(E$2:E755)=0, 1, IF(ERP資料!A756=INDEX(ERP資料!$A$2:$A755, MATCH(MAX(E$2:E755), E$2:E755, 0)), MAX(E$2:E755)+1, MAX(E$2:E755)+2)))</f>
        <v/>
      </c>
      <c r="F756">
        <f>IF(NOT(AND(C756=1, TRIM(ERP資料!T756)="平板")), 0, IF(MAX(F$2:F755)=0, 1, IF(ERP資料!A756=INDEX(ERP資料!$A$2:$A755, MATCH(MAX(F$2:F755), F$2:F755, 0)), MAX(F$2:F755)+1, MAX(F$2:F755)+2)))</f>
        <v/>
      </c>
      <c r="G756">
        <f>IF(NOT(AND(C756=1, TRIM(ERP資料!T756)="捲筒")), 0, IF(MAX(G$2:G755)=0, 1, IF(ERP資料!A756=INDEX(ERP資料!$A$2:$A755, MATCH(MAX(G$2:G755), G$2:G755, 0)), MAX(G$2:G755)+1, MAX(G$2:G755)+2)))</f>
        <v/>
      </c>
      <c r="H756">
        <f>IF(OR(ERP資料!C756="",ERP資料!D756=""),0,ERP資料!D756-ERP資料!C756+1)</f>
        <v/>
      </c>
    </row>
    <row r="757">
      <c r="A757" t="n">
        <v>757</v>
      </c>
      <c r="B757">
        <f>IF(ERP資料!A757="","",ERP資料!A757&amp;"|"&amp;ERP資料!E757&amp;"|"&amp;ERP資料!F757&amp;"|"&amp;ERP資料!G757&amp;"|"&amp;ERP資料!H757&amp;"|"&amp;ERP資料!O757)</f>
        <v/>
      </c>
      <c r="C757">
        <f>IF(B757="",0,IF(COUNTIF(B$2:B756,B757)=0,1,0))</f>
        <v/>
      </c>
      <c r="D757">
        <f>IF(B757="",0,SUMIFS($H$2:$H$801,$B$2:$B$801,B757))</f>
        <v/>
      </c>
      <c r="E757">
        <f>IF(NOT(AND(C757=1, TRIM(ERP資料!T757)="平板")), 0, IF(MAX(E$2:E756)=0, 1, IF(ERP資料!A757=INDEX(ERP資料!$A$2:$A756, MATCH(MAX(E$2:E756), E$2:E756, 0)), MAX(E$2:E756)+1, MAX(E$2:E756)+2)))</f>
        <v/>
      </c>
      <c r="F757">
        <f>IF(NOT(AND(C757=1, TRIM(ERP資料!T757)="平板")), 0, IF(MAX(F$2:F756)=0, 1, IF(ERP資料!A757=INDEX(ERP資料!$A$2:$A756, MATCH(MAX(F$2:F756), F$2:F756, 0)), MAX(F$2:F756)+1, MAX(F$2:F756)+2)))</f>
        <v/>
      </c>
      <c r="G757">
        <f>IF(NOT(AND(C757=1, TRIM(ERP資料!T757)="捲筒")), 0, IF(MAX(G$2:G756)=0, 1, IF(ERP資料!A757=INDEX(ERP資料!$A$2:$A756, MATCH(MAX(G$2:G756), G$2:G756, 0)), MAX(G$2:G756)+1, MAX(G$2:G756)+2)))</f>
        <v/>
      </c>
      <c r="H757">
        <f>IF(OR(ERP資料!C757="",ERP資料!D757=""),0,ERP資料!D757-ERP資料!C757+1)</f>
        <v/>
      </c>
    </row>
    <row r="758">
      <c r="A758" t="n">
        <v>758</v>
      </c>
      <c r="B758">
        <f>IF(ERP資料!A758="","",ERP資料!A758&amp;"|"&amp;ERP資料!E758&amp;"|"&amp;ERP資料!F758&amp;"|"&amp;ERP資料!G758&amp;"|"&amp;ERP資料!H758&amp;"|"&amp;ERP資料!O758)</f>
        <v/>
      </c>
      <c r="C758">
        <f>IF(B758="",0,IF(COUNTIF(B$2:B757,B758)=0,1,0))</f>
        <v/>
      </c>
      <c r="D758">
        <f>IF(B758="",0,SUMIFS($H$2:$H$801,$B$2:$B$801,B758))</f>
        <v/>
      </c>
      <c r="E758">
        <f>IF(NOT(AND(C758=1, TRIM(ERP資料!T758)="平板")), 0, IF(MAX(E$2:E757)=0, 1, IF(ERP資料!A758=INDEX(ERP資料!$A$2:$A757, MATCH(MAX(E$2:E757), E$2:E757, 0)), MAX(E$2:E757)+1, MAX(E$2:E757)+2)))</f>
        <v/>
      </c>
      <c r="F758">
        <f>IF(NOT(AND(C758=1, TRIM(ERP資料!T758)="平板")), 0, IF(MAX(F$2:F757)=0, 1, IF(ERP資料!A758=INDEX(ERP資料!$A$2:$A757, MATCH(MAX(F$2:F757), F$2:F757, 0)), MAX(F$2:F757)+1, MAX(F$2:F757)+2)))</f>
        <v/>
      </c>
      <c r="G758">
        <f>IF(NOT(AND(C758=1, TRIM(ERP資料!T758)="捲筒")), 0, IF(MAX(G$2:G757)=0, 1, IF(ERP資料!A758=INDEX(ERP資料!$A$2:$A757, MATCH(MAX(G$2:G757), G$2:G757, 0)), MAX(G$2:G757)+1, MAX(G$2:G757)+2)))</f>
        <v/>
      </c>
      <c r="H758">
        <f>IF(OR(ERP資料!C758="",ERP資料!D758=""),0,ERP資料!D758-ERP資料!C758+1)</f>
        <v/>
      </c>
    </row>
    <row r="759">
      <c r="A759" t="n">
        <v>759</v>
      </c>
      <c r="B759">
        <f>IF(ERP資料!A759="","",ERP資料!A759&amp;"|"&amp;ERP資料!E759&amp;"|"&amp;ERP資料!F759&amp;"|"&amp;ERP資料!G759&amp;"|"&amp;ERP資料!H759&amp;"|"&amp;ERP資料!O759)</f>
        <v/>
      </c>
      <c r="C759">
        <f>IF(B759="",0,IF(COUNTIF(B$2:B758,B759)=0,1,0))</f>
        <v/>
      </c>
      <c r="D759">
        <f>IF(B759="",0,SUMIFS($H$2:$H$801,$B$2:$B$801,B759))</f>
        <v/>
      </c>
      <c r="E759">
        <f>IF(NOT(AND(C759=1, TRIM(ERP資料!T759)="平板")), 0, IF(MAX(E$2:E758)=0, 1, IF(ERP資料!A759=INDEX(ERP資料!$A$2:$A758, MATCH(MAX(E$2:E758), E$2:E758, 0)), MAX(E$2:E758)+1, MAX(E$2:E758)+2)))</f>
        <v/>
      </c>
      <c r="F759">
        <f>IF(NOT(AND(C759=1, TRIM(ERP資料!T759)="平板")), 0, IF(MAX(F$2:F758)=0, 1, IF(ERP資料!A759=INDEX(ERP資料!$A$2:$A758, MATCH(MAX(F$2:F758), F$2:F758, 0)), MAX(F$2:F758)+1, MAX(F$2:F758)+2)))</f>
        <v/>
      </c>
      <c r="G759">
        <f>IF(NOT(AND(C759=1, TRIM(ERP資料!T759)="捲筒")), 0, IF(MAX(G$2:G758)=0, 1, IF(ERP資料!A759=INDEX(ERP資料!$A$2:$A758, MATCH(MAX(G$2:G758), G$2:G758, 0)), MAX(G$2:G758)+1, MAX(G$2:G758)+2)))</f>
        <v/>
      </c>
      <c r="H759">
        <f>IF(OR(ERP資料!C759="",ERP資料!D759=""),0,ERP資料!D759-ERP資料!C759+1)</f>
        <v/>
      </c>
    </row>
    <row r="760">
      <c r="A760" t="n">
        <v>760</v>
      </c>
      <c r="B760">
        <f>IF(ERP資料!A760="","",ERP資料!A760&amp;"|"&amp;ERP資料!E760&amp;"|"&amp;ERP資料!F760&amp;"|"&amp;ERP資料!G760&amp;"|"&amp;ERP資料!H760&amp;"|"&amp;ERP資料!O760)</f>
        <v/>
      </c>
      <c r="C760">
        <f>IF(B760="",0,IF(COUNTIF(B$2:B759,B760)=0,1,0))</f>
        <v/>
      </c>
      <c r="D760">
        <f>IF(B760="",0,SUMIFS($H$2:$H$801,$B$2:$B$801,B760))</f>
        <v/>
      </c>
      <c r="E760">
        <f>IF(NOT(AND(C760=1, TRIM(ERP資料!T760)="平板")), 0, IF(MAX(E$2:E759)=0, 1, IF(ERP資料!A760=INDEX(ERP資料!$A$2:$A759, MATCH(MAX(E$2:E759), E$2:E759, 0)), MAX(E$2:E759)+1, MAX(E$2:E759)+2)))</f>
        <v/>
      </c>
      <c r="F760">
        <f>IF(NOT(AND(C760=1, TRIM(ERP資料!T760)="平板")), 0, IF(MAX(F$2:F759)=0, 1, IF(ERP資料!A760=INDEX(ERP資料!$A$2:$A759, MATCH(MAX(F$2:F759), F$2:F759, 0)), MAX(F$2:F759)+1, MAX(F$2:F759)+2)))</f>
        <v/>
      </c>
      <c r="G760">
        <f>IF(NOT(AND(C760=1, TRIM(ERP資料!T760)="捲筒")), 0, IF(MAX(G$2:G759)=0, 1, IF(ERP資料!A760=INDEX(ERP資料!$A$2:$A759, MATCH(MAX(G$2:G759), G$2:G759, 0)), MAX(G$2:G759)+1, MAX(G$2:G759)+2)))</f>
        <v/>
      </c>
      <c r="H760">
        <f>IF(OR(ERP資料!C760="",ERP資料!D760=""),0,ERP資料!D760-ERP資料!C760+1)</f>
        <v/>
      </c>
    </row>
    <row r="761">
      <c r="A761" t="n">
        <v>761</v>
      </c>
      <c r="B761">
        <f>IF(ERP資料!A761="","",ERP資料!A761&amp;"|"&amp;ERP資料!E761&amp;"|"&amp;ERP資料!F761&amp;"|"&amp;ERP資料!G761&amp;"|"&amp;ERP資料!H761&amp;"|"&amp;ERP資料!O761)</f>
        <v/>
      </c>
      <c r="C761">
        <f>IF(B761="",0,IF(COUNTIF(B$2:B760,B761)=0,1,0))</f>
        <v/>
      </c>
      <c r="D761">
        <f>IF(B761="",0,SUMIFS($H$2:$H$801,$B$2:$B$801,B761))</f>
        <v/>
      </c>
      <c r="E761">
        <f>IF(NOT(AND(C761=1, TRIM(ERP資料!T761)="平板")), 0, IF(MAX(E$2:E760)=0, 1, IF(ERP資料!A761=INDEX(ERP資料!$A$2:$A760, MATCH(MAX(E$2:E760), E$2:E760, 0)), MAX(E$2:E760)+1, MAX(E$2:E760)+2)))</f>
        <v/>
      </c>
      <c r="F761">
        <f>IF(NOT(AND(C761=1, TRIM(ERP資料!T761)="平板")), 0, IF(MAX(F$2:F760)=0, 1, IF(ERP資料!A761=INDEX(ERP資料!$A$2:$A760, MATCH(MAX(F$2:F760), F$2:F760, 0)), MAX(F$2:F760)+1, MAX(F$2:F760)+2)))</f>
        <v/>
      </c>
      <c r="G761">
        <f>IF(NOT(AND(C761=1, TRIM(ERP資料!T761)="捲筒")), 0, IF(MAX(G$2:G760)=0, 1, IF(ERP資料!A761=INDEX(ERP資料!$A$2:$A760, MATCH(MAX(G$2:G760), G$2:G760, 0)), MAX(G$2:G760)+1, MAX(G$2:G760)+2)))</f>
        <v/>
      </c>
      <c r="H761">
        <f>IF(OR(ERP資料!C761="",ERP資料!D761=""),0,ERP資料!D761-ERP資料!C761+1)</f>
        <v/>
      </c>
    </row>
    <row r="762">
      <c r="A762" t="n">
        <v>762</v>
      </c>
      <c r="B762">
        <f>IF(ERP資料!A762="","",ERP資料!A762&amp;"|"&amp;ERP資料!E762&amp;"|"&amp;ERP資料!F762&amp;"|"&amp;ERP資料!G762&amp;"|"&amp;ERP資料!H762&amp;"|"&amp;ERP資料!O762)</f>
        <v/>
      </c>
      <c r="C762">
        <f>IF(B762="",0,IF(COUNTIF(B$2:B761,B762)=0,1,0))</f>
        <v/>
      </c>
      <c r="D762">
        <f>IF(B762="",0,SUMIFS($H$2:$H$801,$B$2:$B$801,B762))</f>
        <v/>
      </c>
      <c r="E762">
        <f>IF(NOT(AND(C762=1, TRIM(ERP資料!T762)="平板")), 0, IF(MAX(E$2:E761)=0, 1, IF(ERP資料!A762=INDEX(ERP資料!$A$2:$A761, MATCH(MAX(E$2:E761), E$2:E761, 0)), MAX(E$2:E761)+1, MAX(E$2:E761)+2)))</f>
        <v/>
      </c>
      <c r="F762">
        <f>IF(NOT(AND(C762=1, TRIM(ERP資料!T762)="平板")), 0, IF(MAX(F$2:F761)=0, 1, IF(ERP資料!A762=INDEX(ERP資料!$A$2:$A761, MATCH(MAX(F$2:F761), F$2:F761, 0)), MAX(F$2:F761)+1, MAX(F$2:F761)+2)))</f>
        <v/>
      </c>
      <c r="G762">
        <f>IF(NOT(AND(C762=1, TRIM(ERP資料!T762)="捲筒")), 0, IF(MAX(G$2:G761)=0, 1, IF(ERP資料!A762=INDEX(ERP資料!$A$2:$A761, MATCH(MAX(G$2:G761), G$2:G761, 0)), MAX(G$2:G761)+1, MAX(G$2:G761)+2)))</f>
        <v/>
      </c>
      <c r="H762">
        <f>IF(OR(ERP資料!C762="",ERP資料!D762=""),0,ERP資料!D762-ERP資料!C762+1)</f>
        <v/>
      </c>
    </row>
    <row r="763">
      <c r="A763" t="n">
        <v>763</v>
      </c>
      <c r="B763">
        <f>IF(ERP資料!A763="","",ERP資料!A763&amp;"|"&amp;ERP資料!E763&amp;"|"&amp;ERP資料!F763&amp;"|"&amp;ERP資料!G763&amp;"|"&amp;ERP資料!H763&amp;"|"&amp;ERP資料!O763)</f>
        <v/>
      </c>
      <c r="C763">
        <f>IF(B763="",0,IF(COUNTIF(B$2:B762,B763)=0,1,0))</f>
        <v/>
      </c>
      <c r="D763">
        <f>IF(B763="",0,SUMIFS($H$2:$H$801,$B$2:$B$801,B763))</f>
        <v/>
      </c>
      <c r="E763">
        <f>IF(NOT(AND(C763=1, TRIM(ERP資料!T763)="平板")), 0, IF(MAX(E$2:E762)=0, 1, IF(ERP資料!A763=INDEX(ERP資料!$A$2:$A762, MATCH(MAX(E$2:E762), E$2:E762, 0)), MAX(E$2:E762)+1, MAX(E$2:E762)+2)))</f>
        <v/>
      </c>
      <c r="F763">
        <f>IF(NOT(AND(C763=1, TRIM(ERP資料!T763)="平板")), 0, IF(MAX(F$2:F762)=0, 1, IF(ERP資料!A763=INDEX(ERP資料!$A$2:$A762, MATCH(MAX(F$2:F762), F$2:F762, 0)), MAX(F$2:F762)+1, MAX(F$2:F762)+2)))</f>
        <v/>
      </c>
      <c r="G763">
        <f>IF(NOT(AND(C763=1, TRIM(ERP資料!T763)="捲筒")), 0, IF(MAX(G$2:G762)=0, 1, IF(ERP資料!A763=INDEX(ERP資料!$A$2:$A762, MATCH(MAX(G$2:G762), G$2:G762, 0)), MAX(G$2:G762)+1, MAX(G$2:G762)+2)))</f>
        <v/>
      </c>
      <c r="H763">
        <f>IF(OR(ERP資料!C763="",ERP資料!D763=""),0,ERP資料!D763-ERP資料!C763+1)</f>
        <v/>
      </c>
    </row>
    <row r="764">
      <c r="A764" t="n">
        <v>764</v>
      </c>
      <c r="B764">
        <f>IF(ERP資料!A764="","",ERP資料!A764&amp;"|"&amp;ERP資料!E764&amp;"|"&amp;ERP資料!F764&amp;"|"&amp;ERP資料!G764&amp;"|"&amp;ERP資料!H764&amp;"|"&amp;ERP資料!O764)</f>
        <v/>
      </c>
      <c r="C764">
        <f>IF(B764="",0,IF(COUNTIF(B$2:B763,B764)=0,1,0))</f>
        <v/>
      </c>
      <c r="D764">
        <f>IF(B764="",0,SUMIFS($H$2:$H$801,$B$2:$B$801,B764))</f>
        <v/>
      </c>
      <c r="E764">
        <f>IF(NOT(AND(C764=1, TRIM(ERP資料!T764)="平板")), 0, IF(MAX(E$2:E763)=0, 1, IF(ERP資料!A764=INDEX(ERP資料!$A$2:$A763, MATCH(MAX(E$2:E763), E$2:E763, 0)), MAX(E$2:E763)+1, MAX(E$2:E763)+2)))</f>
        <v/>
      </c>
      <c r="F764">
        <f>IF(NOT(AND(C764=1, TRIM(ERP資料!T764)="平板")), 0, IF(MAX(F$2:F763)=0, 1, IF(ERP資料!A764=INDEX(ERP資料!$A$2:$A763, MATCH(MAX(F$2:F763), F$2:F763, 0)), MAX(F$2:F763)+1, MAX(F$2:F763)+2)))</f>
        <v/>
      </c>
      <c r="G764">
        <f>IF(NOT(AND(C764=1, TRIM(ERP資料!T764)="捲筒")), 0, IF(MAX(G$2:G763)=0, 1, IF(ERP資料!A764=INDEX(ERP資料!$A$2:$A763, MATCH(MAX(G$2:G763), G$2:G763, 0)), MAX(G$2:G763)+1, MAX(G$2:G763)+2)))</f>
        <v/>
      </c>
      <c r="H764">
        <f>IF(OR(ERP資料!C764="",ERP資料!D764=""),0,ERP資料!D764-ERP資料!C764+1)</f>
        <v/>
      </c>
    </row>
    <row r="765">
      <c r="A765" t="n">
        <v>765</v>
      </c>
      <c r="B765">
        <f>IF(ERP資料!A765="","",ERP資料!A765&amp;"|"&amp;ERP資料!E765&amp;"|"&amp;ERP資料!F765&amp;"|"&amp;ERP資料!G765&amp;"|"&amp;ERP資料!H765&amp;"|"&amp;ERP資料!O765)</f>
        <v/>
      </c>
      <c r="C765">
        <f>IF(B765="",0,IF(COUNTIF(B$2:B764,B765)=0,1,0))</f>
        <v/>
      </c>
      <c r="D765">
        <f>IF(B765="",0,SUMIFS($H$2:$H$801,$B$2:$B$801,B765))</f>
        <v/>
      </c>
      <c r="E765">
        <f>IF(NOT(AND(C765=1, TRIM(ERP資料!T765)="平板")), 0, IF(MAX(E$2:E764)=0, 1, IF(ERP資料!A765=INDEX(ERP資料!$A$2:$A764, MATCH(MAX(E$2:E764), E$2:E764, 0)), MAX(E$2:E764)+1, MAX(E$2:E764)+2)))</f>
        <v/>
      </c>
      <c r="F765">
        <f>IF(NOT(AND(C765=1, TRIM(ERP資料!T765)="平板")), 0, IF(MAX(F$2:F764)=0, 1, IF(ERP資料!A765=INDEX(ERP資料!$A$2:$A764, MATCH(MAX(F$2:F764), F$2:F764, 0)), MAX(F$2:F764)+1, MAX(F$2:F764)+2)))</f>
        <v/>
      </c>
      <c r="G765">
        <f>IF(NOT(AND(C765=1, TRIM(ERP資料!T765)="捲筒")), 0, IF(MAX(G$2:G764)=0, 1, IF(ERP資料!A765=INDEX(ERP資料!$A$2:$A764, MATCH(MAX(G$2:G764), G$2:G764, 0)), MAX(G$2:G764)+1, MAX(G$2:G764)+2)))</f>
        <v/>
      </c>
      <c r="H765">
        <f>IF(OR(ERP資料!C765="",ERP資料!D765=""),0,ERP資料!D765-ERP資料!C765+1)</f>
        <v/>
      </c>
    </row>
    <row r="766">
      <c r="A766" t="n">
        <v>766</v>
      </c>
      <c r="B766">
        <f>IF(ERP資料!A766="","",ERP資料!A766&amp;"|"&amp;ERP資料!E766&amp;"|"&amp;ERP資料!F766&amp;"|"&amp;ERP資料!G766&amp;"|"&amp;ERP資料!H766&amp;"|"&amp;ERP資料!O766)</f>
        <v/>
      </c>
      <c r="C766">
        <f>IF(B766="",0,IF(COUNTIF(B$2:B765,B766)=0,1,0))</f>
        <v/>
      </c>
      <c r="D766">
        <f>IF(B766="",0,SUMIFS($H$2:$H$801,$B$2:$B$801,B766))</f>
        <v/>
      </c>
      <c r="E766">
        <f>IF(NOT(AND(C766=1, TRIM(ERP資料!T766)="平板")), 0, IF(MAX(E$2:E765)=0, 1, IF(ERP資料!A766=INDEX(ERP資料!$A$2:$A765, MATCH(MAX(E$2:E765), E$2:E765, 0)), MAX(E$2:E765)+1, MAX(E$2:E765)+2)))</f>
        <v/>
      </c>
      <c r="F766">
        <f>IF(NOT(AND(C766=1, TRIM(ERP資料!T766)="平板")), 0, IF(MAX(F$2:F765)=0, 1, IF(ERP資料!A766=INDEX(ERP資料!$A$2:$A765, MATCH(MAX(F$2:F765), F$2:F765, 0)), MAX(F$2:F765)+1, MAX(F$2:F765)+2)))</f>
        <v/>
      </c>
      <c r="G766">
        <f>IF(NOT(AND(C766=1, TRIM(ERP資料!T766)="捲筒")), 0, IF(MAX(G$2:G765)=0, 1, IF(ERP資料!A766=INDEX(ERP資料!$A$2:$A765, MATCH(MAX(G$2:G765), G$2:G765, 0)), MAX(G$2:G765)+1, MAX(G$2:G765)+2)))</f>
        <v/>
      </c>
      <c r="H766">
        <f>IF(OR(ERP資料!C766="",ERP資料!D766=""),0,ERP資料!D766-ERP資料!C766+1)</f>
        <v/>
      </c>
    </row>
    <row r="767">
      <c r="A767" t="n">
        <v>767</v>
      </c>
      <c r="B767">
        <f>IF(ERP資料!A767="","",ERP資料!A767&amp;"|"&amp;ERP資料!E767&amp;"|"&amp;ERP資料!F767&amp;"|"&amp;ERP資料!G767&amp;"|"&amp;ERP資料!H767&amp;"|"&amp;ERP資料!O767)</f>
        <v/>
      </c>
      <c r="C767">
        <f>IF(B767="",0,IF(COUNTIF(B$2:B766,B767)=0,1,0))</f>
        <v/>
      </c>
      <c r="D767">
        <f>IF(B767="",0,SUMIFS($H$2:$H$801,$B$2:$B$801,B767))</f>
        <v/>
      </c>
      <c r="E767">
        <f>IF(NOT(AND(C767=1, TRIM(ERP資料!T767)="平板")), 0, IF(MAX(E$2:E766)=0, 1, IF(ERP資料!A767=INDEX(ERP資料!$A$2:$A766, MATCH(MAX(E$2:E766), E$2:E766, 0)), MAX(E$2:E766)+1, MAX(E$2:E766)+2)))</f>
        <v/>
      </c>
      <c r="F767">
        <f>IF(NOT(AND(C767=1, TRIM(ERP資料!T767)="平板")), 0, IF(MAX(F$2:F766)=0, 1, IF(ERP資料!A767=INDEX(ERP資料!$A$2:$A766, MATCH(MAX(F$2:F766), F$2:F766, 0)), MAX(F$2:F766)+1, MAX(F$2:F766)+2)))</f>
        <v/>
      </c>
      <c r="G767">
        <f>IF(NOT(AND(C767=1, TRIM(ERP資料!T767)="捲筒")), 0, IF(MAX(G$2:G766)=0, 1, IF(ERP資料!A767=INDEX(ERP資料!$A$2:$A766, MATCH(MAX(G$2:G766), G$2:G766, 0)), MAX(G$2:G766)+1, MAX(G$2:G766)+2)))</f>
        <v/>
      </c>
      <c r="H767">
        <f>IF(OR(ERP資料!C767="",ERP資料!D767=""),0,ERP資料!D767-ERP資料!C767+1)</f>
        <v/>
      </c>
    </row>
    <row r="768">
      <c r="A768" t="n">
        <v>768</v>
      </c>
      <c r="B768">
        <f>IF(ERP資料!A768="","",ERP資料!A768&amp;"|"&amp;ERP資料!E768&amp;"|"&amp;ERP資料!F768&amp;"|"&amp;ERP資料!G768&amp;"|"&amp;ERP資料!H768&amp;"|"&amp;ERP資料!O768)</f>
        <v/>
      </c>
      <c r="C768">
        <f>IF(B768="",0,IF(COUNTIF(B$2:B767,B768)=0,1,0))</f>
        <v/>
      </c>
      <c r="D768">
        <f>IF(B768="",0,SUMIFS($H$2:$H$801,$B$2:$B$801,B768))</f>
        <v/>
      </c>
      <c r="E768">
        <f>IF(NOT(AND(C768=1, TRIM(ERP資料!T768)="平板")), 0, IF(MAX(E$2:E767)=0, 1, IF(ERP資料!A768=INDEX(ERP資料!$A$2:$A767, MATCH(MAX(E$2:E767), E$2:E767, 0)), MAX(E$2:E767)+1, MAX(E$2:E767)+2)))</f>
        <v/>
      </c>
      <c r="F768">
        <f>IF(NOT(AND(C768=1, TRIM(ERP資料!T768)="平板")), 0, IF(MAX(F$2:F767)=0, 1, IF(ERP資料!A768=INDEX(ERP資料!$A$2:$A767, MATCH(MAX(F$2:F767), F$2:F767, 0)), MAX(F$2:F767)+1, MAX(F$2:F767)+2)))</f>
        <v/>
      </c>
      <c r="G768">
        <f>IF(NOT(AND(C768=1, TRIM(ERP資料!T768)="捲筒")), 0, IF(MAX(G$2:G767)=0, 1, IF(ERP資料!A768=INDEX(ERP資料!$A$2:$A767, MATCH(MAX(G$2:G767), G$2:G767, 0)), MAX(G$2:G767)+1, MAX(G$2:G767)+2)))</f>
        <v/>
      </c>
      <c r="H768">
        <f>IF(OR(ERP資料!C768="",ERP資料!D768=""),0,ERP資料!D768-ERP資料!C768+1)</f>
        <v/>
      </c>
    </row>
    <row r="769">
      <c r="A769" t="n">
        <v>769</v>
      </c>
      <c r="B769">
        <f>IF(ERP資料!A769="","",ERP資料!A769&amp;"|"&amp;ERP資料!E769&amp;"|"&amp;ERP資料!F769&amp;"|"&amp;ERP資料!G769&amp;"|"&amp;ERP資料!H769&amp;"|"&amp;ERP資料!O769)</f>
        <v/>
      </c>
      <c r="C769">
        <f>IF(B769="",0,IF(COUNTIF(B$2:B768,B769)=0,1,0))</f>
        <v/>
      </c>
      <c r="D769">
        <f>IF(B769="",0,SUMIFS($H$2:$H$801,$B$2:$B$801,B769))</f>
        <v/>
      </c>
      <c r="E769">
        <f>IF(NOT(AND(C769=1, TRIM(ERP資料!T769)="平板")), 0, IF(MAX(E$2:E768)=0, 1, IF(ERP資料!A769=INDEX(ERP資料!$A$2:$A768, MATCH(MAX(E$2:E768), E$2:E768, 0)), MAX(E$2:E768)+1, MAX(E$2:E768)+2)))</f>
        <v/>
      </c>
      <c r="F769">
        <f>IF(NOT(AND(C769=1, TRIM(ERP資料!T769)="平板")), 0, IF(MAX(F$2:F768)=0, 1, IF(ERP資料!A769=INDEX(ERP資料!$A$2:$A768, MATCH(MAX(F$2:F768), F$2:F768, 0)), MAX(F$2:F768)+1, MAX(F$2:F768)+2)))</f>
        <v/>
      </c>
      <c r="G769">
        <f>IF(NOT(AND(C769=1, TRIM(ERP資料!T769)="捲筒")), 0, IF(MAX(G$2:G768)=0, 1, IF(ERP資料!A769=INDEX(ERP資料!$A$2:$A768, MATCH(MAX(G$2:G768), G$2:G768, 0)), MAX(G$2:G768)+1, MAX(G$2:G768)+2)))</f>
        <v/>
      </c>
      <c r="H769">
        <f>IF(OR(ERP資料!C769="",ERP資料!D769=""),0,ERP資料!D769-ERP資料!C769+1)</f>
        <v/>
      </c>
    </row>
    <row r="770">
      <c r="A770" t="n">
        <v>770</v>
      </c>
      <c r="B770">
        <f>IF(ERP資料!A770="","",ERP資料!A770&amp;"|"&amp;ERP資料!E770&amp;"|"&amp;ERP資料!F770&amp;"|"&amp;ERP資料!G770&amp;"|"&amp;ERP資料!H770&amp;"|"&amp;ERP資料!O770)</f>
        <v/>
      </c>
      <c r="C770">
        <f>IF(B770="",0,IF(COUNTIF(B$2:B769,B770)=0,1,0))</f>
        <v/>
      </c>
      <c r="D770">
        <f>IF(B770="",0,SUMIFS($H$2:$H$801,$B$2:$B$801,B770))</f>
        <v/>
      </c>
      <c r="E770">
        <f>IF(NOT(AND(C770=1, TRIM(ERP資料!T770)="平板")), 0, IF(MAX(E$2:E769)=0, 1, IF(ERP資料!A770=INDEX(ERP資料!$A$2:$A769, MATCH(MAX(E$2:E769), E$2:E769, 0)), MAX(E$2:E769)+1, MAX(E$2:E769)+2)))</f>
        <v/>
      </c>
      <c r="F770">
        <f>IF(NOT(AND(C770=1, TRIM(ERP資料!T770)="平板")), 0, IF(MAX(F$2:F769)=0, 1, IF(ERP資料!A770=INDEX(ERP資料!$A$2:$A769, MATCH(MAX(F$2:F769), F$2:F769, 0)), MAX(F$2:F769)+1, MAX(F$2:F769)+2)))</f>
        <v/>
      </c>
      <c r="G770">
        <f>IF(NOT(AND(C770=1, TRIM(ERP資料!T770)="捲筒")), 0, IF(MAX(G$2:G769)=0, 1, IF(ERP資料!A770=INDEX(ERP資料!$A$2:$A769, MATCH(MAX(G$2:G769), G$2:G769, 0)), MAX(G$2:G769)+1, MAX(G$2:G769)+2)))</f>
        <v/>
      </c>
      <c r="H770">
        <f>IF(OR(ERP資料!C770="",ERP資料!D770=""),0,ERP資料!D770-ERP資料!C770+1)</f>
        <v/>
      </c>
    </row>
    <row r="771">
      <c r="A771" t="n">
        <v>771</v>
      </c>
      <c r="B771">
        <f>IF(ERP資料!A771="","",ERP資料!A771&amp;"|"&amp;ERP資料!E771&amp;"|"&amp;ERP資料!F771&amp;"|"&amp;ERP資料!G771&amp;"|"&amp;ERP資料!H771&amp;"|"&amp;ERP資料!O771)</f>
        <v/>
      </c>
      <c r="C771">
        <f>IF(B771="",0,IF(COUNTIF(B$2:B770,B771)=0,1,0))</f>
        <v/>
      </c>
      <c r="D771">
        <f>IF(B771="",0,SUMIFS($H$2:$H$801,$B$2:$B$801,B771))</f>
        <v/>
      </c>
      <c r="E771">
        <f>IF(NOT(AND(C771=1, TRIM(ERP資料!T771)="平板")), 0, IF(MAX(E$2:E770)=0, 1, IF(ERP資料!A771=INDEX(ERP資料!$A$2:$A770, MATCH(MAX(E$2:E770), E$2:E770, 0)), MAX(E$2:E770)+1, MAX(E$2:E770)+2)))</f>
        <v/>
      </c>
      <c r="F771">
        <f>IF(NOT(AND(C771=1, TRIM(ERP資料!T771)="平板")), 0, IF(MAX(F$2:F770)=0, 1, IF(ERP資料!A771=INDEX(ERP資料!$A$2:$A770, MATCH(MAX(F$2:F770), F$2:F770, 0)), MAX(F$2:F770)+1, MAX(F$2:F770)+2)))</f>
        <v/>
      </c>
      <c r="G771">
        <f>IF(NOT(AND(C771=1, TRIM(ERP資料!T771)="捲筒")), 0, IF(MAX(G$2:G770)=0, 1, IF(ERP資料!A771=INDEX(ERP資料!$A$2:$A770, MATCH(MAX(G$2:G770), G$2:G770, 0)), MAX(G$2:G770)+1, MAX(G$2:G770)+2)))</f>
        <v/>
      </c>
      <c r="H771">
        <f>IF(OR(ERP資料!C771="",ERP資料!D771=""),0,ERP資料!D771-ERP資料!C771+1)</f>
        <v/>
      </c>
    </row>
    <row r="772">
      <c r="A772" t="n">
        <v>772</v>
      </c>
      <c r="B772">
        <f>IF(ERP資料!A772="","",ERP資料!A772&amp;"|"&amp;ERP資料!E772&amp;"|"&amp;ERP資料!F772&amp;"|"&amp;ERP資料!G772&amp;"|"&amp;ERP資料!H772&amp;"|"&amp;ERP資料!O772)</f>
        <v/>
      </c>
      <c r="C772">
        <f>IF(B772="",0,IF(COUNTIF(B$2:B771,B772)=0,1,0))</f>
        <v/>
      </c>
      <c r="D772">
        <f>IF(B772="",0,SUMIFS($H$2:$H$801,$B$2:$B$801,B772))</f>
        <v/>
      </c>
      <c r="E772">
        <f>IF(NOT(AND(C772=1, TRIM(ERP資料!T772)="平板")), 0, IF(MAX(E$2:E771)=0, 1, IF(ERP資料!A772=INDEX(ERP資料!$A$2:$A771, MATCH(MAX(E$2:E771), E$2:E771, 0)), MAX(E$2:E771)+1, MAX(E$2:E771)+2)))</f>
        <v/>
      </c>
      <c r="F772">
        <f>IF(NOT(AND(C772=1, TRIM(ERP資料!T772)="平板")), 0, IF(MAX(F$2:F771)=0, 1, IF(ERP資料!A772=INDEX(ERP資料!$A$2:$A771, MATCH(MAX(F$2:F771), F$2:F771, 0)), MAX(F$2:F771)+1, MAX(F$2:F771)+2)))</f>
        <v/>
      </c>
      <c r="G772">
        <f>IF(NOT(AND(C772=1, TRIM(ERP資料!T772)="捲筒")), 0, IF(MAX(G$2:G771)=0, 1, IF(ERP資料!A772=INDEX(ERP資料!$A$2:$A771, MATCH(MAX(G$2:G771), G$2:G771, 0)), MAX(G$2:G771)+1, MAX(G$2:G771)+2)))</f>
        <v/>
      </c>
      <c r="H772">
        <f>IF(OR(ERP資料!C772="",ERP資料!D772=""),0,ERP資料!D772-ERP資料!C772+1)</f>
        <v/>
      </c>
    </row>
    <row r="773">
      <c r="A773" t="n">
        <v>773</v>
      </c>
      <c r="B773">
        <f>IF(ERP資料!A773="","",ERP資料!A773&amp;"|"&amp;ERP資料!E773&amp;"|"&amp;ERP資料!F773&amp;"|"&amp;ERP資料!G773&amp;"|"&amp;ERP資料!H773&amp;"|"&amp;ERP資料!O773)</f>
        <v/>
      </c>
      <c r="C773">
        <f>IF(B773="",0,IF(COUNTIF(B$2:B772,B773)=0,1,0))</f>
        <v/>
      </c>
      <c r="D773">
        <f>IF(B773="",0,SUMIFS($H$2:$H$801,$B$2:$B$801,B773))</f>
        <v/>
      </c>
      <c r="E773">
        <f>IF(NOT(AND(C773=1, TRIM(ERP資料!T773)="平板")), 0, IF(MAX(E$2:E772)=0, 1, IF(ERP資料!A773=INDEX(ERP資料!$A$2:$A772, MATCH(MAX(E$2:E772), E$2:E772, 0)), MAX(E$2:E772)+1, MAX(E$2:E772)+2)))</f>
        <v/>
      </c>
      <c r="F773">
        <f>IF(NOT(AND(C773=1, TRIM(ERP資料!T773)="平板")), 0, IF(MAX(F$2:F772)=0, 1, IF(ERP資料!A773=INDEX(ERP資料!$A$2:$A772, MATCH(MAX(F$2:F772), F$2:F772, 0)), MAX(F$2:F772)+1, MAX(F$2:F772)+2)))</f>
        <v/>
      </c>
      <c r="G773">
        <f>IF(NOT(AND(C773=1, TRIM(ERP資料!T773)="捲筒")), 0, IF(MAX(G$2:G772)=0, 1, IF(ERP資料!A773=INDEX(ERP資料!$A$2:$A772, MATCH(MAX(G$2:G772), G$2:G772, 0)), MAX(G$2:G772)+1, MAX(G$2:G772)+2)))</f>
        <v/>
      </c>
      <c r="H773">
        <f>IF(OR(ERP資料!C773="",ERP資料!D773=""),0,ERP資料!D773-ERP資料!C773+1)</f>
        <v/>
      </c>
    </row>
    <row r="774">
      <c r="A774" t="n">
        <v>774</v>
      </c>
      <c r="B774">
        <f>IF(ERP資料!A774="","",ERP資料!A774&amp;"|"&amp;ERP資料!E774&amp;"|"&amp;ERP資料!F774&amp;"|"&amp;ERP資料!G774&amp;"|"&amp;ERP資料!H774&amp;"|"&amp;ERP資料!O774)</f>
        <v/>
      </c>
      <c r="C774">
        <f>IF(B774="",0,IF(COUNTIF(B$2:B773,B774)=0,1,0))</f>
        <v/>
      </c>
      <c r="D774">
        <f>IF(B774="",0,SUMIFS($H$2:$H$801,$B$2:$B$801,B774))</f>
        <v/>
      </c>
      <c r="E774">
        <f>IF(NOT(AND(C774=1, TRIM(ERP資料!T774)="平板")), 0, IF(MAX(E$2:E773)=0, 1, IF(ERP資料!A774=INDEX(ERP資料!$A$2:$A773, MATCH(MAX(E$2:E773), E$2:E773, 0)), MAX(E$2:E773)+1, MAX(E$2:E773)+2)))</f>
        <v/>
      </c>
      <c r="F774">
        <f>IF(NOT(AND(C774=1, TRIM(ERP資料!T774)="平板")), 0, IF(MAX(F$2:F773)=0, 1, IF(ERP資料!A774=INDEX(ERP資料!$A$2:$A773, MATCH(MAX(F$2:F773), F$2:F773, 0)), MAX(F$2:F773)+1, MAX(F$2:F773)+2)))</f>
        <v/>
      </c>
      <c r="G774">
        <f>IF(NOT(AND(C774=1, TRIM(ERP資料!T774)="捲筒")), 0, IF(MAX(G$2:G773)=0, 1, IF(ERP資料!A774=INDEX(ERP資料!$A$2:$A773, MATCH(MAX(G$2:G773), G$2:G773, 0)), MAX(G$2:G773)+1, MAX(G$2:G773)+2)))</f>
        <v/>
      </c>
      <c r="H774">
        <f>IF(OR(ERP資料!C774="",ERP資料!D774=""),0,ERP資料!D774-ERP資料!C774+1)</f>
        <v/>
      </c>
    </row>
    <row r="775">
      <c r="A775" t="n">
        <v>775</v>
      </c>
      <c r="B775">
        <f>IF(ERP資料!A775="","",ERP資料!A775&amp;"|"&amp;ERP資料!E775&amp;"|"&amp;ERP資料!F775&amp;"|"&amp;ERP資料!G775&amp;"|"&amp;ERP資料!H775&amp;"|"&amp;ERP資料!O775)</f>
        <v/>
      </c>
      <c r="C775">
        <f>IF(B775="",0,IF(COUNTIF(B$2:B774,B775)=0,1,0))</f>
        <v/>
      </c>
      <c r="D775">
        <f>IF(B775="",0,SUMIFS($H$2:$H$801,$B$2:$B$801,B775))</f>
        <v/>
      </c>
      <c r="E775">
        <f>IF(NOT(AND(C775=1, TRIM(ERP資料!T775)="平板")), 0, IF(MAX(E$2:E774)=0, 1, IF(ERP資料!A775=INDEX(ERP資料!$A$2:$A774, MATCH(MAX(E$2:E774), E$2:E774, 0)), MAX(E$2:E774)+1, MAX(E$2:E774)+2)))</f>
        <v/>
      </c>
      <c r="F775">
        <f>IF(NOT(AND(C775=1, TRIM(ERP資料!T775)="平板")), 0, IF(MAX(F$2:F774)=0, 1, IF(ERP資料!A775=INDEX(ERP資料!$A$2:$A774, MATCH(MAX(F$2:F774), F$2:F774, 0)), MAX(F$2:F774)+1, MAX(F$2:F774)+2)))</f>
        <v/>
      </c>
      <c r="G775">
        <f>IF(NOT(AND(C775=1, TRIM(ERP資料!T775)="捲筒")), 0, IF(MAX(G$2:G774)=0, 1, IF(ERP資料!A775=INDEX(ERP資料!$A$2:$A774, MATCH(MAX(G$2:G774), G$2:G774, 0)), MAX(G$2:G774)+1, MAX(G$2:G774)+2)))</f>
        <v/>
      </c>
      <c r="H775">
        <f>IF(OR(ERP資料!C775="",ERP資料!D775=""),0,ERP資料!D775-ERP資料!C775+1)</f>
        <v/>
      </c>
    </row>
    <row r="776">
      <c r="A776" t="n">
        <v>776</v>
      </c>
      <c r="B776">
        <f>IF(ERP資料!A776="","",ERP資料!A776&amp;"|"&amp;ERP資料!E776&amp;"|"&amp;ERP資料!F776&amp;"|"&amp;ERP資料!G776&amp;"|"&amp;ERP資料!H776&amp;"|"&amp;ERP資料!O776)</f>
        <v/>
      </c>
      <c r="C776">
        <f>IF(B776="",0,IF(COUNTIF(B$2:B775,B776)=0,1,0))</f>
        <v/>
      </c>
      <c r="D776">
        <f>IF(B776="",0,SUMIFS($H$2:$H$801,$B$2:$B$801,B776))</f>
        <v/>
      </c>
      <c r="E776">
        <f>IF(NOT(AND(C776=1, TRIM(ERP資料!T776)="平板")), 0, IF(MAX(E$2:E775)=0, 1, IF(ERP資料!A776=INDEX(ERP資料!$A$2:$A775, MATCH(MAX(E$2:E775), E$2:E775, 0)), MAX(E$2:E775)+1, MAX(E$2:E775)+2)))</f>
        <v/>
      </c>
      <c r="F776">
        <f>IF(NOT(AND(C776=1, TRIM(ERP資料!T776)="平板")), 0, IF(MAX(F$2:F775)=0, 1, IF(ERP資料!A776=INDEX(ERP資料!$A$2:$A775, MATCH(MAX(F$2:F775), F$2:F775, 0)), MAX(F$2:F775)+1, MAX(F$2:F775)+2)))</f>
        <v/>
      </c>
      <c r="G776">
        <f>IF(NOT(AND(C776=1, TRIM(ERP資料!T776)="捲筒")), 0, IF(MAX(G$2:G775)=0, 1, IF(ERP資料!A776=INDEX(ERP資料!$A$2:$A775, MATCH(MAX(G$2:G775), G$2:G775, 0)), MAX(G$2:G775)+1, MAX(G$2:G775)+2)))</f>
        <v/>
      </c>
      <c r="H776">
        <f>IF(OR(ERP資料!C776="",ERP資料!D776=""),0,ERP資料!D776-ERP資料!C776+1)</f>
        <v/>
      </c>
    </row>
    <row r="777">
      <c r="A777" t="n">
        <v>777</v>
      </c>
      <c r="B777">
        <f>IF(ERP資料!A777="","",ERP資料!A777&amp;"|"&amp;ERP資料!E777&amp;"|"&amp;ERP資料!F777&amp;"|"&amp;ERP資料!G777&amp;"|"&amp;ERP資料!H777&amp;"|"&amp;ERP資料!O777)</f>
        <v/>
      </c>
      <c r="C777">
        <f>IF(B777="",0,IF(COUNTIF(B$2:B776,B777)=0,1,0))</f>
        <v/>
      </c>
      <c r="D777">
        <f>IF(B777="",0,SUMIFS($H$2:$H$801,$B$2:$B$801,B777))</f>
        <v/>
      </c>
      <c r="E777">
        <f>IF(NOT(AND(C777=1, TRIM(ERP資料!T777)="平板")), 0, IF(MAX(E$2:E776)=0, 1, IF(ERP資料!A777=INDEX(ERP資料!$A$2:$A776, MATCH(MAX(E$2:E776), E$2:E776, 0)), MAX(E$2:E776)+1, MAX(E$2:E776)+2)))</f>
        <v/>
      </c>
      <c r="F777">
        <f>IF(NOT(AND(C777=1, TRIM(ERP資料!T777)="平板")), 0, IF(MAX(F$2:F776)=0, 1, IF(ERP資料!A777=INDEX(ERP資料!$A$2:$A776, MATCH(MAX(F$2:F776), F$2:F776, 0)), MAX(F$2:F776)+1, MAX(F$2:F776)+2)))</f>
        <v/>
      </c>
      <c r="G777">
        <f>IF(NOT(AND(C777=1, TRIM(ERP資料!T777)="捲筒")), 0, IF(MAX(G$2:G776)=0, 1, IF(ERP資料!A777=INDEX(ERP資料!$A$2:$A776, MATCH(MAX(G$2:G776), G$2:G776, 0)), MAX(G$2:G776)+1, MAX(G$2:G776)+2)))</f>
        <v/>
      </c>
      <c r="H777">
        <f>IF(OR(ERP資料!C777="",ERP資料!D777=""),0,ERP資料!D777-ERP資料!C777+1)</f>
        <v/>
      </c>
    </row>
    <row r="778">
      <c r="A778" t="n">
        <v>778</v>
      </c>
      <c r="B778">
        <f>IF(ERP資料!A778="","",ERP資料!A778&amp;"|"&amp;ERP資料!E778&amp;"|"&amp;ERP資料!F778&amp;"|"&amp;ERP資料!G778&amp;"|"&amp;ERP資料!H778&amp;"|"&amp;ERP資料!O778)</f>
        <v/>
      </c>
      <c r="C778">
        <f>IF(B778="",0,IF(COUNTIF(B$2:B777,B778)=0,1,0))</f>
        <v/>
      </c>
      <c r="D778">
        <f>IF(B778="",0,SUMIFS($H$2:$H$801,$B$2:$B$801,B778))</f>
        <v/>
      </c>
      <c r="E778">
        <f>IF(NOT(AND(C778=1, TRIM(ERP資料!T778)="平板")), 0, IF(MAX(E$2:E777)=0, 1, IF(ERP資料!A778=INDEX(ERP資料!$A$2:$A777, MATCH(MAX(E$2:E777), E$2:E777, 0)), MAX(E$2:E777)+1, MAX(E$2:E777)+2)))</f>
        <v/>
      </c>
      <c r="F778">
        <f>IF(NOT(AND(C778=1, TRIM(ERP資料!T778)="平板")), 0, IF(MAX(F$2:F777)=0, 1, IF(ERP資料!A778=INDEX(ERP資料!$A$2:$A777, MATCH(MAX(F$2:F777), F$2:F777, 0)), MAX(F$2:F777)+1, MAX(F$2:F777)+2)))</f>
        <v/>
      </c>
      <c r="G778">
        <f>IF(NOT(AND(C778=1, TRIM(ERP資料!T778)="捲筒")), 0, IF(MAX(G$2:G777)=0, 1, IF(ERP資料!A778=INDEX(ERP資料!$A$2:$A777, MATCH(MAX(G$2:G777), G$2:G777, 0)), MAX(G$2:G777)+1, MAX(G$2:G777)+2)))</f>
        <v/>
      </c>
      <c r="H778">
        <f>IF(OR(ERP資料!C778="",ERP資料!D778=""),0,ERP資料!D778-ERP資料!C778+1)</f>
        <v/>
      </c>
    </row>
    <row r="779">
      <c r="A779" t="n">
        <v>779</v>
      </c>
      <c r="B779">
        <f>IF(ERP資料!A779="","",ERP資料!A779&amp;"|"&amp;ERP資料!E779&amp;"|"&amp;ERP資料!F779&amp;"|"&amp;ERP資料!G779&amp;"|"&amp;ERP資料!H779&amp;"|"&amp;ERP資料!O779)</f>
        <v/>
      </c>
      <c r="C779">
        <f>IF(B779="",0,IF(COUNTIF(B$2:B778,B779)=0,1,0))</f>
        <v/>
      </c>
      <c r="D779">
        <f>IF(B779="",0,SUMIFS($H$2:$H$801,$B$2:$B$801,B779))</f>
        <v/>
      </c>
      <c r="E779">
        <f>IF(NOT(AND(C779=1, TRIM(ERP資料!T779)="平板")), 0, IF(MAX(E$2:E778)=0, 1, IF(ERP資料!A779=INDEX(ERP資料!$A$2:$A778, MATCH(MAX(E$2:E778), E$2:E778, 0)), MAX(E$2:E778)+1, MAX(E$2:E778)+2)))</f>
        <v/>
      </c>
      <c r="F779">
        <f>IF(NOT(AND(C779=1, TRIM(ERP資料!T779)="平板")), 0, IF(MAX(F$2:F778)=0, 1, IF(ERP資料!A779=INDEX(ERP資料!$A$2:$A778, MATCH(MAX(F$2:F778), F$2:F778, 0)), MAX(F$2:F778)+1, MAX(F$2:F778)+2)))</f>
        <v/>
      </c>
      <c r="G779">
        <f>IF(NOT(AND(C779=1, TRIM(ERP資料!T779)="捲筒")), 0, IF(MAX(G$2:G778)=0, 1, IF(ERP資料!A779=INDEX(ERP資料!$A$2:$A778, MATCH(MAX(G$2:G778), G$2:G778, 0)), MAX(G$2:G778)+1, MAX(G$2:G778)+2)))</f>
        <v/>
      </c>
      <c r="H779">
        <f>IF(OR(ERP資料!C779="",ERP資料!D779=""),0,ERP資料!D779-ERP資料!C779+1)</f>
        <v/>
      </c>
    </row>
    <row r="780">
      <c r="A780" t="n">
        <v>780</v>
      </c>
      <c r="B780">
        <f>IF(ERP資料!A780="","",ERP資料!A780&amp;"|"&amp;ERP資料!E780&amp;"|"&amp;ERP資料!F780&amp;"|"&amp;ERP資料!G780&amp;"|"&amp;ERP資料!H780&amp;"|"&amp;ERP資料!O780)</f>
        <v/>
      </c>
      <c r="C780">
        <f>IF(B780="",0,IF(COUNTIF(B$2:B779,B780)=0,1,0))</f>
        <v/>
      </c>
      <c r="D780">
        <f>IF(B780="",0,SUMIFS($H$2:$H$801,$B$2:$B$801,B780))</f>
        <v/>
      </c>
      <c r="E780">
        <f>IF(NOT(AND(C780=1, TRIM(ERP資料!T780)="平板")), 0, IF(MAX(E$2:E779)=0, 1, IF(ERP資料!A780=INDEX(ERP資料!$A$2:$A779, MATCH(MAX(E$2:E779), E$2:E779, 0)), MAX(E$2:E779)+1, MAX(E$2:E779)+2)))</f>
        <v/>
      </c>
      <c r="F780">
        <f>IF(NOT(AND(C780=1, TRIM(ERP資料!T780)="平板")), 0, IF(MAX(F$2:F779)=0, 1, IF(ERP資料!A780=INDEX(ERP資料!$A$2:$A779, MATCH(MAX(F$2:F779), F$2:F779, 0)), MAX(F$2:F779)+1, MAX(F$2:F779)+2)))</f>
        <v/>
      </c>
      <c r="G780">
        <f>IF(NOT(AND(C780=1, TRIM(ERP資料!T780)="捲筒")), 0, IF(MAX(G$2:G779)=0, 1, IF(ERP資料!A780=INDEX(ERP資料!$A$2:$A779, MATCH(MAX(G$2:G779), G$2:G779, 0)), MAX(G$2:G779)+1, MAX(G$2:G779)+2)))</f>
        <v/>
      </c>
      <c r="H780">
        <f>IF(OR(ERP資料!C780="",ERP資料!D780=""),0,ERP資料!D780-ERP資料!C780+1)</f>
        <v/>
      </c>
    </row>
    <row r="781">
      <c r="A781" t="n">
        <v>781</v>
      </c>
      <c r="B781">
        <f>IF(ERP資料!A781="","",ERP資料!A781&amp;"|"&amp;ERP資料!E781&amp;"|"&amp;ERP資料!F781&amp;"|"&amp;ERP資料!G781&amp;"|"&amp;ERP資料!H781&amp;"|"&amp;ERP資料!O781)</f>
        <v/>
      </c>
      <c r="C781">
        <f>IF(B781="",0,IF(COUNTIF(B$2:B780,B781)=0,1,0))</f>
        <v/>
      </c>
      <c r="D781">
        <f>IF(B781="",0,SUMIFS($H$2:$H$801,$B$2:$B$801,B781))</f>
        <v/>
      </c>
      <c r="E781">
        <f>IF(NOT(AND(C781=1, TRIM(ERP資料!T781)="平板")), 0, IF(MAX(E$2:E780)=0, 1, IF(ERP資料!A781=INDEX(ERP資料!$A$2:$A780, MATCH(MAX(E$2:E780), E$2:E780, 0)), MAX(E$2:E780)+1, MAX(E$2:E780)+2)))</f>
        <v/>
      </c>
      <c r="F781">
        <f>IF(NOT(AND(C781=1, TRIM(ERP資料!T781)="平板")), 0, IF(MAX(F$2:F780)=0, 1, IF(ERP資料!A781=INDEX(ERP資料!$A$2:$A780, MATCH(MAX(F$2:F780), F$2:F780, 0)), MAX(F$2:F780)+1, MAX(F$2:F780)+2)))</f>
        <v/>
      </c>
      <c r="G781">
        <f>IF(NOT(AND(C781=1, TRIM(ERP資料!T781)="捲筒")), 0, IF(MAX(G$2:G780)=0, 1, IF(ERP資料!A781=INDEX(ERP資料!$A$2:$A780, MATCH(MAX(G$2:G780), G$2:G780, 0)), MAX(G$2:G780)+1, MAX(G$2:G780)+2)))</f>
        <v/>
      </c>
      <c r="H781">
        <f>IF(OR(ERP資料!C781="",ERP資料!D781=""),0,ERP資料!D781-ERP資料!C781+1)</f>
        <v/>
      </c>
    </row>
    <row r="782">
      <c r="A782" t="n">
        <v>782</v>
      </c>
      <c r="B782">
        <f>IF(ERP資料!A782="","",ERP資料!A782&amp;"|"&amp;ERP資料!E782&amp;"|"&amp;ERP資料!F782&amp;"|"&amp;ERP資料!G782&amp;"|"&amp;ERP資料!H782&amp;"|"&amp;ERP資料!O782)</f>
        <v/>
      </c>
      <c r="C782">
        <f>IF(B782="",0,IF(COUNTIF(B$2:B781,B782)=0,1,0))</f>
        <v/>
      </c>
      <c r="D782">
        <f>IF(B782="",0,SUMIFS($H$2:$H$801,$B$2:$B$801,B782))</f>
        <v/>
      </c>
      <c r="E782">
        <f>IF(NOT(AND(C782=1, TRIM(ERP資料!T782)="平板")), 0, IF(MAX(E$2:E781)=0, 1, IF(ERP資料!A782=INDEX(ERP資料!$A$2:$A781, MATCH(MAX(E$2:E781), E$2:E781, 0)), MAX(E$2:E781)+1, MAX(E$2:E781)+2)))</f>
        <v/>
      </c>
      <c r="F782">
        <f>IF(NOT(AND(C782=1, TRIM(ERP資料!T782)="平板")), 0, IF(MAX(F$2:F781)=0, 1, IF(ERP資料!A782=INDEX(ERP資料!$A$2:$A781, MATCH(MAX(F$2:F781), F$2:F781, 0)), MAX(F$2:F781)+1, MAX(F$2:F781)+2)))</f>
        <v/>
      </c>
      <c r="G782">
        <f>IF(NOT(AND(C782=1, TRIM(ERP資料!T782)="捲筒")), 0, IF(MAX(G$2:G781)=0, 1, IF(ERP資料!A782=INDEX(ERP資料!$A$2:$A781, MATCH(MAX(G$2:G781), G$2:G781, 0)), MAX(G$2:G781)+1, MAX(G$2:G781)+2)))</f>
        <v/>
      </c>
      <c r="H782">
        <f>IF(OR(ERP資料!C782="",ERP資料!D782=""),0,ERP資料!D782-ERP資料!C782+1)</f>
        <v/>
      </c>
    </row>
    <row r="783">
      <c r="A783" t="n">
        <v>783</v>
      </c>
      <c r="B783">
        <f>IF(ERP資料!A783="","",ERP資料!A783&amp;"|"&amp;ERP資料!E783&amp;"|"&amp;ERP資料!F783&amp;"|"&amp;ERP資料!G783&amp;"|"&amp;ERP資料!H783&amp;"|"&amp;ERP資料!O783)</f>
        <v/>
      </c>
      <c r="C783">
        <f>IF(B783="",0,IF(COUNTIF(B$2:B782,B783)=0,1,0))</f>
        <v/>
      </c>
      <c r="D783">
        <f>IF(B783="",0,SUMIFS($H$2:$H$801,$B$2:$B$801,B783))</f>
        <v/>
      </c>
      <c r="E783">
        <f>IF(NOT(AND(C783=1, TRIM(ERP資料!T783)="平板")), 0, IF(MAX(E$2:E782)=0, 1, IF(ERP資料!A783=INDEX(ERP資料!$A$2:$A782, MATCH(MAX(E$2:E782), E$2:E782, 0)), MAX(E$2:E782)+1, MAX(E$2:E782)+2)))</f>
        <v/>
      </c>
      <c r="F783">
        <f>IF(NOT(AND(C783=1, TRIM(ERP資料!T783)="平板")), 0, IF(MAX(F$2:F782)=0, 1, IF(ERP資料!A783=INDEX(ERP資料!$A$2:$A782, MATCH(MAX(F$2:F782), F$2:F782, 0)), MAX(F$2:F782)+1, MAX(F$2:F782)+2)))</f>
        <v/>
      </c>
      <c r="G783">
        <f>IF(NOT(AND(C783=1, TRIM(ERP資料!T783)="捲筒")), 0, IF(MAX(G$2:G782)=0, 1, IF(ERP資料!A783=INDEX(ERP資料!$A$2:$A782, MATCH(MAX(G$2:G782), G$2:G782, 0)), MAX(G$2:G782)+1, MAX(G$2:G782)+2)))</f>
        <v/>
      </c>
      <c r="H783">
        <f>IF(OR(ERP資料!C783="",ERP資料!D783=""),0,ERP資料!D783-ERP資料!C783+1)</f>
        <v/>
      </c>
    </row>
    <row r="784">
      <c r="A784" t="n">
        <v>784</v>
      </c>
      <c r="B784">
        <f>IF(ERP資料!A784="","",ERP資料!A784&amp;"|"&amp;ERP資料!E784&amp;"|"&amp;ERP資料!F784&amp;"|"&amp;ERP資料!G784&amp;"|"&amp;ERP資料!H784&amp;"|"&amp;ERP資料!O784)</f>
        <v/>
      </c>
      <c r="C784">
        <f>IF(B784="",0,IF(COUNTIF(B$2:B783,B784)=0,1,0))</f>
        <v/>
      </c>
      <c r="D784">
        <f>IF(B784="",0,SUMIFS($H$2:$H$801,$B$2:$B$801,B784))</f>
        <v/>
      </c>
      <c r="E784">
        <f>IF(NOT(AND(C784=1, TRIM(ERP資料!T784)="平板")), 0, IF(MAX(E$2:E783)=0, 1, IF(ERP資料!A784=INDEX(ERP資料!$A$2:$A783, MATCH(MAX(E$2:E783), E$2:E783, 0)), MAX(E$2:E783)+1, MAX(E$2:E783)+2)))</f>
        <v/>
      </c>
      <c r="F784">
        <f>IF(NOT(AND(C784=1, TRIM(ERP資料!T784)="平板")), 0, IF(MAX(F$2:F783)=0, 1, IF(ERP資料!A784=INDEX(ERP資料!$A$2:$A783, MATCH(MAX(F$2:F783), F$2:F783, 0)), MAX(F$2:F783)+1, MAX(F$2:F783)+2)))</f>
        <v/>
      </c>
      <c r="G784">
        <f>IF(NOT(AND(C784=1, TRIM(ERP資料!T784)="捲筒")), 0, IF(MAX(G$2:G783)=0, 1, IF(ERP資料!A784=INDEX(ERP資料!$A$2:$A783, MATCH(MAX(G$2:G783), G$2:G783, 0)), MAX(G$2:G783)+1, MAX(G$2:G783)+2)))</f>
        <v/>
      </c>
      <c r="H784">
        <f>IF(OR(ERP資料!C784="",ERP資料!D784=""),0,ERP資料!D784-ERP資料!C784+1)</f>
        <v/>
      </c>
    </row>
    <row r="785">
      <c r="A785" t="n">
        <v>785</v>
      </c>
      <c r="B785">
        <f>IF(ERP資料!A785="","",ERP資料!A785&amp;"|"&amp;ERP資料!E785&amp;"|"&amp;ERP資料!F785&amp;"|"&amp;ERP資料!G785&amp;"|"&amp;ERP資料!H785&amp;"|"&amp;ERP資料!O785)</f>
        <v/>
      </c>
      <c r="C785">
        <f>IF(B785="",0,IF(COUNTIF(B$2:B784,B785)=0,1,0))</f>
        <v/>
      </c>
      <c r="D785">
        <f>IF(B785="",0,SUMIFS($H$2:$H$801,$B$2:$B$801,B785))</f>
        <v/>
      </c>
      <c r="E785">
        <f>IF(NOT(AND(C785=1, TRIM(ERP資料!T785)="平板")), 0, IF(MAX(E$2:E784)=0, 1, IF(ERP資料!A785=INDEX(ERP資料!$A$2:$A784, MATCH(MAX(E$2:E784), E$2:E784, 0)), MAX(E$2:E784)+1, MAX(E$2:E784)+2)))</f>
        <v/>
      </c>
      <c r="F785">
        <f>IF(NOT(AND(C785=1, TRIM(ERP資料!T785)="平板")), 0, IF(MAX(F$2:F784)=0, 1, IF(ERP資料!A785=INDEX(ERP資料!$A$2:$A784, MATCH(MAX(F$2:F784), F$2:F784, 0)), MAX(F$2:F784)+1, MAX(F$2:F784)+2)))</f>
        <v/>
      </c>
      <c r="G785">
        <f>IF(NOT(AND(C785=1, TRIM(ERP資料!T785)="捲筒")), 0, IF(MAX(G$2:G784)=0, 1, IF(ERP資料!A785=INDEX(ERP資料!$A$2:$A784, MATCH(MAX(G$2:G784), G$2:G784, 0)), MAX(G$2:G784)+1, MAX(G$2:G784)+2)))</f>
        <v/>
      </c>
      <c r="H785">
        <f>IF(OR(ERP資料!C785="",ERP資料!D785=""),0,ERP資料!D785-ERP資料!C785+1)</f>
        <v/>
      </c>
    </row>
    <row r="786">
      <c r="A786" t="n">
        <v>786</v>
      </c>
      <c r="B786">
        <f>IF(ERP資料!A786="","",ERP資料!A786&amp;"|"&amp;ERP資料!E786&amp;"|"&amp;ERP資料!F786&amp;"|"&amp;ERP資料!G786&amp;"|"&amp;ERP資料!H786&amp;"|"&amp;ERP資料!O786)</f>
        <v/>
      </c>
      <c r="C786">
        <f>IF(B786="",0,IF(COUNTIF(B$2:B785,B786)=0,1,0))</f>
        <v/>
      </c>
      <c r="D786">
        <f>IF(B786="",0,SUMIFS($H$2:$H$801,$B$2:$B$801,B786))</f>
        <v/>
      </c>
      <c r="E786">
        <f>IF(NOT(AND(C786=1, TRIM(ERP資料!T786)="平板")), 0, IF(MAX(E$2:E785)=0, 1, IF(ERP資料!A786=INDEX(ERP資料!$A$2:$A785, MATCH(MAX(E$2:E785), E$2:E785, 0)), MAX(E$2:E785)+1, MAX(E$2:E785)+2)))</f>
        <v/>
      </c>
      <c r="F786">
        <f>IF(NOT(AND(C786=1, TRIM(ERP資料!T786)="平板")), 0, IF(MAX(F$2:F785)=0, 1, IF(ERP資料!A786=INDEX(ERP資料!$A$2:$A785, MATCH(MAX(F$2:F785), F$2:F785, 0)), MAX(F$2:F785)+1, MAX(F$2:F785)+2)))</f>
        <v/>
      </c>
      <c r="G786">
        <f>IF(NOT(AND(C786=1, TRIM(ERP資料!T786)="捲筒")), 0, IF(MAX(G$2:G785)=0, 1, IF(ERP資料!A786=INDEX(ERP資料!$A$2:$A785, MATCH(MAX(G$2:G785), G$2:G785, 0)), MAX(G$2:G785)+1, MAX(G$2:G785)+2)))</f>
        <v/>
      </c>
      <c r="H786">
        <f>IF(OR(ERP資料!C786="",ERP資料!D786=""),0,ERP資料!D786-ERP資料!C786+1)</f>
        <v/>
      </c>
    </row>
    <row r="787">
      <c r="A787" t="n">
        <v>787</v>
      </c>
      <c r="B787">
        <f>IF(ERP資料!A787="","",ERP資料!A787&amp;"|"&amp;ERP資料!E787&amp;"|"&amp;ERP資料!F787&amp;"|"&amp;ERP資料!G787&amp;"|"&amp;ERP資料!H787&amp;"|"&amp;ERP資料!O787)</f>
        <v/>
      </c>
      <c r="C787">
        <f>IF(B787="",0,IF(COUNTIF(B$2:B786,B787)=0,1,0))</f>
        <v/>
      </c>
      <c r="D787">
        <f>IF(B787="",0,SUMIFS($H$2:$H$801,$B$2:$B$801,B787))</f>
        <v/>
      </c>
      <c r="E787">
        <f>IF(NOT(AND(C787=1, TRIM(ERP資料!T787)="平板")), 0, IF(MAX(E$2:E786)=0, 1, IF(ERP資料!A787=INDEX(ERP資料!$A$2:$A786, MATCH(MAX(E$2:E786), E$2:E786, 0)), MAX(E$2:E786)+1, MAX(E$2:E786)+2)))</f>
        <v/>
      </c>
      <c r="F787">
        <f>IF(NOT(AND(C787=1, TRIM(ERP資料!T787)="平板")), 0, IF(MAX(F$2:F786)=0, 1, IF(ERP資料!A787=INDEX(ERP資料!$A$2:$A786, MATCH(MAX(F$2:F786), F$2:F786, 0)), MAX(F$2:F786)+1, MAX(F$2:F786)+2)))</f>
        <v/>
      </c>
      <c r="G787">
        <f>IF(NOT(AND(C787=1, TRIM(ERP資料!T787)="捲筒")), 0, IF(MAX(G$2:G786)=0, 1, IF(ERP資料!A787=INDEX(ERP資料!$A$2:$A786, MATCH(MAX(G$2:G786), G$2:G786, 0)), MAX(G$2:G786)+1, MAX(G$2:G786)+2)))</f>
        <v/>
      </c>
      <c r="H787">
        <f>IF(OR(ERP資料!C787="",ERP資料!D787=""),0,ERP資料!D787-ERP資料!C787+1)</f>
        <v/>
      </c>
    </row>
    <row r="788">
      <c r="A788" t="n">
        <v>788</v>
      </c>
      <c r="B788">
        <f>IF(ERP資料!A788="","",ERP資料!A788&amp;"|"&amp;ERP資料!E788&amp;"|"&amp;ERP資料!F788&amp;"|"&amp;ERP資料!G788&amp;"|"&amp;ERP資料!H788&amp;"|"&amp;ERP資料!O788)</f>
        <v/>
      </c>
      <c r="C788">
        <f>IF(B788="",0,IF(COUNTIF(B$2:B787,B788)=0,1,0))</f>
        <v/>
      </c>
      <c r="D788">
        <f>IF(B788="",0,SUMIFS($H$2:$H$801,$B$2:$B$801,B788))</f>
        <v/>
      </c>
      <c r="E788">
        <f>IF(NOT(AND(C788=1, TRIM(ERP資料!T788)="平板")), 0, IF(MAX(E$2:E787)=0, 1, IF(ERP資料!A788=INDEX(ERP資料!$A$2:$A787, MATCH(MAX(E$2:E787), E$2:E787, 0)), MAX(E$2:E787)+1, MAX(E$2:E787)+2)))</f>
        <v/>
      </c>
      <c r="F788">
        <f>IF(NOT(AND(C788=1, TRIM(ERP資料!T788)="平板")), 0, IF(MAX(F$2:F787)=0, 1, IF(ERP資料!A788=INDEX(ERP資料!$A$2:$A787, MATCH(MAX(F$2:F787), F$2:F787, 0)), MAX(F$2:F787)+1, MAX(F$2:F787)+2)))</f>
        <v/>
      </c>
      <c r="G788">
        <f>IF(NOT(AND(C788=1, TRIM(ERP資料!T788)="捲筒")), 0, IF(MAX(G$2:G787)=0, 1, IF(ERP資料!A788=INDEX(ERP資料!$A$2:$A787, MATCH(MAX(G$2:G787), G$2:G787, 0)), MAX(G$2:G787)+1, MAX(G$2:G787)+2)))</f>
        <v/>
      </c>
      <c r="H788">
        <f>IF(OR(ERP資料!C788="",ERP資料!D788=""),0,ERP資料!D788-ERP資料!C788+1)</f>
        <v/>
      </c>
    </row>
    <row r="789">
      <c r="A789" t="n">
        <v>789</v>
      </c>
      <c r="B789">
        <f>IF(ERP資料!A789="","",ERP資料!A789&amp;"|"&amp;ERP資料!E789&amp;"|"&amp;ERP資料!F789&amp;"|"&amp;ERP資料!G789&amp;"|"&amp;ERP資料!H789&amp;"|"&amp;ERP資料!O789)</f>
        <v/>
      </c>
      <c r="C789">
        <f>IF(B789="",0,IF(COUNTIF(B$2:B788,B789)=0,1,0))</f>
        <v/>
      </c>
      <c r="D789">
        <f>IF(B789="",0,SUMIFS($H$2:$H$801,$B$2:$B$801,B789))</f>
        <v/>
      </c>
      <c r="E789">
        <f>IF(NOT(AND(C789=1, TRIM(ERP資料!T789)="平板")), 0, IF(MAX(E$2:E788)=0, 1, IF(ERP資料!A789=INDEX(ERP資料!$A$2:$A788, MATCH(MAX(E$2:E788), E$2:E788, 0)), MAX(E$2:E788)+1, MAX(E$2:E788)+2)))</f>
        <v/>
      </c>
      <c r="F789">
        <f>IF(NOT(AND(C789=1, TRIM(ERP資料!T789)="平板")), 0, IF(MAX(F$2:F788)=0, 1, IF(ERP資料!A789=INDEX(ERP資料!$A$2:$A788, MATCH(MAX(F$2:F788), F$2:F788, 0)), MAX(F$2:F788)+1, MAX(F$2:F788)+2)))</f>
        <v/>
      </c>
      <c r="G789">
        <f>IF(NOT(AND(C789=1, TRIM(ERP資料!T789)="捲筒")), 0, IF(MAX(G$2:G788)=0, 1, IF(ERP資料!A789=INDEX(ERP資料!$A$2:$A788, MATCH(MAX(G$2:G788), G$2:G788, 0)), MAX(G$2:G788)+1, MAX(G$2:G788)+2)))</f>
        <v/>
      </c>
      <c r="H789">
        <f>IF(OR(ERP資料!C789="",ERP資料!D789=""),0,ERP資料!D789-ERP資料!C789+1)</f>
        <v/>
      </c>
    </row>
    <row r="790">
      <c r="A790" t="n">
        <v>790</v>
      </c>
      <c r="B790">
        <f>IF(ERP資料!A790="","",ERP資料!A790&amp;"|"&amp;ERP資料!E790&amp;"|"&amp;ERP資料!F790&amp;"|"&amp;ERP資料!G790&amp;"|"&amp;ERP資料!H790&amp;"|"&amp;ERP資料!O790)</f>
        <v/>
      </c>
      <c r="C790">
        <f>IF(B790="",0,IF(COUNTIF(B$2:B789,B790)=0,1,0))</f>
        <v/>
      </c>
      <c r="D790">
        <f>IF(B790="",0,SUMIFS($H$2:$H$801,$B$2:$B$801,B790))</f>
        <v/>
      </c>
      <c r="E790">
        <f>IF(NOT(AND(C790=1, TRIM(ERP資料!T790)="平板")), 0, IF(MAX(E$2:E789)=0, 1, IF(ERP資料!A790=INDEX(ERP資料!$A$2:$A789, MATCH(MAX(E$2:E789), E$2:E789, 0)), MAX(E$2:E789)+1, MAX(E$2:E789)+2)))</f>
        <v/>
      </c>
      <c r="F790">
        <f>IF(NOT(AND(C790=1, TRIM(ERP資料!T790)="平板")), 0, IF(MAX(F$2:F789)=0, 1, IF(ERP資料!A790=INDEX(ERP資料!$A$2:$A789, MATCH(MAX(F$2:F789), F$2:F789, 0)), MAX(F$2:F789)+1, MAX(F$2:F789)+2)))</f>
        <v/>
      </c>
      <c r="G790">
        <f>IF(NOT(AND(C790=1, TRIM(ERP資料!T790)="捲筒")), 0, IF(MAX(G$2:G789)=0, 1, IF(ERP資料!A790=INDEX(ERP資料!$A$2:$A789, MATCH(MAX(G$2:G789), G$2:G789, 0)), MAX(G$2:G789)+1, MAX(G$2:G789)+2)))</f>
        <v/>
      </c>
      <c r="H790">
        <f>IF(OR(ERP資料!C790="",ERP資料!D790=""),0,ERP資料!D790-ERP資料!C790+1)</f>
        <v/>
      </c>
    </row>
    <row r="791">
      <c r="A791" t="n">
        <v>791</v>
      </c>
      <c r="B791">
        <f>IF(ERP資料!A791="","",ERP資料!A791&amp;"|"&amp;ERP資料!E791&amp;"|"&amp;ERP資料!F791&amp;"|"&amp;ERP資料!G791&amp;"|"&amp;ERP資料!H791&amp;"|"&amp;ERP資料!O791)</f>
        <v/>
      </c>
      <c r="C791">
        <f>IF(B791="",0,IF(COUNTIF(B$2:B790,B791)=0,1,0))</f>
        <v/>
      </c>
      <c r="D791">
        <f>IF(B791="",0,SUMIFS($H$2:$H$801,$B$2:$B$801,B791))</f>
        <v/>
      </c>
      <c r="E791">
        <f>IF(NOT(AND(C791=1, TRIM(ERP資料!T791)="平板")), 0, IF(MAX(E$2:E790)=0, 1, IF(ERP資料!A791=INDEX(ERP資料!$A$2:$A790, MATCH(MAX(E$2:E790), E$2:E790, 0)), MAX(E$2:E790)+1, MAX(E$2:E790)+2)))</f>
        <v/>
      </c>
      <c r="F791">
        <f>IF(NOT(AND(C791=1, TRIM(ERP資料!T791)="平板")), 0, IF(MAX(F$2:F790)=0, 1, IF(ERP資料!A791=INDEX(ERP資料!$A$2:$A790, MATCH(MAX(F$2:F790), F$2:F790, 0)), MAX(F$2:F790)+1, MAX(F$2:F790)+2)))</f>
        <v/>
      </c>
      <c r="G791">
        <f>IF(NOT(AND(C791=1, TRIM(ERP資料!T791)="捲筒")), 0, IF(MAX(G$2:G790)=0, 1, IF(ERP資料!A791=INDEX(ERP資料!$A$2:$A790, MATCH(MAX(G$2:G790), G$2:G790, 0)), MAX(G$2:G790)+1, MAX(G$2:G790)+2)))</f>
        <v/>
      </c>
      <c r="H791">
        <f>IF(OR(ERP資料!C791="",ERP資料!D791=""),0,ERP資料!D791-ERP資料!C791+1)</f>
        <v/>
      </c>
    </row>
    <row r="792">
      <c r="A792" t="n">
        <v>792</v>
      </c>
      <c r="B792">
        <f>IF(ERP資料!A792="","",ERP資料!A792&amp;"|"&amp;ERP資料!E792&amp;"|"&amp;ERP資料!F792&amp;"|"&amp;ERP資料!G792&amp;"|"&amp;ERP資料!H792&amp;"|"&amp;ERP資料!O792)</f>
        <v/>
      </c>
      <c r="C792">
        <f>IF(B792="",0,IF(COUNTIF(B$2:B791,B792)=0,1,0))</f>
        <v/>
      </c>
      <c r="D792">
        <f>IF(B792="",0,SUMIFS($H$2:$H$801,$B$2:$B$801,B792))</f>
        <v/>
      </c>
      <c r="E792">
        <f>IF(NOT(AND(C792=1, TRIM(ERP資料!T792)="平板")), 0, IF(MAX(E$2:E791)=0, 1, IF(ERP資料!A792=INDEX(ERP資料!$A$2:$A791, MATCH(MAX(E$2:E791), E$2:E791, 0)), MAX(E$2:E791)+1, MAX(E$2:E791)+2)))</f>
        <v/>
      </c>
      <c r="F792">
        <f>IF(NOT(AND(C792=1, TRIM(ERP資料!T792)="平板")), 0, IF(MAX(F$2:F791)=0, 1, IF(ERP資料!A792=INDEX(ERP資料!$A$2:$A791, MATCH(MAX(F$2:F791), F$2:F791, 0)), MAX(F$2:F791)+1, MAX(F$2:F791)+2)))</f>
        <v/>
      </c>
      <c r="G792">
        <f>IF(NOT(AND(C792=1, TRIM(ERP資料!T792)="捲筒")), 0, IF(MAX(G$2:G791)=0, 1, IF(ERP資料!A792=INDEX(ERP資料!$A$2:$A791, MATCH(MAX(G$2:G791), G$2:G791, 0)), MAX(G$2:G791)+1, MAX(G$2:G791)+2)))</f>
        <v/>
      </c>
      <c r="H792">
        <f>IF(OR(ERP資料!C792="",ERP資料!D792=""),0,ERP資料!D792-ERP資料!C792+1)</f>
        <v/>
      </c>
    </row>
    <row r="793">
      <c r="A793" t="n">
        <v>793</v>
      </c>
      <c r="B793">
        <f>IF(ERP資料!A793="","",ERP資料!A793&amp;"|"&amp;ERP資料!E793&amp;"|"&amp;ERP資料!F793&amp;"|"&amp;ERP資料!G793&amp;"|"&amp;ERP資料!H793&amp;"|"&amp;ERP資料!O793)</f>
        <v/>
      </c>
      <c r="C793">
        <f>IF(B793="",0,IF(COUNTIF(B$2:B792,B793)=0,1,0))</f>
        <v/>
      </c>
      <c r="D793">
        <f>IF(B793="",0,SUMIFS($H$2:$H$801,$B$2:$B$801,B793))</f>
        <v/>
      </c>
      <c r="E793">
        <f>IF(NOT(AND(C793=1, TRIM(ERP資料!T793)="平板")), 0, IF(MAX(E$2:E792)=0, 1, IF(ERP資料!A793=INDEX(ERP資料!$A$2:$A792, MATCH(MAX(E$2:E792), E$2:E792, 0)), MAX(E$2:E792)+1, MAX(E$2:E792)+2)))</f>
        <v/>
      </c>
      <c r="F793">
        <f>IF(NOT(AND(C793=1, TRIM(ERP資料!T793)="平板")), 0, IF(MAX(F$2:F792)=0, 1, IF(ERP資料!A793=INDEX(ERP資料!$A$2:$A792, MATCH(MAX(F$2:F792), F$2:F792, 0)), MAX(F$2:F792)+1, MAX(F$2:F792)+2)))</f>
        <v/>
      </c>
      <c r="G793">
        <f>IF(NOT(AND(C793=1, TRIM(ERP資料!T793)="捲筒")), 0, IF(MAX(G$2:G792)=0, 1, IF(ERP資料!A793=INDEX(ERP資料!$A$2:$A792, MATCH(MAX(G$2:G792), G$2:G792, 0)), MAX(G$2:G792)+1, MAX(G$2:G792)+2)))</f>
        <v/>
      </c>
      <c r="H793">
        <f>IF(OR(ERP資料!C793="",ERP資料!D793=""),0,ERP資料!D793-ERP資料!C793+1)</f>
        <v/>
      </c>
    </row>
    <row r="794">
      <c r="A794" t="n">
        <v>794</v>
      </c>
      <c r="B794">
        <f>IF(ERP資料!A794="","",ERP資料!A794&amp;"|"&amp;ERP資料!E794&amp;"|"&amp;ERP資料!F794&amp;"|"&amp;ERP資料!G794&amp;"|"&amp;ERP資料!H794&amp;"|"&amp;ERP資料!O794)</f>
        <v/>
      </c>
      <c r="C794">
        <f>IF(B794="",0,IF(COUNTIF(B$2:B793,B794)=0,1,0))</f>
        <v/>
      </c>
      <c r="D794">
        <f>IF(B794="",0,SUMIFS($H$2:$H$801,$B$2:$B$801,B794))</f>
        <v/>
      </c>
      <c r="E794">
        <f>IF(NOT(AND(C794=1, TRIM(ERP資料!T794)="平板")), 0, IF(MAX(E$2:E793)=0, 1, IF(ERP資料!A794=INDEX(ERP資料!$A$2:$A793, MATCH(MAX(E$2:E793), E$2:E793, 0)), MAX(E$2:E793)+1, MAX(E$2:E793)+2)))</f>
        <v/>
      </c>
      <c r="F794">
        <f>IF(NOT(AND(C794=1, TRIM(ERP資料!T794)="平板")), 0, IF(MAX(F$2:F793)=0, 1, IF(ERP資料!A794=INDEX(ERP資料!$A$2:$A793, MATCH(MAX(F$2:F793), F$2:F793, 0)), MAX(F$2:F793)+1, MAX(F$2:F793)+2)))</f>
        <v/>
      </c>
      <c r="G794">
        <f>IF(NOT(AND(C794=1, TRIM(ERP資料!T794)="捲筒")), 0, IF(MAX(G$2:G793)=0, 1, IF(ERP資料!A794=INDEX(ERP資料!$A$2:$A793, MATCH(MAX(G$2:G793), G$2:G793, 0)), MAX(G$2:G793)+1, MAX(G$2:G793)+2)))</f>
        <v/>
      </c>
      <c r="H794">
        <f>IF(OR(ERP資料!C794="",ERP資料!D794=""),0,ERP資料!D794-ERP資料!C794+1)</f>
        <v/>
      </c>
    </row>
    <row r="795">
      <c r="A795" t="n">
        <v>795</v>
      </c>
      <c r="B795">
        <f>IF(ERP資料!A795="","",ERP資料!A795&amp;"|"&amp;ERP資料!E795&amp;"|"&amp;ERP資料!F795&amp;"|"&amp;ERP資料!G795&amp;"|"&amp;ERP資料!H795&amp;"|"&amp;ERP資料!O795)</f>
        <v/>
      </c>
      <c r="C795">
        <f>IF(B795="",0,IF(COUNTIF(B$2:B794,B795)=0,1,0))</f>
        <v/>
      </c>
      <c r="D795">
        <f>IF(B795="",0,SUMIFS($H$2:$H$801,$B$2:$B$801,B795))</f>
        <v/>
      </c>
      <c r="E795">
        <f>IF(NOT(AND(C795=1, TRIM(ERP資料!T795)="平板")), 0, IF(MAX(E$2:E794)=0, 1, IF(ERP資料!A795=INDEX(ERP資料!$A$2:$A794, MATCH(MAX(E$2:E794), E$2:E794, 0)), MAX(E$2:E794)+1, MAX(E$2:E794)+2)))</f>
        <v/>
      </c>
      <c r="F795">
        <f>IF(NOT(AND(C795=1, TRIM(ERP資料!T795)="平板")), 0, IF(MAX(F$2:F794)=0, 1, IF(ERP資料!A795=INDEX(ERP資料!$A$2:$A794, MATCH(MAX(F$2:F794), F$2:F794, 0)), MAX(F$2:F794)+1, MAX(F$2:F794)+2)))</f>
        <v/>
      </c>
      <c r="G795">
        <f>IF(NOT(AND(C795=1, TRIM(ERP資料!T795)="捲筒")), 0, IF(MAX(G$2:G794)=0, 1, IF(ERP資料!A795=INDEX(ERP資料!$A$2:$A794, MATCH(MAX(G$2:G794), G$2:G794, 0)), MAX(G$2:G794)+1, MAX(G$2:G794)+2)))</f>
        <v/>
      </c>
      <c r="H795">
        <f>IF(OR(ERP資料!C795="",ERP資料!D795=""),0,ERP資料!D795-ERP資料!C795+1)</f>
        <v/>
      </c>
    </row>
    <row r="796">
      <c r="A796" t="n">
        <v>796</v>
      </c>
      <c r="B796">
        <f>IF(ERP資料!A796="","",ERP資料!A796&amp;"|"&amp;ERP資料!E796&amp;"|"&amp;ERP資料!F796&amp;"|"&amp;ERP資料!G796&amp;"|"&amp;ERP資料!H796&amp;"|"&amp;ERP資料!O796)</f>
        <v/>
      </c>
      <c r="C796">
        <f>IF(B796="",0,IF(COUNTIF(B$2:B795,B796)=0,1,0))</f>
        <v/>
      </c>
      <c r="D796">
        <f>IF(B796="",0,SUMIFS($H$2:$H$801,$B$2:$B$801,B796))</f>
        <v/>
      </c>
      <c r="E796">
        <f>IF(NOT(AND(C796=1, TRIM(ERP資料!T796)="平板")), 0, IF(MAX(E$2:E795)=0, 1, IF(ERP資料!A796=INDEX(ERP資料!$A$2:$A795, MATCH(MAX(E$2:E795), E$2:E795, 0)), MAX(E$2:E795)+1, MAX(E$2:E795)+2)))</f>
        <v/>
      </c>
      <c r="F796">
        <f>IF(NOT(AND(C796=1, TRIM(ERP資料!T796)="平板")), 0, IF(MAX(F$2:F795)=0, 1, IF(ERP資料!A796=INDEX(ERP資料!$A$2:$A795, MATCH(MAX(F$2:F795), F$2:F795, 0)), MAX(F$2:F795)+1, MAX(F$2:F795)+2)))</f>
        <v/>
      </c>
      <c r="G796">
        <f>IF(NOT(AND(C796=1, TRIM(ERP資料!T796)="捲筒")), 0, IF(MAX(G$2:G795)=0, 1, IF(ERP資料!A796=INDEX(ERP資料!$A$2:$A795, MATCH(MAX(G$2:G795), G$2:G795, 0)), MAX(G$2:G795)+1, MAX(G$2:G795)+2)))</f>
        <v/>
      </c>
      <c r="H796">
        <f>IF(OR(ERP資料!C796="",ERP資料!D796=""),0,ERP資料!D796-ERP資料!C796+1)</f>
        <v/>
      </c>
    </row>
    <row r="797">
      <c r="A797" t="n">
        <v>797</v>
      </c>
      <c r="B797">
        <f>IF(ERP資料!A797="","",ERP資料!A797&amp;"|"&amp;ERP資料!E797&amp;"|"&amp;ERP資料!F797&amp;"|"&amp;ERP資料!G797&amp;"|"&amp;ERP資料!H797&amp;"|"&amp;ERP資料!O797)</f>
        <v/>
      </c>
      <c r="C797">
        <f>IF(B797="",0,IF(COUNTIF(B$2:B796,B797)=0,1,0))</f>
        <v/>
      </c>
      <c r="D797">
        <f>IF(B797="",0,SUMIFS($H$2:$H$801,$B$2:$B$801,B797))</f>
        <v/>
      </c>
      <c r="E797">
        <f>IF(NOT(AND(C797=1, TRIM(ERP資料!T797)="平板")), 0, IF(MAX(E$2:E796)=0, 1, IF(ERP資料!A797=INDEX(ERP資料!$A$2:$A796, MATCH(MAX(E$2:E796), E$2:E796, 0)), MAX(E$2:E796)+1, MAX(E$2:E796)+2)))</f>
        <v/>
      </c>
      <c r="F797">
        <f>IF(NOT(AND(C797=1, TRIM(ERP資料!T797)="平板")), 0, IF(MAX(F$2:F796)=0, 1, IF(ERP資料!A797=INDEX(ERP資料!$A$2:$A796, MATCH(MAX(F$2:F796), F$2:F796, 0)), MAX(F$2:F796)+1, MAX(F$2:F796)+2)))</f>
        <v/>
      </c>
      <c r="G797">
        <f>IF(NOT(AND(C797=1, TRIM(ERP資料!T797)="捲筒")), 0, IF(MAX(G$2:G796)=0, 1, IF(ERP資料!A797=INDEX(ERP資料!$A$2:$A796, MATCH(MAX(G$2:G796), G$2:G796, 0)), MAX(G$2:G796)+1, MAX(G$2:G796)+2)))</f>
        <v/>
      </c>
      <c r="H797">
        <f>IF(OR(ERP資料!C797="",ERP資料!D797=""),0,ERP資料!D797-ERP資料!C797+1)</f>
        <v/>
      </c>
    </row>
    <row r="798">
      <c r="A798" t="n">
        <v>798</v>
      </c>
      <c r="B798">
        <f>IF(ERP資料!A798="","",ERP資料!A798&amp;"|"&amp;ERP資料!E798&amp;"|"&amp;ERP資料!F798&amp;"|"&amp;ERP資料!G798&amp;"|"&amp;ERP資料!H798&amp;"|"&amp;ERP資料!O798)</f>
        <v/>
      </c>
      <c r="C798">
        <f>IF(B798="",0,IF(COUNTIF(B$2:B797,B798)=0,1,0))</f>
        <v/>
      </c>
      <c r="D798">
        <f>IF(B798="",0,SUMIFS($H$2:$H$801,$B$2:$B$801,B798))</f>
        <v/>
      </c>
      <c r="E798">
        <f>IF(NOT(AND(C798=1, TRIM(ERP資料!T798)="平板")), 0, IF(MAX(E$2:E797)=0, 1, IF(ERP資料!A798=INDEX(ERP資料!$A$2:$A797, MATCH(MAX(E$2:E797), E$2:E797, 0)), MAX(E$2:E797)+1, MAX(E$2:E797)+2)))</f>
        <v/>
      </c>
      <c r="F798">
        <f>IF(NOT(AND(C798=1, TRIM(ERP資料!T798)="平板")), 0, IF(MAX(F$2:F797)=0, 1, IF(ERP資料!A798=INDEX(ERP資料!$A$2:$A797, MATCH(MAX(F$2:F797), F$2:F797, 0)), MAX(F$2:F797)+1, MAX(F$2:F797)+2)))</f>
        <v/>
      </c>
      <c r="G798">
        <f>IF(NOT(AND(C798=1, TRIM(ERP資料!T798)="捲筒")), 0, IF(MAX(G$2:G797)=0, 1, IF(ERP資料!A798=INDEX(ERP資料!$A$2:$A797, MATCH(MAX(G$2:G797), G$2:G797, 0)), MAX(G$2:G797)+1, MAX(G$2:G797)+2)))</f>
        <v/>
      </c>
      <c r="H798">
        <f>IF(OR(ERP資料!C798="",ERP資料!D798=""),0,ERP資料!D798-ERP資料!C798+1)</f>
        <v/>
      </c>
    </row>
    <row r="799">
      <c r="A799" t="n">
        <v>799</v>
      </c>
      <c r="B799">
        <f>IF(ERP資料!A799="","",ERP資料!A799&amp;"|"&amp;ERP資料!E799&amp;"|"&amp;ERP資料!F799&amp;"|"&amp;ERP資料!G799&amp;"|"&amp;ERP資料!H799&amp;"|"&amp;ERP資料!O799)</f>
        <v/>
      </c>
      <c r="C799">
        <f>IF(B799="",0,IF(COUNTIF(B$2:B798,B799)=0,1,0))</f>
        <v/>
      </c>
      <c r="D799">
        <f>IF(B799="",0,SUMIFS($H$2:$H$801,$B$2:$B$801,B799))</f>
        <v/>
      </c>
      <c r="E799">
        <f>IF(NOT(AND(C799=1, TRIM(ERP資料!T799)="平板")), 0, IF(MAX(E$2:E798)=0, 1, IF(ERP資料!A799=INDEX(ERP資料!$A$2:$A798, MATCH(MAX(E$2:E798), E$2:E798, 0)), MAX(E$2:E798)+1, MAX(E$2:E798)+2)))</f>
        <v/>
      </c>
      <c r="F799">
        <f>IF(NOT(AND(C799=1, TRIM(ERP資料!T799)="平板")), 0, IF(MAX(F$2:F798)=0, 1, IF(ERP資料!A799=INDEX(ERP資料!$A$2:$A798, MATCH(MAX(F$2:F798), F$2:F798, 0)), MAX(F$2:F798)+1, MAX(F$2:F798)+2)))</f>
        <v/>
      </c>
      <c r="G799">
        <f>IF(NOT(AND(C799=1, TRIM(ERP資料!T799)="捲筒")), 0, IF(MAX(G$2:G798)=0, 1, IF(ERP資料!A799=INDEX(ERP資料!$A$2:$A798, MATCH(MAX(G$2:G798), G$2:G798, 0)), MAX(G$2:G798)+1, MAX(G$2:G798)+2)))</f>
        <v/>
      </c>
      <c r="H799">
        <f>IF(OR(ERP資料!C799="",ERP資料!D799=""),0,ERP資料!D799-ERP資料!C799+1)</f>
        <v/>
      </c>
    </row>
    <row r="800">
      <c r="A800" t="n">
        <v>800</v>
      </c>
      <c r="B800">
        <f>IF(ERP資料!A800="","",ERP資料!A800&amp;"|"&amp;ERP資料!E800&amp;"|"&amp;ERP資料!F800&amp;"|"&amp;ERP資料!G800&amp;"|"&amp;ERP資料!H800&amp;"|"&amp;ERP資料!O800)</f>
        <v/>
      </c>
      <c r="C800">
        <f>IF(B800="",0,IF(COUNTIF(B$2:B799,B800)=0,1,0))</f>
        <v/>
      </c>
      <c r="D800">
        <f>IF(B800="",0,SUMIFS($H$2:$H$801,$B$2:$B$801,B800))</f>
        <v/>
      </c>
      <c r="E800">
        <f>IF(NOT(AND(C800=1, TRIM(ERP資料!T800)="平板")), 0, IF(MAX(E$2:E799)=0, 1, IF(ERP資料!A800=INDEX(ERP資料!$A$2:$A799, MATCH(MAX(E$2:E799), E$2:E799, 0)), MAX(E$2:E799)+1, MAX(E$2:E799)+2)))</f>
        <v/>
      </c>
      <c r="F800">
        <f>IF(NOT(AND(C800=1, TRIM(ERP資料!T800)="平板")), 0, IF(MAX(F$2:F799)=0, 1, IF(ERP資料!A800=INDEX(ERP資料!$A$2:$A799, MATCH(MAX(F$2:F799), F$2:F799, 0)), MAX(F$2:F799)+1, MAX(F$2:F799)+2)))</f>
        <v/>
      </c>
      <c r="G800">
        <f>IF(NOT(AND(C800=1, TRIM(ERP資料!T800)="捲筒")), 0, IF(MAX(G$2:G799)=0, 1, IF(ERP資料!A800=INDEX(ERP資料!$A$2:$A799, MATCH(MAX(G$2:G799), G$2:G799, 0)), MAX(G$2:G799)+1, MAX(G$2:G799)+2)))</f>
        <v/>
      </c>
      <c r="H800">
        <f>IF(OR(ERP資料!C800="",ERP資料!D800=""),0,ERP資料!D800-ERP資料!C800+1)</f>
        <v/>
      </c>
    </row>
    <row r="801">
      <c r="A801" t="n">
        <v>801</v>
      </c>
      <c r="B801">
        <f>IF(ERP資料!A801="","",ERP資料!A801&amp;"|"&amp;ERP資料!E801&amp;"|"&amp;ERP資料!F801&amp;"|"&amp;ERP資料!G801&amp;"|"&amp;ERP資料!H801&amp;"|"&amp;ERP資料!O801)</f>
        <v/>
      </c>
      <c r="C801">
        <f>IF(B801="",0,IF(COUNTIF(B$2:B800,B801)=0,1,0))</f>
        <v/>
      </c>
      <c r="D801">
        <f>IF(B801="",0,SUMIFS($H$2:$H$801,$B$2:$B$801,B801))</f>
        <v/>
      </c>
      <c r="E801">
        <f>IF(NOT(AND(C801=1, TRIM(ERP資料!T801)="平板")), 0, IF(MAX(E$2:E800)=0, 1, IF(ERP資料!A801=INDEX(ERP資料!$A$2:$A800, MATCH(MAX(E$2:E800), E$2:E800, 0)), MAX(E$2:E800)+1, MAX(E$2:E800)+2)))</f>
        <v/>
      </c>
      <c r="F801">
        <f>IF(NOT(AND(C801=1, TRIM(ERP資料!T801)="平板")), 0, IF(MAX(F$2:F800)=0, 1, IF(ERP資料!A801=INDEX(ERP資料!$A$2:$A800, MATCH(MAX(F$2:F800), F$2:F800, 0)), MAX(F$2:F800)+1, MAX(F$2:F800)+2)))</f>
        <v/>
      </c>
      <c r="G801">
        <f>IF(NOT(AND(C801=1, TRIM(ERP資料!T801)="捲筒")), 0, IF(MAX(G$2:G800)=0, 1, IF(ERP資料!A801=INDEX(ERP資料!$A$2:$A800, MATCH(MAX(G$2:G800), G$2:G800, 0)), MAX(G$2:G800)+1, MAX(G$2:G800)+2)))</f>
        <v/>
      </c>
      <c r="H801">
        <f>IF(OR(ERP資料!C801="",ERP資料!D801=""),0,ERP資料!D801-ERP資料!C801+1)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8" customWidth="1" min="4" max="4"/>
    <col width="9" customWidth="1" min="5" max="5"/>
    <col width="10" customWidth="1" min="6" max="6"/>
    <col width="10" customWidth="1" min="7" max="7"/>
    <col width="9" customWidth="1" min="8" max="8"/>
    <col width="8" customWidth="1" min="9" max="9"/>
    <col width="10" customWidth="1" min="10" max="10"/>
    <col width="11" customWidth="1" min="11" max="11"/>
    <col width="20" customWidth="1" min="12" max="12"/>
    <col width="5" customWidth="1" min="13" max="13"/>
  </cols>
  <sheetData>
    <row r="1" ht="30" customHeight="1">
      <c r="A1" s="9" t="inlineStr">
        <is>
          <t>結關日</t>
        </is>
      </c>
      <c r="B1" s="9" t="inlineStr">
        <is>
          <t>裝櫃單號</t>
        </is>
      </c>
      <c r="C1" s="9" t="inlineStr">
        <is>
          <t>客戶</t>
        </is>
      </c>
      <c r="D1" s="9" t="inlineStr">
        <is>
          <t>紙類</t>
        </is>
      </c>
      <c r="E1" s="9" t="inlineStr">
        <is>
          <t>基重</t>
        </is>
      </c>
      <c r="F1" s="9" t="inlineStr">
        <is>
          <t>寬</t>
        </is>
      </c>
      <c r="G1" s="9" t="inlineStr">
        <is>
          <t>長</t>
        </is>
      </c>
      <c r="H1" s="9" t="inlineStr">
        <is>
          <t>件數</t>
        </is>
      </c>
      <c r="I1" s="9" t="inlineStr">
        <is>
          <t>束/件</t>
        </is>
      </c>
      <c r="J1" s="9" t="inlineStr">
        <is>
          <t>總束數
(自動)</t>
        </is>
      </c>
      <c r="K1" s="9" t="inlineStr">
        <is>
          <t>已出數量</t>
        </is>
      </c>
      <c r="L1" s="9" t="inlineStr">
        <is>
          <t>備註</t>
        </is>
      </c>
      <c r="M1" s="9" t="inlineStr">
        <is>
          <t>✓</t>
        </is>
      </c>
    </row>
    <row r="2">
      <c r="A2" s="14">
        <f>IFERROR(IF(INDEX(ERP資料!$B:$B, (MATCH(1, 輔助計算!$E$2:$E$801, 0)+1))="","",INDEX(ERP資料!$B:$B, (MATCH(1, 輔助計算!$E$2:$E$801, 0)+1))), "")</f>
        <v/>
      </c>
      <c r="B2" s="10">
        <f>IFERROR(IF(INDEX(ERP資料!$A:$A, (MATCH(1, 輔助計算!$E$2:$E$801, 0)+1))="","",INDEX(ERP資料!$A:$A, (MATCH(1, 輔助計算!$E$2:$E$801, 0)+1))), "")</f>
        <v/>
      </c>
      <c r="C2" s="10">
        <f>IFERROR(IF(INDEX(ERP資料!$S:$S, (MATCH(1, 輔助計算!$E$2:$E$801, 0)+1))="","",INDEX(ERP資料!$S:$S, (MATCH(1, 輔助計算!$E$2:$E$801, 0)+1))), "")</f>
        <v/>
      </c>
      <c r="D2" s="10">
        <f>IFERROR(IF(INDEX(ERP資料!$E:$E, (MATCH(1, 輔助計算!$E$2:$E$801, 0)+1))="","",TRIM(INDEX(ERP資料!$E:$E, (MATCH(1, 輔助計算!$E$2:$E$801, 0)+1)))), "")</f>
        <v/>
      </c>
      <c r="E2" s="10">
        <f>IFERROR(IF(INDEX(ERP資料!$F:$F, (MATCH(1, 輔助計算!$E$2:$E$801, 0)+1))="","",INDEX(ERP資料!$F:$F, (MATCH(1, 輔助計算!$E$2:$E$801, 0)+1))), "")</f>
        <v/>
      </c>
      <c r="F2" s="10">
        <f>IFERROR(IF(INDEX(ERP資料!$G:$G, (MATCH(1, 輔助計算!$E$2:$E$801, 0)+1))="","",INDEX(ERP資料!$G:$G, (MATCH(1, 輔助計算!$E$2:$E$801, 0)+1))), "")</f>
        <v/>
      </c>
      <c r="G2" s="10">
        <f>IFERROR(IF(INDEX(ERP資料!$H:$H, (MATCH(1, 輔助計算!$E$2:$E$801, 0)+1))="","",INDEX(ERP資料!$H:$H, (MATCH(1, 輔助計算!$E$2:$E$801, 0)+1))), "")</f>
        <v/>
      </c>
      <c r="H2" s="15">
        <f>IFERROR(INDEX(輔助計算!$D:$D, (MATCH(1, 輔助計算!$E$2:$E$801, 0)+1)), "")</f>
        <v/>
      </c>
      <c r="I2" s="10">
        <f>IFERROR(IF(INDEX(ERP資料!$O:$O, (MATCH(1, 輔助計算!$E$2:$E$801, 0)+1))="","",INDEX(ERP資料!$O:$O, (MATCH(1, 輔助計算!$E$2:$E$801, 0)+1))), "")</f>
        <v/>
      </c>
      <c r="J2" s="15">
        <f>IFERROR(IF(INDEX(輔助計算!$D:$D,(MATCH(1, 輔助計算!$E$2:$E$801, 0)+1))="","",INDEX(輔助計算!$D:$D,(MATCH(1, 輔助計算!$E$2:$E$801, 0)+1))*INDEX(ERP資料!$O:$O,(MATCH(1, 輔助計算!$E$2:$E$801, 0)+1))), "")</f>
        <v/>
      </c>
      <c r="K2" s="16" t="n"/>
      <c r="L2" s="16" t="n"/>
      <c r="M2" s="17" t="n"/>
    </row>
    <row r="3">
      <c r="A3" s="14">
        <f>IFERROR(IF(INDEX(ERP資料!$B:$B, (MATCH(2, 輔助計算!$E$2:$E$801, 0)+1))="","",INDEX(ERP資料!$B:$B, (MATCH(2, 輔助計算!$E$2:$E$801, 0)+1))), "")</f>
        <v/>
      </c>
      <c r="B3" s="10">
        <f>IFERROR(IF(INDEX(ERP資料!$A:$A, (MATCH(2, 輔助計算!$E$2:$E$801, 0)+1))="","",INDEX(ERP資料!$A:$A, (MATCH(2, 輔助計算!$E$2:$E$801, 0)+1))), "")</f>
        <v/>
      </c>
      <c r="C3" s="10">
        <f>IFERROR(IF(INDEX(ERP資料!$S:$S, (MATCH(2, 輔助計算!$E$2:$E$801, 0)+1))="","",INDEX(ERP資料!$S:$S, (MATCH(2, 輔助計算!$E$2:$E$801, 0)+1))), "")</f>
        <v/>
      </c>
      <c r="D3" s="10">
        <f>IFERROR(IF(INDEX(ERP資料!$E:$E, (MATCH(2, 輔助計算!$E$2:$E$801, 0)+1))="","",TRIM(INDEX(ERP資料!$E:$E, (MATCH(2, 輔助計算!$E$2:$E$801, 0)+1)))), "")</f>
        <v/>
      </c>
      <c r="E3" s="10">
        <f>IFERROR(IF(INDEX(ERP資料!$F:$F, (MATCH(2, 輔助計算!$E$2:$E$801, 0)+1))="","",INDEX(ERP資料!$F:$F, (MATCH(2, 輔助計算!$E$2:$E$801, 0)+1))), "")</f>
        <v/>
      </c>
      <c r="F3" s="10">
        <f>IFERROR(IF(INDEX(ERP資料!$G:$G, (MATCH(2, 輔助計算!$E$2:$E$801, 0)+1))="","",INDEX(ERP資料!$G:$G, (MATCH(2, 輔助計算!$E$2:$E$801, 0)+1))), "")</f>
        <v/>
      </c>
      <c r="G3" s="10">
        <f>IFERROR(IF(INDEX(ERP資料!$H:$H, (MATCH(2, 輔助計算!$E$2:$E$801, 0)+1))="","",INDEX(ERP資料!$H:$H, (MATCH(2, 輔助計算!$E$2:$E$801, 0)+1))), "")</f>
        <v/>
      </c>
      <c r="H3" s="15">
        <f>IFERROR(INDEX(輔助計算!$D:$D, (MATCH(2, 輔助計算!$E$2:$E$801, 0)+1)), "")</f>
        <v/>
      </c>
      <c r="I3" s="10">
        <f>IFERROR(IF(INDEX(ERP資料!$O:$O, (MATCH(2, 輔助計算!$E$2:$E$801, 0)+1))="","",INDEX(ERP資料!$O:$O, (MATCH(2, 輔助計算!$E$2:$E$801, 0)+1))), "")</f>
        <v/>
      </c>
      <c r="J3" s="15">
        <f>IFERROR(IF(INDEX(輔助計算!$D:$D,(MATCH(2, 輔助計算!$E$2:$E$801, 0)+1))="","",INDEX(輔助計算!$D:$D,(MATCH(2, 輔助計算!$E$2:$E$801, 0)+1))*INDEX(ERP資料!$O:$O,(MATCH(2, 輔助計算!$E$2:$E$801, 0)+1))), "")</f>
        <v/>
      </c>
      <c r="K3" s="16" t="n"/>
      <c r="L3" s="16" t="n"/>
      <c r="M3" s="17" t="n"/>
    </row>
    <row r="4">
      <c r="A4" s="14">
        <f>IFERROR(IF(INDEX(ERP資料!$B:$B, (MATCH(3, 輔助計算!$E$2:$E$801, 0)+1))="","",INDEX(ERP資料!$B:$B, (MATCH(3, 輔助計算!$E$2:$E$801, 0)+1))), "")</f>
        <v/>
      </c>
      <c r="B4" s="10">
        <f>IFERROR(IF(INDEX(ERP資料!$A:$A, (MATCH(3, 輔助計算!$E$2:$E$801, 0)+1))="","",INDEX(ERP資料!$A:$A, (MATCH(3, 輔助計算!$E$2:$E$801, 0)+1))), "")</f>
        <v/>
      </c>
      <c r="C4" s="10">
        <f>IFERROR(IF(INDEX(ERP資料!$S:$S, (MATCH(3, 輔助計算!$E$2:$E$801, 0)+1))="","",INDEX(ERP資料!$S:$S, (MATCH(3, 輔助計算!$E$2:$E$801, 0)+1))), "")</f>
        <v/>
      </c>
      <c r="D4" s="10">
        <f>IFERROR(IF(INDEX(ERP資料!$E:$E, (MATCH(3, 輔助計算!$E$2:$E$801, 0)+1))="","",TRIM(INDEX(ERP資料!$E:$E, (MATCH(3, 輔助計算!$E$2:$E$801, 0)+1)))), "")</f>
        <v/>
      </c>
      <c r="E4" s="10">
        <f>IFERROR(IF(INDEX(ERP資料!$F:$F, (MATCH(3, 輔助計算!$E$2:$E$801, 0)+1))="","",INDEX(ERP資料!$F:$F, (MATCH(3, 輔助計算!$E$2:$E$801, 0)+1))), "")</f>
        <v/>
      </c>
      <c r="F4" s="10">
        <f>IFERROR(IF(INDEX(ERP資料!$G:$G, (MATCH(3, 輔助計算!$E$2:$E$801, 0)+1))="","",INDEX(ERP資料!$G:$G, (MATCH(3, 輔助計算!$E$2:$E$801, 0)+1))), "")</f>
        <v/>
      </c>
      <c r="G4" s="10">
        <f>IFERROR(IF(INDEX(ERP資料!$H:$H, (MATCH(3, 輔助計算!$E$2:$E$801, 0)+1))="","",INDEX(ERP資料!$H:$H, (MATCH(3, 輔助計算!$E$2:$E$801, 0)+1))), "")</f>
        <v/>
      </c>
      <c r="H4" s="15">
        <f>IFERROR(INDEX(輔助計算!$D:$D, (MATCH(3, 輔助計算!$E$2:$E$801, 0)+1)), "")</f>
        <v/>
      </c>
      <c r="I4" s="10">
        <f>IFERROR(IF(INDEX(ERP資料!$O:$O, (MATCH(3, 輔助計算!$E$2:$E$801, 0)+1))="","",INDEX(ERP資料!$O:$O, (MATCH(3, 輔助計算!$E$2:$E$801, 0)+1))), "")</f>
        <v/>
      </c>
      <c r="J4" s="15">
        <f>IFERROR(IF(INDEX(輔助計算!$D:$D,(MATCH(3, 輔助計算!$E$2:$E$801, 0)+1))="","",INDEX(輔助計算!$D:$D,(MATCH(3, 輔助計算!$E$2:$E$801, 0)+1))*INDEX(ERP資料!$O:$O,(MATCH(3, 輔助計算!$E$2:$E$801, 0)+1))), "")</f>
        <v/>
      </c>
      <c r="K4" s="16" t="n"/>
      <c r="L4" s="16" t="n"/>
      <c r="M4" s="17" t="n"/>
    </row>
    <row r="5">
      <c r="A5" s="14">
        <f>IFERROR(IF(INDEX(ERP資料!$B:$B, (MATCH(4, 輔助計算!$E$2:$E$801, 0)+1))="","",INDEX(ERP資料!$B:$B, (MATCH(4, 輔助計算!$E$2:$E$801, 0)+1))), "")</f>
        <v/>
      </c>
      <c r="B5" s="10">
        <f>IFERROR(IF(INDEX(ERP資料!$A:$A, (MATCH(4, 輔助計算!$E$2:$E$801, 0)+1))="","",INDEX(ERP資料!$A:$A, (MATCH(4, 輔助計算!$E$2:$E$801, 0)+1))), "")</f>
        <v/>
      </c>
      <c r="C5" s="10">
        <f>IFERROR(IF(INDEX(ERP資料!$S:$S, (MATCH(4, 輔助計算!$E$2:$E$801, 0)+1))="","",INDEX(ERP資料!$S:$S, (MATCH(4, 輔助計算!$E$2:$E$801, 0)+1))), "")</f>
        <v/>
      </c>
      <c r="D5" s="10">
        <f>IFERROR(IF(INDEX(ERP資料!$E:$E, (MATCH(4, 輔助計算!$E$2:$E$801, 0)+1))="","",TRIM(INDEX(ERP資料!$E:$E, (MATCH(4, 輔助計算!$E$2:$E$801, 0)+1)))), "")</f>
        <v/>
      </c>
      <c r="E5" s="10">
        <f>IFERROR(IF(INDEX(ERP資料!$F:$F, (MATCH(4, 輔助計算!$E$2:$E$801, 0)+1))="","",INDEX(ERP資料!$F:$F, (MATCH(4, 輔助計算!$E$2:$E$801, 0)+1))), "")</f>
        <v/>
      </c>
      <c r="F5" s="10">
        <f>IFERROR(IF(INDEX(ERP資料!$G:$G, (MATCH(4, 輔助計算!$E$2:$E$801, 0)+1))="","",INDEX(ERP資料!$G:$G, (MATCH(4, 輔助計算!$E$2:$E$801, 0)+1))), "")</f>
        <v/>
      </c>
      <c r="G5" s="10">
        <f>IFERROR(IF(INDEX(ERP資料!$H:$H, (MATCH(4, 輔助計算!$E$2:$E$801, 0)+1))="","",INDEX(ERP資料!$H:$H, (MATCH(4, 輔助計算!$E$2:$E$801, 0)+1))), "")</f>
        <v/>
      </c>
      <c r="H5" s="15">
        <f>IFERROR(INDEX(輔助計算!$D:$D, (MATCH(4, 輔助計算!$E$2:$E$801, 0)+1)), "")</f>
        <v/>
      </c>
      <c r="I5" s="10">
        <f>IFERROR(IF(INDEX(ERP資料!$O:$O, (MATCH(4, 輔助計算!$E$2:$E$801, 0)+1))="","",INDEX(ERP資料!$O:$O, (MATCH(4, 輔助計算!$E$2:$E$801, 0)+1))), "")</f>
        <v/>
      </c>
      <c r="J5" s="15">
        <f>IFERROR(IF(INDEX(輔助計算!$D:$D,(MATCH(4, 輔助計算!$E$2:$E$801, 0)+1))="","",INDEX(輔助計算!$D:$D,(MATCH(4, 輔助計算!$E$2:$E$801, 0)+1))*INDEX(ERP資料!$O:$O,(MATCH(4, 輔助計算!$E$2:$E$801, 0)+1))), "")</f>
        <v/>
      </c>
      <c r="K5" s="16" t="n"/>
      <c r="L5" s="16" t="n"/>
      <c r="M5" s="17" t="n"/>
    </row>
    <row r="6">
      <c r="A6" s="14">
        <f>IFERROR(IF(INDEX(ERP資料!$B:$B, (MATCH(5, 輔助計算!$E$2:$E$801, 0)+1))="","",INDEX(ERP資料!$B:$B, (MATCH(5, 輔助計算!$E$2:$E$801, 0)+1))), "")</f>
        <v/>
      </c>
      <c r="B6" s="10">
        <f>IFERROR(IF(INDEX(ERP資料!$A:$A, (MATCH(5, 輔助計算!$E$2:$E$801, 0)+1))="","",INDEX(ERP資料!$A:$A, (MATCH(5, 輔助計算!$E$2:$E$801, 0)+1))), "")</f>
        <v/>
      </c>
      <c r="C6" s="10">
        <f>IFERROR(IF(INDEX(ERP資料!$S:$S, (MATCH(5, 輔助計算!$E$2:$E$801, 0)+1))="","",INDEX(ERP資料!$S:$S, (MATCH(5, 輔助計算!$E$2:$E$801, 0)+1))), "")</f>
        <v/>
      </c>
      <c r="D6" s="10">
        <f>IFERROR(IF(INDEX(ERP資料!$E:$E, (MATCH(5, 輔助計算!$E$2:$E$801, 0)+1))="","",TRIM(INDEX(ERP資料!$E:$E, (MATCH(5, 輔助計算!$E$2:$E$801, 0)+1)))), "")</f>
        <v/>
      </c>
      <c r="E6" s="10">
        <f>IFERROR(IF(INDEX(ERP資料!$F:$F, (MATCH(5, 輔助計算!$E$2:$E$801, 0)+1))="","",INDEX(ERP資料!$F:$F, (MATCH(5, 輔助計算!$E$2:$E$801, 0)+1))), "")</f>
        <v/>
      </c>
      <c r="F6" s="10">
        <f>IFERROR(IF(INDEX(ERP資料!$G:$G, (MATCH(5, 輔助計算!$E$2:$E$801, 0)+1))="","",INDEX(ERP資料!$G:$G, (MATCH(5, 輔助計算!$E$2:$E$801, 0)+1))), "")</f>
        <v/>
      </c>
      <c r="G6" s="10">
        <f>IFERROR(IF(INDEX(ERP資料!$H:$H, (MATCH(5, 輔助計算!$E$2:$E$801, 0)+1))="","",INDEX(ERP資料!$H:$H, (MATCH(5, 輔助計算!$E$2:$E$801, 0)+1))), "")</f>
        <v/>
      </c>
      <c r="H6" s="15">
        <f>IFERROR(INDEX(輔助計算!$D:$D, (MATCH(5, 輔助計算!$E$2:$E$801, 0)+1)), "")</f>
        <v/>
      </c>
      <c r="I6" s="10">
        <f>IFERROR(IF(INDEX(ERP資料!$O:$O, (MATCH(5, 輔助計算!$E$2:$E$801, 0)+1))="","",INDEX(ERP資料!$O:$O, (MATCH(5, 輔助計算!$E$2:$E$801, 0)+1))), "")</f>
        <v/>
      </c>
      <c r="J6" s="15">
        <f>IFERROR(IF(INDEX(輔助計算!$D:$D,(MATCH(5, 輔助計算!$E$2:$E$801, 0)+1))="","",INDEX(輔助計算!$D:$D,(MATCH(5, 輔助計算!$E$2:$E$801, 0)+1))*INDEX(ERP資料!$O:$O,(MATCH(5, 輔助計算!$E$2:$E$801, 0)+1))), "")</f>
        <v/>
      </c>
      <c r="K6" s="16" t="n"/>
      <c r="L6" s="16" t="n"/>
      <c r="M6" s="17" t="n"/>
    </row>
    <row r="7">
      <c r="A7" s="14">
        <f>IFERROR(IF(INDEX(ERP資料!$B:$B, (MATCH(6, 輔助計算!$E$2:$E$801, 0)+1))="","",INDEX(ERP資料!$B:$B, (MATCH(6, 輔助計算!$E$2:$E$801, 0)+1))), "")</f>
        <v/>
      </c>
      <c r="B7" s="10">
        <f>IFERROR(IF(INDEX(ERP資料!$A:$A, (MATCH(6, 輔助計算!$E$2:$E$801, 0)+1))="","",INDEX(ERP資料!$A:$A, (MATCH(6, 輔助計算!$E$2:$E$801, 0)+1))), "")</f>
        <v/>
      </c>
      <c r="C7" s="10">
        <f>IFERROR(IF(INDEX(ERP資料!$S:$S, (MATCH(6, 輔助計算!$E$2:$E$801, 0)+1))="","",INDEX(ERP資料!$S:$S, (MATCH(6, 輔助計算!$E$2:$E$801, 0)+1))), "")</f>
        <v/>
      </c>
      <c r="D7" s="10">
        <f>IFERROR(IF(INDEX(ERP資料!$E:$E, (MATCH(6, 輔助計算!$E$2:$E$801, 0)+1))="","",TRIM(INDEX(ERP資料!$E:$E, (MATCH(6, 輔助計算!$E$2:$E$801, 0)+1)))), "")</f>
        <v/>
      </c>
      <c r="E7" s="10">
        <f>IFERROR(IF(INDEX(ERP資料!$F:$F, (MATCH(6, 輔助計算!$E$2:$E$801, 0)+1))="","",INDEX(ERP資料!$F:$F, (MATCH(6, 輔助計算!$E$2:$E$801, 0)+1))), "")</f>
        <v/>
      </c>
      <c r="F7" s="10">
        <f>IFERROR(IF(INDEX(ERP資料!$G:$G, (MATCH(6, 輔助計算!$E$2:$E$801, 0)+1))="","",INDEX(ERP資料!$G:$G, (MATCH(6, 輔助計算!$E$2:$E$801, 0)+1))), "")</f>
        <v/>
      </c>
      <c r="G7" s="10">
        <f>IFERROR(IF(INDEX(ERP資料!$H:$H, (MATCH(6, 輔助計算!$E$2:$E$801, 0)+1))="","",INDEX(ERP資料!$H:$H, (MATCH(6, 輔助計算!$E$2:$E$801, 0)+1))), "")</f>
        <v/>
      </c>
      <c r="H7" s="15">
        <f>IFERROR(INDEX(輔助計算!$D:$D, (MATCH(6, 輔助計算!$E$2:$E$801, 0)+1)), "")</f>
        <v/>
      </c>
      <c r="I7" s="10">
        <f>IFERROR(IF(INDEX(ERP資料!$O:$O, (MATCH(6, 輔助計算!$E$2:$E$801, 0)+1))="","",INDEX(ERP資料!$O:$O, (MATCH(6, 輔助計算!$E$2:$E$801, 0)+1))), "")</f>
        <v/>
      </c>
      <c r="J7" s="15">
        <f>IFERROR(IF(INDEX(輔助計算!$D:$D,(MATCH(6, 輔助計算!$E$2:$E$801, 0)+1))="","",INDEX(輔助計算!$D:$D,(MATCH(6, 輔助計算!$E$2:$E$801, 0)+1))*INDEX(ERP資料!$O:$O,(MATCH(6, 輔助計算!$E$2:$E$801, 0)+1))), "")</f>
        <v/>
      </c>
      <c r="K7" s="16" t="n"/>
      <c r="L7" s="16" t="n"/>
      <c r="M7" s="17" t="n"/>
    </row>
    <row r="8">
      <c r="A8" s="14">
        <f>IFERROR(IF(INDEX(ERP資料!$B:$B, (MATCH(7, 輔助計算!$E$2:$E$801, 0)+1))="","",INDEX(ERP資料!$B:$B, (MATCH(7, 輔助計算!$E$2:$E$801, 0)+1))), "")</f>
        <v/>
      </c>
      <c r="B8" s="10">
        <f>IFERROR(IF(INDEX(ERP資料!$A:$A, (MATCH(7, 輔助計算!$E$2:$E$801, 0)+1))="","",INDEX(ERP資料!$A:$A, (MATCH(7, 輔助計算!$E$2:$E$801, 0)+1))), "")</f>
        <v/>
      </c>
      <c r="C8" s="10">
        <f>IFERROR(IF(INDEX(ERP資料!$S:$S, (MATCH(7, 輔助計算!$E$2:$E$801, 0)+1))="","",INDEX(ERP資料!$S:$S, (MATCH(7, 輔助計算!$E$2:$E$801, 0)+1))), "")</f>
        <v/>
      </c>
      <c r="D8" s="10">
        <f>IFERROR(IF(INDEX(ERP資料!$E:$E, (MATCH(7, 輔助計算!$E$2:$E$801, 0)+1))="","",TRIM(INDEX(ERP資料!$E:$E, (MATCH(7, 輔助計算!$E$2:$E$801, 0)+1)))), "")</f>
        <v/>
      </c>
      <c r="E8" s="10">
        <f>IFERROR(IF(INDEX(ERP資料!$F:$F, (MATCH(7, 輔助計算!$E$2:$E$801, 0)+1))="","",INDEX(ERP資料!$F:$F, (MATCH(7, 輔助計算!$E$2:$E$801, 0)+1))), "")</f>
        <v/>
      </c>
      <c r="F8" s="10">
        <f>IFERROR(IF(INDEX(ERP資料!$G:$G, (MATCH(7, 輔助計算!$E$2:$E$801, 0)+1))="","",INDEX(ERP資料!$G:$G, (MATCH(7, 輔助計算!$E$2:$E$801, 0)+1))), "")</f>
        <v/>
      </c>
      <c r="G8" s="10">
        <f>IFERROR(IF(INDEX(ERP資料!$H:$H, (MATCH(7, 輔助計算!$E$2:$E$801, 0)+1))="","",INDEX(ERP資料!$H:$H, (MATCH(7, 輔助計算!$E$2:$E$801, 0)+1))), "")</f>
        <v/>
      </c>
      <c r="H8" s="15">
        <f>IFERROR(INDEX(輔助計算!$D:$D, (MATCH(7, 輔助計算!$E$2:$E$801, 0)+1)), "")</f>
        <v/>
      </c>
      <c r="I8" s="10">
        <f>IFERROR(IF(INDEX(ERP資料!$O:$O, (MATCH(7, 輔助計算!$E$2:$E$801, 0)+1))="","",INDEX(ERP資料!$O:$O, (MATCH(7, 輔助計算!$E$2:$E$801, 0)+1))), "")</f>
        <v/>
      </c>
      <c r="J8" s="15">
        <f>IFERROR(IF(INDEX(輔助計算!$D:$D,(MATCH(7, 輔助計算!$E$2:$E$801, 0)+1))="","",INDEX(輔助計算!$D:$D,(MATCH(7, 輔助計算!$E$2:$E$801, 0)+1))*INDEX(ERP資料!$O:$O,(MATCH(7, 輔助計算!$E$2:$E$801, 0)+1))), "")</f>
        <v/>
      </c>
      <c r="K8" s="16" t="n"/>
      <c r="L8" s="16" t="n"/>
      <c r="M8" s="17" t="n"/>
    </row>
    <row r="9">
      <c r="A9" s="14">
        <f>IFERROR(IF(INDEX(ERP資料!$B:$B, (MATCH(8, 輔助計算!$E$2:$E$801, 0)+1))="","",INDEX(ERP資料!$B:$B, (MATCH(8, 輔助計算!$E$2:$E$801, 0)+1))), "")</f>
        <v/>
      </c>
      <c r="B9" s="10">
        <f>IFERROR(IF(INDEX(ERP資料!$A:$A, (MATCH(8, 輔助計算!$E$2:$E$801, 0)+1))="","",INDEX(ERP資料!$A:$A, (MATCH(8, 輔助計算!$E$2:$E$801, 0)+1))), "")</f>
        <v/>
      </c>
      <c r="C9" s="10">
        <f>IFERROR(IF(INDEX(ERP資料!$S:$S, (MATCH(8, 輔助計算!$E$2:$E$801, 0)+1))="","",INDEX(ERP資料!$S:$S, (MATCH(8, 輔助計算!$E$2:$E$801, 0)+1))), "")</f>
        <v/>
      </c>
      <c r="D9" s="10">
        <f>IFERROR(IF(INDEX(ERP資料!$E:$E, (MATCH(8, 輔助計算!$E$2:$E$801, 0)+1))="","",TRIM(INDEX(ERP資料!$E:$E, (MATCH(8, 輔助計算!$E$2:$E$801, 0)+1)))), "")</f>
        <v/>
      </c>
      <c r="E9" s="10">
        <f>IFERROR(IF(INDEX(ERP資料!$F:$F, (MATCH(8, 輔助計算!$E$2:$E$801, 0)+1))="","",INDEX(ERP資料!$F:$F, (MATCH(8, 輔助計算!$E$2:$E$801, 0)+1))), "")</f>
        <v/>
      </c>
      <c r="F9" s="10">
        <f>IFERROR(IF(INDEX(ERP資料!$G:$G, (MATCH(8, 輔助計算!$E$2:$E$801, 0)+1))="","",INDEX(ERP資料!$G:$G, (MATCH(8, 輔助計算!$E$2:$E$801, 0)+1))), "")</f>
        <v/>
      </c>
      <c r="G9" s="10">
        <f>IFERROR(IF(INDEX(ERP資料!$H:$H, (MATCH(8, 輔助計算!$E$2:$E$801, 0)+1))="","",INDEX(ERP資料!$H:$H, (MATCH(8, 輔助計算!$E$2:$E$801, 0)+1))), "")</f>
        <v/>
      </c>
      <c r="H9" s="15">
        <f>IFERROR(INDEX(輔助計算!$D:$D, (MATCH(8, 輔助計算!$E$2:$E$801, 0)+1)), "")</f>
        <v/>
      </c>
      <c r="I9" s="10">
        <f>IFERROR(IF(INDEX(ERP資料!$O:$O, (MATCH(8, 輔助計算!$E$2:$E$801, 0)+1))="","",INDEX(ERP資料!$O:$O, (MATCH(8, 輔助計算!$E$2:$E$801, 0)+1))), "")</f>
        <v/>
      </c>
      <c r="J9" s="15">
        <f>IFERROR(IF(INDEX(輔助計算!$D:$D,(MATCH(8, 輔助計算!$E$2:$E$801, 0)+1))="","",INDEX(輔助計算!$D:$D,(MATCH(8, 輔助計算!$E$2:$E$801, 0)+1))*INDEX(ERP資料!$O:$O,(MATCH(8, 輔助計算!$E$2:$E$801, 0)+1))), "")</f>
        <v/>
      </c>
      <c r="K9" s="16" t="n"/>
      <c r="L9" s="16" t="n"/>
      <c r="M9" s="17" t="n"/>
    </row>
    <row r="10">
      <c r="A10" s="14">
        <f>IFERROR(IF(INDEX(ERP資料!$B:$B, (MATCH(9, 輔助計算!$E$2:$E$801, 0)+1))="","",INDEX(ERP資料!$B:$B, (MATCH(9, 輔助計算!$E$2:$E$801, 0)+1))), "")</f>
        <v/>
      </c>
      <c r="B10" s="10">
        <f>IFERROR(IF(INDEX(ERP資料!$A:$A, (MATCH(9, 輔助計算!$E$2:$E$801, 0)+1))="","",INDEX(ERP資料!$A:$A, (MATCH(9, 輔助計算!$E$2:$E$801, 0)+1))), "")</f>
        <v/>
      </c>
      <c r="C10" s="10">
        <f>IFERROR(IF(INDEX(ERP資料!$S:$S, (MATCH(9, 輔助計算!$E$2:$E$801, 0)+1))="","",INDEX(ERP資料!$S:$S, (MATCH(9, 輔助計算!$E$2:$E$801, 0)+1))), "")</f>
        <v/>
      </c>
      <c r="D10" s="10">
        <f>IFERROR(IF(INDEX(ERP資料!$E:$E, (MATCH(9, 輔助計算!$E$2:$E$801, 0)+1))="","",TRIM(INDEX(ERP資料!$E:$E, (MATCH(9, 輔助計算!$E$2:$E$801, 0)+1)))), "")</f>
        <v/>
      </c>
      <c r="E10" s="10">
        <f>IFERROR(IF(INDEX(ERP資料!$F:$F, (MATCH(9, 輔助計算!$E$2:$E$801, 0)+1))="","",INDEX(ERP資料!$F:$F, (MATCH(9, 輔助計算!$E$2:$E$801, 0)+1))), "")</f>
        <v/>
      </c>
      <c r="F10" s="10">
        <f>IFERROR(IF(INDEX(ERP資料!$G:$G, (MATCH(9, 輔助計算!$E$2:$E$801, 0)+1))="","",INDEX(ERP資料!$G:$G, (MATCH(9, 輔助計算!$E$2:$E$801, 0)+1))), "")</f>
        <v/>
      </c>
      <c r="G10" s="10">
        <f>IFERROR(IF(INDEX(ERP資料!$H:$H, (MATCH(9, 輔助計算!$E$2:$E$801, 0)+1))="","",INDEX(ERP資料!$H:$H, (MATCH(9, 輔助計算!$E$2:$E$801, 0)+1))), "")</f>
        <v/>
      </c>
      <c r="H10" s="15">
        <f>IFERROR(INDEX(輔助計算!$D:$D, (MATCH(9, 輔助計算!$E$2:$E$801, 0)+1)), "")</f>
        <v/>
      </c>
      <c r="I10" s="10">
        <f>IFERROR(IF(INDEX(ERP資料!$O:$O, (MATCH(9, 輔助計算!$E$2:$E$801, 0)+1))="","",INDEX(ERP資料!$O:$O, (MATCH(9, 輔助計算!$E$2:$E$801, 0)+1))), "")</f>
        <v/>
      </c>
      <c r="J10" s="15">
        <f>IFERROR(IF(INDEX(輔助計算!$D:$D,(MATCH(9, 輔助計算!$E$2:$E$801, 0)+1))="","",INDEX(輔助計算!$D:$D,(MATCH(9, 輔助計算!$E$2:$E$801, 0)+1))*INDEX(ERP資料!$O:$O,(MATCH(9, 輔助計算!$E$2:$E$801, 0)+1))), "")</f>
        <v/>
      </c>
      <c r="K10" s="16" t="n"/>
      <c r="L10" s="16" t="n"/>
      <c r="M10" s="17" t="n"/>
    </row>
    <row r="11">
      <c r="A11" s="14">
        <f>IFERROR(IF(INDEX(ERP資料!$B:$B, (MATCH(10, 輔助計算!$E$2:$E$801, 0)+1))="","",INDEX(ERP資料!$B:$B, (MATCH(10, 輔助計算!$E$2:$E$801, 0)+1))), "")</f>
        <v/>
      </c>
      <c r="B11" s="10">
        <f>IFERROR(IF(INDEX(ERP資料!$A:$A, (MATCH(10, 輔助計算!$E$2:$E$801, 0)+1))="","",INDEX(ERP資料!$A:$A, (MATCH(10, 輔助計算!$E$2:$E$801, 0)+1))), "")</f>
        <v/>
      </c>
      <c r="C11" s="10">
        <f>IFERROR(IF(INDEX(ERP資料!$S:$S, (MATCH(10, 輔助計算!$E$2:$E$801, 0)+1))="","",INDEX(ERP資料!$S:$S, (MATCH(10, 輔助計算!$E$2:$E$801, 0)+1))), "")</f>
        <v/>
      </c>
      <c r="D11" s="10">
        <f>IFERROR(IF(INDEX(ERP資料!$E:$E, (MATCH(10, 輔助計算!$E$2:$E$801, 0)+1))="","",TRIM(INDEX(ERP資料!$E:$E, (MATCH(10, 輔助計算!$E$2:$E$801, 0)+1)))), "")</f>
        <v/>
      </c>
      <c r="E11" s="10">
        <f>IFERROR(IF(INDEX(ERP資料!$F:$F, (MATCH(10, 輔助計算!$E$2:$E$801, 0)+1))="","",INDEX(ERP資料!$F:$F, (MATCH(10, 輔助計算!$E$2:$E$801, 0)+1))), "")</f>
        <v/>
      </c>
      <c r="F11" s="10">
        <f>IFERROR(IF(INDEX(ERP資料!$G:$G, (MATCH(10, 輔助計算!$E$2:$E$801, 0)+1))="","",INDEX(ERP資料!$G:$G, (MATCH(10, 輔助計算!$E$2:$E$801, 0)+1))), "")</f>
        <v/>
      </c>
      <c r="G11" s="10">
        <f>IFERROR(IF(INDEX(ERP資料!$H:$H, (MATCH(10, 輔助計算!$E$2:$E$801, 0)+1))="","",INDEX(ERP資料!$H:$H, (MATCH(10, 輔助計算!$E$2:$E$801, 0)+1))), "")</f>
        <v/>
      </c>
      <c r="H11" s="15">
        <f>IFERROR(INDEX(輔助計算!$D:$D, (MATCH(10, 輔助計算!$E$2:$E$801, 0)+1)), "")</f>
        <v/>
      </c>
      <c r="I11" s="10">
        <f>IFERROR(IF(INDEX(ERP資料!$O:$O, (MATCH(10, 輔助計算!$E$2:$E$801, 0)+1))="","",INDEX(ERP資料!$O:$O, (MATCH(10, 輔助計算!$E$2:$E$801, 0)+1))), "")</f>
        <v/>
      </c>
      <c r="J11" s="15">
        <f>IFERROR(IF(INDEX(輔助計算!$D:$D,(MATCH(10, 輔助計算!$E$2:$E$801, 0)+1))="","",INDEX(輔助計算!$D:$D,(MATCH(10, 輔助計算!$E$2:$E$801, 0)+1))*INDEX(ERP資料!$O:$O,(MATCH(10, 輔助計算!$E$2:$E$801, 0)+1))), "")</f>
        <v/>
      </c>
      <c r="K11" s="16" t="n"/>
      <c r="L11" s="16" t="n"/>
      <c r="M11" s="17" t="n"/>
    </row>
    <row r="12">
      <c r="A12" s="14">
        <f>IFERROR(IF(INDEX(ERP資料!$B:$B, (MATCH(11, 輔助計算!$E$2:$E$801, 0)+1))="","",INDEX(ERP資料!$B:$B, (MATCH(11, 輔助計算!$E$2:$E$801, 0)+1))), "")</f>
        <v/>
      </c>
      <c r="B12" s="10">
        <f>IFERROR(IF(INDEX(ERP資料!$A:$A, (MATCH(11, 輔助計算!$E$2:$E$801, 0)+1))="","",INDEX(ERP資料!$A:$A, (MATCH(11, 輔助計算!$E$2:$E$801, 0)+1))), "")</f>
        <v/>
      </c>
      <c r="C12" s="10">
        <f>IFERROR(IF(INDEX(ERP資料!$S:$S, (MATCH(11, 輔助計算!$E$2:$E$801, 0)+1))="","",INDEX(ERP資料!$S:$S, (MATCH(11, 輔助計算!$E$2:$E$801, 0)+1))), "")</f>
        <v/>
      </c>
      <c r="D12" s="10">
        <f>IFERROR(IF(INDEX(ERP資料!$E:$E, (MATCH(11, 輔助計算!$E$2:$E$801, 0)+1))="","",TRIM(INDEX(ERP資料!$E:$E, (MATCH(11, 輔助計算!$E$2:$E$801, 0)+1)))), "")</f>
        <v/>
      </c>
      <c r="E12" s="10">
        <f>IFERROR(IF(INDEX(ERP資料!$F:$F, (MATCH(11, 輔助計算!$E$2:$E$801, 0)+1))="","",INDEX(ERP資料!$F:$F, (MATCH(11, 輔助計算!$E$2:$E$801, 0)+1))), "")</f>
        <v/>
      </c>
      <c r="F12" s="10">
        <f>IFERROR(IF(INDEX(ERP資料!$G:$G, (MATCH(11, 輔助計算!$E$2:$E$801, 0)+1))="","",INDEX(ERP資料!$G:$G, (MATCH(11, 輔助計算!$E$2:$E$801, 0)+1))), "")</f>
        <v/>
      </c>
      <c r="G12" s="10">
        <f>IFERROR(IF(INDEX(ERP資料!$H:$H, (MATCH(11, 輔助計算!$E$2:$E$801, 0)+1))="","",INDEX(ERP資料!$H:$H, (MATCH(11, 輔助計算!$E$2:$E$801, 0)+1))), "")</f>
        <v/>
      </c>
      <c r="H12" s="15">
        <f>IFERROR(INDEX(輔助計算!$D:$D, (MATCH(11, 輔助計算!$E$2:$E$801, 0)+1)), "")</f>
        <v/>
      </c>
      <c r="I12" s="10">
        <f>IFERROR(IF(INDEX(ERP資料!$O:$O, (MATCH(11, 輔助計算!$E$2:$E$801, 0)+1))="","",INDEX(ERP資料!$O:$O, (MATCH(11, 輔助計算!$E$2:$E$801, 0)+1))), "")</f>
        <v/>
      </c>
      <c r="J12" s="15">
        <f>IFERROR(IF(INDEX(輔助計算!$D:$D,(MATCH(11, 輔助計算!$E$2:$E$801, 0)+1))="","",INDEX(輔助計算!$D:$D,(MATCH(11, 輔助計算!$E$2:$E$801, 0)+1))*INDEX(ERP資料!$O:$O,(MATCH(11, 輔助計算!$E$2:$E$801, 0)+1))), "")</f>
        <v/>
      </c>
      <c r="K12" s="16" t="n"/>
      <c r="L12" s="16" t="n"/>
      <c r="M12" s="17" t="n"/>
    </row>
    <row r="13">
      <c r="A13" s="14">
        <f>IFERROR(IF(INDEX(ERP資料!$B:$B, (MATCH(12, 輔助計算!$E$2:$E$801, 0)+1))="","",INDEX(ERP資料!$B:$B, (MATCH(12, 輔助計算!$E$2:$E$801, 0)+1))), "")</f>
        <v/>
      </c>
      <c r="B13" s="10">
        <f>IFERROR(IF(INDEX(ERP資料!$A:$A, (MATCH(12, 輔助計算!$E$2:$E$801, 0)+1))="","",INDEX(ERP資料!$A:$A, (MATCH(12, 輔助計算!$E$2:$E$801, 0)+1))), "")</f>
        <v/>
      </c>
      <c r="C13" s="10">
        <f>IFERROR(IF(INDEX(ERP資料!$S:$S, (MATCH(12, 輔助計算!$E$2:$E$801, 0)+1))="","",INDEX(ERP資料!$S:$S, (MATCH(12, 輔助計算!$E$2:$E$801, 0)+1))), "")</f>
        <v/>
      </c>
      <c r="D13" s="10">
        <f>IFERROR(IF(INDEX(ERP資料!$E:$E, (MATCH(12, 輔助計算!$E$2:$E$801, 0)+1))="","",TRIM(INDEX(ERP資料!$E:$E, (MATCH(12, 輔助計算!$E$2:$E$801, 0)+1)))), "")</f>
        <v/>
      </c>
      <c r="E13" s="10">
        <f>IFERROR(IF(INDEX(ERP資料!$F:$F, (MATCH(12, 輔助計算!$E$2:$E$801, 0)+1))="","",INDEX(ERP資料!$F:$F, (MATCH(12, 輔助計算!$E$2:$E$801, 0)+1))), "")</f>
        <v/>
      </c>
      <c r="F13" s="10">
        <f>IFERROR(IF(INDEX(ERP資料!$G:$G, (MATCH(12, 輔助計算!$E$2:$E$801, 0)+1))="","",INDEX(ERP資料!$G:$G, (MATCH(12, 輔助計算!$E$2:$E$801, 0)+1))), "")</f>
        <v/>
      </c>
      <c r="G13" s="10">
        <f>IFERROR(IF(INDEX(ERP資料!$H:$H, (MATCH(12, 輔助計算!$E$2:$E$801, 0)+1))="","",INDEX(ERP資料!$H:$H, (MATCH(12, 輔助計算!$E$2:$E$801, 0)+1))), "")</f>
        <v/>
      </c>
      <c r="H13" s="15">
        <f>IFERROR(INDEX(輔助計算!$D:$D, (MATCH(12, 輔助計算!$E$2:$E$801, 0)+1)), "")</f>
        <v/>
      </c>
      <c r="I13" s="10">
        <f>IFERROR(IF(INDEX(ERP資料!$O:$O, (MATCH(12, 輔助計算!$E$2:$E$801, 0)+1))="","",INDEX(ERP資料!$O:$O, (MATCH(12, 輔助計算!$E$2:$E$801, 0)+1))), "")</f>
        <v/>
      </c>
      <c r="J13" s="15">
        <f>IFERROR(IF(INDEX(輔助計算!$D:$D,(MATCH(12, 輔助計算!$E$2:$E$801, 0)+1))="","",INDEX(輔助計算!$D:$D,(MATCH(12, 輔助計算!$E$2:$E$801, 0)+1))*INDEX(ERP資料!$O:$O,(MATCH(12, 輔助計算!$E$2:$E$801, 0)+1))), "")</f>
        <v/>
      </c>
      <c r="K13" s="16" t="n"/>
      <c r="L13" s="16" t="n"/>
      <c r="M13" s="17" t="n"/>
    </row>
    <row r="14">
      <c r="A14" s="14">
        <f>IFERROR(IF(INDEX(ERP資料!$B:$B, (MATCH(13, 輔助計算!$E$2:$E$801, 0)+1))="","",INDEX(ERP資料!$B:$B, (MATCH(13, 輔助計算!$E$2:$E$801, 0)+1))), "")</f>
        <v/>
      </c>
      <c r="B14" s="10">
        <f>IFERROR(IF(INDEX(ERP資料!$A:$A, (MATCH(13, 輔助計算!$E$2:$E$801, 0)+1))="","",INDEX(ERP資料!$A:$A, (MATCH(13, 輔助計算!$E$2:$E$801, 0)+1))), "")</f>
        <v/>
      </c>
      <c r="C14" s="10">
        <f>IFERROR(IF(INDEX(ERP資料!$S:$S, (MATCH(13, 輔助計算!$E$2:$E$801, 0)+1))="","",INDEX(ERP資料!$S:$S, (MATCH(13, 輔助計算!$E$2:$E$801, 0)+1))), "")</f>
        <v/>
      </c>
      <c r="D14" s="10">
        <f>IFERROR(IF(INDEX(ERP資料!$E:$E, (MATCH(13, 輔助計算!$E$2:$E$801, 0)+1))="","",TRIM(INDEX(ERP資料!$E:$E, (MATCH(13, 輔助計算!$E$2:$E$801, 0)+1)))), "")</f>
        <v/>
      </c>
      <c r="E14" s="10">
        <f>IFERROR(IF(INDEX(ERP資料!$F:$F, (MATCH(13, 輔助計算!$E$2:$E$801, 0)+1))="","",INDEX(ERP資料!$F:$F, (MATCH(13, 輔助計算!$E$2:$E$801, 0)+1))), "")</f>
        <v/>
      </c>
      <c r="F14" s="10">
        <f>IFERROR(IF(INDEX(ERP資料!$G:$G, (MATCH(13, 輔助計算!$E$2:$E$801, 0)+1))="","",INDEX(ERP資料!$G:$G, (MATCH(13, 輔助計算!$E$2:$E$801, 0)+1))), "")</f>
        <v/>
      </c>
      <c r="G14" s="10">
        <f>IFERROR(IF(INDEX(ERP資料!$H:$H, (MATCH(13, 輔助計算!$E$2:$E$801, 0)+1))="","",INDEX(ERP資料!$H:$H, (MATCH(13, 輔助計算!$E$2:$E$801, 0)+1))), "")</f>
        <v/>
      </c>
      <c r="H14" s="15">
        <f>IFERROR(INDEX(輔助計算!$D:$D, (MATCH(13, 輔助計算!$E$2:$E$801, 0)+1)), "")</f>
        <v/>
      </c>
      <c r="I14" s="10">
        <f>IFERROR(IF(INDEX(ERP資料!$O:$O, (MATCH(13, 輔助計算!$E$2:$E$801, 0)+1))="","",INDEX(ERP資料!$O:$O, (MATCH(13, 輔助計算!$E$2:$E$801, 0)+1))), "")</f>
        <v/>
      </c>
      <c r="J14" s="15">
        <f>IFERROR(IF(INDEX(輔助計算!$D:$D,(MATCH(13, 輔助計算!$E$2:$E$801, 0)+1))="","",INDEX(輔助計算!$D:$D,(MATCH(13, 輔助計算!$E$2:$E$801, 0)+1))*INDEX(ERP資料!$O:$O,(MATCH(13, 輔助計算!$E$2:$E$801, 0)+1))), "")</f>
        <v/>
      </c>
      <c r="K14" s="16" t="n"/>
      <c r="L14" s="16" t="n"/>
      <c r="M14" s="17" t="n"/>
    </row>
    <row r="15">
      <c r="A15" s="14">
        <f>IFERROR(IF(INDEX(ERP資料!$B:$B, (MATCH(14, 輔助計算!$E$2:$E$801, 0)+1))="","",INDEX(ERP資料!$B:$B, (MATCH(14, 輔助計算!$E$2:$E$801, 0)+1))), "")</f>
        <v/>
      </c>
      <c r="B15" s="10">
        <f>IFERROR(IF(INDEX(ERP資料!$A:$A, (MATCH(14, 輔助計算!$E$2:$E$801, 0)+1))="","",INDEX(ERP資料!$A:$A, (MATCH(14, 輔助計算!$E$2:$E$801, 0)+1))), "")</f>
        <v/>
      </c>
      <c r="C15" s="10">
        <f>IFERROR(IF(INDEX(ERP資料!$S:$S, (MATCH(14, 輔助計算!$E$2:$E$801, 0)+1))="","",INDEX(ERP資料!$S:$S, (MATCH(14, 輔助計算!$E$2:$E$801, 0)+1))), "")</f>
        <v/>
      </c>
      <c r="D15" s="10">
        <f>IFERROR(IF(INDEX(ERP資料!$E:$E, (MATCH(14, 輔助計算!$E$2:$E$801, 0)+1))="","",TRIM(INDEX(ERP資料!$E:$E, (MATCH(14, 輔助計算!$E$2:$E$801, 0)+1)))), "")</f>
        <v/>
      </c>
      <c r="E15" s="10">
        <f>IFERROR(IF(INDEX(ERP資料!$F:$F, (MATCH(14, 輔助計算!$E$2:$E$801, 0)+1))="","",INDEX(ERP資料!$F:$F, (MATCH(14, 輔助計算!$E$2:$E$801, 0)+1))), "")</f>
        <v/>
      </c>
      <c r="F15" s="10">
        <f>IFERROR(IF(INDEX(ERP資料!$G:$G, (MATCH(14, 輔助計算!$E$2:$E$801, 0)+1))="","",INDEX(ERP資料!$G:$G, (MATCH(14, 輔助計算!$E$2:$E$801, 0)+1))), "")</f>
        <v/>
      </c>
      <c r="G15" s="10">
        <f>IFERROR(IF(INDEX(ERP資料!$H:$H, (MATCH(14, 輔助計算!$E$2:$E$801, 0)+1))="","",INDEX(ERP資料!$H:$H, (MATCH(14, 輔助計算!$E$2:$E$801, 0)+1))), "")</f>
        <v/>
      </c>
      <c r="H15" s="15">
        <f>IFERROR(INDEX(輔助計算!$D:$D, (MATCH(14, 輔助計算!$E$2:$E$801, 0)+1)), "")</f>
        <v/>
      </c>
      <c r="I15" s="10">
        <f>IFERROR(IF(INDEX(ERP資料!$O:$O, (MATCH(14, 輔助計算!$E$2:$E$801, 0)+1))="","",INDEX(ERP資料!$O:$O, (MATCH(14, 輔助計算!$E$2:$E$801, 0)+1))), "")</f>
        <v/>
      </c>
      <c r="J15" s="15">
        <f>IFERROR(IF(INDEX(輔助計算!$D:$D,(MATCH(14, 輔助計算!$E$2:$E$801, 0)+1))="","",INDEX(輔助計算!$D:$D,(MATCH(14, 輔助計算!$E$2:$E$801, 0)+1))*INDEX(ERP資料!$O:$O,(MATCH(14, 輔助計算!$E$2:$E$801, 0)+1))), "")</f>
        <v/>
      </c>
      <c r="K15" s="16" t="n"/>
      <c r="L15" s="16" t="n"/>
      <c r="M15" s="17" t="n"/>
    </row>
    <row r="16">
      <c r="A16" s="14">
        <f>IFERROR(IF(INDEX(ERP資料!$B:$B, (MATCH(15, 輔助計算!$E$2:$E$801, 0)+1))="","",INDEX(ERP資料!$B:$B, (MATCH(15, 輔助計算!$E$2:$E$801, 0)+1))), "")</f>
        <v/>
      </c>
      <c r="B16" s="10">
        <f>IFERROR(IF(INDEX(ERP資料!$A:$A, (MATCH(15, 輔助計算!$E$2:$E$801, 0)+1))="","",INDEX(ERP資料!$A:$A, (MATCH(15, 輔助計算!$E$2:$E$801, 0)+1))), "")</f>
        <v/>
      </c>
      <c r="C16" s="10">
        <f>IFERROR(IF(INDEX(ERP資料!$S:$S, (MATCH(15, 輔助計算!$E$2:$E$801, 0)+1))="","",INDEX(ERP資料!$S:$S, (MATCH(15, 輔助計算!$E$2:$E$801, 0)+1))), "")</f>
        <v/>
      </c>
      <c r="D16" s="10">
        <f>IFERROR(IF(INDEX(ERP資料!$E:$E, (MATCH(15, 輔助計算!$E$2:$E$801, 0)+1))="","",TRIM(INDEX(ERP資料!$E:$E, (MATCH(15, 輔助計算!$E$2:$E$801, 0)+1)))), "")</f>
        <v/>
      </c>
      <c r="E16" s="10">
        <f>IFERROR(IF(INDEX(ERP資料!$F:$F, (MATCH(15, 輔助計算!$E$2:$E$801, 0)+1))="","",INDEX(ERP資料!$F:$F, (MATCH(15, 輔助計算!$E$2:$E$801, 0)+1))), "")</f>
        <v/>
      </c>
      <c r="F16" s="10">
        <f>IFERROR(IF(INDEX(ERP資料!$G:$G, (MATCH(15, 輔助計算!$E$2:$E$801, 0)+1))="","",INDEX(ERP資料!$G:$G, (MATCH(15, 輔助計算!$E$2:$E$801, 0)+1))), "")</f>
        <v/>
      </c>
      <c r="G16" s="10">
        <f>IFERROR(IF(INDEX(ERP資料!$H:$H, (MATCH(15, 輔助計算!$E$2:$E$801, 0)+1))="","",INDEX(ERP資料!$H:$H, (MATCH(15, 輔助計算!$E$2:$E$801, 0)+1))), "")</f>
        <v/>
      </c>
      <c r="H16" s="15">
        <f>IFERROR(INDEX(輔助計算!$D:$D, (MATCH(15, 輔助計算!$E$2:$E$801, 0)+1)), "")</f>
        <v/>
      </c>
      <c r="I16" s="10">
        <f>IFERROR(IF(INDEX(ERP資料!$O:$O, (MATCH(15, 輔助計算!$E$2:$E$801, 0)+1))="","",INDEX(ERP資料!$O:$O, (MATCH(15, 輔助計算!$E$2:$E$801, 0)+1))), "")</f>
        <v/>
      </c>
      <c r="J16" s="15">
        <f>IFERROR(IF(INDEX(輔助計算!$D:$D,(MATCH(15, 輔助計算!$E$2:$E$801, 0)+1))="","",INDEX(輔助計算!$D:$D,(MATCH(15, 輔助計算!$E$2:$E$801, 0)+1))*INDEX(ERP資料!$O:$O,(MATCH(15, 輔助計算!$E$2:$E$801, 0)+1))), "")</f>
        <v/>
      </c>
      <c r="K16" s="16" t="n"/>
      <c r="L16" s="16" t="n"/>
      <c r="M16" s="17" t="n"/>
    </row>
    <row r="17">
      <c r="A17" s="14">
        <f>IFERROR(IF(INDEX(ERP資料!$B:$B, (MATCH(16, 輔助計算!$E$2:$E$801, 0)+1))="","",INDEX(ERP資料!$B:$B, (MATCH(16, 輔助計算!$E$2:$E$801, 0)+1))), "")</f>
        <v/>
      </c>
      <c r="B17" s="10">
        <f>IFERROR(IF(INDEX(ERP資料!$A:$A, (MATCH(16, 輔助計算!$E$2:$E$801, 0)+1))="","",INDEX(ERP資料!$A:$A, (MATCH(16, 輔助計算!$E$2:$E$801, 0)+1))), "")</f>
        <v/>
      </c>
      <c r="C17" s="10">
        <f>IFERROR(IF(INDEX(ERP資料!$S:$S, (MATCH(16, 輔助計算!$E$2:$E$801, 0)+1))="","",INDEX(ERP資料!$S:$S, (MATCH(16, 輔助計算!$E$2:$E$801, 0)+1))), "")</f>
        <v/>
      </c>
      <c r="D17" s="10">
        <f>IFERROR(IF(INDEX(ERP資料!$E:$E, (MATCH(16, 輔助計算!$E$2:$E$801, 0)+1))="","",TRIM(INDEX(ERP資料!$E:$E, (MATCH(16, 輔助計算!$E$2:$E$801, 0)+1)))), "")</f>
        <v/>
      </c>
      <c r="E17" s="10">
        <f>IFERROR(IF(INDEX(ERP資料!$F:$F, (MATCH(16, 輔助計算!$E$2:$E$801, 0)+1))="","",INDEX(ERP資料!$F:$F, (MATCH(16, 輔助計算!$E$2:$E$801, 0)+1))), "")</f>
        <v/>
      </c>
      <c r="F17" s="10">
        <f>IFERROR(IF(INDEX(ERP資料!$G:$G, (MATCH(16, 輔助計算!$E$2:$E$801, 0)+1))="","",INDEX(ERP資料!$G:$G, (MATCH(16, 輔助計算!$E$2:$E$801, 0)+1))), "")</f>
        <v/>
      </c>
      <c r="G17" s="10">
        <f>IFERROR(IF(INDEX(ERP資料!$H:$H, (MATCH(16, 輔助計算!$E$2:$E$801, 0)+1))="","",INDEX(ERP資料!$H:$H, (MATCH(16, 輔助計算!$E$2:$E$801, 0)+1))), "")</f>
        <v/>
      </c>
      <c r="H17" s="15">
        <f>IFERROR(INDEX(輔助計算!$D:$D, (MATCH(16, 輔助計算!$E$2:$E$801, 0)+1)), "")</f>
        <v/>
      </c>
      <c r="I17" s="10">
        <f>IFERROR(IF(INDEX(ERP資料!$O:$O, (MATCH(16, 輔助計算!$E$2:$E$801, 0)+1))="","",INDEX(ERP資料!$O:$O, (MATCH(16, 輔助計算!$E$2:$E$801, 0)+1))), "")</f>
        <v/>
      </c>
      <c r="J17" s="15">
        <f>IFERROR(IF(INDEX(輔助計算!$D:$D,(MATCH(16, 輔助計算!$E$2:$E$801, 0)+1))="","",INDEX(輔助計算!$D:$D,(MATCH(16, 輔助計算!$E$2:$E$801, 0)+1))*INDEX(ERP資料!$O:$O,(MATCH(16, 輔助計算!$E$2:$E$801, 0)+1))), "")</f>
        <v/>
      </c>
      <c r="K17" s="16" t="n"/>
      <c r="L17" s="16" t="n"/>
      <c r="M17" s="17" t="n"/>
    </row>
    <row r="18">
      <c r="A18" s="14">
        <f>IFERROR(IF(INDEX(ERP資料!$B:$B, (MATCH(17, 輔助計算!$E$2:$E$801, 0)+1))="","",INDEX(ERP資料!$B:$B, (MATCH(17, 輔助計算!$E$2:$E$801, 0)+1))), "")</f>
        <v/>
      </c>
      <c r="B18" s="10">
        <f>IFERROR(IF(INDEX(ERP資料!$A:$A, (MATCH(17, 輔助計算!$E$2:$E$801, 0)+1))="","",INDEX(ERP資料!$A:$A, (MATCH(17, 輔助計算!$E$2:$E$801, 0)+1))), "")</f>
        <v/>
      </c>
      <c r="C18" s="10">
        <f>IFERROR(IF(INDEX(ERP資料!$S:$S, (MATCH(17, 輔助計算!$E$2:$E$801, 0)+1))="","",INDEX(ERP資料!$S:$S, (MATCH(17, 輔助計算!$E$2:$E$801, 0)+1))), "")</f>
        <v/>
      </c>
      <c r="D18" s="10">
        <f>IFERROR(IF(INDEX(ERP資料!$E:$E, (MATCH(17, 輔助計算!$E$2:$E$801, 0)+1))="","",TRIM(INDEX(ERP資料!$E:$E, (MATCH(17, 輔助計算!$E$2:$E$801, 0)+1)))), "")</f>
        <v/>
      </c>
      <c r="E18" s="10">
        <f>IFERROR(IF(INDEX(ERP資料!$F:$F, (MATCH(17, 輔助計算!$E$2:$E$801, 0)+1))="","",INDEX(ERP資料!$F:$F, (MATCH(17, 輔助計算!$E$2:$E$801, 0)+1))), "")</f>
        <v/>
      </c>
      <c r="F18" s="10">
        <f>IFERROR(IF(INDEX(ERP資料!$G:$G, (MATCH(17, 輔助計算!$E$2:$E$801, 0)+1))="","",INDEX(ERP資料!$G:$G, (MATCH(17, 輔助計算!$E$2:$E$801, 0)+1))), "")</f>
        <v/>
      </c>
      <c r="G18" s="10">
        <f>IFERROR(IF(INDEX(ERP資料!$H:$H, (MATCH(17, 輔助計算!$E$2:$E$801, 0)+1))="","",INDEX(ERP資料!$H:$H, (MATCH(17, 輔助計算!$E$2:$E$801, 0)+1))), "")</f>
        <v/>
      </c>
      <c r="H18" s="15">
        <f>IFERROR(INDEX(輔助計算!$D:$D, (MATCH(17, 輔助計算!$E$2:$E$801, 0)+1)), "")</f>
        <v/>
      </c>
      <c r="I18" s="10">
        <f>IFERROR(IF(INDEX(ERP資料!$O:$O, (MATCH(17, 輔助計算!$E$2:$E$801, 0)+1))="","",INDEX(ERP資料!$O:$O, (MATCH(17, 輔助計算!$E$2:$E$801, 0)+1))), "")</f>
        <v/>
      </c>
      <c r="J18" s="15">
        <f>IFERROR(IF(INDEX(輔助計算!$D:$D,(MATCH(17, 輔助計算!$E$2:$E$801, 0)+1))="","",INDEX(輔助計算!$D:$D,(MATCH(17, 輔助計算!$E$2:$E$801, 0)+1))*INDEX(ERP資料!$O:$O,(MATCH(17, 輔助計算!$E$2:$E$801, 0)+1))), "")</f>
        <v/>
      </c>
      <c r="K18" s="16" t="n"/>
      <c r="L18" s="16" t="n"/>
      <c r="M18" s="17" t="n"/>
    </row>
    <row r="19">
      <c r="A19" s="14">
        <f>IFERROR(IF(INDEX(ERP資料!$B:$B, (MATCH(18, 輔助計算!$E$2:$E$801, 0)+1))="","",INDEX(ERP資料!$B:$B, (MATCH(18, 輔助計算!$E$2:$E$801, 0)+1))), "")</f>
        <v/>
      </c>
      <c r="B19" s="10">
        <f>IFERROR(IF(INDEX(ERP資料!$A:$A, (MATCH(18, 輔助計算!$E$2:$E$801, 0)+1))="","",INDEX(ERP資料!$A:$A, (MATCH(18, 輔助計算!$E$2:$E$801, 0)+1))), "")</f>
        <v/>
      </c>
      <c r="C19" s="10">
        <f>IFERROR(IF(INDEX(ERP資料!$S:$S, (MATCH(18, 輔助計算!$E$2:$E$801, 0)+1))="","",INDEX(ERP資料!$S:$S, (MATCH(18, 輔助計算!$E$2:$E$801, 0)+1))), "")</f>
        <v/>
      </c>
      <c r="D19" s="10">
        <f>IFERROR(IF(INDEX(ERP資料!$E:$E, (MATCH(18, 輔助計算!$E$2:$E$801, 0)+1))="","",TRIM(INDEX(ERP資料!$E:$E, (MATCH(18, 輔助計算!$E$2:$E$801, 0)+1)))), "")</f>
        <v/>
      </c>
      <c r="E19" s="10">
        <f>IFERROR(IF(INDEX(ERP資料!$F:$F, (MATCH(18, 輔助計算!$E$2:$E$801, 0)+1))="","",INDEX(ERP資料!$F:$F, (MATCH(18, 輔助計算!$E$2:$E$801, 0)+1))), "")</f>
        <v/>
      </c>
      <c r="F19" s="10">
        <f>IFERROR(IF(INDEX(ERP資料!$G:$G, (MATCH(18, 輔助計算!$E$2:$E$801, 0)+1))="","",INDEX(ERP資料!$G:$G, (MATCH(18, 輔助計算!$E$2:$E$801, 0)+1))), "")</f>
        <v/>
      </c>
      <c r="G19" s="10">
        <f>IFERROR(IF(INDEX(ERP資料!$H:$H, (MATCH(18, 輔助計算!$E$2:$E$801, 0)+1))="","",INDEX(ERP資料!$H:$H, (MATCH(18, 輔助計算!$E$2:$E$801, 0)+1))), "")</f>
        <v/>
      </c>
      <c r="H19" s="15">
        <f>IFERROR(INDEX(輔助計算!$D:$D, (MATCH(18, 輔助計算!$E$2:$E$801, 0)+1)), "")</f>
        <v/>
      </c>
      <c r="I19" s="10">
        <f>IFERROR(IF(INDEX(ERP資料!$O:$O, (MATCH(18, 輔助計算!$E$2:$E$801, 0)+1))="","",INDEX(ERP資料!$O:$O, (MATCH(18, 輔助計算!$E$2:$E$801, 0)+1))), "")</f>
        <v/>
      </c>
      <c r="J19" s="15">
        <f>IFERROR(IF(INDEX(輔助計算!$D:$D,(MATCH(18, 輔助計算!$E$2:$E$801, 0)+1))="","",INDEX(輔助計算!$D:$D,(MATCH(18, 輔助計算!$E$2:$E$801, 0)+1))*INDEX(ERP資料!$O:$O,(MATCH(18, 輔助計算!$E$2:$E$801, 0)+1))), "")</f>
        <v/>
      </c>
      <c r="K19" s="16" t="n"/>
      <c r="L19" s="16" t="n"/>
      <c r="M19" s="17" t="n"/>
    </row>
    <row r="20">
      <c r="A20" s="14">
        <f>IFERROR(IF(INDEX(ERP資料!$B:$B, (MATCH(19, 輔助計算!$E$2:$E$801, 0)+1))="","",INDEX(ERP資料!$B:$B, (MATCH(19, 輔助計算!$E$2:$E$801, 0)+1))), "")</f>
        <v/>
      </c>
      <c r="B20" s="10">
        <f>IFERROR(IF(INDEX(ERP資料!$A:$A, (MATCH(19, 輔助計算!$E$2:$E$801, 0)+1))="","",INDEX(ERP資料!$A:$A, (MATCH(19, 輔助計算!$E$2:$E$801, 0)+1))), "")</f>
        <v/>
      </c>
      <c r="C20" s="10">
        <f>IFERROR(IF(INDEX(ERP資料!$S:$S, (MATCH(19, 輔助計算!$E$2:$E$801, 0)+1))="","",INDEX(ERP資料!$S:$S, (MATCH(19, 輔助計算!$E$2:$E$801, 0)+1))), "")</f>
        <v/>
      </c>
      <c r="D20" s="10">
        <f>IFERROR(IF(INDEX(ERP資料!$E:$E, (MATCH(19, 輔助計算!$E$2:$E$801, 0)+1))="","",TRIM(INDEX(ERP資料!$E:$E, (MATCH(19, 輔助計算!$E$2:$E$801, 0)+1)))), "")</f>
        <v/>
      </c>
      <c r="E20" s="10">
        <f>IFERROR(IF(INDEX(ERP資料!$F:$F, (MATCH(19, 輔助計算!$E$2:$E$801, 0)+1))="","",INDEX(ERP資料!$F:$F, (MATCH(19, 輔助計算!$E$2:$E$801, 0)+1))), "")</f>
        <v/>
      </c>
      <c r="F20" s="10">
        <f>IFERROR(IF(INDEX(ERP資料!$G:$G, (MATCH(19, 輔助計算!$E$2:$E$801, 0)+1))="","",INDEX(ERP資料!$G:$G, (MATCH(19, 輔助計算!$E$2:$E$801, 0)+1))), "")</f>
        <v/>
      </c>
      <c r="G20" s="10">
        <f>IFERROR(IF(INDEX(ERP資料!$H:$H, (MATCH(19, 輔助計算!$E$2:$E$801, 0)+1))="","",INDEX(ERP資料!$H:$H, (MATCH(19, 輔助計算!$E$2:$E$801, 0)+1))), "")</f>
        <v/>
      </c>
      <c r="H20" s="15">
        <f>IFERROR(INDEX(輔助計算!$D:$D, (MATCH(19, 輔助計算!$E$2:$E$801, 0)+1)), "")</f>
        <v/>
      </c>
      <c r="I20" s="10">
        <f>IFERROR(IF(INDEX(ERP資料!$O:$O, (MATCH(19, 輔助計算!$E$2:$E$801, 0)+1))="","",INDEX(ERP資料!$O:$O, (MATCH(19, 輔助計算!$E$2:$E$801, 0)+1))), "")</f>
        <v/>
      </c>
      <c r="J20" s="15">
        <f>IFERROR(IF(INDEX(輔助計算!$D:$D,(MATCH(19, 輔助計算!$E$2:$E$801, 0)+1))="","",INDEX(輔助計算!$D:$D,(MATCH(19, 輔助計算!$E$2:$E$801, 0)+1))*INDEX(ERP資料!$O:$O,(MATCH(19, 輔助計算!$E$2:$E$801, 0)+1))), "")</f>
        <v/>
      </c>
      <c r="K20" s="16" t="n"/>
      <c r="L20" s="16" t="n"/>
      <c r="M20" s="17" t="n"/>
    </row>
    <row r="21">
      <c r="A21" s="14">
        <f>IFERROR(IF(INDEX(ERP資料!$B:$B, (MATCH(20, 輔助計算!$E$2:$E$801, 0)+1))="","",INDEX(ERP資料!$B:$B, (MATCH(20, 輔助計算!$E$2:$E$801, 0)+1))), "")</f>
        <v/>
      </c>
      <c r="B21" s="10">
        <f>IFERROR(IF(INDEX(ERP資料!$A:$A, (MATCH(20, 輔助計算!$E$2:$E$801, 0)+1))="","",INDEX(ERP資料!$A:$A, (MATCH(20, 輔助計算!$E$2:$E$801, 0)+1))), "")</f>
        <v/>
      </c>
      <c r="C21" s="10">
        <f>IFERROR(IF(INDEX(ERP資料!$S:$S, (MATCH(20, 輔助計算!$E$2:$E$801, 0)+1))="","",INDEX(ERP資料!$S:$S, (MATCH(20, 輔助計算!$E$2:$E$801, 0)+1))), "")</f>
        <v/>
      </c>
      <c r="D21" s="10">
        <f>IFERROR(IF(INDEX(ERP資料!$E:$E, (MATCH(20, 輔助計算!$E$2:$E$801, 0)+1))="","",TRIM(INDEX(ERP資料!$E:$E, (MATCH(20, 輔助計算!$E$2:$E$801, 0)+1)))), "")</f>
        <v/>
      </c>
      <c r="E21" s="10">
        <f>IFERROR(IF(INDEX(ERP資料!$F:$F, (MATCH(20, 輔助計算!$E$2:$E$801, 0)+1))="","",INDEX(ERP資料!$F:$F, (MATCH(20, 輔助計算!$E$2:$E$801, 0)+1))), "")</f>
        <v/>
      </c>
      <c r="F21" s="10">
        <f>IFERROR(IF(INDEX(ERP資料!$G:$G, (MATCH(20, 輔助計算!$E$2:$E$801, 0)+1))="","",INDEX(ERP資料!$G:$G, (MATCH(20, 輔助計算!$E$2:$E$801, 0)+1))), "")</f>
        <v/>
      </c>
      <c r="G21" s="10">
        <f>IFERROR(IF(INDEX(ERP資料!$H:$H, (MATCH(20, 輔助計算!$E$2:$E$801, 0)+1))="","",INDEX(ERP資料!$H:$H, (MATCH(20, 輔助計算!$E$2:$E$801, 0)+1))), "")</f>
        <v/>
      </c>
      <c r="H21" s="15">
        <f>IFERROR(INDEX(輔助計算!$D:$D, (MATCH(20, 輔助計算!$E$2:$E$801, 0)+1)), "")</f>
        <v/>
      </c>
      <c r="I21" s="10">
        <f>IFERROR(IF(INDEX(ERP資料!$O:$O, (MATCH(20, 輔助計算!$E$2:$E$801, 0)+1))="","",INDEX(ERP資料!$O:$O, (MATCH(20, 輔助計算!$E$2:$E$801, 0)+1))), "")</f>
        <v/>
      </c>
      <c r="J21" s="15">
        <f>IFERROR(IF(INDEX(輔助計算!$D:$D,(MATCH(20, 輔助計算!$E$2:$E$801, 0)+1))="","",INDEX(輔助計算!$D:$D,(MATCH(20, 輔助計算!$E$2:$E$801, 0)+1))*INDEX(ERP資料!$O:$O,(MATCH(20, 輔助計算!$E$2:$E$801, 0)+1))), "")</f>
        <v/>
      </c>
      <c r="K21" s="16" t="n"/>
      <c r="L21" s="16" t="n"/>
      <c r="M21" s="17" t="n"/>
    </row>
    <row r="22">
      <c r="A22" s="14">
        <f>IFERROR(IF(INDEX(ERP資料!$B:$B, (MATCH(21, 輔助計算!$E$2:$E$801, 0)+1))="","",INDEX(ERP資料!$B:$B, (MATCH(21, 輔助計算!$E$2:$E$801, 0)+1))), "")</f>
        <v/>
      </c>
      <c r="B22" s="10">
        <f>IFERROR(IF(INDEX(ERP資料!$A:$A, (MATCH(21, 輔助計算!$E$2:$E$801, 0)+1))="","",INDEX(ERP資料!$A:$A, (MATCH(21, 輔助計算!$E$2:$E$801, 0)+1))), "")</f>
        <v/>
      </c>
      <c r="C22" s="10">
        <f>IFERROR(IF(INDEX(ERP資料!$S:$S, (MATCH(21, 輔助計算!$E$2:$E$801, 0)+1))="","",INDEX(ERP資料!$S:$S, (MATCH(21, 輔助計算!$E$2:$E$801, 0)+1))), "")</f>
        <v/>
      </c>
      <c r="D22" s="10">
        <f>IFERROR(IF(INDEX(ERP資料!$E:$E, (MATCH(21, 輔助計算!$E$2:$E$801, 0)+1))="","",TRIM(INDEX(ERP資料!$E:$E, (MATCH(21, 輔助計算!$E$2:$E$801, 0)+1)))), "")</f>
        <v/>
      </c>
      <c r="E22" s="10">
        <f>IFERROR(IF(INDEX(ERP資料!$F:$F, (MATCH(21, 輔助計算!$E$2:$E$801, 0)+1))="","",INDEX(ERP資料!$F:$F, (MATCH(21, 輔助計算!$E$2:$E$801, 0)+1))), "")</f>
        <v/>
      </c>
      <c r="F22" s="10">
        <f>IFERROR(IF(INDEX(ERP資料!$G:$G, (MATCH(21, 輔助計算!$E$2:$E$801, 0)+1))="","",INDEX(ERP資料!$G:$G, (MATCH(21, 輔助計算!$E$2:$E$801, 0)+1))), "")</f>
        <v/>
      </c>
      <c r="G22" s="10">
        <f>IFERROR(IF(INDEX(ERP資料!$H:$H, (MATCH(21, 輔助計算!$E$2:$E$801, 0)+1))="","",INDEX(ERP資料!$H:$H, (MATCH(21, 輔助計算!$E$2:$E$801, 0)+1))), "")</f>
        <v/>
      </c>
      <c r="H22" s="15">
        <f>IFERROR(INDEX(輔助計算!$D:$D, (MATCH(21, 輔助計算!$E$2:$E$801, 0)+1)), "")</f>
        <v/>
      </c>
      <c r="I22" s="10">
        <f>IFERROR(IF(INDEX(ERP資料!$O:$O, (MATCH(21, 輔助計算!$E$2:$E$801, 0)+1))="","",INDEX(ERP資料!$O:$O, (MATCH(21, 輔助計算!$E$2:$E$801, 0)+1))), "")</f>
        <v/>
      </c>
      <c r="J22" s="15">
        <f>IFERROR(IF(INDEX(輔助計算!$D:$D,(MATCH(21, 輔助計算!$E$2:$E$801, 0)+1))="","",INDEX(輔助計算!$D:$D,(MATCH(21, 輔助計算!$E$2:$E$801, 0)+1))*INDEX(ERP資料!$O:$O,(MATCH(21, 輔助計算!$E$2:$E$801, 0)+1))), "")</f>
        <v/>
      </c>
      <c r="K22" s="16" t="n"/>
      <c r="L22" s="16" t="n"/>
      <c r="M22" s="17" t="n"/>
    </row>
    <row r="23">
      <c r="A23" s="14">
        <f>IFERROR(IF(INDEX(ERP資料!$B:$B, (MATCH(22, 輔助計算!$E$2:$E$801, 0)+1))="","",INDEX(ERP資料!$B:$B, (MATCH(22, 輔助計算!$E$2:$E$801, 0)+1))), "")</f>
        <v/>
      </c>
      <c r="B23" s="10">
        <f>IFERROR(IF(INDEX(ERP資料!$A:$A, (MATCH(22, 輔助計算!$E$2:$E$801, 0)+1))="","",INDEX(ERP資料!$A:$A, (MATCH(22, 輔助計算!$E$2:$E$801, 0)+1))), "")</f>
        <v/>
      </c>
      <c r="C23" s="10">
        <f>IFERROR(IF(INDEX(ERP資料!$S:$S, (MATCH(22, 輔助計算!$E$2:$E$801, 0)+1))="","",INDEX(ERP資料!$S:$S, (MATCH(22, 輔助計算!$E$2:$E$801, 0)+1))), "")</f>
        <v/>
      </c>
      <c r="D23" s="10">
        <f>IFERROR(IF(INDEX(ERP資料!$E:$E, (MATCH(22, 輔助計算!$E$2:$E$801, 0)+1))="","",TRIM(INDEX(ERP資料!$E:$E, (MATCH(22, 輔助計算!$E$2:$E$801, 0)+1)))), "")</f>
        <v/>
      </c>
      <c r="E23" s="10">
        <f>IFERROR(IF(INDEX(ERP資料!$F:$F, (MATCH(22, 輔助計算!$E$2:$E$801, 0)+1))="","",INDEX(ERP資料!$F:$F, (MATCH(22, 輔助計算!$E$2:$E$801, 0)+1))), "")</f>
        <v/>
      </c>
      <c r="F23" s="10">
        <f>IFERROR(IF(INDEX(ERP資料!$G:$G, (MATCH(22, 輔助計算!$E$2:$E$801, 0)+1))="","",INDEX(ERP資料!$G:$G, (MATCH(22, 輔助計算!$E$2:$E$801, 0)+1))), "")</f>
        <v/>
      </c>
      <c r="G23" s="10">
        <f>IFERROR(IF(INDEX(ERP資料!$H:$H, (MATCH(22, 輔助計算!$E$2:$E$801, 0)+1))="","",INDEX(ERP資料!$H:$H, (MATCH(22, 輔助計算!$E$2:$E$801, 0)+1))), "")</f>
        <v/>
      </c>
      <c r="H23" s="15">
        <f>IFERROR(INDEX(輔助計算!$D:$D, (MATCH(22, 輔助計算!$E$2:$E$801, 0)+1)), "")</f>
        <v/>
      </c>
      <c r="I23" s="10">
        <f>IFERROR(IF(INDEX(ERP資料!$O:$O, (MATCH(22, 輔助計算!$E$2:$E$801, 0)+1))="","",INDEX(ERP資料!$O:$O, (MATCH(22, 輔助計算!$E$2:$E$801, 0)+1))), "")</f>
        <v/>
      </c>
      <c r="J23" s="15">
        <f>IFERROR(IF(INDEX(輔助計算!$D:$D,(MATCH(22, 輔助計算!$E$2:$E$801, 0)+1))="","",INDEX(輔助計算!$D:$D,(MATCH(22, 輔助計算!$E$2:$E$801, 0)+1))*INDEX(ERP資料!$O:$O,(MATCH(22, 輔助計算!$E$2:$E$801, 0)+1))), "")</f>
        <v/>
      </c>
      <c r="K23" s="16" t="n"/>
      <c r="L23" s="16" t="n"/>
      <c r="M23" s="17" t="n"/>
    </row>
    <row r="24">
      <c r="A24" s="14">
        <f>IFERROR(IF(INDEX(ERP資料!$B:$B, (MATCH(23, 輔助計算!$E$2:$E$801, 0)+1))="","",INDEX(ERP資料!$B:$B, (MATCH(23, 輔助計算!$E$2:$E$801, 0)+1))), "")</f>
        <v/>
      </c>
      <c r="B24" s="10">
        <f>IFERROR(IF(INDEX(ERP資料!$A:$A, (MATCH(23, 輔助計算!$E$2:$E$801, 0)+1))="","",INDEX(ERP資料!$A:$A, (MATCH(23, 輔助計算!$E$2:$E$801, 0)+1))), "")</f>
        <v/>
      </c>
      <c r="C24" s="10">
        <f>IFERROR(IF(INDEX(ERP資料!$S:$S, (MATCH(23, 輔助計算!$E$2:$E$801, 0)+1))="","",INDEX(ERP資料!$S:$S, (MATCH(23, 輔助計算!$E$2:$E$801, 0)+1))), "")</f>
        <v/>
      </c>
      <c r="D24" s="10">
        <f>IFERROR(IF(INDEX(ERP資料!$E:$E, (MATCH(23, 輔助計算!$E$2:$E$801, 0)+1))="","",TRIM(INDEX(ERP資料!$E:$E, (MATCH(23, 輔助計算!$E$2:$E$801, 0)+1)))), "")</f>
        <v/>
      </c>
      <c r="E24" s="10">
        <f>IFERROR(IF(INDEX(ERP資料!$F:$F, (MATCH(23, 輔助計算!$E$2:$E$801, 0)+1))="","",INDEX(ERP資料!$F:$F, (MATCH(23, 輔助計算!$E$2:$E$801, 0)+1))), "")</f>
        <v/>
      </c>
      <c r="F24" s="10">
        <f>IFERROR(IF(INDEX(ERP資料!$G:$G, (MATCH(23, 輔助計算!$E$2:$E$801, 0)+1))="","",INDEX(ERP資料!$G:$G, (MATCH(23, 輔助計算!$E$2:$E$801, 0)+1))), "")</f>
        <v/>
      </c>
      <c r="G24" s="10">
        <f>IFERROR(IF(INDEX(ERP資料!$H:$H, (MATCH(23, 輔助計算!$E$2:$E$801, 0)+1))="","",INDEX(ERP資料!$H:$H, (MATCH(23, 輔助計算!$E$2:$E$801, 0)+1))), "")</f>
        <v/>
      </c>
      <c r="H24" s="15">
        <f>IFERROR(INDEX(輔助計算!$D:$D, (MATCH(23, 輔助計算!$E$2:$E$801, 0)+1)), "")</f>
        <v/>
      </c>
      <c r="I24" s="10">
        <f>IFERROR(IF(INDEX(ERP資料!$O:$O, (MATCH(23, 輔助計算!$E$2:$E$801, 0)+1))="","",INDEX(ERP資料!$O:$O, (MATCH(23, 輔助計算!$E$2:$E$801, 0)+1))), "")</f>
        <v/>
      </c>
      <c r="J24" s="15">
        <f>IFERROR(IF(INDEX(輔助計算!$D:$D,(MATCH(23, 輔助計算!$E$2:$E$801, 0)+1))="","",INDEX(輔助計算!$D:$D,(MATCH(23, 輔助計算!$E$2:$E$801, 0)+1))*INDEX(ERP資料!$O:$O,(MATCH(23, 輔助計算!$E$2:$E$801, 0)+1))), "")</f>
        <v/>
      </c>
      <c r="K24" s="16" t="n"/>
      <c r="L24" s="16" t="n"/>
      <c r="M24" s="17" t="n"/>
    </row>
    <row r="25">
      <c r="A25" s="14">
        <f>IFERROR(IF(INDEX(ERP資料!$B:$B, (MATCH(24, 輔助計算!$E$2:$E$801, 0)+1))="","",INDEX(ERP資料!$B:$B, (MATCH(24, 輔助計算!$E$2:$E$801, 0)+1))), "")</f>
        <v/>
      </c>
      <c r="B25" s="10">
        <f>IFERROR(IF(INDEX(ERP資料!$A:$A, (MATCH(24, 輔助計算!$E$2:$E$801, 0)+1))="","",INDEX(ERP資料!$A:$A, (MATCH(24, 輔助計算!$E$2:$E$801, 0)+1))), "")</f>
        <v/>
      </c>
      <c r="C25" s="10">
        <f>IFERROR(IF(INDEX(ERP資料!$S:$S, (MATCH(24, 輔助計算!$E$2:$E$801, 0)+1))="","",INDEX(ERP資料!$S:$S, (MATCH(24, 輔助計算!$E$2:$E$801, 0)+1))), "")</f>
        <v/>
      </c>
      <c r="D25" s="10">
        <f>IFERROR(IF(INDEX(ERP資料!$E:$E, (MATCH(24, 輔助計算!$E$2:$E$801, 0)+1))="","",TRIM(INDEX(ERP資料!$E:$E, (MATCH(24, 輔助計算!$E$2:$E$801, 0)+1)))), "")</f>
        <v/>
      </c>
      <c r="E25" s="10">
        <f>IFERROR(IF(INDEX(ERP資料!$F:$F, (MATCH(24, 輔助計算!$E$2:$E$801, 0)+1))="","",INDEX(ERP資料!$F:$F, (MATCH(24, 輔助計算!$E$2:$E$801, 0)+1))), "")</f>
        <v/>
      </c>
      <c r="F25" s="10">
        <f>IFERROR(IF(INDEX(ERP資料!$G:$G, (MATCH(24, 輔助計算!$E$2:$E$801, 0)+1))="","",INDEX(ERP資料!$G:$G, (MATCH(24, 輔助計算!$E$2:$E$801, 0)+1))), "")</f>
        <v/>
      </c>
      <c r="G25" s="10">
        <f>IFERROR(IF(INDEX(ERP資料!$H:$H, (MATCH(24, 輔助計算!$E$2:$E$801, 0)+1))="","",INDEX(ERP資料!$H:$H, (MATCH(24, 輔助計算!$E$2:$E$801, 0)+1))), "")</f>
        <v/>
      </c>
      <c r="H25" s="15">
        <f>IFERROR(INDEX(輔助計算!$D:$D, (MATCH(24, 輔助計算!$E$2:$E$801, 0)+1)), "")</f>
        <v/>
      </c>
      <c r="I25" s="10">
        <f>IFERROR(IF(INDEX(ERP資料!$O:$O, (MATCH(24, 輔助計算!$E$2:$E$801, 0)+1))="","",INDEX(ERP資料!$O:$O, (MATCH(24, 輔助計算!$E$2:$E$801, 0)+1))), "")</f>
        <v/>
      </c>
      <c r="J25" s="15">
        <f>IFERROR(IF(INDEX(輔助計算!$D:$D,(MATCH(24, 輔助計算!$E$2:$E$801, 0)+1))="","",INDEX(輔助計算!$D:$D,(MATCH(24, 輔助計算!$E$2:$E$801, 0)+1))*INDEX(ERP資料!$O:$O,(MATCH(24, 輔助計算!$E$2:$E$801, 0)+1))), "")</f>
        <v/>
      </c>
      <c r="K25" s="16" t="n"/>
      <c r="L25" s="16" t="n"/>
      <c r="M25" s="17" t="n"/>
    </row>
    <row r="26">
      <c r="A26" s="14">
        <f>IFERROR(IF(INDEX(ERP資料!$B:$B, (MATCH(25, 輔助計算!$E$2:$E$801, 0)+1))="","",INDEX(ERP資料!$B:$B, (MATCH(25, 輔助計算!$E$2:$E$801, 0)+1))), "")</f>
        <v/>
      </c>
      <c r="B26" s="10">
        <f>IFERROR(IF(INDEX(ERP資料!$A:$A, (MATCH(25, 輔助計算!$E$2:$E$801, 0)+1))="","",INDEX(ERP資料!$A:$A, (MATCH(25, 輔助計算!$E$2:$E$801, 0)+1))), "")</f>
        <v/>
      </c>
      <c r="C26" s="10">
        <f>IFERROR(IF(INDEX(ERP資料!$S:$S, (MATCH(25, 輔助計算!$E$2:$E$801, 0)+1))="","",INDEX(ERP資料!$S:$S, (MATCH(25, 輔助計算!$E$2:$E$801, 0)+1))), "")</f>
        <v/>
      </c>
      <c r="D26" s="10">
        <f>IFERROR(IF(INDEX(ERP資料!$E:$E, (MATCH(25, 輔助計算!$E$2:$E$801, 0)+1))="","",TRIM(INDEX(ERP資料!$E:$E, (MATCH(25, 輔助計算!$E$2:$E$801, 0)+1)))), "")</f>
        <v/>
      </c>
      <c r="E26" s="10">
        <f>IFERROR(IF(INDEX(ERP資料!$F:$F, (MATCH(25, 輔助計算!$E$2:$E$801, 0)+1))="","",INDEX(ERP資料!$F:$F, (MATCH(25, 輔助計算!$E$2:$E$801, 0)+1))), "")</f>
        <v/>
      </c>
      <c r="F26" s="10">
        <f>IFERROR(IF(INDEX(ERP資料!$G:$G, (MATCH(25, 輔助計算!$E$2:$E$801, 0)+1))="","",INDEX(ERP資料!$G:$G, (MATCH(25, 輔助計算!$E$2:$E$801, 0)+1))), "")</f>
        <v/>
      </c>
      <c r="G26" s="10">
        <f>IFERROR(IF(INDEX(ERP資料!$H:$H, (MATCH(25, 輔助計算!$E$2:$E$801, 0)+1))="","",INDEX(ERP資料!$H:$H, (MATCH(25, 輔助計算!$E$2:$E$801, 0)+1))), "")</f>
        <v/>
      </c>
      <c r="H26" s="15">
        <f>IFERROR(INDEX(輔助計算!$D:$D, (MATCH(25, 輔助計算!$E$2:$E$801, 0)+1)), "")</f>
        <v/>
      </c>
      <c r="I26" s="10">
        <f>IFERROR(IF(INDEX(ERP資料!$O:$O, (MATCH(25, 輔助計算!$E$2:$E$801, 0)+1))="","",INDEX(ERP資料!$O:$O, (MATCH(25, 輔助計算!$E$2:$E$801, 0)+1))), "")</f>
        <v/>
      </c>
      <c r="J26" s="15">
        <f>IFERROR(IF(INDEX(輔助計算!$D:$D,(MATCH(25, 輔助計算!$E$2:$E$801, 0)+1))="","",INDEX(輔助計算!$D:$D,(MATCH(25, 輔助計算!$E$2:$E$801, 0)+1))*INDEX(ERP資料!$O:$O,(MATCH(25, 輔助計算!$E$2:$E$801, 0)+1))), "")</f>
        <v/>
      </c>
      <c r="K26" s="16" t="n"/>
      <c r="L26" s="16" t="n"/>
      <c r="M26" s="17" t="n"/>
    </row>
    <row r="27">
      <c r="A27" s="14">
        <f>IFERROR(IF(INDEX(ERP資料!$B:$B, (MATCH(26, 輔助計算!$E$2:$E$801, 0)+1))="","",INDEX(ERP資料!$B:$B, (MATCH(26, 輔助計算!$E$2:$E$801, 0)+1))), "")</f>
        <v/>
      </c>
      <c r="B27" s="10">
        <f>IFERROR(IF(INDEX(ERP資料!$A:$A, (MATCH(26, 輔助計算!$E$2:$E$801, 0)+1))="","",INDEX(ERP資料!$A:$A, (MATCH(26, 輔助計算!$E$2:$E$801, 0)+1))), "")</f>
        <v/>
      </c>
      <c r="C27" s="10">
        <f>IFERROR(IF(INDEX(ERP資料!$S:$S, (MATCH(26, 輔助計算!$E$2:$E$801, 0)+1))="","",INDEX(ERP資料!$S:$S, (MATCH(26, 輔助計算!$E$2:$E$801, 0)+1))), "")</f>
        <v/>
      </c>
      <c r="D27" s="10">
        <f>IFERROR(IF(INDEX(ERP資料!$E:$E, (MATCH(26, 輔助計算!$E$2:$E$801, 0)+1))="","",TRIM(INDEX(ERP資料!$E:$E, (MATCH(26, 輔助計算!$E$2:$E$801, 0)+1)))), "")</f>
        <v/>
      </c>
      <c r="E27" s="10">
        <f>IFERROR(IF(INDEX(ERP資料!$F:$F, (MATCH(26, 輔助計算!$E$2:$E$801, 0)+1))="","",INDEX(ERP資料!$F:$F, (MATCH(26, 輔助計算!$E$2:$E$801, 0)+1))), "")</f>
        <v/>
      </c>
      <c r="F27" s="10">
        <f>IFERROR(IF(INDEX(ERP資料!$G:$G, (MATCH(26, 輔助計算!$E$2:$E$801, 0)+1))="","",INDEX(ERP資料!$G:$G, (MATCH(26, 輔助計算!$E$2:$E$801, 0)+1))), "")</f>
        <v/>
      </c>
      <c r="G27" s="10">
        <f>IFERROR(IF(INDEX(ERP資料!$H:$H, (MATCH(26, 輔助計算!$E$2:$E$801, 0)+1))="","",INDEX(ERP資料!$H:$H, (MATCH(26, 輔助計算!$E$2:$E$801, 0)+1))), "")</f>
        <v/>
      </c>
      <c r="H27" s="15">
        <f>IFERROR(INDEX(輔助計算!$D:$D, (MATCH(26, 輔助計算!$E$2:$E$801, 0)+1)), "")</f>
        <v/>
      </c>
      <c r="I27" s="10">
        <f>IFERROR(IF(INDEX(ERP資料!$O:$O, (MATCH(26, 輔助計算!$E$2:$E$801, 0)+1))="","",INDEX(ERP資料!$O:$O, (MATCH(26, 輔助計算!$E$2:$E$801, 0)+1))), "")</f>
        <v/>
      </c>
      <c r="J27" s="15">
        <f>IFERROR(IF(INDEX(輔助計算!$D:$D,(MATCH(26, 輔助計算!$E$2:$E$801, 0)+1))="","",INDEX(輔助計算!$D:$D,(MATCH(26, 輔助計算!$E$2:$E$801, 0)+1))*INDEX(ERP資料!$O:$O,(MATCH(26, 輔助計算!$E$2:$E$801, 0)+1))), "")</f>
        <v/>
      </c>
      <c r="K27" s="16" t="n"/>
      <c r="L27" s="16" t="n"/>
      <c r="M27" s="17" t="n"/>
    </row>
    <row r="28">
      <c r="A28" s="14">
        <f>IFERROR(IF(INDEX(ERP資料!$B:$B, (MATCH(27, 輔助計算!$E$2:$E$801, 0)+1))="","",INDEX(ERP資料!$B:$B, (MATCH(27, 輔助計算!$E$2:$E$801, 0)+1))), "")</f>
        <v/>
      </c>
      <c r="B28" s="10">
        <f>IFERROR(IF(INDEX(ERP資料!$A:$A, (MATCH(27, 輔助計算!$E$2:$E$801, 0)+1))="","",INDEX(ERP資料!$A:$A, (MATCH(27, 輔助計算!$E$2:$E$801, 0)+1))), "")</f>
        <v/>
      </c>
      <c r="C28" s="10">
        <f>IFERROR(IF(INDEX(ERP資料!$S:$S, (MATCH(27, 輔助計算!$E$2:$E$801, 0)+1))="","",INDEX(ERP資料!$S:$S, (MATCH(27, 輔助計算!$E$2:$E$801, 0)+1))), "")</f>
        <v/>
      </c>
      <c r="D28" s="10">
        <f>IFERROR(IF(INDEX(ERP資料!$E:$E, (MATCH(27, 輔助計算!$E$2:$E$801, 0)+1))="","",TRIM(INDEX(ERP資料!$E:$E, (MATCH(27, 輔助計算!$E$2:$E$801, 0)+1)))), "")</f>
        <v/>
      </c>
      <c r="E28" s="10">
        <f>IFERROR(IF(INDEX(ERP資料!$F:$F, (MATCH(27, 輔助計算!$E$2:$E$801, 0)+1))="","",INDEX(ERP資料!$F:$F, (MATCH(27, 輔助計算!$E$2:$E$801, 0)+1))), "")</f>
        <v/>
      </c>
      <c r="F28" s="10">
        <f>IFERROR(IF(INDEX(ERP資料!$G:$G, (MATCH(27, 輔助計算!$E$2:$E$801, 0)+1))="","",INDEX(ERP資料!$G:$G, (MATCH(27, 輔助計算!$E$2:$E$801, 0)+1))), "")</f>
        <v/>
      </c>
      <c r="G28" s="10">
        <f>IFERROR(IF(INDEX(ERP資料!$H:$H, (MATCH(27, 輔助計算!$E$2:$E$801, 0)+1))="","",INDEX(ERP資料!$H:$H, (MATCH(27, 輔助計算!$E$2:$E$801, 0)+1))), "")</f>
        <v/>
      </c>
      <c r="H28" s="15">
        <f>IFERROR(INDEX(輔助計算!$D:$D, (MATCH(27, 輔助計算!$E$2:$E$801, 0)+1)), "")</f>
        <v/>
      </c>
      <c r="I28" s="10">
        <f>IFERROR(IF(INDEX(ERP資料!$O:$O, (MATCH(27, 輔助計算!$E$2:$E$801, 0)+1))="","",INDEX(ERP資料!$O:$O, (MATCH(27, 輔助計算!$E$2:$E$801, 0)+1))), "")</f>
        <v/>
      </c>
      <c r="J28" s="15">
        <f>IFERROR(IF(INDEX(輔助計算!$D:$D,(MATCH(27, 輔助計算!$E$2:$E$801, 0)+1))="","",INDEX(輔助計算!$D:$D,(MATCH(27, 輔助計算!$E$2:$E$801, 0)+1))*INDEX(ERP資料!$O:$O,(MATCH(27, 輔助計算!$E$2:$E$801, 0)+1))), "")</f>
        <v/>
      </c>
      <c r="K28" s="16" t="n"/>
      <c r="L28" s="16" t="n"/>
      <c r="M28" s="17" t="n"/>
    </row>
    <row r="29">
      <c r="A29" s="14">
        <f>IFERROR(IF(INDEX(ERP資料!$B:$B, (MATCH(28, 輔助計算!$E$2:$E$801, 0)+1))="","",INDEX(ERP資料!$B:$B, (MATCH(28, 輔助計算!$E$2:$E$801, 0)+1))), "")</f>
        <v/>
      </c>
      <c r="B29" s="10">
        <f>IFERROR(IF(INDEX(ERP資料!$A:$A, (MATCH(28, 輔助計算!$E$2:$E$801, 0)+1))="","",INDEX(ERP資料!$A:$A, (MATCH(28, 輔助計算!$E$2:$E$801, 0)+1))), "")</f>
        <v/>
      </c>
      <c r="C29" s="10">
        <f>IFERROR(IF(INDEX(ERP資料!$S:$S, (MATCH(28, 輔助計算!$E$2:$E$801, 0)+1))="","",INDEX(ERP資料!$S:$S, (MATCH(28, 輔助計算!$E$2:$E$801, 0)+1))), "")</f>
        <v/>
      </c>
      <c r="D29" s="10">
        <f>IFERROR(IF(INDEX(ERP資料!$E:$E, (MATCH(28, 輔助計算!$E$2:$E$801, 0)+1))="","",TRIM(INDEX(ERP資料!$E:$E, (MATCH(28, 輔助計算!$E$2:$E$801, 0)+1)))), "")</f>
        <v/>
      </c>
      <c r="E29" s="10">
        <f>IFERROR(IF(INDEX(ERP資料!$F:$F, (MATCH(28, 輔助計算!$E$2:$E$801, 0)+1))="","",INDEX(ERP資料!$F:$F, (MATCH(28, 輔助計算!$E$2:$E$801, 0)+1))), "")</f>
        <v/>
      </c>
      <c r="F29" s="10">
        <f>IFERROR(IF(INDEX(ERP資料!$G:$G, (MATCH(28, 輔助計算!$E$2:$E$801, 0)+1))="","",INDEX(ERP資料!$G:$G, (MATCH(28, 輔助計算!$E$2:$E$801, 0)+1))), "")</f>
        <v/>
      </c>
      <c r="G29" s="10">
        <f>IFERROR(IF(INDEX(ERP資料!$H:$H, (MATCH(28, 輔助計算!$E$2:$E$801, 0)+1))="","",INDEX(ERP資料!$H:$H, (MATCH(28, 輔助計算!$E$2:$E$801, 0)+1))), "")</f>
        <v/>
      </c>
      <c r="H29" s="15">
        <f>IFERROR(INDEX(輔助計算!$D:$D, (MATCH(28, 輔助計算!$E$2:$E$801, 0)+1)), "")</f>
        <v/>
      </c>
      <c r="I29" s="10">
        <f>IFERROR(IF(INDEX(ERP資料!$O:$O, (MATCH(28, 輔助計算!$E$2:$E$801, 0)+1))="","",INDEX(ERP資料!$O:$O, (MATCH(28, 輔助計算!$E$2:$E$801, 0)+1))), "")</f>
        <v/>
      </c>
      <c r="J29" s="15">
        <f>IFERROR(IF(INDEX(輔助計算!$D:$D,(MATCH(28, 輔助計算!$E$2:$E$801, 0)+1))="","",INDEX(輔助計算!$D:$D,(MATCH(28, 輔助計算!$E$2:$E$801, 0)+1))*INDEX(ERP資料!$O:$O,(MATCH(28, 輔助計算!$E$2:$E$801, 0)+1))), "")</f>
        <v/>
      </c>
      <c r="K29" s="16" t="n"/>
      <c r="L29" s="16" t="n"/>
      <c r="M29" s="17" t="n"/>
    </row>
    <row r="30">
      <c r="A30" s="14">
        <f>IFERROR(IF(INDEX(ERP資料!$B:$B, (MATCH(29, 輔助計算!$E$2:$E$801, 0)+1))="","",INDEX(ERP資料!$B:$B, (MATCH(29, 輔助計算!$E$2:$E$801, 0)+1))), "")</f>
        <v/>
      </c>
      <c r="B30" s="10">
        <f>IFERROR(IF(INDEX(ERP資料!$A:$A, (MATCH(29, 輔助計算!$E$2:$E$801, 0)+1))="","",INDEX(ERP資料!$A:$A, (MATCH(29, 輔助計算!$E$2:$E$801, 0)+1))), "")</f>
        <v/>
      </c>
      <c r="C30" s="10">
        <f>IFERROR(IF(INDEX(ERP資料!$S:$S, (MATCH(29, 輔助計算!$E$2:$E$801, 0)+1))="","",INDEX(ERP資料!$S:$S, (MATCH(29, 輔助計算!$E$2:$E$801, 0)+1))), "")</f>
        <v/>
      </c>
      <c r="D30" s="10">
        <f>IFERROR(IF(INDEX(ERP資料!$E:$E, (MATCH(29, 輔助計算!$E$2:$E$801, 0)+1))="","",TRIM(INDEX(ERP資料!$E:$E, (MATCH(29, 輔助計算!$E$2:$E$801, 0)+1)))), "")</f>
        <v/>
      </c>
      <c r="E30" s="10">
        <f>IFERROR(IF(INDEX(ERP資料!$F:$F, (MATCH(29, 輔助計算!$E$2:$E$801, 0)+1))="","",INDEX(ERP資料!$F:$F, (MATCH(29, 輔助計算!$E$2:$E$801, 0)+1))), "")</f>
        <v/>
      </c>
      <c r="F30" s="10">
        <f>IFERROR(IF(INDEX(ERP資料!$G:$G, (MATCH(29, 輔助計算!$E$2:$E$801, 0)+1))="","",INDEX(ERP資料!$G:$G, (MATCH(29, 輔助計算!$E$2:$E$801, 0)+1))), "")</f>
        <v/>
      </c>
      <c r="G30" s="10">
        <f>IFERROR(IF(INDEX(ERP資料!$H:$H, (MATCH(29, 輔助計算!$E$2:$E$801, 0)+1))="","",INDEX(ERP資料!$H:$H, (MATCH(29, 輔助計算!$E$2:$E$801, 0)+1))), "")</f>
        <v/>
      </c>
      <c r="H30" s="15">
        <f>IFERROR(INDEX(輔助計算!$D:$D, (MATCH(29, 輔助計算!$E$2:$E$801, 0)+1)), "")</f>
        <v/>
      </c>
      <c r="I30" s="10">
        <f>IFERROR(IF(INDEX(ERP資料!$O:$O, (MATCH(29, 輔助計算!$E$2:$E$801, 0)+1))="","",INDEX(ERP資料!$O:$O, (MATCH(29, 輔助計算!$E$2:$E$801, 0)+1))), "")</f>
        <v/>
      </c>
      <c r="J30" s="15">
        <f>IFERROR(IF(INDEX(輔助計算!$D:$D,(MATCH(29, 輔助計算!$E$2:$E$801, 0)+1))="","",INDEX(輔助計算!$D:$D,(MATCH(29, 輔助計算!$E$2:$E$801, 0)+1))*INDEX(ERP資料!$O:$O,(MATCH(29, 輔助計算!$E$2:$E$801, 0)+1))), "")</f>
        <v/>
      </c>
      <c r="K30" s="16" t="n"/>
      <c r="L30" s="16" t="n"/>
      <c r="M30" s="17" t="n"/>
    </row>
    <row r="31">
      <c r="A31" s="14">
        <f>IFERROR(IF(INDEX(ERP資料!$B:$B, (MATCH(30, 輔助計算!$E$2:$E$801, 0)+1))="","",INDEX(ERP資料!$B:$B, (MATCH(30, 輔助計算!$E$2:$E$801, 0)+1))), "")</f>
        <v/>
      </c>
      <c r="B31" s="10">
        <f>IFERROR(IF(INDEX(ERP資料!$A:$A, (MATCH(30, 輔助計算!$E$2:$E$801, 0)+1))="","",INDEX(ERP資料!$A:$A, (MATCH(30, 輔助計算!$E$2:$E$801, 0)+1))), "")</f>
        <v/>
      </c>
      <c r="C31" s="10">
        <f>IFERROR(IF(INDEX(ERP資料!$S:$S, (MATCH(30, 輔助計算!$E$2:$E$801, 0)+1))="","",INDEX(ERP資料!$S:$S, (MATCH(30, 輔助計算!$E$2:$E$801, 0)+1))), "")</f>
        <v/>
      </c>
      <c r="D31" s="10">
        <f>IFERROR(IF(INDEX(ERP資料!$E:$E, (MATCH(30, 輔助計算!$E$2:$E$801, 0)+1))="","",TRIM(INDEX(ERP資料!$E:$E, (MATCH(30, 輔助計算!$E$2:$E$801, 0)+1)))), "")</f>
        <v/>
      </c>
      <c r="E31" s="10">
        <f>IFERROR(IF(INDEX(ERP資料!$F:$F, (MATCH(30, 輔助計算!$E$2:$E$801, 0)+1))="","",INDEX(ERP資料!$F:$F, (MATCH(30, 輔助計算!$E$2:$E$801, 0)+1))), "")</f>
        <v/>
      </c>
      <c r="F31" s="10">
        <f>IFERROR(IF(INDEX(ERP資料!$G:$G, (MATCH(30, 輔助計算!$E$2:$E$801, 0)+1))="","",INDEX(ERP資料!$G:$G, (MATCH(30, 輔助計算!$E$2:$E$801, 0)+1))), "")</f>
        <v/>
      </c>
      <c r="G31" s="10">
        <f>IFERROR(IF(INDEX(ERP資料!$H:$H, (MATCH(30, 輔助計算!$E$2:$E$801, 0)+1))="","",INDEX(ERP資料!$H:$H, (MATCH(30, 輔助計算!$E$2:$E$801, 0)+1))), "")</f>
        <v/>
      </c>
      <c r="H31" s="15">
        <f>IFERROR(INDEX(輔助計算!$D:$D, (MATCH(30, 輔助計算!$E$2:$E$801, 0)+1)), "")</f>
        <v/>
      </c>
      <c r="I31" s="10">
        <f>IFERROR(IF(INDEX(ERP資料!$O:$O, (MATCH(30, 輔助計算!$E$2:$E$801, 0)+1))="","",INDEX(ERP資料!$O:$O, (MATCH(30, 輔助計算!$E$2:$E$801, 0)+1))), "")</f>
        <v/>
      </c>
      <c r="J31" s="15">
        <f>IFERROR(IF(INDEX(輔助計算!$D:$D,(MATCH(30, 輔助計算!$E$2:$E$801, 0)+1))="","",INDEX(輔助計算!$D:$D,(MATCH(30, 輔助計算!$E$2:$E$801, 0)+1))*INDEX(ERP資料!$O:$O,(MATCH(30, 輔助計算!$E$2:$E$801, 0)+1))), "")</f>
        <v/>
      </c>
      <c r="K31" s="16" t="n"/>
      <c r="L31" s="16" t="n"/>
      <c r="M31" s="17" t="n"/>
    </row>
    <row r="32">
      <c r="A32" s="14">
        <f>IFERROR(IF(INDEX(ERP資料!$B:$B, (MATCH(31, 輔助計算!$E$2:$E$801, 0)+1))="","",INDEX(ERP資料!$B:$B, (MATCH(31, 輔助計算!$E$2:$E$801, 0)+1))), "")</f>
        <v/>
      </c>
      <c r="B32" s="10">
        <f>IFERROR(IF(INDEX(ERP資料!$A:$A, (MATCH(31, 輔助計算!$E$2:$E$801, 0)+1))="","",INDEX(ERP資料!$A:$A, (MATCH(31, 輔助計算!$E$2:$E$801, 0)+1))), "")</f>
        <v/>
      </c>
      <c r="C32" s="10">
        <f>IFERROR(IF(INDEX(ERP資料!$S:$S, (MATCH(31, 輔助計算!$E$2:$E$801, 0)+1))="","",INDEX(ERP資料!$S:$S, (MATCH(31, 輔助計算!$E$2:$E$801, 0)+1))), "")</f>
        <v/>
      </c>
      <c r="D32" s="10">
        <f>IFERROR(IF(INDEX(ERP資料!$E:$E, (MATCH(31, 輔助計算!$E$2:$E$801, 0)+1))="","",TRIM(INDEX(ERP資料!$E:$E, (MATCH(31, 輔助計算!$E$2:$E$801, 0)+1)))), "")</f>
        <v/>
      </c>
      <c r="E32" s="10">
        <f>IFERROR(IF(INDEX(ERP資料!$F:$F, (MATCH(31, 輔助計算!$E$2:$E$801, 0)+1))="","",INDEX(ERP資料!$F:$F, (MATCH(31, 輔助計算!$E$2:$E$801, 0)+1))), "")</f>
        <v/>
      </c>
      <c r="F32" s="10">
        <f>IFERROR(IF(INDEX(ERP資料!$G:$G, (MATCH(31, 輔助計算!$E$2:$E$801, 0)+1))="","",INDEX(ERP資料!$G:$G, (MATCH(31, 輔助計算!$E$2:$E$801, 0)+1))), "")</f>
        <v/>
      </c>
      <c r="G32" s="10">
        <f>IFERROR(IF(INDEX(ERP資料!$H:$H, (MATCH(31, 輔助計算!$E$2:$E$801, 0)+1))="","",INDEX(ERP資料!$H:$H, (MATCH(31, 輔助計算!$E$2:$E$801, 0)+1))), "")</f>
        <v/>
      </c>
      <c r="H32" s="15">
        <f>IFERROR(INDEX(輔助計算!$D:$D, (MATCH(31, 輔助計算!$E$2:$E$801, 0)+1)), "")</f>
        <v/>
      </c>
      <c r="I32" s="10">
        <f>IFERROR(IF(INDEX(ERP資料!$O:$O, (MATCH(31, 輔助計算!$E$2:$E$801, 0)+1))="","",INDEX(ERP資料!$O:$O, (MATCH(31, 輔助計算!$E$2:$E$801, 0)+1))), "")</f>
        <v/>
      </c>
      <c r="J32" s="15">
        <f>IFERROR(IF(INDEX(輔助計算!$D:$D,(MATCH(31, 輔助計算!$E$2:$E$801, 0)+1))="","",INDEX(輔助計算!$D:$D,(MATCH(31, 輔助計算!$E$2:$E$801, 0)+1))*INDEX(ERP資料!$O:$O,(MATCH(31, 輔助計算!$E$2:$E$801, 0)+1))), "")</f>
        <v/>
      </c>
      <c r="K32" s="16" t="n"/>
      <c r="L32" s="16" t="n"/>
      <c r="M32" s="17" t="n"/>
    </row>
    <row r="33">
      <c r="A33" s="14">
        <f>IFERROR(IF(INDEX(ERP資料!$B:$B, (MATCH(32, 輔助計算!$E$2:$E$801, 0)+1))="","",INDEX(ERP資料!$B:$B, (MATCH(32, 輔助計算!$E$2:$E$801, 0)+1))), "")</f>
        <v/>
      </c>
      <c r="B33" s="10">
        <f>IFERROR(IF(INDEX(ERP資料!$A:$A, (MATCH(32, 輔助計算!$E$2:$E$801, 0)+1))="","",INDEX(ERP資料!$A:$A, (MATCH(32, 輔助計算!$E$2:$E$801, 0)+1))), "")</f>
        <v/>
      </c>
      <c r="C33" s="10">
        <f>IFERROR(IF(INDEX(ERP資料!$S:$S, (MATCH(32, 輔助計算!$E$2:$E$801, 0)+1))="","",INDEX(ERP資料!$S:$S, (MATCH(32, 輔助計算!$E$2:$E$801, 0)+1))), "")</f>
        <v/>
      </c>
      <c r="D33" s="10">
        <f>IFERROR(IF(INDEX(ERP資料!$E:$E, (MATCH(32, 輔助計算!$E$2:$E$801, 0)+1))="","",TRIM(INDEX(ERP資料!$E:$E, (MATCH(32, 輔助計算!$E$2:$E$801, 0)+1)))), "")</f>
        <v/>
      </c>
      <c r="E33" s="10">
        <f>IFERROR(IF(INDEX(ERP資料!$F:$F, (MATCH(32, 輔助計算!$E$2:$E$801, 0)+1))="","",INDEX(ERP資料!$F:$F, (MATCH(32, 輔助計算!$E$2:$E$801, 0)+1))), "")</f>
        <v/>
      </c>
      <c r="F33" s="10">
        <f>IFERROR(IF(INDEX(ERP資料!$G:$G, (MATCH(32, 輔助計算!$E$2:$E$801, 0)+1))="","",INDEX(ERP資料!$G:$G, (MATCH(32, 輔助計算!$E$2:$E$801, 0)+1))), "")</f>
        <v/>
      </c>
      <c r="G33" s="10">
        <f>IFERROR(IF(INDEX(ERP資料!$H:$H, (MATCH(32, 輔助計算!$E$2:$E$801, 0)+1))="","",INDEX(ERP資料!$H:$H, (MATCH(32, 輔助計算!$E$2:$E$801, 0)+1))), "")</f>
        <v/>
      </c>
      <c r="H33" s="15">
        <f>IFERROR(INDEX(輔助計算!$D:$D, (MATCH(32, 輔助計算!$E$2:$E$801, 0)+1)), "")</f>
        <v/>
      </c>
      <c r="I33" s="10">
        <f>IFERROR(IF(INDEX(ERP資料!$O:$O, (MATCH(32, 輔助計算!$E$2:$E$801, 0)+1))="","",INDEX(ERP資料!$O:$O, (MATCH(32, 輔助計算!$E$2:$E$801, 0)+1))), "")</f>
        <v/>
      </c>
      <c r="J33" s="15">
        <f>IFERROR(IF(INDEX(輔助計算!$D:$D,(MATCH(32, 輔助計算!$E$2:$E$801, 0)+1))="","",INDEX(輔助計算!$D:$D,(MATCH(32, 輔助計算!$E$2:$E$801, 0)+1))*INDEX(ERP資料!$O:$O,(MATCH(32, 輔助計算!$E$2:$E$801, 0)+1))), "")</f>
        <v/>
      </c>
      <c r="K33" s="16" t="n"/>
      <c r="L33" s="16" t="n"/>
      <c r="M33" s="17" t="n"/>
    </row>
    <row r="34">
      <c r="A34" s="14">
        <f>IFERROR(IF(INDEX(ERP資料!$B:$B, (MATCH(33, 輔助計算!$E$2:$E$801, 0)+1))="","",INDEX(ERP資料!$B:$B, (MATCH(33, 輔助計算!$E$2:$E$801, 0)+1))), "")</f>
        <v/>
      </c>
      <c r="B34" s="10">
        <f>IFERROR(IF(INDEX(ERP資料!$A:$A, (MATCH(33, 輔助計算!$E$2:$E$801, 0)+1))="","",INDEX(ERP資料!$A:$A, (MATCH(33, 輔助計算!$E$2:$E$801, 0)+1))), "")</f>
        <v/>
      </c>
      <c r="C34" s="10">
        <f>IFERROR(IF(INDEX(ERP資料!$S:$S, (MATCH(33, 輔助計算!$E$2:$E$801, 0)+1))="","",INDEX(ERP資料!$S:$S, (MATCH(33, 輔助計算!$E$2:$E$801, 0)+1))), "")</f>
        <v/>
      </c>
      <c r="D34" s="10">
        <f>IFERROR(IF(INDEX(ERP資料!$E:$E, (MATCH(33, 輔助計算!$E$2:$E$801, 0)+1))="","",TRIM(INDEX(ERP資料!$E:$E, (MATCH(33, 輔助計算!$E$2:$E$801, 0)+1)))), "")</f>
        <v/>
      </c>
      <c r="E34" s="10">
        <f>IFERROR(IF(INDEX(ERP資料!$F:$F, (MATCH(33, 輔助計算!$E$2:$E$801, 0)+1))="","",INDEX(ERP資料!$F:$F, (MATCH(33, 輔助計算!$E$2:$E$801, 0)+1))), "")</f>
        <v/>
      </c>
      <c r="F34" s="10">
        <f>IFERROR(IF(INDEX(ERP資料!$G:$G, (MATCH(33, 輔助計算!$E$2:$E$801, 0)+1))="","",INDEX(ERP資料!$G:$G, (MATCH(33, 輔助計算!$E$2:$E$801, 0)+1))), "")</f>
        <v/>
      </c>
      <c r="G34" s="10">
        <f>IFERROR(IF(INDEX(ERP資料!$H:$H, (MATCH(33, 輔助計算!$E$2:$E$801, 0)+1))="","",INDEX(ERP資料!$H:$H, (MATCH(33, 輔助計算!$E$2:$E$801, 0)+1))), "")</f>
        <v/>
      </c>
      <c r="H34" s="15">
        <f>IFERROR(INDEX(輔助計算!$D:$D, (MATCH(33, 輔助計算!$E$2:$E$801, 0)+1)), "")</f>
        <v/>
      </c>
      <c r="I34" s="10">
        <f>IFERROR(IF(INDEX(ERP資料!$O:$O, (MATCH(33, 輔助計算!$E$2:$E$801, 0)+1))="","",INDEX(ERP資料!$O:$O, (MATCH(33, 輔助計算!$E$2:$E$801, 0)+1))), "")</f>
        <v/>
      </c>
      <c r="J34" s="15">
        <f>IFERROR(IF(INDEX(輔助計算!$D:$D,(MATCH(33, 輔助計算!$E$2:$E$801, 0)+1))="","",INDEX(輔助計算!$D:$D,(MATCH(33, 輔助計算!$E$2:$E$801, 0)+1))*INDEX(ERP資料!$O:$O,(MATCH(33, 輔助計算!$E$2:$E$801, 0)+1))), "")</f>
        <v/>
      </c>
      <c r="K34" s="16" t="n"/>
      <c r="L34" s="16" t="n"/>
      <c r="M34" s="17" t="n"/>
    </row>
    <row r="35">
      <c r="A35" s="14">
        <f>IFERROR(IF(INDEX(ERP資料!$B:$B, (MATCH(34, 輔助計算!$E$2:$E$801, 0)+1))="","",INDEX(ERP資料!$B:$B, (MATCH(34, 輔助計算!$E$2:$E$801, 0)+1))), "")</f>
        <v/>
      </c>
      <c r="B35" s="10">
        <f>IFERROR(IF(INDEX(ERP資料!$A:$A, (MATCH(34, 輔助計算!$E$2:$E$801, 0)+1))="","",INDEX(ERP資料!$A:$A, (MATCH(34, 輔助計算!$E$2:$E$801, 0)+1))), "")</f>
        <v/>
      </c>
      <c r="C35" s="10">
        <f>IFERROR(IF(INDEX(ERP資料!$S:$S, (MATCH(34, 輔助計算!$E$2:$E$801, 0)+1))="","",INDEX(ERP資料!$S:$S, (MATCH(34, 輔助計算!$E$2:$E$801, 0)+1))), "")</f>
        <v/>
      </c>
      <c r="D35" s="10">
        <f>IFERROR(IF(INDEX(ERP資料!$E:$E, (MATCH(34, 輔助計算!$E$2:$E$801, 0)+1))="","",TRIM(INDEX(ERP資料!$E:$E, (MATCH(34, 輔助計算!$E$2:$E$801, 0)+1)))), "")</f>
        <v/>
      </c>
      <c r="E35" s="10">
        <f>IFERROR(IF(INDEX(ERP資料!$F:$F, (MATCH(34, 輔助計算!$E$2:$E$801, 0)+1))="","",INDEX(ERP資料!$F:$F, (MATCH(34, 輔助計算!$E$2:$E$801, 0)+1))), "")</f>
        <v/>
      </c>
      <c r="F35" s="10">
        <f>IFERROR(IF(INDEX(ERP資料!$G:$G, (MATCH(34, 輔助計算!$E$2:$E$801, 0)+1))="","",INDEX(ERP資料!$G:$G, (MATCH(34, 輔助計算!$E$2:$E$801, 0)+1))), "")</f>
        <v/>
      </c>
      <c r="G35" s="10">
        <f>IFERROR(IF(INDEX(ERP資料!$H:$H, (MATCH(34, 輔助計算!$E$2:$E$801, 0)+1))="","",INDEX(ERP資料!$H:$H, (MATCH(34, 輔助計算!$E$2:$E$801, 0)+1))), "")</f>
        <v/>
      </c>
      <c r="H35" s="15">
        <f>IFERROR(INDEX(輔助計算!$D:$D, (MATCH(34, 輔助計算!$E$2:$E$801, 0)+1)), "")</f>
        <v/>
      </c>
      <c r="I35" s="10">
        <f>IFERROR(IF(INDEX(ERP資料!$O:$O, (MATCH(34, 輔助計算!$E$2:$E$801, 0)+1))="","",INDEX(ERP資料!$O:$O, (MATCH(34, 輔助計算!$E$2:$E$801, 0)+1))), "")</f>
        <v/>
      </c>
      <c r="J35" s="15">
        <f>IFERROR(IF(INDEX(輔助計算!$D:$D,(MATCH(34, 輔助計算!$E$2:$E$801, 0)+1))="","",INDEX(輔助計算!$D:$D,(MATCH(34, 輔助計算!$E$2:$E$801, 0)+1))*INDEX(ERP資料!$O:$O,(MATCH(34, 輔助計算!$E$2:$E$801, 0)+1))), "")</f>
        <v/>
      </c>
      <c r="K35" s="16" t="n"/>
      <c r="L35" s="16" t="n"/>
      <c r="M35" s="17" t="n"/>
    </row>
    <row r="36">
      <c r="A36" s="14">
        <f>IFERROR(IF(INDEX(ERP資料!$B:$B, (MATCH(35, 輔助計算!$E$2:$E$801, 0)+1))="","",INDEX(ERP資料!$B:$B, (MATCH(35, 輔助計算!$E$2:$E$801, 0)+1))), "")</f>
        <v/>
      </c>
      <c r="B36" s="10">
        <f>IFERROR(IF(INDEX(ERP資料!$A:$A, (MATCH(35, 輔助計算!$E$2:$E$801, 0)+1))="","",INDEX(ERP資料!$A:$A, (MATCH(35, 輔助計算!$E$2:$E$801, 0)+1))), "")</f>
        <v/>
      </c>
      <c r="C36" s="10">
        <f>IFERROR(IF(INDEX(ERP資料!$S:$S, (MATCH(35, 輔助計算!$E$2:$E$801, 0)+1))="","",INDEX(ERP資料!$S:$S, (MATCH(35, 輔助計算!$E$2:$E$801, 0)+1))), "")</f>
        <v/>
      </c>
      <c r="D36" s="10">
        <f>IFERROR(IF(INDEX(ERP資料!$E:$E, (MATCH(35, 輔助計算!$E$2:$E$801, 0)+1))="","",TRIM(INDEX(ERP資料!$E:$E, (MATCH(35, 輔助計算!$E$2:$E$801, 0)+1)))), "")</f>
        <v/>
      </c>
      <c r="E36" s="10">
        <f>IFERROR(IF(INDEX(ERP資料!$F:$F, (MATCH(35, 輔助計算!$E$2:$E$801, 0)+1))="","",INDEX(ERP資料!$F:$F, (MATCH(35, 輔助計算!$E$2:$E$801, 0)+1))), "")</f>
        <v/>
      </c>
      <c r="F36" s="10">
        <f>IFERROR(IF(INDEX(ERP資料!$G:$G, (MATCH(35, 輔助計算!$E$2:$E$801, 0)+1))="","",INDEX(ERP資料!$G:$G, (MATCH(35, 輔助計算!$E$2:$E$801, 0)+1))), "")</f>
        <v/>
      </c>
      <c r="G36" s="10">
        <f>IFERROR(IF(INDEX(ERP資料!$H:$H, (MATCH(35, 輔助計算!$E$2:$E$801, 0)+1))="","",INDEX(ERP資料!$H:$H, (MATCH(35, 輔助計算!$E$2:$E$801, 0)+1))), "")</f>
        <v/>
      </c>
      <c r="H36" s="15">
        <f>IFERROR(INDEX(輔助計算!$D:$D, (MATCH(35, 輔助計算!$E$2:$E$801, 0)+1)), "")</f>
        <v/>
      </c>
      <c r="I36" s="10">
        <f>IFERROR(IF(INDEX(ERP資料!$O:$O, (MATCH(35, 輔助計算!$E$2:$E$801, 0)+1))="","",INDEX(ERP資料!$O:$O, (MATCH(35, 輔助計算!$E$2:$E$801, 0)+1))), "")</f>
        <v/>
      </c>
      <c r="J36" s="15">
        <f>IFERROR(IF(INDEX(輔助計算!$D:$D,(MATCH(35, 輔助計算!$E$2:$E$801, 0)+1))="","",INDEX(輔助計算!$D:$D,(MATCH(35, 輔助計算!$E$2:$E$801, 0)+1))*INDEX(ERP資料!$O:$O,(MATCH(35, 輔助計算!$E$2:$E$801, 0)+1))), "")</f>
        <v/>
      </c>
      <c r="K36" s="16" t="n"/>
      <c r="L36" s="16" t="n"/>
      <c r="M36" s="17" t="n"/>
    </row>
    <row r="37">
      <c r="A37" s="14">
        <f>IFERROR(IF(INDEX(ERP資料!$B:$B, (MATCH(36, 輔助計算!$E$2:$E$801, 0)+1))="","",INDEX(ERP資料!$B:$B, (MATCH(36, 輔助計算!$E$2:$E$801, 0)+1))), "")</f>
        <v/>
      </c>
      <c r="B37" s="10">
        <f>IFERROR(IF(INDEX(ERP資料!$A:$A, (MATCH(36, 輔助計算!$E$2:$E$801, 0)+1))="","",INDEX(ERP資料!$A:$A, (MATCH(36, 輔助計算!$E$2:$E$801, 0)+1))), "")</f>
        <v/>
      </c>
      <c r="C37" s="10">
        <f>IFERROR(IF(INDEX(ERP資料!$S:$S, (MATCH(36, 輔助計算!$E$2:$E$801, 0)+1))="","",INDEX(ERP資料!$S:$S, (MATCH(36, 輔助計算!$E$2:$E$801, 0)+1))), "")</f>
        <v/>
      </c>
      <c r="D37" s="10">
        <f>IFERROR(IF(INDEX(ERP資料!$E:$E, (MATCH(36, 輔助計算!$E$2:$E$801, 0)+1))="","",TRIM(INDEX(ERP資料!$E:$E, (MATCH(36, 輔助計算!$E$2:$E$801, 0)+1)))), "")</f>
        <v/>
      </c>
      <c r="E37" s="10">
        <f>IFERROR(IF(INDEX(ERP資料!$F:$F, (MATCH(36, 輔助計算!$E$2:$E$801, 0)+1))="","",INDEX(ERP資料!$F:$F, (MATCH(36, 輔助計算!$E$2:$E$801, 0)+1))), "")</f>
        <v/>
      </c>
      <c r="F37" s="10">
        <f>IFERROR(IF(INDEX(ERP資料!$G:$G, (MATCH(36, 輔助計算!$E$2:$E$801, 0)+1))="","",INDEX(ERP資料!$G:$G, (MATCH(36, 輔助計算!$E$2:$E$801, 0)+1))), "")</f>
        <v/>
      </c>
      <c r="G37" s="10">
        <f>IFERROR(IF(INDEX(ERP資料!$H:$H, (MATCH(36, 輔助計算!$E$2:$E$801, 0)+1))="","",INDEX(ERP資料!$H:$H, (MATCH(36, 輔助計算!$E$2:$E$801, 0)+1))), "")</f>
        <v/>
      </c>
      <c r="H37" s="15">
        <f>IFERROR(INDEX(輔助計算!$D:$D, (MATCH(36, 輔助計算!$E$2:$E$801, 0)+1)), "")</f>
        <v/>
      </c>
      <c r="I37" s="10">
        <f>IFERROR(IF(INDEX(ERP資料!$O:$O, (MATCH(36, 輔助計算!$E$2:$E$801, 0)+1))="","",INDEX(ERP資料!$O:$O, (MATCH(36, 輔助計算!$E$2:$E$801, 0)+1))), "")</f>
        <v/>
      </c>
      <c r="J37" s="15">
        <f>IFERROR(IF(INDEX(輔助計算!$D:$D,(MATCH(36, 輔助計算!$E$2:$E$801, 0)+1))="","",INDEX(輔助計算!$D:$D,(MATCH(36, 輔助計算!$E$2:$E$801, 0)+1))*INDEX(ERP資料!$O:$O,(MATCH(36, 輔助計算!$E$2:$E$801, 0)+1))), "")</f>
        <v/>
      </c>
      <c r="K37" s="16" t="n"/>
      <c r="L37" s="16" t="n"/>
      <c r="M37" s="17" t="n"/>
    </row>
    <row r="38">
      <c r="A38" s="14">
        <f>IFERROR(IF(INDEX(ERP資料!$B:$B, (MATCH(37, 輔助計算!$E$2:$E$801, 0)+1))="","",INDEX(ERP資料!$B:$B, (MATCH(37, 輔助計算!$E$2:$E$801, 0)+1))), "")</f>
        <v/>
      </c>
      <c r="B38" s="10">
        <f>IFERROR(IF(INDEX(ERP資料!$A:$A, (MATCH(37, 輔助計算!$E$2:$E$801, 0)+1))="","",INDEX(ERP資料!$A:$A, (MATCH(37, 輔助計算!$E$2:$E$801, 0)+1))), "")</f>
        <v/>
      </c>
      <c r="C38" s="10">
        <f>IFERROR(IF(INDEX(ERP資料!$S:$S, (MATCH(37, 輔助計算!$E$2:$E$801, 0)+1))="","",INDEX(ERP資料!$S:$S, (MATCH(37, 輔助計算!$E$2:$E$801, 0)+1))), "")</f>
        <v/>
      </c>
      <c r="D38" s="10">
        <f>IFERROR(IF(INDEX(ERP資料!$E:$E, (MATCH(37, 輔助計算!$E$2:$E$801, 0)+1))="","",TRIM(INDEX(ERP資料!$E:$E, (MATCH(37, 輔助計算!$E$2:$E$801, 0)+1)))), "")</f>
        <v/>
      </c>
      <c r="E38" s="10">
        <f>IFERROR(IF(INDEX(ERP資料!$F:$F, (MATCH(37, 輔助計算!$E$2:$E$801, 0)+1))="","",INDEX(ERP資料!$F:$F, (MATCH(37, 輔助計算!$E$2:$E$801, 0)+1))), "")</f>
        <v/>
      </c>
      <c r="F38" s="10">
        <f>IFERROR(IF(INDEX(ERP資料!$G:$G, (MATCH(37, 輔助計算!$E$2:$E$801, 0)+1))="","",INDEX(ERP資料!$G:$G, (MATCH(37, 輔助計算!$E$2:$E$801, 0)+1))), "")</f>
        <v/>
      </c>
      <c r="G38" s="10">
        <f>IFERROR(IF(INDEX(ERP資料!$H:$H, (MATCH(37, 輔助計算!$E$2:$E$801, 0)+1))="","",INDEX(ERP資料!$H:$H, (MATCH(37, 輔助計算!$E$2:$E$801, 0)+1))), "")</f>
        <v/>
      </c>
      <c r="H38" s="15">
        <f>IFERROR(INDEX(輔助計算!$D:$D, (MATCH(37, 輔助計算!$E$2:$E$801, 0)+1)), "")</f>
        <v/>
      </c>
      <c r="I38" s="10">
        <f>IFERROR(IF(INDEX(ERP資料!$O:$O, (MATCH(37, 輔助計算!$E$2:$E$801, 0)+1))="","",INDEX(ERP資料!$O:$O, (MATCH(37, 輔助計算!$E$2:$E$801, 0)+1))), "")</f>
        <v/>
      </c>
      <c r="J38" s="15">
        <f>IFERROR(IF(INDEX(輔助計算!$D:$D,(MATCH(37, 輔助計算!$E$2:$E$801, 0)+1))="","",INDEX(輔助計算!$D:$D,(MATCH(37, 輔助計算!$E$2:$E$801, 0)+1))*INDEX(ERP資料!$O:$O,(MATCH(37, 輔助計算!$E$2:$E$801, 0)+1))), "")</f>
        <v/>
      </c>
      <c r="K38" s="16" t="n"/>
      <c r="L38" s="16" t="n"/>
      <c r="M38" s="17" t="n"/>
    </row>
    <row r="39">
      <c r="A39" s="14">
        <f>IFERROR(IF(INDEX(ERP資料!$B:$B, (MATCH(38, 輔助計算!$E$2:$E$801, 0)+1))="","",INDEX(ERP資料!$B:$B, (MATCH(38, 輔助計算!$E$2:$E$801, 0)+1))), "")</f>
        <v/>
      </c>
      <c r="B39" s="10">
        <f>IFERROR(IF(INDEX(ERP資料!$A:$A, (MATCH(38, 輔助計算!$E$2:$E$801, 0)+1))="","",INDEX(ERP資料!$A:$A, (MATCH(38, 輔助計算!$E$2:$E$801, 0)+1))), "")</f>
        <v/>
      </c>
      <c r="C39" s="10">
        <f>IFERROR(IF(INDEX(ERP資料!$S:$S, (MATCH(38, 輔助計算!$E$2:$E$801, 0)+1))="","",INDEX(ERP資料!$S:$S, (MATCH(38, 輔助計算!$E$2:$E$801, 0)+1))), "")</f>
        <v/>
      </c>
      <c r="D39" s="10">
        <f>IFERROR(IF(INDEX(ERP資料!$E:$E, (MATCH(38, 輔助計算!$E$2:$E$801, 0)+1))="","",TRIM(INDEX(ERP資料!$E:$E, (MATCH(38, 輔助計算!$E$2:$E$801, 0)+1)))), "")</f>
        <v/>
      </c>
      <c r="E39" s="10">
        <f>IFERROR(IF(INDEX(ERP資料!$F:$F, (MATCH(38, 輔助計算!$E$2:$E$801, 0)+1))="","",INDEX(ERP資料!$F:$F, (MATCH(38, 輔助計算!$E$2:$E$801, 0)+1))), "")</f>
        <v/>
      </c>
      <c r="F39" s="10">
        <f>IFERROR(IF(INDEX(ERP資料!$G:$G, (MATCH(38, 輔助計算!$E$2:$E$801, 0)+1))="","",INDEX(ERP資料!$G:$G, (MATCH(38, 輔助計算!$E$2:$E$801, 0)+1))), "")</f>
        <v/>
      </c>
      <c r="G39" s="10">
        <f>IFERROR(IF(INDEX(ERP資料!$H:$H, (MATCH(38, 輔助計算!$E$2:$E$801, 0)+1))="","",INDEX(ERP資料!$H:$H, (MATCH(38, 輔助計算!$E$2:$E$801, 0)+1))), "")</f>
        <v/>
      </c>
      <c r="H39" s="15">
        <f>IFERROR(INDEX(輔助計算!$D:$D, (MATCH(38, 輔助計算!$E$2:$E$801, 0)+1)), "")</f>
        <v/>
      </c>
      <c r="I39" s="10">
        <f>IFERROR(IF(INDEX(ERP資料!$O:$O, (MATCH(38, 輔助計算!$E$2:$E$801, 0)+1))="","",INDEX(ERP資料!$O:$O, (MATCH(38, 輔助計算!$E$2:$E$801, 0)+1))), "")</f>
        <v/>
      </c>
      <c r="J39" s="15">
        <f>IFERROR(IF(INDEX(輔助計算!$D:$D,(MATCH(38, 輔助計算!$E$2:$E$801, 0)+1))="","",INDEX(輔助計算!$D:$D,(MATCH(38, 輔助計算!$E$2:$E$801, 0)+1))*INDEX(ERP資料!$O:$O,(MATCH(38, 輔助計算!$E$2:$E$801, 0)+1))), "")</f>
        <v/>
      </c>
      <c r="K39" s="16" t="n"/>
      <c r="L39" s="16" t="n"/>
      <c r="M39" s="17" t="n"/>
    </row>
    <row r="40">
      <c r="A40" s="14">
        <f>IFERROR(IF(INDEX(ERP資料!$B:$B, (MATCH(39, 輔助計算!$E$2:$E$801, 0)+1))="","",INDEX(ERP資料!$B:$B, (MATCH(39, 輔助計算!$E$2:$E$801, 0)+1))), "")</f>
        <v/>
      </c>
      <c r="B40" s="10">
        <f>IFERROR(IF(INDEX(ERP資料!$A:$A, (MATCH(39, 輔助計算!$E$2:$E$801, 0)+1))="","",INDEX(ERP資料!$A:$A, (MATCH(39, 輔助計算!$E$2:$E$801, 0)+1))), "")</f>
        <v/>
      </c>
      <c r="C40" s="10">
        <f>IFERROR(IF(INDEX(ERP資料!$S:$S, (MATCH(39, 輔助計算!$E$2:$E$801, 0)+1))="","",INDEX(ERP資料!$S:$S, (MATCH(39, 輔助計算!$E$2:$E$801, 0)+1))), "")</f>
        <v/>
      </c>
      <c r="D40" s="10">
        <f>IFERROR(IF(INDEX(ERP資料!$E:$E, (MATCH(39, 輔助計算!$E$2:$E$801, 0)+1))="","",TRIM(INDEX(ERP資料!$E:$E, (MATCH(39, 輔助計算!$E$2:$E$801, 0)+1)))), "")</f>
        <v/>
      </c>
      <c r="E40" s="10">
        <f>IFERROR(IF(INDEX(ERP資料!$F:$F, (MATCH(39, 輔助計算!$E$2:$E$801, 0)+1))="","",INDEX(ERP資料!$F:$F, (MATCH(39, 輔助計算!$E$2:$E$801, 0)+1))), "")</f>
        <v/>
      </c>
      <c r="F40" s="10">
        <f>IFERROR(IF(INDEX(ERP資料!$G:$G, (MATCH(39, 輔助計算!$E$2:$E$801, 0)+1))="","",INDEX(ERP資料!$G:$G, (MATCH(39, 輔助計算!$E$2:$E$801, 0)+1))), "")</f>
        <v/>
      </c>
      <c r="G40" s="10">
        <f>IFERROR(IF(INDEX(ERP資料!$H:$H, (MATCH(39, 輔助計算!$E$2:$E$801, 0)+1))="","",INDEX(ERP資料!$H:$H, (MATCH(39, 輔助計算!$E$2:$E$801, 0)+1))), "")</f>
        <v/>
      </c>
      <c r="H40" s="15">
        <f>IFERROR(INDEX(輔助計算!$D:$D, (MATCH(39, 輔助計算!$E$2:$E$801, 0)+1)), "")</f>
        <v/>
      </c>
      <c r="I40" s="10">
        <f>IFERROR(IF(INDEX(ERP資料!$O:$O, (MATCH(39, 輔助計算!$E$2:$E$801, 0)+1))="","",INDEX(ERP資料!$O:$O, (MATCH(39, 輔助計算!$E$2:$E$801, 0)+1))), "")</f>
        <v/>
      </c>
      <c r="J40" s="15">
        <f>IFERROR(IF(INDEX(輔助計算!$D:$D,(MATCH(39, 輔助計算!$E$2:$E$801, 0)+1))="","",INDEX(輔助計算!$D:$D,(MATCH(39, 輔助計算!$E$2:$E$801, 0)+1))*INDEX(ERP資料!$O:$O,(MATCH(39, 輔助計算!$E$2:$E$801, 0)+1))), "")</f>
        <v/>
      </c>
      <c r="K40" s="16" t="n"/>
      <c r="L40" s="16" t="n"/>
      <c r="M40" s="17" t="n"/>
    </row>
    <row r="41">
      <c r="A41" s="14">
        <f>IFERROR(IF(INDEX(ERP資料!$B:$B, (MATCH(40, 輔助計算!$E$2:$E$801, 0)+1))="","",INDEX(ERP資料!$B:$B, (MATCH(40, 輔助計算!$E$2:$E$801, 0)+1))), "")</f>
        <v/>
      </c>
      <c r="B41" s="10">
        <f>IFERROR(IF(INDEX(ERP資料!$A:$A, (MATCH(40, 輔助計算!$E$2:$E$801, 0)+1))="","",INDEX(ERP資料!$A:$A, (MATCH(40, 輔助計算!$E$2:$E$801, 0)+1))), "")</f>
        <v/>
      </c>
      <c r="C41" s="10">
        <f>IFERROR(IF(INDEX(ERP資料!$S:$S, (MATCH(40, 輔助計算!$E$2:$E$801, 0)+1))="","",INDEX(ERP資料!$S:$S, (MATCH(40, 輔助計算!$E$2:$E$801, 0)+1))), "")</f>
        <v/>
      </c>
      <c r="D41" s="10">
        <f>IFERROR(IF(INDEX(ERP資料!$E:$E, (MATCH(40, 輔助計算!$E$2:$E$801, 0)+1))="","",TRIM(INDEX(ERP資料!$E:$E, (MATCH(40, 輔助計算!$E$2:$E$801, 0)+1)))), "")</f>
        <v/>
      </c>
      <c r="E41" s="10">
        <f>IFERROR(IF(INDEX(ERP資料!$F:$F, (MATCH(40, 輔助計算!$E$2:$E$801, 0)+1))="","",INDEX(ERP資料!$F:$F, (MATCH(40, 輔助計算!$E$2:$E$801, 0)+1))), "")</f>
        <v/>
      </c>
      <c r="F41" s="10">
        <f>IFERROR(IF(INDEX(ERP資料!$G:$G, (MATCH(40, 輔助計算!$E$2:$E$801, 0)+1))="","",INDEX(ERP資料!$G:$G, (MATCH(40, 輔助計算!$E$2:$E$801, 0)+1))), "")</f>
        <v/>
      </c>
      <c r="G41" s="10">
        <f>IFERROR(IF(INDEX(ERP資料!$H:$H, (MATCH(40, 輔助計算!$E$2:$E$801, 0)+1))="","",INDEX(ERP資料!$H:$H, (MATCH(40, 輔助計算!$E$2:$E$801, 0)+1))), "")</f>
        <v/>
      </c>
      <c r="H41" s="15">
        <f>IFERROR(INDEX(輔助計算!$D:$D, (MATCH(40, 輔助計算!$E$2:$E$801, 0)+1)), "")</f>
        <v/>
      </c>
      <c r="I41" s="10">
        <f>IFERROR(IF(INDEX(ERP資料!$O:$O, (MATCH(40, 輔助計算!$E$2:$E$801, 0)+1))="","",INDEX(ERP資料!$O:$O, (MATCH(40, 輔助計算!$E$2:$E$801, 0)+1))), "")</f>
        <v/>
      </c>
      <c r="J41" s="15">
        <f>IFERROR(IF(INDEX(輔助計算!$D:$D,(MATCH(40, 輔助計算!$E$2:$E$801, 0)+1))="","",INDEX(輔助計算!$D:$D,(MATCH(40, 輔助計算!$E$2:$E$801, 0)+1))*INDEX(ERP資料!$O:$O,(MATCH(40, 輔助計算!$E$2:$E$801, 0)+1))), "")</f>
        <v/>
      </c>
      <c r="K41" s="16" t="n"/>
      <c r="L41" s="16" t="n"/>
      <c r="M41" s="17" t="n"/>
    </row>
    <row r="42">
      <c r="A42" s="14">
        <f>IFERROR(IF(INDEX(ERP資料!$B:$B, (MATCH(41, 輔助計算!$E$2:$E$801, 0)+1))="","",INDEX(ERP資料!$B:$B, (MATCH(41, 輔助計算!$E$2:$E$801, 0)+1))), "")</f>
        <v/>
      </c>
      <c r="B42" s="10">
        <f>IFERROR(IF(INDEX(ERP資料!$A:$A, (MATCH(41, 輔助計算!$E$2:$E$801, 0)+1))="","",INDEX(ERP資料!$A:$A, (MATCH(41, 輔助計算!$E$2:$E$801, 0)+1))), "")</f>
        <v/>
      </c>
      <c r="C42" s="10">
        <f>IFERROR(IF(INDEX(ERP資料!$S:$S, (MATCH(41, 輔助計算!$E$2:$E$801, 0)+1))="","",INDEX(ERP資料!$S:$S, (MATCH(41, 輔助計算!$E$2:$E$801, 0)+1))), "")</f>
        <v/>
      </c>
      <c r="D42" s="10">
        <f>IFERROR(IF(INDEX(ERP資料!$E:$E, (MATCH(41, 輔助計算!$E$2:$E$801, 0)+1))="","",TRIM(INDEX(ERP資料!$E:$E, (MATCH(41, 輔助計算!$E$2:$E$801, 0)+1)))), "")</f>
        <v/>
      </c>
      <c r="E42" s="10">
        <f>IFERROR(IF(INDEX(ERP資料!$F:$F, (MATCH(41, 輔助計算!$E$2:$E$801, 0)+1))="","",INDEX(ERP資料!$F:$F, (MATCH(41, 輔助計算!$E$2:$E$801, 0)+1))), "")</f>
        <v/>
      </c>
      <c r="F42" s="10">
        <f>IFERROR(IF(INDEX(ERP資料!$G:$G, (MATCH(41, 輔助計算!$E$2:$E$801, 0)+1))="","",INDEX(ERP資料!$G:$G, (MATCH(41, 輔助計算!$E$2:$E$801, 0)+1))), "")</f>
        <v/>
      </c>
      <c r="G42" s="10">
        <f>IFERROR(IF(INDEX(ERP資料!$H:$H, (MATCH(41, 輔助計算!$E$2:$E$801, 0)+1))="","",INDEX(ERP資料!$H:$H, (MATCH(41, 輔助計算!$E$2:$E$801, 0)+1))), "")</f>
        <v/>
      </c>
      <c r="H42" s="15">
        <f>IFERROR(INDEX(輔助計算!$D:$D, (MATCH(41, 輔助計算!$E$2:$E$801, 0)+1)), "")</f>
        <v/>
      </c>
      <c r="I42" s="10">
        <f>IFERROR(IF(INDEX(ERP資料!$O:$O, (MATCH(41, 輔助計算!$E$2:$E$801, 0)+1))="","",INDEX(ERP資料!$O:$O, (MATCH(41, 輔助計算!$E$2:$E$801, 0)+1))), "")</f>
        <v/>
      </c>
      <c r="J42" s="15">
        <f>IFERROR(IF(INDEX(輔助計算!$D:$D,(MATCH(41, 輔助計算!$E$2:$E$801, 0)+1))="","",INDEX(輔助計算!$D:$D,(MATCH(41, 輔助計算!$E$2:$E$801, 0)+1))*INDEX(ERP資料!$O:$O,(MATCH(41, 輔助計算!$E$2:$E$801, 0)+1))), "")</f>
        <v/>
      </c>
      <c r="K42" s="16" t="n"/>
      <c r="L42" s="16" t="n"/>
      <c r="M42" s="17" t="n"/>
    </row>
    <row r="43">
      <c r="A43" s="14">
        <f>IFERROR(IF(INDEX(ERP資料!$B:$B, (MATCH(42, 輔助計算!$E$2:$E$801, 0)+1))="","",INDEX(ERP資料!$B:$B, (MATCH(42, 輔助計算!$E$2:$E$801, 0)+1))), "")</f>
        <v/>
      </c>
      <c r="B43" s="10">
        <f>IFERROR(IF(INDEX(ERP資料!$A:$A, (MATCH(42, 輔助計算!$E$2:$E$801, 0)+1))="","",INDEX(ERP資料!$A:$A, (MATCH(42, 輔助計算!$E$2:$E$801, 0)+1))), "")</f>
        <v/>
      </c>
      <c r="C43" s="10">
        <f>IFERROR(IF(INDEX(ERP資料!$S:$S, (MATCH(42, 輔助計算!$E$2:$E$801, 0)+1))="","",INDEX(ERP資料!$S:$S, (MATCH(42, 輔助計算!$E$2:$E$801, 0)+1))), "")</f>
        <v/>
      </c>
      <c r="D43" s="10">
        <f>IFERROR(IF(INDEX(ERP資料!$E:$E, (MATCH(42, 輔助計算!$E$2:$E$801, 0)+1))="","",TRIM(INDEX(ERP資料!$E:$E, (MATCH(42, 輔助計算!$E$2:$E$801, 0)+1)))), "")</f>
        <v/>
      </c>
      <c r="E43" s="10">
        <f>IFERROR(IF(INDEX(ERP資料!$F:$F, (MATCH(42, 輔助計算!$E$2:$E$801, 0)+1))="","",INDEX(ERP資料!$F:$F, (MATCH(42, 輔助計算!$E$2:$E$801, 0)+1))), "")</f>
        <v/>
      </c>
      <c r="F43" s="10">
        <f>IFERROR(IF(INDEX(ERP資料!$G:$G, (MATCH(42, 輔助計算!$E$2:$E$801, 0)+1))="","",INDEX(ERP資料!$G:$G, (MATCH(42, 輔助計算!$E$2:$E$801, 0)+1))), "")</f>
        <v/>
      </c>
      <c r="G43" s="10">
        <f>IFERROR(IF(INDEX(ERP資料!$H:$H, (MATCH(42, 輔助計算!$E$2:$E$801, 0)+1))="","",INDEX(ERP資料!$H:$H, (MATCH(42, 輔助計算!$E$2:$E$801, 0)+1))), "")</f>
        <v/>
      </c>
      <c r="H43" s="15">
        <f>IFERROR(INDEX(輔助計算!$D:$D, (MATCH(42, 輔助計算!$E$2:$E$801, 0)+1)), "")</f>
        <v/>
      </c>
      <c r="I43" s="10">
        <f>IFERROR(IF(INDEX(ERP資料!$O:$O, (MATCH(42, 輔助計算!$E$2:$E$801, 0)+1))="","",INDEX(ERP資料!$O:$O, (MATCH(42, 輔助計算!$E$2:$E$801, 0)+1))), "")</f>
        <v/>
      </c>
      <c r="J43" s="15">
        <f>IFERROR(IF(INDEX(輔助計算!$D:$D,(MATCH(42, 輔助計算!$E$2:$E$801, 0)+1))="","",INDEX(輔助計算!$D:$D,(MATCH(42, 輔助計算!$E$2:$E$801, 0)+1))*INDEX(ERP資料!$O:$O,(MATCH(42, 輔助計算!$E$2:$E$801, 0)+1))), "")</f>
        <v/>
      </c>
      <c r="K43" s="16" t="n"/>
      <c r="L43" s="16" t="n"/>
      <c r="M43" s="17" t="n"/>
    </row>
    <row r="44">
      <c r="A44" s="14">
        <f>IFERROR(IF(INDEX(ERP資料!$B:$B, (MATCH(43, 輔助計算!$E$2:$E$801, 0)+1))="","",INDEX(ERP資料!$B:$B, (MATCH(43, 輔助計算!$E$2:$E$801, 0)+1))), "")</f>
        <v/>
      </c>
      <c r="B44" s="10">
        <f>IFERROR(IF(INDEX(ERP資料!$A:$A, (MATCH(43, 輔助計算!$E$2:$E$801, 0)+1))="","",INDEX(ERP資料!$A:$A, (MATCH(43, 輔助計算!$E$2:$E$801, 0)+1))), "")</f>
        <v/>
      </c>
      <c r="C44" s="10">
        <f>IFERROR(IF(INDEX(ERP資料!$S:$S, (MATCH(43, 輔助計算!$E$2:$E$801, 0)+1))="","",INDEX(ERP資料!$S:$S, (MATCH(43, 輔助計算!$E$2:$E$801, 0)+1))), "")</f>
        <v/>
      </c>
      <c r="D44" s="10">
        <f>IFERROR(IF(INDEX(ERP資料!$E:$E, (MATCH(43, 輔助計算!$E$2:$E$801, 0)+1))="","",TRIM(INDEX(ERP資料!$E:$E, (MATCH(43, 輔助計算!$E$2:$E$801, 0)+1)))), "")</f>
        <v/>
      </c>
      <c r="E44" s="10">
        <f>IFERROR(IF(INDEX(ERP資料!$F:$F, (MATCH(43, 輔助計算!$E$2:$E$801, 0)+1))="","",INDEX(ERP資料!$F:$F, (MATCH(43, 輔助計算!$E$2:$E$801, 0)+1))), "")</f>
        <v/>
      </c>
      <c r="F44" s="10">
        <f>IFERROR(IF(INDEX(ERP資料!$G:$G, (MATCH(43, 輔助計算!$E$2:$E$801, 0)+1))="","",INDEX(ERP資料!$G:$G, (MATCH(43, 輔助計算!$E$2:$E$801, 0)+1))), "")</f>
        <v/>
      </c>
      <c r="G44" s="10">
        <f>IFERROR(IF(INDEX(ERP資料!$H:$H, (MATCH(43, 輔助計算!$E$2:$E$801, 0)+1))="","",INDEX(ERP資料!$H:$H, (MATCH(43, 輔助計算!$E$2:$E$801, 0)+1))), "")</f>
        <v/>
      </c>
      <c r="H44" s="15">
        <f>IFERROR(INDEX(輔助計算!$D:$D, (MATCH(43, 輔助計算!$E$2:$E$801, 0)+1)), "")</f>
        <v/>
      </c>
      <c r="I44" s="10">
        <f>IFERROR(IF(INDEX(ERP資料!$O:$O, (MATCH(43, 輔助計算!$E$2:$E$801, 0)+1))="","",INDEX(ERP資料!$O:$O, (MATCH(43, 輔助計算!$E$2:$E$801, 0)+1))), "")</f>
        <v/>
      </c>
      <c r="J44" s="15">
        <f>IFERROR(IF(INDEX(輔助計算!$D:$D,(MATCH(43, 輔助計算!$E$2:$E$801, 0)+1))="","",INDEX(輔助計算!$D:$D,(MATCH(43, 輔助計算!$E$2:$E$801, 0)+1))*INDEX(ERP資料!$O:$O,(MATCH(43, 輔助計算!$E$2:$E$801, 0)+1))), "")</f>
        <v/>
      </c>
      <c r="K44" s="16" t="n"/>
      <c r="L44" s="16" t="n"/>
      <c r="M44" s="17" t="n"/>
    </row>
    <row r="45">
      <c r="A45" s="14">
        <f>IFERROR(IF(INDEX(ERP資料!$B:$B, (MATCH(44, 輔助計算!$E$2:$E$801, 0)+1))="","",INDEX(ERP資料!$B:$B, (MATCH(44, 輔助計算!$E$2:$E$801, 0)+1))), "")</f>
        <v/>
      </c>
      <c r="B45" s="10">
        <f>IFERROR(IF(INDEX(ERP資料!$A:$A, (MATCH(44, 輔助計算!$E$2:$E$801, 0)+1))="","",INDEX(ERP資料!$A:$A, (MATCH(44, 輔助計算!$E$2:$E$801, 0)+1))), "")</f>
        <v/>
      </c>
      <c r="C45" s="10">
        <f>IFERROR(IF(INDEX(ERP資料!$S:$S, (MATCH(44, 輔助計算!$E$2:$E$801, 0)+1))="","",INDEX(ERP資料!$S:$S, (MATCH(44, 輔助計算!$E$2:$E$801, 0)+1))), "")</f>
        <v/>
      </c>
      <c r="D45" s="10">
        <f>IFERROR(IF(INDEX(ERP資料!$E:$E, (MATCH(44, 輔助計算!$E$2:$E$801, 0)+1))="","",TRIM(INDEX(ERP資料!$E:$E, (MATCH(44, 輔助計算!$E$2:$E$801, 0)+1)))), "")</f>
        <v/>
      </c>
      <c r="E45" s="10">
        <f>IFERROR(IF(INDEX(ERP資料!$F:$F, (MATCH(44, 輔助計算!$E$2:$E$801, 0)+1))="","",INDEX(ERP資料!$F:$F, (MATCH(44, 輔助計算!$E$2:$E$801, 0)+1))), "")</f>
        <v/>
      </c>
      <c r="F45" s="10">
        <f>IFERROR(IF(INDEX(ERP資料!$G:$G, (MATCH(44, 輔助計算!$E$2:$E$801, 0)+1))="","",INDEX(ERP資料!$G:$G, (MATCH(44, 輔助計算!$E$2:$E$801, 0)+1))), "")</f>
        <v/>
      </c>
      <c r="G45" s="10">
        <f>IFERROR(IF(INDEX(ERP資料!$H:$H, (MATCH(44, 輔助計算!$E$2:$E$801, 0)+1))="","",INDEX(ERP資料!$H:$H, (MATCH(44, 輔助計算!$E$2:$E$801, 0)+1))), "")</f>
        <v/>
      </c>
      <c r="H45" s="15">
        <f>IFERROR(INDEX(輔助計算!$D:$D, (MATCH(44, 輔助計算!$E$2:$E$801, 0)+1)), "")</f>
        <v/>
      </c>
      <c r="I45" s="10">
        <f>IFERROR(IF(INDEX(ERP資料!$O:$O, (MATCH(44, 輔助計算!$E$2:$E$801, 0)+1))="","",INDEX(ERP資料!$O:$O, (MATCH(44, 輔助計算!$E$2:$E$801, 0)+1))), "")</f>
        <v/>
      </c>
      <c r="J45" s="15">
        <f>IFERROR(IF(INDEX(輔助計算!$D:$D,(MATCH(44, 輔助計算!$E$2:$E$801, 0)+1))="","",INDEX(輔助計算!$D:$D,(MATCH(44, 輔助計算!$E$2:$E$801, 0)+1))*INDEX(ERP資料!$O:$O,(MATCH(44, 輔助計算!$E$2:$E$801, 0)+1))), "")</f>
        <v/>
      </c>
      <c r="K45" s="16" t="n"/>
      <c r="L45" s="16" t="n"/>
      <c r="M45" s="17" t="n"/>
    </row>
    <row r="46">
      <c r="A46" s="14">
        <f>IFERROR(IF(INDEX(ERP資料!$B:$B, (MATCH(45, 輔助計算!$E$2:$E$801, 0)+1))="","",INDEX(ERP資料!$B:$B, (MATCH(45, 輔助計算!$E$2:$E$801, 0)+1))), "")</f>
        <v/>
      </c>
      <c r="B46" s="10">
        <f>IFERROR(IF(INDEX(ERP資料!$A:$A, (MATCH(45, 輔助計算!$E$2:$E$801, 0)+1))="","",INDEX(ERP資料!$A:$A, (MATCH(45, 輔助計算!$E$2:$E$801, 0)+1))), "")</f>
        <v/>
      </c>
      <c r="C46" s="10">
        <f>IFERROR(IF(INDEX(ERP資料!$S:$S, (MATCH(45, 輔助計算!$E$2:$E$801, 0)+1))="","",INDEX(ERP資料!$S:$S, (MATCH(45, 輔助計算!$E$2:$E$801, 0)+1))), "")</f>
        <v/>
      </c>
      <c r="D46" s="10">
        <f>IFERROR(IF(INDEX(ERP資料!$E:$E, (MATCH(45, 輔助計算!$E$2:$E$801, 0)+1))="","",TRIM(INDEX(ERP資料!$E:$E, (MATCH(45, 輔助計算!$E$2:$E$801, 0)+1)))), "")</f>
        <v/>
      </c>
      <c r="E46" s="10">
        <f>IFERROR(IF(INDEX(ERP資料!$F:$F, (MATCH(45, 輔助計算!$E$2:$E$801, 0)+1))="","",INDEX(ERP資料!$F:$F, (MATCH(45, 輔助計算!$E$2:$E$801, 0)+1))), "")</f>
        <v/>
      </c>
      <c r="F46" s="10">
        <f>IFERROR(IF(INDEX(ERP資料!$G:$G, (MATCH(45, 輔助計算!$E$2:$E$801, 0)+1))="","",INDEX(ERP資料!$G:$G, (MATCH(45, 輔助計算!$E$2:$E$801, 0)+1))), "")</f>
        <v/>
      </c>
      <c r="G46" s="10">
        <f>IFERROR(IF(INDEX(ERP資料!$H:$H, (MATCH(45, 輔助計算!$E$2:$E$801, 0)+1))="","",INDEX(ERP資料!$H:$H, (MATCH(45, 輔助計算!$E$2:$E$801, 0)+1))), "")</f>
        <v/>
      </c>
      <c r="H46" s="15">
        <f>IFERROR(INDEX(輔助計算!$D:$D, (MATCH(45, 輔助計算!$E$2:$E$801, 0)+1)), "")</f>
        <v/>
      </c>
      <c r="I46" s="10">
        <f>IFERROR(IF(INDEX(ERP資料!$O:$O, (MATCH(45, 輔助計算!$E$2:$E$801, 0)+1))="","",INDEX(ERP資料!$O:$O, (MATCH(45, 輔助計算!$E$2:$E$801, 0)+1))), "")</f>
        <v/>
      </c>
      <c r="J46" s="15">
        <f>IFERROR(IF(INDEX(輔助計算!$D:$D,(MATCH(45, 輔助計算!$E$2:$E$801, 0)+1))="","",INDEX(輔助計算!$D:$D,(MATCH(45, 輔助計算!$E$2:$E$801, 0)+1))*INDEX(ERP資料!$O:$O,(MATCH(45, 輔助計算!$E$2:$E$801, 0)+1))), "")</f>
        <v/>
      </c>
      <c r="K46" s="16" t="n"/>
      <c r="L46" s="16" t="n"/>
      <c r="M46" s="17" t="n"/>
    </row>
    <row r="47">
      <c r="A47" s="14">
        <f>IFERROR(IF(INDEX(ERP資料!$B:$B, (MATCH(46, 輔助計算!$E$2:$E$801, 0)+1))="","",INDEX(ERP資料!$B:$B, (MATCH(46, 輔助計算!$E$2:$E$801, 0)+1))), "")</f>
        <v/>
      </c>
      <c r="B47" s="10">
        <f>IFERROR(IF(INDEX(ERP資料!$A:$A, (MATCH(46, 輔助計算!$E$2:$E$801, 0)+1))="","",INDEX(ERP資料!$A:$A, (MATCH(46, 輔助計算!$E$2:$E$801, 0)+1))), "")</f>
        <v/>
      </c>
      <c r="C47" s="10">
        <f>IFERROR(IF(INDEX(ERP資料!$S:$S, (MATCH(46, 輔助計算!$E$2:$E$801, 0)+1))="","",INDEX(ERP資料!$S:$S, (MATCH(46, 輔助計算!$E$2:$E$801, 0)+1))), "")</f>
        <v/>
      </c>
      <c r="D47" s="10">
        <f>IFERROR(IF(INDEX(ERP資料!$E:$E, (MATCH(46, 輔助計算!$E$2:$E$801, 0)+1))="","",TRIM(INDEX(ERP資料!$E:$E, (MATCH(46, 輔助計算!$E$2:$E$801, 0)+1)))), "")</f>
        <v/>
      </c>
      <c r="E47" s="10">
        <f>IFERROR(IF(INDEX(ERP資料!$F:$F, (MATCH(46, 輔助計算!$E$2:$E$801, 0)+1))="","",INDEX(ERP資料!$F:$F, (MATCH(46, 輔助計算!$E$2:$E$801, 0)+1))), "")</f>
        <v/>
      </c>
      <c r="F47" s="10">
        <f>IFERROR(IF(INDEX(ERP資料!$G:$G, (MATCH(46, 輔助計算!$E$2:$E$801, 0)+1))="","",INDEX(ERP資料!$G:$G, (MATCH(46, 輔助計算!$E$2:$E$801, 0)+1))), "")</f>
        <v/>
      </c>
      <c r="G47" s="10">
        <f>IFERROR(IF(INDEX(ERP資料!$H:$H, (MATCH(46, 輔助計算!$E$2:$E$801, 0)+1))="","",INDEX(ERP資料!$H:$H, (MATCH(46, 輔助計算!$E$2:$E$801, 0)+1))), "")</f>
        <v/>
      </c>
      <c r="H47" s="15">
        <f>IFERROR(INDEX(輔助計算!$D:$D, (MATCH(46, 輔助計算!$E$2:$E$801, 0)+1)), "")</f>
        <v/>
      </c>
      <c r="I47" s="10">
        <f>IFERROR(IF(INDEX(ERP資料!$O:$O, (MATCH(46, 輔助計算!$E$2:$E$801, 0)+1))="","",INDEX(ERP資料!$O:$O, (MATCH(46, 輔助計算!$E$2:$E$801, 0)+1))), "")</f>
        <v/>
      </c>
      <c r="J47" s="15">
        <f>IFERROR(IF(INDEX(輔助計算!$D:$D,(MATCH(46, 輔助計算!$E$2:$E$801, 0)+1))="","",INDEX(輔助計算!$D:$D,(MATCH(46, 輔助計算!$E$2:$E$801, 0)+1))*INDEX(ERP資料!$O:$O,(MATCH(46, 輔助計算!$E$2:$E$801, 0)+1))), "")</f>
        <v/>
      </c>
      <c r="K47" s="16" t="n"/>
      <c r="L47" s="16" t="n"/>
      <c r="M47" s="17" t="n"/>
    </row>
    <row r="48">
      <c r="A48" s="14">
        <f>IFERROR(IF(INDEX(ERP資料!$B:$B, (MATCH(47, 輔助計算!$E$2:$E$801, 0)+1))="","",INDEX(ERP資料!$B:$B, (MATCH(47, 輔助計算!$E$2:$E$801, 0)+1))), "")</f>
        <v/>
      </c>
      <c r="B48" s="10">
        <f>IFERROR(IF(INDEX(ERP資料!$A:$A, (MATCH(47, 輔助計算!$E$2:$E$801, 0)+1))="","",INDEX(ERP資料!$A:$A, (MATCH(47, 輔助計算!$E$2:$E$801, 0)+1))), "")</f>
        <v/>
      </c>
      <c r="C48" s="10">
        <f>IFERROR(IF(INDEX(ERP資料!$S:$S, (MATCH(47, 輔助計算!$E$2:$E$801, 0)+1))="","",INDEX(ERP資料!$S:$S, (MATCH(47, 輔助計算!$E$2:$E$801, 0)+1))), "")</f>
        <v/>
      </c>
      <c r="D48" s="10">
        <f>IFERROR(IF(INDEX(ERP資料!$E:$E, (MATCH(47, 輔助計算!$E$2:$E$801, 0)+1))="","",TRIM(INDEX(ERP資料!$E:$E, (MATCH(47, 輔助計算!$E$2:$E$801, 0)+1)))), "")</f>
        <v/>
      </c>
      <c r="E48" s="10">
        <f>IFERROR(IF(INDEX(ERP資料!$F:$F, (MATCH(47, 輔助計算!$E$2:$E$801, 0)+1))="","",INDEX(ERP資料!$F:$F, (MATCH(47, 輔助計算!$E$2:$E$801, 0)+1))), "")</f>
        <v/>
      </c>
      <c r="F48" s="10">
        <f>IFERROR(IF(INDEX(ERP資料!$G:$G, (MATCH(47, 輔助計算!$E$2:$E$801, 0)+1))="","",INDEX(ERP資料!$G:$G, (MATCH(47, 輔助計算!$E$2:$E$801, 0)+1))), "")</f>
        <v/>
      </c>
      <c r="G48" s="10">
        <f>IFERROR(IF(INDEX(ERP資料!$H:$H, (MATCH(47, 輔助計算!$E$2:$E$801, 0)+1))="","",INDEX(ERP資料!$H:$H, (MATCH(47, 輔助計算!$E$2:$E$801, 0)+1))), "")</f>
        <v/>
      </c>
      <c r="H48" s="15">
        <f>IFERROR(INDEX(輔助計算!$D:$D, (MATCH(47, 輔助計算!$E$2:$E$801, 0)+1)), "")</f>
        <v/>
      </c>
      <c r="I48" s="10">
        <f>IFERROR(IF(INDEX(ERP資料!$O:$O, (MATCH(47, 輔助計算!$E$2:$E$801, 0)+1))="","",INDEX(ERP資料!$O:$O, (MATCH(47, 輔助計算!$E$2:$E$801, 0)+1))), "")</f>
        <v/>
      </c>
      <c r="J48" s="15">
        <f>IFERROR(IF(INDEX(輔助計算!$D:$D,(MATCH(47, 輔助計算!$E$2:$E$801, 0)+1))="","",INDEX(輔助計算!$D:$D,(MATCH(47, 輔助計算!$E$2:$E$801, 0)+1))*INDEX(ERP資料!$O:$O,(MATCH(47, 輔助計算!$E$2:$E$801, 0)+1))), "")</f>
        <v/>
      </c>
      <c r="K48" s="16" t="n"/>
      <c r="L48" s="16" t="n"/>
      <c r="M48" s="17" t="n"/>
    </row>
    <row r="49">
      <c r="A49" s="14">
        <f>IFERROR(IF(INDEX(ERP資料!$B:$B, (MATCH(48, 輔助計算!$E$2:$E$801, 0)+1))="","",INDEX(ERP資料!$B:$B, (MATCH(48, 輔助計算!$E$2:$E$801, 0)+1))), "")</f>
        <v/>
      </c>
      <c r="B49" s="10">
        <f>IFERROR(IF(INDEX(ERP資料!$A:$A, (MATCH(48, 輔助計算!$E$2:$E$801, 0)+1))="","",INDEX(ERP資料!$A:$A, (MATCH(48, 輔助計算!$E$2:$E$801, 0)+1))), "")</f>
        <v/>
      </c>
      <c r="C49" s="10">
        <f>IFERROR(IF(INDEX(ERP資料!$S:$S, (MATCH(48, 輔助計算!$E$2:$E$801, 0)+1))="","",INDEX(ERP資料!$S:$S, (MATCH(48, 輔助計算!$E$2:$E$801, 0)+1))), "")</f>
        <v/>
      </c>
      <c r="D49" s="10">
        <f>IFERROR(IF(INDEX(ERP資料!$E:$E, (MATCH(48, 輔助計算!$E$2:$E$801, 0)+1))="","",TRIM(INDEX(ERP資料!$E:$E, (MATCH(48, 輔助計算!$E$2:$E$801, 0)+1)))), "")</f>
        <v/>
      </c>
      <c r="E49" s="10">
        <f>IFERROR(IF(INDEX(ERP資料!$F:$F, (MATCH(48, 輔助計算!$E$2:$E$801, 0)+1))="","",INDEX(ERP資料!$F:$F, (MATCH(48, 輔助計算!$E$2:$E$801, 0)+1))), "")</f>
        <v/>
      </c>
      <c r="F49" s="10">
        <f>IFERROR(IF(INDEX(ERP資料!$G:$G, (MATCH(48, 輔助計算!$E$2:$E$801, 0)+1))="","",INDEX(ERP資料!$G:$G, (MATCH(48, 輔助計算!$E$2:$E$801, 0)+1))), "")</f>
        <v/>
      </c>
      <c r="G49" s="10">
        <f>IFERROR(IF(INDEX(ERP資料!$H:$H, (MATCH(48, 輔助計算!$E$2:$E$801, 0)+1))="","",INDEX(ERP資料!$H:$H, (MATCH(48, 輔助計算!$E$2:$E$801, 0)+1))), "")</f>
        <v/>
      </c>
      <c r="H49" s="15">
        <f>IFERROR(INDEX(輔助計算!$D:$D, (MATCH(48, 輔助計算!$E$2:$E$801, 0)+1)), "")</f>
        <v/>
      </c>
      <c r="I49" s="10">
        <f>IFERROR(IF(INDEX(ERP資料!$O:$O, (MATCH(48, 輔助計算!$E$2:$E$801, 0)+1))="","",INDEX(ERP資料!$O:$O, (MATCH(48, 輔助計算!$E$2:$E$801, 0)+1))), "")</f>
        <v/>
      </c>
      <c r="J49" s="15">
        <f>IFERROR(IF(INDEX(輔助計算!$D:$D,(MATCH(48, 輔助計算!$E$2:$E$801, 0)+1))="","",INDEX(輔助計算!$D:$D,(MATCH(48, 輔助計算!$E$2:$E$801, 0)+1))*INDEX(ERP資料!$O:$O,(MATCH(48, 輔助計算!$E$2:$E$801, 0)+1))), "")</f>
        <v/>
      </c>
      <c r="K49" s="16" t="n"/>
      <c r="L49" s="16" t="n"/>
      <c r="M49" s="17" t="n"/>
    </row>
    <row r="50">
      <c r="A50" s="14">
        <f>IFERROR(IF(INDEX(ERP資料!$B:$B, (MATCH(49, 輔助計算!$E$2:$E$801, 0)+1))="","",INDEX(ERP資料!$B:$B, (MATCH(49, 輔助計算!$E$2:$E$801, 0)+1))), "")</f>
        <v/>
      </c>
      <c r="B50" s="10">
        <f>IFERROR(IF(INDEX(ERP資料!$A:$A, (MATCH(49, 輔助計算!$E$2:$E$801, 0)+1))="","",INDEX(ERP資料!$A:$A, (MATCH(49, 輔助計算!$E$2:$E$801, 0)+1))), "")</f>
        <v/>
      </c>
      <c r="C50" s="10">
        <f>IFERROR(IF(INDEX(ERP資料!$S:$S, (MATCH(49, 輔助計算!$E$2:$E$801, 0)+1))="","",INDEX(ERP資料!$S:$S, (MATCH(49, 輔助計算!$E$2:$E$801, 0)+1))), "")</f>
        <v/>
      </c>
      <c r="D50" s="10">
        <f>IFERROR(IF(INDEX(ERP資料!$E:$E, (MATCH(49, 輔助計算!$E$2:$E$801, 0)+1))="","",TRIM(INDEX(ERP資料!$E:$E, (MATCH(49, 輔助計算!$E$2:$E$801, 0)+1)))), "")</f>
        <v/>
      </c>
      <c r="E50" s="10">
        <f>IFERROR(IF(INDEX(ERP資料!$F:$F, (MATCH(49, 輔助計算!$E$2:$E$801, 0)+1))="","",INDEX(ERP資料!$F:$F, (MATCH(49, 輔助計算!$E$2:$E$801, 0)+1))), "")</f>
        <v/>
      </c>
      <c r="F50" s="10">
        <f>IFERROR(IF(INDEX(ERP資料!$G:$G, (MATCH(49, 輔助計算!$E$2:$E$801, 0)+1))="","",INDEX(ERP資料!$G:$G, (MATCH(49, 輔助計算!$E$2:$E$801, 0)+1))), "")</f>
        <v/>
      </c>
      <c r="G50" s="10">
        <f>IFERROR(IF(INDEX(ERP資料!$H:$H, (MATCH(49, 輔助計算!$E$2:$E$801, 0)+1))="","",INDEX(ERP資料!$H:$H, (MATCH(49, 輔助計算!$E$2:$E$801, 0)+1))), "")</f>
        <v/>
      </c>
      <c r="H50" s="15">
        <f>IFERROR(INDEX(輔助計算!$D:$D, (MATCH(49, 輔助計算!$E$2:$E$801, 0)+1)), "")</f>
        <v/>
      </c>
      <c r="I50" s="10">
        <f>IFERROR(IF(INDEX(ERP資料!$O:$O, (MATCH(49, 輔助計算!$E$2:$E$801, 0)+1))="","",INDEX(ERP資料!$O:$O, (MATCH(49, 輔助計算!$E$2:$E$801, 0)+1))), "")</f>
        <v/>
      </c>
      <c r="J50" s="15">
        <f>IFERROR(IF(INDEX(輔助計算!$D:$D,(MATCH(49, 輔助計算!$E$2:$E$801, 0)+1))="","",INDEX(輔助計算!$D:$D,(MATCH(49, 輔助計算!$E$2:$E$801, 0)+1))*INDEX(ERP資料!$O:$O,(MATCH(49, 輔助計算!$E$2:$E$801, 0)+1))), "")</f>
        <v/>
      </c>
      <c r="K50" s="16" t="n"/>
      <c r="L50" s="16" t="n"/>
      <c r="M50" s="17" t="n"/>
    </row>
    <row r="51">
      <c r="A51" s="14">
        <f>IFERROR(IF(INDEX(ERP資料!$B:$B, (MATCH(50, 輔助計算!$E$2:$E$801, 0)+1))="","",INDEX(ERP資料!$B:$B, (MATCH(50, 輔助計算!$E$2:$E$801, 0)+1))), "")</f>
        <v/>
      </c>
      <c r="B51" s="10">
        <f>IFERROR(IF(INDEX(ERP資料!$A:$A, (MATCH(50, 輔助計算!$E$2:$E$801, 0)+1))="","",INDEX(ERP資料!$A:$A, (MATCH(50, 輔助計算!$E$2:$E$801, 0)+1))), "")</f>
        <v/>
      </c>
      <c r="C51" s="10">
        <f>IFERROR(IF(INDEX(ERP資料!$S:$S, (MATCH(50, 輔助計算!$E$2:$E$801, 0)+1))="","",INDEX(ERP資料!$S:$S, (MATCH(50, 輔助計算!$E$2:$E$801, 0)+1))), "")</f>
        <v/>
      </c>
      <c r="D51" s="10">
        <f>IFERROR(IF(INDEX(ERP資料!$E:$E, (MATCH(50, 輔助計算!$E$2:$E$801, 0)+1))="","",TRIM(INDEX(ERP資料!$E:$E, (MATCH(50, 輔助計算!$E$2:$E$801, 0)+1)))), "")</f>
        <v/>
      </c>
      <c r="E51" s="10">
        <f>IFERROR(IF(INDEX(ERP資料!$F:$F, (MATCH(50, 輔助計算!$E$2:$E$801, 0)+1))="","",INDEX(ERP資料!$F:$F, (MATCH(50, 輔助計算!$E$2:$E$801, 0)+1))), "")</f>
        <v/>
      </c>
      <c r="F51" s="10">
        <f>IFERROR(IF(INDEX(ERP資料!$G:$G, (MATCH(50, 輔助計算!$E$2:$E$801, 0)+1))="","",INDEX(ERP資料!$G:$G, (MATCH(50, 輔助計算!$E$2:$E$801, 0)+1))), "")</f>
        <v/>
      </c>
      <c r="G51" s="10">
        <f>IFERROR(IF(INDEX(ERP資料!$H:$H, (MATCH(50, 輔助計算!$E$2:$E$801, 0)+1))="","",INDEX(ERP資料!$H:$H, (MATCH(50, 輔助計算!$E$2:$E$801, 0)+1))), "")</f>
        <v/>
      </c>
      <c r="H51" s="15">
        <f>IFERROR(INDEX(輔助計算!$D:$D, (MATCH(50, 輔助計算!$E$2:$E$801, 0)+1)), "")</f>
        <v/>
      </c>
      <c r="I51" s="10">
        <f>IFERROR(IF(INDEX(ERP資料!$O:$O, (MATCH(50, 輔助計算!$E$2:$E$801, 0)+1))="","",INDEX(ERP資料!$O:$O, (MATCH(50, 輔助計算!$E$2:$E$801, 0)+1))), "")</f>
        <v/>
      </c>
      <c r="J51" s="15">
        <f>IFERROR(IF(INDEX(輔助計算!$D:$D,(MATCH(50, 輔助計算!$E$2:$E$801, 0)+1))="","",INDEX(輔助計算!$D:$D,(MATCH(50, 輔助計算!$E$2:$E$801, 0)+1))*INDEX(ERP資料!$O:$O,(MATCH(50, 輔助計算!$E$2:$E$801, 0)+1))), "")</f>
        <v/>
      </c>
      <c r="K51" s="16" t="n"/>
      <c r="L51" s="16" t="n"/>
      <c r="M51" s="17" t="n"/>
    </row>
    <row r="52">
      <c r="A52" s="14">
        <f>IFERROR(IF(INDEX(ERP資料!$B:$B, (MATCH(51, 輔助計算!$E$2:$E$801, 0)+1))="","",INDEX(ERP資料!$B:$B, (MATCH(51, 輔助計算!$E$2:$E$801, 0)+1))), "")</f>
        <v/>
      </c>
      <c r="B52" s="10">
        <f>IFERROR(IF(INDEX(ERP資料!$A:$A, (MATCH(51, 輔助計算!$E$2:$E$801, 0)+1))="","",INDEX(ERP資料!$A:$A, (MATCH(51, 輔助計算!$E$2:$E$801, 0)+1))), "")</f>
        <v/>
      </c>
      <c r="C52" s="10">
        <f>IFERROR(IF(INDEX(ERP資料!$S:$S, (MATCH(51, 輔助計算!$E$2:$E$801, 0)+1))="","",INDEX(ERP資料!$S:$S, (MATCH(51, 輔助計算!$E$2:$E$801, 0)+1))), "")</f>
        <v/>
      </c>
      <c r="D52" s="10">
        <f>IFERROR(IF(INDEX(ERP資料!$E:$E, (MATCH(51, 輔助計算!$E$2:$E$801, 0)+1))="","",TRIM(INDEX(ERP資料!$E:$E, (MATCH(51, 輔助計算!$E$2:$E$801, 0)+1)))), "")</f>
        <v/>
      </c>
      <c r="E52" s="10">
        <f>IFERROR(IF(INDEX(ERP資料!$F:$F, (MATCH(51, 輔助計算!$E$2:$E$801, 0)+1))="","",INDEX(ERP資料!$F:$F, (MATCH(51, 輔助計算!$E$2:$E$801, 0)+1))), "")</f>
        <v/>
      </c>
      <c r="F52" s="10">
        <f>IFERROR(IF(INDEX(ERP資料!$G:$G, (MATCH(51, 輔助計算!$E$2:$E$801, 0)+1))="","",INDEX(ERP資料!$G:$G, (MATCH(51, 輔助計算!$E$2:$E$801, 0)+1))), "")</f>
        <v/>
      </c>
      <c r="G52" s="10">
        <f>IFERROR(IF(INDEX(ERP資料!$H:$H, (MATCH(51, 輔助計算!$E$2:$E$801, 0)+1))="","",INDEX(ERP資料!$H:$H, (MATCH(51, 輔助計算!$E$2:$E$801, 0)+1))), "")</f>
        <v/>
      </c>
      <c r="H52" s="15">
        <f>IFERROR(INDEX(輔助計算!$D:$D, (MATCH(51, 輔助計算!$E$2:$E$801, 0)+1)), "")</f>
        <v/>
      </c>
      <c r="I52" s="10">
        <f>IFERROR(IF(INDEX(ERP資料!$O:$O, (MATCH(51, 輔助計算!$E$2:$E$801, 0)+1))="","",INDEX(ERP資料!$O:$O, (MATCH(51, 輔助計算!$E$2:$E$801, 0)+1))), "")</f>
        <v/>
      </c>
      <c r="J52" s="15">
        <f>IFERROR(IF(INDEX(輔助計算!$D:$D,(MATCH(51, 輔助計算!$E$2:$E$801, 0)+1))="","",INDEX(輔助計算!$D:$D,(MATCH(51, 輔助計算!$E$2:$E$801, 0)+1))*INDEX(ERP資料!$O:$O,(MATCH(51, 輔助計算!$E$2:$E$801, 0)+1))), "")</f>
        <v/>
      </c>
      <c r="K52" s="16" t="n"/>
      <c r="L52" s="16" t="n"/>
      <c r="M52" s="17" t="n"/>
    </row>
    <row r="53">
      <c r="A53" s="14">
        <f>IFERROR(IF(INDEX(ERP資料!$B:$B, (MATCH(52, 輔助計算!$E$2:$E$801, 0)+1))="","",INDEX(ERP資料!$B:$B, (MATCH(52, 輔助計算!$E$2:$E$801, 0)+1))), "")</f>
        <v/>
      </c>
      <c r="B53" s="10">
        <f>IFERROR(IF(INDEX(ERP資料!$A:$A, (MATCH(52, 輔助計算!$E$2:$E$801, 0)+1))="","",INDEX(ERP資料!$A:$A, (MATCH(52, 輔助計算!$E$2:$E$801, 0)+1))), "")</f>
        <v/>
      </c>
      <c r="C53" s="10">
        <f>IFERROR(IF(INDEX(ERP資料!$S:$S, (MATCH(52, 輔助計算!$E$2:$E$801, 0)+1))="","",INDEX(ERP資料!$S:$S, (MATCH(52, 輔助計算!$E$2:$E$801, 0)+1))), "")</f>
        <v/>
      </c>
      <c r="D53" s="10">
        <f>IFERROR(IF(INDEX(ERP資料!$E:$E, (MATCH(52, 輔助計算!$E$2:$E$801, 0)+1))="","",TRIM(INDEX(ERP資料!$E:$E, (MATCH(52, 輔助計算!$E$2:$E$801, 0)+1)))), "")</f>
        <v/>
      </c>
      <c r="E53" s="10">
        <f>IFERROR(IF(INDEX(ERP資料!$F:$F, (MATCH(52, 輔助計算!$E$2:$E$801, 0)+1))="","",INDEX(ERP資料!$F:$F, (MATCH(52, 輔助計算!$E$2:$E$801, 0)+1))), "")</f>
        <v/>
      </c>
      <c r="F53" s="10">
        <f>IFERROR(IF(INDEX(ERP資料!$G:$G, (MATCH(52, 輔助計算!$E$2:$E$801, 0)+1))="","",INDEX(ERP資料!$G:$G, (MATCH(52, 輔助計算!$E$2:$E$801, 0)+1))), "")</f>
        <v/>
      </c>
      <c r="G53" s="10">
        <f>IFERROR(IF(INDEX(ERP資料!$H:$H, (MATCH(52, 輔助計算!$E$2:$E$801, 0)+1))="","",INDEX(ERP資料!$H:$H, (MATCH(52, 輔助計算!$E$2:$E$801, 0)+1))), "")</f>
        <v/>
      </c>
      <c r="H53" s="15">
        <f>IFERROR(INDEX(輔助計算!$D:$D, (MATCH(52, 輔助計算!$E$2:$E$801, 0)+1)), "")</f>
        <v/>
      </c>
      <c r="I53" s="10">
        <f>IFERROR(IF(INDEX(ERP資料!$O:$O, (MATCH(52, 輔助計算!$E$2:$E$801, 0)+1))="","",INDEX(ERP資料!$O:$O, (MATCH(52, 輔助計算!$E$2:$E$801, 0)+1))), "")</f>
        <v/>
      </c>
      <c r="J53" s="15">
        <f>IFERROR(IF(INDEX(輔助計算!$D:$D,(MATCH(52, 輔助計算!$E$2:$E$801, 0)+1))="","",INDEX(輔助計算!$D:$D,(MATCH(52, 輔助計算!$E$2:$E$801, 0)+1))*INDEX(ERP資料!$O:$O,(MATCH(52, 輔助計算!$E$2:$E$801, 0)+1))), "")</f>
        <v/>
      </c>
      <c r="K53" s="16" t="n"/>
      <c r="L53" s="16" t="n"/>
      <c r="M53" s="17" t="n"/>
    </row>
    <row r="54">
      <c r="A54" s="14">
        <f>IFERROR(IF(INDEX(ERP資料!$B:$B, (MATCH(53, 輔助計算!$E$2:$E$801, 0)+1))="","",INDEX(ERP資料!$B:$B, (MATCH(53, 輔助計算!$E$2:$E$801, 0)+1))), "")</f>
        <v/>
      </c>
      <c r="B54" s="10">
        <f>IFERROR(IF(INDEX(ERP資料!$A:$A, (MATCH(53, 輔助計算!$E$2:$E$801, 0)+1))="","",INDEX(ERP資料!$A:$A, (MATCH(53, 輔助計算!$E$2:$E$801, 0)+1))), "")</f>
        <v/>
      </c>
      <c r="C54" s="10">
        <f>IFERROR(IF(INDEX(ERP資料!$S:$S, (MATCH(53, 輔助計算!$E$2:$E$801, 0)+1))="","",INDEX(ERP資料!$S:$S, (MATCH(53, 輔助計算!$E$2:$E$801, 0)+1))), "")</f>
        <v/>
      </c>
      <c r="D54" s="10">
        <f>IFERROR(IF(INDEX(ERP資料!$E:$E, (MATCH(53, 輔助計算!$E$2:$E$801, 0)+1))="","",TRIM(INDEX(ERP資料!$E:$E, (MATCH(53, 輔助計算!$E$2:$E$801, 0)+1)))), "")</f>
        <v/>
      </c>
      <c r="E54" s="10">
        <f>IFERROR(IF(INDEX(ERP資料!$F:$F, (MATCH(53, 輔助計算!$E$2:$E$801, 0)+1))="","",INDEX(ERP資料!$F:$F, (MATCH(53, 輔助計算!$E$2:$E$801, 0)+1))), "")</f>
        <v/>
      </c>
      <c r="F54" s="10">
        <f>IFERROR(IF(INDEX(ERP資料!$G:$G, (MATCH(53, 輔助計算!$E$2:$E$801, 0)+1))="","",INDEX(ERP資料!$G:$G, (MATCH(53, 輔助計算!$E$2:$E$801, 0)+1))), "")</f>
        <v/>
      </c>
      <c r="G54" s="10">
        <f>IFERROR(IF(INDEX(ERP資料!$H:$H, (MATCH(53, 輔助計算!$E$2:$E$801, 0)+1))="","",INDEX(ERP資料!$H:$H, (MATCH(53, 輔助計算!$E$2:$E$801, 0)+1))), "")</f>
        <v/>
      </c>
      <c r="H54" s="15">
        <f>IFERROR(INDEX(輔助計算!$D:$D, (MATCH(53, 輔助計算!$E$2:$E$801, 0)+1)), "")</f>
        <v/>
      </c>
      <c r="I54" s="10">
        <f>IFERROR(IF(INDEX(ERP資料!$O:$O, (MATCH(53, 輔助計算!$E$2:$E$801, 0)+1))="","",INDEX(ERP資料!$O:$O, (MATCH(53, 輔助計算!$E$2:$E$801, 0)+1))), "")</f>
        <v/>
      </c>
      <c r="J54" s="15">
        <f>IFERROR(IF(INDEX(輔助計算!$D:$D,(MATCH(53, 輔助計算!$E$2:$E$801, 0)+1))="","",INDEX(輔助計算!$D:$D,(MATCH(53, 輔助計算!$E$2:$E$801, 0)+1))*INDEX(ERP資料!$O:$O,(MATCH(53, 輔助計算!$E$2:$E$801, 0)+1))), "")</f>
        <v/>
      </c>
      <c r="K54" s="16" t="n"/>
      <c r="L54" s="16" t="n"/>
      <c r="M54" s="17" t="n"/>
    </row>
    <row r="55">
      <c r="A55" s="14">
        <f>IFERROR(IF(INDEX(ERP資料!$B:$B, (MATCH(54, 輔助計算!$E$2:$E$801, 0)+1))="","",INDEX(ERP資料!$B:$B, (MATCH(54, 輔助計算!$E$2:$E$801, 0)+1))), "")</f>
        <v/>
      </c>
      <c r="B55" s="10">
        <f>IFERROR(IF(INDEX(ERP資料!$A:$A, (MATCH(54, 輔助計算!$E$2:$E$801, 0)+1))="","",INDEX(ERP資料!$A:$A, (MATCH(54, 輔助計算!$E$2:$E$801, 0)+1))), "")</f>
        <v/>
      </c>
      <c r="C55" s="10">
        <f>IFERROR(IF(INDEX(ERP資料!$S:$S, (MATCH(54, 輔助計算!$E$2:$E$801, 0)+1))="","",INDEX(ERP資料!$S:$S, (MATCH(54, 輔助計算!$E$2:$E$801, 0)+1))), "")</f>
        <v/>
      </c>
      <c r="D55" s="10">
        <f>IFERROR(IF(INDEX(ERP資料!$E:$E, (MATCH(54, 輔助計算!$E$2:$E$801, 0)+1))="","",TRIM(INDEX(ERP資料!$E:$E, (MATCH(54, 輔助計算!$E$2:$E$801, 0)+1)))), "")</f>
        <v/>
      </c>
      <c r="E55" s="10">
        <f>IFERROR(IF(INDEX(ERP資料!$F:$F, (MATCH(54, 輔助計算!$E$2:$E$801, 0)+1))="","",INDEX(ERP資料!$F:$F, (MATCH(54, 輔助計算!$E$2:$E$801, 0)+1))), "")</f>
        <v/>
      </c>
      <c r="F55" s="10">
        <f>IFERROR(IF(INDEX(ERP資料!$G:$G, (MATCH(54, 輔助計算!$E$2:$E$801, 0)+1))="","",INDEX(ERP資料!$G:$G, (MATCH(54, 輔助計算!$E$2:$E$801, 0)+1))), "")</f>
        <v/>
      </c>
      <c r="G55" s="10">
        <f>IFERROR(IF(INDEX(ERP資料!$H:$H, (MATCH(54, 輔助計算!$E$2:$E$801, 0)+1))="","",INDEX(ERP資料!$H:$H, (MATCH(54, 輔助計算!$E$2:$E$801, 0)+1))), "")</f>
        <v/>
      </c>
      <c r="H55" s="15">
        <f>IFERROR(INDEX(輔助計算!$D:$D, (MATCH(54, 輔助計算!$E$2:$E$801, 0)+1)), "")</f>
        <v/>
      </c>
      <c r="I55" s="10">
        <f>IFERROR(IF(INDEX(ERP資料!$O:$O, (MATCH(54, 輔助計算!$E$2:$E$801, 0)+1))="","",INDEX(ERP資料!$O:$O, (MATCH(54, 輔助計算!$E$2:$E$801, 0)+1))), "")</f>
        <v/>
      </c>
      <c r="J55" s="15">
        <f>IFERROR(IF(INDEX(輔助計算!$D:$D,(MATCH(54, 輔助計算!$E$2:$E$801, 0)+1))="","",INDEX(輔助計算!$D:$D,(MATCH(54, 輔助計算!$E$2:$E$801, 0)+1))*INDEX(ERP資料!$O:$O,(MATCH(54, 輔助計算!$E$2:$E$801, 0)+1))), "")</f>
        <v/>
      </c>
      <c r="K55" s="16" t="n"/>
      <c r="L55" s="16" t="n"/>
      <c r="M55" s="17" t="n"/>
    </row>
    <row r="56">
      <c r="A56" s="14">
        <f>IFERROR(IF(INDEX(ERP資料!$B:$B, (MATCH(55, 輔助計算!$E$2:$E$801, 0)+1))="","",INDEX(ERP資料!$B:$B, (MATCH(55, 輔助計算!$E$2:$E$801, 0)+1))), "")</f>
        <v/>
      </c>
      <c r="B56" s="10">
        <f>IFERROR(IF(INDEX(ERP資料!$A:$A, (MATCH(55, 輔助計算!$E$2:$E$801, 0)+1))="","",INDEX(ERP資料!$A:$A, (MATCH(55, 輔助計算!$E$2:$E$801, 0)+1))), "")</f>
        <v/>
      </c>
      <c r="C56" s="10">
        <f>IFERROR(IF(INDEX(ERP資料!$S:$S, (MATCH(55, 輔助計算!$E$2:$E$801, 0)+1))="","",INDEX(ERP資料!$S:$S, (MATCH(55, 輔助計算!$E$2:$E$801, 0)+1))), "")</f>
        <v/>
      </c>
      <c r="D56" s="10">
        <f>IFERROR(IF(INDEX(ERP資料!$E:$E, (MATCH(55, 輔助計算!$E$2:$E$801, 0)+1))="","",TRIM(INDEX(ERP資料!$E:$E, (MATCH(55, 輔助計算!$E$2:$E$801, 0)+1)))), "")</f>
        <v/>
      </c>
      <c r="E56" s="10">
        <f>IFERROR(IF(INDEX(ERP資料!$F:$F, (MATCH(55, 輔助計算!$E$2:$E$801, 0)+1))="","",INDEX(ERP資料!$F:$F, (MATCH(55, 輔助計算!$E$2:$E$801, 0)+1))), "")</f>
        <v/>
      </c>
      <c r="F56" s="10">
        <f>IFERROR(IF(INDEX(ERP資料!$G:$G, (MATCH(55, 輔助計算!$E$2:$E$801, 0)+1))="","",INDEX(ERP資料!$G:$G, (MATCH(55, 輔助計算!$E$2:$E$801, 0)+1))), "")</f>
        <v/>
      </c>
      <c r="G56" s="10">
        <f>IFERROR(IF(INDEX(ERP資料!$H:$H, (MATCH(55, 輔助計算!$E$2:$E$801, 0)+1))="","",INDEX(ERP資料!$H:$H, (MATCH(55, 輔助計算!$E$2:$E$801, 0)+1))), "")</f>
        <v/>
      </c>
      <c r="H56" s="15">
        <f>IFERROR(INDEX(輔助計算!$D:$D, (MATCH(55, 輔助計算!$E$2:$E$801, 0)+1)), "")</f>
        <v/>
      </c>
      <c r="I56" s="10">
        <f>IFERROR(IF(INDEX(ERP資料!$O:$O, (MATCH(55, 輔助計算!$E$2:$E$801, 0)+1))="","",INDEX(ERP資料!$O:$O, (MATCH(55, 輔助計算!$E$2:$E$801, 0)+1))), "")</f>
        <v/>
      </c>
      <c r="J56" s="15">
        <f>IFERROR(IF(INDEX(輔助計算!$D:$D,(MATCH(55, 輔助計算!$E$2:$E$801, 0)+1))="","",INDEX(輔助計算!$D:$D,(MATCH(55, 輔助計算!$E$2:$E$801, 0)+1))*INDEX(ERP資料!$O:$O,(MATCH(55, 輔助計算!$E$2:$E$801, 0)+1))), "")</f>
        <v/>
      </c>
      <c r="K56" s="16" t="n"/>
      <c r="L56" s="16" t="n"/>
      <c r="M56" s="17" t="n"/>
    </row>
    <row r="57">
      <c r="A57" s="14">
        <f>IFERROR(IF(INDEX(ERP資料!$B:$B, (MATCH(56, 輔助計算!$E$2:$E$801, 0)+1))="","",INDEX(ERP資料!$B:$B, (MATCH(56, 輔助計算!$E$2:$E$801, 0)+1))), "")</f>
        <v/>
      </c>
      <c r="B57" s="10">
        <f>IFERROR(IF(INDEX(ERP資料!$A:$A, (MATCH(56, 輔助計算!$E$2:$E$801, 0)+1))="","",INDEX(ERP資料!$A:$A, (MATCH(56, 輔助計算!$E$2:$E$801, 0)+1))), "")</f>
        <v/>
      </c>
      <c r="C57" s="10">
        <f>IFERROR(IF(INDEX(ERP資料!$S:$S, (MATCH(56, 輔助計算!$E$2:$E$801, 0)+1))="","",INDEX(ERP資料!$S:$S, (MATCH(56, 輔助計算!$E$2:$E$801, 0)+1))), "")</f>
        <v/>
      </c>
      <c r="D57" s="10">
        <f>IFERROR(IF(INDEX(ERP資料!$E:$E, (MATCH(56, 輔助計算!$E$2:$E$801, 0)+1))="","",TRIM(INDEX(ERP資料!$E:$E, (MATCH(56, 輔助計算!$E$2:$E$801, 0)+1)))), "")</f>
        <v/>
      </c>
      <c r="E57" s="10">
        <f>IFERROR(IF(INDEX(ERP資料!$F:$F, (MATCH(56, 輔助計算!$E$2:$E$801, 0)+1))="","",INDEX(ERP資料!$F:$F, (MATCH(56, 輔助計算!$E$2:$E$801, 0)+1))), "")</f>
        <v/>
      </c>
      <c r="F57" s="10">
        <f>IFERROR(IF(INDEX(ERP資料!$G:$G, (MATCH(56, 輔助計算!$E$2:$E$801, 0)+1))="","",INDEX(ERP資料!$G:$G, (MATCH(56, 輔助計算!$E$2:$E$801, 0)+1))), "")</f>
        <v/>
      </c>
      <c r="G57" s="10">
        <f>IFERROR(IF(INDEX(ERP資料!$H:$H, (MATCH(56, 輔助計算!$E$2:$E$801, 0)+1))="","",INDEX(ERP資料!$H:$H, (MATCH(56, 輔助計算!$E$2:$E$801, 0)+1))), "")</f>
        <v/>
      </c>
      <c r="H57" s="15">
        <f>IFERROR(INDEX(輔助計算!$D:$D, (MATCH(56, 輔助計算!$E$2:$E$801, 0)+1)), "")</f>
        <v/>
      </c>
      <c r="I57" s="10">
        <f>IFERROR(IF(INDEX(ERP資料!$O:$O, (MATCH(56, 輔助計算!$E$2:$E$801, 0)+1))="","",INDEX(ERP資料!$O:$O, (MATCH(56, 輔助計算!$E$2:$E$801, 0)+1))), "")</f>
        <v/>
      </c>
      <c r="J57" s="15">
        <f>IFERROR(IF(INDEX(輔助計算!$D:$D,(MATCH(56, 輔助計算!$E$2:$E$801, 0)+1))="","",INDEX(輔助計算!$D:$D,(MATCH(56, 輔助計算!$E$2:$E$801, 0)+1))*INDEX(ERP資料!$O:$O,(MATCH(56, 輔助計算!$E$2:$E$801, 0)+1))), "")</f>
        <v/>
      </c>
      <c r="K57" s="16" t="n"/>
      <c r="L57" s="16" t="n"/>
      <c r="M57" s="17" t="n"/>
    </row>
    <row r="58">
      <c r="A58" s="14">
        <f>IFERROR(IF(INDEX(ERP資料!$B:$B, (MATCH(57, 輔助計算!$E$2:$E$801, 0)+1))="","",INDEX(ERP資料!$B:$B, (MATCH(57, 輔助計算!$E$2:$E$801, 0)+1))), "")</f>
        <v/>
      </c>
      <c r="B58" s="10">
        <f>IFERROR(IF(INDEX(ERP資料!$A:$A, (MATCH(57, 輔助計算!$E$2:$E$801, 0)+1))="","",INDEX(ERP資料!$A:$A, (MATCH(57, 輔助計算!$E$2:$E$801, 0)+1))), "")</f>
        <v/>
      </c>
      <c r="C58" s="10">
        <f>IFERROR(IF(INDEX(ERP資料!$S:$S, (MATCH(57, 輔助計算!$E$2:$E$801, 0)+1))="","",INDEX(ERP資料!$S:$S, (MATCH(57, 輔助計算!$E$2:$E$801, 0)+1))), "")</f>
        <v/>
      </c>
      <c r="D58" s="10">
        <f>IFERROR(IF(INDEX(ERP資料!$E:$E, (MATCH(57, 輔助計算!$E$2:$E$801, 0)+1))="","",TRIM(INDEX(ERP資料!$E:$E, (MATCH(57, 輔助計算!$E$2:$E$801, 0)+1)))), "")</f>
        <v/>
      </c>
      <c r="E58" s="10">
        <f>IFERROR(IF(INDEX(ERP資料!$F:$F, (MATCH(57, 輔助計算!$E$2:$E$801, 0)+1))="","",INDEX(ERP資料!$F:$F, (MATCH(57, 輔助計算!$E$2:$E$801, 0)+1))), "")</f>
        <v/>
      </c>
      <c r="F58" s="10">
        <f>IFERROR(IF(INDEX(ERP資料!$G:$G, (MATCH(57, 輔助計算!$E$2:$E$801, 0)+1))="","",INDEX(ERP資料!$G:$G, (MATCH(57, 輔助計算!$E$2:$E$801, 0)+1))), "")</f>
        <v/>
      </c>
      <c r="G58" s="10">
        <f>IFERROR(IF(INDEX(ERP資料!$H:$H, (MATCH(57, 輔助計算!$E$2:$E$801, 0)+1))="","",INDEX(ERP資料!$H:$H, (MATCH(57, 輔助計算!$E$2:$E$801, 0)+1))), "")</f>
        <v/>
      </c>
      <c r="H58" s="15">
        <f>IFERROR(INDEX(輔助計算!$D:$D, (MATCH(57, 輔助計算!$E$2:$E$801, 0)+1)), "")</f>
        <v/>
      </c>
      <c r="I58" s="10">
        <f>IFERROR(IF(INDEX(ERP資料!$O:$O, (MATCH(57, 輔助計算!$E$2:$E$801, 0)+1))="","",INDEX(ERP資料!$O:$O, (MATCH(57, 輔助計算!$E$2:$E$801, 0)+1))), "")</f>
        <v/>
      </c>
      <c r="J58" s="15">
        <f>IFERROR(IF(INDEX(輔助計算!$D:$D,(MATCH(57, 輔助計算!$E$2:$E$801, 0)+1))="","",INDEX(輔助計算!$D:$D,(MATCH(57, 輔助計算!$E$2:$E$801, 0)+1))*INDEX(ERP資料!$O:$O,(MATCH(57, 輔助計算!$E$2:$E$801, 0)+1))), "")</f>
        <v/>
      </c>
      <c r="K58" s="16" t="n"/>
      <c r="L58" s="16" t="n"/>
      <c r="M58" s="17" t="n"/>
    </row>
    <row r="59">
      <c r="A59" s="14">
        <f>IFERROR(IF(INDEX(ERP資料!$B:$B, (MATCH(58, 輔助計算!$E$2:$E$801, 0)+1))="","",INDEX(ERP資料!$B:$B, (MATCH(58, 輔助計算!$E$2:$E$801, 0)+1))), "")</f>
        <v/>
      </c>
      <c r="B59" s="10">
        <f>IFERROR(IF(INDEX(ERP資料!$A:$A, (MATCH(58, 輔助計算!$E$2:$E$801, 0)+1))="","",INDEX(ERP資料!$A:$A, (MATCH(58, 輔助計算!$E$2:$E$801, 0)+1))), "")</f>
        <v/>
      </c>
      <c r="C59" s="10">
        <f>IFERROR(IF(INDEX(ERP資料!$S:$S, (MATCH(58, 輔助計算!$E$2:$E$801, 0)+1))="","",INDEX(ERP資料!$S:$S, (MATCH(58, 輔助計算!$E$2:$E$801, 0)+1))), "")</f>
        <v/>
      </c>
      <c r="D59" s="10">
        <f>IFERROR(IF(INDEX(ERP資料!$E:$E, (MATCH(58, 輔助計算!$E$2:$E$801, 0)+1))="","",TRIM(INDEX(ERP資料!$E:$E, (MATCH(58, 輔助計算!$E$2:$E$801, 0)+1)))), "")</f>
        <v/>
      </c>
      <c r="E59" s="10">
        <f>IFERROR(IF(INDEX(ERP資料!$F:$F, (MATCH(58, 輔助計算!$E$2:$E$801, 0)+1))="","",INDEX(ERP資料!$F:$F, (MATCH(58, 輔助計算!$E$2:$E$801, 0)+1))), "")</f>
        <v/>
      </c>
      <c r="F59" s="10">
        <f>IFERROR(IF(INDEX(ERP資料!$G:$G, (MATCH(58, 輔助計算!$E$2:$E$801, 0)+1))="","",INDEX(ERP資料!$G:$G, (MATCH(58, 輔助計算!$E$2:$E$801, 0)+1))), "")</f>
        <v/>
      </c>
      <c r="G59" s="10">
        <f>IFERROR(IF(INDEX(ERP資料!$H:$H, (MATCH(58, 輔助計算!$E$2:$E$801, 0)+1))="","",INDEX(ERP資料!$H:$H, (MATCH(58, 輔助計算!$E$2:$E$801, 0)+1))), "")</f>
        <v/>
      </c>
      <c r="H59" s="15">
        <f>IFERROR(INDEX(輔助計算!$D:$D, (MATCH(58, 輔助計算!$E$2:$E$801, 0)+1)), "")</f>
        <v/>
      </c>
      <c r="I59" s="10">
        <f>IFERROR(IF(INDEX(ERP資料!$O:$O, (MATCH(58, 輔助計算!$E$2:$E$801, 0)+1))="","",INDEX(ERP資料!$O:$O, (MATCH(58, 輔助計算!$E$2:$E$801, 0)+1))), "")</f>
        <v/>
      </c>
      <c r="J59" s="15">
        <f>IFERROR(IF(INDEX(輔助計算!$D:$D,(MATCH(58, 輔助計算!$E$2:$E$801, 0)+1))="","",INDEX(輔助計算!$D:$D,(MATCH(58, 輔助計算!$E$2:$E$801, 0)+1))*INDEX(ERP資料!$O:$O,(MATCH(58, 輔助計算!$E$2:$E$801, 0)+1))), "")</f>
        <v/>
      </c>
      <c r="K59" s="16" t="n"/>
      <c r="L59" s="16" t="n"/>
      <c r="M59" s="17" t="n"/>
    </row>
    <row r="60">
      <c r="A60" s="14">
        <f>IFERROR(IF(INDEX(ERP資料!$B:$B, (MATCH(59, 輔助計算!$E$2:$E$801, 0)+1))="","",INDEX(ERP資料!$B:$B, (MATCH(59, 輔助計算!$E$2:$E$801, 0)+1))), "")</f>
        <v/>
      </c>
      <c r="B60" s="10">
        <f>IFERROR(IF(INDEX(ERP資料!$A:$A, (MATCH(59, 輔助計算!$E$2:$E$801, 0)+1))="","",INDEX(ERP資料!$A:$A, (MATCH(59, 輔助計算!$E$2:$E$801, 0)+1))), "")</f>
        <v/>
      </c>
      <c r="C60" s="10">
        <f>IFERROR(IF(INDEX(ERP資料!$S:$S, (MATCH(59, 輔助計算!$E$2:$E$801, 0)+1))="","",INDEX(ERP資料!$S:$S, (MATCH(59, 輔助計算!$E$2:$E$801, 0)+1))), "")</f>
        <v/>
      </c>
      <c r="D60" s="10">
        <f>IFERROR(IF(INDEX(ERP資料!$E:$E, (MATCH(59, 輔助計算!$E$2:$E$801, 0)+1))="","",TRIM(INDEX(ERP資料!$E:$E, (MATCH(59, 輔助計算!$E$2:$E$801, 0)+1)))), "")</f>
        <v/>
      </c>
      <c r="E60" s="10">
        <f>IFERROR(IF(INDEX(ERP資料!$F:$F, (MATCH(59, 輔助計算!$E$2:$E$801, 0)+1))="","",INDEX(ERP資料!$F:$F, (MATCH(59, 輔助計算!$E$2:$E$801, 0)+1))), "")</f>
        <v/>
      </c>
      <c r="F60" s="10">
        <f>IFERROR(IF(INDEX(ERP資料!$G:$G, (MATCH(59, 輔助計算!$E$2:$E$801, 0)+1))="","",INDEX(ERP資料!$G:$G, (MATCH(59, 輔助計算!$E$2:$E$801, 0)+1))), "")</f>
        <v/>
      </c>
      <c r="G60" s="10">
        <f>IFERROR(IF(INDEX(ERP資料!$H:$H, (MATCH(59, 輔助計算!$E$2:$E$801, 0)+1))="","",INDEX(ERP資料!$H:$H, (MATCH(59, 輔助計算!$E$2:$E$801, 0)+1))), "")</f>
        <v/>
      </c>
      <c r="H60" s="15">
        <f>IFERROR(INDEX(輔助計算!$D:$D, (MATCH(59, 輔助計算!$E$2:$E$801, 0)+1)), "")</f>
        <v/>
      </c>
      <c r="I60" s="10">
        <f>IFERROR(IF(INDEX(ERP資料!$O:$O, (MATCH(59, 輔助計算!$E$2:$E$801, 0)+1))="","",INDEX(ERP資料!$O:$O, (MATCH(59, 輔助計算!$E$2:$E$801, 0)+1))), "")</f>
        <v/>
      </c>
      <c r="J60" s="15">
        <f>IFERROR(IF(INDEX(輔助計算!$D:$D,(MATCH(59, 輔助計算!$E$2:$E$801, 0)+1))="","",INDEX(輔助計算!$D:$D,(MATCH(59, 輔助計算!$E$2:$E$801, 0)+1))*INDEX(ERP資料!$O:$O,(MATCH(59, 輔助計算!$E$2:$E$801, 0)+1))), "")</f>
        <v/>
      </c>
      <c r="K60" s="16" t="n"/>
      <c r="L60" s="16" t="n"/>
      <c r="M60" s="17" t="n"/>
    </row>
    <row r="61">
      <c r="A61" s="14">
        <f>IFERROR(IF(INDEX(ERP資料!$B:$B, (MATCH(60, 輔助計算!$E$2:$E$801, 0)+1))="","",INDEX(ERP資料!$B:$B, (MATCH(60, 輔助計算!$E$2:$E$801, 0)+1))), "")</f>
        <v/>
      </c>
      <c r="B61" s="10">
        <f>IFERROR(IF(INDEX(ERP資料!$A:$A, (MATCH(60, 輔助計算!$E$2:$E$801, 0)+1))="","",INDEX(ERP資料!$A:$A, (MATCH(60, 輔助計算!$E$2:$E$801, 0)+1))), "")</f>
        <v/>
      </c>
      <c r="C61" s="10">
        <f>IFERROR(IF(INDEX(ERP資料!$S:$S, (MATCH(60, 輔助計算!$E$2:$E$801, 0)+1))="","",INDEX(ERP資料!$S:$S, (MATCH(60, 輔助計算!$E$2:$E$801, 0)+1))), "")</f>
        <v/>
      </c>
      <c r="D61" s="10">
        <f>IFERROR(IF(INDEX(ERP資料!$E:$E, (MATCH(60, 輔助計算!$E$2:$E$801, 0)+1))="","",TRIM(INDEX(ERP資料!$E:$E, (MATCH(60, 輔助計算!$E$2:$E$801, 0)+1)))), "")</f>
        <v/>
      </c>
      <c r="E61" s="10">
        <f>IFERROR(IF(INDEX(ERP資料!$F:$F, (MATCH(60, 輔助計算!$E$2:$E$801, 0)+1))="","",INDEX(ERP資料!$F:$F, (MATCH(60, 輔助計算!$E$2:$E$801, 0)+1))), "")</f>
        <v/>
      </c>
      <c r="F61" s="10">
        <f>IFERROR(IF(INDEX(ERP資料!$G:$G, (MATCH(60, 輔助計算!$E$2:$E$801, 0)+1))="","",INDEX(ERP資料!$G:$G, (MATCH(60, 輔助計算!$E$2:$E$801, 0)+1))), "")</f>
        <v/>
      </c>
      <c r="G61" s="10">
        <f>IFERROR(IF(INDEX(ERP資料!$H:$H, (MATCH(60, 輔助計算!$E$2:$E$801, 0)+1))="","",INDEX(ERP資料!$H:$H, (MATCH(60, 輔助計算!$E$2:$E$801, 0)+1))), "")</f>
        <v/>
      </c>
      <c r="H61" s="15">
        <f>IFERROR(INDEX(輔助計算!$D:$D, (MATCH(60, 輔助計算!$E$2:$E$801, 0)+1)), "")</f>
        <v/>
      </c>
      <c r="I61" s="10">
        <f>IFERROR(IF(INDEX(ERP資料!$O:$O, (MATCH(60, 輔助計算!$E$2:$E$801, 0)+1))="","",INDEX(ERP資料!$O:$O, (MATCH(60, 輔助計算!$E$2:$E$801, 0)+1))), "")</f>
        <v/>
      </c>
      <c r="J61" s="15">
        <f>IFERROR(IF(INDEX(輔助計算!$D:$D,(MATCH(60, 輔助計算!$E$2:$E$801, 0)+1))="","",INDEX(輔助計算!$D:$D,(MATCH(60, 輔助計算!$E$2:$E$801, 0)+1))*INDEX(ERP資料!$O:$O,(MATCH(60, 輔助計算!$E$2:$E$801, 0)+1))), "")</f>
        <v/>
      </c>
      <c r="K61" s="16" t="n"/>
      <c r="L61" s="16" t="n"/>
      <c r="M61" s="17" t="n"/>
    </row>
    <row r="62">
      <c r="A62" s="14">
        <f>IFERROR(IF(INDEX(ERP資料!$B:$B, (MATCH(61, 輔助計算!$E$2:$E$801, 0)+1))="","",INDEX(ERP資料!$B:$B, (MATCH(61, 輔助計算!$E$2:$E$801, 0)+1))), "")</f>
        <v/>
      </c>
      <c r="B62" s="10">
        <f>IFERROR(IF(INDEX(ERP資料!$A:$A, (MATCH(61, 輔助計算!$E$2:$E$801, 0)+1))="","",INDEX(ERP資料!$A:$A, (MATCH(61, 輔助計算!$E$2:$E$801, 0)+1))), "")</f>
        <v/>
      </c>
      <c r="C62" s="10">
        <f>IFERROR(IF(INDEX(ERP資料!$S:$S, (MATCH(61, 輔助計算!$E$2:$E$801, 0)+1))="","",INDEX(ERP資料!$S:$S, (MATCH(61, 輔助計算!$E$2:$E$801, 0)+1))), "")</f>
        <v/>
      </c>
      <c r="D62" s="10">
        <f>IFERROR(IF(INDEX(ERP資料!$E:$E, (MATCH(61, 輔助計算!$E$2:$E$801, 0)+1))="","",TRIM(INDEX(ERP資料!$E:$E, (MATCH(61, 輔助計算!$E$2:$E$801, 0)+1)))), "")</f>
        <v/>
      </c>
      <c r="E62" s="10">
        <f>IFERROR(IF(INDEX(ERP資料!$F:$F, (MATCH(61, 輔助計算!$E$2:$E$801, 0)+1))="","",INDEX(ERP資料!$F:$F, (MATCH(61, 輔助計算!$E$2:$E$801, 0)+1))), "")</f>
        <v/>
      </c>
      <c r="F62" s="10">
        <f>IFERROR(IF(INDEX(ERP資料!$G:$G, (MATCH(61, 輔助計算!$E$2:$E$801, 0)+1))="","",INDEX(ERP資料!$G:$G, (MATCH(61, 輔助計算!$E$2:$E$801, 0)+1))), "")</f>
        <v/>
      </c>
      <c r="G62" s="10">
        <f>IFERROR(IF(INDEX(ERP資料!$H:$H, (MATCH(61, 輔助計算!$E$2:$E$801, 0)+1))="","",INDEX(ERP資料!$H:$H, (MATCH(61, 輔助計算!$E$2:$E$801, 0)+1))), "")</f>
        <v/>
      </c>
      <c r="H62" s="15">
        <f>IFERROR(INDEX(輔助計算!$D:$D, (MATCH(61, 輔助計算!$E$2:$E$801, 0)+1)), "")</f>
        <v/>
      </c>
      <c r="I62" s="10">
        <f>IFERROR(IF(INDEX(ERP資料!$O:$O, (MATCH(61, 輔助計算!$E$2:$E$801, 0)+1))="","",INDEX(ERP資料!$O:$O, (MATCH(61, 輔助計算!$E$2:$E$801, 0)+1))), "")</f>
        <v/>
      </c>
      <c r="J62" s="15">
        <f>IFERROR(IF(INDEX(輔助計算!$D:$D,(MATCH(61, 輔助計算!$E$2:$E$801, 0)+1))="","",INDEX(輔助計算!$D:$D,(MATCH(61, 輔助計算!$E$2:$E$801, 0)+1))*INDEX(ERP資料!$O:$O,(MATCH(61, 輔助計算!$E$2:$E$801, 0)+1))), "")</f>
        <v/>
      </c>
      <c r="K62" s="16" t="n"/>
      <c r="L62" s="16" t="n"/>
      <c r="M62" s="17" t="n"/>
    </row>
    <row r="63">
      <c r="A63" s="14">
        <f>IFERROR(IF(INDEX(ERP資料!$B:$B, (MATCH(62, 輔助計算!$E$2:$E$801, 0)+1))="","",INDEX(ERP資料!$B:$B, (MATCH(62, 輔助計算!$E$2:$E$801, 0)+1))), "")</f>
        <v/>
      </c>
      <c r="B63" s="10">
        <f>IFERROR(IF(INDEX(ERP資料!$A:$A, (MATCH(62, 輔助計算!$E$2:$E$801, 0)+1))="","",INDEX(ERP資料!$A:$A, (MATCH(62, 輔助計算!$E$2:$E$801, 0)+1))), "")</f>
        <v/>
      </c>
      <c r="C63" s="10">
        <f>IFERROR(IF(INDEX(ERP資料!$S:$S, (MATCH(62, 輔助計算!$E$2:$E$801, 0)+1))="","",INDEX(ERP資料!$S:$S, (MATCH(62, 輔助計算!$E$2:$E$801, 0)+1))), "")</f>
        <v/>
      </c>
      <c r="D63" s="10">
        <f>IFERROR(IF(INDEX(ERP資料!$E:$E, (MATCH(62, 輔助計算!$E$2:$E$801, 0)+1))="","",TRIM(INDEX(ERP資料!$E:$E, (MATCH(62, 輔助計算!$E$2:$E$801, 0)+1)))), "")</f>
        <v/>
      </c>
      <c r="E63" s="10">
        <f>IFERROR(IF(INDEX(ERP資料!$F:$F, (MATCH(62, 輔助計算!$E$2:$E$801, 0)+1))="","",INDEX(ERP資料!$F:$F, (MATCH(62, 輔助計算!$E$2:$E$801, 0)+1))), "")</f>
        <v/>
      </c>
      <c r="F63" s="10">
        <f>IFERROR(IF(INDEX(ERP資料!$G:$G, (MATCH(62, 輔助計算!$E$2:$E$801, 0)+1))="","",INDEX(ERP資料!$G:$G, (MATCH(62, 輔助計算!$E$2:$E$801, 0)+1))), "")</f>
        <v/>
      </c>
      <c r="G63" s="10">
        <f>IFERROR(IF(INDEX(ERP資料!$H:$H, (MATCH(62, 輔助計算!$E$2:$E$801, 0)+1))="","",INDEX(ERP資料!$H:$H, (MATCH(62, 輔助計算!$E$2:$E$801, 0)+1))), "")</f>
        <v/>
      </c>
      <c r="H63" s="15">
        <f>IFERROR(INDEX(輔助計算!$D:$D, (MATCH(62, 輔助計算!$E$2:$E$801, 0)+1)), "")</f>
        <v/>
      </c>
      <c r="I63" s="10">
        <f>IFERROR(IF(INDEX(ERP資料!$O:$O, (MATCH(62, 輔助計算!$E$2:$E$801, 0)+1))="","",INDEX(ERP資料!$O:$O, (MATCH(62, 輔助計算!$E$2:$E$801, 0)+1))), "")</f>
        <v/>
      </c>
      <c r="J63" s="15">
        <f>IFERROR(IF(INDEX(輔助計算!$D:$D,(MATCH(62, 輔助計算!$E$2:$E$801, 0)+1))="","",INDEX(輔助計算!$D:$D,(MATCH(62, 輔助計算!$E$2:$E$801, 0)+1))*INDEX(ERP資料!$O:$O,(MATCH(62, 輔助計算!$E$2:$E$801, 0)+1))), "")</f>
        <v/>
      </c>
      <c r="K63" s="16" t="n"/>
      <c r="L63" s="16" t="n"/>
      <c r="M63" s="17" t="n"/>
    </row>
    <row r="64">
      <c r="A64" s="14">
        <f>IFERROR(IF(INDEX(ERP資料!$B:$B, (MATCH(63, 輔助計算!$E$2:$E$801, 0)+1))="","",INDEX(ERP資料!$B:$B, (MATCH(63, 輔助計算!$E$2:$E$801, 0)+1))), "")</f>
        <v/>
      </c>
      <c r="B64" s="10">
        <f>IFERROR(IF(INDEX(ERP資料!$A:$A, (MATCH(63, 輔助計算!$E$2:$E$801, 0)+1))="","",INDEX(ERP資料!$A:$A, (MATCH(63, 輔助計算!$E$2:$E$801, 0)+1))), "")</f>
        <v/>
      </c>
      <c r="C64" s="10">
        <f>IFERROR(IF(INDEX(ERP資料!$S:$S, (MATCH(63, 輔助計算!$E$2:$E$801, 0)+1))="","",INDEX(ERP資料!$S:$S, (MATCH(63, 輔助計算!$E$2:$E$801, 0)+1))), "")</f>
        <v/>
      </c>
      <c r="D64" s="10">
        <f>IFERROR(IF(INDEX(ERP資料!$E:$E, (MATCH(63, 輔助計算!$E$2:$E$801, 0)+1))="","",TRIM(INDEX(ERP資料!$E:$E, (MATCH(63, 輔助計算!$E$2:$E$801, 0)+1)))), "")</f>
        <v/>
      </c>
      <c r="E64" s="10">
        <f>IFERROR(IF(INDEX(ERP資料!$F:$F, (MATCH(63, 輔助計算!$E$2:$E$801, 0)+1))="","",INDEX(ERP資料!$F:$F, (MATCH(63, 輔助計算!$E$2:$E$801, 0)+1))), "")</f>
        <v/>
      </c>
      <c r="F64" s="10">
        <f>IFERROR(IF(INDEX(ERP資料!$G:$G, (MATCH(63, 輔助計算!$E$2:$E$801, 0)+1))="","",INDEX(ERP資料!$G:$G, (MATCH(63, 輔助計算!$E$2:$E$801, 0)+1))), "")</f>
        <v/>
      </c>
      <c r="G64" s="10">
        <f>IFERROR(IF(INDEX(ERP資料!$H:$H, (MATCH(63, 輔助計算!$E$2:$E$801, 0)+1))="","",INDEX(ERP資料!$H:$H, (MATCH(63, 輔助計算!$E$2:$E$801, 0)+1))), "")</f>
        <v/>
      </c>
      <c r="H64" s="15">
        <f>IFERROR(INDEX(輔助計算!$D:$D, (MATCH(63, 輔助計算!$E$2:$E$801, 0)+1)), "")</f>
        <v/>
      </c>
      <c r="I64" s="10">
        <f>IFERROR(IF(INDEX(ERP資料!$O:$O, (MATCH(63, 輔助計算!$E$2:$E$801, 0)+1))="","",INDEX(ERP資料!$O:$O, (MATCH(63, 輔助計算!$E$2:$E$801, 0)+1))), "")</f>
        <v/>
      </c>
      <c r="J64" s="15">
        <f>IFERROR(IF(INDEX(輔助計算!$D:$D,(MATCH(63, 輔助計算!$E$2:$E$801, 0)+1))="","",INDEX(輔助計算!$D:$D,(MATCH(63, 輔助計算!$E$2:$E$801, 0)+1))*INDEX(ERP資料!$O:$O,(MATCH(63, 輔助計算!$E$2:$E$801, 0)+1))), "")</f>
        <v/>
      </c>
      <c r="K64" s="16" t="n"/>
      <c r="L64" s="16" t="n"/>
      <c r="M64" s="17" t="n"/>
    </row>
    <row r="65">
      <c r="A65" s="14">
        <f>IFERROR(IF(INDEX(ERP資料!$B:$B, (MATCH(64, 輔助計算!$E$2:$E$801, 0)+1))="","",INDEX(ERP資料!$B:$B, (MATCH(64, 輔助計算!$E$2:$E$801, 0)+1))), "")</f>
        <v/>
      </c>
      <c r="B65" s="10">
        <f>IFERROR(IF(INDEX(ERP資料!$A:$A, (MATCH(64, 輔助計算!$E$2:$E$801, 0)+1))="","",INDEX(ERP資料!$A:$A, (MATCH(64, 輔助計算!$E$2:$E$801, 0)+1))), "")</f>
        <v/>
      </c>
      <c r="C65" s="10">
        <f>IFERROR(IF(INDEX(ERP資料!$S:$S, (MATCH(64, 輔助計算!$E$2:$E$801, 0)+1))="","",INDEX(ERP資料!$S:$S, (MATCH(64, 輔助計算!$E$2:$E$801, 0)+1))), "")</f>
        <v/>
      </c>
      <c r="D65" s="10">
        <f>IFERROR(IF(INDEX(ERP資料!$E:$E, (MATCH(64, 輔助計算!$E$2:$E$801, 0)+1))="","",TRIM(INDEX(ERP資料!$E:$E, (MATCH(64, 輔助計算!$E$2:$E$801, 0)+1)))), "")</f>
        <v/>
      </c>
      <c r="E65" s="10">
        <f>IFERROR(IF(INDEX(ERP資料!$F:$F, (MATCH(64, 輔助計算!$E$2:$E$801, 0)+1))="","",INDEX(ERP資料!$F:$F, (MATCH(64, 輔助計算!$E$2:$E$801, 0)+1))), "")</f>
        <v/>
      </c>
      <c r="F65" s="10">
        <f>IFERROR(IF(INDEX(ERP資料!$G:$G, (MATCH(64, 輔助計算!$E$2:$E$801, 0)+1))="","",INDEX(ERP資料!$G:$G, (MATCH(64, 輔助計算!$E$2:$E$801, 0)+1))), "")</f>
        <v/>
      </c>
      <c r="G65" s="10">
        <f>IFERROR(IF(INDEX(ERP資料!$H:$H, (MATCH(64, 輔助計算!$E$2:$E$801, 0)+1))="","",INDEX(ERP資料!$H:$H, (MATCH(64, 輔助計算!$E$2:$E$801, 0)+1))), "")</f>
        <v/>
      </c>
      <c r="H65" s="15">
        <f>IFERROR(INDEX(輔助計算!$D:$D, (MATCH(64, 輔助計算!$E$2:$E$801, 0)+1)), "")</f>
        <v/>
      </c>
      <c r="I65" s="10">
        <f>IFERROR(IF(INDEX(ERP資料!$O:$O, (MATCH(64, 輔助計算!$E$2:$E$801, 0)+1))="","",INDEX(ERP資料!$O:$O, (MATCH(64, 輔助計算!$E$2:$E$801, 0)+1))), "")</f>
        <v/>
      </c>
      <c r="J65" s="15">
        <f>IFERROR(IF(INDEX(輔助計算!$D:$D,(MATCH(64, 輔助計算!$E$2:$E$801, 0)+1))="","",INDEX(輔助計算!$D:$D,(MATCH(64, 輔助計算!$E$2:$E$801, 0)+1))*INDEX(ERP資料!$O:$O,(MATCH(64, 輔助計算!$E$2:$E$801, 0)+1))), "")</f>
        <v/>
      </c>
      <c r="K65" s="16" t="n"/>
      <c r="L65" s="16" t="n"/>
      <c r="M65" s="17" t="n"/>
    </row>
    <row r="66">
      <c r="A66" s="14">
        <f>IFERROR(IF(INDEX(ERP資料!$B:$B, (MATCH(65, 輔助計算!$E$2:$E$801, 0)+1))="","",INDEX(ERP資料!$B:$B, (MATCH(65, 輔助計算!$E$2:$E$801, 0)+1))), "")</f>
        <v/>
      </c>
      <c r="B66" s="10">
        <f>IFERROR(IF(INDEX(ERP資料!$A:$A, (MATCH(65, 輔助計算!$E$2:$E$801, 0)+1))="","",INDEX(ERP資料!$A:$A, (MATCH(65, 輔助計算!$E$2:$E$801, 0)+1))), "")</f>
        <v/>
      </c>
      <c r="C66" s="10">
        <f>IFERROR(IF(INDEX(ERP資料!$S:$S, (MATCH(65, 輔助計算!$E$2:$E$801, 0)+1))="","",INDEX(ERP資料!$S:$S, (MATCH(65, 輔助計算!$E$2:$E$801, 0)+1))), "")</f>
        <v/>
      </c>
      <c r="D66" s="10">
        <f>IFERROR(IF(INDEX(ERP資料!$E:$E, (MATCH(65, 輔助計算!$E$2:$E$801, 0)+1))="","",TRIM(INDEX(ERP資料!$E:$E, (MATCH(65, 輔助計算!$E$2:$E$801, 0)+1)))), "")</f>
        <v/>
      </c>
      <c r="E66" s="10">
        <f>IFERROR(IF(INDEX(ERP資料!$F:$F, (MATCH(65, 輔助計算!$E$2:$E$801, 0)+1))="","",INDEX(ERP資料!$F:$F, (MATCH(65, 輔助計算!$E$2:$E$801, 0)+1))), "")</f>
        <v/>
      </c>
      <c r="F66" s="10">
        <f>IFERROR(IF(INDEX(ERP資料!$G:$G, (MATCH(65, 輔助計算!$E$2:$E$801, 0)+1))="","",INDEX(ERP資料!$G:$G, (MATCH(65, 輔助計算!$E$2:$E$801, 0)+1))), "")</f>
        <v/>
      </c>
      <c r="G66" s="10">
        <f>IFERROR(IF(INDEX(ERP資料!$H:$H, (MATCH(65, 輔助計算!$E$2:$E$801, 0)+1))="","",INDEX(ERP資料!$H:$H, (MATCH(65, 輔助計算!$E$2:$E$801, 0)+1))), "")</f>
        <v/>
      </c>
      <c r="H66" s="15">
        <f>IFERROR(INDEX(輔助計算!$D:$D, (MATCH(65, 輔助計算!$E$2:$E$801, 0)+1)), "")</f>
        <v/>
      </c>
      <c r="I66" s="10">
        <f>IFERROR(IF(INDEX(ERP資料!$O:$O, (MATCH(65, 輔助計算!$E$2:$E$801, 0)+1))="","",INDEX(ERP資料!$O:$O, (MATCH(65, 輔助計算!$E$2:$E$801, 0)+1))), "")</f>
        <v/>
      </c>
      <c r="J66" s="15">
        <f>IFERROR(IF(INDEX(輔助計算!$D:$D,(MATCH(65, 輔助計算!$E$2:$E$801, 0)+1))="","",INDEX(輔助計算!$D:$D,(MATCH(65, 輔助計算!$E$2:$E$801, 0)+1))*INDEX(ERP資料!$O:$O,(MATCH(65, 輔助計算!$E$2:$E$801, 0)+1))), "")</f>
        <v/>
      </c>
      <c r="K66" s="16" t="n"/>
      <c r="L66" s="16" t="n"/>
      <c r="M66" s="17" t="n"/>
    </row>
    <row r="67">
      <c r="A67" s="14">
        <f>IFERROR(IF(INDEX(ERP資料!$B:$B, (MATCH(66, 輔助計算!$E$2:$E$801, 0)+1))="","",INDEX(ERP資料!$B:$B, (MATCH(66, 輔助計算!$E$2:$E$801, 0)+1))), "")</f>
        <v/>
      </c>
      <c r="B67" s="10">
        <f>IFERROR(IF(INDEX(ERP資料!$A:$A, (MATCH(66, 輔助計算!$E$2:$E$801, 0)+1))="","",INDEX(ERP資料!$A:$A, (MATCH(66, 輔助計算!$E$2:$E$801, 0)+1))), "")</f>
        <v/>
      </c>
      <c r="C67" s="10">
        <f>IFERROR(IF(INDEX(ERP資料!$S:$S, (MATCH(66, 輔助計算!$E$2:$E$801, 0)+1))="","",INDEX(ERP資料!$S:$S, (MATCH(66, 輔助計算!$E$2:$E$801, 0)+1))), "")</f>
        <v/>
      </c>
      <c r="D67" s="10">
        <f>IFERROR(IF(INDEX(ERP資料!$E:$E, (MATCH(66, 輔助計算!$E$2:$E$801, 0)+1))="","",TRIM(INDEX(ERP資料!$E:$E, (MATCH(66, 輔助計算!$E$2:$E$801, 0)+1)))), "")</f>
        <v/>
      </c>
      <c r="E67" s="10">
        <f>IFERROR(IF(INDEX(ERP資料!$F:$F, (MATCH(66, 輔助計算!$E$2:$E$801, 0)+1))="","",INDEX(ERP資料!$F:$F, (MATCH(66, 輔助計算!$E$2:$E$801, 0)+1))), "")</f>
        <v/>
      </c>
      <c r="F67" s="10">
        <f>IFERROR(IF(INDEX(ERP資料!$G:$G, (MATCH(66, 輔助計算!$E$2:$E$801, 0)+1))="","",INDEX(ERP資料!$G:$G, (MATCH(66, 輔助計算!$E$2:$E$801, 0)+1))), "")</f>
        <v/>
      </c>
      <c r="G67" s="10">
        <f>IFERROR(IF(INDEX(ERP資料!$H:$H, (MATCH(66, 輔助計算!$E$2:$E$801, 0)+1))="","",INDEX(ERP資料!$H:$H, (MATCH(66, 輔助計算!$E$2:$E$801, 0)+1))), "")</f>
        <v/>
      </c>
      <c r="H67" s="15">
        <f>IFERROR(INDEX(輔助計算!$D:$D, (MATCH(66, 輔助計算!$E$2:$E$801, 0)+1)), "")</f>
        <v/>
      </c>
      <c r="I67" s="10">
        <f>IFERROR(IF(INDEX(ERP資料!$O:$O, (MATCH(66, 輔助計算!$E$2:$E$801, 0)+1))="","",INDEX(ERP資料!$O:$O, (MATCH(66, 輔助計算!$E$2:$E$801, 0)+1))), "")</f>
        <v/>
      </c>
      <c r="J67" s="15">
        <f>IFERROR(IF(INDEX(輔助計算!$D:$D,(MATCH(66, 輔助計算!$E$2:$E$801, 0)+1))="","",INDEX(輔助計算!$D:$D,(MATCH(66, 輔助計算!$E$2:$E$801, 0)+1))*INDEX(ERP資料!$O:$O,(MATCH(66, 輔助計算!$E$2:$E$801, 0)+1))), "")</f>
        <v/>
      </c>
      <c r="K67" s="16" t="n"/>
      <c r="L67" s="16" t="n"/>
      <c r="M67" s="17" t="n"/>
    </row>
    <row r="68">
      <c r="A68" s="14">
        <f>IFERROR(IF(INDEX(ERP資料!$B:$B, (MATCH(67, 輔助計算!$E$2:$E$801, 0)+1))="","",INDEX(ERP資料!$B:$B, (MATCH(67, 輔助計算!$E$2:$E$801, 0)+1))), "")</f>
        <v/>
      </c>
      <c r="B68" s="10">
        <f>IFERROR(IF(INDEX(ERP資料!$A:$A, (MATCH(67, 輔助計算!$E$2:$E$801, 0)+1))="","",INDEX(ERP資料!$A:$A, (MATCH(67, 輔助計算!$E$2:$E$801, 0)+1))), "")</f>
        <v/>
      </c>
      <c r="C68" s="10">
        <f>IFERROR(IF(INDEX(ERP資料!$S:$S, (MATCH(67, 輔助計算!$E$2:$E$801, 0)+1))="","",INDEX(ERP資料!$S:$S, (MATCH(67, 輔助計算!$E$2:$E$801, 0)+1))), "")</f>
        <v/>
      </c>
      <c r="D68" s="10">
        <f>IFERROR(IF(INDEX(ERP資料!$E:$E, (MATCH(67, 輔助計算!$E$2:$E$801, 0)+1))="","",TRIM(INDEX(ERP資料!$E:$E, (MATCH(67, 輔助計算!$E$2:$E$801, 0)+1)))), "")</f>
        <v/>
      </c>
      <c r="E68" s="10">
        <f>IFERROR(IF(INDEX(ERP資料!$F:$F, (MATCH(67, 輔助計算!$E$2:$E$801, 0)+1))="","",INDEX(ERP資料!$F:$F, (MATCH(67, 輔助計算!$E$2:$E$801, 0)+1))), "")</f>
        <v/>
      </c>
      <c r="F68" s="10">
        <f>IFERROR(IF(INDEX(ERP資料!$G:$G, (MATCH(67, 輔助計算!$E$2:$E$801, 0)+1))="","",INDEX(ERP資料!$G:$G, (MATCH(67, 輔助計算!$E$2:$E$801, 0)+1))), "")</f>
        <v/>
      </c>
      <c r="G68" s="10">
        <f>IFERROR(IF(INDEX(ERP資料!$H:$H, (MATCH(67, 輔助計算!$E$2:$E$801, 0)+1))="","",INDEX(ERP資料!$H:$H, (MATCH(67, 輔助計算!$E$2:$E$801, 0)+1))), "")</f>
        <v/>
      </c>
      <c r="H68" s="15">
        <f>IFERROR(INDEX(輔助計算!$D:$D, (MATCH(67, 輔助計算!$E$2:$E$801, 0)+1)), "")</f>
        <v/>
      </c>
      <c r="I68" s="10">
        <f>IFERROR(IF(INDEX(ERP資料!$O:$O, (MATCH(67, 輔助計算!$E$2:$E$801, 0)+1))="","",INDEX(ERP資料!$O:$O, (MATCH(67, 輔助計算!$E$2:$E$801, 0)+1))), "")</f>
        <v/>
      </c>
      <c r="J68" s="15">
        <f>IFERROR(IF(INDEX(輔助計算!$D:$D,(MATCH(67, 輔助計算!$E$2:$E$801, 0)+1))="","",INDEX(輔助計算!$D:$D,(MATCH(67, 輔助計算!$E$2:$E$801, 0)+1))*INDEX(ERP資料!$O:$O,(MATCH(67, 輔助計算!$E$2:$E$801, 0)+1))), "")</f>
        <v/>
      </c>
      <c r="K68" s="16" t="n"/>
      <c r="L68" s="16" t="n"/>
      <c r="M68" s="17" t="n"/>
    </row>
    <row r="69">
      <c r="A69" s="14">
        <f>IFERROR(IF(INDEX(ERP資料!$B:$B, (MATCH(68, 輔助計算!$E$2:$E$801, 0)+1))="","",INDEX(ERP資料!$B:$B, (MATCH(68, 輔助計算!$E$2:$E$801, 0)+1))), "")</f>
        <v/>
      </c>
      <c r="B69" s="10">
        <f>IFERROR(IF(INDEX(ERP資料!$A:$A, (MATCH(68, 輔助計算!$E$2:$E$801, 0)+1))="","",INDEX(ERP資料!$A:$A, (MATCH(68, 輔助計算!$E$2:$E$801, 0)+1))), "")</f>
        <v/>
      </c>
      <c r="C69" s="10">
        <f>IFERROR(IF(INDEX(ERP資料!$S:$S, (MATCH(68, 輔助計算!$E$2:$E$801, 0)+1))="","",INDEX(ERP資料!$S:$S, (MATCH(68, 輔助計算!$E$2:$E$801, 0)+1))), "")</f>
        <v/>
      </c>
      <c r="D69" s="10">
        <f>IFERROR(IF(INDEX(ERP資料!$E:$E, (MATCH(68, 輔助計算!$E$2:$E$801, 0)+1))="","",TRIM(INDEX(ERP資料!$E:$E, (MATCH(68, 輔助計算!$E$2:$E$801, 0)+1)))), "")</f>
        <v/>
      </c>
      <c r="E69" s="10">
        <f>IFERROR(IF(INDEX(ERP資料!$F:$F, (MATCH(68, 輔助計算!$E$2:$E$801, 0)+1))="","",INDEX(ERP資料!$F:$F, (MATCH(68, 輔助計算!$E$2:$E$801, 0)+1))), "")</f>
        <v/>
      </c>
      <c r="F69" s="10">
        <f>IFERROR(IF(INDEX(ERP資料!$G:$G, (MATCH(68, 輔助計算!$E$2:$E$801, 0)+1))="","",INDEX(ERP資料!$G:$G, (MATCH(68, 輔助計算!$E$2:$E$801, 0)+1))), "")</f>
        <v/>
      </c>
      <c r="G69" s="10">
        <f>IFERROR(IF(INDEX(ERP資料!$H:$H, (MATCH(68, 輔助計算!$E$2:$E$801, 0)+1))="","",INDEX(ERP資料!$H:$H, (MATCH(68, 輔助計算!$E$2:$E$801, 0)+1))), "")</f>
        <v/>
      </c>
      <c r="H69" s="15">
        <f>IFERROR(INDEX(輔助計算!$D:$D, (MATCH(68, 輔助計算!$E$2:$E$801, 0)+1)), "")</f>
        <v/>
      </c>
      <c r="I69" s="10">
        <f>IFERROR(IF(INDEX(ERP資料!$O:$O, (MATCH(68, 輔助計算!$E$2:$E$801, 0)+1))="","",INDEX(ERP資料!$O:$O, (MATCH(68, 輔助計算!$E$2:$E$801, 0)+1))), "")</f>
        <v/>
      </c>
      <c r="J69" s="15">
        <f>IFERROR(IF(INDEX(輔助計算!$D:$D,(MATCH(68, 輔助計算!$E$2:$E$801, 0)+1))="","",INDEX(輔助計算!$D:$D,(MATCH(68, 輔助計算!$E$2:$E$801, 0)+1))*INDEX(ERP資料!$O:$O,(MATCH(68, 輔助計算!$E$2:$E$801, 0)+1))), "")</f>
        <v/>
      </c>
      <c r="K69" s="16" t="n"/>
      <c r="L69" s="16" t="n"/>
      <c r="M69" s="17" t="n"/>
    </row>
    <row r="70">
      <c r="A70" s="14">
        <f>IFERROR(IF(INDEX(ERP資料!$B:$B, (MATCH(69, 輔助計算!$E$2:$E$801, 0)+1))="","",INDEX(ERP資料!$B:$B, (MATCH(69, 輔助計算!$E$2:$E$801, 0)+1))), "")</f>
        <v/>
      </c>
      <c r="B70" s="10">
        <f>IFERROR(IF(INDEX(ERP資料!$A:$A, (MATCH(69, 輔助計算!$E$2:$E$801, 0)+1))="","",INDEX(ERP資料!$A:$A, (MATCH(69, 輔助計算!$E$2:$E$801, 0)+1))), "")</f>
        <v/>
      </c>
      <c r="C70" s="10">
        <f>IFERROR(IF(INDEX(ERP資料!$S:$S, (MATCH(69, 輔助計算!$E$2:$E$801, 0)+1))="","",INDEX(ERP資料!$S:$S, (MATCH(69, 輔助計算!$E$2:$E$801, 0)+1))), "")</f>
        <v/>
      </c>
      <c r="D70" s="10">
        <f>IFERROR(IF(INDEX(ERP資料!$E:$E, (MATCH(69, 輔助計算!$E$2:$E$801, 0)+1))="","",TRIM(INDEX(ERP資料!$E:$E, (MATCH(69, 輔助計算!$E$2:$E$801, 0)+1)))), "")</f>
        <v/>
      </c>
      <c r="E70" s="10">
        <f>IFERROR(IF(INDEX(ERP資料!$F:$F, (MATCH(69, 輔助計算!$E$2:$E$801, 0)+1))="","",INDEX(ERP資料!$F:$F, (MATCH(69, 輔助計算!$E$2:$E$801, 0)+1))), "")</f>
        <v/>
      </c>
      <c r="F70" s="10">
        <f>IFERROR(IF(INDEX(ERP資料!$G:$G, (MATCH(69, 輔助計算!$E$2:$E$801, 0)+1))="","",INDEX(ERP資料!$G:$G, (MATCH(69, 輔助計算!$E$2:$E$801, 0)+1))), "")</f>
        <v/>
      </c>
      <c r="G70" s="10">
        <f>IFERROR(IF(INDEX(ERP資料!$H:$H, (MATCH(69, 輔助計算!$E$2:$E$801, 0)+1))="","",INDEX(ERP資料!$H:$H, (MATCH(69, 輔助計算!$E$2:$E$801, 0)+1))), "")</f>
        <v/>
      </c>
      <c r="H70" s="15">
        <f>IFERROR(INDEX(輔助計算!$D:$D, (MATCH(69, 輔助計算!$E$2:$E$801, 0)+1)), "")</f>
        <v/>
      </c>
      <c r="I70" s="10">
        <f>IFERROR(IF(INDEX(ERP資料!$O:$O, (MATCH(69, 輔助計算!$E$2:$E$801, 0)+1))="","",INDEX(ERP資料!$O:$O, (MATCH(69, 輔助計算!$E$2:$E$801, 0)+1))), "")</f>
        <v/>
      </c>
      <c r="J70" s="15">
        <f>IFERROR(IF(INDEX(輔助計算!$D:$D,(MATCH(69, 輔助計算!$E$2:$E$801, 0)+1))="","",INDEX(輔助計算!$D:$D,(MATCH(69, 輔助計算!$E$2:$E$801, 0)+1))*INDEX(ERP資料!$O:$O,(MATCH(69, 輔助計算!$E$2:$E$801, 0)+1))), "")</f>
        <v/>
      </c>
      <c r="K70" s="16" t="n"/>
      <c r="L70" s="16" t="n"/>
      <c r="M70" s="17" t="n"/>
    </row>
    <row r="71">
      <c r="A71" s="14">
        <f>IFERROR(IF(INDEX(ERP資料!$B:$B, (MATCH(70, 輔助計算!$E$2:$E$801, 0)+1))="","",INDEX(ERP資料!$B:$B, (MATCH(70, 輔助計算!$E$2:$E$801, 0)+1))), "")</f>
        <v/>
      </c>
      <c r="B71" s="10">
        <f>IFERROR(IF(INDEX(ERP資料!$A:$A, (MATCH(70, 輔助計算!$E$2:$E$801, 0)+1))="","",INDEX(ERP資料!$A:$A, (MATCH(70, 輔助計算!$E$2:$E$801, 0)+1))), "")</f>
        <v/>
      </c>
      <c r="C71" s="10">
        <f>IFERROR(IF(INDEX(ERP資料!$S:$S, (MATCH(70, 輔助計算!$E$2:$E$801, 0)+1))="","",INDEX(ERP資料!$S:$S, (MATCH(70, 輔助計算!$E$2:$E$801, 0)+1))), "")</f>
        <v/>
      </c>
      <c r="D71" s="10">
        <f>IFERROR(IF(INDEX(ERP資料!$E:$E, (MATCH(70, 輔助計算!$E$2:$E$801, 0)+1))="","",TRIM(INDEX(ERP資料!$E:$E, (MATCH(70, 輔助計算!$E$2:$E$801, 0)+1)))), "")</f>
        <v/>
      </c>
      <c r="E71" s="10">
        <f>IFERROR(IF(INDEX(ERP資料!$F:$F, (MATCH(70, 輔助計算!$E$2:$E$801, 0)+1))="","",INDEX(ERP資料!$F:$F, (MATCH(70, 輔助計算!$E$2:$E$801, 0)+1))), "")</f>
        <v/>
      </c>
      <c r="F71" s="10">
        <f>IFERROR(IF(INDEX(ERP資料!$G:$G, (MATCH(70, 輔助計算!$E$2:$E$801, 0)+1))="","",INDEX(ERP資料!$G:$G, (MATCH(70, 輔助計算!$E$2:$E$801, 0)+1))), "")</f>
        <v/>
      </c>
      <c r="G71" s="10">
        <f>IFERROR(IF(INDEX(ERP資料!$H:$H, (MATCH(70, 輔助計算!$E$2:$E$801, 0)+1))="","",INDEX(ERP資料!$H:$H, (MATCH(70, 輔助計算!$E$2:$E$801, 0)+1))), "")</f>
        <v/>
      </c>
      <c r="H71" s="15">
        <f>IFERROR(INDEX(輔助計算!$D:$D, (MATCH(70, 輔助計算!$E$2:$E$801, 0)+1)), "")</f>
        <v/>
      </c>
      <c r="I71" s="10">
        <f>IFERROR(IF(INDEX(ERP資料!$O:$O, (MATCH(70, 輔助計算!$E$2:$E$801, 0)+1))="","",INDEX(ERP資料!$O:$O, (MATCH(70, 輔助計算!$E$2:$E$801, 0)+1))), "")</f>
        <v/>
      </c>
      <c r="J71" s="15">
        <f>IFERROR(IF(INDEX(輔助計算!$D:$D,(MATCH(70, 輔助計算!$E$2:$E$801, 0)+1))="","",INDEX(輔助計算!$D:$D,(MATCH(70, 輔助計算!$E$2:$E$801, 0)+1))*INDEX(ERP資料!$O:$O,(MATCH(70, 輔助計算!$E$2:$E$801, 0)+1))), "")</f>
        <v/>
      </c>
      <c r="K71" s="16" t="n"/>
      <c r="L71" s="16" t="n"/>
      <c r="M71" s="17" t="n"/>
    </row>
    <row r="72">
      <c r="A72" s="14">
        <f>IFERROR(IF(INDEX(ERP資料!$B:$B, (MATCH(71, 輔助計算!$E$2:$E$801, 0)+1))="","",INDEX(ERP資料!$B:$B, (MATCH(71, 輔助計算!$E$2:$E$801, 0)+1))), "")</f>
        <v/>
      </c>
      <c r="B72" s="10">
        <f>IFERROR(IF(INDEX(ERP資料!$A:$A, (MATCH(71, 輔助計算!$E$2:$E$801, 0)+1))="","",INDEX(ERP資料!$A:$A, (MATCH(71, 輔助計算!$E$2:$E$801, 0)+1))), "")</f>
        <v/>
      </c>
      <c r="C72" s="10">
        <f>IFERROR(IF(INDEX(ERP資料!$S:$S, (MATCH(71, 輔助計算!$E$2:$E$801, 0)+1))="","",INDEX(ERP資料!$S:$S, (MATCH(71, 輔助計算!$E$2:$E$801, 0)+1))), "")</f>
        <v/>
      </c>
      <c r="D72" s="10">
        <f>IFERROR(IF(INDEX(ERP資料!$E:$E, (MATCH(71, 輔助計算!$E$2:$E$801, 0)+1))="","",TRIM(INDEX(ERP資料!$E:$E, (MATCH(71, 輔助計算!$E$2:$E$801, 0)+1)))), "")</f>
        <v/>
      </c>
      <c r="E72" s="10">
        <f>IFERROR(IF(INDEX(ERP資料!$F:$F, (MATCH(71, 輔助計算!$E$2:$E$801, 0)+1))="","",INDEX(ERP資料!$F:$F, (MATCH(71, 輔助計算!$E$2:$E$801, 0)+1))), "")</f>
        <v/>
      </c>
      <c r="F72" s="10">
        <f>IFERROR(IF(INDEX(ERP資料!$G:$G, (MATCH(71, 輔助計算!$E$2:$E$801, 0)+1))="","",INDEX(ERP資料!$G:$G, (MATCH(71, 輔助計算!$E$2:$E$801, 0)+1))), "")</f>
        <v/>
      </c>
      <c r="G72" s="10">
        <f>IFERROR(IF(INDEX(ERP資料!$H:$H, (MATCH(71, 輔助計算!$E$2:$E$801, 0)+1))="","",INDEX(ERP資料!$H:$H, (MATCH(71, 輔助計算!$E$2:$E$801, 0)+1))), "")</f>
        <v/>
      </c>
      <c r="H72" s="15">
        <f>IFERROR(INDEX(輔助計算!$D:$D, (MATCH(71, 輔助計算!$E$2:$E$801, 0)+1)), "")</f>
        <v/>
      </c>
      <c r="I72" s="10">
        <f>IFERROR(IF(INDEX(ERP資料!$O:$O, (MATCH(71, 輔助計算!$E$2:$E$801, 0)+1))="","",INDEX(ERP資料!$O:$O, (MATCH(71, 輔助計算!$E$2:$E$801, 0)+1))), "")</f>
        <v/>
      </c>
      <c r="J72" s="15">
        <f>IFERROR(IF(INDEX(輔助計算!$D:$D,(MATCH(71, 輔助計算!$E$2:$E$801, 0)+1))="","",INDEX(輔助計算!$D:$D,(MATCH(71, 輔助計算!$E$2:$E$801, 0)+1))*INDEX(ERP資料!$O:$O,(MATCH(71, 輔助計算!$E$2:$E$801, 0)+1))), "")</f>
        <v/>
      </c>
      <c r="K72" s="16" t="n"/>
      <c r="L72" s="16" t="n"/>
      <c r="M72" s="17" t="n"/>
    </row>
    <row r="73">
      <c r="A73" s="14">
        <f>IFERROR(IF(INDEX(ERP資料!$B:$B, (MATCH(72, 輔助計算!$E$2:$E$801, 0)+1))="","",INDEX(ERP資料!$B:$B, (MATCH(72, 輔助計算!$E$2:$E$801, 0)+1))), "")</f>
        <v/>
      </c>
      <c r="B73" s="10">
        <f>IFERROR(IF(INDEX(ERP資料!$A:$A, (MATCH(72, 輔助計算!$E$2:$E$801, 0)+1))="","",INDEX(ERP資料!$A:$A, (MATCH(72, 輔助計算!$E$2:$E$801, 0)+1))), "")</f>
        <v/>
      </c>
      <c r="C73" s="10">
        <f>IFERROR(IF(INDEX(ERP資料!$S:$S, (MATCH(72, 輔助計算!$E$2:$E$801, 0)+1))="","",INDEX(ERP資料!$S:$S, (MATCH(72, 輔助計算!$E$2:$E$801, 0)+1))), "")</f>
        <v/>
      </c>
      <c r="D73" s="10">
        <f>IFERROR(IF(INDEX(ERP資料!$E:$E, (MATCH(72, 輔助計算!$E$2:$E$801, 0)+1))="","",TRIM(INDEX(ERP資料!$E:$E, (MATCH(72, 輔助計算!$E$2:$E$801, 0)+1)))), "")</f>
        <v/>
      </c>
      <c r="E73" s="10">
        <f>IFERROR(IF(INDEX(ERP資料!$F:$F, (MATCH(72, 輔助計算!$E$2:$E$801, 0)+1))="","",INDEX(ERP資料!$F:$F, (MATCH(72, 輔助計算!$E$2:$E$801, 0)+1))), "")</f>
        <v/>
      </c>
      <c r="F73" s="10">
        <f>IFERROR(IF(INDEX(ERP資料!$G:$G, (MATCH(72, 輔助計算!$E$2:$E$801, 0)+1))="","",INDEX(ERP資料!$G:$G, (MATCH(72, 輔助計算!$E$2:$E$801, 0)+1))), "")</f>
        <v/>
      </c>
      <c r="G73" s="10">
        <f>IFERROR(IF(INDEX(ERP資料!$H:$H, (MATCH(72, 輔助計算!$E$2:$E$801, 0)+1))="","",INDEX(ERP資料!$H:$H, (MATCH(72, 輔助計算!$E$2:$E$801, 0)+1))), "")</f>
        <v/>
      </c>
      <c r="H73" s="15">
        <f>IFERROR(INDEX(輔助計算!$D:$D, (MATCH(72, 輔助計算!$E$2:$E$801, 0)+1)), "")</f>
        <v/>
      </c>
      <c r="I73" s="10">
        <f>IFERROR(IF(INDEX(ERP資料!$O:$O, (MATCH(72, 輔助計算!$E$2:$E$801, 0)+1))="","",INDEX(ERP資料!$O:$O, (MATCH(72, 輔助計算!$E$2:$E$801, 0)+1))), "")</f>
        <v/>
      </c>
      <c r="J73" s="15">
        <f>IFERROR(IF(INDEX(輔助計算!$D:$D,(MATCH(72, 輔助計算!$E$2:$E$801, 0)+1))="","",INDEX(輔助計算!$D:$D,(MATCH(72, 輔助計算!$E$2:$E$801, 0)+1))*INDEX(ERP資料!$O:$O,(MATCH(72, 輔助計算!$E$2:$E$801, 0)+1))), "")</f>
        <v/>
      </c>
      <c r="K73" s="16" t="n"/>
      <c r="L73" s="16" t="n"/>
      <c r="M73" s="17" t="n"/>
    </row>
    <row r="74">
      <c r="A74" s="14">
        <f>IFERROR(IF(INDEX(ERP資料!$B:$B, (MATCH(73, 輔助計算!$E$2:$E$801, 0)+1))="","",INDEX(ERP資料!$B:$B, (MATCH(73, 輔助計算!$E$2:$E$801, 0)+1))), "")</f>
        <v/>
      </c>
      <c r="B74" s="10">
        <f>IFERROR(IF(INDEX(ERP資料!$A:$A, (MATCH(73, 輔助計算!$E$2:$E$801, 0)+1))="","",INDEX(ERP資料!$A:$A, (MATCH(73, 輔助計算!$E$2:$E$801, 0)+1))), "")</f>
        <v/>
      </c>
      <c r="C74" s="10">
        <f>IFERROR(IF(INDEX(ERP資料!$S:$S, (MATCH(73, 輔助計算!$E$2:$E$801, 0)+1))="","",INDEX(ERP資料!$S:$S, (MATCH(73, 輔助計算!$E$2:$E$801, 0)+1))), "")</f>
        <v/>
      </c>
      <c r="D74" s="10">
        <f>IFERROR(IF(INDEX(ERP資料!$E:$E, (MATCH(73, 輔助計算!$E$2:$E$801, 0)+1))="","",TRIM(INDEX(ERP資料!$E:$E, (MATCH(73, 輔助計算!$E$2:$E$801, 0)+1)))), "")</f>
        <v/>
      </c>
      <c r="E74" s="10">
        <f>IFERROR(IF(INDEX(ERP資料!$F:$F, (MATCH(73, 輔助計算!$E$2:$E$801, 0)+1))="","",INDEX(ERP資料!$F:$F, (MATCH(73, 輔助計算!$E$2:$E$801, 0)+1))), "")</f>
        <v/>
      </c>
      <c r="F74" s="10">
        <f>IFERROR(IF(INDEX(ERP資料!$G:$G, (MATCH(73, 輔助計算!$E$2:$E$801, 0)+1))="","",INDEX(ERP資料!$G:$G, (MATCH(73, 輔助計算!$E$2:$E$801, 0)+1))), "")</f>
        <v/>
      </c>
      <c r="G74" s="10">
        <f>IFERROR(IF(INDEX(ERP資料!$H:$H, (MATCH(73, 輔助計算!$E$2:$E$801, 0)+1))="","",INDEX(ERP資料!$H:$H, (MATCH(73, 輔助計算!$E$2:$E$801, 0)+1))), "")</f>
        <v/>
      </c>
      <c r="H74" s="15">
        <f>IFERROR(INDEX(輔助計算!$D:$D, (MATCH(73, 輔助計算!$E$2:$E$801, 0)+1)), "")</f>
        <v/>
      </c>
      <c r="I74" s="10">
        <f>IFERROR(IF(INDEX(ERP資料!$O:$O, (MATCH(73, 輔助計算!$E$2:$E$801, 0)+1))="","",INDEX(ERP資料!$O:$O, (MATCH(73, 輔助計算!$E$2:$E$801, 0)+1))), "")</f>
        <v/>
      </c>
      <c r="J74" s="15">
        <f>IFERROR(IF(INDEX(輔助計算!$D:$D,(MATCH(73, 輔助計算!$E$2:$E$801, 0)+1))="","",INDEX(輔助計算!$D:$D,(MATCH(73, 輔助計算!$E$2:$E$801, 0)+1))*INDEX(ERP資料!$O:$O,(MATCH(73, 輔助計算!$E$2:$E$801, 0)+1))), "")</f>
        <v/>
      </c>
      <c r="K74" s="16" t="n"/>
      <c r="L74" s="16" t="n"/>
      <c r="M74" s="17" t="n"/>
    </row>
    <row r="75">
      <c r="A75" s="14">
        <f>IFERROR(IF(INDEX(ERP資料!$B:$B, (MATCH(74, 輔助計算!$E$2:$E$801, 0)+1))="","",INDEX(ERP資料!$B:$B, (MATCH(74, 輔助計算!$E$2:$E$801, 0)+1))), "")</f>
        <v/>
      </c>
      <c r="B75" s="10">
        <f>IFERROR(IF(INDEX(ERP資料!$A:$A, (MATCH(74, 輔助計算!$E$2:$E$801, 0)+1))="","",INDEX(ERP資料!$A:$A, (MATCH(74, 輔助計算!$E$2:$E$801, 0)+1))), "")</f>
        <v/>
      </c>
      <c r="C75" s="10">
        <f>IFERROR(IF(INDEX(ERP資料!$S:$S, (MATCH(74, 輔助計算!$E$2:$E$801, 0)+1))="","",INDEX(ERP資料!$S:$S, (MATCH(74, 輔助計算!$E$2:$E$801, 0)+1))), "")</f>
        <v/>
      </c>
      <c r="D75" s="10">
        <f>IFERROR(IF(INDEX(ERP資料!$E:$E, (MATCH(74, 輔助計算!$E$2:$E$801, 0)+1))="","",TRIM(INDEX(ERP資料!$E:$E, (MATCH(74, 輔助計算!$E$2:$E$801, 0)+1)))), "")</f>
        <v/>
      </c>
      <c r="E75" s="10">
        <f>IFERROR(IF(INDEX(ERP資料!$F:$F, (MATCH(74, 輔助計算!$E$2:$E$801, 0)+1))="","",INDEX(ERP資料!$F:$F, (MATCH(74, 輔助計算!$E$2:$E$801, 0)+1))), "")</f>
        <v/>
      </c>
      <c r="F75" s="10">
        <f>IFERROR(IF(INDEX(ERP資料!$G:$G, (MATCH(74, 輔助計算!$E$2:$E$801, 0)+1))="","",INDEX(ERP資料!$G:$G, (MATCH(74, 輔助計算!$E$2:$E$801, 0)+1))), "")</f>
        <v/>
      </c>
      <c r="G75" s="10">
        <f>IFERROR(IF(INDEX(ERP資料!$H:$H, (MATCH(74, 輔助計算!$E$2:$E$801, 0)+1))="","",INDEX(ERP資料!$H:$H, (MATCH(74, 輔助計算!$E$2:$E$801, 0)+1))), "")</f>
        <v/>
      </c>
      <c r="H75" s="15">
        <f>IFERROR(INDEX(輔助計算!$D:$D, (MATCH(74, 輔助計算!$E$2:$E$801, 0)+1)), "")</f>
        <v/>
      </c>
      <c r="I75" s="10">
        <f>IFERROR(IF(INDEX(ERP資料!$O:$O, (MATCH(74, 輔助計算!$E$2:$E$801, 0)+1))="","",INDEX(ERP資料!$O:$O, (MATCH(74, 輔助計算!$E$2:$E$801, 0)+1))), "")</f>
        <v/>
      </c>
      <c r="J75" s="15">
        <f>IFERROR(IF(INDEX(輔助計算!$D:$D,(MATCH(74, 輔助計算!$E$2:$E$801, 0)+1))="","",INDEX(輔助計算!$D:$D,(MATCH(74, 輔助計算!$E$2:$E$801, 0)+1))*INDEX(ERP資料!$O:$O,(MATCH(74, 輔助計算!$E$2:$E$801, 0)+1))), "")</f>
        <v/>
      </c>
      <c r="K75" s="16" t="n"/>
      <c r="L75" s="16" t="n"/>
      <c r="M75" s="17" t="n"/>
    </row>
    <row r="76">
      <c r="A76" s="14">
        <f>IFERROR(IF(INDEX(ERP資料!$B:$B, (MATCH(75, 輔助計算!$E$2:$E$801, 0)+1))="","",INDEX(ERP資料!$B:$B, (MATCH(75, 輔助計算!$E$2:$E$801, 0)+1))), "")</f>
        <v/>
      </c>
      <c r="B76" s="10">
        <f>IFERROR(IF(INDEX(ERP資料!$A:$A, (MATCH(75, 輔助計算!$E$2:$E$801, 0)+1))="","",INDEX(ERP資料!$A:$A, (MATCH(75, 輔助計算!$E$2:$E$801, 0)+1))), "")</f>
        <v/>
      </c>
      <c r="C76" s="10">
        <f>IFERROR(IF(INDEX(ERP資料!$S:$S, (MATCH(75, 輔助計算!$E$2:$E$801, 0)+1))="","",INDEX(ERP資料!$S:$S, (MATCH(75, 輔助計算!$E$2:$E$801, 0)+1))), "")</f>
        <v/>
      </c>
      <c r="D76" s="10">
        <f>IFERROR(IF(INDEX(ERP資料!$E:$E, (MATCH(75, 輔助計算!$E$2:$E$801, 0)+1))="","",TRIM(INDEX(ERP資料!$E:$E, (MATCH(75, 輔助計算!$E$2:$E$801, 0)+1)))), "")</f>
        <v/>
      </c>
      <c r="E76" s="10">
        <f>IFERROR(IF(INDEX(ERP資料!$F:$F, (MATCH(75, 輔助計算!$E$2:$E$801, 0)+1))="","",INDEX(ERP資料!$F:$F, (MATCH(75, 輔助計算!$E$2:$E$801, 0)+1))), "")</f>
        <v/>
      </c>
      <c r="F76" s="10">
        <f>IFERROR(IF(INDEX(ERP資料!$G:$G, (MATCH(75, 輔助計算!$E$2:$E$801, 0)+1))="","",INDEX(ERP資料!$G:$G, (MATCH(75, 輔助計算!$E$2:$E$801, 0)+1))), "")</f>
        <v/>
      </c>
      <c r="G76" s="10">
        <f>IFERROR(IF(INDEX(ERP資料!$H:$H, (MATCH(75, 輔助計算!$E$2:$E$801, 0)+1))="","",INDEX(ERP資料!$H:$H, (MATCH(75, 輔助計算!$E$2:$E$801, 0)+1))), "")</f>
        <v/>
      </c>
      <c r="H76" s="15">
        <f>IFERROR(INDEX(輔助計算!$D:$D, (MATCH(75, 輔助計算!$E$2:$E$801, 0)+1)), "")</f>
        <v/>
      </c>
      <c r="I76" s="10">
        <f>IFERROR(IF(INDEX(ERP資料!$O:$O, (MATCH(75, 輔助計算!$E$2:$E$801, 0)+1))="","",INDEX(ERP資料!$O:$O, (MATCH(75, 輔助計算!$E$2:$E$801, 0)+1))), "")</f>
        <v/>
      </c>
      <c r="J76" s="15">
        <f>IFERROR(IF(INDEX(輔助計算!$D:$D,(MATCH(75, 輔助計算!$E$2:$E$801, 0)+1))="","",INDEX(輔助計算!$D:$D,(MATCH(75, 輔助計算!$E$2:$E$801, 0)+1))*INDEX(ERP資料!$O:$O,(MATCH(75, 輔助計算!$E$2:$E$801, 0)+1))), "")</f>
        <v/>
      </c>
      <c r="K76" s="16" t="n"/>
      <c r="L76" s="16" t="n"/>
      <c r="M76" s="17" t="n"/>
    </row>
    <row r="77">
      <c r="A77" s="14">
        <f>IFERROR(IF(INDEX(ERP資料!$B:$B, (MATCH(76, 輔助計算!$E$2:$E$801, 0)+1))="","",INDEX(ERP資料!$B:$B, (MATCH(76, 輔助計算!$E$2:$E$801, 0)+1))), "")</f>
        <v/>
      </c>
      <c r="B77" s="10">
        <f>IFERROR(IF(INDEX(ERP資料!$A:$A, (MATCH(76, 輔助計算!$E$2:$E$801, 0)+1))="","",INDEX(ERP資料!$A:$A, (MATCH(76, 輔助計算!$E$2:$E$801, 0)+1))), "")</f>
        <v/>
      </c>
      <c r="C77" s="10">
        <f>IFERROR(IF(INDEX(ERP資料!$S:$S, (MATCH(76, 輔助計算!$E$2:$E$801, 0)+1))="","",INDEX(ERP資料!$S:$S, (MATCH(76, 輔助計算!$E$2:$E$801, 0)+1))), "")</f>
        <v/>
      </c>
      <c r="D77" s="10">
        <f>IFERROR(IF(INDEX(ERP資料!$E:$E, (MATCH(76, 輔助計算!$E$2:$E$801, 0)+1))="","",TRIM(INDEX(ERP資料!$E:$E, (MATCH(76, 輔助計算!$E$2:$E$801, 0)+1)))), "")</f>
        <v/>
      </c>
      <c r="E77" s="10">
        <f>IFERROR(IF(INDEX(ERP資料!$F:$F, (MATCH(76, 輔助計算!$E$2:$E$801, 0)+1))="","",INDEX(ERP資料!$F:$F, (MATCH(76, 輔助計算!$E$2:$E$801, 0)+1))), "")</f>
        <v/>
      </c>
      <c r="F77" s="10">
        <f>IFERROR(IF(INDEX(ERP資料!$G:$G, (MATCH(76, 輔助計算!$E$2:$E$801, 0)+1))="","",INDEX(ERP資料!$G:$G, (MATCH(76, 輔助計算!$E$2:$E$801, 0)+1))), "")</f>
        <v/>
      </c>
      <c r="G77" s="10">
        <f>IFERROR(IF(INDEX(ERP資料!$H:$H, (MATCH(76, 輔助計算!$E$2:$E$801, 0)+1))="","",INDEX(ERP資料!$H:$H, (MATCH(76, 輔助計算!$E$2:$E$801, 0)+1))), "")</f>
        <v/>
      </c>
      <c r="H77" s="15">
        <f>IFERROR(INDEX(輔助計算!$D:$D, (MATCH(76, 輔助計算!$E$2:$E$801, 0)+1)), "")</f>
        <v/>
      </c>
      <c r="I77" s="10">
        <f>IFERROR(IF(INDEX(ERP資料!$O:$O, (MATCH(76, 輔助計算!$E$2:$E$801, 0)+1))="","",INDEX(ERP資料!$O:$O, (MATCH(76, 輔助計算!$E$2:$E$801, 0)+1))), "")</f>
        <v/>
      </c>
      <c r="J77" s="15">
        <f>IFERROR(IF(INDEX(輔助計算!$D:$D,(MATCH(76, 輔助計算!$E$2:$E$801, 0)+1))="","",INDEX(輔助計算!$D:$D,(MATCH(76, 輔助計算!$E$2:$E$801, 0)+1))*INDEX(ERP資料!$O:$O,(MATCH(76, 輔助計算!$E$2:$E$801, 0)+1))), "")</f>
        <v/>
      </c>
      <c r="K77" s="16" t="n"/>
      <c r="L77" s="16" t="n"/>
      <c r="M77" s="17" t="n"/>
    </row>
    <row r="78">
      <c r="A78" s="14">
        <f>IFERROR(IF(INDEX(ERP資料!$B:$B, (MATCH(77, 輔助計算!$E$2:$E$801, 0)+1))="","",INDEX(ERP資料!$B:$B, (MATCH(77, 輔助計算!$E$2:$E$801, 0)+1))), "")</f>
        <v/>
      </c>
      <c r="B78" s="10">
        <f>IFERROR(IF(INDEX(ERP資料!$A:$A, (MATCH(77, 輔助計算!$E$2:$E$801, 0)+1))="","",INDEX(ERP資料!$A:$A, (MATCH(77, 輔助計算!$E$2:$E$801, 0)+1))), "")</f>
        <v/>
      </c>
      <c r="C78" s="10">
        <f>IFERROR(IF(INDEX(ERP資料!$S:$S, (MATCH(77, 輔助計算!$E$2:$E$801, 0)+1))="","",INDEX(ERP資料!$S:$S, (MATCH(77, 輔助計算!$E$2:$E$801, 0)+1))), "")</f>
        <v/>
      </c>
      <c r="D78" s="10">
        <f>IFERROR(IF(INDEX(ERP資料!$E:$E, (MATCH(77, 輔助計算!$E$2:$E$801, 0)+1))="","",TRIM(INDEX(ERP資料!$E:$E, (MATCH(77, 輔助計算!$E$2:$E$801, 0)+1)))), "")</f>
        <v/>
      </c>
      <c r="E78" s="10">
        <f>IFERROR(IF(INDEX(ERP資料!$F:$F, (MATCH(77, 輔助計算!$E$2:$E$801, 0)+1))="","",INDEX(ERP資料!$F:$F, (MATCH(77, 輔助計算!$E$2:$E$801, 0)+1))), "")</f>
        <v/>
      </c>
      <c r="F78" s="10">
        <f>IFERROR(IF(INDEX(ERP資料!$G:$G, (MATCH(77, 輔助計算!$E$2:$E$801, 0)+1))="","",INDEX(ERP資料!$G:$G, (MATCH(77, 輔助計算!$E$2:$E$801, 0)+1))), "")</f>
        <v/>
      </c>
      <c r="G78" s="10">
        <f>IFERROR(IF(INDEX(ERP資料!$H:$H, (MATCH(77, 輔助計算!$E$2:$E$801, 0)+1))="","",INDEX(ERP資料!$H:$H, (MATCH(77, 輔助計算!$E$2:$E$801, 0)+1))), "")</f>
        <v/>
      </c>
      <c r="H78" s="15">
        <f>IFERROR(INDEX(輔助計算!$D:$D, (MATCH(77, 輔助計算!$E$2:$E$801, 0)+1)), "")</f>
        <v/>
      </c>
      <c r="I78" s="10">
        <f>IFERROR(IF(INDEX(ERP資料!$O:$O, (MATCH(77, 輔助計算!$E$2:$E$801, 0)+1))="","",INDEX(ERP資料!$O:$O, (MATCH(77, 輔助計算!$E$2:$E$801, 0)+1))), "")</f>
        <v/>
      </c>
      <c r="J78" s="15">
        <f>IFERROR(IF(INDEX(輔助計算!$D:$D,(MATCH(77, 輔助計算!$E$2:$E$801, 0)+1))="","",INDEX(輔助計算!$D:$D,(MATCH(77, 輔助計算!$E$2:$E$801, 0)+1))*INDEX(ERP資料!$O:$O,(MATCH(77, 輔助計算!$E$2:$E$801, 0)+1))), "")</f>
        <v/>
      </c>
      <c r="K78" s="16" t="n"/>
      <c r="L78" s="16" t="n"/>
      <c r="M78" s="17" t="n"/>
    </row>
    <row r="79">
      <c r="A79" s="14">
        <f>IFERROR(IF(INDEX(ERP資料!$B:$B, (MATCH(78, 輔助計算!$E$2:$E$801, 0)+1))="","",INDEX(ERP資料!$B:$B, (MATCH(78, 輔助計算!$E$2:$E$801, 0)+1))), "")</f>
        <v/>
      </c>
      <c r="B79" s="10">
        <f>IFERROR(IF(INDEX(ERP資料!$A:$A, (MATCH(78, 輔助計算!$E$2:$E$801, 0)+1))="","",INDEX(ERP資料!$A:$A, (MATCH(78, 輔助計算!$E$2:$E$801, 0)+1))), "")</f>
        <v/>
      </c>
      <c r="C79" s="10">
        <f>IFERROR(IF(INDEX(ERP資料!$S:$S, (MATCH(78, 輔助計算!$E$2:$E$801, 0)+1))="","",INDEX(ERP資料!$S:$S, (MATCH(78, 輔助計算!$E$2:$E$801, 0)+1))), "")</f>
        <v/>
      </c>
      <c r="D79" s="10">
        <f>IFERROR(IF(INDEX(ERP資料!$E:$E, (MATCH(78, 輔助計算!$E$2:$E$801, 0)+1))="","",TRIM(INDEX(ERP資料!$E:$E, (MATCH(78, 輔助計算!$E$2:$E$801, 0)+1)))), "")</f>
        <v/>
      </c>
      <c r="E79" s="10">
        <f>IFERROR(IF(INDEX(ERP資料!$F:$F, (MATCH(78, 輔助計算!$E$2:$E$801, 0)+1))="","",INDEX(ERP資料!$F:$F, (MATCH(78, 輔助計算!$E$2:$E$801, 0)+1))), "")</f>
        <v/>
      </c>
      <c r="F79" s="10">
        <f>IFERROR(IF(INDEX(ERP資料!$G:$G, (MATCH(78, 輔助計算!$E$2:$E$801, 0)+1))="","",INDEX(ERP資料!$G:$G, (MATCH(78, 輔助計算!$E$2:$E$801, 0)+1))), "")</f>
        <v/>
      </c>
      <c r="G79" s="10">
        <f>IFERROR(IF(INDEX(ERP資料!$H:$H, (MATCH(78, 輔助計算!$E$2:$E$801, 0)+1))="","",INDEX(ERP資料!$H:$H, (MATCH(78, 輔助計算!$E$2:$E$801, 0)+1))), "")</f>
        <v/>
      </c>
      <c r="H79" s="15">
        <f>IFERROR(INDEX(輔助計算!$D:$D, (MATCH(78, 輔助計算!$E$2:$E$801, 0)+1)), "")</f>
        <v/>
      </c>
      <c r="I79" s="10">
        <f>IFERROR(IF(INDEX(ERP資料!$O:$O, (MATCH(78, 輔助計算!$E$2:$E$801, 0)+1))="","",INDEX(ERP資料!$O:$O, (MATCH(78, 輔助計算!$E$2:$E$801, 0)+1))), "")</f>
        <v/>
      </c>
      <c r="J79" s="15">
        <f>IFERROR(IF(INDEX(輔助計算!$D:$D,(MATCH(78, 輔助計算!$E$2:$E$801, 0)+1))="","",INDEX(輔助計算!$D:$D,(MATCH(78, 輔助計算!$E$2:$E$801, 0)+1))*INDEX(ERP資料!$O:$O,(MATCH(78, 輔助計算!$E$2:$E$801, 0)+1))), "")</f>
        <v/>
      </c>
      <c r="K79" s="16" t="n"/>
      <c r="L79" s="16" t="n"/>
      <c r="M79" s="17" t="n"/>
    </row>
    <row r="80">
      <c r="A80" s="14">
        <f>IFERROR(IF(INDEX(ERP資料!$B:$B, (MATCH(79, 輔助計算!$E$2:$E$801, 0)+1))="","",INDEX(ERP資料!$B:$B, (MATCH(79, 輔助計算!$E$2:$E$801, 0)+1))), "")</f>
        <v/>
      </c>
      <c r="B80" s="10">
        <f>IFERROR(IF(INDEX(ERP資料!$A:$A, (MATCH(79, 輔助計算!$E$2:$E$801, 0)+1))="","",INDEX(ERP資料!$A:$A, (MATCH(79, 輔助計算!$E$2:$E$801, 0)+1))), "")</f>
        <v/>
      </c>
      <c r="C80" s="10">
        <f>IFERROR(IF(INDEX(ERP資料!$S:$S, (MATCH(79, 輔助計算!$E$2:$E$801, 0)+1))="","",INDEX(ERP資料!$S:$S, (MATCH(79, 輔助計算!$E$2:$E$801, 0)+1))), "")</f>
        <v/>
      </c>
      <c r="D80" s="10">
        <f>IFERROR(IF(INDEX(ERP資料!$E:$E, (MATCH(79, 輔助計算!$E$2:$E$801, 0)+1))="","",TRIM(INDEX(ERP資料!$E:$E, (MATCH(79, 輔助計算!$E$2:$E$801, 0)+1)))), "")</f>
        <v/>
      </c>
      <c r="E80" s="10">
        <f>IFERROR(IF(INDEX(ERP資料!$F:$F, (MATCH(79, 輔助計算!$E$2:$E$801, 0)+1))="","",INDEX(ERP資料!$F:$F, (MATCH(79, 輔助計算!$E$2:$E$801, 0)+1))), "")</f>
        <v/>
      </c>
      <c r="F80" s="10">
        <f>IFERROR(IF(INDEX(ERP資料!$G:$G, (MATCH(79, 輔助計算!$E$2:$E$801, 0)+1))="","",INDEX(ERP資料!$G:$G, (MATCH(79, 輔助計算!$E$2:$E$801, 0)+1))), "")</f>
        <v/>
      </c>
      <c r="G80" s="10">
        <f>IFERROR(IF(INDEX(ERP資料!$H:$H, (MATCH(79, 輔助計算!$E$2:$E$801, 0)+1))="","",INDEX(ERP資料!$H:$H, (MATCH(79, 輔助計算!$E$2:$E$801, 0)+1))), "")</f>
        <v/>
      </c>
      <c r="H80" s="15">
        <f>IFERROR(INDEX(輔助計算!$D:$D, (MATCH(79, 輔助計算!$E$2:$E$801, 0)+1)), "")</f>
        <v/>
      </c>
      <c r="I80" s="10">
        <f>IFERROR(IF(INDEX(ERP資料!$O:$O, (MATCH(79, 輔助計算!$E$2:$E$801, 0)+1))="","",INDEX(ERP資料!$O:$O, (MATCH(79, 輔助計算!$E$2:$E$801, 0)+1))), "")</f>
        <v/>
      </c>
      <c r="J80" s="15">
        <f>IFERROR(IF(INDEX(輔助計算!$D:$D,(MATCH(79, 輔助計算!$E$2:$E$801, 0)+1))="","",INDEX(輔助計算!$D:$D,(MATCH(79, 輔助計算!$E$2:$E$801, 0)+1))*INDEX(ERP資料!$O:$O,(MATCH(79, 輔助計算!$E$2:$E$801, 0)+1))), "")</f>
        <v/>
      </c>
      <c r="K80" s="16" t="n"/>
      <c r="L80" s="16" t="n"/>
      <c r="M80" s="17" t="n"/>
    </row>
    <row r="81">
      <c r="A81" s="14">
        <f>IFERROR(IF(INDEX(ERP資料!$B:$B, (MATCH(80, 輔助計算!$E$2:$E$801, 0)+1))="","",INDEX(ERP資料!$B:$B, (MATCH(80, 輔助計算!$E$2:$E$801, 0)+1))), "")</f>
        <v/>
      </c>
      <c r="B81" s="10">
        <f>IFERROR(IF(INDEX(ERP資料!$A:$A, (MATCH(80, 輔助計算!$E$2:$E$801, 0)+1))="","",INDEX(ERP資料!$A:$A, (MATCH(80, 輔助計算!$E$2:$E$801, 0)+1))), "")</f>
        <v/>
      </c>
      <c r="C81" s="10">
        <f>IFERROR(IF(INDEX(ERP資料!$S:$S, (MATCH(80, 輔助計算!$E$2:$E$801, 0)+1))="","",INDEX(ERP資料!$S:$S, (MATCH(80, 輔助計算!$E$2:$E$801, 0)+1))), "")</f>
        <v/>
      </c>
      <c r="D81" s="10">
        <f>IFERROR(IF(INDEX(ERP資料!$E:$E, (MATCH(80, 輔助計算!$E$2:$E$801, 0)+1))="","",TRIM(INDEX(ERP資料!$E:$E, (MATCH(80, 輔助計算!$E$2:$E$801, 0)+1)))), "")</f>
        <v/>
      </c>
      <c r="E81" s="10">
        <f>IFERROR(IF(INDEX(ERP資料!$F:$F, (MATCH(80, 輔助計算!$E$2:$E$801, 0)+1))="","",INDEX(ERP資料!$F:$F, (MATCH(80, 輔助計算!$E$2:$E$801, 0)+1))), "")</f>
        <v/>
      </c>
      <c r="F81" s="10">
        <f>IFERROR(IF(INDEX(ERP資料!$G:$G, (MATCH(80, 輔助計算!$E$2:$E$801, 0)+1))="","",INDEX(ERP資料!$G:$G, (MATCH(80, 輔助計算!$E$2:$E$801, 0)+1))), "")</f>
        <v/>
      </c>
      <c r="G81" s="10">
        <f>IFERROR(IF(INDEX(ERP資料!$H:$H, (MATCH(80, 輔助計算!$E$2:$E$801, 0)+1))="","",INDEX(ERP資料!$H:$H, (MATCH(80, 輔助計算!$E$2:$E$801, 0)+1))), "")</f>
        <v/>
      </c>
      <c r="H81" s="15">
        <f>IFERROR(INDEX(輔助計算!$D:$D, (MATCH(80, 輔助計算!$E$2:$E$801, 0)+1)), "")</f>
        <v/>
      </c>
      <c r="I81" s="10">
        <f>IFERROR(IF(INDEX(ERP資料!$O:$O, (MATCH(80, 輔助計算!$E$2:$E$801, 0)+1))="","",INDEX(ERP資料!$O:$O, (MATCH(80, 輔助計算!$E$2:$E$801, 0)+1))), "")</f>
        <v/>
      </c>
      <c r="J81" s="15">
        <f>IFERROR(IF(INDEX(輔助計算!$D:$D,(MATCH(80, 輔助計算!$E$2:$E$801, 0)+1))="","",INDEX(輔助計算!$D:$D,(MATCH(80, 輔助計算!$E$2:$E$801, 0)+1))*INDEX(ERP資料!$O:$O,(MATCH(80, 輔助計算!$E$2:$E$801, 0)+1))), "")</f>
        <v/>
      </c>
      <c r="K81" s="16" t="n"/>
      <c r="L81" s="16" t="n"/>
      <c r="M81" s="17" t="n"/>
    </row>
    <row r="82">
      <c r="A82" s="14">
        <f>IFERROR(IF(INDEX(ERP資料!$B:$B, (MATCH(81, 輔助計算!$E$2:$E$801, 0)+1))="","",INDEX(ERP資料!$B:$B, (MATCH(81, 輔助計算!$E$2:$E$801, 0)+1))), "")</f>
        <v/>
      </c>
      <c r="B82" s="10">
        <f>IFERROR(IF(INDEX(ERP資料!$A:$A, (MATCH(81, 輔助計算!$E$2:$E$801, 0)+1))="","",INDEX(ERP資料!$A:$A, (MATCH(81, 輔助計算!$E$2:$E$801, 0)+1))), "")</f>
        <v/>
      </c>
      <c r="C82" s="10">
        <f>IFERROR(IF(INDEX(ERP資料!$S:$S, (MATCH(81, 輔助計算!$E$2:$E$801, 0)+1))="","",INDEX(ERP資料!$S:$S, (MATCH(81, 輔助計算!$E$2:$E$801, 0)+1))), "")</f>
        <v/>
      </c>
      <c r="D82" s="10">
        <f>IFERROR(IF(INDEX(ERP資料!$E:$E, (MATCH(81, 輔助計算!$E$2:$E$801, 0)+1))="","",TRIM(INDEX(ERP資料!$E:$E, (MATCH(81, 輔助計算!$E$2:$E$801, 0)+1)))), "")</f>
        <v/>
      </c>
      <c r="E82" s="10">
        <f>IFERROR(IF(INDEX(ERP資料!$F:$F, (MATCH(81, 輔助計算!$E$2:$E$801, 0)+1))="","",INDEX(ERP資料!$F:$F, (MATCH(81, 輔助計算!$E$2:$E$801, 0)+1))), "")</f>
        <v/>
      </c>
      <c r="F82" s="10">
        <f>IFERROR(IF(INDEX(ERP資料!$G:$G, (MATCH(81, 輔助計算!$E$2:$E$801, 0)+1))="","",INDEX(ERP資料!$G:$G, (MATCH(81, 輔助計算!$E$2:$E$801, 0)+1))), "")</f>
        <v/>
      </c>
      <c r="G82" s="10">
        <f>IFERROR(IF(INDEX(ERP資料!$H:$H, (MATCH(81, 輔助計算!$E$2:$E$801, 0)+1))="","",INDEX(ERP資料!$H:$H, (MATCH(81, 輔助計算!$E$2:$E$801, 0)+1))), "")</f>
        <v/>
      </c>
      <c r="H82" s="15">
        <f>IFERROR(INDEX(輔助計算!$D:$D, (MATCH(81, 輔助計算!$E$2:$E$801, 0)+1)), "")</f>
        <v/>
      </c>
      <c r="I82" s="10">
        <f>IFERROR(IF(INDEX(ERP資料!$O:$O, (MATCH(81, 輔助計算!$E$2:$E$801, 0)+1))="","",INDEX(ERP資料!$O:$O, (MATCH(81, 輔助計算!$E$2:$E$801, 0)+1))), "")</f>
        <v/>
      </c>
      <c r="J82" s="15">
        <f>IFERROR(IF(INDEX(輔助計算!$D:$D,(MATCH(81, 輔助計算!$E$2:$E$801, 0)+1))="","",INDEX(輔助計算!$D:$D,(MATCH(81, 輔助計算!$E$2:$E$801, 0)+1))*INDEX(ERP資料!$O:$O,(MATCH(81, 輔助計算!$E$2:$E$801, 0)+1))), "")</f>
        <v/>
      </c>
      <c r="K82" s="16" t="n"/>
      <c r="L82" s="16" t="n"/>
      <c r="M82" s="17" t="n"/>
    </row>
    <row r="83">
      <c r="A83" s="14">
        <f>IFERROR(IF(INDEX(ERP資料!$B:$B, (MATCH(82, 輔助計算!$E$2:$E$801, 0)+1))="","",INDEX(ERP資料!$B:$B, (MATCH(82, 輔助計算!$E$2:$E$801, 0)+1))), "")</f>
        <v/>
      </c>
      <c r="B83" s="10">
        <f>IFERROR(IF(INDEX(ERP資料!$A:$A, (MATCH(82, 輔助計算!$E$2:$E$801, 0)+1))="","",INDEX(ERP資料!$A:$A, (MATCH(82, 輔助計算!$E$2:$E$801, 0)+1))), "")</f>
        <v/>
      </c>
      <c r="C83" s="10">
        <f>IFERROR(IF(INDEX(ERP資料!$S:$S, (MATCH(82, 輔助計算!$E$2:$E$801, 0)+1))="","",INDEX(ERP資料!$S:$S, (MATCH(82, 輔助計算!$E$2:$E$801, 0)+1))), "")</f>
        <v/>
      </c>
      <c r="D83" s="10">
        <f>IFERROR(IF(INDEX(ERP資料!$E:$E, (MATCH(82, 輔助計算!$E$2:$E$801, 0)+1))="","",TRIM(INDEX(ERP資料!$E:$E, (MATCH(82, 輔助計算!$E$2:$E$801, 0)+1)))), "")</f>
        <v/>
      </c>
      <c r="E83" s="10">
        <f>IFERROR(IF(INDEX(ERP資料!$F:$F, (MATCH(82, 輔助計算!$E$2:$E$801, 0)+1))="","",INDEX(ERP資料!$F:$F, (MATCH(82, 輔助計算!$E$2:$E$801, 0)+1))), "")</f>
        <v/>
      </c>
      <c r="F83" s="10">
        <f>IFERROR(IF(INDEX(ERP資料!$G:$G, (MATCH(82, 輔助計算!$E$2:$E$801, 0)+1))="","",INDEX(ERP資料!$G:$G, (MATCH(82, 輔助計算!$E$2:$E$801, 0)+1))), "")</f>
        <v/>
      </c>
      <c r="G83" s="10">
        <f>IFERROR(IF(INDEX(ERP資料!$H:$H, (MATCH(82, 輔助計算!$E$2:$E$801, 0)+1))="","",INDEX(ERP資料!$H:$H, (MATCH(82, 輔助計算!$E$2:$E$801, 0)+1))), "")</f>
        <v/>
      </c>
      <c r="H83" s="15">
        <f>IFERROR(INDEX(輔助計算!$D:$D, (MATCH(82, 輔助計算!$E$2:$E$801, 0)+1)), "")</f>
        <v/>
      </c>
      <c r="I83" s="10">
        <f>IFERROR(IF(INDEX(ERP資料!$O:$O, (MATCH(82, 輔助計算!$E$2:$E$801, 0)+1))="","",INDEX(ERP資料!$O:$O, (MATCH(82, 輔助計算!$E$2:$E$801, 0)+1))), "")</f>
        <v/>
      </c>
      <c r="J83" s="15">
        <f>IFERROR(IF(INDEX(輔助計算!$D:$D,(MATCH(82, 輔助計算!$E$2:$E$801, 0)+1))="","",INDEX(輔助計算!$D:$D,(MATCH(82, 輔助計算!$E$2:$E$801, 0)+1))*INDEX(ERP資料!$O:$O,(MATCH(82, 輔助計算!$E$2:$E$801, 0)+1))), "")</f>
        <v/>
      </c>
      <c r="K83" s="16" t="n"/>
      <c r="L83" s="16" t="n"/>
      <c r="M83" s="17" t="n"/>
    </row>
    <row r="84">
      <c r="A84" s="14">
        <f>IFERROR(IF(INDEX(ERP資料!$B:$B, (MATCH(83, 輔助計算!$E$2:$E$801, 0)+1))="","",INDEX(ERP資料!$B:$B, (MATCH(83, 輔助計算!$E$2:$E$801, 0)+1))), "")</f>
        <v/>
      </c>
      <c r="B84" s="10">
        <f>IFERROR(IF(INDEX(ERP資料!$A:$A, (MATCH(83, 輔助計算!$E$2:$E$801, 0)+1))="","",INDEX(ERP資料!$A:$A, (MATCH(83, 輔助計算!$E$2:$E$801, 0)+1))), "")</f>
        <v/>
      </c>
      <c r="C84" s="10">
        <f>IFERROR(IF(INDEX(ERP資料!$S:$S, (MATCH(83, 輔助計算!$E$2:$E$801, 0)+1))="","",INDEX(ERP資料!$S:$S, (MATCH(83, 輔助計算!$E$2:$E$801, 0)+1))), "")</f>
        <v/>
      </c>
      <c r="D84" s="10">
        <f>IFERROR(IF(INDEX(ERP資料!$E:$E, (MATCH(83, 輔助計算!$E$2:$E$801, 0)+1))="","",TRIM(INDEX(ERP資料!$E:$E, (MATCH(83, 輔助計算!$E$2:$E$801, 0)+1)))), "")</f>
        <v/>
      </c>
      <c r="E84" s="10">
        <f>IFERROR(IF(INDEX(ERP資料!$F:$F, (MATCH(83, 輔助計算!$E$2:$E$801, 0)+1))="","",INDEX(ERP資料!$F:$F, (MATCH(83, 輔助計算!$E$2:$E$801, 0)+1))), "")</f>
        <v/>
      </c>
      <c r="F84" s="10">
        <f>IFERROR(IF(INDEX(ERP資料!$G:$G, (MATCH(83, 輔助計算!$E$2:$E$801, 0)+1))="","",INDEX(ERP資料!$G:$G, (MATCH(83, 輔助計算!$E$2:$E$801, 0)+1))), "")</f>
        <v/>
      </c>
      <c r="G84" s="10">
        <f>IFERROR(IF(INDEX(ERP資料!$H:$H, (MATCH(83, 輔助計算!$E$2:$E$801, 0)+1))="","",INDEX(ERP資料!$H:$H, (MATCH(83, 輔助計算!$E$2:$E$801, 0)+1))), "")</f>
        <v/>
      </c>
      <c r="H84" s="15">
        <f>IFERROR(INDEX(輔助計算!$D:$D, (MATCH(83, 輔助計算!$E$2:$E$801, 0)+1)), "")</f>
        <v/>
      </c>
      <c r="I84" s="10">
        <f>IFERROR(IF(INDEX(ERP資料!$O:$O, (MATCH(83, 輔助計算!$E$2:$E$801, 0)+1))="","",INDEX(ERP資料!$O:$O, (MATCH(83, 輔助計算!$E$2:$E$801, 0)+1))), "")</f>
        <v/>
      </c>
      <c r="J84" s="15">
        <f>IFERROR(IF(INDEX(輔助計算!$D:$D,(MATCH(83, 輔助計算!$E$2:$E$801, 0)+1))="","",INDEX(輔助計算!$D:$D,(MATCH(83, 輔助計算!$E$2:$E$801, 0)+1))*INDEX(ERP資料!$O:$O,(MATCH(83, 輔助計算!$E$2:$E$801, 0)+1))), "")</f>
        <v/>
      </c>
      <c r="K84" s="16" t="n"/>
      <c r="L84" s="16" t="n"/>
      <c r="M84" s="17" t="n"/>
    </row>
    <row r="85">
      <c r="A85" s="14">
        <f>IFERROR(IF(INDEX(ERP資料!$B:$B, (MATCH(84, 輔助計算!$E$2:$E$801, 0)+1))="","",INDEX(ERP資料!$B:$B, (MATCH(84, 輔助計算!$E$2:$E$801, 0)+1))), "")</f>
        <v/>
      </c>
      <c r="B85" s="10">
        <f>IFERROR(IF(INDEX(ERP資料!$A:$A, (MATCH(84, 輔助計算!$E$2:$E$801, 0)+1))="","",INDEX(ERP資料!$A:$A, (MATCH(84, 輔助計算!$E$2:$E$801, 0)+1))), "")</f>
        <v/>
      </c>
      <c r="C85" s="10">
        <f>IFERROR(IF(INDEX(ERP資料!$S:$S, (MATCH(84, 輔助計算!$E$2:$E$801, 0)+1))="","",INDEX(ERP資料!$S:$S, (MATCH(84, 輔助計算!$E$2:$E$801, 0)+1))), "")</f>
        <v/>
      </c>
      <c r="D85" s="10">
        <f>IFERROR(IF(INDEX(ERP資料!$E:$E, (MATCH(84, 輔助計算!$E$2:$E$801, 0)+1))="","",TRIM(INDEX(ERP資料!$E:$E, (MATCH(84, 輔助計算!$E$2:$E$801, 0)+1)))), "")</f>
        <v/>
      </c>
      <c r="E85" s="10">
        <f>IFERROR(IF(INDEX(ERP資料!$F:$F, (MATCH(84, 輔助計算!$E$2:$E$801, 0)+1))="","",INDEX(ERP資料!$F:$F, (MATCH(84, 輔助計算!$E$2:$E$801, 0)+1))), "")</f>
        <v/>
      </c>
      <c r="F85" s="10">
        <f>IFERROR(IF(INDEX(ERP資料!$G:$G, (MATCH(84, 輔助計算!$E$2:$E$801, 0)+1))="","",INDEX(ERP資料!$G:$G, (MATCH(84, 輔助計算!$E$2:$E$801, 0)+1))), "")</f>
        <v/>
      </c>
      <c r="G85" s="10">
        <f>IFERROR(IF(INDEX(ERP資料!$H:$H, (MATCH(84, 輔助計算!$E$2:$E$801, 0)+1))="","",INDEX(ERP資料!$H:$H, (MATCH(84, 輔助計算!$E$2:$E$801, 0)+1))), "")</f>
        <v/>
      </c>
      <c r="H85" s="15">
        <f>IFERROR(INDEX(輔助計算!$D:$D, (MATCH(84, 輔助計算!$E$2:$E$801, 0)+1)), "")</f>
        <v/>
      </c>
      <c r="I85" s="10">
        <f>IFERROR(IF(INDEX(ERP資料!$O:$O, (MATCH(84, 輔助計算!$E$2:$E$801, 0)+1))="","",INDEX(ERP資料!$O:$O, (MATCH(84, 輔助計算!$E$2:$E$801, 0)+1))), "")</f>
        <v/>
      </c>
      <c r="J85" s="15">
        <f>IFERROR(IF(INDEX(輔助計算!$D:$D,(MATCH(84, 輔助計算!$E$2:$E$801, 0)+1))="","",INDEX(輔助計算!$D:$D,(MATCH(84, 輔助計算!$E$2:$E$801, 0)+1))*INDEX(ERP資料!$O:$O,(MATCH(84, 輔助計算!$E$2:$E$801, 0)+1))), "")</f>
        <v/>
      </c>
      <c r="K85" s="16" t="n"/>
      <c r="L85" s="16" t="n"/>
      <c r="M85" s="17" t="n"/>
    </row>
    <row r="86">
      <c r="A86" s="14">
        <f>IFERROR(IF(INDEX(ERP資料!$B:$B, (MATCH(85, 輔助計算!$E$2:$E$801, 0)+1))="","",INDEX(ERP資料!$B:$B, (MATCH(85, 輔助計算!$E$2:$E$801, 0)+1))), "")</f>
        <v/>
      </c>
      <c r="B86" s="10">
        <f>IFERROR(IF(INDEX(ERP資料!$A:$A, (MATCH(85, 輔助計算!$E$2:$E$801, 0)+1))="","",INDEX(ERP資料!$A:$A, (MATCH(85, 輔助計算!$E$2:$E$801, 0)+1))), "")</f>
        <v/>
      </c>
      <c r="C86" s="10">
        <f>IFERROR(IF(INDEX(ERP資料!$S:$S, (MATCH(85, 輔助計算!$E$2:$E$801, 0)+1))="","",INDEX(ERP資料!$S:$S, (MATCH(85, 輔助計算!$E$2:$E$801, 0)+1))), "")</f>
        <v/>
      </c>
      <c r="D86" s="10">
        <f>IFERROR(IF(INDEX(ERP資料!$E:$E, (MATCH(85, 輔助計算!$E$2:$E$801, 0)+1))="","",TRIM(INDEX(ERP資料!$E:$E, (MATCH(85, 輔助計算!$E$2:$E$801, 0)+1)))), "")</f>
        <v/>
      </c>
      <c r="E86" s="10">
        <f>IFERROR(IF(INDEX(ERP資料!$F:$F, (MATCH(85, 輔助計算!$E$2:$E$801, 0)+1))="","",INDEX(ERP資料!$F:$F, (MATCH(85, 輔助計算!$E$2:$E$801, 0)+1))), "")</f>
        <v/>
      </c>
      <c r="F86" s="10">
        <f>IFERROR(IF(INDEX(ERP資料!$G:$G, (MATCH(85, 輔助計算!$E$2:$E$801, 0)+1))="","",INDEX(ERP資料!$G:$G, (MATCH(85, 輔助計算!$E$2:$E$801, 0)+1))), "")</f>
        <v/>
      </c>
      <c r="G86" s="10">
        <f>IFERROR(IF(INDEX(ERP資料!$H:$H, (MATCH(85, 輔助計算!$E$2:$E$801, 0)+1))="","",INDEX(ERP資料!$H:$H, (MATCH(85, 輔助計算!$E$2:$E$801, 0)+1))), "")</f>
        <v/>
      </c>
      <c r="H86" s="15">
        <f>IFERROR(INDEX(輔助計算!$D:$D, (MATCH(85, 輔助計算!$E$2:$E$801, 0)+1)), "")</f>
        <v/>
      </c>
      <c r="I86" s="10">
        <f>IFERROR(IF(INDEX(ERP資料!$O:$O, (MATCH(85, 輔助計算!$E$2:$E$801, 0)+1))="","",INDEX(ERP資料!$O:$O, (MATCH(85, 輔助計算!$E$2:$E$801, 0)+1))), "")</f>
        <v/>
      </c>
      <c r="J86" s="15">
        <f>IFERROR(IF(INDEX(輔助計算!$D:$D,(MATCH(85, 輔助計算!$E$2:$E$801, 0)+1))="","",INDEX(輔助計算!$D:$D,(MATCH(85, 輔助計算!$E$2:$E$801, 0)+1))*INDEX(ERP資料!$O:$O,(MATCH(85, 輔助計算!$E$2:$E$801, 0)+1))), "")</f>
        <v/>
      </c>
      <c r="K86" s="16" t="n"/>
      <c r="L86" s="16" t="n"/>
      <c r="M86" s="17" t="n"/>
    </row>
    <row r="87">
      <c r="A87" s="14">
        <f>IFERROR(IF(INDEX(ERP資料!$B:$B, (MATCH(86, 輔助計算!$E$2:$E$801, 0)+1))="","",INDEX(ERP資料!$B:$B, (MATCH(86, 輔助計算!$E$2:$E$801, 0)+1))), "")</f>
        <v/>
      </c>
      <c r="B87" s="10">
        <f>IFERROR(IF(INDEX(ERP資料!$A:$A, (MATCH(86, 輔助計算!$E$2:$E$801, 0)+1))="","",INDEX(ERP資料!$A:$A, (MATCH(86, 輔助計算!$E$2:$E$801, 0)+1))), "")</f>
        <v/>
      </c>
      <c r="C87" s="10">
        <f>IFERROR(IF(INDEX(ERP資料!$S:$S, (MATCH(86, 輔助計算!$E$2:$E$801, 0)+1))="","",INDEX(ERP資料!$S:$S, (MATCH(86, 輔助計算!$E$2:$E$801, 0)+1))), "")</f>
        <v/>
      </c>
      <c r="D87" s="10">
        <f>IFERROR(IF(INDEX(ERP資料!$E:$E, (MATCH(86, 輔助計算!$E$2:$E$801, 0)+1))="","",TRIM(INDEX(ERP資料!$E:$E, (MATCH(86, 輔助計算!$E$2:$E$801, 0)+1)))), "")</f>
        <v/>
      </c>
      <c r="E87" s="10">
        <f>IFERROR(IF(INDEX(ERP資料!$F:$F, (MATCH(86, 輔助計算!$E$2:$E$801, 0)+1))="","",INDEX(ERP資料!$F:$F, (MATCH(86, 輔助計算!$E$2:$E$801, 0)+1))), "")</f>
        <v/>
      </c>
      <c r="F87" s="10">
        <f>IFERROR(IF(INDEX(ERP資料!$G:$G, (MATCH(86, 輔助計算!$E$2:$E$801, 0)+1))="","",INDEX(ERP資料!$G:$G, (MATCH(86, 輔助計算!$E$2:$E$801, 0)+1))), "")</f>
        <v/>
      </c>
      <c r="G87" s="10">
        <f>IFERROR(IF(INDEX(ERP資料!$H:$H, (MATCH(86, 輔助計算!$E$2:$E$801, 0)+1))="","",INDEX(ERP資料!$H:$H, (MATCH(86, 輔助計算!$E$2:$E$801, 0)+1))), "")</f>
        <v/>
      </c>
      <c r="H87" s="15">
        <f>IFERROR(INDEX(輔助計算!$D:$D, (MATCH(86, 輔助計算!$E$2:$E$801, 0)+1)), "")</f>
        <v/>
      </c>
      <c r="I87" s="10">
        <f>IFERROR(IF(INDEX(ERP資料!$O:$O, (MATCH(86, 輔助計算!$E$2:$E$801, 0)+1))="","",INDEX(ERP資料!$O:$O, (MATCH(86, 輔助計算!$E$2:$E$801, 0)+1))), "")</f>
        <v/>
      </c>
      <c r="J87" s="15">
        <f>IFERROR(IF(INDEX(輔助計算!$D:$D,(MATCH(86, 輔助計算!$E$2:$E$801, 0)+1))="","",INDEX(輔助計算!$D:$D,(MATCH(86, 輔助計算!$E$2:$E$801, 0)+1))*INDEX(ERP資料!$O:$O,(MATCH(86, 輔助計算!$E$2:$E$801, 0)+1))), "")</f>
        <v/>
      </c>
      <c r="K87" s="16" t="n"/>
      <c r="L87" s="16" t="n"/>
      <c r="M87" s="17" t="n"/>
    </row>
    <row r="88">
      <c r="A88" s="14">
        <f>IFERROR(IF(INDEX(ERP資料!$B:$B, (MATCH(87, 輔助計算!$E$2:$E$801, 0)+1))="","",INDEX(ERP資料!$B:$B, (MATCH(87, 輔助計算!$E$2:$E$801, 0)+1))), "")</f>
        <v/>
      </c>
      <c r="B88" s="10">
        <f>IFERROR(IF(INDEX(ERP資料!$A:$A, (MATCH(87, 輔助計算!$E$2:$E$801, 0)+1))="","",INDEX(ERP資料!$A:$A, (MATCH(87, 輔助計算!$E$2:$E$801, 0)+1))), "")</f>
        <v/>
      </c>
      <c r="C88" s="10">
        <f>IFERROR(IF(INDEX(ERP資料!$S:$S, (MATCH(87, 輔助計算!$E$2:$E$801, 0)+1))="","",INDEX(ERP資料!$S:$S, (MATCH(87, 輔助計算!$E$2:$E$801, 0)+1))), "")</f>
        <v/>
      </c>
      <c r="D88" s="10">
        <f>IFERROR(IF(INDEX(ERP資料!$E:$E, (MATCH(87, 輔助計算!$E$2:$E$801, 0)+1))="","",TRIM(INDEX(ERP資料!$E:$E, (MATCH(87, 輔助計算!$E$2:$E$801, 0)+1)))), "")</f>
        <v/>
      </c>
      <c r="E88" s="10">
        <f>IFERROR(IF(INDEX(ERP資料!$F:$F, (MATCH(87, 輔助計算!$E$2:$E$801, 0)+1))="","",INDEX(ERP資料!$F:$F, (MATCH(87, 輔助計算!$E$2:$E$801, 0)+1))), "")</f>
        <v/>
      </c>
      <c r="F88" s="10">
        <f>IFERROR(IF(INDEX(ERP資料!$G:$G, (MATCH(87, 輔助計算!$E$2:$E$801, 0)+1))="","",INDEX(ERP資料!$G:$G, (MATCH(87, 輔助計算!$E$2:$E$801, 0)+1))), "")</f>
        <v/>
      </c>
      <c r="G88" s="10">
        <f>IFERROR(IF(INDEX(ERP資料!$H:$H, (MATCH(87, 輔助計算!$E$2:$E$801, 0)+1))="","",INDEX(ERP資料!$H:$H, (MATCH(87, 輔助計算!$E$2:$E$801, 0)+1))), "")</f>
        <v/>
      </c>
      <c r="H88" s="15">
        <f>IFERROR(INDEX(輔助計算!$D:$D, (MATCH(87, 輔助計算!$E$2:$E$801, 0)+1)), "")</f>
        <v/>
      </c>
      <c r="I88" s="10">
        <f>IFERROR(IF(INDEX(ERP資料!$O:$O, (MATCH(87, 輔助計算!$E$2:$E$801, 0)+1))="","",INDEX(ERP資料!$O:$O, (MATCH(87, 輔助計算!$E$2:$E$801, 0)+1))), "")</f>
        <v/>
      </c>
      <c r="J88" s="15">
        <f>IFERROR(IF(INDEX(輔助計算!$D:$D,(MATCH(87, 輔助計算!$E$2:$E$801, 0)+1))="","",INDEX(輔助計算!$D:$D,(MATCH(87, 輔助計算!$E$2:$E$801, 0)+1))*INDEX(ERP資料!$O:$O,(MATCH(87, 輔助計算!$E$2:$E$801, 0)+1))), "")</f>
        <v/>
      </c>
      <c r="K88" s="16" t="n"/>
      <c r="L88" s="16" t="n"/>
      <c r="M88" s="17" t="n"/>
    </row>
    <row r="89">
      <c r="A89" s="14">
        <f>IFERROR(IF(INDEX(ERP資料!$B:$B, (MATCH(88, 輔助計算!$E$2:$E$801, 0)+1))="","",INDEX(ERP資料!$B:$B, (MATCH(88, 輔助計算!$E$2:$E$801, 0)+1))), "")</f>
        <v/>
      </c>
      <c r="B89" s="10">
        <f>IFERROR(IF(INDEX(ERP資料!$A:$A, (MATCH(88, 輔助計算!$E$2:$E$801, 0)+1))="","",INDEX(ERP資料!$A:$A, (MATCH(88, 輔助計算!$E$2:$E$801, 0)+1))), "")</f>
        <v/>
      </c>
      <c r="C89" s="10">
        <f>IFERROR(IF(INDEX(ERP資料!$S:$S, (MATCH(88, 輔助計算!$E$2:$E$801, 0)+1))="","",INDEX(ERP資料!$S:$S, (MATCH(88, 輔助計算!$E$2:$E$801, 0)+1))), "")</f>
        <v/>
      </c>
      <c r="D89" s="10">
        <f>IFERROR(IF(INDEX(ERP資料!$E:$E, (MATCH(88, 輔助計算!$E$2:$E$801, 0)+1))="","",TRIM(INDEX(ERP資料!$E:$E, (MATCH(88, 輔助計算!$E$2:$E$801, 0)+1)))), "")</f>
        <v/>
      </c>
      <c r="E89" s="10">
        <f>IFERROR(IF(INDEX(ERP資料!$F:$F, (MATCH(88, 輔助計算!$E$2:$E$801, 0)+1))="","",INDEX(ERP資料!$F:$F, (MATCH(88, 輔助計算!$E$2:$E$801, 0)+1))), "")</f>
        <v/>
      </c>
      <c r="F89" s="10">
        <f>IFERROR(IF(INDEX(ERP資料!$G:$G, (MATCH(88, 輔助計算!$E$2:$E$801, 0)+1))="","",INDEX(ERP資料!$G:$G, (MATCH(88, 輔助計算!$E$2:$E$801, 0)+1))), "")</f>
        <v/>
      </c>
      <c r="G89" s="10">
        <f>IFERROR(IF(INDEX(ERP資料!$H:$H, (MATCH(88, 輔助計算!$E$2:$E$801, 0)+1))="","",INDEX(ERP資料!$H:$H, (MATCH(88, 輔助計算!$E$2:$E$801, 0)+1))), "")</f>
        <v/>
      </c>
      <c r="H89" s="15">
        <f>IFERROR(INDEX(輔助計算!$D:$D, (MATCH(88, 輔助計算!$E$2:$E$801, 0)+1)), "")</f>
        <v/>
      </c>
      <c r="I89" s="10">
        <f>IFERROR(IF(INDEX(ERP資料!$O:$O, (MATCH(88, 輔助計算!$E$2:$E$801, 0)+1))="","",INDEX(ERP資料!$O:$O, (MATCH(88, 輔助計算!$E$2:$E$801, 0)+1))), "")</f>
        <v/>
      </c>
      <c r="J89" s="15">
        <f>IFERROR(IF(INDEX(輔助計算!$D:$D,(MATCH(88, 輔助計算!$E$2:$E$801, 0)+1))="","",INDEX(輔助計算!$D:$D,(MATCH(88, 輔助計算!$E$2:$E$801, 0)+1))*INDEX(ERP資料!$O:$O,(MATCH(88, 輔助計算!$E$2:$E$801, 0)+1))), "")</f>
        <v/>
      </c>
      <c r="K89" s="16" t="n"/>
      <c r="L89" s="16" t="n"/>
      <c r="M89" s="17" t="n"/>
    </row>
    <row r="90">
      <c r="A90" s="14">
        <f>IFERROR(IF(INDEX(ERP資料!$B:$B, (MATCH(89, 輔助計算!$E$2:$E$801, 0)+1))="","",INDEX(ERP資料!$B:$B, (MATCH(89, 輔助計算!$E$2:$E$801, 0)+1))), "")</f>
        <v/>
      </c>
      <c r="B90" s="10">
        <f>IFERROR(IF(INDEX(ERP資料!$A:$A, (MATCH(89, 輔助計算!$E$2:$E$801, 0)+1))="","",INDEX(ERP資料!$A:$A, (MATCH(89, 輔助計算!$E$2:$E$801, 0)+1))), "")</f>
        <v/>
      </c>
      <c r="C90" s="10">
        <f>IFERROR(IF(INDEX(ERP資料!$S:$S, (MATCH(89, 輔助計算!$E$2:$E$801, 0)+1))="","",INDEX(ERP資料!$S:$S, (MATCH(89, 輔助計算!$E$2:$E$801, 0)+1))), "")</f>
        <v/>
      </c>
      <c r="D90" s="10">
        <f>IFERROR(IF(INDEX(ERP資料!$E:$E, (MATCH(89, 輔助計算!$E$2:$E$801, 0)+1))="","",TRIM(INDEX(ERP資料!$E:$E, (MATCH(89, 輔助計算!$E$2:$E$801, 0)+1)))), "")</f>
        <v/>
      </c>
      <c r="E90" s="10">
        <f>IFERROR(IF(INDEX(ERP資料!$F:$F, (MATCH(89, 輔助計算!$E$2:$E$801, 0)+1))="","",INDEX(ERP資料!$F:$F, (MATCH(89, 輔助計算!$E$2:$E$801, 0)+1))), "")</f>
        <v/>
      </c>
      <c r="F90" s="10">
        <f>IFERROR(IF(INDEX(ERP資料!$G:$G, (MATCH(89, 輔助計算!$E$2:$E$801, 0)+1))="","",INDEX(ERP資料!$G:$G, (MATCH(89, 輔助計算!$E$2:$E$801, 0)+1))), "")</f>
        <v/>
      </c>
      <c r="G90" s="10">
        <f>IFERROR(IF(INDEX(ERP資料!$H:$H, (MATCH(89, 輔助計算!$E$2:$E$801, 0)+1))="","",INDEX(ERP資料!$H:$H, (MATCH(89, 輔助計算!$E$2:$E$801, 0)+1))), "")</f>
        <v/>
      </c>
      <c r="H90" s="15">
        <f>IFERROR(INDEX(輔助計算!$D:$D, (MATCH(89, 輔助計算!$E$2:$E$801, 0)+1)), "")</f>
        <v/>
      </c>
      <c r="I90" s="10">
        <f>IFERROR(IF(INDEX(ERP資料!$O:$O, (MATCH(89, 輔助計算!$E$2:$E$801, 0)+1))="","",INDEX(ERP資料!$O:$O, (MATCH(89, 輔助計算!$E$2:$E$801, 0)+1))), "")</f>
        <v/>
      </c>
      <c r="J90" s="15">
        <f>IFERROR(IF(INDEX(輔助計算!$D:$D,(MATCH(89, 輔助計算!$E$2:$E$801, 0)+1))="","",INDEX(輔助計算!$D:$D,(MATCH(89, 輔助計算!$E$2:$E$801, 0)+1))*INDEX(ERP資料!$O:$O,(MATCH(89, 輔助計算!$E$2:$E$801, 0)+1))), "")</f>
        <v/>
      </c>
      <c r="K90" s="16" t="n"/>
      <c r="L90" s="16" t="n"/>
      <c r="M90" s="17" t="n"/>
    </row>
    <row r="91">
      <c r="A91" s="14">
        <f>IFERROR(IF(INDEX(ERP資料!$B:$B, (MATCH(90, 輔助計算!$E$2:$E$801, 0)+1))="","",INDEX(ERP資料!$B:$B, (MATCH(90, 輔助計算!$E$2:$E$801, 0)+1))), "")</f>
        <v/>
      </c>
      <c r="B91" s="10">
        <f>IFERROR(IF(INDEX(ERP資料!$A:$A, (MATCH(90, 輔助計算!$E$2:$E$801, 0)+1))="","",INDEX(ERP資料!$A:$A, (MATCH(90, 輔助計算!$E$2:$E$801, 0)+1))), "")</f>
        <v/>
      </c>
      <c r="C91" s="10">
        <f>IFERROR(IF(INDEX(ERP資料!$S:$S, (MATCH(90, 輔助計算!$E$2:$E$801, 0)+1))="","",INDEX(ERP資料!$S:$S, (MATCH(90, 輔助計算!$E$2:$E$801, 0)+1))), "")</f>
        <v/>
      </c>
      <c r="D91" s="10">
        <f>IFERROR(IF(INDEX(ERP資料!$E:$E, (MATCH(90, 輔助計算!$E$2:$E$801, 0)+1))="","",TRIM(INDEX(ERP資料!$E:$E, (MATCH(90, 輔助計算!$E$2:$E$801, 0)+1)))), "")</f>
        <v/>
      </c>
      <c r="E91" s="10">
        <f>IFERROR(IF(INDEX(ERP資料!$F:$F, (MATCH(90, 輔助計算!$E$2:$E$801, 0)+1))="","",INDEX(ERP資料!$F:$F, (MATCH(90, 輔助計算!$E$2:$E$801, 0)+1))), "")</f>
        <v/>
      </c>
      <c r="F91" s="10">
        <f>IFERROR(IF(INDEX(ERP資料!$G:$G, (MATCH(90, 輔助計算!$E$2:$E$801, 0)+1))="","",INDEX(ERP資料!$G:$G, (MATCH(90, 輔助計算!$E$2:$E$801, 0)+1))), "")</f>
        <v/>
      </c>
      <c r="G91" s="10">
        <f>IFERROR(IF(INDEX(ERP資料!$H:$H, (MATCH(90, 輔助計算!$E$2:$E$801, 0)+1))="","",INDEX(ERP資料!$H:$H, (MATCH(90, 輔助計算!$E$2:$E$801, 0)+1))), "")</f>
        <v/>
      </c>
      <c r="H91" s="15">
        <f>IFERROR(INDEX(輔助計算!$D:$D, (MATCH(90, 輔助計算!$E$2:$E$801, 0)+1)), "")</f>
        <v/>
      </c>
      <c r="I91" s="10">
        <f>IFERROR(IF(INDEX(ERP資料!$O:$O, (MATCH(90, 輔助計算!$E$2:$E$801, 0)+1))="","",INDEX(ERP資料!$O:$O, (MATCH(90, 輔助計算!$E$2:$E$801, 0)+1))), "")</f>
        <v/>
      </c>
      <c r="J91" s="15">
        <f>IFERROR(IF(INDEX(輔助計算!$D:$D,(MATCH(90, 輔助計算!$E$2:$E$801, 0)+1))="","",INDEX(輔助計算!$D:$D,(MATCH(90, 輔助計算!$E$2:$E$801, 0)+1))*INDEX(ERP資料!$O:$O,(MATCH(90, 輔助計算!$E$2:$E$801, 0)+1))), "")</f>
        <v/>
      </c>
      <c r="K91" s="16" t="n"/>
      <c r="L91" s="16" t="n"/>
      <c r="M91" s="17" t="n"/>
    </row>
    <row r="92">
      <c r="A92" s="14">
        <f>IFERROR(IF(INDEX(ERP資料!$B:$B, (MATCH(91, 輔助計算!$E$2:$E$801, 0)+1))="","",INDEX(ERP資料!$B:$B, (MATCH(91, 輔助計算!$E$2:$E$801, 0)+1))), "")</f>
        <v/>
      </c>
      <c r="B92" s="10">
        <f>IFERROR(IF(INDEX(ERP資料!$A:$A, (MATCH(91, 輔助計算!$E$2:$E$801, 0)+1))="","",INDEX(ERP資料!$A:$A, (MATCH(91, 輔助計算!$E$2:$E$801, 0)+1))), "")</f>
        <v/>
      </c>
      <c r="C92" s="10">
        <f>IFERROR(IF(INDEX(ERP資料!$S:$S, (MATCH(91, 輔助計算!$E$2:$E$801, 0)+1))="","",INDEX(ERP資料!$S:$S, (MATCH(91, 輔助計算!$E$2:$E$801, 0)+1))), "")</f>
        <v/>
      </c>
      <c r="D92" s="10">
        <f>IFERROR(IF(INDEX(ERP資料!$E:$E, (MATCH(91, 輔助計算!$E$2:$E$801, 0)+1))="","",TRIM(INDEX(ERP資料!$E:$E, (MATCH(91, 輔助計算!$E$2:$E$801, 0)+1)))), "")</f>
        <v/>
      </c>
      <c r="E92" s="10">
        <f>IFERROR(IF(INDEX(ERP資料!$F:$F, (MATCH(91, 輔助計算!$E$2:$E$801, 0)+1))="","",INDEX(ERP資料!$F:$F, (MATCH(91, 輔助計算!$E$2:$E$801, 0)+1))), "")</f>
        <v/>
      </c>
      <c r="F92" s="10">
        <f>IFERROR(IF(INDEX(ERP資料!$G:$G, (MATCH(91, 輔助計算!$E$2:$E$801, 0)+1))="","",INDEX(ERP資料!$G:$G, (MATCH(91, 輔助計算!$E$2:$E$801, 0)+1))), "")</f>
        <v/>
      </c>
      <c r="G92" s="10">
        <f>IFERROR(IF(INDEX(ERP資料!$H:$H, (MATCH(91, 輔助計算!$E$2:$E$801, 0)+1))="","",INDEX(ERP資料!$H:$H, (MATCH(91, 輔助計算!$E$2:$E$801, 0)+1))), "")</f>
        <v/>
      </c>
      <c r="H92" s="15">
        <f>IFERROR(INDEX(輔助計算!$D:$D, (MATCH(91, 輔助計算!$E$2:$E$801, 0)+1)), "")</f>
        <v/>
      </c>
      <c r="I92" s="10">
        <f>IFERROR(IF(INDEX(ERP資料!$O:$O, (MATCH(91, 輔助計算!$E$2:$E$801, 0)+1))="","",INDEX(ERP資料!$O:$O, (MATCH(91, 輔助計算!$E$2:$E$801, 0)+1))), "")</f>
        <v/>
      </c>
      <c r="J92" s="15">
        <f>IFERROR(IF(INDEX(輔助計算!$D:$D,(MATCH(91, 輔助計算!$E$2:$E$801, 0)+1))="","",INDEX(輔助計算!$D:$D,(MATCH(91, 輔助計算!$E$2:$E$801, 0)+1))*INDEX(ERP資料!$O:$O,(MATCH(91, 輔助計算!$E$2:$E$801, 0)+1))), "")</f>
        <v/>
      </c>
      <c r="K92" s="16" t="n"/>
      <c r="L92" s="16" t="n"/>
      <c r="M92" s="17" t="n"/>
    </row>
    <row r="93">
      <c r="A93" s="14">
        <f>IFERROR(IF(INDEX(ERP資料!$B:$B, (MATCH(92, 輔助計算!$E$2:$E$801, 0)+1))="","",INDEX(ERP資料!$B:$B, (MATCH(92, 輔助計算!$E$2:$E$801, 0)+1))), "")</f>
        <v/>
      </c>
      <c r="B93" s="10">
        <f>IFERROR(IF(INDEX(ERP資料!$A:$A, (MATCH(92, 輔助計算!$E$2:$E$801, 0)+1))="","",INDEX(ERP資料!$A:$A, (MATCH(92, 輔助計算!$E$2:$E$801, 0)+1))), "")</f>
        <v/>
      </c>
      <c r="C93" s="10">
        <f>IFERROR(IF(INDEX(ERP資料!$S:$S, (MATCH(92, 輔助計算!$E$2:$E$801, 0)+1))="","",INDEX(ERP資料!$S:$S, (MATCH(92, 輔助計算!$E$2:$E$801, 0)+1))), "")</f>
        <v/>
      </c>
      <c r="D93" s="10">
        <f>IFERROR(IF(INDEX(ERP資料!$E:$E, (MATCH(92, 輔助計算!$E$2:$E$801, 0)+1))="","",TRIM(INDEX(ERP資料!$E:$E, (MATCH(92, 輔助計算!$E$2:$E$801, 0)+1)))), "")</f>
        <v/>
      </c>
      <c r="E93" s="10">
        <f>IFERROR(IF(INDEX(ERP資料!$F:$F, (MATCH(92, 輔助計算!$E$2:$E$801, 0)+1))="","",INDEX(ERP資料!$F:$F, (MATCH(92, 輔助計算!$E$2:$E$801, 0)+1))), "")</f>
        <v/>
      </c>
      <c r="F93" s="10">
        <f>IFERROR(IF(INDEX(ERP資料!$G:$G, (MATCH(92, 輔助計算!$E$2:$E$801, 0)+1))="","",INDEX(ERP資料!$G:$G, (MATCH(92, 輔助計算!$E$2:$E$801, 0)+1))), "")</f>
        <v/>
      </c>
      <c r="G93" s="10">
        <f>IFERROR(IF(INDEX(ERP資料!$H:$H, (MATCH(92, 輔助計算!$E$2:$E$801, 0)+1))="","",INDEX(ERP資料!$H:$H, (MATCH(92, 輔助計算!$E$2:$E$801, 0)+1))), "")</f>
        <v/>
      </c>
      <c r="H93" s="15">
        <f>IFERROR(INDEX(輔助計算!$D:$D, (MATCH(92, 輔助計算!$E$2:$E$801, 0)+1)), "")</f>
        <v/>
      </c>
      <c r="I93" s="10">
        <f>IFERROR(IF(INDEX(ERP資料!$O:$O, (MATCH(92, 輔助計算!$E$2:$E$801, 0)+1))="","",INDEX(ERP資料!$O:$O, (MATCH(92, 輔助計算!$E$2:$E$801, 0)+1))), "")</f>
        <v/>
      </c>
      <c r="J93" s="15">
        <f>IFERROR(IF(INDEX(輔助計算!$D:$D,(MATCH(92, 輔助計算!$E$2:$E$801, 0)+1))="","",INDEX(輔助計算!$D:$D,(MATCH(92, 輔助計算!$E$2:$E$801, 0)+1))*INDEX(ERP資料!$O:$O,(MATCH(92, 輔助計算!$E$2:$E$801, 0)+1))), "")</f>
        <v/>
      </c>
      <c r="K93" s="16" t="n"/>
      <c r="L93" s="16" t="n"/>
      <c r="M93" s="17" t="n"/>
    </row>
    <row r="94">
      <c r="A94" s="14">
        <f>IFERROR(IF(INDEX(ERP資料!$B:$B, (MATCH(93, 輔助計算!$E$2:$E$801, 0)+1))="","",INDEX(ERP資料!$B:$B, (MATCH(93, 輔助計算!$E$2:$E$801, 0)+1))), "")</f>
        <v/>
      </c>
      <c r="B94" s="10">
        <f>IFERROR(IF(INDEX(ERP資料!$A:$A, (MATCH(93, 輔助計算!$E$2:$E$801, 0)+1))="","",INDEX(ERP資料!$A:$A, (MATCH(93, 輔助計算!$E$2:$E$801, 0)+1))), "")</f>
        <v/>
      </c>
      <c r="C94" s="10">
        <f>IFERROR(IF(INDEX(ERP資料!$S:$S, (MATCH(93, 輔助計算!$E$2:$E$801, 0)+1))="","",INDEX(ERP資料!$S:$S, (MATCH(93, 輔助計算!$E$2:$E$801, 0)+1))), "")</f>
        <v/>
      </c>
      <c r="D94" s="10">
        <f>IFERROR(IF(INDEX(ERP資料!$E:$E, (MATCH(93, 輔助計算!$E$2:$E$801, 0)+1))="","",TRIM(INDEX(ERP資料!$E:$E, (MATCH(93, 輔助計算!$E$2:$E$801, 0)+1)))), "")</f>
        <v/>
      </c>
      <c r="E94" s="10">
        <f>IFERROR(IF(INDEX(ERP資料!$F:$F, (MATCH(93, 輔助計算!$E$2:$E$801, 0)+1))="","",INDEX(ERP資料!$F:$F, (MATCH(93, 輔助計算!$E$2:$E$801, 0)+1))), "")</f>
        <v/>
      </c>
      <c r="F94" s="10">
        <f>IFERROR(IF(INDEX(ERP資料!$G:$G, (MATCH(93, 輔助計算!$E$2:$E$801, 0)+1))="","",INDEX(ERP資料!$G:$G, (MATCH(93, 輔助計算!$E$2:$E$801, 0)+1))), "")</f>
        <v/>
      </c>
      <c r="G94" s="10">
        <f>IFERROR(IF(INDEX(ERP資料!$H:$H, (MATCH(93, 輔助計算!$E$2:$E$801, 0)+1))="","",INDEX(ERP資料!$H:$H, (MATCH(93, 輔助計算!$E$2:$E$801, 0)+1))), "")</f>
        <v/>
      </c>
      <c r="H94" s="15">
        <f>IFERROR(INDEX(輔助計算!$D:$D, (MATCH(93, 輔助計算!$E$2:$E$801, 0)+1)), "")</f>
        <v/>
      </c>
      <c r="I94" s="10">
        <f>IFERROR(IF(INDEX(ERP資料!$O:$O, (MATCH(93, 輔助計算!$E$2:$E$801, 0)+1))="","",INDEX(ERP資料!$O:$O, (MATCH(93, 輔助計算!$E$2:$E$801, 0)+1))), "")</f>
        <v/>
      </c>
      <c r="J94" s="15">
        <f>IFERROR(IF(INDEX(輔助計算!$D:$D,(MATCH(93, 輔助計算!$E$2:$E$801, 0)+1))="","",INDEX(輔助計算!$D:$D,(MATCH(93, 輔助計算!$E$2:$E$801, 0)+1))*INDEX(ERP資料!$O:$O,(MATCH(93, 輔助計算!$E$2:$E$801, 0)+1))), "")</f>
        <v/>
      </c>
      <c r="K94" s="16" t="n"/>
      <c r="L94" s="16" t="n"/>
      <c r="M94" s="17" t="n"/>
    </row>
    <row r="95">
      <c r="A95" s="14">
        <f>IFERROR(IF(INDEX(ERP資料!$B:$B, (MATCH(94, 輔助計算!$E$2:$E$801, 0)+1))="","",INDEX(ERP資料!$B:$B, (MATCH(94, 輔助計算!$E$2:$E$801, 0)+1))), "")</f>
        <v/>
      </c>
      <c r="B95" s="10">
        <f>IFERROR(IF(INDEX(ERP資料!$A:$A, (MATCH(94, 輔助計算!$E$2:$E$801, 0)+1))="","",INDEX(ERP資料!$A:$A, (MATCH(94, 輔助計算!$E$2:$E$801, 0)+1))), "")</f>
        <v/>
      </c>
      <c r="C95" s="10">
        <f>IFERROR(IF(INDEX(ERP資料!$S:$S, (MATCH(94, 輔助計算!$E$2:$E$801, 0)+1))="","",INDEX(ERP資料!$S:$S, (MATCH(94, 輔助計算!$E$2:$E$801, 0)+1))), "")</f>
        <v/>
      </c>
      <c r="D95" s="10">
        <f>IFERROR(IF(INDEX(ERP資料!$E:$E, (MATCH(94, 輔助計算!$E$2:$E$801, 0)+1))="","",TRIM(INDEX(ERP資料!$E:$E, (MATCH(94, 輔助計算!$E$2:$E$801, 0)+1)))), "")</f>
        <v/>
      </c>
      <c r="E95" s="10">
        <f>IFERROR(IF(INDEX(ERP資料!$F:$F, (MATCH(94, 輔助計算!$E$2:$E$801, 0)+1))="","",INDEX(ERP資料!$F:$F, (MATCH(94, 輔助計算!$E$2:$E$801, 0)+1))), "")</f>
        <v/>
      </c>
      <c r="F95" s="10">
        <f>IFERROR(IF(INDEX(ERP資料!$G:$G, (MATCH(94, 輔助計算!$E$2:$E$801, 0)+1))="","",INDEX(ERP資料!$G:$G, (MATCH(94, 輔助計算!$E$2:$E$801, 0)+1))), "")</f>
        <v/>
      </c>
      <c r="G95" s="10">
        <f>IFERROR(IF(INDEX(ERP資料!$H:$H, (MATCH(94, 輔助計算!$E$2:$E$801, 0)+1))="","",INDEX(ERP資料!$H:$H, (MATCH(94, 輔助計算!$E$2:$E$801, 0)+1))), "")</f>
        <v/>
      </c>
      <c r="H95" s="15">
        <f>IFERROR(INDEX(輔助計算!$D:$D, (MATCH(94, 輔助計算!$E$2:$E$801, 0)+1)), "")</f>
        <v/>
      </c>
      <c r="I95" s="10">
        <f>IFERROR(IF(INDEX(ERP資料!$O:$O, (MATCH(94, 輔助計算!$E$2:$E$801, 0)+1))="","",INDEX(ERP資料!$O:$O, (MATCH(94, 輔助計算!$E$2:$E$801, 0)+1))), "")</f>
        <v/>
      </c>
      <c r="J95" s="15">
        <f>IFERROR(IF(INDEX(輔助計算!$D:$D,(MATCH(94, 輔助計算!$E$2:$E$801, 0)+1))="","",INDEX(輔助計算!$D:$D,(MATCH(94, 輔助計算!$E$2:$E$801, 0)+1))*INDEX(ERP資料!$O:$O,(MATCH(94, 輔助計算!$E$2:$E$801, 0)+1))), "")</f>
        <v/>
      </c>
      <c r="K95" s="16" t="n"/>
      <c r="L95" s="16" t="n"/>
      <c r="M95" s="17" t="n"/>
    </row>
    <row r="96">
      <c r="A96" s="14">
        <f>IFERROR(IF(INDEX(ERP資料!$B:$B, (MATCH(95, 輔助計算!$E$2:$E$801, 0)+1))="","",INDEX(ERP資料!$B:$B, (MATCH(95, 輔助計算!$E$2:$E$801, 0)+1))), "")</f>
        <v/>
      </c>
      <c r="B96" s="10">
        <f>IFERROR(IF(INDEX(ERP資料!$A:$A, (MATCH(95, 輔助計算!$E$2:$E$801, 0)+1))="","",INDEX(ERP資料!$A:$A, (MATCH(95, 輔助計算!$E$2:$E$801, 0)+1))), "")</f>
        <v/>
      </c>
      <c r="C96" s="10">
        <f>IFERROR(IF(INDEX(ERP資料!$S:$S, (MATCH(95, 輔助計算!$E$2:$E$801, 0)+1))="","",INDEX(ERP資料!$S:$S, (MATCH(95, 輔助計算!$E$2:$E$801, 0)+1))), "")</f>
        <v/>
      </c>
      <c r="D96" s="10">
        <f>IFERROR(IF(INDEX(ERP資料!$E:$E, (MATCH(95, 輔助計算!$E$2:$E$801, 0)+1))="","",TRIM(INDEX(ERP資料!$E:$E, (MATCH(95, 輔助計算!$E$2:$E$801, 0)+1)))), "")</f>
        <v/>
      </c>
      <c r="E96" s="10">
        <f>IFERROR(IF(INDEX(ERP資料!$F:$F, (MATCH(95, 輔助計算!$E$2:$E$801, 0)+1))="","",INDEX(ERP資料!$F:$F, (MATCH(95, 輔助計算!$E$2:$E$801, 0)+1))), "")</f>
        <v/>
      </c>
      <c r="F96" s="10">
        <f>IFERROR(IF(INDEX(ERP資料!$G:$G, (MATCH(95, 輔助計算!$E$2:$E$801, 0)+1))="","",INDEX(ERP資料!$G:$G, (MATCH(95, 輔助計算!$E$2:$E$801, 0)+1))), "")</f>
        <v/>
      </c>
      <c r="G96" s="10">
        <f>IFERROR(IF(INDEX(ERP資料!$H:$H, (MATCH(95, 輔助計算!$E$2:$E$801, 0)+1))="","",INDEX(ERP資料!$H:$H, (MATCH(95, 輔助計算!$E$2:$E$801, 0)+1))), "")</f>
        <v/>
      </c>
      <c r="H96" s="15">
        <f>IFERROR(INDEX(輔助計算!$D:$D, (MATCH(95, 輔助計算!$E$2:$E$801, 0)+1)), "")</f>
        <v/>
      </c>
      <c r="I96" s="10">
        <f>IFERROR(IF(INDEX(ERP資料!$O:$O, (MATCH(95, 輔助計算!$E$2:$E$801, 0)+1))="","",INDEX(ERP資料!$O:$O, (MATCH(95, 輔助計算!$E$2:$E$801, 0)+1))), "")</f>
        <v/>
      </c>
      <c r="J96" s="15">
        <f>IFERROR(IF(INDEX(輔助計算!$D:$D,(MATCH(95, 輔助計算!$E$2:$E$801, 0)+1))="","",INDEX(輔助計算!$D:$D,(MATCH(95, 輔助計算!$E$2:$E$801, 0)+1))*INDEX(ERP資料!$O:$O,(MATCH(95, 輔助計算!$E$2:$E$801, 0)+1))), "")</f>
        <v/>
      </c>
      <c r="K96" s="16" t="n"/>
      <c r="L96" s="16" t="n"/>
      <c r="M96" s="17" t="n"/>
    </row>
    <row r="97">
      <c r="A97" s="14">
        <f>IFERROR(IF(INDEX(ERP資料!$B:$B, (MATCH(96, 輔助計算!$E$2:$E$801, 0)+1))="","",INDEX(ERP資料!$B:$B, (MATCH(96, 輔助計算!$E$2:$E$801, 0)+1))), "")</f>
        <v/>
      </c>
      <c r="B97" s="10">
        <f>IFERROR(IF(INDEX(ERP資料!$A:$A, (MATCH(96, 輔助計算!$E$2:$E$801, 0)+1))="","",INDEX(ERP資料!$A:$A, (MATCH(96, 輔助計算!$E$2:$E$801, 0)+1))), "")</f>
        <v/>
      </c>
      <c r="C97" s="10">
        <f>IFERROR(IF(INDEX(ERP資料!$S:$S, (MATCH(96, 輔助計算!$E$2:$E$801, 0)+1))="","",INDEX(ERP資料!$S:$S, (MATCH(96, 輔助計算!$E$2:$E$801, 0)+1))), "")</f>
        <v/>
      </c>
      <c r="D97" s="10">
        <f>IFERROR(IF(INDEX(ERP資料!$E:$E, (MATCH(96, 輔助計算!$E$2:$E$801, 0)+1))="","",TRIM(INDEX(ERP資料!$E:$E, (MATCH(96, 輔助計算!$E$2:$E$801, 0)+1)))), "")</f>
        <v/>
      </c>
      <c r="E97" s="10">
        <f>IFERROR(IF(INDEX(ERP資料!$F:$F, (MATCH(96, 輔助計算!$E$2:$E$801, 0)+1))="","",INDEX(ERP資料!$F:$F, (MATCH(96, 輔助計算!$E$2:$E$801, 0)+1))), "")</f>
        <v/>
      </c>
      <c r="F97" s="10">
        <f>IFERROR(IF(INDEX(ERP資料!$G:$G, (MATCH(96, 輔助計算!$E$2:$E$801, 0)+1))="","",INDEX(ERP資料!$G:$G, (MATCH(96, 輔助計算!$E$2:$E$801, 0)+1))), "")</f>
        <v/>
      </c>
      <c r="G97" s="10">
        <f>IFERROR(IF(INDEX(ERP資料!$H:$H, (MATCH(96, 輔助計算!$E$2:$E$801, 0)+1))="","",INDEX(ERP資料!$H:$H, (MATCH(96, 輔助計算!$E$2:$E$801, 0)+1))), "")</f>
        <v/>
      </c>
      <c r="H97" s="15">
        <f>IFERROR(INDEX(輔助計算!$D:$D, (MATCH(96, 輔助計算!$E$2:$E$801, 0)+1)), "")</f>
        <v/>
      </c>
      <c r="I97" s="10">
        <f>IFERROR(IF(INDEX(ERP資料!$O:$O, (MATCH(96, 輔助計算!$E$2:$E$801, 0)+1))="","",INDEX(ERP資料!$O:$O, (MATCH(96, 輔助計算!$E$2:$E$801, 0)+1))), "")</f>
        <v/>
      </c>
      <c r="J97" s="15">
        <f>IFERROR(IF(INDEX(輔助計算!$D:$D,(MATCH(96, 輔助計算!$E$2:$E$801, 0)+1))="","",INDEX(輔助計算!$D:$D,(MATCH(96, 輔助計算!$E$2:$E$801, 0)+1))*INDEX(ERP資料!$O:$O,(MATCH(96, 輔助計算!$E$2:$E$801, 0)+1))), "")</f>
        <v/>
      </c>
      <c r="K97" s="16" t="n"/>
      <c r="L97" s="16" t="n"/>
      <c r="M97" s="17" t="n"/>
    </row>
    <row r="98">
      <c r="A98" s="14">
        <f>IFERROR(IF(INDEX(ERP資料!$B:$B, (MATCH(97, 輔助計算!$E$2:$E$801, 0)+1))="","",INDEX(ERP資料!$B:$B, (MATCH(97, 輔助計算!$E$2:$E$801, 0)+1))), "")</f>
        <v/>
      </c>
      <c r="B98" s="10">
        <f>IFERROR(IF(INDEX(ERP資料!$A:$A, (MATCH(97, 輔助計算!$E$2:$E$801, 0)+1))="","",INDEX(ERP資料!$A:$A, (MATCH(97, 輔助計算!$E$2:$E$801, 0)+1))), "")</f>
        <v/>
      </c>
      <c r="C98" s="10">
        <f>IFERROR(IF(INDEX(ERP資料!$S:$S, (MATCH(97, 輔助計算!$E$2:$E$801, 0)+1))="","",INDEX(ERP資料!$S:$S, (MATCH(97, 輔助計算!$E$2:$E$801, 0)+1))), "")</f>
        <v/>
      </c>
      <c r="D98" s="10">
        <f>IFERROR(IF(INDEX(ERP資料!$E:$E, (MATCH(97, 輔助計算!$E$2:$E$801, 0)+1))="","",TRIM(INDEX(ERP資料!$E:$E, (MATCH(97, 輔助計算!$E$2:$E$801, 0)+1)))), "")</f>
        <v/>
      </c>
      <c r="E98" s="10">
        <f>IFERROR(IF(INDEX(ERP資料!$F:$F, (MATCH(97, 輔助計算!$E$2:$E$801, 0)+1))="","",INDEX(ERP資料!$F:$F, (MATCH(97, 輔助計算!$E$2:$E$801, 0)+1))), "")</f>
        <v/>
      </c>
      <c r="F98" s="10">
        <f>IFERROR(IF(INDEX(ERP資料!$G:$G, (MATCH(97, 輔助計算!$E$2:$E$801, 0)+1))="","",INDEX(ERP資料!$G:$G, (MATCH(97, 輔助計算!$E$2:$E$801, 0)+1))), "")</f>
        <v/>
      </c>
      <c r="G98" s="10">
        <f>IFERROR(IF(INDEX(ERP資料!$H:$H, (MATCH(97, 輔助計算!$E$2:$E$801, 0)+1))="","",INDEX(ERP資料!$H:$H, (MATCH(97, 輔助計算!$E$2:$E$801, 0)+1))), "")</f>
        <v/>
      </c>
      <c r="H98" s="15">
        <f>IFERROR(INDEX(輔助計算!$D:$D, (MATCH(97, 輔助計算!$E$2:$E$801, 0)+1)), "")</f>
        <v/>
      </c>
      <c r="I98" s="10">
        <f>IFERROR(IF(INDEX(ERP資料!$O:$O, (MATCH(97, 輔助計算!$E$2:$E$801, 0)+1))="","",INDEX(ERP資料!$O:$O, (MATCH(97, 輔助計算!$E$2:$E$801, 0)+1))), "")</f>
        <v/>
      </c>
      <c r="J98" s="15">
        <f>IFERROR(IF(INDEX(輔助計算!$D:$D,(MATCH(97, 輔助計算!$E$2:$E$801, 0)+1))="","",INDEX(輔助計算!$D:$D,(MATCH(97, 輔助計算!$E$2:$E$801, 0)+1))*INDEX(ERP資料!$O:$O,(MATCH(97, 輔助計算!$E$2:$E$801, 0)+1))), "")</f>
        <v/>
      </c>
      <c r="K98" s="16" t="n"/>
      <c r="L98" s="16" t="n"/>
      <c r="M98" s="17" t="n"/>
    </row>
    <row r="99">
      <c r="A99" s="14">
        <f>IFERROR(IF(INDEX(ERP資料!$B:$B, (MATCH(98, 輔助計算!$E$2:$E$801, 0)+1))="","",INDEX(ERP資料!$B:$B, (MATCH(98, 輔助計算!$E$2:$E$801, 0)+1))), "")</f>
        <v/>
      </c>
      <c r="B99" s="10">
        <f>IFERROR(IF(INDEX(ERP資料!$A:$A, (MATCH(98, 輔助計算!$E$2:$E$801, 0)+1))="","",INDEX(ERP資料!$A:$A, (MATCH(98, 輔助計算!$E$2:$E$801, 0)+1))), "")</f>
        <v/>
      </c>
      <c r="C99" s="10">
        <f>IFERROR(IF(INDEX(ERP資料!$S:$S, (MATCH(98, 輔助計算!$E$2:$E$801, 0)+1))="","",INDEX(ERP資料!$S:$S, (MATCH(98, 輔助計算!$E$2:$E$801, 0)+1))), "")</f>
        <v/>
      </c>
      <c r="D99" s="10">
        <f>IFERROR(IF(INDEX(ERP資料!$E:$E, (MATCH(98, 輔助計算!$E$2:$E$801, 0)+1))="","",TRIM(INDEX(ERP資料!$E:$E, (MATCH(98, 輔助計算!$E$2:$E$801, 0)+1)))), "")</f>
        <v/>
      </c>
      <c r="E99" s="10">
        <f>IFERROR(IF(INDEX(ERP資料!$F:$F, (MATCH(98, 輔助計算!$E$2:$E$801, 0)+1))="","",INDEX(ERP資料!$F:$F, (MATCH(98, 輔助計算!$E$2:$E$801, 0)+1))), "")</f>
        <v/>
      </c>
      <c r="F99" s="10">
        <f>IFERROR(IF(INDEX(ERP資料!$G:$G, (MATCH(98, 輔助計算!$E$2:$E$801, 0)+1))="","",INDEX(ERP資料!$G:$G, (MATCH(98, 輔助計算!$E$2:$E$801, 0)+1))), "")</f>
        <v/>
      </c>
      <c r="G99" s="10">
        <f>IFERROR(IF(INDEX(ERP資料!$H:$H, (MATCH(98, 輔助計算!$E$2:$E$801, 0)+1))="","",INDEX(ERP資料!$H:$H, (MATCH(98, 輔助計算!$E$2:$E$801, 0)+1))), "")</f>
        <v/>
      </c>
      <c r="H99" s="15">
        <f>IFERROR(INDEX(輔助計算!$D:$D, (MATCH(98, 輔助計算!$E$2:$E$801, 0)+1)), "")</f>
        <v/>
      </c>
      <c r="I99" s="10">
        <f>IFERROR(IF(INDEX(ERP資料!$O:$O, (MATCH(98, 輔助計算!$E$2:$E$801, 0)+1))="","",INDEX(ERP資料!$O:$O, (MATCH(98, 輔助計算!$E$2:$E$801, 0)+1))), "")</f>
        <v/>
      </c>
      <c r="J99" s="15">
        <f>IFERROR(IF(INDEX(輔助計算!$D:$D,(MATCH(98, 輔助計算!$E$2:$E$801, 0)+1))="","",INDEX(輔助計算!$D:$D,(MATCH(98, 輔助計算!$E$2:$E$801, 0)+1))*INDEX(ERP資料!$O:$O,(MATCH(98, 輔助計算!$E$2:$E$801, 0)+1))), "")</f>
        <v/>
      </c>
      <c r="K99" s="16" t="n"/>
      <c r="L99" s="16" t="n"/>
      <c r="M99" s="17" t="n"/>
    </row>
    <row r="100">
      <c r="A100" s="14">
        <f>IFERROR(IF(INDEX(ERP資料!$B:$B, (MATCH(99, 輔助計算!$E$2:$E$801, 0)+1))="","",INDEX(ERP資料!$B:$B, (MATCH(99, 輔助計算!$E$2:$E$801, 0)+1))), "")</f>
        <v/>
      </c>
      <c r="B100" s="10">
        <f>IFERROR(IF(INDEX(ERP資料!$A:$A, (MATCH(99, 輔助計算!$E$2:$E$801, 0)+1))="","",INDEX(ERP資料!$A:$A, (MATCH(99, 輔助計算!$E$2:$E$801, 0)+1))), "")</f>
        <v/>
      </c>
      <c r="C100" s="10">
        <f>IFERROR(IF(INDEX(ERP資料!$S:$S, (MATCH(99, 輔助計算!$E$2:$E$801, 0)+1))="","",INDEX(ERP資料!$S:$S, (MATCH(99, 輔助計算!$E$2:$E$801, 0)+1))), "")</f>
        <v/>
      </c>
      <c r="D100" s="10">
        <f>IFERROR(IF(INDEX(ERP資料!$E:$E, (MATCH(99, 輔助計算!$E$2:$E$801, 0)+1))="","",TRIM(INDEX(ERP資料!$E:$E, (MATCH(99, 輔助計算!$E$2:$E$801, 0)+1)))), "")</f>
        <v/>
      </c>
      <c r="E100" s="10">
        <f>IFERROR(IF(INDEX(ERP資料!$F:$F, (MATCH(99, 輔助計算!$E$2:$E$801, 0)+1))="","",INDEX(ERP資料!$F:$F, (MATCH(99, 輔助計算!$E$2:$E$801, 0)+1))), "")</f>
        <v/>
      </c>
      <c r="F100" s="10">
        <f>IFERROR(IF(INDEX(ERP資料!$G:$G, (MATCH(99, 輔助計算!$E$2:$E$801, 0)+1))="","",INDEX(ERP資料!$G:$G, (MATCH(99, 輔助計算!$E$2:$E$801, 0)+1))), "")</f>
        <v/>
      </c>
      <c r="G100" s="10">
        <f>IFERROR(IF(INDEX(ERP資料!$H:$H, (MATCH(99, 輔助計算!$E$2:$E$801, 0)+1))="","",INDEX(ERP資料!$H:$H, (MATCH(99, 輔助計算!$E$2:$E$801, 0)+1))), "")</f>
        <v/>
      </c>
      <c r="H100" s="15">
        <f>IFERROR(INDEX(輔助計算!$D:$D, (MATCH(99, 輔助計算!$E$2:$E$801, 0)+1)), "")</f>
        <v/>
      </c>
      <c r="I100" s="10">
        <f>IFERROR(IF(INDEX(ERP資料!$O:$O, (MATCH(99, 輔助計算!$E$2:$E$801, 0)+1))="","",INDEX(ERP資料!$O:$O, (MATCH(99, 輔助計算!$E$2:$E$801, 0)+1))), "")</f>
        <v/>
      </c>
      <c r="J100" s="15">
        <f>IFERROR(IF(INDEX(輔助計算!$D:$D,(MATCH(99, 輔助計算!$E$2:$E$801, 0)+1))="","",INDEX(輔助計算!$D:$D,(MATCH(99, 輔助計算!$E$2:$E$801, 0)+1))*INDEX(ERP資料!$O:$O,(MATCH(99, 輔助計算!$E$2:$E$801, 0)+1))), "")</f>
        <v/>
      </c>
      <c r="K100" s="16" t="n"/>
      <c r="L100" s="16" t="n"/>
      <c r="M100" s="17" t="n"/>
    </row>
    <row r="101">
      <c r="A101" s="14">
        <f>IFERROR(IF(INDEX(ERP資料!$B:$B, (MATCH(100, 輔助計算!$E$2:$E$801, 0)+1))="","",INDEX(ERP資料!$B:$B, (MATCH(100, 輔助計算!$E$2:$E$801, 0)+1))), "")</f>
        <v/>
      </c>
      <c r="B101" s="10">
        <f>IFERROR(IF(INDEX(ERP資料!$A:$A, (MATCH(100, 輔助計算!$E$2:$E$801, 0)+1))="","",INDEX(ERP資料!$A:$A, (MATCH(100, 輔助計算!$E$2:$E$801, 0)+1))), "")</f>
        <v/>
      </c>
      <c r="C101" s="10">
        <f>IFERROR(IF(INDEX(ERP資料!$S:$S, (MATCH(100, 輔助計算!$E$2:$E$801, 0)+1))="","",INDEX(ERP資料!$S:$S, (MATCH(100, 輔助計算!$E$2:$E$801, 0)+1))), "")</f>
        <v/>
      </c>
      <c r="D101" s="10">
        <f>IFERROR(IF(INDEX(ERP資料!$E:$E, (MATCH(100, 輔助計算!$E$2:$E$801, 0)+1))="","",TRIM(INDEX(ERP資料!$E:$E, (MATCH(100, 輔助計算!$E$2:$E$801, 0)+1)))), "")</f>
        <v/>
      </c>
      <c r="E101" s="10">
        <f>IFERROR(IF(INDEX(ERP資料!$F:$F, (MATCH(100, 輔助計算!$E$2:$E$801, 0)+1))="","",INDEX(ERP資料!$F:$F, (MATCH(100, 輔助計算!$E$2:$E$801, 0)+1))), "")</f>
        <v/>
      </c>
      <c r="F101" s="10">
        <f>IFERROR(IF(INDEX(ERP資料!$G:$G, (MATCH(100, 輔助計算!$E$2:$E$801, 0)+1))="","",INDEX(ERP資料!$G:$G, (MATCH(100, 輔助計算!$E$2:$E$801, 0)+1))), "")</f>
        <v/>
      </c>
      <c r="G101" s="10">
        <f>IFERROR(IF(INDEX(ERP資料!$H:$H, (MATCH(100, 輔助計算!$E$2:$E$801, 0)+1))="","",INDEX(ERP資料!$H:$H, (MATCH(100, 輔助計算!$E$2:$E$801, 0)+1))), "")</f>
        <v/>
      </c>
      <c r="H101" s="15">
        <f>IFERROR(INDEX(輔助計算!$D:$D, (MATCH(100, 輔助計算!$E$2:$E$801, 0)+1)), "")</f>
        <v/>
      </c>
      <c r="I101" s="10">
        <f>IFERROR(IF(INDEX(ERP資料!$O:$O, (MATCH(100, 輔助計算!$E$2:$E$801, 0)+1))="","",INDEX(ERP資料!$O:$O, (MATCH(100, 輔助計算!$E$2:$E$801, 0)+1))), "")</f>
        <v/>
      </c>
      <c r="J101" s="15">
        <f>IFERROR(IF(INDEX(輔助計算!$D:$D,(MATCH(100, 輔助計算!$E$2:$E$801, 0)+1))="","",INDEX(輔助計算!$D:$D,(MATCH(100, 輔助計算!$E$2:$E$801, 0)+1))*INDEX(ERP資料!$O:$O,(MATCH(100, 輔助計算!$E$2:$E$801, 0)+1))), "")</f>
        <v/>
      </c>
      <c r="K101" s="16" t="n"/>
      <c r="L101" s="16" t="n"/>
      <c r="M101" s="17" t="n"/>
    </row>
    <row r="102">
      <c r="A102" s="14">
        <f>IFERROR(IF(INDEX(ERP資料!$B:$B, (MATCH(101, 輔助計算!$E$2:$E$801, 0)+1))="","",INDEX(ERP資料!$B:$B, (MATCH(101, 輔助計算!$E$2:$E$801, 0)+1))), "")</f>
        <v/>
      </c>
      <c r="B102" s="10">
        <f>IFERROR(IF(INDEX(ERP資料!$A:$A, (MATCH(101, 輔助計算!$E$2:$E$801, 0)+1))="","",INDEX(ERP資料!$A:$A, (MATCH(101, 輔助計算!$E$2:$E$801, 0)+1))), "")</f>
        <v/>
      </c>
      <c r="C102" s="10">
        <f>IFERROR(IF(INDEX(ERP資料!$S:$S, (MATCH(101, 輔助計算!$E$2:$E$801, 0)+1))="","",INDEX(ERP資料!$S:$S, (MATCH(101, 輔助計算!$E$2:$E$801, 0)+1))), "")</f>
        <v/>
      </c>
      <c r="D102" s="10">
        <f>IFERROR(IF(INDEX(ERP資料!$E:$E, (MATCH(101, 輔助計算!$E$2:$E$801, 0)+1))="","",TRIM(INDEX(ERP資料!$E:$E, (MATCH(101, 輔助計算!$E$2:$E$801, 0)+1)))), "")</f>
        <v/>
      </c>
      <c r="E102" s="10">
        <f>IFERROR(IF(INDEX(ERP資料!$F:$F, (MATCH(101, 輔助計算!$E$2:$E$801, 0)+1))="","",INDEX(ERP資料!$F:$F, (MATCH(101, 輔助計算!$E$2:$E$801, 0)+1))), "")</f>
        <v/>
      </c>
      <c r="F102" s="10">
        <f>IFERROR(IF(INDEX(ERP資料!$G:$G, (MATCH(101, 輔助計算!$E$2:$E$801, 0)+1))="","",INDEX(ERP資料!$G:$G, (MATCH(101, 輔助計算!$E$2:$E$801, 0)+1))), "")</f>
        <v/>
      </c>
      <c r="G102" s="10">
        <f>IFERROR(IF(INDEX(ERP資料!$H:$H, (MATCH(101, 輔助計算!$E$2:$E$801, 0)+1))="","",INDEX(ERP資料!$H:$H, (MATCH(101, 輔助計算!$E$2:$E$801, 0)+1))), "")</f>
        <v/>
      </c>
      <c r="H102" s="15">
        <f>IFERROR(INDEX(輔助計算!$D:$D, (MATCH(101, 輔助計算!$E$2:$E$801, 0)+1)), "")</f>
        <v/>
      </c>
      <c r="I102" s="10">
        <f>IFERROR(IF(INDEX(ERP資料!$O:$O, (MATCH(101, 輔助計算!$E$2:$E$801, 0)+1))="","",INDEX(ERP資料!$O:$O, (MATCH(101, 輔助計算!$E$2:$E$801, 0)+1))), "")</f>
        <v/>
      </c>
      <c r="J102" s="15">
        <f>IFERROR(IF(INDEX(輔助計算!$D:$D,(MATCH(101, 輔助計算!$E$2:$E$801, 0)+1))="","",INDEX(輔助計算!$D:$D,(MATCH(101, 輔助計算!$E$2:$E$801, 0)+1))*INDEX(ERP資料!$O:$O,(MATCH(101, 輔助計算!$E$2:$E$801, 0)+1))), "")</f>
        <v/>
      </c>
      <c r="K102" s="16" t="n"/>
      <c r="L102" s="16" t="n"/>
      <c r="M102" s="17" t="n"/>
    </row>
    <row r="103">
      <c r="A103" s="14">
        <f>IFERROR(IF(INDEX(ERP資料!$B:$B, (MATCH(102, 輔助計算!$E$2:$E$801, 0)+1))="","",INDEX(ERP資料!$B:$B, (MATCH(102, 輔助計算!$E$2:$E$801, 0)+1))), "")</f>
        <v/>
      </c>
      <c r="B103" s="10">
        <f>IFERROR(IF(INDEX(ERP資料!$A:$A, (MATCH(102, 輔助計算!$E$2:$E$801, 0)+1))="","",INDEX(ERP資料!$A:$A, (MATCH(102, 輔助計算!$E$2:$E$801, 0)+1))), "")</f>
        <v/>
      </c>
      <c r="C103" s="10">
        <f>IFERROR(IF(INDEX(ERP資料!$S:$S, (MATCH(102, 輔助計算!$E$2:$E$801, 0)+1))="","",INDEX(ERP資料!$S:$S, (MATCH(102, 輔助計算!$E$2:$E$801, 0)+1))), "")</f>
        <v/>
      </c>
      <c r="D103" s="10">
        <f>IFERROR(IF(INDEX(ERP資料!$E:$E, (MATCH(102, 輔助計算!$E$2:$E$801, 0)+1))="","",TRIM(INDEX(ERP資料!$E:$E, (MATCH(102, 輔助計算!$E$2:$E$801, 0)+1)))), "")</f>
        <v/>
      </c>
      <c r="E103" s="10">
        <f>IFERROR(IF(INDEX(ERP資料!$F:$F, (MATCH(102, 輔助計算!$E$2:$E$801, 0)+1))="","",INDEX(ERP資料!$F:$F, (MATCH(102, 輔助計算!$E$2:$E$801, 0)+1))), "")</f>
        <v/>
      </c>
      <c r="F103" s="10">
        <f>IFERROR(IF(INDEX(ERP資料!$G:$G, (MATCH(102, 輔助計算!$E$2:$E$801, 0)+1))="","",INDEX(ERP資料!$G:$G, (MATCH(102, 輔助計算!$E$2:$E$801, 0)+1))), "")</f>
        <v/>
      </c>
      <c r="G103" s="10">
        <f>IFERROR(IF(INDEX(ERP資料!$H:$H, (MATCH(102, 輔助計算!$E$2:$E$801, 0)+1))="","",INDEX(ERP資料!$H:$H, (MATCH(102, 輔助計算!$E$2:$E$801, 0)+1))), "")</f>
        <v/>
      </c>
      <c r="H103" s="15">
        <f>IFERROR(INDEX(輔助計算!$D:$D, (MATCH(102, 輔助計算!$E$2:$E$801, 0)+1)), "")</f>
        <v/>
      </c>
      <c r="I103" s="10">
        <f>IFERROR(IF(INDEX(ERP資料!$O:$O, (MATCH(102, 輔助計算!$E$2:$E$801, 0)+1))="","",INDEX(ERP資料!$O:$O, (MATCH(102, 輔助計算!$E$2:$E$801, 0)+1))), "")</f>
        <v/>
      </c>
      <c r="J103" s="15">
        <f>IFERROR(IF(INDEX(輔助計算!$D:$D,(MATCH(102, 輔助計算!$E$2:$E$801, 0)+1))="","",INDEX(輔助計算!$D:$D,(MATCH(102, 輔助計算!$E$2:$E$801, 0)+1))*INDEX(ERP資料!$O:$O,(MATCH(102, 輔助計算!$E$2:$E$801, 0)+1))), "")</f>
        <v/>
      </c>
      <c r="K103" s="16" t="n"/>
      <c r="L103" s="16" t="n"/>
      <c r="M103" s="17" t="n"/>
    </row>
    <row r="104">
      <c r="A104" s="14">
        <f>IFERROR(IF(INDEX(ERP資料!$B:$B, (MATCH(103, 輔助計算!$E$2:$E$801, 0)+1))="","",INDEX(ERP資料!$B:$B, (MATCH(103, 輔助計算!$E$2:$E$801, 0)+1))), "")</f>
        <v/>
      </c>
      <c r="B104" s="10">
        <f>IFERROR(IF(INDEX(ERP資料!$A:$A, (MATCH(103, 輔助計算!$E$2:$E$801, 0)+1))="","",INDEX(ERP資料!$A:$A, (MATCH(103, 輔助計算!$E$2:$E$801, 0)+1))), "")</f>
        <v/>
      </c>
      <c r="C104" s="10">
        <f>IFERROR(IF(INDEX(ERP資料!$S:$S, (MATCH(103, 輔助計算!$E$2:$E$801, 0)+1))="","",INDEX(ERP資料!$S:$S, (MATCH(103, 輔助計算!$E$2:$E$801, 0)+1))), "")</f>
        <v/>
      </c>
      <c r="D104" s="10">
        <f>IFERROR(IF(INDEX(ERP資料!$E:$E, (MATCH(103, 輔助計算!$E$2:$E$801, 0)+1))="","",TRIM(INDEX(ERP資料!$E:$E, (MATCH(103, 輔助計算!$E$2:$E$801, 0)+1)))), "")</f>
        <v/>
      </c>
      <c r="E104" s="10">
        <f>IFERROR(IF(INDEX(ERP資料!$F:$F, (MATCH(103, 輔助計算!$E$2:$E$801, 0)+1))="","",INDEX(ERP資料!$F:$F, (MATCH(103, 輔助計算!$E$2:$E$801, 0)+1))), "")</f>
        <v/>
      </c>
      <c r="F104" s="10">
        <f>IFERROR(IF(INDEX(ERP資料!$G:$G, (MATCH(103, 輔助計算!$E$2:$E$801, 0)+1))="","",INDEX(ERP資料!$G:$G, (MATCH(103, 輔助計算!$E$2:$E$801, 0)+1))), "")</f>
        <v/>
      </c>
      <c r="G104" s="10">
        <f>IFERROR(IF(INDEX(ERP資料!$H:$H, (MATCH(103, 輔助計算!$E$2:$E$801, 0)+1))="","",INDEX(ERP資料!$H:$H, (MATCH(103, 輔助計算!$E$2:$E$801, 0)+1))), "")</f>
        <v/>
      </c>
      <c r="H104" s="15">
        <f>IFERROR(INDEX(輔助計算!$D:$D, (MATCH(103, 輔助計算!$E$2:$E$801, 0)+1)), "")</f>
        <v/>
      </c>
      <c r="I104" s="10">
        <f>IFERROR(IF(INDEX(ERP資料!$O:$O, (MATCH(103, 輔助計算!$E$2:$E$801, 0)+1))="","",INDEX(ERP資料!$O:$O, (MATCH(103, 輔助計算!$E$2:$E$801, 0)+1))), "")</f>
        <v/>
      </c>
      <c r="J104" s="15">
        <f>IFERROR(IF(INDEX(輔助計算!$D:$D,(MATCH(103, 輔助計算!$E$2:$E$801, 0)+1))="","",INDEX(輔助計算!$D:$D,(MATCH(103, 輔助計算!$E$2:$E$801, 0)+1))*INDEX(ERP資料!$O:$O,(MATCH(103, 輔助計算!$E$2:$E$801, 0)+1))), "")</f>
        <v/>
      </c>
      <c r="K104" s="16" t="n"/>
      <c r="L104" s="16" t="n"/>
      <c r="M104" s="17" t="n"/>
    </row>
    <row r="105">
      <c r="A105" s="14">
        <f>IFERROR(IF(INDEX(ERP資料!$B:$B, (MATCH(104, 輔助計算!$E$2:$E$801, 0)+1))="","",INDEX(ERP資料!$B:$B, (MATCH(104, 輔助計算!$E$2:$E$801, 0)+1))), "")</f>
        <v/>
      </c>
      <c r="B105" s="10">
        <f>IFERROR(IF(INDEX(ERP資料!$A:$A, (MATCH(104, 輔助計算!$E$2:$E$801, 0)+1))="","",INDEX(ERP資料!$A:$A, (MATCH(104, 輔助計算!$E$2:$E$801, 0)+1))), "")</f>
        <v/>
      </c>
      <c r="C105" s="10">
        <f>IFERROR(IF(INDEX(ERP資料!$S:$S, (MATCH(104, 輔助計算!$E$2:$E$801, 0)+1))="","",INDEX(ERP資料!$S:$S, (MATCH(104, 輔助計算!$E$2:$E$801, 0)+1))), "")</f>
        <v/>
      </c>
      <c r="D105" s="10">
        <f>IFERROR(IF(INDEX(ERP資料!$E:$E, (MATCH(104, 輔助計算!$E$2:$E$801, 0)+1))="","",TRIM(INDEX(ERP資料!$E:$E, (MATCH(104, 輔助計算!$E$2:$E$801, 0)+1)))), "")</f>
        <v/>
      </c>
      <c r="E105" s="10">
        <f>IFERROR(IF(INDEX(ERP資料!$F:$F, (MATCH(104, 輔助計算!$E$2:$E$801, 0)+1))="","",INDEX(ERP資料!$F:$F, (MATCH(104, 輔助計算!$E$2:$E$801, 0)+1))), "")</f>
        <v/>
      </c>
      <c r="F105" s="10">
        <f>IFERROR(IF(INDEX(ERP資料!$G:$G, (MATCH(104, 輔助計算!$E$2:$E$801, 0)+1))="","",INDEX(ERP資料!$G:$G, (MATCH(104, 輔助計算!$E$2:$E$801, 0)+1))), "")</f>
        <v/>
      </c>
      <c r="G105" s="10">
        <f>IFERROR(IF(INDEX(ERP資料!$H:$H, (MATCH(104, 輔助計算!$E$2:$E$801, 0)+1))="","",INDEX(ERP資料!$H:$H, (MATCH(104, 輔助計算!$E$2:$E$801, 0)+1))), "")</f>
        <v/>
      </c>
      <c r="H105" s="15">
        <f>IFERROR(INDEX(輔助計算!$D:$D, (MATCH(104, 輔助計算!$E$2:$E$801, 0)+1)), "")</f>
        <v/>
      </c>
      <c r="I105" s="10">
        <f>IFERROR(IF(INDEX(ERP資料!$O:$O, (MATCH(104, 輔助計算!$E$2:$E$801, 0)+1))="","",INDEX(ERP資料!$O:$O, (MATCH(104, 輔助計算!$E$2:$E$801, 0)+1))), "")</f>
        <v/>
      </c>
      <c r="J105" s="15">
        <f>IFERROR(IF(INDEX(輔助計算!$D:$D,(MATCH(104, 輔助計算!$E$2:$E$801, 0)+1))="","",INDEX(輔助計算!$D:$D,(MATCH(104, 輔助計算!$E$2:$E$801, 0)+1))*INDEX(ERP資料!$O:$O,(MATCH(104, 輔助計算!$E$2:$E$801, 0)+1))), "")</f>
        <v/>
      </c>
      <c r="K105" s="16" t="n"/>
      <c r="L105" s="16" t="n"/>
      <c r="M105" s="17" t="n"/>
    </row>
    <row r="106">
      <c r="A106" s="14">
        <f>IFERROR(IF(INDEX(ERP資料!$B:$B, (MATCH(105, 輔助計算!$E$2:$E$801, 0)+1))="","",INDEX(ERP資料!$B:$B, (MATCH(105, 輔助計算!$E$2:$E$801, 0)+1))), "")</f>
        <v/>
      </c>
      <c r="B106" s="10">
        <f>IFERROR(IF(INDEX(ERP資料!$A:$A, (MATCH(105, 輔助計算!$E$2:$E$801, 0)+1))="","",INDEX(ERP資料!$A:$A, (MATCH(105, 輔助計算!$E$2:$E$801, 0)+1))), "")</f>
        <v/>
      </c>
      <c r="C106" s="10">
        <f>IFERROR(IF(INDEX(ERP資料!$S:$S, (MATCH(105, 輔助計算!$E$2:$E$801, 0)+1))="","",INDEX(ERP資料!$S:$S, (MATCH(105, 輔助計算!$E$2:$E$801, 0)+1))), "")</f>
        <v/>
      </c>
      <c r="D106" s="10">
        <f>IFERROR(IF(INDEX(ERP資料!$E:$E, (MATCH(105, 輔助計算!$E$2:$E$801, 0)+1))="","",TRIM(INDEX(ERP資料!$E:$E, (MATCH(105, 輔助計算!$E$2:$E$801, 0)+1)))), "")</f>
        <v/>
      </c>
      <c r="E106" s="10">
        <f>IFERROR(IF(INDEX(ERP資料!$F:$F, (MATCH(105, 輔助計算!$E$2:$E$801, 0)+1))="","",INDEX(ERP資料!$F:$F, (MATCH(105, 輔助計算!$E$2:$E$801, 0)+1))), "")</f>
        <v/>
      </c>
      <c r="F106" s="10">
        <f>IFERROR(IF(INDEX(ERP資料!$G:$G, (MATCH(105, 輔助計算!$E$2:$E$801, 0)+1))="","",INDEX(ERP資料!$G:$G, (MATCH(105, 輔助計算!$E$2:$E$801, 0)+1))), "")</f>
        <v/>
      </c>
      <c r="G106" s="10">
        <f>IFERROR(IF(INDEX(ERP資料!$H:$H, (MATCH(105, 輔助計算!$E$2:$E$801, 0)+1))="","",INDEX(ERP資料!$H:$H, (MATCH(105, 輔助計算!$E$2:$E$801, 0)+1))), "")</f>
        <v/>
      </c>
      <c r="H106" s="15">
        <f>IFERROR(INDEX(輔助計算!$D:$D, (MATCH(105, 輔助計算!$E$2:$E$801, 0)+1)), "")</f>
        <v/>
      </c>
      <c r="I106" s="10">
        <f>IFERROR(IF(INDEX(ERP資料!$O:$O, (MATCH(105, 輔助計算!$E$2:$E$801, 0)+1))="","",INDEX(ERP資料!$O:$O, (MATCH(105, 輔助計算!$E$2:$E$801, 0)+1))), "")</f>
        <v/>
      </c>
      <c r="J106" s="15">
        <f>IFERROR(IF(INDEX(輔助計算!$D:$D,(MATCH(105, 輔助計算!$E$2:$E$801, 0)+1))="","",INDEX(輔助計算!$D:$D,(MATCH(105, 輔助計算!$E$2:$E$801, 0)+1))*INDEX(ERP資料!$O:$O,(MATCH(105, 輔助計算!$E$2:$E$801, 0)+1))), "")</f>
        <v/>
      </c>
      <c r="K106" s="16" t="n"/>
      <c r="L106" s="16" t="n"/>
      <c r="M106" s="17" t="n"/>
    </row>
    <row r="107">
      <c r="A107" s="14">
        <f>IFERROR(IF(INDEX(ERP資料!$B:$B, (MATCH(106, 輔助計算!$E$2:$E$801, 0)+1))="","",INDEX(ERP資料!$B:$B, (MATCH(106, 輔助計算!$E$2:$E$801, 0)+1))), "")</f>
        <v/>
      </c>
      <c r="B107" s="10">
        <f>IFERROR(IF(INDEX(ERP資料!$A:$A, (MATCH(106, 輔助計算!$E$2:$E$801, 0)+1))="","",INDEX(ERP資料!$A:$A, (MATCH(106, 輔助計算!$E$2:$E$801, 0)+1))), "")</f>
        <v/>
      </c>
      <c r="C107" s="10">
        <f>IFERROR(IF(INDEX(ERP資料!$S:$S, (MATCH(106, 輔助計算!$E$2:$E$801, 0)+1))="","",INDEX(ERP資料!$S:$S, (MATCH(106, 輔助計算!$E$2:$E$801, 0)+1))), "")</f>
        <v/>
      </c>
      <c r="D107" s="10">
        <f>IFERROR(IF(INDEX(ERP資料!$E:$E, (MATCH(106, 輔助計算!$E$2:$E$801, 0)+1))="","",TRIM(INDEX(ERP資料!$E:$E, (MATCH(106, 輔助計算!$E$2:$E$801, 0)+1)))), "")</f>
        <v/>
      </c>
      <c r="E107" s="10">
        <f>IFERROR(IF(INDEX(ERP資料!$F:$F, (MATCH(106, 輔助計算!$E$2:$E$801, 0)+1))="","",INDEX(ERP資料!$F:$F, (MATCH(106, 輔助計算!$E$2:$E$801, 0)+1))), "")</f>
        <v/>
      </c>
      <c r="F107" s="10">
        <f>IFERROR(IF(INDEX(ERP資料!$G:$G, (MATCH(106, 輔助計算!$E$2:$E$801, 0)+1))="","",INDEX(ERP資料!$G:$G, (MATCH(106, 輔助計算!$E$2:$E$801, 0)+1))), "")</f>
        <v/>
      </c>
      <c r="G107" s="10">
        <f>IFERROR(IF(INDEX(ERP資料!$H:$H, (MATCH(106, 輔助計算!$E$2:$E$801, 0)+1))="","",INDEX(ERP資料!$H:$H, (MATCH(106, 輔助計算!$E$2:$E$801, 0)+1))), "")</f>
        <v/>
      </c>
      <c r="H107" s="15">
        <f>IFERROR(INDEX(輔助計算!$D:$D, (MATCH(106, 輔助計算!$E$2:$E$801, 0)+1)), "")</f>
        <v/>
      </c>
      <c r="I107" s="10">
        <f>IFERROR(IF(INDEX(ERP資料!$O:$O, (MATCH(106, 輔助計算!$E$2:$E$801, 0)+1))="","",INDEX(ERP資料!$O:$O, (MATCH(106, 輔助計算!$E$2:$E$801, 0)+1))), "")</f>
        <v/>
      </c>
      <c r="J107" s="15">
        <f>IFERROR(IF(INDEX(輔助計算!$D:$D,(MATCH(106, 輔助計算!$E$2:$E$801, 0)+1))="","",INDEX(輔助計算!$D:$D,(MATCH(106, 輔助計算!$E$2:$E$801, 0)+1))*INDEX(ERP資料!$O:$O,(MATCH(106, 輔助計算!$E$2:$E$801, 0)+1))), "")</f>
        <v/>
      </c>
      <c r="K107" s="16" t="n"/>
      <c r="L107" s="16" t="n"/>
      <c r="M107" s="17" t="n"/>
    </row>
    <row r="108">
      <c r="A108" s="14">
        <f>IFERROR(IF(INDEX(ERP資料!$B:$B, (MATCH(107, 輔助計算!$E$2:$E$801, 0)+1))="","",INDEX(ERP資料!$B:$B, (MATCH(107, 輔助計算!$E$2:$E$801, 0)+1))), "")</f>
        <v/>
      </c>
      <c r="B108" s="10">
        <f>IFERROR(IF(INDEX(ERP資料!$A:$A, (MATCH(107, 輔助計算!$E$2:$E$801, 0)+1))="","",INDEX(ERP資料!$A:$A, (MATCH(107, 輔助計算!$E$2:$E$801, 0)+1))), "")</f>
        <v/>
      </c>
      <c r="C108" s="10">
        <f>IFERROR(IF(INDEX(ERP資料!$S:$S, (MATCH(107, 輔助計算!$E$2:$E$801, 0)+1))="","",INDEX(ERP資料!$S:$S, (MATCH(107, 輔助計算!$E$2:$E$801, 0)+1))), "")</f>
        <v/>
      </c>
      <c r="D108" s="10">
        <f>IFERROR(IF(INDEX(ERP資料!$E:$E, (MATCH(107, 輔助計算!$E$2:$E$801, 0)+1))="","",TRIM(INDEX(ERP資料!$E:$E, (MATCH(107, 輔助計算!$E$2:$E$801, 0)+1)))), "")</f>
        <v/>
      </c>
      <c r="E108" s="10">
        <f>IFERROR(IF(INDEX(ERP資料!$F:$F, (MATCH(107, 輔助計算!$E$2:$E$801, 0)+1))="","",INDEX(ERP資料!$F:$F, (MATCH(107, 輔助計算!$E$2:$E$801, 0)+1))), "")</f>
        <v/>
      </c>
      <c r="F108" s="10">
        <f>IFERROR(IF(INDEX(ERP資料!$G:$G, (MATCH(107, 輔助計算!$E$2:$E$801, 0)+1))="","",INDEX(ERP資料!$G:$G, (MATCH(107, 輔助計算!$E$2:$E$801, 0)+1))), "")</f>
        <v/>
      </c>
      <c r="G108" s="10">
        <f>IFERROR(IF(INDEX(ERP資料!$H:$H, (MATCH(107, 輔助計算!$E$2:$E$801, 0)+1))="","",INDEX(ERP資料!$H:$H, (MATCH(107, 輔助計算!$E$2:$E$801, 0)+1))), "")</f>
        <v/>
      </c>
      <c r="H108" s="15">
        <f>IFERROR(INDEX(輔助計算!$D:$D, (MATCH(107, 輔助計算!$E$2:$E$801, 0)+1)), "")</f>
        <v/>
      </c>
      <c r="I108" s="10">
        <f>IFERROR(IF(INDEX(ERP資料!$O:$O, (MATCH(107, 輔助計算!$E$2:$E$801, 0)+1))="","",INDEX(ERP資料!$O:$O, (MATCH(107, 輔助計算!$E$2:$E$801, 0)+1))), "")</f>
        <v/>
      </c>
      <c r="J108" s="15">
        <f>IFERROR(IF(INDEX(輔助計算!$D:$D,(MATCH(107, 輔助計算!$E$2:$E$801, 0)+1))="","",INDEX(輔助計算!$D:$D,(MATCH(107, 輔助計算!$E$2:$E$801, 0)+1))*INDEX(ERP資料!$O:$O,(MATCH(107, 輔助計算!$E$2:$E$801, 0)+1))), "")</f>
        <v/>
      </c>
      <c r="K108" s="16" t="n"/>
      <c r="L108" s="16" t="n"/>
      <c r="M108" s="17" t="n"/>
    </row>
    <row r="109">
      <c r="A109" s="14">
        <f>IFERROR(IF(INDEX(ERP資料!$B:$B, (MATCH(108, 輔助計算!$E$2:$E$801, 0)+1))="","",INDEX(ERP資料!$B:$B, (MATCH(108, 輔助計算!$E$2:$E$801, 0)+1))), "")</f>
        <v/>
      </c>
      <c r="B109" s="10">
        <f>IFERROR(IF(INDEX(ERP資料!$A:$A, (MATCH(108, 輔助計算!$E$2:$E$801, 0)+1))="","",INDEX(ERP資料!$A:$A, (MATCH(108, 輔助計算!$E$2:$E$801, 0)+1))), "")</f>
        <v/>
      </c>
      <c r="C109" s="10">
        <f>IFERROR(IF(INDEX(ERP資料!$S:$S, (MATCH(108, 輔助計算!$E$2:$E$801, 0)+1))="","",INDEX(ERP資料!$S:$S, (MATCH(108, 輔助計算!$E$2:$E$801, 0)+1))), "")</f>
        <v/>
      </c>
      <c r="D109" s="10">
        <f>IFERROR(IF(INDEX(ERP資料!$E:$E, (MATCH(108, 輔助計算!$E$2:$E$801, 0)+1))="","",TRIM(INDEX(ERP資料!$E:$E, (MATCH(108, 輔助計算!$E$2:$E$801, 0)+1)))), "")</f>
        <v/>
      </c>
      <c r="E109" s="10">
        <f>IFERROR(IF(INDEX(ERP資料!$F:$F, (MATCH(108, 輔助計算!$E$2:$E$801, 0)+1))="","",INDEX(ERP資料!$F:$F, (MATCH(108, 輔助計算!$E$2:$E$801, 0)+1))), "")</f>
        <v/>
      </c>
      <c r="F109" s="10">
        <f>IFERROR(IF(INDEX(ERP資料!$G:$G, (MATCH(108, 輔助計算!$E$2:$E$801, 0)+1))="","",INDEX(ERP資料!$G:$G, (MATCH(108, 輔助計算!$E$2:$E$801, 0)+1))), "")</f>
        <v/>
      </c>
      <c r="G109" s="10">
        <f>IFERROR(IF(INDEX(ERP資料!$H:$H, (MATCH(108, 輔助計算!$E$2:$E$801, 0)+1))="","",INDEX(ERP資料!$H:$H, (MATCH(108, 輔助計算!$E$2:$E$801, 0)+1))), "")</f>
        <v/>
      </c>
      <c r="H109" s="15">
        <f>IFERROR(INDEX(輔助計算!$D:$D, (MATCH(108, 輔助計算!$E$2:$E$801, 0)+1)), "")</f>
        <v/>
      </c>
      <c r="I109" s="10">
        <f>IFERROR(IF(INDEX(ERP資料!$O:$O, (MATCH(108, 輔助計算!$E$2:$E$801, 0)+1))="","",INDEX(ERP資料!$O:$O, (MATCH(108, 輔助計算!$E$2:$E$801, 0)+1))), "")</f>
        <v/>
      </c>
      <c r="J109" s="15">
        <f>IFERROR(IF(INDEX(輔助計算!$D:$D,(MATCH(108, 輔助計算!$E$2:$E$801, 0)+1))="","",INDEX(輔助計算!$D:$D,(MATCH(108, 輔助計算!$E$2:$E$801, 0)+1))*INDEX(ERP資料!$O:$O,(MATCH(108, 輔助計算!$E$2:$E$801, 0)+1))), "")</f>
        <v/>
      </c>
      <c r="K109" s="16" t="n"/>
      <c r="L109" s="16" t="n"/>
      <c r="M109" s="17" t="n"/>
    </row>
    <row r="110">
      <c r="A110" s="14">
        <f>IFERROR(IF(INDEX(ERP資料!$B:$B, (MATCH(109, 輔助計算!$E$2:$E$801, 0)+1))="","",INDEX(ERP資料!$B:$B, (MATCH(109, 輔助計算!$E$2:$E$801, 0)+1))), "")</f>
        <v/>
      </c>
      <c r="B110" s="10">
        <f>IFERROR(IF(INDEX(ERP資料!$A:$A, (MATCH(109, 輔助計算!$E$2:$E$801, 0)+1))="","",INDEX(ERP資料!$A:$A, (MATCH(109, 輔助計算!$E$2:$E$801, 0)+1))), "")</f>
        <v/>
      </c>
      <c r="C110" s="10">
        <f>IFERROR(IF(INDEX(ERP資料!$S:$S, (MATCH(109, 輔助計算!$E$2:$E$801, 0)+1))="","",INDEX(ERP資料!$S:$S, (MATCH(109, 輔助計算!$E$2:$E$801, 0)+1))), "")</f>
        <v/>
      </c>
      <c r="D110" s="10">
        <f>IFERROR(IF(INDEX(ERP資料!$E:$E, (MATCH(109, 輔助計算!$E$2:$E$801, 0)+1))="","",TRIM(INDEX(ERP資料!$E:$E, (MATCH(109, 輔助計算!$E$2:$E$801, 0)+1)))), "")</f>
        <v/>
      </c>
      <c r="E110" s="10">
        <f>IFERROR(IF(INDEX(ERP資料!$F:$F, (MATCH(109, 輔助計算!$E$2:$E$801, 0)+1))="","",INDEX(ERP資料!$F:$F, (MATCH(109, 輔助計算!$E$2:$E$801, 0)+1))), "")</f>
        <v/>
      </c>
      <c r="F110" s="10">
        <f>IFERROR(IF(INDEX(ERP資料!$G:$G, (MATCH(109, 輔助計算!$E$2:$E$801, 0)+1))="","",INDEX(ERP資料!$G:$G, (MATCH(109, 輔助計算!$E$2:$E$801, 0)+1))), "")</f>
        <v/>
      </c>
      <c r="G110" s="10">
        <f>IFERROR(IF(INDEX(ERP資料!$H:$H, (MATCH(109, 輔助計算!$E$2:$E$801, 0)+1))="","",INDEX(ERP資料!$H:$H, (MATCH(109, 輔助計算!$E$2:$E$801, 0)+1))), "")</f>
        <v/>
      </c>
      <c r="H110" s="15">
        <f>IFERROR(INDEX(輔助計算!$D:$D, (MATCH(109, 輔助計算!$E$2:$E$801, 0)+1)), "")</f>
        <v/>
      </c>
      <c r="I110" s="10">
        <f>IFERROR(IF(INDEX(ERP資料!$O:$O, (MATCH(109, 輔助計算!$E$2:$E$801, 0)+1))="","",INDEX(ERP資料!$O:$O, (MATCH(109, 輔助計算!$E$2:$E$801, 0)+1))), "")</f>
        <v/>
      </c>
      <c r="J110" s="15">
        <f>IFERROR(IF(INDEX(輔助計算!$D:$D,(MATCH(109, 輔助計算!$E$2:$E$801, 0)+1))="","",INDEX(輔助計算!$D:$D,(MATCH(109, 輔助計算!$E$2:$E$801, 0)+1))*INDEX(ERP資料!$O:$O,(MATCH(109, 輔助計算!$E$2:$E$801, 0)+1))), "")</f>
        <v/>
      </c>
      <c r="K110" s="16" t="n"/>
      <c r="L110" s="16" t="n"/>
      <c r="M110" s="17" t="n"/>
    </row>
    <row r="111">
      <c r="A111" s="14">
        <f>IFERROR(IF(INDEX(ERP資料!$B:$B, (MATCH(110, 輔助計算!$E$2:$E$801, 0)+1))="","",INDEX(ERP資料!$B:$B, (MATCH(110, 輔助計算!$E$2:$E$801, 0)+1))), "")</f>
        <v/>
      </c>
      <c r="B111" s="10">
        <f>IFERROR(IF(INDEX(ERP資料!$A:$A, (MATCH(110, 輔助計算!$E$2:$E$801, 0)+1))="","",INDEX(ERP資料!$A:$A, (MATCH(110, 輔助計算!$E$2:$E$801, 0)+1))), "")</f>
        <v/>
      </c>
      <c r="C111" s="10">
        <f>IFERROR(IF(INDEX(ERP資料!$S:$S, (MATCH(110, 輔助計算!$E$2:$E$801, 0)+1))="","",INDEX(ERP資料!$S:$S, (MATCH(110, 輔助計算!$E$2:$E$801, 0)+1))), "")</f>
        <v/>
      </c>
      <c r="D111" s="10">
        <f>IFERROR(IF(INDEX(ERP資料!$E:$E, (MATCH(110, 輔助計算!$E$2:$E$801, 0)+1))="","",TRIM(INDEX(ERP資料!$E:$E, (MATCH(110, 輔助計算!$E$2:$E$801, 0)+1)))), "")</f>
        <v/>
      </c>
      <c r="E111" s="10">
        <f>IFERROR(IF(INDEX(ERP資料!$F:$F, (MATCH(110, 輔助計算!$E$2:$E$801, 0)+1))="","",INDEX(ERP資料!$F:$F, (MATCH(110, 輔助計算!$E$2:$E$801, 0)+1))), "")</f>
        <v/>
      </c>
      <c r="F111" s="10">
        <f>IFERROR(IF(INDEX(ERP資料!$G:$G, (MATCH(110, 輔助計算!$E$2:$E$801, 0)+1))="","",INDEX(ERP資料!$G:$G, (MATCH(110, 輔助計算!$E$2:$E$801, 0)+1))), "")</f>
        <v/>
      </c>
      <c r="G111" s="10">
        <f>IFERROR(IF(INDEX(ERP資料!$H:$H, (MATCH(110, 輔助計算!$E$2:$E$801, 0)+1))="","",INDEX(ERP資料!$H:$H, (MATCH(110, 輔助計算!$E$2:$E$801, 0)+1))), "")</f>
        <v/>
      </c>
      <c r="H111" s="15">
        <f>IFERROR(INDEX(輔助計算!$D:$D, (MATCH(110, 輔助計算!$E$2:$E$801, 0)+1)), "")</f>
        <v/>
      </c>
      <c r="I111" s="10">
        <f>IFERROR(IF(INDEX(ERP資料!$O:$O, (MATCH(110, 輔助計算!$E$2:$E$801, 0)+1))="","",INDEX(ERP資料!$O:$O, (MATCH(110, 輔助計算!$E$2:$E$801, 0)+1))), "")</f>
        <v/>
      </c>
      <c r="J111" s="15">
        <f>IFERROR(IF(INDEX(輔助計算!$D:$D,(MATCH(110, 輔助計算!$E$2:$E$801, 0)+1))="","",INDEX(輔助計算!$D:$D,(MATCH(110, 輔助計算!$E$2:$E$801, 0)+1))*INDEX(ERP資料!$O:$O,(MATCH(110, 輔助計算!$E$2:$E$801, 0)+1))), "")</f>
        <v/>
      </c>
      <c r="K111" s="16" t="n"/>
      <c r="L111" s="16" t="n"/>
      <c r="M111" s="17" t="n"/>
    </row>
    <row r="112">
      <c r="A112" s="14">
        <f>IFERROR(IF(INDEX(ERP資料!$B:$B, (MATCH(111, 輔助計算!$E$2:$E$801, 0)+1))="","",INDEX(ERP資料!$B:$B, (MATCH(111, 輔助計算!$E$2:$E$801, 0)+1))), "")</f>
        <v/>
      </c>
      <c r="B112" s="10">
        <f>IFERROR(IF(INDEX(ERP資料!$A:$A, (MATCH(111, 輔助計算!$E$2:$E$801, 0)+1))="","",INDEX(ERP資料!$A:$A, (MATCH(111, 輔助計算!$E$2:$E$801, 0)+1))), "")</f>
        <v/>
      </c>
      <c r="C112" s="10">
        <f>IFERROR(IF(INDEX(ERP資料!$S:$S, (MATCH(111, 輔助計算!$E$2:$E$801, 0)+1))="","",INDEX(ERP資料!$S:$S, (MATCH(111, 輔助計算!$E$2:$E$801, 0)+1))), "")</f>
        <v/>
      </c>
      <c r="D112" s="10">
        <f>IFERROR(IF(INDEX(ERP資料!$E:$E, (MATCH(111, 輔助計算!$E$2:$E$801, 0)+1))="","",TRIM(INDEX(ERP資料!$E:$E, (MATCH(111, 輔助計算!$E$2:$E$801, 0)+1)))), "")</f>
        <v/>
      </c>
      <c r="E112" s="10">
        <f>IFERROR(IF(INDEX(ERP資料!$F:$F, (MATCH(111, 輔助計算!$E$2:$E$801, 0)+1))="","",INDEX(ERP資料!$F:$F, (MATCH(111, 輔助計算!$E$2:$E$801, 0)+1))), "")</f>
        <v/>
      </c>
      <c r="F112" s="10">
        <f>IFERROR(IF(INDEX(ERP資料!$G:$G, (MATCH(111, 輔助計算!$E$2:$E$801, 0)+1))="","",INDEX(ERP資料!$G:$G, (MATCH(111, 輔助計算!$E$2:$E$801, 0)+1))), "")</f>
        <v/>
      </c>
      <c r="G112" s="10">
        <f>IFERROR(IF(INDEX(ERP資料!$H:$H, (MATCH(111, 輔助計算!$E$2:$E$801, 0)+1))="","",INDEX(ERP資料!$H:$H, (MATCH(111, 輔助計算!$E$2:$E$801, 0)+1))), "")</f>
        <v/>
      </c>
      <c r="H112" s="15">
        <f>IFERROR(INDEX(輔助計算!$D:$D, (MATCH(111, 輔助計算!$E$2:$E$801, 0)+1)), "")</f>
        <v/>
      </c>
      <c r="I112" s="10">
        <f>IFERROR(IF(INDEX(ERP資料!$O:$O, (MATCH(111, 輔助計算!$E$2:$E$801, 0)+1))="","",INDEX(ERP資料!$O:$O, (MATCH(111, 輔助計算!$E$2:$E$801, 0)+1))), "")</f>
        <v/>
      </c>
      <c r="J112" s="15">
        <f>IFERROR(IF(INDEX(輔助計算!$D:$D,(MATCH(111, 輔助計算!$E$2:$E$801, 0)+1))="","",INDEX(輔助計算!$D:$D,(MATCH(111, 輔助計算!$E$2:$E$801, 0)+1))*INDEX(ERP資料!$O:$O,(MATCH(111, 輔助計算!$E$2:$E$801, 0)+1))), "")</f>
        <v/>
      </c>
      <c r="K112" s="16" t="n"/>
      <c r="L112" s="16" t="n"/>
      <c r="M112" s="17" t="n"/>
    </row>
    <row r="113">
      <c r="A113" s="14">
        <f>IFERROR(IF(INDEX(ERP資料!$B:$B, (MATCH(112, 輔助計算!$E$2:$E$801, 0)+1))="","",INDEX(ERP資料!$B:$B, (MATCH(112, 輔助計算!$E$2:$E$801, 0)+1))), "")</f>
        <v/>
      </c>
      <c r="B113" s="10">
        <f>IFERROR(IF(INDEX(ERP資料!$A:$A, (MATCH(112, 輔助計算!$E$2:$E$801, 0)+1))="","",INDEX(ERP資料!$A:$A, (MATCH(112, 輔助計算!$E$2:$E$801, 0)+1))), "")</f>
        <v/>
      </c>
      <c r="C113" s="10">
        <f>IFERROR(IF(INDEX(ERP資料!$S:$S, (MATCH(112, 輔助計算!$E$2:$E$801, 0)+1))="","",INDEX(ERP資料!$S:$S, (MATCH(112, 輔助計算!$E$2:$E$801, 0)+1))), "")</f>
        <v/>
      </c>
      <c r="D113" s="10">
        <f>IFERROR(IF(INDEX(ERP資料!$E:$E, (MATCH(112, 輔助計算!$E$2:$E$801, 0)+1))="","",TRIM(INDEX(ERP資料!$E:$E, (MATCH(112, 輔助計算!$E$2:$E$801, 0)+1)))), "")</f>
        <v/>
      </c>
      <c r="E113" s="10">
        <f>IFERROR(IF(INDEX(ERP資料!$F:$F, (MATCH(112, 輔助計算!$E$2:$E$801, 0)+1))="","",INDEX(ERP資料!$F:$F, (MATCH(112, 輔助計算!$E$2:$E$801, 0)+1))), "")</f>
        <v/>
      </c>
      <c r="F113" s="10">
        <f>IFERROR(IF(INDEX(ERP資料!$G:$G, (MATCH(112, 輔助計算!$E$2:$E$801, 0)+1))="","",INDEX(ERP資料!$G:$G, (MATCH(112, 輔助計算!$E$2:$E$801, 0)+1))), "")</f>
        <v/>
      </c>
      <c r="G113" s="10">
        <f>IFERROR(IF(INDEX(ERP資料!$H:$H, (MATCH(112, 輔助計算!$E$2:$E$801, 0)+1))="","",INDEX(ERP資料!$H:$H, (MATCH(112, 輔助計算!$E$2:$E$801, 0)+1))), "")</f>
        <v/>
      </c>
      <c r="H113" s="15">
        <f>IFERROR(INDEX(輔助計算!$D:$D, (MATCH(112, 輔助計算!$E$2:$E$801, 0)+1)), "")</f>
        <v/>
      </c>
      <c r="I113" s="10">
        <f>IFERROR(IF(INDEX(ERP資料!$O:$O, (MATCH(112, 輔助計算!$E$2:$E$801, 0)+1))="","",INDEX(ERP資料!$O:$O, (MATCH(112, 輔助計算!$E$2:$E$801, 0)+1))), "")</f>
        <v/>
      </c>
      <c r="J113" s="15">
        <f>IFERROR(IF(INDEX(輔助計算!$D:$D,(MATCH(112, 輔助計算!$E$2:$E$801, 0)+1))="","",INDEX(輔助計算!$D:$D,(MATCH(112, 輔助計算!$E$2:$E$801, 0)+1))*INDEX(ERP資料!$O:$O,(MATCH(112, 輔助計算!$E$2:$E$801, 0)+1))), "")</f>
        <v/>
      </c>
      <c r="K113" s="16" t="n"/>
      <c r="L113" s="16" t="n"/>
      <c r="M113" s="17" t="n"/>
    </row>
    <row r="114">
      <c r="A114" s="14">
        <f>IFERROR(IF(INDEX(ERP資料!$B:$B, (MATCH(113, 輔助計算!$E$2:$E$801, 0)+1))="","",INDEX(ERP資料!$B:$B, (MATCH(113, 輔助計算!$E$2:$E$801, 0)+1))), "")</f>
        <v/>
      </c>
      <c r="B114" s="10">
        <f>IFERROR(IF(INDEX(ERP資料!$A:$A, (MATCH(113, 輔助計算!$E$2:$E$801, 0)+1))="","",INDEX(ERP資料!$A:$A, (MATCH(113, 輔助計算!$E$2:$E$801, 0)+1))), "")</f>
        <v/>
      </c>
      <c r="C114" s="10">
        <f>IFERROR(IF(INDEX(ERP資料!$S:$S, (MATCH(113, 輔助計算!$E$2:$E$801, 0)+1))="","",INDEX(ERP資料!$S:$S, (MATCH(113, 輔助計算!$E$2:$E$801, 0)+1))), "")</f>
        <v/>
      </c>
      <c r="D114" s="10">
        <f>IFERROR(IF(INDEX(ERP資料!$E:$E, (MATCH(113, 輔助計算!$E$2:$E$801, 0)+1))="","",TRIM(INDEX(ERP資料!$E:$E, (MATCH(113, 輔助計算!$E$2:$E$801, 0)+1)))), "")</f>
        <v/>
      </c>
      <c r="E114" s="10">
        <f>IFERROR(IF(INDEX(ERP資料!$F:$F, (MATCH(113, 輔助計算!$E$2:$E$801, 0)+1))="","",INDEX(ERP資料!$F:$F, (MATCH(113, 輔助計算!$E$2:$E$801, 0)+1))), "")</f>
        <v/>
      </c>
      <c r="F114" s="10">
        <f>IFERROR(IF(INDEX(ERP資料!$G:$G, (MATCH(113, 輔助計算!$E$2:$E$801, 0)+1))="","",INDEX(ERP資料!$G:$G, (MATCH(113, 輔助計算!$E$2:$E$801, 0)+1))), "")</f>
        <v/>
      </c>
      <c r="G114" s="10">
        <f>IFERROR(IF(INDEX(ERP資料!$H:$H, (MATCH(113, 輔助計算!$E$2:$E$801, 0)+1))="","",INDEX(ERP資料!$H:$H, (MATCH(113, 輔助計算!$E$2:$E$801, 0)+1))), "")</f>
        <v/>
      </c>
      <c r="H114" s="15">
        <f>IFERROR(INDEX(輔助計算!$D:$D, (MATCH(113, 輔助計算!$E$2:$E$801, 0)+1)), "")</f>
        <v/>
      </c>
      <c r="I114" s="10">
        <f>IFERROR(IF(INDEX(ERP資料!$O:$O, (MATCH(113, 輔助計算!$E$2:$E$801, 0)+1))="","",INDEX(ERP資料!$O:$O, (MATCH(113, 輔助計算!$E$2:$E$801, 0)+1))), "")</f>
        <v/>
      </c>
      <c r="J114" s="15">
        <f>IFERROR(IF(INDEX(輔助計算!$D:$D,(MATCH(113, 輔助計算!$E$2:$E$801, 0)+1))="","",INDEX(輔助計算!$D:$D,(MATCH(113, 輔助計算!$E$2:$E$801, 0)+1))*INDEX(ERP資料!$O:$O,(MATCH(113, 輔助計算!$E$2:$E$801, 0)+1))), "")</f>
        <v/>
      </c>
      <c r="K114" s="16" t="n"/>
      <c r="L114" s="16" t="n"/>
      <c r="M114" s="17" t="n"/>
    </row>
    <row r="115">
      <c r="A115" s="14">
        <f>IFERROR(IF(INDEX(ERP資料!$B:$B, (MATCH(114, 輔助計算!$E$2:$E$801, 0)+1))="","",INDEX(ERP資料!$B:$B, (MATCH(114, 輔助計算!$E$2:$E$801, 0)+1))), "")</f>
        <v/>
      </c>
      <c r="B115" s="10">
        <f>IFERROR(IF(INDEX(ERP資料!$A:$A, (MATCH(114, 輔助計算!$E$2:$E$801, 0)+1))="","",INDEX(ERP資料!$A:$A, (MATCH(114, 輔助計算!$E$2:$E$801, 0)+1))), "")</f>
        <v/>
      </c>
      <c r="C115" s="10">
        <f>IFERROR(IF(INDEX(ERP資料!$S:$S, (MATCH(114, 輔助計算!$E$2:$E$801, 0)+1))="","",INDEX(ERP資料!$S:$S, (MATCH(114, 輔助計算!$E$2:$E$801, 0)+1))), "")</f>
        <v/>
      </c>
      <c r="D115" s="10">
        <f>IFERROR(IF(INDEX(ERP資料!$E:$E, (MATCH(114, 輔助計算!$E$2:$E$801, 0)+1))="","",TRIM(INDEX(ERP資料!$E:$E, (MATCH(114, 輔助計算!$E$2:$E$801, 0)+1)))), "")</f>
        <v/>
      </c>
      <c r="E115" s="10">
        <f>IFERROR(IF(INDEX(ERP資料!$F:$F, (MATCH(114, 輔助計算!$E$2:$E$801, 0)+1))="","",INDEX(ERP資料!$F:$F, (MATCH(114, 輔助計算!$E$2:$E$801, 0)+1))), "")</f>
        <v/>
      </c>
      <c r="F115" s="10">
        <f>IFERROR(IF(INDEX(ERP資料!$G:$G, (MATCH(114, 輔助計算!$E$2:$E$801, 0)+1))="","",INDEX(ERP資料!$G:$G, (MATCH(114, 輔助計算!$E$2:$E$801, 0)+1))), "")</f>
        <v/>
      </c>
      <c r="G115" s="10">
        <f>IFERROR(IF(INDEX(ERP資料!$H:$H, (MATCH(114, 輔助計算!$E$2:$E$801, 0)+1))="","",INDEX(ERP資料!$H:$H, (MATCH(114, 輔助計算!$E$2:$E$801, 0)+1))), "")</f>
        <v/>
      </c>
      <c r="H115" s="15">
        <f>IFERROR(INDEX(輔助計算!$D:$D, (MATCH(114, 輔助計算!$E$2:$E$801, 0)+1)), "")</f>
        <v/>
      </c>
      <c r="I115" s="10">
        <f>IFERROR(IF(INDEX(ERP資料!$O:$O, (MATCH(114, 輔助計算!$E$2:$E$801, 0)+1))="","",INDEX(ERP資料!$O:$O, (MATCH(114, 輔助計算!$E$2:$E$801, 0)+1))), "")</f>
        <v/>
      </c>
      <c r="J115" s="15">
        <f>IFERROR(IF(INDEX(輔助計算!$D:$D,(MATCH(114, 輔助計算!$E$2:$E$801, 0)+1))="","",INDEX(輔助計算!$D:$D,(MATCH(114, 輔助計算!$E$2:$E$801, 0)+1))*INDEX(ERP資料!$O:$O,(MATCH(114, 輔助計算!$E$2:$E$801, 0)+1))), "")</f>
        <v/>
      </c>
      <c r="K115" s="16" t="n"/>
      <c r="L115" s="16" t="n"/>
      <c r="M115" s="17" t="n"/>
    </row>
    <row r="116">
      <c r="A116" s="14">
        <f>IFERROR(IF(INDEX(ERP資料!$B:$B, (MATCH(115, 輔助計算!$E$2:$E$801, 0)+1))="","",INDEX(ERP資料!$B:$B, (MATCH(115, 輔助計算!$E$2:$E$801, 0)+1))), "")</f>
        <v/>
      </c>
      <c r="B116" s="10">
        <f>IFERROR(IF(INDEX(ERP資料!$A:$A, (MATCH(115, 輔助計算!$E$2:$E$801, 0)+1))="","",INDEX(ERP資料!$A:$A, (MATCH(115, 輔助計算!$E$2:$E$801, 0)+1))), "")</f>
        <v/>
      </c>
      <c r="C116" s="10">
        <f>IFERROR(IF(INDEX(ERP資料!$S:$S, (MATCH(115, 輔助計算!$E$2:$E$801, 0)+1))="","",INDEX(ERP資料!$S:$S, (MATCH(115, 輔助計算!$E$2:$E$801, 0)+1))), "")</f>
        <v/>
      </c>
      <c r="D116" s="10">
        <f>IFERROR(IF(INDEX(ERP資料!$E:$E, (MATCH(115, 輔助計算!$E$2:$E$801, 0)+1))="","",TRIM(INDEX(ERP資料!$E:$E, (MATCH(115, 輔助計算!$E$2:$E$801, 0)+1)))), "")</f>
        <v/>
      </c>
      <c r="E116" s="10">
        <f>IFERROR(IF(INDEX(ERP資料!$F:$F, (MATCH(115, 輔助計算!$E$2:$E$801, 0)+1))="","",INDEX(ERP資料!$F:$F, (MATCH(115, 輔助計算!$E$2:$E$801, 0)+1))), "")</f>
        <v/>
      </c>
      <c r="F116" s="10">
        <f>IFERROR(IF(INDEX(ERP資料!$G:$G, (MATCH(115, 輔助計算!$E$2:$E$801, 0)+1))="","",INDEX(ERP資料!$G:$G, (MATCH(115, 輔助計算!$E$2:$E$801, 0)+1))), "")</f>
        <v/>
      </c>
      <c r="G116" s="10">
        <f>IFERROR(IF(INDEX(ERP資料!$H:$H, (MATCH(115, 輔助計算!$E$2:$E$801, 0)+1))="","",INDEX(ERP資料!$H:$H, (MATCH(115, 輔助計算!$E$2:$E$801, 0)+1))), "")</f>
        <v/>
      </c>
      <c r="H116" s="15">
        <f>IFERROR(INDEX(輔助計算!$D:$D, (MATCH(115, 輔助計算!$E$2:$E$801, 0)+1)), "")</f>
        <v/>
      </c>
      <c r="I116" s="10">
        <f>IFERROR(IF(INDEX(ERP資料!$O:$O, (MATCH(115, 輔助計算!$E$2:$E$801, 0)+1))="","",INDEX(ERP資料!$O:$O, (MATCH(115, 輔助計算!$E$2:$E$801, 0)+1))), "")</f>
        <v/>
      </c>
      <c r="J116" s="15">
        <f>IFERROR(IF(INDEX(輔助計算!$D:$D,(MATCH(115, 輔助計算!$E$2:$E$801, 0)+1))="","",INDEX(輔助計算!$D:$D,(MATCH(115, 輔助計算!$E$2:$E$801, 0)+1))*INDEX(ERP資料!$O:$O,(MATCH(115, 輔助計算!$E$2:$E$801, 0)+1))), "")</f>
        <v/>
      </c>
      <c r="K116" s="16" t="n"/>
      <c r="L116" s="16" t="n"/>
      <c r="M116" s="17" t="n"/>
    </row>
    <row r="117">
      <c r="A117" s="14">
        <f>IFERROR(IF(INDEX(ERP資料!$B:$B, (MATCH(116, 輔助計算!$E$2:$E$801, 0)+1))="","",INDEX(ERP資料!$B:$B, (MATCH(116, 輔助計算!$E$2:$E$801, 0)+1))), "")</f>
        <v/>
      </c>
      <c r="B117" s="10">
        <f>IFERROR(IF(INDEX(ERP資料!$A:$A, (MATCH(116, 輔助計算!$E$2:$E$801, 0)+1))="","",INDEX(ERP資料!$A:$A, (MATCH(116, 輔助計算!$E$2:$E$801, 0)+1))), "")</f>
        <v/>
      </c>
      <c r="C117" s="10">
        <f>IFERROR(IF(INDEX(ERP資料!$S:$S, (MATCH(116, 輔助計算!$E$2:$E$801, 0)+1))="","",INDEX(ERP資料!$S:$S, (MATCH(116, 輔助計算!$E$2:$E$801, 0)+1))), "")</f>
        <v/>
      </c>
      <c r="D117" s="10">
        <f>IFERROR(IF(INDEX(ERP資料!$E:$E, (MATCH(116, 輔助計算!$E$2:$E$801, 0)+1))="","",TRIM(INDEX(ERP資料!$E:$E, (MATCH(116, 輔助計算!$E$2:$E$801, 0)+1)))), "")</f>
        <v/>
      </c>
      <c r="E117" s="10">
        <f>IFERROR(IF(INDEX(ERP資料!$F:$F, (MATCH(116, 輔助計算!$E$2:$E$801, 0)+1))="","",INDEX(ERP資料!$F:$F, (MATCH(116, 輔助計算!$E$2:$E$801, 0)+1))), "")</f>
        <v/>
      </c>
      <c r="F117" s="10">
        <f>IFERROR(IF(INDEX(ERP資料!$G:$G, (MATCH(116, 輔助計算!$E$2:$E$801, 0)+1))="","",INDEX(ERP資料!$G:$G, (MATCH(116, 輔助計算!$E$2:$E$801, 0)+1))), "")</f>
        <v/>
      </c>
      <c r="G117" s="10">
        <f>IFERROR(IF(INDEX(ERP資料!$H:$H, (MATCH(116, 輔助計算!$E$2:$E$801, 0)+1))="","",INDEX(ERP資料!$H:$H, (MATCH(116, 輔助計算!$E$2:$E$801, 0)+1))), "")</f>
        <v/>
      </c>
      <c r="H117" s="15">
        <f>IFERROR(INDEX(輔助計算!$D:$D, (MATCH(116, 輔助計算!$E$2:$E$801, 0)+1)), "")</f>
        <v/>
      </c>
      <c r="I117" s="10">
        <f>IFERROR(IF(INDEX(ERP資料!$O:$O, (MATCH(116, 輔助計算!$E$2:$E$801, 0)+1))="","",INDEX(ERP資料!$O:$O, (MATCH(116, 輔助計算!$E$2:$E$801, 0)+1))), "")</f>
        <v/>
      </c>
      <c r="J117" s="15">
        <f>IFERROR(IF(INDEX(輔助計算!$D:$D,(MATCH(116, 輔助計算!$E$2:$E$801, 0)+1))="","",INDEX(輔助計算!$D:$D,(MATCH(116, 輔助計算!$E$2:$E$801, 0)+1))*INDEX(ERP資料!$O:$O,(MATCH(116, 輔助計算!$E$2:$E$801, 0)+1))), "")</f>
        <v/>
      </c>
      <c r="K117" s="16" t="n"/>
      <c r="L117" s="16" t="n"/>
      <c r="M117" s="17" t="n"/>
    </row>
    <row r="118">
      <c r="A118" s="14">
        <f>IFERROR(IF(INDEX(ERP資料!$B:$B, (MATCH(117, 輔助計算!$E$2:$E$801, 0)+1))="","",INDEX(ERP資料!$B:$B, (MATCH(117, 輔助計算!$E$2:$E$801, 0)+1))), "")</f>
        <v/>
      </c>
      <c r="B118" s="10">
        <f>IFERROR(IF(INDEX(ERP資料!$A:$A, (MATCH(117, 輔助計算!$E$2:$E$801, 0)+1))="","",INDEX(ERP資料!$A:$A, (MATCH(117, 輔助計算!$E$2:$E$801, 0)+1))), "")</f>
        <v/>
      </c>
      <c r="C118" s="10">
        <f>IFERROR(IF(INDEX(ERP資料!$S:$S, (MATCH(117, 輔助計算!$E$2:$E$801, 0)+1))="","",INDEX(ERP資料!$S:$S, (MATCH(117, 輔助計算!$E$2:$E$801, 0)+1))), "")</f>
        <v/>
      </c>
      <c r="D118" s="10">
        <f>IFERROR(IF(INDEX(ERP資料!$E:$E, (MATCH(117, 輔助計算!$E$2:$E$801, 0)+1))="","",TRIM(INDEX(ERP資料!$E:$E, (MATCH(117, 輔助計算!$E$2:$E$801, 0)+1)))), "")</f>
        <v/>
      </c>
      <c r="E118" s="10">
        <f>IFERROR(IF(INDEX(ERP資料!$F:$F, (MATCH(117, 輔助計算!$E$2:$E$801, 0)+1))="","",INDEX(ERP資料!$F:$F, (MATCH(117, 輔助計算!$E$2:$E$801, 0)+1))), "")</f>
        <v/>
      </c>
      <c r="F118" s="10">
        <f>IFERROR(IF(INDEX(ERP資料!$G:$G, (MATCH(117, 輔助計算!$E$2:$E$801, 0)+1))="","",INDEX(ERP資料!$G:$G, (MATCH(117, 輔助計算!$E$2:$E$801, 0)+1))), "")</f>
        <v/>
      </c>
      <c r="G118" s="10">
        <f>IFERROR(IF(INDEX(ERP資料!$H:$H, (MATCH(117, 輔助計算!$E$2:$E$801, 0)+1))="","",INDEX(ERP資料!$H:$H, (MATCH(117, 輔助計算!$E$2:$E$801, 0)+1))), "")</f>
        <v/>
      </c>
      <c r="H118" s="15">
        <f>IFERROR(INDEX(輔助計算!$D:$D, (MATCH(117, 輔助計算!$E$2:$E$801, 0)+1)), "")</f>
        <v/>
      </c>
      <c r="I118" s="10">
        <f>IFERROR(IF(INDEX(ERP資料!$O:$O, (MATCH(117, 輔助計算!$E$2:$E$801, 0)+1))="","",INDEX(ERP資料!$O:$O, (MATCH(117, 輔助計算!$E$2:$E$801, 0)+1))), "")</f>
        <v/>
      </c>
      <c r="J118" s="15">
        <f>IFERROR(IF(INDEX(輔助計算!$D:$D,(MATCH(117, 輔助計算!$E$2:$E$801, 0)+1))="","",INDEX(輔助計算!$D:$D,(MATCH(117, 輔助計算!$E$2:$E$801, 0)+1))*INDEX(ERP資料!$O:$O,(MATCH(117, 輔助計算!$E$2:$E$801, 0)+1))), "")</f>
        <v/>
      </c>
      <c r="K118" s="16" t="n"/>
      <c r="L118" s="16" t="n"/>
      <c r="M118" s="17" t="n"/>
    </row>
    <row r="119">
      <c r="A119" s="14">
        <f>IFERROR(IF(INDEX(ERP資料!$B:$B, (MATCH(118, 輔助計算!$E$2:$E$801, 0)+1))="","",INDEX(ERP資料!$B:$B, (MATCH(118, 輔助計算!$E$2:$E$801, 0)+1))), "")</f>
        <v/>
      </c>
      <c r="B119" s="10">
        <f>IFERROR(IF(INDEX(ERP資料!$A:$A, (MATCH(118, 輔助計算!$E$2:$E$801, 0)+1))="","",INDEX(ERP資料!$A:$A, (MATCH(118, 輔助計算!$E$2:$E$801, 0)+1))), "")</f>
        <v/>
      </c>
      <c r="C119" s="10">
        <f>IFERROR(IF(INDEX(ERP資料!$S:$S, (MATCH(118, 輔助計算!$E$2:$E$801, 0)+1))="","",INDEX(ERP資料!$S:$S, (MATCH(118, 輔助計算!$E$2:$E$801, 0)+1))), "")</f>
        <v/>
      </c>
      <c r="D119" s="10">
        <f>IFERROR(IF(INDEX(ERP資料!$E:$E, (MATCH(118, 輔助計算!$E$2:$E$801, 0)+1))="","",TRIM(INDEX(ERP資料!$E:$E, (MATCH(118, 輔助計算!$E$2:$E$801, 0)+1)))), "")</f>
        <v/>
      </c>
      <c r="E119" s="10">
        <f>IFERROR(IF(INDEX(ERP資料!$F:$F, (MATCH(118, 輔助計算!$E$2:$E$801, 0)+1))="","",INDEX(ERP資料!$F:$F, (MATCH(118, 輔助計算!$E$2:$E$801, 0)+1))), "")</f>
        <v/>
      </c>
      <c r="F119" s="10">
        <f>IFERROR(IF(INDEX(ERP資料!$G:$G, (MATCH(118, 輔助計算!$E$2:$E$801, 0)+1))="","",INDEX(ERP資料!$G:$G, (MATCH(118, 輔助計算!$E$2:$E$801, 0)+1))), "")</f>
        <v/>
      </c>
      <c r="G119" s="10">
        <f>IFERROR(IF(INDEX(ERP資料!$H:$H, (MATCH(118, 輔助計算!$E$2:$E$801, 0)+1))="","",INDEX(ERP資料!$H:$H, (MATCH(118, 輔助計算!$E$2:$E$801, 0)+1))), "")</f>
        <v/>
      </c>
      <c r="H119" s="15">
        <f>IFERROR(INDEX(輔助計算!$D:$D, (MATCH(118, 輔助計算!$E$2:$E$801, 0)+1)), "")</f>
        <v/>
      </c>
      <c r="I119" s="10">
        <f>IFERROR(IF(INDEX(ERP資料!$O:$O, (MATCH(118, 輔助計算!$E$2:$E$801, 0)+1))="","",INDEX(ERP資料!$O:$O, (MATCH(118, 輔助計算!$E$2:$E$801, 0)+1))), "")</f>
        <v/>
      </c>
      <c r="J119" s="15">
        <f>IFERROR(IF(INDEX(輔助計算!$D:$D,(MATCH(118, 輔助計算!$E$2:$E$801, 0)+1))="","",INDEX(輔助計算!$D:$D,(MATCH(118, 輔助計算!$E$2:$E$801, 0)+1))*INDEX(ERP資料!$O:$O,(MATCH(118, 輔助計算!$E$2:$E$801, 0)+1))), "")</f>
        <v/>
      </c>
      <c r="K119" s="16" t="n"/>
      <c r="L119" s="16" t="n"/>
      <c r="M119" s="17" t="n"/>
    </row>
    <row r="120">
      <c r="A120" s="14">
        <f>IFERROR(IF(INDEX(ERP資料!$B:$B, (MATCH(119, 輔助計算!$E$2:$E$801, 0)+1))="","",INDEX(ERP資料!$B:$B, (MATCH(119, 輔助計算!$E$2:$E$801, 0)+1))), "")</f>
        <v/>
      </c>
      <c r="B120" s="10">
        <f>IFERROR(IF(INDEX(ERP資料!$A:$A, (MATCH(119, 輔助計算!$E$2:$E$801, 0)+1))="","",INDEX(ERP資料!$A:$A, (MATCH(119, 輔助計算!$E$2:$E$801, 0)+1))), "")</f>
        <v/>
      </c>
      <c r="C120" s="10">
        <f>IFERROR(IF(INDEX(ERP資料!$S:$S, (MATCH(119, 輔助計算!$E$2:$E$801, 0)+1))="","",INDEX(ERP資料!$S:$S, (MATCH(119, 輔助計算!$E$2:$E$801, 0)+1))), "")</f>
        <v/>
      </c>
      <c r="D120" s="10">
        <f>IFERROR(IF(INDEX(ERP資料!$E:$E, (MATCH(119, 輔助計算!$E$2:$E$801, 0)+1))="","",TRIM(INDEX(ERP資料!$E:$E, (MATCH(119, 輔助計算!$E$2:$E$801, 0)+1)))), "")</f>
        <v/>
      </c>
      <c r="E120" s="10">
        <f>IFERROR(IF(INDEX(ERP資料!$F:$F, (MATCH(119, 輔助計算!$E$2:$E$801, 0)+1))="","",INDEX(ERP資料!$F:$F, (MATCH(119, 輔助計算!$E$2:$E$801, 0)+1))), "")</f>
        <v/>
      </c>
      <c r="F120" s="10">
        <f>IFERROR(IF(INDEX(ERP資料!$G:$G, (MATCH(119, 輔助計算!$E$2:$E$801, 0)+1))="","",INDEX(ERP資料!$G:$G, (MATCH(119, 輔助計算!$E$2:$E$801, 0)+1))), "")</f>
        <v/>
      </c>
      <c r="G120" s="10">
        <f>IFERROR(IF(INDEX(ERP資料!$H:$H, (MATCH(119, 輔助計算!$E$2:$E$801, 0)+1))="","",INDEX(ERP資料!$H:$H, (MATCH(119, 輔助計算!$E$2:$E$801, 0)+1))), "")</f>
        <v/>
      </c>
      <c r="H120" s="15">
        <f>IFERROR(INDEX(輔助計算!$D:$D, (MATCH(119, 輔助計算!$E$2:$E$801, 0)+1)), "")</f>
        <v/>
      </c>
      <c r="I120" s="10">
        <f>IFERROR(IF(INDEX(ERP資料!$O:$O, (MATCH(119, 輔助計算!$E$2:$E$801, 0)+1))="","",INDEX(ERP資料!$O:$O, (MATCH(119, 輔助計算!$E$2:$E$801, 0)+1))), "")</f>
        <v/>
      </c>
      <c r="J120" s="15">
        <f>IFERROR(IF(INDEX(輔助計算!$D:$D,(MATCH(119, 輔助計算!$E$2:$E$801, 0)+1))="","",INDEX(輔助計算!$D:$D,(MATCH(119, 輔助計算!$E$2:$E$801, 0)+1))*INDEX(ERP資料!$O:$O,(MATCH(119, 輔助計算!$E$2:$E$801, 0)+1))), "")</f>
        <v/>
      </c>
      <c r="K120" s="16" t="n"/>
      <c r="L120" s="16" t="n"/>
      <c r="M120" s="17" t="n"/>
    </row>
    <row r="121">
      <c r="A121" s="14">
        <f>IFERROR(IF(INDEX(ERP資料!$B:$B, (MATCH(120, 輔助計算!$E$2:$E$801, 0)+1))="","",INDEX(ERP資料!$B:$B, (MATCH(120, 輔助計算!$E$2:$E$801, 0)+1))), "")</f>
        <v/>
      </c>
      <c r="B121" s="10">
        <f>IFERROR(IF(INDEX(ERP資料!$A:$A, (MATCH(120, 輔助計算!$E$2:$E$801, 0)+1))="","",INDEX(ERP資料!$A:$A, (MATCH(120, 輔助計算!$E$2:$E$801, 0)+1))), "")</f>
        <v/>
      </c>
      <c r="C121" s="10">
        <f>IFERROR(IF(INDEX(ERP資料!$S:$S, (MATCH(120, 輔助計算!$E$2:$E$801, 0)+1))="","",INDEX(ERP資料!$S:$S, (MATCH(120, 輔助計算!$E$2:$E$801, 0)+1))), "")</f>
        <v/>
      </c>
      <c r="D121" s="10">
        <f>IFERROR(IF(INDEX(ERP資料!$E:$E, (MATCH(120, 輔助計算!$E$2:$E$801, 0)+1))="","",TRIM(INDEX(ERP資料!$E:$E, (MATCH(120, 輔助計算!$E$2:$E$801, 0)+1)))), "")</f>
        <v/>
      </c>
      <c r="E121" s="10">
        <f>IFERROR(IF(INDEX(ERP資料!$F:$F, (MATCH(120, 輔助計算!$E$2:$E$801, 0)+1))="","",INDEX(ERP資料!$F:$F, (MATCH(120, 輔助計算!$E$2:$E$801, 0)+1))), "")</f>
        <v/>
      </c>
      <c r="F121" s="10">
        <f>IFERROR(IF(INDEX(ERP資料!$G:$G, (MATCH(120, 輔助計算!$E$2:$E$801, 0)+1))="","",INDEX(ERP資料!$G:$G, (MATCH(120, 輔助計算!$E$2:$E$801, 0)+1))), "")</f>
        <v/>
      </c>
      <c r="G121" s="10">
        <f>IFERROR(IF(INDEX(ERP資料!$H:$H, (MATCH(120, 輔助計算!$E$2:$E$801, 0)+1))="","",INDEX(ERP資料!$H:$H, (MATCH(120, 輔助計算!$E$2:$E$801, 0)+1))), "")</f>
        <v/>
      </c>
      <c r="H121" s="15">
        <f>IFERROR(INDEX(輔助計算!$D:$D, (MATCH(120, 輔助計算!$E$2:$E$801, 0)+1)), "")</f>
        <v/>
      </c>
      <c r="I121" s="10">
        <f>IFERROR(IF(INDEX(ERP資料!$O:$O, (MATCH(120, 輔助計算!$E$2:$E$801, 0)+1))="","",INDEX(ERP資料!$O:$O, (MATCH(120, 輔助計算!$E$2:$E$801, 0)+1))), "")</f>
        <v/>
      </c>
      <c r="J121" s="15">
        <f>IFERROR(IF(INDEX(輔助計算!$D:$D,(MATCH(120, 輔助計算!$E$2:$E$801, 0)+1))="","",INDEX(輔助計算!$D:$D,(MATCH(120, 輔助計算!$E$2:$E$801, 0)+1))*INDEX(ERP資料!$O:$O,(MATCH(120, 輔助計算!$E$2:$E$801, 0)+1))), "")</f>
        <v/>
      </c>
      <c r="K121" s="16" t="n"/>
      <c r="L121" s="16" t="n"/>
      <c r="M121" s="17" t="n"/>
    </row>
    <row r="122">
      <c r="A122" s="14">
        <f>IFERROR(IF(INDEX(ERP資料!$B:$B, (MATCH(121, 輔助計算!$E$2:$E$801, 0)+1))="","",INDEX(ERP資料!$B:$B, (MATCH(121, 輔助計算!$E$2:$E$801, 0)+1))), "")</f>
        <v/>
      </c>
      <c r="B122" s="10">
        <f>IFERROR(IF(INDEX(ERP資料!$A:$A, (MATCH(121, 輔助計算!$E$2:$E$801, 0)+1))="","",INDEX(ERP資料!$A:$A, (MATCH(121, 輔助計算!$E$2:$E$801, 0)+1))), "")</f>
        <v/>
      </c>
      <c r="C122" s="10">
        <f>IFERROR(IF(INDEX(ERP資料!$S:$S, (MATCH(121, 輔助計算!$E$2:$E$801, 0)+1))="","",INDEX(ERP資料!$S:$S, (MATCH(121, 輔助計算!$E$2:$E$801, 0)+1))), "")</f>
        <v/>
      </c>
      <c r="D122" s="10">
        <f>IFERROR(IF(INDEX(ERP資料!$E:$E, (MATCH(121, 輔助計算!$E$2:$E$801, 0)+1))="","",TRIM(INDEX(ERP資料!$E:$E, (MATCH(121, 輔助計算!$E$2:$E$801, 0)+1)))), "")</f>
        <v/>
      </c>
      <c r="E122" s="10">
        <f>IFERROR(IF(INDEX(ERP資料!$F:$F, (MATCH(121, 輔助計算!$E$2:$E$801, 0)+1))="","",INDEX(ERP資料!$F:$F, (MATCH(121, 輔助計算!$E$2:$E$801, 0)+1))), "")</f>
        <v/>
      </c>
      <c r="F122" s="10">
        <f>IFERROR(IF(INDEX(ERP資料!$G:$G, (MATCH(121, 輔助計算!$E$2:$E$801, 0)+1))="","",INDEX(ERP資料!$G:$G, (MATCH(121, 輔助計算!$E$2:$E$801, 0)+1))), "")</f>
        <v/>
      </c>
      <c r="G122" s="10">
        <f>IFERROR(IF(INDEX(ERP資料!$H:$H, (MATCH(121, 輔助計算!$E$2:$E$801, 0)+1))="","",INDEX(ERP資料!$H:$H, (MATCH(121, 輔助計算!$E$2:$E$801, 0)+1))), "")</f>
        <v/>
      </c>
      <c r="H122" s="15">
        <f>IFERROR(INDEX(輔助計算!$D:$D, (MATCH(121, 輔助計算!$E$2:$E$801, 0)+1)), "")</f>
        <v/>
      </c>
      <c r="I122" s="10">
        <f>IFERROR(IF(INDEX(ERP資料!$O:$O, (MATCH(121, 輔助計算!$E$2:$E$801, 0)+1))="","",INDEX(ERP資料!$O:$O, (MATCH(121, 輔助計算!$E$2:$E$801, 0)+1))), "")</f>
        <v/>
      </c>
      <c r="J122" s="15">
        <f>IFERROR(IF(INDEX(輔助計算!$D:$D,(MATCH(121, 輔助計算!$E$2:$E$801, 0)+1))="","",INDEX(輔助計算!$D:$D,(MATCH(121, 輔助計算!$E$2:$E$801, 0)+1))*INDEX(ERP資料!$O:$O,(MATCH(121, 輔助計算!$E$2:$E$801, 0)+1))), "")</f>
        <v/>
      </c>
      <c r="K122" s="16" t="n"/>
      <c r="L122" s="16" t="n"/>
      <c r="M122" s="17" t="n"/>
    </row>
    <row r="123">
      <c r="A123" s="14">
        <f>IFERROR(IF(INDEX(ERP資料!$B:$B, (MATCH(122, 輔助計算!$E$2:$E$801, 0)+1))="","",INDEX(ERP資料!$B:$B, (MATCH(122, 輔助計算!$E$2:$E$801, 0)+1))), "")</f>
        <v/>
      </c>
      <c r="B123" s="10">
        <f>IFERROR(IF(INDEX(ERP資料!$A:$A, (MATCH(122, 輔助計算!$E$2:$E$801, 0)+1))="","",INDEX(ERP資料!$A:$A, (MATCH(122, 輔助計算!$E$2:$E$801, 0)+1))), "")</f>
        <v/>
      </c>
      <c r="C123" s="10">
        <f>IFERROR(IF(INDEX(ERP資料!$S:$S, (MATCH(122, 輔助計算!$E$2:$E$801, 0)+1))="","",INDEX(ERP資料!$S:$S, (MATCH(122, 輔助計算!$E$2:$E$801, 0)+1))), "")</f>
        <v/>
      </c>
      <c r="D123" s="10">
        <f>IFERROR(IF(INDEX(ERP資料!$E:$E, (MATCH(122, 輔助計算!$E$2:$E$801, 0)+1))="","",TRIM(INDEX(ERP資料!$E:$E, (MATCH(122, 輔助計算!$E$2:$E$801, 0)+1)))), "")</f>
        <v/>
      </c>
      <c r="E123" s="10">
        <f>IFERROR(IF(INDEX(ERP資料!$F:$F, (MATCH(122, 輔助計算!$E$2:$E$801, 0)+1))="","",INDEX(ERP資料!$F:$F, (MATCH(122, 輔助計算!$E$2:$E$801, 0)+1))), "")</f>
        <v/>
      </c>
      <c r="F123" s="10">
        <f>IFERROR(IF(INDEX(ERP資料!$G:$G, (MATCH(122, 輔助計算!$E$2:$E$801, 0)+1))="","",INDEX(ERP資料!$G:$G, (MATCH(122, 輔助計算!$E$2:$E$801, 0)+1))), "")</f>
        <v/>
      </c>
      <c r="G123" s="10">
        <f>IFERROR(IF(INDEX(ERP資料!$H:$H, (MATCH(122, 輔助計算!$E$2:$E$801, 0)+1))="","",INDEX(ERP資料!$H:$H, (MATCH(122, 輔助計算!$E$2:$E$801, 0)+1))), "")</f>
        <v/>
      </c>
      <c r="H123" s="15">
        <f>IFERROR(INDEX(輔助計算!$D:$D, (MATCH(122, 輔助計算!$E$2:$E$801, 0)+1)), "")</f>
        <v/>
      </c>
      <c r="I123" s="10">
        <f>IFERROR(IF(INDEX(ERP資料!$O:$O, (MATCH(122, 輔助計算!$E$2:$E$801, 0)+1))="","",INDEX(ERP資料!$O:$O, (MATCH(122, 輔助計算!$E$2:$E$801, 0)+1))), "")</f>
        <v/>
      </c>
      <c r="J123" s="15">
        <f>IFERROR(IF(INDEX(輔助計算!$D:$D,(MATCH(122, 輔助計算!$E$2:$E$801, 0)+1))="","",INDEX(輔助計算!$D:$D,(MATCH(122, 輔助計算!$E$2:$E$801, 0)+1))*INDEX(ERP資料!$O:$O,(MATCH(122, 輔助計算!$E$2:$E$801, 0)+1))), "")</f>
        <v/>
      </c>
      <c r="K123" s="16" t="n"/>
      <c r="L123" s="16" t="n"/>
      <c r="M123" s="17" t="n"/>
    </row>
    <row r="124">
      <c r="A124" s="14">
        <f>IFERROR(IF(INDEX(ERP資料!$B:$B, (MATCH(123, 輔助計算!$E$2:$E$801, 0)+1))="","",INDEX(ERP資料!$B:$B, (MATCH(123, 輔助計算!$E$2:$E$801, 0)+1))), "")</f>
        <v/>
      </c>
      <c r="B124" s="10">
        <f>IFERROR(IF(INDEX(ERP資料!$A:$A, (MATCH(123, 輔助計算!$E$2:$E$801, 0)+1))="","",INDEX(ERP資料!$A:$A, (MATCH(123, 輔助計算!$E$2:$E$801, 0)+1))), "")</f>
        <v/>
      </c>
      <c r="C124" s="10">
        <f>IFERROR(IF(INDEX(ERP資料!$S:$S, (MATCH(123, 輔助計算!$E$2:$E$801, 0)+1))="","",INDEX(ERP資料!$S:$S, (MATCH(123, 輔助計算!$E$2:$E$801, 0)+1))), "")</f>
        <v/>
      </c>
      <c r="D124" s="10">
        <f>IFERROR(IF(INDEX(ERP資料!$E:$E, (MATCH(123, 輔助計算!$E$2:$E$801, 0)+1))="","",TRIM(INDEX(ERP資料!$E:$E, (MATCH(123, 輔助計算!$E$2:$E$801, 0)+1)))), "")</f>
        <v/>
      </c>
      <c r="E124" s="10">
        <f>IFERROR(IF(INDEX(ERP資料!$F:$F, (MATCH(123, 輔助計算!$E$2:$E$801, 0)+1))="","",INDEX(ERP資料!$F:$F, (MATCH(123, 輔助計算!$E$2:$E$801, 0)+1))), "")</f>
        <v/>
      </c>
      <c r="F124" s="10">
        <f>IFERROR(IF(INDEX(ERP資料!$G:$G, (MATCH(123, 輔助計算!$E$2:$E$801, 0)+1))="","",INDEX(ERP資料!$G:$G, (MATCH(123, 輔助計算!$E$2:$E$801, 0)+1))), "")</f>
        <v/>
      </c>
      <c r="G124" s="10">
        <f>IFERROR(IF(INDEX(ERP資料!$H:$H, (MATCH(123, 輔助計算!$E$2:$E$801, 0)+1))="","",INDEX(ERP資料!$H:$H, (MATCH(123, 輔助計算!$E$2:$E$801, 0)+1))), "")</f>
        <v/>
      </c>
      <c r="H124" s="15">
        <f>IFERROR(INDEX(輔助計算!$D:$D, (MATCH(123, 輔助計算!$E$2:$E$801, 0)+1)), "")</f>
        <v/>
      </c>
      <c r="I124" s="10">
        <f>IFERROR(IF(INDEX(ERP資料!$O:$O, (MATCH(123, 輔助計算!$E$2:$E$801, 0)+1))="","",INDEX(ERP資料!$O:$O, (MATCH(123, 輔助計算!$E$2:$E$801, 0)+1))), "")</f>
        <v/>
      </c>
      <c r="J124" s="15">
        <f>IFERROR(IF(INDEX(輔助計算!$D:$D,(MATCH(123, 輔助計算!$E$2:$E$801, 0)+1))="","",INDEX(輔助計算!$D:$D,(MATCH(123, 輔助計算!$E$2:$E$801, 0)+1))*INDEX(ERP資料!$O:$O,(MATCH(123, 輔助計算!$E$2:$E$801, 0)+1))), "")</f>
        <v/>
      </c>
      <c r="K124" s="16" t="n"/>
      <c r="L124" s="16" t="n"/>
      <c r="M124" s="17" t="n"/>
    </row>
    <row r="125">
      <c r="A125" s="14">
        <f>IFERROR(IF(INDEX(ERP資料!$B:$B, (MATCH(124, 輔助計算!$E$2:$E$801, 0)+1))="","",INDEX(ERP資料!$B:$B, (MATCH(124, 輔助計算!$E$2:$E$801, 0)+1))), "")</f>
        <v/>
      </c>
      <c r="B125" s="10">
        <f>IFERROR(IF(INDEX(ERP資料!$A:$A, (MATCH(124, 輔助計算!$E$2:$E$801, 0)+1))="","",INDEX(ERP資料!$A:$A, (MATCH(124, 輔助計算!$E$2:$E$801, 0)+1))), "")</f>
        <v/>
      </c>
      <c r="C125" s="10">
        <f>IFERROR(IF(INDEX(ERP資料!$S:$S, (MATCH(124, 輔助計算!$E$2:$E$801, 0)+1))="","",INDEX(ERP資料!$S:$S, (MATCH(124, 輔助計算!$E$2:$E$801, 0)+1))), "")</f>
        <v/>
      </c>
      <c r="D125" s="10">
        <f>IFERROR(IF(INDEX(ERP資料!$E:$E, (MATCH(124, 輔助計算!$E$2:$E$801, 0)+1))="","",TRIM(INDEX(ERP資料!$E:$E, (MATCH(124, 輔助計算!$E$2:$E$801, 0)+1)))), "")</f>
        <v/>
      </c>
      <c r="E125" s="10">
        <f>IFERROR(IF(INDEX(ERP資料!$F:$F, (MATCH(124, 輔助計算!$E$2:$E$801, 0)+1))="","",INDEX(ERP資料!$F:$F, (MATCH(124, 輔助計算!$E$2:$E$801, 0)+1))), "")</f>
        <v/>
      </c>
      <c r="F125" s="10">
        <f>IFERROR(IF(INDEX(ERP資料!$G:$G, (MATCH(124, 輔助計算!$E$2:$E$801, 0)+1))="","",INDEX(ERP資料!$G:$G, (MATCH(124, 輔助計算!$E$2:$E$801, 0)+1))), "")</f>
        <v/>
      </c>
      <c r="G125" s="10">
        <f>IFERROR(IF(INDEX(ERP資料!$H:$H, (MATCH(124, 輔助計算!$E$2:$E$801, 0)+1))="","",INDEX(ERP資料!$H:$H, (MATCH(124, 輔助計算!$E$2:$E$801, 0)+1))), "")</f>
        <v/>
      </c>
      <c r="H125" s="15">
        <f>IFERROR(INDEX(輔助計算!$D:$D, (MATCH(124, 輔助計算!$E$2:$E$801, 0)+1)), "")</f>
        <v/>
      </c>
      <c r="I125" s="10">
        <f>IFERROR(IF(INDEX(ERP資料!$O:$O, (MATCH(124, 輔助計算!$E$2:$E$801, 0)+1))="","",INDEX(ERP資料!$O:$O, (MATCH(124, 輔助計算!$E$2:$E$801, 0)+1))), "")</f>
        <v/>
      </c>
      <c r="J125" s="15">
        <f>IFERROR(IF(INDEX(輔助計算!$D:$D,(MATCH(124, 輔助計算!$E$2:$E$801, 0)+1))="","",INDEX(輔助計算!$D:$D,(MATCH(124, 輔助計算!$E$2:$E$801, 0)+1))*INDEX(ERP資料!$O:$O,(MATCH(124, 輔助計算!$E$2:$E$801, 0)+1))), "")</f>
        <v/>
      </c>
      <c r="K125" s="16" t="n"/>
      <c r="L125" s="16" t="n"/>
      <c r="M125" s="17" t="n"/>
    </row>
    <row r="126">
      <c r="A126" s="14">
        <f>IFERROR(IF(INDEX(ERP資料!$B:$B, (MATCH(125, 輔助計算!$E$2:$E$801, 0)+1))="","",INDEX(ERP資料!$B:$B, (MATCH(125, 輔助計算!$E$2:$E$801, 0)+1))), "")</f>
        <v/>
      </c>
      <c r="B126" s="10">
        <f>IFERROR(IF(INDEX(ERP資料!$A:$A, (MATCH(125, 輔助計算!$E$2:$E$801, 0)+1))="","",INDEX(ERP資料!$A:$A, (MATCH(125, 輔助計算!$E$2:$E$801, 0)+1))), "")</f>
        <v/>
      </c>
      <c r="C126" s="10">
        <f>IFERROR(IF(INDEX(ERP資料!$S:$S, (MATCH(125, 輔助計算!$E$2:$E$801, 0)+1))="","",INDEX(ERP資料!$S:$S, (MATCH(125, 輔助計算!$E$2:$E$801, 0)+1))), "")</f>
        <v/>
      </c>
      <c r="D126" s="10">
        <f>IFERROR(IF(INDEX(ERP資料!$E:$E, (MATCH(125, 輔助計算!$E$2:$E$801, 0)+1))="","",TRIM(INDEX(ERP資料!$E:$E, (MATCH(125, 輔助計算!$E$2:$E$801, 0)+1)))), "")</f>
        <v/>
      </c>
      <c r="E126" s="10">
        <f>IFERROR(IF(INDEX(ERP資料!$F:$F, (MATCH(125, 輔助計算!$E$2:$E$801, 0)+1))="","",INDEX(ERP資料!$F:$F, (MATCH(125, 輔助計算!$E$2:$E$801, 0)+1))), "")</f>
        <v/>
      </c>
      <c r="F126" s="10">
        <f>IFERROR(IF(INDEX(ERP資料!$G:$G, (MATCH(125, 輔助計算!$E$2:$E$801, 0)+1))="","",INDEX(ERP資料!$G:$G, (MATCH(125, 輔助計算!$E$2:$E$801, 0)+1))), "")</f>
        <v/>
      </c>
      <c r="G126" s="10">
        <f>IFERROR(IF(INDEX(ERP資料!$H:$H, (MATCH(125, 輔助計算!$E$2:$E$801, 0)+1))="","",INDEX(ERP資料!$H:$H, (MATCH(125, 輔助計算!$E$2:$E$801, 0)+1))), "")</f>
        <v/>
      </c>
      <c r="H126" s="15">
        <f>IFERROR(INDEX(輔助計算!$D:$D, (MATCH(125, 輔助計算!$E$2:$E$801, 0)+1)), "")</f>
        <v/>
      </c>
      <c r="I126" s="10">
        <f>IFERROR(IF(INDEX(ERP資料!$O:$O, (MATCH(125, 輔助計算!$E$2:$E$801, 0)+1))="","",INDEX(ERP資料!$O:$O, (MATCH(125, 輔助計算!$E$2:$E$801, 0)+1))), "")</f>
        <v/>
      </c>
      <c r="J126" s="15">
        <f>IFERROR(IF(INDEX(輔助計算!$D:$D,(MATCH(125, 輔助計算!$E$2:$E$801, 0)+1))="","",INDEX(輔助計算!$D:$D,(MATCH(125, 輔助計算!$E$2:$E$801, 0)+1))*INDEX(ERP資料!$O:$O,(MATCH(125, 輔助計算!$E$2:$E$801, 0)+1))), "")</f>
        <v/>
      </c>
      <c r="K126" s="16" t="n"/>
      <c r="L126" s="16" t="n"/>
      <c r="M126" s="17" t="n"/>
    </row>
    <row r="127">
      <c r="A127" s="14">
        <f>IFERROR(IF(INDEX(ERP資料!$B:$B, (MATCH(126, 輔助計算!$E$2:$E$801, 0)+1))="","",INDEX(ERP資料!$B:$B, (MATCH(126, 輔助計算!$E$2:$E$801, 0)+1))), "")</f>
        <v/>
      </c>
      <c r="B127" s="10">
        <f>IFERROR(IF(INDEX(ERP資料!$A:$A, (MATCH(126, 輔助計算!$E$2:$E$801, 0)+1))="","",INDEX(ERP資料!$A:$A, (MATCH(126, 輔助計算!$E$2:$E$801, 0)+1))), "")</f>
        <v/>
      </c>
      <c r="C127" s="10">
        <f>IFERROR(IF(INDEX(ERP資料!$S:$S, (MATCH(126, 輔助計算!$E$2:$E$801, 0)+1))="","",INDEX(ERP資料!$S:$S, (MATCH(126, 輔助計算!$E$2:$E$801, 0)+1))), "")</f>
        <v/>
      </c>
      <c r="D127" s="10">
        <f>IFERROR(IF(INDEX(ERP資料!$E:$E, (MATCH(126, 輔助計算!$E$2:$E$801, 0)+1))="","",TRIM(INDEX(ERP資料!$E:$E, (MATCH(126, 輔助計算!$E$2:$E$801, 0)+1)))), "")</f>
        <v/>
      </c>
      <c r="E127" s="10">
        <f>IFERROR(IF(INDEX(ERP資料!$F:$F, (MATCH(126, 輔助計算!$E$2:$E$801, 0)+1))="","",INDEX(ERP資料!$F:$F, (MATCH(126, 輔助計算!$E$2:$E$801, 0)+1))), "")</f>
        <v/>
      </c>
      <c r="F127" s="10">
        <f>IFERROR(IF(INDEX(ERP資料!$G:$G, (MATCH(126, 輔助計算!$E$2:$E$801, 0)+1))="","",INDEX(ERP資料!$G:$G, (MATCH(126, 輔助計算!$E$2:$E$801, 0)+1))), "")</f>
        <v/>
      </c>
      <c r="G127" s="10">
        <f>IFERROR(IF(INDEX(ERP資料!$H:$H, (MATCH(126, 輔助計算!$E$2:$E$801, 0)+1))="","",INDEX(ERP資料!$H:$H, (MATCH(126, 輔助計算!$E$2:$E$801, 0)+1))), "")</f>
        <v/>
      </c>
      <c r="H127" s="15">
        <f>IFERROR(INDEX(輔助計算!$D:$D, (MATCH(126, 輔助計算!$E$2:$E$801, 0)+1)), "")</f>
        <v/>
      </c>
      <c r="I127" s="10">
        <f>IFERROR(IF(INDEX(ERP資料!$O:$O, (MATCH(126, 輔助計算!$E$2:$E$801, 0)+1))="","",INDEX(ERP資料!$O:$O, (MATCH(126, 輔助計算!$E$2:$E$801, 0)+1))), "")</f>
        <v/>
      </c>
      <c r="J127" s="15">
        <f>IFERROR(IF(INDEX(輔助計算!$D:$D,(MATCH(126, 輔助計算!$E$2:$E$801, 0)+1))="","",INDEX(輔助計算!$D:$D,(MATCH(126, 輔助計算!$E$2:$E$801, 0)+1))*INDEX(ERP資料!$O:$O,(MATCH(126, 輔助計算!$E$2:$E$801, 0)+1))), "")</f>
        <v/>
      </c>
      <c r="K127" s="16" t="n"/>
      <c r="L127" s="16" t="n"/>
      <c r="M127" s="17" t="n"/>
    </row>
    <row r="128">
      <c r="A128" s="14">
        <f>IFERROR(IF(INDEX(ERP資料!$B:$B, (MATCH(127, 輔助計算!$E$2:$E$801, 0)+1))="","",INDEX(ERP資料!$B:$B, (MATCH(127, 輔助計算!$E$2:$E$801, 0)+1))), "")</f>
        <v/>
      </c>
      <c r="B128" s="10">
        <f>IFERROR(IF(INDEX(ERP資料!$A:$A, (MATCH(127, 輔助計算!$E$2:$E$801, 0)+1))="","",INDEX(ERP資料!$A:$A, (MATCH(127, 輔助計算!$E$2:$E$801, 0)+1))), "")</f>
        <v/>
      </c>
      <c r="C128" s="10">
        <f>IFERROR(IF(INDEX(ERP資料!$S:$S, (MATCH(127, 輔助計算!$E$2:$E$801, 0)+1))="","",INDEX(ERP資料!$S:$S, (MATCH(127, 輔助計算!$E$2:$E$801, 0)+1))), "")</f>
        <v/>
      </c>
      <c r="D128" s="10">
        <f>IFERROR(IF(INDEX(ERP資料!$E:$E, (MATCH(127, 輔助計算!$E$2:$E$801, 0)+1))="","",TRIM(INDEX(ERP資料!$E:$E, (MATCH(127, 輔助計算!$E$2:$E$801, 0)+1)))), "")</f>
        <v/>
      </c>
      <c r="E128" s="10">
        <f>IFERROR(IF(INDEX(ERP資料!$F:$F, (MATCH(127, 輔助計算!$E$2:$E$801, 0)+1))="","",INDEX(ERP資料!$F:$F, (MATCH(127, 輔助計算!$E$2:$E$801, 0)+1))), "")</f>
        <v/>
      </c>
      <c r="F128" s="10">
        <f>IFERROR(IF(INDEX(ERP資料!$G:$G, (MATCH(127, 輔助計算!$E$2:$E$801, 0)+1))="","",INDEX(ERP資料!$G:$G, (MATCH(127, 輔助計算!$E$2:$E$801, 0)+1))), "")</f>
        <v/>
      </c>
      <c r="G128" s="10">
        <f>IFERROR(IF(INDEX(ERP資料!$H:$H, (MATCH(127, 輔助計算!$E$2:$E$801, 0)+1))="","",INDEX(ERP資料!$H:$H, (MATCH(127, 輔助計算!$E$2:$E$801, 0)+1))), "")</f>
        <v/>
      </c>
      <c r="H128" s="15">
        <f>IFERROR(INDEX(輔助計算!$D:$D, (MATCH(127, 輔助計算!$E$2:$E$801, 0)+1)), "")</f>
        <v/>
      </c>
      <c r="I128" s="10">
        <f>IFERROR(IF(INDEX(ERP資料!$O:$O, (MATCH(127, 輔助計算!$E$2:$E$801, 0)+1))="","",INDEX(ERP資料!$O:$O, (MATCH(127, 輔助計算!$E$2:$E$801, 0)+1))), "")</f>
        <v/>
      </c>
      <c r="J128" s="15">
        <f>IFERROR(IF(INDEX(輔助計算!$D:$D,(MATCH(127, 輔助計算!$E$2:$E$801, 0)+1))="","",INDEX(輔助計算!$D:$D,(MATCH(127, 輔助計算!$E$2:$E$801, 0)+1))*INDEX(ERP資料!$O:$O,(MATCH(127, 輔助計算!$E$2:$E$801, 0)+1))), "")</f>
        <v/>
      </c>
      <c r="K128" s="16" t="n"/>
      <c r="L128" s="16" t="n"/>
      <c r="M128" s="17" t="n"/>
    </row>
    <row r="129">
      <c r="A129" s="14">
        <f>IFERROR(IF(INDEX(ERP資料!$B:$B, (MATCH(128, 輔助計算!$E$2:$E$801, 0)+1))="","",INDEX(ERP資料!$B:$B, (MATCH(128, 輔助計算!$E$2:$E$801, 0)+1))), "")</f>
        <v/>
      </c>
      <c r="B129" s="10">
        <f>IFERROR(IF(INDEX(ERP資料!$A:$A, (MATCH(128, 輔助計算!$E$2:$E$801, 0)+1))="","",INDEX(ERP資料!$A:$A, (MATCH(128, 輔助計算!$E$2:$E$801, 0)+1))), "")</f>
        <v/>
      </c>
      <c r="C129" s="10">
        <f>IFERROR(IF(INDEX(ERP資料!$S:$S, (MATCH(128, 輔助計算!$E$2:$E$801, 0)+1))="","",INDEX(ERP資料!$S:$S, (MATCH(128, 輔助計算!$E$2:$E$801, 0)+1))), "")</f>
        <v/>
      </c>
      <c r="D129" s="10">
        <f>IFERROR(IF(INDEX(ERP資料!$E:$E, (MATCH(128, 輔助計算!$E$2:$E$801, 0)+1))="","",TRIM(INDEX(ERP資料!$E:$E, (MATCH(128, 輔助計算!$E$2:$E$801, 0)+1)))), "")</f>
        <v/>
      </c>
      <c r="E129" s="10">
        <f>IFERROR(IF(INDEX(ERP資料!$F:$F, (MATCH(128, 輔助計算!$E$2:$E$801, 0)+1))="","",INDEX(ERP資料!$F:$F, (MATCH(128, 輔助計算!$E$2:$E$801, 0)+1))), "")</f>
        <v/>
      </c>
      <c r="F129" s="10">
        <f>IFERROR(IF(INDEX(ERP資料!$G:$G, (MATCH(128, 輔助計算!$E$2:$E$801, 0)+1))="","",INDEX(ERP資料!$G:$G, (MATCH(128, 輔助計算!$E$2:$E$801, 0)+1))), "")</f>
        <v/>
      </c>
      <c r="G129" s="10">
        <f>IFERROR(IF(INDEX(ERP資料!$H:$H, (MATCH(128, 輔助計算!$E$2:$E$801, 0)+1))="","",INDEX(ERP資料!$H:$H, (MATCH(128, 輔助計算!$E$2:$E$801, 0)+1))), "")</f>
        <v/>
      </c>
      <c r="H129" s="15">
        <f>IFERROR(INDEX(輔助計算!$D:$D, (MATCH(128, 輔助計算!$E$2:$E$801, 0)+1)), "")</f>
        <v/>
      </c>
      <c r="I129" s="10">
        <f>IFERROR(IF(INDEX(ERP資料!$O:$O, (MATCH(128, 輔助計算!$E$2:$E$801, 0)+1))="","",INDEX(ERP資料!$O:$O, (MATCH(128, 輔助計算!$E$2:$E$801, 0)+1))), "")</f>
        <v/>
      </c>
      <c r="J129" s="15">
        <f>IFERROR(IF(INDEX(輔助計算!$D:$D,(MATCH(128, 輔助計算!$E$2:$E$801, 0)+1))="","",INDEX(輔助計算!$D:$D,(MATCH(128, 輔助計算!$E$2:$E$801, 0)+1))*INDEX(ERP資料!$O:$O,(MATCH(128, 輔助計算!$E$2:$E$801, 0)+1))), "")</f>
        <v/>
      </c>
      <c r="K129" s="16" t="n"/>
      <c r="L129" s="16" t="n"/>
      <c r="M129" s="17" t="n"/>
    </row>
    <row r="130">
      <c r="A130" s="14">
        <f>IFERROR(IF(INDEX(ERP資料!$B:$B, (MATCH(129, 輔助計算!$E$2:$E$801, 0)+1))="","",INDEX(ERP資料!$B:$B, (MATCH(129, 輔助計算!$E$2:$E$801, 0)+1))), "")</f>
        <v/>
      </c>
      <c r="B130" s="10">
        <f>IFERROR(IF(INDEX(ERP資料!$A:$A, (MATCH(129, 輔助計算!$E$2:$E$801, 0)+1))="","",INDEX(ERP資料!$A:$A, (MATCH(129, 輔助計算!$E$2:$E$801, 0)+1))), "")</f>
        <v/>
      </c>
      <c r="C130" s="10">
        <f>IFERROR(IF(INDEX(ERP資料!$S:$S, (MATCH(129, 輔助計算!$E$2:$E$801, 0)+1))="","",INDEX(ERP資料!$S:$S, (MATCH(129, 輔助計算!$E$2:$E$801, 0)+1))), "")</f>
        <v/>
      </c>
      <c r="D130" s="10">
        <f>IFERROR(IF(INDEX(ERP資料!$E:$E, (MATCH(129, 輔助計算!$E$2:$E$801, 0)+1))="","",TRIM(INDEX(ERP資料!$E:$E, (MATCH(129, 輔助計算!$E$2:$E$801, 0)+1)))), "")</f>
        <v/>
      </c>
      <c r="E130" s="10">
        <f>IFERROR(IF(INDEX(ERP資料!$F:$F, (MATCH(129, 輔助計算!$E$2:$E$801, 0)+1))="","",INDEX(ERP資料!$F:$F, (MATCH(129, 輔助計算!$E$2:$E$801, 0)+1))), "")</f>
        <v/>
      </c>
      <c r="F130" s="10">
        <f>IFERROR(IF(INDEX(ERP資料!$G:$G, (MATCH(129, 輔助計算!$E$2:$E$801, 0)+1))="","",INDEX(ERP資料!$G:$G, (MATCH(129, 輔助計算!$E$2:$E$801, 0)+1))), "")</f>
        <v/>
      </c>
      <c r="G130" s="10">
        <f>IFERROR(IF(INDEX(ERP資料!$H:$H, (MATCH(129, 輔助計算!$E$2:$E$801, 0)+1))="","",INDEX(ERP資料!$H:$H, (MATCH(129, 輔助計算!$E$2:$E$801, 0)+1))), "")</f>
        <v/>
      </c>
      <c r="H130" s="15">
        <f>IFERROR(INDEX(輔助計算!$D:$D, (MATCH(129, 輔助計算!$E$2:$E$801, 0)+1)), "")</f>
        <v/>
      </c>
      <c r="I130" s="10">
        <f>IFERROR(IF(INDEX(ERP資料!$O:$O, (MATCH(129, 輔助計算!$E$2:$E$801, 0)+1))="","",INDEX(ERP資料!$O:$O, (MATCH(129, 輔助計算!$E$2:$E$801, 0)+1))), "")</f>
        <v/>
      </c>
      <c r="J130" s="15">
        <f>IFERROR(IF(INDEX(輔助計算!$D:$D,(MATCH(129, 輔助計算!$E$2:$E$801, 0)+1))="","",INDEX(輔助計算!$D:$D,(MATCH(129, 輔助計算!$E$2:$E$801, 0)+1))*INDEX(ERP資料!$O:$O,(MATCH(129, 輔助計算!$E$2:$E$801, 0)+1))), "")</f>
        <v/>
      </c>
      <c r="K130" s="16" t="n"/>
      <c r="L130" s="16" t="n"/>
      <c r="M130" s="17" t="n"/>
    </row>
    <row r="131">
      <c r="A131" s="14">
        <f>IFERROR(IF(INDEX(ERP資料!$B:$B, (MATCH(130, 輔助計算!$E$2:$E$801, 0)+1))="","",INDEX(ERP資料!$B:$B, (MATCH(130, 輔助計算!$E$2:$E$801, 0)+1))), "")</f>
        <v/>
      </c>
      <c r="B131" s="10">
        <f>IFERROR(IF(INDEX(ERP資料!$A:$A, (MATCH(130, 輔助計算!$E$2:$E$801, 0)+1))="","",INDEX(ERP資料!$A:$A, (MATCH(130, 輔助計算!$E$2:$E$801, 0)+1))), "")</f>
        <v/>
      </c>
      <c r="C131" s="10">
        <f>IFERROR(IF(INDEX(ERP資料!$S:$S, (MATCH(130, 輔助計算!$E$2:$E$801, 0)+1))="","",INDEX(ERP資料!$S:$S, (MATCH(130, 輔助計算!$E$2:$E$801, 0)+1))), "")</f>
        <v/>
      </c>
      <c r="D131" s="10">
        <f>IFERROR(IF(INDEX(ERP資料!$E:$E, (MATCH(130, 輔助計算!$E$2:$E$801, 0)+1))="","",TRIM(INDEX(ERP資料!$E:$E, (MATCH(130, 輔助計算!$E$2:$E$801, 0)+1)))), "")</f>
        <v/>
      </c>
      <c r="E131" s="10">
        <f>IFERROR(IF(INDEX(ERP資料!$F:$F, (MATCH(130, 輔助計算!$E$2:$E$801, 0)+1))="","",INDEX(ERP資料!$F:$F, (MATCH(130, 輔助計算!$E$2:$E$801, 0)+1))), "")</f>
        <v/>
      </c>
      <c r="F131" s="10">
        <f>IFERROR(IF(INDEX(ERP資料!$G:$G, (MATCH(130, 輔助計算!$E$2:$E$801, 0)+1))="","",INDEX(ERP資料!$G:$G, (MATCH(130, 輔助計算!$E$2:$E$801, 0)+1))), "")</f>
        <v/>
      </c>
      <c r="G131" s="10">
        <f>IFERROR(IF(INDEX(ERP資料!$H:$H, (MATCH(130, 輔助計算!$E$2:$E$801, 0)+1))="","",INDEX(ERP資料!$H:$H, (MATCH(130, 輔助計算!$E$2:$E$801, 0)+1))), "")</f>
        <v/>
      </c>
      <c r="H131" s="15">
        <f>IFERROR(INDEX(輔助計算!$D:$D, (MATCH(130, 輔助計算!$E$2:$E$801, 0)+1)), "")</f>
        <v/>
      </c>
      <c r="I131" s="10">
        <f>IFERROR(IF(INDEX(ERP資料!$O:$O, (MATCH(130, 輔助計算!$E$2:$E$801, 0)+1))="","",INDEX(ERP資料!$O:$O, (MATCH(130, 輔助計算!$E$2:$E$801, 0)+1))), "")</f>
        <v/>
      </c>
      <c r="J131" s="15">
        <f>IFERROR(IF(INDEX(輔助計算!$D:$D,(MATCH(130, 輔助計算!$E$2:$E$801, 0)+1))="","",INDEX(輔助計算!$D:$D,(MATCH(130, 輔助計算!$E$2:$E$801, 0)+1))*INDEX(ERP資料!$O:$O,(MATCH(130, 輔助計算!$E$2:$E$801, 0)+1))), "")</f>
        <v/>
      </c>
      <c r="K131" s="16" t="n"/>
      <c r="L131" s="16" t="n"/>
      <c r="M131" s="17" t="n"/>
    </row>
    <row r="132">
      <c r="A132" s="14">
        <f>IFERROR(IF(INDEX(ERP資料!$B:$B, (MATCH(131, 輔助計算!$E$2:$E$801, 0)+1))="","",INDEX(ERP資料!$B:$B, (MATCH(131, 輔助計算!$E$2:$E$801, 0)+1))), "")</f>
        <v/>
      </c>
      <c r="B132" s="10">
        <f>IFERROR(IF(INDEX(ERP資料!$A:$A, (MATCH(131, 輔助計算!$E$2:$E$801, 0)+1))="","",INDEX(ERP資料!$A:$A, (MATCH(131, 輔助計算!$E$2:$E$801, 0)+1))), "")</f>
        <v/>
      </c>
      <c r="C132" s="10">
        <f>IFERROR(IF(INDEX(ERP資料!$S:$S, (MATCH(131, 輔助計算!$E$2:$E$801, 0)+1))="","",INDEX(ERP資料!$S:$S, (MATCH(131, 輔助計算!$E$2:$E$801, 0)+1))), "")</f>
        <v/>
      </c>
      <c r="D132" s="10">
        <f>IFERROR(IF(INDEX(ERP資料!$E:$E, (MATCH(131, 輔助計算!$E$2:$E$801, 0)+1))="","",TRIM(INDEX(ERP資料!$E:$E, (MATCH(131, 輔助計算!$E$2:$E$801, 0)+1)))), "")</f>
        <v/>
      </c>
      <c r="E132" s="10">
        <f>IFERROR(IF(INDEX(ERP資料!$F:$F, (MATCH(131, 輔助計算!$E$2:$E$801, 0)+1))="","",INDEX(ERP資料!$F:$F, (MATCH(131, 輔助計算!$E$2:$E$801, 0)+1))), "")</f>
        <v/>
      </c>
      <c r="F132" s="10">
        <f>IFERROR(IF(INDEX(ERP資料!$G:$G, (MATCH(131, 輔助計算!$E$2:$E$801, 0)+1))="","",INDEX(ERP資料!$G:$G, (MATCH(131, 輔助計算!$E$2:$E$801, 0)+1))), "")</f>
        <v/>
      </c>
      <c r="G132" s="10">
        <f>IFERROR(IF(INDEX(ERP資料!$H:$H, (MATCH(131, 輔助計算!$E$2:$E$801, 0)+1))="","",INDEX(ERP資料!$H:$H, (MATCH(131, 輔助計算!$E$2:$E$801, 0)+1))), "")</f>
        <v/>
      </c>
      <c r="H132" s="15">
        <f>IFERROR(INDEX(輔助計算!$D:$D, (MATCH(131, 輔助計算!$E$2:$E$801, 0)+1)), "")</f>
        <v/>
      </c>
      <c r="I132" s="10">
        <f>IFERROR(IF(INDEX(ERP資料!$O:$O, (MATCH(131, 輔助計算!$E$2:$E$801, 0)+1))="","",INDEX(ERP資料!$O:$O, (MATCH(131, 輔助計算!$E$2:$E$801, 0)+1))), "")</f>
        <v/>
      </c>
      <c r="J132" s="15">
        <f>IFERROR(IF(INDEX(輔助計算!$D:$D,(MATCH(131, 輔助計算!$E$2:$E$801, 0)+1))="","",INDEX(輔助計算!$D:$D,(MATCH(131, 輔助計算!$E$2:$E$801, 0)+1))*INDEX(ERP資料!$O:$O,(MATCH(131, 輔助計算!$E$2:$E$801, 0)+1))), "")</f>
        <v/>
      </c>
      <c r="K132" s="16" t="n"/>
      <c r="L132" s="16" t="n"/>
      <c r="M132" s="17" t="n"/>
    </row>
    <row r="133">
      <c r="A133" s="14">
        <f>IFERROR(IF(INDEX(ERP資料!$B:$B, (MATCH(132, 輔助計算!$E$2:$E$801, 0)+1))="","",INDEX(ERP資料!$B:$B, (MATCH(132, 輔助計算!$E$2:$E$801, 0)+1))), "")</f>
        <v/>
      </c>
      <c r="B133" s="10">
        <f>IFERROR(IF(INDEX(ERP資料!$A:$A, (MATCH(132, 輔助計算!$E$2:$E$801, 0)+1))="","",INDEX(ERP資料!$A:$A, (MATCH(132, 輔助計算!$E$2:$E$801, 0)+1))), "")</f>
        <v/>
      </c>
      <c r="C133" s="10">
        <f>IFERROR(IF(INDEX(ERP資料!$S:$S, (MATCH(132, 輔助計算!$E$2:$E$801, 0)+1))="","",INDEX(ERP資料!$S:$S, (MATCH(132, 輔助計算!$E$2:$E$801, 0)+1))), "")</f>
        <v/>
      </c>
      <c r="D133" s="10">
        <f>IFERROR(IF(INDEX(ERP資料!$E:$E, (MATCH(132, 輔助計算!$E$2:$E$801, 0)+1))="","",TRIM(INDEX(ERP資料!$E:$E, (MATCH(132, 輔助計算!$E$2:$E$801, 0)+1)))), "")</f>
        <v/>
      </c>
      <c r="E133" s="10">
        <f>IFERROR(IF(INDEX(ERP資料!$F:$F, (MATCH(132, 輔助計算!$E$2:$E$801, 0)+1))="","",INDEX(ERP資料!$F:$F, (MATCH(132, 輔助計算!$E$2:$E$801, 0)+1))), "")</f>
        <v/>
      </c>
      <c r="F133" s="10">
        <f>IFERROR(IF(INDEX(ERP資料!$G:$G, (MATCH(132, 輔助計算!$E$2:$E$801, 0)+1))="","",INDEX(ERP資料!$G:$G, (MATCH(132, 輔助計算!$E$2:$E$801, 0)+1))), "")</f>
        <v/>
      </c>
      <c r="G133" s="10">
        <f>IFERROR(IF(INDEX(ERP資料!$H:$H, (MATCH(132, 輔助計算!$E$2:$E$801, 0)+1))="","",INDEX(ERP資料!$H:$H, (MATCH(132, 輔助計算!$E$2:$E$801, 0)+1))), "")</f>
        <v/>
      </c>
      <c r="H133" s="15">
        <f>IFERROR(INDEX(輔助計算!$D:$D, (MATCH(132, 輔助計算!$E$2:$E$801, 0)+1)), "")</f>
        <v/>
      </c>
      <c r="I133" s="10">
        <f>IFERROR(IF(INDEX(ERP資料!$O:$O, (MATCH(132, 輔助計算!$E$2:$E$801, 0)+1))="","",INDEX(ERP資料!$O:$O, (MATCH(132, 輔助計算!$E$2:$E$801, 0)+1))), "")</f>
        <v/>
      </c>
      <c r="J133" s="15">
        <f>IFERROR(IF(INDEX(輔助計算!$D:$D,(MATCH(132, 輔助計算!$E$2:$E$801, 0)+1))="","",INDEX(輔助計算!$D:$D,(MATCH(132, 輔助計算!$E$2:$E$801, 0)+1))*INDEX(ERP資料!$O:$O,(MATCH(132, 輔助計算!$E$2:$E$801, 0)+1))), "")</f>
        <v/>
      </c>
      <c r="K133" s="16" t="n"/>
      <c r="L133" s="16" t="n"/>
      <c r="M133" s="17" t="n"/>
    </row>
    <row r="134">
      <c r="A134" s="14">
        <f>IFERROR(IF(INDEX(ERP資料!$B:$B, (MATCH(133, 輔助計算!$E$2:$E$801, 0)+1))="","",INDEX(ERP資料!$B:$B, (MATCH(133, 輔助計算!$E$2:$E$801, 0)+1))), "")</f>
        <v/>
      </c>
      <c r="B134" s="10">
        <f>IFERROR(IF(INDEX(ERP資料!$A:$A, (MATCH(133, 輔助計算!$E$2:$E$801, 0)+1))="","",INDEX(ERP資料!$A:$A, (MATCH(133, 輔助計算!$E$2:$E$801, 0)+1))), "")</f>
        <v/>
      </c>
      <c r="C134" s="10">
        <f>IFERROR(IF(INDEX(ERP資料!$S:$S, (MATCH(133, 輔助計算!$E$2:$E$801, 0)+1))="","",INDEX(ERP資料!$S:$S, (MATCH(133, 輔助計算!$E$2:$E$801, 0)+1))), "")</f>
        <v/>
      </c>
      <c r="D134" s="10">
        <f>IFERROR(IF(INDEX(ERP資料!$E:$E, (MATCH(133, 輔助計算!$E$2:$E$801, 0)+1))="","",TRIM(INDEX(ERP資料!$E:$E, (MATCH(133, 輔助計算!$E$2:$E$801, 0)+1)))), "")</f>
        <v/>
      </c>
      <c r="E134" s="10">
        <f>IFERROR(IF(INDEX(ERP資料!$F:$F, (MATCH(133, 輔助計算!$E$2:$E$801, 0)+1))="","",INDEX(ERP資料!$F:$F, (MATCH(133, 輔助計算!$E$2:$E$801, 0)+1))), "")</f>
        <v/>
      </c>
      <c r="F134" s="10">
        <f>IFERROR(IF(INDEX(ERP資料!$G:$G, (MATCH(133, 輔助計算!$E$2:$E$801, 0)+1))="","",INDEX(ERP資料!$G:$G, (MATCH(133, 輔助計算!$E$2:$E$801, 0)+1))), "")</f>
        <v/>
      </c>
      <c r="G134" s="10">
        <f>IFERROR(IF(INDEX(ERP資料!$H:$H, (MATCH(133, 輔助計算!$E$2:$E$801, 0)+1))="","",INDEX(ERP資料!$H:$H, (MATCH(133, 輔助計算!$E$2:$E$801, 0)+1))), "")</f>
        <v/>
      </c>
      <c r="H134" s="15">
        <f>IFERROR(INDEX(輔助計算!$D:$D, (MATCH(133, 輔助計算!$E$2:$E$801, 0)+1)), "")</f>
        <v/>
      </c>
      <c r="I134" s="10">
        <f>IFERROR(IF(INDEX(ERP資料!$O:$O, (MATCH(133, 輔助計算!$E$2:$E$801, 0)+1))="","",INDEX(ERP資料!$O:$O, (MATCH(133, 輔助計算!$E$2:$E$801, 0)+1))), "")</f>
        <v/>
      </c>
      <c r="J134" s="15">
        <f>IFERROR(IF(INDEX(輔助計算!$D:$D,(MATCH(133, 輔助計算!$E$2:$E$801, 0)+1))="","",INDEX(輔助計算!$D:$D,(MATCH(133, 輔助計算!$E$2:$E$801, 0)+1))*INDEX(ERP資料!$O:$O,(MATCH(133, 輔助計算!$E$2:$E$801, 0)+1))), "")</f>
        <v/>
      </c>
      <c r="K134" s="16" t="n"/>
      <c r="L134" s="16" t="n"/>
      <c r="M134" s="17" t="n"/>
    </row>
    <row r="135">
      <c r="A135" s="14">
        <f>IFERROR(IF(INDEX(ERP資料!$B:$B, (MATCH(134, 輔助計算!$E$2:$E$801, 0)+1))="","",INDEX(ERP資料!$B:$B, (MATCH(134, 輔助計算!$E$2:$E$801, 0)+1))), "")</f>
        <v/>
      </c>
      <c r="B135" s="10">
        <f>IFERROR(IF(INDEX(ERP資料!$A:$A, (MATCH(134, 輔助計算!$E$2:$E$801, 0)+1))="","",INDEX(ERP資料!$A:$A, (MATCH(134, 輔助計算!$E$2:$E$801, 0)+1))), "")</f>
        <v/>
      </c>
      <c r="C135" s="10">
        <f>IFERROR(IF(INDEX(ERP資料!$S:$S, (MATCH(134, 輔助計算!$E$2:$E$801, 0)+1))="","",INDEX(ERP資料!$S:$S, (MATCH(134, 輔助計算!$E$2:$E$801, 0)+1))), "")</f>
        <v/>
      </c>
      <c r="D135" s="10">
        <f>IFERROR(IF(INDEX(ERP資料!$E:$E, (MATCH(134, 輔助計算!$E$2:$E$801, 0)+1))="","",TRIM(INDEX(ERP資料!$E:$E, (MATCH(134, 輔助計算!$E$2:$E$801, 0)+1)))), "")</f>
        <v/>
      </c>
      <c r="E135" s="10">
        <f>IFERROR(IF(INDEX(ERP資料!$F:$F, (MATCH(134, 輔助計算!$E$2:$E$801, 0)+1))="","",INDEX(ERP資料!$F:$F, (MATCH(134, 輔助計算!$E$2:$E$801, 0)+1))), "")</f>
        <v/>
      </c>
      <c r="F135" s="10">
        <f>IFERROR(IF(INDEX(ERP資料!$G:$G, (MATCH(134, 輔助計算!$E$2:$E$801, 0)+1))="","",INDEX(ERP資料!$G:$G, (MATCH(134, 輔助計算!$E$2:$E$801, 0)+1))), "")</f>
        <v/>
      </c>
      <c r="G135" s="10">
        <f>IFERROR(IF(INDEX(ERP資料!$H:$H, (MATCH(134, 輔助計算!$E$2:$E$801, 0)+1))="","",INDEX(ERP資料!$H:$H, (MATCH(134, 輔助計算!$E$2:$E$801, 0)+1))), "")</f>
        <v/>
      </c>
      <c r="H135" s="15">
        <f>IFERROR(INDEX(輔助計算!$D:$D, (MATCH(134, 輔助計算!$E$2:$E$801, 0)+1)), "")</f>
        <v/>
      </c>
      <c r="I135" s="10">
        <f>IFERROR(IF(INDEX(ERP資料!$O:$O, (MATCH(134, 輔助計算!$E$2:$E$801, 0)+1))="","",INDEX(ERP資料!$O:$O, (MATCH(134, 輔助計算!$E$2:$E$801, 0)+1))), "")</f>
        <v/>
      </c>
      <c r="J135" s="15">
        <f>IFERROR(IF(INDEX(輔助計算!$D:$D,(MATCH(134, 輔助計算!$E$2:$E$801, 0)+1))="","",INDEX(輔助計算!$D:$D,(MATCH(134, 輔助計算!$E$2:$E$801, 0)+1))*INDEX(ERP資料!$O:$O,(MATCH(134, 輔助計算!$E$2:$E$801, 0)+1))), "")</f>
        <v/>
      </c>
      <c r="K135" s="16" t="n"/>
      <c r="L135" s="16" t="n"/>
      <c r="M135" s="17" t="n"/>
    </row>
    <row r="136">
      <c r="A136" s="14">
        <f>IFERROR(IF(INDEX(ERP資料!$B:$B, (MATCH(135, 輔助計算!$E$2:$E$801, 0)+1))="","",INDEX(ERP資料!$B:$B, (MATCH(135, 輔助計算!$E$2:$E$801, 0)+1))), "")</f>
        <v/>
      </c>
      <c r="B136" s="10">
        <f>IFERROR(IF(INDEX(ERP資料!$A:$A, (MATCH(135, 輔助計算!$E$2:$E$801, 0)+1))="","",INDEX(ERP資料!$A:$A, (MATCH(135, 輔助計算!$E$2:$E$801, 0)+1))), "")</f>
        <v/>
      </c>
      <c r="C136" s="10">
        <f>IFERROR(IF(INDEX(ERP資料!$S:$S, (MATCH(135, 輔助計算!$E$2:$E$801, 0)+1))="","",INDEX(ERP資料!$S:$S, (MATCH(135, 輔助計算!$E$2:$E$801, 0)+1))), "")</f>
        <v/>
      </c>
      <c r="D136" s="10">
        <f>IFERROR(IF(INDEX(ERP資料!$E:$E, (MATCH(135, 輔助計算!$E$2:$E$801, 0)+1))="","",TRIM(INDEX(ERP資料!$E:$E, (MATCH(135, 輔助計算!$E$2:$E$801, 0)+1)))), "")</f>
        <v/>
      </c>
      <c r="E136" s="10">
        <f>IFERROR(IF(INDEX(ERP資料!$F:$F, (MATCH(135, 輔助計算!$E$2:$E$801, 0)+1))="","",INDEX(ERP資料!$F:$F, (MATCH(135, 輔助計算!$E$2:$E$801, 0)+1))), "")</f>
        <v/>
      </c>
      <c r="F136" s="10">
        <f>IFERROR(IF(INDEX(ERP資料!$G:$G, (MATCH(135, 輔助計算!$E$2:$E$801, 0)+1))="","",INDEX(ERP資料!$G:$G, (MATCH(135, 輔助計算!$E$2:$E$801, 0)+1))), "")</f>
        <v/>
      </c>
      <c r="G136" s="10">
        <f>IFERROR(IF(INDEX(ERP資料!$H:$H, (MATCH(135, 輔助計算!$E$2:$E$801, 0)+1))="","",INDEX(ERP資料!$H:$H, (MATCH(135, 輔助計算!$E$2:$E$801, 0)+1))), "")</f>
        <v/>
      </c>
      <c r="H136" s="15">
        <f>IFERROR(INDEX(輔助計算!$D:$D, (MATCH(135, 輔助計算!$E$2:$E$801, 0)+1)), "")</f>
        <v/>
      </c>
      <c r="I136" s="10">
        <f>IFERROR(IF(INDEX(ERP資料!$O:$O, (MATCH(135, 輔助計算!$E$2:$E$801, 0)+1))="","",INDEX(ERP資料!$O:$O, (MATCH(135, 輔助計算!$E$2:$E$801, 0)+1))), "")</f>
        <v/>
      </c>
      <c r="J136" s="15">
        <f>IFERROR(IF(INDEX(輔助計算!$D:$D,(MATCH(135, 輔助計算!$E$2:$E$801, 0)+1))="","",INDEX(輔助計算!$D:$D,(MATCH(135, 輔助計算!$E$2:$E$801, 0)+1))*INDEX(ERP資料!$O:$O,(MATCH(135, 輔助計算!$E$2:$E$801, 0)+1))), "")</f>
        <v/>
      </c>
      <c r="K136" s="16" t="n"/>
      <c r="L136" s="16" t="n"/>
      <c r="M136" s="17" t="n"/>
    </row>
    <row r="137">
      <c r="A137" s="14">
        <f>IFERROR(IF(INDEX(ERP資料!$B:$B, (MATCH(136, 輔助計算!$E$2:$E$801, 0)+1))="","",INDEX(ERP資料!$B:$B, (MATCH(136, 輔助計算!$E$2:$E$801, 0)+1))), "")</f>
        <v/>
      </c>
      <c r="B137" s="10">
        <f>IFERROR(IF(INDEX(ERP資料!$A:$A, (MATCH(136, 輔助計算!$E$2:$E$801, 0)+1))="","",INDEX(ERP資料!$A:$A, (MATCH(136, 輔助計算!$E$2:$E$801, 0)+1))), "")</f>
        <v/>
      </c>
      <c r="C137" s="10">
        <f>IFERROR(IF(INDEX(ERP資料!$S:$S, (MATCH(136, 輔助計算!$E$2:$E$801, 0)+1))="","",INDEX(ERP資料!$S:$S, (MATCH(136, 輔助計算!$E$2:$E$801, 0)+1))), "")</f>
        <v/>
      </c>
      <c r="D137" s="10">
        <f>IFERROR(IF(INDEX(ERP資料!$E:$E, (MATCH(136, 輔助計算!$E$2:$E$801, 0)+1))="","",TRIM(INDEX(ERP資料!$E:$E, (MATCH(136, 輔助計算!$E$2:$E$801, 0)+1)))), "")</f>
        <v/>
      </c>
      <c r="E137" s="10">
        <f>IFERROR(IF(INDEX(ERP資料!$F:$F, (MATCH(136, 輔助計算!$E$2:$E$801, 0)+1))="","",INDEX(ERP資料!$F:$F, (MATCH(136, 輔助計算!$E$2:$E$801, 0)+1))), "")</f>
        <v/>
      </c>
      <c r="F137" s="10">
        <f>IFERROR(IF(INDEX(ERP資料!$G:$G, (MATCH(136, 輔助計算!$E$2:$E$801, 0)+1))="","",INDEX(ERP資料!$G:$G, (MATCH(136, 輔助計算!$E$2:$E$801, 0)+1))), "")</f>
        <v/>
      </c>
      <c r="G137" s="10">
        <f>IFERROR(IF(INDEX(ERP資料!$H:$H, (MATCH(136, 輔助計算!$E$2:$E$801, 0)+1))="","",INDEX(ERP資料!$H:$H, (MATCH(136, 輔助計算!$E$2:$E$801, 0)+1))), "")</f>
        <v/>
      </c>
      <c r="H137" s="15">
        <f>IFERROR(INDEX(輔助計算!$D:$D, (MATCH(136, 輔助計算!$E$2:$E$801, 0)+1)), "")</f>
        <v/>
      </c>
      <c r="I137" s="10">
        <f>IFERROR(IF(INDEX(ERP資料!$O:$O, (MATCH(136, 輔助計算!$E$2:$E$801, 0)+1))="","",INDEX(ERP資料!$O:$O, (MATCH(136, 輔助計算!$E$2:$E$801, 0)+1))), "")</f>
        <v/>
      </c>
      <c r="J137" s="15">
        <f>IFERROR(IF(INDEX(輔助計算!$D:$D,(MATCH(136, 輔助計算!$E$2:$E$801, 0)+1))="","",INDEX(輔助計算!$D:$D,(MATCH(136, 輔助計算!$E$2:$E$801, 0)+1))*INDEX(ERP資料!$O:$O,(MATCH(136, 輔助計算!$E$2:$E$801, 0)+1))), "")</f>
        <v/>
      </c>
      <c r="K137" s="16" t="n"/>
      <c r="L137" s="16" t="n"/>
      <c r="M137" s="17" t="n"/>
    </row>
    <row r="138">
      <c r="A138" s="14">
        <f>IFERROR(IF(INDEX(ERP資料!$B:$B, (MATCH(137, 輔助計算!$E$2:$E$801, 0)+1))="","",INDEX(ERP資料!$B:$B, (MATCH(137, 輔助計算!$E$2:$E$801, 0)+1))), "")</f>
        <v/>
      </c>
      <c r="B138" s="10">
        <f>IFERROR(IF(INDEX(ERP資料!$A:$A, (MATCH(137, 輔助計算!$E$2:$E$801, 0)+1))="","",INDEX(ERP資料!$A:$A, (MATCH(137, 輔助計算!$E$2:$E$801, 0)+1))), "")</f>
        <v/>
      </c>
      <c r="C138" s="10">
        <f>IFERROR(IF(INDEX(ERP資料!$S:$S, (MATCH(137, 輔助計算!$E$2:$E$801, 0)+1))="","",INDEX(ERP資料!$S:$S, (MATCH(137, 輔助計算!$E$2:$E$801, 0)+1))), "")</f>
        <v/>
      </c>
      <c r="D138" s="10">
        <f>IFERROR(IF(INDEX(ERP資料!$E:$E, (MATCH(137, 輔助計算!$E$2:$E$801, 0)+1))="","",TRIM(INDEX(ERP資料!$E:$E, (MATCH(137, 輔助計算!$E$2:$E$801, 0)+1)))), "")</f>
        <v/>
      </c>
      <c r="E138" s="10">
        <f>IFERROR(IF(INDEX(ERP資料!$F:$F, (MATCH(137, 輔助計算!$E$2:$E$801, 0)+1))="","",INDEX(ERP資料!$F:$F, (MATCH(137, 輔助計算!$E$2:$E$801, 0)+1))), "")</f>
        <v/>
      </c>
      <c r="F138" s="10">
        <f>IFERROR(IF(INDEX(ERP資料!$G:$G, (MATCH(137, 輔助計算!$E$2:$E$801, 0)+1))="","",INDEX(ERP資料!$G:$G, (MATCH(137, 輔助計算!$E$2:$E$801, 0)+1))), "")</f>
        <v/>
      </c>
      <c r="G138" s="10">
        <f>IFERROR(IF(INDEX(ERP資料!$H:$H, (MATCH(137, 輔助計算!$E$2:$E$801, 0)+1))="","",INDEX(ERP資料!$H:$H, (MATCH(137, 輔助計算!$E$2:$E$801, 0)+1))), "")</f>
        <v/>
      </c>
      <c r="H138" s="15">
        <f>IFERROR(INDEX(輔助計算!$D:$D, (MATCH(137, 輔助計算!$E$2:$E$801, 0)+1)), "")</f>
        <v/>
      </c>
      <c r="I138" s="10">
        <f>IFERROR(IF(INDEX(ERP資料!$O:$O, (MATCH(137, 輔助計算!$E$2:$E$801, 0)+1))="","",INDEX(ERP資料!$O:$O, (MATCH(137, 輔助計算!$E$2:$E$801, 0)+1))), "")</f>
        <v/>
      </c>
      <c r="J138" s="15">
        <f>IFERROR(IF(INDEX(輔助計算!$D:$D,(MATCH(137, 輔助計算!$E$2:$E$801, 0)+1))="","",INDEX(輔助計算!$D:$D,(MATCH(137, 輔助計算!$E$2:$E$801, 0)+1))*INDEX(ERP資料!$O:$O,(MATCH(137, 輔助計算!$E$2:$E$801, 0)+1))), "")</f>
        <v/>
      </c>
      <c r="K138" s="16" t="n"/>
      <c r="L138" s="16" t="n"/>
      <c r="M138" s="17" t="n"/>
    </row>
    <row r="139">
      <c r="A139" s="14">
        <f>IFERROR(IF(INDEX(ERP資料!$B:$B, (MATCH(138, 輔助計算!$E$2:$E$801, 0)+1))="","",INDEX(ERP資料!$B:$B, (MATCH(138, 輔助計算!$E$2:$E$801, 0)+1))), "")</f>
        <v/>
      </c>
      <c r="B139" s="10">
        <f>IFERROR(IF(INDEX(ERP資料!$A:$A, (MATCH(138, 輔助計算!$E$2:$E$801, 0)+1))="","",INDEX(ERP資料!$A:$A, (MATCH(138, 輔助計算!$E$2:$E$801, 0)+1))), "")</f>
        <v/>
      </c>
      <c r="C139" s="10">
        <f>IFERROR(IF(INDEX(ERP資料!$S:$S, (MATCH(138, 輔助計算!$E$2:$E$801, 0)+1))="","",INDEX(ERP資料!$S:$S, (MATCH(138, 輔助計算!$E$2:$E$801, 0)+1))), "")</f>
        <v/>
      </c>
      <c r="D139" s="10">
        <f>IFERROR(IF(INDEX(ERP資料!$E:$E, (MATCH(138, 輔助計算!$E$2:$E$801, 0)+1))="","",TRIM(INDEX(ERP資料!$E:$E, (MATCH(138, 輔助計算!$E$2:$E$801, 0)+1)))), "")</f>
        <v/>
      </c>
      <c r="E139" s="10">
        <f>IFERROR(IF(INDEX(ERP資料!$F:$F, (MATCH(138, 輔助計算!$E$2:$E$801, 0)+1))="","",INDEX(ERP資料!$F:$F, (MATCH(138, 輔助計算!$E$2:$E$801, 0)+1))), "")</f>
        <v/>
      </c>
      <c r="F139" s="10">
        <f>IFERROR(IF(INDEX(ERP資料!$G:$G, (MATCH(138, 輔助計算!$E$2:$E$801, 0)+1))="","",INDEX(ERP資料!$G:$G, (MATCH(138, 輔助計算!$E$2:$E$801, 0)+1))), "")</f>
        <v/>
      </c>
      <c r="G139" s="10">
        <f>IFERROR(IF(INDEX(ERP資料!$H:$H, (MATCH(138, 輔助計算!$E$2:$E$801, 0)+1))="","",INDEX(ERP資料!$H:$H, (MATCH(138, 輔助計算!$E$2:$E$801, 0)+1))), "")</f>
        <v/>
      </c>
      <c r="H139" s="15">
        <f>IFERROR(INDEX(輔助計算!$D:$D, (MATCH(138, 輔助計算!$E$2:$E$801, 0)+1)), "")</f>
        <v/>
      </c>
      <c r="I139" s="10">
        <f>IFERROR(IF(INDEX(ERP資料!$O:$O, (MATCH(138, 輔助計算!$E$2:$E$801, 0)+1))="","",INDEX(ERP資料!$O:$O, (MATCH(138, 輔助計算!$E$2:$E$801, 0)+1))), "")</f>
        <v/>
      </c>
      <c r="J139" s="15">
        <f>IFERROR(IF(INDEX(輔助計算!$D:$D,(MATCH(138, 輔助計算!$E$2:$E$801, 0)+1))="","",INDEX(輔助計算!$D:$D,(MATCH(138, 輔助計算!$E$2:$E$801, 0)+1))*INDEX(ERP資料!$O:$O,(MATCH(138, 輔助計算!$E$2:$E$801, 0)+1))), "")</f>
        <v/>
      </c>
      <c r="K139" s="16" t="n"/>
      <c r="L139" s="16" t="n"/>
      <c r="M139" s="17" t="n"/>
    </row>
    <row r="140">
      <c r="A140" s="14">
        <f>IFERROR(IF(INDEX(ERP資料!$B:$B, (MATCH(139, 輔助計算!$E$2:$E$801, 0)+1))="","",INDEX(ERP資料!$B:$B, (MATCH(139, 輔助計算!$E$2:$E$801, 0)+1))), "")</f>
        <v/>
      </c>
      <c r="B140" s="10">
        <f>IFERROR(IF(INDEX(ERP資料!$A:$A, (MATCH(139, 輔助計算!$E$2:$E$801, 0)+1))="","",INDEX(ERP資料!$A:$A, (MATCH(139, 輔助計算!$E$2:$E$801, 0)+1))), "")</f>
        <v/>
      </c>
      <c r="C140" s="10">
        <f>IFERROR(IF(INDEX(ERP資料!$S:$S, (MATCH(139, 輔助計算!$E$2:$E$801, 0)+1))="","",INDEX(ERP資料!$S:$S, (MATCH(139, 輔助計算!$E$2:$E$801, 0)+1))), "")</f>
        <v/>
      </c>
      <c r="D140" s="10">
        <f>IFERROR(IF(INDEX(ERP資料!$E:$E, (MATCH(139, 輔助計算!$E$2:$E$801, 0)+1))="","",TRIM(INDEX(ERP資料!$E:$E, (MATCH(139, 輔助計算!$E$2:$E$801, 0)+1)))), "")</f>
        <v/>
      </c>
      <c r="E140" s="10">
        <f>IFERROR(IF(INDEX(ERP資料!$F:$F, (MATCH(139, 輔助計算!$E$2:$E$801, 0)+1))="","",INDEX(ERP資料!$F:$F, (MATCH(139, 輔助計算!$E$2:$E$801, 0)+1))), "")</f>
        <v/>
      </c>
      <c r="F140" s="10">
        <f>IFERROR(IF(INDEX(ERP資料!$G:$G, (MATCH(139, 輔助計算!$E$2:$E$801, 0)+1))="","",INDEX(ERP資料!$G:$G, (MATCH(139, 輔助計算!$E$2:$E$801, 0)+1))), "")</f>
        <v/>
      </c>
      <c r="G140" s="10">
        <f>IFERROR(IF(INDEX(ERP資料!$H:$H, (MATCH(139, 輔助計算!$E$2:$E$801, 0)+1))="","",INDEX(ERP資料!$H:$H, (MATCH(139, 輔助計算!$E$2:$E$801, 0)+1))), "")</f>
        <v/>
      </c>
      <c r="H140" s="15">
        <f>IFERROR(INDEX(輔助計算!$D:$D, (MATCH(139, 輔助計算!$E$2:$E$801, 0)+1)), "")</f>
        <v/>
      </c>
      <c r="I140" s="10">
        <f>IFERROR(IF(INDEX(ERP資料!$O:$O, (MATCH(139, 輔助計算!$E$2:$E$801, 0)+1))="","",INDEX(ERP資料!$O:$O, (MATCH(139, 輔助計算!$E$2:$E$801, 0)+1))), "")</f>
        <v/>
      </c>
      <c r="J140" s="15">
        <f>IFERROR(IF(INDEX(輔助計算!$D:$D,(MATCH(139, 輔助計算!$E$2:$E$801, 0)+1))="","",INDEX(輔助計算!$D:$D,(MATCH(139, 輔助計算!$E$2:$E$801, 0)+1))*INDEX(ERP資料!$O:$O,(MATCH(139, 輔助計算!$E$2:$E$801, 0)+1))), "")</f>
        <v/>
      </c>
      <c r="K140" s="16" t="n"/>
      <c r="L140" s="16" t="n"/>
      <c r="M140" s="17" t="n"/>
    </row>
    <row r="141">
      <c r="A141" s="14">
        <f>IFERROR(IF(INDEX(ERP資料!$B:$B, (MATCH(140, 輔助計算!$E$2:$E$801, 0)+1))="","",INDEX(ERP資料!$B:$B, (MATCH(140, 輔助計算!$E$2:$E$801, 0)+1))), "")</f>
        <v/>
      </c>
      <c r="B141" s="10">
        <f>IFERROR(IF(INDEX(ERP資料!$A:$A, (MATCH(140, 輔助計算!$E$2:$E$801, 0)+1))="","",INDEX(ERP資料!$A:$A, (MATCH(140, 輔助計算!$E$2:$E$801, 0)+1))), "")</f>
        <v/>
      </c>
      <c r="C141" s="10">
        <f>IFERROR(IF(INDEX(ERP資料!$S:$S, (MATCH(140, 輔助計算!$E$2:$E$801, 0)+1))="","",INDEX(ERP資料!$S:$S, (MATCH(140, 輔助計算!$E$2:$E$801, 0)+1))), "")</f>
        <v/>
      </c>
      <c r="D141" s="10">
        <f>IFERROR(IF(INDEX(ERP資料!$E:$E, (MATCH(140, 輔助計算!$E$2:$E$801, 0)+1))="","",TRIM(INDEX(ERP資料!$E:$E, (MATCH(140, 輔助計算!$E$2:$E$801, 0)+1)))), "")</f>
        <v/>
      </c>
      <c r="E141" s="10">
        <f>IFERROR(IF(INDEX(ERP資料!$F:$F, (MATCH(140, 輔助計算!$E$2:$E$801, 0)+1))="","",INDEX(ERP資料!$F:$F, (MATCH(140, 輔助計算!$E$2:$E$801, 0)+1))), "")</f>
        <v/>
      </c>
      <c r="F141" s="10">
        <f>IFERROR(IF(INDEX(ERP資料!$G:$G, (MATCH(140, 輔助計算!$E$2:$E$801, 0)+1))="","",INDEX(ERP資料!$G:$G, (MATCH(140, 輔助計算!$E$2:$E$801, 0)+1))), "")</f>
        <v/>
      </c>
      <c r="G141" s="10">
        <f>IFERROR(IF(INDEX(ERP資料!$H:$H, (MATCH(140, 輔助計算!$E$2:$E$801, 0)+1))="","",INDEX(ERP資料!$H:$H, (MATCH(140, 輔助計算!$E$2:$E$801, 0)+1))), "")</f>
        <v/>
      </c>
      <c r="H141" s="15">
        <f>IFERROR(INDEX(輔助計算!$D:$D, (MATCH(140, 輔助計算!$E$2:$E$801, 0)+1)), "")</f>
        <v/>
      </c>
      <c r="I141" s="10">
        <f>IFERROR(IF(INDEX(ERP資料!$O:$O, (MATCH(140, 輔助計算!$E$2:$E$801, 0)+1))="","",INDEX(ERP資料!$O:$O, (MATCH(140, 輔助計算!$E$2:$E$801, 0)+1))), "")</f>
        <v/>
      </c>
      <c r="J141" s="15">
        <f>IFERROR(IF(INDEX(輔助計算!$D:$D,(MATCH(140, 輔助計算!$E$2:$E$801, 0)+1))="","",INDEX(輔助計算!$D:$D,(MATCH(140, 輔助計算!$E$2:$E$801, 0)+1))*INDEX(ERP資料!$O:$O,(MATCH(140, 輔助計算!$E$2:$E$801, 0)+1))), "")</f>
        <v/>
      </c>
      <c r="K141" s="16" t="n"/>
      <c r="L141" s="16" t="n"/>
      <c r="M141" s="17" t="n"/>
    </row>
    <row r="142">
      <c r="A142" s="14">
        <f>IFERROR(IF(INDEX(ERP資料!$B:$B, (MATCH(141, 輔助計算!$E$2:$E$801, 0)+1))="","",INDEX(ERP資料!$B:$B, (MATCH(141, 輔助計算!$E$2:$E$801, 0)+1))), "")</f>
        <v/>
      </c>
      <c r="B142" s="10">
        <f>IFERROR(IF(INDEX(ERP資料!$A:$A, (MATCH(141, 輔助計算!$E$2:$E$801, 0)+1))="","",INDEX(ERP資料!$A:$A, (MATCH(141, 輔助計算!$E$2:$E$801, 0)+1))), "")</f>
        <v/>
      </c>
      <c r="C142" s="10">
        <f>IFERROR(IF(INDEX(ERP資料!$S:$S, (MATCH(141, 輔助計算!$E$2:$E$801, 0)+1))="","",INDEX(ERP資料!$S:$S, (MATCH(141, 輔助計算!$E$2:$E$801, 0)+1))), "")</f>
        <v/>
      </c>
      <c r="D142" s="10">
        <f>IFERROR(IF(INDEX(ERP資料!$E:$E, (MATCH(141, 輔助計算!$E$2:$E$801, 0)+1))="","",TRIM(INDEX(ERP資料!$E:$E, (MATCH(141, 輔助計算!$E$2:$E$801, 0)+1)))), "")</f>
        <v/>
      </c>
      <c r="E142" s="10">
        <f>IFERROR(IF(INDEX(ERP資料!$F:$F, (MATCH(141, 輔助計算!$E$2:$E$801, 0)+1))="","",INDEX(ERP資料!$F:$F, (MATCH(141, 輔助計算!$E$2:$E$801, 0)+1))), "")</f>
        <v/>
      </c>
      <c r="F142" s="10">
        <f>IFERROR(IF(INDEX(ERP資料!$G:$G, (MATCH(141, 輔助計算!$E$2:$E$801, 0)+1))="","",INDEX(ERP資料!$G:$G, (MATCH(141, 輔助計算!$E$2:$E$801, 0)+1))), "")</f>
        <v/>
      </c>
      <c r="G142" s="10">
        <f>IFERROR(IF(INDEX(ERP資料!$H:$H, (MATCH(141, 輔助計算!$E$2:$E$801, 0)+1))="","",INDEX(ERP資料!$H:$H, (MATCH(141, 輔助計算!$E$2:$E$801, 0)+1))), "")</f>
        <v/>
      </c>
      <c r="H142" s="15">
        <f>IFERROR(INDEX(輔助計算!$D:$D, (MATCH(141, 輔助計算!$E$2:$E$801, 0)+1)), "")</f>
        <v/>
      </c>
      <c r="I142" s="10">
        <f>IFERROR(IF(INDEX(ERP資料!$O:$O, (MATCH(141, 輔助計算!$E$2:$E$801, 0)+1))="","",INDEX(ERP資料!$O:$O, (MATCH(141, 輔助計算!$E$2:$E$801, 0)+1))), "")</f>
        <v/>
      </c>
      <c r="J142" s="15">
        <f>IFERROR(IF(INDEX(輔助計算!$D:$D,(MATCH(141, 輔助計算!$E$2:$E$801, 0)+1))="","",INDEX(輔助計算!$D:$D,(MATCH(141, 輔助計算!$E$2:$E$801, 0)+1))*INDEX(ERP資料!$O:$O,(MATCH(141, 輔助計算!$E$2:$E$801, 0)+1))), "")</f>
        <v/>
      </c>
      <c r="K142" s="16" t="n"/>
      <c r="L142" s="16" t="n"/>
      <c r="M142" s="17" t="n"/>
    </row>
    <row r="143">
      <c r="A143" s="14">
        <f>IFERROR(IF(INDEX(ERP資料!$B:$B, (MATCH(142, 輔助計算!$E$2:$E$801, 0)+1))="","",INDEX(ERP資料!$B:$B, (MATCH(142, 輔助計算!$E$2:$E$801, 0)+1))), "")</f>
        <v/>
      </c>
      <c r="B143" s="10">
        <f>IFERROR(IF(INDEX(ERP資料!$A:$A, (MATCH(142, 輔助計算!$E$2:$E$801, 0)+1))="","",INDEX(ERP資料!$A:$A, (MATCH(142, 輔助計算!$E$2:$E$801, 0)+1))), "")</f>
        <v/>
      </c>
      <c r="C143" s="10">
        <f>IFERROR(IF(INDEX(ERP資料!$S:$S, (MATCH(142, 輔助計算!$E$2:$E$801, 0)+1))="","",INDEX(ERP資料!$S:$S, (MATCH(142, 輔助計算!$E$2:$E$801, 0)+1))), "")</f>
        <v/>
      </c>
      <c r="D143" s="10">
        <f>IFERROR(IF(INDEX(ERP資料!$E:$E, (MATCH(142, 輔助計算!$E$2:$E$801, 0)+1))="","",TRIM(INDEX(ERP資料!$E:$E, (MATCH(142, 輔助計算!$E$2:$E$801, 0)+1)))), "")</f>
        <v/>
      </c>
      <c r="E143" s="10">
        <f>IFERROR(IF(INDEX(ERP資料!$F:$F, (MATCH(142, 輔助計算!$E$2:$E$801, 0)+1))="","",INDEX(ERP資料!$F:$F, (MATCH(142, 輔助計算!$E$2:$E$801, 0)+1))), "")</f>
        <v/>
      </c>
      <c r="F143" s="10">
        <f>IFERROR(IF(INDEX(ERP資料!$G:$G, (MATCH(142, 輔助計算!$E$2:$E$801, 0)+1))="","",INDEX(ERP資料!$G:$G, (MATCH(142, 輔助計算!$E$2:$E$801, 0)+1))), "")</f>
        <v/>
      </c>
      <c r="G143" s="10">
        <f>IFERROR(IF(INDEX(ERP資料!$H:$H, (MATCH(142, 輔助計算!$E$2:$E$801, 0)+1))="","",INDEX(ERP資料!$H:$H, (MATCH(142, 輔助計算!$E$2:$E$801, 0)+1))), "")</f>
        <v/>
      </c>
      <c r="H143" s="15">
        <f>IFERROR(INDEX(輔助計算!$D:$D, (MATCH(142, 輔助計算!$E$2:$E$801, 0)+1)), "")</f>
        <v/>
      </c>
      <c r="I143" s="10">
        <f>IFERROR(IF(INDEX(ERP資料!$O:$O, (MATCH(142, 輔助計算!$E$2:$E$801, 0)+1))="","",INDEX(ERP資料!$O:$O, (MATCH(142, 輔助計算!$E$2:$E$801, 0)+1))), "")</f>
        <v/>
      </c>
      <c r="J143" s="15">
        <f>IFERROR(IF(INDEX(輔助計算!$D:$D,(MATCH(142, 輔助計算!$E$2:$E$801, 0)+1))="","",INDEX(輔助計算!$D:$D,(MATCH(142, 輔助計算!$E$2:$E$801, 0)+1))*INDEX(ERP資料!$O:$O,(MATCH(142, 輔助計算!$E$2:$E$801, 0)+1))), "")</f>
        <v/>
      </c>
      <c r="K143" s="16" t="n"/>
      <c r="L143" s="16" t="n"/>
      <c r="M143" s="17" t="n"/>
    </row>
    <row r="144">
      <c r="A144" s="14">
        <f>IFERROR(IF(INDEX(ERP資料!$B:$B, (MATCH(143, 輔助計算!$E$2:$E$801, 0)+1))="","",INDEX(ERP資料!$B:$B, (MATCH(143, 輔助計算!$E$2:$E$801, 0)+1))), "")</f>
        <v/>
      </c>
      <c r="B144" s="10">
        <f>IFERROR(IF(INDEX(ERP資料!$A:$A, (MATCH(143, 輔助計算!$E$2:$E$801, 0)+1))="","",INDEX(ERP資料!$A:$A, (MATCH(143, 輔助計算!$E$2:$E$801, 0)+1))), "")</f>
        <v/>
      </c>
      <c r="C144" s="10">
        <f>IFERROR(IF(INDEX(ERP資料!$S:$S, (MATCH(143, 輔助計算!$E$2:$E$801, 0)+1))="","",INDEX(ERP資料!$S:$S, (MATCH(143, 輔助計算!$E$2:$E$801, 0)+1))), "")</f>
        <v/>
      </c>
      <c r="D144" s="10">
        <f>IFERROR(IF(INDEX(ERP資料!$E:$E, (MATCH(143, 輔助計算!$E$2:$E$801, 0)+1))="","",TRIM(INDEX(ERP資料!$E:$E, (MATCH(143, 輔助計算!$E$2:$E$801, 0)+1)))), "")</f>
        <v/>
      </c>
      <c r="E144" s="10">
        <f>IFERROR(IF(INDEX(ERP資料!$F:$F, (MATCH(143, 輔助計算!$E$2:$E$801, 0)+1))="","",INDEX(ERP資料!$F:$F, (MATCH(143, 輔助計算!$E$2:$E$801, 0)+1))), "")</f>
        <v/>
      </c>
      <c r="F144" s="10">
        <f>IFERROR(IF(INDEX(ERP資料!$G:$G, (MATCH(143, 輔助計算!$E$2:$E$801, 0)+1))="","",INDEX(ERP資料!$G:$G, (MATCH(143, 輔助計算!$E$2:$E$801, 0)+1))), "")</f>
        <v/>
      </c>
      <c r="G144" s="10">
        <f>IFERROR(IF(INDEX(ERP資料!$H:$H, (MATCH(143, 輔助計算!$E$2:$E$801, 0)+1))="","",INDEX(ERP資料!$H:$H, (MATCH(143, 輔助計算!$E$2:$E$801, 0)+1))), "")</f>
        <v/>
      </c>
      <c r="H144" s="15">
        <f>IFERROR(INDEX(輔助計算!$D:$D, (MATCH(143, 輔助計算!$E$2:$E$801, 0)+1)), "")</f>
        <v/>
      </c>
      <c r="I144" s="10">
        <f>IFERROR(IF(INDEX(ERP資料!$O:$O, (MATCH(143, 輔助計算!$E$2:$E$801, 0)+1))="","",INDEX(ERP資料!$O:$O, (MATCH(143, 輔助計算!$E$2:$E$801, 0)+1))), "")</f>
        <v/>
      </c>
      <c r="J144" s="15">
        <f>IFERROR(IF(INDEX(輔助計算!$D:$D,(MATCH(143, 輔助計算!$E$2:$E$801, 0)+1))="","",INDEX(輔助計算!$D:$D,(MATCH(143, 輔助計算!$E$2:$E$801, 0)+1))*INDEX(ERP資料!$O:$O,(MATCH(143, 輔助計算!$E$2:$E$801, 0)+1))), "")</f>
        <v/>
      </c>
      <c r="K144" s="16" t="n"/>
      <c r="L144" s="16" t="n"/>
      <c r="M144" s="17" t="n"/>
    </row>
    <row r="145">
      <c r="A145" s="14">
        <f>IFERROR(IF(INDEX(ERP資料!$B:$B, (MATCH(144, 輔助計算!$E$2:$E$801, 0)+1))="","",INDEX(ERP資料!$B:$B, (MATCH(144, 輔助計算!$E$2:$E$801, 0)+1))), "")</f>
        <v/>
      </c>
      <c r="B145" s="10">
        <f>IFERROR(IF(INDEX(ERP資料!$A:$A, (MATCH(144, 輔助計算!$E$2:$E$801, 0)+1))="","",INDEX(ERP資料!$A:$A, (MATCH(144, 輔助計算!$E$2:$E$801, 0)+1))), "")</f>
        <v/>
      </c>
      <c r="C145" s="10">
        <f>IFERROR(IF(INDEX(ERP資料!$S:$S, (MATCH(144, 輔助計算!$E$2:$E$801, 0)+1))="","",INDEX(ERP資料!$S:$S, (MATCH(144, 輔助計算!$E$2:$E$801, 0)+1))), "")</f>
        <v/>
      </c>
      <c r="D145" s="10">
        <f>IFERROR(IF(INDEX(ERP資料!$E:$E, (MATCH(144, 輔助計算!$E$2:$E$801, 0)+1))="","",TRIM(INDEX(ERP資料!$E:$E, (MATCH(144, 輔助計算!$E$2:$E$801, 0)+1)))), "")</f>
        <v/>
      </c>
      <c r="E145" s="10">
        <f>IFERROR(IF(INDEX(ERP資料!$F:$F, (MATCH(144, 輔助計算!$E$2:$E$801, 0)+1))="","",INDEX(ERP資料!$F:$F, (MATCH(144, 輔助計算!$E$2:$E$801, 0)+1))), "")</f>
        <v/>
      </c>
      <c r="F145" s="10">
        <f>IFERROR(IF(INDEX(ERP資料!$G:$G, (MATCH(144, 輔助計算!$E$2:$E$801, 0)+1))="","",INDEX(ERP資料!$G:$G, (MATCH(144, 輔助計算!$E$2:$E$801, 0)+1))), "")</f>
        <v/>
      </c>
      <c r="G145" s="10">
        <f>IFERROR(IF(INDEX(ERP資料!$H:$H, (MATCH(144, 輔助計算!$E$2:$E$801, 0)+1))="","",INDEX(ERP資料!$H:$H, (MATCH(144, 輔助計算!$E$2:$E$801, 0)+1))), "")</f>
        <v/>
      </c>
      <c r="H145" s="15">
        <f>IFERROR(INDEX(輔助計算!$D:$D, (MATCH(144, 輔助計算!$E$2:$E$801, 0)+1)), "")</f>
        <v/>
      </c>
      <c r="I145" s="10">
        <f>IFERROR(IF(INDEX(ERP資料!$O:$O, (MATCH(144, 輔助計算!$E$2:$E$801, 0)+1))="","",INDEX(ERP資料!$O:$O, (MATCH(144, 輔助計算!$E$2:$E$801, 0)+1))), "")</f>
        <v/>
      </c>
      <c r="J145" s="15">
        <f>IFERROR(IF(INDEX(輔助計算!$D:$D,(MATCH(144, 輔助計算!$E$2:$E$801, 0)+1))="","",INDEX(輔助計算!$D:$D,(MATCH(144, 輔助計算!$E$2:$E$801, 0)+1))*INDEX(ERP資料!$O:$O,(MATCH(144, 輔助計算!$E$2:$E$801, 0)+1))), "")</f>
        <v/>
      </c>
      <c r="K145" s="16" t="n"/>
      <c r="L145" s="16" t="n"/>
      <c r="M145" s="17" t="n"/>
    </row>
    <row r="146">
      <c r="A146" s="14">
        <f>IFERROR(IF(INDEX(ERP資料!$B:$B, (MATCH(145, 輔助計算!$E$2:$E$801, 0)+1))="","",INDEX(ERP資料!$B:$B, (MATCH(145, 輔助計算!$E$2:$E$801, 0)+1))), "")</f>
        <v/>
      </c>
      <c r="B146" s="10">
        <f>IFERROR(IF(INDEX(ERP資料!$A:$A, (MATCH(145, 輔助計算!$E$2:$E$801, 0)+1))="","",INDEX(ERP資料!$A:$A, (MATCH(145, 輔助計算!$E$2:$E$801, 0)+1))), "")</f>
        <v/>
      </c>
      <c r="C146" s="10">
        <f>IFERROR(IF(INDEX(ERP資料!$S:$S, (MATCH(145, 輔助計算!$E$2:$E$801, 0)+1))="","",INDEX(ERP資料!$S:$S, (MATCH(145, 輔助計算!$E$2:$E$801, 0)+1))), "")</f>
        <v/>
      </c>
      <c r="D146" s="10">
        <f>IFERROR(IF(INDEX(ERP資料!$E:$E, (MATCH(145, 輔助計算!$E$2:$E$801, 0)+1))="","",TRIM(INDEX(ERP資料!$E:$E, (MATCH(145, 輔助計算!$E$2:$E$801, 0)+1)))), "")</f>
        <v/>
      </c>
      <c r="E146" s="10">
        <f>IFERROR(IF(INDEX(ERP資料!$F:$F, (MATCH(145, 輔助計算!$E$2:$E$801, 0)+1))="","",INDEX(ERP資料!$F:$F, (MATCH(145, 輔助計算!$E$2:$E$801, 0)+1))), "")</f>
        <v/>
      </c>
      <c r="F146" s="10">
        <f>IFERROR(IF(INDEX(ERP資料!$G:$G, (MATCH(145, 輔助計算!$E$2:$E$801, 0)+1))="","",INDEX(ERP資料!$G:$G, (MATCH(145, 輔助計算!$E$2:$E$801, 0)+1))), "")</f>
        <v/>
      </c>
      <c r="G146" s="10">
        <f>IFERROR(IF(INDEX(ERP資料!$H:$H, (MATCH(145, 輔助計算!$E$2:$E$801, 0)+1))="","",INDEX(ERP資料!$H:$H, (MATCH(145, 輔助計算!$E$2:$E$801, 0)+1))), "")</f>
        <v/>
      </c>
      <c r="H146" s="15">
        <f>IFERROR(INDEX(輔助計算!$D:$D, (MATCH(145, 輔助計算!$E$2:$E$801, 0)+1)), "")</f>
        <v/>
      </c>
      <c r="I146" s="10">
        <f>IFERROR(IF(INDEX(ERP資料!$O:$O, (MATCH(145, 輔助計算!$E$2:$E$801, 0)+1))="","",INDEX(ERP資料!$O:$O, (MATCH(145, 輔助計算!$E$2:$E$801, 0)+1))), "")</f>
        <v/>
      </c>
      <c r="J146" s="15">
        <f>IFERROR(IF(INDEX(輔助計算!$D:$D,(MATCH(145, 輔助計算!$E$2:$E$801, 0)+1))="","",INDEX(輔助計算!$D:$D,(MATCH(145, 輔助計算!$E$2:$E$801, 0)+1))*INDEX(ERP資料!$O:$O,(MATCH(145, 輔助計算!$E$2:$E$801, 0)+1))), "")</f>
        <v/>
      </c>
      <c r="K146" s="16" t="n"/>
      <c r="L146" s="16" t="n"/>
      <c r="M146" s="17" t="n"/>
    </row>
    <row r="147">
      <c r="A147" s="14">
        <f>IFERROR(IF(INDEX(ERP資料!$B:$B, (MATCH(146, 輔助計算!$E$2:$E$801, 0)+1))="","",INDEX(ERP資料!$B:$B, (MATCH(146, 輔助計算!$E$2:$E$801, 0)+1))), "")</f>
        <v/>
      </c>
      <c r="B147" s="10">
        <f>IFERROR(IF(INDEX(ERP資料!$A:$A, (MATCH(146, 輔助計算!$E$2:$E$801, 0)+1))="","",INDEX(ERP資料!$A:$A, (MATCH(146, 輔助計算!$E$2:$E$801, 0)+1))), "")</f>
        <v/>
      </c>
      <c r="C147" s="10">
        <f>IFERROR(IF(INDEX(ERP資料!$S:$S, (MATCH(146, 輔助計算!$E$2:$E$801, 0)+1))="","",INDEX(ERP資料!$S:$S, (MATCH(146, 輔助計算!$E$2:$E$801, 0)+1))), "")</f>
        <v/>
      </c>
      <c r="D147" s="10">
        <f>IFERROR(IF(INDEX(ERP資料!$E:$E, (MATCH(146, 輔助計算!$E$2:$E$801, 0)+1))="","",TRIM(INDEX(ERP資料!$E:$E, (MATCH(146, 輔助計算!$E$2:$E$801, 0)+1)))), "")</f>
        <v/>
      </c>
      <c r="E147" s="10">
        <f>IFERROR(IF(INDEX(ERP資料!$F:$F, (MATCH(146, 輔助計算!$E$2:$E$801, 0)+1))="","",INDEX(ERP資料!$F:$F, (MATCH(146, 輔助計算!$E$2:$E$801, 0)+1))), "")</f>
        <v/>
      </c>
      <c r="F147" s="10">
        <f>IFERROR(IF(INDEX(ERP資料!$G:$G, (MATCH(146, 輔助計算!$E$2:$E$801, 0)+1))="","",INDEX(ERP資料!$G:$G, (MATCH(146, 輔助計算!$E$2:$E$801, 0)+1))), "")</f>
        <v/>
      </c>
      <c r="G147" s="10">
        <f>IFERROR(IF(INDEX(ERP資料!$H:$H, (MATCH(146, 輔助計算!$E$2:$E$801, 0)+1))="","",INDEX(ERP資料!$H:$H, (MATCH(146, 輔助計算!$E$2:$E$801, 0)+1))), "")</f>
        <v/>
      </c>
      <c r="H147" s="15">
        <f>IFERROR(INDEX(輔助計算!$D:$D, (MATCH(146, 輔助計算!$E$2:$E$801, 0)+1)), "")</f>
        <v/>
      </c>
      <c r="I147" s="10">
        <f>IFERROR(IF(INDEX(ERP資料!$O:$O, (MATCH(146, 輔助計算!$E$2:$E$801, 0)+1))="","",INDEX(ERP資料!$O:$O, (MATCH(146, 輔助計算!$E$2:$E$801, 0)+1))), "")</f>
        <v/>
      </c>
      <c r="J147" s="15">
        <f>IFERROR(IF(INDEX(輔助計算!$D:$D,(MATCH(146, 輔助計算!$E$2:$E$801, 0)+1))="","",INDEX(輔助計算!$D:$D,(MATCH(146, 輔助計算!$E$2:$E$801, 0)+1))*INDEX(ERP資料!$O:$O,(MATCH(146, 輔助計算!$E$2:$E$801, 0)+1))), "")</f>
        <v/>
      </c>
      <c r="K147" s="16" t="n"/>
      <c r="L147" s="16" t="n"/>
      <c r="M147" s="17" t="n"/>
    </row>
    <row r="148">
      <c r="A148" s="14">
        <f>IFERROR(IF(INDEX(ERP資料!$B:$B, (MATCH(147, 輔助計算!$E$2:$E$801, 0)+1))="","",INDEX(ERP資料!$B:$B, (MATCH(147, 輔助計算!$E$2:$E$801, 0)+1))), "")</f>
        <v/>
      </c>
      <c r="B148" s="10">
        <f>IFERROR(IF(INDEX(ERP資料!$A:$A, (MATCH(147, 輔助計算!$E$2:$E$801, 0)+1))="","",INDEX(ERP資料!$A:$A, (MATCH(147, 輔助計算!$E$2:$E$801, 0)+1))), "")</f>
        <v/>
      </c>
      <c r="C148" s="10">
        <f>IFERROR(IF(INDEX(ERP資料!$S:$S, (MATCH(147, 輔助計算!$E$2:$E$801, 0)+1))="","",INDEX(ERP資料!$S:$S, (MATCH(147, 輔助計算!$E$2:$E$801, 0)+1))), "")</f>
        <v/>
      </c>
      <c r="D148" s="10">
        <f>IFERROR(IF(INDEX(ERP資料!$E:$E, (MATCH(147, 輔助計算!$E$2:$E$801, 0)+1))="","",TRIM(INDEX(ERP資料!$E:$E, (MATCH(147, 輔助計算!$E$2:$E$801, 0)+1)))), "")</f>
        <v/>
      </c>
      <c r="E148" s="10">
        <f>IFERROR(IF(INDEX(ERP資料!$F:$F, (MATCH(147, 輔助計算!$E$2:$E$801, 0)+1))="","",INDEX(ERP資料!$F:$F, (MATCH(147, 輔助計算!$E$2:$E$801, 0)+1))), "")</f>
        <v/>
      </c>
      <c r="F148" s="10">
        <f>IFERROR(IF(INDEX(ERP資料!$G:$G, (MATCH(147, 輔助計算!$E$2:$E$801, 0)+1))="","",INDEX(ERP資料!$G:$G, (MATCH(147, 輔助計算!$E$2:$E$801, 0)+1))), "")</f>
        <v/>
      </c>
      <c r="G148" s="10">
        <f>IFERROR(IF(INDEX(ERP資料!$H:$H, (MATCH(147, 輔助計算!$E$2:$E$801, 0)+1))="","",INDEX(ERP資料!$H:$H, (MATCH(147, 輔助計算!$E$2:$E$801, 0)+1))), "")</f>
        <v/>
      </c>
      <c r="H148" s="15">
        <f>IFERROR(INDEX(輔助計算!$D:$D, (MATCH(147, 輔助計算!$E$2:$E$801, 0)+1)), "")</f>
        <v/>
      </c>
      <c r="I148" s="10">
        <f>IFERROR(IF(INDEX(ERP資料!$O:$O, (MATCH(147, 輔助計算!$E$2:$E$801, 0)+1))="","",INDEX(ERP資料!$O:$O, (MATCH(147, 輔助計算!$E$2:$E$801, 0)+1))), "")</f>
        <v/>
      </c>
      <c r="J148" s="15">
        <f>IFERROR(IF(INDEX(輔助計算!$D:$D,(MATCH(147, 輔助計算!$E$2:$E$801, 0)+1))="","",INDEX(輔助計算!$D:$D,(MATCH(147, 輔助計算!$E$2:$E$801, 0)+1))*INDEX(ERP資料!$O:$O,(MATCH(147, 輔助計算!$E$2:$E$801, 0)+1))), "")</f>
        <v/>
      </c>
      <c r="K148" s="16" t="n"/>
      <c r="L148" s="16" t="n"/>
      <c r="M148" s="17" t="n"/>
    </row>
    <row r="149">
      <c r="A149" s="14">
        <f>IFERROR(IF(INDEX(ERP資料!$B:$B, (MATCH(148, 輔助計算!$E$2:$E$801, 0)+1))="","",INDEX(ERP資料!$B:$B, (MATCH(148, 輔助計算!$E$2:$E$801, 0)+1))), "")</f>
        <v/>
      </c>
      <c r="B149" s="10">
        <f>IFERROR(IF(INDEX(ERP資料!$A:$A, (MATCH(148, 輔助計算!$E$2:$E$801, 0)+1))="","",INDEX(ERP資料!$A:$A, (MATCH(148, 輔助計算!$E$2:$E$801, 0)+1))), "")</f>
        <v/>
      </c>
      <c r="C149" s="10">
        <f>IFERROR(IF(INDEX(ERP資料!$S:$S, (MATCH(148, 輔助計算!$E$2:$E$801, 0)+1))="","",INDEX(ERP資料!$S:$S, (MATCH(148, 輔助計算!$E$2:$E$801, 0)+1))), "")</f>
        <v/>
      </c>
      <c r="D149" s="10">
        <f>IFERROR(IF(INDEX(ERP資料!$E:$E, (MATCH(148, 輔助計算!$E$2:$E$801, 0)+1))="","",TRIM(INDEX(ERP資料!$E:$E, (MATCH(148, 輔助計算!$E$2:$E$801, 0)+1)))), "")</f>
        <v/>
      </c>
      <c r="E149" s="10">
        <f>IFERROR(IF(INDEX(ERP資料!$F:$F, (MATCH(148, 輔助計算!$E$2:$E$801, 0)+1))="","",INDEX(ERP資料!$F:$F, (MATCH(148, 輔助計算!$E$2:$E$801, 0)+1))), "")</f>
        <v/>
      </c>
      <c r="F149" s="10">
        <f>IFERROR(IF(INDEX(ERP資料!$G:$G, (MATCH(148, 輔助計算!$E$2:$E$801, 0)+1))="","",INDEX(ERP資料!$G:$G, (MATCH(148, 輔助計算!$E$2:$E$801, 0)+1))), "")</f>
        <v/>
      </c>
      <c r="G149" s="10">
        <f>IFERROR(IF(INDEX(ERP資料!$H:$H, (MATCH(148, 輔助計算!$E$2:$E$801, 0)+1))="","",INDEX(ERP資料!$H:$H, (MATCH(148, 輔助計算!$E$2:$E$801, 0)+1))), "")</f>
        <v/>
      </c>
      <c r="H149" s="15">
        <f>IFERROR(INDEX(輔助計算!$D:$D, (MATCH(148, 輔助計算!$E$2:$E$801, 0)+1)), "")</f>
        <v/>
      </c>
      <c r="I149" s="10">
        <f>IFERROR(IF(INDEX(ERP資料!$O:$O, (MATCH(148, 輔助計算!$E$2:$E$801, 0)+1))="","",INDEX(ERP資料!$O:$O, (MATCH(148, 輔助計算!$E$2:$E$801, 0)+1))), "")</f>
        <v/>
      </c>
      <c r="J149" s="15">
        <f>IFERROR(IF(INDEX(輔助計算!$D:$D,(MATCH(148, 輔助計算!$E$2:$E$801, 0)+1))="","",INDEX(輔助計算!$D:$D,(MATCH(148, 輔助計算!$E$2:$E$801, 0)+1))*INDEX(ERP資料!$O:$O,(MATCH(148, 輔助計算!$E$2:$E$801, 0)+1))), "")</f>
        <v/>
      </c>
      <c r="K149" s="16" t="n"/>
      <c r="L149" s="16" t="n"/>
      <c r="M149" s="17" t="n"/>
    </row>
    <row r="150">
      <c r="A150" s="14">
        <f>IFERROR(IF(INDEX(ERP資料!$B:$B, (MATCH(149, 輔助計算!$E$2:$E$801, 0)+1))="","",INDEX(ERP資料!$B:$B, (MATCH(149, 輔助計算!$E$2:$E$801, 0)+1))), "")</f>
        <v/>
      </c>
      <c r="B150" s="10">
        <f>IFERROR(IF(INDEX(ERP資料!$A:$A, (MATCH(149, 輔助計算!$E$2:$E$801, 0)+1))="","",INDEX(ERP資料!$A:$A, (MATCH(149, 輔助計算!$E$2:$E$801, 0)+1))), "")</f>
        <v/>
      </c>
      <c r="C150" s="10">
        <f>IFERROR(IF(INDEX(ERP資料!$S:$S, (MATCH(149, 輔助計算!$E$2:$E$801, 0)+1))="","",INDEX(ERP資料!$S:$S, (MATCH(149, 輔助計算!$E$2:$E$801, 0)+1))), "")</f>
        <v/>
      </c>
      <c r="D150" s="10">
        <f>IFERROR(IF(INDEX(ERP資料!$E:$E, (MATCH(149, 輔助計算!$E$2:$E$801, 0)+1))="","",TRIM(INDEX(ERP資料!$E:$E, (MATCH(149, 輔助計算!$E$2:$E$801, 0)+1)))), "")</f>
        <v/>
      </c>
      <c r="E150" s="10">
        <f>IFERROR(IF(INDEX(ERP資料!$F:$F, (MATCH(149, 輔助計算!$E$2:$E$801, 0)+1))="","",INDEX(ERP資料!$F:$F, (MATCH(149, 輔助計算!$E$2:$E$801, 0)+1))), "")</f>
        <v/>
      </c>
      <c r="F150" s="10">
        <f>IFERROR(IF(INDEX(ERP資料!$G:$G, (MATCH(149, 輔助計算!$E$2:$E$801, 0)+1))="","",INDEX(ERP資料!$G:$G, (MATCH(149, 輔助計算!$E$2:$E$801, 0)+1))), "")</f>
        <v/>
      </c>
      <c r="G150" s="10">
        <f>IFERROR(IF(INDEX(ERP資料!$H:$H, (MATCH(149, 輔助計算!$E$2:$E$801, 0)+1))="","",INDEX(ERP資料!$H:$H, (MATCH(149, 輔助計算!$E$2:$E$801, 0)+1))), "")</f>
        <v/>
      </c>
      <c r="H150" s="15">
        <f>IFERROR(INDEX(輔助計算!$D:$D, (MATCH(149, 輔助計算!$E$2:$E$801, 0)+1)), "")</f>
        <v/>
      </c>
      <c r="I150" s="10">
        <f>IFERROR(IF(INDEX(ERP資料!$O:$O, (MATCH(149, 輔助計算!$E$2:$E$801, 0)+1))="","",INDEX(ERP資料!$O:$O, (MATCH(149, 輔助計算!$E$2:$E$801, 0)+1))), "")</f>
        <v/>
      </c>
      <c r="J150" s="15">
        <f>IFERROR(IF(INDEX(輔助計算!$D:$D,(MATCH(149, 輔助計算!$E$2:$E$801, 0)+1))="","",INDEX(輔助計算!$D:$D,(MATCH(149, 輔助計算!$E$2:$E$801, 0)+1))*INDEX(ERP資料!$O:$O,(MATCH(149, 輔助計算!$E$2:$E$801, 0)+1))), "")</f>
        <v/>
      </c>
      <c r="K150" s="16" t="n"/>
      <c r="L150" s="16" t="n"/>
      <c r="M150" s="17" t="n"/>
    </row>
    <row r="151">
      <c r="A151" s="14">
        <f>IFERROR(IF(INDEX(ERP資料!$B:$B, (MATCH(150, 輔助計算!$E$2:$E$801, 0)+1))="","",INDEX(ERP資料!$B:$B, (MATCH(150, 輔助計算!$E$2:$E$801, 0)+1))), "")</f>
        <v/>
      </c>
      <c r="B151" s="10">
        <f>IFERROR(IF(INDEX(ERP資料!$A:$A, (MATCH(150, 輔助計算!$E$2:$E$801, 0)+1))="","",INDEX(ERP資料!$A:$A, (MATCH(150, 輔助計算!$E$2:$E$801, 0)+1))), "")</f>
        <v/>
      </c>
      <c r="C151" s="10">
        <f>IFERROR(IF(INDEX(ERP資料!$S:$S, (MATCH(150, 輔助計算!$E$2:$E$801, 0)+1))="","",INDEX(ERP資料!$S:$S, (MATCH(150, 輔助計算!$E$2:$E$801, 0)+1))), "")</f>
        <v/>
      </c>
      <c r="D151" s="10">
        <f>IFERROR(IF(INDEX(ERP資料!$E:$E, (MATCH(150, 輔助計算!$E$2:$E$801, 0)+1))="","",TRIM(INDEX(ERP資料!$E:$E, (MATCH(150, 輔助計算!$E$2:$E$801, 0)+1)))), "")</f>
        <v/>
      </c>
      <c r="E151" s="10">
        <f>IFERROR(IF(INDEX(ERP資料!$F:$F, (MATCH(150, 輔助計算!$E$2:$E$801, 0)+1))="","",INDEX(ERP資料!$F:$F, (MATCH(150, 輔助計算!$E$2:$E$801, 0)+1))), "")</f>
        <v/>
      </c>
      <c r="F151" s="10">
        <f>IFERROR(IF(INDEX(ERP資料!$G:$G, (MATCH(150, 輔助計算!$E$2:$E$801, 0)+1))="","",INDEX(ERP資料!$G:$G, (MATCH(150, 輔助計算!$E$2:$E$801, 0)+1))), "")</f>
        <v/>
      </c>
      <c r="G151" s="10">
        <f>IFERROR(IF(INDEX(ERP資料!$H:$H, (MATCH(150, 輔助計算!$E$2:$E$801, 0)+1))="","",INDEX(ERP資料!$H:$H, (MATCH(150, 輔助計算!$E$2:$E$801, 0)+1))), "")</f>
        <v/>
      </c>
      <c r="H151" s="15">
        <f>IFERROR(INDEX(輔助計算!$D:$D, (MATCH(150, 輔助計算!$E$2:$E$801, 0)+1)), "")</f>
        <v/>
      </c>
      <c r="I151" s="10">
        <f>IFERROR(IF(INDEX(ERP資料!$O:$O, (MATCH(150, 輔助計算!$E$2:$E$801, 0)+1))="","",INDEX(ERP資料!$O:$O, (MATCH(150, 輔助計算!$E$2:$E$801, 0)+1))), "")</f>
        <v/>
      </c>
      <c r="J151" s="15">
        <f>IFERROR(IF(INDEX(輔助計算!$D:$D,(MATCH(150, 輔助計算!$E$2:$E$801, 0)+1))="","",INDEX(輔助計算!$D:$D,(MATCH(150, 輔助計算!$E$2:$E$801, 0)+1))*INDEX(ERP資料!$O:$O,(MATCH(150, 輔助計算!$E$2:$E$801, 0)+1))), "")</f>
        <v/>
      </c>
      <c r="K151" s="16" t="n"/>
      <c r="L151" s="16" t="n"/>
      <c r="M151" s="17" t="n"/>
    </row>
    <row r="152">
      <c r="A152" s="14">
        <f>IFERROR(IF(INDEX(ERP資料!$B:$B, (MATCH(151, 輔助計算!$E$2:$E$801, 0)+1))="","",INDEX(ERP資料!$B:$B, (MATCH(151, 輔助計算!$E$2:$E$801, 0)+1))), "")</f>
        <v/>
      </c>
      <c r="B152" s="10">
        <f>IFERROR(IF(INDEX(ERP資料!$A:$A, (MATCH(151, 輔助計算!$E$2:$E$801, 0)+1))="","",INDEX(ERP資料!$A:$A, (MATCH(151, 輔助計算!$E$2:$E$801, 0)+1))), "")</f>
        <v/>
      </c>
      <c r="C152" s="10">
        <f>IFERROR(IF(INDEX(ERP資料!$S:$S, (MATCH(151, 輔助計算!$E$2:$E$801, 0)+1))="","",INDEX(ERP資料!$S:$S, (MATCH(151, 輔助計算!$E$2:$E$801, 0)+1))), "")</f>
        <v/>
      </c>
      <c r="D152" s="10">
        <f>IFERROR(IF(INDEX(ERP資料!$E:$E, (MATCH(151, 輔助計算!$E$2:$E$801, 0)+1))="","",TRIM(INDEX(ERP資料!$E:$E, (MATCH(151, 輔助計算!$E$2:$E$801, 0)+1)))), "")</f>
        <v/>
      </c>
      <c r="E152" s="10">
        <f>IFERROR(IF(INDEX(ERP資料!$F:$F, (MATCH(151, 輔助計算!$E$2:$E$801, 0)+1))="","",INDEX(ERP資料!$F:$F, (MATCH(151, 輔助計算!$E$2:$E$801, 0)+1))), "")</f>
        <v/>
      </c>
      <c r="F152" s="10">
        <f>IFERROR(IF(INDEX(ERP資料!$G:$G, (MATCH(151, 輔助計算!$E$2:$E$801, 0)+1))="","",INDEX(ERP資料!$G:$G, (MATCH(151, 輔助計算!$E$2:$E$801, 0)+1))), "")</f>
        <v/>
      </c>
      <c r="G152" s="10">
        <f>IFERROR(IF(INDEX(ERP資料!$H:$H, (MATCH(151, 輔助計算!$E$2:$E$801, 0)+1))="","",INDEX(ERP資料!$H:$H, (MATCH(151, 輔助計算!$E$2:$E$801, 0)+1))), "")</f>
        <v/>
      </c>
      <c r="H152" s="15">
        <f>IFERROR(INDEX(輔助計算!$D:$D, (MATCH(151, 輔助計算!$E$2:$E$801, 0)+1)), "")</f>
        <v/>
      </c>
      <c r="I152" s="10">
        <f>IFERROR(IF(INDEX(ERP資料!$O:$O, (MATCH(151, 輔助計算!$E$2:$E$801, 0)+1))="","",INDEX(ERP資料!$O:$O, (MATCH(151, 輔助計算!$E$2:$E$801, 0)+1))), "")</f>
        <v/>
      </c>
      <c r="J152" s="15">
        <f>IFERROR(IF(INDEX(輔助計算!$D:$D,(MATCH(151, 輔助計算!$E$2:$E$801, 0)+1))="","",INDEX(輔助計算!$D:$D,(MATCH(151, 輔助計算!$E$2:$E$801, 0)+1))*INDEX(ERP資料!$O:$O,(MATCH(151, 輔助計算!$E$2:$E$801, 0)+1))), "")</f>
        <v/>
      </c>
      <c r="K152" s="16" t="n"/>
      <c r="L152" s="16" t="n"/>
      <c r="M152" s="17" t="n"/>
    </row>
    <row r="153">
      <c r="A153" s="14">
        <f>IFERROR(IF(INDEX(ERP資料!$B:$B, (MATCH(152, 輔助計算!$E$2:$E$801, 0)+1))="","",INDEX(ERP資料!$B:$B, (MATCH(152, 輔助計算!$E$2:$E$801, 0)+1))), "")</f>
        <v/>
      </c>
      <c r="B153" s="10">
        <f>IFERROR(IF(INDEX(ERP資料!$A:$A, (MATCH(152, 輔助計算!$E$2:$E$801, 0)+1))="","",INDEX(ERP資料!$A:$A, (MATCH(152, 輔助計算!$E$2:$E$801, 0)+1))), "")</f>
        <v/>
      </c>
      <c r="C153" s="10">
        <f>IFERROR(IF(INDEX(ERP資料!$S:$S, (MATCH(152, 輔助計算!$E$2:$E$801, 0)+1))="","",INDEX(ERP資料!$S:$S, (MATCH(152, 輔助計算!$E$2:$E$801, 0)+1))), "")</f>
        <v/>
      </c>
      <c r="D153" s="10">
        <f>IFERROR(IF(INDEX(ERP資料!$E:$E, (MATCH(152, 輔助計算!$E$2:$E$801, 0)+1))="","",TRIM(INDEX(ERP資料!$E:$E, (MATCH(152, 輔助計算!$E$2:$E$801, 0)+1)))), "")</f>
        <v/>
      </c>
      <c r="E153" s="10">
        <f>IFERROR(IF(INDEX(ERP資料!$F:$F, (MATCH(152, 輔助計算!$E$2:$E$801, 0)+1))="","",INDEX(ERP資料!$F:$F, (MATCH(152, 輔助計算!$E$2:$E$801, 0)+1))), "")</f>
        <v/>
      </c>
      <c r="F153" s="10">
        <f>IFERROR(IF(INDEX(ERP資料!$G:$G, (MATCH(152, 輔助計算!$E$2:$E$801, 0)+1))="","",INDEX(ERP資料!$G:$G, (MATCH(152, 輔助計算!$E$2:$E$801, 0)+1))), "")</f>
        <v/>
      </c>
      <c r="G153" s="10">
        <f>IFERROR(IF(INDEX(ERP資料!$H:$H, (MATCH(152, 輔助計算!$E$2:$E$801, 0)+1))="","",INDEX(ERP資料!$H:$H, (MATCH(152, 輔助計算!$E$2:$E$801, 0)+1))), "")</f>
        <v/>
      </c>
      <c r="H153" s="15">
        <f>IFERROR(INDEX(輔助計算!$D:$D, (MATCH(152, 輔助計算!$E$2:$E$801, 0)+1)), "")</f>
        <v/>
      </c>
      <c r="I153" s="10">
        <f>IFERROR(IF(INDEX(ERP資料!$O:$O, (MATCH(152, 輔助計算!$E$2:$E$801, 0)+1))="","",INDEX(ERP資料!$O:$O, (MATCH(152, 輔助計算!$E$2:$E$801, 0)+1))), "")</f>
        <v/>
      </c>
      <c r="J153" s="15">
        <f>IFERROR(IF(INDEX(輔助計算!$D:$D,(MATCH(152, 輔助計算!$E$2:$E$801, 0)+1))="","",INDEX(輔助計算!$D:$D,(MATCH(152, 輔助計算!$E$2:$E$801, 0)+1))*INDEX(ERP資料!$O:$O,(MATCH(152, 輔助計算!$E$2:$E$801, 0)+1))), "")</f>
        <v/>
      </c>
      <c r="K153" s="16" t="n"/>
      <c r="L153" s="16" t="n"/>
      <c r="M153" s="17" t="n"/>
    </row>
    <row r="154">
      <c r="A154" s="14">
        <f>IFERROR(IF(INDEX(ERP資料!$B:$B, (MATCH(153, 輔助計算!$E$2:$E$801, 0)+1))="","",INDEX(ERP資料!$B:$B, (MATCH(153, 輔助計算!$E$2:$E$801, 0)+1))), "")</f>
        <v/>
      </c>
      <c r="B154" s="10">
        <f>IFERROR(IF(INDEX(ERP資料!$A:$A, (MATCH(153, 輔助計算!$E$2:$E$801, 0)+1))="","",INDEX(ERP資料!$A:$A, (MATCH(153, 輔助計算!$E$2:$E$801, 0)+1))), "")</f>
        <v/>
      </c>
      <c r="C154" s="10">
        <f>IFERROR(IF(INDEX(ERP資料!$S:$S, (MATCH(153, 輔助計算!$E$2:$E$801, 0)+1))="","",INDEX(ERP資料!$S:$S, (MATCH(153, 輔助計算!$E$2:$E$801, 0)+1))), "")</f>
        <v/>
      </c>
      <c r="D154" s="10">
        <f>IFERROR(IF(INDEX(ERP資料!$E:$E, (MATCH(153, 輔助計算!$E$2:$E$801, 0)+1))="","",TRIM(INDEX(ERP資料!$E:$E, (MATCH(153, 輔助計算!$E$2:$E$801, 0)+1)))), "")</f>
        <v/>
      </c>
      <c r="E154" s="10">
        <f>IFERROR(IF(INDEX(ERP資料!$F:$F, (MATCH(153, 輔助計算!$E$2:$E$801, 0)+1))="","",INDEX(ERP資料!$F:$F, (MATCH(153, 輔助計算!$E$2:$E$801, 0)+1))), "")</f>
        <v/>
      </c>
      <c r="F154" s="10">
        <f>IFERROR(IF(INDEX(ERP資料!$G:$G, (MATCH(153, 輔助計算!$E$2:$E$801, 0)+1))="","",INDEX(ERP資料!$G:$G, (MATCH(153, 輔助計算!$E$2:$E$801, 0)+1))), "")</f>
        <v/>
      </c>
      <c r="G154" s="10">
        <f>IFERROR(IF(INDEX(ERP資料!$H:$H, (MATCH(153, 輔助計算!$E$2:$E$801, 0)+1))="","",INDEX(ERP資料!$H:$H, (MATCH(153, 輔助計算!$E$2:$E$801, 0)+1))), "")</f>
        <v/>
      </c>
      <c r="H154" s="15">
        <f>IFERROR(INDEX(輔助計算!$D:$D, (MATCH(153, 輔助計算!$E$2:$E$801, 0)+1)), "")</f>
        <v/>
      </c>
      <c r="I154" s="10">
        <f>IFERROR(IF(INDEX(ERP資料!$O:$O, (MATCH(153, 輔助計算!$E$2:$E$801, 0)+1))="","",INDEX(ERP資料!$O:$O, (MATCH(153, 輔助計算!$E$2:$E$801, 0)+1))), "")</f>
        <v/>
      </c>
      <c r="J154" s="15">
        <f>IFERROR(IF(INDEX(輔助計算!$D:$D,(MATCH(153, 輔助計算!$E$2:$E$801, 0)+1))="","",INDEX(輔助計算!$D:$D,(MATCH(153, 輔助計算!$E$2:$E$801, 0)+1))*INDEX(ERP資料!$O:$O,(MATCH(153, 輔助計算!$E$2:$E$801, 0)+1))), "")</f>
        <v/>
      </c>
      <c r="K154" s="16" t="n"/>
      <c r="L154" s="16" t="n"/>
      <c r="M154" s="17" t="n"/>
    </row>
    <row r="155">
      <c r="A155" s="14">
        <f>IFERROR(IF(INDEX(ERP資料!$B:$B, (MATCH(154, 輔助計算!$E$2:$E$801, 0)+1))="","",INDEX(ERP資料!$B:$B, (MATCH(154, 輔助計算!$E$2:$E$801, 0)+1))), "")</f>
        <v/>
      </c>
      <c r="B155" s="10">
        <f>IFERROR(IF(INDEX(ERP資料!$A:$A, (MATCH(154, 輔助計算!$E$2:$E$801, 0)+1))="","",INDEX(ERP資料!$A:$A, (MATCH(154, 輔助計算!$E$2:$E$801, 0)+1))), "")</f>
        <v/>
      </c>
      <c r="C155" s="10">
        <f>IFERROR(IF(INDEX(ERP資料!$S:$S, (MATCH(154, 輔助計算!$E$2:$E$801, 0)+1))="","",INDEX(ERP資料!$S:$S, (MATCH(154, 輔助計算!$E$2:$E$801, 0)+1))), "")</f>
        <v/>
      </c>
      <c r="D155" s="10">
        <f>IFERROR(IF(INDEX(ERP資料!$E:$E, (MATCH(154, 輔助計算!$E$2:$E$801, 0)+1))="","",TRIM(INDEX(ERP資料!$E:$E, (MATCH(154, 輔助計算!$E$2:$E$801, 0)+1)))), "")</f>
        <v/>
      </c>
      <c r="E155" s="10">
        <f>IFERROR(IF(INDEX(ERP資料!$F:$F, (MATCH(154, 輔助計算!$E$2:$E$801, 0)+1))="","",INDEX(ERP資料!$F:$F, (MATCH(154, 輔助計算!$E$2:$E$801, 0)+1))), "")</f>
        <v/>
      </c>
      <c r="F155" s="10">
        <f>IFERROR(IF(INDEX(ERP資料!$G:$G, (MATCH(154, 輔助計算!$E$2:$E$801, 0)+1))="","",INDEX(ERP資料!$G:$G, (MATCH(154, 輔助計算!$E$2:$E$801, 0)+1))), "")</f>
        <v/>
      </c>
      <c r="G155" s="10">
        <f>IFERROR(IF(INDEX(ERP資料!$H:$H, (MATCH(154, 輔助計算!$E$2:$E$801, 0)+1))="","",INDEX(ERP資料!$H:$H, (MATCH(154, 輔助計算!$E$2:$E$801, 0)+1))), "")</f>
        <v/>
      </c>
      <c r="H155" s="15">
        <f>IFERROR(INDEX(輔助計算!$D:$D, (MATCH(154, 輔助計算!$E$2:$E$801, 0)+1)), "")</f>
        <v/>
      </c>
      <c r="I155" s="10">
        <f>IFERROR(IF(INDEX(ERP資料!$O:$O, (MATCH(154, 輔助計算!$E$2:$E$801, 0)+1))="","",INDEX(ERP資料!$O:$O, (MATCH(154, 輔助計算!$E$2:$E$801, 0)+1))), "")</f>
        <v/>
      </c>
      <c r="J155" s="15">
        <f>IFERROR(IF(INDEX(輔助計算!$D:$D,(MATCH(154, 輔助計算!$E$2:$E$801, 0)+1))="","",INDEX(輔助計算!$D:$D,(MATCH(154, 輔助計算!$E$2:$E$801, 0)+1))*INDEX(ERP資料!$O:$O,(MATCH(154, 輔助計算!$E$2:$E$801, 0)+1))), "")</f>
        <v/>
      </c>
      <c r="K155" s="16" t="n"/>
      <c r="L155" s="16" t="n"/>
      <c r="M155" s="17" t="n"/>
    </row>
    <row r="156">
      <c r="A156" s="14">
        <f>IFERROR(IF(INDEX(ERP資料!$B:$B, (MATCH(155, 輔助計算!$E$2:$E$801, 0)+1))="","",INDEX(ERP資料!$B:$B, (MATCH(155, 輔助計算!$E$2:$E$801, 0)+1))), "")</f>
        <v/>
      </c>
      <c r="B156" s="10">
        <f>IFERROR(IF(INDEX(ERP資料!$A:$A, (MATCH(155, 輔助計算!$E$2:$E$801, 0)+1))="","",INDEX(ERP資料!$A:$A, (MATCH(155, 輔助計算!$E$2:$E$801, 0)+1))), "")</f>
        <v/>
      </c>
      <c r="C156" s="10">
        <f>IFERROR(IF(INDEX(ERP資料!$S:$S, (MATCH(155, 輔助計算!$E$2:$E$801, 0)+1))="","",INDEX(ERP資料!$S:$S, (MATCH(155, 輔助計算!$E$2:$E$801, 0)+1))), "")</f>
        <v/>
      </c>
      <c r="D156" s="10">
        <f>IFERROR(IF(INDEX(ERP資料!$E:$E, (MATCH(155, 輔助計算!$E$2:$E$801, 0)+1))="","",TRIM(INDEX(ERP資料!$E:$E, (MATCH(155, 輔助計算!$E$2:$E$801, 0)+1)))), "")</f>
        <v/>
      </c>
      <c r="E156" s="10">
        <f>IFERROR(IF(INDEX(ERP資料!$F:$F, (MATCH(155, 輔助計算!$E$2:$E$801, 0)+1))="","",INDEX(ERP資料!$F:$F, (MATCH(155, 輔助計算!$E$2:$E$801, 0)+1))), "")</f>
        <v/>
      </c>
      <c r="F156" s="10">
        <f>IFERROR(IF(INDEX(ERP資料!$G:$G, (MATCH(155, 輔助計算!$E$2:$E$801, 0)+1))="","",INDEX(ERP資料!$G:$G, (MATCH(155, 輔助計算!$E$2:$E$801, 0)+1))), "")</f>
        <v/>
      </c>
      <c r="G156" s="10">
        <f>IFERROR(IF(INDEX(ERP資料!$H:$H, (MATCH(155, 輔助計算!$E$2:$E$801, 0)+1))="","",INDEX(ERP資料!$H:$H, (MATCH(155, 輔助計算!$E$2:$E$801, 0)+1))), "")</f>
        <v/>
      </c>
      <c r="H156" s="15">
        <f>IFERROR(INDEX(輔助計算!$D:$D, (MATCH(155, 輔助計算!$E$2:$E$801, 0)+1)), "")</f>
        <v/>
      </c>
      <c r="I156" s="10">
        <f>IFERROR(IF(INDEX(ERP資料!$O:$O, (MATCH(155, 輔助計算!$E$2:$E$801, 0)+1))="","",INDEX(ERP資料!$O:$O, (MATCH(155, 輔助計算!$E$2:$E$801, 0)+1))), "")</f>
        <v/>
      </c>
      <c r="J156" s="15">
        <f>IFERROR(IF(INDEX(輔助計算!$D:$D,(MATCH(155, 輔助計算!$E$2:$E$801, 0)+1))="","",INDEX(輔助計算!$D:$D,(MATCH(155, 輔助計算!$E$2:$E$801, 0)+1))*INDEX(ERP資料!$O:$O,(MATCH(155, 輔助計算!$E$2:$E$801, 0)+1))), "")</f>
        <v/>
      </c>
      <c r="K156" s="16" t="n"/>
      <c r="L156" s="16" t="n"/>
      <c r="M156" s="17" t="n"/>
    </row>
    <row r="157">
      <c r="A157" s="14">
        <f>IFERROR(IF(INDEX(ERP資料!$B:$B, (MATCH(156, 輔助計算!$E$2:$E$801, 0)+1))="","",INDEX(ERP資料!$B:$B, (MATCH(156, 輔助計算!$E$2:$E$801, 0)+1))), "")</f>
        <v/>
      </c>
      <c r="B157" s="10">
        <f>IFERROR(IF(INDEX(ERP資料!$A:$A, (MATCH(156, 輔助計算!$E$2:$E$801, 0)+1))="","",INDEX(ERP資料!$A:$A, (MATCH(156, 輔助計算!$E$2:$E$801, 0)+1))), "")</f>
        <v/>
      </c>
      <c r="C157" s="10">
        <f>IFERROR(IF(INDEX(ERP資料!$S:$S, (MATCH(156, 輔助計算!$E$2:$E$801, 0)+1))="","",INDEX(ERP資料!$S:$S, (MATCH(156, 輔助計算!$E$2:$E$801, 0)+1))), "")</f>
        <v/>
      </c>
      <c r="D157" s="10">
        <f>IFERROR(IF(INDEX(ERP資料!$E:$E, (MATCH(156, 輔助計算!$E$2:$E$801, 0)+1))="","",TRIM(INDEX(ERP資料!$E:$E, (MATCH(156, 輔助計算!$E$2:$E$801, 0)+1)))), "")</f>
        <v/>
      </c>
      <c r="E157" s="10">
        <f>IFERROR(IF(INDEX(ERP資料!$F:$F, (MATCH(156, 輔助計算!$E$2:$E$801, 0)+1))="","",INDEX(ERP資料!$F:$F, (MATCH(156, 輔助計算!$E$2:$E$801, 0)+1))), "")</f>
        <v/>
      </c>
      <c r="F157" s="10">
        <f>IFERROR(IF(INDEX(ERP資料!$G:$G, (MATCH(156, 輔助計算!$E$2:$E$801, 0)+1))="","",INDEX(ERP資料!$G:$G, (MATCH(156, 輔助計算!$E$2:$E$801, 0)+1))), "")</f>
        <v/>
      </c>
      <c r="G157" s="10">
        <f>IFERROR(IF(INDEX(ERP資料!$H:$H, (MATCH(156, 輔助計算!$E$2:$E$801, 0)+1))="","",INDEX(ERP資料!$H:$H, (MATCH(156, 輔助計算!$E$2:$E$801, 0)+1))), "")</f>
        <v/>
      </c>
      <c r="H157" s="15">
        <f>IFERROR(INDEX(輔助計算!$D:$D, (MATCH(156, 輔助計算!$E$2:$E$801, 0)+1)), "")</f>
        <v/>
      </c>
      <c r="I157" s="10">
        <f>IFERROR(IF(INDEX(ERP資料!$O:$O, (MATCH(156, 輔助計算!$E$2:$E$801, 0)+1))="","",INDEX(ERP資料!$O:$O, (MATCH(156, 輔助計算!$E$2:$E$801, 0)+1))), "")</f>
        <v/>
      </c>
      <c r="J157" s="15">
        <f>IFERROR(IF(INDEX(輔助計算!$D:$D,(MATCH(156, 輔助計算!$E$2:$E$801, 0)+1))="","",INDEX(輔助計算!$D:$D,(MATCH(156, 輔助計算!$E$2:$E$801, 0)+1))*INDEX(ERP資料!$O:$O,(MATCH(156, 輔助計算!$E$2:$E$801, 0)+1))), "")</f>
        <v/>
      </c>
      <c r="K157" s="16" t="n"/>
      <c r="L157" s="16" t="n"/>
      <c r="M157" s="17" t="n"/>
    </row>
    <row r="158">
      <c r="A158" s="14">
        <f>IFERROR(IF(INDEX(ERP資料!$B:$B, (MATCH(157, 輔助計算!$E$2:$E$801, 0)+1))="","",INDEX(ERP資料!$B:$B, (MATCH(157, 輔助計算!$E$2:$E$801, 0)+1))), "")</f>
        <v/>
      </c>
      <c r="B158" s="10">
        <f>IFERROR(IF(INDEX(ERP資料!$A:$A, (MATCH(157, 輔助計算!$E$2:$E$801, 0)+1))="","",INDEX(ERP資料!$A:$A, (MATCH(157, 輔助計算!$E$2:$E$801, 0)+1))), "")</f>
        <v/>
      </c>
      <c r="C158" s="10">
        <f>IFERROR(IF(INDEX(ERP資料!$S:$S, (MATCH(157, 輔助計算!$E$2:$E$801, 0)+1))="","",INDEX(ERP資料!$S:$S, (MATCH(157, 輔助計算!$E$2:$E$801, 0)+1))), "")</f>
        <v/>
      </c>
      <c r="D158" s="10">
        <f>IFERROR(IF(INDEX(ERP資料!$E:$E, (MATCH(157, 輔助計算!$E$2:$E$801, 0)+1))="","",TRIM(INDEX(ERP資料!$E:$E, (MATCH(157, 輔助計算!$E$2:$E$801, 0)+1)))), "")</f>
        <v/>
      </c>
      <c r="E158" s="10">
        <f>IFERROR(IF(INDEX(ERP資料!$F:$F, (MATCH(157, 輔助計算!$E$2:$E$801, 0)+1))="","",INDEX(ERP資料!$F:$F, (MATCH(157, 輔助計算!$E$2:$E$801, 0)+1))), "")</f>
        <v/>
      </c>
      <c r="F158" s="10">
        <f>IFERROR(IF(INDEX(ERP資料!$G:$G, (MATCH(157, 輔助計算!$E$2:$E$801, 0)+1))="","",INDEX(ERP資料!$G:$G, (MATCH(157, 輔助計算!$E$2:$E$801, 0)+1))), "")</f>
        <v/>
      </c>
      <c r="G158" s="10">
        <f>IFERROR(IF(INDEX(ERP資料!$H:$H, (MATCH(157, 輔助計算!$E$2:$E$801, 0)+1))="","",INDEX(ERP資料!$H:$H, (MATCH(157, 輔助計算!$E$2:$E$801, 0)+1))), "")</f>
        <v/>
      </c>
      <c r="H158" s="15">
        <f>IFERROR(INDEX(輔助計算!$D:$D, (MATCH(157, 輔助計算!$E$2:$E$801, 0)+1)), "")</f>
        <v/>
      </c>
      <c r="I158" s="10">
        <f>IFERROR(IF(INDEX(ERP資料!$O:$O, (MATCH(157, 輔助計算!$E$2:$E$801, 0)+1))="","",INDEX(ERP資料!$O:$O, (MATCH(157, 輔助計算!$E$2:$E$801, 0)+1))), "")</f>
        <v/>
      </c>
      <c r="J158" s="15">
        <f>IFERROR(IF(INDEX(輔助計算!$D:$D,(MATCH(157, 輔助計算!$E$2:$E$801, 0)+1))="","",INDEX(輔助計算!$D:$D,(MATCH(157, 輔助計算!$E$2:$E$801, 0)+1))*INDEX(ERP資料!$O:$O,(MATCH(157, 輔助計算!$E$2:$E$801, 0)+1))), "")</f>
        <v/>
      </c>
      <c r="K158" s="16" t="n"/>
      <c r="L158" s="16" t="n"/>
      <c r="M158" s="17" t="n"/>
    </row>
    <row r="159">
      <c r="A159" s="14">
        <f>IFERROR(IF(INDEX(ERP資料!$B:$B, (MATCH(158, 輔助計算!$E$2:$E$801, 0)+1))="","",INDEX(ERP資料!$B:$B, (MATCH(158, 輔助計算!$E$2:$E$801, 0)+1))), "")</f>
        <v/>
      </c>
      <c r="B159" s="10">
        <f>IFERROR(IF(INDEX(ERP資料!$A:$A, (MATCH(158, 輔助計算!$E$2:$E$801, 0)+1))="","",INDEX(ERP資料!$A:$A, (MATCH(158, 輔助計算!$E$2:$E$801, 0)+1))), "")</f>
        <v/>
      </c>
      <c r="C159" s="10">
        <f>IFERROR(IF(INDEX(ERP資料!$S:$S, (MATCH(158, 輔助計算!$E$2:$E$801, 0)+1))="","",INDEX(ERP資料!$S:$S, (MATCH(158, 輔助計算!$E$2:$E$801, 0)+1))), "")</f>
        <v/>
      </c>
      <c r="D159" s="10">
        <f>IFERROR(IF(INDEX(ERP資料!$E:$E, (MATCH(158, 輔助計算!$E$2:$E$801, 0)+1))="","",TRIM(INDEX(ERP資料!$E:$E, (MATCH(158, 輔助計算!$E$2:$E$801, 0)+1)))), "")</f>
        <v/>
      </c>
      <c r="E159" s="10">
        <f>IFERROR(IF(INDEX(ERP資料!$F:$F, (MATCH(158, 輔助計算!$E$2:$E$801, 0)+1))="","",INDEX(ERP資料!$F:$F, (MATCH(158, 輔助計算!$E$2:$E$801, 0)+1))), "")</f>
        <v/>
      </c>
      <c r="F159" s="10">
        <f>IFERROR(IF(INDEX(ERP資料!$G:$G, (MATCH(158, 輔助計算!$E$2:$E$801, 0)+1))="","",INDEX(ERP資料!$G:$G, (MATCH(158, 輔助計算!$E$2:$E$801, 0)+1))), "")</f>
        <v/>
      </c>
      <c r="G159" s="10">
        <f>IFERROR(IF(INDEX(ERP資料!$H:$H, (MATCH(158, 輔助計算!$E$2:$E$801, 0)+1))="","",INDEX(ERP資料!$H:$H, (MATCH(158, 輔助計算!$E$2:$E$801, 0)+1))), "")</f>
        <v/>
      </c>
      <c r="H159" s="15">
        <f>IFERROR(INDEX(輔助計算!$D:$D, (MATCH(158, 輔助計算!$E$2:$E$801, 0)+1)), "")</f>
        <v/>
      </c>
      <c r="I159" s="10">
        <f>IFERROR(IF(INDEX(ERP資料!$O:$O, (MATCH(158, 輔助計算!$E$2:$E$801, 0)+1))="","",INDEX(ERP資料!$O:$O, (MATCH(158, 輔助計算!$E$2:$E$801, 0)+1))), "")</f>
        <v/>
      </c>
      <c r="J159" s="15">
        <f>IFERROR(IF(INDEX(輔助計算!$D:$D,(MATCH(158, 輔助計算!$E$2:$E$801, 0)+1))="","",INDEX(輔助計算!$D:$D,(MATCH(158, 輔助計算!$E$2:$E$801, 0)+1))*INDEX(ERP資料!$O:$O,(MATCH(158, 輔助計算!$E$2:$E$801, 0)+1))), "")</f>
        <v/>
      </c>
      <c r="K159" s="16" t="n"/>
      <c r="L159" s="16" t="n"/>
      <c r="M159" s="17" t="n"/>
    </row>
    <row r="160">
      <c r="A160" s="14">
        <f>IFERROR(IF(INDEX(ERP資料!$B:$B, (MATCH(159, 輔助計算!$E$2:$E$801, 0)+1))="","",INDEX(ERP資料!$B:$B, (MATCH(159, 輔助計算!$E$2:$E$801, 0)+1))), "")</f>
        <v/>
      </c>
      <c r="B160" s="10">
        <f>IFERROR(IF(INDEX(ERP資料!$A:$A, (MATCH(159, 輔助計算!$E$2:$E$801, 0)+1))="","",INDEX(ERP資料!$A:$A, (MATCH(159, 輔助計算!$E$2:$E$801, 0)+1))), "")</f>
        <v/>
      </c>
      <c r="C160" s="10">
        <f>IFERROR(IF(INDEX(ERP資料!$S:$S, (MATCH(159, 輔助計算!$E$2:$E$801, 0)+1))="","",INDEX(ERP資料!$S:$S, (MATCH(159, 輔助計算!$E$2:$E$801, 0)+1))), "")</f>
        <v/>
      </c>
      <c r="D160" s="10">
        <f>IFERROR(IF(INDEX(ERP資料!$E:$E, (MATCH(159, 輔助計算!$E$2:$E$801, 0)+1))="","",TRIM(INDEX(ERP資料!$E:$E, (MATCH(159, 輔助計算!$E$2:$E$801, 0)+1)))), "")</f>
        <v/>
      </c>
      <c r="E160" s="10">
        <f>IFERROR(IF(INDEX(ERP資料!$F:$F, (MATCH(159, 輔助計算!$E$2:$E$801, 0)+1))="","",INDEX(ERP資料!$F:$F, (MATCH(159, 輔助計算!$E$2:$E$801, 0)+1))), "")</f>
        <v/>
      </c>
      <c r="F160" s="10">
        <f>IFERROR(IF(INDEX(ERP資料!$G:$G, (MATCH(159, 輔助計算!$E$2:$E$801, 0)+1))="","",INDEX(ERP資料!$G:$G, (MATCH(159, 輔助計算!$E$2:$E$801, 0)+1))), "")</f>
        <v/>
      </c>
      <c r="G160" s="10">
        <f>IFERROR(IF(INDEX(ERP資料!$H:$H, (MATCH(159, 輔助計算!$E$2:$E$801, 0)+1))="","",INDEX(ERP資料!$H:$H, (MATCH(159, 輔助計算!$E$2:$E$801, 0)+1))), "")</f>
        <v/>
      </c>
      <c r="H160" s="15">
        <f>IFERROR(INDEX(輔助計算!$D:$D, (MATCH(159, 輔助計算!$E$2:$E$801, 0)+1)), "")</f>
        <v/>
      </c>
      <c r="I160" s="10">
        <f>IFERROR(IF(INDEX(ERP資料!$O:$O, (MATCH(159, 輔助計算!$E$2:$E$801, 0)+1))="","",INDEX(ERP資料!$O:$O, (MATCH(159, 輔助計算!$E$2:$E$801, 0)+1))), "")</f>
        <v/>
      </c>
      <c r="J160" s="15">
        <f>IFERROR(IF(INDEX(輔助計算!$D:$D,(MATCH(159, 輔助計算!$E$2:$E$801, 0)+1))="","",INDEX(輔助計算!$D:$D,(MATCH(159, 輔助計算!$E$2:$E$801, 0)+1))*INDEX(ERP資料!$O:$O,(MATCH(159, 輔助計算!$E$2:$E$801, 0)+1))), "")</f>
        <v/>
      </c>
      <c r="K160" s="16" t="n"/>
      <c r="L160" s="16" t="n"/>
      <c r="M160" s="17" t="n"/>
    </row>
    <row r="161">
      <c r="A161" s="14">
        <f>IFERROR(IF(INDEX(ERP資料!$B:$B, (MATCH(160, 輔助計算!$E$2:$E$801, 0)+1))="","",INDEX(ERP資料!$B:$B, (MATCH(160, 輔助計算!$E$2:$E$801, 0)+1))), "")</f>
        <v/>
      </c>
      <c r="B161" s="10">
        <f>IFERROR(IF(INDEX(ERP資料!$A:$A, (MATCH(160, 輔助計算!$E$2:$E$801, 0)+1))="","",INDEX(ERP資料!$A:$A, (MATCH(160, 輔助計算!$E$2:$E$801, 0)+1))), "")</f>
        <v/>
      </c>
      <c r="C161" s="10">
        <f>IFERROR(IF(INDEX(ERP資料!$S:$S, (MATCH(160, 輔助計算!$E$2:$E$801, 0)+1))="","",INDEX(ERP資料!$S:$S, (MATCH(160, 輔助計算!$E$2:$E$801, 0)+1))), "")</f>
        <v/>
      </c>
      <c r="D161" s="10">
        <f>IFERROR(IF(INDEX(ERP資料!$E:$E, (MATCH(160, 輔助計算!$E$2:$E$801, 0)+1))="","",TRIM(INDEX(ERP資料!$E:$E, (MATCH(160, 輔助計算!$E$2:$E$801, 0)+1)))), "")</f>
        <v/>
      </c>
      <c r="E161" s="10">
        <f>IFERROR(IF(INDEX(ERP資料!$F:$F, (MATCH(160, 輔助計算!$E$2:$E$801, 0)+1))="","",INDEX(ERP資料!$F:$F, (MATCH(160, 輔助計算!$E$2:$E$801, 0)+1))), "")</f>
        <v/>
      </c>
      <c r="F161" s="10">
        <f>IFERROR(IF(INDEX(ERP資料!$G:$G, (MATCH(160, 輔助計算!$E$2:$E$801, 0)+1))="","",INDEX(ERP資料!$G:$G, (MATCH(160, 輔助計算!$E$2:$E$801, 0)+1))), "")</f>
        <v/>
      </c>
      <c r="G161" s="10">
        <f>IFERROR(IF(INDEX(ERP資料!$H:$H, (MATCH(160, 輔助計算!$E$2:$E$801, 0)+1))="","",INDEX(ERP資料!$H:$H, (MATCH(160, 輔助計算!$E$2:$E$801, 0)+1))), "")</f>
        <v/>
      </c>
      <c r="H161" s="15">
        <f>IFERROR(INDEX(輔助計算!$D:$D, (MATCH(160, 輔助計算!$E$2:$E$801, 0)+1)), "")</f>
        <v/>
      </c>
      <c r="I161" s="10">
        <f>IFERROR(IF(INDEX(ERP資料!$O:$O, (MATCH(160, 輔助計算!$E$2:$E$801, 0)+1))="","",INDEX(ERP資料!$O:$O, (MATCH(160, 輔助計算!$E$2:$E$801, 0)+1))), "")</f>
        <v/>
      </c>
      <c r="J161" s="15">
        <f>IFERROR(IF(INDEX(輔助計算!$D:$D,(MATCH(160, 輔助計算!$E$2:$E$801, 0)+1))="","",INDEX(輔助計算!$D:$D,(MATCH(160, 輔助計算!$E$2:$E$801, 0)+1))*INDEX(ERP資料!$O:$O,(MATCH(160, 輔助計算!$E$2:$E$801, 0)+1))), "")</f>
        <v/>
      </c>
      <c r="K161" s="16" t="n"/>
      <c r="L161" s="16" t="n"/>
      <c r="M161" s="17" t="n"/>
    </row>
    <row r="162">
      <c r="A162" s="14">
        <f>IFERROR(IF(INDEX(ERP資料!$B:$B, (MATCH(161, 輔助計算!$E$2:$E$801, 0)+1))="","",INDEX(ERP資料!$B:$B, (MATCH(161, 輔助計算!$E$2:$E$801, 0)+1))), "")</f>
        <v/>
      </c>
      <c r="B162" s="10">
        <f>IFERROR(IF(INDEX(ERP資料!$A:$A, (MATCH(161, 輔助計算!$E$2:$E$801, 0)+1))="","",INDEX(ERP資料!$A:$A, (MATCH(161, 輔助計算!$E$2:$E$801, 0)+1))), "")</f>
        <v/>
      </c>
      <c r="C162" s="10">
        <f>IFERROR(IF(INDEX(ERP資料!$S:$S, (MATCH(161, 輔助計算!$E$2:$E$801, 0)+1))="","",INDEX(ERP資料!$S:$S, (MATCH(161, 輔助計算!$E$2:$E$801, 0)+1))), "")</f>
        <v/>
      </c>
      <c r="D162" s="10">
        <f>IFERROR(IF(INDEX(ERP資料!$E:$E, (MATCH(161, 輔助計算!$E$2:$E$801, 0)+1))="","",TRIM(INDEX(ERP資料!$E:$E, (MATCH(161, 輔助計算!$E$2:$E$801, 0)+1)))), "")</f>
        <v/>
      </c>
      <c r="E162" s="10">
        <f>IFERROR(IF(INDEX(ERP資料!$F:$F, (MATCH(161, 輔助計算!$E$2:$E$801, 0)+1))="","",INDEX(ERP資料!$F:$F, (MATCH(161, 輔助計算!$E$2:$E$801, 0)+1))), "")</f>
        <v/>
      </c>
      <c r="F162" s="10">
        <f>IFERROR(IF(INDEX(ERP資料!$G:$G, (MATCH(161, 輔助計算!$E$2:$E$801, 0)+1))="","",INDEX(ERP資料!$G:$G, (MATCH(161, 輔助計算!$E$2:$E$801, 0)+1))), "")</f>
        <v/>
      </c>
      <c r="G162" s="10">
        <f>IFERROR(IF(INDEX(ERP資料!$H:$H, (MATCH(161, 輔助計算!$E$2:$E$801, 0)+1))="","",INDEX(ERP資料!$H:$H, (MATCH(161, 輔助計算!$E$2:$E$801, 0)+1))), "")</f>
        <v/>
      </c>
      <c r="H162" s="15">
        <f>IFERROR(INDEX(輔助計算!$D:$D, (MATCH(161, 輔助計算!$E$2:$E$801, 0)+1)), "")</f>
        <v/>
      </c>
      <c r="I162" s="10">
        <f>IFERROR(IF(INDEX(ERP資料!$O:$O, (MATCH(161, 輔助計算!$E$2:$E$801, 0)+1))="","",INDEX(ERP資料!$O:$O, (MATCH(161, 輔助計算!$E$2:$E$801, 0)+1))), "")</f>
        <v/>
      </c>
      <c r="J162" s="15">
        <f>IFERROR(IF(INDEX(輔助計算!$D:$D,(MATCH(161, 輔助計算!$E$2:$E$801, 0)+1))="","",INDEX(輔助計算!$D:$D,(MATCH(161, 輔助計算!$E$2:$E$801, 0)+1))*INDEX(ERP資料!$O:$O,(MATCH(161, 輔助計算!$E$2:$E$801, 0)+1))), "")</f>
        <v/>
      </c>
      <c r="K162" s="16" t="n"/>
      <c r="L162" s="16" t="n"/>
      <c r="M162" s="17" t="n"/>
    </row>
    <row r="163">
      <c r="A163" s="14">
        <f>IFERROR(IF(INDEX(ERP資料!$B:$B, (MATCH(162, 輔助計算!$E$2:$E$801, 0)+1))="","",INDEX(ERP資料!$B:$B, (MATCH(162, 輔助計算!$E$2:$E$801, 0)+1))), "")</f>
        <v/>
      </c>
      <c r="B163" s="10">
        <f>IFERROR(IF(INDEX(ERP資料!$A:$A, (MATCH(162, 輔助計算!$E$2:$E$801, 0)+1))="","",INDEX(ERP資料!$A:$A, (MATCH(162, 輔助計算!$E$2:$E$801, 0)+1))), "")</f>
        <v/>
      </c>
      <c r="C163" s="10">
        <f>IFERROR(IF(INDEX(ERP資料!$S:$S, (MATCH(162, 輔助計算!$E$2:$E$801, 0)+1))="","",INDEX(ERP資料!$S:$S, (MATCH(162, 輔助計算!$E$2:$E$801, 0)+1))), "")</f>
        <v/>
      </c>
      <c r="D163" s="10">
        <f>IFERROR(IF(INDEX(ERP資料!$E:$E, (MATCH(162, 輔助計算!$E$2:$E$801, 0)+1))="","",TRIM(INDEX(ERP資料!$E:$E, (MATCH(162, 輔助計算!$E$2:$E$801, 0)+1)))), "")</f>
        <v/>
      </c>
      <c r="E163" s="10">
        <f>IFERROR(IF(INDEX(ERP資料!$F:$F, (MATCH(162, 輔助計算!$E$2:$E$801, 0)+1))="","",INDEX(ERP資料!$F:$F, (MATCH(162, 輔助計算!$E$2:$E$801, 0)+1))), "")</f>
        <v/>
      </c>
      <c r="F163" s="10">
        <f>IFERROR(IF(INDEX(ERP資料!$G:$G, (MATCH(162, 輔助計算!$E$2:$E$801, 0)+1))="","",INDEX(ERP資料!$G:$G, (MATCH(162, 輔助計算!$E$2:$E$801, 0)+1))), "")</f>
        <v/>
      </c>
      <c r="G163" s="10">
        <f>IFERROR(IF(INDEX(ERP資料!$H:$H, (MATCH(162, 輔助計算!$E$2:$E$801, 0)+1))="","",INDEX(ERP資料!$H:$H, (MATCH(162, 輔助計算!$E$2:$E$801, 0)+1))), "")</f>
        <v/>
      </c>
      <c r="H163" s="15">
        <f>IFERROR(INDEX(輔助計算!$D:$D, (MATCH(162, 輔助計算!$E$2:$E$801, 0)+1)), "")</f>
        <v/>
      </c>
      <c r="I163" s="10">
        <f>IFERROR(IF(INDEX(ERP資料!$O:$O, (MATCH(162, 輔助計算!$E$2:$E$801, 0)+1))="","",INDEX(ERP資料!$O:$O, (MATCH(162, 輔助計算!$E$2:$E$801, 0)+1))), "")</f>
        <v/>
      </c>
      <c r="J163" s="15">
        <f>IFERROR(IF(INDEX(輔助計算!$D:$D,(MATCH(162, 輔助計算!$E$2:$E$801, 0)+1))="","",INDEX(輔助計算!$D:$D,(MATCH(162, 輔助計算!$E$2:$E$801, 0)+1))*INDEX(ERP資料!$O:$O,(MATCH(162, 輔助計算!$E$2:$E$801, 0)+1))), "")</f>
        <v/>
      </c>
      <c r="K163" s="16" t="n"/>
      <c r="L163" s="16" t="n"/>
      <c r="M163" s="17" t="n"/>
    </row>
    <row r="164">
      <c r="A164" s="14">
        <f>IFERROR(IF(INDEX(ERP資料!$B:$B, (MATCH(163, 輔助計算!$E$2:$E$801, 0)+1))="","",INDEX(ERP資料!$B:$B, (MATCH(163, 輔助計算!$E$2:$E$801, 0)+1))), "")</f>
        <v/>
      </c>
      <c r="B164" s="10">
        <f>IFERROR(IF(INDEX(ERP資料!$A:$A, (MATCH(163, 輔助計算!$E$2:$E$801, 0)+1))="","",INDEX(ERP資料!$A:$A, (MATCH(163, 輔助計算!$E$2:$E$801, 0)+1))), "")</f>
        <v/>
      </c>
      <c r="C164" s="10">
        <f>IFERROR(IF(INDEX(ERP資料!$S:$S, (MATCH(163, 輔助計算!$E$2:$E$801, 0)+1))="","",INDEX(ERP資料!$S:$S, (MATCH(163, 輔助計算!$E$2:$E$801, 0)+1))), "")</f>
        <v/>
      </c>
      <c r="D164" s="10">
        <f>IFERROR(IF(INDEX(ERP資料!$E:$E, (MATCH(163, 輔助計算!$E$2:$E$801, 0)+1))="","",TRIM(INDEX(ERP資料!$E:$E, (MATCH(163, 輔助計算!$E$2:$E$801, 0)+1)))), "")</f>
        <v/>
      </c>
      <c r="E164" s="10">
        <f>IFERROR(IF(INDEX(ERP資料!$F:$F, (MATCH(163, 輔助計算!$E$2:$E$801, 0)+1))="","",INDEX(ERP資料!$F:$F, (MATCH(163, 輔助計算!$E$2:$E$801, 0)+1))), "")</f>
        <v/>
      </c>
      <c r="F164" s="10">
        <f>IFERROR(IF(INDEX(ERP資料!$G:$G, (MATCH(163, 輔助計算!$E$2:$E$801, 0)+1))="","",INDEX(ERP資料!$G:$G, (MATCH(163, 輔助計算!$E$2:$E$801, 0)+1))), "")</f>
        <v/>
      </c>
      <c r="G164" s="10">
        <f>IFERROR(IF(INDEX(ERP資料!$H:$H, (MATCH(163, 輔助計算!$E$2:$E$801, 0)+1))="","",INDEX(ERP資料!$H:$H, (MATCH(163, 輔助計算!$E$2:$E$801, 0)+1))), "")</f>
        <v/>
      </c>
      <c r="H164" s="15">
        <f>IFERROR(INDEX(輔助計算!$D:$D, (MATCH(163, 輔助計算!$E$2:$E$801, 0)+1)), "")</f>
        <v/>
      </c>
      <c r="I164" s="10">
        <f>IFERROR(IF(INDEX(ERP資料!$O:$O, (MATCH(163, 輔助計算!$E$2:$E$801, 0)+1))="","",INDEX(ERP資料!$O:$O, (MATCH(163, 輔助計算!$E$2:$E$801, 0)+1))), "")</f>
        <v/>
      </c>
      <c r="J164" s="15">
        <f>IFERROR(IF(INDEX(輔助計算!$D:$D,(MATCH(163, 輔助計算!$E$2:$E$801, 0)+1))="","",INDEX(輔助計算!$D:$D,(MATCH(163, 輔助計算!$E$2:$E$801, 0)+1))*INDEX(ERP資料!$O:$O,(MATCH(163, 輔助計算!$E$2:$E$801, 0)+1))), "")</f>
        <v/>
      </c>
      <c r="K164" s="16" t="n"/>
      <c r="L164" s="16" t="n"/>
      <c r="M164" s="17" t="n"/>
    </row>
    <row r="165">
      <c r="A165" s="14">
        <f>IFERROR(IF(INDEX(ERP資料!$B:$B, (MATCH(164, 輔助計算!$E$2:$E$801, 0)+1))="","",INDEX(ERP資料!$B:$B, (MATCH(164, 輔助計算!$E$2:$E$801, 0)+1))), "")</f>
        <v/>
      </c>
      <c r="B165" s="10">
        <f>IFERROR(IF(INDEX(ERP資料!$A:$A, (MATCH(164, 輔助計算!$E$2:$E$801, 0)+1))="","",INDEX(ERP資料!$A:$A, (MATCH(164, 輔助計算!$E$2:$E$801, 0)+1))), "")</f>
        <v/>
      </c>
      <c r="C165" s="10">
        <f>IFERROR(IF(INDEX(ERP資料!$S:$S, (MATCH(164, 輔助計算!$E$2:$E$801, 0)+1))="","",INDEX(ERP資料!$S:$S, (MATCH(164, 輔助計算!$E$2:$E$801, 0)+1))), "")</f>
        <v/>
      </c>
      <c r="D165" s="10">
        <f>IFERROR(IF(INDEX(ERP資料!$E:$E, (MATCH(164, 輔助計算!$E$2:$E$801, 0)+1))="","",TRIM(INDEX(ERP資料!$E:$E, (MATCH(164, 輔助計算!$E$2:$E$801, 0)+1)))), "")</f>
        <v/>
      </c>
      <c r="E165" s="10">
        <f>IFERROR(IF(INDEX(ERP資料!$F:$F, (MATCH(164, 輔助計算!$E$2:$E$801, 0)+1))="","",INDEX(ERP資料!$F:$F, (MATCH(164, 輔助計算!$E$2:$E$801, 0)+1))), "")</f>
        <v/>
      </c>
      <c r="F165" s="10">
        <f>IFERROR(IF(INDEX(ERP資料!$G:$G, (MATCH(164, 輔助計算!$E$2:$E$801, 0)+1))="","",INDEX(ERP資料!$G:$G, (MATCH(164, 輔助計算!$E$2:$E$801, 0)+1))), "")</f>
        <v/>
      </c>
      <c r="G165" s="10">
        <f>IFERROR(IF(INDEX(ERP資料!$H:$H, (MATCH(164, 輔助計算!$E$2:$E$801, 0)+1))="","",INDEX(ERP資料!$H:$H, (MATCH(164, 輔助計算!$E$2:$E$801, 0)+1))), "")</f>
        <v/>
      </c>
      <c r="H165" s="15">
        <f>IFERROR(INDEX(輔助計算!$D:$D, (MATCH(164, 輔助計算!$E$2:$E$801, 0)+1)), "")</f>
        <v/>
      </c>
      <c r="I165" s="10">
        <f>IFERROR(IF(INDEX(ERP資料!$O:$O, (MATCH(164, 輔助計算!$E$2:$E$801, 0)+1))="","",INDEX(ERP資料!$O:$O, (MATCH(164, 輔助計算!$E$2:$E$801, 0)+1))), "")</f>
        <v/>
      </c>
      <c r="J165" s="15">
        <f>IFERROR(IF(INDEX(輔助計算!$D:$D,(MATCH(164, 輔助計算!$E$2:$E$801, 0)+1))="","",INDEX(輔助計算!$D:$D,(MATCH(164, 輔助計算!$E$2:$E$801, 0)+1))*INDEX(ERP資料!$O:$O,(MATCH(164, 輔助計算!$E$2:$E$801, 0)+1))), "")</f>
        <v/>
      </c>
      <c r="K165" s="16" t="n"/>
      <c r="L165" s="16" t="n"/>
      <c r="M165" s="17" t="n"/>
    </row>
    <row r="166">
      <c r="A166" s="14">
        <f>IFERROR(IF(INDEX(ERP資料!$B:$B, (MATCH(165, 輔助計算!$E$2:$E$801, 0)+1))="","",INDEX(ERP資料!$B:$B, (MATCH(165, 輔助計算!$E$2:$E$801, 0)+1))), "")</f>
        <v/>
      </c>
      <c r="B166" s="10">
        <f>IFERROR(IF(INDEX(ERP資料!$A:$A, (MATCH(165, 輔助計算!$E$2:$E$801, 0)+1))="","",INDEX(ERP資料!$A:$A, (MATCH(165, 輔助計算!$E$2:$E$801, 0)+1))), "")</f>
        <v/>
      </c>
      <c r="C166" s="10">
        <f>IFERROR(IF(INDEX(ERP資料!$S:$S, (MATCH(165, 輔助計算!$E$2:$E$801, 0)+1))="","",INDEX(ERP資料!$S:$S, (MATCH(165, 輔助計算!$E$2:$E$801, 0)+1))), "")</f>
        <v/>
      </c>
      <c r="D166" s="10">
        <f>IFERROR(IF(INDEX(ERP資料!$E:$E, (MATCH(165, 輔助計算!$E$2:$E$801, 0)+1))="","",TRIM(INDEX(ERP資料!$E:$E, (MATCH(165, 輔助計算!$E$2:$E$801, 0)+1)))), "")</f>
        <v/>
      </c>
      <c r="E166" s="10">
        <f>IFERROR(IF(INDEX(ERP資料!$F:$F, (MATCH(165, 輔助計算!$E$2:$E$801, 0)+1))="","",INDEX(ERP資料!$F:$F, (MATCH(165, 輔助計算!$E$2:$E$801, 0)+1))), "")</f>
        <v/>
      </c>
      <c r="F166" s="10">
        <f>IFERROR(IF(INDEX(ERP資料!$G:$G, (MATCH(165, 輔助計算!$E$2:$E$801, 0)+1))="","",INDEX(ERP資料!$G:$G, (MATCH(165, 輔助計算!$E$2:$E$801, 0)+1))), "")</f>
        <v/>
      </c>
      <c r="G166" s="10">
        <f>IFERROR(IF(INDEX(ERP資料!$H:$H, (MATCH(165, 輔助計算!$E$2:$E$801, 0)+1))="","",INDEX(ERP資料!$H:$H, (MATCH(165, 輔助計算!$E$2:$E$801, 0)+1))), "")</f>
        <v/>
      </c>
      <c r="H166" s="15">
        <f>IFERROR(INDEX(輔助計算!$D:$D, (MATCH(165, 輔助計算!$E$2:$E$801, 0)+1)), "")</f>
        <v/>
      </c>
      <c r="I166" s="10">
        <f>IFERROR(IF(INDEX(ERP資料!$O:$O, (MATCH(165, 輔助計算!$E$2:$E$801, 0)+1))="","",INDEX(ERP資料!$O:$O, (MATCH(165, 輔助計算!$E$2:$E$801, 0)+1))), "")</f>
        <v/>
      </c>
      <c r="J166" s="15">
        <f>IFERROR(IF(INDEX(輔助計算!$D:$D,(MATCH(165, 輔助計算!$E$2:$E$801, 0)+1))="","",INDEX(輔助計算!$D:$D,(MATCH(165, 輔助計算!$E$2:$E$801, 0)+1))*INDEX(ERP資料!$O:$O,(MATCH(165, 輔助計算!$E$2:$E$801, 0)+1))), "")</f>
        <v/>
      </c>
      <c r="K166" s="16" t="n"/>
      <c r="L166" s="16" t="n"/>
      <c r="M166" s="17" t="n"/>
    </row>
    <row r="167">
      <c r="A167" s="14">
        <f>IFERROR(IF(INDEX(ERP資料!$B:$B, (MATCH(166, 輔助計算!$E$2:$E$801, 0)+1))="","",INDEX(ERP資料!$B:$B, (MATCH(166, 輔助計算!$E$2:$E$801, 0)+1))), "")</f>
        <v/>
      </c>
      <c r="B167" s="10">
        <f>IFERROR(IF(INDEX(ERP資料!$A:$A, (MATCH(166, 輔助計算!$E$2:$E$801, 0)+1))="","",INDEX(ERP資料!$A:$A, (MATCH(166, 輔助計算!$E$2:$E$801, 0)+1))), "")</f>
        <v/>
      </c>
      <c r="C167" s="10">
        <f>IFERROR(IF(INDEX(ERP資料!$S:$S, (MATCH(166, 輔助計算!$E$2:$E$801, 0)+1))="","",INDEX(ERP資料!$S:$S, (MATCH(166, 輔助計算!$E$2:$E$801, 0)+1))), "")</f>
        <v/>
      </c>
      <c r="D167" s="10">
        <f>IFERROR(IF(INDEX(ERP資料!$E:$E, (MATCH(166, 輔助計算!$E$2:$E$801, 0)+1))="","",TRIM(INDEX(ERP資料!$E:$E, (MATCH(166, 輔助計算!$E$2:$E$801, 0)+1)))), "")</f>
        <v/>
      </c>
      <c r="E167" s="10">
        <f>IFERROR(IF(INDEX(ERP資料!$F:$F, (MATCH(166, 輔助計算!$E$2:$E$801, 0)+1))="","",INDEX(ERP資料!$F:$F, (MATCH(166, 輔助計算!$E$2:$E$801, 0)+1))), "")</f>
        <v/>
      </c>
      <c r="F167" s="10">
        <f>IFERROR(IF(INDEX(ERP資料!$G:$G, (MATCH(166, 輔助計算!$E$2:$E$801, 0)+1))="","",INDEX(ERP資料!$G:$G, (MATCH(166, 輔助計算!$E$2:$E$801, 0)+1))), "")</f>
        <v/>
      </c>
      <c r="G167" s="10">
        <f>IFERROR(IF(INDEX(ERP資料!$H:$H, (MATCH(166, 輔助計算!$E$2:$E$801, 0)+1))="","",INDEX(ERP資料!$H:$H, (MATCH(166, 輔助計算!$E$2:$E$801, 0)+1))), "")</f>
        <v/>
      </c>
      <c r="H167" s="15">
        <f>IFERROR(INDEX(輔助計算!$D:$D, (MATCH(166, 輔助計算!$E$2:$E$801, 0)+1)), "")</f>
        <v/>
      </c>
      <c r="I167" s="10">
        <f>IFERROR(IF(INDEX(ERP資料!$O:$O, (MATCH(166, 輔助計算!$E$2:$E$801, 0)+1))="","",INDEX(ERP資料!$O:$O, (MATCH(166, 輔助計算!$E$2:$E$801, 0)+1))), "")</f>
        <v/>
      </c>
      <c r="J167" s="15">
        <f>IFERROR(IF(INDEX(輔助計算!$D:$D,(MATCH(166, 輔助計算!$E$2:$E$801, 0)+1))="","",INDEX(輔助計算!$D:$D,(MATCH(166, 輔助計算!$E$2:$E$801, 0)+1))*INDEX(ERP資料!$O:$O,(MATCH(166, 輔助計算!$E$2:$E$801, 0)+1))), "")</f>
        <v/>
      </c>
      <c r="K167" s="16" t="n"/>
      <c r="L167" s="16" t="n"/>
      <c r="M167" s="17" t="n"/>
    </row>
    <row r="168">
      <c r="A168" s="14">
        <f>IFERROR(IF(INDEX(ERP資料!$B:$B, (MATCH(167, 輔助計算!$E$2:$E$801, 0)+1))="","",INDEX(ERP資料!$B:$B, (MATCH(167, 輔助計算!$E$2:$E$801, 0)+1))), "")</f>
        <v/>
      </c>
      <c r="B168" s="10">
        <f>IFERROR(IF(INDEX(ERP資料!$A:$A, (MATCH(167, 輔助計算!$E$2:$E$801, 0)+1))="","",INDEX(ERP資料!$A:$A, (MATCH(167, 輔助計算!$E$2:$E$801, 0)+1))), "")</f>
        <v/>
      </c>
      <c r="C168" s="10">
        <f>IFERROR(IF(INDEX(ERP資料!$S:$S, (MATCH(167, 輔助計算!$E$2:$E$801, 0)+1))="","",INDEX(ERP資料!$S:$S, (MATCH(167, 輔助計算!$E$2:$E$801, 0)+1))), "")</f>
        <v/>
      </c>
      <c r="D168" s="10">
        <f>IFERROR(IF(INDEX(ERP資料!$E:$E, (MATCH(167, 輔助計算!$E$2:$E$801, 0)+1))="","",TRIM(INDEX(ERP資料!$E:$E, (MATCH(167, 輔助計算!$E$2:$E$801, 0)+1)))), "")</f>
        <v/>
      </c>
      <c r="E168" s="10">
        <f>IFERROR(IF(INDEX(ERP資料!$F:$F, (MATCH(167, 輔助計算!$E$2:$E$801, 0)+1))="","",INDEX(ERP資料!$F:$F, (MATCH(167, 輔助計算!$E$2:$E$801, 0)+1))), "")</f>
        <v/>
      </c>
      <c r="F168" s="10">
        <f>IFERROR(IF(INDEX(ERP資料!$G:$G, (MATCH(167, 輔助計算!$E$2:$E$801, 0)+1))="","",INDEX(ERP資料!$G:$G, (MATCH(167, 輔助計算!$E$2:$E$801, 0)+1))), "")</f>
        <v/>
      </c>
      <c r="G168" s="10">
        <f>IFERROR(IF(INDEX(ERP資料!$H:$H, (MATCH(167, 輔助計算!$E$2:$E$801, 0)+1))="","",INDEX(ERP資料!$H:$H, (MATCH(167, 輔助計算!$E$2:$E$801, 0)+1))), "")</f>
        <v/>
      </c>
      <c r="H168" s="15">
        <f>IFERROR(INDEX(輔助計算!$D:$D, (MATCH(167, 輔助計算!$E$2:$E$801, 0)+1)), "")</f>
        <v/>
      </c>
      <c r="I168" s="10">
        <f>IFERROR(IF(INDEX(ERP資料!$O:$O, (MATCH(167, 輔助計算!$E$2:$E$801, 0)+1))="","",INDEX(ERP資料!$O:$O, (MATCH(167, 輔助計算!$E$2:$E$801, 0)+1))), "")</f>
        <v/>
      </c>
      <c r="J168" s="15">
        <f>IFERROR(IF(INDEX(輔助計算!$D:$D,(MATCH(167, 輔助計算!$E$2:$E$801, 0)+1))="","",INDEX(輔助計算!$D:$D,(MATCH(167, 輔助計算!$E$2:$E$801, 0)+1))*INDEX(ERP資料!$O:$O,(MATCH(167, 輔助計算!$E$2:$E$801, 0)+1))), "")</f>
        <v/>
      </c>
      <c r="K168" s="16" t="n"/>
      <c r="L168" s="16" t="n"/>
      <c r="M168" s="17" t="n"/>
    </row>
    <row r="169">
      <c r="A169" s="14">
        <f>IFERROR(IF(INDEX(ERP資料!$B:$B, (MATCH(168, 輔助計算!$E$2:$E$801, 0)+1))="","",INDEX(ERP資料!$B:$B, (MATCH(168, 輔助計算!$E$2:$E$801, 0)+1))), "")</f>
        <v/>
      </c>
      <c r="B169" s="10">
        <f>IFERROR(IF(INDEX(ERP資料!$A:$A, (MATCH(168, 輔助計算!$E$2:$E$801, 0)+1))="","",INDEX(ERP資料!$A:$A, (MATCH(168, 輔助計算!$E$2:$E$801, 0)+1))), "")</f>
        <v/>
      </c>
      <c r="C169" s="10">
        <f>IFERROR(IF(INDEX(ERP資料!$S:$S, (MATCH(168, 輔助計算!$E$2:$E$801, 0)+1))="","",INDEX(ERP資料!$S:$S, (MATCH(168, 輔助計算!$E$2:$E$801, 0)+1))), "")</f>
        <v/>
      </c>
      <c r="D169" s="10">
        <f>IFERROR(IF(INDEX(ERP資料!$E:$E, (MATCH(168, 輔助計算!$E$2:$E$801, 0)+1))="","",TRIM(INDEX(ERP資料!$E:$E, (MATCH(168, 輔助計算!$E$2:$E$801, 0)+1)))), "")</f>
        <v/>
      </c>
      <c r="E169" s="10">
        <f>IFERROR(IF(INDEX(ERP資料!$F:$F, (MATCH(168, 輔助計算!$E$2:$E$801, 0)+1))="","",INDEX(ERP資料!$F:$F, (MATCH(168, 輔助計算!$E$2:$E$801, 0)+1))), "")</f>
        <v/>
      </c>
      <c r="F169" s="10">
        <f>IFERROR(IF(INDEX(ERP資料!$G:$G, (MATCH(168, 輔助計算!$E$2:$E$801, 0)+1))="","",INDEX(ERP資料!$G:$G, (MATCH(168, 輔助計算!$E$2:$E$801, 0)+1))), "")</f>
        <v/>
      </c>
      <c r="G169" s="10">
        <f>IFERROR(IF(INDEX(ERP資料!$H:$H, (MATCH(168, 輔助計算!$E$2:$E$801, 0)+1))="","",INDEX(ERP資料!$H:$H, (MATCH(168, 輔助計算!$E$2:$E$801, 0)+1))), "")</f>
        <v/>
      </c>
      <c r="H169" s="15">
        <f>IFERROR(INDEX(輔助計算!$D:$D, (MATCH(168, 輔助計算!$E$2:$E$801, 0)+1)), "")</f>
        <v/>
      </c>
      <c r="I169" s="10">
        <f>IFERROR(IF(INDEX(ERP資料!$O:$O, (MATCH(168, 輔助計算!$E$2:$E$801, 0)+1))="","",INDEX(ERP資料!$O:$O, (MATCH(168, 輔助計算!$E$2:$E$801, 0)+1))), "")</f>
        <v/>
      </c>
      <c r="J169" s="15">
        <f>IFERROR(IF(INDEX(輔助計算!$D:$D,(MATCH(168, 輔助計算!$E$2:$E$801, 0)+1))="","",INDEX(輔助計算!$D:$D,(MATCH(168, 輔助計算!$E$2:$E$801, 0)+1))*INDEX(ERP資料!$O:$O,(MATCH(168, 輔助計算!$E$2:$E$801, 0)+1))), "")</f>
        <v/>
      </c>
      <c r="K169" s="16" t="n"/>
      <c r="L169" s="16" t="n"/>
      <c r="M169" s="17" t="n"/>
    </row>
    <row r="170">
      <c r="A170" s="14">
        <f>IFERROR(IF(INDEX(ERP資料!$B:$B, (MATCH(169, 輔助計算!$E$2:$E$801, 0)+1))="","",INDEX(ERP資料!$B:$B, (MATCH(169, 輔助計算!$E$2:$E$801, 0)+1))), "")</f>
        <v/>
      </c>
      <c r="B170" s="10">
        <f>IFERROR(IF(INDEX(ERP資料!$A:$A, (MATCH(169, 輔助計算!$E$2:$E$801, 0)+1))="","",INDEX(ERP資料!$A:$A, (MATCH(169, 輔助計算!$E$2:$E$801, 0)+1))), "")</f>
        <v/>
      </c>
      <c r="C170" s="10">
        <f>IFERROR(IF(INDEX(ERP資料!$S:$S, (MATCH(169, 輔助計算!$E$2:$E$801, 0)+1))="","",INDEX(ERP資料!$S:$S, (MATCH(169, 輔助計算!$E$2:$E$801, 0)+1))), "")</f>
        <v/>
      </c>
      <c r="D170" s="10">
        <f>IFERROR(IF(INDEX(ERP資料!$E:$E, (MATCH(169, 輔助計算!$E$2:$E$801, 0)+1))="","",TRIM(INDEX(ERP資料!$E:$E, (MATCH(169, 輔助計算!$E$2:$E$801, 0)+1)))), "")</f>
        <v/>
      </c>
      <c r="E170" s="10">
        <f>IFERROR(IF(INDEX(ERP資料!$F:$F, (MATCH(169, 輔助計算!$E$2:$E$801, 0)+1))="","",INDEX(ERP資料!$F:$F, (MATCH(169, 輔助計算!$E$2:$E$801, 0)+1))), "")</f>
        <v/>
      </c>
      <c r="F170" s="10">
        <f>IFERROR(IF(INDEX(ERP資料!$G:$G, (MATCH(169, 輔助計算!$E$2:$E$801, 0)+1))="","",INDEX(ERP資料!$G:$G, (MATCH(169, 輔助計算!$E$2:$E$801, 0)+1))), "")</f>
        <v/>
      </c>
      <c r="G170" s="10">
        <f>IFERROR(IF(INDEX(ERP資料!$H:$H, (MATCH(169, 輔助計算!$E$2:$E$801, 0)+1))="","",INDEX(ERP資料!$H:$H, (MATCH(169, 輔助計算!$E$2:$E$801, 0)+1))), "")</f>
        <v/>
      </c>
      <c r="H170" s="15">
        <f>IFERROR(INDEX(輔助計算!$D:$D, (MATCH(169, 輔助計算!$E$2:$E$801, 0)+1)), "")</f>
        <v/>
      </c>
      <c r="I170" s="10">
        <f>IFERROR(IF(INDEX(ERP資料!$O:$O, (MATCH(169, 輔助計算!$E$2:$E$801, 0)+1))="","",INDEX(ERP資料!$O:$O, (MATCH(169, 輔助計算!$E$2:$E$801, 0)+1))), "")</f>
        <v/>
      </c>
      <c r="J170" s="15">
        <f>IFERROR(IF(INDEX(輔助計算!$D:$D,(MATCH(169, 輔助計算!$E$2:$E$801, 0)+1))="","",INDEX(輔助計算!$D:$D,(MATCH(169, 輔助計算!$E$2:$E$801, 0)+1))*INDEX(ERP資料!$O:$O,(MATCH(169, 輔助計算!$E$2:$E$801, 0)+1))), "")</f>
        <v/>
      </c>
      <c r="K170" s="16" t="n"/>
      <c r="L170" s="16" t="n"/>
      <c r="M170" s="17" t="n"/>
    </row>
    <row r="171">
      <c r="A171" s="14">
        <f>IFERROR(IF(INDEX(ERP資料!$B:$B, (MATCH(170, 輔助計算!$E$2:$E$801, 0)+1))="","",INDEX(ERP資料!$B:$B, (MATCH(170, 輔助計算!$E$2:$E$801, 0)+1))), "")</f>
        <v/>
      </c>
      <c r="B171" s="10">
        <f>IFERROR(IF(INDEX(ERP資料!$A:$A, (MATCH(170, 輔助計算!$E$2:$E$801, 0)+1))="","",INDEX(ERP資料!$A:$A, (MATCH(170, 輔助計算!$E$2:$E$801, 0)+1))), "")</f>
        <v/>
      </c>
      <c r="C171" s="10">
        <f>IFERROR(IF(INDEX(ERP資料!$S:$S, (MATCH(170, 輔助計算!$E$2:$E$801, 0)+1))="","",INDEX(ERP資料!$S:$S, (MATCH(170, 輔助計算!$E$2:$E$801, 0)+1))), "")</f>
        <v/>
      </c>
      <c r="D171" s="10">
        <f>IFERROR(IF(INDEX(ERP資料!$E:$E, (MATCH(170, 輔助計算!$E$2:$E$801, 0)+1))="","",TRIM(INDEX(ERP資料!$E:$E, (MATCH(170, 輔助計算!$E$2:$E$801, 0)+1)))), "")</f>
        <v/>
      </c>
      <c r="E171" s="10">
        <f>IFERROR(IF(INDEX(ERP資料!$F:$F, (MATCH(170, 輔助計算!$E$2:$E$801, 0)+1))="","",INDEX(ERP資料!$F:$F, (MATCH(170, 輔助計算!$E$2:$E$801, 0)+1))), "")</f>
        <v/>
      </c>
      <c r="F171" s="10">
        <f>IFERROR(IF(INDEX(ERP資料!$G:$G, (MATCH(170, 輔助計算!$E$2:$E$801, 0)+1))="","",INDEX(ERP資料!$G:$G, (MATCH(170, 輔助計算!$E$2:$E$801, 0)+1))), "")</f>
        <v/>
      </c>
      <c r="G171" s="10">
        <f>IFERROR(IF(INDEX(ERP資料!$H:$H, (MATCH(170, 輔助計算!$E$2:$E$801, 0)+1))="","",INDEX(ERP資料!$H:$H, (MATCH(170, 輔助計算!$E$2:$E$801, 0)+1))), "")</f>
        <v/>
      </c>
      <c r="H171" s="15">
        <f>IFERROR(INDEX(輔助計算!$D:$D, (MATCH(170, 輔助計算!$E$2:$E$801, 0)+1)), "")</f>
        <v/>
      </c>
      <c r="I171" s="10">
        <f>IFERROR(IF(INDEX(ERP資料!$O:$O, (MATCH(170, 輔助計算!$E$2:$E$801, 0)+1))="","",INDEX(ERP資料!$O:$O, (MATCH(170, 輔助計算!$E$2:$E$801, 0)+1))), "")</f>
        <v/>
      </c>
      <c r="J171" s="15">
        <f>IFERROR(IF(INDEX(輔助計算!$D:$D,(MATCH(170, 輔助計算!$E$2:$E$801, 0)+1))="","",INDEX(輔助計算!$D:$D,(MATCH(170, 輔助計算!$E$2:$E$801, 0)+1))*INDEX(ERP資料!$O:$O,(MATCH(170, 輔助計算!$E$2:$E$801, 0)+1))), "")</f>
        <v/>
      </c>
      <c r="K171" s="16" t="n"/>
      <c r="L171" s="16" t="n"/>
      <c r="M171" s="17" t="n"/>
    </row>
    <row r="172">
      <c r="A172" s="14">
        <f>IFERROR(IF(INDEX(ERP資料!$B:$B, (MATCH(171, 輔助計算!$E$2:$E$801, 0)+1))="","",INDEX(ERP資料!$B:$B, (MATCH(171, 輔助計算!$E$2:$E$801, 0)+1))), "")</f>
        <v/>
      </c>
      <c r="B172" s="10">
        <f>IFERROR(IF(INDEX(ERP資料!$A:$A, (MATCH(171, 輔助計算!$E$2:$E$801, 0)+1))="","",INDEX(ERP資料!$A:$A, (MATCH(171, 輔助計算!$E$2:$E$801, 0)+1))), "")</f>
        <v/>
      </c>
      <c r="C172" s="10">
        <f>IFERROR(IF(INDEX(ERP資料!$S:$S, (MATCH(171, 輔助計算!$E$2:$E$801, 0)+1))="","",INDEX(ERP資料!$S:$S, (MATCH(171, 輔助計算!$E$2:$E$801, 0)+1))), "")</f>
        <v/>
      </c>
      <c r="D172" s="10">
        <f>IFERROR(IF(INDEX(ERP資料!$E:$E, (MATCH(171, 輔助計算!$E$2:$E$801, 0)+1))="","",TRIM(INDEX(ERP資料!$E:$E, (MATCH(171, 輔助計算!$E$2:$E$801, 0)+1)))), "")</f>
        <v/>
      </c>
      <c r="E172" s="10">
        <f>IFERROR(IF(INDEX(ERP資料!$F:$F, (MATCH(171, 輔助計算!$E$2:$E$801, 0)+1))="","",INDEX(ERP資料!$F:$F, (MATCH(171, 輔助計算!$E$2:$E$801, 0)+1))), "")</f>
        <v/>
      </c>
      <c r="F172" s="10">
        <f>IFERROR(IF(INDEX(ERP資料!$G:$G, (MATCH(171, 輔助計算!$E$2:$E$801, 0)+1))="","",INDEX(ERP資料!$G:$G, (MATCH(171, 輔助計算!$E$2:$E$801, 0)+1))), "")</f>
        <v/>
      </c>
      <c r="G172" s="10">
        <f>IFERROR(IF(INDEX(ERP資料!$H:$H, (MATCH(171, 輔助計算!$E$2:$E$801, 0)+1))="","",INDEX(ERP資料!$H:$H, (MATCH(171, 輔助計算!$E$2:$E$801, 0)+1))), "")</f>
        <v/>
      </c>
      <c r="H172" s="15">
        <f>IFERROR(INDEX(輔助計算!$D:$D, (MATCH(171, 輔助計算!$E$2:$E$801, 0)+1)), "")</f>
        <v/>
      </c>
      <c r="I172" s="10">
        <f>IFERROR(IF(INDEX(ERP資料!$O:$O, (MATCH(171, 輔助計算!$E$2:$E$801, 0)+1))="","",INDEX(ERP資料!$O:$O, (MATCH(171, 輔助計算!$E$2:$E$801, 0)+1))), "")</f>
        <v/>
      </c>
      <c r="J172" s="15">
        <f>IFERROR(IF(INDEX(輔助計算!$D:$D,(MATCH(171, 輔助計算!$E$2:$E$801, 0)+1))="","",INDEX(輔助計算!$D:$D,(MATCH(171, 輔助計算!$E$2:$E$801, 0)+1))*INDEX(ERP資料!$O:$O,(MATCH(171, 輔助計算!$E$2:$E$801, 0)+1))), "")</f>
        <v/>
      </c>
      <c r="K172" s="16" t="n"/>
      <c r="L172" s="16" t="n"/>
      <c r="M172" s="17" t="n"/>
    </row>
    <row r="173">
      <c r="A173" s="14">
        <f>IFERROR(IF(INDEX(ERP資料!$B:$B, (MATCH(172, 輔助計算!$E$2:$E$801, 0)+1))="","",INDEX(ERP資料!$B:$B, (MATCH(172, 輔助計算!$E$2:$E$801, 0)+1))), "")</f>
        <v/>
      </c>
      <c r="B173" s="10">
        <f>IFERROR(IF(INDEX(ERP資料!$A:$A, (MATCH(172, 輔助計算!$E$2:$E$801, 0)+1))="","",INDEX(ERP資料!$A:$A, (MATCH(172, 輔助計算!$E$2:$E$801, 0)+1))), "")</f>
        <v/>
      </c>
      <c r="C173" s="10">
        <f>IFERROR(IF(INDEX(ERP資料!$S:$S, (MATCH(172, 輔助計算!$E$2:$E$801, 0)+1))="","",INDEX(ERP資料!$S:$S, (MATCH(172, 輔助計算!$E$2:$E$801, 0)+1))), "")</f>
        <v/>
      </c>
      <c r="D173" s="10">
        <f>IFERROR(IF(INDEX(ERP資料!$E:$E, (MATCH(172, 輔助計算!$E$2:$E$801, 0)+1))="","",TRIM(INDEX(ERP資料!$E:$E, (MATCH(172, 輔助計算!$E$2:$E$801, 0)+1)))), "")</f>
        <v/>
      </c>
      <c r="E173" s="10">
        <f>IFERROR(IF(INDEX(ERP資料!$F:$F, (MATCH(172, 輔助計算!$E$2:$E$801, 0)+1))="","",INDEX(ERP資料!$F:$F, (MATCH(172, 輔助計算!$E$2:$E$801, 0)+1))), "")</f>
        <v/>
      </c>
      <c r="F173" s="10">
        <f>IFERROR(IF(INDEX(ERP資料!$G:$G, (MATCH(172, 輔助計算!$E$2:$E$801, 0)+1))="","",INDEX(ERP資料!$G:$G, (MATCH(172, 輔助計算!$E$2:$E$801, 0)+1))), "")</f>
        <v/>
      </c>
      <c r="G173" s="10">
        <f>IFERROR(IF(INDEX(ERP資料!$H:$H, (MATCH(172, 輔助計算!$E$2:$E$801, 0)+1))="","",INDEX(ERP資料!$H:$H, (MATCH(172, 輔助計算!$E$2:$E$801, 0)+1))), "")</f>
        <v/>
      </c>
      <c r="H173" s="15">
        <f>IFERROR(INDEX(輔助計算!$D:$D, (MATCH(172, 輔助計算!$E$2:$E$801, 0)+1)), "")</f>
        <v/>
      </c>
      <c r="I173" s="10">
        <f>IFERROR(IF(INDEX(ERP資料!$O:$O, (MATCH(172, 輔助計算!$E$2:$E$801, 0)+1))="","",INDEX(ERP資料!$O:$O, (MATCH(172, 輔助計算!$E$2:$E$801, 0)+1))), "")</f>
        <v/>
      </c>
      <c r="J173" s="15">
        <f>IFERROR(IF(INDEX(輔助計算!$D:$D,(MATCH(172, 輔助計算!$E$2:$E$801, 0)+1))="","",INDEX(輔助計算!$D:$D,(MATCH(172, 輔助計算!$E$2:$E$801, 0)+1))*INDEX(ERP資料!$O:$O,(MATCH(172, 輔助計算!$E$2:$E$801, 0)+1))), "")</f>
        <v/>
      </c>
      <c r="K173" s="16" t="n"/>
      <c r="L173" s="16" t="n"/>
      <c r="M173" s="17" t="n"/>
    </row>
    <row r="174">
      <c r="A174" s="14">
        <f>IFERROR(IF(INDEX(ERP資料!$B:$B, (MATCH(173, 輔助計算!$E$2:$E$801, 0)+1))="","",INDEX(ERP資料!$B:$B, (MATCH(173, 輔助計算!$E$2:$E$801, 0)+1))), "")</f>
        <v/>
      </c>
      <c r="B174" s="10">
        <f>IFERROR(IF(INDEX(ERP資料!$A:$A, (MATCH(173, 輔助計算!$E$2:$E$801, 0)+1))="","",INDEX(ERP資料!$A:$A, (MATCH(173, 輔助計算!$E$2:$E$801, 0)+1))), "")</f>
        <v/>
      </c>
      <c r="C174" s="10">
        <f>IFERROR(IF(INDEX(ERP資料!$S:$S, (MATCH(173, 輔助計算!$E$2:$E$801, 0)+1))="","",INDEX(ERP資料!$S:$S, (MATCH(173, 輔助計算!$E$2:$E$801, 0)+1))), "")</f>
        <v/>
      </c>
      <c r="D174" s="10">
        <f>IFERROR(IF(INDEX(ERP資料!$E:$E, (MATCH(173, 輔助計算!$E$2:$E$801, 0)+1))="","",TRIM(INDEX(ERP資料!$E:$E, (MATCH(173, 輔助計算!$E$2:$E$801, 0)+1)))), "")</f>
        <v/>
      </c>
      <c r="E174" s="10">
        <f>IFERROR(IF(INDEX(ERP資料!$F:$F, (MATCH(173, 輔助計算!$E$2:$E$801, 0)+1))="","",INDEX(ERP資料!$F:$F, (MATCH(173, 輔助計算!$E$2:$E$801, 0)+1))), "")</f>
        <v/>
      </c>
      <c r="F174" s="10">
        <f>IFERROR(IF(INDEX(ERP資料!$G:$G, (MATCH(173, 輔助計算!$E$2:$E$801, 0)+1))="","",INDEX(ERP資料!$G:$G, (MATCH(173, 輔助計算!$E$2:$E$801, 0)+1))), "")</f>
        <v/>
      </c>
      <c r="G174" s="10">
        <f>IFERROR(IF(INDEX(ERP資料!$H:$H, (MATCH(173, 輔助計算!$E$2:$E$801, 0)+1))="","",INDEX(ERP資料!$H:$H, (MATCH(173, 輔助計算!$E$2:$E$801, 0)+1))), "")</f>
        <v/>
      </c>
      <c r="H174" s="15">
        <f>IFERROR(INDEX(輔助計算!$D:$D, (MATCH(173, 輔助計算!$E$2:$E$801, 0)+1)), "")</f>
        <v/>
      </c>
      <c r="I174" s="10">
        <f>IFERROR(IF(INDEX(ERP資料!$O:$O, (MATCH(173, 輔助計算!$E$2:$E$801, 0)+1))="","",INDEX(ERP資料!$O:$O, (MATCH(173, 輔助計算!$E$2:$E$801, 0)+1))), "")</f>
        <v/>
      </c>
      <c r="J174" s="15">
        <f>IFERROR(IF(INDEX(輔助計算!$D:$D,(MATCH(173, 輔助計算!$E$2:$E$801, 0)+1))="","",INDEX(輔助計算!$D:$D,(MATCH(173, 輔助計算!$E$2:$E$801, 0)+1))*INDEX(ERP資料!$O:$O,(MATCH(173, 輔助計算!$E$2:$E$801, 0)+1))), "")</f>
        <v/>
      </c>
      <c r="K174" s="16" t="n"/>
      <c r="L174" s="16" t="n"/>
      <c r="M174" s="17" t="n"/>
    </row>
    <row r="175">
      <c r="A175" s="14">
        <f>IFERROR(IF(INDEX(ERP資料!$B:$B, (MATCH(174, 輔助計算!$E$2:$E$801, 0)+1))="","",INDEX(ERP資料!$B:$B, (MATCH(174, 輔助計算!$E$2:$E$801, 0)+1))), "")</f>
        <v/>
      </c>
      <c r="B175" s="10">
        <f>IFERROR(IF(INDEX(ERP資料!$A:$A, (MATCH(174, 輔助計算!$E$2:$E$801, 0)+1))="","",INDEX(ERP資料!$A:$A, (MATCH(174, 輔助計算!$E$2:$E$801, 0)+1))), "")</f>
        <v/>
      </c>
      <c r="C175" s="10">
        <f>IFERROR(IF(INDEX(ERP資料!$S:$S, (MATCH(174, 輔助計算!$E$2:$E$801, 0)+1))="","",INDEX(ERP資料!$S:$S, (MATCH(174, 輔助計算!$E$2:$E$801, 0)+1))), "")</f>
        <v/>
      </c>
      <c r="D175" s="10">
        <f>IFERROR(IF(INDEX(ERP資料!$E:$E, (MATCH(174, 輔助計算!$E$2:$E$801, 0)+1))="","",TRIM(INDEX(ERP資料!$E:$E, (MATCH(174, 輔助計算!$E$2:$E$801, 0)+1)))), "")</f>
        <v/>
      </c>
      <c r="E175" s="10">
        <f>IFERROR(IF(INDEX(ERP資料!$F:$F, (MATCH(174, 輔助計算!$E$2:$E$801, 0)+1))="","",INDEX(ERP資料!$F:$F, (MATCH(174, 輔助計算!$E$2:$E$801, 0)+1))), "")</f>
        <v/>
      </c>
      <c r="F175" s="10">
        <f>IFERROR(IF(INDEX(ERP資料!$G:$G, (MATCH(174, 輔助計算!$E$2:$E$801, 0)+1))="","",INDEX(ERP資料!$G:$G, (MATCH(174, 輔助計算!$E$2:$E$801, 0)+1))), "")</f>
        <v/>
      </c>
      <c r="G175" s="10">
        <f>IFERROR(IF(INDEX(ERP資料!$H:$H, (MATCH(174, 輔助計算!$E$2:$E$801, 0)+1))="","",INDEX(ERP資料!$H:$H, (MATCH(174, 輔助計算!$E$2:$E$801, 0)+1))), "")</f>
        <v/>
      </c>
      <c r="H175" s="15">
        <f>IFERROR(INDEX(輔助計算!$D:$D, (MATCH(174, 輔助計算!$E$2:$E$801, 0)+1)), "")</f>
        <v/>
      </c>
      <c r="I175" s="10">
        <f>IFERROR(IF(INDEX(ERP資料!$O:$O, (MATCH(174, 輔助計算!$E$2:$E$801, 0)+1))="","",INDEX(ERP資料!$O:$O, (MATCH(174, 輔助計算!$E$2:$E$801, 0)+1))), "")</f>
        <v/>
      </c>
      <c r="J175" s="15">
        <f>IFERROR(IF(INDEX(輔助計算!$D:$D,(MATCH(174, 輔助計算!$E$2:$E$801, 0)+1))="","",INDEX(輔助計算!$D:$D,(MATCH(174, 輔助計算!$E$2:$E$801, 0)+1))*INDEX(ERP資料!$O:$O,(MATCH(174, 輔助計算!$E$2:$E$801, 0)+1))), "")</f>
        <v/>
      </c>
      <c r="K175" s="16" t="n"/>
      <c r="L175" s="16" t="n"/>
      <c r="M175" s="17" t="n"/>
    </row>
    <row r="176">
      <c r="A176" s="14">
        <f>IFERROR(IF(INDEX(ERP資料!$B:$B, (MATCH(175, 輔助計算!$E$2:$E$801, 0)+1))="","",INDEX(ERP資料!$B:$B, (MATCH(175, 輔助計算!$E$2:$E$801, 0)+1))), "")</f>
        <v/>
      </c>
      <c r="B176" s="10">
        <f>IFERROR(IF(INDEX(ERP資料!$A:$A, (MATCH(175, 輔助計算!$E$2:$E$801, 0)+1))="","",INDEX(ERP資料!$A:$A, (MATCH(175, 輔助計算!$E$2:$E$801, 0)+1))), "")</f>
        <v/>
      </c>
      <c r="C176" s="10">
        <f>IFERROR(IF(INDEX(ERP資料!$S:$S, (MATCH(175, 輔助計算!$E$2:$E$801, 0)+1))="","",INDEX(ERP資料!$S:$S, (MATCH(175, 輔助計算!$E$2:$E$801, 0)+1))), "")</f>
        <v/>
      </c>
      <c r="D176" s="10">
        <f>IFERROR(IF(INDEX(ERP資料!$E:$E, (MATCH(175, 輔助計算!$E$2:$E$801, 0)+1))="","",TRIM(INDEX(ERP資料!$E:$E, (MATCH(175, 輔助計算!$E$2:$E$801, 0)+1)))), "")</f>
        <v/>
      </c>
      <c r="E176" s="10">
        <f>IFERROR(IF(INDEX(ERP資料!$F:$F, (MATCH(175, 輔助計算!$E$2:$E$801, 0)+1))="","",INDEX(ERP資料!$F:$F, (MATCH(175, 輔助計算!$E$2:$E$801, 0)+1))), "")</f>
        <v/>
      </c>
      <c r="F176" s="10">
        <f>IFERROR(IF(INDEX(ERP資料!$G:$G, (MATCH(175, 輔助計算!$E$2:$E$801, 0)+1))="","",INDEX(ERP資料!$G:$G, (MATCH(175, 輔助計算!$E$2:$E$801, 0)+1))), "")</f>
        <v/>
      </c>
      <c r="G176" s="10">
        <f>IFERROR(IF(INDEX(ERP資料!$H:$H, (MATCH(175, 輔助計算!$E$2:$E$801, 0)+1))="","",INDEX(ERP資料!$H:$H, (MATCH(175, 輔助計算!$E$2:$E$801, 0)+1))), "")</f>
        <v/>
      </c>
      <c r="H176" s="15">
        <f>IFERROR(INDEX(輔助計算!$D:$D, (MATCH(175, 輔助計算!$E$2:$E$801, 0)+1)), "")</f>
        <v/>
      </c>
      <c r="I176" s="10">
        <f>IFERROR(IF(INDEX(ERP資料!$O:$O, (MATCH(175, 輔助計算!$E$2:$E$801, 0)+1))="","",INDEX(ERP資料!$O:$O, (MATCH(175, 輔助計算!$E$2:$E$801, 0)+1))), "")</f>
        <v/>
      </c>
      <c r="J176" s="15">
        <f>IFERROR(IF(INDEX(輔助計算!$D:$D,(MATCH(175, 輔助計算!$E$2:$E$801, 0)+1))="","",INDEX(輔助計算!$D:$D,(MATCH(175, 輔助計算!$E$2:$E$801, 0)+1))*INDEX(ERP資料!$O:$O,(MATCH(175, 輔助計算!$E$2:$E$801, 0)+1))), "")</f>
        <v/>
      </c>
      <c r="K176" s="16" t="n"/>
      <c r="L176" s="16" t="n"/>
      <c r="M176" s="17" t="n"/>
    </row>
    <row r="177">
      <c r="A177" s="14">
        <f>IFERROR(IF(INDEX(ERP資料!$B:$B, (MATCH(176, 輔助計算!$E$2:$E$801, 0)+1))="","",INDEX(ERP資料!$B:$B, (MATCH(176, 輔助計算!$E$2:$E$801, 0)+1))), "")</f>
        <v/>
      </c>
      <c r="B177" s="10">
        <f>IFERROR(IF(INDEX(ERP資料!$A:$A, (MATCH(176, 輔助計算!$E$2:$E$801, 0)+1))="","",INDEX(ERP資料!$A:$A, (MATCH(176, 輔助計算!$E$2:$E$801, 0)+1))), "")</f>
        <v/>
      </c>
      <c r="C177" s="10">
        <f>IFERROR(IF(INDEX(ERP資料!$S:$S, (MATCH(176, 輔助計算!$E$2:$E$801, 0)+1))="","",INDEX(ERP資料!$S:$S, (MATCH(176, 輔助計算!$E$2:$E$801, 0)+1))), "")</f>
        <v/>
      </c>
      <c r="D177" s="10">
        <f>IFERROR(IF(INDEX(ERP資料!$E:$E, (MATCH(176, 輔助計算!$E$2:$E$801, 0)+1))="","",TRIM(INDEX(ERP資料!$E:$E, (MATCH(176, 輔助計算!$E$2:$E$801, 0)+1)))), "")</f>
        <v/>
      </c>
      <c r="E177" s="10">
        <f>IFERROR(IF(INDEX(ERP資料!$F:$F, (MATCH(176, 輔助計算!$E$2:$E$801, 0)+1))="","",INDEX(ERP資料!$F:$F, (MATCH(176, 輔助計算!$E$2:$E$801, 0)+1))), "")</f>
        <v/>
      </c>
      <c r="F177" s="10">
        <f>IFERROR(IF(INDEX(ERP資料!$G:$G, (MATCH(176, 輔助計算!$E$2:$E$801, 0)+1))="","",INDEX(ERP資料!$G:$G, (MATCH(176, 輔助計算!$E$2:$E$801, 0)+1))), "")</f>
        <v/>
      </c>
      <c r="G177" s="10">
        <f>IFERROR(IF(INDEX(ERP資料!$H:$H, (MATCH(176, 輔助計算!$E$2:$E$801, 0)+1))="","",INDEX(ERP資料!$H:$H, (MATCH(176, 輔助計算!$E$2:$E$801, 0)+1))), "")</f>
        <v/>
      </c>
      <c r="H177" s="15">
        <f>IFERROR(INDEX(輔助計算!$D:$D, (MATCH(176, 輔助計算!$E$2:$E$801, 0)+1)), "")</f>
        <v/>
      </c>
      <c r="I177" s="10">
        <f>IFERROR(IF(INDEX(ERP資料!$O:$O, (MATCH(176, 輔助計算!$E$2:$E$801, 0)+1))="","",INDEX(ERP資料!$O:$O, (MATCH(176, 輔助計算!$E$2:$E$801, 0)+1))), "")</f>
        <v/>
      </c>
      <c r="J177" s="15">
        <f>IFERROR(IF(INDEX(輔助計算!$D:$D,(MATCH(176, 輔助計算!$E$2:$E$801, 0)+1))="","",INDEX(輔助計算!$D:$D,(MATCH(176, 輔助計算!$E$2:$E$801, 0)+1))*INDEX(ERP資料!$O:$O,(MATCH(176, 輔助計算!$E$2:$E$801, 0)+1))), "")</f>
        <v/>
      </c>
      <c r="K177" s="16" t="n"/>
      <c r="L177" s="16" t="n"/>
      <c r="M177" s="17" t="n"/>
    </row>
    <row r="178">
      <c r="A178" s="14">
        <f>IFERROR(IF(INDEX(ERP資料!$B:$B, (MATCH(177, 輔助計算!$E$2:$E$801, 0)+1))="","",INDEX(ERP資料!$B:$B, (MATCH(177, 輔助計算!$E$2:$E$801, 0)+1))), "")</f>
        <v/>
      </c>
      <c r="B178" s="10">
        <f>IFERROR(IF(INDEX(ERP資料!$A:$A, (MATCH(177, 輔助計算!$E$2:$E$801, 0)+1))="","",INDEX(ERP資料!$A:$A, (MATCH(177, 輔助計算!$E$2:$E$801, 0)+1))), "")</f>
        <v/>
      </c>
      <c r="C178" s="10">
        <f>IFERROR(IF(INDEX(ERP資料!$S:$S, (MATCH(177, 輔助計算!$E$2:$E$801, 0)+1))="","",INDEX(ERP資料!$S:$S, (MATCH(177, 輔助計算!$E$2:$E$801, 0)+1))), "")</f>
        <v/>
      </c>
      <c r="D178" s="10">
        <f>IFERROR(IF(INDEX(ERP資料!$E:$E, (MATCH(177, 輔助計算!$E$2:$E$801, 0)+1))="","",TRIM(INDEX(ERP資料!$E:$E, (MATCH(177, 輔助計算!$E$2:$E$801, 0)+1)))), "")</f>
        <v/>
      </c>
      <c r="E178" s="10">
        <f>IFERROR(IF(INDEX(ERP資料!$F:$F, (MATCH(177, 輔助計算!$E$2:$E$801, 0)+1))="","",INDEX(ERP資料!$F:$F, (MATCH(177, 輔助計算!$E$2:$E$801, 0)+1))), "")</f>
        <v/>
      </c>
      <c r="F178" s="10">
        <f>IFERROR(IF(INDEX(ERP資料!$G:$G, (MATCH(177, 輔助計算!$E$2:$E$801, 0)+1))="","",INDEX(ERP資料!$G:$G, (MATCH(177, 輔助計算!$E$2:$E$801, 0)+1))), "")</f>
        <v/>
      </c>
      <c r="G178" s="10">
        <f>IFERROR(IF(INDEX(ERP資料!$H:$H, (MATCH(177, 輔助計算!$E$2:$E$801, 0)+1))="","",INDEX(ERP資料!$H:$H, (MATCH(177, 輔助計算!$E$2:$E$801, 0)+1))), "")</f>
        <v/>
      </c>
      <c r="H178" s="15">
        <f>IFERROR(INDEX(輔助計算!$D:$D, (MATCH(177, 輔助計算!$E$2:$E$801, 0)+1)), "")</f>
        <v/>
      </c>
      <c r="I178" s="10">
        <f>IFERROR(IF(INDEX(ERP資料!$O:$O, (MATCH(177, 輔助計算!$E$2:$E$801, 0)+1))="","",INDEX(ERP資料!$O:$O, (MATCH(177, 輔助計算!$E$2:$E$801, 0)+1))), "")</f>
        <v/>
      </c>
      <c r="J178" s="15">
        <f>IFERROR(IF(INDEX(輔助計算!$D:$D,(MATCH(177, 輔助計算!$E$2:$E$801, 0)+1))="","",INDEX(輔助計算!$D:$D,(MATCH(177, 輔助計算!$E$2:$E$801, 0)+1))*INDEX(ERP資料!$O:$O,(MATCH(177, 輔助計算!$E$2:$E$801, 0)+1))), "")</f>
        <v/>
      </c>
      <c r="K178" s="16" t="n"/>
      <c r="L178" s="16" t="n"/>
      <c r="M178" s="17" t="n"/>
    </row>
    <row r="179">
      <c r="A179" s="14">
        <f>IFERROR(IF(INDEX(ERP資料!$B:$B, (MATCH(178, 輔助計算!$E$2:$E$801, 0)+1))="","",INDEX(ERP資料!$B:$B, (MATCH(178, 輔助計算!$E$2:$E$801, 0)+1))), "")</f>
        <v/>
      </c>
      <c r="B179" s="10">
        <f>IFERROR(IF(INDEX(ERP資料!$A:$A, (MATCH(178, 輔助計算!$E$2:$E$801, 0)+1))="","",INDEX(ERP資料!$A:$A, (MATCH(178, 輔助計算!$E$2:$E$801, 0)+1))), "")</f>
        <v/>
      </c>
      <c r="C179" s="10">
        <f>IFERROR(IF(INDEX(ERP資料!$S:$S, (MATCH(178, 輔助計算!$E$2:$E$801, 0)+1))="","",INDEX(ERP資料!$S:$S, (MATCH(178, 輔助計算!$E$2:$E$801, 0)+1))), "")</f>
        <v/>
      </c>
      <c r="D179" s="10">
        <f>IFERROR(IF(INDEX(ERP資料!$E:$E, (MATCH(178, 輔助計算!$E$2:$E$801, 0)+1))="","",TRIM(INDEX(ERP資料!$E:$E, (MATCH(178, 輔助計算!$E$2:$E$801, 0)+1)))), "")</f>
        <v/>
      </c>
      <c r="E179" s="10">
        <f>IFERROR(IF(INDEX(ERP資料!$F:$F, (MATCH(178, 輔助計算!$E$2:$E$801, 0)+1))="","",INDEX(ERP資料!$F:$F, (MATCH(178, 輔助計算!$E$2:$E$801, 0)+1))), "")</f>
        <v/>
      </c>
      <c r="F179" s="10">
        <f>IFERROR(IF(INDEX(ERP資料!$G:$G, (MATCH(178, 輔助計算!$E$2:$E$801, 0)+1))="","",INDEX(ERP資料!$G:$G, (MATCH(178, 輔助計算!$E$2:$E$801, 0)+1))), "")</f>
        <v/>
      </c>
      <c r="G179" s="10">
        <f>IFERROR(IF(INDEX(ERP資料!$H:$H, (MATCH(178, 輔助計算!$E$2:$E$801, 0)+1))="","",INDEX(ERP資料!$H:$H, (MATCH(178, 輔助計算!$E$2:$E$801, 0)+1))), "")</f>
        <v/>
      </c>
      <c r="H179" s="15">
        <f>IFERROR(INDEX(輔助計算!$D:$D, (MATCH(178, 輔助計算!$E$2:$E$801, 0)+1)), "")</f>
        <v/>
      </c>
      <c r="I179" s="10">
        <f>IFERROR(IF(INDEX(ERP資料!$O:$O, (MATCH(178, 輔助計算!$E$2:$E$801, 0)+1))="","",INDEX(ERP資料!$O:$O, (MATCH(178, 輔助計算!$E$2:$E$801, 0)+1))), "")</f>
        <v/>
      </c>
      <c r="J179" s="15">
        <f>IFERROR(IF(INDEX(輔助計算!$D:$D,(MATCH(178, 輔助計算!$E$2:$E$801, 0)+1))="","",INDEX(輔助計算!$D:$D,(MATCH(178, 輔助計算!$E$2:$E$801, 0)+1))*INDEX(ERP資料!$O:$O,(MATCH(178, 輔助計算!$E$2:$E$801, 0)+1))), "")</f>
        <v/>
      </c>
      <c r="K179" s="16" t="n"/>
      <c r="L179" s="16" t="n"/>
      <c r="M179" s="17" t="n"/>
    </row>
    <row r="180">
      <c r="A180" s="14">
        <f>IFERROR(IF(INDEX(ERP資料!$B:$B, (MATCH(179, 輔助計算!$E$2:$E$801, 0)+1))="","",INDEX(ERP資料!$B:$B, (MATCH(179, 輔助計算!$E$2:$E$801, 0)+1))), "")</f>
        <v/>
      </c>
      <c r="B180" s="10">
        <f>IFERROR(IF(INDEX(ERP資料!$A:$A, (MATCH(179, 輔助計算!$E$2:$E$801, 0)+1))="","",INDEX(ERP資料!$A:$A, (MATCH(179, 輔助計算!$E$2:$E$801, 0)+1))), "")</f>
        <v/>
      </c>
      <c r="C180" s="10">
        <f>IFERROR(IF(INDEX(ERP資料!$S:$S, (MATCH(179, 輔助計算!$E$2:$E$801, 0)+1))="","",INDEX(ERP資料!$S:$S, (MATCH(179, 輔助計算!$E$2:$E$801, 0)+1))), "")</f>
        <v/>
      </c>
      <c r="D180" s="10">
        <f>IFERROR(IF(INDEX(ERP資料!$E:$E, (MATCH(179, 輔助計算!$E$2:$E$801, 0)+1))="","",TRIM(INDEX(ERP資料!$E:$E, (MATCH(179, 輔助計算!$E$2:$E$801, 0)+1)))), "")</f>
        <v/>
      </c>
      <c r="E180" s="10">
        <f>IFERROR(IF(INDEX(ERP資料!$F:$F, (MATCH(179, 輔助計算!$E$2:$E$801, 0)+1))="","",INDEX(ERP資料!$F:$F, (MATCH(179, 輔助計算!$E$2:$E$801, 0)+1))), "")</f>
        <v/>
      </c>
      <c r="F180" s="10">
        <f>IFERROR(IF(INDEX(ERP資料!$G:$G, (MATCH(179, 輔助計算!$E$2:$E$801, 0)+1))="","",INDEX(ERP資料!$G:$G, (MATCH(179, 輔助計算!$E$2:$E$801, 0)+1))), "")</f>
        <v/>
      </c>
      <c r="G180" s="10">
        <f>IFERROR(IF(INDEX(ERP資料!$H:$H, (MATCH(179, 輔助計算!$E$2:$E$801, 0)+1))="","",INDEX(ERP資料!$H:$H, (MATCH(179, 輔助計算!$E$2:$E$801, 0)+1))), "")</f>
        <v/>
      </c>
      <c r="H180" s="15">
        <f>IFERROR(INDEX(輔助計算!$D:$D, (MATCH(179, 輔助計算!$E$2:$E$801, 0)+1)), "")</f>
        <v/>
      </c>
      <c r="I180" s="10">
        <f>IFERROR(IF(INDEX(ERP資料!$O:$O, (MATCH(179, 輔助計算!$E$2:$E$801, 0)+1))="","",INDEX(ERP資料!$O:$O, (MATCH(179, 輔助計算!$E$2:$E$801, 0)+1))), "")</f>
        <v/>
      </c>
      <c r="J180" s="15">
        <f>IFERROR(IF(INDEX(輔助計算!$D:$D,(MATCH(179, 輔助計算!$E$2:$E$801, 0)+1))="","",INDEX(輔助計算!$D:$D,(MATCH(179, 輔助計算!$E$2:$E$801, 0)+1))*INDEX(ERP資料!$O:$O,(MATCH(179, 輔助計算!$E$2:$E$801, 0)+1))), "")</f>
        <v/>
      </c>
      <c r="K180" s="16" t="n"/>
      <c r="L180" s="16" t="n"/>
      <c r="M180" s="17" t="n"/>
    </row>
    <row r="181">
      <c r="A181" s="14">
        <f>IFERROR(IF(INDEX(ERP資料!$B:$B, (MATCH(180, 輔助計算!$E$2:$E$801, 0)+1))="","",INDEX(ERP資料!$B:$B, (MATCH(180, 輔助計算!$E$2:$E$801, 0)+1))), "")</f>
        <v/>
      </c>
      <c r="B181" s="10">
        <f>IFERROR(IF(INDEX(ERP資料!$A:$A, (MATCH(180, 輔助計算!$E$2:$E$801, 0)+1))="","",INDEX(ERP資料!$A:$A, (MATCH(180, 輔助計算!$E$2:$E$801, 0)+1))), "")</f>
        <v/>
      </c>
      <c r="C181" s="10">
        <f>IFERROR(IF(INDEX(ERP資料!$S:$S, (MATCH(180, 輔助計算!$E$2:$E$801, 0)+1))="","",INDEX(ERP資料!$S:$S, (MATCH(180, 輔助計算!$E$2:$E$801, 0)+1))), "")</f>
        <v/>
      </c>
      <c r="D181" s="10">
        <f>IFERROR(IF(INDEX(ERP資料!$E:$E, (MATCH(180, 輔助計算!$E$2:$E$801, 0)+1))="","",TRIM(INDEX(ERP資料!$E:$E, (MATCH(180, 輔助計算!$E$2:$E$801, 0)+1)))), "")</f>
        <v/>
      </c>
      <c r="E181" s="10">
        <f>IFERROR(IF(INDEX(ERP資料!$F:$F, (MATCH(180, 輔助計算!$E$2:$E$801, 0)+1))="","",INDEX(ERP資料!$F:$F, (MATCH(180, 輔助計算!$E$2:$E$801, 0)+1))), "")</f>
        <v/>
      </c>
      <c r="F181" s="10">
        <f>IFERROR(IF(INDEX(ERP資料!$G:$G, (MATCH(180, 輔助計算!$E$2:$E$801, 0)+1))="","",INDEX(ERP資料!$G:$G, (MATCH(180, 輔助計算!$E$2:$E$801, 0)+1))), "")</f>
        <v/>
      </c>
      <c r="G181" s="10">
        <f>IFERROR(IF(INDEX(ERP資料!$H:$H, (MATCH(180, 輔助計算!$E$2:$E$801, 0)+1))="","",INDEX(ERP資料!$H:$H, (MATCH(180, 輔助計算!$E$2:$E$801, 0)+1))), "")</f>
        <v/>
      </c>
      <c r="H181" s="15">
        <f>IFERROR(INDEX(輔助計算!$D:$D, (MATCH(180, 輔助計算!$E$2:$E$801, 0)+1)), "")</f>
        <v/>
      </c>
      <c r="I181" s="10">
        <f>IFERROR(IF(INDEX(ERP資料!$O:$O, (MATCH(180, 輔助計算!$E$2:$E$801, 0)+1))="","",INDEX(ERP資料!$O:$O, (MATCH(180, 輔助計算!$E$2:$E$801, 0)+1))), "")</f>
        <v/>
      </c>
      <c r="J181" s="15">
        <f>IFERROR(IF(INDEX(輔助計算!$D:$D,(MATCH(180, 輔助計算!$E$2:$E$801, 0)+1))="","",INDEX(輔助計算!$D:$D,(MATCH(180, 輔助計算!$E$2:$E$801, 0)+1))*INDEX(ERP資料!$O:$O,(MATCH(180, 輔助計算!$E$2:$E$801, 0)+1))), "")</f>
        <v/>
      </c>
      <c r="K181" s="16" t="n"/>
      <c r="L181" s="16" t="n"/>
      <c r="M181" s="17" t="n"/>
    </row>
    <row r="182">
      <c r="A182" s="14">
        <f>IFERROR(IF(INDEX(ERP資料!$B:$B, (MATCH(181, 輔助計算!$E$2:$E$801, 0)+1))="","",INDEX(ERP資料!$B:$B, (MATCH(181, 輔助計算!$E$2:$E$801, 0)+1))), "")</f>
        <v/>
      </c>
      <c r="B182" s="10">
        <f>IFERROR(IF(INDEX(ERP資料!$A:$A, (MATCH(181, 輔助計算!$E$2:$E$801, 0)+1))="","",INDEX(ERP資料!$A:$A, (MATCH(181, 輔助計算!$E$2:$E$801, 0)+1))), "")</f>
        <v/>
      </c>
      <c r="C182" s="10">
        <f>IFERROR(IF(INDEX(ERP資料!$S:$S, (MATCH(181, 輔助計算!$E$2:$E$801, 0)+1))="","",INDEX(ERP資料!$S:$S, (MATCH(181, 輔助計算!$E$2:$E$801, 0)+1))), "")</f>
        <v/>
      </c>
      <c r="D182" s="10">
        <f>IFERROR(IF(INDEX(ERP資料!$E:$E, (MATCH(181, 輔助計算!$E$2:$E$801, 0)+1))="","",TRIM(INDEX(ERP資料!$E:$E, (MATCH(181, 輔助計算!$E$2:$E$801, 0)+1)))), "")</f>
        <v/>
      </c>
      <c r="E182" s="10">
        <f>IFERROR(IF(INDEX(ERP資料!$F:$F, (MATCH(181, 輔助計算!$E$2:$E$801, 0)+1))="","",INDEX(ERP資料!$F:$F, (MATCH(181, 輔助計算!$E$2:$E$801, 0)+1))), "")</f>
        <v/>
      </c>
      <c r="F182" s="10">
        <f>IFERROR(IF(INDEX(ERP資料!$G:$G, (MATCH(181, 輔助計算!$E$2:$E$801, 0)+1))="","",INDEX(ERP資料!$G:$G, (MATCH(181, 輔助計算!$E$2:$E$801, 0)+1))), "")</f>
        <v/>
      </c>
      <c r="G182" s="10">
        <f>IFERROR(IF(INDEX(ERP資料!$H:$H, (MATCH(181, 輔助計算!$E$2:$E$801, 0)+1))="","",INDEX(ERP資料!$H:$H, (MATCH(181, 輔助計算!$E$2:$E$801, 0)+1))), "")</f>
        <v/>
      </c>
      <c r="H182" s="15">
        <f>IFERROR(INDEX(輔助計算!$D:$D, (MATCH(181, 輔助計算!$E$2:$E$801, 0)+1)), "")</f>
        <v/>
      </c>
      <c r="I182" s="10">
        <f>IFERROR(IF(INDEX(ERP資料!$O:$O, (MATCH(181, 輔助計算!$E$2:$E$801, 0)+1))="","",INDEX(ERP資料!$O:$O, (MATCH(181, 輔助計算!$E$2:$E$801, 0)+1))), "")</f>
        <v/>
      </c>
      <c r="J182" s="15">
        <f>IFERROR(IF(INDEX(輔助計算!$D:$D,(MATCH(181, 輔助計算!$E$2:$E$801, 0)+1))="","",INDEX(輔助計算!$D:$D,(MATCH(181, 輔助計算!$E$2:$E$801, 0)+1))*INDEX(ERP資料!$O:$O,(MATCH(181, 輔助計算!$E$2:$E$801, 0)+1))), "")</f>
        <v/>
      </c>
      <c r="K182" s="16" t="n"/>
      <c r="L182" s="16" t="n"/>
      <c r="M182" s="17" t="n"/>
    </row>
    <row r="183">
      <c r="A183" s="14">
        <f>IFERROR(IF(INDEX(ERP資料!$B:$B, (MATCH(182, 輔助計算!$E$2:$E$801, 0)+1))="","",INDEX(ERP資料!$B:$B, (MATCH(182, 輔助計算!$E$2:$E$801, 0)+1))), "")</f>
        <v/>
      </c>
      <c r="B183" s="10">
        <f>IFERROR(IF(INDEX(ERP資料!$A:$A, (MATCH(182, 輔助計算!$E$2:$E$801, 0)+1))="","",INDEX(ERP資料!$A:$A, (MATCH(182, 輔助計算!$E$2:$E$801, 0)+1))), "")</f>
        <v/>
      </c>
      <c r="C183" s="10">
        <f>IFERROR(IF(INDEX(ERP資料!$S:$S, (MATCH(182, 輔助計算!$E$2:$E$801, 0)+1))="","",INDEX(ERP資料!$S:$S, (MATCH(182, 輔助計算!$E$2:$E$801, 0)+1))), "")</f>
        <v/>
      </c>
      <c r="D183" s="10">
        <f>IFERROR(IF(INDEX(ERP資料!$E:$E, (MATCH(182, 輔助計算!$E$2:$E$801, 0)+1))="","",TRIM(INDEX(ERP資料!$E:$E, (MATCH(182, 輔助計算!$E$2:$E$801, 0)+1)))), "")</f>
        <v/>
      </c>
      <c r="E183" s="10">
        <f>IFERROR(IF(INDEX(ERP資料!$F:$F, (MATCH(182, 輔助計算!$E$2:$E$801, 0)+1))="","",INDEX(ERP資料!$F:$F, (MATCH(182, 輔助計算!$E$2:$E$801, 0)+1))), "")</f>
        <v/>
      </c>
      <c r="F183" s="10">
        <f>IFERROR(IF(INDEX(ERP資料!$G:$G, (MATCH(182, 輔助計算!$E$2:$E$801, 0)+1))="","",INDEX(ERP資料!$G:$G, (MATCH(182, 輔助計算!$E$2:$E$801, 0)+1))), "")</f>
        <v/>
      </c>
      <c r="G183" s="10">
        <f>IFERROR(IF(INDEX(ERP資料!$H:$H, (MATCH(182, 輔助計算!$E$2:$E$801, 0)+1))="","",INDEX(ERP資料!$H:$H, (MATCH(182, 輔助計算!$E$2:$E$801, 0)+1))), "")</f>
        <v/>
      </c>
      <c r="H183" s="15">
        <f>IFERROR(INDEX(輔助計算!$D:$D, (MATCH(182, 輔助計算!$E$2:$E$801, 0)+1)), "")</f>
        <v/>
      </c>
      <c r="I183" s="10">
        <f>IFERROR(IF(INDEX(ERP資料!$O:$O, (MATCH(182, 輔助計算!$E$2:$E$801, 0)+1))="","",INDEX(ERP資料!$O:$O, (MATCH(182, 輔助計算!$E$2:$E$801, 0)+1))), "")</f>
        <v/>
      </c>
      <c r="J183" s="15">
        <f>IFERROR(IF(INDEX(輔助計算!$D:$D,(MATCH(182, 輔助計算!$E$2:$E$801, 0)+1))="","",INDEX(輔助計算!$D:$D,(MATCH(182, 輔助計算!$E$2:$E$801, 0)+1))*INDEX(ERP資料!$O:$O,(MATCH(182, 輔助計算!$E$2:$E$801, 0)+1))), "")</f>
        <v/>
      </c>
      <c r="K183" s="16" t="n"/>
      <c r="L183" s="16" t="n"/>
      <c r="M183" s="17" t="n"/>
    </row>
    <row r="184">
      <c r="A184" s="14">
        <f>IFERROR(IF(INDEX(ERP資料!$B:$B, (MATCH(183, 輔助計算!$E$2:$E$801, 0)+1))="","",INDEX(ERP資料!$B:$B, (MATCH(183, 輔助計算!$E$2:$E$801, 0)+1))), "")</f>
        <v/>
      </c>
      <c r="B184" s="10">
        <f>IFERROR(IF(INDEX(ERP資料!$A:$A, (MATCH(183, 輔助計算!$E$2:$E$801, 0)+1))="","",INDEX(ERP資料!$A:$A, (MATCH(183, 輔助計算!$E$2:$E$801, 0)+1))), "")</f>
        <v/>
      </c>
      <c r="C184" s="10">
        <f>IFERROR(IF(INDEX(ERP資料!$S:$S, (MATCH(183, 輔助計算!$E$2:$E$801, 0)+1))="","",INDEX(ERP資料!$S:$S, (MATCH(183, 輔助計算!$E$2:$E$801, 0)+1))), "")</f>
        <v/>
      </c>
      <c r="D184" s="10">
        <f>IFERROR(IF(INDEX(ERP資料!$E:$E, (MATCH(183, 輔助計算!$E$2:$E$801, 0)+1))="","",TRIM(INDEX(ERP資料!$E:$E, (MATCH(183, 輔助計算!$E$2:$E$801, 0)+1)))), "")</f>
        <v/>
      </c>
      <c r="E184" s="10">
        <f>IFERROR(IF(INDEX(ERP資料!$F:$F, (MATCH(183, 輔助計算!$E$2:$E$801, 0)+1))="","",INDEX(ERP資料!$F:$F, (MATCH(183, 輔助計算!$E$2:$E$801, 0)+1))), "")</f>
        <v/>
      </c>
      <c r="F184" s="10">
        <f>IFERROR(IF(INDEX(ERP資料!$G:$G, (MATCH(183, 輔助計算!$E$2:$E$801, 0)+1))="","",INDEX(ERP資料!$G:$G, (MATCH(183, 輔助計算!$E$2:$E$801, 0)+1))), "")</f>
        <v/>
      </c>
      <c r="G184" s="10">
        <f>IFERROR(IF(INDEX(ERP資料!$H:$H, (MATCH(183, 輔助計算!$E$2:$E$801, 0)+1))="","",INDEX(ERP資料!$H:$H, (MATCH(183, 輔助計算!$E$2:$E$801, 0)+1))), "")</f>
        <v/>
      </c>
      <c r="H184" s="15">
        <f>IFERROR(INDEX(輔助計算!$D:$D, (MATCH(183, 輔助計算!$E$2:$E$801, 0)+1)), "")</f>
        <v/>
      </c>
      <c r="I184" s="10">
        <f>IFERROR(IF(INDEX(ERP資料!$O:$O, (MATCH(183, 輔助計算!$E$2:$E$801, 0)+1))="","",INDEX(ERP資料!$O:$O, (MATCH(183, 輔助計算!$E$2:$E$801, 0)+1))), "")</f>
        <v/>
      </c>
      <c r="J184" s="15">
        <f>IFERROR(IF(INDEX(輔助計算!$D:$D,(MATCH(183, 輔助計算!$E$2:$E$801, 0)+1))="","",INDEX(輔助計算!$D:$D,(MATCH(183, 輔助計算!$E$2:$E$801, 0)+1))*INDEX(ERP資料!$O:$O,(MATCH(183, 輔助計算!$E$2:$E$801, 0)+1))), "")</f>
        <v/>
      </c>
      <c r="K184" s="16" t="n"/>
      <c r="L184" s="16" t="n"/>
      <c r="M184" s="17" t="n"/>
    </row>
    <row r="185">
      <c r="A185" s="14">
        <f>IFERROR(IF(INDEX(ERP資料!$B:$B, (MATCH(184, 輔助計算!$E$2:$E$801, 0)+1))="","",INDEX(ERP資料!$B:$B, (MATCH(184, 輔助計算!$E$2:$E$801, 0)+1))), "")</f>
        <v/>
      </c>
      <c r="B185" s="10">
        <f>IFERROR(IF(INDEX(ERP資料!$A:$A, (MATCH(184, 輔助計算!$E$2:$E$801, 0)+1))="","",INDEX(ERP資料!$A:$A, (MATCH(184, 輔助計算!$E$2:$E$801, 0)+1))), "")</f>
        <v/>
      </c>
      <c r="C185" s="10">
        <f>IFERROR(IF(INDEX(ERP資料!$S:$S, (MATCH(184, 輔助計算!$E$2:$E$801, 0)+1))="","",INDEX(ERP資料!$S:$S, (MATCH(184, 輔助計算!$E$2:$E$801, 0)+1))), "")</f>
        <v/>
      </c>
      <c r="D185" s="10">
        <f>IFERROR(IF(INDEX(ERP資料!$E:$E, (MATCH(184, 輔助計算!$E$2:$E$801, 0)+1))="","",TRIM(INDEX(ERP資料!$E:$E, (MATCH(184, 輔助計算!$E$2:$E$801, 0)+1)))), "")</f>
        <v/>
      </c>
      <c r="E185" s="10">
        <f>IFERROR(IF(INDEX(ERP資料!$F:$F, (MATCH(184, 輔助計算!$E$2:$E$801, 0)+1))="","",INDEX(ERP資料!$F:$F, (MATCH(184, 輔助計算!$E$2:$E$801, 0)+1))), "")</f>
        <v/>
      </c>
      <c r="F185" s="10">
        <f>IFERROR(IF(INDEX(ERP資料!$G:$G, (MATCH(184, 輔助計算!$E$2:$E$801, 0)+1))="","",INDEX(ERP資料!$G:$G, (MATCH(184, 輔助計算!$E$2:$E$801, 0)+1))), "")</f>
        <v/>
      </c>
      <c r="G185" s="10">
        <f>IFERROR(IF(INDEX(ERP資料!$H:$H, (MATCH(184, 輔助計算!$E$2:$E$801, 0)+1))="","",INDEX(ERP資料!$H:$H, (MATCH(184, 輔助計算!$E$2:$E$801, 0)+1))), "")</f>
        <v/>
      </c>
      <c r="H185" s="15">
        <f>IFERROR(INDEX(輔助計算!$D:$D, (MATCH(184, 輔助計算!$E$2:$E$801, 0)+1)), "")</f>
        <v/>
      </c>
      <c r="I185" s="10">
        <f>IFERROR(IF(INDEX(ERP資料!$O:$O, (MATCH(184, 輔助計算!$E$2:$E$801, 0)+1))="","",INDEX(ERP資料!$O:$O, (MATCH(184, 輔助計算!$E$2:$E$801, 0)+1))), "")</f>
        <v/>
      </c>
      <c r="J185" s="15">
        <f>IFERROR(IF(INDEX(輔助計算!$D:$D,(MATCH(184, 輔助計算!$E$2:$E$801, 0)+1))="","",INDEX(輔助計算!$D:$D,(MATCH(184, 輔助計算!$E$2:$E$801, 0)+1))*INDEX(ERP資料!$O:$O,(MATCH(184, 輔助計算!$E$2:$E$801, 0)+1))), "")</f>
        <v/>
      </c>
      <c r="K185" s="16" t="n"/>
      <c r="L185" s="16" t="n"/>
      <c r="M185" s="17" t="n"/>
    </row>
    <row r="186">
      <c r="A186" s="14">
        <f>IFERROR(IF(INDEX(ERP資料!$B:$B, (MATCH(185, 輔助計算!$E$2:$E$801, 0)+1))="","",INDEX(ERP資料!$B:$B, (MATCH(185, 輔助計算!$E$2:$E$801, 0)+1))), "")</f>
        <v/>
      </c>
      <c r="B186" s="10">
        <f>IFERROR(IF(INDEX(ERP資料!$A:$A, (MATCH(185, 輔助計算!$E$2:$E$801, 0)+1))="","",INDEX(ERP資料!$A:$A, (MATCH(185, 輔助計算!$E$2:$E$801, 0)+1))), "")</f>
        <v/>
      </c>
      <c r="C186" s="10">
        <f>IFERROR(IF(INDEX(ERP資料!$S:$S, (MATCH(185, 輔助計算!$E$2:$E$801, 0)+1))="","",INDEX(ERP資料!$S:$S, (MATCH(185, 輔助計算!$E$2:$E$801, 0)+1))), "")</f>
        <v/>
      </c>
      <c r="D186" s="10">
        <f>IFERROR(IF(INDEX(ERP資料!$E:$E, (MATCH(185, 輔助計算!$E$2:$E$801, 0)+1))="","",TRIM(INDEX(ERP資料!$E:$E, (MATCH(185, 輔助計算!$E$2:$E$801, 0)+1)))), "")</f>
        <v/>
      </c>
      <c r="E186" s="10">
        <f>IFERROR(IF(INDEX(ERP資料!$F:$F, (MATCH(185, 輔助計算!$E$2:$E$801, 0)+1))="","",INDEX(ERP資料!$F:$F, (MATCH(185, 輔助計算!$E$2:$E$801, 0)+1))), "")</f>
        <v/>
      </c>
      <c r="F186" s="10">
        <f>IFERROR(IF(INDEX(ERP資料!$G:$G, (MATCH(185, 輔助計算!$E$2:$E$801, 0)+1))="","",INDEX(ERP資料!$G:$G, (MATCH(185, 輔助計算!$E$2:$E$801, 0)+1))), "")</f>
        <v/>
      </c>
      <c r="G186" s="10">
        <f>IFERROR(IF(INDEX(ERP資料!$H:$H, (MATCH(185, 輔助計算!$E$2:$E$801, 0)+1))="","",INDEX(ERP資料!$H:$H, (MATCH(185, 輔助計算!$E$2:$E$801, 0)+1))), "")</f>
        <v/>
      </c>
      <c r="H186" s="15">
        <f>IFERROR(INDEX(輔助計算!$D:$D, (MATCH(185, 輔助計算!$E$2:$E$801, 0)+1)), "")</f>
        <v/>
      </c>
      <c r="I186" s="10">
        <f>IFERROR(IF(INDEX(ERP資料!$O:$O, (MATCH(185, 輔助計算!$E$2:$E$801, 0)+1))="","",INDEX(ERP資料!$O:$O, (MATCH(185, 輔助計算!$E$2:$E$801, 0)+1))), "")</f>
        <v/>
      </c>
      <c r="J186" s="15">
        <f>IFERROR(IF(INDEX(輔助計算!$D:$D,(MATCH(185, 輔助計算!$E$2:$E$801, 0)+1))="","",INDEX(輔助計算!$D:$D,(MATCH(185, 輔助計算!$E$2:$E$801, 0)+1))*INDEX(ERP資料!$O:$O,(MATCH(185, 輔助計算!$E$2:$E$801, 0)+1))), "")</f>
        <v/>
      </c>
      <c r="K186" s="16" t="n"/>
      <c r="L186" s="16" t="n"/>
      <c r="M186" s="17" t="n"/>
    </row>
    <row r="187">
      <c r="A187" s="14">
        <f>IFERROR(IF(INDEX(ERP資料!$B:$B, (MATCH(186, 輔助計算!$E$2:$E$801, 0)+1))="","",INDEX(ERP資料!$B:$B, (MATCH(186, 輔助計算!$E$2:$E$801, 0)+1))), "")</f>
        <v/>
      </c>
      <c r="B187" s="10">
        <f>IFERROR(IF(INDEX(ERP資料!$A:$A, (MATCH(186, 輔助計算!$E$2:$E$801, 0)+1))="","",INDEX(ERP資料!$A:$A, (MATCH(186, 輔助計算!$E$2:$E$801, 0)+1))), "")</f>
        <v/>
      </c>
      <c r="C187" s="10">
        <f>IFERROR(IF(INDEX(ERP資料!$S:$S, (MATCH(186, 輔助計算!$E$2:$E$801, 0)+1))="","",INDEX(ERP資料!$S:$S, (MATCH(186, 輔助計算!$E$2:$E$801, 0)+1))), "")</f>
        <v/>
      </c>
      <c r="D187" s="10">
        <f>IFERROR(IF(INDEX(ERP資料!$E:$E, (MATCH(186, 輔助計算!$E$2:$E$801, 0)+1))="","",TRIM(INDEX(ERP資料!$E:$E, (MATCH(186, 輔助計算!$E$2:$E$801, 0)+1)))), "")</f>
        <v/>
      </c>
      <c r="E187" s="10">
        <f>IFERROR(IF(INDEX(ERP資料!$F:$F, (MATCH(186, 輔助計算!$E$2:$E$801, 0)+1))="","",INDEX(ERP資料!$F:$F, (MATCH(186, 輔助計算!$E$2:$E$801, 0)+1))), "")</f>
        <v/>
      </c>
      <c r="F187" s="10">
        <f>IFERROR(IF(INDEX(ERP資料!$G:$G, (MATCH(186, 輔助計算!$E$2:$E$801, 0)+1))="","",INDEX(ERP資料!$G:$G, (MATCH(186, 輔助計算!$E$2:$E$801, 0)+1))), "")</f>
        <v/>
      </c>
      <c r="G187" s="10">
        <f>IFERROR(IF(INDEX(ERP資料!$H:$H, (MATCH(186, 輔助計算!$E$2:$E$801, 0)+1))="","",INDEX(ERP資料!$H:$H, (MATCH(186, 輔助計算!$E$2:$E$801, 0)+1))), "")</f>
        <v/>
      </c>
      <c r="H187" s="15">
        <f>IFERROR(INDEX(輔助計算!$D:$D, (MATCH(186, 輔助計算!$E$2:$E$801, 0)+1)), "")</f>
        <v/>
      </c>
      <c r="I187" s="10">
        <f>IFERROR(IF(INDEX(ERP資料!$O:$O, (MATCH(186, 輔助計算!$E$2:$E$801, 0)+1))="","",INDEX(ERP資料!$O:$O, (MATCH(186, 輔助計算!$E$2:$E$801, 0)+1))), "")</f>
        <v/>
      </c>
      <c r="J187" s="15">
        <f>IFERROR(IF(INDEX(輔助計算!$D:$D,(MATCH(186, 輔助計算!$E$2:$E$801, 0)+1))="","",INDEX(輔助計算!$D:$D,(MATCH(186, 輔助計算!$E$2:$E$801, 0)+1))*INDEX(ERP資料!$O:$O,(MATCH(186, 輔助計算!$E$2:$E$801, 0)+1))), "")</f>
        <v/>
      </c>
      <c r="K187" s="16" t="n"/>
      <c r="L187" s="16" t="n"/>
      <c r="M187" s="17" t="n"/>
    </row>
    <row r="188">
      <c r="A188" s="14">
        <f>IFERROR(IF(INDEX(ERP資料!$B:$B, (MATCH(187, 輔助計算!$E$2:$E$801, 0)+1))="","",INDEX(ERP資料!$B:$B, (MATCH(187, 輔助計算!$E$2:$E$801, 0)+1))), "")</f>
        <v/>
      </c>
      <c r="B188" s="10">
        <f>IFERROR(IF(INDEX(ERP資料!$A:$A, (MATCH(187, 輔助計算!$E$2:$E$801, 0)+1))="","",INDEX(ERP資料!$A:$A, (MATCH(187, 輔助計算!$E$2:$E$801, 0)+1))), "")</f>
        <v/>
      </c>
      <c r="C188" s="10">
        <f>IFERROR(IF(INDEX(ERP資料!$S:$S, (MATCH(187, 輔助計算!$E$2:$E$801, 0)+1))="","",INDEX(ERP資料!$S:$S, (MATCH(187, 輔助計算!$E$2:$E$801, 0)+1))), "")</f>
        <v/>
      </c>
      <c r="D188" s="10">
        <f>IFERROR(IF(INDEX(ERP資料!$E:$E, (MATCH(187, 輔助計算!$E$2:$E$801, 0)+1))="","",TRIM(INDEX(ERP資料!$E:$E, (MATCH(187, 輔助計算!$E$2:$E$801, 0)+1)))), "")</f>
        <v/>
      </c>
      <c r="E188" s="10">
        <f>IFERROR(IF(INDEX(ERP資料!$F:$F, (MATCH(187, 輔助計算!$E$2:$E$801, 0)+1))="","",INDEX(ERP資料!$F:$F, (MATCH(187, 輔助計算!$E$2:$E$801, 0)+1))), "")</f>
        <v/>
      </c>
      <c r="F188" s="10">
        <f>IFERROR(IF(INDEX(ERP資料!$G:$G, (MATCH(187, 輔助計算!$E$2:$E$801, 0)+1))="","",INDEX(ERP資料!$G:$G, (MATCH(187, 輔助計算!$E$2:$E$801, 0)+1))), "")</f>
        <v/>
      </c>
      <c r="G188" s="10">
        <f>IFERROR(IF(INDEX(ERP資料!$H:$H, (MATCH(187, 輔助計算!$E$2:$E$801, 0)+1))="","",INDEX(ERP資料!$H:$H, (MATCH(187, 輔助計算!$E$2:$E$801, 0)+1))), "")</f>
        <v/>
      </c>
      <c r="H188" s="15">
        <f>IFERROR(INDEX(輔助計算!$D:$D, (MATCH(187, 輔助計算!$E$2:$E$801, 0)+1)), "")</f>
        <v/>
      </c>
      <c r="I188" s="10">
        <f>IFERROR(IF(INDEX(ERP資料!$O:$O, (MATCH(187, 輔助計算!$E$2:$E$801, 0)+1))="","",INDEX(ERP資料!$O:$O, (MATCH(187, 輔助計算!$E$2:$E$801, 0)+1))), "")</f>
        <v/>
      </c>
      <c r="J188" s="15">
        <f>IFERROR(IF(INDEX(輔助計算!$D:$D,(MATCH(187, 輔助計算!$E$2:$E$801, 0)+1))="","",INDEX(輔助計算!$D:$D,(MATCH(187, 輔助計算!$E$2:$E$801, 0)+1))*INDEX(ERP資料!$O:$O,(MATCH(187, 輔助計算!$E$2:$E$801, 0)+1))), "")</f>
        <v/>
      </c>
      <c r="K188" s="16" t="n"/>
      <c r="L188" s="16" t="n"/>
      <c r="M188" s="17" t="n"/>
    </row>
    <row r="189">
      <c r="A189" s="14">
        <f>IFERROR(IF(INDEX(ERP資料!$B:$B, (MATCH(188, 輔助計算!$E$2:$E$801, 0)+1))="","",INDEX(ERP資料!$B:$B, (MATCH(188, 輔助計算!$E$2:$E$801, 0)+1))), "")</f>
        <v/>
      </c>
      <c r="B189" s="10">
        <f>IFERROR(IF(INDEX(ERP資料!$A:$A, (MATCH(188, 輔助計算!$E$2:$E$801, 0)+1))="","",INDEX(ERP資料!$A:$A, (MATCH(188, 輔助計算!$E$2:$E$801, 0)+1))), "")</f>
        <v/>
      </c>
      <c r="C189" s="10">
        <f>IFERROR(IF(INDEX(ERP資料!$S:$S, (MATCH(188, 輔助計算!$E$2:$E$801, 0)+1))="","",INDEX(ERP資料!$S:$S, (MATCH(188, 輔助計算!$E$2:$E$801, 0)+1))), "")</f>
        <v/>
      </c>
      <c r="D189" s="10">
        <f>IFERROR(IF(INDEX(ERP資料!$E:$E, (MATCH(188, 輔助計算!$E$2:$E$801, 0)+1))="","",TRIM(INDEX(ERP資料!$E:$E, (MATCH(188, 輔助計算!$E$2:$E$801, 0)+1)))), "")</f>
        <v/>
      </c>
      <c r="E189" s="10">
        <f>IFERROR(IF(INDEX(ERP資料!$F:$F, (MATCH(188, 輔助計算!$E$2:$E$801, 0)+1))="","",INDEX(ERP資料!$F:$F, (MATCH(188, 輔助計算!$E$2:$E$801, 0)+1))), "")</f>
        <v/>
      </c>
      <c r="F189" s="10">
        <f>IFERROR(IF(INDEX(ERP資料!$G:$G, (MATCH(188, 輔助計算!$E$2:$E$801, 0)+1))="","",INDEX(ERP資料!$G:$G, (MATCH(188, 輔助計算!$E$2:$E$801, 0)+1))), "")</f>
        <v/>
      </c>
      <c r="G189" s="10">
        <f>IFERROR(IF(INDEX(ERP資料!$H:$H, (MATCH(188, 輔助計算!$E$2:$E$801, 0)+1))="","",INDEX(ERP資料!$H:$H, (MATCH(188, 輔助計算!$E$2:$E$801, 0)+1))), "")</f>
        <v/>
      </c>
      <c r="H189" s="15">
        <f>IFERROR(INDEX(輔助計算!$D:$D, (MATCH(188, 輔助計算!$E$2:$E$801, 0)+1)), "")</f>
        <v/>
      </c>
      <c r="I189" s="10">
        <f>IFERROR(IF(INDEX(ERP資料!$O:$O, (MATCH(188, 輔助計算!$E$2:$E$801, 0)+1))="","",INDEX(ERP資料!$O:$O, (MATCH(188, 輔助計算!$E$2:$E$801, 0)+1))), "")</f>
        <v/>
      </c>
      <c r="J189" s="15">
        <f>IFERROR(IF(INDEX(輔助計算!$D:$D,(MATCH(188, 輔助計算!$E$2:$E$801, 0)+1))="","",INDEX(輔助計算!$D:$D,(MATCH(188, 輔助計算!$E$2:$E$801, 0)+1))*INDEX(ERP資料!$O:$O,(MATCH(188, 輔助計算!$E$2:$E$801, 0)+1))), "")</f>
        <v/>
      </c>
      <c r="K189" s="16" t="n"/>
      <c r="L189" s="16" t="n"/>
      <c r="M189" s="17" t="n"/>
    </row>
    <row r="190">
      <c r="A190" s="14">
        <f>IFERROR(IF(INDEX(ERP資料!$B:$B, (MATCH(189, 輔助計算!$E$2:$E$801, 0)+1))="","",INDEX(ERP資料!$B:$B, (MATCH(189, 輔助計算!$E$2:$E$801, 0)+1))), "")</f>
        <v/>
      </c>
      <c r="B190" s="10">
        <f>IFERROR(IF(INDEX(ERP資料!$A:$A, (MATCH(189, 輔助計算!$E$2:$E$801, 0)+1))="","",INDEX(ERP資料!$A:$A, (MATCH(189, 輔助計算!$E$2:$E$801, 0)+1))), "")</f>
        <v/>
      </c>
      <c r="C190" s="10">
        <f>IFERROR(IF(INDEX(ERP資料!$S:$S, (MATCH(189, 輔助計算!$E$2:$E$801, 0)+1))="","",INDEX(ERP資料!$S:$S, (MATCH(189, 輔助計算!$E$2:$E$801, 0)+1))), "")</f>
        <v/>
      </c>
      <c r="D190" s="10">
        <f>IFERROR(IF(INDEX(ERP資料!$E:$E, (MATCH(189, 輔助計算!$E$2:$E$801, 0)+1))="","",TRIM(INDEX(ERP資料!$E:$E, (MATCH(189, 輔助計算!$E$2:$E$801, 0)+1)))), "")</f>
        <v/>
      </c>
      <c r="E190" s="10">
        <f>IFERROR(IF(INDEX(ERP資料!$F:$F, (MATCH(189, 輔助計算!$E$2:$E$801, 0)+1))="","",INDEX(ERP資料!$F:$F, (MATCH(189, 輔助計算!$E$2:$E$801, 0)+1))), "")</f>
        <v/>
      </c>
      <c r="F190" s="10">
        <f>IFERROR(IF(INDEX(ERP資料!$G:$G, (MATCH(189, 輔助計算!$E$2:$E$801, 0)+1))="","",INDEX(ERP資料!$G:$G, (MATCH(189, 輔助計算!$E$2:$E$801, 0)+1))), "")</f>
        <v/>
      </c>
      <c r="G190" s="10">
        <f>IFERROR(IF(INDEX(ERP資料!$H:$H, (MATCH(189, 輔助計算!$E$2:$E$801, 0)+1))="","",INDEX(ERP資料!$H:$H, (MATCH(189, 輔助計算!$E$2:$E$801, 0)+1))), "")</f>
        <v/>
      </c>
      <c r="H190" s="15">
        <f>IFERROR(INDEX(輔助計算!$D:$D, (MATCH(189, 輔助計算!$E$2:$E$801, 0)+1)), "")</f>
        <v/>
      </c>
      <c r="I190" s="10">
        <f>IFERROR(IF(INDEX(ERP資料!$O:$O, (MATCH(189, 輔助計算!$E$2:$E$801, 0)+1))="","",INDEX(ERP資料!$O:$O, (MATCH(189, 輔助計算!$E$2:$E$801, 0)+1))), "")</f>
        <v/>
      </c>
      <c r="J190" s="15">
        <f>IFERROR(IF(INDEX(輔助計算!$D:$D,(MATCH(189, 輔助計算!$E$2:$E$801, 0)+1))="","",INDEX(輔助計算!$D:$D,(MATCH(189, 輔助計算!$E$2:$E$801, 0)+1))*INDEX(ERP資料!$O:$O,(MATCH(189, 輔助計算!$E$2:$E$801, 0)+1))), "")</f>
        <v/>
      </c>
      <c r="K190" s="16" t="n"/>
      <c r="L190" s="16" t="n"/>
      <c r="M190" s="17" t="n"/>
    </row>
    <row r="191">
      <c r="A191" s="14">
        <f>IFERROR(IF(INDEX(ERP資料!$B:$B, (MATCH(190, 輔助計算!$E$2:$E$801, 0)+1))="","",INDEX(ERP資料!$B:$B, (MATCH(190, 輔助計算!$E$2:$E$801, 0)+1))), "")</f>
        <v/>
      </c>
      <c r="B191" s="10">
        <f>IFERROR(IF(INDEX(ERP資料!$A:$A, (MATCH(190, 輔助計算!$E$2:$E$801, 0)+1))="","",INDEX(ERP資料!$A:$A, (MATCH(190, 輔助計算!$E$2:$E$801, 0)+1))), "")</f>
        <v/>
      </c>
      <c r="C191" s="10">
        <f>IFERROR(IF(INDEX(ERP資料!$S:$S, (MATCH(190, 輔助計算!$E$2:$E$801, 0)+1))="","",INDEX(ERP資料!$S:$S, (MATCH(190, 輔助計算!$E$2:$E$801, 0)+1))), "")</f>
        <v/>
      </c>
      <c r="D191" s="10">
        <f>IFERROR(IF(INDEX(ERP資料!$E:$E, (MATCH(190, 輔助計算!$E$2:$E$801, 0)+1))="","",TRIM(INDEX(ERP資料!$E:$E, (MATCH(190, 輔助計算!$E$2:$E$801, 0)+1)))), "")</f>
        <v/>
      </c>
      <c r="E191" s="10">
        <f>IFERROR(IF(INDEX(ERP資料!$F:$F, (MATCH(190, 輔助計算!$E$2:$E$801, 0)+1))="","",INDEX(ERP資料!$F:$F, (MATCH(190, 輔助計算!$E$2:$E$801, 0)+1))), "")</f>
        <v/>
      </c>
      <c r="F191" s="10">
        <f>IFERROR(IF(INDEX(ERP資料!$G:$G, (MATCH(190, 輔助計算!$E$2:$E$801, 0)+1))="","",INDEX(ERP資料!$G:$G, (MATCH(190, 輔助計算!$E$2:$E$801, 0)+1))), "")</f>
        <v/>
      </c>
      <c r="G191" s="10">
        <f>IFERROR(IF(INDEX(ERP資料!$H:$H, (MATCH(190, 輔助計算!$E$2:$E$801, 0)+1))="","",INDEX(ERP資料!$H:$H, (MATCH(190, 輔助計算!$E$2:$E$801, 0)+1))), "")</f>
        <v/>
      </c>
      <c r="H191" s="15">
        <f>IFERROR(INDEX(輔助計算!$D:$D, (MATCH(190, 輔助計算!$E$2:$E$801, 0)+1)), "")</f>
        <v/>
      </c>
      <c r="I191" s="10">
        <f>IFERROR(IF(INDEX(ERP資料!$O:$O, (MATCH(190, 輔助計算!$E$2:$E$801, 0)+1))="","",INDEX(ERP資料!$O:$O, (MATCH(190, 輔助計算!$E$2:$E$801, 0)+1))), "")</f>
        <v/>
      </c>
      <c r="J191" s="15">
        <f>IFERROR(IF(INDEX(輔助計算!$D:$D,(MATCH(190, 輔助計算!$E$2:$E$801, 0)+1))="","",INDEX(輔助計算!$D:$D,(MATCH(190, 輔助計算!$E$2:$E$801, 0)+1))*INDEX(ERP資料!$O:$O,(MATCH(190, 輔助計算!$E$2:$E$801, 0)+1))), "")</f>
        <v/>
      </c>
      <c r="K191" s="16" t="n"/>
      <c r="L191" s="16" t="n"/>
      <c r="M191" s="17" t="n"/>
    </row>
    <row r="192">
      <c r="A192" s="14">
        <f>IFERROR(IF(INDEX(ERP資料!$B:$B, (MATCH(191, 輔助計算!$E$2:$E$801, 0)+1))="","",INDEX(ERP資料!$B:$B, (MATCH(191, 輔助計算!$E$2:$E$801, 0)+1))), "")</f>
        <v/>
      </c>
      <c r="B192" s="10">
        <f>IFERROR(IF(INDEX(ERP資料!$A:$A, (MATCH(191, 輔助計算!$E$2:$E$801, 0)+1))="","",INDEX(ERP資料!$A:$A, (MATCH(191, 輔助計算!$E$2:$E$801, 0)+1))), "")</f>
        <v/>
      </c>
      <c r="C192" s="10">
        <f>IFERROR(IF(INDEX(ERP資料!$S:$S, (MATCH(191, 輔助計算!$E$2:$E$801, 0)+1))="","",INDEX(ERP資料!$S:$S, (MATCH(191, 輔助計算!$E$2:$E$801, 0)+1))), "")</f>
        <v/>
      </c>
      <c r="D192" s="10">
        <f>IFERROR(IF(INDEX(ERP資料!$E:$E, (MATCH(191, 輔助計算!$E$2:$E$801, 0)+1))="","",TRIM(INDEX(ERP資料!$E:$E, (MATCH(191, 輔助計算!$E$2:$E$801, 0)+1)))), "")</f>
        <v/>
      </c>
      <c r="E192" s="10">
        <f>IFERROR(IF(INDEX(ERP資料!$F:$F, (MATCH(191, 輔助計算!$E$2:$E$801, 0)+1))="","",INDEX(ERP資料!$F:$F, (MATCH(191, 輔助計算!$E$2:$E$801, 0)+1))), "")</f>
        <v/>
      </c>
      <c r="F192" s="10">
        <f>IFERROR(IF(INDEX(ERP資料!$G:$G, (MATCH(191, 輔助計算!$E$2:$E$801, 0)+1))="","",INDEX(ERP資料!$G:$G, (MATCH(191, 輔助計算!$E$2:$E$801, 0)+1))), "")</f>
        <v/>
      </c>
      <c r="G192" s="10">
        <f>IFERROR(IF(INDEX(ERP資料!$H:$H, (MATCH(191, 輔助計算!$E$2:$E$801, 0)+1))="","",INDEX(ERP資料!$H:$H, (MATCH(191, 輔助計算!$E$2:$E$801, 0)+1))), "")</f>
        <v/>
      </c>
      <c r="H192" s="15">
        <f>IFERROR(INDEX(輔助計算!$D:$D, (MATCH(191, 輔助計算!$E$2:$E$801, 0)+1)), "")</f>
        <v/>
      </c>
      <c r="I192" s="10">
        <f>IFERROR(IF(INDEX(ERP資料!$O:$O, (MATCH(191, 輔助計算!$E$2:$E$801, 0)+1))="","",INDEX(ERP資料!$O:$O, (MATCH(191, 輔助計算!$E$2:$E$801, 0)+1))), "")</f>
        <v/>
      </c>
      <c r="J192" s="15">
        <f>IFERROR(IF(INDEX(輔助計算!$D:$D,(MATCH(191, 輔助計算!$E$2:$E$801, 0)+1))="","",INDEX(輔助計算!$D:$D,(MATCH(191, 輔助計算!$E$2:$E$801, 0)+1))*INDEX(ERP資料!$O:$O,(MATCH(191, 輔助計算!$E$2:$E$801, 0)+1))), "")</f>
        <v/>
      </c>
      <c r="K192" s="16" t="n"/>
      <c r="L192" s="16" t="n"/>
      <c r="M192" s="17" t="n"/>
    </row>
    <row r="193">
      <c r="A193" s="14">
        <f>IFERROR(IF(INDEX(ERP資料!$B:$B, (MATCH(192, 輔助計算!$E$2:$E$801, 0)+1))="","",INDEX(ERP資料!$B:$B, (MATCH(192, 輔助計算!$E$2:$E$801, 0)+1))), "")</f>
        <v/>
      </c>
      <c r="B193" s="10">
        <f>IFERROR(IF(INDEX(ERP資料!$A:$A, (MATCH(192, 輔助計算!$E$2:$E$801, 0)+1))="","",INDEX(ERP資料!$A:$A, (MATCH(192, 輔助計算!$E$2:$E$801, 0)+1))), "")</f>
        <v/>
      </c>
      <c r="C193" s="10">
        <f>IFERROR(IF(INDEX(ERP資料!$S:$S, (MATCH(192, 輔助計算!$E$2:$E$801, 0)+1))="","",INDEX(ERP資料!$S:$S, (MATCH(192, 輔助計算!$E$2:$E$801, 0)+1))), "")</f>
        <v/>
      </c>
      <c r="D193" s="10">
        <f>IFERROR(IF(INDEX(ERP資料!$E:$E, (MATCH(192, 輔助計算!$E$2:$E$801, 0)+1))="","",TRIM(INDEX(ERP資料!$E:$E, (MATCH(192, 輔助計算!$E$2:$E$801, 0)+1)))), "")</f>
        <v/>
      </c>
      <c r="E193" s="10">
        <f>IFERROR(IF(INDEX(ERP資料!$F:$F, (MATCH(192, 輔助計算!$E$2:$E$801, 0)+1))="","",INDEX(ERP資料!$F:$F, (MATCH(192, 輔助計算!$E$2:$E$801, 0)+1))), "")</f>
        <v/>
      </c>
      <c r="F193" s="10">
        <f>IFERROR(IF(INDEX(ERP資料!$G:$G, (MATCH(192, 輔助計算!$E$2:$E$801, 0)+1))="","",INDEX(ERP資料!$G:$G, (MATCH(192, 輔助計算!$E$2:$E$801, 0)+1))), "")</f>
        <v/>
      </c>
      <c r="G193" s="10">
        <f>IFERROR(IF(INDEX(ERP資料!$H:$H, (MATCH(192, 輔助計算!$E$2:$E$801, 0)+1))="","",INDEX(ERP資料!$H:$H, (MATCH(192, 輔助計算!$E$2:$E$801, 0)+1))), "")</f>
        <v/>
      </c>
      <c r="H193" s="15">
        <f>IFERROR(INDEX(輔助計算!$D:$D, (MATCH(192, 輔助計算!$E$2:$E$801, 0)+1)), "")</f>
        <v/>
      </c>
      <c r="I193" s="10">
        <f>IFERROR(IF(INDEX(ERP資料!$O:$O, (MATCH(192, 輔助計算!$E$2:$E$801, 0)+1))="","",INDEX(ERP資料!$O:$O, (MATCH(192, 輔助計算!$E$2:$E$801, 0)+1))), "")</f>
        <v/>
      </c>
      <c r="J193" s="15">
        <f>IFERROR(IF(INDEX(輔助計算!$D:$D,(MATCH(192, 輔助計算!$E$2:$E$801, 0)+1))="","",INDEX(輔助計算!$D:$D,(MATCH(192, 輔助計算!$E$2:$E$801, 0)+1))*INDEX(ERP資料!$O:$O,(MATCH(192, 輔助計算!$E$2:$E$801, 0)+1))), "")</f>
        <v/>
      </c>
      <c r="K193" s="16" t="n"/>
      <c r="L193" s="16" t="n"/>
      <c r="M193" s="17" t="n"/>
    </row>
    <row r="194">
      <c r="A194" s="14">
        <f>IFERROR(IF(INDEX(ERP資料!$B:$B, (MATCH(193, 輔助計算!$E$2:$E$801, 0)+1))="","",INDEX(ERP資料!$B:$B, (MATCH(193, 輔助計算!$E$2:$E$801, 0)+1))), "")</f>
        <v/>
      </c>
      <c r="B194" s="10">
        <f>IFERROR(IF(INDEX(ERP資料!$A:$A, (MATCH(193, 輔助計算!$E$2:$E$801, 0)+1))="","",INDEX(ERP資料!$A:$A, (MATCH(193, 輔助計算!$E$2:$E$801, 0)+1))), "")</f>
        <v/>
      </c>
      <c r="C194" s="10">
        <f>IFERROR(IF(INDEX(ERP資料!$S:$S, (MATCH(193, 輔助計算!$E$2:$E$801, 0)+1))="","",INDEX(ERP資料!$S:$S, (MATCH(193, 輔助計算!$E$2:$E$801, 0)+1))), "")</f>
        <v/>
      </c>
      <c r="D194" s="10">
        <f>IFERROR(IF(INDEX(ERP資料!$E:$E, (MATCH(193, 輔助計算!$E$2:$E$801, 0)+1))="","",TRIM(INDEX(ERP資料!$E:$E, (MATCH(193, 輔助計算!$E$2:$E$801, 0)+1)))), "")</f>
        <v/>
      </c>
      <c r="E194" s="10">
        <f>IFERROR(IF(INDEX(ERP資料!$F:$F, (MATCH(193, 輔助計算!$E$2:$E$801, 0)+1))="","",INDEX(ERP資料!$F:$F, (MATCH(193, 輔助計算!$E$2:$E$801, 0)+1))), "")</f>
        <v/>
      </c>
      <c r="F194" s="10">
        <f>IFERROR(IF(INDEX(ERP資料!$G:$G, (MATCH(193, 輔助計算!$E$2:$E$801, 0)+1))="","",INDEX(ERP資料!$G:$G, (MATCH(193, 輔助計算!$E$2:$E$801, 0)+1))), "")</f>
        <v/>
      </c>
      <c r="G194" s="10">
        <f>IFERROR(IF(INDEX(ERP資料!$H:$H, (MATCH(193, 輔助計算!$E$2:$E$801, 0)+1))="","",INDEX(ERP資料!$H:$H, (MATCH(193, 輔助計算!$E$2:$E$801, 0)+1))), "")</f>
        <v/>
      </c>
      <c r="H194" s="15">
        <f>IFERROR(INDEX(輔助計算!$D:$D, (MATCH(193, 輔助計算!$E$2:$E$801, 0)+1)), "")</f>
        <v/>
      </c>
      <c r="I194" s="10">
        <f>IFERROR(IF(INDEX(ERP資料!$O:$O, (MATCH(193, 輔助計算!$E$2:$E$801, 0)+1))="","",INDEX(ERP資料!$O:$O, (MATCH(193, 輔助計算!$E$2:$E$801, 0)+1))), "")</f>
        <v/>
      </c>
      <c r="J194" s="15">
        <f>IFERROR(IF(INDEX(輔助計算!$D:$D,(MATCH(193, 輔助計算!$E$2:$E$801, 0)+1))="","",INDEX(輔助計算!$D:$D,(MATCH(193, 輔助計算!$E$2:$E$801, 0)+1))*INDEX(ERP資料!$O:$O,(MATCH(193, 輔助計算!$E$2:$E$801, 0)+1))), "")</f>
        <v/>
      </c>
      <c r="K194" s="16" t="n"/>
      <c r="L194" s="16" t="n"/>
      <c r="M194" s="17" t="n"/>
    </row>
    <row r="195">
      <c r="A195" s="14">
        <f>IFERROR(IF(INDEX(ERP資料!$B:$B, (MATCH(194, 輔助計算!$E$2:$E$801, 0)+1))="","",INDEX(ERP資料!$B:$B, (MATCH(194, 輔助計算!$E$2:$E$801, 0)+1))), "")</f>
        <v/>
      </c>
      <c r="B195" s="10">
        <f>IFERROR(IF(INDEX(ERP資料!$A:$A, (MATCH(194, 輔助計算!$E$2:$E$801, 0)+1))="","",INDEX(ERP資料!$A:$A, (MATCH(194, 輔助計算!$E$2:$E$801, 0)+1))), "")</f>
        <v/>
      </c>
      <c r="C195" s="10">
        <f>IFERROR(IF(INDEX(ERP資料!$S:$S, (MATCH(194, 輔助計算!$E$2:$E$801, 0)+1))="","",INDEX(ERP資料!$S:$S, (MATCH(194, 輔助計算!$E$2:$E$801, 0)+1))), "")</f>
        <v/>
      </c>
      <c r="D195" s="10">
        <f>IFERROR(IF(INDEX(ERP資料!$E:$E, (MATCH(194, 輔助計算!$E$2:$E$801, 0)+1))="","",TRIM(INDEX(ERP資料!$E:$E, (MATCH(194, 輔助計算!$E$2:$E$801, 0)+1)))), "")</f>
        <v/>
      </c>
      <c r="E195" s="10">
        <f>IFERROR(IF(INDEX(ERP資料!$F:$F, (MATCH(194, 輔助計算!$E$2:$E$801, 0)+1))="","",INDEX(ERP資料!$F:$F, (MATCH(194, 輔助計算!$E$2:$E$801, 0)+1))), "")</f>
        <v/>
      </c>
      <c r="F195" s="10">
        <f>IFERROR(IF(INDEX(ERP資料!$G:$G, (MATCH(194, 輔助計算!$E$2:$E$801, 0)+1))="","",INDEX(ERP資料!$G:$G, (MATCH(194, 輔助計算!$E$2:$E$801, 0)+1))), "")</f>
        <v/>
      </c>
      <c r="G195" s="10">
        <f>IFERROR(IF(INDEX(ERP資料!$H:$H, (MATCH(194, 輔助計算!$E$2:$E$801, 0)+1))="","",INDEX(ERP資料!$H:$H, (MATCH(194, 輔助計算!$E$2:$E$801, 0)+1))), "")</f>
        <v/>
      </c>
      <c r="H195" s="15">
        <f>IFERROR(INDEX(輔助計算!$D:$D, (MATCH(194, 輔助計算!$E$2:$E$801, 0)+1)), "")</f>
        <v/>
      </c>
      <c r="I195" s="10">
        <f>IFERROR(IF(INDEX(ERP資料!$O:$O, (MATCH(194, 輔助計算!$E$2:$E$801, 0)+1))="","",INDEX(ERP資料!$O:$O, (MATCH(194, 輔助計算!$E$2:$E$801, 0)+1))), "")</f>
        <v/>
      </c>
      <c r="J195" s="15">
        <f>IFERROR(IF(INDEX(輔助計算!$D:$D,(MATCH(194, 輔助計算!$E$2:$E$801, 0)+1))="","",INDEX(輔助計算!$D:$D,(MATCH(194, 輔助計算!$E$2:$E$801, 0)+1))*INDEX(ERP資料!$O:$O,(MATCH(194, 輔助計算!$E$2:$E$801, 0)+1))), "")</f>
        <v/>
      </c>
      <c r="K195" s="16" t="n"/>
      <c r="L195" s="16" t="n"/>
      <c r="M195" s="17" t="n"/>
    </row>
    <row r="196">
      <c r="A196" s="14">
        <f>IFERROR(IF(INDEX(ERP資料!$B:$B, (MATCH(195, 輔助計算!$E$2:$E$801, 0)+1))="","",INDEX(ERP資料!$B:$B, (MATCH(195, 輔助計算!$E$2:$E$801, 0)+1))), "")</f>
        <v/>
      </c>
      <c r="B196" s="10">
        <f>IFERROR(IF(INDEX(ERP資料!$A:$A, (MATCH(195, 輔助計算!$E$2:$E$801, 0)+1))="","",INDEX(ERP資料!$A:$A, (MATCH(195, 輔助計算!$E$2:$E$801, 0)+1))), "")</f>
        <v/>
      </c>
      <c r="C196" s="10">
        <f>IFERROR(IF(INDEX(ERP資料!$S:$S, (MATCH(195, 輔助計算!$E$2:$E$801, 0)+1))="","",INDEX(ERP資料!$S:$S, (MATCH(195, 輔助計算!$E$2:$E$801, 0)+1))), "")</f>
        <v/>
      </c>
      <c r="D196" s="10">
        <f>IFERROR(IF(INDEX(ERP資料!$E:$E, (MATCH(195, 輔助計算!$E$2:$E$801, 0)+1))="","",TRIM(INDEX(ERP資料!$E:$E, (MATCH(195, 輔助計算!$E$2:$E$801, 0)+1)))), "")</f>
        <v/>
      </c>
      <c r="E196" s="10">
        <f>IFERROR(IF(INDEX(ERP資料!$F:$F, (MATCH(195, 輔助計算!$E$2:$E$801, 0)+1))="","",INDEX(ERP資料!$F:$F, (MATCH(195, 輔助計算!$E$2:$E$801, 0)+1))), "")</f>
        <v/>
      </c>
      <c r="F196" s="10">
        <f>IFERROR(IF(INDEX(ERP資料!$G:$G, (MATCH(195, 輔助計算!$E$2:$E$801, 0)+1))="","",INDEX(ERP資料!$G:$G, (MATCH(195, 輔助計算!$E$2:$E$801, 0)+1))), "")</f>
        <v/>
      </c>
      <c r="G196" s="10">
        <f>IFERROR(IF(INDEX(ERP資料!$H:$H, (MATCH(195, 輔助計算!$E$2:$E$801, 0)+1))="","",INDEX(ERP資料!$H:$H, (MATCH(195, 輔助計算!$E$2:$E$801, 0)+1))), "")</f>
        <v/>
      </c>
      <c r="H196" s="15">
        <f>IFERROR(INDEX(輔助計算!$D:$D, (MATCH(195, 輔助計算!$E$2:$E$801, 0)+1)), "")</f>
        <v/>
      </c>
      <c r="I196" s="10">
        <f>IFERROR(IF(INDEX(ERP資料!$O:$O, (MATCH(195, 輔助計算!$E$2:$E$801, 0)+1))="","",INDEX(ERP資料!$O:$O, (MATCH(195, 輔助計算!$E$2:$E$801, 0)+1))), "")</f>
        <v/>
      </c>
      <c r="J196" s="15">
        <f>IFERROR(IF(INDEX(輔助計算!$D:$D,(MATCH(195, 輔助計算!$E$2:$E$801, 0)+1))="","",INDEX(輔助計算!$D:$D,(MATCH(195, 輔助計算!$E$2:$E$801, 0)+1))*INDEX(ERP資料!$O:$O,(MATCH(195, 輔助計算!$E$2:$E$801, 0)+1))), "")</f>
        <v/>
      </c>
      <c r="K196" s="16" t="n"/>
      <c r="L196" s="16" t="n"/>
      <c r="M196" s="17" t="n"/>
    </row>
    <row r="197">
      <c r="A197" s="14">
        <f>IFERROR(IF(INDEX(ERP資料!$B:$B, (MATCH(196, 輔助計算!$E$2:$E$801, 0)+1))="","",INDEX(ERP資料!$B:$B, (MATCH(196, 輔助計算!$E$2:$E$801, 0)+1))), "")</f>
        <v/>
      </c>
      <c r="B197" s="10">
        <f>IFERROR(IF(INDEX(ERP資料!$A:$A, (MATCH(196, 輔助計算!$E$2:$E$801, 0)+1))="","",INDEX(ERP資料!$A:$A, (MATCH(196, 輔助計算!$E$2:$E$801, 0)+1))), "")</f>
        <v/>
      </c>
      <c r="C197" s="10">
        <f>IFERROR(IF(INDEX(ERP資料!$S:$S, (MATCH(196, 輔助計算!$E$2:$E$801, 0)+1))="","",INDEX(ERP資料!$S:$S, (MATCH(196, 輔助計算!$E$2:$E$801, 0)+1))), "")</f>
        <v/>
      </c>
      <c r="D197" s="10">
        <f>IFERROR(IF(INDEX(ERP資料!$E:$E, (MATCH(196, 輔助計算!$E$2:$E$801, 0)+1))="","",TRIM(INDEX(ERP資料!$E:$E, (MATCH(196, 輔助計算!$E$2:$E$801, 0)+1)))), "")</f>
        <v/>
      </c>
      <c r="E197" s="10">
        <f>IFERROR(IF(INDEX(ERP資料!$F:$F, (MATCH(196, 輔助計算!$E$2:$E$801, 0)+1))="","",INDEX(ERP資料!$F:$F, (MATCH(196, 輔助計算!$E$2:$E$801, 0)+1))), "")</f>
        <v/>
      </c>
      <c r="F197" s="10">
        <f>IFERROR(IF(INDEX(ERP資料!$G:$G, (MATCH(196, 輔助計算!$E$2:$E$801, 0)+1))="","",INDEX(ERP資料!$G:$G, (MATCH(196, 輔助計算!$E$2:$E$801, 0)+1))), "")</f>
        <v/>
      </c>
      <c r="G197" s="10">
        <f>IFERROR(IF(INDEX(ERP資料!$H:$H, (MATCH(196, 輔助計算!$E$2:$E$801, 0)+1))="","",INDEX(ERP資料!$H:$H, (MATCH(196, 輔助計算!$E$2:$E$801, 0)+1))), "")</f>
        <v/>
      </c>
      <c r="H197" s="15">
        <f>IFERROR(INDEX(輔助計算!$D:$D, (MATCH(196, 輔助計算!$E$2:$E$801, 0)+1)), "")</f>
        <v/>
      </c>
      <c r="I197" s="10">
        <f>IFERROR(IF(INDEX(ERP資料!$O:$O, (MATCH(196, 輔助計算!$E$2:$E$801, 0)+1))="","",INDEX(ERP資料!$O:$O, (MATCH(196, 輔助計算!$E$2:$E$801, 0)+1))), "")</f>
        <v/>
      </c>
      <c r="J197" s="15">
        <f>IFERROR(IF(INDEX(輔助計算!$D:$D,(MATCH(196, 輔助計算!$E$2:$E$801, 0)+1))="","",INDEX(輔助計算!$D:$D,(MATCH(196, 輔助計算!$E$2:$E$801, 0)+1))*INDEX(ERP資料!$O:$O,(MATCH(196, 輔助計算!$E$2:$E$801, 0)+1))), "")</f>
        <v/>
      </c>
      <c r="K197" s="16" t="n"/>
      <c r="L197" s="16" t="n"/>
      <c r="M197" s="17" t="n"/>
    </row>
    <row r="198">
      <c r="A198" s="14">
        <f>IFERROR(IF(INDEX(ERP資料!$B:$B, (MATCH(197, 輔助計算!$E$2:$E$801, 0)+1))="","",INDEX(ERP資料!$B:$B, (MATCH(197, 輔助計算!$E$2:$E$801, 0)+1))), "")</f>
        <v/>
      </c>
      <c r="B198" s="10">
        <f>IFERROR(IF(INDEX(ERP資料!$A:$A, (MATCH(197, 輔助計算!$E$2:$E$801, 0)+1))="","",INDEX(ERP資料!$A:$A, (MATCH(197, 輔助計算!$E$2:$E$801, 0)+1))), "")</f>
        <v/>
      </c>
      <c r="C198" s="10">
        <f>IFERROR(IF(INDEX(ERP資料!$S:$S, (MATCH(197, 輔助計算!$E$2:$E$801, 0)+1))="","",INDEX(ERP資料!$S:$S, (MATCH(197, 輔助計算!$E$2:$E$801, 0)+1))), "")</f>
        <v/>
      </c>
      <c r="D198" s="10">
        <f>IFERROR(IF(INDEX(ERP資料!$E:$E, (MATCH(197, 輔助計算!$E$2:$E$801, 0)+1))="","",TRIM(INDEX(ERP資料!$E:$E, (MATCH(197, 輔助計算!$E$2:$E$801, 0)+1)))), "")</f>
        <v/>
      </c>
      <c r="E198" s="10">
        <f>IFERROR(IF(INDEX(ERP資料!$F:$F, (MATCH(197, 輔助計算!$E$2:$E$801, 0)+1))="","",INDEX(ERP資料!$F:$F, (MATCH(197, 輔助計算!$E$2:$E$801, 0)+1))), "")</f>
        <v/>
      </c>
      <c r="F198" s="10">
        <f>IFERROR(IF(INDEX(ERP資料!$G:$G, (MATCH(197, 輔助計算!$E$2:$E$801, 0)+1))="","",INDEX(ERP資料!$G:$G, (MATCH(197, 輔助計算!$E$2:$E$801, 0)+1))), "")</f>
        <v/>
      </c>
      <c r="G198" s="10">
        <f>IFERROR(IF(INDEX(ERP資料!$H:$H, (MATCH(197, 輔助計算!$E$2:$E$801, 0)+1))="","",INDEX(ERP資料!$H:$H, (MATCH(197, 輔助計算!$E$2:$E$801, 0)+1))), "")</f>
        <v/>
      </c>
      <c r="H198" s="15">
        <f>IFERROR(INDEX(輔助計算!$D:$D, (MATCH(197, 輔助計算!$E$2:$E$801, 0)+1)), "")</f>
        <v/>
      </c>
      <c r="I198" s="10">
        <f>IFERROR(IF(INDEX(ERP資料!$O:$O, (MATCH(197, 輔助計算!$E$2:$E$801, 0)+1))="","",INDEX(ERP資料!$O:$O, (MATCH(197, 輔助計算!$E$2:$E$801, 0)+1))), "")</f>
        <v/>
      </c>
      <c r="J198" s="15">
        <f>IFERROR(IF(INDEX(輔助計算!$D:$D,(MATCH(197, 輔助計算!$E$2:$E$801, 0)+1))="","",INDEX(輔助計算!$D:$D,(MATCH(197, 輔助計算!$E$2:$E$801, 0)+1))*INDEX(ERP資料!$O:$O,(MATCH(197, 輔助計算!$E$2:$E$801, 0)+1))), "")</f>
        <v/>
      </c>
      <c r="K198" s="16" t="n"/>
      <c r="L198" s="16" t="n"/>
      <c r="M198" s="17" t="n"/>
    </row>
    <row r="199">
      <c r="A199" s="14">
        <f>IFERROR(IF(INDEX(ERP資料!$B:$B, (MATCH(198, 輔助計算!$E$2:$E$801, 0)+1))="","",INDEX(ERP資料!$B:$B, (MATCH(198, 輔助計算!$E$2:$E$801, 0)+1))), "")</f>
        <v/>
      </c>
      <c r="B199" s="10">
        <f>IFERROR(IF(INDEX(ERP資料!$A:$A, (MATCH(198, 輔助計算!$E$2:$E$801, 0)+1))="","",INDEX(ERP資料!$A:$A, (MATCH(198, 輔助計算!$E$2:$E$801, 0)+1))), "")</f>
        <v/>
      </c>
      <c r="C199" s="10">
        <f>IFERROR(IF(INDEX(ERP資料!$S:$S, (MATCH(198, 輔助計算!$E$2:$E$801, 0)+1))="","",INDEX(ERP資料!$S:$S, (MATCH(198, 輔助計算!$E$2:$E$801, 0)+1))), "")</f>
        <v/>
      </c>
      <c r="D199" s="10">
        <f>IFERROR(IF(INDEX(ERP資料!$E:$E, (MATCH(198, 輔助計算!$E$2:$E$801, 0)+1))="","",TRIM(INDEX(ERP資料!$E:$E, (MATCH(198, 輔助計算!$E$2:$E$801, 0)+1)))), "")</f>
        <v/>
      </c>
      <c r="E199" s="10">
        <f>IFERROR(IF(INDEX(ERP資料!$F:$F, (MATCH(198, 輔助計算!$E$2:$E$801, 0)+1))="","",INDEX(ERP資料!$F:$F, (MATCH(198, 輔助計算!$E$2:$E$801, 0)+1))), "")</f>
        <v/>
      </c>
      <c r="F199" s="10">
        <f>IFERROR(IF(INDEX(ERP資料!$G:$G, (MATCH(198, 輔助計算!$E$2:$E$801, 0)+1))="","",INDEX(ERP資料!$G:$G, (MATCH(198, 輔助計算!$E$2:$E$801, 0)+1))), "")</f>
        <v/>
      </c>
      <c r="G199" s="10">
        <f>IFERROR(IF(INDEX(ERP資料!$H:$H, (MATCH(198, 輔助計算!$E$2:$E$801, 0)+1))="","",INDEX(ERP資料!$H:$H, (MATCH(198, 輔助計算!$E$2:$E$801, 0)+1))), "")</f>
        <v/>
      </c>
      <c r="H199" s="15">
        <f>IFERROR(INDEX(輔助計算!$D:$D, (MATCH(198, 輔助計算!$E$2:$E$801, 0)+1)), "")</f>
        <v/>
      </c>
      <c r="I199" s="10">
        <f>IFERROR(IF(INDEX(ERP資料!$O:$O, (MATCH(198, 輔助計算!$E$2:$E$801, 0)+1))="","",INDEX(ERP資料!$O:$O, (MATCH(198, 輔助計算!$E$2:$E$801, 0)+1))), "")</f>
        <v/>
      </c>
      <c r="J199" s="15">
        <f>IFERROR(IF(INDEX(輔助計算!$D:$D,(MATCH(198, 輔助計算!$E$2:$E$801, 0)+1))="","",INDEX(輔助計算!$D:$D,(MATCH(198, 輔助計算!$E$2:$E$801, 0)+1))*INDEX(ERP資料!$O:$O,(MATCH(198, 輔助計算!$E$2:$E$801, 0)+1))), "")</f>
        <v/>
      </c>
      <c r="K199" s="16" t="n"/>
      <c r="L199" s="16" t="n"/>
      <c r="M199" s="17" t="n"/>
    </row>
    <row r="200">
      <c r="A200" s="14">
        <f>IFERROR(IF(INDEX(ERP資料!$B:$B, (MATCH(199, 輔助計算!$E$2:$E$801, 0)+1))="","",INDEX(ERP資料!$B:$B, (MATCH(199, 輔助計算!$E$2:$E$801, 0)+1))), "")</f>
        <v/>
      </c>
      <c r="B200" s="10">
        <f>IFERROR(IF(INDEX(ERP資料!$A:$A, (MATCH(199, 輔助計算!$E$2:$E$801, 0)+1))="","",INDEX(ERP資料!$A:$A, (MATCH(199, 輔助計算!$E$2:$E$801, 0)+1))), "")</f>
        <v/>
      </c>
      <c r="C200" s="10">
        <f>IFERROR(IF(INDEX(ERP資料!$S:$S, (MATCH(199, 輔助計算!$E$2:$E$801, 0)+1))="","",INDEX(ERP資料!$S:$S, (MATCH(199, 輔助計算!$E$2:$E$801, 0)+1))), "")</f>
        <v/>
      </c>
      <c r="D200" s="10">
        <f>IFERROR(IF(INDEX(ERP資料!$E:$E, (MATCH(199, 輔助計算!$E$2:$E$801, 0)+1))="","",TRIM(INDEX(ERP資料!$E:$E, (MATCH(199, 輔助計算!$E$2:$E$801, 0)+1)))), "")</f>
        <v/>
      </c>
      <c r="E200" s="10">
        <f>IFERROR(IF(INDEX(ERP資料!$F:$F, (MATCH(199, 輔助計算!$E$2:$E$801, 0)+1))="","",INDEX(ERP資料!$F:$F, (MATCH(199, 輔助計算!$E$2:$E$801, 0)+1))), "")</f>
        <v/>
      </c>
      <c r="F200" s="10">
        <f>IFERROR(IF(INDEX(ERP資料!$G:$G, (MATCH(199, 輔助計算!$E$2:$E$801, 0)+1))="","",INDEX(ERP資料!$G:$G, (MATCH(199, 輔助計算!$E$2:$E$801, 0)+1))), "")</f>
        <v/>
      </c>
      <c r="G200" s="10">
        <f>IFERROR(IF(INDEX(ERP資料!$H:$H, (MATCH(199, 輔助計算!$E$2:$E$801, 0)+1))="","",INDEX(ERP資料!$H:$H, (MATCH(199, 輔助計算!$E$2:$E$801, 0)+1))), "")</f>
        <v/>
      </c>
      <c r="H200" s="15">
        <f>IFERROR(INDEX(輔助計算!$D:$D, (MATCH(199, 輔助計算!$E$2:$E$801, 0)+1)), "")</f>
        <v/>
      </c>
      <c r="I200" s="10">
        <f>IFERROR(IF(INDEX(ERP資料!$O:$O, (MATCH(199, 輔助計算!$E$2:$E$801, 0)+1))="","",INDEX(ERP資料!$O:$O, (MATCH(199, 輔助計算!$E$2:$E$801, 0)+1))), "")</f>
        <v/>
      </c>
      <c r="J200" s="15">
        <f>IFERROR(IF(INDEX(輔助計算!$D:$D,(MATCH(199, 輔助計算!$E$2:$E$801, 0)+1))="","",INDEX(輔助計算!$D:$D,(MATCH(199, 輔助計算!$E$2:$E$801, 0)+1))*INDEX(ERP資料!$O:$O,(MATCH(199, 輔助計算!$E$2:$E$801, 0)+1))), "")</f>
        <v/>
      </c>
      <c r="K200" s="16" t="n"/>
      <c r="L200" s="16" t="n"/>
      <c r="M200" s="17" t="n"/>
    </row>
    <row r="201">
      <c r="A201" s="14">
        <f>IFERROR(IF(INDEX(ERP資料!$B:$B, (MATCH(200, 輔助計算!$E$2:$E$801, 0)+1))="","",INDEX(ERP資料!$B:$B, (MATCH(200, 輔助計算!$E$2:$E$801, 0)+1))), "")</f>
        <v/>
      </c>
      <c r="B201" s="10">
        <f>IFERROR(IF(INDEX(ERP資料!$A:$A, (MATCH(200, 輔助計算!$E$2:$E$801, 0)+1))="","",INDEX(ERP資料!$A:$A, (MATCH(200, 輔助計算!$E$2:$E$801, 0)+1))), "")</f>
        <v/>
      </c>
      <c r="C201" s="10">
        <f>IFERROR(IF(INDEX(ERP資料!$S:$S, (MATCH(200, 輔助計算!$E$2:$E$801, 0)+1))="","",INDEX(ERP資料!$S:$S, (MATCH(200, 輔助計算!$E$2:$E$801, 0)+1))), "")</f>
        <v/>
      </c>
      <c r="D201" s="10">
        <f>IFERROR(IF(INDEX(ERP資料!$E:$E, (MATCH(200, 輔助計算!$E$2:$E$801, 0)+1))="","",TRIM(INDEX(ERP資料!$E:$E, (MATCH(200, 輔助計算!$E$2:$E$801, 0)+1)))), "")</f>
        <v/>
      </c>
      <c r="E201" s="10">
        <f>IFERROR(IF(INDEX(ERP資料!$F:$F, (MATCH(200, 輔助計算!$E$2:$E$801, 0)+1))="","",INDEX(ERP資料!$F:$F, (MATCH(200, 輔助計算!$E$2:$E$801, 0)+1))), "")</f>
        <v/>
      </c>
      <c r="F201" s="10">
        <f>IFERROR(IF(INDEX(ERP資料!$G:$G, (MATCH(200, 輔助計算!$E$2:$E$801, 0)+1))="","",INDEX(ERP資料!$G:$G, (MATCH(200, 輔助計算!$E$2:$E$801, 0)+1))), "")</f>
        <v/>
      </c>
      <c r="G201" s="10">
        <f>IFERROR(IF(INDEX(ERP資料!$H:$H, (MATCH(200, 輔助計算!$E$2:$E$801, 0)+1))="","",INDEX(ERP資料!$H:$H, (MATCH(200, 輔助計算!$E$2:$E$801, 0)+1))), "")</f>
        <v/>
      </c>
      <c r="H201" s="15">
        <f>IFERROR(INDEX(輔助計算!$D:$D, (MATCH(200, 輔助計算!$E$2:$E$801, 0)+1)), "")</f>
        <v/>
      </c>
      <c r="I201" s="10">
        <f>IFERROR(IF(INDEX(ERP資料!$O:$O, (MATCH(200, 輔助計算!$E$2:$E$801, 0)+1))="","",INDEX(ERP資料!$O:$O, (MATCH(200, 輔助計算!$E$2:$E$801, 0)+1))), "")</f>
        <v/>
      </c>
      <c r="J201" s="15">
        <f>IFERROR(IF(INDEX(輔助計算!$D:$D,(MATCH(200, 輔助計算!$E$2:$E$801, 0)+1))="","",INDEX(輔助計算!$D:$D,(MATCH(200, 輔助計算!$E$2:$E$801, 0)+1))*INDEX(ERP資料!$O:$O,(MATCH(200, 輔助計算!$E$2:$E$801, 0)+1))), "")</f>
        <v/>
      </c>
      <c r="K201" s="16" t="n"/>
      <c r="L201" s="16" t="n"/>
      <c r="M201" s="17" t="n"/>
    </row>
    <row r="202">
      <c r="A202" s="14">
        <f>IFERROR(IF(INDEX(ERP資料!$B:$B, (MATCH(201, 輔助計算!$E$2:$E$801, 0)+1))="","",INDEX(ERP資料!$B:$B, (MATCH(201, 輔助計算!$E$2:$E$801, 0)+1))), "")</f>
        <v/>
      </c>
      <c r="B202" s="10">
        <f>IFERROR(IF(INDEX(ERP資料!$A:$A, (MATCH(201, 輔助計算!$E$2:$E$801, 0)+1))="","",INDEX(ERP資料!$A:$A, (MATCH(201, 輔助計算!$E$2:$E$801, 0)+1))), "")</f>
        <v/>
      </c>
      <c r="C202" s="10">
        <f>IFERROR(IF(INDEX(ERP資料!$S:$S, (MATCH(201, 輔助計算!$E$2:$E$801, 0)+1))="","",INDEX(ERP資料!$S:$S, (MATCH(201, 輔助計算!$E$2:$E$801, 0)+1))), "")</f>
        <v/>
      </c>
      <c r="D202" s="10">
        <f>IFERROR(IF(INDEX(ERP資料!$E:$E, (MATCH(201, 輔助計算!$E$2:$E$801, 0)+1))="","",TRIM(INDEX(ERP資料!$E:$E, (MATCH(201, 輔助計算!$E$2:$E$801, 0)+1)))), "")</f>
        <v/>
      </c>
      <c r="E202" s="10">
        <f>IFERROR(IF(INDEX(ERP資料!$F:$F, (MATCH(201, 輔助計算!$E$2:$E$801, 0)+1))="","",INDEX(ERP資料!$F:$F, (MATCH(201, 輔助計算!$E$2:$E$801, 0)+1))), "")</f>
        <v/>
      </c>
      <c r="F202" s="10">
        <f>IFERROR(IF(INDEX(ERP資料!$G:$G, (MATCH(201, 輔助計算!$E$2:$E$801, 0)+1))="","",INDEX(ERP資料!$G:$G, (MATCH(201, 輔助計算!$E$2:$E$801, 0)+1))), "")</f>
        <v/>
      </c>
      <c r="G202" s="10">
        <f>IFERROR(IF(INDEX(ERP資料!$H:$H, (MATCH(201, 輔助計算!$E$2:$E$801, 0)+1))="","",INDEX(ERP資料!$H:$H, (MATCH(201, 輔助計算!$E$2:$E$801, 0)+1))), "")</f>
        <v/>
      </c>
      <c r="H202" s="15">
        <f>IFERROR(INDEX(輔助計算!$D:$D, (MATCH(201, 輔助計算!$E$2:$E$801, 0)+1)), "")</f>
        <v/>
      </c>
      <c r="I202" s="10">
        <f>IFERROR(IF(INDEX(ERP資料!$O:$O, (MATCH(201, 輔助計算!$E$2:$E$801, 0)+1))="","",INDEX(ERP資料!$O:$O, (MATCH(201, 輔助計算!$E$2:$E$801, 0)+1))), "")</f>
        <v/>
      </c>
      <c r="J202" s="15">
        <f>IFERROR(IF(INDEX(輔助計算!$D:$D,(MATCH(201, 輔助計算!$E$2:$E$801, 0)+1))="","",INDEX(輔助計算!$D:$D,(MATCH(201, 輔助計算!$E$2:$E$801, 0)+1))*INDEX(ERP資料!$O:$O,(MATCH(201, 輔助計算!$E$2:$E$801, 0)+1))), "")</f>
        <v/>
      </c>
      <c r="K202" s="16" t="n"/>
      <c r="L202" s="16" t="n"/>
      <c r="M202" s="17" t="n"/>
    </row>
    <row r="203">
      <c r="A203" s="14">
        <f>IFERROR(IF(INDEX(ERP資料!$B:$B, (MATCH(202, 輔助計算!$E$2:$E$801, 0)+1))="","",INDEX(ERP資料!$B:$B, (MATCH(202, 輔助計算!$E$2:$E$801, 0)+1))), "")</f>
        <v/>
      </c>
      <c r="B203" s="10">
        <f>IFERROR(IF(INDEX(ERP資料!$A:$A, (MATCH(202, 輔助計算!$E$2:$E$801, 0)+1))="","",INDEX(ERP資料!$A:$A, (MATCH(202, 輔助計算!$E$2:$E$801, 0)+1))), "")</f>
        <v/>
      </c>
      <c r="C203" s="10">
        <f>IFERROR(IF(INDEX(ERP資料!$S:$S, (MATCH(202, 輔助計算!$E$2:$E$801, 0)+1))="","",INDEX(ERP資料!$S:$S, (MATCH(202, 輔助計算!$E$2:$E$801, 0)+1))), "")</f>
        <v/>
      </c>
      <c r="D203" s="10">
        <f>IFERROR(IF(INDEX(ERP資料!$E:$E, (MATCH(202, 輔助計算!$E$2:$E$801, 0)+1))="","",TRIM(INDEX(ERP資料!$E:$E, (MATCH(202, 輔助計算!$E$2:$E$801, 0)+1)))), "")</f>
        <v/>
      </c>
      <c r="E203" s="10">
        <f>IFERROR(IF(INDEX(ERP資料!$F:$F, (MATCH(202, 輔助計算!$E$2:$E$801, 0)+1))="","",INDEX(ERP資料!$F:$F, (MATCH(202, 輔助計算!$E$2:$E$801, 0)+1))), "")</f>
        <v/>
      </c>
      <c r="F203" s="10">
        <f>IFERROR(IF(INDEX(ERP資料!$G:$G, (MATCH(202, 輔助計算!$E$2:$E$801, 0)+1))="","",INDEX(ERP資料!$G:$G, (MATCH(202, 輔助計算!$E$2:$E$801, 0)+1))), "")</f>
        <v/>
      </c>
      <c r="G203" s="10">
        <f>IFERROR(IF(INDEX(ERP資料!$H:$H, (MATCH(202, 輔助計算!$E$2:$E$801, 0)+1))="","",INDEX(ERP資料!$H:$H, (MATCH(202, 輔助計算!$E$2:$E$801, 0)+1))), "")</f>
        <v/>
      </c>
      <c r="H203" s="15">
        <f>IFERROR(INDEX(輔助計算!$D:$D, (MATCH(202, 輔助計算!$E$2:$E$801, 0)+1)), "")</f>
        <v/>
      </c>
      <c r="I203" s="10">
        <f>IFERROR(IF(INDEX(ERP資料!$O:$O, (MATCH(202, 輔助計算!$E$2:$E$801, 0)+1))="","",INDEX(ERP資料!$O:$O, (MATCH(202, 輔助計算!$E$2:$E$801, 0)+1))), "")</f>
        <v/>
      </c>
      <c r="J203" s="15">
        <f>IFERROR(IF(INDEX(輔助計算!$D:$D,(MATCH(202, 輔助計算!$E$2:$E$801, 0)+1))="","",INDEX(輔助計算!$D:$D,(MATCH(202, 輔助計算!$E$2:$E$801, 0)+1))*INDEX(ERP資料!$O:$O,(MATCH(202, 輔助計算!$E$2:$E$801, 0)+1))), "")</f>
        <v/>
      </c>
      <c r="K203" s="16" t="n"/>
      <c r="L203" s="16" t="n"/>
      <c r="M203" s="17" t="n"/>
    </row>
    <row r="204">
      <c r="A204" s="14">
        <f>IFERROR(IF(INDEX(ERP資料!$B:$B, (MATCH(203, 輔助計算!$E$2:$E$801, 0)+1))="","",INDEX(ERP資料!$B:$B, (MATCH(203, 輔助計算!$E$2:$E$801, 0)+1))), "")</f>
        <v/>
      </c>
      <c r="B204" s="10">
        <f>IFERROR(IF(INDEX(ERP資料!$A:$A, (MATCH(203, 輔助計算!$E$2:$E$801, 0)+1))="","",INDEX(ERP資料!$A:$A, (MATCH(203, 輔助計算!$E$2:$E$801, 0)+1))), "")</f>
        <v/>
      </c>
      <c r="C204" s="10">
        <f>IFERROR(IF(INDEX(ERP資料!$S:$S, (MATCH(203, 輔助計算!$E$2:$E$801, 0)+1))="","",INDEX(ERP資料!$S:$S, (MATCH(203, 輔助計算!$E$2:$E$801, 0)+1))), "")</f>
        <v/>
      </c>
      <c r="D204" s="10">
        <f>IFERROR(IF(INDEX(ERP資料!$E:$E, (MATCH(203, 輔助計算!$E$2:$E$801, 0)+1))="","",TRIM(INDEX(ERP資料!$E:$E, (MATCH(203, 輔助計算!$E$2:$E$801, 0)+1)))), "")</f>
        <v/>
      </c>
      <c r="E204" s="10">
        <f>IFERROR(IF(INDEX(ERP資料!$F:$F, (MATCH(203, 輔助計算!$E$2:$E$801, 0)+1))="","",INDEX(ERP資料!$F:$F, (MATCH(203, 輔助計算!$E$2:$E$801, 0)+1))), "")</f>
        <v/>
      </c>
      <c r="F204" s="10">
        <f>IFERROR(IF(INDEX(ERP資料!$G:$G, (MATCH(203, 輔助計算!$E$2:$E$801, 0)+1))="","",INDEX(ERP資料!$G:$G, (MATCH(203, 輔助計算!$E$2:$E$801, 0)+1))), "")</f>
        <v/>
      </c>
      <c r="G204" s="10">
        <f>IFERROR(IF(INDEX(ERP資料!$H:$H, (MATCH(203, 輔助計算!$E$2:$E$801, 0)+1))="","",INDEX(ERP資料!$H:$H, (MATCH(203, 輔助計算!$E$2:$E$801, 0)+1))), "")</f>
        <v/>
      </c>
      <c r="H204" s="15">
        <f>IFERROR(INDEX(輔助計算!$D:$D, (MATCH(203, 輔助計算!$E$2:$E$801, 0)+1)), "")</f>
        <v/>
      </c>
      <c r="I204" s="10">
        <f>IFERROR(IF(INDEX(ERP資料!$O:$O, (MATCH(203, 輔助計算!$E$2:$E$801, 0)+1))="","",INDEX(ERP資料!$O:$O, (MATCH(203, 輔助計算!$E$2:$E$801, 0)+1))), "")</f>
        <v/>
      </c>
      <c r="J204" s="15">
        <f>IFERROR(IF(INDEX(輔助計算!$D:$D,(MATCH(203, 輔助計算!$E$2:$E$801, 0)+1))="","",INDEX(輔助計算!$D:$D,(MATCH(203, 輔助計算!$E$2:$E$801, 0)+1))*INDEX(ERP資料!$O:$O,(MATCH(203, 輔助計算!$E$2:$E$801, 0)+1))), "")</f>
        <v/>
      </c>
      <c r="K204" s="16" t="n"/>
      <c r="L204" s="16" t="n"/>
      <c r="M204" s="17" t="n"/>
    </row>
    <row r="205">
      <c r="A205" s="14">
        <f>IFERROR(IF(INDEX(ERP資料!$B:$B, (MATCH(204, 輔助計算!$E$2:$E$801, 0)+1))="","",INDEX(ERP資料!$B:$B, (MATCH(204, 輔助計算!$E$2:$E$801, 0)+1))), "")</f>
        <v/>
      </c>
      <c r="B205" s="10">
        <f>IFERROR(IF(INDEX(ERP資料!$A:$A, (MATCH(204, 輔助計算!$E$2:$E$801, 0)+1))="","",INDEX(ERP資料!$A:$A, (MATCH(204, 輔助計算!$E$2:$E$801, 0)+1))), "")</f>
        <v/>
      </c>
      <c r="C205" s="10">
        <f>IFERROR(IF(INDEX(ERP資料!$S:$S, (MATCH(204, 輔助計算!$E$2:$E$801, 0)+1))="","",INDEX(ERP資料!$S:$S, (MATCH(204, 輔助計算!$E$2:$E$801, 0)+1))), "")</f>
        <v/>
      </c>
      <c r="D205" s="10">
        <f>IFERROR(IF(INDEX(ERP資料!$E:$E, (MATCH(204, 輔助計算!$E$2:$E$801, 0)+1))="","",TRIM(INDEX(ERP資料!$E:$E, (MATCH(204, 輔助計算!$E$2:$E$801, 0)+1)))), "")</f>
        <v/>
      </c>
      <c r="E205" s="10">
        <f>IFERROR(IF(INDEX(ERP資料!$F:$F, (MATCH(204, 輔助計算!$E$2:$E$801, 0)+1))="","",INDEX(ERP資料!$F:$F, (MATCH(204, 輔助計算!$E$2:$E$801, 0)+1))), "")</f>
        <v/>
      </c>
      <c r="F205" s="10">
        <f>IFERROR(IF(INDEX(ERP資料!$G:$G, (MATCH(204, 輔助計算!$E$2:$E$801, 0)+1))="","",INDEX(ERP資料!$G:$G, (MATCH(204, 輔助計算!$E$2:$E$801, 0)+1))), "")</f>
        <v/>
      </c>
      <c r="G205" s="10">
        <f>IFERROR(IF(INDEX(ERP資料!$H:$H, (MATCH(204, 輔助計算!$E$2:$E$801, 0)+1))="","",INDEX(ERP資料!$H:$H, (MATCH(204, 輔助計算!$E$2:$E$801, 0)+1))), "")</f>
        <v/>
      </c>
      <c r="H205" s="15">
        <f>IFERROR(INDEX(輔助計算!$D:$D, (MATCH(204, 輔助計算!$E$2:$E$801, 0)+1)), "")</f>
        <v/>
      </c>
      <c r="I205" s="10">
        <f>IFERROR(IF(INDEX(ERP資料!$O:$O, (MATCH(204, 輔助計算!$E$2:$E$801, 0)+1))="","",INDEX(ERP資料!$O:$O, (MATCH(204, 輔助計算!$E$2:$E$801, 0)+1))), "")</f>
        <v/>
      </c>
      <c r="J205" s="15">
        <f>IFERROR(IF(INDEX(輔助計算!$D:$D,(MATCH(204, 輔助計算!$E$2:$E$801, 0)+1))="","",INDEX(輔助計算!$D:$D,(MATCH(204, 輔助計算!$E$2:$E$801, 0)+1))*INDEX(ERP資料!$O:$O,(MATCH(204, 輔助計算!$E$2:$E$801, 0)+1))), "")</f>
        <v/>
      </c>
      <c r="K205" s="16" t="n"/>
      <c r="L205" s="16" t="n"/>
      <c r="M205" s="17" t="n"/>
    </row>
    <row r="206">
      <c r="A206" s="14">
        <f>IFERROR(IF(INDEX(ERP資料!$B:$B, (MATCH(205, 輔助計算!$E$2:$E$801, 0)+1))="","",INDEX(ERP資料!$B:$B, (MATCH(205, 輔助計算!$E$2:$E$801, 0)+1))), "")</f>
        <v/>
      </c>
      <c r="B206" s="10">
        <f>IFERROR(IF(INDEX(ERP資料!$A:$A, (MATCH(205, 輔助計算!$E$2:$E$801, 0)+1))="","",INDEX(ERP資料!$A:$A, (MATCH(205, 輔助計算!$E$2:$E$801, 0)+1))), "")</f>
        <v/>
      </c>
      <c r="C206" s="10">
        <f>IFERROR(IF(INDEX(ERP資料!$S:$S, (MATCH(205, 輔助計算!$E$2:$E$801, 0)+1))="","",INDEX(ERP資料!$S:$S, (MATCH(205, 輔助計算!$E$2:$E$801, 0)+1))), "")</f>
        <v/>
      </c>
      <c r="D206" s="10">
        <f>IFERROR(IF(INDEX(ERP資料!$E:$E, (MATCH(205, 輔助計算!$E$2:$E$801, 0)+1))="","",TRIM(INDEX(ERP資料!$E:$E, (MATCH(205, 輔助計算!$E$2:$E$801, 0)+1)))), "")</f>
        <v/>
      </c>
      <c r="E206" s="10">
        <f>IFERROR(IF(INDEX(ERP資料!$F:$F, (MATCH(205, 輔助計算!$E$2:$E$801, 0)+1))="","",INDEX(ERP資料!$F:$F, (MATCH(205, 輔助計算!$E$2:$E$801, 0)+1))), "")</f>
        <v/>
      </c>
      <c r="F206" s="10">
        <f>IFERROR(IF(INDEX(ERP資料!$G:$G, (MATCH(205, 輔助計算!$E$2:$E$801, 0)+1))="","",INDEX(ERP資料!$G:$G, (MATCH(205, 輔助計算!$E$2:$E$801, 0)+1))), "")</f>
        <v/>
      </c>
      <c r="G206" s="10">
        <f>IFERROR(IF(INDEX(ERP資料!$H:$H, (MATCH(205, 輔助計算!$E$2:$E$801, 0)+1))="","",INDEX(ERP資料!$H:$H, (MATCH(205, 輔助計算!$E$2:$E$801, 0)+1))), "")</f>
        <v/>
      </c>
      <c r="H206" s="15">
        <f>IFERROR(INDEX(輔助計算!$D:$D, (MATCH(205, 輔助計算!$E$2:$E$801, 0)+1)), "")</f>
        <v/>
      </c>
      <c r="I206" s="10">
        <f>IFERROR(IF(INDEX(ERP資料!$O:$O, (MATCH(205, 輔助計算!$E$2:$E$801, 0)+1))="","",INDEX(ERP資料!$O:$O, (MATCH(205, 輔助計算!$E$2:$E$801, 0)+1))), "")</f>
        <v/>
      </c>
      <c r="J206" s="15">
        <f>IFERROR(IF(INDEX(輔助計算!$D:$D,(MATCH(205, 輔助計算!$E$2:$E$801, 0)+1))="","",INDEX(輔助計算!$D:$D,(MATCH(205, 輔助計算!$E$2:$E$801, 0)+1))*INDEX(ERP資料!$O:$O,(MATCH(205, 輔助計算!$E$2:$E$801, 0)+1))), "")</f>
        <v/>
      </c>
      <c r="K206" s="16" t="n"/>
      <c r="L206" s="16" t="n"/>
      <c r="M206" s="17" t="n"/>
    </row>
    <row r="207">
      <c r="A207" s="14">
        <f>IFERROR(IF(INDEX(ERP資料!$B:$B, (MATCH(206, 輔助計算!$E$2:$E$801, 0)+1))="","",INDEX(ERP資料!$B:$B, (MATCH(206, 輔助計算!$E$2:$E$801, 0)+1))), "")</f>
        <v/>
      </c>
      <c r="B207" s="10">
        <f>IFERROR(IF(INDEX(ERP資料!$A:$A, (MATCH(206, 輔助計算!$E$2:$E$801, 0)+1))="","",INDEX(ERP資料!$A:$A, (MATCH(206, 輔助計算!$E$2:$E$801, 0)+1))), "")</f>
        <v/>
      </c>
      <c r="C207" s="10">
        <f>IFERROR(IF(INDEX(ERP資料!$S:$S, (MATCH(206, 輔助計算!$E$2:$E$801, 0)+1))="","",INDEX(ERP資料!$S:$S, (MATCH(206, 輔助計算!$E$2:$E$801, 0)+1))), "")</f>
        <v/>
      </c>
      <c r="D207" s="10">
        <f>IFERROR(IF(INDEX(ERP資料!$E:$E, (MATCH(206, 輔助計算!$E$2:$E$801, 0)+1))="","",TRIM(INDEX(ERP資料!$E:$E, (MATCH(206, 輔助計算!$E$2:$E$801, 0)+1)))), "")</f>
        <v/>
      </c>
      <c r="E207" s="10">
        <f>IFERROR(IF(INDEX(ERP資料!$F:$F, (MATCH(206, 輔助計算!$E$2:$E$801, 0)+1))="","",INDEX(ERP資料!$F:$F, (MATCH(206, 輔助計算!$E$2:$E$801, 0)+1))), "")</f>
        <v/>
      </c>
      <c r="F207" s="10">
        <f>IFERROR(IF(INDEX(ERP資料!$G:$G, (MATCH(206, 輔助計算!$E$2:$E$801, 0)+1))="","",INDEX(ERP資料!$G:$G, (MATCH(206, 輔助計算!$E$2:$E$801, 0)+1))), "")</f>
        <v/>
      </c>
      <c r="G207" s="10">
        <f>IFERROR(IF(INDEX(ERP資料!$H:$H, (MATCH(206, 輔助計算!$E$2:$E$801, 0)+1))="","",INDEX(ERP資料!$H:$H, (MATCH(206, 輔助計算!$E$2:$E$801, 0)+1))), "")</f>
        <v/>
      </c>
      <c r="H207" s="15">
        <f>IFERROR(INDEX(輔助計算!$D:$D, (MATCH(206, 輔助計算!$E$2:$E$801, 0)+1)), "")</f>
        <v/>
      </c>
      <c r="I207" s="10">
        <f>IFERROR(IF(INDEX(ERP資料!$O:$O, (MATCH(206, 輔助計算!$E$2:$E$801, 0)+1))="","",INDEX(ERP資料!$O:$O, (MATCH(206, 輔助計算!$E$2:$E$801, 0)+1))), "")</f>
        <v/>
      </c>
      <c r="J207" s="15">
        <f>IFERROR(IF(INDEX(輔助計算!$D:$D,(MATCH(206, 輔助計算!$E$2:$E$801, 0)+1))="","",INDEX(輔助計算!$D:$D,(MATCH(206, 輔助計算!$E$2:$E$801, 0)+1))*INDEX(ERP資料!$O:$O,(MATCH(206, 輔助計算!$E$2:$E$801, 0)+1))), "")</f>
        <v/>
      </c>
      <c r="K207" s="16" t="n"/>
      <c r="L207" s="16" t="n"/>
      <c r="M207" s="17" t="n"/>
    </row>
    <row r="208">
      <c r="A208" s="14">
        <f>IFERROR(IF(INDEX(ERP資料!$B:$B, (MATCH(207, 輔助計算!$E$2:$E$801, 0)+1))="","",INDEX(ERP資料!$B:$B, (MATCH(207, 輔助計算!$E$2:$E$801, 0)+1))), "")</f>
        <v/>
      </c>
      <c r="B208" s="10">
        <f>IFERROR(IF(INDEX(ERP資料!$A:$A, (MATCH(207, 輔助計算!$E$2:$E$801, 0)+1))="","",INDEX(ERP資料!$A:$A, (MATCH(207, 輔助計算!$E$2:$E$801, 0)+1))), "")</f>
        <v/>
      </c>
      <c r="C208" s="10">
        <f>IFERROR(IF(INDEX(ERP資料!$S:$S, (MATCH(207, 輔助計算!$E$2:$E$801, 0)+1))="","",INDEX(ERP資料!$S:$S, (MATCH(207, 輔助計算!$E$2:$E$801, 0)+1))), "")</f>
        <v/>
      </c>
      <c r="D208" s="10">
        <f>IFERROR(IF(INDEX(ERP資料!$E:$E, (MATCH(207, 輔助計算!$E$2:$E$801, 0)+1))="","",TRIM(INDEX(ERP資料!$E:$E, (MATCH(207, 輔助計算!$E$2:$E$801, 0)+1)))), "")</f>
        <v/>
      </c>
      <c r="E208" s="10">
        <f>IFERROR(IF(INDEX(ERP資料!$F:$F, (MATCH(207, 輔助計算!$E$2:$E$801, 0)+1))="","",INDEX(ERP資料!$F:$F, (MATCH(207, 輔助計算!$E$2:$E$801, 0)+1))), "")</f>
        <v/>
      </c>
      <c r="F208" s="10">
        <f>IFERROR(IF(INDEX(ERP資料!$G:$G, (MATCH(207, 輔助計算!$E$2:$E$801, 0)+1))="","",INDEX(ERP資料!$G:$G, (MATCH(207, 輔助計算!$E$2:$E$801, 0)+1))), "")</f>
        <v/>
      </c>
      <c r="G208" s="10">
        <f>IFERROR(IF(INDEX(ERP資料!$H:$H, (MATCH(207, 輔助計算!$E$2:$E$801, 0)+1))="","",INDEX(ERP資料!$H:$H, (MATCH(207, 輔助計算!$E$2:$E$801, 0)+1))), "")</f>
        <v/>
      </c>
      <c r="H208" s="15">
        <f>IFERROR(INDEX(輔助計算!$D:$D, (MATCH(207, 輔助計算!$E$2:$E$801, 0)+1)), "")</f>
        <v/>
      </c>
      <c r="I208" s="10">
        <f>IFERROR(IF(INDEX(ERP資料!$O:$O, (MATCH(207, 輔助計算!$E$2:$E$801, 0)+1))="","",INDEX(ERP資料!$O:$O, (MATCH(207, 輔助計算!$E$2:$E$801, 0)+1))), "")</f>
        <v/>
      </c>
      <c r="J208" s="15">
        <f>IFERROR(IF(INDEX(輔助計算!$D:$D,(MATCH(207, 輔助計算!$E$2:$E$801, 0)+1))="","",INDEX(輔助計算!$D:$D,(MATCH(207, 輔助計算!$E$2:$E$801, 0)+1))*INDEX(ERP資料!$O:$O,(MATCH(207, 輔助計算!$E$2:$E$801, 0)+1))), "")</f>
        <v/>
      </c>
      <c r="K208" s="16" t="n"/>
      <c r="L208" s="16" t="n"/>
      <c r="M208" s="17" t="n"/>
    </row>
    <row r="209">
      <c r="A209" s="14">
        <f>IFERROR(IF(INDEX(ERP資料!$B:$B, (MATCH(208, 輔助計算!$E$2:$E$801, 0)+1))="","",INDEX(ERP資料!$B:$B, (MATCH(208, 輔助計算!$E$2:$E$801, 0)+1))), "")</f>
        <v/>
      </c>
      <c r="B209" s="10">
        <f>IFERROR(IF(INDEX(ERP資料!$A:$A, (MATCH(208, 輔助計算!$E$2:$E$801, 0)+1))="","",INDEX(ERP資料!$A:$A, (MATCH(208, 輔助計算!$E$2:$E$801, 0)+1))), "")</f>
        <v/>
      </c>
      <c r="C209" s="10">
        <f>IFERROR(IF(INDEX(ERP資料!$S:$S, (MATCH(208, 輔助計算!$E$2:$E$801, 0)+1))="","",INDEX(ERP資料!$S:$S, (MATCH(208, 輔助計算!$E$2:$E$801, 0)+1))), "")</f>
        <v/>
      </c>
      <c r="D209" s="10">
        <f>IFERROR(IF(INDEX(ERP資料!$E:$E, (MATCH(208, 輔助計算!$E$2:$E$801, 0)+1))="","",TRIM(INDEX(ERP資料!$E:$E, (MATCH(208, 輔助計算!$E$2:$E$801, 0)+1)))), "")</f>
        <v/>
      </c>
      <c r="E209" s="10">
        <f>IFERROR(IF(INDEX(ERP資料!$F:$F, (MATCH(208, 輔助計算!$E$2:$E$801, 0)+1))="","",INDEX(ERP資料!$F:$F, (MATCH(208, 輔助計算!$E$2:$E$801, 0)+1))), "")</f>
        <v/>
      </c>
      <c r="F209" s="10">
        <f>IFERROR(IF(INDEX(ERP資料!$G:$G, (MATCH(208, 輔助計算!$E$2:$E$801, 0)+1))="","",INDEX(ERP資料!$G:$G, (MATCH(208, 輔助計算!$E$2:$E$801, 0)+1))), "")</f>
        <v/>
      </c>
      <c r="G209" s="10">
        <f>IFERROR(IF(INDEX(ERP資料!$H:$H, (MATCH(208, 輔助計算!$E$2:$E$801, 0)+1))="","",INDEX(ERP資料!$H:$H, (MATCH(208, 輔助計算!$E$2:$E$801, 0)+1))), "")</f>
        <v/>
      </c>
      <c r="H209" s="15">
        <f>IFERROR(INDEX(輔助計算!$D:$D, (MATCH(208, 輔助計算!$E$2:$E$801, 0)+1)), "")</f>
        <v/>
      </c>
      <c r="I209" s="10">
        <f>IFERROR(IF(INDEX(ERP資料!$O:$O, (MATCH(208, 輔助計算!$E$2:$E$801, 0)+1))="","",INDEX(ERP資料!$O:$O, (MATCH(208, 輔助計算!$E$2:$E$801, 0)+1))), "")</f>
        <v/>
      </c>
      <c r="J209" s="15">
        <f>IFERROR(IF(INDEX(輔助計算!$D:$D,(MATCH(208, 輔助計算!$E$2:$E$801, 0)+1))="","",INDEX(輔助計算!$D:$D,(MATCH(208, 輔助計算!$E$2:$E$801, 0)+1))*INDEX(ERP資料!$O:$O,(MATCH(208, 輔助計算!$E$2:$E$801, 0)+1))), "")</f>
        <v/>
      </c>
      <c r="K209" s="16" t="n"/>
      <c r="L209" s="16" t="n"/>
      <c r="M209" s="17" t="n"/>
    </row>
    <row r="210">
      <c r="A210" s="14">
        <f>IFERROR(IF(INDEX(ERP資料!$B:$B, (MATCH(209, 輔助計算!$E$2:$E$801, 0)+1))="","",INDEX(ERP資料!$B:$B, (MATCH(209, 輔助計算!$E$2:$E$801, 0)+1))), "")</f>
        <v/>
      </c>
      <c r="B210" s="10">
        <f>IFERROR(IF(INDEX(ERP資料!$A:$A, (MATCH(209, 輔助計算!$E$2:$E$801, 0)+1))="","",INDEX(ERP資料!$A:$A, (MATCH(209, 輔助計算!$E$2:$E$801, 0)+1))), "")</f>
        <v/>
      </c>
      <c r="C210" s="10">
        <f>IFERROR(IF(INDEX(ERP資料!$S:$S, (MATCH(209, 輔助計算!$E$2:$E$801, 0)+1))="","",INDEX(ERP資料!$S:$S, (MATCH(209, 輔助計算!$E$2:$E$801, 0)+1))), "")</f>
        <v/>
      </c>
      <c r="D210" s="10">
        <f>IFERROR(IF(INDEX(ERP資料!$E:$E, (MATCH(209, 輔助計算!$E$2:$E$801, 0)+1))="","",TRIM(INDEX(ERP資料!$E:$E, (MATCH(209, 輔助計算!$E$2:$E$801, 0)+1)))), "")</f>
        <v/>
      </c>
      <c r="E210" s="10">
        <f>IFERROR(IF(INDEX(ERP資料!$F:$F, (MATCH(209, 輔助計算!$E$2:$E$801, 0)+1))="","",INDEX(ERP資料!$F:$F, (MATCH(209, 輔助計算!$E$2:$E$801, 0)+1))), "")</f>
        <v/>
      </c>
      <c r="F210" s="10">
        <f>IFERROR(IF(INDEX(ERP資料!$G:$G, (MATCH(209, 輔助計算!$E$2:$E$801, 0)+1))="","",INDEX(ERP資料!$G:$G, (MATCH(209, 輔助計算!$E$2:$E$801, 0)+1))), "")</f>
        <v/>
      </c>
      <c r="G210" s="10">
        <f>IFERROR(IF(INDEX(ERP資料!$H:$H, (MATCH(209, 輔助計算!$E$2:$E$801, 0)+1))="","",INDEX(ERP資料!$H:$H, (MATCH(209, 輔助計算!$E$2:$E$801, 0)+1))), "")</f>
        <v/>
      </c>
      <c r="H210" s="15">
        <f>IFERROR(INDEX(輔助計算!$D:$D, (MATCH(209, 輔助計算!$E$2:$E$801, 0)+1)), "")</f>
        <v/>
      </c>
      <c r="I210" s="10">
        <f>IFERROR(IF(INDEX(ERP資料!$O:$O, (MATCH(209, 輔助計算!$E$2:$E$801, 0)+1))="","",INDEX(ERP資料!$O:$O, (MATCH(209, 輔助計算!$E$2:$E$801, 0)+1))), "")</f>
        <v/>
      </c>
      <c r="J210" s="15">
        <f>IFERROR(IF(INDEX(輔助計算!$D:$D,(MATCH(209, 輔助計算!$E$2:$E$801, 0)+1))="","",INDEX(輔助計算!$D:$D,(MATCH(209, 輔助計算!$E$2:$E$801, 0)+1))*INDEX(ERP資料!$O:$O,(MATCH(209, 輔助計算!$E$2:$E$801, 0)+1))), "")</f>
        <v/>
      </c>
      <c r="K210" s="16" t="n"/>
      <c r="L210" s="16" t="n"/>
      <c r="M210" s="17" t="n"/>
    </row>
    <row r="211">
      <c r="A211" s="14">
        <f>IFERROR(IF(INDEX(ERP資料!$B:$B, (MATCH(210, 輔助計算!$E$2:$E$801, 0)+1))="","",INDEX(ERP資料!$B:$B, (MATCH(210, 輔助計算!$E$2:$E$801, 0)+1))), "")</f>
        <v/>
      </c>
      <c r="B211" s="10">
        <f>IFERROR(IF(INDEX(ERP資料!$A:$A, (MATCH(210, 輔助計算!$E$2:$E$801, 0)+1))="","",INDEX(ERP資料!$A:$A, (MATCH(210, 輔助計算!$E$2:$E$801, 0)+1))), "")</f>
        <v/>
      </c>
      <c r="C211" s="10">
        <f>IFERROR(IF(INDEX(ERP資料!$S:$S, (MATCH(210, 輔助計算!$E$2:$E$801, 0)+1))="","",INDEX(ERP資料!$S:$S, (MATCH(210, 輔助計算!$E$2:$E$801, 0)+1))), "")</f>
        <v/>
      </c>
      <c r="D211" s="10">
        <f>IFERROR(IF(INDEX(ERP資料!$E:$E, (MATCH(210, 輔助計算!$E$2:$E$801, 0)+1))="","",TRIM(INDEX(ERP資料!$E:$E, (MATCH(210, 輔助計算!$E$2:$E$801, 0)+1)))), "")</f>
        <v/>
      </c>
      <c r="E211" s="10">
        <f>IFERROR(IF(INDEX(ERP資料!$F:$F, (MATCH(210, 輔助計算!$E$2:$E$801, 0)+1))="","",INDEX(ERP資料!$F:$F, (MATCH(210, 輔助計算!$E$2:$E$801, 0)+1))), "")</f>
        <v/>
      </c>
      <c r="F211" s="10">
        <f>IFERROR(IF(INDEX(ERP資料!$G:$G, (MATCH(210, 輔助計算!$E$2:$E$801, 0)+1))="","",INDEX(ERP資料!$G:$G, (MATCH(210, 輔助計算!$E$2:$E$801, 0)+1))), "")</f>
        <v/>
      </c>
      <c r="G211" s="10">
        <f>IFERROR(IF(INDEX(ERP資料!$H:$H, (MATCH(210, 輔助計算!$E$2:$E$801, 0)+1))="","",INDEX(ERP資料!$H:$H, (MATCH(210, 輔助計算!$E$2:$E$801, 0)+1))), "")</f>
        <v/>
      </c>
      <c r="H211" s="15">
        <f>IFERROR(INDEX(輔助計算!$D:$D, (MATCH(210, 輔助計算!$E$2:$E$801, 0)+1)), "")</f>
        <v/>
      </c>
      <c r="I211" s="10">
        <f>IFERROR(IF(INDEX(ERP資料!$O:$O, (MATCH(210, 輔助計算!$E$2:$E$801, 0)+1))="","",INDEX(ERP資料!$O:$O, (MATCH(210, 輔助計算!$E$2:$E$801, 0)+1))), "")</f>
        <v/>
      </c>
      <c r="J211" s="15">
        <f>IFERROR(IF(INDEX(輔助計算!$D:$D,(MATCH(210, 輔助計算!$E$2:$E$801, 0)+1))="","",INDEX(輔助計算!$D:$D,(MATCH(210, 輔助計算!$E$2:$E$801, 0)+1))*INDEX(ERP資料!$O:$O,(MATCH(210, 輔助計算!$E$2:$E$801, 0)+1))), "")</f>
        <v/>
      </c>
      <c r="K211" s="16" t="n"/>
      <c r="L211" s="16" t="n"/>
      <c r="M211" s="17" t="n"/>
    </row>
    <row r="212">
      <c r="A212" s="14">
        <f>IFERROR(IF(INDEX(ERP資料!$B:$B, (MATCH(211, 輔助計算!$E$2:$E$801, 0)+1))="","",INDEX(ERP資料!$B:$B, (MATCH(211, 輔助計算!$E$2:$E$801, 0)+1))), "")</f>
        <v/>
      </c>
      <c r="B212" s="10">
        <f>IFERROR(IF(INDEX(ERP資料!$A:$A, (MATCH(211, 輔助計算!$E$2:$E$801, 0)+1))="","",INDEX(ERP資料!$A:$A, (MATCH(211, 輔助計算!$E$2:$E$801, 0)+1))), "")</f>
        <v/>
      </c>
      <c r="C212" s="10">
        <f>IFERROR(IF(INDEX(ERP資料!$S:$S, (MATCH(211, 輔助計算!$E$2:$E$801, 0)+1))="","",INDEX(ERP資料!$S:$S, (MATCH(211, 輔助計算!$E$2:$E$801, 0)+1))), "")</f>
        <v/>
      </c>
      <c r="D212" s="10">
        <f>IFERROR(IF(INDEX(ERP資料!$E:$E, (MATCH(211, 輔助計算!$E$2:$E$801, 0)+1))="","",TRIM(INDEX(ERP資料!$E:$E, (MATCH(211, 輔助計算!$E$2:$E$801, 0)+1)))), "")</f>
        <v/>
      </c>
      <c r="E212" s="10">
        <f>IFERROR(IF(INDEX(ERP資料!$F:$F, (MATCH(211, 輔助計算!$E$2:$E$801, 0)+1))="","",INDEX(ERP資料!$F:$F, (MATCH(211, 輔助計算!$E$2:$E$801, 0)+1))), "")</f>
        <v/>
      </c>
      <c r="F212" s="10">
        <f>IFERROR(IF(INDEX(ERP資料!$G:$G, (MATCH(211, 輔助計算!$E$2:$E$801, 0)+1))="","",INDEX(ERP資料!$G:$G, (MATCH(211, 輔助計算!$E$2:$E$801, 0)+1))), "")</f>
        <v/>
      </c>
      <c r="G212" s="10">
        <f>IFERROR(IF(INDEX(ERP資料!$H:$H, (MATCH(211, 輔助計算!$E$2:$E$801, 0)+1))="","",INDEX(ERP資料!$H:$H, (MATCH(211, 輔助計算!$E$2:$E$801, 0)+1))), "")</f>
        <v/>
      </c>
      <c r="H212" s="15">
        <f>IFERROR(INDEX(輔助計算!$D:$D, (MATCH(211, 輔助計算!$E$2:$E$801, 0)+1)), "")</f>
        <v/>
      </c>
      <c r="I212" s="10">
        <f>IFERROR(IF(INDEX(ERP資料!$O:$O, (MATCH(211, 輔助計算!$E$2:$E$801, 0)+1))="","",INDEX(ERP資料!$O:$O, (MATCH(211, 輔助計算!$E$2:$E$801, 0)+1))), "")</f>
        <v/>
      </c>
      <c r="J212" s="15">
        <f>IFERROR(IF(INDEX(輔助計算!$D:$D,(MATCH(211, 輔助計算!$E$2:$E$801, 0)+1))="","",INDEX(輔助計算!$D:$D,(MATCH(211, 輔助計算!$E$2:$E$801, 0)+1))*INDEX(ERP資料!$O:$O,(MATCH(211, 輔助計算!$E$2:$E$801, 0)+1))), "")</f>
        <v/>
      </c>
      <c r="K212" s="16" t="n"/>
      <c r="L212" s="16" t="n"/>
      <c r="M212" s="17" t="n"/>
    </row>
    <row r="213">
      <c r="A213" s="14">
        <f>IFERROR(IF(INDEX(ERP資料!$B:$B, (MATCH(212, 輔助計算!$E$2:$E$801, 0)+1))="","",INDEX(ERP資料!$B:$B, (MATCH(212, 輔助計算!$E$2:$E$801, 0)+1))), "")</f>
        <v/>
      </c>
      <c r="B213" s="10">
        <f>IFERROR(IF(INDEX(ERP資料!$A:$A, (MATCH(212, 輔助計算!$E$2:$E$801, 0)+1))="","",INDEX(ERP資料!$A:$A, (MATCH(212, 輔助計算!$E$2:$E$801, 0)+1))), "")</f>
        <v/>
      </c>
      <c r="C213" s="10">
        <f>IFERROR(IF(INDEX(ERP資料!$S:$S, (MATCH(212, 輔助計算!$E$2:$E$801, 0)+1))="","",INDEX(ERP資料!$S:$S, (MATCH(212, 輔助計算!$E$2:$E$801, 0)+1))), "")</f>
        <v/>
      </c>
      <c r="D213" s="10">
        <f>IFERROR(IF(INDEX(ERP資料!$E:$E, (MATCH(212, 輔助計算!$E$2:$E$801, 0)+1))="","",TRIM(INDEX(ERP資料!$E:$E, (MATCH(212, 輔助計算!$E$2:$E$801, 0)+1)))), "")</f>
        <v/>
      </c>
      <c r="E213" s="10">
        <f>IFERROR(IF(INDEX(ERP資料!$F:$F, (MATCH(212, 輔助計算!$E$2:$E$801, 0)+1))="","",INDEX(ERP資料!$F:$F, (MATCH(212, 輔助計算!$E$2:$E$801, 0)+1))), "")</f>
        <v/>
      </c>
      <c r="F213" s="10">
        <f>IFERROR(IF(INDEX(ERP資料!$G:$G, (MATCH(212, 輔助計算!$E$2:$E$801, 0)+1))="","",INDEX(ERP資料!$G:$G, (MATCH(212, 輔助計算!$E$2:$E$801, 0)+1))), "")</f>
        <v/>
      </c>
      <c r="G213" s="10">
        <f>IFERROR(IF(INDEX(ERP資料!$H:$H, (MATCH(212, 輔助計算!$E$2:$E$801, 0)+1))="","",INDEX(ERP資料!$H:$H, (MATCH(212, 輔助計算!$E$2:$E$801, 0)+1))), "")</f>
        <v/>
      </c>
      <c r="H213" s="15">
        <f>IFERROR(INDEX(輔助計算!$D:$D, (MATCH(212, 輔助計算!$E$2:$E$801, 0)+1)), "")</f>
        <v/>
      </c>
      <c r="I213" s="10">
        <f>IFERROR(IF(INDEX(ERP資料!$O:$O, (MATCH(212, 輔助計算!$E$2:$E$801, 0)+1))="","",INDEX(ERP資料!$O:$O, (MATCH(212, 輔助計算!$E$2:$E$801, 0)+1))), "")</f>
        <v/>
      </c>
      <c r="J213" s="15">
        <f>IFERROR(IF(INDEX(輔助計算!$D:$D,(MATCH(212, 輔助計算!$E$2:$E$801, 0)+1))="","",INDEX(輔助計算!$D:$D,(MATCH(212, 輔助計算!$E$2:$E$801, 0)+1))*INDEX(ERP資料!$O:$O,(MATCH(212, 輔助計算!$E$2:$E$801, 0)+1))), "")</f>
        <v/>
      </c>
      <c r="K213" s="16" t="n"/>
      <c r="L213" s="16" t="n"/>
      <c r="M213" s="17" t="n"/>
    </row>
    <row r="214">
      <c r="A214" s="14">
        <f>IFERROR(IF(INDEX(ERP資料!$B:$B, (MATCH(213, 輔助計算!$E$2:$E$801, 0)+1))="","",INDEX(ERP資料!$B:$B, (MATCH(213, 輔助計算!$E$2:$E$801, 0)+1))), "")</f>
        <v/>
      </c>
      <c r="B214" s="10">
        <f>IFERROR(IF(INDEX(ERP資料!$A:$A, (MATCH(213, 輔助計算!$E$2:$E$801, 0)+1))="","",INDEX(ERP資料!$A:$A, (MATCH(213, 輔助計算!$E$2:$E$801, 0)+1))), "")</f>
        <v/>
      </c>
      <c r="C214" s="10">
        <f>IFERROR(IF(INDEX(ERP資料!$S:$S, (MATCH(213, 輔助計算!$E$2:$E$801, 0)+1))="","",INDEX(ERP資料!$S:$S, (MATCH(213, 輔助計算!$E$2:$E$801, 0)+1))), "")</f>
        <v/>
      </c>
      <c r="D214" s="10">
        <f>IFERROR(IF(INDEX(ERP資料!$E:$E, (MATCH(213, 輔助計算!$E$2:$E$801, 0)+1))="","",TRIM(INDEX(ERP資料!$E:$E, (MATCH(213, 輔助計算!$E$2:$E$801, 0)+1)))), "")</f>
        <v/>
      </c>
      <c r="E214" s="10">
        <f>IFERROR(IF(INDEX(ERP資料!$F:$F, (MATCH(213, 輔助計算!$E$2:$E$801, 0)+1))="","",INDEX(ERP資料!$F:$F, (MATCH(213, 輔助計算!$E$2:$E$801, 0)+1))), "")</f>
        <v/>
      </c>
      <c r="F214" s="10">
        <f>IFERROR(IF(INDEX(ERP資料!$G:$G, (MATCH(213, 輔助計算!$E$2:$E$801, 0)+1))="","",INDEX(ERP資料!$G:$G, (MATCH(213, 輔助計算!$E$2:$E$801, 0)+1))), "")</f>
        <v/>
      </c>
      <c r="G214" s="10">
        <f>IFERROR(IF(INDEX(ERP資料!$H:$H, (MATCH(213, 輔助計算!$E$2:$E$801, 0)+1))="","",INDEX(ERP資料!$H:$H, (MATCH(213, 輔助計算!$E$2:$E$801, 0)+1))), "")</f>
        <v/>
      </c>
      <c r="H214" s="15">
        <f>IFERROR(INDEX(輔助計算!$D:$D, (MATCH(213, 輔助計算!$E$2:$E$801, 0)+1)), "")</f>
        <v/>
      </c>
      <c r="I214" s="10">
        <f>IFERROR(IF(INDEX(ERP資料!$O:$O, (MATCH(213, 輔助計算!$E$2:$E$801, 0)+1))="","",INDEX(ERP資料!$O:$O, (MATCH(213, 輔助計算!$E$2:$E$801, 0)+1))), "")</f>
        <v/>
      </c>
      <c r="J214" s="15">
        <f>IFERROR(IF(INDEX(輔助計算!$D:$D,(MATCH(213, 輔助計算!$E$2:$E$801, 0)+1))="","",INDEX(輔助計算!$D:$D,(MATCH(213, 輔助計算!$E$2:$E$801, 0)+1))*INDEX(ERP資料!$O:$O,(MATCH(213, 輔助計算!$E$2:$E$801, 0)+1))), "")</f>
        <v/>
      </c>
      <c r="K214" s="16" t="n"/>
      <c r="L214" s="16" t="n"/>
      <c r="M214" s="17" t="n"/>
    </row>
    <row r="215">
      <c r="A215" s="14">
        <f>IFERROR(IF(INDEX(ERP資料!$B:$B, (MATCH(214, 輔助計算!$E$2:$E$801, 0)+1))="","",INDEX(ERP資料!$B:$B, (MATCH(214, 輔助計算!$E$2:$E$801, 0)+1))), "")</f>
        <v/>
      </c>
      <c r="B215" s="10">
        <f>IFERROR(IF(INDEX(ERP資料!$A:$A, (MATCH(214, 輔助計算!$E$2:$E$801, 0)+1))="","",INDEX(ERP資料!$A:$A, (MATCH(214, 輔助計算!$E$2:$E$801, 0)+1))), "")</f>
        <v/>
      </c>
      <c r="C215" s="10">
        <f>IFERROR(IF(INDEX(ERP資料!$S:$S, (MATCH(214, 輔助計算!$E$2:$E$801, 0)+1))="","",INDEX(ERP資料!$S:$S, (MATCH(214, 輔助計算!$E$2:$E$801, 0)+1))), "")</f>
        <v/>
      </c>
      <c r="D215" s="10">
        <f>IFERROR(IF(INDEX(ERP資料!$E:$E, (MATCH(214, 輔助計算!$E$2:$E$801, 0)+1))="","",TRIM(INDEX(ERP資料!$E:$E, (MATCH(214, 輔助計算!$E$2:$E$801, 0)+1)))), "")</f>
        <v/>
      </c>
      <c r="E215" s="10">
        <f>IFERROR(IF(INDEX(ERP資料!$F:$F, (MATCH(214, 輔助計算!$E$2:$E$801, 0)+1))="","",INDEX(ERP資料!$F:$F, (MATCH(214, 輔助計算!$E$2:$E$801, 0)+1))), "")</f>
        <v/>
      </c>
      <c r="F215" s="10">
        <f>IFERROR(IF(INDEX(ERP資料!$G:$G, (MATCH(214, 輔助計算!$E$2:$E$801, 0)+1))="","",INDEX(ERP資料!$G:$G, (MATCH(214, 輔助計算!$E$2:$E$801, 0)+1))), "")</f>
        <v/>
      </c>
      <c r="G215" s="10">
        <f>IFERROR(IF(INDEX(ERP資料!$H:$H, (MATCH(214, 輔助計算!$E$2:$E$801, 0)+1))="","",INDEX(ERP資料!$H:$H, (MATCH(214, 輔助計算!$E$2:$E$801, 0)+1))), "")</f>
        <v/>
      </c>
      <c r="H215" s="15">
        <f>IFERROR(INDEX(輔助計算!$D:$D, (MATCH(214, 輔助計算!$E$2:$E$801, 0)+1)), "")</f>
        <v/>
      </c>
      <c r="I215" s="10">
        <f>IFERROR(IF(INDEX(ERP資料!$O:$O, (MATCH(214, 輔助計算!$E$2:$E$801, 0)+1))="","",INDEX(ERP資料!$O:$O, (MATCH(214, 輔助計算!$E$2:$E$801, 0)+1))), "")</f>
        <v/>
      </c>
      <c r="J215" s="15">
        <f>IFERROR(IF(INDEX(輔助計算!$D:$D,(MATCH(214, 輔助計算!$E$2:$E$801, 0)+1))="","",INDEX(輔助計算!$D:$D,(MATCH(214, 輔助計算!$E$2:$E$801, 0)+1))*INDEX(ERP資料!$O:$O,(MATCH(214, 輔助計算!$E$2:$E$801, 0)+1))), "")</f>
        <v/>
      </c>
      <c r="K215" s="16" t="n"/>
      <c r="L215" s="16" t="n"/>
      <c r="M215" s="17" t="n"/>
    </row>
    <row r="216">
      <c r="A216" s="14">
        <f>IFERROR(IF(INDEX(ERP資料!$B:$B, (MATCH(215, 輔助計算!$E$2:$E$801, 0)+1))="","",INDEX(ERP資料!$B:$B, (MATCH(215, 輔助計算!$E$2:$E$801, 0)+1))), "")</f>
        <v/>
      </c>
      <c r="B216" s="10">
        <f>IFERROR(IF(INDEX(ERP資料!$A:$A, (MATCH(215, 輔助計算!$E$2:$E$801, 0)+1))="","",INDEX(ERP資料!$A:$A, (MATCH(215, 輔助計算!$E$2:$E$801, 0)+1))), "")</f>
        <v/>
      </c>
      <c r="C216" s="10">
        <f>IFERROR(IF(INDEX(ERP資料!$S:$S, (MATCH(215, 輔助計算!$E$2:$E$801, 0)+1))="","",INDEX(ERP資料!$S:$S, (MATCH(215, 輔助計算!$E$2:$E$801, 0)+1))), "")</f>
        <v/>
      </c>
      <c r="D216" s="10">
        <f>IFERROR(IF(INDEX(ERP資料!$E:$E, (MATCH(215, 輔助計算!$E$2:$E$801, 0)+1))="","",TRIM(INDEX(ERP資料!$E:$E, (MATCH(215, 輔助計算!$E$2:$E$801, 0)+1)))), "")</f>
        <v/>
      </c>
      <c r="E216" s="10">
        <f>IFERROR(IF(INDEX(ERP資料!$F:$F, (MATCH(215, 輔助計算!$E$2:$E$801, 0)+1))="","",INDEX(ERP資料!$F:$F, (MATCH(215, 輔助計算!$E$2:$E$801, 0)+1))), "")</f>
        <v/>
      </c>
      <c r="F216" s="10">
        <f>IFERROR(IF(INDEX(ERP資料!$G:$G, (MATCH(215, 輔助計算!$E$2:$E$801, 0)+1))="","",INDEX(ERP資料!$G:$G, (MATCH(215, 輔助計算!$E$2:$E$801, 0)+1))), "")</f>
        <v/>
      </c>
      <c r="G216" s="10">
        <f>IFERROR(IF(INDEX(ERP資料!$H:$H, (MATCH(215, 輔助計算!$E$2:$E$801, 0)+1))="","",INDEX(ERP資料!$H:$H, (MATCH(215, 輔助計算!$E$2:$E$801, 0)+1))), "")</f>
        <v/>
      </c>
      <c r="H216" s="15">
        <f>IFERROR(INDEX(輔助計算!$D:$D, (MATCH(215, 輔助計算!$E$2:$E$801, 0)+1)), "")</f>
        <v/>
      </c>
      <c r="I216" s="10">
        <f>IFERROR(IF(INDEX(ERP資料!$O:$O, (MATCH(215, 輔助計算!$E$2:$E$801, 0)+1))="","",INDEX(ERP資料!$O:$O, (MATCH(215, 輔助計算!$E$2:$E$801, 0)+1))), "")</f>
        <v/>
      </c>
      <c r="J216" s="15">
        <f>IFERROR(IF(INDEX(輔助計算!$D:$D,(MATCH(215, 輔助計算!$E$2:$E$801, 0)+1))="","",INDEX(輔助計算!$D:$D,(MATCH(215, 輔助計算!$E$2:$E$801, 0)+1))*INDEX(ERP資料!$O:$O,(MATCH(215, 輔助計算!$E$2:$E$801, 0)+1))), "")</f>
        <v/>
      </c>
      <c r="K216" s="16" t="n"/>
      <c r="L216" s="16" t="n"/>
      <c r="M216" s="17" t="n"/>
    </row>
    <row r="217">
      <c r="A217" s="14">
        <f>IFERROR(IF(INDEX(ERP資料!$B:$B, (MATCH(216, 輔助計算!$E$2:$E$801, 0)+1))="","",INDEX(ERP資料!$B:$B, (MATCH(216, 輔助計算!$E$2:$E$801, 0)+1))), "")</f>
        <v/>
      </c>
      <c r="B217" s="10">
        <f>IFERROR(IF(INDEX(ERP資料!$A:$A, (MATCH(216, 輔助計算!$E$2:$E$801, 0)+1))="","",INDEX(ERP資料!$A:$A, (MATCH(216, 輔助計算!$E$2:$E$801, 0)+1))), "")</f>
        <v/>
      </c>
      <c r="C217" s="10">
        <f>IFERROR(IF(INDEX(ERP資料!$S:$S, (MATCH(216, 輔助計算!$E$2:$E$801, 0)+1))="","",INDEX(ERP資料!$S:$S, (MATCH(216, 輔助計算!$E$2:$E$801, 0)+1))), "")</f>
        <v/>
      </c>
      <c r="D217" s="10">
        <f>IFERROR(IF(INDEX(ERP資料!$E:$E, (MATCH(216, 輔助計算!$E$2:$E$801, 0)+1))="","",TRIM(INDEX(ERP資料!$E:$E, (MATCH(216, 輔助計算!$E$2:$E$801, 0)+1)))), "")</f>
        <v/>
      </c>
      <c r="E217" s="10">
        <f>IFERROR(IF(INDEX(ERP資料!$F:$F, (MATCH(216, 輔助計算!$E$2:$E$801, 0)+1))="","",INDEX(ERP資料!$F:$F, (MATCH(216, 輔助計算!$E$2:$E$801, 0)+1))), "")</f>
        <v/>
      </c>
      <c r="F217" s="10">
        <f>IFERROR(IF(INDEX(ERP資料!$G:$G, (MATCH(216, 輔助計算!$E$2:$E$801, 0)+1))="","",INDEX(ERP資料!$G:$G, (MATCH(216, 輔助計算!$E$2:$E$801, 0)+1))), "")</f>
        <v/>
      </c>
      <c r="G217" s="10">
        <f>IFERROR(IF(INDEX(ERP資料!$H:$H, (MATCH(216, 輔助計算!$E$2:$E$801, 0)+1))="","",INDEX(ERP資料!$H:$H, (MATCH(216, 輔助計算!$E$2:$E$801, 0)+1))), "")</f>
        <v/>
      </c>
      <c r="H217" s="15">
        <f>IFERROR(INDEX(輔助計算!$D:$D, (MATCH(216, 輔助計算!$E$2:$E$801, 0)+1)), "")</f>
        <v/>
      </c>
      <c r="I217" s="10">
        <f>IFERROR(IF(INDEX(ERP資料!$O:$O, (MATCH(216, 輔助計算!$E$2:$E$801, 0)+1))="","",INDEX(ERP資料!$O:$O, (MATCH(216, 輔助計算!$E$2:$E$801, 0)+1))), "")</f>
        <v/>
      </c>
      <c r="J217" s="15">
        <f>IFERROR(IF(INDEX(輔助計算!$D:$D,(MATCH(216, 輔助計算!$E$2:$E$801, 0)+1))="","",INDEX(輔助計算!$D:$D,(MATCH(216, 輔助計算!$E$2:$E$801, 0)+1))*INDEX(ERP資料!$O:$O,(MATCH(216, 輔助計算!$E$2:$E$801, 0)+1))), "")</f>
        <v/>
      </c>
      <c r="K217" s="16" t="n"/>
      <c r="L217" s="16" t="n"/>
      <c r="M217" s="17" t="n"/>
    </row>
    <row r="218">
      <c r="A218" s="14">
        <f>IFERROR(IF(INDEX(ERP資料!$B:$B, (MATCH(217, 輔助計算!$E$2:$E$801, 0)+1))="","",INDEX(ERP資料!$B:$B, (MATCH(217, 輔助計算!$E$2:$E$801, 0)+1))), "")</f>
        <v/>
      </c>
      <c r="B218" s="10">
        <f>IFERROR(IF(INDEX(ERP資料!$A:$A, (MATCH(217, 輔助計算!$E$2:$E$801, 0)+1))="","",INDEX(ERP資料!$A:$A, (MATCH(217, 輔助計算!$E$2:$E$801, 0)+1))), "")</f>
        <v/>
      </c>
      <c r="C218" s="10">
        <f>IFERROR(IF(INDEX(ERP資料!$S:$S, (MATCH(217, 輔助計算!$E$2:$E$801, 0)+1))="","",INDEX(ERP資料!$S:$S, (MATCH(217, 輔助計算!$E$2:$E$801, 0)+1))), "")</f>
        <v/>
      </c>
      <c r="D218" s="10">
        <f>IFERROR(IF(INDEX(ERP資料!$E:$E, (MATCH(217, 輔助計算!$E$2:$E$801, 0)+1))="","",TRIM(INDEX(ERP資料!$E:$E, (MATCH(217, 輔助計算!$E$2:$E$801, 0)+1)))), "")</f>
        <v/>
      </c>
      <c r="E218" s="10">
        <f>IFERROR(IF(INDEX(ERP資料!$F:$F, (MATCH(217, 輔助計算!$E$2:$E$801, 0)+1))="","",INDEX(ERP資料!$F:$F, (MATCH(217, 輔助計算!$E$2:$E$801, 0)+1))), "")</f>
        <v/>
      </c>
      <c r="F218" s="10">
        <f>IFERROR(IF(INDEX(ERP資料!$G:$G, (MATCH(217, 輔助計算!$E$2:$E$801, 0)+1))="","",INDEX(ERP資料!$G:$G, (MATCH(217, 輔助計算!$E$2:$E$801, 0)+1))), "")</f>
        <v/>
      </c>
      <c r="G218" s="10">
        <f>IFERROR(IF(INDEX(ERP資料!$H:$H, (MATCH(217, 輔助計算!$E$2:$E$801, 0)+1))="","",INDEX(ERP資料!$H:$H, (MATCH(217, 輔助計算!$E$2:$E$801, 0)+1))), "")</f>
        <v/>
      </c>
      <c r="H218" s="15">
        <f>IFERROR(INDEX(輔助計算!$D:$D, (MATCH(217, 輔助計算!$E$2:$E$801, 0)+1)), "")</f>
        <v/>
      </c>
      <c r="I218" s="10">
        <f>IFERROR(IF(INDEX(ERP資料!$O:$O, (MATCH(217, 輔助計算!$E$2:$E$801, 0)+1))="","",INDEX(ERP資料!$O:$O, (MATCH(217, 輔助計算!$E$2:$E$801, 0)+1))), "")</f>
        <v/>
      </c>
      <c r="J218" s="15">
        <f>IFERROR(IF(INDEX(輔助計算!$D:$D,(MATCH(217, 輔助計算!$E$2:$E$801, 0)+1))="","",INDEX(輔助計算!$D:$D,(MATCH(217, 輔助計算!$E$2:$E$801, 0)+1))*INDEX(ERP資料!$O:$O,(MATCH(217, 輔助計算!$E$2:$E$801, 0)+1))), "")</f>
        <v/>
      </c>
      <c r="K218" s="16" t="n"/>
      <c r="L218" s="16" t="n"/>
      <c r="M218" s="17" t="n"/>
    </row>
    <row r="219">
      <c r="A219" s="14">
        <f>IFERROR(IF(INDEX(ERP資料!$B:$B, (MATCH(218, 輔助計算!$E$2:$E$801, 0)+1))="","",INDEX(ERP資料!$B:$B, (MATCH(218, 輔助計算!$E$2:$E$801, 0)+1))), "")</f>
        <v/>
      </c>
      <c r="B219" s="10">
        <f>IFERROR(IF(INDEX(ERP資料!$A:$A, (MATCH(218, 輔助計算!$E$2:$E$801, 0)+1))="","",INDEX(ERP資料!$A:$A, (MATCH(218, 輔助計算!$E$2:$E$801, 0)+1))), "")</f>
        <v/>
      </c>
      <c r="C219" s="10">
        <f>IFERROR(IF(INDEX(ERP資料!$S:$S, (MATCH(218, 輔助計算!$E$2:$E$801, 0)+1))="","",INDEX(ERP資料!$S:$S, (MATCH(218, 輔助計算!$E$2:$E$801, 0)+1))), "")</f>
        <v/>
      </c>
      <c r="D219" s="10">
        <f>IFERROR(IF(INDEX(ERP資料!$E:$E, (MATCH(218, 輔助計算!$E$2:$E$801, 0)+1))="","",TRIM(INDEX(ERP資料!$E:$E, (MATCH(218, 輔助計算!$E$2:$E$801, 0)+1)))), "")</f>
        <v/>
      </c>
      <c r="E219" s="10">
        <f>IFERROR(IF(INDEX(ERP資料!$F:$F, (MATCH(218, 輔助計算!$E$2:$E$801, 0)+1))="","",INDEX(ERP資料!$F:$F, (MATCH(218, 輔助計算!$E$2:$E$801, 0)+1))), "")</f>
        <v/>
      </c>
      <c r="F219" s="10">
        <f>IFERROR(IF(INDEX(ERP資料!$G:$G, (MATCH(218, 輔助計算!$E$2:$E$801, 0)+1))="","",INDEX(ERP資料!$G:$G, (MATCH(218, 輔助計算!$E$2:$E$801, 0)+1))), "")</f>
        <v/>
      </c>
      <c r="G219" s="10">
        <f>IFERROR(IF(INDEX(ERP資料!$H:$H, (MATCH(218, 輔助計算!$E$2:$E$801, 0)+1))="","",INDEX(ERP資料!$H:$H, (MATCH(218, 輔助計算!$E$2:$E$801, 0)+1))), "")</f>
        <v/>
      </c>
      <c r="H219" s="15">
        <f>IFERROR(INDEX(輔助計算!$D:$D, (MATCH(218, 輔助計算!$E$2:$E$801, 0)+1)), "")</f>
        <v/>
      </c>
      <c r="I219" s="10">
        <f>IFERROR(IF(INDEX(ERP資料!$O:$O, (MATCH(218, 輔助計算!$E$2:$E$801, 0)+1))="","",INDEX(ERP資料!$O:$O, (MATCH(218, 輔助計算!$E$2:$E$801, 0)+1))), "")</f>
        <v/>
      </c>
      <c r="J219" s="15">
        <f>IFERROR(IF(INDEX(輔助計算!$D:$D,(MATCH(218, 輔助計算!$E$2:$E$801, 0)+1))="","",INDEX(輔助計算!$D:$D,(MATCH(218, 輔助計算!$E$2:$E$801, 0)+1))*INDEX(ERP資料!$O:$O,(MATCH(218, 輔助計算!$E$2:$E$801, 0)+1))), "")</f>
        <v/>
      </c>
      <c r="K219" s="16" t="n"/>
      <c r="L219" s="16" t="n"/>
      <c r="M219" s="17" t="n"/>
    </row>
    <row r="220">
      <c r="A220" s="14">
        <f>IFERROR(IF(INDEX(ERP資料!$B:$B, (MATCH(219, 輔助計算!$E$2:$E$801, 0)+1))="","",INDEX(ERP資料!$B:$B, (MATCH(219, 輔助計算!$E$2:$E$801, 0)+1))), "")</f>
        <v/>
      </c>
      <c r="B220" s="10">
        <f>IFERROR(IF(INDEX(ERP資料!$A:$A, (MATCH(219, 輔助計算!$E$2:$E$801, 0)+1))="","",INDEX(ERP資料!$A:$A, (MATCH(219, 輔助計算!$E$2:$E$801, 0)+1))), "")</f>
        <v/>
      </c>
      <c r="C220" s="10">
        <f>IFERROR(IF(INDEX(ERP資料!$S:$S, (MATCH(219, 輔助計算!$E$2:$E$801, 0)+1))="","",INDEX(ERP資料!$S:$S, (MATCH(219, 輔助計算!$E$2:$E$801, 0)+1))), "")</f>
        <v/>
      </c>
      <c r="D220" s="10">
        <f>IFERROR(IF(INDEX(ERP資料!$E:$E, (MATCH(219, 輔助計算!$E$2:$E$801, 0)+1))="","",TRIM(INDEX(ERP資料!$E:$E, (MATCH(219, 輔助計算!$E$2:$E$801, 0)+1)))), "")</f>
        <v/>
      </c>
      <c r="E220" s="10">
        <f>IFERROR(IF(INDEX(ERP資料!$F:$F, (MATCH(219, 輔助計算!$E$2:$E$801, 0)+1))="","",INDEX(ERP資料!$F:$F, (MATCH(219, 輔助計算!$E$2:$E$801, 0)+1))), "")</f>
        <v/>
      </c>
      <c r="F220" s="10">
        <f>IFERROR(IF(INDEX(ERP資料!$G:$G, (MATCH(219, 輔助計算!$E$2:$E$801, 0)+1))="","",INDEX(ERP資料!$G:$G, (MATCH(219, 輔助計算!$E$2:$E$801, 0)+1))), "")</f>
        <v/>
      </c>
      <c r="G220" s="10">
        <f>IFERROR(IF(INDEX(ERP資料!$H:$H, (MATCH(219, 輔助計算!$E$2:$E$801, 0)+1))="","",INDEX(ERP資料!$H:$H, (MATCH(219, 輔助計算!$E$2:$E$801, 0)+1))), "")</f>
        <v/>
      </c>
      <c r="H220" s="15">
        <f>IFERROR(INDEX(輔助計算!$D:$D, (MATCH(219, 輔助計算!$E$2:$E$801, 0)+1)), "")</f>
        <v/>
      </c>
      <c r="I220" s="10">
        <f>IFERROR(IF(INDEX(ERP資料!$O:$O, (MATCH(219, 輔助計算!$E$2:$E$801, 0)+1))="","",INDEX(ERP資料!$O:$O, (MATCH(219, 輔助計算!$E$2:$E$801, 0)+1))), "")</f>
        <v/>
      </c>
      <c r="J220" s="15">
        <f>IFERROR(IF(INDEX(輔助計算!$D:$D,(MATCH(219, 輔助計算!$E$2:$E$801, 0)+1))="","",INDEX(輔助計算!$D:$D,(MATCH(219, 輔助計算!$E$2:$E$801, 0)+1))*INDEX(ERP資料!$O:$O,(MATCH(219, 輔助計算!$E$2:$E$801, 0)+1))), "")</f>
        <v/>
      </c>
      <c r="K220" s="16" t="n"/>
      <c r="L220" s="16" t="n"/>
      <c r="M220" s="17" t="n"/>
    </row>
    <row r="221">
      <c r="A221" s="14">
        <f>IFERROR(IF(INDEX(ERP資料!$B:$B, (MATCH(220, 輔助計算!$E$2:$E$801, 0)+1))="","",INDEX(ERP資料!$B:$B, (MATCH(220, 輔助計算!$E$2:$E$801, 0)+1))), "")</f>
        <v/>
      </c>
      <c r="B221" s="10">
        <f>IFERROR(IF(INDEX(ERP資料!$A:$A, (MATCH(220, 輔助計算!$E$2:$E$801, 0)+1))="","",INDEX(ERP資料!$A:$A, (MATCH(220, 輔助計算!$E$2:$E$801, 0)+1))), "")</f>
        <v/>
      </c>
      <c r="C221" s="10">
        <f>IFERROR(IF(INDEX(ERP資料!$S:$S, (MATCH(220, 輔助計算!$E$2:$E$801, 0)+1))="","",INDEX(ERP資料!$S:$S, (MATCH(220, 輔助計算!$E$2:$E$801, 0)+1))), "")</f>
        <v/>
      </c>
      <c r="D221" s="10">
        <f>IFERROR(IF(INDEX(ERP資料!$E:$E, (MATCH(220, 輔助計算!$E$2:$E$801, 0)+1))="","",TRIM(INDEX(ERP資料!$E:$E, (MATCH(220, 輔助計算!$E$2:$E$801, 0)+1)))), "")</f>
        <v/>
      </c>
      <c r="E221" s="10">
        <f>IFERROR(IF(INDEX(ERP資料!$F:$F, (MATCH(220, 輔助計算!$E$2:$E$801, 0)+1))="","",INDEX(ERP資料!$F:$F, (MATCH(220, 輔助計算!$E$2:$E$801, 0)+1))), "")</f>
        <v/>
      </c>
      <c r="F221" s="10">
        <f>IFERROR(IF(INDEX(ERP資料!$G:$G, (MATCH(220, 輔助計算!$E$2:$E$801, 0)+1))="","",INDEX(ERP資料!$G:$G, (MATCH(220, 輔助計算!$E$2:$E$801, 0)+1))), "")</f>
        <v/>
      </c>
      <c r="G221" s="10">
        <f>IFERROR(IF(INDEX(ERP資料!$H:$H, (MATCH(220, 輔助計算!$E$2:$E$801, 0)+1))="","",INDEX(ERP資料!$H:$H, (MATCH(220, 輔助計算!$E$2:$E$801, 0)+1))), "")</f>
        <v/>
      </c>
      <c r="H221" s="15">
        <f>IFERROR(INDEX(輔助計算!$D:$D, (MATCH(220, 輔助計算!$E$2:$E$801, 0)+1)), "")</f>
        <v/>
      </c>
      <c r="I221" s="10">
        <f>IFERROR(IF(INDEX(ERP資料!$O:$O, (MATCH(220, 輔助計算!$E$2:$E$801, 0)+1))="","",INDEX(ERP資料!$O:$O, (MATCH(220, 輔助計算!$E$2:$E$801, 0)+1))), "")</f>
        <v/>
      </c>
      <c r="J221" s="15">
        <f>IFERROR(IF(INDEX(輔助計算!$D:$D,(MATCH(220, 輔助計算!$E$2:$E$801, 0)+1))="","",INDEX(輔助計算!$D:$D,(MATCH(220, 輔助計算!$E$2:$E$801, 0)+1))*INDEX(ERP資料!$O:$O,(MATCH(220, 輔助計算!$E$2:$E$801, 0)+1))), "")</f>
        <v/>
      </c>
      <c r="K221" s="16" t="n"/>
      <c r="L221" s="16" t="n"/>
      <c r="M221" s="17" t="n"/>
    </row>
    <row r="222">
      <c r="A222" s="14">
        <f>IFERROR(IF(INDEX(ERP資料!$B:$B, (MATCH(221, 輔助計算!$E$2:$E$801, 0)+1))="","",INDEX(ERP資料!$B:$B, (MATCH(221, 輔助計算!$E$2:$E$801, 0)+1))), "")</f>
        <v/>
      </c>
      <c r="B222" s="10">
        <f>IFERROR(IF(INDEX(ERP資料!$A:$A, (MATCH(221, 輔助計算!$E$2:$E$801, 0)+1))="","",INDEX(ERP資料!$A:$A, (MATCH(221, 輔助計算!$E$2:$E$801, 0)+1))), "")</f>
        <v/>
      </c>
      <c r="C222" s="10">
        <f>IFERROR(IF(INDEX(ERP資料!$S:$S, (MATCH(221, 輔助計算!$E$2:$E$801, 0)+1))="","",INDEX(ERP資料!$S:$S, (MATCH(221, 輔助計算!$E$2:$E$801, 0)+1))), "")</f>
        <v/>
      </c>
      <c r="D222" s="10">
        <f>IFERROR(IF(INDEX(ERP資料!$E:$E, (MATCH(221, 輔助計算!$E$2:$E$801, 0)+1))="","",TRIM(INDEX(ERP資料!$E:$E, (MATCH(221, 輔助計算!$E$2:$E$801, 0)+1)))), "")</f>
        <v/>
      </c>
      <c r="E222" s="10">
        <f>IFERROR(IF(INDEX(ERP資料!$F:$F, (MATCH(221, 輔助計算!$E$2:$E$801, 0)+1))="","",INDEX(ERP資料!$F:$F, (MATCH(221, 輔助計算!$E$2:$E$801, 0)+1))), "")</f>
        <v/>
      </c>
      <c r="F222" s="10">
        <f>IFERROR(IF(INDEX(ERP資料!$G:$G, (MATCH(221, 輔助計算!$E$2:$E$801, 0)+1))="","",INDEX(ERP資料!$G:$G, (MATCH(221, 輔助計算!$E$2:$E$801, 0)+1))), "")</f>
        <v/>
      </c>
      <c r="G222" s="10">
        <f>IFERROR(IF(INDEX(ERP資料!$H:$H, (MATCH(221, 輔助計算!$E$2:$E$801, 0)+1))="","",INDEX(ERP資料!$H:$H, (MATCH(221, 輔助計算!$E$2:$E$801, 0)+1))), "")</f>
        <v/>
      </c>
      <c r="H222" s="15">
        <f>IFERROR(INDEX(輔助計算!$D:$D, (MATCH(221, 輔助計算!$E$2:$E$801, 0)+1)), "")</f>
        <v/>
      </c>
      <c r="I222" s="10">
        <f>IFERROR(IF(INDEX(ERP資料!$O:$O, (MATCH(221, 輔助計算!$E$2:$E$801, 0)+1))="","",INDEX(ERP資料!$O:$O, (MATCH(221, 輔助計算!$E$2:$E$801, 0)+1))), "")</f>
        <v/>
      </c>
      <c r="J222" s="15">
        <f>IFERROR(IF(INDEX(輔助計算!$D:$D,(MATCH(221, 輔助計算!$E$2:$E$801, 0)+1))="","",INDEX(輔助計算!$D:$D,(MATCH(221, 輔助計算!$E$2:$E$801, 0)+1))*INDEX(ERP資料!$O:$O,(MATCH(221, 輔助計算!$E$2:$E$801, 0)+1))), "")</f>
        <v/>
      </c>
      <c r="K222" s="16" t="n"/>
      <c r="L222" s="16" t="n"/>
      <c r="M222" s="17" t="n"/>
    </row>
    <row r="223">
      <c r="A223" s="14">
        <f>IFERROR(IF(INDEX(ERP資料!$B:$B, (MATCH(222, 輔助計算!$E$2:$E$801, 0)+1))="","",INDEX(ERP資料!$B:$B, (MATCH(222, 輔助計算!$E$2:$E$801, 0)+1))), "")</f>
        <v/>
      </c>
      <c r="B223" s="10">
        <f>IFERROR(IF(INDEX(ERP資料!$A:$A, (MATCH(222, 輔助計算!$E$2:$E$801, 0)+1))="","",INDEX(ERP資料!$A:$A, (MATCH(222, 輔助計算!$E$2:$E$801, 0)+1))), "")</f>
        <v/>
      </c>
      <c r="C223" s="10">
        <f>IFERROR(IF(INDEX(ERP資料!$S:$S, (MATCH(222, 輔助計算!$E$2:$E$801, 0)+1))="","",INDEX(ERP資料!$S:$S, (MATCH(222, 輔助計算!$E$2:$E$801, 0)+1))), "")</f>
        <v/>
      </c>
      <c r="D223" s="10">
        <f>IFERROR(IF(INDEX(ERP資料!$E:$E, (MATCH(222, 輔助計算!$E$2:$E$801, 0)+1))="","",TRIM(INDEX(ERP資料!$E:$E, (MATCH(222, 輔助計算!$E$2:$E$801, 0)+1)))), "")</f>
        <v/>
      </c>
      <c r="E223" s="10">
        <f>IFERROR(IF(INDEX(ERP資料!$F:$F, (MATCH(222, 輔助計算!$E$2:$E$801, 0)+1))="","",INDEX(ERP資料!$F:$F, (MATCH(222, 輔助計算!$E$2:$E$801, 0)+1))), "")</f>
        <v/>
      </c>
      <c r="F223" s="10">
        <f>IFERROR(IF(INDEX(ERP資料!$G:$G, (MATCH(222, 輔助計算!$E$2:$E$801, 0)+1))="","",INDEX(ERP資料!$G:$G, (MATCH(222, 輔助計算!$E$2:$E$801, 0)+1))), "")</f>
        <v/>
      </c>
      <c r="G223" s="10">
        <f>IFERROR(IF(INDEX(ERP資料!$H:$H, (MATCH(222, 輔助計算!$E$2:$E$801, 0)+1))="","",INDEX(ERP資料!$H:$H, (MATCH(222, 輔助計算!$E$2:$E$801, 0)+1))), "")</f>
        <v/>
      </c>
      <c r="H223" s="15">
        <f>IFERROR(INDEX(輔助計算!$D:$D, (MATCH(222, 輔助計算!$E$2:$E$801, 0)+1)), "")</f>
        <v/>
      </c>
      <c r="I223" s="10">
        <f>IFERROR(IF(INDEX(ERP資料!$O:$O, (MATCH(222, 輔助計算!$E$2:$E$801, 0)+1))="","",INDEX(ERP資料!$O:$O, (MATCH(222, 輔助計算!$E$2:$E$801, 0)+1))), "")</f>
        <v/>
      </c>
      <c r="J223" s="15">
        <f>IFERROR(IF(INDEX(輔助計算!$D:$D,(MATCH(222, 輔助計算!$E$2:$E$801, 0)+1))="","",INDEX(輔助計算!$D:$D,(MATCH(222, 輔助計算!$E$2:$E$801, 0)+1))*INDEX(ERP資料!$O:$O,(MATCH(222, 輔助計算!$E$2:$E$801, 0)+1))), "")</f>
        <v/>
      </c>
      <c r="K223" s="16" t="n"/>
      <c r="L223" s="16" t="n"/>
      <c r="M223" s="17" t="n"/>
    </row>
    <row r="224">
      <c r="A224" s="14">
        <f>IFERROR(IF(INDEX(ERP資料!$B:$B, (MATCH(223, 輔助計算!$E$2:$E$801, 0)+1))="","",INDEX(ERP資料!$B:$B, (MATCH(223, 輔助計算!$E$2:$E$801, 0)+1))), "")</f>
        <v/>
      </c>
      <c r="B224" s="10">
        <f>IFERROR(IF(INDEX(ERP資料!$A:$A, (MATCH(223, 輔助計算!$E$2:$E$801, 0)+1))="","",INDEX(ERP資料!$A:$A, (MATCH(223, 輔助計算!$E$2:$E$801, 0)+1))), "")</f>
        <v/>
      </c>
      <c r="C224" s="10">
        <f>IFERROR(IF(INDEX(ERP資料!$S:$S, (MATCH(223, 輔助計算!$E$2:$E$801, 0)+1))="","",INDEX(ERP資料!$S:$S, (MATCH(223, 輔助計算!$E$2:$E$801, 0)+1))), "")</f>
        <v/>
      </c>
      <c r="D224" s="10">
        <f>IFERROR(IF(INDEX(ERP資料!$E:$E, (MATCH(223, 輔助計算!$E$2:$E$801, 0)+1))="","",TRIM(INDEX(ERP資料!$E:$E, (MATCH(223, 輔助計算!$E$2:$E$801, 0)+1)))), "")</f>
        <v/>
      </c>
      <c r="E224" s="10">
        <f>IFERROR(IF(INDEX(ERP資料!$F:$F, (MATCH(223, 輔助計算!$E$2:$E$801, 0)+1))="","",INDEX(ERP資料!$F:$F, (MATCH(223, 輔助計算!$E$2:$E$801, 0)+1))), "")</f>
        <v/>
      </c>
      <c r="F224" s="10">
        <f>IFERROR(IF(INDEX(ERP資料!$G:$G, (MATCH(223, 輔助計算!$E$2:$E$801, 0)+1))="","",INDEX(ERP資料!$G:$G, (MATCH(223, 輔助計算!$E$2:$E$801, 0)+1))), "")</f>
        <v/>
      </c>
      <c r="G224" s="10">
        <f>IFERROR(IF(INDEX(ERP資料!$H:$H, (MATCH(223, 輔助計算!$E$2:$E$801, 0)+1))="","",INDEX(ERP資料!$H:$H, (MATCH(223, 輔助計算!$E$2:$E$801, 0)+1))), "")</f>
        <v/>
      </c>
      <c r="H224" s="15">
        <f>IFERROR(INDEX(輔助計算!$D:$D, (MATCH(223, 輔助計算!$E$2:$E$801, 0)+1)), "")</f>
        <v/>
      </c>
      <c r="I224" s="10">
        <f>IFERROR(IF(INDEX(ERP資料!$O:$O, (MATCH(223, 輔助計算!$E$2:$E$801, 0)+1))="","",INDEX(ERP資料!$O:$O, (MATCH(223, 輔助計算!$E$2:$E$801, 0)+1))), "")</f>
        <v/>
      </c>
      <c r="J224" s="15">
        <f>IFERROR(IF(INDEX(輔助計算!$D:$D,(MATCH(223, 輔助計算!$E$2:$E$801, 0)+1))="","",INDEX(輔助計算!$D:$D,(MATCH(223, 輔助計算!$E$2:$E$801, 0)+1))*INDEX(ERP資料!$O:$O,(MATCH(223, 輔助計算!$E$2:$E$801, 0)+1))), "")</f>
        <v/>
      </c>
      <c r="K224" s="16" t="n"/>
      <c r="L224" s="16" t="n"/>
      <c r="M224" s="17" t="n"/>
    </row>
    <row r="225">
      <c r="A225" s="14">
        <f>IFERROR(IF(INDEX(ERP資料!$B:$B, (MATCH(224, 輔助計算!$E$2:$E$801, 0)+1))="","",INDEX(ERP資料!$B:$B, (MATCH(224, 輔助計算!$E$2:$E$801, 0)+1))), "")</f>
        <v/>
      </c>
      <c r="B225" s="10">
        <f>IFERROR(IF(INDEX(ERP資料!$A:$A, (MATCH(224, 輔助計算!$E$2:$E$801, 0)+1))="","",INDEX(ERP資料!$A:$A, (MATCH(224, 輔助計算!$E$2:$E$801, 0)+1))), "")</f>
        <v/>
      </c>
      <c r="C225" s="10">
        <f>IFERROR(IF(INDEX(ERP資料!$S:$S, (MATCH(224, 輔助計算!$E$2:$E$801, 0)+1))="","",INDEX(ERP資料!$S:$S, (MATCH(224, 輔助計算!$E$2:$E$801, 0)+1))), "")</f>
        <v/>
      </c>
      <c r="D225" s="10">
        <f>IFERROR(IF(INDEX(ERP資料!$E:$E, (MATCH(224, 輔助計算!$E$2:$E$801, 0)+1))="","",TRIM(INDEX(ERP資料!$E:$E, (MATCH(224, 輔助計算!$E$2:$E$801, 0)+1)))), "")</f>
        <v/>
      </c>
      <c r="E225" s="10">
        <f>IFERROR(IF(INDEX(ERP資料!$F:$F, (MATCH(224, 輔助計算!$E$2:$E$801, 0)+1))="","",INDEX(ERP資料!$F:$F, (MATCH(224, 輔助計算!$E$2:$E$801, 0)+1))), "")</f>
        <v/>
      </c>
      <c r="F225" s="10">
        <f>IFERROR(IF(INDEX(ERP資料!$G:$G, (MATCH(224, 輔助計算!$E$2:$E$801, 0)+1))="","",INDEX(ERP資料!$G:$G, (MATCH(224, 輔助計算!$E$2:$E$801, 0)+1))), "")</f>
        <v/>
      </c>
      <c r="G225" s="10">
        <f>IFERROR(IF(INDEX(ERP資料!$H:$H, (MATCH(224, 輔助計算!$E$2:$E$801, 0)+1))="","",INDEX(ERP資料!$H:$H, (MATCH(224, 輔助計算!$E$2:$E$801, 0)+1))), "")</f>
        <v/>
      </c>
      <c r="H225" s="15">
        <f>IFERROR(INDEX(輔助計算!$D:$D, (MATCH(224, 輔助計算!$E$2:$E$801, 0)+1)), "")</f>
        <v/>
      </c>
      <c r="I225" s="10">
        <f>IFERROR(IF(INDEX(ERP資料!$O:$O, (MATCH(224, 輔助計算!$E$2:$E$801, 0)+1))="","",INDEX(ERP資料!$O:$O, (MATCH(224, 輔助計算!$E$2:$E$801, 0)+1))), "")</f>
        <v/>
      </c>
      <c r="J225" s="15">
        <f>IFERROR(IF(INDEX(輔助計算!$D:$D,(MATCH(224, 輔助計算!$E$2:$E$801, 0)+1))="","",INDEX(輔助計算!$D:$D,(MATCH(224, 輔助計算!$E$2:$E$801, 0)+1))*INDEX(ERP資料!$O:$O,(MATCH(224, 輔助計算!$E$2:$E$801, 0)+1))), "")</f>
        <v/>
      </c>
      <c r="K225" s="16" t="n"/>
      <c r="L225" s="16" t="n"/>
      <c r="M225" s="17" t="n"/>
    </row>
    <row r="226">
      <c r="A226" s="14">
        <f>IFERROR(IF(INDEX(ERP資料!$B:$B, (MATCH(225, 輔助計算!$E$2:$E$801, 0)+1))="","",INDEX(ERP資料!$B:$B, (MATCH(225, 輔助計算!$E$2:$E$801, 0)+1))), "")</f>
        <v/>
      </c>
      <c r="B226" s="10">
        <f>IFERROR(IF(INDEX(ERP資料!$A:$A, (MATCH(225, 輔助計算!$E$2:$E$801, 0)+1))="","",INDEX(ERP資料!$A:$A, (MATCH(225, 輔助計算!$E$2:$E$801, 0)+1))), "")</f>
        <v/>
      </c>
      <c r="C226" s="10">
        <f>IFERROR(IF(INDEX(ERP資料!$S:$S, (MATCH(225, 輔助計算!$E$2:$E$801, 0)+1))="","",INDEX(ERP資料!$S:$S, (MATCH(225, 輔助計算!$E$2:$E$801, 0)+1))), "")</f>
        <v/>
      </c>
      <c r="D226" s="10">
        <f>IFERROR(IF(INDEX(ERP資料!$E:$E, (MATCH(225, 輔助計算!$E$2:$E$801, 0)+1))="","",TRIM(INDEX(ERP資料!$E:$E, (MATCH(225, 輔助計算!$E$2:$E$801, 0)+1)))), "")</f>
        <v/>
      </c>
      <c r="E226" s="10">
        <f>IFERROR(IF(INDEX(ERP資料!$F:$F, (MATCH(225, 輔助計算!$E$2:$E$801, 0)+1))="","",INDEX(ERP資料!$F:$F, (MATCH(225, 輔助計算!$E$2:$E$801, 0)+1))), "")</f>
        <v/>
      </c>
      <c r="F226" s="10">
        <f>IFERROR(IF(INDEX(ERP資料!$G:$G, (MATCH(225, 輔助計算!$E$2:$E$801, 0)+1))="","",INDEX(ERP資料!$G:$G, (MATCH(225, 輔助計算!$E$2:$E$801, 0)+1))), "")</f>
        <v/>
      </c>
      <c r="G226" s="10">
        <f>IFERROR(IF(INDEX(ERP資料!$H:$H, (MATCH(225, 輔助計算!$E$2:$E$801, 0)+1))="","",INDEX(ERP資料!$H:$H, (MATCH(225, 輔助計算!$E$2:$E$801, 0)+1))), "")</f>
        <v/>
      </c>
      <c r="H226" s="15">
        <f>IFERROR(INDEX(輔助計算!$D:$D, (MATCH(225, 輔助計算!$E$2:$E$801, 0)+1)), "")</f>
        <v/>
      </c>
      <c r="I226" s="10">
        <f>IFERROR(IF(INDEX(ERP資料!$O:$O, (MATCH(225, 輔助計算!$E$2:$E$801, 0)+1))="","",INDEX(ERP資料!$O:$O, (MATCH(225, 輔助計算!$E$2:$E$801, 0)+1))), "")</f>
        <v/>
      </c>
      <c r="J226" s="15">
        <f>IFERROR(IF(INDEX(輔助計算!$D:$D,(MATCH(225, 輔助計算!$E$2:$E$801, 0)+1))="","",INDEX(輔助計算!$D:$D,(MATCH(225, 輔助計算!$E$2:$E$801, 0)+1))*INDEX(ERP資料!$O:$O,(MATCH(225, 輔助計算!$E$2:$E$801, 0)+1))), "")</f>
        <v/>
      </c>
      <c r="K226" s="16" t="n"/>
      <c r="L226" s="16" t="n"/>
      <c r="M226" s="17" t="n"/>
    </row>
    <row r="227">
      <c r="A227" s="14">
        <f>IFERROR(IF(INDEX(ERP資料!$B:$B, (MATCH(226, 輔助計算!$E$2:$E$801, 0)+1))="","",INDEX(ERP資料!$B:$B, (MATCH(226, 輔助計算!$E$2:$E$801, 0)+1))), "")</f>
        <v/>
      </c>
      <c r="B227" s="10">
        <f>IFERROR(IF(INDEX(ERP資料!$A:$A, (MATCH(226, 輔助計算!$E$2:$E$801, 0)+1))="","",INDEX(ERP資料!$A:$A, (MATCH(226, 輔助計算!$E$2:$E$801, 0)+1))), "")</f>
        <v/>
      </c>
      <c r="C227" s="10">
        <f>IFERROR(IF(INDEX(ERP資料!$S:$S, (MATCH(226, 輔助計算!$E$2:$E$801, 0)+1))="","",INDEX(ERP資料!$S:$S, (MATCH(226, 輔助計算!$E$2:$E$801, 0)+1))), "")</f>
        <v/>
      </c>
      <c r="D227" s="10">
        <f>IFERROR(IF(INDEX(ERP資料!$E:$E, (MATCH(226, 輔助計算!$E$2:$E$801, 0)+1))="","",TRIM(INDEX(ERP資料!$E:$E, (MATCH(226, 輔助計算!$E$2:$E$801, 0)+1)))), "")</f>
        <v/>
      </c>
      <c r="E227" s="10">
        <f>IFERROR(IF(INDEX(ERP資料!$F:$F, (MATCH(226, 輔助計算!$E$2:$E$801, 0)+1))="","",INDEX(ERP資料!$F:$F, (MATCH(226, 輔助計算!$E$2:$E$801, 0)+1))), "")</f>
        <v/>
      </c>
      <c r="F227" s="10">
        <f>IFERROR(IF(INDEX(ERP資料!$G:$G, (MATCH(226, 輔助計算!$E$2:$E$801, 0)+1))="","",INDEX(ERP資料!$G:$G, (MATCH(226, 輔助計算!$E$2:$E$801, 0)+1))), "")</f>
        <v/>
      </c>
      <c r="G227" s="10">
        <f>IFERROR(IF(INDEX(ERP資料!$H:$H, (MATCH(226, 輔助計算!$E$2:$E$801, 0)+1))="","",INDEX(ERP資料!$H:$H, (MATCH(226, 輔助計算!$E$2:$E$801, 0)+1))), "")</f>
        <v/>
      </c>
      <c r="H227" s="15">
        <f>IFERROR(INDEX(輔助計算!$D:$D, (MATCH(226, 輔助計算!$E$2:$E$801, 0)+1)), "")</f>
        <v/>
      </c>
      <c r="I227" s="10">
        <f>IFERROR(IF(INDEX(ERP資料!$O:$O, (MATCH(226, 輔助計算!$E$2:$E$801, 0)+1))="","",INDEX(ERP資料!$O:$O, (MATCH(226, 輔助計算!$E$2:$E$801, 0)+1))), "")</f>
        <v/>
      </c>
      <c r="J227" s="15">
        <f>IFERROR(IF(INDEX(輔助計算!$D:$D,(MATCH(226, 輔助計算!$E$2:$E$801, 0)+1))="","",INDEX(輔助計算!$D:$D,(MATCH(226, 輔助計算!$E$2:$E$801, 0)+1))*INDEX(ERP資料!$O:$O,(MATCH(226, 輔助計算!$E$2:$E$801, 0)+1))), "")</f>
        <v/>
      </c>
      <c r="K227" s="16" t="n"/>
      <c r="L227" s="16" t="n"/>
      <c r="M227" s="17" t="n"/>
    </row>
    <row r="228">
      <c r="A228" s="14">
        <f>IFERROR(IF(INDEX(ERP資料!$B:$B, (MATCH(227, 輔助計算!$E$2:$E$801, 0)+1))="","",INDEX(ERP資料!$B:$B, (MATCH(227, 輔助計算!$E$2:$E$801, 0)+1))), "")</f>
        <v/>
      </c>
      <c r="B228" s="10">
        <f>IFERROR(IF(INDEX(ERP資料!$A:$A, (MATCH(227, 輔助計算!$E$2:$E$801, 0)+1))="","",INDEX(ERP資料!$A:$A, (MATCH(227, 輔助計算!$E$2:$E$801, 0)+1))), "")</f>
        <v/>
      </c>
      <c r="C228" s="10">
        <f>IFERROR(IF(INDEX(ERP資料!$S:$S, (MATCH(227, 輔助計算!$E$2:$E$801, 0)+1))="","",INDEX(ERP資料!$S:$S, (MATCH(227, 輔助計算!$E$2:$E$801, 0)+1))), "")</f>
        <v/>
      </c>
      <c r="D228" s="10">
        <f>IFERROR(IF(INDEX(ERP資料!$E:$E, (MATCH(227, 輔助計算!$E$2:$E$801, 0)+1))="","",TRIM(INDEX(ERP資料!$E:$E, (MATCH(227, 輔助計算!$E$2:$E$801, 0)+1)))), "")</f>
        <v/>
      </c>
      <c r="E228" s="10">
        <f>IFERROR(IF(INDEX(ERP資料!$F:$F, (MATCH(227, 輔助計算!$E$2:$E$801, 0)+1))="","",INDEX(ERP資料!$F:$F, (MATCH(227, 輔助計算!$E$2:$E$801, 0)+1))), "")</f>
        <v/>
      </c>
      <c r="F228" s="10">
        <f>IFERROR(IF(INDEX(ERP資料!$G:$G, (MATCH(227, 輔助計算!$E$2:$E$801, 0)+1))="","",INDEX(ERP資料!$G:$G, (MATCH(227, 輔助計算!$E$2:$E$801, 0)+1))), "")</f>
        <v/>
      </c>
      <c r="G228" s="10">
        <f>IFERROR(IF(INDEX(ERP資料!$H:$H, (MATCH(227, 輔助計算!$E$2:$E$801, 0)+1))="","",INDEX(ERP資料!$H:$H, (MATCH(227, 輔助計算!$E$2:$E$801, 0)+1))), "")</f>
        <v/>
      </c>
      <c r="H228" s="15">
        <f>IFERROR(INDEX(輔助計算!$D:$D, (MATCH(227, 輔助計算!$E$2:$E$801, 0)+1)), "")</f>
        <v/>
      </c>
      <c r="I228" s="10">
        <f>IFERROR(IF(INDEX(ERP資料!$O:$O, (MATCH(227, 輔助計算!$E$2:$E$801, 0)+1))="","",INDEX(ERP資料!$O:$O, (MATCH(227, 輔助計算!$E$2:$E$801, 0)+1))), "")</f>
        <v/>
      </c>
      <c r="J228" s="15">
        <f>IFERROR(IF(INDEX(輔助計算!$D:$D,(MATCH(227, 輔助計算!$E$2:$E$801, 0)+1))="","",INDEX(輔助計算!$D:$D,(MATCH(227, 輔助計算!$E$2:$E$801, 0)+1))*INDEX(ERP資料!$O:$O,(MATCH(227, 輔助計算!$E$2:$E$801, 0)+1))), "")</f>
        <v/>
      </c>
      <c r="K228" s="16" t="n"/>
      <c r="L228" s="16" t="n"/>
      <c r="M228" s="17" t="n"/>
    </row>
    <row r="229">
      <c r="A229" s="14">
        <f>IFERROR(IF(INDEX(ERP資料!$B:$B, (MATCH(228, 輔助計算!$E$2:$E$801, 0)+1))="","",INDEX(ERP資料!$B:$B, (MATCH(228, 輔助計算!$E$2:$E$801, 0)+1))), "")</f>
        <v/>
      </c>
      <c r="B229" s="10">
        <f>IFERROR(IF(INDEX(ERP資料!$A:$A, (MATCH(228, 輔助計算!$E$2:$E$801, 0)+1))="","",INDEX(ERP資料!$A:$A, (MATCH(228, 輔助計算!$E$2:$E$801, 0)+1))), "")</f>
        <v/>
      </c>
      <c r="C229" s="10">
        <f>IFERROR(IF(INDEX(ERP資料!$S:$S, (MATCH(228, 輔助計算!$E$2:$E$801, 0)+1))="","",INDEX(ERP資料!$S:$S, (MATCH(228, 輔助計算!$E$2:$E$801, 0)+1))), "")</f>
        <v/>
      </c>
      <c r="D229" s="10">
        <f>IFERROR(IF(INDEX(ERP資料!$E:$E, (MATCH(228, 輔助計算!$E$2:$E$801, 0)+1))="","",TRIM(INDEX(ERP資料!$E:$E, (MATCH(228, 輔助計算!$E$2:$E$801, 0)+1)))), "")</f>
        <v/>
      </c>
      <c r="E229" s="10">
        <f>IFERROR(IF(INDEX(ERP資料!$F:$F, (MATCH(228, 輔助計算!$E$2:$E$801, 0)+1))="","",INDEX(ERP資料!$F:$F, (MATCH(228, 輔助計算!$E$2:$E$801, 0)+1))), "")</f>
        <v/>
      </c>
      <c r="F229" s="10">
        <f>IFERROR(IF(INDEX(ERP資料!$G:$G, (MATCH(228, 輔助計算!$E$2:$E$801, 0)+1))="","",INDEX(ERP資料!$G:$G, (MATCH(228, 輔助計算!$E$2:$E$801, 0)+1))), "")</f>
        <v/>
      </c>
      <c r="G229" s="10">
        <f>IFERROR(IF(INDEX(ERP資料!$H:$H, (MATCH(228, 輔助計算!$E$2:$E$801, 0)+1))="","",INDEX(ERP資料!$H:$H, (MATCH(228, 輔助計算!$E$2:$E$801, 0)+1))), "")</f>
        <v/>
      </c>
      <c r="H229" s="15">
        <f>IFERROR(INDEX(輔助計算!$D:$D, (MATCH(228, 輔助計算!$E$2:$E$801, 0)+1)), "")</f>
        <v/>
      </c>
      <c r="I229" s="10">
        <f>IFERROR(IF(INDEX(ERP資料!$O:$O, (MATCH(228, 輔助計算!$E$2:$E$801, 0)+1))="","",INDEX(ERP資料!$O:$O, (MATCH(228, 輔助計算!$E$2:$E$801, 0)+1))), "")</f>
        <v/>
      </c>
      <c r="J229" s="15">
        <f>IFERROR(IF(INDEX(輔助計算!$D:$D,(MATCH(228, 輔助計算!$E$2:$E$801, 0)+1))="","",INDEX(輔助計算!$D:$D,(MATCH(228, 輔助計算!$E$2:$E$801, 0)+1))*INDEX(ERP資料!$O:$O,(MATCH(228, 輔助計算!$E$2:$E$801, 0)+1))), "")</f>
        <v/>
      </c>
      <c r="K229" s="16" t="n"/>
      <c r="L229" s="16" t="n"/>
      <c r="M229" s="17" t="n"/>
    </row>
    <row r="230">
      <c r="A230" s="14">
        <f>IFERROR(IF(INDEX(ERP資料!$B:$B, (MATCH(229, 輔助計算!$E$2:$E$801, 0)+1))="","",INDEX(ERP資料!$B:$B, (MATCH(229, 輔助計算!$E$2:$E$801, 0)+1))), "")</f>
        <v/>
      </c>
      <c r="B230" s="10">
        <f>IFERROR(IF(INDEX(ERP資料!$A:$A, (MATCH(229, 輔助計算!$E$2:$E$801, 0)+1))="","",INDEX(ERP資料!$A:$A, (MATCH(229, 輔助計算!$E$2:$E$801, 0)+1))), "")</f>
        <v/>
      </c>
      <c r="C230" s="10">
        <f>IFERROR(IF(INDEX(ERP資料!$S:$S, (MATCH(229, 輔助計算!$E$2:$E$801, 0)+1))="","",INDEX(ERP資料!$S:$S, (MATCH(229, 輔助計算!$E$2:$E$801, 0)+1))), "")</f>
        <v/>
      </c>
      <c r="D230" s="10">
        <f>IFERROR(IF(INDEX(ERP資料!$E:$E, (MATCH(229, 輔助計算!$E$2:$E$801, 0)+1))="","",TRIM(INDEX(ERP資料!$E:$E, (MATCH(229, 輔助計算!$E$2:$E$801, 0)+1)))), "")</f>
        <v/>
      </c>
      <c r="E230" s="10">
        <f>IFERROR(IF(INDEX(ERP資料!$F:$F, (MATCH(229, 輔助計算!$E$2:$E$801, 0)+1))="","",INDEX(ERP資料!$F:$F, (MATCH(229, 輔助計算!$E$2:$E$801, 0)+1))), "")</f>
        <v/>
      </c>
      <c r="F230" s="10">
        <f>IFERROR(IF(INDEX(ERP資料!$G:$G, (MATCH(229, 輔助計算!$E$2:$E$801, 0)+1))="","",INDEX(ERP資料!$G:$G, (MATCH(229, 輔助計算!$E$2:$E$801, 0)+1))), "")</f>
        <v/>
      </c>
      <c r="G230" s="10">
        <f>IFERROR(IF(INDEX(ERP資料!$H:$H, (MATCH(229, 輔助計算!$E$2:$E$801, 0)+1))="","",INDEX(ERP資料!$H:$H, (MATCH(229, 輔助計算!$E$2:$E$801, 0)+1))), "")</f>
        <v/>
      </c>
      <c r="H230" s="15">
        <f>IFERROR(INDEX(輔助計算!$D:$D, (MATCH(229, 輔助計算!$E$2:$E$801, 0)+1)), "")</f>
        <v/>
      </c>
      <c r="I230" s="10">
        <f>IFERROR(IF(INDEX(ERP資料!$O:$O, (MATCH(229, 輔助計算!$E$2:$E$801, 0)+1))="","",INDEX(ERP資料!$O:$O, (MATCH(229, 輔助計算!$E$2:$E$801, 0)+1))), "")</f>
        <v/>
      </c>
      <c r="J230" s="15">
        <f>IFERROR(IF(INDEX(輔助計算!$D:$D,(MATCH(229, 輔助計算!$E$2:$E$801, 0)+1))="","",INDEX(輔助計算!$D:$D,(MATCH(229, 輔助計算!$E$2:$E$801, 0)+1))*INDEX(ERP資料!$O:$O,(MATCH(229, 輔助計算!$E$2:$E$801, 0)+1))), "")</f>
        <v/>
      </c>
      <c r="K230" s="16" t="n"/>
      <c r="L230" s="16" t="n"/>
      <c r="M230" s="17" t="n"/>
    </row>
    <row r="231">
      <c r="A231" s="14">
        <f>IFERROR(IF(INDEX(ERP資料!$B:$B, (MATCH(230, 輔助計算!$E$2:$E$801, 0)+1))="","",INDEX(ERP資料!$B:$B, (MATCH(230, 輔助計算!$E$2:$E$801, 0)+1))), "")</f>
        <v/>
      </c>
      <c r="B231" s="10">
        <f>IFERROR(IF(INDEX(ERP資料!$A:$A, (MATCH(230, 輔助計算!$E$2:$E$801, 0)+1))="","",INDEX(ERP資料!$A:$A, (MATCH(230, 輔助計算!$E$2:$E$801, 0)+1))), "")</f>
        <v/>
      </c>
      <c r="C231" s="10">
        <f>IFERROR(IF(INDEX(ERP資料!$S:$S, (MATCH(230, 輔助計算!$E$2:$E$801, 0)+1))="","",INDEX(ERP資料!$S:$S, (MATCH(230, 輔助計算!$E$2:$E$801, 0)+1))), "")</f>
        <v/>
      </c>
      <c r="D231" s="10">
        <f>IFERROR(IF(INDEX(ERP資料!$E:$E, (MATCH(230, 輔助計算!$E$2:$E$801, 0)+1))="","",TRIM(INDEX(ERP資料!$E:$E, (MATCH(230, 輔助計算!$E$2:$E$801, 0)+1)))), "")</f>
        <v/>
      </c>
      <c r="E231" s="10">
        <f>IFERROR(IF(INDEX(ERP資料!$F:$F, (MATCH(230, 輔助計算!$E$2:$E$801, 0)+1))="","",INDEX(ERP資料!$F:$F, (MATCH(230, 輔助計算!$E$2:$E$801, 0)+1))), "")</f>
        <v/>
      </c>
      <c r="F231" s="10">
        <f>IFERROR(IF(INDEX(ERP資料!$G:$G, (MATCH(230, 輔助計算!$E$2:$E$801, 0)+1))="","",INDEX(ERP資料!$G:$G, (MATCH(230, 輔助計算!$E$2:$E$801, 0)+1))), "")</f>
        <v/>
      </c>
      <c r="G231" s="10">
        <f>IFERROR(IF(INDEX(ERP資料!$H:$H, (MATCH(230, 輔助計算!$E$2:$E$801, 0)+1))="","",INDEX(ERP資料!$H:$H, (MATCH(230, 輔助計算!$E$2:$E$801, 0)+1))), "")</f>
        <v/>
      </c>
      <c r="H231" s="15">
        <f>IFERROR(INDEX(輔助計算!$D:$D, (MATCH(230, 輔助計算!$E$2:$E$801, 0)+1)), "")</f>
        <v/>
      </c>
      <c r="I231" s="10">
        <f>IFERROR(IF(INDEX(ERP資料!$O:$O, (MATCH(230, 輔助計算!$E$2:$E$801, 0)+1))="","",INDEX(ERP資料!$O:$O, (MATCH(230, 輔助計算!$E$2:$E$801, 0)+1))), "")</f>
        <v/>
      </c>
      <c r="J231" s="15">
        <f>IFERROR(IF(INDEX(輔助計算!$D:$D,(MATCH(230, 輔助計算!$E$2:$E$801, 0)+1))="","",INDEX(輔助計算!$D:$D,(MATCH(230, 輔助計算!$E$2:$E$801, 0)+1))*INDEX(ERP資料!$O:$O,(MATCH(230, 輔助計算!$E$2:$E$801, 0)+1))), "")</f>
        <v/>
      </c>
      <c r="K231" s="16" t="n"/>
      <c r="L231" s="16" t="n"/>
      <c r="M231" s="17" t="n"/>
    </row>
    <row r="232">
      <c r="A232" s="14">
        <f>IFERROR(IF(INDEX(ERP資料!$B:$B, (MATCH(231, 輔助計算!$E$2:$E$801, 0)+1))="","",INDEX(ERP資料!$B:$B, (MATCH(231, 輔助計算!$E$2:$E$801, 0)+1))), "")</f>
        <v/>
      </c>
      <c r="B232" s="10">
        <f>IFERROR(IF(INDEX(ERP資料!$A:$A, (MATCH(231, 輔助計算!$E$2:$E$801, 0)+1))="","",INDEX(ERP資料!$A:$A, (MATCH(231, 輔助計算!$E$2:$E$801, 0)+1))), "")</f>
        <v/>
      </c>
      <c r="C232" s="10">
        <f>IFERROR(IF(INDEX(ERP資料!$S:$S, (MATCH(231, 輔助計算!$E$2:$E$801, 0)+1))="","",INDEX(ERP資料!$S:$S, (MATCH(231, 輔助計算!$E$2:$E$801, 0)+1))), "")</f>
        <v/>
      </c>
      <c r="D232" s="10">
        <f>IFERROR(IF(INDEX(ERP資料!$E:$E, (MATCH(231, 輔助計算!$E$2:$E$801, 0)+1))="","",TRIM(INDEX(ERP資料!$E:$E, (MATCH(231, 輔助計算!$E$2:$E$801, 0)+1)))), "")</f>
        <v/>
      </c>
      <c r="E232" s="10">
        <f>IFERROR(IF(INDEX(ERP資料!$F:$F, (MATCH(231, 輔助計算!$E$2:$E$801, 0)+1))="","",INDEX(ERP資料!$F:$F, (MATCH(231, 輔助計算!$E$2:$E$801, 0)+1))), "")</f>
        <v/>
      </c>
      <c r="F232" s="10">
        <f>IFERROR(IF(INDEX(ERP資料!$G:$G, (MATCH(231, 輔助計算!$E$2:$E$801, 0)+1))="","",INDEX(ERP資料!$G:$G, (MATCH(231, 輔助計算!$E$2:$E$801, 0)+1))), "")</f>
        <v/>
      </c>
      <c r="G232" s="10">
        <f>IFERROR(IF(INDEX(ERP資料!$H:$H, (MATCH(231, 輔助計算!$E$2:$E$801, 0)+1))="","",INDEX(ERP資料!$H:$H, (MATCH(231, 輔助計算!$E$2:$E$801, 0)+1))), "")</f>
        <v/>
      </c>
      <c r="H232" s="15">
        <f>IFERROR(INDEX(輔助計算!$D:$D, (MATCH(231, 輔助計算!$E$2:$E$801, 0)+1)), "")</f>
        <v/>
      </c>
      <c r="I232" s="10">
        <f>IFERROR(IF(INDEX(ERP資料!$O:$O, (MATCH(231, 輔助計算!$E$2:$E$801, 0)+1))="","",INDEX(ERP資料!$O:$O, (MATCH(231, 輔助計算!$E$2:$E$801, 0)+1))), "")</f>
        <v/>
      </c>
      <c r="J232" s="15">
        <f>IFERROR(IF(INDEX(輔助計算!$D:$D,(MATCH(231, 輔助計算!$E$2:$E$801, 0)+1))="","",INDEX(輔助計算!$D:$D,(MATCH(231, 輔助計算!$E$2:$E$801, 0)+1))*INDEX(ERP資料!$O:$O,(MATCH(231, 輔助計算!$E$2:$E$801, 0)+1))), "")</f>
        <v/>
      </c>
      <c r="K232" s="16" t="n"/>
      <c r="L232" s="16" t="n"/>
      <c r="M232" s="17" t="n"/>
    </row>
    <row r="233">
      <c r="A233" s="14">
        <f>IFERROR(IF(INDEX(ERP資料!$B:$B, (MATCH(232, 輔助計算!$E$2:$E$801, 0)+1))="","",INDEX(ERP資料!$B:$B, (MATCH(232, 輔助計算!$E$2:$E$801, 0)+1))), "")</f>
        <v/>
      </c>
      <c r="B233" s="10">
        <f>IFERROR(IF(INDEX(ERP資料!$A:$A, (MATCH(232, 輔助計算!$E$2:$E$801, 0)+1))="","",INDEX(ERP資料!$A:$A, (MATCH(232, 輔助計算!$E$2:$E$801, 0)+1))), "")</f>
        <v/>
      </c>
      <c r="C233" s="10">
        <f>IFERROR(IF(INDEX(ERP資料!$S:$S, (MATCH(232, 輔助計算!$E$2:$E$801, 0)+1))="","",INDEX(ERP資料!$S:$S, (MATCH(232, 輔助計算!$E$2:$E$801, 0)+1))), "")</f>
        <v/>
      </c>
      <c r="D233" s="10">
        <f>IFERROR(IF(INDEX(ERP資料!$E:$E, (MATCH(232, 輔助計算!$E$2:$E$801, 0)+1))="","",TRIM(INDEX(ERP資料!$E:$E, (MATCH(232, 輔助計算!$E$2:$E$801, 0)+1)))), "")</f>
        <v/>
      </c>
      <c r="E233" s="10">
        <f>IFERROR(IF(INDEX(ERP資料!$F:$F, (MATCH(232, 輔助計算!$E$2:$E$801, 0)+1))="","",INDEX(ERP資料!$F:$F, (MATCH(232, 輔助計算!$E$2:$E$801, 0)+1))), "")</f>
        <v/>
      </c>
      <c r="F233" s="10">
        <f>IFERROR(IF(INDEX(ERP資料!$G:$G, (MATCH(232, 輔助計算!$E$2:$E$801, 0)+1))="","",INDEX(ERP資料!$G:$G, (MATCH(232, 輔助計算!$E$2:$E$801, 0)+1))), "")</f>
        <v/>
      </c>
      <c r="G233" s="10">
        <f>IFERROR(IF(INDEX(ERP資料!$H:$H, (MATCH(232, 輔助計算!$E$2:$E$801, 0)+1))="","",INDEX(ERP資料!$H:$H, (MATCH(232, 輔助計算!$E$2:$E$801, 0)+1))), "")</f>
        <v/>
      </c>
      <c r="H233" s="15">
        <f>IFERROR(INDEX(輔助計算!$D:$D, (MATCH(232, 輔助計算!$E$2:$E$801, 0)+1)), "")</f>
        <v/>
      </c>
      <c r="I233" s="10">
        <f>IFERROR(IF(INDEX(ERP資料!$O:$O, (MATCH(232, 輔助計算!$E$2:$E$801, 0)+1))="","",INDEX(ERP資料!$O:$O, (MATCH(232, 輔助計算!$E$2:$E$801, 0)+1))), "")</f>
        <v/>
      </c>
      <c r="J233" s="15">
        <f>IFERROR(IF(INDEX(輔助計算!$D:$D,(MATCH(232, 輔助計算!$E$2:$E$801, 0)+1))="","",INDEX(輔助計算!$D:$D,(MATCH(232, 輔助計算!$E$2:$E$801, 0)+1))*INDEX(ERP資料!$O:$O,(MATCH(232, 輔助計算!$E$2:$E$801, 0)+1))), "")</f>
        <v/>
      </c>
      <c r="K233" s="16" t="n"/>
      <c r="L233" s="16" t="n"/>
      <c r="M233" s="17" t="n"/>
    </row>
    <row r="234">
      <c r="A234" s="14">
        <f>IFERROR(IF(INDEX(ERP資料!$B:$B, (MATCH(233, 輔助計算!$E$2:$E$801, 0)+1))="","",INDEX(ERP資料!$B:$B, (MATCH(233, 輔助計算!$E$2:$E$801, 0)+1))), "")</f>
        <v/>
      </c>
      <c r="B234" s="10">
        <f>IFERROR(IF(INDEX(ERP資料!$A:$A, (MATCH(233, 輔助計算!$E$2:$E$801, 0)+1))="","",INDEX(ERP資料!$A:$A, (MATCH(233, 輔助計算!$E$2:$E$801, 0)+1))), "")</f>
        <v/>
      </c>
      <c r="C234" s="10">
        <f>IFERROR(IF(INDEX(ERP資料!$S:$S, (MATCH(233, 輔助計算!$E$2:$E$801, 0)+1))="","",INDEX(ERP資料!$S:$S, (MATCH(233, 輔助計算!$E$2:$E$801, 0)+1))), "")</f>
        <v/>
      </c>
      <c r="D234" s="10">
        <f>IFERROR(IF(INDEX(ERP資料!$E:$E, (MATCH(233, 輔助計算!$E$2:$E$801, 0)+1))="","",TRIM(INDEX(ERP資料!$E:$E, (MATCH(233, 輔助計算!$E$2:$E$801, 0)+1)))), "")</f>
        <v/>
      </c>
      <c r="E234" s="10">
        <f>IFERROR(IF(INDEX(ERP資料!$F:$F, (MATCH(233, 輔助計算!$E$2:$E$801, 0)+1))="","",INDEX(ERP資料!$F:$F, (MATCH(233, 輔助計算!$E$2:$E$801, 0)+1))), "")</f>
        <v/>
      </c>
      <c r="F234" s="10">
        <f>IFERROR(IF(INDEX(ERP資料!$G:$G, (MATCH(233, 輔助計算!$E$2:$E$801, 0)+1))="","",INDEX(ERP資料!$G:$G, (MATCH(233, 輔助計算!$E$2:$E$801, 0)+1))), "")</f>
        <v/>
      </c>
      <c r="G234" s="10">
        <f>IFERROR(IF(INDEX(ERP資料!$H:$H, (MATCH(233, 輔助計算!$E$2:$E$801, 0)+1))="","",INDEX(ERP資料!$H:$H, (MATCH(233, 輔助計算!$E$2:$E$801, 0)+1))), "")</f>
        <v/>
      </c>
      <c r="H234" s="15">
        <f>IFERROR(INDEX(輔助計算!$D:$D, (MATCH(233, 輔助計算!$E$2:$E$801, 0)+1)), "")</f>
        <v/>
      </c>
      <c r="I234" s="10">
        <f>IFERROR(IF(INDEX(ERP資料!$O:$O, (MATCH(233, 輔助計算!$E$2:$E$801, 0)+1))="","",INDEX(ERP資料!$O:$O, (MATCH(233, 輔助計算!$E$2:$E$801, 0)+1))), "")</f>
        <v/>
      </c>
      <c r="J234" s="15">
        <f>IFERROR(IF(INDEX(輔助計算!$D:$D,(MATCH(233, 輔助計算!$E$2:$E$801, 0)+1))="","",INDEX(輔助計算!$D:$D,(MATCH(233, 輔助計算!$E$2:$E$801, 0)+1))*INDEX(ERP資料!$O:$O,(MATCH(233, 輔助計算!$E$2:$E$801, 0)+1))), "")</f>
        <v/>
      </c>
      <c r="K234" s="16" t="n"/>
      <c r="L234" s="16" t="n"/>
      <c r="M234" s="17" t="n"/>
    </row>
    <row r="235">
      <c r="A235" s="14">
        <f>IFERROR(IF(INDEX(ERP資料!$B:$B, (MATCH(234, 輔助計算!$E$2:$E$801, 0)+1))="","",INDEX(ERP資料!$B:$B, (MATCH(234, 輔助計算!$E$2:$E$801, 0)+1))), "")</f>
        <v/>
      </c>
      <c r="B235" s="10">
        <f>IFERROR(IF(INDEX(ERP資料!$A:$A, (MATCH(234, 輔助計算!$E$2:$E$801, 0)+1))="","",INDEX(ERP資料!$A:$A, (MATCH(234, 輔助計算!$E$2:$E$801, 0)+1))), "")</f>
        <v/>
      </c>
      <c r="C235" s="10">
        <f>IFERROR(IF(INDEX(ERP資料!$S:$S, (MATCH(234, 輔助計算!$E$2:$E$801, 0)+1))="","",INDEX(ERP資料!$S:$S, (MATCH(234, 輔助計算!$E$2:$E$801, 0)+1))), "")</f>
        <v/>
      </c>
      <c r="D235" s="10">
        <f>IFERROR(IF(INDEX(ERP資料!$E:$E, (MATCH(234, 輔助計算!$E$2:$E$801, 0)+1))="","",TRIM(INDEX(ERP資料!$E:$E, (MATCH(234, 輔助計算!$E$2:$E$801, 0)+1)))), "")</f>
        <v/>
      </c>
      <c r="E235" s="10">
        <f>IFERROR(IF(INDEX(ERP資料!$F:$F, (MATCH(234, 輔助計算!$E$2:$E$801, 0)+1))="","",INDEX(ERP資料!$F:$F, (MATCH(234, 輔助計算!$E$2:$E$801, 0)+1))), "")</f>
        <v/>
      </c>
      <c r="F235" s="10">
        <f>IFERROR(IF(INDEX(ERP資料!$G:$G, (MATCH(234, 輔助計算!$E$2:$E$801, 0)+1))="","",INDEX(ERP資料!$G:$G, (MATCH(234, 輔助計算!$E$2:$E$801, 0)+1))), "")</f>
        <v/>
      </c>
      <c r="G235" s="10">
        <f>IFERROR(IF(INDEX(ERP資料!$H:$H, (MATCH(234, 輔助計算!$E$2:$E$801, 0)+1))="","",INDEX(ERP資料!$H:$H, (MATCH(234, 輔助計算!$E$2:$E$801, 0)+1))), "")</f>
        <v/>
      </c>
      <c r="H235" s="15">
        <f>IFERROR(INDEX(輔助計算!$D:$D, (MATCH(234, 輔助計算!$E$2:$E$801, 0)+1)), "")</f>
        <v/>
      </c>
      <c r="I235" s="10">
        <f>IFERROR(IF(INDEX(ERP資料!$O:$O, (MATCH(234, 輔助計算!$E$2:$E$801, 0)+1))="","",INDEX(ERP資料!$O:$O, (MATCH(234, 輔助計算!$E$2:$E$801, 0)+1))), "")</f>
        <v/>
      </c>
      <c r="J235" s="15">
        <f>IFERROR(IF(INDEX(輔助計算!$D:$D,(MATCH(234, 輔助計算!$E$2:$E$801, 0)+1))="","",INDEX(輔助計算!$D:$D,(MATCH(234, 輔助計算!$E$2:$E$801, 0)+1))*INDEX(ERP資料!$O:$O,(MATCH(234, 輔助計算!$E$2:$E$801, 0)+1))), "")</f>
        <v/>
      </c>
      <c r="K235" s="16" t="n"/>
      <c r="L235" s="16" t="n"/>
      <c r="M235" s="17" t="n"/>
    </row>
    <row r="236">
      <c r="A236" s="14">
        <f>IFERROR(IF(INDEX(ERP資料!$B:$B, (MATCH(235, 輔助計算!$E$2:$E$801, 0)+1))="","",INDEX(ERP資料!$B:$B, (MATCH(235, 輔助計算!$E$2:$E$801, 0)+1))), "")</f>
        <v/>
      </c>
      <c r="B236" s="10">
        <f>IFERROR(IF(INDEX(ERP資料!$A:$A, (MATCH(235, 輔助計算!$E$2:$E$801, 0)+1))="","",INDEX(ERP資料!$A:$A, (MATCH(235, 輔助計算!$E$2:$E$801, 0)+1))), "")</f>
        <v/>
      </c>
      <c r="C236" s="10">
        <f>IFERROR(IF(INDEX(ERP資料!$S:$S, (MATCH(235, 輔助計算!$E$2:$E$801, 0)+1))="","",INDEX(ERP資料!$S:$S, (MATCH(235, 輔助計算!$E$2:$E$801, 0)+1))), "")</f>
        <v/>
      </c>
      <c r="D236" s="10">
        <f>IFERROR(IF(INDEX(ERP資料!$E:$E, (MATCH(235, 輔助計算!$E$2:$E$801, 0)+1))="","",TRIM(INDEX(ERP資料!$E:$E, (MATCH(235, 輔助計算!$E$2:$E$801, 0)+1)))), "")</f>
        <v/>
      </c>
      <c r="E236" s="10">
        <f>IFERROR(IF(INDEX(ERP資料!$F:$F, (MATCH(235, 輔助計算!$E$2:$E$801, 0)+1))="","",INDEX(ERP資料!$F:$F, (MATCH(235, 輔助計算!$E$2:$E$801, 0)+1))), "")</f>
        <v/>
      </c>
      <c r="F236" s="10">
        <f>IFERROR(IF(INDEX(ERP資料!$G:$G, (MATCH(235, 輔助計算!$E$2:$E$801, 0)+1))="","",INDEX(ERP資料!$G:$G, (MATCH(235, 輔助計算!$E$2:$E$801, 0)+1))), "")</f>
        <v/>
      </c>
      <c r="G236" s="10">
        <f>IFERROR(IF(INDEX(ERP資料!$H:$H, (MATCH(235, 輔助計算!$E$2:$E$801, 0)+1))="","",INDEX(ERP資料!$H:$H, (MATCH(235, 輔助計算!$E$2:$E$801, 0)+1))), "")</f>
        <v/>
      </c>
      <c r="H236" s="15">
        <f>IFERROR(INDEX(輔助計算!$D:$D, (MATCH(235, 輔助計算!$E$2:$E$801, 0)+1)), "")</f>
        <v/>
      </c>
      <c r="I236" s="10">
        <f>IFERROR(IF(INDEX(ERP資料!$O:$O, (MATCH(235, 輔助計算!$E$2:$E$801, 0)+1))="","",INDEX(ERP資料!$O:$O, (MATCH(235, 輔助計算!$E$2:$E$801, 0)+1))), "")</f>
        <v/>
      </c>
      <c r="J236" s="15">
        <f>IFERROR(IF(INDEX(輔助計算!$D:$D,(MATCH(235, 輔助計算!$E$2:$E$801, 0)+1))="","",INDEX(輔助計算!$D:$D,(MATCH(235, 輔助計算!$E$2:$E$801, 0)+1))*INDEX(ERP資料!$O:$O,(MATCH(235, 輔助計算!$E$2:$E$801, 0)+1))), "")</f>
        <v/>
      </c>
      <c r="K236" s="16" t="n"/>
      <c r="L236" s="16" t="n"/>
      <c r="M236" s="17" t="n"/>
    </row>
    <row r="237">
      <c r="A237" s="14">
        <f>IFERROR(IF(INDEX(ERP資料!$B:$B, (MATCH(236, 輔助計算!$E$2:$E$801, 0)+1))="","",INDEX(ERP資料!$B:$B, (MATCH(236, 輔助計算!$E$2:$E$801, 0)+1))), "")</f>
        <v/>
      </c>
      <c r="B237" s="10">
        <f>IFERROR(IF(INDEX(ERP資料!$A:$A, (MATCH(236, 輔助計算!$E$2:$E$801, 0)+1))="","",INDEX(ERP資料!$A:$A, (MATCH(236, 輔助計算!$E$2:$E$801, 0)+1))), "")</f>
        <v/>
      </c>
      <c r="C237" s="10">
        <f>IFERROR(IF(INDEX(ERP資料!$S:$S, (MATCH(236, 輔助計算!$E$2:$E$801, 0)+1))="","",INDEX(ERP資料!$S:$S, (MATCH(236, 輔助計算!$E$2:$E$801, 0)+1))), "")</f>
        <v/>
      </c>
      <c r="D237" s="10">
        <f>IFERROR(IF(INDEX(ERP資料!$E:$E, (MATCH(236, 輔助計算!$E$2:$E$801, 0)+1))="","",TRIM(INDEX(ERP資料!$E:$E, (MATCH(236, 輔助計算!$E$2:$E$801, 0)+1)))), "")</f>
        <v/>
      </c>
      <c r="E237" s="10">
        <f>IFERROR(IF(INDEX(ERP資料!$F:$F, (MATCH(236, 輔助計算!$E$2:$E$801, 0)+1))="","",INDEX(ERP資料!$F:$F, (MATCH(236, 輔助計算!$E$2:$E$801, 0)+1))), "")</f>
        <v/>
      </c>
      <c r="F237" s="10">
        <f>IFERROR(IF(INDEX(ERP資料!$G:$G, (MATCH(236, 輔助計算!$E$2:$E$801, 0)+1))="","",INDEX(ERP資料!$G:$G, (MATCH(236, 輔助計算!$E$2:$E$801, 0)+1))), "")</f>
        <v/>
      </c>
      <c r="G237" s="10">
        <f>IFERROR(IF(INDEX(ERP資料!$H:$H, (MATCH(236, 輔助計算!$E$2:$E$801, 0)+1))="","",INDEX(ERP資料!$H:$H, (MATCH(236, 輔助計算!$E$2:$E$801, 0)+1))), "")</f>
        <v/>
      </c>
      <c r="H237" s="15">
        <f>IFERROR(INDEX(輔助計算!$D:$D, (MATCH(236, 輔助計算!$E$2:$E$801, 0)+1)), "")</f>
        <v/>
      </c>
      <c r="I237" s="10">
        <f>IFERROR(IF(INDEX(ERP資料!$O:$O, (MATCH(236, 輔助計算!$E$2:$E$801, 0)+1))="","",INDEX(ERP資料!$O:$O, (MATCH(236, 輔助計算!$E$2:$E$801, 0)+1))), "")</f>
        <v/>
      </c>
      <c r="J237" s="15">
        <f>IFERROR(IF(INDEX(輔助計算!$D:$D,(MATCH(236, 輔助計算!$E$2:$E$801, 0)+1))="","",INDEX(輔助計算!$D:$D,(MATCH(236, 輔助計算!$E$2:$E$801, 0)+1))*INDEX(ERP資料!$O:$O,(MATCH(236, 輔助計算!$E$2:$E$801, 0)+1))), "")</f>
        <v/>
      </c>
      <c r="K237" s="16" t="n"/>
      <c r="L237" s="16" t="n"/>
      <c r="M237" s="17" t="n"/>
    </row>
    <row r="238">
      <c r="A238" s="14">
        <f>IFERROR(IF(INDEX(ERP資料!$B:$B, (MATCH(237, 輔助計算!$E$2:$E$801, 0)+1))="","",INDEX(ERP資料!$B:$B, (MATCH(237, 輔助計算!$E$2:$E$801, 0)+1))), "")</f>
        <v/>
      </c>
      <c r="B238" s="10">
        <f>IFERROR(IF(INDEX(ERP資料!$A:$A, (MATCH(237, 輔助計算!$E$2:$E$801, 0)+1))="","",INDEX(ERP資料!$A:$A, (MATCH(237, 輔助計算!$E$2:$E$801, 0)+1))), "")</f>
        <v/>
      </c>
      <c r="C238" s="10">
        <f>IFERROR(IF(INDEX(ERP資料!$S:$S, (MATCH(237, 輔助計算!$E$2:$E$801, 0)+1))="","",INDEX(ERP資料!$S:$S, (MATCH(237, 輔助計算!$E$2:$E$801, 0)+1))), "")</f>
        <v/>
      </c>
      <c r="D238" s="10">
        <f>IFERROR(IF(INDEX(ERP資料!$E:$E, (MATCH(237, 輔助計算!$E$2:$E$801, 0)+1))="","",TRIM(INDEX(ERP資料!$E:$E, (MATCH(237, 輔助計算!$E$2:$E$801, 0)+1)))), "")</f>
        <v/>
      </c>
      <c r="E238" s="10">
        <f>IFERROR(IF(INDEX(ERP資料!$F:$F, (MATCH(237, 輔助計算!$E$2:$E$801, 0)+1))="","",INDEX(ERP資料!$F:$F, (MATCH(237, 輔助計算!$E$2:$E$801, 0)+1))), "")</f>
        <v/>
      </c>
      <c r="F238" s="10">
        <f>IFERROR(IF(INDEX(ERP資料!$G:$G, (MATCH(237, 輔助計算!$E$2:$E$801, 0)+1))="","",INDEX(ERP資料!$G:$G, (MATCH(237, 輔助計算!$E$2:$E$801, 0)+1))), "")</f>
        <v/>
      </c>
      <c r="G238" s="10">
        <f>IFERROR(IF(INDEX(ERP資料!$H:$H, (MATCH(237, 輔助計算!$E$2:$E$801, 0)+1))="","",INDEX(ERP資料!$H:$H, (MATCH(237, 輔助計算!$E$2:$E$801, 0)+1))), "")</f>
        <v/>
      </c>
      <c r="H238" s="15">
        <f>IFERROR(INDEX(輔助計算!$D:$D, (MATCH(237, 輔助計算!$E$2:$E$801, 0)+1)), "")</f>
        <v/>
      </c>
      <c r="I238" s="10">
        <f>IFERROR(IF(INDEX(ERP資料!$O:$O, (MATCH(237, 輔助計算!$E$2:$E$801, 0)+1))="","",INDEX(ERP資料!$O:$O, (MATCH(237, 輔助計算!$E$2:$E$801, 0)+1))), "")</f>
        <v/>
      </c>
      <c r="J238" s="15">
        <f>IFERROR(IF(INDEX(輔助計算!$D:$D,(MATCH(237, 輔助計算!$E$2:$E$801, 0)+1))="","",INDEX(輔助計算!$D:$D,(MATCH(237, 輔助計算!$E$2:$E$801, 0)+1))*INDEX(ERP資料!$O:$O,(MATCH(237, 輔助計算!$E$2:$E$801, 0)+1))), "")</f>
        <v/>
      </c>
      <c r="K238" s="16" t="n"/>
      <c r="L238" s="16" t="n"/>
      <c r="M238" s="17" t="n"/>
    </row>
    <row r="239">
      <c r="A239" s="14">
        <f>IFERROR(IF(INDEX(ERP資料!$B:$B, (MATCH(238, 輔助計算!$E$2:$E$801, 0)+1))="","",INDEX(ERP資料!$B:$B, (MATCH(238, 輔助計算!$E$2:$E$801, 0)+1))), "")</f>
        <v/>
      </c>
      <c r="B239" s="10">
        <f>IFERROR(IF(INDEX(ERP資料!$A:$A, (MATCH(238, 輔助計算!$E$2:$E$801, 0)+1))="","",INDEX(ERP資料!$A:$A, (MATCH(238, 輔助計算!$E$2:$E$801, 0)+1))), "")</f>
        <v/>
      </c>
      <c r="C239" s="10">
        <f>IFERROR(IF(INDEX(ERP資料!$S:$S, (MATCH(238, 輔助計算!$E$2:$E$801, 0)+1))="","",INDEX(ERP資料!$S:$S, (MATCH(238, 輔助計算!$E$2:$E$801, 0)+1))), "")</f>
        <v/>
      </c>
      <c r="D239" s="10">
        <f>IFERROR(IF(INDEX(ERP資料!$E:$E, (MATCH(238, 輔助計算!$E$2:$E$801, 0)+1))="","",TRIM(INDEX(ERP資料!$E:$E, (MATCH(238, 輔助計算!$E$2:$E$801, 0)+1)))), "")</f>
        <v/>
      </c>
      <c r="E239" s="10">
        <f>IFERROR(IF(INDEX(ERP資料!$F:$F, (MATCH(238, 輔助計算!$E$2:$E$801, 0)+1))="","",INDEX(ERP資料!$F:$F, (MATCH(238, 輔助計算!$E$2:$E$801, 0)+1))), "")</f>
        <v/>
      </c>
      <c r="F239" s="10">
        <f>IFERROR(IF(INDEX(ERP資料!$G:$G, (MATCH(238, 輔助計算!$E$2:$E$801, 0)+1))="","",INDEX(ERP資料!$G:$G, (MATCH(238, 輔助計算!$E$2:$E$801, 0)+1))), "")</f>
        <v/>
      </c>
      <c r="G239" s="10">
        <f>IFERROR(IF(INDEX(ERP資料!$H:$H, (MATCH(238, 輔助計算!$E$2:$E$801, 0)+1))="","",INDEX(ERP資料!$H:$H, (MATCH(238, 輔助計算!$E$2:$E$801, 0)+1))), "")</f>
        <v/>
      </c>
      <c r="H239" s="15">
        <f>IFERROR(INDEX(輔助計算!$D:$D, (MATCH(238, 輔助計算!$E$2:$E$801, 0)+1)), "")</f>
        <v/>
      </c>
      <c r="I239" s="10">
        <f>IFERROR(IF(INDEX(ERP資料!$O:$O, (MATCH(238, 輔助計算!$E$2:$E$801, 0)+1))="","",INDEX(ERP資料!$O:$O, (MATCH(238, 輔助計算!$E$2:$E$801, 0)+1))), "")</f>
        <v/>
      </c>
      <c r="J239" s="15">
        <f>IFERROR(IF(INDEX(輔助計算!$D:$D,(MATCH(238, 輔助計算!$E$2:$E$801, 0)+1))="","",INDEX(輔助計算!$D:$D,(MATCH(238, 輔助計算!$E$2:$E$801, 0)+1))*INDEX(ERP資料!$O:$O,(MATCH(238, 輔助計算!$E$2:$E$801, 0)+1))), "")</f>
        <v/>
      </c>
      <c r="K239" s="16" t="n"/>
      <c r="L239" s="16" t="n"/>
      <c r="M239" s="17" t="n"/>
    </row>
    <row r="240">
      <c r="A240" s="14">
        <f>IFERROR(IF(INDEX(ERP資料!$B:$B, (MATCH(239, 輔助計算!$E$2:$E$801, 0)+1))="","",INDEX(ERP資料!$B:$B, (MATCH(239, 輔助計算!$E$2:$E$801, 0)+1))), "")</f>
        <v/>
      </c>
      <c r="B240" s="10">
        <f>IFERROR(IF(INDEX(ERP資料!$A:$A, (MATCH(239, 輔助計算!$E$2:$E$801, 0)+1))="","",INDEX(ERP資料!$A:$A, (MATCH(239, 輔助計算!$E$2:$E$801, 0)+1))), "")</f>
        <v/>
      </c>
      <c r="C240" s="10">
        <f>IFERROR(IF(INDEX(ERP資料!$S:$S, (MATCH(239, 輔助計算!$E$2:$E$801, 0)+1))="","",INDEX(ERP資料!$S:$S, (MATCH(239, 輔助計算!$E$2:$E$801, 0)+1))), "")</f>
        <v/>
      </c>
      <c r="D240" s="10">
        <f>IFERROR(IF(INDEX(ERP資料!$E:$E, (MATCH(239, 輔助計算!$E$2:$E$801, 0)+1))="","",TRIM(INDEX(ERP資料!$E:$E, (MATCH(239, 輔助計算!$E$2:$E$801, 0)+1)))), "")</f>
        <v/>
      </c>
      <c r="E240" s="10">
        <f>IFERROR(IF(INDEX(ERP資料!$F:$F, (MATCH(239, 輔助計算!$E$2:$E$801, 0)+1))="","",INDEX(ERP資料!$F:$F, (MATCH(239, 輔助計算!$E$2:$E$801, 0)+1))), "")</f>
        <v/>
      </c>
      <c r="F240" s="10">
        <f>IFERROR(IF(INDEX(ERP資料!$G:$G, (MATCH(239, 輔助計算!$E$2:$E$801, 0)+1))="","",INDEX(ERP資料!$G:$G, (MATCH(239, 輔助計算!$E$2:$E$801, 0)+1))), "")</f>
        <v/>
      </c>
      <c r="G240" s="10">
        <f>IFERROR(IF(INDEX(ERP資料!$H:$H, (MATCH(239, 輔助計算!$E$2:$E$801, 0)+1))="","",INDEX(ERP資料!$H:$H, (MATCH(239, 輔助計算!$E$2:$E$801, 0)+1))), "")</f>
        <v/>
      </c>
      <c r="H240" s="15">
        <f>IFERROR(INDEX(輔助計算!$D:$D, (MATCH(239, 輔助計算!$E$2:$E$801, 0)+1)), "")</f>
        <v/>
      </c>
      <c r="I240" s="10">
        <f>IFERROR(IF(INDEX(ERP資料!$O:$O, (MATCH(239, 輔助計算!$E$2:$E$801, 0)+1))="","",INDEX(ERP資料!$O:$O, (MATCH(239, 輔助計算!$E$2:$E$801, 0)+1))), "")</f>
        <v/>
      </c>
      <c r="J240" s="15">
        <f>IFERROR(IF(INDEX(輔助計算!$D:$D,(MATCH(239, 輔助計算!$E$2:$E$801, 0)+1))="","",INDEX(輔助計算!$D:$D,(MATCH(239, 輔助計算!$E$2:$E$801, 0)+1))*INDEX(ERP資料!$O:$O,(MATCH(239, 輔助計算!$E$2:$E$801, 0)+1))), "")</f>
        <v/>
      </c>
      <c r="K240" s="16" t="n"/>
      <c r="L240" s="16" t="n"/>
      <c r="M240" s="17" t="n"/>
    </row>
    <row r="241">
      <c r="A241" s="14">
        <f>IFERROR(IF(INDEX(ERP資料!$B:$B, (MATCH(240, 輔助計算!$E$2:$E$801, 0)+1))="","",INDEX(ERP資料!$B:$B, (MATCH(240, 輔助計算!$E$2:$E$801, 0)+1))), "")</f>
        <v/>
      </c>
      <c r="B241" s="10">
        <f>IFERROR(IF(INDEX(ERP資料!$A:$A, (MATCH(240, 輔助計算!$E$2:$E$801, 0)+1))="","",INDEX(ERP資料!$A:$A, (MATCH(240, 輔助計算!$E$2:$E$801, 0)+1))), "")</f>
        <v/>
      </c>
      <c r="C241" s="10">
        <f>IFERROR(IF(INDEX(ERP資料!$S:$S, (MATCH(240, 輔助計算!$E$2:$E$801, 0)+1))="","",INDEX(ERP資料!$S:$S, (MATCH(240, 輔助計算!$E$2:$E$801, 0)+1))), "")</f>
        <v/>
      </c>
      <c r="D241" s="10">
        <f>IFERROR(IF(INDEX(ERP資料!$E:$E, (MATCH(240, 輔助計算!$E$2:$E$801, 0)+1))="","",TRIM(INDEX(ERP資料!$E:$E, (MATCH(240, 輔助計算!$E$2:$E$801, 0)+1)))), "")</f>
        <v/>
      </c>
      <c r="E241" s="10">
        <f>IFERROR(IF(INDEX(ERP資料!$F:$F, (MATCH(240, 輔助計算!$E$2:$E$801, 0)+1))="","",INDEX(ERP資料!$F:$F, (MATCH(240, 輔助計算!$E$2:$E$801, 0)+1))), "")</f>
        <v/>
      </c>
      <c r="F241" s="10">
        <f>IFERROR(IF(INDEX(ERP資料!$G:$G, (MATCH(240, 輔助計算!$E$2:$E$801, 0)+1))="","",INDEX(ERP資料!$G:$G, (MATCH(240, 輔助計算!$E$2:$E$801, 0)+1))), "")</f>
        <v/>
      </c>
      <c r="G241" s="10">
        <f>IFERROR(IF(INDEX(ERP資料!$H:$H, (MATCH(240, 輔助計算!$E$2:$E$801, 0)+1))="","",INDEX(ERP資料!$H:$H, (MATCH(240, 輔助計算!$E$2:$E$801, 0)+1))), "")</f>
        <v/>
      </c>
      <c r="H241" s="15">
        <f>IFERROR(INDEX(輔助計算!$D:$D, (MATCH(240, 輔助計算!$E$2:$E$801, 0)+1)), "")</f>
        <v/>
      </c>
      <c r="I241" s="10">
        <f>IFERROR(IF(INDEX(ERP資料!$O:$O, (MATCH(240, 輔助計算!$E$2:$E$801, 0)+1))="","",INDEX(ERP資料!$O:$O, (MATCH(240, 輔助計算!$E$2:$E$801, 0)+1))), "")</f>
        <v/>
      </c>
      <c r="J241" s="15">
        <f>IFERROR(IF(INDEX(輔助計算!$D:$D,(MATCH(240, 輔助計算!$E$2:$E$801, 0)+1))="","",INDEX(輔助計算!$D:$D,(MATCH(240, 輔助計算!$E$2:$E$801, 0)+1))*INDEX(ERP資料!$O:$O,(MATCH(240, 輔助計算!$E$2:$E$801, 0)+1))), "")</f>
        <v/>
      </c>
      <c r="K241" s="16" t="n"/>
      <c r="L241" s="16" t="n"/>
      <c r="M241" s="17" t="n"/>
    </row>
    <row r="242">
      <c r="A242" s="14">
        <f>IFERROR(IF(INDEX(ERP資料!$B:$B, (MATCH(241, 輔助計算!$E$2:$E$801, 0)+1))="","",INDEX(ERP資料!$B:$B, (MATCH(241, 輔助計算!$E$2:$E$801, 0)+1))), "")</f>
        <v/>
      </c>
      <c r="B242" s="10">
        <f>IFERROR(IF(INDEX(ERP資料!$A:$A, (MATCH(241, 輔助計算!$E$2:$E$801, 0)+1))="","",INDEX(ERP資料!$A:$A, (MATCH(241, 輔助計算!$E$2:$E$801, 0)+1))), "")</f>
        <v/>
      </c>
      <c r="C242" s="10">
        <f>IFERROR(IF(INDEX(ERP資料!$S:$S, (MATCH(241, 輔助計算!$E$2:$E$801, 0)+1))="","",INDEX(ERP資料!$S:$S, (MATCH(241, 輔助計算!$E$2:$E$801, 0)+1))), "")</f>
        <v/>
      </c>
      <c r="D242" s="10">
        <f>IFERROR(IF(INDEX(ERP資料!$E:$E, (MATCH(241, 輔助計算!$E$2:$E$801, 0)+1))="","",TRIM(INDEX(ERP資料!$E:$E, (MATCH(241, 輔助計算!$E$2:$E$801, 0)+1)))), "")</f>
        <v/>
      </c>
      <c r="E242" s="10">
        <f>IFERROR(IF(INDEX(ERP資料!$F:$F, (MATCH(241, 輔助計算!$E$2:$E$801, 0)+1))="","",INDEX(ERP資料!$F:$F, (MATCH(241, 輔助計算!$E$2:$E$801, 0)+1))), "")</f>
        <v/>
      </c>
      <c r="F242" s="10">
        <f>IFERROR(IF(INDEX(ERP資料!$G:$G, (MATCH(241, 輔助計算!$E$2:$E$801, 0)+1))="","",INDEX(ERP資料!$G:$G, (MATCH(241, 輔助計算!$E$2:$E$801, 0)+1))), "")</f>
        <v/>
      </c>
      <c r="G242" s="10">
        <f>IFERROR(IF(INDEX(ERP資料!$H:$H, (MATCH(241, 輔助計算!$E$2:$E$801, 0)+1))="","",INDEX(ERP資料!$H:$H, (MATCH(241, 輔助計算!$E$2:$E$801, 0)+1))), "")</f>
        <v/>
      </c>
      <c r="H242" s="15">
        <f>IFERROR(INDEX(輔助計算!$D:$D, (MATCH(241, 輔助計算!$E$2:$E$801, 0)+1)), "")</f>
        <v/>
      </c>
      <c r="I242" s="10">
        <f>IFERROR(IF(INDEX(ERP資料!$O:$O, (MATCH(241, 輔助計算!$E$2:$E$801, 0)+1))="","",INDEX(ERP資料!$O:$O, (MATCH(241, 輔助計算!$E$2:$E$801, 0)+1))), "")</f>
        <v/>
      </c>
      <c r="J242" s="15">
        <f>IFERROR(IF(INDEX(輔助計算!$D:$D,(MATCH(241, 輔助計算!$E$2:$E$801, 0)+1))="","",INDEX(輔助計算!$D:$D,(MATCH(241, 輔助計算!$E$2:$E$801, 0)+1))*INDEX(ERP資料!$O:$O,(MATCH(241, 輔助計算!$E$2:$E$801, 0)+1))), "")</f>
        <v/>
      </c>
      <c r="K242" s="16" t="n"/>
      <c r="L242" s="16" t="n"/>
      <c r="M242" s="17" t="n"/>
    </row>
    <row r="243">
      <c r="A243" s="14">
        <f>IFERROR(IF(INDEX(ERP資料!$B:$B, (MATCH(242, 輔助計算!$E$2:$E$801, 0)+1))="","",INDEX(ERP資料!$B:$B, (MATCH(242, 輔助計算!$E$2:$E$801, 0)+1))), "")</f>
        <v/>
      </c>
      <c r="B243" s="10">
        <f>IFERROR(IF(INDEX(ERP資料!$A:$A, (MATCH(242, 輔助計算!$E$2:$E$801, 0)+1))="","",INDEX(ERP資料!$A:$A, (MATCH(242, 輔助計算!$E$2:$E$801, 0)+1))), "")</f>
        <v/>
      </c>
      <c r="C243" s="10">
        <f>IFERROR(IF(INDEX(ERP資料!$S:$S, (MATCH(242, 輔助計算!$E$2:$E$801, 0)+1))="","",INDEX(ERP資料!$S:$S, (MATCH(242, 輔助計算!$E$2:$E$801, 0)+1))), "")</f>
        <v/>
      </c>
      <c r="D243" s="10">
        <f>IFERROR(IF(INDEX(ERP資料!$E:$E, (MATCH(242, 輔助計算!$E$2:$E$801, 0)+1))="","",TRIM(INDEX(ERP資料!$E:$E, (MATCH(242, 輔助計算!$E$2:$E$801, 0)+1)))), "")</f>
        <v/>
      </c>
      <c r="E243" s="10">
        <f>IFERROR(IF(INDEX(ERP資料!$F:$F, (MATCH(242, 輔助計算!$E$2:$E$801, 0)+1))="","",INDEX(ERP資料!$F:$F, (MATCH(242, 輔助計算!$E$2:$E$801, 0)+1))), "")</f>
        <v/>
      </c>
      <c r="F243" s="10">
        <f>IFERROR(IF(INDEX(ERP資料!$G:$G, (MATCH(242, 輔助計算!$E$2:$E$801, 0)+1))="","",INDEX(ERP資料!$G:$G, (MATCH(242, 輔助計算!$E$2:$E$801, 0)+1))), "")</f>
        <v/>
      </c>
      <c r="G243" s="10">
        <f>IFERROR(IF(INDEX(ERP資料!$H:$H, (MATCH(242, 輔助計算!$E$2:$E$801, 0)+1))="","",INDEX(ERP資料!$H:$H, (MATCH(242, 輔助計算!$E$2:$E$801, 0)+1))), "")</f>
        <v/>
      </c>
      <c r="H243" s="15">
        <f>IFERROR(INDEX(輔助計算!$D:$D, (MATCH(242, 輔助計算!$E$2:$E$801, 0)+1)), "")</f>
        <v/>
      </c>
      <c r="I243" s="10">
        <f>IFERROR(IF(INDEX(ERP資料!$O:$O, (MATCH(242, 輔助計算!$E$2:$E$801, 0)+1))="","",INDEX(ERP資料!$O:$O, (MATCH(242, 輔助計算!$E$2:$E$801, 0)+1))), "")</f>
        <v/>
      </c>
      <c r="J243" s="15">
        <f>IFERROR(IF(INDEX(輔助計算!$D:$D,(MATCH(242, 輔助計算!$E$2:$E$801, 0)+1))="","",INDEX(輔助計算!$D:$D,(MATCH(242, 輔助計算!$E$2:$E$801, 0)+1))*INDEX(ERP資料!$O:$O,(MATCH(242, 輔助計算!$E$2:$E$801, 0)+1))), "")</f>
        <v/>
      </c>
      <c r="K243" s="16" t="n"/>
      <c r="L243" s="16" t="n"/>
      <c r="M243" s="17" t="n"/>
    </row>
    <row r="244">
      <c r="A244" s="14">
        <f>IFERROR(IF(INDEX(ERP資料!$B:$B, (MATCH(243, 輔助計算!$E$2:$E$801, 0)+1))="","",INDEX(ERP資料!$B:$B, (MATCH(243, 輔助計算!$E$2:$E$801, 0)+1))), "")</f>
        <v/>
      </c>
      <c r="B244" s="10">
        <f>IFERROR(IF(INDEX(ERP資料!$A:$A, (MATCH(243, 輔助計算!$E$2:$E$801, 0)+1))="","",INDEX(ERP資料!$A:$A, (MATCH(243, 輔助計算!$E$2:$E$801, 0)+1))), "")</f>
        <v/>
      </c>
      <c r="C244" s="10">
        <f>IFERROR(IF(INDEX(ERP資料!$S:$S, (MATCH(243, 輔助計算!$E$2:$E$801, 0)+1))="","",INDEX(ERP資料!$S:$S, (MATCH(243, 輔助計算!$E$2:$E$801, 0)+1))), "")</f>
        <v/>
      </c>
      <c r="D244" s="10">
        <f>IFERROR(IF(INDEX(ERP資料!$E:$E, (MATCH(243, 輔助計算!$E$2:$E$801, 0)+1))="","",TRIM(INDEX(ERP資料!$E:$E, (MATCH(243, 輔助計算!$E$2:$E$801, 0)+1)))), "")</f>
        <v/>
      </c>
      <c r="E244" s="10">
        <f>IFERROR(IF(INDEX(ERP資料!$F:$F, (MATCH(243, 輔助計算!$E$2:$E$801, 0)+1))="","",INDEX(ERP資料!$F:$F, (MATCH(243, 輔助計算!$E$2:$E$801, 0)+1))), "")</f>
        <v/>
      </c>
      <c r="F244" s="10">
        <f>IFERROR(IF(INDEX(ERP資料!$G:$G, (MATCH(243, 輔助計算!$E$2:$E$801, 0)+1))="","",INDEX(ERP資料!$G:$G, (MATCH(243, 輔助計算!$E$2:$E$801, 0)+1))), "")</f>
        <v/>
      </c>
      <c r="G244" s="10">
        <f>IFERROR(IF(INDEX(ERP資料!$H:$H, (MATCH(243, 輔助計算!$E$2:$E$801, 0)+1))="","",INDEX(ERP資料!$H:$H, (MATCH(243, 輔助計算!$E$2:$E$801, 0)+1))), "")</f>
        <v/>
      </c>
      <c r="H244" s="15">
        <f>IFERROR(INDEX(輔助計算!$D:$D, (MATCH(243, 輔助計算!$E$2:$E$801, 0)+1)), "")</f>
        <v/>
      </c>
      <c r="I244" s="10">
        <f>IFERROR(IF(INDEX(ERP資料!$O:$O, (MATCH(243, 輔助計算!$E$2:$E$801, 0)+1))="","",INDEX(ERP資料!$O:$O, (MATCH(243, 輔助計算!$E$2:$E$801, 0)+1))), "")</f>
        <v/>
      </c>
      <c r="J244" s="15">
        <f>IFERROR(IF(INDEX(輔助計算!$D:$D,(MATCH(243, 輔助計算!$E$2:$E$801, 0)+1))="","",INDEX(輔助計算!$D:$D,(MATCH(243, 輔助計算!$E$2:$E$801, 0)+1))*INDEX(ERP資料!$O:$O,(MATCH(243, 輔助計算!$E$2:$E$801, 0)+1))), "")</f>
        <v/>
      </c>
      <c r="K244" s="16" t="n"/>
      <c r="L244" s="16" t="n"/>
      <c r="M244" s="17" t="n"/>
    </row>
    <row r="245">
      <c r="A245" s="14">
        <f>IFERROR(IF(INDEX(ERP資料!$B:$B, (MATCH(244, 輔助計算!$E$2:$E$801, 0)+1))="","",INDEX(ERP資料!$B:$B, (MATCH(244, 輔助計算!$E$2:$E$801, 0)+1))), "")</f>
        <v/>
      </c>
      <c r="B245" s="10">
        <f>IFERROR(IF(INDEX(ERP資料!$A:$A, (MATCH(244, 輔助計算!$E$2:$E$801, 0)+1))="","",INDEX(ERP資料!$A:$A, (MATCH(244, 輔助計算!$E$2:$E$801, 0)+1))), "")</f>
        <v/>
      </c>
      <c r="C245" s="10">
        <f>IFERROR(IF(INDEX(ERP資料!$S:$S, (MATCH(244, 輔助計算!$E$2:$E$801, 0)+1))="","",INDEX(ERP資料!$S:$S, (MATCH(244, 輔助計算!$E$2:$E$801, 0)+1))), "")</f>
        <v/>
      </c>
      <c r="D245" s="10">
        <f>IFERROR(IF(INDEX(ERP資料!$E:$E, (MATCH(244, 輔助計算!$E$2:$E$801, 0)+1))="","",TRIM(INDEX(ERP資料!$E:$E, (MATCH(244, 輔助計算!$E$2:$E$801, 0)+1)))), "")</f>
        <v/>
      </c>
      <c r="E245" s="10">
        <f>IFERROR(IF(INDEX(ERP資料!$F:$F, (MATCH(244, 輔助計算!$E$2:$E$801, 0)+1))="","",INDEX(ERP資料!$F:$F, (MATCH(244, 輔助計算!$E$2:$E$801, 0)+1))), "")</f>
        <v/>
      </c>
      <c r="F245" s="10">
        <f>IFERROR(IF(INDEX(ERP資料!$G:$G, (MATCH(244, 輔助計算!$E$2:$E$801, 0)+1))="","",INDEX(ERP資料!$G:$G, (MATCH(244, 輔助計算!$E$2:$E$801, 0)+1))), "")</f>
        <v/>
      </c>
      <c r="G245" s="10">
        <f>IFERROR(IF(INDEX(ERP資料!$H:$H, (MATCH(244, 輔助計算!$E$2:$E$801, 0)+1))="","",INDEX(ERP資料!$H:$H, (MATCH(244, 輔助計算!$E$2:$E$801, 0)+1))), "")</f>
        <v/>
      </c>
      <c r="H245" s="15">
        <f>IFERROR(INDEX(輔助計算!$D:$D, (MATCH(244, 輔助計算!$E$2:$E$801, 0)+1)), "")</f>
        <v/>
      </c>
      <c r="I245" s="10">
        <f>IFERROR(IF(INDEX(ERP資料!$O:$O, (MATCH(244, 輔助計算!$E$2:$E$801, 0)+1))="","",INDEX(ERP資料!$O:$O, (MATCH(244, 輔助計算!$E$2:$E$801, 0)+1))), "")</f>
        <v/>
      </c>
      <c r="J245" s="15">
        <f>IFERROR(IF(INDEX(輔助計算!$D:$D,(MATCH(244, 輔助計算!$E$2:$E$801, 0)+1))="","",INDEX(輔助計算!$D:$D,(MATCH(244, 輔助計算!$E$2:$E$801, 0)+1))*INDEX(ERP資料!$O:$O,(MATCH(244, 輔助計算!$E$2:$E$801, 0)+1))), "")</f>
        <v/>
      </c>
      <c r="K245" s="16" t="n"/>
      <c r="L245" s="16" t="n"/>
      <c r="M245" s="17" t="n"/>
    </row>
    <row r="246">
      <c r="A246" s="14">
        <f>IFERROR(IF(INDEX(ERP資料!$B:$B, (MATCH(245, 輔助計算!$E$2:$E$801, 0)+1))="","",INDEX(ERP資料!$B:$B, (MATCH(245, 輔助計算!$E$2:$E$801, 0)+1))), "")</f>
        <v/>
      </c>
      <c r="B246" s="10">
        <f>IFERROR(IF(INDEX(ERP資料!$A:$A, (MATCH(245, 輔助計算!$E$2:$E$801, 0)+1))="","",INDEX(ERP資料!$A:$A, (MATCH(245, 輔助計算!$E$2:$E$801, 0)+1))), "")</f>
        <v/>
      </c>
      <c r="C246" s="10">
        <f>IFERROR(IF(INDEX(ERP資料!$S:$S, (MATCH(245, 輔助計算!$E$2:$E$801, 0)+1))="","",INDEX(ERP資料!$S:$S, (MATCH(245, 輔助計算!$E$2:$E$801, 0)+1))), "")</f>
        <v/>
      </c>
      <c r="D246" s="10">
        <f>IFERROR(IF(INDEX(ERP資料!$E:$E, (MATCH(245, 輔助計算!$E$2:$E$801, 0)+1))="","",TRIM(INDEX(ERP資料!$E:$E, (MATCH(245, 輔助計算!$E$2:$E$801, 0)+1)))), "")</f>
        <v/>
      </c>
      <c r="E246" s="10">
        <f>IFERROR(IF(INDEX(ERP資料!$F:$F, (MATCH(245, 輔助計算!$E$2:$E$801, 0)+1))="","",INDEX(ERP資料!$F:$F, (MATCH(245, 輔助計算!$E$2:$E$801, 0)+1))), "")</f>
        <v/>
      </c>
      <c r="F246" s="10">
        <f>IFERROR(IF(INDEX(ERP資料!$G:$G, (MATCH(245, 輔助計算!$E$2:$E$801, 0)+1))="","",INDEX(ERP資料!$G:$G, (MATCH(245, 輔助計算!$E$2:$E$801, 0)+1))), "")</f>
        <v/>
      </c>
      <c r="G246" s="10">
        <f>IFERROR(IF(INDEX(ERP資料!$H:$H, (MATCH(245, 輔助計算!$E$2:$E$801, 0)+1))="","",INDEX(ERP資料!$H:$H, (MATCH(245, 輔助計算!$E$2:$E$801, 0)+1))), "")</f>
        <v/>
      </c>
      <c r="H246" s="15">
        <f>IFERROR(INDEX(輔助計算!$D:$D, (MATCH(245, 輔助計算!$E$2:$E$801, 0)+1)), "")</f>
        <v/>
      </c>
      <c r="I246" s="10">
        <f>IFERROR(IF(INDEX(ERP資料!$O:$O, (MATCH(245, 輔助計算!$E$2:$E$801, 0)+1))="","",INDEX(ERP資料!$O:$O, (MATCH(245, 輔助計算!$E$2:$E$801, 0)+1))), "")</f>
        <v/>
      </c>
      <c r="J246" s="15">
        <f>IFERROR(IF(INDEX(輔助計算!$D:$D,(MATCH(245, 輔助計算!$E$2:$E$801, 0)+1))="","",INDEX(輔助計算!$D:$D,(MATCH(245, 輔助計算!$E$2:$E$801, 0)+1))*INDEX(ERP資料!$O:$O,(MATCH(245, 輔助計算!$E$2:$E$801, 0)+1))), "")</f>
        <v/>
      </c>
      <c r="K246" s="16" t="n"/>
      <c r="L246" s="16" t="n"/>
      <c r="M246" s="17" t="n"/>
    </row>
    <row r="247">
      <c r="A247" s="14">
        <f>IFERROR(IF(INDEX(ERP資料!$B:$B, (MATCH(246, 輔助計算!$E$2:$E$801, 0)+1))="","",INDEX(ERP資料!$B:$B, (MATCH(246, 輔助計算!$E$2:$E$801, 0)+1))), "")</f>
        <v/>
      </c>
      <c r="B247" s="10">
        <f>IFERROR(IF(INDEX(ERP資料!$A:$A, (MATCH(246, 輔助計算!$E$2:$E$801, 0)+1))="","",INDEX(ERP資料!$A:$A, (MATCH(246, 輔助計算!$E$2:$E$801, 0)+1))), "")</f>
        <v/>
      </c>
      <c r="C247" s="10">
        <f>IFERROR(IF(INDEX(ERP資料!$S:$S, (MATCH(246, 輔助計算!$E$2:$E$801, 0)+1))="","",INDEX(ERP資料!$S:$S, (MATCH(246, 輔助計算!$E$2:$E$801, 0)+1))), "")</f>
        <v/>
      </c>
      <c r="D247" s="10">
        <f>IFERROR(IF(INDEX(ERP資料!$E:$E, (MATCH(246, 輔助計算!$E$2:$E$801, 0)+1))="","",TRIM(INDEX(ERP資料!$E:$E, (MATCH(246, 輔助計算!$E$2:$E$801, 0)+1)))), "")</f>
        <v/>
      </c>
      <c r="E247" s="10">
        <f>IFERROR(IF(INDEX(ERP資料!$F:$F, (MATCH(246, 輔助計算!$E$2:$E$801, 0)+1))="","",INDEX(ERP資料!$F:$F, (MATCH(246, 輔助計算!$E$2:$E$801, 0)+1))), "")</f>
        <v/>
      </c>
      <c r="F247" s="10">
        <f>IFERROR(IF(INDEX(ERP資料!$G:$G, (MATCH(246, 輔助計算!$E$2:$E$801, 0)+1))="","",INDEX(ERP資料!$G:$G, (MATCH(246, 輔助計算!$E$2:$E$801, 0)+1))), "")</f>
        <v/>
      </c>
      <c r="G247" s="10">
        <f>IFERROR(IF(INDEX(ERP資料!$H:$H, (MATCH(246, 輔助計算!$E$2:$E$801, 0)+1))="","",INDEX(ERP資料!$H:$H, (MATCH(246, 輔助計算!$E$2:$E$801, 0)+1))), "")</f>
        <v/>
      </c>
      <c r="H247" s="15">
        <f>IFERROR(INDEX(輔助計算!$D:$D, (MATCH(246, 輔助計算!$E$2:$E$801, 0)+1)), "")</f>
        <v/>
      </c>
      <c r="I247" s="10">
        <f>IFERROR(IF(INDEX(ERP資料!$O:$O, (MATCH(246, 輔助計算!$E$2:$E$801, 0)+1))="","",INDEX(ERP資料!$O:$O, (MATCH(246, 輔助計算!$E$2:$E$801, 0)+1))), "")</f>
        <v/>
      </c>
      <c r="J247" s="15">
        <f>IFERROR(IF(INDEX(輔助計算!$D:$D,(MATCH(246, 輔助計算!$E$2:$E$801, 0)+1))="","",INDEX(輔助計算!$D:$D,(MATCH(246, 輔助計算!$E$2:$E$801, 0)+1))*INDEX(ERP資料!$O:$O,(MATCH(246, 輔助計算!$E$2:$E$801, 0)+1))), "")</f>
        <v/>
      </c>
      <c r="K247" s="16" t="n"/>
      <c r="L247" s="16" t="n"/>
      <c r="M247" s="17" t="n"/>
    </row>
    <row r="248">
      <c r="A248" s="14">
        <f>IFERROR(IF(INDEX(ERP資料!$B:$B, (MATCH(247, 輔助計算!$E$2:$E$801, 0)+1))="","",INDEX(ERP資料!$B:$B, (MATCH(247, 輔助計算!$E$2:$E$801, 0)+1))), "")</f>
        <v/>
      </c>
      <c r="B248" s="10">
        <f>IFERROR(IF(INDEX(ERP資料!$A:$A, (MATCH(247, 輔助計算!$E$2:$E$801, 0)+1))="","",INDEX(ERP資料!$A:$A, (MATCH(247, 輔助計算!$E$2:$E$801, 0)+1))), "")</f>
        <v/>
      </c>
      <c r="C248" s="10">
        <f>IFERROR(IF(INDEX(ERP資料!$S:$S, (MATCH(247, 輔助計算!$E$2:$E$801, 0)+1))="","",INDEX(ERP資料!$S:$S, (MATCH(247, 輔助計算!$E$2:$E$801, 0)+1))), "")</f>
        <v/>
      </c>
      <c r="D248" s="10">
        <f>IFERROR(IF(INDEX(ERP資料!$E:$E, (MATCH(247, 輔助計算!$E$2:$E$801, 0)+1))="","",TRIM(INDEX(ERP資料!$E:$E, (MATCH(247, 輔助計算!$E$2:$E$801, 0)+1)))), "")</f>
        <v/>
      </c>
      <c r="E248" s="10">
        <f>IFERROR(IF(INDEX(ERP資料!$F:$F, (MATCH(247, 輔助計算!$E$2:$E$801, 0)+1))="","",INDEX(ERP資料!$F:$F, (MATCH(247, 輔助計算!$E$2:$E$801, 0)+1))), "")</f>
        <v/>
      </c>
      <c r="F248" s="10">
        <f>IFERROR(IF(INDEX(ERP資料!$G:$G, (MATCH(247, 輔助計算!$E$2:$E$801, 0)+1))="","",INDEX(ERP資料!$G:$G, (MATCH(247, 輔助計算!$E$2:$E$801, 0)+1))), "")</f>
        <v/>
      </c>
      <c r="G248" s="10">
        <f>IFERROR(IF(INDEX(ERP資料!$H:$H, (MATCH(247, 輔助計算!$E$2:$E$801, 0)+1))="","",INDEX(ERP資料!$H:$H, (MATCH(247, 輔助計算!$E$2:$E$801, 0)+1))), "")</f>
        <v/>
      </c>
      <c r="H248" s="15">
        <f>IFERROR(INDEX(輔助計算!$D:$D, (MATCH(247, 輔助計算!$E$2:$E$801, 0)+1)), "")</f>
        <v/>
      </c>
      <c r="I248" s="10">
        <f>IFERROR(IF(INDEX(ERP資料!$O:$O, (MATCH(247, 輔助計算!$E$2:$E$801, 0)+1))="","",INDEX(ERP資料!$O:$O, (MATCH(247, 輔助計算!$E$2:$E$801, 0)+1))), "")</f>
        <v/>
      </c>
      <c r="J248" s="15">
        <f>IFERROR(IF(INDEX(輔助計算!$D:$D,(MATCH(247, 輔助計算!$E$2:$E$801, 0)+1))="","",INDEX(輔助計算!$D:$D,(MATCH(247, 輔助計算!$E$2:$E$801, 0)+1))*INDEX(ERP資料!$O:$O,(MATCH(247, 輔助計算!$E$2:$E$801, 0)+1))), "")</f>
        <v/>
      </c>
      <c r="K248" s="16" t="n"/>
      <c r="L248" s="16" t="n"/>
      <c r="M248" s="17" t="n"/>
    </row>
    <row r="249">
      <c r="A249" s="14">
        <f>IFERROR(IF(INDEX(ERP資料!$B:$B, (MATCH(248, 輔助計算!$E$2:$E$801, 0)+1))="","",INDEX(ERP資料!$B:$B, (MATCH(248, 輔助計算!$E$2:$E$801, 0)+1))), "")</f>
        <v/>
      </c>
      <c r="B249" s="10">
        <f>IFERROR(IF(INDEX(ERP資料!$A:$A, (MATCH(248, 輔助計算!$E$2:$E$801, 0)+1))="","",INDEX(ERP資料!$A:$A, (MATCH(248, 輔助計算!$E$2:$E$801, 0)+1))), "")</f>
        <v/>
      </c>
      <c r="C249" s="10">
        <f>IFERROR(IF(INDEX(ERP資料!$S:$S, (MATCH(248, 輔助計算!$E$2:$E$801, 0)+1))="","",INDEX(ERP資料!$S:$S, (MATCH(248, 輔助計算!$E$2:$E$801, 0)+1))), "")</f>
        <v/>
      </c>
      <c r="D249" s="10">
        <f>IFERROR(IF(INDEX(ERP資料!$E:$E, (MATCH(248, 輔助計算!$E$2:$E$801, 0)+1))="","",TRIM(INDEX(ERP資料!$E:$E, (MATCH(248, 輔助計算!$E$2:$E$801, 0)+1)))), "")</f>
        <v/>
      </c>
      <c r="E249" s="10">
        <f>IFERROR(IF(INDEX(ERP資料!$F:$F, (MATCH(248, 輔助計算!$E$2:$E$801, 0)+1))="","",INDEX(ERP資料!$F:$F, (MATCH(248, 輔助計算!$E$2:$E$801, 0)+1))), "")</f>
        <v/>
      </c>
      <c r="F249" s="10">
        <f>IFERROR(IF(INDEX(ERP資料!$G:$G, (MATCH(248, 輔助計算!$E$2:$E$801, 0)+1))="","",INDEX(ERP資料!$G:$G, (MATCH(248, 輔助計算!$E$2:$E$801, 0)+1))), "")</f>
        <v/>
      </c>
      <c r="G249" s="10">
        <f>IFERROR(IF(INDEX(ERP資料!$H:$H, (MATCH(248, 輔助計算!$E$2:$E$801, 0)+1))="","",INDEX(ERP資料!$H:$H, (MATCH(248, 輔助計算!$E$2:$E$801, 0)+1))), "")</f>
        <v/>
      </c>
      <c r="H249" s="15">
        <f>IFERROR(INDEX(輔助計算!$D:$D, (MATCH(248, 輔助計算!$E$2:$E$801, 0)+1)), "")</f>
        <v/>
      </c>
      <c r="I249" s="10">
        <f>IFERROR(IF(INDEX(ERP資料!$O:$O, (MATCH(248, 輔助計算!$E$2:$E$801, 0)+1))="","",INDEX(ERP資料!$O:$O, (MATCH(248, 輔助計算!$E$2:$E$801, 0)+1))), "")</f>
        <v/>
      </c>
      <c r="J249" s="15">
        <f>IFERROR(IF(INDEX(輔助計算!$D:$D,(MATCH(248, 輔助計算!$E$2:$E$801, 0)+1))="","",INDEX(輔助計算!$D:$D,(MATCH(248, 輔助計算!$E$2:$E$801, 0)+1))*INDEX(ERP資料!$O:$O,(MATCH(248, 輔助計算!$E$2:$E$801, 0)+1))), "")</f>
        <v/>
      </c>
      <c r="K249" s="16" t="n"/>
      <c r="L249" s="16" t="n"/>
      <c r="M249" s="17" t="n"/>
    </row>
    <row r="250">
      <c r="A250" s="14">
        <f>IFERROR(IF(INDEX(ERP資料!$B:$B, (MATCH(249, 輔助計算!$E$2:$E$801, 0)+1))="","",INDEX(ERP資料!$B:$B, (MATCH(249, 輔助計算!$E$2:$E$801, 0)+1))), "")</f>
        <v/>
      </c>
      <c r="B250" s="10">
        <f>IFERROR(IF(INDEX(ERP資料!$A:$A, (MATCH(249, 輔助計算!$E$2:$E$801, 0)+1))="","",INDEX(ERP資料!$A:$A, (MATCH(249, 輔助計算!$E$2:$E$801, 0)+1))), "")</f>
        <v/>
      </c>
      <c r="C250" s="10">
        <f>IFERROR(IF(INDEX(ERP資料!$S:$S, (MATCH(249, 輔助計算!$E$2:$E$801, 0)+1))="","",INDEX(ERP資料!$S:$S, (MATCH(249, 輔助計算!$E$2:$E$801, 0)+1))), "")</f>
        <v/>
      </c>
      <c r="D250" s="10">
        <f>IFERROR(IF(INDEX(ERP資料!$E:$E, (MATCH(249, 輔助計算!$E$2:$E$801, 0)+1))="","",TRIM(INDEX(ERP資料!$E:$E, (MATCH(249, 輔助計算!$E$2:$E$801, 0)+1)))), "")</f>
        <v/>
      </c>
      <c r="E250" s="10">
        <f>IFERROR(IF(INDEX(ERP資料!$F:$F, (MATCH(249, 輔助計算!$E$2:$E$801, 0)+1))="","",INDEX(ERP資料!$F:$F, (MATCH(249, 輔助計算!$E$2:$E$801, 0)+1))), "")</f>
        <v/>
      </c>
      <c r="F250" s="10">
        <f>IFERROR(IF(INDEX(ERP資料!$G:$G, (MATCH(249, 輔助計算!$E$2:$E$801, 0)+1))="","",INDEX(ERP資料!$G:$G, (MATCH(249, 輔助計算!$E$2:$E$801, 0)+1))), "")</f>
        <v/>
      </c>
      <c r="G250" s="10">
        <f>IFERROR(IF(INDEX(ERP資料!$H:$H, (MATCH(249, 輔助計算!$E$2:$E$801, 0)+1))="","",INDEX(ERP資料!$H:$H, (MATCH(249, 輔助計算!$E$2:$E$801, 0)+1))), "")</f>
        <v/>
      </c>
      <c r="H250" s="15">
        <f>IFERROR(INDEX(輔助計算!$D:$D, (MATCH(249, 輔助計算!$E$2:$E$801, 0)+1)), "")</f>
        <v/>
      </c>
      <c r="I250" s="10">
        <f>IFERROR(IF(INDEX(ERP資料!$O:$O, (MATCH(249, 輔助計算!$E$2:$E$801, 0)+1))="","",INDEX(ERP資料!$O:$O, (MATCH(249, 輔助計算!$E$2:$E$801, 0)+1))), "")</f>
        <v/>
      </c>
      <c r="J250" s="15">
        <f>IFERROR(IF(INDEX(輔助計算!$D:$D,(MATCH(249, 輔助計算!$E$2:$E$801, 0)+1))="","",INDEX(輔助計算!$D:$D,(MATCH(249, 輔助計算!$E$2:$E$801, 0)+1))*INDEX(ERP資料!$O:$O,(MATCH(249, 輔助計算!$E$2:$E$801, 0)+1))), "")</f>
        <v/>
      </c>
      <c r="K250" s="16" t="n"/>
      <c r="L250" s="16" t="n"/>
      <c r="M250" s="17" t="n"/>
    </row>
    <row r="251">
      <c r="A251" s="14">
        <f>IFERROR(IF(INDEX(ERP資料!$B:$B, (MATCH(250, 輔助計算!$E$2:$E$801, 0)+1))="","",INDEX(ERP資料!$B:$B, (MATCH(250, 輔助計算!$E$2:$E$801, 0)+1))), "")</f>
        <v/>
      </c>
      <c r="B251" s="10">
        <f>IFERROR(IF(INDEX(ERP資料!$A:$A, (MATCH(250, 輔助計算!$E$2:$E$801, 0)+1))="","",INDEX(ERP資料!$A:$A, (MATCH(250, 輔助計算!$E$2:$E$801, 0)+1))), "")</f>
        <v/>
      </c>
      <c r="C251" s="10">
        <f>IFERROR(IF(INDEX(ERP資料!$S:$S, (MATCH(250, 輔助計算!$E$2:$E$801, 0)+1))="","",INDEX(ERP資料!$S:$S, (MATCH(250, 輔助計算!$E$2:$E$801, 0)+1))), "")</f>
        <v/>
      </c>
      <c r="D251" s="10">
        <f>IFERROR(IF(INDEX(ERP資料!$E:$E, (MATCH(250, 輔助計算!$E$2:$E$801, 0)+1))="","",TRIM(INDEX(ERP資料!$E:$E, (MATCH(250, 輔助計算!$E$2:$E$801, 0)+1)))), "")</f>
        <v/>
      </c>
      <c r="E251" s="10">
        <f>IFERROR(IF(INDEX(ERP資料!$F:$F, (MATCH(250, 輔助計算!$E$2:$E$801, 0)+1))="","",INDEX(ERP資料!$F:$F, (MATCH(250, 輔助計算!$E$2:$E$801, 0)+1))), "")</f>
        <v/>
      </c>
      <c r="F251" s="10">
        <f>IFERROR(IF(INDEX(ERP資料!$G:$G, (MATCH(250, 輔助計算!$E$2:$E$801, 0)+1))="","",INDEX(ERP資料!$G:$G, (MATCH(250, 輔助計算!$E$2:$E$801, 0)+1))), "")</f>
        <v/>
      </c>
      <c r="G251" s="10">
        <f>IFERROR(IF(INDEX(ERP資料!$H:$H, (MATCH(250, 輔助計算!$E$2:$E$801, 0)+1))="","",INDEX(ERP資料!$H:$H, (MATCH(250, 輔助計算!$E$2:$E$801, 0)+1))), "")</f>
        <v/>
      </c>
      <c r="H251" s="15">
        <f>IFERROR(INDEX(輔助計算!$D:$D, (MATCH(250, 輔助計算!$E$2:$E$801, 0)+1)), "")</f>
        <v/>
      </c>
      <c r="I251" s="10">
        <f>IFERROR(IF(INDEX(ERP資料!$O:$O, (MATCH(250, 輔助計算!$E$2:$E$801, 0)+1))="","",INDEX(ERP資料!$O:$O, (MATCH(250, 輔助計算!$E$2:$E$801, 0)+1))), "")</f>
        <v/>
      </c>
      <c r="J251" s="15">
        <f>IFERROR(IF(INDEX(輔助計算!$D:$D,(MATCH(250, 輔助計算!$E$2:$E$801, 0)+1))="","",INDEX(輔助計算!$D:$D,(MATCH(250, 輔助計算!$E$2:$E$801, 0)+1))*INDEX(ERP資料!$O:$O,(MATCH(250, 輔助計算!$E$2:$E$801, 0)+1))), "")</f>
        <v/>
      </c>
      <c r="K251" s="16" t="n"/>
      <c r="L251" s="16" t="n"/>
      <c r="M251" s="17" t="n"/>
    </row>
    <row r="252">
      <c r="A252" s="14">
        <f>IFERROR(IF(INDEX(ERP資料!$B:$B, (MATCH(251, 輔助計算!$E$2:$E$801, 0)+1))="","",INDEX(ERP資料!$B:$B, (MATCH(251, 輔助計算!$E$2:$E$801, 0)+1))), "")</f>
        <v/>
      </c>
      <c r="B252" s="10">
        <f>IFERROR(IF(INDEX(ERP資料!$A:$A, (MATCH(251, 輔助計算!$E$2:$E$801, 0)+1))="","",INDEX(ERP資料!$A:$A, (MATCH(251, 輔助計算!$E$2:$E$801, 0)+1))), "")</f>
        <v/>
      </c>
      <c r="C252" s="10">
        <f>IFERROR(IF(INDEX(ERP資料!$S:$S, (MATCH(251, 輔助計算!$E$2:$E$801, 0)+1))="","",INDEX(ERP資料!$S:$S, (MATCH(251, 輔助計算!$E$2:$E$801, 0)+1))), "")</f>
        <v/>
      </c>
      <c r="D252" s="10">
        <f>IFERROR(IF(INDEX(ERP資料!$E:$E, (MATCH(251, 輔助計算!$E$2:$E$801, 0)+1))="","",TRIM(INDEX(ERP資料!$E:$E, (MATCH(251, 輔助計算!$E$2:$E$801, 0)+1)))), "")</f>
        <v/>
      </c>
      <c r="E252" s="10">
        <f>IFERROR(IF(INDEX(ERP資料!$F:$F, (MATCH(251, 輔助計算!$E$2:$E$801, 0)+1))="","",INDEX(ERP資料!$F:$F, (MATCH(251, 輔助計算!$E$2:$E$801, 0)+1))), "")</f>
        <v/>
      </c>
      <c r="F252" s="10">
        <f>IFERROR(IF(INDEX(ERP資料!$G:$G, (MATCH(251, 輔助計算!$E$2:$E$801, 0)+1))="","",INDEX(ERP資料!$G:$G, (MATCH(251, 輔助計算!$E$2:$E$801, 0)+1))), "")</f>
        <v/>
      </c>
      <c r="G252" s="10">
        <f>IFERROR(IF(INDEX(ERP資料!$H:$H, (MATCH(251, 輔助計算!$E$2:$E$801, 0)+1))="","",INDEX(ERP資料!$H:$H, (MATCH(251, 輔助計算!$E$2:$E$801, 0)+1))), "")</f>
        <v/>
      </c>
      <c r="H252" s="15">
        <f>IFERROR(INDEX(輔助計算!$D:$D, (MATCH(251, 輔助計算!$E$2:$E$801, 0)+1)), "")</f>
        <v/>
      </c>
      <c r="I252" s="10">
        <f>IFERROR(IF(INDEX(ERP資料!$O:$O, (MATCH(251, 輔助計算!$E$2:$E$801, 0)+1))="","",INDEX(ERP資料!$O:$O, (MATCH(251, 輔助計算!$E$2:$E$801, 0)+1))), "")</f>
        <v/>
      </c>
      <c r="J252" s="15">
        <f>IFERROR(IF(INDEX(輔助計算!$D:$D,(MATCH(251, 輔助計算!$E$2:$E$801, 0)+1))="","",INDEX(輔助計算!$D:$D,(MATCH(251, 輔助計算!$E$2:$E$801, 0)+1))*INDEX(ERP資料!$O:$O,(MATCH(251, 輔助計算!$E$2:$E$801, 0)+1))), "")</f>
        <v/>
      </c>
      <c r="K252" s="16" t="n"/>
      <c r="L252" s="16" t="n"/>
      <c r="M252" s="17" t="n"/>
    </row>
    <row r="253">
      <c r="A253" s="14">
        <f>IFERROR(IF(INDEX(ERP資料!$B:$B, (MATCH(252, 輔助計算!$E$2:$E$801, 0)+1))="","",INDEX(ERP資料!$B:$B, (MATCH(252, 輔助計算!$E$2:$E$801, 0)+1))), "")</f>
        <v/>
      </c>
      <c r="B253" s="10">
        <f>IFERROR(IF(INDEX(ERP資料!$A:$A, (MATCH(252, 輔助計算!$E$2:$E$801, 0)+1))="","",INDEX(ERP資料!$A:$A, (MATCH(252, 輔助計算!$E$2:$E$801, 0)+1))), "")</f>
        <v/>
      </c>
      <c r="C253" s="10">
        <f>IFERROR(IF(INDEX(ERP資料!$S:$S, (MATCH(252, 輔助計算!$E$2:$E$801, 0)+1))="","",INDEX(ERP資料!$S:$S, (MATCH(252, 輔助計算!$E$2:$E$801, 0)+1))), "")</f>
        <v/>
      </c>
      <c r="D253" s="10">
        <f>IFERROR(IF(INDEX(ERP資料!$E:$E, (MATCH(252, 輔助計算!$E$2:$E$801, 0)+1))="","",TRIM(INDEX(ERP資料!$E:$E, (MATCH(252, 輔助計算!$E$2:$E$801, 0)+1)))), "")</f>
        <v/>
      </c>
      <c r="E253" s="10">
        <f>IFERROR(IF(INDEX(ERP資料!$F:$F, (MATCH(252, 輔助計算!$E$2:$E$801, 0)+1))="","",INDEX(ERP資料!$F:$F, (MATCH(252, 輔助計算!$E$2:$E$801, 0)+1))), "")</f>
        <v/>
      </c>
      <c r="F253" s="10">
        <f>IFERROR(IF(INDEX(ERP資料!$G:$G, (MATCH(252, 輔助計算!$E$2:$E$801, 0)+1))="","",INDEX(ERP資料!$G:$G, (MATCH(252, 輔助計算!$E$2:$E$801, 0)+1))), "")</f>
        <v/>
      </c>
      <c r="G253" s="10">
        <f>IFERROR(IF(INDEX(ERP資料!$H:$H, (MATCH(252, 輔助計算!$E$2:$E$801, 0)+1))="","",INDEX(ERP資料!$H:$H, (MATCH(252, 輔助計算!$E$2:$E$801, 0)+1))), "")</f>
        <v/>
      </c>
      <c r="H253" s="15">
        <f>IFERROR(INDEX(輔助計算!$D:$D, (MATCH(252, 輔助計算!$E$2:$E$801, 0)+1)), "")</f>
        <v/>
      </c>
      <c r="I253" s="10">
        <f>IFERROR(IF(INDEX(ERP資料!$O:$O, (MATCH(252, 輔助計算!$E$2:$E$801, 0)+1))="","",INDEX(ERP資料!$O:$O, (MATCH(252, 輔助計算!$E$2:$E$801, 0)+1))), "")</f>
        <v/>
      </c>
      <c r="J253" s="15">
        <f>IFERROR(IF(INDEX(輔助計算!$D:$D,(MATCH(252, 輔助計算!$E$2:$E$801, 0)+1))="","",INDEX(輔助計算!$D:$D,(MATCH(252, 輔助計算!$E$2:$E$801, 0)+1))*INDEX(ERP資料!$O:$O,(MATCH(252, 輔助計算!$E$2:$E$801, 0)+1))), "")</f>
        <v/>
      </c>
      <c r="K253" s="16" t="n"/>
      <c r="L253" s="16" t="n"/>
      <c r="M253" s="17" t="n"/>
    </row>
    <row r="254">
      <c r="A254" s="14">
        <f>IFERROR(IF(INDEX(ERP資料!$B:$B, (MATCH(253, 輔助計算!$E$2:$E$801, 0)+1))="","",INDEX(ERP資料!$B:$B, (MATCH(253, 輔助計算!$E$2:$E$801, 0)+1))), "")</f>
        <v/>
      </c>
      <c r="B254" s="10">
        <f>IFERROR(IF(INDEX(ERP資料!$A:$A, (MATCH(253, 輔助計算!$E$2:$E$801, 0)+1))="","",INDEX(ERP資料!$A:$A, (MATCH(253, 輔助計算!$E$2:$E$801, 0)+1))), "")</f>
        <v/>
      </c>
      <c r="C254" s="10">
        <f>IFERROR(IF(INDEX(ERP資料!$S:$S, (MATCH(253, 輔助計算!$E$2:$E$801, 0)+1))="","",INDEX(ERP資料!$S:$S, (MATCH(253, 輔助計算!$E$2:$E$801, 0)+1))), "")</f>
        <v/>
      </c>
      <c r="D254" s="10">
        <f>IFERROR(IF(INDEX(ERP資料!$E:$E, (MATCH(253, 輔助計算!$E$2:$E$801, 0)+1))="","",TRIM(INDEX(ERP資料!$E:$E, (MATCH(253, 輔助計算!$E$2:$E$801, 0)+1)))), "")</f>
        <v/>
      </c>
      <c r="E254" s="10">
        <f>IFERROR(IF(INDEX(ERP資料!$F:$F, (MATCH(253, 輔助計算!$E$2:$E$801, 0)+1))="","",INDEX(ERP資料!$F:$F, (MATCH(253, 輔助計算!$E$2:$E$801, 0)+1))), "")</f>
        <v/>
      </c>
      <c r="F254" s="10">
        <f>IFERROR(IF(INDEX(ERP資料!$G:$G, (MATCH(253, 輔助計算!$E$2:$E$801, 0)+1))="","",INDEX(ERP資料!$G:$G, (MATCH(253, 輔助計算!$E$2:$E$801, 0)+1))), "")</f>
        <v/>
      </c>
      <c r="G254" s="10">
        <f>IFERROR(IF(INDEX(ERP資料!$H:$H, (MATCH(253, 輔助計算!$E$2:$E$801, 0)+1))="","",INDEX(ERP資料!$H:$H, (MATCH(253, 輔助計算!$E$2:$E$801, 0)+1))), "")</f>
        <v/>
      </c>
      <c r="H254" s="15">
        <f>IFERROR(INDEX(輔助計算!$D:$D, (MATCH(253, 輔助計算!$E$2:$E$801, 0)+1)), "")</f>
        <v/>
      </c>
      <c r="I254" s="10">
        <f>IFERROR(IF(INDEX(ERP資料!$O:$O, (MATCH(253, 輔助計算!$E$2:$E$801, 0)+1))="","",INDEX(ERP資料!$O:$O, (MATCH(253, 輔助計算!$E$2:$E$801, 0)+1))), "")</f>
        <v/>
      </c>
      <c r="J254" s="15">
        <f>IFERROR(IF(INDEX(輔助計算!$D:$D,(MATCH(253, 輔助計算!$E$2:$E$801, 0)+1))="","",INDEX(輔助計算!$D:$D,(MATCH(253, 輔助計算!$E$2:$E$801, 0)+1))*INDEX(ERP資料!$O:$O,(MATCH(253, 輔助計算!$E$2:$E$801, 0)+1))), "")</f>
        <v/>
      </c>
      <c r="K254" s="16" t="n"/>
      <c r="L254" s="16" t="n"/>
      <c r="M254" s="17" t="n"/>
    </row>
    <row r="255">
      <c r="A255" s="14">
        <f>IFERROR(IF(INDEX(ERP資料!$B:$B, (MATCH(254, 輔助計算!$E$2:$E$801, 0)+1))="","",INDEX(ERP資料!$B:$B, (MATCH(254, 輔助計算!$E$2:$E$801, 0)+1))), "")</f>
        <v/>
      </c>
      <c r="B255" s="10">
        <f>IFERROR(IF(INDEX(ERP資料!$A:$A, (MATCH(254, 輔助計算!$E$2:$E$801, 0)+1))="","",INDEX(ERP資料!$A:$A, (MATCH(254, 輔助計算!$E$2:$E$801, 0)+1))), "")</f>
        <v/>
      </c>
      <c r="C255" s="10">
        <f>IFERROR(IF(INDEX(ERP資料!$S:$S, (MATCH(254, 輔助計算!$E$2:$E$801, 0)+1))="","",INDEX(ERP資料!$S:$S, (MATCH(254, 輔助計算!$E$2:$E$801, 0)+1))), "")</f>
        <v/>
      </c>
      <c r="D255" s="10">
        <f>IFERROR(IF(INDEX(ERP資料!$E:$E, (MATCH(254, 輔助計算!$E$2:$E$801, 0)+1))="","",TRIM(INDEX(ERP資料!$E:$E, (MATCH(254, 輔助計算!$E$2:$E$801, 0)+1)))), "")</f>
        <v/>
      </c>
      <c r="E255" s="10">
        <f>IFERROR(IF(INDEX(ERP資料!$F:$F, (MATCH(254, 輔助計算!$E$2:$E$801, 0)+1))="","",INDEX(ERP資料!$F:$F, (MATCH(254, 輔助計算!$E$2:$E$801, 0)+1))), "")</f>
        <v/>
      </c>
      <c r="F255" s="10">
        <f>IFERROR(IF(INDEX(ERP資料!$G:$G, (MATCH(254, 輔助計算!$E$2:$E$801, 0)+1))="","",INDEX(ERP資料!$G:$G, (MATCH(254, 輔助計算!$E$2:$E$801, 0)+1))), "")</f>
        <v/>
      </c>
      <c r="G255" s="10">
        <f>IFERROR(IF(INDEX(ERP資料!$H:$H, (MATCH(254, 輔助計算!$E$2:$E$801, 0)+1))="","",INDEX(ERP資料!$H:$H, (MATCH(254, 輔助計算!$E$2:$E$801, 0)+1))), "")</f>
        <v/>
      </c>
      <c r="H255" s="15">
        <f>IFERROR(INDEX(輔助計算!$D:$D, (MATCH(254, 輔助計算!$E$2:$E$801, 0)+1)), "")</f>
        <v/>
      </c>
      <c r="I255" s="10">
        <f>IFERROR(IF(INDEX(ERP資料!$O:$O, (MATCH(254, 輔助計算!$E$2:$E$801, 0)+1))="","",INDEX(ERP資料!$O:$O, (MATCH(254, 輔助計算!$E$2:$E$801, 0)+1))), "")</f>
        <v/>
      </c>
      <c r="J255" s="15">
        <f>IFERROR(IF(INDEX(輔助計算!$D:$D,(MATCH(254, 輔助計算!$E$2:$E$801, 0)+1))="","",INDEX(輔助計算!$D:$D,(MATCH(254, 輔助計算!$E$2:$E$801, 0)+1))*INDEX(ERP資料!$O:$O,(MATCH(254, 輔助計算!$E$2:$E$801, 0)+1))), "")</f>
        <v/>
      </c>
      <c r="K255" s="16" t="n"/>
      <c r="L255" s="16" t="n"/>
      <c r="M255" s="17" t="n"/>
    </row>
    <row r="256">
      <c r="A256" s="14">
        <f>IFERROR(IF(INDEX(ERP資料!$B:$B, (MATCH(255, 輔助計算!$E$2:$E$801, 0)+1))="","",INDEX(ERP資料!$B:$B, (MATCH(255, 輔助計算!$E$2:$E$801, 0)+1))), "")</f>
        <v/>
      </c>
      <c r="B256" s="10">
        <f>IFERROR(IF(INDEX(ERP資料!$A:$A, (MATCH(255, 輔助計算!$E$2:$E$801, 0)+1))="","",INDEX(ERP資料!$A:$A, (MATCH(255, 輔助計算!$E$2:$E$801, 0)+1))), "")</f>
        <v/>
      </c>
      <c r="C256" s="10">
        <f>IFERROR(IF(INDEX(ERP資料!$S:$S, (MATCH(255, 輔助計算!$E$2:$E$801, 0)+1))="","",INDEX(ERP資料!$S:$S, (MATCH(255, 輔助計算!$E$2:$E$801, 0)+1))), "")</f>
        <v/>
      </c>
      <c r="D256" s="10">
        <f>IFERROR(IF(INDEX(ERP資料!$E:$E, (MATCH(255, 輔助計算!$E$2:$E$801, 0)+1))="","",TRIM(INDEX(ERP資料!$E:$E, (MATCH(255, 輔助計算!$E$2:$E$801, 0)+1)))), "")</f>
        <v/>
      </c>
      <c r="E256" s="10">
        <f>IFERROR(IF(INDEX(ERP資料!$F:$F, (MATCH(255, 輔助計算!$E$2:$E$801, 0)+1))="","",INDEX(ERP資料!$F:$F, (MATCH(255, 輔助計算!$E$2:$E$801, 0)+1))), "")</f>
        <v/>
      </c>
      <c r="F256" s="10">
        <f>IFERROR(IF(INDEX(ERP資料!$G:$G, (MATCH(255, 輔助計算!$E$2:$E$801, 0)+1))="","",INDEX(ERP資料!$G:$G, (MATCH(255, 輔助計算!$E$2:$E$801, 0)+1))), "")</f>
        <v/>
      </c>
      <c r="G256" s="10">
        <f>IFERROR(IF(INDEX(ERP資料!$H:$H, (MATCH(255, 輔助計算!$E$2:$E$801, 0)+1))="","",INDEX(ERP資料!$H:$H, (MATCH(255, 輔助計算!$E$2:$E$801, 0)+1))), "")</f>
        <v/>
      </c>
      <c r="H256" s="15">
        <f>IFERROR(INDEX(輔助計算!$D:$D, (MATCH(255, 輔助計算!$E$2:$E$801, 0)+1)), "")</f>
        <v/>
      </c>
      <c r="I256" s="10">
        <f>IFERROR(IF(INDEX(ERP資料!$O:$O, (MATCH(255, 輔助計算!$E$2:$E$801, 0)+1))="","",INDEX(ERP資料!$O:$O, (MATCH(255, 輔助計算!$E$2:$E$801, 0)+1))), "")</f>
        <v/>
      </c>
      <c r="J256" s="15">
        <f>IFERROR(IF(INDEX(輔助計算!$D:$D,(MATCH(255, 輔助計算!$E$2:$E$801, 0)+1))="","",INDEX(輔助計算!$D:$D,(MATCH(255, 輔助計算!$E$2:$E$801, 0)+1))*INDEX(ERP資料!$O:$O,(MATCH(255, 輔助計算!$E$2:$E$801, 0)+1))), "")</f>
        <v/>
      </c>
      <c r="K256" s="16" t="n"/>
      <c r="L256" s="16" t="n"/>
      <c r="M256" s="17" t="n"/>
    </row>
    <row r="257">
      <c r="A257" s="14">
        <f>IFERROR(IF(INDEX(ERP資料!$B:$B, (MATCH(256, 輔助計算!$E$2:$E$801, 0)+1))="","",INDEX(ERP資料!$B:$B, (MATCH(256, 輔助計算!$E$2:$E$801, 0)+1))), "")</f>
        <v/>
      </c>
      <c r="B257" s="10">
        <f>IFERROR(IF(INDEX(ERP資料!$A:$A, (MATCH(256, 輔助計算!$E$2:$E$801, 0)+1))="","",INDEX(ERP資料!$A:$A, (MATCH(256, 輔助計算!$E$2:$E$801, 0)+1))), "")</f>
        <v/>
      </c>
      <c r="C257" s="10">
        <f>IFERROR(IF(INDEX(ERP資料!$S:$S, (MATCH(256, 輔助計算!$E$2:$E$801, 0)+1))="","",INDEX(ERP資料!$S:$S, (MATCH(256, 輔助計算!$E$2:$E$801, 0)+1))), "")</f>
        <v/>
      </c>
      <c r="D257" s="10">
        <f>IFERROR(IF(INDEX(ERP資料!$E:$E, (MATCH(256, 輔助計算!$E$2:$E$801, 0)+1))="","",TRIM(INDEX(ERP資料!$E:$E, (MATCH(256, 輔助計算!$E$2:$E$801, 0)+1)))), "")</f>
        <v/>
      </c>
      <c r="E257" s="10">
        <f>IFERROR(IF(INDEX(ERP資料!$F:$F, (MATCH(256, 輔助計算!$E$2:$E$801, 0)+1))="","",INDEX(ERP資料!$F:$F, (MATCH(256, 輔助計算!$E$2:$E$801, 0)+1))), "")</f>
        <v/>
      </c>
      <c r="F257" s="10">
        <f>IFERROR(IF(INDEX(ERP資料!$G:$G, (MATCH(256, 輔助計算!$E$2:$E$801, 0)+1))="","",INDEX(ERP資料!$G:$G, (MATCH(256, 輔助計算!$E$2:$E$801, 0)+1))), "")</f>
        <v/>
      </c>
      <c r="G257" s="10">
        <f>IFERROR(IF(INDEX(ERP資料!$H:$H, (MATCH(256, 輔助計算!$E$2:$E$801, 0)+1))="","",INDEX(ERP資料!$H:$H, (MATCH(256, 輔助計算!$E$2:$E$801, 0)+1))), "")</f>
        <v/>
      </c>
      <c r="H257" s="15">
        <f>IFERROR(INDEX(輔助計算!$D:$D, (MATCH(256, 輔助計算!$E$2:$E$801, 0)+1)), "")</f>
        <v/>
      </c>
      <c r="I257" s="10">
        <f>IFERROR(IF(INDEX(ERP資料!$O:$O, (MATCH(256, 輔助計算!$E$2:$E$801, 0)+1))="","",INDEX(ERP資料!$O:$O, (MATCH(256, 輔助計算!$E$2:$E$801, 0)+1))), "")</f>
        <v/>
      </c>
      <c r="J257" s="15">
        <f>IFERROR(IF(INDEX(輔助計算!$D:$D,(MATCH(256, 輔助計算!$E$2:$E$801, 0)+1))="","",INDEX(輔助計算!$D:$D,(MATCH(256, 輔助計算!$E$2:$E$801, 0)+1))*INDEX(ERP資料!$O:$O,(MATCH(256, 輔助計算!$E$2:$E$801, 0)+1))), "")</f>
        <v/>
      </c>
      <c r="K257" s="16" t="n"/>
      <c r="L257" s="16" t="n"/>
      <c r="M257" s="17" t="n"/>
    </row>
    <row r="258">
      <c r="A258" s="14">
        <f>IFERROR(IF(INDEX(ERP資料!$B:$B, (MATCH(257, 輔助計算!$E$2:$E$801, 0)+1))="","",INDEX(ERP資料!$B:$B, (MATCH(257, 輔助計算!$E$2:$E$801, 0)+1))), "")</f>
        <v/>
      </c>
      <c r="B258" s="10">
        <f>IFERROR(IF(INDEX(ERP資料!$A:$A, (MATCH(257, 輔助計算!$E$2:$E$801, 0)+1))="","",INDEX(ERP資料!$A:$A, (MATCH(257, 輔助計算!$E$2:$E$801, 0)+1))), "")</f>
        <v/>
      </c>
      <c r="C258" s="10">
        <f>IFERROR(IF(INDEX(ERP資料!$S:$S, (MATCH(257, 輔助計算!$E$2:$E$801, 0)+1))="","",INDEX(ERP資料!$S:$S, (MATCH(257, 輔助計算!$E$2:$E$801, 0)+1))), "")</f>
        <v/>
      </c>
      <c r="D258" s="10">
        <f>IFERROR(IF(INDEX(ERP資料!$E:$E, (MATCH(257, 輔助計算!$E$2:$E$801, 0)+1))="","",TRIM(INDEX(ERP資料!$E:$E, (MATCH(257, 輔助計算!$E$2:$E$801, 0)+1)))), "")</f>
        <v/>
      </c>
      <c r="E258" s="10">
        <f>IFERROR(IF(INDEX(ERP資料!$F:$F, (MATCH(257, 輔助計算!$E$2:$E$801, 0)+1))="","",INDEX(ERP資料!$F:$F, (MATCH(257, 輔助計算!$E$2:$E$801, 0)+1))), "")</f>
        <v/>
      </c>
      <c r="F258" s="10">
        <f>IFERROR(IF(INDEX(ERP資料!$G:$G, (MATCH(257, 輔助計算!$E$2:$E$801, 0)+1))="","",INDEX(ERP資料!$G:$G, (MATCH(257, 輔助計算!$E$2:$E$801, 0)+1))), "")</f>
        <v/>
      </c>
      <c r="G258" s="10">
        <f>IFERROR(IF(INDEX(ERP資料!$H:$H, (MATCH(257, 輔助計算!$E$2:$E$801, 0)+1))="","",INDEX(ERP資料!$H:$H, (MATCH(257, 輔助計算!$E$2:$E$801, 0)+1))), "")</f>
        <v/>
      </c>
      <c r="H258" s="15">
        <f>IFERROR(INDEX(輔助計算!$D:$D, (MATCH(257, 輔助計算!$E$2:$E$801, 0)+1)), "")</f>
        <v/>
      </c>
      <c r="I258" s="10">
        <f>IFERROR(IF(INDEX(ERP資料!$O:$O, (MATCH(257, 輔助計算!$E$2:$E$801, 0)+1))="","",INDEX(ERP資料!$O:$O, (MATCH(257, 輔助計算!$E$2:$E$801, 0)+1))), "")</f>
        <v/>
      </c>
      <c r="J258" s="15">
        <f>IFERROR(IF(INDEX(輔助計算!$D:$D,(MATCH(257, 輔助計算!$E$2:$E$801, 0)+1))="","",INDEX(輔助計算!$D:$D,(MATCH(257, 輔助計算!$E$2:$E$801, 0)+1))*INDEX(ERP資料!$O:$O,(MATCH(257, 輔助計算!$E$2:$E$801, 0)+1))), "")</f>
        <v/>
      </c>
      <c r="K258" s="16" t="n"/>
      <c r="L258" s="16" t="n"/>
      <c r="M258" s="17" t="n"/>
    </row>
    <row r="259">
      <c r="A259" s="14">
        <f>IFERROR(IF(INDEX(ERP資料!$B:$B, (MATCH(258, 輔助計算!$E$2:$E$801, 0)+1))="","",INDEX(ERP資料!$B:$B, (MATCH(258, 輔助計算!$E$2:$E$801, 0)+1))), "")</f>
        <v/>
      </c>
      <c r="B259" s="10">
        <f>IFERROR(IF(INDEX(ERP資料!$A:$A, (MATCH(258, 輔助計算!$E$2:$E$801, 0)+1))="","",INDEX(ERP資料!$A:$A, (MATCH(258, 輔助計算!$E$2:$E$801, 0)+1))), "")</f>
        <v/>
      </c>
      <c r="C259" s="10">
        <f>IFERROR(IF(INDEX(ERP資料!$S:$S, (MATCH(258, 輔助計算!$E$2:$E$801, 0)+1))="","",INDEX(ERP資料!$S:$S, (MATCH(258, 輔助計算!$E$2:$E$801, 0)+1))), "")</f>
        <v/>
      </c>
      <c r="D259" s="10">
        <f>IFERROR(IF(INDEX(ERP資料!$E:$E, (MATCH(258, 輔助計算!$E$2:$E$801, 0)+1))="","",TRIM(INDEX(ERP資料!$E:$E, (MATCH(258, 輔助計算!$E$2:$E$801, 0)+1)))), "")</f>
        <v/>
      </c>
      <c r="E259" s="10">
        <f>IFERROR(IF(INDEX(ERP資料!$F:$F, (MATCH(258, 輔助計算!$E$2:$E$801, 0)+1))="","",INDEX(ERP資料!$F:$F, (MATCH(258, 輔助計算!$E$2:$E$801, 0)+1))), "")</f>
        <v/>
      </c>
      <c r="F259" s="10">
        <f>IFERROR(IF(INDEX(ERP資料!$G:$G, (MATCH(258, 輔助計算!$E$2:$E$801, 0)+1))="","",INDEX(ERP資料!$G:$G, (MATCH(258, 輔助計算!$E$2:$E$801, 0)+1))), "")</f>
        <v/>
      </c>
      <c r="G259" s="10">
        <f>IFERROR(IF(INDEX(ERP資料!$H:$H, (MATCH(258, 輔助計算!$E$2:$E$801, 0)+1))="","",INDEX(ERP資料!$H:$H, (MATCH(258, 輔助計算!$E$2:$E$801, 0)+1))), "")</f>
        <v/>
      </c>
      <c r="H259" s="15">
        <f>IFERROR(INDEX(輔助計算!$D:$D, (MATCH(258, 輔助計算!$E$2:$E$801, 0)+1)), "")</f>
        <v/>
      </c>
      <c r="I259" s="10">
        <f>IFERROR(IF(INDEX(ERP資料!$O:$O, (MATCH(258, 輔助計算!$E$2:$E$801, 0)+1))="","",INDEX(ERP資料!$O:$O, (MATCH(258, 輔助計算!$E$2:$E$801, 0)+1))), "")</f>
        <v/>
      </c>
      <c r="J259" s="15">
        <f>IFERROR(IF(INDEX(輔助計算!$D:$D,(MATCH(258, 輔助計算!$E$2:$E$801, 0)+1))="","",INDEX(輔助計算!$D:$D,(MATCH(258, 輔助計算!$E$2:$E$801, 0)+1))*INDEX(ERP資料!$O:$O,(MATCH(258, 輔助計算!$E$2:$E$801, 0)+1))), "")</f>
        <v/>
      </c>
      <c r="K259" s="16" t="n"/>
      <c r="L259" s="16" t="n"/>
      <c r="M259" s="17" t="n"/>
    </row>
    <row r="260">
      <c r="A260" s="14">
        <f>IFERROR(IF(INDEX(ERP資料!$B:$B, (MATCH(259, 輔助計算!$E$2:$E$801, 0)+1))="","",INDEX(ERP資料!$B:$B, (MATCH(259, 輔助計算!$E$2:$E$801, 0)+1))), "")</f>
        <v/>
      </c>
      <c r="B260" s="10">
        <f>IFERROR(IF(INDEX(ERP資料!$A:$A, (MATCH(259, 輔助計算!$E$2:$E$801, 0)+1))="","",INDEX(ERP資料!$A:$A, (MATCH(259, 輔助計算!$E$2:$E$801, 0)+1))), "")</f>
        <v/>
      </c>
      <c r="C260" s="10">
        <f>IFERROR(IF(INDEX(ERP資料!$S:$S, (MATCH(259, 輔助計算!$E$2:$E$801, 0)+1))="","",INDEX(ERP資料!$S:$S, (MATCH(259, 輔助計算!$E$2:$E$801, 0)+1))), "")</f>
        <v/>
      </c>
      <c r="D260" s="10">
        <f>IFERROR(IF(INDEX(ERP資料!$E:$E, (MATCH(259, 輔助計算!$E$2:$E$801, 0)+1))="","",TRIM(INDEX(ERP資料!$E:$E, (MATCH(259, 輔助計算!$E$2:$E$801, 0)+1)))), "")</f>
        <v/>
      </c>
      <c r="E260" s="10">
        <f>IFERROR(IF(INDEX(ERP資料!$F:$F, (MATCH(259, 輔助計算!$E$2:$E$801, 0)+1))="","",INDEX(ERP資料!$F:$F, (MATCH(259, 輔助計算!$E$2:$E$801, 0)+1))), "")</f>
        <v/>
      </c>
      <c r="F260" s="10">
        <f>IFERROR(IF(INDEX(ERP資料!$G:$G, (MATCH(259, 輔助計算!$E$2:$E$801, 0)+1))="","",INDEX(ERP資料!$G:$G, (MATCH(259, 輔助計算!$E$2:$E$801, 0)+1))), "")</f>
        <v/>
      </c>
      <c r="G260" s="10">
        <f>IFERROR(IF(INDEX(ERP資料!$H:$H, (MATCH(259, 輔助計算!$E$2:$E$801, 0)+1))="","",INDEX(ERP資料!$H:$H, (MATCH(259, 輔助計算!$E$2:$E$801, 0)+1))), "")</f>
        <v/>
      </c>
      <c r="H260" s="15">
        <f>IFERROR(INDEX(輔助計算!$D:$D, (MATCH(259, 輔助計算!$E$2:$E$801, 0)+1)), "")</f>
        <v/>
      </c>
      <c r="I260" s="10">
        <f>IFERROR(IF(INDEX(ERP資料!$O:$O, (MATCH(259, 輔助計算!$E$2:$E$801, 0)+1))="","",INDEX(ERP資料!$O:$O, (MATCH(259, 輔助計算!$E$2:$E$801, 0)+1))), "")</f>
        <v/>
      </c>
      <c r="J260" s="15">
        <f>IFERROR(IF(INDEX(輔助計算!$D:$D,(MATCH(259, 輔助計算!$E$2:$E$801, 0)+1))="","",INDEX(輔助計算!$D:$D,(MATCH(259, 輔助計算!$E$2:$E$801, 0)+1))*INDEX(ERP資料!$O:$O,(MATCH(259, 輔助計算!$E$2:$E$801, 0)+1))), "")</f>
        <v/>
      </c>
      <c r="K260" s="16" t="n"/>
      <c r="L260" s="16" t="n"/>
      <c r="M260" s="17" t="n"/>
    </row>
    <row r="261">
      <c r="A261" s="14">
        <f>IFERROR(IF(INDEX(ERP資料!$B:$B, (MATCH(260, 輔助計算!$E$2:$E$801, 0)+1))="","",INDEX(ERP資料!$B:$B, (MATCH(260, 輔助計算!$E$2:$E$801, 0)+1))), "")</f>
        <v/>
      </c>
      <c r="B261" s="10">
        <f>IFERROR(IF(INDEX(ERP資料!$A:$A, (MATCH(260, 輔助計算!$E$2:$E$801, 0)+1))="","",INDEX(ERP資料!$A:$A, (MATCH(260, 輔助計算!$E$2:$E$801, 0)+1))), "")</f>
        <v/>
      </c>
      <c r="C261" s="10">
        <f>IFERROR(IF(INDEX(ERP資料!$S:$S, (MATCH(260, 輔助計算!$E$2:$E$801, 0)+1))="","",INDEX(ERP資料!$S:$S, (MATCH(260, 輔助計算!$E$2:$E$801, 0)+1))), "")</f>
        <v/>
      </c>
      <c r="D261" s="10">
        <f>IFERROR(IF(INDEX(ERP資料!$E:$E, (MATCH(260, 輔助計算!$E$2:$E$801, 0)+1))="","",TRIM(INDEX(ERP資料!$E:$E, (MATCH(260, 輔助計算!$E$2:$E$801, 0)+1)))), "")</f>
        <v/>
      </c>
      <c r="E261" s="10">
        <f>IFERROR(IF(INDEX(ERP資料!$F:$F, (MATCH(260, 輔助計算!$E$2:$E$801, 0)+1))="","",INDEX(ERP資料!$F:$F, (MATCH(260, 輔助計算!$E$2:$E$801, 0)+1))), "")</f>
        <v/>
      </c>
      <c r="F261" s="10">
        <f>IFERROR(IF(INDEX(ERP資料!$G:$G, (MATCH(260, 輔助計算!$E$2:$E$801, 0)+1))="","",INDEX(ERP資料!$G:$G, (MATCH(260, 輔助計算!$E$2:$E$801, 0)+1))), "")</f>
        <v/>
      </c>
      <c r="G261" s="10">
        <f>IFERROR(IF(INDEX(ERP資料!$H:$H, (MATCH(260, 輔助計算!$E$2:$E$801, 0)+1))="","",INDEX(ERP資料!$H:$H, (MATCH(260, 輔助計算!$E$2:$E$801, 0)+1))), "")</f>
        <v/>
      </c>
      <c r="H261" s="15">
        <f>IFERROR(INDEX(輔助計算!$D:$D, (MATCH(260, 輔助計算!$E$2:$E$801, 0)+1)), "")</f>
        <v/>
      </c>
      <c r="I261" s="10">
        <f>IFERROR(IF(INDEX(ERP資料!$O:$O, (MATCH(260, 輔助計算!$E$2:$E$801, 0)+1))="","",INDEX(ERP資料!$O:$O, (MATCH(260, 輔助計算!$E$2:$E$801, 0)+1))), "")</f>
        <v/>
      </c>
      <c r="J261" s="15">
        <f>IFERROR(IF(INDEX(輔助計算!$D:$D,(MATCH(260, 輔助計算!$E$2:$E$801, 0)+1))="","",INDEX(輔助計算!$D:$D,(MATCH(260, 輔助計算!$E$2:$E$801, 0)+1))*INDEX(ERP資料!$O:$O,(MATCH(260, 輔助計算!$E$2:$E$801, 0)+1))), "")</f>
        <v/>
      </c>
      <c r="K261" s="16" t="n"/>
      <c r="L261" s="16" t="n"/>
      <c r="M261" s="17" t="n"/>
    </row>
    <row r="262">
      <c r="A262" s="14">
        <f>IFERROR(IF(INDEX(ERP資料!$B:$B, (MATCH(261, 輔助計算!$E$2:$E$801, 0)+1))="","",INDEX(ERP資料!$B:$B, (MATCH(261, 輔助計算!$E$2:$E$801, 0)+1))), "")</f>
        <v/>
      </c>
      <c r="B262" s="10">
        <f>IFERROR(IF(INDEX(ERP資料!$A:$A, (MATCH(261, 輔助計算!$E$2:$E$801, 0)+1))="","",INDEX(ERP資料!$A:$A, (MATCH(261, 輔助計算!$E$2:$E$801, 0)+1))), "")</f>
        <v/>
      </c>
      <c r="C262" s="10">
        <f>IFERROR(IF(INDEX(ERP資料!$S:$S, (MATCH(261, 輔助計算!$E$2:$E$801, 0)+1))="","",INDEX(ERP資料!$S:$S, (MATCH(261, 輔助計算!$E$2:$E$801, 0)+1))), "")</f>
        <v/>
      </c>
      <c r="D262" s="10">
        <f>IFERROR(IF(INDEX(ERP資料!$E:$E, (MATCH(261, 輔助計算!$E$2:$E$801, 0)+1))="","",TRIM(INDEX(ERP資料!$E:$E, (MATCH(261, 輔助計算!$E$2:$E$801, 0)+1)))), "")</f>
        <v/>
      </c>
      <c r="E262" s="10">
        <f>IFERROR(IF(INDEX(ERP資料!$F:$F, (MATCH(261, 輔助計算!$E$2:$E$801, 0)+1))="","",INDEX(ERP資料!$F:$F, (MATCH(261, 輔助計算!$E$2:$E$801, 0)+1))), "")</f>
        <v/>
      </c>
      <c r="F262" s="10">
        <f>IFERROR(IF(INDEX(ERP資料!$G:$G, (MATCH(261, 輔助計算!$E$2:$E$801, 0)+1))="","",INDEX(ERP資料!$G:$G, (MATCH(261, 輔助計算!$E$2:$E$801, 0)+1))), "")</f>
        <v/>
      </c>
      <c r="G262" s="10">
        <f>IFERROR(IF(INDEX(ERP資料!$H:$H, (MATCH(261, 輔助計算!$E$2:$E$801, 0)+1))="","",INDEX(ERP資料!$H:$H, (MATCH(261, 輔助計算!$E$2:$E$801, 0)+1))), "")</f>
        <v/>
      </c>
      <c r="H262" s="15">
        <f>IFERROR(INDEX(輔助計算!$D:$D, (MATCH(261, 輔助計算!$E$2:$E$801, 0)+1)), "")</f>
        <v/>
      </c>
      <c r="I262" s="10">
        <f>IFERROR(IF(INDEX(ERP資料!$O:$O, (MATCH(261, 輔助計算!$E$2:$E$801, 0)+1))="","",INDEX(ERP資料!$O:$O, (MATCH(261, 輔助計算!$E$2:$E$801, 0)+1))), "")</f>
        <v/>
      </c>
      <c r="J262" s="15">
        <f>IFERROR(IF(INDEX(輔助計算!$D:$D,(MATCH(261, 輔助計算!$E$2:$E$801, 0)+1))="","",INDEX(輔助計算!$D:$D,(MATCH(261, 輔助計算!$E$2:$E$801, 0)+1))*INDEX(ERP資料!$O:$O,(MATCH(261, 輔助計算!$E$2:$E$801, 0)+1))), "")</f>
        <v/>
      </c>
      <c r="K262" s="16" t="n"/>
      <c r="L262" s="16" t="n"/>
      <c r="M262" s="17" t="n"/>
    </row>
    <row r="263">
      <c r="A263" s="14">
        <f>IFERROR(IF(INDEX(ERP資料!$B:$B, (MATCH(262, 輔助計算!$E$2:$E$801, 0)+1))="","",INDEX(ERP資料!$B:$B, (MATCH(262, 輔助計算!$E$2:$E$801, 0)+1))), "")</f>
        <v/>
      </c>
      <c r="B263" s="10">
        <f>IFERROR(IF(INDEX(ERP資料!$A:$A, (MATCH(262, 輔助計算!$E$2:$E$801, 0)+1))="","",INDEX(ERP資料!$A:$A, (MATCH(262, 輔助計算!$E$2:$E$801, 0)+1))), "")</f>
        <v/>
      </c>
      <c r="C263" s="10">
        <f>IFERROR(IF(INDEX(ERP資料!$S:$S, (MATCH(262, 輔助計算!$E$2:$E$801, 0)+1))="","",INDEX(ERP資料!$S:$S, (MATCH(262, 輔助計算!$E$2:$E$801, 0)+1))), "")</f>
        <v/>
      </c>
      <c r="D263" s="10">
        <f>IFERROR(IF(INDEX(ERP資料!$E:$E, (MATCH(262, 輔助計算!$E$2:$E$801, 0)+1))="","",TRIM(INDEX(ERP資料!$E:$E, (MATCH(262, 輔助計算!$E$2:$E$801, 0)+1)))), "")</f>
        <v/>
      </c>
      <c r="E263" s="10">
        <f>IFERROR(IF(INDEX(ERP資料!$F:$F, (MATCH(262, 輔助計算!$E$2:$E$801, 0)+1))="","",INDEX(ERP資料!$F:$F, (MATCH(262, 輔助計算!$E$2:$E$801, 0)+1))), "")</f>
        <v/>
      </c>
      <c r="F263" s="10">
        <f>IFERROR(IF(INDEX(ERP資料!$G:$G, (MATCH(262, 輔助計算!$E$2:$E$801, 0)+1))="","",INDEX(ERP資料!$G:$G, (MATCH(262, 輔助計算!$E$2:$E$801, 0)+1))), "")</f>
        <v/>
      </c>
      <c r="G263" s="10">
        <f>IFERROR(IF(INDEX(ERP資料!$H:$H, (MATCH(262, 輔助計算!$E$2:$E$801, 0)+1))="","",INDEX(ERP資料!$H:$H, (MATCH(262, 輔助計算!$E$2:$E$801, 0)+1))), "")</f>
        <v/>
      </c>
      <c r="H263" s="15">
        <f>IFERROR(INDEX(輔助計算!$D:$D, (MATCH(262, 輔助計算!$E$2:$E$801, 0)+1)), "")</f>
        <v/>
      </c>
      <c r="I263" s="10">
        <f>IFERROR(IF(INDEX(ERP資料!$O:$O, (MATCH(262, 輔助計算!$E$2:$E$801, 0)+1))="","",INDEX(ERP資料!$O:$O, (MATCH(262, 輔助計算!$E$2:$E$801, 0)+1))), "")</f>
        <v/>
      </c>
      <c r="J263" s="15">
        <f>IFERROR(IF(INDEX(輔助計算!$D:$D,(MATCH(262, 輔助計算!$E$2:$E$801, 0)+1))="","",INDEX(輔助計算!$D:$D,(MATCH(262, 輔助計算!$E$2:$E$801, 0)+1))*INDEX(ERP資料!$O:$O,(MATCH(262, 輔助計算!$E$2:$E$801, 0)+1))), "")</f>
        <v/>
      </c>
      <c r="K263" s="16" t="n"/>
      <c r="L263" s="16" t="n"/>
      <c r="M263" s="17" t="n"/>
    </row>
    <row r="264">
      <c r="A264" s="14">
        <f>IFERROR(IF(INDEX(ERP資料!$B:$B, (MATCH(263, 輔助計算!$E$2:$E$801, 0)+1))="","",INDEX(ERP資料!$B:$B, (MATCH(263, 輔助計算!$E$2:$E$801, 0)+1))), "")</f>
        <v/>
      </c>
      <c r="B264" s="10">
        <f>IFERROR(IF(INDEX(ERP資料!$A:$A, (MATCH(263, 輔助計算!$E$2:$E$801, 0)+1))="","",INDEX(ERP資料!$A:$A, (MATCH(263, 輔助計算!$E$2:$E$801, 0)+1))), "")</f>
        <v/>
      </c>
      <c r="C264" s="10">
        <f>IFERROR(IF(INDEX(ERP資料!$S:$S, (MATCH(263, 輔助計算!$E$2:$E$801, 0)+1))="","",INDEX(ERP資料!$S:$S, (MATCH(263, 輔助計算!$E$2:$E$801, 0)+1))), "")</f>
        <v/>
      </c>
      <c r="D264" s="10">
        <f>IFERROR(IF(INDEX(ERP資料!$E:$E, (MATCH(263, 輔助計算!$E$2:$E$801, 0)+1))="","",TRIM(INDEX(ERP資料!$E:$E, (MATCH(263, 輔助計算!$E$2:$E$801, 0)+1)))), "")</f>
        <v/>
      </c>
      <c r="E264" s="10">
        <f>IFERROR(IF(INDEX(ERP資料!$F:$F, (MATCH(263, 輔助計算!$E$2:$E$801, 0)+1))="","",INDEX(ERP資料!$F:$F, (MATCH(263, 輔助計算!$E$2:$E$801, 0)+1))), "")</f>
        <v/>
      </c>
      <c r="F264" s="10">
        <f>IFERROR(IF(INDEX(ERP資料!$G:$G, (MATCH(263, 輔助計算!$E$2:$E$801, 0)+1))="","",INDEX(ERP資料!$G:$G, (MATCH(263, 輔助計算!$E$2:$E$801, 0)+1))), "")</f>
        <v/>
      </c>
      <c r="G264" s="10">
        <f>IFERROR(IF(INDEX(ERP資料!$H:$H, (MATCH(263, 輔助計算!$E$2:$E$801, 0)+1))="","",INDEX(ERP資料!$H:$H, (MATCH(263, 輔助計算!$E$2:$E$801, 0)+1))), "")</f>
        <v/>
      </c>
      <c r="H264" s="15">
        <f>IFERROR(INDEX(輔助計算!$D:$D, (MATCH(263, 輔助計算!$E$2:$E$801, 0)+1)), "")</f>
        <v/>
      </c>
      <c r="I264" s="10">
        <f>IFERROR(IF(INDEX(ERP資料!$O:$O, (MATCH(263, 輔助計算!$E$2:$E$801, 0)+1))="","",INDEX(ERP資料!$O:$O, (MATCH(263, 輔助計算!$E$2:$E$801, 0)+1))), "")</f>
        <v/>
      </c>
      <c r="J264" s="15">
        <f>IFERROR(IF(INDEX(輔助計算!$D:$D,(MATCH(263, 輔助計算!$E$2:$E$801, 0)+1))="","",INDEX(輔助計算!$D:$D,(MATCH(263, 輔助計算!$E$2:$E$801, 0)+1))*INDEX(ERP資料!$O:$O,(MATCH(263, 輔助計算!$E$2:$E$801, 0)+1))), "")</f>
        <v/>
      </c>
      <c r="K264" s="16" t="n"/>
      <c r="L264" s="16" t="n"/>
      <c r="M264" s="17" t="n"/>
    </row>
    <row r="265">
      <c r="A265" s="14">
        <f>IFERROR(IF(INDEX(ERP資料!$B:$B, (MATCH(264, 輔助計算!$E$2:$E$801, 0)+1))="","",INDEX(ERP資料!$B:$B, (MATCH(264, 輔助計算!$E$2:$E$801, 0)+1))), "")</f>
        <v/>
      </c>
      <c r="B265" s="10">
        <f>IFERROR(IF(INDEX(ERP資料!$A:$A, (MATCH(264, 輔助計算!$E$2:$E$801, 0)+1))="","",INDEX(ERP資料!$A:$A, (MATCH(264, 輔助計算!$E$2:$E$801, 0)+1))), "")</f>
        <v/>
      </c>
      <c r="C265" s="10">
        <f>IFERROR(IF(INDEX(ERP資料!$S:$S, (MATCH(264, 輔助計算!$E$2:$E$801, 0)+1))="","",INDEX(ERP資料!$S:$S, (MATCH(264, 輔助計算!$E$2:$E$801, 0)+1))), "")</f>
        <v/>
      </c>
      <c r="D265" s="10">
        <f>IFERROR(IF(INDEX(ERP資料!$E:$E, (MATCH(264, 輔助計算!$E$2:$E$801, 0)+1))="","",TRIM(INDEX(ERP資料!$E:$E, (MATCH(264, 輔助計算!$E$2:$E$801, 0)+1)))), "")</f>
        <v/>
      </c>
      <c r="E265" s="10">
        <f>IFERROR(IF(INDEX(ERP資料!$F:$F, (MATCH(264, 輔助計算!$E$2:$E$801, 0)+1))="","",INDEX(ERP資料!$F:$F, (MATCH(264, 輔助計算!$E$2:$E$801, 0)+1))), "")</f>
        <v/>
      </c>
      <c r="F265" s="10">
        <f>IFERROR(IF(INDEX(ERP資料!$G:$G, (MATCH(264, 輔助計算!$E$2:$E$801, 0)+1))="","",INDEX(ERP資料!$G:$G, (MATCH(264, 輔助計算!$E$2:$E$801, 0)+1))), "")</f>
        <v/>
      </c>
      <c r="G265" s="10">
        <f>IFERROR(IF(INDEX(ERP資料!$H:$H, (MATCH(264, 輔助計算!$E$2:$E$801, 0)+1))="","",INDEX(ERP資料!$H:$H, (MATCH(264, 輔助計算!$E$2:$E$801, 0)+1))), "")</f>
        <v/>
      </c>
      <c r="H265" s="15">
        <f>IFERROR(INDEX(輔助計算!$D:$D, (MATCH(264, 輔助計算!$E$2:$E$801, 0)+1)), "")</f>
        <v/>
      </c>
      <c r="I265" s="10">
        <f>IFERROR(IF(INDEX(ERP資料!$O:$O, (MATCH(264, 輔助計算!$E$2:$E$801, 0)+1))="","",INDEX(ERP資料!$O:$O, (MATCH(264, 輔助計算!$E$2:$E$801, 0)+1))), "")</f>
        <v/>
      </c>
      <c r="J265" s="15">
        <f>IFERROR(IF(INDEX(輔助計算!$D:$D,(MATCH(264, 輔助計算!$E$2:$E$801, 0)+1))="","",INDEX(輔助計算!$D:$D,(MATCH(264, 輔助計算!$E$2:$E$801, 0)+1))*INDEX(ERP資料!$O:$O,(MATCH(264, 輔助計算!$E$2:$E$801, 0)+1))), "")</f>
        <v/>
      </c>
      <c r="K265" s="16" t="n"/>
      <c r="L265" s="16" t="n"/>
      <c r="M265" s="17" t="n"/>
    </row>
    <row r="266">
      <c r="A266" s="14">
        <f>IFERROR(IF(INDEX(ERP資料!$B:$B, (MATCH(265, 輔助計算!$E$2:$E$801, 0)+1))="","",INDEX(ERP資料!$B:$B, (MATCH(265, 輔助計算!$E$2:$E$801, 0)+1))), "")</f>
        <v/>
      </c>
      <c r="B266" s="10">
        <f>IFERROR(IF(INDEX(ERP資料!$A:$A, (MATCH(265, 輔助計算!$E$2:$E$801, 0)+1))="","",INDEX(ERP資料!$A:$A, (MATCH(265, 輔助計算!$E$2:$E$801, 0)+1))), "")</f>
        <v/>
      </c>
      <c r="C266" s="10">
        <f>IFERROR(IF(INDEX(ERP資料!$S:$S, (MATCH(265, 輔助計算!$E$2:$E$801, 0)+1))="","",INDEX(ERP資料!$S:$S, (MATCH(265, 輔助計算!$E$2:$E$801, 0)+1))), "")</f>
        <v/>
      </c>
      <c r="D266" s="10">
        <f>IFERROR(IF(INDEX(ERP資料!$E:$E, (MATCH(265, 輔助計算!$E$2:$E$801, 0)+1))="","",TRIM(INDEX(ERP資料!$E:$E, (MATCH(265, 輔助計算!$E$2:$E$801, 0)+1)))), "")</f>
        <v/>
      </c>
      <c r="E266" s="10">
        <f>IFERROR(IF(INDEX(ERP資料!$F:$F, (MATCH(265, 輔助計算!$E$2:$E$801, 0)+1))="","",INDEX(ERP資料!$F:$F, (MATCH(265, 輔助計算!$E$2:$E$801, 0)+1))), "")</f>
        <v/>
      </c>
      <c r="F266" s="10">
        <f>IFERROR(IF(INDEX(ERP資料!$G:$G, (MATCH(265, 輔助計算!$E$2:$E$801, 0)+1))="","",INDEX(ERP資料!$G:$G, (MATCH(265, 輔助計算!$E$2:$E$801, 0)+1))), "")</f>
        <v/>
      </c>
      <c r="G266" s="10">
        <f>IFERROR(IF(INDEX(ERP資料!$H:$H, (MATCH(265, 輔助計算!$E$2:$E$801, 0)+1))="","",INDEX(ERP資料!$H:$H, (MATCH(265, 輔助計算!$E$2:$E$801, 0)+1))), "")</f>
        <v/>
      </c>
      <c r="H266" s="15">
        <f>IFERROR(INDEX(輔助計算!$D:$D, (MATCH(265, 輔助計算!$E$2:$E$801, 0)+1)), "")</f>
        <v/>
      </c>
      <c r="I266" s="10">
        <f>IFERROR(IF(INDEX(ERP資料!$O:$O, (MATCH(265, 輔助計算!$E$2:$E$801, 0)+1))="","",INDEX(ERP資料!$O:$O, (MATCH(265, 輔助計算!$E$2:$E$801, 0)+1))), "")</f>
        <v/>
      </c>
      <c r="J266" s="15">
        <f>IFERROR(IF(INDEX(輔助計算!$D:$D,(MATCH(265, 輔助計算!$E$2:$E$801, 0)+1))="","",INDEX(輔助計算!$D:$D,(MATCH(265, 輔助計算!$E$2:$E$801, 0)+1))*INDEX(ERP資料!$O:$O,(MATCH(265, 輔助計算!$E$2:$E$801, 0)+1))), "")</f>
        <v/>
      </c>
      <c r="K266" s="16" t="n"/>
      <c r="L266" s="16" t="n"/>
      <c r="M266" s="17" t="n"/>
    </row>
    <row r="267">
      <c r="A267" s="14">
        <f>IFERROR(IF(INDEX(ERP資料!$B:$B, (MATCH(266, 輔助計算!$E$2:$E$801, 0)+1))="","",INDEX(ERP資料!$B:$B, (MATCH(266, 輔助計算!$E$2:$E$801, 0)+1))), "")</f>
        <v/>
      </c>
      <c r="B267" s="10">
        <f>IFERROR(IF(INDEX(ERP資料!$A:$A, (MATCH(266, 輔助計算!$E$2:$E$801, 0)+1))="","",INDEX(ERP資料!$A:$A, (MATCH(266, 輔助計算!$E$2:$E$801, 0)+1))), "")</f>
        <v/>
      </c>
      <c r="C267" s="10">
        <f>IFERROR(IF(INDEX(ERP資料!$S:$S, (MATCH(266, 輔助計算!$E$2:$E$801, 0)+1))="","",INDEX(ERP資料!$S:$S, (MATCH(266, 輔助計算!$E$2:$E$801, 0)+1))), "")</f>
        <v/>
      </c>
      <c r="D267" s="10">
        <f>IFERROR(IF(INDEX(ERP資料!$E:$E, (MATCH(266, 輔助計算!$E$2:$E$801, 0)+1))="","",TRIM(INDEX(ERP資料!$E:$E, (MATCH(266, 輔助計算!$E$2:$E$801, 0)+1)))), "")</f>
        <v/>
      </c>
      <c r="E267" s="10">
        <f>IFERROR(IF(INDEX(ERP資料!$F:$F, (MATCH(266, 輔助計算!$E$2:$E$801, 0)+1))="","",INDEX(ERP資料!$F:$F, (MATCH(266, 輔助計算!$E$2:$E$801, 0)+1))), "")</f>
        <v/>
      </c>
      <c r="F267" s="10">
        <f>IFERROR(IF(INDEX(ERP資料!$G:$G, (MATCH(266, 輔助計算!$E$2:$E$801, 0)+1))="","",INDEX(ERP資料!$G:$G, (MATCH(266, 輔助計算!$E$2:$E$801, 0)+1))), "")</f>
        <v/>
      </c>
      <c r="G267" s="10">
        <f>IFERROR(IF(INDEX(ERP資料!$H:$H, (MATCH(266, 輔助計算!$E$2:$E$801, 0)+1))="","",INDEX(ERP資料!$H:$H, (MATCH(266, 輔助計算!$E$2:$E$801, 0)+1))), "")</f>
        <v/>
      </c>
      <c r="H267" s="15">
        <f>IFERROR(INDEX(輔助計算!$D:$D, (MATCH(266, 輔助計算!$E$2:$E$801, 0)+1)), "")</f>
        <v/>
      </c>
      <c r="I267" s="10">
        <f>IFERROR(IF(INDEX(ERP資料!$O:$O, (MATCH(266, 輔助計算!$E$2:$E$801, 0)+1))="","",INDEX(ERP資料!$O:$O, (MATCH(266, 輔助計算!$E$2:$E$801, 0)+1))), "")</f>
        <v/>
      </c>
      <c r="J267" s="15">
        <f>IFERROR(IF(INDEX(輔助計算!$D:$D,(MATCH(266, 輔助計算!$E$2:$E$801, 0)+1))="","",INDEX(輔助計算!$D:$D,(MATCH(266, 輔助計算!$E$2:$E$801, 0)+1))*INDEX(ERP資料!$O:$O,(MATCH(266, 輔助計算!$E$2:$E$801, 0)+1))), "")</f>
        <v/>
      </c>
      <c r="K267" s="16" t="n"/>
      <c r="L267" s="16" t="n"/>
      <c r="M267" s="17" t="n"/>
    </row>
    <row r="268">
      <c r="A268" s="14">
        <f>IFERROR(IF(INDEX(ERP資料!$B:$B, (MATCH(267, 輔助計算!$E$2:$E$801, 0)+1))="","",INDEX(ERP資料!$B:$B, (MATCH(267, 輔助計算!$E$2:$E$801, 0)+1))), "")</f>
        <v/>
      </c>
      <c r="B268" s="10">
        <f>IFERROR(IF(INDEX(ERP資料!$A:$A, (MATCH(267, 輔助計算!$E$2:$E$801, 0)+1))="","",INDEX(ERP資料!$A:$A, (MATCH(267, 輔助計算!$E$2:$E$801, 0)+1))), "")</f>
        <v/>
      </c>
      <c r="C268" s="10">
        <f>IFERROR(IF(INDEX(ERP資料!$S:$S, (MATCH(267, 輔助計算!$E$2:$E$801, 0)+1))="","",INDEX(ERP資料!$S:$S, (MATCH(267, 輔助計算!$E$2:$E$801, 0)+1))), "")</f>
        <v/>
      </c>
      <c r="D268" s="10">
        <f>IFERROR(IF(INDEX(ERP資料!$E:$E, (MATCH(267, 輔助計算!$E$2:$E$801, 0)+1))="","",TRIM(INDEX(ERP資料!$E:$E, (MATCH(267, 輔助計算!$E$2:$E$801, 0)+1)))), "")</f>
        <v/>
      </c>
      <c r="E268" s="10">
        <f>IFERROR(IF(INDEX(ERP資料!$F:$F, (MATCH(267, 輔助計算!$E$2:$E$801, 0)+1))="","",INDEX(ERP資料!$F:$F, (MATCH(267, 輔助計算!$E$2:$E$801, 0)+1))), "")</f>
        <v/>
      </c>
      <c r="F268" s="10">
        <f>IFERROR(IF(INDEX(ERP資料!$G:$G, (MATCH(267, 輔助計算!$E$2:$E$801, 0)+1))="","",INDEX(ERP資料!$G:$G, (MATCH(267, 輔助計算!$E$2:$E$801, 0)+1))), "")</f>
        <v/>
      </c>
      <c r="G268" s="10">
        <f>IFERROR(IF(INDEX(ERP資料!$H:$H, (MATCH(267, 輔助計算!$E$2:$E$801, 0)+1))="","",INDEX(ERP資料!$H:$H, (MATCH(267, 輔助計算!$E$2:$E$801, 0)+1))), "")</f>
        <v/>
      </c>
      <c r="H268" s="15">
        <f>IFERROR(INDEX(輔助計算!$D:$D, (MATCH(267, 輔助計算!$E$2:$E$801, 0)+1)), "")</f>
        <v/>
      </c>
      <c r="I268" s="10">
        <f>IFERROR(IF(INDEX(ERP資料!$O:$O, (MATCH(267, 輔助計算!$E$2:$E$801, 0)+1))="","",INDEX(ERP資料!$O:$O, (MATCH(267, 輔助計算!$E$2:$E$801, 0)+1))), "")</f>
        <v/>
      </c>
      <c r="J268" s="15">
        <f>IFERROR(IF(INDEX(輔助計算!$D:$D,(MATCH(267, 輔助計算!$E$2:$E$801, 0)+1))="","",INDEX(輔助計算!$D:$D,(MATCH(267, 輔助計算!$E$2:$E$801, 0)+1))*INDEX(ERP資料!$O:$O,(MATCH(267, 輔助計算!$E$2:$E$801, 0)+1))), "")</f>
        <v/>
      </c>
      <c r="K268" s="16" t="n"/>
      <c r="L268" s="16" t="n"/>
      <c r="M268" s="17" t="n"/>
    </row>
    <row r="269">
      <c r="A269" s="14">
        <f>IFERROR(IF(INDEX(ERP資料!$B:$B, (MATCH(268, 輔助計算!$E$2:$E$801, 0)+1))="","",INDEX(ERP資料!$B:$B, (MATCH(268, 輔助計算!$E$2:$E$801, 0)+1))), "")</f>
        <v/>
      </c>
      <c r="B269" s="10">
        <f>IFERROR(IF(INDEX(ERP資料!$A:$A, (MATCH(268, 輔助計算!$E$2:$E$801, 0)+1))="","",INDEX(ERP資料!$A:$A, (MATCH(268, 輔助計算!$E$2:$E$801, 0)+1))), "")</f>
        <v/>
      </c>
      <c r="C269" s="10">
        <f>IFERROR(IF(INDEX(ERP資料!$S:$S, (MATCH(268, 輔助計算!$E$2:$E$801, 0)+1))="","",INDEX(ERP資料!$S:$S, (MATCH(268, 輔助計算!$E$2:$E$801, 0)+1))), "")</f>
        <v/>
      </c>
      <c r="D269" s="10">
        <f>IFERROR(IF(INDEX(ERP資料!$E:$E, (MATCH(268, 輔助計算!$E$2:$E$801, 0)+1))="","",TRIM(INDEX(ERP資料!$E:$E, (MATCH(268, 輔助計算!$E$2:$E$801, 0)+1)))), "")</f>
        <v/>
      </c>
      <c r="E269" s="10">
        <f>IFERROR(IF(INDEX(ERP資料!$F:$F, (MATCH(268, 輔助計算!$E$2:$E$801, 0)+1))="","",INDEX(ERP資料!$F:$F, (MATCH(268, 輔助計算!$E$2:$E$801, 0)+1))), "")</f>
        <v/>
      </c>
      <c r="F269" s="10">
        <f>IFERROR(IF(INDEX(ERP資料!$G:$G, (MATCH(268, 輔助計算!$E$2:$E$801, 0)+1))="","",INDEX(ERP資料!$G:$G, (MATCH(268, 輔助計算!$E$2:$E$801, 0)+1))), "")</f>
        <v/>
      </c>
      <c r="G269" s="10">
        <f>IFERROR(IF(INDEX(ERP資料!$H:$H, (MATCH(268, 輔助計算!$E$2:$E$801, 0)+1))="","",INDEX(ERP資料!$H:$H, (MATCH(268, 輔助計算!$E$2:$E$801, 0)+1))), "")</f>
        <v/>
      </c>
      <c r="H269" s="15">
        <f>IFERROR(INDEX(輔助計算!$D:$D, (MATCH(268, 輔助計算!$E$2:$E$801, 0)+1)), "")</f>
        <v/>
      </c>
      <c r="I269" s="10">
        <f>IFERROR(IF(INDEX(ERP資料!$O:$O, (MATCH(268, 輔助計算!$E$2:$E$801, 0)+1))="","",INDEX(ERP資料!$O:$O, (MATCH(268, 輔助計算!$E$2:$E$801, 0)+1))), "")</f>
        <v/>
      </c>
      <c r="J269" s="15">
        <f>IFERROR(IF(INDEX(輔助計算!$D:$D,(MATCH(268, 輔助計算!$E$2:$E$801, 0)+1))="","",INDEX(輔助計算!$D:$D,(MATCH(268, 輔助計算!$E$2:$E$801, 0)+1))*INDEX(ERP資料!$O:$O,(MATCH(268, 輔助計算!$E$2:$E$801, 0)+1))), "")</f>
        <v/>
      </c>
      <c r="K269" s="16" t="n"/>
      <c r="L269" s="16" t="n"/>
      <c r="M269" s="17" t="n"/>
    </row>
    <row r="270">
      <c r="A270" s="14">
        <f>IFERROR(IF(INDEX(ERP資料!$B:$B, (MATCH(269, 輔助計算!$E$2:$E$801, 0)+1))="","",INDEX(ERP資料!$B:$B, (MATCH(269, 輔助計算!$E$2:$E$801, 0)+1))), "")</f>
        <v/>
      </c>
      <c r="B270" s="10">
        <f>IFERROR(IF(INDEX(ERP資料!$A:$A, (MATCH(269, 輔助計算!$E$2:$E$801, 0)+1))="","",INDEX(ERP資料!$A:$A, (MATCH(269, 輔助計算!$E$2:$E$801, 0)+1))), "")</f>
        <v/>
      </c>
      <c r="C270" s="10">
        <f>IFERROR(IF(INDEX(ERP資料!$S:$S, (MATCH(269, 輔助計算!$E$2:$E$801, 0)+1))="","",INDEX(ERP資料!$S:$S, (MATCH(269, 輔助計算!$E$2:$E$801, 0)+1))), "")</f>
        <v/>
      </c>
      <c r="D270" s="10">
        <f>IFERROR(IF(INDEX(ERP資料!$E:$E, (MATCH(269, 輔助計算!$E$2:$E$801, 0)+1))="","",TRIM(INDEX(ERP資料!$E:$E, (MATCH(269, 輔助計算!$E$2:$E$801, 0)+1)))), "")</f>
        <v/>
      </c>
      <c r="E270" s="10">
        <f>IFERROR(IF(INDEX(ERP資料!$F:$F, (MATCH(269, 輔助計算!$E$2:$E$801, 0)+1))="","",INDEX(ERP資料!$F:$F, (MATCH(269, 輔助計算!$E$2:$E$801, 0)+1))), "")</f>
        <v/>
      </c>
      <c r="F270" s="10">
        <f>IFERROR(IF(INDEX(ERP資料!$G:$G, (MATCH(269, 輔助計算!$E$2:$E$801, 0)+1))="","",INDEX(ERP資料!$G:$G, (MATCH(269, 輔助計算!$E$2:$E$801, 0)+1))), "")</f>
        <v/>
      </c>
      <c r="G270" s="10">
        <f>IFERROR(IF(INDEX(ERP資料!$H:$H, (MATCH(269, 輔助計算!$E$2:$E$801, 0)+1))="","",INDEX(ERP資料!$H:$H, (MATCH(269, 輔助計算!$E$2:$E$801, 0)+1))), "")</f>
        <v/>
      </c>
      <c r="H270" s="15">
        <f>IFERROR(INDEX(輔助計算!$D:$D, (MATCH(269, 輔助計算!$E$2:$E$801, 0)+1)), "")</f>
        <v/>
      </c>
      <c r="I270" s="10">
        <f>IFERROR(IF(INDEX(ERP資料!$O:$O, (MATCH(269, 輔助計算!$E$2:$E$801, 0)+1))="","",INDEX(ERP資料!$O:$O, (MATCH(269, 輔助計算!$E$2:$E$801, 0)+1))), "")</f>
        <v/>
      </c>
      <c r="J270" s="15">
        <f>IFERROR(IF(INDEX(輔助計算!$D:$D,(MATCH(269, 輔助計算!$E$2:$E$801, 0)+1))="","",INDEX(輔助計算!$D:$D,(MATCH(269, 輔助計算!$E$2:$E$801, 0)+1))*INDEX(ERP資料!$O:$O,(MATCH(269, 輔助計算!$E$2:$E$801, 0)+1))), "")</f>
        <v/>
      </c>
      <c r="K270" s="16" t="n"/>
      <c r="L270" s="16" t="n"/>
      <c r="M270" s="17" t="n"/>
    </row>
    <row r="271">
      <c r="A271" s="14">
        <f>IFERROR(IF(INDEX(ERP資料!$B:$B, (MATCH(270, 輔助計算!$E$2:$E$801, 0)+1))="","",INDEX(ERP資料!$B:$B, (MATCH(270, 輔助計算!$E$2:$E$801, 0)+1))), "")</f>
        <v/>
      </c>
      <c r="B271" s="10">
        <f>IFERROR(IF(INDEX(ERP資料!$A:$A, (MATCH(270, 輔助計算!$E$2:$E$801, 0)+1))="","",INDEX(ERP資料!$A:$A, (MATCH(270, 輔助計算!$E$2:$E$801, 0)+1))), "")</f>
        <v/>
      </c>
      <c r="C271" s="10">
        <f>IFERROR(IF(INDEX(ERP資料!$S:$S, (MATCH(270, 輔助計算!$E$2:$E$801, 0)+1))="","",INDEX(ERP資料!$S:$S, (MATCH(270, 輔助計算!$E$2:$E$801, 0)+1))), "")</f>
        <v/>
      </c>
      <c r="D271" s="10">
        <f>IFERROR(IF(INDEX(ERP資料!$E:$E, (MATCH(270, 輔助計算!$E$2:$E$801, 0)+1))="","",TRIM(INDEX(ERP資料!$E:$E, (MATCH(270, 輔助計算!$E$2:$E$801, 0)+1)))), "")</f>
        <v/>
      </c>
      <c r="E271" s="10">
        <f>IFERROR(IF(INDEX(ERP資料!$F:$F, (MATCH(270, 輔助計算!$E$2:$E$801, 0)+1))="","",INDEX(ERP資料!$F:$F, (MATCH(270, 輔助計算!$E$2:$E$801, 0)+1))), "")</f>
        <v/>
      </c>
      <c r="F271" s="10">
        <f>IFERROR(IF(INDEX(ERP資料!$G:$G, (MATCH(270, 輔助計算!$E$2:$E$801, 0)+1))="","",INDEX(ERP資料!$G:$G, (MATCH(270, 輔助計算!$E$2:$E$801, 0)+1))), "")</f>
        <v/>
      </c>
      <c r="G271" s="10">
        <f>IFERROR(IF(INDEX(ERP資料!$H:$H, (MATCH(270, 輔助計算!$E$2:$E$801, 0)+1))="","",INDEX(ERP資料!$H:$H, (MATCH(270, 輔助計算!$E$2:$E$801, 0)+1))), "")</f>
        <v/>
      </c>
      <c r="H271" s="15">
        <f>IFERROR(INDEX(輔助計算!$D:$D, (MATCH(270, 輔助計算!$E$2:$E$801, 0)+1)), "")</f>
        <v/>
      </c>
      <c r="I271" s="10">
        <f>IFERROR(IF(INDEX(ERP資料!$O:$O, (MATCH(270, 輔助計算!$E$2:$E$801, 0)+1))="","",INDEX(ERP資料!$O:$O, (MATCH(270, 輔助計算!$E$2:$E$801, 0)+1))), "")</f>
        <v/>
      </c>
      <c r="J271" s="15">
        <f>IFERROR(IF(INDEX(輔助計算!$D:$D,(MATCH(270, 輔助計算!$E$2:$E$801, 0)+1))="","",INDEX(輔助計算!$D:$D,(MATCH(270, 輔助計算!$E$2:$E$801, 0)+1))*INDEX(ERP資料!$O:$O,(MATCH(270, 輔助計算!$E$2:$E$801, 0)+1))), "")</f>
        <v/>
      </c>
      <c r="K271" s="16" t="n"/>
      <c r="L271" s="16" t="n"/>
      <c r="M271" s="17" t="n"/>
    </row>
    <row r="272">
      <c r="A272" s="14">
        <f>IFERROR(IF(INDEX(ERP資料!$B:$B, (MATCH(271, 輔助計算!$E$2:$E$801, 0)+1))="","",INDEX(ERP資料!$B:$B, (MATCH(271, 輔助計算!$E$2:$E$801, 0)+1))), "")</f>
        <v/>
      </c>
      <c r="B272" s="10">
        <f>IFERROR(IF(INDEX(ERP資料!$A:$A, (MATCH(271, 輔助計算!$E$2:$E$801, 0)+1))="","",INDEX(ERP資料!$A:$A, (MATCH(271, 輔助計算!$E$2:$E$801, 0)+1))), "")</f>
        <v/>
      </c>
      <c r="C272" s="10">
        <f>IFERROR(IF(INDEX(ERP資料!$S:$S, (MATCH(271, 輔助計算!$E$2:$E$801, 0)+1))="","",INDEX(ERP資料!$S:$S, (MATCH(271, 輔助計算!$E$2:$E$801, 0)+1))), "")</f>
        <v/>
      </c>
      <c r="D272" s="10">
        <f>IFERROR(IF(INDEX(ERP資料!$E:$E, (MATCH(271, 輔助計算!$E$2:$E$801, 0)+1))="","",TRIM(INDEX(ERP資料!$E:$E, (MATCH(271, 輔助計算!$E$2:$E$801, 0)+1)))), "")</f>
        <v/>
      </c>
      <c r="E272" s="10">
        <f>IFERROR(IF(INDEX(ERP資料!$F:$F, (MATCH(271, 輔助計算!$E$2:$E$801, 0)+1))="","",INDEX(ERP資料!$F:$F, (MATCH(271, 輔助計算!$E$2:$E$801, 0)+1))), "")</f>
        <v/>
      </c>
      <c r="F272" s="10">
        <f>IFERROR(IF(INDEX(ERP資料!$G:$G, (MATCH(271, 輔助計算!$E$2:$E$801, 0)+1))="","",INDEX(ERP資料!$G:$G, (MATCH(271, 輔助計算!$E$2:$E$801, 0)+1))), "")</f>
        <v/>
      </c>
      <c r="G272" s="10">
        <f>IFERROR(IF(INDEX(ERP資料!$H:$H, (MATCH(271, 輔助計算!$E$2:$E$801, 0)+1))="","",INDEX(ERP資料!$H:$H, (MATCH(271, 輔助計算!$E$2:$E$801, 0)+1))), "")</f>
        <v/>
      </c>
      <c r="H272" s="15">
        <f>IFERROR(INDEX(輔助計算!$D:$D, (MATCH(271, 輔助計算!$E$2:$E$801, 0)+1)), "")</f>
        <v/>
      </c>
      <c r="I272" s="10">
        <f>IFERROR(IF(INDEX(ERP資料!$O:$O, (MATCH(271, 輔助計算!$E$2:$E$801, 0)+1))="","",INDEX(ERP資料!$O:$O, (MATCH(271, 輔助計算!$E$2:$E$801, 0)+1))), "")</f>
        <v/>
      </c>
      <c r="J272" s="15">
        <f>IFERROR(IF(INDEX(輔助計算!$D:$D,(MATCH(271, 輔助計算!$E$2:$E$801, 0)+1))="","",INDEX(輔助計算!$D:$D,(MATCH(271, 輔助計算!$E$2:$E$801, 0)+1))*INDEX(ERP資料!$O:$O,(MATCH(271, 輔助計算!$E$2:$E$801, 0)+1))), "")</f>
        <v/>
      </c>
      <c r="K272" s="16" t="n"/>
      <c r="L272" s="16" t="n"/>
      <c r="M272" s="17" t="n"/>
    </row>
    <row r="273">
      <c r="A273" s="14">
        <f>IFERROR(IF(INDEX(ERP資料!$B:$B, (MATCH(272, 輔助計算!$E$2:$E$801, 0)+1))="","",INDEX(ERP資料!$B:$B, (MATCH(272, 輔助計算!$E$2:$E$801, 0)+1))), "")</f>
        <v/>
      </c>
      <c r="B273" s="10">
        <f>IFERROR(IF(INDEX(ERP資料!$A:$A, (MATCH(272, 輔助計算!$E$2:$E$801, 0)+1))="","",INDEX(ERP資料!$A:$A, (MATCH(272, 輔助計算!$E$2:$E$801, 0)+1))), "")</f>
        <v/>
      </c>
      <c r="C273" s="10">
        <f>IFERROR(IF(INDEX(ERP資料!$S:$S, (MATCH(272, 輔助計算!$E$2:$E$801, 0)+1))="","",INDEX(ERP資料!$S:$S, (MATCH(272, 輔助計算!$E$2:$E$801, 0)+1))), "")</f>
        <v/>
      </c>
      <c r="D273" s="10">
        <f>IFERROR(IF(INDEX(ERP資料!$E:$E, (MATCH(272, 輔助計算!$E$2:$E$801, 0)+1))="","",TRIM(INDEX(ERP資料!$E:$E, (MATCH(272, 輔助計算!$E$2:$E$801, 0)+1)))), "")</f>
        <v/>
      </c>
      <c r="E273" s="10">
        <f>IFERROR(IF(INDEX(ERP資料!$F:$F, (MATCH(272, 輔助計算!$E$2:$E$801, 0)+1))="","",INDEX(ERP資料!$F:$F, (MATCH(272, 輔助計算!$E$2:$E$801, 0)+1))), "")</f>
        <v/>
      </c>
      <c r="F273" s="10">
        <f>IFERROR(IF(INDEX(ERP資料!$G:$G, (MATCH(272, 輔助計算!$E$2:$E$801, 0)+1))="","",INDEX(ERP資料!$G:$G, (MATCH(272, 輔助計算!$E$2:$E$801, 0)+1))), "")</f>
        <v/>
      </c>
      <c r="G273" s="10">
        <f>IFERROR(IF(INDEX(ERP資料!$H:$H, (MATCH(272, 輔助計算!$E$2:$E$801, 0)+1))="","",INDEX(ERP資料!$H:$H, (MATCH(272, 輔助計算!$E$2:$E$801, 0)+1))), "")</f>
        <v/>
      </c>
      <c r="H273" s="15">
        <f>IFERROR(INDEX(輔助計算!$D:$D, (MATCH(272, 輔助計算!$E$2:$E$801, 0)+1)), "")</f>
        <v/>
      </c>
      <c r="I273" s="10">
        <f>IFERROR(IF(INDEX(ERP資料!$O:$O, (MATCH(272, 輔助計算!$E$2:$E$801, 0)+1))="","",INDEX(ERP資料!$O:$O, (MATCH(272, 輔助計算!$E$2:$E$801, 0)+1))), "")</f>
        <v/>
      </c>
      <c r="J273" s="15">
        <f>IFERROR(IF(INDEX(輔助計算!$D:$D,(MATCH(272, 輔助計算!$E$2:$E$801, 0)+1))="","",INDEX(輔助計算!$D:$D,(MATCH(272, 輔助計算!$E$2:$E$801, 0)+1))*INDEX(ERP資料!$O:$O,(MATCH(272, 輔助計算!$E$2:$E$801, 0)+1))), "")</f>
        <v/>
      </c>
      <c r="K273" s="16" t="n"/>
      <c r="L273" s="16" t="n"/>
      <c r="M273" s="17" t="n"/>
    </row>
    <row r="274">
      <c r="A274" s="14">
        <f>IFERROR(IF(INDEX(ERP資料!$B:$B, (MATCH(273, 輔助計算!$E$2:$E$801, 0)+1))="","",INDEX(ERP資料!$B:$B, (MATCH(273, 輔助計算!$E$2:$E$801, 0)+1))), "")</f>
        <v/>
      </c>
      <c r="B274" s="10">
        <f>IFERROR(IF(INDEX(ERP資料!$A:$A, (MATCH(273, 輔助計算!$E$2:$E$801, 0)+1))="","",INDEX(ERP資料!$A:$A, (MATCH(273, 輔助計算!$E$2:$E$801, 0)+1))), "")</f>
        <v/>
      </c>
      <c r="C274" s="10">
        <f>IFERROR(IF(INDEX(ERP資料!$S:$S, (MATCH(273, 輔助計算!$E$2:$E$801, 0)+1))="","",INDEX(ERP資料!$S:$S, (MATCH(273, 輔助計算!$E$2:$E$801, 0)+1))), "")</f>
        <v/>
      </c>
      <c r="D274" s="10">
        <f>IFERROR(IF(INDEX(ERP資料!$E:$E, (MATCH(273, 輔助計算!$E$2:$E$801, 0)+1))="","",TRIM(INDEX(ERP資料!$E:$E, (MATCH(273, 輔助計算!$E$2:$E$801, 0)+1)))), "")</f>
        <v/>
      </c>
      <c r="E274" s="10">
        <f>IFERROR(IF(INDEX(ERP資料!$F:$F, (MATCH(273, 輔助計算!$E$2:$E$801, 0)+1))="","",INDEX(ERP資料!$F:$F, (MATCH(273, 輔助計算!$E$2:$E$801, 0)+1))), "")</f>
        <v/>
      </c>
      <c r="F274" s="10">
        <f>IFERROR(IF(INDEX(ERP資料!$G:$G, (MATCH(273, 輔助計算!$E$2:$E$801, 0)+1))="","",INDEX(ERP資料!$G:$G, (MATCH(273, 輔助計算!$E$2:$E$801, 0)+1))), "")</f>
        <v/>
      </c>
      <c r="G274" s="10">
        <f>IFERROR(IF(INDEX(ERP資料!$H:$H, (MATCH(273, 輔助計算!$E$2:$E$801, 0)+1))="","",INDEX(ERP資料!$H:$H, (MATCH(273, 輔助計算!$E$2:$E$801, 0)+1))), "")</f>
        <v/>
      </c>
      <c r="H274" s="15">
        <f>IFERROR(INDEX(輔助計算!$D:$D, (MATCH(273, 輔助計算!$E$2:$E$801, 0)+1)), "")</f>
        <v/>
      </c>
      <c r="I274" s="10">
        <f>IFERROR(IF(INDEX(ERP資料!$O:$O, (MATCH(273, 輔助計算!$E$2:$E$801, 0)+1))="","",INDEX(ERP資料!$O:$O, (MATCH(273, 輔助計算!$E$2:$E$801, 0)+1))), "")</f>
        <v/>
      </c>
      <c r="J274" s="15">
        <f>IFERROR(IF(INDEX(輔助計算!$D:$D,(MATCH(273, 輔助計算!$E$2:$E$801, 0)+1))="","",INDEX(輔助計算!$D:$D,(MATCH(273, 輔助計算!$E$2:$E$801, 0)+1))*INDEX(ERP資料!$O:$O,(MATCH(273, 輔助計算!$E$2:$E$801, 0)+1))), "")</f>
        <v/>
      </c>
      <c r="K274" s="16" t="n"/>
      <c r="L274" s="16" t="n"/>
      <c r="M274" s="17" t="n"/>
    </row>
    <row r="275">
      <c r="A275" s="14">
        <f>IFERROR(IF(INDEX(ERP資料!$B:$B, (MATCH(274, 輔助計算!$E$2:$E$801, 0)+1))="","",INDEX(ERP資料!$B:$B, (MATCH(274, 輔助計算!$E$2:$E$801, 0)+1))), "")</f>
        <v/>
      </c>
      <c r="B275" s="10">
        <f>IFERROR(IF(INDEX(ERP資料!$A:$A, (MATCH(274, 輔助計算!$E$2:$E$801, 0)+1))="","",INDEX(ERP資料!$A:$A, (MATCH(274, 輔助計算!$E$2:$E$801, 0)+1))), "")</f>
        <v/>
      </c>
      <c r="C275" s="10">
        <f>IFERROR(IF(INDEX(ERP資料!$S:$S, (MATCH(274, 輔助計算!$E$2:$E$801, 0)+1))="","",INDEX(ERP資料!$S:$S, (MATCH(274, 輔助計算!$E$2:$E$801, 0)+1))), "")</f>
        <v/>
      </c>
      <c r="D275" s="10">
        <f>IFERROR(IF(INDEX(ERP資料!$E:$E, (MATCH(274, 輔助計算!$E$2:$E$801, 0)+1))="","",TRIM(INDEX(ERP資料!$E:$E, (MATCH(274, 輔助計算!$E$2:$E$801, 0)+1)))), "")</f>
        <v/>
      </c>
      <c r="E275" s="10">
        <f>IFERROR(IF(INDEX(ERP資料!$F:$F, (MATCH(274, 輔助計算!$E$2:$E$801, 0)+1))="","",INDEX(ERP資料!$F:$F, (MATCH(274, 輔助計算!$E$2:$E$801, 0)+1))), "")</f>
        <v/>
      </c>
      <c r="F275" s="10">
        <f>IFERROR(IF(INDEX(ERP資料!$G:$G, (MATCH(274, 輔助計算!$E$2:$E$801, 0)+1))="","",INDEX(ERP資料!$G:$G, (MATCH(274, 輔助計算!$E$2:$E$801, 0)+1))), "")</f>
        <v/>
      </c>
      <c r="G275" s="10">
        <f>IFERROR(IF(INDEX(ERP資料!$H:$H, (MATCH(274, 輔助計算!$E$2:$E$801, 0)+1))="","",INDEX(ERP資料!$H:$H, (MATCH(274, 輔助計算!$E$2:$E$801, 0)+1))), "")</f>
        <v/>
      </c>
      <c r="H275" s="15">
        <f>IFERROR(INDEX(輔助計算!$D:$D, (MATCH(274, 輔助計算!$E$2:$E$801, 0)+1)), "")</f>
        <v/>
      </c>
      <c r="I275" s="10">
        <f>IFERROR(IF(INDEX(ERP資料!$O:$O, (MATCH(274, 輔助計算!$E$2:$E$801, 0)+1))="","",INDEX(ERP資料!$O:$O, (MATCH(274, 輔助計算!$E$2:$E$801, 0)+1))), "")</f>
        <v/>
      </c>
      <c r="J275" s="15">
        <f>IFERROR(IF(INDEX(輔助計算!$D:$D,(MATCH(274, 輔助計算!$E$2:$E$801, 0)+1))="","",INDEX(輔助計算!$D:$D,(MATCH(274, 輔助計算!$E$2:$E$801, 0)+1))*INDEX(ERP資料!$O:$O,(MATCH(274, 輔助計算!$E$2:$E$801, 0)+1))), "")</f>
        <v/>
      </c>
      <c r="K275" s="16" t="n"/>
      <c r="L275" s="16" t="n"/>
      <c r="M275" s="17" t="n"/>
    </row>
    <row r="276">
      <c r="A276" s="14">
        <f>IFERROR(IF(INDEX(ERP資料!$B:$B, (MATCH(275, 輔助計算!$E$2:$E$801, 0)+1))="","",INDEX(ERP資料!$B:$B, (MATCH(275, 輔助計算!$E$2:$E$801, 0)+1))), "")</f>
        <v/>
      </c>
      <c r="B276" s="10">
        <f>IFERROR(IF(INDEX(ERP資料!$A:$A, (MATCH(275, 輔助計算!$E$2:$E$801, 0)+1))="","",INDEX(ERP資料!$A:$A, (MATCH(275, 輔助計算!$E$2:$E$801, 0)+1))), "")</f>
        <v/>
      </c>
      <c r="C276" s="10">
        <f>IFERROR(IF(INDEX(ERP資料!$S:$S, (MATCH(275, 輔助計算!$E$2:$E$801, 0)+1))="","",INDEX(ERP資料!$S:$S, (MATCH(275, 輔助計算!$E$2:$E$801, 0)+1))), "")</f>
        <v/>
      </c>
      <c r="D276" s="10">
        <f>IFERROR(IF(INDEX(ERP資料!$E:$E, (MATCH(275, 輔助計算!$E$2:$E$801, 0)+1))="","",TRIM(INDEX(ERP資料!$E:$E, (MATCH(275, 輔助計算!$E$2:$E$801, 0)+1)))), "")</f>
        <v/>
      </c>
      <c r="E276" s="10">
        <f>IFERROR(IF(INDEX(ERP資料!$F:$F, (MATCH(275, 輔助計算!$E$2:$E$801, 0)+1))="","",INDEX(ERP資料!$F:$F, (MATCH(275, 輔助計算!$E$2:$E$801, 0)+1))), "")</f>
        <v/>
      </c>
      <c r="F276" s="10">
        <f>IFERROR(IF(INDEX(ERP資料!$G:$G, (MATCH(275, 輔助計算!$E$2:$E$801, 0)+1))="","",INDEX(ERP資料!$G:$G, (MATCH(275, 輔助計算!$E$2:$E$801, 0)+1))), "")</f>
        <v/>
      </c>
      <c r="G276" s="10">
        <f>IFERROR(IF(INDEX(ERP資料!$H:$H, (MATCH(275, 輔助計算!$E$2:$E$801, 0)+1))="","",INDEX(ERP資料!$H:$H, (MATCH(275, 輔助計算!$E$2:$E$801, 0)+1))), "")</f>
        <v/>
      </c>
      <c r="H276" s="15">
        <f>IFERROR(INDEX(輔助計算!$D:$D, (MATCH(275, 輔助計算!$E$2:$E$801, 0)+1)), "")</f>
        <v/>
      </c>
      <c r="I276" s="10">
        <f>IFERROR(IF(INDEX(ERP資料!$O:$O, (MATCH(275, 輔助計算!$E$2:$E$801, 0)+1))="","",INDEX(ERP資料!$O:$O, (MATCH(275, 輔助計算!$E$2:$E$801, 0)+1))), "")</f>
        <v/>
      </c>
      <c r="J276" s="15">
        <f>IFERROR(IF(INDEX(輔助計算!$D:$D,(MATCH(275, 輔助計算!$E$2:$E$801, 0)+1))="","",INDEX(輔助計算!$D:$D,(MATCH(275, 輔助計算!$E$2:$E$801, 0)+1))*INDEX(ERP資料!$O:$O,(MATCH(275, 輔助計算!$E$2:$E$801, 0)+1))), "")</f>
        <v/>
      </c>
      <c r="K276" s="16" t="n"/>
      <c r="L276" s="16" t="n"/>
      <c r="M276" s="17" t="n"/>
    </row>
    <row r="277">
      <c r="A277" s="14">
        <f>IFERROR(IF(INDEX(ERP資料!$B:$B, (MATCH(276, 輔助計算!$E$2:$E$801, 0)+1))="","",INDEX(ERP資料!$B:$B, (MATCH(276, 輔助計算!$E$2:$E$801, 0)+1))), "")</f>
        <v/>
      </c>
      <c r="B277" s="10">
        <f>IFERROR(IF(INDEX(ERP資料!$A:$A, (MATCH(276, 輔助計算!$E$2:$E$801, 0)+1))="","",INDEX(ERP資料!$A:$A, (MATCH(276, 輔助計算!$E$2:$E$801, 0)+1))), "")</f>
        <v/>
      </c>
      <c r="C277" s="10">
        <f>IFERROR(IF(INDEX(ERP資料!$S:$S, (MATCH(276, 輔助計算!$E$2:$E$801, 0)+1))="","",INDEX(ERP資料!$S:$S, (MATCH(276, 輔助計算!$E$2:$E$801, 0)+1))), "")</f>
        <v/>
      </c>
      <c r="D277" s="10">
        <f>IFERROR(IF(INDEX(ERP資料!$E:$E, (MATCH(276, 輔助計算!$E$2:$E$801, 0)+1))="","",TRIM(INDEX(ERP資料!$E:$E, (MATCH(276, 輔助計算!$E$2:$E$801, 0)+1)))), "")</f>
        <v/>
      </c>
      <c r="E277" s="10">
        <f>IFERROR(IF(INDEX(ERP資料!$F:$F, (MATCH(276, 輔助計算!$E$2:$E$801, 0)+1))="","",INDEX(ERP資料!$F:$F, (MATCH(276, 輔助計算!$E$2:$E$801, 0)+1))), "")</f>
        <v/>
      </c>
      <c r="F277" s="10">
        <f>IFERROR(IF(INDEX(ERP資料!$G:$G, (MATCH(276, 輔助計算!$E$2:$E$801, 0)+1))="","",INDEX(ERP資料!$G:$G, (MATCH(276, 輔助計算!$E$2:$E$801, 0)+1))), "")</f>
        <v/>
      </c>
      <c r="G277" s="10">
        <f>IFERROR(IF(INDEX(ERP資料!$H:$H, (MATCH(276, 輔助計算!$E$2:$E$801, 0)+1))="","",INDEX(ERP資料!$H:$H, (MATCH(276, 輔助計算!$E$2:$E$801, 0)+1))), "")</f>
        <v/>
      </c>
      <c r="H277" s="15">
        <f>IFERROR(INDEX(輔助計算!$D:$D, (MATCH(276, 輔助計算!$E$2:$E$801, 0)+1)), "")</f>
        <v/>
      </c>
      <c r="I277" s="10">
        <f>IFERROR(IF(INDEX(ERP資料!$O:$O, (MATCH(276, 輔助計算!$E$2:$E$801, 0)+1))="","",INDEX(ERP資料!$O:$O, (MATCH(276, 輔助計算!$E$2:$E$801, 0)+1))), "")</f>
        <v/>
      </c>
      <c r="J277" s="15">
        <f>IFERROR(IF(INDEX(輔助計算!$D:$D,(MATCH(276, 輔助計算!$E$2:$E$801, 0)+1))="","",INDEX(輔助計算!$D:$D,(MATCH(276, 輔助計算!$E$2:$E$801, 0)+1))*INDEX(ERP資料!$O:$O,(MATCH(276, 輔助計算!$E$2:$E$801, 0)+1))), "")</f>
        <v/>
      </c>
      <c r="K277" s="16" t="n"/>
      <c r="L277" s="16" t="n"/>
      <c r="M277" s="17" t="n"/>
    </row>
    <row r="278">
      <c r="A278" s="14">
        <f>IFERROR(IF(INDEX(ERP資料!$B:$B, (MATCH(277, 輔助計算!$E$2:$E$801, 0)+1))="","",INDEX(ERP資料!$B:$B, (MATCH(277, 輔助計算!$E$2:$E$801, 0)+1))), "")</f>
        <v/>
      </c>
      <c r="B278" s="10">
        <f>IFERROR(IF(INDEX(ERP資料!$A:$A, (MATCH(277, 輔助計算!$E$2:$E$801, 0)+1))="","",INDEX(ERP資料!$A:$A, (MATCH(277, 輔助計算!$E$2:$E$801, 0)+1))), "")</f>
        <v/>
      </c>
      <c r="C278" s="10">
        <f>IFERROR(IF(INDEX(ERP資料!$S:$S, (MATCH(277, 輔助計算!$E$2:$E$801, 0)+1))="","",INDEX(ERP資料!$S:$S, (MATCH(277, 輔助計算!$E$2:$E$801, 0)+1))), "")</f>
        <v/>
      </c>
      <c r="D278" s="10">
        <f>IFERROR(IF(INDEX(ERP資料!$E:$E, (MATCH(277, 輔助計算!$E$2:$E$801, 0)+1))="","",TRIM(INDEX(ERP資料!$E:$E, (MATCH(277, 輔助計算!$E$2:$E$801, 0)+1)))), "")</f>
        <v/>
      </c>
      <c r="E278" s="10">
        <f>IFERROR(IF(INDEX(ERP資料!$F:$F, (MATCH(277, 輔助計算!$E$2:$E$801, 0)+1))="","",INDEX(ERP資料!$F:$F, (MATCH(277, 輔助計算!$E$2:$E$801, 0)+1))), "")</f>
        <v/>
      </c>
      <c r="F278" s="10">
        <f>IFERROR(IF(INDEX(ERP資料!$G:$G, (MATCH(277, 輔助計算!$E$2:$E$801, 0)+1))="","",INDEX(ERP資料!$G:$G, (MATCH(277, 輔助計算!$E$2:$E$801, 0)+1))), "")</f>
        <v/>
      </c>
      <c r="G278" s="10">
        <f>IFERROR(IF(INDEX(ERP資料!$H:$H, (MATCH(277, 輔助計算!$E$2:$E$801, 0)+1))="","",INDEX(ERP資料!$H:$H, (MATCH(277, 輔助計算!$E$2:$E$801, 0)+1))), "")</f>
        <v/>
      </c>
      <c r="H278" s="15">
        <f>IFERROR(INDEX(輔助計算!$D:$D, (MATCH(277, 輔助計算!$E$2:$E$801, 0)+1)), "")</f>
        <v/>
      </c>
      <c r="I278" s="10">
        <f>IFERROR(IF(INDEX(ERP資料!$O:$O, (MATCH(277, 輔助計算!$E$2:$E$801, 0)+1))="","",INDEX(ERP資料!$O:$O, (MATCH(277, 輔助計算!$E$2:$E$801, 0)+1))), "")</f>
        <v/>
      </c>
      <c r="J278" s="15">
        <f>IFERROR(IF(INDEX(輔助計算!$D:$D,(MATCH(277, 輔助計算!$E$2:$E$801, 0)+1))="","",INDEX(輔助計算!$D:$D,(MATCH(277, 輔助計算!$E$2:$E$801, 0)+1))*INDEX(ERP資料!$O:$O,(MATCH(277, 輔助計算!$E$2:$E$801, 0)+1))), "")</f>
        <v/>
      </c>
      <c r="K278" s="16" t="n"/>
      <c r="L278" s="16" t="n"/>
      <c r="M278" s="17" t="n"/>
    </row>
    <row r="279">
      <c r="A279" s="14">
        <f>IFERROR(IF(INDEX(ERP資料!$B:$B, (MATCH(278, 輔助計算!$E$2:$E$801, 0)+1))="","",INDEX(ERP資料!$B:$B, (MATCH(278, 輔助計算!$E$2:$E$801, 0)+1))), "")</f>
        <v/>
      </c>
      <c r="B279" s="10">
        <f>IFERROR(IF(INDEX(ERP資料!$A:$A, (MATCH(278, 輔助計算!$E$2:$E$801, 0)+1))="","",INDEX(ERP資料!$A:$A, (MATCH(278, 輔助計算!$E$2:$E$801, 0)+1))), "")</f>
        <v/>
      </c>
      <c r="C279" s="10">
        <f>IFERROR(IF(INDEX(ERP資料!$S:$S, (MATCH(278, 輔助計算!$E$2:$E$801, 0)+1))="","",INDEX(ERP資料!$S:$S, (MATCH(278, 輔助計算!$E$2:$E$801, 0)+1))), "")</f>
        <v/>
      </c>
      <c r="D279" s="10">
        <f>IFERROR(IF(INDEX(ERP資料!$E:$E, (MATCH(278, 輔助計算!$E$2:$E$801, 0)+1))="","",TRIM(INDEX(ERP資料!$E:$E, (MATCH(278, 輔助計算!$E$2:$E$801, 0)+1)))), "")</f>
        <v/>
      </c>
      <c r="E279" s="10">
        <f>IFERROR(IF(INDEX(ERP資料!$F:$F, (MATCH(278, 輔助計算!$E$2:$E$801, 0)+1))="","",INDEX(ERP資料!$F:$F, (MATCH(278, 輔助計算!$E$2:$E$801, 0)+1))), "")</f>
        <v/>
      </c>
      <c r="F279" s="10">
        <f>IFERROR(IF(INDEX(ERP資料!$G:$G, (MATCH(278, 輔助計算!$E$2:$E$801, 0)+1))="","",INDEX(ERP資料!$G:$G, (MATCH(278, 輔助計算!$E$2:$E$801, 0)+1))), "")</f>
        <v/>
      </c>
      <c r="G279" s="10">
        <f>IFERROR(IF(INDEX(ERP資料!$H:$H, (MATCH(278, 輔助計算!$E$2:$E$801, 0)+1))="","",INDEX(ERP資料!$H:$H, (MATCH(278, 輔助計算!$E$2:$E$801, 0)+1))), "")</f>
        <v/>
      </c>
      <c r="H279" s="15">
        <f>IFERROR(INDEX(輔助計算!$D:$D, (MATCH(278, 輔助計算!$E$2:$E$801, 0)+1)), "")</f>
        <v/>
      </c>
      <c r="I279" s="10">
        <f>IFERROR(IF(INDEX(ERP資料!$O:$O, (MATCH(278, 輔助計算!$E$2:$E$801, 0)+1))="","",INDEX(ERP資料!$O:$O, (MATCH(278, 輔助計算!$E$2:$E$801, 0)+1))), "")</f>
        <v/>
      </c>
      <c r="J279" s="15">
        <f>IFERROR(IF(INDEX(輔助計算!$D:$D,(MATCH(278, 輔助計算!$E$2:$E$801, 0)+1))="","",INDEX(輔助計算!$D:$D,(MATCH(278, 輔助計算!$E$2:$E$801, 0)+1))*INDEX(ERP資料!$O:$O,(MATCH(278, 輔助計算!$E$2:$E$801, 0)+1))), "")</f>
        <v/>
      </c>
      <c r="K279" s="16" t="n"/>
      <c r="L279" s="16" t="n"/>
      <c r="M279" s="17" t="n"/>
    </row>
    <row r="280">
      <c r="A280" s="14">
        <f>IFERROR(IF(INDEX(ERP資料!$B:$B, (MATCH(279, 輔助計算!$E$2:$E$801, 0)+1))="","",INDEX(ERP資料!$B:$B, (MATCH(279, 輔助計算!$E$2:$E$801, 0)+1))), "")</f>
        <v/>
      </c>
      <c r="B280" s="10">
        <f>IFERROR(IF(INDEX(ERP資料!$A:$A, (MATCH(279, 輔助計算!$E$2:$E$801, 0)+1))="","",INDEX(ERP資料!$A:$A, (MATCH(279, 輔助計算!$E$2:$E$801, 0)+1))), "")</f>
        <v/>
      </c>
      <c r="C280" s="10">
        <f>IFERROR(IF(INDEX(ERP資料!$S:$S, (MATCH(279, 輔助計算!$E$2:$E$801, 0)+1))="","",INDEX(ERP資料!$S:$S, (MATCH(279, 輔助計算!$E$2:$E$801, 0)+1))), "")</f>
        <v/>
      </c>
      <c r="D280" s="10">
        <f>IFERROR(IF(INDEX(ERP資料!$E:$E, (MATCH(279, 輔助計算!$E$2:$E$801, 0)+1))="","",TRIM(INDEX(ERP資料!$E:$E, (MATCH(279, 輔助計算!$E$2:$E$801, 0)+1)))), "")</f>
        <v/>
      </c>
      <c r="E280" s="10">
        <f>IFERROR(IF(INDEX(ERP資料!$F:$F, (MATCH(279, 輔助計算!$E$2:$E$801, 0)+1))="","",INDEX(ERP資料!$F:$F, (MATCH(279, 輔助計算!$E$2:$E$801, 0)+1))), "")</f>
        <v/>
      </c>
      <c r="F280" s="10">
        <f>IFERROR(IF(INDEX(ERP資料!$G:$G, (MATCH(279, 輔助計算!$E$2:$E$801, 0)+1))="","",INDEX(ERP資料!$G:$G, (MATCH(279, 輔助計算!$E$2:$E$801, 0)+1))), "")</f>
        <v/>
      </c>
      <c r="G280" s="10">
        <f>IFERROR(IF(INDEX(ERP資料!$H:$H, (MATCH(279, 輔助計算!$E$2:$E$801, 0)+1))="","",INDEX(ERP資料!$H:$H, (MATCH(279, 輔助計算!$E$2:$E$801, 0)+1))), "")</f>
        <v/>
      </c>
      <c r="H280" s="15">
        <f>IFERROR(INDEX(輔助計算!$D:$D, (MATCH(279, 輔助計算!$E$2:$E$801, 0)+1)), "")</f>
        <v/>
      </c>
      <c r="I280" s="10">
        <f>IFERROR(IF(INDEX(ERP資料!$O:$O, (MATCH(279, 輔助計算!$E$2:$E$801, 0)+1))="","",INDEX(ERP資料!$O:$O, (MATCH(279, 輔助計算!$E$2:$E$801, 0)+1))), "")</f>
        <v/>
      </c>
      <c r="J280" s="15">
        <f>IFERROR(IF(INDEX(輔助計算!$D:$D,(MATCH(279, 輔助計算!$E$2:$E$801, 0)+1))="","",INDEX(輔助計算!$D:$D,(MATCH(279, 輔助計算!$E$2:$E$801, 0)+1))*INDEX(ERP資料!$O:$O,(MATCH(279, 輔助計算!$E$2:$E$801, 0)+1))), "")</f>
        <v/>
      </c>
      <c r="K280" s="16" t="n"/>
      <c r="L280" s="16" t="n"/>
      <c r="M280" s="17" t="n"/>
    </row>
    <row r="281">
      <c r="A281" s="14">
        <f>IFERROR(IF(INDEX(ERP資料!$B:$B, (MATCH(280, 輔助計算!$E$2:$E$801, 0)+1))="","",INDEX(ERP資料!$B:$B, (MATCH(280, 輔助計算!$E$2:$E$801, 0)+1))), "")</f>
        <v/>
      </c>
      <c r="B281" s="10">
        <f>IFERROR(IF(INDEX(ERP資料!$A:$A, (MATCH(280, 輔助計算!$E$2:$E$801, 0)+1))="","",INDEX(ERP資料!$A:$A, (MATCH(280, 輔助計算!$E$2:$E$801, 0)+1))), "")</f>
        <v/>
      </c>
      <c r="C281" s="10">
        <f>IFERROR(IF(INDEX(ERP資料!$S:$S, (MATCH(280, 輔助計算!$E$2:$E$801, 0)+1))="","",INDEX(ERP資料!$S:$S, (MATCH(280, 輔助計算!$E$2:$E$801, 0)+1))), "")</f>
        <v/>
      </c>
      <c r="D281" s="10">
        <f>IFERROR(IF(INDEX(ERP資料!$E:$E, (MATCH(280, 輔助計算!$E$2:$E$801, 0)+1))="","",TRIM(INDEX(ERP資料!$E:$E, (MATCH(280, 輔助計算!$E$2:$E$801, 0)+1)))), "")</f>
        <v/>
      </c>
      <c r="E281" s="10">
        <f>IFERROR(IF(INDEX(ERP資料!$F:$F, (MATCH(280, 輔助計算!$E$2:$E$801, 0)+1))="","",INDEX(ERP資料!$F:$F, (MATCH(280, 輔助計算!$E$2:$E$801, 0)+1))), "")</f>
        <v/>
      </c>
      <c r="F281" s="10">
        <f>IFERROR(IF(INDEX(ERP資料!$G:$G, (MATCH(280, 輔助計算!$E$2:$E$801, 0)+1))="","",INDEX(ERP資料!$G:$G, (MATCH(280, 輔助計算!$E$2:$E$801, 0)+1))), "")</f>
        <v/>
      </c>
      <c r="G281" s="10">
        <f>IFERROR(IF(INDEX(ERP資料!$H:$H, (MATCH(280, 輔助計算!$E$2:$E$801, 0)+1))="","",INDEX(ERP資料!$H:$H, (MATCH(280, 輔助計算!$E$2:$E$801, 0)+1))), "")</f>
        <v/>
      </c>
      <c r="H281" s="15">
        <f>IFERROR(INDEX(輔助計算!$D:$D, (MATCH(280, 輔助計算!$E$2:$E$801, 0)+1)), "")</f>
        <v/>
      </c>
      <c r="I281" s="10">
        <f>IFERROR(IF(INDEX(ERP資料!$O:$O, (MATCH(280, 輔助計算!$E$2:$E$801, 0)+1))="","",INDEX(ERP資料!$O:$O, (MATCH(280, 輔助計算!$E$2:$E$801, 0)+1))), "")</f>
        <v/>
      </c>
      <c r="J281" s="15">
        <f>IFERROR(IF(INDEX(輔助計算!$D:$D,(MATCH(280, 輔助計算!$E$2:$E$801, 0)+1))="","",INDEX(輔助計算!$D:$D,(MATCH(280, 輔助計算!$E$2:$E$801, 0)+1))*INDEX(ERP資料!$O:$O,(MATCH(280, 輔助計算!$E$2:$E$801, 0)+1))), "")</f>
        <v/>
      </c>
      <c r="K281" s="16" t="n"/>
      <c r="L281" s="16" t="n"/>
      <c r="M281" s="17" t="n"/>
    </row>
    <row r="282">
      <c r="A282" s="14">
        <f>IFERROR(IF(INDEX(ERP資料!$B:$B, (MATCH(281, 輔助計算!$E$2:$E$801, 0)+1))="","",INDEX(ERP資料!$B:$B, (MATCH(281, 輔助計算!$E$2:$E$801, 0)+1))), "")</f>
        <v/>
      </c>
      <c r="B282" s="10">
        <f>IFERROR(IF(INDEX(ERP資料!$A:$A, (MATCH(281, 輔助計算!$E$2:$E$801, 0)+1))="","",INDEX(ERP資料!$A:$A, (MATCH(281, 輔助計算!$E$2:$E$801, 0)+1))), "")</f>
        <v/>
      </c>
      <c r="C282" s="10">
        <f>IFERROR(IF(INDEX(ERP資料!$S:$S, (MATCH(281, 輔助計算!$E$2:$E$801, 0)+1))="","",INDEX(ERP資料!$S:$S, (MATCH(281, 輔助計算!$E$2:$E$801, 0)+1))), "")</f>
        <v/>
      </c>
      <c r="D282" s="10">
        <f>IFERROR(IF(INDEX(ERP資料!$E:$E, (MATCH(281, 輔助計算!$E$2:$E$801, 0)+1))="","",TRIM(INDEX(ERP資料!$E:$E, (MATCH(281, 輔助計算!$E$2:$E$801, 0)+1)))), "")</f>
        <v/>
      </c>
      <c r="E282" s="10">
        <f>IFERROR(IF(INDEX(ERP資料!$F:$F, (MATCH(281, 輔助計算!$E$2:$E$801, 0)+1))="","",INDEX(ERP資料!$F:$F, (MATCH(281, 輔助計算!$E$2:$E$801, 0)+1))), "")</f>
        <v/>
      </c>
      <c r="F282" s="10">
        <f>IFERROR(IF(INDEX(ERP資料!$G:$G, (MATCH(281, 輔助計算!$E$2:$E$801, 0)+1))="","",INDEX(ERP資料!$G:$G, (MATCH(281, 輔助計算!$E$2:$E$801, 0)+1))), "")</f>
        <v/>
      </c>
      <c r="G282" s="10">
        <f>IFERROR(IF(INDEX(ERP資料!$H:$H, (MATCH(281, 輔助計算!$E$2:$E$801, 0)+1))="","",INDEX(ERP資料!$H:$H, (MATCH(281, 輔助計算!$E$2:$E$801, 0)+1))), "")</f>
        <v/>
      </c>
      <c r="H282" s="15">
        <f>IFERROR(INDEX(輔助計算!$D:$D, (MATCH(281, 輔助計算!$E$2:$E$801, 0)+1)), "")</f>
        <v/>
      </c>
      <c r="I282" s="10">
        <f>IFERROR(IF(INDEX(ERP資料!$O:$O, (MATCH(281, 輔助計算!$E$2:$E$801, 0)+1))="","",INDEX(ERP資料!$O:$O, (MATCH(281, 輔助計算!$E$2:$E$801, 0)+1))), "")</f>
        <v/>
      </c>
      <c r="J282" s="15">
        <f>IFERROR(IF(INDEX(輔助計算!$D:$D,(MATCH(281, 輔助計算!$E$2:$E$801, 0)+1))="","",INDEX(輔助計算!$D:$D,(MATCH(281, 輔助計算!$E$2:$E$801, 0)+1))*INDEX(ERP資料!$O:$O,(MATCH(281, 輔助計算!$E$2:$E$801, 0)+1))), "")</f>
        <v/>
      </c>
      <c r="K282" s="16" t="n"/>
      <c r="L282" s="16" t="n"/>
      <c r="M282" s="17" t="n"/>
    </row>
    <row r="283">
      <c r="A283" s="14">
        <f>IFERROR(IF(INDEX(ERP資料!$B:$B, (MATCH(282, 輔助計算!$E$2:$E$801, 0)+1))="","",INDEX(ERP資料!$B:$B, (MATCH(282, 輔助計算!$E$2:$E$801, 0)+1))), "")</f>
        <v/>
      </c>
      <c r="B283" s="10">
        <f>IFERROR(IF(INDEX(ERP資料!$A:$A, (MATCH(282, 輔助計算!$E$2:$E$801, 0)+1))="","",INDEX(ERP資料!$A:$A, (MATCH(282, 輔助計算!$E$2:$E$801, 0)+1))), "")</f>
        <v/>
      </c>
      <c r="C283" s="10">
        <f>IFERROR(IF(INDEX(ERP資料!$S:$S, (MATCH(282, 輔助計算!$E$2:$E$801, 0)+1))="","",INDEX(ERP資料!$S:$S, (MATCH(282, 輔助計算!$E$2:$E$801, 0)+1))), "")</f>
        <v/>
      </c>
      <c r="D283" s="10">
        <f>IFERROR(IF(INDEX(ERP資料!$E:$E, (MATCH(282, 輔助計算!$E$2:$E$801, 0)+1))="","",TRIM(INDEX(ERP資料!$E:$E, (MATCH(282, 輔助計算!$E$2:$E$801, 0)+1)))), "")</f>
        <v/>
      </c>
      <c r="E283" s="10">
        <f>IFERROR(IF(INDEX(ERP資料!$F:$F, (MATCH(282, 輔助計算!$E$2:$E$801, 0)+1))="","",INDEX(ERP資料!$F:$F, (MATCH(282, 輔助計算!$E$2:$E$801, 0)+1))), "")</f>
        <v/>
      </c>
      <c r="F283" s="10">
        <f>IFERROR(IF(INDEX(ERP資料!$G:$G, (MATCH(282, 輔助計算!$E$2:$E$801, 0)+1))="","",INDEX(ERP資料!$G:$G, (MATCH(282, 輔助計算!$E$2:$E$801, 0)+1))), "")</f>
        <v/>
      </c>
      <c r="G283" s="10">
        <f>IFERROR(IF(INDEX(ERP資料!$H:$H, (MATCH(282, 輔助計算!$E$2:$E$801, 0)+1))="","",INDEX(ERP資料!$H:$H, (MATCH(282, 輔助計算!$E$2:$E$801, 0)+1))), "")</f>
        <v/>
      </c>
      <c r="H283" s="15">
        <f>IFERROR(INDEX(輔助計算!$D:$D, (MATCH(282, 輔助計算!$E$2:$E$801, 0)+1)), "")</f>
        <v/>
      </c>
      <c r="I283" s="10">
        <f>IFERROR(IF(INDEX(ERP資料!$O:$O, (MATCH(282, 輔助計算!$E$2:$E$801, 0)+1))="","",INDEX(ERP資料!$O:$O, (MATCH(282, 輔助計算!$E$2:$E$801, 0)+1))), "")</f>
        <v/>
      </c>
      <c r="J283" s="15">
        <f>IFERROR(IF(INDEX(輔助計算!$D:$D,(MATCH(282, 輔助計算!$E$2:$E$801, 0)+1))="","",INDEX(輔助計算!$D:$D,(MATCH(282, 輔助計算!$E$2:$E$801, 0)+1))*INDEX(ERP資料!$O:$O,(MATCH(282, 輔助計算!$E$2:$E$801, 0)+1))), "")</f>
        <v/>
      </c>
      <c r="K283" s="16" t="n"/>
      <c r="L283" s="16" t="n"/>
      <c r="M283" s="17" t="n"/>
    </row>
    <row r="284">
      <c r="A284" s="14">
        <f>IFERROR(IF(INDEX(ERP資料!$B:$B, (MATCH(283, 輔助計算!$E$2:$E$801, 0)+1))="","",INDEX(ERP資料!$B:$B, (MATCH(283, 輔助計算!$E$2:$E$801, 0)+1))), "")</f>
        <v/>
      </c>
      <c r="B284" s="10">
        <f>IFERROR(IF(INDEX(ERP資料!$A:$A, (MATCH(283, 輔助計算!$E$2:$E$801, 0)+1))="","",INDEX(ERP資料!$A:$A, (MATCH(283, 輔助計算!$E$2:$E$801, 0)+1))), "")</f>
        <v/>
      </c>
      <c r="C284" s="10">
        <f>IFERROR(IF(INDEX(ERP資料!$S:$S, (MATCH(283, 輔助計算!$E$2:$E$801, 0)+1))="","",INDEX(ERP資料!$S:$S, (MATCH(283, 輔助計算!$E$2:$E$801, 0)+1))), "")</f>
        <v/>
      </c>
      <c r="D284" s="10">
        <f>IFERROR(IF(INDEX(ERP資料!$E:$E, (MATCH(283, 輔助計算!$E$2:$E$801, 0)+1))="","",TRIM(INDEX(ERP資料!$E:$E, (MATCH(283, 輔助計算!$E$2:$E$801, 0)+1)))), "")</f>
        <v/>
      </c>
      <c r="E284" s="10">
        <f>IFERROR(IF(INDEX(ERP資料!$F:$F, (MATCH(283, 輔助計算!$E$2:$E$801, 0)+1))="","",INDEX(ERP資料!$F:$F, (MATCH(283, 輔助計算!$E$2:$E$801, 0)+1))), "")</f>
        <v/>
      </c>
      <c r="F284" s="10">
        <f>IFERROR(IF(INDEX(ERP資料!$G:$G, (MATCH(283, 輔助計算!$E$2:$E$801, 0)+1))="","",INDEX(ERP資料!$G:$G, (MATCH(283, 輔助計算!$E$2:$E$801, 0)+1))), "")</f>
        <v/>
      </c>
      <c r="G284" s="10">
        <f>IFERROR(IF(INDEX(ERP資料!$H:$H, (MATCH(283, 輔助計算!$E$2:$E$801, 0)+1))="","",INDEX(ERP資料!$H:$H, (MATCH(283, 輔助計算!$E$2:$E$801, 0)+1))), "")</f>
        <v/>
      </c>
      <c r="H284" s="15">
        <f>IFERROR(INDEX(輔助計算!$D:$D, (MATCH(283, 輔助計算!$E$2:$E$801, 0)+1)), "")</f>
        <v/>
      </c>
      <c r="I284" s="10">
        <f>IFERROR(IF(INDEX(ERP資料!$O:$O, (MATCH(283, 輔助計算!$E$2:$E$801, 0)+1))="","",INDEX(ERP資料!$O:$O, (MATCH(283, 輔助計算!$E$2:$E$801, 0)+1))), "")</f>
        <v/>
      </c>
      <c r="J284" s="15">
        <f>IFERROR(IF(INDEX(輔助計算!$D:$D,(MATCH(283, 輔助計算!$E$2:$E$801, 0)+1))="","",INDEX(輔助計算!$D:$D,(MATCH(283, 輔助計算!$E$2:$E$801, 0)+1))*INDEX(ERP資料!$O:$O,(MATCH(283, 輔助計算!$E$2:$E$801, 0)+1))), "")</f>
        <v/>
      </c>
      <c r="K284" s="16" t="n"/>
      <c r="L284" s="16" t="n"/>
      <c r="M284" s="17" t="n"/>
    </row>
    <row r="285">
      <c r="A285" s="14">
        <f>IFERROR(IF(INDEX(ERP資料!$B:$B, (MATCH(284, 輔助計算!$E$2:$E$801, 0)+1))="","",INDEX(ERP資料!$B:$B, (MATCH(284, 輔助計算!$E$2:$E$801, 0)+1))), "")</f>
        <v/>
      </c>
      <c r="B285" s="10">
        <f>IFERROR(IF(INDEX(ERP資料!$A:$A, (MATCH(284, 輔助計算!$E$2:$E$801, 0)+1))="","",INDEX(ERP資料!$A:$A, (MATCH(284, 輔助計算!$E$2:$E$801, 0)+1))), "")</f>
        <v/>
      </c>
      <c r="C285" s="10">
        <f>IFERROR(IF(INDEX(ERP資料!$S:$S, (MATCH(284, 輔助計算!$E$2:$E$801, 0)+1))="","",INDEX(ERP資料!$S:$S, (MATCH(284, 輔助計算!$E$2:$E$801, 0)+1))), "")</f>
        <v/>
      </c>
      <c r="D285" s="10">
        <f>IFERROR(IF(INDEX(ERP資料!$E:$E, (MATCH(284, 輔助計算!$E$2:$E$801, 0)+1))="","",TRIM(INDEX(ERP資料!$E:$E, (MATCH(284, 輔助計算!$E$2:$E$801, 0)+1)))), "")</f>
        <v/>
      </c>
      <c r="E285" s="10">
        <f>IFERROR(IF(INDEX(ERP資料!$F:$F, (MATCH(284, 輔助計算!$E$2:$E$801, 0)+1))="","",INDEX(ERP資料!$F:$F, (MATCH(284, 輔助計算!$E$2:$E$801, 0)+1))), "")</f>
        <v/>
      </c>
      <c r="F285" s="10">
        <f>IFERROR(IF(INDEX(ERP資料!$G:$G, (MATCH(284, 輔助計算!$E$2:$E$801, 0)+1))="","",INDEX(ERP資料!$G:$G, (MATCH(284, 輔助計算!$E$2:$E$801, 0)+1))), "")</f>
        <v/>
      </c>
      <c r="G285" s="10">
        <f>IFERROR(IF(INDEX(ERP資料!$H:$H, (MATCH(284, 輔助計算!$E$2:$E$801, 0)+1))="","",INDEX(ERP資料!$H:$H, (MATCH(284, 輔助計算!$E$2:$E$801, 0)+1))), "")</f>
        <v/>
      </c>
      <c r="H285" s="15">
        <f>IFERROR(INDEX(輔助計算!$D:$D, (MATCH(284, 輔助計算!$E$2:$E$801, 0)+1)), "")</f>
        <v/>
      </c>
      <c r="I285" s="10">
        <f>IFERROR(IF(INDEX(ERP資料!$O:$O, (MATCH(284, 輔助計算!$E$2:$E$801, 0)+1))="","",INDEX(ERP資料!$O:$O, (MATCH(284, 輔助計算!$E$2:$E$801, 0)+1))), "")</f>
        <v/>
      </c>
      <c r="J285" s="15">
        <f>IFERROR(IF(INDEX(輔助計算!$D:$D,(MATCH(284, 輔助計算!$E$2:$E$801, 0)+1))="","",INDEX(輔助計算!$D:$D,(MATCH(284, 輔助計算!$E$2:$E$801, 0)+1))*INDEX(ERP資料!$O:$O,(MATCH(284, 輔助計算!$E$2:$E$801, 0)+1))), "")</f>
        <v/>
      </c>
      <c r="K285" s="16" t="n"/>
      <c r="L285" s="16" t="n"/>
      <c r="M285" s="17" t="n"/>
    </row>
    <row r="286">
      <c r="A286" s="14">
        <f>IFERROR(IF(INDEX(ERP資料!$B:$B, (MATCH(285, 輔助計算!$E$2:$E$801, 0)+1))="","",INDEX(ERP資料!$B:$B, (MATCH(285, 輔助計算!$E$2:$E$801, 0)+1))), "")</f>
        <v/>
      </c>
      <c r="B286" s="10">
        <f>IFERROR(IF(INDEX(ERP資料!$A:$A, (MATCH(285, 輔助計算!$E$2:$E$801, 0)+1))="","",INDEX(ERP資料!$A:$A, (MATCH(285, 輔助計算!$E$2:$E$801, 0)+1))), "")</f>
        <v/>
      </c>
      <c r="C286" s="10">
        <f>IFERROR(IF(INDEX(ERP資料!$S:$S, (MATCH(285, 輔助計算!$E$2:$E$801, 0)+1))="","",INDEX(ERP資料!$S:$S, (MATCH(285, 輔助計算!$E$2:$E$801, 0)+1))), "")</f>
        <v/>
      </c>
      <c r="D286" s="10">
        <f>IFERROR(IF(INDEX(ERP資料!$E:$E, (MATCH(285, 輔助計算!$E$2:$E$801, 0)+1))="","",TRIM(INDEX(ERP資料!$E:$E, (MATCH(285, 輔助計算!$E$2:$E$801, 0)+1)))), "")</f>
        <v/>
      </c>
      <c r="E286" s="10">
        <f>IFERROR(IF(INDEX(ERP資料!$F:$F, (MATCH(285, 輔助計算!$E$2:$E$801, 0)+1))="","",INDEX(ERP資料!$F:$F, (MATCH(285, 輔助計算!$E$2:$E$801, 0)+1))), "")</f>
        <v/>
      </c>
      <c r="F286" s="10">
        <f>IFERROR(IF(INDEX(ERP資料!$G:$G, (MATCH(285, 輔助計算!$E$2:$E$801, 0)+1))="","",INDEX(ERP資料!$G:$G, (MATCH(285, 輔助計算!$E$2:$E$801, 0)+1))), "")</f>
        <v/>
      </c>
      <c r="G286" s="10">
        <f>IFERROR(IF(INDEX(ERP資料!$H:$H, (MATCH(285, 輔助計算!$E$2:$E$801, 0)+1))="","",INDEX(ERP資料!$H:$H, (MATCH(285, 輔助計算!$E$2:$E$801, 0)+1))), "")</f>
        <v/>
      </c>
      <c r="H286" s="15">
        <f>IFERROR(INDEX(輔助計算!$D:$D, (MATCH(285, 輔助計算!$E$2:$E$801, 0)+1)), "")</f>
        <v/>
      </c>
      <c r="I286" s="10">
        <f>IFERROR(IF(INDEX(ERP資料!$O:$O, (MATCH(285, 輔助計算!$E$2:$E$801, 0)+1))="","",INDEX(ERP資料!$O:$O, (MATCH(285, 輔助計算!$E$2:$E$801, 0)+1))), "")</f>
        <v/>
      </c>
      <c r="J286" s="15">
        <f>IFERROR(IF(INDEX(輔助計算!$D:$D,(MATCH(285, 輔助計算!$E$2:$E$801, 0)+1))="","",INDEX(輔助計算!$D:$D,(MATCH(285, 輔助計算!$E$2:$E$801, 0)+1))*INDEX(ERP資料!$O:$O,(MATCH(285, 輔助計算!$E$2:$E$801, 0)+1))), "")</f>
        <v/>
      </c>
      <c r="K286" s="16" t="n"/>
      <c r="L286" s="16" t="n"/>
      <c r="M286" s="17" t="n"/>
    </row>
    <row r="287">
      <c r="A287" s="14">
        <f>IFERROR(IF(INDEX(ERP資料!$B:$B, (MATCH(286, 輔助計算!$E$2:$E$801, 0)+1))="","",INDEX(ERP資料!$B:$B, (MATCH(286, 輔助計算!$E$2:$E$801, 0)+1))), "")</f>
        <v/>
      </c>
      <c r="B287" s="10">
        <f>IFERROR(IF(INDEX(ERP資料!$A:$A, (MATCH(286, 輔助計算!$E$2:$E$801, 0)+1))="","",INDEX(ERP資料!$A:$A, (MATCH(286, 輔助計算!$E$2:$E$801, 0)+1))), "")</f>
        <v/>
      </c>
      <c r="C287" s="10">
        <f>IFERROR(IF(INDEX(ERP資料!$S:$S, (MATCH(286, 輔助計算!$E$2:$E$801, 0)+1))="","",INDEX(ERP資料!$S:$S, (MATCH(286, 輔助計算!$E$2:$E$801, 0)+1))), "")</f>
        <v/>
      </c>
      <c r="D287" s="10">
        <f>IFERROR(IF(INDEX(ERP資料!$E:$E, (MATCH(286, 輔助計算!$E$2:$E$801, 0)+1))="","",TRIM(INDEX(ERP資料!$E:$E, (MATCH(286, 輔助計算!$E$2:$E$801, 0)+1)))), "")</f>
        <v/>
      </c>
      <c r="E287" s="10">
        <f>IFERROR(IF(INDEX(ERP資料!$F:$F, (MATCH(286, 輔助計算!$E$2:$E$801, 0)+1))="","",INDEX(ERP資料!$F:$F, (MATCH(286, 輔助計算!$E$2:$E$801, 0)+1))), "")</f>
        <v/>
      </c>
      <c r="F287" s="10">
        <f>IFERROR(IF(INDEX(ERP資料!$G:$G, (MATCH(286, 輔助計算!$E$2:$E$801, 0)+1))="","",INDEX(ERP資料!$G:$G, (MATCH(286, 輔助計算!$E$2:$E$801, 0)+1))), "")</f>
        <v/>
      </c>
      <c r="G287" s="10">
        <f>IFERROR(IF(INDEX(ERP資料!$H:$H, (MATCH(286, 輔助計算!$E$2:$E$801, 0)+1))="","",INDEX(ERP資料!$H:$H, (MATCH(286, 輔助計算!$E$2:$E$801, 0)+1))), "")</f>
        <v/>
      </c>
      <c r="H287" s="15">
        <f>IFERROR(INDEX(輔助計算!$D:$D, (MATCH(286, 輔助計算!$E$2:$E$801, 0)+1)), "")</f>
        <v/>
      </c>
      <c r="I287" s="10">
        <f>IFERROR(IF(INDEX(ERP資料!$O:$O, (MATCH(286, 輔助計算!$E$2:$E$801, 0)+1))="","",INDEX(ERP資料!$O:$O, (MATCH(286, 輔助計算!$E$2:$E$801, 0)+1))), "")</f>
        <v/>
      </c>
      <c r="J287" s="15">
        <f>IFERROR(IF(INDEX(輔助計算!$D:$D,(MATCH(286, 輔助計算!$E$2:$E$801, 0)+1))="","",INDEX(輔助計算!$D:$D,(MATCH(286, 輔助計算!$E$2:$E$801, 0)+1))*INDEX(ERP資料!$O:$O,(MATCH(286, 輔助計算!$E$2:$E$801, 0)+1))), "")</f>
        <v/>
      </c>
      <c r="K287" s="16" t="n"/>
      <c r="L287" s="16" t="n"/>
      <c r="M287" s="17" t="n"/>
    </row>
    <row r="288">
      <c r="A288" s="14">
        <f>IFERROR(IF(INDEX(ERP資料!$B:$B, (MATCH(287, 輔助計算!$E$2:$E$801, 0)+1))="","",INDEX(ERP資料!$B:$B, (MATCH(287, 輔助計算!$E$2:$E$801, 0)+1))), "")</f>
        <v/>
      </c>
      <c r="B288" s="10">
        <f>IFERROR(IF(INDEX(ERP資料!$A:$A, (MATCH(287, 輔助計算!$E$2:$E$801, 0)+1))="","",INDEX(ERP資料!$A:$A, (MATCH(287, 輔助計算!$E$2:$E$801, 0)+1))), "")</f>
        <v/>
      </c>
      <c r="C288" s="10">
        <f>IFERROR(IF(INDEX(ERP資料!$S:$S, (MATCH(287, 輔助計算!$E$2:$E$801, 0)+1))="","",INDEX(ERP資料!$S:$S, (MATCH(287, 輔助計算!$E$2:$E$801, 0)+1))), "")</f>
        <v/>
      </c>
      <c r="D288" s="10">
        <f>IFERROR(IF(INDEX(ERP資料!$E:$E, (MATCH(287, 輔助計算!$E$2:$E$801, 0)+1))="","",TRIM(INDEX(ERP資料!$E:$E, (MATCH(287, 輔助計算!$E$2:$E$801, 0)+1)))), "")</f>
        <v/>
      </c>
      <c r="E288" s="10">
        <f>IFERROR(IF(INDEX(ERP資料!$F:$F, (MATCH(287, 輔助計算!$E$2:$E$801, 0)+1))="","",INDEX(ERP資料!$F:$F, (MATCH(287, 輔助計算!$E$2:$E$801, 0)+1))), "")</f>
        <v/>
      </c>
      <c r="F288" s="10">
        <f>IFERROR(IF(INDEX(ERP資料!$G:$G, (MATCH(287, 輔助計算!$E$2:$E$801, 0)+1))="","",INDEX(ERP資料!$G:$G, (MATCH(287, 輔助計算!$E$2:$E$801, 0)+1))), "")</f>
        <v/>
      </c>
      <c r="G288" s="10">
        <f>IFERROR(IF(INDEX(ERP資料!$H:$H, (MATCH(287, 輔助計算!$E$2:$E$801, 0)+1))="","",INDEX(ERP資料!$H:$H, (MATCH(287, 輔助計算!$E$2:$E$801, 0)+1))), "")</f>
        <v/>
      </c>
      <c r="H288" s="15">
        <f>IFERROR(INDEX(輔助計算!$D:$D, (MATCH(287, 輔助計算!$E$2:$E$801, 0)+1)), "")</f>
        <v/>
      </c>
      <c r="I288" s="10">
        <f>IFERROR(IF(INDEX(ERP資料!$O:$O, (MATCH(287, 輔助計算!$E$2:$E$801, 0)+1))="","",INDEX(ERP資料!$O:$O, (MATCH(287, 輔助計算!$E$2:$E$801, 0)+1))), "")</f>
        <v/>
      </c>
      <c r="J288" s="15">
        <f>IFERROR(IF(INDEX(輔助計算!$D:$D,(MATCH(287, 輔助計算!$E$2:$E$801, 0)+1))="","",INDEX(輔助計算!$D:$D,(MATCH(287, 輔助計算!$E$2:$E$801, 0)+1))*INDEX(ERP資料!$O:$O,(MATCH(287, 輔助計算!$E$2:$E$801, 0)+1))), "")</f>
        <v/>
      </c>
      <c r="K288" s="16" t="n"/>
      <c r="L288" s="16" t="n"/>
      <c r="M288" s="17" t="n"/>
    </row>
    <row r="289">
      <c r="A289" s="14">
        <f>IFERROR(IF(INDEX(ERP資料!$B:$B, (MATCH(288, 輔助計算!$E$2:$E$801, 0)+1))="","",INDEX(ERP資料!$B:$B, (MATCH(288, 輔助計算!$E$2:$E$801, 0)+1))), "")</f>
        <v/>
      </c>
      <c r="B289" s="10">
        <f>IFERROR(IF(INDEX(ERP資料!$A:$A, (MATCH(288, 輔助計算!$E$2:$E$801, 0)+1))="","",INDEX(ERP資料!$A:$A, (MATCH(288, 輔助計算!$E$2:$E$801, 0)+1))), "")</f>
        <v/>
      </c>
      <c r="C289" s="10">
        <f>IFERROR(IF(INDEX(ERP資料!$S:$S, (MATCH(288, 輔助計算!$E$2:$E$801, 0)+1))="","",INDEX(ERP資料!$S:$S, (MATCH(288, 輔助計算!$E$2:$E$801, 0)+1))), "")</f>
        <v/>
      </c>
      <c r="D289" s="10">
        <f>IFERROR(IF(INDEX(ERP資料!$E:$E, (MATCH(288, 輔助計算!$E$2:$E$801, 0)+1))="","",TRIM(INDEX(ERP資料!$E:$E, (MATCH(288, 輔助計算!$E$2:$E$801, 0)+1)))), "")</f>
        <v/>
      </c>
      <c r="E289" s="10">
        <f>IFERROR(IF(INDEX(ERP資料!$F:$F, (MATCH(288, 輔助計算!$E$2:$E$801, 0)+1))="","",INDEX(ERP資料!$F:$F, (MATCH(288, 輔助計算!$E$2:$E$801, 0)+1))), "")</f>
        <v/>
      </c>
      <c r="F289" s="10">
        <f>IFERROR(IF(INDEX(ERP資料!$G:$G, (MATCH(288, 輔助計算!$E$2:$E$801, 0)+1))="","",INDEX(ERP資料!$G:$G, (MATCH(288, 輔助計算!$E$2:$E$801, 0)+1))), "")</f>
        <v/>
      </c>
      <c r="G289" s="10">
        <f>IFERROR(IF(INDEX(ERP資料!$H:$H, (MATCH(288, 輔助計算!$E$2:$E$801, 0)+1))="","",INDEX(ERP資料!$H:$H, (MATCH(288, 輔助計算!$E$2:$E$801, 0)+1))), "")</f>
        <v/>
      </c>
      <c r="H289" s="15">
        <f>IFERROR(INDEX(輔助計算!$D:$D, (MATCH(288, 輔助計算!$E$2:$E$801, 0)+1)), "")</f>
        <v/>
      </c>
      <c r="I289" s="10">
        <f>IFERROR(IF(INDEX(ERP資料!$O:$O, (MATCH(288, 輔助計算!$E$2:$E$801, 0)+1))="","",INDEX(ERP資料!$O:$O, (MATCH(288, 輔助計算!$E$2:$E$801, 0)+1))), "")</f>
        <v/>
      </c>
      <c r="J289" s="15">
        <f>IFERROR(IF(INDEX(輔助計算!$D:$D,(MATCH(288, 輔助計算!$E$2:$E$801, 0)+1))="","",INDEX(輔助計算!$D:$D,(MATCH(288, 輔助計算!$E$2:$E$801, 0)+1))*INDEX(ERP資料!$O:$O,(MATCH(288, 輔助計算!$E$2:$E$801, 0)+1))), "")</f>
        <v/>
      </c>
      <c r="K289" s="16" t="n"/>
      <c r="L289" s="16" t="n"/>
      <c r="M289" s="17" t="n"/>
    </row>
    <row r="290">
      <c r="A290" s="14">
        <f>IFERROR(IF(INDEX(ERP資料!$B:$B, (MATCH(289, 輔助計算!$E$2:$E$801, 0)+1))="","",INDEX(ERP資料!$B:$B, (MATCH(289, 輔助計算!$E$2:$E$801, 0)+1))), "")</f>
        <v/>
      </c>
      <c r="B290" s="10">
        <f>IFERROR(IF(INDEX(ERP資料!$A:$A, (MATCH(289, 輔助計算!$E$2:$E$801, 0)+1))="","",INDEX(ERP資料!$A:$A, (MATCH(289, 輔助計算!$E$2:$E$801, 0)+1))), "")</f>
        <v/>
      </c>
      <c r="C290" s="10">
        <f>IFERROR(IF(INDEX(ERP資料!$S:$S, (MATCH(289, 輔助計算!$E$2:$E$801, 0)+1))="","",INDEX(ERP資料!$S:$S, (MATCH(289, 輔助計算!$E$2:$E$801, 0)+1))), "")</f>
        <v/>
      </c>
      <c r="D290" s="10">
        <f>IFERROR(IF(INDEX(ERP資料!$E:$E, (MATCH(289, 輔助計算!$E$2:$E$801, 0)+1))="","",TRIM(INDEX(ERP資料!$E:$E, (MATCH(289, 輔助計算!$E$2:$E$801, 0)+1)))), "")</f>
        <v/>
      </c>
      <c r="E290" s="10">
        <f>IFERROR(IF(INDEX(ERP資料!$F:$F, (MATCH(289, 輔助計算!$E$2:$E$801, 0)+1))="","",INDEX(ERP資料!$F:$F, (MATCH(289, 輔助計算!$E$2:$E$801, 0)+1))), "")</f>
        <v/>
      </c>
      <c r="F290" s="10">
        <f>IFERROR(IF(INDEX(ERP資料!$G:$G, (MATCH(289, 輔助計算!$E$2:$E$801, 0)+1))="","",INDEX(ERP資料!$G:$G, (MATCH(289, 輔助計算!$E$2:$E$801, 0)+1))), "")</f>
        <v/>
      </c>
      <c r="G290" s="10">
        <f>IFERROR(IF(INDEX(ERP資料!$H:$H, (MATCH(289, 輔助計算!$E$2:$E$801, 0)+1))="","",INDEX(ERP資料!$H:$H, (MATCH(289, 輔助計算!$E$2:$E$801, 0)+1))), "")</f>
        <v/>
      </c>
      <c r="H290" s="15">
        <f>IFERROR(INDEX(輔助計算!$D:$D, (MATCH(289, 輔助計算!$E$2:$E$801, 0)+1)), "")</f>
        <v/>
      </c>
      <c r="I290" s="10">
        <f>IFERROR(IF(INDEX(ERP資料!$O:$O, (MATCH(289, 輔助計算!$E$2:$E$801, 0)+1))="","",INDEX(ERP資料!$O:$O, (MATCH(289, 輔助計算!$E$2:$E$801, 0)+1))), "")</f>
        <v/>
      </c>
      <c r="J290" s="15">
        <f>IFERROR(IF(INDEX(輔助計算!$D:$D,(MATCH(289, 輔助計算!$E$2:$E$801, 0)+1))="","",INDEX(輔助計算!$D:$D,(MATCH(289, 輔助計算!$E$2:$E$801, 0)+1))*INDEX(ERP資料!$O:$O,(MATCH(289, 輔助計算!$E$2:$E$801, 0)+1))), "")</f>
        <v/>
      </c>
      <c r="K290" s="16" t="n"/>
      <c r="L290" s="16" t="n"/>
      <c r="M290" s="17" t="n"/>
    </row>
    <row r="291">
      <c r="A291" s="14">
        <f>IFERROR(IF(INDEX(ERP資料!$B:$B, (MATCH(290, 輔助計算!$E$2:$E$801, 0)+1))="","",INDEX(ERP資料!$B:$B, (MATCH(290, 輔助計算!$E$2:$E$801, 0)+1))), "")</f>
        <v/>
      </c>
      <c r="B291" s="10">
        <f>IFERROR(IF(INDEX(ERP資料!$A:$A, (MATCH(290, 輔助計算!$E$2:$E$801, 0)+1))="","",INDEX(ERP資料!$A:$A, (MATCH(290, 輔助計算!$E$2:$E$801, 0)+1))), "")</f>
        <v/>
      </c>
      <c r="C291" s="10">
        <f>IFERROR(IF(INDEX(ERP資料!$S:$S, (MATCH(290, 輔助計算!$E$2:$E$801, 0)+1))="","",INDEX(ERP資料!$S:$S, (MATCH(290, 輔助計算!$E$2:$E$801, 0)+1))), "")</f>
        <v/>
      </c>
      <c r="D291" s="10">
        <f>IFERROR(IF(INDEX(ERP資料!$E:$E, (MATCH(290, 輔助計算!$E$2:$E$801, 0)+1))="","",TRIM(INDEX(ERP資料!$E:$E, (MATCH(290, 輔助計算!$E$2:$E$801, 0)+1)))), "")</f>
        <v/>
      </c>
      <c r="E291" s="10">
        <f>IFERROR(IF(INDEX(ERP資料!$F:$F, (MATCH(290, 輔助計算!$E$2:$E$801, 0)+1))="","",INDEX(ERP資料!$F:$F, (MATCH(290, 輔助計算!$E$2:$E$801, 0)+1))), "")</f>
        <v/>
      </c>
      <c r="F291" s="10">
        <f>IFERROR(IF(INDEX(ERP資料!$G:$G, (MATCH(290, 輔助計算!$E$2:$E$801, 0)+1))="","",INDEX(ERP資料!$G:$G, (MATCH(290, 輔助計算!$E$2:$E$801, 0)+1))), "")</f>
        <v/>
      </c>
      <c r="G291" s="10">
        <f>IFERROR(IF(INDEX(ERP資料!$H:$H, (MATCH(290, 輔助計算!$E$2:$E$801, 0)+1))="","",INDEX(ERP資料!$H:$H, (MATCH(290, 輔助計算!$E$2:$E$801, 0)+1))), "")</f>
        <v/>
      </c>
      <c r="H291" s="15">
        <f>IFERROR(INDEX(輔助計算!$D:$D, (MATCH(290, 輔助計算!$E$2:$E$801, 0)+1)), "")</f>
        <v/>
      </c>
      <c r="I291" s="10">
        <f>IFERROR(IF(INDEX(ERP資料!$O:$O, (MATCH(290, 輔助計算!$E$2:$E$801, 0)+1))="","",INDEX(ERP資料!$O:$O, (MATCH(290, 輔助計算!$E$2:$E$801, 0)+1))), "")</f>
        <v/>
      </c>
      <c r="J291" s="15">
        <f>IFERROR(IF(INDEX(輔助計算!$D:$D,(MATCH(290, 輔助計算!$E$2:$E$801, 0)+1))="","",INDEX(輔助計算!$D:$D,(MATCH(290, 輔助計算!$E$2:$E$801, 0)+1))*INDEX(ERP資料!$O:$O,(MATCH(290, 輔助計算!$E$2:$E$801, 0)+1))), "")</f>
        <v/>
      </c>
      <c r="K291" s="16" t="n"/>
      <c r="L291" s="16" t="n"/>
      <c r="M291" s="17" t="n"/>
    </row>
    <row r="292">
      <c r="A292" s="14">
        <f>IFERROR(IF(INDEX(ERP資料!$B:$B, (MATCH(291, 輔助計算!$E$2:$E$801, 0)+1))="","",INDEX(ERP資料!$B:$B, (MATCH(291, 輔助計算!$E$2:$E$801, 0)+1))), "")</f>
        <v/>
      </c>
      <c r="B292" s="10">
        <f>IFERROR(IF(INDEX(ERP資料!$A:$A, (MATCH(291, 輔助計算!$E$2:$E$801, 0)+1))="","",INDEX(ERP資料!$A:$A, (MATCH(291, 輔助計算!$E$2:$E$801, 0)+1))), "")</f>
        <v/>
      </c>
      <c r="C292" s="10">
        <f>IFERROR(IF(INDEX(ERP資料!$S:$S, (MATCH(291, 輔助計算!$E$2:$E$801, 0)+1))="","",INDEX(ERP資料!$S:$S, (MATCH(291, 輔助計算!$E$2:$E$801, 0)+1))), "")</f>
        <v/>
      </c>
      <c r="D292" s="10">
        <f>IFERROR(IF(INDEX(ERP資料!$E:$E, (MATCH(291, 輔助計算!$E$2:$E$801, 0)+1))="","",TRIM(INDEX(ERP資料!$E:$E, (MATCH(291, 輔助計算!$E$2:$E$801, 0)+1)))), "")</f>
        <v/>
      </c>
      <c r="E292" s="10">
        <f>IFERROR(IF(INDEX(ERP資料!$F:$F, (MATCH(291, 輔助計算!$E$2:$E$801, 0)+1))="","",INDEX(ERP資料!$F:$F, (MATCH(291, 輔助計算!$E$2:$E$801, 0)+1))), "")</f>
        <v/>
      </c>
      <c r="F292" s="10">
        <f>IFERROR(IF(INDEX(ERP資料!$G:$G, (MATCH(291, 輔助計算!$E$2:$E$801, 0)+1))="","",INDEX(ERP資料!$G:$G, (MATCH(291, 輔助計算!$E$2:$E$801, 0)+1))), "")</f>
        <v/>
      </c>
      <c r="G292" s="10">
        <f>IFERROR(IF(INDEX(ERP資料!$H:$H, (MATCH(291, 輔助計算!$E$2:$E$801, 0)+1))="","",INDEX(ERP資料!$H:$H, (MATCH(291, 輔助計算!$E$2:$E$801, 0)+1))), "")</f>
        <v/>
      </c>
      <c r="H292" s="15">
        <f>IFERROR(INDEX(輔助計算!$D:$D, (MATCH(291, 輔助計算!$E$2:$E$801, 0)+1)), "")</f>
        <v/>
      </c>
      <c r="I292" s="10">
        <f>IFERROR(IF(INDEX(ERP資料!$O:$O, (MATCH(291, 輔助計算!$E$2:$E$801, 0)+1))="","",INDEX(ERP資料!$O:$O, (MATCH(291, 輔助計算!$E$2:$E$801, 0)+1))), "")</f>
        <v/>
      </c>
      <c r="J292" s="15">
        <f>IFERROR(IF(INDEX(輔助計算!$D:$D,(MATCH(291, 輔助計算!$E$2:$E$801, 0)+1))="","",INDEX(輔助計算!$D:$D,(MATCH(291, 輔助計算!$E$2:$E$801, 0)+1))*INDEX(ERP資料!$O:$O,(MATCH(291, 輔助計算!$E$2:$E$801, 0)+1))), "")</f>
        <v/>
      </c>
      <c r="K292" s="16" t="n"/>
      <c r="L292" s="16" t="n"/>
      <c r="M292" s="17" t="n"/>
    </row>
    <row r="293">
      <c r="A293" s="14">
        <f>IFERROR(IF(INDEX(ERP資料!$B:$B, (MATCH(292, 輔助計算!$E$2:$E$801, 0)+1))="","",INDEX(ERP資料!$B:$B, (MATCH(292, 輔助計算!$E$2:$E$801, 0)+1))), "")</f>
        <v/>
      </c>
      <c r="B293" s="10">
        <f>IFERROR(IF(INDEX(ERP資料!$A:$A, (MATCH(292, 輔助計算!$E$2:$E$801, 0)+1))="","",INDEX(ERP資料!$A:$A, (MATCH(292, 輔助計算!$E$2:$E$801, 0)+1))), "")</f>
        <v/>
      </c>
      <c r="C293" s="10">
        <f>IFERROR(IF(INDEX(ERP資料!$S:$S, (MATCH(292, 輔助計算!$E$2:$E$801, 0)+1))="","",INDEX(ERP資料!$S:$S, (MATCH(292, 輔助計算!$E$2:$E$801, 0)+1))), "")</f>
        <v/>
      </c>
      <c r="D293" s="10">
        <f>IFERROR(IF(INDEX(ERP資料!$E:$E, (MATCH(292, 輔助計算!$E$2:$E$801, 0)+1))="","",TRIM(INDEX(ERP資料!$E:$E, (MATCH(292, 輔助計算!$E$2:$E$801, 0)+1)))), "")</f>
        <v/>
      </c>
      <c r="E293" s="10">
        <f>IFERROR(IF(INDEX(ERP資料!$F:$F, (MATCH(292, 輔助計算!$E$2:$E$801, 0)+1))="","",INDEX(ERP資料!$F:$F, (MATCH(292, 輔助計算!$E$2:$E$801, 0)+1))), "")</f>
        <v/>
      </c>
      <c r="F293" s="10">
        <f>IFERROR(IF(INDEX(ERP資料!$G:$G, (MATCH(292, 輔助計算!$E$2:$E$801, 0)+1))="","",INDEX(ERP資料!$G:$G, (MATCH(292, 輔助計算!$E$2:$E$801, 0)+1))), "")</f>
        <v/>
      </c>
      <c r="G293" s="10">
        <f>IFERROR(IF(INDEX(ERP資料!$H:$H, (MATCH(292, 輔助計算!$E$2:$E$801, 0)+1))="","",INDEX(ERP資料!$H:$H, (MATCH(292, 輔助計算!$E$2:$E$801, 0)+1))), "")</f>
        <v/>
      </c>
      <c r="H293" s="15">
        <f>IFERROR(INDEX(輔助計算!$D:$D, (MATCH(292, 輔助計算!$E$2:$E$801, 0)+1)), "")</f>
        <v/>
      </c>
      <c r="I293" s="10">
        <f>IFERROR(IF(INDEX(ERP資料!$O:$O, (MATCH(292, 輔助計算!$E$2:$E$801, 0)+1))="","",INDEX(ERP資料!$O:$O, (MATCH(292, 輔助計算!$E$2:$E$801, 0)+1))), "")</f>
        <v/>
      </c>
      <c r="J293" s="15">
        <f>IFERROR(IF(INDEX(輔助計算!$D:$D,(MATCH(292, 輔助計算!$E$2:$E$801, 0)+1))="","",INDEX(輔助計算!$D:$D,(MATCH(292, 輔助計算!$E$2:$E$801, 0)+1))*INDEX(ERP資料!$O:$O,(MATCH(292, 輔助計算!$E$2:$E$801, 0)+1))), "")</f>
        <v/>
      </c>
      <c r="K293" s="16" t="n"/>
      <c r="L293" s="16" t="n"/>
      <c r="M293" s="17" t="n"/>
    </row>
    <row r="294">
      <c r="A294" s="14">
        <f>IFERROR(IF(INDEX(ERP資料!$B:$B, (MATCH(293, 輔助計算!$E$2:$E$801, 0)+1))="","",INDEX(ERP資料!$B:$B, (MATCH(293, 輔助計算!$E$2:$E$801, 0)+1))), "")</f>
        <v/>
      </c>
      <c r="B294" s="10">
        <f>IFERROR(IF(INDEX(ERP資料!$A:$A, (MATCH(293, 輔助計算!$E$2:$E$801, 0)+1))="","",INDEX(ERP資料!$A:$A, (MATCH(293, 輔助計算!$E$2:$E$801, 0)+1))), "")</f>
        <v/>
      </c>
      <c r="C294" s="10">
        <f>IFERROR(IF(INDEX(ERP資料!$S:$S, (MATCH(293, 輔助計算!$E$2:$E$801, 0)+1))="","",INDEX(ERP資料!$S:$S, (MATCH(293, 輔助計算!$E$2:$E$801, 0)+1))), "")</f>
        <v/>
      </c>
      <c r="D294" s="10">
        <f>IFERROR(IF(INDEX(ERP資料!$E:$E, (MATCH(293, 輔助計算!$E$2:$E$801, 0)+1))="","",TRIM(INDEX(ERP資料!$E:$E, (MATCH(293, 輔助計算!$E$2:$E$801, 0)+1)))), "")</f>
        <v/>
      </c>
      <c r="E294" s="10">
        <f>IFERROR(IF(INDEX(ERP資料!$F:$F, (MATCH(293, 輔助計算!$E$2:$E$801, 0)+1))="","",INDEX(ERP資料!$F:$F, (MATCH(293, 輔助計算!$E$2:$E$801, 0)+1))), "")</f>
        <v/>
      </c>
      <c r="F294" s="10">
        <f>IFERROR(IF(INDEX(ERP資料!$G:$G, (MATCH(293, 輔助計算!$E$2:$E$801, 0)+1))="","",INDEX(ERP資料!$G:$G, (MATCH(293, 輔助計算!$E$2:$E$801, 0)+1))), "")</f>
        <v/>
      </c>
      <c r="G294" s="10">
        <f>IFERROR(IF(INDEX(ERP資料!$H:$H, (MATCH(293, 輔助計算!$E$2:$E$801, 0)+1))="","",INDEX(ERP資料!$H:$H, (MATCH(293, 輔助計算!$E$2:$E$801, 0)+1))), "")</f>
        <v/>
      </c>
      <c r="H294" s="15">
        <f>IFERROR(INDEX(輔助計算!$D:$D, (MATCH(293, 輔助計算!$E$2:$E$801, 0)+1)), "")</f>
        <v/>
      </c>
      <c r="I294" s="10">
        <f>IFERROR(IF(INDEX(ERP資料!$O:$O, (MATCH(293, 輔助計算!$E$2:$E$801, 0)+1))="","",INDEX(ERP資料!$O:$O, (MATCH(293, 輔助計算!$E$2:$E$801, 0)+1))), "")</f>
        <v/>
      </c>
      <c r="J294" s="15">
        <f>IFERROR(IF(INDEX(輔助計算!$D:$D,(MATCH(293, 輔助計算!$E$2:$E$801, 0)+1))="","",INDEX(輔助計算!$D:$D,(MATCH(293, 輔助計算!$E$2:$E$801, 0)+1))*INDEX(ERP資料!$O:$O,(MATCH(293, 輔助計算!$E$2:$E$801, 0)+1))), "")</f>
        <v/>
      </c>
      <c r="K294" s="16" t="n"/>
      <c r="L294" s="16" t="n"/>
      <c r="M294" s="17" t="n"/>
    </row>
    <row r="295">
      <c r="A295" s="14">
        <f>IFERROR(IF(INDEX(ERP資料!$B:$B, (MATCH(294, 輔助計算!$E$2:$E$801, 0)+1))="","",INDEX(ERP資料!$B:$B, (MATCH(294, 輔助計算!$E$2:$E$801, 0)+1))), "")</f>
        <v/>
      </c>
      <c r="B295" s="10">
        <f>IFERROR(IF(INDEX(ERP資料!$A:$A, (MATCH(294, 輔助計算!$E$2:$E$801, 0)+1))="","",INDEX(ERP資料!$A:$A, (MATCH(294, 輔助計算!$E$2:$E$801, 0)+1))), "")</f>
        <v/>
      </c>
      <c r="C295" s="10">
        <f>IFERROR(IF(INDEX(ERP資料!$S:$S, (MATCH(294, 輔助計算!$E$2:$E$801, 0)+1))="","",INDEX(ERP資料!$S:$S, (MATCH(294, 輔助計算!$E$2:$E$801, 0)+1))), "")</f>
        <v/>
      </c>
      <c r="D295" s="10">
        <f>IFERROR(IF(INDEX(ERP資料!$E:$E, (MATCH(294, 輔助計算!$E$2:$E$801, 0)+1))="","",TRIM(INDEX(ERP資料!$E:$E, (MATCH(294, 輔助計算!$E$2:$E$801, 0)+1)))), "")</f>
        <v/>
      </c>
      <c r="E295" s="10">
        <f>IFERROR(IF(INDEX(ERP資料!$F:$F, (MATCH(294, 輔助計算!$E$2:$E$801, 0)+1))="","",INDEX(ERP資料!$F:$F, (MATCH(294, 輔助計算!$E$2:$E$801, 0)+1))), "")</f>
        <v/>
      </c>
      <c r="F295" s="10">
        <f>IFERROR(IF(INDEX(ERP資料!$G:$G, (MATCH(294, 輔助計算!$E$2:$E$801, 0)+1))="","",INDEX(ERP資料!$G:$G, (MATCH(294, 輔助計算!$E$2:$E$801, 0)+1))), "")</f>
        <v/>
      </c>
      <c r="G295" s="10">
        <f>IFERROR(IF(INDEX(ERP資料!$H:$H, (MATCH(294, 輔助計算!$E$2:$E$801, 0)+1))="","",INDEX(ERP資料!$H:$H, (MATCH(294, 輔助計算!$E$2:$E$801, 0)+1))), "")</f>
        <v/>
      </c>
      <c r="H295" s="15">
        <f>IFERROR(INDEX(輔助計算!$D:$D, (MATCH(294, 輔助計算!$E$2:$E$801, 0)+1)), "")</f>
        <v/>
      </c>
      <c r="I295" s="10">
        <f>IFERROR(IF(INDEX(ERP資料!$O:$O, (MATCH(294, 輔助計算!$E$2:$E$801, 0)+1))="","",INDEX(ERP資料!$O:$O, (MATCH(294, 輔助計算!$E$2:$E$801, 0)+1))), "")</f>
        <v/>
      </c>
      <c r="J295" s="15">
        <f>IFERROR(IF(INDEX(輔助計算!$D:$D,(MATCH(294, 輔助計算!$E$2:$E$801, 0)+1))="","",INDEX(輔助計算!$D:$D,(MATCH(294, 輔助計算!$E$2:$E$801, 0)+1))*INDEX(ERP資料!$O:$O,(MATCH(294, 輔助計算!$E$2:$E$801, 0)+1))), "")</f>
        <v/>
      </c>
      <c r="K295" s="16" t="n"/>
      <c r="L295" s="16" t="n"/>
      <c r="M295" s="17" t="n"/>
    </row>
    <row r="296">
      <c r="A296" s="14">
        <f>IFERROR(IF(INDEX(ERP資料!$B:$B, (MATCH(295, 輔助計算!$E$2:$E$801, 0)+1))="","",INDEX(ERP資料!$B:$B, (MATCH(295, 輔助計算!$E$2:$E$801, 0)+1))), "")</f>
        <v/>
      </c>
      <c r="B296" s="10">
        <f>IFERROR(IF(INDEX(ERP資料!$A:$A, (MATCH(295, 輔助計算!$E$2:$E$801, 0)+1))="","",INDEX(ERP資料!$A:$A, (MATCH(295, 輔助計算!$E$2:$E$801, 0)+1))), "")</f>
        <v/>
      </c>
      <c r="C296" s="10">
        <f>IFERROR(IF(INDEX(ERP資料!$S:$S, (MATCH(295, 輔助計算!$E$2:$E$801, 0)+1))="","",INDEX(ERP資料!$S:$S, (MATCH(295, 輔助計算!$E$2:$E$801, 0)+1))), "")</f>
        <v/>
      </c>
      <c r="D296" s="10">
        <f>IFERROR(IF(INDEX(ERP資料!$E:$E, (MATCH(295, 輔助計算!$E$2:$E$801, 0)+1))="","",TRIM(INDEX(ERP資料!$E:$E, (MATCH(295, 輔助計算!$E$2:$E$801, 0)+1)))), "")</f>
        <v/>
      </c>
      <c r="E296" s="10">
        <f>IFERROR(IF(INDEX(ERP資料!$F:$F, (MATCH(295, 輔助計算!$E$2:$E$801, 0)+1))="","",INDEX(ERP資料!$F:$F, (MATCH(295, 輔助計算!$E$2:$E$801, 0)+1))), "")</f>
        <v/>
      </c>
      <c r="F296" s="10">
        <f>IFERROR(IF(INDEX(ERP資料!$G:$G, (MATCH(295, 輔助計算!$E$2:$E$801, 0)+1))="","",INDEX(ERP資料!$G:$G, (MATCH(295, 輔助計算!$E$2:$E$801, 0)+1))), "")</f>
        <v/>
      </c>
      <c r="G296" s="10">
        <f>IFERROR(IF(INDEX(ERP資料!$H:$H, (MATCH(295, 輔助計算!$E$2:$E$801, 0)+1))="","",INDEX(ERP資料!$H:$H, (MATCH(295, 輔助計算!$E$2:$E$801, 0)+1))), "")</f>
        <v/>
      </c>
      <c r="H296" s="15">
        <f>IFERROR(INDEX(輔助計算!$D:$D, (MATCH(295, 輔助計算!$E$2:$E$801, 0)+1)), "")</f>
        <v/>
      </c>
      <c r="I296" s="10">
        <f>IFERROR(IF(INDEX(ERP資料!$O:$O, (MATCH(295, 輔助計算!$E$2:$E$801, 0)+1))="","",INDEX(ERP資料!$O:$O, (MATCH(295, 輔助計算!$E$2:$E$801, 0)+1))), "")</f>
        <v/>
      </c>
      <c r="J296" s="15">
        <f>IFERROR(IF(INDEX(輔助計算!$D:$D,(MATCH(295, 輔助計算!$E$2:$E$801, 0)+1))="","",INDEX(輔助計算!$D:$D,(MATCH(295, 輔助計算!$E$2:$E$801, 0)+1))*INDEX(ERP資料!$O:$O,(MATCH(295, 輔助計算!$E$2:$E$801, 0)+1))), "")</f>
        <v/>
      </c>
      <c r="K296" s="16" t="n"/>
      <c r="L296" s="16" t="n"/>
      <c r="M296" s="17" t="n"/>
    </row>
    <row r="297">
      <c r="A297" s="14">
        <f>IFERROR(IF(INDEX(ERP資料!$B:$B, (MATCH(296, 輔助計算!$E$2:$E$801, 0)+1))="","",INDEX(ERP資料!$B:$B, (MATCH(296, 輔助計算!$E$2:$E$801, 0)+1))), "")</f>
        <v/>
      </c>
      <c r="B297" s="10">
        <f>IFERROR(IF(INDEX(ERP資料!$A:$A, (MATCH(296, 輔助計算!$E$2:$E$801, 0)+1))="","",INDEX(ERP資料!$A:$A, (MATCH(296, 輔助計算!$E$2:$E$801, 0)+1))), "")</f>
        <v/>
      </c>
      <c r="C297" s="10">
        <f>IFERROR(IF(INDEX(ERP資料!$S:$S, (MATCH(296, 輔助計算!$E$2:$E$801, 0)+1))="","",INDEX(ERP資料!$S:$S, (MATCH(296, 輔助計算!$E$2:$E$801, 0)+1))), "")</f>
        <v/>
      </c>
      <c r="D297" s="10">
        <f>IFERROR(IF(INDEX(ERP資料!$E:$E, (MATCH(296, 輔助計算!$E$2:$E$801, 0)+1))="","",TRIM(INDEX(ERP資料!$E:$E, (MATCH(296, 輔助計算!$E$2:$E$801, 0)+1)))), "")</f>
        <v/>
      </c>
      <c r="E297" s="10">
        <f>IFERROR(IF(INDEX(ERP資料!$F:$F, (MATCH(296, 輔助計算!$E$2:$E$801, 0)+1))="","",INDEX(ERP資料!$F:$F, (MATCH(296, 輔助計算!$E$2:$E$801, 0)+1))), "")</f>
        <v/>
      </c>
      <c r="F297" s="10">
        <f>IFERROR(IF(INDEX(ERP資料!$G:$G, (MATCH(296, 輔助計算!$E$2:$E$801, 0)+1))="","",INDEX(ERP資料!$G:$G, (MATCH(296, 輔助計算!$E$2:$E$801, 0)+1))), "")</f>
        <v/>
      </c>
      <c r="G297" s="10">
        <f>IFERROR(IF(INDEX(ERP資料!$H:$H, (MATCH(296, 輔助計算!$E$2:$E$801, 0)+1))="","",INDEX(ERP資料!$H:$H, (MATCH(296, 輔助計算!$E$2:$E$801, 0)+1))), "")</f>
        <v/>
      </c>
      <c r="H297" s="15">
        <f>IFERROR(INDEX(輔助計算!$D:$D, (MATCH(296, 輔助計算!$E$2:$E$801, 0)+1)), "")</f>
        <v/>
      </c>
      <c r="I297" s="10">
        <f>IFERROR(IF(INDEX(ERP資料!$O:$O, (MATCH(296, 輔助計算!$E$2:$E$801, 0)+1))="","",INDEX(ERP資料!$O:$O, (MATCH(296, 輔助計算!$E$2:$E$801, 0)+1))), "")</f>
        <v/>
      </c>
      <c r="J297" s="15">
        <f>IFERROR(IF(INDEX(輔助計算!$D:$D,(MATCH(296, 輔助計算!$E$2:$E$801, 0)+1))="","",INDEX(輔助計算!$D:$D,(MATCH(296, 輔助計算!$E$2:$E$801, 0)+1))*INDEX(ERP資料!$O:$O,(MATCH(296, 輔助計算!$E$2:$E$801, 0)+1))), "")</f>
        <v/>
      </c>
      <c r="K297" s="16" t="n"/>
      <c r="L297" s="16" t="n"/>
      <c r="M297" s="17" t="n"/>
    </row>
    <row r="298">
      <c r="A298" s="14">
        <f>IFERROR(IF(INDEX(ERP資料!$B:$B, (MATCH(297, 輔助計算!$E$2:$E$801, 0)+1))="","",INDEX(ERP資料!$B:$B, (MATCH(297, 輔助計算!$E$2:$E$801, 0)+1))), "")</f>
        <v/>
      </c>
      <c r="B298" s="10">
        <f>IFERROR(IF(INDEX(ERP資料!$A:$A, (MATCH(297, 輔助計算!$E$2:$E$801, 0)+1))="","",INDEX(ERP資料!$A:$A, (MATCH(297, 輔助計算!$E$2:$E$801, 0)+1))), "")</f>
        <v/>
      </c>
      <c r="C298" s="10">
        <f>IFERROR(IF(INDEX(ERP資料!$S:$S, (MATCH(297, 輔助計算!$E$2:$E$801, 0)+1))="","",INDEX(ERP資料!$S:$S, (MATCH(297, 輔助計算!$E$2:$E$801, 0)+1))), "")</f>
        <v/>
      </c>
      <c r="D298" s="10">
        <f>IFERROR(IF(INDEX(ERP資料!$E:$E, (MATCH(297, 輔助計算!$E$2:$E$801, 0)+1))="","",TRIM(INDEX(ERP資料!$E:$E, (MATCH(297, 輔助計算!$E$2:$E$801, 0)+1)))), "")</f>
        <v/>
      </c>
      <c r="E298" s="10">
        <f>IFERROR(IF(INDEX(ERP資料!$F:$F, (MATCH(297, 輔助計算!$E$2:$E$801, 0)+1))="","",INDEX(ERP資料!$F:$F, (MATCH(297, 輔助計算!$E$2:$E$801, 0)+1))), "")</f>
        <v/>
      </c>
      <c r="F298" s="10">
        <f>IFERROR(IF(INDEX(ERP資料!$G:$G, (MATCH(297, 輔助計算!$E$2:$E$801, 0)+1))="","",INDEX(ERP資料!$G:$G, (MATCH(297, 輔助計算!$E$2:$E$801, 0)+1))), "")</f>
        <v/>
      </c>
      <c r="G298" s="10">
        <f>IFERROR(IF(INDEX(ERP資料!$H:$H, (MATCH(297, 輔助計算!$E$2:$E$801, 0)+1))="","",INDEX(ERP資料!$H:$H, (MATCH(297, 輔助計算!$E$2:$E$801, 0)+1))), "")</f>
        <v/>
      </c>
      <c r="H298" s="15">
        <f>IFERROR(INDEX(輔助計算!$D:$D, (MATCH(297, 輔助計算!$E$2:$E$801, 0)+1)), "")</f>
        <v/>
      </c>
      <c r="I298" s="10">
        <f>IFERROR(IF(INDEX(ERP資料!$O:$O, (MATCH(297, 輔助計算!$E$2:$E$801, 0)+1))="","",INDEX(ERP資料!$O:$O, (MATCH(297, 輔助計算!$E$2:$E$801, 0)+1))), "")</f>
        <v/>
      </c>
      <c r="J298" s="15">
        <f>IFERROR(IF(INDEX(輔助計算!$D:$D,(MATCH(297, 輔助計算!$E$2:$E$801, 0)+1))="","",INDEX(輔助計算!$D:$D,(MATCH(297, 輔助計算!$E$2:$E$801, 0)+1))*INDEX(ERP資料!$O:$O,(MATCH(297, 輔助計算!$E$2:$E$801, 0)+1))), "")</f>
        <v/>
      </c>
      <c r="K298" s="16" t="n"/>
      <c r="L298" s="16" t="n"/>
      <c r="M298" s="17" t="n"/>
    </row>
    <row r="299">
      <c r="A299" s="14">
        <f>IFERROR(IF(INDEX(ERP資料!$B:$B, (MATCH(298, 輔助計算!$E$2:$E$801, 0)+1))="","",INDEX(ERP資料!$B:$B, (MATCH(298, 輔助計算!$E$2:$E$801, 0)+1))), "")</f>
        <v/>
      </c>
      <c r="B299" s="10">
        <f>IFERROR(IF(INDEX(ERP資料!$A:$A, (MATCH(298, 輔助計算!$E$2:$E$801, 0)+1))="","",INDEX(ERP資料!$A:$A, (MATCH(298, 輔助計算!$E$2:$E$801, 0)+1))), "")</f>
        <v/>
      </c>
      <c r="C299" s="10">
        <f>IFERROR(IF(INDEX(ERP資料!$S:$S, (MATCH(298, 輔助計算!$E$2:$E$801, 0)+1))="","",INDEX(ERP資料!$S:$S, (MATCH(298, 輔助計算!$E$2:$E$801, 0)+1))), "")</f>
        <v/>
      </c>
      <c r="D299" s="10">
        <f>IFERROR(IF(INDEX(ERP資料!$E:$E, (MATCH(298, 輔助計算!$E$2:$E$801, 0)+1))="","",TRIM(INDEX(ERP資料!$E:$E, (MATCH(298, 輔助計算!$E$2:$E$801, 0)+1)))), "")</f>
        <v/>
      </c>
      <c r="E299" s="10">
        <f>IFERROR(IF(INDEX(ERP資料!$F:$F, (MATCH(298, 輔助計算!$E$2:$E$801, 0)+1))="","",INDEX(ERP資料!$F:$F, (MATCH(298, 輔助計算!$E$2:$E$801, 0)+1))), "")</f>
        <v/>
      </c>
      <c r="F299" s="10">
        <f>IFERROR(IF(INDEX(ERP資料!$G:$G, (MATCH(298, 輔助計算!$E$2:$E$801, 0)+1))="","",INDEX(ERP資料!$G:$G, (MATCH(298, 輔助計算!$E$2:$E$801, 0)+1))), "")</f>
        <v/>
      </c>
      <c r="G299" s="10">
        <f>IFERROR(IF(INDEX(ERP資料!$H:$H, (MATCH(298, 輔助計算!$E$2:$E$801, 0)+1))="","",INDEX(ERP資料!$H:$H, (MATCH(298, 輔助計算!$E$2:$E$801, 0)+1))), "")</f>
        <v/>
      </c>
      <c r="H299" s="15">
        <f>IFERROR(INDEX(輔助計算!$D:$D, (MATCH(298, 輔助計算!$E$2:$E$801, 0)+1)), "")</f>
        <v/>
      </c>
      <c r="I299" s="10">
        <f>IFERROR(IF(INDEX(ERP資料!$O:$O, (MATCH(298, 輔助計算!$E$2:$E$801, 0)+1))="","",INDEX(ERP資料!$O:$O, (MATCH(298, 輔助計算!$E$2:$E$801, 0)+1))), "")</f>
        <v/>
      </c>
      <c r="J299" s="15">
        <f>IFERROR(IF(INDEX(輔助計算!$D:$D,(MATCH(298, 輔助計算!$E$2:$E$801, 0)+1))="","",INDEX(輔助計算!$D:$D,(MATCH(298, 輔助計算!$E$2:$E$801, 0)+1))*INDEX(ERP資料!$O:$O,(MATCH(298, 輔助計算!$E$2:$E$801, 0)+1))), "")</f>
        <v/>
      </c>
      <c r="K299" s="16" t="n"/>
      <c r="L299" s="16" t="n"/>
      <c r="M299" s="17" t="n"/>
    </row>
    <row r="300">
      <c r="A300" s="14">
        <f>IFERROR(IF(INDEX(ERP資料!$B:$B, (MATCH(299, 輔助計算!$E$2:$E$801, 0)+1))="","",INDEX(ERP資料!$B:$B, (MATCH(299, 輔助計算!$E$2:$E$801, 0)+1))), "")</f>
        <v/>
      </c>
      <c r="B300" s="10">
        <f>IFERROR(IF(INDEX(ERP資料!$A:$A, (MATCH(299, 輔助計算!$E$2:$E$801, 0)+1))="","",INDEX(ERP資料!$A:$A, (MATCH(299, 輔助計算!$E$2:$E$801, 0)+1))), "")</f>
        <v/>
      </c>
      <c r="C300" s="10">
        <f>IFERROR(IF(INDEX(ERP資料!$S:$S, (MATCH(299, 輔助計算!$E$2:$E$801, 0)+1))="","",INDEX(ERP資料!$S:$S, (MATCH(299, 輔助計算!$E$2:$E$801, 0)+1))), "")</f>
        <v/>
      </c>
      <c r="D300" s="10">
        <f>IFERROR(IF(INDEX(ERP資料!$E:$E, (MATCH(299, 輔助計算!$E$2:$E$801, 0)+1))="","",TRIM(INDEX(ERP資料!$E:$E, (MATCH(299, 輔助計算!$E$2:$E$801, 0)+1)))), "")</f>
        <v/>
      </c>
      <c r="E300" s="10">
        <f>IFERROR(IF(INDEX(ERP資料!$F:$F, (MATCH(299, 輔助計算!$E$2:$E$801, 0)+1))="","",INDEX(ERP資料!$F:$F, (MATCH(299, 輔助計算!$E$2:$E$801, 0)+1))), "")</f>
        <v/>
      </c>
      <c r="F300" s="10">
        <f>IFERROR(IF(INDEX(ERP資料!$G:$G, (MATCH(299, 輔助計算!$E$2:$E$801, 0)+1))="","",INDEX(ERP資料!$G:$G, (MATCH(299, 輔助計算!$E$2:$E$801, 0)+1))), "")</f>
        <v/>
      </c>
      <c r="G300" s="10">
        <f>IFERROR(IF(INDEX(ERP資料!$H:$H, (MATCH(299, 輔助計算!$E$2:$E$801, 0)+1))="","",INDEX(ERP資料!$H:$H, (MATCH(299, 輔助計算!$E$2:$E$801, 0)+1))), "")</f>
        <v/>
      </c>
      <c r="H300" s="15">
        <f>IFERROR(INDEX(輔助計算!$D:$D, (MATCH(299, 輔助計算!$E$2:$E$801, 0)+1)), "")</f>
        <v/>
      </c>
      <c r="I300" s="10">
        <f>IFERROR(IF(INDEX(ERP資料!$O:$O, (MATCH(299, 輔助計算!$E$2:$E$801, 0)+1))="","",INDEX(ERP資料!$O:$O, (MATCH(299, 輔助計算!$E$2:$E$801, 0)+1))), "")</f>
        <v/>
      </c>
      <c r="J300" s="15">
        <f>IFERROR(IF(INDEX(輔助計算!$D:$D,(MATCH(299, 輔助計算!$E$2:$E$801, 0)+1))="","",INDEX(輔助計算!$D:$D,(MATCH(299, 輔助計算!$E$2:$E$801, 0)+1))*INDEX(ERP資料!$O:$O,(MATCH(299, 輔助計算!$E$2:$E$801, 0)+1))), "")</f>
        <v/>
      </c>
      <c r="K300" s="16" t="n"/>
      <c r="L300" s="16" t="n"/>
      <c r="M300" s="17" t="n"/>
    </row>
    <row r="301">
      <c r="A301" s="14">
        <f>IFERROR(IF(INDEX(ERP資料!$B:$B, (MATCH(300, 輔助計算!$E$2:$E$801, 0)+1))="","",INDEX(ERP資料!$B:$B, (MATCH(300, 輔助計算!$E$2:$E$801, 0)+1))), "")</f>
        <v/>
      </c>
      <c r="B301" s="10">
        <f>IFERROR(IF(INDEX(ERP資料!$A:$A, (MATCH(300, 輔助計算!$E$2:$E$801, 0)+1))="","",INDEX(ERP資料!$A:$A, (MATCH(300, 輔助計算!$E$2:$E$801, 0)+1))), "")</f>
        <v/>
      </c>
      <c r="C301" s="10">
        <f>IFERROR(IF(INDEX(ERP資料!$S:$S, (MATCH(300, 輔助計算!$E$2:$E$801, 0)+1))="","",INDEX(ERP資料!$S:$S, (MATCH(300, 輔助計算!$E$2:$E$801, 0)+1))), "")</f>
        <v/>
      </c>
      <c r="D301" s="10">
        <f>IFERROR(IF(INDEX(ERP資料!$E:$E, (MATCH(300, 輔助計算!$E$2:$E$801, 0)+1))="","",TRIM(INDEX(ERP資料!$E:$E, (MATCH(300, 輔助計算!$E$2:$E$801, 0)+1)))), "")</f>
        <v/>
      </c>
      <c r="E301" s="10">
        <f>IFERROR(IF(INDEX(ERP資料!$F:$F, (MATCH(300, 輔助計算!$E$2:$E$801, 0)+1))="","",INDEX(ERP資料!$F:$F, (MATCH(300, 輔助計算!$E$2:$E$801, 0)+1))), "")</f>
        <v/>
      </c>
      <c r="F301" s="10">
        <f>IFERROR(IF(INDEX(ERP資料!$G:$G, (MATCH(300, 輔助計算!$E$2:$E$801, 0)+1))="","",INDEX(ERP資料!$G:$G, (MATCH(300, 輔助計算!$E$2:$E$801, 0)+1))), "")</f>
        <v/>
      </c>
      <c r="G301" s="10">
        <f>IFERROR(IF(INDEX(ERP資料!$H:$H, (MATCH(300, 輔助計算!$E$2:$E$801, 0)+1))="","",INDEX(ERP資料!$H:$H, (MATCH(300, 輔助計算!$E$2:$E$801, 0)+1))), "")</f>
        <v/>
      </c>
      <c r="H301" s="15">
        <f>IFERROR(INDEX(輔助計算!$D:$D, (MATCH(300, 輔助計算!$E$2:$E$801, 0)+1)), "")</f>
        <v/>
      </c>
      <c r="I301" s="10">
        <f>IFERROR(IF(INDEX(ERP資料!$O:$O, (MATCH(300, 輔助計算!$E$2:$E$801, 0)+1))="","",INDEX(ERP資料!$O:$O, (MATCH(300, 輔助計算!$E$2:$E$801, 0)+1))), "")</f>
        <v/>
      </c>
      <c r="J301" s="15">
        <f>IFERROR(IF(INDEX(輔助計算!$D:$D,(MATCH(300, 輔助計算!$E$2:$E$801, 0)+1))="","",INDEX(輔助計算!$D:$D,(MATCH(300, 輔助計算!$E$2:$E$801, 0)+1))*INDEX(ERP資料!$O:$O,(MATCH(300, 輔助計算!$E$2:$E$801, 0)+1))), "")</f>
        <v/>
      </c>
      <c r="K301" s="16" t="n"/>
      <c r="L301" s="16" t="n"/>
      <c r="M301" s="17" t="n"/>
    </row>
    <row r="302">
      <c r="A302" s="14">
        <f>IFERROR(IF(INDEX(ERP資料!$B:$B, (MATCH(301, 輔助計算!$E$2:$E$801, 0)+1))="","",INDEX(ERP資料!$B:$B, (MATCH(301, 輔助計算!$E$2:$E$801, 0)+1))), "")</f>
        <v/>
      </c>
      <c r="B302" s="10">
        <f>IFERROR(IF(INDEX(ERP資料!$A:$A, (MATCH(301, 輔助計算!$E$2:$E$801, 0)+1))="","",INDEX(ERP資料!$A:$A, (MATCH(301, 輔助計算!$E$2:$E$801, 0)+1))), "")</f>
        <v/>
      </c>
      <c r="C302" s="10">
        <f>IFERROR(IF(INDEX(ERP資料!$S:$S, (MATCH(301, 輔助計算!$E$2:$E$801, 0)+1))="","",INDEX(ERP資料!$S:$S, (MATCH(301, 輔助計算!$E$2:$E$801, 0)+1))), "")</f>
        <v/>
      </c>
      <c r="D302" s="10">
        <f>IFERROR(IF(INDEX(ERP資料!$E:$E, (MATCH(301, 輔助計算!$E$2:$E$801, 0)+1))="","",TRIM(INDEX(ERP資料!$E:$E, (MATCH(301, 輔助計算!$E$2:$E$801, 0)+1)))), "")</f>
        <v/>
      </c>
      <c r="E302" s="10">
        <f>IFERROR(IF(INDEX(ERP資料!$F:$F, (MATCH(301, 輔助計算!$E$2:$E$801, 0)+1))="","",INDEX(ERP資料!$F:$F, (MATCH(301, 輔助計算!$E$2:$E$801, 0)+1))), "")</f>
        <v/>
      </c>
      <c r="F302" s="10">
        <f>IFERROR(IF(INDEX(ERP資料!$G:$G, (MATCH(301, 輔助計算!$E$2:$E$801, 0)+1))="","",INDEX(ERP資料!$G:$G, (MATCH(301, 輔助計算!$E$2:$E$801, 0)+1))), "")</f>
        <v/>
      </c>
      <c r="G302" s="10">
        <f>IFERROR(IF(INDEX(ERP資料!$H:$H, (MATCH(301, 輔助計算!$E$2:$E$801, 0)+1))="","",INDEX(ERP資料!$H:$H, (MATCH(301, 輔助計算!$E$2:$E$801, 0)+1))), "")</f>
        <v/>
      </c>
      <c r="H302" s="15">
        <f>IFERROR(INDEX(輔助計算!$D:$D, (MATCH(301, 輔助計算!$E$2:$E$801, 0)+1)), "")</f>
        <v/>
      </c>
      <c r="I302" s="10">
        <f>IFERROR(IF(INDEX(ERP資料!$O:$O, (MATCH(301, 輔助計算!$E$2:$E$801, 0)+1))="","",INDEX(ERP資料!$O:$O, (MATCH(301, 輔助計算!$E$2:$E$801, 0)+1))), "")</f>
        <v/>
      </c>
      <c r="J302" s="15">
        <f>IFERROR(IF(INDEX(輔助計算!$D:$D,(MATCH(301, 輔助計算!$E$2:$E$801, 0)+1))="","",INDEX(輔助計算!$D:$D,(MATCH(301, 輔助計算!$E$2:$E$801, 0)+1))*INDEX(ERP資料!$O:$O,(MATCH(301, 輔助計算!$E$2:$E$801, 0)+1))), "")</f>
        <v/>
      </c>
      <c r="K302" s="16" t="n"/>
      <c r="L302" s="16" t="n"/>
      <c r="M302" s="17" t="n"/>
    </row>
    <row r="303">
      <c r="A303" s="14">
        <f>IFERROR(IF(INDEX(ERP資料!$B:$B, (MATCH(302, 輔助計算!$E$2:$E$801, 0)+1))="","",INDEX(ERP資料!$B:$B, (MATCH(302, 輔助計算!$E$2:$E$801, 0)+1))), "")</f>
        <v/>
      </c>
      <c r="B303" s="10">
        <f>IFERROR(IF(INDEX(ERP資料!$A:$A, (MATCH(302, 輔助計算!$E$2:$E$801, 0)+1))="","",INDEX(ERP資料!$A:$A, (MATCH(302, 輔助計算!$E$2:$E$801, 0)+1))), "")</f>
        <v/>
      </c>
      <c r="C303" s="10">
        <f>IFERROR(IF(INDEX(ERP資料!$S:$S, (MATCH(302, 輔助計算!$E$2:$E$801, 0)+1))="","",INDEX(ERP資料!$S:$S, (MATCH(302, 輔助計算!$E$2:$E$801, 0)+1))), "")</f>
        <v/>
      </c>
      <c r="D303" s="10">
        <f>IFERROR(IF(INDEX(ERP資料!$E:$E, (MATCH(302, 輔助計算!$E$2:$E$801, 0)+1))="","",TRIM(INDEX(ERP資料!$E:$E, (MATCH(302, 輔助計算!$E$2:$E$801, 0)+1)))), "")</f>
        <v/>
      </c>
      <c r="E303" s="10">
        <f>IFERROR(IF(INDEX(ERP資料!$F:$F, (MATCH(302, 輔助計算!$E$2:$E$801, 0)+1))="","",INDEX(ERP資料!$F:$F, (MATCH(302, 輔助計算!$E$2:$E$801, 0)+1))), "")</f>
        <v/>
      </c>
      <c r="F303" s="10">
        <f>IFERROR(IF(INDEX(ERP資料!$G:$G, (MATCH(302, 輔助計算!$E$2:$E$801, 0)+1))="","",INDEX(ERP資料!$G:$G, (MATCH(302, 輔助計算!$E$2:$E$801, 0)+1))), "")</f>
        <v/>
      </c>
      <c r="G303" s="10">
        <f>IFERROR(IF(INDEX(ERP資料!$H:$H, (MATCH(302, 輔助計算!$E$2:$E$801, 0)+1))="","",INDEX(ERP資料!$H:$H, (MATCH(302, 輔助計算!$E$2:$E$801, 0)+1))), "")</f>
        <v/>
      </c>
      <c r="H303" s="15">
        <f>IFERROR(INDEX(輔助計算!$D:$D, (MATCH(302, 輔助計算!$E$2:$E$801, 0)+1)), "")</f>
        <v/>
      </c>
      <c r="I303" s="10">
        <f>IFERROR(IF(INDEX(ERP資料!$O:$O, (MATCH(302, 輔助計算!$E$2:$E$801, 0)+1))="","",INDEX(ERP資料!$O:$O, (MATCH(302, 輔助計算!$E$2:$E$801, 0)+1))), "")</f>
        <v/>
      </c>
      <c r="J303" s="15">
        <f>IFERROR(IF(INDEX(輔助計算!$D:$D,(MATCH(302, 輔助計算!$E$2:$E$801, 0)+1))="","",INDEX(輔助計算!$D:$D,(MATCH(302, 輔助計算!$E$2:$E$801, 0)+1))*INDEX(ERP資料!$O:$O,(MATCH(302, 輔助計算!$E$2:$E$801, 0)+1))), "")</f>
        <v/>
      </c>
      <c r="K303" s="16" t="n"/>
      <c r="L303" s="16" t="n"/>
      <c r="M303" s="17" t="n"/>
    </row>
    <row r="304">
      <c r="A304" s="14">
        <f>IFERROR(IF(INDEX(ERP資料!$B:$B, (MATCH(303, 輔助計算!$E$2:$E$801, 0)+1))="","",INDEX(ERP資料!$B:$B, (MATCH(303, 輔助計算!$E$2:$E$801, 0)+1))), "")</f>
        <v/>
      </c>
      <c r="B304" s="10">
        <f>IFERROR(IF(INDEX(ERP資料!$A:$A, (MATCH(303, 輔助計算!$E$2:$E$801, 0)+1))="","",INDEX(ERP資料!$A:$A, (MATCH(303, 輔助計算!$E$2:$E$801, 0)+1))), "")</f>
        <v/>
      </c>
      <c r="C304" s="10">
        <f>IFERROR(IF(INDEX(ERP資料!$S:$S, (MATCH(303, 輔助計算!$E$2:$E$801, 0)+1))="","",INDEX(ERP資料!$S:$S, (MATCH(303, 輔助計算!$E$2:$E$801, 0)+1))), "")</f>
        <v/>
      </c>
      <c r="D304" s="10">
        <f>IFERROR(IF(INDEX(ERP資料!$E:$E, (MATCH(303, 輔助計算!$E$2:$E$801, 0)+1))="","",TRIM(INDEX(ERP資料!$E:$E, (MATCH(303, 輔助計算!$E$2:$E$801, 0)+1)))), "")</f>
        <v/>
      </c>
      <c r="E304" s="10">
        <f>IFERROR(IF(INDEX(ERP資料!$F:$F, (MATCH(303, 輔助計算!$E$2:$E$801, 0)+1))="","",INDEX(ERP資料!$F:$F, (MATCH(303, 輔助計算!$E$2:$E$801, 0)+1))), "")</f>
        <v/>
      </c>
      <c r="F304" s="10">
        <f>IFERROR(IF(INDEX(ERP資料!$G:$G, (MATCH(303, 輔助計算!$E$2:$E$801, 0)+1))="","",INDEX(ERP資料!$G:$G, (MATCH(303, 輔助計算!$E$2:$E$801, 0)+1))), "")</f>
        <v/>
      </c>
      <c r="G304" s="10">
        <f>IFERROR(IF(INDEX(ERP資料!$H:$H, (MATCH(303, 輔助計算!$E$2:$E$801, 0)+1))="","",INDEX(ERP資料!$H:$H, (MATCH(303, 輔助計算!$E$2:$E$801, 0)+1))), "")</f>
        <v/>
      </c>
      <c r="H304" s="15">
        <f>IFERROR(INDEX(輔助計算!$D:$D, (MATCH(303, 輔助計算!$E$2:$E$801, 0)+1)), "")</f>
        <v/>
      </c>
      <c r="I304" s="10">
        <f>IFERROR(IF(INDEX(ERP資料!$O:$O, (MATCH(303, 輔助計算!$E$2:$E$801, 0)+1))="","",INDEX(ERP資料!$O:$O, (MATCH(303, 輔助計算!$E$2:$E$801, 0)+1))), "")</f>
        <v/>
      </c>
      <c r="J304" s="15">
        <f>IFERROR(IF(INDEX(輔助計算!$D:$D,(MATCH(303, 輔助計算!$E$2:$E$801, 0)+1))="","",INDEX(輔助計算!$D:$D,(MATCH(303, 輔助計算!$E$2:$E$801, 0)+1))*INDEX(ERP資料!$O:$O,(MATCH(303, 輔助計算!$E$2:$E$801, 0)+1))), "")</f>
        <v/>
      </c>
      <c r="K304" s="16" t="n"/>
      <c r="L304" s="16" t="n"/>
      <c r="M304" s="17" t="n"/>
    </row>
    <row r="305">
      <c r="A305" s="14">
        <f>IFERROR(IF(INDEX(ERP資料!$B:$B, (MATCH(304, 輔助計算!$E$2:$E$801, 0)+1))="","",INDEX(ERP資料!$B:$B, (MATCH(304, 輔助計算!$E$2:$E$801, 0)+1))), "")</f>
        <v/>
      </c>
      <c r="B305" s="10">
        <f>IFERROR(IF(INDEX(ERP資料!$A:$A, (MATCH(304, 輔助計算!$E$2:$E$801, 0)+1))="","",INDEX(ERP資料!$A:$A, (MATCH(304, 輔助計算!$E$2:$E$801, 0)+1))), "")</f>
        <v/>
      </c>
      <c r="C305" s="10">
        <f>IFERROR(IF(INDEX(ERP資料!$S:$S, (MATCH(304, 輔助計算!$E$2:$E$801, 0)+1))="","",INDEX(ERP資料!$S:$S, (MATCH(304, 輔助計算!$E$2:$E$801, 0)+1))), "")</f>
        <v/>
      </c>
      <c r="D305" s="10">
        <f>IFERROR(IF(INDEX(ERP資料!$E:$E, (MATCH(304, 輔助計算!$E$2:$E$801, 0)+1))="","",TRIM(INDEX(ERP資料!$E:$E, (MATCH(304, 輔助計算!$E$2:$E$801, 0)+1)))), "")</f>
        <v/>
      </c>
      <c r="E305" s="10">
        <f>IFERROR(IF(INDEX(ERP資料!$F:$F, (MATCH(304, 輔助計算!$E$2:$E$801, 0)+1))="","",INDEX(ERP資料!$F:$F, (MATCH(304, 輔助計算!$E$2:$E$801, 0)+1))), "")</f>
        <v/>
      </c>
      <c r="F305" s="10">
        <f>IFERROR(IF(INDEX(ERP資料!$G:$G, (MATCH(304, 輔助計算!$E$2:$E$801, 0)+1))="","",INDEX(ERP資料!$G:$G, (MATCH(304, 輔助計算!$E$2:$E$801, 0)+1))), "")</f>
        <v/>
      </c>
      <c r="G305" s="10">
        <f>IFERROR(IF(INDEX(ERP資料!$H:$H, (MATCH(304, 輔助計算!$E$2:$E$801, 0)+1))="","",INDEX(ERP資料!$H:$H, (MATCH(304, 輔助計算!$E$2:$E$801, 0)+1))), "")</f>
        <v/>
      </c>
      <c r="H305" s="15">
        <f>IFERROR(INDEX(輔助計算!$D:$D, (MATCH(304, 輔助計算!$E$2:$E$801, 0)+1)), "")</f>
        <v/>
      </c>
      <c r="I305" s="10">
        <f>IFERROR(IF(INDEX(ERP資料!$O:$O, (MATCH(304, 輔助計算!$E$2:$E$801, 0)+1))="","",INDEX(ERP資料!$O:$O, (MATCH(304, 輔助計算!$E$2:$E$801, 0)+1))), "")</f>
        <v/>
      </c>
      <c r="J305" s="15">
        <f>IFERROR(IF(INDEX(輔助計算!$D:$D,(MATCH(304, 輔助計算!$E$2:$E$801, 0)+1))="","",INDEX(輔助計算!$D:$D,(MATCH(304, 輔助計算!$E$2:$E$801, 0)+1))*INDEX(ERP資料!$O:$O,(MATCH(304, 輔助計算!$E$2:$E$801, 0)+1))), "")</f>
        <v/>
      </c>
      <c r="K305" s="16" t="n"/>
      <c r="L305" s="16" t="n"/>
      <c r="M305" s="17" t="n"/>
    </row>
    <row r="306">
      <c r="A306" s="14">
        <f>IFERROR(IF(INDEX(ERP資料!$B:$B, (MATCH(305, 輔助計算!$E$2:$E$801, 0)+1))="","",INDEX(ERP資料!$B:$B, (MATCH(305, 輔助計算!$E$2:$E$801, 0)+1))), "")</f>
        <v/>
      </c>
      <c r="B306" s="10">
        <f>IFERROR(IF(INDEX(ERP資料!$A:$A, (MATCH(305, 輔助計算!$E$2:$E$801, 0)+1))="","",INDEX(ERP資料!$A:$A, (MATCH(305, 輔助計算!$E$2:$E$801, 0)+1))), "")</f>
        <v/>
      </c>
      <c r="C306" s="10">
        <f>IFERROR(IF(INDEX(ERP資料!$S:$S, (MATCH(305, 輔助計算!$E$2:$E$801, 0)+1))="","",INDEX(ERP資料!$S:$S, (MATCH(305, 輔助計算!$E$2:$E$801, 0)+1))), "")</f>
        <v/>
      </c>
      <c r="D306" s="10">
        <f>IFERROR(IF(INDEX(ERP資料!$E:$E, (MATCH(305, 輔助計算!$E$2:$E$801, 0)+1))="","",TRIM(INDEX(ERP資料!$E:$E, (MATCH(305, 輔助計算!$E$2:$E$801, 0)+1)))), "")</f>
        <v/>
      </c>
      <c r="E306" s="10">
        <f>IFERROR(IF(INDEX(ERP資料!$F:$F, (MATCH(305, 輔助計算!$E$2:$E$801, 0)+1))="","",INDEX(ERP資料!$F:$F, (MATCH(305, 輔助計算!$E$2:$E$801, 0)+1))), "")</f>
        <v/>
      </c>
      <c r="F306" s="10">
        <f>IFERROR(IF(INDEX(ERP資料!$G:$G, (MATCH(305, 輔助計算!$E$2:$E$801, 0)+1))="","",INDEX(ERP資料!$G:$G, (MATCH(305, 輔助計算!$E$2:$E$801, 0)+1))), "")</f>
        <v/>
      </c>
      <c r="G306" s="10">
        <f>IFERROR(IF(INDEX(ERP資料!$H:$H, (MATCH(305, 輔助計算!$E$2:$E$801, 0)+1))="","",INDEX(ERP資料!$H:$H, (MATCH(305, 輔助計算!$E$2:$E$801, 0)+1))), "")</f>
        <v/>
      </c>
      <c r="H306" s="15">
        <f>IFERROR(INDEX(輔助計算!$D:$D, (MATCH(305, 輔助計算!$E$2:$E$801, 0)+1)), "")</f>
        <v/>
      </c>
      <c r="I306" s="10">
        <f>IFERROR(IF(INDEX(ERP資料!$O:$O, (MATCH(305, 輔助計算!$E$2:$E$801, 0)+1))="","",INDEX(ERP資料!$O:$O, (MATCH(305, 輔助計算!$E$2:$E$801, 0)+1))), "")</f>
        <v/>
      </c>
      <c r="J306" s="15">
        <f>IFERROR(IF(INDEX(輔助計算!$D:$D,(MATCH(305, 輔助計算!$E$2:$E$801, 0)+1))="","",INDEX(輔助計算!$D:$D,(MATCH(305, 輔助計算!$E$2:$E$801, 0)+1))*INDEX(ERP資料!$O:$O,(MATCH(305, 輔助計算!$E$2:$E$801, 0)+1))), "")</f>
        <v/>
      </c>
      <c r="K306" s="16" t="n"/>
      <c r="L306" s="16" t="n"/>
      <c r="M306" s="17" t="n"/>
    </row>
    <row r="307">
      <c r="A307" s="14">
        <f>IFERROR(IF(INDEX(ERP資料!$B:$B, (MATCH(306, 輔助計算!$E$2:$E$801, 0)+1))="","",INDEX(ERP資料!$B:$B, (MATCH(306, 輔助計算!$E$2:$E$801, 0)+1))), "")</f>
        <v/>
      </c>
      <c r="B307" s="10">
        <f>IFERROR(IF(INDEX(ERP資料!$A:$A, (MATCH(306, 輔助計算!$E$2:$E$801, 0)+1))="","",INDEX(ERP資料!$A:$A, (MATCH(306, 輔助計算!$E$2:$E$801, 0)+1))), "")</f>
        <v/>
      </c>
      <c r="C307" s="10">
        <f>IFERROR(IF(INDEX(ERP資料!$S:$S, (MATCH(306, 輔助計算!$E$2:$E$801, 0)+1))="","",INDEX(ERP資料!$S:$S, (MATCH(306, 輔助計算!$E$2:$E$801, 0)+1))), "")</f>
        <v/>
      </c>
      <c r="D307" s="10">
        <f>IFERROR(IF(INDEX(ERP資料!$E:$E, (MATCH(306, 輔助計算!$E$2:$E$801, 0)+1))="","",TRIM(INDEX(ERP資料!$E:$E, (MATCH(306, 輔助計算!$E$2:$E$801, 0)+1)))), "")</f>
        <v/>
      </c>
      <c r="E307" s="10">
        <f>IFERROR(IF(INDEX(ERP資料!$F:$F, (MATCH(306, 輔助計算!$E$2:$E$801, 0)+1))="","",INDEX(ERP資料!$F:$F, (MATCH(306, 輔助計算!$E$2:$E$801, 0)+1))), "")</f>
        <v/>
      </c>
      <c r="F307" s="10">
        <f>IFERROR(IF(INDEX(ERP資料!$G:$G, (MATCH(306, 輔助計算!$E$2:$E$801, 0)+1))="","",INDEX(ERP資料!$G:$G, (MATCH(306, 輔助計算!$E$2:$E$801, 0)+1))), "")</f>
        <v/>
      </c>
      <c r="G307" s="10">
        <f>IFERROR(IF(INDEX(ERP資料!$H:$H, (MATCH(306, 輔助計算!$E$2:$E$801, 0)+1))="","",INDEX(ERP資料!$H:$H, (MATCH(306, 輔助計算!$E$2:$E$801, 0)+1))), "")</f>
        <v/>
      </c>
      <c r="H307" s="15">
        <f>IFERROR(INDEX(輔助計算!$D:$D, (MATCH(306, 輔助計算!$E$2:$E$801, 0)+1)), "")</f>
        <v/>
      </c>
      <c r="I307" s="10">
        <f>IFERROR(IF(INDEX(ERP資料!$O:$O, (MATCH(306, 輔助計算!$E$2:$E$801, 0)+1))="","",INDEX(ERP資料!$O:$O, (MATCH(306, 輔助計算!$E$2:$E$801, 0)+1))), "")</f>
        <v/>
      </c>
      <c r="J307" s="15">
        <f>IFERROR(IF(INDEX(輔助計算!$D:$D,(MATCH(306, 輔助計算!$E$2:$E$801, 0)+1))="","",INDEX(輔助計算!$D:$D,(MATCH(306, 輔助計算!$E$2:$E$801, 0)+1))*INDEX(ERP資料!$O:$O,(MATCH(306, 輔助計算!$E$2:$E$801, 0)+1))), "")</f>
        <v/>
      </c>
      <c r="K307" s="16" t="n"/>
      <c r="L307" s="16" t="n"/>
      <c r="M307" s="17" t="n"/>
    </row>
    <row r="308">
      <c r="A308" s="14">
        <f>IFERROR(IF(INDEX(ERP資料!$B:$B, (MATCH(307, 輔助計算!$E$2:$E$801, 0)+1))="","",INDEX(ERP資料!$B:$B, (MATCH(307, 輔助計算!$E$2:$E$801, 0)+1))), "")</f>
        <v/>
      </c>
      <c r="B308" s="10">
        <f>IFERROR(IF(INDEX(ERP資料!$A:$A, (MATCH(307, 輔助計算!$E$2:$E$801, 0)+1))="","",INDEX(ERP資料!$A:$A, (MATCH(307, 輔助計算!$E$2:$E$801, 0)+1))), "")</f>
        <v/>
      </c>
      <c r="C308" s="10">
        <f>IFERROR(IF(INDEX(ERP資料!$S:$S, (MATCH(307, 輔助計算!$E$2:$E$801, 0)+1))="","",INDEX(ERP資料!$S:$S, (MATCH(307, 輔助計算!$E$2:$E$801, 0)+1))), "")</f>
        <v/>
      </c>
      <c r="D308" s="10">
        <f>IFERROR(IF(INDEX(ERP資料!$E:$E, (MATCH(307, 輔助計算!$E$2:$E$801, 0)+1))="","",TRIM(INDEX(ERP資料!$E:$E, (MATCH(307, 輔助計算!$E$2:$E$801, 0)+1)))), "")</f>
        <v/>
      </c>
      <c r="E308" s="10">
        <f>IFERROR(IF(INDEX(ERP資料!$F:$F, (MATCH(307, 輔助計算!$E$2:$E$801, 0)+1))="","",INDEX(ERP資料!$F:$F, (MATCH(307, 輔助計算!$E$2:$E$801, 0)+1))), "")</f>
        <v/>
      </c>
      <c r="F308" s="10">
        <f>IFERROR(IF(INDEX(ERP資料!$G:$G, (MATCH(307, 輔助計算!$E$2:$E$801, 0)+1))="","",INDEX(ERP資料!$G:$G, (MATCH(307, 輔助計算!$E$2:$E$801, 0)+1))), "")</f>
        <v/>
      </c>
      <c r="G308" s="10">
        <f>IFERROR(IF(INDEX(ERP資料!$H:$H, (MATCH(307, 輔助計算!$E$2:$E$801, 0)+1))="","",INDEX(ERP資料!$H:$H, (MATCH(307, 輔助計算!$E$2:$E$801, 0)+1))), "")</f>
        <v/>
      </c>
      <c r="H308" s="15">
        <f>IFERROR(INDEX(輔助計算!$D:$D, (MATCH(307, 輔助計算!$E$2:$E$801, 0)+1)), "")</f>
        <v/>
      </c>
      <c r="I308" s="10">
        <f>IFERROR(IF(INDEX(ERP資料!$O:$O, (MATCH(307, 輔助計算!$E$2:$E$801, 0)+1))="","",INDEX(ERP資料!$O:$O, (MATCH(307, 輔助計算!$E$2:$E$801, 0)+1))), "")</f>
        <v/>
      </c>
      <c r="J308" s="15">
        <f>IFERROR(IF(INDEX(輔助計算!$D:$D,(MATCH(307, 輔助計算!$E$2:$E$801, 0)+1))="","",INDEX(輔助計算!$D:$D,(MATCH(307, 輔助計算!$E$2:$E$801, 0)+1))*INDEX(ERP資料!$O:$O,(MATCH(307, 輔助計算!$E$2:$E$801, 0)+1))), "")</f>
        <v/>
      </c>
      <c r="K308" s="16" t="n"/>
      <c r="L308" s="16" t="n"/>
      <c r="M308" s="17" t="n"/>
    </row>
    <row r="309">
      <c r="A309" s="14">
        <f>IFERROR(IF(INDEX(ERP資料!$B:$B, (MATCH(308, 輔助計算!$E$2:$E$801, 0)+1))="","",INDEX(ERP資料!$B:$B, (MATCH(308, 輔助計算!$E$2:$E$801, 0)+1))), "")</f>
        <v/>
      </c>
      <c r="B309" s="10">
        <f>IFERROR(IF(INDEX(ERP資料!$A:$A, (MATCH(308, 輔助計算!$E$2:$E$801, 0)+1))="","",INDEX(ERP資料!$A:$A, (MATCH(308, 輔助計算!$E$2:$E$801, 0)+1))), "")</f>
        <v/>
      </c>
      <c r="C309" s="10">
        <f>IFERROR(IF(INDEX(ERP資料!$S:$S, (MATCH(308, 輔助計算!$E$2:$E$801, 0)+1))="","",INDEX(ERP資料!$S:$S, (MATCH(308, 輔助計算!$E$2:$E$801, 0)+1))), "")</f>
        <v/>
      </c>
      <c r="D309" s="10">
        <f>IFERROR(IF(INDEX(ERP資料!$E:$E, (MATCH(308, 輔助計算!$E$2:$E$801, 0)+1))="","",TRIM(INDEX(ERP資料!$E:$E, (MATCH(308, 輔助計算!$E$2:$E$801, 0)+1)))), "")</f>
        <v/>
      </c>
      <c r="E309" s="10">
        <f>IFERROR(IF(INDEX(ERP資料!$F:$F, (MATCH(308, 輔助計算!$E$2:$E$801, 0)+1))="","",INDEX(ERP資料!$F:$F, (MATCH(308, 輔助計算!$E$2:$E$801, 0)+1))), "")</f>
        <v/>
      </c>
      <c r="F309" s="10">
        <f>IFERROR(IF(INDEX(ERP資料!$G:$G, (MATCH(308, 輔助計算!$E$2:$E$801, 0)+1))="","",INDEX(ERP資料!$G:$G, (MATCH(308, 輔助計算!$E$2:$E$801, 0)+1))), "")</f>
        <v/>
      </c>
      <c r="G309" s="10">
        <f>IFERROR(IF(INDEX(ERP資料!$H:$H, (MATCH(308, 輔助計算!$E$2:$E$801, 0)+1))="","",INDEX(ERP資料!$H:$H, (MATCH(308, 輔助計算!$E$2:$E$801, 0)+1))), "")</f>
        <v/>
      </c>
      <c r="H309" s="15">
        <f>IFERROR(INDEX(輔助計算!$D:$D, (MATCH(308, 輔助計算!$E$2:$E$801, 0)+1)), "")</f>
        <v/>
      </c>
      <c r="I309" s="10">
        <f>IFERROR(IF(INDEX(ERP資料!$O:$O, (MATCH(308, 輔助計算!$E$2:$E$801, 0)+1))="","",INDEX(ERP資料!$O:$O, (MATCH(308, 輔助計算!$E$2:$E$801, 0)+1))), "")</f>
        <v/>
      </c>
      <c r="J309" s="15">
        <f>IFERROR(IF(INDEX(輔助計算!$D:$D,(MATCH(308, 輔助計算!$E$2:$E$801, 0)+1))="","",INDEX(輔助計算!$D:$D,(MATCH(308, 輔助計算!$E$2:$E$801, 0)+1))*INDEX(ERP資料!$O:$O,(MATCH(308, 輔助計算!$E$2:$E$801, 0)+1))), "")</f>
        <v/>
      </c>
      <c r="K309" s="16" t="n"/>
      <c r="L309" s="16" t="n"/>
      <c r="M309" s="17" t="n"/>
    </row>
    <row r="310">
      <c r="A310" s="14">
        <f>IFERROR(IF(INDEX(ERP資料!$B:$B, (MATCH(309, 輔助計算!$E$2:$E$801, 0)+1))="","",INDEX(ERP資料!$B:$B, (MATCH(309, 輔助計算!$E$2:$E$801, 0)+1))), "")</f>
        <v/>
      </c>
      <c r="B310" s="10">
        <f>IFERROR(IF(INDEX(ERP資料!$A:$A, (MATCH(309, 輔助計算!$E$2:$E$801, 0)+1))="","",INDEX(ERP資料!$A:$A, (MATCH(309, 輔助計算!$E$2:$E$801, 0)+1))), "")</f>
        <v/>
      </c>
      <c r="C310" s="10">
        <f>IFERROR(IF(INDEX(ERP資料!$S:$S, (MATCH(309, 輔助計算!$E$2:$E$801, 0)+1))="","",INDEX(ERP資料!$S:$S, (MATCH(309, 輔助計算!$E$2:$E$801, 0)+1))), "")</f>
        <v/>
      </c>
      <c r="D310" s="10">
        <f>IFERROR(IF(INDEX(ERP資料!$E:$E, (MATCH(309, 輔助計算!$E$2:$E$801, 0)+1))="","",TRIM(INDEX(ERP資料!$E:$E, (MATCH(309, 輔助計算!$E$2:$E$801, 0)+1)))), "")</f>
        <v/>
      </c>
      <c r="E310" s="10">
        <f>IFERROR(IF(INDEX(ERP資料!$F:$F, (MATCH(309, 輔助計算!$E$2:$E$801, 0)+1))="","",INDEX(ERP資料!$F:$F, (MATCH(309, 輔助計算!$E$2:$E$801, 0)+1))), "")</f>
        <v/>
      </c>
      <c r="F310" s="10">
        <f>IFERROR(IF(INDEX(ERP資料!$G:$G, (MATCH(309, 輔助計算!$E$2:$E$801, 0)+1))="","",INDEX(ERP資料!$G:$G, (MATCH(309, 輔助計算!$E$2:$E$801, 0)+1))), "")</f>
        <v/>
      </c>
      <c r="G310" s="10">
        <f>IFERROR(IF(INDEX(ERP資料!$H:$H, (MATCH(309, 輔助計算!$E$2:$E$801, 0)+1))="","",INDEX(ERP資料!$H:$H, (MATCH(309, 輔助計算!$E$2:$E$801, 0)+1))), "")</f>
        <v/>
      </c>
      <c r="H310" s="15">
        <f>IFERROR(INDEX(輔助計算!$D:$D, (MATCH(309, 輔助計算!$E$2:$E$801, 0)+1)), "")</f>
        <v/>
      </c>
      <c r="I310" s="10">
        <f>IFERROR(IF(INDEX(ERP資料!$O:$O, (MATCH(309, 輔助計算!$E$2:$E$801, 0)+1))="","",INDEX(ERP資料!$O:$O, (MATCH(309, 輔助計算!$E$2:$E$801, 0)+1))), "")</f>
        <v/>
      </c>
      <c r="J310" s="15">
        <f>IFERROR(IF(INDEX(輔助計算!$D:$D,(MATCH(309, 輔助計算!$E$2:$E$801, 0)+1))="","",INDEX(輔助計算!$D:$D,(MATCH(309, 輔助計算!$E$2:$E$801, 0)+1))*INDEX(ERP資料!$O:$O,(MATCH(309, 輔助計算!$E$2:$E$801, 0)+1))), "")</f>
        <v/>
      </c>
      <c r="K310" s="16" t="n"/>
      <c r="L310" s="16" t="n"/>
      <c r="M310" s="17" t="n"/>
    </row>
    <row r="311">
      <c r="A311" s="14">
        <f>IFERROR(IF(INDEX(ERP資料!$B:$B, (MATCH(310, 輔助計算!$E$2:$E$801, 0)+1))="","",INDEX(ERP資料!$B:$B, (MATCH(310, 輔助計算!$E$2:$E$801, 0)+1))), "")</f>
        <v/>
      </c>
      <c r="B311" s="10">
        <f>IFERROR(IF(INDEX(ERP資料!$A:$A, (MATCH(310, 輔助計算!$E$2:$E$801, 0)+1))="","",INDEX(ERP資料!$A:$A, (MATCH(310, 輔助計算!$E$2:$E$801, 0)+1))), "")</f>
        <v/>
      </c>
      <c r="C311" s="10">
        <f>IFERROR(IF(INDEX(ERP資料!$S:$S, (MATCH(310, 輔助計算!$E$2:$E$801, 0)+1))="","",INDEX(ERP資料!$S:$S, (MATCH(310, 輔助計算!$E$2:$E$801, 0)+1))), "")</f>
        <v/>
      </c>
      <c r="D311" s="10">
        <f>IFERROR(IF(INDEX(ERP資料!$E:$E, (MATCH(310, 輔助計算!$E$2:$E$801, 0)+1))="","",TRIM(INDEX(ERP資料!$E:$E, (MATCH(310, 輔助計算!$E$2:$E$801, 0)+1)))), "")</f>
        <v/>
      </c>
      <c r="E311" s="10">
        <f>IFERROR(IF(INDEX(ERP資料!$F:$F, (MATCH(310, 輔助計算!$E$2:$E$801, 0)+1))="","",INDEX(ERP資料!$F:$F, (MATCH(310, 輔助計算!$E$2:$E$801, 0)+1))), "")</f>
        <v/>
      </c>
      <c r="F311" s="10">
        <f>IFERROR(IF(INDEX(ERP資料!$G:$G, (MATCH(310, 輔助計算!$E$2:$E$801, 0)+1))="","",INDEX(ERP資料!$G:$G, (MATCH(310, 輔助計算!$E$2:$E$801, 0)+1))), "")</f>
        <v/>
      </c>
      <c r="G311" s="10">
        <f>IFERROR(IF(INDEX(ERP資料!$H:$H, (MATCH(310, 輔助計算!$E$2:$E$801, 0)+1))="","",INDEX(ERP資料!$H:$H, (MATCH(310, 輔助計算!$E$2:$E$801, 0)+1))), "")</f>
        <v/>
      </c>
      <c r="H311" s="15">
        <f>IFERROR(INDEX(輔助計算!$D:$D, (MATCH(310, 輔助計算!$E$2:$E$801, 0)+1)), "")</f>
        <v/>
      </c>
      <c r="I311" s="10">
        <f>IFERROR(IF(INDEX(ERP資料!$O:$O, (MATCH(310, 輔助計算!$E$2:$E$801, 0)+1))="","",INDEX(ERP資料!$O:$O, (MATCH(310, 輔助計算!$E$2:$E$801, 0)+1))), "")</f>
        <v/>
      </c>
      <c r="J311" s="15">
        <f>IFERROR(IF(INDEX(輔助計算!$D:$D,(MATCH(310, 輔助計算!$E$2:$E$801, 0)+1))="","",INDEX(輔助計算!$D:$D,(MATCH(310, 輔助計算!$E$2:$E$801, 0)+1))*INDEX(ERP資料!$O:$O,(MATCH(310, 輔助計算!$E$2:$E$801, 0)+1))), "")</f>
        <v/>
      </c>
      <c r="K311" s="16" t="n"/>
      <c r="L311" s="16" t="n"/>
      <c r="M311" s="17" t="n"/>
    </row>
    <row r="312">
      <c r="A312" s="14">
        <f>IFERROR(IF(INDEX(ERP資料!$B:$B, (MATCH(311, 輔助計算!$E$2:$E$801, 0)+1))="","",INDEX(ERP資料!$B:$B, (MATCH(311, 輔助計算!$E$2:$E$801, 0)+1))), "")</f>
        <v/>
      </c>
      <c r="B312" s="10">
        <f>IFERROR(IF(INDEX(ERP資料!$A:$A, (MATCH(311, 輔助計算!$E$2:$E$801, 0)+1))="","",INDEX(ERP資料!$A:$A, (MATCH(311, 輔助計算!$E$2:$E$801, 0)+1))), "")</f>
        <v/>
      </c>
      <c r="C312" s="10">
        <f>IFERROR(IF(INDEX(ERP資料!$S:$S, (MATCH(311, 輔助計算!$E$2:$E$801, 0)+1))="","",INDEX(ERP資料!$S:$S, (MATCH(311, 輔助計算!$E$2:$E$801, 0)+1))), "")</f>
        <v/>
      </c>
      <c r="D312" s="10">
        <f>IFERROR(IF(INDEX(ERP資料!$E:$E, (MATCH(311, 輔助計算!$E$2:$E$801, 0)+1))="","",TRIM(INDEX(ERP資料!$E:$E, (MATCH(311, 輔助計算!$E$2:$E$801, 0)+1)))), "")</f>
        <v/>
      </c>
      <c r="E312" s="10">
        <f>IFERROR(IF(INDEX(ERP資料!$F:$F, (MATCH(311, 輔助計算!$E$2:$E$801, 0)+1))="","",INDEX(ERP資料!$F:$F, (MATCH(311, 輔助計算!$E$2:$E$801, 0)+1))), "")</f>
        <v/>
      </c>
      <c r="F312" s="10">
        <f>IFERROR(IF(INDEX(ERP資料!$G:$G, (MATCH(311, 輔助計算!$E$2:$E$801, 0)+1))="","",INDEX(ERP資料!$G:$G, (MATCH(311, 輔助計算!$E$2:$E$801, 0)+1))), "")</f>
        <v/>
      </c>
      <c r="G312" s="10">
        <f>IFERROR(IF(INDEX(ERP資料!$H:$H, (MATCH(311, 輔助計算!$E$2:$E$801, 0)+1))="","",INDEX(ERP資料!$H:$H, (MATCH(311, 輔助計算!$E$2:$E$801, 0)+1))), "")</f>
        <v/>
      </c>
      <c r="H312" s="15">
        <f>IFERROR(INDEX(輔助計算!$D:$D, (MATCH(311, 輔助計算!$E$2:$E$801, 0)+1)), "")</f>
        <v/>
      </c>
      <c r="I312" s="10">
        <f>IFERROR(IF(INDEX(ERP資料!$O:$O, (MATCH(311, 輔助計算!$E$2:$E$801, 0)+1))="","",INDEX(ERP資料!$O:$O, (MATCH(311, 輔助計算!$E$2:$E$801, 0)+1))), "")</f>
        <v/>
      </c>
      <c r="J312" s="15">
        <f>IFERROR(IF(INDEX(輔助計算!$D:$D,(MATCH(311, 輔助計算!$E$2:$E$801, 0)+1))="","",INDEX(輔助計算!$D:$D,(MATCH(311, 輔助計算!$E$2:$E$801, 0)+1))*INDEX(ERP資料!$O:$O,(MATCH(311, 輔助計算!$E$2:$E$801, 0)+1))), "")</f>
        <v/>
      </c>
      <c r="K312" s="16" t="n"/>
      <c r="L312" s="16" t="n"/>
      <c r="M312" s="17" t="n"/>
    </row>
    <row r="313">
      <c r="A313" s="14">
        <f>IFERROR(IF(INDEX(ERP資料!$B:$B, (MATCH(312, 輔助計算!$E$2:$E$801, 0)+1))="","",INDEX(ERP資料!$B:$B, (MATCH(312, 輔助計算!$E$2:$E$801, 0)+1))), "")</f>
        <v/>
      </c>
      <c r="B313" s="10">
        <f>IFERROR(IF(INDEX(ERP資料!$A:$A, (MATCH(312, 輔助計算!$E$2:$E$801, 0)+1))="","",INDEX(ERP資料!$A:$A, (MATCH(312, 輔助計算!$E$2:$E$801, 0)+1))), "")</f>
        <v/>
      </c>
      <c r="C313" s="10">
        <f>IFERROR(IF(INDEX(ERP資料!$S:$S, (MATCH(312, 輔助計算!$E$2:$E$801, 0)+1))="","",INDEX(ERP資料!$S:$S, (MATCH(312, 輔助計算!$E$2:$E$801, 0)+1))), "")</f>
        <v/>
      </c>
      <c r="D313" s="10">
        <f>IFERROR(IF(INDEX(ERP資料!$E:$E, (MATCH(312, 輔助計算!$E$2:$E$801, 0)+1))="","",TRIM(INDEX(ERP資料!$E:$E, (MATCH(312, 輔助計算!$E$2:$E$801, 0)+1)))), "")</f>
        <v/>
      </c>
      <c r="E313" s="10">
        <f>IFERROR(IF(INDEX(ERP資料!$F:$F, (MATCH(312, 輔助計算!$E$2:$E$801, 0)+1))="","",INDEX(ERP資料!$F:$F, (MATCH(312, 輔助計算!$E$2:$E$801, 0)+1))), "")</f>
        <v/>
      </c>
      <c r="F313" s="10">
        <f>IFERROR(IF(INDEX(ERP資料!$G:$G, (MATCH(312, 輔助計算!$E$2:$E$801, 0)+1))="","",INDEX(ERP資料!$G:$G, (MATCH(312, 輔助計算!$E$2:$E$801, 0)+1))), "")</f>
        <v/>
      </c>
      <c r="G313" s="10">
        <f>IFERROR(IF(INDEX(ERP資料!$H:$H, (MATCH(312, 輔助計算!$E$2:$E$801, 0)+1))="","",INDEX(ERP資料!$H:$H, (MATCH(312, 輔助計算!$E$2:$E$801, 0)+1))), "")</f>
        <v/>
      </c>
      <c r="H313" s="15">
        <f>IFERROR(INDEX(輔助計算!$D:$D, (MATCH(312, 輔助計算!$E$2:$E$801, 0)+1)), "")</f>
        <v/>
      </c>
      <c r="I313" s="10">
        <f>IFERROR(IF(INDEX(ERP資料!$O:$O, (MATCH(312, 輔助計算!$E$2:$E$801, 0)+1))="","",INDEX(ERP資料!$O:$O, (MATCH(312, 輔助計算!$E$2:$E$801, 0)+1))), "")</f>
        <v/>
      </c>
      <c r="J313" s="15">
        <f>IFERROR(IF(INDEX(輔助計算!$D:$D,(MATCH(312, 輔助計算!$E$2:$E$801, 0)+1))="","",INDEX(輔助計算!$D:$D,(MATCH(312, 輔助計算!$E$2:$E$801, 0)+1))*INDEX(ERP資料!$O:$O,(MATCH(312, 輔助計算!$E$2:$E$801, 0)+1))), "")</f>
        <v/>
      </c>
      <c r="K313" s="16" t="n"/>
      <c r="L313" s="16" t="n"/>
      <c r="M313" s="17" t="n"/>
    </row>
    <row r="314">
      <c r="A314" s="14">
        <f>IFERROR(IF(INDEX(ERP資料!$B:$B, (MATCH(313, 輔助計算!$E$2:$E$801, 0)+1))="","",INDEX(ERP資料!$B:$B, (MATCH(313, 輔助計算!$E$2:$E$801, 0)+1))), "")</f>
        <v/>
      </c>
      <c r="B314" s="10">
        <f>IFERROR(IF(INDEX(ERP資料!$A:$A, (MATCH(313, 輔助計算!$E$2:$E$801, 0)+1))="","",INDEX(ERP資料!$A:$A, (MATCH(313, 輔助計算!$E$2:$E$801, 0)+1))), "")</f>
        <v/>
      </c>
      <c r="C314" s="10">
        <f>IFERROR(IF(INDEX(ERP資料!$S:$S, (MATCH(313, 輔助計算!$E$2:$E$801, 0)+1))="","",INDEX(ERP資料!$S:$S, (MATCH(313, 輔助計算!$E$2:$E$801, 0)+1))), "")</f>
        <v/>
      </c>
      <c r="D314" s="10">
        <f>IFERROR(IF(INDEX(ERP資料!$E:$E, (MATCH(313, 輔助計算!$E$2:$E$801, 0)+1))="","",TRIM(INDEX(ERP資料!$E:$E, (MATCH(313, 輔助計算!$E$2:$E$801, 0)+1)))), "")</f>
        <v/>
      </c>
      <c r="E314" s="10">
        <f>IFERROR(IF(INDEX(ERP資料!$F:$F, (MATCH(313, 輔助計算!$E$2:$E$801, 0)+1))="","",INDEX(ERP資料!$F:$F, (MATCH(313, 輔助計算!$E$2:$E$801, 0)+1))), "")</f>
        <v/>
      </c>
      <c r="F314" s="10">
        <f>IFERROR(IF(INDEX(ERP資料!$G:$G, (MATCH(313, 輔助計算!$E$2:$E$801, 0)+1))="","",INDEX(ERP資料!$G:$G, (MATCH(313, 輔助計算!$E$2:$E$801, 0)+1))), "")</f>
        <v/>
      </c>
      <c r="G314" s="10">
        <f>IFERROR(IF(INDEX(ERP資料!$H:$H, (MATCH(313, 輔助計算!$E$2:$E$801, 0)+1))="","",INDEX(ERP資料!$H:$H, (MATCH(313, 輔助計算!$E$2:$E$801, 0)+1))), "")</f>
        <v/>
      </c>
      <c r="H314" s="15">
        <f>IFERROR(INDEX(輔助計算!$D:$D, (MATCH(313, 輔助計算!$E$2:$E$801, 0)+1)), "")</f>
        <v/>
      </c>
      <c r="I314" s="10">
        <f>IFERROR(IF(INDEX(ERP資料!$O:$O, (MATCH(313, 輔助計算!$E$2:$E$801, 0)+1))="","",INDEX(ERP資料!$O:$O, (MATCH(313, 輔助計算!$E$2:$E$801, 0)+1))), "")</f>
        <v/>
      </c>
      <c r="J314" s="15">
        <f>IFERROR(IF(INDEX(輔助計算!$D:$D,(MATCH(313, 輔助計算!$E$2:$E$801, 0)+1))="","",INDEX(輔助計算!$D:$D,(MATCH(313, 輔助計算!$E$2:$E$801, 0)+1))*INDEX(ERP資料!$O:$O,(MATCH(313, 輔助計算!$E$2:$E$801, 0)+1))), "")</f>
        <v/>
      </c>
      <c r="K314" s="16" t="n"/>
      <c r="L314" s="16" t="n"/>
      <c r="M314" s="17" t="n"/>
    </row>
    <row r="315">
      <c r="A315" s="14">
        <f>IFERROR(IF(INDEX(ERP資料!$B:$B, (MATCH(314, 輔助計算!$E$2:$E$801, 0)+1))="","",INDEX(ERP資料!$B:$B, (MATCH(314, 輔助計算!$E$2:$E$801, 0)+1))), "")</f>
        <v/>
      </c>
      <c r="B315" s="10">
        <f>IFERROR(IF(INDEX(ERP資料!$A:$A, (MATCH(314, 輔助計算!$E$2:$E$801, 0)+1))="","",INDEX(ERP資料!$A:$A, (MATCH(314, 輔助計算!$E$2:$E$801, 0)+1))), "")</f>
        <v/>
      </c>
      <c r="C315" s="10">
        <f>IFERROR(IF(INDEX(ERP資料!$S:$S, (MATCH(314, 輔助計算!$E$2:$E$801, 0)+1))="","",INDEX(ERP資料!$S:$S, (MATCH(314, 輔助計算!$E$2:$E$801, 0)+1))), "")</f>
        <v/>
      </c>
      <c r="D315" s="10">
        <f>IFERROR(IF(INDEX(ERP資料!$E:$E, (MATCH(314, 輔助計算!$E$2:$E$801, 0)+1))="","",TRIM(INDEX(ERP資料!$E:$E, (MATCH(314, 輔助計算!$E$2:$E$801, 0)+1)))), "")</f>
        <v/>
      </c>
      <c r="E315" s="10">
        <f>IFERROR(IF(INDEX(ERP資料!$F:$F, (MATCH(314, 輔助計算!$E$2:$E$801, 0)+1))="","",INDEX(ERP資料!$F:$F, (MATCH(314, 輔助計算!$E$2:$E$801, 0)+1))), "")</f>
        <v/>
      </c>
      <c r="F315" s="10">
        <f>IFERROR(IF(INDEX(ERP資料!$G:$G, (MATCH(314, 輔助計算!$E$2:$E$801, 0)+1))="","",INDEX(ERP資料!$G:$G, (MATCH(314, 輔助計算!$E$2:$E$801, 0)+1))), "")</f>
        <v/>
      </c>
      <c r="G315" s="10">
        <f>IFERROR(IF(INDEX(ERP資料!$H:$H, (MATCH(314, 輔助計算!$E$2:$E$801, 0)+1))="","",INDEX(ERP資料!$H:$H, (MATCH(314, 輔助計算!$E$2:$E$801, 0)+1))), "")</f>
        <v/>
      </c>
      <c r="H315" s="15">
        <f>IFERROR(INDEX(輔助計算!$D:$D, (MATCH(314, 輔助計算!$E$2:$E$801, 0)+1)), "")</f>
        <v/>
      </c>
      <c r="I315" s="10">
        <f>IFERROR(IF(INDEX(ERP資料!$O:$O, (MATCH(314, 輔助計算!$E$2:$E$801, 0)+1))="","",INDEX(ERP資料!$O:$O, (MATCH(314, 輔助計算!$E$2:$E$801, 0)+1))), "")</f>
        <v/>
      </c>
      <c r="J315" s="15">
        <f>IFERROR(IF(INDEX(輔助計算!$D:$D,(MATCH(314, 輔助計算!$E$2:$E$801, 0)+1))="","",INDEX(輔助計算!$D:$D,(MATCH(314, 輔助計算!$E$2:$E$801, 0)+1))*INDEX(ERP資料!$O:$O,(MATCH(314, 輔助計算!$E$2:$E$801, 0)+1))), "")</f>
        <v/>
      </c>
      <c r="K315" s="16" t="n"/>
      <c r="L315" s="16" t="n"/>
      <c r="M315" s="17" t="n"/>
    </row>
    <row r="316">
      <c r="A316" s="14">
        <f>IFERROR(IF(INDEX(ERP資料!$B:$B, (MATCH(315, 輔助計算!$E$2:$E$801, 0)+1))="","",INDEX(ERP資料!$B:$B, (MATCH(315, 輔助計算!$E$2:$E$801, 0)+1))), "")</f>
        <v/>
      </c>
      <c r="B316" s="10">
        <f>IFERROR(IF(INDEX(ERP資料!$A:$A, (MATCH(315, 輔助計算!$E$2:$E$801, 0)+1))="","",INDEX(ERP資料!$A:$A, (MATCH(315, 輔助計算!$E$2:$E$801, 0)+1))), "")</f>
        <v/>
      </c>
      <c r="C316" s="10">
        <f>IFERROR(IF(INDEX(ERP資料!$S:$S, (MATCH(315, 輔助計算!$E$2:$E$801, 0)+1))="","",INDEX(ERP資料!$S:$S, (MATCH(315, 輔助計算!$E$2:$E$801, 0)+1))), "")</f>
        <v/>
      </c>
      <c r="D316" s="10">
        <f>IFERROR(IF(INDEX(ERP資料!$E:$E, (MATCH(315, 輔助計算!$E$2:$E$801, 0)+1))="","",TRIM(INDEX(ERP資料!$E:$E, (MATCH(315, 輔助計算!$E$2:$E$801, 0)+1)))), "")</f>
        <v/>
      </c>
      <c r="E316" s="10">
        <f>IFERROR(IF(INDEX(ERP資料!$F:$F, (MATCH(315, 輔助計算!$E$2:$E$801, 0)+1))="","",INDEX(ERP資料!$F:$F, (MATCH(315, 輔助計算!$E$2:$E$801, 0)+1))), "")</f>
        <v/>
      </c>
      <c r="F316" s="10">
        <f>IFERROR(IF(INDEX(ERP資料!$G:$G, (MATCH(315, 輔助計算!$E$2:$E$801, 0)+1))="","",INDEX(ERP資料!$G:$G, (MATCH(315, 輔助計算!$E$2:$E$801, 0)+1))), "")</f>
        <v/>
      </c>
      <c r="G316" s="10">
        <f>IFERROR(IF(INDEX(ERP資料!$H:$H, (MATCH(315, 輔助計算!$E$2:$E$801, 0)+1))="","",INDEX(ERP資料!$H:$H, (MATCH(315, 輔助計算!$E$2:$E$801, 0)+1))), "")</f>
        <v/>
      </c>
      <c r="H316" s="15">
        <f>IFERROR(INDEX(輔助計算!$D:$D, (MATCH(315, 輔助計算!$E$2:$E$801, 0)+1)), "")</f>
        <v/>
      </c>
      <c r="I316" s="10">
        <f>IFERROR(IF(INDEX(ERP資料!$O:$O, (MATCH(315, 輔助計算!$E$2:$E$801, 0)+1))="","",INDEX(ERP資料!$O:$O, (MATCH(315, 輔助計算!$E$2:$E$801, 0)+1))), "")</f>
        <v/>
      </c>
      <c r="J316" s="15">
        <f>IFERROR(IF(INDEX(輔助計算!$D:$D,(MATCH(315, 輔助計算!$E$2:$E$801, 0)+1))="","",INDEX(輔助計算!$D:$D,(MATCH(315, 輔助計算!$E$2:$E$801, 0)+1))*INDEX(ERP資料!$O:$O,(MATCH(315, 輔助計算!$E$2:$E$801, 0)+1))), "")</f>
        <v/>
      </c>
      <c r="K316" s="16" t="n"/>
      <c r="L316" s="16" t="n"/>
      <c r="M316" s="17" t="n"/>
    </row>
    <row r="317">
      <c r="A317" s="14">
        <f>IFERROR(IF(INDEX(ERP資料!$B:$B, (MATCH(316, 輔助計算!$E$2:$E$801, 0)+1))="","",INDEX(ERP資料!$B:$B, (MATCH(316, 輔助計算!$E$2:$E$801, 0)+1))), "")</f>
        <v/>
      </c>
      <c r="B317" s="10">
        <f>IFERROR(IF(INDEX(ERP資料!$A:$A, (MATCH(316, 輔助計算!$E$2:$E$801, 0)+1))="","",INDEX(ERP資料!$A:$A, (MATCH(316, 輔助計算!$E$2:$E$801, 0)+1))), "")</f>
        <v/>
      </c>
      <c r="C317" s="10">
        <f>IFERROR(IF(INDEX(ERP資料!$S:$S, (MATCH(316, 輔助計算!$E$2:$E$801, 0)+1))="","",INDEX(ERP資料!$S:$S, (MATCH(316, 輔助計算!$E$2:$E$801, 0)+1))), "")</f>
        <v/>
      </c>
      <c r="D317" s="10">
        <f>IFERROR(IF(INDEX(ERP資料!$E:$E, (MATCH(316, 輔助計算!$E$2:$E$801, 0)+1))="","",TRIM(INDEX(ERP資料!$E:$E, (MATCH(316, 輔助計算!$E$2:$E$801, 0)+1)))), "")</f>
        <v/>
      </c>
      <c r="E317" s="10">
        <f>IFERROR(IF(INDEX(ERP資料!$F:$F, (MATCH(316, 輔助計算!$E$2:$E$801, 0)+1))="","",INDEX(ERP資料!$F:$F, (MATCH(316, 輔助計算!$E$2:$E$801, 0)+1))), "")</f>
        <v/>
      </c>
      <c r="F317" s="10">
        <f>IFERROR(IF(INDEX(ERP資料!$G:$G, (MATCH(316, 輔助計算!$E$2:$E$801, 0)+1))="","",INDEX(ERP資料!$G:$G, (MATCH(316, 輔助計算!$E$2:$E$801, 0)+1))), "")</f>
        <v/>
      </c>
      <c r="G317" s="10">
        <f>IFERROR(IF(INDEX(ERP資料!$H:$H, (MATCH(316, 輔助計算!$E$2:$E$801, 0)+1))="","",INDEX(ERP資料!$H:$H, (MATCH(316, 輔助計算!$E$2:$E$801, 0)+1))), "")</f>
        <v/>
      </c>
      <c r="H317" s="15">
        <f>IFERROR(INDEX(輔助計算!$D:$D, (MATCH(316, 輔助計算!$E$2:$E$801, 0)+1)), "")</f>
        <v/>
      </c>
      <c r="I317" s="10">
        <f>IFERROR(IF(INDEX(ERP資料!$O:$O, (MATCH(316, 輔助計算!$E$2:$E$801, 0)+1))="","",INDEX(ERP資料!$O:$O, (MATCH(316, 輔助計算!$E$2:$E$801, 0)+1))), "")</f>
        <v/>
      </c>
      <c r="J317" s="15">
        <f>IFERROR(IF(INDEX(輔助計算!$D:$D,(MATCH(316, 輔助計算!$E$2:$E$801, 0)+1))="","",INDEX(輔助計算!$D:$D,(MATCH(316, 輔助計算!$E$2:$E$801, 0)+1))*INDEX(ERP資料!$O:$O,(MATCH(316, 輔助計算!$E$2:$E$801, 0)+1))), "")</f>
        <v/>
      </c>
      <c r="K317" s="16" t="n"/>
      <c r="L317" s="16" t="n"/>
      <c r="M317" s="17" t="n"/>
    </row>
    <row r="318">
      <c r="A318" s="14">
        <f>IFERROR(IF(INDEX(ERP資料!$B:$B, (MATCH(317, 輔助計算!$E$2:$E$801, 0)+1))="","",INDEX(ERP資料!$B:$B, (MATCH(317, 輔助計算!$E$2:$E$801, 0)+1))), "")</f>
        <v/>
      </c>
      <c r="B318" s="10">
        <f>IFERROR(IF(INDEX(ERP資料!$A:$A, (MATCH(317, 輔助計算!$E$2:$E$801, 0)+1))="","",INDEX(ERP資料!$A:$A, (MATCH(317, 輔助計算!$E$2:$E$801, 0)+1))), "")</f>
        <v/>
      </c>
      <c r="C318" s="10">
        <f>IFERROR(IF(INDEX(ERP資料!$S:$S, (MATCH(317, 輔助計算!$E$2:$E$801, 0)+1))="","",INDEX(ERP資料!$S:$S, (MATCH(317, 輔助計算!$E$2:$E$801, 0)+1))), "")</f>
        <v/>
      </c>
      <c r="D318" s="10">
        <f>IFERROR(IF(INDEX(ERP資料!$E:$E, (MATCH(317, 輔助計算!$E$2:$E$801, 0)+1))="","",TRIM(INDEX(ERP資料!$E:$E, (MATCH(317, 輔助計算!$E$2:$E$801, 0)+1)))), "")</f>
        <v/>
      </c>
      <c r="E318" s="10">
        <f>IFERROR(IF(INDEX(ERP資料!$F:$F, (MATCH(317, 輔助計算!$E$2:$E$801, 0)+1))="","",INDEX(ERP資料!$F:$F, (MATCH(317, 輔助計算!$E$2:$E$801, 0)+1))), "")</f>
        <v/>
      </c>
      <c r="F318" s="10">
        <f>IFERROR(IF(INDEX(ERP資料!$G:$G, (MATCH(317, 輔助計算!$E$2:$E$801, 0)+1))="","",INDEX(ERP資料!$G:$G, (MATCH(317, 輔助計算!$E$2:$E$801, 0)+1))), "")</f>
        <v/>
      </c>
      <c r="G318" s="10">
        <f>IFERROR(IF(INDEX(ERP資料!$H:$H, (MATCH(317, 輔助計算!$E$2:$E$801, 0)+1))="","",INDEX(ERP資料!$H:$H, (MATCH(317, 輔助計算!$E$2:$E$801, 0)+1))), "")</f>
        <v/>
      </c>
      <c r="H318" s="15">
        <f>IFERROR(INDEX(輔助計算!$D:$D, (MATCH(317, 輔助計算!$E$2:$E$801, 0)+1)), "")</f>
        <v/>
      </c>
      <c r="I318" s="10">
        <f>IFERROR(IF(INDEX(ERP資料!$O:$O, (MATCH(317, 輔助計算!$E$2:$E$801, 0)+1))="","",INDEX(ERP資料!$O:$O, (MATCH(317, 輔助計算!$E$2:$E$801, 0)+1))), "")</f>
        <v/>
      </c>
      <c r="J318" s="15">
        <f>IFERROR(IF(INDEX(輔助計算!$D:$D,(MATCH(317, 輔助計算!$E$2:$E$801, 0)+1))="","",INDEX(輔助計算!$D:$D,(MATCH(317, 輔助計算!$E$2:$E$801, 0)+1))*INDEX(ERP資料!$O:$O,(MATCH(317, 輔助計算!$E$2:$E$801, 0)+1))), "")</f>
        <v/>
      </c>
      <c r="K318" s="16" t="n"/>
      <c r="L318" s="16" t="n"/>
      <c r="M318" s="17" t="n"/>
    </row>
    <row r="319">
      <c r="A319" s="14">
        <f>IFERROR(IF(INDEX(ERP資料!$B:$B, (MATCH(318, 輔助計算!$E$2:$E$801, 0)+1))="","",INDEX(ERP資料!$B:$B, (MATCH(318, 輔助計算!$E$2:$E$801, 0)+1))), "")</f>
        <v/>
      </c>
      <c r="B319" s="10">
        <f>IFERROR(IF(INDEX(ERP資料!$A:$A, (MATCH(318, 輔助計算!$E$2:$E$801, 0)+1))="","",INDEX(ERP資料!$A:$A, (MATCH(318, 輔助計算!$E$2:$E$801, 0)+1))), "")</f>
        <v/>
      </c>
      <c r="C319" s="10">
        <f>IFERROR(IF(INDEX(ERP資料!$S:$S, (MATCH(318, 輔助計算!$E$2:$E$801, 0)+1))="","",INDEX(ERP資料!$S:$S, (MATCH(318, 輔助計算!$E$2:$E$801, 0)+1))), "")</f>
        <v/>
      </c>
      <c r="D319" s="10">
        <f>IFERROR(IF(INDEX(ERP資料!$E:$E, (MATCH(318, 輔助計算!$E$2:$E$801, 0)+1))="","",TRIM(INDEX(ERP資料!$E:$E, (MATCH(318, 輔助計算!$E$2:$E$801, 0)+1)))), "")</f>
        <v/>
      </c>
      <c r="E319" s="10">
        <f>IFERROR(IF(INDEX(ERP資料!$F:$F, (MATCH(318, 輔助計算!$E$2:$E$801, 0)+1))="","",INDEX(ERP資料!$F:$F, (MATCH(318, 輔助計算!$E$2:$E$801, 0)+1))), "")</f>
        <v/>
      </c>
      <c r="F319" s="10">
        <f>IFERROR(IF(INDEX(ERP資料!$G:$G, (MATCH(318, 輔助計算!$E$2:$E$801, 0)+1))="","",INDEX(ERP資料!$G:$G, (MATCH(318, 輔助計算!$E$2:$E$801, 0)+1))), "")</f>
        <v/>
      </c>
      <c r="G319" s="10">
        <f>IFERROR(IF(INDEX(ERP資料!$H:$H, (MATCH(318, 輔助計算!$E$2:$E$801, 0)+1))="","",INDEX(ERP資料!$H:$H, (MATCH(318, 輔助計算!$E$2:$E$801, 0)+1))), "")</f>
        <v/>
      </c>
      <c r="H319" s="15">
        <f>IFERROR(INDEX(輔助計算!$D:$D, (MATCH(318, 輔助計算!$E$2:$E$801, 0)+1)), "")</f>
        <v/>
      </c>
      <c r="I319" s="10">
        <f>IFERROR(IF(INDEX(ERP資料!$O:$O, (MATCH(318, 輔助計算!$E$2:$E$801, 0)+1))="","",INDEX(ERP資料!$O:$O, (MATCH(318, 輔助計算!$E$2:$E$801, 0)+1))), "")</f>
        <v/>
      </c>
      <c r="J319" s="15">
        <f>IFERROR(IF(INDEX(輔助計算!$D:$D,(MATCH(318, 輔助計算!$E$2:$E$801, 0)+1))="","",INDEX(輔助計算!$D:$D,(MATCH(318, 輔助計算!$E$2:$E$801, 0)+1))*INDEX(ERP資料!$O:$O,(MATCH(318, 輔助計算!$E$2:$E$801, 0)+1))), "")</f>
        <v/>
      </c>
      <c r="K319" s="16" t="n"/>
      <c r="L319" s="16" t="n"/>
      <c r="M319" s="17" t="n"/>
    </row>
    <row r="320">
      <c r="A320" s="14">
        <f>IFERROR(IF(INDEX(ERP資料!$B:$B, (MATCH(319, 輔助計算!$E$2:$E$801, 0)+1))="","",INDEX(ERP資料!$B:$B, (MATCH(319, 輔助計算!$E$2:$E$801, 0)+1))), "")</f>
        <v/>
      </c>
      <c r="B320" s="10">
        <f>IFERROR(IF(INDEX(ERP資料!$A:$A, (MATCH(319, 輔助計算!$E$2:$E$801, 0)+1))="","",INDEX(ERP資料!$A:$A, (MATCH(319, 輔助計算!$E$2:$E$801, 0)+1))), "")</f>
        <v/>
      </c>
      <c r="C320" s="10">
        <f>IFERROR(IF(INDEX(ERP資料!$S:$S, (MATCH(319, 輔助計算!$E$2:$E$801, 0)+1))="","",INDEX(ERP資料!$S:$S, (MATCH(319, 輔助計算!$E$2:$E$801, 0)+1))), "")</f>
        <v/>
      </c>
      <c r="D320" s="10">
        <f>IFERROR(IF(INDEX(ERP資料!$E:$E, (MATCH(319, 輔助計算!$E$2:$E$801, 0)+1))="","",TRIM(INDEX(ERP資料!$E:$E, (MATCH(319, 輔助計算!$E$2:$E$801, 0)+1)))), "")</f>
        <v/>
      </c>
      <c r="E320" s="10">
        <f>IFERROR(IF(INDEX(ERP資料!$F:$F, (MATCH(319, 輔助計算!$E$2:$E$801, 0)+1))="","",INDEX(ERP資料!$F:$F, (MATCH(319, 輔助計算!$E$2:$E$801, 0)+1))), "")</f>
        <v/>
      </c>
      <c r="F320" s="10">
        <f>IFERROR(IF(INDEX(ERP資料!$G:$G, (MATCH(319, 輔助計算!$E$2:$E$801, 0)+1))="","",INDEX(ERP資料!$G:$G, (MATCH(319, 輔助計算!$E$2:$E$801, 0)+1))), "")</f>
        <v/>
      </c>
      <c r="G320" s="10">
        <f>IFERROR(IF(INDEX(ERP資料!$H:$H, (MATCH(319, 輔助計算!$E$2:$E$801, 0)+1))="","",INDEX(ERP資料!$H:$H, (MATCH(319, 輔助計算!$E$2:$E$801, 0)+1))), "")</f>
        <v/>
      </c>
      <c r="H320" s="15">
        <f>IFERROR(INDEX(輔助計算!$D:$D, (MATCH(319, 輔助計算!$E$2:$E$801, 0)+1)), "")</f>
        <v/>
      </c>
      <c r="I320" s="10">
        <f>IFERROR(IF(INDEX(ERP資料!$O:$O, (MATCH(319, 輔助計算!$E$2:$E$801, 0)+1))="","",INDEX(ERP資料!$O:$O, (MATCH(319, 輔助計算!$E$2:$E$801, 0)+1))), "")</f>
        <v/>
      </c>
      <c r="J320" s="15">
        <f>IFERROR(IF(INDEX(輔助計算!$D:$D,(MATCH(319, 輔助計算!$E$2:$E$801, 0)+1))="","",INDEX(輔助計算!$D:$D,(MATCH(319, 輔助計算!$E$2:$E$801, 0)+1))*INDEX(ERP資料!$O:$O,(MATCH(319, 輔助計算!$E$2:$E$801, 0)+1))), "")</f>
        <v/>
      </c>
      <c r="K320" s="16" t="n"/>
      <c r="L320" s="16" t="n"/>
      <c r="M320" s="17" t="n"/>
    </row>
    <row r="321">
      <c r="A321" s="14">
        <f>IFERROR(IF(INDEX(ERP資料!$B:$B, (MATCH(320, 輔助計算!$E$2:$E$801, 0)+1))="","",INDEX(ERP資料!$B:$B, (MATCH(320, 輔助計算!$E$2:$E$801, 0)+1))), "")</f>
        <v/>
      </c>
      <c r="B321" s="10">
        <f>IFERROR(IF(INDEX(ERP資料!$A:$A, (MATCH(320, 輔助計算!$E$2:$E$801, 0)+1))="","",INDEX(ERP資料!$A:$A, (MATCH(320, 輔助計算!$E$2:$E$801, 0)+1))), "")</f>
        <v/>
      </c>
      <c r="C321" s="10">
        <f>IFERROR(IF(INDEX(ERP資料!$S:$S, (MATCH(320, 輔助計算!$E$2:$E$801, 0)+1))="","",INDEX(ERP資料!$S:$S, (MATCH(320, 輔助計算!$E$2:$E$801, 0)+1))), "")</f>
        <v/>
      </c>
      <c r="D321" s="10">
        <f>IFERROR(IF(INDEX(ERP資料!$E:$E, (MATCH(320, 輔助計算!$E$2:$E$801, 0)+1))="","",TRIM(INDEX(ERP資料!$E:$E, (MATCH(320, 輔助計算!$E$2:$E$801, 0)+1)))), "")</f>
        <v/>
      </c>
      <c r="E321" s="10">
        <f>IFERROR(IF(INDEX(ERP資料!$F:$F, (MATCH(320, 輔助計算!$E$2:$E$801, 0)+1))="","",INDEX(ERP資料!$F:$F, (MATCH(320, 輔助計算!$E$2:$E$801, 0)+1))), "")</f>
        <v/>
      </c>
      <c r="F321" s="10">
        <f>IFERROR(IF(INDEX(ERP資料!$G:$G, (MATCH(320, 輔助計算!$E$2:$E$801, 0)+1))="","",INDEX(ERP資料!$G:$G, (MATCH(320, 輔助計算!$E$2:$E$801, 0)+1))), "")</f>
        <v/>
      </c>
      <c r="G321" s="10">
        <f>IFERROR(IF(INDEX(ERP資料!$H:$H, (MATCH(320, 輔助計算!$E$2:$E$801, 0)+1))="","",INDEX(ERP資料!$H:$H, (MATCH(320, 輔助計算!$E$2:$E$801, 0)+1))), "")</f>
        <v/>
      </c>
      <c r="H321" s="15">
        <f>IFERROR(INDEX(輔助計算!$D:$D, (MATCH(320, 輔助計算!$E$2:$E$801, 0)+1)), "")</f>
        <v/>
      </c>
      <c r="I321" s="10">
        <f>IFERROR(IF(INDEX(ERP資料!$O:$O, (MATCH(320, 輔助計算!$E$2:$E$801, 0)+1))="","",INDEX(ERP資料!$O:$O, (MATCH(320, 輔助計算!$E$2:$E$801, 0)+1))), "")</f>
        <v/>
      </c>
      <c r="J321" s="15">
        <f>IFERROR(IF(INDEX(輔助計算!$D:$D,(MATCH(320, 輔助計算!$E$2:$E$801, 0)+1))="","",INDEX(輔助計算!$D:$D,(MATCH(320, 輔助計算!$E$2:$E$801, 0)+1))*INDEX(ERP資料!$O:$O,(MATCH(320, 輔助計算!$E$2:$E$801, 0)+1))), "")</f>
        <v/>
      </c>
      <c r="K321" s="16" t="n"/>
      <c r="L321" s="16" t="n"/>
      <c r="M321" s="17" t="n"/>
    </row>
    <row r="322">
      <c r="A322" s="14">
        <f>IFERROR(IF(INDEX(ERP資料!$B:$B, (MATCH(321, 輔助計算!$E$2:$E$801, 0)+1))="","",INDEX(ERP資料!$B:$B, (MATCH(321, 輔助計算!$E$2:$E$801, 0)+1))), "")</f>
        <v/>
      </c>
      <c r="B322" s="10">
        <f>IFERROR(IF(INDEX(ERP資料!$A:$A, (MATCH(321, 輔助計算!$E$2:$E$801, 0)+1))="","",INDEX(ERP資料!$A:$A, (MATCH(321, 輔助計算!$E$2:$E$801, 0)+1))), "")</f>
        <v/>
      </c>
      <c r="C322" s="10">
        <f>IFERROR(IF(INDEX(ERP資料!$S:$S, (MATCH(321, 輔助計算!$E$2:$E$801, 0)+1))="","",INDEX(ERP資料!$S:$S, (MATCH(321, 輔助計算!$E$2:$E$801, 0)+1))), "")</f>
        <v/>
      </c>
      <c r="D322" s="10">
        <f>IFERROR(IF(INDEX(ERP資料!$E:$E, (MATCH(321, 輔助計算!$E$2:$E$801, 0)+1))="","",TRIM(INDEX(ERP資料!$E:$E, (MATCH(321, 輔助計算!$E$2:$E$801, 0)+1)))), "")</f>
        <v/>
      </c>
      <c r="E322" s="10">
        <f>IFERROR(IF(INDEX(ERP資料!$F:$F, (MATCH(321, 輔助計算!$E$2:$E$801, 0)+1))="","",INDEX(ERP資料!$F:$F, (MATCH(321, 輔助計算!$E$2:$E$801, 0)+1))), "")</f>
        <v/>
      </c>
      <c r="F322" s="10">
        <f>IFERROR(IF(INDEX(ERP資料!$G:$G, (MATCH(321, 輔助計算!$E$2:$E$801, 0)+1))="","",INDEX(ERP資料!$G:$G, (MATCH(321, 輔助計算!$E$2:$E$801, 0)+1))), "")</f>
        <v/>
      </c>
      <c r="G322" s="10">
        <f>IFERROR(IF(INDEX(ERP資料!$H:$H, (MATCH(321, 輔助計算!$E$2:$E$801, 0)+1))="","",INDEX(ERP資料!$H:$H, (MATCH(321, 輔助計算!$E$2:$E$801, 0)+1))), "")</f>
        <v/>
      </c>
      <c r="H322" s="15">
        <f>IFERROR(INDEX(輔助計算!$D:$D, (MATCH(321, 輔助計算!$E$2:$E$801, 0)+1)), "")</f>
        <v/>
      </c>
      <c r="I322" s="10">
        <f>IFERROR(IF(INDEX(ERP資料!$O:$O, (MATCH(321, 輔助計算!$E$2:$E$801, 0)+1))="","",INDEX(ERP資料!$O:$O, (MATCH(321, 輔助計算!$E$2:$E$801, 0)+1))), "")</f>
        <v/>
      </c>
      <c r="J322" s="15">
        <f>IFERROR(IF(INDEX(輔助計算!$D:$D,(MATCH(321, 輔助計算!$E$2:$E$801, 0)+1))="","",INDEX(輔助計算!$D:$D,(MATCH(321, 輔助計算!$E$2:$E$801, 0)+1))*INDEX(ERP資料!$O:$O,(MATCH(321, 輔助計算!$E$2:$E$801, 0)+1))), "")</f>
        <v/>
      </c>
      <c r="K322" s="16" t="n"/>
      <c r="L322" s="16" t="n"/>
      <c r="M322" s="17" t="n"/>
    </row>
    <row r="323">
      <c r="A323" s="14">
        <f>IFERROR(IF(INDEX(ERP資料!$B:$B, (MATCH(322, 輔助計算!$E$2:$E$801, 0)+1))="","",INDEX(ERP資料!$B:$B, (MATCH(322, 輔助計算!$E$2:$E$801, 0)+1))), "")</f>
        <v/>
      </c>
      <c r="B323" s="10">
        <f>IFERROR(IF(INDEX(ERP資料!$A:$A, (MATCH(322, 輔助計算!$E$2:$E$801, 0)+1))="","",INDEX(ERP資料!$A:$A, (MATCH(322, 輔助計算!$E$2:$E$801, 0)+1))), "")</f>
        <v/>
      </c>
      <c r="C323" s="10">
        <f>IFERROR(IF(INDEX(ERP資料!$S:$S, (MATCH(322, 輔助計算!$E$2:$E$801, 0)+1))="","",INDEX(ERP資料!$S:$S, (MATCH(322, 輔助計算!$E$2:$E$801, 0)+1))), "")</f>
        <v/>
      </c>
      <c r="D323" s="10">
        <f>IFERROR(IF(INDEX(ERP資料!$E:$E, (MATCH(322, 輔助計算!$E$2:$E$801, 0)+1))="","",TRIM(INDEX(ERP資料!$E:$E, (MATCH(322, 輔助計算!$E$2:$E$801, 0)+1)))), "")</f>
        <v/>
      </c>
      <c r="E323" s="10">
        <f>IFERROR(IF(INDEX(ERP資料!$F:$F, (MATCH(322, 輔助計算!$E$2:$E$801, 0)+1))="","",INDEX(ERP資料!$F:$F, (MATCH(322, 輔助計算!$E$2:$E$801, 0)+1))), "")</f>
        <v/>
      </c>
      <c r="F323" s="10">
        <f>IFERROR(IF(INDEX(ERP資料!$G:$G, (MATCH(322, 輔助計算!$E$2:$E$801, 0)+1))="","",INDEX(ERP資料!$G:$G, (MATCH(322, 輔助計算!$E$2:$E$801, 0)+1))), "")</f>
        <v/>
      </c>
      <c r="G323" s="10">
        <f>IFERROR(IF(INDEX(ERP資料!$H:$H, (MATCH(322, 輔助計算!$E$2:$E$801, 0)+1))="","",INDEX(ERP資料!$H:$H, (MATCH(322, 輔助計算!$E$2:$E$801, 0)+1))), "")</f>
        <v/>
      </c>
      <c r="H323" s="15">
        <f>IFERROR(INDEX(輔助計算!$D:$D, (MATCH(322, 輔助計算!$E$2:$E$801, 0)+1)), "")</f>
        <v/>
      </c>
      <c r="I323" s="10">
        <f>IFERROR(IF(INDEX(ERP資料!$O:$O, (MATCH(322, 輔助計算!$E$2:$E$801, 0)+1))="","",INDEX(ERP資料!$O:$O, (MATCH(322, 輔助計算!$E$2:$E$801, 0)+1))), "")</f>
        <v/>
      </c>
      <c r="J323" s="15">
        <f>IFERROR(IF(INDEX(輔助計算!$D:$D,(MATCH(322, 輔助計算!$E$2:$E$801, 0)+1))="","",INDEX(輔助計算!$D:$D,(MATCH(322, 輔助計算!$E$2:$E$801, 0)+1))*INDEX(ERP資料!$O:$O,(MATCH(322, 輔助計算!$E$2:$E$801, 0)+1))), "")</f>
        <v/>
      </c>
      <c r="K323" s="16" t="n"/>
      <c r="L323" s="16" t="n"/>
      <c r="M323" s="17" t="n"/>
    </row>
    <row r="324">
      <c r="A324" s="14">
        <f>IFERROR(IF(INDEX(ERP資料!$B:$B, (MATCH(323, 輔助計算!$E$2:$E$801, 0)+1))="","",INDEX(ERP資料!$B:$B, (MATCH(323, 輔助計算!$E$2:$E$801, 0)+1))), "")</f>
        <v/>
      </c>
      <c r="B324" s="10">
        <f>IFERROR(IF(INDEX(ERP資料!$A:$A, (MATCH(323, 輔助計算!$E$2:$E$801, 0)+1))="","",INDEX(ERP資料!$A:$A, (MATCH(323, 輔助計算!$E$2:$E$801, 0)+1))), "")</f>
        <v/>
      </c>
      <c r="C324" s="10">
        <f>IFERROR(IF(INDEX(ERP資料!$S:$S, (MATCH(323, 輔助計算!$E$2:$E$801, 0)+1))="","",INDEX(ERP資料!$S:$S, (MATCH(323, 輔助計算!$E$2:$E$801, 0)+1))), "")</f>
        <v/>
      </c>
      <c r="D324" s="10">
        <f>IFERROR(IF(INDEX(ERP資料!$E:$E, (MATCH(323, 輔助計算!$E$2:$E$801, 0)+1))="","",TRIM(INDEX(ERP資料!$E:$E, (MATCH(323, 輔助計算!$E$2:$E$801, 0)+1)))), "")</f>
        <v/>
      </c>
      <c r="E324" s="10">
        <f>IFERROR(IF(INDEX(ERP資料!$F:$F, (MATCH(323, 輔助計算!$E$2:$E$801, 0)+1))="","",INDEX(ERP資料!$F:$F, (MATCH(323, 輔助計算!$E$2:$E$801, 0)+1))), "")</f>
        <v/>
      </c>
      <c r="F324" s="10">
        <f>IFERROR(IF(INDEX(ERP資料!$G:$G, (MATCH(323, 輔助計算!$E$2:$E$801, 0)+1))="","",INDEX(ERP資料!$G:$G, (MATCH(323, 輔助計算!$E$2:$E$801, 0)+1))), "")</f>
        <v/>
      </c>
      <c r="G324" s="10">
        <f>IFERROR(IF(INDEX(ERP資料!$H:$H, (MATCH(323, 輔助計算!$E$2:$E$801, 0)+1))="","",INDEX(ERP資料!$H:$H, (MATCH(323, 輔助計算!$E$2:$E$801, 0)+1))), "")</f>
        <v/>
      </c>
      <c r="H324" s="15">
        <f>IFERROR(INDEX(輔助計算!$D:$D, (MATCH(323, 輔助計算!$E$2:$E$801, 0)+1)), "")</f>
        <v/>
      </c>
      <c r="I324" s="10">
        <f>IFERROR(IF(INDEX(ERP資料!$O:$O, (MATCH(323, 輔助計算!$E$2:$E$801, 0)+1))="","",INDEX(ERP資料!$O:$O, (MATCH(323, 輔助計算!$E$2:$E$801, 0)+1))), "")</f>
        <v/>
      </c>
      <c r="J324" s="15">
        <f>IFERROR(IF(INDEX(輔助計算!$D:$D,(MATCH(323, 輔助計算!$E$2:$E$801, 0)+1))="","",INDEX(輔助計算!$D:$D,(MATCH(323, 輔助計算!$E$2:$E$801, 0)+1))*INDEX(ERP資料!$O:$O,(MATCH(323, 輔助計算!$E$2:$E$801, 0)+1))), "")</f>
        <v/>
      </c>
      <c r="K324" s="16" t="n"/>
      <c r="L324" s="16" t="n"/>
      <c r="M324" s="17" t="n"/>
    </row>
    <row r="325">
      <c r="A325" s="14">
        <f>IFERROR(IF(INDEX(ERP資料!$B:$B, (MATCH(324, 輔助計算!$E$2:$E$801, 0)+1))="","",INDEX(ERP資料!$B:$B, (MATCH(324, 輔助計算!$E$2:$E$801, 0)+1))), "")</f>
        <v/>
      </c>
      <c r="B325" s="10">
        <f>IFERROR(IF(INDEX(ERP資料!$A:$A, (MATCH(324, 輔助計算!$E$2:$E$801, 0)+1))="","",INDEX(ERP資料!$A:$A, (MATCH(324, 輔助計算!$E$2:$E$801, 0)+1))), "")</f>
        <v/>
      </c>
      <c r="C325" s="10">
        <f>IFERROR(IF(INDEX(ERP資料!$S:$S, (MATCH(324, 輔助計算!$E$2:$E$801, 0)+1))="","",INDEX(ERP資料!$S:$S, (MATCH(324, 輔助計算!$E$2:$E$801, 0)+1))), "")</f>
        <v/>
      </c>
      <c r="D325" s="10">
        <f>IFERROR(IF(INDEX(ERP資料!$E:$E, (MATCH(324, 輔助計算!$E$2:$E$801, 0)+1))="","",TRIM(INDEX(ERP資料!$E:$E, (MATCH(324, 輔助計算!$E$2:$E$801, 0)+1)))), "")</f>
        <v/>
      </c>
      <c r="E325" s="10">
        <f>IFERROR(IF(INDEX(ERP資料!$F:$F, (MATCH(324, 輔助計算!$E$2:$E$801, 0)+1))="","",INDEX(ERP資料!$F:$F, (MATCH(324, 輔助計算!$E$2:$E$801, 0)+1))), "")</f>
        <v/>
      </c>
      <c r="F325" s="10">
        <f>IFERROR(IF(INDEX(ERP資料!$G:$G, (MATCH(324, 輔助計算!$E$2:$E$801, 0)+1))="","",INDEX(ERP資料!$G:$G, (MATCH(324, 輔助計算!$E$2:$E$801, 0)+1))), "")</f>
        <v/>
      </c>
      <c r="G325" s="10">
        <f>IFERROR(IF(INDEX(ERP資料!$H:$H, (MATCH(324, 輔助計算!$E$2:$E$801, 0)+1))="","",INDEX(ERP資料!$H:$H, (MATCH(324, 輔助計算!$E$2:$E$801, 0)+1))), "")</f>
        <v/>
      </c>
      <c r="H325" s="15">
        <f>IFERROR(INDEX(輔助計算!$D:$D, (MATCH(324, 輔助計算!$E$2:$E$801, 0)+1)), "")</f>
        <v/>
      </c>
      <c r="I325" s="10">
        <f>IFERROR(IF(INDEX(ERP資料!$O:$O, (MATCH(324, 輔助計算!$E$2:$E$801, 0)+1))="","",INDEX(ERP資料!$O:$O, (MATCH(324, 輔助計算!$E$2:$E$801, 0)+1))), "")</f>
        <v/>
      </c>
      <c r="J325" s="15">
        <f>IFERROR(IF(INDEX(輔助計算!$D:$D,(MATCH(324, 輔助計算!$E$2:$E$801, 0)+1))="","",INDEX(輔助計算!$D:$D,(MATCH(324, 輔助計算!$E$2:$E$801, 0)+1))*INDEX(ERP資料!$O:$O,(MATCH(324, 輔助計算!$E$2:$E$801, 0)+1))), "")</f>
        <v/>
      </c>
      <c r="K325" s="16" t="n"/>
      <c r="L325" s="16" t="n"/>
      <c r="M325" s="17" t="n"/>
    </row>
    <row r="326">
      <c r="A326" s="14">
        <f>IFERROR(IF(INDEX(ERP資料!$B:$B, (MATCH(325, 輔助計算!$E$2:$E$801, 0)+1))="","",INDEX(ERP資料!$B:$B, (MATCH(325, 輔助計算!$E$2:$E$801, 0)+1))), "")</f>
        <v/>
      </c>
      <c r="B326" s="10">
        <f>IFERROR(IF(INDEX(ERP資料!$A:$A, (MATCH(325, 輔助計算!$E$2:$E$801, 0)+1))="","",INDEX(ERP資料!$A:$A, (MATCH(325, 輔助計算!$E$2:$E$801, 0)+1))), "")</f>
        <v/>
      </c>
      <c r="C326" s="10">
        <f>IFERROR(IF(INDEX(ERP資料!$S:$S, (MATCH(325, 輔助計算!$E$2:$E$801, 0)+1))="","",INDEX(ERP資料!$S:$S, (MATCH(325, 輔助計算!$E$2:$E$801, 0)+1))), "")</f>
        <v/>
      </c>
      <c r="D326" s="10">
        <f>IFERROR(IF(INDEX(ERP資料!$E:$E, (MATCH(325, 輔助計算!$E$2:$E$801, 0)+1))="","",TRIM(INDEX(ERP資料!$E:$E, (MATCH(325, 輔助計算!$E$2:$E$801, 0)+1)))), "")</f>
        <v/>
      </c>
      <c r="E326" s="10">
        <f>IFERROR(IF(INDEX(ERP資料!$F:$F, (MATCH(325, 輔助計算!$E$2:$E$801, 0)+1))="","",INDEX(ERP資料!$F:$F, (MATCH(325, 輔助計算!$E$2:$E$801, 0)+1))), "")</f>
        <v/>
      </c>
      <c r="F326" s="10">
        <f>IFERROR(IF(INDEX(ERP資料!$G:$G, (MATCH(325, 輔助計算!$E$2:$E$801, 0)+1))="","",INDEX(ERP資料!$G:$G, (MATCH(325, 輔助計算!$E$2:$E$801, 0)+1))), "")</f>
        <v/>
      </c>
      <c r="G326" s="10">
        <f>IFERROR(IF(INDEX(ERP資料!$H:$H, (MATCH(325, 輔助計算!$E$2:$E$801, 0)+1))="","",INDEX(ERP資料!$H:$H, (MATCH(325, 輔助計算!$E$2:$E$801, 0)+1))), "")</f>
        <v/>
      </c>
      <c r="H326" s="15">
        <f>IFERROR(INDEX(輔助計算!$D:$D, (MATCH(325, 輔助計算!$E$2:$E$801, 0)+1)), "")</f>
        <v/>
      </c>
      <c r="I326" s="10">
        <f>IFERROR(IF(INDEX(ERP資料!$O:$O, (MATCH(325, 輔助計算!$E$2:$E$801, 0)+1))="","",INDEX(ERP資料!$O:$O, (MATCH(325, 輔助計算!$E$2:$E$801, 0)+1))), "")</f>
        <v/>
      </c>
      <c r="J326" s="15">
        <f>IFERROR(IF(INDEX(輔助計算!$D:$D,(MATCH(325, 輔助計算!$E$2:$E$801, 0)+1))="","",INDEX(輔助計算!$D:$D,(MATCH(325, 輔助計算!$E$2:$E$801, 0)+1))*INDEX(ERP資料!$O:$O,(MATCH(325, 輔助計算!$E$2:$E$801, 0)+1))), "")</f>
        <v/>
      </c>
      <c r="K326" s="16" t="n"/>
      <c r="L326" s="16" t="n"/>
      <c r="M326" s="17" t="n"/>
    </row>
    <row r="327">
      <c r="A327" s="14">
        <f>IFERROR(IF(INDEX(ERP資料!$B:$B, (MATCH(326, 輔助計算!$E$2:$E$801, 0)+1))="","",INDEX(ERP資料!$B:$B, (MATCH(326, 輔助計算!$E$2:$E$801, 0)+1))), "")</f>
        <v/>
      </c>
      <c r="B327" s="10">
        <f>IFERROR(IF(INDEX(ERP資料!$A:$A, (MATCH(326, 輔助計算!$E$2:$E$801, 0)+1))="","",INDEX(ERP資料!$A:$A, (MATCH(326, 輔助計算!$E$2:$E$801, 0)+1))), "")</f>
        <v/>
      </c>
      <c r="C327" s="10">
        <f>IFERROR(IF(INDEX(ERP資料!$S:$S, (MATCH(326, 輔助計算!$E$2:$E$801, 0)+1))="","",INDEX(ERP資料!$S:$S, (MATCH(326, 輔助計算!$E$2:$E$801, 0)+1))), "")</f>
        <v/>
      </c>
      <c r="D327" s="10">
        <f>IFERROR(IF(INDEX(ERP資料!$E:$E, (MATCH(326, 輔助計算!$E$2:$E$801, 0)+1))="","",TRIM(INDEX(ERP資料!$E:$E, (MATCH(326, 輔助計算!$E$2:$E$801, 0)+1)))), "")</f>
        <v/>
      </c>
      <c r="E327" s="10">
        <f>IFERROR(IF(INDEX(ERP資料!$F:$F, (MATCH(326, 輔助計算!$E$2:$E$801, 0)+1))="","",INDEX(ERP資料!$F:$F, (MATCH(326, 輔助計算!$E$2:$E$801, 0)+1))), "")</f>
        <v/>
      </c>
      <c r="F327" s="10">
        <f>IFERROR(IF(INDEX(ERP資料!$G:$G, (MATCH(326, 輔助計算!$E$2:$E$801, 0)+1))="","",INDEX(ERP資料!$G:$G, (MATCH(326, 輔助計算!$E$2:$E$801, 0)+1))), "")</f>
        <v/>
      </c>
      <c r="G327" s="10">
        <f>IFERROR(IF(INDEX(ERP資料!$H:$H, (MATCH(326, 輔助計算!$E$2:$E$801, 0)+1))="","",INDEX(ERP資料!$H:$H, (MATCH(326, 輔助計算!$E$2:$E$801, 0)+1))), "")</f>
        <v/>
      </c>
      <c r="H327" s="15">
        <f>IFERROR(INDEX(輔助計算!$D:$D, (MATCH(326, 輔助計算!$E$2:$E$801, 0)+1)), "")</f>
        <v/>
      </c>
      <c r="I327" s="10">
        <f>IFERROR(IF(INDEX(ERP資料!$O:$O, (MATCH(326, 輔助計算!$E$2:$E$801, 0)+1))="","",INDEX(ERP資料!$O:$O, (MATCH(326, 輔助計算!$E$2:$E$801, 0)+1))), "")</f>
        <v/>
      </c>
      <c r="J327" s="15">
        <f>IFERROR(IF(INDEX(輔助計算!$D:$D,(MATCH(326, 輔助計算!$E$2:$E$801, 0)+1))="","",INDEX(輔助計算!$D:$D,(MATCH(326, 輔助計算!$E$2:$E$801, 0)+1))*INDEX(ERP資料!$O:$O,(MATCH(326, 輔助計算!$E$2:$E$801, 0)+1))), "")</f>
        <v/>
      </c>
      <c r="K327" s="16" t="n"/>
      <c r="L327" s="16" t="n"/>
      <c r="M327" s="17" t="n"/>
    </row>
    <row r="328">
      <c r="A328" s="14">
        <f>IFERROR(IF(INDEX(ERP資料!$B:$B, (MATCH(327, 輔助計算!$E$2:$E$801, 0)+1))="","",INDEX(ERP資料!$B:$B, (MATCH(327, 輔助計算!$E$2:$E$801, 0)+1))), "")</f>
        <v/>
      </c>
      <c r="B328" s="10">
        <f>IFERROR(IF(INDEX(ERP資料!$A:$A, (MATCH(327, 輔助計算!$E$2:$E$801, 0)+1))="","",INDEX(ERP資料!$A:$A, (MATCH(327, 輔助計算!$E$2:$E$801, 0)+1))), "")</f>
        <v/>
      </c>
      <c r="C328" s="10">
        <f>IFERROR(IF(INDEX(ERP資料!$S:$S, (MATCH(327, 輔助計算!$E$2:$E$801, 0)+1))="","",INDEX(ERP資料!$S:$S, (MATCH(327, 輔助計算!$E$2:$E$801, 0)+1))), "")</f>
        <v/>
      </c>
      <c r="D328" s="10">
        <f>IFERROR(IF(INDEX(ERP資料!$E:$E, (MATCH(327, 輔助計算!$E$2:$E$801, 0)+1))="","",TRIM(INDEX(ERP資料!$E:$E, (MATCH(327, 輔助計算!$E$2:$E$801, 0)+1)))), "")</f>
        <v/>
      </c>
      <c r="E328" s="10">
        <f>IFERROR(IF(INDEX(ERP資料!$F:$F, (MATCH(327, 輔助計算!$E$2:$E$801, 0)+1))="","",INDEX(ERP資料!$F:$F, (MATCH(327, 輔助計算!$E$2:$E$801, 0)+1))), "")</f>
        <v/>
      </c>
      <c r="F328" s="10">
        <f>IFERROR(IF(INDEX(ERP資料!$G:$G, (MATCH(327, 輔助計算!$E$2:$E$801, 0)+1))="","",INDEX(ERP資料!$G:$G, (MATCH(327, 輔助計算!$E$2:$E$801, 0)+1))), "")</f>
        <v/>
      </c>
      <c r="G328" s="10">
        <f>IFERROR(IF(INDEX(ERP資料!$H:$H, (MATCH(327, 輔助計算!$E$2:$E$801, 0)+1))="","",INDEX(ERP資料!$H:$H, (MATCH(327, 輔助計算!$E$2:$E$801, 0)+1))), "")</f>
        <v/>
      </c>
      <c r="H328" s="15">
        <f>IFERROR(INDEX(輔助計算!$D:$D, (MATCH(327, 輔助計算!$E$2:$E$801, 0)+1)), "")</f>
        <v/>
      </c>
      <c r="I328" s="10">
        <f>IFERROR(IF(INDEX(ERP資料!$O:$O, (MATCH(327, 輔助計算!$E$2:$E$801, 0)+1))="","",INDEX(ERP資料!$O:$O, (MATCH(327, 輔助計算!$E$2:$E$801, 0)+1))), "")</f>
        <v/>
      </c>
      <c r="J328" s="15">
        <f>IFERROR(IF(INDEX(輔助計算!$D:$D,(MATCH(327, 輔助計算!$E$2:$E$801, 0)+1))="","",INDEX(輔助計算!$D:$D,(MATCH(327, 輔助計算!$E$2:$E$801, 0)+1))*INDEX(ERP資料!$O:$O,(MATCH(327, 輔助計算!$E$2:$E$801, 0)+1))), "")</f>
        <v/>
      </c>
      <c r="K328" s="16" t="n"/>
      <c r="L328" s="16" t="n"/>
      <c r="M328" s="17" t="n"/>
    </row>
    <row r="329">
      <c r="A329" s="14">
        <f>IFERROR(IF(INDEX(ERP資料!$B:$B, (MATCH(328, 輔助計算!$E$2:$E$801, 0)+1))="","",INDEX(ERP資料!$B:$B, (MATCH(328, 輔助計算!$E$2:$E$801, 0)+1))), "")</f>
        <v/>
      </c>
      <c r="B329" s="10">
        <f>IFERROR(IF(INDEX(ERP資料!$A:$A, (MATCH(328, 輔助計算!$E$2:$E$801, 0)+1))="","",INDEX(ERP資料!$A:$A, (MATCH(328, 輔助計算!$E$2:$E$801, 0)+1))), "")</f>
        <v/>
      </c>
      <c r="C329" s="10">
        <f>IFERROR(IF(INDEX(ERP資料!$S:$S, (MATCH(328, 輔助計算!$E$2:$E$801, 0)+1))="","",INDEX(ERP資料!$S:$S, (MATCH(328, 輔助計算!$E$2:$E$801, 0)+1))), "")</f>
        <v/>
      </c>
      <c r="D329" s="10">
        <f>IFERROR(IF(INDEX(ERP資料!$E:$E, (MATCH(328, 輔助計算!$E$2:$E$801, 0)+1))="","",TRIM(INDEX(ERP資料!$E:$E, (MATCH(328, 輔助計算!$E$2:$E$801, 0)+1)))), "")</f>
        <v/>
      </c>
      <c r="E329" s="10">
        <f>IFERROR(IF(INDEX(ERP資料!$F:$F, (MATCH(328, 輔助計算!$E$2:$E$801, 0)+1))="","",INDEX(ERP資料!$F:$F, (MATCH(328, 輔助計算!$E$2:$E$801, 0)+1))), "")</f>
        <v/>
      </c>
      <c r="F329" s="10">
        <f>IFERROR(IF(INDEX(ERP資料!$G:$G, (MATCH(328, 輔助計算!$E$2:$E$801, 0)+1))="","",INDEX(ERP資料!$G:$G, (MATCH(328, 輔助計算!$E$2:$E$801, 0)+1))), "")</f>
        <v/>
      </c>
      <c r="G329" s="10">
        <f>IFERROR(IF(INDEX(ERP資料!$H:$H, (MATCH(328, 輔助計算!$E$2:$E$801, 0)+1))="","",INDEX(ERP資料!$H:$H, (MATCH(328, 輔助計算!$E$2:$E$801, 0)+1))), "")</f>
        <v/>
      </c>
      <c r="H329" s="15">
        <f>IFERROR(INDEX(輔助計算!$D:$D, (MATCH(328, 輔助計算!$E$2:$E$801, 0)+1)), "")</f>
        <v/>
      </c>
      <c r="I329" s="10">
        <f>IFERROR(IF(INDEX(ERP資料!$O:$O, (MATCH(328, 輔助計算!$E$2:$E$801, 0)+1))="","",INDEX(ERP資料!$O:$O, (MATCH(328, 輔助計算!$E$2:$E$801, 0)+1))), "")</f>
        <v/>
      </c>
      <c r="J329" s="15">
        <f>IFERROR(IF(INDEX(輔助計算!$D:$D,(MATCH(328, 輔助計算!$E$2:$E$801, 0)+1))="","",INDEX(輔助計算!$D:$D,(MATCH(328, 輔助計算!$E$2:$E$801, 0)+1))*INDEX(ERP資料!$O:$O,(MATCH(328, 輔助計算!$E$2:$E$801, 0)+1))), "")</f>
        <v/>
      </c>
      <c r="K329" s="16" t="n"/>
      <c r="L329" s="16" t="n"/>
      <c r="M329" s="17" t="n"/>
    </row>
    <row r="330">
      <c r="A330" s="14">
        <f>IFERROR(IF(INDEX(ERP資料!$B:$B, (MATCH(329, 輔助計算!$E$2:$E$801, 0)+1))="","",INDEX(ERP資料!$B:$B, (MATCH(329, 輔助計算!$E$2:$E$801, 0)+1))), "")</f>
        <v/>
      </c>
      <c r="B330" s="10">
        <f>IFERROR(IF(INDEX(ERP資料!$A:$A, (MATCH(329, 輔助計算!$E$2:$E$801, 0)+1))="","",INDEX(ERP資料!$A:$A, (MATCH(329, 輔助計算!$E$2:$E$801, 0)+1))), "")</f>
        <v/>
      </c>
      <c r="C330" s="10">
        <f>IFERROR(IF(INDEX(ERP資料!$S:$S, (MATCH(329, 輔助計算!$E$2:$E$801, 0)+1))="","",INDEX(ERP資料!$S:$S, (MATCH(329, 輔助計算!$E$2:$E$801, 0)+1))), "")</f>
        <v/>
      </c>
      <c r="D330" s="10">
        <f>IFERROR(IF(INDEX(ERP資料!$E:$E, (MATCH(329, 輔助計算!$E$2:$E$801, 0)+1))="","",TRIM(INDEX(ERP資料!$E:$E, (MATCH(329, 輔助計算!$E$2:$E$801, 0)+1)))), "")</f>
        <v/>
      </c>
      <c r="E330" s="10">
        <f>IFERROR(IF(INDEX(ERP資料!$F:$F, (MATCH(329, 輔助計算!$E$2:$E$801, 0)+1))="","",INDEX(ERP資料!$F:$F, (MATCH(329, 輔助計算!$E$2:$E$801, 0)+1))), "")</f>
        <v/>
      </c>
      <c r="F330" s="10">
        <f>IFERROR(IF(INDEX(ERP資料!$G:$G, (MATCH(329, 輔助計算!$E$2:$E$801, 0)+1))="","",INDEX(ERP資料!$G:$G, (MATCH(329, 輔助計算!$E$2:$E$801, 0)+1))), "")</f>
        <v/>
      </c>
      <c r="G330" s="10">
        <f>IFERROR(IF(INDEX(ERP資料!$H:$H, (MATCH(329, 輔助計算!$E$2:$E$801, 0)+1))="","",INDEX(ERP資料!$H:$H, (MATCH(329, 輔助計算!$E$2:$E$801, 0)+1))), "")</f>
        <v/>
      </c>
      <c r="H330" s="15">
        <f>IFERROR(INDEX(輔助計算!$D:$D, (MATCH(329, 輔助計算!$E$2:$E$801, 0)+1)), "")</f>
        <v/>
      </c>
      <c r="I330" s="10">
        <f>IFERROR(IF(INDEX(ERP資料!$O:$O, (MATCH(329, 輔助計算!$E$2:$E$801, 0)+1))="","",INDEX(ERP資料!$O:$O, (MATCH(329, 輔助計算!$E$2:$E$801, 0)+1))), "")</f>
        <v/>
      </c>
      <c r="J330" s="15">
        <f>IFERROR(IF(INDEX(輔助計算!$D:$D,(MATCH(329, 輔助計算!$E$2:$E$801, 0)+1))="","",INDEX(輔助計算!$D:$D,(MATCH(329, 輔助計算!$E$2:$E$801, 0)+1))*INDEX(ERP資料!$O:$O,(MATCH(329, 輔助計算!$E$2:$E$801, 0)+1))), "")</f>
        <v/>
      </c>
      <c r="K330" s="16" t="n"/>
      <c r="L330" s="16" t="n"/>
      <c r="M330" s="17" t="n"/>
    </row>
    <row r="331">
      <c r="A331" s="14">
        <f>IFERROR(IF(INDEX(ERP資料!$B:$B, (MATCH(330, 輔助計算!$E$2:$E$801, 0)+1))="","",INDEX(ERP資料!$B:$B, (MATCH(330, 輔助計算!$E$2:$E$801, 0)+1))), "")</f>
        <v/>
      </c>
      <c r="B331" s="10">
        <f>IFERROR(IF(INDEX(ERP資料!$A:$A, (MATCH(330, 輔助計算!$E$2:$E$801, 0)+1))="","",INDEX(ERP資料!$A:$A, (MATCH(330, 輔助計算!$E$2:$E$801, 0)+1))), "")</f>
        <v/>
      </c>
      <c r="C331" s="10">
        <f>IFERROR(IF(INDEX(ERP資料!$S:$S, (MATCH(330, 輔助計算!$E$2:$E$801, 0)+1))="","",INDEX(ERP資料!$S:$S, (MATCH(330, 輔助計算!$E$2:$E$801, 0)+1))), "")</f>
        <v/>
      </c>
      <c r="D331" s="10">
        <f>IFERROR(IF(INDEX(ERP資料!$E:$E, (MATCH(330, 輔助計算!$E$2:$E$801, 0)+1))="","",TRIM(INDEX(ERP資料!$E:$E, (MATCH(330, 輔助計算!$E$2:$E$801, 0)+1)))), "")</f>
        <v/>
      </c>
      <c r="E331" s="10">
        <f>IFERROR(IF(INDEX(ERP資料!$F:$F, (MATCH(330, 輔助計算!$E$2:$E$801, 0)+1))="","",INDEX(ERP資料!$F:$F, (MATCH(330, 輔助計算!$E$2:$E$801, 0)+1))), "")</f>
        <v/>
      </c>
      <c r="F331" s="10">
        <f>IFERROR(IF(INDEX(ERP資料!$G:$G, (MATCH(330, 輔助計算!$E$2:$E$801, 0)+1))="","",INDEX(ERP資料!$G:$G, (MATCH(330, 輔助計算!$E$2:$E$801, 0)+1))), "")</f>
        <v/>
      </c>
      <c r="G331" s="10">
        <f>IFERROR(IF(INDEX(ERP資料!$H:$H, (MATCH(330, 輔助計算!$E$2:$E$801, 0)+1))="","",INDEX(ERP資料!$H:$H, (MATCH(330, 輔助計算!$E$2:$E$801, 0)+1))), "")</f>
        <v/>
      </c>
      <c r="H331" s="15">
        <f>IFERROR(INDEX(輔助計算!$D:$D, (MATCH(330, 輔助計算!$E$2:$E$801, 0)+1)), "")</f>
        <v/>
      </c>
      <c r="I331" s="10">
        <f>IFERROR(IF(INDEX(ERP資料!$O:$O, (MATCH(330, 輔助計算!$E$2:$E$801, 0)+1))="","",INDEX(ERP資料!$O:$O, (MATCH(330, 輔助計算!$E$2:$E$801, 0)+1))), "")</f>
        <v/>
      </c>
      <c r="J331" s="15">
        <f>IFERROR(IF(INDEX(輔助計算!$D:$D,(MATCH(330, 輔助計算!$E$2:$E$801, 0)+1))="","",INDEX(輔助計算!$D:$D,(MATCH(330, 輔助計算!$E$2:$E$801, 0)+1))*INDEX(ERP資料!$O:$O,(MATCH(330, 輔助計算!$E$2:$E$801, 0)+1))), "")</f>
        <v/>
      </c>
      <c r="K331" s="16" t="n"/>
      <c r="L331" s="16" t="n"/>
      <c r="M331" s="17" t="n"/>
    </row>
    <row r="332">
      <c r="A332" s="14">
        <f>IFERROR(IF(INDEX(ERP資料!$B:$B, (MATCH(331, 輔助計算!$E$2:$E$801, 0)+1))="","",INDEX(ERP資料!$B:$B, (MATCH(331, 輔助計算!$E$2:$E$801, 0)+1))), "")</f>
        <v/>
      </c>
      <c r="B332" s="10">
        <f>IFERROR(IF(INDEX(ERP資料!$A:$A, (MATCH(331, 輔助計算!$E$2:$E$801, 0)+1))="","",INDEX(ERP資料!$A:$A, (MATCH(331, 輔助計算!$E$2:$E$801, 0)+1))), "")</f>
        <v/>
      </c>
      <c r="C332" s="10">
        <f>IFERROR(IF(INDEX(ERP資料!$S:$S, (MATCH(331, 輔助計算!$E$2:$E$801, 0)+1))="","",INDEX(ERP資料!$S:$S, (MATCH(331, 輔助計算!$E$2:$E$801, 0)+1))), "")</f>
        <v/>
      </c>
      <c r="D332" s="10">
        <f>IFERROR(IF(INDEX(ERP資料!$E:$E, (MATCH(331, 輔助計算!$E$2:$E$801, 0)+1))="","",TRIM(INDEX(ERP資料!$E:$E, (MATCH(331, 輔助計算!$E$2:$E$801, 0)+1)))), "")</f>
        <v/>
      </c>
      <c r="E332" s="10">
        <f>IFERROR(IF(INDEX(ERP資料!$F:$F, (MATCH(331, 輔助計算!$E$2:$E$801, 0)+1))="","",INDEX(ERP資料!$F:$F, (MATCH(331, 輔助計算!$E$2:$E$801, 0)+1))), "")</f>
        <v/>
      </c>
      <c r="F332" s="10">
        <f>IFERROR(IF(INDEX(ERP資料!$G:$G, (MATCH(331, 輔助計算!$E$2:$E$801, 0)+1))="","",INDEX(ERP資料!$G:$G, (MATCH(331, 輔助計算!$E$2:$E$801, 0)+1))), "")</f>
        <v/>
      </c>
      <c r="G332" s="10">
        <f>IFERROR(IF(INDEX(ERP資料!$H:$H, (MATCH(331, 輔助計算!$E$2:$E$801, 0)+1))="","",INDEX(ERP資料!$H:$H, (MATCH(331, 輔助計算!$E$2:$E$801, 0)+1))), "")</f>
        <v/>
      </c>
      <c r="H332" s="15">
        <f>IFERROR(INDEX(輔助計算!$D:$D, (MATCH(331, 輔助計算!$E$2:$E$801, 0)+1)), "")</f>
        <v/>
      </c>
      <c r="I332" s="10">
        <f>IFERROR(IF(INDEX(ERP資料!$O:$O, (MATCH(331, 輔助計算!$E$2:$E$801, 0)+1))="","",INDEX(ERP資料!$O:$O, (MATCH(331, 輔助計算!$E$2:$E$801, 0)+1))), "")</f>
        <v/>
      </c>
      <c r="J332" s="15">
        <f>IFERROR(IF(INDEX(輔助計算!$D:$D,(MATCH(331, 輔助計算!$E$2:$E$801, 0)+1))="","",INDEX(輔助計算!$D:$D,(MATCH(331, 輔助計算!$E$2:$E$801, 0)+1))*INDEX(ERP資料!$O:$O,(MATCH(331, 輔助計算!$E$2:$E$801, 0)+1))), "")</f>
        <v/>
      </c>
      <c r="K332" s="16" t="n"/>
      <c r="L332" s="16" t="n"/>
      <c r="M332" s="17" t="n"/>
    </row>
    <row r="333">
      <c r="A333" s="14">
        <f>IFERROR(IF(INDEX(ERP資料!$B:$B, (MATCH(332, 輔助計算!$E$2:$E$801, 0)+1))="","",INDEX(ERP資料!$B:$B, (MATCH(332, 輔助計算!$E$2:$E$801, 0)+1))), "")</f>
        <v/>
      </c>
      <c r="B333" s="10">
        <f>IFERROR(IF(INDEX(ERP資料!$A:$A, (MATCH(332, 輔助計算!$E$2:$E$801, 0)+1))="","",INDEX(ERP資料!$A:$A, (MATCH(332, 輔助計算!$E$2:$E$801, 0)+1))), "")</f>
        <v/>
      </c>
      <c r="C333" s="10">
        <f>IFERROR(IF(INDEX(ERP資料!$S:$S, (MATCH(332, 輔助計算!$E$2:$E$801, 0)+1))="","",INDEX(ERP資料!$S:$S, (MATCH(332, 輔助計算!$E$2:$E$801, 0)+1))), "")</f>
        <v/>
      </c>
      <c r="D333" s="10">
        <f>IFERROR(IF(INDEX(ERP資料!$E:$E, (MATCH(332, 輔助計算!$E$2:$E$801, 0)+1))="","",TRIM(INDEX(ERP資料!$E:$E, (MATCH(332, 輔助計算!$E$2:$E$801, 0)+1)))), "")</f>
        <v/>
      </c>
      <c r="E333" s="10">
        <f>IFERROR(IF(INDEX(ERP資料!$F:$F, (MATCH(332, 輔助計算!$E$2:$E$801, 0)+1))="","",INDEX(ERP資料!$F:$F, (MATCH(332, 輔助計算!$E$2:$E$801, 0)+1))), "")</f>
        <v/>
      </c>
      <c r="F333" s="10">
        <f>IFERROR(IF(INDEX(ERP資料!$G:$G, (MATCH(332, 輔助計算!$E$2:$E$801, 0)+1))="","",INDEX(ERP資料!$G:$G, (MATCH(332, 輔助計算!$E$2:$E$801, 0)+1))), "")</f>
        <v/>
      </c>
      <c r="G333" s="10">
        <f>IFERROR(IF(INDEX(ERP資料!$H:$H, (MATCH(332, 輔助計算!$E$2:$E$801, 0)+1))="","",INDEX(ERP資料!$H:$H, (MATCH(332, 輔助計算!$E$2:$E$801, 0)+1))), "")</f>
        <v/>
      </c>
      <c r="H333" s="15">
        <f>IFERROR(INDEX(輔助計算!$D:$D, (MATCH(332, 輔助計算!$E$2:$E$801, 0)+1)), "")</f>
        <v/>
      </c>
      <c r="I333" s="10">
        <f>IFERROR(IF(INDEX(ERP資料!$O:$O, (MATCH(332, 輔助計算!$E$2:$E$801, 0)+1))="","",INDEX(ERP資料!$O:$O, (MATCH(332, 輔助計算!$E$2:$E$801, 0)+1))), "")</f>
        <v/>
      </c>
      <c r="J333" s="15">
        <f>IFERROR(IF(INDEX(輔助計算!$D:$D,(MATCH(332, 輔助計算!$E$2:$E$801, 0)+1))="","",INDEX(輔助計算!$D:$D,(MATCH(332, 輔助計算!$E$2:$E$801, 0)+1))*INDEX(ERP資料!$O:$O,(MATCH(332, 輔助計算!$E$2:$E$801, 0)+1))), "")</f>
        <v/>
      </c>
      <c r="K333" s="16" t="n"/>
      <c r="L333" s="16" t="n"/>
      <c r="M333" s="17" t="n"/>
    </row>
    <row r="334">
      <c r="A334" s="14">
        <f>IFERROR(IF(INDEX(ERP資料!$B:$B, (MATCH(333, 輔助計算!$E$2:$E$801, 0)+1))="","",INDEX(ERP資料!$B:$B, (MATCH(333, 輔助計算!$E$2:$E$801, 0)+1))), "")</f>
        <v/>
      </c>
      <c r="B334" s="10">
        <f>IFERROR(IF(INDEX(ERP資料!$A:$A, (MATCH(333, 輔助計算!$E$2:$E$801, 0)+1))="","",INDEX(ERP資料!$A:$A, (MATCH(333, 輔助計算!$E$2:$E$801, 0)+1))), "")</f>
        <v/>
      </c>
      <c r="C334" s="10">
        <f>IFERROR(IF(INDEX(ERP資料!$S:$S, (MATCH(333, 輔助計算!$E$2:$E$801, 0)+1))="","",INDEX(ERP資料!$S:$S, (MATCH(333, 輔助計算!$E$2:$E$801, 0)+1))), "")</f>
        <v/>
      </c>
      <c r="D334" s="10">
        <f>IFERROR(IF(INDEX(ERP資料!$E:$E, (MATCH(333, 輔助計算!$E$2:$E$801, 0)+1))="","",TRIM(INDEX(ERP資料!$E:$E, (MATCH(333, 輔助計算!$E$2:$E$801, 0)+1)))), "")</f>
        <v/>
      </c>
      <c r="E334" s="10">
        <f>IFERROR(IF(INDEX(ERP資料!$F:$F, (MATCH(333, 輔助計算!$E$2:$E$801, 0)+1))="","",INDEX(ERP資料!$F:$F, (MATCH(333, 輔助計算!$E$2:$E$801, 0)+1))), "")</f>
        <v/>
      </c>
      <c r="F334" s="10">
        <f>IFERROR(IF(INDEX(ERP資料!$G:$G, (MATCH(333, 輔助計算!$E$2:$E$801, 0)+1))="","",INDEX(ERP資料!$G:$G, (MATCH(333, 輔助計算!$E$2:$E$801, 0)+1))), "")</f>
        <v/>
      </c>
      <c r="G334" s="10">
        <f>IFERROR(IF(INDEX(ERP資料!$H:$H, (MATCH(333, 輔助計算!$E$2:$E$801, 0)+1))="","",INDEX(ERP資料!$H:$H, (MATCH(333, 輔助計算!$E$2:$E$801, 0)+1))), "")</f>
        <v/>
      </c>
      <c r="H334" s="15">
        <f>IFERROR(INDEX(輔助計算!$D:$D, (MATCH(333, 輔助計算!$E$2:$E$801, 0)+1)), "")</f>
        <v/>
      </c>
      <c r="I334" s="10">
        <f>IFERROR(IF(INDEX(ERP資料!$O:$O, (MATCH(333, 輔助計算!$E$2:$E$801, 0)+1))="","",INDEX(ERP資料!$O:$O, (MATCH(333, 輔助計算!$E$2:$E$801, 0)+1))), "")</f>
        <v/>
      </c>
      <c r="J334" s="15">
        <f>IFERROR(IF(INDEX(輔助計算!$D:$D,(MATCH(333, 輔助計算!$E$2:$E$801, 0)+1))="","",INDEX(輔助計算!$D:$D,(MATCH(333, 輔助計算!$E$2:$E$801, 0)+1))*INDEX(ERP資料!$O:$O,(MATCH(333, 輔助計算!$E$2:$E$801, 0)+1))), "")</f>
        <v/>
      </c>
      <c r="K334" s="16" t="n"/>
      <c r="L334" s="16" t="n"/>
      <c r="M334" s="17" t="n"/>
    </row>
    <row r="335">
      <c r="A335" s="14">
        <f>IFERROR(IF(INDEX(ERP資料!$B:$B, (MATCH(334, 輔助計算!$E$2:$E$801, 0)+1))="","",INDEX(ERP資料!$B:$B, (MATCH(334, 輔助計算!$E$2:$E$801, 0)+1))), "")</f>
        <v/>
      </c>
      <c r="B335" s="10">
        <f>IFERROR(IF(INDEX(ERP資料!$A:$A, (MATCH(334, 輔助計算!$E$2:$E$801, 0)+1))="","",INDEX(ERP資料!$A:$A, (MATCH(334, 輔助計算!$E$2:$E$801, 0)+1))), "")</f>
        <v/>
      </c>
      <c r="C335" s="10">
        <f>IFERROR(IF(INDEX(ERP資料!$S:$S, (MATCH(334, 輔助計算!$E$2:$E$801, 0)+1))="","",INDEX(ERP資料!$S:$S, (MATCH(334, 輔助計算!$E$2:$E$801, 0)+1))), "")</f>
        <v/>
      </c>
      <c r="D335" s="10">
        <f>IFERROR(IF(INDEX(ERP資料!$E:$E, (MATCH(334, 輔助計算!$E$2:$E$801, 0)+1))="","",TRIM(INDEX(ERP資料!$E:$E, (MATCH(334, 輔助計算!$E$2:$E$801, 0)+1)))), "")</f>
        <v/>
      </c>
      <c r="E335" s="10">
        <f>IFERROR(IF(INDEX(ERP資料!$F:$F, (MATCH(334, 輔助計算!$E$2:$E$801, 0)+1))="","",INDEX(ERP資料!$F:$F, (MATCH(334, 輔助計算!$E$2:$E$801, 0)+1))), "")</f>
        <v/>
      </c>
      <c r="F335" s="10">
        <f>IFERROR(IF(INDEX(ERP資料!$G:$G, (MATCH(334, 輔助計算!$E$2:$E$801, 0)+1))="","",INDEX(ERP資料!$G:$G, (MATCH(334, 輔助計算!$E$2:$E$801, 0)+1))), "")</f>
        <v/>
      </c>
      <c r="G335" s="10">
        <f>IFERROR(IF(INDEX(ERP資料!$H:$H, (MATCH(334, 輔助計算!$E$2:$E$801, 0)+1))="","",INDEX(ERP資料!$H:$H, (MATCH(334, 輔助計算!$E$2:$E$801, 0)+1))), "")</f>
        <v/>
      </c>
      <c r="H335" s="15">
        <f>IFERROR(INDEX(輔助計算!$D:$D, (MATCH(334, 輔助計算!$E$2:$E$801, 0)+1)), "")</f>
        <v/>
      </c>
      <c r="I335" s="10">
        <f>IFERROR(IF(INDEX(ERP資料!$O:$O, (MATCH(334, 輔助計算!$E$2:$E$801, 0)+1))="","",INDEX(ERP資料!$O:$O, (MATCH(334, 輔助計算!$E$2:$E$801, 0)+1))), "")</f>
        <v/>
      </c>
      <c r="J335" s="15">
        <f>IFERROR(IF(INDEX(輔助計算!$D:$D,(MATCH(334, 輔助計算!$E$2:$E$801, 0)+1))="","",INDEX(輔助計算!$D:$D,(MATCH(334, 輔助計算!$E$2:$E$801, 0)+1))*INDEX(ERP資料!$O:$O,(MATCH(334, 輔助計算!$E$2:$E$801, 0)+1))), "")</f>
        <v/>
      </c>
      <c r="K335" s="16" t="n"/>
      <c r="L335" s="16" t="n"/>
      <c r="M335" s="17" t="n"/>
    </row>
    <row r="336">
      <c r="A336" s="14">
        <f>IFERROR(IF(INDEX(ERP資料!$B:$B, (MATCH(335, 輔助計算!$E$2:$E$801, 0)+1))="","",INDEX(ERP資料!$B:$B, (MATCH(335, 輔助計算!$E$2:$E$801, 0)+1))), "")</f>
        <v/>
      </c>
      <c r="B336" s="10">
        <f>IFERROR(IF(INDEX(ERP資料!$A:$A, (MATCH(335, 輔助計算!$E$2:$E$801, 0)+1))="","",INDEX(ERP資料!$A:$A, (MATCH(335, 輔助計算!$E$2:$E$801, 0)+1))), "")</f>
        <v/>
      </c>
      <c r="C336" s="10">
        <f>IFERROR(IF(INDEX(ERP資料!$S:$S, (MATCH(335, 輔助計算!$E$2:$E$801, 0)+1))="","",INDEX(ERP資料!$S:$S, (MATCH(335, 輔助計算!$E$2:$E$801, 0)+1))), "")</f>
        <v/>
      </c>
      <c r="D336" s="10">
        <f>IFERROR(IF(INDEX(ERP資料!$E:$E, (MATCH(335, 輔助計算!$E$2:$E$801, 0)+1))="","",TRIM(INDEX(ERP資料!$E:$E, (MATCH(335, 輔助計算!$E$2:$E$801, 0)+1)))), "")</f>
        <v/>
      </c>
      <c r="E336" s="10">
        <f>IFERROR(IF(INDEX(ERP資料!$F:$F, (MATCH(335, 輔助計算!$E$2:$E$801, 0)+1))="","",INDEX(ERP資料!$F:$F, (MATCH(335, 輔助計算!$E$2:$E$801, 0)+1))), "")</f>
        <v/>
      </c>
      <c r="F336" s="10">
        <f>IFERROR(IF(INDEX(ERP資料!$G:$G, (MATCH(335, 輔助計算!$E$2:$E$801, 0)+1))="","",INDEX(ERP資料!$G:$G, (MATCH(335, 輔助計算!$E$2:$E$801, 0)+1))), "")</f>
        <v/>
      </c>
      <c r="G336" s="10">
        <f>IFERROR(IF(INDEX(ERP資料!$H:$H, (MATCH(335, 輔助計算!$E$2:$E$801, 0)+1))="","",INDEX(ERP資料!$H:$H, (MATCH(335, 輔助計算!$E$2:$E$801, 0)+1))), "")</f>
        <v/>
      </c>
      <c r="H336" s="15">
        <f>IFERROR(INDEX(輔助計算!$D:$D, (MATCH(335, 輔助計算!$E$2:$E$801, 0)+1)), "")</f>
        <v/>
      </c>
      <c r="I336" s="10">
        <f>IFERROR(IF(INDEX(ERP資料!$O:$O, (MATCH(335, 輔助計算!$E$2:$E$801, 0)+1))="","",INDEX(ERP資料!$O:$O, (MATCH(335, 輔助計算!$E$2:$E$801, 0)+1))), "")</f>
        <v/>
      </c>
      <c r="J336" s="15">
        <f>IFERROR(IF(INDEX(輔助計算!$D:$D,(MATCH(335, 輔助計算!$E$2:$E$801, 0)+1))="","",INDEX(輔助計算!$D:$D,(MATCH(335, 輔助計算!$E$2:$E$801, 0)+1))*INDEX(ERP資料!$O:$O,(MATCH(335, 輔助計算!$E$2:$E$801, 0)+1))), "")</f>
        <v/>
      </c>
      <c r="K336" s="16" t="n"/>
      <c r="L336" s="16" t="n"/>
      <c r="M336" s="17" t="n"/>
    </row>
    <row r="337">
      <c r="A337" s="14">
        <f>IFERROR(IF(INDEX(ERP資料!$B:$B, (MATCH(336, 輔助計算!$E$2:$E$801, 0)+1))="","",INDEX(ERP資料!$B:$B, (MATCH(336, 輔助計算!$E$2:$E$801, 0)+1))), "")</f>
        <v/>
      </c>
      <c r="B337" s="10">
        <f>IFERROR(IF(INDEX(ERP資料!$A:$A, (MATCH(336, 輔助計算!$E$2:$E$801, 0)+1))="","",INDEX(ERP資料!$A:$A, (MATCH(336, 輔助計算!$E$2:$E$801, 0)+1))), "")</f>
        <v/>
      </c>
      <c r="C337" s="10">
        <f>IFERROR(IF(INDEX(ERP資料!$S:$S, (MATCH(336, 輔助計算!$E$2:$E$801, 0)+1))="","",INDEX(ERP資料!$S:$S, (MATCH(336, 輔助計算!$E$2:$E$801, 0)+1))), "")</f>
        <v/>
      </c>
      <c r="D337" s="10">
        <f>IFERROR(IF(INDEX(ERP資料!$E:$E, (MATCH(336, 輔助計算!$E$2:$E$801, 0)+1))="","",TRIM(INDEX(ERP資料!$E:$E, (MATCH(336, 輔助計算!$E$2:$E$801, 0)+1)))), "")</f>
        <v/>
      </c>
      <c r="E337" s="10">
        <f>IFERROR(IF(INDEX(ERP資料!$F:$F, (MATCH(336, 輔助計算!$E$2:$E$801, 0)+1))="","",INDEX(ERP資料!$F:$F, (MATCH(336, 輔助計算!$E$2:$E$801, 0)+1))), "")</f>
        <v/>
      </c>
      <c r="F337" s="10">
        <f>IFERROR(IF(INDEX(ERP資料!$G:$G, (MATCH(336, 輔助計算!$E$2:$E$801, 0)+1))="","",INDEX(ERP資料!$G:$G, (MATCH(336, 輔助計算!$E$2:$E$801, 0)+1))), "")</f>
        <v/>
      </c>
      <c r="G337" s="10">
        <f>IFERROR(IF(INDEX(ERP資料!$H:$H, (MATCH(336, 輔助計算!$E$2:$E$801, 0)+1))="","",INDEX(ERP資料!$H:$H, (MATCH(336, 輔助計算!$E$2:$E$801, 0)+1))), "")</f>
        <v/>
      </c>
      <c r="H337" s="15">
        <f>IFERROR(INDEX(輔助計算!$D:$D, (MATCH(336, 輔助計算!$E$2:$E$801, 0)+1)), "")</f>
        <v/>
      </c>
      <c r="I337" s="10">
        <f>IFERROR(IF(INDEX(ERP資料!$O:$O, (MATCH(336, 輔助計算!$E$2:$E$801, 0)+1))="","",INDEX(ERP資料!$O:$O, (MATCH(336, 輔助計算!$E$2:$E$801, 0)+1))), "")</f>
        <v/>
      </c>
      <c r="J337" s="15">
        <f>IFERROR(IF(INDEX(輔助計算!$D:$D,(MATCH(336, 輔助計算!$E$2:$E$801, 0)+1))="","",INDEX(輔助計算!$D:$D,(MATCH(336, 輔助計算!$E$2:$E$801, 0)+1))*INDEX(ERP資料!$O:$O,(MATCH(336, 輔助計算!$E$2:$E$801, 0)+1))), "")</f>
        <v/>
      </c>
      <c r="K337" s="16" t="n"/>
      <c r="L337" s="16" t="n"/>
      <c r="M337" s="17" t="n"/>
    </row>
    <row r="338">
      <c r="A338" s="14">
        <f>IFERROR(IF(INDEX(ERP資料!$B:$B, (MATCH(337, 輔助計算!$E$2:$E$801, 0)+1))="","",INDEX(ERP資料!$B:$B, (MATCH(337, 輔助計算!$E$2:$E$801, 0)+1))), "")</f>
        <v/>
      </c>
      <c r="B338" s="10">
        <f>IFERROR(IF(INDEX(ERP資料!$A:$A, (MATCH(337, 輔助計算!$E$2:$E$801, 0)+1))="","",INDEX(ERP資料!$A:$A, (MATCH(337, 輔助計算!$E$2:$E$801, 0)+1))), "")</f>
        <v/>
      </c>
      <c r="C338" s="10">
        <f>IFERROR(IF(INDEX(ERP資料!$S:$S, (MATCH(337, 輔助計算!$E$2:$E$801, 0)+1))="","",INDEX(ERP資料!$S:$S, (MATCH(337, 輔助計算!$E$2:$E$801, 0)+1))), "")</f>
        <v/>
      </c>
      <c r="D338" s="10">
        <f>IFERROR(IF(INDEX(ERP資料!$E:$E, (MATCH(337, 輔助計算!$E$2:$E$801, 0)+1))="","",TRIM(INDEX(ERP資料!$E:$E, (MATCH(337, 輔助計算!$E$2:$E$801, 0)+1)))), "")</f>
        <v/>
      </c>
      <c r="E338" s="10">
        <f>IFERROR(IF(INDEX(ERP資料!$F:$F, (MATCH(337, 輔助計算!$E$2:$E$801, 0)+1))="","",INDEX(ERP資料!$F:$F, (MATCH(337, 輔助計算!$E$2:$E$801, 0)+1))), "")</f>
        <v/>
      </c>
      <c r="F338" s="10">
        <f>IFERROR(IF(INDEX(ERP資料!$G:$G, (MATCH(337, 輔助計算!$E$2:$E$801, 0)+1))="","",INDEX(ERP資料!$G:$G, (MATCH(337, 輔助計算!$E$2:$E$801, 0)+1))), "")</f>
        <v/>
      </c>
      <c r="G338" s="10">
        <f>IFERROR(IF(INDEX(ERP資料!$H:$H, (MATCH(337, 輔助計算!$E$2:$E$801, 0)+1))="","",INDEX(ERP資料!$H:$H, (MATCH(337, 輔助計算!$E$2:$E$801, 0)+1))), "")</f>
        <v/>
      </c>
      <c r="H338" s="15">
        <f>IFERROR(INDEX(輔助計算!$D:$D, (MATCH(337, 輔助計算!$E$2:$E$801, 0)+1)), "")</f>
        <v/>
      </c>
      <c r="I338" s="10">
        <f>IFERROR(IF(INDEX(ERP資料!$O:$O, (MATCH(337, 輔助計算!$E$2:$E$801, 0)+1))="","",INDEX(ERP資料!$O:$O, (MATCH(337, 輔助計算!$E$2:$E$801, 0)+1))), "")</f>
        <v/>
      </c>
      <c r="J338" s="15">
        <f>IFERROR(IF(INDEX(輔助計算!$D:$D,(MATCH(337, 輔助計算!$E$2:$E$801, 0)+1))="","",INDEX(輔助計算!$D:$D,(MATCH(337, 輔助計算!$E$2:$E$801, 0)+1))*INDEX(ERP資料!$O:$O,(MATCH(337, 輔助計算!$E$2:$E$801, 0)+1))), "")</f>
        <v/>
      </c>
      <c r="K338" s="16" t="n"/>
      <c r="L338" s="16" t="n"/>
      <c r="M338" s="17" t="n"/>
    </row>
    <row r="339">
      <c r="A339" s="14">
        <f>IFERROR(IF(INDEX(ERP資料!$B:$B, (MATCH(338, 輔助計算!$E$2:$E$801, 0)+1))="","",INDEX(ERP資料!$B:$B, (MATCH(338, 輔助計算!$E$2:$E$801, 0)+1))), "")</f>
        <v/>
      </c>
      <c r="B339" s="10">
        <f>IFERROR(IF(INDEX(ERP資料!$A:$A, (MATCH(338, 輔助計算!$E$2:$E$801, 0)+1))="","",INDEX(ERP資料!$A:$A, (MATCH(338, 輔助計算!$E$2:$E$801, 0)+1))), "")</f>
        <v/>
      </c>
      <c r="C339" s="10">
        <f>IFERROR(IF(INDEX(ERP資料!$S:$S, (MATCH(338, 輔助計算!$E$2:$E$801, 0)+1))="","",INDEX(ERP資料!$S:$S, (MATCH(338, 輔助計算!$E$2:$E$801, 0)+1))), "")</f>
        <v/>
      </c>
      <c r="D339" s="10">
        <f>IFERROR(IF(INDEX(ERP資料!$E:$E, (MATCH(338, 輔助計算!$E$2:$E$801, 0)+1))="","",TRIM(INDEX(ERP資料!$E:$E, (MATCH(338, 輔助計算!$E$2:$E$801, 0)+1)))), "")</f>
        <v/>
      </c>
      <c r="E339" s="10">
        <f>IFERROR(IF(INDEX(ERP資料!$F:$F, (MATCH(338, 輔助計算!$E$2:$E$801, 0)+1))="","",INDEX(ERP資料!$F:$F, (MATCH(338, 輔助計算!$E$2:$E$801, 0)+1))), "")</f>
        <v/>
      </c>
      <c r="F339" s="10">
        <f>IFERROR(IF(INDEX(ERP資料!$G:$G, (MATCH(338, 輔助計算!$E$2:$E$801, 0)+1))="","",INDEX(ERP資料!$G:$G, (MATCH(338, 輔助計算!$E$2:$E$801, 0)+1))), "")</f>
        <v/>
      </c>
      <c r="G339" s="10">
        <f>IFERROR(IF(INDEX(ERP資料!$H:$H, (MATCH(338, 輔助計算!$E$2:$E$801, 0)+1))="","",INDEX(ERP資料!$H:$H, (MATCH(338, 輔助計算!$E$2:$E$801, 0)+1))), "")</f>
        <v/>
      </c>
      <c r="H339" s="15">
        <f>IFERROR(INDEX(輔助計算!$D:$D, (MATCH(338, 輔助計算!$E$2:$E$801, 0)+1)), "")</f>
        <v/>
      </c>
      <c r="I339" s="10">
        <f>IFERROR(IF(INDEX(ERP資料!$O:$O, (MATCH(338, 輔助計算!$E$2:$E$801, 0)+1))="","",INDEX(ERP資料!$O:$O, (MATCH(338, 輔助計算!$E$2:$E$801, 0)+1))), "")</f>
        <v/>
      </c>
      <c r="J339" s="15">
        <f>IFERROR(IF(INDEX(輔助計算!$D:$D,(MATCH(338, 輔助計算!$E$2:$E$801, 0)+1))="","",INDEX(輔助計算!$D:$D,(MATCH(338, 輔助計算!$E$2:$E$801, 0)+1))*INDEX(ERP資料!$O:$O,(MATCH(338, 輔助計算!$E$2:$E$801, 0)+1))), "")</f>
        <v/>
      </c>
      <c r="K339" s="16" t="n"/>
      <c r="L339" s="16" t="n"/>
      <c r="M339" s="17" t="n"/>
    </row>
    <row r="340">
      <c r="A340" s="14">
        <f>IFERROR(IF(INDEX(ERP資料!$B:$B, (MATCH(339, 輔助計算!$E$2:$E$801, 0)+1))="","",INDEX(ERP資料!$B:$B, (MATCH(339, 輔助計算!$E$2:$E$801, 0)+1))), "")</f>
        <v/>
      </c>
      <c r="B340" s="10">
        <f>IFERROR(IF(INDEX(ERP資料!$A:$A, (MATCH(339, 輔助計算!$E$2:$E$801, 0)+1))="","",INDEX(ERP資料!$A:$A, (MATCH(339, 輔助計算!$E$2:$E$801, 0)+1))), "")</f>
        <v/>
      </c>
      <c r="C340" s="10">
        <f>IFERROR(IF(INDEX(ERP資料!$S:$S, (MATCH(339, 輔助計算!$E$2:$E$801, 0)+1))="","",INDEX(ERP資料!$S:$S, (MATCH(339, 輔助計算!$E$2:$E$801, 0)+1))), "")</f>
        <v/>
      </c>
      <c r="D340" s="10">
        <f>IFERROR(IF(INDEX(ERP資料!$E:$E, (MATCH(339, 輔助計算!$E$2:$E$801, 0)+1))="","",TRIM(INDEX(ERP資料!$E:$E, (MATCH(339, 輔助計算!$E$2:$E$801, 0)+1)))), "")</f>
        <v/>
      </c>
      <c r="E340" s="10">
        <f>IFERROR(IF(INDEX(ERP資料!$F:$F, (MATCH(339, 輔助計算!$E$2:$E$801, 0)+1))="","",INDEX(ERP資料!$F:$F, (MATCH(339, 輔助計算!$E$2:$E$801, 0)+1))), "")</f>
        <v/>
      </c>
      <c r="F340" s="10">
        <f>IFERROR(IF(INDEX(ERP資料!$G:$G, (MATCH(339, 輔助計算!$E$2:$E$801, 0)+1))="","",INDEX(ERP資料!$G:$G, (MATCH(339, 輔助計算!$E$2:$E$801, 0)+1))), "")</f>
        <v/>
      </c>
      <c r="G340" s="10">
        <f>IFERROR(IF(INDEX(ERP資料!$H:$H, (MATCH(339, 輔助計算!$E$2:$E$801, 0)+1))="","",INDEX(ERP資料!$H:$H, (MATCH(339, 輔助計算!$E$2:$E$801, 0)+1))), "")</f>
        <v/>
      </c>
      <c r="H340" s="15">
        <f>IFERROR(INDEX(輔助計算!$D:$D, (MATCH(339, 輔助計算!$E$2:$E$801, 0)+1)), "")</f>
        <v/>
      </c>
      <c r="I340" s="10">
        <f>IFERROR(IF(INDEX(ERP資料!$O:$O, (MATCH(339, 輔助計算!$E$2:$E$801, 0)+1))="","",INDEX(ERP資料!$O:$O, (MATCH(339, 輔助計算!$E$2:$E$801, 0)+1))), "")</f>
        <v/>
      </c>
      <c r="J340" s="15">
        <f>IFERROR(IF(INDEX(輔助計算!$D:$D,(MATCH(339, 輔助計算!$E$2:$E$801, 0)+1))="","",INDEX(輔助計算!$D:$D,(MATCH(339, 輔助計算!$E$2:$E$801, 0)+1))*INDEX(ERP資料!$O:$O,(MATCH(339, 輔助計算!$E$2:$E$801, 0)+1))), "")</f>
        <v/>
      </c>
      <c r="K340" s="16" t="n"/>
      <c r="L340" s="16" t="n"/>
      <c r="M340" s="17" t="n"/>
    </row>
    <row r="341">
      <c r="A341" s="14">
        <f>IFERROR(IF(INDEX(ERP資料!$B:$B, (MATCH(340, 輔助計算!$E$2:$E$801, 0)+1))="","",INDEX(ERP資料!$B:$B, (MATCH(340, 輔助計算!$E$2:$E$801, 0)+1))), "")</f>
        <v/>
      </c>
      <c r="B341" s="10">
        <f>IFERROR(IF(INDEX(ERP資料!$A:$A, (MATCH(340, 輔助計算!$E$2:$E$801, 0)+1))="","",INDEX(ERP資料!$A:$A, (MATCH(340, 輔助計算!$E$2:$E$801, 0)+1))), "")</f>
        <v/>
      </c>
      <c r="C341" s="10">
        <f>IFERROR(IF(INDEX(ERP資料!$S:$S, (MATCH(340, 輔助計算!$E$2:$E$801, 0)+1))="","",INDEX(ERP資料!$S:$S, (MATCH(340, 輔助計算!$E$2:$E$801, 0)+1))), "")</f>
        <v/>
      </c>
      <c r="D341" s="10">
        <f>IFERROR(IF(INDEX(ERP資料!$E:$E, (MATCH(340, 輔助計算!$E$2:$E$801, 0)+1))="","",TRIM(INDEX(ERP資料!$E:$E, (MATCH(340, 輔助計算!$E$2:$E$801, 0)+1)))), "")</f>
        <v/>
      </c>
      <c r="E341" s="10">
        <f>IFERROR(IF(INDEX(ERP資料!$F:$F, (MATCH(340, 輔助計算!$E$2:$E$801, 0)+1))="","",INDEX(ERP資料!$F:$F, (MATCH(340, 輔助計算!$E$2:$E$801, 0)+1))), "")</f>
        <v/>
      </c>
      <c r="F341" s="10">
        <f>IFERROR(IF(INDEX(ERP資料!$G:$G, (MATCH(340, 輔助計算!$E$2:$E$801, 0)+1))="","",INDEX(ERP資料!$G:$G, (MATCH(340, 輔助計算!$E$2:$E$801, 0)+1))), "")</f>
        <v/>
      </c>
      <c r="G341" s="10">
        <f>IFERROR(IF(INDEX(ERP資料!$H:$H, (MATCH(340, 輔助計算!$E$2:$E$801, 0)+1))="","",INDEX(ERP資料!$H:$H, (MATCH(340, 輔助計算!$E$2:$E$801, 0)+1))), "")</f>
        <v/>
      </c>
      <c r="H341" s="15">
        <f>IFERROR(INDEX(輔助計算!$D:$D, (MATCH(340, 輔助計算!$E$2:$E$801, 0)+1)), "")</f>
        <v/>
      </c>
      <c r="I341" s="10">
        <f>IFERROR(IF(INDEX(ERP資料!$O:$O, (MATCH(340, 輔助計算!$E$2:$E$801, 0)+1))="","",INDEX(ERP資料!$O:$O, (MATCH(340, 輔助計算!$E$2:$E$801, 0)+1))), "")</f>
        <v/>
      </c>
      <c r="J341" s="15">
        <f>IFERROR(IF(INDEX(輔助計算!$D:$D,(MATCH(340, 輔助計算!$E$2:$E$801, 0)+1))="","",INDEX(輔助計算!$D:$D,(MATCH(340, 輔助計算!$E$2:$E$801, 0)+1))*INDEX(ERP資料!$O:$O,(MATCH(340, 輔助計算!$E$2:$E$801, 0)+1))), "")</f>
        <v/>
      </c>
      <c r="K341" s="16" t="n"/>
      <c r="L341" s="16" t="n"/>
      <c r="M341" s="17" t="n"/>
    </row>
    <row r="342">
      <c r="A342" s="14">
        <f>IFERROR(IF(INDEX(ERP資料!$B:$B, (MATCH(341, 輔助計算!$E$2:$E$801, 0)+1))="","",INDEX(ERP資料!$B:$B, (MATCH(341, 輔助計算!$E$2:$E$801, 0)+1))), "")</f>
        <v/>
      </c>
      <c r="B342" s="10">
        <f>IFERROR(IF(INDEX(ERP資料!$A:$A, (MATCH(341, 輔助計算!$E$2:$E$801, 0)+1))="","",INDEX(ERP資料!$A:$A, (MATCH(341, 輔助計算!$E$2:$E$801, 0)+1))), "")</f>
        <v/>
      </c>
      <c r="C342" s="10">
        <f>IFERROR(IF(INDEX(ERP資料!$S:$S, (MATCH(341, 輔助計算!$E$2:$E$801, 0)+1))="","",INDEX(ERP資料!$S:$S, (MATCH(341, 輔助計算!$E$2:$E$801, 0)+1))), "")</f>
        <v/>
      </c>
      <c r="D342" s="10">
        <f>IFERROR(IF(INDEX(ERP資料!$E:$E, (MATCH(341, 輔助計算!$E$2:$E$801, 0)+1))="","",TRIM(INDEX(ERP資料!$E:$E, (MATCH(341, 輔助計算!$E$2:$E$801, 0)+1)))), "")</f>
        <v/>
      </c>
      <c r="E342" s="10">
        <f>IFERROR(IF(INDEX(ERP資料!$F:$F, (MATCH(341, 輔助計算!$E$2:$E$801, 0)+1))="","",INDEX(ERP資料!$F:$F, (MATCH(341, 輔助計算!$E$2:$E$801, 0)+1))), "")</f>
        <v/>
      </c>
      <c r="F342" s="10">
        <f>IFERROR(IF(INDEX(ERP資料!$G:$G, (MATCH(341, 輔助計算!$E$2:$E$801, 0)+1))="","",INDEX(ERP資料!$G:$G, (MATCH(341, 輔助計算!$E$2:$E$801, 0)+1))), "")</f>
        <v/>
      </c>
      <c r="G342" s="10">
        <f>IFERROR(IF(INDEX(ERP資料!$H:$H, (MATCH(341, 輔助計算!$E$2:$E$801, 0)+1))="","",INDEX(ERP資料!$H:$H, (MATCH(341, 輔助計算!$E$2:$E$801, 0)+1))), "")</f>
        <v/>
      </c>
      <c r="H342" s="15">
        <f>IFERROR(INDEX(輔助計算!$D:$D, (MATCH(341, 輔助計算!$E$2:$E$801, 0)+1)), "")</f>
        <v/>
      </c>
      <c r="I342" s="10">
        <f>IFERROR(IF(INDEX(ERP資料!$O:$O, (MATCH(341, 輔助計算!$E$2:$E$801, 0)+1))="","",INDEX(ERP資料!$O:$O, (MATCH(341, 輔助計算!$E$2:$E$801, 0)+1))), "")</f>
        <v/>
      </c>
      <c r="J342" s="15">
        <f>IFERROR(IF(INDEX(輔助計算!$D:$D,(MATCH(341, 輔助計算!$E$2:$E$801, 0)+1))="","",INDEX(輔助計算!$D:$D,(MATCH(341, 輔助計算!$E$2:$E$801, 0)+1))*INDEX(ERP資料!$O:$O,(MATCH(341, 輔助計算!$E$2:$E$801, 0)+1))), "")</f>
        <v/>
      </c>
      <c r="K342" s="16" t="n"/>
      <c r="L342" s="16" t="n"/>
      <c r="M342" s="17" t="n"/>
    </row>
    <row r="343">
      <c r="A343" s="14">
        <f>IFERROR(IF(INDEX(ERP資料!$B:$B, (MATCH(342, 輔助計算!$E$2:$E$801, 0)+1))="","",INDEX(ERP資料!$B:$B, (MATCH(342, 輔助計算!$E$2:$E$801, 0)+1))), "")</f>
        <v/>
      </c>
      <c r="B343" s="10">
        <f>IFERROR(IF(INDEX(ERP資料!$A:$A, (MATCH(342, 輔助計算!$E$2:$E$801, 0)+1))="","",INDEX(ERP資料!$A:$A, (MATCH(342, 輔助計算!$E$2:$E$801, 0)+1))), "")</f>
        <v/>
      </c>
      <c r="C343" s="10">
        <f>IFERROR(IF(INDEX(ERP資料!$S:$S, (MATCH(342, 輔助計算!$E$2:$E$801, 0)+1))="","",INDEX(ERP資料!$S:$S, (MATCH(342, 輔助計算!$E$2:$E$801, 0)+1))), "")</f>
        <v/>
      </c>
      <c r="D343" s="10">
        <f>IFERROR(IF(INDEX(ERP資料!$E:$E, (MATCH(342, 輔助計算!$E$2:$E$801, 0)+1))="","",TRIM(INDEX(ERP資料!$E:$E, (MATCH(342, 輔助計算!$E$2:$E$801, 0)+1)))), "")</f>
        <v/>
      </c>
      <c r="E343" s="10">
        <f>IFERROR(IF(INDEX(ERP資料!$F:$F, (MATCH(342, 輔助計算!$E$2:$E$801, 0)+1))="","",INDEX(ERP資料!$F:$F, (MATCH(342, 輔助計算!$E$2:$E$801, 0)+1))), "")</f>
        <v/>
      </c>
      <c r="F343" s="10">
        <f>IFERROR(IF(INDEX(ERP資料!$G:$G, (MATCH(342, 輔助計算!$E$2:$E$801, 0)+1))="","",INDEX(ERP資料!$G:$G, (MATCH(342, 輔助計算!$E$2:$E$801, 0)+1))), "")</f>
        <v/>
      </c>
      <c r="G343" s="10">
        <f>IFERROR(IF(INDEX(ERP資料!$H:$H, (MATCH(342, 輔助計算!$E$2:$E$801, 0)+1))="","",INDEX(ERP資料!$H:$H, (MATCH(342, 輔助計算!$E$2:$E$801, 0)+1))), "")</f>
        <v/>
      </c>
      <c r="H343" s="15">
        <f>IFERROR(INDEX(輔助計算!$D:$D, (MATCH(342, 輔助計算!$E$2:$E$801, 0)+1)), "")</f>
        <v/>
      </c>
      <c r="I343" s="10">
        <f>IFERROR(IF(INDEX(ERP資料!$O:$O, (MATCH(342, 輔助計算!$E$2:$E$801, 0)+1))="","",INDEX(ERP資料!$O:$O, (MATCH(342, 輔助計算!$E$2:$E$801, 0)+1))), "")</f>
        <v/>
      </c>
      <c r="J343" s="15">
        <f>IFERROR(IF(INDEX(輔助計算!$D:$D,(MATCH(342, 輔助計算!$E$2:$E$801, 0)+1))="","",INDEX(輔助計算!$D:$D,(MATCH(342, 輔助計算!$E$2:$E$801, 0)+1))*INDEX(ERP資料!$O:$O,(MATCH(342, 輔助計算!$E$2:$E$801, 0)+1))), "")</f>
        <v/>
      </c>
      <c r="K343" s="16" t="n"/>
      <c r="L343" s="16" t="n"/>
      <c r="M343" s="17" t="n"/>
    </row>
    <row r="344">
      <c r="A344" s="14">
        <f>IFERROR(IF(INDEX(ERP資料!$B:$B, (MATCH(343, 輔助計算!$E$2:$E$801, 0)+1))="","",INDEX(ERP資料!$B:$B, (MATCH(343, 輔助計算!$E$2:$E$801, 0)+1))), "")</f>
        <v/>
      </c>
      <c r="B344" s="10">
        <f>IFERROR(IF(INDEX(ERP資料!$A:$A, (MATCH(343, 輔助計算!$E$2:$E$801, 0)+1))="","",INDEX(ERP資料!$A:$A, (MATCH(343, 輔助計算!$E$2:$E$801, 0)+1))), "")</f>
        <v/>
      </c>
      <c r="C344" s="10">
        <f>IFERROR(IF(INDEX(ERP資料!$S:$S, (MATCH(343, 輔助計算!$E$2:$E$801, 0)+1))="","",INDEX(ERP資料!$S:$S, (MATCH(343, 輔助計算!$E$2:$E$801, 0)+1))), "")</f>
        <v/>
      </c>
      <c r="D344" s="10">
        <f>IFERROR(IF(INDEX(ERP資料!$E:$E, (MATCH(343, 輔助計算!$E$2:$E$801, 0)+1))="","",TRIM(INDEX(ERP資料!$E:$E, (MATCH(343, 輔助計算!$E$2:$E$801, 0)+1)))), "")</f>
        <v/>
      </c>
      <c r="E344" s="10">
        <f>IFERROR(IF(INDEX(ERP資料!$F:$F, (MATCH(343, 輔助計算!$E$2:$E$801, 0)+1))="","",INDEX(ERP資料!$F:$F, (MATCH(343, 輔助計算!$E$2:$E$801, 0)+1))), "")</f>
        <v/>
      </c>
      <c r="F344" s="10">
        <f>IFERROR(IF(INDEX(ERP資料!$G:$G, (MATCH(343, 輔助計算!$E$2:$E$801, 0)+1))="","",INDEX(ERP資料!$G:$G, (MATCH(343, 輔助計算!$E$2:$E$801, 0)+1))), "")</f>
        <v/>
      </c>
      <c r="G344" s="10">
        <f>IFERROR(IF(INDEX(ERP資料!$H:$H, (MATCH(343, 輔助計算!$E$2:$E$801, 0)+1))="","",INDEX(ERP資料!$H:$H, (MATCH(343, 輔助計算!$E$2:$E$801, 0)+1))), "")</f>
        <v/>
      </c>
      <c r="H344" s="15">
        <f>IFERROR(INDEX(輔助計算!$D:$D, (MATCH(343, 輔助計算!$E$2:$E$801, 0)+1)), "")</f>
        <v/>
      </c>
      <c r="I344" s="10">
        <f>IFERROR(IF(INDEX(ERP資料!$O:$O, (MATCH(343, 輔助計算!$E$2:$E$801, 0)+1))="","",INDEX(ERP資料!$O:$O, (MATCH(343, 輔助計算!$E$2:$E$801, 0)+1))), "")</f>
        <v/>
      </c>
      <c r="J344" s="15">
        <f>IFERROR(IF(INDEX(輔助計算!$D:$D,(MATCH(343, 輔助計算!$E$2:$E$801, 0)+1))="","",INDEX(輔助計算!$D:$D,(MATCH(343, 輔助計算!$E$2:$E$801, 0)+1))*INDEX(ERP資料!$O:$O,(MATCH(343, 輔助計算!$E$2:$E$801, 0)+1))), "")</f>
        <v/>
      </c>
      <c r="K344" s="16" t="n"/>
      <c r="L344" s="16" t="n"/>
      <c r="M344" s="17" t="n"/>
    </row>
    <row r="345">
      <c r="A345" s="14">
        <f>IFERROR(IF(INDEX(ERP資料!$B:$B, (MATCH(344, 輔助計算!$E$2:$E$801, 0)+1))="","",INDEX(ERP資料!$B:$B, (MATCH(344, 輔助計算!$E$2:$E$801, 0)+1))), "")</f>
        <v/>
      </c>
      <c r="B345" s="10">
        <f>IFERROR(IF(INDEX(ERP資料!$A:$A, (MATCH(344, 輔助計算!$E$2:$E$801, 0)+1))="","",INDEX(ERP資料!$A:$A, (MATCH(344, 輔助計算!$E$2:$E$801, 0)+1))), "")</f>
        <v/>
      </c>
      <c r="C345" s="10">
        <f>IFERROR(IF(INDEX(ERP資料!$S:$S, (MATCH(344, 輔助計算!$E$2:$E$801, 0)+1))="","",INDEX(ERP資料!$S:$S, (MATCH(344, 輔助計算!$E$2:$E$801, 0)+1))), "")</f>
        <v/>
      </c>
      <c r="D345" s="10">
        <f>IFERROR(IF(INDEX(ERP資料!$E:$E, (MATCH(344, 輔助計算!$E$2:$E$801, 0)+1))="","",TRIM(INDEX(ERP資料!$E:$E, (MATCH(344, 輔助計算!$E$2:$E$801, 0)+1)))), "")</f>
        <v/>
      </c>
      <c r="E345" s="10">
        <f>IFERROR(IF(INDEX(ERP資料!$F:$F, (MATCH(344, 輔助計算!$E$2:$E$801, 0)+1))="","",INDEX(ERP資料!$F:$F, (MATCH(344, 輔助計算!$E$2:$E$801, 0)+1))), "")</f>
        <v/>
      </c>
      <c r="F345" s="10">
        <f>IFERROR(IF(INDEX(ERP資料!$G:$G, (MATCH(344, 輔助計算!$E$2:$E$801, 0)+1))="","",INDEX(ERP資料!$G:$G, (MATCH(344, 輔助計算!$E$2:$E$801, 0)+1))), "")</f>
        <v/>
      </c>
      <c r="G345" s="10">
        <f>IFERROR(IF(INDEX(ERP資料!$H:$H, (MATCH(344, 輔助計算!$E$2:$E$801, 0)+1))="","",INDEX(ERP資料!$H:$H, (MATCH(344, 輔助計算!$E$2:$E$801, 0)+1))), "")</f>
        <v/>
      </c>
      <c r="H345" s="15">
        <f>IFERROR(INDEX(輔助計算!$D:$D, (MATCH(344, 輔助計算!$E$2:$E$801, 0)+1)), "")</f>
        <v/>
      </c>
      <c r="I345" s="10">
        <f>IFERROR(IF(INDEX(ERP資料!$O:$O, (MATCH(344, 輔助計算!$E$2:$E$801, 0)+1))="","",INDEX(ERP資料!$O:$O, (MATCH(344, 輔助計算!$E$2:$E$801, 0)+1))), "")</f>
        <v/>
      </c>
      <c r="J345" s="15">
        <f>IFERROR(IF(INDEX(輔助計算!$D:$D,(MATCH(344, 輔助計算!$E$2:$E$801, 0)+1))="","",INDEX(輔助計算!$D:$D,(MATCH(344, 輔助計算!$E$2:$E$801, 0)+1))*INDEX(ERP資料!$O:$O,(MATCH(344, 輔助計算!$E$2:$E$801, 0)+1))), "")</f>
        <v/>
      </c>
      <c r="K345" s="16" t="n"/>
      <c r="L345" s="16" t="n"/>
      <c r="M345" s="17" t="n"/>
    </row>
    <row r="346">
      <c r="A346" s="14">
        <f>IFERROR(IF(INDEX(ERP資料!$B:$B, (MATCH(345, 輔助計算!$E$2:$E$801, 0)+1))="","",INDEX(ERP資料!$B:$B, (MATCH(345, 輔助計算!$E$2:$E$801, 0)+1))), "")</f>
        <v/>
      </c>
      <c r="B346" s="10">
        <f>IFERROR(IF(INDEX(ERP資料!$A:$A, (MATCH(345, 輔助計算!$E$2:$E$801, 0)+1))="","",INDEX(ERP資料!$A:$A, (MATCH(345, 輔助計算!$E$2:$E$801, 0)+1))), "")</f>
        <v/>
      </c>
      <c r="C346" s="10">
        <f>IFERROR(IF(INDEX(ERP資料!$S:$S, (MATCH(345, 輔助計算!$E$2:$E$801, 0)+1))="","",INDEX(ERP資料!$S:$S, (MATCH(345, 輔助計算!$E$2:$E$801, 0)+1))), "")</f>
        <v/>
      </c>
      <c r="D346" s="10">
        <f>IFERROR(IF(INDEX(ERP資料!$E:$E, (MATCH(345, 輔助計算!$E$2:$E$801, 0)+1))="","",TRIM(INDEX(ERP資料!$E:$E, (MATCH(345, 輔助計算!$E$2:$E$801, 0)+1)))), "")</f>
        <v/>
      </c>
      <c r="E346" s="10">
        <f>IFERROR(IF(INDEX(ERP資料!$F:$F, (MATCH(345, 輔助計算!$E$2:$E$801, 0)+1))="","",INDEX(ERP資料!$F:$F, (MATCH(345, 輔助計算!$E$2:$E$801, 0)+1))), "")</f>
        <v/>
      </c>
      <c r="F346" s="10">
        <f>IFERROR(IF(INDEX(ERP資料!$G:$G, (MATCH(345, 輔助計算!$E$2:$E$801, 0)+1))="","",INDEX(ERP資料!$G:$G, (MATCH(345, 輔助計算!$E$2:$E$801, 0)+1))), "")</f>
        <v/>
      </c>
      <c r="G346" s="10">
        <f>IFERROR(IF(INDEX(ERP資料!$H:$H, (MATCH(345, 輔助計算!$E$2:$E$801, 0)+1))="","",INDEX(ERP資料!$H:$H, (MATCH(345, 輔助計算!$E$2:$E$801, 0)+1))), "")</f>
        <v/>
      </c>
      <c r="H346" s="15">
        <f>IFERROR(INDEX(輔助計算!$D:$D, (MATCH(345, 輔助計算!$E$2:$E$801, 0)+1)), "")</f>
        <v/>
      </c>
      <c r="I346" s="10">
        <f>IFERROR(IF(INDEX(ERP資料!$O:$O, (MATCH(345, 輔助計算!$E$2:$E$801, 0)+1))="","",INDEX(ERP資料!$O:$O, (MATCH(345, 輔助計算!$E$2:$E$801, 0)+1))), "")</f>
        <v/>
      </c>
      <c r="J346" s="15">
        <f>IFERROR(IF(INDEX(輔助計算!$D:$D,(MATCH(345, 輔助計算!$E$2:$E$801, 0)+1))="","",INDEX(輔助計算!$D:$D,(MATCH(345, 輔助計算!$E$2:$E$801, 0)+1))*INDEX(ERP資料!$O:$O,(MATCH(345, 輔助計算!$E$2:$E$801, 0)+1))), "")</f>
        <v/>
      </c>
      <c r="K346" s="16" t="n"/>
      <c r="L346" s="16" t="n"/>
      <c r="M346" s="17" t="n"/>
    </row>
    <row r="347">
      <c r="A347" s="14">
        <f>IFERROR(IF(INDEX(ERP資料!$B:$B, (MATCH(346, 輔助計算!$E$2:$E$801, 0)+1))="","",INDEX(ERP資料!$B:$B, (MATCH(346, 輔助計算!$E$2:$E$801, 0)+1))), "")</f>
        <v/>
      </c>
      <c r="B347" s="10">
        <f>IFERROR(IF(INDEX(ERP資料!$A:$A, (MATCH(346, 輔助計算!$E$2:$E$801, 0)+1))="","",INDEX(ERP資料!$A:$A, (MATCH(346, 輔助計算!$E$2:$E$801, 0)+1))), "")</f>
        <v/>
      </c>
      <c r="C347" s="10">
        <f>IFERROR(IF(INDEX(ERP資料!$S:$S, (MATCH(346, 輔助計算!$E$2:$E$801, 0)+1))="","",INDEX(ERP資料!$S:$S, (MATCH(346, 輔助計算!$E$2:$E$801, 0)+1))), "")</f>
        <v/>
      </c>
      <c r="D347" s="10">
        <f>IFERROR(IF(INDEX(ERP資料!$E:$E, (MATCH(346, 輔助計算!$E$2:$E$801, 0)+1))="","",TRIM(INDEX(ERP資料!$E:$E, (MATCH(346, 輔助計算!$E$2:$E$801, 0)+1)))), "")</f>
        <v/>
      </c>
      <c r="E347" s="10">
        <f>IFERROR(IF(INDEX(ERP資料!$F:$F, (MATCH(346, 輔助計算!$E$2:$E$801, 0)+1))="","",INDEX(ERP資料!$F:$F, (MATCH(346, 輔助計算!$E$2:$E$801, 0)+1))), "")</f>
        <v/>
      </c>
      <c r="F347" s="10">
        <f>IFERROR(IF(INDEX(ERP資料!$G:$G, (MATCH(346, 輔助計算!$E$2:$E$801, 0)+1))="","",INDEX(ERP資料!$G:$G, (MATCH(346, 輔助計算!$E$2:$E$801, 0)+1))), "")</f>
        <v/>
      </c>
      <c r="G347" s="10">
        <f>IFERROR(IF(INDEX(ERP資料!$H:$H, (MATCH(346, 輔助計算!$E$2:$E$801, 0)+1))="","",INDEX(ERP資料!$H:$H, (MATCH(346, 輔助計算!$E$2:$E$801, 0)+1))), "")</f>
        <v/>
      </c>
      <c r="H347" s="15">
        <f>IFERROR(INDEX(輔助計算!$D:$D, (MATCH(346, 輔助計算!$E$2:$E$801, 0)+1)), "")</f>
        <v/>
      </c>
      <c r="I347" s="10">
        <f>IFERROR(IF(INDEX(ERP資料!$O:$O, (MATCH(346, 輔助計算!$E$2:$E$801, 0)+1))="","",INDEX(ERP資料!$O:$O, (MATCH(346, 輔助計算!$E$2:$E$801, 0)+1))), "")</f>
        <v/>
      </c>
      <c r="J347" s="15">
        <f>IFERROR(IF(INDEX(輔助計算!$D:$D,(MATCH(346, 輔助計算!$E$2:$E$801, 0)+1))="","",INDEX(輔助計算!$D:$D,(MATCH(346, 輔助計算!$E$2:$E$801, 0)+1))*INDEX(ERP資料!$O:$O,(MATCH(346, 輔助計算!$E$2:$E$801, 0)+1))), "")</f>
        <v/>
      </c>
      <c r="K347" s="16" t="n"/>
      <c r="L347" s="16" t="n"/>
      <c r="M347" s="17" t="n"/>
    </row>
    <row r="348">
      <c r="A348" s="14">
        <f>IFERROR(IF(INDEX(ERP資料!$B:$B, (MATCH(347, 輔助計算!$E$2:$E$801, 0)+1))="","",INDEX(ERP資料!$B:$B, (MATCH(347, 輔助計算!$E$2:$E$801, 0)+1))), "")</f>
        <v/>
      </c>
      <c r="B348" s="10">
        <f>IFERROR(IF(INDEX(ERP資料!$A:$A, (MATCH(347, 輔助計算!$E$2:$E$801, 0)+1))="","",INDEX(ERP資料!$A:$A, (MATCH(347, 輔助計算!$E$2:$E$801, 0)+1))), "")</f>
        <v/>
      </c>
      <c r="C348" s="10">
        <f>IFERROR(IF(INDEX(ERP資料!$S:$S, (MATCH(347, 輔助計算!$E$2:$E$801, 0)+1))="","",INDEX(ERP資料!$S:$S, (MATCH(347, 輔助計算!$E$2:$E$801, 0)+1))), "")</f>
        <v/>
      </c>
      <c r="D348" s="10">
        <f>IFERROR(IF(INDEX(ERP資料!$E:$E, (MATCH(347, 輔助計算!$E$2:$E$801, 0)+1))="","",TRIM(INDEX(ERP資料!$E:$E, (MATCH(347, 輔助計算!$E$2:$E$801, 0)+1)))), "")</f>
        <v/>
      </c>
      <c r="E348" s="10">
        <f>IFERROR(IF(INDEX(ERP資料!$F:$F, (MATCH(347, 輔助計算!$E$2:$E$801, 0)+1))="","",INDEX(ERP資料!$F:$F, (MATCH(347, 輔助計算!$E$2:$E$801, 0)+1))), "")</f>
        <v/>
      </c>
      <c r="F348" s="10">
        <f>IFERROR(IF(INDEX(ERP資料!$G:$G, (MATCH(347, 輔助計算!$E$2:$E$801, 0)+1))="","",INDEX(ERP資料!$G:$G, (MATCH(347, 輔助計算!$E$2:$E$801, 0)+1))), "")</f>
        <v/>
      </c>
      <c r="G348" s="10">
        <f>IFERROR(IF(INDEX(ERP資料!$H:$H, (MATCH(347, 輔助計算!$E$2:$E$801, 0)+1))="","",INDEX(ERP資料!$H:$H, (MATCH(347, 輔助計算!$E$2:$E$801, 0)+1))), "")</f>
        <v/>
      </c>
      <c r="H348" s="15">
        <f>IFERROR(INDEX(輔助計算!$D:$D, (MATCH(347, 輔助計算!$E$2:$E$801, 0)+1)), "")</f>
        <v/>
      </c>
      <c r="I348" s="10">
        <f>IFERROR(IF(INDEX(ERP資料!$O:$O, (MATCH(347, 輔助計算!$E$2:$E$801, 0)+1))="","",INDEX(ERP資料!$O:$O, (MATCH(347, 輔助計算!$E$2:$E$801, 0)+1))), "")</f>
        <v/>
      </c>
      <c r="J348" s="15">
        <f>IFERROR(IF(INDEX(輔助計算!$D:$D,(MATCH(347, 輔助計算!$E$2:$E$801, 0)+1))="","",INDEX(輔助計算!$D:$D,(MATCH(347, 輔助計算!$E$2:$E$801, 0)+1))*INDEX(ERP資料!$O:$O,(MATCH(347, 輔助計算!$E$2:$E$801, 0)+1))), "")</f>
        <v/>
      </c>
      <c r="K348" s="16" t="n"/>
      <c r="L348" s="16" t="n"/>
      <c r="M348" s="17" t="n"/>
    </row>
    <row r="349">
      <c r="A349" s="14">
        <f>IFERROR(IF(INDEX(ERP資料!$B:$B, (MATCH(348, 輔助計算!$E$2:$E$801, 0)+1))="","",INDEX(ERP資料!$B:$B, (MATCH(348, 輔助計算!$E$2:$E$801, 0)+1))), "")</f>
        <v/>
      </c>
      <c r="B349" s="10">
        <f>IFERROR(IF(INDEX(ERP資料!$A:$A, (MATCH(348, 輔助計算!$E$2:$E$801, 0)+1))="","",INDEX(ERP資料!$A:$A, (MATCH(348, 輔助計算!$E$2:$E$801, 0)+1))), "")</f>
        <v/>
      </c>
      <c r="C349" s="10">
        <f>IFERROR(IF(INDEX(ERP資料!$S:$S, (MATCH(348, 輔助計算!$E$2:$E$801, 0)+1))="","",INDEX(ERP資料!$S:$S, (MATCH(348, 輔助計算!$E$2:$E$801, 0)+1))), "")</f>
        <v/>
      </c>
      <c r="D349" s="10">
        <f>IFERROR(IF(INDEX(ERP資料!$E:$E, (MATCH(348, 輔助計算!$E$2:$E$801, 0)+1))="","",TRIM(INDEX(ERP資料!$E:$E, (MATCH(348, 輔助計算!$E$2:$E$801, 0)+1)))), "")</f>
        <v/>
      </c>
      <c r="E349" s="10">
        <f>IFERROR(IF(INDEX(ERP資料!$F:$F, (MATCH(348, 輔助計算!$E$2:$E$801, 0)+1))="","",INDEX(ERP資料!$F:$F, (MATCH(348, 輔助計算!$E$2:$E$801, 0)+1))), "")</f>
        <v/>
      </c>
      <c r="F349" s="10">
        <f>IFERROR(IF(INDEX(ERP資料!$G:$G, (MATCH(348, 輔助計算!$E$2:$E$801, 0)+1))="","",INDEX(ERP資料!$G:$G, (MATCH(348, 輔助計算!$E$2:$E$801, 0)+1))), "")</f>
        <v/>
      </c>
      <c r="G349" s="10">
        <f>IFERROR(IF(INDEX(ERP資料!$H:$H, (MATCH(348, 輔助計算!$E$2:$E$801, 0)+1))="","",INDEX(ERP資料!$H:$H, (MATCH(348, 輔助計算!$E$2:$E$801, 0)+1))), "")</f>
        <v/>
      </c>
      <c r="H349" s="15">
        <f>IFERROR(INDEX(輔助計算!$D:$D, (MATCH(348, 輔助計算!$E$2:$E$801, 0)+1)), "")</f>
        <v/>
      </c>
      <c r="I349" s="10">
        <f>IFERROR(IF(INDEX(ERP資料!$O:$O, (MATCH(348, 輔助計算!$E$2:$E$801, 0)+1))="","",INDEX(ERP資料!$O:$O, (MATCH(348, 輔助計算!$E$2:$E$801, 0)+1))), "")</f>
        <v/>
      </c>
      <c r="J349" s="15">
        <f>IFERROR(IF(INDEX(輔助計算!$D:$D,(MATCH(348, 輔助計算!$E$2:$E$801, 0)+1))="","",INDEX(輔助計算!$D:$D,(MATCH(348, 輔助計算!$E$2:$E$801, 0)+1))*INDEX(ERP資料!$O:$O,(MATCH(348, 輔助計算!$E$2:$E$801, 0)+1))), "")</f>
        <v/>
      </c>
      <c r="K349" s="16" t="n"/>
      <c r="L349" s="16" t="n"/>
      <c r="M349" s="17" t="n"/>
    </row>
    <row r="350">
      <c r="A350" s="14">
        <f>IFERROR(IF(INDEX(ERP資料!$B:$B, (MATCH(349, 輔助計算!$E$2:$E$801, 0)+1))="","",INDEX(ERP資料!$B:$B, (MATCH(349, 輔助計算!$E$2:$E$801, 0)+1))), "")</f>
        <v/>
      </c>
      <c r="B350" s="10">
        <f>IFERROR(IF(INDEX(ERP資料!$A:$A, (MATCH(349, 輔助計算!$E$2:$E$801, 0)+1))="","",INDEX(ERP資料!$A:$A, (MATCH(349, 輔助計算!$E$2:$E$801, 0)+1))), "")</f>
        <v/>
      </c>
      <c r="C350" s="10">
        <f>IFERROR(IF(INDEX(ERP資料!$S:$S, (MATCH(349, 輔助計算!$E$2:$E$801, 0)+1))="","",INDEX(ERP資料!$S:$S, (MATCH(349, 輔助計算!$E$2:$E$801, 0)+1))), "")</f>
        <v/>
      </c>
      <c r="D350" s="10">
        <f>IFERROR(IF(INDEX(ERP資料!$E:$E, (MATCH(349, 輔助計算!$E$2:$E$801, 0)+1))="","",TRIM(INDEX(ERP資料!$E:$E, (MATCH(349, 輔助計算!$E$2:$E$801, 0)+1)))), "")</f>
        <v/>
      </c>
      <c r="E350" s="10">
        <f>IFERROR(IF(INDEX(ERP資料!$F:$F, (MATCH(349, 輔助計算!$E$2:$E$801, 0)+1))="","",INDEX(ERP資料!$F:$F, (MATCH(349, 輔助計算!$E$2:$E$801, 0)+1))), "")</f>
        <v/>
      </c>
      <c r="F350" s="10">
        <f>IFERROR(IF(INDEX(ERP資料!$G:$G, (MATCH(349, 輔助計算!$E$2:$E$801, 0)+1))="","",INDEX(ERP資料!$G:$G, (MATCH(349, 輔助計算!$E$2:$E$801, 0)+1))), "")</f>
        <v/>
      </c>
      <c r="G350" s="10">
        <f>IFERROR(IF(INDEX(ERP資料!$H:$H, (MATCH(349, 輔助計算!$E$2:$E$801, 0)+1))="","",INDEX(ERP資料!$H:$H, (MATCH(349, 輔助計算!$E$2:$E$801, 0)+1))), "")</f>
        <v/>
      </c>
      <c r="H350" s="15">
        <f>IFERROR(INDEX(輔助計算!$D:$D, (MATCH(349, 輔助計算!$E$2:$E$801, 0)+1)), "")</f>
        <v/>
      </c>
      <c r="I350" s="10">
        <f>IFERROR(IF(INDEX(ERP資料!$O:$O, (MATCH(349, 輔助計算!$E$2:$E$801, 0)+1))="","",INDEX(ERP資料!$O:$O, (MATCH(349, 輔助計算!$E$2:$E$801, 0)+1))), "")</f>
        <v/>
      </c>
      <c r="J350" s="15">
        <f>IFERROR(IF(INDEX(輔助計算!$D:$D,(MATCH(349, 輔助計算!$E$2:$E$801, 0)+1))="","",INDEX(輔助計算!$D:$D,(MATCH(349, 輔助計算!$E$2:$E$801, 0)+1))*INDEX(ERP資料!$O:$O,(MATCH(349, 輔助計算!$E$2:$E$801, 0)+1))), "")</f>
        <v/>
      </c>
      <c r="K350" s="16" t="n"/>
      <c r="L350" s="16" t="n"/>
      <c r="M350" s="17" t="n"/>
    </row>
    <row r="351">
      <c r="A351" s="14">
        <f>IFERROR(IF(INDEX(ERP資料!$B:$B, (MATCH(350, 輔助計算!$E$2:$E$801, 0)+1))="","",INDEX(ERP資料!$B:$B, (MATCH(350, 輔助計算!$E$2:$E$801, 0)+1))), "")</f>
        <v/>
      </c>
      <c r="B351" s="10">
        <f>IFERROR(IF(INDEX(ERP資料!$A:$A, (MATCH(350, 輔助計算!$E$2:$E$801, 0)+1))="","",INDEX(ERP資料!$A:$A, (MATCH(350, 輔助計算!$E$2:$E$801, 0)+1))), "")</f>
        <v/>
      </c>
      <c r="C351" s="10">
        <f>IFERROR(IF(INDEX(ERP資料!$S:$S, (MATCH(350, 輔助計算!$E$2:$E$801, 0)+1))="","",INDEX(ERP資料!$S:$S, (MATCH(350, 輔助計算!$E$2:$E$801, 0)+1))), "")</f>
        <v/>
      </c>
      <c r="D351" s="10">
        <f>IFERROR(IF(INDEX(ERP資料!$E:$E, (MATCH(350, 輔助計算!$E$2:$E$801, 0)+1))="","",TRIM(INDEX(ERP資料!$E:$E, (MATCH(350, 輔助計算!$E$2:$E$801, 0)+1)))), "")</f>
        <v/>
      </c>
      <c r="E351" s="10">
        <f>IFERROR(IF(INDEX(ERP資料!$F:$F, (MATCH(350, 輔助計算!$E$2:$E$801, 0)+1))="","",INDEX(ERP資料!$F:$F, (MATCH(350, 輔助計算!$E$2:$E$801, 0)+1))), "")</f>
        <v/>
      </c>
      <c r="F351" s="10">
        <f>IFERROR(IF(INDEX(ERP資料!$G:$G, (MATCH(350, 輔助計算!$E$2:$E$801, 0)+1))="","",INDEX(ERP資料!$G:$G, (MATCH(350, 輔助計算!$E$2:$E$801, 0)+1))), "")</f>
        <v/>
      </c>
      <c r="G351" s="10">
        <f>IFERROR(IF(INDEX(ERP資料!$H:$H, (MATCH(350, 輔助計算!$E$2:$E$801, 0)+1))="","",INDEX(ERP資料!$H:$H, (MATCH(350, 輔助計算!$E$2:$E$801, 0)+1))), "")</f>
        <v/>
      </c>
      <c r="H351" s="15">
        <f>IFERROR(INDEX(輔助計算!$D:$D, (MATCH(350, 輔助計算!$E$2:$E$801, 0)+1)), "")</f>
        <v/>
      </c>
      <c r="I351" s="10">
        <f>IFERROR(IF(INDEX(ERP資料!$O:$O, (MATCH(350, 輔助計算!$E$2:$E$801, 0)+1))="","",INDEX(ERP資料!$O:$O, (MATCH(350, 輔助計算!$E$2:$E$801, 0)+1))), "")</f>
        <v/>
      </c>
      <c r="J351" s="15">
        <f>IFERROR(IF(INDEX(輔助計算!$D:$D,(MATCH(350, 輔助計算!$E$2:$E$801, 0)+1))="","",INDEX(輔助計算!$D:$D,(MATCH(350, 輔助計算!$E$2:$E$801, 0)+1))*INDEX(ERP資料!$O:$O,(MATCH(350, 輔助計算!$E$2:$E$801, 0)+1))), "")</f>
        <v/>
      </c>
      <c r="K351" s="16" t="n"/>
      <c r="L351" s="16" t="n"/>
      <c r="M351" s="17" t="n"/>
    </row>
    <row r="352">
      <c r="A352" s="14">
        <f>IFERROR(IF(INDEX(ERP資料!$B:$B, (MATCH(351, 輔助計算!$E$2:$E$801, 0)+1))="","",INDEX(ERP資料!$B:$B, (MATCH(351, 輔助計算!$E$2:$E$801, 0)+1))), "")</f>
        <v/>
      </c>
      <c r="B352" s="10">
        <f>IFERROR(IF(INDEX(ERP資料!$A:$A, (MATCH(351, 輔助計算!$E$2:$E$801, 0)+1))="","",INDEX(ERP資料!$A:$A, (MATCH(351, 輔助計算!$E$2:$E$801, 0)+1))), "")</f>
        <v/>
      </c>
      <c r="C352" s="10">
        <f>IFERROR(IF(INDEX(ERP資料!$S:$S, (MATCH(351, 輔助計算!$E$2:$E$801, 0)+1))="","",INDEX(ERP資料!$S:$S, (MATCH(351, 輔助計算!$E$2:$E$801, 0)+1))), "")</f>
        <v/>
      </c>
      <c r="D352" s="10">
        <f>IFERROR(IF(INDEX(ERP資料!$E:$E, (MATCH(351, 輔助計算!$E$2:$E$801, 0)+1))="","",TRIM(INDEX(ERP資料!$E:$E, (MATCH(351, 輔助計算!$E$2:$E$801, 0)+1)))), "")</f>
        <v/>
      </c>
      <c r="E352" s="10">
        <f>IFERROR(IF(INDEX(ERP資料!$F:$F, (MATCH(351, 輔助計算!$E$2:$E$801, 0)+1))="","",INDEX(ERP資料!$F:$F, (MATCH(351, 輔助計算!$E$2:$E$801, 0)+1))), "")</f>
        <v/>
      </c>
      <c r="F352" s="10">
        <f>IFERROR(IF(INDEX(ERP資料!$G:$G, (MATCH(351, 輔助計算!$E$2:$E$801, 0)+1))="","",INDEX(ERP資料!$G:$G, (MATCH(351, 輔助計算!$E$2:$E$801, 0)+1))), "")</f>
        <v/>
      </c>
      <c r="G352" s="10">
        <f>IFERROR(IF(INDEX(ERP資料!$H:$H, (MATCH(351, 輔助計算!$E$2:$E$801, 0)+1))="","",INDEX(ERP資料!$H:$H, (MATCH(351, 輔助計算!$E$2:$E$801, 0)+1))), "")</f>
        <v/>
      </c>
      <c r="H352" s="15">
        <f>IFERROR(INDEX(輔助計算!$D:$D, (MATCH(351, 輔助計算!$E$2:$E$801, 0)+1)), "")</f>
        <v/>
      </c>
      <c r="I352" s="10">
        <f>IFERROR(IF(INDEX(ERP資料!$O:$O, (MATCH(351, 輔助計算!$E$2:$E$801, 0)+1))="","",INDEX(ERP資料!$O:$O, (MATCH(351, 輔助計算!$E$2:$E$801, 0)+1))), "")</f>
        <v/>
      </c>
      <c r="J352" s="15">
        <f>IFERROR(IF(INDEX(輔助計算!$D:$D,(MATCH(351, 輔助計算!$E$2:$E$801, 0)+1))="","",INDEX(輔助計算!$D:$D,(MATCH(351, 輔助計算!$E$2:$E$801, 0)+1))*INDEX(ERP資料!$O:$O,(MATCH(351, 輔助計算!$E$2:$E$801, 0)+1))), "")</f>
        <v/>
      </c>
      <c r="K352" s="16" t="n"/>
      <c r="L352" s="16" t="n"/>
      <c r="M352" s="17" t="n"/>
    </row>
    <row r="353">
      <c r="A353" s="14">
        <f>IFERROR(IF(INDEX(ERP資料!$B:$B, (MATCH(352, 輔助計算!$E$2:$E$801, 0)+1))="","",INDEX(ERP資料!$B:$B, (MATCH(352, 輔助計算!$E$2:$E$801, 0)+1))), "")</f>
        <v/>
      </c>
      <c r="B353" s="10">
        <f>IFERROR(IF(INDEX(ERP資料!$A:$A, (MATCH(352, 輔助計算!$E$2:$E$801, 0)+1))="","",INDEX(ERP資料!$A:$A, (MATCH(352, 輔助計算!$E$2:$E$801, 0)+1))), "")</f>
        <v/>
      </c>
      <c r="C353" s="10">
        <f>IFERROR(IF(INDEX(ERP資料!$S:$S, (MATCH(352, 輔助計算!$E$2:$E$801, 0)+1))="","",INDEX(ERP資料!$S:$S, (MATCH(352, 輔助計算!$E$2:$E$801, 0)+1))), "")</f>
        <v/>
      </c>
      <c r="D353" s="10">
        <f>IFERROR(IF(INDEX(ERP資料!$E:$E, (MATCH(352, 輔助計算!$E$2:$E$801, 0)+1))="","",TRIM(INDEX(ERP資料!$E:$E, (MATCH(352, 輔助計算!$E$2:$E$801, 0)+1)))), "")</f>
        <v/>
      </c>
      <c r="E353" s="10">
        <f>IFERROR(IF(INDEX(ERP資料!$F:$F, (MATCH(352, 輔助計算!$E$2:$E$801, 0)+1))="","",INDEX(ERP資料!$F:$F, (MATCH(352, 輔助計算!$E$2:$E$801, 0)+1))), "")</f>
        <v/>
      </c>
      <c r="F353" s="10">
        <f>IFERROR(IF(INDEX(ERP資料!$G:$G, (MATCH(352, 輔助計算!$E$2:$E$801, 0)+1))="","",INDEX(ERP資料!$G:$G, (MATCH(352, 輔助計算!$E$2:$E$801, 0)+1))), "")</f>
        <v/>
      </c>
      <c r="G353" s="10">
        <f>IFERROR(IF(INDEX(ERP資料!$H:$H, (MATCH(352, 輔助計算!$E$2:$E$801, 0)+1))="","",INDEX(ERP資料!$H:$H, (MATCH(352, 輔助計算!$E$2:$E$801, 0)+1))), "")</f>
        <v/>
      </c>
      <c r="H353" s="15">
        <f>IFERROR(INDEX(輔助計算!$D:$D, (MATCH(352, 輔助計算!$E$2:$E$801, 0)+1)), "")</f>
        <v/>
      </c>
      <c r="I353" s="10">
        <f>IFERROR(IF(INDEX(ERP資料!$O:$O, (MATCH(352, 輔助計算!$E$2:$E$801, 0)+1))="","",INDEX(ERP資料!$O:$O, (MATCH(352, 輔助計算!$E$2:$E$801, 0)+1))), "")</f>
        <v/>
      </c>
      <c r="J353" s="15">
        <f>IFERROR(IF(INDEX(輔助計算!$D:$D,(MATCH(352, 輔助計算!$E$2:$E$801, 0)+1))="","",INDEX(輔助計算!$D:$D,(MATCH(352, 輔助計算!$E$2:$E$801, 0)+1))*INDEX(ERP資料!$O:$O,(MATCH(352, 輔助計算!$E$2:$E$801, 0)+1))), "")</f>
        <v/>
      </c>
      <c r="K353" s="16" t="n"/>
      <c r="L353" s="16" t="n"/>
      <c r="M353" s="17" t="n"/>
    </row>
    <row r="354">
      <c r="A354" s="14">
        <f>IFERROR(IF(INDEX(ERP資料!$B:$B, (MATCH(353, 輔助計算!$E$2:$E$801, 0)+1))="","",INDEX(ERP資料!$B:$B, (MATCH(353, 輔助計算!$E$2:$E$801, 0)+1))), "")</f>
        <v/>
      </c>
      <c r="B354" s="10">
        <f>IFERROR(IF(INDEX(ERP資料!$A:$A, (MATCH(353, 輔助計算!$E$2:$E$801, 0)+1))="","",INDEX(ERP資料!$A:$A, (MATCH(353, 輔助計算!$E$2:$E$801, 0)+1))), "")</f>
        <v/>
      </c>
      <c r="C354" s="10">
        <f>IFERROR(IF(INDEX(ERP資料!$S:$S, (MATCH(353, 輔助計算!$E$2:$E$801, 0)+1))="","",INDEX(ERP資料!$S:$S, (MATCH(353, 輔助計算!$E$2:$E$801, 0)+1))), "")</f>
        <v/>
      </c>
      <c r="D354" s="10">
        <f>IFERROR(IF(INDEX(ERP資料!$E:$E, (MATCH(353, 輔助計算!$E$2:$E$801, 0)+1))="","",TRIM(INDEX(ERP資料!$E:$E, (MATCH(353, 輔助計算!$E$2:$E$801, 0)+1)))), "")</f>
        <v/>
      </c>
      <c r="E354" s="10">
        <f>IFERROR(IF(INDEX(ERP資料!$F:$F, (MATCH(353, 輔助計算!$E$2:$E$801, 0)+1))="","",INDEX(ERP資料!$F:$F, (MATCH(353, 輔助計算!$E$2:$E$801, 0)+1))), "")</f>
        <v/>
      </c>
      <c r="F354" s="10">
        <f>IFERROR(IF(INDEX(ERP資料!$G:$G, (MATCH(353, 輔助計算!$E$2:$E$801, 0)+1))="","",INDEX(ERP資料!$G:$G, (MATCH(353, 輔助計算!$E$2:$E$801, 0)+1))), "")</f>
        <v/>
      </c>
      <c r="G354" s="10">
        <f>IFERROR(IF(INDEX(ERP資料!$H:$H, (MATCH(353, 輔助計算!$E$2:$E$801, 0)+1))="","",INDEX(ERP資料!$H:$H, (MATCH(353, 輔助計算!$E$2:$E$801, 0)+1))), "")</f>
        <v/>
      </c>
      <c r="H354" s="15">
        <f>IFERROR(INDEX(輔助計算!$D:$D, (MATCH(353, 輔助計算!$E$2:$E$801, 0)+1)), "")</f>
        <v/>
      </c>
      <c r="I354" s="10">
        <f>IFERROR(IF(INDEX(ERP資料!$O:$O, (MATCH(353, 輔助計算!$E$2:$E$801, 0)+1))="","",INDEX(ERP資料!$O:$O, (MATCH(353, 輔助計算!$E$2:$E$801, 0)+1))), "")</f>
        <v/>
      </c>
      <c r="J354" s="15">
        <f>IFERROR(IF(INDEX(輔助計算!$D:$D,(MATCH(353, 輔助計算!$E$2:$E$801, 0)+1))="","",INDEX(輔助計算!$D:$D,(MATCH(353, 輔助計算!$E$2:$E$801, 0)+1))*INDEX(ERP資料!$O:$O,(MATCH(353, 輔助計算!$E$2:$E$801, 0)+1))), "")</f>
        <v/>
      </c>
      <c r="K354" s="16" t="n"/>
      <c r="L354" s="16" t="n"/>
      <c r="M354" s="17" t="n"/>
    </row>
    <row r="355">
      <c r="A355" s="14">
        <f>IFERROR(IF(INDEX(ERP資料!$B:$B, (MATCH(354, 輔助計算!$E$2:$E$801, 0)+1))="","",INDEX(ERP資料!$B:$B, (MATCH(354, 輔助計算!$E$2:$E$801, 0)+1))), "")</f>
        <v/>
      </c>
      <c r="B355" s="10">
        <f>IFERROR(IF(INDEX(ERP資料!$A:$A, (MATCH(354, 輔助計算!$E$2:$E$801, 0)+1))="","",INDEX(ERP資料!$A:$A, (MATCH(354, 輔助計算!$E$2:$E$801, 0)+1))), "")</f>
        <v/>
      </c>
      <c r="C355" s="10">
        <f>IFERROR(IF(INDEX(ERP資料!$S:$S, (MATCH(354, 輔助計算!$E$2:$E$801, 0)+1))="","",INDEX(ERP資料!$S:$S, (MATCH(354, 輔助計算!$E$2:$E$801, 0)+1))), "")</f>
        <v/>
      </c>
      <c r="D355" s="10">
        <f>IFERROR(IF(INDEX(ERP資料!$E:$E, (MATCH(354, 輔助計算!$E$2:$E$801, 0)+1))="","",TRIM(INDEX(ERP資料!$E:$E, (MATCH(354, 輔助計算!$E$2:$E$801, 0)+1)))), "")</f>
        <v/>
      </c>
      <c r="E355" s="10">
        <f>IFERROR(IF(INDEX(ERP資料!$F:$F, (MATCH(354, 輔助計算!$E$2:$E$801, 0)+1))="","",INDEX(ERP資料!$F:$F, (MATCH(354, 輔助計算!$E$2:$E$801, 0)+1))), "")</f>
        <v/>
      </c>
      <c r="F355" s="10">
        <f>IFERROR(IF(INDEX(ERP資料!$G:$G, (MATCH(354, 輔助計算!$E$2:$E$801, 0)+1))="","",INDEX(ERP資料!$G:$G, (MATCH(354, 輔助計算!$E$2:$E$801, 0)+1))), "")</f>
        <v/>
      </c>
      <c r="G355" s="10">
        <f>IFERROR(IF(INDEX(ERP資料!$H:$H, (MATCH(354, 輔助計算!$E$2:$E$801, 0)+1))="","",INDEX(ERP資料!$H:$H, (MATCH(354, 輔助計算!$E$2:$E$801, 0)+1))), "")</f>
        <v/>
      </c>
      <c r="H355" s="15">
        <f>IFERROR(INDEX(輔助計算!$D:$D, (MATCH(354, 輔助計算!$E$2:$E$801, 0)+1)), "")</f>
        <v/>
      </c>
      <c r="I355" s="10">
        <f>IFERROR(IF(INDEX(ERP資料!$O:$O, (MATCH(354, 輔助計算!$E$2:$E$801, 0)+1))="","",INDEX(ERP資料!$O:$O, (MATCH(354, 輔助計算!$E$2:$E$801, 0)+1))), "")</f>
        <v/>
      </c>
      <c r="J355" s="15">
        <f>IFERROR(IF(INDEX(輔助計算!$D:$D,(MATCH(354, 輔助計算!$E$2:$E$801, 0)+1))="","",INDEX(輔助計算!$D:$D,(MATCH(354, 輔助計算!$E$2:$E$801, 0)+1))*INDEX(ERP資料!$O:$O,(MATCH(354, 輔助計算!$E$2:$E$801, 0)+1))), "")</f>
        <v/>
      </c>
      <c r="K355" s="16" t="n"/>
      <c r="L355" s="16" t="n"/>
      <c r="M355" s="17" t="n"/>
    </row>
    <row r="356">
      <c r="A356" s="14">
        <f>IFERROR(IF(INDEX(ERP資料!$B:$B, (MATCH(355, 輔助計算!$E$2:$E$801, 0)+1))="","",INDEX(ERP資料!$B:$B, (MATCH(355, 輔助計算!$E$2:$E$801, 0)+1))), "")</f>
        <v/>
      </c>
      <c r="B356" s="10">
        <f>IFERROR(IF(INDEX(ERP資料!$A:$A, (MATCH(355, 輔助計算!$E$2:$E$801, 0)+1))="","",INDEX(ERP資料!$A:$A, (MATCH(355, 輔助計算!$E$2:$E$801, 0)+1))), "")</f>
        <v/>
      </c>
      <c r="C356" s="10">
        <f>IFERROR(IF(INDEX(ERP資料!$S:$S, (MATCH(355, 輔助計算!$E$2:$E$801, 0)+1))="","",INDEX(ERP資料!$S:$S, (MATCH(355, 輔助計算!$E$2:$E$801, 0)+1))), "")</f>
        <v/>
      </c>
      <c r="D356" s="10">
        <f>IFERROR(IF(INDEX(ERP資料!$E:$E, (MATCH(355, 輔助計算!$E$2:$E$801, 0)+1))="","",TRIM(INDEX(ERP資料!$E:$E, (MATCH(355, 輔助計算!$E$2:$E$801, 0)+1)))), "")</f>
        <v/>
      </c>
      <c r="E356" s="10">
        <f>IFERROR(IF(INDEX(ERP資料!$F:$F, (MATCH(355, 輔助計算!$E$2:$E$801, 0)+1))="","",INDEX(ERP資料!$F:$F, (MATCH(355, 輔助計算!$E$2:$E$801, 0)+1))), "")</f>
        <v/>
      </c>
      <c r="F356" s="10">
        <f>IFERROR(IF(INDEX(ERP資料!$G:$G, (MATCH(355, 輔助計算!$E$2:$E$801, 0)+1))="","",INDEX(ERP資料!$G:$G, (MATCH(355, 輔助計算!$E$2:$E$801, 0)+1))), "")</f>
        <v/>
      </c>
      <c r="G356" s="10">
        <f>IFERROR(IF(INDEX(ERP資料!$H:$H, (MATCH(355, 輔助計算!$E$2:$E$801, 0)+1))="","",INDEX(ERP資料!$H:$H, (MATCH(355, 輔助計算!$E$2:$E$801, 0)+1))), "")</f>
        <v/>
      </c>
      <c r="H356" s="15">
        <f>IFERROR(INDEX(輔助計算!$D:$D, (MATCH(355, 輔助計算!$E$2:$E$801, 0)+1)), "")</f>
        <v/>
      </c>
      <c r="I356" s="10">
        <f>IFERROR(IF(INDEX(ERP資料!$O:$O, (MATCH(355, 輔助計算!$E$2:$E$801, 0)+1))="","",INDEX(ERP資料!$O:$O, (MATCH(355, 輔助計算!$E$2:$E$801, 0)+1))), "")</f>
        <v/>
      </c>
      <c r="J356" s="15">
        <f>IFERROR(IF(INDEX(輔助計算!$D:$D,(MATCH(355, 輔助計算!$E$2:$E$801, 0)+1))="","",INDEX(輔助計算!$D:$D,(MATCH(355, 輔助計算!$E$2:$E$801, 0)+1))*INDEX(ERP資料!$O:$O,(MATCH(355, 輔助計算!$E$2:$E$801, 0)+1))), "")</f>
        <v/>
      </c>
      <c r="K356" s="16" t="n"/>
      <c r="L356" s="16" t="n"/>
      <c r="M356" s="17" t="n"/>
    </row>
    <row r="357">
      <c r="A357" s="14">
        <f>IFERROR(IF(INDEX(ERP資料!$B:$B, (MATCH(356, 輔助計算!$E$2:$E$801, 0)+1))="","",INDEX(ERP資料!$B:$B, (MATCH(356, 輔助計算!$E$2:$E$801, 0)+1))), "")</f>
        <v/>
      </c>
      <c r="B357" s="10">
        <f>IFERROR(IF(INDEX(ERP資料!$A:$A, (MATCH(356, 輔助計算!$E$2:$E$801, 0)+1))="","",INDEX(ERP資料!$A:$A, (MATCH(356, 輔助計算!$E$2:$E$801, 0)+1))), "")</f>
        <v/>
      </c>
      <c r="C357" s="10">
        <f>IFERROR(IF(INDEX(ERP資料!$S:$S, (MATCH(356, 輔助計算!$E$2:$E$801, 0)+1))="","",INDEX(ERP資料!$S:$S, (MATCH(356, 輔助計算!$E$2:$E$801, 0)+1))), "")</f>
        <v/>
      </c>
      <c r="D357" s="10">
        <f>IFERROR(IF(INDEX(ERP資料!$E:$E, (MATCH(356, 輔助計算!$E$2:$E$801, 0)+1))="","",TRIM(INDEX(ERP資料!$E:$E, (MATCH(356, 輔助計算!$E$2:$E$801, 0)+1)))), "")</f>
        <v/>
      </c>
      <c r="E357" s="10">
        <f>IFERROR(IF(INDEX(ERP資料!$F:$F, (MATCH(356, 輔助計算!$E$2:$E$801, 0)+1))="","",INDEX(ERP資料!$F:$F, (MATCH(356, 輔助計算!$E$2:$E$801, 0)+1))), "")</f>
        <v/>
      </c>
      <c r="F357" s="10">
        <f>IFERROR(IF(INDEX(ERP資料!$G:$G, (MATCH(356, 輔助計算!$E$2:$E$801, 0)+1))="","",INDEX(ERP資料!$G:$G, (MATCH(356, 輔助計算!$E$2:$E$801, 0)+1))), "")</f>
        <v/>
      </c>
      <c r="G357" s="10">
        <f>IFERROR(IF(INDEX(ERP資料!$H:$H, (MATCH(356, 輔助計算!$E$2:$E$801, 0)+1))="","",INDEX(ERP資料!$H:$H, (MATCH(356, 輔助計算!$E$2:$E$801, 0)+1))), "")</f>
        <v/>
      </c>
      <c r="H357" s="15">
        <f>IFERROR(INDEX(輔助計算!$D:$D, (MATCH(356, 輔助計算!$E$2:$E$801, 0)+1)), "")</f>
        <v/>
      </c>
      <c r="I357" s="10">
        <f>IFERROR(IF(INDEX(ERP資料!$O:$O, (MATCH(356, 輔助計算!$E$2:$E$801, 0)+1))="","",INDEX(ERP資料!$O:$O, (MATCH(356, 輔助計算!$E$2:$E$801, 0)+1))), "")</f>
        <v/>
      </c>
      <c r="J357" s="15">
        <f>IFERROR(IF(INDEX(輔助計算!$D:$D,(MATCH(356, 輔助計算!$E$2:$E$801, 0)+1))="","",INDEX(輔助計算!$D:$D,(MATCH(356, 輔助計算!$E$2:$E$801, 0)+1))*INDEX(ERP資料!$O:$O,(MATCH(356, 輔助計算!$E$2:$E$801, 0)+1))), "")</f>
        <v/>
      </c>
      <c r="K357" s="16" t="n"/>
      <c r="L357" s="16" t="n"/>
      <c r="M357" s="17" t="n"/>
    </row>
    <row r="358">
      <c r="A358" s="14">
        <f>IFERROR(IF(INDEX(ERP資料!$B:$B, (MATCH(357, 輔助計算!$E$2:$E$801, 0)+1))="","",INDEX(ERP資料!$B:$B, (MATCH(357, 輔助計算!$E$2:$E$801, 0)+1))), "")</f>
        <v/>
      </c>
      <c r="B358" s="10">
        <f>IFERROR(IF(INDEX(ERP資料!$A:$A, (MATCH(357, 輔助計算!$E$2:$E$801, 0)+1))="","",INDEX(ERP資料!$A:$A, (MATCH(357, 輔助計算!$E$2:$E$801, 0)+1))), "")</f>
        <v/>
      </c>
      <c r="C358" s="10">
        <f>IFERROR(IF(INDEX(ERP資料!$S:$S, (MATCH(357, 輔助計算!$E$2:$E$801, 0)+1))="","",INDEX(ERP資料!$S:$S, (MATCH(357, 輔助計算!$E$2:$E$801, 0)+1))), "")</f>
        <v/>
      </c>
      <c r="D358" s="10">
        <f>IFERROR(IF(INDEX(ERP資料!$E:$E, (MATCH(357, 輔助計算!$E$2:$E$801, 0)+1))="","",TRIM(INDEX(ERP資料!$E:$E, (MATCH(357, 輔助計算!$E$2:$E$801, 0)+1)))), "")</f>
        <v/>
      </c>
      <c r="E358" s="10">
        <f>IFERROR(IF(INDEX(ERP資料!$F:$F, (MATCH(357, 輔助計算!$E$2:$E$801, 0)+1))="","",INDEX(ERP資料!$F:$F, (MATCH(357, 輔助計算!$E$2:$E$801, 0)+1))), "")</f>
        <v/>
      </c>
      <c r="F358" s="10">
        <f>IFERROR(IF(INDEX(ERP資料!$G:$G, (MATCH(357, 輔助計算!$E$2:$E$801, 0)+1))="","",INDEX(ERP資料!$G:$G, (MATCH(357, 輔助計算!$E$2:$E$801, 0)+1))), "")</f>
        <v/>
      </c>
      <c r="G358" s="10">
        <f>IFERROR(IF(INDEX(ERP資料!$H:$H, (MATCH(357, 輔助計算!$E$2:$E$801, 0)+1))="","",INDEX(ERP資料!$H:$H, (MATCH(357, 輔助計算!$E$2:$E$801, 0)+1))), "")</f>
        <v/>
      </c>
      <c r="H358" s="15">
        <f>IFERROR(INDEX(輔助計算!$D:$D, (MATCH(357, 輔助計算!$E$2:$E$801, 0)+1)), "")</f>
        <v/>
      </c>
      <c r="I358" s="10">
        <f>IFERROR(IF(INDEX(ERP資料!$O:$O, (MATCH(357, 輔助計算!$E$2:$E$801, 0)+1))="","",INDEX(ERP資料!$O:$O, (MATCH(357, 輔助計算!$E$2:$E$801, 0)+1))), "")</f>
        <v/>
      </c>
      <c r="J358" s="15">
        <f>IFERROR(IF(INDEX(輔助計算!$D:$D,(MATCH(357, 輔助計算!$E$2:$E$801, 0)+1))="","",INDEX(輔助計算!$D:$D,(MATCH(357, 輔助計算!$E$2:$E$801, 0)+1))*INDEX(ERP資料!$O:$O,(MATCH(357, 輔助計算!$E$2:$E$801, 0)+1))), "")</f>
        <v/>
      </c>
      <c r="K358" s="16" t="n"/>
      <c r="L358" s="16" t="n"/>
      <c r="M358" s="17" t="n"/>
    </row>
    <row r="359">
      <c r="A359" s="14">
        <f>IFERROR(IF(INDEX(ERP資料!$B:$B, (MATCH(358, 輔助計算!$E$2:$E$801, 0)+1))="","",INDEX(ERP資料!$B:$B, (MATCH(358, 輔助計算!$E$2:$E$801, 0)+1))), "")</f>
        <v/>
      </c>
      <c r="B359" s="10">
        <f>IFERROR(IF(INDEX(ERP資料!$A:$A, (MATCH(358, 輔助計算!$E$2:$E$801, 0)+1))="","",INDEX(ERP資料!$A:$A, (MATCH(358, 輔助計算!$E$2:$E$801, 0)+1))), "")</f>
        <v/>
      </c>
      <c r="C359" s="10">
        <f>IFERROR(IF(INDEX(ERP資料!$S:$S, (MATCH(358, 輔助計算!$E$2:$E$801, 0)+1))="","",INDEX(ERP資料!$S:$S, (MATCH(358, 輔助計算!$E$2:$E$801, 0)+1))), "")</f>
        <v/>
      </c>
      <c r="D359" s="10">
        <f>IFERROR(IF(INDEX(ERP資料!$E:$E, (MATCH(358, 輔助計算!$E$2:$E$801, 0)+1))="","",TRIM(INDEX(ERP資料!$E:$E, (MATCH(358, 輔助計算!$E$2:$E$801, 0)+1)))), "")</f>
        <v/>
      </c>
      <c r="E359" s="10">
        <f>IFERROR(IF(INDEX(ERP資料!$F:$F, (MATCH(358, 輔助計算!$E$2:$E$801, 0)+1))="","",INDEX(ERP資料!$F:$F, (MATCH(358, 輔助計算!$E$2:$E$801, 0)+1))), "")</f>
        <v/>
      </c>
      <c r="F359" s="10">
        <f>IFERROR(IF(INDEX(ERP資料!$G:$G, (MATCH(358, 輔助計算!$E$2:$E$801, 0)+1))="","",INDEX(ERP資料!$G:$G, (MATCH(358, 輔助計算!$E$2:$E$801, 0)+1))), "")</f>
        <v/>
      </c>
      <c r="G359" s="10">
        <f>IFERROR(IF(INDEX(ERP資料!$H:$H, (MATCH(358, 輔助計算!$E$2:$E$801, 0)+1))="","",INDEX(ERP資料!$H:$H, (MATCH(358, 輔助計算!$E$2:$E$801, 0)+1))), "")</f>
        <v/>
      </c>
      <c r="H359" s="15">
        <f>IFERROR(INDEX(輔助計算!$D:$D, (MATCH(358, 輔助計算!$E$2:$E$801, 0)+1)), "")</f>
        <v/>
      </c>
      <c r="I359" s="10">
        <f>IFERROR(IF(INDEX(ERP資料!$O:$O, (MATCH(358, 輔助計算!$E$2:$E$801, 0)+1))="","",INDEX(ERP資料!$O:$O, (MATCH(358, 輔助計算!$E$2:$E$801, 0)+1))), "")</f>
        <v/>
      </c>
      <c r="J359" s="15">
        <f>IFERROR(IF(INDEX(輔助計算!$D:$D,(MATCH(358, 輔助計算!$E$2:$E$801, 0)+1))="","",INDEX(輔助計算!$D:$D,(MATCH(358, 輔助計算!$E$2:$E$801, 0)+1))*INDEX(ERP資料!$O:$O,(MATCH(358, 輔助計算!$E$2:$E$801, 0)+1))), "")</f>
        <v/>
      </c>
      <c r="K359" s="16" t="n"/>
      <c r="L359" s="16" t="n"/>
      <c r="M359" s="17" t="n"/>
    </row>
    <row r="360">
      <c r="A360" s="14">
        <f>IFERROR(IF(INDEX(ERP資料!$B:$B, (MATCH(359, 輔助計算!$E$2:$E$801, 0)+1))="","",INDEX(ERP資料!$B:$B, (MATCH(359, 輔助計算!$E$2:$E$801, 0)+1))), "")</f>
        <v/>
      </c>
      <c r="B360" s="10">
        <f>IFERROR(IF(INDEX(ERP資料!$A:$A, (MATCH(359, 輔助計算!$E$2:$E$801, 0)+1))="","",INDEX(ERP資料!$A:$A, (MATCH(359, 輔助計算!$E$2:$E$801, 0)+1))), "")</f>
        <v/>
      </c>
      <c r="C360" s="10">
        <f>IFERROR(IF(INDEX(ERP資料!$S:$S, (MATCH(359, 輔助計算!$E$2:$E$801, 0)+1))="","",INDEX(ERP資料!$S:$S, (MATCH(359, 輔助計算!$E$2:$E$801, 0)+1))), "")</f>
        <v/>
      </c>
      <c r="D360" s="10">
        <f>IFERROR(IF(INDEX(ERP資料!$E:$E, (MATCH(359, 輔助計算!$E$2:$E$801, 0)+1))="","",TRIM(INDEX(ERP資料!$E:$E, (MATCH(359, 輔助計算!$E$2:$E$801, 0)+1)))), "")</f>
        <v/>
      </c>
      <c r="E360" s="10">
        <f>IFERROR(IF(INDEX(ERP資料!$F:$F, (MATCH(359, 輔助計算!$E$2:$E$801, 0)+1))="","",INDEX(ERP資料!$F:$F, (MATCH(359, 輔助計算!$E$2:$E$801, 0)+1))), "")</f>
        <v/>
      </c>
      <c r="F360" s="10">
        <f>IFERROR(IF(INDEX(ERP資料!$G:$G, (MATCH(359, 輔助計算!$E$2:$E$801, 0)+1))="","",INDEX(ERP資料!$G:$G, (MATCH(359, 輔助計算!$E$2:$E$801, 0)+1))), "")</f>
        <v/>
      </c>
      <c r="G360" s="10">
        <f>IFERROR(IF(INDEX(ERP資料!$H:$H, (MATCH(359, 輔助計算!$E$2:$E$801, 0)+1))="","",INDEX(ERP資料!$H:$H, (MATCH(359, 輔助計算!$E$2:$E$801, 0)+1))), "")</f>
        <v/>
      </c>
      <c r="H360" s="15">
        <f>IFERROR(INDEX(輔助計算!$D:$D, (MATCH(359, 輔助計算!$E$2:$E$801, 0)+1)), "")</f>
        <v/>
      </c>
      <c r="I360" s="10">
        <f>IFERROR(IF(INDEX(ERP資料!$O:$O, (MATCH(359, 輔助計算!$E$2:$E$801, 0)+1))="","",INDEX(ERP資料!$O:$O, (MATCH(359, 輔助計算!$E$2:$E$801, 0)+1))), "")</f>
        <v/>
      </c>
      <c r="J360" s="15">
        <f>IFERROR(IF(INDEX(輔助計算!$D:$D,(MATCH(359, 輔助計算!$E$2:$E$801, 0)+1))="","",INDEX(輔助計算!$D:$D,(MATCH(359, 輔助計算!$E$2:$E$801, 0)+1))*INDEX(ERP資料!$O:$O,(MATCH(359, 輔助計算!$E$2:$E$801, 0)+1))), "")</f>
        <v/>
      </c>
      <c r="K360" s="16" t="n"/>
      <c r="L360" s="16" t="n"/>
      <c r="M360" s="17" t="n"/>
    </row>
    <row r="361">
      <c r="A361" s="14">
        <f>IFERROR(IF(INDEX(ERP資料!$B:$B, (MATCH(360, 輔助計算!$E$2:$E$801, 0)+1))="","",INDEX(ERP資料!$B:$B, (MATCH(360, 輔助計算!$E$2:$E$801, 0)+1))), "")</f>
        <v/>
      </c>
      <c r="B361" s="10">
        <f>IFERROR(IF(INDEX(ERP資料!$A:$A, (MATCH(360, 輔助計算!$E$2:$E$801, 0)+1))="","",INDEX(ERP資料!$A:$A, (MATCH(360, 輔助計算!$E$2:$E$801, 0)+1))), "")</f>
        <v/>
      </c>
      <c r="C361" s="10">
        <f>IFERROR(IF(INDEX(ERP資料!$S:$S, (MATCH(360, 輔助計算!$E$2:$E$801, 0)+1))="","",INDEX(ERP資料!$S:$S, (MATCH(360, 輔助計算!$E$2:$E$801, 0)+1))), "")</f>
        <v/>
      </c>
      <c r="D361" s="10">
        <f>IFERROR(IF(INDEX(ERP資料!$E:$E, (MATCH(360, 輔助計算!$E$2:$E$801, 0)+1))="","",TRIM(INDEX(ERP資料!$E:$E, (MATCH(360, 輔助計算!$E$2:$E$801, 0)+1)))), "")</f>
        <v/>
      </c>
      <c r="E361" s="10">
        <f>IFERROR(IF(INDEX(ERP資料!$F:$F, (MATCH(360, 輔助計算!$E$2:$E$801, 0)+1))="","",INDEX(ERP資料!$F:$F, (MATCH(360, 輔助計算!$E$2:$E$801, 0)+1))), "")</f>
        <v/>
      </c>
      <c r="F361" s="10">
        <f>IFERROR(IF(INDEX(ERP資料!$G:$G, (MATCH(360, 輔助計算!$E$2:$E$801, 0)+1))="","",INDEX(ERP資料!$G:$G, (MATCH(360, 輔助計算!$E$2:$E$801, 0)+1))), "")</f>
        <v/>
      </c>
      <c r="G361" s="10">
        <f>IFERROR(IF(INDEX(ERP資料!$H:$H, (MATCH(360, 輔助計算!$E$2:$E$801, 0)+1))="","",INDEX(ERP資料!$H:$H, (MATCH(360, 輔助計算!$E$2:$E$801, 0)+1))), "")</f>
        <v/>
      </c>
      <c r="H361" s="15">
        <f>IFERROR(INDEX(輔助計算!$D:$D, (MATCH(360, 輔助計算!$E$2:$E$801, 0)+1)), "")</f>
        <v/>
      </c>
      <c r="I361" s="10">
        <f>IFERROR(IF(INDEX(ERP資料!$O:$O, (MATCH(360, 輔助計算!$E$2:$E$801, 0)+1))="","",INDEX(ERP資料!$O:$O, (MATCH(360, 輔助計算!$E$2:$E$801, 0)+1))), "")</f>
        <v/>
      </c>
      <c r="J361" s="15">
        <f>IFERROR(IF(INDEX(輔助計算!$D:$D,(MATCH(360, 輔助計算!$E$2:$E$801, 0)+1))="","",INDEX(輔助計算!$D:$D,(MATCH(360, 輔助計算!$E$2:$E$801, 0)+1))*INDEX(ERP資料!$O:$O,(MATCH(360, 輔助計算!$E$2:$E$801, 0)+1))), "")</f>
        <v/>
      </c>
      <c r="K361" s="16" t="n"/>
      <c r="L361" s="16" t="n"/>
      <c r="M361" s="17" t="n"/>
    </row>
    <row r="362">
      <c r="A362" s="14">
        <f>IFERROR(IF(INDEX(ERP資料!$B:$B, (MATCH(361, 輔助計算!$E$2:$E$801, 0)+1))="","",INDEX(ERP資料!$B:$B, (MATCH(361, 輔助計算!$E$2:$E$801, 0)+1))), "")</f>
        <v/>
      </c>
      <c r="B362" s="10">
        <f>IFERROR(IF(INDEX(ERP資料!$A:$A, (MATCH(361, 輔助計算!$E$2:$E$801, 0)+1))="","",INDEX(ERP資料!$A:$A, (MATCH(361, 輔助計算!$E$2:$E$801, 0)+1))), "")</f>
        <v/>
      </c>
      <c r="C362" s="10">
        <f>IFERROR(IF(INDEX(ERP資料!$S:$S, (MATCH(361, 輔助計算!$E$2:$E$801, 0)+1))="","",INDEX(ERP資料!$S:$S, (MATCH(361, 輔助計算!$E$2:$E$801, 0)+1))), "")</f>
        <v/>
      </c>
      <c r="D362" s="10">
        <f>IFERROR(IF(INDEX(ERP資料!$E:$E, (MATCH(361, 輔助計算!$E$2:$E$801, 0)+1))="","",TRIM(INDEX(ERP資料!$E:$E, (MATCH(361, 輔助計算!$E$2:$E$801, 0)+1)))), "")</f>
        <v/>
      </c>
      <c r="E362" s="10">
        <f>IFERROR(IF(INDEX(ERP資料!$F:$F, (MATCH(361, 輔助計算!$E$2:$E$801, 0)+1))="","",INDEX(ERP資料!$F:$F, (MATCH(361, 輔助計算!$E$2:$E$801, 0)+1))), "")</f>
        <v/>
      </c>
      <c r="F362" s="10">
        <f>IFERROR(IF(INDEX(ERP資料!$G:$G, (MATCH(361, 輔助計算!$E$2:$E$801, 0)+1))="","",INDEX(ERP資料!$G:$G, (MATCH(361, 輔助計算!$E$2:$E$801, 0)+1))), "")</f>
        <v/>
      </c>
      <c r="G362" s="10">
        <f>IFERROR(IF(INDEX(ERP資料!$H:$H, (MATCH(361, 輔助計算!$E$2:$E$801, 0)+1))="","",INDEX(ERP資料!$H:$H, (MATCH(361, 輔助計算!$E$2:$E$801, 0)+1))), "")</f>
        <v/>
      </c>
      <c r="H362" s="15">
        <f>IFERROR(INDEX(輔助計算!$D:$D, (MATCH(361, 輔助計算!$E$2:$E$801, 0)+1)), "")</f>
        <v/>
      </c>
      <c r="I362" s="10">
        <f>IFERROR(IF(INDEX(ERP資料!$O:$O, (MATCH(361, 輔助計算!$E$2:$E$801, 0)+1))="","",INDEX(ERP資料!$O:$O, (MATCH(361, 輔助計算!$E$2:$E$801, 0)+1))), "")</f>
        <v/>
      </c>
      <c r="J362" s="15">
        <f>IFERROR(IF(INDEX(輔助計算!$D:$D,(MATCH(361, 輔助計算!$E$2:$E$801, 0)+1))="","",INDEX(輔助計算!$D:$D,(MATCH(361, 輔助計算!$E$2:$E$801, 0)+1))*INDEX(ERP資料!$O:$O,(MATCH(361, 輔助計算!$E$2:$E$801, 0)+1))), "")</f>
        <v/>
      </c>
      <c r="K362" s="16" t="n"/>
      <c r="L362" s="16" t="n"/>
      <c r="M362" s="17" t="n"/>
    </row>
    <row r="363">
      <c r="A363" s="14">
        <f>IFERROR(IF(INDEX(ERP資料!$B:$B, (MATCH(362, 輔助計算!$E$2:$E$801, 0)+1))="","",INDEX(ERP資料!$B:$B, (MATCH(362, 輔助計算!$E$2:$E$801, 0)+1))), "")</f>
        <v/>
      </c>
      <c r="B363" s="10">
        <f>IFERROR(IF(INDEX(ERP資料!$A:$A, (MATCH(362, 輔助計算!$E$2:$E$801, 0)+1))="","",INDEX(ERP資料!$A:$A, (MATCH(362, 輔助計算!$E$2:$E$801, 0)+1))), "")</f>
        <v/>
      </c>
      <c r="C363" s="10">
        <f>IFERROR(IF(INDEX(ERP資料!$S:$S, (MATCH(362, 輔助計算!$E$2:$E$801, 0)+1))="","",INDEX(ERP資料!$S:$S, (MATCH(362, 輔助計算!$E$2:$E$801, 0)+1))), "")</f>
        <v/>
      </c>
      <c r="D363" s="10">
        <f>IFERROR(IF(INDEX(ERP資料!$E:$E, (MATCH(362, 輔助計算!$E$2:$E$801, 0)+1))="","",TRIM(INDEX(ERP資料!$E:$E, (MATCH(362, 輔助計算!$E$2:$E$801, 0)+1)))), "")</f>
        <v/>
      </c>
      <c r="E363" s="10">
        <f>IFERROR(IF(INDEX(ERP資料!$F:$F, (MATCH(362, 輔助計算!$E$2:$E$801, 0)+1))="","",INDEX(ERP資料!$F:$F, (MATCH(362, 輔助計算!$E$2:$E$801, 0)+1))), "")</f>
        <v/>
      </c>
      <c r="F363" s="10">
        <f>IFERROR(IF(INDEX(ERP資料!$G:$G, (MATCH(362, 輔助計算!$E$2:$E$801, 0)+1))="","",INDEX(ERP資料!$G:$G, (MATCH(362, 輔助計算!$E$2:$E$801, 0)+1))), "")</f>
        <v/>
      </c>
      <c r="G363" s="10">
        <f>IFERROR(IF(INDEX(ERP資料!$H:$H, (MATCH(362, 輔助計算!$E$2:$E$801, 0)+1))="","",INDEX(ERP資料!$H:$H, (MATCH(362, 輔助計算!$E$2:$E$801, 0)+1))), "")</f>
        <v/>
      </c>
      <c r="H363" s="15">
        <f>IFERROR(INDEX(輔助計算!$D:$D, (MATCH(362, 輔助計算!$E$2:$E$801, 0)+1)), "")</f>
        <v/>
      </c>
      <c r="I363" s="10">
        <f>IFERROR(IF(INDEX(ERP資料!$O:$O, (MATCH(362, 輔助計算!$E$2:$E$801, 0)+1))="","",INDEX(ERP資料!$O:$O, (MATCH(362, 輔助計算!$E$2:$E$801, 0)+1))), "")</f>
        <v/>
      </c>
      <c r="J363" s="15">
        <f>IFERROR(IF(INDEX(輔助計算!$D:$D,(MATCH(362, 輔助計算!$E$2:$E$801, 0)+1))="","",INDEX(輔助計算!$D:$D,(MATCH(362, 輔助計算!$E$2:$E$801, 0)+1))*INDEX(ERP資料!$O:$O,(MATCH(362, 輔助計算!$E$2:$E$801, 0)+1))), "")</f>
        <v/>
      </c>
      <c r="K363" s="16" t="n"/>
      <c r="L363" s="16" t="n"/>
      <c r="M363" s="17" t="n"/>
    </row>
    <row r="364">
      <c r="A364" s="14">
        <f>IFERROR(IF(INDEX(ERP資料!$B:$B, (MATCH(363, 輔助計算!$E$2:$E$801, 0)+1))="","",INDEX(ERP資料!$B:$B, (MATCH(363, 輔助計算!$E$2:$E$801, 0)+1))), "")</f>
        <v/>
      </c>
      <c r="B364" s="10">
        <f>IFERROR(IF(INDEX(ERP資料!$A:$A, (MATCH(363, 輔助計算!$E$2:$E$801, 0)+1))="","",INDEX(ERP資料!$A:$A, (MATCH(363, 輔助計算!$E$2:$E$801, 0)+1))), "")</f>
        <v/>
      </c>
      <c r="C364" s="10">
        <f>IFERROR(IF(INDEX(ERP資料!$S:$S, (MATCH(363, 輔助計算!$E$2:$E$801, 0)+1))="","",INDEX(ERP資料!$S:$S, (MATCH(363, 輔助計算!$E$2:$E$801, 0)+1))), "")</f>
        <v/>
      </c>
      <c r="D364" s="10">
        <f>IFERROR(IF(INDEX(ERP資料!$E:$E, (MATCH(363, 輔助計算!$E$2:$E$801, 0)+1))="","",TRIM(INDEX(ERP資料!$E:$E, (MATCH(363, 輔助計算!$E$2:$E$801, 0)+1)))), "")</f>
        <v/>
      </c>
      <c r="E364" s="10">
        <f>IFERROR(IF(INDEX(ERP資料!$F:$F, (MATCH(363, 輔助計算!$E$2:$E$801, 0)+1))="","",INDEX(ERP資料!$F:$F, (MATCH(363, 輔助計算!$E$2:$E$801, 0)+1))), "")</f>
        <v/>
      </c>
      <c r="F364" s="10">
        <f>IFERROR(IF(INDEX(ERP資料!$G:$G, (MATCH(363, 輔助計算!$E$2:$E$801, 0)+1))="","",INDEX(ERP資料!$G:$G, (MATCH(363, 輔助計算!$E$2:$E$801, 0)+1))), "")</f>
        <v/>
      </c>
      <c r="G364" s="10">
        <f>IFERROR(IF(INDEX(ERP資料!$H:$H, (MATCH(363, 輔助計算!$E$2:$E$801, 0)+1))="","",INDEX(ERP資料!$H:$H, (MATCH(363, 輔助計算!$E$2:$E$801, 0)+1))), "")</f>
        <v/>
      </c>
      <c r="H364" s="15">
        <f>IFERROR(INDEX(輔助計算!$D:$D, (MATCH(363, 輔助計算!$E$2:$E$801, 0)+1)), "")</f>
        <v/>
      </c>
      <c r="I364" s="10">
        <f>IFERROR(IF(INDEX(ERP資料!$O:$O, (MATCH(363, 輔助計算!$E$2:$E$801, 0)+1))="","",INDEX(ERP資料!$O:$O, (MATCH(363, 輔助計算!$E$2:$E$801, 0)+1))), "")</f>
        <v/>
      </c>
      <c r="J364" s="15">
        <f>IFERROR(IF(INDEX(輔助計算!$D:$D,(MATCH(363, 輔助計算!$E$2:$E$801, 0)+1))="","",INDEX(輔助計算!$D:$D,(MATCH(363, 輔助計算!$E$2:$E$801, 0)+1))*INDEX(ERP資料!$O:$O,(MATCH(363, 輔助計算!$E$2:$E$801, 0)+1))), "")</f>
        <v/>
      </c>
      <c r="K364" s="16" t="n"/>
      <c r="L364" s="16" t="n"/>
      <c r="M364" s="17" t="n"/>
    </row>
    <row r="365">
      <c r="A365" s="14">
        <f>IFERROR(IF(INDEX(ERP資料!$B:$B, (MATCH(364, 輔助計算!$E$2:$E$801, 0)+1))="","",INDEX(ERP資料!$B:$B, (MATCH(364, 輔助計算!$E$2:$E$801, 0)+1))), "")</f>
        <v/>
      </c>
      <c r="B365" s="10">
        <f>IFERROR(IF(INDEX(ERP資料!$A:$A, (MATCH(364, 輔助計算!$E$2:$E$801, 0)+1))="","",INDEX(ERP資料!$A:$A, (MATCH(364, 輔助計算!$E$2:$E$801, 0)+1))), "")</f>
        <v/>
      </c>
      <c r="C365" s="10">
        <f>IFERROR(IF(INDEX(ERP資料!$S:$S, (MATCH(364, 輔助計算!$E$2:$E$801, 0)+1))="","",INDEX(ERP資料!$S:$S, (MATCH(364, 輔助計算!$E$2:$E$801, 0)+1))), "")</f>
        <v/>
      </c>
      <c r="D365" s="10">
        <f>IFERROR(IF(INDEX(ERP資料!$E:$E, (MATCH(364, 輔助計算!$E$2:$E$801, 0)+1))="","",TRIM(INDEX(ERP資料!$E:$E, (MATCH(364, 輔助計算!$E$2:$E$801, 0)+1)))), "")</f>
        <v/>
      </c>
      <c r="E365" s="10">
        <f>IFERROR(IF(INDEX(ERP資料!$F:$F, (MATCH(364, 輔助計算!$E$2:$E$801, 0)+1))="","",INDEX(ERP資料!$F:$F, (MATCH(364, 輔助計算!$E$2:$E$801, 0)+1))), "")</f>
        <v/>
      </c>
      <c r="F365" s="10">
        <f>IFERROR(IF(INDEX(ERP資料!$G:$G, (MATCH(364, 輔助計算!$E$2:$E$801, 0)+1))="","",INDEX(ERP資料!$G:$G, (MATCH(364, 輔助計算!$E$2:$E$801, 0)+1))), "")</f>
        <v/>
      </c>
      <c r="G365" s="10">
        <f>IFERROR(IF(INDEX(ERP資料!$H:$H, (MATCH(364, 輔助計算!$E$2:$E$801, 0)+1))="","",INDEX(ERP資料!$H:$H, (MATCH(364, 輔助計算!$E$2:$E$801, 0)+1))), "")</f>
        <v/>
      </c>
      <c r="H365" s="15">
        <f>IFERROR(INDEX(輔助計算!$D:$D, (MATCH(364, 輔助計算!$E$2:$E$801, 0)+1)), "")</f>
        <v/>
      </c>
      <c r="I365" s="10">
        <f>IFERROR(IF(INDEX(ERP資料!$O:$O, (MATCH(364, 輔助計算!$E$2:$E$801, 0)+1))="","",INDEX(ERP資料!$O:$O, (MATCH(364, 輔助計算!$E$2:$E$801, 0)+1))), "")</f>
        <v/>
      </c>
      <c r="J365" s="15">
        <f>IFERROR(IF(INDEX(輔助計算!$D:$D,(MATCH(364, 輔助計算!$E$2:$E$801, 0)+1))="","",INDEX(輔助計算!$D:$D,(MATCH(364, 輔助計算!$E$2:$E$801, 0)+1))*INDEX(ERP資料!$O:$O,(MATCH(364, 輔助計算!$E$2:$E$801, 0)+1))), "")</f>
        <v/>
      </c>
      <c r="K365" s="16" t="n"/>
      <c r="L365" s="16" t="n"/>
      <c r="M365" s="17" t="n"/>
    </row>
    <row r="366">
      <c r="A366" s="14">
        <f>IFERROR(IF(INDEX(ERP資料!$B:$B, (MATCH(365, 輔助計算!$E$2:$E$801, 0)+1))="","",INDEX(ERP資料!$B:$B, (MATCH(365, 輔助計算!$E$2:$E$801, 0)+1))), "")</f>
        <v/>
      </c>
      <c r="B366" s="10">
        <f>IFERROR(IF(INDEX(ERP資料!$A:$A, (MATCH(365, 輔助計算!$E$2:$E$801, 0)+1))="","",INDEX(ERP資料!$A:$A, (MATCH(365, 輔助計算!$E$2:$E$801, 0)+1))), "")</f>
        <v/>
      </c>
      <c r="C366" s="10">
        <f>IFERROR(IF(INDEX(ERP資料!$S:$S, (MATCH(365, 輔助計算!$E$2:$E$801, 0)+1))="","",INDEX(ERP資料!$S:$S, (MATCH(365, 輔助計算!$E$2:$E$801, 0)+1))), "")</f>
        <v/>
      </c>
      <c r="D366" s="10">
        <f>IFERROR(IF(INDEX(ERP資料!$E:$E, (MATCH(365, 輔助計算!$E$2:$E$801, 0)+1))="","",TRIM(INDEX(ERP資料!$E:$E, (MATCH(365, 輔助計算!$E$2:$E$801, 0)+1)))), "")</f>
        <v/>
      </c>
      <c r="E366" s="10">
        <f>IFERROR(IF(INDEX(ERP資料!$F:$F, (MATCH(365, 輔助計算!$E$2:$E$801, 0)+1))="","",INDEX(ERP資料!$F:$F, (MATCH(365, 輔助計算!$E$2:$E$801, 0)+1))), "")</f>
        <v/>
      </c>
      <c r="F366" s="10">
        <f>IFERROR(IF(INDEX(ERP資料!$G:$G, (MATCH(365, 輔助計算!$E$2:$E$801, 0)+1))="","",INDEX(ERP資料!$G:$G, (MATCH(365, 輔助計算!$E$2:$E$801, 0)+1))), "")</f>
        <v/>
      </c>
      <c r="G366" s="10">
        <f>IFERROR(IF(INDEX(ERP資料!$H:$H, (MATCH(365, 輔助計算!$E$2:$E$801, 0)+1))="","",INDEX(ERP資料!$H:$H, (MATCH(365, 輔助計算!$E$2:$E$801, 0)+1))), "")</f>
        <v/>
      </c>
      <c r="H366" s="15">
        <f>IFERROR(INDEX(輔助計算!$D:$D, (MATCH(365, 輔助計算!$E$2:$E$801, 0)+1)), "")</f>
        <v/>
      </c>
      <c r="I366" s="10">
        <f>IFERROR(IF(INDEX(ERP資料!$O:$O, (MATCH(365, 輔助計算!$E$2:$E$801, 0)+1))="","",INDEX(ERP資料!$O:$O, (MATCH(365, 輔助計算!$E$2:$E$801, 0)+1))), "")</f>
        <v/>
      </c>
      <c r="J366" s="15">
        <f>IFERROR(IF(INDEX(輔助計算!$D:$D,(MATCH(365, 輔助計算!$E$2:$E$801, 0)+1))="","",INDEX(輔助計算!$D:$D,(MATCH(365, 輔助計算!$E$2:$E$801, 0)+1))*INDEX(ERP資料!$O:$O,(MATCH(365, 輔助計算!$E$2:$E$801, 0)+1))), "")</f>
        <v/>
      </c>
      <c r="K366" s="16" t="n"/>
      <c r="L366" s="16" t="n"/>
      <c r="M366" s="17" t="n"/>
    </row>
    <row r="367">
      <c r="A367" s="14">
        <f>IFERROR(IF(INDEX(ERP資料!$B:$B, (MATCH(366, 輔助計算!$E$2:$E$801, 0)+1))="","",INDEX(ERP資料!$B:$B, (MATCH(366, 輔助計算!$E$2:$E$801, 0)+1))), "")</f>
        <v/>
      </c>
      <c r="B367" s="10">
        <f>IFERROR(IF(INDEX(ERP資料!$A:$A, (MATCH(366, 輔助計算!$E$2:$E$801, 0)+1))="","",INDEX(ERP資料!$A:$A, (MATCH(366, 輔助計算!$E$2:$E$801, 0)+1))), "")</f>
        <v/>
      </c>
      <c r="C367" s="10">
        <f>IFERROR(IF(INDEX(ERP資料!$S:$S, (MATCH(366, 輔助計算!$E$2:$E$801, 0)+1))="","",INDEX(ERP資料!$S:$S, (MATCH(366, 輔助計算!$E$2:$E$801, 0)+1))), "")</f>
        <v/>
      </c>
      <c r="D367" s="10">
        <f>IFERROR(IF(INDEX(ERP資料!$E:$E, (MATCH(366, 輔助計算!$E$2:$E$801, 0)+1))="","",TRIM(INDEX(ERP資料!$E:$E, (MATCH(366, 輔助計算!$E$2:$E$801, 0)+1)))), "")</f>
        <v/>
      </c>
      <c r="E367" s="10">
        <f>IFERROR(IF(INDEX(ERP資料!$F:$F, (MATCH(366, 輔助計算!$E$2:$E$801, 0)+1))="","",INDEX(ERP資料!$F:$F, (MATCH(366, 輔助計算!$E$2:$E$801, 0)+1))), "")</f>
        <v/>
      </c>
      <c r="F367" s="10">
        <f>IFERROR(IF(INDEX(ERP資料!$G:$G, (MATCH(366, 輔助計算!$E$2:$E$801, 0)+1))="","",INDEX(ERP資料!$G:$G, (MATCH(366, 輔助計算!$E$2:$E$801, 0)+1))), "")</f>
        <v/>
      </c>
      <c r="G367" s="10">
        <f>IFERROR(IF(INDEX(ERP資料!$H:$H, (MATCH(366, 輔助計算!$E$2:$E$801, 0)+1))="","",INDEX(ERP資料!$H:$H, (MATCH(366, 輔助計算!$E$2:$E$801, 0)+1))), "")</f>
        <v/>
      </c>
      <c r="H367" s="15">
        <f>IFERROR(INDEX(輔助計算!$D:$D, (MATCH(366, 輔助計算!$E$2:$E$801, 0)+1)), "")</f>
        <v/>
      </c>
      <c r="I367" s="10">
        <f>IFERROR(IF(INDEX(ERP資料!$O:$O, (MATCH(366, 輔助計算!$E$2:$E$801, 0)+1))="","",INDEX(ERP資料!$O:$O, (MATCH(366, 輔助計算!$E$2:$E$801, 0)+1))), "")</f>
        <v/>
      </c>
      <c r="J367" s="15">
        <f>IFERROR(IF(INDEX(輔助計算!$D:$D,(MATCH(366, 輔助計算!$E$2:$E$801, 0)+1))="","",INDEX(輔助計算!$D:$D,(MATCH(366, 輔助計算!$E$2:$E$801, 0)+1))*INDEX(ERP資料!$O:$O,(MATCH(366, 輔助計算!$E$2:$E$801, 0)+1))), "")</f>
        <v/>
      </c>
      <c r="K367" s="16" t="n"/>
      <c r="L367" s="16" t="n"/>
      <c r="M367" s="17" t="n"/>
    </row>
    <row r="368">
      <c r="A368" s="14">
        <f>IFERROR(IF(INDEX(ERP資料!$B:$B, (MATCH(367, 輔助計算!$E$2:$E$801, 0)+1))="","",INDEX(ERP資料!$B:$B, (MATCH(367, 輔助計算!$E$2:$E$801, 0)+1))), "")</f>
        <v/>
      </c>
      <c r="B368" s="10">
        <f>IFERROR(IF(INDEX(ERP資料!$A:$A, (MATCH(367, 輔助計算!$E$2:$E$801, 0)+1))="","",INDEX(ERP資料!$A:$A, (MATCH(367, 輔助計算!$E$2:$E$801, 0)+1))), "")</f>
        <v/>
      </c>
      <c r="C368" s="10">
        <f>IFERROR(IF(INDEX(ERP資料!$S:$S, (MATCH(367, 輔助計算!$E$2:$E$801, 0)+1))="","",INDEX(ERP資料!$S:$S, (MATCH(367, 輔助計算!$E$2:$E$801, 0)+1))), "")</f>
        <v/>
      </c>
      <c r="D368" s="10">
        <f>IFERROR(IF(INDEX(ERP資料!$E:$E, (MATCH(367, 輔助計算!$E$2:$E$801, 0)+1))="","",TRIM(INDEX(ERP資料!$E:$E, (MATCH(367, 輔助計算!$E$2:$E$801, 0)+1)))), "")</f>
        <v/>
      </c>
      <c r="E368" s="10">
        <f>IFERROR(IF(INDEX(ERP資料!$F:$F, (MATCH(367, 輔助計算!$E$2:$E$801, 0)+1))="","",INDEX(ERP資料!$F:$F, (MATCH(367, 輔助計算!$E$2:$E$801, 0)+1))), "")</f>
        <v/>
      </c>
      <c r="F368" s="10">
        <f>IFERROR(IF(INDEX(ERP資料!$G:$G, (MATCH(367, 輔助計算!$E$2:$E$801, 0)+1))="","",INDEX(ERP資料!$G:$G, (MATCH(367, 輔助計算!$E$2:$E$801, 0)+1))), "")</f>
        <v/>
      </c>
      <c r="G368" s="10">
        <f>IFERROR(IF(INDEX(ERP資料!$H:$H, (MATCH(367, 輔助計算!$E$2:$E$801, 0)+1))="","",INDEX(ERP資料!$H:$H, (MATCH(367, 輔助計算!$E$2:$E$801, 0)+1))), "")</f>
        <v/>
      </c>
      <c r="H368" s="15">
        <f>IFERROR(INDEX(輔助計算!$D:$D, (MATCH(367, 輔助計算!$E$2:$E$801, 0)+1)), "")</f>
        <v/>
      </c>
      <c r="I368" s="10">
        <f>IFERROR(IF(INDEX(ERP資料!$O:$O, (MATCH(367, 輔助計算!$E$2:$E$801, 0)+1))="","",INDEX(ERP資料!$O:$O, (MATCH(367, 輔助計算!$E$2:$E$801, 0)+1))), "")</f>
        <v/>
      </c>
      <c r="J368" s="15">
        <f>IFERROR(IF(INDEX(輔助計算!$D:$D,(MATCH(367, 輔助計算!$E$2:$E$801, 0)+1))="","",INDEX(輔助計算!$D:$D,(MATCH(367, 輔助計算!$E$2:$E$801, 0)+1))*INDEX(ERP資料!$O:$O,(MATCH(367, 輔助計算!$E$2:$E$801, 0)+1))), "")</f>
        <v/>
      </c>
      <c r="K368" s="16" t="n"/>
      <c r="L368" s="16" t="n"/>
      <c r="M368" s="17" t="n"/>
    </row>
    <row r="369">
      <c r="A369" s="14">
        <f>IFERROR(IF(INDEX(ERP資料!$B:$B, (MATCH(368, 輔助計算!$E$2:$E$801, 0)+1))="","",INDEX(ERP資料!$B:$B, (MATCH(368, 輔助計算!$E$2:$E$801, 0)+1))), "")</f>
        <v/>
      </c>
      <c r="B369" s="10">
        <f>IFERROR(IF(INDEX(ERP資料!$A:$A, (MATCH(368, 輔助計算!$E$2:$E$801, 0)+1))="","",INDEX(ERP資料!$A:$A, (MATCH(368, 輔助計算!$E$2:$E$801, 0)+1))), "")</f>
        <v/>
      </c>
      <c r="C369" s="10">
        <f>IFERROR(IF(INDEX(ERP資料!$S:$S, (MATCH(368, 輔助計算!$E$2:$E$801, 0)+1))="","",INDEX(ERP資料!$S:$S, (MATCH(368, 輔助計算!$E$2:$E$801, 0)+1))), "")</f>
        <v/>
      </c>
      <c r="D369" s="10">
        <f>IFERROR(IF(INDEX(ERP資料!$E:$E, (MATCH(368, 輔助計算!$E$2:$E$801, 0)+1))="","",TRIM(INDEX(ERP資料!$E:$E, (MATCH(368, 輔助計算!$E$2:$E$801, 0)+1)))), "")</f>
        <v/>
      </c>
      <c r="E369" s="10">
        <f>IFERROR(IF(INDEX(ERP資料!$F:$F, (MATCH(368, 輔助計算!$E$2:$E$801, 0)+1))="","",INDEX(ERP資料!$F:$F, (MATCH(368, 輔助計算!$E$2:$E$801, 0)+1))), "")</f>
        <v/>
      </c>
      <c r="F369" s="10">
        <f>IFERROR(IF(INDEX(ERP資料!$G:$G, (MATCH(368, 輔助計算!$E$2:$E$801, 0)+1))="","",INDEX(ERP資料!$G:$G, (MATCH(368, 輔助計算!$E$2:$E$801, 0)+1))), "")</f>
        <v/>
      </c>
      <c r="G369" s="10">
        <f>IFERROR(IF(INDEX(ERP資料!$H:$H, (MATCH(368, 輔助計算!$E$2:$E$801, 0)+1))="","",INDEX(ERP資料!$H:$H, (MATCH(368, 輔助計算!$E$2:$E$801, 0)+1))), "")</f>
        <v/>
      </c>
      <c r="H369" s="15">
        <f>IFERROR(INDEX(輔助計算!$D:$D, (MATCH(368, 輔助計算!$E$2:$E$801, 0)+1)), "")</f>
        <v/>
      </c>
      <c r="I369" s="10">
        <f>IFERROR(IF(INDEX(ERP資料!$O:$O, (MATCH(368, 輔助計算!$E$2:$E$801, 0)+1))="","",INDEX(ERP資料!$O:$O, (MATCH(368, 輔助計算!$E$2:$E$801, 0)+1))), "")</f>
        <v/>
      </c>
      <c r="J369" s="15">
        <f>IFERROR(IF(INDEX(輔助計算!$D:$D,(MATCH(368, 輔助計算!$E$2:$E$801, 0)+1))="","",INDEX(輔助計算!$D:$D,(MATCH(368, 輔助計算!$E$2:$E$801, 0)+1))*INDEX(ERP資料!$O:$O,(MATCH(368, 輔助計算!$E$2:$E$801, 0)+1))), "")</f>
        <v/>
      </c>
      <c r="K369" s="16" t="n"/>
      <c r="L369" s="16" t="n"/>
      <c r="M369" s="17" t="n"/>
    </row>
    <row r="370">
      <c r="A370" s="14">
        <f>IFERROR(IF(INDEX(ERP資料!$B:$B, (MATCH(369, 輔助計算!$E$2:$E$801, 0)+1))="","",INDEX(ERP資料!$B:$B, (MATCH(369, 輔助計算!$E$2:$E$801, 0)+1))), "")</f>
        <v/>
      </c>
      <c r="B370" s="10">
        <f>IFERROR(IF(INDEX(ERP資料!$A:$A, (MATCH(369, 輔助計算!$E$2:$E$801, 0)+1))="","",INDEX(ERP資料!$A:$A, (MATCH(369, 輔助計算!$E$2:$E$801, 0)+1))), "")</f>
        <v/>
      </c>
      <c r="C370" s="10">
        <f>IFERROR(IF(INDEX(ERP資料!$S:$S, (MATCH(369, 輔助計算!$E$2:$E$801, 0)+1))="","",INDEX(ERP資料!$S:$S, (MATCH(369, 輔助計算!$E$2:$E$801, 0)+1))), "")</f>
        <v/>
      </c>
      <c r="D370" s="10">
        <f>IFERROR(IF(INDEX(ERP資料!$E:$E, (MATCH(369, 輔助計算!$E$2:$E$801, 0)+1))="","",TRIM(INDEX(ERP資料!$E:$E, (MATCH(369, 輔助計算!$E$2:$E$801, 0)+1)))), "")</f>
        <v/>
      </c>
      <c r="E370" s="10">
        <f>IFERROR(IF(INDEX(ERP資料!$F:$F, (MATCH(369, 輔助計算!$E$2:$E$801, 0)+1))="","",INDEX(ERP資料!$F:$F, (MATCH(369, 輔助計算!$E$2:$E$801, 0)+1))), "")</f>
        <v/>
      </c>
      <c r="F370" s="10">
        <f>IFERROR(IF(INDEX(ERP資料!$G:$G, (MATCH(369, 輔助計算!$E$2:$E$801, 0)+1))="","",INDEX(ERP資料!$G:$G, (MATCH(369, 輔助計算!$E$2:$E$801, 0)+1))), "")</f>
        <v/>
      </c>
      <c r="G370" s="10">
        <f>IFERROR(IF(INDEX(ERP資料!$H:$H, (MATCH(369, 輔助計算!$E$2:$E$801, 0)+1))="","",INDEX(ERP資料!$H:$H, (MATCH(369, 輔助計算!$E$2:$E$801, 0)+1))), "")</f>
        <v/>
      </c>
      <c r="H370" s="15">
        <f>IFERROR(INDEX(輔助計算!$D:$D, (MATCH(369, 輔助計算!$E$2:$E$801, 0)+1)), "")</f>
        <v/>
      </c>
      <c r="I370" s="10">
        <f>IFERROR(IF(INDEX(ERP資料!$O:$O, (MATCH(369, 輔助計算!$E$2:$E$801, 0)+1))="","",INDEX(ERP資料!$O:$O, (MATCH(369, 輔助計算!$E$2:$E$801, 0)+1))), "")</f>
        <v/>
      </c>
      <c r="J370" s="15">
        <f>IFERROR(IF(INDEX(輔助計算!$D:$D,(MATCH(369, 輔助計算!$E$2:$E$801, 0)+1))="","",INDEX(輔助計算!$D:$D,(MATCH(369, 輔助計算!$E$2:$E$801, 0)+1))*INDEX(ERP資料!$O:$O,(MATCH(369, 輔助計算!$E$2:$E$801, 0)+1))), "")</f>
        <v/>
      </c>
      <c r="K370" s="16" t="n"/>
      <c r="L370" s="16" t="n"/>
      <c r="M370" s="17" t="n"/>
    </row>
    <row r="371">
      <c r="A371" s="14">
        <f>IFERROR(IF(INDEX(ERP資料!$B:$B, (MATCH(370, 輔助計算!$E$2:$E$801, 0)+1))="","",INDEX(ERP資料!$B:$B, (MATCH(370, 輔助計算!$E$2:$E$801, 0)+1))), "")</f>
        <v/>
      </c>
      <c r="B371" s="10">
        <f>IFERROR(IF(INDEX(ERP資料!$A:$A, (MATCH(370, 輔助計算!$E$2:$E$801, 0)+1))="","",INDEX(ERP資料!$A:$A, (MATCH(370, 輔助計算!$E$2:$E$801, 0)+1))), "")</f>
        <v/>
      </c>
      <c r="C371" s="10">
        <f>IFERROR(IF(INDEX(ERP資料!$S:$S, (MATCH(370, 輔助計算!$E$2:$E$801, 0)+1))="","",INDEX(ERP資料!$S:$S, (MATCH(370, 輔助計算!$E$2:$E$801, 0)+1))), "")</f>
        <v/>
      </c>
      <c r="D371" s="10">
        <f>IFERROR(IF(INDEX(ERP資料!$E:$E, (MATCH(370, 輔助計算!$E$2:$E$801, 0)+1))="","",TRIM(INDEX(ERP資料!$E:$E, (MATCH(370, 輔助計算!$E$2:$E$801, 0)+1)))), "")</f>
        <v/>
      </c>
      <c r="E371" s="10">
        <f>IFERROR(IF(INDEX(ERP資料!$F:$F, (MATCH(370, 輔助計算!$E$2:$E$801, 0)+1))="","",INDEX(ERP資料!$F:$F, (MATCH(370, 輔助計算!$E$2:$E$801, 0)+1))), "")</f>
        <v/>
      </c>
      <c r="F371" s="10">
        <f>IFERROR(IF(INDEX(ERP資料!$G:$G, (MATCH(370, 輔助計算!$E$2:$E$801, 0)+1))="","",INDEX(ERP資料!$G:$G, (MATCH(370, 輔助計算!$E$2:$E$801, 0)+1))), "")</f>
        <v/>
      </c>
      <c r="G371" s="10">
        <f>IFERROR(IF(INDEX(ERP資料!$H:$H, (MATCH(370, 輔助計算!$E$2:$E$801, 0)+1))="","",INDEX(ERP資料!$H:$H, (MATCH(370, 輔助計算!$E$2:$E$801, 0)+1))), "")</f>
        <v/>
      </c>
      <c r="H371" s="15">
        <f>IFERROR(INDEX(輔助計算!$D:$D, (MATCH(370, 輔助計算!$E$2:$E$801, 0)+1)), "")</f>
        <v/>
      </c>
      <c r="I371" s="10">
        <f>IFERROR(IF(INDEX(ERP資料!$O:$O, (MATCH(370, 輔助計算!$E$2:$E$801, 0)+1))="","",INDEX(ERP資料!$O:$O, (MATCH(370, 輔助計算!$E$2:$E$801, 0)+1))), "")</f>
        <v/>
      </c>
      <c r="J371" s="15">
        <f>IFERROR(IF(INDEX(輔助計算!$D:$D,(MATCH(370, 輔助計算!$E$2:$E$801, 0)+1))="","",INDEX(輔助計算!$D:$D,(MATCH(370, 輔助計算!$E$2:$E$801, 0)+1))*INDEX(ERP資料!$O:$O,(MATCH(370, 輔助計算!$E$2:$E$801, 0)+1))), "")</f>
        <v/>
      </c>
      <c r="K371" s="16" t="n"/>
      <c r="L371" s="16" t="n"/>
      <c r="M371" s="17" t="n"/>
    </row>
    <row r="372">
      <c r="A372" s="14">
        <f>IFERROR(IF(INDEX(ERP資料!$B:$B, (MATCH(371, 輔助計算!$E$2:$E$801, 0)+1))="","",INDEX(ERP資料!$B:$B, (MATCH(371, 輔助計算!$E$2:$E$801, 0)+1))), "")</f>
        <v/>
      </c>
      <c r="B372" s="10">
        <f>IFERROR(IF(INDEX(ERP資料!$A:$A, (MATCH(371, 輔助計算!$E$2:$E$801, 0)+1))="","",INDEX(ERP資料!$A:$A, (MATCH(371, 輔助計算!$E$2:$E$801, 0)+1))), "")</f>
        <v/>
      </c>
      <c r="C372" s="10">
        <f>IFERROR(IF(INDEX(ERP資料!$S:$S, (MATCH(371, 輔助計算!$E$2:$E$801, 0)+1))="","",INDEX(ERP資料!$S:$S, (MATCH(371, 輔助計算!$E$2:$E$801, 0)+1))), "")</f>
        <v/>
      </c>
      <c r="D372" s="10">
        <f>IFERROR(IF(INDEX(ERP資料!$E:$E, (MATCH(371, 輔助計算!$E$2:$E$801, 0)+1))="","",TRIM(INDEX(ERP資料!$E:$E, (MATCH(371, 輔助計算!$E$2:$E$801, 0)+1)))), "")</f>
        <v/>
      </c>
      <c r="E372" s="10">
        <f>IFERROR(IF(INDEX(ERP資料!$F:$F, (MATCH(371, 輔助計算!$E$2:$E$801, 0)+1))="","",INDEX(ERP資料!$F:$F, (MATCH(371, 輔助計算!$E$2:$E$801, 0)+1))), "")</f>
        <v/>
      </c>
      <c r="F372" s="10">
        <f>IFERROR(IF(INDEX(ERP資料!$G:$G, (MATCH(371, 輔助計算!$E$2:$E$801, 0)+1))="","",INDEX(ERP資料!$G:$G, (MATCH(371, 輔助計算!$E$2:$E$801, 0)+1))), "")</f>
        <v/>
      </c>
      <c r="G372" s="10">
        <f>IFERROR(IF(INDEX(ERP資料!$H:$H, (MATCH(371, 輔助計算!$E$2:$E$801, 0)+1))="","",INDEX(ERP資料!$H:$H, (MATCH(371, 輔助計算!$E$2:$E$801, 0)+1))), "")</f>
        <v/>
      </c>
      <c r="H372" s="15">
        <f>IFERROR(INDEX(輔助計算!$D:$D, (MATCH(371, 輔助計算!$E$2:$E$801, 0)+1)), "")</f>
        <v/>
      </c>
      <c r="I372" s="10">
        <f>IFERROR(IF(INDEX(ERP資料!$O:$O, (MATCH(371, 輔助計算!$E$2:$E$801, 0)+1))="","",INDEX(ERP資料!$O:$O, (MATCH(371, 輔助計算!$E$2:$E$801, 0)+1))), "")</f>
        <v/>
      </c>
      <c r="J372" s="15">
        <f>IFERROR(IF(INDEX(輔助計算!$D:$D,(MATCH(371, 輔助計算!$E$2:$E$801, 0)+1))="","",INDEX(輔助計算!$D:$D,(MATCH(371, 輔助計算!$E$2:$E$801, 0)+1))*INDEX(ERP資料!$O:$O,(MATCH(371, 輔助計算!$E$2:$E$801, 0)+1))), "")</f>
        <v/>
      </c>
      <c r="K372" s="16" t="n"/>
      <c r="L372" s="16" t="n"/>
      <c r="M372" s="17" t="n"/>
    </row>
    <row r="373">
      <c r="A373" s="14">
        <f>IFERROR(IF(INDEX(ERP資料!$B:$B, (MATCH(372, 輔助計算!$E$2:$E$801, 0)+1))="","",INDEX(ERP資料!$B:$B, (MATCH(372, 輔助計算!$E$2:$E$801, 0)+1))), "")</f>
        <v/>
      </c>
      <c r="B373" s="10">
        <f>IFERROR(IF(INDEX(ERP資料!$A:$A, (MATCH(372, 輔助計算!$E$2:$E$801, 0)+1))="","",INDEX(ERP資料!$A:$A, (MATCH(372, 輔助計算!$E$2:$E$801, 0)+1))), "")</f>
        <v/>
      </c>
      <c r="C373" s="10">
        <f>IFERROR(IF(INDEX(ERP資料!$S:$S, (MATCH(372, 輔助計算!$E$2:$E$801, 0)+1))="","",INDEX(ERP資料!$S:$S, (MATCH(372, 輔助計算!$E$2:$E$801, 0)+1))), "")</f>
        <v/>
      </c>
      <c r="D373" s="10">
        <f>IFERROR(IF(INDEX(ERP資料!$E:$E, (MATCH(372, 輔助計算!$E$2:$E$801, 0)+1))="","",TRIM(INDEX(ERP資料!$E:$E, (MATCH(372, 輔助計算!$E$2:$E$801, 0)+1)))), "")</f>
        <v/>
      </c>
      <c r="E373" s="10">
        <f>IFERROR(IF(INDEX(ERP資料!$F:$F, (MATCH(372, 輔助計算!$E$2:$E$801, 0)+1))="","",INDEX(ERP資料!$F:$F, (MATCH(372, 輔助計算!$E$2:$E$801, 0)+1))), "")</f>
        <v/>
      </c>
      <c r="F373" s="10">
        <f>IFERROR(IF(INDEX(ERP資料!$G:$G, (MATCH(372, 輔助計算!$E$2:$E$801, 0)+1))="","",INDEX(ERP資料!$G:$G, (MATCH(372, 輔助計算!$E$2:$E$801, 0)+1))), "")</f>
        <v/>
      </c>
      <c r="G373" s="10">
        <f>IFERROR(IF(INDEX(ERP資料!$H:$H, (MATCH(372, 輔助計算!$E$2:$E$801, 0)+1))="","",INDEX(ERP資料!$H:$H, (MATCH(372, 輔助計算!$E$2:$E$801, 0)+1))), "")</f>
        <v/>
      </c>
      <c r="H373" s="15">
        <f>IFERROR(INDEX(輔助計算!$D:$D, (MATCH(372, 輔助計算!$E$2:$E$801, 0)+1)), "")</f>
        <v/>
      </c>
      <c r="I373" s="10">
        <f>IFERROR(IF(INDEX(ERP資料!$O:$O, (MATCH(372, 輔助計算!$E$2:$E$801, 0)+1))="","",INDEX(ERP資料!$O:$O, (MATCH(372, 輔助計算!$E$2:$E$801, 0)+1))), "")</f>
        <v/>
      </c>
      <c r="J373" s="15">
        <f>IFERROR(IF(INDEX(輔助計算!$D:$D,(MATCH(372, 輔助計算!$E$2:$E$801, 0)+1))="","",INDEX(輔助計算!$D:$D,(MATCH(372, 輔助計算!$E$2:$E$801, 0)+1))*INDEX(ERP資料!$O:$O,(MATCH(372, 輔助計算!$E$2:$E$801, 0)+1))), "")</f>
        <v/>
      </c>
      <c r="K373" s="16" t="n"/>
      <c r="L373" s="16" t="n"/>
      <c r="M373" s="17" t="n"/>
    </row>
    <row r="374">
      <c r="A374" s="14">
        <f>IFERROR(IF(INDEX(ERP資料!$B:$B, (MATCH(373, 輔助計算!$E$2:$E$801, 0)+1))="","",INDEX(ERP資料!$B:$B, (MATCH(373, 輔助計算!$E$2:$E$801, 0)+1))), "")</f>
        <v/>
      </c>
      <c r="B374" s="10">
        <f>IFERROR(IF(INDEX(ERP資料!$A:$A, (MATCH(373, 輔助計算!$E$2:$E$801, 0)+1))="","",INDEX(ERP資料!$A:$A, (MATCH(373, 輔助計算!$E$2:$E$801, 0)+1))), "")</f>
        <v/>
      </c>
      <c r="C374" s="10">
        <f>IFERROR(IF(INDEX(ERP資料!$S:$S, (MATCH(373, 輔助計算!$E$2:$E$801, 0)+1))="","",INDEX(ERP資料!$S:$S, (MATCH(373, 輔助計算!$E$2:$E$801, 0)+1))), "")</f>
        <v/>
      </c>
      <c r="D374" s="10">
        <f>IFERROR(IF(INDEX(ERP資料!$E:$E, (MATCH(373, 輔助計算!$E$2:$E$801, 0)+1))="","",TRIM(INDEX(ERP資料!$E:$E, (MATCH(373, 輔助計算!$E$2:$E$801, 0)+1)))), "")</f>
        <v/>
      </c>
      <c r="E374" s="10">
        <f>IFERROR(IF(INDEX(ERP資料!$F:$F, (MATCH(373, 輔助計算!$E$2:$E$801, 0)+1))="","",INDEX(ERP資料!$F:$F, (MATCH(373, 輔助計算!$E$2:$E$801, 0)+1))), "")</f>
        <v/>
      </c>
      <c r="F374" s="10">
        <f>IFERROR(IF(INDEX(ERP資料!$G:$G, (MATCH(373, 輔助計算!$E$2:$E$801, 0)+1))="","",INDEX(ERP資料!$G:$G, (MATCH(373, 輔助計算!$E$2:$E$801, 0)+1))), "")</f>
        <v/>
      </c>
      <c r="G374" s="10">
        <f>IFERROR(IF(INDEX(ERP資料!$H:$H, (MATCH(373, 輔助計算!$E$2:$E$801, 0)+1))="","",INDEX(ERP資料!$H:$H, (MATCH(373, 輔助計算!$E$2:$E$801, 0)+1))), "")</f>
        <v/>
      </c>
      <c r="H374" s="15">
        <f>IFERROR(INDEX(輔助計算!$D:$D, (MATCH(373, 輔助計算!$E$2:$E$801, 0)+1)), "")</f>
        <v/>
      </c>
      <c r="I374" s="10">
        <f>IFERROR(IF(INDEX(ERP資料!$O:$O, (MATCH(373, 輔助計算!$E$2:$E$801, 0)+1))="","",INDEX(ERP資料!$O:$O, (MATCH(373, 輔助計算!$E$2:$E$801, 0)+1))), "")</f>
        <v/>
      </c>
      <c r="J374" s="15">
        <f>IFERROR(IF(INDEX(輔助計算!$D:$D,(MATCH(373, 輔助計算!$E$2:$E$801, 0)+1))="","",INDEX(輔助計算!$D:$D,(MATCH(373, 輔助計算!$E$2:$E$801, 0)+1))*INDEX(ERP資料!$O:$O,(MATCH(373, 輔助計算!$E$2:$E$801, 0)+1))), "")</f>
        <v/>
      </c>
      <c r="K374" s="16" t="n"/>
      <c r="L374" s="16" t="n"/>
      <c r="M374" s="17" t="n"/>
    </row>
    <row r="375">
      <c r="A375" s="14">
        <f>IFERROR(IF(INDEX(ERP資料!$B:$B, (MATCH(374, 輔助計算!$E$2:$E$801, 0)+1))="","",INDEX(ERP資料!$B:$B, (MATCH(374, 輔助計算!$E$2:$E$801, 0)+1))), "")</f>
        <v/>
      </c>
      <c r="B375" s="10">
        <f>IFERROR(IF(INDEX(ERP資料!$A:$A, (MATCH(374, 輔助計算!$E$2:$E$801, 0)+1))="","",INDEX(ERP資料!$A:$A, (MATCH(374, 輔助計算!$E$2:$E$801, 0)+1))), "")</f>
        <v/>
      </c>
      <c r="C375" s="10">
        <f>IFERROR(IF(INDEX(ERP資料!$S:$S, (MATCH(374, 輔助計算!$E$2:$E$801, 0)+1))="","",INDEX(ERP資料!$S:$S, (MATCH(374, 輔助計算!$E$2:$E$801, 0)+1))), "")</f>
        <v/>
      </c>
      <c r="D375" s="10">
        <f>IFERROR(IF(INDEX(ERP資料!$E:$E, (MATCH(374, 輔助計算!$E$2:$E$801, 0)+1))="","",TRIM(INDEX(ERP資料!$E:$E, (MATCH(374, 輔助計算!$E$2:$E$801, 0)+1)))), "")</f>
        <v/>
      </c>
      <c r="E375" s="10">
        <f>IFERROR(IF(INDEX(ERP資料!$F:$F, (MATCH(374, 輔助計算!$E$2:$E$801, 0)+1))="","",INDEX(ERP資料!$F:$F, (MATCH(374, 輔助計算!$E$2:$E$801, 0)+1))), "")</f>
        <v/>
      </c>
      <c r="F375" s="10">
        <f>IFERROR(IF(INDEX(ERP資料!$G:$G, (MATCH(374, 輔助計算!$E$2:$E$801, 0)+1))="","",INDEX(ERP資料!$G:$G, (MATCH(374, 輔助計算!$E$2:$E$801, 0)+1))), "")</f>
        <v/>
      </c>
      <c r="G375" s="10">
        <f>IFERROR(IF(INDEX(ERP資料!$H:$H, (MATCH(374, 輔助計算!$E$2:$E$801, 0)+1))="","",INDEX(ERP資料!$H:$H, (MATCH(374, 輔助計算!$E$2:$E$801, 0)+1))), "")</f>
        <v/>
      </c>
      <c r="H375" s="15">
        <f>IFERROR(INDEX(輔助計算!$D:$D, (MATCH(374, 輔助計算!$E$2:$E$801, 0)+1)), "")</f>
        <v/>
      </c>
      <c r="I375" s="10">
        <f>IFERROR(IF(INDEX(ERP資料!$O:$O, (MATCH(374, 輔助計算!$E$2:$E$801, 0)+1))="","",INDEX(ERP資料!$O:$O, (MATCH(374, 輔助計算!$E$2:$E$801, 0)+1))), "")</f>
        <v/>
      </c>
      <c r="J375" s="15">
        <f>IFERROR(IF(INDEX(輔助計算!$D:$D,(MATCH(374, 輔助計算!$E$2:$E$801, 0)+1))="","",INDEX(輔助計算!$D:$D,(MATCH(374, 輔助計算!$E$2:$E$801, 0)+1))*INDEX(ERP資料!$O:$O,(MATCH(374, 輔助計算!$E$2:$E$801, 0)+1))), "")</f>
        <v/>
      </c>
      <c r="K375" s="16" t="n"/>
      <c r="L375" s="16" t="n"/>
      <c r="M375" s="17" t="n"/>
    </row>
    <row r="376">
      <c r="A376" s="14">
        <f>IFERROR(IF(INDEX(ERP資料!$B:$B, (MATCH(375, 輔助計算!$E$2:$E$801, 0)+1))="","",INDEX(ERP資料!$B:$B, (MATCH(375, 輔助計算!$E$2:$E$801, 0)+1))), "")</f>
        <v/>
      </c>
      <c r="B376" s="10">
        <f>IFERROR(IF(INDEX(ERP資料!$A:$A, (MATCH(375, 輔助計算!$E$2:$E$801, 0)+1))="","",INDEX(ERP資料!$A:$A, (MATCH(375, 輔助計算!$E$2:$E$801, 0)+1))), "")</f>
        <v/>
      </c>
      <c r="C376" s="10">
        <f>IFERROR(IF(INDEX(ERP資料!$S:$S, (MATCH(375, 輔助計算!$E$2:$E$801, 0)+1))="","",INDEX(ERP資料!$S:$S, (MATCH(375, 輔助計算!$E$2:$E$801, 0)+1))), "")</f>
        <v/>
      </c>
      <c r="D376" s="10">
        <f>IFERROR(IF(INDEX(ERP資料!$E:$E, (MATCH(375, 輔助計算!$E$2:$E$801, 0)+1))="","",TRIM(INDEX(ERP資料!$E:$E, (MATCH(375, 輔助計算!$E$2:$E$801, 0)+1)))), "")</f>
        <v/>
      </c>
      <c r="E376" s="10">
        <f>IFERROR(IF(INDEX(ERP資料!$F:$F, (MATCH(375, 輔助計算!$E$2:$E$801, 0)+1))="","",INDEX(ERP資料!$F:$F, (MATCH(375, 輔助計算!$E$2:$E$801, 0)+1))), "")</f>
        <v/>
      </c>
      <c r="F376" s="10">
        <f>IFERROR(IF(INDEX(ERP資料!$G:$G, (MATCH(375, 輔助計算!$E$2:$E$801, 0)+1))="","",INDEX(ERP資料!$G:$G, (MATCH(375, 輔助計算!$E$2:$E$801, 0)+1))), "")</f>
        <v/>
      </c>
      <c r="G376" s="10">
        <f>IFERROR(IF(INDEX(ERP資料!$H:$H, (MATCH(375, 輔助計算!$E$2:$E$801, 0)+1))="","",INDEX(ERP資料!$H:$H, (MATCH(375, 輔助計算!$E$2:$E$801, 0)+1))), "")</f>
        <v/>
      </c>
      <c r="H376" s="15">
        <f>IFERROR(INDEX(輔助計算!$D:$D, (MATCH(375, 輔助計算!$E$2:$E$801, 0)+1)), "")</f>
        <v/>
      </c>
      <c r="I376" s="10">
        <f>IFERROR(IF(INDEX(ERP資料!$O:$O, (MATCH(375, 輔助計算!$E$2:$E$801, 0)+1))="","",INDEX(ERP資料!$O:$O, (MATCH(375, 輔助計算!$E$2:$E$801, 0)+1))), "")</f>
        <v/>
      </c>
      <c r="J376" s="15">
        <f>IFERROR(IF(INDEX(輔助計算!$D:$D,(MATCH(375, 輔助計算!$E$2:$E$801, 0)+1))="","",INDEX(輔助計算!$D:$D,(MATCH(375, 輔助計算!$E$2:$E$801, 0)+1))*INDEX(ERP資料!$O:$O,(MATCH(375, 輔助計算!$E$2:$E$801, 0)+1))), "")</f>
        <v/>
      </c>
      <c r="K376" s="16" t="n"/>
      <c r="L376" s="16" t="n"/>
      <c r="M376" s="17" t="n"/>
    </row>
    <row r="377">
      <c r="A377" s="14">
        <f>IFERROR(IF(INDEX(ERP資料!$B:$B, (MATCH(376, 輔助計算!$E$2:$E$801, 0)+1))="","",INDEX(ERP資料!$B:$B, (MATCH(376, 輔助計算!$E$2:$E$801, 0)+1))), "")</f>
        <v/>
      </c>
      <c r="B377" s="10">
        <f>IFERROR(IF(INDEX(ERP資料!$A:$A, (MATCH(376, 輔助計算!$E$2:$E$801, 0)+1))="","",INDEX(ERP資料!$A:$A, (MATCH(376, 輔助計算!$E$2:$E$801, 0)+1))), "")</f>
        <v/>
      </c>
      <c r="C377" s="10">
        <f>IFERROR(IF(INDEX(ERP資料!$S:$S, (MATCH(376, 輔助計算!$E$2:$E$801, 0)+1))="","",INDEX(ERP資料!$S:$S, (MATCH(376, 輔助計算!$E$2:$E$801, 0)+1))), "")</f>
        <v/>
      </c>
      <c r="D377" s="10">
        <f>IFERROR(IF(INDEX(ERP資料!$E:$E, (MATCH(376, 輔助計算!$E$2:$E$801, 0)+1))="","",TRIM(INDEX(ERP資料!$E:$E, (MATCH(376, 輔助計算!$E$2:$E$801, 0)+1)))), "")</f>
        <v/>
      </c>
      <c r="E377" s="10">
        <f>IFERROR(IF(INDEX(ERP資料!$F:$F, (MATCH(376, 輔助計算!$E$2:$E$801, 0)+1))="","",INDEX(ERP資料!$F:$F, (MATCH(376, 輔助計算!$E$2:$E$801, 0)+1))), "")</f>
        <v/>
      </c>
      <c r="F377" s="10">
        <f>IFERROR(IF(INDEX(ERP資料!$G:$G, (MATCH(376, 輔助計算!$E$2:$E$801, 0)+1))="","",INDEX(ERP資料!$G:$G, (MATCH(376, 輔助計算!$E$2:$E$801, 0)+1))), "")</f>
        <v/>
      </c>
      <c r="G377" s="10">
        <f>IFERROR(IF(INDEX(ERP資料!$H:$H, (MATCH(376, 輔助計算!$E$2:$E$801, 0)+1))="","",INDEX(ERP資料!$H:$H, (MATCH(376, 輔助計算!$E$2:$E$801, 0)+1))), "")</f>
        <v/>
      </c>
      <c r="H377" s="15">
        <f>IFERROR(INDEX(輔助計算!$D:$D, (MATCH(376, 輔助計算!$E$2:$E$801, 0)+1)), "")</f>
        <v/>
      </c>
      <c r="I377" s="10">
        <f>IFERROR(IF(INDEX(ERP資料!$O:$O, (MATCH(376, 輔助計算!$E$2:$E$801, 0)+1))="","",INDEX(ERP資料!$O:$O, (MATCH(376, 輔助計算!$E$2:$E$801, 0)+1))), "")</f>
        <v/>
      </c>
      <c r="J377" s="15">
        <f>IFERROR(IF(INDEX(輔助計算!$D:$D,(MATCH(376, 輔助計算!$E$2:$E$801, 0)+1))="","",INDEX(輔助計算!$D:$D,(MATCH(376, 輔助計算!$E$2:$E$801, 0)+1))*INDEX(ERP資料!$O:$O,(MATCH(376, 輔助計算!$E$2:$E$801, 0)+1))), "")</f>
        <v/>
      </c>
      <c r="K377" s="16" t="n"/>
      <c r="L377" s="16" t="n"/>
      <c r="M377" s="17" t="n"/>
    </row>
    <row r="378">
      <c r="A378" s="14">
        <f>IFERROR(IF(INDEX(ERP資料!$B:$B, (MATCH(377, 輔助計算!$E$2:$E$801, 0)+1))="","",INDEX(ERP資料!$B:$B, (MATCH(377, 輔助計算!$E$2:$E$801, 0)+1))), "")</f>
        <v/>
      </c>
      <c r="B378" s="10">
        <f>IFERROR(IF(INDEX(ERP資料!$A:$A, (MATCH(377, 輔助計算!$E$2:$E$801, 0)+1))="","",INDEX(ERP資料!$A:$A, (MATCH(377, 輔助計算!$E$2:$E$801, 0)+1))), "")</f>
        <v/>
      </c>
      <c r="C378" s="10">
        <f>IFERROR(IF(INDEX(ERP資料!$S:$S, (MATCH(377, 輔助計算!$E$2:$E$801, 0)+1))="","",INDEX(ERP資料!$S:$S, (MATCH(377, 輔助計算!$E$2:$E$801, 0)+1))), "")</f>
        <v/>
      </c>
      <c r="D378" s="10">
        <f>IFERROR(IF(INDEX(ERP資料!$E:$E, (MATCH(377, 輔助計算!$E$2:$E$801, 0)+1))="","",TRIM(INDEX(ERP資料!$E:$E, (MATCH(377, 輔助計算!$E$2:$E$801, 0)+1)))), "")</f>
        <v/>
      </c>
      <c r="E378" s="10">
        <f>IFERROR(IF(INDEX(ERP資料!$F:$F, (MATCH(377, 輔助計算!$E$2:$E$801, 0)+1))="","",INDEX(ERP資料!$F:$F, (MATCH(377, 輔助計算!$E$2:$E$801, 0)+1))), "")</f>
        <v/>
      </c>
      <c r="F378" s="10">
        <f>IFERROR(IF(INDEX(ERP資料!$G:$G, (MATCH(377, 輔助計算!$E$2:$E$801, 0)+1))="","",INDEX(ERP資料!$G:$G, (MATCH(377, 輔助計算!$E$2:$E$801, 0)+1))), "")</f>
        <v/>
      </c>
      <c r="G378" s="10">
        <f>IFERROR(IF(INDEX(ERP資料!$H:$H, (MATCH(377, 輔助計算!$E$2:$E$801, 0)+1))="","",INDEX(ERP資料!$H:$H, (MATCH(377, 輔助計算!$E$2:$E$801, 0)+1))), "")</f>
        <v/>
      </c>
      <c r="H378" s="15">
        <f>IFERROR(INDEX(輔助計算!$D:$D, (MATCH(377, 輔助計算!$E$2:$E$801, 0)+1)), "")</f>
        <v/>
      </c>
      <c r="I378" s="10">
        <f>IFERROR(IF(INDEX(ERP資料!$O:$O, (MATCH(377, 輔助計算!$E$2:$E$801, 0)+1))="","",INDEX(ERP資料!$O:$O, (MATCH(377, 輔助計算!$E$2:$E$801, 0)+1))), "")</f>
        <v/>
      </c>
      <c r="J378" s="15">
        <f>IFERROR(IF(INDEX(輔助計算!$D:$D,(MATCH(377, 輔助計算!$E$2:$E$801, 0)+1))="","",INDEX(輔助計算!$D:$D,(MATCH(377, 輔助計算!$E$2:$E$801, 0)+1))*INDEX(ERP資料!$O:$O,(MATCH(377, 輔助計算!$E$2:$E$801, 0)+1))), "")</f>
        <v/>
      </c>
      <c r="K378" s="16" t="n"/>
      <c r="L378" s="16" t="n"/>
      <c r="M378" s="17" t="n"/>
    </row>
    <row r="379">
      <c r="A379" s="14">
        <f>IFERROR(IF(INDEX(ERP資料!$B:$B, (MATCH(378, 輔助計算!$E$2:$E$801, 0)+1))="","",INDEX(ERP資料!$B:$B, (MATCH(378, 輔助計算!$E$2:$E$801, 0)+1))), "")</f>
        <v/>
      </c>
      <c r="B379" s="10">
        <f>IFERROR(IF(INDEX(ERP資料!$A:$A, (MATCH(378, 輔助計算!$E$2:$E$801, 0)+1))="","",INDEX(ERP資料!$A:$A, (MATCH(378, 輔助計算!$E$2:$E$801, 0)+1))), "")</f>
        <v/>
      </c>
      <c r="C379" s="10">
        <f>IFERROR(IF(INDEX(ERP資料!$S:$S, (MATCH(378, 輔助計算!$E$2:$E$801, 0)+1))="","",INDEX(ERP資料!$S:$S, (MATCH(378, 輔助計算!$E$2:$E$801, 0)+1))), "")</f>
        <v/>
      </c>
      <c r="D379" s="10">
        <f>IFERROR(IF(INDEX(ERP資料!$E:$E, (MATCH(378, 輔助計算!$E$2:$E$801, 0)+1))="","",TRIM(INDEX(ERP資料!$E:$E, (MATCH(378, 輔助計算!$E$2:$E$801, 0)+1)))), "")</f>
        <v/>
      </c>
      <c r="E379" s="10">
        <f>IFERROR(IF(INDEX(ERP資料!$F:$F, (MATCH(378, 輔助計算!$E$2:$E$801, 0)+1))="","",INDEX(ERP資料!$F:$F, (MATCH(378, 輔助計算!$E$2:$E$801, 0)+1))), "")</f>
        <v/>
      </c>
      <c r="F379" s="10">
        <f>IFERROR(IF(INDEX(ERP資料!$G:$G, (MATCH(378, 輔助計算!$E$2:$E$801, 0)+1))="","",INDEX(ERP資料!$G:$G, (MATCH(378, 輔助計算!$E$2:$E$801, 0)+1))), "")</f>
        <v/>
      </c>
      <c r="G379" s="10">
        <f>IFERROR(IF(INDEX(ERP資料!$H:$H, (MATCH(378, 輔助計算!$E$2:$E$801, 0)+1))="","",INDEX(ERP資料!$H:$H, (MATCH(378, 輔助計算!$E$2:$E$801, 0)+1))), "")</f>
        <v/>
      </c>
      <c r="H379" s="15">
        <f>IFERROR(INDEX(輔助計算!$D:$D, (MATCH(378, 輔助計算!$E$2:$E$801, 0)+1)), "")</f>
        <v/>
      </c>
      <c r="I379" s="10">
        <f>IFERROR(IF(INDEX(ERP資料!$O:$O, (MATCH(378, 輔助計算!$E$2:$E$801, 0)+1))="","",INDEX(ERP資料!$O:$O, (MATCH(378, 輔助計算!$E$2:$E$801, 0)+1))), "")</f>
        <v/>
      </c>
      <c r="J379" s="15">
        <f>IFERROR(IF(INDEX(輔助計算!$D:$D,(MATCH(378, 輔助計算!$E$2:$E$801, 0)+1))="","",INDEX(輔助計算!$D:$D,(MATCH(378, 輔助計算!$E$2:$E$801, 0)+1))*INDEX(ERP資料!$O:$O,(MATCH(378, 輔助計算!$E$2:$E$801, 0)+1))), "")</f>
        <v/>
      </c>
      <c r="K379" s="16" t="n"/>
      <c r="L379" s="16" t="n"/>
      <c r="M379" s="17" t="n"/>
    </row>
    <row r="380">
      <c r="A380" s="14">
        <f>IFERROR(IF(INDEX(ERP資料!$B:$B, (MATCH(379, 輔助計算!$E$2:$E$801, 0)+1))="","",INDEX(ERP資料!$B:$B, (MATCH(379, 輔助計算!$E$2:$E$801, 0)+1))), "")</f>
        <v/>
      </c>
      <c r="B380" s="10">
        <f>IFERROR(IF(INDEX(ERP資料!$A:$A, (MATCH(379, 輔助計算!$E$2:$E$801, 0)+1))="","",INDEX(ERP資料!$A:$A, (MATCH(379, 輔助計算!$E$2:$E$801, 0)+1))), "")</f>
        <v/>
      </c>
      <c r="C380" s="10">
        <f>IFERROR(IF(INDEX(ERP資料!$S:$S, (MATCH(379, 輔助計算!$E$2:$E$801, 0)+1))="","",INDEX(ERP資料!$S:$S, (MATCH(379, 輔助計算!$E$2:$E$801, 0)+1))), "")</f>
        <v/>
      </c>
      <c r="D380" s="10">
        <f>IFERROR(IF(INDEX(ERP資料!$E:$E, (MATCH(379, 輔助計算!$E$2:$E$801, 0)+1))="","",TRIM(INDEX(ERP資料!$E:$E, (MATCH(379, 輔助計算!$E$2:$E$801, 0)+1)))), "")</f>
        <v/>
      </c>
      <c r="E380" s="10">
        <f>IFERROR(IF(INDEX(ERP資料!$F:$F, (MATCH(379, 輔助計算!$E$2:$E$801, 0)+1))="","",INDEX(ERP資料!$F:$F, (MATCH(379, 輔助計算!$E$2:$E$801, 0)+1))), "")</f>
        <v/>
      </c>
      <c r="F380" s="10">
        <f>IFERROR(IF(INDEX(ERP資料!$G:$G, (MATCH(379, 輔助計算!$E$2:$E$801, 0)+1))="","",INDEX(ERP資料!$G:$G, (MATCH(379, 輔助計算!$E$2:$E$801, 0)+1))), "")</f>
        <v/>
      </c>
      <c r="G380" s="10">
        <f>IFERROR(IF(INDEX(ERP資料!$H:$H, (MATCH(379, 輔助計算!$E$2:$E$801, 0)+1))="","",INDEX(ERP資料!$H:$H, (MATCH(379, 輔助計算!$E$2:$E$801, 0)+1))), "")</f>
        <v/>
      </c>
      <c r="H380" s="15">
        <f>IFERROR(INDEX(輔助計算!$D:$D, (MATCH(379, 輔助計算!$E$2:$E$801, 0)+1)), "")</f>
        <v/>
      </c>
      <c r="I380" s="10">
        <f>IFERROR(IF(INDEX(ERP資料!$O:$O, (MATCH(379, 輔助計算!$E$2:$E$801, 0)+1))="","",INDEX(ERP資料!$O:$O, (MATCH(379, 輔助計算!$E$2:$E$801, 0)+1))), "")</f>
        <v/>
      </c>
      <c r="J380" s="15">
        <f>IFERROR(IF(INDEX(輔助計算!$D:$D,(MATCH(379, 輔助計算!$E$2:$E$801, 0)+1))="","",INDEX(輔助計算!$D:$D,(MATCH(379, 輔助計算!$E$2:$E$801, 0)+1))*INDEX(ERP資料!$O:$O,(MATCH(379, 輔助計算!$E$2:$E$801, 0)+1))), "")</f>
        <v/>
      </c>
      <c r="K380" s="16" t="n"/>
      <c r="L380" s="16" t="n"/>
      <c r="M380" s="17" t="n"/>
    </row>
    <row r="381">
      <c r="A381" s="14">
        <f>IFERROR(IF(INDEX(ERP資料!$B:$B, (MATCH(380, 輔助計算!$E$2:$E$801, 0)+1))="","",INDEX(ERP資料!$B:$B, (MATCH(380, 輔助計算!$E$2:$E$801, 0)+1))), "")</f>
        <v/>
      </c>
      <c r="B381" s="10">
        <f>IFERROR(IF(INDEX(ERP資料!$A:$A, (MATCH(380, 輔助計算!$E$2:$E$801, 0)+1))="","",INDEX(ERP資料!$A:$A, (MATCH(380, 輔助計算!$E$2:$E$801, 0)+1))), "")</f>
        <v/>
      </c>
      <c r="C381" s="10">
        <f>IFERROR(IF(INDEX(ERP資料!$S:$S, (MATCH(380, 輔助計算!$E$2:$E$801, 0)+1))="","",INDEX(ERP資料!$S:$S, (MATCH(380, 輔助計算!$E$2:$E$801, 0)+1))), "")</f>
        <v/>
      </c>
      <c r="D381" s="10">
        <f>IFERROR(IF(INDEX(ERP資料!$E:$E, (MATCH(380, 輔助計算!$E$2:$E$801, 0)+1))="","",TRIM(INDEX(ERP資料!$E:$E, (MATCH(380, 輔助計算!$E$2:$E$801, 0)+1)))), "")</f>
        <v/>
      </c>
      <c r="E381" s="10">
        <f>IFERROR(IF(INDEX(ERP資料!$F:$F, (MATCH(380, 輔助計算!$E$2:$E$801, 0)+1))="","",INDEX(ERP資料!$F:$F, (MATCH(380, 輔助計算!$E$2:$E$801, 0)+1))), "")</f>
        <v/>
      </c>
      <c r="F381" s="10">
        <f>IFERROR(IF(INDEX(ERP資料!$G:$G, (MATCH(380, 輔助計算!$E$2:$E$801, 0)+1))="","",INDEX(ERP資料!$G:$G, (MATCH(380, 輔助計算!$E$2:$E$801, 0)+1))), "")</f>
        <v/>
      </c>
      <c r="G381" s="10">
        <f>IFERROR(IF(INDEX(ERP資料!$H:$H, (MATCH(380, 輔助計算!$E$2:$E$801, 0)+1))="","",INDEX(ERP資料!$H:$H, (MATCH(380, 輔助計算!$E$2:$E$801, 0)+1))), "")</f>
        <v/>
      </c>
      <c r="H381" s="15">
        <f>IFERROR(INDEX(輔助計算!$D:$D, (MATCH(380, 輔助計算!$E$2:$E$801, 0)+1)), "")</f>
        <v/>
      </c>
      <c r="I381" s="10">
        <f>IFERROR(IF(INDEX(ERP資料!$O:$O, (MATCH(380, 輔助計算!$E$2:$E$801, 0)+1))="","",INDEX(ERP資料!$O:$O, (MATCH(380, 輔助計算!$E$2:$E$801, 0)+1))), "")</f>
        <v/>
      </c>
      <c r="J381" s="15">
        <f>IFERROR(IF(INDEX(輔助計算!$D:$D,(MATCH(380, 輔助計算!$E$2:$E$801, 0)+1))="","",INDEX(輔助計算!$D:$D,(MATCH(380, 輔助計算!$E$2:$E$801, 0)+1))*INDEX(ERP資料!$O:$O,(MATCH(380, 輔助計算!$E$2:$E$801, 0)+1))), "")</f>
        <v/>
      </c>
      <c r="K381" s="16" t="n"/>
      <c r="L381" s="16" t="n"/>
      <c r="M381" s="17" t="n"/>
    </row>
    <row r="382">
      <c r="A382" s="14">
        <f>IFERROR(IF(INDEX(ERP資料!$B:$B, (MATCH(381, 輔助計算!$E$2:$E$801, 0)+1))="","",INDEX(ERP資料!$B:$B, (MATCH(381, 輔助計算!$E$2:$E$801, 0)+1))), "")</f>
        <v/>
      </c>
      <c r="B382" s="10">
        <f>IFERROR(IF(INDEX(ERP資料!$A:$A, (MATCH(381, 輔助計算!$E$2:$E$801, 0)+1))="","",INDEX(ERP資料!$A:$A, (MATCH(381, 輔助計算!$E$2:$E$801, 0)+1))), "")</f>
        <v/>
      </c>
      <c r="C382" s="10">
        <f>IFERROR(IF(INDEX(ERP資料!$S:$S, (MATCH(381, 輔助計算!$E$2:$E$801, 0)+1))="","",INDEX(ERP資料!$S:$S, (MATCH(381, 輔助計算!$E$2:$E$801, 0)+1))), "")</f>
        <v/>
      </c>
      <c r="D382" s="10">
        <f>IFERROR(IF(INDEX(ERP資料!$E:$E, (MATCH(381, 輔助計算!$E$2:$E$801, 0)+1))="","",TRIM(INDEX(ERP資料!$E:$E, (MATCH(381, 輔助計算!$E$2:$E$801, 0)+1)))), "")</f>
        <v/>
      </c>
      <c r="E382" s="10">
        <f>IFERROR(IF(INDEX(ERP資料!$F:$F, (MATCH(381, 輔助計算!$E$2:$E$801, 0)+1))="","",INDEX(ERP資料!$F:$F, (MATCH(381, 輔助計算!$E$2:$E$801, 0)+1))), "")</f>
        <v/>
      </c>
      <c r="F382" s="10">
        <f>IFERROR(IF(INDEX(ERP資料!$G:$G, (MATCH(381, 輔助計算!$E$2:$E$801, 0)+1))="","",INDEX(ERP資料!$G:$G, (MATCH(381, 輔助計算!$E$2:$E$801, 0)+1))), "")</f>
        <v/>
      </c>
      <c r="G382" s="10">
        <f>IFERROR(IF(INDEX(ERP資料!$H:$H, (MATCH(381, 輔助計算!$E$2:$E$801, 0)+1))="","",INDEX(ERP資料!$H:$H, (MATCH(381, 輔助計算!$E$2:$E$801, 0)+1))), "")</f>
        <v/>
      </c>
      <c r="H382" s="15">
        <f>IFERROR(INDEX(輔助計算!$D:$D, (MATCH(381, 輔助計算!$E$2:$E$801, 0)+1)), "")</f>
        <v/>
      </c>
      <c r="I382" s="10">
        <f>IFERROR(IF(INDEX(ERP資料!$O:$O, (MATCH(381, 輔助計算!$E$2:$E$801, 0)+1))="","",INDEX(ERP資料!$O:$O, (MATCH(381, 輔助計算!$E$2:$E$801, 0)+1))), "")</f>
        <v/>
      </c>
      <c r="J382" s="15">
        <f>IFERROR(IF(INDEX(輔助計算!$D:$D,(MATCH(381, 輔助計算!$E$2:$E$801, 0)+1))="","",INDEX(輔助計算!$D:$D,(MATCH(381, 輔助計算!$E$2:$E$801, 0)+1))*INDEX(ERP資料!$O:$O,(MATCH(381, 輔助計算!$E$2:$E$801, 0)+1))), "")</f>
        <v/>
      </c>
      <c r="K382" s="16" t="n"/>
      <c r="L382" s="16" t="n"/>
      <c r="M382" s="17" t="n"/>
    </row>
    <row r="383">
      <c r="A383" s="14">
        <f>IFERROR(IF(INDEX(ERP資料!$B:$B, (MATCH(382, 輔助計算!$E$2:$E$801, 0)+1))="","",INDEX(ERP資料!$B:$B, (MATCH(382, 輔助計算!$E$2:$E$801, 0)+1))), "")</f>
        <v/>
      </c>
      <c r="B383" s="10">
        <f>IFERROR(IF(INDEX(ERP資料!$A:$A, (MATCH(382, 輔助計算!$E$2:$E$801, 0)+1))="","",INDEX(ERP資料!$A:$A, (MATCH(382, 輔助計算!$E$2:$E$801, 0)+1))), "")</f>
        <v/>
      </c>
      <c r="C383" s="10">
        <f>IFERROR(IF(INDEX(ERP資料!$S:$S, (MATCH(382, 輔助計算!$E$2:$E$801, 0)+1))="","",INDEX(ERP資料!$S:$S, (MATCH(382, 輔助計算!$E$2:$E$801, 0)+1))), "")</f>
        <v/>
      </c>
      <c r="D383" s="10">
        <f>IFERROR(IF(INDEX(ERP資料!$E:$E, (MATCH(382, 輔助計算!$E$2:$E$801, 0)+1))="","",TRIM(INDEX(ERP資料!$E:$E, (MATCH(382, 輔助計算!$E$2:$E$801, 0)+1)))), "")</f>
        <v/>
      </c>
      <c r="E383" s="10">
        <f>IFERROR(IF(INDEX(ERP資料!$F:$F, (MATCH(382, 輔助計算!$E$2:$E$801, 0)+1))="","",INDEX(ERP資料!$F:$F, (MATCH(382, 輔助計算!$E$2:$E$801, 0)+1))), "")</f>
        <v/>
      </c>
      <c r="F383" s="10">
        <f>IFERROR(IF(INDEX(ERP資料!$G:$G, (MATCH(382, 輔助計算!$E$2:$E$801, 0)+1))="","",INDEX(ERP資料!$G:$G, (MATCH(382, 輔助計算!$E$2:$E$801, 0)+1))), "")</f>
        <v/>
      </c>
      <c r="G383" s="10">
        <f>IFERROR(IF(INDEX(ERP資料!$H:$H, (MATCH(382, 輔助計算!$E$2:$E$801, 0)+1))="","",INDEX(ERP資料!$H:$H, (MATCH(382, 輔助計算!$E$2:$E$801, 0)+1))), "")</f>
        <v/>
      </c>
      <c r="H383" s="15">
        <f>IFERROR(INDEX(輔助計算!$D:$D, (MATCH(382, 輔助計算!$E$2:$E$801, 0)+1)), "")</f>
        <v/>
      </c>
      <c r="I383" s="10">
        <f>IFERROR(IF(INDEX(ERP資料!$O:$O, (MATCH(382, 輔助計算!$E$2:$E$801, 0)+1))="","",INDEX(ERP資料!$O:$O, (MATCH(382, 輔助計算!$E$2:$E$801, 0)+1))), "")</f>
        <v/>
      </c>
      <c r="J383" s="15">
        <f>IFERROR(IF(INDEX(輔助計算!$D:$D,(MATCH(382, 輔助計算!$E$2:$E$801, 0)+1))="","",INDEX(輔助計算!$D:$D,(MATCH(382, 輔助計算!$E$2:$E$801, 0)+1))*INDEX(ERP資料!$O:$O,(MATCH(382, 輔助計算!$E$2:$E$801, 0)+1))), "")</f>
        <v/>
      </c>
      <c r="K383" s="16" t="n"/>
      <c r="L383" s="16" t="n"/>
      <c r="M383" s="17" t="n"/>
    </row>
    <row r="384">
      <c r="A384" s="14">
        <f>IFERROR(IF(INDEX(ERP資料!$B:$B, (MATCH(383, 輔助計算!$E$2:$E$801, 0)+1))="","",INDEX(ERP資料!$B:$B, (MATCH(383, 輔助計算!$E$2:$E$801, 0)+1))), "")</f>
        <v/>
      </c>
      <c r="B384" s="10">
        <f>IFERROR(IF(INDEX(ERP資料!$A:$A, (MATCH(383, 輔助計算!$E$2:$E$801, 0)+1))="","",INDEX(ERP資料!$A:$A, (MATCH(383, 輔助計算!$E$2:$E$801, 0)+1))), "")</f>
        <v/>
      </c>
      <c r="C384" s="10">
        <f>IFERROR(IF(INDEX(ERP資料!$S:$S, (MATCH(383, 輔助計算!$E$2:$E$801, 0)+1))="","",INDEX(ERP資料!$S:$S, (MATCH(383, 輔助計算!$E$2:$E$801, 0)+1))), "")</f>
        <v/>
      </c>
      <c r="D384" s="10">
        <f>IFERROR(IF(INDEX(ERP資料!$E:$E, (MATCH(383, 輔助計算!$E$2:$E$801, 0)+1))="","",TRIM(INDEX(ERP資料!$E:$E, (MATCH(383, 輔助計算!$E$2:$E$801, 0)+1)))), "")</f>
        <v/>
      </c>
      <c r="E384" s="10">
        <f>IFERROR(IF(INDEX(ERP資料!$F:$F, (MATCH(383, 輔助計算!$E$2:$E$801, 0)+1))="","",INDEX(ERP資料!$F:$F, (MATCH(383, 輔助計算!$E$2:$E$801, 0)+1))), "")</f>
        <v/>
      </c>
      <c r="F384" s="10">
        <f>IFERROR(IF(INDEX(ERP資料!$G:$G, (MATCH(383, 輔助計算!$E$2:$E$801, 0)+1))="","",INDEX(ERP資料!$G:$G, (MATCH(383, 輔助計算!$E$2:$E$801, 0)+1))), "")</f>
        <v/>
      </c>
      <c r="G384" s="10">
        <f>IFERROR(IF(INDEX(ERP資料!$H:$H, (MATCH(383, 輔助計算!$E$2:$E$801, 0)+1))="","",INDEX(ERP資料!$H:$H, (MATCH(383, 輔助計算!$E$2:$E$801, 0)+1))), "")</f>
        <v/>
      </c>
      <c r="H384" s="15">
        <f>IFERROR(INDEX(輔助計算!$D:$D, (MATCH(383, 輔助計算!$E$2:$E$801, 0)+1)), "")</f>
        <v/>
      </c>
      <c r="I384" s="10">
        <f>IFERROR(IF(INDEX(ERP資料!$O:$O, (MATCH(383, 輔助計算!$E$2:$E$801, 0)+1))="","",INDEX(ERP資料!$O:$O, (MATCH(383, 輔助計算!$E$2:$E$801, 0)+1))), "")</f>
        <v/>
      </c>
      <c r="J384" s="15">
        <f>IFERROR(IF(INDEX(輔助計算!$D:$D,(MATCH(383, 輔助計算!$E$2:$E$801, 0)+1))="","",INDEX(輔助計算!$D:$D,(MATCH(383, 輔助計算!$E$2:$E$801, 0)+1))*INDEX(ERP資料!$O:$O,(MATCH(383, 輔助計算!$E$2:$E$801, 0)+1))), "")</f>
        <v/>
      </c>
      <c r="K384" s="16" t="n"/>
      <c r="L384" s="16" t="n"/>
      <c r="M384" s="17" t="n"/>
    </row>
    <row r="385">
      <c r="A385" s="14">
        <f>IFERROR(IF(INDEX(ERP資料!$B:$B, (MATCH(384, 輔助計算!$E$2:$E$801, 0)+1))="","",INDEX(ERP資料!$B:$B, (MATCH(384, 輔助計算!$E$2:$E$801, 0)+1))), "")</f>
        <v/>
      </c>
      <c r="B385" s="10">
        <f>IFERROR(IF(INDEX(ERP資料!$A:$A, (MATCH(384, 輔助計算!$E$2:$E$801, 0)+1))="","",INDEX(ERP資料!$A:$A, (MATCH(384, 輔助計算!$E$2:$E$801, 0)+1))), "")</f>
        <v/>
      </c>
      <c r="C385" s="10">
        <f>IFERROR(IF(INDEX(ERP資料!$S:$S, (MATCH(384, 輔助計算!$E$2:$E$801, 0)+1))="","",INDEX(ERP資料!$S:$S, (MATCH(384, 輔助計算!$E$2:$E$801, 0)+1))), "")</f>
        <v/>
      </c>
      <c r="D385" s="10">
        <f>IFERROR(IF(INDEX(ERP資料!$E:$E, (MATCH(384, 輔助計算!$E$2:$E$801, 0)+1))="","",TRIM(INDEX(ERP資料!$E:$E, (MATCH(384, 輔助計算!$E$2:$E$801, 0)+1)))), "")</f>
        <v/>
      </c>
      <c r="E385" s="10">
        <f>IFERROR(IF(INDEX(ERP資料!$F:$F, (MATCH(384, 輔助計算!$E$2:$E$801, 0)+1))="","",INDEX(ERP資料!$F:$F, (MATCH(384, 輔助計算!$E$2:$E$801, 0)+1))), "")</f>
        <v/>
      </c>
      <c r="F385" s="10">
        <f>IFERROR(IF(INDEX(ERP資料!$G:$G, (MATCH(384, 輔助計算!$E$2:$E$801, 0)+1))="","",INDEX(ERP資料!$G:$G, (MATCH(384, 輔助計算!$E$2:$E$801, 0)+1))), "")</f>
        <v/>
      </c>
      <c r="G385" s="10">
        <f>IFERROR(IF(INDEX(ERP資料!$H:$H, (MATCH(384, 輔助計算!$E$2:$E$801, 0)+1))="","",INDEX(ERP資料!$H:$H, (MATCH(384, 輔助計算!$E$2:$E$801, 0)+1))), "")</f>
        <v/>
      </c>
      <c r="H385" s="15">
        <f>IFERROR(INDEX(輔助計算!$D:$D, (MATCH(384, 輔助計算!$E$2:$E$801, 0)+1)), "")</f>
        <v/>
      </c>
      <c r="I385" s="10">
        <f>IFERROR(IF(INDEX(ERP資料!$O:$O, (MATCH(384, 輔助計算!$E$2:$E$801, 0)+1))="","",INDEX(ERP資料!$O:$O, (MATCH(384, 輔助計算!$E$2:$E$801, 0)+1))), "")</f>
        <v/>
      </c>
      <c r="J385" s="15">
        <f>IFERROR(IF(INDEX(輔助計算!$D:$D,(MATCH(384, 輔助計算!$E$2:$E$801, 0)+1))="","",INDEX(輔助計算!$D:$D,(MATCH(384, 輔助計算!$E$2:$E$801, 0)+1))*INDEX(ERP資料!$O:$O,(MATCH(384, 輔助計算!$E$2:$E$801, 0)+1))), "")</f>
        <v/>
      </c>
      <c r="K385" s="16" t="n"/>
      <c r="L385" s="16" t="n"/>
      <c r="M385" s="17" t="n"/>
    </row>
    <row r="386">
      <c r="A386" s="14">
        <f>IFERROR(IF(INDEX(ERP資料!$B:$B, (MATCH(385, 輔助計算!$E$2:$E$801, 0)+1))="","",INDEX(ERP資料!$B:$B, (MATCH(385, 輔助計算!$E$2:$E$801, 0)+1))), "")</f>
        <v/>
      </c>
      <c r="B386" s="10">
        <f>IFERROR(IF(INDEX(ERP資料!$A:$A, (MATCH(385, 輔助計算!$E$2:$E$801, 0)+1))="","",INDEX(ERP資料!$A:$A, (MATCH(385, 輔助計算!$E$2:$E$801, 0)+1))), "")</f>
        <v/>
      </c>
      <c r="C386" s="10">
        <f>IFERROR(IF(INDEX(ERP資料!$S:$S, (MATCH(385, 輔助計算!$E$2:$E$801, 0)+1))="","",INDEX(ERP資料!$S:$S, (MATCH(385, 輔助計算!$E$2:$E$801, 0)+1))), "")</f>
        <v/>
      </c>
      <c r="D386" s="10">
        <f>IFERROR(IF(INDEX(ERP資料!$E:$E, (MATCH(385, 輔助計算!$E$2:$E$801, 0)+1))="","",TRIM(INDEX(ERP資料!$E:$E, (MATCH(385, 輔助計算!$E$2:$E$801, 0)+1)))), "")</f>
        <v/>
      </c>
      <c r="E386" s="10">
        <f>IFERROR(IF(INDEX(ERP資料!$F:$F, (MATCH(385, 輔助計算!$E$2:$E$801, 0)+1))="","",INDEX(ERP資料!$F:$F, (MATCH(385, 輔助計算!$E$2:$E$801, 0)+1))), "")</f>
        <v/>
      </c>
      <c r="F386" s="10">
        <f>IFERROR(IF(INDEX(ERP資料!$G:$G, (MATCH(385, 輔助計算!$E$2:$E$801, 0)+1))="","",INDEX(ERP資料!$G:$G, (MATCH(385, 輔助計算!$E$2:$E$801, 0)+1))), "")</f>
        <v/>
      </c>
      <c r="G386" s="10">
        <f>IFERROR(IF(INDEX(ERP資料!$H:$H, (MATCH(385, 輔助計算!$E$2:$E$801, 0)+1))="","",INDEX(ERP資料!$H:$H, (MATCH(385, 輔助計算!$E$2:$E$801, 0)+1))), "")</f>
        <v/>
      </c>
      <c r="H386" s="15">
        <f>IFERROR(INDEX(輔助計算!$D:$D, (MATCH(385, 輔助計算!$E$2:$E$801, 0)+1)), "")</f>
        <v/>
      </c>
      <c r="I386" s="10">
        <f>IFERROR(IF(INDEX(ERP資料!$O:$O, (MATCH(385, 輔助計算!$E$2:$E$801, 0)+1))="","",INDEX(ERP資料!$O:$O, (MATCH(385, 輔助計算!$E$2:$E$801, 0)+1))), "")</f>
        <v/>
      </c>
      <c r="J386" s="15">
        <f>IFERROR(IF(INDEX(輔助計算!$D:$D,(MATCH(385, 輔助計算!$E$2:$E$801, 0)+1))="","",INDEX(輔助計算!$D:$D,(MATCH(385, 輔助計算!$E$2:$E$801, 0)+1))*INDEX(ERP資料!$O:$O,(MATCH(385, 輔助計算!$E$2:$E$801, 0)+1))), "")</f>
        <v/>
      </c>
      <c r="K386" s="16" t="n"/>
      <c r="L386" s="16" t="n"/>
      <c r="M386" s="17" t="n"/>
    </row>
    <row r="387">
      <c r="A387" s="14">
        <f>IFERROR(IF(INDEX(ERP資料!$B:$B, (MATCH(386, 輔助計算!$E$2:$E$801, 0)+1))="","",INDEX(ERP資料!$B:$B, (MATCH(386, 輔助計算!$E$2:$E$801, 0)+1))), "")</f>
        <v/>
      </c>
      <c r="B387" s="10">
        <f>IFERROR(IF(INDEX(ERP資料!$A:$A, (MATCH(386, 輔助計算!$E$2:$E$801, 0)+1))="","",INDEX(ERP資料!$A:$A, (MATCH(386, 輔助計算!$E$2:$E$801, 0)+1))), "")</f>
        <v/>
      </c>
      <c r="C387" s="10">
        <f>IFERROR(IF(INDEX(ERP資料!$S:$S, (MATCH(386, 輔助計算!$E$2:$E$801, 0)+1))="","",INDEX(ERP資料!$S:$S, (MATCH(386, 輔助計算!$E$2:$E$801, 0)+1))), "")</f>
        <v/>
      </c>
      <c r="D387" s="10">
        <f>IFERROR(IF(INDEX(ERP資料!$E:$E, (MATCH(386, 輔助計算!$E$2:$E$801, 0)+1))="","",TRIM(INDEX(ERP資料!$E:$E, (MATCH(386, 輔助計算!$E$2:$E$801, 0)+1)))), "")</f>
        <v/>
      </c>
      <c r="E387" s="10">
        <f>IFERROR(IF(INDEX(ERP資料!$F:$F, (MATCH(386, 輔助計算!$E$2:$E$801, 0)+1))="","",INDEX(ERP資料!$F:$F, (MATCH(386, 輔助計算!$E$2:$E$801, 0)+1))), "")</f>
        <v/>
      </c>
      <c r="F387" s="10">
        <f>IFERROR(IF(INDEX(ERP資料!$G:$G, (MATCH(386, 輔助計算!$E$2:$E$801, 0)+1))="","",INDEX(ERP資料!$G:$G, (MATCH(386, 輔助計算!$E$2:$E$801, 0)+1))), "")</f>
        <v/>
      </c>
      <c r="G387" s="10">
        <f>IFERROR(IF(INDEX(ERP資料!$H:$H, (MATCH(386, 輔助計算!$E$2:$E$801, 0)+1))="","",INDEX(ERP資料!$H:$H, (MATCH(386, 輔助計算!$E$2:$E$801, 0)+1))), "")</f>
        <v/>
      </c>
      <c r="H387" s="15">
        <f>IFERROR(INDEX(輔助計算!$D:$D, (MATCH(386, 輔助計算!$E$2:$E$801, 0)+1)), "")</f>
        <v/>
      </c>
      <c r="I387" s="10">
        <f>IFERROR(IF(INDEX(ERP資料!$O:$O, (MATCH(386, 輔助計算!$E$2:$E$801, 0)+1))="","",INDEX(ERP資料!$O:$O, (MATCH(386, 輔助計算!$E$2:$E$801, 0)+1))), "")</f>
        <v/>
      </c>
      <c r="J387" s="15">
        <f>IFERROR(IF(INDEX(輔助計算!$D:$D,(MATCH(386, 輔助計算!$E$2:$E$801, 0)+1))="","",INDEX(輔助計算!$D:$D,(MATCH(386, 輔助計算!$E$2:$E$801, 0)+1))*INDEX(ERP資料!$O:$O,(MATCH(386, 輔助計算!$E$2:$E$801, 0)+1))), "")</f>
        <v/>
      </c>
      <c r="K387" s="16" t="n"/>
      <c r="L387" s="16" t="n"/>
      <c r="M387" s="17" t="n"/>
    </row>
    <row r="388">
      <c r="A388" s="14">
        <f>IFERROR(IF(INDEX(ERP資料!$B:$B, (MATCH(387, 輔助計算!$E$2:$E$801, 0)+1))="","",INDEX(ERP資料!$B:$B, (MATCH(387, 輔助計算!$E$2:$E$801, 0)+1))), "")</f>
        <v/>
      </c>
      <c r="B388" s="10">
        <f>IFERROR(IF(INDEX(ERP資料!$A:$A, (MATCH(387, 輔助計算!$E$2:$E$801, 0)+1))="","",INDEX(ERP資料!$A:$A, (MATCH(387, 輔助計算!$E$2:$E$801, 0)+1))), "")</f>
        <v/>
      </c>
      <c r="C388" s="10">
        <f>IFERROR(IF(INDEX(ERP資料!$S:$S, (MATCH(387, 輔助計算!$E$2:$E$801, 0)+1))="","",INDEX(ERP資料!$S:$S, (MATCH(387, 輔助計算!$E$2:$E$801, 0)+1))), "")</f>
        <v/>
      </c>
      <c r="D388" s="10">
        <f>IFERROR(IF(INDEX(ERP資料!$E:$E, (MATCH(387, 輔助計算!$E$2:$E$801, 0)+1))="","",TRIM(INDEX(ERP資料!$E:$E, (MATCH(387, 輔助計算!$E$2:$E$801, 0)+1)))), "")</f>
        <v/>
      </c>
      <c r="E388" s="10">
        <f>IFERROR(IF(INDEX(ERP資料!$F:$F, (MATCH(387, 輔助計算!$E$2:$E$801, 0)+1))="","",INDEX(ERP資料!$F:$F, (MATCH(387, 輔助計算!$E$2:$E$801, 0)+1))), "")</f>
        <v/>
      </c>
      <c r="F388" s="10">
        <f>IFERROR(IF(INDEX(ERP資料!$G:$G, (MATCH(387, 輔助計算!$E$2:$E$801, 0)+1))="","",INDEX(ERP資料!$G:$G, (MATCH(387, 輔助計算!$E$2:$E$801, 0)+1))), "")</f>
        <v/>
      </c>
      <c r="G388" s="10">
        <f>IFERROR(IF(INDEX(ERP資料!$H:$H, (MATCH(387, 輔助計算!$E$2:$E$801, 0)+1))="","",INDEX(ERP資料!$H:$H, (MATCH(387, 輔助計算!$E$2:$E$801, 0)+1))), "")</f>
        <v/>
      </c>
      <c r="H388" s="15">
        <f>IFERROR(INDEX(輔助計算!$D:$D, (MATCH(387, 輔助計算!$E$2:$E$801, 0)+1)), "")</f>
        <v/>
      </c>
      <c r="I388" s="10">
        <f>IFERROR(IF(INDEX(ERP資料!$O:$O, (MATCH(387, 輔助計算!$E$2:$E$801, 0)+1))="","",INDEX(ERP資料!$O:$O, (MATCH(387, 輔助計算!$E$2:$E$801, 0)+1))), "")</f>
        <v/>
      </c>
      <c r="J388" s="15">
        <f>IFERROR(IF(INDEX(輔助計算!$D:$D,(MATCH(387, 輔助計算!$E$2:$E$801, 0)+1))="","",INDEX(輔助計算!$D:$D,(MATCH(387, 輔助計算!$E$2:$E$801, 0)+1))*INDEX(ERP資料!$O:$O,(MATCH(387, 輔助計算!$E$2:$E$801, 0)+1))), "")</f>
        <v/>
      </c>
      <c r="K388" s="16" t="n"/>
      <c r="L388" s="16" t="n"/>
      <c r="M388" s="17" t="n"/>
    </row>
    <row r="389">
      <c r="A389" s="14">
        <f>IFERROR(IF(INDEX(ERP資料!$B:$B, (MATCH(388, 輔助計算!$E$2:$E$801, 0)+1))="","",INDEX(ERP資料!$B:$B, (MATCH(388, 輔助計算!$E$2:$E$801, 0)+1))), "")</f>
        <v/>
      </c>
      <c r="B389" s="10">
        <f>IFERROR(IF(INDEX(ERP資料!$A:$A, (MATCH(388, 輔助計算!$E$2:$E$801, 0)+1))="","",INDEX(ERP資料!$A:$A, (MATCH(388, 輔助計算!$E$2:$E$801, 0)+1))), "")</f>
        <v/>
      </c>
      <c r="C389" s="10">
        <f>IFERROR(IF(INDEX(ERP資料!$S:$S, (MATCH(388, 輔助計算!$E$2:$E$801, 0)+1))="","",INDEX(ERP資料!$S:$S, (MATCH(388, 輔助計算!$E$2:$E$801, 0)+1))), "")</f>
        <v/>
      </c>
      <c r="D389" s="10">
        <f>IFERROR(IF(INDEX(ERP資料!$E:$E, (MATCH(388, 輔助計算!$E$2:$E$801, 0)+1))="","",TRIM(INDEX(ERP資料!$E:$E, (MATCH(388, 輔助計算!$E$2:$E$801, 0)+1)))), "")</f>
        <v/>
      </c>
      <c r="E389" s="10">
        <f>IFERROR(IF(INDEX(ERP資料!$F:$F, (MATCH(388, 輔助計算!$E$2:$E$801, 0)+1))="","",INDEX(ERP資料!$F:$F, (MATCH(388, 輔助計算!$E$2:$E$801, 0)+1))), "")</f>
        <v/>
      </c>
      <c r="F389" s="10">
        <f>IFERROR(IF(INDEX(ERP資料!$G:$G, (MATCH(388, 輔助計算!$E$2:$E$801, 0)+1))="","",INDEX(ERP資料!$G:$G, (MATCH(388, 輔助計算!$E$2:$E$801, 0)+1))), "")</f>
        <v/>
      </c>
      <c r="G389" s="10">
        <f>IFERROR(IF(INDEX(ERP資料!$H:$H, (MATCH(388, 輔助計算!$E$2:$E$801, 0)+1))="","",INDEX(ERP資料!$H:$H, (MATCH(388, 輔助計算!$E$2:$E$801, 0)+1))), "")</f>
        <v/>
      </c>
      <c r="H389" s="15">
        <f>IFERROR(INDEX(輔助計算!$D:$D, (MATCH(388, 輔助計算!$E$2:$E$801, 0)+1)), "")</f>
        <v/>
      </c>
      <c r="I389" s="10">
        <f>IFERROR(IF(INDEX(ERP資料!$O:$O, (MATCH(388, 輔助計算!$E$2:$E$801, 0)+1))="","",INDEX(ERP資料!$O:$O, (MATCH(388, 輔助計算!$E$2:$E$801, 0)+1))), "")</f>
        <v/>
      </c>
      <c r="J389" s="15">
        <f>IFERROR(IF(INDEX(輔助計算!$D:$D,(MATCH(388, 輔助計算!$E$2:$E$801, 0)+1))="","",INDEX(輔助計算!$D:$D,(MATCH(388, 輔助計算!$E$2:$E$801, 0)+1))*INDEX(ERP資料!$O:$O,(MATCH(388, 輔助計算!$E$2:$E$801, 0)+1))), "")</f>
        <v/>
      </c>
      <c r="K389" s="16" t="n"/>
      <c r="L389" s="16" t="n"/>
      <c r="M389" s="17" t="n"/>
    </row>
    <row r="390">
      <c r="A390" s="14">
        <f>IFERROR(IF(INDEX(ERP資料!$B:$B, (MATCH(389, 輔助計算!$E$2:$E$801, 0)+1))="","",INDEX(ERP資料!$B:$B, (MATCH(389, 輔助計算!$E$2:$E$801, 0)+1))), "")</f>
        <v/>
      </c>
      <c r="B390" s="10">
        <f>IFERROR(IF(INDEX(ERP資料!$A:$A, (MATCH(389, 輔助計算!$E$2:$E$801, 0)+1))="","",INDEX(ERP資料!$A:$A, (MATCH(389, 輔助計算!$E$2:$E$801, 0)+1))), "")</f>
        <v/>
      </c>
      <c r="C390" s="10">
        <f>IFERROR(IF(INDEX(ERP資料!$S:$S, (MATCH(389, 輔助計算!$E$2:$E$801, 0)+1))="","",INDEX(ERP資料!$S:$S, (MATCH(389, 輔助計算!$E$2:$E$801, 0)+1))), "")</f>
        <v/>
      </c>
      <c r="D390" s="10">
        <f>IFERROR(IF(INDEX(ERP資料!$E:$E, (MATCH(389, 輔助計算!$E$2:$E$801, 0)+1))="","",TRIM(INDEX(ERP資料!$E:$E, (MATCH(389, 輔助計算!$E$2:$E$801, 0)+1)))), "")</f>
        <v/>
      </c>
      <c r="E390" s="10">
        <f>IFERROR(IF(INDEX(ERP資料!$F:$F, (MATCH(389, 輔助計算!$E$2:$E$801, 0)+1))="","",INDEX(ERP資料!$F:$F, (MATCH(389, 輔助計算!$E$2:$E$801, 0)+1))), "")</f>
        <v/>
      </c>
      <c r="F390" s="10">
        <f>IFERROR(IF(INDEX(ERP資料!$G:$G, (MATCH(389, 輔助計算!$E$2:$E$801, 0)+1))="","",INDEX(ERP資料!$G:$G, (MATCH(389, 輔助計算!$E$2:$E$801, 0)+1))), "")</f>
        <v/>
      </c>
      <c r="G390" s="10">
        <f>IFERROR(IF(INDEX(ERP資料!$H:$H, (MATCH(389, 輔助計算!$E$2:$E$801, 0)+1))="","",INDEX(ERP資料!$H:$H, (MATCH(389, 輔助計算!$E$2:$E$801, 0)+1))), "")</f>
        <v/>
      </c>
      <c r="H390" s="15">
        <f>IFERROR(INDEX(輔助計算!$D:$D, (MATCH(389, 輔助計算!$E$2:$E$801, 0)+1)), "")</f>
        <v/>
      </c>
      <c r="I390" s="10">
        <f>IFERROR(IF(INDEX(ERP資料!$O:$O, (MATCH(389, 輔助計算!$E$2:$E$801, 0)+1))="","",INDEX(ERP資料!$O:$O, (MATCH(389, 輔助計算!$E$2:$E$801, 0)+1))), "")</f>
        <v/>
      </c>
      <c r="J390" s="15">
        <f>IFERROR(IF(INDEX(輔助計算!$D:$D,(MATCH(389, 輔助計算!$E$2:$E$801, 0)+1))="","",INDEX(輔助計算!$D:$D,(MATCH(389, 輔助計算!$E$2:$E$801, 0)+1))*INDEX(ERP資料!$O:$O,(MATCH(389, 輔助計算!$E$2:$E$801, 0)+1))), "")</f>
        <v/>
      </c>
      <c r="K390" s="16" t="n"/>
      <c r="L390" s="16" t="n"/>
      <c r="M390" s="17" t="n"/>
    </row>
    <row r="391">
      <c r="A391" s="14">
        <f>IFERROR(IF(INDEX(ERP資料!$B:$B, (MATCH(390, 輔助計算!$E$2:$E$801, 0)+1))="","",INDEX(ERP資料!$B:$B, (MATCH(390, 輔助計算!$E$2:$E$801, 0)+1))), "")</f>
        <v/>
      </c>
      <c r="B391" s="10">
        <f>IFERROR(IF(INDEX(ERP資料!$A:$A, (MATCH(390, 輔助計算!$E$2:$E$801, 0)+1))="","",INDEX(ERP資料!$A:$A, (MATCH(390, 輔助計算!$E$2:$E$801, 0)+1))), "")</f>
        <v/>
      </c>
      <c r="C391" s="10">
        <f>IFERROR(IF(INDEX(ERP資料!$S:$S, (MATCH(390, 輔助計算!$E$2:$E$801, 0)+1))="","",INDEX(ERP資料!$S:$S, (MATCH(390, 輔助計算!$E$2:$E$801, 0)+1))), "")</f>
        <v/>
      </c>
      <c r="D391" s="10">
        <f>IFERROR(IF(INDEX(ERP資料!$E:$E, (MATCH(390, 輔助計算!$E$2:$E$801, 0)+1))="","",TRIM(INDEX(ERP資料!$E:$E, (MATCH(390, 輔助計算!$E$2:$E$801, 0)+1)))), "")</f>
        <v/>
      </c>
      <c r="E391" s="10">
        <f>IFERROR(IF(INDEX(ERP資料!$F:$F, (MATCH(390, 輔助計算!$E$2:$E$801, 0)+1))="","",INDEX(ERP資料!$F:$F, (MATCH(390, 輔助計算!$E$2:$E$801, 0)+1))), "")</f>
        <v/>
      </c>
      <c r="F391" s="10">
        <f>IFERROR(IF(INDEX(ERP資料!$G:$G, (MATCH(390, 輔助計算!$E$2:$E$801, 0)+1))="","",INDEX(ERP資料!$G:$G, (MATCH(390, 輔助計算!$E$2:$E$801, 0)+1))), "")</f>
        <v/>
      </c>
      <c r="G391" s="10">
        <f>IFERROR(IF(INDEX(ERP資料!$H:$H, (MATCH(390, 輔助計算!$E$2:$E$801, 0)+1))="","",INDEX(ERP資料!$H:$H, (MATCH(390, 輔助計算!$E$2:$E$801, 0)+1))), "")</f>
        <v/>
      </c>
      <c r="H391" s="15">
        <f>IFERROR(INDEX(輔助計算!$D:$D, (MATCH(390, 輔助計算!$E$2:$E$801, 0)+1)), "")</f>
        <v/>
      </c>
      <c r="I391" s="10">
        <f>IFERROR(IF(INDEX(ERP資料!$O:$O, (MATCH(390, 輔助計算!$E$2:$E$801, 0)+1))="","",INDEX(ERP資料!$O:$O, (MATCH(390, 輔助計算!$E$2:$E$801, 0)+1))), "")</f>
        <v/>
      </c>
      <c r="J391" s="15">
        <f>IFERROR(IF(INDEX(輔助計算!$D:$D,(MATCH(390, 輔助計算!$E$2:$E$801, 0)+1))="","",INDEX(輔助計算!$D:$D,(MATCH(390, 輔助計算!$E$2:$E$801, 0)+1))*INDEX(ERP資料!$O:$O,(MATCH(390, 輔助計算!$E$2:$E$801, 0)+1))), "")</f>
        <v/>
      </c>
      <c r="K391" s="16" t="n"/>
      <c r="L391" s="16" t="n"/>
      <c r="M391" s="17" t="n"/>
    </row>
    <row r="392">
      <c r="A392" s="14">
        <f>IFERROR(IF(INDEX(ERP資料!$B:$B, (MATCH(391, 輔助計算!$E$2:$E$801, 0)+1))="","",INDEX(ERP資料!$B:$B, (MATCH(391, 輔助計算!$E$2:$E$801, 0)+1))), "")</f>
        <v/>
      </c>
      <c r="B392" s="10">
        <f>IFERROR(IF(INDEX(ERP資料!$A:$A, (MATCH(391, 輔助計算!$E$2:$E$801, 0)+1))="","",INDEX(ERP資料!$A:$A, (MATCH(391, 輔助計算!$E$2:$E$801, 0)+1))), "")</f>
        <v/>
      </c>
      <c r="C392" s="10">
        <f>IFERROR(IF(INDEX(ERP資料!$S:$S, (MATCH(391, 輔助計算!$E$2:$E$801, 0)+1))="","",INDEX(ERP資料!$S:$S, (MATCH(391, 輔助計算!$E$2:$E$801, 0)+1))), "")</f>
        <v/>
      </c>
      <c r="D392" s="10">
        <f>IFERROR(IF(INDEX(ERP資料!$E:$E, (MATCH(391, 輔助計算!$E$2:$E$801, 0)+1))="","",TRIM(INDEX(ERP資料!$E:$E, (MATCH(391, 輔助計算!$E$2:$E$801, 0)+1)))), "")</f>
        <v/>
      </c>
      <c r="E392" s="10">
        <f>IFERROR(IF(INDEX(ERP資料!$F:$F, (MATCH(391, 輔助計算!$E$2:$E$801, 0)+1))="","",INDEX(ERP資料!$F:$F, (MATCH(391, 輔助計算!$E$2:$E$801, 0)+1))), "")</f>
        <v/>
      </c>
      <c r="F392" s="10">
        <f>IFERROR(IF(INDEX(ERP資料!$G:$G, (MATCH(391, 輔助計算!$E$2:$E$801, 0)+1))="","",INDEX(ERP資料!$G:$G, (MATCH(391, 輔助計算!$E$2:$E$801, 0)+1))), "")</f>
        <v/>
      </c>
      <c r="G392" s="10">
        <f>IFERROR(IF(INDEX(ERP資料!$H:$H, (MATCH(391, 輔助計算!$E$2:$E$801, 0)+1))="","",INDEX(ERP資料!$H:$H, (MATCH(391, 輔助計算!$E$2:$E$801, 0)+1))), "")</f>
        <v/>
      </c>
      <c r="H392" s="15">
        <f>IFERROR(INDEX(輔助計算!$D:$D, (MATCH(391, 輔助計算!$E$2:$E$801, 0)+1)), "")</f>
        <v/>
      </c>
      <c r="I392" s="10">
        <f>IFERROR(IF(INDEX(ERP資料!$O:$O, (MATCH(391, 輔助計算!$E$2:$E$801, 0)+1))="","",INDEX(ERP資料!$O:$O, (MATCH(391, 輔助計算!$E$2:$E$801, 0)+1))), "")</f>
        <v/>
      </c>
      <c r="J392" s="15">
        <f>IFERROR(IF(INDEX(輔助計算!$D:$D,(MATCH(391, 輔助計算!$E$2:$E$801, 0)+1))="","",INDEX(輔助計算!$D:$D,(MATCH(391, 輔助計算!$E$2:$E$801, 0)+1))*INDEX(ERP資料!$O:$O,(MATCH(391, 輔助計算!$E$2:$E$801, 0)+1))), "")</f>
        <v/>
      </c>
      <c r="K392" s="16" t="n"/>
      <c r="L392" s="16" t="n"/>
      <c r="M392" s="17" t="n"/>
    </row>
    <row r="393">
      <c r="A393" s="14">
        <f>IFERROR(IF(INDEX(ERP資料!$B:$B, (MATCH(392, 輔助計算!$E$2:$E$801, 0)+1))="","",INDEX(ERP資料!$B:$B, (MATCH(392, 輔助計算!$E$2:$E$801, 0)+1))), "")</f>
        <v/>
      </c>
      <c r="B393" s="10">
        <f>IFERROR(IF(INDEX(ERP資料!$A:$A, (MATCH(392, 輔助計算!$E$2:$E$801, 0)+1))="","",INDEX(ERP資料!$A:$A, (MATCH(392, 輔助計算!$E$2:$E$801, 0)+1))), "")</f>
        <v/>
      </c>
      <c r="C393" s="10">
        <f>IFERROR(IF(INDEX(ERP資料!$S:$S, (MATCH(392, 輔助計算!$E$2:$E$801, 0)+1))="","",INDEX(ERP資料!$S:$S, (MATCH(392, 輔助計算!$E$2:$E$801, 0)+1))), "")</f>
        <v/>
      </c>
      <c r="D393" s="10">
        <f>IFERROR(IF(INDEX(ERP資料!$E:$E, (MATCH(392, 輔助計算!$E$2:$E$801, 0)+1))="","",TRIM(INDEX(ERP資料!$E:$E, (MATCH(392, 輔助計算!$E$2:$E$801, 0)+1)))), "")</f>
        <v/>
      </c>
      <c r="E393" s="10">
        <f>IFERROR(IF(INDEX(ERP資料!$F:$F, (MATCH(392, 輔助計算!$E$2:$E$801, 0)+1))="","",INDEX(ERP資料!$F:$F, (MATCH(392, 輔助計算!$E$2:$E$801, 0)+1))), "")</f>
        <v/>
      </c>
      <c r="F393" s="10">
        <f>IFERROR(IF(INDEX(ERP資料!$G:$G, (MATCH(392, 輔助計算!$E$2:$E$801, 0)+1))="","",INDEX(ERP資料!$G:$G, (MATCH(392, 輔助計算!$E$2:$E$801, 0)+1))), "")</f>
        <v/>
      </c>
      <c r="G393" s="10">
        <f>IFERROR(IF(INDEX(ERP資料!$H:$H, (MATCH(392, 輔助計算!$E$2:$E$801, 0)+1))="","",INDEX(ERP資料!$H:$H, (MATCH(392, 輔助計算!$E$2:$E$801, 0)+1))), "")</f>
        <v/>
      </c>
      <c r="H393" s="15">
        <f>IFERROR(INDEX(輔助計算!$D:$D, (MATCH(392, 輔助計算!$E$2:$E$801, 0)+1)), "")</f>
        <v/>
      </c>
      <c r="I393" s="10">
        <f>IFERROR(IF(INDEX(ERP資料!$O:$O, (MATCH(392, 輔助計算!$E$2:$E$801, 0)+1))="","",INDEX(ERP資料!$O:$O, (MATCH(392, 輔助計算!$E$2:$E$801, 0)+1))), "")</f>
        <v/>
      </c>
      <c r="J393" s="15">
        <f>IFERROR(IF(INDEX(輔助計算!$D:$D,(MATCH(392, 輔助計算!$E$2:$E$801, 0)+1))="","",INDEX(輔助計算!$D:$D,(MATCH(392, 輔助計算!$E$2:$E$801, 0)+1))*INDEX(ERP資料!$O:$O,(MATCH(392, 輔助計算!$E$2:$E$801, 0)+1))), "")</f>
        <v/>
      </c>
      <c r="K393" s="16" t="n"/>
      <c r="L393" s="16" t="n"/>
      <c r="M393" s="17" t="n"/>
    </row>
    <row r="394">
      <c r="A394" s="14">
        <f>IFERROR(IF(INDEX(ERP資料!$B:$B, (MATCH(393, 輔助計算!$E$2:$E$801, 0)+1))="","",INDEX(ERP資料!$B:$B, (MATCH(393, 輔助計算!$E$2:$E$801, 0)+1))), "")</f>
        <v/>
      </c>
      <c r="B394" s="10">
        <f>IFERROR(IF(INDEX(ERP資料!$A:$A, (MATCH(393, 輔助計算!$E$2:$E$801, 0)+1))="","",INDEX(ERP資料!$A:$A, (MATCH(393, 輔助計算!$E$2:$E$801, 0)+1))), "")</f>
        <v/>
      </c>
      <c r="C394" s="10">
        <f>IFERROR(IF(INDEX(ERP資料!$S:$S, (MATCH(393, 輔助計算!$E$2:$E$801, 0)+1))="","",INDEX(ERP資料!$S:$S, (MATCH(393, 輔助計算!$E$2:$E$801, 0)+1))), "")</f>
        <v/>
      </c>
      <c r="D394" s="10">
        <f>IFERROR(IF(INDEX(ERP資料!$E:$E, (MATCH(393, 輔助計算!$E$2:$E$801, 0)+1))="","",TRIM(INDEX(ERP資料!$E:$E, (MATCH(393, 輔助計算!$E$2:$E$801, 0)+1)))), "")</f>
        <v/>
      </c>
      <c r="E394" s="10">
        <f>IFERROR(IF(INDEX(ERP資料!$F:$F, (MATCH(393, 輔助計算!$E$2:$E$801, 0)+1))="","",INDEX(ERP資料!$F:$F, (MATCH(393, 輔助計算!$E$2:$E$801, 0)+1))), "")</f>
        <v/>
      </c>
      <c r="F394" s="10">
        <f>IFERROR(IF(INDEX(ERP資料!$G:$G, (MATCH(393, 輔助計算!$E$2:$E$801, 0)+1))="","",INDEX(ERP資料!$G:$G, (MATCH(393, 輔助計算!$E$2:$E$801, 0)+1))), "")</f>
        <v/>
      </c>
      <c r="G394" s="10">
        <f>IFERROR(IF(INDEX(ERP資料!$H:$H, (MATCH(393, 輔助計算!$E$2:$E$801, 0)+1))="","",INDEX(ERP資料!$H:$H, (MATCH(393, 輔助計算!$E$2:$E$801, 0)+1))), "")</f>
        <v/>
      </c>
      <c r="H394" s="15">
        <f>IFERROR(INDEX(輔助計算!$D:$D, (MATCH(393, 輔助計算!$E$2:$E$801, 0)+1)), "")</f>
        <v/>
      </c>
      <c r="I394" s="10">
        <f>IFERROR(IF(INDEX(ERP資料!$O:$O, (MATCH(393, 輔助計算!$E$2:$E$801, 0)+1))="","",INDEX(ERP資料!$O:$O, (MATCH(393, 輔助計算!$E$2:$E$801, 0)+1))), "")</f>
        <v/>
      </c>
      <c r="J394" s="15">
        <f>IFERROR(IF(INDEX(輔助計算!$D:$D,(MATCH(393, 輔助計算!$E$2:$E$801, 0)+1))="","",INDEX(輔助計算!$D:$D,(MATCH(393, 輔助計算!$E$2:$E$801, 0)+1))*INDEX(ERP資料!$O:$O,(MATCH(393, 輔助計算!$E$2:$E$801, 0)+1))), "")</f>
        <v/>
      </c>
      <c r="K394" s="16" t="n"/>
      <c r="L394" s="16" t="n"/>
      <c r="M394" s="17" t="n"/>
    </row>
    <row r="395">
      <c r="A395" s="14">
        <f>IFERROR(IF(INDEX(ERP資料!$B:$B, (MATCH(394, 輔助計算!$E$2:$E$801, 0)+1))="","",INDEX(ERP資料!$B:$B, (MATCH(394, 輔助計算!$E$2:$E$801, 0)+1))), "")</f>
        <v/>
      </c>
      <c r="B395" s="10">
        <f>IFERROR(IF(INDEX(ERP資料!$A:$A, (MATCH(394, 輔助計算!$E$2:$E$801, 0)+1))="","",INDEX(ERP資料!$A:$A, (MATCH(394, 輔助計算!$E$2:$E$801, 0)+1))), "")</f>
        <v/>
      </c>
      <c r="C395" s="10">
        <f>IFERROR(IF(INDEX(ERP資料!$S:$S, (MATCH(394, 輔助計算!$E$2:$E$801, 0)+1))="","",INDEX(ERP資料!$S:$S, (MATCH(394, 輔助計算!$E$2:$E$801, 0)+1))), "")</f>
        <v/>
      </c>
      <c r="D395" s="10">
        <f>IFERROR(IF(INDEX(ERP資料!$E:$E, (MATCH(394, 輔助計算!$E$2:$E$801, 0)+1))="","",TRIM(INDEX(ERP資料!$E:$E, (MATCH(394, 輔助計算!$E$2:$E$801, 0)+1)))), "")</f>
        <v/>
      </c>
      <c r="E395" s="10">
        <f>IFERROR(IF(INDEX(ERP資料!$F:$F, (MATCH(394, 輔助計算!$E$2:$E$801, 0)+1))="","",INDEX(ERP資料!$F:$F, (MATCH(394, 輔助計算!$E$2:$E$801, 0)+1))), "")</f>
        <v/>
      </c>
      <c r="F395" s="10">
        <f>IFERROR(IF(INDEX(ERP資料!$G:$G, (MATCH(394, 輔助計算!$E$2:$E$801, 0)+1))="","",INDEX(ERP資料!$G:$G, (MATCH(394, 輔助計算!$E$2:$E$801, 0)+1))), "")</f>
        <v/>
      </c>
      <c r="G395" s="10">
        <f>IFERROR(IF(INDEX(ERP資料!$H:$H, (MATCH(394, 輔助計算!$E$2:$E$801, 0)+1))="","",INDEX(ERP資料!$H:$H, (MATCH(394, 輔助計算!$E$2:$E$801, 0)+1))), "")</f>
        <v/>
      </c>
      <c r="H395" s="15">
        <f>IFERROR(INDEX(輔助計算!$D:$D, (MATCH(394, 輔助計算!$E$2:$E$801, 0)+1)), "")</f>
        <v/>
      </c>
      <c r="I395" s="10">
        <f>IFERROR(IF(INDEX(ERP資料!$O:$O, (MATCH(394, 輔助計算!$E$2:$E$801, 0)+1))="","",INDEX(ERP資料!$O:$O, (MATCH(394, 輔助計算!$E$2:$E$801, 0)+1))), "")</f>
        <v/>
      </c>
      <c r="J395" s="15">
        <f>IFERROR(IF(INDEX(輔助計算!$D:$D,(MATCH(394, 輔助計算!$E$2:$E$801, 0)+1))="","",INDEX(輔助計算!$D:$D,(MATCH(394, 輔助計算!$E$2:$E$801, 0)+1))*INDEX(ERP資料!$O:$O,(MATCH(394, 輔助計算!$E$2:$E$801, 0)+1))), "")</f>
        <v/>
      </c>
      <c r="K395" s="16" t="n"/>
      <c r="L395" s="16" t="n"/>
      <c r="M395" s="17" t="n"/>
    </row>
    <row r="396">
      <c r="A396" s="14">
        <f>IFERROR(IF(INDEX(ERP資料!$B:$B, (MATCH(395, 輔助計算!$E$2:$E$801, 0)+1))="","",INDEX(ERP資料!$B:$B, (MATCH(395, 輔助計算!$E$2:$E$801, 0)+1))), "")</f>
        <v/>
      </c>
      <c r="B396" s="10">
        <f>IFERROR(IF(INDEX(ERP資料!$A:$A, (MATCH(395, 輔助計算!$E$2:$E$801, 0)+1))="","",INDEX(ERP資料!$A:$A, (MATCH(395, 輔助計算!$E$2:$E$801, 0)+1))), "")</f>
        <v/>
      </c>
      <c r="C396" s="10">
        <f>IFERROR(IF(INDEX(ERP資料!$S:$S, (MATCH(395, 輔助計算!$E$2:$E$801, 0)+1))="","",INDEX(ERP資料!$S:$S, (MATCH(395, 輔助計算!$E$2:$E$801, 0)+1))), "")</f>
        <v/>
      </c>
      <c r="D396" s="10">
        <f>IFERROR(IF(INDEX(ERP資料!$E:$E, (MATCH(395, 輔助計算!$E$2:$E$801, 0)+1))="","",TRIM(INDEX(ERP資料!$E:$E, (MATCH(395, 輔助計算!$E$2:$E$801, 0)+1)))), "")</f>
        <v/>
      </c>
      <c r="E396" s="10">
        <f>IFERROR(IF(INDEX(ERP資料!$F:$F, (MATCH(395, 輔助計算!$E$2:$E$801, 0)+1))="","",INDEX(ERP資料!$F:$F, (MATCH(395, 輔助計算!$E$2:$E$801, 0)+1))), "")</f>
        <v/>
      </c>
      <c r="F396" s="10">
        <f>IFERROR(IF(INDEX(ERP資料!$G:$G, (MATCH(395, 輔助計算!$E$2:$E$801, 0)+1))="","",INDEX(ERP資料!$G:$G, (MATCH(395, 輔助計算!$E$2:$E$801, 0)+1))), "")</f>
        <v/>
      </c>
      <c r="G396" s="10">
        <f>IFERROR(IF(INDEX(ERP資料!$H:$H, (MATCH(395, 輔助計算!$E$2:$E$801, 0)+1))="","",INDEX(ERP資料!$H:$H, (MATCH(395, 輔助計算!$E$2:$E$801, 0)+1))), "")</f>
        <v/>
      </c>
      <c r="H396" s="15">
        <f>IFERROR(INDEX(輔助計算!$D:$D, (MATCH(395, 輔助計算!$E$2:$E$801, 0)+1)), "")</f>
        <v/>
      </c>
      <c r="I396" s="10">
        <f>IFERROR(IF(INDEX(ERP資料!$O:$O, (MATCH(395, 輔助計算!$E$2:$E$801, 0)+1))="","",INDEX(ERP資料!$O:$O, (MATCH(395, 輔助計算!$E$2:$E$801, 0)+1))), "")</f>
        <v/>
      </c>
      <c r="J396" s="15">
        <f>IFERROR(IF(INDEX(輔助計算!$D:$D,(MATCH(395, 輔助計算!$E$2:$E$801, 0)+1))="","",INDEX(輔助計算!$D:$D,(MATCH(395, 輔助計算!$E$2:$E$801, 0)+1))*INDEX(ERP資料!$O:$O,(MATCH(395, 輔助計算!$E$2:$E$801, 0)+1))), "")</f>
        <v/>
      </c>
      <c r="K396" s="16" t="n"/>
      <c r="L396" s="16" t="n"/>
      <c r="M396" s="17" t="n"/>
    </row>
    <row r="397">
      <c r="A397" s="14">
        <f>IFERROR(IF(INDEX(ERP資料!$B:$B, (MATCH(396, 輔助計算!$E$2:$E$801, 0)+1))="","",INDEX(ERP資料!$B:$B, (MATCH(396, 輔助計算!$E$2:$E$801, 0)+1))), "")</f>
        <v/>
      </c>
      <c r="B397" s="10">
        <f>IFERROR(IF(INDEX(ERP資料!$A:$A, (MATCH(396, 輔助計算!$E$2:$E$801, 0)+1))="","",INDEX(ERP資料!$A:$A, (MATCH(396, 輔助計算!$E$2:$E$801, 0)+1))), "")</f>
        <v/>
      </c>
      <c r="C397" s="10">
        <f>IFERROR(IF(INDEX(ERP資料!$S:$S, (MATCH(396, 輔助計算!$E$2:$E$801, 0)+1))="","",INDEX(ERP資料!$S:$S, (MATCH(396, 輔助計算!$E$2:$E$801, 0)+1))), "")</f>
        <v/>
      </c>
      <c r="D397" s="10">
        <f>IFERROR(IF(INDEX(ERP資料!$E:$E, (MATCH(396, 輔助計算!$E$2:$E$801, 0)+1))="","",TRIM(INDEX(ERP資料!$E:$E, (MATCH(396, 輔助計算!$E$2:$E$801, 0)+1)))), "")</f>
        <v/>
      </c>
      <c r="E397" s="10">
        <f>IFERROR(IF(INDEX(ERP資料!$F:$F, (MATCH(396, 輔助計算!$E$2:$E$801, 0)+1))="","",INDEX(ERP資料!$F:$F, (MATCH(396, 輔助計算!$E$2:$E$801, 0)+1))), "")</f>
        <v/>
      </c>
      <c r="F397" s="10">
        <f>IFERROR(IF(INDEX(ERP資料!$G:$G, (MATCH(396, 輔助計算!$E$2:$E$801, 0)+1))="","",INDEX(ERP資料!$G:$G, (MATCH(396, 輔助計算!$E$2:$E$801, 0)+1))), "")</f>
        <v/>
      </c>
      <c r="G397" s="10">
        <f>IFERROR(IF(INDEX(ERP資料!$H:$H, (MATCH(396, 輔助計算!$E$2:$E$801, 0)+1))="","",INDEX(ERP資料!$H:$H, (MATCH(396, 輔助計算!$E$2:$E$801, 0)+1))), "")</f>
        <v/>
      </c>
      <c r="H397" s="15">
        <f>IFERROR(INDEX(輔助計算!$D:$D, (MATCH(396, 輔助計算!$E$2:$E$801, 0)+1)), "")</f>
        <v/>
      </c>
      <c r="I397" s="10">
        <f>IFERROR(IF(INDEX(ERP資料!$O:$O, (MATCH(396, 輔助計算!$E$2:$E$801, 0)+1))="","",INDEX(ERP資料!$O:$O, (MATCH(396, 輔助計算!$E$2:$E$801, 0)+1))), "")</f>
        <v/>
      </c>
      <c r="J397" s="15">
        <f>IFERROR(IF(INDEX(輔助計算!$D:$D,(MATCH(396, 輔助計算!$E$2:$E$801, 0)+1))="","",INDEX(輔助計算!$D:$D,(MATCH(396, 輔助計算!$E$2:$E$801, 0)+1))*INDEX(ERP資料!$O:$O,(MATCH(396, 輔助計算!$E$2:$E$801, 0)+1))), "")</f>
        <v/>
      </c>
      <c r="K397" s="16" t="n"/>
      <c r="L397" s="16" t="n"/>
      <c r="M397" s="17" t="n"/>
    </row>
    <row r="398">
      <c r="A398" s="14">
        <f>IFERROR(IF(INDEX(ERP資料!$B:$B, (MATCH(397, 輔助計算!$E$2:$E$801, 0)+1))="","",INDEX(ERP資料!$B:$B, (MATCH(397, 輔助計算!$E$2:$E$801, 0)+1))), "")</f>
        <v/>
      </c>
      <c r="B398" s="10">
        <f>IFERROR(IF(INDEX(ERP資料!$A:$A, (MATCH(397, 輔助計算!$E$2:$E$801, 0)+1))="","",INDEX(ERP資料!$A:$A, (MATCH(397, 輔助計算!$E$2:$E$801, 0)+1))), "")</f>
        <v/>
      </c>
      <c r="C398" s="10">
        <f>IFERROR(IF(INDEX(ERP資料!$S:$S, (MATCH(397, 輔助計算!$E$2:$E$801, 0)+1))="","",INDEX(ERP資料!$S:$S, (MATCH(397, 輔助計算!$E$2:$E$801, 0)+1))), "")</f>
        <v/>
      </c>
      <c r="D398" s="10">
        <f>IFERROR(IF(INDEX(ERP資料!$E:$E, (MATCH(397, 輔助計算!$E$2:$E$801, 0)+1))="","",TRIM(INDEX(ERP資料!$E:$E, (MATCH(397, 輔助計算!$E$2:$E$801, 0)+1)))), "")</f>
        <v/>
      </c>
      <c r="E398" s="10">
        <f>IFERROR(IF(INDEX(ERP資料!$F:$F, (MATCH(397, 輔助計算!$E$2:$E$801, 0)+1))="","",INDEX(ERP資料!$F:$F, (MATCH(397, 輔助計算!$E$2:$E$801, 0)+1))), "")</f>
        <v/>
      </c>
      <c r="F398" s="10">
        <f>IFERROR(IF(INDEX(ERP資料!$G:$G, (MATCH(397, 輔助計算!$E$2:$E$801, 0)+1))="","",INDEX(ERP資料!$G:$G, (MATCH(397, 輔助計算!$E$2:$E$801, 0)+1))), "")</f>
        <v/>
      </c>
      <c r="G398" s="10">
        <f>IFERROR(IF(INDEX(ERP資料!$H:$H, (MATCH(397, 輔助計算!$E$2:$E$801, 0)+1))="","",INDEX(ERP資料!$H:$H, (MATCH(397, 輔助計算!$E$2:$E$801, 0)+1))), "")</f>
        <v/>
      </c>
      <c r="H398" s="15">
        <f>IFERROR(INDEX(輔助計算!$D:$D, (MATCH(397, 輔助計算!$E$2:$E$801, 0)+1)), "")</f>
        <v/>
      </c>
      <c r="I398" s="10">
        <f>IFERROR(IF(INDEX(ERP資料!$O:$O, (MATCH(397, 輔助計算!$E$2:$E$801, 0)+1))="","",INDEX(ERP資料!$O:$O, (MATCH(397, 輔助計算!$E$2:$E$801, 0)+1))), "")</f>
        <v/>
      </c>
      <c r="J398" s="15">
        <f>IFERROR(IF(INDEX(輔助計算!$D:$D,(MATCH(397, 輔助計算!$E$2:$E$801, 0)+1))="","",INDEX(輔助計算!$D:$D,(MATCH(397, 輔助計算!$E$2:$E$801, 0)+1))*INDEX(ERP資料!$O:$O,(MATCH(397, 輔助計算!$E$2:$E$801, 0)+1))), "")</f>
        <v/>
      </c>
      <c r="K398" s="16" t="n"/>
      <c r="L398" s="16" t="n"/>
      <c r="M398" s="17" t="n"/>
    </row>
    <row r="399">
      <c r="A399" s="14">
        <f>IFERROR(IF(INDEX(ERP資料!$B:$B, (MATCH(398, 輔助計算!$E$2:$E$801, 0)+1))="","",INDEX(ERP資料!$B:$B, (MATCH(398, 輔助計算!$E$2:$E$801, 0)+1))), "")</f>
        <v/>
      </c>
      <c r="B399" s="10">
        <f>IFERROR(IF(INDEX(ERP資料!$A:$A, (MATCH(398, 輔助計算!$E$2:$E$801, 0)+1))="","",INDEX(ERP資料!$A:$A, (MATCH(398, 輔助計算!$E$2:$E$801, 0)+1))), "")</f>
        <v/>
      </c>
      <c r="C399" s="10">
        <f>IFERROR(IF(INDEX(ERP資料!$S:$S, (MATCH(398, 輔助計算!$E$2:$E$801, 0)+1))="","",INDEX(ERP資料!$S:$S, (MATCH(398, 輔助計算!$E$2:$E$801, 0)+1))), "")</f>
        <v/>
      </c>
      <c r="D399" s="10">
        <f>IFERROR(IF(INDEX(ERP資料!$E:$E, (MATCH(398, 輔助計算!$E$2:$E$801, 0)+1))="","",TRIM(INDEX(ERP資料!$E:$E, (MATCH(398, 輔助計算!$E$2:$E$801, 0)+1)))), "")</f>
        <v/>
      </c>
      <c r="E399" s="10">
        <f>IFERROR(IF(INDEX(ERP資料!$F:$F, (MATCH(398, 輔助計算!$E$2:$E$801, 0)+1))="","",INDEX(ERP資料!$F:$F, (MATCH(398, 輔助計算!$E$2:$E$801, 0)+1))), "")</f>
        <v/>
      </c>
      <c r="F399" s="10">
        <f>IFERROR(IF(INDEX(ERP資料!$G:$G, (MATCH(398, 輔助計算!$E$2:$E$801, 0)+1))="","",INDEX(ERP資料!$G:$G, (MATCH(398, 輔助計算!$E$2:$E$801, 0)+1))), "")</f>
        <v/>
      </c>
      <c r="G399" s="10">
        <f>IFERROR(IF(INDEX(ERP資料!$H:$H, (MATCH(398, 輔助計算!$E$2:$E$801, 0)+1))="","",INDEX(ERP資料!$H:$H, (MATCH(398, 輔助計算!$E$2:$E$801, 0)+1))), "")</f>
        <v/>
      </c>
      <c r="H399" s="15">
        <f>IFERROR(INDEX(輔助計算!$D:$D, (MATCH(398, 輔助計算!$E$2:$E$801, 0)+1)), "")</f>
        <v/>
      </c>
      <c r="I399" s="10">
        <f>IFERROR(IF(INDEX(ERP資料!$O:$O, (MATCH(398, 輔助計算!$E$2:$E$801, 0)+1))="","",INDEX(ERP資料!$O:$O, (MATCH(398, 輔助計算!$E$2:$E$801, 0)+1))), "")</f>
        <v/>
      </c>
      <c r="J399" s="15">
        <f>IFERROR(IF(INDEX(輔助計算!$D:$D,(MATCH(398, 輔助計算!$E$2:$E$801, 0)+1))="","",INDEX(輔助計算!$D:$D,(MATCH(398, 輔助計算!$E$2:$E$801, 0)+1))*INDEX(ERP資料!$O:$O,(MATCH(398, 輔助計算!$E$2:$E$801, 0)+1))), "")</f>
        <v/>
      </c>
      <c r="K399" s="16" t="n"/>
      <c r="L399" s="16" t="n"/>
      <c r="M399" s="17" t="n"/>
    </row>
    <row r="400">
      <c r="A400" s="14">
        <f>IFERROR(IF(INDEX(ERP資料!$B:$B, (MATCH(399, 輔助計算!$E$2:$E$801, 0)+1))="","",INDEX(ERP資料!$B:$B, (MATCH(399, 輔助計算!$E$2:$E$801, 0)+1))), "")</f>
        <v/>
      </c>
      <c r="B400" s="10">
        <f>IFERROR(IF(INDEX(ERP資料!$A:$A, (MATCH(399, 輔助計算!$E$2:$E$801, 0)+1))="","",INDEX(ERP資料!$A:$A, (MATCH(399, 輔助計算!$E$2:$E$801, 0)+1))), "")</f>
        <v/>
      </c>
      <c r="C400" s="10">
        <f>IFERROR(IF(INDEX(ERP資料!$S:$S, (MATCH(399, 輔助計算!$E$2:$E$801, 0)+1))="","",INDEX(ERP資料!$S:$S, (MATCH(399, 輔助計算!$E$2:$E$801, 0)+1))), "")</f>
        <v/>
      </c>
      <c r="D400" s="10">
        <f>IFERROR(IF(INDEX(ERP資料!$E:$E, (MATCH(399, 輔助計算!$E$2:$E$801, 0)+1))="","",TRIM(INDEX(ERP資料!$E:$E, (MATCH(399, 輔助計算!$E$2:$E$801, 0)+1)))), "")</f>
        <v/>
      </c>
      <c r="E400" s="10">
        <f>IFERROR(IF(INDEX(ERP資料!$F:$F, (MATCH(399, 輔助計算!$E$2:$E$801, 0)+1))="","",INDEX(ERP資料!$F:$F, (MATCH(399, 輔助計算!$E$2:$E$801, 0)+1))), "")</f>
        <v/>
      </c>
      <c r="F400" s="10">
        <f>IFERROR(IF(INDEX(ERP資料!$G:$G, (MATCH(399, 輔助計算!$E$2:$E$801, 0)+1))="","",INDEX(ERP資料!$G:$G, (MATCH(399, 輔助計算!$E$2:$E$801, 0)+1))), "")</f>
        <v/>
      </c>
      <c r="G400" s="10">
        <f>IFERROR(IF(INDEX(ERP資料!$H:$H, (MATCH(399, 輔助計算!$E$2:$E$801, 0)+1))="","",INDEX(ERP資料!$H:$H, (MATCH(399, 輔助計算!$E$2:$E$801, 0)+1))), "")</f>
        <v/>
      </c>
      <c r="H400" s="15">
        <f>IFERROR(INDEX(輔助計算!$D:$D, (MATCH(399, 輔助計算!$E$2:$E$801, 0)+1)), "")</f>
        <v/>
      </c>
      <c r="I400" s="10">
        <f>IFERROR(IF(INDEX(ERP資料!$O:$O, (MATCH(399, 輔助計算!$E$2:$E$801, 0)+1))="","",INDEX(ERP資料!$O:$O, (MATCH(399, 輔助計算!$E$2:$E$801, 0)+1))), "")</f>
        <v/>
      </c>
      <c r="J400" s="15">
        <f>IFERROR(IF(INDEX(輔助計算!$D:$D,(MATCH(399, 輔助計算!$E$2:$E$801, 0)+1))="","",INDEX(輔助計算!$D:$D,(MATCH(399, 輔助計算!$E$2:$E$801, 0)+1))*INDEX(ERP資料!$O:$O,(MATCH(399, 輔助計算!$E$2:$E$801, 0)+1))), "")</f>
        <v/>
      </c>
      <c r="K400" s="16" t="n"/>
      <c r="L400" s="16" t="n"/>
      <c r="M400" s="17" t="n"/>
    </row>
    <row r="401">
      <c r="A401" s="14">
        <f>IFERROR(IF(INDEX(ERP資料!$B:$B, (MATCH(400, 輔助計算!$E$2:$E$801, 0)+1))="","",INDEX(ERP資料!$B:$B, (MATCH(400, 輔助計算!$E$2:$E$801, 0)+1))), "")</f>
        <v/>
      </c>
      <c r="B401" s="10">
        <f>IFERROR(IF(INDEX(ERP資料!$A:$A, (MATCH(400, 輔助計算!$E$2:$E$801, 0)+1))="","",INDEX(ERP資料!$A:$A, (MATCH(400, 輔助計算!$E$2:$E$801, 0)+1))), "")</f>
        <v/>
      </c>
      <c r="C401" s="10">
        <f>IFERROR(IF(INDEX(ERP資料!$S:$S, (MATCH(400, 輔助計算!$E$2:$E$801, 0)+1))="","",INDEX(ERP資料!$S:$S, (MATCH(400, 輔助計算!$E$2:$E$801, 0)+1))), "")</f>
        <v/>
      </c>
      <c r="D401" s="10">
        <f>IFERROR(IF(INDEX(ERP資料!$E:$E, (MATCH(400, 輔助計算!$E$2:$E$801, 0)+1))="","",TRIM(INDEX(ERP資料!$E:$E, (MATCH(400, 輔助計算!$E$2:$E$801, 0)+1)))), "")</f>
        <v/>
      </c>
      <c r="E401" s="10">
        <f>IFERROR(IF(INDEX(ERP資料!$F:$F, (MATCH(400, 輔助計算!$E$2:$E$801, 0)+1))="","",INDEX(ERP資料!$F:$F, (MATCH(400, 輔助計算!$E$2:$E$801, 0)+1))), "")</f>
        <v/>
      </c>
      <c r="F401" s="10">
        <f>IFERROR(IF(INDEX(ERP資料!$G:$G, (MATCH(400, 輔助計算!$E$2:$E$801, 0)+1))="","",INDEX(ERP資料!$G:$G, (MATCH(400, 輔助計算!$E$2:$E$801, 0)+1))), "")</f>
        <v/>
      </c>
      <c r="G401" s="10">
        <f>IFERROR(IF(INDEX(ERP資料!$H:$H, (MATCH(400, 輔助計算!$E$2:$E$801, 0)+1))="","",INDEX(ERP資料!$H:$H, (MATCH(400, 輔助計算!$E$2:$E$801, 0)+1))), "")</f>
        <v/>
      </c>
      <c r="H401" s="15">
        <f>IFERROR(INDEX(輔助計算!$D:$D, (MATCH(400, 輔助計算!$E$2:$E$801, 0)+1)), "")</f>
        <v/>
      </c>
      <c r="I401" s="10">
        <f>IFERROR(IF(INDEX(ERP資料!$O:$O, (MATCH(400, 輔助計算!$E$2:$E$801, 0)+1))="","",INDEX(ERP資料!$O:$O, (MATCH(400, 輔助計算!$E$2:$E$801, 0)+1))), "")</f>
        <v/>
      </c>
      <c r="J401" s="15">
        <f>IFERROR(IF(INDEX(輔助計算!$D:$D,(MATCH(400, 輔助計算!$E$2:$E$801, 0)+1))="","",INDEX(輔助計算!$D:$D,(MATCH(400, 輔助計算!$E$2:$E$801, 0)+1))*INDEX(ERP資料!$O:$O,(MATCH(400, 輔助計算!$E$2:$E$801, 0)+1))), "")</f>
        <v/>
      </c>
      <c r="K401" s="16" t="n"/>
      <c r="L401" s="16" t="n"/>
      <c r="M401" s="17" t="n"/>
    </row>
    <row r="402">
      <c r="A402" s="14">
        <f>IFERROR(IF(INDEX(ERP資料!$B:$B, (MATCH(401, 輔助計算!$E$2:$E$801, 0)+1))="","",INDEX(ERP資料!$B:$B, (MATCH(401, 輔助計算!$E$2:$E$801, 0)+1))), "")</f>
        <v/>
      </c>
      <c r="B402" s="10">
        <f>IFERROR(IF(INDEX(ERP資料!$A:$A, (MATCH(401, 輔助計算!$E$2:$E$801, 0)+1))="","",INDEX(ERP資料!$A:$A, (MATCH(401, 輔助計算!$E$2:$E$801, 0)+1))), "")</f>
        <v/>
      </c>
      <c r="C402" s="10">
        <f>IFERROR(IF(INDEX(ERP資料!$S:$S, (MATCH(401, 輔助計算!$E$2:$E$801, 0)+1))="","",INDEX(ERP資料!$S:$S, (MATCH(401, 輔助計算!$E$2:$E$801, 0)+1))), "")</f>
        <v/>
      </c>
      <c r="D402" s="10">
        <f>IFERROR(IF(INDEX(ERP資料!$E:$E, (MATCH(401, 輔助計算!$E$2:$E$801, 0)+1))="","",TRIM(INDEX(ERP資料!$E:$E, (MATCH(401, 輔助計算!$E$2:$E$801, 0)+1)))), "")</f>
        <v/>
      </c>
      <c r="E402" s="10">
        <f>IFERROR(IF(INDEX(ERP資料!$F:$F, (MATCH(401, 輔助計算!$E$2:$E$801, 0)+1))="","",INDEX(ERP資料!$F:$F, (MATCH(401, 輔助計算!$E$2:$E$801, 0)+1))), "")</f>
        <v/>
      </c>
      <c r="F402" s="10">
        <f>IFERROR(IF(INDEX(ERP資料!$G:$G, (MATCH(401, 輔助計算!$E$2:$E$801, 0)+1))="","",INDEX(ERP資料!$G:$G, (MATCH(401, 輔助計算!$E$2:$E$801, 0)+1))), "")</f>
        <v/>
      </c>
      <c r="G402" s="10">
        <f>IFERROR(IF(INDEX(ERP資料!$H:$H, (MATCH(401, 輔助計算!$E$2:$E$801, 0)+1))="","",INDEX(ERP資料!$H:$H, (MATCH(401, 輔助計算!$E$2:$E$801, 0)+1))), "")</f>
        <v/>
      </c>
      <c r="H402" s="15">
        <f>IFERROR(INDEX(輔助計算!$D:$D, (MATCH(401, 輔助計算!$E$2:$E$801, 0)+1)), "")</f>
        <v/>
      </c>
      <c r="I402" s="10">
        <f>IFERROR(IF(INDEX(ERP資料!$O:$O, (MATCH(401, 輔助計算!$E$2:$E$801, 0)+1))="","",INDEX(ERP資料!$O:$O, (MATCH(401, 輔助計算!$E$2:$E$801, 0)+1))), "")</f>
        <v/>
      </c>
      <c r="J402" s="15">
        <f>IFERROR(IF(INDEX(輔助計算!$D:$D,(MATCH(401, 輔助計算!$E$2:$E$801, 0)+1))="","",INDEX(輔助計算!$D:$D,(MATCH(401, 輔助計算!$E$2:$E$801, 0)+1))*INDEX(ERP資料!$O:$O,(MATCH(401, 輔助計算!$E$2:$E$801, 0)+1))), "")</f>
        <v/>
      </c>
      <c r="K402" s="16" t="n"/>
      <c r="L402" s="16" t="n"/>
      <c r="M402" s="17" t="n"/>
    </row>
    <row r="403">
      <c r="A403" s="14">
        <f>IFERROR(IF(INDEX(ERP資料!$B:$B, (MATCH(402, 輔助計算!$E$2:$E$801, 0)+1))="","",INDEX(ERP資料!$B:$B, (MATCH(402, 輔助計算!$E$2:$E$801, 0)+1))), "")</f>
        <v/>
      </c>
      <c r="B403" s="10">
        <f>IFERROR(IF(INDEX(ERP資料!$A:$A, (MATCH(402, 輔助計算!$E$2:$E$801, 0)+1))="","",INDEX(ERP資料!$A:$A, (MATCH(402, 輔助計算!$E$2:$E$801, 0)+1))), "")</f>
        <v/>
      </c>
      <c r="C403" s="10">
        <f>IFERROR(IF(INDEX(ERP資料!$S:$S, (MATCH(402, 輔助計算!$E$2:$E$801, 0)+1))="","",INDEX(ERP資料!$S:$S, (MATCH(402, 輔助計算!$E$2:$E$801, 0)+1))), "")</f>
        <v/>
      </c>
      <c r="D403" s="10">
        <f>IFERROR(IF(INDEX(ERP資料!$E:$E, (MATCH(402, 輔助計算!$E$2:$E$801, 0)+1))="","",TRIM(INDEX(ERP資料!$E:$E, (MATCH(402, 輔助計算!$E$2:$E$801, 0)+1)))), "")</f>
        <v/>
      </c>
      <c r="E403" s="10">
        <f>IFERROR(IF(INDEX(ERP資料!$F:$F, (MATCH(402, 輔助計算!$E$2:$E$801, 0)+1))="","",INDEX(ERP資料!$F:$F, (MATCH(402, 輔助計算!$E$2:$E$801, 0)+1))), "")</f>
        <v/>
      </c>
      <c r="F403" s="10">
        <f>IFERROR(IF(INDEX(ERP資料!$G:$G, (MATCH(402, 輔助計算!$E$2:$E$801, 0)+1))="","",INDEX(ERP資料!$G:$G, (MATCH(402, 輔助計算!$E$2:$E$801, 0)+1))), "")</f>
        <v/>
      </c>
      <c r="G403" s="10">
        <f>IFERROR(IF(INDEX(ERP資料!$H:$H, (MATCH(402, 輔助計算!$E$2:$E$801, 0)+1))="","",INDEX(ERP資料!$H:$H, (MATCH(402, 輔助計算!$E$2:$E$801, 0)+1))), "")</f>
        <v/>
      </c>
      <c r="H403" s="15">
        <f>IFERROR(INDEX(輔助計算!$D:$D, (MATCH(402, 輔助計算!$E$2:$E$801, 0)+1)), "")</f>
        <v/>
      </c>
      <c r="I403" s="10">
        <f>IFERROR(IF(INDEX(ERP資料!$O:$O, (MATCH(402, 輔助計算!$E$2:$E$801, 0)+1))="","",INDEX(ERP資料!$O:$O, (MATCH(402, 輔助計算!$E$2:$E$801, 0)+1))), "")</f>
        <v/>
      </c>
      <c r="J403" s="15">
        <f>IFERROR(IF(INDEX(輔助計算!$D:$D,(MATCH(402, 輔助計算!$E$2:$E$801, 0)+1))="","",INDEX(輔助計算!$D:$D,(MATCH(402, 輔助計算!$E$2:$E$801, 0)+1))*INDEX(ERP資料!$O:$O,(MATCH(402, 輔助計算!$E$2:$E$801, 0)+1))), "")</f>
        <v/>
      </c>
      <c r="K403" s="16" t="n"/>
      <c r="L403" s="16" t="n"/>
      <c r="M403" s="17" t="n"/>
    </row>
    <row r="404">
      <c r="A404" s="14">
        <f>IFERROR(IF(INDEX(ERP資料!$B:$B, (MATCH(403, 輔助計算!$E$2:$E$801, 0)+1))="","",INDEX(ERP資料!$B:$B, (MATCH(403, 輔助計算!$E$2:$E$801, 0)+1))), "")</f>
        <v/>
      </c>
      <c r="B404" s="10">
        <f>IFERROR(IF(INDEX(ERP資料!$A:$A, (MATCH(403, 輔助計算!$E$2:$E$801, 0)+1))="","",INDEX(ERP資料!$A:$A, (MATCH(403, 輔助計算!$E$2:$E$801, 0)+1))), "")</f>
        <v/>
      </c>
      <c r="C404" s="10">
        <f>IFERROR(IF(INDEX(ERP資料!$S:$S, (MATCH(403, 輔助計算!$E$2:$E$801, 0)+1))="","",INDEX(ERP資料!$S:$S, (MATCH(403, 輔助計算!$E$2:$E$801, 0)+1))), "")</f>
        <v/>
      </c>
      <c r="D404" s="10">
        <f>IFERROR(IF(INDEX(ERP資料!$E:$E, (MATCH(403, 輔助計算!$E$2:$E$801, 0)+1))="","",TRIM(INDEX(ERP資料!$E:$E, (MATCH(403, 輔助計算!$E$2:$E$801, 0)+1)))), "")</f>
        <v/>
      </c>
      <c r="E404" s="10">
        <f>IFERROR(IF(INDEX(ERP資料!$F:$F, (MATCH(403, 輔助計算!$E$2:$E$801, 0)+1))="","",INDEX(ERP資料!$F:$F, (MATCH(403, 輔助計算!$E$2:$E$801, 0)+1))), "")</f>
        <v/>
      </c>
      <c r="F404" s="10">
        <f>IFERROR(IF(INDEX(ERP資料!$G:$G, (MATCH(403, 輔助計算!$E$2:$E$801, 0)+1))="","",INDEX(ERP資料!$G:$G, (MATCH(403, 輔助計算!$E$2:$E$801, 0)+1))), "")</f>
        <v/>
      </c>
      <c r="G404" s="10">
        <f>IFERROR(IF(INDEX(ERP資料!$H:$H, (MATCH(403, 輔助計算!$E$2:$E$801, 0)+1))="","",INDEX(ERP資料!$H:$H, (MATCH(403, 輔助計算!$E$2:$E$801, 0)+1))), "")</f>
        <v/>
      </c>
      <c r="H404" s="15">
        <f>IFERROR(INDEX(輔助計算!$D:$D, (MATCH(403, 輔助計算!$E$2:$E$801, 0)+1)), "")</f>
        <v/>
      </c>
      <c r="I404" s="10">
        <f>IFERROR(IF(INDEX(ERP資料!$O:$O, (MATCH(403, 輔助計算!$E$2:$E$801, 0)+1))="","",INDEX(ERP資料!$O:$O, (MATCH(403, 輔助計算!$E$2:$E$801, 0)+1))), "")</f>
        <v/>
      </c>
      <c r="J404" s="15">
        <f>IFERROR(IF(INDEX(輔助計算!$D:$D,(MATCH(403, 輔助計算!$E$2:$E$801, 0)+1))="","",INDEX(輔助計算!$D:$D,(MATCH(403, 輔助計算!$E$2:$E$801, 0)+1))*INDEX(ERP資料!$O:$O,(MATCH(403, 輔助計算!$E$2:$E$801, 0)+1))), "")</f>
        <v/>
      </c>
      <c r="K404" s="16" t="n"/>
      <c r="L404" s="16" t="n"/>
      <c r="M404" s="17" t="n"/>
    </row>
    <row r="405">
      <c r="A405" s="14">
        <f>IFERROR(IF(INDEX(ERP資料!$B:$B, (MATCH(404, 輔助計算!$E$2:$E$801, 0)+1))="","",INDEX(ERP資料!$B:$B, (MATCH(404, 輔助計算!$E$2:$E$801, 0)+1))), "")</f>
        <v/>
      </c>
      <c r="B405" s="10">
        <f>IFERROR(IF(INDEX(ERP資料!$A:$A, (MATCH(404, 輔助計算!$E$2:$E$801, 0)+1))="","",INDEX(ERP資料!$A:$A, (MATCH(404, 輔助計算!$E$2:$E$801, 0)+1))), "")</f>
        <v/>
      </c>
      <c r="C405" s="10">
        <f>IFERROR(IF(INDEX(ERP資料!$S:$S, (MATCH(404, 輔助計算!$E$2:$E$801, 0)+1))="","",INDEX(ERP資料!$S:$S, (MATCH(404, 輔助計算!$E$2:$E$801, 0)+1))), "")</f>
        <v/>
      </c>
      <c r="D405" s="10">
        <f>IFERROR(IF(INDEX(ERP資料!$E:$E, (MATCH(404, 輔助計算!$E$2:$E$801, 0)+1))="","",TRIM(INDEX(ERP資料!$E:$E, (MATCH(404, 輔助計算!$E$2:$E$801, 0)+1)))), "")</f>
        <v/>
      </c>
      <c r="E405" s="10">
        <f>IFERROR(IF(INDEX(ERP資料!$F:$F, (MATCH(404, 輔助計算!$E$2:$E$801, 0)+1))="","",INDEX(ERP資料!$F:$F, (MATCH(404, 輔助計算!$E$2:$E$801, 0)+1))), "")</f>
        <v/>
      </c>
      <c r="F405" s="10">
        <f>IFERROR(IF(INDEX(ERP資料!$G:$G, (MATCH(404, 輔助計算!$E$2:$E$801, 0)+1))="","",INDEX(ERP資料!$G:$G, (MATCH(404, 輔助計算!$E$2:$E$801, 0)+1))), "")</f>
        <v/>
      </c>
      <c r="G405" s="10">
        <f>IFERROR(IF(INDEX(ERP資料!$H:$H, (MATCH(404, 輔助計算!$E$2:$E$801, 0)+1))="","",INDEX(ERP資料!$H:$H, (MATCH(404, 輔助計算!$E$2:$E$801, 0)+1))), "")</f>
        <v/>
      </c>
      <c r="H405" s="15">
        <f>IFERROR(INDEX(輔助計算!$D:$D, (MATCH(404, 輔助計算!$E$2:$E$801, 0)+1)), "")</f>
        <v/>
      </c>
      <c r="I405" s="10">
        <f>IFERROR(IF(INDEX(ERP資料!$O:$O, (MATCH(404, 輔助計算!$E$2:$E$801, 0)+1))="","",INDEX(ERP資料!$O:$O, (MATCH(404, 輔助計算!$E$2:$E$801, 0)+1))), "")</f>
        <v/>
      </c>
      <c r="J405" s="15">
        <f>IFERROR(IF(INDEX(輔助計算!$D:$D,(MATCH(404, 輔助計算!$E$2:$E$801, 0)+1))="","",INDEX(輔助計算!$D:$D,(MATCH(404, 輔助計算!$E$2:$E$801, 0)+1))*INDEX(ERP資料!$O:$O,(MATCH(404, 輔助計算!$E$2:$E$801, 0)+1))), "")</f>
        <v/>
      </c>
      <c r="K405" s="16" t="n"/>
      <c r="L405" s="16" t="n"/>
      <c r="M405" s="17" t="n"/>
    </row>
    <row r="406">
      <c r="A406" s="14">
        <f>IFERROR(IF(INDEX(ERP資料!$B:$B, (MATCH(405, 輔助計算!$E$2:$E$801, 0)+1))="","",INDEX(ERP資料!$B:$B, (MATCH(405, 輔助計算!$E$2:$E$801, 0)+1))), "")</f>
        <v/>
      </c>
      <c r="B406" s="10">
        <f>IFERROR(IF(INDEX(ERP資料!$A:$A, (MATCH(405, 輔助計算!$E$2:$E$801, 0)+1))="","",INDEX(ERP資料!$A:$A, (MATCH(405, 輔助計算!$E$2:$E$801, 0)+1))), "")</f>
        <v/>
      </c>
      <c r="C406" s="10">
        <f>IFERROR(IF(INDEX(ERP資料!$S:$S, (MATCH(405, 輔助計算!$E$2:$E$801, 0)+1))="","",INDEX(ERP資料!$S:$S, (MATCH(405, 輔助計算!$E$2:$E$801, 0)+1))), "")</f>
        <v/>
      </c>
      <c r="D406" s="10">
        <f>IFERROR(IF(INDEX(ERP資料!$E:$E, (MATCH(405, 輔助計算!$E$2:$E$801, 0)+1))="","",TRIM(INDEX(ERP資料!$E:$E, (MATCH(405, 輔助計算!$E$2:$E$801, 0)+1)))), "")</f>
        <v/>
      </c>
      <c r="E406" s="10">
        <f>IFERROR(IF(INDEX(ERP資料!$F:$F, (MATCH(405, 輔助計算!$E$2:$E$801, 0)+1))="","",INDEX(ERP資料!$F:$F, (MATCH(405, 輔助計算!$E$2:$E$801, 0)+1))), "")</f>
        <v/>
      </c>
      <c r="F406" s="10">
        <f>IFERROR(IF(INDEX(ERP資料!$G:$G, (MATCH(405, 輔助計算!$E$2:$E$801, 0)+1))="","",INDEX(ERP資料!$G:$G, (MATCH(405, 輔助計算!$E$2:$E$801, 0)+1))), "")</f>
        <v/>
      </c>
      <c r="G406" s="10">
        <f>IFERROR(IF(INDEX(ERP資料!$H:$H, (MATCH(405, 輔助計算!$E$2:$E$801, 0)+1))="","",INDEX(ERP資料!$H:$H, (MATCH(405, 輔助計算!$E$2:$E$801, 0)+1))), "")</f>
        <v/>
      </c>
      <c r="H406" s="15">
        <f>IFERROR(INDEX(輔助計算!$D:$D, (MATCH(405, 輔助計算!$E$2:$E$801, 0)+1)), "")</f>
        <v/>
      </c>
      <c r="I406" s="10">
        <f>IFERROR(IF(INDEX(ERP資料!$O:$O, (MATCH(405, 輔助計算!$E$2:$E$801, 0)+1))="","",INDEX(ERP資料!$O:$O, (MATCH(405, 輔助計算!$E$2:$E$801, 0)+1))), "")</f>
        <v/>
      </c>
      <c r="J406" s="15">
        <f>IFERROR(IF(INDEX(輔助計算!$D:$D,(MATCH(405, 輔助計算!$E$2:$E$801, 0)+1))="","",INDEX(輔助計算!$D:$D,(MATCH(405, 輔助計算!$E$2:$E$801, 0)+1))*INDEX(ERP資料!$O:$O,(MATCH(405, 輔助計算!$E$2:$E$801, 0)+1))), "")</f>
        <v/>
      </c>
      <c r="K406" s="16" t="n"/>
      <c r="L406" s="16" t="n"/>
      <c r="M406" s="17" t="n"/>
    </row>
    <row r="407">
      <c r="A407" s="14">
        <f>IFERROR(IF(INDEX(ERP資料!$B:$B, (MATCH(406, 輔助計算!$E$2:$E$801, 0)+1))="","",INDEX(ERP資料!$B:$B, (MATCH(406, 輔助計算!$E$2:$E$801, 0)+1))), "")</f>
        <v/>
      </c>
      <c r="B407" s="10">
        <f>IFERROR(IF(INDEX(ERP資料!$A:$A, (MATCH(406, 輔助計算!$E$2:$E$801, 0)+1))="","",INDEX(ERP資料!$A:$A, (MATCH(406, 輔助計算!$E$2:$E$801, 0)+1))), "")</f>
        <v/>
      </c>
      <c r="C407" s="10">
        <f>IFERROR(IF(INDEX(ERP資料!$S:$S, (MATCH(406, 輔助計算!$E$2:$E$801, 0)+1))="","",INDEX(ERP資料!$S:$S, (MATCH(406, 輔助計算!$E$2:$E$801, 0)+1))), "")</f>
        <v/>
      </c>
      <c r="D407" s="10">
        <f>IFERROR(IF(INDEX(ERP資料!$E:$E, (MATCH(406, 輔助計算!$E$2:$E$801, 0)+1))="","",TRIM(INDEX(ERP資料!$E:$E, (MATCH(406, 輔助計算!$E$2:$E$801, 0)+1)))), "")</f>
        <v/>
      </c>
      <c r="E407" s="10">
        <f>IFERROR(IF(INDEX(ERP資料!$F:$F, (MATCH(406, 輔助計算!$E$2:$E$801, 0)+1))="","",INDEX(ERP資料!$F:$F, (MATCH(406, 輔助計算!$E$2:$E$801, 0)+1))), "")</f>
        <v/>
      </c>
      <c r="F407" s="10">
        <f>IFERROR(IF(INDEX(ERP資料!$G:$G, (MATCH(406, 輔助計算!$E$2:$E$801, 0)+1))="","",INDEX(ERP資料!$G:$G, (MATCH(406, 輔助計算!$E$2:$E$801, 0)+1))), "")</f>
        <v/>
      </c>
      <c r="G407" s="10">
        <f>IFERROR(IF(INDEX(ERP資料!$H:$H, (MATCH(406, 輔助計算!$E$2:$E$801, 0)+1))="","",INDEX(ERP資料!$H:$H, (MATCH(406, 輔助計算!$E$2:$E$801, 0)+1))), "")</f>
        <v/>
      </c>
      <c r="H407" s="15">
        <f>IFERROR(INDEX(輔助計算!$D:$D, (MATCH(406, 輔助計算!$E$2:$E$801, 0)+1)), "")</f>
        <v/>
      </c>
      <c r="I407" s="10">
        <f>IFERROR(IF(INDEX(ERP資料!$O:$O, (MATCH(406, 輔助計算!$E$2:$E$801, 0)+1))="","",INDEX(ERP資料!$O:$O, (MATCH(406, 輔助計算!$E$2:$E$801, 0)+1))), "")</f>
        <v/>
      </c>
      <c r="J407" s="15">
        <f>IFERROR(IF(INDEX(輔助計算!$D:$D,(MATCH(406, 輔助計算!$E$2:$E$801, 0)+1))="","",INDEX(輔助計算!$D:$D,(MATCH(406, 輔助計算!$E$2:$E$801, 0)+1))*INDEX(ERP資料!$O:$O,(MATCH(406, 輔助計算!$E$2:$E$801, 0)+1))), "")</f>
        <v/>
      </c>
      <c r="K407" s="16" t="n"/>
      <c r="L407" s="16" t="n"/>
      <c r="M407" s="17" t="n"/>
    </row>
    <row r="408">
      <c r="A408" s="14">
        <f>IFERROR(IF(INDEX(ERP資料!$B:$B, (MATCH(407, 輔助計算!$E$2:$E$801, 0)+1))="","",INDEX(ERP資料!$B:$B, (MATCH(407, 輔助計算!$E$2:$E$801, 0)+1))), "")</f>
        <v/>
      </c>
      <c r="B408" s="10">
        <f>IFERROR(IF(INDEX(ERP資料!$A:$A, (MATCH(407, 輔助計算!$E$2:$E$801, 0)+1))="","",INDEX(ERP資料!$A:$A, (MATCH(407, 輔助計算!$E$2:$E$801, 0)+1))), "")</f>
        <v/>
      </c>
      <c r="C408" s="10">
        <f>IFERROR(IF(INDEX(ERP資料!$S:$S, (MATCH(407, 輔助計算!$E$2:$E$801, 0)+1))="","",INDEX(ERP資料!$S:$S, (MATCH(407, 輔助計算!$E$2:$E$801, 0)+1))), "")</f>
        <v/>
      </c>
      <c r="D408" s="10">
        <f>IFERROR(IF(INDEX(ERP資料!$E:$E, (MATCH(407, 輔助計算!$E$2:$E$801, 0)+1))="","",TRIM(INDEX(ERP資料!$E:$E, (MATCH(407, 輔助計算!$E$2:$E$801, 0)+1)))), "")</f>
        <v/>
      </c>
      <c r="E408" s="10">
        <f>IFERROR(IF(INDEX(ERP資料!$F:$F, (MATCH(407, 輔助計算!$E$2:$E$801, 0)+1))="","",INDEX(ERP資料!$F:$F, (MATCH(407, 輔助計算!$E$2:$E$801, 0)+1))), "")</f>
        <v/>
      </c>
      <c r="F408" s="10">
        <f>IFERROR(IF(INDEX(ERP資料!$G:$G, (MATCH(407, 輔助計算!$E$2:$E$801, 0)+1))="","",INDEX(ERP資料!$G:$G, (MATCH(407, 輔助計算!$E$2:$E$801, 0)+1))), "")</f>
        <v/>
      </c>
      <c r="G408" s="10">
        <f>IFERROR(IF(INDEX(ERP資料!$H:$H, (MATCH(407, 輔助計算!$E$2:$E$801, 0)+1))="","",INDEX(ERP資料!$H:$H, (MATCH(407, 輔助計算!$E$2:$E$801, 0)+1))), "")</f>
        <v/>
      </c>
      <c r="H408" s="15">
        <f>IFERROR(INDEX(輔助計算!$D:$D, (MATCH(407, 輔助計算!$E$2:$E$801, 0)+1)), "")</f>
        <v/>
      </c>
      <c r="I408" s="10">
        <f>IFERROR(IF(INDEX(ERP資料!$O:$O, (MATCH(407, 輔助計算!$E$2:$E$801, 0)+1))="","",INDEX(ERP資料!$O:$O, (MATCH(407, 輔助計算!$E$2:$E$801, 0)+1))), "")</f>
        <v/>
      </c>
      <c r="J408" s="15">
        <f>IFERROR(IF(INDEX(輔助計算!$D:$D,(MATCH(407, 輔助計算!$E$2:$E$801, 0)+1))="","",INDEX(輔助計算!$D:$D,(MATCH(407, 輔助計算!$E$2:$E$801, 0)+1))*INDEX(ERP資料!$O:$O,(MATCH(407, 輔助計算!$E$2:$E$801, 0)+1))), "")</f>
        <v/>
      </c>
      <c r="K408" s="16" t="n"/>
      <c r="L408" s="16" t="n"/>
      <c r="M408" s="17" t="n"/>
    </row>
    <row r="409">
      <c r="A409" s="14">
        <f>IFERROR(IF(INDEX(ERP資料!$B:$B, (MATCH(408, 輔助計算!$E$2:$E$801, 0)+1))="","",INDEX(ERP資料!$B:$B, (MATCH(408, 輔助計算!$E$2:$E$801, 0)+1))), "")</f>
        <v/>
      </c>
      <c r="B409" s="10">
        <f>IFERROR(IF(INDEX(ERP資料!$A:$A, (MATCH(408, 輔助計算!$E$2:$E$801, 0)+1))="","",INDEX(ERP資料!$A:$A, (MATCH(408, 輔助計算!$E$2:$E$801, 0)+1))), "")</f>
        <v/>
      </c>
      <c r="C409" s="10">
        <f>IFERROR(IF(INDEX(ERP資料!$S:$S, (MATCH(408, 輔助計算!$E$2:$E$801, 0)+1))="","",INDEX(ERP資料!$S:$S, (MATCH(408, 輔助計算!$E$2:$E$801, 0)+1))), "")</f>
        <v/>
      </c>
      <c r="D409" s="10">
        <f>IFERROR(IF(INDEX(ERP資料!$E:$E, (MATCH(408, 輔助計算!$E$2:$E$801, 0)+1))="","",TRIM(INDEX(ERP資料!$E:$E, (MATCH(408, 輔助計算!$E$2:$E$801, 0)+1)))), "")</f>
        <v/>
      </c>
      <c r="E409" s="10">
        <f>IFERROR(IF(INDEX(ERP資料!$F:$F, (MATCH(408, 輔助計算!$E$2:$E$801, 0)+1))="","",INDEX(ERP資料!$F:$F, (MATCH(408, 輔助計算!$E$2:$E$801, 0)+1))), "")</f>
        <v/>
      </c>
      <c r="F409" s="10">
        <f>IFERROR(IF(INDEX(ERP資料!$G:$G, (MATCH(408, 輔助計算!$E$2:$E$801, 0)+1))="","",INDEX(ERP資料!$G:$G, (MATCH(408, 輔助計算!$E$2:$E$801, 0)+1))), "")</f>
        <v/>
      </c>
      <c r="G409" s="10">
        <f>IFERROR(IF(INDEX(ERP資料!$H:$H, (MATCH(408, 輔助計算!$E$2:$E$801, 0)+1))="","",INDEX(ERP資料!$H:$H, (MATCH(408, 輔助計算!$E$2:$E$801, 0)+1))), "")</f>
        <v/>
      </c>
      <c r="H409" s="15">
        <f>IFERROR(INDEX(輔助計算!$D:$D, (MATCH(408, 輔助計算!$E$2:$E$801, 0)+1)), "")</f>
        <v/>
      </c>
      <c r="I409" s="10">
        <f>IFERROR(IF(INDEX(ERP資料!$O:$O, (MATCH(408, 輔助計算!$E$2:$E$801, 0)+1))="","",INDEX(ERP資料!$O:$O, (MATCH(408, 輔助計算!$E$2:$E$801, 0)+1))), "")</f>
        <v/>
      </c>
      <c r="J409" s="15">
        <f>IFERROR(IF(INDEX(輔助計算!$D:$D,(MATCH(408, 輔助計算!$E$2:$E$801, 0)+1))="","",INDEX(輔助計算!$D:$D,(MATCH(408, 輔助計算!$E$2:$E$801, 0)+1))*INDEX(ERP資料!$O:$O,(MATCH(408, 輔助計算!$E$2:$E$801, 0)+1))), "")</f>
        <v/>
      </c>
      <c r="K409" s="16" t="n"/>
      <c r="L409" s="16" t="n"/>
      <c r="M409" s="17" t="n"/>
    </row>
    <row r="410">
      <c r="A410" s="14">
        <f>IFERROR(IF(INDEX(ERP資料!$B:$B, (MATCH(409, 輔助計算!$E$2:$E$801, 0)+1))="","",INDEX(ERP資料!$B:$B, (MATCH(409, 輔助計算!$E$2:$E$801, 0)+1))), "")</f>
        <v/>
      </c>
      <c r="B410" s="10">
        <f>IFERROR(IF(INDEX(ERP資料!$A:$A, (MATCH(409, 輔助計算!$E$2:$E$801, 0)+1))="","",INDEX(ERP資料!$A:$A, (MATCH(409, 輔助計算!$E$2:$E$801, 0)+1))), "")</f>
        <v/>
      </c>
      <c r="C410" s="10">
        <f>IFERROR(IF(INDEX(ERP資料!$S:$S, (MATCH(409, 輔助計算!$E$2:$E$801, 0)+1))="","",INDEX(ERP資料!$S:$S, (MATCH(409, 輔助計算!$E$2:$E$801, 0)+1))), "")</f>
        <v/>
      </c>
      <c r="D410" s="10">
        <f>IFERROR(IF(INDEX(ERP資料!$E:$E, (MATCH(409, 輔助計算!$E$2:$E$801, 0)+1))="","",TRIM(INDEX(ERP資料!$E:$E, (MATCH(409, 輔助計算!$E$2:$E$801, 0)+1)))), "")</f>
        <v/>
      </c>
      <c r="E410" s="10">
        <f>IFERROR(IF(INDEX(ERP資料!$F:$F, (MATCH(409, 輔助計算!$E$2:$E$801, 0)+1))="","",INDEX(ERP資料!$F:$F, (MATCH(409, 輔助計算!$E$2:$E$801, 0)+1))), "")</f>
        <v/>
      </c>
      <c r="F410" s="10">
        <f>IFERROR(IF(INDEX(ERP資料!$G:$G, (MATCH(409, 輔助計算!$E$2:$E$801, 0)+1))="","",INDEX(ERP資料!$G:$G, (MATCH(409, 輔助計算!$E$2:$E$801, 0)+1))), "")</f>
        <v/>
      </c>
      <c r="G410" s="10">
        <f>IFERROR(IF(INDEX(ERP資料!$H:$H, (MATCH(409, 輔助計算!$E$2:$E$801, 0)+1))="","",INDEX(ERP資料!$H:$H, (MATCH(409, 輔助計算!$E$2:$E$801, 0)+1))), "")</f>
        <v/>
      </c>
      <c r="H410" s="15">
        <f>IFERROR(INDEX(輔助計算!$D:$D, (MATCH(409, 輔助計算!$E$2:$E$801, 0)+1)), "")</f>
        <v/>
      </c>
      <c r="I410" s="10">
        <f>IFERROR(IF(INDEX(ERP資料!$O:$O, (MATCH(409, 輔助計算!$E$2:$E$801, 0)+1))="","",INDEX(ERP資料!$O:$O, (MATCH(409, 輔助計算!$E$2:$E$801, 0)+1))), "")</f>
        <v/>
      </c>
      <c r="J410" s="15">
        <f>IFERROR(IF(INDEX(輔助計算!$D:$D,(MATCH(409, 輔助計算!$E$2:$E$801, 0)+1))="","",INDEX(輔助計算!$D:$D,(MATCH(409, 輔助計算!$E$2:$E$801, 0)+1))*INDEX(ERP資料!$O:$O,(MATCH(409, 輔助計算!$E$2:$E$801, 0)+1))), "")</f>
        <v/>
      </c>
      <c r="K410" s="16" t="n"/>
      <c r="L410" s="16" t="n"/>
      <c r="M410" s="17" t="n"/>
    </row>
    <row r="411">
      <c r="A411" s="14">
        <f>IFERROR(IF(INDEX(ERP資料!$B:$B, (MATCH(410, 輔助計算!$E$2:$E$801, 0)+1))="","",INDEX(ERP資料!$B:$B, (MATCH(410, 輔助計算!$E$2:$E$801, 0)+1))), "")</f>
        <v/>
      </c>
      <c r="B411" s="10">
        <f>IFERROR(IF(INDEX(ERP資料!$A:$A, (MATCH(410, 輔助計算!$E$2:$E$801, 0)+1))="","",INDEX(ERP資料!$A:$A, (MATCH(410, 輔助計算!$E$2:$E$801, 0)+1))), "")</f>
        <v/>
      </c>
      <c r="C411" s="10">
        <f>IFERROR(IF(INDEX(ERP資料!$S:$S, (MATCH(410, 輔助計算!$E$2:$E$801, 0)+1))="","",INDEX(ERP資料!$S:$S, (MATCH(410, 輔助計算!$E$2:$E$801, 0)+1))), "")</f>
        <v/>
      </c>
      <c r="D411" s="10">
        <f>IFERROR(IF(INDEX(ERP資料!$E:$E, (MATCH(410, 輔助計算!$E$2:$E$801, 0)+1))="","",TRIM(INDEX(ERP資料!$E:$E, (MATCH(410, 輔助計算!$E$2:$E$801, 0)+1)))), "")</f>
        <v/>
      </c>
      <c r="E411" s="10">
        <f>IFERROR(IF(INDEX(ERP資料!$F:$F, (MATCH(410, 輔助計算!$E$2:$E$801, 0)+1))="","",INDEX(ERP資料!$F:$F, (MATCH(410, 輔助計算!$E$2:$E$801, 0)+1))), "")</f>
        <v/>
      </c>
      <c r="F411" s="10">
        <f>IFERROR(IF(INDEX(ERP資料!$G:$G, (MATCH(410, 輔助計算!$E$2:$E$801, 0)+1))="","",INDEX(ERP資料!$G:$G, (MATCH(410, 輔助計算!$E$2:$E$801, 0)+1))), "")</f>
        <v/>
      </c>
      <c r="G411" s="10">
        <f>IFERROR(IF(INDEX(ERP資料!$H:$H, (MATCH(410, 輔助計算!$E$2:$E$801, 0)+1))="","",INDEX(ERP資料!$H:$H, (MATCH(410, 輔助計算!$E$2:$E$801, 0)+1))), "")</f>
        <v/>
      </c>
      <c r="H411" s="15">
        <f>IFERROR(INDEX(輔助計算!$D:$D, (MATCH(410, 輔助計算!$E$2:$E$801, 0)+1)), "")</f>
        <v/>
      </c>
      <c r="I411" s="10">
        <f>IFERROR(IF(INDEX(ERP資料!$O:$O, (MATCH(410, 輔助計算!$E$2:$E$801, 0)+1))="","",INDEX(ERP資料!$O:$O, (MATCH(410, 輔助計算!$E$2:$E$801, 0)+1))), "")</f>
        <v/>
      </c>
      <c r="J411" s="15">
        <f>IFERROR(IF(INDEX(輔助計算!$D:$D,(MATCH(410, 輔助計算!$E$2:$E$801, 0)+1))="","",INDEX(輔助計算!$D:$D,(MATCH(410, 輔助計算!$E$2:$E$801, 0)+1))*INDEX(ERP資料!$O:$O,(MATCH(410, 輔助計算!$E$2:$E$801, 0)+1))), "")</f>
        <v/>
      </c>
      <c r="K411" s="16" t="n"/>
      <c r="L411" s="16" t="n"/>
      <c r="M411" s="17" t="n"/>
    </row>
    <row r="412">
      <c r="A412" s="14">
        <f>IFERROR(IF(INDEX(ERP資料!$B:$B, (MATCH(411, 輔助計算!$E$2:$E$801, 0)+1))="","",INDEX(ERP資料!$B:$B, (MATCH(411, 輔助計算!$E$2:$E$801, 0)+1))), "")</f>
        <v/>
      </c>
      <c r="B412" s="10">
        <f>IFERROR(IF(INDEX(ERP資料!$A:$A, (MATCH(411, 輔助計算!$E$2:$E$801, 0)+1))="","",INDEX(ERP資料!$A:$A, (MATCH(411, 輔助計算!$E$2:$E$801, 0)+1))), "")</f>
        <v/>
      </c>
      <c r="C412" s="10">
        <f>IFERROR(IF(INDEX(ERP資料!$S:$S, (MATCH(411, 輔助計算!$E$2:$E$801, 0)+1))="","",INDEX(ERP資料!$S:$S, (MATCH(411, 輔助計算!$E$2:$E$801, 0)+1))), "")</f>
        <v/>
      </c>
      <c r="D412" s="10">
        <f>IFERROR(IF(INDEX(ERP資料!$E:$E, (MATCH(411, 輔助計算!$E$2:$E$801, 0)+1))="","",TRIM(INDEX(ERP資料!$E:$E, (MATCH(411, 輔助計算!$E$2:$E$801, 0)+1)))), "")</f>
        <v/>
      </c>
      <c r="E412" s="10">
        <f>IFERROR(IF(INDEX(ERP資料!$F:$F, (MATCH(411, 輔助計算!$E$2:$E$801, 0)+1))="","",INDEX(ERP資料!$F:$F, (MATCH(411, 輔助計算!$E$2:$E$801, 0)+1))), "")</f>
        <v/>
      </c>
      <c r="F412" s="10">
        <f>IFERROR(IF(INDEX(ERP資料!$G:$G, (MATCH(411, 輔助計算!$E$2:$E$801, 0)+1))="","",INDEX(ERP資料!$G:$G, (MATCH(411, 輔助計算!$E$2:$E$801, 0)+1))), "")</f>
        <v/>
      </c>
      <c r="G412" s="10">
        <f>IFERROR(IF(INDEX(ERP資料!$H:$H, (MATCH(411, 輔助計算!$E$2:$E$801, 0)+1))="","",INDEX(ERP資料!$H:$H, (MATCH(411, 輔助計算!$E$2:$E$801, 0)+1))), "")</f>
        <v/>
      </c>
      <c r="H412" s="15">
        <f>IFERROR(INDEX(輔助計算!$D:$D, (MATCH(411, 輔助計算!$E$2:$E$801, 0)+1)), "")</f>
        <v/>
      </c>
      <c r="I412" s="10">
        <f>IFERROR(IF(INDEX(ERP資料!$O:$O, (MATCH(411, 輔助計算!$E$2:$E$801, 0)+1))="","",INDEX(ERP資料!$O:$O, (MATCH(411, 輔助計算!$E$2:$E$801, 0)+1))), "")</f>
        <v/>
      </c>
      <c r="J412" s="15">
        <f>IFERROR(IF(INDEX(輔助計算!$D:$D,(MATCH(411, 輔助計算!$E$2:$E$801, 0)+1))="","",INDEX(輔助計算!$D:$D,(MATCH(411, 輔助計算!$E$2:$E$801, 0)+1))*INDEX(ERP資料!$O:$O,(MATCH(411, 輔助計算!$E$2:$E$801, 0)+1))), "")</f>
        <v/>
      </c>
      <c r="K412" s="16" t="n"/>
      <c r="L412" s="16" t="n"/>
      <c r="M412" s="17" t="n"/>
    </row>
    <row r="413">
      <c r="A413" s="14">
        <f>IFERROR(IF(INDEX(ERP資料!$B:$B, (MATCH(412, 輔助計算!$E$2:$E$801, 0)+1))="","",INDEX(ERP資料!$B:$B, (MATCH(412, 輔助計算!$E$2:$E$801, 0)+1))), "")</f>
        <v/>
      </c>
      <c r="B413" s="10">
        <f>IFERROR(IF(INDEX(ERP資料!$A:$A, (MATCH(412, 輔助計算!$E$2:$E$801, 0)+1))="","",INDEX(ERP資料!$A:$A, (MATCH(412, 輔助計算!$E$2:$E$801, 0)+1))), "")</f>
        <v/>
      </c>
      <c r="C413" s="10">
        <f>IFERROR(IF(INDEX(ERP資料!$S:$S, (MATCH(412, 輔助計算!$E$2:$E$801, 0)+1))="","",INDEX(ERP資料!$S:$S, (MATCH(412, 輔助計算!$E$2:$E$801, 0)+1))), "")</f>
        <v/>
      </c>
      <c r="D413" s="10">
        <f>IFERROR(IF(INDEX(ERP資料!$E:$E, (MATCH(412, 輔助計算!$E$2:$E$801, 0)+1))="","",TRIM(INDEX(ERP資料!$E:$E, (MATCH(412, 輔助計算!$E$2:$E$801, 0)+1)))), "")</f>
        <v/>
      </c>
      <c r="E413" s="10">
        <f>IFERROR(IF(INDEX(ERP資料!$F:$F, (MATCH(412, 輔助計算!$E$2:$E$801, 0)+1))="","",INDEX(ERP資料!$F:$F, (MATCH(412, 輔助計算!$E$2:$E$801, 0)+1))), "")</f>
        <v/>
      </c>
      <c r="F413" s="10">
        <f>IFERROR(IF(INDEX(ERP資料!$G:$G, (MATCH(412, 輔助計算!$E$2:$E$801, 0)+1))="","",INDEX(ERP資料!$G:$G, (MATCH(412, 輔助計算!$E$2:$E$801, 0)+1))), "")</f>
        <v/>
      </c>
      <c r="G413" s="10">
        <f>IFERROR(IF(INDEX(ERP資料!$H:$H, (MATCH(412, 輔助計算!$E$2:$E$801, 0)+1))="","",INDEX(ERP資料!$H:$H, (MATCH(412, 輔助計算!$E$2:$E$801, 0)+1))), "")</f>
        <v/>
      </c>
      <c r="H413" s="15">
        <f>IFERROR(INDEX(輔助計算!$D:$D, (MATCH(412, 輔助計算!$E$2:$E$801, 0)+1)), "")</f>
        <v/>
      </c>
      <c r="I413" s="10">
        <f>IFERROR(IF(INDEX(ERP資料!$O:$O, (MATCH(412, 輔助計算!$E$2:$E$801, 0)+1))="","",INDEX(ERP資料!$O:$O, (MATCH(412, 輔助計算!$E$2:$E$801, 0)+1))), "")</f>
        <v/>
      </c>
      <c r="J413" s="15">
        <f>IFERROR(IF(INDEX(輔助計算!$D:$D,(MATCH(412, 輔助計算!$E$2:$E$801, 0)+1))="","",INDEX(輔助計算!$D:$D,(MATCH(412, 輔助計算!$E$2:$E$801, 0)+1))*INDEX(ERP資料!$O:$O,(MATCH(412, 輔助計算!$E$2:$E$801, 0)+1))), "")</f>
        <v/>
      </c>
      <c r="K413" s="16" t="n"/>
      <c r="L413" s="16" t="n"/>
      <c r="M413" s="17" t="n"/>
    </row>
    <row r="414">
      <c r="A414" s="14">
        <f>IFERROR(IF(INDEX(ERP資料!$B:$B, (MATCH(413, 輔助計算!$E$2:$E$801, 0)+1))="","",INDEX(ERP資料!$B:$B, (MATCH(413, 輔助計算!$E$2:$E$801, 0)+1))), "")</f>
        <v/>
      </c>
      <c r="B414" s="10">
        <f>IFERROR(IF(INDEX(ERP資料!$A:$A, (MATCH(413, 輔助計算!$E$2:$E$801, 0)+1))="","",INDEX(ERP資料!$A:$A, (MATCH(413, 輔助計算!$E$2:$E$801, 0)+1))), "")</f>
        <v/>
      </c>
      <c r="C414" s="10">
        <f>IFERROR(IF(INDEX(ERP資料!$S:$S, (MATCH(413, 輔助計算!$E$2:$E$801, 0)+1))="","",INDEX(ERP資料!$S:$S, (MATCH(413, 輔助計算!$E$2:$E$801, 0)+1))), "")</f>
        <v/>
      </c>
      <c r="D414" s="10">
        <f>IFERROR(IF(INDEX(ERP資料!$E:$E, (MATCH(413, 輔助計算!$E$2:$E$801, 0)+1))="","",TRIM(INDEX(ERP資料!$E:$E, (MATCH(413, 輔助計算!$E$2:$E$801, 0)+1)))), "")</f>
        <v/>
      </c>
      <c r="E414" s="10">
        <f>IFERROR(IF(INDEX(ERP資料!$F:$F, (MATCH(413, 輔助計算!$E$2:$E$801, 0)+1))="","",INDEX(ERP資料!$F:$F, (MATCH(413, 輔助計算!$E$2:$E$801, 0)+1))), "")</f>
        <v/>
      </c>
      <c r="F414" s="10">
        <f>IFERROR(IF(INDEX(ERP資料!$G:$G, (MATCH(413, 輔助計算!$E$2:$E$801, 0)+1))="","",INDEX(ERP資料!$G:$G, (MATCH(413, 輔助計算!$E$2:$E$801, 0)+1))), "")</f>
        <v/>
      </c>
      <c r="G414" s="10">
        <f>IFERROR(IF(INDEX(ERP資料!$H:$H, (MATCH(413, 輔助計算!$E$2:$E$801, 0)+1))="","",INDEX(ERP資料!$H:$H, (MATCH(413, 輔助計算!$E$2:$E$801, 0)+1))), "")</f>
        <v/>
      </c>
      <c r="H414" s="15">
        <f>IFERROR(INDEX(輔助計算!$D:$D, (MATCH(413, 輔助計算!$E$2:$E$801, 0)+1)), "")</f>
        <v/>
      </c>
      <c r="I414" s="10">
        <f>IFERROR(IF(INDEX(ERP資料!$O:$O, (MATCH(413, 輔助計算!$E$2:$E$801, 0)+1))="","",INDEX(ERP資料!$O:$O, (MATCH(413, 輔助計算!$E$2:$E$801, 0)+1))), "")</f>
        <v/>
      </c>
      <c r="J414" s="15">
        <f>IFERROR(IF(INDEX(輔助計算!$D:$D,(MATCH(413, 輔助計算!$E$2:$E$801, 0)+1))="","",INDEX(輔助計算!$D:$D,(MATCH(413, 輔助計算!$E$2:$E$801, 0)+1))*INDEX(ERP資料!$O:$O,(MATCH(413, 輔助計算!$E$2:$E$801, 0)+1))), "")</f>
        <v/>
      </c>
      <c r="K414" s="16" t="n"/>
      <c r="L414" s="16" t="n"/>
      <c r="M414" s="17" t="n"/>
    </row>
    <row r="415">
      <c r="A415" s="14">
        <f>IFERROR(IF(INDEX(ERP資料!$B:$B, (MATCH(414, 輔助計算!$E$2:$E$801, 0)+1))="","",INDEX(ERP資料!$B:$B, (MATCH(414, 輔助計算!$E$2:$E$801, 0)+1))), "")</f>
        <v/>
      </c>
      <c r="B415" s="10">
        <f>IFERROR(IF(INDEX(ERP資料!$A:$A, (MATCH(414, 輔助計算!$E$2:$E$801, 0)+1))="","",INDEX(ERP資料!$A:$A, (MATCH(414, 輔助計算!$E$2:$E$801, 0)+1))), "")</f>
        <v/>
      </c>
      <c r="C415" s="10">
        <f>IFERROR(IF(INDEX(ERP資料!$S:$S, (MATCH(414, 輔助計算!$E$2:$E$801, 0)+1))="","",INDEX(ERP資料!$S:$S, (MATCH(414, 輔助計算!$E$2:$E$801, 0)+1))), "")</f>
        <v/>
      </c>
      <c r="D415" s="10">
        <f>IFERROR(IF(INDEX(ERP資料!$E:$E, (MATCH(414, 輔助計算!$E$2:$E$801, 0)+1))="","",TRIM(INDEX(ERP資料!$E:$E, (MATCH(414, 輔助計算!$E$2:$E$801, 0)+1)))), "")</f>
        <v/>
      </c>
      <c r="E415" s="10">
        <f>IFERROR(IF(INDEX(ERP資料!$F:$F, (MATCH(414, 輔助計算!$E$2:$E$801, 0)+1))="","",INDEX(ERP資料!$F:$F, (MATCH(414, 輔助計算!$E$2:$E$801, 0)+1))), "")</f>
        <v/>
      </c>
      <c r="F415" s="10">
        <f>IFERROR(IF(INDEX(ERP資料!$G:$G, (MATCH(414, 輔助計算!$E$2:$E$801, 0)+1))="","",INDEX(ERP資料!$G:$G, (MATCH(414, 輔助計算!$E$2:$E$801, 0)+1))), "")</f>
        <v/>
      </c>
      <c r="G415" s="10">
        <f>IFERROR(IF(INDEX(ERP資料!$H:$H, (MATCH(414, 輔助計算!$E$2:$E$801, 0)+1))="","",INDEX(ERP資料!$H:$H, (MATCH(414, 輔助計算!$E$2:$E$801, 0)+1))), "")</f>
        <v/>
      </c>
      <c r="H415" s="15">
        <f>IFERROR(INDEX(輔助計算!$D:$D, (MATCH(414, 輔助計算!$E$2:$E$801, 0)+1)), "")</f>
        <v/>
      </c>
      <c r="I415" s="10">
        <f>IFERROR(IF(INDEX(ERP資料!$O:$O, (MATCH(414, 輔助計算!$E$2:$E$801, 0)+1))="","",INDEX(ERP資料!$O:$O, (MATCH(414, 輔助計算!$E$2:$E$801, 0)+1))), "")</f>
        <v/>
      </c>
      <c r="J415" s="15">
        <f>IFERROR(IF(INDEX(輔助計算!$D:$D,(MATCH(414, 輔助計算!$E$2:$E$801, 0)+1))="","",INDEX(輔助計算!$D:$D,(MATCH(414, 輔助計算!$E$2:$E$801, 0)+1))*INDEX(ERP資料!$O:$O,(MATCH(414, 輔助計算!$E$2:$E$801, 0)+1))), "")</f>
        <v/>
      </c>
      <c r="K415" s="16" t="n"/>
      <c r="L415" s="16" t="n"/>
      <c r="M415" s="17" t="n"/>
    </row>
    <row r="416">
      <c r="A416" s="14">
        <f>IFERROR(IF(INDEX(ERP資料!$B:$B, (MATCH(415, 輔助計算!$E$2:$E$801, 0)+1))="","",INDEX(ERP資料!$B:$B, (MATCH(415, 輔助計算!$E$2:$E$801, 0)+1))), "")</f>
        <v/>
      </c>
      <c r="B416" s="10">
        <f>IFERROR(IF(INDEX(ERP資料!$A:$A, (MATCH(415, 輔助計算!$E$2:$E$801, 0)+1))="","",INDEX(ERP資料!$A:$A, (MATCH(415, 輔助計算!$E$2:$E$801, 0)+1))), "")</f>
        <v/>
      </c>
      <c r="C416" s="10">
        <f>IFERROR(IF(INDEX(ERP資料!$S:$S, (MATCH(415, 輔助計算!$E$2:$E$801, 0)+1))="","",INDEX(ERP資料!$S:$S, (MATCH(415, 輔助計算!$E$2:$E$801, 0)+1))), "")</f>
        <v/>
      </c>
      <c r="D416" s="10">
        <f>IFERROR(IF(INDEX(ERP資料!$E:$E, (MATCH(415, 輔助計算!$E$2:$E$801, 0)+1))="","",TRIM(INDEX(ERP資料!$E:$E, (MATCH(415, 輔助計算!$E$2:$E$801, 0)+1)))), "")</f>
        <v/>
      </c>
      <c r="E416" s="10">
        <f>IFERROR(IF(INDEX(ERP資料!$F:$F, (MATCH(415, 輔助計算!$E$2:$E$801, 0)+1))="","",INDEX(ERP資料!$F:$F, (MATCH(415, 輔助計算!$E$2:$E$801, 0)+1))), "")</f>
        <v/>
      </c>
      <c r="F416" s="10">
        <f>IFERROR(IF(INDEX(ERP資料!$G:$G, (MATCH(415, 輔助計算!$E$2:$E$801, 0)+1))="","",INDEX(ERP資料!$G:$G, (MATCH(415, 輔助計算!$E$2:$E$801, 0)+1))), "")</f>
        <v/>
      </c>
      <c r="G416" s="10">
        <f>IFERROR(IF(INDEX(ERP資料!$H:$H, (MATCH(415, 輔助計算!$E$2:$E$801, 0)+1))="","",INDEX(ERP資料!$H:$H, (MATCH(415, 輔助計算!$E$2:$E$801, 0)+1))), "")</f>
        <v/>
      </c>
      <c r="H416" s="15">
        <f>IFERROR(INDEX(輔助計算!$D:$D, (MATCH(415, 輔助計算!$E$2:$E$801, 0)+1)), "")</f>
        <v/>
      </c>
      <c r="I416" s="10">
        <f>IFERROR(IF(INDEX(ERP資料!$O:$O, (MATCH(415, 輔助計算!$E$2:$E$801, 0)+1))="","",INDEX(ERP資料!$O:$O, (MATCH(415, 輔助計算!$E$2:$E$801, 0)+1))), "")</f>
        <v/>
      </c>
      <c r="J416" s="15">
        <f>IFERROR(IF(INDEX(輔助計算!$D:$D,(MATCH(415, 輔助計算!$E$2:$E$801, 0)+1))="","",INDEX(輔助計算!$D:$D,(MATCH(415, 輔助計算!$E$2:$E$801, 0)+1))*INDEX(ERP資料!$O:$O,(MATCH(415, 輔助計算!$E$2:$E$801, 0)+1))), "")</f>
        <v/>
      </c>
      <c r="K416" s="16" t="n"/>
      <c r="L416" s="16" t="n"/>
      <c r="M416" s="17" t="n"/>
    </row>
    <row r="417">
      <c r="A417" s="14">
        <f>IFERROR(IF(INDEX(ERP資料!$B:$B, (MATCH(416, 輔助計算!$E$2:$E$801, 0)+1))="","",INDEX(ERP資料!$B:$B, (MATCH(416, 輔助計算!$E$2:$E$801, 0)+1))), "")</f>
        <v/>
      </c>
      <c r="B417" s="10">
        <f>IFERROR(IF(INDEX(ERP資料!$A:$A, (MATCH(416, 輔助計算!$E$2:$E$801, 0)+1))="","",INDEX(ERP資料!$A:$A, (MATCH(416, 輔助計算!$E$2:$E$801, 0)+1))), "")</f>
        <v/>
      </c>
      <c r="C417" s="10">
        <f>IFERROR(IF(INDEX(ERP資料!$S:$S, (MATCH(416, 輔助計算!$E$2:$E$801, 0)+1))="","",INDEX(ERP資料!$S:$S, (MATCH(416, 輔助計算!$E$2:$E$801, 0)+1))), "")</f>
        <v/>
      </c>
      <c r="D417" s="10">
        <f>IFERROR(IF(INDEX(ERP資料!$E:$E, (MATCH(416, 輔助計算!$E$2:$E$801, 0)+1))="","",TRIM(INDEX(ERP資料!$E:$E, (MATCH(416, 輔助計算!$E$2:$E$801, 0)+1)))), "")</f>
        <v/>
      </c>
      <c r="E417" s="10">
        <f>IFERROR(IF(INDEX(ERP資料!$F:$F, (MATCH(416, 輔助計算!$E$2:$E$801, 0)+1))="","",INDEX(ERP資料!$F:$F, (MATCH(416, 輔助計算!$E$2:$E$801, 0)+1))), "")</f>
        <v/>
      </c>
      <c r="F417" s="10">
        <f>IFERROR(IF(INDEX(ERP資料!$G:$G, (MATCH(416, 輔助計算!$E$2:$E$801, 0)+1))="","",INDEX(ERP資料!$G:$G, (MATCH(416, 輔助計算!$E$2:$E$801, 0)+1))), "")</f>
        <v/>
      </c>
      <c r="G417" s="10">
        <f>IFERROR(IF(INDEX(ERP資料!$H:$H, (MATCH(416, 輔助計算!$E$2:$E$801, 0)+1))="","",INDEX(ERP資料!$H:$H, (MATCH(416, 輔助計算!$E$2:$E$801, 0)+1))), "")</f>
        <v/>
      </c>
      <c r="H417" s="15">
        <f>IFERROR(INDEX(輔助計算!$D:$D, (MATCH(416, 輔助計算!$E$2:$E$801, 0)+1)), "")</f>
        <v/>
      </c>
      <c r="I417" s="10">
        <f>IFERROR(IF(INDEX(ERP資料!$O:$O, (MATCH(416, 輔助計算!$E$2:$E$801, 0)+1))="","",INDEX(ERP資料!$O:$O, (MATCH(416, 輔助計算!$E$2:$E$801, 0)+1))), "")</f>
        <v/>
      </c>
      <c r="J417" s="15">
        <f>IFERROR(IF(INDEX(輔助計算!$D:$D,(MATCH(416, 輔助計算!$E$2:$E$801, 0)+1))="","",INDEX(輔助計算!$D:$D,(MATCH(416, 輔助計算!$E$2:$E$801, 0)+1))*INDEX(ERP資料!$O:$O,(MATCH(416, 輔助計算!$E$2:$E$801, 0)+1))), "")</f>
        <v/>
      </c>
      <c r="K417" s="16" t="n"/>
      <c r="L417" s="16" t="n"/>
      <c r="M417" s="17" t="n"/>
    </row>
    <row r="418">
      <c r="A418" s="14">
        <f>IFERROR(IF(INDEX(ERP資料!$B:$B, (MATCH(417, 輔助計算!$E$2:$E$801, 0)+1))="","",INDEX(ERP資料!$B:$B, (MATCH(417, 輔助計算!$E$2:$E$801, 0)+1))), "")</f>
        <v/>
      </c>
      <c r="B418" s="10">
        <f>IFERROR(IF(INDEX(ERP資料!$A:$A, (MATCH(417, 輔助計算!$E$2:$E$801, 0)+1))="","",INDEX(ERP資料!$A:$A, (MATCH(417, 輔助計算!$E$2:$E$801, 0)+1))), "")</f>
        <v/>
      </c>
      <c r="C418" s="10">
        <f>IFERROR(IF(INDEX(ERP資料!$S:$S, (MATCH(417, 輔助計算!$E$2:$E$801, 0)+1))="","",INDEX(ERP資料!$S:$S, (MATCH(417, 輔助計算!$E$2:$E$801, 0)+1))), "")</f>
        <v/>
      </c>
      <c r="D418" s="10">
        <f>IFERROR(IF(INDEX(ERP資料!$E:$E, (MATCH(417, 輔助計算!$E$2:$E$801, 0)+1))="","",TRIM(INDEX(ERP資料!$E:$E, (MATCH(417, 輔助計算!$E$2:$E$801, 0)+1)))), "")</f>
        <v/>
      </c>
      <c r="E418" s="10">
        <f>IFERROR(IF(INDEX(ERP資料!$F:$F, (MATCH(417, 輔助計算!$E$2:$E$801, 0)+1))="","",INDEX(ERP資料!$F:$F, (MATCH(417, 輔助計算!$E$2:$E$801, 0)+1))), "")</f>
        <v/>
      </c>
      <c r="F418" s="10">
        <f>IFERROR(IF(INDEX(ERP資料!$G:$G, (MATCH(417, 輔助計算!$E$2:$E$801, 0)+1))="","",INDEX(ERP資料!$G:$G, (MATCH(417, 輔助計算!$E$2:$E$801, 0)+1))), "")</f>
        <v/>
      </c>
      <c r="G418" s="10">
        <f>IFERROR(IF(INDEX(ERP資料!$H:$H, (MATCH(417, 輔助計算!$E$2:$E$801, 0)+1))="","",INDEX(ERP資料!$H:$H, (MATCH(417, 輔助計算!$E$2:$E$801, 0)+1))), "")</f>
        <v/>
      </c>
      <c r="H418" s="15">
        <f>IFERROR(INDEX(輔助計算!$D:$D, (MATCH(417, 輔助計算!$E$2:$E$801, 0)+1)), "")</f>
        <v/>
      </c>
      <c r="I418" s="10">
        <f>IFERROR(IF(INDEX(ERP資料!$O:$O, (MATCH(417, 輔助計算!$E$2:$E$801, 0)+1))="","",INDEX(ERP資料!$O:$O, (MATCH(417, 輔助計算!$E$2:$E$801, 0)+1))), "")</f>
        <v/>
      </c>
      <c r="J418" s="15">
        <f>IFERROR(IF(INDEX(輔助計算!$D:$D,(MATCH(417, 輔助計算!$E$2:$E$801, 0)+1))="","",INDEX(輔助計算!$D:$D,(MATCH(417, 輔助計算!$E$2:$E$801, 0)+1))*INDEX(ERP資料!$O:$O,(MATCH(417, 輔助計算!$E$2:$E$801, 0)+1))), "")</f>
        <v/>
      </c>
      <c r="K418" s="16" t="n"/>
      <c r="L418" s="16" t="n"/>
      <c r="M418" s="17" t="n"/>
    </row>
    <row r="419">
      <c r="A419" s="14">
        <f>IFERROR(IF(INDEX(ERP資料!$B:$B, (MATCH(418, 輔助計算!$E$2:$E$801, 0)+1))="","",INDEX(ERP資料!$B:$B, (MATCH(418, 輔助計算!$E$2:$E$801, 0)+1))), "")</f>
        <v/>
      </c>
      <c r="B419" s="10">
        <f>IFERROR(IF(INDEX(ERP資料!$A:$A, (MATCH(418, 輔助計算!$E$2:$E$801, 0)+1))="","",INDEX(ERP資料!$A:$A, (MATCH(418, 輔助計算!$E$2:$E$801, 0)+1))), "")</f>
        <v/>
      </c>
      <c r="C419" s="10">
        <f>IFERROR(IF(INDEX(ERP資料!$S:$S, (MATCH(418, 輔助計算!$E$2:$E$801, 0)+1))="","",INDEX(ERP資料!$S:$S, (MATCH(418, 輔助計算!$E$2:$E$801, 0)+1))), "")</f>
        <v/>
      </c>
      <c r="D419" s="10">
        <f>IFERROR(IF(INDEX(ERP資料!$E:$E, (MATCH(418, 輔助計算!$E$2:$E$801, 0)+1))="","",TRIM(INDEX(ERP資料!$E:$E, (MATCH(418, 輔助計算!$E$2:$E$801, 0)+1)))), "")</f>
        <v/>
      </c>
      <c r="E419" s="10">
        <f>IFERROR(IF(INDEX(ERP資料!$F:$F, (MATCH(418, 輔助計算!$E$2:$E$801, 0)+1))="","",INDEX(ERP資料!$F:$F, (MATCH(418, 輔助計算!$E$2:$E$801, 0)+1))), "")</f>
        <v/>
      </c>
      <c r="F419" s="10">
        <f>IFERROR(IF(INDEX(ERP資料!$G:$G, (MATCH(418, 輔助計算!$E$2:$E$801, 0)+1))="","",INDEX(ERP資料!$G:$G, (MATCH(418, 輔助計算!$E$2:$E$801, 0)+1))), "")</f>
        <v/>
      </c>
      <c r="G419" s="10">
        <f>IFERROR(IF(INDEX(ERP資料!$H:$H, (MATCH(418, 輔助計算!$E$2:$E$801, 0)+1))="","",INDEX(ERP資料!$H:$H, (MATCH(418, 輔助計算!$E$2:$E$801, 0)+1))), "")</f>
        <v/>
      </c>
      <c r="H419" s="15">
        <f>IFERROR(INDEX(輔助計算!$D:$D, (MATCH(418, 輔助計算!$E$2:$E$801, 0)+1)), "")</f>
        <v/>
      </c>
      <c r="I419" s="10">
        <f>IFERROR(IF(INDEX(ERP資料!$O:$O, (MATCH(418, 輔助計算!$E$2:$E$801, 0)+1))="","",INDEX(ERP資料!$O:$O, (MATCH(418, 輔助計算!$E$2:$E$801, 0)+1))), "")</f>
        <v/>
      </c>
      <c r="J419" s="15">
        <f>IFERROR(IF(INDEX(輔助計算!$D:$D,(MATCH(418, 輔助計算!$E$2:$E$801, 0)+1))="","",INDEX(輔助計算!$D:$D,(MATCH(418, 輔助計算!$E$2:$E$801, 0)+1))*INDEX(ERP資料!$O:$O,(MATCH(418, 輔助計算!$E$2:$E$801, 0)+1))), "")</f>
        <v/>
      </c>
      <c r="K419" s="16" t="n"/>
      <c r="L419" s="16" t="n"/>
      <c r="M419" s="17" t="n"/>
    </row>
    <row r="420">
      <c r="A420" s="14">
        <f>IFERROR(IF(INDEX(ERP資料!$B:$B, (MATCH(419, 輔助計算!$E$2:$E$801, 0)+1))="","",INDEX(ERP資料!$B:$B, (MATCH(419, 輔助計算!$E$2:$E$801, 0)+1))), "")</f>
        <v/>
      </c>
      <c r="B420" s="10">
        <f>IFERROR(IF(INDEX(ERP資料!$A:$A, (MATCH(419, 輔助計算!$E$2:$E$801, 0)+1))="","",INDEX(ERP資料!$A:$A, (MATCH(419, 輔助計算!$E$2:$E$801, 0)+1))), "")</f>
        <v/>
      </c>
      <c r="C420" s="10">
        <f>IFERROR(IF(INDEX(ERP資料!$S:$S, (MATCH(419, 輔助計算!$E$2:$E$801, 0)+1))="","",INDEX(ERP資料!$S:$S, (MATCH(419, 輔助計算!$E$2:$E$801, 0)+1))), "")</f>
        <v/>
      </c>
      <c r="D420" s="10">
        <f>IFERROR(IF(INDEX(ERP資料!$E:$E, (MATCH(419, 輔助計算!$E$2:$E$801, 0)+1))="","",TRIM(INDEX(ERP資料!$E:$E, (MATCH(419, 輔助計算!$E$2:$E$801, 0)+1)))), "")</f>
        <v/>
      </c>
      <c r="E420" s="10">
        <f>IFERROR(IF(INDEX(ERP資料!$F:$F, (MATCH(419, 輔助計算!$E$2:$E$801, 0)+1))="","",INDEX(ERP資料!$F:$F, (MATCH(419, 輔助計算!$E$2:$E$801, 0)+1))), "")</f>
        <v/>
      </c>
      <c r="F420" s="10">
        <f>IFERROR(IF(INDEX(ERP資料!$G:$G, (MATCH(419, 輔助計算!$E$2:$E$801, 0)+1))="","",INDEX(ERP資料!$G:$G, (MATCH(419, 輔助計算!$E$2:$E$801, 0)+1))), "")</f>
        <v/>
      </c>
      <c r="G420" s="10">
        <f>IFERROR(IF(INDEX(ERP資料!$H:$H, (MATCH(419, 輔助計算!$E$2:$E$801, 0)+1))="","",INDEX(ERP資料!$H:$H, (MATCH(419, 輔助計算!$E$2:$E$801, 0)+1))), "")</f>
        <v/>
      </c>
      <c r="H420" s="15">
        <f>IFERROR(INDEX(輔助計算!$D:$D, (MATCH(419, 輔助計算!$E$2:$E$801, 0)+1)), "")</f>
        <v/>
      </c>
      <c r="I420" s="10">
        <f>IFERROR(IF(INDEX(ERP資料!$O:$O, (MATCH(419, 輔助計算!$E$2:$E$801, 0)+1))="","",INDEX(ERP資料!$O:$O, (MATCH(419, 輔助計算!$E$2:$E$801, 0)+1))), "")</f>
        <v/>
      </c>
      <c r="J420" s="15">
        <f>IFERROR(IF(INDEX(輔助計算!$D:$D,(MATCH(419, 輔助計算!$E$2:$E$801, 0)+1))="","",INDEX(輔助計算!$D:$D,(MATCH(419, 輔助計算!$E$2:$E$801, 0)+1))*INDEX(ERP資料!$O:$O,(MATCH(419, 輔助計算!$E$2:$E$801, 0)+1))), "")</f>
        <v/>
      </c>
      <c r="K420" s="16" t="n"/>
      <c r="L420" s="16" t="n"/>
      <c r="M420" s="17" t="n"/>
    </row>
    <row r="421">
      <c r="A421" s="14">
        <f>IFERROR(IF(INDEX(ERP資料!$B:$B, (MATCH(420, 輔助計算!$E$2:$E$801, 0)+1))="","",INDEX(ERP資料!$B:$B, (MATCH(420, 輔助計算!$E$2:$E$801, 0)+1))), "")</f>
        <v/>
      </c>
      <c r="B421" s="10">
        <f>IFERROR(IF(INDEX(ERP資料!$A:$A, (MATCH(420, 輔助計算!$E$2:$E$801, 0)+1))="","",INDEX(ERP資料!$A:$A, (MATCH(420, 輔助計算!$E$2:$E$801, 0)+1))), "")</f>
        <v/>
      </c>
      <c r="C421" s="10">
        <f>IFERROR(IF(INDEX(ERP資料!$S:$S, (MATCH(420, 輔助計算!$E$2:$E$801, 0)+1))="","",INDEX(ERP資料!$S:$S, (MATCH(420, 輔助計算!$E$2:$E$801, 0)+1))), "")</f>
        <v/>
      </c>
      <c r="D421" s="10">
        <f>IFERROR(IF(INDEX(ERP資料!$E:$E, (MATCH(420, 輔助計算!$E$2:$E$801, 0)+1))="","",TRIM(INDEX(ERP資料!$E:$E, (MATCH(420, 輔助計算!$E$2:$E$801, 0)+1)))), "")</f>
        <v/>
      </c>
      <c r="E421" s="10">
        <f>IFERROR(IF(INDEX(ERP資料!$F:$F, (MATCH(420, 輔助計算!$E$2:$E$801, 0)+1))="","",INDEX(ERP資料!$F:$F, (MATCH(420, 輔助計算!$E$2:$E$801, 0)+1))), "")</f>
        <v/>
      </c>
      <c r="F421" s="10">
        <f>IFERROR(IF(INDEX(ERP資料!$G:$G, (MATCH(420, 輔助計算!$E$2:$E$801, 0)+1))="","",INDEX(ERP資料!$G:$G, (MATCH(420, 輔助計算!$E$2:$E$801, 0)+1))), "")</f>
        <v/>
      </c>
      <c r="G421" s="10">
        <f>IFERROR(IF(INDEX(ERP資料!$H:$H, (MATCH(420, 輔助計算!$E$2:$E$801, 0)+1))="","",INDEX(ERP資料!$H:$H, (MATCH(420, 輔助計算!$E$2:$E$801, 0)+1))), "")</f>
        <v/>
      </c>
      <c r="H421" s="15">
        <f>IFERROR(INDEX(輔助計算!$D:$D, (MATCH(420, 輔助計算!$E$2:$E$801, 0)+1)), "")</f>
        <v/>
      </c>
      <c r="I421" s="10">
        <f>IFERROR(IF(INDEX(ERP資料!$O:$O, (MATCH(420, 輔助計算!$E$2:$E$801, 0)+1))="","",INDEX(ERP資料!$O:$O, (MATCH(420, 輔助計算!$E$2:$E$801, 0)+1))), "")</f>
        <v/>
      </c>
      <c r="J421" s="15">
        <f>IFERROR(IF(INDEX(輔助計算!$D:$D,(MATCH(420, 輔助計算!$E$2:$E$801, 0)+1))="","",INDEX(輔助計算!$D:$D,(MATCH(420, 輔助計算!$E$2:$E$801, 0)+1))*INDEX(ERP資料!$O:$O,(MATCH(420, 輔助計算!$E$2:$E$801, 0)+1))), "")</f>
        <v/>
      </c>
      <c r="K421" s="16" t="n"/>
      <c r="L421" s="16" t="n"/>
      <c r="M421" s="17" t="n"/>
    </row>
    <row r="422">
      <c r="A422" s="14">
        <f>IFERROR(IF(INDEX(ERP資料!$B:$B, (MATCH(421, 輔助計算!$E$2:$E$801, 0)+1))="","",INDEX(ERP資料!$B:$B, (MATCH(421, 輔助計算!$E$2:$E$801, 0)+1))), "")</f>
        <v/>
      </c>
      <c r="B422" s="10">
        <f>IFERROR(IF(INDEX(ERP資料!$A:$A, (MATCH(421, 輔助計算!$E$2:$E$801, 0)+1))="","",INDEX(ERP資料!$A:$A, (MATCH(421, 輔助計算!$E$2:$E$801, 0)+1))), "")</f>
        <v/>
      </c>
      <c r="C422" s="10">
        <f>IFERROR(IF(INDEX(ERP資料!$S:$S, (MATCH(421, 輔助計算!$E$2:$E$801, 0)+1))="","",INDEX(ERP資料!$S:$S, (MATCH(421, 輔助計算!$E$2:$E$801, 0)+1))), "")</f>
        <v/>
      </c>
      <c r="D422" s="10">
        <f>IFERROR(IF(INDEX(ERP資料!$E:$E, (MATCH(421, 輔助計算!$E$2:$E$801, 0)+1))="","",TRIM(INDEX(ERP資料!$E:$E, (MATCH(421, 輔助計算!$E$2:$E$801, 0)+1)))), "")</f>
        <v/>
      </c>
      <c r="E422" s="10">
        <f>IFERROR(IF(INDEX(ERP資料!$F:$F, (MATCH(421, 輔助計算!$E$2:$E$801, 0)+1))="","",INDEX(ERP資料!$F:$F, (MATCH(421, 輔助計算!$E$2:$E$801, 0)+1))), "")</f>
        <v/>
      </c>
      <c r="F422" s="10">
        <f>IFERROR(IF(INDEX(ERP資料!$G:$G, (MATCH(421, 輔助計算!$E$2:$E$801, 0)+1))="","",INDEX(ERP資料!$G:$G, (MATCH(421, 輔助計算!$E$2:$E$801, 0)+1))), "")</f>
        <v/>
      </c>
      <c r="G422" s="10">
        <f>IFERROR(IF(INDEX(ERP資料!$H:$H, (MATCH(421, 輔助計算!$E$2:$E$801, 0)+1))="","",INDEX(ERP資料!$H:$H, (MATCH(421, 輔助計算!$E$2:$E$801, 0)+1))), "")</f>
        <v/>
      </c>
      <c r="H422" s="15">
        <f>IFERROR(INDEX(輔助計算!$D:$D, (MATCH(421, 輔助計算!$E$2:$E$801, 0)+1)), "")</f>
        <v/>
      </c>
      <c r="I422" s="10">
        <f>IFERROR(IF(INDEX(ERP資料!$O:$O, (MATCH(421, 輔助計算!$E$2:$E$801, 0)+1))="","",INDEX(ERP資料!$O:$O, (MATCH(421, 輔助計算!$E$2:$E$801, 0)+1))), "")</f>
        <v/>
      </c>
      <c r="J422" s="15">
        <f>IFERROR(IF(INDEX(輔助計算!$D:$D,(MATCH(421, 輔助計算!$E$2:$E$801, 0)+1))="","",INDEX(輔助計算!$D:$D,(MATCH(421, 輔助計算!$E$2:$E$801, 0)+1))*INDEX(ERP資料!$O:$O,(MATCH(421, 輔助計算!$E$2:$E$801, 0)+1))), "")</f>
        <v/>
      </c>
      <c r="K422" s="16" t="n"/>
      <c r="L422" s="16" t="n"/>
      <c r="M422" s="17" t="n"/>
    </row>
    <row r="423">
      <c r="A423" s="14">
        <f>IFERROR(IF(INDEX(ERP資料!$B:$B, (MATCH(422, 輔助計算!$E$2:$E$801, 0)+1))="","",INDEX(ERP資料!$B:$B, (MATCH(422, 輔助計算!$E$2:$E$801, 0)+1))), "")</f>
        <v/>
      </c>
      <c r="B423" s="10">
        <f>IFERROR(IF(INDEX(ERP資料!$A:$A, (MATCH(422, 輔助計算!$E$2:$E$801, 0)+1))="","",INDEX(ERP資料!$A:$A, (MATCH(422, 輔助計算!$E$2:$E$801, 0)+1))), "")</f>
        <v/>
      </c>
      <c r="C423" s="10">
        <f>IFERROR(IF(INDEX(ERP資料!$S:$S, (MATCH(422, 輔助計算!$E$2:$E$801, 0)+1))="","",INDEX(ERP資料!$S:$S, (MATCH(422, 輔助計算!$E$2:$E$801, 0)+1))), "")</f>
        <v/>
      </c>
      <c r="D423" s="10">
        <f>IFERROR(IF(INDEX(ERP資料!$E:$E, (MATCH(422, 輔助計算!$E$2:$E$801, 0)+1))="","",TRIM(INDEX(ERP資料!$E:$E, (MATCH(422, 輔助計算!$E$2:$E$801, 0)+1)))), "")</f>
        <v/>
      </c>
      <c r="E423" s="10">
        <f>IFERROR(IF(INDEX(ERP資料!$F:$F, (MATCH(422, 輔助計算!$E$2:$E$801, 0)+1))="","",INDEX(ERP資料!$F:$F, (MATCH(422, 輔助計算!$E$2:$E$801, 0)+1))), "")</f>
        <v/>
      </c>
      <c r="F423" s="10">
        <f>IFERROR(IF(INDEX(ERP資料!$G:$G, (MATCH(422, 輔助計算!$E$2:$E$801, 0)+1))="","",INDEX(ERP資料!$G:$G, (MATCH(422, 輔助計算!$E$2:$E$801, 0)+1))), "")</f>
        <v/>
      </c>
      <c r="G423" s="10">
        <f>IFERROR(IF(INDEX(ERP資料!$H:$H, (MATCH(422, 輔助計算!$E$2:$E$801, 0)+1))="","",INDEX(ERP資料!$H:$H, (MATCH(422, 輔助計算!$E$2:$E$801, 0)+1))), "")</f>
        <v/>
      </c>
      <c r="H423" s="15">
        <f>IFERROR(INDEX(輔助計算!$D:$D, (MATCH(422, 輔助計算!$E$2:$E$801, 0)+1)), "")</f>
        <v/>
      </c>
      <c r="I423" s="10">
        <f>IFERROR(IF(INDEX(ERP資料!$O:$O, (MATCH(422, 輔助計算!$E$2:$E$801, 0)+1))="","",INDEX(ERP資料!$O:$O, (MATCH(422, 輔助計算!$E$2:$E$801, 0)+1))), "")</f>
        <v/>
      </c>
      <c r="J423" s="15">
        <f>IFERROR(IF(INDEX(輔助計算!$D:$D,(MATCH(422, 輔助計算!$E$2:$E$801, 0)+1))="","",INDEX(輔助計算!$D:$D,(MATCH(422, 輔助計算!$E$2:$E$801, 0)+1))*INDEX(ERP資料!$O:$O,(MATCH(422, 輔助計算!$E$2:$E$801, 0)+1))), "")</f>
        <v/>
      </c>
      <c r="K423" s="16" t="n"/>
      <c r="L423" s="16" t="n"/>
      <c r="M423" s="17" t="n"/>
    </row>
    <row r="424">
      <c r="A424" s="14">
        <f>IFERROR(IF(INDEX(ERP資料!$B:$B, (MATCH(423, 輔助計算!$E$2:$E$801, 0)+1))="","",INDEX(ERP資料!$B:$B, (MATCH(423, 輔助計算!$E$2:$E$801, 0)+1))), "")</f>
        <v/>
      </c>
      <c r="B424" s="10">
        <f>IFERROR(IF(INDEX(ERP資料!$A:$A, (MATCH(423, 輔助計算!$E$2:$E$801, 0)+1))="","",INDEX(ERP資料!$A:$A, (MATCH(423, 輔助計算!$E$2:$E$801, 0)+1))), "")</f>
        <v/>
      </c>
      <c r="C424" s="10">
        <f>IFERROR(IF(INDEX(ERP資料!$S:$S, (MATCH(423, 輔助計算!$E$2:$E$801, 0)+1))="","",INDEX(ERP資料!$S:$S, (MATCH(423, 輔助計算!$E$2:$E$801, 0)+1))), "")</f>
        <v/>
      </c>
      <c r="D424" s="10">
        <f>IFERROR(IF(INDEX(ERP資料!$E:$E, (MATCH(423, 輔助計算!$E$2:$E$801, 0)+1))="","",TRIM(INDEX(ERP資料!$E:$E, (MATCH(423, 輔助計算!$E$2:$E$801, 0)+1)))), "")</f>
        <v/>
      </c>
      <c r="E424" s="10">
        <f>IFERROR(IF(INDEX(ERP資料!$F:$F, (MATCH(423, 輔助計算!$E$2:$E$801, 0)+1))="","",INDEX(ERP資料!$F:$F, (MATCH(423, 輔助計算!$E$2:$E$801, 0)+1))), "")</f>
        <v/>
      </c>
      <c r="F424" s="10">
        <f>IFERROR(IF(INDEX(ERP資料!$G:$G, (MATCH(423, 輔助計算!$E$2:$E$801, 0)+1))="","",INDEX(ERP資料!$G:$G, (MATCH(423, 輔助計算!$E$2:$E$801, 0)+1))), "")</f>
        <v/>
      </c>
      <c r="G424" s="10">
        <f>IFERROR(IF(INDEX(ERP資料!$H:$H, (MATCH(423, 輔助計算!$E$2:$E$801, 0)+1))="","",INDEX(ERP資料!$H:$H, (MATCH(423, 輔助計算!$E$2:$E$801, 0)+1))), "")</f>
        <v/>
      </c>
      <c r="H424" s="15">
        <f>IFERROR(INDEX(輔助計算!$D:$D, (MATCH(423, 輔助計算!$E$2:$E$801, 0)+1)), "")</f>
        <v/>
      </c>
      <c r="I424" s="10">
        <f>IFERROR(IF(INDEX(ERP資料!$O:$O, (MATCH(423, 輔助計算!$E$2:$E$801, 0)+1))="","",INDEX(ERP資料!$O:$O, (MATCH(423, 輔助計算!$E$2:$E$801, 0)+1))), "")</f>
        <v/>
      </c>
      <c r="J424" s="15">
        <f>IFERROR(IF(INDEX(輔助計算!$D:$D,(MATCH(423, 輔助計算!$E$2:$E$801, 0)+1))="","",INDEX(輔助計算!$D:$D,(MATCH(423, 輔助計算!$E$2:$E$801, 0)+1))*INDEX(ERP資料!$O:$O,(MATCH(423, 輔助計算!$E$2:$E$801, 0)+1))), "")</f>
        <v/>
      </c>
      <c r="K424" s="16" t="n"/>
      <c r="L424" s="16" t="n"/>
      <c r="M424" s="17" t="n"/>
    </row>
    <row r="425">
      <c r="A425" s="14">
        <f>IFERROR(IF(INDEX(ERP資料!$B:$B, (MATCH(424, 輔助計算!$E$2:$E$801, 0)+1))="","",INDEX(ERP資料!$B:$B, (MATCH(424, 輔助計算!$E$2:$E$801, 0)+1))), "")</f>
        <v/>
      </c>
      <c r="B425" s="10">
        <f>IFERROR(IF(INDEX(ERP資料!$A:$A, (MATCH(424, 輔助計算!$E$2:$E$801, 0)+1))="","",INDEX(ERP資料!$A:$A, (MATCH(424, 輔助計算!$E$2:$E$801, 0)+1))), "")</f>
        <v/>
      </c>
      <c r="C425" s="10">
        <f>IFERROR(IF(INDEX(ERP資料!$S:$S, (MATCH(424, 輔助計算!$E$2:$E$801, 0)+1))="","",INDEX(ERP資料!$S:$S, (MATCH(424, 輔助計算!$E$2:$E$801, 0)+1))), "")</f>
        <v/>
      </c>
      <c r="D425" s="10">
        <f>IFERROR(IF(INDEX(ERP資料!$E:$E, (MATCH(424, 輔助計算!$E$2:$E$801, 0)+1))="","",TRIM(INDEX(ERP資料!$E:$E, (MATCH(424, 輔助計算!$E$2:$E$801, 0)+1)))), "")</f>
        <v/>
      </c>
      <c r="E425" s="10">
        <f>IFERROR(IF(INDEX(ERP資料!$F:$F, (MATCH(424, 輔助計算!$E$2:$E$801, 0)+1))="","",INDEX(ERP資料!$F:$F, (MATCH(424, 輔助計算!$E$2:$E$801, 0)+1))), "")</f>
        <v/>
      </c>
      <c r="F425" s="10">
        <f>IFERROR(IF(INDEX(ERP資料!$G:$G, (MATCH(424, 輔助計算!$E$2:$E$801, 0)+1))="","",INDEX(ERP資料!$G:$G, (MATCH(424, 輔助計算!$E$2:$E$801, 0)+1))), "")</f>
        <v/>
      </c>
      <c r="G425" s="10">
        <f>IFERROR(IF(INDEX(ERP資料!$H:$H, (MATCH(424, 輔助計算!$E$2:$E$801, 0)+1))="","",INDEX(ERP資料!$H:$H, (MATCH(424, 輔助計算!$E$2:$E$801, 0)+1))), "")</f>
        <v/>
      </c>
      <c r="H425" s="15">
        <f>IFERROR(INDEX(輔助計算!$D:$D, (MATCH(424, 輔助計算!$E$2:$E$801, 0)+1)), "")</f>
        <v/>
      </c>
      <c r="I425" s="10">
        <f>IFERROR(IF(INDEX(ERP資料!$O:$O, (MATCH(424, 輔助計算!$E$2:$E$801, 0)+1))="","",INDEX(ERP資料!$O:$O, (MATCH(424, 輔助計算!$E$2:$E$801, 0)+1))), "")</f>
        <v/>
      </c>
      <c r="J425" s="15">
        <f>IFERROR(IF(INDEX(輔助計算!$D:$D,(MATCH(424, 輔助計算!$E$2:$E$801, 0)+1))="","",INDEX(輔助計算!$D:$D,(MATCH(424, 輔助計算!$E$2:$E$801, 0)+1))*INDEX(ERP資料!$O:$O,(MATCH(424, 輔助計算!$E$2:$E$801, 0)+1))), "")</f>
        <v/>
      </c>
      <c r="K425" s="16" t="n"/>
      <c r="L425" s="16" t="n"/>
      <c r="M425" s="17" t="n"/>
    </row>
    <row r="426">
      <c r="A426" s="14">
        <f>IFERROR(IF(INDEX(ERP資料!$B:$B, (MATCH(425, 輔助計算!$E$2:$E$801, 0)+1))="","",INDEX(ERP資料!$B:$B, (MATCH(425, 輔助計算!$E$2:$E$801, 0)+1))), "")</f>
        <v/>
      </c>
      <c r="B426" s="10">
        <f>IFERROR(IF(INDEX(ERP資料!$A:$A, (MATCH(425, 輔助計算!$E$2:$E$801, 0)+1))="","",INDEX(ERP資料!$A:$A, (MATCH(425, 輔助計算!$E$2:$E$801, 0)+1))), "")</f>
        <v/>
      </c>
      <c r="C426" s="10">
        <f>IFERROR(IF(INDEX(ERP資料!$S:$S, (MATCH(425, 輔助計算!$E$2:$E$801, 0)+1))="","",INDEX(ERP資料!$S:$S, (MATCH(425, 輔助計算!$E$2:$E$801, 0)+1))), "")</f>
        <v/>
      </c>
      <c r="D426" s="10">
        <f>IFERROR(IF(INDEX(ERP資料!$E:$E, (MATCH(425, 輔助計算!$E$2:$E$801, 0)+1))="","",TRIM(INDEX(ERP資料!$E:$E, (MATCH(425, 輔助計算!$E$2:$E$801, 0)+1)))), "")</f>
        <v/>
      </c>
      <c r="E426" s="10">
        <f>IFERROR(IF(INDEX(ERP資料!$F:$F, (MATCH(425, 輔助計算!$E$2:$E$801, 0)+1))="","",INDEX(ERP資料!$F:$F, (MATCH(425, 輔助計算!$E$2:$E$801, 0)+1))), "")</f>
        <v/>
      </c>
      <c r="F426" s="10">
        <f>IFERROR(IF(INDEX(ERP資料!$G:$G, (MATCH(425, 輔助計算!$E$2:$E$801, 0)+1))="","",INDEX(ERP資料!$G:$G, (MATCH(425, 輔助計算!$E$2:$E$801, 0)+1))), "")</f>
        <v/>
      </c>
      <c r="G426" s="10">
        <f>IFERROR(IF(INDEX(ERP資料!$H:$H, (MATCH(425, 輔助計算!$E$2:$E$801, 0)+1))="","",INDEX(ERP資料!$H:$H, (MATCH(425, 輔助計算!$E$2:$E$801, 0)+1))), "")</f>
        <v/>
      </c>
      <c r="H426" s="15">
        <f>IFERROR(INDEX(輔助計算!$D:$D, (MATCH(425, 輔助計算!$E$2:$E$801, 0)+1)), "")</f>
        <v/>
      </c>
      <c r="I426" s="10">
        <f>IFERROR(IF(INDEX(ERP資料!$O:$O, (MATCH(425, 輔助計算!$E$2:$E$801, 0)+1))="","",INDEX(ERP資料!$O:$O, (MATCH(425, 輔助計算!$E$2:$E$801, 0)+1))), "")</f>
        <v/>
      </c>
      <c r="J426" s="15">
        <f>IFERROR(IF(INDEX(輔助計算!$D:$D,(MATCH(425, 輔助計算!$E$2:$E$801, 0)+1))="","",INDEX(輔助計算!$D:$D,(MATCH(425, 輔助計算!$E$2:$E$801, 0)+1))*INDEX(ERP資料!$O:$O,(MATCH(425, 輔助計算!$E$2:$E$801, 0)+1))), "")</f>
        <v/>
      </c>
      <c r="K426" s="16" t="n"/>
      <c r="L426" s="16" t="n"/>
      <c r="M426" s="17" t="n"/>
    </row>
    <row r="427">
      <c r="A427" s="14">
        <f>IFERROR(IF(INDEX(ERP資料!$B:$B, (MATCH(426, 輔助計算!$E$2:$E$801, 0)+1))="","",INDEX(ERP資料!$B:$B, (MATCH(426, 輔助計算!$E$2:$E$801, 0)+1))), "")</f>
        <v/>
      </c>
      <c r="B427" s="10">
        <f>IFERROR(IF(INDEX(ERP資料!$A:$A, (MATCH(426, 輔助計算!$E$2:$E$801, 0)+1))="","",INDEX(ERP資料!$A:$A, (MATCH(426, 輔助計算!$E$2:$E$801, 0)+1))), "")</f>
        <v/>
      </c>
      <c r="C427" s="10">
        <f>IFERROR(IF(INDEX(ERP資料!$S:$S, (MATCH(426, 輔助計算!$E$2:$E$801, 0)+1))="","",INDEX(ERP資料!$S:$S, (MATCH(426, 輔助計算!$E$2:$E$801, 0)+1))), "")</f>
        <v/>
      </c>
      <c r="D427" s="10">
        <f>IFERROR(IF(INDEX(ERP資料!$E:$E, (MATCH(426, 輔助計算!$E$2:$E$801, 0)+1))="","",TRIM(INDEX(ERP資料!$E:$E, (MATCH(426, 輔助計算!$E$2:$E$801, 0)+1)))), "")</f>
        <v/>
      </c>
      <c r="E427" s="10">
        <f>IFERROR(IF(INDEX(ERP資料!$F:$F, (MATCH(426, 輔助計算!$E$2:$E$801, 0)+1))="","",INDEX(ERP資料!$F:$F, (MATCH(426, 輔助計算!$E$2:$E$801, 0)+1))), "")</f>
        <v/>
      </c>
      <c r="F427" s="10">
        <f>IFERROR(IF(INDEX(ERP資料!$G:$G, (MATCH(426, 輔助計算!$E$2:$E$801, 0)+1))="","",INDEX(ERP資料!$G:$G, (MATCH(426, 輔助計算!$E$2:$E$801, 0)+1))), "")</f>
        <v/>
      </c>
      <c r="G427" s="10">
        <f>IFERROR(IF(INDEX(ERP資料!$H:$H, (MATCH(426, 輔助計算!$E$2:$E$801, 0)+1))="","",INDEX(ERP資料!$H:$H, (MATCH(426, 輔助計算!$E$2:$E$801, 0)+1))), "")</f>
        <v/>
      </c>
      <c r="H427" s="15">
        <f>IFERROR(INDEX(輔助計算!$D:$D, (MATCH(426, 輔助計算!$E$2:$E$801, 0)+1)), "")</f>
        <v/>
      </c>
      <c r="I427" s="10">
        <f>IFERROR(IF(INDEX(ERP資料!$O:$O, (MATCH(426, 輔助計算!$E$2:$E$801, 0)+1))="","",INDEX(ERP資料!$O:$O, (MATCH(426, 輔助計算!$E$2:$E$801, 0)+1))), "")</f>
        <v/>
      </c>
      <c r="J427" s="15">
        <f>IFERROR(IF(INDEX(輔助計算!$D:$D,(MATCH(426, 輔助計算!$E$2:$E$801, 0)+1))="","",INDEX(輔助計算!$D:$D,(MATCH(426, 輔助計算!$E$2:$E$801, 0)+1))*INDEX(ERP資料!$O:$O,(MATCH(426, 輔助計算!$E$2:$E$801, 0)+1))), "")</f>
        <v/>
      </c>
      <c r="K427" s="16" t="n"/>
      <c r="L427" s="16" t="n"/>
      <c r="M427" s="17" t="n"/>
    </row>
    <row r="428">
      <c r="A428" s="14">
        <f>IFERROR(IF(INDEX(ERP資料!$B:$B, (MATCH(427, 輔助計算!$E$2:$E$801, 0)+1))="","",INDEX(ERP資料!$B:$B, (MATCH(427, 輔助計算!$E$2:$E$801, 0)+1))), "")</f>
        <v/>
      </c>
      <c r="B428" s="10">
        <f>IFERROR(IF(INDEX(ERP資料!$A:$A, (MATCH(427, 輔助計算!$E$2:$E$801, 0)+1))="","",INDEX(ERP資料!$A:$A, (MATCH(427, 輔助計算!$E$2:$E$801, 0)+1))), "")</f>
        <v/>
      </c>
      <c r="C428" s="10">
        <f>IFERROR(IF(INDEX(ERP資料!$S:$S, (MATCH(427, 輔助計算!$E$2:$E$801, 0)+1))="","",INDEX(ERP資料!$S:$S, (MATCH(427, 輔助計算!$E$2:$E$801, 0)+1))), "")</f>
        <v/>
      </c>
      <c r="D428" s="10">
        <f>IFERROR(IF(INDEX(ERP資料!$E:$E, (MATCH(427, 輔助計算!$E$2:$E$801, 0)+1))="","",TRIM(INDEX(ERP資料!$E:$E, (MATCH(427, 輔助計算!$E$2:$E$801, 0)+1)))), "")</f>
        <v/>
      </c>
      <c r="E428" s="10">
        <f>IFERROR(IF(INDEX(ERP資料!$F:$F, (MATCH(427, 輔助計算!$E$2:$E$801, 0)+1))="","",INDEX(ERP資料!$F:$F, (MATCH(427, 輔助計算!$E$2:$E$801, 0)+1))), "")</f>
        <v/>
      </c>
      <c r="F428" s="10">
        <f>IFERROR(IF(INDEX(ERP資料!$G:$G, (MATCH(427, 輔助計算!$E$2:$E$801, 0)+1))="","",INDEX(ERP資料!$G:$G, (MATCH(427, 輔助計算!$E$2:$E$801, 0)+1))), "")</f>
        <v/>
      </c>
      <c r="G428" s="10">
        <f>IFERROR(IF(INDEX(ERP資料!$H:$H, (MATCH(427, 輔助計算!$E$2:$E$801, 0)+1))="","",INDEX(ERP資料!$H:$H, (MATCH(427, 輔助計算!$E$2:$E$801, 0)+1))), "")</f>
        <v/>
      </c>
      <c r="H428" s="15">
        <f>IFERROR(INDEX(輔助計算!$D:$D, (MATCH(427, 輔助計算!$E$2:$E$801, 0)+1)), "")</f>
        <v/>
      </c>
      <c r="I428" s="10">
        <f>IFERROR(IF(INDEX(ERP資料!$O:$O, (MATCH(427, 輔助計算!$E$2:$E$801, 0)+1))="","",INDEX(ERP資料!$O:$O, (MATCH(427, 輔助計算!$E$2:$E$801, 0)+1))), "")</f>
        <v/>
      </c>
      <c r="J428" s="15">
        <f>IFERROR(IF(INDEX(輔助計算!$D:$D,(MATCH(427, 輔助計算!$E$2:$E$801, 0)+1))="","",INDEX(輔助計算!$D:$D,(MATCH(427, 輔助計算!$E$2:$E$801, 0)+1))*INDEX(ERP資料!$O:$O,(MATCH(427, 輔助計算!$E$2:$E$801, 0)+1))), "")</f>
        <v/>
      </c>
      <c r="K428" s="16" t="n"/>
      <c r="L428" s="16" t="n"/>
      <c r="M428" s="17" t="n"/>
    </row>
    <row r="429">
      <c r="A429" s="14">
        <f>IFERROR(IF(INDEX(ERP資料!$B:$B, (MATCH(428, 輔助計算!$E$2:$E$801, 0)+1))="","",INDEX(ERP資料!$B:$B, (MATCH(428, 輔助計算!$E$2:$E$801, 0)+1))), "")</f>
        <v/>
      </c>
      <c r="B429" s="10">
        <f>IFERROR(IF(INDEX(ERP資料!$A:$A, (MATCH(428, 輔助計算!$E$2:$E$801, 0)+1))="","",INDEX(ERP資料!$A:$A, (MATCH(428, 輔助計算!$E$2:$E$801, 0)+1))), "")</f>
        <v/>
      </c>
      <c r="C429" s="10">
        <f>IFERROR(IF(INDEX(ERP資料!$S:$S, (MATCH(428, 輔助計算!$E$2:$E$801, 0)+1))="","",INDEX(ERP資料!$S:$S, (MATCH(428, 輔助計算!$E$2:$E$801, 0)+1))), "")</f>
        <v/>
      </c>
      <c r="D429" s="10">
        <f>IFERROR(IF(INDEX(ERP資料!$E:$E, (MATCH(428, 輔助計算!$E$2:$E$801, 0)+1))="","",TRIM(INDEX(ERP資料!$E:$E, (MATCH(428, 輔助計算!$E$2:$E$801, 0)+1)))), "")</f>
        <v/>
      </c>
      <c r="E429" s="10">
        <f>IFERROR(IF(INDEX(ERP資料!$F:$F, (MATCH(428, 輔助計算!$E$2:$E$801, 0)+1))="","",INDEX(ERP資料!$F:$F, (MATCH(428, 輔助計算!$E$2:$E$801, 0)+1))), "")</f>
        <v/>
      </c>
      <c r="F429" s="10">
        <f>IFERROR(IF(INDEX(ERP資料!$G:$G, (MATCH(428, 輔助計算!$E$2:$E$801, 0)+1))="","",INDEX(ERP資料!$G:$G, (MATCH(428, 輔助計算!$E$2:$E$801, 0)+1))), "")</f>
        <v/>
      </c>
      <c r="G429" s="10">
        <f>IFERROR(IF(INDEX(ERP資料!$H:$H, (MATCH(428, 輔助計算!$E$2:$E$801, 0)+1))="","",INDEX(ERP資料!$H:$H, (MATCH(428, 輔助計算!$E$2:$E$801, 0)+1))), "")</f>
        <v/>
      </c>
      <c r="H429" s="15">
        <f>IFERROR(INDEX(輔助計算!$D:$D, (MATCH(428, 輔助計算!$E$2:$E$801, 0)+1)), "")</f>
        <v/>
      </c>
      <c r="I429" s="10">
        <f>IFERROR(IF(INDEX(ERP資料!$O:$O, (MATCH(428, 輔助計算!$E$2:$E$801, 0)+1))="","",INDEX(ERP資料!$O:$O, (MATCH(428, 輔助計算!$E$2:$E$801, 0)+1))), "")</f>
        <v/>
      </c>
      <c r="J429" s="15">
        <f>IFERROR(IF(INDEX(輔助計算!$D:$D,(MATCH(428, 輔助計算!$E$2:$E$801, 0)+1))="","",INDEX(輔助計算!$D:$D,(MATCH(428, 輔助計算!$E$2:$E$801, 0)+1))*INDEX(ERP資料!$O:$O,(MATCH(428, 輔助計算!$E$2:$E$801, 0)+1))), "")</f>
        <v/>
      </c>
      <c r="K429" s="16" t="n"/>
      <c r="L429" s="16" t="n"/>
      <c r="M429" s="17" t="n"/>
    </row>
    <row r="430">
      <c r="A430" s="14">
        <f>IFERROR(IF(INDEX(ERP資料!$B:$B, (MATCH(429, 輔助計算!$E$2:$E$801, 0)+1))="","",INDEX(ERP資料!$B:$B, (MATCH(429, 輔助計算!$E$2:$E$801, 0)+1))), "")</f>
        <v/>
      </c>
      <c r="B430" s="10">
        <f>IFERROR(IF(INDEX(ERP資料!$A:$A, (MATCH(429, 輔助計算!$E$2:$E$801, 0)+1))="","",INDEX(ERP資料!$A:$A, (MATCH(429, 輔助計算!$E$2:$E$801, 0)+1))), "")</f>
        <v/>
      </c>
      <c r="C430" s="10">
        <f>IFERROR(IF(INDEX(ERP資料!$S:$S, (MATCH(429, 輔助計算!$E$2:$E$801, 0)+1))="","",INDEX(ERP資料!$S:$S, (MATCH(429, 輔助計算!$E$2:$E$801, 0)+1))), "")</f>
        <v/>
      </c>
      <c r="D430" s="10">
        <f>IFERROR(IF(INDEX(ERP資料!$E:$E, (MATCH(429, 輔助計算!$E$2:$E$801, 0)+1))="","",TRIM(INDEX(ERP資料!$E:$E, (MATCH(429, 輔助計算!$E$2:$E$801, 0)+1)))), "")</f>
        <v/>
      </c>
      <c r="E430" s="10">
        <f>IFERROR(IF(INDEX(ERP資料!$F:$F, (MATCH(429, 輔助計算!$E$2:$E$801, 0)+1))="","",INDEX(ERP資料!$F:$F, (MATCH(429, 輔助計算!$E$2:$E$801, 0)+1))), "")</f>
        <v/>
      </c>
      <c r="F430" s="10">
        <f>IFERROR(IF(INDEX(ERP資料!$G:$G, (MATCH(429, 輔助計算!$E$2:$E$801, 0)+1))="","",INDEX(ERP資料!$G:$G, (MATCH(429, 輔助計算!$E$2:$E$801, 0)+1))), "")</f>
        <v/>
      </c>
      <c r="G430" s="10">
        <f>IFERROR(IF(INDEX(ERP資料!$H:$H, (MATCH(429, 輔助計算!$E$2:$E$801, 0)+1))="","",INDEX(ERP資料!$H:$H, (MATCH(429, 輔助計算!$E$2:$E$801, 0)+1))), "")</f>
        <v/>
      </c>
      <c r="H430" s="15">
        <f>IFERROR(INDEX(輔助計算!$D:$D, (MATCH(429, 輔助計算!$E$2:$E$801, 0)+1)), "")</f>
        <v/>
      </c>
      <c r="I430" s="10">
        <f>IFERROR(IF(INDEX(ERP資料!$O:$O, (MATCH(429, 輔助計算!$E$2:$E$801, 0)+1))="","",INDEX(ERP資料!$O:$O, (MATCH(429, 輔助計算!$E$2:$E$801, 0)+1))), "")</f>
        <v/>
      </c>
      <c r="J430" s="15">
        <f>IFERROR(IF(INDEX(輔助計算!$D:$D,(MATCH(429, 輔助計算!$E$2:$E$801, 0)+1))="","",INDEX(輔助計算!$D:$D,(MATCH(429, 輔助計算!$E$2:$E$801, 0)+1))*INDEX(ERP資料!$O:$O,(MATCH(429, 輔助計算!$E$2:$E$801, 0)+1))), "")</f>
        <v/>
      </c>
      <c r="K430" s="16" t="n"/>
      <c r="L430" s="16" t="n"/>
      <c r="M430" s="17" t="n"/>
    </row>
    <row r="431">
      <c r="A431" s="14">
        <f>IFERROR(IF(INDEX(ERP資料!$B:$B, (MATCH(430, 輔助計算!$E$2:$E$801, 0)+1))="","",INDEX(ERP資料!$B:$B, (MATCH(430, 輔助計算!$E$2:$E$801, 0)+1))), "")</f>
        <v/>
      </c>
      <c r="B431" s="10">
        <f>IFERROR(IF(INDEX(ERP資料!$A:$A, (MATCH(430, 輔助計算!$E$2:$E$801, 0)+1))="","",INDEX(ERP資料!$A:$A, (MATCH(430, 輔助計算!$E$2:$E$801, 0)+1))), "")</f>
        <v/>
      </c>
      <c r="C431" s="10">
        <f>IFERROR(IF(INDEX(ERP資料!$S:$S, (MATCH(430, 輔助計算!$E$2:$E$801, 0)+1))="","",INDEX(ERP資料!$S:$S, (MATCH(430, 輔助計算!$E$2:$E$801, 0)+1))), "")</f>
        <v/>
      </c>
      <c r="D431" s="10">
        <f>IFERROR(IF(INDEX(ERP資料!$E:$E, (MATCH(430, 輔助計算!$E$2:$E$801, 0)+1))="","",TRIM(INDEX(ERP資料!$E:$E, (MATCH(430, 輔助計算!$E$2:$E$801, 0)+1)))), "")</f>
        <v/>
      </c>
      <c r="E431" s="10">
        <f>IFERROR(IF(INDEX(ERP資料!$F:$F, (MATCH(430, 輔助計算!$E$2:$E$801, 0)+1))="","",INDEX(ERP資料!$F:$F, (MATCH(430, 輔助計算!$E$2:$E$801, 0)+1))), "")</f>
        <v/>
      </c>
      <c r="F431" s="10">
        <f>IFERROR(IF(INDEX(ERP資料!$G:$G, (MATCH(430, 輔助計算!$E$2:$E$801, 0)+1))="","",INDEX(ERP資料!$G:$G, (MATCH(430, 輔助計算!$E$2:$E$801, 0)+1))), "")</f>
        <v/>
      </c>
      <c r="G431" s="10">
        <f>IFERROR(IF(INDEX(ERP資料!$H:$H, (MATCH(430, 輔助計算!$E$2:$E$801, 0)+1))="","",INDEX(ERP資料!$H:$H, (MATCH(430, 輔助計算!$E$2:$E$801, 0)+1))), "")</f>
        <v/>
      </c>
      <c r="H431" s="15">
        <f>IFERROR(INDEX(輔助計算!$D:$D, (MATCH(430, 輔助計算!$E$2:$E$801, 0)+1)), "")</f>
        <v/>
      </c>
      <c r="I431" s="10">
        <f>IFERROR(IF(INDEX(ERP資料!$O:$O, (MATCH(430, 輔助計算!$E$2:$E$801, 0)+1))="","",INDEX(ERP資料!$O:$O, (MATCH(430, 輔助計算!$E$2:$E$801, 0)+1))), "")</f>
        <v/>
      </c>
      <c r="J431" s="15">
        <f>IFERROR(IF(INDEX(輔助計算!$D:$D,(MATCH(430, 輔助計算!$E$2:$E$801, 0)+1))="","",INDEX(輔助計算!$D:$D,(MATCH(430, 輔助計算!$E$2:$E$801, 0)+1))*INDEX(ERP資料!$O:$O,(MATCH(430, 輔助計算!$E$2:$E$801, 0)+1))), "")</f>
        <v/>
      </c>
      <c r="K431" s="16" t="n"/>
      <c r="L431" s="16" t="n"/>
      <c r="M431" s="17" t="n"/>
    </row>
    <row r="432">
      <c r="A432" s="14">
        <f>IFERROR(IF(INDEX(ERP資料!$B:$B, (MATCH(431, 輔助計算!$E$2:$E$801, 0)+1))="","",INDEX(ERP資料!$B:$B, (MATCH(431, 輔助計算!$E$2:$E$801, 0)+1))), "")</f>
        <v/>
      </c>
      <c r="B432" s="10">
        <f>IFERROR(IF(INDEX(ERP資料!$A:$A, (MATCH(431, 輔助計算!$E$2:$E$801, 0)+1))="","",INDEX(ERP資料!$A:$A, (MATCH(431, 輔助計算!$E$2:$E$801, 0)+1))), "")</f>
        <v/>
      </c>
      <c r="C432" s="10">
        <f>IFERROR(IF(INDEX(ERP資料!$S:$S, (MATCH(431, 輔助計算!$E$2:$E$801, 0)+1))="","",INDEX(ERP資料!$S:$S, (MATCH(431, 輔助計算!$E$2:$E$801, 0)+1))), "")</f>
        <v/>
      </c>
      <c r="D432" s="10">
        <f>IFERROR(IF(INDEX(ERP資料!$E:$E, (MATCH(431, 輔助計算!$E$2:$E$801, 0)+1))="","",TRIM(INDEX(ERP資料!$E:$E, (MATCH(431, 輔助計算!$E$2:$E$801, 0)+1)))), "")</f>
        <v/>
      </c>
      <c r="E432" s="10">
        <f>IFERROR(IF(INDEX(ERP資料!$F:$F, (MATCH(431, 輔助計算!$E$2:$E$801, 0)+1))="","",INDEX(ERP資料!$F:$F, (MATCH(431, 輔助計算!$E$2:$E$801, 0)+1))), "")</f>
        <v/>
      </c>
      <c r="F432" s="10">
        <f>IFERROR(IF(INDEX(ERP資料!$G:$G, (MATCH(431, 輔助計算!$E$2:$E$801, 0)+1))="","",INDEX(ERP資料!$G:$G, (MATCH(431, 輔助計算!$E$2:$E$801, 0)+1))), "")</f>
        <v/>
      </c>
      <c r="G432" s="10">
        <f>IFERROR(IF(INDEX(ERP資料!$H:$H, (MATCH(431, 輔助計算!$E$2:$E$801, 0)+1))="","",INDEX(ERP資料!$H:$H, (MATCH(431, 輔助計算!$E$2:$E$801, 0)+1))), "")</f>
        <v/>
      </c>
      <c r="H432" s="15">
        <f>IFERROR(INDEX(輔助計算!$D:$D, (MATCH(431, 輔助計算!$E$2:$E$801, 0)+1)), "")</f>
        <v/>
      </c>
      <c r="I432" s="10">
        <f>IFERROR(IF(INDEX(ERP資料!$O:$O, (MATCH(431, 輔助計算!$E$2:$E$801, 0)+1))="","",INDEX(ERP資料!$O:$O, (MATCH(431, 輔助計算!$E$2:$E$801, 0)+1))), "")</f>
        <v/>
      </c>
      <c r="J432" s="15">
        <f>IFERROR(IF(INDEX(輔助計算!$D:$D,(MATCH(431, 輔助計算!$E$2:$E$801, 0)+1))="","",INDEX(輔助計算!$D:$D,(MATCH(431, 輔助計算!$E$2:$E$801, 0)+1))*INDEX(ERP資料!$O:$O,(MATCH(431, 輔助計算!$E$2:$E$801, 0)+1))), "")</f>
        <v/>
      </c>
      <c r="K432" s="16" t="n"/>
      <c r="L432" s="16" t="n"/>
      <c r="M432" s="17" t="n"/>
    </row>
    <row r="433">
      <c r="A433" s="14">
        <f>IFERROR(IF(INDEX(ERP資料!$B:$B, (MATCH(432, 輔助計算!$E$2:$E$801, 0)+1))="","",INDEX(ERP資料!$B:$B, (MATCH(432, 輔助計算!$E$2:$E$801, 0)+1))), "")</f>
        <v/>
      </c>
      <c r="B433" s="10">
        <f>IFERROR(IF(INDEX(ERP資料!$A:$A, (MATCH(432, 輔助計算!$E$2:$E$801, 0)+1))="","",INDEX(ERP資料!$A:$A, (MATCH(432, 輔助計算!$E$2:$E$801, 0)+1))), "")</f>
        <v/>
      </c>
      <c r="C433" s="10">
        <f>IFERROR(IF(INDEX(ERP資料!$S:$S, (MATCH(432, 輔助計算!$E$2:$E$801, 0)+1))="","",INDEX(ERP資料!$S:$S, (MATCH(432, 輔助計算!$E$2:$E$801, 0)+1))), "")</f>
        <v/>
      </c>
      <c r="D433" s="10">
        <f>IFERROR(IF(INDEX(ERP資料!$E:$E, (MATCH(432, 輔助計算!$E$2:$E$801, 0)+1))="","",TRIM(INDEX(ERP資料!$E:$E, (MATCH(432, 輔助計算!$E$2:$E$801, 0)+1)))), "")</f>
        <v/>
      </c>
      <c r="E433" s="10">
        <f>IFERROR(IF(INDEX(ERP資料!$F:$F, (MATCH(432, 輔助計算!$E$2:$E$801, 0)+1))="","",INDEX(ERP資料!$F:$F, (MATCH(432, 輔助計算!$E$2:$E$801, 0)+1))), "")</f>
        <v/>
      </c>
      <c r="F433" s="10">
        <f>IFERROR(IF(INDEX(ERP資料!$G:$G, (MATCH(432, 輔助計算!$E$2:$E$801, 0)+1))="","",INDEX(ERP資料!$G:$G, (MATCH(432, 輔助計算!$E$2:$E$801, 0)+1))), "")</f>
        <v/>
      </c>
      <c r="G433" s="10">
        <f>IFERROR(IF(INDEX(ERP資料!$H:$H, (MATCH(432, 輔助計算!$E$2:$E$801, 0)+1))="","",INDEX(ERP資料!$H:$H, (MATCH(432, 輔助計算!$E$2:$E$801, 0)+1))), "")</f>
        <v/>
      </c>
      <c r="H433" s="15">
        <f>IFERROR(INDEX(輔助計算!$D:$D, (MATCH(432, 輔助計算!$E$2:$E$801, 0)+1)), "")</f>
        <v/>
      </c>
      <c r="I433" s="10">
        <f>IFERROR(IF(INDEX(ERP資料!$O:$O, (MATCH(432, 輔助計算!$E$2:$E$801, 0)+1))="","",INDEX(ERP資料!$O:$O, (MATCH(432, 輔助計算!$E$2:$E$801, 0)+1))), "")</f>
        <v/>
      </c>
      <c r="J433" s="15">
        <f>IFERROR(IF(INDEX(輔助計算!$D:$D,(MATCH(432, 輔助計算!$E$2:$E$801, 0)+1))="","",INDEX(輔助計算!$D:$D,(MATCH(432, 輔助計算!$E$2:$E$801, 0)+1))*INDEX(ERP資料!$O:$O,(MATCH(432, 輔助計算!$E$2:$E$801, 0)+1))), "")</f>
        <v/>
      </c>
      <c r="K433" s="16" t="n"/>
      <c r="L433" s="16" t="n"/>
      <c r="M433" s="17" t="n"/>
    </row>
    <row r="434">
      <c r="A434" s="14">
        <f>IFERROR(IF(INDEX(ERP資料!$B:$B, (MATCH(433, 輔助計算!$E$2:$E$801, 0)+1))="","",INDEX(ERP資料!$B:$B, (MATCH(433, 輔助計算!$E$2:$E$801, 0)+1))), "")</f>
        <v/>
      </c>
      <c r="B434" s="10">
        <f>IFERROR(IF(INDEX(ERP資料!$A:$A, (MATCH(433, 輔助計算!$E$2:$E$801, 0)+1))="","",INDEX(ERP資料!$A:$A, (MATCH(433, 輔助計算!$E$2:$E$801, 0)+1))), "")</f>
        <v/>
      </c>
      <c r="C434" s="10">
        <f>IFERROR(IF(INDEX(ERP資料!$S:$S, (MATCH(433, 輔助計算!$E$2:$E$801, 0)+1))="","",INDEX(ERP資料!$S:$S, (MATCH(433, 輔助計算!$E$2:$E$801, 0)+1))), "")</f>
        <v/>
      </c>
      <c r="D434" s="10">
        <f>IFERROR(IF(INDEX(ERP資料!$E:$E, (MATCH(433, 輔助計算!$E$2:$E$801, 0)+1))="","",TRIM(INDEX(ERP資料!$E:$E, (MATCH(433, 輔助計算!$E$2:$E$801, 0)+1)))), "")</f>
        <v/>
      </c>
      <c r="E434" s="10">
        <f>IFERROR(IF(INDEX(ERP資料!$F:$F, (MATCH(433, 輔助計算!$E$2:$E$801, 0)+1))="","",INDEX(ERP資料!$F:$F, (MATCH(433, 輔助計算!$E$2:$E$801, 0)+1))), "")</f>
        <v/>
      </c>
      <c r="F434" s="10">
        <f>IFERROR(IF(INDEX(ERP資料!$G:$G, (MATCH(433, 輔助計算!$E$2:$E$801, 0)+1))="","",INDEX(ERP資料!$G:$G, (MATCH(433, 輔助計算!$E$2:$E$801, 0)+1))), "")</f>
        <v/>
      </c>
      <c r="G434" s="10">
        <f>IFERROR(IF(INDEX(ERP資料!$H:$H, (MATCH(433, 輔助計算!$E$2:$E$801, 0)+1))="","",INDEX(ERP資料!$H:$H, (MATCH(433, 輔助計算!$E$2:$E$801, 0)+1))), "")</f>
        <v/>
      </c>
      <c r="H434" s="15">
        <f>IFERROR(INDEX(輔助計算!$D:$D, (MATCH(433, 輔助計算!$E$2:$E$801, 0)+1)), "")</f>
        <v/>
      </c>
      <c r="I434" s="10">
        <f>IFERROR(IF(INDEX(ERP資料!$O:$O, (MATCH(433, 輔助計算!$E$2:$E$801, 0)+1))="","",INDEX(ERP資料!$O:$O, (MATCH(433, 輔助計算!$E$2:$E$801, 0)+1))), "")</f>
        <v/>
      </c>
      <c r="J434" s="15">
        <f>IFERROR(IF(INDEX(輔助計算!$D:$D,(MATCH(433, 輔助計算!$E$2:$E$801, 0)+1))="","",INDEX(輔助計算!$D:$D,(MATCH(433, 輔助計算!$E$2:$E$801, 0)+1))*INDEX(ERP資料!$O:$O,(MATCH(433, 輔助計算!$E$2:$E$801, 0)+1))), "")</f>
        <v/>
      </c>
      <c r="K434" s="16" t="n"/>
      <c r="L434" s="16" t="n"/>
      <c r="M434" s="17" t="n"/>
    </row>
    <row r="435">
      <c r="A435" s="14">
        <f>IFERROR(IF(INDEX(ERP資料!$B:$B, (MATCH(434, 輔助計算!$E$2:$E$801, 0)+1))="","",INDEX(ERP資料!$B:$B, (MATCH(434, 輔助計算!$E$2:$E$801, 0)+1))), "")</f>
        <v/>
      </c>
      <c r="B435" s="10">
        <f>IFERROR(IF(INDEX(ERP資料!$A:$A, (MATCH(434, 輔助計算!$E$2:$E$801, 0)+1))="","",INDEX(ERP資料!$A:$A, (MATCH(434, 輔助計算!$E$2:$E$801, 0)+1))), "")</f>
        <v/>
      </c>
      <c r="C435" s="10">
        <f>IFERROR(IF(INDEX(ERP資料!$S:$S, (MATCH(434, 輔助計算!$E$2:$E$801, 0)+1))="","",INDEX(ERP資料!$S:$S, (MATCH(434, 輔助計算!$E$2:$E$801, 0)+1))), "")</f>
        <v/>
      </c>
      <c r="D435" s="10">
        <f>IFERROR(IF(INDEX(ERP資料!$E:$E, (MATCH(434, 輔助計算!$E$2:$E$801, 0)+1))="","",TRIM(INDEX(ERP資料!$E:$E, (MATCH(434, 輔助計算!$E$2:$E$801, 0)+1)))), "")</f>
        <v/>
      </c>
      <c r="E435" s="10">
        <f>IFERROR(IF(INDEX(ERP資料!$F:$F, (MATCH(434, 輔助計算!$E$2:$E$801, 0)+1))="","",INDEX(ERP資料!$F:$F, (MATCH(434, 輔助計算!$E$2:$E$801, 0)+1))), "")</f>
        <v/>
      </c>
      <c r="F435" s="10">
        <f>IFERROR(IF(INDEX(ERP資料!$G:$G, (MATCH(434, 輔助計算!$E$2:$E$801, 0)+1))="","",INDEX(ERP資料!$G:$G, (MATCH(434, 輔助計算!$E$2:$E$801, 0)+1))), "")</f>
        <v/>
      </c>
      <c r="G435" s="10">
        <f>IFERROR(IF(INDEX(ERP資料!$H:$H, (MATCH(434, 輔助計算!$E$2:$E$801, 0)+1))="","",INDEX(ERP資料!$H:$H, (MATCH(434, 輔助計算!$E$2:$E$801, 0)+1))), "")</f>
        <v/>
      </c>
      <c r="H435" s="15">
        <f>IFERROR(INDEX(輔助計算!$D:$D, (MATCH(434, 輔助計算!$E$2:$E$801, 0)+1)), "")</f>
        <v/>
      </c>
      <c r="I435" s="10">
        <f>IFERROR(IF(INDEX(ERP資料!$O:$O, (MATCH(434, 輔助計算!$E$2:$E$801, 0)+1))="","",INDEX(ERP資料!$O:$O, (MATCH(434, 輔助計算!$E$2:$E$801, 0)+1))), "")</f>
        <v/>
      </c>
      <c r="J435" s="15">
        <f>IFERROR(IF(INDEX(輔助計算!$D:$D,(MATCH(434, 輔助計算!$E$2:$E$801, 0)+1))="","",INDEX(輔助計算!$D:$D,(MATCH(434, 輔助計算!$E$2:$E$801, 0)+1))*INDEX(ERP資料!$O:$O,(MATCH(434, 輔助計算!$E$2:$E$801, 0)+1))), "")</f>
        <v/>
      </c>
      <c r="K435" s="16" t="n"/>
      <c r="L435" s="16" t="n"/>
      <c r="M435" s="17" t="n"/>
    </row>
    <row r="436">
      <c r="A436" s="14">
        <f>IFERROR(IF(INDEX(ERP資料!$B:$B, (MATCH(435, 輔助計算!$E$2:$E$801, 0)+1))="","",INDEX(ERP資料!$B:$B, (MATCH(435, 輔助計算!$E$2:$E$801, 0)+1))), "")</f>
        <v/>
      </c>
      <c r="B436" s="10">
        <f>IFERROR(IF(INDEX(ERP資料!$A:$A, (MATCH(435, 輔助計算!$E$2:$E$801, 0)+1))="","",INDEX(ERP資料!$A:$A, (MATCH(435, 輔助計算!$E$2:$E$801, 0)+1))), "")</f>
        <v/>
      </c>
      <c r="C436" s="10">
        <f>IFERROR(IF(INDEX(ERP資料!$S:$S, (MATCH(435, 輔助計算!$E$2:$E$801, 0)+1))="","",INDEX(ERP資料!$S:$S, (MATCH(435, 輔助計算!$E$2:$E$801, 0)+1))), "")</f>
        <v/>
      </c>
      <c r="D436" s="10">
        <f>IFERROR(IF(INDEX(ERP資料!$E:$E, (MATCH(435, 輔助計算!$E$2:$E$801, 0)+1))="","",TRIM(INDEX(ERP資料!$E:$E, (MATCH(435, 輔助計算!$E$2:$E$801, 0)+1)))), "")</f>
        <v/>
      </c>
      <c r="E436" s="10">
        <f>IFERROR(IF(INDEX(ERP資料!$F:$F, (MATCH(435, 輔助計算!$E$2:$E$801, 0)+1))="","",INDEX(ERP資料!$F:$F, (MATCH(435, 輔助計算!$E$2:$E$801, 0)+1))), "")</f>
        <v/>
      </c>
      <c r="F436" s="10">
        <f>IFERROR(IF(INDEX(ERP資料!$G:$G, (MATCH(435, 輔助計算!$E$2:$E$801, 0)+1))="","",INDEX(ERP資料!$G:$G, (MATCH(435, 輔助計算!$E$2:$E$801, 0)+1))), "")</f>
        <v/>
      </c>
      <c r="G436" s="10">
        <f>IFERROR(IF(INDEX(ERP資料!$H:$H, (MATCH(435, 輔助計算!$E$2:$E$801, 0)+1))="","",INDEX(ERP資料!$H:$H, (MATCH(435, 輔助計算!$E$2:$E$801, 0)+1))), "")</f>
        <v/>
      </c>
      <c r="H436" s="15">
        <f>IFERROR(INDEX(輔助計算!$D:$D, (MATCH(435, 輔助計算!$E$2:$E$801, 0)+1)), "")</f>
        <v/>
      </c>
      <c r="I436" s="10">
        <f>IFERROR(IF(INDEX(ERP資料!$O:$O, (MATCH(435, 輔助計算!$E$2:$E$801, 0)+1))="","",INDEX(ERP資料!$O:$O, (MATCH(435, 輔助計算!$E$2:$E$801, 0)+1))), "")</f>
        <v/>
      </c>
      <c r="J436" s="15">
        <f>IFERROR(IF(INDEX(輔助計算!$D:$D,(MATCH(435, 輔助計算!$E$2:$E$801, 0)+1))="","",INDEX(輔助計算!$D:$D,(MATCH(435, 輔助計算!$E$2:$E$801, 0)+1))*INDEX(ERP資料!$O:$O,(MATCH(435, 輔助計算!$E$2:$E$801, 0)+1))), "")</f>
        <v/>
      </c>
      <c r="K436" s="16" t="n"/>
      <c r="L436" s="16" t="n"/>
      <c r="M436" s="17" t="n"/>
    </row>
    <row r="437">
      <c r="A437" s="14">
        <f>IFERROR(IF(INDEX(ERP資料!$B:$B, (MATCH(436, 輔助計算!$E$2:$E$801, 0)+1))="","",INDEX(ERP資料!$B:$B, (MATCH(436, 輔助計算!$E$2:$E$801, 0)+1))), "")</f>
        <v/>
      </c>
      <c r="B437" s="10">
        <f>IFERROR(IF(INDEX(ERP資料!$A:$A, (MATCH(436, 輔助計算!$E$2:$E$801, 0)+1))="","",INDEX(ERP資料!$A:$A, (MATCH(436, 輔助計算!$E$2:$E$801, 0)+1))), "")</f>
        <v/>
      </c>
      <c r="C437" s="10">
        <f>IFERROR(IF(INDEX(ERP資料!$S:$S, (MATCH(436, 輔助計算!$E$2:$E$801, 0)+1))="","",INDEX(ERP資料!$S:$S, (MATCH(436, 輔助計算!$E$2:$E$801, 0)+1))), "")</f>
        <v/>
      </c>
      <c r="D437" s="10">
        <f>IFERROR(IF(INDEX(ERP資料!$E:$E, (MATCH(436, 輔助計算!$E$2:$E$801, 0)+1))="","",TRIM(INDEX(ERP資料!$E:$E, (MATCH(436, 輔助計算!$E$2:$E$801, 0)+1)))), "")</f>
        <v/>
      </c>
      <c r="E437" s="10">
        <f>IFERROR(IF(INDEX(ERP資料!$F:$F, (MATCH(436, 輔助計算!$E$2:$E$801, 0)+1))="","",INDEX(ERP資料!$F:$F, (MATCH(436, 輔助計算!$E$2:$E$801, 0)+1))), "")</f>
        <v/>
      </c>
      <c r="F437" s="10">
        <f>IFERROR(IF(INDEX(ERP資料!$G:$G, (MATCH(436, 輔助計算!$E$2:$E$801, 0)+1))="","",INDEX(ERP資料!$G:$G, (MATCH(436, 輔助計算!$E$2:$E$801, 0)+1))), "")</f>
        <v/>
      </c>
      <c r="G437" s="10">
        <f>IFERROR(IF(INDEX(ERP資料!$H:$H, (MATCH(436, 輔助計算!$E$2:$E$801, 0)+1))="","",INDEX(ERP資料!$H:$H, (MATCH(436, 輔助計算!$E$2:$E$801, 0)+1))), "")</f>
        <v/>
      </c>
      <c r="H437" s="15">
        <f>IFERROR(INDEX(輔助計算!$D:$D, (MATCH(436, 輔助計算!$E$2:$E$801, 0)+1)), "")</f>
        <v/>
      </c>
      <c r="I437" s="10">
        <f>IFERROR(IF(INDEX(ERP資料!$O:$O, (MATCH(436, 輔助計算!$E$2:$E$801, 0)+1))="","",INDEX(ERP資料!$O:$O, (MATCH(436, 輔助計算!$E$2:$E$801, 0)+1))), "")</f>
        <v/>
      </c>
      <c r="J437" s="15">
        <f>IFERROR(IF(INDEX(輔助計算!$D:$D,(MATCH(436, 輔助計算!$E$2:$E$801, 0)+1))="","",INDEX(輔助計算!$D:$D,(MATCH(436, 輔助計算!$E$2:$E$801, 0)+1))*INDEX(ERP資料!$O:$O,(MATCH(436, 輔助計算!$E$2:$E$801, 0)+1))), "")</f>
        <v/>
      </c>
      <c r="K437" s="16" t="n"/>
      <c r="L437" s="16" t="n"/>
      <c r="M437" s="17" t="n"/>
    </row>
    <row r="438">
      <c r="A438" s="14">
        <f>IFERROR(IF(INDEX(ERP資料!$B:$B, (MATCH(437, 輔助計算!$E$2:$E$801, 0)+1))="","",INDEX(ERP資料!$B:$B, (MATCH(437, 輔助計算!$E$2:$E$801, 0)+1))), "")</f>
        <v/>
      </c>
      <c r="B438" s="10">
        <f>IFERROR(IF(INDEX(ERP資料!$A:$A, (MATCH(437, 輔助計算!$E$2:$E$801, 0)+1))="","",INDEX(ERP資料!$A:$A, (MATCH(437, 輔助計算!$E$2:$E$801, 0)+1))), "")</f>
        <v/>
      </c>
      <c r="C438" s="10">
        <f>IFERROR(IF(INDEX(ERP資料!$S:$S, (MATCH(437, 輔助計算!$E$2:$E$801, 0)+1))="","",INDEX(ERP資料!$S:$S, (MATCH(437, 輔助計算!$E$2:$E$801, 0)+1))), "")</f>
        <v/>
      </c>
      <c r="D438" s="10">
        <f>IFERROR(IF(INDEX(ERP資料!$E:$E, (MATCH(437, 輔助計算!$E$2:$E$801, 0)+1))="","",TRIM(INDEX(ERP資料!$E:$E, (MATCH(437, 輔助計算!$E$2:$E$801, 0)+1)))), "")</f>
        <v/>
      </c>
      <c r="E438" s="10">
        <f>IFERROR(IF(INDEX(ERP資料!$F:$F, (MATCH(437, 輔助計算!$E$2:$E$801, 0)+1))="","",INDEX(ERP資料!$F:$F, (MATCH(437, 輔助計算!$E$2:$E$801, 0)+1))), "")</f>
        <v/>
      </c>
      <c r="F438" s="10">
        <f>IFERROR(IF(INDEX(ERP資料!$G:$G, (MATCH(437, 輔助計算!$E$2:$E$801, 0)+1))="","",INDEX(ERP資料!$G:$G, (MATCH(437, 輔助計算!$E$2:$E$801, 0)+1))), "")</f>
        <v/>
      </c>
      <c r="G438" s="10">
        <f>IFERROR(IF(INDEX(ERP資料!$H:$H, (MATCH(437, 輔助計算!$E$2:$E$801, 0)+1))="","",INDEX(ERP資料!$H:$H, (MATCH(437, 輔助計算!$E$2:$E$801, 0)+1))), "")</f>
        <v/>
      </c>
      <c r="H438" s="15">
        <f>IFERROR(INDEX(輔助計算!$D:$D, (MATCH(437, 輔助計算!$E$2:$E$801, 0)+1)), "")</f>
        <v/>
      </c>
      <c r="I438" s="10">
        <f>IFERROR(IF(INDEX(ERP資料!$O:$O, (MATCH(437, 輔助計算!$E$2:$E$801, 0)+1))="","",INDEX(ERP資料!$O:$O, (MATCH(437, 輔助計算!$E$2:$E$801, 0)+1))), "")</f>
        <v/>
      </c>
      <c r="J438" s="15">
        <f>IFERROR(IF(INDEX(輔助計算!$D:$D,(MATCH(437, 輔助計算!$E$2:$E$801, 0)+1))="","",INDEX(輔助計算!$D:$D,(MATCH(437, 輔助計算!$E$2:$E$801, 0)+1))*INDEX(ERP資料!$O:$O,(MATCH(437, 輔助計算!$E$2:$E$801, 0)+1))), "")</f>
        <v/>
      </c>
      <c r="K438" s="16" t="n"/>
      <c r="L438" s="16" t="n"/>
      <c r="M438" s="17" t="n"/>
    </row>
    <row r="439">
      <c r="A439" s="14">
        <f>IFERROR(IF(INDEX(ERP資料!$B:$B, (MATCH(438, 輔助計算!$E$2:$E$801, 0)+1))="","",INDEX(ERP資料!$B:$B, (MATCH(438, 輔助計算!$E$2:$E$801, 0)+1))), "")</f>
        <v/>
      </c>
      <c r="B439" s="10">
        <f>IFERROR(IF(INDEX(ERP資料!$A:$A, (MATCH(438, 輔助計算!$E$2:$E$801, 0)+1))="","",INDEX(ERP資料!$A:$A, (MATCH(438, 輔助計算!$E$2:$E$801, 0)+1))), "")</f>
        <v/>
      </c>
      <c r="C439" s="10">
        <f>IFERROR(IF(INDEX(ERP資料!$S:$S, (MATCH(438, 輔助計算!$E$2:$E$801, 0)+1))="","",INDEX(ERP資料!$S:$S, (MATCH(438, 輔助計算!$E$2:$E$801, 0)+1))), "")</f>
        <v/>
      </c>
      <c r="D439" s="10">
        <f>IFERROR(IF(INDEX(ERP資料!$E:$E, (MATCH(438, 輔助計算!$E$2:$E$801, 0)+1))="","",TRIM(INDEX(ERP資料!$E:$E, (MATCH(438, 輔助計算!$E$2:$E$801, 0)+1)))), "")</f>
        <v/>
      </c>
      <c r="E439" s="10">
        <f>IFERROR(IF(INDEX(ERP資料!$F:$F, (MATCH(438, 輔助計算!$E$2:$E$801, 0)+1))="","",INDEX(ERP資料!$F:$F, (MATCH(438, 輔助計算!$E$2:$E$801, 0)+1))), "")</f>
        <v/>
      </c>
      <c r="F439" s="10">
        <f>IFERROR(IF(INDEX(ERP資料!$G:$G, (MATCH(438, 輔助計算!$E$2:$E$801, 0)+1))="","",INDEX(ERP資料!$G:$G, (MATCH(438, 輔助計算!$E$2:$E$801, 0)+1))), "")</f>
        <v/>
      </c>
      <c r="G439" s="10">
        <f>IFERROR(IF(INDEX(ERP資料!$H:$H, (MATCH(438, 輔助計算!$E$2:$E$801, 0)+1))="","",INDEX(ERP資料!$H:$H, (MATCH(438, 輔助計算!$E$2:$E$801, 0)+1))), "")</f>
        <v/>
      </c>
      <c r="H439" s="15">
        <f>IFERROR(INDEX(輔助計算!$D:$D, (MATCH(438, 輔助計算!$E$2:$E$801, 0)+1)), "")</f>
        <v/>
      </c>
      <c r="I439" s="10">
        <f>IFERROR(IF(INDEX(ERP資料!$O:$O, (MATCH(438, 輔助計算!$E$2:$E$801, 0)+1))="","",INDEX(ERP資料!$O:$O, (MATCH(438, 輔助計算!$E$2:$E$801, 0)+1))), "")</f>
        <v/>
      </c>
      <c r="J439" s="15">
        <f>IFERROR(IF(INDEX(輔助計算!$D:$D,(MATCH(438, 輔助計算!$E$2:$E$801, 0)+1))="","",INDEX(輔助計算!$D:$D,(MATCH(438, 輔助計算!$E$2:$E$801, 0)+1))*INDEX(ERP資料!$O:$O,(MATCH(438, 輔助計算!$E$2:$E$801, 0)+1))), "")</f>
        <v/>
      </c>
      <c r="K439" s="16" t="n"/>
      <c r="L439" s="16" t="n"/>
      <c r="M439" s="17" t="n"/>
    </row>
    <row r="440">
      <c r="A440" s="14">
        <f>IFERROR(IF(INDEX(ERP資料!$B:$B, (MATCH(439, 輔助計算!$E$2:$E$801, 0)+1))="","",INDEX(ERP資料!$B:$B, (MATCH(439, 輔助計算!$E$2:$E$801, 0)+1))), "")</f>
        <v/>
      </c>
      <c r="B440" s="10">
        <f>IFERROR(IF(INDEX(ERP資料!$A:$A, (MATCH(439, 輔助計算!$E$2:$E$801, 0)+1))="","",INDEX(ERP資料!$A:$A, (MATCH(439, 輔助計算!$E$2:$E$801, 0)+1))), "")</f>
        <v/>
      </c>
      <c r="C440" s="10">
        <f>IFERROR(IF(INDEX(ERP資料!$S:$S, (MATCH(439, 輔助計算!$E$2:$E$801, 0)+1))="","",INDEX(ERP資料!$S:$S, (MATCH(439, 輔助計算!$E$2:$E$801, 0)+1))), "")</f>
        <v/>
      </c>
      <c r="D440" s="10">
        <f>IFERROR(IF(INDEX(ERP資料!$E:$E, (MATCH(439, 輔助計算!$E$2:$E$801, 0)+1))="","",TRIM(INDEX(ERP資料!$E:$E, (MATCH(439, 輔助計算!$E$2:$E$801, 0)+1)))), "")</f>
        <v/>
      </c>
      <c r="E440" s="10">
        <f>IFERROR(IF(INDEX(ERP資料!$F:$F, (MATCH(439, 輔助計算!$E$2:$E$801, 0)+1))="","",INDEX(ERP資料!$F:$F, (MATCH(439, 輔助計算!$E$2:$E$801, 0)+1))), "")</f>
        <v/>
      </c>
      <c r="F440" s="10">
        <f>IFERROR(IF(INDEX(ERP資料!$G:$G, (MATCH(439, 輔助計算!$E$2:$E$801, 0)+1))="","",INDEX(ERP資料!$G:$G, (MATCH(439, 輔助計算!$E$2:$E$801, 0)+1))), "")</f>
        <v/>
      </c>
      <c r="G440" s="10">
        <f>IFERROR(IF(INDEX(ERP資料!$H:$H, (MATCH(439, 輔助計算!$E$2:$E$801, 0)+1))="","",INDEX(ERP資料!$H:$H, (MATCH(439, 輔助計算!$E$2:$E$801, 0)+1))), "")</f>
        <v/>
      </c>
      <c r="H440" s="15">
        <f>IFERROR(INDEX(輔助計算!$D:$D, (MATCH(439, 輔助計算!$E$2:$E$801, 0)+1)), "")</f>
        <v/>
      </c>
      <c r="I440" s="10">
        <f>IFERROR(IF(INDEX(ERP資料!$O:$O, (MATCH(439, 輔助計算!$E$2:$E$801, 0)+1))="","",INDEX(ERP資料!$O:$O, (MATCH(439, 輔助計算!$E$2:$E$801, 0)+1))), "")</f>
        <v/>
      </c>
      <c r="J440" s="15">
        <f>IFERROR(IF(INDEX(輔助計算!$D:$D,(MATCH(439, 輔助計算!$E$2:$E$801, 0)+1))="","",INDEX(輔助計算!$D:$D,(MATCH(439, 輔助計算!$E$2:$E$801, 0)+1))*INDEX(ERP資料!$O:$O,(MATCH(439, 輔助計算!$E$2:$E$801, 0)+1))), "")</f>
        <v/>
      </c>
      <c r="K440" s="16" t="n"/>
      <c r="L440" s="16" t="n"/>
      <c r="M440" s="17" t="n"/>
    </row>
    <row r="441">
      <c r="A441" s="14">
        <f>IFERROR(IF(INDEX(ERP資料!$B:$B, (MATCH(440, 輔助計算!$E$2:$E$801, 0)+1))="","",INDEX(ERP資料!$B:$B, (MATCH(440, 輔助計算!$E$2:$E$801, 0)+1))), "")</f>
        <v/>
      </c>
      <c r="B441" s="10">
        <f>IFERROR(IF(INDEX(ERP資料!$A:$A, (MATCH(440, 輔助計算!$E$2:$E$801, 0)+1))="","",INDEX(ERP資料!$A:$A, (MATCH(440, 輔助計算!$E$2:$E$801, 0)+1))), "")</f>
        <v/>
      </c>
      <c r="C441" s="10">
        <f>IFERROR(IF(INDEX(ERP資料!$S:$S, (MATCH(440, 輔助計算!$E$2:$E$801, 0)+1))="","",INDEX(ERP資料!$S:$S, (MATCH(440, 輔助計算!$E$2:$E$801, 0)+1))), "")</f>
        <v/>
      </c>
      <c r="D441" s="10">
        <f>IFERROR(IF(INDEX(ERP資料!$E:$E, (MATCH(440, 輔助計算!$E$2:$E$801, 0)+1))="","",TRIM(INDEX(ERP資料!$E:$E, (MATCH(440, 輔助計算!$E$2:$E$801, 0)+1)))), "")</f>
        <v/>
      </c>
      <c r="E441" s="10">
        <f>IFERROR(IF(INDEX(ERP資料!$F:$F, (MATCH(440, 輔助計算!$E$2:$E$801, 0)+1))="","",INDEX(ERP資料!$F:$F, (MATCH(440, 輔助計算!$E$2:$E$801, 0)+1))), "")</f>
        <v/>
      </c>
      <c r="F441" s="10">
        <f>IFERROR(IF(INDEX(ERP資料!$G:$G, (MATCH(440, 輔助計算!$E$2:$E$801, 0)+1))="","",INDEX(ERP資料!$G:$G, (MATCH(440, 輔助計算!$E$2:$E$801, 0)+1))), "")</f>
        <v/>
      </c>
      <c r="G441" s="10">
        <f>IFERROR(IF(INDEX(ERP資料!$H:$H, (MATCH(440, 輔助計算!$E$2:$E$801, 0)+1))="","",INDEX(ERP資料!$H:$H, (MATCH(440, 輔助計算!$E$2:$E$801, 0)+1))), "")</f>
        <v/>
      </c>
      <c r="H441" s="15">
        <f>IFERROR(INDEX(輔助計算!$D:$D, (MATCH(440, 輔助計算!$E$2:$E$801, 0)+1)), "")</f>
        <v/>
      </c>
      <c r="I441" s="10">
        <f>IFERROR(IF(INDEX(ERP資料!$O:$O, (MATCH(440, 輔助計算!$E$2:$E$801, 0)+1))="","",INDEX(ERP資料!$O:$O, (MATCH(440, 輔助計算!$E$2:$E$801, 0)+1))), "")</f>
        <v/>
      </c>
      <c r="J441" s="15">
        <f>IFERROR(IF(INDEX(輔助計算!$D:$D,(MATCH(440, 輔助計算!$E$2:$E$801, 0)+1))="","",INDEX(輔助計算!$D:$D,(MATCH(440, 輔助計算!$E$2:$E$801, 0)+1))*INDEX(ERP資料!$O:$O,(MATCH(440, 輔助計算!$E$2:$E$801, 0)+1))), "")</f>
        <v/>
      </c>
      <c r="K441" s="16" t="n"/>
      <c r="L441" s="16" t="n"/>
      <c r="M441" s="17" t="n"/>
    </row>
    <row r="442">
      <c r="A442" s="14">
        <f>IFERROR(IF(INDEX(ERP資料!$B:$B, (MATCH(441, 輔助計算!$E$2:$E$801, 0)+1))="","",INDEX(ERP資料!$B:$B, (MATCH(441, 輔助計算!$E$2:$E$801, 0)+1))), "")</f>
        <v/>
      </c>
      <c r="B442" s="10">
        <f>IFERROR(IF(INDEX(ERP資料!$A:$A, (MATCH(441, 輔助計算!$E$2:$E$801, 0)+1))="","",INDEX(ERP資料!$A:$A, (MATCH(441, 輔助計算!$E$2:$E$801, 0)+1))), "")</f>
        <v/>
      </c>
      <c r="C442" s="10">
        <f>IFERROR(IF(INDEX(ERP資料!$S:$S, (MATCH(441, 輔助計算!$E$2:$E$801, 0)+1))="","",INDEX(ERP資料!$S:$S, (MATCH(441, 輔助計算!$E$2:$E$801, 0)+1))), "")</f>
        <v/>
      </c>
      <c r="D442" s="10">
        <f>IFERROR(IF(INDEX(ERP資料!$E:$E, (MATCH(441, 輔助計算!$E$2:$E$801, 0)+1))="","",TRIM(INDEX(ERP資料!$E:$E, (MATCH(441, 輔助計算!$E$2:$E$801, 0)+1)))), "")</f>
        <v/>
      </c>
      <c r="E442" s="10">
        <f>IFERROR(IF(INDEX(ERP資料!$F:$F, (MATCH(441, 輔助計算!$E$2:$E$801, 0)+1))="","",INDEX(ERP資料!$F:$F, (MATCH(441, 輔助計算!$E$2:$E$801, 0)+1))), "")</f>
        <v/>
      </c>
      <c r="F442" s="10">
        <f>IFERROR(IF(INDEX(ERP資料!$G:$G, (MATCH(441, 輔助計算!$E$2:$E$801, 0)+1))="","",INDEX(ERP資料!$G:$G, (MATCH(441, 輔助計算!$E$2:$E$801, 0)+1))), "")</f>
        <v/>
      </c>
      <c r="G442" s="10">
        <f>IFERROR(IF(INDEX(ERP資料!$H:$H, (MATCH(441, 輔助計算!$E$2:$E$801, 0)+1))="","",INDEX(ERP資料!$H:$H, (MATCH(441, 輔助計算!$E$2:$E$801, 0)+1))), "")</f>
        <v/>
      </c>
      <c r="H442" s="15">
        <f>IFERROR(INDEX(輔助計算!$D:$D, (MATCH(441, 輔助計算!$E$2:$E$801, 0)+1)), "")</f>
        <v/>
      </c>
      <c r="I442" s="10">
        <f>IFERROR(IF(INDEX(ERP資料!$O:$O, (MATCH(441, 輔助計算!$E$2:$E$801, 0)+1))="","",INDEX(ERP資料!$O:$O, (MATCH(441, 輔助計算!$E$2:$E$801, 0)+1))), "")</f>
        <v/>
      </c>
      <c r="J442" s="15">
        <f>IFERROR(IF(INDEX(輔助計算!$D:$D,(MATCH(441, 輔助計算!$E$2:$E$801, 0)+1))="","",INDEX(輔助計算!$D:$D,(MATCH(441, 輔助計算!$E$2:$E$801, 0)+1))*INDEX(ERP資料!$O:$O,(MATCH(441, 輔助計算!$E$2:$E$801, 0)+1))), "")</f>
        <v/>
      </c>
      <c r="K442" s="16" t="n"/>
      <c r="L442" s="16" t="n"/>
      <c r="M442" s="17" t="n"/>
    </row>
    <row r="443">
      <c r="A443" s="14">
        <f>IFERROR(IF(INDEX(ERP資料!$B:$B, (MATCH(442, 輔助計算!$E$2:$E$801, 0)+1))="","",INDEX(ERP資料!$B:$B, (MATCH(442, 輔助計算!$E$2:$E$801, 0)+1))), "")</f>
        <v/>
      </c>
      <c r="B443" s="10">
        <f>IFERROR(IF(INDEX(ERP資料!$A:$A, (MATCH(442, 輔助計算!$E$2:$E$801, 0)+1))="","",INDEX(ERP資料!$A:$A, (MATCH(442, 輔助計算!$E$2:$E$801, 0)+1))), "")</f>
        <v/>
      </c>
      <c r="C443" s="10">
        <f>IFERROR(IF(INDEX(ERP資料!$S:$S, (MATCH(442, 輔助計算!$E$2:$E$801, 0)+1))="","",INDEX(ERP資料!$S:$S, (MATCH(442, 輔助計算!$E$2:$E$801, 0)+1))), "")</f>
        <v/>
      </c>
      <c r="D443" s="10">
        <f>IFERROR(IF(INDEX(ERP資料!$E:$E, (MATCH(442, 輔助計算!$E$2:$E$801, 0)+1))="","",TRIM(INDEX(ERP資料!$E:$E, (MATCH(442, 輔助計算!$E$2:$E$801, 0)+1)))), "")</f>
        <v/>
      </c>
      <c r="E443" s="10">
        <f>IFERROR(IF(INDEX(ERP資料!$F:$F, (MATCH(442, 輔助計算!$E$2:$E$801, 0)+1))="","",INDEX(ERP資料!$F:$F, (MATCH(442, 輔助計算!$E$2:$E$801, 0)+1))), "")</f>
        <v/>
      </c>
      <c r="F443" s="10">
        <f>IFERROR(IF(INDEX(ERP資料!$G:$G, (MATCH(442, 輔助計算!$E$2:$E$801, 0)+1))="","",INDEX(ERP資料!$G:$G, (MATCH(442, 輔助計算!$E$2:$E$801, 0)+1))), "")</f>
        <v/>
      </c>
      <c r="G443" s="10">
        <f>IFERROR(IF(INDEX(ERP資料!$H:$H, (MATCH(442, 輔助計算!$E$2:$E$801, 0)+1))="","",INDEX(ERP資料!$H:$H, (MATCH(442, 輔助計算!$E$2:$E$801, 0)+1))), "")</f>
        <v/>
      </c>
      <c r="H443" s="15">
        <f>IFERROR(INDEX(輔助計算!$D:$D, (MATCH(442, 輔助計算!$E$2:$E$801, 0)+1)), "")</f>
        <v/>
      </c>
      <c r="I443" s="10">
        <f>IFERROR(IF(INDEX(ERP資料!$O:$O, (MATCH(442, 輔助計算!$E$2:$E$801, 0)+1))="","",INDEX(ERP資料!$O:$O, (MATCH(442, 輔助計算!$E$2:$E$801, 0)+1))), "")</f>
        <v/>
      </c>
      <c r="J443" s="15">
        <f>IFERROR(IF(INDEX(輔助計算!$D:$D,(MATCH(442, 輔助計算!$E$2:$E$801, 0)+1))="","",INDEX(輔助計算!$D:$D,(MATCH(442, 輔助計算!$E$2:$E$801, 0)+1))*INDEX(ERP資料!$O:$O,(MATCH(442, 輔助計算!$E$2:$E$801, 0)+1))), "")</f>
        <v/>
      </c>
      <c r="K443" s="16" t="n"/>
      <c r="L443" s="16" t="n"/>
      <c r="M443" s="17" t="n"/>
    </row>
    <row r="444">
      <c r="A444" s="14">
        <f>IFERROR(IF(INDEX(ERP資料!$B:$B, (MATCH(443, 輔助計算!$E$2:$E$801, 0)+1))="","",INDEX(ERP資料!$B:$B, (MATCH(443, 輔助計算!$E$2:$E$801, 0)+1))), "")</f>
        <v/>
      </c>
      <c r="B444" s="10">
        <f>IFERROR(IF(INDEX(ERP資料!$A:$A, (MATCH(443, 輔助計算!$E$2:$E$801, 0)+1))="","",INDEX(ERP資料!$A:$A, (MATCH(443, 輔助計算!$E$2:$E$801, 0)+1))), "")</f>
        <v/>
      </c>
      <c r="C444" s="10">
        <f>IFERROR(IF(INDEX(ERP資料!$S:$S, (MATCH(443, 輔助計算!$E$2:$E$801, 0)+1))="","",INDEX(ERP資料!$S:$S, (MATCH(443, 輔助計算!$E$2:$E$801, 0)+1))), "")</f>
        <v/>
      </c>
      <c r="D444" s="10">
        <f>IFERROR(IF(INDEX(ERP資料!$E:$E, (MATCH(443, 輔助計算!$E$2:$E$801, 0)+1))="","",TRIM(INDEX(ERP資料!$E:$E, (MATCH(443, 輔助計算!$E$2:$E$801, 0)+1)))), "")</f>
        <v/>
      </c>
      <c r="E444" s="10">
        <f>IFERROR(IF(INDEX(ERP資料!$F:$F, (MATCH(443, 輔助計算!$E$2:$E$801, 0)+1))="","",INDEX(ERP資料!$F:$F, (MATCH(443, 輔助計算!$E$2:$E$801, 0)+1))), "")</f>
        <v/>
      </c>
      <c r="F444" s="10">
        <f>IFERROR(IF(INDEX(ERP資料!$G:$G, (MATCH(443, 輔助計算!$E$2:$E$801, 0)+1))="","",INDEX(ERP資料!$G:$G, (MATCH(443, 輔助計算!$E$2:$E$801, 0)+1))), "")</f>
        <v/>
      </c>
      <c r="G444" s="10">
        <f>IFERROR(IF(INDEX(ERP資料!$H:$H, (MATCH(443, 輔助計算!$E$2:$E$801, 0)+1))="","",INDEX(ERP資料!$H:$H, (MATCH(443, 輔助計算!$E$2:$E$801, 0)+1))), "")</f>
        <v/>
      </c>
      <c r="H444" s="15">
        <f>IFERROR(INDEX(輔助計算!$D:$D, (MATCH(443, 輔助計算!$E$2:$E$801, 0)+1)), "")</f>
        <v/>
      </c>
      <c r="I444" s="10">
        <f>IFERROR(IF(INDEX(ERP資料!$O:$O, (MATCH(443, 輔助計算!$E$2:$E$801, 0)+1))="","",INDEX(ERP資料!$O:$O, (MATCH(443, 輔助計算!$E$2:$E$801, 0)+1))), "")</f>
        <v/>
      </c>
      <c r="J444" s="15">
        <f>IFERROR(IF(INDEX(輔助計算!$D:$D,(MATCH(443, 輔助計算!$E$2:$E$801, 0)+1))="","",INDEX(輔助計算!$D:$D,(MATCH(443, 輔助計算!$E$2:$E$801, 0)+1))*INDEX(ERP資料!$O:$O,(MATCH(443, 輔助計算!$E$2:$E$801, 0)+1))), "")</f>
        <v/>
      </c>
      <c r="K444" s="16" t="n"/>
      <c r="L444" s="16" t="n"/>
      <c r="M444" s="17" t="n"/>
    </row>
    <row r="445">
      <c r="A445" s="14">
        <f>IFERROR(IF(INDEX(ERP資料!$B:$B, (MATCH(444, 輔助計算!$E$2:$E$801, 0)+1))="","",INDEX(ERP資料!$B:$B, (MATCH(444, 輔助計算!$E$2:$E$801, 0)+1))), "")</f>
        <v/>
      </c>
      <c r="B445" s="10">
        <f>IFERROR(IF(INDEX(ERP資料!$A:$A, (MATCH(444, 輔助計算!$E$2:$E$801, 0)+1))="","",INDEX(ERP資料!$A:$A, (MATCH(444, 輔助計算!$E$2:$E$801, 0)+1))), "")</f>
        <v/>
      </c>
      <c r="C445" s="10">
        <f>IFERROR(IF(INDEX(ERP資料!$S:$S, (MATCH(444, 輔助計算!$E$2:$E$801, 0)+1))="","",INDEX(ERP資料!$S:$S, (MATCH(444, 輔助計算!$E$2:$E$801, 0)+1))), "")</f>
        <v/>
      </c>
      <c r="D445" s="10">
        <f>IFERROR(IF(INDEX(ERP資料!$E:$E, (MATCH(444, 輔助計算!$E$2:$E$801, 0)+1))="","",TRIM(INDEX(ERP資料!$E:$E, (MATCH(444, 輔助計算!$E$2:$E$801, 0)+1)))), "")</f>
        <v/>
      </c>
      <c r="E445" s="10">
        <f>IFERROR(IF(INDEX(ERP資料!$F:$F, (MATCH(444, 輔助計算!$E$2:$E$801, 0)+1))="","",INDEX(ERP資料!$F:$F, (MATCH(444, 輔助計算!$E$2:$E$801, 0)+1))), "")</f>
        <v/>
      </c>
      <c r="F445" s="10">
        <f>IFERROR(IF(INDEX(ERP資料!$G:$G, (MATCH(444, 輔助計算!$E$2:$E$801, 0)+1))="","",INDEX(ERP資料!$G:$G, (MATCH(444, 輔助計算!$E$2:$E$801, 0)+1))), "")</f>
        <v/>
      </c>
      <c r="G445" s="10">
        <f>IFERROR(IF(INDEX(ERP資料!$H:$H, (MATCH(444, 輔助計算!$E$2:$E$801, 0)+1))="","",INDEX(ERP資料!$H:$H, (MATCH(444, 輔助計算!$E$2:$E$801, 0)+1))), "")</f>
        <v/>
      </c>
      <c r="H445" s="15">
        <f>IFERROR(INDEX(輔助計算!$D:$D, (MATCH(444, 輔助計算!$E$2:$E$801, 0)+1)), "")</f>
        <v/>
      </c>
      <c r="I445" s="10">
        <f>IFERROR(IF(INDEX(ERP資料!$O:$O, (MATCH(444, 輔助計算!$E$2:$E$801, 0)+1))="","",INDEX(ERP資料!$O:$O, (MATCH(444, 輔助計算!$E$2:$E$801, 0)+1))), "")</f>
        <v/>
      </c>
      <c r="J445" s="15">
        <f>IFERROR(IF(INDEX(輔助計算!$D:$D,(MATCH(444, 輔助計算!$E$2:$E$801, 0)+1))="","",INDEX(輔助計算!$D:$D,(MATCH(444, 輔助計算!$E$2:$E$801, 0)+1))*INDEX(ERP資料!$O:$O,(MATCH(444, 輔助計算!$E$2:$E$801, 0)+1))), "")</f>
        <v/>
      </c>
      <c r="K445" s="16" t="n"/>
      <c r="L445" s="16" t="n"/>
      <c r="M445" s="17" t="n"/>
    </row>
    <row r="446">
      <c r="A446" s="14">
        <f>IFERROR(IF(INDEX(ERP資料!$B:$B, (MATCH(445, 輔助計算!$E$2:$E$801, 0)+1))="","",INDEX(ERP資料!$B:$B, (MATCH(445, 輔助計算!$E$2:$E$801, 0)+1))), "")</f>
        <v/>
      </c>
      <c r="B446" s="10">
        <f>IFERROR(IF(INDEX(ERP資料!$A:$A, (MATCH(445, 輔助計算!$E$2:$E$801, 0)+1))="","",INDEX(ERP資料!$A:$A, (MATCH(445, 輔助計算!$E$2:$E$801, 0)+1))), "")</f>
        <v/>
      </c>
      <c r="C446" s="10">
        <f>IFERROR(IF(INDEX(ERP資料!$S:$S, (MATCH(445, 輔助計算!$E$2:$E$801, 0)+1))="","",INDEX(ERP資料!$S:$S, (MATCH(445, 輔助計算!$E$2:$E$801, 0)+1))), "")</f>
        <v/>
      </c>
      <c r="D446" s="10">
        <f>IFERROR(IF(INDEX(ERP資料!$E:$E, (MATCH(445, 輔助計算!$E$2:$E$801, 0)+1))="","",TRIM(INDEX(ERP資料!$E:$E, (MATCH(445, 輔助計算!$E$2:$E$801, 0)+1)))), "")</f>
        <v/>
      </c>
      <c r="E446" s="10">
        <f>IFERROR(IF(INDEX(ERP資料!$F:$F, (MATCH(445, 輔助計算!$E$2:$E$801, 0)+1))="","",INDEX(ERP資料!$F:$F, (MATCH(445, 輔助計算!$E$2:$E$801, 0)+1))), "")</f>
        <v/>
      </c>
      <c r="F446" s="10">
        <f>IFERROR(IF(INDEX(ERP資料!$G:$G, (MATCH(445, 輔助計算!$E$2:$E$801, 0)+1))="","",INDEX(ERP資料!$G:$G, (MATCH(445, 輔助計算!$E$2:$E$801, 0)+1))), "")</f>
        <v/>
      </c>
      <c r="G446" s="10">
        <f>IFERROR(IF(INDEX(ERP資料!$H:$H, (MATCH(445, 輔助計算!$E$2:$E$801, 0)+1))="","",INDEX(ERP資料!$H:$H, (MATCH(445, 輔助計算!$E$2:$E$801, 0)+1))), "")</f>
        <v/>
      </c>
      <c r="H446" s="15">
        <f>IFERROR(INDEX(輔助計算!$D:$D, (MATCH(445, 輔助計算!$E$2:$E$801, 0)+1)), "")</f>
        <v/>
      </c>
      <c r="I446" s="10">
        <f>IFERROR(IF(INDEX(ERP資料!$O:$O, (MATCH(445, 輔助計算!$E$2:$E$801, 0)+1))="","",INDEX(ERP資料!$O:$O, (MATCH(445, 輔助計算!$E$2:$E$801, 0)+1))), "")</f>
        <v/>
      </c>
      <c r="J446" s="15">
        <f>IFERROR(IF(INDEX(輔助計算!$D:$D,(MATCH(445, 輔助計算!$E$2:$E$801, 0)+1))="","",INDEX(輔助計算!$D:$D,(MATCH(445, 輔助計算!$E$2:$E$801, 0)+1))*INDEX(ERP資料!$O:$O,(MATCH(445, 輔助計算!$E$2:$E$801, 0)+1))), "")</f>
        <v/>
      </c>
      <c r="K446" s="16" t="n"/>
      <c r="L446" s="16" t="n"/>
      <c r="M446" s="17" t="n"/>
    </row>
    <row r="447">
      <c r="A447" s="14">
        <f>IFERROR(IF(INDEX(ERP資料!$B:$B, (MATCH(446, 輔助計算!$E$2:$E$801, 0)+1))="","",INDEX(ERP資料!$B:$B, (MATCH(446, 輔助計算!$E$2:$E$801, 0)+1))), "")</f>
        <v/>
      </c>
      <c r="B447" s="10">
        <f>IFERROR(IF(INDEX(ERP資料!$A:$A, (MATCH(446, 輔助計算!$E$2:$E$801, 0)+1))="","",INDEX(ERP資料!$A:$A, (MATCH(446, 輔助計算!$E$2:$E$801, 0)+1))), "")</f>
        <v/>
      </c>
      <c r="C447" s="10">
        <f>IFERROR(IF(INDEX(ERP資料!$S:$S, (MATCH(446, 輔助計算!$E$2:$E$801, 0)+1))="","",INDEX(ERP資料!$S:$S, (MATCH(446, 輔助計算!$E$2:$E$801, 0)+1))), "")</f>
        <v/>
      </c>
      <c r="D447" s="10">
        <f>IFERROR(IF(INDEX(ERP資料!$E:$E, (MATCH(446, 輔助計算!$E$2:$E$801, 0)+1))="","",TRIM(INDEX(ERP資料!$E:$E, (MATCH(446, 輔助計算!$E$2:$E$801, 0)+1)))), "")</f>
        <v/>
      </c>
      <c r="E447" s="10">
        <f>IFERROR(IF(INDEX(ERP資料!$F:$F, (MATCH(446, 輔助計算!$E$2:$E$801, 0)+1))="","",INDEX(ERP資料!$F:$F, (MATCH(446, 輔助計算!$E$2:$E$801, 0)+1))), "")</f>
        <v/>
      </c>
      <c r="F447" s="10">
        <f>IFERROR(IF(INDEX(ERP資料!$G:$G, (MATCH(446, 輔助計算!$E$2:$E$801, 0)+1))="","",INDEX(ERP資料!$G:$G, (MATCH(446, 輔助計算!$E$2:$E$801, 0)+1))), "")</f>
        <v/>
      </c>
      <c r="G447" s="10">
        <f>IFERROR(IF(INDEX(ERP資料!$H:$H, (MATCH(446, 輔助計算!$E$2:$E$801, 0)+1))="","",INDEX(ERP資料!$H:$H, (MATCH(446, 輔助計算!$E$2:$E$801, 0)+1))), "")</f>
        <v/>
      </c>
      <c r="H447" s="15">
        <f>IFERROR(INDEX(輔助計算!$D:$D, (MATCH(446, 輔助計算!$E$2:$E$801, 0)+1)), "")</f>
        <v/>
      </c>
      <c r="I447" s="10">
        <f>IFERROR(IF(INDEX(ERP資料!$O:$O, (MATCH(446, 輔助計算!$E$2:$E$801, 0)+1))="","",INDEX(ERP資料!$O:$O, (MATCH(446, 輔助計算!$E$2:$E$801, 0)+1))), "")</f>
        <v/>
      </c>
      <c r="J447" s="15">
        <f>IFERROR(IF(INDEX(輔助計算!$D:$D,(MATCH(446, 輔助計算!$E$2:$E$801, 0)+1))="","",INDEX(輔助計算!$D:$D,(MATCH(446, 輔助計算!$E$2:$E$801, 0)+1))*INDEX(ERP資料!$O:$O,(MATCH(446, 輔助計算!$E$2:$E$801, 0)+1))), "")</f>
        <v/>
      </c>
      <c r="K447" s="16" t="n"/>
      <c r="L447" s="16" t="n"/>
      <c r="M447" s="17" t="n"/>
    </row>
    <row r="448">
      <c r="A448" s="14">
        <f>IFERROR(IF(INDEX(ERP資料!$B:$B, (MATCH(447, 輔助計算!$E$2:$E$801, 0)+1))="","",INDEX(ERP資料!$B:$B, (MATCH(447, 輔助計算!$E$2:$E$801, 0)+1))), "")</f>
        <v/>
      </c>
      <c r="B448" s="10">
        <f>IFERROR(IF(INDEX(ERP資料!$A:$A, (MATCH(447, 輔助計算!$E$2:$E$801, 0)+1))="","",INDEX(ERP資料!$A:$A, (MATCH(447, 輔助計算!$E$2:$E$801, 0)+1))), "")</f>
        <v/>
      </c>
      <c r="C448" s="10">
        <f>IFERROR(IF(INDEX(ERP資料!$S:$S, (MATCH(447, 輔助計算!$E$2:$E$801, 0)+1))="","",INDEX(ERP資料!$S:$S, (MATCH(447, 輔助計算!$E$2:$E$801, 0)+1))), "")</f>
        <v/>
      </c>
      <c r="D448" s="10">
        <f>IFERROR(IF(INDEX(ERP資料!$E:$E, (MATCH(447, 輔助計算!$E$2:$E$801, 0)+1))="","",TRIM(INDEX(ERP資料!$E:$E, (MATCH(447, 輔助計算!$E$2:$E$801, 0)+1)))), "")</f>
        <v/>
      </c>
      <c r="E448" s="10">
        <f>IFERROR(IF(INDEX(ERP資料!$F:$F, (MATCH(447, 輔助計算!$E$2:$E$801, 0)+1))="","",INDEX(ERP資料!$F:$F, (MATCH(447, 輔助計算!$E$2:$E$801, 0)+1))), "")</f>
        <v/>
      </c>
      <c r="F448" s="10">
        <f>IFERROR(IF(INDEX(ERP資料!$G:$G, (MATCH(447, 輔助計算!$E$2:$E$801, 0)+1))="","",INDEX(ERP資料!$G:$G, (MATCH(447, 輔助計算!$E$2:$E$801, 0)+1))), "")</f>
        <v/>
      </c>
      <c r="G448" s="10">
        <f>IFERROR(IF(INDEX(ERP資料!$H:$H, (MATCH(447, 輔助計算!$E$2:$E$801, 0)+1))="","",INDEX(ERP資料!$H:$H, (MATCH(447, 輔助計算!$E$2:$E$801, 0)+1))), "")</f>
        <v/>
      </c>
      <c r="H448" s="15">
        <f>IFERROR(INDEX(輔助計算!$D:$D, (MATCH(447, 輔助計算!$E$2:$E$801, 0)+1)), "")</f>
        <v/>
      </c>
      <c r="I448" s="10">
        <f>IFERROR(IF(INDEX(ERP資料!$O:$O, (MATCH(447, 輔助計算!$E$2:$E$801, 0)+1))="","",INDEX(ERP資料!$O:$O, (MATCH(447, 輔助計算!$E$2:$E$801, 0)+1))), "")</f>
        <v/>
      </c>
      <c r="J448" s="15">
        <f>IFERROR(IF(INDEX(輔助計算!$D:$D,(MATCH(447, 輔助計算!$E$2:$E$801, 0)+1))="","",INDEX(輔助計算!$D:$D,(MATCH(447, 輔助計算!$E$2:$E$801, 0)+1))*INDEX(ERP資料!$O:$O,(MATCH(447, 輔助計算!$E$2:$E$801, 0)+1))), "")</f>
        <v/>
      </c>
      <c r="K448" s="16" t="n"/>
      <c r="L448" s="16" t="n"/>
      <c r="M448" s="17" t="n"/>
    </row>
    <row r="449">
      <c r="A449" s="14">
        <f>IFERROR(IF(INDEX(ERP資料!$B:$B, (MATCH(448, 輔助計算!$E$2:$E$801, 0)+1))="","",INDEX(ERP資料!$B:$B, (MATCH(448, 輔助計算!$E$2:$E$801, 0)+1))), "")</f>
        <v/>
      </c>
      <c r="B449" s="10">
        <f>IFERROR(IF(INDEX(ERP資料!$A:$A, (MATCH(448, 輔助計算!$E$2:$E$801, 0)+1))="","",INDEX(ERP資料!$A:$A, (MATCH(448, 輔助計算!$E$2:$E$801, 0)+1))), "")</f>
        <v/>
      </c>
      <c r="C449" s="10">
        <f>IFERROR(IF(INDEX(ERP資料!$S:$S, (MATCH(448, 輔助計算!$E$2:$E$801, 0)+1))="","",INDEX(ERP資料!$S:$S, (MATCH(448, 輔助計算!$E$2:$E$801, 0)+1))), "")</f>
        <v/>
      </c>
      <c r="D449" s="10">
        <f>IFERROR(IF(INDEX(ERP資料!$E:$E, (MATCH(448, 輔助計算!$E$2:$E$801, 0)+1))="","",TRIM(INDEX(ERP資料!$E:$E, (MATCH(448, 輔助計算!$E$2:$E$801, 0)+1)))), "")</f>
        <v/>
      </c>
      <c r="E449" s="10">
        <f>IFERROR(IF(INDEX(ERP資料!$F:$F, (MATCH(448, 輔助計算!$E$2:$E$801, 0)+1))="","",INDEX(ERP資料!$F:$F, (MATCH(448, 輔助計算!$E$2:$E$801, 0)+1))), "")</f>
        <v/>
      </c>
      <c r="F449" s="10">
        <f>IFERROR(IF(INDEX(ERP資料!$G:$G, (MATCH(448, 輔助計算!$E$2:$E$801, 0)+1))="","",INDEX(ERP資料!$G:$G, (MATCH(448, 輔助計算!$E$2:$E$801, 0)+1))), "")</f>
        <v/>
      </c>
      <c r="G449" s="10">
        <f>IFERROR(IF(INDEX(ERP資料!$H:$H, (MATCH(448, 輔助計算!$E$2:$E$801, 0)+1))="","",INDEX(ERP資料!$H:$H, (MATCH(448, 輔助計算!$E$2:$E$801, 0)+1))), "")</f>
        <v/>
      </c>
      <c r="H449" s="15">
        <f>IFERROR(INDEX(輔助計算!$D:$D, (MATCH(448, 輔助計算!$E$2:$E$801, 0)+1)), "")</f>
        <v/>
      </c>
      <c r="I449" s="10">
        <f>IFERROR(IF(INDEX(ERP資料!$O:$O, (MATCH(448, 輔助計算!$E$2:$E$801, 0)+1))="","",INDEX(ERP資料!$O:$O, (MATCH(448, 輔助計算!$E$2:$E$801, 0)+1))), "")</f>
        <v/>
      </c>
      <c r="J449" s="15">
        <f>IFERROR(IF(INDEX(輔助計算!$D:$D,(MATCH(448, 輔助計算!$E$2:$E$801, 0)+1))="","",INDEX(輔助計算!$D:$D,(MATCH(448, 輔助計算!$E$2:$E$801, 0)+1))*INDEX(ERP資料!$O:$O,(MATCH(448, 輔助計算!$E$2:$E$801, 0)+1))), "")</f>
        <v/>
      </c>
      <c r="K449" s="16" t="n"/>
      <c r="L449" s="16" t="n"/>
      <c r="M449" s="17" t="n"/>
    </row>
    <row r="450">
      <c r="A450" s="14">
        <f>IFERROR(IF(INDEX(ERP資料!$B:$B, (MATCH(449, 輔助計算!$E$2:$E$801, 0)+1))="","",INDEX(ERP資料!$B:$B, (MATCH(449, 輔助計算!$E$2:$E$801, 0)+1))), "")</f>
        <v/>
      </c>
      <c r="B450" s="10">
        <f>IFERROR(IF(INDEX(ERP資料!$A:$A, (MATCH(449, 輔助計算!$E$2:$E$801, 0)+1))="","",INDEX(ERP資料!$A:$A, (MATCH(449, 輔助計算!$E$2:$E$801, 0)+1))), "")</f>
        <v/>
      </c>
      <c r="C450" s="10">
        <f>IFERROR(IF(INDEX(ERP資料!$S:$S, (MATCH(449, 輔助計算!$E$2:$E$801, 0)+1))="","",INDEX(ERP資料!$S:$S, (MATCH(449, 輔助計算!$E$2:$E$801, 0)+1))), "")</f>
        <v/>
      </c>
      <c r="D450" s="10">
        <f>IFERROR(IF(INDEX(ERP資料!$E:$E, (MATCH(449, 輔助計算!$E$2:$E$801, 0)+1))="","",TRIM(INDEX(ERP資料!$E:$E, (MATCH(449, 輔助計算!$E$2:$E$801, 0)+1)))), "")</f>
        <v/>
      </c>
      <c r="E450" s="10">
        <f>IFERROR(IF(INDEX(ERP資料!$F:$F, (MATCH(449, 輔助計算!$E$2:$E$801, 0)+1))="","",INDEX(ERP資料!$F:$F, (MATCH(449, 輔助計算!$E$2:$E$801, 0)+1))), "")</f>
        <v/>
      </c>
      <c r="F450" s="10">
        <f>IFERROR(IF(INDEX(ERP資料!$G:$G, (MATCH(449, 輔助計算!$E$2:$E$801, 0)+1))="","",INDEX(ERP資料!$G:$G, (MATCH(449, 輔助計算!$E$2:$E$801, 0)+1))), "")</f>
        <v/>
      </c>
      <c r="G450" s="10">
        <f>IFERROR(IF(INDEX(ERP資料!$H:$H, (MATCH(449, 輔助計算!$E$2:$E$801, 0)+1))="","",INDEX(ERP資料!$H:$H, (MATCH(449, 輔助計算!$E$2:$E$801, 0)+1))), "")</f>
        <v/>
      </c>
      <c r="H450" s="15">
        <f>IFERROR(INDEX(輔助計算!$D:$D, (MATCH(449, 輔助計算!$E$2:$E$801, 0)+1)), "")</f>
        <v/>
      </c>
      <c r="I450" s="10">
        <f>IFERROR(IF(INDEX(ERP資料!$O:$O, (MATCH(449, 輔助計算!$E$2:$E$801, 0)+1))="","",INDEX(ERP資料!$O:$O, (MATCH(449, 輔助計算!$E$2:$E$801, 0)+1))), "")</f>
        <v/>
      </c>
      <c r="J450" s="15">
        <f>IFERROR(IF(INDEX(輔助計算!$D:$D,(MATCH(449, 輔助計算!$E$2:$E$801, 0)+1))="","",INDEX(輔助計算!$D:$D,(MATCH(449, 輔助計算!$E$2:$E$801, 0)+1))*INDEX(ERP資料!$O:$O,(MATCH(449, 輔助計算!$E$2:$E$801, 0)+1))), "")</f>
        <v/>
      </c>
      <c r="K450" s="16" t="n"/>
      <c r="L450" s="16" t="n"/>
      <c r="M450" s="17" t="n"/>
    </row>
    <row r="451">
      <c r="A451" s="14">
        <f>IFERROR(IF(INDEX(ERP資料!$B:$B, (MATCH(450, 輔助計算!$E$2:$E$801, 0)+1))="","",INDEX(ERP資料!$B:$B, (MATCH(450, 輔助計算!$E$2:$E$801, 0)+1))), "")</f>
        <v/>
      </c>
      <c r="B451" s="10">
        <f>IFERROR(IF(INDEX(ERP資料!$A:$A, (MATCH(450, 輔助計算!$E$2:$E$801, 0)+1))="","",INDEX(ERP資料!$A:$A, (MATCH(450, 輔助計算!$E$2:$E$801, 0)+1))), "")</f>
        <v/>
      </c>
      <c r="C451" s="10">
        <f>IFERROR(IF(INDEX(ERP資料!$S:$S, (MATCH(450, 輔助計算!$E$2:$E$801, 0)+1))="","",INDEX(ERP資料!$S:$S, (MATCH(450, 輔助計算!$E$2:$E$801, 0)+1))), "")</f>
        <v/>
      </c>
      <c r="D451" s="10">
        <f>IFERROR(IF(INDEX(ERP資料!$E:$E, (MATCH(450, 輔助計算!$E$2:$E$801, 0)+1))="","",TRIM(INDEX(ERP資料!$E:$E, (MATCH(450, 輔助計算!$E$2:$E$801, 0)+1)))), "")</f>
        <v/>
      </c>
      <c r="E451" s="10">
        <f>IFERROR(IF(INDEX(ERP資料!$F:$F, (MATCH(450, 輔助計算!$E$2:$E$801, 0)+1))="","",INDEX(ERP資料!$F:$F, (MATCH(450, 輔助計算!$E$2:$E$801, 0)+1))), "")</f>
        <v/>
      </c>
      <c r="F451" s="10">
        <f>IFERROR(IF(INDEX(ERP資料!$G:$G, (MATCH(450, 輔助計算!$E$2:$E$801, 0)+1))="","",INDEX(ERP資料!$G:$G, (MATCH(450, 輔助計算!$E$2:$E$801, 0)+1))), "")</f>
        <v/>
      </c>
      <c r="G451" s="10">
        <f>IFERROR(IF(INDEX(ERP資料!$H:$H, (MATCH(450, 輔助計算!$E$2:$E$801, 0)+1))="","",INDEX(ERP資料!$H:$H, (MATCH(450, 輔助計算!$E$2:$E$801, 0)+1))), "")</f>
        <v/>
      </c>
      <c r="H451" s="15">
        <f>IFERROR(INDEX(輔助計算!$D:$D, (MATCH(450, 輔助計算!$E$2:$E$801, 0)+1)), "")</f>
        <v/>
      </c>
      <c r="I451" s="10">
        <f>IFERROR(IF(INDEX(ERP資料!$O:$O, (MATCH(450, 輔助計算!$E$2:$E$801, 0)+1))="","",INDEX(ERP資料!$O:$O, (MATCH(450, 輔助計算!$E$2:$E$801, 0)+1))), "")</f>
        <v/>
      </c>
      <c r="J451" s="15">
        <f>IFERROR(IF(INDEX(輔助計算!$D:$D,(MATCH(450, 輔助計算!$E$2:$E$801, 0)+1))="","",INDEX(輔助計算!$D:$D,(MATCH(450, 輔助計算!$E$2:$E$801, 0)+1))*INDEX(ERP資料!$O:$O,(MATCH(450, 輔助計算!$E$2:$E$801, 0)+1))), "")</f>
        <v/>
      </c>
      <c r="K451" s="16" t="n"/>
      <c r="L451" s="16" t="n"/>
      <c r="M451" s="17" t="n"/>
    </row>
    <row r="452">
      <c r="A452" s="14">
        <f>IFERROR(IF(INDEX(ERP資料!$B:$B, (MATCH(451, 輔助計算!$E$2:$E$801, 0)+1))="","",INDEX(ERP資料!$B:$B, (MATCH(451, 輔助計算!$E$2:$E$801, 0)+1))), "")</f>
        <v/>
      </c>
      <c r="B452" s="10">
        <f>IFERROR(IF(INDEX(ERP資料!$A:$A, (MATCH(451, 輔助計算!$E$2:$E$801, 0)+1))="","",INDEX(ERP資料!$A:$A, (MATCH(451, 輔助計算!$E$2:$E$801, 0)+1))), "")</f>
        <v/>
      </c>
      <c r="C452" s="10">
        <f>IFERROR(IF(INDEX(ERP資料!$S:$S, (MATCH(451, 輔助計算!$E$2:$E$801, 0)+1))="","",INDEX(ERP資料!$S:$S, (MATCH(451, 輔助計算!$E$2:$E$801, 0)+1))), "")</f>
        <v/>
      </c>
      <c r="D452" s="10">
        <f>IFERROR(IF(INDEX(ERP資料!$E:$E, (MATCH(451, 輔助計算!$E$2:$E$801, 0)+1))="","",TRIM(INDEX(ERP資料!$E:$E, (MATCH(451, 輔助計算!$E$2:$E$801, 0)+1)))), "")</f>
        <v/>
      </c>
      <c r="E452" s="10">
        <f>IFERROR(IF(INDEX(ERP資料!$F:$F, (MATCH(451, 輔助計算!$E$2:$E$801, 0)+1))="","",INDEX(ERP資料!$F:$F, (MATCH(451, 輔助計算!$E$2:$E$801, 0)+1))), "")</f>
        <v/>
      </c>
      <c r="F452" s="10">
        <f>IFERROR(IF(INDEX(ERP資料!$G:$G, (MATCH(451, 輔助計算!$E$2:$E$801, 0)+1))="","",INDEX(ERP資料!$G:$G, (MATCH(451, 輔助計算!$E$2:$E$801, 0)+1))), "")</f>
        <v/>
      </c>
      <c r="G452" s="10">
        <f>IFERROR(IF(INDEX(ERP資料!$H:$H, (MATCH(451, 輔助計算!$E$2:$E$801, 0)+1))="","",INDEX(ERP資料!$H:$H, (MATCH(451, 輔助計算!$E$2:$E$801, 0)+1))), "")</f>
        <v/>
      </c>
      <c r="H452" s="15">
        <f>IFERROR(INDEX(輔助計算!$D:$D, (MATCH(451, 輔助計算!$E$2:$E$801, 0)+1)), "")</f>
        <v/>
      </c>
      <c r="I452" s="10">
        <f>IFERROR(IF(INDEX(ERP資料!$O:$O, (MATCH(451, 輔助計算!$E$2:$E$801, 0)+1))="","",INDEX(ERP資料!$O:$O, (MATCH(451, 輔助計算!$E$2:$E$801, 0)+1))), "")</f>
        <v/>
      </c>
      <c r="J452" s="15">
        <f>IFERROR(IF(INDEX(輔助計算!$D:$D,(MATCH(451, 輔助計算!$E$2:$E$801, 0)+1))="","",INDEX(輔助計算!$D:$D,(MATCH(451, 輔助計算!$E$2:$E$801, 0)+1))*INDEX(ERP資料!$O:$O,(MATCH(451, 輔助計算!$E$2:$E$801, 0)+1))), "")</f>
        <v/>
      </c>
      <c r="K452" s="16" t="n"/>
      <c r="L452" s="16" t="n"/>
      <c r="M452" s="17" t="n"/>
    </row>
    <row r="453">
      <c r="A453" s="14">
        <f>IFERROR(IF(INDEX(ERP資料!$B:$B, (MATCH(452, 輔助計算!$E$2:$E$801, 0)+1))="","",INDEX(ERP資料!$B:$B, (MATCH(452, 輔助計算!$E$2:$E$801, 0)+1))), "")</f>
        <v/>
      </c>
      <c r="B453" s="10">
        <f>IFERROR(IF(INDEX(ERP資料!$A:$A, (MATCH(452, 輔助計算!$E$2:$E$801, 0)+1))="","",INDEX(ERP資料!$A:$A, (MATCH(452, 輔助計算!$E$2:$E$801, 0)+1))), "")</f>
        <v/>
      </c>
      <c r="C453" s="10">
        <f>IFERROR(IF(INDEX(ERP資料!$S:$S, (MATCH(452, 輔助計算!$E$2:$E$801, 0)+1))="","",INDEX(ERP資料!$S:$S, (MATCH(452, 輔助計算!$E$2:$E$801, 0)+1))), "")</f>
        <v/>
      </c>
      <c r="D453" s="10">
        <f>IFERROR(IF(INDEX(ERP資料!$E:$E, (MATCH(452, 輔助計算!$E$2:$E$801, 0)+1))="","",TRIM(INDEX(ERP資料!$E:$E, (MATCH(452, 輔助計算!$E$2:$E$801, 0)+1)))), "")</f>
        <v/>
      </c>
      <c r="E453" s="10">
        <f>IFERROR(IF(INDEX(ERP資料!$F:$F, (MATCH(452, 輔助計算!$E$2:$E$801, 0)+1))="","",INDEX(ERP資料!$F:$F, (MATCH(452, 輔助計算!$E$2:$E$801, 0)+1))), "")</f>
        <v/>
      </c>
      <c r="F453" s="10">
        <f>IFERROR(IF(INDEX(ERP資料!$G:$G, (MATCH(452, 輔助計算!$E$2:$E$801, 0)+1))="","",INDEX(ERP資料!$G:$G, (MATCH(452, 輔助計算!$E$2:$E$801, 0)+1))), "")</f>
        <v/>
      </c>
      <c r="G453" s="10">
        <f>IFERROR(IF(INDEX(ERP資料!$H:$H, (MATCH(452, 輔助計算!$E$2:$E$801, 0)+1))="","",INDEX(ERP資料!$H:$H, (MATCH(452, 輔助計算!$E$2:$E$801, 0)+1))), "")</f>
        <v/>
      </c>
      <c r="H453" s="15">
        <f>IFERROR(INDEX(輔助計算!$D:$D, (MATCH(452, 輔助計算!$E$2:$E$801, 0)+1)), "")</f>
        <v/>
      </c>
      <c r="I453" s="10">
        <f>IFERROR(IF(INDEX(ERP資料!$O:$O, (MATCH(452, 輔助計算!$E$2:$E$801, 0)+1))="","",INDEX(ERP資料!$O:$O, (MATCH(452, 輔助計算!$E$2:$E$801, 0)+1))), "")</f>
        <v/>
      </c>
      <c r="J453" s="15">
        <f>IFERROR(IF(INDEX(輔助計算!$D:$D,(MATCH(452, 輔助計算!$E$2:$E$801, 0)+1))="","",INDEX(輔助計算!$D:$D,(MATCH(452, 輔助計算!$E$2:$E$801, 0)+1))*INDEX(ERP資料!$O:$O,(MATCH(452, 輔助計算!$E$2:$E$801, 0)+1))), "")</f>
        <v/>
      </c>
      <c r="K453" s="16" t="n"/>
      <c r="L453" s="16" t="n"/>
      <c r="M453" s="17" t="n"/>
    </row>
    <row r="454">
      <c r="A454" s="14">
        <f>IFERROR(IF(INDEX(ERP資料!$B:$B, (MATCH(453, 輔助計算!$E$2:$E$801, 0)+1))="","",INDEX(ERP資料!$B:$B, (MATCH(453, 輔助計算!$E$2:$E$801, 0)+1))), "")</f>
        <v/>
      </c>
      <c r="B454" s="10">
        <f>IFERROR(IF(INDEX(ERP資料!$A:$A, (MATCH(453, 輔助計算!$E$2:$E$801, 0)+1))="","",INDEX(ERP資料!$A:$A, (MATCH(453, 輔助計算!$E$2:$E$801, 0)+1))), "")</f>
        <v/>
      </c>
      <c r="C454" s="10">
        <f>IFERROR(IF(INDEX(ERP資料!$S:$S, (MATCH(453, 輔助計算!$E$2:$E$801, 0)+1))="","",INDEX(ERP資料!$S:$S, (MATCH(453, 輔助計算!$E$2:$E$801, 0)+1))), "")</f>
        <v/>
      </c>
      <c r="D454" s="10">
        <f>IFERROR(IF(INDEX(ERP資料!$E:$E, (MATCH(453, 輔助計算!$E$2:$E$801, 0)+1))="","",TRIM(INDEX(ERP資料!$E:$E, (MATCH(453, 輔助計算!$E$2:$E$801, 0)+1)))), "")</f>
        <v/>
      </c>
      <c r="E454" s="10">
        <f>IFERROR(IF(INDEX(ERP資料!$F:$F, (MATCH(453, 輔助計算!$E$2:$E$801, 0)+1))="","",INDEX(ERP資料!$F:$F, (MATCH(453, 輔助計算!$E$2:$E$801, 0)+1))), "")</f>
        <v/>
      </c>
      <c r="F454" s="10">
        <f>IFERROR(IF(INDEX(ERP資料!$G:$G, (MATCH(453, 輔助計算!$E$2:$E$801, 0)+1))="","",INDEX(ERP資料!$G:$G, (MATCH(453, 輔助計算!$E$2:$E$801, 0)+1))), "")</f>
        <v/>
      </c>
      <c r="G454" s="10">
        <f>IFERROR(IF(INDEX(ERP資料!$H:$H, (MATCH(453, 輔助計算!$E$2:$E$801, 0)+1))="","",INDEX(ERP資料!$H:$H, (MATCH(453, 輔助計算!$E$2:$E$801, 0)+1))), "")</f>
        <v/>
      </c>
      <c r="H454" s="15">
        <f>IFERROR(INDEX(輔助計算!$D:$D, (MATCH(453, 輔助計算!$E$2:$E$801, 0)+1)), "")</f>
        <v/>
      </c>
      <c r="I454" s="10">
        <f>IFERROR(IF(INDEX(ERP資料!$O:$O, (MATCH(453, 輔助計算!$E$2:$E$801, 0)+1))="","",INDEX(ERP資料!$O:$O, (MATCH(453, 輔助計算!$E$2:$E$801, 0)+1))), "")</f>
        <v/>
      </c>
      <c r="J454" s="15">
        <f>IFERROR(IF(INDEX(輔助計算!$D:$D,(MATCH(453, 輔助計算!$E$2:$E$801, 0)+1))="","",INDEX(輔助計算!$D:$D,(MATCH(453, 輔助計算!$E$2:$E$801, 0)+1))*INDEX(ERP資料!$O:$O,(MATCH(453, 輔助計算!$E$2:$E$801, 0)+1))), "")</f>
        <v/>
      </c>
      <c r="K454" s="16" t="n"/>
      <c r="L454" s="16" t="n"/>
      <c r="M454" s="17" t="n"/>
    </row>
    <row r="455">
      <c r="A455" s="14">
        <f>IFERROR(IF(INDEX(ERP資料!$B:$B, (MATCH(454, 輔助計算!$E$2:$E$801, 0)+1))="","",INDEX(ERP資料!$B:$B, (MATCH(454, 輔助計算!$E$2:$E$801, 0)+1))), "")</f>
        <v/>
      </c>
      <c r="B455" s="10">
        <f>IFERROR(IF(INDEX(ERP資料!$A:$A, (MATCH(454, 輔助計算!$E$2:$E$801, 0)+1))="","",INDEX(ERP資料!$A:$A, (MATCH(454, 輔助計算!$E$2:$E$801, 0)+1))), "")</f>
        <v/>
      </c>
      <c r="C455" s="10">
        <f>IFERROR(IF(INDEX(ERP資料!$S:$S, (MATCH(454, 輔助計算!$E$2:$E$801, 0)+1))="","",INDEX(ERP資料!$S:$S, (MATCH(454, 輔助計算!$E$2:$E$801, 0)+1))), "")</f>
        <v/>
      </c>
      <c r="D455" s="10">
        <f>IFERROR(IF(INDEX(ERP資料!$E:$E, (MATCH(454, 輔助計算!$E$2:$E$801, 0)+1))="","",TRIM(INDEX(ERP資料!$E:$E, (MATCH(454, 輔助計算!$E$2:$E$801, 0)+1)))), "")</f>
        <v/>
      </c>
      <c r="E455" s="10">
        <f>IFERROR(IF(INDEX(ERP資料!$F:$F, (MATCH(454, 輔助計算!$E$2:$E$801, 0)+1))="","",INDEX(ERP資料!$F:$F, (MATCH(454, 輔助計算!$E$2:$E$801, 0)+1))), "")</f>
        <v/>
      </c>
      <c r="F455" s="10">
        <f>IFERROR(IF(INDEX(ERP資料!$G:$G, (MATCH(454, 輔助計算!$E$2:$E$801, 0)+1))="","",INDEX(ERP資料!$G:$G, (MATCH(454, 輔助計算!$E$2:$E$801, 0)+1))), "")</f>
        <v/>
      </c>
      <c r="G455" s="10">
        <f>IFERROR(IF(INDEX(ERP資料!$H:$H, (MATCH(454, 輔助計算!$E$2:$E$801, 0)+1))="","",INDEX(ERP資料!$H:$H, (MATCH(454, 輔助計算!$E$2:$E$801, 0)+1))), "")</f>
        <v/>
      </c>
      <c r="H455" s="15">
        <f>IFERROR(INDEX(輔助計算!$D:$D, (MATCH(454, 輔助計算!$E$2:$E$801, 0)+1)), "")</f>
        <v/>
      </c>
      <c r="I455" s="10">
        <f>IFERROR(IF(INDEX(ERP資料!$O:$O, (MATCH(454, 輔助計算!$E$2:$E$801, 0)+1))="","",INDEX(ERP資料!$O:$O, (MATCH(454, 輔助計算!$E$2:$E$801, 0)+1))), "")</f>
        <v/>
      </c>
      <c r="J455" s="15">
        <f>IFERROR(IF(INDEX(輔助計算!$D:$D,(MATCH(454, 輔助計算!$E$2:$E$801, 0)+1))="","",INDEX(輔助計算!$D:$D,(MATCH(454, 輔助計算!$E$2:$E$801, 0)+1))*INDEX(ERP資料!$O:$O,(MATCH(454, 輔助計算!$E$2:$E$801, 0)+1))), "")</f>
        <v/>
      </c>
      <c r="K455" s="16" t="n"/>
      <c r="L455" s="16" t="n"/>
      <c r="M455" s="17" t="n"/>
    </row>
    <row r="456">
      <c r="A456" s="14">
        <f>IFERROR(IF(INDEX(ERP資料!$B:$B, (MATCH(455, 輔助計算!$E$2:$E$801, 0)+1))="","",INDEX(ERP資料!$B:$B, (MATCH(455, 輔助計算!$E$2:$E$801, 0)+1))), "")</f>
        <v/>
      </c>
      <c r="B456" s="10">
        <f>IFERROR(IF(INDEX(ERP資料!$A:$A, (MATCH(455, 輔助計算!$E$2:$E$801, 0)+1))="","",INDEX(ERP資料!$A:$A, (MATCH(455, 輔助計算!$E$2:$E$801, 0)+1))), "")</f>
        <v/>
      </c>
      <c r="C456" s="10">
        <f>IFERROR(IF(INDEX(ERP資料!$S:$S, (MATCH(455, 輔助計算!$E$2:$E$801, 0)+1))="","",INDEX(ERP資料!$S:$S, (MATCH(455, 輔助計算!$E$2:$E$801, 0)+1))), "")</f>
        <v/>
      </c>
      <c r="D456" s="10">
        <f>IFERROR(IF(INDEX(ERP資料!$E:$E, (MATCH(455, 輔助計算!$E$2:$E$801, 0)+1))="","",TRIM(INDEX(ERP資料!$E:$E, (MATCH(455, 輔助計算!$E$2:$E$801, 0)+1)))), "")</f>
        <v/>
      </c>
      <c r="E456" s="10">
        <f>IFERROR(IF(INDEX(ERP資料!$F:$F, (MATCH(455, 輔助計算!$E$2:$E$801, 0)+1))="","",INDEX(ERP資料!$F:$F, (MATCH(455, 輔助計算!$E$2:$E$801, 0)+1))), "")</f>
        <v/>
      </c>
      <c r="F456" s="10">
        <f>IFERROR(IF(INDEX(ERP資料!$G:$G, (MATCH(455, 輔助計算!$E$2:$E$801, 0)+1))="","",INDEX(ERP資料!$G:$G, (MATCH(455, 輔助計算!$E$2:$E$801, 0)+1))), "")</f>
        <v/>
      </c>
      <c r="G456" s="10">
        <f>IFERROR(IF(INDEX(ERP資料!$H:$H, (MATCH(455, 輔助計算!$E$2:$E$801, 0)+1))="","",INDEX(ERP資料!$H:$H, (MATCH(455, 輔助計算!$E$2:$E$801, 0)+1))), "")</f>
        <v/>
      </c>
      <c r="H456" s="15">
        <f>IFERROR(INDEX(輔助計算!$D:$D, (MATCH(455, 輔助計算!$E$2:$E$801, 0)+1)), "")</f>
        <v/>
      </c>
      <c r="I456" s="10">
        <f>IFERROR(IF(INDEX(ERP資料!$O:$O, (MATCH(455, 輔助計算!$E$2:$E$801, 0)+1))="","",INDEX(ERP資料!$O:$O, (MATCH(455, 輔助計算!$E$2:$E$801, 0)+1))), "")</f>
        <v/>
      </c>
      <c r="J456" s="15">
        <f>IFERROR(IF(INDEX(輔助計算!$D:$D,(MATCH(455, 輔助計算!$E$2:$E$801, 0)+1))="","",INDEX(輔助計算!$D:$D,(MATCH(455, 輔助計算!$E$2:$E$801, 0)+1))*INDEX(ERP資料!$O:$O,(MATCH(455, 輔助計算!$E$2:$E$801, 0)+1))), "")</f>
        <v/>
      </c>
      <c r="K456" s="16" t="n"/>
      <c r="L456" s="16" t="n"/>
      <c r="M456" s="17" t="n"/>
    </row>
    <row r="457">
      <c r="A457" s="14">
        <f>IFERROR(IF(INDEX(ERP資料!$B:$B, (MATCH(456, 輔助計算!$E$2:$E$801, 0)+1))="","",INDEX(ERP資料!$B:$B, (MATCH(456, 輔助計算!$E$2:$E$801, 0)+1))), "")</f>
        <v/>
      </c>
      <c r="B457" s="10">
        <f>IFERROR(IF(INDEX(ERP資料!$A:$A, (MATCH(456, 輔助計算!$E$2:$E$801, 0)+1))="","",INDEX(ERP資料!$A:$A, (MATCH(456, 輔助計算!$E$2:$E$801, 0)+1))), "")</f>
        <v/>
      </c>
      <c r="C457" s="10">
        <f>IFERROR(IF(INDEX(ERP資料!$S:$S, (MATCH(456, 輔助計算!$E$2:$E$801, 0)+1))="","",INDEX(ERP資料!$S:$S, (MATCH(456, 輔助計算!$E$2:$E$801, 0)+1))), "")</f>
        <v/>
      </c>
      <c r="D457" s="10">
        <f>IFERROR(IF(INDEX(ERP資料!$E:$E, (MATCH(456, 輔助計算!$E$2:$E$801, 0)+1))="","",TRIM(INDEX(ERP資料!$E:$E, (MATCH(456, 輔助計算!$E$2:$E$801, 0)+1)))), "")</f>
        <v/>
      </c>
      <c r="E457" s="10">
        <f>IFERROR(IF(INDEX(ERP資料!$F:$F, (MATCH(456, 輔助計算!$E$2:$E$801, 0)+1))="","",INDEX(ERP資料!$F:$F, (MATCH(456, 輔助計算!$E$2:$E$801, 0)+1))), "")</f>
        <v/>
      </c>
      <c r="F457" s="10">
        <f>IFERROR(IF(INDEX(ERP資料!$G:$G, (MATCH(456, 輔助計算!$E$2:$E$801, 0)+1))="","",INDEX(ERP資料!$G:$G, (MATCH(456, 輔助計算!$E$2:$E$801, 0)+1))), "")</f>
        <v/>
      </c>
      <c r="G457" s="10">
        <f>IFERROR(IF(INDEX(ERP資料!$H:$H, (MATCH(456, 輔助計算!$E$2:$E$801, 0)+1))="","",INDEX(ERP資料!$H:$H, (MATCH(456, 輔助計算!$E$2:$E$801, 0)+1))), "")</f>
        <v/>
      </c>
      <c r="H457" s="15">
        <f>IFERROR(INDEX(輔助計算!$D:$D, (MATCH(456, 輔助計算!$E$2:$E$801, 0)+1)), "")</f>
        <v/>
      </c>
      <c r="I457" s="10">
        <f>IFERROR(IF(INDEX(ERP資料!$O:$O, (MATCH(456, 輔助計算!$E$2:$E$801, 0)+1))="","",INDEX(ERP資料!$O:$O, (MATCH(456, 輔助計算!$E$2:$E$801, 0)+1))), "")</f>
        <v/>
      </c>
      <c r="J457" s="15">
        <f>IFERROR(IF(INDEX(輔助計算!$D:$D,(MATCH(456, 輔助計算!$E$2:$E$801, 0)+1))="","",INDEX(輔助計算!$D:$D,(MATCH(456, 輔助計算!$E$2:$E$801, 0)+1))*INDEX(ERP資料!$O:$O,(MATCH(456, 輔助計算!$E$2:$E$801, 0)+1))), "")</f>
        <v/>
      </c>
      <c r="K457" s="16" t="n"/>
      <c r="L457" s="16" t="n"/>
      <c r="M457" s="17" t="n"/>
    </row>
    <row r="458">
      <c r="A458" s="14">
        <f>IFERROR(IF(INDEX(ERP資料!$B:$B, (MATCH(457, 輔助計算!$E$2:$E$801, 0)+1))="","",INDEX(ERP資料!$B:$B, (MATCH(457, 輔助計算!$E$2:$E$801, 0)+1))), "")</f>
        <v/>
      </c>
      <c r="B458" s="10">
        <f>IFERROR(IF(INDEX(ERP資料!$A:$A, (MATCH(457, 輔助計算!$E$2:$E$801, 0)+1))="","",INDEX(ERP資料!$A:$A, (MATCH(457, 輔助計算!$E$2:$E$801, 0)+1))), "")</f>
        <v/>
      </c>
      <c r="C458" s="10">
        <f>IFERROR(IF(INDEX(ERP資料!$S:$S, (MATCH(457, 輔助計算!$E$2:$E$801, 0)+1))="","",INDEX(ERP資料!$S:$S, (MATCH(457, 輔助計算!$E$2:$E$801, 0)+1))), "")</f>
        <v/>
      </c>
      <c r="D458" s="10">
        <f>IFERROR(IF(INDEX(ERP資料!$E:$E, (MATCH(457, 輔助計算!$E$2:$E$801, 0)+1))="","",TRIM(INDEX(ERP資料!$E:$E, (MATCH(457, 輔助計算!$E$2:$E$801, 0)+1)))), "")</f>
        <v/>
      </c>
      <c r="E458" s="10">
        <f>IFERROR(IF(INDEX(ERP資料!$F:$F, (MATCH(457, 輔助計算!$E$2:$E$801, 0)+1))="","",INDEX(ERP資料!$F:$F, (MATCH(457, 輔助計算!$E$2:$E$801, 0)+1))), "")</f>
        <v/>
      </c>
      <c r="F458" s="10">
        <f>IFERROR(IF(INDEX(ERP資料!$G:$G, (MATCH(457, 輔助計算!$E$2:$E$801, 0)+1))="","",INDEX(ERP資料!$G:$G, (MATCH(457, 輔助計算!$E$2:$E$801, 0)+1))), "")</f>
        <v/>
      </c>
      <c r="G458" s="10">
        <f>IFERROR(IF(INDEX(ERP資料!$H:$H, (MATCH(457, 輔助計算!$E$2:$E$801, 0)+1))="","",INDEX(ERP資料!$H:$H, (MATCH(457, 輔助計算!$E$2:$E$801, 0)+1))), "")</f>
        <v/>
      </c>
      <c r="H458" s="15">
        <f>IFERROR(INDEX(輔助計算!$D:$D, (MATCH(457, 輔助計算!$E$2:$E$801, 0)+1)), "")</f>
        <v/>
      </c>
      <c r="I458" s="10">
        <f>IFERROR(IF(INDEX(ERP資料!$O:$O, (MATCH(457, 輔助計算!$E$2:$E$801, 0)+1))="","",INDEX(ERP資料!$O:$O, (MATCH(457, 輔助計算!$E$2:$E$801, 0)+1))), "")</f>
        <v/>
      </c>
      <c r="J458" s="15">
        <f>IFERROR(IF(INDEX(輔助計算!$D:$D,(MATCH(457, 輔助計算!$E$2:$E$801, 0)+1))="","",INDEX(輔助計算!$D:$D,(MATCH(457, 輔助計算!$E$2:$E$801, 0)+1))*INDEX(ERP資料!$O:$O,(MATCH(457, 輔助計算!$E$2:$E$801, 0)+1))), "")</f>
        <v/>
      </c>
      <c r="K458" s="16" t="n"/>
      <c r="L458" s="16" t="n"/>
      <c r="M458" s="17" t="n"/>
    </row>
    <row r="459">
      <c r="A459" s="14">
        <f>IFERROR(IF(INDEX(ERP資料!$B:$B, (MATCH(458, 輔助計算!$E$2:$E$801, 0)+1))="","",INDEX(ERP資料!$B:$B, (MATCH(458, 輔助計算!$E$2:$E$801, 0)+1))), "")</f>
        <v/>
      </c>
      <c r="B459" s="10">
        <f>IFERROR(IF(INDEX(ERP資料!$A:$A, (MATCH(458, 輔助計算!$E$2:$E$801, 0)+1))="","",INDEX(ERP資料!$A:$A, (MATCH(458, 輔助計算!$E$2:$E$801, 0)+1))), "")</f>
        <v/>
      </c>
      <c r="C459" s="10">
        <f>IFERROR(IF(INDEX(ERP資料!$S:$S, (MATCH(458, 輔助計算!$E$2:$E$801, 0)+1))="","",INDEX(ERP資料!$S:$S, (MATCH(458, 輔助計算!$E$2:$E$801, 0)+1))), "")</f>
        <v/>
      </c>
      <c r="D459" s="10">
        <f>IFERROR(IF(INDEX(ERP資料!$E:$E, (MATCH(458, 輔助計算!$E$2:$E$801, 0)+1))="","",TRIM(INDEX(ERP資料!$E:$E, (MATCH(458, 輔助計算!$E$2:$E$801, 0)+1)))), "")</f>
        <v/>
      </c>
      <c r="E459" s="10">
        <f>IFERROR(IF(INDEX(ERP資料!$F:$F, (MATCH(458, 輔助計算!$E$2:$E$801, 0)+1))="","",INDEX(ERP資料!$F:$F, (MATCH(458, 輔助計算!$E$2:$E$801, 0)+1))), "")</f>
        <v/>
      </c>
      <c r="F459" s="10">
        <f>IFERROR(IF(INDEX(ERP資料!$G:$G, (MATCH(458, 輔助計算!$E$2:$E$801, 0)+1))="","",INDEX(ERP資料!$G:$G, (MATCH(458, 輔助計算!$E$2:$E$801, 0)+1))), "")</f>
        <v/>
      </c>
      <c r="G459" s="10">
        <f>IFERROR(IF(INDEX(ERP資料!$H:$H, (MATCH(458, 輔助計算!$E$2:$E$801, 0)+1))="","",INDEX(ERP資料!$H:$H, (MATCH(458, 輔助計算!$E$2:$E$801, 0)+1))), "")</f>
        <v/>
      </c>
      <c r="H459" s="15">
        <f>IFERROR(INDEX(輔助計算!$D:$D, (MATCH(458, 輔助計算!$E$2:$E$801, 0)+1)), "")</f>
        <v/>
      </c>
      <c r="I459" s="10">
        <f>IFERROR(IF(INDEX(ERP資料!$O:$O, (MATCH(458, 輔助計算!$E$2:$E$801, 0)+1))="","",INDEX(ERP資料!$O:$O, (MATCH(458, 輔助計算!$E$2:$E$801, 0)+1))), "")</f>
        <v/>
      </c>
      <c r="J459" s="15">
        <f>IFERROR(IF(INDEX(輔助計算!$D:$D,(MATCH(458, 輔助計算!$E$2:$E$801, 0)+1))="","",INDEX(輔助計算!$D:$D,(MATCH(458, 輔助計算!$E$2:$E$801, 0)+1))*INDEX(ERP資料!$O:$O,(MATCH(458, 輔助計算!$E$2:$E$801, 0)+1))), "")</f>
        <v/>
      </c>
      <c r="K459" s="16" t="n"/>
      <c r="L459" s="16" t="n"/>
      <c r="M459" s="17" t="n"/>
    </row>
    <row r="460">
      <c r="A460" s="14">
        <f>IFERROR(IF(INDEX(ERP資料!$B:$B, (MATCH(459, 輔助計算!$E$2:$E$801, 0)+1))="","",INDEX(ERP資料!$B:$B, (MATCH(459, 輔助計算!$E$2:$E$801, 0)+1))), "")</f>
        <v/>
      </c>
      <c r="B460" s="10">
        <f>IFERROR(IF(INDEX(ERP資料!$A:$A, (MATCH(459, 輔助計算!$E$2:$E$801, 0)+1))="","",INDEX(ERP資料!$A:$A, (MATCH(459, 輔助計算!$E$2:$E$801, 0)+1))), "")</f>
        <v/>
      </c>
      <c r="C460" s="10">
        <f>IFERROR(IF(INDEX(ERP資料!$S:$S, (MATCH(459, 輔助計算!$E$2:$E$801, 0)+1))="","",INDEX(ERP資料!$S:$S, (MATCH(459, 輔助計算!$E$2:$E$801, 0)+1))), "")</f>
        <v/>
      </c>
      <c r="D460" s="10">
        <f>IFERROR(IF(INDEX(ERP資料!$E:$E, (MATCH(459, 輔助計算!$E$2:$E$801, 0)+1))="","",TRIM(INDEX(ERP資料!$E:$E, (MATCH(459, 輔助計算!$E$2:$E$801, 0)+1)))), "")</f>
        <v/>
      </c>
      <c r="E460" s="10">
        <f>IFERROR(IF(INDEX(ERP資料!$F:$F, (MATCH(459, 輔助計算!$E$2:$E$801, 0)+1))="","",INDEX(ERP資料!$F:$F, (MATCH(459, 輔助計算!$E$2:$E$801, 0)+1))), "")</f>
        <v/>
      </c>
      <c r="F460" s="10">
        <f>IFERROR(IF(INDEX(ERP資料!$G:$G, (MATCH(459, 輔助計算!$E$2:$E$801, 0)+1))="","",INDEX(ERP資料!$G:$G, (MATCH(459, 輔助計算!$E$2:$E$801, 0)+1))), "")</f>
        <v/>
      </c>
      <c r="G460" s="10">
        <f>IFERROR(IF(INDEX(ERP資料!$H:$H, (MATCH(459, 輔助計算!$E$2:$E$801, 0)+1))="","",INDEX(ERP資料!$H:$H, (MATCH(459, 輔助計算!$E$2:$E$801, 0)+1))), "")</f>
        <v/>
      </c>
      <c r="H460" s="15">
        <f>IFERROR(INDEX(輔助計算!$D:$D, (MATCH(459, 輔助計算!$E$2:$E$801, 0)+1)), "")</f>
        <v/>
      </c>
      <c r="I460" s="10">
        <f>IFERROR(IF(INDEX(ERP資料!$O:$O, (MATCH(459, 輔助計算!$E$2:$E$801, 0)+1))="","",INDEX(ERP資料!$O:$O, (MATCH(459, 輔助計算!$E$2:$E$801, 0)+1))), "")</f>
        <v/>
      </c>
      <c r="J460" s="15">
        <f>IFERROR(IF(INDEX(輔助計算!$D:$D,(MATCH(459, 輔助計算!$E$2:$E$801, 0)+1))="","",INDEX(輔助計算!$D:$D,(MATCH(459, 輔助計算!$E$2:$E$801, 0)+1))*INDEX(ERP資料!$O:$O,(MATCH(459, 輔助計算!$E$2:$E$801, 0)+1))), "")</f>
        <v/>
      </c>
      <c r="K460" s="16" t="n"/>
      <c r="L460" s="16" t="n"/>
      <c r="M460" s="17" t="n"/>
    </row>
    <row r="461">
      <c r="A461" s="14">
        <f>IFERROR(IF(INDEX(ERP資料!$B:$B, (MATCH(460, 輔助計算!$E$2:$E$801, 0)+1))="","",INDEX(ERP資料!$B:$B, (MATCH(460, 輔助計算!$E$2:$E$801, 0)+1))), "")</f>
        <v/>
      </c>
      <c r="B461" s="10">
        <f>IFERROR(IF(INDEX(ERP資料!$A:$A, (MATCH(460, 輔助計算!$E$2:$E$801, 0)+1))="","",INDEX(ERP資料!$A:$A, (MATCH(460, 輔助計算!$E$2:$E$801, 0)+1))), "")</f>
        <v/>
      </c>
      <c r="C461" s="10">
        <f>IFERROR(IF(INDEX(ERP資料!$S:$S, (MATCH(460, 輔助計算!$E$2:$E$801, 0)+1))="","",INDEX(ERP資料!$S:$S, (MATCH(460, 輔助計算!$E$2:$E$801, 0)+1))), "")</f>
        <v/>
      </c>
      <c r="D461" s="10">
        <f>IFERROR(IF(INDEX(ERP資料!$E:$E, (MATCH(460, 輔助計算!$E$2:$E$801, 0)+1))="","",TRIM(INDEX(ERP資料!$E:$E, (MATCH(460, 輔助計算!$E$2:$E$801, 0)+1)))), "")</f>
        <v/>
      </c>
      <c r="E461" s="10">
        <f>IFERROR(IF(INDEX(ERP資料!$F:$F, (MATCH(460, 輔助計算!$E$2:$E$801, 0)+1))="","",INDEX(ERP資料!$F:$F, (MATCH(460, 輔助計算!$E$2:$E$801, 0)+1))), "")</f>
        <v/>
      </c>
      <c r="F461" s="10">
        <f>IFERROR(IF(INDEX(ERP資料!$G:$G, (MATCH(460, 輔助計算!$E$2:$E$801, 0)+1))="","",INDEX(ERP資料!$G:$G, (MATCH(460, 輔助計算!$E$2:$E$801, 0)+1))), "")</f>
        <v/>
      </c>
      <c r="G461" s="10">
        <f>IFERROR(IF(INDEX(ERP資料!$H:$H, (MATCH(460, 輔助計算!$E$2:$E$801, 0)+1))="","",INDEX(ERP資料!$H:$H, (MATCH(460, 輔助計算!$E$2:$E$801, 0)+1))), "")</f>
        <v/>
      </c>
      <c r="H461" s="15">
        <f>IFERROR(INDEX(輔助計算!$D:$D, (MATCH(460, 輔助計算!$E$2:$E$801, 0)+1)), "")</f>
        <v/>
      </c>
      <c r="I461" s="10">
        <f>IFERROR(IF(INDEX(ERP資料!$O:$O, (MATCH(460, 輔助計算!$E$2:$E$801, 0)+1))="","",INDEX(ERP資料!$O:$O, (MATCH(460, 輔助計算!$E$2:$E$801, 0)+1))), "")</f>
        <v/>
      </c>
      <c r="J461" s="15">
        <f>IFERROR(IF(INDEX(輔助計算!$D:$D,(MATCH(460, 輔助計算!$E$2:$E$801, 0)+1))="","",INDEX(輔助計算!$D:$D,(MATCH(460, 輔助計算!$E$2:$E$801, 0)+1))*INDEX(ERP資料!$O:$O,(MATCH(460, 輔助計算!$E$2:$E$801, 0)+1))), "")</f>
        <v/>
      </c>
      <c r="K461" s="16" t="n"/>
      <c r="L461" s="16" t="n"/>
      <c r="M461" s="17" t="n"/>
    </row>
    <row r="462">
      <c r="A462" s="14">
        <f>IFERROR(IF(INDEX(ERP資料!$B:$B, (MATCH(461, 輔助計算!$E$2:$E$801, 0)+1))="","",INDEX(ERP資料!$B:$B, (MATCH(461, 輔助計算!$E$2:$E$801, 0)+1))), "")</f>
        <v/>
      </c>
      <c r="B462" s="10">
        <f>IFERROR(IF(INDEX(ERP資料!$A:$A, (MATCH(461, 輔助計算!$E$2:$E$801, 0)+1))="","",INDEX(ERP資料!$A:$A, (MATCH(461, 輔助計算!$E$2:$E$801, 0)+1))), "")</f>
        <v/>
      </c>
      <c r="C462" s="10">
        <f>IFERROR(IF(INDEX(ERP資料!$S:$S, (MATCH(461, 輔助計算!$E$2:$E$801, 0)+1))="","",INDEX(ERP資料!$S:$S, (MATCH(461, 輔助計算!$E$2:$E$801, 0)+1))), "")</f>
        <v/>
      </c>
      <c r="D462" s="10">
        <f>IFERROR(IF(INDEX(ERP資料!$E:$E, (MATCH(461, 輔助計算!$E$2:$E$801, 0)+1))="","",TRIM(INDEX(ERP資料!$E:$E, (MATCH(461, 輔助計算!$E$2:$E$801, 0)+1)))), "")</f>
        <v/>
      </c>
      <c r="E462" s="10">
        <f>IFERROR(IF(INDEX(ERP資料!$F:$F, (MATCH(461, 輔助計算!$E$2:$E$801, 0)+1))="","",INDEX(ERP資料!$F:$F, (MATCH(461, 輔助計算!$E$2:$E$801, 0)+1))), "")</f>
        <v/>
      </c>
      <c r="F462" s="10">
        <f>IFERROR(IF(INDEX(ERP資料!$G:$G, (MATCH(461, 輔助計算!$E$2:$E$801, 0)+1))="","",INDEX(ERP資料!$G:$G, (MATCH(461, 輔助計算!$E$2:$E$801, 0)+1))), "")</f>
        <v/>
      </c>
      <c r="G462" s="10">
        <f>IFERROR(IF(INDEX(ERP資料!$H:$H, (MATCH(461, 輔助計算!$E$2:$E$801, 0)+1))="","",INDEX(ERP資料!$H:$H, (MATCH(461, 輔助計算!$E$2:$E$801, 0)+1))), "")</f>
        <v/>
      </c>
      <c r="H462" s="15">
        <f>IFERROR(INDEX(輔助計算!$D:$D, (MATCH(461, 輔助計算!$E$2:$E$801, 0)+1)), "")</f>
        <v/>
      </c>
      <c r="I462" s="10">
        <f>IFERROR(IF(INDEX(ERP資料!$O:$O, (MATCH(461, 輔助計算!$E$2:$E$801, 0)+1))="","",INDEX(ERP資料!$O:$O, (MATCH(461, 輔助計算!$E$2:$E$801, 0)+1))), "")</f>
        <v/>
      </c>
      <c r="J462" s="15">
        <f>IFERROR(IF(INDEX(輔助計算!$D:$D,(MATCH(461, 輔助計算!$E$2:$E$801, 0)+1))="","",INDEX(輔助計算!$D:$D,(MATCH(461, 輔助計算!$E$2:$E$801, 0)+1))*INDEX(ERP資料!$O:$O,(MATCH(461, 輔助計算!$E$2:$E$801, 0)+1))), "")</f>
        <v/>
      </c>
      <c r="K462" s="16" t="n"/>
      <c r="L462" s="16" t="n"/>
      <c r="M462" s="17" t="n"/>
    </row>
    <row r="463">
      <c r="A463" s="14">
        <f>IFERROR(IF(INDEX(ERP資料!$B:$B, (MATCH(462, 輔助計算!$E$2:$E$801, 0)+1))="","",INDEX(ERP資料!$B:$B, (MATCH(462, 輔助計算!$E$2:$E$801, 0)+1))), "")</f>
        <v/>
      </c>
      <c r="B463" s="10">
        <f>IFERROR(IF(INDEX(ERP資料!$A:$A, (MATCH(462, 輔助計算!$E$2:$E$801, 0)+1))="","",INDEX(ERP資料!$A:$A, (MATCH(462, 輔助計算!$E$2:$E$801, 0)+1))), "")</f>
        <v/>
      </c>
      <c r="C463" s="10">
        <f>IFERROR(IF(INDEX(ERP資料!$S:$S, (MATCH(462, 輔助計算!$E$2:$E$801, 0)+1))="","",INDEX(ERP資料!$S:$S, (MATCH(462, 輔助計算!$E$2:$E$801, 0)+1))), "")</f>
        <v/>
      </c>
      <c r="D463" s="10">
        <f>IFERROR(IF(INDEX(ERP資料!$E:$E, (MATCH(462, 輔助計算!$E$2:$E$801, 0)+1))="","",TRIM(INDEX(ERP資料!$E:$E, (MATCH(462, 輔助計算!$E$2:$E$801, 0)+1)))), "")</f>
        <v/>
      </c>
      <c r="E463" s="10">
        <f>IFERROR(IF(INDEX(ERP資料!$F:$F, (MATCH(462, 輔助計算!$E$2:$E$801, 0)+1))="","",INDEX(ERP資料!$F:$F, (MATCH(462, 輔助計算!$E$2:$E$801, 0)+1))), "")</f>
        <v/>
      </c>
      <c r="F463" s="10">
        <f>IFERROR(IF(INDEX(ERP資料!$G:$G, (MATCH(462, 輔助計算!$E$2:$E$801, 0)+1))="","",INDEX(ERP資料!$G:$G, (MATCH(462, 輔助計算!$E$2:$E$801, 0)+1))), "")</f>
        <v/>
      </c>
      <c r="G463" s="10">
        <f>IFERROR(IF(INDEX(ERP資料!$H:$H, (MATCH(462, 輔助計算!$E$2:$E$801, 0)+1))="","",INDEX(ERP資料!$H:$H, (MATCH(462, 輔助計算!$E$2:$E$801, 0)+1))), "")</f>
        <v/>
      </c>
      <c r="H463" s="15">
        <f>IFERROR(INDEX(輔助計算!$D:$D, (MATCH(462, 輔助計算!$E$2:$E$801, 0)+1)), "")</f>
        <v/>
      </c>
      <c r="I463" s="10">
        <f>IFERROR(IF(INDEX(ERP資料!$O:$O, (MATCH(462, 輔助計算!$E$2:$E$801, 0)+1))="","",INDEX(ERP資料!$O:$O, (MATCH(462, 輔助計算!$E$2:$E$801, 0)+1))), "")</f>
        <v/>
      </c>
      <c r="J463" s="15">
        <f>IFERROR(IF(INDEX(輔助計算!$D:$D,(MATCH(462, 輔助計算!$E$2:$E$801, 0)+1))="","",INDEX(輔助計算!$D:$D,(MATCH(462, 輔助計算!$E$2:$E$801, 0)+1))*INDEX(ERP資料!$O:$O,(MATCH(462, 輔助計算!$E$2:$E$801, 0)+1))), "")</f>
        <v/>
      </c>
      <c r="K463" s="16" t="n"/>
      <c r="L463" s="16" t="n"/>
      <c r="M463" s="17" t="n"/>
    </row>
    <row r="464">
      <c r="A464" s="14">
        <f>IFERROR(IF(INDEX(ERP資料!$B:$B, (MATCH(463, 輔助計算!$E$2:$E$801, 0)+1))="","",INDEX(ERP資料!$B:$B, (MATCH(463, 輔助計算!$E$2:$E$801, 0)+1))), "")</f>
        <v/>
      </c>
      <c r="B464" s="10">
        <f>IFERROR(IF(INDEX(ERP資料!$A:$A, (MATCH(463, 輔助計算!$E$2:$E$801, 0)+1))="","",INDEX(ERP資料!$A:$A, (MATCH(463, 輔助計算!$E$2:$E$801, 0)+1))), "")</f>
        <v/>
      </c>
      <c r="C464" s="10">
        <f>IFERROR(IF(INDEX(ERP資料!$S:$S, (MATCH(463, 輔助計算!$E$2:$E$801, 0)+1))="","",INDEX(ERP資料!$S:$S, (MATCH(463, 輔助計算!$E$2:$E$801, 0)+1))), "")</f>
        <v/>
      </c>
      <c r="D464" s="10">
        <f>IFERROR(IF(INDEX(ERP資料!$E:$E, (MATCH(463, 輔助計算!$E$2:$E$801, 0)+1))="","",TRIM(INDEX(ERP資料!$E:$E, (MATCH(463, 輔助計算!$E$2:$E$801, 0)+1)))), "")</f>
        <v/>
      </c>
      <c r="E464" s="10">
        <f>IFERROR(IF(INDEX(ERP資料!$F:$F, (MATCH(463, 輔助計算!$E$2:$E$801, 0)+1))="","",INDEX(ERP資料!$F:$F, (MATCH(463, 輔助計算!$E$2:$E$801, 0)+1))), "")</f>
        <v/>
      </c>
      <c r="F464" s="10">
        <f>IFERROR(IF(INDEX(ERP資料!$G:$G, (MATCH(463, 輔助計算!$E$2:$E$801, 0)+1))="","",INDEX(ERP資料!$G:$G, (MATCH(463, 輔助計算!$E$2:$E$801, 0)+1))), "")</f>
        <v/>
      </c>
      <c r="G464" s="10">
        <f>IFERROR(IF(INDEX(ERP資料!$H:$H, (MATCH(463, 輔助計算!$E$2:$E$801, 0)+1))="","",INDEX(ERP資料!$H:$H, (MATCH(463, 輔助計算!$E$2:$E$801, 0)+1))), "")</f>
        <v/>
      </c>
      <c r="H464" s="15">
        <f>IFERROR(INDEX(輔助計算!$D:$D, (MATCH(463, 輔助計算!$E$2:$E$801, 0)+1)), "")</f>
        <v/>
      </c>
      <c r="I464" s="10">
        <f>IFERROR(IF(INDEX(ERP資料!$O:$O, (MATCH(463, 輔助計算!$E$2:$E$801, 0)+1))="","",INDEX(ERP資料!$O:$O, (MATCH(463, 輔助計算!$E$2:$E$801, 0)+1))), "")</f>
        <v/>
      </c>
      <c r="J464" s="15">
        <f>IFERROR(IF(INDEX(輔助計算!$D:$D,(MATCH(463, 輔助計算!$E$2:$E$801, 0)+1))="","",INDEX(輔助計算!$D:$D,(MATCH(463, 輔助計算!$E$2:$E$801, 0)+1))*INDEX(ERP資料!$O:$O,(MATCH(463, 輔助計算!$E$2:$E$801, 0)+1))), "")</f>
        <v/>
      </c>
      <c r="K464" s="16" t="n"/>
      <c r="L464" s="16" t="n"/>
      <c r="M464" s="17" t="n"/>
    </row>
    <row r="465">
      <c r="A465" s="14">
        <f>IFERROR(IF(INDEX(ERP資料!$B:$B, (MATCH(464, 輔助計算!$E$2:$E$801, 0)+1))="","",INDEX(ERP資料!$B:$B, (MATCH(464, 輔助計算!$E$2:$E$801, 0)+1))), "")</f>
        <v/>
      </c>
      <c r="B465" s="10">
        <f>IFERROR(IF(INDEX(ERP資料!$A:$A, (MATCH(464, 輔助計算!$E$2:$E$801, 0)+1))="","",INDEX(ERP資料!$A:$A, (MATCH(464, 輔助計算!$E$2:$E$801, 0)+1))), "")</f>
        <v/>
      </c>
      <c r="C465" s="10">
        <f>IFERROR(IF(INDEX(ERP資料!$S:$S, (MATCH(464, 輔助計算!$E$2:$E$801, 0)+1))="","",INDEX(ERP資料!$S:$S, (MATCH(464, 輔助計算!$E$2:$E$801, 0)+1))), "")</f>
        <v/>
      </c>
      <c r="D465" s="10">
        <f>IFERROR(IF(INDEX(ERP資料!$E:$E, (MATCH(464, 輔助計算!$E$2:$E$801, 0)+1))="","",TRIM(INDEX(ERP資料!$E:$E, (MATCH(464, 輔助計算!$E$2:$E$801, 0)+1)))), "")</f>
        <v/>
      </c>
      <c r="E465" s="10">
        <f>IFERROR(IF(INDEX(ERP資料!$F:$F, (MATCH(464, 輔助計算!$E$2:$E$801, 0)+1))="","",INDEX(ERP資料!$F:$F, (MATCH(464, 輔助計算!$E$2:$E$801, 0)+1))), "")</f>
        <v/>
      </c>
      <c r="F465" s="10">
        <f>IFERROR(IF(INDEX(ERP資料!$G:$G, (MATCH(464, 輔助計算!$E$2:$E$801, 0)+1))="","",INDEX(ERP資料!$G:$G, (MATCH(464, 輔助計算!$E$2:$E$801, 0)+1))), "")</f>
        <v/>
      </c>
      <c r="G465" s="10">
        <f>IFERROR(IF(INDEX(ERP資料!$H:$H, (MATCH(464, 輔助計算!$E$2:$E$801, 0)+1))="","",INDEX(ERP資料!$H:$H, (MATCH(464, 輔助計算!$E$2:$E$801, 0)+1))), "")</f>
        <v/>
      </c>
      <c r="H465" s="15">
        <f>IFERROR(INDEX(輔助計算!$D:$D, (MATCH(464, 輔助計算!$E$2:$E$801, 0)+1)), "")</f>
        <v/>
      </c>
      <c r="I465" s="10">
        <f>IFERROR(IF(INDEX(ERP資料!$O:$O, (MATCH(464, 輔助計算!$E$2:$E$801, 0)+1))="","",INDEX(ERP資料!$O:$O, (MATCH(464, 輔助計算!$E$2:$E$801, 0)+1))), "")</f>
        <v/>
      </c>
      <c r="J465" s="15">
        <f>IFERROR(IF(INDEX(輔助計算!$D:$D,(MATCH(464, 輔助計算!$E$2:$E$801, 0)+1))="","",INDEX(輔助計算!$D:$D,(MATCH(464, 輔助計算!$E$2:$E$801, 0)+1))*INDEX(ERP資料!$O:$O,(MATCH(464, 輔助計算!$E$2:$E$801, 0)+1))), "")</f>
        <v/>
      </c>
      <c r="K465" s="16" t="n"/>
      <c r="L465" s="16" t="n"/>
      <c r="M465" s="17" t="n"/>
    </row>
    <row r="466">
      <c r="A466" s="14">
        <f>IFERROR(IF(INDEX(ERP資料!$B:$B, (MATCH(465, 輔助計算!$E$2:$E$801, 0)+1))="","",INDEX(ERP資料!$B:$B, (MATCH(465, 輔助計算!$E$2:$E$801, 0)+1))), "")</f>
        <v/>
      </c>
      <c r="B466" s="10">
        <f>IFERROR(IF(INDEX(ERP資料!$A:$A, (MATCH(465, 輔助計算!$E$2:$E$801, 0)+1))="","",INDEX(ERP資料!$A:$A, (MATCH(465, 輔助計算!$E$2:$E$801, 0)+1))), "")</f>
        <v/>
      </c>
      <c r="C466" s="10">
        <f>IFERROR(IF(INDEX(ERP資料!$S:$S, (MATCH(465, 輔助計算!$E$2:$E$801, 0)+1))="","",INDEX(ERP資料!$S:$S, (MATCH(465, 輔助計算!$E$2:$E$801, 0)+1))), "")</f>
        <v/>
      </c>
      <c r="D466" s="10">
        <f>IFERROR(IF(INDEX(ERP資料!$E:$E, (MATCH(465, 輔助計算!$E$2:$E$801, 0)+1))="","",TRIM(INDEX(ERP資料!$E:$E, (MATCH(465, 輔助計算!$E$2:$E$801, 0)+1)))), "")</f>
        <v/>
      </c>
      <c r="E466" s="10">
        <f>IFERROR(IF(INDEX(ERP資料!$F:$F, (MATCH(465, 輔助計算!$E$2:$E$801, 0)+1))="","",INDEX(ERP資料!$F:$F, (MATCH(465, 輔助計算!$E$2:$E$801, 0)+1))), "")</f>
        <v/>
      </c>
      <c r="F466" s="10">
        <f>IFERROR(IF(INDEX(ERP資料!$G:$G, (MATCH(465, 輔助計算!$E$2:$E$801, 0)+1))="","",INDEX(ERP資料!$G:$G, (MATCH(465, 輔助計算!$E$2:$E$801, 0)+1))), "")</f>
        <v/>
      </c>
      <c r="G466" s="10">
        <f>IFERROR(IF(INDEX(ERP資料!$H:$H, (MATCH(465, 輔助計算!$E$2:$E$801, 0)+1))="","",INDEX(ERP資料!$H:$H, (MATCH(465, 輔助計算!$E$2:$E$801, 0)+1))), "")</f>
        <v/>
      </c>
      <c r="H466" s="15">
        <f>IFERROR(INDEX(輔助計算!$D:$D, (MATCH(465, 輔助計算!$E$2:$E$801, 0)+1)), "")</f>
        <v/>
      </c>
      <c r="I466" s="10">
        <f>IFERROR(IF(INDEX(ERP資料!$O:$O, (MATCH(465, 輔助計算!$E$2:$E$801, 0)+1))="","",INDEX(ERP資料!$O:$O, (MATCH(465, 輔助計算!$E$2:$E$801, 0)+1))), "")</f>
        <v/>
      </c>
      <c r="J466" s="15">
        <f>IFERROR(IF(INDEX(輔助計算!$D:$D,(MATCH(465, 輔助計算!$E$2:$E$801, 0)+1))="","",INDEX(輔助計算!$D:$D,(MATCH(465, 輔助計算!$E$2:$E$801, 0)+1))*INDEX(ERP資料!$O:$O,(MATCH(465, 輔助計算!$E$2:$E$801, 0)+1))), "")</f>
        <v/>
      </c>
      <c r="K466" s="16" t="n"/>
      <c r="L466" s="16" t="n"/>
      <c r="M466" s="17" t="n"/>
    </row>
    <row r="467">
      <c r="A467" s="14">
        <f>IFERROR(IF(INDEX(ERP資料!$B:$B, (MATCH(466, 輔助計算!$E$2:$E$801, 0)+1))="","",INDEX(ERP資料!$B:$B, (MATCH(466, 輔助計算!$E$2:$E$801, 0)+1))), "")</f>
        <v/>
      </c>
      <c r="B467" s="10">
        <f>IFERROR(IF(INDEX(ERP資料!$A:$A, (MATCH(466, 輔助計算!$E$2:$E$801, 0)+1))="","",INDEX(ERP資料!$A:$A, (MATCH(466, 輔助計算!$E$2:$E$801, 0)+1))), "")</f>
        <v/>
      </c>
      <c r="C467" s="10">
        <f>IFERROR(IF(INDEX(ERP資料!$S:$S, (MATCH(466, 輔助計算!$E$2:$E$801, 0)+1))="","",INDEX(ERP資料!$S:$S, (MATCH(466, 輔助計算!$E$2:$E$801, 0)+1))), "")</f>
        <v/>
      </c>
      <c r="D467" s="10">
        <f>IFERROR(IF(INDEX(ERP資料!$E:$E, (MATCH(466, 輔助計算!$E$2:$E$801, 0)+1))="","",TRIM(INDEX(ERP資料!$E:$E, (MATCH(466, 輔助計算!$E$2:$E$801, 0)+1)))), "")</f>
        <v/>
      </c>
      <c r="E467" s="10">
        <f>IFERROR(IF(INDEX(ERP資料!$F:$F, (MATCH(466, 輔助計算!$E$2:$E$801, 0)+1))="","",INDEX(ERP資料!$F:$F, (MATCH(466, 輔助計算!$E$2:$E$801, 0)+1))), "")</f>
        <v/>
      </c>
      <c r="F467" s="10">
        <f>IFERROR(IF(INDEX(ERP資料!$G:$G, (MATCH(466, 輔助計算!$E$2:$E$801, 0)+1))="","",INDEX(ERP資料!$G:$G, (MATCH(466, 輔助計算!$E$2:$E$801, 0)+1))), "")</f>
        <v/>
      </c>
      <c r="G467" s="10">
        <f>IFERROR(IF(INDEX(ERP資料!$H:$H, (MATCH(466, 輔助計算!$E$2:$E$801, 0)+1))="","",INDEX(ERP資料!$H:$H, (MATCH(466, 輔助計算!$E$2:$E$801, 0)+1))), "")</f>
        <v/>
      </c>
      <c r="H467" s="15">
        <f>IFERROR(INDEX(輔助計算!$D:$D, (MATCH(466, 輔助計算!$E$2:$E$801, 0)+1)), "")</f>
        <v/>
      </c>
      <c r="I467" s="10">
        <f>IFERROR(IF(INDEX(ERP資料!$O:$O, (MATCH(466, 輔助計算!$E$2:$E$801, 0)+1))="","",INDEX(ERP資料!$O:$O, (MATCH(466, 輔助計算!$E$2:$E$801, 0)+1))), "")</f>
        <v/>
      </c>
      <c r="J467" s="15">
        <f>IFERROR(IF(INDEX(輔助計算!$D:$D,(MATCH(466, 輔助計算!$E$2:$E$801, 0)+1))="","",INDEX(輔助計算!$D:$D,(MATCH(466, 輔助計算!$E$2:$E$801, 0)+1))*INDEX(ERP資料!$O:$O,(MATCH(466, 輔助計算!$E$2:$E$801, 0)+1))), "")</f>
        <v/>
      </c>
      <c r="K467" s="16" t="n"/>
      <c r="L467" s="16" t="n"/>
      <c r="M467" s="17" t="n"/>
    </row>
    <row r="468">
      <c r="A468" s="14">
        <f>IFERROR(IF(INDEX(ERP資料!$B:$B, (MATCH(467, 輔助計算!$E$2:$E$801, 0)+1))="","",INDEX(ERP資料!$B:$B, (MATCH(467, 輔助計算!$E$2:$E$801, 0)+1))), "")</f>
        <v/>
      </c>
      <c r="B468" s="10">
        <f>IFERROR(IF(INDEX(ERP資料!$A:$A, (MATCH(467, 輔助計算!$E$2:$E$801, 0)+1))="","",INDEX(ERP資料!$A:$A, (MATCH(467, 輔助計算!$E$2:$E$801, 0)+1))), "")</f>
        <v/>
      </c>
      <c r="C468" s="10">
        <f>IFERROR(IF(INDEX(ERP資料!$S:$S, (MATCH(467, 輔助計算!$E$2:$E$801, 0)+1))="","",INDEX(ERP資料!$S:$S, (MATCH(467, 輔助計算!$E$2:$E$801, 0)+1))), "")</f>
        <v/>
      </c>
      <c r="D468" s="10">
        <f>IFERROR(IF(INDEX(ERP資料!$E:$E, (MATCH(467, 輔助計算!$E$2:$E$801, 0)+1))="","",TRIM(INDEX(ERP資料!$E:$E, (MATCH(467, 輔助計算!$E$2:$E$801, 0)+1)))), "")</f>
        <v/>
      </c>
      <c r="E468" s="10">
        <f>IFERROR(IF(INDEX(ERP資料!$F:$F, (MATCH(467, 輔助計算!$E$2:$E$801, 0)+1))="","",INDEX(ERP資料!$F:$F, (MATCH(467, 輔助計算!$E$2:$E$801, 0)+1))), "")</f>
        <v/>
      </c>
      <c r="F468" s="10">
        <f>IFERROR(IF(INDEX(ERP資料!$G:$G, (MATCH(467, 輔助計算!$E$2:$E$801, 0)+1))="","",INDEX(ERP資料!$G:$G, (MATCH(467, 輔助計算!$E$2:$E$801, 0)+1))), "")</f>
        <v/>
      </c>
      <c r="G468" s="10">
        <f>IFERROR(IF(INDEX(ERP資料!$H:$H, (MATCH(467, 輔助計算!$E$2:$E$801, 0)+1))="","",INDEX(ERP資料!$H:$H, (MATCH(467, 輔助計算!$E$2:$E$801, 0)+1))), "")</f>
        <v/>
      </c>
      <c r="H468" s="15">
        <f>IFERROR(INDEX(輔助計算!$D:$D, (MATCH(467, 輔助計算!$E$2:$E$801, 0)+1)), "")</f>
        <v/>
      </c>
      <c r="I468" s="10">
        <f>IFERROR(IF(INDEX(ERP資料!$O:$O, (MATCH(467, 輔助計算!$E$2:$E$801, 0)+1))="","",INDEX(ERP資料!$O:$O, (MATCH(467, 輔助計算!$E$2:$E$801, 0)+1))), "")</f>
        <v/>
      </c>
      <c r="J468" s="15">
        <f>IFERROR(IF(INDEX(輔助計算!$D:$D,(MATCH(467, 輔助計算!$E$2:$E$801, 0)+1))="","",INDEX(輔助計算!$D:$D,(MATCH(467, 輔助計算!$E$2:$E$801, 0)+1))*INDEX(ERP資料!$O:$O,(MATCH(467, 輔助計算!$E$2:$E$801, 0)+1))), "")</f>
        <v/>
      </c>
      <c r="K468" s="16" t="n"/>
      <c r="L468" s="16" t="n"/>
      <c r="M468" s="17" t="n"/>
    </row>
    <row r="469">
      <c r="A469" s="14">
        <f>IFERROR(IF(INDEX(ERP資料!$B:$B, (MATCH(468, 輔助計算!$E$2:$E$801, 0)+1))="","",INDEX(ERP資料!$B:$B, (MATCH(468, 輔助計算!$E$2:$E$801, 0)+1))), "")</f>
        <v/>
      </c>
      <c r="B469" s="10">
        <f>IFERROR(IF(INDEX(ERP資料!$A:$A, (MATCH(468, 輔助計算!$E$2:$E$801, 0)+1))="","",INDEX(ERP資料!$A:$A, (MATCH(468, 輔助計算!$E$2:$E$801, 0)+1))), "")</f>
        <v/>
      </c>
      <c r="C469" s="10">
        <f>IFERROR(IF(INDEX(ERP資料!$S:$S, (MATCH(468, 輔助計算!$E$2:$E$801, 0)+1))="","",INDEX(ERP資料!$S:$S, (MATCH(468, 輔助計算!$E$2:$E$801, 0)+1))), "")</f>
        <v/>
      </c>
      <c r="D469" s="10">
        <f>IFERROR(IF(INDEX(ERP資料!$E:$E, (MATCH(468, 輔助計算!$E$2:$E$801, 0)+1))="","",TRIM(INDEX(ERP資料!$E:$E, (MATCH(468, 輔助計算!$E$2:$E$801, 0)+1)))), "")</f>
        <v/>
      </c>
      <c r="E469" s="10">
        <f>IFERROR(IF(INDEX(ERP資料!$F:$F, (MATCH(468, 輔助計算!$E$2:$E$801, 0)+1))="","",INDEX(ERP資料!$F:$F, (MATCH(468, 輔助計算!$E$2:$E$801, 0)+1))), "")</f>
        <v/>
      </c>
      <c r="F469" s="10">
        <f>IFERROR(IF(INDEX(ERP資料!$G:$G, (MATCH(468, 輔助計算!$E$2:$E$801, 0)+1))="","",INDEX(ERP資料!$G:$G, (MATCH(468, 輔助計算!$E$2:$E$801, 0)+1))), "")</f>
        <v/>
      </c>
      <c r="G469" s="10">
        <f>IFERROR(IF(INDEX(ERP資料!$H:$H, (MATCH(468, 輔助計算!$E$2:$E$801, 0)+1))="","",INDEX(ERP資料!$H:$H, (MATCH(468, 輔助計算!$E$2:$E$801, 0)+1))), "")</f>
        <v/>
      </c>
      <c r="H469" s="15">
        <f>IFERROR(INDEX(輔助計算!$D:$D, (MATCH(468, 輔助計算!$E$2:$E$801, 0)+1)), "")</f>
        <v/>
      </c>
      <c r="I469" s="10">
        <f>IFERROR(IF(INDEX(ERP資料!$O:$O, (MATCH(468, 輔助計算!$E$2:$E$801, 0)+1))="","",INDEX(ERP資料!$O:$O, (MATCH(468, 輔助計算!$E$2:$E$801, 0)+1))), "")</f>
        <v/>
      </c>
      <c r="J469" s="15">
        <f>IFERROR(IF(INDEX(輔助計算!$D:$D,(MATCH(468, 輔助計算!$E$2:$E$801, 0)+1))="","",INDEX(輔助計算!$D:$D,(MATCH(468, 輔助計算!$E$2:$E$801, 0)+1))*INDEX(ERP資料!$O:$O,(MATCH(468, 輔助計算!$E$2:$E$801, 0)+1))), "")</f>
        <v/>
      </c>
      <c r="K469" s="16" t="n"/>
      <c r="L469" s="16" t="n"/>
      <c r="M469" s="17" t="n"/>
    </row>
    <row r="470">
      <c r="A470" s="14">
        <f>IFERROR(IF(INDEX(ERP資料!$B:$B, (MATCH(469, 輔助計算!$E$2:$E$801, 0)+1))="","",INDEX(ERP資料!$B:$B, (MATCH(469, 輔助計算!$E$2:$E$801, 0)+1))), "")</f>
        <v/>
      </c>
      <c r="B470" s="10">
        <f>IFERROR(IF(INDEX(ERP資料!$A:$A, (MATCH(469, 輔助計算!$E$2:$E$801, 0)+1))="","",INDEX(ERP資料!$A:$A, (MATCH(469, 輔助計算!$E$2:$E$801, 0)+1))), "")</f>
        <v/>
      </c>
      <c r="C470" s="10">
        <f>IFERROR(IF(INDEX(ERP資料!$S:$S, (MATCH(469, 輔助計算!$E$2:$E$801, 0)+1))="","",INDEX(ERP資料!$S:$S, (MATCH(469, 輔助計算!$E$2:$E$801, 0)+1))), "")</f>
        <v/>
      </c>
      <c r="D470" s="10">
        <f>IFERROR(IF(INDEX(ERP資料!$E:$E, (MATCH(469, 輔助計算!$E$2:$E$801, 0)+1))="","",TRIM(INDEX(ERP資料!$E:$E, (MATCH(469, 輔助計算!$E$2:$E$801, 0)+1)))), "")</f>
        <v/>
      </c>
      <c r="E470" s="10">
        <f>IFERROR(IF(INDEX(ERP資料!$F:$F, (MATCH(469, 輔助計算!$E$2:$E$801, 0)+1))="","",INDEX(ERP資料!$F:$F, (MATCH(469, 輔助計算!$E$2:$E$801, 0)+1))), "")</f>
        <v/>
      </c>
      <c r="F470" s="10">
        <f>IFERROR(IF(INDEX(ERP資料!$G:$G, (MATCH(469, 輔助計算!$E$2:$E$801, 0)+1))="","",INDEX(ERP資料!$G:$G, (MATCH(469, 輔助計算!$E$2:$E$801, 0)+1))), "")</f>
        <v/>
      </c>
      <c r="G470" s="10">
        <f>IFERROR(IF(INDEX(ERP資料!$H:$H, (MATCH(469, 輔助計算!$E$2:$E$801, 0)+1))="","",INDEX(ERP資料!$H:$H, (MATCH(469, 輔助計算!$E$2:$E$801, 0)+1))), "")</f>
        <v/>
      </c>
      <c r="H470" s="15">
        <f>IFERROR(INDEX(輔助計算!$D:$D, (MATCH(469, 輔助計算!$E$2:$E$801, 0)+1)), "")</f>
        <v/>
      </c>
      <c r="I470" s="10">
        <f>IFERROR(IF(INDEX(ERP資料!$O:$O, (MATCH(469, 輔助計算!$E$2:$E$801, 0)+1))="","",INDEX(ERP資料!$O:$O, (MATCH(469, 輔助計算!$E$2:$E$801, 0)+1))), "")</f>
        <v/>
      </c>
      <c r="J470" s="15">
        <f>IFERROR(IF(INDEX(輔助計算!$D:$D,(MATCH(469, 輔助計算!$E$2:$E$801, 0)+1))="","",INDEX(輔助計算!$D:$D,(MATCH(469, 輔助計算!$E$2:$E$801, 0)+1))*INDEX(ERP資料!$O:$O,(MATCH(469, 輔助計算!$E$2:$E$801, 0)+1))), "")</f>
        <v/>
      </c>
      <c r="K470" s="16" t="n"/>
      <c r="L470" s="16" t="n"/>
      <c r="M470" s="17" t="n"/>
    </row>
    <row r="471">
      <c r="A471" s="14">
        <f>IFERROR(IF(INDEX(ERP資料!$B:$B, (MATCH(470, 輔助計算!$E$2:$E$801, 0)+1))="","",INDEX(ERP資料!$B:$B, (MATCH(470, 輔助計算!$E$2:$E$801, 0)+1))), "")</f>
        <v/>
      </c>
      <c r="B471" s="10">
        <f>IFERROR(IF(INDEX(ERP資料!$A:$A, (MATCH(470, 輔助計算!$E$2:$E$801, 0)+1))="","",INDEX(ERP資料!$A:$A, (MATCH(470, 輔助計算!$E$2:$E$801, 0)+1))), "")</f>
        <v/>
      </c>
      <c r="C471" s="10">
        <f>IFERROR(IF(INDEX(ERP資料!$S:$S, (MATCH(470, 輔助計算!$E$2:$E$801, 0)+1))="","",INDEX(ERP資料!$S:$S, (MATCH(470, 輔助計算!$E$2:$E$801, 0)+1))), "")</f>
        <v/>
      </c>
      <c r="D471" s="10">
        <f>IFERROR(IF(INDEX(ERP資料!$E:$E, (MATCH(470, 輔助計算!$E$2:$E$801, 0)+1))="","",TRIM(INDEX(ERP資料!$E:$E, (MATCH(470, 輔助計算!$E$2:$E$801, 0)+1)))), "")</f>
        <v/>
      </c>
      <c r="E471" s="10">
        <f>IFERROR(IF(INDEX(ERP資料!$F:$F, (MATCH(470, 輔助計算!$E$2:$E$801, 0)+1))="","",INDEX(ERP資料!$F:$F, (MATCH(470, 輔助計算!$E$2:$E$801, 0)+1))), "")</f>
        <v/>
      </c>
      <c r="F471" s="10">
        <f>IFERROR(IF(INDEX(ERP資料!$G:$G, (MATCH(470, 輔助計算!$E$2:$E$801, 0)+1))="","",INDEX(ERP資料!$G:$G, (MATCH(470, 輔助計算!$E$2:$E$801, 0)+1))), "")</f>
        <v/>
      </c>
      <c r="G471" s="10">
        <f>IFERROR(IF(INDEX(ERP資料!$H:$H, (MATCH(470, 輔助計算!$E$2:$E$801, 0)+1))="","",INDEX(ERP資料!$H:$H, (MATCH(470, 輔助計算!$E$2:$E$801, 0)+1))), "")</f>
        <v/>
      </c>
      <c r="H471" s="15">
        <f>IFERROR(INDEX(輔助計算!$D:$D, (MATCH(470, 輔助計算!$E$2:$E$801, 0)+1)), "")</f>
        <v/>
      </c>
      <c r="I471" s="10">
        <f>IFERROR(IF(INDEX(ERP資料!$O:$O, (MATCH(470, 輔助計算!$E$2:$E$801, 0)+1))="","",INDEX(ERP資料!$O:$O, (MATCH(470, 輔助計算!$E$2:$E$801, 0)+1))), "")</f>
        <v/>
      </c>
      <c r="J471" s="15">
        <f>IFERROR(IF(INDEX(輔助計算!$D:$D,(MATCH(470, 輔助計算!$E$2:$E$801, 0)+1))="","",INDEX(輔助計算!$D:$D,(MATCH(470, 輔助計算!$E$2:$E$801, 0)+1))*INDEX(ERP資料!$O:$O,(MATCH(470, 輔助計算!$E$2:$E$801, 0)+1))), "")</f>
        <v/>
      </c>
      <c r="K471" s="16" t="n"/>
      <c r="L471" s="16" t="n"/>
      <c r="M471" s="17" t="n"/>
    </row>
    <row r="472">
      <c r="A472" s="14">
        <f>IFERROR(IF(INDEX(ERP資料!$B:$B, (MATCH(471, 輔助計算!$E$2:$E$801, 0)+1))="","",INDEX(ERP資料!$B:$B, (MATCH(471, 輔助計算!$E$2:$E$801, 0)+1))), "")</f>
        <v/>
      </c>
      <c r="B472" s="10">
        <f>IFERROR(IF(INDEX(ERP資料!$A:$A, (MATCH(471, 輔助計算!$E$2:$E$801, 0)+1))="","",INDEX(ERP資料!$A:$A, (MATCH(471, 輔助計算!$E$2:$E$801, 0)+1))), "")</f>
        <v/>
      </c>
      <c r="C472" s="10">
        <f>IFERROR(IF(INDEX(ERP資料!$S:$S, (MATCH(471, 輔助計算!$E$2:$E$801, 0)+1))="","",INDEX(ERP資料!$S:$S, (MATCH(471, 輔助計算!$E$2:$E$801, 0)+1))), "")</f>
        <v/>
      </c>
      <c r="D472" s="10">
        <f>IFERROR(IF(INDEX(ERP資料!$E:$E, (MATCH(471, 輔助計算!$E$2:$E$801, 0)+1))="","",TRIM(INDEX(ERP資料!$E:$E, (MATCH(471, 輔助計算!$E$2:$E$801, 0)+1)))), "")</f>
        <v/>
      </c>
      <c r="E472" s="10">
        <f>IFERROR(IF(INDEX(ERP資料!$F:$F, (MATCH(471, 輔助計算!$E$2:$E$801, 0)+1))="","",INDEX(ERP資料!$F:$F, (MATCH(471, 輔助計算!$E$2:$E$801, 0)+1))), "")</f>
        <v/>
      </c>
      <c r="F472" s="10">
        <f>IFERROR(IF(INDEX(ERP資料!$G:$G, (MATCH(471, 輔助計算!$E$2:$E$801, 0)+1))="","",INDEX(ERP資料!$G:$G, (MATCH(471, 輔助計算!$E$2:$E$801, 0)+1))), "")</f>
        <v/>
      </c>
      <c r="G472" s="10">
        <f>IFERROR(IF(INDEX(ERP資料!$H:$H, (MATCH(471, 輔助計算!$E$2:$E$801, 0)+1))="","",INDEX(ERP資料!$H:$H, (MATCH(471, 輔助計算!$E$2:$E$801, 0)+1))), "")</f>
        <v/>
      </c>
      <c r="H472" s="15">
        <f>IFERROR(INDEX(輔助計算!$D:$D, (MATCH(471, 輔助計算!$E$2:$E$801, 0)+1)), "")</f>
        <v/>
      </c>
      <c r="I472" s="10">
        <f>IFERROR(IF(INDEX(ERP資料!$O:$O, (MATCH(471, 輔助計算!$E$2:$E$801, 0)+1))="","",INDEX(ERP資料!$O:$O, (MATCH(471, 輔助計算!$E$2:$E$801, 0)+1))), "")</f>
        <v/>
      </c>
      <c r="J472" s="15">
        <f>IFERROR(IF(INDEX(輔助計算!$D:$D,(MATCH(471, 輔助計算!$E$2:$E$801, 0)+1))="","",INDEX(輔助計算!$D:$D,(MATCH(471, 輔助計算!$E$2:$E$801, 0)+1))*INDEX(ERP資料!$O:$O,(MATCH(471, 輔助計算!$E$2:$E$801, 0)+1))), "")</f>
        <v/>
      </c>
      <c r="K472" s="16" t="n"/>
      <c r="L472" s="16" t="n"/>
      <c r="M472" s="17" t="n"/>
    </row>
    <row r="473">
      <c r="A473" s="14">
        <f>IFERROR(IF(INDEX(ERP資料!$B:$B, (MATCH(472, 輔助計算!$E$2:$E$801, 0)+1))="","",INDEX(ERP資料!$B:$B, (MATCH(472, 輔助計算!$E$2:$E$801, 0)+1))), "")</f>
        <v/>
      </c>
      <c r="B473" s="10">
        <f>IFERROR(IF(INDEX(ERP資料!$A:$A, (MATCH(472, 輔助計算!$E$2:$E$801, 0)+1))="","",INDEX(ERP資料!$A:$A, (MATCH(472, 輔助計算!$E$2:$E$801, 0)+1))), "")</f>
        <v/>
      </c>
      <c r="C473" s="10">
        <f>IFERROR(IF(INDEX(ERP資料!$S:$S, (MATCH(472, 輔助計算!$E$2:$E$801, 0)+1))="","",INDEX(ERP資料!$S:$S, (MATCH(472, 輔助計算!$E$2:$E$801, 0)+1))), "")</f>
        <v/>
      </c>
      <c r="D473" s="10">
        <f>IFERROR(IF(INDEX(ERP資料!$E:$E, (MATCH(472, 輔助計算!$E$2:$E$801, 0)+1))="","",TRIM(INDEX(ERP資料!$E:$E, (MATCH(472, 輔助計算!$E$2:$E$801, 0)+1)))), "")</f>
        <v/>
      </c>
      <c r="E473" s="10">
        <f>IFERROR(IF(INDEX(ERP資料!$F:$F, (MATCH(472, 輔助計算!$E$2:$E$801, 0)+1))="","",INDEX(ERP資料!$F:$F, (MATCH(472, 輔助計算!$E$2:$E$801, 0)+1))), "")</f>
        <v/>
      </c>
      <c r="F473" s="10">
        <f>IFERROR(IF(INDEX(ERP資料!$G:$G, (MATCH(472, 輔助計算!$E$2:$E$801, 0)+1))="","",INDEX(ERP資料!$G:$G, (MATCH(472, 輔助計算!$E$2:$E$801, 0)+1))), "")</f>
        <v/>
      </c>
      <c r="G473" s="10">
        <f>IFERROR(IF(INDEX(ERP資料!$H:$H, (MATCH(472, 輔助計算!$E$2:$E$801, 0)+1))="","",INDEX(ERP資料!$H:$H, (MATCH(472, 輔助計算!$E$2:$E$801, 0)+1))), "")</f>
        <v/>
      </c>
      <c r="H473" s="15">
        <f>IFERROR(INDEX(輔助計算!$D:$D, (MATCH(472, 輔助計算!$E$2:$E$801, 0)+1)), "")</f>
        <v/>
      </c>
      <c r="I473" s="10">
        <f>IFERROR(IF(INDEX(ERP資料!$O:$O, (MATCH(472, 輔助計算!$E$2:$E$801, 0)+1))="","",INDEX(ERP資料!$O:$O, (MATCH(472, 輔助計算!$E$2:$E$801, 0)+1))), "")</f>
        <v/>
      </c>
      <c r="J473" s="15">
        <f>IFERROR(IF(INDEX(輔助計算!$D:$D,(MATCH(472, 輔助計算!$E$2:$E$801, 0)+1))="","",INDEX(輔助計算!$D:$D,(MATCH(472, 輔助計算!$E$2:$E$801, 0)+1))*INDEX(ERP資料!$O:$O,(MATCH(472, 輔助計算!$E$2:$E$801, 0)+1))), "")</f>
        <v/>
      </c>
      <c r="K473" s="16" t="n"/>
      <c r="L473" s="16" t="n"/>
      <c r="M473" s="17" t="n"/>
    </row>
    <row r="474">
      <c r="A474" s="14">
        <f>IFERROR(IF(INDEX(ERP資料!$B:$B, (MATCH(473, 輔助計算!$E$2:$E$801, 0)+1))="","",INDEX(ERP資料!$B:$B, (MATCH(473, 輔助計算!$E$2:$E$801, 0)+1))), "")</f>
        <v/>
      </c>
      <c r="B474" s="10">
        <f>IFERROR(IF(INDEX(ERP資料!$A:$A, (MATCH(473, 輔助計算!$E$2:$E$801, 0)+1))="","",INDEX(ERP資料!$A:$A, (MATCH(473, 輔助計算!$E$2:$E$801, 0)+1))), "")</f>
        <v/>
      </c>
      <c r="C474" s="10">
        <f>IFERROR(IF(INDEX(ERP資料!$S:$S, (MATCH(473, 輔助計算!$E$2:$E$801, 0)+1))="","",INDEX(ERP資料!$S:$S, (MATCH(473, 輔助計算!$E$2:$E$801, 0)+1))), "")</f>
        <v/>
      </c>
      <c r="D474" s="10">
        <f>IFERROR(IF(INDEX(ERP資料!$E:$E, (MATCH(473, 輔助計算!$E$2:$E$801, 0)+1))="","",TRIM(INDEX(ERP資料!$E:$E, (MATCH(473, 輔助計算!$E$2:$E$801, 0)+1)))), "")</f>
        <v/>
      </c>
      <c r="E474" s="10">
        <f>IFERROR(IF(INDEX(ERP資料!$F:$F, (MATCH(473, 輔助計算!$E$2:$E$801, 0)+1))="","",INDEX(ERP資料!$F:$F, (MATCH(473, 輔助計算!$E$2:$E$801, 0)+1))), "")</f>
        <v/>
      </c>
      <c r="F474" s="10">
        <f>IFERROR(IF(INDEX(ERP資料!$G:$G, (MATCH(473, 輔助計算!$E$2:$E$801, 0)+1))="","",INDEX(ERP資料!$G:$G, (MATCH(473, 輔助計算!$E$2:$E$801, 0)+1))), "")</f>
        <v/>
      </c>
      <c r="G474" s="10">
        <f>IFERROR(IF(INDEX(ERP資料!$H:$H, (MATCH(473, 輔助計算!$E$2:$E$801, 0)+1))="","",INDEX(ERP資料!$H:$H, (MATCH(473, 輔助計算!$E$2:$E$801, 0)+1))), "")</f>
        <v/>
      </c>
      <c r="H474" s="15">
        <f>IFERROR(INDEX(輔助計算!$D:$D, (MATCH(473, 輔助計算!$E$2:$E$801, 0)+1)), "")</f>
        <v/>
      </c>
      <c r="I474" s="10">
        <f>IFERROR(IF(INDEX(ERP資料!$O:$O, (MATCH(473, 輔助計算!$E$2:$E$801, 0)+1))="","",INDEX(ERP資料!$O:$O, (MATCH(473, 輔助計算!$E$2:$E$801, 0)+1))), "")</f>
        <v/>
      </c>
      <c r="J474" s="15">
        <f>IFERROR(IF(INDEX(輔助計算!$D:$D,(MATCH(473, 輔助計算!$E$2:$E$801, 0)+1))="","",INDEX(輔助計算!$D:$D,(MATCH(473, 輔助計算!$E$2:$E$801, 0)+1))*INDEX(ERP資料!$O:$O,(MATCH(473, 輔助計算!$E$2:$E$801, 0)+1))), "")</f>
        <v/>
      </c>
      <c r="K474" s="16" t="n"/>
      <c r="L474" s="16" t="n"/>
      <c r="M474" s="17" t="n"/>
    </row>
    <row r="475">
      <c r="A475" s="14">
        <f>IFERROR(IF(INDEX(ERP資料!$B:$B, (MATCH(474, 輔助計算!$E$2:$E$801, 0)+1))="","",INDEX(ERP資料!$B:$B, (MATCH(474, 輔助計算!$E$2:$E$801, 0)+1))), "")</f>
        <v/>
      </c>
      <c r="B475" s="10">
        <f>IFERROR(IF(INDEX(ERP資料!$A:$A, (MATCH(474, 輔助計算!$E$2:$E$801, 0)+1))="","",INDEX(ERP資料!$A:$A, (MATCH(474, 輔助計算!$E$2:$E$801, 0)+1))), "")</f>
        <v/>
      </c>
      <c r="C475" s="10">
        <f>IFERROR(IF(INDEX(ERP資料!$S:$S, (MATCH(474, 輔助計算!$E$2:$E$801, 0)+1))="","",INDEX(ERP資料!$S:$S, (MATCH(474, 輔助計算!$E$2:$E$801, 0)+1))), "")</f>
        <v/>
      </c>
      <c r="D475" s="10">
        <f>IFERROR(IF(INDEX(ERP資料!$E:$E, (MATCH(474, 輔助計算!$E$2:$E$801, 0)+1))="","",TRIM(INDEX(ERP資料!$E:$E, (MATCH(474, 輔助計算!$E$2:$E$801, 0)+1)))), "")</f>
        <v/>
      </c>
      <c r="E475" s="10">
        <f>IFERROR(IF(INDEX(ERP資料!$F:$F, (MATCH(474, 輔助計算!$E$2:$E$801, 0)+1))="","",INDEX(ERP資料!$F:$F, (MATCH(474, 輔助計算!$E$2:$E$801, 0)+1))), "")</f>
        <v/>
      </c>
      <c r="F475" s="10">
        <f>IFERROR(IF(INDEX(ERP資料!$G:$G, (MATCH(474, 輔助計算!$E$2:$E$801, 0)+1))="","",INDEX(ERP資料!$G:$G, (MATCH(474, 輔助計算!$E$2:$E$801, 0)+1))), "")</f>
        <v/>
      </c>
      <c r="G475" s="10">
        <f>IFERROR(IF(INDEX(ERP資料!$H:$H, (MATCH(474, 輔助計算!$E$2:$E$801, 0)+1))="","",INDEX(ERP資料!$H:$H, (MATCH(474, 輔助計算!$E$2:$E$801, 0)+1))), "")</f>
        <v/>
      </c>
      <c r="H475" s="15">
        <f>IFERROR(INDEX(輔助計算!$D:$D, (MATCH(474, 輔助計算!$E$2:$E$801, 0)+1)), "")</f>
        <v/>
      </c>
      <c r="I475" s="10">
        <f>IFERROR(IF(INDEX(ERP資料!$O:$O, (MATCH(474, 輔助計算!$E$2:$E$801, 0)+1))="","",INDEX(ERP資料!$O:$O, (MATCH(474, 輔助計算!$E$2:$E$801, 0)+1))), "")</f>
        <v/>
      </c>
      <c r="J475" s="15">
        <f>IFERROR(IF(INDEX(輔助計算!$D:$D,(MATCH(474, 輔助計算!$E$2:$E$801, 0)+1))="","",INDEX(輔助計算!$D:$D,(MATCH(474, 輔助計算!$E$2:$E$801, 0)+1))*INDEX(ERP資料!$O:$O,(MATCH(474, 輔助計算!$E$2:$E$801, 0)+1))), "")</f>
        <v/>
      </c>
      <c r="K475" s="16" t="n"/>
      <c r="L475" s="16" t="n"/>
      <c r="M475" s="17" t="n"/>
    </row>
    <row r="476">
      <c r="A476" s="14">
        <f>IFERROR(IF(INDEX(ERP資料!$B:$B, (MATCH(475, 輔助計算!$E$2:$E$801, 0)+1))="","",INDEX(ERP資料!$B:$B, (MATCH(475, 輔助計算!$E$2:$E$801, 0)+1))), "")</f>
        <v/>
      </c>
      <c r="B476" s="10">
        <f>IFERROR(IF(INDEX(ERP資料!$A:$A, (MATCH(475, 輔助計算!$E$2:$E$801, 0)+1))="","",INDEX(ERP資料!$A:$A, (MATCH(475, 輔助計算!$E$2:$E$801, 0)+1))), "")</f>
        <v/>
      </c>
      <c r="C476" s="10">
        <f>IFERROR(IF(INDEX(ERP資料!$S:$S, (MATCH(475, 輔助計算!$E$2:$E$801, 0)+1))="","",INDEX(ERP資料!$S:$S, (MATCH(475, 輔助計算!$E$2:$E$801, 0)+1))), "")</f>
        <v/>
      </c>
      <c r="D476" s="10">
        <f>IFERROR(IF(INDEX(ERP資料!$E:$E, (MATCH(475, 輔助計算!$E$2:$E$801, 0)+1))="","",TRIM(INDEX(ERP資料!$E:$E, (MATCH(475, 輔助計算!$E$2:$E$801, 0)+1)))), "")</f>
        <v/>
      </c>
      <c r="E476" s="10">
        <f>IFERROR(IF(INDEX(ERP資料!$F:$F, (MATCH(475, 輔助計算!$E$2:$E$801, 0)+1))="","",INDEX(ERP資料!$F:$F, (MATCH(475, 輔助計算!$E$2:$E$801, 0)+1))), "")</f>
        <v/>
      </c>
      <c r="F476" s="10">
        <f>IFERROR(IF(INDEX(ERP資料!$G:$G, (MATCH(475, 輔助計算!$E$2:$E$801, 0)+1))="","",INDEX(ERP資料!$G:$G, (MATCH(475, 輔助計算!$E$2:$E$801, 0)+1))), "")</f>
        <v/>
      </c>
      <c r="G476" s="10">
        <f>IFERROR(IF(INDEX(ERP資料!$H:$H, (MATCH(475, 輔助計算!$E$2:$E$801, 0)+1))="","",INDEX(ERP資料!$H:$H, (MATCH(475, 輔助計算!$E$2:$E$801, 0)+1))), "")</f>
        <v/>
      </c>
      <c r="H476" s="15">
        <f>IFERROR(INDEX(輔助計算!$D:$D, (MATCH(475, 輔助計算!$E$2:$E$801, 0)+1)), "")</f>
        <v/>
      </c>
      <c r="I476" s="10">
        <f>IFERROR(IF(INDEX(ERP資料!$O:$O, (MATCH(475, 輔助計算!$E$2:$E$801, 0)+1))="","",INDEX(ERP資料!$O:$O, (MATCH(475, 輔助計算!$E$2:$E$801, 0)+1))), "")</f>
        <v/>
      </c>
      <c r="J476" s="15">
        <f>IFERROR(IF(INDEX(輔助計算!$D:$D,(MATCH(475, 輔助計算!$E$2:$E$801, 0)+1))="","",INDEX(輔助計算!$D:$D,(MATCH(475, 輔助計算!$E$2:$E$801, 0)+1))*INDEX(ERP資料!$O:$O,(MATCH(475, 輔助計算!$E$2:$E$801, 0)+1))), "")</f>
        <v/>
      </c>
      <c r="K476" s="16" t="n"/>
      <c r="L476" s="16" t="n"/>
      <c r="M476" s="17" t="n"/>
    </row>
    <row r="477">
      <c r="A477" s="14">
        <f>IFERROR(IF(INDEX(ERP資料!$B:$B, (MATCH(476, 輔助計算!$E$2:$E$801, 0)+1))="","",INDEX(ERP資料!$B:$B, (MATCH(476, 輔助計算!$E$2:$E$801, 0)+1))), "")</f>
        <v/>
      </c>
      <c r="B477" s="10">
        <f>IFERROR(IF(INDEX(ERP資料!$A:$A, (MATCH(476, 輔助計算!$E$2:$E$801, 0)+1))="","",INDEX(ERP資料!$A:$A, (MATCH(476, 輔助計算!$E$2:$E$801, 0)+1))), "")</f>
        <v/>
      </c>
      <c r="C477" s="10">
        <f>IFERROR(IF(INDEX(ERP資料!$S:$S, (MATCH(476, 輔助計算!$E$2:$E$801, 0)+1))="","",INDEX(ERP資料!$S:$S, (MATCH(476, 輔助計算!$E$2:$E$801, 0)+1))), "")</f>
        <v/>
      </c>
      <c r="D477" s="10">
        <f>IFERROR(IF(INDEX(ERP資料!$E:$E, (MATCH(476, 輔助計算!$E$2:$E$801, 0)+1))="","",TRIM(INDEX(ERP資料!$E:$E, (MATCH(476, 輔助計算!$E$2:$E$801, 0)+1)))), "")</f>
        <v/>
      </c>
      <c r="E477" s="10">
        <f>IFERROR(IF(INDEX(ERP資料!$F:$F, (MATCH(476, 輔助計算!$E$2:$E$801, 0)+1))="","",INDEX(ERP資料!$F:$F, (MATCH(476, 輔助計算!$E$2:$E$801, 0)+1))), "")</f>
        <v/>
      </c>
      <c r="F477" s="10">
        <f>IFERROR(IF(INDEX(ERP資料!$G:$G, (MATCH(476, 輔助計算!$E$2:$E$801, 0)+1))="","",INDEX(ERP資料!$G:$G, (MATCH(476, 輔助計算!$E$2:$E$801, 0)+1))), "")</f>
        <v/>
      </c>
      <c r="G477" s="10">
        <f>IFERROR(IF(INDEX(ERP資料!$H:$H, (MATCH(476, 輔助計算!$E$2:$E$801, 0)+1))="","",INDEX(ERP資料!$H:$H, (MATCH(476, 輔助計算!$E$2:$E$801, 0)+1))), "")</f>
        <v/>
      </c>
      <c r="H477" s="15">
        <f>IFERROR(INDEX(輔助計算!$D:$D, (MATCH(476, 輔助計算!$E$2:$E$801, 0)+1)), "")</f>
        <v/>
      </c>
      <c r="I477" s="10">
        <f>IFERROR(IF(INDEX(ERP資料!$O:$O, (MATCH(476, 輔助計算!$E$2:$E$801, 0)+1))="","",INDEX(ERP資料!$O:$O, (MATCH(476, 輔助計算!$E$2:$E$801, 0)+1))), "")</f>
        <v/>
      </c>
      <c r="J477" s="15">
        <f>IFERROR(IF(INDEX(輔助計算!$D:$D,(MATCH(476, 輔助計算!$E$2:$E$801, 0)+1))="","",INDEX(輔助計算!$D:$D,(MATCH(476, 輔助計算!$E$2:$E$801, 0)+1))*INDEX(ERP資料!$O:$O,(MATCH(476, 輔助計算!$E$2:$E$801, 0)+1))), "")</f>
        <v/>
      </c>
      <c r="K477" s="16" t="n"/>
      <c r="L477" s="16" t="n"/>
      <c r="M477" s="17" t="n"/>
    </row>
    <row r="478">
      <c r="A478" s="14">
        <f>IFERROR(IF(INDEX(ERP資料!$B:$B, (MATCH(477, 輔助計算!$E$2:$E$801, 0)+1))="","",INDEX(ERP資料!$B:$B, (MATCH(477, 輔助計算!$E$2:$E$801, 0)+1))), "")</f>
        <v/>
      </c>
      <c r="B478" s="10">
        <f>IFERROR(IF(INDEX(ERP資料!$A:$A, (MATCH(477, 輔助計算!$E$2:$E$801, 0)+1))="","",INDEX(ERP資料!$A:$A, (MATCH(477, 輔助計算!$E$2:$E$801, 0)+1))), "")</f>
        <v/>
      </c>
      <c r="C478" s="10">
        <f>IFERROR(IF(INDEX(ERP資料!$S:$S, (MATCH(477, 輔助計算!$E$2:$E$801, 0)+1))="","",INDEX(ERP資料!$S:$S, (MATCH(477, 輔助計算!$E$2:$E$801, 0)+1))), "")</f>
        <v/>
      </c>
      <c r="D478" s="10">
        <f>IFERROR(IF(INDEX(ERP資料!$E:$E, (MATCH(477, 輔助計算!$E$2:$E$801, 0)+1))="","",TRIM(INDEX(ERP資料!$E:$E, (MATCH(477, 輔助計算!$E$2:$E$801, 0)+1)))), "")</f>
        <v/>
      </c>
      <c r="E478" s="10">
        <f>IFERROR(IF(INDEX(ERP資料!$F:$F, (MATCH(477, 輔助計算!$E$2:$E$801, 0)+1))="","",INDEX(ERP資料!$F:$F, (MATCH(477, 輔助計算!$E$2:$E$801, 0)+1))), "")</f>
        <v/>
      </c>
      <c r="F478" s="10">
        <f>IFERROR(IF(INDEX(ERP資料!$G:$G, (MATCH(477, 輔助計算!$E$2:$E$801, 0)+1))="","",INDEX(ERP資料!$G:$G, (MATCH(477, 輔助計算!$E$2:$E$801, 0)+1))), "")</f>
        <v/>
      </c>
      <c r="G478" s="10">
        <f>IFERROR(IF(INDEX(ERP資料!$H:$H, (MATCH(477, 輔助計算!$E$2:$E$801, 0)+1))="","",INDEX(ERP資料!$H:$H, (MATCH(477, 輔助計算!$E$2:$E$801, 0)+1))), "")</f>
        <v/>
      </c>
      <c r="H478" s="15">
        <f>IFERROR(INDEX(輔助計算!$D:$D, (MATCH(477, 輔助計算!$E$2:$E$801, 0)+1)), "")</f>
        <v/>
      </c>
      <c r="I478" s="10">
        <f>IFERROR(IF(INDEX(ERP資料!$O:$O, (MATCH(477, 輔助計算!$E$2:$E$801, 0)+1))="","",INDEX(ERP資料!$O:$O, (MATCH(477, 輔助計算!$E$2:$E$801, 0)+1))), "")</f>
        <v/>
      </c>
      <c r="J478" s="15">
        <f>IFERROR(IF(INDEX(輔助計算!$D:$D,(MATCH(477, 輔助計算!$E$2:$E$801, 0)+1))="","",INDEX(輔助計算!$D:$D,(MATCH(477, 輔助計算!$E$2:$E$801, 0)+1))*INDEX(ERP資料!$O:$O,(MATCH(477, 輔助計算!$E$2:$E$801, 0)+1))), "")</f>
        <v/>
      </c>
      <c r="K478" s="16" t="n"/>
      <c r="L478" s="16" t="n"/>
      <c r="M478" s="17" t="n"/>
    </row>
    <row r="479">
      <c r="A479" s="14">
        <f>IFERROR(IF(INDEX(ERP資料!$B:$B, (MATCH(478, 輔助計算!$E$2:$E$801, 0)+1))="","",INDEX(ERP資料!$B:$B, (MATCH(478, 輔助計算!$E$2:$E$801, 0)+1))), "")</f>
        <v/>
      </c>
      <c r="B479" s="10">
        <f>IFERROR(IF(INDEX(ERP資料!$A:$A, (MATCH(478, 輔助計算!$E$2:$E$801, 0)+1))="","",INDEX(ERP資料!$A:$A, (MATCH(478, 輔助計算!$E$2:$E$801, 0)+1))), "")</f>
        <v/>
      </c>
      <c r="C479" s="10">
        <f>IFERROR(IF(INDEX(ERP資料!$S:$S, (MATCH(478, 輔助計算!$E$2:$E$801, 0)+1))="","",INDEX(ERP資料!$S:$S, (MATCH(478, 輔助計算!$E$2:$E$801, 0)+1))), "")</f>
        <v/>
      </c>
      <c r="D479" s="10">
        <f>IFERROR(IF(INDEX(ERP資料!$E:$E, (MATCH(478, 輔助計算!$E$2:$E$801, 0)+1))="","",TRIM(INDEX(ERP資料!$E:$E, (MATCH(478, 輔助計算!$E$2:$E$801, 0)+1)))), "")</f>
        <v/>
      </c>
      <c r="E479" s="10">
        <f>IFERROR(IF(INDEX(ERP資料!$F:$F, (MATCH(478, 輔助計算!$E$2:$E$801, 0)+1))="","",INDEX(ERP資料!$F:$F, (MATCH(478, 輔助計算!$E$2:$E$801, 0)+1))), "")</f>
        <v/>
      </c>
      <c r="F479" s="10">
        <f>IFERROR(IF(INDEX(ERP資料!$G:$G, (MATCH(478, 輔助計算!$E$2:$E$801, 0)+1))="","",INDEX(ERP資料!$G:$G, (MATCH(478, 輔助計算!$E$2:$E$801, 0)+1))), "")</f>
        <v/>
      </c>
      <c r="G479" s="10">
        <f>IFERROR(IF(INDEX(ERP資料!$H:$H, (MATCH(478, 輔助計算!$E$2:$E$801, 0)+1))="","",INDEX(ERP資料!$H:$H, (MATCH(478, 輔助計算!$E$2:$E$801, 0)+1))), "")</f>
        <v/>
      </c>
      <c r="H479" s="15">
        <f>IFERROR(INDEX(輔助計算!$D:$D, (MATCH(478, 輔助計算!$E$2:$E$801, 0)+1)), "")</f>
        <v/>
      </c>
      <c r="I479" s="10">
        <f>IFERROR(IF(INDEX(ERP資料!$O:$O, (MATCH(478, 輔助計算!$E$2:$E$801, 0)+1))="","",INDEX(ERP資料!$O:$O, (MATCH(478, 輔助計算!$E$2:$E$801, 0)+1))), "")</f>
        <v/>
      </c>
      <c r="J479" s="15">
        <f>IFERROR(IF(INDEX(輔助計算!$D:$D,(MATCH(478, 輔助計算!$E$2:$E$801, 0)+1))="","",INDEX(輔助計算!$D:$D,(MATCH(478, 輔助計算!$E$2:$E$801, 0)+1))*INDEX(ERP資料!$O:$O,(MATCH(478, 輔助計算!$E$2:$E$801, 0)+1))), "")</f>
        <v/>
      </c>
      <c r="K479" s="16" t="n"/>
      <c r="L479" s="16" t="n"/>
      <c r="M479" s="17" t="n"/>
    </row>
    <row r="480">
      <c r="A480" s="14">
        <f>IFERROR(IF(INDEX(ERP資料!$B:$B, (MATCH(479, 輔助計算!$E$2:$E$801, 0)+1))="","",INDEX(ERP資料!$B:$B, (MATCH(479, 輔助計算!$E$2:$E$801, 0)+1))), "")</f>
        <v/>
      </c>
      <c r="B480" s="10">
        <f>IFERROR(IF(INDEX(ERP資料!$A:$A, (MATCH(479, 輔助計算!$E$2:$E$801, 0)+1))="","",INDEX(ERP資料!$A:$A, (MATCH(479, 輔助計算!$E$2:$E$801, 0)+1))), "")</f>
        <v/>
      </c>
      <c r="C480" s="10">
        <f>IFERROR(IF(INDEX(ERP資料!$S:$S, (MATCH(479, 輔助計算!$E$2:$E$801, 0)+1))="","",INDEX(ERP資料!$S:$S, (MATCH(479, 輔助計算!$E$2:$E$801, 0)+1))), "")</f>
        <v/>
      </c>
      <c r="D480" s="10">
        <f>IFERROR(IF(INDEX(ERP資料!$E:$E, (MATCH(479, 輔助計算!$E$2:$E$801, 0)+1))="","",TRIM(INDEX(ERP資料!$E:$E, (MATCH(479, 輔助計算!$E$2:$E$801, 0)+1)))), "")</f>
        <v/>
      </c>
      <c r="E480" s="10">
        <f>IFERROR(IF(INDEX(ERP資料!$F:$F, (MATCH(479, 輔助計算!$E$2:$E$801, 0)+1))="","",INDEX(ERP資料!$F:$F, (MATCH(479, 輔助計算!$E$2:$E$801, 0)+1))), "")</f>
        <v/>
      </c>
      <c r="F480" s="10">
        <f>IFERROR(IF(INDEX(ERP資料!$G:$G, (MATCH(479, 輔助計算!$E$2:$E$801, 0)+1))="","",INDEX(ERP資料!$G:$G, (MATCH(479, 輔助計算!$E$2:$E$801, 0)+1))), "")</f>
        <v/>
      </c>
      <c r="G480" s="10">
        <f>IFERROR(IF(INDEX(ERP資料!$H:$H, (MATCH(479, 輔助計算!$E$2:$E$801, 0)+1))="","",INDEX(ERP資料!$H:$H, (MATCH(479, 輔助計算!$E$2:$E$801, 0)+1))), "")</f>
        <v/>
      </c>
      <c r="H480" s="15">
        <f>IFERROR(INDEX(輔助計算!$D:$D, (MATCH(479, 輔助計算!$E$2:$E$801, 0)+1)), "")</f>
        <v/>
      </c>
      <c r="I480" s="10">
        <f>IFERROR(IF(INDEX(ERP資料!$O:$O, (MATCH(479, 輔助計算!$E$2:$E$801, 0)+1))="","",INDEX(ERP資料!$O:$O, (MATCH(479, 輔助計算!$E$2:$E$801, 0)+1))), "")</f>
        <v/>
      </c>
      <c r="J480" s="15">
        <f>IFERROR(IF(INDEX(輔助計算!$D:$D,(MATCH(479, 輔助計算!$E$2:$E$801, 0)+1))="","",INDEX(輔助計算!$D:$D,(MATCH(479, 輔助計算!$E$2:$E$801, 0)+1))*INDEX(ERP資料!$O:$O,(MATCH(479, 輔助計算!$E$2:$E$801, 0)+1))), "")</f>
        <v/>
      </c>
      <c r="K480" s="16" t="n"/>
      <c r="L480" s="16" t="n"/>
      <c r="M480" s="17" t="n"/>
    </row>
    <row r="481">
      <c r="A481" s="14">
        <f>IFERROR(IF(INDEX(ERP資料!$B:$B, (MATCH(480, 輔助計算!$E$2:$E$801, 0)+1))="","",INDEX(ERP資料!$B:$B, (MATCH(480, 輔助計算!$E$2:$E$801, 0)+1))), "")</f>
        <v/>
      </c>
      <c r="B481" s="10">
        <f>IFERROR(IF(INDEX(ERP資料!$A:$A, (MATCH(480, 輔助計算!$E$2:$E$801, 0)+1))="","",INDEX(ERP資料!$A:$A, (MATCH(480, 輔助計算!$E$2:$E$801, 0)+1))), "")</f>
        <v/>
      </c>
      <c r="C481" s="10">
        <f>IFERROR(IF(INDEX(ERP資料!$S:$S, (MATCH(480, 輔助計算!$E$2:$E$801, 0)+1))="","",INDEX(ERP資料!$S:$S, (MATCH(480, 輔助計算!$E$2:$E$801, 0)+1))), "")</f>
        <v/>
      </c>
      <c r="D481" s="10">
        <f>IFERROR(IF(INDEX(ERP資料!$E:$E, (MATCH(480, 輔助計算!$E$2:$E$801, 0)+1))="","",TRIM(INDEX(ERP資料!$E:$E, (MATCH(480, 輔助計算!$E$2:$E$801, 0)+1)))), "")</f>
        <v/>
      </c>
      <c r="E481" s="10">
        <f>IFERROR(IF(INDEX(ERP資料!$F:$F, (MATCH(480, 輔助計算!$E$2:$E$801, 0)+1))="","",INDEX(ERP資料!$F:$F, (MATCH(480, 輔助計算!$E$2:$E$801, 0)+1))), "")</f>
        <v/>
      </c>
      <c r="F481" s="10">
        <f>IFERROR(IF(INDEX(ERP資料!$G:$G, (MATCH(480, 輔助計算!$E$2:$E$801, 0)+1))="","",INDEX(ERP資料!$G:$G, (MATCH(480, 輔助計算!$E$2:$E$801, 0)+1))), "")</f>
        <v/>
      </c>
      <c r="G481" s="10">
        <f>IFERROR(IF(INDEX(ERP資料!$H:$H, (MATCH(480, 輔助計算!$E$2:$E$801, 0)+1))="","",INDEX(ERP資料!$H:$H, (MATCH(480, 輔助計算!$E$2:$E$801, 0)+1))), "")</f>
        <v/>
      </c>
      <c r="H481" s="15">
        <f>IFERROR(INDEX(輔助計算!$D:$D, (MATCH(480, 輔助計算!$E$2:$E$801, 0)+1)), "")</f>
        <v/>
      </c>
      <c r="I481" s="10">
        <f>IFERROR(IF(INDEX(ERP資料!$O:$O, (MATCH(480, 輔助計算!$E$2:$E$801, 0)+1))="","",INDEX(ERP資料!$O:$O, (MATCH(480, 輔助計算!$E$2:$E$801, 0)+1))), "")</f>
        <v/>
      </c>
      <c r="J481" s="15">
        <f>IFERROR(IF(INDEX(輔助計算!$D:$D,(MATCH(480, 輔助計算!$E$2:$E$801, 0)+1))="","",INDEX(輔助計算!$D:$D,(MATCH(480, 輔助計算!$E$2:$E$801, 0)+1))*INDEX(ERP資料!$O:$O,(MATCH(480, 輔助計算!$E$2:$E$801, 0)+1))), "")</f>
        <v/>
      </c>
      <c r="K481" s="16" t="n"/>
      <c r="L481" s="16" t="n"/>
      <c r="M481" s="17" t="n"/>
    </row>
    <row r="482">
      <c r="A482" s="14">
        <f>IFERROR(IF(INDEX(ERP資料!$B:$B, (MATCH(481, 輔助計算!$E$2:$E$801, 0)+1))="","",INDEX(ERP資料!$B:$B, (MATCH(481, 輔助計算!$E$2:$E$801, 0)+1))), "")</f>
        <v/>
      </c>
      <c r="B482" s="10">
        <f>IFERROR(IF(INDEX(ERP資料!$A:$A, (MATCH(481, 輔助計算!$E$2:$E$801, 0)+1))="","",INDEX(ERP資料!$A:$A, (MATCH(481, 輔助計算!$E$2:$E$801, 0)+1))), "")</f>
        <v/>
      </c>
      <c r="C482" s="10">
        <f>IFERROR(IF(INDEX(ERP資料!$S:$S, (MATCH(481, 輔助計算!$E$2:$E$801, 0)+1))="","",INDEX(ERP資料!$S:$S, (MATCH(481, 輔助計算!$E$2:$E$801, 0)+1))), "")</f>
        <v/>
      </c>
      <c r="D482" s="10">
        <f>IFERROR(IF(INDEX(ERP資料!$E:$E, (MATCH(481, 輔助計算!$E$2:$E$801, 0)+1))="","",TRIM(INDEX(ERP資料!$E:$E, (MATCH(481, 輔助計算!$E$2:$E$801, 0)+1)))), "")</f>
        <v/>
      </c>
      <c r="E482" s="10">
        <f>IFERROR(IF(INDEX(ERP資料!$F:$F, (MATCH(481, 輔助計算!$E$2:$E$801, 0)+1))="","",INDEX(ERP資料!$F:$F, (MATCH(481, 輔助計算!$E$2:$E$801, 0)+1))), "")</f>
        <v/>
      </c>
      <c r="F482" s="10">
        <f>IFERROR(IF(INDEX(ERP資料!$G:$G, (MATCH(481, 輔助計算!$E$2:$E$801, 0)+1))="","",INDEX(ERP資料!$G:$G, (MATCH(481, 輔助計算!$E$2:$E$801, 0)+1))), "")</f>
        <v/>
      </c>
      <c r="G482" s="10">
        <f>IFERROR(IF(INDEX(ERP資料!$H:$H, (MATCH(481, 輔助計算!$E$2:$E$801, 0)+1))="","",INDEX(ERP資料!$H:$H, (MATCH(481, 輔助計算!$E$2:$E$801, 0)+1))), "")</f>
        <v/>
      </c>
      <c r="H482" s="15">
        <f>IFERROR(INDEX(輔助計算!$D:$D, (MATCH(481, 輔助計算!$E$2:$E$801, 0)+1)), "")</f>
        <v/>
      </c>
      <c r="I482" s="10">
        <f>IFERROR(IF(INDEX(ERP資料!$O:$O, (MATCH(481, 輔助計算!$E$2:$E$801, 0)+1))="","",INDEX(ERP資料!$O:$O, (MATCH(481, 輔助計算!$E$2:$E$801, 0)+1))), "")</f>
        <v/>
      </c>
      <c r="J482" s="15">
        <f>IFERROR(IF(INDEX(輔助計算!$D:$D,(MATCH(481, 輔助計算!$E$2:$E$801, 0)+1))="","",INDEX(輔助計算!$D:$D,(MATCH(481, 輔助計算!$E$2:$E$801, 0)+1))*INDEX(ERP資料!$O:$O,(MATCH(481, 輔助計算!$E$2:$E$801, 0)+1))), "")</f>
        <v/>
      </c>
      <c r="K482" s="16" t="n"/>
      <c r="L482" s="16" t="n"/>
      <c r="M482" s="17" t="n"/>
    </row>
    <row r="483">
      <c r="A483" s="14">
        <f>IFERROR(IF(INDEX(ERP資料!$B:$B, (MATCH(482, 輔助計算!$E$2:$E$801, 0)+1))="","",INDEX(ERP資料!$B:$B, (MATCH(482, 輔助計算!$E$2:$E$801, 0)+1))), "")</f>
        <v/>
      </c>
      <c r="B483" s="10">
        <f>IFERROR(IF(INDEX(ERP資料!$A:$A, (MATCH(482, 輔助計算!$E$2:$E$801, 0)+1))="","",INDEX(ERP資料!$A:$A, (MATCH(482, 輔助計算!$E$2:$E$801, 0)+1))), "")</f>
        <v/>
      </c>
      <c r="C483" s="10">
        <f>IFERROR(IF(INDEX(ERP資料!$S:$S, (MATCH(482, 輔助計算!$E$2:$E$801, 0)+1))="","",INDEX(ERP資料!$S:$S, (MATCH(482, 輔助計算!$E$2:$E$801, 0)+1))), "")</f>
        <v/>
      </c>
      <c r="D483" s="10">
        <f>IFERROR(IF(INDEX(ERP資料!$E:$E, (MATCH(482, 輔助計算!$E$2:$E$801, 0)+1))="","",TRIM(INDEX(ERP資料!$E:$E, (MATCH(482, 輔助計算!$E$2:$E$801, 0)+1)))), "")</f>
        <v/>
      </c>
      <c r="E483" s="10">
        <f>IFERROR(IF(INDEX(ERP資料!$F:$F, (MATCH(482, 輔助計算!$E$2:$E$801, 0)+1))="","",INDEX(ERP資料!$F:$F, (MATCH(482, 輔助計算!$E$2:$E$801, 0)+1))), "")</f>
        <v/>
      </c>
      <c r="F483" s="10">
        <f>IFERROR(IF(INDEX(ERP資料!$G:$G, (MATCH(482, 輔助計算!$E$2:$E$801, 0)+1))="","",INDEX(ERP資料!$G:$G, (MATCH(482, 輔助計算!$E$2:$E$801, 0)+1))), "")</f>
        <v/>
      </c>
      <c r="G483" s="10">
        <f>IFERROR(IF(INDEX(ERP資料!$H:$H, (MATCH(482, 輔助計算!$E$2:$E$801, 0)+1))="","",INDEX(ERP資料!$H:$H, (MATCH(482, 輔助計算!$E$2:$E$801, 0)+1))), "")</f>
        <v/>
      </c>
      <c r="H483" s="15">
        <f>IFERROR(INDEX(輔助計算!$D:$D, (MATCH(482, 輔助計算!$E$2:$E$801, 0)+1)), "")</f>
        <v/>
      </c>
      <c r="I483" s="10">
        <f>IFERROR(IF(INDEX(ERP資料!$O:$O, (MATCH(482, 輔助計算!$E$2:$E$801, 0)+1))="","",INDEX(ERP資料!$O:$O, (MATCH(482, 輔助計算!$E$2:$E$801, 0)+1))), "")</f>
        <v/>
      </c>
      <c r="J483" s="15">
        <f>IFERROR(IF(INDEX(輔助計算!$D:$D,(MATCH(482, 輔助計算!$E$2:$E$801, 0)+1))="","",INDEX(輔助計算!$D:$D,(MATCH(482, 輔助計算!$E$2:$E$801, 0)+1))*INDEX(ERP資料!$O:$O,(MATCH(482, 輔助計算!$E$2:$E$801, 0)+1))), "")</f>
        <v/>
      </c>
      <c r="K483" s="16" t="n"/>
      <c r="L483" s="16" t="n"/>
      <c r="M483" s="17" t="n"/>
    </row>
    <row r="484">
      <c r="A484" s="14">
        <f>IFERROR(IF(INDEX(ERP資料!$B:$B, (MATCH(483, 輔助計算!$E$2:$E$801, 0)+1))="","",INDEX(ERP資料!$B:$B, (MATCH(483, 輔助計算!$E$2:$E$801, 0)+1))), "")</f>
        <v/>
      </c>
      <c r="B484" s="10">
        <f>IFERROR(IF(INDEX(ERP資料!$A:$A, (MATCH(483, 輔助計算!$E$2:$E$801, 0)+1))="","",INDEX(ERP資料!$A:$A, (MATCH(483, 輔助計算!$E$2:$E$801, 0)+1))), "")</f>
        <v/>
      </c>
      <c r="C484" s="10">
        <f>IFERROR(IF(INDEX(ERP資料!$S:$S, (MATCH(483, 輔助計算!$E$2:$E$801, 0)+1))="","",INDEX(ERP資料!$S:$S, (MATCH(483, 輔助計算!$E$2:$E$801, 0)+1))), "")</f>
        <v/>
      </c>
      <c r="D484" s="10">
        <f>IFERROR(IF(INDEX(ERP資料!$E:$E, (MATCH(483, 輔助計算!$E$2:$E$801, 0)+1))="","",TRIM(INDEX(ERP資料!$E:$E, (MATCH(483, 輔助計算!$E$2:$E$801, 0)+1)))), "")</f>
        <v/>
      </c>
      <c r="E484" s="10">
        <f>IFERROR(IF(INDEX(ERP資料!$F:$F, (MATCH(483, 輔助計算!$E$2:$E$801, 0)+1))="","",INDEX(ERP資料!$F:$F, (MATCH(483, 輔助計算!$E$2:$E$801, 0)+1))), "")</f>
        <v/>
      </c>
      <c r="F484" s="10">
        <f>IFERROR(IF(INDEX(ERP資料!$G:$G, (MATCH(483, 輔助計算!$E$2:$E$801, 0)+1))="","",INDEX(ERP資料!$G:$G, (MATCH(483, 輔助計算!$E$2:$E$801, 0)+1))), "")</f>
        <v/>
      </c>
      <c r="G484" s="10">
        <f>IFERROR(IF(INDEX(ERP資料!$H:$H, (MATCH(483, 輔助計算!$E$2:$E$801, 0)+1))="","",INDEX(ERP資料!$H:$H, (MATCH(483, 輔助計算!$E$2:$E$801, 0)+1))), "")</f>
        <v/>
      </c>
      <c r="H484" s="15">
        <f>IFERROR(INDEX(輔助計算!$D:$D, (MATCH(483, 輔助計算!$E$2:$E$801, 0)+1)), "")</f>
        <v/>
      </c>
      <c r="I484" s="10">
        <f>IFERROR(IF(INDEX(ERP資料!$O:$O, (MATCH(483, 輔助計算!$E$2:$E$801, 0)+1))="","",INDEX(ERP資料!$O:$O, (MATCH(483, 輔助計算!$E$2:$E$801, 0)+1))), "")</f>
        <v/>
      </c>
      <c r="J484" s="15">
        <f>IFERROR(IF(INDEX(輔助計算!$D:$D,(MATCH(483, 輔助計算!$E$2:$E$801, 0)+1))="","",INDEX(輔助計算!$D:$D,(MATCH(483, 輔助計算!$E$2:$E$801, 0)+1))*INDEX(ERP資料!$O:$O,(MATCH(483, 輔助計算!$E$2:$E$801, 0)+1))), "")</f>
        <v/>
      </c>
      <c r="K484" s="16" t="n"/>
      <c r="L484" s="16" t="n"/>
      <c r="M484" s="17" t="n"/>
    </row>
    <row r="485">
      <c r="A485" s="14">
        <f>IFERROR(IF(INDEX(ERP資料!$B:$B, (MATCH(484, 輔助計算!$E$2:$E$801, 0)+1))="","",INDEX(ERP資料!$B:$B, (MATCH(484, 輔助計算!$E$2:$E$801, 0)+1))), "")</f>
        <v/>
      </c>
      <c r="B485" s="10">
        <f>IFERROR(IF(INDEX(ERP資料!$A:$A, (MATCH(484, 輔助計算!$E$2:$E$801, 0)+1))="","",INDEX(ERP資料!$A:$A, (MATCH(484, 輔助計算!$E$2:$E$801, 0)+1))), "")</f>
        <v/>
      </c>
      <c r="C485" s="10">
        <f>IFERROR(IF(INDEX(ERP資料!$S:$S, (MATCH(484, 輔助計算!$E$2:$E$801, 0)+1))="","",INDEX(ERP資料!$S:$S, (MATCH(484, 輔助計算!$E$2:$E$801, 0)+1))), "")</f>
        <v/>
      </c>
      <c r="D485" s="10">
        <f>IFERROR(IF(INDEX(ERP資料!$E:$E, (MATCH(484, 輔助計算!$E$2:$E$801, 0)+1))="","",TRIM(INDEX(ERP資料!$E:$E, (MATCH(484, 輔助計算!$E$2:$E$801, 0)+1)))), "")</f>
        <v/>
      </c>
      <c r="E485" s="10">
        <f>IFERROR(IF(INDEX(ERP資料!$F:$F, (MATCH(484, 輔助計算!$E$2:$E$801, 0)+1))="","",INDEX(ERP資料!$F:$F, (MATCH(484, 輔助計算!$E$2:$E$801, 0)+1))), "")</f>
        <v/>
      </c>
      <c r="F485" s="10">
        <f>IFERROR(IF(INDEX(ERP資料!$G:$G, (MATCH(484, 輔助計算!$E$2:$E$801, 0)+1))="","",INDEX(ERP資料!$G:$G, (MATCH(484, 輔助計算!$E$2:$E$801, 0)+1))), "")</f>
        <v/>
      </c>
      <c r="G485" s="10">
        <f>IFERROR(IF(INDEX(ERP資料!$H:$H, (MATCH(484, 輔助計算!$E$2:$E$801, 0)+1))="","",INDEX(ERP資料!$H:$H, (MATCH(484, 輔助計算!$E$2:$E$801, 0)+1))), "")</f>
        <v/>
      </c>
      <c r="H485" s="15">
        <f>IFERROR(INDEX(輔助計算!$D:$D, (MATCH(484, 輔助計算!$E$2:$E$801, 0)+1)), "")</f>
        <v/>
      </c>
      <c r="I485" s="10">
        <f>IFERROR(IF(INDEX(ERP資料!$O:$O, (MATCH(484, 輔助計算!$E$2:$E$801, 0)+1))="","",INDEX(ERP資料!$O:$O, (MATCH(484, 輔助計算!$E$2:$E$801, 0)+1))), "")</f>
        <v/>
      </c>
      <c r="J485" s="15">
        <f>IFERROR(IF(INDEX(輔助計算!$D:$D,(MATCH(484, 輔助計算!$E$2:$E$801, 0)+1))="","",INDEX(輔助計算!$D:$D,(MATCH(484, 輔助計算!$E$2:$E$801, 0)+1))*INDEX(ERP資料!$O:$O,(MATCH(484, 輔助計算!$E$2:$E$801, 0)+1))), "")</f>
        <v/>
      </c>
      <c r="K485" s="16" t="n"/>
      <c r="L485" s="16" t="n"/>
      <c r="M485" s="17" t="n"/>
    </row>
    <row r="486">
      <c r="A486" s="14">
        <f>IFERROR(IF(INDEX(ERP資料!$B:$B, (MATCH(485, 輔助計算!$E$2:$E$801, 0)+1))="","",INDEX(ERP資料!$B:$B, (MATCH(485, 輔助計算!$E$2:$E$801, 0)+1))), "")</f>
        <v/>
      </c>
      <c r="B486" s="10">
        <f>IFERROR(IF(INDEX(ERP資料!$A:$A, (MATCH(485, 輔助計算!$E$2:$E$801, 0)+1))="","",INDEX(ERP資料!$A:$A, (MATCH(485, 輔助計算!$E$2:$E$801, 0)+1))), "")</f>
        <v/>
      </c>
      <c r="C486" s="10">
        <f>IFERROR(IF(INDEX(ERP資料!$S:$S, (MATCH(485, 輔助計算!$E$2:$E$801, 0)+1))="","",INDEX(ERP資料!$S:$S, (MATCH(485, 輔助計算!$E$2:$E$801, 0)+1))), "")</f>
        <v/>
      </c>
      <c r="D486" s="10">
        <f>IFERROR(IF(INDEX(ERP資料!$E:$E, (MATCH(485, 輔助計算!$E$2:$E$801, 0)+1))="","",TRIM(INDEX(ERP資料!$E:$E, (MATCH(485, 輔助計算!$E$2:$E$801, 0)+1)))), "")</f>
        <v/>
      </c>
      <c r="E486" s="10">
        <f>IFERROR(IF(INDEX(ERP資料!$F:$F, (MATCH(485, 輔助計算!$E$2:$E$801, 0)+1))="","",INDEX(ERP資料!$F:$F, (MATCH(485, 輔助計算!$E$2:$E$801, 0)+1))), "")</f>
        <v/>
      </c>
      <c r="F486" s="10">
        <f>IFERROR(IF(INDEX(ERP資料!$G:$G, (MATCH(485, 輔助計算!$E$2:$E$801, 0)+1))="","",INDEX(ERP資料!$G:$G, (MATCH(485, 輔助計算!$E$2:$E$801, 0)+1))), "")</f>
        <v/>
      </c>
      <c r="G486" s="10">
        <f>IFERROR(IF(INDEX(ERP資料!$H:$H, (MATCH(485, 輔助計算!$E$2:$E$801, 0)+1))="","",INDEX(ERP資料!$H:$H, (MATCH(485, 輔助計算!$E$2:$E$801, 0)+1))), "")</f>
        <v/>
      </c>
      <c r="H486" s="15">
        <f>IFERROR(INDEX(輔助計算!$D:$D, (MATCH(485, 輔助計算!$E$2:$E$801, 0)+1)), "")</f>
        <v/>
      </c>
      <c r="I486" s="10">
        <f>IFERROR(IF(INDEX(ERP資料!$O:$O, (MATCH(485, 輔助計算!$E$2:$E$801, 0)+1))="","",INDEX(ERP資料!$O:$O, (MATCH(485, 輔助計算!$E$2:$E$801, 0)+1))), "")</f>
        <v/>
      </c>
      <c r="J486" s="15">
        <f>IFERROR(IF(INDEX(輔助計算!$D:$D,(MATCH(485, 輔助計算!$E$2:$E$801, 0)+1))="","",INDEX(輔助計算!$D:$D,(MATCH(485, 輔助計算!$E$2:$E$801, 0)+1))*INDEX(ERP資料!$O:$O,(MATCH(485, 輔助計算!$E$2:$E$801, 0)+1))), "")</f>
        <v/>
      </c>
      <c r="K486" s="16" t="n"/>
      <c r="L486" s="16" t="n"/>
      <c r="M486" s="17" t="n"/>
    </row>
    <row r="487">
      <c r="A487" s="14">
        <f>IFERROR(IF(INDEX(ERP資料!$B:$B, (MATCH(486, 輔助計算!$E$2:$E$801, 0)+1))="","",INDEX(ERP資料!$B:$B, (MATCH(486, 輔助計算!$E$2:$E$801, 0)+1))), "")</f>
        <v/>
      </c>
      <c r="B487" s="10">
        <f>IFERROR(IF(INDEX(ERP資料!$A:$A, (MATCH(486, 輔助計算!$E$2:$E$801, 0)+1))="","",INDEX(ERP資料!$A:$A, (MATCH(486, 輔助計算!$E$2:$E$801, 0)+1))), "")</f>
        <v/>
      </c>
      <c r="C487" s="10">
        <f>IFERROR(IF(INDEX(ERP資料!$S:$S, (MATCH(486, 輔助計算!$E$2:$E$801, 0)+1))="","",INDEX(ERP資料!$S:$S, (MATCH(486, 輔助計算!$E$2:$E$801, 0)+1))), "")</f>
        <v/>
      </c>
      <c r="D487" s="10">
        <f>IFERROR(IF(INDEX(ERP資料!$E:$E, (MATCH(486, 輔助計算!$E$2:$E$801, 0)+1))="","",TRIM(INDEX(ERP資料!$E:$E, (MATCH(486, 輔助計算!$E$2:$E$801, 0)+1)))), "")</f>
        <v/>
      </c>
      <c r="E487" s="10">
        <f>IFERROR(IF(INDEX(ERP資料!$F:$F, (MATCH(486, 輔助計算!$E$2:$E$801, 0)+1))="","",INDEX(ERP資料!$F:$F, (MATCH(486, 輔助計算!$E$2:$E$801, 0)+1))), "")</f>
        <v/>
      </c>
      <c r="F487" s="10">
        <f>IFERROR(IF(INDEX(ERP資料!$G:$G, (MATCH(486, 輔助計算!$E$2:$E$801, 0)+1))="","",INDEX(ERP資料!$G:$G, (MATCH(486, 輔助計算!$E$2:$E$801, 0)+1))), "")</f>
        <v/>
      </c>
      <c r="G487" s="10">
        <f>IFERROR(IF(INDEX(ERP資料!$H:$H, (MATCH(486, 輔助計算!$E$2:$E$801, 0)+1))="","",INDEX(ERP資料!$H:$H, (MATCH(486, 輔助計算!$E$2:$E$801, 0)+1))), "")</f>
        <v/>
      </c>
      <c r="H487" s="15">
        <f>IFERROR(INDEX(輔助計算!$D:$D, (MATCH(486, 輔助計算!$E$2:$E$801, 0)+1)), "")</f>
        <v/>
      </c>
      <c r="I487" s="10">
        <f>IFERROR(IF(INDEX(ERP資料!$O:$O, (MATCH(486, 輔助計算!$E$2:$E$801, 0)+1))="","",INDEX(ERP資料!$O:$O, (MATCH(486, 輔助計算!$E$2:$E$801, 0)+1))), "")</f>
        <v/>
      </c>
      <c r="J487" s="15">
        <f>IFERROR(IF(INDEX(輔助計算!$D:$D,(MATCH(486, 輔助計算!$E$2:$E$801, 0)+1))="","",INDEX(輔助計算!$D:$D,(MATCH(486, 輔助計算!$E$2:$E$801, 0)+1))*INDEX(ERP資料!$O:$O,(MATCH(486, 輔助計算!$E$2:$E$801, 0)+1))), "")</f>
        <v/>
      </c>
      <c r="K487" s="16" t="n"/>
      <c r="L487" s="16" t="n"/>
      <c r="M487" s="17" t="n"/>
    </row>
    <row r="488">
      <c r="A488" s="14">
        <f>IFERROR(IF(INDEX(ERP資料!$B:$B, (MATCH(487, 輔助計算!$E$2:$E$801, 0)+1))="","",INDEX(ERP資料!$B:$B, (MATCH(487, 輔助計算!$E$2:$E$801, 0)+1))), "")</f>
        <v/>
      </c>
      <c r="B488" s="10">
        <f>IFERROR(IF(INDEX(ERP資料!$A:$A, (MATCH(487, 輔助計算!$E$2:$E$801, 0)+1))="","",INDEX(ERP資料!$A:$A, (MATCH(487, 輔助計算!$E$2:$E$801, 0)+1))), "")</f>
        <v/>
      </c>
      <c r="C488" s="10">
        <f>IFERROR(IF(INDEX(ERP資料!$S:$S, (MATCH(487, 輔助計算!$E$2:$E$801, 0)+1))="","",INDEX(ERP資料!$S:$S, (MATCH(487, 輔助計算!$E$2:$E$801, 0)+1))), "")</f>
        <v/>
      </c>
      <c r="D488" s="10">
        <f>IFERROR(IF(INDEX(ERP資料!$E:$E, (MATCH(487, 輔助計算!$E$2:$E$801, 0)+1))="","",TRIM(INDEX(ERP資料!$E:$E, (MATCH(487, 輔助計算!$E$2:$E$801, 0)+1)))), "")</f>
        <v/>
      </c>
      <c r="E488" s="10">
        <f>IFERROR(IF(INDEX(ERP資料!$F:$F, (MATCH(487, 輔助計算!$E$2:$E$801, 0)+1))="","",INDEX(ERP資料!$F:$F, (MATCH(487, 輔助計算!$E$2:$E$801, 0)+1))), "")</f>
        <v/>
      </c>
      <c r="F488" s="10">
        <f>IFERROR(IF(INDEX(ERP資料!$G:$G, (MATCH(487, 輔助計算!$E$2:$E$801, 0)+1))="","",INDEX(ERP資料!$G:$G, (MATCH(487, 輔助計算!$E$2:$E$801, 0)+1))), "")</f>
        <v/>
      </c>
      <c r="G488" s="10">
        <f>IFERROR(IF(INDEX(ERP資料!$H:$H, (MATCH(487, 輔助計算!$E$2:$E$801, 0)+1))="","",INDEX(ERP資料!$H:$H, (MATCH(487, 輔助計算!$E$2:$E$801, 0)+1))), "")</f>
        <v/>
      </c>
      <c r="H488" s="15">
        <f>IFERROR(INDEX(輔助計算!$D:$D, (MATCH(487, 輔助計算!$E$2:$E$801, 0)+1)), "")</f>
        <v/>
      </c>
      <c r="I488" s="10">
        <f>IFERROR(IF(INDEX(ERP資料!$O:$O, (MATCH(487, 輔助計算!$E$2:$E$801, 0)+1))="","",INDEX(ERP資料!$O:$O, (MATCH(487, 輔助計算!$E$2:$E$801, 0)+1))), "")</f>
        <v/>
      </c>
      <c r="J488" s="15">
        <f>IFERROR(IF(INDEX(輔助計算!$D:$D,(MATCH(487, 輔助計算!$E$2:$E$801, 0)+1))="","",INDEX(輔助計算!$D:$D,(MATCH(487, 輔助計算!$E$2:$E$801, 0)+1))*INDEX(ERP資料!$O:$O,(MATCH(487, 輔助計算!$E$2:$E$801, 0)+1))), "")</f>
        <v/>
      </c>
      <c r="K488" s="16" t="n"/>
      <c r="L488" s="16" t="n"/>
      <c r="M488" s="17" t="n"/>
    </row>
    <row r="489">
      <c r="A489" s="14">
        <f>IFERROR(IF(INDEX(ERP資料!$B:$B, (MATCH(488, 輔助計算!$E$2:$E$801, 0)+1))="","",INDEX(ERP資料!$B:$B, (MATCH(488, 輔助計算!$E$2:$E$801, 0)+1))), "")</f>
        <v/>
      </c>
      <c r="B489" s="10">
        <f>IFERROR(IF(INDEX(ERP資料!$A:$A, (MATCH(488, 輔助計算!$E$2:$E$801, 0)+1))="","",INDEX(ERP資料!$A:$A, (MATCH(488, 輔助計算!$E$2:$E$801, 0)+1))), "")</f>
        <v/>
      </c>
      <c r="C489" s="10">
        <f>IFERROR(IF(INDEX(ERP資料!$S:$S, (MATCH(488, 輔助計算!$E$2:$E$801, 0)+1))="","",INDEX(ERP資料!$S:$S, (MATCH(488, 輔助計算!$E$2:$E$801, 0)+1))), "")</f>
        <v/>
      </c>
      <c r="D489" s="10">
        <f>IFERROR(IF(INDEX(ERP資料!$E:$E, (MATCH(488, 輔助計算!$E$2:$E$801, 0)+1))="","",TRIM(INDEX(ERP資料!$E:$E, (MATCH(488, 輔助計算!$E$2:$E$801, 0)+1)))), "")</f>
        <v/>
      </c>
      <c r="E489" s="10">
        <f>IFERROR(IF(INDEX(ERP資料!$F:$F, (MATCH(488, 輔助計算!$E$2:$E$801, 0)+1))="","",INDEX(ERP資料!$F:$F, (MATCH(488, 輔助計算!$E$2:$E$801, 0)+1))), "")</f>
        <v/>
      </c>
      <c r="F489" s="10">
        <f>IFERROR(IF(INDEX(ERP資料!$G:$G, (MATCH(488, 輔助計算!$E$2:$E$801, 0)+1))="","",INDEX(ERP資料!$G:$G, (MATCH(488, 輔助計算!$E$2:$E$801, 0)+1))), "")</f>
        <v/>
      </c>
      <c r="G489" s="10">
        <f>IFERROR(IF(INDEX(ERP資料!$H:$H, (MATCH(488, 輔助計算!$E$2:$E$801, 0)+1))="","",INDEX(ERP資料!$H:$H, (MATCH(488, 輔助計算!$E$2:$E$801, 0)+1))), "")</f>
        <v/>
      </c>
      <c r="H489" s="15">
        <f>IFERROR(INDEX(輔助計算!$D:$D, (MATCH(488, 輔助計算!$E$2:$E$801, 0)+1)), "")</f>
        <v/>
      </c>
      <c r="I489" s="10">
        <f>IFERROR(IF(INDEX(ERP資料!$O:$O, (MATCH(488, 輔助計算!$E$2:$E$801, 0)+1))="","",INDEX(ERP資料!$O:$O, (MATCH(488, 輔助計算!$E$2:$E$801, 0)+1))), "")</f>
        <v/>
      </c>
      <c r="J489" s="15">
        <f>IFERROR(IF(INDEX(輔助計算!$D:$D,(MATCH(488, 輔助計算!$E$2:$E$801, 0)+1))="","",INDEX(輔助計算!$D:$D,(MATCH(488, 輔助計算!$E$2:$E$801, 0)+1))*INDEX(ERP資料!$O:$O,(MATCH(488, 輔助計算!$E$2:$E$801, 0)+1))), "")</f>
        <v/>
      </c>
      <c r="K489" s="16" t="n"/>
      <c r="L489" s="16" t="n"/>
      <c r="M489" s="17" t="n"/>
    </row>
    <row r="490">
      <c r="A490" s="14">
        <f>IFERROR(IF(INDEX(ERP資料!$B:$B, (MATCH(489, 輔助計算!$E$2:$E$801, 0)+1))="","",INDEX(ERP資料!$B:$B, (MATCH(489, 輔助計算!$E$2:$E$801, 0)+1))), "")</f>
        <v/>
      </c>
      <c r="B490" s="10">
        <f>IFERROR(IF(INDEX(ERP資料!$A:$A, (MATCH(489, 輔助計算!$E$2:$E$801, 0)+1))="","",INDEX(ERP資料!$A:$A, (MATCH(489, 輔助計算!$E$2:$E$801, 0)+1))), "")</f>
        <v/>
      </c>
      <c r="C490" s="10">
        <f>IFERROR(IF(INDEX(ERP資料!$S:$S, (MATCH(489, 輔助計算!$E$2:$E$801, 0)+1))="","",INDEX(ERP資料!$S:$S, (MATCH(489, 輔助計算!$E$2:$E$801, 0)+1))), "")</f>
        <v/>
      </c>
      <c r="D490" s="10">
        <f>IFERROR(IF(INDEX(ERP資料!$E:$E, (MATCH(489, 輔助計算!$E$2:$E$801, 0)+1))="","",TRIM(INDEX(ERP資料!$E:$E, (MATCH(489, 輔助計算!$E$2:$E$801, 0)+1)))), "")</f>
        <v/>
      </c>
      <c r="E490" s="10">
        <f>IFERROR(IF(INDEX(ERP資料!$F:$F, (MATCH(489, 輔助計算!$E$2:$E$801, 0)+1))="","",INDEX(ERP資料!$F:$F, (MATCH(489, 輔助計算!$E$2:$E$801, 0)+1))), "")</f>
        <v/>
      </c>
      <c r="F490" s="10">
        <f>IFERROR(IF(INDEX(ERP資料!$G:$G, (MATCH(489, 輔助計算!$E$2:$E$801, 0)+1))="","",INDEX(ERP資料!$G:$G, (MATCH(489, 輔助計算!$E$2:$E$801, 0)+1))), "")</f>
        <v/>
      </c>
      <c r="G490" s="10">
        <f>IFERROR(IF(INDEX(ERP資料!$H:$H, (MATCH(489, 輔助計算!$E$2:$E$801, 0)+1))="","",INDEX(ERP資料!$H:$H, (MATCH(489, 輔助計算!$E$2:$E$801, 0)+1))), "")</f>
        <v/>
      </c>
      <c r="H490" s="15">
        <f>IFERROR(INDEX(輔助計算!$D:$D, (MATCH(489, 輔助計算!$E$2:$E$801, 0)+1)), "")</f>
        <v/>
      </c>
      <c r="I490" s="10">
        <f>IFERROR(IF(INDEX(ERP資料!$O:$O, (MATCH(489, 輔助計算!$E$2:$E$801, 0)+1))="","",INDEX(ERP資料!$O:$O, (MATCH(489, 輔助計算!$E$2:$E$801, 0)+1))), "")</f>
        <v/>
      </c>
      <c r="J490" s="15">
        <f>IFERROR(IF(INDEX(輔助計算!$D:$D,(MATCH(489, 輔助計算!$E$2:$E$801, 0)+1))="","",INDEX(輔助計算!$D:$D,(MATCH(489, 輔助計算!$E$2:$E$801, 0)+1))*INDEX(ERP資料!$O:$O,(MATCH(489, 輔助計算!$E$2:$E$801, 0)+1))), "")</f>
        <v/>
      </c>
      <c r="K490" s="16" t="n"/>
      <c r="L490" s="16" t="n"/>
      <c r="M490" s="17" t="n"/>
    </row>
    <row r="491">
      <c r="A491" s="14">
        <f>IFERROR(IF(INDEX(ERP資料!$B:$B, (MATCH(490, 輔助計算!$E$2:$E$801, 0)+1))="","",INDEX(ERP資料!$B:$B, (MATCH(490, 輔助計算!$E$2:$E$801, 0)+1))), "")</f>
        <v/>
      </c>
      <c r="B491" s="10">
        <f>IFERROR(IF(INDEX(ERP資料!$A:$A, (MATCH(490, 輔助計算!$E$2:$E$801, 0)+1))="","",INDEX(ERP資料!$A:$A, (MATCH(490, 輔助計算!$E$2:$E$801, 0)+1))), "")</f>
        <v/>
      </c>
      <c r="C491" s="10">
        <f>IFERROR(IF(INDEX(ERP資料!$S:$S, (MATCH(490, 輔助計算!$E$2:$E$801, 0)+1))="","",INDEX(ERP資料!$S:$S, (MATCH(490, 輔助計算!$E$2:$E$801, 0)+1))), "")</f>
        <v/>
      </c>
      <c r="D491" s="10">
        <f>IFERROR(IF(INDEX(ERP資料!$E:$E, (MATCH(490, 輔助計算!$E$2:$E$801, 0)+1))="","",TRIM(INDEX(ERP資料!$E:$E, (MATCH(490, 輔助計算!$E$2:$E$801, 0)+1)))), "")</f>
        <v/>
      </c>
      <c r="E491" s="10">
        <f>IFERROR(IF(INDEX(ERP資料!$F:$F, (MATCH(490, 輔助計算!$E$2:$E$801, 0)+1))="","",INDEX(ERP資料!$F:$F, (MATCH(490, 輔助計算!$E$2:$E$801, 0)+1))), "")</f>
        <v/>
      </c>
      <c r="F491" s="10">
        <f>IFERROR(IF(INDEX(ERP資料!$G:$G, (MATCH(490, 輔助計算!$E$2:$E$801, 0)+1))="","",INDEX(ERP資料!$G:$G, (MATCH(490, 輔助計算!$E$2:$E$801, 0)+1))), "")</f>
        <v/>
      </c>
      <c r="G491" s="10">
        <f>IFERROR(IF(INDEX(ERP資料!$H:$H, (MATCH(490, 輔助計算!$E$2:$E$801, 0)+1))="","",INDEX(ERP資料!$H:$H, (MATCH(490, 輔助計算!$E$2:$E$801, 0)+1))), "")</f>
        <v/>
      </c>
      <c r="H491" s="15">
        <f>IFERROR(INDEX(輔助計算!$D:$D, (MATCH(490, 輔助計算!$E$2:$E$801, 0)+1)), "")</f>
        <v/>
      </c>
      <c r="I491" s="10">
        <f>IFERROR(IF(INDEX(ERP資料!$O:$O, (MATCH(490, 輔助計算!$E$2:$E$801, 0)+1))="","",INDEX(ERP資料!$O:$O, (MATCH(490, 輔助計算!$E$2:$E$801, 0)+1))), "")</f>
        <v/>
      </c>
      <c r="J491" s="15">
        <f>IFERROR(IF(INDEX(輔助計算!$D:$D,(MATCH(490, 輔助計算!$E$2:$E$801, 0)+1))="","",INDEX(輔助計算!$D:$D,(MATCH(490, 輔助計算!$E$2:$E$801, 0)+1))*INDEX(ERP資料!$O:$O,(MATCH(490, 輔助計算!$E$2:$E$801, 0)+1))), "")</f>
        <v/>
      </c>
      <c r="K491" s="16" t="n"/>
      <c r="L491" s="16" t="n"/>
      <c r="M491" s="17" t="n"/>
    </row>
    <row r="492">
      <c r="A492" s="14">
        <f>IFERROR(IF(INDEX(ERP資料!$B:$B, (MATCH(491, 輔助計算!$E$2:$E$801, 0)+1))="","",INDEX(ERP資料!$B:$B, (MATCH(491, 輔助計算!$E$2:$E$801, 0)+1))), "")</f>
        <v/>
      </c>
      <c r="B492" s="10">
        <f>IFERROR(IF(INDEX(ERP資料!$A:$A, (MATCH(491, 輔助計算!$E$2:$E$801, 0)+1))="","",INDEX(ERP資料!$A:$A, (MATCH(491, 輔助計算!$E$2:$E$801, 0)+1))), "")</f>
        <v/>
      </c>
      <c r="C492" s="10">
        <f>IFERROR(IF(INDEX(ERP資料!$S:$S, (MATCH(491, 輔助計算!$E$2:$E$801, 0)+1))="","",INDEX(ERP資料!$S:$S, (MATCH(491, 輔助計算!$E$2:$E$801, 0)+1))), "")</f>
        <v/>
      </c>
      <c r="D492" s="10">
        <f>IFERROR(IF(INDEX(ERP資料!$E:$E, (MATCH(491, 輔助計算!$E$2:$E$801, 0)+1))="","",TRIM(INDEX(ERP資料!$E:$E, (MATCH(491, 輔助計算!$E$2:$E$801, 0)+1)))), "")</f>
        <v/>
      </c>
      <c r="E492" s="10">
        <f>IFERROR(IF(INDEX(ERP資料!$F:$F, (MATCH(491, 輔助計算!$E$2:$E$801, 0)+1))="","",INDEX(ERP資料!$F:$F, (MATCH(491, 輔助計算!$E$2:$E$801, 0)+1))), "")</f>
        <v/>
      </c>
      <c r="F492" s="10">
        <f>IFERROR(IF(INDEX(ERP資料!$G:$G, (MATCH(491, 輔助計算!$E$2:$E$801, 0)+1))="","",INDEX(ERP資料!$G:$G, (MATCH(491, 輔助計算!$E$2:$E$801, 0)+1))), "")</f>
        <v/>
      </c>
      <c r="G492" s="10">
        <f>IFERROR(IF(INDEX(ERP資料!$H:$H, (MATCH(491, 輔助計算!$E$2:$E$801, 0)+1))="","",INDEX(ERP資料!$H:$H, (MATCH(491, 輔助計算!$E$2:$E$801, 0)+1))), "")</f>
        <v/>
      </c>
      <c r="H492" s="15">
        <f>IFERROR(INDEX(輔助計算!$D:$D, (MATCH(491, 輔助計算!$E$2:$E$801, 0)+1)), "")</f>
        <v/>
      </c>
      <c r="I492" s="10">
        <f>IFERROR(IF(INDEX(ERP資料!$O:$O, (MATCH(491, 輔助計算!$E$2:$E$801, 0)+1))="","",INDEX(ERP資料!$O:$O, (MATCH(491, 輔助計算!$E$2:$E$801, 0)+1))), "")</f>
        <v/>
      </c>
      <c r="J492" s="15">
        <f>IFERROR(IF(INDEX(輔助計算!$D:$D,(MATCH(491, 輔助計算!$E$2:$E$801, 0)+1))="","",INDEX(輔助計算!$D:$D,(MATCH(491, 輔助計算!$E$2:$E$801, 0)+1))*INDEX(ERP資料!$O:$O,(MATCH(491, 輔助計算!$E$2:$E$801, 0)+1))), "")</f>
        <v/>
      </c>
      <c r="K492" s="16" t="n"/>
      <c r="L492" s="16" t="n"/>
      <c r="M492" s="17" t="n"/>
    </row>
    <row r="493">
      <c r="A493" s="14">
        <f>IFERROR(IF(INDEX(ERP資料!$B:$B, (MATCH(492, 輔助計算!$E$2:$E$801, 0)+1))="","",INDEX(ERP資料!$B:$B, (MATCH(492, 輔助計算!$E$2:$E$801, 0)+1))), "")</f>
        <v/>
      </c>
      <c r="B493" s="10">
        <f>IFERROR(IF(INDEX(ERP資料!$A:$A, (MATCH(492, 輔助計算!$E$2:$E$801, 0)+1))="","",INDEX(ERP資料!$A:$A, (MATCH(492, 輔助計算!$E$2:$E$801, 0)+1))), "")</f>
        <v/>
      </c>
      <c r="C493" s="10">
        <f>IFERROR(IF(INDEX(ERP資料!$S:$S, (MATCH(492, 輔助計算!$E$2:$E$801, 0)+1))="","",INDEX(ERP資料!$S:$S, (MATCH(492, 輔助計算!$E$2:$E$801, 0)+1))), "")</f>
        <v/>
      </c>
      <c r="D493" s="10">
        <f>IFERROR(IF(INDEX(ERP資料!$E:$E, (MATCH(492, 輔助計算!$E$2:$E$801, 0)+1))="","",TRIM(INDEX(ERP資料!$E:$E, (MATCH(492, 輔助計算!$E$2:$E$801, 0)+1)))), "")</f>
        <v/>
      </c>
      <c r="E493" s="10">
        <f>IFERROR(IF(INDEX(ERP資料!$F:$F, (MATCH(492, 輔助計算!$E$2:$E$801, 0)+1))="","",INDEX(ERP資料!$F:$F, (MATCH(492, 輔助計算!$E$2:$E$801, 0)+1))), "")</f>
        <v/>
      </c>
      <c r="F493" s="10">
        <f>IFERROR(IF(INDEX(ERP資料!$G:$G, (MATCH(492, 輔助計算!$E$2:$E$801, 0)+1))="","",INDEX(ERP資料!$G:$G, (MATCH(492, 輔助計算!$E$2:$E$801, 0)+1))), "")</f>
        <v/>
      </c>
      <c r="G493" s="10">
        <f>IFERROR(IF(INDEX(ERP資料!$H:$H, (MATCH(492, 輔助計算!$E$2:$E$801, 0)+1))="","",INDEX(ERP資料!$H:$H, (MATCH(492, 輔助計算!$E$2:$E$801, 0)+1))), "")</f>
        <v/>
      </c>
      <c r="H493" s="15">
        <f>IFERROR(INDEX(輔助計算!$D:$D, (MATCH(492, 輔助計算!$E$2:$E$801, 0)+1)), "")</f>
        <v/>
      </c>
      <c r="I493" s="10">
        <f>IFERROR(IF(INDEX(ERP資料!$O:$O, (MATCH(492, 輔助計算!$E$2:$E$801, 0)+1))="","",INDEX(ERP資料!$O:$O, (MATCH(492, 輔助計算!$E$2:$E$801, 0)+1))), "")</f>
        <v/>
      </c>
      <c r="J493" s="15">
        <f>IFERROR(IF(INDEX(輔助計算!$D:$D,(MATCH(492, 輔助計算!$E$2:$E$801, 0)+1))="","",INDEX(輔助計算!$D:$D,(MATCH(492, 輔助計算!$E$2:$E$801, 0)+1))*INDEX(ERP資料!$O:$O,(MATCH(492, 輔助計算!$E$2:$E$801, 0)+1))), "")</f>
        <v/>
      </c>
      <c r="K493" s="16" t="n"/>
      <c r="L493" s="16" t="n"/>
      <c r="M493" s="17" t="n"/>
    </row>
    <row r="494">
      <c r="A494" s="14">
        <f>IFERROR(IF(INDEX(ERP資料!$B:$B, (MATCH(493, 輔助計算!$E$2:$E$801, 0)+1))="","",INDEX(ERP資料!$B:$B, (MATCH(493, 輔助計算!$E$2:$E$801, 0)+1))), "")</f>
        <v/>
      </c>
      <c r="B494" s="10">
        <f>IFERROR(IF(INDEX(ERP資料!$A:$A, (MATCH(493, 輔助計算!$E$2:$E$801, 0)+1))="","",INDEX(ERP資料!$A:$A, (MATCH(493, 輔助計算!$E$2:$E$801, 0)+1))), "")</f>
        <v/>
      </c>
      <c r="C494" s="10">
        <f>IFERROR(IF(INDEX(ERP資料!$S:$S, (MATCH(493, 輔助計算!$E$2:$E$801, 0)+1))="","",INDEX(ERP資料!$S:$S, (MATCH(493, 輔助計算!$E$2:$E$801, 0)+1))), "")</f>
        <v/>
      </c>
      <c r="D494" s="10">
        <f>IFERROR(IF(INDEX(ERP資料!$E:$E, (MATCH(493, 輔助計算!$E$2:$E$801, 0)+1))="","",TRIM(INDEX(ERP資料!$E:$E, (MATCH(493, 輔助計算!$E$2:$E$801, 0)+1)))), "")</f>
        <v/>
      </c>
      <c r="E494" s="10">
        <f>IFERROR(IF(INDEX(ERP資料!$F:$F, (MATCH(493, 輔助計算!$E$2:$E$801, 0)+1))="","",INDEX(ERP資料!$F:$F, (MATCH(493, 輔助計算!$E$2:$E$801, 0)+1))), "")</f>
        <v/>
      </c>
      <c r="F494" s="10">
        <f>IFERROR(IF(INDEX(ERP資料!$G:$G, (MATCH(493, 輔助計算!$E$2:$E$801, 0)+1))="","",INDEX(ERP資料!$G:$G, (MATCH(493, 輔助計算!$E$2:$E$801, 0)+1))), "")</f>
        <v/>
      </c>
      <c r="G494" s="10">
        <f>IFERROR(IF(INDEX(ERP資料!$H:$H, (MATCH(493, 輔助計算!$E$2:$E$801, 0)+1))="","",INDEX(ERP資料!$H:$H, (MATCH(493, 輔助計算!$E$2:$E$801, 0)+1))), "")</f>
        <v/>
      </c>
      <c r="H494" s="15">
        <f>IFERROR(INDEX(輔助計算!$D:$D, (MATCH(493, 輔助計算!$E$2:$E$801, 0)+1)), "")</f>
        <v/>
      </c>
      <c r="I494" s="10">
        <f>IFERROR(IF(INDEX(ERP資料!$O:$O, (MATCH(493, 輔助計算!$E$2:$E$801, 0)+1))="","",INDEX(ERP資料!$O:$O, (MATCH(493, 輔助計算!$E$2:$E$801, 0)+1))), "")</f>
        <v/>
      </c>
      <c r="J494" s="15">
        <f>IFERROR(IF(INDEX(輔助計算!$D:$D,(MATCH(493, 輔助計算!$E$2:$E$801, 0)+1))="","",INDEX(輔助計算!$D:$D,(MATCH(493, 輔助計算!$E$2:$E$801, 0)+1))*INDEX(ERP資料!$O:$O,(MATCH(493, 輔助計算!$E$2:$E$801, 0)+1))), "")</f>
        <v/>
      </c>
      <c r="K494" s="16" t="n"/>
      <c r="L494" s="16" t="n"/>
      <c r="M494" s="17" t="n"/>
    </row>
    <row r="495">
      <c r="A495" s="14">
        <f>IFERROR(IF(INDEX(ERP資料!$B:$B, (MATCH(494, 輔助計算!$E$2:$E$801, 0)+1))="","",INDEX(ERP資料!$B:$B, (MATCH(494, 輔助計算!$E$2:$E$801, 0)+1))), "")</f>
        <v/>
      </c>
      <c r="B495" s="10">
        <f>IFERROR(IF(INDEX(ERP資料!$A:$A, (MATCH(494, 輔助計算!$E$2:$E$801, 0)+1))="","",INDEX(ERP資料!$A:$A, (MATCH(494, 輔助計算!$E$2:$E$801, 0)+1))), "")</f>
        <v/>
      </c>
      <c r="C495" s="10">
        <f>IFERROR(IF(INDEX(ERP資料!$S:$S, (MATCH(494, 輔助計算!$E$2:$E$801, 0)+1))="","",INDEX(ERP資料!$S:$S, (MATCH(494, 輔助計算!$E$2:$E$801, 0)+1))), "")</f>
        <v/>
      </c>
      <c r="D495" s="10">
        <f>IFERROR(IF(INDEX(ERP資料!$E:$E, (MATCH(494, 輔助計算!$E$2:$E$801, 0)+1))="","",TRIM(INDEX(ERP資料!$E:$E, (MATCH(494, 輔助計算!$E$2:$E$801, 0)+1)))), "")</f>
        <v/>
      </c>
      <c r="E495" s="10">
        <f>IFERROR(IF(INDEX(ERP資料!$F:$F, (MATCH(494, 輔助計算!$E$2:$E$801, 0)+1))="","",INDEX(ERP資料!$F:$F, (MATCH(494, 輔助計算!$E$2:$E$801, 0)+1))), "")</f>
        <v/>
      </c>
      <c r="F495" s="10">
        <f>IFERROR(IF(INDEX(ERP資料!$G:$G, (MATCH(494, 輔助計算!$E$2:$E$801, 0)+1))="","",INDEX(ERP資料!$G:$G, (MATCH(494, 輔助計算!$E$2:$E$801, 0)+1))), "")</f>
        <v/>
      </c>
      <c r="G495" s="10">
        <f>IFERROR(IF(INDEX(ERP資料!$H:$H, (MATCH(494, 輔助計算!$E$2:$E$801, 0)+1))="","",INDEX(ERP資料!$H:$H, (MATCH(494, 輔助計算!$E$2:$E$801, 0)+1))), "")</f>
        <v/>
      </c>
      <c r="H495" s="15">
        <f>IFERROR(INDEX(輔助計算!$D:$D, (MATCH(494, 輔助計算!$E$2:$E$801, 0)+1)), "")</f>
        <v/>
      </c>
      <c r="I495" s="10">
        <f>IFERROR(IF(INDEX(ERP資料!$O:$O, (MATCH(494, 輔助計算!$E$2:$E$801, 0)+1))="","",INDEX(ERP資料!$O:$O, (MATCH(494, 輔助計算!$E$2:$E$801, 0)+1))), "")</f>
        <v/>
      </c>
      <c r="J495" s="15">
        <f>IFERROR(IF(INDEX(輔助計算!$D:$D,(MATCH(494, 輔助計算!$E$2:$E$801, 0)+1))="","",INDEX(輔助計算!$D:$D,(MATCH(494, 輔助計算!$E$2:$E$801, 0)+1))*INDEX(ERP資料!$O:$O,(MATCH(494, 輔助計算!$E$2:$E$801, 0)+1))), "")</f>
        <v/>
      </c>
      <c r="K495" s="16" t="n"/>
      <c r="L495" s="16" t="n"/>
      <c r="M495" s="17" t="n"/>
    </row>
    <row r="496">
      <c r="A496" s="14">
        <f>IFERROR(IF(INDEX(ERP資料!$B:$B, (MATCH(495, 輔助計算!$E$2:$E$801, 0)+1))="","",INDEX(ERP資料!$B:$B, (MATCH(495, 輔助計算!$E$2:$E$801, 0)+1))), "")</f>
        <v/>
      </c>
      <c r="B496" s="10">
        <f>IFERROR(IF(INDEX(ERP資料!$A:$A, (MATCH(495, 輔助計算!$E$2:$E$801, 0)+1))="","",INDEX(ERP資料!$A:$A, (MATCH(495, 輔助計算!$E$2:$E$801, 0)+1))), "")</f>
        <v/>
      </c>
      <c r="C496" s="10">
        <f>IFERROR(IF(INDEX(ERP資料!$S:$S, (MATCH(495, 輔助計算!$E$2:$E$801, 0)+1))="","",INDEX(ERP資料!$S:$S, (MATCH(495, 輔助計算!$E$2:$E$801, 0)+1))), "")</f>
        <v/>
      </c>
      <c r="D496" s="10">
        <f>IFERROR(IF(INDEX(ERP資料!$E:$E, (MATCH(495, 輔助計算!$E$2:$E$801, 0)+1))="","",TRIM(INDEX(ERP資料!$E:$E, (MATCH(495, 輔助計算!$E$2:$E$801, 0)+1)))), "")</f>
        <v/>
      </c>
      <c r="E496" s="10">
        <f>IFERROR(IF(INDEX(ERP資料!$F:$F, (MATCH(495, 輔助計算!$E$2:$E$801, 0)+1))="","",INDEX(ERP資料!$F:$F, (MATCH(495, 輔助計算!$E$2:$E$801, 0)+1))), "")</f>
        <v/>
      </c>
      <c r="F496" s="10">
        <f>IFERROR(IF(INDEX(ERP資料!$G:$G, (MATCH(495, 輔助計算!$E$2:$E$801, 0)+1))="","",INDEX(ERP資料!$G:$G, (MATCH(495, 輔助計算!$E$2:$E$801, 0)+1))), "")</f>
        <v/>
      </c>
      <c r="G496" s="10">
        <f>IFERROR(IF(INDEX(ERP資料!$H:$H, (MATCH(495, 輔助計算!$E$2:$E$801, 0)+1))="","",INDEX(ERP資料!$H:$H, (MATCH(495, 輔助計算!$E$2:$E$801, 0)+1))), "")</f>
        <v/>
      </c>
      <c r="H496" s="15">
        <f>IFERROR(INDEX(輔助計算!$D:$D, (MATCH(495, 輔助計算!$E$2:$E$801, 0)+1)), "")</f>
        <v/>
      </c>
      <c r="I496" s="10">
        <f>IFERROR(IF(INDEX(ERP資料!$O:$O, (MATCH(495, 輔助計算!$E$2:$E$801, 0)+1))="","",INDEX(ERP資料!$O:$O, (MATCH(495, 輔助計算!$E$2:$E$801, 0)+1))), "")</f>
        <v/>
      </c>
      <c r="J496" s="15">
        <f>IFERROR(IF(INDEX(輔助計算!$D:$D,(MATCH(495, 輔助計算!$E$2:$E$801, 0)+1))="","",INDEX(輔助計算!$D:$D,(MATCH(495, 輔助計算!$E$2:$E$801, 0)+1))*INDEX(ERP資料!$O:$O,(MATCH(495, 輔助計算!$E$2:$E$801, 0)+1))), "")</f>
        <v/>
      </c>
      <c r="K496" s="16" t="n"/>
      <c r="L496" s="16" t="n"/>
      <c r="M496" s="17" t="n"/>
    </row>
    <row r="497">
      <c r="A497" s="14">
        <f>IFERROR(IF(INDEX(ERP資料!$B:$B, (MATCH(496, 輔助計算!$E$2:$E$801, 0)+1))="","",INDEX(ERP資料!$B:$B, (MATCH(496, 輔助計算!$E$2:$E$801, 0)+1))), "")</f>
        <v/>
      </c>
      <c r="B497" s="10">
        <f>IFERROR(IF(INDEX(ERP資料!$A:$A, (MATCH(496, 輔助計算!$E$2:$E$801, 0)+1))="","",INDEX(ERP資料!$A:$A, (MATCH(496, 輔助計算!$E$2:$E$801, 0)+1))), "")</f>
        <v/>
      </c>
      <c r="C497" s="10">
        <f>IFERROR(IF(INDEX(ERP資料!$S:$S, (MATCH(496, 輔助計算!$E$2:$E$801, 0)+1))="","",INDEX(ERP資料!$S:$S, (MATCH(496, 輔助計算!$E$2:$E$801, 0)+1))), "")</f>
        <v/>
      </c>
      <c r="D497" s="10">
        <f>IFERROR(IF(INDEX(ERP資料!$E:$E, (MATCH(496, 輔助計算!$E$2:$E$801, 0)+1))="","",TRIM(INDEX(ERP資料!$E:$E, (MATCH(496, 輔助計算!$E$2:$E$801, 0)+1)))), "")</f>
        <v/>
      </c>
      <c r="E497" s="10">
        <f>IFERROR(IF(INDEX(ERP資料!$F:$F, (MATCH(496, 輔助計算!$E$2:$E$801, 0)+1))="","",INDEX(ERP資料!$F:$F, (MATCH(496, 輔助計算!$E$2:$E$801, 0)+1))), "")</f>
        <v/>
      </c>
      <c r="F497" s="10">
        <f>IFERROR(IF(INDEX(ERP資料!$G:$G, (MATCH(496, 輔助計算!$E$2:$E$801, 0)+1))="","",INDEX(ERP資料!$G:$G, (MATCH(496, 輔助計算!$E$2:$E$801, 0)+1))), "")</f>
        <v/>
      </c>
      <c r="G497" s="10">
        <f>IFERROR(IF(INDEX(ERP資料!$H:$H, (MATCH(496, 輔助計算!$E$2:$E$801, 0)+1))="","",INDEX(ERP資料!$H:$H, (MATCH(496, 輔助計算!$E$2:$E$801, 0)+1))), "")</f>
        <v/>
      </c>
      <c r="H497" s="15">
        <f>IFERROR(INDEX(輔助計算!$D:$D, (MATCH(496, 輔助計算!$E$2:$E$801, 0)+1)), "")</f>
        <v/>
      </c>
      <c r="I497" s="10">
        <f>IFERROR(IF(INDEX(ERP資料!$O:$O, (MATCH(496, 輔助計算!$E$2:$E$801, 0)+1))="","",INDEX(ERP資料!$O:$O, (MATCH(496, 輔助計算!$E$2:$E$801, 0)+1))), "")</f>
        <v/>
      </c>
      <c r="J497" s="15">
        <f>IFERROR(IF(INDEX(輔助計算!$D:$D,(MATCH(496, 輔助計算!$E$2:$E$801, 0)+1))="","",INDEX(輔助計算!$D:$D,(MATCH(496, 輔助計算!$E$2:$E$801, 0)+1))*INDEX(ERP資料!$O:$O,(MATCH(496, 輔助計算!$E$2:$E$801, 0)+1))), "")</f>
        <v/>
      </c>
      <c r="K497" s="16" t="n"/>
      <c r="L497" s="16" t="n"/>
      <c r="M497" s="17" t="n"/>
    </row>
    <row r="498">
      <c r="A498" s="14">
        <f>IFERROR(IF(INDEX(ERP資料!$B:$B, (MATCH(497, 輔助計算!$E$2:$E$801, 0)+1))="","",INDEX(ERP資料!$B:$B, (MATCH(497, 輔助計算!$E$2:$E$801, 0)+1))), "")</f>
        <v/>
      </c>
      <c r="B498" s="10">
        <f>IFERROR(IF(INDEX(ERP資料!$A:$A, (MATCH(497, 輔助計算!$E$2:$E$801, 0)+1))="","",INDEX(ERP資料!$A:$A, (MATCH(497, 輔助計算!$E$2:$E$801, 0)+1))), "")</f>
        <v/>
      </c>
      <c r="C498" s="10">
        <f>IFERROR(IF(INDEX(ERP資料!$S:$S, (MATCH(497, 輔助計算!$E$2:$E$801, 0)+1))="","",INDEX(ERP資料!$S:$S, (MATCH(497, 輔助計算!$E$2:$E$801, 0)+1))), "")</f>
        <v/>
      </c>
      <c r="D498" s="10">
        <f>IFERROR(IF(INDEX(ERP資料!$E:$E, (MATCH(497, 輔助計算!$E$2:$E$801, 0)+1))="","",TRIM(INDEX(ERP資料!$E:$E, (MATCH(497, 輔助計算!$E$2:$E$801, 0)+1)))), "")</f>
        <v/>
      </c>
      <c r="E498" s="10">
        <f>IFERROR(IF(INDEX(ERP資料!$F:$F, (MATCH(497, 輔助計算!$E$2:$E$801, 0)+1))="","",INDEX(ERP資料!$F:$F, (MATCH(497, 輔助計算!$E$2:$E$801, 0)+1))), "")</f>
        <v/>
      </c>
      <c r="F498" s="10">
        <f>IFERROR(IF(INDEX(ERP資料!$G:$G, (MATCH(497, 輔助計算!$E$2:$E$801, 0)+1))="","",INDEX(ERP資料!$G:$G, (MATCH(497, 輔助計算!$E$2:$E$801, 0)+1))), "")</f>
        <v/>
      </c>
      <c r="G498" s="10">
        <f>IFERROR(IF(INDEX(ERP資料!$H:$H, (MATCH(497, 輔助計算!$E$2:$E$801, 0)+1))="","",INDEX(ERP資料!$H:$H, (MATCH(497, 輔助計算!$E$2:$E$801, 0)+1))), "")</f>
        <v/>
      </c>
      <c r="H498" s="15">
        <f>IFERROR(INDEX(輔助計算!$D:$D, (MATCH(497, 輔助計算!$E$2:$E$801, 0)+1)), "")</f>
        <v/>
      </c>
      <c r="I498" s="10">
        <f>IFERROR(IF(INDEX(ERP資料!$O:$O, (MATCH(497, 輔助計算!$E$2:$E$801, 0)+1))="","",INDEX(ERP資料!$O:$O, (MATCH(497, 輔助計算!$E$2:$E$801, 0)+1))), "")</f>
        <v/>
      </c>
      <c r="J498" s="15">
        <f>IFERROR(IF(INDEX(輔助計算!$D:$D,(MATCH(497, 輔助計算!$E$2:$E$801, 0)+1))="","",INDEX(輔助計算!$D:$D,(MATCH(497, 輔助計算!$E$2:$E$801, 0)+1))*INDEX(ERP資料!$O:$O,(MATCH(497, 輔助計算!$E$2:$E$801, 0)+1))), "")</f>
        <v/>
      </c>
      <c r="K498" s="16" t="n"/>
      <c r="L498" s="16" t="n"/>
      <c r="M498" s="17" t="n"/>
    </row>
    <row r="499">
      <c r="A499" s="14">
        <f>IFERROR(IF(INDEX(ERP資料!$B:$B, (MATCH(498, 輔助計算!$E$2:$E$801, 0)+1))="","",INDEX(ERP資料!$B:$B, (MATCH(498, 輔助計算!$E$2:$E$801, 0)+1))), "")</f>
        <v/>
      </c>
      <c r="B499" s="10">
        <f>IFERROR(IF(INDEX(ERP資料!$A:$A, (MATCH(498, 輔助計算!$E$2:$E$801, 0)+1))="","",INDEX(ERP資料!$A:$A, (MATCH(498, 輔助計算!$E$2:$E$801, 0)+1))), "")</f>
        <v/>
      </c>
      <c r="C499" s="10">
        <f>IFERROR(IF(INDEX(ERP資料!$S:$S, (MATCH(498, 輔助計算!$E$2:$E$801, 0)+1))="","",INDEX(ERP資料!$S:$S, (MATCH(498, 輔助計算!$E$2:$E$801, 0)+1))), "")</f>
        <v/>
      </c>
      <c r="D499" s="10">
        <f>IFERROR(IF(INDEX(ERP資料!$E:$E, (MATCH(498, 輔助計算!$E$2:$E$801, 0)+1))="","",TRIM(INDEX(ERP資料!$E:$E, (MATCH(498, 輔助計算!$E$2:$E$801, 0)+1)))), "")</f>
        <v/>
      </c>
      <c r="E499" s="10">
        <f>IFERROR(IF(INDEX(ERP資料!$F:$F, (MATCH(498, 輔助計算!$E$2:$E$801, 0)+1))="","",INDEX(ERP資料!$F:$F, (MATCH(498, 輔助計算!$E$2:$E$801, 0)+1))), "")</f>
        <v/>
      </c>
      <c r="F499" s="10">
        <f>IFERROR(IF(INDEX(ERP資料!$G:$G, (MATCH(498, 輔助計算!$E$2:$E$801, 0)+1))="","",INDEX(ERP資料!$G:$G, (MATCH(498, 輔助計算!$E$2:$E$801, 0)+1))), "")</f>
        <v/>
      </c>
      <c r="G499" s="10">
        <f>IFERROR(IF(INDEX(ERP資料!$H:$H, (MATCH(498, 輔助計算!$E$2:$E$801, 0)+1))="","",INDEX(ERP資料!$H:$H, (MATCH(498, 輔助計算!$E$2:$E$801, 0)+1))), "")</f>
        <v/>
      </c>
      <c r="H499" s="15">
        <f>IFERROR(INDEX(輔助計算!$D:$D, (MATCH(498, 輔助計算!$E$2:$E$801, 0)+1)), "")</f>
        <v/>
      </c>
      <c r="I499" s="10">
        <f>IFERROR(IF(INDEX(ERP資料!$O:$O, (MATCH(498, 輔助計算!$E$2:$E$801, 0)+1))="","",INDEX(ERP資料!$O:$O, (MATCH(498, 輔助計算!$E$2:$E$801, 0)+1))), "")</f>
        <v/>
      </c>
      <c r="J499" s="15">
        <f>IFERROR(IF(INDEX(輔助計算!$D:$D,(MATCH(498, 輔助計算!$E$2:$E$801, 0)+1))="","",INDEX(輔助計算!$D:$D,(MATCH(498, 輔助計算!$E$2:$E$801, 0)+1))*INDEX(ERP資料!$O:$O,(MATCH(498, 輔助計算!$E$2:$E$801, 0)+1))), "")</f>
        <v/>
      </c>
      <c r="K499" s="16" t="n"/>
      <c r="L499" s="16" t="n"/>
      <c r="M499" s="17" t="n"/>
    </row>
    <row r="500">
      <c r="A500" s="14">
        <f>IFERROR(IF(INDEX(ERP資料!$B:$B, (MATCH(499, 輔助計算!$E$2:$E$801, 0)+1))="","",INDEX(ERP資料!$B:$B, (MATCH(499, 輔助計算!$E$2:$E$801, 0)+1))), "")</f>
        <v/>
      </c>
      <c r="B500" s="10">
        <f>IFERROR(IF(INDEX(ERP資料!$A:$A, (MATCH(499, 輔助計算!$E$2:$E$801, 0)+1))="","",INDEX(ERP資料!$A:$A, (MATCH(499, 輔助計算!$E$2:$E$801, 0)+1))), "")</f>
        <v/>
      </c>
      <c r="C500" s="10">
        <f>IFERROR(IF(INDEX(ERP資料!$S:$S, (MATCH(499, 輔助計算!$E$2:$E$801, 0)+1))="","",INDEX(ERP資料!$S:$S, (MATCH(499, 輔助計算!$E$2:$E$801, 0)+1))), "")</f>
        <v/>
      </c>
      <c r="D500" s="10">
        <f>IFERROR(IF(INDEX(ERP資料!$E:$E, (MATCH(499, 輔助計算!$E$2:$E$801, 0)+1))="","",TRIM(INDEX(ERP資料!$E:$E, (MATCH(499, 輔助計算!$E$2:$E$801, 0)+1)))), "")</f>
        <v/>
      </c>
      <c r="E500" s="10">
        <f>IFERROR(IF(INDEX(ERP資料!$F:$F, (MATCH(499, 輔助計算!$E$2:$E$801, 0)+1))="","",INDEX(ERP資料!$F:$F, (MATCH(499, 輔助計算!$E$2:$E$801, 0)+1))), "")</f>
        <v/>
      </c>
      <c r="F500" s="10">
        <f>IFERROR(IF(INDEX(ERP資料!$G:$G, (MATCH(499, 輔助計算!$E$2:$E$801, 0)+1))="","",INDEX(ERP資料!$G:$G, (MATCH(499, 輔助計算!$E$2:$E$801, 0)+1))), "")</f>
        <v/>
      </c>
      <c r="G500" s="10">
        <f>IFERROR(IF(INDEX(ERP資料!$H:$H, (MATCH(499, 輔助計算!$E$2:$E$801, 0)+1))="","",INDEX(ERP資料!$H:$H, (MATCH(499, 輔助計算!$E$2:$E$801, 0)+1))), "")</f>
        <v/>
      </c>
      <c r="H500" s="15">
        <f>IFERROR(INDEX(輔助計算!$D:$D, (MATCH(499, 輔助計算!$E$2:$E$801, 0)+1)), "")</f>
        <v/>
      </c>
      <c r="I500" s="10">
        <f>IFERROR(IF(INDEX(ERP資料!$O:$O, (MATCH(499, 輔助計算!$E$2:$E$801, 0)+1))="","",INDEX(ERP資料!$O:$O, (MATCH(499, 輔助計算!$E$2:$E$801, 0)+1))), "")</f>
        <v/>
      </c>
      <c r="J500" s="15">
        <f>IFERROR(IF(INDEX(輔助計算!$D:$D,(MATCH(499, 輔助計算!$E$2:$E$801, 0)+1))="","",INDEX(輔助計算!$D:$D,(MATCH(499, 輔助計算!$E$2:$E$801, 0)+1))*INDEX(ERP資料!$O:$O,(MATCH(499, 輔助計算!$E$2:$E$801, 0)+1))), "")</f>
        <v/>
      </c>
      <c r="K500" s="16" t="n"/>
      <c r="L500" s="16" t="n"/>
      <c r="M500" s="17" t="n"/>
    </row>
    <row r="501">
      <c r="A501" s="14">
        <f>IFERROR(IF(INDEX(ERP資料!$B:$B, (MATCH(500, 輔助計算!$E$2:$E$801, 0)+1))="","",INDEX(ERP資料!$B:$B, (MATCH(500, 輔助計算!$E$2:$E$801, 0)+1))), "")</f>
        <v/>
      </c>
      <c r="B501" s="10">
        <f>IFERROR(IF(INDEX(ERP資料!$A:$A, (MATCH(500, 輔助計算!$E$2:$E$801, 0)+1))="","",INDEX(ERP資料!$A:$A, (MATCH(500, 輔助計算!$E$2:$E$801, 0)+1))), "")</f>
        <v/>
      </c>
      <c r="C501" s="10">
        <f>IFERROR(IF(INDEX(ERP資料!$S:$S, (MATCH(500, 輔助計算!$E$2:$E$801, 0)+1))="","",INDEX(ERP資料!$S:$S, (MATCH(500, 輔助計算!$E$2:$E$801, 0)+1))), "")</f>
        <v/>
      </c>
      <c r="D501" s="10">
        <f>IFERROR(IF(INDEX(ERP資料!$E:$E, (MATCH(500, 輔助計算!$E$2:$E$801, 0)+1))="","",TRIM(INDEX(ERP資料!$E:$E, (MATCH(500, 輔助計算!$E$2:$E$801, 0)+1)))), "")</f>
        <v/>
      </c>
      <c r="E501" s="10">
        <f>IFERROR(IF(INDEX(ERP資料!$F:$F, (MATCH(500, 輔助計算!$E$2:$E$801, 0)+1))="","",INDEX(ERP資料!$F:$F, (MATCH(500, 輔助計算!$E$2:$E$801, 0)+1))), "")</f>
        <v/>
      </c>
      <c r="F501" s="10">
        <f>IFERROR(IF(INDEX(ERP資料!$G:$G, (MATCH(500, 輔助計算!$E$2:$E$801, 0)+1))="","",INDEX(ERP資料!$G:$G, (MATCH(500, 輔助計算!$E$2:$E$801, 0)+1))), "")</f>
        <v/>
      </c>
      <c r="G501" s="10">
        <f>IFERROR(IF(INDEX(ERP資料!$H:$H, (MATCH(500, 輔助計算!$E$2:$E$801, 0)+1))="","",INDEX(ERP資料!$H:$H, (MATCH(500, 輔助計算!$E$2:$E$801, 0)+1))), "")</f>
        <v/>
      </c>
      <c r="H501" s="15">
        <f>IFERROR(INDEX(輔助計算!$D:$D, (MATCH(500, 輔助計算!$E$2:$E$801, 0)+1)), "")</f>
        <v/>
      </c>
      <c r="I501" s="10">
        <f>IFERROR(IF(INDEX(ERP資料!$O:$O, (MATCH(500, 輔助計算!$E$2:$E$801, 0)+1))="","",INDEX(ERP資料!$O:$O, (MATCH(500, 輔助計算!$E$2:$E$801, 0)+1))), "")</f>
        <v/>
      </c>
      <c r="J501" s="15">
        <f>IFERROR(IF(INDEX(輔助計算!$D:$D,(MATCH(500, 輔助計算!$E$2:$E$801, 0)+1))="","",INDEX(輔助計算!$D:$D,(MATCH(500, 輔助計算!$E$2:$E$801, 0)+1))*INDEX(ERP資料!$O:$O,(MATCH(500, 輔助計算!$E$2:$E$801, 0)+1))), "")</f>
        <v/>
      </c>
      <c r="K501" s="16" t="n"/>
      <c r="L501" s="16" t="n"/>
      <c r="M501" s="17" t="n"/>
    </row>
    <row r="502">
      <c r="A502" s="14">
        <f>IFERROR(IF(INDEX(ERP資料!$B:$B, (MATCH(501, 輔助計算!$E$2:$E$801, 0)+1))="","",INDEX(ERP資料!$B:$B, (MATCH(501, 輔助計算!$E$2:$E$801, 0)+1))), "")</f>
        <v/>
      </c>
      <c r="B502" s="10">
        <f>IFERROR(IF(INDEX(ERP資料!$A:$A, (MATCH(501, 輔助計算!$E$2:$E$801, 0)+1))="","",INDEX(ERP資料!$A:$A, (MATCH(501, 輔助計算!$E$2:$E$801, 0)+1))), "")</f>
        <v/>
      </c>
      <c r="C502" s="10">
        <f>IFERROR(IF(INDEX(ERP資料!$S:$S, (MATCH(501, 輔助計算!$E$2:$E$801, 0)+1))="","",INDEX(ERP資料!$S:$S, (MATCH(501, 輔助計算!$E$2:$E$801, 0)+1))), "")</f>
        <v/>
      </c>
      <c r="D502" s="10">
        <f>IFERROR(IF(INDEX(ERP資料!$E:$E, (MATCH(501, 輔助計算!$E$2:$E$801, 0)+1))="","",TRIM(INDEX(ERP資料!$E:$E, (MATCH(501, 輔助計算!$E$2:$E$801, 0)+1)))), "")</f>
        <v/>
      </c>
      <c r="E502" s="10">
        <f>IFERROR(IF(INDEX(ERP資料!$F:$F, (MATCH(501, 輔助計算!$E$2:$E$801, 0)+1))="","",INDEX(ERP資料!$F:$F, (MATCH(501, 輔助計算!$E$2:$E$801, 0)+1))), "")</f>
        <v/>
      </c>
      <c r="F502" s="10">
        <f>IFERROR(IF(INDEX(ERP資料!$G:$G, (MATCH(501, 輔助計算!$E$2:$E$801, 0)+1))="","",INDEX(ERP資料!$G:$G, (MATCH(501, 輔助計算!$E$2:$E$801, 0)+1))), "")</f>
        <v/>
      </c>
      <c r="G502" s="10">
        <f>IFERROR(IF(INDEX(ERP資料!$H:$H, (MATCH(501, 輔助計算!$E$2:$E$801, 0)+1))="","",INDEX(ERP資料!$H:$H, (MATCH(501, 輔助計算!$E$2:$E$801, 0)+1))), "")</f>
        <v/>
      </c>
      <c r="H502" s="15">
        <f>IFERROR(INDEX(輔助計算!$D:$D, (MATCH(501, 輔助計算!$E$2:$E$801, 0)+1)), "")</f>
        <v/>
      </c>
      <c r="I502" s="10">
        <f>IFERROR(IF(INDEX(ERP資料!$O:$O, (MATCH(501, 輔助計算!$E$2:$E$801, 0)+1))="","",INDEX(ERP資料!$O:$O, (MATCH(501, 輔助計算!$E$2:$E$801, 0)+1))), "")</f>
        <v/>
      </c>
      <c r="J502" s="15">
        <f>IFERROR(IF(INDEX(輔助計算!$D:$D,(MATCH(501, 輔助計算!$E$2:$E$801, 0)+1))="","",INDEX(輔助計算!$D:$D,(MATCH(501, 輔助計算!$E$2:$E$801, 0)+1))*INDEX(ERP資料!$O:$O,(MATCH(501, 輔助計算!$E$2:$E$801, 0)+1))), "")</f>
        <v/>
      </c>
      <c r="K502" s="16" t="n"/>
      <c r="L502" s="16" t="n"/>
      <c r="M502" s="17" t="n"/>
    </row>
    <row r="503">
      <c r="A503" s="14">
        <f>IFERROR(IF(INDEX(ERP資料!$B:$B, (MATCH(502, 輔助計算!$E$2:$E$801, 0)+1))="","",INDEX(ERP資料!$B:$B, (MATCH(502, 輔助計算!$E$2:$E$801, 0)+1))), "")</f>
        <v/>
      </c>
      <c r="B503" s="10">
        <f>IFERROR(IF(INDEX(ERP資料!$A:$A, (MATCH(502, 輔助計算!$E$2:$E$801, 0)+1))="","",INDEX(ERP資料!$A:$A, (MATCH(502, 輔助計算!$E$2:$E$801, 0)+1))), "")</f>
        <v/>
      </c>
      <c r="C503" s="10">
        <f>IFERROR(IF(INDEX(ERP資料!$S:$S, (MATCH(502, 輔助計算!$E$2:$E$801, 0)+1))="","",INDEX(ERP資料!$S:$S, (MATCH(502, 輔助計算!$E$2:$E$801, 0)+1))), "")</f>
        <v/>
      </c>
      <c r="D503" s="10">
        <f>IFERROR(IF(INDEX(ERP資料!$E:$E, (MATCH(502, 輔助計算!$E$2:$E$801, 0)+1))="","",TRIM(INDEX(ERP資料!$E:$E, (MATCH(502, 輔助計算!$E$2:$E$801, 0)+1)))), "")</f>
        <v/>
      </c>
      <c r="E503" s="10">
        <f>IFERROR(IF(INDEX(ERP資料!$F:$F, (MATCH(502, 輔助計算!$E$2:$E$801, 0)+1))="","",INDEX(ERP資料!$F:$F, (MATCH(502, 輔助計算!$E$2:$E$801, 0)+1))), "")</f>
        <v/>
      </c>
      <c r="F503" s="10">
        <f>IFERROR(IF(INDEX(ERP資料!$G:$G, (MATCH(502, 輔助計算!$E$2:$E$801, 0)+1))="","",INDEX(ERP資料!$G:$G, (MATCH(502, 輔助計算!$E$2:$E$801, 0)+1))), "")</f>
        <v/>
      </c>
      <c r="G503" s="10">
        <f>IFERROR(IF(INDEX(ERP資料!$H:$H, (MATCH(502, 輔助計算!$E$2:$E$801, 0)+1))="","",INDEX(ERP資料!$H:$H, (MATCH(502, 輔助計算!$E$2:$E$801, 0)+1))), "")</f>
        <v/>
      </c>
      <c r="H503" s="15">
        <f>IFERROR(INDEX(輔助計算!$D:$D, (MATCH(502, 輔助計算!$E$2:$E$801, 0)+1)), "")</f>
        <v/>
      </c>
      <c r="I503" s="10">
        <f>IFERROR(IF(INDEX(ERP資料!$O:$O, (MATCH(502, 輔助計算!$E$2:$E$801, 0)+1))="","",INDEX(ERP資料!$O:$O, (MATCH(502, 輔助計算!$E$2:$E$801, 0)+1))), "")</f>
        <v/>
      </c>
      <c r="J503" s="15">
        <f>IFERROR(IF(INDEX(輔助計算!$D:$D,(MATCH(502, 輔助計算!$E$2:$E$801, 0)+1))="","",INDEX(輔助計算!$D:$D,(MATCH(502, 輔助計算!$E$2:$E$801, 0)+1))*INDEX(ERP資料!$O:$O,(MATCH(502, 輔助計算!$E$2:$E$801, 0)+1))), "")</f>
        <v/>
      </c>
      <c r="K503" s="16" t="n"/>
      <c r="L503" s="16" t="n"/>
      <c r="M503" s="17" t="n"/>
    </row>
    <row r="504">
      <c r="A504" s="14">
        <f>IFERROR(IF(INDEX(ERP資料!$B:$B, (MATCH(503, 輔助計算!$E$2:$E$801, 0)+1))="","",INDEX(ERP資料!$B:$B, (MATCH(503, 輔助計算!$E$2:$E$801, 0)+1))), "")</f>
        <v/>
      </c>
      <c r="B504" s="10">
        <f>IFERROR(IF(INDEX(ERP資料!$A:$A, (MATCH(503, 輔助計算!$E$2:$E$801, 0)+1))="","",INDEX(ERP資料!$A:$A, (MATCH(503, 輔助計算!$E$2:$E$801, 0)+1))), "")</f>
        <v/>
      </c>
      <c r="C504" s="10">
        <f>IFERROR(IF(INDEX(ERP資料!$S:$S, (MATCH(503, 輔助計算!$E$2:$E$801, 0)+1))="","",INDEX(ERP資料!$S:$S, (MATCH(503, 輔助計算!$E$2:$E$801, 0)+1))), "")</f>
        <v/>
      </c>
      <c r="D504" s="10">
        <f>IFERROR(IF(INDEX(ERP資料!$E:$E, (MATCH(503, 輔助計算!$E$2:$E$801, 0)+1))="","",TRIM(INDEX(ERP資料!$E:$E, (MATCH(503, 輔助計算!$E$2:$E$801, 0)+1)))), "")</f>
        <v/>
      </c>
      <c r="E504" s="10">
        <f>IFERROR(IF(INDEX(ERP資料!$F:$F, (MATCH(503, 輔助計算!$E$2:$E$801, 0)+1))="","",INDEX(ERP資料!$F:$F, (MATCH(503, 輔助計算!$E$2:$E$801, 0)+1))), "")</f>
        <v/>
      </c>
      <c r="F504" s="10">
        <f>IFERROR(IF(INDEX(ERP資料!$G:$G, (MATCH(503, 輔助計算!$E$2:$E$801, 0)+1))="","",INDEX(ERP資料!$G:$G, (MATCH(503, 輔助計算!$E$2:$E$801, 0)+1))), "")</f>
        <v/>
      </c>
      <c r="G504" s="10">
        <f>IFERROR(IF(INDEX(ERP資料!$H:$H, (MATCH(503, 輔助計算!$E$2:$E$801, 0)+1))="","",INDEX(ERP資料!$H:$H, (MATCH(503, 輔助計算!$E$2:$E$801, 0)+1))), "")</f>
        <v/>
      </c>
      <c r="H504" s="15">
        <f>IFERROR(INDEX(輔助計算!$D:$D, (MATCH(503, 輔助計算!$E$2:$E$801, 0)+1)), "")</f>
        <v/>
      </c>
      <c r="I504" s="10">
        <f>IFERROR(IF(INDEX(ERP資料!$O:$O, (MATCH(503, 輔助計算!$E$2:$E$801, 0)+1))="","",INDEX(ERP資料!$O:$O, (MATCH(503, 輔助計算!$E$2:$E$801, 0)+1))), "")</f>
        <v/>
      </c>
      <c r="J504" s="15">
        <f>IFERROR(IF(INDEX(輔助計算!$D:$D,(MATCH(503, 輔助計算!$E$2:$E$801, 0)+1))="","",INDEX(輔助計算!$D:$D,(MATCH(503, 輔助計算!$E$2:$E$801, 0)+1))*INDEX(ERP資料!$O:$O,(MATCH(503, 輔助計算!$E$2:$E$801, 0)+1))), "")</f>
        <v/>
      </c>
      <c r="K504" s="16" t="n"/>
      <c r="L504" s="16" t="n"/>
      <c r="M504" s="17" t="n"/>
    </row>
    <row r="505">
      <c r="A505" s="14">
        <f>IFERROR(IF(INDEX(ERP資料!$B:$B, (MATCH(504, 輔助計算!$E$2:$E$801, 0)+1))="","",INDEX(ERP資料!$B:$B, (MATCH(504, 輔助計算!$E$2:$E$801, 0)+1))), "")</f>
        <v/>
      </c>
      <c r="B505" s="10">
        <f>IFERROR(IF(INDEX(ERP資料!$A:$A, (MATCH(504, 輔助計算!$E$2:$E$801, 0)+1))="","",INDEX(ERP資料!$A:$A, (MATCH(504, 輔助計算!$E$2:$E$801, 0)+1))), "")</f>
        <v/>
      </c>
      <c r="C505" s="10">
        <f>IFERROR(IF(INDEX(ERP資料!$S:$S, (MATCH(504, 輔助計算!$E$2:$E$801, 0)+1))="","",INDEX(ERP資料!$S:$S, (MATCH(504, 輔助計算!$E$2:$E$801, 0)+1))), "")</f>
        <v/>
      </c>
      <c r="D505" s="10">
        <f>IFERROR(IF(INDEX(ERP資料!$E:$E, (MATCH(504, 輔助計算!$E$2:$E$801, 0)+1))="","",TRIM(INDEX(ERP資料!$E:$E, (MATCH(504, 輔助計算!$E$2:$E$801, 0)+1)))), "")</f>
        <v/>
      </c>
      <c r="E505" s="10">
        <f>IFERROR(IF(INDEX(ERP資料!$F:$F, (MATCH(504, 輔助計算!$E$2:$E$801, 0)+1))="","",INDEX(ERP資料!$F:$F, (MATCH(504, 輔助計算!$E$2:$E$801, 0)+1))), "")</f>
        <v/>
      </c>
      <c r="F505" s="10">
        <f>IFERROR(IF(INDEX(ERP資料!$G:$G, (MATCH(504, 輔助計算!$E$2:$E$801, 0)+1))="","",INDEX(ERP資料!$G:$G, (MATCH(504, 輔助計算!$E$2:$E$801, 0)+1))), "")</f>
        <v/>
      </c>
      <c r="G505" s="10">
        <f>IFERROR(IF(INDEX(ERP資料!$H:$H, (MATCH(504, 輔助計算!$E$2:$E$801, 0)+1))="","",INDEX(ERP資料!$H:$H, (MATCH(504, 輔助計算!$E$2:$E$801, 0)+1))), "")</f>
        <v/>
      </c>
      <c r="H505" s="15">
        <f>IFERROR(INDEX(輔助計算!$D:$D, (MATCH(504, 輔助計算!$E$2:$E$801, 0)+1)), "")</f>
        <v/>
      </c>
      <c r="I505" s="10">
        <f>IFERROR(IF(INDEX(ERP資料!$O:$O, (MATCH(504, 輔助計算!$E$2:$E$801, 0)+1))="","",INDEX(ERP資料!$O:$O, (MATCH(504, 輔助計算!$E$2:$E$801, 0)+1))), "")</f>
        <v/>
      </c>
      <c r="J505" s="15">
        <f>IFERROR(IF(INDEX(輔助計算!$D:$D,(MATCH(504, 輔助計算!$E$2:$E$801, 0)+1))="","",INDEX(輔助計算!$D:$D,(MATCH(504, 輔助計算!$E$2:$E$801, 0)+1))*INDEX(ERP資料!$O:$O,(MATCH(504, 輔助計算!$E$2:$E$801, 0)+1))), "")</f>
        <v/>
      </c>
      <c r="K505" s="16" t="n"/>
      <c r="L505" s="16" t="n"/>
      <c r="M505" s="17" t="n"/>
    </row>
    <row r="506">
      <c r="A506" s="14">
        <f>IFERROR(IF(INDEX(ERP資料!$B:$B, (MATCH(505, 輔助計算!$E$2:$E$801, 0)+1))="","",INDEX(ERP資料!$B:$B, (MATCH(505, 輔助計算!$E$2:$E$801, 0)+1))), "")</f>
        <v/>
      </c>
      <c r="B506" s="10">
        <f>IFERROR(IF(INDEX(ERP資料!$A:$A, (MATCH(505, 輔助計算!$E$2:$E$801, 0)+1))="","",INDEX(ERP資料!$A:$A, (MATCH(505, 輔助計算!$E$2:$E$801, 0)+1))), "")</f>
        <v/>
      </c>
      <c r="C506" s="10">
        <f>IFERROR(IF(INDEX(ERP資料!$S:$S, (MATCH(505, 輔助計算!$E$2:$E$801, 0)+1))="","",INDEX(ERP資料!$S:$S, (MATCH(505, 輔助計算!$E$2:$E$801, 0)+1))), "")</f>
        <v/>
      </c>
      <c r="D506" s="10">
        <f>IFERROR(IF(INDEX(ERP資料!$E:$E, (MATCH(505, 輔助計算!$E$2:$E$801, 0)+1))="","",TRIM(INDEX(ERP資料!$E:$E, (MATCH(505, 輔助計算!$E$2:$E$801, 0)+1)))), "")</f>
        <v/>
      </c>
      <c r="E506" s="10">
        <f>IFERROR(IF(INDEX(ERP資料!$F:$F, (MATCH(505, 輔助計算!$E$2:$E$801, 0)+1))="","",INDEX(ERP資料!$F:$F, (MATCH(505, 輔助計算!$E$2:$E$801, 0)+1))), "")</f>
        <v/>
      </c>
      <c r="F506" s="10">
        <f>IFERROR(IF(INDEX(ERP資料!$G:$G, (MATCH(505, 輔助計算!$E$2:$E$801, 0)+1))="","",INDEX(ERP資料!$G:$G, (MATCH(505, 輔助計算!$E$2:$E$801, 0)+1))), "")</f>
        <v/>
      </c>
      <c r="G506" s="10">
        <f>IFERROR(IF(INDEX(ERP資料!$H:$H, (MATCH(505, 輔助計算!$E$2:$E$801, 0)+1))="","",INDEX(ERP資料!$H:$H, (MATCH(505, 輔助計算!$E$2:$E$801, 0)+1))), "")</f>
        <v/>
      </c>
      <c r="H506" s="15">
        <f>IFERROR(INDEX(輔助計算!$D:$D, (MATCH(505, 輔助計算!$E$2:$E$801, 0)+1)), "")</f>
        <v/>
      </c>
      <c r="I506" s="10">
        <f>IFERROR(IF(INDEX(ERP資料!$O:$O, (MATCH(505, 輔助計算!$E$2:$E$801, 0)+1))="","",INDEX(ERP資料!$O:$O, (MATCH(505, 輔助計算!$E$2:$E$801, 0)+1))), "")</f>
        <v/>
      </c>
      <c r="J506" s="15">
        <f>IFERROR(IF(INDEX(輔助計算!$D:$D,(MATCH(505, 輔助計算!$E$2:$E$801, 0)+1))="","",INDEX(輔助計算!$D:$D,(MATCH(505, 輔助計算!$E$2:$E$801, 0)+1))*INDEX(ERP資料!$O:$O,(MATCH(505, 輔助計算!$E$2:$E$801, 0)+1))), "")</f>
        <v/>
      </c>
      <c r="K506" s="16" t="n"/>
      <c r="L506" s="16" t="n"/>
      <c r="M506" s="17" t="n"/>
    </row>
    <row r="507">
      <c r="A507" s="14">
        <f>IFERROR(IF(INDEX(ERP資料!$B:$B, (MATCH(506, 輔助計算!$E$2:$E$801, 0)+1))="","",INDEX(ERP資料!$B:$B, (MATCH(506, 輔助計算!$E$2:$E$801, 0)+1))), "")</f>
        <v/>
      </c>
      <c r="B507" s="10">
        <f>IFERROR(IF(INDEX(ERP資料!$A:$A, (MATCH(506, 輔助計算!$E$2:$E$801, 0)+1))="","",INDEX(ERP資料!$A:$A, (MATCH(506, 輔助計算!$E$2:$E$801, 0)+1))), "")</f>
        <v/>
      </c>
      <c r="C507" s="10">
        <f>IFERROR(IF(INDEX(ERP資料!$S:$S, (MATCH(506, 輔助計算!$E$2:$E$801, 0)+1))="","",INDEX(ERP資料!$S:$S, (MATCH(506, 輔助計算!$E$2:$E$801, 0)+1))), "")</f>
        <v/>
      </c>
      <c r="D507" s="10">
        <f>IFERROR(IF(INDEX(ERP資料!$E:$E, (MATCH(506, 輔助計算!$E$2:$E$801, 0)+1))="","",TRIM(INDEX(ERP資料!$E:$E, (MATCH(506, 輔助計算!$E$2:$E$801, 0)+1)))), "")</f>
        <v/>
      </c>
      <c r="E507" s="10">
        <f>IFERROR(IF(INDEX(ERP資料!$F:$F, (MATCH(506, 輔助計算!$E$2:$E$801, 0)+1))="","",INDEX(ERP資料!$F:$F, (MATCH(506, 輔助計算!$E$2:$E$801, 0)+1))), "")</f>
        <v/>
      </c>
      <c r="F507" s="10">
        <f>IFERROR(IF(INDEX(ERP資料!$G:$G, (MATCH(506, 輔助計算!$E$2:$E$801, 0)+1))="","",INDEX(ERP資料!$G:$G, (MATCH(506, 輔助計算!$E$2:$E$801, 0)+1))), "")</f>
        <v/>
      </c>
      <c r="G507" s="10">
        <f>IFERROR(IF(INDEX(ERP資料!$H:$H, (MATCH(506, 輔助計算!$E$2:$E$801, 0)+1))="","",INDEX(ERP資料!$H:$H, (MATCH(506, 輔助計算!$E$2:$E$801, 0)+1))), "")</f>
        <v/>
      </c>
      <c r="H507" s="15">
        <f>IFERROR(INDEX(輔助計算!$D:$D, (MATCH(506, 輔助計算!$E$2:$E$801, 0)+1)), "")</f>
        <v/>
      </c>
      <c r="I507" s="10">
        <f>IFERROR(IF(INDEX(ERP資料!$O:$O, (MATCH(506, 輔助計算!$E$2:$E$801, 0)+1))="","",INDEX(ERP資料!$O:$O, (MATCH(506, 輔助計算!$E$2:$E$801, 0)+1))), "")</f>
        <v/>
      </c>
      <c r="J507" s="15">
        <f>IFERROR(IF(INDEX(輔助計算!$D:$D,(MATCH(506, 輔助計算!$E$2:$E$801, 0)+1))="","",INDEX(輔助計算!$D:$D,(MATCH(506, 輔助計算!$E$2:$E$801, 0)+1))*INDEX(ERP資料!$O:$O,(MATCH(506, 輔助計算!$E$2:$E$801, 0)+1))), "")</f>
        <v/>
      </c>
      <c r="K507" s="16" t="n"/>
      <c r="L507" s="16" t="n"/>
      <c r="M507" s="17" t="n"/>
    </row>
    <row r="508">
      <c r="A508" s="14">
        <f>IFERROR(IF(INDEX(ERP資料!$B:$B, (MATCH(507, 輔助計算!$E$2:$E$801, 0)+1))="","",INDEX(ERP資料!$B:$B, (MATCH(507, 輔助計算!$E$2:$E$801, 0)+1))), "")</f>
        <v/>
      </c>
      <c r="B508" s="10">
        <f>IFERROR(IF(INDEX(ERP資料!$A:$A, (MATCH(507, 輔助計算!$E$2:$E$801, 0)+1))="","",INDEX(ERP資料!$A:$A, (MATCH(507, 輔助計算!$E$2:$E$801, 0)+1))), "")</f>
        <v/>
      </c>
      <c r="C508" s="10">
        <f>IFERROR(IF(INDEX(ERP資料!$S:$S, (MATCH(507, 輔助計算!$E$2:$E$801, 0)+1))="","",INDEX(ERP資料!$S:$S, (MATCH(507, 輔助計算!$E$2:$E$801, 0)+1))), "")</f>
        <v/>
      </c>
      <c r="D508" s="10">
        <f>IFERROR(IF(INDEX(ERP資料!$E:$E, (MATCH(507, 輔助計算!$E$2:$E$801, 0)+1))="","",TRIM(INDEX(ERP資料!$E:$E, (MATCH(507, 輔助計算!$E$2:$E$801, 0)+1)))), "")</f>
        <v/>
      </c>
      <c r="E508" s="10">
        <f>IFERROR(IF(INDEX(ERP資料!$F:$F, (MATCH(507, 輔助計算!$E$2:$E$801, 0)+1))="","",INDEX(ERP資料!$F:$F, (MATCH(507, 輔助計算!$E$2:$E$801, 0)+1))), "")</f>
        <v/>
      </c>
      <c r="F508" s="10">
        <f>IFERROR(IF(INDEX(ERP資料!$G:$G, (MATCH(507, 輔助計算!$E$2:$E$801, 0)+1))="","",INDEX(ERP資料!$G:$G, (MATCH(507, 輔助計算!$E$2:$E$801, 0)+1))), "")</f>
        <v/>
      </c>
      <c r="G508" s="10">
        <f>IFERROR(IF(INDEX(ERP資料!$H:$H, (MATCH(507, 輔助計算!$E$2:$E$801, 0)+1))="","",INDEX(ERP資料!$H:$H, (MATCH(507, 輔助計算!$E$2:$E$801, 0)+1))), "")</f>
        <v/>
      </c>
      <c r="H508" s="15">
        <f>IFERROR(INDEX(輔助計算!$D:$D, (MATCH(507, 輔助計算!$E$2:$E$801, 0)+1)), "")</f>
        <v/>
      </c>
      <c r="I508" s="10">
        <f>IFERROR(IF(INDEX(ERP資料!$O:$O, (MATCH(507, 輔助計算!$E$2:$E$801, 0)+1))="","",INDEX(ERP資料!$O:$O, (MATCH(507, 輔助計算!$E$2:$E$801, 0)+1))), "")</f>
        <v/>
      </c>
      <c r="J508" s="15">
        <f>IFERROR(IF(INDEX(輔助計算!$D:$D,(MATCH(507, 輔助計算!$E$2:$E$801, 0)+1))="","",INDEX(輔助計算!$D:$D,(MATCH(507, 輔助計算!$E$2:$E$801, 0)+1))*INDEX(ERP資料!$O:$O,(MATCH(507, 輔助計算!$E$2:$E$801, 0)+1))), "")</f>
        <v/>
      </c>
      <c r="K508" s="16" t="n"/>
      <c r="L508" s="16" t="n"/>
      <c r="M508" s="17" t="n"/>
    </row>
    <row r="509">
      <c r="A509" s="14">
        <f>IFERROR(IF(INDEX(ERP資料!$B:$B, (MATCH(508, 輔助計算!$E$2:$E$801, 0)+1))="","",INDEX(ERP資料!$B:$B, (MATCH(508, 輔助計算!$E$2:$E$801, 0)+1))), "")</f>
        <v/>
      </c>
      <c r="B509" s="10">
        <f>IFERROR(IF(INDEX(ERP資料!$A:$A, (MATCH(508, 輔助計算!$E$2:$E$801, 0)+1))="","",INDEX(ERP資料!$A:$A, (MATCH(508, 輔助計算!$E$2:$E$801, 0)+1))), "")</f>
        <v/>
      </c>
      <c r="C509" s="10">
        <f>IFERROR(IF(INDEX(ERP資料!$S:$S, (MATCH(508, 輔助計算!$E$2:$E$801, 0)+1))="","",INDEX(ERP資料!$S:$S, (MATCH(508, 輔助計算!$E$2:$E$801, 0)+1))), "")</f>
        <v/>
      </c>
      <c r="D509" s="10">
        <f>IFERROR(IF(INDEX(ERP資料!$E:$E, (MATCH(508, 輔助計算!$E$2:$E$801, 0)+1))="","",TRIM(INDEX(ERP資料!$E:$E, (MATCH(508, 輔助計算!$E$2:$E$801, 0)+1)))), "")</f>
        <v/>
      </c>
      <c r="E509" s="10">
        <f>IFERROR(IF(INDEX(ERP資料!$F:$F, (MATCH(508, 輔助計算!$E$2:$E$801, 0)+1))="","",INDEX(ERP資料!$F:$F, (MATCH(508, 輔助計算!$E$2:$E$801, 0)+1))), "")</f>
        <v/>
      </c>
      <c r="F509" s="10">
        <f>IFERROR(IF(INDEX(ERP資料!$G:$G, (MATCH(508, 輔助計算!$E$2:$E$801, 0)+1))="","",INDEX(ERP資料!$G:$G, (MATCH(508, 輔助計算!$E$2:$E$801, 0)+1))), "")</f>
        <v/>
      </c>
      <c r="G509" s="10">
        <f>IFERROR(IF(INDEX(ERP資料!$H:$H, (MATCH(508, 輔助計算!$E$2:$E$801, 0)+1))="","",INDEX(ERP資料!$H:$H, (MATCH(508, 輔助計算!$E$2:$E$801, 0)+1))), "")</f>
        <v/>
      </c>
      <c r="H509" s="15">
        <f>IFERROR(INDEX(輔助計算!$D:$D, (MATCH(508, 輔助計算!$E$2:$E$801, 0)+1)), "")</f>
        <v/>
      </c>
      <c r="I509" s="10">
        <f>IFERROR(IF(INDEX(ERP資料!$O:$O, (MATCH(508, 輔助計算!$E$2:$E$801, 0)+1))="","",INDEX(ERP資料!$O:$O, (MATCH(508, 輔助計算!$E$2:$E$801, 0)+1))), "")</f>
        <v/>
      </c>
      <c r="J509" s="15">
        <f>IFERROR(IF(INDEX(輔助計算!$D:$D,(MATCH(508, 輔助計算!$E$2:$E$801, 0)+1))="","",INDEX(輔助計算!$D:$D,(MATCH(508, 輔助計算!$E$2:$E$801, 0)+1))*INDEX(ERP資料!$O:$O,(MATCH(508, 輔助計算!$E$2:$E$801, 0)+1))), "")</f>
        <v/>
      </c>
      <c r="K509" s="16" t="n"/>
      <c r="L509" s="16" t="n"/>
      <c r="M509" s="17" t="n"/>
    </row>
    <row r="510">
      <c r="A510" s="14">
        <f>IFERROR(IF(INDEX(ERP資料!$B:$B, (MATCH(509, 輔助計算!$E$2:$E$801, 0)+1))="","",INDEX(ERP資料!$B:$B, (MATCH(509, 輔助計算!$E$2:$E$801, 0)+1))), "")</f>
        <v/>
      </c>
      <c r="B510" s="10">
        <f>IFERROR(IF(INDEX(ERP資料!$A:$A, (MATCH(509, 輔助計算!$E$2:$E$801, 0)+1))="","",INDEX(ERP資料!$A:$A, (MATCH(509, 輔助計算!$E$2:$E$801, 0)+1))), "")</f>
        <v/>
      </c>
      <c r="C510" s="10">
        <f>IFERROR(IF(INDEX(ERP資料!$S:$S, (MATCH(509, 輔助計算!$E$2:$E$801, 0)+1))="","",INDEX(ERP資料!$S:$S, (MATCH(509, 輔助計算!$E$2:$E$801, 0)+1))), "")</f>
        <v/>
      </c>
      <c r="D510" s="10">
        <f>IFERROR(IF(INDEX(ERP資料!$E:$E, (MATCH(509, 輔助計算!$E$2:$E$801, 0)+1))="","",TRIM(INDEX(ERP資料!$E:$E, (MATCH(509, 輔助計算!$E$2:$E$801, 0)+1)))), "")</f>
        <v/>
      </c>
      <c r="E510" s="10">
        <f>IFERROR(IF(INDEX(ERP資料!$F:$F, (MATCH(509, 輔助計算!$E$2:$E$801, 0)+1))="","",INDEX(ERP資料!$F:$F, (MATCH(509, 輔助計算!$E$2:$E$801, 0)+1))), "")</f>
        <v/>
      </c>
      <c r="F510" s="10">
        <f>IFERROR(IF(INDEX(ERP資料!$G:$G, (MATCH(509, 輔助計算!$E$2:$E$801, 0)+1))="","",INDEX(ERP資料!$G:$G, (MATCH(509, 輔助計算!$E$2:$E$801, 0)+1))), "")</f>
        <v/>
      </c>
      <c r="G510" s="10">
        <f>IFERROR(IF(INDEX(ERP資料!$H:$H, (MATCH(509, 輔助計算!$E$2:$E$801, 0)+1))="","",INDEX(ERP資料!$H:$H, (MATCH(509, 輔助計算!$E$2:$E$801, 0)+1))), "")</f>
        <v/>
      </c>
      <c r="H510" s="15">
        <f>IFERROR(INDEX(輔助計算!$D:$D, (MATCH(509, 輔助計算!$E$2:$E$801, 0)+1)), "")</f>
        <v/>
      </c>
      <c r="I510" s="10">
        <f>IFERROR(IF(INDEX(ERP資料!$O:$O, (MATCH(509, 輔助計算!$E$2:$E$801, 0)+1))="","",INDEX(ERP資料!$O:$O, (MATCH(509, 輔助計算!$E$2:$E$801, 0)+1))), "")</f>
        <v/>
      </c>
      <c r="J510" s="15">
        <f>IFERROR(IF(INDEX(輔助計算!$D:$D,(MATCH(509, 輔助計算!$E$2:$E$801, 0)+1))="","",INDEX(輔助計算!$D:$D,(MATCH(509, 輔助計算!$E$2:$E$801, 0)+1))*INDEX(ERP資料!$O:$O,(MATCH(509, 輔助計算!$E$2:$E$801, 0)+1))), "")</f>
        <v/>
      </c>
      <c r="K510" s="16" t="n"/>
      <c r="L510" s="16" t="n"/>
      <c r="M510" s="17" t="n"/>
    </row>
    <row r="511">
      <c r="A511" s="14">
        <f>IFERROR(IF(INDEX(ERP資料!$B:$B, (MATCH(510, 輔助計算!$E$2:$E$801, 0)+1))="","",INDEX(ERP資料!$B:$B, (MATCH(510, 輔助計算!$E$2:$E$801, 0)+1))), "")</f>
        <v/>
      </c>
      <c r="B511" s="10">
        <f>IFERROR(IF(INDEX(ERP資料!$A:$A, (MATCH(510, 輔助計算!$E$2:$E$801, 0)+1))="","",INDEX(ERP資料!$A:$A, (MATCH(510, 輔助計算!$E$2:$E$801, 0)+1))), "")</f>
        <v/>
      </c>
      <c r="C511" s="10">
        <f>IFERROR(IF(INDEX(ERP資料!$S:$S, (MATCH(510, 輔助計算!$E$2:$E$801, 0)+1))="","",INDEX(ERP資料!$S:$S, (MATCH(510, 輔助計算!$E$2:$E$801, 0)+1))), "")</f>
        <v/>
      </c>
      <c r="D511" s="10">
        <f>IFERROR(IF(INDEX(ERP資料!$E:$E, (MATCH(510, 輔助計算!$E$2:$E$801, 0)+1))="","",TRIM(INDEX(ERP資料!$E:$E, (MATCH(510, 輔助計算!$E$2:$E$801, 0)+1)))), "")</f>
        <v/>
      </c>
      <c r="E511" s="10">
        <f>IFERROR(IF(INDEX(ERP資料!$F:$F, (MATCH(510, 輔助計算!$E$2:$E$801, 0)+1))="","",INDEX(ERP資料!$F:$F, (MATCH(510, 輔助計算!$E$2:$E$801, 0)+1))), "")</f>
        <v/>
      </c>
      <c r="F511" s="10">
        <f>IFERROR(IF(INDEX(ERP資料!$G:$G, (MATCH(510, 輔助計算!$E$2:$E$801, 0)+1))="","",INDEX(ERP資料!$G:$G, (MATCH(510, 輔助計算!$E$2:$E$801, 0)+1))), "")</f>
        <v/>
      </c>
      <c r="G511" s="10">
        <f>IFERROR(IF(INDEX(ERP資料!$H:$H, (MATCH(510, 輔助計算!$E$2:$E$801, 0)+1))="","",INDEX(ERP資料!$H:$H, (MATCH(510, 輔助計算!$E$2:$E$801, 0)+1))), "")</f>
        <v/>
      </c>
      <c r="H511" s="15">
        <f>IFERROR(INDEX(輔助計算!$D:$D, (MATCH(510, 輔助計算!$E$2:$E$801, 0)+1)), "")</f>
        <v/>
      </c>
      <c r="I511" s="10">
        <f>IFERROR(IF(INDEX(ERP資料!$O:$O, (MATCH(510, 輔助計算!$E$2:$E$801, 0)+1))="","",INDEX(ERP資料!$O:$O, (MATCH(510, 輔助計算!$E$2:$E$801, 0)+1))), "")</f>
        <v/>
      </c>
      <c r="J511" s="15">
        <f>IFERROR(IF(INDEX(輔助計算!$D:$D,(MATCH(510, 輔助計算!$E$2:$E$801, 0)+1))="","",INDEX(輔助計算!$D:$D,(MATCH(510, 輔助計算!$E$2:$E$801, 0)+1))*INDEX(ERP資料!$O:$O,(MATCH(510, 輔助計算!$E$2:$E$801, 0)+1))), "")</f>
        <v/>
      </c>
      <c r="K511" s="16" t="n"/>
      <c r="L511" s="16" t="n"/>
      <c r="M511" s="17" t="n"/>
    </row>
    <row r="512">
      <c r="A512" s="14">
        <f>IFERROR(IF(INDEX(ERP資料!$B:$B, (MATCH(511, 輔助計算!$E$2:$E$801, 0)+1))="","",INDEX(ERP資料!$B:$B, (MATCH(511, 輔助計算!$E$2:$E$801, 0)+1))), "")</f>
        <v/>
      </c>
      <c r="B512" s="10">
        <f>IFERROR(IF(INDEX(ERP資料!$A:$A, (MATCH(511, 輔助計算!$E$2:$E$801, 0)+1))="","",INDEX(ERP資料!$A:$A, (MATCH(511, 輔助計算!$E$2:$E$801, 0)+1))), "")</f>
        <v/>
      </c>
      <c r="C512" s="10">
        <f>IFERROR(IF(INDEX(ERP資料!$S:$S, (MATCH(511, 輔助計算!$E$2:$E$801, 0)+1))="","",INDEX(ERP資料!$S:$S, (MATCH(511, 輔助計算!$E$2:$E$801, 0)+1))), "")</f>
        <v/>
      </c>
      <c r="D512" s="10">
        <f>IFERROR(IF(INDEX(ERP資料!$E:$E, (MATCH(511, 輔助計算!$E$2:$E$801, 0)+1))="","",TRIM(INDEX(ERP資料!$E:$E, (MATCH(511, 輔助計算!$E$2:$E$801, 0)+1)))), "")</f>
        <v/>
      </c>
      <c r="E512" s="10">
        <f>IFERROR(IF(INDEX(ERP資料!$F:$F, (MATCH(511, 輔助計算!$E$2:$E$801, 0)+1))="","",INDEX(ERP資料!$F:$F, (MATCH(511, 輔助計算!$E$2:$E$801, 0)+1))), "")</f>
        <v/>
      </c>
      <c r="F512" s="10">
        <f>IFERROR(IF(INDEX(ERP資料!$G:$G, (MATCH(511, 輔助計算!$E$2:$E$801, 0)+1))="","",INDEX(ERP資料!$G:$G, (MATCH(511, 輔助計算!$E$2:$E$801, 0)+1))), "")</f>
        <v/>
      </c>
      <c r="G512" s="10">
        <f>IFERROR(IF(INDEX(ERP資料!$H:$H, (MATCH(511, 輔助計算!$E$2:$E$801, 0)+1))="","",INDEX(ERP資料!$H:$H, (MATCH(511, 輔助計算!$E$2:$E$801, 0)+1))), "")</f>
        <v/>
      </c>
      <c r="H512" s="15">
        <f>IFERROR(INDEX(輔助計算!$D:$D, (MATCH(511, 輔助計算!$E$2:$E$801, 0)+1)), "")</f>
        <v/>
      </c>
      <c r="I512" s="10">
        <f>IFERROR(IF(INDEX(ERP資料!$O:$O, (MATCH(511, 輔助計算!$E$2:$E$801, 0)+1))="","",INDEX(ERP資料!$O:$O, (MATCH(511, 輔助計算!$E$2:$E$801, 0)+1))), "")</f>
        <v/>
      </c>
      <c r="J512" s="15">
        <f>IFERROR(IF(INDEX(輔助計算!$D:$D,(MATCH(511, 輔助計算!$E$2:$E$801, 0)+1))="","",INDEX(輔助計算!$D:$D,(MATCH(511, 輔助計算!$E$2:$E$801, 0)+1))*INDEX(ERP資料!$O:$O,(MATCH(511, 輔助計算!$E$2:$E$801, 0)+1))), "")</f>
        <v/>
      </c>
      <c r="K512" s="16" t="n"/>
      <c r="L512" s="16" t="n"/>
      <c r="M512" s="17" t="n"/>
    </row>
    <row r="513">
      <c r="A513" s="14">
        <f>IFERROR(IF(INDEX(ERP資料!$B:$B, (MATCH(512, 輔助計算!$E$2:$E$801, 0)+1))="","",INDEX(ERP資料!$B:$B, (MATCH(512, 輔助計算!$E$2:$E$801, 0)+1))), "")</f>
        <v/>
      </c>
      <c r="B513" s="10">
        <f>IFERROR(IF(INDEX(ERP資料!$A:$A, (MATCH(512, 輔助計算!$E$2:$E$801, 0)+1))="","",INDEX(ERP資料!$A:$A, (MATCH(512, 輔助計算!$E$2:$E$801, 0)+1))), "")</f>
        <v/>
      </c>
      <c r="C513" s="10">
        <f>IFERROR(IF(INDEX(ERP資料!$S:$S, (MATCH(512, 輔助計算!$E$2:$E$801, 0)+1))="","",INDEX(ERP資料!$S:$S, (MATCH(512, 輔助計算!$E$2:$E$801, 0)+1))), "")</f>
        <v/>
      </c>
      <c r="D513" s="10">
        <f>IFERROR(IF(INDEX(ERP資料!$E:$E, (MATCH(512, 輔助計算!$E$2:$E$801, 0)+1))="","",TRIM(INDEX(ERP資料!$E:$E, (MATCH(512, 輔助計算!$E$2:$E$801, 0)+1)))), "")</f>
        <v/>
      </c>
      <c r="E513" s="10">
        <f>IFERROR(IF(INDEX(ERP資料!$F:$F, (MATCH(512, 輔助計算!$E$2:$E$801, 0)+1))="","",INDEX(ERP資料!$F:$F, (MATCH(512, 輔助計算!$E$2:$E$801, 0)+1))), "")</f>
        <v/>
      </c>
      <c r="F513" s="10">
        <f>IFERROR(IF(INDEX(ERP資料!$G:$G, (MATCH(512, 輔助計算!$E$2:$E$801, 0)+1))="","",INDEX(ERP資料!$G:$G, (MATCH(512, 輔助計算!$E$2:$E$801, 0)+1))), "")</f>
        <v/>
      </c>
      <c r="G513" s="10">
        <f>IFERROR(IF(INDEX(ERP資料!$H:$H, (MATCH(512, 輔助計算!$E$2:$E$801, 0)+1))="","",INDEX(ERP資料!$H:$H, (MATCH(512, 輔助計算!$E$2:$E$801, 0)+1))), "")</f>
        <v/>
      </c>
      <c r="H513" s="15">
        <f>IFERROR(INDEX(輔助計算!$D:$D, (MATCH(512, 輔助計算!$E$2:$E$801, 0)+1)), "")</f>
        <v/>
      </c>
      <c r="I513" s="10">
        <f>IFERROR(IF(INDEX(ERP資料!$O:$O, (MATCH(512, 輔助計算!$E$2:$E$801, 0)+1))="","",INDEX(ERP資料!$O:$O, (MATCH(512, 輔助計算!$E$2:$E$801, 0)+1))), "")</f>
        <v/>
      </c>
      <c r="J513" s="15">
        <f>IFERROR(IF(INDEX(輔助計算!$D:$D,(MATCH(512, 輔助計算!$E$2:$E$801, 0)+1))="","",INDEX(輔助計算!$D:$D,(MATCH(512, 輔助計算!$E$2:$E$801, 0)+1))*INDEX(ERP資料!$O:$O,(MATCH(512, 輔助計算!$E$2:$E$801, 0)+1))), "")</f>
        <v/>
      </c>
      <c r="K513" s="16" t="n"/>
      <c r="L513" s="16" t="n"/>
      <c r="M513" s="17" t="n"/>
    </row>
    <row r="514">
      <c r="A514" s="14">
        <f>IFERROR(IF(INDEX(ERP資料!$B:$B, (MATCH(513, 輔助計算!$E$2:$E$801, 0)+1))="","",INDEX(ERP資料!$B:$B, (MATCH(513, 輔助計算!$E$2:$E$801, 0)+1))), "")</f>
        <v/>
      </c>
      <c r="B514" s="10">
        <f>IFERROR(IF(INDEX(ERP資料!$A:$A, (MATCH(513, 輔助計算!$E$2:$E$801, 0)+1))="","",INDEX(ERP資料!$A:$A, (MATCH(513, 輔助計算!$E$2:$E$801, 0)+1))), "")</f>
        <v/>
      </c>
      <c r="C514" s="10">
        <f>IFERROR(IF(INDEX(ERP資料!$S:$S, (MATCH(513, 輔助計算!$E$2:$E$801, 0)+1))="","",INDEX(ERP資料!$S:$S, (MATCH(513, 輔助計算!$E$2:$E$801, 0)+1))), "")</f>
        <v/>
      </c>
      <c r="D514" s="10">
        <f>IFERROR(IF(INDEX(ERP資料!$E:$E, (MATCH(513, 輔助計算!$E$2:$E$801, 0)+1))="","",TRIM(INDEX(ERP資料!$E:$E, (MATCH(513, 輔助計算!$E$2:$E$801, 0)+1)))), "")</f>
        <v/>
      </c>
      <c r="E514" s="10">
        <f>IFERROR(IF(INDEX(ERP資料!$F:$F, (MATCH(513, 輔助計算!$E$2:$E$801, 0)+1))="","",INDEX(ERP資料!$F:$F, (MATCH(513, 輔助計算!$E$2:$E$801, 0)+1))), "")</f>
        <v/>
      </c>
      <c r="F514" s="10">
        <f>IFERROR(IF(INDEX(ERP資料!$G:$G, (MATCH(513, 輔助計算!$E$2:$E$801, 0)+1))="","",INDEX(ERP資料!$G:$G, (MATCH(513, 輔助計算!$E$2:$E$801, 0)+1))), "")</f>
        <v/>
      </c>
      <c r="G514" s="10">
        <f>IFERROR(IF(INDEX(ERP資料!$H:$H, (MATCH(513, 輔助計算!$E$2:$E$801, 0)+1))="","",INDEX(ERP資料!$H:$H, (MATCH(513, 輔助計算!$E$2:$E$801, 0)+1))), "")</f>
        <v/>
      </c>
      <c r="H514" s="15">
        <f>IFERROR(INDEX(輔助計算!$D:$D, (MATCH(513, 輔助計算!$E$2:$E$801, 0)+1)), "")</f>
        <v/>
      </c>
      <c r="I514" s="10">
        <f>IFERROR(IF(INDEX(ERP資料!$O:$O, (MATCH(513, 輔助計算!$E$2:$E$801, 0)+1))="","",INDEX(ERP資料!$O:$O, (MATCH(513, 輔助計算!$E$2:$E$801, 0)+1))), "")</f>
        <v/>
      </c>
      <c r="J514" s="15">
        <f>IFERROR(IF(INDEX(輔助計算!$D:$D,(MATCH(513, 輔助計算!$E$2:$E$801, 0)+1))="","",INDEX(輔助計算!$D:$D,(MATCH(513, 輔助計算!$E$2:$E$801, 0)+1))*INDEX(ERP資料!$O:$O,(MATCH(513, 輔助計算!$E$2:$E$801, 0)+1))), "")</f>
        <v/>
      </c>
      <c r="K514" s="16" t="n"/>
      <c r="L514" s="16" t="n"/>
      <c r="M514" s="17" t="n"/>
    </row>
    <row r="515">
      <c r="A515" s="14">
        <f>IFERROR(IF(INDEX(ERP資料!$B:$B, (MATCH(514, 輔助計算!$E$2:$E$801, 0)+1))="","",INDEX(ERP資料!$B:$B, (MATCH(514, 輔助計算!$E$2:$E$801, 0)+1))), "")</f>
        <v/>
      </c>
      <c r="B515" s="10">
        <f>IFERROR(IF(INDEX(ERP資料!$A:$A, (MATCH(514, 輔助計算!$E$2:$E$801, 0)+1))="","",INDEX(ERP資料!$A:$A, (MATCH(514, 輔助計算!$E$2:$E$801, 0)+1))), "")</f>
        <v/>
      </c>
      <c r="C515" s="10">
        <f>IFERROR(IF(INDEX(ERP資料!$S:$S, (MATCH(514, 輔助計算!$E$2:$E$801, 0)+1))="","",INDEX(ERP資料!$S:$S, (MATCH(514, 輔助計算!$E$2:$E$801, 0)+1))), "")</f>
        <v/>
      </c>
      <c r="D515" s="10">
        <f>IFERROR(IF(INDEX(ERP資料!$E:$E, (MATCH(514, 輔助計算!$E$2:$E$801, 0)+1))="","",TRIM(INDEX(ERP資料!$E:$E, (MATCH(514, 輔助計算!$E$2:$E$801, 0)+1)))), "")</f>
        <v/>
      </c>
      <c r="E515" s="10">
        <f>IFERROR(IF(INDEX(ERP資料!$F:$F, (MATCH(514, 輔助計算!$E$2:$E$801, 0)+1))="","",INDEX(ERP資料!$F:$F, (MATCH(514, 輔助計算!$E$2:$E$801, 0)+1))), "")</f>
        <v/>
      </c>
      <c r="F515" s="10">
        <f>IFERROR(IF(INDEX(ERP資料!$G:$G, (MATCH(514, 輔助計算!$E$2:$E$801, 0)+1))="","",INDEX(ERP資料!$G:$G, (MATCH(514, 輔助計算!$E$2:$E$801, 0)+1))), "")</f>
        <v/>
      </c>
      <c r="G515" s="10">
        <f>IFERROR(IF(INDEX(ERP資料!$H:$H, (MATCH(514, 輔助計算!$E$2:$E$801, 0)+1))="","",INDEX(ERP資料!$H:$H, (MATCH(514, 輔助計算!$E$2:$E$801, 0)+1))), "")</f>
        <v/>
      </c>
      <c r="H515" s="15">
        <f>IFERROR(INDEX(輔助計算!$D:$D, (MATCH(514, 輔助計算!$E$2:$E$801, 0)+1)), "")</f>
        <v/>
      </c>
      <c r="I515" s="10">
        <f>IFERROR(IF(INDEX(ERP資料!$O:$O, (MATCH(514, 輔助計算!$E$2:$E$801, 0)+1))="","",INDEX(ERP資料!$O:$O, (MATCH(514, 輔助計算!$E$2:$E$801, 0)+1))), "")</f>
        <v/>
      </c>
      <c r="J515" s="15">
        <f>IFERROR(IF(INDEX(輔助計算!$D:$D,(MATCH(514, 輔助計算!$E$2:$E$801, 0)+1))="","",INDEX(輔助計算!$D:$D,(MATCH(514, 輔助計算!$E$2:$E$801, 0)+1))*INDEX(ERP資料!$O:$O,(MATCH(514, 輔助計算!$E$2:$E$801, 0)+1))), "")</f>
        <v/>
      </c>
      <c r="K515" s="16" t="n"/>
      <c r="L515" s="16" t="n"/>
      <c r="M515" s="17" t="n"/>
    </row>
    <row r="516">
      <c r="A516" s="14">
        <f>IFERROR(IF(INDEX(ERP資料!$B:$B, (MATCH(515, 輔助計算!$E$2:$E$801, 0)+1))="","",INDEX(ERP資料!$B:$B, (MATCH(515, 輔助計算!$E$2:$E$801, 0)+1))), "")</f>
        <v/>
      </c>
      <c r="B516" s="10">
        <f>IFERROR(IF(INDEX(ERP資料!$A:$A, (MATCH(515, 輔助計算!$E$2:$E$801, 0)+1))="","",INDEX(ERP資料!$A:$A, (MATCH(515, 輔助計算!$E$2:$E$801, 0)+1))), "")</f>
        <v/>
      </c>
      <c r="C516" s="10">
        <f>IFERROR(IF(INDEX(ERP資料!$S:$S, (MATCH(515, 輔助計算!$E$2:$E$801, 0)+1))="","",INDEX(ERP資料!$S:$S, (MATCH(515, 輔助計算!$E$2:$E$801, 0)+1))), "")</f>
        <v/>
      </c>
      <c r="D516" s="10">
        <f>IFERROR(IF(INDEX(ERP資料!$E:$E, (MATCH(515, 輔助計算!$E$2:$E$801, 0)+1))="","",TRIM(INDEX(ERP資料!$E:$E, (MATCH(515, 輔助計算!$E$2:$E$801, 0)+1)))), "")</f>
        <v/>
      </c>
      <c r="E516" s="10">
        <f>IFERROR(IF(INDEX(ERP資料!$F:$F, (MATCH(515, 輔助計算!$E$2:$E$801, 0)+1))="","",INDEX(ERP資料!$F:$F, (MATCH(515, 輔助計算!$E$2:$E$801, 0)+1))), "")</f>
        <v/>
      </c>
      <c r="F516" s="10">
        <f>IFERROR(IF(INDEX(ERP資料!$G:$G, (MATCH(515, 輔助計算!$E$2:$E$801, 0)+1))="","",INDEX(ERP資料!$G:$G, (MATCH(515, 輔助計算!$E$2:$E$801, 0)+1))), "")</f>
        <v/>
      </c>
      <c r="G516" s="10">
        <f>IFERROR(IF(INDEX(ERP資料!$H:$H, (MATCH(515, 輔助計算!$E$2:$E$801, 0)+1))="","",INDEX(ERP資料!$H:$H, (MATCH(515, 輔助計算!$E$2:$E$801, 0)+1))), "")</f>
        <v/>
      </c>
      <c r="H516" s="15">
        <f>IFERROR(INDEX(輔助計算!$D:$D, (MATCH(515, 輔助計算!$E$2:$E$801, 0)+1)), "")</f>
        <v/>
      </c>
      <c r="I516" s="10">
        <f>IFERROR(IF(INDEX(ERP資料!$O:$O, (MATCH(515, 輔助計算!$E$2:$E$801, 0)+1))="","",INDEX(ERP資料!$O:$O, (MATCH(515, 輔助計算!$E$2:$E$801, 0)+1))), "")</f>
        <v/>
      </c>
      <c r="J516" s="15">
        <f>IFERROR(IF(INDEX(輔助計算!$D:$D,(MATCH(515, 輔助計算!$E$2:$E$801, 0)+1))="","",INDEX(輔助計算!$D:$D,(MATCH(515, 輔助計算!$E$2:$E$801, 0)+1))*INDEX(ERP資料!$O:$O,(MATCH(515, 輔助計算!$E$2:$E$801, 0)+1))), "")</f>
        <v/>
      </c>
      <c r="K516" s="16" t="n"/>
      <c r="L516" s="16" t="n"/>
      <c r="M516" s="17" t="n"/>
    </row>
    <row r="517">
      <c r="A517" s="14">
        <f>IFERROR(IF(INDEX(ERP資料!$B:$B, (MATCH(516, 輔助計算!$E$2:$E$801, 0)+1))="","",INDEX(ERP資料!$B:$B, (MATCH(516, 輔助計算!$E$2:$E$801, 0)+1))), "")</f>
        <v/>
      </c>
      <c r="B517" s="10">
        <f>IFERROR(IF(INDEX(ERP資料!$A:$A, (MATCH(516, 輔助計算!$E$2:$E$801, 0)+1))="","",INDEX(ERP資料!$A:$A, (MATCH(516, 輔助計算!$E$2:$E$801, 0)+1))), "")</f>
        <v/>
      </c>
      <c r="C517" s="10">
        <f>IFERROR(IF(INDEX(ERP資料!$S:$S, (MATCH(516, 輔助計算!$E$2:$E$801, 0)+1))="","",INDEX(ERP資料!$S:$S, (MATCH(516, 輔助計算!$E$2:$E$801, 0)+1))), "")</f>
        <v/>
      </c>
      <c r="D517" s="10">
        <f>IFERROR(IF(INDEX(ERP資料!$E:$E, (MATCH(516, 輔助計算!$E$2:$E$801, 0)+1))="","",TRIM(INDEX(ERP資料!$E:$E, (MATCH(516, 輔助計算!$E$2:$E$801, 0)+1)))), "")</f>
        <v/>
      </c>
      <c r="E517" s="10">
        <f>IFERROR(IF(INDEX(ERP資料!$F:$F, (MATCH(516, 輔助計算!$E$2:$E$801, 0)+1))="","",INDEX(ERP資料!$F:$F, (MATCH(516, 輔助計算!$E$2:$E$801, 0)+1))), "")</f>
        <v/>
      </c>
      <c r="F517" s="10">
        <f>IFERROR(IF(INDEX(ERP資料!$G:$G, (MATCH(516, 輔助計算!$E$2:$E$801, 0)+1))="","",INDEX(ERP資料!$G:$G, (MATCH(516, 輔助計算!$E$2:$E$801, 0)+1))), "")</f>
        <v/>
      </c>
      <c r="G517" s="10">
        <f>IFERROR(IF(INDEX(ERP資料!$H:$H, (MATCH(516, 輔助計算!$E$2:$E$801, 0)+1))="","",INDEX(ERP資料!$H:$H, (MATCH(516, 輔助計算!$E$2:$E$801, 0)+1))), "")</f>
        <v/>
      </c>
      <c r="H517" s="15">
        <f>IFERROR(INDEX(輔助計算!$D:$D, (MATCH(516, 輔助計算!$E$2:$E$801, 0)+1)), "")</f>
        <v/>
      </c>
      <c r="I517" s="10">
        <f>IFERROR(IF(INDEX(ERP資料!$O:$O, (MATCH(516, 輔助計算!$E$2:$E$801, 0)+1))="","",INDEX(ERP資料!$O:$O, (MATCH(516, 輔助計算!$E$2:$E$801, 0)+1))), "")</f>
        <v/>
      </c>
      <c r="J517" s="15">
        <f>IFERROR(IF(INDEX(輔助計算!$D:$D,(MATCH(516, 輔助計算!$E$2:$E$801, 0)+1))="","",INDEX(輔助計算!$D:$D,(MATCH(516, 輔助計算!$E$2:$E$801, 0)+1))*INDEX(ERP資料!$O:$O,(MATCH(516, 輔助計算!$E$2:$E$801, 0)+1))), "")</f>
        <v/>
      </c>
      <c r="K517" s="16" t="n"/>
      <c r="L517" s="16" t="n"/>
      <c r="M517" s="17" t="n"/>
    </row>
    <row r="518">
      <c r="A518" s="14">
        <f>IFERROR(IF(INDEX(ERP資料!$B:$B, (MATCH(517, 輔助計算!$E$2:$E$801, 0)+1))="","",INDEX(ERP資料!$B:$B, (MATCH(517, 輔助計算!$E$2:$E$801, 0)+1))), "")</f>
        <v/>
      </c>
      <c r="B518" s="10">
        <f>IFERROR(IF(INDEX(ERP資料!$A:$A, (MATCH(517, 輔助計算!$E$2:$E$801, 0)+1))="","",INDEX(ERP資料!$A:$A, (MATCH(517, 輔助計算!$E$2:$E$801, 0)+1))), "")</f>
        <v/>
      </c>
      <c r="C518" s="10">
        <f>IFERROR(IF(INDEX(ERP資料!$S:$S, (MATCH(517, 輔助計算!$E$2:$E$801, 0)+1))="","",INDEX(ERP資料!$S:$S, (MATCH(517, 輔助計算!$E$2:$E$801, 0)+1))), "")</f>
        <v/>
      </c>
      <c r="D518" s="10">
        <f>IFERROR(IF(INDEX(ERP資料!$E:$E, (MATCH(517, 輔助計算!$E$2:$E$801, 0)+1))="","",TRIM(INDEX(ERP資料!$E:$E, (MATCH(517, 輔助計算!$E$2:$E$801, 0)+1)))), "")</f>
        <v/>
      </c>
      <c r="E518" s="10">
        <f>IFERROR(IF(INDEX(ERP資料!$F:$F, (MATCH(517, 輔助計算!$E$2:$E$801, 0)+1))="","",INDEX(ERP資料!$F:$F, (MATCH(517, 輔助計算!$E$2:$E$801, 0)+1))), "")</f>
        <v/>
      </c>
      <c r="F518" s="10">
        <f>IFERROR(IF(INDEX(ERP資料!$G:$G, (MATCH(517, 輔助計算!$E$2:$E$801, 0)+1))="","",INDEX(ERP資料!$G:$G, (MATCH(517, 輔助計算!$E$2:$E$801, 0)+1))), "")</f>
        <v/>
      </c>
      <c r="G518" s="10">
        <f>IFERROR(IF(INDEX(ERP資料!$H:$H, (MATCH(517, 輔助計算!$E$2:$E$801, 0)+1))="","",INDEX(ERP資料!$H:$H, (MATCH(517, 輔助計算!$E$2:$E$801, 0)+1))), "")</f>
        <v/>
      </c>
      <c r="H518" s="15">
        <f>IFERROR(INDEX(輔助計算!$D:$D, (MATCH(517, 輔助計算!$E$2:$E$801, 0)+1)), "")</f>
        <v/>
      </c>
      <c r="I518" s="10">
        <f>IFERROR(IF(INDEX(ERP資料!$O:$O, (MATCH(517, 輔助計算!$E$2:$E$801, 0)+1))="","",INDEX(ERP資料!$O:$O, (MATCH(517, 輔助計算!$E$2:$E$801, 0)+1))), "")</f>
        <v/>
      </c>
      <c r="J518" s="15">
        <f>IFERROR(IF(INDEX(輔助計算!$D:$D,(MATCH(517, 輔助計算!$E$2:$E$801, 0)+1))="","",INDEX(輔助計算!$D:$D,(MATCH(517, 輔助計算!$E$2:$E$801, 0)+1))*INDEX(ERP資料!$O:$O,(MATCH(517, 輔助計算!$E$2:$E$801, 0)+1))), "")</f>
        <v/>
      </c>
      <c r="K518" s="16" t="n"/>
      <c r="L518" s="16" t="n"/>
      <c r="M518" s="17" t="n"/>
    </row>
    <row r="519">
      <c r="A519" s="14">
        <f>IFERROR(IF(INDEX(ERP資料!$B:$B, (MATCH(518, 輔助計算!$E$2:$E$801, 0)+1))="","",INDEX(ERP資料!$B:$B, (MATCH(518, 輔助計算!$E$2:$E$801, 0)+1))), "")</f>
        <v/>
      </c>
      <c r="B519" s="10">
        <f>IFERROR(IF(INDEX(ERP資料!$A:$A, (MATCH(518, 輔助計算!$E$2:$E$801, 0)+1))="","",INDEX(ERP資料!$A:$A, (MATCH(518, 輔助計算!$E$2:$E$801, 0)+1))), "")</f>
        <v/>
      </c>
      <c r="C519" s="10">
        <f>IFERROR(IF(INDEX(ERP資料!$S:$S, (MATCH(518, 輔助計算!$E$2:$E$801, 0)+1))="","",INDEX(ERP資料!$S:$S, (MATCH(518, 輔助計算!$E$2:$E$801, 0)+1))), "")</f>
        <v/>
      </c>
      <c r="D519" s="10">
        <f>IFERROR(IF(INDEX(ERP資料!$E:$E, (MATCH(518, 輔助計算!$E$2:$E$801, 0)+1))="","",TRIM(INDEX(ERP資料!$E:$E, (MATCH(518, 輔助計算!$E$2:$E$801, 0)+1)))), "")</f>
        <v/>
      </c>
      <c r="E519" s="10">
        <f>IFERROR(IF(INDEX(ERP資料!$F:$F, (MATCH(518, 輔助計算!$E$2:$E$801, 0)+1))="","",INDEX(ERP資料!$F:$F, (MATCH(518, 輔助計算!$E$2:$E$801, 0)+1))), "")</f>
        <v/>
      </c>
      <c r="F519" s="10">
        <f>IFERROR(IF(INDEX(ERP資料!$G:$G, (MATCH(518, 輔助計算!$E$2:$E$801, 0)+1))="","",INDEX(ERP資料!$G:$G, (MATCH(518, 輔助計算!$E$2:$E$801, 0)+1))), "")</f>
        <v/>
      </c>
      <c r="G519" s="10">
        <f>IFERROR(IF(INDEX(ERP資料!$H:$H, (MATCH(518, 輔助計算!$E$2:$E$801, 0)+1))="","",INDEX(ERP資料!$H:$H, (MATCH(518, 輔助計算!$E$2:$E$801, 0)+1))), "")</f>
        <v/>
      </c>
      <c r="H519" s="15">
        <f>IFERROR(INDEX(輔助計算!$D:$D, (MATCH(518, 輔助計算!$E$2:$E$801, 0)+1)), "")</f>
        <v/>
      </c>
      <c r="I519" s="10">
        <f>IFERROR(IF(INDEX(ERP資料!$O:$O, (MATCH(518, 輔助計算!$E$2:$E$801, 0)+1))="","",INDEX(ERP資料!$O:$O, (MATCH(518, 輔助計算!$E$2:$E$801, 0)+1))), "")</f>
        <v/>
      </c>
      <c r="J519" s="15">
        <f>IFERROR(IF(INDEX(輔助計算!$D:$D,(MATCH(518, 輔助計算!$E$2:$E$801, 0)+1))="","",INDEX(輔助計算!$D:$D,(MATCH(518, 輔助計算!$E$2:$E$801, 0)+1))*INDEX(ERP資料!$O:$O,(MATCH(518, 輔助計算!$E$2:$E$801, 0)+1))), "")</f>
        <v/>
      </c>
      <c r="K519" s="16" t="n"/>
      <c r="L519" s="16" t="n"/>
      <c r="M519" s="17" t="n"/>
    </row>
    <row r="520">
      <c r="A520" s="14">
        <f>IFERROR(IF(INDEX(ERP資料!$B:$B, (MATCH(519, 輔助計算!$E$2:$E$801, 0)+1))="","",INDEX(ERP資料!$B:$B, (MATCH(519, 輔助計算!$E$2:$E$801, 0)+1))), "")</f>
        <v/>
      </c>
      <c r="B520" s="10">
        <f>IFERROR(IF(INDEX(ERP資料!$A:$A, (MATCH(519, 輔助計算!$E$2:$E$801, 0)+1))="","",INDEX(ERP資料!$A:$A, (MATCH(519, 輔助計算!$E$2:$E$801, 0)+1))), "")</f>
        <v/>
      </c>
      <c r="C520" s="10">
        <f>IFERROR(IF(INDEX(ERP資料!$S:$S, (MATCH(519, 輔助計算!$E$2:$E$801, 0)+1))="","",INDEX(ERP資料!$S:$S, (MATCH(519, 輔助計算!$E$2:$E$801, 0)+1))), "")</f>
        <v/>
      </c>
      <c r="D520" s="10">
        <f>IFERROR(IF(INDEX(ERP資料!$E:$E, (MATCH(519, 輔助計算!$E$2:$E$801, 0)+1))="","",TRIM(INDEX(ERP資料!$E:$E, (MATCH(519, 輔助計算!$E$2:$E$801, 0)+1)))), "")</f>
        <v/>
      </c>
      <c r="E520" s="10">
        <f>IFERROR(IF(INDEX(ERP資料!$F:$F, (MATCH(519, 輔助計算!$E$2:$E$801, 0)+1))="","",INDEX(ERP資料!$F:$F, (MATCH(519, 輔助計算!$E$2:$E$801, 0)+1))), "")</f>
        <v/>
      </c>
      <c r="F520" s="10">
        <f>IFERROR(IF(INDEX(ERP資料!$G:$G, (MATCH(519, 輔助計算!$E$2:$E$801, 0)+1))="","",INDEX(ERP資料!$G:$G, (MATCH(519, 輔助計算!$E$2:$E$801, 0)+1))), "")</f>
        <v/>
      </c>
      <c r="G520" s="10">
        <f>IFERROR(IF(INDEX(ERP資料!$H:$H, (MATCH(519, 輔助計算!$E$2:$E$801, 0)+1))="","",INDEX(ERP資料!$H:$H, (MATCH(519, 輔助計算!$E$2:$E$801, 0)+1))), "")</f>
        <v/>
      </c>
      <c r="H520" s="15">
        <f>IFERROR(INDEX(輔助計算!$D:$D, (MATCH(519, 輔助計算!$E$2:$E$801, 0)+1)), "")</f>
        <v/>
      </c>
      <c r="I520" s="10">
        <f>IFERROR(IF(INDEX(ERP資料!$O:$O, (MATCH(519, 輔助計算!$E$2:$E$801, 0)+1))="","",INDEX(ERP資料!$O:$O, (MATCH(519, 輔助計算!$E$2:$E$801, 0)+1))), "")</f>
        <v/>
      </c>
      <c r="J520" s="15">
        <f>IFERROR(IF(INDEX(輔助計算!$D:$D,(MATCH(519, 輔助計算!$E$2:$E$801, 0)+1))="","",INDEX(輔助計算!$D:$D,(MATCH(519, 輔助計算!$E$2:$E$801, 0)+1))*INDEX(ERP資料!$O:$O,(MATCH(519, 輔助計算!$E$2:$E$801, 0)+1))), "")</f>
        <v/>
      </c>
      <c r="K520" s="16" t="n"/>
      <c r="L520" s="16" t="n"/>
      <c r="M520" s="17" t="n"/>
    </row>
    <row r="521">
      <c r="A521" s="14">
        <f>IFERROR(IF(INDEX(ERP資料!$B:$B, (MATCH(520, 輔助計算!$E$2:$E$801, 0)+1))="","",INDEX(ERP資料!$B:$B, (MATCH(520, 輔助計算!$E$2:$E$801, 0)+1))), "")</f>
        <v/>
      </c>
      <c r="B521" s="10">
        <f>IFERROR(IF(INDEX(ERP資料!$A:$A, (MATCH(520, 輔助計算!$E$2:$E$801, 0)+1))="","",INDEX(ERP資料!$A:$A, (MATCH(520, 輔助計算!$E$2:$E$801, 0)+1))), "")</f>
        <v/>
      </c>
      <c r="C521" s="10">
        <f>IFERROR(IF(INDEX(ERP資料!$S:$S, (MATCH(520, 輔助計算!$E$2:$E$801, 0)+1))="","",INDEX(ERP資料!$S:$S, (MATCH(520, 輔助計算!$E$2:$E$801, 0)+1))), "")</f>
        <v/>
      </c>
      <c r="D521" s="10">
        <f>IFERROR(IF(INDEX(ERP資料!$E:$E, (MATCH(520, 輔助計算!$E$2:$E$801, 0)+1))="","",TRIM(INDEX(ERP資料!$E:$E, (MATCH(520, 輔助計算!$E$2:$E$801, 0)+1)))), "")</f>
        <v/>
      </c>
      <c r="E521" s="10">
        <f>IFERROR(IF(INDEX(ERP資料!$F:$F, (MATCH(520, 輔助計算!$E$2:$E$801, 0)+1))="","",INDEX(ERP資料!$F:$F, (MATCH(520, 輔助計算!$E$2:$E$801, 0)+1))), "")</f>
        <v/>
      </c>
      <c r="F521" s="10">
        <f>IFERROR(IF(INDEX(ERP資料!$G:$G, (MATCH(520, 輔助計算!$E$2:$E$801, 0)+1))="","",INDEX(ERP資料!$G:$G, (MATCH(520, 輔助計算!$E$2:$E$801, 0)+1))), "")</f>
        <v/>
      </c>
      <c r="G521" s="10">
        <f>IFERROR(IF(INDEX(ERP資料!$H:$H, (MATCH(520, 輔助計算!$E$2:$E$801, 0)+1))="","",INDEX(ERP資料!$H:$H, (MATCH(520, 輔助計算!$E$2:$E$801, 0)+1))), "")</f>
        <v/>
      </c>
      <c r="H521" s="15">
        <f>IFERROR(INDEX(輔助計算!$D:$D, (MATCH(520, 輔助計算!$E$2:$E$801, 0)+1)), "")</f>
        <v/>
      </c>
      <c r="I521" s="10">
        <f>IFERROR(IF(INDEX(ERP資料!$O:$O, (MATCH(520, 輔助計算!$E$2:$E$801, 0)+1))="","",INDEX(ERP資料!$O:$O, (MATCH(520, 輔助計算!$E$2:$E$801, 0)+1))), "")</f>
        <v/>
      </c>
      <c r="J521" s="15">
        <f>IFERROR(IF(INDEX(輔助計算!$D:$D,(MATCH(520, 輔助計算!$E$2:$E$801, 0)+1))="","",INDEX(輔助計算!$D:$D,(MATCH(520, 輔助計算!$E$2:$E$801, 0)+1))*INDEX(ERP資料!$O:$O,(MATCH(520, 輔助計算!$E$2:$E$801, 0)+1))), "")</f>
        <v/>
      </c>
      <c r="K521" s="16" t="n"/>
      <c r="L521" s="16" t="n"/>
      <c r="M521" s="17" t="n"/>
    </row>
    <row r="522">
      <c r="A522" s="14">
        <f>IFERROR(IF(INDEX(ERP資料!$B:$B, (MATCH(521, 輔助計算!$E$2:$E$801, 0)+1))="","",INDEX(ERP資料!$B:$B, (MATCH(521, 輔助計算!$E$2:$E$801, 0)+1))), "")</f>
        <v/>
      </c>
      <c r="B522" s="10">
        <f>IFERROR(IF(INDEX(ERP資料!$A:$A, (MATCH(521, 輔助計算!$E$2:$E$801, 0)+1))="","",INDEX(ERP資料!$A:$A, (MATCH(521, 輔助計算!$E$2:$E$801, 0)+1))), "")</f>
        <v/>
      </c>
      <c r="C522" s="10">
        <f>IFERROR(IF(INDEX(ERP資料!$S:$S, (MATCH(521, 輔助計算!$E$2:$E$801, 0)+1))="","",INDEX(ERP資料!$S:$S, (MATCH(521, 輔助計算!$E$2:$E$801, 0)+1))), "")</f>
        <v/>
      </c>
      <c r="D522" s="10">
        <f>IFERROR(IF(INDEX(ERP資料!$E:$E, (MATCH(521, 輔助計算!$E$2:$E$801, 0)+1))="","",TRIM(INDEX(ERP資料!$E:$E, (MATCH(521, 輔助計算!$E$2:$E$801, 0)+1)))), "")</f>
        <v/>
      </c>
      <c r="E522" s="10">
        <f>IFERROR(IF(INDEX(ERP資料!$F:$F, (MATCH(521, 輔助計算!$E$2:$E$801, 0)+1))="","",INDEX(ERP資料!$F:$F, (MATCH(521, 輔助計算!$E$2:$E$801, 0)+1))), "")</f>
        <v/>
      </c>
      <c r="F522" s="10">
        <f>IFERROR(IF(INDEX(ERP資料!$G:$G, (MATCH(521, 輔助計算!$E$2:$E$801, 0)+1))="","",INDEX(ERP資料!$G:$G, (MATCH(521, 輔助計算!$E$2:$E$801, 0)+1))), "")</f>
        <v/>
      </c>
      <c r="G522" s="10">
        <f>IFERROR(IF(INDEX(ERP資料!$H:$H, (MATCH(521, 輔助計算!$E$2:$E$801, 0)+1))="","",INDEX(ERP資料!$H:$H, (MATCH(521, 輔助計算!$E$2:$E$801, 0)+1))), "")</f>
        <v/>
      </c>
      <c r="H522" s="15">
        <f>IFERROR(INDEX(輔助計算!$D:$D, (MATCH(521, 輔助計算!$E$2:$E$801, 0)+1)), "")</f>
        <v/>
      </c>
      <c r="I522" s="10">
        <f>IFERROR(IF(INDEX(ERP資料!$O:$O, (MATCH(521, 輔助計算!$E$2:$E$801, 0)+1))="","",INDEX(ERP資料!$O:$O, (MATCH(521, 輔助計算!$E$2:$E$801, 0)+1))), "")</f>
        <v/>
      </c>
      <c r="J522" s="15">
        <f>IFERROR(IF(INDEX(輔助計算!$D:$D,(MATCH(521, 輔助計算!$E$2:$E$801, 0)+1))="","",INDEX(輔助計算!$D:$D,(MATCH(521, 輔助計算!$E$2:$E$801, 0)+1))*INDEX(ERP資料!$O:$O,(MATCH(521, 輔助計算!$E$2:$E$801, 0)+1))), "")</f>
        <v/>
      </c>
      <c r="K522" s="16" t="n"/>
      <c r="L522" s="16" t="n"/>
      <c r="M522" s="17" t="n"/>
    </row>
    <row r="523">
      <c r="A523" s="14">
        <f>IFERROR(IF(INDEX(ERP資料!$B:$B, (MATCH(522, 輔助計算!$E$2:$E$801, 0)+1))="","",INDEX(ERP資料!$B:$B, (MATCH(522, 輔助計算!$E$2:$E$801, 0)+1))), "")</f>
        <v/>
      </c>
      <c r="B523" s="10">
        <f>IFERROR(IF(INDEX(ERP資料!$A:$A, (MATCH(522, 輔助計算!$E$2:$E$801, 0)+1))="","",INDEX(ERP資料!$A:$A, (MATCH(522, 輔助計算!$E$2:$E$801, 0)+1))), "")</f>
        <v/>
      </c>
      <c r="C523" s="10">
        <f>IFERROR(IF(INDEX(ERP資料!$S:$S, (MATCH(522, 輔助計算!$E$2:$E$801, 0)+1))="","",INDEX(ERP資料!$S:$S, (MATCH(522, 輔助計算!$E$2:$E$801, 0)+1))), "")</f>
        <v/>
      </c>
      <c r="D523" s="10">
        <f>IFERROR(IF(INDEX(ERP資料!$E:$E, (MATCH(522, 輔助計算!$E$2:$E$801, 0)+1))="","",TRIM(INDEX(ERP資料!$E:$E, (MATCH(522, 輔助計算!$E$2:$E$801, 0)+1)))), "")</f>
        <v/>
      </c>
      <c r="E523" s="10">
        <f>IFERROR(IF(INDEX(ERP資料!$F:$F, (MATCH(522, 輔助計算!$E$2:$E$801, 0)+1))="","",INDEX(ERP資料!$F:$F, (MATCH(522, 輔助計算!$E$2:$E$801, 0)+1))), "")</f>
        <v/>
      </c>
      <c r="F523" s="10">
        <f>IFERROR(IF(INDEX(ERP資料!$G:$G, (MATCH(522, 輔助計算!$E$2:$E$801, 0)+1))="","",INDEX(ERP資料!$G:$G, (MATCH(522, 輔助計算!$E$2:$E$801, 0)+1))), "")</f>
        <v/>
      </c>
      <c r="G523" s="10">
        <f>IFERROR(IF(INDEX(ERP資料!$H:$H, (MATCH(522, 輔助計算!$E$2:$E$801, 0)+1))="","",INDEX(ERP資料!$H:$H, (MATCH(522, 輔助計算!$E$2:$E$801, 0)+1))), "")</f>
        <v/>
      </c>
      <c r="H523" s="15">
        <f>IFERROR(INDEX(輔助計算!$D:$D, (MATCH(522, 輔助計算!$E$2:$E$801, 0)+1)), "")</f>
        <v/>
      </c>
      <c r="I523" s="10">
        <f>IFERROR(IF(INDEX(ERP資料!$O:$O, (MATCH(522, 輔助計算!$E$2:$E$801, 0)+1))="","",INDEX(ERP資料!$O:$O, (MATCH(522, 輔助計算!$E$2:$E$801, 0)+1))), "")</f>
        <v/>
      </c>
      <c r="J523" s="15">
        <f>IFERROR(IF(INDEX(輔助計算!$D:$D,(MATCH(522, 輔助計算!$E$2:$E$801, 0)+1))="","",INDEX(輔助計算!$D:$D,(MATCH(522, 輔助計算!$E$2:$E$801, 0)+1))*INDEX(ERP資料!$O:$O,(MATCH(522, 輔助計算!$E$2:$E$801, 0)+1))), "")</f>
        <v/>
      </c>
      <c r="K523" s="16" t="n"/>
      <c r="L523" s="16" t="n"/>
      <c r="M523" s="17" t="n"/>
    </row>
    <row r="524">
      <c r="A524" s="14">
        <f>IFERROR(IF(INDEX(ERP資料!$B:$B, (MATCH(523, 輔助計算!$E$2:$E$801, 0)+1))="","",INDEX(ERP資料!$B:$B, (MATCH(523, 輔助計算!$E$2:$E$801, 0)+1))), "")</f>
        <v/>
      </c>
      <c r="B524" s="10">
        <f>IFERROR(IF(INDEX(ERP資料!$A:$A, (MATCH(523, 輔助計算!$E$2:$E$801, 0)+1))="","",INDEX(ERP資料!$A:$A, (MATCH(523, 輔助計算!$E$2:$E$801, 0)+1))), "")</f>
        <v/>
      </c>
      <c r="C524" s="10">
        <f>IFERROR(IF(INDEX(ERP資料!$S:$S, (MATCH(523, 輔助計算!$E$2:$E$801, 0)+1))="","",INDEX(ERP資料!$S:$S, (MATCH(523, 輔助計算!$E$2:$E$801, 0)+1))), "")</f>
        <v/>
      </c>
      <c r="D524" s="10">
        <f>IFERROR(IF(INDEX(ERP資料!$E:$E, (MATCH(523, 輔助計算!$E$2:$E$801, 0)+1))="","",TRIM(INDEX(ERP資料!$E:$E, (MATCH(523, 輔助計算!$E$2:$E$801, 0)+1)))), "")</f>
        <v/>
      </c>
      <c r="E524" s="10">
        <f>IFERROR(IF(INDEX(ERP資料!$F:$F, (MATCH(523, 輔助計算!$E$2:$E$801, 0)+1))="","",INDEX(ERP資料!$F:$F, (MATCH(523, 輔助計算!$E$2:$E$801, 0)+1))), "")</f>
        <v/>
      </c>
      <c r="F524" s="10">
        <f>IFERROR(IF(INDEX(ERP資料!$G:$G, (MATCH(523, 輔助計算!$E$2:$E$801, 0)+1))="","",INDEX(ERP資料!$G:$G, (MATCH(523, 輔助計算!$E$2:$E$801, 0)+1))), "")</f>
        <v/>
      </c>
      <c r="G524" s="10">
        <f>IFERROR(IF(INDEX(ERP資料!$H:$H, (MATCH(523, 輔助計算!$E$2:$E$801, 0)+1))="","",INDEX(ERP資料!$H:$H, (MATCH(523, 輔助計算!$E$2:$E$801, 0)+1))), "")</f>
        <v/>
      </c>
      <c r="H524" s="15">
        <f>IFERROR(INDEX(輔助計算!$D:$D, (MATCH(523, 輔助計算!$E$2:$E$801, 0)+1)), "")</f>
        <v/>
      </c>
      <c r="I524" s="10">
        <f>IFERROR(IF(INDEX(ERP資料!$O:$O, (MATCH(523, 輔助計算!$E$2:$E$801, 0)+1))="","",INDEX(ERP資料!$O:$O, (MATCH(523, 輔助計算!$E$2:$E$801, 0)+1))), "")</f>
        <v/>
      </c>
      <c r="J524" s="15">
        <f>IFERROR(IF(INDEX(輔助計算!$D:$D,(MATCH(523, 輔助計算!$E$2:$E$801, 0)+1))="","",INDEX(輔助計算!$D:$D,(MATCH(523, 輔助計算!$E$2:$E$801, 0)+1))*INDEX(ERP資料!$O:$O,(MATCH(523, 輔助計算!$E$2:$E$801, 0)+1))), "")</f>
        <v/>
      </c>
      <c r="K524" s="16" t="n"/>
      <c r="L524" s="16" t="n"/>
      <c r="M524" s="17" t="n"/>
    </row>
    <row r="525">
      <c r="A525" s="14">
        <f>IFERROR(IF(INDEX(ERP資料!$B:$B, (MATCH(524, 輔助計算!$E$2:$E$801, 0)+1))="","",INDEX(ERP資料!$B:$B, (MATCH(524, 輔助計算!$E$2:$E$801, 0)+1))), "")</f>
        <v/>
      </c>
      <c r="B525" s="10">
        <f>IFERROR(IF(INDEX(ERP資料!$A:$A, (MATCH(524, 輔助計算!$E$2:$E$801, 0)+1))="","",INDEX(ERP資料!$A:$A, (MATCH(524, 輔助計算!$E$2:$E$801, 0)+1))), "")</f>
        <v/>
      </c>
      <c r="C525" s="10">
        <f>IFERROR(IF(INDEX(ERP資料!$S:$S, (MATCH(524, 輔助計算!$E$2:$E$801, 0)+1))="","",INDEX(ERP資料!$S:$S, (MATCH(524, 輔助計算!$E$2:$E$801, 0)+1))), "")</f>
        <v/>
      </c>
      <c r="D525" s="10">
        <f>IFERROR(IF(INDEX(ERP資料!$E:$E, (MATCH(524, 輔助計算!$E$2:$E$801, 0)+1))="","",TRIM(INDEX(ERP資料!$E:$E, (MATCH(524, 輔助計算!$E$2:$E$801, 0)+1)))), "")</f>
        <v/>
      </c>
      <c r="E525" s="10">
        <f>IFERROR(IF(INDEX(ERP資料!$F:$F, (MATCH(524, 輔助計算!$E$2:$E$801, 0)+1))="","",INDEX(ERP資料!$F:$F, (MATCH(524, 輔助計算!$E$2:$E$801, 0)+1))), "")</f>
        <v/>
      </c>
      <c r="F525" s="10">
        <f>IFERROR(IF(INDEX(ERP資料!$G:$G, (MATCH(524, 輔助計算!$E$2:$E$801, 0)+1))="","",INDEX(ERP資料!$G:$G, (MATCH(524, 輔助計算!$E$2:$E$801, 0)+1))), "")</f>
        <v/>
      </c>
      <c r="G525" s="10">
        <f>IFERROR(IF(INDEX(ERP資料!$H:$H, (MATCH(524, 輔助計算!$E$2:$E$801, 0)+1))="","",INDEX(ERP資料!$H:$H, (MATCH(524, 輔助計算!$E$2:$E$801, 0)+1))), "")</f>
        <v/>
      </c>
      <c r="H525" s="15">
        <f>IFERROR(INDEX(輔助計算!$D:$D, (MATCH(524, 輔助計算!$E$2:$E$801, 0)+1)), "")</f>
        <v/>
      </c>
      <c r="I525" s="10">
        <f>IFERROR(IF(INDEX(ERP資料!$O:$O, (MATCH(524, 輔助計算!$E$2:$E$801, 0)+1))="","",INDEX(ERP資料!$O:$O, (MATCH(524, 輔助計算!$E$2:$E$801, 0)+1))), "")</f>
        <v/>
      </c>
      <c r="J525" s="15">
        <f>IFERROR(IF(INDEX(輔助計算!$D:$D,(MATCH(524, 輔助計算!$E$2:$E$801, 0)+1))="","",INDEX(輔助計算!$D:$D,(MATCH(524, 輔助計算!$E$2:$E$801, 0)+1))*INDEX(ERP資料!$O:$O,(MATCH(524, 輔助計算!$E$2:$E$801, 0)+1))), "")</f>
        <v/>
      </c>
      <c r="K525" s="16" t="n"/>
      <c r="L525" s="16" t="n"/>
      <c r="M525" s="17" t="n"/>
    </row>
    <row r="526">
      <c r="A526" s="14">
        <f>IFERROR(IF(INDEX(ERP資料!$B:$B, (MATCH(525, 輔助計算!$E$2:$E$801, 0)+1))="","",INDEX(ERP資料!$B:$B, (MATCH(525, 輔助計算!$E$2:$E$801, 0)+1))), "")</f>
        <v/>
      </c>
      <c r="B526" s="10">
        <f>IFERROR(IF(INDEX(ERP資料!$A:$A, (MATCH(525, 輔助計算!$E$2:$E$801, 0)+1))="","",INDEX(ERP資料!$A:$A, (MATCH(525, 輔助計算!$E$2:$E$801, 0)+1))), "")</f>
        <v/>
      </c>
      <c r="C526" s="10">
        <f>IFERROR(IF(INDEX(ERP資料!$S:$S, (MATCH(525, 輔助計算!$E$2:$E$801, 0)+1))="","",INDEX(ERP資料!$S:$S, (MATCH(525, 輔助計算!$E$2:$E$801, 0)+1))), "")</f>
        <v/>
      </c>
      <c r="D526" s="10">
        <f>IFERROR(IF(INDEX(ERP資料!$E:$E, (MATCH(525, 輔助計算!$E$2:$E$801, 0)+1))="","",TRIM(INDEX(ERP資料!$E:$E, (MATCH(525, 輔助計算!$E$2:$E$801, 0)+1)))), "")</f>
        <v/>
      </c>
      <c r="E526" s="10">
        <f>IFERROR(IF(INDEX(ERP資料!$F:$F, (MATCH(525, 輔助計算!$E$2:$E$801, 0)+1))="","",INDEX(ERP資料!$F:$F, (MATCH(525, 輔助計算!$E$2:$E$801, 0)+1))), "")</f>
        <v/>
      </c>
      <c r="F526" s="10">
        <f>IFERROR(IF(INDEX(ERP資料!$G:$G, (MATCH(525, 輔助計算!$E$2:$E$801, 0)+1))="","",INDEX(ERP資料!$G:$G, (MATCH(525, 輔助計算!$E$2:$E$801, 0)+1))), "")</f>
        <v/>
      </c>
      <c r="G526" s="10">
        <f>IFERROR(IF(INDEX(ERP資料!$H:$H, (MATCH(525, 輔助計算!$E$2:$E$801, 0)+1))="","",INDEX(ERP資料!$H:$H, (MATCH(525, 輔助計算!$E$2:$E$801, 0)+1))), "")</f>
        <v/>
      </c>
      <c r="H526" s="15">
        <f>IFERROR(INDEX(輔助計算!$D:$D, (MATCH(525, 輔助計算!$E$2:$E$801, 0)+1)), "")</f>
        <v/>
      </c>
      <c r="I526" s="10">
        <f>IFERROR(IF(INDEX(ERP資料!$O:$O, (MATCH(525, 輔助計算!$E$2:$E$801, 0)+1))="","",INDEX(ERP資料!$O:$O, (MATCH(525, 輔助計算!$E$2:$E$801, 0)+1))), "")</f>
        <v/>
      </c>
      <c r="J526" s="15">
        <f>IFERROR(IF(INDEX(輔助計算!$D:$D,(MATCH(525, 輔助計算!$E$2:$E$801, 0)+1))="","",INDEX(輔助計算!$D:$D,(MATCH(525, 輔助計算!$E$2:$E$801, 0)+1))*INDEX(ERP資料!$O:$O,(MATCH(525, 輔助計算!$E$2:$E$801, 0)+1))), "")</f>
        <v/>
      </c>
      <c r="K526" s="16" t="n"/>
      <c r="L526" s="16" t="n"/>
      <c r="M526" s="17" t="n"/>
    </row>
    <row r="527">
      <c r="A527" s="14">
        <f>IFERROR(IF(INDEX(ERP資料!$B:$B, (MATCH(526, 輔助計算!$E$2:$E$801, 0)+1))="","",INDEX(ERP資料!$B:$B, (MATCH(526, 輔助計算!$E$2:$E$801, 0)+1))), "")</f>
        <v/>
      </c>
      <c r="B527" s="10">
        <f>IFERROR(IF(INDEX(ERP資料!$A:$A, (MATCH(526, 輔助計算!$E$2:$E$801, 0)+1))="","",INDEX(ERP資料!$A:$A, (MATCH(526, 輔助計算!$E$2:$E$801, 0)+1))), "")</f>
        <v/>
      </c>
      <c r="C527" s="10">
        <f>IFERROR(IF(INDEX(ERP資料!$S:$S, (MATCH(526, 輔助計算!$E$2:$E$801, 0)+1))="","",INDEX(ERP資料!$S:$S, (MATCH(526, 輔助計算!$E$2:$E$801, 0)+1))), "")</f>
        <v/>
      </c>
      <c r="D527" s="10">
        <f>IFERROR(IF(INDEX(ERP資料!$E:$E, (MATCH(526, 輔助計算!$E$2:$E$801, 0)+1))="","",TRIM(INDEX(ERP資料!$E:$E, (MATCH(526, 輔助計算!$E$2:$E$801, 0)+1)))), "")</f>
        <v/>
      </c>
      <c r="E527" s="10">
        <f>IFERROR(IF(INDEX(ERP資料!$F:$F, (MATCH(526, 輔助計算!$E$2:$E$801, 0)+1))="","",INDEX(ERP資料!$F:$F, (MATCH(526, 輔助計算!$E$2:$E$801, 0)+1))), "")</f>
        <v/>
      </c>
      <c r="F527" s="10">
        <f>IFERROR(IF(INDEX(ERP資料!$G:$G, (MATCH(526, 輔助計算!$E$2:$E$801, 0)+1))="","",INDEX(ERP資料!$G:$G, (MATCH(526, 輔助計算!$E$2:$E$801, 0)+1))), "")</f>
        <v/>
      </c>
      <c r="G527" s="10">
        <f>IFERROR(IF(INDEX(ERP資料!$H:$H, (MATCH(526, 輔助計算!$E$2:$E$801, 0)+1))="","",INDEX(ERP資料!$H:$H, (MATCH(526, 輔助計算!$E$2:$E$801, 0)+1))), "")</f>
        <v/>
      </c>
      <c r="H527" s="15">
        <f>IFERROR(INDEX(輔助計算!$D:$D, (MATCH(526, 輔助計算!$E$2:$E$801, 0)+1)), "")</f>
        <v/>
      </c>
      <c r="I527" s="10">
        <f>IFERROR(IF(INDEX(ERP資料!$O:$O, (MATCH(526, 輔助計算!$E$2:$E$801, 0)+1))="","",INDEX(ERP資料!$O:$O, (MATCH(526, 輔助計算!$E$2:$E$801, 0)+1))), "")</f>
        <v/>
      </c>
      <c r="J527" s="15">
        <f>IFERROR(IF(INDEX(輔助計算!$D:$D,(MATCH(526, 輔助計算!$E$2:$E$801, 0)+1))="","",INDEX(輔助計算!$D:$D,(MATCH(526, 輔助計算!$E$2:$E$801, 0)+1))*INDEX(ERP資料!$O:$O,(MATCH(526, 輔助計算!$E$2:$E$801, 0)+1))), "")</f>
        <v/>
      </c>
      <c r="K527" s="16" t="n"/>
      <c r="L527" s="16" t="n"/>
      <c r="M527" s="17" t="n"/>
    </row>
    <row r="528">
      <c r="A528" s="14">
        <f>IFERROR(IF(INDEX(ERP資料!$B:$B, (MATCH(527, 輔助計算!$E$2:$E$801, 0)+1))="","",INDEX(ERP資料!$B:$B, (MATCH(527, 輔助計算!$E$2:$E$801, 0)+1))), "")</f>
        <v/>
      </c>
      <c r="B528" s="10">
        <f>IFERROR(IF(INDEX(ERP資料!$A:$A, (MATCH(527, 輔助計算!$E$2:$E$801, 0)+1))="","",INDEX(ERP資料!$A:$A, (MATCH(527, 輔助計算!$E$2:$E$801, 0)+1))), "")</f>
        <v/>
      </c>
      <c r="C528" s="10">
        <f>IFERROR(IF(INDEX(ERP資料!$S:$S, (MATCH(527, 輔助計算!$E$2:$E$801, 0)+1))="","",INDEX(ERP資料!$S:$S, (MATCH(527, 輔助計算!$E$2:$E$801, 0)+1))), "")</f>
        <v/>
      </c>
      <c r="D528" s="10">
        <f>IFERROR(IF(INDEX(ERP資料!$E:$E, (MATCH(527, 輔助計算!$E$2:$E$801, 0)+1))="","",TRIM(INDEX(ERP資料!$E:$E, (MATCH(527, 輔助計算!$E$2:$E$801, 0)+1)))), "")</f>
        <v/>
      </c>
      <c r="E528" s="10">
        <f>IFERROR(IF(INDEX(ERP資料!$F:$F, (MATCH(527, 輔助計算!$E$2:$E$801, 0)+1))="","",INDEX(ERP資料!$F:$F, (MATCH(527, 輔助計算!$E$2:$E$801, 0)+1))), "")</f>
        <v/>
      </c>
      <c r="F528" s="10">
        <f>IFERROR(IF(INDEX(ERP資料!$G:$G, (MATCH(527, 輔助計算!$E$2:$E$801, 0)+1))="","",INDEX(ERP資料!$G:$G, (MATCH(527, 輔助計算!$E$2:$E$801, 0)+1))), "")</f>
        <v/>
      </c>
      <c r="G528" s="10">
        <f>IFERROR(IF(INDEX(ERP資料!$H:$H, (MATCH(527, 輔助計算!$E$2:$E$801, 0)+1))="","",INDEX(ERP資料!$H:$H, (MATCH(527, 輔助計算!$E$2:$E$801, 0)+1))), "")</f>
        <v/>
      </c>
      <c r="H528" s="15">
        <f>IFERROR(INDEX(輔助計算!$D:$D, (MATCH(527, 輔助計算!$E$2:$E$801, 0)+1)), "")</f>
        <v/>
      </c>
      <c r="I528" s="10">
        <f>IFERROR(IF(INDEX(ERP資料!$O:$O, (MATCH(527, 輔助計算!$E$2:$E$801, 0)+1))="","",INDEX(ERP資料!$O:$O, (MATCH(527, 輔助計算!$E$2:$E$801, 0)+1))), "")</f>
        <v/>
      </c>
      <c r="J528" s="15">
        <f>IFERROR(IF(INDEX(輔助計算!$D:$D,(MATCH(527, 輔助計算!$E$2:$E$801, 0)+1))="","",INDEX(輔助計算!$D:$D,(MATCH(527, 輔助計算!$E$2:$E$801, 0)+1))*INDEX(ERP資料!$O:$O,(MATCH(527, 輔助計算!$E$2:$E$801, 0)+1))), "")</f>
        <v/>
      </c>
      <c r="K528" s="16" t="n"/>
      <c r="L528" s="16" t="n"/>
      <c r="M528" s="17" t="n"/>
    </row>
    <row r="529">
      <c r="A529" s="14">
        <f>IFERROR(IF(INDEX(ERP資料!$B:$B, (MATCH(528, 輔助計算!$E$2:$E$801, 0)+1))="","",INDEX(ERP資料!$B:$B, (MATCH(528, 輔助計算!$E$2:$E$801, 0)+1))), "")</f>
        <v/>
      </c>
      <c r="B529" s="10">
        <f>IFERROR(IF(INDEX(ERP資料!$A:$A, (MATCH(528, 輔助計算!$E$2:$E$801, 0)+1))="","",INDEX(ERP資料!$A:$A, (MATCH(528, 輔助計算!$E$2:$E$801, 0)+1))), "")</f>
        <v/>
      </c>
      <c r="C529" s="10">
        <f>IFERROR(IF(INDEX(ERP資料!$S:$S, (MATCH(528, 輔助計算!$E$2:$E$801, 0)+1))="","",INDEX(ERP資料!$S:$S, (MATCH(528, 輔助計算!$E$2:$E$801, 0)+1))), "")</f>
        <v/>
      </c>
      <c r="D529" s="10">
        <f>IFERROR(IF(INDEX(ERP資料!$E:$E, (MATCH(528, 輔助計算!$E$2:$E$801, 0)+1))="","",TRIM(INDEX(ERP資料!$E:$E, (MATCH(528, 輔助計算!$E$2:$E$801, 0)+1)))), "")</f>
        <v/>
      </c>
      <c r="E529" s="10">
        <f>IFERROR(IF(INDEX(ERP資料!$F:$F, (MATCH(528, 輔助計算!$E$2:$E$801, 0)+1))="","",INDEX(ERP資料!$F:$F, (MATCH(528, 輔助計算!$E$2:$E$801, 0)+1))), "")</f>
        <v/>
      </c>
      <c r="F529" s="10">
        <f>IFERROR(IF(INDEX(ERP資料!$G:$G, (MATCH(528, 輔助計算!$E$2:$E$801, 0)+1))="","",INDEX(ERP資料!$G:$G, (MATCH(528, 輔助計算!$E$2:$E$801, 0)+1))), "")</f>
        <v/>
      </c>
      <c r="G529" s="10">
        <f>IFERROR(IF(INDEX(ERP資料!$H:$H, (MATCH(528, 輔助計算!$E$2:$E$801, 0)+1))="","",INDEX(ERP資料!$H:$H, (MATCH(528, 輔助計算!$E$2:$E$801, 0)+1))), "")</f>
        <v/>
      </c>
      <c r="H529" s="15">
        <f>IFERROR(INDEX(輔助計算!$D:$D, (MATCH(528, 輔助計算!$E$2:$E$801, 0)+1)), "")</f>
        <v/>
      </c>
      <c r="I529" s="10">
        <f>IFERROR(IF(INDEX(ERP資料!$O:$O, (MATCH(528, 輔助計算!$E$2:$E$801, 0)+1))="","",INDEX(ERP資料!$O:$O, (MATCH(528, 輔助計算!$E$2:$E$801, 0)+1))), "")</f>
        <v/>
      </c>
      <c r="J529" s="15">
        <f>IFERROR(IF(INDEX(輔助計算!$D:$D,(MATCH(528, 輔助計算!$E$2:$E$801, 0)+1))="","",INDEX(輔助計算!$D:$D,(MATCH(528, 輔助計算!$E$2:$E$801, 0)+1))*INDEX(ERP資料!$O:$O,(MATCH(528, 輔助計算!$E$2:$E$801, 0)+1))), "")</f>
        <v/>
      </c>
      <c r="K529" s="16" t="n"/>
      <c r="L529" s="16" t="n"/>
      <c r="M529" s="17" t="n"/>
    </row>
    <row r="530">
      <c r="A530" s="14">
        <f>IFERROR(IF(INDEX(ERP資料!$B:$B, (MATCH(529, 輔助計算!$E$2:$E$801, 0)+1))="","",INDEX(ERP資料!$B:$B, (MATCH(529, 輔助計算!$E$2:$E$801, 0)+1))), "")</f>
        <v/>
      </c>
      <c r="B530" s="10">
        <f>IFERROR(IF(INDEX(ERP資料!$A:$A, (MATCH(529, 輔助計算!$E$2:$E$801, 0)+1))="","",INDEX(ERP資料!$A:$A, (MATCH(529, 輔助計算!$E$2:$E$801, 0)+1))), "")</f>
        <v/>
      </c>
      <c r="C530" s="10">
        <f>IFERROR(IF(INDEX(ERP資料!$S:$S, (MATCH(529, 輔助計算!$E$2:$E$801, 0)+1))="","",INDEX(ERP資料!$S:$S, (MATCH(529, 輔助計算!$E$2:$E$801, 0)+1))), "")</f>
        <v/>
      </c>
      <c r="D530" s="10">
        <f>IFERROR(IF(INDEX(ERP資料!$E:$E, (MATCH(529, 輔助計算!$E$2:$E$801, 0)+1))="","",TRIM(INDEX(ERP資料!$E:$E, (MATCH(529, 輔助計算!$E$2:$E$801, 0)+1)))), "")</f>
        <v/>
      </c>
      <c r="E530" s="10">
        <f>IFERROR(IF(INDEX(ERP資料!$F:$F, (MATCH(529, 輔助計算!$E$2:$E$801, 0)+1))="","",INDEX(ERP資料!$F:$F, (MATCH(529, 輔助計算!$E$2:$E$801, 0)+1))), "")</f>
        <v/>
      </c>
      <c r="F530" s="10">
        <f>IFERROR(IF(INDEX(ERP資料!$G:$G, (MATCH(529, 輔助計算!$E$2:$E$801, 0)+1))="","",INDEX(ERP資料!$G:$G, (MATCH(529, 輔助計算!$E$2:$E$801, 0)+1))), "")</f>
        <v/>
      </c>
      <c r="G530" s="10">
        <f>IFERROR(IF(INDEX(ERP資料!$H:$H, (MATCH(529, 輔助計算!$E$2:$E$801, 0)+1))="","",INDEX(ERP資料!$H:$H, (MATCH(529, 輔助計算!$E$2:$E$801, 0)+1))), "")</f>
        <v/>
      </c>
      <c r="H530" s="15">
        <f>IFERROR(INDEX(輔助計算!$D:$D, (MATCH(529, 輔助計算!$E$2:$E$801, 0)+1)), "")</f>
        <v/>
      </c>
      <c r="I530" s="10">
        <f>IFERROR(IF(INDEX(ERP資料!$O:$O, (MATCH(529, 輔助計算!$E$2:$E$801, 0)+1))="","",INDEX(ERP資料!$O:$O, (MATCH(529, 輔助計算!$E$2:$E$801, 0)+1))), "")</f>
        <v/>
      </c>
      <c r="J530" s="15">
        <f>IFERROR(IF(INDEX(輔助計算!$D:$D,(MATCH(529, 輔助計算!$E$2:$E$801, 0)+1))="","",INDEX(輔助計算!$D:$D,(MATCH(529, 輔助計算!$E$2:$E$801, 0)+1))*INDEX(ERP資料!$O:$O,(MATCH(529, 輔助計算!$E$2:$E$801, 0)+1))), "")</f>
        <v/>
      </c>
      <c r="K530" s="16" t="n"/>
      <c r="L530" s="16" t="n"/>
      <c r="M530" s="17" t="n"/>
    </row>
    <row r="531">
      <c r="A531" s="14">
        <f>IFERROR(IF(INDEX(ERP資料!$B:$B, (MATCH(530, 輔助計算!$E$2:$E$801, 0)+1))="","",INDEX(ERP資料!$B:$B, (MATCH(530, 輔助計算!$E$2:$E$801, 0)+1))), "")</f>
        <v/>
      </c>
      <c r="B531" s="10">
        <f>IFERROR(IF(INDEX(ERP資料!$A:$A, (MATCH(530, 輔助計算!$E$2:$E$801, 0)+1))="","",INDEX(ERP資料!$A:$A, (MATCH(530, 輔助計算!$E$2:$E$801, 0)+1))), "")</f>
        <v/>
      </c>
      <c r="C531" s="10">
        <f>IFERROR(IF(INDEX(ERP資料!$S:$S, (MATCH(530, 輔助計算!$E$2:$E$801, 0)+1))="","",INDEX(ERP資料!$S:$S, (MATCH(530, 輔助計算!$E$2:$E$801, 0)+1))), "")</f>
        <v/>
      </c>
      <c r="D531" s="10">
        <f>IFERROR(IF(INDEX(ERP資料!$E:$E, (MATCH(530, 輔助計算!$E$2:$E$801, 0)+1))="","",TRIM(INDEX(ERP資料!$E:$E, (MATCH(530, 輔助計算!$E$2:$E$801, 0)+1)))), "")</f>
        <v/>
      </c>
      <c r="E531" s="10">
        <f>IFERROR(IF(INDEX(ERP資料!$F:$F, (MATCH(530, 輔助計算!$E$2:$E$801, 0)+1))="","",INDEX(ERP資料!$F:$F, (MATCH(530, 輔助計算!$E$2:$E$801, 0)+1))), "")</f>
        <v/>
      </c>
      <c r="F531" s="10">
        <f>IFERROR(IF(INDEX(ERP資料!$G:$G, (MATCH(530, 輔助計算!$E$2:$E$801, 0)+1))="","",INDEX(ERP資料!$G:$G, (MATCH(530, 輔助計算!$E$2:$E$801, 0)+1))), "")</f>
        <v/>
      </c>
      <c r="G531" s="10">
        <f>IFERROR(IF(INDEX(ERP資料!$H:$H, (MATCH(530, 輔助計算!$E$2:$E$801, 0)+1))="","",INDEX(ERP資料!$H:$H, (MATCH(530, 輔助計算!$E$2:$E$801, 0)+1))), "")</f>
        <v/>
      </c>
      <c r="H531" s="15">
        <f>IFERROR(INDEX(輔助計算!$D:$D, (MATCH(530, 輔助計算!$E$2:$E$801, 0)+1)), "")</f>
        <v/>
      </c>
      <c r="I531" s="10">
        <f>IFERROR(IF(INDEX(ERP資料!$O:$O, (MATCH(530, 輔助計算!$E$2:$E$801, 0)+1))="","",INDEX(ERP資料!$O:$O, (MATCH(530, 輔助計算!$E$2:$E$801, 0)+1))), "")</f>
        <v/>
      </c>
      <c r="J531" s="15">
        <f>IFERROR(IF(INDEX(輔助計算!$D:$D,(MATCH(530, 輔助計算!$E$2:$E$801, 0)+1))="","",INDEX(輔助計算!$D:$D,(MATCH(530, 輔助計算!$E$2:$E$801, 0)+1))*INDEX(ERP資料!$O:$O,(MATCH(530, 輔助計算!$E$2:$E$801, 0)+1))), "")</f>
        <v/>
      </c>
      <c r="K531" s="16" t="n"/>
      <c r="L531" s="16" t="n"/>
      <c r="M531" s="17" t="n"/>
    </row>
    <row r="532">
      <c r="A532" s="14">
        <f>IFERROR(IF(INDEX(ERP資料!$B:$B, (MATCH(531, 輔助計算!$E$2:$E$801, 0)+1))="","",INDEX(ERP資料!$B:$B, (MATCH(531, 輔助計算!$E$2:$E$801, 0)+1))), "")</f>
        <v/>
      </c>
      <c r="B532" s="10">
        <f>IFERROR(IF(INDEX(ERP資料!$A:$A, (MATCH(531, 輔助計算!$E$2:$E$801, 0)+1))="","",INDEX(ERP資料!$A:$A, (MATCH(531, 輔助計算!$E$2:$E$801, 0)+1))), "")</f>
        <v/>
      </c>
      <c r="C532" s="10">
        <f>IFERROR(IF(INDEX(ERP資料!$S:$S, (MATCH(531, 輔助計算!$E$2:$E$801, 0)+1))="","",INDEX(ERP資料!$S:$S, (MATCH(531, 輔助計算!$E$2:$E$801, 0)+1))), "")</f>
        <v/>
      </c>
      <c r="D532" s="10">
        <f>IFERROR(IF(INDEX(ERP資料!$E:$E, (MATCH(531, 輔助計算!$E$2:$E$801, 0)+1))="","",TRIM(INDEX(ERP資料!$E:$E, (MATCH(531, 輔助計算!$E$2:$E$801, 0)+1)))), "")</f>
        <v/>
      </c>
      <c r="E532" s="10">
        <f>IFERROR(IF(INDEX(ERP資料!$F:$F, (MATCH(531, 輔助計算!$E$2:$E$801, 0)+1))="","",INDEX(ERP資料!$F:$F, (MATCH(531, 輔助計算!$E$2:$E$801, 0)+1))), "")</f>
        <v/>
      </c>
      <c r="F532" s="10">
        <f>IFERROR(IF(INDEX(ERP資料!$G:$G, (MATCH(531, 輔助計算!$E$2:$E$801, 0)+1))="","",INDEX(ERP資料!$G:$G, (MATCH(531, 輔助計算!$E$2:$E$801, 0)+1))), "")</f>
        <v/>
      </c>
      <c r="G532" s="10">
        <f>IFERROR(IF(INDEX(ERP資料!$H:$H, (MATCH(531, 輔助計算!$E$2:$E$801, 0)+1))="","",INDEX(ERP資料!$H:$H, (MATCH(531, 輔助計算!$E$2:$E$801, 0)+1))), "")</f>
        <v/>
      </c>
      <c r="H532" s="15">
        <f>IFERROR(INDEX(輔助計算!$D:$D, (MATCH(531, 輔助計算!$E$2:$E$801, 0)+1)), "")</f>
        <v/>
      </c>
      <c r="I532" s="10">
        <f>IFERROR(IF(INDEX(ERP資料!$O:$O, (MATCH(531, 輔助計算!$E$2:$E$801, 0)+1))="","",INDEX(ERP資料!$O:$O, (MATCH(531, 輔助計算!$E$2:$E$801, 0)+1))), "")</f>
        <v/>
      </c>
      <c r="J532" s="15">
        <f>IFERROR(IF(INDEX(輔助計算!$D:$D,(MATCH(531, 輔助計算!$E$2:$E$801, 0)+1))="","",INDEX(輔助計算!$D:$D,(MATCH(531, 輔助計算!$E$2:$E$801, 0)+1))*INDEX(ERP資料!$O:$O,(MATCH(531, 輔助計算!$E$2:$E$801, 0)+1))), "")</f>
        <v/>
      </c>
      <c r="K532" s="16" t="n"/>
      <c r="L532" s="16" t="n"/>
      <c r="M532" s="17" t="n"/>
    </row>
    <row r="533">
      <c r="A533" s="14">
        <f>IFERROR(IF(INDEX(ERP資料!$B:$B, (MATCH(532, 輔助計算!$E$2:$E$801, 0)+1))="","",INDEX(ERP資料!$B:$B, (MATCH(532, 輔助計算!$E$2:$E$801, 0)+1))), "")</f>
        <v/>
      </c>
      <c r="B533" s="10">
        <f>IFERROR(IF(INDEX(ERP資料!$A:$A, (MATCH(532, 輔助計算!$E$2:$E$801, 0)+1))="","",INDEX(ERP資料!$A:$A, (MATCH(532, 輔助計算!$E$2:$E$801, 0)+1))), "")</f>
        <v/>
      </c>
      <c r="C533" s="10">
        <f>IFERROR(IF(INDEX(ERP資料!$S:$S, (MATCH(532, 輔助計算!$E$2:$E$801, 0)+1))="","",INDEX(ERP資料!$S:$S, (MATCH(532, 輔助計算!$E$2:$E$801, 0)+1))), "")</f>
        <v/>
      </c>
      <c r="D533" s="10">
        <f>IFERROR(IF(INDEX(ERP資料!$E:$E, (MATCH(532, 輔助計算!$E$2:$E$801, 0)+1))="","",TRIM(INDEX(ERP資料!$E:$E, (MATCH(532, 輔助計算!$E$2:$E$801, 0)+1)))), "")</f>
        <v/>
      </c>
      <c r="E533" s="10">
        <f>IFERROR(IF(INDEX(ERP資料!$F:$F, (MATCH(532, 輔助計算!$E$2:$E$801, 0)+1))="","",INDEX(ERP資料!$F:$F, (MATCH(532, 輔助計算!$E$2:$E$801, 0)+1))), "")</f>
        <v/>
      </c>
      <c r="F533" s="10">
        <f>IFERROR(IF(INDEX(ERP資料!$G:$G, (MATCH(532, 輔助計算!$E$2:$E$801, 0)+1))="","",INDEX(ERP資料!$G:$G, (MATCH(532, 輔助計算!$E$2:$E$801, 0)+1))), "")</f>
        <v/>
      </c>
      <c r="G533" s="10">
        <f>IFERROR(IF(INDEX(ERP資料!$H:$H, (MATCH(532, 輔助計算!$E$2:$E$801, 0)+1))="","",INDEX(ERP資料!$H:$H, (MATCH(532, 輔助計算!$E$2:$E$801, 0)+1))), "")</f>
        <v/>
      </c>
      <c r="H533" s="15">
        <f>IFERROR(INDEX(輔助計算!$D:$D, (MATCH(532, 輔助計算!$E$2:$E$801, 0)+1)), "")</f>
        <v/>
      </c>
      <c r="I533" s="10">
        <f>IFERROR(IF(INDEX(ERP資料!$O:$O, (MATCH(532, 輔助計算!$E$2:$E$801, 0)+1))="","",INDEX(ERP資料!$O:$O, (MATCH(532, 輔助計算!$E$2:$E$801, 0)+1))), "")</f>
        <v/>
      </c>
      <c r="J533" s="15">
        <f>IFERROR(IF(INDEX(輔助計算!$D:$D,(MATCH(532, 輔助計算!$E$2:$E$801, 0)+1))="","",INDEX(輔助計算!$D:$D,(MATCH(532, 輔助計算!$E$2:$E$801, 0)+1))*INDEX(ERP資料!$O:$O,(MATCH(532, 輔助計算!$E$2:$E$801, 0)+1))), "")</f>
        <v/>
      </c>
      <c r="K533" s="16" t="n"/>
      <c r="L533" s="16" t="n"/>
      <c r="M533" s="17" t="n"/>
    </row>
    <row r="534">
      <c r="A534" s="14">
        <f>IFERROR(IF(INDEX(ERP資料!$B:$B, (MATCH(533, 輔助計算!$E$2:$E$801, 0)+1))="","",INDEX(ERP資料!$B:$B, (MATCH(533, 輔助計算!$E$2:$E$801, 0)+1))), "")</f>
        <v/>
      </c>
      <c r="B534" s="10">
        <f>IFERROR(IF(INDEX(ERP資料!$A:$A, (MATCH(533, 輔助計算!$E$2:$E$801, 0)+1))="","",INDEX(ERP資料!$A:$A, (MATCH(533, 輔助計算!$E$2:$E$801, 0)+1))), "")</f>
        <v/>
      </c>
      <c r="C534" s="10">
        <f>IFERROR(IF(INDEX(ERP資料!$S:$S, (MATCH(533, 輔助計算!$E$2:$E$801, 0)+1))="","",INDEX(ERP資料!$S:$S, (MATCH(533, 輔助計算!$E$2:$E$801, 0)+1))), "")</f>
        <v/>
      </c>
      <c r="D534" s="10">
        <f>IFERROR(IF(INDEX(ERP資料!$E:$E, (MATCH(533, 輔助計算!$E$2:$E$801, 0)+1))="","",TRIM(INDEX(ERP資料!$E:$E, (MATCH(533, 輔助計算!$E$2:$E$801, 0)+1)))), "")</f>
        <v/>
      </c>
      <c r="E534" s="10">
        <f>IFERROR(IF(INDEX(ERP資料!$F:$F, (MATCH(533, 輔助計算!$E$2:$E$801, 0)+1))="","",INDEX(ERP資料!$F:$F, (MATCH(533, 輔助計算!$E$2:$E$801, 0)+1))), "")</f>
        <v/>
      </c>
      <c r="F534" s="10">
        <f>IFERROR(IF(INDEX(ERP資料!$G:$G, (MATCH(533, 輔助計算!$E$2:$E$801, 0)+1))="","",INDEX(ERP資料!$G:$G, (MATCH(533, 輔助計算!$E$2:$E$801, 0)+1))), "")</f>
        <v/>
      </c>
      <c r="G534" s="10">
        <f>IFERROR(IF(INDEX(ERP資料!$H:$H, (MATCH(533, 輔助計算!$E$2:$E$801, 0)+1))="","",INDEX(ERP資料!$H:$H, (MATCH(533, 輔助計算!$E$2:$E$801, 0)+1))), "")</f>
        <v/>
      </c>
      <c r="H534" s="15">
        <f>IFERROR(INDEX(輔助計算!$D:$D, (MATCH(533, 輔助計算!$E$2:$E$801, 0)+1)), "")</f>
        <v/>
      </c>
      <c r="I534" s="10">
        <f>IFERROR(IF(INDEX(ERP資料!$O:$O, (MATCH(533, 輔助計算!$E$2:$E$801, 0)+1))="","",INDEX(ERP資料!$O:$O, (MATCH(533, 輔助計算!$E$2:$E$801, 0)+1))), "")</f>
        <v/>
      </c>
      <c r="J534" s="15">
        <f>IFERROR(IF(INDEX(輔助計算!$D:$D,(MATCH(533, 輔助計算!$E$2:$E$801, 0)+1))="","",INDEX(輔助計算!$D:$D,(MATCH(533, 輔助計算!$E$2:$E$801, 0)+1))*INDEX(ERP資料!$O:$O,(MATCH(533, 輔助計算!$E$2:$E$801, 0)+1))), "")</f>
        <v/>
      </c>
      <c r="K534" s="16" t="n"/>
      <c r="L534" s="16" t="n"/>
      <c r="M534" s="17" t="n"/>
    </row>
    <row r="535">
      <c r="A535" s="14">
        <f>IFERROR(IF(INDEX(ERP資料!$B:$B, (MATCH(534, 輔助計算!$E$2:$E$801, 0)+1))="","",INDEX(ERP資料!$B:$B, (MATCH(534, 輔助計算!$E$2:$E$801, 0)+1))), "")</f>
        <v/>
      </c>
      <c r="B535" s="10">
        <f>IFERROR(IF(INDEX(ERP資料!$A:$A, (MATCH(534, 輔助計算!$E$2:$E$801, 0)+1))="","",INDEX(ERP資料!$A:$A, (MATCH(534, 輔助計算!$E$2:$E$801, 0)+1))), "")</f>
        <v/>
      </c>
      <c r="C535" s="10">
        <f>IFERROR(IF(INDEX(ERP資料!$S:$S, (MATCH(534, 輔助計算!$E$2:$E$801, 0)+1))="","",INDEX(ERP資料!$S:$S, (MATCH(534, 輔助計算!$E$2:$E$801, 0)+1))), "")</f>
        <v/>
      </c>
      <c r="D535" s="10">
        <f>IFERROR(IF(INDEX(ERP資料!$E:$E, (MATCH(534, 輔助計算!$E$2:$E$801, 0)+1))="","",TRIM(INDEX(ERP資料!$E:$E, (MATCH(534, 輔助計算!$E$2:$E$801, 0)+1)))), "")</f>
        <v/>
      </c>
      <c r="E535" s="10">
        <f>IFERROR(IF(INDEX(ERP資料!$F:$F, (MATCH(534, 輔助計算!$E$2:$E$801, 0)+1))="","",INDEX(ERP資料!$F:$F, (MATCH(534, 輔助計算!$E$2:$E$801, 0)+1))), "")</f>
        <v/>
      </c>
      <c r="F535" s="10">
        <f>IFERROR(IF(INDEX(ERP資料!$G:$G, (MATCH(534, 輔助計算!$E$2:$E$801, 0)+1))="","",INDEX(ERP資料!$G:$G, (MATCH(534, 輔助計算!$E$2:$E$801, 0)+1))), "")</f>
        <v/>
      </c>
      <c r="G535" s="10">
        <f>IFERROR(IF(INDEX(ERP資料!$H:$H, (MATCH(534, 輔助計算!$E$2:$E$801, 0)+1))="","",INDEX(ERP資料!$H:$H, (MATCH(534, 輔助計算!$E$2:$E$801, 0)+1))), "")</f>
        <v/>
      </c>
      <c r="H535" s="15">
        <f>IFERROR(INDEX(輔助計算!$D:$D, (MATCH(534, 輔助計算!$E$2:$E$801, 0)+1)), "")</f>
        <v/>
      </c>
      <c r="I535" s="10">
        <f>IFERROR(IF(INDEX(ERP資料!$O:$O, (MATCH(534, 輔助計算!$E$2:$E$801, 0)+1))="","",INDEX(ERP資料!$O:$O, (MATCH(534, 輔助計算!$E$2:$E$801, 0)+1))), "")</f>
        <v/>
      </c>
      <c r="J535" s="15">
        <f>IFERROR(IF(INDEX(輔助計算!$D:$D,(MATCH(534, 輔助計算!$E$2:$E$801, 0)+1))="","",INDEX(輔助計算!$D:$D,(MATCH(534, 輔助計算!$E$2:$E$801, 0)+1))*INDEX(ERP資料!$O:$O,(MATCH(534, 輔助計算!$E$2:$E$801, 0)+1))), "")</f>
        <v/>
      </c>
      <c r="K535" s="16" t="n"/>
      <c r="L535" s="16" t="n"/>
      <c r="M535" s="17" t="n"/>
    </row>
    <row r="536">
      <c r="A536" s="14">
        <f>IFERROR(IF(INDEX(ERP資料!$B:$B, (MATCH(535, 輔助計算!$E$2:$E$801, 0)+1))="","",INDEX(ERP資料!$B:$B, (MATCH(535, 輔助計算!$E$2:$E$801, 0)+1))), "")</f>
        <v/>
      </c>
      <c r="B536" s="10">
        <f>IFERROR(IF(INDEX(ERP資料!$A:$A, (MATCH(535, 輔助計算!$E$2:$E$801, 0)+1))="","",INDEX(ERP資料!$A:$A, (MATCH(535, 輔助計算!$E$2:$E$801, 0)+1))), "")</f>
        <v/>
      </c>
      <c r="C536" s="10">
        <f>IFERROR(IF(INDEX(ERP資料!$S:$S, (MATCH(535, 輔助計算!$E$2:$E$801, 0)+1))="","",INDEX(ERP資料!$S:$S, (MATCH(535, 輔助計算!$E$2:$E$801, 0)+1))), "")</f>
        <v/>
      </c>
      <c r="D536" s="10">
        <f>IFERROR(IF(INDEX(ERP資料!$E:$E, (MATCH(535, 輔助計算!$E$2:$E$801, 0)+1))="","",TRIM(INDEX(ERP資料!$E:$E, (MATCH(535, 輔助計算!$E$2:$E$801, 0)+1)))), "")</f>
        <v/>
      </c>
      <c r="E536" s="10">
        <f>IFERROR(IF(INDEX(ERP資料!$F:$F, (MATCH(535, 輔助計算!$E$2:$E$801, 0)+1))="","",INDEX(ERP資料!$F:$F, (MATCH(535, 輔助計算!$E$2:$E$801, 0)+1))), "")</f>
        <v/>
      </c>
      <c r="F536" s="10">
        <f>IFERROR(IF(INDEX(ERP資料!$G:$G, (MATCH(535, 輔助計算!$E$2:$E$801, 0)+1))="","",INDEX(ERP資料!$G:$G, (MATCH(535, 輔助計算!$E$2:$E$801, 0)+1))), "")</f>
        <v/>
      </c>
      <c r="G536" s="10">
        <f>IFERROR(IF(INDEX(ERP資料!$H:$H, (MATCH(535, 輔助計算!$E$2:$E$801, 0)+1))="","",INDEX(ERP資料!$H:$H, (MATCH(535, 輔助計算!$E$2:$E$801, 0)+1))), "")</f>
        <v/>
      </c>
      <c r="H536" s="15">
        <f>IFERROR(INDEX(輔助計算!$D:$D, (MATCH(535, 輔助計算!$E$2:$E$801, 0)+1)), "")</f>
        <v/>
      </c>
      <c r="I536" s="10">
        <f>IFERROR(IF(INDEX(ERP資料!$O:$O, (MATCH(535, 輔助計算!$E$2:$E$801, 0)+1))="","",INDEX(ERP資料!$O:$O, (MATCH(535, 輔助計算!$E$2:$E$801, 0)+1))), "")</f>
        <v/>
      </c>
      <c r="J536" s="15">
        <f>IFERROR(IF(INDEX(輔助計算!$D:$D,(MATCH(535, 輔助計算!$E$2:$E$801, 0)+1))="","",INDEX(輔助計算!$D:$D,(MATCH(535, 輔助計算!$E$2:$E$801, 0)+1))*INDEX(ERP資料!$O:$O,(MATCH(535, 輔助計算!$E$2:$E$801, 0)+1))), "")</f>
        <v/>
      </c>
      <c r="K536" s="16" t="n"/>
      <c r="L536" s="16" t="n"/>
      <c r="M536" s="17" t="n"/>
    </row>
    <row r="537">
      <c r="A537" s="14">
        <f>IFERROR(IF(INDEX(ERP資料!$B:$B, (MATCH(536, 輔助計算!$E$2:$E$801, 0)+1))="","",INDEX(ERP資料!$B:$B, (MATCH(536, 輔助計算!$E$2:$E$801, 0)+1))), "")</f>
        <v/>
      </c>
      <c r="B537" s="10">
        <f>IFERROR(IF(INDEX(ERP資料!$A:$A, (MATCH(536, 輔助計算!$E$2:$E$801, 0)+1))="","",INDEX(ERP資料!$A:$A, (MATCH(536, 輔助計算!$E$2:$E$801, 0)+1))), "")</f>
        <v/>
      </c>
      <c r="C537" s="10">
        <f>IFERROR(IF(INDEX(ERP資料!$S:$S, (MATCH(536, 輔助計算!$E$2:$E$801, 0)+1))="","",INDEX(ERP資料!$S:$S, (MATCH(536, 輔助計算!$E$2:$E$801, 0)+1))), "")</f>
        <v/>
      </c>
      <c r="D537" s="10">
        <f>IFERROR(IF(INDEX(ERP資料!$E:$E, (MATCH(536, 輔助計算!$E$2:$E$801, 0)+1))="","",TRIM(INDEX(ERP資料!$E:$E, (MATCH(536, 輔助計算!$E$2:$E$801, 0)+1)))), "")</f>
        <v/>
      </c>
      <c r="E537" s="10">
        <f>IFERROR(IF(INDEX(ERP資料!$F:$F, (MATCH(536, 輔助計算!$E$2:$E$801, 0)+1))="","",INDEX(ERP資料!$F:$F, (MATCH(536, 輔助計算!$E$2:$E$801, 0)+1))), "")</f>
        <v/>
      </c>
      <c r="F537" s="10">
        <f>IFERROR(IF(INDEX(ERP資料!$G:$G, (MATCH(536, 輔助計算!$E$2:$E$801, 0)+1))="","",INDEX(ERP資料!$G:$G, (MATCH(536, 輔助計算!$E$2:$E$801, 0)+1))), "")</f>
        <v/>
      </c>
      <c r="G537" s="10">
        <f>IFERROR(IF(INDEX(ERP資料!$H:$H, (MATCH(536, 輔助計算!$E$2:$E$801, 0)+1))="","",INDEX(ERP資料!$H:$H, (MATCH(536, 輔助計算!$E$2:$E$801, 0)+1))), "")</f>
        <v/>
      </c>
      <c r="H537" s="15">
        <f>IFERROR(INDEX(輔助計算!$D:$D, (MATCH(536, 輔助計算!$E$2:$E$801, 0)+1)), "")</f>
        <v/>
      </c>
      <c r="I537" s="10">
        <f>IFERROR(IF(INDEX(ERP資料!$O:$O, (MATCH(536, 輔助計算!$E$2:$E$801, 0)+1))="","",INDEX(ERP資料!$O:$O, (MATCH(536, 輔助計算!$E$2:$E$801, 0)+1))), "")</f>
        <v/>
      </c>
      <c r="J537" s="15">
        <f>IFERROR(IF(INDEX(輔助計算!$D:$D,(MATCH(536, 輔助計算!$E$2:$E$801, 0)+1))="","",INDEX(輔助計算!$D:$D,(MATCH(536, 輔助計算!$E$2:$E$801, 0)+1))*INDEX(ERP資料!$O:$O,(MATCH(536, 輔助計算!$E$2:$E$801, 0)+1))), "")</f>
        <v/>
      </c>
      <c r="K537" s="16" t="n"/>
      <c r="L537" s="16" t="n"/>
      <c r="M537" s="17" t="n"/>
    </row>
    <row r="538">
      <c r="A538" s="14">
        <f>IFERROR(IF(INDEX(ERP資料!$B:$B, (MATCH(537, 輔助計算!$E$2:$E$801, 0)+1))="","",INDEX(ERP資料!$B:$B, (MATCH(537, 輔助計算!$E$2:$E$801, 0)+1))), "")</f>
        <v/>
      </c>
      <c r="B538" s="10">
        <f>IFERROR(IF(INDEX(ERP資料!$A:$A, (MATCH(537, 輔助計算!$E$2:$E$801, 0)+1))="","",INDEX(ERP資料!$A:$A, (MATCH(537, 輔助計算!$E$2:$E$801, 0)+1))), "")</f>
        <v/>
      </c>
      <c r="C538" s="10">
        <f>IFERROR(IF(INDEX(ERP資料!$S:$S, (MATCH(537, 輔助計算!$E$2:$E$801, 0)+1))="","",INDEX(ERP資料!$S:$S, (MATCH(537, 輔助計算!$E$2:$E$801, 0)+1))), "")</f>
        <v/>
      </c>
      <c r="D538" s="10">
        <f>IFERROR(IF(INDEX(ERP資料!$E:$E, (MATCH(537, 輔助計算!$E$2:$E$801, 0)+1))="","",TRIM(INDEX(ERP資料!$E:$E, (MATCH(537, 輔助計算!$E$2:$E$801, 0)+1)))), "")</f>
        <v/>
      </c>
      <c r="E538" s="10">
        <f>IFERROR(IF(INDEX(ERP資料!$F:$F, (MATCH(537, 輔助計算!$E$2:$E$801, 0)+1))="","",INDEX(ERP資料!$F:$F, (MATCH(537, 輔助計算!$E$2:$E$801, 0)+1))), "")</f>
        <v/>
      </c>
      <c r="F538" s="10">
        <f>IFERROR(IF(INDEX(ERP資料!$G:$G, (MATCH(537, 輔助計算!$E$2:$E$801, 0)+1))="","",INDEX(ERP資料!$G:$G, (MATCH(537, 輔助計算!$E$2:$E$801, 0)+1))), "")</f>
        <v/>
      </c>
      <c r="G538" s="10">
        <f>IFERROR(IF(INDEX(ERP資料!$H:$H, (MATCH(537, 輔助計算!$E$2:$E$801, 0)+1))="","",INDEX(ERP資料!$H:$H, (MATCH(537, 輔助計算!$E$2:$E$801, 0)+1))), "")</f>
        <v/>
      </c>
      <c r="H538" s="15">
        <f>IFERROR(INDEX(輔助計算!$D:$D, (MATCH(537, 輔助計算!$E$2:$E$801, 0)+1)), "")</f>
        <v/>
      </c>
      <c r="I538" s="10">
        <f>IFERROR(IF(INDEX(ERP資料!$O:$O, (MATCH(537, 輔助計算!$E$2:$E$801, 0)+1))="","",INDEX(ERP資料!$O:$O, (MATCH(537, 輔助計算!$E$2:$E$801, 0)+1))), "")</f>
        <v/>
      </c>
      <c r="J538" s="15">
        <f>IFERROR(IF(INDEX(輔助計算!$D:$D,(MATCH(537, 輔助計算!$E$2:$E$801, 0)+1))="","",INDEX(輔助計算!$D:$D,(MATCH(537, 輔助計算!$E$2:$E$801, 0)+1))*INDEX(ERP資料!$O:$O,(MATCH(537, 輔助計算!$E$2:$E$801, 0)+1))), "")</f>
        <v/>
      </c>
      <c r="K538" s="16" t="n"/>
      <c r="L538" s="16" t="n"/>
      <c r="M538" s="17" t="n"/>
    </row>
    <row r="539">
      <c r="A539" s="14">
        <f>IFERROR(IF(INDEX(ERP資料!$B:$B, (MATCH(538, 輔助計算!$E$2:$E$801, 0)+1))="","",INDEX(ERP資料!$B:$B, (MATCH(538, 輔助計算!$E$2:$E$801, 0)+1))), "")</f>
        <v/>
      </c>
      <c r="B539" s="10">
        <f>IFERROR(IF(INDEX(ERP資料!$A:$A, (MATCH(538, 輔助計算!$E$2:$E$801, 0)+1))="","",INDEX(ERP資料!$A:$A, (MATCH(538, 輔助計算!$E$2:$E$801, 0)+1))), "")</f>
        <v/>
      </c>
      <c r="C539" s="10">
        <f>IFERROR(IF(INDEX(ERP資料!$S:$S, (MATCH(538, 輔助計算!$E$2:$E$801, 0)+1))="","",INDEX(ERP資料!$S:$S, (MATCH(538, 輔助計算!$E$2:$E$801, 0)+1))), "")</f>
        <v/>
      </c>
      <c r="D539" s="10">
        <f>IFERROR(IF(INDEX(ERP資料!$E:$E, (MATCH(538, 輔助計算!$E$2:$E$801, 0)+1))="","",TRIM(INDEX(ERP資料!$E:$E, (MATCH(538, 輔助計算!$E$2:$E$801, 0)+1)))), "")</f>
        <v/>
      </c>
      <c r="E539" s="10">
        <f>IFERROR(IF(INDEX(ERP資料!$F:$F, (MATCH(538, 輔助計算!$E$2:$E$801, 0)+1))="","",INDEX(ERP資料!$F:$F, (MATCH(538, 輔助計算!$E$2:$E$801, 0)+1))), "")</f>
        <v/>
      </c>
      <c r="F539" s="10">
        <f>IFERROR(IF(INDEX(ERP資料!$G:$G, (MATCH(538, 輔助計算!$E$2:$E$801, 0)+1))="","",INDEX(ERP資料!$G:$G, (MATCH(538, 輔助計算!$E$2:$E$801, 0)+1))), "")</f>
        <v/>
      </c>
      <c r="G539" s="10">
        <f>IFERROR(IF(INDEX(ERP資料!$H:$H, (MATCH(538, 輔助計算!$E$2:$E$801, 0)+1))="","",INDEX(ERP資料!$H:$H, (MATCH(538, 輔助計算!$E$2:$E$801, 0)+1))), "")</f>
        <v/>
      </c>
      <c r="H539" s="15">
        <f>IFERROR(INDEX(輔助計算!$D:$D, (MATCH(538, 輔助計算!$E$2:$E$801, 0)+1)), "")</f>
        <v/>
      </c>
      <c r="I539" s="10">
        <f>IFERROR(IF(INDEX(ERP資料!$O:$O, (MATCH(538, 輔助計算!$E$2:$E$801, 0)+1))="","",INDEX(ERP資料!$O:$O, (MATCH(538, 輔助計算!$E$2:$E$801, 0)+1))), "")</f>
        <v/>
      </c>
      <c r="J539" s="15">
        <f>IFERROR(IF(INDEX(輔助計算!$D:$D,(MATCH(538, 輔助計算!$E$2:$E$801, 0)+1))="","",INDEX(輔助計算!$D:$D,(MATCH(538, 輔助計算!$E$2:$E$801, 0)+1))*INDEX(ERP資料!$O:$O,(MATCH(538, 輔助計算!$E$2:$E$801, 0)+1))), "")</f>
        <v/>
      </c>
      <c r="K539" s="16" t="n"/>
      <c r="L539" s="16" t="n"/>
      <c r="M539" s="17" t="n"/>
    </row>
    <row r="540">
      <c r="A540" s="14">
        <f>IFERROR(IF(INDEX(ERP資料!$B:$B, (MATCH(539, 輔助計算!$E$2:$E$801, 0)+1))="","",INDEX(ERP資料!$B:$B, (MATCH(539, 輔助計算!$E$2:$E$801, 0)+1))), "")</f>
        <v/>
      </c>
      <c r="B540" s="10">
        <f>IFERROR(IF(INDEX(ERP資料!$A:$A, (MATCH(539, 輔助計算!$E$2:$E$801, 0)+1))="","",INDEX(ERP資料!$A:$A, (MATCH(539, 輔助計算!$E$2:$E$801, 0)+1))), "")</f>
        <v/>
      </c>
      <c r="C540" s="10">
        <f>IFERROR(IF(INDEX(ERP資料!$S:$S, (MATCH(539, 輔助計算!$E$2:$E$801, 0)+1))="","",INDEX(ERP資料!$S:$S, (MATCH(539, 輔助計算!$E$2:$E$801, 0)+1))), "")</f>
        <v/>
      </c>
      <c r="D540" s="10">
        <f>IFERROR(IF(INDEX(ERP資料!$E:$E, (MATCH(539, 輔助計算!$E$2:$E$801, 0)+1))="","",TRIM(INDEX(ERP資料!$E:$E, (MATCH(539, 輔助計算!$E$2:$E$801, 0)+1)))), "")</f>
        <v/>
      </c>
      <c r="E540" s="10">
        <f>IFERROR(IF(INDEX(ERP資料!$F:$F, (MATCH(539, 輔助計算!$E$2:$E$801, 0)+1))="","",INDEX(ERP資料!$F:$F, (MATCH(539, 輔助計算!$E$2:$E$801, 0)+1))), "")</f>
        <v/>
      </c>
      <c r="F540" s="10">
        <f>IFERROR(IF(INDEX(ERP資料!$G:$G, (MATCH(539, 輔助計算!$E$2:$E$801, 0)+1))="","",INDEX(ERP資料!$G:$G, (MATCH(539, 輔助計算!$E$2:$E$801, 0)+1))), "")</f>
        <v/>
      </c>
      <c r="G540" s="10">
        <f>IFERROR(IF(INDEX(ERP資料!$H:$H, (MATCH(539, 輔助計算!$E$2:$E$801, 0)+1))="","",INDEX(ERP資料!$H:$H, (MATCH(539, 輔助計算!$E$2:$E$801, 0)+1))), "")</f>
        <v/>
      </c>
      <c r="H540" s="15">
        <f>IFERROR(INDEX(輔助計算!$D:$D, (MATCH(539, 輔助計算!$E$2:$E$801, 0)+1)), "")</f>
        <v/>
      </c>
      <c r="I540" s="10">
        <f>IFERROR(IF(INDEX(ERP資料!$O:$O, (MATCH(539, 輔助計算!$E$2:$E$801, 0)+1))="","",INDEX(ERP資料!$O:$O, (MATCH(539, 輔助計算!$E$2:$E$801, 0)+1))), "")</f>
        <v/>
      </c>
      <c r="J540" s="15">
        <f>IFERROR(IF(INDEX(輔助計算!$D:$D,(MATCH(539, 輔助計算!$E$2:$E$801, 0)+1))="","",INDEX(輔助計算!$D:$D,(MATCH(539, 輔助計算!$E$2:$E$801, 0)+1))*INDEX(ERP資料!$O:$O,(MATCH(539, 輔助計算!$E$2:$E$801, 0)+1))), "")</f>
        <v/>
      </c>
      <c r="K540" s="16" t="n"/>
      <c r="L540" s="16" t="n"/>
      <c r="M540" s="17" t="n"/>
    </row>
    <row r="541">
      <c r="A541" s="14">
        <f>IFERROR(IF(INDEX(ERP資料!$B:$B, (MATCH(540, 輔助計算!$E$2:$E$801, 0)+1))="","",INDEX(ERP資料!$B:$B, (MATCH(540, 輔助計算!$E$2:$E$801, 0)+1))), "")</f>
        <v/>
      </c>
      <c r="B541" s="10">
        <f>IFERROR(IF(INDEX(ERP資料!$A:$A, (MATCH(540, 輔助計算!$E$2:$E$801, 0)+1))="","",INDEX(ERP資料!$A:$A, (MATCH(540, 輔助計算!$E$2:$E$801, 0)+1))), "")</f>
        <v/>
      </c>
      <c r="C541" s="10">
        <f>IFERROR(IF(INDEX(ERP資料!$S:$S, (MATCH(540, 輔助計算!$E$2:$E$801, 0)+1))="","",INDEX(ERP資料!$S:$S, (MATCH(540, 輔助計算!$E$2:$E$801, 0)+1))), "")</f>
        <v/>
      </c>
      <c r="D541" s="10">
        <f>IFERROR(IF(INDEX(ERP資料!$E:$E, (MATCH(540, 輔助計算!$E$2:$E$801, 0)+1))="","",TRIM(INDEX(ERP資料!$E:$E, (MATCH(540, 輔助計算!$E$2:$E$801, 0)+1)))), "")</f>
        <v/>
      </c>
      <c r="E541" s="10">
        <f>IFERROR(IF(INDEX(ERP資料!$F:$F, (MATCH(540, 輔助計算!$E$2:$E$801, 0)+1))="","",INDEX(ERP資料!$F:$F, (MATCH(540, 輔助計算!$E$2:$E$801, 0)+1))), "")</f>
        <v/>
      </c>
      <c r="F541" s="10">
        <f>IFERROR(IF(INDEX(ERP資料!$G:$G, (MATCH(540, 輔助計算!$E$2:$E$801, 0)+1))="","",INDEX(ERP資料!$G:$G, (MATCH(540, 輔助計算!$E$2:$E$801, 0)+1))), "")</f>
        <v/>
      </c>
      <c r="G541" s="10">
        <f>IFERROR(IF(INDEX(ERP資料!$H:$H, (MATCH(540, 輔助計算!$E$2:$E$801, 0)+1))="","",INDEX(ERP資料!$H:$H, (MATCH(540, 輔助計算!$E$2:$E$801, 0)+1))), "")</f>
        <v/>
      </c>
      <c r="H541" s="15">
        <f>IFERROR(INDEX(輔助計算!$D:$D, (MATCH(540, 輔助計算!$E$2:$E$801, 0)+1)), "")</f>
        <v/>
      </c>
      <c r="I541" s="10">
        <f>IFERROR(IF(INDEX(ERP資料!$O:$O, (MATCH(540, 輔助計算!$E$2:$E$801, 0)+1))="","",INDEX(ERP資料!$O:$O, (MATCH(540, 輔助計算!$E$2:$E$801, 0)+1))), "")</f>
        <v/>
      </c>
      <c r="J541" s="15">
        <f>IFERROR(IF(INDEX(輔助計算!$D:$D,(MATCH(540, 輔助計算!$E$2:$E$801, 0)+1))="","",INDEX(輔助計算!$D:$D,(MATCH(540, 輔助計算!$E$2:$E$801, 0)+1))*INDEX(ERP資料!$O:$O,(MATCH(540, 輔助計算!$E$2:$E$801, 0)+1))), "")</f>
        <v/>
      </c>
      <c r="K541" s="16" t="n"/>
      <c r="L541" s="16" t="n"/>
      <c r="M541" s="17" t="n"/>
    </row>
    <row r="542">
      <c r="A542" s="14">
        <f>IFERROR(IF(INDEX(ERP資料!$B:$B, (MATCH(541, 輔助計算!$E$2:$E$801, 0)+1))="","",INDEX(ERP資料!$B:$B, (MATCH(541, 輔助計算!$E$2:$E$801, 0)+1))), "")</f>
        <v/>
      </c>
      <c r="B542" s="10">
        <f>IFERROR(IF(INDEX(ERP資料!$A:$A, (MATCH(541, 輔助計算!$E$2:$E$801, 0)+1))="","",INDEX(ERP資料!$A:$A, (MATCH(541, 輔助計算!$E$2:$E$801, 0)+1))), "")</f>
        <v/>
      </c>
      <c r="C542" s="10">
        <f>IFERROR(IF(INDEX(ERP資料!$S:$S, (MATCH(541, 輔助計算!$E$2:$E$801, 0)+1))="","",INDEX(ERP資料!$S:$S, (MATCH(541, 輔助計算!$E$2:$E$801, 0)+1))), "")</f>
        <v/>
      </c>
      <c r="D542" s="10">
        <f>IFERROR(IF(INDEX(ERP資料!$E:$E, (MATCH(541, 輔助計算!$E$2:$E$801, 0)+1))="","",TRIM(INDEX(ERP資料!$E:$E, (MATCH(541, 輔助計算!$E$2:$E$801, 0)+1)))), "")</f>
        <v/>
      </c>
      <c r="E542" s="10">
        <f>IFERROR(IF(INDEX(ERP資料!$F:$F, (MATCH(541, 輔助計算!$E$2:$E$801, 0)+1))="","",INDEX(ERP資料!$F:$F, (MATCH(541, 輔助計算!$E$2:$E$801, 0)+1))), "")</f>
        <v/>
      </c>
      <c r="F542" s="10">
        <f>IFERROR(IF(INDEX(ERP資料!$G:$G, (MATCH(541, 輔助計算!$E$2:$E$801, 0)+1))="","",INDEX(ERP資料!$G:$G, (MATCH(541, 輔助計算!$E$2:$E$801, 0)+1))), "")</f>
        <v/>
      </c>
      <c r="G542" s="10">
        <f>IFERROR(IF(INDEX(ERP資料!$H:$H, (MATCH(541, 輔助計算!$E$2:$E$801, 0)+1))="","",INDEX(ERP資料!$H:$H, (MATCH(541, 輔助計算!$E$2:$E$801, 0)+1))), "")</f>
        <v/>
      </c>
      <c r="H542" s="15">
        <f>IFERROR(INDEX(輔助計算!$D:$D, (MATCH(541, 輔助計算!$E$2:$E$801, 0)+1)), "")</f>
        <v/>
      </c>
      <c r="I542" s="10">
        <f>IFERROR(IF(INDEX(ERP資料!$O:$O, (MATCH(541, 輔助計算!$E$2:$E$801, 0)+1))="","",INDEX(ERP資料!$O:$O, (MATCH(541, 輔助計算!$E$2:$E$801, 0)+1))), "")</f>
        <v/>
      </c>
      <c r="J542" s="15">
        <f>IFERROR(IF(INDEX(輔助計算!$D:$D,(MATCH(541, 輔助計算!$E$2:$E$801, 0)+1))="","",INDEX(輔助計算!$D:$D,(MATCH(541, 輔助計算!$E$2:$E$801, 0)+1))*INDEX(ERP資料!$O:$O,(MATCH(541, 輔助計算!$E$2:$E$801, 0)+1))), "")</f>
        <v/>
      </c>
      <c r="K542" s="16" t="n"/>
      <c r="L542" s="16" t="n"/>
      <c r="M542" s="17" t="n"/>
    </row>
    <row r="543">
      <c r="A543" s="14">
        <f>IFERROR(IF(INDEX(ERP資料!$B:$B, (MATCH(542, 輔助計算!$E$2:$E$801, 0)+1))="","",INDEX(ERP資料!$B:$B, (MATCH(542, 輔助計算!$E$2:$E$801, 0)+1))), "")</f>
        <v/>
      </c>
      <c r="B543" s="10">
        <f>IFERROR(IF(INDEX(ERP資料!$A:$A, (MATCH(542, 輔助計算!$E$2:$E$801, 0)+1))="","",INDEX(ERP資料!$A:$A, (MATCH(542, 輔助計算!$E$2:$E$801, 0)+1))), "")</f>
        <v/>
      </c>
      <c r="C543" s="10">
        <f>IFERROR(IF(INDEX(ERP資料!$S:$S, (MATCH(542, 輔助計算!$E$2:$E$801, 0)+1))="","",INDEX(ERP資料!$S:$S, (MATCH(542, 輔助計算!$E$2:$E$801, 0)+1))), "")</f>
        <v/>
      </c>
      <c r="D543" s="10">
        <f>IFERROR(IF(INDEX(ERP資料!$E:$E, (MATCH(542, 輔助計算!$E$2:$E$801, 0)+1))="","",TRIM(INDEX(ERP資料!$E:$E, (MATCH(542, 輔助計算!$E$2:$E$801, 0)+1)))), "")</f>
        <v/>
      </c>
      <c r="E543" s="10">
        <f>IFERROR(IF(INDEX(ERP資料!$F:$F, (MATCH(542, 輔助計算!$E$2:$E$801, 0)+1))="","",INDEX(ERP資料!$F:$F, (MATCH(542, 輔助計算!$E$2:$E$801, 0)+1))), "")</f>
        <v/>
      </c>
      <c r="F543" s="10">
        <f>IFERROR(IF(INDEX(ERP資料!$G:$G, (MATCH(542, 輔助計算!$E$2:$E$801, 0)+1))="","",INDEX(ERP資料!$G:$G, (MATCH(542, 輔助計算!$E$2:$E$801, 0)+1))), "")</f>
        <v/>
      </c>
      <c r="G543" s="10">
        <f>IFERROR(IF(INDEX(ERP資料!$H:$H, (MATCH(542, 輔助計算!$E$2:$E$801, 0)+1))="","",INDEX(ERP資料!$H:$H, (MATCH(542, 輔助計算!$E$2:$E$801, 0)+1))), "")</f>
        <v/>
      </c>
      <c r="H543" s="15">
        <f>IFERROR(INDEX(輔助計算!$D:$D, (MATCH(542, 輔助計算!$E$2:$E$801, 0)+1)), "")</f>
        <v/>
      </c>
      <c r="I543" s="10">
        <f>IFERROR(IF(INDEX(ERP資料!$O:$O, (MATCH(542, 輔助計算!$E$2:$E$801, 0)+1))="","",INDEX(ERP資料!$O:$O, (MATCH(542, 輔助計算!$E$2:$E$801, 0)+1))), "")</f>
        <v/>
      </c>
      <c r="J543" s="15">
        <f>IFERROR(IF(INDEX(輔助計算!$D:$D,(MATCH(542, 輔助計算!$E$2:$E$801, 0)+1))="","",INDEX(輔助計算!$D:$D,(MATCH(542, 輔助計算!$E$2:$E$801, 0)+1))*INDEX(ERP資料!$O:$O,(MATCH(542, 輔助計算!$E$2:$E$801, 0)+1))), "")</f>
        <v/>
      </c>
      <c r="K543" s="16" t="n"/>
      <c r="L543" s="16" t="n"/>
      <c r="M543" s="17" t="n"/>
    </row>
    <row r="544">
      <c r="A544" s="14">
        <f>IFERROR(IF(INDEX(ERP資料!$B:$B, (MATCH(543, 輔助計算!$E$2:$E$801, 0)+1))="","",INDEX(ERP資料!$B:$B, (MATCH(543, 輔助計算!$E$2:$E$801, 0)+1))), "")</f>
        <v/>
      </c>
      <c r="B544" s="10">
        <f>IFERROR(IF(INDEX(ERP資料!$A:$A, (MATCH(543, 輔助計算!$E$2:$E$801, 0)+1))="","",INDEX(ERP資料!$A:$A, (MATCH(543, 輔助計算!$E$2:$E$801, 0)+1))), "")</f>
        <v/>
      </c>
      <c r="C544" s="10">
        <f>IFERROR(IF(INDEX(ERP資料!$S:$S, (MATCH(543, 輔助計算!$E$2:$E$801, 0)+1))="","",INDEX(ERP資料!$S:$S, (MATCH(543, 輔助計算!$E$2:$E$801, 0)+1))), "")</f>
        <v/>
      </c>
      <c r="D544" s="10">
        <f>IFERROR(IF(INDEX(ERP資料!$E:$E, (MATCH(543, 輔助計算!$E$2:$E$801, 0)+1))="","",TRIM(INDEX(ERP資料!$E:$E, (MATCH(543, 輔助計算!$E$2:$E$801, 0)+1)))), "")</f>
        <v/>
      </c>
      <c r="E544" s="10">
        <f>IFERROR(IF(INDEX(ERP資料!$F:$F, (MATCH(543, 輔助計算!$E$2:$E$801, 0)+1))="","",INDEX(ERP資料!$F:$F, (MATCH(543, 輔助計算!$E$2:$E$801, 0)+1))), "")</f>
        <v/>
      </c>
      <c r="F544" s="10">
        <f>IFERROR(IF(INDEX(ERP資料!$G:$G, (MATCH(543, 輔助計算!$E$2:$E$801, 0)+1))="","",INDEX(ERP資料!$G:$G, (MATCH(543, 輔助計算!$E$2:$E$801, 0)+1))), "")</f>
        <v/>
      </c>
      <c r="G544" s="10">
        <f>IFERROR(IF(INDEX(ERP資料!$H:$H, (MATCH(543, 輔助計算!$E$2:$E$801, 0)+1))="","",INDEX(ERP資料!$H:$H, (MATCH(543, 輔助計算!$E$2:$E$801, 0)+1))), "")</f>
        <v/>
      </c>
      <c r="H544" s="15">
        <f>IFERROR(INDEX(輔助計算!$D:$D, (MATCH(543, 輔助計算!$E$2:$E$801, 0)+1)), "")</f>
        <v/>
      </c>
      <c r="I544" s="10">
        <f>IFERROR(IF(INDEX(ERP資料!$O:$O, (MATCH(543, 輔助計算!$E$2:$E$801, 0)+1))="","",INDEX(ERP資料!$O:$O, (MATCH(543, 輔助計算!$E$2:$E$801, 0)+1))), "")</f>
        <v/>
      </c>
      <c r="J544" s="15">
        <f>IFERROR(IF(INDEX(輔助計算!$D:$D,(MATCH(543, 輔助計算!$E$2:$E$801, 0)+1))="","",INDEX(輔助計算!$D:$D,(MATCH(543, 輔助計算!$E$2:$E$801, 0)+1))*INDEX(ERP資料!$O:$O,(MATCH(543, 輔助計算!$E$2:$E$801, 0)+1))), "")</f>
        <v/>
      </c>
      <c r="K544" s="16" t="n"/>
      <c r="L544" s="16" t="n"/>
      <c r="M544" s="17" t="n"/>
    </row>
    <row r="545">
      <c r="A545" s="14">
        <f>IFERROR(IF(INDEX(ERP資料!$B:$B, (MATCH(544, 輔助計算!$E$2:$E$801, 0)+1))="","",INDEX(ERP資料!$B:$B, (MATCH(544, 輔助計算!$E$2:$E$801, 0)+1))), "")</f>
        <v/>
      </c>
      <c r="B545" s="10">
        <f>IFERROR(IF(INDEX(ERP資料!$A:$A, (MATCH(544, 輔助計算!$E$2:$E$801, 0)+1))="","",INDEX(ERP資料!$A:$A, (MATCH(544, 輔助計算!$E$2:$E$801, 0)+1))), "")</f>
        <v/>
      </c>
      <c r="C545" s="10">
        <f>IFERROR(IF(INDEX(ERP資料!$S:$S, (MATCH(544, 輔助計算!$E$2:$E$801, 0)+1))="","",INDEX(ERP資料!$S:$S, (MATCH(544, 輔助計算!$E$2:$E$801, 0)+1))), "")</f>
        <v/>
      </c>
      <c r="D545" s="10">
        <f>IFERROR(IF(INDEX(ERP資料!$E:$E, (MATCH(544, 輔助計算!$E$2:$E$801, 0)+1))="","",TRIM(INDEX(ERP資料!$E:$E, (MATCH(544, 輔助計算!$E$2:$E$801, 0)+1)))), "")</f>
        <v/>
      </c>
      <c r="E545" s="10">
        <f>IFERROR(IF(INDEX(ERP資料!$F:$F, (MATCH(544, 輔助計算!$E$2:$E$801, 0)+1))="","",INDEX(ERP資料!$F:$F, (MATCH(544, 輔助計算!$E$2:$E$801, 0)+1))), "")</f>
        <v/>
      </c>
      <c r="F545" s="10">
        <f>IFERROR(IF(INDEX(ERP資料!$G:$G, (MATCH(544, 輔助計算!$E$2:$E$801, 0)+1))="","",INDEX(ERP資料!$G:$G, (MATCH(544, 輔助計算!$E$2:$E$801, 0)+1))), "")</f>
        <v/>
      </c>
      <c r="G545" s="10">
        <f>IFERROR(IF(INDEX(ERP資料!$H:$H, (MATCH(544, 輔助計算!$E$2:$E$801, 0)+1))="","",INDEX(ERP資料!$H:$H, (MATCH(544, 輔助計算!$E$2:$E$801, 0)+1))), "")</f>
        <v/>
      </c>
      <c r="H545" s="15">
        <f>IFERROR(INDEX(輔助計算!$D:$D, (MATCH(544, 輔助計算!$E$2:$E$801, 0)+1)), "")</f>
        <v/>
      </c>
      <c r="I545" s="10">
        <f>IFERROR(IF(INDEX(ERP資料!$O:$O, (MATCH(544, 輔助計算!$E$2:$E$801, 0)+1))="","",INDEX(ERP資料!$O:$O, (MATCH(544, 輔助計算!$E$2:$E$801, 0)+1))), "")</f>
        <v/>
      </c>
      <c r="J545" s="15">
        <f>IFERROR(IF(INDEX(輔助計算!$D:$D,(MATCH(544, 輔助計算!$E$2:$E$801, 0)+1))="","",INDEX(輔助計算!$D:$D,(MATCH(544, 輔助計算!$E$2:$E$801, 0)+1))*INDEX(ERP資料!$O:$O,(MATCH(544, 輔助計算!$E$2:$E$801, 0)+1))), "")</f>
        <v/>
      </c>
      <c r="K545" s="16" t="n"/>
      <c r="L545" s="16" t="n"/>
      <c r="M545" s="17" t="n"/>
    </row>
    <row r="546">
      <c r="A546" s="14">
        <f>IFERROR(IF(INDEX(ERP資料!$B:$B, (MATCH(545, 輔助計算!$E$2:$E$801, 0)+1))="","",INDEX(ERP資料!$B:$B, (MATCH(545, 輔助計算!$E$2:$E$801, 0)+1))), "")</f>
        <v/>
      </c>
      <c r="B546" s="10">
        <f>IFERROR(IF(INDEX(ERP資料!$A:$A, (MATCH(545, 輔助計算!$E$2:$E$801, 0)+1))="","",INDEX(ERP資料!$A:$A, (MATCH(545, 輔助計算!$E$2:$E$801, 0)+1))), "")</f>
        <v/>
      </c>
      <c r="C546" s="10">
        <f>IFERROR(IF(INDEX(ERP資料!$S:$S, (MATCH(545, 輔助計算!$E$2:$E$801, 0)+1))="","",INDEX(ERP資料!$S:$S, (MATCH(545, 輔助計算!$E$2:$E$801, 0)+1))), "")</f>
        <v/>
      </c>
      <c r="D546" s="10">
        <f>IFERROR(IF(INDEX(ERP資料!$E:$E, (MATCH(545, 輔助計算!$E$2:$E$801, 0)+1))="","",TRIM(INDEX(ERP資料!$E:$E, (MATCH(545, 輔助計算!$E$2:$E$801, 0)+1)))), "")</f>
        <v/>
      </c>
      <c r="E546" s="10">
        <f>IFERROR(IF(INDEX(ERP資料!$F:$F, (MATCH(545, 輔助計算!$E$2:$E$801, 0)+1))="","",INDEX(ERP資料!$F:$F, (MATCH(545, 輔助計算!$E$2:$E$801, 0)+1))), "")</f>
        <v/>
      </c>
      <c r="F546" s="10">
        <f>IFERROR(IF(INDEX(ERP資料!$G:$G, (MATCH(545, 輔助計算!$E$2:$E$801, 0)+1))="","",INDEX(ERP資料!$G:$G, (MATCH(545, 輔助計算!$E$2:$E$801, 0)+1))), "")</f>
        <v/>
      </c>
      <c r="G546" s="10">
        <f>IFERROR(IF(INDEX(ERP資料!$H:$H, (MATCH(545, 輔助計算!$E$2:$E$801, 0)+1))="","",INDEX(ERP資料!$H:$H, (MATCH(545, 輔助計算!$E$2:$E$801, 0)+1))), "")</f>
        <v/>
      </c>
      <c r="H546" s="15">
        <f>IFERROR(INDEX(輔助計算!$D:$D, (MATCH(545, 輔助計算!$E$2:$E$801, 0)+1)), "")</f>
        <v/>
      </c>
      <c r="I546" s="10">
        <f>IFERROR(IF(INDEX(ERP資料!$O:$O, (MATCH(545, 輔助計算!$E$2:$E$801, 0)+1))="","",INDEX(ERP資料!$O:$O, (MATCH(545, 輔助計算!$E$2:$E$801, 0)+1))), "")</f>
        <v/>
      </c>
      <c r="J546" s="15">
        <f>IFERROR(IF(INDEX(輔助計算!$D:$D,(MATCH(545, 輔助計算!$E$2:$E$801, 0)+1))="","",INDEX(輔助計算!$D:$D,(MATCH(545, 輔助計算!$E$2:$E$801, 0)+1))*INDEX(ERP資料!$O:$O,(MATCH(545, 輔助計算!$E$2:$E$801, 0)+1))), "")</f>
        <v/>
      </c>
      <c r="K546" s="16" t="n"/>
      <c r="L546" s="16" t="n"/>
      <c r="M546" s="17" t="n"/>
    </row>
    <row r="547">
      <c r="A547" s="14">
        <f>IFERROR(IF(INDEX(ERP資料!$B:$B, (MATCH(546, 輔助計算!$E$2:$E$801, 0)+1))="","",INDEX(ERP資料!$B:$B, (MATCH(546, 輔助計算!$E$2:$E$801, 0)+1))), "")</f>
        <v/>
      </c>
      <c r="B547" s="10">
        <f>IFERROR(IF(INDEX(ERP資料!$A:$A, (MATCH(546, 輔助計算!$E$2:$E$801, 0)+1))="","",INDEX(ERP資料!$A:$A, (MATCH(546, 輔助計算!$E$2:$E$801, 0)+1))), "")</f>
        <v/>
      </c>
      <c r="C547" s="10">
        <f>IFERROR(IF(INDEX(ERP資料!$S:$S, (MATCH(546, 輔助計算!$E$2:$E$801, 0)+1))="","",INDEX(ERP資料!$S:$S, (MATCH(546, 輔助計算!$E$2:$E$801, 0)+1))), "")</f>
        <v/>
      </c>
      <c r="D547" s="10">
        <f>IFERROR(IF(INDEX(ERP資料!$E:$E, (MATCH(546, 輔助計算!$E$2:$E$801, 0)+1))="","",TRIM(INDEX(ERP資料!$E:$E, (MATCH(546, 輔助計算!$E$2:$E$801, 0)+1)))), "")</f>
        <v/>
      </c>
      <c r="E547" s="10">
        <f>IFERROR(IF(INDEX(ERP資料!$F:$F, (MATCH(546, 輔助計算!$E$2:$E$801, 0)+1))="","",INDEX(ERP資料!$F:$F, (MATCH(546, 輔助計算!$E$2:$E$801, 0)+1))), "")</f>
        <v/>
      </c>
      <c r="F547" s="10">
        <f>IFERROR(IF(INDEX(ERP資料!$G:$G, (MATCH(546, 輔助計算!$E$2:$E$801, 0)+1))="","",INDEX(ERP資料!$G:$G, (MATCH(546, 輔助計算!$E$2:$E$801, 0)+1))), "")</f>
        <v/>
      </c>
      <c r="G547" s="10">
        <f>IFERROR(IF(INDEX(ERP資料!$H:$H, (MATCH(546, 輔助計算!$E$2:$E$801, 0)+1))="","",INDEX(ERP資料!$H:$H, (MATCH(546, 輔助計算!$E$2:$E$801, 0)+1))), "")</f>
        <v/>
      </c>
      <c r="H547" s="15">
        <f>IFERROR(INDEX(輔助計算!$D:$D, (MATCH(546, 輔助計算!$E$2:$E$801, 0)+1)), "")</f>
        <v/>
      </c>
      <c r="I547" s="10">
        <f>IFERROR(IF(INDEX(ERP資料!$O:$O, (MATCH(546, 輔助計算!$E$2:$E$801, 0)+1))="","",INDEX(ERP資料!$O:$O, (MATCH(546, 輔助計算!$E$2:$E$801, 0)+1))), "")</f>
        <v/>
      </c>
      <c r="J547" s="15">
        <f>IFERROR(IF(INDEX(輔助計算!$D:$D,(MATCH(546, 輔助計算!$E$2:$E$801, 0)+1))="","",INDEX(輔助計算!$D:$D,(MATCH(546, 輔助計算!$E$2:$E$801, 0)+1))*INDEX(ERP資料!$O:$O,(MATCH(546, 輔助計算!$E$2:$E$801, 0)+1))), "")</f>
        <v/>
      </c>
      <c r="K547" s="16" t="n"/>
      <c r="L547" s="16" t="n"/>
      <c r="M547" s="17" t="n"/>
    </row>
    <row r="548">
      <c r="A548" s="14">
        <f>IFERROR(IF(INDEX(ERP資料!$B:$B, (MATCH(547, 輔助計算!$E$2:$E$801, 0)+1))="","",INDEX(ERP資料!$B:$B, (MATCH(547, 輔助計算!$E$2:$E$801, 0)+1))), "")</f>
        <v/>
      </c>
      <c r="B548" s="10">
        <f>IFERROR(IF(INDEX(ERP資料!$A:$A, (MATCH(547, 輔助計算!$E$2:$E$801, 0)+1))="","",INDEX(ERP資料!$A:$A, (MATCH(547, 輔助計算!$E$2:$E$801, 0)+1))), "")</f>
        <v/>
      </c>
      <c r="C548" s="10">
        <f>IFERROR(IF(INDEX(ERP資料!$S:$S, (MATCH(547, 輔助計算!$E$2:$E$801, 0)+1))="","",INDEX(ERP資料!$S:$S, (MATCH(547, 輔助計算!$E$2:$E$801, 0)+1))), "")</f>
        <v/>
      </c>
      <c r="D548" s="10">
        <f>IFERROR(IF(INDEX(ERP資料!$E:$E, (MATCH(547, 輔助計算!$E$2:$E$801, 0)+1))="","",TRIM(INDEX(ERP資料!$E:$E, (MATCH(547, 輔助計算!$E$2:$E$801, 0)+1)))), "")</f>
        <v/>
      </c>
      <c r="E548" s="10">
        <f>IFERROR(IF(INDEX(ERP資料!$F:$F, (MATCH(547, 輔助計算!$E$2:$E$801, 0)+1))="","",INDEX(ERP資料!$F:$F, (MATCH(547, 輔助計算!$E$2:$E$801, 0)+1))), "")</f>
        <v/>
      </c>
      <c r="F548" s="10">
        <f>IFERROR(IF(INDEX(ERP資料!$G:$G, (MATCH(547, 輔助計算!$E$2:$E$801, 0)+1))="","",INDEX(ERP資料!$G:$G, (MATCH(547, 輔助計算!$E$2:$E$801, 0)+1))), "")</f>
        <v/>
      </c>
      <c r="G548" s="10">
        <f>IFERROR(IF(INDEX(ERP資料!$H:$H, (MATCH(547, 輔助計算!$E$2:$E$801, 0)+1))="","",INDEX(ERP資料!$H:$H, (MATCH(547, 輔助計算!$E$2:$E$801, 0)+1))), "")</f>
        <v/>
      </c>
      <c r="H548" s="15">
        <f>IFERROR(INDEX(輔助計算!$D:$D, (MATCH(547, 輔助計算!$E$2:$E$801, 0)+1)), "")</f>
        <v/>
      </c>
      <c r="I548" s="10">
        <f>IFERROR(IF(INDEX(ERP資料!$O:$O, (MATCH(547, 輔助計算!$E$2:$E$801, 0)+1))="","",INDEX(ERP資料!$O:$O, (MATCH(547, 輔助計算!$E$2:$E$801, 0)+1))), "")</f>
        <v/>
      </c>
      <c r="J548" s="15">
        <f>IFERROR(IF(INDEX(輔助計算!$D:$D,(MATCH(547, 輔助計算!$E$2:$E$801, 0)+1))="","",INDEX(輔助計算!$D:$D,(MATCH(547, 輔助計算!$E$2:$E$801, 0)+1))*INDEX(ERP資料!$O:$O,(MATCH(547, 輔助計算!$E$2:$E$801, 0)+1))), "")</f>
        <v/>
      </c>
      <c r="K548" s="16" t="n"/>
      <c r="L548" s="16" t="n"/>
      <c r="M548" s="17" t="n"/>
    </row>
    <row r="549">
      <c r="A549" s="14">
        <f>IFERROR(IF(INDEX(ERP資料!$B:$B, (MATCH(548, 輔助計算!$E$2:$E$801, 0)+1))="","",INDEX(ERP資料!$B:$B, (MATCH(548, 輔助計算!$E$2:$E$801, 0)+1))), "")</f>
        <v/>
      </c>
      <c r="B549" s="10">
        <f>IFERROR(IF(INDEX(ERP資料!$A:$A, (MATCH(548, 輔助計算!$E$2:$E$801, 0)+1))="","",INDEX(ERP資料!$A:$A, (MATCH(548, 輔助計算!$E$2:$E$801, 0)+1))), "")</f>
        <v/>
      </c>
      <c r="C549" s="10">
        <f>IFERROR(IF(INDEX(ERP資料!$S:$S, (MATCH(548, 輔助計算!$E$2:$E$801, 0)+1))="","",INDEX(ERP資料!$S:$S, (MATCH(548, 輔助計算!$E$2:$E$801, 0)+1))), "")</f>
        <v/>
      </c>
      <c r="D549" s="10">
        <f>IFERROR(IF(INDEX(ERP資料!$E:$E, (MATCH(548, 輔助計算!$E$2:$E$801, 0)+1))="","",TRIM(INDEX(ERP資料!$E:$E, (MATCH(548, 輔助計算!$E$2:$E$801, 0)+1)))), "")</f>
        <v/>
      </c>
      <c r="E549" s="10">
        <f>IFERROR(IF(INDEX(ERP資料!$F:$F, (MATCH(548, 輔助計算!$E$2:$E$801, 0)+1))="","",INDEX(ERP資料!$F:$F, (MATCH(548, 輔助計算!$E$2:$E$801, 0)+1))), "")</f>
        <v/>
      </c>
      <c r="F549" s="10">
        <f>IFERROR(IF(INDEX(ERP資料!$G:$G, (MATCH(548, 輔助計算!$E$2:$E$801, 0)+1))="","",INDEX(ERP資料!$G:$G, (MATCH(548, 輔助計算!$E$2:$E$801, 0)+1))), "")</f>
        <v/>
      </c>
      <c r="G549" s="10">
        <f>IFERROR(IF(INDEX(ERP資料!$H:$H, (MATCH(548, 輔助計算!$E$2:$E$801, 0)+1))="","",INDEX(ERP資料!$H:$H, (MATCH(548, 輔助計算!$E$2:$E$801, 0)+1))), "")</f>
        <v/>
      </c>
      <c r="H549" s="15">
        <f>IFERROR(INDEX(輔助計算!$D:$D, (MATCH(548, 輔助計算!$E$2:$E$801, 0)+1)), "")</f>
        <v/>
      </c>
      <c r="I549" s="10">
        <f>IFERROR(IF(INDEX(ERP資料!$O:$O, (MATCH(548, 輔助計算!$E$2:$E$801, 0)+1))="","",INDEX(ERP資料!$O:$O, (MATCH(548, 輔助計算!$E$2:$E$801, 0)+1))), "")</f>
        <v/>
      </c>
      <c r="J549" s="15">
        <f>IFERROR(IF(INDEX(輔助計算!$D:$D,(MATCH(548, 輔助計算!$E$2:$E$801, 0)+1))="","",INDEX(輔助計算!$D:$D,(MATCH(548, 輔助計算!$E$2:$E$801, 0)+1))*INDEX(ERP資料!$O:$O,(MATCH(548, 輔助計算!$E$2:$E$801, 0)+1))), "")</f>
        <v/>
      </c>
      <c r="K549" s="16" t="n"/>
      <c r="L549" s="16" t="n"/>
      <c r="M549" s="17" t="n"/>
    </row>
    <row r="550">
      <c r="A550" s="14">
        <f>IFERROR(IF(INDEX(ERP資料!$B:$B, (MATCH(549, 輔助計算!$E$2:$E$801, 0)+1))="","",INDEX(ERP資料!$B:$B, (MATCH(549, 輔助計算!$E$2:$E$801, 0)+1))), "")</f>
        <v/>
      </c>
      <c r="B550" s="10">
        <f>IFERROR(IF(INDEX(ERP資料!$A:$A, (MATCH(549, 輔助計算!$E$2:$E$801, 0)+1))="","",INDEX(ERP資料!$A:$A, (MATCH(549, 輔助計算!$E$2:$E$801, 0)+1))), "")</f>
        <v/>
      </c>
      <c r="C550" s="10">
        <f>IFERROR(IF(INDEX(ERP資料!$S:$S, (MATCH(549, 輔助計算!$E$2:$E$801, 0)+1))="","",INDEX(ERP資料!$S:$S, (MATCH(549, 輔助計算!$E$2:$E$801, 0)+1))), "")</f>
        <v/>
      </c>
      <c r="D550" s="10">
        <f>IFERROR(IF(INDEX(ERP資料!$E:$E, (MATCH(549, 輔助計算!$E$2:$E$801, 0)+1))="","",TRIM(INDEX(ERP資料!$E:$E, (MATCH(549, 輔助計算!$E$2:$E$801, 0)+1)))), "")</f>
        <v/>
      </c>
      <c r="E550" s="10">
        <f>IFERROR(IF(INDEX(ERP資料!$F:$F, (MATCH(549, 輔助計算!$E$2:$E$801, 0)+1))="","",INDEX(ERP資料!$F:$F, (MATCH(549, 輔助計算!$E$2:$E$801, 0)+1))), "")</f>
        <v/>
      </c>
      <c r="F550" s="10">
        <f>IFERROR(IF(INDEX(ERP資料!$G:$G, (MATCH(549, 輔助計算!$E$2:$E$801, 0)+1))="","",INDEX(ERP資料!$G:$G, (MATCH(549, 輔助計算!$E$2:$E$801, 0)+1))), "")</f>
        <v/>
      </c>
      <c r="G550" s="10">
        <f>IFERROR(IF(INDEX(ERP資料!$H:$H, (MATCH(549, 輔助計算!$E$2:$E$801, 0)+1))="","",INDEX(ERP資料!$H:$H, (MATCH(549, 輔助計算!$E$2:$E$801, 0)+1))), "")</f>
        <v/>
      </c>
      <c r="H550" s="15">
        <f>IFERROR(INDEX(輔助計算!$D:$D, (MATCH(549, 輔助計算!$E$2:$E$801, 0)+1)), "")</f>
        <v/>
      </c>
      <c r="I550" s="10">
        <f>IFERROR(IF(INDEX(ERP資料!$O:$O, (MATCH(549, 輔助計算!$E$2:$E$801, 0)+1))="","",INDEX(ERP資料!$O:$O, (MATCH(549, 輔助計算!$E$2:$E$801, 0)+1))), "")</f>
        <v/>
      </c>
      <c r="J550" s="15">
        <f>IFERROR(IF(INDEX(輔助計算!$D:$D,(MATCH(549, 輔助計算!$E$2:$E$801, 0)+1))="","",INDEX(輔助計算!$D:$D,(MATCH(549, 輔助計算!$E$2:$E$801, 0)+1))*INDEX(ERP資料!$O:$O,(MATCH(549, 輔助計算!$E$2:$E$801, 0)+1))), "")</f>
        <v/>
      </c>
      <c r="K550" s="16" t="n"/>
      <c r="L550" s="16" t="n"/>
      <c r="M550" s="17" t="n"/>
    </row>
    <row r="551">
      <c r="A551" s="14">
        <f>IFERROR(IF(INDEX(ERP資料!$B:$B, (MATCH(550, 輔助計算!$E$2:$E$801, 0)+1))="","",INDEX(ERP資料!$B:$B, (MATCH(550, 輔助計算!$E$2:$E$801, 0)+1))), "")</f>
        <v/>
      </c>
      <c r="B551" s="10">
        <f>IFERROR(IF(INDEX(ERP資料!$A:$A, (MATCH(550, 輔助計算!$E$2:$E$801, 0)+1))="","",INDEX(ERP資料!$A:$A, (MATCH(550, 輔助計算!$E$2:$E$801, 0)+1))), "")</f>
        <v/>
      </c>
      <c r="C551" s="10">
        <f>IFERROR(IF(INDEX(ERP資料!$S:$S, (MATCH(550, 輔助計算!$E$2:$E$801, 0)+1))="","",INDEX(ERP資料!$S:$S, (MATCH(550, 輔助計算!$E$2:$E$801, 0)+1))), "")</f>
        <v/>
      </c>
      <c r="D551" s="10">
        <f>IFERROR(IF(INDEX(ERP資料!$E:$E, (MATCH(550, 輔助計算!$E$2:$E$801, 0)+1))="","",TRIM(INDEX(ERP資料!$E:$E, (MATCH(550, 輔助計算!$E$2:$E$801, 0)+1)))), "")</f>
        <v/>
      </c>
      <c r="E551" s="10">
        <f>IFERROR(IF(INDEX(ERP資料!$F:$F, (MATCH(550, 輔助計算!$E$2:$E$801, 0)+1))="","",INDEX(ERP資料!$F:$F, (MATCH(550, 輔助計算!$E$2:$E$801, 0)+1))), "")</f>
        <v/>
      </c>
      <c r="F551" s="10">
        <f>IFERROR(IF(INDEX(ERP資料!$G:$G, (MATCH(550, 輔助計算!$E$2:$E$801, 0)+1))="","",INDEX(ERP資料!$G:$G, (MATCH(550, 輔助計算!$E$2:$E$801, 0)+1))), "")</f>
        <v/>
      </c>
      <c r="G551" s="10">
        <f>IFERROR(IF(INDEX(ERP資料!$H:$H, (MATCH(550, 輔助計算!$E$2:$E$801, 0)+1))="","",INDEX(ERP資料!$H:$H, (MATCH(550, 輔助計算!$E$2:$E$801, 0)+1))), "")</f>
        <v/>
      </c>
      <c r="H551" s="15">
        <f>IFERROR(INDEX(輔助計算!$D:$D, (MATCH(550, 輔助計算!$E$2:$E$801, 0)+1)), "")</f>
        <v/>
      </c>
      <c r="I551" s="10">
        <f>IFERROR(IF(INDEX(ERP資料!$O:$O, (MATCH(550, 輔助計算!$E$2:$E$801, 0)+1))="","",INDEX(ERP資料!$O:$O, (MATCH(550, 輔助計算!$E$2:$E$801, 0)+1))), "")</f>
        <v/>
      </c>
      <c r="J551" s="15">
        <f>IFERROR(IF(INDEX(輔助計算!$D:$D,(MATCH(550, 輔助計算!$E$2:$E$801, 0)+1))="","",INDEX(輔助計算!$D:$D,(MATCH(550, 輔助計算!$E$2:$E$801, 0)+1))*INDEX(ERP資料!$O:$O,(MATCH(550, 輔助計算!$E$2:$E$801, 0)+1))), "")</f>
        <v/>
      </c>
      <c r="K551" s="16" t="n"/>
      <c r="L551" s="16" t="n"/>
      <c r="M551" s="17" t="n"/>
    </row>
    <row r="552">
      <c r="A552" s="14">
        <f>IFERROR(IF(INDEX(ERP資料!$B:$B, (MATCH(551, 輔助計算!$E$2:$E$801, 0)+1))="","",INDEX(ERP資料!$B:$B, (MATCH(551, 輔助計算!$E$2:$E$801, 0)+1))), "")</f>
        <v/>
      </c>
      <c r="B552" s="10">
        <f>IFERROR(IF(INDEX(ERP資料!$A:$A, (MATCH(551, 輔助計算!$E$2:$E$801, 0)+1))="","",INDEX(ERP資料!$A:$A, (MATCH(551, 輔助計算!$E$2:$E$801, 0)+1))), "")</f>
        <v/>
      </c>
      <c r="C552" s="10">
        <f>IFERROR(IF(INDEX(ERP資料!$S:$S, (MATCH(551, 輔助計算!$E$2:$E$801, 0)+1))="","",INDEX(ERP資料!$S:$S, (MATCH(551, 輔助計算!$E$2:$E$801, 0)+1))), "")</f>
        <v/>
      </c>
      <c r="D552" s="10">
        <f>IFERROR(IF(INDEX(ERP資料!$E:$E, (MATCH(551, 輔助計算!$E$2:$E$801, 0)+1))="","",TRIM(INDEX(ERP資料!$E:$E, (MATCH(551, 輔助計算!$E$2:$E$801, 0)+1)))), "")</f>
        <v/>
      </c>
      <c r="E552" s="10">
        <f>IFERROR(IF(INDEX(ERP資料!$F:$F, (MATCH(551, 輔助計算!$E$2:$E$801, 0)+1))="","",INDEX(ERP資料!$F:$F, (MATCH(551, 輔助計算!$E$2:$E$801, 0)+1))), "")</f>
        <v/>
      </c>
      <c r="F552" s="10">
        <f>IFERROR(IF(INDEX(ERP資料!$G:$G, (MATCH(551, 輔助計算!$E$2:$E$801, 0)+1))="","",INDEX(ERP資料!$G:$G, (MATCH(551, 輔助計算!$E$2:$E$801, 0)+1))), "")</f>
        <v/>
      </c>
      <c r="G552" s="10">
        <f>IFERROR(IF(INDEX(ERP資料!$H:$H, (MATCH(551, 輔助計算!$E$2:$E$801, 0)+1))="","",INDEX(ERP資料!$H:$H, (MATCH(551, 輔助計算!$E$2:$E$801, 0)+1))), "")</f>
        <v/>
      </c>
      <c r="H552" s="15">
        <f>IFERROR(INDEX(輔助計算!$D:$D, (MATCH(551, 輔助計算!$E$2:$E$801, 0)+1)), "")</f>
        <v/>
      </c>
      <c r="I552" s="10">
        <f>IFERROR(IF(INDEX(ERP資料!$O:$O, (MATCH(551, 輔助計算!$E$2:$E$801, 0)+1))="","",INDEX(ERP資料!$O:$O, (MATCH(551, 輔助計算!$E$2:$E$801, 0)+1))), "")</f>
        <v/>
      </c>
      <c r="J552" s="15">
        <f>IFERROR(IF(INDEX(輔助計算!$D:$D,(MATCH(551, 輔助計算!$E$2:$E$801, 0)+1))="","",INDEX(輔助計算!$D:$D,(MATCH(551, 輔助計算!$E$2:$E$801, 0)+1))*INDEX(ERP資料!$O:$O,(MATCH(551, 輔助計算!$E$2:$E$801, 0)+1))), "")</f>
        <v/>
      </c>
      <c r="K552" s="16" t="n"/>
      <c r="L552" s="16" t="n"/>
      <c r="M552" s="17" t="n"/>
    </row>
    <row r="553">
      <c r="A553" s="14">
        <f>IFERROR(IF(INDEX(ERP資料!$B:$B, (MATCH(552, 輔助計算!$E$2:$E$801, 0)+1))="","",INDEX(ERP資料!$B:$B, (MATCH(552, 輔助計算!$E$2:$E$801, 0)+1))), "")</f>
        <v/>
      </c>
      <c r="B553" s="10">
        <f>IFERROR(IF(INDEX(ERP資料!$A:$A, (MATCH(552, 輔助計算!$E$2:$E$801, 0)+1))="","",INDEX(ERP資料!$A:$A, (MATCH(552, 輔助計算!$E$2:$E$801, 0)+1))), "")</f>
        <v/>
      </c>
      <c r="C553" s="10">
        <f>IFERROR(IF(INDEX(ERP資料!$S:$S, (MATCH(552, 輔助計算!$E$2:$E$801, 0)+1))="","",INDEX(ERP資料!$S:$S, (MATCH(552, 輔助計算!$E$2:$E$801, 0)+1))), "")</f>
        <v/>
      </c>
      <c r="D553" s="10">
        <f>IFERROR(IF(INDEX(ERP資料!$E:$E, (MATCH(552, 輔助計算!$E$2:$E$801, 0)+1))="","",TRIM(INDEX(ERP資料!$E:$E, (MATCH(552, 輔助計算!$E$2:$E$801, 0)+1)))), "")</f>
        <v/>
      </c>
      <c r="E553" s="10">
        <f>IFERROR(IF(INDEX(ERP資料!$F:$F, (MATCH(552, 輔助計算!$E$2:$E$801, 0)+1))="","",INDEX(ERP資料!$F:$F, (MATCH(552, 輔助計算!$E$2:$E$801, 0)+1))), "")</f>
        <v/>
      </c>
      <c r="F553" s="10">
        <f>IFERROR(IF(INDEX(ERP資料!$G:$G, (MATCH(552, 輔助計算!$E$2:$E$801, 0)+1))="","",INDEX(ERP資料!$G:$G, (MATCH(552, 輔助計算!$E$2:$E$801, 0)+1))), "")</f>
        <v/>
      </c>
      <c r="G553" s="10">
        <f>IFERROR(IF(INDEX(ERP資料!$H:$H, (MATCH(552, 輔助計算!$E$2:$E$801, 0)+1))="","",INDEX(ERP資料!$H:$H, (MATCH(552, 輔助計算!$E$2:$E$801, 0)+1))), "")</f>
        <v/>
      </c>
      <c r="H553" s="15">
        <f>IFERROR(INDEX(輔助計算!$D:$D, (MATCH(552, 輔助計算!$E$2:$E$801, 0)+1)), "")</f>
        <v/>
      </c>
      <c r="I553" s="10">
        <f>IFERROR(IF(INDEX(ERP資料!$O:$O, (MATCH(552, 輔助計算!$E$2:$E$801, 0)+1))="","",INDEX(ERP資料!$O:$O, (MATCH(552, 輔助計算!$E$2:$E$801, 0)+1))), "")</f>
        <v/>
      </c>
      <c r="J553" s="15">
        <f>IFERROR(IF(INDEX(輔助計算!$D:$D,(MATCH(552, 輔助計算!$E$2:$E$801, 0)+1))="","",INDEX(輔助計算!$D:$D,(MATCH(552, 輔助計算!$E$2:$E$801, 0)+1))*INDEX(ERP資料!$O:$O,(MATCH(552, 輔助計算!$E$2:$E$801, 0)+1))), "")</f>
        <v/>
      </c>
      <c r="K553" s="16" t="n"/>
      <c r="L553" s="16" t="n"/>
      <c r="M553" s="17" t="n"/>
    </row>
    <row r="554">
      <c r="A554" s="14">
        <f>IFERROR(IF(INDEX(ERP資料!$B:$B, (MATCH(553, 輔助計算!$E$2:$E$801, 0)+1))="","",INDEX(ERP資料!$B:$B, (MATCH(553, 輔助計算!$E$2:$E$801, 0)+1))), "")</f>
        <v/>
      </c>
      <c r="B554" s="10">
        <f>IFERROR(IF(INDEX(ERP資料!$A:$A, (MATCH(553, 輔助計算!$E$2:$E$801, 0)+1))="","",INDEX(ERP資料!$A:$A, (MATCH(553, 輔助計算!$E$2:$E$801, 0)+1))), "")</f>
        <v/>
      </c>
      <c r="C554" s="10">
        <f>IFERROR(IF(INDEX(ERP資料!$S:$S, (MATCH(553, 輔助計算!$E$2:$E$801, 0)+1))="","",INDEX(ERP資料!$S:$S, (MATCH(553, 輔助計算!$E$2:$E$801, 0)+1))), "")</f>
        <v/>
      </c>
      <c r="D554" s="10">
        <f>IFERROR(IF(INDEX(ERP資料!$E:$E, (MATCH(553, 輔助計算!$E$2:$E$801, 0)+1))="","",TRIM(INDEX(ERP資料!$E:$E, (MATCH(553, 輔助計算!$E$2:$E$801, 0)+1)))), "")</f>
        <v/>
      </c>
      <c r="E554" s="10">
        <f>IFERROR(IF(INDEX(ERP資料!$F:$F, (MATCH(553, 輔助計算!$E$2:$E$801, 0)+1))="","",INDEX(ERP資料!$F:$F, (MATCH(553, 輔助計算!$E$2:$E$801, 0)+1))), "")</f>
        <v/>
      </c>
      <c r="F554" s="10">
        <f>IFERROR(IF(INDEX(ERP資料!$G:$G, (MATCH(553, 輔助計算!$E$2:$E$801, 0)+1))="","",INDEX(ERP資料!$G:$G, (MATCH(553, 輔助計算!$E$2:$E$801, 0)+1))), "")</f>
        <v/>
      </c>
      <c r="G554" s="10">
        <f>IFERROR(IF(INDEX(ERP資料!$H:$H, (MATCH(553, 輔助計算!$E$2:$E$801, 0)+1))="","",INDEX(ERP資料!$H:$H, (MATCH(553, 輔助計算!$E$2:$E$801, 0)+1))), "")</f>
        <v/>
      </c>
      <c r="H554" s="15">
        <f>IFERROR(INDEX(輔助計算!$D:$D, (MATCH(553, 輔助計算!$E$2:$E$801, 0)+1)), "")</f>
        <v/>
      </c>
      <c r="I554" s="10">
        <f>IFERROR(IF(INDEX(ERP資料!$O:$O, (MATCH(553, 輔助計算!$E$2:$E$801, 0)+1))="","",INDEX(ERP資料!$O:$O, (MATCH(553, 輔助計算!$E$2:$E$801, 0)+1))), "")</f>
        <v/>
      </c>
      <c r="J554" s="15">
        <f>IFERROR(IF(INDEX(輔助計算!$D:$D,(MATCH(553, 輔助計算!$E$2:$E$801, 0)+1))="","",INDEX(輔助計算!$D:$D,(MATCH(553, 輔助計算!$E$2:$E$801, 0)+1))*INDEX(ERP資料!$O:$O,(MATCH(553, 輔助計算!$E$2:$E$801, 0)+1))), "")</f>
        <v/>
      </c>
      <c r="K554" s="16" t="n"/>
      <c r="L554" s="16" t="n"/>
      <c r="M554" s="17" t="n"/>
    </row>
    <row r="555">
      <c r="A555" s="14">
        <f>IFERROR(IF(INDEX(ERP資料!$B:$B, (MATCH(554, 輔助計算!$E$2:$E$801, 0)+1))="","",INDEX(ERP資料!$B:$B, (MATCH(554, 輔助計算!$E$2:$E$801, 0)+1))), "")</f>
        <v/>
      </c>
      <c r="B555" s="10">
        <f>IFERROR(IF(INDEX(ERP資料!$A:$A, (MATCH(554, 輔助計算!$E$2:$E$801, 0)+1))="","",INDEX(ERP資料!$A:$A, (MATCH(554, 輔助計算!$E$2:$E$801, 0)+1))), "")</f>
        <v/>
      </c>
      <c r="C555" s="10">
        <f>IFERROR(IF(INDEX(ERP資料!$S:$S, (MATCH(554, 輔助計算!$E$2:$E$801, 0)+1))="","",INDEX(ERP資料!$S:$S, (MATCH(554, 輔助計算!$E$2:$E$801, 0)+1))), "")</f>
        <v/>
      </c>
      <c r="D555" s="10">
        <f>IFERROR(IF(INDEX(ERP資料!$E:$E, (MATCH(554, 輔助計算!$E$2:$E$801, 0)+1))="","",TRIM(INDEX(ERP資料!$E:$E, (MATCH(554, 輔助計算!$E$2:$E$801, 0)+1)))), "")</f>
        <v/>
      </c>
      <c r="E555" s="10">
        <f>IFERROR(IF(INDEX(ERP資料!$F:$F, (MATCH(554, 輔助計算!$E$2:$E$801, 0)+1))="","",INDEX(ERP資料!$F:$F, (MATCH(554, 輔助計算!$E$2:$E$801, 0)+1))), "")</f>
        <v/>
      </c>
      <c r="F555" s="10">
        <f>IFERROR(IF(INDEX(ERP資料!$G:$G, (MATCH(554, 輔助計算!$E$2:$E$801, 0)+1))="","",INDEX(ERP資料!$G:$G, (MATCH(554, 輔助計算!$E$2:$E$801, 0)+1))), "")</f>
        <v/>
      </c>
      <c r="G555" s="10">
        <f>IFERROR(IF(INDEX(ERP資料!$H:$H, (MATCH(554, 輔助計算!$E$2:$E$801, 0)+1))="","",INDEX(ERP資料!$H:$H, (MATCH(554, 輔助計算!$E$2:$E$801, 0)+1))), "")</f>
        <v/>
      </c>
      <c r="H555" s="15">
        <f>IFERROR(INDEX(輔助計算!$D:$D, (MATCH(554, 輔助計算!$E$2:$E$801, 0)+1)), "")</f>
        <v/>
      </c>
      <c r="I555" s="10">
        <f>IFERROR(IF(INDEX(ERP資料!$O:$O, (MATCH(554, 輔助計算!$E$2:$E$801, 0)+1))="","",INDEX(ERP資料!$O:$O, (MATCH(554, 輔助計算!$E$2:$E$801, 0)+1))), "")</f>
        <v/>
      </c>
      <c r="J555" s="15">
        <f>IFERROR(IF(INDEX(輔助計算!$D:$D,(MATCH(554, 輔助計算!$E$2:$E$801, 0)+1))="","",INDEX(輔助計算!$D:$D,(MATCH(554, 輔助計算!$E$2:$E$801, 0)+1))*INDEX(ERP資料!$O:$O,(MATCH(554, 輔助計算!$E$2:$E$801, 0)+1))), "")</f>
        <v/>
      </c>
      <c r="K555" s="16" t="n"/>
      <c r="L555" s="16" t="n"/>
      <c r="M555" s="17" t="n"/>
    </row>
    <row r="556">
      <c r="A556" s="14">
        <f>IFERROR(IF(INDEX(ERP資料!$B:$B, (MATCH(555, 輔助計算!$E$2:$E$801, 0)+1))="","",INDEX(ERP資料!$B:$B, (MATCH(555, 輔助計算!$E$2:$E$801, 0)+1))), "")</f>
        <v/>
      </c>
      <c r="B556" s="10">
        <f>IFERROR(IF(INDEX(ERP資料!$A:$A, (MATCH(555, 輔助計算!$E$2:$E$801, 0)+1))="","",INDEX(ERP資料!$A:$A, (MATCH(555, 輔助計算!$E$2:$E$801, 0)+1))), "")</f>
        <v/>
      </c>
      <c r="C556" s="10">
        <f>IFERROR(IF(INDEX(ERP資料!$S:$S, (MATCH(555, 輔助計算!$E$2:$E$801, 0)+1))="","",INDEX(ERP資料!$S:$S, (MATCH(555, 輔助計算!$E$2:$E$801, 0)+1))), "")</f>
        <v/>
      </c>
      <c r="D556" s="10">
        <f>IFERROR(IF(INDEX(ERP資料!$E:$E, (MATCH(555, 輔助計算!$E$2:$E$801, 0)+1))="","",TRIM(INDEX(ERP資料!$E:$E, (MATCH(555, 輔助計算!$E$2:$E$801, 0)+1)))), "")</f>
        <v/>
      </c>
      <c r="E556" s="10">
        <f>IFERROR(IF(INDEX(ERP資料!$F:$F, (MATCH(555, 輔助計算!$E$2:$E$801, 0)+1))="","",INDEX(ERP資料!$F:$F, (MATCH(555, 輔助計算!$E$2:$E$801, 0)+1))), "")</f>
        <v/>
      </c>
      <c r="F556" s="10">
        <f>IFERROR(IF(INDEX(ERP資料!$G:$G, (MATCH(555, 輔助計算!$E$2:$E$801, 0)+1))="","",INDEX(ERP資料!$G:$G, (MATCH(555, 輔助計算!$E$2:$E$801, 0)+1))), "")</f>
        <v/>
      </c>
      <c r="G556" s="10">
        <f>IFERROR(IF(INDEX(ERP資料!$H:$H, (MATCH(555, 輔助計算!$E$2:$E$801, 0)+1))="","",INDEX(ERP資料!$H:$H, (MATCH(555, 輔助計算!$E$2:$E$801, 0)+1))), "")</f>
        <v/>
      </c>
      <c r="H556" s="15">
        <f>IFERROR(INDEX(輔助計算!$D:$D, (MATCH(555, 輔助計算!$E$2:$E$801, 0)+1)), "")</f>
        <v/>
      </c>
      <c r="I556" s="10">
        <f>IFERROR(IF(INDEX(ERP資料!$O:$O, (MATCH(555, 輔助計算!$E$2:$E$801, 0)+1))="","",INDEX(ERP資料!$O:$O, (MATCH(555, 輔助計算!$E$2:$E$801, 0)+1))), "")</f>
        <v/>
      </c>
      <c r="J556" s="15">
        <f>IFERROR(IF(INDEX(輔助計算!$D:$D,(MATCH(555, 輔助計算!$E$2:$E$801, 0)+1))="","",INDEX(輔助計算!$D:$D,(MATCH(555, 輔助計算!$E$2:$E$801, 0)+1))*INDEX(ERP資料!$O:$O,(MATCH(555, 輔助計算!$E$2:$E$801, 0)+1))), "")</f>
        <v/>
      </c>
      <c r="K556" s="16" t="n"/>
      <c r="L556" s="16" t="n"/>
      <c r="M556" s="17" t="n"/>
    </row>
    <row r="557">
      <c r="A557" s="14">
        <f>IFERROR(IF(INDEX(ERP資料!$B:$B, (MATCH(556, 輔助計算!$E$2:$E$801, 0)+1))="","",INDEX(ERP資料!$B:$B, (MATCH(556, 輔助計算!$E$2:$E$801, 0)+1))), "")</f>
        <v/>
      </c>
      <c r="B557" s="10">
        <f>IFERROR(IF(INDEX(ERP資料!$A:$A, (MATCH(556, 輔助計算!$E$2:$E$801, 0)+1))="","",INDEX(ERP資料!$A:$A, (MATCH(556, 輔助計算!$E$2:$E$801, 0)+1))), "")</f>
        <v/>
      </c>
      <c r="C557" s="10">
        <f>IFERROR(IF(INDEX(ERP資料!$S:$S, (MATCH(556, 輔助計算!$E$2:$E$801, 0)+1))="","",INDEX(ERP資料!$S:$S, (MATCH(556, 輔助計算!$E$2:$E$801, 0)+1))), "")</f>
        <v/>
      </c>
      <c r="D557" s="10">
        <f>IFERROR(IF(INDEX(ERP資料!$E:$E, (MATCH(556, 輔助計算!$E$2:$E$801, 0)+1))="","",TRIM(INDEX(ERP資料!$E:$E, (MATCH(556, 輔助計算!$E$2:$E$801, 0)+1)))), "")</f>
        <v/>
      </c>
      <c r="E557" s="10">
        <f>IFERROR(IF(INDEX(ERP資料!$F:$F, (MATCH(556, 輔助計算!$E$2:$E$801, 0)+1))="","",INDEX(ERP資料!$F:$F, (MATCH(556, 輔助計算!$E$2:$E$801, 0)+1))), "")</f>
        <v/>
      </c>
      <c r="F557" s="10">
        <f>IFERROR(IF(INDEX(ERP資料!$G:$G, (MATCH(556, 輔助計算!$E$2:$E$801, 0)+1))="","",INDEX(ERP資料!$G:$G, (MATCH(556, 輔助計算!$E$2:$E$801, 0)+1))), "")</f>
        <v/>
      </c>
      <c r="G557" s="10">
        <f>IFERROR(IF(INDEX(ERP資料!$H:$H, (MATCH(556, 輔助計算!$E$2:$E$801, 0)+1))="","",INDEX(ERP資料!$H:$H, (MATCH(556, 輔助計算!$E$2:$E$801, 0)+1))), "")</f>
        <v/>
      </c>
      <c r="H557" s="15">
        <f>IFERROR(INDEX(輔助計算!$D:$D, (MATCH(556, 輔助計算!$E$2:$E$801, 0)+1)), "")</f>
        <v/>
      </c>
      <c r="I557" s="10">
        <f>IFERROR(IF(INDEX(ERP資料!$O:$O, (MATCH(556, 輔助計算!$E$2:$E$801, 0)+1))="","",INDEX(ERP資料!$O:$O, (MATCH(556, 輔助計算!$E$2:$E$801, 0)+1))), "")</f>
        <v/>
      </c>
      <c r="J557" s="15">
        <f>IFERROR(IF(INDEX(輔助計算!$D:$D,(MATCH(556, 輔助計算!$E$2:$E$801, 0)+1))="","",INDEX(輔助計算!$D:$D,(MATCH(556, 輔助計算!$E$2:$E$801, 0)+1))*INDEX(ERP資料!$O:$O,(MATCH(556, 輔助計算!$E$2:$E$801, 0)+1))), "")</f>
        <v/>
      </c>
      <c r="K557" s="16" t="n"/>
      <c r="L557" s="16" t="n"/>
      <c r="M557" s="17" t="n"/>
    </row>
    <row r="558">
      <c r="A558" s="14">
        <f>IFERROR(IF(INDEX(ERP資料!$B:$B, (MATCH(557, 輔助計算!$E$2:$E$801, 0)+1))="","",INDEX(ERP資料!$B:$B, (MATCH(557, 輔助計算!$E$2:$E$801, 0)+1))), "")</f>
        <v/>
      </c>
      <c r="B558" s="10">
        <f>IFERROR(IF(INDEX(ERP資料!$A:$A, (MATCH(557, 輔助計算!$E$2:$E$801, 0)+1))="","",INDEX(ERP資料!$A:$A, (MATCH(557, 輔助計算!$E$2:$E$801, 0)+1))), "")</f>
        <v/>
      </c>
      <c r="C558" s="10">
        <f>IFERROR(IF(INDEX(ERP資料!$S:$S, (MATCH(557, 輔助計算!$E$2:$E$801, 0)+1))="","",INDEX(ERP資料!$S:$S, (MATCH(557, 輔助計算!$E$2:$E$801, 0)+1))), "")</f>
        <v/>
      </c>
      <c r="D558" s="10">
        <f>IFERROR(IF(INDEX(ERP資料!$E:$E, (MATCH(557, 輔助計算!$E$2:$E$801, 0)+1))="","",TRIM(INDEX(ERP資料!$E:$E, (MATCH(557, 輔助計算!$E$2:$E$801, 0)+1)))), "")</f>
        <v/>
      </c>
      <c r="E558" s="10">
        <f>IFERROR(IF(INDEX(ERP資料!$F:$F, (MATCH(557, 輔助計算!$E$2:$E$801, 0)+1))="","",INDEX(ERP資料!$F:$F, (MATCH(557, 輔助計算!$E$2:$E$801, 0)+1))), "")</f>
        <v/>
      </c>
      <c r="F558" s="10">
        <f>IFERROR(IF(INDEX(ERP資料!$G:$G, (MATCH(557, 輔助計算!$E$2:$E$801, 0)+1))="","",INDEX(ERP資料!$G:$G, (MATCH(557, 輔助計算!$E$2:$E$801, 0)+1))), "")</f>
        <v/>
      </c>
      <c r="G558" s="10">
        <f>IFERROR(IF(INDEX(ERP資料!$H:$H, (MATCH(557, 輔助計算!$E$2:$E$801, 0)+1))="","",INDEX(ERP資料!$H:$H, (MATCH(557, 輔助計算!$E$2:$E$801, 0)+1))), "")</f>
        <v/>
      </c>
      <c r="H558" s="15">
        <f>IFERROR(INDEX(輔助計算!$D:$D, (MATCH(557, 輔助計算!$E$2:$E$801, 0)+1)), "")</f>
        <v/>
      </c>
      <c r="I558" s="10">
        <f>IFERROR(IF(INDEX(ERP資料!$O:$O, (MATCH(557, 輔助計算!$E$2:$E$801, 0)+1))="","",INDEX(ERP資料!$O:$O, (MATCH(557, 輔助計算!$E$2:$E$801, 0)+1))), "")</f>
        <v/>
      </c>
      <c r="J558" s="15">
        <f>IFERROR(IF(INDEX(輔助計算!$D:$D,(MATCH(557, 輔助計算!$E$2:$E$801, 0)+1))="","",INDEX(輔助計算!$D:$D,(MATCH(557, 輔助計算!$E$2:$E$801, 0)+1))*INDEX(ERP資料!$O:$O,(MATCH(557, 輔助計算!$E$2:$E$801, 0)+1))), "")</f>
        <v/>
      </c>
      <c r="K558" s="16" t="n"/>
      <c r="L558" s="16" t="n"/>
      <c r="M558" s="17" t="n"/>
    </row>
    <row r="559">
      <c r="A559" s="14">
        <f>IFERROR(IF(INDEX(ERP資料!$B:$B, (MATCH(558, 輔助計算!$E$2:$E$801, 0)+1))="","",INDEX(ERP資料!$B:$B, (MATCH(558, 輔助計算!$E$2:$E$801, 0)+1))), "")</f>
        <v/>
      </c>
      <c r="B559" s="10">
        <f>IFERROR(IF(INDEX(ERP資料!$A:$A, (MATCH(558, 輔助計算!$E$2:$E$801, 0)+1))="","",INDEX(ERP資料!$A:$A, (MATCH(558, 輔助計算!$E$2:$E$801, 0)+1))), "")</f>
        <v/>
      </c>
      <c r="C559" s="10">
        <f>IFERROR(IF(INDEX(ERP資料!$S:$S, (MATCH(558, 輔助計算!$E$2:$E$801, 0)+1))="","",INDEX(ERP資料!$S:$S, (MATCH(558, 輔助計算!$E$2:$E$801, 0)+1))), "")</f>
        <v/>
      </c>
      <c r="D559" s="10">
        <f>IFERROR(IF(INDEX(ERP資料!$E:$E, (MATCH(558, 輔助計算!$E$2:$E$801, 0)+1))="","",TRIM(INDEX(ERP資料!$E:$E, (MATCH(558, 輔助計算!$E$2:$E$801, 0)+1)))), "")</f>
        <v/>
      </c>
      <c r="E559" s="10">
        <f>IFERROR(IF(INDEX(ERP資料!$F:$F, (MATCH(558, 輔助計算!$E$2:$E$801, 0)+1))="","",INDEX(ERP資料!$F:$F, (MATCH(558, 輔助計算!$E$2:$E$801, 0)+1))), "")</f>
        <v/>
      </c>
      <c r="F559" s="10">
        <f>IFERROR(IF(INDEX(ERP資料!$G:$G, (MATCH(558, 輔助計算!$E$2:$E$801, 0)+1))="","",INDEX(ERP資料!$G:$G, (MATCH(558, 輔助計算!$E$2:$E$801, 0)+1))), "")</f>
        <v/>
      </c>
      <c r="G559" s="10">
        <f>IFERROR(IF(INDEX(ERP資料!$H:$H, (MATCH(558, 輔助計算!$E$2:$E$801, 0)+1))="","",INDEX(ERP資料!$H:$H, (MATCH(558, 輔助計算!$E$2:$E$801, 0)+1))), "")</f>
        <v/>
      </c>
      <c r="H559" s="15">
        <f>IFERROR(INDEX(輔助計算!$D:$D, (MATCH(558, 輔助計算!$E$2:$E$801, 0)+1)), "")</f>
        <v/>
      </c>
      <c r="I559" s="10">
        <f>IFERROR(IF(INDEX(ERP資料!$O:$O, (MATCH(558, 輔助計算!$E$2:$E$801, 0)+1))="","",INDEX(ERP資料!$O:$O, (MATCH(558, 輔助計算!$E$2:$E$801, 0)+1))), "")</f>
        <v/>
      </c>
      <c r="J559" s="15">
        <f>IFERROR(IF(INDEX(輔助計算!$D:$D,(MATCH(558, 輔助計算!$E$2:$E$801, 0)+1))="","",INDEX(輔助計算!$D:$D,(MATCH(558, 輔助計算!$E$2:$E$801, 0)+1))*INDEX(ERP資料!$O:$O,(MATCH(558, 輔助計算!$E$2:$E$801, 0)+1))), "")</f>
        <v/>
      </c>
      <c r="K559" s="16" t="n"/>
      <c r="L559" s="16" t="n"/>
      <c r="M559" s="17" t="n"/>
    </row>
    <row r="560">
      <c r="A560" s="14">
        <f>IFERROR(IF(INDEX(ERP資料!$B:$B, (MATCH(559, 輔助計算!$E$2:$E$801, 0)+1))="","",INDEX(ERP資料!$B:$B, (MATCH(559, 輔助計算!$E$2:$E$801, 0)+1))), "")</f>
        <v/>
      </c>
      <c r="B560" s="10">
        <f>IFERROR(IF(INDEX(ERP資料!$A:$A, (MATCH(559, 輔助計算!$E$2:$E$801, 0)+1))="","",INDEX(ERP資料!$A:$A, (MATCH(559, 輔助計算!$E$2:$E$801, 0)+1))), "")</f>
        <v/>
      </c>
      <c r="C560" s="10">
        <f>IFERROR(IF(INDEX(ERP資料!$S:$S, (MATCH(559, 輔助計算!$E$2:$E$801, 0)+1))="","",INDEX(ERP資料!$S:$S, (MATCH(559, 輔助計算!$E$2:$E$801, 0)+1))), "")</f>
        <v/>
      </c>
      <c r="D560" s="10">
        <f>IFERROR(IF(INDEX(ERP資料!$E:$E, (MATCH(559, 輔助計算!$E$2:$E$801, 0)+1))="","",TRIM(INDEX(ERP資料!$E:$E, (MATCH(559, 輔助計算!$E$2:$E$801, 0)+1)))), "")</f>
        <v/>
      </c>
      <c r="E560" s="10">
        <f>IFERROR(IF(INDEX(ERP資料!$F:$F, (MATCH(559, 輔助計算!$E$2:$E$801, 0)+1))="","",INDEX(ERP資料!$F:$F, (MATCH(559, 輔助計算!$E$2:$E$801, 0)+1))), "")</f>
        <v/>
      </c>
      <c r="F560" s="10">
        <f>IFERROR(IF(INDEX(ERP資料!$G:$G, (MATCH(559, 輔助計算!$E$2:$E$801, 0)+1))="","",INDEX(ERP資料!$G:$G, (MATCH(559, 輔助計算!$E$2:$E$801, 0)+1))), "")</f>
        <v/>
      </c>
      <c r="G560" s="10">
        <f>IFERROR(IF(INDEX(ERP資料!$H:$H, (MATCH(559, 輔助計算!$E$2:$E$801, 0)+1))="","",INDEX(ERP資料!$H:$H, (MATCH(559, 輔助計算!$E$2:$E$801, 0)+1))), "")</f>
        <v/>
      </c>
      <c r="H560" s="15">
        <f>IFERROR(INDEX(輔助計算!$D:$D, (MATCH(559, 輔助計算!$E$2:$E$801, 0)+1)), "")</f>
        <v/>
      </c>
      <c r="I560" s="10">
        <f>IFERROR(IF(INDEX(ERP資料!$O:$O, (MATCH(559, 輔助計算!$E$2:$E$801, 0)+1))="","",INDEX(ERP資料!$O:$O, (MATCH(559, 輔助計算!$E$2:$E$801, 0)+1))), "")</f>
        <v/>
      </c>
      <c r="J560" s="15">
        <f>IFERROR(IF(INDEX(輔助計算!$D:$D,(MATCH(559, 輔助計算!$E$2:$E$801, 0)+1))="","",INDEX(輔助計算!$D:$D,(MATCH(559, 輔助計算!$E$2:$E$801, 0)+1))*INDEX(ERP資料!$O:$O,(MATCH(559, 輔助計算!$E$2:$E$801, 0)+1))), "")</f>
        <v/>
      </c>
      <c r="K560" s="16" t="n"/>
      <c r="L560" s="16" t="n"/>
      <c r="M560" s="17" t="n"/>
    </row>
    <row r="561">
      <c r="A561" s="14">
        <f>IFERROR(IF(INDEX(ERP資料!$B:$B, (MATCH(560, 輔助計算!$E$2:$E$801, 0)+1))="","",INDEX(ERP資料!$B:$B, (MATCH(560, 輔助計算!$E$2:$E$801, 0)+1))), "")</f>
        <v/>
      </c>
      <c r="B561" s="10">
        <f>IFERROR(IF(INDEX(ERP資料!$A:$A, (MATCH(560, 輔助計算!$E$2:$E$801, 0)+1))="","",INDEX(ERP資料!$A:$A, (MATCH(560, 輔助計算!$E$2:$E$801, 0)+1))), "")</f>
        <v/>
      </c>
      <c r="C561" s="10">
        <f>IFERROR(IF(INDEX(ERP資料!$S:$S, (MATCH(560, 輔助計算!$E$2:$E$801, 0)+1))="","",INDEX(ERP資料!$S:$S, (MATCH(560, 輔助計算!$E$2:$E$801, 0)+1))), "")</f>
        <v/>
      </c>
      <c r="D561" s="10">
        <f>IFERROR(IF(INDEX(ERP資料!$E:$E, (MATCH(560, 輔助計算!$E$2:$E$801, 0)+1))="","",TRIM(INDEX(ERP資料!$E:$E, (MATCH(560, 輔助計算!$E$2:$E$801, 0)+1)))), "")</f>
        <v/>
      </c>
      <c r="E561" s="10">
        <f>IFERROR(IF(INDEX(ERP資料!$F:$F, (MATCH(560, 輔助計算!$E$2:$E$801, 0)+1))="","",INDEX(ERP資料!$F:$F, (MATCH(560, 輔助計算!$E$2:$E$801, 0)+1))), "")</f>
        <v/>
      </c>
      <c r="F561" s="10">
        <f>IFERROR(IF(INDEX(ERP資料!$G:$G, (MATCH(560, 輔助計算!$E$2:$E$801, 0)+1))="","",INDEX(ERP資料!$G:$G, (MATCH(560, 輔助計算!$E$2:$E$801, 0)+1))), "")</f>
        <v/>
      </c>
      <c r="G561" s="10">
        <f>IFERROR(IF(INDEX(ERP資料!$H:$H, (MATCH(560, 輔助計算!$E$2:$E$801, 0)+1))="","",INDEX(ERP資料!$H:$H, (MATCH(560, 輔助計算!$E$2:$E$801, 0)+1))), "")</f>
        <v/>
      </c>
      <c r="H561" s="15">
        <f>IFERROR(INDEX(輔助計算!$D:$D, (MATCH(560, 輔助計算!$E$2:$E$801, 0)+1)), "")</f>
        <v/>
      </c>
      <c r="I561" s="10">
        <f>IFERROR(IF(INDEX(ERP資料!$O:$O, (MATCH(560, 輔助計算!$E$2:$E$801, 0)+1))="","",INDEX(ERP資料!$O:$O, (MATCH(560, 輔助計算!$E$2:$E$801, 0)+1))), "")</f>
        <v/>
      </c>
      <c r="J561" s="15">
        <f>IFERROR(IF(INDEX(輔助計算!$D:$D,(MATCH(560, 輔助計算!$E$2:$E$801, 0)+1))="","",INDEX(輔助計算!$D:$D,(MATCH(560, 輔助計算!$E$2:$E$801, 0)+1))*INDEX(ERP資料!$O:$O,(MATCH(560, 輔助計算!$E$2:$E$801, 0)+1))), "")</f>
        <v/>
      </c>
      <c r="K561" s="16" t="n"/>
      <c r="L561" s="16" t="n"/>
      <c r="M561" s="17" t="n"/>
    </row>
    <row r="562">
      <c r="A562" s="14">
        <f>IFERROR(IF(INDEX(ERP資料!$B:$B, (MATCH(561, 輔助計算!$E$2:$E$801, 0)+1))="","",INDEX(ERP資料!$B:$B, (MATCH(561, 輔助計算!$E$2:$E$801, 0)+1))), "")</f>
        <v/>
      </c>
      <c r="B562" s="10">
        <f>IFERROR(IF(INDEX(ERP資料!$A:$A, (MATCH(561, 輔助計算!$E$2:$E$801, 0)+1))="","",INDEX(ERP資料!$A:$A, (MATCH(561, 輔助計算!$E$2:$E$801, 0)+1))), "")</f>
        <v/>
      </c>
      <c r="C562" s="10">
        <f>IFERROR(IF(INDEX(ERP資料!$S:$S, (MATCH(561, 輔助計算!$E$2:$E$801, 0)+1))="","",INDEX(ERP資料!$S:$S, (MATCH(561, 輔助計算!$E$2:$E$801, 0)+1))), "")</f>
        <v/>
      </c>
      <c r="D562" s="10">
        <f>IFERROR(IF(INDEX(ERP資料!$E:$E, (MATCH(561, 輔助計算!$E$2:$E$801, 0)+1))="","",TRIM(INDEX(ERP資料!$E:$E, (MATCH(561, 輔助計算!$E$2:$E$801, 0)+1)))), "")</f>
        <v/>
      </c>
      <c r="E562" s="10">
        <f>IFERROR(IF(INDEX(ERP資料!$F:$F, (MATCH(561, 輔助計算!$E$2:$E$801, 0)+1))="","",INDEX(ERP資料!$F:$F, (MATCH(561, 輔助計算!$E$2:$E$801, 0)+1))), "")</f>
        <v/>
      </c>
      <c r="F562" s="10">
        <f>IFERROR(IF(INDEX(ERP資料!$G:$G, (MATCH(561, 輔助計算!$E$2:$E$801, 0)+1))="","",INDEX(ERP資料!$G:$G, (MATCH(561, 輔助計算!$E$2:$E$801, 0)+1))), "")</f>
        <v/>
      </c>
      <c r="G562" s="10">
        <f>IFERROR(IF(INDEX(ERP資料!$H:$H, (MATCH(561, 輔助計算!$E$2:$E$801, 0)+1))="","",INDEX(ERP資料!$H:$H, (MATCH(561, 輔助計算!$E$2:$E$801, 0)+1))), "")</f>
        <v/>
      </c>
      <c r="H562" s="15">
        <f>IFERROR(INDEX(輔助計算!$D:$D, (MATCH(561, 輔助計算!$E$2:$E$801, 0)+1)), "")</f>
        <v/>
      </c>
      <c r="I562" s="10">
        <f>IFERROR(IF(INDEX(ERP資料!$O:$O, (MATCH(561, 輔助計算!$E$2:$E$801, 0)+1))="","",INDEX(ERP資料!$O:$O, (MATCH(561, 輔助計算!$E$2:$E$801, 0)+1))), "")</f>
        <v/>
      </c>
      <c r="J562" s="15">
        <f>IFERROR(IF(INDEX(輔助計算!$D:$D,(MATCH(561, 輔助計算!$E$2:$E$801, 0)+1))="","",INDEX(輔助計算!$D:$D,(MATCH(561, 輔助計算!$E$2:$E$801, 0)+1))*INDEX(ERP資料!$O:$O,(MATCH(561, 輔助計算!$E$2:$E$801, 0)+1))), "")</f>
        <v/>
      </c>
      <c r="K562" s="16" t="n"/>
      <c r="L562" s="16" t="n"/>
      <c r="M562" s="17" t="n"/>
    </row>
    <row r="563">
      <c r="A563" s="14">
        <f>IFERROR(IF(INDEX(ERP資料!$B:$B, (MATCH(562, 輔助計算!$E$2:$E$801, 0)+1))="","",INDEX(ERP資料!$B:$B, (MATCH(562, 輔助計算!$E$2:$E$801, 0)+1))), "")</f>
        <v/>
      </c>
      <c r="B563" s="10">
        <f>IFERROR(IF(INDEX(ERP資料!$A:$A, (MATCH(562, 輔助計算!$E$2:$E$801, 0)+1))="","",INDEX(ERP資料!$A:$A, (MATCH(562, 輔助計算!$E$2:$E$801, 0)+1))), "")</f>
        <v/>
      </c>
      <c r="C563" s="10">
        <f>IFERROR(IF(INDEX(ERP資料!$S:$S, (MATCH(562, 輔助計算!$E$2:$E$801, 0)+1))="","",INDEX(ERP資料!$S:$S, (MATCH(562, 輔助計算!$E$2:$E$801, 0)+1))), "")</f>
        <v/>
      </c>
      <c r="D563" s="10">
        <f>IFERROR(IF(INDEX(ERP資料!$E:$E, (MATCH(562, 輔助計算!$E$2:$E$801, 0)+1))="","",TRIM(INDEX(ERP資料!$E:$E, (MATCH(562, 輔助計算!$E$2:$E$801, 0)+1)))), "")</f>
        <v/>
      </c>
      <c r="E563" s="10">
        <f>IFERROR(IF(INDEX(ERP資料!$F:$F, (MATCH(562, 輔助計算!$E$2:$E$801, 0)+1))="","",INDEX(ERP資料!$F:$F, (MATCH(562, 輔助計算!$E$2:$E$801, 0)+1))), "")</f>
        <v/>
      </c>
      <c r="F563" s="10">
        <f>IFERROR(IF(INDEX(ERP資料!$G:$G, (MATCH(562, 輔助計算!$E$2:$E$801, 0)+1))="","",INDEX(ERP資料!$G:$G, (MATCH(562, 輔助計算!$E$2:$E$801, 0)+1))), "")</f>
        <v/>
      </c>
      <c r="G563" s="10">
        <f>IFERROR(IF(INDEX(ERP資料!$H:$H, (MATCH(562, 輔助計算!$E$2:$E$801, 0)+1))="","",INDEX(ERP資料!$H:$H, (MATCH(562, 輔助計算!$E$2:$E$801, 0)+1))), "")</f>
        <v/>
      </c>
      <c r="H563" s="15">
        <f>IFERROR(INDEX(輔助計算!$D:$D, (MATCH(562, 輔助計算!$E$2:$E$801, 0)+1)), "")</f>
        <v/>
      </c>
      <c r="I563" s="10">
        <f>IFERROR(IF(INDEX(ERP資料!$O:$O, (MATCH(562, 輔助計算!$E$2:$E$801, 0)+1))="","",INDEX(ERP資料!$O:$O, (MATCH(562, 輔助計算!$E$2:$E$801, 0)+1))), "")</f>
        <v/>
      </c>
      <c r="J563" s="15">
        <f>IFERROR(IF(INDEX(輔助計算!$D:$D,(MATCH(562, 輔助計算!$E$2:$E$801, 0)+1))="","",INDEX(輔助計算!$D:$D,(MATCH(562, 輔助計算!$E$2:$E$801, 0)+1))*INDEX(ERP資料!$O:$O,(MATCH(562, 輔助計算!$E$2:$E$801, 0)+1))), "")</f>
        <v/>
      </c>
      <c r="K563" s="16" t="n"/>
      <c r="L563" s="16" t="n"/>
      <c r="M563" s="17" t="n"/>
    </row>
    <row r="564">
      <c r="A564" s="14">
        <f>IFERROR(IF(INDEX(ERP資料!$B:$B, (MATCH(563, 輔助計算!$E$2:$E$801, 0)+1))="","",INDEX(ERP資料!$B:$B, (MATCH(563, 輔助計算!$E$2:$E$801, 0)+1))), "")</f>
        <v/>
      </c>
      <c r="B564" s="10">
        <f>IFERROR(IF(INDEX(ERP資料!$A:$A, (MATCH(563, 輔助計算!$E$2:$E$801, 0)+1))="","",INDEX(ERP資料!$A:$A, (MATCH(563, 輔助計算!$E$2:$E$801, 0)+1))), "")</f>
        <v/>
      </c>
      <c r="C564" s="10">
        <f>IFERROR(IF(INDEX(ERP資料!$S:$S, (MATCH(563, 輔助計算!$E$2:$E$801, 0)+1))="","",INDEX(ERP資料!$S:$S, (MATCH(563, 輔助計算!$E$2:$E$801, 0)+1))), "")</f>
        <v/>
      </c>
      <c r="D564" s="10">
        <f>IFERROR(IF(INDEX(ERP資料!$E:$E, (MATCH(563, 輔助計算!$E$2:$E$801, 0)+1))="","",TRIM(INDEX(ERP資料!$E:$E, (MATCH(563, 輔助計算!$E$2:$E$801, 0)+1)))), "")</f>
        <v/>
      </c>
      <c r="E564" s="10">
        <f>IFERROR(IF(INDEX(ERP資料!$F:$F, (MATCH(563, 輔助計算!$E$2:$E$801, 0)+1))="","",INDEX(ERP資料!$F:$F, (MATCH(563, 輔助計算!$E$2:$E$801, 0)+1))), "")</f>
        <v/>
      </c>
      <c r="F564" s="10">
        <f>IFERROR(IF(INDEX(ERP資料!$G:$G, (MATCH(563, 輔助計算!$E$2:$E$801, 0)+1))="","",INDEX(ERP資料!$G:$G, (MATCH(563, 輔助計算!$E$2:$E$801, 0)+1))), "")</f>
        <v/>
      </c>
      <c r="G564" s="10">
        <f>IFERROR(IF(INDEX(ERP資料!$H:$H, (MATCH(563, 輔助計算!$E$2:$E$801, 0)+1))="","",INDEX(ERP資料!$H:$H, (MATCH(563, 輔助計算!$E$2:$E$801, 0)+1))), "")</f>
        <v/>
      </c>
      <c r="H564" s="15">
        <f>IFERROR(INDEX(輔助計算!$D:$D, (MATCH(563, 輔助計算!$E$2:$E$801, 0)+1)), "")</f>
        <v/>
      </c>
      <c r="I564" s="10">
        <f>IFERROR(IF(INDEX(ERP資料!$O:$O, (MATCH(563, 輔助計算!$E$2:$E$801, 0)+1))="","",INDEX(ERP資料!$O:$O, (MATCH(563, 輔助計算!$E$2:$E$801, 0)+1))), "")</f>
        <v/>
      </c>
      <c r="J564" s="15">
        <f>IFERROR(IF(INDEX(輔助計算!$D:$D,(MATCH(563, 輔助計算!$E$2:$E$801, 0)+1))="","",INDEX(輔助計算!$D:$D,(MATCH(563, 輔助計算!$E$2:$E$801, 0)+1))*INDEX(ERP資料!$O:$O,(MATCH(563, 輔助計算!$E$2:$E$801, 0)+1))), "")</f>
        <v/>
      </c>
      <c r="K564" s="16" t="n"/>
      <c r="L564" s="16" t="n"/>
      <c r="M564" s="17" t="n"/>
    </row>
    <row r="565">
      <c r="A565" s="14">
        <f>IFERROR(IF(INDEX(ERP資料!$B:$B, (MATCH(564, 輔助計算!$E$2:$E$801, 0)+1))="","",INDEX(ERP資料!$B:$B, (MATCH(564, 輔助計算!$E$2:$E$801, 0)+1))), "")</f>
        <v/>
      </c>
      <c r="B565" s="10">
        <f>IFERROR(IF(INDEX(ERP資料!$A:$A, (MATCH(564, 輔助計算!$E$2:$E$801, 0)+1))="","",INDEX(ERP資料!$A:$A, (MATCH(564, 輔助計算!$E$2:$E$801, 0)+1))), "")</f>
        <v/>
      </c>
      <c r="C565" s="10">
        <f>IFERROR(IF(INDEX(ERP資料!$S:$S, (MATCH(564, 輔助計算!$E$2:$E$801, 0)+1))="","",INDEX(ERP資料!$S:$S, (MATCH(564, 輔助計算!$E$2:$E$801, 0)+1))), "")</f>
        <v/>
      </c>
      <c r="D565" s="10">
        <f>IFERROR(IF(INDEX(ERP資料!$E:$E, (MATCH(564, 輔助計算!$E$2:$E$801, 0)+1))="","",TRIM(INDEX(ERP資料!$E:$E, (MATCH(564, 輔助計算!$E$2:$E$801, 0)+1)))), "")</f>
        <v/>
      </c>
      <c r="E565" s="10">
        <f>IFERROR(IF(INDEX(ERP資料!$F:$F, (MATCH(564, 輔助計算!$E$2:$E$801, 0)+1))="","",INDEX(ERP資料!$F:$F, (MATCH(564, 輔助計算!$E$2:$E$801, 0)+1))), "")</f>
        <v/>
      </c>
      <c r="F565" s="10">
        <f>IFERROR(IF(INDEX(ERP資料!$G:$G, (MATCH(564, 輔助計算!$E$2:$E$801, 0)+1))="","",INDEX(ERP資料!$G:$G, (MATCH(564, 輔助計算!$E$2:$E$801, 0)+1))), "")</f>
        <v/>
      </c>
      <c r="G565" s="10">
        <f>IFERROR(IF(INDEX(ERP資料!$H:$H, (MATCH(564, 輔助計算!$E$2:$E$801, 0)+1))="","",INDEX(ERP資料!$H:$H, (MATCH(564, 輔助計算!$E$2:$E$801, 0)+1))), "")</f>
        <v/>
      </c>
      <c r="H565" s="15">
        <f>IFERROR(INDEX(輔助計算!$D:$D, (MATCH(564, 輔助計算!$E$2:$E$801, 0)+1)), "")</f>
        <v/>
      </c>
      <c r="I565" s="10">
        <f>IFERROR(IF(INDEX(ERP資料!$O:$O, (MATCH(564, 輔助計算!$E$2:$E$801, 0)+1))="","",INDEX(ERP資料!$O:$O, (MATCH(564, 輔助計算!$E$2:$E$801, 0)+1))), "")</f>
        <v/>
      </c>
      <c r="J565" s="15">
        <f>IFERROR(IF(INDEX(輔助計算!$D:$D,(MATCH(564, 輔助計算!$E$2:$E$801, 0)+1))="","",INDEX(輔助計算!$D:$D,(MATCH(564, 輔助計算!$E$2:$E$801, 0)+1))*INDEX(ERP資料!$O:$O,(MATCH(564, 輔助計算!$E$2:$E$801, 0)+1))), "")</f>
        <v/>
      </c>
      <c r="K565" s="16" t="n"/>
      <c r="L565" s="16" t="n"/>
      <c r="M565" s="17" t="n"/>
    </row>
    <row r="566">
      <c r="A566" s="14">
        <f>IFERROR(IF(INDEX(ERP資料!$B:$B, (MATCH(565, 輔助計算!$E$2:$E$801, 0)+1))="","",INDEX(ERP資料!$B:$B, (MATCH(565, 輔助計算!$E$2:$E$801, 0)+1))), "")</f>
        <v/>
      </c>
      <c r="B566" s="10">
        <f>IFERROR(IF(INDEX(ERP資料!$A:$A, (MATCH(565, 輔助計算!$E$2:$E$801, 0)+1))="","",INDEX(ERP資料!$A:$A, (MATCH(565, 輔助計算!$E$2:$E$801, 0)+1))), "")</f>
        <v/>
      </c>
      <c r="C566" s="10">
        <f>IFERROR(IF(INDEX(ERP資料!$S:$S, (MATCH(565, 輔助計算!$E$2:$E$801, 0)+1))="","",INDEX(ERP資料!$S:$S, (MATCH(565, 輔助計算!$E$2:$E$801, 0)+1))), "")</f>
        <v/>
      </c>
      <c r="D566" s="10">
        <f>IFERROR(IF(INDEX(ERP資料!$E:$E, (MATCH(565, 輔助計算!$E$2:$E$801, 0)+1))="","",TRIM(INDEX(ERP資料!$E:$E, (MATCH(565, 輔助計算!$E$2:$E$801, 0)+1)))), "")</f>
        <v/>
      </c>
      <c r="E566" s="10">
        <f>IFERROR(IF(INDEX(ERP資料!$F:$F, (MATCH(565, 輔助計算!$E$2:$E$801, 0)+1))="","",INDEX(ERP資料!$F:$F, (MATCH(565, 輔助計算!$E$2:$E$801, 0)+1))), "")</f>
        <v/>
      </c>
      <c r="F566" s="10">
        <f>IFERROR(IF(INDEX(ERP資料!$G:$G, (MATCH(565, 輔助計算!$E$2:$E$801, 0)+1))="","",INDEX(ERP資料!$G:$G, (MATCH(565, 輔助計算!$E$2:$E$801, 0)+1))), "")</f>
        <v/>
      </c>
      <c r="G566" s="10">
        <f>IFERROR(IF(INDEX(ERP資料!$H:$H, (MATCH(565, 輔助計算!$E$2:$E$801, 0)+1))="","",INDEX(ERP資料!$H:$H, (MATCH(565, 輔助計算!$E$2:$E$801, 0)+1))), "")</f>
        <v/>
      </c>
      <c r="H566" s="15">
        <f>IFERROR(INDEX(輔助計算!$D:$D, (MATCH(565, 輔助計算!$E$2:$E$801, 0)+1)), "")</f>
        <v/>
      </c>
      <c r="I566" s="10">
        <f>IFERROR(IF(INDEX(ERP資料!$O:$O, (MATCH(565, 輔助計算!$E$2:$E$801, 0)+1))="","",INDEX(ERP資料!$O:$O, (MATCH(565, 輔助計算!$E$2:$E$801, 0)+1))), "")</f>
        <v/>
      </c>
      <c r="J566" s="15">
        <f>IFERROR(IF(INDEX(輔助計算!$D:$D,(MATCH(565, 輔助計算!$E$2:$E$801, 0)+1))="","",INDEX(輔助計算!$D:$D,(MATCH(565, 輔助計算!$E$2:$E$801, 0)+1))*INDEX(ERP資料!$O:$O,(MATCH(565, 輔助計算!$E$2:$E$801, 0)+1))), "")</f>
        <v/>
      </c>
      <c r="K566" s="16" t="n"/>
      <c r="L566" s="16" t="n"/>
      <c r="M566" s="17" t="n"/>
    </row>
    <row r="567">
      <c r="A567" s="14">
        <f>IFERROR(IF(INDEX(ERP資料!$B:$B, (MATCH(566, 輔助計算!$E$2:$E$801, 0)+1))="","",INDEX(ERP資料!$B:$B, (MATCH(566, 輔助計算!$E$2:$E$801, 0)+1))), "")</f>
        <v/>
      </c>
      <c r="B567" s="10">
        <f>IFERROR(IF(INDEX(ERP資料!$A:$A, (MATCH(566, 輔助計算!$E$2:$E$801, 0)+1))="","",INDEX(ERP資料!$A:$A, (MATCH(566, 輔助計算!$E$2:$E$801, 0)+1))), "")</f>
        <v/>
      </c>
      <c r="C567" s="10">
        <f>IFERROR(IF(INDEX(ERP資料!$S:$S, (MATCH(566, 輔助計算!$E$2:$E$801, 0)+1))="","",INDEX(ERP資料!$S:$S, (MATCH(566, 輔助計算!$E$2:$E$801, 0)+1))), "")</f>
        <v/>
      </c>
      <c r="D567" s="10">
        <f>IFERROR(IF(INDEX(ERP資料!$E:$E, (MATCH(566, 輔助計算!$E$2:$E$801, 0)+1))="","",TRIM(INDEX(ERP資料!$E:$E, (MATCH(566, 輔助計算!$E$2:$E$801, 0)+1)))), "")</f>
        <v/>
      </c>
      <c r="E567" s="10">
        <f>IFERROR(IF(INDEX(ERP資料!$F:$F, (MATCH(566, 輔助計算!$E$2:$E$801, 0)+1))="","",INDEX(ERP資料!$F:$F, (MATCH(566, 輔助計算!$E$2:$E$801, 0)+1))), "")</f>
        <v/>
      </c>
      <c r="F567" s="10">
        <f>IFERROR(IF(INDEX(ERP資料!$G:$G, (MATCH(566, 輔助計算!$E$2:$E$801, 0)+1))="","",INDEX(ERP資料!$G:$G, (MATCH(566, 輔助計算!$E$2:$E$801, 0)+1))), "")</f>
        <v/>
      </c>
      <c r="G567" s="10">
        <f>IFERROR(IF(INDEX(ERP資料!$H:$H, (MATCH(566, 輔助計算!$E$2:$E$801, 0)+1))="","",INDEX(ERP資料!$H:$H, (MATCH(566, 輔助計算!$E$2:$E$801, 0)+1))), "")</f>
        <v/>
      </c>
      <c r="H567" s="15">
        <f>IFERROR(INDEX(輔助計算!$D:$D, (MATCH(566, 輔助計算!$E$2:$E$801, 0)+1)), "")</f>
        <v/>
      </c>
      <c r="I567" s="10">
        <f>IFERROR(IF(INDEX(ERP資料!$O:$O, (MATCH(566, 輔助計算!$E$2:$E$801, 0)+1))="","",INDEX(ERP資料!$O:$O, (MATCH(566, 輔助計算!$E$2:$E$801, 0)+1))), "")</f>
        <v/>
      </c>
      <c r="J567" s="15">
        <f>IFERROR(IF(INDEX(輔助計算!$D:$D,(MATCH(566, 輔助計算!$E$2:$E$801, 0)+1))="","",INDEX(輔助計算!$D:$D,(MATCH(566, 輔助計算!$E$2:$E$801, 0)+1))*INDEX(ERP資料!$O:$O,(MATCH(566, 輔助計算!$E$2:$E$801, 0)+1))), "")</f>
        <v/>
      </c>
      <c r="K567" s="16" t="n"/>
      <c r="L567" s="16" t="n"/>
      <c r="M567" s="17" t="n"/>
    </row>
    <row r="568">
      <c r="A568" s="14">
        <f>IFERROR(IF(INDEX(ERP資料!$B:$B, (MATCH(567, 輔助計算!$E$2:$E$801, 0)+1))="","",INDEX(ERP資料!$B:$B, (MATCH(567, 輔助計算!$E$2:$E$801, 0)+1))), "")</f>
        <v/>
      </c>
      <c r="B568" s="10">
        <f>IFERROR(IF(INDEX(ERP資料!$A:$A, (MATCH(567, 輔助計算!$E$2:$E$801, 0)+1))="","",INDEX(ERP資料!$A:$A, (MATCH(567, 輔助計算!$E$2:$E$801, 0)+1))), "")</f>
        <v/>
      </c>
      <c r="C568" s="10">
        <f>IFERROR(IF(INDEX(ERP資料!$S:$S, (MATCH(567, 輔助計算!$E$2:$E$801, 0)+1))="","",INDEX(ERP資料!$S:$S, (MATCH(567, 輔助計算!$E$2:$E$801, 0)+1))), "")</f>
        <v/>
      </c>
      <c r="D568" s="10">
        <f>IFERROR(IF(INDEX(ERP資料!$E:$E, (MATCH(567, 輔助計算!$E$2:$E$801, 0)+1))="","",TRIM(INDEX(ERP資料!$E:$E, (MATCH(567, 輔助計算!$E$2:$E$801, 0)+1)))), "")</f>
        <v/>
      </c>
      <c r="E568" s="10">
        <f>IFERROR(IF(INDEX(ERP資料!$F:$F, (MATCH(567, 輔助計算!$E$2:$E$801, 0)+1))="","",INDEX(ERP資料!$F:$F, (MATCH(567, 輔助計算!$E$2:$E$801, 0)+1))), "")</f>
        <v/>
      </c>
      <c r="F568" s="10">
        <f>IFERROR(IF(INDEX(ERP資料!$G:$G, (MATCH(567, 輔助計算!$E$2:$E$801, 0)+1))="","",INDEX(ERP資料!$G:$G, (MATCH(567, 輔助計算!$E$2:$E$801, 0)+1))), "")</f>
        <v/>
      </c>
      <c r="G568" s="10">
        <f>IFERROR(IF(INDEX(ERP資料!$H:$H, (MATCH(567, 輔助計算!$E$2:$E$801, 0)+1))="","",INDEX(ERP資料!$H:$H, (MATCH(567, 輔助計算!$E$2:$E$801, 0)+1))), "")</f>
        <v/>
      </c>
      <c r="H568" s="15">
        <f>IFERROR(INDEX(輔助計算!$D:$D, (MATCH(567, 輔助計算!$E$2:$E$801, 0)+1)), "")</f>
        <v/>
      </c>
      <c r="I568" s="10">
        <f>IFERROR(IF(INDEX(ERP資料!$O:$O, (MATCH(567, 輔助計算!$E$2:$E$801, 0)+1))="","",INDEX(ERP資料!$O:$O, (MATCH(567, 輔助計算!$E$2:$E$801, 0)+1))), "")</f>
        <v/>
      </c>
      <c r="J568" s="15">
        <f>IFERROR(IF(INDEX(輔助計算!$D:$D,(MATCH(567, 輔助計算!$E$2:$E$801, 0)+1))="","",INDEX(輔助計算!$D:$D,(MATCH(567, 輔助計算!$E$2:$E$801, 0)+1))*INDEX(ERP資料!$O:$O,(MATCH(567, 輔助計算!$E$2:$E$801, 0)+1))), "")</f>
        <v/>
      </c>
      <c r="K568" s="16" t="n"/>
      <c r="L568" s="16" t="n"/>
      <c r="M568" s="17" t="n"/>
    </row>
    <row r="569">
      <c r="A569" s="14">
        <f>IFERROR(IF(INDEX(ERP資料!$B:$B, (MATCH(568, 輔助計算!$E$2:$E$801, 0)+1))="","",INDEX(ERP資料!$B:$B, (MATCH(568, 輔助計算!$E$2:$E$801, 0)+1))), "")</f>
        <v/>
      </c>
      <c r="B569" s="10">
        <f>IFERROR(IF(INDEX(ERP資料!$A:$A, (MATCH(568, 輔助計算!$E$2:$E$801, 0)+1))="","",INDEX(ERP資料!$A:$A, (MATCH(568, 輔助計算!$E$2:$E$801, 0)+1))), "")</f>
        <v/>
      </c>
      <c r="C569" s="10">
        <f>IFERROR(IF(INDEX(ERP資料!$S:$S, (MATCH(568, 輔助計算!$E$2:$E$801, 0)+1))="","",INDEX(ERP資料!$S:$S, (MATCH(568, 輔助計算!$E$2:$E$801, 0)+1))), "")</f>
        <v/>
      </c>
      <c r="D569" s="10">
        <f>IFERROR(IF(INDEX(ERP資料!$E:$E, (MATCH(568, 輔助計算!$E$2:$E$801, 0)+1))="","",TRIM(INDEX(ERP資料!$E:$E, (MATCH(568, 輔助計算!$E$2:$E$801, 0)+1)))), "")</f>
        <v/>
      </c>
      <c r="E569" s="10">
        <f>IFERROR(IF(INDEX(ERP資料!$F:$F, (MATCH(568, 輔助計算!$E$2:$E$801, 0)+1))="","",INDEX(ERP資料!$F:$F, (MATCH(568, 輔助計算!$E$2:$E$801, 0)+1))), "")</f>
        <v/>
      </c>
      <c r="F569" s="10">
        <f>IFERROR(IF(INDEX(ERP資料!$G:$G, (MATCH(568, 輔助計算!$E$2:$E$801, 0)+1))="","",INDEX(ERP資料!$G:$G, (MATCH(568, 輔助計算!$E$2:$E$801, 0)+1))), "")</f>
        <v/>
      </c>
      <c r="G569" s="10">
        <f>IFERROR(IF(INDEX(ERP資料!$H:$H, (MATCH(568, 輔助計算!$E$2:$E$801, 0)+1))="","",INDEX(ERP資料!$H:$H, (MATCH(568, 輔助計算!$E$2:$E$801, 0)+1))), "")</f>
        <v/>
      </c>
      <c r="H569" s="15">
        <f>IFERROR(INDEX(輔助計算!$D:$D, (MATCH(568, 輔助計算!$E$2:$E$801, 0)+1)), "")</f>
        <v/>
      </c>
      <c r="I569" s="10">
        <f>IFERROR(IF(INDEX(ERP資料!$O:$O, (MATCH(568, 輔助計算!$E$2:$E$801, 0)+1))="","",INDEX(ERP資料!$O:$O, (MATCH(568, 輔助計算!$E$2:$E$801, 0)+1))), "")</f>
        <v/>
      </c>
      <c r="J569" s="15">
        <f>IFERROR(IF(INDEX(輔助計算!$D:$D,(MATCH(568, 輔助計算!$E$2:$E$801, 0)+1))="","",INDEX(輔助計算!$D:$D,(MATCH(568, 輔助計算!$E$2:$E$801, 0)+1))*INDEX(ERP資料!$O:$O,(MATCH(568, 輔助計算!$E$2:$E$801, 0)+1))), "")</f>
        <v/>
      </c>
      <c r="K569" s="16" t="n"/>
      <c r="L569" s="16" t="n"/>
      <c r="M569" s="17" t="n"/>
    </row>
    <row r="570">
      <c r="A570" s="14">
        <f>IFERROR(IF(INDEX(ERP資料!$B:$B, (MATCH(569, 輔助計算!$E$2:$E$801, 0)+1))="","",INDEX(ERP資料!$B:$B, (MATCH(569, 輔助計算!$E$2:$E$801, 0)+1))), "")</f>
        <v/>
      </c>
      <c r="B570" s="10">
        <f>IFERROR(IF(INDEX(ERP資料!$A:$A, (MATCH(569, 輔助計算!$E$2:$E$801, 0)+1))="","",INDEX(ERP資料!$A:$A, (MATCH(569, 輔助計算!$E$2:$E$801, 0)+1))), "")</f>
        <v/>
      </c>
      <c r="C570" s="10">
        <f>IFERROR(IF(INDEX(ERP資料!$S:$S, (MATCH(569, 輔助計算!$E$2:$E$801, 0)+1))="","",INDEX(ERP資料!$S:$S, (MATCH(569, 輔助計算!$E$2:$E$801, 0)+1))), "")</f>
        <v/>
      </c>
      <c r="D570" s="10">
        <f>IFERROR(IF(INDEX(ERP資料!$E:$E, (MATCH(569, 輔助計算!$E$2:$E$801, 0)+1))="","",TRIM(INDEX(ERP資料!$E:$E, (MATCH(569, 輔助計算!$E$2:$E$801, 0)+1)))), "")</f>
        <v/>
      </c>
      <c r="E570" s="10">
        <f>IFERROR(IF(INDEX(ERP資料!$F:$F, (MATCH(569, 輔助計算!$E$2:$E$801, 0)+1))="","",INDEX(ERP資料!$F:$F, (MATCH(569, 輔助計算!$E$2:$E$801, 0)+1))), "")</f>
        <v/>
      </c>
      <c r="F570" s="10">
        <f>IFERROR(IF(INDEX(ERP資料!$G:$G, (MATCH(569, 輔助計算!$E$2:$E$801, 0)+1))="","",INDEX(ERP資料!$G:$G, (MATCH(569, 輔助計算!$E$2:$E$801, 0)+1))), "")</f>
        <v/>
      </c>
      <c r="G570" s="10">
        <f>IFERROR(IF(INDEX(ERP資料!$H:$H, (MATCH(569, 輔助計算!$E$2:$E$801, 0)+1))="","",INDEX(ERP資料!$H:$H, (MATCH(569, 輔助計算!$E$2:$E$801, 0)+1))), "")</f>
        <v/>
      </c>
      <c r="H570" s="15">
        <f>IFERROR(INDEX(輔助計算!$D:$D, (MATCH(569, 輔助計算!$E$2:$E$801, 0)+1)), "")</f>
        <v/>
      </c>
      <c r="I570" s="10">
        <f>IFERROR(IF(INDEX(ERP資料!$O:$O, (MATCH(569, 輔助計算!$E$2:$E$801, 0)+1))="","",INDEX(ERP資料!$O:$O, (MATCH(569, 輔助計算!$E$2:$E$801, 0)+1))), "")</f>
        <v/>
      </c>
      <c r="J570" s="15">
        <f>IFERROR(IF(INDEX(輔助計算!$D:$D,(MATCH(569, 輔助計算!$E$2:$E$801, 0)+1))="","",INDEX(輔助計算!$D:$D,(MATCH(569, 輔助計算!$E$2:$E$801, 0)+1))*INDEX(ERP資料!$O:$O,(MATCH(569, 輔助計算!$E$2:$E$801, 0)+1))), "")</f>
        <v/>
      </c>
      <c r="K570" s="16" t="n"/>
      <c r="L570" s="16" t="n"/>
      <c r="M570" s="17" t="n"/>
    </row>
    <row r="571">
      <c r="A571" s="14">
        <f>IFERROR(IF(INDEX(ERP資料!$B:$B, (MATCH(570, 輔助計算!$E$2:$E$801, 0)+1))="","",INDEX(ERP資料!$B:$B, (MATCH(570, 輔助計算!$E$2:$E$801, 0)+1))), "")</f>
        <v/>
      </c>
      <c r="B571" s="10">
        <f>IFERROR(IF(INDEX(ERP資料!$A:$A, (MATCH(570, 輔助計算!$E$2:$E$801, 0)+1))="","",INDEX(ERP資料!$A:$A, (MATCH(570, 輔助計算!$E$2:$E$801, 0)+1))), "")</f>
        <v/>
      </c>
      <c r="C571" s="10">
        <f>IFERROR(IF(INDEX(ERP資料!$S:$S, (MATCH(570, 輔助計算!$E$2:$E$801, 0)+1))="","",INDEX(ERP資料!$S:$S, (MATCH(570, 輔助計算!$E$2:$E$801, 0)+1))), "")</f>
        <v/>
      </c>
      <c r="D571" s="10">
        <f>IFERROR(IF(INDEX(ERP資料!$E:$E, (MATCH(570, 輔助計算!$E$2:$E$801, 0)+1))="","",TRIM(INDEX(ERP資料!$E:$E, (MATCH(570, 輔助計算!$E$2:$E$801, 0)+1)))), "")</f>
        <v/>
      </c>
      <c r="E571" s="10">
        <f>IFERROR(IF(INDEX(ERP資料!$F:$F, (MATCH(570, 輔助計算!$E$2:$E$801, 0)+1))="","",INDEX(ERP資料!$F:$F, (MATCH(570, 輔助計算!$E$2:$E$801, 0)+1))), "")</f>
        <v/>
      </c>
      <c r="F571" s="10">
        <f>IFERROR(IF(INDEX(ERP資料!$G:$G, (MATCH(570, 輔助計算!$E$2:$E$801, 0)+1))="","",INDEX(ERP資料!$G:$G, (MATCH(570, 輔助計算!$E$2:$E$801, 0)+1))), "")</f>
        <v/>
      </c>
      <c r="G571" s="10">
        <f>IFERROR(IF(INDEX(ERP資料!$H:$H, (MATCH(570, 輔助計算!$E$2:$E$801, 0)+1))="","",INDEX(ERP資料!$H:$H, (MATCH(570, 輔助計算!$E$2:$E$801, 0)+1))), "")</f>
        <v/>
      </c>
      <c r="H571" s="15">
        <f>IFERROR(INDEX(輔助計算!$D:$D, (MATCH(570, 輔助計算!$E$2:$E$801, 0)+1)), "")</f>
        <v/>
      </c>
      <c r="I571" s="10">
        <f>IFERROR(IF(INDEX(ERP資料!$O:$O, (MATCH(570, 輔助計算!$E$2:$E$801, 0)+1))="","",INDEX(ERP資料!$O:$O, (MATCH(570, 輔助計算!$E$2:$E$801, 0)+1))), "")</f>
        <v/>
      </c>
      <c r="J571" s="15">
        <f>IFERROR(IF(INDEX(輔助計算!$D:$D,(MATCH(570, 輔助計算!$E$2:$E$801, 0)+1))="","",INDEX(輔助計算!$D:$D,(MATCH(570, 輔助計算!$E$2:$E$801, 0)+1))*INDEX(ERP資料!$O:$O,(MATCH(570, 輔助計算!$E$2:$E$801, 0)+1))), "")</f>
        <v/>
      </c>
      <c r="K571" s="16" t="n"/>
      <c r="L571" s="16" t="n"/>
      <c r="M571" s="17" t="n"/>
    </row>
    <row r="572">
      <c r="A572" s="14">
        <f>IFERROR(IF(INDEX(ERP資料!$B:$B, (MATCH(571, 輔助計算!$E$2:$E$801, 0)+1))="","",INDEX(ERP資料!$B:$B, (MATCH(571, 輔助計算!$E$2:$E$801, 0)+1))), "")</f>
        <v/>
      </c>
      <c r="B572" s="10">
        <f>IFERROR(IF(INDEX(ERP資料!$A:$A, (MATCH(571, 輔助計算!$E$2:$E$801, 0)+1))="","",INDEX(ERP資料!$A:$A, (MATCH(571, 輔助計算!$E$2:$E$801, 0)+1))), "")</f>
        <v/>
      </c>
      <c r="C572" s="10">
        <f>IFERROR(IF(INDEX(ERP資料!$S:$S, (MATCH(571, 輔助計算!$E$2:$E$801, 0)+1))="","",INDEX(ERP資料!$S:$S, (MATCH(571, 輔助計算!$E$2:$E$801, 0)+1))), "")</f>
        <v/>
      </c>
      <c r="D572" s="10">
        <f>IFERROR(IF(INDEX(ERP資料!$E:$E, (MATCH(571, 輔助計算!$E$2:$E$801, 0)+1))="","",TRIM(INDEX(ERP資料!$E:$E, (MATCH(571, 輔助計算!$E$2:$E$801, 0)+1)))), "")</f>
        <v/>
      </c>
      <c r="E572" s="10">
        <f>IFERROR(IF(INDEX(ERP資料!$F:$F, (MATCH(571, 輔助計算!$E$2:$E$801, 0)+1))="","",INDEX(ERP資料!$F:$F, (MATCH(571, 輔助計算!$E$2:$E$801, 0)+1))), "")</f>
        <v/>
      </c>
      <c r="F572" s="10">
        <f>IFERROR(IF(INDEX(ERP資料!$G:$G, (MATCH(571, 輔助計算!$E$2:$E$801, 0)+1))="","",INDEX(ERP資料!$G:$G, (MATCH(571, 輔助計算!$E$2:$E$801, 0)+1))), "")</f>
        <v/>
      </c>
      <c r="G572" s="10">
        <f>IFERROR(IF(INDEX(ERP資料!$H:$H, (MATCH(571, 輔助計算!$E$2:$E$801, 0)+1))="","",INDEX(ERP資料!$H:$H, (MATCH(571, 輔助計算!$E$2:$E$801, 0)+1))), "")</f>
        <v/>
      </c>
      <c r="H572" s="15">
        <f>IFERROR(INDEX(輔助計算!$D:$D, (MATCH(571, 輔助計算!$E$2:$E$801, 0)+1)), "")</f>
        <v/>
      </c>
      <c r="I572" s="10">
        <f>IFERROR(IF(INDEX(ERP資料!$O:$O, (MATCH(571, 輔助計算!$E$2:$E$801, 0)+1))="","",INDEX(ERP資料!$O:$O, (MATCH(571, 輔助計算!$E$2:$E$801, 0)+1))), "")</f>
        <v/>
      </c>
      <c r="J572" s="15">
        <f>IFERROR(IF(INDEX(輔助計算!$D:$D,(MATCH(571, 輔助計算!$E$2:$E$801, 0)+1))="","",INDEX(輔助計算!$D:$D,(MATCH(571, 輔助計算!$E$2:$E$801, 0)+1))*INDEX(ERP資料!$O:$O,(MATCH(571, 輔助計算!$E$2:$E$801, 0)+1))), "")</f>
        <v/>
      </c>
      <c r="K572" s="16" t="n"/>
      <c r="L572" s="16" t="n"/>
      <c r="M572" s="17" t="n"/>
    </row>
    <row r="573">
      <c r="A573" s="14">
        <f>IFERROR(IF(INDEX(ERP資料!$B:$B, (MATCH(572, 輔助計算!$E$2:$E$801, 0)+1))="","",INDEX(ERP資料!$B:$B, (MATCH(572, 輔助計算!$E$2:$E$801, 0)+1))), "")</f>
        <v/>
      </c>
      <c r="B573" s="10">
        <f>IFERROR(IF(INDEX(ERP資料!$A:$A, (MATCH(572, 輔助計算!$E$2:$E$801, 0)+1))="","",INDEX(ERP資料!$A:$A, (MATCH(572, 輔助計算!$E$2:$E$801, 0)+1))), "")</f>
        <v/>
      </c>
      <c r="C573" s="10">
        <f>IFERROR(IF(INDEX(ERP資料!$S:$S, (MATCH(572, 輔助計算!$E$2:$E$801, 0)+1))="","",INDEX(ERP資料!$S:$S, (MATCH(572, 輔助計算!$E$2:$E$801, 0)+1))), "")</f>
        <v/>
      </c>
      <c r="D573" s="10">
        <f>IFERROR(IF(INDEX(ERP資料!$E:$E, (MATCH(572, 輔助計算!$E$2:$E$801, 0)+1))="","",TRIM(INDEX(ERP資料!$E:$E, (MATCH(572, 輔助計算!$E$2:$E$801, 0)+1)))), "")</f>
        <v/>
      </c>
      <c r="E573" s="10">
        <f>IFERROR(IF(INDEX(ERP資料!$F:$F, (MATCH(572, 輔助計算!$E$2:$E$801, 0)+1))="","",INDEX(ERP資料!$F:$F, (MATCH(572, 輔助計算!$E$2:$E$801, 0)+1))), "")</f>
        <v/>
      </c>
      <c r="F573" s="10">
        <f>IFERROR(IF(INDEX(ERP資料!$G:$G, (MATCH(572, 輔助計算!$E$2:$E$801, 0)+1))="","",INDEX(ERP資料!$G:$G, (MATCH(572, 輔助計算!$E$2:$E$801, 0)+1))), "")</f>
        <v/>
      </c>
      <c r="G573" s="10">
        <f>IFERROR(IF(INDEX(ERP資料!$H:$H, (MATCH(572, 輔助計算!$E$2:$E$801, 0)+1))="","",INDEX(ERP資料!$H:$H, (MATCH(572, 輔助計算!$E$2:$E$801, 0)+1))), "")</f>
        <v/>
      </c>
      <c r="H573" s="15">
        <f>IFERROR(INDEX(輔助計算!$D:$D, (MATCH(572, 輔助計算!$E$2:$E$801, 0)+1)), "")</f>
        <v/>
      </c>
      <c r="I573" s="10">
        <f>IFERROR(IF(INDEX(ERP資料!$O:$O, (MATCH(572, 輔助計算!$E$2:$E$801, 0)+1))="","",INDEX(ERP資料!$O:$O, (MATCH(572, 輔助計算!$E$2:$E$801, 0)+1))), "")</f>
        <v/>
      </c>
      <c r="J573" s="15">
        <f>IFERROR(IF(INDEX(輔助計算!$D:$D,(MATCH(572, 輔助計算!$E$2:$E$801, 0)+1))="","",INDEX(輔助計算!$D:$D,(MATCH(572, 輔助計算!$E$2:$E$801, 0)+1))*INDEX(ERP資料!$O:$O,(MATCH(572, 輔助計算!$E$2:$E$801, 0)+1))), "")</f>
        <v/>
      </c>
      <c r="K573" s="16" t="n"/>
      <c r="L573" s="16" t="n"/>
      <c r="M573" s="17" t="n"/>
    </row>
    <row r="574">
      <c r="A574" s="14">
        <f>IFERROR(IF(INDEX(ERP資料!$B:$B, (MATCH(573, 輔助計算!$E$2:$E$801, 0)+1))="","",INDEX(ERP資料!$B:$B, (MATCH(573, 輔助計算!$E$2:$E$801, 0)+1))), "")</f>
        <v/>
      </c>
      <c r="B574" s="10">
        <f>IFERROR(IF(INDEX(ERP資料!$A:$A, (MATCH(573, 輔助計算!$E$2:$E$801, 0)+1))="","",INDEX(ERP資料!$A:$A, (MATCH(573, 輔助計算!$E$2:$E$801, 0)+1))), "")</f>
        <v/>
      </c>
      <c r="C574" s="10">
        <f>IFERROR(IF(INDEX(ERP資料!$S:$S, (MATCH(573, 輔助計算!$E$2:$E$801, 0)+1))="","",INDEX(ERP資料!$S:$S, (MATCH(573, 輔助計算!$E$2:$E$801, 0)+1))), "")</f>
        <v/>
      </c>
      <c r="D574" s="10">
        <f>IFERROR(IF(INDEX(ERP資料!$E:$E, (MATCH(573, 輔助計算!$E$2:$E$801, 0)+1))="","",TRIM(INDEX(ERP資料!$E:$E, (MATCH(573, 輔助計算!$E$2:$E$801, 0)+1)))), "")</f>
        <v/>
      </c>
      <c r="E574" s="10">
        <f>IFERROR(IF(INDEX(ERP資料!$F:$F, (MATCH(573, 輔助計算!$E$2:$E$801, 0)+1))="","",INDEX(ERP資料!$F:$F, (MATCH(573, 輔助計算!$E$2:$E$801, 0)+1))), "")</f>
        <v/>
      </c>
      <c r="F574" s="10">
        <f>IFERROR(IF(INDEX(ERP資料!$G:$G, (MATCH(573, 輔助計算!$E$2:$E$801, 0)+1))="","",INDEX(ERP資料!$G:$G, (MATCH(573, 輔助計算!$E$2:$E$801, 0)+1))), "")</f>
        <v/>
      </c>
      <c r="G574" s="10">
        <f>IFERROR(IF(INDEX(ERP資料!$H:$H, (MATCH(573, 輔助計算!$E$2:$E$801, 0)+1))="","",INDEX(ERP資料!$H:$H, (MATCH(573, 輔助計算!$E$2:$E$801, 0)+1))), "")</f>
        <v/>
      </c>
      <c r="H574" s="15">
        <f>IFERROR(INDEX(輔助計算!$D:$D, (MATCH(573, 輔助計算!$E$2:$E$801, 0)+1)), "")</f>
        <v/>
      </c>
      <c r="I574" s="10">
        <f>IFERROR(IF(INDEX(ERP資料!$O:$O, (MATCH(573, 輔助計算!$E$2:$E$801, 0)+1))="","",INDEX(ERP資料!$O:$O, (MATCH(573, 輔助計算!$E$2:$E$801, 0)+1))), "")</f>
        <v/>
      </c>
      <c r="J574" s="15">
        <f>IFERROR(IF(INDEX(輔助計算!$D:$D,(MATCH(573, 輔助計算!$E$2:$E$801, 0)+1))="","",INDEX(輔助計算!$D:$D,(MATCH(573, 輔助計算!$E$2:$E$801, 0)+1))*INDEX(ERP資料!$O:$O,(MATCH(573, 輔助計算!$E$2:$E$801, 0)+1))), "")</f>
        <v/>
      </c>
      <c r="K574" s="16" t="n"/>
      <c r="L574" s="16" t="n"/>
      <c r="M574" s="17" t="n"/>
    </row>
    <row r="575">
      <c r="A575" s="14">
        <f>IFERROR(IF(INDEX(ERP資料!$B:$B, (MATCH(574, 輔助計算!$E$2:$E$801, 0)+1))="","",INDEX(ERP資料!$B:$B, (MATCH(574, 輔助計算!$E$2:$E$801, 0)+1))), "")</f>
        <v/>
      </c>
      <c r="B575" s="10">
        <f>IFERROR(IF(INDEX(ERP資料!$A:$A, (MATCH(574, 輔助計算!$E$2:$E$801, 0)+1))="","",INDEX(ERP資料!$A:$A, (MATCH(574, 輔助計算!$E$2:$E$801, 0)+1))), "")</f>
        <v/>
      </c>
      <c r="C575" s="10">
        <f>IFERROR(IF(INDEX(ERP資料!$S:$S, (MATCH(574, 輔助計算!$E$2:$E$801, 0)+1))="","",INDEX(ERP資料!$S:$S, (MATCH(574, 輔助計算!$E$2:$E$801, 0)+1))), "")</f>
        <v/>
      </c>
      <c r="D575" s="10">
        <f>IFERROR(IF(INDEX(ERP資料!$E:$E, (MATCH(574, 輔助計算!$E$2:$E$801, 0)+1))="","",TRIM(INDEX(ERP資料!$E:$E, (MATCH(574, 輔助計算!$E$2:$E$801, 0)+1)))), "")</f>
        <v/>
      </c>
      <c r="E575" s="10">
        <f>IFERROR(IF(INDEX(ERP資料!$F:$F, (MATCH(574, 輔助計算!$E$2:$E$801, 0)+1))="","",INDEX(ERP資料!$F:$F, (MATCH(574, 輔助計算!$E$2:$E$801, 0)+1))), "")</f>
        <v/>
      </c>
      <c r="F575" s="10">
        <f>IFERROR(IF(INDEX(ERP資料!$G:$G, (MATCH(574, 輔助計算!$E$2:$E$801, 0)+1))="","",INDEX(ERP資料!$G:$G, (MATCH(574, 輔助計算!$E$2:$E$801, 0)+1))), "")</f>
        <v/>
      </c>
      <c r="G575" s="10">
        <f>IFERROR(IF(INDEX(ERP資料!$H:$H, (MATCH(574, 輔助計算!$E$2:$E$801, 0)+1))="","",INDEX(ERP資料!$H:$H, (MATCH(574, 輔助計算!$E$2:$E$801, 0)+1))), "")</f>
        <v/>
      </c>
      <c r="H575" s="15">
        <f>IFERROR(INDEX(輔助計算!$D:$D, (MATCH(574, 輔助計算!$E$2:$E$801, 0)+1)), "")</f>
        <v/>
      </c>
      <c r="I575" s="10">
        <f>IFERROR(IF(INDEX(ERP資料!$O:$O, (MATCH(574, 輔助計算!$E$2:$E$801, 0)+1))="","",INDEX(ERP資料!$O:$O, (MATCH(574, 輔助計算!$E$2:$E$801, 0)+1))), "")</f>
        <v/>
      </c>
      <c r="J575" s="15">
        <f>IFERROR(IF(INDEX(輔助計算!$D:$D,(MATCH(574, 輔助計算!$E$2:$E$801, 0)+1))="","",INDEX(輔助計算!$D:$D,(MATCH(574, 輔助計算!$E$2:$E$801, 0)+1))*INDEX(ERP資料!$O:$O,(MATCH(574, 輔助計算!$E$2:$E$801, 0)+1))), "")</f>
        <v/>
      </c>
      <c r="K575" s="16" t="n"/>
      <c r="L575" s="16" t="n"/>
      <c r="M575" s="17" t="n"/>
    </row>
    <row r="576">
      <c r="A576" s="14">
        <f>IFERROR(IF(INDEX(ERP資料!$B:$B, (MATCH(575, 輔助計算!$E$2:$E$801, 0)+1))="","",INDEX(ERP資料!$B:$B, (MATCH(575, 輔助計算!$E$2:$E$801, 0)+1))), "")</f>
        <v/>
      </c>
      <c r="B576" s="10">
        <f>IFERROR(IF(INDEX(ERP資料!$A:$A, (MATCH(575, 輔助計算!$E$2:$E$801, 0)+1))="","",INDEX(ERP資料!$A:$A, (MATCH(575, 輔助計算!$E$2:$E$801, 0)+1))), "")</f>
        <v/>
      </c>
      <c r="C576" s="10">
        <f>IFERROR(IF(INDEX(ERP資料!$S:$S, (MATCH(575, 輔助計算!$E$2:$E$801, 0)+1))="","",INDEX(ERP資料!$S:$S, (MATCH(575, 輔助計算!$E$2:$E$801, 0)+1))), "")</f>
        <v/>
      </c>
      <c r="D576" s="10">
        <f>IFERROR(IF(INDEX(ERP資料!$E:$E, (MATCH(575, 輔助計算!$E$2:$E$801, 0)+1))="","",TRIM(INDEX(ERP資料!$E:$E, (MATCH(575, 輔助計算!$E$2:$E$801, 0)+1)))), "")</f>
        <v/>
      </c>
      <c r="E576" s="10">
        <f>IFERROR(IF(INDEX(ERP資料!$F:$F, (MATCH(575, 輔助計算!$E$2:$E$801, 0)+1))="","",INDEX(ERP資料!$F:$F, (MATCH(575, 輔助計算!$E$2:$E$801, 0)+1))), "")</f>
        <v/>
      </c>
      <c r="F576" s="10">
        <f>IFERROR(IF(INDEX(ERP資料!$G:$G, (MATCH(575, 輔助計算!$E$2:$E$801, 0)+1))="","",INDEX(ERP資料!$G:$G, (MATCH(575, 輔助計算!$E$2:$E$801, 0)+1))), "")</f>
        <v/>
      </c>
      <c r="G576" s="10">
        <f>IFERROR(IF(INDEX(ERP資料!$H:$H, (MATCH(575, 輔助計算!$E$2:$E$801, 0)+1))="","",INDEX(ERP資料!$H:$H, (MATCH(575, 輔助計算!$E$2:$E$801, 0)+1))), "")</f>
        <v/>
      </c>
      <c r="H576" s="15">
        <f>IFERROR(INDEX(輔助計算!$D:$D, (MATCH(575, 輔助計算!$E$2:$E$801, 0)+1)), "")</f>
        <v/>
      </c>
      <c r="I576" s="10">
        <f>IFERROR(IF(INDEX(ERP資料!$O:$O, (MATCH(575, 輔助計算!$E$2:$E$801, 0)+1))="","",INDEX(ERP資料!$O:$O, (MATCH(575, 輔助計算!$E$2:$E$801, 0)+1))), "")</f>
        <v/>
      </c>
      <c r="J576" s="15">
        <f>IFERROR(IF(INDEX(輔助計算!$D:$D,(MATCH(575, 輔助計算!$E$2:$E$801, 0)+1))="","",INDEX(輔助計算!$D:$D,(MATCH(575, 輔助計算!$E$2:$E$801, 0)+1))*INDEX(ERP資料!$O:$O,(MATCH(575, 輔助計算!$E$2:$E$801, 0)+1))), "")</f>
        <v/>
      </c>
      <c r="K576" s="16" t="n"/>
      <c r="L576" s="16" t="n"/>
      <c r="M576" s="17" t="n"/>
    </row>
    <row r="577">
      <c r="A577" s="14">
        <f>IFERROR(IF(INDEX(ERP資料!$B:$B, (MATCH(576, 輔助計算!$E$2:$E$801, 0)+1))="","",INDEX(ERP資料!$B:$B, (MATCH(576, 輔助計算!$E$2:$E$801, 0)+1))), "")</f>
        <v/>
      </c>
      <c r="B577" s="10">
        <f>IFERROR(IF(INDEX(ERP資料!$A:$A, (MATCH(576, 輔助計算!$E$2:$E$801, 0)+1))="","",INDEX(ERP資料!$A:$A, (MATCH(576, 輔助計算!$E$2:$E$801, 0)+1))), "")</f>
        <v/>
      </c>
      <c r="C577" s="10">
        <f>IFERROR(IF(INDEX(ERP資料!$S:$S, (MATCH(576, 輔助計算!$E$2:$E$801, 0)+1))="","",INDEX(ERP資料!$S:$S, (MATCH(576, 輔助計算!$E$2:$E$801, 0)+1))), "")</f>
        <v/>
      </c>
      <c r="D577" s="10">
        <f>IFERROR(IF(INDEX(ERP資料!$E:$E, (MATCH(576, 輔助計算!$E$2:$E$801, 0)+1))="","",TRIM(INDEX(ERP資料!$E:$E, (MATCH(576, 輔助計算!$E$2:$E$801, 0)+1)))), "")</f>
        <v/>
      </c>
      <c r="E577" s="10">
        <f>IFERROR(IF(INDEX(ERP資料!$F:$F, (MATCH(576, 輔助計算!$E$2:$E$801, 0)+1))="","",INDEX(ERP資料!$F:$F, (MATCH(576, 輔助計算!$E$2:$E$801, 0)+1))), "")</f>
        <v/>
      </c>
      <c r="F577" s="10">
        <f>IFERROR(IF(INDEX(ERP資料!$G:$G, (MATCH(576, 輔助計算!$E$2:$E$801, 0)+1))="","",INDEX(ERP資料!$G:$G, (MATCH(576, 輔助計算!$E$2:$E$801, 0)+1))), "")</f>
        <v/>
      </c>
      <c r="G577" s="10">
        <f>IFERROR(IF(INDEX(ERP資料!$H:$H, (MATCH(576, 輔助計算!$E$2:$E$801, 0)+1))="","",INDEX(ERP資料!$H:$H, (MATCH(576, 輔助計算!$E$2:$E$801, 0)+1))), "")</f>
        <v/>
      </c>
      <c r="H577" s="15">
        <f>IFERROR(INDEX(輔助計算!$D:$D, (MATCH(576, 輔助計算!$E$2:$E$801, 0)+1)), "")</f>
        <v/>
      </c>
      <c r="I577" s="10">
        <f>IFERROR(IF(INDEX(ERP資料!$O:$O, (MATCH(576, 輔助計算!$E$2:$E$801, 0)+1))="","",INDEX(ERP資料!$O:$O, (MATCH(576, 輔助計算!$E$2:$E$801, 0)+1))), "")</f>
        <v/>
      </c>
      <c r="J577" s="15">
        <f>IFERROR(IF(INDEX(輔助計算!$D:$D,(MATCH(576, 輔助計算!$E$2:$E$801, 0)+1))="","",INDEX(輔助計算!$D:$D,(MATCH(576, 輔助計算!$E$2:$E$801, 0)+1))*INDEX(ERP資料!$O:$O,(MATCH(576, 輔助計算!$E$2:$E$801, 0)+1))), "")</f>
        <v/>
      </c>
      <c r="K577" s="16" t="n"/>
      <c r="L577" s="16" t="n"/>
      <c r="M577" s="17" t="n"/>
    </row>
    <row r="578">
      <c r="A578" s="14">
        <f>IFERROR(IF(INDEX(ERP資料!$B:$B, (MATCH(577, 輔助計算!$E$2:$E$801, 0)+1))="","",INDEX(ERP資料!$B:$B, (MATCH(577, 輔助計算!$E$2:$E$801, 0)+1))), "")</f>
        <v/>
      </c>
      <c r="B578" s="10">
        <f>IFERROR(IF(INDEX(ERP資料!$A:$A, (MATCH(577, 輔助計算!$E$2:$E$801, 0)+1))="","",INDEX(ERP資料!$A:$A, (MATCH(577, 輔助計算!$E$2:$E$801, 0)+1))), "")</f>
        <v/>
      </c>
      <c r="C578" s="10">
        <f>IFERROR(IF(INDEX(ERP資料!$S:$S, (MATCH(577, 輔助計算!$E$2:$E$801, 0)+1))="","",INDEX(ERP資料!$S:$S, (MATCH(577, 輔助計算!$E$2:$E$801, 0)+1))), "")</f>
        <v/>
      </c>
      <c r="D578" s="10">
        <f>IFERROR(IF(INDEX(ERP資料!$E:$E, (MATCH(577, 輔助計算!$E$2:$E$801, 0)+1))="","",TRIM(INDEX(ERP資料!$E:$E, (MATCH(577, 輔助計算!$E$2:$E$801, 0)+1)))), "")</f>
        <v/>
      </c>
      <c r="E578" s="10">
        <f>IFERROR(IF(INDEX(ERP資料!$F:$F, (MATCH(577, 輔助計算!$E$2:$E$801, 0)+1))="","",INDEX(ERP資料!$F:$F, (MATCH(577, 輔助計算!$E$2:$E$801, 0)+1))), "")</f>
        <v/>
      </c>
      <c r="F578" s="10">
        <f>IFERROR(IF(INDEX(ERP資料!$G:$G, (MATCH(577, 輔助計算!$E$2:$E$801, 0)+1))="","",INDEX(ERP資料!$G:$G, (MATCH(577, 輔助計算!$E$2:$E$801, 0)+1))), "")</f>
        <v/>
      </c>
      <c r="G578" s="10">
        <f>IFERROR(IF(INDEX(ERP資料!$H:$H, (MATCH(577, 輔助計算!$E$2:$E$801, 0)+1))="","",INDEX(ERP資料!$H:$H, (MATCH(577, 輔助計算!$E$2:$E$801, 0)+1))), "")</f>
        <v/>
      </c>
      <c r="H578" s="15">
        <f>IFERROR(INDEX(輔助計算!$D:$D, (MATCH(577, 輔助計算!$E$2:$E$801, 0)+1)), "")</f>
        <v/>
      </c>
      <c r="I578" s="10">
        <f>IFERROR(IF(INDEX(ERP資料!$O:$O, (MATCH(577, 輔助計算!$E$2:$E$801, 0)+1))="","",INDEX(ERP資料!$O:$O, (MATCH(577, 輔助計算!$E$2:$E$801, 0)+1))), "")</f>
        <v/>
      </c>
      <c r="J578" s="15">
        <f>IFERROR(IF(INDEX(輔助計算!$D:$D,(MATCH(577, 輔助計算!$E$2:$E$801, 0)+1))="","",INDEX(輔助計算!$D:$D,(MATCH(577, 輔助計算!$E$2:$E$801, 0)+1))*INDEX(ERP資料!$O:$O,(MATCH(577, 輔助計算!$E$2:$E$801, 0)+1))), "")</f>
        <v/>
      </c>
      <c r="K578" s="16" t="n"/>
      <c r="L578" s="16" t="n"/>
      <c r="M578" s="17" t="n"/>
    </row>
    <row r="579">
      <c r="A579" s="14">
        <f>IFERROR(IF(INDEX(ERP資料!$B:$B, (MATCH(578, 輔助計算!$E$2:$E$801, 0)+1))="","",INDEX(ERP資料!$B:$B, (MATCH(578, 輔助計算!$E$2:$E$801, 0)+1))), "")</f>
        <v/>
      </c>
      <c r="B579" s="10">
        <f>IFERROR(IF(INDEX(ERP資料!$A:$A, (MATCH(578, 輔助計算!$E$2:$E$801, 0)+1))="","",INDEX(ERP資料!$A:$A, (MATCH(578, 輔助計算!$E$2:$E$801, 0)+1))), "")</f>
        <v/>
      </c>
      <c r="C579" s="10">
        <f>IFERROR(IF(INDEX(ERP資料!$S:$S, (MATCH(578, 輔助計算!$E$2:$E$801, 0)+1))="","",INDEX(ERP資料!$S:$S, (MATCH(578, 輔助計算!$E$2:$E$801, 0)+1))), "")</f>
        <v/>
      </c>
      <c r="D579" s="10">
        <f>IFERROR(IF(INDEX(ERP資料!$E:$E, (MATCH(578, 輔助計算!$E$2:$E$801, 0)+1))="","",TRIM(INDEX(ERP資料!$E:$E, (MATCH(578, 輔助計算!$E$2:$E$801, 0)+1)))), "")</f>
        <v/>
      </c>
      <c r="E579" s="10">
        <f>IFERROR(IF(INDEX(ERP資料!$F:$F, (MATCH(578, 輔助計算!$E$2:$E$801, 0)+1))="","",INDEX(ERP資料!$F:$F, (MATCH(578, 輔助計算!$E$2:$E$801, 0)+1))), "")</f>
        <v/>
      </c>
      <c r="F579" s="10">
        <f>IFERROR(IF(INDEX(ERP資料!$G:$G, (MATCH(578, 輔助計算!$E$2:$E$801, 0)+1))="","",INDEX(ERP資料!$G:$G, (MATCH(578, 輔助計算!$E$2:$E$801, 0)+1))), "")</f>
        <v/>
      </c>
      <c r="G579" s="10">
        <f>IFERROR(IF(INDEX(ERP資料!$H:$H, (MATCH(578, 輔助計算!$E$2:$E$801, 0)+1))="","",INDEX(ERP資料!$H:$H, (MATCH(578, 輔助計算!$E$2:$E$801, 0)+1))), "")</f>
        <v/>
      </c>
      <c r="H579" s="15">
        <f>IFERROR(INDEX(輔助計算!$D:$D, (MATCH(578, 輔助計算!$E$2:$E$801, 0)+1)), "")</f>
        <v/>
      </c>
      <c r="I579" s="10">
        <f>IFERROR(IF(INDEX(ERP資料!$O:$O, (MATCH(578, 輔助計算!$E$2:$E$801, 0)+1))="","",INDEX(ERP資料!$O:$O, (MATCH(578, 輔助計算!$E$2:$E$801, 0)+1))), "")</f>
        <v/>
      </c>
      <c r="J579" s="15">
        <f>IFERROR(IF(INDEX(輔助計算!$D:$D,(MATCH(578, 輔助計算!$E$2:$E$801, 0)+1))="","",INDEX(輔助計算!$D:$D,(MATCH(578, 輔助計算!$E$2:$E$801, 0)+1))*INDEX(ERP資料!$O:$O,(MATCH(578, 輔助計算!$E$2:$E$801, 0)+1))), "")</f>
        <v/>
      </c>
      <c r="K579" s="16" t="n"/>
      <c r="L579" s="16" t="n"/>
      <c r="M579" s="17" t="n"/>
    </row>
    <row r="580">
      <c r="A580" s="14">
        <f>IFERROR(IF(INDEX(ERP資料!$B:$B, (MATCH(579, 輔助計算!$E$2:$E$801, 0)+1))="","",INDEX(ERP資料!$B:$B, (MATCH(579, 輔助計算!$E$2:$E$801, 0)+1))), "")</f>
        <v/>
      </c>
      <c r="B580" s="10">
        <f>IFERROR(IF(INDEX(ERP資料!$A:$A, (MATCH(579, 輔助計算!$E$2:$E$801, 0)+1))="","",INDEX(ERP資料!$A:$A, (MATCH(579, 輔助計算!$E$2:$E$801, 0)+1))), "")</f>
        <v/>
      </c>
      <c r="C580" s="10">
        <f>IFERROR(IF(INDEX(ERP資料!$S:$S, (MATCH(579, 輔助計算!$E$2:$E$801, 0)+1))="","",INDEX(ERP資料!$S:$S, (MATCH(579, 輔助計算!$E$2:$E$801, 0)+1))), "")</f>
        <v/>
      </c>
      <c r="D580" s="10">
        <f>IFERROR(IF(INDEX(ERP資料!$E:$E, (MATCH(579, 輔助計算!$E$2:$E$801, 0)+1))="","",TRIM(INDEX(ERP資料!$E:$E, (MATCH(579, 輔助計算!$E$2:$E$801, 0)+1)))), "")</f>
        <v/>
      </c>
      <c r="E580" s="10">
        <f>IFERROR(IF(INDEX(ERP資料!$F:$F, (MATCH(579, 輔助計算!$E$2:$E$801, 0)+1))="","",INDEX(ERP資料!$F:$F, (MATCH(579, 輔助計算!$E$2:$E$801, 0)+1))), "")</f>
        <v/>
      </c>
      <c r="F580" s="10">
        <f>IFERROR(IF(INDEX(ERP資料!$G:$G, (MATCH(579, 輔助計算!$E$2:$E$801, 0)+1))="","",INDEX(ERP資料!$G:$G, (MATCH(579, 輔助計算!$E$2:$E$801, 0)+1))), "")</f>
        <v/>
      </c>
      <c r="G580" s="10">
        <f>IFERROR(IF(INDEX(ERP資料!$H:$H, (MATCH(579, 輔助計算!$E$2:$E$801, 0)+1))="","",INDEX(ERP資料!$H:$H, (MATCH(579, 輔助計算!$E$2:$E$801, 0)+1))), "")</f>
        <v/>
      </c>
      <c r="H580" s="15">
        <f>IFERROR(INDEX(輔助計算!$D:$D, (MATCH(579, 輔助計算!$E$2:$E$801, 0)+1)), "")</f>
        <v/>
      </c>
      <c r="I580" s="10">
        <f>IFERROR(IF(INDEX(ERP資料!$O:$O, (MATCH(579, 輔助計算!$E$2:$E$801, 0)+1))="","",INDEX(ERP資料!$O:$O, (MATCH(579, 輔助計算!$E$2:$E$801, 0)+1))), "")</f>
        <v/>
      </c>
      <c r="J580" s="15">
        <f>IFERROR(IF(INDEX(輔助計算!$D:$D,(MATCH(579, 輔助計算!$E$2:$E$801, 0)+1))="","",INDEX(輔助計算!$D:$D,(MATCH(579, 輔助計算!$E$2:$E$801, 0)+1))*INDEX(ERP資料!$O:$O,(MATCH(579, 輔助計算!$E$2:$E$801, 0)+1))), "")</f>
        <v/>
      </c>
      <c r="K580" s="16" t="n"/>
      <c r="L580" s="16" t="n"/>
      <c r="M580" s="17" t="n"/>
    </row>
    <row r="581">
      <c r="A581" s="14">
        <f>IFERROR(IF(INDEX(ERP資料!$B:$B, (MATCH(580, 輔助計算!$E$2:$E$801, 0)+1))="","",INDEX(ERP資料!$B:$B, (MATCH(580, 輔助計算!$E$2:$E$801, 0)+1))), "")</f>
        <v/>
      </c>
      <c r="B581" s="10">
        <f>IFERROR(IF(INDEX(ERP資料!$A:$A, (MATCH(580, 輔助計算!$E$2:$E$801, 0)+1))="","",INDEX(ERP資料!$A:$A, (MATCH(580, 輔助計算!$E$2:$E$801, 0)+1))), "")</f>
        <v/>
      </c>
      <c r="C581" s="10">
        <f>IFERROR(IF(INDEX(ERP資料!$S:$S, (MATCH(580, 輔助計算!$E$2:$E$801, 0)+1))="","",INDEX(ERP資料!$S:$S, (MATCH(580, 輔助計算!$E$2:$E$801, 0)+1))), "")</f>
        <v/>
      </c>
      <c r="D581" s="10">
        <f>IFERROR(IF(INDEX(ERP資料!$E:$E, (MATCH(580, 輔助計算!$E$2:$E$801, 0)+1))="","",TRIM(INDEX(ERP資料!$E:$E, (MATCH(580, 輔助計算!$E$2:$E$801, 0)+1)))), "")</f>
        <v/>
      </c>
      <c r="E581" s="10">
        <f>IFERROR(IF(INDEX(ERP資料!$F:$F, (MATCH(580, 輔助計算!$E$2:$E$801, 0)+1))="","",INDEX(ERP資料!$F:$F, (MATCH(580, 輔助計算!$E$2:$E$801, 0)+1))), "")</f>
        <v/>
      </c>
      <c r="F581" s="10">
        <f>IFERROR(IF(INDEX(ERP資料!$G:$G, (MATCH(580, 輔助計算!$E$2:$E$801, 0)+1))="","",INDEX(ERP資料!$G:$G, (MATCH(580, 輔助計算!$E$2:$E$801, 0)+1))), "")</f>
        <v/>
      </c>
      <c r="G581" s="10">
        <f>IFERROR(IF(INDEX(ERP資料!$H:$H, (MATCH(580, 輔助計算!$E$2:$E$801, 0)+1))="","",INDEX(ERP資料!$H:$H, (MATCH(580, 輔助計算!$E$2:$E$801, 0)+1))), "")</f>
        <v/>
      </c>
      <c r="H581" s="15">
        <f>IFERROR(INDEX(輔助計算!$D:$D, (MATCH(580, 輔助計算!$E$2:$E$801, 0)+1)), "")</f>
        <v/>
      </c>
      <c r="I581" s="10">
        <f>IFERROR(IF(INDEX(ERP資料!$O:$O, (MATCH(580, 輔助計算!$E$2:$E$801, 0)+1))="","",INDEX(ERP資料!$O:$O, (MATCH(580, 輔助計算!$E$2:$E$801, 0)+1))), "")</f>
        <v/>
      </c>
      <c r="J581" s="15">
        <f>IFERROR(IF(INDEX(輔助計算!$D:$D,(MATCH(580, 輔助計算!$E$2:$E$801, 0)+1))="","",INDEX(輔助計算!$D:$D,(MATCH(580, 輔助計算!$E$2:$E$801, 0)+1))*INDEX(ERP資料!$O:$O,(MATCH(580, 輔助計算!$E$2:$E$801, 0)+1))), "")</f>
        <v/>
      </c>
      <c r="K581" s="16" t="n"/>
      <c r="L581" s="16" t="n"/>
      <c r="M581" s="17" t="n"/>
    </row>
    <row r="582">
      <c r="A582" s="14">
        <f>IFERROR(IF(INDEX(ERP資料!$B:$B, (MATCH(581, 輔助計算!$E$2:$E$801, 0)+1))="","",INDEX(ERP資料!$B:$B, (MATCH(581, 輔助計算!$E$2:$E$801, 0)+1))), "")</f>
        <v/>
      </c>
      <c r="B582" s="10">
        <f>IFERROR(IF(INDEX(ERP資料!$A:$A, (MATCH(581, 輔助計算!$E$2:$E$801, 0)+1))="","",INDEX(ERP資料!$A:$A, (MATCH(581, 輔助計算!$E$2:$E$801, 0)+1))), "")</f>
        <v/>
      </c>
      <c r="C582" s="10">
        <f>IFERROR(IF(INDEX(ERP資料!$S:$S, (MATCH(581, 輔助計算!$E$2:$E$801, 0)+1))="","",INDEX(ERP資料!$S:$S, (MATCH(581, 輔助計算!$E$2:$E$801, 0)+1))), "")</f>
        <v/>
      </c>
      <c r="D582" s="10">
        <f>IFERROR(IF(INDEX(ERP資料!$E:$E, (MATCH(581, 輔助計算!$E$2:$E$801, 0)+1))="","",TRIM(INDEX(ERP資料!$E:$E, (MATCH(581, 輔助計算!$E$2:$E$801, 0)+1)))), "")</f>
        <v/>
      </c>
      <c r="E582" s="10">
        <f>IFERROR(IF(INDEX(ERP資料!$F:$F, (MATCH(581, 輔助計算!$E$2:$E$801, 0)+1))="","",INDEX(ERP資料!$F:$F, (MATCH(581, 輔助計算!$E$2:$E$801, 0)+1))), "")</f>
        <v/>
      </c>
      <c r="F582" s="10">
        <f>IFERROR(IF(INDEX(ERP資料!$G:$G, (MATCH(581, 輔助計算!$E$2:$E$801, 0)+1))="","",INDEX(ERP資料!$G:$G, (MATCH(581, 輔助計算!$E$2:$E$801, 0)+1))), "")</f>
        <v/>
      </c>
      <c r="G582" s="10">
        <f>IFERROR(IF(INDEX(ERP資料!$H:$H, (MATCH(581, 輔助計算!$E$2:$E$801, 0)+1))="","",INDEX(ERP資料!$H:$H, (MATCH(581, 輔助計算!$E$2:$E$801, 0)+1))), "")</f>
        <v/>
      </c>
      <c r="H582" s="15">
        <f>IFERROR(INDEX(輔助計算!$D:$D, (MATCH(581, 輔助計算!$E$2:$E$801, 0)+1)), "")</f>
        <v/>
      </c>
      <c r="I582" s="10">
        <f>IFERROR(IF(INDEX(ERP資料!$O:$O, (MATCH(581, 輔助計算!$E$2:$E$801, 0)+1))="","",INDEX(ERP資料!$O:$O, (MATCH(581, 輔助計算!$E$2:$E$801, 0)+1))), "")</f>
        <v/>
      </c>
      <c r="J582" s="15">
        <f>IFERROR(IF(INDEX(輔助計算!$D:$D,(MATCH(581, 輔助計算!$E$2:$E$801, 0)+1))="","",INDEX(輔助計算!$D:$D,(MATCH(581, 輔助計算!$E$2:$E$801, 0)+1))*INDEX(ERP資料!$O:$O,(MATCH(581, 輔助計算!$E$2:$E$801, 0)+1))), "")</f>
        <v/>
      </c>
      <c r="K582" s="16" t="n"/>
      <c r="L582" s="16" t="n"/>
      <c r="M582" s="17" t="n"/>
    </row>
    <row r="583">
      <c r="A583" s="14">
        <f>IFERROR(IF(INDEX(ERP資料!$B:$B, (MATCH(582, 輔助計算!$E$2:$E$801, 0)+1))="","",INDEX(ERP資料!$B:$B, (MATCH(582, 輔助計算!$E$2:$E$801, 0)+1))), "")</f>
        <v/>
      </c>
      <c r="B583" s="10">
        <f>IFERROR(IF(INDEX(ERP資料!$A:$A, (MATCH(582, 輔助計算!$E$2:$E$801, 0)+1))="","",INDEX(ERP資料!$A:$A, (MATCH(582, 輔助計算!$E$2:$E$801, 0)+1))), "")</f>
        <v/>
      </c>
      <c r="C583" s="10">
        <f>IFERROR(IF(INDEX(ERP資料!$S:$S, (MATCH(582, 輔助計算!$E$2:$E$801, 0)+1))="","",INDEX(ERP資料!$S:$S, (MATCH(582, 輔助計算!$E$2:$E$801, 0)+1))), "")</f>
        <v/>
      </c>
      <c r="D583" s="10">
        <f>IFERROR(IF(INDEX(ERP資料!$E:$E, (MATCH(582, 輔助計算!$E$2:$E$801, 0)+1))="","",TRIM(INDEX(ERP資料!$E:$E, (MATCH(582, 輔助計算!$E$2:$E$801, 0)+1)))), "")</f>
        <v/>
      </c>
      <c r="E583" s="10">
        <f>IFERROR(IF(INDEX(ERP資料!$F:$F, (MATCH(582, 輔助計算!$E$2:$E$801, 0)+1))="","",INDEX(ERP資料!$F:$F, (MATCH(582, 輔助計算!$E$2:$E$801, 0)+1))), "")</f>
        <v/>
      </c>
      <c r="F583" s="10">
        <f>IFERROR(IF(INDEX(ERP資料!$G:$G, (MATCH(582, 輔助計算!$E$2:$E$801, 0)+1))="","",INDEX(ERP資料!$G:$G, (MATCH(582, 輔助計算!$E$2:$E$801, 0)+1))), "")</f>
        <v/>
      </c>
      <c r="G583" s="10">
        <f>IFERROR(IF(INDEX(ERP資料!$H:$H, (MATCH(582, 輔助計算!$E$2:$E$801, 0)+1))="","",INDEX(ERP資料!$H:$H, (MATCH(582, 輔助計算!$E$2:$E$801, 0)+1))), "")</f>
        <v/>
      </c>
      <c r="H583" s="15">
        <f>IFERROR(INDEX(輔助計算!$D:$D, (MATCH(582, 輔助計算!$E$2:$E$801, 0)+1)), "")</f>
        <v/>
      </c>
      <c r="I583" s="10">
        <f>IFERROR(IF(INDEX(ERP資料!$O:$O, (MATCH(582, 輔助計算!$E$2:$E$801, 0)+1))="","",INDEX(ERP資料!$O:$O, (MATCH(582, 輔助計算!$E$2:$E$801, 0)+1))), "")</f>
        <v/>
      </c>
      <c r="J583" s="15">
        <f>IFERROR(IF(INDEX(輔助計算!$D:$D,(MATCH(582, 輔助計算!$E$2:$E$801, 0)+1))="","",INDEX(輔助計算!$D:$D,(MATCH(582, 輔助計算!$E$2:$E$801, 0)+1))*INDEX(ERP資料!$O:$O,(MATCH(582, 輔助計算!$E$2:$E$801, 0)+1))), "")</f>
        <v/>
      </c>
      <c r="K583" s="16" t="n"/>
      <c r="L583" s="16" t="n"/>
      <c r="M583" s="17" t="n"/>
    </row>
    <row r="584">
      <c r="A584" s="14">
        <f>IFERROR(IF(INDEX(ERP資料!$B:$B, (MATCH(583, 輔助計算!$E$2:$E$801, 0)+1))="","",INDEX(ERP資料!$B:$B, (MATCH(583, 輔助計算!$E$2:$E$801, 0)+1))), "")</f>
        <v/>
      </c>
      <c r="B584" s="10">
        <f>IFERROR(IF(INDEX(ERP資料!$A:$A, (MATCH(583, 輔助計算!$E$2:$E$801, 0)+1))="","",INDEX(ERP資料!$A:$A, (MATCH(583, 輔助計算!$E$2:$E$801, 0)+1))), "")</f>
        <v/>
      </c>
      <c r="C584" s="10">
        <f>IFERROR(IF(INDEX(ERP資料!$S:$S, (MATCH(583, 輔助計算!$E$2:$E$801, 0)+1))="","",INDEX(ERP資料!$S:$S, (MATCH(583, 輔助計算!$E$2:$E$801, 0)+1))), "")</f>
        <v/>
      </c>
      <c r="D584" s="10">
        <f>IFERROR(IF(INDEX(ERP資料!$E:$E, (MATCH(583, 輔助計算!$E$2:$E$801, 0)+1))="","",TRIM(INDEX(ERP資料!$E:$E, (MATCH(583, 輔助計算!$E$2:$E$801, 0)+1)))), "")</f>
        <v/>
      </c>
      <c r="E584" s="10">
        <f>IFERROR(IF(INDEX(ERP資料!$F:$F, (MATCH(583, 輔助計算!$E$2:$E$801, 0)+1))="","",INDEX(ERP資料!$F:$F, (MATCH(583, 輔助計算!$E$2:$E$801, 0)+1))), "")</f>
        <v/>
      </c>
      <c r="F584" s="10">
        <f>IFERROR(IF(INDEX(ERP資料!$G:$G, (MATCH(583, 輔助計算!$E$2:$E$801, 0)+1))="","",INDEX(ERP資料!$G:$G, (MATCH(583, 輔助計算!$E$2:$E$801, 0)+1))), "")</f>
        <v/>
      </c>
      <c r="G584" s="10">
        <f>IFERROR(IF(INDEX(ERP資料!$H:$H, (MATCH(583, 輔助計算!$E$2:$E$801, 0)+1))="","",INDEX(ERP資料!$H:$H, (MATCH(583, 輔助計算!$E$2:$E$801, 0)+1))), "")</f>
        <v/>
      </c>
      <c r="H584" s="15">
        <f>IFERROR(INDEX(輔助計算!$D:$D, (MATCH(583, 輔助計算!$E$2:$E$801, 0)+1)), "")</f>
        <v/>
      </c>
      <c r="I584" s="10">
        <f>IFERROR(IF(INDEX(ERP資料!$O:$O, (MATCH(583, 輔助計算!$E$2:$E$801, 0)+1))="","",INDEX(ERP資料!$O:$O, (MATCH(583, 輔助計算!$E$2:$E$801, 0)+1))), "")</f>
        <v/>
      </c>
      <c r="J584" s="15">
        <f>IFERROR(IF(INDEX(輔助計算!$D:$D,(MATCH(583, 輔助計算!$E$2:$E$801, 0)+1))="","",INDEX(輔助計算!$D:$D,(MATCH(583, 輔助計算!$E$2:$E$801, 0)+1))*INDEX(ERP資料!$O:$O,(MATCH(583, 輔助計算!$E$2:$E$801, 0)+1))), "")</f>
        <v/>
      </c>
      <c r="K584" s="16" t="n"/>
      <c r="L584" s="16" t="n"/>
      <c r="M584" s="17" t="n"/>
    </row>
    <row r="585">
      <c r="A585" s="14">
        <f>IFERROR(IF(INDEX(ERP資料!$B:$B, (MATCH(584, 輔助計算!$E$2:$E$801, 0)+1))="","",INDEX(ERP資料!$B:$B, (MATCH(584, 輔助計算!$E$2:$E$801, 0)+1))), "")</f>
        <v/>
      </c>
      <c r="B585" s="10">
        <f>IFERROR(IF(INDEX(ERP資料!$A:$A, (MATCH(584, 輔助計算!$E$2:$E$801, 0)+1))="","",INDEX(ERP資料!$A:$A, (MATCH(584, 輔助計算!$E$2:$E$801, 0)+1))), "")</f>
        <v/>
      </c>
      <c r="C585" s="10">
        <f>IFERROR(IF(INDEX(ERP資料!$S:$S, (MATCH(584, 輔助計算!$E$2:$E$801, 0)+1))="","",INDEX(ERP資料!$S:$S, (MATCH(584, 輔助計算!$E$2:$E$801, 0)+1))), "")</f>
        <v/>
      </c>
      <c r="D585" s="10">
        <f>IFERROR(IF(INDEX(ERP資料!$E:$E, (MATCH(584, 輔助計算!$E$2:$E$801, 0)+1))="","",TRIM(INDEX(ERP資料!$E:$E, (MATCH(584, 輔助計算!$E$2:$E$801, 0)+1)))), "")</f>
        <v/>
      </c>
      <c r="E585" s="10">
        <f>IFERROR(IF(INDEX(ERP資料!$F:$F, (MATCH(584, 輔助計算!$E$2:$E$801, 0)+1))="","",INDEX(ERP資料!$F:$F, (MATCH(584, 輔助計算!$E$2:$E$801, 0)+1))), "")</f>
        <v/>
      </c>
      <c r="F585" s="10">
        <f>IFERROR(IF(INDEX(ERP資料!$G:$G, (MATCH(584, 輔助計算!$E$2:$E$801, 0)+1))="","",INDEX(ERP資料!$G:$G, (MATCH(584, 輔助計算!$E$2:$E$801, 0)+1))), "")</f>
        <v/>
      </c>
      <c r="G585" s="10">
        <f>IFERROR(IF(INDEX(ERP資料!$H:$H, (MATCH(584, 輔助計算!$E$2:$E$801, 0)+1))="","",INDEX(ERP資料!$H:$H, (MATCH(584, 輔助計算!$E$2:$E$801, 0)+1))), "")</f>
        <v/>
      </c>
      <c r="H585" s="15">
        <f>IFERROR(INDEX(輔助計算!$D:$D, (MATCH(584, 輔助計算!$E$2:$E$801, 0)+1)), "")</f>
        <v/>
      </c>
      <c r="I585" s="10">
        <f>IFERROR(IF(INDEX(ERP資料!$O:$O, (MATCH(584, 輔助計算!$E$2:$E$801, 0)+1))="","",INDEX(ERP資料!$O:$O, (MATCH(584, 輔助計算!$E$2:$E$801, 0)+1))), "")</f>
        <v/>
      </c>
      <c r="J585" s="15">
        <f>IFERROR(IF(INDEX(輔助計算!$D:$D,(MATCH(584, 輔助計算!$E$2:$E$801, 0)+1))="","",INDEX(輔助計算!$D:$D,(MATCH(584, 輔助計算!$E$2:$E$801, 0)+1))*INDEX(ERP資料!$O:$O,(MATCH(584, 輔助計算!$E$2:$E$801, 0)+1))), "")</f>
        <v/>
      </c>
      <c r="K585" s="16" t="n"/>
      <c r="L585" s="16" t="n"/>
      <c r="M585" s="17" t="n"/>
    </row>
    <row r="586">
      <c r="A586" s="14">
        <f>IFERROR(IF(INDEX(ERP資料!$B:$B, (MATCH(585, 輔助計算!$E$2:$E$801, 0)+1))="","",INDEX(ERP資料!$B:$B, (MATCH(585, 輔助計算!$E$2:$E$801, 0)+1))), "")</f>
        <v/>
      </c>
      <c r="B586" s="10">
        <f>IFERROR(IF(INDEX(ERP資料!$A:$A, (MATCH(585, 輔助計算!$E$2:$E$801, 0)+1))="","",INDEX(ERP資料!$A:$A, (MATCH(585, 輔助計算!$E$2:$E$801, 0)+1))), "")</f>
        <v/>
      </c>
      <c r="C586" s="10">
        <f>IFERROR(IF(INDEX(ERP資料!$S:$S, (MATCH(585, 輔助計算!$E$2:$E$801, 0)+1))="","",INDEX(ERP資料!$S:$S, (MATCH(585, 輔助計算!$E$2:$E$801, 0)+1))), "")</f>
        <v/>
      </c>
      <c r="D586" s="10">
        <f>IFERROR(IF(INDEX(ERP資料!$E:$E, (MATCH(585, 輔助計算!$E$2:$E$801, 0)+1))="","",TRIM(INDEX(ERP資料!$E:$E, (MATCH(585, 輔助計算!$E$2:$E$801, 0)+1)))), "")</f>
        <v/>
      </c>
      <c r="E586" s="10">
        <f>IFERROR(IF(INDEX(ERP資料!$F:$F, (MATCH(585, 輔助計算!$E$2:$E$801, 0)+1))="","",INDEX(ERP資料!$F:$F, (MATCH(585, 輔助計算!$E$2:$E$801, 0)+1))), "")</f>
        <v/>
      </c>
      <c r="F586" s="10">
        <f>IFERROR(IF(INDEX(ERP資料!$G:$G, (MATCH(585, 輔助計算!$E$2:$E$801, 0)+1))="","",INDEX(ERP資料!$G:$G, (MATCH(585, 輔助計算!$E$2:$E$801, 0)+1))), "")</f>
        <v/>
      </c>
      <c r="G586" s="10">
        <f>IFERROR(IF(INDEX(ERP資料!$H:$H, (MATCH(585, 輔助計算!$E$2:$E$801, 0)+1))="","",INDEX(ERP資料!$H:$H, (MATCH(585, 輔助計算!$E$2:$E$801, 0)+1))), "")</f>
        <v/>
      </c>
      <c r="H586" s="15">
        <f>IFERROR(INDEX(輔助計算!$D:$D, (MATCH(585, 輔助計算!$E$2:$E$801, 0)+1)), "")</f>
        <v/>
      </c>
      <c r="I586" s="10">
        <f>IFERROR(IF(INDEX(ERP資料!$O:$O, (MATCH(585, 輔助計算!$E$2:$E$801, 0)+1))="","",INDEX(ERP資料!$O:$O, (MATCH(585, 輔助計算!$E$2:$E$801, 0)+1))), "")</f>
        <v/>
      </c>
      <c r="J586" s="15">
        <f>IFERROR(IF(INDEX(輔助計算!$D:$D,(MATCH(585, 輔助計算!$E$2:$E$801, 0)+1))="","",INDEX(輔助計算!$D:$D,(MATCH(585, 輔助計算!$E$2:$E$801, 0)+1))*INDEX(ERP資料!$O:$O,(MATCH(585, 輔助計算!$E$2:$E$801, 0)+1))), "")</f>
        <v/>
      </c>
      <c r="K586" s="16" t="n"/>
      <c r="L586" s="16" t="n"/>
      <c r="M586" s="17" t="n"/>
    </row>
    <row r="587">
      <c r="A587" s="14">
        <f>IFERROR(IF(INDEX(ERP資料!$B:$B, (MATCH(586, 輔助計算!$E$2:$E$801, 0)+1))="","",INDEX(ERP資料!$B:$B, (MATCH(586, 輔助計算!$E$2:$E$801, 0)+1))), "")</f>
        <v/>
      </c>
      <c r="B587" s="10">
        <f>IFERROR(IF(INDEX(ERP資料!$A:$A, (MATCH(586, 輔助計算!$E$2:$E$801, 0)+1))="","",INDEX(ERP資料!$A:$A, (MATCH(586, 輔助計算!$E$2:$E$801, 0)+1))), "")</f>
        <v/>
      </c>
      <c r="C587" s="10">
        <f>IFERROR(IF(INDEX(ERP資料!$S:$S, (MATCH(586, 輔助計算!$E$2:$E$801, 0)+1))="","",INDEX(ERP資料!$S:$S, (MATCH(586, 輔助計算!$E$2:$E$801, 0)+1))), "")</f>
        <v/>
      </c>
      <c r="D587" s="10">
        <f>IFERROR(IF(INDEX(ERP資料!$E:$E, (MATCH(586, 輔助計算!$E$2:$E$801, 0)+1))="","",TRIM(INDEX(ERP資料!$E:$E, (MATCH(586, 輔助計算!$E$2:$E$801, 0)+1)))), "")</f>
        <v/>
      </c>
      <c r="E587" s="10">
        <f>IFERROR(IF(INDEX(ERP資料!$F:$F, (MATCH(586, 輔助計算!$E$2:$E$801, 0)+1))="","",INDEX(ERP資料!$F:$F, (MATCH(586, 輔助計算!$E$2:$E$801, 0)+1))), "")</f>
        <v/>
      </c>
      <c r="F587" s="10">
        <f>IFERROR(IF(INDEX(ERP資料!$G:$G, (MATCH(586, 輔助計算!$E$2:$E$801, 0)+1))="","",INDEX(ERP資料!$G:$G, (MATCH(586, 輔助計算!$E$2:$E$801, 0)+1))), "")</f>
        <v/>
      </c>
      <c r="G587" s="10">
        <f>IFERROR(IF(INDEX(ERP資料!$H:$H, (MATCH(586, 輔助計算!$E$2:$E$801, 0)+1))="","",INDEX(ERP資料!$H:$H, (MATCH(586, 輔助計算!$E$2:$E$801, 0)+1))), "")</f>
        <v/>
      </c>
      <c r="H587" s="15">
        <f>IFERROR(INDEX(輔助計算!$D:$D, (MATCH(586, 輔助計算!$E$2:$E$801, 0)+1)), "")</f>
        <v/>
      </c>
      <c r="I587" s="10">
        <f>IFERROR(IF(INDEX(ERP資料!$O:$O, (MATCH(586, 輔助計算!$E$2:$E$801, 0)+1))="","",INDEX(ERP資料!$O:$O, (MATCH(586, 輔助計算!$E$2:$E$801, 0)+1))), "")</f>
        <v/>
      </c>
      <c r="J587" s="15">
        <f>IFERROR(IF(INDEX(輔助計算!$D:$D,(MATCH(586, 輔助計算!$E$2:$E$801, 0)+1))="","",INDEX(輔助計算!$D:$D,(MATCH(586, 輔助計算!$E$2:$E$801, 0)+1))*INDEX(ERP資料!$O:$O,(MATCH(586, 輔助計算!$E$2:$E$801, 0)+1))), "")</f>
        <v/>
      </c>
      <c r="K587" s="16" t="n"/>
      <c r="L587" s="16" t="n"/>
      <c r="M587" s="17" t="n"/>
    </row>
    <row r="588">
      <c r="A588" s="14">
        <f>IFERROR(IF(INDEX(ERP資料!$B:$B, (MATCH(587, 輔助計算!$E$2:$E$801, 0)+1))="","",INDEX(ERP資料!$B:$B, (MATCH(587, 輔助計算!$E$2:$E$801, 0)+1))), "")</f>
        <v/>
      </c>
      <c r="B588" s="10">
        <f>IFERROR(IF(INDEX(ERP資料!$A:$A, (MATCH(587, 輔助計算!$E$2:$E$801, 0)+1))="","",INDEX(ERP資料!$A:$A, (MATCH(587, 輔助計算!$E$2:$E$801, 0)+1))), "")</f>
        <v/>
      </c>
      <c r="C588" s="10">
        <f>IFERROR(IF(INDEX(ERP資料!$S:$S, (MATCH(587, 輔助計算!$E$2:$E$801, 0)+1))="","",INDEX(ERP資料!$S:$S, (MATCH(587, 輔助計算!$E$2:$E$801, 0)+1))), "")</f>
        <v/>
      </c>
      <c r="D588" s="10">
        <f>IFERROR(IF(INDEX(ERP資料!$E:$E, (MATCH(587, 輔助計算!$E$2:$E$801, 0)+1))="","",TRIM(INDEX(ERP資料!$E:$E, (MATCH(587, 輔助計算!$E$2:$E$801, 0)+1)))), "")</f>
        <v/>
      </c>
      <c r="E588" s="10">
        <f>IFERROR(IF(INDEX(ERP資料!$F:$F, (MATCH(587, 輔助計算!$E$2:$E$801, 0)+1))="","",INDEX(ERP資料!$F:$F, (MATCH(587, 輔助計算!$E$2:$E$801, 0)+1))), "")</f>
        <v/>
      </c>
      <c r="F588" s="10">
        <f>IFERROR(IF(INDEX(ERP資料!$G:$G, (MATCH(587, 輔助計算!$E$2:$E$801, 0)+1))="","",INDEX(ERP資料!$G:$G, (MATCH(587, 輔助計算!$E$2:$E$801, 0)+1))), "")</f>
        <v/>
      </c>
      <c r="G588" s="10">
        <f>IFERROR(IF(INDEX(ERP資料!$H:$H, (MATCH(587, 輔助計算!$E$2:$E$801, 0)+1))="","",INDEX(ERP資料!$H:$H, (MATCH(587, 輔助計算!$E$2:$E$801, 0)+1))), "")</f>
        <v/>
      </c>
      <c r="H588" s="15">
        <f>IFERROR(INDEX(輔助計算!$D:$D, (MATCH(587, 輔助計算!$E$2:$E$801, 0)+1)), "")</f>
        <v/>
      </c>
      <c r="I588" s="10">
        <f>IFERROR(IF(INDEX(ERP資料!$O:$O, (MATCH(587, 輔助計算!$E$2:$E$801, 0)+1))="","",INDEX(ERP資料!$O:$O, (MATCH(587, 輔助計算!$E$2:$E$801, 0)+1))), "")</f>
        <v/>
      </c>
      <c r="J588" s="15">
        <f>IFERROR(IF(INDEX(輔助計算!$D:$D,(MATCH(587, 輔助計算!$E$2:$E$801, 0)+1))="","",INDEX(輔助計算!$D:$D,(MATCH(587, 輔助計算!$E$2:$E$801, 0)+1))*INDEX(ERP資料!$O:$O,(MATCH(587, 輔助計算!$E$2:$E$801, 0)+1))), "")</f>
        <v/>
      </c>
      <c r="K588" s="16" t="n"/>
      <c r="L588" s="16" t="n"/>
      <c r="M588" s="17" t="n"/>
    </row>
    <row r="589">
      <c r="A589" s="14">
        <f>IFERROR(IF(INDEX(ERP資料!$B:$B, (MATCH(588, 輔助計算!$E$2:$E$801, 0)+1))="","",INDEX(ERP資料!$B:$B, (MATCH(588, 輔助計算!$E$2:$E$801, 0)+1))), "")</f>
        <v/>
      </c>
      <c r="B589" s="10">
        <f>IFERROR(IF(INDEX(ERP資料!$A:$A, (MATCH(588, 輔助計算!$E$2:$E$801, 0)+1))="","",INDEX(ERP資料!$A:$A, (MATCH(588, 輔助計算!$E$2:$E$801, 0)+1))), "")</f>
        <v/>
      </c>
      <c r="C589" s="10">
        <f>IFERROR(IF(INDEX(ERP資料!$S:$S, (MATCH(588, 輔助計算!$E$2:$E$801, 0)+1))="","",INDEX(ERP資料!$S:$S, (MATCH(588, 輔助計算!$E$2:$E$801, 0)+1))), "")</f>
        <v/>
      </c>
      <c r="D589" s="10">
        <f>IFERROR(IF(INDEX(ERP資料!$E:$E, (MATCH(588, 輔助計算!$E$2:$E$801, 0)+1))="","",TRIM(INDEX(ERP資料!$E:$E, (MATCH(588, 輔助計算!$E$2:$E$801, 0)+1)))), "")</f>
        <v/>
      </c>
      <c r="E589" s="10">
        <f>IFERROR(IF(INDEX(ERP資料!$F:$F, (MATCH(588, 輔助計算!$E$2:$E$801, 0)+1))="","",INDEX(ERP資料!$F:$F, (MATCH(588, 輔助計算!$E$2:$E$801, 0)+1))), "")</f>
        <v/>
      </c>
      <c r="F589" s="10">
        <f>IFERROR(IF(INDEX(ERP資料!$G:$G, (MATCH(588, 輔助計算!$E$2:$E$801, 0)+1))="","",INDEX(ERP資料!$G:$G, (MATCH(588, 輔助計算!$E$2:$E$801, 0)+1))), "")</f>
        <v/>
      </c>
      <c r="G589" s="10">
        <f>IFERROR(IF(INDEX(ERP資料!$H:$H, (MATCH(588, 輔助計算!$E$2:$E$801, 0)+1))="","",INDEX(ERP資料!$H:$H, (MATCH(588, 輔助計算!$E$2:$E$801, 0)+1))), "")</f>
        <v/>
      </c>
      <c r="H589" s="15">
        <f>IFERROR(INDEX(輔助計算!$D:$D, (MATCH(588, 輔助計算!$E$2:$E$801, 0)+1)), "")</f>
        <v/>
      </c>
      <c r="I589" s="10">
        <f>IFERROR(IF(INDEX(ERP資料!$O:$O, (MATCH(588, 輔助計算!$E$2:$E$801, 0)+1))="","",INDEX(ERP資料!$O:$O, (MATCH(588, 輔助計算!$E$2:$E$801, 0)+1))), "")</f>
        <v/>
      </c>
      <c r="J589" s="15">
        <f>IFERROR(IF(INDEX(輔助計算!$D:$D,(MATCH(588, 輔助計算!$E$2:$E$801, 0)+1))="","",INDEX(輔助計算!$D:$D,(MATCH(588, 輔助計算!$E$2:$E$801, 0)+1))*INDEX(ERP資料!$O:$O,(MATCH(588, 輔助計算!$E$2:$E$801, 0)+1))), "")</f>
        <v/>
      </c>
      <c r="K589" s="16" t="n"/>
      <c r="L589" s="16" t="n"/>
      <c r="M589" s="17" t="n"/>
    </row>
    <row r="590">
      <c r="A590" s="14">
        <f>IFERROR(IF(INDEX(ERP資料!$B:$B, (MATCH(589, 輔助計算!$E$2:$E$801, 0)+1))="","",INDEX(ERP資料!$B:$B, (MATCH(589, 輔助計算!$E$2:$E$801, 0)+1))), "")</f>
        <v/>
      </c>
      <c r="B590" s="10">
        <f>IFERROR(IF(INDEX(ERP資料!$A:$A, (MATCH(589, 輔助計算!$E$2:$E$801, 0)+1))="","",INDEX(ERP資料!$A:$A, (MATCH(589, 輔助計算!$E$2:$E$801, 0)+1))), "")</f>
        <v/>
      </c>
      <c r="C590" s="10">
        <f>IFERROR(IF(INDEX(ERP資料!$S:$S, (MATCH(589, 輔助計算!$E$2:$E$801, 0)+1))="","",INDEX(ERP資料!$S:$S, (MATCH(589, 輔助計算!$E$2:$E$801, 0)+1))), "")</f>
        <v/>
      </c>
      <c r="D590" s="10">
        <f>IFERROR(IF(INDEX(ERP資料!$E:$E, (MATCH(589, 輔助計算!$E$2:$E$801, 0)+1))="","",TRIM(INDEX(ERP資料!$E:$E, (MATCH(589, 輔助計算!$E$2:$E$801, 0)+1)))), "")</f>
        <v/>
      </c>
      <c r="E590" s="10">
        <f>IFERROR(IF(INDEX(ERP資料!$F:$F, (MATCH(589, 輔助計算!$E$2:$E$801, 0)+1))="","",INDEX(ERP資料!$F:$F, (MATCH(589, 輔助計算!$E$2:$E$801, 0)+1))), "")</f>
        <v/>
      </c>
      <c r="F590" s="10">
        <f>IFERROR(IF(INDEX(ERP資料!$G:$G, (MATCH(589, 輔助計算!$E$2:$E$801, 0)+1))="","",INDEX(ERP資料!$G:$G, (MATCH(589, 輔助計算!$E$2:$E$801, 0)+1))), "")</f>
        <v/>
      </c>
      <c r="G590" s="10">
        <f>IFERROR(IF(INDEX(ERP資料!$H:$H, (MATCH(589, 輔助計算!$E$2:$E$801, 0)+1))="","",INDEX(ERP資料!$H:$H, (MATCH(589, 輔助計算!$E$2:$E$801, 0)+1))), "")</f>
        <v/>
      </c>
      <c r="H590" s="15">
        <f>IFERROR(INDEX(輔助計算!$D:$D, (MATCH(589, 輔助計算!$E$2:$E$801, 0)+1)), "")</f>
        <v/>
      </c>
      <c r="I590" s="10">
        <f>IFERROR(IF(INDEX(ERP資料!$O:$O, (MATCH(589, 輔助計算!$E$2:$E$801, 0)+1))="","",INDEX(ERP資料!$O:$O, (MATCH(589, 輔助計算!$E$2:$E$801, 0)+1))), "")</f>
        <v/>
      </c>
      <c r="J590" s="15">
        <f>IFERROR(IF(INDEX(輔助計算!$D:$D,(MATCH(589, 輔助計算!$E$2:$E$801, 0)+1))="","",INDEX(輔助計算!$D:$D,(MATCH(589, 輔助計算!$E$2:$E$801, 0)+1))*INDEX(ERP資料!$O:$O,(MATCH(589, 輔助計算!$E$2:$E$801, 0)+1))), "")</f>
        <v/>
      </c>
      <c r="K590" s="16" t="n"/>
      <c r="L590" s="16" t="n"/>
      <c r="M590" s="17" t="n"/>
    </row>
    <row r="591">
      <c r="A591" s="14">
        <f>IFERROR(IF(INDEX(ERP資料!$B:$B, (MATCH(590, 輔助計算!$E$2:$E$801, 0)+1))="","",INDEX(ERP資料!$B:$B, (MATCH(590, 輔助計算!$E$2:$E$801, 0)+1))), "")</f>
        <v/>
      </c>
      <c r="B591" s="10">
        <f>IFERROR(IF(INDEX(ERP資料!$A:$A, (MATCH(590, 輔助計算!$E$2:$E$801, 0)+1))="","",INDEX(ERP資料!$A:$A, (MATCH(590, 輔助計算!$E$2:$E$801, 0)+1))), "")</f>
        <v/>
      </c>
      <c r="C591" s="10">
        <f>IFERROR(IF(INDEX(ERP資料!$S:$S, (MATCH(590, 輔助計算!$E$2:$E$801, 0)+1))="","",INDEX(ERP資料!$S:$S, (MATCH(590, 輔助計算!$E$2:$E$801, 0)+1))), "")</f>
        <v/>
      </c>
      <c r="D591" s="10">
        <f>IFERROR(IF(INDEX(ERP資料!$E:$E, (MATCH(590, 輔助計算!$E$2:$E$801, 0)+1))="","",TRIM(INDEX(ERP資料!$E:$E, (MATCH(590, 輔助計算!$E$2:$E$801, 0)+1)))), "")</f>
        <v/>
      </c>
      <c r="E591" s="10">
        <f>IFERROR(IF(INDEX(ERP資料!$F:$F, (MATCH(590, 輔助計算!$E$2:$E$801, 0)+1))="","",INDEX(ERP資料!$F:$F, (MATCH(590, 輔助計算!$E$2:$E$801, 0)+1))), "")</f>
        <v/>
      </c>
      <c r="F591" s="10">
        <f>IFERROR(IF(INDEX(ERP資料!$G:$G, (MATCH(590, 輔助計算!$E$2:$E$801, 0)+1))="","",INDEX(ERP資料!$G:$G, (MATCH(590, 輔助計算!$E$2:$E$801, 0)+1))), "")</f>
        <v/>
      </c>
      <c r="G591" s="10">
        <f>IFERROR(IF(INDEX(ERP資料!$H:$H, (MATCH(590, 輔助計算!$E$2:$E$801, 0)+1))="","",INDEX(ERP資料!$H:$H, (MATCH(590, 輔助計算!$E$2:$E$801, 0)+1))), "")</f>
        <v/>
      </c>
      <c r="H591" s="15">
        <f>IFERROR(INDEX(輔助計算!$D:$D, (MATCH(590, 輔助計算!$E$2:$E$801, 0)+1)), "")</f>
        <v/>
      </c>
      <c r="I591" s="10">
        <f>IFERROR(IF(INDEX(ERP資料!$O:$O, (MATCH(590, 輔助計算!$E$2:$E$801, 0)+1))="","",INDEX(ERP資料!$O:$O, (MATCH(590, 輔助計算!$E$2:$E$801, 0)+1))), "")</f>
        <v/>
      </c>
      <c r="J591" s="15">
        <f>IFERROR(IF(INDEX(輔助計算!$D:$D,(MATCH(590, 輔助計算!$E$2:$E$801, 0)+1))="","",INDEX(輔助計算!$D:$D,(MATCH(590, 輔助計算!$E$2:$E$801, 0)+1))*INDEX(ERP資料!$O:$O,(MATCH(590, 輔助計算!$E$2:$E$801, 0)+1))), "")</f>
        <v/>
      </c>
      <c r="K591" s="16" t="n"/>
      <c r="L591" s="16" t="n"/>
      <c r="M591" s="17" t="n"/>
    </row>
    <row r="592">
      <c r="A592" s="14">
        <f>IFERROR(IF(INDEX(ERP資料!$B:$B, (MATCH(591, 輔助計算!$E$2:$E$801, 0)+1))="","",INDEX(ERP資料!$B:$B, (MATCH(591, 輔助計算!$E$2:$E$801, 0)+1))), "")</f>
        <v/>
      </c>
      <c r="B592" s="10">
        <f>IFERROR(IF(INDEX(ERP資料!$A:$A, (MATCH(591, 輔助計算!$E$2:$E$801, 0)+1))="","",INDEX(ERP資料!$A:$A, (MATCH(591, 輔助計算!$E$2:$E$801, 0)+1))), "")</f>
        <v/>
      </c>
      <c r="C592" s="10">
        <f>IFERROR(IF(INDEX(ERP資料!$S:$S, (MATCH(591, 輔助計算!$E$2:$E$801, 0)+1))="","",INDEX(ERP資料!$S:$S, (MATCH(591, 輔助計算!$E$2:$E$801, 0)+1))), "")</f>
        <v/>
      </c>
      <c r="D592" s="10">
        <f>IFERROR(IF(INDEX(ERP資料!$E:$E, (MATCH(591, 輔助計算!$E$2:$E$801, 0)+1))="","",TRIM(INDEX(ERP資料!$E:$E, (MATCH(591, 輔助計算!$E$2:$E$801, 0)+1)))), "")</f>
        <v/>
      </c>
      <c r="E592" s="10">
        <f>IFERROR(IF(INDEX(ERP資料!$F:$F, (MATCH(591, 輔助計算!$E$2:$E$801, 0)+1))="","",INDEX(ERP資料!$F:$F, (MATCH(591, 輔助計算!$E$2:$E$801, 0)+1))), "")</f>
        <v/>
      </c>
      <c r="F592" s="10">
        <f>IFERROR(IF(INDEX(ERP資料!$G:$G, (MATCH(591, 輔助計算!$E$2:$E$801, 0)+1))="","",INDEX(ERP資料!$G:$G, (MATCH(591, 輔助計算!$E$2:$E$801, 0)+1))), "")</f>
        <v/>
      </c>
      <c r="G592" s="10">
        <f>IFERROR(IF(INDEX(ERP資料!$H:$H, (MATCH(591, 輔助計算!$E$2:$E$801, 0)+1))="","",INDEX(ERP資料!$H:$H, (MATCH(591, 輔助計算!$E$2:$E$801, 0)+1))), "")</f>
        <v/>
      </c>
      <c r="H592" s="15">
        <f>IFERROR(INDEX(輔助計算!$D:$D, (MATCH(591, 輔助計算!$E$2:$E$801, 0)+1)), "")</f>
        <v/>
      </c>
      <c r="I592" s="10">
        <f>IFERROR(IF(INDEX(ERP資料!$O:$O, (MATCH(591, 輔助計算!$E$2:$E$801, 0)+1))="","",INDEX(ERP資料!$O:$O, (MATCH(591, 輔助計算!$E$2:$E$801, 0)+1))), "")</f>
        <v/>
      </c>
      <c r="J592" s="15">
        <f>IFERROR(IF(INDEX(輔助計算!$D:$D,(MATCH(591, 輔助計算!$E$2:$E$801, 0)+1))="","",INDEX(輔助計算!$D:$D,(MATCH(591, 輔助計算!$E$2:$E$801, 0)+1))*INDEX(ERP資料!$O:$O,(MATCH(591, 輔助計算!$E$2:$E$801, 0)+1))), "")</f>
        <v/>
      </c>
      <c r="K592" s="16" t="n"/>
      <c r="L592" s="16" t="n"/>
      <c r="M592" s="17" t="n"/>
    </row>
    <row r="593">
      <c r="A593" s="14">
        <f>IFERROR(IF(INDEX(ERP資料!$B:$B, (MATCH(592, 輔助計算!$E$2:$E$801, 0)+1))="","",INDEX(ERP資料!$B:$B, (MATCH(592, 輔助計算!$E$2:$E$801, 0)+1))), "")</f>
        <v/>
      </c>
      <c r="B593" s="10">
        <f>IFERROR(IF(INDEX(ERP資料!$A:$A, (MATCH(592, 輔助計算!$E$2:$E$801, 0)+1))="","",INDEX(ERP資料!$A:$A, (MATCH(592, 輔助計算!$E$2:$E$801, 0)+1))), "")</f>
        <v/>
      </c>
      <c r="C593" s="10">
        <f>IFERROR(IF(INDEX(ERP資料!$S:$S, (MATCH(592, 輔助計算!$E$2:$E$801, 0)+1))="","",INDEX(ERP資料!$S:$S, (MATCH(592, 輔助計算!$E$2:$E$801, 0)+1))), "")</f>
        <v/>
      </c>
      <c r="D593" s="10">
        <f>IFERROR(IF(INDEX(ERP資料!$E:$E, (MATCH(592, 輔助計算!$E$2:$E$801, 0)+1))="","",TRIM(INDEX(ERP資料!$E:$E, (MATCH(592, 輔助計算!$E$2:$E$801, 0)+1)))), "")</f>
        <v/>
      </c>
      <c r="E593" s="10">
        <f>IFERROR(IF(INDEX(ERP資料!$F:$F, (MATCH(592, 輔助計算!$E$2:$E$801, 0)+1))="","",INDEX(ERP資料!$F:$F, (MATCH(592, 輔助計算!$E$2:$E$801, 0)+1))), "")</f>
        <v/>
      </c>
      <c r="F593" s="10">
        <f>IFERROR(IF(INDEX(ERP資料!$G:$G, (MATCH(592, 輔助計算!$E$2:$E$801, 0)+1))="","",INDEX(ERP資料!$G:$G, (MATCH(592, 輔助計算!$E$2:$E$801, 0)+1))), "")</f>
        <v/>
      </c>
      <c r="G593" s="10">
        <f>IFERROR(IF(INDEX(ERP資料!$H:$H, (MATCH(592, 輔助計算!$E$2:$E$801, 0)+1))="","",INDEX(ERP資料!$H:$H, (MATCH(592, 輔助計算!$E$2:$E$801, 0)+1))), "")</f>
        <v/>
      </c>
      <c r="H593" s="15">
        <f>IFERROR(INDEX(輔助計算!$D:$D, (MATCH(592, 輔助計算!$E$2:$E$801, 0)+1)), "")</f>
        <v/>
      </c>
      <c r="I593" s="10">
        <f>IFERROR(IF(INDEX(ERP資料!$O:$O, (MATCH(592, 輔助計算!$E$2:$E$801, 0)+1))="","",INDEX(ERP資料!$O:$O, (MATCH(592, 輔助計算!$E$2:$E$801, 0)+1))), "")</f>
        <v/>
      </c>
      <c r="J593" s="15">
        <f>IFERROR(IF(INDEX(輔助計算!$D:$D,(MATCH(592, 輔助計算!$E$2:$E$801, 0)+1))="","",INDEX(輔助計算!$D:$D,(MATCH(592, 輔助計算!$E$2:$E$801, 0)+1))*INDEX(ERP資料!$O:$O,(MATCH(592, 輔助計算!$E$2:$E$801, 0)+1))), "")</f>
        <v/>
      </c>
      <c r="K593" s="16" t="n"/>
      <c r="L593" s="16" t="n"/>
      <c r="M593" s="17" t="n"/>
    </row>
    <row r="594">
      <c r="A594" s="14">
        <f>IFERROR(IF(INDEX(ERP資料!$B:$B, (MATCH(593, 輔助計算!$E$2:$E$801, 0)+1))="","",INDEX(ERP資料!$B:$B, (MATCH(593, 輔助計算!$E$2:$E$801, 0)+1))), "")</f>
        <v/>
      </c>
      <c r="B594" s="10">
        <f>IFERROR(IF(INDEX(ERP資料!$A:$A, (MATCH(593, 輔助計算!$E$2:$E$801, 0)+1))="","",INDEX(ERP資料!$A:$A, (MATCH(593, 輔助計算!$E$2:$E$801, 0)+1))), "")</f>
        <v/>
      </c>
      <c r="C594" s="10">
        <f>IFERROR(IF(INDEX(ERP資料!$S:$S, (MATCH(593, 輔助計算!$E$2:$E$801, 0)+1))="","",INDEX(ERP資料!$S:$S, (MATCH(593, 輔助計算!$E$2:$E$801, 0)+1))), "")</f>
        <v/>
      </c>
      <c r="D594" s="10">
        <f>IFERROR(IF(INDEX(ERP資料!$E:$E, (MATCH(593, 輔助計算!$E$2:$E$801, 0)+1))="","",TRIM(INDEX(ERP資料!$E:$E, (MATCH(593, 輔助計算!$E$2:$E$801, 0)+1)))), "")</f>
        <v/>
      </c>
      <c r="E594" s="10">
        <f>IFERROR(IF(INDEX(ERP資料!$F:$F, (MATCH(593, 輔助計算!$E$2:$E$801, 0)+1))="","",INDEX(ERP資料!$F:$F, (MATCH(593, 輔助計算!$E$2:$E$801, 0)+1))), "")</f>
        <v/>
      </c>
      <c r="F594" s="10">
        <f>IFERROR(IF(INDEX(ERP資料!$G:$G, (MATCH(593, 輔助計算!$E$2:$E$801, 0)+1))="","",INDEX(ERP資料!$G:$G, (MATCH(593, 輔助計算!$E$2:$E$801, 0)+1))), "")</f>
        <v/>
      </c>
      <c r="G594" s="10">
        <f>IFERROR(IF(INDEX(ERP資料!$H:$H, (MATCH(593, 輔助計算!$E$2:$E$801, 0)+1))="","",INDEX(ERP資料!$H:$H, (MATCH(593, 輔助計算!$E$2:$E$801, 0)+1))), "")</f>
        <v/>
      </c>
      <c r="H594" s="15">
        <f>IFERROR(INDEX(輔助計算!$D:$D, (MATCH(593, 輔助計算!$E$2:$E$801, 0)+1)), "")</f>
        <v/>
      </c>
      <c r="I594" s="10">
        <f>IFERROR(IF(INDEX(ERP資料!$O:$O, (MATCH(593, 輔助計算!$E$2:$E$801, 0)+1))="","",INDEX(ERP資料!$O:$O, (MATCH(593, 輔助計算!$E$2:$E$801, 0)+1))), "")</f>
        <v/>
      </c>
      <c r="J594" s="15">
        <f>IFERROR(IF(INDEX(輔助計算!$D:$D,(MATCH(593, 輔助計算!$E$2:$E$801, 0)+1))="","",INDEX(輔助計算!$D:$D,(MATCH(593, 輔助計算!$E$2:$E$801, 0)+1))*INDEX(ERP資料!$O:$O,(MATCH(593, 輔助計算!$E$2:$E$801, 0)+1))), "")</f>
        <v/>
      </c>
      <c r="K594" s="16" t="n"/>
      <c r="L594" s="16" t="n"/>
      <c r="M594" s="17" t="n"/>
    </row>
    <row r="595">
      <c r="A595" s="14">
        <f>IFERROR(IF(INDEX(ERP資料!$B:$B, (MATCH(594, 輔助計算!$E$2:$E$801, 0)+1))="","",INDEX(ERP資料!$B:$B, (MATCH(594, 輔助計算!$E$2:$E$801, 0)+1))), "")</f>
        <v/>
      </c>
      <c r="B595" s="10">
        <f>IFERROR(IF(INDEX(ERP資料!$A:$A, (MATCH(594, 輔助計算!$E$2:$E$801, 0)+1))="","",INDEX(ERP資料!$A:$A, (MATCH(594, 輔助計算!$E$2:$E$801, 0)+1))), "")</f>
        <v/>
      </c>
      <c r="C595" s="10">
        <f>IFERROR(IF(INDEX(ERP資料!$S:$S, (MATCH(594, 輔助計算!$E$2:$E$801, 0)+1))="","",INDEX(ERP資料!$S:$S, (MATCH(594, 輔助計算!$E$2:$E$801, 0)+1))), "")</f>
        <v/>
      </c>
      <c r="D595" s="10">
        <f>IFERROR(IF(INDEX(ERP資料!$E:$E, (MATCH(594, 輔助計算!$E$2:$E$801, 0)+1))="","",TRIM(INDEX(ERP資料!$E:$E, (MATCH(594, 輔助計算!$E$2:$E$801, 0)+1)))), "")</f>
        <v/>
      </c>
      <c r="E595" s="10">
        <f>IFERROR(IF(INDEX(ERP資料!$F:$F, (MATCH(594, 輔助計算!$E$2:$E$801, 0)+1))="","",INDEX(ERP資料!$F:$F, (MATCH(594, 輔助計算!$E$2:$E$801, 0)+1))), "")</f>
        <v/>
      </c>
      <c r="F595" s="10">
        <f>IFERROR(IF(INDEX(ERP資料!$G:$G, (MATCH(594, 輔助計算!$E$2:$E$801, 0)+1))="","",INDEX(ERP資料!$G:$G, (MATCH(594, 輔助計算!$E$2:$E$801, 0)+1))), "")</f>
        <v/>
      </c>
      <c r="G595" s="10">
        <f>IFERROR(IF(INDEX(ERP資料!$H:$H, (MATCH(594, 輔助計算!$E$2:$E$801, 0)+1))="","",INDEX(ERP資料!$H:$H, (MATCH(594, 輔助計算!$E$2:$E$801, 0)+1))), "")</f>
        <v/>
      </c>
      <c r="H595" s="15">
        <f>IFERROR(INDEX(輔助計算!$D:$D, (MATCH(594, 輔助計算!$E$2:$E$801, 0)+1)), "")</f>
        <v/>
      </c>
      <c r="I595" s="10">
        <f>IFERROR(IF(INDEX(ERP資料!$O:$O, (MATCH(594, 輔助計算!$E$2:$E$801, 0)+1))="","",INDEX(ERP資料!$O:$O, (MATCH(594, 輔助計算!$E$2:$E$801, 0)+1))), "")</f>
        <v/>
      </c>
      <c r="J595" s="15">
        <f>IFERROR(IF(INDEX(輔助計算!$D:$D,(MATCH(594, 輔助計算!$E$2:$E$801, 0)+1))="","",INDEX(輔助計算!$D:$D,(MATCH(594, 輔助計算!$E$2:$E$801, 0)+1))*INDEX(ERP資料!$O:$O,(MATCH(594, 輔助計算!$E$2:$E$801, 0)+1))), "")</f>
        <v/>
      </c>
      <c r="K595" s="16" t="n"/>
      <c r="L595" s="16" t="n"/>
      <c r="M595" s="17" t="n"/>
    </row>
    <row r="596">
      <c r="A596" s="14">
        <f>IFERROR(IF(INDEX(ERP資料!$B:$B, (MATCH(595, 輔助計算!$E$2:$E$801, 0)+1))="","",INDEX(ERP資料!$B:$B, (MATCH(595, 輔助計算!$E$2:$E$801, 0)+1))), "")</f>
        <v/>
      </c>
      <c r="B596" s="10">
        <f>IFERROR(IF(INDEX(ERP資料!$A:$A, (MATCH(595, 輔助計算!$E$2:$E$801, 0)+1))="","",INDEX(ERP資料!$A:$A, (MATCH(595, 輔助計算!$E$2:$E$801, 0)+1))), "")</f>
        <v/>
      </c>
      <c r="C596" s="10">
        <f>IFERROR(IF(INDEX(ERP資料!$S:$S, (MATCH(595, 輔助計算!$E$2:$E$801, 0)+1))="","",INDEX(ERP資料!$S:$S, (MATCH(595, 輔助計算!$E$2:$E$801, 0)+1))), "")</f>
        <v/>
      </c>
      <c r="D596" s="10">
        <f>IFERROR(IF(INDEX(ERP資料!$E:$E, (MATCH(595, 輔助計算!$E$2:$E$801, 0)+1))="","",TRIM(INDEX(ERP資料!$E:$E, (MATCH(595, 輔助計算!$E$2:$E$801, 0)+1)))), "")</f>
        <v/>
      </c>
      <c r="E596" s="10">
        <f>IFERROR(IF(INDEX(ERP資料!$F:$F, (MATCH(595, 輔助計算!$E$2:$E$801, 0)+1))="","",INDEX(ERP資料!$F:$F, (MATCH(595, 輔助計算!$E$2:$E$801, 0)+1))), "")</f>
        <v/>
      </c>
      <c r="F596" s="10">
        <f>IFERROR(IF(INDEX(ERP資料!$G:$G, (MATCH(595, 輔助計算!$E$2:$E$801, 0)+1))="","",INDEX(ERP資料!$G:$G, (MATCH(595, 輔助計算!$E$2:$E$801, 0)+1))), "")</f>
        <v/>
      </c>
      <c r="G596" s="10">
        <f>IFERROR(IF(INDEX(ERP資料!$H:$H, (MATCH(595, 輔助計算!$E$2:$E$801, 0)+1))="","",INDEX(ERP資料!$H:$H, (MATCH(595, 輔助計算!$E$2:$E$801, 0)+1))), "")</f>
        <v/>
      </c>
      <c r="H596" s="15">
        <f>IFERROR(INDEX(輔助計算!$D:$D, (MATCH(595, 輔助計算!$E$2:$E$801, 0)+1)), "")</f>
        <v/>
      </c>
      <c r="I596" s="10">
        <f>IFERROR(IF(INDEX(ERP資料!$O:$O, (MATCH(595, 輔助計算!$E$2:$E$801, 0)+1))="","",INDEX(ERP資料!$O:$O, (MATCH(595, 輔助計算!$E$2:$E$801, 0)+1))), "")</f>
        <v/>
      </c>
      <c r="J596" s="15">
        <f>IFERROR(IF(INDEX(輔助計算!$D:$D,(MATCH(595, 輔助計算!$E$2:$E$801, 0)+1))="","",INDEX(輔助計算!$D:$D,(MATCH(595, 輔助計算!$E$2:$E$801, 0)+1))*INDEX(ERP資料!$O:$O,(MATCH(595, 輔助計算!$E$2:$E$801, 0)+1))), "")</f>
        <v/>
      </c>
      <c r="K596" s="16" t="n"/>
      <c r="L596" s="16" t="n"/>
      <c r="M596" s="17" t="n"/>
    </row>
    <row r="597">
      <c r="A597" s="14">
        <f>IFERROR(IF(INDEX(ERP資料!$B:$B, (MATCH(596, 輔助計算!$E$2:$E$801, 0)+1))="","",INDEX(ERP資料!$B:$B, (MATCH(596, 輔助計算!$E$2:$E$801, 0)+1))), "")</f>
        <v/>
      </c>
      <c r="B597" s="10">
        <f>IFERROR(IF(INDEX(ERP資料!$A:$A, (MATCH(596, 輔助計算!$E$2:$E$801, 0)+1))="","",INDEX(ERP資料!$A:$A, (MATCH(596, 輔助計算!$E$2:$E$801, 0)+1))), "")</f>
        <v/>
      </c>
      <c r="C597" s="10">
        <f>IFERROR(IF(INDEX(ERP資料!$S:$S, (MATCH(596, 輔助計算!$E$2:$E$801, 0)+1))="","",INDEX(ERP資料!$S:$S, (MATCH(596, 輔助計算!$E$2:$E$801, 0)+1))), "")</f>
        <v/>
      </c>
      <c r="D597" s="10">
        <f>IFERROR(IF(INDEX(ERP資料!$E:$E, (MATCH(596, 輔助計算!$E$2:$E$801, 0)+1))="","",TRIM(INDEX(ERP資料!$E:$E, (MATCH(596, 輔助計算!$E$2:$E$801, 0)+1)))), "")</f>
        <v/>
      </c>
      <c r="E597" s="10">
        <f>IFERROR(IF(INDEX(ERP資料!$F:$F, (MATCH(596, 輔助計算!$E$2:$E$801, 0)+1))="","",INDEX(ERP資料!$F:$F, (MATCH(596, 輔助計算!$E$2:$E$801, 0)+1))), "")</f>
        <v/>
      </c>
      <c r="F597" s="10">
        <f>IFERROR(IF(INDEX(ERP資料!$G:$G, (MATCH(596, 輔助計算!$E$2:$E$801, 0)+1))="","",INDEX(ERP資料!$G:$G, (MATCH(596, 輔助計算!$E$2:$E$801, 0)+1))), "")</f>
        <v/>
      </c>
      <c r="G597" s="10">
        <f>IFERROR(IF(INDEX(ERP資料!$H:$H, (MATCH(596, 輔助計算!$E$2:$E$801, 0)+1))="","",INDEX(ERP資料!$H:$H, (MATCH(596, 輔助計算!$E$2:$E$801, 0)+1))), "")</f>
        <v/>
      </c>
      <c r="H597" s="15">
        <f>IFERROR(INDEX(輔助計算!$D:$D, (MATCH(596, 輔助計算!$E$2:$E$801, 0)+1)), "")</f>
        <v/>
      </c>
      <c r="I597" s="10">
        <f>IFERROR(IF(INDEX(ERP資料!$O:$O, (MATCH(596, 輔助計算!$E$2:$E$801, 0)+1))="","",INDEX(ERP資料!$O:$O, (MATCH(596, 輔助計算!$E$2:$E$801, 0)+1))), "")</f>
        <v/>
      </c>
      <c r="J597" s="15">
        <f>IFERROR(IF(INDEX(輔助計算!$D:$D,(MATCH(596, 輔助計算!$E$2:$E$801, 0)+1))="","",INDEX(輔助計算!$D:$D,(MATCH(596, 輔助計算!$E$2:$E$801, 0)+1))*INDEX(ERP資料!$O:$O,(MATCH(596, 輔助計算!$E$2:$E$801, 0)+1))), "")</f>
        <v/>
      </c>
      <c r="K597" s="16" t="n"/>
      <c r="L597" s="16" t="n"/>
      <c r="M597" s="17" t="n"/>
    </row>
    <row r="598">
      <c r="A598" s="14">
        <f>IFERROR(IF(INDEX(ERP資料!$B:$B, (MATCH(597, 輔助計算!$E$2:$E$801, 0)+1))="","",INDEX(ERP資料!$B:$B, (MATCH(597, 輔助計算!$E$2:$E$801, 0)+1))), "")</f>
        <v/>
      </c>
      <c r="B598" s="10">
        <f>IFERROR(IF(INDEX(ERP資料!$A:$A, (MATCH(597, 輔助計算!$E$2:$E$801, 0)+1))="","",INDEX(ERP資料!$A:$A, (MATCH(597, 輔助計算!$E$2:$E$801, 0)+1))), "")</f>
        <v/>
      </c>
      <c r="C598" s="10">
        <f>IFERROR(IF(INDEX(ERP資料!$S:$S, (MATCH(597, 輔助計算!$E$2:$E$801, 0)+1))="","",INDEX(ERP資料!$S:$S, (MATCH(597, 輔助計算!$E$2:$E$801, 0)+1))), "")</f>
        <v/>
      </c>
      <c r="D598" s="10">
        <f>IFERROR(IF(INDEX(ERP資料!$E:$E, (MATCH(597, 輔助計算!$E$2:$E$801, 0)+1))="","",TRIM(INDEX(ERP資料!$E:$E, (MATCH(597, 輔助計算!$E$2:$E$801, 0)+1)))), "")</f>
        <v/>
      </c>
      <c r="E598" s="10">
        <f>IFERROR(IF(INDEX(ERP資料!$F:$F, (MATCH(597, 輔助計算!$E$2:$E$801, 0)+1))="","",INDEX(ERP資料!$F:$F, (MATCH(597, 輔助計算!$E$2:$E$801, 0)+1))), "")</f>
        <v/>
      </c>
      <c r="F598" s="10">
        <f>IFERROR(IF(INDEX(ERP資料!$G:$G, (MATCH(597, 輔助計算!$E$2:$E$801, 0)+1))="","",INDEX(ERP資料!$G:$G, (MATCH(597, 輔助計算!$E$2:$E$801, 0)+1))), "")</f>
        <v/>
      </c>
      <c r="G598" s="10">
        <f>IFERROR(IF(INDEX(ERP資料!$H:$H, (MATCH(597, 輔助計算!$E$2:$E$801, 0)+1))="","",INDEX(ERP資料!$H:$H, (MATCH(597, 輔助計算!$E$2:$E$801, 0)+1))), "")</f>
        <v/>
      </c>
      <c r="H598" s="15">
        <f>IFERROR(INDEX(輔助計算!$D:$D, (MATCH(597, 輔助計算!$E$2:$E$801, 0)+1)), "")</f>
        <v/>
      </c>
      <c r="I598" s="10">
        <f>IFERROR(IF(INDEX(ERP資料!$O:$O, (MATCH(597, 輔助計算!$E$2:$E$801, 0)+1))="","",INDEX(ERP資料!$O:$O, (MATCH(597, 輔助計算!$E$2:$E$801, 0)+1))), "")</f>
        <v/>
      </c>
      <c r="J598" s="15">
        <f>IFERROR(IF(INDEX(輔助計算!$D:$D,(MATCH(597, 輔助計算!$E$2:$E$801, 0)+1))="","",INDEX(輔助計算!$D:$D,(MATCH(597, 輔助計算!$E$2:$E$801, 0)+1))*INDEX(ERP資料!$O:$O,(MATCH(597, 輔助計算!$E$2:$E$801, 0)+1))), "")</f>
        <v/>
      </c>
      <c r="K598" s="16" t="n"/>
      <c r="L598" s="16" t="n"/>
      <c r="M598" s="17" t="n"/>
    </row>
    <row r="599">
      <c r="A599" s="14">
        <f>IFERROR(IF(INDEX(ERP資料!$B:$B, (MATCH(598, 輔助計算!$E$2:$E$801, 0)+1))="","",INDEX(ERP資料!$B:$B, (MATCH(598, 輔助計算!$E$2:$E$801, 0)+1))), "")</f>
        <v/>
      </c>
      <c r="B599" s="10">
        <f>IFERROR(IF(INDEX(ERP資料!$A:$A, (MATCH(598, 輔助計算!$E$2:$E$801, 0)+1))="","",INDEX(ERP資料!$A:$A, (MATCH(598, 輔助計算!$E$2:$E$801, 0)+1))), "")</f>
        <v/>
      </c>
      <c r="C599" s="10">
        <f>IFERROR(IF(INDEX(ERP資料!$S:$S, (MATCH(598, 輔助計算!$E$2:$E$801, 0)+1))="","",INDEX(ERP資料!$S:$S, (MATCH(598, 輔助計算!$E$2:$E$801, 0)+1))), "")</f>
        <v/>
      </c>
      <c r="D599" s="10">
        <f>IFERROR(IF(INDEX(ERP資料!$E:$E, (MATCH(598, 輔助計算!$E$2:$E$801, 0)+1))="","",TRIM(INDEX(ERP資料!$E:$E, (MATCH(598, 輔助計算!$E$2:$E$801, 0)+1)))), "")</f>
        <v/>
      </c>
      <c r="E599" s="10">
        <f>IFERROR(IF(INDEX(ERP資料!$F:$F, (MATCH(598, 輔助計算!$E$2:$E$801, 0)+1))="","",INDEX(ERP資料!$F:$F, (MATCH(598, 輔助計算!$E$2:$E$801, 0)+1))), "")</f>
        <v/>
      </c>
      <c r="F599" s="10">
        <f>IFERROR(IF(INDEX(ERP資料!$G:$G, (MATCH(598, 輔助計算!$E$2:$E$801, 0)+1))="","",INDEX(ERP資料!$G:$G, (MATCH(598, 輔助計算!$E$2:$E$801, 0)+1))), "")</f>
        <v/>
      </c>
      <c r="G599" s="10">
        <f>IFERROR(IF(INDEX(ERP資料!$H:$H, (MATCH(598, 輔助計算!$E$2:$E$801, 0)+1))="","",INDEX(ERP資料!$H:$H, (MATCH(598, 輔助計算!$E$2:$E$801, 0)+1))), "")</f>
        <v/>
      </c>
      <c r="H599" s="15">
        <f>IFERROR(INDEX(輔助計算!$D:$D, (MATCH(598, 輔助計算!$E$2:$E$801, 0)+1)), "")</f>
        <v/>
      </c>
      <c r="I599" s="10">
        <f>IFERROR(IF(INDEX(ERP資料!$O:$O, (MATCH(598, 輔助計算!$E$2:$E$801, 0)+1))="","",INDEX(ERP資料!$O:$O, (MATCH(598, 輔助計算!$E$2:$E$801, 0)+1))), "")</f>
        <v/>
      </c>
      <c r="J599" s="15">
        <f>IFERROR(IF(INDEX(輔助計算!$D:$D,(MATCH(598, 輔助計算!$E$2:$E$801, 0)+1))="","",INDEX(輔助計算!$D:$D,(MATCH(598, 輔助計算!$E$2:$E$801, 0)+1))*INDEX(ERP資料!$O:$O,(MATCH(598, 輔助計算!$E$2:$E$801, 0)+1))), "")</f>
        <v/>
      </c>
      <c r="K599" s="16" t="n"/>
      <c r="L599" s="16" t="n"/>
      <c r="M599" s="17" t="n"/>
    </row>
    <row r="600">
      <c r="A600" s="14">
        <f>IFERROR(IF(INDEX(ERP資料!$B:$B, (MATCH(599, 輔助計算!$E$2:$E$801, 0)+1))="","",INDEX(ERP資料!$B:$B, (MATCH(599, 輔助計算!$E$2:$E$801, 0)+1))), "")</f>
        <v/>
      </c>
      <c r="B600" s="10">
        <f>IFERROR(IF(INDEX(ERP資料!$A:$A, (MATCH(599, 輔助計算!$E$2:$E$801, 0)+1))="","",INDEX(ERP資料!$A:$A, (MATCH(599, 輔助計算!$E$2:$E$801, 0)+1))), "")</f>
        <v/>
      </c>
      <c r="C600" s="10">
        <f>IFERROR(IF(INDEX(ERP資料!$S:$S, (MATCH(599, 輔助計算!$E$2:$E$801, 0)+1))="","",INDEX(ERP資料!$S:$S, (MATCH(599, 輔助計算!$E$2:$E$801, 0)+1))), "")</f>
        <v/>
      </c>
      <c r="D600" s="10">
        <f>IFERROR(IF(INDEX(ERP資料!$E:$E, (MATCH(599, 輔助計算!$E$2:$E$801, 0)+1))="","",TRIM(INDEX(ERP資料!$E:$E, (MATCH(599, 輔助計算!$E$2:$E$801, 0)+1)))), "")</f>
        <v/>
      </c>
      <c r="E600" s="10">
        <f>IFERROR(IF(INDEX(ERP資料!$F:$F, (MATCH(599, 輔助計算!$E$2:$E$801, 0)+1))="","",INDEX(ERP資料!$F:$F, (MATCH(599, 輔助計算!$E$2:$E$801, 0)+1))), "")</f>
        <v/>
      </c>
      <c r="F600" s="10">
        <f>IFERROR(IF(INDEX(ERP資料!$G:$G, (MATCH(599, 輔助計算!$E$2:$E$801, 0)+1))="","",INDEX(ERP資料!$G:$G, (MATCH(599, 輔助計算!$E$2:$E$801, 0)+1))), "")</f>
        <v/>
      </c>
      <c r="G600" s="10">
        <f>IFERROR(IF(INDEX(ERP資料!$H:$H, (MATCH(599, 輔助計算!$E$2:$E$801, 0)+1))="","",INDEX(ERP資料!$H:$H, (MATCH(599, 輔助計算!$E$2:$E$801, 0)+1))), "")</f>
        <v/>
      </c>
      <c r="H600" s="15">
        <f>IFERROR(INDEX(輔助計算!$D:$D, (MATCH(599, 輔助計算!$E$2:$E$801, 0)+1)), "")</f>
        <v/>
      </c>
      <c r="I600" s="10">
        <f>IFERROR(IF(INDEX(ERP資料!$O:$O, (MATCH(599, 輔助計算!$E$2:$E$801, 0)+1))="","",INDEX(ERP資料!$O:$O, (MATCH(599, 輔助計算!$E$2:$E$801, 0)+1))), "")</f>
        <v/>
      </c>
      <c r="J600" s="15">
        <f>IFERROR(IF(INDEX(輔助計算!$D:$D,(MATCH(599, 輔助計算!$E$2:$E$801, 0)+1))="","",INDEX(輔助計算!$D:$D,(MATCH(599, 輔助計算!$E$2:$E$801, 0)+1))*INDEX(ERP資料!$O:$O,(MATCH(599, 輔助計算!$E$2:$E$801, 0)+1))), "")</f>
        <v/>
      </c>
      <c r="K600" s="16" t="n"/>
      <c r="L600" s="16" t="n"/>
      <c r="M600" s="17" t="n"/>
    </row>
    <row r="601">
      <c r="A601" s="14">
        <f>IFERROR(IF(INDEX(ERP資料!$B:$B, (MATCH(600, 輔助計算!$E$2:$E$801, 0)+1))="","",INDEX(ERP資料!$B:$B, (MATCH(600, 輔助計算!$E$2:$E$801, 0)+1))), "")</f>
        <v/>
      </c>
      <c r="B601" s="10">
        <f>IFERROR(IF(INDEX(ERP資料!$A:$A, (MATCH(600, 輔助計算!$E$2:$E$801, 0)+1))="","",INDEX(ERP資料!$A:$A, (MATCH(600, 輔助計算!$E$2:$E$801, 0)+1))), "")</f>
        <v/>
      </c>
      <c r="C601" s="10">
        <f>IFERROR(IF(INDEX(ERP資料!$S:$S, (MATCH(600, 輔助計算!$E$2:$E$801, 0)+1))="","",INDEX(ERP資料!$S:$S, (MATCH(600, 輔助計算!$E$2:$E$801, 0)+1))), "")</f>
        <v/>
      </c>
      <c r="D601" s="10">
        <f>IFERROR(IF(INDEX(ERP資料!$E:$E, (MATCH(600, 輔助計算!$E$2:$E$801, 0)+1))="","",TRIM(INDEX(ERP資料!$E:$E, (MATCH(600, 輔助計算!$E$2:$E$801, 0)+1)))), "")</f>
        <v/>
      </c>
      <c r="E601" s="10">
        <f>IFERROR(IF(INDEX(ERP資料!$F:$F, (MATCH(600, 輔助計算!$E$2:$E$801, 0)+1))="","",INDEX(ERP資料!$F:$F, (MATCH(600, 輔助計算!$E$2:$E$801, 0)+1))), "")</f>
        <v/>
      </c>
      <c r="F601" s="10">
        <f>IFERROR(IF(INDEX(ERP資料!$G:$G, (MATCH(600, 輔助計算!$E$2:$E$801, 0)+1))="","",INDEX(ERP資料!$G:$G, (MATCH(600, 輔助計算!$E$2:$E$801, 0)+1))), "")</f>
        <v/>
      </c>
      <c r="G601" s="10">
        <f>IFERROR(IF(INDEX(ERP資料!$H:$H, (MATCH(600, 輔助計算!$E$2:$E$801, 0)+1))="","",INDEX(ERP資料!$H:$H, (MATCH(600, 輔助計算!$E$2:$E$801, 0)+1))), "")</f>
        <v/>
      </c>
      <c r="H601" s="15">
        <f>IFERROR(INDEX(輔助計算!$D:$D, (MATCH(600, 輔助計算!$E$2:$E$801, 0)+1)), "")</f>
        <v/>
      </c>
      <c r="I601" s="10">
        <f>IFERROR(IF(INDEX(ERP資料!$O:$O, (MATCH(600, 輔助計算!$E$2:$E$801, 0)+1))="","",INDEX(ERP資料!$O:$O, (MATCH(600, 輔助計算!$E$2:$E$801, 0)+1))), "")</f>
        <v/>
      </c>
      <c r="J601" s="15">
        <f>IFERROR(IF(INDEX(輔助計算!$D:$D,(MATCH(600, 輔助計算!$E$2:$E$801, 0)+1))="","",INDEX(輔助計算!$D:$D,(MATCH(600, 輔助計算!$E$2:$E$801, 0)+1))*INDEX(ERP資料!$O:$O,(MATCH(600, 輔助計算!$E$2:$E$801, 0)+1))), "")</f>
        <v/>
      </c>
      <c r="K601" s="16" t="n"/>
      <c r="L601" s="16" t="n"/>
      <c r="M601" s="17" t="n"/>
    </row>
    <row r="602">
      <c r="A602" s="14">
        <f>IFERROR(IF(INDEX(ERP資料!$B:$B, (MATCH(601, 輔助計算!$E$2:$E$801, 0)+1))="","",INDEX(ERP資料!$B:$B, (MATCH(601, 輔助計算!$E$2:$E$801, 0)+1))), "")</f>
        <v/>
      </c>
      <c r="B602" s="10">
        <f>IFERROR(IF(INDEX(ERP資料!$A:$A, (MATCH(601, 輔助計算!$E$2:$E$801, 0)+1))="","",INDEX(ERP資料!$A:$A, (MATCH(601, 輔助計算!$E$2:$E$801, 0)+1))), "")</f>
        <v/>
      </c>
      <c r="C602" s="10">
        <f>IFERROR(IF(INDEX(ERP資料!$S:$S, (MATCH(601, 輔助計算!$E$2:$E$801, 0)+1))="","",INDEX(ERP資料!$S:$S, (MATCH(601, 輔助計算!$E$2:$E$801, 0)+1))), "")</f>
        <v/>
      </c>
      <c r="D602" s="10">
        <f>IFERROR(IF(INDEX(ERP資料!$E:$E, (MATCH(601, 輔助計算!$E$2:$E$801, 0)+1))="","",TRIM(INDEX(ERP資料!$E:$E, (MATCH(601, 輔助計算!$E$2:$E$801, 0)+1)))), "")</f>
        <v/>
      </c>
      <c r="E602" s="10">
        <f>IFERROR(IF(INDEX(ERP資料!$F:$F, (MATCH(601, 輔助計算!$E$2:$E$801, 0)+1))="","",INDEX(ERP資料!$F:$F, (MATCH(601, 輔助計算!$E$2:$E$801, 0)+1))), "")</f>
        <v/>
      </c>
      <c r="F602" s="10">
        <f>IFERROR(IF(INDEX(ERP資料!$G:$G, (MATCH(601, 輔助計算!$E$2:$E$801, 0)+1))="","",INDEX(ERP資料!$G:$G, (MATCH(601, 輔助計算!$E$2:$E$801, 0)+1))), "")</f>
        <v/>
      </c>
      <c r="G602" s="10">
        <f>IFERROR(IF(INDEX(ERP資料!$H:$H, (MATCH(601, 輔助計算!$E$2:$E$801, 0)+1))="","",INDEX(ERP資料!$H:$H, (MATCH(601, 輔助計算!$E$2:$E$801, 0)+1))), "")</f>
        <v/>
      </c>
      <c r="H602" s="15">
        <f>IFERROR(INDEX(輔助計算!$D:$D, (MATCH(601, 輔助計算!$E$2:$E$801, 0)+1)), "")</f>
        <v/>
      </c>
      <c r="I602" s="10">
        <f>IFERROR(IF(INDEX(ERP資料!$O:$O, (MATCH(601, 輔助計算!$E$2:$E$801, 0)+1))="","",INDEX(ERP資料!$O:$O, (MATCH(601, 輔助計算!$E$2:$E$801, 0)+1))), "")</f>
        <v/>
      </c>
      <c r="J602" s="15">
        <f>IFERROR(IF(INDEX(輔助計算!$D:$D,(MATCH(601, 輔助計算!$E$2:$E$801, 0)+1))="","",INDEX(輔助計算!$D:$D,(MATCH(601, 輔助計算!$E$2:$E$801, 0)+1))*INDEX(ERP資料!$O:$O,(MATCH(601, 輔助計算!$E$2:$E$801, 0)+1))), "")</f>
        <v/>
      </c>
      <c r="K602" s="16" t="n"/>
      <c r="L602" s="16" t="n"/>
      <c r="M602" s="17" t="n"/>
    </row>
    <row r="603">
      <c r="A603" s="14">
        <f>IFERROR(IF(INDEX(ERP資料!$B:$B, (MATCH(602, 輔助計算!$E$2:$E$801, 0)+1))="","",INDEX(ERP資料!$B:$B, (MATCH(602, 輔助計算!$E$2:$E$801, 0)+1))), "")</f>
        <v/>
      </c>
      <c r="B603" s="10">
        <f>IFERROR(IF(INDEX(ERP資料!$A:$A, (MATCH(602, 輔助計算!$E$2:$E$801, 0)+1))="","",INDEX(ERP資料!$A:$A, (MATCH(602, 輔助計算!$E$2:$E$801, 0)+1))), "")</f>
        <v/>
      </c>
      <c r="C603" s="10">
        <f>IFERROR(IF(INDEX(ERP資料!$S:$S, (MATCH(602, 輔助計算!$E$2:$E$801, 0)+1))="","",INDEX(ERP資料!$S:$S, (MATCH(602, 輔助計算!$E$2:$E$801, 0)+1))), "")</f>
        <v/>
      </c>
      <c r="D603" s="10">
        <f>IFERROR(IF(INDEX(ERP資料!$E:$E, (MATCH(602, 輔助計算!$E$2:$E$801, 0)+1))="","",TRIM(INDEX(ERP資料!$E:$E, (MATCH(602, 輔助計算!$E$2:$E$801, 0)+1)))), "")</f>
        <v/>
      </c>
      <c r="E603" s="10">
        <f>IFERROR(IF(INDEX(ERP資料!$F:$F, (MATCH(602, 輔助計算!$E$2:$E$801, 0)+1))="","",INDEX(ERP資料!$F:$F, (MATCH(602, 輔助計算!$E$2:$E$801, 0)+1))), "")</f>
        <v/>
      </c>
      <c r="F603" s="10">
        <f>IFERROR(IF(INDEX(ERP資料!$G:$G, (MATCH(602, 輔助計算!$E$2:$E$801, 0)+1))="","",INDEX(ERP資料!$G:$G, (MATCH(602, 輔助計算!$E$2:$E$801, 0)+1))), "")</f>
        <v/>
      </c>
      <c r="G603" s="10">
        <f>IFERROR(IF(INDEX(ERP資料!$H:$H, (MATCH(602, 輔助計算!$E$2:$E$801, 0)+1))="","",INDEX(ERP資料!$H:$H, (MATCH(602, 輔助計算!$E$2:$E$801, 0)+1))), "")</f>
        <v/>
      </c>
      <c r="H603" s="15">
        <f>IFERROR(INDEX(輔助計算!$D:$D, (MATCH(602, 輔助計算!$E$2:$E$801, 0)+1)), "")</f>
        <v/>
      </c>
      <c r="I603" s="10">
        <f>IFERROR(IF(INDEX(ERP資料!$O:$O, (MATCH(602, 輔助計算!$E$2:$E$801, 0)+1))="","",INDEX(ERP資料!$O:$O, (MATCH(602, 輔助計算!$E$2:$E$801, 0)+1))), "")</f>
        <v/>
      </c>
      <c r="J603" s="15">
        <f>IFERROR(IF(INDEX(輔助計算!$D:$D,(MATCH(602, 輔助計算!$E$2:$E$801, 0)+1))="","",INDEX(輔助計算!$D:$D,(MATCH(602, 輔助計算!$E$2:$E$801, 0)+1))*INDEX(ERP資料!$O:$O,(MATCH(602, 輔助計算!$E$2:$E$801, 0)+1))), "")</f>
        <v/>
      </c>
      <c r="K603" s="16" t="n"/>
      <c r="L603" s="16" t="n"/>
      <c r="M603" s="17" t="n"/>
    </row>
    <row r="604">
      <c r="A604" s="14">
        <f>IFERROR(IF(INDEX(ERP資料!$B:$B, (MATCH(603, 輔助計算!$E$2:$E$801, 0)+1))="","",INDEX(ERP資料!$B:$B, (MATCH(603, 輔助計算!$E$2:$E$801, 0)+1))), "")</f>
        <v/>
      </c>
      <c r="B604" s="10">
        <f>IFERROR(IF(INDEX(ERP資料!$A:$A, (MATCH(603, 輔助計算!$E$2:$E$801, 0)+1))="","",INDEX(ERP資料!$A:$A, (MATCH(603, 輔助計算!$E$2:$E$801, 0)+1))), "")</f>
        <v/>
      </c>
      <c r="C604" s="10">
        <f>IFERROR(IF(INDEX(ERP資料!$S:$S, (MATCH(603, 輔助計算!$E$2:$E$801, 0)+1))="","",INDEX(ERP資料!$S:$S, (MATCH(603, 輔助計算!$E$2:$E$801, 0)+1))), "")</f>
        <v/>
      </c>
      <c r="D604" s="10">
        <f>IFERROR(IF(INDEX(ERP資料!$E:$E, (MATCH(603, 輔助計算!$E$2:$E$801, 0)+1))="","",TRIM(INDEX(ERP資料!$E:$E, (MATCH(603, 輔助計算!$E$2:$E$801, 0)+1)))), "")</f>
        <v/>
      </c>
      <c r="E604" s="10">
        <f>IFERROR(IF(INDEX(ERP資料!$F:$F, (MATCH(603, 輔助計算!$E$2:$E$801, 0)+1))="","",INDEX(ERP資料!$F:$F, (MATCH(603, 輔助計算!$E$2:$E$801, 0)+1))), "")</f>
        <v/>
      </c>
      <c r="F604" s="10">
        <f>IFERROR(IF(INDEX(ERP資料!$G:$G, (MATCH(603, 輔助計算!$E$2:$E$801, 0)+1))="","",INDEX(ERP資料!$G:$G, (MATCH(603, 輔助計算!$E$2:$E$801, 0)+1))), "")</f>
        <v/>
      </c>
      <c r="G604" s="10">
        <f>IFERROR(IF(INDEX(ERP資料!$H:$H, (MATCH(603, 輔助計算!$E$2:$E$801, 0)+1))="","",INDEX(ERP資料!$H:$H, (MATCH(603, 輔助計算!$E$2:$E$801, 0)+1))), "")</f>
        <v/>
      </c>
      <c r="H604" s="15">
        <f>IFERROR(INDEX(輔助計算!$D:$D, (MATCH(603, 輔助計算!$E$2:$E$801, 0)+1)), "")</f>
        <v/>
      </c>
      <c r="I604" s="10">
        <f>IFERROR(IF(INDEX(ERP資料!$O:$O, (MATCH(603, 輔助計算!$E$2:$E$801, 0)+1))="","",INDEX(ERP資料!$O:$O, (MATCH(603, 輔助計算!$E$2:$E$801, 0)+1))), "")</f>
        <v/>
      </c>
      <c r="J604" s="15">
        <f>IFERROR(IF(INDEX(輔助計算!$D:$D,(MATCH(603, 輔助計算!$E$2:$E$801, 0)+1))="","",INDEX(輔助計算!$D:$D,(MATCH(603, 輔助計算!$E$2:$E$801, 0)+1))*INDEX(ERP資料!$O:$O,(MATCH(603, 輔助計算!$E$2:$E$801, 0)+1))), "")</f>
        <v/>
      </c>
      <c r="K604" s="16" t="n"/>
      <c r="L604" s="16" t="n"/>
      <c r="M604" s="17" t="n"/>
    </row>
    <row r="605">
      <c r="A605" s="14">
        <f>IFERROR(IF(INDEX(ERP資料!$B:$B, (MATCH(604, 輔助計算!$E$2:$E$801, 0)+1))="","",INDEX(ERP資料!$B:$B, (MATCH(604, 輔助計算!$E$2:$E$801, 0)+1))), "")</f>
        <v/>
      </c>
      <c r="B605" s="10">
        <f>IFERROR(IF(INDEX(ERP資料!$A:$A, (MATCH(604, 輔助計算!$E$2:$E$801, 0)+1))="","",INDEX(ERP資料!$A:$A, (MATCH(604, 輔助計算!$E$2:$E$801, 0)+1))), "")</f>
        <v/>
      </c>
      <c r="C605" s="10">
        <f>IFERROR(IF(INDEX(ERP資料!$S:$S, (MATCH(604, 輔助計算!$E$2:$E$801, 0)+1))="","",INDEX(ERP資料!$S:$S, (MATCH(604, 輔助計算!$E$2:$E$801, 0)+1))), "")</f>
        <v/>
      </c>
      <c r="D605" s="10">
        <f>IFERROR(IF(INDEX(ERP資料!$E:$E, (MATCH(604, 輔助計算!$E$2:$E$801, 0)+1))="","",TRIM(INDEX(ERP資料!$E:$E, (MATCH(604, 輔助計算!$E$2:$E$801, 0)+1)))), "")</f>
        <v/>
      </c>
      <c r="E605" s="10">
        <f>IFERROR(IF(INDEX(ERP資料!$F:$F, (MATCH(604, 輔助計算!$E$2:$E$801, 0)+1))="","",INDEX(ERP資料!$F:$F, (MATCH(604, 輔助計算!$E$2:$E$801, 0)+1))), "")</f>
        <v/>
      </c>
      <c r="F605" s="10">
        <f>IFERROR(IF(INDEX(ERP資料!$G:$G, (MATCH(604, 輔助計算!$E$2:$E$801, 0)+1))="","",INDEX(ERP資料!$G:$G, (MATCH(604, 輔助計算!$E$2:$E$801, 0)+1))), "")</f>
        <v/>
      </c>
      <c r="G605" s="10">
        <f>IFERROR(IF(INDEX(ERP資料!$H:$H, (MATCH(604, 輔助計算!$E$2:$E$801, 0)+1))="","",INDEX(ERP資料!$H:$H, (MATCH(604, 輔助計算!$E$2:$E$801, 0)+1))), "")</f>
        <v/>
      </c>
      <c r="H605" s="15">
        <f>IFERROR(INDEX(輔助計算!$D:$D, (MATCH(604, 輔助計算!$E$2:$E$801, 0)+1)), "")</f>
        <v/>
      </c>
      <c r="I605" s="10">
        <f>IFERROR(IF(INDEX(ERP資料!$O:$O, (MATCH(604, 輔助計算!$E$2:$E$801, 0)+1))="","",INDEX(ERP資料!$O:$O, (MATCH(604, 輔助計算!$E$2:$E$801, 0)+1))), "")</f>
        <v/>
      </c>
      <c r="J605" s="15">
        <f>IFERROR(IF(INDEX(輔助計算!$D:$D,(MATCH(604, 輔助計算!$E$2:$E$801, 0)+1))="","",INDEX(輔助計算!$D:$D,(MATCH(604, 輔助計算!$E$2:$E$801, 0)+1))*INDEX(ERP資料!$O:$O,(MATCH(604, 輔助計算!$E$2:$E$801, 0)+1))), "")</f>
        <v/>
      </c>
      <c r="K605" s="16" t="n"/>
      <c r="L605" s="16" t="n"/>
      <c r="M605" s="17" t="n"/>
    </row>
    <row r="606">
      <c r="A606" s="14">
        <f>IFERROR(IF(INDEX(ERP資料!$B:$B, (MATCH(605, 輔助計算!$E$2:$E$801, 0)+1))="","",INDEX(ERP資料!$B:$B, (MATCH(605, 輔助計算!$E$2:$E$801, 0)+1))), "")</f>
        <v/>
      </c>
      <c r="B606" s="10">
        <f>IFERROR(IF(INDEX(ERP資料!$A:$A, (MATCH(605, 輔助計算!$E$2:$E$801, 0)+1))="","",INDEX(ERP資料!$A:$A, (MATCH(605, 輔助計算!$E$2:$E$801, 0)+1))), "")</f>
        <v/>
      </c>
      <c r="C606" s="10">
        <f>IFERROR(IF(INDEX(ERP資料!$S:$S, (MATCH(605, 輔助計算!$E$2:$E$801, 0)+1))="","",INDEX(ERP資料!$S:$S, (MATCH(605, 輔助計算!$E$2:$E$801, 0)+1))), "")</f>
        <v/>
      </c>
      <c r="D606" s="10">
        <f>IFERROR(IF(INDEX(ERP資料!$E:$E, (MATCH(605, 輔助計算!$E$2:$E$801, 0)+1))="","",TRIM(INDEX(ERP資料!$E:$E, (MATCH(605, 輔助計算!$E$2:$E$801, 0)+1)))), "")</f>
        <v/>
      </c>
      <c r="E606" s="10">
        <f>IFERROR(IF(INDEX(ERP資料!$F:$F, (MATCH(605, 輔助計算!$E$2:$E$801, 0)+1))="","",INDEX(ERP資料!$F:$F, (MATCH(605, 輔助計算!$E$2:$E$801, 0)+1))), "")</f>
        <v/>
      </c>
      <c r="F606" s="10">
        <f>IFERROR(IF(INDEX(ERP資料!$G:$G, (MATCH(605, 輔助計算!$E$2:$E$801, 0)+1))="","",INDEX(ERP資料!$G:$G, (MATCH(605, 輔助計算!$E$2:$E$801, 0)+1))), "")</f>
        <v/>
      </c>
      <c r="G606" s="10">
        <f>IFERROR(IF(INDEX(ERP資料!$H:$H, (MATCH(605, 輔助計算!$E$2:$E$801, 0)+1))="","",INDEX(ERP資料!$H:$H, (MATCH(605, 輔助計算!$E$2:$E$801, 0)+1))), "")</f>
        <v/>
      </c>
      <c r="H606" s="15">
        <f>IFERROR(INDEX(輔助計算!$D:$D, (MATCH(605, 輔助計算!$E$2:$E$801, 0)+1)), "")</f>
        <v/>
      </c>
      <c r="I606" s="10">
        <f>IFERROR(IF(INDEX(ERP資料!$O:$O, (MATCH(605, 輔助計算!$E$2:$E$801, 0)+1))="","",INDEX(ERP資料!$O:$O, (MATCH(605, 輔助計算!$E$2:$E$801, 0)+1))), "")</f>
        <v/>
      </c>
      <c r="J606" s="15">
        <f>IFERROR(IF(INDEX(輔助計算!$D:$D,(MATCH(605, 輔助計算!$E$2:$E$801, 0)+1))="","",INDEX(輔助計算!$D:$D,(MATCH(605, 輔助計算!$E$2:$E$801, 0)+1))*INDEX(ERP資料!$O:$O,(MATCH(605, 輔助計算!$E$2:$E$801, 0)+1))), "")</f>
        <v/>
      </c>
      <c r="K606" s="16" t="n"/>
      <c r="L606" s="16" t="n"/>
      <c r="M606" s="17" t="n"/>
    </row>
    <row r="607">
      <c r="A607" s="14">
        <f>IFERROR(IF(INDEX(ERP資料!$B:$B, (MATCH(606, 輔助計算!$E$2:$E$801, 0)+1))="","",INDEX(ERP資料!$B:$B, (MATCH(606, 輔助計算!$E$2:$E$801, 0)+1))), "")</f>
        <v/>
      </c>
      <c r="B607" s="10">
        <f>IFERROR(IF(INDEX(ERP資料!$A:$A, (MATCH(606, 輔助計算!$E$2:$E$801, 0)+1))="","",INDEX(ERP資料!$A:$A, (MATCH(606, 輔助計算!$E$2:$E$801, 0)+1))), "")</f>
        <v/>
      </c>
      <c r="C607" s="10">
        <f>IFERROR(IF(INDEX(ERP資料!$S:$S, (MATCH(606, 輔助計算!$E$2:$E$801, 0)+1))="","",INDEX(ERP資料!$S:$S, (MATCH(606, 輔助計算!$E$2:$E$801, 0)+1))), "")</f>
        <v/>
      </c>
      <c r="D607" s="10">
        <f>IFERROR(IF(INDEX(ERP資料!$E:$E, (MATCH(606, 輔助計算!$E$2:$E$801, 0)+1))="","",TRIM(INDEX(ERP資料!$E:$E, (MATCH(606, 輔助計算!$E$2:$E$801, 0)+1)))), "")</f>
        <v/>
      </c>
      <c r="E607" s="10">
        <f>IFERROR(IF(INDEX(ERP資料!$F:$F, (MATCH(606, 輔助計算!$E$2:$E$801, 0)+1))="","",INDEX(ERP資料!$F:$F, (MATCH(606, 輔助計算!$E$2:$E$801, 0)+1))), "")</f>
        <v/>
      </c>
      <c r="F607" s="10">
        <f>IFERROR(IF(INDEX(ERP資料!$G:$G, (MATCH(606, 輔助計算!$E$2:$E$801, 0)+1))="","",INDEX(ERP資料!$G:$G, (MATCH(606, 輔助計算!$E$2:$E$801, 0)+1))), "")</f>
        <v/>
      </c>
      <c r="G607" s="10">
        <f>IFERROR(IF(INDEX(ERP資料!$H:$H, (MATCH(606, 輔助計算!$E$2:$E$801, 0)+1))="","",INDEX(ERP資料!$H:$H, (MATCH(606, 輔助計算!$E$2:$E$801, 0)+1))), "")</f>
        <v/>
      </c>
      <c r="H607" s="15">
        <f>IFERROR(INDEX(輔助計算!$D:$D, (MATCH(606, 輔助計算!$E$2:$E$801, 0)+1)), "")</f>
        <v/>
      </c>
      <c r="I607" s="10">
        <f>IFERROR(IF(INDEX(ERP資料!$O:$O, (MATCH(606, 輔助計算!$E$2:$E$801, 0)+1))="","",INDEX(ERP資料!$O:$O, (MATCH(606, 輔助計算!$E$2:$E$801, 0)+1))), "")</f>
        <v/>
      </c>
      <c r="J607" s="15">
        <f>IFERROR(IF(INDEX(輔助計算!$D:$D,(MATCH(606, 輔助計算!$E$2:$E$801, 0)+1))="","",INDEX(輔助計算!$D:$D,(MATCH(606, 輔助計算!$E$2:$E$801, 0)+1))*INDEX(ERP資料!$O:$O,(MATCH(606, 輔助計算!$E$2:$E$801, 0)+1))), "")</f>
        <v/>
      </c>
      <c r="K607" s="16" t="n"/>
      <c r="L607" s="16" t="n"/>
      <c r="M607" s="17" t="n"/>
    </row>
    <row r="608">
      <c r="A608" s="14">
        <f>IFERROR(IF(INDEX(ERP資料!$B:$B, (MATCH(607, 輔助計算!$E$2:$E$801, 0)+1))="","",INDEX(ERP資料!$B:$B, (MATCH(607, 輔助計算!$E$2:$E$801, 0)+1))), "")</f>
        <v/>
      </c>
      <c r="B608" s="10">
        <f>IFERROR(IF(INDEX(ERP資料!$A:$A, (MATCH(607, 輔助計算!$E$2:$E$801, 0)+1))="","",INDEX(ERP資料!$A:$A, (MATCH(607, 輔助計算!$E$2:$E$801, 0)+1))), "")</f>
        <v/>
      </c>
      <c r="C608" s="10">
        <f>IFERROR(IF(INDEX(ERP資料!$S:$S, (MATCH(607, 輔助計算!$E$2:$E$801, 0)+1))="","",INDEX(ERP資料!$S:$S, (MATCH(607, 輔助計算!$E$2:$E$801, 0)+1))), "")</f>
        <v/>
      </c>
      <c r="D608" s="10">
        <f>IFERROR(IF(INDEX(ERP資料!$E:$E, (MATCH(607, 輔助計算!$E$2:$E$801, 0)+1))="","",TRIM(INDEX(ERP資料!$E:$E, (MATCH(607, 輔助計算!$E$2:$E$801, 0)+1)))), "")</f>
        <v/>
      </c>
      <c r="E608" s="10">
        <f>IFERROR(IF(INDEX(ERP資料!$F:$F, (MATCH(607, 輔助計算!$E$2:$E$801, 0)+1))="","",INDEX(ERP資料!$F:$F, (MATCH(607, 輔助計算!$E$2:$E$801, 0)+1))), "")</f>
        <v/>
      </c>
      <c r="F608" s="10">
        <f>IFERROR(IF(INDEX(ERP資料!$G:$G, (MATCH(607, 輔助計算!$E$2:$E$801, 0)+1))="","",INDEX(ERP資料!$G:$G, (MATCH(607, 輔助計算!$E$2:$E$801, 0)+1))), "")</f>
        <v/>
      </c>
      <c r="G608" s="10">
        <f>IFERROR(IF(INDEX(ERP資料!$H:$H, (MATCH(607, 輔助計算!$E$2:$E$801, 0)+1))="","",INDEX(ERP資料!$H:$H, (MATCH(607, 輔助計算!$E$2:$E$801, 0)+1))), "")</f>
        <v/>
      </c>
      <c r="H608" s="15">
        <f>IFERROR(INDEX(輔助計算!$D:$D, (MATCH(607, 輔助計算!$E$2:$E$801, 0)+1)), "")</f>
        <v/>
      </c>
      <c r="I608" s="10">
        <f>IFERROR(IF(INDEX(ERP資料!$O:$O, (MATCH(607, 輔助計算!$E$2:$E$801, 0)+1))="","",INDEX(ERP資料!$O:$O, (MATCH(607, 輔助計算!$E$2:$E$801, 0)+1))), "")</f>
        <v/>
      </c>
      <c r="J608" s="15">
        <f>IFERROR(IF(INDEX(輔助計算!$D:$D,(MATCH(607, 輔助計算!$E$2:$E$801, 0)+1))="","",INDEX(輔助計算!$D:$D,(MATCH(607, 輔助計算!$E$2:$E$801, 0)+1))*INDEX(ERP資料!$O:$O,(MATCH(607, 輔助計算!$E$2:$E$801, 0)+1))), "")</f>
        <v/>
      </c>
      <c r="K608" s="16" t="n"/>
      <c r="L608" s="16" t="n"/>
      <c r="M608" s="17" t="n"/>
    </row>
    <row r="609">
      <c r="A609" s="14">
        <f>IFERROR(IF(INDEX(ERP資料!$B:$B, (MATCH(608, 輔助計算!$E$2:$E$801, 0)+1))="","",INDEX(ERP資料!$B:$B, (MATCH(608, 輔助計算!$E$2:$E$801, 0)+1))), "")</f>
        <v/>
      </c>
      <c r="B609" s="10">
        <f>IFERROR(IF(INDEX(ERP資料!$A:$A, (MATCH(608, 輔助計算!$E$2:$E$801, 0)+1))="","",INDEX(ERP資料!$A:$A, (MATCH(608, 輔助計算!$E$2:$E$801, 0)+1))), "")</f>
        <v/>
      </c>
      <c r="C609" s="10">
        <f>IFERROR(IF(INDEX(ERP資料!$S:$S, (MATCH(608, 輔助計算!$E$2:$E$801, 0)+1))="","",INDEX(ERP資料!$S:$S, (MATCH(608, 輔助計算!$E$2:$E$801, 0)+1))), "")</f>
        <v/>
      </c>
      <c r="D609" s="10">
        <f>IFERROR(IF(INDEX(ERP資料!$E:$E, (MATCH(608, 輔助計算!$E$2:$E$801, 0)+1))="","",TRIM(INDEX(ERP資料!$E:$E, (MATCH(608, 輔助計算!$E$2:$E$801, 0)+1)))), "")</f>
        <v/>
      </c>
      <c r="E609" s="10">
        <f>IFERROR(IF(INDEX(ERP資料!$F:$F, (MATCH(608, 輔助計算!$E$2:$E$801, 0)+1))="","",INDEX(ERP資料!$F:$F, (MATCH(608, 輔助計算!$E$2:$E$801, 0)+1))), "")</f>
        <v/>
      </c>
      <c r="F609" s="10">
        <f>IFERROR(IF(INDEX(ERP資料!$G:$G, (MATCH(608, 輔助計算!$E$2:$E$801, 0)+1))="","",INDEX(ERP資料!$G:$G, (MATCH(608, 輔助計算!$E$2:$E$801, 0)+1))), "")</f>
        <v/>
      </c>
      <c r="G609" s="10">
        <f>IFERROR(IF(INDEX(ERP資料!$H:$H, (MATCH(608, 輔助計算!$E$2:$E$801, 0)+1))="","",INDEX(ERP資料!$H:$H, (MATCH(608, 輔助計算!$E$2:$E$801, 0)+1))), "")</f>
        <v/>
      </c>
      <c r="H609" s="15">
        <f>IFERROR(INDEX(輔助計算!$D:$D, (MATCH(608, 輔助計算!$E$2:$E$801, 0)+1)), "")</f>
        <v/>
      </c>
      <c r="I609" s="10">
        <f>IFERROR(IF(INDEX(ERP資料!$O:$O, (MATCH(608, 輔助計算!$E$2:$E$801, 0)+1))="","",INDEX(ERP資料!$O:$O, (MATCH(608, 輔助計算!$E$2:$E$801, 0)+1))), "")</f>
        <v/>
      </c>
      <c r="J609" s="15">
        <f>IFERROR(IF(INDEX(輔助計算!$D:$D,(MATCH(608, 輔助計算!$E$2:$E$801, 0)+1))="","",INDEX(輔助計算!$D:$D,(MATCH(608, 輔助計算!$E$2:$E$801, 0)+1))*INDEX(ERP資料!$O:$O,(MATCH(608, 輔助計算!$E$2:$E$801, 0)+1))), "")</f>
        <v/>
      </c>
      <c r="K609" s="16" t="n"/>
      <c r="L609" s="16" t="n"/>
      <c r="M609" s="17" t="n"/>
    </row>
    <row r="610">
      <c r="A610" s="14">
        <f>IFERROR(IF(INDEX(ERP資料!$B:$B, (MATCH(609, 輔助計算!$E$2:$E$801, 0)+1))="","",INDEX(ERP資料!$B:$B, (MATCH(609, 輔助計算!$E$2:$E$801, 0)+1))), "")</f>
        <v/>
      </c>
      <c r="B610" s="10">
        <f>IFERROR(IF(INDEX(ERP資料!$A:$A, (MATCH(609, 輔助計算!$E$2:$E$801, 0)+1))="","",INDEX(ERP資料!$A:$A, (MATCH(609, 輔助計算!$E$2:$E$801, 0)+1))), "")</f>
        <v/>
      </c>
      <c r="C610" s="10">
        <f>IFERROR(IF(INDEX(ERP資料!$S:$S, (MATCH(609, 輔助計算!$E$2:$E$801, 0)+1))="","",INDEX(ERP資料!$S:$S, (MATCH(609, 輔助計算!$E$2:$E$801, 0)+1))), "")</f>
        <v/>
      </c>
      <c r="D610" s="10">
        <f>IFERROR(IF(INDEX(ERP資料!$E:$E, (MATCH(609, 輔助計算!$E$2:$E$801, 0)+1))="","",TRIM(INDEX(ERP資料!$E:$E, (MATCH(609, 輔助計算!$E$2:$E$801, 0)+1)))), "")</f>
        <v/>
      </c>
      <c r="E610" s="10">
        <f>IFERROR(IF(INDEX(ERP資料!$F:$F, (MATCH(609, 輔助計算!$E$2:$E$801, 0)+1))="","",INDEX(ERP資料!$F:$F, (MATCH(609, 輔助計算!$E$2:$E$801, 0)+1))), "")</f>
        <v/>
      </c>
      <c r="F610" s="10">
        <f>IFERROR(IF(INDEX(ERP資料!$G:$G, (MATCH(609, 輔助計算!$E$2:$E$801, 0)+1))="","",INDEX(ERP資料!$G:$G, (MATCH(609, 輔助計算!$E$2:$E$801, 0)+1))), "")</f>
        <v/>
      </c>
      <c r="G610" s="10">
        <f>IFERROR(IF(INDEX(ERP資料!$H:$H, (MATCH(609, 輔助計算!$E$2:$E$801, 0)+1))="","",INDEX(ERP資料!$H:$H, (MATCH(609, 輔助計算!$E$2:$E$801, 0)+1))), "")</f>
        <v/>
      </c>
      <c r="H610" s="15">
        <f>IFERROR(INDEX(輔助計算!$D:$D, (MATCH(609, 輔助計算!$E$2:$E$801, 0)+1)), "")</f>
        <v/>
      </c>
      <c r="I610" s="10">
        <f>IFERROR(IF(INDEX(ERP資料!$O:$O, (MATCH(609, 輔助計算!$E$2:$E$801, 0)+1))="","",INDEX(ERP資料!$O:$O, (MATCH(609, 輔助計算!$E$2:$E$801, 0)+1))), "")</f>
        <v/>
      </c>
      <c r="J610" s="15">
        <f>IFERROR(IF(INDEX(輔助計算!$D:$D,(MATCH(609, 輔助計算!$E$2:$E$801, 0)+1))="","",INDEX(輔助計算!$D:$D,(MATCH(609, 輔助計算!$E$2:$E$801, 0)+1))*INDEX(ERP資料!$O:$O,(MATCH(609, 輔助計算!$E$2:$E$801, 0)+1))), "")</f>
        <v/>
      </c>
      <c r="K610" s="16" t="n"/>
      <c r="L610" s="16" t="n"/>
      <c r="M610" s="17" t="n"/>
    </row>
    <row r="611">
      <c r="A611" s="14">
        <f>IFERROR(IF(INDEX(ERP資料!$B:$B, (MATCH(610, 輔助計算!$E$2:$E$801, 0)+1))="","",INDEX(ERP資料!$B:$B, (MATCH(610, 輔助計算!$E$2:$E$801, 0)+1))), "")</f>
        <v/>
      </c>
      <c r="B611" s="10">
        <f>IFERROR(IF(INDEX(ERP資料!$A:$A, (MATCH(610, 輔助計算!$E$2:$E$801, 0)+1))="","",INDEX(ERP資料!$A:$A, (MATCH(610, 輔助計算!$E$2:$E$801, 0)+1))), "")</f>
        <v/>
      </c>
      <c r="C611" s="10">
        <f>IFERROR(IF(INDEX(ERP資料!$S:$S, (MATCH(610, 輔助計算!$E$2:$E$801, 0)+1))="","",INDEX(ERP資料!$S:$S, (MATCH(610, 輔助計算!$E$2:$E$801, 0)+1))), "")</f>
        <v/>
      </c>
      <c r="D611" s="10">
        <f>IFERROR(IF(INDEX(ERP資料!$E:$E, (MATCH(610, 輔助計算!$E$2:$E$801, 0)+1))="","",TRIM(INDEX(ERP資料!$E:$E, (MATCH(610, 輔助計算!$E$2:$E$801, 0)+1)))), "")</f>
        <v/>
      </c>
      <c r="E611" s="10">
        <f>IFERROR(IF(INDEX(ERP資料!$F:$F, (MATCH(610, 輔助計算!$E$2:$E$801, 0)+1))="","",INDEX(ERP資料!$F:$F, (MATCH(610, 輔助計算!$E$2:$E$801, 0)+1))), "")</f>
        <v/>
      </c>
      <c r="F611" s="10">
        <f>IFERROR(IF(INDEX(ERP資料!$G:$G, (MATCH(610, 輔助計算!$E$2:$E$801, 0)+1))="","",INDEX(ERP資料!$G:$G, (MATCH(610, 輔助計算!$E$2:$E$801, 0)+1))), "")</f>
        <v/>
      </c>
      <c r="G611" s="10">
        <f>IFERROR(IF(INDEX(ERP資料!$H:$H, (MATCH(610, 輔助計算!$E$2:$E$801, 0)+1))="","",INDEX(ERP資料!$H:$H, (MATCH(610, 輔助計算!$E$2:$E$801, 0)+1))), "")</f>
        <v/>
      </c>
      <c r="H611" s="15">
        <f>IFERROR(INDEX(輔助計算!$D:$D, (MATCH(610, 輔助計算!$E$2:$E$801, 0)+1)), "")</f>
        <v/>
      </c>
      <c r="I611" s="10">
        <f>IFERROR(IF(INDEX(ERP資料!$O:$O, (MATCH(610, 輔助計算!$E$2:$E$801, 0)+1))="","",INDEX(ERP資料!$O:$O, (MATCH(610, 輔助計算!$E$2:$E$801, 0)+1))), "")</f>
        <v/>
      </c>
      <c r="J611" s="15">
        <f>IFERROR(IF(INDEX(輔助計算!$D:$D,(MATCH(610, 輔助計算!$E$2:$E$801, 0)+1))="","",INDEX(輔助計算!$D:$D,(MATCH(610, 輔助計算!$E$2:$E$801, 0)+1))*INDEX(ERP資料!$O:$O,(MATCH(610, 輔助計算!$E$2:$E$801, 0)+1))), "")</f>
        <v/>
      </c>
      <c r="K611" s="16" t="n"/>
      <c r="L611" s="16" t="n"/>
      <c r="M611" s="17" t="n"/>
    </row>
    <row r="612">
      <c r="A612" s="14">
        <f>IFERROR(IF(INDEX(ERP資料!$B:$B, (MATCH(611, 輔助計算!$E$2:$E$801, 0)+1))="","",INDEX(ERP資料!$B:$B, (MATCH(611, 輔助計算!$E$2:$E$801, 0)+1))), "")</f>
        <v/>
      </c>
      <c r="B612" s="10">
        <f>IFERROR(IF(INDEX(ERP資料!$A:$A, (MATCH(611, 輔助計算!$E$2:$E$801, 0)+1))="","",INDEX(ERP資料!$A:$A, (MATCH(611, 輔助計算!$E$2:$E$801, 0)+1))), "")</f>
        <v/>
      </c>
      <c r="C612" s="10">
        <f>IFERROR(IF(INDEX(ERP資料!$S:$S, (MATCH(611, 輔助計算!$E$2:$E$801, 0)+1))="","",INDEX(ERP資料!$S:$S, (MATCH(611, 輔助計算!$E$2:$E$801, 0)+1))), "")</f>
        <v/>
      </c>
      <c r="D612" s="10">
        <f>IFERROR(IF(INDEX(ERP資料!$E:$E, (MATCH(611, 輔助計算!$E$2:$E$801, 0)+1))="","",TRIM(INDEX(ERP資料!$E:$E, (MATCH(611, 輔助計算!$E$2:$E$801, 0)+1)))), "")</f>
        <v/>
      </c>
      <c r="E612" s="10">
        <f>IFERROR(IF(INDEX(ERP資料!$F:$F, (MATCH(611, 輔助計算!$E$2:$E$801, 0)+1))="","",INDEX(ERP資料!$F:$F, (MATCH(611, 輔助計算!$E$2:$E$801, 0)+1))), "")</f>
        <v/>
      </c>
      <c r="F612" s="10">
        <f>IFERROR(IF(INDEX(ERP資料!$G:$G, (MATCH(611, 輔助計算!$E$2:$E$801, 0)+1))="","",INDEX(ERP資料!$G:$G, (MATCH(611, 輔助計算!$E$2:$E$801, 0)+1))), "")</f>
        <v/>
      </c>
      <c r="G612" s="10">
        <f>IFERROR(IF(INDEX(ERP資料!$H:$H, (MATCH(611, 輔助計算!$E$2:$E$801, 0)+1))="","",INDEX(ERP資料!$H:$H, (MATCH(611, 輔助計算!$E$2:$E$801, 0)+1))), "")</f>
        <v/>
      </c>
      <c r="H612" s="15">
        <f>IFERROR(INDEX(輔助計算!$D:$D, (MATCH(611, 輔助計算!$E$2:$E$801, 0)+1)), "")</f>
        <v/>
      </c>
      <c r="I612" s="10">
        <f>IFERROR(IF(INDEX(ERP資料!$O:$O, (MATCH(611, 輔助計算!$E$2:$E$801, 0)+1))="","",INDEX(ERP資料!$O:$O, (MATCH(611, 輔助計算!$E$2:$E$801, 0)+1))), "")</f>
        <v/>
      </c>
      <c r="J612" s="15">
        <f>IFERROR(IF(INDEX(輔助計算!$D:$D,(MATCH(611, 輔助計算!$E$2:$E$801, 0)+1))="","",INDEX(輔助計算!$D:$D,(MATCH(611, 輔助計算!$E$2:$E$801, 0)+1))*INDEX(ERP資料!$O:$O,(MATCH(611, 輔助計算!$E$2:$E$801, 0)+1))), "")</f>
        <v/>
      </c>
      <c r="K612" s="16" t="n"/>
      <c r="L612" s="16" t="n"/>
      <c r="M612" s="17" t="n"/>
    </row>
    <row r="613">
      <c r="A613" s="14">
        <f>IFERROR(IF(INDEX(ERP資料!$B:$B, (MATCH(612, 輔助計算!$E$2:$E$801, 0)+1))="","",INDEX(ERP資料!$B:$B, (MATCH(612, 輔助計算!$E$2:$E$801, 0)+1))), "")</f>
        <v/>
      </c>
      <c r="B613" s="10">
        <f>IFERROR(IF(INDEX(ERP資料!$A:$A, (MATCH(612, 輔助計算!$E$2:$E$801, 0)+1))="","",INDEX(ERP資料!$A:$A, (MATCH(612, 輔助計算!$E$2:$E$801, 0)+1))), "")</f>
        <v/>
      </c>
      <c r="C613" s="10">
        <f>IFERROR(IF(INDEX(ERP資料!$S:$S, (MATCH(612, 輔助計算!$E$2:$E$801, 0)+1))="","",INDEX(ERP資料!$S:$S, (MATCH(612, 輔助計算!$E$2:$E$801, 0)+1))), "")</f>
        <v/>
      </c>
      <c r="D613" s="10">
        <f>IFERROR(IF(INDEX(ERP資料!$E:$E, (MATCH(612, 輔助計算!$E$2:$E$801, 0)+1))="","",TRIM(INDEX(ERP資料!$E:$E, (MATCH(612, 輔助計算!$E$2:$E$801, 0)+1)))), "")</f>
        <v/>
      </c>
      <c r="E613" s="10">
        <f>IFERROR(IF(INDEX(ERP資料!$F:$F, (MATCH(612, 輔助計算!$E$2:$E$801, 0)+1))="","",INDEX(ERP資料!$F:$F, (MATCH(612, 輔助計算!$E$2:$E$801, 0)+1))), "")</f>
        <v/>
      </c>
      <c r="F613" s="10">
        <f>IFERROR(IF(INDEX(ERP資料!$G:$G, (MATCH(612, 輔助計算!$E$2:$E$801, 0)+1))="","",INDEX(ERP資料!$G:$G, (MATCH(612, 輔助計算!$E$2:$E$801, 0)+1))), "")</f>
        <v/>
      </c>
      <c r="G613" s="10">
        <f>IFERROR(IF(INDEX(ERP資料!$H:$H, (MATCH(612, 輔助計算!$E$2:$E$801, 0)+1))="","",INDEX(ERP資料!$H:$H, (MATCH(612, 輔助計算!$E$2:$E$801, 0)+1))), "")</f>
        <v/>
      </c>
      <c r="H613" s="15">
        <f>IFERROR(INDEX(輔助計算!$D:$D, (MATCH(612, 輔助計算!$E$2:$E$801, 0)+1)), "")</f>
        <v/>
      </c>
      <c r="I613" s="10">
        <f>IFERROR(IF(INDEX(ERP資料!$O:$O, (MATCH(612, 輔助計算!$E$2:$E$801, 0)+1))="","",INDEX(ERP資料!$O:$O, (MATCH(612, 輔助計算!$E$2:$E$801, 0)+1))), "")</f>
        <v/>
      </c>
      <c r="J613" s="15">
        <f>IFERROR(IF(INDEX(輔助計算!$D:$D,(MATCH(612, 輔助計算!$E$2:$E$801, 0)+1))="","",INDEX(輔助計算!$D:$D,(MATCH(612, 輔助計算!$E$2:$E$801, 0)+1))*INDEX(ERP資料!$O:$O,(MATCH(612, 輔助計算!$E$2:$E$801, 0)+1))), "")</f>
        <v/>
      </c>
      <c r="K613" s="16" t="n"/>
      <c r="L613" s="16" t="n"/>
      <c r="M613" s="17" t="n"/>
    </row>
    <row r="614">
      <c r="A614" s="14">
        <f>IFERROR(IF(INDEX(ERP資料!$B:$B, (MATCH(613, 輔助計算!$E$2:$E$801, 0)+1))="","",INDEX(ERP資料!$B:$B, (MATCH(613, 輔助計算!$E$2:$E$801, 0)+1))), "")</f>
        <v/>
      </c>
      <c r="B614" s="10">
        <f>IFERROR(IF(INDEX(ERP資料!$A:$A, (MATCH(613, 輔助計算!$E$2:$E$801, 0)+1))="","",INDEX(ERP資料!$A:$A, (MATCH(613, 輔助計算!$E$2:$E$801, 0)+1))), "")</f>
        <v/>
      </c>
      <c r="C614" s="10">
        <f>IFERROR(IF(INDEX(ERP資料!$S:$S, (MATCH(613, 輔助計算!$E$2:$E$801, 0)+1))="","",INDEX(ERP資料!$S:$S, (MATCH(613, 輔助計算!$E$2:$E$801, 0)+1))), "")</f>
        <v/>
      </c>
      <c r="D614" s="10">
        <f>IFERROR(IF(INDEX(ERP資料!$E:$E, (MATCH(613, 輔助計算!$E$2:$E$801, 0)+1))="","",TRIM(INDEX(ERP資料!$E:$E, (MATCH(613, 輔助計算!$E$2:$E$801, 0)+1)))), "")</f>
        <v/>
      </c>
      <c r="E614" s="10">
        <f>IFERROR(IF(INDEX(ERP資料!$F:$F, (MATCH(613, 輔助計算!$E$2:$E$801, 0)+1))="","",INDEX(ERP資料!$F:$F, (MATCH(613, 輔助計算!$E$2:$E$801, 0)+1))), "")</f>
        <v/>
      </c>
      <c r="F614" s="10">
        <f>IFERROR(IF(INDEX(ERP資料!$G:$G, (MATCH(613, 輔助計算!$E$2:$E$801, 0)+1))="","",INDEX(ERP資料!$G:$G, (MATCH(613, 輔助計算!$E$2:$E$801, 0)+1))), "")</f>
        <v/>
      </c>
      <c r="G614" s="10">
        <f>IFERROR(IF(INDEX(ERP資料!$H:$H, (MATCH(613, 輔助計算!$E$2:$E$801, 0)+1))="","",INDEX(ERP資料!$H:$H, (MATCH(613, 輔助計算!$E$2:$E$801, 0)+1))), "")</f>
        <v/>
      </c>
      <c r="H614" s="15">
        <f>IFERROR(INDEX(輔助計算!$D:$D, (MATCH(613, 輔助計算!$E$2:$E$801, 0)+1)), "")</f>
        <v/>
      </c>
      <c r="I614" s="10">
        <f>IFERROR(IF(INDEX(ERP資料!$O:$O, (MATCH(613, 輔助計算!$E$2:$E$801, 0)+1))="","",INDEX(ERP資料!$O:$O, (MATCH(613, 輔助計算!$E$2:$E$801, 0)+1))), "")</f>
        <v/>
      </c>
      <c r="J614" s="15">
        <f>IFERROR(IF(INDEX(輔助計算!$D:$D,(MATCH(613, 輔助計算!$E$2:$E$801, 0)+1))="","",INDEX(輔助計算!$D:$D,(MATCH(613, 輔助計算!$E$2:$E$801, 0)+1))*INDEX(ERP資料!$O:$O,(MATCH(613, 輔助計算!$E$2:$E$801, 0)+1))), "")</f>
        <v/>
      </c>
      <c r="K614" s="16" t="n"/>
      <c r="L614" s="16" t="n"/>
      <c r="M614" s="17" t="n"/>
    </row>
    <row r="615">
      <c r="A615" s="14">
        <f>IFERROR(IF(INDEX(ERP資料!$B:$B, (MATCH(614, 輔助計算!$E$2:$E$801, 0)+1))="","",INDEX(ERP資料!$B:$B, (MATCH(614, 輔助計算!$E$2:$E$801, 0)+1))), "")</f>
        <v/>
      </c>
      <c r="B615" s="10">
        <f>IFERROR(IF(INDEX(ERP資料!$A:$A, (MATCH(614, 輔助計算!$E$2:$E$801, 0)+1))="","",INDEX(ERP資料!$A:$A, (MATCH(614, 輔助計算!$E$2:$E$801, 0)+1))), "")</f>
        <v/>
      </c>
      <c r="C615" s="10">
        <f>IFERROR(IF(INDEX(ERP資料!$S:$S, (MATCH(614, 輔助計算!$E$2:$E$801, 0)+1))="","",INDEX(ERP資料!$S:$S, (MATCH(614, 輔助計算!$E$2:$E$801, 0)+1))), "")</f>
        <v/>
      </c>
      <c r="D615" s="10">
        <f>IFERROR(IF(INDEX(ERP資料!$E:$E, (MATCH(614, 輔助計算!$E$2:$E$801, 0)+1))="","",TRIM(INDEX(ERP資料!$E:$E, (MATCH(614, 輔助計算!$E$2:$E$801, 0)+1)))), "")</f>
        <v/>
      </c>
      <c r="E615" s="10">
        <f>IFERROR(IF(INDEX(ERP資料!$F:$F, (MATCH(614, 輔助計算!$E$2:$E$801, 0)+1))="","",INDEX(ERP資料!$F:$F, (MATCH(614, 輔助計算!$E$2:$E$801, 0)+1))), "")</f>
        <v/>
      </c>
      <c r="F615" s="10">
        <f>IFERROR(IF(INDEX(ERP資料!$G:$G, (MATCH(614, 輔助計算!$E$2:$E$801, 0)+1))="","",INDEX(ERP資料!$G:$G, (MATCH(614, 輔助計算!$E$2:$E$801, 0)+1))), "")</f>
        <v/>
      </c>
      <c r="G615" s="10">
        <f>IFERROR(IF(INDEX(ERP資料!$H:$H, (MATCH(614, 輔助計算!$E$2:$E$801, 0)+1))="","",INDEX(ERP資料!$H:$H, (MATCH(614, 輔助計算!$E$2:$E$801, 0)+1))), "")</f>
        <v/>
      </c>
      <c r="H615" s="15">
        <f>IFERROR(INDEX(輔助計算!$D:$D, (MATCH(614, 輔助計算!$E$2:$E$801, 0)+1)), "")</f>
        <v/>
      </c>
      <c r="I615" s="10">
        <f>IFERROR(IF(INDEX(ERP資料!$O:$O, (MATCH(614, 輔助計算!$E$2:$E$801, 0)+1))="","",INDEX(ERP資料!$O:$O, (MATCH(614, 輔助計算!$E$2:$E$801, 0)+1))), "")</f>
        <v/>
      </c>
      <c r="J615" s="15">
        <f>IFERROR(IF(INDEX(輔助計算!$D:$D,(MATCH(614, 輔助計算!$E$2:$E$801, 0)+1))="","",INDEX(輔助計算!$D:$D,(MATCH(614, 輔助計算!$E$2:$E$801, 0)+1))*INDEX(ERP資料!$O:$O,(MATCH(614, 輔助計算!$E$2:$E$801, 0)+1))), "")</f>
        <v/>
      </c>
      <c r="K615" s="16" t="n"/>
      <c r="L615" s="16" t="n"/>
      <c r="M615" s="17" t="n"/>
    </row>
    <row r="616">
      <c r="A616" s="14">
        <f>IFERROR(IF(INDEX(ERP資料!$B:$B, (MATCH(615, 輔助計算!$E$2:$E$801, 0)+1))="","",INDEX(ERP資料!$B:$B, (MATCH(615, 輔助計算!$E$2:$E$801, 0)+1))), "")</f>
        <v/>
      </c>
      <c r="B616" s="10">
        <f>IFERROR(IF(INDEX(ERP資料!$A:$A, (MATCH(615, 輔助計算!$E$2:$E$801, 0)+1))="","",INDEX(ERP資料!$A:$A, (MATCH(615, 輔助計算!$E$2:$E$801, 0)+1))), "")</f>
        <v/>
      </c>
      <c r="C616" s="10">
        <f>IFERROR(IF(INDEX(ERP資料!$S:$S, (MATCH(615, 輔助計算!$E$2:$E$801, 0)+1))="","",INDEX(ERP資料!$S:$S, (MATCH(615, 輔助計算!$E$2:$E$801, 0)+1))), "")</f>
        <v/>
      </c>
      <c r="D616" s="10">
        <f>IFERROR(IF(INDEX(ERP資料!$E:$E, (MATCH(615, 輔助計算!$E$2:$E$801, 0)+1))="","",TRIM(INDEX(ERP資料!$E:$E, (MATCH(615, 輔助計算!$E$2:$E$801, 0)+1)))), "")</f>
        <v/>
      </c>
      <c r="E616" s="10">
        <f>IFERROR(IF(INDEX(ERP資料!$F:$F, (MATCH(615, 輔助計算!$E$2:$E$801, 0)+1))="","",INDEX(ERP資料!$F:$F, (MATCH(615, 輔助計算!$E$2:$E$801, 0)+1))), "")</f>
        <v/>
      </c>
      <c r="F616" s="10">
        <f>IFERROR(IF(INDEX(ERP資料!$G:$G, (MATCH(615, 輔助計算!$E$2:$E$801, 0)+1))="","",INDEX(ERP資料!$G:$G, (MATCH(615, 輔助計算!$E$2:$E$801, 0)+1))), "")</f>
        <v/>
      </c>
      <c r="G616" s="10">
        <f>IFERROR(IF(INDEX(ERP資料!$H:$H, (MATCH(615, 輔助計算!$E$2:$E$801, 0)+1))="","",INDEX(ERP資料!$H:$H, (MATCH(615, 輔助計算!$E$2:$E$801, 0)+1))), "")</f>
        <v/>
      </c>
      <c r="H616" s="15">
        <f>IFERROR(INDEX(輔助計算!$D:$D, (MATCH(615, 輔助計算!$E$2:$E$801, 0)+1)), "")</f>
        <v/>
      </c>
      <c r="I616" s="10">
        <f>IFERROR(IF(INDEX(ERP資料!$O:$O, (MATCH(615, 輔助計算!$E$2:$E$801, 0)+1))="","",INDEX(ERP資料!$O:$O, (MATCH(615, 輔助計算!$E$2:$E$801, 0)+1))), "")</f>
        <v/>
      </c>
      <c r="J616" s="15">
        <f>IFERROR(IF(INDEX(輔助計算!$D:$D,(MATCH(615, 輔助計算!$E$2:$E$801, 0)+1))="","",INDEX(輔助計算!$D:$D,(MATCH(615, 輔助計算!$E$2:$E$801, 0)+1))*INDEX(ERP資料!$O:$O,(MATCH(615, 輔助計算!$E$2:$E$801, 0)+1))), "")</f>
        <v/>
      </c>
      <c r="K616" s="16" t="n"/>
      <c r="L616" s="16" t="n"/>
      <c r="M616" s="17" t="n"/>
    </row>
    <row r="617">
      <c r="A617" s="14">
        <f>IFERROR(IF(INDEX(ERP資料!$B:$B, (MATCH(616, 輔助計算!$E$2:$E$801, 0)+1))="","",INDEX(ERP資料!$B:$B, (MATCH(616, 輔助計算!$E$2:$E$801, 0)+1))), "")</f>
        <v/>
      </c>
      <c r="B617" s="10">
        <f>IFERROR(IF(INDEX(ERP資料!$A:$A, (MATCH(616, 輔助計算!$E$2:$E$801, 0)+1))="","",INDEX(ERP資料!$A:$A, (MATCH(616, 輔助計算!$E$2:$E$801, 0)+1))), "")</f>
        <v/>
      </c>
      <c r="C617" s="10">
        <f>IFERROR(IF(INDEX(ERP資料!$S:$S, (MATCH(616, 輔助計算!$E$2:$E$801, 0)+1))="","",INDEX(ERP資料!$S:$S, (MATCH(616, 輔助計算!$E$2:$E$801, 0)+1))), "")</f>
        <v/>
      </c>
      <c r="D617" s="10">
        <f>IFERROR(IF(INDEX(ERP資料!$E:$E, (MATCH(616, 輔助計算!$E$2:$E$801, 0)+1))="","",TRIM(INDEX(ERP資料!$E:$E, (MATCH(616, 輔助計算!$E$2:$E$801, 0)+1)))), "")</f>
        <v/>
      </c>
      <c r="E617" s="10">
        <f>IFERROR(IF(INDEX(ERP資料!$F:$F, (MATCH(616, 輔助計算!$E$2:$E$801, 0)+1))="","",INDEX(ERP資料!$F:$F, (MATCH(616, 輔助計算!$E$2:$E$801, 0)+1))), "")</f>
        <v/>
      </c>
      <c r="F617" s="10">
        <f>IFERROR(IF(INDEX(ERP資料!$G:$G, (MATCH(616, 輔助計算!$E$2:$E$801, 0)+1))="","",INDEX(ERP資料!$G:$G, (MATCH(616, 輔助計算!$E$2:$E$801, 0)+1))), "")</f>
        <v/>
      </c>
      <c r="G617" s="10">
        <f>IFERROR(IF(INDEX(ERP資料!$H:$H, (MATCH(616, 輔助計算!$E$2:$E$801, 0)+1))="","",INDEX(ERP資料!$H:$H, (MATCH(616, 輔助計算!$E$2:$E$801, 0)+1))), "")</f>
        <v/>
      </c>
      <c r="H617" s="15">
        <f>IFERROR(INDEX(輔助計算!$D:$D, (MATCH(616, 輔助計算!$E$2:$E$801, 0)+1)), "")</f>
        <v/>
      </c>
      <c r="I617" s="10">
        <f>IFERROR(IF(INDEX(ERP資料!$O:$O, (MATCH(616, 輔助計算!$E$2:$E$801, 0)+1))="","",INDEX(ERP資料!$O:$O, (MATCH(616, 輔助計算!$E$2:$E$801, 0)+1))), "")</f>
        <v/>
      </c>
      <c r="J617" s="15">
        <f>IFERROR(IF(INDEX(輔助計算!$D:$D,(MATCH(616, 輔助計算!$E$2:$E$801, 0)+1))="","",INDEX(輔助計算!$D:$D,(MATCH(616, 輔助計算!$E$2:$E$801, 0)+1))*INDEX(ERP資料!$O:$O,(MATCH(616, 輔助計算!$E$2:$E$801, 0)+1))), "")</f>
        <v/>
      </c>
      <c r="K617" s="16" t="n"/>
      <c r="L617" s="16" t="n"/>
      <c r="M617" s="17" t="n"/>
    </row>
    <row r="618">
      <c r="A618" s="14">
        <f>IFERROR(IF(INDEX(ERP資料!$B:$B, (MATCH(617, 輔助計算!$E$2:$E$801, 0)+1))="","",INDEX(ERP資料!$B:$B, (MATCH(617, 輔助計算!$E$2:$E$801, 0)+1))), "")</f>
        <v/>
      </c>
      <c r="B618" s="10">
        <f>IFERROR(IF(INDEX(ERP資料!$A:$A, (MATCH(617, 輔助計算!$E$2:$E$801, 0)+1))="","",INDEX(ERP資料!$A:$A, (MATCH(617, 輔助計算!$E$2:$E$801, 0)+1))), "")</f>
        <v/>
      </c>
      <c r="C618" s="10">
        <f>IFERROR(IF(INDEX(ERP資料!$S:$S, (MATCH(617, 輔助計算!$E$2:$E$801, 0)+1))="","",INDEX(ERP資料!$S:$S, (MATCH(617, 輔助計算!$E$2:$E$801, 0)+1))), "")</f>
        <v/>
      </c>
      <c r="D618" s="10">
        <f>IFERROR(IF(INDEX(ERP資料!$E:$E, (MATCH(617, 輔助計算!$E$2:$E$801, 0)+1))="","",TRIM(INDEX(ERP資料!$E:$E, (MATCH(617, 輔助計算!$E$2:$E$801, 0)+1)))), "")</f>
        <v/>
      </c>
      <c r="E618" s="10">
        <f>IFERROR(IF(INDEX(ERP資料!$F:$F, (MATCH(617, 輔助計算!$E$2:$E$801, 0)+1))="","",INDEX(ERP資料!$F:$F, (MATCH(617, 輔助計算!$E$2:$E$801, 0)+1))), "")</f>
        <v/>
      </c>
      <c r="F618" s="10">
        <f>IFERROR(IF(INDEX(ERP資料!$G:$G, (MATCH(617, 輔助計算!$E$2:$E$801, 0)+1))="","",INDEX(ERP資料!$G:$G, (MATCH(617, 輔助計算!$E$2:$E$801, 0)+1))), "")</f>
        <v/>
      </c>
      <c r="G618" s="10">
        <f>IFERROR(IF(INDEX(ERP資料!$H:$H, (MATCH(617, 輔助計算!$E$2:$E$801, 0)+1))="","",INDEX(ERP資料!$H:$H, (MATCH(617, 輔助計算!$E$2:$E$801, 0)+1))), "")</f>
        <v/>
      </c>
      <c r="H618" s="15">
        <f>IFERROR(INDEX(輔助計算!$D:$D, (MATCH(617, 輔助計算!$E$2:$E$801, 0)+1)), "")</f>
        <v/>
      </c>
      <c r="I618" s="10">
        <f>IFERROR(IF(INDEX(ERP資料!$O:$O, (MATCH(617, 輔助計算!$E$2:$E$801, 0)+1))="","",INDEX(ERP資料!$O:$O, (MATCH(617, 輔助計算!$E$2:$E$801, 0)+1))), "")</f>
        <v/>
      </c>
      <c r="J618" s="15">
        <f>IFERROR(IF(INDEX(輔助計算!$D:$D,(MATCH(617, 輔助計算!$E$2:$E$801, 0)+1))="","",INDEX(輔助計算!$D:$D,(MATCH(617, 輔助計算!$E$2:$E$801, 0)+1))*INDEX(ERP資料!$O:$O,(MATCH(617, 輔助計算!$E$2:$E$801, 0)+1))), "")</f>
        <v/>
      </c>
      <c r="K618" s="16" t="n"/>
      <c r="L618" s="16" t="n"/>
      <c r="M618" s="17" t="n"/>
    </row>
    <row r="619">
      <c r="A619" s="14">
        <f>IFERROR(IF(INDEX(ERP資料!$B:$B, (MATCH(618, 輔助計算!$E$2:$E$801, 0)+1))="","",INDEX(ERP資料!$B:$B, (MATCH(618, 輔助計算!$E$2:$E$801, 0)+1))), "")</f>
        <v/>
      </c>
      <c r="B619" s="10">
        <f>IFERROR(IF(INDEX(ERP資料!$A:$A, (MATCH(618, 輔助計算!$E$2:$E$801, 0)+1))="","",INDEX(ERP資料!$A:$A, (MATCH(618, 輔助計算!$E$2:$E$801, 0)+1))), "")</f>
        <v/>
      </c>
      <c r="C619" s="10">
        <f>IFERROR(IF(INDEX(ERP資料!$S:$S, (MATCH(618, 輔助計算!$E$2:$E$801, 0)+1))="","",INDEX(ERP資料!$S:$S, (MATCH(618, 輔助計算!$E$2:$E$801, 0)+1))), "")</f>
        <v/>
      </c>
      <c r="D619" s="10">
        <f>IFERROR(IF(INDEX(ERP資料!$E:$E, (MATCH(618, 輔助計算!$E$2:$E$801, 0)+1))="","",TRIM(INDEX(ERP資料!$E:$E, (MATCH(618, 輔助計算!$E$2:$E$801, 0)+1)))), "")</f>
        <v/>
      </c>
      <c r="E619" s="10">
        <f>IFERROR(IF(INDEX(ERP資料!$F:$F, (MATCH(618, 輔助計算!$E$2:$E$801, 0)+1))="","",INDEX(ERP資料!$F:$F, (MATCH(618, 輔助計算!$E$2:$E$801, 0)+1))), "")</f>
        <v/>
      </c>
      <c r="F619" s="10">
        <f>IFERROR(IF(INDEX(ERP資料!$G:$G, (MATCH(618, 輔助計算!$E$2:$E$801, 0)+1))="","",INDEX(ERP資料!$G:$G, (MATCH(618, 輔助計算!$E$2:$E$801, 0)+1))), "")</f>
        <v/>
      </c>
      <c r="G619" s="10">
        <f>IFERROR(IF(INDEX(ERP資料!$H:$H, (MATCH(618, 輔助計算!$E$2:$E$801, 0)+1))="","",INDEX(ERP資料!$H:$H, (MATCH(618, 輔助計算!$E$2:$E$801, 0)+1))), "")</f>
        <v/>
      </c>
      <c r="H619" s="15">
        <f>IFERROR(INDEX(輔助計算!$D:$D, (MATCH(618, 輔助計算!$E$2:$E$801, 0)+1)), "")</f>
        <v/>
      </c>
      <c r="I619" s="10">
        <f>IFERROR(IF(INDEX(ERP資料!$O:$O, (MATCH(618, 輔助計算!$E$2:$E$801, 0)+1))="","",INDEX(ERP資料!$O:$O, (MATCH(618, 輔助計算!$E$2:$E$801, 0)+1))), "")</f>
        <v/>
      </c>
      <c r="J619" s="15">
        <f>IFERROR(IF(INDEX(輔助計算!$D:$D,(MATCH(618, 輔助計算!$E$2:$E$801, 0)+1))="","",INDEX(輔助計算!$D:$D,(MATCH(618, 輔助計算!$E$2:$E$801, 0)+1))*INDEX(ERP資料!$O:$O,(MATCH(618, 輔助計算!$E$2:$E$801, 0)+1))), "")</f>
        <v/>
      </c>
      <c r="K619" s="16" t="n"/>
      <c r="L619" s="16" t="n"/>
      <c r="M619" s="17" t="n"/>
    </row>
    <row r="620">
      <c r="A620" s="14">
        <f>IFERROR(IF(INDEX(ERP資料!$B:$B, (MATCH(619, 輔助計算!$E$2:$E$801, 0)+1))="","",INDEX(ERP資料!$B:$B, (MATCH(619, 輔助計算!$E$2:$E$801, 0)+1))), "")</f>
        <v/>
      </c>
      <c r="B620" s="10">
        <f>IFERROR(IF(INDEX(ERP資料!$A:$A, (MATCH(619, 輔助計算!$E$2:$E$801, 0)+1))="","",INDEX(ERP資料!$A:$A, (MATCH(619, 輔助計算!$E$2:$E$801, 0)+1))), "")</f>
        <v/>
      </c>
      <c r="C620" s="10">
        <f>IFERROR(IF(INDEX(ERP資料!$S:$S, (MATCH(619, 輔助計算!$E$2:$E$801, 0)+1))="","",INDEX(ERP資料!$S:$S, (MATCH(619, 輔助計算!$E$2:$E$801, 0)+1))), "")</f>
        <v/>
      </c>
      <c r="D620" s="10">
        <f>IFERROR(IF(INDEX(ERP資料!$E:$E, (MATCH(619, 輔助計算!$E$2:$E$801, 0)+1))="","",TRIM(INDEX(ERP資料!$E:$E, (MATCH(619, 輔助計算!$E$2:$E$801, 0)+1)))), "")</f>
        <v/>
      </c>
      <c r="E620" s="10">
        <f>IFERROR(IF(INDEX(ERP資料!$F:$F, (MATCH(619, 輔助計算!$E$2:$E$801, 0)+1))="","",INDEX(ERP資料!$F:$F, (MATCH(619, 輔助計算!$E$2:$E$801, 0)+1))), "")</f>
        <v/>
      </c>
      <c r="F620" s="10">
        <f>IFERROR(IF(INDEX(ERP資料!$G:$G, (MATCH(619, 輔助計算!$E$2:$E$801, 0)+1))="","",INDEX(ERP資料!$G:$G, (MATCH(619, 輔助計算!$E$2:$E$801, 0)+1))), "")</f>
        <v/>
      </c>
      <c r="G620" s="10">
        <f>IFERROR(IF(INDEX(ERP資料!$H:$H, (MATCH(619, 輔助計算!$E$2:$E$801, 0)+1))="","",INDEX(ERP資料!$H:$H, (MATCH(619, 輔助計算!$E$2:$E$801, 0)+1))), "")</f>
        <v/>
      </c>
      <c r="H620" s="15">
        <f>IFERROR(INDEX(輔助計算!$D:$D, (MATCH(619, 輔助計算!$E$2:$E$801, 0)+1)), "")</f>
        <v/>
      </c>
      <c r="I620" s="10">
        <f>IFERROR(IF(INDEX(ERP資料!$O:$O, (MATCH(619, 輔助計算!$E$2:$E$801, 0)+1))="","",INDEX(ERP資料!$O:$O, (MATCH(619, 輔助計算!$E$2:$E$801, 0)+1))), "")</f>
        <v/>
      </c>
      <c r="J620" s="15">
        <f>IFERROR(IF(INDEX(輔助計算!$D:$D,(MATCH(619, 輔助計算!$E$2:$E$801, 0)+1))="","",INDEX(輔助計算!$D:$D,(MATCH(619, 輔助計算!$E$2:$E$801, 0)+1))*INDEX(ERP資料!$O:$O,(MATCH(619, 輔助計算!$E$2:$E$801, 0)+1))), "")</f>
        <v/>
      </c>
      <c r="K620" s="16" t="n"/>
      <c r="L620" s="16" t="n"/>
      <c r="M620" s="17" t="n"/>
    </row>
    <row r="621">
      <c r="A621" s="14">
        <f>IFERROR(IF(INDEX(ERP資料!$B:$B, (MATCH(620, 輔助計算!$E$2:$E$801, 0)+1))="","",INDEX(ERP資料!$B:$B, (MATCH(620, 輔助計算!$E$2:$E$801, 0)+1))), "")</f>
        <v/>
      </c>
      <c r="B621" s="10">
        <f>IFERROR(IF(INDEX(ERP資料!$A:$A, (MATCH(620, 輔助計算!$E$2:$E$801, 0)+1))="","",INDEX(ERP資料!$A:$A, (MATCH(620, 輔助計算!$E$2:$E$801, 0)+1))), "")</f>
        <v/>
      </c>
      <c r="C621" s="10">
        <f>IFERROR(IF(INDEX(ERP資料!$S:$S, (MATCH(620, 輔助計算!$E$2:$E$801, 0)+1))="","",INDEX(ERP資料!$S:$S, (MATCH(620, 輔助計算!$E$2:$E$801, 0)+1))), "")</f>
        <v/>
      </c>
      <c r="D621" s="10">
        <f>IFERROR(IF(INDEX(ERP資料!$E:$E, (MATCH(620, 輔助計算!$E$2:$E$801, 0)+1))="","",TRIM(INDEX(ERP資料!$E:$E, (MATCH(620, 輔助計算!$E$2:$E$801, 0)+1)))), "")</f>
        <v/>
      </c>
      <c r="E621" s="10">
        <f>IFERROR(IF(INDEX(ERP資料!$F:$F, (MATCH(620, 輔助計算!$E$2:$E$801, 0)+1))="","",INDEX(ERP資料!$F:$F, (MATCH(620, 輔助計算!$E$2:$E$801, 0)+1))), "")</f>
        <v/>
      </c>
      <c r="F621" s="10">
        <f>IFERROR(IF(INDEX(ERP資料!$G:$G, (MATCH(620, 輔助計算!$E$2:$E$801, 0)+1))="","",INDEX(ERP資料!$G:$G, (MATCH(620, 輔助計算!$E$2:$E$801, 0)+1))), "")</f>
        <v/>
      </c>
      <c r="G621" s="10">
        <f>IFERROR(IF(INDEX(ERP資料!$H:$H, (MATCH(620, 輔助計算!$E$2:$E$801, 0)+1))="","",INDEX(ERP資料!$H:$H, (MATCH(620, 輔助計算!$E$2:$E$801, 0)+1))), "")</f>
        <v/>
      </c>
      <c r="H621" s="15">
        <f>IFERROR(INDEX(輔助計算!$D:$D, (MATCH(620, 輔助計算!$E$2:$E$801, 0)+1)), "")</f>
        <v/>
      </c>
      <c r="I621" s="10">
        <f>IFERROR(IF(INDEX(ERP資料!$O:$O, (MATCH(620, 輔助計算!$E$2:$E$801, 0)+1))="","",INDEX(ERP資料!$O:$O, (MATCH(620, 輔助計算!$E$2:$E$801, 0)+1))), "")</f>
        <v/>
      </c>
      <c r="J621" s="15">
        <f>IFERROR(IF(INDEX(輔助計算!$D:$D,(MATCH(620, 輔助計算!$E$2:$E$801, 0)+1))="","",INDEX(輔助計算!$D:$D,(MATCH(620, 輔助計算!$E$2:$E$801, 0)+1))*INDEX(ERP資料!$O:$O,(MATCH(620, 輔助計算!$E$2:$E$801, 0)+1))), "")</f>
        <v/>
      </c>
      <c r="K621" s="16" t="n"/>
      <c r="L621" s="16" t="n"/>
      <c r="M621" s="17" t="n"/>
    </row>
    <row r="622">
      <c r="A622" s="14">
        <f>IFERROR(IF(INDEX(ERP資料!$B:$B, (MATCH(621, 輔助計算!$E$2:$E$801, 0)+1))="","",INDEX(ERP資料!$B:$B, (MATCH(621, 輔助計算!$E$2:$E$801, 0)+1))), "")</f>
        <v/>
      </c>
      <c r="B622" s="10">
        <f>IFERROR(IF(INDEX(ERP資料!$A:$A, (MATCH(621, 輔助計算!$E$2:$E$801, 0)+1))="","",INDEX(ERP資料!$A:$A, (MATCH(621, 輔助計算!$E$2:$E$801, 0)+1))), "")</f>
        <v/>
      </c>
      <c r="C622" s="10">
        <f>IFERROR(IF(INDEX(ERP資料!$S:$S, (MATCH(621, 輔助計算!$E$2:$E$801, 0)+1))="","",INDEX(ERP資料!$S:$S, (MATCH(621, 輔助計算!$E$2:$E$801, 0)+1))), "")</f>
        <v/>
      </c>
      <c r="D622" s="10">
        <f>IFERROR(IF(INDEX(ERP資料!$E:$E, (MATCH(621, 輔助計算!$E$2:$E$801, 0)+1))="","",TRIM(INDEX(ERP資料!$E:$E, (MATCH(621, 輔助計算!$E$2:$E$801, 0)+1)))), "")</f>
        <v/>
      </c>
      <c r="E622" s="10">
        <f>IFERROR(IF(INDEX(ERP資料!$F:$F, (MATCH(621, 輔助計算!$E$2:$E$801, 0)+1))="","",INDEX(ERP資料!$F:$F, (MATCH(621, 輔助計算!$E$2:$E$801, 0)+1))), "")</f>
        <v/>
      </c>
      <c r="F622" s="10">
        <f>IFERROR(IF(INDEX(ERP資料!$G:$G, (MATCH(621, 輔助計算!$E$2:$E$801, 0)+1))="","",INDEX(ERP資料!$G:$G, (MATCH(621, 輔助計算!$E$2:$E$801, 0)+1))), "")</f>
        <v/>
      </c>
      <c r="G622" s="10">
        <f>IFERROR(IF(INDEX(ERP資料!$H:$H, (MATCH(621, 輔助計算!$E$2:$E$801, 0)+1))="","",INDEX(ERP資料!$H:$H, (MATCH(621, 輔助計算!$E$2:$E$801, 0)+1))), "")</f>
        <v/>
      </c>
      <c r="H622" s="15">
        <f>IFERROR(INDEX(輔助計算!$D:$D, (MATCH(621, 輔助計算!$E$2:$E$801, 0)+1)), "")</f>
        <v/>
      </c>
      <c r="I622" s="10">
        <f>IFERROR(IF(INDEX(ERP資料!$O:$O, (MATCH(621, 輔助計算!$E$2:$E$801, 0)+1))="","",INDEX(ERP資料!$O:$O, (MATCH(621, 輔助計算!$E$2:$E$801, 0)+1))), "")</f>
        <v/>
      </c>
      <c r="J622" s="15">
        <f>IFERROR(IF(INDEX(輔助計算!$D:$D,(MATCH(621, 輔助計算!$E$2:$E$801, 0)+1))="","",INDEX(輔助計算!$D:$D,(MATCH(621, 輔助計算!$E$2:$E$801, 0)+1))*INDEX(ERP資料!$O:$O,(MATCH(621, 輔助計算!$E$2:$E$801, 0)+1))), "")</f>
        <v/>
      </c>
      <c r="K622" s="16" t="n"/>
      <c r="L622" s="16" t="n"/>
      <c r="M622" s="17" t="n"/>
    </row>
    <row r="623">
      <c r="A623" s="14">
        <f>IFERROR(IF(INDEX(ERP資料!$B:$B, (MATCH(622, 輔助計算!$E$2:$E$801, 0)+1))="","",INDEX(ERP資料!$B:$B, (MATCH(622, 輔助計算!$E$2:$E$801, 0)+1))), "")</f>
        <v/>
      </c>
      <c r="B623" s="10">
        <f>IFERROR(IF(INDEX(ERP資料!$A:$A, (MATCH(622, 輔助計算!$E$2:$E$801, 0)+1))="","",INDEX(ERP資料!$A:$A, (MATCH(622, 輔助計算!$E$2:$E$801, 0)+1))), "")</f>
        <v/>
      </c>
      <c r="C623" s="10">
        <f>IFERROR(IF(INDEX(ERP資料!$S:$S, (MATCH(622, 輔助計算!$E$2:$E$801, 0)+1))="","",INDEX(ERP資料!$S:$S, (MATCH(622, 輔助計算!$E$2:$E$801, 0)+1))), "")</f>
        <v/>
      </c>
      <c r="D623" s="10">
        <f>IFERROR(IF(INDEX(ERP資料!$E:$E, (MATCH(622, 輔助計算!$E$2:$E$801, 0)+1))="","",TRIM(INDEX(ERP資料!$E:$E, (MATCH(622, 輔助計算!$E$2:$E$801, 0)+1)))), "")</f>
        <v/>
      </c>
      <c r="E623" s="10">
        <f>IFERROR(IF(INDEX(ERP資料!$F:$F, (MATCH(622, 輔助計算!$E$2:$E$801, 0)+1))="","",INDEX(ERP資料!$F:$F, (MATCH(622, 輔助計算!$E$2:$E$801, 0)+1))), "")</f>
        <v/>
      </c>
      <c r="F623" s="10">
        <f>IFERROR(IF(INDEX(ERP資料!$G:$G, (MATCH(622, 輔助計算!$E$2:$E$801, 0)+1))="","",INDEX(ERP資料!$G:$G, (MATCH(622, 輔助計算!$E$2:$E$801, 0)+1))), "")</f>
        <v/>
      </c>
      <c r="G623" s="10">
        <f>IFERROR(IF(INDEX(ERP資料!$H:$H, (MATCH(622, 輔助計算!$E$2:$E$801, 0)+1))="","",INDEX(ERP資料!$H:$H, (MATCH(622, 輔助計算!$E$2:$E$801, 0)+1))), "")</f>
        <v/>
      </c>
      <c r="H623" s="15">
        <f>IFERROR(INDEX(輔助計算!$D:$D, (MATCH(622, 輔助計算!$E$2:$E$801, 0)+1)), "")</f>
        <v/>
      </c>
      <c r="I623" s="10">
        <f>IFERROR(IF(INDEX(ERP資料!$O:$O, (MATCH(622, 輔助計算!$E$2:$E$801, 0)+1))="","",INDEX(ERP資料!$O:$O, (MATCH(622, 輔助計算!$E$2:$E$801, 0)+1))), "")</f>
        <v/>
      </c>
      <c r="J623" s="15">
        <f>IFERROR(IF(INDEX(輔助計算!$D:$D,(MATCH(622, 輔助計算!$E$2:$E$801, 0)+1))="","",INDEX(輔助計算!$D:$D,(MATCH(622, 輔助計算!$E$2:$E$801, 0)+1))*INDEX(ERP資料!$O:$O,(MATCH(622, 輔助計算!$E$2:$E$801, 0)+1))), "")</f>
        <v/>
      </c>
      <c r="K623" s="16" t="n"/>
      <c r="L623" s="16" t="n"/>
      <c r="M623" s="17" t="n"/>
    </row>
    <row r="624">
      <c r="A624" s="14">
        <f>IFERROR(IF(INDEX(ERP資料!$B:$B, (MATCH(623, 輔助計算!$E$2:$E$801, 0)+1))="","",INDEX(ERP資料!$B:$B, (MATCH(623, 輔助計算!$E$2:$E$801, 0)+1))), "")</f>
        <v/>
      </c>
      <c r="B624" s="10">
        <f>IFERROR(IF(INDEX(ERP資料!$A:$A, (MATCH(623, 輔助計算!$E$2:$E$801, 0)+1))="","",INDEX(ERP資料!$A:$A, (MATCH(623, 輔助計算!$E$2:$E$801, 0)+1))), "")</f>
        <v/>
      </c>
      <c r="C624" s="10">
        <f>IFERROR(IF(INDEX(ERP資料!$S:$S, (MATCH(623, 輔助計算!$E$2:$E$801, 0)+1))="","",INDEX(ERP資料!$S:$S, (MATCH(623, 輔助計算!$E$2:$E$801, 0)+1))), "")</f>
        <v/>
      </c>
      <c r="D624" s="10">
        <f>IFERROR(IF(INDEX(ERP資料!$E:$E, (MATCH(623, 輔助計算!$E$2:$E$801, 0)+1))="","",TRIM(INDEX(ERP資料!$E:$E, (MATCH(623, 輔助計算!$E$2:$E$801, 0)+1)))), "")</f>
        <v/>
      </c>
      <c r="E624" s="10">
        <f>IFERROR(IF(INDEX(ERP資料!$F:$F, (MATCH(623, 輔助計算!$E$2:$E$801, 0)+1))="","",INDEX(ERP資料!$F:$F, (MATCH(623, 輔助計算!$E$2:$E$801, 0)+1))), "")</f>
        <v/>
      </c>
      <c r="F624" s="10">
        <f>IFERROR(IF(INDEX(ERP資料!$G:$G, (MATCH(623, 輔助計算!$E$2:$E$801, 0)+1))="","",INDEX(ERP資料!$G:$G, (MATCH(623, 輔助計算!$E$2:$E$801, 0)+1))), "")</f>
        <v/>
      </c>
      <c r="G624" s="10">
        <f>IFERROR(IF(INDEX(ERP資料!$H:$H, (MATCH(623, 輔助計算!$E$2:$E$801, 0)+1))="","",INDEX(ERP資料!$H:$H, (MATCH(623, 輔助計算!$E$2:$E$801, 0)+1))), "")</f>
        <v/>
      </c>
      <c r="H624" s="15">
        <f>IFERROR(INDEX(輔助計算!$D:$D, (MATCH(623, 輔助計算!$E$2:$E$801, 0)+1)), "")</f>
        <v/>
      </c>
      <c r="I624" s="10">
        <f>IFERROR(IF(INDEX(ERP資料!$O:$O, (MATCH(623, 輔助計算!$E$2:$E$801, 0)+1))="","",INDEX(ERP資料!$O:$O, (MATCH(623, 輔助計算!$E$2:$E$801, 0)+1))), "")</f>
        <v/>
      </c>
      <c r="J624" s="15">
        <f>IFERROR(IF(INDEX(輔助計算!$D:$D,(MATCH(623, 輔助計算!$E$2:$E$801, 0)+1))="","",INDEX(輔助計算!$D:$D,(MATCH(623, 輔助計算!$E$2:$E$801, 0)+1))*INDEX(ERP資料!$O:$O,(MATCH(623, 輔助計算!$E$2:$E$801, 0)+1))), "")</f>
        <v/>
      </c>
      <c r="K624" s="16" t="n"/>
      <c r="L624" s="16" t="n"/>
      <c r="M624" s="17" t="n"/>
    </row>
    <row r="625">
      <c r="A625" s="14">
        <f>IFERROR(IF(INDEX(ERP資料!$B:$B, (MATCH(624, 輔助計算!$E$2:$E$801, 0)+1))="","",INDEX(ERP資料!$B:$B, (MATCH(624, 輔助計算!$E$2:$E$801, 0)+1))), "")</f>
        <v/>
      </c>
      <c r="B625" s="10">
        <f>IFERROR(IF(INDEX(ERP資料!$A:$A, (MATCH(624, 輔助計算!$E$2:$E$801, 0)+1))="","",INDEX(ERP資料!$A:$A, (MATCH(624, 輔助計算!$E$2:$E$801, 0)+1))), "")</f>
        <v/>
      </c>
      <c r="C625" s="10">
        <f>IFERROR(IF(INDEX(ERP資料!$S:$S, (MATCH(624, 輔助計算!$E$2:$E$801, 0)+1))="","",INDEX(ERP資料!$S:$S, (MATCH(624, 輔助計算!$E$2:$E$801, 0)+1))), "")</f>
        <v/>
      </c>
      <c r="D625" s="10">
        <f>IFERROR(IF(INDEX(ERP資料!$E:$E, (MATCH(624, 輔助計算!$E$2:$E$801, 0)+1))="","",TRIM(INDEX(ERP資料!$E:$E, (MATCH(624, 輔助計算!$E$2:$E$801, 0)+1)))), "")</f>
        <v/>
      </c>
      <c r="E625" s="10">
        <f>IFERROR(IF(INDEX(ERP資料!$F:$F, (MATCH(624, 輔助計算!$E$2:$E$801, 0)+1))="","",INDEX(ERP資料!$F:$F, (MATCH(624, 輔助計算!$E$2:$E$801, 0)+1))), "")</f>
        <v/>
      </c>
      <c r="F625" s="10">
        <f>IFERROR(IF(INDEX(ERP資料!$G:$G, (MATCH(624, 輔助計算!$E$2:$E$801, 0)+1))="","",INDEX(ERP資料!$G:$G, (MATCH(624, 輔助計算!$E$2:$E$801, 0)+1))), "")</f>
        <v/>
      </c>
      <c r="G625" s="10">
        <f>IFERROR(IF(INDEX(ERP資料!$H:$H, (MATCH(624, 輔助計算!$E$2:$E$801, 0)+1))="","",INDEX(ERP資料!$H:$H, (MATCH(624, 輔助計算!$E$2:$E$801, 0)+1))), "")</f>
        <v/>
      </c>
      <c r="H625" s="15">
        <f>IFERROR(INDEX(輔助計算!$D:$D, (MATCH(624, 輔助計算!$E$2:$E$801, 0)+1)), "")</f>
        <v/>
      </c>
      <c r="I625" s="10">
        <f>IFERROR(IF(INDEX(ERP資料!$O:$O, (MATCH(624, 輔助計算!$E$2:$E$801, 0)+1))="","",INDEX(ERP資料!$O:$O, (MATCH(624, 輔助計算!$E$2:$E$801, 0)+1))), "")</f>
        <v/>
      </c>
      <c r="J625" s="15">
        <f>IFERROR(IF(INDEX(輔助計算!$D:$D,(MATCH(624, 輔助計算!$E$2:$E$801, 0)+1))="","",INDEX(輔助計算!$D:$D,(MATCH(624, 輔助計算!$E$2:$E$801, 0)+1))*INDEX(ERP資料!$O:$O,(MATCH(624, 輔助計算!$E$2:$E$801, 0)+1))), "")</f>
        <v/>
      </c>
      <c r="K625" s="16" t="n"/>
      <c r="L625" s="16" t="n"/>
      <c r="M625" s="17" t="n"/>
    </row>
    <row r="626">
      <c r="A626" s="14">
        <f>IFERROR(IF(INDEX(ERP資料!$B:$B, (MATCH(625, 輔助計算!$E$2:$E$801, 0)+1))="","",INDEX(ERP資料!$B:$B, (MATCH(625, 輔助計算!$E$2:$E$801, 0)+1))), "")</f>
        <v/>
      </c>
      <c r="B626" s="10">
        <f>IFERROR(IF(INDEX(ERP資料!$A:$A, (MATCH(625, 輔助計算!$E$2:$E$801, 0)+1))="","",INDEX(ERP資料!$A:$A, (MATCH(625, 輔助計算!$E$2:$E$801, 0)+1))), "")</f>
        <v/>
      </c>
      <c r="C626" s="10">
        <f>IFERROR(IF(INDEX(ERP資料!$S:$S, (MATCH(625, 輔助計算!$E$2:$E$801, 0)+1))="","",INDEX(ERP資料!$S:$S, (MATCH(625, 輔助計算!$E$2:$E$801, 0)+1))), "")</f>
        <v/>
      </c>
      <c r="D626" s="10">
        <f>IFERROR(IF(INDEX(ERP資料!$E:$E, (MATCH(625, 輔助計算!$E$2:$E$801, 0)+1))="","",TRIM(INDEX(ERP資料!$E:$E, (MATCH(625, 輔助計算!$E$2:$E$801, 0)+1)))), "")</f>
        <v/>
      </c>
      <c r="E626" s="10">
        <f>IFERROR(IF(INDEX(ERP資料!$F:$F, (MATCH(625, 輔助計算!$E$2:$E$801, 0)+1))="","",INDEX(ERP資料!$F:$F, (MATCH(625, 輔助計算!$E$2:$E$801, 0)+1))), "")</f>
        <v/>
      </c>
      <c r="F626" s="10">
        <f>IFERROR(IF(INDEX(ERP資料!$G:$G, (MATCH(625, 輔助計算!$E$2:$E$801, 0)+1))="","",INDEX(ERP資料!$G:$G, (MATCH(625, 輔助計算!$E$2:$E$801, 0)+1))), "")</f>
        <v/>
      </c>
      <c r="G626" s="10">
        <f>IFERROR(IF(INDEX(ERP資料!$H:$H, (MATCH(625, 輔助計算!$E$2:$E$801, 0)+1))="","",INDEX(ERP資料!$H:$H, (MATCH(625, 輔助計算!$E$2:$E$801, 0)+1))), "")</f>
        <v/>
      </c>
      <c r="H626" s="15">
        <f>IFERROR(INDEX(輔助計算!$D:$D, (MATCH(625, 輔助計算!$E$2:$E$801, 0)+1)), "")</f>
        <v/>
      </c>
      <c r="I626" s="10">
        <f>IFERROR(IF(INDEX(ERP資料!$O:$O, (MATCH(625, 輔助計算!$E$2:$E$801, 0)+1))="","",INDEX(ERP資料!$O:$O, (MATCH(625, 輔助計算!$E$2:$E$801, 0)+1))), "")</f>
        <v/>
      </c>
      <c r="J626" s="15">
        <f>IFERROR(IF(INDEX(輔助計算!$D:$D,(MATCH(625, 輔助計算!$E$2:$E$801, 0)+1))="","",INDEX(輔助計算!$D:$D,(MATCH(625, 輔助計算!$E$2:$E$801, 0)+1))*INDEX(ERP資料!$O:$O,(MATCH(625, 輔助計算!$E$2:$E$801, 0)+1))), "")</f>
        <v/>
      </c>
      <c r="K626" s="16" t="n"/>
      <c r="L626" s="16" t="n"/>
      <c r="M626" s="17" t="n"/>
    </row>
    <row r="627">
      <c r="A627" s="14">
        <f>IFERROR(IF(INDEX(ERP資料!$B:$B, (MATCH(626, 輔助計算!$E$2:$E$801, 0)+1))="","",INDEX(ERP資料!$B:$B, (MATCH(626, 輔助計算!$E$2:$E$801, 0)+1))), "")</f>
        <v/>
      </c>
      <c r="B627" s="10">
        <f>IFERROR(IF(INDEX(ERP資料!$A:$A, (MATCH(626, 輔助計算!$E$2:$E$801, 0)+1))="","",INDEX(ERP資料!$A:$A, (MATCH(626, 輔助計算!$E$2:$E$801, 0)+1))), "")</f>
        <v/>
      </c>
      <c r="C627" s="10">
        <f>IFERROR(IF(INDEX(ERP資料!$S:$S, (MATCH(626, 輔助計算!$E$2:$E$801, 0)+1))="","",INDEX(ERP資料!$S:$S, (MATCH(626, 輔助計算!$E$2:$E$801, 0)+1))), "")</f>
        <v/>
      </c>
      <c r="D627" s="10">
        <f>IFERROR(IF(INDEX(ERP資料!$E:$E, (MATCH(626, 輔助計算!$E$2:$E$801, 0)+1))="","",TRIM(INDEX(ERP資料!$E:$E, (MATCH(626, 輔助計算!$E$2:$E$801, 0)+1)))), "")</f>
        <v/>
      </c>
      <c r="E627" s="10">
        <f>IFERROR(IF(INDEX(ERP資料!$F:$F, (MATCH(626, 輔助計算!$E$2:$E$801, 0)+1))="","",INDEX(ERP資料!$F:$F, (MATCH(626, 輔助計算!$E$2:$E$801, 0)+1))), "")</f>
        <v/>
      </c>
      <c r="F627" s="10">
        <f>IFERROR(IF(INDEX(ERP資料!$G:$G, (MATCH(626, 輔助計算!$E$2:$E$801, 0)+1))="","",INDEX(ERP資料!$G:$G, (MATCH(626, 輔助計算!$E$2:$E$801, 0)+1))), "")</f>
        <v/>
      </c>
      <c r="G627" s="10">
        <f>IFERROR(IF(INDEX(ERP資料!$H:$H, (MATCH(626, 輔助計算!$E$2:$E$801, 0)+1))="","",INDEX(ERP資料!$H:$H, (MATCH(626, 輔助計算!$E$2:$E$801, 0)+1))), "")</f>
        <v/>
      </c>
      <c r="H627" s="15">
        <f>IFERROR(INDEX(輔助計算!$D:$D, (MATCH(626, 輔助計算!$E$2:$E$801, 0)+1)), "")</f>
        <v/>
      </c>
      <c r="I627" s="10">
        <f>IFERROR(IF(INDEX(ERP資料!$O:$O, (MATCH(626, 輔助計算!$E$2:$E$801, 0)+1))="","",INDEX(ERP資料!$O:$O, (MATCH(626, 輔助計算!$E$2:$E$801, 0)+1))), "")</f>
        <v/>
      </c>
      <c r="J627" s="15">
        <f>IFERROR(IF(INDEX(輔助計算!$D:$D,(MATCH(626, 輔助計算!$E$2:$E$801, 0)+1))="","",INDEX(輔助計算!$D:$D,(MATCH(626, 輔助計算!$E$2:$E$801, 0)+1))*INDEX(ERP資料!$O:$O,(MATCH(626, 輔助計算!$E$2:$E$801, 0)+1))), "")</f>
        <v/>
      </c>
      <c r="K627" s="16" t="n"/>
      <c r="L627" s="16" t="n"/>
      <c r="M627" s="17" t="n"/>
    </row>
    <row r="628">
      <c r="A628" s="14">
        <f>IFERROR(IF(INDEX(ERP資料!$B:$B, (MATCH(627, 輔助計算!$E$2:$E$801, 0)+1))="","",INDEX(ERP資料!$B:$B, (MATCH(627, 輔助計算!$E$2:$E$801, 0)+1))), "")</f>
        <v/>
      </c>
      <c r="B628" s="10">
        <f>IFERROR(IF(INDEX(ERP資料!$A:$A, (MATCH(627, 輔助計算!$E$2:$E$801, 0)+1))="","",INDEX(ERP資料!$A:$A, (MATCH(627, 輔助計算!$E$2:$E$801, 0)+1))), "")</f>
        <v/>
      </c>
      <c r="C628" s="10">
        <f>IFERROR(IF(INDEX(ERP資料!$S:$S, (MATCH(627, 輔助計算!$E$2:$E$801, 0)+1))="","",INDEX(ERP資料!$S:$S, (MATCH(627, 輔助計算!$E$2:$E$801, 0)+1))), "")</f>
        <v/>
      </c>
      <c r="D628" s="10">
        <f>IFERROR(IF(INDEX(ERP資料!$E:$E, (MATCH(627, 輔助計算!$E$2:$E$801, 0)+1))="","",TRIM(INDEX(ERP資料!$E:$E, (MATCH(627, 輔助計算!$E$2:$E$801, 0)+1)))), "")</f>
        <v/>
      </c>
      <c r="E628" s="10">
        <f>IFERROR(IF(INDEX(ERP資料!$F:$F, (MATCH(627, 輔助計算!$E$2:$E$801, 0)+1))="","",INDEX(ERP資料!$F:$F, (MATCH(627, 輔助計算!$E$2:$E$801, 0)+1))), "")</f>
        <v/>
      </c>
      <c r="F628" s="10">
        <f>IFERROR(IF(INDEX(ERP資料!$G:$G, (MATCH(627, 輔助計算!$E$2:$E$801, 0)+1))="","",INDEX(ERP資料!$G:$G, (MATCH(627, 輔助計算!$E$2:$E$801, 0)+1))), "")</f>
        <v/>
      </c>
      <c r="G628" s="10">
        <f>IFERROR(IF(INDEX(ERP資料!$H:$H, (MATCH(627, 輔助計算!$E$2:$E$801, 0)+1))="","",INDEX(ERP資料!$H:$H, (MATCH(627, 輔助計算!$E$2:$E$801, 0)+1))), "")</f>
        <v/>
      </c>
      <c r="H628" s="15">
        <f>IFERROR(INDEX(輔助計算!$D:$D, (MATCH(627, 輔助計算!$E$2:$E$801, 0)+1)), "")</f>
        <v/>
      </c>
      <c r="I628" s="10">
        <f>IFERROR(IF(INDEX(ERP資料!$O:$O, (MATCH(627, 輔助計算!$E$2:$E$801, 0)+1))="","",INDEX(ERP資料!$O:$O, (MATCH(627, 輔助計算!$E$2:$E$801, 0)+1))), "")</f>
        <v/>
      </c>
      <c r="J628" s="15">
        <f>IFERROR(IF(INDEX(輔助計算!$D:$D,(MATCH(627, 輔助計算!$E$2:$E$801, 0)+1))="","",INDEX(輔助計算!$D:$D,(MATCH(627, 輔助計算!$E$2:$E$801, 0)+1))*INDEX(ERP資料!$O:$O,(MATCH(627, 輔助計算!$E$2:$E$801, 0)+1))), "")</f>
        <v/>
      </c>
      <c r="K628" s="16" t="n"/>
      <c r="L628" s="16" t="n"/>
      <c r="M628" s="17" t="n"/>
    </row>
    <row r="629">
      <c r="A629" s="14">
        <f>IFERROR(IF(INDEX(ERP資料!$B:$B, (MATCH(628, 輔助計算!$E$2:$E$801, 0)+1))="","",INDEX(ERP資料!$B:$B, (MATCH(628, 輔助計算!$E$2:$E$801, 0)+1))), "")</f>
        <v/>
      </c>
      <c r="B629" s="10">
        <f>IFERROR(IF(INDEX(ERP資料!$A:$A, (MATCH(628, 輔助計算!$E$2:$E$801, 0)+1))="","",INDEX(ERP資料!$A:$A, (MATCH(628, 輔助計算!$E$2:$E$801, 0)+1))), "")</f>
        <v/>
      </c>
      <c r="C629" s="10">
        <f>IFERROR(IF(INDEX(ERP資料!$S:$S, (MATCH(628, 輔助計算!$E$2:$E$801, 0)+1))="","",INDEX(ERP資料!$S:$S, (MATCH(628, 輔助計算!$E$2:$E$801, 0)+1))), "")</f>
        <v/>
      </c>
      <c r="D629" s="10">
        <f>IFERROR(IF(INDEX(ERP資料!$E:$E, (MATCH(628, 輔助計算!$E$2:$E$801, 0)+1))="","",TRIM(INDEX(ERP資料!$E:$E, (MATCH(628, 輔助計算!$E$2:$E$801, 0)+1)))), "")</f>
        <v/>
      </c>
      <c r="E629" s="10">
        <f>IFERROR(IF(INDEX(ERP資料!$F:$F, (MATCH(628, 輔助計算!$E$2:$E$801, 0)+1))="","",INDEX(ERP資料!$F:$F, (MATCH(628, 輔助計算!$E$2:$E$801, 0)+1))), "")</f>
        <v/>
      </c>
      <c r="F629" s="10">
        <f>IFERROR(IF(INDEX(ERP資料!$G:$G, (MATCH(628, 輔助計算!$E$2:$E$801, 0)+1))="","",INDEX(ERP資料!$G:$G, (MATCH(628, 輔助計算!$E$2:$E$801, 0)+1))), "")</f>
        <v/>
      </c>
      <c r="G629" s="10">
        <f>IFERROR(IF(INDEX(ERP資料!$H:$H, (MATCH(628, 輔助計算!$E$2:$E$801, 0)+1))="","",INDEX(ERP資料!$H:$H, (MATCH(628, 輔助計算!$E$2:$E$801, 0)+1))), "")</f>
        <v/>
      </c>
      <c r="H629" s="15">
        <f>IFERROR(INDEX(輔助計算!$D:$D, (MATCH(628, 輔助計算!$E$2:$E$801, 0)+1)), "")</f>
        <v/>
      </c>
      <c r="I629" s="10">
        <f>IFERROR(IF(INDEX(ERP資料!$O:$O, (MATCH(628, 輔助計算!$E$2:$E$801, 0)+1))="","",INDEX(ERP資料!$O:$O, (MATCH(628, 輔助計算!$E$2:$E$801, 0)+1))), "")</f>
        <v/>
      </c>
      <c r="J629" s="15">
        <f>IFERROR(IF(INDEX(輔助計算!$D:$D,(MATCH(628, 輔助計算!$E$2:$E$801, 0)+1))="","",INDEX(輔助計算!$D:$D,(MATCH(628, 輔助計算!$E$2:$E$801, 0)+1))*INDEX(ERP資料!$O:$O,(MATCH(628, 輔助計算!$E$2:$E$801, 0)+1))), "")</f>
        <v/>
      </c>
      <c r="K629" s="16" t="n"/>
      <c r="L629" s="16" t="n"/>
      <c r="M629" s="17" t="n"/>
    </row>
    <row r="630">
      <c r="A630" s="14">
        <f>IFERROR(IF(INDEX(ERP資料!$B:$B, (MATCH(629, 輔助計算!$E$2:$E$801, 0)+1))="","",INDEX(ERP資料!$B:$B, (MATCH(629, 輔助計算!$E$2:$E$801, 0)+1))), "")</f>
        <v/>
      </c>
      <c r="B630" s="10">
        <f>IFERROR(IF(INDEX(ERP資料!$A:$A, (MATCH(629, 輔助計算!$E$2:$E$801, 0)+1))="","",INDEX(ERP資料!$A:$A, (MATCH(629, 輔助計算!$E$2:$E$801, 0)+1))), "")</f>
        <v/>
      </c>
      <c r="C630" s="10">
        <f>IFERROR(IF(INDEX(ERP資料!$S:$S, (MATCH(629, 輔助計算!$E$2:$E$801, 0)+1))="","",INDEX(ERP資料!$S:$S, (MATCH(629, 輔助計算!$E$2:$E$801, 0)+1))), "")</f>
        <v/>
      </c>
      <c r="D630" s="10">
        <f>IFERROR(IF(INDEX(ERP資料!$E:$E, (MATCH(629, 輔助計算!$E$2:$E$801, 0)+1))="","",TRIM(INDEX(ERP資料!$E:$E, (MATCH(629, 輔助計算!$E$2:$E$801, 0)+1)))), "")</f>
        <v/>
      </c>
      <c r="E630" s="10">
        <f>IFERROR(IF(INDEX(ERP資料!$F:$F, (MATCH(629, 輔助計算!$E$2:$E$801, 0)+1))="","",INDEX(ERP資料!$F:$F, (MATCH(629, 輔助計算!$E$2:$E$801, 0)+1))), "")</f>
        <v/>
      </c>
      <c r="F630" s="10">
        <f>IFERROR(IF(INDEX(ERP資料!$G:$G, (MATCH(629, 輔助計算!$E$2:$E$801, 0)+1))="","",INDEX(ERP資料!$G:$G, (MATCH(629, 輔助計算!$E$2:$E$801, 0)+1))), "")</f>
        <v/>
      </c>
      <c r="G630" s="10">
        <f>IFERROR(IF(INDEX(ERP資料!$H:$H, (MATCH(629, 輔助計算!$E$2:$E$801, 0)+1))="","",INDEX(ERP資料!$H:$H, (MATCH(629, 輔助計算!$E$2:$E$801, 0)+1))), "")</f>
        <v/>
      </c>
      <c r="H630" s="15">
        <f>IFERROR(INDEX(輔助計算!$D:$D, (MATCH(629, 輔助計算!$E$2:$E$801, 0)+1)), "")</f>
        <v/>
      </c>
      <c r="I630" s="10">
        <f>IFERROR(IF(INDEX(ERP資料!$O:$O, (MATCH(629, 輔助計算!$E$2:$E$801, 0)+1))="","",INDEX(ERP資料!$O:$O, (MATCH(629, 輔助計算!$E$2:$E$801, 0)+1))), "")</f>
        <v/>
      </c>
      <c r="J630" s="15">
        <f>IFERROR(IF(INDEX(輔助計算!$D:$D,(MATCH(629, 輔助計算!$E$2:$E$801, 0)+1))="","",INDEX(輔助計算!$D:$D,(MATCH(629, 輔助計算!$E$2:$E$801, 0)+1))*INDEX(ERP資料!$O:$O,(MATCH(629, 輔助計算!$E$2:$E$801, 0)+1))), "")</f>
        <v/>
      </c>
      <c r="K630" s="16" t="n"/>
      <c r="L630" s="16" t="n"/>
      <c r="M630" s="17" t="n"/>
    </row>
    <row r="631">
      <c r="A631" s="14">
        <f>IFERROR(IF(INDEX(ERP資料!$B:$B, (MATCH(630, 輔助計算!$E$2:$E$801, 0)+1))="","",INDEX(ERP資料!$B:$B, (MATCH(630, 輔助計算!$E$2:$E$801, 0)+1))), "")</f>
        <v/>
      </c>
      <c r="B631" s="10">
        <f>IFERROR(IF(INDEX(ERP資料!$A:$A, (MATCH(630, 輔助計算!$E$2:$E$801, 0)+1))="","",INDEX(ERP資料!$A:$A, (MATCH(630, 輔助計算!$E$2:$E$801, 0)+1))), "")</f>
        <v/>
      </c>
      <c r="C631" s="10">
        <f>IFERROR(IF(INDEX(ERP資料!$S:$S, (MATCH(630, 輔助計算!$E$2:$E$801, 0)+1))="","",INDEX(ERP資料!$S:$S, (MATCH(630, 輔助計算!$E$2:$E$801, 0)+1))), "")</f>
        <v/>
      </c>
      <c r="D631" s="10">
        <f>IFERROR(IF(INDEX(ERP資料!$E:$E, (MATCH(630, 輔助計算!$E$2:$E$801, 0)+1))="","",TRIM(INDEX(ERP資料!$E:$E, (MATCH(630, 輔助計算!$E$2:$E$801, 0)+1)))), "")</f>
        <v/>
      </c>
      <c r="E631" s="10">
        <f>IFERROR(IF(INDEX(ERP資料!$F:$F, (MATCH(630, 輔助計算!$E$2:$E$801, 0)+1))="","",INDEX(ERP資料!$F:$F, (MATCH(630, 輔助計算!$E$2:$E$801, 0)+1))), "")</f>
        <v/>
      </c>
      <c r="F631" s="10">
        <f>IFERROR(IF(INDEX(ERP資料!$G:$G, (MATCH(630, 輔助計算!$E$2:$E$801, 0)+1))="","",INDEX(ERP資料!$G:$G, (MATCH(630, 輔助計算!$E$2:$E$801, 0)+1))), "")</f>
        <v/>
      </c>
      <c r="G631" s="10">
        <f>IFERROR(IF(INDEX(ERP資料!$H:$H, (MATCH(630, 輔助計算!$E$2:$E$801, 0)+1))="","",INDEX(ERP資料!$H:$H, (MATCH(630, 輔助計算!$E$2:$E$801, 0)+1))), "")</f>
        <v/>
      </c>
      <c r="H631" s="15">
        <f>IFERROR(INDEX(輔助計算!$D:$D, (MATCH(630, 輔助計算!$E$2:$E$801, 0)+1)), "")</f>
        <v/>
      </c>
      <c r="I631" s="10">
        <f>IFERROR(IF(INDEX(ERP資料!$O:$O, (MATCH(630, 輔助計算!$E$2:$E$801, 0)+1))="","",INDEX(ERP資料!$O:$O, (MATCH(630, 輔助計算!$E$2:$E$801, 0)+1))), "")</f>
        <v/>
      </c>
      <c r="J631" s="15">
        <f>IFERROR(IF(INDEX(輔助計算!$D:$D,(MATCH(630, 輔助計算!$E$2:$E$801, 0)+1))="","",INDEX(輔助計算!$D:$D,(MATCH(630, 輔助計算!$E$2:$E$801, 0)+1))*INDEX(ERP資料!$O:$O,(MATCH(630, 輔助計算!$E$2:$E$801, 0)+1))), "")</f>
        <v/>
      </c>
      <c r="K631" s="16" t="n"/>
      <c r="L631" s="16" t="n"/>
      <c r="M631" s="17" t="n"/>
    </row>
    <row r="632">
      <c r="A632" s="14">
        <f>IFERROR(IF(INDEX(ERP資料!$B:$B, (MATCH(631, 輔助計算!$E$2:$E$801, 0)+1))="","",INDEX(ERP資料!$B:$B, (MATCH(631, 輔助計算!$E$2:$E$801, 0)+1))), "")</f>
        <v/>
      </c>
      <c r="B632" s="10">
        <f>IFERROR(IF(INDEX(ERP資料!$A:$A, (MATCH(631, 輔助計算!$E$2:$E$801, 0)+1))="","",INDEX(ERP資料!$A:$A, (MATCH(631, 輔助計算!$E$2:$E$801, 0)+1))), "")</f>
        <v/>
      </c>
      <c r="C632" s="10">
        <f>IFERROR(IF(INDEX(ERP資料!$S:$S, (MATCH(631, 輔助計算!$E$2:$E$801, 0)+1))="","",INDEX(ERP資料!$S:$S, (MATCH(631, 輔助計算!$E$2:$E$801, 0)+1))), "")</f>
        <v/>
      </c>
      <c r="D632" s="10">
        <f>IFERROR(IF(INDEX(ERP資料!$E:$E, (MATCH(631, 輔助計算!$E$2:$E$801, 0)+1))="","",TRIM(INDEX(ERP資料!$E:$E, (MATCH(631, 輔助計算!$E$2:$E$801, 0)+1)))), "")</f>
        <v/>
      </c>
      <c r="E632" s="10">
        <f>IFERROR(IF(INDEX(ERP資料!$F:$F, (MATCH(631, 輔助計算!$E$2:$E$801, 0)+1))="","",INDEX(ERP資料!$F:$F, (MATCH(631, 輔助計算!$E$2:$E$801, 0)+1))), "")</f>
        <v/>
      </c>
      <c r="F632" s="10">
        <f>IFERROR(IF(INDEX(ERP資料!$G:$G, (MATCH(631, 輔助計算!$E$2:$E$801, 0)+1))="","",INDEX(ERP資料!$G:$G, (MATCH(631, 輔助計算!$E$2:$E$801, 0)+1))), "")</f>
        <v/>
      </c>
      <c r="G632" s="10">
        <f>IFERROR(IF(INDEX(ERP資料!$H:$H, (MATCH(631, 輔助計算!$E$2:$E$801, 0)+1))="","",INDEX(ERP資料!$H:$H, (MATCH(631, 輔助計算!$E$2:$E$801, 0)+1))), "")</f>
        <v/>
      </c>
      <c r="H632" s="15">
        <f>IFERROR(INDEX(輔助計算!$D:$D, (MATCH(631, 輔助計算!$E$2:$E$801, 0)+1)), "")</f>
        <v/>
      </c>
      <c r="I632" s="10">
        <f>IFERROR(IF(INDEX(ERP資料!$O:$O, (MATCH(631, 輔助計算!$E$2:$E$801, 0)+1))="","",INDEX(ERP資料!$O:$O, (MATCH(631, 輔助計算!$E$2:$E$801, 0)+1))), "")</f>
        <v/>
      </c>
      <c r="J632" s="15">
        <f>IFERROR(IF(INDEX(輔助計算!$D:$D,(MATCH(631, 輔助計算!$E$2:$E$801, 0)+1))="","",INDEX(輔助計算!$D:$D,(MATCH(631, 輔助計算!$E$2:$E$801, 0)+1))*INDEX(ERP資料!$O:$O,(MATCH(631, 輔助計算!$E$2:$E$801, 0)+1))), "")</f>
        <v/>
      </c>
      <c r="K632" s="16" t="n"/>
      <c r="L632" s="16" t="n"/>
      <c r="M632" s="17" t="n"/>
    </row>
    <row r="633">
      <c r="A633" s="14">
        <f>IFERROR(IF(INDEX(ERP資料!$B:$B, (MATCH(632, 輔助計算!$E$2:$E$801, 0)+1))="","",INDEX(ERP資料!$B:$B, (MATCH(632, 輔助計算!$E$2:$E$801, 0)+1))), "")</f>
        <v/>
      </c>
      <c r="B633" s="10">
        <f>IFERROR(IF(INDEX(ERP資料!$A:$A, (MATCH(632, 輔助計算!$E$2:$E$801, 0)+1))="","",INDEX(ERP資料!$A:$A, (MATCH(632, 輔助計算!$E$2:$E$801, 0)+1))), "")</f>
        <v/>
      </c>
      <c r="C633" s="10">
        <f>IFERROR(IF(INDEX(ERP資料!$S:$S, (MATCH(632, 輔助計算!$E$2:$E$801, 0)+1))="","",INDEX(ERP資料!$S:$S, (MATCH(632, 輔助計算!$E$2:$E$801, 0)+1))), "")</f>
        <v/>
      </c>
      <c r="D633" s="10">
        <f>IFERROR(IF(INDEX(ERP資料!$E:$E, (MATCH(632, 輔助計算!$E$2:$E$801, 0)+1))="","",TRIM(INDEX(ERP資料!$E:$E, (MATCH(632, 輔助計算!$E$2:$E$801, 0)+1)))), "")</f>
        <v/>
      </c>
      <c r="E633" s="10">
        <f>IFERROR(IF(INDEX(ERP資料!$F:$F, (MATCH(632, 輔助計算!$E$2:$E$801, 0)+1))="","",INDEX(ERP資料!$F:$F, (MATCH(632, 輔助計算!$E$2:$E$801, 0)+1))), "")</f>
        <v/>
      </c>
      <c r="F633" s="10">
        <f>IFERROR(IF(INDEX(ERP資料!$G:$G, (MATCH(632, 輔助計算!$E$2:$E$801, 0)+1))="","",INDEX(ERP資料!$G:$G, (MATCH(632, 輔助計算!$E$2:$E$801, 0)+1))), "")</f>
        <v/>
      </c>
      <c r="G633" s="10">
        <f>IFERROR(IF(INDEX(ERP資料!$H:$H, (MATCH(632, 輔助計算!$E$2:$E$801, 0)+1))="","",INDEX(ERP資料!$H:$H, (MATCH(632, 輔助計算!$E$2:$E$801, 0)+1))), "")</f>
        <v/>
      </c>
      <c r="H633" s="15">
        <f>IFERROR(INDEX(輔助計算!$D:$D, (MATCH(632, 輔助計算!$E$2:$E$801, 0)+1)), "")</f>
        <v/>
      </c>
      <c r="I633" s="10">
        <f>IFERROR(IF(INDEX(ERP資料!$O:$O, (MATCH(632, 輔助計算!$E$2:$E$801, 0)+1))="","",INDEX(ERP資料!$O:$O, (MATCH(632, 輔助計算!$E$2:$E$801, 0)+1))), "")</f>
        <v/>
      </c>
      <c r="J633" s="15">
        <f>IFERROR(IF(INDEX(輔助計算!$D:$D,(MATCH(632, 輔助計算!$E$2:$E$801, 0)+1))="","",INDEX(輔助計算!$D:$D,(MATCH(632, 輔助計算!$E$2:$E$801, 0)+1))*INDEX(ERP資料!$O:$O,(MATCH(632, 輔助計算!$E$2:$E$801, 0)+1))), "")</f>
        <v/>
      </c>
      <c r="K633" s="16" t="n"/>
      <c r="L633" s="16" t="n"/>
      <c r="M633" s="17" t="n"/>
    </row>
    <row r="634">
      <c r="A634" s="14">
        <f>IFERROR(IF(INDEX(ERP資料!$B:$B, (MATCH(633, 輔助計算!$E$2:$E$801, 0)+1))="","",INDEX(ERP資料!$B:$B, (MATCH(633, 輔助計算!$E$2:$E$801, 0)+1))), "")</f>
        <v/>
      </c>
      <c r="B634" s="10">
        <f>IFERROR(IF(INDEX(ERP資料!$A:$A, (MATCH(633, 輔助計算!$E$2:$E$801, 0)+1))="","",INDEX(ERP資料!$A:$A, (MATCH(633, 輔助計算!$E$2:$E$801, 0)+1))), "")</f>
        <v/>
      </c>
      <c r="C634" s="10">
        <f>IFERROR(IF(INDEX(ERP資料!$S:$S, (MATCH(633, 輔助計算!$E$2:$E$801, 0)+1))="","",INDEX(ERP資料!$S:$S, (MATCH(633, 輔助計算!$E$2:$E$801, 0)+1))), "")</f>
        <v/>
      </c>
      <c r="D634" s="10">
        <f>IFERROR(IF(INDEX(ERP資料!$E:$E, (MATCH(633, 輔助計算!$E$2:$E$801, 0)+1))="","",TRIM(INDEX(ERP資料!$E:$E, (MATCH(633, 輔助計算!$E$2:$E$801, 0)+1)))), "")</f>
        <v/>
      </c>
      <c r="E634" s="10">
        <f>IFERROR(IF(INDEX(ERP資料!$F:$F, (MATCH(633, 輔助計算!$E$2:$E$801, 0)+1))="","",INDEX(ERP資料!$F:$F, (MATCH(633, 輔助計算!$E$2:$E$801, 0)+1))), "")</f>
        <v/>
      </c>
      <c r="F634" s="10">
        <f>IFERROR(IF(INDEX(ERP資料!$G:$G, (MATCH(633, 輔助計算!$E$2:$E$801, 0)+1))="","",INDEX(ERP資料!$G:$G, (MATCH(633, 輔助計算!$E$2:$E$801, 0)+1))), "")</f>
        <v/>
      </c>
      <c r="G634" s="10">
        <f>IFERROR(IF(INDEX(ERP資料!$H:$H, (MATCH(633, 輔助計算!$E$2:$E$801, 0)+1))="","",INDEX(ERP資料!$H:$H, (MATCH(633, 輔助計算!$E$2:$E$801, 0)+1))), "")</f>
        <v/>
      </c>
      <c r="H634" s="15">
        <f>IFERROR(INDEX(輔助計算!$D:$D, (MATCH(633, 輔助計算!$E$2:$E$801, 0)+1)), "")</f>
        <v/>
      </c>
      <c r="I634" s="10">
        <f>IFERROR(IF(INDEX(ERP資料!$O:$O, (MATCH(633, 輔助計算!$E$2:$E$801, 0)+1))="","",INDEX(ERP資料!$O:$O, (MATCH(633, 輔助計算!$E$2:$E$801, 0)+1))), "")</f>
        <v/>
      </c>
      <c r="J634" s="15">
        <f>IFERROR(IF(INDEX(輔助計算!$D:$D,(MATCH(633, 輔助計算!$E$2:$E$801, 0)+1))="","",INDEX(輔助計算!$D:$D,(MATCH(633, 輔助計算!$E$2:$E$801, 0)+1))*INDEX(ERP資料!$O:$O,(MATCH(633, 輔助計算!$E$2:$E$801, 0)+1))), "")</f>
        <v/>
      </c>
      <c r="K634" s="16" t="n"/>
      <c r="L634" s="16" t="n"/>
      <c r="M634" s="17" t="n"/>
    </row>
    <row r="635">
      <c r="A635" s="14">
        <f>IFERROR(IF(INDEX(ERP資料!$B:$B, (MATCH(634, 輔助計算!$E$2:$E$801, 0)+1))="","",INDEX(ERP資料!$B:$B, (MATCH(634, 輔助計算!$E$2:$E$801, 0)+1))), "")</f>
        <v/>
      </c>
      <c r="B635" s="10">
        <f>IFERROR(IF(INDEX(ERP資料!$A:$A, (MATCH(634, 輔助計算!$E$2:$E$801, 0)+1))="","",INDEX(ERP資料!$A:$A, (MATCH(634, 輔助計算!$E$2:$E$801, 0)+1))), "")</f>
        <v/>
      </c>
      <c r="C635" s="10">
        <f>IFERROR(IF(INDEX(ERP資料!$S:$S, (MATCH(634, 輔助計算!$E$2:$E$801, 0)+1))="","",INDEX(ERP資料!$S:$S, (MATCH(634, 輔助計算!$E$2:$E$801, 0)+1))), "")</f>
        <v/>
      </c>
      <c r="D635" s="10">
        <f>IFERROR(IF(INDEX(ERP資料!$E:$E, (MATCH(634, 輔助計算!$E$2:$E$801, 0)+1))="","",TRIM(INDEX(ERP資料!$E:$E, (MATCH(634, 輔助計算!$E$2:$E$801, 0)+1)))), "")</f>
        <v/>
      </c>
      <c r="E635" s="10">
        <f>IFERROR(IF(INDEX(ERP資料!$F:$F, (MATCH(634, 輔助計算!$E$2:$E$801, 0)+1))="","",INDEX(ERP資料!$F:$F, (MATCH(634, 輔助計算!$E$2:$E$801, 0)+1))), "")</f>
        <v/>
      </c>
      <c r="F635" s="10">
        <f>IFERROR(IF(INDEX(ERP資料!$G:$G, (MATCH(634, 輔助計算!$E$2:$E$801, 0)+1))="","",INDEX(ERP資料!$G:$G, (MATCH(634, 輔助計算!$E$2:$E$801, 0)+1))), "")</f>
        <v/>
      </c>
      <c r="G635" s="10">
        <f>IFERROR(IF(INDEX(ERP資料!$H:$H, (MATCH(634, 輔助計算!$E$2:$E$801, 0)+1))="","",INDEX(ERP資料!$H:$H, (MATCH(634, 輔助計算!$E$2:$E$801, 0)+1))), "")</f>
        <v/>
      </c>
      <c r="H635" s="15">
        <f>IFERROR(INDEX(輔助計算!$D:$D, (MATCH(634, 輔助計算!$E$2:$E$801, 0)+1)), "")</f>
        <v/>
      </c>
      <c r="I635" s="10">
        <f>IFERROR(IF(INDEX(ERP資料!$O:$O, (MATCH(634, 輔助計算!$E$2:$E$801, 0)+1))="","",INDEX(ERP資料!$O:$O, (MATCH(634, 輔助計算!$E$2:$E$801, 0)+1))), "")</f>
        <v/>
      </c>
      <c r="J635" s="15">
        <f>IFERROR(IF(INDEX(輔助計算!$D:$D,(MATCH(634, 輔助計算!$E$2:$E$801, 0)+1))="","",INDEX(輔助計算!$D:$D,(MATCH(634, 輔助計算!$E$2:$E$801, 0)+1))*INDEX(ERP資料!$O:$O,(MATCH(634, 輔助計算!$E$2:$E$801, 0)+1))), "")</f>
        <v/>
      </c>
      <c r="K635" s="16" t="n"/>
      <c r="L635" s="16" t="n"/>
      <c r="M635" s="17" t="n"/>
    </row>
    <row r="636">
      <c r="A636" s="14">
        <f>IFERROR(IF(INDEX(ERP資料!$B:$B, (MATCH(635, 輔助計算!$E$2:$E$801, 0)+1))="","",INDEX(ERP資料!$B:$B, (MATCH(635, 輔助計算!$E$2:$E$801, 0)+1))), "")</f>
        <v/>
      </c>
      <c r="B636" s="10">
        <f>IFERROR(IF(INDEX(ERP資料!$A:$A, (MATCH(635, 輔助計算!$E$2:$E$801, 0)+1))="","",INDEX(ERP資料!$A:$A, (MATCH(635, 輔助計算!$E$2:$E$801, 0)+1))), "")</f>
        <v/>
      </c>
      <c r="C636" s="10">
        <f>IFERROR(IF(INDEX(ERP資料!$S:$S, (MATCH(635, 輔助計算!$E$2:$E$801, 0)+1))="","",INDEX(ERP資料!$S:$S, (MATCH(635, 輔助計算!$E$2:$E$801, 0)+1))), "")</f>
        <v/>
      </c>
      <c r="D636" s="10">
        <f>IFERROR(IF(INDEX(ERP資料!$E:$E, (MATCH(635, 輔助計算!$E$2:$E$801, 0)+1))="","",TRIM(INDEX(ERP資料!$E:$E, (MATCH(635, 輔助計算!$E$2:$E$801, 0)+1)))), "")</f>
        <v/>
      </c>
      <c r="E636" s="10">
        <f>IFERROR(IF(INDEX(ERP資料!$F:$F, (MATCH(635, 輔助計算!$E$2:$E$801, 0)+1))="","",INDEX(ERP資料!$F:$F, (MATCH(635, 輔助計算!$E$2:$E$801, 0)+1))), "")</f>
        <v/>
      </c>
      <c r="F636" s="10">
        <f>IFERROR(IF(INDEX(ERP資料!$G:$G, (MATCH(635, 輔助計算!$E$2:$E$801, 0)+1))="","",INDEX(ERP資料!$G:$G, (MATCH(635, 輔助計算!$E$2:$E$801, 0)+1))), "")</f>
        <v/>
      </c>
      <c r="G636" s="10">
        <f>IFERROR(IF(INDEX(ERP資料!$H:$H, (MATCH(635, 輔助計算!$E$2:$E$801, 0)+1))="","",INDEX(ERP資料!$H:$H, (MATCH(635, 輔助計算!$E$2:$E$801, 0)+1))), "")</f>
        <v/>
      </c>
      <c r="H636" s="15">
        <f>IFERROR(INDEX(輔助計算!$D:$D, (MATCH(635, 輔助計算!$E$2:$E$801, 0)+1)), "")</f>
        <v/>
      </c>
      <c r="I636" s="10">
        <f>IFERROR(IF(INDEX(ERP資料!$O:$O, (MATCH(635, 輔助計算!$E$2:$E$801, 0)+1))="","",INDEX(ERP資料!$O:$O, (MATCH(635, 輔助計算!$E$2:$E$801, 0)+1))), "")</f>
        <v/>
      </c>
      <c r="J636" s="15">
        <f>IFERROR(IF(INDEX(輔助計算!$D:$D,(MATCH(635, 輔助計算!$E$2:$E$801, 0)+1))="","",INDEX(輔助計算!$D:$D,(MATCH(635, 輔助計算!$E$2:$E$801, 0)+1))*INDEX(ERP資料!$O:$O,(MATCH(635, 輔助計算!$E$2:$E$801, 0)+1))), "")</f>
        <v/>
      </c>
      <c r="K636" s="16" t="n"/>
      <c r="L636" s="16" t="n"/>
      <c r="M636" s="17" t="n"/>
    </row>
    <row r="637">
      <c r="A637" s="14">
        <f>IFERROR(IF(INDEX(ERP資料!$B:$B, (MATCH(636, 輔助計算!$E$2:$E$801, 0)+1))="","",INDEX(ERP資料!$B:$B, (MATCH(636, 輔助計算!$E$2:$E$801, 0)+1))), "")</f>
        <v/>
      </c>
      <c r="B637" s="10">
        <f>IFERROR(IF(INDEX(ERP資料!$A:$A, (MATCH(636, 輔助計算!$E$2:$E$801, 0)+1))="","",INDEX(ERP資料!$A:$A, (MATCH(636, 輔助計算!$E$2:$E$801, 0)+1))), "")</f>
        <v/>
      </c>
      <c r="C637" s="10">
        <f>IFERROR(IF(INDEX(ERP資料!$S:$S, (MATCH(636, 輔助計算!$E$2:$E$801, 0)+1))="","",INDEX(ERP資料!$S:$S, (MATCH(636, 輔助計算!$E$2:$E$801, 0)+1))), "")</f>
        <v/>
      </c>
      <c r="D637" s="10">
        <f>IFERROR(IF(INDEX(ERP資料!$E:$E, (MATCH(636, 輔助計算!$E$2:$E$801, 0)+1))="","",TRIM(INDEX(ERP資料!$E:$E, (MATCH(636, 輔助計算!$E$2:$E$801, 0)+1)))), "")</f>
        <v/>
      </c>
      <c r="E637" s="10">
        <f>IFERROR(IF(INDEX(ERP資料!$F:$F, (MATCH(636, 輔助計算!$E$2:$E$801, 0)+1))="","",INDEX(ERP資料!$F:$F, (MATCH(636, 輔助計算!$E$2:$E$801, 0)+1))), "")</f>
        <v/>
      </c>
      <c r="F637" s="10">
        <f>IFERROR(IF(INDEX(ERP資料!$G:$G, (MATCH(636, 輔助計算!$E$2:$E$801, 0)+1))="","",INDEX(ERP資料!$G:$G, (MATCH(636, 輔助計算!$E$2:$E$801, 0)+1))), "")</f>
        <v/>
      </c>
      <c r="G637" s="10">
        <f>IFERROR(IF(INDEX(ERP資料!$H:$H, (MATCH(636, 輔助計算!$E$2:$E$801, 0)+1))="","",INDEX(ERP資料!$H:$H, (MATCH(636, 輔助計算!$E$2:$E$801, 0)+1))), "")</f>
        <v/>
      </c>
      <c r="H637" s="15">
        <f>IFERROR(INDEX(輔助計算!$D:$D, (MATCH(636, 輔助計算!$E$2:$E$801, 0)+1)), "")</f>
        <v/>
      </c>
      <c r="I637" s="10">
        <f>IFERROR(IF(INDEX(ERP資料!$O:$O, (MATCH(636, 輔助計算!$E$2:$E$801, 0)+1))="","",INDEX(ERP資料!$O:$O, (MATCH(636, 輔助計算!$E$2:$E$801, 0)+1))), "")</f>
        <v/>
      </c>
      <c r="J637" s="15">
        <f>IFERROR(IF(INDEX(輔助計算!$D:$D,(MATCH(636, 輔助計算!$E$2:$E$801, 0)+1))="","",INDEX(輔助計算!$D:$D,(MATCH(636, 輔助計算!$E$2:$E$801, 0)+1))*INDEX(ERP資料!$O:$O,(MATCH(636, 輔助計算!$E$2:$E$801, 0)+1))), "")</f>
        <v/>
      </c>
      <c r="K637" s="16" t="n"/>
      <c r="L637" s="16" t="n"/>
      <c r="M637" s="17" t="n"/>
    </row>
    <row r="638">
      <c r="A638" s="14">
        <f>IFERROR(IF(INDEX(ERP資料!$B:$B, (MATCH(637, 輔助計算!$E$2:$E$801, 0)+1))="","",INDEX(ERP資料!$B:$B, (MATCH(637, 輔助計算!$E$2:$E$801, 0)+1))), "")</f>
        <v/>
      </c>
      <c r="B638" s="10">
        <f>IFERROR(IF(INDEX(ERP資料!$A:$A, (MATCH(637, 輔助計算!$E$2:$E$801, 0)+1))="","",INDEX(ERP資料!$A:$A, (MATCH(637, 輔助計算!$E$2:$E$801, 0)+1))), "")</f>
        <v/>
      </c>
      <c r="C638" s="10">
        <f>IFERROR(IF(INDEX(ERP資料!$S:$S, (MATCH(637, 輔助計算!$E$2:$E$801, 0)+1))="","",INDEX(ERP資料!$S:$S, (MATCH(637, 輔助計算!$E$2:$E$801, 0)+1))), "")</f>
        <v/>
      </c>
      <c r="D638" s="10">
        <f>IFERROR(IF(INDEX(ERP資料!$E:$E, (MATCH(637, 輔助計算!$E$2:$E$801, 0)+1))="","",TRIM(INDEX(ERP資料!$E:$E, (MATCH(637, 輔助計算!$E$2:$E$801, 0)+1)))), "")</f>
        <v/>
      </c>
      <c r="E638" s="10">
        <f>IFERROR(IF(INDEX(ERP資料!$F:$F, (MATCH(637, 輔助計算!$E$2:$E$801, 0)+1))="","",INDEX(ERP資料!$F:$F, (MATCH(637, 輔助計算!$E$2:$E$801, 0)+1))), "")</f>
        <v/>
      </c>
      <c r="F638" s="10">
        <f>IFERROR(IF(INDEX(ERP資料!$G:$G, (MATCH(637, 輔助計算!$E$2:$E$801, 0)+1))="","",INDEX(ERP資料!$G:$G, (MATCH(637, 輔助計算!$E$2:$E$801, 0)+1))), "")</f>
        <v/>
      </c>
      <c r="G638" s="10">
        <f>IFERROR(IF(INDEX(ERP資料!$H:$H, (MATCH(637, 輔助計算!$E$2:$E$801, 0)+1))="","",INDEX(ERP資料!$H:$H, (MATCH(637, 輔助計算!$E$2:$E$801, 0)+1))), "")</f>
        <v/>
      </c>
      <c r="H638" s="15">
        <f>IFERROR(INDEX(輔助計算!$D:$D, (MATCH(637, 輔助計算!$E$2:$E$801, 0)+1)), "")</f>
        <v/>
      </c>
      <c r="I638" s="10">
        <f>IFERROR(IF(INDEX(ERP資料!$O:$O, (MATCH(637, 輔助計算!$E$2:$E$801, 0)+1))="","",INDEX(ERP資料!$O:$O, (MATCH(637, 輔助計算!$E$2:$E$801, 0)+1))), "")</f>
        <v/>
      </c>
      <c r="J638" s="15">
        <f>IFERROR(IF(INDEX(輔助計算!$D:$D,(MATCH(637, 輔助計算!$E$2:$E$801, 0)+1))="","",INDEX(輔助計算!$D:$D,(MATCH(637, 輔助計算!$E$2:$E$801, 0)+1))*INDEX(ERP資料!$O:$O,(MATCH(637, 輔助計算!$E$2:$E$801, 0)+1))), "")</f>
        <v/>
      </c>
      <c r="K638" s="16" t="n"/>
      <c r="L638" s="16" t="n"/>
      <c r="M638" s="17" t="n"/>
    </row>
    <row r="639">
      <c r="A639" s="14">
        <f>IFERROR(IF(INDEX(ERP資料!$B:$B, (MATCH(638, 輔助計算!$E$2:$E$801, 0)+1))="","",INDEX(ERP資料!$B:$B, (MATCH(638, 輔助計算!$E$2:$E$801, 0)+1))), "")</f>
        <v/>
      </c>
      <c r="B639" s="10">
        <f>IFERROR(IF(INDEX(ERP資料!$A:$A, (MATCH(638, 輔助計算!$E$2:$E$801, 0)+1))="","",INDEX(ERP資料!$A:$A, (MATCH(638, 輔助計算!$E$2:$E$801, 0)+1))), "")</f>
        <v/>
      </c>
      <c r="C639" s="10">
        <f>IFERROR(IF(INDEX(ERP資料!$S:$S, (MATCH(638, 輔助計算!$E$2:$E$801, 0)+1))="","",INDEX(ERP資料!$S:$S, (MATCH(638, 輔助計算!$E$2:$E$801, 0)+1))), "")</f>
        <v/>
      </c>
      <c r="D639" s="10">
        <f>IFERROR(IF(INDEX(ERP資料!$E:$E, (MATCH(638, 輔助計算!$E$2:$E$801, 0)+1))="","",TRIM(INDEX(ERP資料!$E:$E, (MATCH(638, 輔助計算!$E$2:$E$801, 0)+1)))), "")</f>
        <v/>
      </c>
      <c r="E639" s="10">
        <f>IFERROR(IF(INDEX(ERP資料!$F:$F, (MATCH(638, 輔助計算!$E$2:$E$801, 0)+1))="","",INDEX(ERP資料!$F:$F, (MATCH(638, 輔助計算!$E$2:$E$801, 0)+1))), "")</f>
        <v/>
      </c>
      <c r="F639" s="10">
        <f>IFERROR(IF(INDEX(ERP資料!$G:$G, (MATCH(638, 輔助計算!$E$2:$E$801, 0)+1))="","",INDEX(ERP資料!$G:$G, (MATCH(638, 輔助計算!$E$2:$E$801, 0)+1))), "")</f>
        <v/>
      </c>
      <c r="G639" s="10">
        <f>IFERROR(IF(INDEX(ERP資料!$H:$H, (MATCH(638, 輔助計算!$E$2:$E$801, 0)+1))="","",INDEX(ERP資料!$H:$H, (MATCH(638, 輔助計算!$E$2:$E$801, 0)+1))), "")</f>
        <v/>
      </c>
      <c r="H639" s="15">
        <f>IFERROR(INDEX(輔助計算!$D:$D, (MATCH(638, 輔助計算!$E$2:$E$801, 0)+1)), "")</f>
        <v/>
      </c>
      <c r="I639" s="10">
        <f>IFERROR(IF(INDEX(ERP資料!$O:$O, (MATCH(638, 輔助計算!$E$2:$E$801, 0)+1))="","",INDEX(ERP資料!$O:$O, (MATCH(638, 輔助計算!$E$2:$E$801, 0)+1))), "")</f>
        <v/>
      </c>
      <c r="J639" s="15">
        <f>IFERROR(IF(INDEX(輔助計算!$D:$D,(MATCH(638, 輔助計算!$E$2:$E$801, 0)+1))="","",INDEX(輔助計算!$D:$D,(MATCH(638, 輔助計算!$E$2:$E$801, 0)+1))*INDEX(ERP資料!$O:$O,(MATCH(638, 輔助計算!$E$2:$E$801, 0)+1))), "")</f>
        <v/>
      </c>
      <c r="K639" s="16" t="n"/>
      <c r="L639" s="16" t="n"/>
      <c r="M639" s="17" t="n"/>
    </row>
    <row r="640">
      <c r="A640" s="14">
        <f>IFERROR(IF(INDEX(ERP資料!$B:$B, (MATCH(639, 輔助計算!$E$2:$E$801, 0)+1))="","",INDEX(ERP資料!$B:$B, (MATCH(639, 輔助計算!$E$2:$E$801, 0)+1))), "")</f>
        <v/>
      </c>
      <c r="B640" s="10">
        <f>IFERROR(IF(INDEX(ERP資料!$A:$A, (MATCH(639, 輔助計算!$E$2:$E$801, 0)+1))="","",INDEX(ERP資料!$A:$A, (MATCH(639, 輔助計算!$E$2:$E$801, 0)+1))), "")</f>
        <v/>
      </c>
      <c r="C640" s="10">
        <f>IFERROR(IF(INDEX(ERP資料!$S:$S, (MATCH(639, 輔助計算!$E$2:$E$801, 0)+1))="","",INDEX(ERP資料!$S:$S, (MATCH(639, 輔助計算!$E$2:$E$801, 0)+1))), "")</f>
        <v/>
      </c>
      <c r="D640" s="10">
        <f>IFERROR(IF(INDEX(ERP資料!$E:$E, (MATCH(639, 輔助計算!$E$2:$E$801, 0)+1))="","",TRIM(INDEX(ERP資料!$E:$E, (MATCH(639, 輔助計算!$E$2:$E$801, 0)+1)))), "")</f>
        <v/>
      </c>
      <c r="E640" s="10">
        <f>IFERROR(IF(INDEX(ERP資料!$F:$F, (MATCH(639, 輔助計算!$E$2:$E$801, 0)+1))="","",INDEX(ERP資料!$F:$F, (MATCH(639, 輔助計算!$E$2:$E$801, 0)+1))), "")</f>
        <v/>
      </c>
      <c r="F640" s="10">
        <f>IFERROR(IF(INDEX(ERP資料!$G:$G, (MATCH(639, 輔助計算!$E$2:$E$801, 0)+1))="","",INDEX(ERP資料!$G:$G, (MATCH(639, 輔助計算!$E$2:$E$801, 0)+1))), "")</f>
        <v/>
      </c>
      <c r="G640" s="10">
        <f>IFERROR(IF(INDEX(ERP資料!$H:$H, (MATCH(639, 輔助計算!$E$2:$E$801, 0)+1))="","",INDEX(ERP資料!$H:$H, (MATCH(639, 輔助計算!$E$2:$E$801, 0)+1))), "")</f>
        <v/>
      </c>
      <c r="H640" s="15">
        <f>IFERROR(INDEX(輔助計算!$D:$D, (MATCH(639, 輔助計算!$E$2:$E$801, 0)+1)), "")</f>
        <v/>
      </c>
      <c r="I640" s="10">
        <f>IFERROR(IF(INDEX(ERP資料!$O:$O, (MATCH(639, 輔助計算!$E$2:$E$801, 0)+1))="","",INDEX(ERP資料!$O:$O, (MATCH(639, 輔助計算!$E$2:$E$801, 0)+1))), "")</f>
        <v/>
      </c>
      <c r="J640" s="15">
        <f>IFERROR(IF(INDEX(輔助計算!$D:$D,(MATCH(639, 輔助計算!$E$2:$E$801, 0)+1))="","",INDEX(輔助計算!$D:$D,(MATCH(639, 輔助計算!$E$2:$E$801, 0)+1))*INDEX(ERP資料!$O:$O,(MATCH(639, 輔助計算!$E$2:$E$801, 0)+1))), "")</f>
        <v/>
      </c>
      <c r="K640" s="16" t="n"/>
      <c r="L640" s="16" t="n"/>
      <c r="M640" s="17" t="n"/>
    </row>
    <row r="641">
      <c r="A641" s="14">
        <f>IFERROR(IF(INDEX(ERP資料!$B:$B, (MATCH(640, 輔助計算!$E$2:$E$801, 0)+1))="","",INDEX(ERP資料!$B:$B, (MATCH(640, 輔助計算!$E$2:$E$801, 0)+1))), "")</f>
        <v/>
      </c>
      <c r="B641" s="10">
        <f>IFERROR(IF(INDEX(ERP資料!$A:$A, (MATCH(640, 輔助計算!$E$2:$E$801, 0)+1))="","",INDEX(ERP資料!$A:$A, (MATCH(640, 輔助計算!$E$2:$E$801, 0)+1))), "")</f>
        <v/>
      </c>
      <c r="C641" s="10">
        <f>IFERROR(IF(INDEX(ERP資料!$S:$S, (MATCH(640, 輔助計算!$E$2:$E$801, 0)+1))="","",INDEX(ERP資料!$S:$S, (MATCH(640, 輔助計算!$E$2:$E$801, 0)+1))), "")</f>
        <v/>
      </c>
      <c r="D641" s="10">
        <f>IFERROR(IF(INDEX(ERP資料!$E:$E, (MATCH(640, 輔助計算!$E$2:$E$801, 0)+1))="","",TRIM(INDEX(ERP資料!$E:$E, (MATCH(640, 輔助計算!$E$2:$E$801, 0)+1)))), "")</f>
        <v/>
      </c>
      <c r="E641" s="10">
        <f>IFERROR(IF(INDEX(ERP資料!$F:$F, (MATCH(640, 輔助計算!$E$2:$E$801, 0)+1))="","",INDEX(ERP資料!$F:$F, (MATCH(640, 輔助計算!$E$2:$E$801, 0)+1))), "")</f>
        <v/>
      </c>
      <c r="F641" s="10">
        <f>IFERROR(IF(INDEX(ERP資料!$G:$G, (MATCH(640, 輔助計算!$E$2:$E$801, 0)+1))="","",INDEX(ERP資料!$G:$G, (MATCH(640, 輔助計算!$E$2:$E$801, 0)+1))), "")</f>
        <v/>
      </c>
      <c r="G641" s="10">
        <f>IFERROR(IF(INDEX(ERP資料!$H:$H, (MATCH(640, 輔助計算!$E$2:$E$801, 0)+1))="","",INDEX(ERP資料!$H:$H, (MATCH(640, 輔助計算!$E$2:$E$801, 0)+1))), "")</f>
        <v/>
      </c>
      <c r="H641" s="15">
        <f>IFERROR(INDEX(輔助計算!$D:$D, (MATCH(640, 輔助計算!$E$2:$E$801, 0)+1)), "")</f>
        <v/>
      </c>
      <c r="I641" s="10">
        <f>IFERROR(IF(INDEX(ERP資料!$O:$O, (MATCH(640, 輔助計算!$E$2:$E$801, 0)+1))="","",INDEX(ERP資料!$O:$O, (MATCH(640, 輔助計算!$E$2:$E$801, 0)+1))), "")</f>
        <v/>
      </c>
      <c r="J641" s="15">
        <f>IFERROR(IF(INDEX(輔助計算!$D:$D,(MATCH(640, 輔助計算!$E$2:$E$801, 0)+1))="","",INDEX(輔助計算!$D:$D,(MATCH(640, 輔助計算!$E$2:$E$801, 0)+1))*INDEX(ERP資料!$O:$O,(MATCH(640, 輔助計算!$E$2:$E$801, 0)+1))), "")</f>
        <v/>
      </c>
      <c r="K641" s="16" t="n"/>
      <c r="L641" s="16" t="n"/>
      <c r="M641" s="17" t="n"/>
    </row>
    <row r="642">
      <c r="A642" s="14">
        <f>IFERROR(IF(INDEX(ERP資料!$B:$B, (MATCH(641, 輔助計算!$E$2:$E$801, 0)+1))="","",INDEX(ERP資料!$B:$B, (MATCH(641, 輔助計算!$E$2:$E$801, 0)+1))), "")</f>
        <v/>
      </c>
      <c r="B642" s="10">
        <f>IFERROR(IF(INDEX(ERP資料!$A:$A, (MATCH(641, 輔助計算!$E$2:$E$801, 0)+1))="","",INDEX(ERP資料!$A:$A, (MATCH(641, 輔助計算!$E$2:$E$801, 0)+1))), "")</f>
        <v/>
      </c>
      <c r="C642" s="10">
        <f>IFERROR(IF(INDEX(ERP資料!$S:$S, (MATCH(641, 輔助計算!$E$2:$E$801, 0)+1))="","",INDEX(ERP資料!$S:$S, (MATCH(641, 輔助計算!$E$2:$E$801, 0)+1))), "")</f>
        <v/>
      </c>
      <c r="D642" s="10">
        <f>IFERROR(IF(INDEX(ERP資料!$E:$E, (MATCH(641, 輔助計算!$E$2:$E$801, 0)+1))="","",TRIM(INDEX(ERP資料!$E:$E, (MATCH(641, 輔助計算!$E$2:$E$801, 0)+1)))), "")</f>
        <v/>
      </c>
      <c r="E642" s="10">
        <f>IFERROR(IF(INDEX(ERP資料!$F:$F, (MATCH(641, 輔助計算!$E$2:$E$801, 0)+1))="","",INDEX(ERP資料!$F:$F, (MATCH(641, 輔助計算!$E$2:$E$801, 0)+1))), "")</f>
        <v/>
      </c>
      <c r="F642" s="10">
        <f>IFERROR(IF(INDEX(ERP資料!$G:$G, (MATCH(641, 輔助計算!$E$2:$E$801, 0)+1))="","",INDEX(ERP資料!$G:$G, (MATCH(641, 輔助計算!$E$2:$E$801, 0)+1))), "")</f>
        <v/>
      </c>
      <c r="G642" s="10">
        <f>IFERROR(IF(INDEX(ERP資料!$H:$H, (MATCH(641, 輔助計算!$E$2:$E$801, 0)+1))="","",INDEX(ERP資料!$H:$H, (MATCH(641, 輔助計算!$E$2:$E$801, 0)+1))), "")</f>
        <v/>
      </c>
      <c r="H642" s="15">
        <f>IFERROR(INDEX(輔助計算!$D:$D, (MATCH(641, 輔助計算!$E$2:$E$801, 0)+1)), "")</f>
        <v/>
      </c>
      <c r="I642" s="10">
        <f>IFERROR(IF(INDEX(ERP資料!$O:$O, (MATCH(641, 輔助計算!$E$2:$E$801, 0)+1))="","",INDEX(ERP資料!$O:$O, (MATCH(641, 輔助計算!$E$2:$E$801, 0)+1))), "")</f>
        <v/>
      </c>
      <c r="J642" s="15">
        <f>IFERROR(IF(INDEX(輔助計算!$D:$D,(MATCH(641, 輔助計算!$E$2:$E$801, 0)+1))="","",INDEX(輔助計算!$D:$D,(MATCH(641, 輔助計算!$E$2:$E$801, 0)+1))*INDEX(ERP資料!$O:$O,(MATCH(641, 輔助計算!$E$2:$E$801, 0)+1))), "")</f>
        <v/>
      </c>
      <c r="K642" s="16" t="n"/>
      <c r="L642" s="16" t="n"/>
      <c r="M642" s="17" t="n"/>
    </row>
    <row r="643">
      <c r="A643" s="14">
        <f>IFERROR(IF(INDEX(ERP資料!$B:$B, (MATCH(642, 輔助計算!$E$2:$E$801, 0)+1))="","",INDEX(ERP資料!$B:$B, (MATCH(642, 輔助計算!$E$2:$E$801, 0)+1))), "")</f>
        <v/>
      </c>
      <c r="B643" s="10">
        <f>IFERROR(IF(INDEX(ERP資料!$A:$A, (MATCH(642, 輔助計算!$E$2:$E$801, 0)+1))="","",INDEX(ERP資料!$A:$A, (MATCH(642, 輔助計算!$E$2:$E$801, 0)+1))), "")</f>
        <v/>
      </c>
      <c r="C643" s="10">
        <f>IFERROR(IF(INDEX(ERP資料!$S:$S, (MATCH(642, 輔助計算!$E$2:$E$801, 0)+1))="","",INDEX(ERP資料!$S:$S, (MATCH(642, 輔助計算!$E$2:$E$801, 0)+1))), "")</f>
        <v/>
      </c>
      <c r="D643" s="10">
        <f>IFERROR(IF(INDEX(ERP資料!$E:$E, (MATCH(642, 輔助計算!$E$2:$E$801, 0)+1))="","",TRIM(INDEX(ERP資料!$E:$E, (MATCH(642, 輔助計算!$E$2:$E$801, 0)+1)))), "")</f>
        <v/>
      </c>
      <c r="E643" s="10">
        <f>IFERROR(IF(INDEX(ERP資料!$F:$F, (MATCH(642, 輔助計算!$E$2:$E$801, 0)+1))="","",INDEX(ERP資料!$F:$F, (MATCH(642, 輔助計算!$E$2:$E$801, 0)+1))), "")</f>
        <v/>
      </c>
      <c r="F643" s="10">
        <f>IFERROR(IF(INDEX(ERP資料!$G:$G, (MATCH(642, 輔助計算!$E$2:$E$801, 0)+1))="","",INDEX(ERP資料!$G:$G, (MATCH(642, 輔助計算!$E$2:$E$801, 0)+1))), "")</f>
        <v/>
      </c>
      <c r="G643" s="10">
        <f>IFERROR(IF(INDEX(ERP資料!$H:$H, (MATCH(642, 輔助計算!$E$2:$E$801, 0)+1))="","",INDEX(ERP資料!$H:$H, (MATCH(642, 輔助計算!$E$2:$E$801, 0)+1))), "")</f>
        <v/>
      </c>
      <c r="H643" s="15">
        <f>IFERROR(INDEX(輔助計算!$D:$D, (MATCH(642, 輔助計算!$E$2:$E$801, 0)+1)), "")</f>
        <v/>
      </c>
      <c r="I643" s="10">
        <f>IFERROR(IF(INDEX(ERP資料!$O:$O, (MATCH(642, 輔助計算!$E$2:$E$801, 0)+1))="","",INDEX(ERP資料!$O:$O, (MATCH(642, 輔助計算!$E$2:$E$801, 0)+1))), "")</f>
        <v/>
      </c>
      <c r="J643" s="15">
        <f>IFERROR(IF(INDEX(輔助計算!$D:$D,(MATCH(642, 輔助計算!$E$2:$E$801, 0)+1))="","",INDEX(輔助計算!$D:$D,(MATCH(642, 輔助計算!$E$2:$E$801, 0)+1))*INDEX(ERP資料!$O:$O,(MATCH(642, 輔助計算!$E$2:$E$801, 0)+1))), "")</f>
        <v/>
      </c>
      <c r="K643" s="16" t="n"/>
      <c r="L643" s="16" t="n"/>
      <c r="M643" s="17" t="n"/>
    </row>
    <row r="644">
      <c r="A644" s="14">
        <f>IFERROR(IF(INDEX(ERP資料!$B:$B, (MATCH(643, 輔助計算!$E$2:$E$801, 0)+1))="","",INDEX(ERP資料!$B:$B, (MATCH(643, 輔助計算!$E$2:$E$801, 0)+1))), "")</f>
        <v/>
      </c>
      <c r="B644" s="10">
        <f>IFERROR(IF(INDEX(ERP資料!$A:$A, (MATCH(643, 輔助計算!$E$2:$E$801, 0)+1))="","",INDEX(ERP資料!$A:$A, (MATCH(643, 輔助計算!$E$2:$E$801, 0)+1))), "")</f>
        <v/>
      </c>
      <c r="C644" s="10">
        <f>IFERROR(IF(INDEX(ERP資料!$S:$S, (MATCH(643, 輔助計算!$E$2:$E$801, 0)+1))="","",INDEX(ERP資料!$S:$S, (MATCH(643, 輔助計算!$E$2:$E$801, 0)+1))), "")</f>
        <v/>
      </c>
      <c r="D644" s="10">
        <f>IFERROR(IF(INDEX(ERP資料!$E:$E, (MATCH(643, 輔助計算!$E$2:$E$801, 0)+1))="","",TRIM(INDEX(ERP資料!$E:$E, (MATCH(643, 輔助計算!$E$2:$E$801, 0)+1)))), "")</f>
        <v/>
      </c>
      <c r="E644" s="10">
        <f>IFERROR(IF(INDEX(ERP資料!$F:$F, (MATCH(643, 輔助計算!$E$2:$E$801, 0)+1))="","",INDEX(ERP資料!$F:$F, (MATCH(643, 輔助計算!$E$2:$E$801, 0)+1))), "")</f>
        <v/>
      </c>
      <c r="F644" s="10">
        <f>IFERROR(IF(INDEX(ERP資料!$G:$G, (MATCH(643, 輔助計算!$E$2:$E$801, 0)+1))="","",INDEX(ERP資料!$G:$G, (MATCH(643, 輔助計算!$E$2:$E$801, 0)+1))), "")</f>
        <v/>
      </c>
      <c r="G644" s="10">
        <f>IFERROR(IF(INDEX(ERP資料!$H:$H, (MATCH(643, 輔助計算!$E$2:$E$801, 0)+1))="","",INDEX(ERP資料!$H:$H, (MATCH(643, 輔助計算!$E$2:$E$801, 0)+1))), "")</f>
        <v/>
      </c>
      <c r="H644" s="15">
        <f>IFERROR(INDEX(輔助計算!$D:$D, (MATCH(643, 輔助計算!$E$2:$E$801, 0)+1)), "")</f>
        <v/>
      </c>
      <c r="I644" s="10">
        <f>IFERROR(IF(INDEX(ERP資料!$O:$O, (MATCH(643, 輔助計算!$E$2:$E$801, 0)+1))="","",INDEX(ERP資料!$O:$O, (MATCH(643, 輔助計算!$E$2:$E$801, 0)+1))), "")</f>
        <v/>
      </c>
      <c r="J644" s="15">
        <f>IFERROR(IF(INDEX(輔助計算!$D:$D,(MATCH(643, 輔助計算!$E$2:$E$801, 0)+1))="","",INDEX(輔助計算!$D:$D,(MATCH(643, 輔助計算!$E$2:$E$801, 0)+1))*INDEX(ERP資料!$O:$O,(MATCH(643, 輔助計算!$E$2:$E$801, 0)+1))), "")</f>
        <v/>
      </c>
      <c r="K644" s="16" t="n"/>
      <c r="L644" s="16" t="n"/>
      <c r="M644" s="17" t="n"/>
    </row>
    <row r="645">
      <c r="A645" s="14">
        <f>IFERROR(IF(INDEX(ERP資料!$B:$B, (MATCH(644, 輔助計算!$E$2:$E$801, 0)+1))="","",INDEX(ERP資料!$B:$B, (MATCH(644, 輔助計算!$E$2:$E$801, 0)+1))), "")</f>
        <v/>
      </c>
      <c r="B645" s="10">
        <f>IFERROR(IF(INDEX(ERP資料!$A:$A, (MATCH(644, 輔助計算!$E$2:$E$801, 0)+1))="","",INDEX(ERP資料!$A:$A, (MATCH(644, 輔助計算!$E$2:$E$801, 0)+1))), "")</f>
        <v/>
      </c>
      <c r="C645" s="10">
        <f>IFERROR(IF(INDEX(ERP資料!$S:$S, (MATCH(644, 輔助計算!$E$2:$E$801, 0)+1))="","",INDEX(ERP資料!$S:$S, (MATCH(644, 輔助計算!$E$2:$E$801, 0)+1))), "")</f>
        <v/>
      </c>
      <c r="D645" s="10">
        <f>IFERROR(IF(INDEX(ERP資料!$E:$E, (MATCH(644, 輔助計算!$E$2:$E$801, 0)+1))="","",TRIM(INDEX(ERP資料!$E:$E, (MATCH(644, 輔助計算!$E$2:$E$801, 0)+1)))), "")</f>
        <v/>
      </c>
      <c r="E645" s="10">
        <f>IFERROR(IF(INDEX(ERP資料!$F:$F, (MATCH(644, 輔助計算!$E$2:$E$801, 0)+1))="","",INDEX(ERP資料!$F:$F, (MATCH(644, 輔助計算!$E$2:$E$801, 0)+1))), "")</f>
        <v/>
      </c>
      <c r="F645" s="10">
        <f>IFERROR(IF(INDEX(ERP資料!$G:$G, (MATCH(644, 輔助計算!$E$2:$E$801, 0)+1))="","",INDEX(ERP資料!$G:$G, (MATCH(644, 輔助計算!$E$2:$E$801, 0)+1))), "")</f>
        <v/>
      </c>
      <c r="G645" s="10">
        <f>IFERROR(IF(INDEX(ERP資料!$H:$H, (MATCH(644, 輔助計算!$E$2:$E$801, 0)+1))="","",INDEX(ERP資料!$H:$H, (MATCH(644, 輔助計算!$E$2:$E$801, 0)+1))), "")</f>
        <v/>
      </c>
      <c r="H645" s="15">
        <f>IFERROR(INDEX(輔助計算!$D:$D, (MATCH(644, 輔助計算!$E$2:$E$801, 0)+1)), "")</f>
        <v/>
      </c>
      <c r="I645" s="10">
        <f>IFERROR(IF(INDEX(ERP資料!$O:$O, (MATCH(644, 輔助計算!$E$2:$E$801, 0)+1))="","",INDEX(ERP資料!$O:$O, (MATCH(644, 輔助計算!$E$2:$E$801, 0)+1))), "")</f>
        <v/>
      </c>
      <c r="J645" s="15">
        <f>IFERROR(IF(INDEX(輔助計算!$D:$D,(MATCH(644, 輔助計算!$E$2:$E$801, 0)+1))="","",INDEX(輔助計算!$D:$D,(MATCH(644, 輔助計算!$E$2:$E$801, 0)+1))*INDEX(ERP資料!$O:$O,(MATCH(644, 輔助計算!$E$2:$E$801, 0)+1))), "")</f>
        <v/>
      </c>
      <c r="K645" s="16" t="n"/>
      <c r="L645" s="16" t="n"/>
      <c r="M645" s="17" t="n"/>
    </row>
    <row r="646">
      <c r="A646" s="14">
        <f>IFERROR(IF(INDEX(ERP資料!$B:$B, (MATCH(645, 輔助計算!$E$2:$E$801, 0)+1))="","",INDEX(ERP資料!$B:$B, (MATCH(645, 輔助計算!$E$2:$E$801, 0)+1))), "")</f>
        <v/>
      </c>
      <c r="B646" s="10">
        <f>IFERROR(IF(INDEX(ERP資料!$A:$A, (MATCH(645, 輔助計算!$E$2:$E$801, 0)+1))="","",INDEX(ERP資料!$A:$A, (MATCH(645, 輔助計算!$E$2:$E$801, 0)+1))), "")</f>
        <v/>
      </c>
      <c r="C646" s="10">
        <f>IFERROR(IF(INDEX(ERP資料!$S:$S, (MATCH(645, 輔助計算!$E$2:$E$801, 0)+1))="","",INDEX(ERP資料!$S:$S, (MATCH(645, 輔助計算!$E$2:$E$801, 0)+1))), "")</f>
        <v/>
      </c>
      <c r="D646" s="10">
        <f>IFERROR(IF(INDEX(ERP資料!$E:$E, (MATCH(645, 輔助計算!$E$2:$E$801, 0)+1))="","",TRIM(INDEX(ERP資料!$E:$E, (MATCH(645, 輔助計算!$E$2:$E$801, 0)+1)))), "")</f>
        <v/>
      </c>
      <c r="E646" s="10">
        <f>IFERROR(IF(INDEX(ERP資料!$F:$F, (MATCH(645, 輔助計算!$E$2:$E$801, 0)+1))="","",INDEX(ERP資料!$F:$F, (MATCH(645, 輔助計算!$E$2:$E$801, 0)+1))), "")</f>
        <v/>
      </c>
      <c r="F646" s="10">
        <f>IFERROR(IF(INDEX(ERP資料!$G:$G, (MATCH(645, 輔助計算!$E$2:$E$801, 0)+1))="","",INDEX(ERP資料!$G:$G, (MATCH(645, 輔助計算!$E$2:$E$801, 0)+1))), "")</f>
        <v/>
      </c>
      <c r="G646" s="10">
        <f>IFERROR(IF(INDEX(ERP資料!$H:$H, (MATCH(645, 輔助計算!$E$2:$E$801, 0)+1))="","",INDEX(ERP資料!$H:$H, (MATCH(645, 輔助計算!$E$2:$E$801, 0)+1))), "")</f>
        <v/>
      </c>
      <c r="H646" s="15">
        <f>IFERROR(INDEX(輔助計算!$D:$D, (MATCH(645, 輔助計算!$E$2:$E$801, 0)+1)), "")</f>
        <v/>
      </c>
      <c r="I646" s="10">
        <f>IFERROR(IF(INDEX(ERP資料!$O:$O, (MATCH(645, 輔助計算!$E$2:$E$801, 0)+1))="","",INDEX(ERP資料!$O:$O, (MATCH(645, 輔助計算!$E$2:$E$801, 0)+1))), "")</f>
        <v/>
      </c>
      <c r="J646" s="15">
        <f>IFERROR(IF(INDEX(輔助計算!$D:$D,(MATCH(645, 輔助計算!$E$2:$E$801, 0)+1))="","",INDEX(輔助計算!$D:$D,(MATCH(645, 輔助計算!$E$2:$E$801, 0)+1))*INDEX(ERP資料!$O:$O,(MATCH(645, 輔助計算!$E$2:$E$801, 0)+1))), "")</f>
        <v/>
      </c>
      <c r="K646" s="16" t="n"/>
      <c r="L646" s="16" t="n"/>
      <c r="M646" s="17" t="n"/>
    </row>
    <row r="647">
      <c r="A647" s="14">
        <f>IFERROR(IF(INDEX(ERP資料!$B:$B, (MATCH(646, 輔助計算!$E$2:$E$801, 0)+1))="","",INDEX(ERP資料!$B:$B, (MATCH(646, 輔助計算!$E$2:$E$801, 0)+1))), "")</f>
        <v/>
      </c>
      <c r="B647" s="10">
        <f>IFERROR(IF(INDEX(ERP資料!$A:$A, (MATCH(646, 輔助計算!$E$2:$E$801, 0)+1))="","",INDEX(ERP資料!$A:$A, (MATCH(646, 輔助計算!$E$2:$E$801, 0)+1))), "")</f>
        <v/>
      </c>
      <c r="C647" s="10">
        <f>IFERROR(IF(INDEX(ERP資料!$S:$S, (MATCH(646, 輔助計算!$E$2:$E$801, 0)+1))="","",INDEX(ERP資料!$S:$S, (MATCH(646, 輔助計算!$E$2:$E$801, 0)+1))), "")</f>
        <v/>
      </c>
      <c r="D647" s="10">
        <f>IFERROR(IF(INDEX(ERP資料!$E:$E, (MATCH(646, 輔助計算!$E$2:$E$801, 0)+1))="","",TRIM(INDEX(ERP資料!$E:$E, (MATCH(646, 輔助計算!$E$2:$E$801, 0)+1)))), "")</f>
        <v/>
      </c>
      <c r="E647" s="10">
        <f>IFERROR(IF(INDEX(ERP資料!$F:$F, (MATCH(646, 輔助計算!$E$2:$E$801, 0)+1))="","",INDEX(ERP資料!$F:$F, (MATCH(646, 輔助計算!$E$2:$E$801, 0)+1))), "")</f>
        <v/>
      </c>
      <c r="F647" s="10">
        <f>IFERROR(IF(INDEX(ERP資料!$G:$G, (MATCH(646, 輔助計算!$E$2:$E$801, 0)+1))="","",INDEX(ERP資料!$G:$G, (MATCH(646, 輔助計算!$E$2:$E$801, 0)+1))), "")</f>
        <v/>
      </c>
      <c r="G647" s="10">
        <f>IFERROR(IF(INDEX(ERP資料!$H:$H, (MATCH(646, 輔助計算!$E$2:$E$801, 0)+1))="","",INDEX(ERP資料!$H:$H, (MATCH(646, 輔助計算!$E$2:$E$801, 0)+1))), "")</f>
        <v/>
      </c>
      <c r="H647" s="15">
        <f>IFERROR(INDEX(輔助計算!$D:$D, (MATCH(646, 輔助計算!$E$2:$E$801, 0)+1)), "")</f>
        <v/>
      </c>
      <c r="I647" s="10">
        <f>IFERROR(IF(INDEX(ERP資料!$O:$O, (MATCH(646, 輔助計算!$E$2:$E$801, 0)+1))="","",INDEX(ERP資料!$O:$O, (MATCH(646, 輔助計算!$E$2:$E$801, 0)+1))), "")</f>
        <v/>
      </c>
      <c r="J647" s="15">
        <f>IFERROR(IF(INDEX(輔助計算!$D:$D,(MATCH(646, 輔助計算!$E$2:$E$801, 0)+1))="","",INDEX(輔助計算!$D:$D,(MATCH(646, 輔助計算!$E$2:$E$801, 0)+1))*INDEX(ERP資料!$O:$O,(MATCH(646, 輔助計算!$E$2:$E$801, 0)+1))), "")</f>
        <v/>
      </c>
      <c r="K647" s="16" t="n"/>
      <c r="L647" s="16" t="n"/>
      <c r="M647" s="17" t="n"/>
    </row>
    <row r="648">
      <c r="A648" s="14">
        <f>IFERROR(IF(INDEX(ERP資料!$B:$B, (MATCH(647, 輔助計算!$E$2:$E$801, 0)+1))="","",INDEX(ERP資料!$B:$B, (MATCH(647, 輔助計算!$E$2:$E$801, 0)+1))), "")</f>
        <v/>
      </c>
      <c r="B648" s="10">
        <f>IFERROR(IF(INDEX(ERP資料!$A:$A, (MATCH(647, 輔助計算!$E$2:$E$801, 0)+1))="","",INDEX(ERP資料!$A:$A, (MATCH(647, 輔助計算!$E$2:$E$801, 0)+1))), "")</f>
        <v/>
      </c>
      <c r="C648" s="10">
        <f>IFERROR(IF(INDEX(ERP資料!$S:$S, (MATCH(647, 輔助計算!$E$2:$E$801, 0)+1))="","",INDEX(ERP資料!$S:$S, (MATCH(647, 輔助計算!$E$2:$E$801, 0)+1))), "")</f>
        <v/>
      </c>
      <c r="D648" s="10">
        <f>IFERROR(IF(INDEX(ERP資料!$E:$E, (MATCH(647, 輔助計算!$E$2:$E$801, 0)+1))="","",TRIM(INDEX(ERP資料!$E:$E, (MATCH(647, 輔助計算!$E$2:$E$801, 0)+1)))), "")</f>
        <v/>
      </c>
      <c r="E648" s="10">
        <f>IFERROR(IF(INDEX(ERP資料!$F:$F, (MATCH(647, 輔助計算!$E$2:$E$801, 0)+1))="","",INDEX(ERP資料!$F:$F, (MATCH(647, 輔助計算!$E$2:$E$801, 0)+1))), "")</f>
        <v/>
      </c>
      <c r="F648" s="10">
        <f>IFERROR(IF(INDEX(ERP資料!$G:$G, (MATCH(647, 輔助計算!$E$2:$E$801, 0)+1))="","",INDEX(ERP資料!$G:$G, (MATCH(647, 輔助計算!$E$2:$E$801, 0)+1))), "")</f>
        <v/>
      </c>
      <c r="G648" s="10">
        <f>IFERROR(IF(INDEX(ERP資料!$H:$H, (MATCH(647, 輔助計算!$E$2:$E$801, 0)+1))="","",INDEX(ERP資料!$H:$H, (MATCH(647, 輔助計算!$E$2:$E$801, 0)+1))), "")</f>
        <v/>
      </c>
      <c r="H648" s="15">
        <f>IFERROR(INDEX(輔助計算!$D:$D, (MATCH(647, 輔助計算!$E$2:$E$801, 0)+1)), "")</f>
        <v/>
      </c>
      <c r="I648" s="10">
        <f>IFERROR(IF(INDEX(ERP資料!$O:$O, (MATCH(647, 輔助計算!$E$2:$E$801, 0)+1))="","",INDEX(ERP資料!$O:$O, (MATCH(647, 輔助計算!$E$2:$E$801, 0)+1))), "")</f>
        <v/>
      </c>
      <c r="J648" s="15">
        <f>IFERROR(IF(INDEX(輔助計算!$D:$D,(MATCH(647, 輔助計算!$E$2:$E$801, 0)+1))="","",INDEX(輔助計算!$D:$D,(MATCH(647, 輔助計算!$E$2:$E$801, 0)+1))*INDEX(ERP資料!$O:$O,(MATCH(647, 輔助計算!$E$2:$E$801, 0)+1))), "")</f>
        <v/>
      </c>
      <c r="K648" s="16" t="n"/>
      <c r="L648" s="16" t="n"/>
      <c r="M648" s="17" t="n"/>
    </row>
    <row r="649">
      <c r="A649" s="14">
        <f>IFERROR(IF(INDEX(ERP資料!$B:$B, (MATCH(648, 輔助計算!$E$2:$E$801, 0)+1))="","",INDEX(ERP資料!$B:$B, (MATCH(648, 輔助計算!$E$2:$E$801, 0)+1))), "")</f>
        <v/>
      </c>
      <c r="B649" s="10">
        <f>IFERROR(IF(INDEX(ERP資料!$A:$A, (MATCH(648, 輔助計算!$E$2:$E$801, 0)+1))="","",INDEX(ERP資料!$A:$A, (MATCH(648, 輔助計算!$E$2:$E$801, 0)+1))), "")</f>
        <v/>
      </c>
      <c r="C649" s="10">
        <f>IFERROR(IF(INDEX(ERP資料!$S:$S, (MATCH(648, 輔助計算!$E$2:$E$801, 0)+1))="","",INDEX(ERP資料!$S:$S, (MATCH(648, 輔助計算!$E$2:$E$801, 0)+1))), "")</f>
        <v/>
      </c>
      <c r="D649" s="10">
        <f>IFERROR(IF(INDEX(ERP資料!$E:$E, (MATCH(648, 輔助計算!$E$2:$E$801, 0)+1))="","",TRIM(INDEX(ERP資料!$E:$E, (MATCH(648, 輔助計算!$E$2:$E$801, 0)+1)))), "")</f>
        <v/>
      </c>
      <c r="E649" s="10">
        <f>IFERROR(IF(INDEX(ERP資料!$F:$F, (MATCH(648, 輔助計算!$E$2:$E$801, 0)+1))="","",INDEX(ERP資料!$F:$F, (MATCH(648, 輔助計算!$E$2:$E$801, 0)+1))), "")</f>
        <v/>
      </c>
      <c r="F649" s="10">
        <f>IFERROR(IF(INDEX(ERP資料!$G:$G, (MATCH(648, 輔助計算!$E$2:$E$801, 0)+1))="","",INDEX(ERP資料!$G:$G, (MATCH(648, 輔助計算!$E$2:$E$801, 0)+1))), "")</f>
        <v/>
      </c>
      <c r="G649" s="10">
        <f>IFERROR(IF(INDEX(ERP資料!$H:$H, (MATCH(648, 輔助計算!$E$2:$E$801, 0)+1))="","",INDEX(ERP資料!$H:$H, (MATCH(648, 輔助計算!$E$2:$E$801, 0)+1))), "")</f>
        <v/>
      </c>
      <c r="H649" s="15">
        <f>IFERROR(INDEX(輔助計算!$D:$D, (MATCH(648, 輔助計算!$E$2:$E$801, 0)+1)), "")</f>
        <v/>
      </c>
      <c r="I649" s="10">
        <f>IFERROR(IF(INDEX(ERP資料!$O:$O, (MATCH(648, 輔助計算!$E$2:$E$801, 0)+1))="","",INDEX(ERP資料!$O:$O, (MATCH(648, 輔助計算!$E$2:$E$801, 0)+1))), "")</f>
        <v/>
      </c>
      <c r="J649" s="15">
        <f>IFERROR(IF(INDEX(輔助計算!$D:$D,(MATCH(648, 輔助計算!$E$2:$E$801, 0)+1))="","",INDEX(輔助計算!$D:$D,(MATCH(648, 輔助計算!$E$2:$E$801, 0)+1))*INDEX(ERP資料!$O:$O,(MATCH(648, 輔助計算!$E$2:$E$801, 0)+1))), "")</f>
        <v/>
      </c>
      <c r="K649" s="16" t="n"/>
      <c r="L649" s="16" t="n"/>
      <c r="M649" s="17" t="n"/>
    </row>
    <row r="650">
      <c r="A650" s="14">
        <f>IFERROR(IF(INDEX(ERP資料!$B:$B, (MATCH(649, 輔助計算!$E$2:$E$801, 0)+1))="","",INDEX(ERP資料!$B:$B, (MATCH(649, 輔助計算!$E$2:$E$801, 0)+1))), "")</f>
        <v/>
      </c>
      <c r="B650" s="10">
        <f>IFERROR(IF(INDEX(ERP資料!$A:$A, (MATCH(649, 輔助計算!$E$2:$E$801, 0)+1))="","",INDEX(ERP資料!$A:$A, (MATCH(649, 輔助計算!$E$2:$E$801, 0)+1))), "")</f>
        <v/>
      </c>
      <c r="C650" s="10">
        <f>IFERROR(IF(INDEX(ERP資料!$S:$S, (MATCH(649, 輔助計算!$E$2:$E$801, 0)+1))="","",INDEX(ERP資料!$S:$S, (MATCH(649, 輔助計算!$E$2:$E$801, 0)+1))), "")</f>
        <v/>
      </c>
      <c r="D650" s="10">
        <f>IFERROR(IF(INDEX(ERP資料!$E:$E, (MATCH(649, 輔助計算!$E$2:$E$801, 0)+1))="","",TRIM(INDEX(ERP資料!$E:$E, (MATCH(649, 輔助計算!$E$2:$E$801, 0)+1)))), "")</f>
        <v/>
      </c>
      <c r="E650" s="10">
        <f>IFERROR(IF(INDEX(ERP資料!$F:$F, (MATCH(649, 輔助計算!$E$2:$E$801, 0)+1))="","",INDEX(ERP資料!$F:$F, (MATCH(649, 輔助計算!$E$2:$E$801, 0)+1))), "")</f>
        <v/>
      </c>
      <c r="F650" s="10">
        <f>IFERROR(IF(INDEX(ERP資料!$G:$G, (MATCH(649, 輔助計算!$E$2:$E$801, 0)+1))="","",INDEX(ERP資料!$G:$G, (MATCH(649, 輔助計算!$E$2:$E$801, 0)+1))), "")</f>
        <v/>
      </c>
      <c r="G650" s="10">
        <f>IFERROR(IF(INDEX(ERP資料!$H:$H, (MATCH(649, 輔助計算!$E$2:$E$801, 0)+1))="","",INDEX(ERP資料!$H:$H, (MATCH(649, 輔助計算!$E$2:$E$801, 0)+1))), "")</f>
        <v/>
      </c>
      <c r="H650" s="15">
        <f>IFERROR(INDEX(輔助計算!$D:$D, (MATCH(649, 輔助計算!$E$2:$E$801, 0)+1)), "")</f>
        <v/>
      </c>
      <c r="I650" s="10">
        <f>IFERROR(IF(INDEX(ERP資料!$O:$O, (MATCH(649, 輔助計算!$E$2:$E$801, 0)+1))="","",INDEX(ERP資料!$O:$O, (MATCH(649, 輔助計算!$E$2:$E$801, 0)+1))), "")</f>
        <v/>
      </c>
      <c r="J650" s="15">
        <f>IFERROR(IF(INDEX(輔助計算!$D:$D,(MATCH(649, 輔助計算!$E$2:$E$801, 0)+1))="","",INDEX(輔助計算!$D:$D,(MATCH(649, 輔助計算!$E$2:$E$801, 0)+1))*INDEX(ERP資料!$O:$O,(MATCH(649, 輔助計算!$E$2:$E$801, 0)+1))), "")</f>
        <v/>
      </c>
      <c r="K650" s="16" t="n"/>
      <c r="L650" s="16" t="n"/>
      <c r="M650" s="17" t="n"/>
    </row>
    <row r="651">
      <c r="A651" s="14">
        <f>IFERROR(IF(INDEX(ERP資料!$B:$B, (MATCH(650, 輔助計算!$E$2:$E$801, 0)+1))="","",INDEX(ERP資料!$B:$B, (MATCH(650, 輔助計算!$E$2:$E$801, 0)+1))), "")</f>
        <v/>
      </c>
      <c r="B651" s="10">
        <f>IFERROR(IF(INDEX(ERP資料!$A:$A, (MATCH(650, 輔助計算!$E$2:$E$801, 0)+1))="","",INDEX(ERP資料!$A:$A, (MATCH(650, 輔助計算!$E$2:$E$801, 0)+1))), "")</f>
        <v/>
      </c>
      <c r="C651" s="10">
        <f>IFERROR(IF(INDEX(ERP資料!$S:$S, (MATCH(650, 輔助計算!$E$2:$E$801, 0)+1))="","",INDEX(ERP資料!$S:$S, (MATCH(650, 輔助計算!$E$2:$E$801, 0)+1))), "")</f>
        <v/>
      </c>
      <c r="D651" s="10">
        <f>IFERROR(IF(INDEX(ERP資料!$E:$E, (MATCH(650, 輔助計算!$E$2:$E$801, 0)+1))="","",TRIM(INDEX(ERP資料!$E:$E, (MATCH(650, 輔助計算!$E$2:$E$801, 0)+1)))), "")</f>
        <v/>
      </c>
      <c r="E651" s="10">
        <f>IFERROR(IF(INDEX(ERP資料!$F:$F, (MATCH(650, 輔助計算!$E$2:$E$801, 0)+1))="","",INDEX(ERP資料!$F:$F, (MATCH(650, 輔助計算!$E$2:$E$801, 0)+1))), "")</f>
        <v/>
      </c>
      <c r="F651" s="10">
        <f>IFERROR(IF(INDEX(ERP資料!$G:$G, (MATCH(650, 輔助計算!$E$2:$E$801, 0)+1))="","",INDEX(ERP資料!$G:$G, (MATCH(650, 輔助計算!$E$2:$E$801, 0)+1))), "")</f>
        <v/>
      </c>
      <c r="G651" s="10">
        <f>IFERROR(IF(INDEX(ERP資料!$H:$H, (MATCH(650, 輔助計算!$E$2:$E$801, 0)+1))="","",INDEX(ERP資料!$H:$H, (MATCH(650, 輔助計算!$E$2:$E$801, 0)+1))), "")</f>
        <v/>
      </c>
      <c r="H651" s="15">
        <f>IFERROR(INDEX(輔助計算!$D:$D, (MATCH(650, 輔助計算!$E$2:$E$801, 0)+1)), "")</f>
        <v/>
      </c>
      <c r="I651" s="10">
        <f>IFERROR(IF(INDEX(ERP資料!$O:$O, (MATCH(650, 輔助計算!$E$2:$E$801, 0)+1))="","",INDEX(ERP資料!$O:$O, (MATCH(650, 輔助計算!$E$2:$E$801, 0)+1))), "")</f>
        <v/>
      </c>
      <c r="J651" s="15">
        <f>IFERROR(IF(INDEX(輔助計算!$D:$D,(MATCH(650, 輔助計算!$E$2:$E$801, 0)+1))="","",INDEX(輔助計算!$D:$D,(MATCH(650, 輔助計算!$E$2:$E$801, 0)+1))*INDEX(ERP資料!$O:$O,(MATCH(650, 輔助計算!$E$2:$E$801, 0)+1))), "")</f>
        <v/>
      </c>
      <c r="K651" s="16" t="n"/>
      <c r="L651" s="16" t="n"/>
      <c r="M651" s="17" t="n"/>
    </row>
    <row r="652">
      <c r="A652" s="14">
        <f>IFERROR(IF(INDEX(ERP資料!$B:$B, (MATCH(651, 輔助計算!$E$2:$E$801, 0)+1))="","",INDEX(ERP資料!$B:$B, (MATCH(651, 輔助計算!$E$2:$E$801, 0)+1))), "")</f>
        <v/>
      </c>
      <c r="B652" s="10">
        <f>IFERROR(IF(INDEX(ERP資料!$A:$A, (MATCH(651, 輔助計算!$E$2:$E$801, 0)+1))="","",INDEX(ERP資料!$A:$A, (MATCH(651, 輔助計算!$E$2:$E$801, 0)+1))), "")</f>
        <v/>
      </c>
      <c r="C652" s="10">
        <f>IFERROR(IF(INDEX(ERP資料!$S:$S, (MATCH(651, 輔助計算!$E$2:$E$801, 0)+1))="","",INDEX(ERP資料!$S:$S, (MATCH(651, 輔助計算!$E$2:$E$801, 0)+1))), "")</f>
        <v/>
      </c>
      <c r="D652" s="10">
        <f>IFERROR(IF(INDEX(ERP資料!$E:$E, (MATCH(651, 輔助計算!$E$2:$E$801, 0)+1))="","",TRIM(INDEX(ERP資料!$E:$E, (MATCH(651, 輔助計算!$E$2:$E$801, 0)+1)))), "")</f>
        <v/>
      </c>
      <c r="E652" s="10">
        <f>IFERROR(IF(INDEX(ERP資料!$F:$F, (MATCH(651, 輔助計算!$E$2:$E$801, 0)+1))="","",INDEX(ERP資料!$F:$F, (MATCH(651, 輔助計算!$E$2:$E$801, 0)+1))), "")</f>
        <v/>
      </c>
      <c r="F652" s="10">
        <f>IFERROR(IF(INDEX(ERP資料!$G:$G, (MATCH(651, 輔助計算!$E$2:$E$801, 0)+1))="","",INDEX(ERP資料!$G:$G, (MATCH(651, 輔助計算!$E$2:$E$801, 0)+1))), "")</f>
        <v/>
      </c>
      <c r="G652" s="10">
        <f>IFERROR(IF(INDEX(ERP資料!$H:$H, (MATCH(651, 輔助計算!$E$2:$E$801, 0)+1))="","",INDEX(ERP資料!$H:$H, (MATCH(651, 輔助計算!$E$2:$E$801, 0)+1))), "")</f>
        <v/>
      </c>
      <c r="H652" s="15">
        <f>IFERROR(INDEX(輔助計算!$D:$D, (MATCH(651, 輔助計算!$E$2:$E$801, 0)+1)), "")</f>
        <v/>
      </c>
      <c r="I652" s="10">
        <f>IFERROR(IF(INDEX(ERP資料!$O:$O, (MATCH(651, 輔助計算!$E$2:$E$801, 0)+1))="","",INDEX(ERP資料!$O:$O, (MATCH(651, 輔助計算!$E$2:$E$801, 0)+1))), "")</f>
        <v/>
      </c>
      <c r="J652" s="15">
        <f>IFERROR(IF(INDEX(輔助計算!$D:$D,(MATCH(651, 輔助計算!$E$2:$E$801, 0)+1))="","",INDEX(輔助計算!$D:$D,(MATCH(651, 輔助計算!$E$2:$E$801, 0)+1))*INDEX(ERP資料!$O:$O,(MATCH(651, 輔助計算!$E$2:$E$801, 0)+1))), "")</f>
        <v/>
      </c>
      <c r="K652" s="16" t="n"/>
      <c r="L652" s="16" t="n"/>
      <c r="M652" s="17" t="n"/>
    </row>
    <row r="653">
      <c r="A653" s="14">
        <f>IFERROR(IF(INDEX(ERP資料!$B:$B, (MATCH(652, 輔助計算!$E$2:$E$801, 0)+1))="","",INDEX(ERP資料!$B:$B, (MATCH(652, 輔助計算!$E$2:$E$801, 0)+1))), "")</f>
        <v/>
      </c>
      <c r="B653" s="10">
        <f>IFERROR(IF(INDEX(ERP資料!$A:$A, (MATCH(652, 輔助計算!$E$2:$E$801, 0)+1))="","",INDEX(ERP資料!$A:$A, (MATCH(652, 輔助計算!$E$2:$E$801, 0)+1))), "")</f>
        <v/>
      </c>
      <c r="C653" s="10">
        <f>IFERROR(IF(INDEX(ERP資料!$S:$S, (MATCH(652, 輔助計算!$E$2:$E$801, 0)+1))="","",INDEX(ERP資料!$S:$S, (MATCH(652, 輔助計算!$E$2:$E$801, 0)+1))), "")</f>
        <v/>
      </c>
      <c r="D653" s="10">
        <f>IFERROR(IF(INDEX(ERP資料!$E:$E, (MATCH(652, 輔助計算!$E$2:$E$801, 0)+1))="","",TRIM(INDEX(ERP資料!$E:$E, (MATCH(652, 輔助計算!$E$2:$E$801, 0)+1)))), "")</f>
        <v/>
      </c>
      <c r="E653" s="10">
        <f>IFERROR(IF(INDEX(ERP資料!$F:$F, (MATCH(652, 輔助計算!$E$2:$E$801, 0)+1))="","",INDEX(ERP資料!$F:$F, (MATCH(652, 輔助計算!$E$2:$E$801, 0)+1))), "")</f>
        <v/>
      </c>
      <c r="F653" s="10">
        <f>IFERROR(IF(INDEX(ERP資料!$G:$G, (MATCH(652, 輔助計算!$E$2:$E$801, 0)+1))="","",INDEX(ERP資料!$G:$G, (MATCH(652, 輔助計算!$E$2:$E$801, 0)+1))), "")</f>
        <v/>
      </c>
      <c r="G653" s="10">
        <f>IFERROR(IF(INDEX(ERP資料!$H:$H, (MATCH(652, 輔助計算!$E$2:$E$801, 0)+1))="","",INDEX(ERP資料!$H:$H, (MATCH(652, 輔助計算!$E$2:$E$801, 0)+1))), "")</f>
        <v/>
      </c>
      <c r="H653" s="15">
        <f>IFERROR(INDEX(輔助計算!$D:$D, (MATCH(652, 輔助計算!$E$2:$E$801, 0)+1)), "")</f>
        <v/>
      </c>
      <c r="I653" s="10">
        <f>IFERROR(IF(INDEX(ERP資料!$O:$O, (MATCH(652, 輔助計算!$E$2:$E$801, 0)+1))="","",INDEX(ERP資料!$O:$O, (MATCH(652, 輔助計算!$E$2:$E$801, 0)+1))), "")</f>
        <v/>
      </c>
      <c r="J653" s="15">
        <f>IFERROR(IF(INDEX(輔助計算!$D:$D,(MATCH(652, 輔助計算!$E$2:$E$801, 0)+1))="","",INDEX(輔助計算!$D:$D,(MATCH(652, 輔助計算!$E$2:$E$801, 0)+1))*INDEX(ERP資料!$O:$O,(MATCH(652, 輔助計算!$E$2:$E$801, 0)+1))), "")</f>
        <v/>
      </c>
      <c r="K653" s="16" t="n"/>
      <c r="L653" s="16" t="n"/>
      <c r="M653" s="17" t="n"/>
    </row>
    <row r="654">
      <c r="A654" s="14">
        <f>IFERROR(IF(INDEX(ERP資料!$B:$B, (MATCH(653, 輔助計算!$E$2:$E$801, 0)+1))="","",INDEX(ERP資料!$B:$B, (MATCH(653, 輔助計算!$E$2:$E$801, 0)+1))), "")</f>
        <v/>
      </c>
      <c r="B654" s="10">
        <f>IFERROR(IF(INDEX(ERP資料!$A:$A, (MATCH(653, 輔助計算!$E$2:$E$801, 0)+1))="","",INDEX(ERP資料!$A:$A, (MATCH(653, 輔助計算!$E$2:$E$801, 0)+1))), "")</f>
        <v/>
      </c>
      <c r="C654" s="10">
        <f>IFERROR(IF(INDEX(ERP資料!$S:$S, (MATCH(653, 輔助計算!$E$2:$E$801, 0)+1))="","",INDEX(ERP資料!$S:$S, (MATCH(653, 輔助計算!$E$2:$E$801, 0)+1))), "")</f>
        <v/>
      </c>
      <c r="D654" s="10">
        <f>IFERROR(IF(INDEX(ERP資料!$E:$E, (MATCH(653, 輔助計算!$E$2:$E$801, 0)+1))="","",TRIM(INDEX(ERP資料!$E:$E, (MATCH(653, 輔助計算!$E$2:$E$801, 0)+1)))), "")</f>
        <v/>
      </c>
      <c r="E654" s="10">
        <f>IFERROR(IF(INDEX(ERP資料!$F:$F, (MATCH(653, 輔助計算!$E$2:$E$801, 0)+1))="","",INDEX(ERP資料!$F:$F, (MATCH(653, 輔助計算!$E$2:$E$801, 0)+1))), "")</f>
        <v/>
      </c>
      <c r="F654" s="10">
        <f>IFERROR(IF(INDEX(ERP資料!$G:$G, (MATCH(653, 輔助計算!$E$2:$E$801, 0)+1))="","",INDEX(ERP資料!$G:$G, (MATCH(653, 輔助計算!$E$2:$E$801, 0)+1))), "")</f>
        <v/>
      </c>
      <c r="G654" s="10">
        <f>IFERROR(IF(INDEX(ERP資料!$H:$H, (MATCH(653, 輔助計算!$E$2:$E$801, 0)+1))="","",INDEX(ERP資料!$H:$H, (MATCH(653, 輔助計算!$E$2:$E$801, 0)+1))), "")</f>
        <v/>
      </c>
      <c r="H654" s="15">
        <f>IFERROR(INDEX(輔助計算!$D:$D, (MATCH(653, 輔助計算!$E$2:$E$801, 0)+1)), "")</f>
        <v/>
      </c>
      <c r="I654" s="10">
        <f>IFERROR(IF(INDEX(ERP資料!$O:$O, (MATCH(653, 輔助計算!$E$2:$E$801, 0)+1))="","",INDEX(ERP資料!$O:$O, (MATCH(653, 輔助計算!$E$2:$E$801, 0)+1))), "")</f>
        <v/>
      </c>
      <c r="J654" s="15">
        <f>IFERROR(IF(INDEX(輔助計算!$D:$D,(MATCH(653, 輔助計算!$E$2:$E$801, 0)+1))="","",INDEX(輔助計算!$D:$D,(MATCH(653, 輔助計算!$E$2:$E$801, 0)+1))*INDEX(ERP資料!$O:$O,(MATCH(653, 輔助計算!$E$2:$E$801, 0)+1))), "")</f>
        <v/>
      </c>
      <c r="K654" s="16" t="n"/>
      <c r="L654" s="16" t="n"/>
      <c r="M654" s="17" t="n"/>
    </row>
    <row r="655">
      <c r="A655" s="14">
        <f>IFERROR(IF(INDEX(ERP資料!$B:$B, (MATCH(654, 輔助計算!$E$2:$E$801, 0)+1))="","",INDEX(ERP資料!$B:$B, (MATCH(654, 輔助計算!$E$2:$E$801, 0)+1))), "")</f>
        <v/>
      </c>
      <c r="B655" s="10">
        <f>IFERROR(IF(INDEX(ERP資料!$A:$A, (MATCH(654, 輔助計算!$E$2:$E$801, 0)+1))="","",INDEX(ERP資料!$A:$A, (MATCH(654, 輔助計算!$E$2:$E$801, 0)+1))), "")</f>
        <v/>
      </c>
      <c r="C655" s="10">
        <f>IFERROR(IF(INDEX(ERP資料!$S:$S, (MATCH(654, 輔助計算!$E$2:$E$801, 0)+1))="","",INDEX(ERP資料!$S:$S, (MATCH(654, 輔助計算!$E$2:$E$801, 0)+1))), "")</f>
        <v/>
      </c>
      <c r="D655" s="10">
        <f>IFERROR(IF(INDEX(ERP資料!$E:$E, (MATCH(654, 輔助計算!$E$2:$E$801, 0)+1))="","",TRIM(INDEX(ERP資料!$E:$E, (MATCH(654, 輔助計算!$E$2:$E$801, 0)+1)))), "")</f>
        <v/>
      </c>
      <c r="E655" s="10">
        <f>IFERROR(IF(INDEX(ERP資料!$F:$F, (MATCH(654, 輔助計算!$E$2:$E$801, 0)+1))="","",INDEX(ERP資料!$F:$F, (MATCH(654, 輔助計算!$E$2:$E$801, 0)+1))), "")</f>
        <v/>
      </c>
      <c r="F655" s="10">
        <f>IFERROR(IF(INDEX(ERP資料!$G:$G, (MATCH(654, 輔助計算!$E$2:$E$801, 0)+1))="","",INDEX(ERP資料!$G:$G, (MATCH(654, 輔助計算!$E$2:$E$801, 0)+1))), "")</f>
        <v/>
      </c>
      <c r="G655" s="10">
        <f>IFERROR(IF(INDEX(ERP資料!$H:$H, (MATCH(654, 輔助計算!$E$2:$E$801, 0)+1))="","",INDEX(ERP資料!$H:$H, (MATCH(654, 輔助計算!$E$2:$E$801, 0)+1))), "")</f>
        <v/>
      </c>
      <c r="H655" s="15">
        <f>IFERROR(INDEX(輔助計算!$D:$D, (MATCH(654, 輔助計算!$E$2:$E$801, 0)+1)), "")</f>
        <v/>
      </c>
      <c r="I655" s="10">
        <f>IFERROR(IF(INDEX(ERP資料!$O:$O, (MATCH(654, 輔助計算!$E$2:$E$801, 0)+1))="","",INDEX(ERP資料!$O:$O, (MATCH(654, 輔助計算!$E$2:$E$801, 0)+1))), "")</f>
        <v/>
      </c>
      <c r="J655" s="15">
        <f>IFERROR(IF(INDEX(輔助計算!$D:$D,(MATCH(654, 輔助計算!$E$2:$E$801, 0)+1))="","",INDEX(輔助計算!$D:$D,(MATCH(654, 輔助計算!$E$2:$E$801, 0)+1))*INDEX(ERP資料!$O:$O,(MATCH(654, 輔助計算!$E$2:$E$801, 0)+1))), "")</f>
        <v/>
      </c>
      <c r="K655" s="16" t="n"/>
      <c r="L655" s="16" t="n"/>
      <c r="M655" s="17" t="n"/>
    </row>
    <row r="656">
      <c r="A656" s="14">
        <f>IFERROR(IF(INDEX(ERP資料!$B:$B, (MATCH(655, 輔助計算!$E$2:$E$801, 0)+1))="","",INDEX(ERP資料!$B:$B, (MATCH(655, 輔助計算!$E$2:$E$801, 0)+1))), "")</f>
        <v/>
      </c>
      <c r="B656" s="10">
        <f>IFERROR(IF(INDEX(ERP資料!$A:$A, (MATCH(655, 輔助計算!$E$2:$E$801, 0)+1))="","",INDEX(ERP資料!$A:$A, (MATCH(655, 輔助計算!$E$2:$E$801, 0)+1))), "")</f>
        <v/>
      </c>
      <c r="C656" s="10">
        <f>IFERROR(IF(INDEX(ERP資料!$S:$S, (MATCH(655, 輔助計算!$E$2:$E$801, 0)+1))="","",INDEX(ERP資料!$S:$S, (MATCH(655, 輔助計算!$E$2:$E$801, 0)+1))), "")</f>
        <v/>
      </c>
      <c r="D656" s="10">
        <f>IFERROR(IF(INDEX(ERP資料!$E:$E, (MATCH(655, 輔助計算!$E$2:$E$801, 0)+1))="","",TRIM(INDEX(ERP資料!$E:$E, (MATCH(655, 輔助計算!$E$2:$E$801, 0)+1)))), "")</f>
        <v/>
      </c>
      <c r="E656" s="10">
        <f>IFERROR(IF(INDEX(ERP資料!$F:$F, (MATCH(655, 輔助計算!$E$2:$E$801, 0)+1))="","",INDEX(ERP資料!$F:$F, (MATCH(655, 輔助計算!$E$2:$E$801, 0)+1))), "")</f>
        <v/>
      </c>
      <c r="F656" s="10">
        <f>IFERROR(IF(INDEX(ERP資料!$G:$G, (MATCH(655, 輔助計算!$E$2:$E$801, 0)+1))="","",INDEX(ERP資料!$G:$G, (MATCH(655, 輔助計算!$E$2:$E$801, 0)+1))), "")</f>
        <v/>
      </c>
      <c r="G656" s="10">
        <f>IFERROR(IF(INDEX(ERP資料!$H:$H, (MATCH(655, 輔助計算!$E$2:$E$801, 0)+1))="","",INDEX(ERP資料!$H:$H, (MATCH(655, 輔助計算!$E$2:$E$801, 0)+1))), "")</f>
        <v/>
      </c>
      <c r="H656" s="15">
        <f>IFERROR(INDEX(輔助計算!$D:$D, (MATCH(655, 輔助計算!$E$2:$E$801, 0)+1)), "")</f>
        <v/>
      </c>
      <c r="I656" s="10">
        <f>IFERROR(IF(INDEX(ERP資料!$O:$O, (MATCH(655, 輔助計算!$E$2:$E$801, 0)+1))="","",INDEX(ERP資料!$O:$O, (MATCH(655, 輔助計算!$E$2:$E$801, 0)+1))), "")</f>
        <v/>
      </c>
      <c r="J656" s="15">
        <f>IFERROR(IF(INDEX(輔助計算!$D:$D,(MATCH(655, 輔助計算!$E$2:$E$801, 0)+1))="","",INDEX(輔助計算!$D:$D,(MATCH(655, 輔助計算!$E$2:$E$801, 0)+1))*INDEX(ERP資料!$O:$O,(MATCH(655, 輔助計算!$E$2:$E$801, 0)+1))), "")</f>
        <v/>
      </c>
      <c r="K656" s="16" t="n"/>
      <c r="L656" s="16" t="n"/>
      <c r="M656" s="17" t="n"/>
    </row>
    <row r="657">
      <c r="A657" s="14">
        <f>IFERROR(IF(INDEX(ERP資料!$B:$B, (MATCH(656, 輔助計算!$E$2:$E$801, 0)+1))="","",INDEX(ERP資料!$B:$B, (MATCH(656, 輔助計算!$E$2:$E$801, 0)+1))), "")</f>
        <v/>
      </c>
      <c r="B657" s="10">
        <f>IFERROR(IF(INDEX(ERP資料!$A:$A, (MATCH(656, 輔助計算!$E$2:$E$801, 0)+1))="","",INDEX(ERP資料!$A:$A, (MATCH(656, 輔助計算!$E$2:$E$801, 0)+1))), "")</f>
        <v/>
      </c>
      <c r="C657" s="10">
        <f>IFERROR(IF(INDEX(ERP資料!$S:$S, (MATCH(656, 輔助計算!$E$2:$E$801, 0)+1))="","",INDEX(ERP資料!$S:$S, (MATCH(656, 輔助計算!$E$2:$E$801, 0)+1))), "")</f>
        <v/>
      </c>
      <c r="D657" s="10">
        <f>IFERROR(IF(INDEX(ERP資料!$E:$E, (MATCH(656, 輔助計算!$E$2:$E$801, 0)+1))="","",TRIM(INDEX(ERP資料!$E:$E, (MATCH(656, 輔助計算!$E$2:$E$801, 0)+1)))), "")</f>
        <v/>
      </c>
      <c r="E657" s="10">
        <f>IFERROR(IF(INDEX(ERP資料!$F:$F, (MATCH(656, 輔助計算!$E$2:$E$801, 0)+1))="","",INDEX(ERP資料!$F:$F, (MATCH(656, 輔助計算!$E$2:$E$801, 0)+1))), "")</f>
        <v/>
      </c>
      <c r="F657" s="10">
        <f>IFERROR(IF(INDEX(ERP資料!$G:$G, (MATCH(656, 輔助計算!$E$2:$E$801, 0)+1))="","",INDEX(ERP資料!$G:$G, (MATCH(656, 輔助計算!$E$2:$E$801, 0)+1))), "")</f>
        <v/>
      </c>
      <c r="G657" s="10">
        <f>IFERROR(IF(INDEX(ERP資料!$H:$H, (MATCH(656, 輔助計算!$E$2:$E$801, 0)+1))="","",INDEX(ERP資料!$H:$H, (MATCH(656, 輔助計算!$E$2:$E$801, 0)+1))), "")</f>
        <v/>
      </c>
      <c r="H657" s="15">
        <f>IFERROR(INDEX(輔助計算!$D:$D, (MATCH(656, 輔助計算!$E$2:$E$801, 0)+1)), "")</f>
        <v/>
      </c>
      <c r="I657" s="10">
        <f>IFERROR(IF(INDEX(ERP資料!$O:$O, (MATCH(656, 輔助計算!$E$2:$E$801, 0)+1))="","",INDEX(ERP資料!$O:$O, (MATCH(656, 輔助計算!$E$2:$E$801, 0)+1))), "")</f>
        <v/>
      </c>
      <c r="J657" s="15">
        <f>IFERROR(IF(INDEX(輔助計算!$D:$D,(MATCH(656, 輔助計算!$E$2:$E$801, 0)+1))="","",INDEX(輔助計算!$D:$D,(MATCH(656, 輔助計算!$E$2:$E$801, 0)+1))*INDEX(ERP資料!$O:$O,(MATCH(656, 輔助計算!$E$2:$E$801, 0)+1))), "")</f>
        <v/>
      </c>
      <c r="K657" s="16" t="n"/>
      <c r="L657" s="16" t="n"/>
      <c r="M657" s="17" t="n"/>
    </row>
    <row r="658">
      <c r="A658" s="14">
        <f>IFERROR(IF(INDEX(ERP資料!$B:$B, (MATCH(657, 輔助計算!$E$2:$E$801, 0)+1))="","",INDEX(ERP資料!$B:$B, (MATCH(657, 輔助計算!$E$2:$E$801, 0)+1))), "")</f>
        <v/>
      </c>
      <c r="B658" s="10">
        <f>IFERROR(IF(INDEX(ERP資料!$A:$A, (MATCH(657, 輔助計算!$E$2:$E$801, 0)+1))="","",INDEX(ERP資料!$A:$A, (MATCH(657, 輔助計算!$E$2:$E$801, 0)+1))), "")</f>
        <v/>
      </c>
      <c r="C658" s="10">
        <f>IFERROR(IF(INDEX(ERP資料!$S:$S, (MATCH(657, 輔助計算!$E$2:$E$801, 0)+1))="","",INDEX(ERP資料!$S:$S, (MATCH(657, 輔助計算!$E$2:$E$801, 0)+1))), "")</f>
        <v/>
      </c>
      <c r="D658" s="10">
        <f>IFERROR(IF(INDEX(ERP資料!$E:$E, (MATCH(657, 輔助計算!$E$2:$E$801, 0)+1))="","",TRIM(INDEX(ERP資料!$E:$E, (MATCH(657, 輔助計算!$E$2:$E$801, 0)+1)))), "")</f>
        <v/>
      </c>
      <c r="E658" s="10">
        <f>IFERROR(IF(INDEX(ERP資料!$F:$F, (MATCH(657, 輔助計算!$E$2:$E$801, 0)+1))="","",INDEX(ERP資料!$F:$F, (MATCH(657, 輔助計算!$E$2:$E$801, 0)+1))), "")</f>
        <v/>
      </c>
      <c r="F658" s="10">
        <f>IFERROR(IF(INDEX(ERP資料!$G:$G, (MATCH(657, 輔助計算!$E$2:$E$801, 0)+1))="","",INDEX(ERP資料!$G:$G, (MATCH(657, 輔助計算!$E$2:$E$801, 0)+1))), "")</f>
        <v/>
      </c>
      <c r="G658" s="10">
        <f>IFERROR(IF(INDEX(ERP資料!$H:$H, (MATCH(657, 輔助計算!$E$2:$E$801, 0)+1))="","",INDEX(ERP資料!$H:$H, (MATCH(657, 輔助計算!$E$2:$E$801, 0)+1))), "")</f>
        <v/>
      </c>
      <c r="H658" s="15">
        <f>IFERROR(INDEX(輔助計算!$D:$D, (MATCH(657, 輔助計算!$E$2:$E$801, 0)+1)), "")</f>
        <v/>
      </c>
      <c r="I658" s="10">
        <f>IFERROR(IF(INDEX(ERP資料!$O:$O, (MATCH(657, 輔助計算!$E$2:$E$801, 0)+1))="","",INDEX(ERP資料!$O:$O, (MATCH(657, 輔助計算!$E$2:$E$801, 0)+1))), "")</f>
        <v/>
      </c>
      <c r="J658" s="15">
        <f>IFERROR(IF(INDEX(輔助計算!$D:$D,(MATCH(657, 輔助計算!$E$2:$E$801, 0)+1))="","",INDEX(輔助計算!$D:$D,(MATCH(657, 輔助計算!$E$2:$E$801, 0)+1))*INDEX(ERP資料!$O:$O,(MATCH(657, 輔助計算!$E$2:$E$801, 0)+1))), "")</f>
        <v/>
      </c>
      <c r="K658" s="16" t="n"/>
      <c r="L658" s="16" t="n"/>
      <c r="M658" s="17" t="n"/>
    </row>
    <row r="659">
      <c r="A659" s="14">
        <f>IFERROR(IF(INDEX(ERP資料!$B:$B, (MATCH(658, 輔助計算!$E$2:$E$801, 0)+1))="","",INDEX(ERP資料!$B:$B, (MATCH(658, 輔助計算!$E$2:$E$801, 0)+1))), "")</f>
        <v/>
      </c>
      <c r="B659" s="10">
        <f>IFERROR(IF(INDEX(ERP資料!$A:$A, (MATCH(658, 輔助計算!$E$2:$E$801, 0)+1))="","",INDEX(ERP資料!$A:$A, (MATCH(658, 輔助計算!$E$2:$E$801, 0)+1))), "")</f>
        <v/>
      </c>
      <c r="C659" s="10">
        <f>IFERROR(IF(INDEX(ERP資料!$S:$S, (MATCH(658, 輔助計算!$E$2:$E$801, 0)+1))="","",INDEX(ERP資料!$S:$S, (MATCH(658, 輔助計算!$E$2:$E$801, 0)+1))), "")</f>
        <v/>
      </c>
      <c r="D659" s="10">
        <f>IFERROR(IF(INDEX(ERP資料!$E:$E, (MATCH(658, 輔助計算!$E$2:$E$801, 0)+1))="","",TRIM(INDEX(ERP資料!$E:$E, (MATCH(658, 輔助計算!$E$2:$E$801, 0)+1)))), "")</f>
        <v/>
      </c>
      <c r="E659" s="10">
        <f>IFERROR(IF(INDEX(ERP資料!$F:$F, (MATCH(658, 輔助計算!$E$2:$E$801, 0)+1))="","",INDEX(ERP資料!$F:$F, (MATCH(658, 輔助計算!$E$2:$E$801, 0)+1))), "")</f>
        <v/>
      </c>
      <c r="F659" s="10">
        <f>IFERROR(IF(INDEX(ERP資料!$G:$G, (MATCH(658, 輔助計算!$E$2:$E$801, 0)+1))="","",INDEX(ERP資料!$G:$G, (MATCH(658, 輔助計算!$E$2:$E$801, 0)+1))), "")</f>
        <v/>
      </c>
      <c r="G659" s="10">
        <f>IFERROR(IF(INDEX(ERP資料!$H:$H, (MATCH(658, 輔助計算!$E$2:$E$801, 0)+1))="","",INDEX(ERP資料!$H:$H, (MATCH(658, 輔助計算!$E$2:$E$801, 0)+1))), "")</f>
        <v/>
      </c>
      <c r="H659" s="15">
        <f>IFERROR(INDEX(輔助計算!$D:$D, (MATCH(658, 輔助計算!$E$2:$E$801, 0)+1)), "")</f>
        <v/>
      </c>
      <c r="I659" s="10">
        <f>IFERROR(IF(INDEX(ERP資料!$O:$O, (MATCH(658, 輔助計算!$E$2:$E$801, 0)+1))="","",INDEX(ERP資料!$O:$O, (MATCH(658, 輔助計算!$E$2:$E$801, 0)+1))), "")</f>
        <v/>
      </c>
      <c r="J659" s="15">
        <f>IFERROR(IF(INDEX(輔助計算!$D:$D,(MATCH(658, 輔助計算!$E$2:$E$801, 0)+1))="","",INDEX(輔助計算!$D:$D,(MATCH(658, 輔助計算!$E$2:$E$801, 0)+1))*INDEX(ERP資料!$O:$O,(MATCH(658, 輔助計算!$E$2:$E$801, 0)+1))), "")</f>
        <v/>
      </c>
      <c r="K659" s="16" t="n"/>
      <c r="L659" s="16" t="n"/>
      <c r="M659" s="17" t="n"/>
    </row>
    <row r="660">
      <c r="A660" s="14">
        <f>IFERROR(IF(INDEX(ERP資料!$B:$B, (MATCH(659, 輔助計算!$E$2:$E$801, 0)+1))="","",INDEX(ERP資料!$B:$B, (MATCH(659, 輔助計算!$E$2:$E$801, 0)+1))), "")</f>
        <v/>
      </c>
      <c r="B660" s="10">
        <f>IFERROR(IF(INDEX(ERP資料!$A:$A, (MATCH(659, 輔助計算!$E$2:$E$801, 0)+1))="","",INDEX(ERP資料!$A:$A, (MATCH(659, 輔助計算!$E$2:$E$801, 0)+1))), "")</f>
        <v/>
      </c>
      <c r="C660" s="10">
        <f>IFERROR(IF(INDEX(ERP資料!$S:$S, (MATCH(659, 輔助計算!$E$2:$E$801, 0)+1))="","",INDEX(ERP資料!$S:$S, (MATCH(659, 輔助計算!$E$2:$E$801, 0)+1))), "")</f>
        <v/>
      </c>
      <c r="D660" s="10">
        <f>IFERROR(IF(INDEX(ERP資料!$E:$E, (MATCH(659, 輔助計算!$E$2:$E$801, 0)+1))="","",TRIM(INDEX(ERP資料!$E:$E, (MATCH(659, 輔助計算!$E$2:$E$801, 0)+1)))), "")</f>
        <v/>
      </c>
      <c r="E660" s="10">
        <f>IFERROR(IF(INDEX(ERP資料!$F:$F, (MATCH(659, 輔助計算!$E$2:$E$801, 0)+1))="","",INDEX(ERP資料!$F:$F, (MATCH(659, 輔助計算!$E$2:$E$801, 0)+1))), "")</f>
        <v/>
      </c>
      <c r="F660" s="10">
        <f>IFERROR(IF(INDEX(ERP資料!$G:$G, (MATCH(659, 輔助計算!$E$2:$E$801, 0)+1))="","",INDEX(ERP資料!$G:$G, (MATCH(659, 輔助計算!$E$2:$E$801, 0)+1))), "")</f>
        <v/>
      </c>
      <c r="G660" s="10">
        <f>IFERROR(IF(INDEX(ERP資料!$H:$H, (MATCH(659, 輔助計算!$E$2:$E$801, 0)+1))="","",INDEX(ERP資料!$H:$H, (MATCH(659, 輔助計算!$E$2:$E$801, 0)+1))), "")</f>
        <v/>
      </c>
      <c r="H660" s="15">
        <f>IFERROR(INDEX(輔助計算!$D:$D, (MATCH(659, 輔助計算!$E$2:$E$801, 0)+1)), "")</f>
        <v/>
      </c>
      <c r="I660" s="10">
        <f>IFERROR(IF(INDEX(ERP資料!$O:$O, (MATCH(659, 輔助計算!$E$2:$E$801, 0)+1))="","",INDEX(ERP資料!$O:$O, (MATCH(659, 輔助計算!$E$2:$E$801, 0)+1))), "")</f>
        <v/>
      </c>
      <c r="J660" s="15">
        <f>IFERROR(IF(INDEX(輔助計算!$D:$D,(MATCH(659, 輔助計算!$E$2:$E$801, 0)+1))="","",INDEX(輔助計算!$D:$D,(MATCH(659, 輔助計算!$E$2:$E$801, 0)+1))*INDEX(ERP資料!$O:$O,(MATCH(659, 輔助計算!$E$2:$E$801, 0)+1))), "")</f>
        <v/>
      </c>
      <c r="K660" s="16" t="n"/>
      <c r="L660" s="16" t="n"/>
      <c r="M660" s="17" t="n"/>
    </row>
    <row r="661">
      <c r="A661" s="14">
        <f>IFERROR(IF(INDEX(ERP資料!$B:$B, (MATCH(660, 輔助計算!$E$2:$E$801, 0)+1))="","",INDEX(ERP資料!$B:$B, (MATCH(660, 輔助計算!$E$2:$E$801, 0)+1))), "")</f>
        <v/>
      </c>
      <c r="B661" s="10">
        <f>IFERROR(IF(INDEX(ERP資料!$A:$A, (MATCH(660, 輔助計算!$E$2:$E$801, 0)+1))="","",INDEX(ERP資料!$A:$A, (MATCH(660, 輔助計算!$E$2:$E$801, 0)+1))), "")</f>
        <v/>
      </c>
      <c r="C661" s="10">
        <f>IFERROR(IF(INDEX(ERP資料!$S:$S, (MATCH(660, 輔助計算!$E$2:$E$801, 0)+1))="","",INDEX(ERP資料!$S:$S, (MATCH(660, 輔助計算!$E$2:$E$801, 0)+1))), "")</f>
        <v/>
      </c>
      <c r="D661" s="10">
        <f>IFERROR(IF(INDEX(ERP資料!$E:$E, (MATCH(660, 輔助計算!$E$2:$E$801, 0)+1))="","",TRIM(INDEX(ERP資料!$E:$E, (MATCH(660, 輔助計算!$E$2:$E$801, 0)+1)))), "")</f>
        <v/>
      </c>
      <c r="E661" s="10">
        <f>IFERROR(IF(INDEX(ERP資料!$F:$F, (MATCH(660, 輔助計算!$E$2:$E$801, 0)+1))="","",INDEX(ERP資料!$F:$F, (MATCH(660, 輔助計算!$E$2:$E$801, 0)+1))), "")</f>
        <v/>
      </c>
      <c r="F661" s="10">
        <f>IFERROR(IF(INDEX(ERP資料!$G:$G, (MATCH(660, 輔助計算!$E$2:$E$801, 0)+1))="","",INDEX(ERP資料!$G:$G, (MATCH(660, 輔助計算!$E$2:$E$801, 0)+1))), "")</f>
        <v/>
      </c>
      <c r="G661" s="10">
        <f>IFERROR(IF(INDEX(ERP資料!$H:$H, (MATCH(660, 輔助計算!$E$2:$E$801, 0)+1))="","",INDEX(ERP資料!$H:$H, (MATCH(660, 輔助計算!$E$2:$E$801, 0)+1))), "")</f>
        <v/>
      </c>
      <c r="H661" s="15">
        <f>IFERROR(INDEX(輔助計算!$D:$D, (MATCH(660, 輔助計算!$E$2:$E$801, 0)+1)), "")</f>
        <v/>
      </c>
      <c r="I661" s="10">
        <f>IFERROR(IF(INDEX(ERP資料!$O:$O, (MATCH(660, 輔助計算!$E$2:$E$801, 0)+1))="","",INDEX(ERP資料!$O:$O, (MATCH(660, 輔助計算!$E$2:$E$801, 0)+1))), "")</f>
        <v/>
      </c>
      <c r="J661" s="15">
        <f>IFERROR(IF(INDEX(輔助計算!$D:$D,(MATCH(660, 輔助計算!$E$2:$E$801, 0)+1))="","",INDEX(輔助計算!$D:$D,(MATCH(660, 輔助計算!$E$2:$E$801, 0)+1))*INDEX(ERP資料!$O:$O,(MATCH(660, 輔助計算!$E$2:$E$801, 0)+1))), "")</f>
        <v/>
      </c>
      <c r="K661" s="16" t="n"/>
      <c r="L661" s="16" t="n"/>
      <c r="M661" s="17" t="n"/>
    </row>
    <row r="662">
      <c r="A662" s="14">
        <f>IFERROR(IF(INDEX(ERP資料!$B:$B, (MATCH(661, 輔助計算!$E$2:$E$801, 0)+1))="","",INDEX(ERP資料!$B:$B, (MATCH(661, 輔助計算!$E$2:$E$801, 0)+1))), "")</f>
        <v/>
      </c>
      <c r="B662" s="10">
        <f>IFERROR(IF(INDEX(ERP資料!$A:$A, (MATCH(661, 輔助計算!$E$2:$E$801, 0)+1))="","",INDEX(ERP資料!$A:$A, (MATCH(661, 輔助計算!$E$2:$E$801, 0)+1))), "")</f>
        <v/>
      </c>
      <c r="C662" s="10">
        <f>IFERROR(IF(INDEX(ERP資料!$S:$S, (MATCH(661, 輔助計算!$E$2:$E$801, 0)+1))="","",INDEX(ERP資料!$S:$S, (MATCH(661, 輔助計算!$E$2:$E$801, 0)+1))), "")</f>
        <v/>
      </c>
      <c r="D662" s="10">
        <f>IFERROR(IF(INDEX(ERP資料!$E:$E, (MATCH(661, 輔助計算!$E$2:$E$801, 0)+1))="","",TRIM(INDEX(ERP資料!$E:$E, (MATCH(661, 輔助計算!$E$2:$E$801, 0)+1)))), "")</f>
        <v/>
      </c>
      <c r="E662" s="10">
        <f>IFERROR(IF(INDEX(ERP資料!$F:$F, (MATCH(661, 輔助計算!$E$2:$E$801, 0)+1))="","",INDEX(ERP資料!$F:$F, (MATCH(661, 輔助計算!$E$2:$E$801, 0)+1))), "")</f>
        <v/>
      </c>
      <c r="F662" s="10">
        <f>IFERROR(IF(INDEX(ERP資料!$G:$G, (MATCH(661, 輔助計算!$E$2:$E$801, 0)+1))="","",INDEX(ERP資料!$G:$G, (MATCH(661, 輔助計算!$E$2:$E$801, 0)+1))), "")</f>
        <v/>
      </c>
      <c r="G662" s="10">
        <f>IFERROR(IF(INDEX(ERP資料!$H:$H, (MATCH(661, 輔助計算!$E$2:$E$801, 0)+1))="","",INDEX(ERP資料!$H:$H, (MATCH(661, 輔助計算!$E$2:$E$801, 0)+1))), "")</f>
        <v/>
      </c>
      <c r="H662" s="15">
        <f>IFERROR(INDEX(輔助計算!$D:$D, (MATCH(661, 輔助計算!$E$2:$E$801, 0)+1)), "")</f>
        <v/>
      </c>
      <c r="I662" s="10">
        <f>IFERROR(IF(INDEX(ERP資料!$O:$O, (MATCH(661, 輔助計算!$E$2:$E$801, 0)+1))="","",INDEX(ERP資料!$O:$O, (MATCH(661, 輔助計算!$E$2:$E$801, 0)+1))), "")</f>
        <v/>
      </c>
      <c r="J662" s="15">
        <f>IFERROR(IF(INDEX(輔助計算!$D:$D,(MATCH(661, 輔助計算!$E$2:$E$801, 0)+1))="","",INDEX(輔助計算!$D:$D,(MATCH(661, 輔助計算!$E$2:$E$801, 0)+1))*INDEX(ERP資料!$O:$O,(MATCH(661, 輔助計算!$E$2:$E$801, 0)+1))), "")</f>
        <v/>
      </c>
      <c r="K662" s="16" t="n"/>
      <c r="L662" s="16" t="n"/>
      <c r="M662" s="17" t="n"/>
    </row>
    <row r="663">
      <c r="A663" s="14">
        <f>IFERROR(IF(INDEX(ERP資料!$B:$B, (MATCH(662, 輔助計算!$E$2:$E$801, 0)+1))="","",INDEX(ERP資料!$B:$B, (MATCH(662, 輔助計算!$E$2:$E$801, 0)+1))), "")</f>
        <v/>
      </c>
      <c r="B663" s="10">
        <f>IFERROR(IF(INDEX(ERP資料!$A:$A, (MATCH(662, 輔助計算!$E$2:$E$801, 0)+1))="","",INDEX(ERP資料!$A:$A, (MATCH(662, 輔助計算!$E$2:$E$801, 0)+1))), "")</f>
        <v/>
      </c>
      <c r="C663" s="10">
        <f>IFERROR(IF(INDEX(ERP資料!$S:$S, (MATCH(662, 輔助計算!$E$2:$E$801, 0)+1))="","",INDEX(ERP資料!$S:$S, (MATCH(662, 輔助計算!$E$2:$E$801, 0)+1))), "")</f>
        <v/>
      </c>
      <c r="D663" s="10">
        <f>IFERROR(IF(INDEX(ERP資料!$E:$E, (MATCH(662, 輔助計算!$E$2:$E$801, 0)+1))="","",TRIM(INDEX(ERP資料!$E:$E, (MATCH(662, 輔助計算!$E$2:$E$801, 0)+1)))), "")</f>
        <v/>
      </c>
      <c r="E663" s="10">
        <f>IFERROR(IF(INDEX(ERP資料!$F:$F, (MATCH(662, 輔助計算!$E$2:$E$801, 0)+1))="","",INDEX(ERP資料!$F:$F, (MATCH(662, 輔助計算!$E$2:$E$801, 0)+1))), "")</f>
        <v/>
      </c>
      <c r="F663" s="10">
        <f>IFERROR(IF(INDEX(ERP資料!$G:$G, (MATCH(662, 輔助計算!$E$2:$E$801, 0)+1))="","",INDEX(ERP資料!$G:$G, (MATCH(662, 輔助計算!$E$2:$E$801, 0)+1))), "")</f>
        <v/>
      </c>
      <c r="G663" s="10">
        <f>IFERROR(IF(INDEX(ERP資料!$H:$H, (MATCH(662, 輔助計算!$E$2:$E$801, 0)+1))="","",INDEX(ERP資料!$H:$H, (MATCH(662, 輔助計算!$E$2:$E$801, 0)+1))), "")</f>
        <v/>
      </c>
      <c r="H663" s="15">
        <f>IFERROR(INDEX(輔助計算!$D:$D, (MATCH(662, 輔助計算!$E$2:$E$801, 0)+1)), "")</f>
        <v/>
      </c>
      <c r="I663" s="10">
        <f>IFERROR(IF(INDEX(ERP資料!$O:$O, (MATCH(662, 輔助計算!$E$2:$E$801, 0)+1))="","",INDEX(ERP資料!$O:$O, (MATCH(662, 輔助計算!$E$2:$E$801, 0)+1))), "")</f>
        <v/>
      </c>
      <c r="J663" s="15">
        <f>IFERROR(IF(INDEX(輔助計算!$D:$D,(MATCH(662, 輔助計算!$E$2:$E$801, 0)+1))="","",INDEX(輔助計算!$D:$D,(MATCH(662, 輔助計算!$E$2:$E$801, 0)+1))*INDEX(ERP資料!$O:$O,(MATCH(662, 輔助計算!$E$2:$E$801, 0)+1))), "")</f>
        <v/>
      </c>
      <c r="K663" s="16" t="n"/>
      <c r="L663" s="16" t="n"/>
      <c r="M663" s="17" t="n"/>
    </row>
    <row r="664">
      <c r="A664" s="14">
        <f>IFERROR(IF(INDEX(ERP資料!$B:$B, (MATCH(663, 輔助計算!$E$2:$E$801, 0)+1))="","",INDEX(ERP資料!$B:$B, (MATCH(663, 輔助計算!$E$2:$E$801, 0)+1))), "")</f>
        <v/>
      </c>
      <c r="B664" s="10">
        <f>IFERROR(IF(INDEX(ERP資料!$A:$A, (MATCH(663, 輔助計算!$E$2:$E$801, 0)+1))="","",INDEX(ERP資料!$A:$A, (MATCH(663, 輔助計算!$E$2:$E$801, 0)+1))), "")</f>
        <v/>
      </c>
      <c r="C664" s="10">
        <f>IFERROR(IF(INDEX(ERP資料!$S:$S, (MATCH(663, 輔助計算!$E$2:$E$801, 0)+1))="","",INDEX(ERP資料!$S:$S, (MATCH(663, 輔助計算!$E$2:$E$801, 0)+1))), "")</f>
        <v/>
      </c>
      <c r="D664" s="10">
        <f>IFERROR(IF(INDEX(ERP資料!$E:$E, (MATCH(663, 輔助計算!$E$2:$E$801, 0)+1))="","",TRIM(INDEX(ERP資料!$E:$E, (MATCH(663, 輔助計算!$E$2:$E$801, 0)+1)))), "")</f>
        <v/>
      </c>
      <c r="E664" s="10">
        <f>IFERROR(IF(INDEX(ERP資料!$F:$F, (MATCH(663, 輔助計算!$E$2:$E$801, 0)+1))="","",INDEX(ERP資料!$F:$F, (MATCH(663, 輔助計算!$E$2:$E$801, 0)+1))), "")</f>
        <v/>
      </c>
      <c r="F664" s="10">
        <f>IFERROR(IF(INDEX(ERP資料!$G:$G, (MATCH(663, 輔助計算!$E$2:$E$801, 0)+1))="","",INDEX(ERP資料!$G:$G, (MATCH(663, 輔助計算!$E$2:$E$801, 0)+1))), "")</f>
        <v/>
      </c>
      <c r="G664" s="10">
        <f>IFERROR(IF(INDEX(ERP資料!$H:$H, (MATCH(663, 輔助計算!$E$2:$E$801, 0)+1))="","",INDEX(ERP資料!$H:$H, (MATCH(663, 輔助計算!$E$2:$E$801, 0)+1))), "")</f>
        <v/>
      </c>
      <c r="H664" s="15">
        <f>IFERROR(INDEX(輔助計算!$D:$D, (MATCH(663, 輔助計算!$E$2:$E$801, 0)+1)), "")</f>
        <v/>
      </c>
      <c r="I664" s="10">
        <f>IFERROR(IF(INDEX(ERP資料!$O:$O, (MATCH(663, 輔助計算!$E$2:$E$801, 0)+1))="","",INDEX(ERP資料!$O:$O, (MATCH(663, 輔助計算!$E$2:$E$801, 0)+1))), "")</f>
        <v/>
      </c>
      <c r="J664" s="15">
        <f>IFERROR(IF(INDEX(輔助計算!$D:$D,(MATCH(663, 輔助計算!$E$2:$E$801, 0)+1))="","",INDEX(輔助計算!$D:$D,(MATCH(663, 輔助計算!$E$2:$E$801, 0)+1))*INDEX(ERP資料!$O:$O,(MATCH(663, 輔助計算!$E$2:$E$801, 0)+1))), "")</f>
        <v/>
      </c>
      <c r="K664" s="16" t="n"/>
      <c r="L664" s="16" t="n"/>
      <c r="M664" s="17" t="n"/>
    </row>
    <row r="665">
      <c r="A665" s="14">
        <f>IFERROR(IF(INDEX(ERP資料!$B:$B, (MATCH(664, 輔助計算!$E$2:$E$801, 0)+1))="","",INDEX(ERP資料!$B:$B, (MATCH(664, 輔助計算!$E$2:$E$801, 0)+1))), "")</f>
        <v/>
      </c>
      <c r="B665" s="10">
        <f>IFERROR(IF(INDEX(ERP資料!$A:$A, (MATCH(664, 輔助計算!$E$2:$E$801, 0)+1))="","",INDEX(ERP資料!$A:$A, (MATCH(664, 輔助計算!$E$2:$E$801, 0)+1))), "")</f>
        <v/>
      </c>
      <c r="C665" s="10">
        <f>IFERROR(IF(INDEX(ERP資料!$S:$S, (MATCH(664, 輔助計算!$E$2:$E$801, 0)+1))="","",INDEX(ERP資料!$S:$S, (MATCH(664, 輔助計算!$E$2:$E$801, 0)+1))), "")</f>
        <v/>
      </c>
      <c r="D665" s="10">
        <f>IFERROR(IF(INDEX(ERP資料!$E:$E, (MATCH(664, 輔助計算!$E$2:$E$801, 0)+1))="","",TRIM(INDEX(ERP資料!$E:$E, (MATCH(664, 輔助計算!$E$2:$E$801, 0)+1)))), "")</f>
        <v/>
      </c>
      <c r="E665" s="10">
        <f>IFERROR(IF(INDEX(ERP資料!$F:$F, (MATCH(664, 輔助計算!$E$2:$E$801, 0)+1))="","",INDEX(ERP資料!$F:$F, (MATCH(664, 輔助計算!$E$2:$E$801, 0)+1))), "")</f>
        <v/>
      </c>
      <c r="F665" s="10">
        <f>IFERROR(IF(INDEX(ERP資料!$G:$G, (MATCH(664, 輔助計算!$E$2:$E$801, 0)+1))="","",INDEX(ERP資料!$G:$G, (MATCH(664, 輔助計算!$E$2:$E$801, 0)+1))), "")</f>
        <v/>
      </c>
      <c r="G665" s="10">
        <f>IFERROR(IF(INDEX(ERP資料!$H:$H, (MATCH(664, 輔助計算!$E$2:$E$801, 0)+1))="","",INDEX(ERP資料!$H:$H, (MATCH(664, 輔助計算!$E$2:$E$801, 0)+1))), "")</f>
        <v/>
      </c>
      <c r="H665" s="15">
        <f>IFERROR(INDEX(輔助計算!$D:$D, (MATCH(664, 輔助計算!$E$2:$E$801, 0)+1)), "")</f>
        <v/>
      </c>
      <c r="I665" s="10">
        <f>IFERROR(IF(INDEX(ERP資料!$O:$O, (MATCH(664, 輔助計算!$E$2:$E$801, 0)+1))="","",INDEX(ERP資料!$O:$O, (MATCH(664, 輔助計算!$E$2:$E$801, 0)+1))), "")</f>
        <v/>
      </c>
      <c r="J665" s="15">
        <f>IFERROR(IF(INDEX(輔助計算!$D:$D,(MATCH(664, 輔助計算!$E$2:$E$801, 0)+1))="","",INDEX(輔助計算!$D:$D,(MATCH(664, 輔助計算!$E$2:$E$801, 0)+1))*INDEX(ERP資料!$O:$O,(MATCH(664, 輔助計算!$E$2:$E$801, 0)+1))), "")</f>
        <v/>
      </c>
      <c r="K665" s="16" t="n"/>
      <c r="L665" s="16" t="n"/>
      <c r="M665" s="17" t="n"/>
    </row>
    <row r="666">
      <c r="A666" s="14">
        <f>IFERROR(IF(INDEX(ERP資料!$B:$B, (MATCH(665, 輔助計算!$E$2:$E$801, 0)+1))="","",INDEX(ERP資料!$B:$B, (MATCH(665, 輔助計算!$E$2:$E$801, 0)+1))), "")</f>
        <v/>
      </c>
      <c r="B666" s="10">
        <f>IFERROR(IF(INDEX(ERP資料!$A:$A, (MATCH(665, 輔助計算!$E$2:$E$801, 0)+1))="","",INDEX(ERP資料!$A:$A, (MATCH(665, 輔助計算!$E$2:$E$801, 0)+1))), "")</f>
        <v/>
      </c>
      <c r="C666" s="10">
        <f>IFERROR(IF(INDEX(ERP資料!$S:$S, (MATCH(665, 輔助計算!$E$2:$E$801, 0)+1))="","",INDEX(ERP資料!$S:$S, (MATCH(665, 輔助計算!$E$2:$E$801, 0)+1))), "")</f>
        <v/>
      </c>
      <c r="D666" s="10">
        <f>IFERROR(IF(INDEX(ERP資料!$E:$E, (MATCH(665, 輔助計算!$E$2:$E$801, 0)+1))="","",TRIM(INDEX(ERP資料!$E:$E, (MATCH(665, 輔助計算!$E$2:$E$801, 0)+1)))), "")</f>
        <v/>
      </c>
      <c r="E666" s="10">
        <f>IFERROR(IF(INDEX(ERP資料!$F:$F, (MATCH(665, 輔助計算!$E$2:$E$801, 0)+1))="","",INDEX(ERP資料!$F:$F, (MATCH(665, 輔助計算!$E$2:$E$801, 0)+1))), "")</f>
        <v/>
      </c>
      <c r="F666" s="10">
        <f>IFERROR(IF(INDEX(ERP資料!$G:$G, (MATCH(665, 輔助計算!$E$2:$E$801, 0)+1))="","",INDEX(ERP資料!$G:$G, (MATCH(665, 輔助計算!$E$2:$E$801, 0)+1))), "")</f>
        <v/>
      </c>
      <c r="G666" s="10">
        <f>IFERROR(IF(INDEX(ERP資料!$H:$H, (MATCH(665, 輔助計算!$E$2:$E$801, 0)+1))="","",INDEX(ERP資料!$H:$H, (MATCH(665, 輔助計算!$E$2:$E$801, 0)+1))), "")</f>
        <v/>
      </c>
      <c r="H666" s="15">
        <f>IFERROR(INDEX(輔助計算!$D:$D, (MATCH(665, 輔助計算!$E$2:$E$801, 0)+1)), "")</f>
        <v/>
      </c>
      <c r="I666" s="10">
        <f>IFERROR(IF(INDEX(ERP資料!$O:$O, (MATCH(665, 輔助計算!$E$2:$E$801, 0)+1))="","",INDEX(ERP資料!$O:$O, (MATCH(665, 輔助計算!$E$2:$E$801, 0)+1))), "")</f>
        <v/>
      </c>
      <c r="J666" s="15">
        <f>IFERROR(IF(INDEX(輔助計算!$D:$D,(MATCH(665, 輔助計算!$E$2:$E$801, 0)+1))="","",INDEX(輔助計算!$D:$D,(MATCH(665, 輔助計算!$E$2:$E$801, 0)+1))*INDEX(ERP資料!$O:$O,(MATCH(665, 輔助計算!$E$2:$E$801, 0)+1))), "")</f>
        <v/>
      </c>
      <c r="K666" s="16" t="n"/>
      <c r="L666" s="16" t="n"/>
      <c r="M666" s="17" t="n"/>
    </row>
    <row r="667">
      <c r="A667" s="14">
        <f>IFERROR(IF(INDEX(ERP資料!$B:$B, (MATCH(666, 輔助計算!$E$2:$E$801, 0)+1))="","",INDEX(ERP資料!$B:$B, (MATCH(666, 輔助計算!$E$2:$E$801, 0)+1))), "")</f>
        <v/>
      </c>
      <c r="B667" s="10">
        <f>IFERROR(IF(INDEX(ERP資料!$A:$A, (MATCH(666, 輔助計算!$E$2:$E$801, 0)+1))="","",INDEX(ERP資料!$A:$A, (MATCH(666, 輔助計算!$E$2:$E$801, 0)+1))), "")</f>
        <v/>
      </c>
      <c r="C667" s="10">
        <f>IFERROR(IF(INDEX(ERP資料!$S:$S, (MATCH(666, 輔助計算!$E$2:$E$801, 0)+1))="","",INDEX(ERP資料!$S:$S, (MATCH(666, 輔助計算!$E$2:$E$801, 0)+1))), "")</f>
        <v/>
      </c>
      <c r="D667" s="10">
        <f>IFERROR(IF(INDEX(ERP資料!$E:$E, (MATCH(666, 輔助計算!$E$2:$E$801, 0)+1))="","",TRIM(INDEX(ERP資料!$E:$E, (MATCH(666, 輔助計算!$E$2:$E$801, 0)+1)))), "")</f>
        <v/>
      </c>
      <c r="E667" s="10">
        <f>IFERROR(IF(INDEX(ERP資料!$F:$F, (MATCH(666, 輔助計算!$E$2:$E$801, 0)+1))="","",INDEX(ERP資料!$F:$F, (MATCH(666, 輔助計算!$E$2:$E$801, 0)+1))), "")</f>
        <v/>
      </c>
      <c r="F667" s="10">
        <f>IFERROR(IF(INDEX(ERP資料!$G:$G, (MATCH(666, 輔助計算!$E$2:$E$801, 0)+1))="","",INDEX(ERP資料!$G:$G, (MATCH(666, 輔助計算!$E$2:$E$801, 0)+1))), "")</f>
        <v/>
      </c>
      <c r="G667" s="10">
        <f>IFERROR(IF(INDEX(ERP資料!$H:$H, (MATCH(666, 輔助計算!$E$2:$E$801, 0)+1))="","",INDEX(ERP資料!$H:$H, (MATCH(666, 輔助計算!$E$2:$E$801, 0)+1))), "")</f>
        <v/>
      </c>
      <c r="H667" s="15">
        <f>IFERROR(INDEX(輔助計算!$D:$D, (MATCH(666, 輔助計算!$E$2:$E$801, 0)+1)), "")</f>
        <v/>
      </c>
      <c r="I667" s="10">
        <f>IFERROR(IF(INDEX(ERP資料!$O:$O, (MATCH(666, 輔助計算!$E$2:$E$801, 0)+1))="","",INDEX(ERP資料!$O:$O, (MATCH(666, 輔助計算!$E$2:$E$801, 0)+1))), "")</f>
        <v/>
      </c>
      <c r="J667" s="15">
        <f>IFERROR(IF(INDEX(輔助計算!$D:$D,(MATCH(666, 輔助計算!$E$2:$E$801, 0)+1))="","",INDEX(輔助計算!$D:$D,(MATCH(666, 輔助計算!$E$2:$E$801, 0)+1))*INDEX(ERP資料!$O:$O,(MATCH(666, 輔助計算!$E$2:$E$801, 0)+1))), "")</f>
        <v/>
      </c>
      <c r="K667" s="16" t="n"/>
      <c r="L667" s="16" t="n"/>
      <c r="M667" s="17" t="n"/>
    </row>
    <row r="668">
      <c r="A668" s="14">
        <f>IFERROR(IF(INDEX(ERP資料!$B:$B, (MATCH(667, 輔助計算!$E$2:$E$801, 0)+1))="","",INDEX(ERP資料!$B:$B, (MATCH(667, 輔助計算!$E$2:$E$801, 0)+1))), "")</f>
        <v/>
      </c>
      <c r="B668" s="10">
        <f>IFERROR(IF(INDEX(ERP資料!$A:$A, (MATCH(667, 輔助計算!$E$2:$E$801, 0)+1))="","",INDEX(ERP資料!$A:$A, (MATCH(667, 輔助計算!$E$2:$E$801, 0)+1))), "")</f>
        <v/>
      </c>
      <c r="C668" s="10">
        <f>IFERROR(IF(INDEX(ERP資料!$S:$S, (MATCH(667, 輔助計算!$E$2:$E$801, 0)+1))="","",INDEX(ERP資料!$S:$S, (MATCH(667, 輔助計算!$E$2:$E$801, 0)+1))), "")</f>
        <v/>
      </c>
      <c r="D668" s="10">
        <f>IFERROR(IF(INDEX(ERP資料!$E:$E, (MATCH(667, 輔助計算!$E$2:$E$801, 0)+1))="","",TRIM(INDEX(ERP資料!$E:$E, (MATCH(667, 輔助計算!$E$2:$E$801, 0)+1)))), "")</f>
        <v/>
      </c>
      <c r="E668" s="10">
        <f>IFERROR(IF(INDEX(ERP資料!$F:$F, (MATCH(667, 輔助計算!$E$2:$E$801, 0)+1))="","",INDEX(ERP資料!$F:$F, (MATCH(667, 輔助計算!$E$2:$E$801, 0)+1))), "")</f>
        <v/>
      </c>
      <c r="F668" s="10">
        <f>IFERROR(IF(INDEX(ERP資料!$G:$G, (MATCH(667, 輔助計算!$E$2:$E$801, 0)+1))="","",INDEX(ERP資料!$G:$G, (MATCH(667, 輔助計算!$E$2:$E$801, 0)+1))), "")</f>
        <v/>
      </c>
      <c r="G668" s="10">
        <f>IFERROR(IF(INDEX(ERP資料!$H:$H, (MATCH(667, 輔助計算!$E$2:$E$801, 0)+1))="","",INDEX(ERP資料!$H:$H, (MATCH(667, 輔助計算!$E$2:$E$801, 0)+1))), "")</f>
        <v/>
      </c>
      <c r="H668" s="15">
        <f>IFERROR(INDEX(輔助計算!$D:$D, (MATCH(667, 輔助計算!$E$2:$E$801, 0)+1)), "")</f>
        <v/>
      </c>
      <c r="I668" s="10">
        <f>IFERROR(IF(INDEX(ERP資料!$O:$O, (MATCH(667, 輔助計算!$E$2:$E$801, 0)+1))="","",INDEX(ERP資料!$O:$O, (MATCH(667, 輔助計算!$E$2:$E$801, 0)+1))), "")</f>
        <v/>
      </c>
      <c r="J668" s="15">
        <f>IFERROR(IF(INDEX(輔助計算!$D:$D,(MATCH(667, 輔助計算!$E$2:$E$801, 0)+1))="","",INDEX(輔助計算!$D:$D,(MATCH(667, 輔助計算!$E$2:$E$801, 0)+1))*INDEX(ERP資料!$O:$O,(MATCH(667, 輔助計算!$E$2:$E$801, 0)+1))), "")</f>
        <v/>
      </c>
      <c r="K668" s="16" t="n"/>
      <c r="L668" s="16" t="n"/>
      <c r="M668" s="17" t="n"/>
    </row>
    <row r="669">
      <c r="A669" s="14">
        <f>IFERROR(IF(INDEX(ERP資料!$B:$B, (MATCH(668, 輔助計算!$E$2:$E$801, 0)+1))="","",INDEX(ERP資料!$B:$B, (MATCH(668, 輔助計算!$E$2:$E$801, 0)+1))), "")</f>
        <v/>
      </c>
      <c r="B669" s="10">
        <f>IFERROR(IF(INDEX(ERP資料!$A:$A, (MATCH(668, 輔助計算!$E$2:$E$801, 0)+1))="","",INDEX(ERP資料!$A:$A, (MATCH(668, 輔助計算!$E$2:$E$801, 0)+1))), "")</f>
        <v/>
      </c>
      <c r="C669" s="10">
        <f>IFERROR(IF(INDEX(ERP資料!$S:$S, (MATCH(668, 輔助計算!$E$2:$E$801, 0)+1))="","",INDEX(ERP資料!$S:$S, (MATCH(668, 輔助計算!$E$2:$E$801, 0)+1))), "")</f>
        <v/>
      </c>
      <c r="D669" s="10">
        <f>IFERROR(IF(INDEX(ERP資料!$E:$E, (MATCH(668, 輔助計算!$E$2:$E$801, 0)+1))="","",TRIM(INDEX(ERP資料!$E:$E, (MATCH(668, 輔助計算!$E$2:$E$801, 0)+1)))), "")</f>
        <v/>
      </c>
      <c r="E669" s="10">
        <f>IFERROR(IF(INDEX(ERP資料!$F:$F, (MATCH(668, 輔助計算!$E$2:$E$801, 0)+1))="","",INDEX(ERP資料!$F:$F, (MATCH(668, 輔助計算!$E$2:$E$801, 0)+1))), "")</f>
        <v/>
      </c>
      <c r="F669" s="10">
        <f>IFERROR(IF(INDEX(ERP資料!$G:$G, (MATCH(668, 輔助計算!$E$2:$E$801, 0)+1))="","",INDEX(ERP資料!$G:$G, (MATCH(668, 輔助計算!$E$2:$E$801, 0)+1))), "")</f>
        <v/>
      </c>
      <c r="G669" s="10">
        <f>IFERROR(IF(INDEX(ERP資料!$H:$H, (MATCH(668, 輔助計算!$E$2:$E$801, 0)+1))="","",INDEX(ERP資料!$H:$H, (MATCH(668, 輔助計算!$E$2:$E$801, 0)+1))), "")</f>
        <v/>
      </c>
      <c r="H669" s="15">
        <f>IFERROR(INDEX(輔助計算!$D:$D, (MATCH(668, 輔助計算!$E$2:$E$801, 0)+1)), "")</f>
        <v/>
      </c>
      <c r="I669" s="10">
        <f>IFERROR(IF(INDEX(ERP資料!$O:$O, (MATCH(668, 輔助計算!$E$2:$E$801, 0)+1))="","",INDEX(ERP資料!$O:$O, (MATCH(668, 輔助計算!$E$2:$E$801, 0)+1))), "")</f>
        <v/>
      </c>
      <c r="J669" s="15">
        <f>IFERROR(IF(INDEX(輔助計算!$D:$D,(MATCH(668, 輔助計算!$E$2:$E$801, 0)+1))="","",INDEX(輔助計算!$D:$D,(MATCH(668, 輔助計算!$E$2:$E$801, 0)+1))*INDEX(ERP資料!$O:$O,(MATCH(668, 輔助計算!$E$2:$E$801, 0)+1))), "")</f>
        <v/>
      </c>
      <c r="K669" s="16" t="n"/>
      <c r="L669" s="16" t="n"/>
      <c r="M669" s="17" t="n"/>
    </row>
    <row r="670">
      <c r="A670" s="14">
        <f>IFERROR(IF(INDEX(ERP資料!$B:$B, (MATCH(669, 輔助計算!$E$2:$E$801, 0)+1))="","",INDEX(ERP資料!$B:$B, (MATCH(669, 輔助計算!$E$2:$E$801, 0)+1))), "")</f>
        <v/>
      </c>
      <c r="B670" s="10">
        <f>IFERROR(IF(INDEX(ERP資料!$A:$A, (MATCH(669, 輔助計算!$E$2:$E$801, 0)+1))="","",INDEX(ERP資料!$A:$A, (MATCH(669, 輔助計算!$E$2:$E$801, 0)+1))), "")</f>
        <v/>
      </c>
      <c r="C670" s="10">
        <f>IFERROR(IF(INDEX(ERP資料!$S:$S, (MATCH(669, 輔助計算!$E$2:$E$801, 0)+1))="","",INDEX(ERP資料!$S:$S, (MATCH(669, 輔助計算!$E$2:$E$801, 0)+1))), "")</f>
        <v/>
      </c>
      <c r="D670" s="10">
        <f>IFERROR(IF(INDEX(ERP資料!$E:$E, (MATCH(669, 輔助計算!$E$2:$E$801, 0)+1))="","",TRIM(INDEX(ERP資料!$E:$E, (MATCH(669, 輔助計算!$E$2:$E$801, 0)+1)))), "")</f>
        <v/>
      </c>
      <c r="E670" s="10">
        <f>IFERROR(IF(INDEX(ERP資料!$F:$F, (MATCH(669, 輔助計算!$E$2:$E$801, 0)+1))="","",INDEX(ERP資料!$F:$F, (MATCH(669, 輔助計算!$E$2:$E$801, 0)+1))), "")</f>
        <v/>
      </c>
      <c r="F670" s="10">
        <f>IFERROR(IF(INDEX(ERP資料!$G:$G, (MATCH(669, 輔助計算!$E$2:$E$801, 0)+1))="","",INDEX(ERP資料!$G:$G, (MATCH(669, 輔助計算!$E$2:$E$801, 0)+1))), "")</f>
        <v/>
      </c>
      <c r="G670" s="10">
        <f>IFERROR(IF(INDEX(ERP資料!$H:$H, (MATCH(669, 輔助計算!$E$2:$E$801, 0)+1))="","",INDEX(ERP資料!$H:$H, (MATCH(669, 輔助計算!$E$2:$E$801, 0)+1))), "")</f>
        <v/>
      </c>
      <c r="H670" s="15">
        <f>IFERROR(INDEX(輔助計算!$D:$D, (MATCH(669, 輔助計算!$E$2:$E$801, 0)+1)), "")</f>
        <v/>
      </c>
      <c r="I670" s="10">
        <f>IFERROR(IF(INDEX(ERP資料!$O:$O, (MATCH(669, 輔助計算!$E$2:$E$801, 0)+1))="","",INDEX(ERP資料!$O:$O, (MATCH(669, 輔助計算!$E$2:$E$801, 0)+1))), "")</f>
        <v/>
      </c>
      <c r="J670" s="15">
        <f>IFERROR(IF(INDEX(輔助計算!$D:$D,(MATCH(669, 輔助計算!$E$2:$E$801, 0)+1))="","",INDEX(輔助計算!$D:$D,(MATCH(669, 輔助計算!$E$2:$E$801, 0)+1))*INDEX(ERP資料!$O:$O,(MATCH(669, 輔助計算!$E$2:$E$801, 0)+1))), "")</f>
        <v/>
      </c>
      <c r="K670" s="16" t="n"/>
      <c r="L670" s="16" t="n"/>
      <c r="M670" s="17" t="n"/>
    </row>
    <row r="671">
      <c r="A671" s="14">
        <f>IFERROR(IF(INDEX(ERP資料!$B:$B, (MATCH(670, 輔助計算!$E$2:$E$801, 0)+1))="","",INDEX(ERP資料!$B:$B, (MATCH(670, 輔助計算!$E$2:$E$801, 0)+1))), "")</f>
        <v/>
      </c>
      <c r="B671" s="10">
        <f>IFERROR(IF(INDEX(ERP資料!$A:$A, (MATCH(670, 輔助計算!$E$2:$E$801, 0)+1))="","",INDEX(ERP資料!$A:$A, (MATCH(670, 輔助計算!$E$2:$E$801, 0)+1))), "")</f>
        <v/>
      </c>
      <c r="C671" s="10">
        <f>IFERROR(IF(INDEX(ERP資料!$S:$S, (MATCH(670, 輔助計算!$E$2:$E$801, 0)+1))="","",INDEX(ERP資料!$S:$S, (MATCH(670, 輔助計算!$E$2:$E$801, 0)+1))), "")</f>
        <v/>
      </c>
      <c r="D671" s="10">
        <f>IFERROR(IF(INDEX(ERP資料!$E:$E, (MATCH(670, 輔助計算!$E$2:$E$801, 0)+1))="","",TRIM(INDEX(ERP資料!$E:$E, (MATCH(670, 輔助計算!$E$2:$E$801, 0)+1)))), "")</f>
        <v/>
      </c>
      <c r="E671" s="10">
        <f>IFERROR(IF(INDEX(ERP資料!$F:$F, (MATCH(670, 輔助計算!$E$2:$E$801, 0)+1))="","",INDEX(ERP資料!$F:$F, (MATCH(670, 輔助計算!$E$2:$E$801, 0)+1))), "")</f>
        <v/>
      </c>
      <c r="F671" s="10">
        <f>IFERROR(IF(INDEX(ERP資料!$G:$G, (MATCH(670, 輔助計算!$E$2:$E$801, 0)+1))="","",INDEX(ERP資料!$G:$G, (MATCH(670, 輔助計算!$E$2:$E$801, 0)+1))), "")</f>
        <v/>
      </c>
      <c r="G671" s="10">
        <f>IFERROR(IF(INDEX(ERP資料!$H:$H, (MATCH(670, 輔助計算!$E$2:$E$801, 0)+1))="","",INDEX(ERP資料!$H:$H, (MATCH(670, 輔助計算!$E$2:$E$801, 0)+1))), "")</f>
        <v/>
      </c>
      <c r="H671" s="15">
        <f>IFERROR(INDEX(輔助計算!$D:$D, (MATCH(670, 輔助計算!$E$2:$E$801, 0)+1)), "")</f>
        <v/>
      </c>
      <c r="I671" s="10">
        <f>IFERROR(IF(INDEX(ERP資料!$O:$O, (MATCH(670, 輔助計算!$E$2:$E$801, 0)+1))="","",INDEX(ERP資料!$O:$O, (MATCH(670, 輔助計算!$E$2:$E$801, 0)+1))), "")</f>
        <v/>
      </c>
      <c r="J671" s="15">
        <f>IFERROR(IF(INDEX(輔助計算!$D:$D,(MATCH(670, 輔助計算!$E$2:$E$801, 0)+1))="","",INDEX(輔助計算!$D:$D,(MATCH(670, 輔助計算!$E$2:$E$801, 0)+1))*INDEX(ERP資料!$O:$O,(MATCH(670, 輔助計算!$E$2:$E$801, 0)+1))), "")</f>
        <v/>
      </c>
      <c r="K671" s="16" t="n"/>
      <c r="L671" s="16" t="n"/>
      <c r="M671" s="17" t="n"/>
    </row>
    <row r="672">
      <c r="A672" s="14">
        <f>IFERROR(IF(INDEX(ERP資料!$B:$B, (MATCH(671, 輔助計算!$E$2:$E$801, 0)+1))="","",INDEX(ERP資料!$B:$B, (MATCH(671, 輔助計算!$E$2:$E$801, 0)+1))), "")</f>
        <v/>
      </c>
      <c r="B672" s="10">
        <f>IFERROR(IF(INDEX(ERP資料!$A:$A, (MATCH(671, 輔助計算!$E$2:$E$801, 0)+1))="","",INDEX(ERP資料!$A:$A, (MATCH(671, 輔助計算!$E$2:$E$801, 0)+1))), "")</f>
        <v/>
      </c>
      <c r="C672" s="10">
        <f>IFERROR(IF(INDEX(ERP資料!$S:$S, (MATCH(671, 輔助計算!$E$2:$E$801, 0)+1))="","",INDEX(ERP資料!$S:$S, (MATCH(671, 輔助計算!$E$2:$E$801, 0)+1))), "")</f>
        <v/>
      </c>
      <c r="D672" s="10">
        <f>IFERROR(IF(INDEX(ERP資料!$E:$E, (MATCH(671, 輔助計算!$E$2:$E$801, 0)+1))="","",TRIM(INDEX(ERP資料!$E:$E, (MATCH(671, 輔助計算!$E$2:$E$801, 0)+1)))), "")</f>
        <v/>
      </c>
      <c r="E672" s="10">
        <f>IFERROR(IF(INDEX(ERP資料!$F:$F, (MATCH(671, 輔助計算!$E$2:$E$801, 0)+1))="","",INDEX(ERP資料!$F:$F, (MATCH(671, 輔助計算!$E$2:$E$801, 0)+1))), "")</f>
        <v/>
      </c>
      <c r="F672" s="10">
        <f>IFERROR(IF(INDEX(ERP資料!$G:$G, (MATCH(671, 輔助計算!$E$2:$E$801, 0)+1))="","",INDEX(ERP資料!$G:$G, (MATCH(671, 輔助計算!$E$2:$E$801, 0)+1))), "")</f>
        <v/>
      </c>
      <c r="G672" s="10">
        <f>IFERROR(IF(INDEX(ERP資料!$H:$H, (MATCH(671, 輔助計算!$E$2:$E$801, 0)+1))="","",INDEX(ERP資料!$H:$H, (MATCH(671, 輔助計算!$E$2:$E$801, 0)+1))), "")</f>
        <v/>
      </c>
      <c r="H672" s="15">
        <f>IFERROR(INDEX(輔助計算!$D:$D, (MATCH(671, 輔助計算!$E$2:$E$801, 0)+1)), "")</f>
        <v/>
      </c>
      <c r="I672" s="10">
        <f>IFERROR(IF(INDEX(ERP資料!$O:$O, (MATCH(671, 輔助計算!$E$2:$E$801, 0)+1))="","",INDEX(ERP資料!$O:$O, (MATCH(671, 輔助計算!$E$2:$E$801, 0)+1))), "")</f>
        <v/>
      </c>
      <c r="J672" s="15">
        <f>IFERROR(IF(INDEX(輔助計算!$D:$D,(MATCH(671, 輔助計算!$E$2:$E$801, 0)+1))="","",INDEX(輔助計算!$D:$D,(MATCH(671, 輔助計算!$E$2:$E$801, 0)+1))*INDEX(ERP資料!$O:$O,(MATCH(671, 輔助計算!$E$2:$E$801, 0)+1))), "")</f>
        <v/>
      </c>
      <c r="K672" s="16" t="n"/>
      <c r="L672" s="16" t="n"/>
      <c r="M672" s="17" t="n"/>
    </row>
    <row r="673">
      <c r="A673" s="14">
        <f>IFERROR(IF(INDEX(ERP資料!$B:$B, (MATCH(672, 輔助計算!$E$2:$E$801, 0)+1))="","",INDEX(ERP資料!$B:$B, (MATCH(672, 輔助計算!$E$2:$E$801, 0)+1))), "")</f>
        <v/>
      </c>
      <c r="B673" s="10">
        <f>IFERROR(IF(INDEX(ERP資料!$A:$A, (MATCH(672, 輔助計算!$E$2:$E$801, 0)+1))="","",INDEX(ERP資料!$A:$A, (MATCH(672, 輔助計算!$E$2:$E$801, 0)+1))), "")</f>
        <v/>
      </c>
      <c r="C673" s="10">
        <f>IFERROR(IF(INDEX(ERP資料!$S:$S, (MATCH(672, 輔助計算!$E$2:$E$801, 0)+1))="","",INDEX(ERP資料!$S:$S, (MATCH(672, 輔助計算!$E$2:$E$801, 0)+1))), "")</f>
        <v/>
      </c>
      <c r="D673" s="10">
        <f>IFERROR(IF(INDEX(ERP資料!$E:$E, (MATCH(672, 輔助計算!$E$2:$E$801, 0)+1))="","",TRIM(INDEX(ERP資料!$E:$E, (MATCH(672, 輔助計算!$E$2:$E$801, 0)+1)))), "")</f>
        <v/>
      </c>
      <c r="E673" s="10">
        <f>IFERROR(IF(INDEX(ERP資料!$F:$F, (MATCH(672, 輔助計算!$E$2:$E$801, 0)+1))="","",INDEX(ERP資料!$F:$F, (MATCH(672, 輔助計算!$E$2:$E$801, 0)+1))), "")</f>
        <v/>
      </c>
      <c r="F673" s="10">
        <f>IFERROR(IF(INDEX(ERP資料!$G:$G, (MATCH(672, 輔助計算!$E$2:$E$801, 0)+1))="","",INDEX(ERP資料!$G:$G, (MATCH(672, 輔助計算!$E$2:$E$801, 0)+1))), "")</f>
        <v/>
      </c>
      <c r="G673" s="10">
        <f>IFERROR(IF(INDEX(ERP資料!$H:$H, (MATCH(672, 輔助計算!$E$2:$E$801, 0)+1))="","",INDEX(ERP資料!$H:$H, (MATCH(672, 輔助計算!$E$2:$E$801, 0)+1))), "")</f>
        <v/>
      </c>
      <c r="H673" s="15">
        <f>IFERROR(INDEX(輔助計算!$D:$D, (MATCH(672, 輔助計算!$E$2:$E$801, 0)+1)), "")</f>
        <v/>
      </c>
      <c r="I673" s="10">
        <f>IFERROR(IF(INDEX(ERP資料!$O:$O, (MATCH(672, 輔助計算!$E$2:$E$801, 0)+1))="","",INDEX(ERP資料!$O:$O, (MATCH(672, 輔助計算!$E$2:$E$801, 0)+1))), "")</f>
        <v/>
      </c>
      <c r="J673" s="15">
        <f>IFERROR(IF(INDEX(輔助計算!$D:$D,(MATCH(672, 輔助計算!$E$2:$E$801, 0)+1))="","",INDEX(輔助計算!$D:$D,(MATCH(672, 輔助計算!$E$2:$E$801, 0)+1))*INDEX(ERP資料!$O:$O,(MATCH(672, 輔助計算!$E$2:$E$801, 0)+1))), "")</f>
        <v/>
      </c>
      <c r="K673" s="16" t="n"/>
      <c r="L673" s="16" t="n"/>
      <c r="M673" s="17" t="n"/>
    </row>
    <row r="674">
      <c r="A674" s="14">
        <f>IFERROR(IF(INDEX(ERP資料!$B:$B, (MATCH(673, 輔助計算!$E$2:$E$801, 0)+1))="","",INDEX(ERP資料!$B:$B, (MATCH(673, 輔助計算!$E$2:$E$801, 0)+1))), "")</f>
        <v/>
      </c>
      <c r="B674" s="10">
        <f>IFERROR(IF(INDEX(ERP資料!$A:$A, (MATCH(673, 輔助計算!$E$2:$E$801, 0)+1))="","",INDEX(ERP資料!$A:$A, (MATCH(673, 輔助計算!$E$2:$E$801, 0)+1))), "")</f>
        <v/>
      </c>
      <c r="C674" s="10">
        <f>IFERROR(IF(INDEX(ERP資料!$S:$S, (MATCH(673, 輔助計算!$E$2:$E$801, 0)+1))="","",INDEX(ERP資料!$S:$S, (MATCH(673, 輔助計算!$E$2:$E$801, 0)+1))), "")</f>
        <v/>
      </c>
      <c r="D674" s="10">
        <f>IFERROR(IF(INDEX(ERP資料!$E:$E, (MATCH(673, 輔助計算!$E$2:$E$801, 0)+1))="","",TRIM(INDEX(ERP資料!$E:$E, (MATCH(673, 輔助計算!$E$2:$E$801, 0)+1)))), "")</f>
        <v/>
      </c>
      <c r="E674" s="10">
        <f>IFERROR(IF(INDEX(ERP資料!$F:$F, (MATCH(673, 輔助計算!$E$2:$E$801, 0)+1))="","",INDEX(ERP資料!$F:$F, (MATCH(673, 輔助計算!$E$2:$E$801, 0)+1))), "")</f>
        <v/>
      </c>
      <c r="F674" s="10">
        <f>IFERROR(IF(INDEX(ERP資料!$G:$G, (MATCH(673, 輔助計算!$E$2:$E$801, 0)+1))="","",INDEX(ERP資料!$G:$G, (MATCH(673, 輔助計算!$E$2:$E$801, 0)+1))), "")</f>
        <v/>
      </c>
      <c r="G674" s="10">
        <f>IFERROR(IF(INDEX(ERP資料!$H:$H, (MATCH(673, 輔助計算!$E$2:$E$801, 0)+1))="","",INDEX(ERP資料!$H:$H, (MATCH(673, 輔助計算!$E$2:$E$801, 0)+1))), "")</f>
        <v/>
      </c>
      <c r="H674" s="15">
        <f>IFERROR(INDEX(輔助計算!$D:$D, (MATCH(673, 輔助計算!$E$2:$E$801, 0)+1)), "")</f>
        <v/>
      </c>
      <c r="I674" s="10">
        <f>IFERROR(IF(INDEX(ERP資料!$O:$O, (MATCH(673, 輔助計算!$E$2:$E$801, 0)+1))="","",INDEX(ERP資料!$O:$O, (MATCH(673, 輔助計算!$E$2:$E$801, 0)+1))), "")</f>
        <v/>
      </c>
      <c r="J674" s="15">
        <f>IFERROR(IF(INDEX(輔助計算!$D:$D,(MATCH(673, 輔助計算!$E$2:$E$801, 0)+1))="","",INDEX(輔助計算!$D:$D,(MATCH(673, 輔助計算!$E$2:$E$801, 0)+1))*INDEX(ERP資料!$O:$O,(MATCH(673, 輔助計算!$E$2:$E$801, 0)+1))), "")</f>
        <v/>
      </c>
      <c r="K674" s="16" t="n"/>
      <c r="L674" s="16" t="n"/>
      <c r="M674" s="17" t="n"/>
    </row>
    <row r="675">
      <c r="A675" s="14">
        <f>IFERROR(IF(INDEX(ERP資料!$B:$B, (MATCH(674, 輔助計算!$E$2:$E$801, 0)+1))="","",INDEX(ERP資料!$B:$B, (MATCH(674, 輔助計算!$E$2:$E$801, 0)+1))), "")</f>
        <v/>
      </c>
      <c r="B675" s="10">
        <f>IFERROR(IF(INDEX(ERP資料!$A:$A, (MATCH(674, 輔助計算!$E$2:$E$801, 0)+1))="","",INDEX(ERP資料!$A:$A, (MATCH(674, 輔助計算!$E$2:$E$801, 0)+1))), "")</f>
        <v/>
      </c>
      <c r="C675" s="10">
        <f>IFERROR(IF(INDEX(ERP資料!$S:$S, (MATCH(674, 輔助計算!$E$2:$E$801, 0)+1))="","",INDEX(ERP資料!$S:$S, (MATCH(674, 輔助計算!$E$2:$E$801, 0)+1))), "")</f>
        <v/>
      </c>
      <c r="D675" s="10">
        <f>IFERROR(IF(INDEX(ERP資料!$E:$E, (MATCH(674, 輔助計算!$E$2:$E$801, 0)+1))="","",TRIM(INDEX(ERP資料!$E:$E, (MATCH(674, 輔助計算!$E$2:$E$801, 0)+1)))), "")</f>
        <v/>
      </c>
      <c r="E675" s="10">
        <f>IFERROR(IF(INDEX(ERP資料!$F:$F, (MATCH(674, 輔助計算!$E$2:$E$801, 0)+1))="","",INDEX(ERP資料!$F:$F, (MATCH(674, 輔助計算!$E$2:$E$801, 0)+1))), "")</f>
        <v/>
      </c>
      <c r="F675" s="10">
        <f>IFERROR(IF(INDEX(ERP資料!$G:$G, (MATCH(674, 輔助計算!$E$2:$E$801, 0)+1))="","",INDEX(ERP資料!$G:$G, (MATCH(674, 輔助計算!$E$2:$E$801, 0)+1))), "")</f>
        <v/>
      </c>
      <c r="G675" s="10">
        <f>IFERROR(IF(INDEX(ERP資料!$H:$H, (MATCH(674, 輔助計算!$E$2:$E$801, 0)+1))="","",INDEX(ERP資料!$H:$H, (MATCH(674, 輔助計算!$E$2:$E$801, 0)+1))), "")</f>
        <v/>
      </c>
      <c r="H675" s="15">
        <f>IFERROR(INDEX(輔助計算!$D:$D, (MATCH(674, 輔助計算!$E$2:$E$801, 0)+1)), "")</f>
        <v/>
      </c>
      <c r="I675" s="10">
        <f>IFERROR(IF(INDEX(ERP資料!$O:$O, (MATCH(674, 輔助計算!$E$2:$E$801, 0)+1))="","",INDEX(ERP資料!$O:$O, (MATCH(674, 輔助計算!$E$2:$E$801, 0)+1))), "")</f>
        <v/>
      </c>
      <c r="J675" s="15">
        <f>IFERROR(IF(INDEX(輔助計算!$D:$D,(MATCH(674, 輔助計算!$E$2:$E$801, 0)+1))="","",INDEX(輔助計算!$D:$D,(MATCH(674, 輔助計算!$E$2:$E$801, 0)+1))*INDEX(ERP資料!$O:$O,(MATCH(674, 輔助計算!$E$2:$E$801, 0)+1))), "")</f>
        <v/>
      </c>
      <c r="K675" s="16" t="n"/>
      <c r="L675" s="16" t="n"/>
      <c r="M675" s="17" t="n"/>
    </row>
    <row r="676">
      <c r="A676" s="14">
        <f>IFERROR(IF(INDEX(ERP資料!$B:$B, (MATCH(675, 輔助計算!$E$2:$E$801, 0)+1))="","",INDEX(ERP資料!$B:$B, (MATCH(675, 輔助計算!$E$2:$E$801, 0)+1))), "")</f>
        <v/>
      </c>
      <c r="B676" s="10">
        <f>IFERROR(IF(INDEX(ERP資料!$A:$A, (MATCH(675, 輔助計算!$E$2:$E$801, 0)+1))="","",INDEX(ERP資料!$A:$A, (MATCH(675, 輔助計算!$E$2:$E$801, 0)+1))), "")</f>
        <v/>
      </c>
      <c r="C676" s="10">
        <f>IFERROR(IF(INDEX(ERP資料!$S:$S, (MATCH(675, 輔助計算!$E$2:$E$801, 0)+1))="","",INDEX(ERP資料!$S:$S, (MATCH(675, 輔助計算!$E$2:$E$801, 0)+1))), "")</f>
        <v/>
      </c>
      <c r="D676" s="10">
        <f>IFERROR(IF(INDEX(ERP資料!$E:$E, (MATCH(675, 輔助計算!$E$2:$E$801, 0)+1))="","",TRIM(INDEX(ERP資料!$E:$E, (MATCH(675, 輔助計算!$E$2:$E$801, 0)+1)))), "")</f>
        <v/>
      </c>
      <c r="E676" s="10">
        <f>IFERROR(IF(INDEX(ERP資料!$F:$F, (MATCH(675, 輔助計算!$E$2:$E$801, 0)+1))="","",INDEX(ERP資料!$F:$F, (MATCH(675, 輔助計算!$E$2:$E$801, 0)+1))), "")</f>
        <v/>
      </c>
      <c r="F676" s="10">
        <f>IFERROR(IF(INDEX(ERP資料!$G:$G, (MATCH(675, 輔助計算!$E$2:$E$801, 0)+1))="","",INDEX(ERP資料!$G:$G, (MATCH(675, 輔助計算!$E$2:$E$801, 0)+1))), "")</f>
        <v/>
      </c>
      <c r="G676" s="10">
        <f>IFERROR(IF(INDEX(ERP資料!$H:$H, (MATCH(675, 輔助計算!$E$2:$E$801, 0)+1))="","",INDEX(ERP資料!$H:$H, (MATCH(675, 輔助計算!$E$2:$E$801, 0)+1))), "")</f>
        <v/>
      </c>
      <c r="H676" s="15">
        <f>IFERROR(INDEX(輔助計算!$D:$D, (MATCH(675, 輔助計算!$E$2:$E$801, 0)+1)), "")</f>
        <v/>
      </c>
      <c r="I676" s="10">
        <f>IFERROR(IF(INDEX(ERP資料!$O:$O, (MATCH(675, 輔助計算!$E$2:$E$801, 0)+1))="","",INDEX(ERP資料!$O:$O, (MATCH(675, 輔助計算!$E$2:$E$801, 0)+1))), "")</f>
        <v/>
      </c>
      <c r="J676" s="15">
        <f>IFERROR(IF(INDEX(輔助計算!$D:$D,(MATCH(675, 輔助計算!$E$2:$E$801, 0)+1))="","",INDEX(輔助計算!$D:$D,(MATCH(675, 輔助計算!$E$2:$E$801, 0)+1))*INDEX(ERP資料!$O:$O,(MATCH(675, 輔助計算!$E$2:$E$801, 0)+1))), "")</f>
        <v/>
      </c>
      <c r="K676" s="16" t="n"/>
      <c r="L676" s="16" t="n"/>
      <c r="M676" s="17" t="n"/>
    </row>
    <row r="677">
      <c r="A677" s="14">
        <f>IFERROR(IF(INDEX(ERP資料!$B:$B, (MATCH(676, 輔助計算!$E$2:$E$801, 0)+1))="","",INDEX(ERP資料!$B:$B, (MATCH(676, 輔助計算!$E$2:$E$801, 0)+1))), "")</f>
        <v/>
      </c>
      <c r="B677" s="10">
        <f>IFERROR(IF(INDEX(ERP資料!$A:$A, (MATCH(676, 輔助計算!$E$2:$E$801, 0)+1))="","",INDEX(ERP資料!$A:$A, (MATCH(676, 輔助計算!$E$2:$E$801, 0)+1))), "")</f>
        <v/>
      </c>
      <c r="C677" s="10">
        <f>IFERROR(IF(INDEX(ERP資料!$S:$S, (MATCH(676, 輔助計算!$E$2:$E$801, 0)+1))="","",INDEX(ERP資料!$S:$S, (MATCH(676, 輔助計算!$E$2:$E$801, 0)+1))), "")</f>
        <v/>
      </c>
      <c r="D677" s="10">
        <f>IFERROR(IF(INDEX(ERP資料!$E:$E, (MATCH(676, 輔助計算!$E$2:$E$801, 0)+1))="","",TRIM(INDEX(ERP資料!$E:$E, (MATCH(676, 輔助計算!$E$2:$E$801, 0)+1)))), "")</f>
        <v/>
      </c>
      <c r="E677" s="10">
        <f>IFERROR(IF(INDEX(ERP資料!$F:$F, (MATCH(676, 輔助計算!$E$2:$E$801, 0)+1))="","",INDEX(ERP資料!$F:$F, (MATCH(676, 輔助計算!$E$2:$E$801, 0)+1))), "")</f>
        <v/>
      </c>
      <c r="F677" s="10">
        <f>IFERROR(IF(INDEX(ERP資料!$G:$G, (MATCH(676, 輔助計算!$E$2:$E$801, 0)+1))="","",INDEX(ERP資料!$G:$G, (MATCH(676, 輔助計算!$E$2:$E$801, 0)+1))), "")</f>
        <v/>
      </c>
      <c r="G677" s="10">
        <f>IFERROR(IF(INDEX(ERP資料!$H:$H, (MATCH(676, 輔助計算!$E$2:$E$801, 0)+1))="","",INDEX(ERP資料!$H:$H, (MATCH(676, 輔助計算!$E$2:$E$801, 0)+1))), "")</f>
        <v/>
      </c>
      <c r="H677" s="15">
        <f>IFERROR(INDEX(輔助計算!$D:$D, (MATCH(676, 輔助計算!$E$2:$E$801, 0)+1)), "")</f>
        <v/>
      </c>
      <c r="I677" s="10">
        <f>IFERROR(IF(INDEX(ERP資料!$O:$O, (MATCH(676, 輔助計算!$E$2:$E$801, 0)+1))="","",INDEX(ERP資料!$O:$O, (MATCH(676, 輔助計算!$E$2:$E$801, 0)+1))), "")</f>
        <v/>
      </c>
      <c r="J677" s="15">
        <f>IFERROR(IF(INDEX(輔助計算!$D:$D,(MATCH(676, 輔助計算!$E$2:$E$801, 0)+1))="","",INDEX(輔助計算!$D:$D,(MATCH(676, 輔助計算!$E$2:$E$801, 0)+1))*INDEX(ERP資料!$O:$O,(MATCH(676, 輔助計算!$E$2:$E$801, 0)+1))), "")</f>
        <v/>
      </c>
      <c r="K677" s="16" t="n"/>
      <c r="L677" s="16" t="n"/>
      <c r="M677" s="17" t="n"/>
    </row>
    <row r="678">
      <c r="A678" s="14">
        <f>IFERROR(IF(INDEX(ERP資料!$B:$B, (MATCH(677, 輔助計算!$E$2:$E$801, 0)+1))="","",INDEX(ERP資料!$B:$B, (MATCH(677, 輔助計算!$E$2:$E$801, 0)+1))), "")</f>
        <v/>
      </c>
      <c r="B678" s="10">
        <f>IFERROR(IF(INDEX(ERP資料!$A:$A, (MATCH(677, 輔助計算!$E$2:$E$801, 0)+1))="","",INDEX(ERP資料!$A:$A, (MATCH(677, 輔助計算!$E$2:$E$801, 0)+1))), "")</f>
        <v/>
      </c>
      <c r="C678" s="10">
        <f>IFERROR(IF(INDEX(ERP資料!$S:$S, (MATCH(677, 輔助計算!$E$2:$E$801, 0)+1))="","",INDEX(ERP資料!$S:$S, (MATCH(677, 輔助計算!$E$2:$E$801, 0)+1))), "")</f>
        <v/>
      </c>
      <c r="D678" s="10">
        <f>IFERROR(IF(INDEX(ERP資料!$E:$E, (MATCH(677, 輔助計算!$E$2:$E$801, 0)+1))="","",TRIM(INDEX(ERP資料!$E:$E, (MATCH(677, 輔助計算!$E$2:$E$801, 0)+1)))), "")</f>
        <v/>
      </c>
      <c r="E678" s="10">
        <f>IFERROR(IF(INDEX(ERP資料!$F:$F, (MATCH(677, 輔助計算!$E$2:$E$801, 0)+1))="","",INDEX(ERP資料!$F:$F, (MATCH(677, 輔助計算!$E$2:$E$801, 0)+1))), "")</f>
        <v/>
      </c>
      <c r="F678" s="10">
        <f>IFERROR(IF(INDEX(ERP資料!$G:$G, (MATCH(677, 輔助計算!$E$2:$E$801, 0)+1))="","",INDEX(ERP資料!$G:$G, (MATCH(677, 輔助計算!$E$2:$E$801, 0)+1))), "")</f>
        <v/>
      </c>
      <c r="G678" s="10">
        <f>IFERROR(IF(INDEX(ERP資料!$H:$H, (MATCH(677, 輔助計算!$E$2:$E$801, 0)+1))="","",INDEX(ERP資料!$H:$H, (MATCH(677, 輔助計算!$E$2:$E$801, 0)+1))), "")</f>
        <v/>
      </c>
      <c r="H678" s="15">
        <f>IFERROR(INDEX(輔助計算!$D:$D, (MATCH(677, 輔助計算!$E$2:$E$801, 0)+1)), "")</f>
        <v/>
      </c>
      <c r="I678" s="10">
        <f>IFERROR(IF(INDEX(ERP資料!$O:$O, (MATCH(677, 輔助計算!$E$2:$E$801, 0)+1))="","",INDEX(ERP資料!$O:$O, (MATCH(677, 輔助計算!$E$2:$E$801, 0)+1))), "")</f>
        <v/>
      </c>
      <c r="J678" s="15">
        <f>IFERROR(IF(INDEX(輔助計算!$D:$D,(MATCH(677, 輔助計算!$E$2:$E$801, 0)+1))="","",INDEX(輔助計算!$D:$D,(MATCH(677, 輔助計算!$E$2:$E$801, 0)+1))*INDEX(ERP資料!$O:$O,(MATCH(677, 輔助計算!$E$2:$E$801, 0)+1))), "")</f>
        <v/>
      </c>
      <c r="K678" s="16" t="n"/>
      <c r="L678" s="16" t="n"/>
      <c r="M678" s="17" t="n"/>
    </row>
    <row r="679">
      <c r="A679" s="14">
        <f>IFERROR(IF(INDEX(ERP資料!$B:$B, (MATCH(678, 輔助計算!$E$2:$E$801, 0)+1))="","",INDEX(ERP資料!$B:$B, (MATCH(678, 輔助計算!$E$2:$E$801, 0)+1))), "")</f>
        <v/>
      </c>
      <c r="B679" s="10">
        <f>IFERROR(IF(INDEX(ERP資料!$A:$A, (MATCH(678, 輔助計算!$E$2:$E$801, 0)+1))="","",INDEX(ERP資料!$A:$A, (MATCH(678, 輔助計算!$E$2:$E$801, 0)+1))), "")</f>
        <v/>
      </c>
      <c r="C679" s="10">
        <f>IFERROR(IF(INDEX(ERP資料!$S:$S, (MATCH(678, 輔助計算!$E$2:$E$801, 0)+1))="","",INDEX(ERP資料!$S:$S, (MATCH(678, 輔助計算!$E$2:$E$801, 0)+1))), "")</f>
        <v/>
      </c>
      <c r="D679" s="10">
        <f>IFERROR(IF(INDEX(ERP資料!$E:$E, (MATCH(678, 輔助計算!$E$2:$E$801, 0)+1))="","",TRIM(INDEX(ERP資料!$E:$E, (MATCH(678, 輔助計算!$E$2:$E$801, 0)+1)))), "")</f>
        <v/>
      </c>
      <c r="E679" s="10">
        <f>IFERROR(IF(INDEX(ERP資料!$F:$F, (MATCH(678, 輔助計算!$E$2:$E$801, 0)+1))="","",INDEX(ERP資料!$F:$F, (MATCH(678, 輔助計算!$E$2:$E$801, 0)+1))), "")</f>
        <v/>
      </c>
      <c r="F679" s="10">
        <f>IFERROR(IF(INDEX(ERP資料!$G:$G, (MATCH(678, 輔助計算!$E$2:$E$801, 0)+1))="","",INDEX(ERP資料!$G:$G, (MATCH(678, 輔助計算!$E$2:$E$801, 0)+1))), "")</f>
        <v/>
      </c>
      <c r="G679" s="10">
        <f>IFERROR(IF(INDEX(ERP資料!$H:$H, (MATCH(678, 輔助計算!$E$2:$E$801, 0)+1))="","",INDEX(ERP資料!$H:$H, (MATCH(678, 輔助計算!$E$2:$E$801, 0)+1))), "")</f>
        <v/>
      </c>
      <c r="H679" s="15">
        <f>IFERROR(INDEX(輔助計算!$D:$D, (MATCH(678, 輔助計算!$E$2:$E$801, 0)+1)), "")</f>
        <v/>
      </c>
      <c r="I679" s="10">
        <f>IFERROR(IF(INDEX(ERP資料!$O:$O, (MATCH(678, 輔助計算!$E$2:$E$801, 0)+1))="","",INDEX(ERP資料!$O:$O, (MATCH(678, 輔助計算!$E$2:$E$801, 0)+1))), "")</f>
        <v/>
      </c>
      <c r="J679" s="15">
        <f>IFERROR(IF(INDEX(輔助計算!$D:$D,(MATCH(678, 輔助計算!$E$2:$E$801, 0)+1))="","",INDEX(輔助計算!$D:$D,(MATCH(678, 輔助計算!$E$2:$E$801, 0)+1))*INDEX(ERP資料!$O:$O,(MATCH(678, 輔助計算!$E$2:$E$801, 0)+1))), "")</f>
        <v/>
      </c>
      <c r="K679" s="16" t="n"/>
      <c r="L679" s="16" t="n"/>
      <c r="M679" s="17" t="n"/>
    </row>
    <row r="680">
      <c r="A680" s="14">
        <f>IFERROR(IF(INDEX(ERP資料!$B:$B, (MATCH(679, 輔助計算!$E$2:$E$801, 0)+1))="","",INDEX(ERP資料!$B:$B, (MATCH(679, 輔助計算!$E$2:$E$801, 0)+1))), "")</f>
        <v/>
      </c>
      <c r="B680" s="10">
        <f>IFERROR(IF(INDEX(ERP資料!$A:$A, (MATCH(679, 輔助計算!$E$2:$E$801, 0)+1))="","",INDEX(ERP資料!$A:$A, (MATCH(679, 輔助計算!$E$2:$E$801, 0)+1))), "")</f>
        <v/>
      </c>
      <c r="C680" s="10">
        <f>IFERROR(IF(INDEX(ERP資料!$S:$S, (MATCH(679, 輔助計算!$E$2:$E$801, 0)+1))="","",INDEX(ERP資料!$S:$S, (MATCH(679, 輔助計算!$E$2:$E$801, 0)+1))), "")</f>
        <v/>
      </c>
      <c r="D680" s="10">
        <f>IFERROR(IF(INDEX(ERP資料!$E:$E, (MATCH(679, 輔助計算!$E$2:$E$801, 0)+1))="","",TRIM(INDEX(ERP資料!$E:$E, (MATCH(679, 輔助計算!$E$2:$E$801, 0)+1)))), "")</f>
        <v/>
      </c>
      <c r="E680" s="10">
        <f>IFERROR(IF(INDEX(ERP資料!$F:$F, (MATCH(679, 輔助計算!$E$2:$E$801, 0)+1))="","",INDEX(ERP資料!$F:$F, (MATCH(679, 輔助計算!$E$2:$E$801, 0)+1))), "")</f>
        <v/>
      </c>
      <c r="F680" s="10">
        <f>IFERROR(IF(INDEX(ERP資料!$G:$G, (MATCH(679, 輔助計算!$E$2:$E$801, 0)+1))="","",INDEX(ERP資料!$G:$G, (MATCH(679, 輔助計算!$E$2:$E$801, 0)+1))), "")</f>
        <v/>
      </c>
      <c r="G680" s="10">
        <f>IFERROR(IF(INDEX(ERP資料!$H:$H, (MATCH(679, 輔助計算!$E$2:$E$801, 0)+1))="","",INDEX(ERP資料!$H:$H, (MATCH(679, 輔助計算!$E$2:$E$801, 0)+1))), "")</f>
        <v/>
      </c>
      <c r="H680" s="15">
        <f>IFERROR(INDEX(輔助計算!$D:$D, (MATCH(679, 輔助計算!$E$2:$E$801, 0)+1)), "")</f>
        <v/>
      </c>
      <c r="I680" s="10">
        <f>IFERROR(IF(INDEX(ERP資料!$O:$O, (MATCH(679, 輔助計算!$E$2:$E$801, 0)+1))="","",INDEX(ERP資料!$O:$O, (MATCH(679, 輔助計算!$E$2:$E$801, 0)+1))), "")</f>
        <v/>
      </c>
      <c r="J680" s="15">
        <f>IFERROR(IF(INDEX(輔助計算!$D:$D,(MATCH(679, 輔助計算!$E$2:$E$801, 0)+1))="","",INDEX(輔助計算!$D:$D,(MATCH(679, 輔助計算!$E$2:$E$801, 0)+1))*INDEX(ERP資料!$O:$O,(MATCH(679, 輔助計算!$E$2:$E$801, 0)+1))), "")</f>
        <v/>
      </c>
      <c r="K680" s="16" t="n"/>
      <c r="L680" s="16" t="n"/>
      <c r="M680" s="17" t="n"/>
    </row>
    <row r="681">
      <c r="A681" s="14">
        <f>IFERROR(IF(INDEX(ERP資料!$B:$B, (MATCH(680, 輔助計算!$E$2:$E$801, 0)+1))="","",INDEX(ERP資料!$B:$B, (MATCH(680, 輔助計算!$E$2:$E$801, 0)+1))), "")</f>
        <v/>
      </c>
      <c r="B681" s="10">
        <f>IFERROR(IF(INDEX(ERP資料!$A:$A, (MATCH(680, 輔助計算!$E$2:$E$801, 0)+1))="","",INDEX(ERP資料!$A:$A, (MATCH(680, 輔助計算!$E$2:$E$801, 0)+1))), "")</f>
        <v/>
      </c>
      <c r="C681" s="10">
        <f>IFERROR(IF(INDEX(ERP資料!$S:$S, (MATCH(680, 輔助計算!$E$2:$E$801, 0)+1))="","",INDEX(ERP資料!$S:$S, (MATCH(680, 輔助計算!$E$2:$E$801, 0)+1))), "")</f>
        <v/>
      </c>
      <c r="D681" s="10">
        <f>IFERROR(IF(INDEX(ERP資料!$E:$E, (MATCH(680, 輔助計算!$E$2:$E$801, 0)+1))="","",TRIM(INDEX(ERP資料!$E:$E, (MATCH(680, 輔助計算!$E$2:$E$801, 0)+1)))), "")</f>
        <v/>
      </c>
      <c r="E681" s="10">
        <f>IFERROR(IF(INDEX(ERP資料!$F:$F, (MATCH(680, 輔助計算!$E$2:$E$801, 0)+1))="","",INDEX(ERP資料!$F:$F, (MATCH(680, 輔助計算!$E$2:$E$801, 0)+1))), "")</f>
        <v/>
      </c>
      <c r="F681" s="10">
        <f>IFERROR(IF(INDEX(ERP資料!$G:$G, (MATCH(680, 輔助計算!$E$2:$E$801, 0)+1))="","",INDEX(ERP資料!$G:$G, (MATCH(680, 輔助計算!$E$2:$E$801, 0)+1))), "")</f>
        <v/>
      </c>
      <c r="G681" s="10">
        <f>IFERROR(IF(INDEX(ERP資料!$H:$H, (MATCH(680, 輔助計算!$E$2:$E$801, 0)+1))="","",INDEX(ERP資料!$H:$H, (MATCH(680, 輔助計算!$E$2:$E$801, 0)+1))), "")</f>
        <v/>
      </c>
      <c r="H681" s="15">
        <f>IFERROR(INDEX(輔助計算!$D:$D, (MATCH(680, 輔助計算!$E$2:$E$801, 0)+1)), "")</f>
        <v/>
      </c>
      <c r="I681" s="10">
        <f>IFERROR(IF(INDEX(ERP資料!$O:$O, (MATCH(680, 輔助計算!$E$2:$E$801, 0)+1))="","",INDEX(ERP資料!$O:$O, (MATCH(680, 輔助計算!$E$2:$E$801, 0)+1))), "")</f>
        <v/>
      </c>
      <c r="J681" s="15">
        <f>IFERROR(IF(INDEX(輔助計算!$D:$D,(MATCH(680, 輔助計算!$E$2:$E$801, 0)+1))="","",INDEX(輔助計算!$D:$D,(MATCH(680, 輔助計算!$E$2:$E$801, 0)+1))*INDEX(ERP資料!$O:$O,(MATCH(680, 輔助計算!$E$2:$E$801, 0)+1))), "")</f>
        <v/>
      </c>
      <c r="K681" s="16" t="n"/>
      <c r="L681" s="16" t="n"/>
      <c r="M681" s="17" t="n"/>
    </row>
    <row r="682">
      <c r="A682" s="14">
        <f>IFERROR(IF(INDEX(ERP資料!$B:$B, (MATCH(681, 輔助計算!$E$2:$E$801, 0)+1))="","",INDEX(ERP資料!$B:$B, (MATCH(681, 輔助計算!$E$2:$E$801, 0)+1))), "")</f>
        <v/>
      </c>
      <c r="B682" s="10">
        <f>IFERROR(IF(INDEX(ERP資料!$A:$A, (MATCH(681, 輔助計算!$E$2:$E$801, 0)+1))="","",INDEX(ERP資料!$A:$A, (MATCH(681, 輔助計算!$E$2:$E$801, 0)+1))), "")</f>
        <v/>
      </c>
      <c r="C682" s="10">
        <f>IFERROR(IF(INDEX(ERP資料!$S:$S, (MATCH(681, 輔助計算!$E$2:$E$801, 0)+1))="","",INDEX(ERP資料!$S:$S, (MATCH(681, 輔助計算!$E$2:$E$801, 0)+1))), "")</f>
        <v/>
      </c>
      <c r="D682" s="10">
        <f>IFERROR(IF(INDEX(ERP資料!$E:$E, (MATCH(681, 輔助計算!$E$2:$E$801, 0)+1))="","",TRIM(INDEX(ERP資料!$E:$E, (MATCH(681, 輔助計算!$E$2:$E$801, 0)+1)))), "")</f>
        <v/>
      </c>
      <c r="E682" s="10">
        <f>IFERROR(IF(INDEX(ERP資料!$F:$F, (MATCH(681, 輔助計算!$E$2:$E$801, 0)+1))="","",INDEX(ERP資料!$F:$F, (MATCH(681, 輔助計算!$E$2:$E$801, 0)+1))), "")</f>
        <v/>
      </c>
      <c r="F682" s="10">
        <f>IFERROR(IF(INDEX(ERP資料!$G:$G, (MATCH(681, 輔助計算!$E$2:$E$801, 0)+1))="","",INDEX(ERP資料!$G:$G, (MATCH(681, 輔助計算!$E$2:$E$801, 0)+1))), "")</f>
        <v/>
      </c>
      <c r="G682" s="10">
        <f>IFERROR(IF(INDEX(ERP資料!$H:$H, (MATCH(681, 輔助計算!$E$2:$E$801, 0)+1))="","",INDEX(ERP資料!$H:$H, (MATCH(681, 輔助計算!$E$2:$E$801, 0)+1))), "")</f>
        <v/>
      </c>
      <c r="H682" s="15">
        <f>IFERROR(INDEX(輔助計算!$D:$D, (MATCH(681, 輔助計算!$E$2:$E$801, 0)+1)), "")</f>
        <v/>
      </c>
      <c r="I682" s="10">
        <f>IFERROR(IF(INDEX(ERP資料!$O:$O, (MATCH(681, 輔助計算!$E$2:$E$801, 0)+1))="","",INDEX(ERP資料!$O:$O, (MATCH(681, 輔助計算!$E$2:$E$801, 0)+1))), "")</f>
        <v/>
      </c>
      <c r="J682" s="15">
        <f>IFERROR(IF(INDEX(輔助計算!$D:$D,(MATCH(681, 輔助計算!$E$2:$E$801, 0)+1))="","",INDEX(輔助計算!$D:$D,(MATCH(681, 輔助計算!$E$2:$E$801, 0)+1))*INDEX(ERP資料!$O:$O,(MATCH(681, 輔助計算!$E$2:$E$801, 0)+1))), "")</f>
        <v/>
      </c>
      <c r="K682" s="16" t="n"/>
      <c r="L682" s="16" t="n"/>
      <c r="M682" s="17" t="n"/>
    </row>
    <row r="683">
      <c r="A683" s="14">
        <f>IFERROR(IF(INDEX(ERP資料!$B:$B, (MATCH(682, 輔助計算!$E$2:$E$801, 0)+1))="","",INDEX(ERP資料!$B:$B, (MATCH(682, 輔助計算!$E$2:$E$801, 0)+1))), "")</f>
        <v/>
      </c>
      <c r="B683" s="10">
        <f>IFERROR(IF(INDEX(ERP資料!$A:$A, (MATCH(682, 輔助計算!$E$2:$E$801, 0)+1))="","",INDEX(ERP資料!$A:$A, (MATCH(682, 輔助計算!$E$2:$E$801, 0)+1))), "")</f>
        <v/>
      </c>
      <c r="C683" s="10">
        <f>IFERROR(IF(INDEX(ERP資料!$S:$S, (MATCH(682, 輔助計算!$E$2:$E$801, 0)+1))="","",INDEX(ERP資料!$S:$S, (MATCH(682, 輔助計算!$E$2:$E$801, 0)+1))), "")</f>
        <v/>
      </c>
      <c r="D683" s="10">
        <f>IFERROR(IF(INDEX(ERP資料!$E:$E, (MATCH(682, 輔助計算!$E$2:$E$801, 0)+1))="","",TRIM(INDEX(ERP資料!$E:$E, (MATCH(682, 輔助計算!$E$2:$E$801, 0)+1)))), "")</f>
        <v/>
      </c>
      <c r="E683" s="10">
        <f>IFERROR(IF(INDEX(ERP資料!$F:$F, (MATCH(682, 輔助計算!$E$2:$E$801, 0)+1))="","",INDEX(ERP資料!$F:$F, (MATCH(682, 輔助計算!$E$2:$E$801, 0)+1))), "")</f>
        <v/>
      </c>
      <c r="F683" s="10">
        <f>IFERROR(IF(INDEX(ERP資料!$G:$G, (MATCH(682, 輔助計算!$E$2:$E$801, 0)+1))="","",INDEX(ERP資料!$G:$G, (MATCH(682, 輔助計算!$E$2:$E$801, 0)+1))), "")</f>
        <v/>
      </c>
      <c r="G683" s="10">
        <f>IFERROR(IF(INDEX(ERP資料!$H:$H, (MATCH(682, 輔助計算!$E$2:$E$801, 0)+1))="","",INDEX(ERP資料!$H:$H, (MATCH(682, 輔助計算!$E$2:$E$801, 0)+1))), "")</f>
        <v/>
      </c>
      <c r="H683" s="15">
        <f>IFERROR(INDEX(輔助計算!$D:$D, (MATCH(682, 輔助計算!$E$2:$E$801, 0)+1)), "")</f>
        <v/>
      </c>
      <c r="I683" s="10">
        <f>IFERROR(IF(INDEX(ERP資料!$O:$O, (MATCH(682, 輔助計算!$E$2:$E$801, 0)+1))="","",INDEX(ERP資料!$O:$O, (MATCH(682, 輔助計算!$E$2:$E$801, 0)+1))), "")</f>
        <v/>
      </c>
      <c r="J683" s="15">
        <f>IFERROR(IF(INDEX(輔助計算!$D:$D,(MATCH(682, 輔助計算!$E$2:$E$801, 0)+1))="","",INDEX(輔助計算!$D:$D,(MATCH(682, 輔助計算!$E$2:$E$801, 0)+1))*INDEX(ERP資料!$O:$O,(MATCH(682, 輔助計算!$E$2:$E$801, 0)+1))), "")</f>
        <v/>
      </c>
      <c r="K683" s="16" t="n"/>
      <c r="L683" s="16" t="n"/>
      <c r="M683" s="17" t="n"/>
    </row>
    <row r="684">
      <c r="A684" s="14">
        <f>IFERROR(IF(INDEX(ERP資料!$B:$B, (MATCH(683, 輔助計算!$E$2:$E$801, 0)+1))="","",INDEX(ERP資料!$B:$B, (MATCH(683, 輔助計算!$E$2:$E$801, 0)+1))), "")</f>
        <v/>
      </c>
      <c r="B684" s="10">
        <f>IFERROR(IF(INDEX(ERP資料!$A:$A, (MATCH(683, 輔助計算!$E$2:$E$801, 0)+1))="","",INDEX(ERP資料!$A:$A, (MATCH(683, 輔助計算!$E$2:$E$801, 0)+1))), "")</f>
        <v/>
      </c>
      <c r="C684" s="10">
        <f>IFERROR(IF(INDEX(ERP資料!$S:$S, (MATCH(683, 輔助計算!$E$2:$E$801, 0)+1))="","",INDEX(ERP資料!$S:$S, (MATCH(683, 輔助計算!$E$2:$E$801, 0)+1))), "")</f>
        <v/>
      </c>
      <c r="D684" s="10">
        <f>IFERROR(IF(INDEX(ERP資料!$E:$E, (MATCH(683, 輔助計算!$E$2:$E$801, 0)+1))="","",TRIM(INDEX(ERP資料!$E:$E, (MATCH(683, 輔助計算!$E$2:$E$801, 0)+1)))), "")</f>
        <v/>
      </c>
      <c r="E684" s="10">
        <f>IFERROR(IF(INDEX(ERP資料!$F:$F, (MATCH(683, 輔助計算!$E$2:$E$801, 0)+1))="","",INDEX(ERP資料!$F:$F, (MATCH(683, 輔助計算!$E$2:$E$801, 0)+1))), "")</f>
        <v/>
      </c>
      <c r="F684" s="10">
        <f>IFERROR(IF(INDEX(ERP資料!$G:$G, (MATCH(683, 輔助計算!$E$2:$E$801, 0)+1))="","",INDEX(ERP資料!$G:$G, (MATCH(683, 輔助計算!$E$2:$E$801, 0)+1))), "")</f>
        <v/>
      </c>
      <c r="G684" s="10">
        <f>IFERROR(IF(INDEX(ERP資料!$H:$H, (MATCH(683, 輔助計算!$E$2:$E$801, 0)+1))="","",INDEX(ERP資料!$H:$H, (MATCH(683, 輔助計算!$E$2:$E$801, 0)+1))), "")</f>
        <v/>
      </c>
      <c r="H684" s="15">
        <f>IFERROR(INDEX(輔助計算!$D:$D, (MATCH(683, 輔助計算!$E$2:$E$801, 0)+1)), "")</f>
        <v/>
      </c>
      <c r="I684" s="10">
        <f>IFERROR(IF(INDEX(ERP資料!$O:$O, (MATCH(683, 輔助計算!$E$2:$E$801, 0)+1))="","",INDEX(ERP資料!$O:$O, (MATCH(683, 輔助計算!$E$2:$E$801, 0)+1))), "")</f>
        <v/>
      </c>
      <c r="J684" s="15">
        <f>IFERROR(IF(INDEX(輔助計算!$D:$D,(MATCH(683, 輔助計算!$E$2:$E$801, 0)+1))="","",INDEX(輔助計算!$D:$D,(MATCH(683, 輔助計算!$E$2:$E$801, 0)+1))*INDEX(ERP資料!$O:$O,(MATCH(683, 輔助計算!$E$2:$E$801, 0)+1))), "")</f>
        <v/>
      </c>
      <c r="K684" s="16" t="n"/>
      <c r="L684" s="16" t="n"/>
      <c r="M684" s="17" t="n"/>
    </row>
    <row r="685">
      <c r="A685" s="14">
        <f>IFERROR(IF(INDEX(ERP資料!$B:$B, (MATCH(684, 輔助計算!$E$2:$E$801, 0)+1))="","",INDEX(ERP資料!$B:$B, (MATCH(684, 輔助計算!$E$2:$E$801, 0)+1))), "")</f>
        <v/>
      </c>
      <c r="B685" s="10">
        <f>IFERROR(IF(INDEX(ERP資料!$A:$A, (MATCH(684, 輔助計算!$E$2:$E$801, 0)+1))="","",INDEX(ERP資料!$A:$A, (MATCH(684, 輔助計算!$E$2:$E$801, 0)+1))), "")</f>
        <v/>
      </c>
      <c r="C685" s="10">
        <f>IFERROR(IF(INDEX(ERP資料!$S:$S, (MATCH(684, 輔助計算!$E$2:$E$801, 0)+1))="","",INDEX(ERP資料!$S:$S, (MATCH(684, 輔助計算!$E$2:$E$801, 0)+1))), "")</f>
        <v/>
      </c>
      <c r="D685" s="10">
        <f>IFERROR(IF(INDEX(ERP資料!$E:$E, (MATCH(684, 輔助計算!$E$2:$E$801, 0)+1))="","",TRIM(INDEX(ERP資料!$E:$E, (MATCH(684, 輔助計算!$E$2:$E$801, 0)+1)))), "")</f>
        <v/>
      </c>
      <c r="E685" s="10">
        <f>IFERROR(IF(INDEX(ERP資料!$F:$F, (MATCH(684, 輔助計算!$E$2:$E$801, 0)+1))="","",INDEX(ERP資料!$F:$F, (MATCH(684, 輔助計算!$E$2:$E$801, 0)+1))), "")</f>
        <v/>
      </c>
      <c r="F685" s="10">
        <f>IFERROR(IF(INDEX(ERP資料!$G:$G, (MATCH(684, 輔助計算!$E$2:$E$801, 0)+1))="","",INDEX(ERP資料!$G:$G, (MATCH(684, 輔助計算!$E$2:$E$801, 0)+1))), "")</f>
        <v/>
      </c>
      <c r="G685" s="10">
        <f>IFERROR(IF(INDEX(ERP資料!$H:$H, (MATCH(684, 輔助計算!$E$2:$E$801, 0)+1))="","",INDEX(ERP資料!$H:$H, (MATCH(684, 輔助計算!$E$2:$E$801, 0)+1))), "")</f>
        <v/>
      </c>
      <c r="H685" s="15">
        <f>IFERROR(INDEX(輔助計算!$D:$D, (MATCH(684, 輔助計算!$E$2:$E$801, 0)+1)), "")</f>
        <v/>
      </c>
      <c r="I685" s="10">
        <f>IFERROR(IF(INDEX(ERP資料!$O:$O, (MATCH(684, 輔助計算!$E$2:$E$801, 0)+1))="","",INDEX(ERP資料!$O:$O, (MATCH(684, 輔助計算!$E$2:$E$801, 0)+1))), "")</f>
        <v/>
      </c>
      <c r="J685" s="15">
        <f>IFERROR(IF(INDEX(輔助計算!$D:$D,(MATCH(684, 輔助計算!$E$2:$E$801, 0)+1))="","",INDEX(輔助計算!$D:$D,(MATCH(684, 輔助計算!$E$2:$E$801, 0)+1))*INDEX(ERP資料!$O:$O,(MATCH(684, 輔助計算!$E$2:$E$801, 0)+1))), "")</f>
        <v/>
      </c>
      <c r="K685" s="16" t="n"/>
      <c r="L685" s="16" t="n"/>
      <c r="M685" s="17" t="n"/>
    </row>
    <row r="686">
      <c r="A686" s="14">
        <f>IFERROR(IF(INDEX(ERP資料!$B:$B, (MATCH(685, 輔助計算!$E$2:$E$801, 0)+1))="","",INDEX(ERP資料!$B:$B, (MATCH(685, 輔助計算!$E$2:$E$801, 0)+1))), "")</f>
        <v/>
      </c>
      <c r="B686" s="10">
        <f>IFERROR(IF(INDEX(ERP資料!$A:$A, (MATCH(685, 輔助計算!$E$2:$E$801, 0)+1))="","",INDEX(ERP資料!$A:$A, (MATCH(685, 輔助計算!$E$2:$E$801, 0)+1))), "")</f>
        <v/>
      </c>
      <c r="C686" s="10">
        <f>IFERROR(IF(INDEX(ERP資料!$S:$S, (MATCH(685, 輔助計算!$E$2:$E$801, 0)+1))="","",INDEX(ERP資料!$S:$S, (MATCH(685, 輔助計算!$E$2:$E$801, 0)+1))), "")</f>
        <v/>
      </c>
      <c r="D686" s="10">
        <f>IFERROR(IF(INDEX(ERP資料!$E:$E, (MATCH(685, 輔助計算!$E$2:$E$801, 0)+1))="","",TRIM(INDEX(ERP資料!$E:$E, (MATCH(685, 輔助計算!$E$2:$E$801, 0)+1)))), "")</f>
        <v/>
      </c>
      <c r="E686" s="10">
        <f>IFERROR(IF(INDEX(ERP資料!$F:$F, (MATCH(685, 輔助計算!$E$2:$E$801, 0)+1))="","",INDEX(ERP資料!$F:$F, (MATCH(685, 輔助計算!$E$2:$E$801, 0)+1))), "")</f>
        <v/>
      </c>
      <c r="F686" s="10">
        <f>IFERROR(IF(INDEX(ERP資料!$G:$G, (MATCH(685, 輔助計算!$E$2:$E$801, 0)+1))="","",INDEX(ERP資料!$G:$G, (MATCH(685, 輔助計算!$E$2:$E$801, 0)+1))), "")</f>
        <v/>
      </c>
      <c r="G686" s="10">
        <f>IFERROR(IF(INDEX(ERP資料!$H:$H, (MATCH(685, 輔助計算!$E$2:$E$801, 0)+1))="","",INDEX(ERP資料!$H:$H, (MATCH(685, 輔助計算!$E$2:$E$801, 0)+1))), "")</f>
        <v/>
      </c>
      <c r="H686" s="15">
        <f>IFERROR(INDEX(輔助計算!$D:$D, (MATCH(685, 輔助計算!$E$2:$E$801, 0)+1)), "")</f>
        <v/>
      </c>
      <c r="I686" s="10">
        <f>IFERROR(IF(INDEX(ERP資料!$O:$O, (MATCH(685, 輔助計算!$E$2:$E$801, 0)+1))="","",INDEX(ERP資料!$O:$O, (MATCH(685, 輔助計算!$E$2:$E$801, 0)+1))), "")</f>
        <v/>
      </c>
      <c r="J686" s="15">
        <f>IFERROR(IF(INDEX(輔助計算!$D:$D,(MATCH(685, 輔助計算!$E$2:$E$801, 0)+1))="","",INDEX(輔助計算!$D:$D,(MATCH(685, 輔助計算!$E$2:$E$801, 0)+1))*INDEX(ERP資料!$O:$O,(MATCH(685, 輔助計算!$E$2:$E$801, 0)+1))), "")</f>
        <v/>
      </c>
      <c r="K686" s="16" t="n"/>
      <c r="L686" s="16" t="n"/>
      <c r="M686" s="17" t="n"/>
    </row>
    <row r="687">
      <c r="A687" s="14">
        <f>IFERROR(IF(INDEX(ERP資料!$B:$B, (MATCH(686, 輔助計算!$E$2:$E$801, 0)+1))="","",INDEX(ERP資料!$B:$B, (MATCH(686, 輔助計算!$E$2:$E$801, 0)+1))), "")</f>
        <v/>
      </c>
      <c r="B687" s="10">
        <f>IFERROR(IF(INDEX(ERP資料!$A:$A, (MATCH(686, 輔助計算!$E$2:$E$801, 0)+1))="","",INDEX(ERP資料!$A:$A, (MATCH(686, 輔助計算!$E$2:$E$801, 0)+1))), "")</f>
        <v/>
      </c>
      <c r="C687" s="10">
        <f>IFERROR(IF(INDEX(ERP資料!$S:$S, (MATCH(686, 輔助計算!$E$2:$E$801, 0)+1))="","",INDEX(ERP資料!$S:$S, (MATCH(686, 輔助計算!$E$2:$E$801, 0)+1))), "")</f>
        <v/>
      </c>
      <c r="D687" s="10">
        <f>IFERROR(IF(INDEX(ERP資料!$E:$E, (MATCH(686, 輔助計算!$E$2:$E$801, 0)+1))="","",TRIM(INDEX(ERP資料!$E:$E, (MATCH(686, 輔助計算!$E$2:$E$801, 0)+1)))), "")</f>
        <v/>
      </c>
      <c r="E687" s="10">
        <f>IFERROR(IF(INDEX(ERP資料!$F:$F, (MATCH(686, 輔助計算!$E$2:$E$801, 0)+1))="","",INDEX(ERP資料!$F:$F, (MATCH(686, 輔助計算!$E$2:$E$801, 0)+1))), "")</f>
        <v/>
      </c>
      <c r="F687" s="10">
        <f>IFERROR(IF(INDEX(ERP資料!$G:$G, (MATCH(686, 輔助計算!$E$2:$E$801, 0)+1))="","",INDEX(ERP資料!$G:$G, (MATCH(686, 輔助計算!$E$2:$E$801, 0)+1))), "")</f>
        <v/>
      </c>
      <c r="G687" s="10">
        <f>IFERROR(IF(INDEX(ERP資料!$H:$H, (MATCH(686, 輔助計算!$E$2:$E$801, 0)+1))="","",INDEX(ERP資料!$H:$H, (MATCH(686, 輔助計算!$E$2:$E$801, 0)+1))), "")</f>
        <v/>
      </c>
      <c r="H687" s="15">
        <f>IFERROR(INDEX(輔助計算!$D:$D, (MATCH(686, 輔助計算!$E$2:$E$801, 0)+1)), "")</f>
        <v/>
      </c>
      <c r="I687" s="10">
        <f>IFERROR(IF(INDEX(ERP資料!$O:$O, (MATCH(686, 輔助計算!$E$2:$E$801, 0)+1))="","",INDEX(ERP資料!$O:$O, (MATCH(686, 輔助計算!$E$2:$E$801, 0)+1))), "")</f>
        <v/>
      </c>
      <c r="J687" s="15">
        <f>IFERROR(IF(INDEX(輔助計算!$D:$D,(MATCH(686, 輔助計算!$E$2:$E$801, 0)+1))="","",INDEX(輔助計算!$D:$D,(MATCH(686, 輔助計算!$E$2:$E$801, 0)+1))*INDEX(ERP資料!$O:$O,(MATCH(686, 輔助計算!$E$2:$E$801, 0)+1))), "")</f>
        <v/>
      </c>
      <c r="K687" s="16" t="n"/>
      <c r="L687" s="16" t="n"/>
      <c r="M687" s="17" t="n"/>
    </row>
    <row r="688">
      <c r="A688" s="14">
        <f>IFERROR(IF(INDEX(ERP資料!$B:$B, (MATCH(687, 輔助計算!$E$2:$E$801, 0)+1))="","",INDEX(ERP資料!$B:$B, (MATCH(687, 輔助計算!$E$2:$E$801, 0)+1))), "")</f>
        <v/>
      </c>
      <c r="B688" s="10">
        <f>IFERROR(IF(INDEX(ERP資料!$A:$A, (MATCH(687, 輔助計算!$E$2:$E$801, 0)+1))="","",INDEX(ERP資料!$A:$A, (MATCH(687, 輔助計算!$E$2:$E$801, 0)+1))), "")</f>
        <v/>
      </c>
      <c r="C688" s="10">
        <f>IFERROR(IF(INDEX(ERP資料!$S:$S, (MATCH(687, 輔助計算!$E$2:$E$801, 0)+1))="","",INDEX(ERP資料!$S:$S, (MATCH(687, 輔助計算!$E$2:$E$801, 0)+1))), "")</f>
        <v/>
      </c>
      <c r="D688" s="10">
        <f>IFERROR(IF(INDEX(ERP資料!$E:$E, (MATCH(687, 輔助計算!$E$2:$E$801, 0)+1))="","",TRIM(INDEX(ERP資料!$E:$E, (MATCH(687, 輔助計算!$E$2:$E$801, 0)+1)))), "")</f>
        <v/>
      </c>
      <c r="E688" s="10">
        <f>IFERROR(IF(INDEX(ERP資料!$F:$F, (MATCH(687, 輔助計算!$E$2:$E$801, 0)+1))="","",INDEX(ERP資料!$F:$F, (MATCH(687, 輔助計算!$E$2:$E$801, 0)+1))), "")</f>
        <v/>
      </c>
      <c r="F688" s="10">
        <f>IFERROR(IF(INDEX(ERP資料!$G:$G, (MATCH(687, 輔助計算!$E$2:$E$801, 0)+1))="","",INDEX(ERP資料!$G:$G, (MATCH(687, 輔助計算!$E$2:$E$801, 0)+1))), "")</f>
        <v/>
      </c>
      <c r="G688" s="10">
        <f>IFERROR(IF(INDEX(ERP資料!$H:$H, (MATCH(687, 輔助計算!$E$2:$E$801, 0)+1))="","",INDEX(ERP資料!$H:$H, (MATCH(687, 輔助計算!$E$2:$E$801, 0)+1))), "")</f>
        <v/>
      </c>
      <c r="H688" s="15">
        <f>IFERROR(INDEX(輔助計算!$D:$D, (MATCH(687, 輔助計算!$E$2:$E$801, 0)+1)), "")</f>
        <v/>
      </c>
      <c r="I688" s="10">
        <f>IFERROR(IF(INDEX(ERP資料!$O:$O, (MATCH(687, 輔助計算!$E$2:$E$801, 0)+1))="","",INDEX(ERP資料!$O:$O, (MATCH(687, 輔助計算!$E$2:$E$801, 0)+1))), "")</f>
        <v/>
      </c>
      <c r="J688" s="15">
        <f>IFERROR(IF(INDEX(輔助計算!$D:$D,(MATCH(687, 輔助計算!$E$2:$E$801, 0)+1))="","",INDEX(輔助計算!$D:$D,(MATCH(687, 輔助計算!$E$2:$E$801, 0)+1))*INDEX(ERP資料!$O:$O,(MATCH(687, 輔助計算!$E$2:$E$801, 0)+1))), "")</f>
        <v/>
      </c>
      <c r="K688" s="16" t="n"/>
      <c r="L688" s="16" t="n"/>
      <c r="M688" s="17" t="n"/>
    </row>
    <row r="689">
      <c r="A689" s="14">
        <f>IFERROR(IF(INDEX(ERP資料!$B:$B, (MATCH(688, 輔助計算!$E$2:$E$801, 0)+1))="","",INDEX(ERP資料!$B:$B, (MATCH(688, 輔助計算!$E$2:$E$801, 0)+1))), "")</f>
        <v/>
      </c>
      <c r="B689" s="10">
        <f>IFERROR(IF(INDEX(ERP資料!$A:$A, (MATCH(688, 輔助計算!$E$2:$E$801, 0)+1))="","",INDEX(ERP資料!$A:$A, (MATCH(688, 輔助計算!$E$2:$E$801, 0)+1))), "")</f>
        <v/>
      </c>
      <c r="C689" s="10">
        <f>IFERROR(IF(INDEX(ERP資料!$S:$S, (MATCH(688, 輔助計算!$E$2:$E$801, 0)+1))="","",INDEX(ERP資料!$S:$S, (MATCH(688, 輔助計算!$E$2:$E$801, 0)+1))), "")</f>
        <v/>
      </c>
      <c r="D689" s="10">
        <f>IFERROR(IF(INDEX(ERP資料!$E:$E, (MATCH(688, 輔助計算!$E$2:$E$801, 0)+1))="","",TRIM(INDEX(ERP資料!$E:$E, (MATCH(688, 輔助計算!$E$2:$E$801, 0)+1)))), "")</f>
        <v/>
      </c>
      <c r="E689" s="10">
        <f>IFERROR(IF(INDEX(ERP資料!$F:$F, (MATCH(688, 輔助計算!$E$2:$E$801, 0)+1))="","",INDEX(ERP資料!$F:$F, (MATCH(688, 輔助計算!$E$2:$E$801, 0)+1))), "")</f>
        <v/>
      </c>
      <c r="F689" s="10">
        <f>IFERROR(IF(INDEX(ERP資料!$G:$G, (MATCH(688, 輔助計算!$E$2:$E$801, 0)+1))="","",INDEX(ERP資料!$G:$G, (MATCH(688, 輔助計算!$E$2:$E$801, 0)+1))), "")</f>
        <v/>
      </c>
      <c r="G689" s="10">
        <f>IFERROR(IF(INDEX(ERP資料!$H:$H, (MATCH(688, 輔助計算!$E$2:$E$801, 0)+1))="","",INDEX(ERP資料!$H:$H, (MATCH(688, 輔助計算!$E$2:$E$801, 0)+1))), "")</f>
        <v/>
      </c>
      <c r="H689" s="15">
        <f>IFERROR(INDEX(輔助計算!$D:$D, (MATCH(688, 輔助計算!$E$2:$E$801, 0)+1)), "")</f>
        <v/>
      </c>
      <c r="I689" s="10">
        <f>IFERROR(IF(INDEX(ERP資料!$O:$O, (MATCH(688, 輔助計算!$E$2:$E$801, 0)+1))="","",INDEX(ERP資料!$O:$O, (MATCH(688, 輔助計算!$E$2:$E$801, 0)+1))), "")</f>
        <v/>
      </c>
      <c r="J689" s="15">
        <f>IFERROR(IF(INDEX(輔助計算!$D:$D,(MATCH(688, 輔助計算!$E$2:$E$801, 0)+1))="","",INDEX(輔助計算!$D:$D,(MATCH(688, 輔助計算!$E$2:$E$801, 0)+1))*INDEX(ERP資料!$O:$O,(MATCH(688, 輔助計算!$E$2:$E$801, 0)+1))), "")</f>
        <v/>
      </c>
      <c r="K689" s="16" t="n"/>
      <c r="L689" s="16" t="n"/>
      <c r="M689" s="17" t="n"/>
    </row>
    <row r="690">
      <c r="A690" s="14">
        <f>IFERROR(IF(INDEX(ERP資料!$B:$B, (MATCH(689, 輔助計算!$E$2:$E$801, 0)+1))="","",INDEX(ERP資料!$B:$B, (MATCH(689, 輔助計算!$E$2:$E$801, 0)+1))), "")</f>
        <v/>
      </c>
      <c r="B690" s="10">
        <f>IFERROR(IF(INDEX(ERP資料!$A:$A, (MATCH(689, 輔助計算!$E$2:$E$801, 0)+1))="","",INDEX(ERP資料!$A:$A, (MATCH(689, 輔助計算!$E$2:$E$801, 0)+1))), "")</f>
        <v/>
      </c>
      <c r="C690" s="10">
        <f>IFERROR(IF(INDEX(ERP資料!$S:$S, (MATCH(689, 輔助計算!$E$2:$E$801, 0)+1))="","",INDEX(ERP資料!$S:$S, (MATCH(689, 輔助計算!$E$2:$E$801, 0)+1))), "")</f>
        <v/>
      </c>
      <c r="D690" s="10">
        <f>IFERROR(IF(INDEX(ERP資料!$E:$E, (MATCH(689, 輔助計算!$E$2:$E$801, 0)+1))="","",TRIM(INDEX(ERP資料!$E:$E, (MATCH(689, 輔助計算!$E$2:$E$801, 0)+1)))), "")</f>
        <v/>
      </c>
      <c r="E690" s="10">
        <f>IFERROR(IF(INDEX(ERP資料!$F:$F, (MATCH(689, 輔助計算!$E$2:$E$801, 0)+1))="","",INDEX(ERP資料!$F:$F, (MATCH(689, 輔助計算!$E$2:$E$801, 0)+1))), "")</f>
        <v/>
      </c>
      <c r="F690" s="10">
        <f>IFERROR(IF(INDEX(ERP資料!$G:$G, (MATCH(689, 輔助計算!$E$2:$E$801, 0)+1))="","",INDEX(ERP資料!$G:$G, (MATCH(689, 輔助計算!$E$2:$E$801, 0)+1))), "")</f>
        <v/>
      </c>
      <c r="G690" s="10">
        <f>IFERROR(IF(INDEX(ERP資料!$H:$H, (MATCH(689, 輔助計算!$E$2:$E$801, 0)+1))="","",INDEX(ERP資料!$H:$H, (MATCH(689, 輔助計算!$E$2:$E$801, 0)+1))), "")</f>
        <v/>
      </c>
      <c r="H690" s="15">
        <f>IFERROR(INDEX(輔助計算!$D:$D, (MATCH(689, 輔助計算!$E$2:$E$801, 0)+1)), "")</f>
        <v/>
      </c>
      <c r="I690" s="10">
        <f>IFERROR(IF(INDEX(ERP資料!$O:$O, (MATCH(689, 輔助計算!$E$2:$E$801, 0)+1))="","",INDEX(ERP資料!$O:$O, (MATCH(689, 輔助計算!$E$2:$E$801, 0)+1))), "")</f>
        <v/>
      </c>
      <c r="J690" s="15">
        <f>IFERROR(IF(INDEX(輔助計算!$D:$D,(MATCH(689, 輔助計算!$E$2:$E$801, 0)+1))="","",INDEX(輔助計算!$D:$D,(MATCH(689, 輔助計算!$E$2:$E$801, 0)+1))*INDEX(ERP資料!$O:$O,(MATCH(689, 輔助計算!$E$2:$E$801, 0)+1))), "")</f>
        <v/>
      </c>
      <c r="K690" s="16" t="n"/>
      <c r="L690" s="16" t="n"/>
      <c r="M690" s="17" t="n"/>
    </row>
    <row r="691">
      <c r="A691" s="14">
        <f>IFERROR(IF(INDEX(ERP資料!$B:$B, (MATCH(690, 輔助計算!$E$2:$E$801, 0)+1))="","",INDEX(ERP資料!$B:$B, (MATCH(690, 輔助計算!$E$2:$E$801, 0)+1))), "")</f>
        <v/>
      </c>
      <c r="B691" s="10">
        <f>IFERROR(IF(INDEX(ERP資料!$A:$A, (MATCH(690, 輔助計算!$E$2:$E$801, 0)+1))="","",INDEX(ERP資料!$A:$A, (MATCH(690, 輔助計算!$E$2:$E$801, 0)+1))), "")</f>
        <v/>
      </c>
      <c r="C691" s="10">
        <f>IFERROR(IF(INDEX(ERP資料!$S:$S, (MATCH(690, 輔助計算!$E$2:$E$801, 0)+1))="","",INDEX(ERP資料!$S:$S, (MATCH(690, 輔助計算!$E$2:$E$801, 0)+1))), "")</f>
        <v/>
      </c>
      <c r="D691" s="10">
        <f>IFERROR(IF(INDEX(ERP資料!$E:$E, (MATCH(690, 輔助計算!$E$2:$E$801, 0)+1))="","",TRIM(INDEX(ERP資料!$E:$E, (MATCH(690, 輔助計算!$E$2:$E$801, 0)+1)))), "")</f>
        <v/>
      </c>
      <c r="E691" s="10">
        <f>IFERROR(IF(INDEX(ERP資料!$F:$F, (MATCH(690, 輔助計算!$E$2:$E$801, 0)+1))="","",INDEX(ERP資料!$F:$F, (MATCH(690, 輔助計算!$E$2:$E$801, 0)+1))), "")</f>
        <v/>
      </c>
      <c r="F691" s="10">
        <f>IFERROR(IF(INDEX(ERP資料!$G:$G, (MATCH(690, 輔助計算!$E$2:$E$801, 0)+1))="","",INDEX(ERP資料!$G:$G, (MATCH(690, 輔助計算!$E$2:$E$801, 0)+1))), "")</f>
        <v/>
      </c>
      <c r="G691" s="10">
        <f>IFERROR(IF(INDEX(ERP資料!$H:$H, (MATCH(690, 輔助計算!$E$2:$E$801, 0)+1))="","",INDEX(ERP資料!$H:$H, (MATCH(690, 輔助計算!$E$2:$E$801, 0)+1))), "")</f>
        <v/>
      </c>
      <c r="H691" s="15">
        <f>IFERROR(INDEX(輔助計算!$D:$D, (MATCH(690, 輔助計算!$E$2:$E$801, 0)+1)), "")</f>
        <v/>
      </c>
      <c r="I691" s="10">
        <f>IFERROR(IF(INDEX(ERP資料!$O:$O, (MATCH(690, 輔助計算!$E$2:$E$801, 0)+1))="","",INDEX(ERP資料!$O:$O, (MATCH(690, 輔助計算!$E$2:$E$801, 0)+1))), "")</f>
        <v/>
      </c>
      <c r="J691" s="15">
        <f>IFERROR(IF(INDEX(輔助計算!$D:$D,(MATCH(690, 輔助計算!$E$2:$E$801, 0)+1))="","",INDEX(輔助計算!$D:$D,(MATCH(690, 輔助計算!$E$2:$E$801, 0)+1))*INDEX(ERP資料!$O:$O,(MATCH(690, 輔助計算!$E$2:$E$801, 0)+1))), "")</f>
        <v/>
      </c>
      <c r="K691" s="16" t="n"/>
      <c r="L691" s="16" t="n"/>
      <c r="M691" s="17" t="n"/>
    </row>
    <row r="692">
      <c r="A692" s="14">
        <f>IFERROR(IF(INDEX(ERP資料!$B:$B, (MATCH(691, 輔助計算!$E$2:$E$801, 0)+1))="","",INDEX(ERP資料!$B:$B, (MATCH(691, 輔助計算!$E$2:$E$801, 0)+1))), "")</f>
        <v/>
      </c>
      <c r="B692" s="10">
        <f>IFERROR(IF(INDEX(ERP資料!$A:$A, (MATCH(691, 輔助計算!$E$2:$E$801, 0)+1))="","",INDEX(ERP資料!$A:$A, (MATCH(691, 輔助計算!$E$2:$E$801, 0)+1))), "")</f>
        <v/>
      </c>
      <c r="C692" s="10">
        <f>IFERROR(IF(INDEX(ERP資料!$S:$S, (MATCH(691, 輔助計算!$E$2:$E$801, 0)+1))="","",INDEX(ERP資料!$S:$S, (MATCH(691, 輔助計算!$E$2:$E$801, 0)+1))), "")</f>
        <v/>
      </c>
      <c r="D692" s="10">
        <f>IFERROR(IF(INDEX(ERP資料!$E:$E, (MATCH(691, 輔助計算!$E$2:$E$801, 0)+1))="","",TRIM(INDEX(ERP資料!$E:$E, (MATCH(691, 輔助計算!$E$2:$E$801, 0)+1)))), "")</f>
        <v/>
      </c>
      <c r="E692" s="10">
        <f>IFERROR(IF(INDEX(ERP資料!$F:$F, (MATCH(691, 輔助計算!$E$2:$E$801, 0)+1))="","",INDEX(ERP資料!$F:$F, (MATCH(691, 輔助計算!$E$2:$E$801, 0)+1))), "")</f>
        <v/>
      </c>
      <c r="F692" s="10">
        <f>IFERROR(IF(INDEX(ERP資料!$G:$G, (MATCH(691, 輔助計算!$E$2:$E$801, 0)+1))="","",INDEX(ERP資料!$G:$G, (MATCH(691, 輔助計算!$E$2:$E$801, 0)+1))), "")</f>
        <v/>
      </c>
      <c r="G692" s="10">
        <f>IFERROR(IF(INDEX(ERP資料!$H:$H, (MATCH(691, 輔助計算!$E$2:$E$801, 0)+1))="","",INDEX(ERP資料!$H:$H, (MATCH(691, 輔助計算!$E$2:$E$801, 0)+1))), "")</f>
        <v/>
      </c>
      <c r="H692" s="15">
        <f>IFERROR(INDEX(輔助計算!$D:$D, (MATCH(691, 輔助計算!$E$2:$E$801, 0)+1)), "")</f>
        <v/>
      </c>
      <c r="I692" s="10">
        <f>IFERROR(IF(INDEX(ERP資料!$O:$O, (MATCH(691, 輔助計算!$E$2:$E$801, 0)+1))="","",INDEX(ERP資料!$O:$O, (MATCH(691, 輔助計算!$E$2:$E$801, 0)+1))), "")</f>
        <v/>
      </c>
      <c r="J692" s="15">
        <f>IFERROR(IF(INDEX(輔助計算!$D:$D,(MATCH(691, 輔助計算!$E$2:$E$801, 0)+1))="","",INDEX(輔助計算!$D:$D,(MATCH(691, 輔助計算!$E$2:$E$801, 0)+1))*INDEX(ERP資料!$O:$O,(MATCH(691, 輔助計算!$E$2:$E$801, 0)+1))), "")</f>
        <v/>
      </c>
      <c r="K692" s="16" t="n"/>
      <c r="L692" s="16" t="n"/>
      <c r="M692" s="17" t="n"/>
    </row>
    <row r="693">
      <c r="A693" s="14">
        <f>IFERROR(IF(INDEX(ERP資料!$B:$B, (MATCH(692, 輔助計算!$E$2:$E$801, 0)+1))="","",INDEX(ERP資料!$B:$B, (MATCH(692, 輔助計算!$E$2:$E$801, 0)+1))), "")</f>
        <v/>
      </c>
      <c r="B693" s="10">
        <f>IFERROR(IF(INDEX(ERP資料!$A:$A, (MATCH(692, 輔助計算!$E$2:$E$801, 0)+1))="","",INDEX(ERP資料!$A:$A, (MATCH(692, 輔助計算!$E$2:$E$801, 0)+1))), "")</f>
        <v/>
      </c>
      <c r="C693" s="10">
        <f>IFERROR(IF(INDEX(ERP資料!$S:$S, (MATCH(692, 輔助計算!$E$2:$E$801, 0)+1))="","",INDEX(ERP資料!$S:$S, (MATCH(692, 輔助計算!$E$2:$E$801, 0)+1))), "")</f>
        <v/>
      </c>
      <c r="D693" s="10">
        <f>IFERROR(IF(INDEX(ERP資料!$E:$E, (MATCH(692, 輔助計算!$E$2:$E$801, 0)+1))="","",TRIM(INDEX(ERP資料!$E:$E, (MATCH(692, 輔助計算!$E$2:$E$801, 0)+1)))), "")</f>
        <v/>
      </c>
      <c r="E693" s="10">
        <f>IFERROR(IF(INDEX(ERP資料!$F:$F, (MATCH(692, 輔助計算!$E$2:$E$801, 0)+1))="","",INDEX(ERP資料!$F:$F, (MATCH(692, 輔助計算!$E$2:$E$801, 0)+1))), "")</f>
        <v/>
      </c>
      <c r="F693" s="10">
        <f>IFERROR(IF(INDEX(ERP資料!$G:$G, (MATCH(692, 輔助計算!$E$2:$E$801, 0)+1))="","",INDEX(ERP資料!$G:$G, (MATCH(692, 輔助計算!$E$2:$E$801, 0)+1))), "")</f>
        <v/>
      </c>
      <c r="G693" s="10">
        <f>IFERROR(IF(INDEX(ERP資料!$H:$H, (MATCH(692, 輔助計算!$E$2:$E$801, 0)+1))="","",INDEX(ERP資料!$H:$H, (MATCH(692, 輔助計算!$E$2:$E$801, 0)+1))), "")</f>
        <v/>
      </c>
      <c r="H693" s="15">
        <f>IFERROR(INDEX(輔助計算!$D:$D, (MATCH(692, 輔助計算!$E$2:$E$801, 0)+1)), "")</f>
        <v/>
      </c>
      <c r="I693" s="10">
        <f>IFERROR(IF(INDEX(ERP資料!$O:$O, (MATCH(692, 輔助計算!$E$2:$E$801, 0)+1))="","",INDEX(ERP資料!$O:$O, (MATCH(692, 輔助計算!$E$2:$E$801, 0)+1))), "")</f>
        <v/>
      </c>
      <c r="J693" s="15">
        <f>IFERROR(IF(INDEX(輔助計算!$D:$D,(MATCH(692, 輔助計算!$E$2:$E$801, 0)+1))="","",INDEX(輔助計算!$D:$D,(MATCH(692, 輔助計算!$E$2:$E$801, 0)+1))*INDEX(ERP資料!$O:$O,(MATCH(692, 輔助計算!$E$2:$E$801, 0)+1))), "")</f>
        <v/>
      </c>
      <c r="K693" s="16" t="n"/>
      <c r="L693" s="16" t="n"/>
      <c r="M693" s="17" t="n"/>
    </row>
    <row r="694">
      <c r="A694" s="14">
        <f>IFERROR(IF(INDEX(ERP資料!$B:$B, (MATCH(693, 輔助計算!$E$2:$E$801, 0)+1))="","",INDEX(ERP資料!$B:$B, (MATCH(693, 輔助計算!$E$2:$E$801, 0)+1))), "")</f>
        <v/>
      </c>
      <c r="B694" s="10">
        <f>IFERROR(IF(INDEX(ERP資料!$A:$A, (MATCH(693, 輔助計算!$E$2:$E$801, 0)+1))="","",INDEX(ERP資料!$A:$A, (MATCH(693, 輔助計算!$E$2:$E$801, 0)+1))), "")</f>
        <v/>
      </c>
      <c r="C694" s="10">
        <f>IFERROR(IF(INDEX(ERP資料!$S:$S, (MATCH(693, 輔助計算!$E$2:$E$801, 0)+1))="","",INDEX(ERP資料!$S:$S, (MATCH(693, 輔助計算!$E$2:$E$801, 0)+1))), "")</f>
        <v/>
      </c>
      <c r="D694" s="10">
        <f>IFERROR(IF(INDEX(ERP資料!$E:$E, (MATCH(693, 輔助計算!$E$2:$E$801, 0)+1))="","",TRIM(INDEX(ERP資料!$E:$E, (MATCH(693, 輔助計算!$E$2:$E$801, 0)+1)))), "")</f>
        <v/>
      </c>
      <c r="E694" s="10">
        <f>IFERROR(IF(INDEX(ERP資料!$F:$F, (MATCH(693, 輔助計算!$E$2:$E$801, 0)+1))="","",INDEX(ERP資料!$F:$F, (MATCH(693, 輔助計算!$E$2:$E$801, 0)+1))), "")</f>
        <v/>
      </c>
      <c r="F694" s="10">
        <f>IFERROR(IF(INDEX(ERP資料!$G:$G, (MATCH(693, 輔助計算!$E$2:$E$801, 0)+1))="","",INDEX(ERP資料!$G:$G, (MATCH(693, 輔助計算!$E$2:$E$801, 0)+1))), "")</f>
        <v/>
      </c>
      <c r="G694" s="10">
        <f>IFERROR(IF(INDEX(ERP資料!$H:$H, (MATCH(693, 輔助計算!$E$2:$E$801, 0)+1))="","",INDEX(ERP資料!$H:$H, (MATCH(693, 輔助計算!$E$2:$E$801, 0)+1))), "")</f>
        <v/>
      </c>
      <c r="H694" s="15">
        <f>IFERROR(INDEX(輔助計算!$D:$D, (MATCH(693, 輔助計算!$E$2:$E$801, 0)+1)), "")</f>
        <v/>
      </c>
      <c r="I694" s="10">
        <f>IFERROR(IF(INDEX(ERP資料!$O:$O, (MATCH(693, 輔助計算!$E$2:$E$801, 0)+1))="","",INDEX(ERP資料!$O:$O, (MATCH(693, 輔助計算!$E$2:$E$801, 0)+1))), "")</f>
        <v/>
      </c>
      <c r="J694" s="15">
        <f>IFERROR(IF(INDEX(輔助計算!$D:$D,(MATCH(693, 輔助計算!$E$2:$E$801, 0)+1))="","",INDEX(輔助計算!$D:$D,(MATCH(693, 輔助計算!$E$2:$E$801, 0)+1))*INDEX(ERP資料!$O:$O,(MATCH(693, 輔助計算!$E$2:$E$801, 0)+1))), "")</f>
        <v/>
      </c>
      <c r="K694" s="16" t="n"/>
      <c r="L694" s="16" t="n"/>
      <c r="M694" s="17" t="n"/>
    </row>
    <row r="695">
      <c r="A695" s="14">
        <f>IFERROR(IF(INDEX(ERP資料!$B:$B, (MATCH(694, 輔助計算!$E$2:$E$801, 0)+1))="","",INDEX(ERP資料!$B:$B, (MATCH(694, 輔助計算!$E$2:$E$801, 0)+1))), "")</f>
        <v/>
      </c>
      <c r="B695" s="10">
        <f>IFERROR(IF(INDEX(ERP資料!$A:$A, (MATCH(694, 輔助計算!$E$2:$E$801, 0)+1))="","",INDEX(ERP資料!$A:$A, (MATCH(694, 輔助計算!$E$2:$E$801, 0)+1))), "")</f>
        <v/>
      </c>
      <c r="C695" s="10">
        <f>IFERROR(IF(INDEX(ERP資料!$S:$S, (MATCH(694, 輔助計算!$E$2:$E$801, 0)+1))="","",INDEX(ERP資料!$S:$S, (MATCH(694, 輔助計算!$E$2:$E$801, 0)+1))), "")</f>
        <v/>
      </c>
      <c r="D695" s="10">
        <f>IFERROR(IF(INDEX(ERP資料!$E:$E, (MATCH(694, 輔助計算!$E$2:$E$801, 0)+1))="","",TRIM(INDEX(ERP資料!$E:$E, (MATCH(694, 輔助計算!$E$2:$E$801, 0)+1)))), "")</f>
        <v/>
      </c>
      <c r="E695" s="10">
        <f>IFERROR(IF(INDEX(ERP資料!$F:$F, (MATCH(694, 輔助計算!$E$2:$E$801, 0)+1))="","",INDEX(ERP資料!$F:$F, (MATCH(694, 輔助計算!$E$2:$E$801, 0)+1))), "")</f>
        <v/>
      </c>
      <c r="F695" s="10">
        <f>IFERROR(IF(INDEX(ERP資料!$G:$G, (MATCH(694, 輔助計算!$E$2:$E$801, 0)+1))="","",INDEX(ERP資料!$G:$G, (MATCH(694, 輔助計算!$E$2:$E$801, 0)+1))), "")</f>
        <v/>
      </c>
      <c r="G695" s="10">
        <f>IFERROR(IF(INDEX(ERP資料!$H:$H, (MATCH(694, 輔助計算!$E$2:$E$801, 0)+1))="","",INDEX(ERP資料!$H:$H, (MATCH(694, 輔助計算!$E$2:$E$801, 0)+1))), "")</f>
        <v/>
      </c>
      <c r="H695" s="15">
        <f>IFERROR(INDEX(輔助計算!$D:$D, (MATCH(694, 輔助計算!$E$2:$E$801, 0)+1)), "")</f>
        <v/>
      </c>
      <c r="I695" s="10">
        <f>IFERROR(IF(INDEX(ERP資料!$O:$O, (MATCH(694, 輔助計算!$E$2:$E$801, 0)+1))="","",INDEX(ERP資料!$O:$O, (MATCH(694, 輔助計算!$E$2:$E$801, 0)+1))), "")</f>
        <v/>
      </c>
      <c r="J695" s="15">
        <f>IFERROR(IF(INDEX(輔助計算!$D:$D,(MATCH(694, 輔助計算!$E$2:$E$801, 0)+1))="","",INDEX(輔助計算!$D:$D,(MATCH(694, 輔助計算!$E$2:$E$801, 0)+1))*INDEX(ERP資料!$O:$O,(MATCH(694, 輔助計算!$E$2:$E$801, 0)+1))), "")</f>
        <v/>
      </c>
      <c r="K695" s="16" t="n"/>
      <c r="L695" s="16" t="n"/>
      <c r="M695" s="17" t="n"/>
    </row>
    <row r="696">
      <c r="A696" s="14">
        <f>IFERROR(IF(INDEX(ERP資料!$B:$B, (MATCH(695, 輔助計算!$E$2:$E$801, 0)+1))="","",INDEX(ERP資料!$B:$B, (MATCH(695, 輔助計算!$E$2:$E$801, 0)+1))), "")</f>
        <v/>
      </c>
      <c r="B696" s="10">
        <f>IFERROR(IF(INDEX(ERP資料!$A:$A, (MATCH(695, 輔助計算!$E$2:$E$801, 0)+1))="","",INDEX(ERP資料!$A:$A, (MATCH(695, 輔助計算!$E$2:$E$801, 0)+1))), "")</f>
        <v/>
      </c>
      <c r="C696" s="10">
        <f>IFERROR(IF(INDEX(ERP資料!$S:$S, (MATCH(695, 輔助計算!$E$2:$E$801, 0)+1))="","",INDEX(ERP資料!$S:$S, (MATCH(695, 輔助計算!$E$2:$E$801, 0)+1))), "")</f>
        <v/>
      </c>
      <c r="D696" s="10">
        <f>IFERROR(IF(INDEX(ERP資料!$E:$E, (MATCH(695, 輔助計算!$E$2:$E$801, 0)+1))="","",TRIM(INDEX(ERP資料!$E:$E, (MATCH(695, 輔助計算!$E$2:$E$801, 0)+1)))), "")</f>
        <v/>
      </c>
      <c r="E696" s="10">
        <f>IFERROR(IF(INDEX(ERP資料!$F:$F, (MATCH(695, 輔助計算!$E$2:$E$801, 0)+1))="","",INDEX(ERP資料!$F:$F, (MATCH(695, 輔助計算!$E$2:$E$801, 0)+1))), "")</f>
        <v/>
      </c>
      <c r="F696" s="10">
        <f>IFERROR(IF(INDEX(ERP資料!$G:$G, (MATCH(695, 輔助計算!$E$2:$E$801, 0)+1))="","",INDEX(ERP資料!$G:$G, (MATCH(695, 輔助計算!$E$2:$E$801, 0)+1))), "")</f>
        <v/>
      </c>
      <c r="G696" s="10">
        <f>IFERROR(IF(INDEX(ERP資料!$H:$H, (MATCH(695, 輔助計算!$E$2:$E$801, 0)+1))="","",INDEX(ERP資料!$H:$H, (MATCH(695, 輔助計算!$E$2:$E$801, 0)+1))), "")</f>
        <v/>
      </c>
      <c r="H696" s="15">
        <f>IFERROR(INDEX(輔助計算!$D:$D, (MATCH(695, 輔助計算!$E$2:$E$801, 0)+1)), "")</f>
        <v/>
      </c>
      <c r="I696" s="10">
        <f>IFERROR(IF(INDEX(ERP資料!$O:$O, (MATCH(695, 輔助計算!$E$2:$E$801, 0)+1))="","",INDEX(ERP資料!$O:$O, (MATCH(695, 輔助計算!$E$2:$E$801, 0)+1))), "")</f>
        <v/>
      </c>
      <c r="J696" s="15">
        <f>IFERROR(IF(INDEX(輔助計算!$D:$D,(MATCH(695, 輔助計算!$E$2:$E$801, 0)+1))="","",INDEX(輔助計算!$D:$D,(MATCH(695, 輔助計算!$E$2:$E$801, 0)+1))*INDEX(ERP資料!$O:$O,(MATCH(695, 輔助計算!$E$2:$E$801, 0)+1))), "")</f>
        <v/>
      </c>
      <c r="K696" s="16" t="n"/>
      <c r="L696" s="16" t="n"/>
      <c r="M696" s="17" t="n"/>
    </row>
    <row r="697">
      <c r="A697" s="14">
        <f>IFERROR(IF(INDEX(ERP資料!$B:$B, (MATCH(696, 輔助計算!$E$2:$E$801, 0)+1))="","",INDEX(ERP資料!$B:$B, (MATCH(696, 輔助計算!$E$2:$E$801, 0)+1))), "")</f>
        <v/>
      </c>
      <c r="B697" s="10">
        <f>IFERROR(IF(INDEX(ERP資料!$A:$A, (MATCH(696, 輔助計算!$E$2:$E$801, 0)+1))="","",INDEX(ERP資料!$A:$A, (MATCH(696, 輔助計算!$E$2:$E$801, 0)+1))), "")</f>
        <v/>
      </c>
      <c r="C697" s="10">
        <f>IFERROR(IF(INDEX(ERP資料!$S:$S, (MATCH(696, 輔助計算!$E$2:$E$801, 0)+1))="","",INDEX(ERP資料!$S:$S, (MATCH(696, 輔助計算!$E$2:$E$801, 0)+1))), "")</f>
        <v/>
      </c>
      <c r="D697" s="10">
        <f>IFERROR(IF(INDEX(ERP資料!$E:$E, (MATCH(696, 輔助計算!$E$2:$E$801, 0)+1))="","",TRIM(INDEX(ERP資料!$E:$E, (MATCH(696, 輔助計算!$E$2:$E$801, 0)+1)))), "")</f>
        <v/>
      </c>
      <c r="E697" s="10">
        <f>IFERROR(IF(INDEX(ERP資料!$F:$F, (MATCH(696, 輔助計算!$E$2:$E$801, 0)+1))="","",INDEX(ERP資料!$F:$F, (MATCH(696, 輔助計算!$E$2:$E$801, 0)+1))), "")</f>
        <v/>
      </c>
      <c r="F697" s="10">
        <f>IFERROR(IF(INDEX(ERP資料!$G:$G, (MATCH(696, 輔助計算!$E$2:$E$801, 0)+1))="","",INDEX(ERP資料!$G:$G, (MATCH(696, 輔助計算!$E$2:$E$801, 0)+1))), "")</f>
        <v/>
      </c>
      <c r="G697" s="10">
        <f>IFERROR(IF(INDEX(ERP資料!$H:$H, (MATCH(696, 輔助計算!$E$2:$E$801, 0)+1))="","",INDEX(ERP資料!$H:$H, (MATCH(696, 輔助計算!$E$2:$E$801, 0)+1))), "")</f>
        <v/>
      </c>
      <c r="H697" s="15">
        <f>IFERROR(INDEX(輔助計算!$D:$D, (MATCH(696, 輔助計算!$E$2:$E$801, 0)+1)), "")</f>
        <v/>
      </c>
      <c r="I697" s="10">
        <f>IFERROR(IF(INDEX(ERP資料!$O:$O, (MATCH(696, 輔助計算!$E$2:$E$801, 0)+1))="","",INDEX(ERP資料!$O:$O, (MATCH(696, 輔助計算!$E$2:$E$801, 0)+1))), "")</f>
        <v/>
      </c>
      <c r="J697" s="15">
        <f>IFERROR(IF(INDEX(輔助計算!$D:$D,(MATCH(696, 輔助計算!$E$2:$E$801, 0)+1))="","",INDEX(輔助計算!$D:$D,(MATCH(696, 輔助計算!$E$2:$E$801, 0)+1))*INDEX(ERP資料!$O:$O,(MATCH(696, 輔助計算!$E$2:$E$801, 0)+1))), "")</f>
        <v/>
      </c>
      <c r="K697" s="16" t="n"/>
      <c r="L697" s="16" t="n"/>
      <c r="M697" s="17" t="n"/>
    </row>
    <row r="698">
      <c r="A698" s="14">
        <f>IFERROR(IF(INDEX(ERP資料!$B:$B, (MATCH(697, 輔助計算!$E$2:$E$801, 0)+1))="","",INDEX(ERP資料!$B:$B, (MATCH(697, 輔助計算!$E$2:$E$801, 0)+1))), "")</f>
        <v/>
      </c>
      <c r="B698" s="10">
        <f>IFERROR(IF(INDEX(ERP資料!$A:$A, (MATCH(697, 輔助計算!$E$2:$E$801, 0)+1))="","",INDEX(ERP資料!$A:$A, (MATCH(697, 輔助計算!$E$2:$E$801, 0)+1))), "")</f>
        <v/>
      </c>
      <c r="C698" s="10">
        <f>IFERROR(IF(INDEX(ERP資料!$S:$S, (MATCH(697, 輔助計算!$E$2:$E$801, 0)+1))="","",INDEX(ERP資料!$S:$S, (MATCH(697, 輔助計算!$E$2:$E$801, 0)+1))), "")</f>
        <v/>
      </c>
      <c r="D698" s="10">
        <f>IFERROR(IF(INDEX(ERP資料!$E:$E, (MATCH(697, 輔助計算!$E$2:$E$801, 0)+1))="","",TRIM(INDEX(ERP資料!$E:$E, (MATCH(697, 輔助計算!$E$2:$E$801, 0)+1)))), "")</f>
        <v/>
      </c>
      <c r="E698" s="10">
        <f>IFERROR(IF(INDEX(ERP資料!$F:$F, (MATCH(697, 輔助計算!$E$2:$E$801, 0)+1))="","",INDEX(ERP資料!$F:$F, (MATCH(697, 輔助計算!$E$2:$E$801, 0)+1))), "")</f>
        <v/>
      </c>
      <c r="F698" s="10">
        <f>IFERROR(IF(INDEX(ERP資料!$G:$G, (MATCH(697, 輔助計算!$E$2:$E$801, 0)+1))="","",INDEX(ERP資料!$G:$G, (MATCH(697, 輔助計算!$E$2:$E$801, 0)+1))), "")</f>
        <v/>
      </c>
      <c r="G698" s="10">
        <f>IFERROR(IF(INDEX(ERP資料!$H:$H, (MATCH(697, 輔助計算!$E$2:$E$801, 0)+1))="","",INDEX(ERP資料!$H:$H, (MATCH(697, 輔助計算!$E$2:$E$801, 0)+1))), "")</f>
        <v/>
      </c>
      <c r="H698" s="15">
        <f>IFERROR(INDEX(輔助計算!$D:$D, (MATCH(697, 輔助計算!$E$2:$E$801, 0)+1)), "")</f>
        <v/>
      </c>
      <c r="I698" s="10">
        <f>IFERROR(IF(INDEX(ERP資料!$O:$O, (MATCH(697, 輔助計算!$E$2:$E$801, 0)+1))="","",INDEX(ERP資料!$O:$O, (MATCH(697, 輔助計算!$E$2:$E$801, 0)+1))), "")</f>
        <v/>
      </c>
      <c r="J698" s="15">
        <f>IFERROR(IF(INDEX(輔助計算!$D:$D,(MATCH(697, 輔助計算!$E$2:$E$801, 0)+1))="","",INDEX(輔助計算!$D:$D,(MATCH(697, 輔助計算!$E$2:$E$801, 0)+1))*INDEX(ERP資料!$O:$O,(MATCH(697, 輔助計算!$E$2:$E$801, 0)+1))), "")</f>
        <v/>
      </c>
      <c r="K698" s="16" t="n"/>
      <c r="L698" s="16" t="n"/>
      <c r="M698" s="17" t="n"/>
    </row>
    <row r="699">
      <c r="A699" s="14">
        <f>IFERROR(IF(INDEX(ERP資料!$B:$B, (MATCH(698, 輔助計算!$E$2:$E$801, 0)+1))="","",INDEX(ERP資料!$B:$B, (MATCH(698, 輔助計算!$E$2:$E$801, 0)+1))), "")</f>
        <v/>
      </c>
      <c r="B699" s="10">
        <f>IFERROR(IF(INDEX(ERP資料!$A:$A, (MATCH(698, 輔助計算!$E$2:$E$801, 0)+1))="","",INDEX(ERP資料!$A:$A, (MATCH(698, 輔助計算!$E$2:$E$801, 0)+1))), "")</f>
        <v/>
      </c>
      <c r="C699" s="10">
        <f>IFERROR(IF(INDEX(ERP資料!$S:$S, (MATCH(698, 輔助計算!$E$2:$E$801, 0)+1))="","",INDEX(ERP資料!$S:$S, (MATCH(698, 輔助計算!$E$2:$E$801, 0)+1))), "")</f>
        <v/>
      </c>
      <c r="D699" s="10">
        <f>IFERROR(IF(INDEX(ERP資料!$E:$E, (MATCH(698, 輔助計算!$E$2:$E$801, 0)+1))="","",TRIM(INDEX(ERP資料!$E:$E, (MATCH(698, 輔助計算!$E$2:$E$801, 0)+1)))), "")</f>
        <v/>
      </c>
      <c r="E699" s="10">
        <f>IFERROR(IF(INDEX(ERP資料!$F:$F, (MATCH(698, 輔助計算!$E$2:$E$801, 0)+1))="","",INDEX(ERP資料!$F:$F, (MATCH(698, 輔助計算!$E$2:$E$801, 0)+1))), "")</f>
        <v/>
      </c>
      <c r="F699" s="10">
        <f>IFERROR(IF(INDEX(ERP資料!$G:$G, (MATCH(698, 輔助計算!$E$2:$E$801, 0)+1))="","",INDEX(ERP資料!$G:$G, (MATCH(698, 輔助計算!$E$2:$E$801, 0)+1))), "")</f>
        <v/>
      </c>
      <c r="G699" s="10">
        <f>IFERROR(IF(INDEX(ERP資料!$H:$H, (MATCH(698, 輔助計算!$E$2:$E$801, 0)+1))="","",INDEX(ERP資料!$H:$H, (MATCH(698, 輔助計算!$E$2:$E$801, 0)+1))), "")</f>
        <v/>
      </c>
      <c r="H699" s="15">
        <f>IFERROR(INDEX(輔助計算!$D:$D, (MATCH(698, 輔助計算!$E$2:$E$801, 0)+1)), "")</f>
        <v/>
      </c>
      <c r="I699" s="10">
        <f>IFERROR(IF(INDEX(ERP資料!$O:$O, (MATCH(698, 輔助計算!$E$2:$E$801, 0)+1))="","",INDEX(ERP資料!$O:$O, (MATCH(698, 輔助計算!$E$2:$E$801, 0)+1))), "")</f>
        <v/>
      </c>
      <c r="J699" s="15">
        <f>IFERROR(IF(INDEX(輔助計算!$D:$D,(MATCH(698, 輔助計算!$E$2:$E$801, 0)+1))="","",INDEX(輔助計算!$D:$D,(MATCH(698, 輔助計算!$E$2:$E$801, 0)+1))*INDEX(ERP資料!$O:$O,(MATCH(698, 輔助計算!$E$2:$E$801, 0)+1))), "")</f>
        <v/>
      </c>
      <c r="K699" s="16" t="n"/>
      <c r="L699" s="16" t="n"/>
      <c r="M699" s="17" t="n"/>
    </row>
    <row r="700">
      <c r="A700" s="14">
        <f>IFERROR(IF(INDEX(ERP資料!$B:$B, (MATCH(699, 輔助計算!$E$2:$E$801, 0)+1))="","",INDEX(ERP資料!$B:$B, (MATCH(699, 輔助計算!$E$2:$E$801, 0)+1))), "")</f>
        <v/>
      </c>
      <c r="B700" s="10">
        <f>IFERROR(IF(INDEX(ERP資料!$A:$A, (MATCH(699, 輔助計算!$E$2:$E$801, 0)+1))="","",INDEX(ERP資料!$A:$A, (MATCH(699, 輔助計算!$E$2:$E$801, 0)+1))), "")</f>
        <v/>
      </c>
      <c r="C700" s="10">
        <f>IFERROR(IF(INDEX(ERP資料!$S:$S, (MATCH(699, 輔助計算!$E$2:$E$801, 0)+1))="","",INDEX(ERP資料!$S:$S, (MATCH(699, 輔助計算!$E$2:$E$801, 0)+1))), "")</f>
        <v/>
      </c>
      <c r="D700" s="10">
        <f>IFERROR(IF(INDEX(ERP資料!$E:$E, (MATCH(699, 輔助計算!$E$2:$E$801, 0)+1))="","",TRIM(INDEX(ERP資料!$E:$E, (MATCH(699, 輔助計算!$E$2:$E$801, 0)+1)))), "")</f>
        <v/>
      </c>
      <c r="E700" s="10">
        <f>IFERROR(IF(INDEX(ERP資料!$F:$F, (MATCH(699, 輔助計算!$E$2:$E$801, 0)+1))="","",INDEX(ERP資料!$F:$F, (MATCH(699, 輔助計算!$E$2:$E$801, 0)+1))), "")</f>
        <v/>
      </c>
      <c r="F700" s="10">
        <f>IFERROR(IF(INDEX(ERP資料!$G:$G, (MATCH(699, 輔助計算!$E$2:$E$801, 0)+1))="","",INDEX(ERP資料!$G:$G, (MATCH(699, 輔助計算!$E$2:$E$801, 0)+1))), "")</f>
        <v/>
      </c>
      <c r="G700" s="10">
        <f>IFERROR(IF(INDEX(ERP資料!$H:$H, (MATCH(699, 輔助計算!$E$2:$E$801, 0)+1))="","",INDEX(ERP資料!$H:$H, (MATCH(699, 輔助計算!$E$2:$E$801, 0)+1))), "")</f>
        <v/>
      </c>
      <c r="H700" s="15">
        <f>IFERROR(INDEX(輔助計算!$D:$D, (MATCH(699, 輔助計算!$E$2:$E$801, 0)+1)), "")</f>
        <v/>
      </c>
      <c r="I700" s="10">
        <f>IFERROR(IF(INDEX(ERP資料!$O:$O, (MATCH(699, 輔助計算!$E$2:$E$801, 0)+1))="","",INDEX(ERP資料!$O:$O, (MATCH(699, 輔助計算!$E$2:$E$801, 0)+1))), "")</f>
        <v/>
      </c>
      <c r="J700" s="15">
        <f>IFERROR(IF(INDEX(輔助計算!$D:$D,(MATCH(699, 輔助計算!$E$2:$E$801, 0)+1))="","",INDEX(輔助計算!$D:$D,(MATCH(699, 輔助計算!$E$2:$E$801, 0)+1))*INDEX(ERP資料!$O:$O,(MATCH(699, 輔助計算!$E$2:$E$801, 0)+1))), "")</f>
        <v/>
      </c>
      <c r="K700" s="16" t="n"/>
      <c r="L700" s="16" t="n"/>
      <c r="M700" s="17" t="n"/>
    </row>
    <row r="701">
      <c r="A701" s="14">
        <f>IFERROR(IF(INDEX(ERP資料!$B:$B, (MATCH(700, 輔助計算!$E$2:$E$801, 0)+1))="","",INDEX(ERP資料!$B:$B, (MATCH(700, 輔助計算!$E$2:$E$801, 0)+1))), "")</f>
        <v/>
      </c>
      <c r="B701" s="10">
        <f>IFERROR(IF(INDEX(ERP資料!$A:$A, (MATCH(700, 輔助計算!$E$2:$E$801, 0)+1))="","",INDEX(ERP資料!$A:$A, (MATCH(700, 輔助計算!$E$2:$E$801, 0)+1))), "")</f>
        <v/>
      </c>
      <c r="C701" s="10">
        <f>IFERROR(IF(INDEX(ERP資料!$S:$S, (MATCH(700, 輔助計算!$E$2:$E$801, 0)+1))="","",INDEX(ERP資料!$S:$S, (MATCH(700, 輔助計算!$E$2:$E$801, 0)+1))), "")</f>
        <v/>
      </c>
      <c r="D701" s="10">
        <f>IFERROR(IF(INDEX(ERP資料!$E:$E, (MATCH(700, 輔助計算!$E$2:$E$801, 0)+1))="","",TRIM(INDEX(ERP資料!$E:$E, (MATCH(700, 輔助計算!$E$2:$E$801, 0)+1)))), "")</f>
        <v/>
      </c>
      <c r="E701" s="10">
        <f>IFERROR(IF(INDEX(ERP資料!$F:$F, (MATCH(700, 輔助計算!$E$2:$E$801, 0)+1))="","",INDEX(ERP資料!$F:$F, (MATCH(700, 輔助計算!$E$2:$E$801, 0)+1))), "")</f>
        <v/>
      </c>
      <c r="F701" s="10">
        <f>IFERROR(IF(INDEX(ERP資料!$G:$G, (MATCH(700, 輔助計算!$E$2:$E$801, 0)+1))="","",INDEX(ERP資料!$G:$G, (MATCH(700, 輔助計算!$E$2:$E$801, 0)+1))), "")</f>
        <v/>
      </c>
      <c r="G701" s="10">
        <f>IFERROR(IF(INDEX(ERP資料!$H:$H, (MATCH(700, 輔助計算!$E$2:$E$801, 0)+1))="","",INDEX(ERP資料!$H:$H, (MATCH(700, 輔助計算!$E$2:$E$801, 0)+1))), "")</f>
        <v/>
      </c>
      <c r="H701" s="15">
        <f>IFERROR(INDEX(輔助計算!$D:$D, (MATCH(700, 輔助計算!$E$2:$E$801, 0)+1)), "")</f>
        <v/>
      </c>
      <c r="I701" s="10">
        <f>IFERROR(IF(INDEX(ERP資料!$O:$O, (MATCH(700, 輔助計算!$E$2:$E$801, 0)+1))="","",INDEX(ERP資料!$O:$O, (MATCH(700, 輔助計算!$E$2:$E$801, 0)+1))), "")</f>
        <v/>
      </c>
      <c r="J701" s="15">
        <f>IFERROR(IF(INDEX(輔助計算!$D:$D,(MATCH(700, 輔助計算!$E$2:$E$801, 0)+1))="","",INDEX(輔助計算!$D:$D,(MATCH(700, 輔助計算!$E$2:$E$801, 0)+1))*INDEX(ERP資料!$O:$O,(MATCH(700, 輔助計算!$E$2:$E$801, 0)+1))), "")</f>
        <v/>
      </c>
      <c r="K701" s="16" t="n"/>
      <c r="L701" s="16" t="n"/>
      <c r="M701" s="17" t="n"/>
    </row>
    <row r="702">
      <c r="A702" s="14">
        <f>IFERROR(IF(INDEX(ERP資料!$B:$B, (MATCH(701, 輔助計算!$E$2:$E$801, 0)+1))="","",INDEX(ERP資料!$B:$B, (MATCH(701, 輔助計算!$E$2:$E$801, 0)+1))), "")</f>
        <v/>
      </c>
      <c r="B702" s="10">
        <f>IFERROR(IF(INDEX(ERP資料!$A:$A, (MATCH(701, 輔助計算!$E$2:$E$801, 0)+1))="","",INDEX(ERP資料!$A:$A, (MATCH(701, 輔助計算!$E$2:$E$801, 0)+1))), "")</f>
        <v/>
      </c>
      <c r="C702" s="10">
        <f>IFERROR(IF(INDEX(ERP資料!$S:$S, (MATCH(701, 輔助計算!$E$2:$E$801, 0)+1))="","",INDEX(ERP資料!$S:$S, (MATCH(701, 輔助計算!$E$2:$E$801, 0)+1))), "")</f>
        <v/>
      </c>
      <c r="D702" s="10">
        <f>IFERROR(IF(INDEX(ERP資料!$E:$E, (MATCH(701, 輔助計算!$E$2:$E$801, 0)+1))="","",TRIM(INDEX(ERP資料!$E:$E, (MATCH(701, 輔助計算!$E$2:$E$801, 0)+1)))), "")</f>
        <v/>
      </c>
      <c r="E702" s="10">
        <f>IFERROR(IF(INDEX(ERP資料!$F:$F, (MATCH(701, 輔助計算!$E$2:$E$801, 0)+1))="","",INDEX(ERP資料!$F:$F, (MATCH(701, 輔助計算!$E$2:$E$801, 0)+1))), "")</f>
        <v/>
      </c>
      <c r="F702" s="10">
        <f>IFERROR(IF(INDEX(ERP資料!$G:$G, (MATCH(701, 輔助計算!$E$2:$E$801, 0)+1))="","",INDEX(ERP資料!$G:$G, (MATCH(701, 輔助計算!$E$2:$E$801, 0)+1))), "")</f>
        <v/>
      </c>
      <c r="G702" s="10">
        <f>IFERROR(IF(INDEX(ERP資料!$H:$H, (MATCH(701, 輔助計算!$E$2:$E$801, 0)+1))="","",INDEX(ERP資料!$H:$H, (MATCH(701, 輔助計算!$E$2:$E$801, 0)+1))), "")</f>
        <v/>
      </c>
      <c r="H702" s="15">
        <f>IFERROR(INDEX(輔助計算!$D:$D, (MATCH(701, 輔助計算!$E$2:$E$801, 0)+1)), "")</f>
        <v/>
      </c>
      <c r="I702" s="10">
        <f>IFERROR(IF(INDEX(ERP資料!$O:$O, (MATCH(701, 輔助計算!$E$2:$E$801, 0)+1))="","",INDEX(ERP資料!$O:$O, (MATCH(701, 輔助計算!$E$2:$E$801, 0)+1))), "")</f>
        <v/>
      </c>
      <c r="J702" s="15">
        <f>IFERROR(IF(INDEX(輔助計算!$D:$D,(MATCH(701, 輔助計算!$E$2:$E$801, 0)+1))="","",INDEX(輔助計算!$D:$D,(MATCH(701, 輔助計算!$E$2:$E$801, 0)+1))*INDEX(ERP資料!$O:$O,(MATCH(701, 輔助計算!$E$2:$E$801, 0)+1))), "")</f>
        <v/>
      </c>
      <c r="K702" s="16" t="n"/>
      <c r="L702" s="16" t="n"/>
      <c r="M702" s="17" t="n"/>
    </row>
    <row r="703">
      <c r="A703" s="14">
        <f>IFERROR(IF(INDEX(ERP資料!$B:$B, (MATCH(702, 輔助計算!$E$2:$E$801, 0)+1))="","",INDEX(ERP資料!$B:$B, (MATCH(702, 輔助計算!$E$2:$E$801, 0)+1))), "")</f>
        <v/>
      </c>
      <c r="B703" s="10">
        <f>IFERROR(IF(INDEX(ERP資料!$A:$A, (MATCH(702, 輔助計算!$E$2:$E$801, 0)+1))="","",INDEX(ERP資料!$A:$A, (MATCH(702, 輔助計算!$E$2:$E$801, 0)+1))), "")</f>
        <v/>
      </c>
      <c r="C703" s="10">
        <f>IFERROR(IF(INDEX(ERP資料!$S:$S, (MATCH(702, 輔助計算!$E$2:$E$801, 0)+1))="","",INDEX(ERP資料!$S:$S, (MATCH(702, 輔助計算!$E$2:$E$801, 0)+1))), "")</f>
        <v/>
      </c>
      <c r="D703" s="10">
        <f>IFERROR(IF(INDEX(ERP資料!$E:$E, (MATCH(702, 輔助計算!$E$2:$E$801, 0)+1))="","",TRIM(INDEX(ERP資料!$E:$E, (MATCH(702, 輔助計算!$E$2:$E$801, 0)+1)))), "")</f>
        <v/>
      </c>
      <c r="E703" s="10">
        <f>IFERROR(IF(INDEX(ERP資料!$F:$F, (MATCH(702, 輔助計算!$E$2:$E$801, 0)+1))="","",INDEX(ERP資料!$F:$F, (MATCH(702, 輔助計算!$E$2:$E$801, 0)+1))), "")</f>
        <v/>
      </c>
      <c r="F703" s="10">
        <f>IFERROR(IF(INDEX(ERP資料!$G:$G, (MATCH(702, 輔助計算!$E$2:$E$801, 0)+1))="","",INDEX(ERP資料!$G:$G, (MATCH(702, 輔助計算!$E$2:$E$801, 0)+1))), "")</f>
        <v/>
      </c>
      <c r="G703" s="10">
        <f>IFERROR(IF(INDEX(ERP資料!$H:$H, (MATCH(702, 輔助計算!$E$2:$E$801, 0)+1))="","",INDEX(ERP資料!$H:$H, (MATCH(702, 輔助計算!$E$2:$E$801, 0)+1))), "")</f>
        <v/>
      </c>
      <c r="H703" s="15">
        <f>IFERROR(INDEX(輔助計算!$D:$D, (MATCH(702, 輔助計算!$E$2:$E$801, 0)+1)), "")</f>
        <v/>
      </c>
      <c r="I703" s="10">
        <f>IFERROR(IF(INDEX(ERP資料!$O:$O, (MATCH(702, 輔助計算!$E$2:$E$801, 0)+1))="","",INDEX(ERP資料!$O:$O, (MATCH(702, 輔助計算!$E$2:$E$801, 0)+1))), "")</f>
        <v/>
      </c>
      <c r="J703" s="15">
        <f>IFERROR(IF(INDEX(輔助計算!$D:$D,(MATCH(702, 輔助計算!$E$2:$E$801, 0)+1))="","",INDEX(輔助計算!$D:$D,(MATCH(702, 輔助計算!$E$2:$E$801, 0)+1))*INDEX(ERP資料!$O:$O,(MATCH(702, 輔助計算!$E$2:$E$801, 0)+1))), "")</f>
        <v/>
      </c>
      <c r="K703" s="16" t="n"/>
      <c r="L703" s="16" t="n"/>
      <c r="M703" s="17" t="n"/>
    </row>
    <row r="704">
      <c r="A704" s="14">
        <f>IFERROR(IF(INDEX(ERP資料!$B:$B, (MATCH(703, 輔助計算!$E$2:$E$801, 0)+1))="","",INDEX(ERP資料!$B:$B, (MATCH(703, 輔助計算!$E$2:$E$801, 0)+1))), "")</f>
        <v/>
      </c>
      <c r="B704" s="10">
        <f>IFERROR(IF(INDEX(ERP資料!$A:$A, (MATCH(703, 輔助計算!$E$2:$E$801, 0)+1))="","",INDEX(ERP資料!$A:$A, (MATCH(703, 輔助計算!$E$2:$E$801, 0)+1))), "")</f>
        <v/>
      </c>
      <c r="C704" s="10">
        <f>IFERROR(IF(INDEX(ERP資料!$S:$S, (MATCH(703, 輔助計算!$E$2:$E$801, 0)+1))="","",INDEX(ERP資料!$S:$S, (MATCH(703, 輔助計算!$E$2:$E$801, 0)+1))), "")</f>
        <v/>
      </c>
      <c r="D704" s="10">
        <f>IFERROR(IF(INDEX(ERP資料!$E:$E, (MATCH(703, 輔助計算!$E$2:$E$801, 0)+1))="","",TRIM(INDEX(ERP資料!$E:$E, (MATCH(703, 輔助計算!$E$2:$E$801, 0)+1)))), "")</f>
        <v/>
      </c>
      <c r="E704" s="10">
        <f>IFERROR(IF(INDEX(ERP資料!$F:$F, (MATCH(703, 輔助計算!$E$2:$E$801, 0)+1))="","",INDEX(ERP資料!$F:$F, (MATCH(703, 輔助計算!$E$2:$E$801, 0)+1))), "")</f>
        <v/>
      </c>
      <c r="F704" s="10">
        <f>IFERROR(IF(INDEX(ERP資料!$G:$G, (MATCH(703, 輔助計算!$E$2:$E$801, 0)+1))="","",INDEX(ERP資料!$G:$G, (MATCH(703, 輔助計算!$E$2:$E$801, 0)+1))), "")</f>
        <v/>
      </c>
      <c r="G704" s="10">
        <f>IFERROR(IF(INDEX(ERP資料!$H:$H, (MATCH(703, 輔助計算!$E$2:$E$801, 0)+1))="","",INDEX(ERP資料!$H:$H, (MATCH(703, 輔助計算!$E$2:$E$801, 0)+1))), "")</f>
        <v/>
      </c>
      <c r="H704" s="15">
        <f>IFERROR(INDEX(輔助計算!$D:$D, (MATCH(703, 輔助計算!$E$2:$E$801, 0)+1)), "")</f>
        <v/>
      </c>
      <c r="I704" s="10">
        <f>IFERROR(IF(INDEX(ERP資料!$O:$O, (MATCH(703, 輔助計算!$E$2:$E$801, 0)+1))="","",INDEX(ERP資料!$O:$O, (MATCH(703, 輔助計算!$E$2:$E$801, 0)+1))), "")</f>
        <v/>
      </c>
      <c r="J704" s="15">
        <f>IFERROR(IF(INDEX(輔助計算!$D:$D,(MATCH(703, 輔助計算!$E$2:$E$801, 0)+1))="","",INDEX(輔助計算!$D:$D,(MATCH(703, 輔助計算!$E$2:$E$801, 0)+1))*INDEX(ERP資料!$O:$O,(MATCH(703, 輔助計算!$E$2:$E$801, 0)+1))), "")</f>
        <v/>
      </c>
      <c r="K704" s="16" t="n"/>
      <c r="L704" s="16" t="n"/>
      <c r="M704" s="17" t="n"/>
    </row>
    <row r="705">
      <c r="A705" s="14">
        <f>IFERROR(IF(INDEX(ERP資料!$B:$B, (MATCH(704, 輔助計算!$E$2:$E$801, 0)+1))="","",INDEX(ERP資料!$B:$B, (MATCH(704, 輔助計算!$E$2:$E$801, 0)+1))), "")</f>
        <v/>
      </c>
      <c r="B705" s="10">
        <f>IFERROR(IF(INDEX(ERP資料!$A:$A, (MATCH(704, 輔助計算!$E$2:$E$801, 0)+1))="","",INDEX(ERP資料!$A:$A, (MATCH(704, 輔助計算!$E$2:$E$801, 0)+1))), "")</f>
        <v/>
      </c>
      <c r="C705" s="10">
        <f>IFERROR(IF(INDEX(ERP資料!$S:$S, (MATCH(704, 輔助計算!$E$2:$E$801, 0)+1))="","",INDEX(ERP資料!$S:$S, (MATCH(704, 輔助計算!$E$2:$E$801, 0)+1))), "")</f>
        <v/>
      </c>
      <c r="D705" s="10">
        <f>IFERROR(IF(INDEX(ERP資料!$E:$E, (MATCH(704, 輔助計算!$E$2:$E$801, 0)+1))="","",TRIM(INDEX(ERP資料!$E:$E, (MATCH(704, 輔助計算!$E$2:$E$801, 0)+1)))), "")</f>
        <v/>
      </c>
      <c r="E705" s="10">
        <f>IFERROR(IF(INDEX(ERP資料!$F:$F, (MATCH(704, 輔助計算!$E$2:$E$801, 0)+1))="","",INDEX(ERP資料!$F:$F, (MATCH(704, 輔助計算!$E$2:$E$801, 0)+1))), "")</f>
        <v/>
      </c>
      <c r="F705" s="10">
        <f>IFERROR(IF(INDEX(ERP資料!$G:$G, (MATCH(704, 輔助計算!$E$2:$E$801, 0)+1))="","",INDEX(ERP資料!$G:$G, (MATCH(704, 輔助計算!$E$2:$E$801, 0)+1))), "")</f>
        <v/>
      </c>
      <c r="G705" s="10">
        <f>IFERROR(IF(INDEX(ERP資料!$H:$H, (MATCH(704, 輔助計算!$E$2:$E$801, 0)+1))="","",INDEX(ERP資料!$H:$H, (MATCH(704, 輔助計算!$E$2:$E$801, 0)+1))), "")</f>
        <v/>
      </c>
      <c r="H705" s="15">
        <f>IFERROR(INDEX(輔助計算!$D:$D, (MATCH(704, 輔助計算!$E$2:$E$801, 0)+1)), "")</f>
        <v/>
      </c>
      <c r="I705" s="10">
        <f>IFERROR(IF(INDEX(ERP資料!$O:$O, (MATCH(704, 輔助計算!$E$2:$E$801, 0)+1))="","",INDEX(ERP資料!$O:$O, (MATCH(704, 輔助計算!$E$2:$E$801, 0)+1))), "")</f>
        <v/>
      </c>
      <c r="J705" s="15">
        <f>IFERROR(IF(INDEX(輔助計算!$D:$D,(MATCH(704, 輔助計算!$E$2:$E$801, 0)+1))="","",INDEX(輔助計算!$D:$D,(MATCH(704, 輔助計算!$E$2:$E$801, 0)+1))*INDEX(ERP資料!$O:$O,(MATCH(704, 輔助計算!$E$2:$E$801, 0)+1))), "")</f>
        <v/>
      </c>
      <c r="K705" s="16" t="n"/>
      <c r="L705" s="16" t="n"/>
      <c r="M705" s="17" t="n"/>
    </row>
    <row r="706">
      <c r="A706" s="14">
        <f>IFERROR(IF(INDEX(ERP資料!$B:$B, (MATCH(705, 輔助計算!$E$2:$E$801, 0)+1))="","",INDEX(ERP資料!$B:$B, (MATCH(705, 輔助計算!$E$2:$E$801, 0)+1))), "")</f>
        <v/>
      </c>
      <c r="B706" s="10">
        <f>IFERROR(IF(INDEX(ERP資料!$A:$A, (MATCH(705, 輔助計算!$E$2:$E$801, 0)+1))="","",INDEX(ERP資料!$A:$A, (MATCH(705, 輔助計算!$E$2:$E$801, 0)+1))), "")</f>
        <v/>
      </c>
      <c r="C706" s="10">
        <f>IFERROR(IF(INDEX(ERP資料!$S:$S, (MATCH(705, 輔助計算!$E$2:$E$801, 0)+1))="","",INDEX(ERP資料!$S:$S, (MATCH(705, 輔助計算!$E$2:$E$801, 0)+1))), "")</f>
        <v/>
      </c>
      <c r="D706" s="10">
        <f>IFERROR(IF(INDEX(ERP資料!$E:$E, (MATCH(705, 輔助計算!$E$2:$E$801, 0)+1))="","",TRIM(INDEX(ERP資料!$E:$E, (MATCH(705, 輔助計算!$E$2:$E$801, 0)+1)))), "")</f>
        <v/>
      </c>
      <c r="E706" s="10">
        <f>IFERROR(IF(INDEX(ERP資料!$F:$F, (MATCH(705, 輔助計算!$E$2:$E$801, 0)+1))="","",INDEX(ERP資料!$F:$F, (MATCH(705, 輔助計算!$E$2:$E$801, 0)+1))), "")</f>
        <v/>
      </c>
      <c r="F706" s="10">
        <f>IFERROR(IF(INDEX(ERP資料!$G:$G, (MATCH(705, 輔助計算!$E$2:$E$801, 0)+1))="","",INDEX(ERP資料!$G:$G, (MATCH(705, 輔助計算!$E$2:$E$801, 0)+1))), "")</f>
        <v/>
      </c>
      <c r="G706" s="10">
        <f>IFERROR(IF(INDEX(ERP資料!$H:$H, (MATCH(705, 輔助計算!$E$2:$E$801, 0)+1))="","",INDEX(ERP資料!$H:$H, (MATCH(705, 輔助計算!$E$2:$E$801, 0)+1))), "")</f>
        <v/>
      </c>
      <c r="H706" s="15">
        <f>IFERROR(INDEX(輔助計算!$D:$D, (MATCH(705, 輔助計算!$E$2:$E$801, 0)+1)), "")</f>
        <v/>
      </c>
      <c r="I706" s="10">
        <f>IFERROR(IF(INDEX(ERP資料!$O:$O, (MATCH(705, 輔助計算!$E$2:$E$801, 0)+1))="","",INDEX(ERP資料!$O:$O, (MATCH(705, 輔助計算!$E$2:$E$801, 0)+1))), "")</f>
        <v/>
      </c>
      <c r="J706" s="15">
        <f>IFERROR(IF(INDEX(輔助計算!$D:$D,(MATCH(705, 輔助計算!$E$2:$E$801, 0)+1))="","",INDEX(輔助計算!$D:$D,(MATCH(705, 輔助計算!$E$2:$E$801, 0)+1))*INDEX(ERP資料!$O:$O,(MATCH(705, 輔助計算!$E$2:$E$801, 0)+1))), "")</f>
        <v/>
      </c>
      <c r="K706" s="16" t="n"/>
      <c r="L706" s="16" t="n"/>
      <c r="M706" s="17" t="n"/>
    </row>
    <row r="707">
      <c r="A707" s="14">
        <f>IFERROR(IF(INDEX(ERP資料!$B:$B, (MATCH(706, 輔助計算!$E$2:$E$801, 0)+1))="","",INDEX(ERP資料!$B:$B, (MATCH(706, 輔助計算!$E$2:$E$801, 0)+1))), "")</f>
        <v/>
      </c>
      <c r="B707" s="10">
        <f>IFERROR(IF(INDEX(ERP資料!$A:$A, (MATCH(706, 輔助計算!$E$2:$E$801, 0)+1))="","",INDEX(ERP資料!$A:$A, (MATCH(706, 輔助計算!$E$2:$E$801, 0)+1))), "")</f>
        <v/>
      </c>
      <c r="C707" s="10">
        <f>IFERROR(IF(INDEX(ERP資料!$S:$S, (MATCH(706, 輔助計算!$E$2:$E$801, 0)+1))="","",INDEX(ERP資料!$S:$S, (MATCH(706, 輔助計算!$E$2:$E$801, 0)+1))), "")</f>
        <v/>
      </c>
      <c r="D707" s="10">
        <f>IFERROR(IF(INDEX(ERP資料!$E:$E, (MATCH(706, 輔助計算!$E$2:$E$801, 0)+1))="","",TRIM(INDEX(ERP資料!$E:$E, (MATCH(706, 輔助計算!$E$2:$E$801, 0)+1)))), "")</f>
        <v/>
      </c>
      <c r="E707" s="10">
        <f>IFERROR(IF(INDEX(ERP資料!$F:$F, (MATCH(706, 輔助計算!$E$2:$E$801, 0)+1))="","",INDEX(ERP資料!$F:$F, (MATCH(706, 輔助計算!$E$2:$E$801, 0)+1))), "")</f>
        <v/>
      </c>
      <c r="F707" s="10">
        <f>IFERROR(IF(INDEX(ERP資料!$G:$G, (MATCH(706, 輔助計算!$E$2:$E$801, 0)+1))="","",INDEX(ERP資料!$G:$G, (MATCH(706, 輔助計算!$E$2:$E$801, 0)+1))), "")</f>
        <v/>
      </c>
      <c r="G707" s="10">
        <f>IFERROR(IF(INDEX(ERP資料!$H:$H, (MATCH(706, 輔助計算!$E$2:$E$801, 0)+1))="","",INDEX(ERP資料!$H:$H, (MATCH(706, 輔助計算!$E$2:$E$801, 0)+1))), "")</f>
        <v/>
      </c>
      <c r="H707" s="15">
        <f>IFERROR(INDEX(輔助計算!$D:$D, (MATCH(706, 輔助計算!$E$2:$E$801, 0)+1)), "")</f>
        <v/>
      </c>
      <c r="I707" s="10">
        <f>IFERROR(IF(INDEX(ERP資料!$O:$O, (MATCH(706, 輔助計算!$E$2:$E$801, 0)+1))="","",INDEX(ERP資料!$O:$O, (MATCH(706, 輔助計算!$E$2:$E$801, 0)+1))), "")</f>
        <v/>
      </c>
      <c r="J707" s="15">
        <f>IFERROR(IF(INDEX(輔助計算!$D:$D,(MATCH(706, 輔助計算!$E$2:$E$801, 0)+1))="","",INDEX(輔助計算!$D:$D,(MATCH(706, 輔助計算!$E$2:$E$801, 0)+1))*INDEX(ERP資料!$O:$O,(MATCH(706, 輔助計算!$E$2:$E$801, 0)+1))), "")</f>
        <v/>
      </c>
      <c r="K707" s="16" t="n"/>
      <c r="L707" s="16" t="n"/>
      <c r="M707" s="17" t="n"/>
    </row>
    <row r="708">
      <c r="A708" s="14">
        <f>IFERROR(IF(INDEX(ERP資料!$B:$B, (MATCH(707, 輔助計算!$E$2:$E$801, 0)+1))="","",INDEX(ERP資料!$B:$B, (MATCH(707, 輔助計算!$E$2:$E$801, 0)+1))), "")</f>
        <v/>
      </c>
      <c r="B708" s="10">
        <f>IFERROR(IF(INDEX(ERP資料!$A:$A, (MATCH(707, 輔助計算!$E$2:$E$801, 0)+1))="","",INDEX(ERP資料!$A:$A, (MATCH(707, 輔助計算!$E$2:$E$801, 0)+1))), "")</f>
        <v/>
      </c>
      <c r="C708" s="10">
        <f>IFERROR(IF(INDEX(ERP資料!$S:$S, (MATCH(707, 輔助計算!$E$2:$E$801, 0)+1))="","",INDEX(ERP資料!$S:$S, (MATCH(707, 輔助計算!$E$2:$E$801, 0)+1))), "")</f>
        <v/>
      </c>
      <c r="D708" s="10">
        <f>IFERROR(IF(INDEX(ERP資料!$E:$E, (MATCH(707, 輔助計算!$E$2:$E$801, 0)+1))="","",TRIM(INDEX(ERP資料!$E:$E, (MATCH(707, 輔助計算!$E$2:$E$801, 0)+1)))), "")</f>
        <v/>
      </c>
      <c r="E708" s="10">
        <f>IFERROR(IF(INDEX(ERP資料!$F:$F, (MATCH(707, 輔助計算!$E$2:$E$801, 0)+1))="","",INDEX(ERP資料!$F:$F, (MATCH(707, 輔助計算!$E$2:$E$801, 0)+1))), "")</f>
        <v/>
      </c>
      <c r="F708" s="10">
        <f>IFERROR(IF(INDEX(ERP資料!$G:$G, (MATCH(707, 輔助計算!$E$2:$E$801, 0)+1))="","",INDEX(ERP資料!$G:$G, (MATCH(707, 輔助計算!$E$2:$E$801, 0)+1))), "")</f>
        <v/>
      </c>
      <c r="G708" s="10">
        <f>IFERROR(IF(INDEX(ERP資料!$H:$H, (MATCH(707, 輔助計算!$E$2:$E$801, 0)+1))="","",INDEX(ERP資料!$H:$H, (MATCH(707, 輔助計算!$E$2:$E$801, 0)+1))), "")</f>
        <v/>
      </c>
      <c r="H708" s="15">
        <f>IFERROR(INDEX(輔助計算!$D:$D, (MATCH(707, 輔助計算!$E$2:$E$801, 0)+1)), "")</f>
        <v/>
      </c>
      <c r="I708" s="10">
        <f>IFERROR(IF(INDEX(ERP資料!$O:$O, (MATCH(707, 輔助計算!$E$2:$E$801, 0)+1))="","",INDEX(ERP資料!$O:$O, (MATCH(707, 輔助計算!$E$2:$E$801, 0)+1))), "")</f>
        <v/>
      </c>
      <c r="J708" s="15">
        <f>IFERROR(IF(INDEX(輔助計算!$D:$D,(MATCH(707, 輔助計算!$E$2:$E$801, 0)+1))="","",INDEX(輔助計算!$D:$D,(MATCH(707, 輔助計算!$E$2:$E$801, 0)+1))*INDEX(ERP資料!$O:$O,(MATCH(707, 輔助計算!$E$2:$E$801, 0)+1))), "")</f>
        <v/>
      </c>
      <c r="K708" s="16" t="n"/>
      <c r="L708" s="16" t="n"/>
      <c r="M708" s="17" t="n"/>
    </row>
    <row r="709">
      <c r="A709" s="14">
        <f>IFERROR(IF(INDEX(ERP資料!$B:$B, (MATCH(708, 輔助計算!$E$2:$E$801, 0)+1))="","",INDEX(ERP資料!$B:$B, (MATCH(708, 輔助計算!$E$2:$E$801, 0)+1))), "")</f>
        <v/>
      </c>
      <c r="B709" s="10">
        <f>IFERROR(IF(INDEX(ERP資料!$A:$A, (MATCH(708, 輔助計算!$E$2:$E$801, 0)+1))="","",INDEX(ERP資料!$A:$A, (MATCH(708, 輔助計算!$E$2:$E$801, 0)+1))), "")</f>
        <v/>
      </c>
      <c r="C709" s="10">
        <f>IFERROR(IF(INDEX(ERP資料!$S:$S, (MATCH(708, 輔助計算!$E$2:$E$801, 0)+1))="","",INDEX(ERP資料!$S:$S, (MATCH(708, 輔助計算!$E$2:$E$801, 0)+1))), "")</f>
        <v/>
      </c>
      <c r="D709" s="10">
        <f>IFERROR(IF(INDEX(ERP資料!$E:$E, (MATCH(708, 輔助計算!$E$2:$E$801, 0)+1))="","",TRIM(INDEX(ERP資料!$E:$E, (MATCH(708, 輔助計算!$E$2:$E$801, 0)+1)))), "")</f>
        <v/>
      </c>
      <c r="E709" s="10">
        <f>IFERROR(IF(INDEX(ERP資料!$F:$F, (MATCH(708, 輔助計算!$E$2:$E$801, 0)+1))="","",INDEX(ERP資料!$F:$F, (MATCH(708, 輔助計算!$E$2:$E$801, 0)+1))), "")</f>
        <v/>
      </c>
      <c r="F709" s="10">
        <f>IFERROR(IF(INDEX(ERP資料!$G:$G, (MATCH(708, 輔助計算!$E$2:$E$801, 0)+1))="","",INDEX(ERP資料!$G:$G, (MATCH(708, 輔助計算!$E$2:$E$801, 0)+1))), "")</f>
        <v/>
      </c>
      <c r="G709" s="10">
        <f>IFERROR(IF(INDEX(ERP資料!$H:$H, (MATCH(708, 輔助計算!$E$2:$E$801, 0)+1))="","",INDEX(ERP資料!$H:$H, (MATCH(708, 輔助計算!$E$2:$E$801, 0)+1))), "")</f>
        <v/>
      </c>
      <c r="H709" s="15">
        <f>IFERROR(INDEX(輔助計算!$D:$D, (MATCH(708, 輔助計算!$E$2:$E$801, 0)+1)), "")</f>
        <v/>
      </c>
      <c r="I709" s="10">
        <f>IFERROR(IF(INDEX(ERP資料!$O:$O, (MATCH(708, 輔助計算!$E$2:$E$801, 0)+1))="","",INDEX(ERP資料!$O:$O, (MATCH(708, 輔助計算!$E$2:$E$801, 0)+1))), "")</f>
        <v/>
      </c>
      <c r="J709" s="15">
        <f>IFERROR(IF(INDEX(輔助計算!$D:$D,(MATCH(708, 輔助計算!$E$2:$E$801, 0)+1))="","",INDEX(輔助計算!$D:$D,(MATCH(708, 輔助計算!$E$2:$E$801, 0)+1))*INDEX(ERP資料!$O:$O,(MATCH(708, 輔助計算!$E$2:$E$801, 0)+1))), "")</f>
        <v/>
      </c>
      <c r="K709" s="16" t="n"/>
      <c r="L709" s="16" t="n"/>
      <c r="M709" s="17" t="n"/>
    </row>
    <row r="710">
      <c r="A710" s="14">
        <f>IFERROR(IF(INDEX(ERP資料!$B:$B, (MATCH(709, 輔助計算!$E$2:$E$801, 0)+1))="","",INDEX(ERP資料!$B:$B, (MATCH(709, 輔助計算!$E$2:$E$801, 0)+1))), "")</f>
        <v/>
      </c>
      <c r="B710" s="10">
        <f>IFERROR(IF(INDEX(ERP資料!$A:$A, (MATCH(709, 輔助計算!$E$2:$E$801, 0)+1))="","",INDEX(ERP資料!$A:$A, (MATCH(709, 輔助計算!$E$2:$E$801, 0)+1))), "")</f>
        <v/>
      </c>
      <c r="C710" s="10">
        <f>IFERROR(IF(INDEX(ERP資料!$S:$S, (MATCH(709, 輔助計算!$E$2:$E$801, 0)+1))="","",INDEX(ERP資料!$S:$S, (MATCH(709, 輔助計算!$E$2:$E$801, 0)+1))), "")</f>
        <v/>
      </c>
      <c r="D710" s="10">
        <f>IFERROR(IF(INDEX(ERP資料!$E:$E, (MATCH(709, 輔助計算!$E$2:$E$801, 0)+1))="","",TRIM(INDEX(ERP資料!$E:$E, (MATCH(709, 輔助計算!$E$2:$E$801, 0)+1)))), "")</f>
        <v/>
      </c>
      <c r="E710" s="10">
        <f>IFERROR(IF(INDEX(ERP資料!$F:$F, (MATCH(709, 輔助計算!$E$2:$E$801, 0)+1))="","",INDEX(ERP資料!$F:$F, (MATCH(709, 輔助計算!$E$2:$E$801, 0)+1))), "")</f>
        <v/>
      </c>
      <c r="F710" s="10">
        <f>IFERROR(IF(INDEX(ERP資料!$G:$G, (MATCH(709, 輔助計算!$E$2:$E$801, 0)+1))="","",INDEX(ERP資料!$G:$G, (MATCH(709, 輔助計算!$E$2:$E$801, 0)+1))), "")</f>
        <v/>
      </c>
      <c r="G710" s="10">
        <f>IFERROR(IF(INDEX(ERP資料!$H:$H, (MATCH(709, 輔助計算!$E$2:$E$801, 0)+1))="","",INDEX(ERP資料!$H:$H, (MATCH(709, 輔助計算!$E$2:$E$801, 0)+1))), "")</f>
        <v/>
      </c>
      <c r="H710" s="15">
        <f>IFERROR(INDEX(輔助計算!$D:$D, (MATCH(709, 輔助計算!$E$2:$E$801, 0)+1)), "")</f>
        <v/>
      </c>
      <c r="I710" s="10">
        <f>IFERROR(IF(INDEX(ERP資料!$O:$O, (MATCH(709, 輔助計算!$E$2:$E$801, 0)+1))="","",INDEX(ERP資料!$O:$O, (MATCH(709, 輔助計算!$E$2:$E$801, 0)+1))), "")</f>
        <v/>
      </c>
      <c r="J710" s="15">
        <f>IFERROR(IF(INDEX(輔助計算!$D:$D,(MATCH(709, 輔助計算!$E$2:$E$801, 0)+1))="","",INDEX(輔助計算!$D:$D,(MATCH(709, 輔助計算!$E$2:$E$801, 0)+1))*INDEX(ERP資料!$O:$O,(MATCH(709, 輔助計算!$E$2:$E$801, 0)+1))), "")</f>
        <v/>
      </c>
      <c r="K710" s="16" t="n"/>
      <c r="L710" s="16" t="n"/>
      <c r="M710" s="17" t="n"/>
    </row>
    <row r="711">
      <c r="A711" s="14">
        <f>IFERROR(IF(INDEX(ERP資料!$B:$B, (MATCH(710, 輔助計算!$E$2:$E$801, 0)+1))="","",INDEX(ERP資料!$B:$B, (MATCH(710, 輔助計算!$E$2:$E$801, 0)+1))), "")</f>
        <v/>
      </c>
      <c r="B711" s="10">
        <f>IFERROR(IF(INDEX(ERP資料!$A:$A, (MATCH(710, 輔助計算!$E$2:$E$801, 0)+1))="","",INDEX(ERP資料!$A:$A, (MATCH(710, 輔助計算!$E$2:$E$801, 0)+1))), "")</f>
        <v/>
      </c>
      <c r="C711" s="10">
        <f>IFERROR(IF(INDEX(ERP資料!$S:$S, (MATCH(710, 輔助計算!$E$2:$E$801, 0)+1))="","",INDEX(ERP資料!$S:$S, (MATCH(710, 輔助計算!$E$2:$E$801, 0)+1))), "")</f>
        <v/>
      </c>
      <c r="D711" s="10">
        <f>IFERROR(IF(INDEX(ERP資料!$E:$E, (MATCH(710, 輔助計算!$E$2:$E$801, 0)+1))="","",TRIM(INDEX(ERP資料!$E:$E, (MATCH(710, 輔助計算!$E$2:$E$801, 0)+1)))), "")</f>
        <v/>
      </c>
      <c r="E711" s="10">
        <f>IFERROR(IF(INDEX(ERP資料!$F:$F, (MATCH(710, 輔助計算!$E$2:$E$801, 0)+1))="","",INDEX(ERP資料!$F:$F, (MATCH(710, 輔助計算!$E$2:$E$801, 0)+1))), "")</f>
        <v/>
      </c>
      <c r="F711" s="10">
        <f>IFERROR(IF(INDEX(ERP資料!$G:$G, (MATCH(710, 輔助計算!$E$2:$E$801, 0)+1))="","",INDEX(ERP資料!$G:$G, (MATCH(710, 輔助計算!$E$2:$E$801, 0)+1))), "")</f>
        <v/>
      </c>
      <c r="G711" s="10">
        <f>IFERROR(IF(INDEX(ERP資料!$H:$H, (MATCH(710, 輔助計算!$E$2:$E$801, 0)+1))="","",INDEX(ERP資料!$H:$H, (MATCH(710, 輔助計算!$E$2:$E$801, 0)+1))), "")</f>
        <v/>
      </c>
      <c r="H711" s="15">
        <f>IFERROR(INDEX(輔助計算!$D:$D, (MATCH(710, 輔助計算!$E$2:$E$801, 0)+1)), "")</f>
        <v/>
      </c>
      <c r="I711" s="10">
        <f>IFERROR(IF(INDEX(ERP資料!$O:$O, (MATCH(710, 輔助計算!$E$2:$E$801, 0)+1))="","",INDEX(ERP資料!$O:$O, (MATCH(710, 輔助計算!$E$2:$E$801, 0)+1))), "")</f>
        <v/>
      </c>
      <c r="J711" s="15">
        <f>IFERROR(IF(INDEX(輔助計算!$D:$D,(MATCH(710, 輔助計算!$E$2:$E$801, 0)+1))="","",INDEX(輔助計算!$D:$D,(MATCH(710, 輔助計算!$E$2:$E$801, 0)+1))*INDEX(ERP資料!$O:$O,(MATCH(710, 輔助計算!$E$2:$E$801, 0)+1))), "")</f>
        <v/>
      </c>
      <c r="K711" s="16" t="n"/>
      <c r="L711" s="16" t="n"/>
      <c r="M711" s="17" t="n"/>
    </row>
    <row r="712">
      <c r="A712" s="14">
        <f>IFERROR(IF(INDEX(ERP資料!$B:$B, (MATCH(711, 輔助計算!$E$2:$E$801, 0)+1))="","",INDEX(ERP資料!$B:$B, (MATCH(711, 輔助計算!$E$2:$E$801, 0)+1))), "")</f>
        <v/>
      </c>
      <c r="B712" s="10">
        <f>IFERROR(IF(INDEX(ERP資料!$A:$A, (MATCH(711, 輔助計算!$E$2:$E$801, 0)+1))="","",INDEX(ERP資料!$A:$A, (MATCH(711, 輔助計算!$E$2:$E$801, 0)+1))), "")</f>
        <v/>
      </c>
      <c r="C712" s="10">
        <f>IFERROR(IF(INDEX(ERP資料!$S:$S, (MATCH(711, 輔助計算!$E$2:$E$801, 0)+1))="","",INDEX(ERP資料!$S:$S, (MATCH(711, 輔助計算!$E$2:$E$801, 0)+1))), "")</f>
        <v/>
      </c>
      <c r="D712" s="10">
        <f>IFERROR(IF(INDEX(ERP資料!$E:$E, (MATCH(711, 輔助計算!$E$2:$E$801, 0)+1))="","",TRIM(INDEX(ERP資料!$E:$E, (MATCH(711, 輔助計算!$E$2:$E$801, 0)+1)))), "")</f>
        <v/>
      </c>
      <c r="E712" s="10">
        <f>IFERROR(IF(INDEX(ERP資料!$F:$F, (MATCH(711, 輔助計算!$E$2:$E$801, 0)+1))="","",INDEX(ERP資料!$F:$F, (MATCH(711, 輔助計算!$E$2:$E$801, 0)+1))), "")</f>
        <v/>
      </c>
      <c r="F712" s="10">
        <f>IFERROR(IF(INDEX(ERP資料!$G:$G, (MATCH(711, 輔助計算!$E$2:$E$801, 0)+1))="","",INDEX(ERP資料!$G:$G, (MATCH(711, 輔助計算!$E$2:$E$801, 0)+1))), "")</f>
        <v/>
      </c>
      <c r="G712" s="10">
        <f>IFERROR(IF(INDEX(ERP資料!$H:$H, (MATCH(711, 輔助計算!$E$2:$E$801, 0)+1))="","",INDEX(ERP資料!$H:$H, (MATCH(711, 輔助計算!$E$2:$E$801, 0)+1))), "")</f>
        <v/>
      </c>
      <c r="H712" s="15">
        <f>IFERROR(INDEX(輔助計算!$D:$D, (MATCH(711, 輔助計算!$E$2:$E$801, 0)+1)), "")</f>
        <v/>
      </c>
      <c r="I712" s="10">
        <f>IFERROR(IF(INDEX(ERP資料!$O:$O, (MATCH(711, 輔助計算!$E$2:$E$801, 0)+1))="","",INDEX(ERP資料!$O:$O, (MATCH(711, 輔助計算!$E$2:$E$801, 0)+1))), "")</f>
        <v/>
      </c>
      <c r="J712" s="15">
        <f>IFERROR(IF(INDEX(輔助計算!$D:$D,(MATCH(711, 輔助計算!$E$2:$E$801, 0)+1))="","",INDEX(輔助計算!$D:$D,(MATCH(711, 輔助計算!$E$2:$E$801, 0)+1))*INDEX(ERP資料!$O:$O,(MATCH(711, 輔助計算!$E$2:$E$801, 0)+1))), "")</f>
        <v/>
      </c>
      <c r="K712" s="16" t="n"/>
      <c r="L712" s="16" t="n"/>
      <c r="M712" s="17" t="n"/>
    </row>
    <row r="713">
      <c r="A713" s="14">
        <f>IFERROR(IF(INDEX(ERP資料!$B:$B, (MATCH(712, 輔助計算!$E$2:$E$801, 0)+1))="","",INDEX(ERP資料!$B:$B, (MATCH(712, 輔助計算!$E$2:$E$801, 0)+1))), "")</f>
        <v/>
      </c>
      <c r="B713" s="10">
        <f>IFERROR(IF(INDEX(ERP資料!$A:$A, (MATCH(712, 輔助計算!$E$2:$E$801, 0)+1))="","",INDEX(ERP資料!$A:$A, (MATCH(712, 輔助計算!$E$2:$E$801, 0)+1))), "")</f>
        <v/>
      </c>
      <c r="C713" s="10">
        <f>IFERROR(IF(INDEX(ERP資料!$S:$S, (MATCH(712, 輔助計算!$E$2:$E$801, 0)+1))="","",INDEX(ERP資料!$S:$S, (MATCH(712, 輔助計算!$E$2:$E$801, 0)+1))), "")</f>
        <v/>
      </c>
      <c r="D713" s="10">
        <f>IFERROR(IF(INDEX(ERP資料!$E:$E, (MATCH(712, 輔助計算!$E$2:$E$801, 0)+1))="","",TRIM(INDEX(ERP資料!$E:$E, (MATCH(712, 輔助計算!$E$2:$E$801, 0)+1)))), "")</f>
        <v/>
      </c>
      <c r="E713" s="10">
        <f>IFERROR(IF(INDEX(ERP資料!$F:$F, (MATCH(712, 輔助計算!$E$2:$E$801, 0)+1))="","",INDEX(ERP資料!$F:$F, (MATCH(712, 輔助計算!$E$2:$E$801, 0)+1))), "")</f>
        <v/>
      </c>
      <c r="F713" s="10">
        <f>IFERROR(IF(INDEX(ERP資料!$G:$G, (MATCH(712, 輔助計算!$E$2:$E$801, 0)+1))="","",INDEX(ERP資料!$G:$G, (MATCH(712, 輔助計算!$E$2:$E$801, 0)+1))), "")</f>
        <v/>
      </c>
      <c r="G713" s="10">
        <f>IFERROR(IF(INDEX(ERP資料!$H:$H, (MATCH(712, 輔助計算!$E$2:$E$801, 0)+1))="","",INDEX(ERP資料!$H:$H, (MATCH(712, 輔助計算!$E$2:$E$801, 0)+1))), "")</f>
        <v/>
      </c>
      <c r="H713" s="15">
        <f>IFERROR(INDEX(輔助計算!$D:$D, (MATCH(712, 輔助計算!$E$2:$E$801, 0)+1)), "")</f>
        <v/>
      </c>
      <c r="I713" s="10">
        <f>IFERROR(IF(INDEX(ERP資料!$O:$O, (MATCH(712, 輔助計算!$E$2:$E$801, 0)+1))="","",INDEX(ERP資料!$O:$O, (MATCH(712, 輔助計算!$E$2:$E$801, 0)+1))), "")</f>
        <v/>
      </c>
      <c r="J713" s="15">
        <f>IFERROR(IF(INDEX(輔助計算!$D:$D,(MATCH(712, 輔助計算!$E$2:$E$801, 0)+1))="","",INDEX(輔助計算!$D:$D,(MATCH(712, 輔助計算!$E$2:$E$801, 0)+1))*INDEX(ERP資料!$O:$O,(MATCH(712, 輔助計算!$E$2:$E$801, 0)+1))), "")</f>
        <v/>
      </c>
      <c r="K713" s="16" t="n"/>
      <c r="L713" s="16" t="n"/>
      <c r="M713" s="17" t="n"/>
    </row>
    <row r="714">
      <c r="A714" s="14">
        <f>IFERROR(IF(INDEX(ERP資料!$B:$B, (MATCH(713, 輔助計算!$E$2:$E$801, 0)+1))="","",INDEX(ERP資料!$B:$B, (MATCH(713, 輔助計算!$E$2:$E$801, 0)+1))), "")</f>
        <v/>
      </c>
      <c r="B714" s="10">
        <f>IFERROR(IF(INDEX(ERP資料!$A:$A, (MATCH(713, 輔助計算!$E$2:$E$801, 0)+1))="","",INDEX(ERP資料!$A:$A, (MATCH(713, 輔助計算!$E$2:$E$801, 0)+1))), "")</f>
        <v/>
      </c>
      <c r="C714" s="10">
        <f>IFERROR(IF(INDEX(ERP資料!$S:$S, (MATCH(713, 輔助計算!$E$2:$E$801, 0)+1))="","",INDEX(ERP資料!$S:$S, (MATCH(713, 輔助計算!$E$2:$E$801, 0)+1))), "")</f>
        <v/>
      </c>
      <c r="D714" s="10">
        <f>IFERROR(IF(INDEX(ERP資料!$E:$E, (MATCH(713, 輔助計算!$E$2:$E$801, 0)+1))="","",TRIM(INDEX(ERP資料!$E:$E, (MATCH(713, 輔助計算!$E$2:$E$801, 0)+1)))), "")</f>
        <v/>
      </c>
      <c r="E714" s="10">
        <f>IFERROR(IF(INDEX(ERP資料!$F:$F, (MATCH(713, 輔助計算!$E$2:$E$801, 0)+1))="","",INDEX(ERP資料!$F:$F, (MATCH(713, 輔助計算!$E$2:$E$801, 0)+1))), "")</f>
        <v/>
      </c>
      <c r="F714" s="10">
        <f>IFERROR(IF(INDEX(ERP資料!$G:$G, (MATCH(713, 輔助計算!$E$2:$E$801, 0)+1))="","",INDEX(ERP資料!$G:$G, (MATCH(713, 輔助計算!$E$2:$E$801, 0)+1))), "")</f>
        <v/>
      </c>
      <c r="G714" s="10">
        <f>IFERROR(IF(INDEX(ERP資料!$H:$H, (MATCH(713, 輔助計算!$E$2:$E$801, 0)+1))="","",INDEX(ERP資料!$H:$H, (MATCH(713, 輔助計算!$E$2:$E$801, 0)+1))), "")</f>
        <v/>
      </c>
      <c r="H714" s="15">
        <f>IFERROR(INDEX(輔助計算!$D:$D, (MATCH(713, 輔助計算!$E$2:$E$801, 0)+1)), "")</f>
        <v/>
      </c>
      <c r="I714" s="10">
        <f>IFERROR(IF(INDEX(ERP資料!$O:$O, (MATCH(713, 輔助計算!$E$2:$E$801, 0)+1))="","",INDEX(ERP資料!$O:$O, (MATCH(713, 輔助計算!$E$2:$E$801, 0)+1))), "")</f>
        <v/>
      </c>
      <c r="J714" s="15">
        <f>IFERROR(IF(INDEX(輔助計算!$D:$D,(MATCH(713, 輔助計算!$E$2:$E$801, 0)+1))="","",INDEX(輔助計算!$D:$D,(MATCH(713, 輔助計算!$E$2:$E$801, 0)+1))*INDEX(ERP資料!$O:$O,(MATCH(713, 輔助計算!$E$2:$E$801, 0)+1))), "")</f>
        <v/>
      </c>
      <c r="K714" s="16" t="n"/>
      <c r="L714" s="16" t="n"/>
      <c r="M714" s="17" t="n"/>
    </row>
    <row r="715">
      <c r="A715" s="14">
        <f>IFERROR(IF(INDEX(ERP資料!$B:$B, (MATCH(714, 輔助計算!$E$2:$E$801, 0)+1))="","",INDEX(ERP資料!$B:$B, (MATCH(714, 輔助計算!$E$2:$E$801, 0)+1))), "")</f>
        <v/>
      </c>
      <c r="B715" s="10">
        <f>IFERROR(IF(INDEX(ERP資料!$A:$A, (MATCH(714, 輔助計算!$E$2:$E$801, 0)+1))="","",INDEX(ERP資料!$A:$A, (MATCH(714, 輔助計算!$E$2:$E$801, 0)+1))), "")</f>
        <v/>
      </c>
      <c r="C715" s="10">
        <f>IFERROR(IF(INDEX(ERP資料!$S:$S, (MATCH(714, 輔助計算!$E$2:$E$801, 0)+1))="","",INDEX(ERP資料!$S:$S, (MATCH(714, 輔助計算!$E$2:$E$801, 0)+1))), "")</f>
        <v/>
      </c>
      <c r="D715" s="10">
        <f>IFERROR(IF(INDEX(ERP資料!$E:$E, (MATCH(714, 輔助計算!$E$2:$E$801, 0)+1))="","",TRIM(INDEX(ERP資料!$E:$E, (MATCH(714, 輔助計算!$E$2:$E$801, 0)+1)))), "")</f>
        <v/>
      </c>
      <c r="E715" s="10">
        <f>IFERROR(IF(INDEX(ERP資料!$F:$F, (MATCH(714, 輔助計算!$E$2:$E$801, 0)+1))="","",INDEX(ERP資料!$F:$F, (MATCH(714, 輔助計算!$E$2:$E$801, 0)+1))), "")</f>
        <v/>
      </c>
      <c r="F715" s="10">
        <f>IFERROR(IF(INDEX(ERP資料!$G:$G, (MATCH(714, 輔助計算!$E$2:$E$801, 0)+1))="","",INDEX(ERP資料!$G:$G, (MATCH(714, 輔助計算!$E$2:$E$801, 0)+1))), "")</f>
        <v/>
      </c>
      <c r="G715" s="10">
        <f>IFERROR(IF(INDEX(ERP資料!$H:$H, (MATCH(714, 輔助計算!$E$2:$E$801, 0)+1))="","",INDEX(ERP資料!$H:$H, (MATCH(714, 輔助計算!$E$2:$E$801, 0)+1))), "")</f>
        <v/>
      </c>
      <c r="H715" s="15">
        <f>IFERROR(INDEX(輔助計算!$D:$D, (MATCH(714, 輔助計算!$E$2:$E$801, 0)+1)), "")</f>
        <v/>
      </c>
      <c r="I715" s="10">
        <f>IFERROR(IF(INDEX(ERP資料!$O:$O, (MATCH(714, 輔助計算!$E$2:$E$801, 0)+1))="","",INDEX(ERP資料!$O:$O, (MATCH(714, 輔助計算!$E$2:$E$801, 0)+1))), "")</f>
        <v/>
      </c>
      <c r="J715" s="15">
        <f>IFERROR(IF(INDEX(輔助計算!$D:$D,(MATCH(714, 輔助計算!$E$2:$E$801, 0)+1))="","",INDEX(輔助計算!$D:$D,(MATCH(714, 輔助計算!$E$2:$E$801, 0)+1))*INDEX(ERP資料!$O:$O,(MATCH(714, 輔助計算!$E$2:$E$801, 0)+1))), "")</f>
        <v/>
      </c>
      <c r="K715" s="16" t="n"/>
      <c r="L715" s="16" t="n"/>
      <c r="M715" s="17" t="n"/>
    </row>
    <row r="716">
      <c r="A716" s="14">
        <f>IFERROR(IF(INDEX(ERP資料!$B:$B, (MATCH(715, 輔助計算!$E$2:$E$801, 0)+1))="","",INDEX(ERP資料!$B:$B, (MATCH(715, 輔助計算!$E$2:$E$801, 0)+1))), "")</f>
        <v/>
      </c>
      <c r="B716" s="10">
        <f>IFERROR(IF(INDEX(ERP資料!$A:$A, (MATCH(715, 輔助計算!$E$2:$E$801, 0)+1))="","",INDEX(ERP資料!$A:$A, (MATCH(715, 輔助計算!$E$2:$E$801, 0)+1))), "")</f>
        <v/>
      </c>
      <c r="C716" s="10">
        <f>IFERROR(IF(INDEX(ERP資料!$S:$S, (MATCH(715, 輔助計算!$E$2:$E$801, 0)+1))="","",INDEX(ERP資料!$S:$S, (MATCH(715, 輔助計算!$E$2:$E$801, 0)+1))), "")</f>
        <v/>
      </c>
      <c r="D716" s="10">
        <f>IFERROR(IF(INDEX(ERP資料!$E:$E, (MATCH(715, 輔助計算!$E$2:$E$801, 0)+1))="","",TRIM(INDEX(ERP資料!$E:$E, (MATCH(715, 輔助計算!$E$2:$E$801, 0)+1)))), "")</f>
        <v/>
      </c>
      <c r="E716" s="10">
        <f>IFERROR(IF(INDEX(ERP資料!$F:$F, (MATCH(715, 輔助計算!$E$2:$E$801, 0)+1))="","",INDEX(ERP資料!$F:$F, (MATCH(715, 輔助計算!$E$2:$E$801, 0)+1))), "")</f>
        <v/>
      </c>
      <c r="F716" s="10">
        <f>IFERROR(IF(INDEX(ERP資料!$G:$G, (MATCH(715, 輔助計算!$E$2:$E$801, 0)+1))="","",INDEX(ERP資料!$G:$G, (MATCH(715, 輔助計算!$E$2:$E$801, 0)+1))), "")</f>
        <v/>
      </c>
      <c r="G716" s="10">
        <f>IFERROR(IF(INDEX(ERP資料!$H:$H, (MATCH(715, 輔助計算!$E$2:$E$801, 0)+1))="","",INDEX(ERP資料!$H:$H, (MATCH(715, 輔助計算!$E$2:$E$801, 0)+1))), "")</f>
        <v/>
      </c>
      <c r="H716" s="15">
        <f>IFERROR(INDEX(輔助計算!$D:$D, (MATCH(715, 輔助計算!$E$2:$E$801, 0)+1)), "")</f>
        <v/>
      </c>
      <c r="I716" s="10">
        <f>IFERROR(IF(INDEX(ERP資料!$O:$O, (MATCH(715, 輔助計算!$E$2:$E$801, 0)+1))="","",INDEX(ERP資料!$O:$O, (MATCH(715, 輔助計算!$E$2:$E$801, 0)+1))), "")</f>
        <v/>
      </c>
      <c r="J716" s="15">
        <f>IFERROR(IF(INDEX(輔助計算!$D:$D,(MATCH(715, 輔助計算!$E$2:$E$801, 0)+1))="","",INDEX(輔助計算!$D:$D,(MATCH(715, 輔助計算!$E$2:$E$801, 0)+1))*INDEX(ERP資料!$O:$O,(MATCH(715, 輔助計算!$E$2:$E$801, 0)+1))), "")</f>
        <v/>
      </c>
      <c r="K716" s="16" t="n"/>
      <c r="L716" s="16" t="n"/>
      <c r="M716" s="17" t="n"/>
    </row>
    <row r="717">
      <c r="A717" s="14">
        <f>IFERROR(IF(INDEX(ERP資料!$B:$B, (MATCH(716, 輔助計算!$E$2:$E$801, 0)+1))="","",INDEX(ERP資料!$B:$B, (MATCH(716, 輔助計算!$E$2:$E$801, 0)+1))), "")</f>
        <v/>
      </c>
      <c r="B717" s="10">
        <f>IFERROR(IF(INDEX(ERP資料!$A:$A, (MATCH(716, 輔助計算!$E$2:$E$801, 0)+1))="","",INDEX(ERP資料!$A:$A, (MATCH(716, 輔助計算!$E$2:$E$801, 0)+1))), "")</f>
        <v/>
      </c>
      <c r="C717" s="10">
        <f>IFERROR(IF(INDEX(ERP資料!$S:$S, (MATCH(716, 輔助計算!$E$2:$E$801, 0)+1))="","",INDEX(ERP資料!$S:$S, (MATCH(716, 輔助計算!$E$2:$E$801, 0)+1))), "")</f>
        <v/>
      </c>
      <c r="D717" s="10">
        <f>IFERROR(IF(INDEX(ERP資料!$E:$E, (MATCH(716, 輔助計算!$E$2:$E$801, 0)+1))="","",TRIM(INDEX(ERP資料!$E:$E, (MATCH(716, 輔助計算!$E$2:$E$801, 0)+1)))), "")</f>
        <v/>
      </c>
      <c r="E717" s="10">
        <f>IFERROR(IF(INDEX(ERP資料!$F:$F, (MATCH(716, 輔助計算!$E$2:$E$801, 0)+1))="","",INDEX(ERP資料!$F:$F, (MATCH(716, 輔助計算!$E$2:$E$801, 0)+1))), "")</f>
        <v/>
      </c>
      <c r="F717" s="10">
        <f>IFERROR(IF(INDEX(ERP資料!$G:$G, (MATCH(716, 輔助計算!$E$2:$E$801, 0)+1))="","",INDEX(ERP資料!$G:$G, (MATCH(716, 輔助計算!$E$2:$E$801, 0)+1))), "")</f>
        <v/>
      </c>
      <c r="G717" s="10">
        <f>IFERROR(IF(INDEX(ERP資料!$H:$H, (MATCH(716, 輔助計算!$E$2:$E$801, 0)+1))="","",INDEX(ERP資料!$H:$H, (MATCH(716, 輔助計算!$E$2:$E$801, 0)+1))), "")</f>
        <v/>
      </c>
      <c r="H717" s="15">
        <f>IFERROR(INDEX(輔助計算!$D:$D, (MATCH(716, 輔助計算!$E$2:$E$801, 0)+1)), "")</f>
        <v/>
      </c>
      <c r="I717" s="10">
        <f>IFERROR(IF(INDEX(ERP資料!$O:$O, (MATCH(716, 輔助計算!$E$2:$E$801, 0)+1))="","",INDEX(ERP資料!$O:$O, (MATCH(716, 輔助計算!$E$2:$E$801, 0)+1))), "")</f>
        <v/>
      </c>
      <c r="J717" s="15">
        <f>IFERROR(IF(INDEX(輔助計算!$D:$D,(MATCH(716, 輔助計算!$E$2:$E$801, 0)+1))="","",INDEX(輔助計算!$D:$D,(MATCH(716, 輔助計算!$E$2:$E$801, 0)+1))*INDEX(ERP資料!$O:$O,(MATCH(716, 輔助計算!$E$2:$E$801, 0)+1))), "")</f>
        <v/>
      </c>
      <c r="K717" s="16" t="n"/>
      <c r="L717" s="16" t="n"/>
      <c r="M717" s="17" t="n"/>
    </row>
    <row r="718">
      <c r="A718" s="14">
        <f>IFERROR(IF(INDEX(ERP資料!$B:$B, (MATCH(717, 輔助計算!$E$2:$E$801, 0)+1))="","",INDEX(ERP資料!$B:$B, (MATCH(717, 輔助計算!$E$2:$E$801, 0)+1))), "")</f>
        <v/>
      </c>
      <c r="B718" s="10">
        <f>IFERROR(IF(INDEX(ERP資料!$A:$A, (MATCH(717, 輔助計算!$E$2:$E$801, 0)+1))="","",INDEX(ERP資料!$A:$A, (MATCH(717, 輔助計算!$E$2:$E$801, 0)+1))), "")</f>
        <v/>
      </c>
      <c r="C718" s="10">
        <f>IFERROR(IF(INDEX(ERP資料!$S:$S, (MATCH(717, 輔助計算!$E$2:$E$801, 0)+1))="","",INDEX(ERP資料!$S:$S, (MATCH(717, 輔助計算!$E$2:$E$801, 0)+1))), "")</f>
        <v/>
      </c>
      <c r="D718" s="10">
        <f>IFERROR(IF(INDEX(ERP資料!$E:$E, (MATCH(717, 輔助計算!$E$2:$E$801, 0)+1))="","",TRIM(INDEX(ERP資料!$E:$E, (MATCH(717, 輔助計算!$E$2:$E$801, 0)+1)))), "")</f>
        <v/>
      </c>
      <c r="E718" s="10">
        <f>IFERROR(IF(INDEX(ERP資料!$F:$F, (MATCH(717, 輔助計算!$E$2:$E$801, 0)+1))="","",INDEX(ERP資料!$F:$F, (MATCH(717, 輔助計算!$E$2:$E$801, 0)+1))), "")</f>
        <v/>
      </c>
      <c r="F718" s="10">
        <f>IFERROR(IF(INDEX(ERP資料!$G:$G, (MATCH(717, 輔助計算!$E$2:$E$801, 0)+1))="","",INDEX(ERP資料!$G:$G, (MATCH(717, 輔助計算!$E$2:$E$801, 0)+1))), "")</f>
        <v/>
      </c>
      <c r="G718" s="10">
        <f>IFERROR(IF(INDEX(ERP資料!$H:$H, (MATCH(717, 輔助計算!$E$2:$E$801, 0)+1))="","",INDEX(ERP資料!$H:$H, (MATCH(717, 輔助計算!$E$2:$E$801, 0)+1))), "")</f>
        <v/>
      </c>
      <c r="H718" s="15">
        <f>IFERROR(INDEX(輔助計算!$D:$D, (MATCH(717, 輔助計算!$E$2:$E$801, 0)+1)), "")</f>
        <v/>
      </c>
      <c r="I718" s="10">
        <f>IFERROR(IF(INDEX(ERP資料!$O:$O, (MATCH(717, 輔助計算!$E$2:$E$801, 0)+1))="","",INDEX(ERP資料!$O:$O, (MATCH(717, 輔助計算!$E$2:$E$801, 0)+1))), "")</f>
        <v/>
      </c>
      <c r="J718" s="15">
        <f>IFERROR(IF(INDEX(輔助計算!$D:$D,(MATCH(717, 輔助計算!$E$2:$E$801, 0)+1))="","",INDEX(輔助計算!$D:$D,(MATCH(717, 輔助計算!$E$2:$E$801, 0)+1))*INDEX(ERP資料!$O:$O,(MATCH(717, 輔助計算!$E$2:$E$801, 0)+1))), "")</f>
        <v/>
      </c>
      <c r="K718" s="16" t="n"/>
      <c r="L718" s="16" t="n"/>
      <c r="M718" s="17" t="n"/>
    </row>
    <row r="719">
      <c r="A719" s="14">
        <f>IFERROR(IF(INDEX(ERP資料!$B:$B, (MATCH(718, 輔助計算!$E$2:$E$801, 0)+1))="","",INDEX(ERP資料!$B:$B, (MATCH(718, 輔助計算!$E$2:$E$801, 0)+1))), "")</f>
        <v/>
      </c>
      <c r="B719" s="10">
        <f>IFERROR(IF(INDEX(ERP資料!$A:$A, (MATCH(718, 輔助計算!$E$2:$E$801, 0)+1))="","",INDEX(ERP資料!$A:$A, (MATCH(718, 輔助計算!$E$2:$E$801, 0)+1))), "")</f>
        <v/>
      </c>
      <c r="C719" s="10">
        <f>IFERROR(IF(INDEX(ERP資料!$S:$S, (MATCH(718, 輔助計算!$E$2:$E$801, 0)+1))="","",INDEX(ERP資料!$S:$S, (MATCH(718, 輔助計算!$E$2:$E$801, 0)+1))), "")</f>
        <v/>
      </c>
      <c r="D719" s="10">
        <f>IFERROR(IF(INDEX(ERP資料!$E:$E, (MATCH(718, 輔助計算!$E$2:$E$801, 0)+1))="","",TRIM(INDEX(ERP資料!$E:$E, (MATCH(718, 輔助計算!$E$2:$E$801, 0)+1)))), "")</f>
        <v/>
      </c>
      <c r="E719" s="10">
        <f>IFERROR(IF(INDEX(ERP資料!$F:$F, (MATCH(718, 輔助計算!$E$2:$E$801, 0)+1))="","",INDEX(ERP資料!$F:$F, (MATCH(718, 輔助計算!$E$2:$E$801, 0)+1))), "")</f>
        <v/>
      </c>
      <c r="F719" s="10">
        <f>IFERROR(IF(INDEX(ERP資料!$G:$G, (MATCH(718, 輔助計算!$E$2:$E$801, 0)+1))="","",INDEX(ERP資料!$G:$G, (MATCH(718, 輔助計算!$E$2:$E$801, 0)+1))), "")</f>
        <v/>
      </c>
      <c r="G719" s="10">
        <f>IFERROR(IF(INDEX(ERP資料!$H:$H, (MATCH(718, 輔助計算!$E$2:$E$801, 0)+1))="","",INDEX(ERP資料!$H:$H, (MATCH(718, 輔助計算!$E$2:$E$801, 0)+1))), "")</f>
        <v/>
      </c>
      <c r="H719" s="15">
        <f>IFERROR(INDEX(輔助計算!$D:$D, (MATCH(718, 輔助計算!$E$2:$E$801, 0)+1)), "")</f>
        <v/>
      </c>
      <c r="I719" s="10">
        <f>IFERROR(IF(INDEX(ERP資料!$O:$O, (MATCH(718, 輔助計算!$E$2:$E$801, 0)+1))="","",INDEX(ERP資料!$O:$O, (MATCH(718, 輔助計算!$E$2:$E$801, 0)+1))), "")</f>
        <v/>
      </c>
      <c r="J719" s="15">
        <f>IFERROR(IF(INDEX(輔助計算!$D:$D,(MATCH(718, 輔助計算!$E$2:$E$801, 0)+1))="","",INDEX(輔助計算!$D:$D,(MATCH(718, 輔助計算!$E$2:$E$801, 0)+1))*INDEX(ERP資料!$O:$O,(MATCH(718, 輔助計算!$E$2:$E$801, 0)+1))), "")</f>
        <v/>
      </c>
      <c r="K719" s="16" t="n"/>
      <c r="L719" s="16" t="n"/>
      <c r="M719" s="17" t="n"/>
    </row>
    <row r="720">
      <c r="A720" s="14">
        <f>IFERROR(IF(INDEX(ERP資料!$B:$B, (MATCH(719, 輔助計算!$E$2:$E$801, 0)+1))="","",INDEX(ERP資料!$B:$B, (MATCH(719, 輔助計算!$E$2:$E$801, 0)+1))), "")</f>
        <v/>
      </c>
      <c r="B720" s="10">
        <f>IFERROR(IF(INDEX(ERP資料!$A:$A, (MATCH(719, 輔助計算!$E$2:$E$801, 0)+1))="","",INDEX(ERP資料!$A:$A, (MATCH(719, 輔助計算!$E$2:$E$801, 0)+1))), "")</f>
        <v/>
      </c>
      <c r="C720" s="10">
        <f>IFERROR(IF(INDEX(ERP資料!$S:$S, (MATCH(719, 輔助計算!$E$2:$E$801, 0)+1))="","",INDEX(ERP資料!$S:$S, (MATCH(719, 輔助計算!$E$2:$E$801, 0)+1))), "")</f>
        <v/>
      </c>
      <c r="D720" s="10">
        <f>IFERROR(IF(INDEX(ERP資料!$E:$E, (MATCH(719, 輔助計算!$E$2:$E$801, 0)+1))="","",TRIM(INDEX(ERP資料!$E:$E, (MATCH(719, 輔助計算!$E$2:$E$801, 0)+1)))), "")</f>
        <v/>
      </c>
      <c r="E720" s="10">
        <f>IFERROR(IF(INDEX(ERP資料!$F:$F, (MATCH(719, 輔助計算!$E$2:$E$801, 0)+1))="","",INDEX(ERP資料!$F:$F, (MATCH(719, 輔助計算!$E$2:$E$801, 0)+1))), "")</f>
        <v/>
      </c>
      <c r="F720" s="10">
        <f>IFERROR(IF(INDEX(ERP資料!$G:$G, (MATCH(719, 輔助計算!$E$2:$E$801, 0)+1))="","",INDEX(ERP資料!$G:$G, (MATCH(719, 輔助計算!$E$2:$E$801, 0)+1))), "")</f>
        <v/>
      </c>
      <c r="G720" s="10">
        <f>IFERROR(IF(INDEX(ERP資料!$H:$H, (MATCH(719, 輔助計算!$E$2:$E$801, 0)+1))="","",INDEX(ERP資料!$H:$H, (MATCH(719, 輔助計算!$E$2:$E$801, 0)+1))), "")</f>
        <v/>
      </c>
      <c r="H720" s="15">
        <f>IFERROR(INDEX(輔助計算!$D:$D, (MATCH(719, 輔助計算!$E$2:$E$801, 0)+1)), "")</f>
        <v/>
      </c>
      <c r="I720" s="10">
        <f>IFERROR(IF(INDEX(ERP資料!$O:$O, (MATCH(719, 輔助計算!$E$2:$E$801, 0)+1))="","",INDEX(ERP資料!$O:$O, (MATCH(719, 輔助計算!$E$2:$E$801, 0)+1))), "")</f>
        <v/>
      </c>
      <c r="J720" s="15">
        <f>IFERROR(IF(INDEX(輔助計算!$D:$D,(MATCH(719, 輔助計算!$E$2:$E$801, 0)+1))="","",INDEX(輔助計算!$D:$D,(MATCH(719, 輔助計算!$E$2:$E$801, 0)+1))*INDEX(ERP資料!$O:$O,(MATCH(719, 輔助計算!$E$2:$E$801, 0)+1))), "")</f>
        <v/>
      </c>
      <c r="K720" s="16" t="n"/>
      <c r="L720" s="16" t="n"/>
      <c r="M720" s="17" t="n"/>
    </row>
    <row r="721">
      <c r="A721" s="14">
        <f>IFERROR(IF(INDEX(ERP資料!$B:$B, (MATCH(720, 輔助計算!$E$2:$E$801, 0)+1))="","",INDEX(ERP資料!$B:$B, (MATCH(720, 輔助計算!$E$2:$E$801, 0)+1))), "")</f>
        <v/>
      </c>
      <c r="B721" s="10">
        <f>IFERROR(IF(INDEX(ERP資料!$A:$A, (MATCH(720, 輔助計算!$E$2:$E$801, 0)+1))="","",INDEX(ERP資料!$A:$A, (MATCH(720, 輔助計算!$E$2:$E$801, 0)+1))), "")</f>
        <v/>
      </c>
      <c r="C721" s="10">
        <f>IFERROR(IF(INDEX(ERP資料!$S:$S, (MATCH(720, 輔助計算!$E$2:$E$801, 0)+1))="","",INDEX(ERP資料!$S:$S, (MATCH(720, 輔助計算!$E$2:$E$801, 0)+1))), "")</f>
        <v/>
      </c>
      <c r="D721" s="10">
        <f>IFERROR(IF(INDEX(ERP資料!$E:$E, (MATCH(720, 輔助計算!$E$2:$E$801, 0)+1))="","",TRIM(INDEX(ERP資料!$E:$E, (MATCH(720, 輔助計算!$E$2:$E$801, 0)+1)))), "")</f>
        <v/>
      </c>
      <c r="E721" s="10">
        <f>IFERROR(IF(INDEX(ERP資料!$F:$F, (MATCH(720, 輔助計算!$E$2:$E$801, 0)+1))="","",INDEX(ERP資料!$F:$F, (MATCH(720, 輔助計算!$E$2:$E$801, 0)+1))), "")</f>
        <v/>
      </c>
      <c r="F721" s="10">
        <f>IFERROR(IF(INDEX(ERP資料!$G:$G, (MATCH(720, 輔助計算!$E$2:$E$801, 0)+1))="","",INDEX(ERP資料!$G:$G, (MATCH(720, 輔助計算!$E$2:$E$801, 0)+1))), "")</f>
        <v/>
      </c>
      <c r="G721" s="10">
        <f>IFERROR(IF(INDEX(ERP資料!$H:$H, (MATCH(720, 輔助計算!$E$2:$E$801, 0)+1))="","",INDEX(ERP資料!$H:$H, (MATCH(720, 輔助計算!$E$2:$E$801, 0)+1))), "")</f>
        <v/>
      </c>
      <c r="H721" s="15">
        <f>IFERROR(INDEX(輔助計算!$D:$D, (MATCH(720, 輔助計算!$E$2:$E$801, 0)+1)), "")</f>
        <v/>
      </c>
      <c r="I721" s="10">
        <f>IFERROR(IF(INDEX(ERP資料!$O:$O, (MATCH(720, 輔助計算!$E$2:$E$801, 0)+1))="","",INDEX(ERP資料!$O:$O, (MATCH(720, 輔助計算!$E$2:$E$801, 0)+1))), "")</f>
        <v/>
      </c>
      <c r="J721" s="15">
        <f>IFERROR(IF(INDEX(輔助計算!$D:$D,(MATCH(720, 輔助計算!$E$2:$E$801, 0)+1))="","",INDEX(輔助計算!$D:$D,(MATCH(720, 輔助計算!$E$2:$E$801, 0)+1))*INDEX(ERP資料!$O:$O,(MATCH(720, 輔助計算!$E$2:$E$801, 0)+1))), "")</f>
        <v/>
      </c>
      <c r="K721" s="16" t="n"/>
      <c r="L721" s="16" t="n"/>
      <c r="M721" s="17" t="n"/>
    </row>
    <row r="722">
      <c r="A722" s="14">
        <f>IFERROR(IF(INDEX(ERP資料!$B:$B, (MATCH(721, 輔助計算!$E$2:$E$801, 0)+1))="","",INDEX(ERP資料!$B:$B, (MATCH(721, 輔助計算!$E$2:$E$801, 0)+1))), "")</f>
        <v/>
      </c>
      <c r="B722" s="10">
        <f>IFERROR(IF(INDEX(ERP資料!$A:$A, (MATCH(721, 輔助計算!$E$2:$E$801, 0)+1))="","",INDEX(ERP資料!$A:$A, (MATCH(721, 輔助計算!$E$2:$E$801, 0)+1))), "")</f>
        <v/>
      </c>
      <c r="C722" s="10">
        <f>IFERROR(IF(INDEX(ERP資料!$S:$S, (MATCH(721, 輔助計算!$E$2:$E$801, 0)+1))="","",INDEX(ERP資料!$S:$S, (MATCH(721, 輔助計算!$E$2:$E$801, 0)+1))), "")</f>
        <v/>
      </c>
      <c r="D722" s="10">
        <f>IFERROR(IF(INDEX(ERP資料!$E:$E, (MATCH(721, 輔助計算!$E$2:$E$801, 0)+1))="","",TRIM(INDEX(ERP資料!$E:$E, (MATCH(721, 輔助計算!$E$2:$E$801, 0)+1)))), "")</f>
        <v/>
      </c>
      <c r="E722" s="10">
        <f>IFERROR(IF(INDEX(ERP資料!$F:$F, (MATCH(721, 輔助計算!$E$2:$E$801, 0)+1))="","",INDEX(ERP資料!$F:$F, (MATCH(721, 輔助計算!$E$2:$E$801, 0)+1))), "")</f>
        <v/>
      </c>
      <c r="F722" s="10">
        <f>IFERROR(IF(INDEX(ERP資料!$G:$G, (MATCH(721, 輔助計算!$E$2:$E$801, 0)+1))="","",INDEX(ERP資料!$G:$G, (MATCH(721, 輔助計算!$E$2:$E$801, 0)+1))), "")</f>
        <v/>
      </c>
      <c r="G722" s="10">
        <f>IFERROR(IF(INDEX(ERP資料!$H:$H, (MATCH(721, 輔助計算!$E$2:$E$801, 0)+1))="","",INDEX(ERP資料!$H:$H, (MATCH(721, 輔助計算!$E$2:$E$801, 0)+1))), "")</f>
        <v/>
      </c>
      <c r="H722" s="15">
        <f>IFERROR(INDEX(輔助計算!$D:$D, (MATCH(721, 輔助計算!$E$2:$E$801, 0)+1)), "")</f>
        <v/>
      </c>
      <c r="I722" s="10">
        <f>IFERROR(IF(INDEX(ERP資料!$O:$O, (MATCH(721, 輔助計算!$E$2:$E$801, 0)+1))="","",INDEX(ERP資料!$O:$O, (MATCH(721, 輔助計算!$E$2:$E$801, 0)+1))), "")</f>
        <v/>
      </c>
      <c r="J722" s="15">
        <f>IFERROR(IF(INDEX(輔助計算!$D:$D,(MATCH(721, 輔助計算!$E$2:$E$801, 0)+1))="","",INDEX(輔助計算!$D:$D,(MATCH(721, 輔助計算!$E$2:$E$801, 0)+1))*INDEX(ERP資料!$O:$O,(MATCH(721, 輔助計算!$E$2:$E$801, 0)+1))), "")</f>
        <v/>
      </c>
      <c r="K722" s="16" t="n"/>
      <c r="L722" s="16" t="n"/>
      <c r="M722" s="17" t="n"/>
    </row>
    <row r="723">
      <c r="A723" s="14">
        <f>IFERROR(IF(INDEX(ERP資料!$B:$B, (MATCH(722, 輔助計算!$E$2:$E$801, 0)+1))="","",INDEX(ERP資料!$B:$B, (MATCH(722, 輔助計算!$E$2:$E$801, 0)+1))), "")</f>
        <v/>
      </c>
      <c r="B723" s="10">
        <f>IFERROR(IF(INDEX(ERP資料!$A:$A, (MATCH(722, 輔助計算!$E$2:$E$801, 0)+1))="","",INDEX(ERP資料!$A:$A, (MATCH(722, 輔助計算!$E$2:$E$801, 0)+1))), "")</f>
        <v/>
      </c>
      <c r="C723" s="10">
        <f>IFERROR(IF(INDEX(ERP資料!$S:$S, (MATCH(722, 輔助計算!$E$2:$E$801, 0)+1))="","",INDEX(ERP資料!$S:$S, (MATCH(722, 輔助計算!$E$2:$E$801, 0)+1))), "")</f>
        <v/>
      </c>
      <c r="D723" s="10">
        <f>IFERROR(IF(INDEX(ERP資料!$E:$E, (MATCH(722, 輔助計算!$E$2:$E$801, 0)+1))="","",TRIM(INDEX(ERP資料!$E:$E, (MATCH(722, 輔助計算!$E$2:$E$801, 0)+1)))), "")</f>
        <v/>
      </c>
      <c r="E723" s="10">
        <f>IFERROR(IF(INDEX(ERP資料!$F:$F, (MATCH(722, 輔助計算!$E$2:$E$801, 0)+1))="","",INDEX(ERP資料!$F:$F, (MATCH(722, 輔助計算!$E$2:$E$801, 0)+1))), "")</f>
        <v/>
      </c>
      <c r="F723" s="10">
        <f>IFERROR(IF(INDEX(ERP資料!$G:$G, (MATCH(722, 輔助計算!$E$2:$E$801, 0)+1))="","",INDEX(ERP資料!$G:$G, (MATCH(722, 輔助計算!$E$2:$E$801, 0)+1))), "")</f>
        <v/>
      </c>
      <c r="G723" s="10">
        <f>IFERROR(IF(INDEX(ERP資料!$H:$H, (MATCH(722, 輔助計算!$E$2:$E$801, 0)+1))="","",INDEX(ERP資料!$H:$H, (MATCH(722, 輔助計算!$E$2:$E$801, 0)+1))), "")</f>
        <v/>
      </c>
      <c r="H723" s="15">
        <f>IFERROR(INDEX(輔助計算!$D:$D, (MATCH(722, 輔助計算!$E$2:$E$801, 0)+1)), "")</f>
        <v/>
      </c>
      <c r="I723" s="10">
        <f>IFERROR(IF(INDEX(ERP資料!$O:$O, (MATCH(722, 輔助計算!$E$2:$E$801, 0)+1))="","",INDEX(ERP資料!$O:$O, (MATCH(722, 輔助計算!$E$2:$E$801, 0)+1))), "")</f>
        <v/>
      </c>
      <c r="J723" s="15">
        <f>IFERROR(IF(INDEX(輔助計算!$D:$D,(MATCH(722, 輔助計算!$E$2:$E$801, 0)+1))="","",INDEX(輔助計算!$D:$D,(MATCH(722, 輔助計算!$E$2:$E$801, 0)+1))*INDEX(ERP資料!$O:$O,(MATCH(722, 輔助計算!$E$2:$E$801, 0)+1))), "")</f>
        <v/>
      </c>
      <c r="K723" s="16" t="n"/>
      <c r="L723" s="16" t="n"/>
      <c r="M723" s="17" t="n"/>
    </row>
    <row r="724">
      <c r="A724" s="14">
        <f>IFERROR(IF(INDEX(ERP資料!$B:$B, (MATCH(723, 輔助計算!$E$2:$E$801, 0)+1))="","",INDEX(ERP資料!$B:$B, (MATCH(723, 輔助計算!$E$2:$E$801, 0)+1))), "")</f>
        <v/>
      </c>
      <c r="B724" s="10">
        <f>IFERROR(IF(INDEX(ERP資料!$A:$A, (MATCH(723, 輔助計算!$E$2:$E$801, 0)+1))="","",INDEX(ERP資料!$A:$A, (MATCH(723, 輔助計算!$E$2:$E$801, 0)+1))), "")</f>
        <v/>
      </c>
      <c r="C724" s="10">
        <f>IFERROR(IF(INDEX(ERP資料!$S:$S, (MATCH(723, 輔助計算!$E$2:$E$801, 0)+1))="","",INDEX(ERP資料!$S:$S, (MATCH(723, 輔助計算!$E$2:$E$801, 0)+1))), "")</f>
        <v/>
      </c>
      <c r="D724" s="10">
        <f>IFERROR(IF(INDEX(ERP資料!$E:$E, (MATCH(723, 輔助計算!$E$2:$E$801, 0)+1))="","",TRIM(INDEX(ERP資料!$E:$E, (MATCH(723, 輔助計算!$E$2:$E$801, 0)+1)))), "")</f>
        <v/>
      </c>
      <c r="E724" s="10">
        <f>IFERROR(IF(INDEX(ERP資料!$F:$F, (MATCH(723, 輔助計算!$E$2:$E$801, 0)+1))="","",INDEX(ERP資料!$F:$F, (MATCH(723, 輔助計算!$E$2:$E$801, 0)+1))), "")</f>
        <v/>
      </c>
      <c r="F724" s="10">
        <f>IFERROR(IF(INDEX(ERP資料!$G:$G, (MATCH(723, 輔助計算!$E$2:$E$801, 0)+1))="","",INDEX(ERP資料!$G:$G, (MATCH(723, 輔助計算!$E$2:$E$801, 0)+1))), "")</f>
        <v/>
      </c>
      <c r="G724" s="10">
        <f>IFERROR(IF(INDEX(ERP資料!$H:$H, (MATCH(723, 輔助計算!$E$2:$E$801, 0)+1))="","",INDEX(ERP資料!$H:$H, (MATCH(723, 輔助計算!$E$2:$E$801, 0)+1))), "")</f>
        <v/>
      </c>
      <c r="H724" s="15">
        <f>IFERROR(INDEX(輔助計算!$D:$D, (MATCH(723, 輔助計算!$E$2:$E$801, 0)+1)), "")</f>
        <v/>
      </c>
      <c r="I724" s="10">
        <f>IFERROR(IF(INDEX(ERP資料!$O:$O, (MATCH(723, 輔助計算!$E$2:$E$801, 0)+1))="","",INDEX(ERP資料!$O:$O, (MATCH(723, 輔助計算!$E$2:$E$801, 0)+1))), "")</f>
        <v/>
      </c>
      <c r="J724" s="15">
        <f>IFERROR(IF(INDEX(輔助計算!$D:$D,(MATCH(723, 輔助計算!$E$2:$E$801, 0)+1))="","",INDEX(輔助計算!$D:$D,(MATCH(723, 輔助計算!$E$2:$E$801, 0)+1))*INDEX(ERP資料!$O:$O,(MATCH(723, 輔助計算!$E$2:$E$801, 0)+1))), "")</f>
        <v/>
      </c>
      <c r="K724" s="16" t="n"/>
      <c r="L724" s="16" t="n"/>
      <c r="M724" s="17" t="n"/>
    </row>
    <row r="725">
      <c r="A725" s="14">
        <f>IFERROR(IF(INDEX(ERP資料!$B:$B, (MATCH(724, 輔助計算!$E$2:$E$801, 0)+1))="","",INDEX(ERP資料!$B:$B, (MATCH(724, 輔助計算!$E$2:$E$801, 0)+1))), "")</f>
        <v/>
      </c>
      <c r="B725" s="10">
        <f>IFERROR(IF(INDEX(ERP資料!$A:$A, (MATCH(724, 輔助計算!$E$2:$E$801, 0)+1))="","",INDEX(ERP資料!$A:$A, (MATCH(724, 輔助計算!$E$2:$E$801, 0)+1))), "")</f>
        <v/>
      </c>
      <c r="C725" s="10">
        <f>IFERROR(IF(INDEX(ERP資料!$S:$S, (MATCH(724, 輔助計算!$E$2:$E$801, 0)+1))="","",INDEX(ERP資料!$S:$S, (MATCH(724, 輔助計算!$E$2:$E$801, 0)+1))), "")</f>
        <v/>
      </c>
      <c r="D725" s="10">
        <f>IFERROR(IF(INDEX(ERP資料!$E:$E, (MATCH(724, 輔助計算!$E$2:$E$801, 0)+1))="","",TRIM(INDEX(ERP資料!$E:$E, (MATCH(724, 輔助計算!$E$2:$E$801, 0)+1)))), "")</f>
        <v/>
      </c>
      <c r="E725" s="10">
        <f>IFERROR(IF(INDEX(ERP資料!$F:$F, (MATCH(724, 輔助計算!$E$2:$E$801, 0)+1))="","",INDEX(ERP資料!$F:$F, (MATCH(724, 輔助計算!$E$2:$E$801, 0)+1))), "")</f>
        <v/>
      </c>
      <c r="F725" s="10">
        <f>IFERROR(IF(INDEX(ERP資料!$G:$G, (MATCH(724, 輔助計算!$E$2:$E$801, 0)+1))="","",INDEX(ERP資料!$G:$G, (MATCH(724, 輔助計算!$E$2:$E$801, 0)+1))), "")</f>
        <v/>
      </c>
      <c r="G725" s="10">
        <f>IFERROR(IF(INDEX(ERP資料!$H:$H, (MATCH(724, 輔助計算!$E$2:$E$801, 0)+1))="","",INDEX(ERP資料!$H:$H, (MATCH(724, 輔助計算!$E$2:$E$801, 0)+1))), "")</f>
        <v/>
      </c>
      <c r="H725" s="15">
        <f>IFERROR(INDEX(輔助計算!$D:$D, (MATCH(724, 輔助計算!$E$2:$E$801, 0)+1)), "")</f>
        <v/>
      </c>
      <c r="I725" s="10">
        <f>IFERROR(IF(INDEX(ERP資料!$O:$O, (MATCH(724, 輔助計算!$E$2:$E$801, 0)+1))="","",INDEX(ERP資料!$O:$O, (MATCH(724, 輔助計算!$E$2:$E$801, 0)+1))), "")</f>
        <v/>
      </c>
      <c r="J725" s="15">
        <f>IFERROR(IF(INDEX(輔助計算!$D:$D,(MATCH(724, 輔助計算!$E$2:$E$801, 0)+1))="","",INDEX(輔助計算!$D:$D,(MATCH(724, 輔助計算!$E$2:$E$801, 0)+1))*INDEX(ERP資料!$O:$O,(MATCH(724, 輔助計算!$E$2:$E$801, 0)+1))), "")</f>
        <v/>
      </c>
      <c r="K725" s="16" t="n"/>
      <c r="L725" s="16" t="n"/>
      <c r="M725" s="17" t="n"/>
    </row>
    <row r="726">
      <c r="A726" s="14">
        <f>IFERROR(IF(INDEX(ERP資料!$B:$B, (MATCH(725, 輔助計算!$E$2:$E$801, 0)+1))="","",INDEX(ERP資料!$B:$B, (MATCH(725, 輔助計算!$E$2:$E$801, 0)+1))), "")</f>
        <v/>
      </c>
      <c r="B726" s="10">
        <f>IFERROR(IF(INDEX(ERP資料!$A:$A, (MATCH(725, 輔助計算!$E$2:$E$801, 0)+1))="","",INDEX(ERP資料!$A:$A, (MATCH(725, 輔助計算!$E$2:$E$801, 0)+1))), "")</f>
        <v/>
      </c>
      <c r="C726" s="10">
        <f>IFERROR(IF(INDEX(ERP資料!$S:$S, (MATCH(725, 輔助計算!$E$2:$E$801, 0)+1))="","",INDEX(ERP資料!$S:$S, (MATCH(725, 輔助計算!$E$2:$E$801, 0)+1))), "")</f>
        <v/>
      </c>
      <c r="D726" s="10">
        <f>IFERROR(IF(INDEX(ERP資料!$E:$E, (MATCH(725, 輔助計算!$E$2:$E$801, 0)+1))="","",TRIM(INDEX(ERP資料!$E:$E, (MATCH(725, 輔助計算!$E$2:$E$801, 0)+1)))), "")</f>
        <v/>
      </c>
      <c r="E726" s="10">
        <f>IFERROR(IF(INDEX(ERP資料!$F:$F, (MATCH(725, 輔助計算!$E$2:$E$801, 0)+1))="","",INDEX(ERP資料!$F:$F, (MATCH(725, 輔助計算!$E$2:$E$801, 0)+1))), "")</f>
        <v/>
      </c>
      <c r="F726" s="10">
        <f>IFERROR(IF(INDEX(ERP資料!$G:$G, (MATCH(725, 輔助計算!$E$2:$E$801, 0)+1))="","",INDEX(ERP資料!$G:$G, (MATCH(725, 輔助計算!$E$2:$E$801, 0)+1))), "")</f>
        <v/>
      </c>
      <c r="G726" s="10">
        <f>IFERROR(IF(INDEX(ERP資料!$H:$H, (MATCH(725, 輔助計算!$E$2:$E$801, 0)+1))="","",INDEX(ERP資料!$H:$H, (MATCH(725, 輔助計算!$E$2:$E$801, 0)+1))), "")</f>
        <v/>
      </c>
      <c r="H726" s="15">
        <f>IFERROR(INDEX(輔助計算!$D:$D, (MATCH(725, 輔助計算!$E$2:$E$801, 0)+1)), "")</f>
        <v/>
      </c>
      <c r="I726" s="10">
        <f>IFERROR(IF(INDEX(ERP資料!$O:$O, (MATCH(725, 輔助計算!$E$2:$E$801, 0)+1))="","",INDEX(ERP資料!$O:$O, (MATCH(725, 輔助計算!$E$2:$E$801, 0)+1))), "")</f>
        <v/>
      </c>
      <c r="J726" s="15">
        <f>IFERROR(IF(INDEX(輔助計算!$D:$D,(MATCH(725, 輔助計算!$E$2:$E$801, 0)+1))="","",INDEX(輔助計算!$D:$D,(MATCH(725, 輔助計算!$E$2:$E$801, 0)+1))*INDEX(ERP資料!$O:$O,(MATCH(725, 輔助計算!$E$2:$E$801, 0)+1))), "")</f>
        <v/>
      </c>
      <c r="K726" s="16" t="n"/>
      <c r="L726" s="16" t="n"/>
      <c r="M726" s="17" t="n"/>
    </row>
    <row r="727">
      <c r="A727" s="14">
        <f>IFERROR(IF(INDEX(ERP資料!$B:$B, (MATCH(726, 輔助計算!$E$2:$E$801, 0)+1))="","",INDEX(ERP資料!$B:$B, (MATCH(726, 輔助計算!$E$2:$E$801, 0)+1))), "")</f>
        <v/>
      </c>
      <c r="B727" s="10">
        <f>IFERROR(IF(INDEX(ERP資料!$A:$A, (MATCH(726, 輔助計算!$E$2:$E$801, 0)+1))="","",INDEX(ERP資料!$A:$A, (MATCH(726, 輔助計算!$E$2:$E$801, 0)+1))), "")</f>
        <v/>
      </c>
      <c r="C727" s="10">
        <f>IFERROR(IF(INDEX(ERP資料!$S:$S, (MATCH(726, 輔助計算!$E$2:$E$801, 0)+1))="","",INDEX(ERP資料!$S:$S, (MATCH(726, 輔助計算!$E$2:$E$801, 0)+1))), "")</f>
        <v/>
      </c>
      <c r="D727" s="10">
        <f>IFERROR(IF(INDEX(ERP資料!$E:$E, (MATCH(726, 輔助計算!$E$2:$E$801, 0)+1))="","",TRIM(INDEX(ERP資料!$E:$E, (MATCH(726, 輔助計算!$E$2:$E$801, 0)+1)))), "")</f>
        <v/>
      </c>
      <c r="E727" s="10">
        <f>IFERROR(IF(INDEX(ERP資料!$F:$F, (MATCH(726, 輔助計算!$E$2:$E$801, 0)+1))="","",INDEX(ERP資料!$F:$F, (MATCH(726, 輔助計算!$E$2:$E$801, 0)+1))), "")</f>
        <v/>
      </c>
      <c r="F727" s="10">
        <f>IFERROR(IF(INDEX(ERP資料!$G:$G, (MATCH(726, 輔助計算!$E$2:$E$801, 0)+1))="","",INDEX(ERP資料!$G:$G, (MATCH(726, 輔助計算!$E$2:$E$801, 0)+1))), "")</f>
        <v/>
      </c>
      <c r="G727" s="10">
        <f>IFERROR(IF(INDEX(ERP資料!$H:$H, (MATCH(726, 輔助計算!$E$2:$E$801, 0)+1))="","",INDEX(ERP資料!$H:$H, (MATCH(726, 輔助計算!$E$2:$E$801, 0)+1))), "")</f>
        <v/>
      </c>
      <c r="H727" s="15">
        <f>IFERROR(INDEX(輔助計算!$D:$D, (MATCH(726, 輔助計算!$E$2:$E$801, 0)+1)), "")</f>
        <v/>
      </c>
      <c r="I727" s="10">
        <f>IFERROR(IF(INDEX(ERP資料!$O:$O, (MATCH(726, 輔助計算!$E$2:$E$801, 0)+1))="","",INDEX(ERP資料!$O:$O, (MATCH(726, 輔助計算!$E$2:$E$801, 0)+1))), "")</f>
        <v/>
      </c>
      <c r="J727" s="15">
        <f>IFERROR(IF(INDEX(輔助計算!$D:$D,(MATCH(726, 輔助計算!$E$2:$E$801, 0)+1))="","",INDEX(輔助計算!$D:$D,(MATCH(726, 輔助計算!$E$2:$E$801, 0)+1))*INDEX(ERP資料!$O:$O,(MATCH(726, 輔助計算!$E$2:$E$801, 0)+1))), "")</f>
        <v/>
      </c>
      <c r="K727" s="16" t="n"/>
      <c r="L727" s="16" t="n"/>
      <c r="M727" s="17" t="n"/>
    </row>
    <row r="728">
      <c r="A728" s="14">
        <f>IFERROR(IF(INDEX(ERP資料!$B:$B, (MATCH(727, 輔助計算!$E$2:$E$801, 0)+1))="","",INDEX(ERP資料!$B:$B, (MATCH(727, 輔助計算!$E$2:$E$801, 0)+1))), "")</f>
        <v/>
      </c>
      <c r="B728" s="10">
        <f>IFERROR(IF(INDEX(ERP資料!$A:$A, (MATCH(727, 輔助計算!$E$2:$E$801, 0)+1))="","",INDEX(ERP資料!$A:$A, (MATCH(727, 輔助計算!$E$2:$E$801, 0)+1))), "")</f>
        <v/>
      </c>
      <c r="C728" s="10">
        <f>IFERROR(IF(INDEX(ERP資料!$S:$S, (MATCH(727, 輔助計算!$E$2:$E$801, 0)+1))="","",INDEX(ERP資料!$S:$S, (MATCH(727, 輔助計算!$E$2:$E$801, 0)+1))), "")</f>
        <v/>
      </c>
      <c r="D728" s="10">
        <f>IFERROR(IF(INDEX(ERP資料!$E:$E, (MATCH(727, 輔助計算!$E$2:$E$801, 0)+1))="","",TRIM(INDEX(ERP資料!$E:$E, (MATCH(727, 輔助計算!$E$2:$E$801, 0)+1)))), "")</f>
        <v/>
      </c>
      <c r="E728" s="10">
        <f>IFERROR(IF(INDEX(ERP資料!$F:$F, (MATCH(727, 輔助計算!$E$2:$E$801, 0)+1))="","",INDEX(ERP資料!$F:$F, (MATCH(727, 輔助計算!$E$2:$E$801, 0)+1))), "")</f>
        <v/>
      </c>
      <c r="F728" s="10">
        <f>IFERROR(IF(INDEX(ERP資料!$G:$G, (MATCH(727, 輔助計算!$E$2:$E$801, 0)+1))="","",INDEX(ERP資料!$G:$G, (MATCH(727, 輔助計算!$E$2:$E$801, 0)+1))), "")</f>
        <v/>
      </c>
      <c r="G728" s="10">
        <f>IFERROR(IF(INDEX(ERP資料!$H:$H, (MATCH(727, 輔助計算!$E$2:$E$801, 0)+1))="","",INDEX(ERP資料!$H:$H, (MATCH(727, 輔助計算!$E$2:$E$801, 0)+1))), "")</f>
        <v/>
      </c>
      <c r="H728" s="15">
        <f>IFERROR(INDEX(輔助計算!$D:$D, (MATCH(727, 輔助計算!$E$2:$E$801, 0)+1)), "")</f>
        <v/>
      </c>
      <c r="I728" s="10">
        <f>IFERROR(IF(INDEX(ERP資料!$O:$O, (MATCH(727, 輔助計算!$E$2:$E$801, 0)+1))="","",INDEX(ERP資料!$O:$O, (MATCH(727, 輔助計算!$E$2:$E$801, 0)+1))), "")</f>
        <v/>
      </c>
      <c r="J728" s="15">
        <f>IFERROR(IF(INDEX(輔助計算!$D:$D,(MATCH(727, 輔助計算!$E$2:$E$801, 0)+1))="","",INDEX(輔助計算!$D:$D,(MATCH(727, 輔助計算!$E$2:$E$801, 0)+1))*INDEX(ERP資料!$O:$O,(MATCH(727, 輔助計算!$E$2:$E$801, 0)+1))), "")</f>
        <v/>
      </c>
      <c r="K728" s="16" t="n"/>
      <c r="L728" s="16" t="n"/>
      <c r="M728" s="17" t="n"/>
    </row>
    <row r="729">
      <c r="A729" s="14">
        <f>IFERROR(IF(INDEX(ERP資料!$B:$B, (MATCH(728, 輔助計算!$E$2:$E$801, 0)+1))="","",INDEX(ERP資料!$B:$B, (MATCH(728, 輔助計算!$E$2:$E$801, 0)+1))), "")</f>
        <v/>
      </c>
      <c r="B729" s="10">
        <f>IFERROR(IF(INDEX(ERP資料!$A:$A, (MATCH(728, 輔助計算!$E$2:$E$801, 0)+1))="","",INDEX(ERP資料!$A:$A, (MATCH(728, 輔助計算!$E$2:$E$801, 0)+1))), "")</f>
        <v/>
      </c>
      <c r="C729" s="10">
        <f>IFERROR(IF(INDEX(ERP資料!$S:$S, (MATCH(728, 輔助計算!$E$2:$E$801, 0)+1))="","",INDEX(ERP資料!$S:$S, (MATCH(728, 輔助計算!$E$2:$E$801, 0)+1))), "")</f>
        <v/>
      </c>
      <c r="D729" s="10">
        <f>IFERROR(IF(INDEX(ERP資料!$E:$E, (MATCH(728, 輔助計算!$E$2:$E$801, 0)+1))="","",TRIM(INDEX(ERP資料!$E:$E, (MATCH(728, 輔助計算!$E$2:$E$801, 0)+1)))), "")</f>
        <v/>
      </c>
      <c r="E729" s="10">
        <f>IFERROR(IF(INDEX(ERP資料!$F:$F, (MATCH(728, 輔助計算!$E$2:$E$801, 0)+1))="","",INDEX(ERP資料!$F:$F, (MATCH(728, 輔助計算!$E$2:$E$801, 0)+1))), "")</f>
        <v/>
      </c>
      <c r="F729" s="10">
        <f>IFERROR(IF(INDEX(ERP資料!$G:$G, (MATCH(728, 輔助計算!$E$2:$E$801, 0)+1))="","",INDEX(ERP資料!$G:$G, (MATCH(728, 輔助計算!$E$2:$E$801, 0)+1))), "")</f>
        <v/>
      </c>
      <c r="G729" s="10">
        <f>IFERROR(IF(INDEX(ERP資料!$H:$H, (MATCH(728, 輔助計算!$E$2:$E$801, 0)+1))="","",INDEX(ERP資料!$H:$H, (MATCH(728, 輔助計算!$E$2:$E$801, 0)+1))), "")</f>
        <v/>
      </c>
      <c r="H729" s="15">
        <f>IFERROR(INDEX(輔助計算!$D:$D, (MATCH(728, 輔助計算!$E$2:$E$801, 0)+1)), "")</f>
        <v/>
      </c>
      <c r="I729" s="10">
        <f>IFERROR(IF(INDEX(ERP資料!$O:$O, (MATCH(728, 輔助計算!$E$2:$E$801, 0)+1))="","",INDEX(ERP資料!$O:$O, (MATCH(728, 輔助計算!$E$2:$E$801, 0)+1))), "")</f>
        <v/>
      </c>
      <c r="J729" s="15">
        <f>IFERROR(IF(INDEX(輔助計算!$D:$D,(MATCH(728, 輔助計算!$E$2:$E$801, 0)+1))="","",INDEX(輔助計算!$D:$D,(MATCH(728, 輔助計算!$E$2:$E$801, 0)+1))*INDEX(ERP資料!$O:$O,(MATCH(728, 輔助計算!$E$2:$E$801, 0)+1))), "")</f>
        <v/>
      </c>
      <c r="K729" s="16" t="n"/>
      <c r="L729" s="16" t="n"/>
      <c r="M729" s="17" t="n"/>
    </row>
    <row r="730">
      <c r="A730" s="14">
        <f>IFERROR(IF(INDEX(ERP資料!$B:$B, (MATCH(729, 輔助計算!$E$2:$E$801, 0)+1))="","",INDEX(ERP資料!$B:$B, (MATCH(729, 輔助計算!$E$2:$E$801, 0)+1))), "")</f>
        <v/>
      </c>
      <c r="B730" s="10">
        <f>IFERROR(IF(INDEX(ERP資料!$A:$A, (MATCH(729, 輔助計算!$E$2:$E$801, 0)+1))="","",INDEX(ERP資料!$A:$A, (MATCH(729, 輔助計算!$E$2:$E$801, 0)+1))), "")</f>
        <v/>
      </c>
      <c r="C730" s="10">
        <f>IFERROR(IF(INDEX(ERP資料!$S:$S, (MATCH(729, 輔助計算!$E$2:$E$801, 0)+1))="","",INDEX(ERP資料!$S:$S, (MATCH(729, 輔助計算!$E$2:$E$801, 0)+1))), "")</f>
        <v/>
      </c>
      <c r="D730" s="10">
        <f>IFERROR(IF(INDEX(ERP資料!$E:$E, (MATCH(729, 輔助計算!$E$2:$E$801, 0)+1))="","",TRIM(INDEX(ERP資料!$E:$E, (MATCH(729, 輔助計算!$E$2:$E$801, 0)+1)))), "")</f>
        <v/>
      </c>
      <c r="E730" s="10">
        <f>IFERROR(IF(INDEX(ERP資料!$F:$F, (MATCH(729, 輔助計算!$E$2:$E$801, 0)+1))="","",INDEX(ERP資料!$F:$F, (MATCH(729, 輔助計算!$E$2:$E$801, 0)+1))), "")</f>
        <v/>
      </c>
      <c r="F730" s="10">
        <f>IFERROR(IF(INDEX(ERP資料!$G:$G, (MATCH(729, 輔助計算!$E$2:$E$801, 0)+1))="","",INDEX(ERP資料!$G:$G, (MATCH(729, 輔助計算!$E$2:$E$801, 0)+1))), "")</f>
        <v/>
      </c>
      <c r="G730" s="10">
        <f>IFERROR(IF(INDEX(ERP資料!$H:$H, (MATCH(729, 輔助計算!$E$2:$E$801, 0)+1))="","",INDEX(ERP資料!$H:$H, (MATCH(729, 輔助計算!$E$2:$E$801, 0)+1))), "")</f>
        <v/>
      </c>
      <c r="H730" s="15">
        <f>IFERROR(INDEX(輔助計算!$D:$D, (MATCH(729, 輔助計算!$E$2:$E$801, 0)+1)), "")</f>
        <v/>
      </c>
      <c r="I730" s="10">
        <f>IFERROR(IF(INDEX(ERP資料!$O:$O, (MATCH(729, 輔助計算!$E$2:$E$801, 0)+1))="","",INDEX(ERP資料!$O:$O, (MATCH(729, 輔助計算!$E$2:$E$801, 0)+1))), "")</f>
        <v/>
      </c>
      <c r="J730" s="15">
        <f>IFERROR(IF(INDEX(輔助計算!$D:$D,(MATCH(729, 輔助計算!$E$2:$E$801, 0)+1))="","",INDEX(輔助計算!$D:$D,(MATCH(729, 輔助計算!$E$2:$E$801, 0)+1))*INDEX(ERP資料!$O:$O,(MATCH(729, 輔助計算!$E$2:$E$801, 0)+1))), "")</f>
        <v/>
      </c>
      <c r="K730" s="16" t="n"/>
      <c r="L730" s="16" t="n"/>
      <c r="M730" s="17" t="n"/>
    </row>
    <row r="731">
      <c r="A731" s="14">
        <f>IFERROR(IF(INDEX(ERP資料!$B:$B, (MATCH(730, 輔助計算!$E$2:$E$801, 0)+1))="","",INDEX(ERP資料!$B:$B, (MATCH(730, 輔助計算!$E$2:$E$801, 0)+1))), "")</f>
        <v/>
      </c>
      <c r="B731" s="10">
        <f>IFERROR(IF(INDEX(ERP資料!$A:$A, (MATCH(730, 輔助計算!$E$2:$E$801, 0)+1))="","",INDEX(ERP資料!$A:$A, (MATCH(730, 輔助計算!$E$2:$E$801, 0)+1))), "")</f>
        <v/>
      </c>
      <c r="C731" s="10">
        <f>IFERROR(IF(INDEX(ERP資料!$S:$S, (MATCH(730, 輔助計算!$E$2:$E$801, 0)+1))="","",INDEX(ERP資料!$S:$S, (MATCH(730, 輔助計算!$E$2:$E$801, 0)+1))), "")</f>
        <v/>
      </c>
      <c r="D731" s="10">
        <f>IFERROR(IF(INDEX(ERP資料!$E:$E, (MATCH(730, 輔助計算!$E$2:$E$801, 0)+1))="","",TRIM(INDEX(ERP資料!$E:$E, (MATCH(730, 輔助計算!$E$2:$E$801, 0)+1)))), "")</f>
        <v/>
      </c>
      <c r="E731" s="10">
        <f>IFERROR(IF(INDEX(ERP資料!$F:$F, (MATCH(730, 輔助計算!$E$2:$E$801, 0)+1))="","",INDEX(ERP資料!$F:$F, (MATCH(730, 輔助計算!$E$2:$E$801, 0)+1))), "")</f>
        <v/>
      </c>
      <c r="F731" s="10">
        <f>IFERROR(IF(INDEX(ERP資料!$G:$G, (MATCH(730, 輔助計算!$E$2:$E$801, 0)+1))="","",INDEX(ERP資料!$G:$G, (MATCH(730, 輔助計算!$E$2:$E$801, 0)+1))), "")</f>
        <v/>
      </c>
      <c r="G731" s="10">
        <f>IFERROR(IF(INDEX(ERP資料!$H:$H, (MATCH(730, 輔助計算!$E$2:$E$801, 0)+1))="","",INDEX(ERP資料!$H:$H, (MATCH(730, 輔助計算!$E$2:$E$801, 0)+1))), "")</f>
        <v/>
      </c>
      <c r="H731" s="15">
        <f>IFERROR(INDEX(輔助計算!$D:$D, (MATCH(730, 輔助計算!$E$2:$E$801, 0)+1)), "")</f>
        <v/>
      </c>
      <c r="I731" s="10">
        <f>IFERROR(IF(INDEX(ERP資料!$O:$O, (MATCH(730, 輔助計算!$E$2:$E$801, 0)+1))="","",INDEX(ERP資料!$O:$O, (MATCH(730, 輔助計算!$E$2:$E$801, 0)+1))), "")</f>
        <v/>
      </c>
      <c r="J731" s="15">
        <f>IFERROR(IF(INDEX(輔助計算!$D:$D,(MATCH(730, 輔助計算!$E$2:$E$801, 0)+1))="","",INDEX(輔助計算!$D:$D,(MATCH(730, 輔助計算!$E$2:$E$801, 0)+1))*INDEX(ERP資料!$O:$O,(MATCH(730, 輔助計算!$E$2:$E$801, 0)+1))), "")</f>
        <v/>
      </c>
      <c r="K731" s="16" t="n"/>
      <c r="L731" s="16" t="n"/>
      <c r="M731" s="17" t="n"/>
    </row>
    <row r="732">
      <c r="A732" s="14">
        <f>IFERROR(IF(INDEX(ERP資料!$B:$B, (MATCH(731, 輔助計算!$E$2:$E$801, 0)+1))="","",INDEX(ERP資料!$B:$B, (MATCH(731, 輔助計算!$E$2:$E$801, 0)+1))), "")</f>
        <v/>
      </c>
      <c r="B732" s="10">
        <f>IFERROR(IF(INDEX(ERP資料!$A:$A, (MATCH(731, 輔助計算!$E$2:$E$801, 0)+1))="","",INDEX(ERP資料!$A:$A, (MATCH(731, 輔助計算!$E$2:$E$801, 0)+1))), "")</f>
        <v/>
      </c>
      <c r="C732" s="10">
        <f>IFERROR(IF(INDEX(ERP資料!$S:$S, (MATCH(731, 輔助計算!$E$2:$E$801, 0)+1))="","",INDEX(ERP資料!$S:$S, (MATCH(731, 輔助計算!$E$2:$E$801, 0)+1))), "")</f>
        <v/>
      </c>
      <c r="D732" s="10">
        <f>IFERROR(IF(INDEX(ERP資料!$E:$E, (MATCH(731, 輔助計算!$E$2:$E$801, 0)+1))="","",TRIM(INDEX(ERP資料!$E:$E, (MATCH(731, 輔助計算!$E$2:$E$801, 0)+1)))), "")</f>
        <v/>
      </c>
      <c r="E732" s="10">
        <f>IFERROR(IF(INDEX(ERP資料!$F:$F, (MATCH(731, 輔助計算!$E$2:$E$801, 0)+1))="","",INDEX(ERP資料!$F:$F, (MATCH(731, 輔助計算!$E$2:$E$801, 0)+1))), "")</f>
        <v/>
      </c>
      <c r="F732" s="10">
        <f>IFERROR(IF(INDEX(ERP資料!$G:$G, (MATCH(731, 輔助計算!$E$2:$E$801, 0)+1))="","",INDEX(ERP資料!$G:$G, (MATCH(731, 輔助計算!$E$2:$E$801, 0)+1))), "")</f>
        <v/>
      </c>
      <c r="G732" s="10">
        <f>IFERROR(IF(INDEX(ERP資料!$H:$H, (MATCH(731, 輔助計算!$E$2:$E$801, 0)+1))="","",INDEX(ERP資料!$H:$H, (MATCH(731, 輔助計算!$E$2:$E$801, 0)+1))), "")</f>
        <v/>
      </c>
      <c r="H732" s="15">
        <f>IFERROR(INDEX(輔助計算!$D:$D, (MATCH(731, 輔助計算!$E$2:$E$801, 0)+1)), "")</f>
        <v/>
      </c>
      <c r="I732" s="10">
        <f>IFERROR(IF(INDEX(ERP資料!$O:$O, (MATCH(731, 輔助計算!$E$2:$E$801, 0)+1))="","",INDEX(ERP資料!$O:$O, (MATCH(731, 輔助計算!$E$2:$E$801, 0)+1))), "")</f>
        <v/>
      </c>
      <c r="J732" s="15">
        <f>IFERROR(IF(INDEX(輔助計算!$D:$D,(MATCH(731, 輔助計算!$E$2:$E$801, 0)+1))="","",INDEX(輔助計算!$D:$D,(MATCH(731, 輔助計算!$E$2:$E$801, 0)+1))*INDEX(ERP資料!$O:$O,(MATCH(731, 輔助計算!$E$2:$E$801, 0)+1))), "")</f>
        <v/>
      </c>
      <c r="K732" s="16" t="n"/>
      <c r="L732" s="16" t="n"/>
      <c r="M732" s="17" t="n"/>
    </row>
    <row r="733">
      <c r="A733" s="14">
        <f>IFERROR(IF(INDEX(ERP資料!$B:$B, (MATCH(732, 輔助計算!$E$2:$E$801, 0)+1))="","",INDEX(ERP資料!$B:$B, (MATCH(732, 輔助計算!$E$2:$E$801, 0)+1))), "")</f>
        <v/>
      </c>
      <c r="B733" s="10">
        <f>IFERROR(IF(INDEX(ERP資料!$A:$A, (MATCH(732, 輔助計算!$E$2:$E$801, 0)+1))="","",INDEX(ERP資料!$A:$A, (MATCH(732, 輔助計算!$E$2:$E$801, 0)+1))), "")</f>
        <v/>
      </c>
      <c r="C733" s="10">
        <f>IFERROR(IF(INDEX(ERP資料!$S:$S, (MATCH(732, 輔助計算!$E$2:$E$801, 0)+1))="","",INDEX(ERP資料!$S:$S, (MATCH(732, 輔助計算!$E$2:$E$801, 0)+1))), "")</f>
        <v/>
      </c>
      <c r="D733" s="10">
        <f>IFERROR(IF(INDEX(ERP資料!$E:$E, (MATCH(732, 輔助計算!$E$2:$E$801, 0)+1))="","",TRIM(INDEX(ERP資料!$E:$E, (MATCH(732, 輔助計算!$E$2:$E$801, 0)+1)))), "")</f>
        <v/>
      </c>
      <c r="E733" s="10">
        <f>IFERROR(IF(INDEX(ERP資料!$F:$F, (MATCH(732, 輔助計算!$E$2:$E$801, 0)+1))="","",INDEX(ERP資料!$F:$F, (MATCH(732, 輔助計算!$E$2:$E$801, 0)+1))), "")</f>
        <v/>
      </c>
      <c r="F733" s="10">
        <f>IFERROR(IF(INDEX(ERP資料!$G:$G, (MATCH(732, 輔助計算!$E$2:$E$801, 0)+1))="","",INDEX(ERP資料!$G:$G, (MATCH(732, 輔助計算!$E$2:$E$801, 0)+1))), "")</f>
        <v/>
      </c>
      <c r="G733" s="10">
        <f>IFERROR(IF(INDEX(ERP資料!$H:$H, (MATCH(732, 輔助計算!$E$2:$E$801, 0)+1))="","",INDEX(ERP資料!$H:$H, (MATCH(732, 輔助計算!$E$2:$E$801, 0)+1))), "")</f>
        <v/>
      </c>
      <c r="H733" s="15">
        <f>IFERROR(INDEX(輔助計算!$D:$D, (MATCH(732, 輔助計算!$E$2:$E$801, 0)+1)), "")</f>
        <v/>
      </c>
      <c r="I733" s="10">
        <f>IFERROR(IF(INDEX(ERP資料!$O:$O, (MATCH(732, 輔助計算!$E$2:$E$801, 0)+1))="","",INDEX(ERP資料!$O:$O, (MATCH(732, 輔助計算!$E$2:$E$801, 0)+1))), "")</f>
        <v/>
      </c>
      <c r="J733" s="15">
        <f>IFERROR(IF(INDEX(輔助計算!$D:$D,(MATCH(732, 輔助計算!$E$2:$E$801, 0)+1))="","",INDEX(輔助計算!$D:$D,(MATCH(732, 輔助計算!$E$2:$E$801, 0)+1))*INDEX(ERP資料!$O:$O,(MATCH(732, 輔助計算!$E$2:$E$801, 0)+1))), "")</f>
        <v/>
      </c>
      <c r="K733" s="16" t="n"/>
      <c r="L733" s="16" t="n"/>
      <c r="M733" s="17" t="n"/>
    </row>
    <row r="734">
      <c r="A734" s="14">
        <f>IFERROR(IF(INDEX(ERP資料!$B:$B, (MATCH(733, 輔助計算!$E$2:$E$801, 0)+1))="","",INDEX(ERP資料!$B:$B, (MATCH(733, 輔助計算!$E$2:$E$801, 0)+1))), "")</f>
        <v/>
      </c>
      <c r="B734" s="10">
        <f>IFERROR(IF(INDEX(ERP資料!$A:$A, (MATCH(733, 輔助計算!$E$2:$E$801, 0)+1))="","",INDEX(ERP資料!$A:$A, (MATCH(733, 輔助計算!$E$2:$E$801, 0)+1))), "")</f>
        <v/>
      </c>
      <c r="C734" s="10">
        <f>IFERROR(IF(INDEX(ERP資料!$S:$S, (MATCH(733, 輔助計算!$E$2:$E$801, 0)+1))="","",INDEX(ERP資料!$S:$S, (MATCH(733, 輔助計算!$E$2:$E$801, 0)+1))), "")</f>
        <v/>
      </c>
      <c r="D734" s="10">
        <f>IFERROR(IF(INDEX(ERP資料!$E:$E, (MATCH(733, 輔助計算!$E$2:$E$801, 0)+1))="","",TRIM(INDEX(ERP資料!$E:$E, (MATCH(733, 輔助計算!$E$2:$E$801, 0)+1)))), "")</f>
        <v/>
      </c>
      <c r="E734" s="10">
        <f>IFERROR(IF(INDEX(ERP資料!$F:$F, (MATCH(733, 輔助計算!$E$2:$E$801, 0)+1))="","",INDEX(ERP資料!$F:$F, (MATCH(733, 輔助計算!$E$2:$E$801, 0)+1))), "")</f>
        <v/>
      </c>
      <c r="F734" s="10">
        <f>IFERROR(IF(INDEX(ERP資料!$G:$G, (MATCH(733, 輔助計算!$E$2:$E$801, 0)+1))="","",INDEX(ERP資料!$G:$G, (MATCH(733, 輔助計算!$E$2:$E$801, 0)+1))), "")</f>
        <v/>
      </c>
      <c r="G734" s="10">
        <f>IFERROR(IF(INDEX(ERP資料!$H:$H, (MATCH(733, 輔助計算!$E$2:$E$801, 0)+1))="","",INDEX(ERP資料!$H:$H, (MATCH(733, 輔助計算!$E$2:$E$801, 0)+1))), "")</f>
        <v/>
      </c>
      <c r="H734" s="15">
        <f>IFERROR(INDEX(輔助計算!$D:$D, (MATCH(733, 輔助計算!$E$2:$E$801, 0)+1)), "")</f>
        <v/>
      </c>
      <c r="I734" s="10">
        <f>IFERROR(IF(INDEX(ERP資料!$O:$O, (MATCH(733, 輔助計算!$E$2:$E$801, 0)+1))="","",INDEX(ERP資料!$O:$O, (MATCH(733, 輔助計算!$E$2:$E$801, 0)+1))), "")</f>
        <v/>
      </c>
      <c r="J734" s="15">
        <f>IFERROR(IF(INDEX(輔助計算!$D:$D,(MATCH(733, 輔助計算!$E$2:$E$801, 0)+1))="","",INDEX(輔助計算!$D:$D,(MATCH(733, 輔助計算!$E$2:$E$801, 0)+1))*INDEX(ERP資料!$O:$O,(MATCH(733, 輔助計算!$E$2:$E$801, 0)+1))), "")</f>
        <v/>
      </c>
      <c r="K734" s="16" t="n"/>
      <c r="L734" s="16" t="n"/>
      <c r="M734" s="17" t="n"/>
    </row>
    <row r="735">
      <c r="A735" s="14">
        <f>IFERROR(IF(INDEX(ERP資料!$B:$B, (MATCH(734, 輔助計算!$E$2:$E$801, 0)+1))="","",INDEX(ERP資料!$B:$B, (MATCH(734, 輔助計算!$E$2:$E$801, 0)+1))), "")</f>
        <v/>
      </c>
      <c r="B735" s="10">
        <f>IFERROR(IF(INDEX(ERP資料!$A:$A, (MATCH(734, 輔助計算!$E$2:$E$801, 0)+1))="","",INDEX(ERP資料!$A:$A, (MATCH(734, 輔助計算!$E$2:$E$801, 0)+1))), "")</f>
        <v/>
      </c>
      <c r="C735" s="10">
        <f>IFERROR(IF(INDEX(ERP資料!$S:$S, (MATCH(734, 輔助計算!$E$2:$E$801, 0)+1))="","",INDEX(ERP資料!$S:$S, (MATCH(734, 輔助計算!$E$2:$E$801, 0)+1))), "")</f>
        <v/>
      </c>
      <c r="D735" s="10">
        <f>IFERROR(IF(INDEX(ERP資料!$E:$E, (MATCH(734, 輔助計算!$E$2:$E$801, 0)+1))="","",TRIM(INDEX(ERP資料!$E:$E, (MATCH(734, 輔助計算!$E$2:$E$801, 0)+1)))), "")</f>
        <v/>
      </c>
      <c r="E735" s="10">
        <f>IFERROR(IF(INDEX(ERP資料!$F:$F, (MATCH(734, 輔助計算!$E$2:$E$801, 0)+1))="","",INDEX(ERP資料!$F:$F, (MATCH(734, 輔助計算!$E$2:$E$801, 0)+1))), "")</f>
        <v/>
      </c>
      <c r="F735" s="10">
        <f>IFERROR(IF(INDEX(ERP資料!$G:$G, (MATCH(734, 輔助計算!$E$2:$E$801, 0)+1))="","",INDEX(ERP資料!$G:$G, (MATCH(734, 輔助計算!$E$2:$E$801, 0)+1))), "")</f>
        <v/>
      </c>
      <c r="G735" s="10">
        <f>IFERROR(IF(INDEX(ERP資料!$H:$H, (MATCH(734, 輔助計算!$E$2:$E$801, 0)+1))="","",INDEX(ERP資料!$H:$H, (MATCH(734, 輔助計算!$E$2:$E$801, 0)+1))), "")</f>
        <v/>
      </c>
      <c r="H735" s="15">
        <f>IFERROR(INDEX(輔助計算!$D:$D, (MATCH(734, 輔助計算!$E$2:$E$801, 0)+1)), "")</f>
        <v/>
      </c>
      <c r="I735" s="10">
        <f>IFERROR(IF(INDEX(ERP資料!$O:$O, (MATCH(734, 輔助計算!$E$2:$E$801, 0)+1))="","",INDEX(ERP資料!$O:$O, (MATCH(734, 輔助計算!$E$2:$E$801, 0)+1))), "")</f>
        <v/>
      </c>
      <c r="J735" s="15">
        <f>IFERROR(IF(INDEX(輔助計算!$D:$D,(MATCH(734, 輔助計算!$E$2:$E$801, 0)+1))="","",INDEX(輔助計算!$D:$D,(MATCH(734, 輔助計算!$E$2:$E$801, 0)+1))*INDEX(ERP資料!$O:$O,(MATCH(734, 輔助計算!$E$2:$E$801, 0)+1))), "")</f>
        <v/>
      </c>
      <c r="K735" s="16" t="n"/>
      <c r="L735" s="16" t="n"/>
      <c r="M735" s="17" t="n"/>
    </row>
    <row r="736">
      <c r="A736" s="14">
        <f>IFERROR(IF(INDEX(ERP資料!$B:$B, (MATCH(735, 輔助計算!$E$2:$E$801, 0)+1))="","",INDEX(ERP資料!$B:$B, (MATCH(735, 輔助計算!$E$2:$E$801, 0)+1))), "")</f>
        <v/>
      </c>
      <c r="B736" s="10">
        <f>IFERROR(IF(INDEX(ERP資料!$A:$A, (MATCH(735, 輔助計算!$E$2:$E$801, 0)+1))="","",INDEX(ERP資料!$A:$A, (MATCH(735, 輔助計算!$E$2:$E$801, 0)+1))), "")</f>
        <v/>
      </c>
      <c r="C736" s="10">
        <f>IFERROR(IF(INDEX(ERP資料!$S:$S, (MATCH(735, 輔助計算!$E$2:$E$801, 0)+1))="","",INDEX(ERP資料!$S:$S, (MATCH(735, 輔助計算!$E$2:$E$801, 0)+1))), "")</f>
        <v/>
      </c>
      <c r="D736" s="10">
        <f>IFERROR(IF(INDEX(ERP資料!$E:$E, (MATCH(735, 輔助計算!$E$2:$E$801, 0)+1))="","",TRIM(INDEX(ERP資料!$E:$E, (MATCH(735, 輔助計算!$E$2:$E$801, 0)+1)))), "")</f>
        <v/>
      </c>
      <c r="E736" s="10">
        <f>IFERROR(IF(INDEX(ERP資料!$F:$F, (MATCH(735, 輔助計算!$E$2:$E$801, 0)+1))="","",INDEX(ERP資料!$F:$F, (MATCH(735, 輔助計算!$E$2:$E$801, 0)+1))), "")</f>
        <v/>
      </c>
      <c r="F736" s="10">
        <f>IFERROR(IF(INDEX(ERP資料!$G:$G, (MATCH(735, 輔助計算!$E$2:$E$801, 0)+1))="","",INDEX(ERP資料!$G:$G, (MATCH(735, 輔助計算!$E$2:$E$801, 0)+1))), "")</f>
        <v/>
      </c>
      <c r="G736" s="10">
        <f>IFERROR(IF(INDEX(ERP資料!$H:$H, (MATCH(735, 輔助計算!$E$2:$E$801, 0)+1))="","",INDEX(ERP資料!$H:$H, (MATCH(735, 輔助計算!$E$2:$E$801, 0)+1))), "")</f>
        <v/>
      </c>
      <c r="H736" s="15">
        <f>IFERROR(INDEX(輔助計算!$D:$D, (MATCH(735, 輔助計算!$E$2:$E$801, 0)+1)), "")</f>
        <v/>
      </c>
      <c r="I736" s="10">
        <f>IFERROR(IF(INDEX(ERP資料!$O:$O, (MATCH(735, 輔助計算!$E$2:$E$801, 0)+1))="","",INDEX(ERP資料!$O:$O, (MATCH(735, 輔助計算!$E$2:$E$801, 0)+1))), "")</f>
        <v/>
      </c>
      <c r="J736" s="15">
        <f>IFERROR(IF(INDEX(輔助計算!$D:$D,(MATCH(735, 輔助計算!$E$2:$E$801, 0)+1))="","",INDEX(輔助計算!$D:$D,(MATCH(735, 輔助計算!$E$2:$E$801, 0)+1))*INDEX(ERP資料!$O:$O,(MATCH(735, 輔助計算!$E$2:$E$801, 0)+1))), "")</f>
        <v/>
      </c>
      <c r="K736" s="16" t="n"/>
      <c r="L736" s="16" t="n"/>
      <c r="M736" s="17" t="n"/>
    </row>
    <row r="737">
      <c r="A737" s="14">
        <f>IFERROR(IF(INDEX(ERP資料!$B:$B, (MATCH(736, 輔助計算!$E$2:$E$801, 0)+1))="","",INDEX(ERP資料!$B:$B, (MATCH(736, 輔助計算!$E$2:$E$801, 0)+1))), "")</f>
        <v/>
      </c>
      <c r="B737" s="10">
        <f>IFERROR(IF(INDEX(ERP資料!$A:$A, (MATCH(736, 輔助計算!$E$2:$E$801, 0)+1))="","",INDEX(ERP資料!$A:$A, (MATCH(736, 輔助計算!$E$2:$E$801, 0)+1))), "")</f>
        <v/>
      </c>
      <c r="C737" s="10">
        <f>IFERROR(IF(INDEX(ERP資料!$S:$S, (MATCH(736, 輔助計算!$E$2:$E$801, 0)+1))="","",INDEX(ERP資料!$S:$S, (MATCH(736, 輔助計算!$E$2:$E$801, 0)+1))), "")</f>
        <v/>
      </c>
      <c r="D737" s="10">
        <f>IFERROR(IF(INDEX(ERP資料!$E:$E, (MATCH(736, 輔助計算!$E$2:$E$801, 0)+1))="","",TRIM(INDEX(ERP資料!$E:$E, (MATCH(736, 輔助計算!$E$2:$E$801, 0)+1)))), "")</f>
        <v/>
      </c>
      <c r="E737" s="10">
        <f>IFERROR(IF(INDEX(ERP資料!$F:$F, (MATCH(736, 輔助計算!$E$2:$E$801, 0)+1))="","",INDEX(ERP資料!$F:$F, (MATCH(736, 輔助計算!$E$2:$E$801, 0)+1))), "")</f>
        <v/>
      </c>
      <c r="F737" s="10">
        <f>IFERROR(IF(INDEX(ERP資料!$G:$G, (MATCH(736, 輔助計算!$E$2:$E$801, 0)+1))="","",INDEX(ERP資料!$G:$G, (MATCH(736, 輔助計算!$E$2:$E$801, 0)+1))), "")</f>
        <v/>
      </c>
      <c r="G737" s="10">
        <f>IFERROR(IF(INDEX(ERP資料!$H:$H, (MATCH(736, 輔助計算!$E$2:$E$801, 0)+1))="","",INDEX(ERP資料!$H:$H, (MATCH(736, 輔助計算!$E$2:$E$801, 0)+1))), "")</f>
        <v/>
      </c>
      <c r="H737" s="15">
        <f>IFERROR(INDEX(輔助計算!$D:$D, (MATCH(736, 輔助計算!$E$2:$E$801, 0)+1)), "")</f>
        <v/>
      </c>
      <c r="I737" s="10">
        <f>IFERROR(IF(INDEX(ERP資料!$O:$O, (MATCH(736, 輔助計算!$E$2:$E$801, 0)+1))="","",INDEX(ERP資料!$O:$O, (MATCH(736, 輔助計算!$E$2:$E$801, 0)+1))), "")</f>
        <v/>
      </c>
      <c r="J737" s="15">
        <f>IFERROR(IF(INDEX(輔助計算!$D:$D,(MATCH(736, 輔助計算!$E$2:$E$801, 0)+1))="","",INDEX(輔助計算!$D:$D,(MATCH(736, 輔助計算!$E$2:$E$801, 0)+1))*INDEX(ERP資料!$O:$O,(MATCH(736, 輔助計算!$E$2:$E$801, 0)+1))), "")</f>
        <v/>
      </c>
      <c r="K737" s="16" t="n"/>
      <c r="L737" s="16" t="n"/>
      <c r="M737" s="17" t="n"/>
    </row>
    <row r="738">
      <c r="A738" s="14">
        <f>IFERROR(IF(INDEX(ERP資料!$B:$B, (MATCH(737, 輔助計算!$E$2:$E$801, 0)+1))="","",INDEX(ERP資料!$B:$B, (MATCH(737, 輔助計算!$E$2:$E$801, 0)+1))), "")</f>
        <v/>
      </c>
      <c r="B738" s="10">
        <f>IFERROR(IF(INDEX(ERP資料!$A:$A, (MATCH(737, 輔助計算!$E$2:$E$801, 0)+1))="","",INDEX(ERP資料!$A:$A, (MATCH(737, 輔助計算!$E$2:$E$801, 0)+1))), "")</f>
        <v/>
      </c>
      <c r="C738" s="10">
        <f>IFERROR(IF(INDEX(ERP資料!$S:$S, (MATCH(737, 輔助計算!$E$2:$E$801, 0)+1))="","",INDEX(ERP資料!$S:$S, (MATCH(737, 輔助計算!$E$2:$E$801, 0)+1))), "")</f>
        <v/>
      </c>
      <c r="D738" s="10">
        <f>IFERROR(IF(INDEX(ERP資料!$E:$E, (MATCH(737, 輔助計算!$E$2:$E$801, 0)+1))="","",TRIM(INDEX(ERP資料!$E:$E, (MATCH(737, 輔助計算!$E$2:$E$801, 0)+1)))), "")</f>
        <v/>
      </c>
      <c r="E738" s="10">
        <f>IFERROR(IF(INDEX(ERP資料!$F:$F, (MATCH(737, 輔助計算!$E$2:$E$801, 0)+1))="","",INDEX(ERP資料!$F:$F, (MATCH(737, 輔助計算!$E$2:$E$801, 0)+1))), "")</f>
        <v/>
      </c>
      <c r="F738" s="10">
        <f>IFERROR(IF(INDEX(ERP資料!$G:$G, (MATCH(737, 輔助計算!$E$2:$E$801, 0)+1))="","",INDEX(ERP資料!$G:$G, (MATCH(737, 輔助計算!$E$2:$E$801, 0)+1))), "")</f>
        <v/>
      </c>
      <c r="G738" s="10">
        <f>IFERROR(IF(INDEX(ERP資料!$H:$H, (MATCH(737, 輔助計算!$E$2:$E$801, 0)+1))="","",INDEX(ERP資料!$H:$H, (MATCH(737, 輔助計算!$E$2:$E$801, 0)+1))), "")</f>
        <v/>
      </c>
      <c r="H738" s="15">
        <f>IFERROR(INDEX(輔助計算!$D:$D, (MATCH(737, 輔助計算!$E$2:$E$801, 0)+1)), "")</f>
        <v/>
      </c>
      <c r="I738" s="10">
        <f>IFERROR(IF(INDEX(ERP資料!$O:$O, (MATCH(737, 輔助計算!$E$2:$E$801, 0)+1))="","",INDEX(ERP資料!$O:$O, (MATCH(737, 輔助計算!$E$2:$E$801, 0)+1))), "")</f>
        <v/>
      </c>
      <c r="J738" s="15">
        <f>IFERROR(IF(INDEX(輔助計算!$D:$D,(MATCH(737, 輔助計算!$E$2:$E$801, 0)+1))="","",INDEX(輔助計算!$D:$D,(MATCH(737, 輔助計算!$E$2:$E$801, 0)+1))*INDEX(ERP資料!$O:$O,(MATCH(737, 輔助計算!$E$2:$E$801, 0)+1))), "")</f>
        <v/>
      </c>
      <c r="K738" s="16" t="n"/>
      <c r="L738" s="16" t="n"/>
      <c r="M738" s="17" t="n"/>
    </row>
    <row r="739">
      <c r="A739" s="14">
        <f>IFERROR(IF(INDEX(ERP資料!$B:$B, (MATCH(738, 輔助計算!$E$2:$E$801, 0)+1))="","",INDEX(ERP資料!$B:$B, (MATCH(738, 輔助計算!$E$2:$E$801, 0)+1))), "")</f>
        <v/>
      </c>
      <c r="B739" s="10">
        <f>IFERROR(IF(INDEX(ERP資料!$A:$A, (MATCH(738, 輔助計算!$E$2:$E$801, 0)+1))="","",INDEX(ERP資料!$A:$A, (MATCH(738, 輔助計算!$E$2:$E$801, 0)+1))), "")</f>
        <v/>
      </c>
      <c r="C739" s="10">
        <f>IFERROR(IF(INDEX(ERP資料!$S:$S, (MATCH(738, 輔助計算!$E$2:$E$801, 0)+1))="","",INDEX(ERP資料!$S:$S, (MATCH(738, 輔助計算!$E$2:$E$801, 0)+1))), "")</f>
        <v/>
      </c>
      <c r="D739" s="10">
        <f>IFERROR(IF(INDEX(ERP資料!$E:$E, (MATCH(738, 輔助計算!$E$2:$E$801, 0)+1))="","",TRIM(INDEX(ERP資料!$E:$E, (MATCH(738, 輔助計算!$E$2:$E$801, 0)+1)))), "")</f>
        <v/>
      </c>
      <c r="E739" s="10">
        <f>IFERROR(IF(INDEX(ERP資料!$F:$F, (MATCH(738, 輔助計算!$E$2:$E$801, 0)+1))="","",INDEX(ERP資料!$F:$F, (MATCH(738, 輔助計算!$E$2:$E$801, 0)+1))), "")</f>
        <v/>
      </c>
      <c r="F739" s="10">
        <f>IFERROR(IF(INDEX(ERP資料!$G:$G, (MATCH(738, 輔助計算!$E$2:$E$801, 0)+1))="","",INDEX(ERP資料!$G:$G, (MATCH(738, 輔助計算!$E$2:$E$801, 0)+1))), "")</f>
        <v/>
      </c>
      <c r="G739" s="10">
        <f>IFERROR(IF(INDEX(ERP資料!$H:$H, (MATCH(738, 輔助計算!$E$2:$E$801, 0)+1))="","",INDEX(ERP資料!$H:$H, (MATCH(738, 輔助計算!$E$2:$E$801, 0)+1))), "")</f>
        <v/>
      </c>
      <c r="H739" s="15">
        <f>IFERROR(INDEX(輔助計算!$D:$D, (MATCH(738, 輔助計算!$E$2:$E$801, 0)+1)), "")</f>
        <v/>
      </c>
      <c r="I739" s="10">
        <f>IFERROR(IF(INDEX(ERP資料!$O:$O, (MATCH(738, 輔助計算!$E$2:$E$801, 0)+1))="","",INDEX(ERP資料!$O:$O, (MATCH(738, 輔助計算!$E$2:$E$801, 0)+1))), "")</f>
        <v/>
      </c>
      <c r="J739" s="15">
        <f>IFERROR(IF(INDEX(輔助計算!$D:$D,(MATCH(738, 輔助計算!$E$2:$E$801, 0)+1))="","",INDEX(輔助計算!$D:$D,(MATCH(738, 輔助計算!$E$2:$E$801, 0)+1))*INDEX(ERP資料!$O:$O,(MATCH(738, 輔助計算!$E$2:$E$801, 0)+1))), "")</f>
        <v/>
      </c>
      <c r="K739" s="16" t="n"/>
      <c r="L739" s="16" t="n"/>
      <c r="M739" s="17" t="n"/>
    </row>
    <row r="740">
      <c r="A740" s="14">
        <f>IFERROR(IF(INDEX(ERP資料!$B:$B, (MATCH(739, 輔助計算!$E$2:$E$801, 0)+1))="","",INDEX(ERP資料!$B:$B, (MATCH(739, 輔助計算!$E$2:$E$801, 0)+1))), "")</f>
        <v/>
      </c>
      <c r="B740" s="10">
        <f>IFERROR(IF(INDEX(ERP資料!$A:$A, (MATCH(739, 輔助計算!$E$2:$E$801, 0)+1))="","",INDEX(ERP資料!$A:$A, (MATCH(739, 輔助計算!$E$2:$E$801, 0)+1))), "")</f>
        <v/>
      </c>
      <c r="C740" s="10">
        <f>IFERROR(IF(INDEX(ERP資料!$S:$S, (MATCH(739, 輔助計算!$E$2:$E$801, 0)+1))="","",INDEX(ERP資料!$S:$S, (MATCH(739, 輔助計算!$E$2:$E$801, 0)+1))), "")</f>
        <v/>
      </c>
      <c r="D740" s="10">
        <f>IFERROR(IF(INDEX(ERP資料!$E:$E, (MATCH(739, 輔助計算!$E$2:$E$801, 0)+1))="","",TRIM(INDEX(ERP資料!$E:$E, (MATCH(739, 輔助計算!$E$2:$E$801, 0)+1)))), "")</f>
        <v/>
      </c>
      <c r="E740" s="10">
        <f>IFERROR(IF(INDEX(ERP資料!$F:$F, (MATCH(739, 輔助計算!$E$2:$E$801, 0)+1))="","",INDEX(ERP資料!$F:$F, (MATCH(739, 輔助計算!$E$2:$E$801, 0)+1))), "")</f>
        <v/>
      </c>
      <c r="F740" s="10">
        <f>IFERROR(IF(INDEX(ERP資料!$G:$G, (MATCH(739, 輔助計算!$E$2:$E$801, 0)+1))="","",INDEX(ERP資料!$G:$G, (MATCH(739, 輔助計算!$E$2:$E$801, 0)+1))), "")</f>
        <v/>
      </c>
      <c r="G740" s="10">
        <f>IFERROR(IF(INDEX(ERP資料!$H:$H, (MATCH(739, 輔助計算!$E$2:$E$801, 0)+1))="","",INDEX(ERP資料!$H:$H, (MATCH(739, 輔助計算!$E$2:$E$801, 0)+1))), "")</f>
        <v/>
      </c>
      <c r="H740" s="15">
        <f>IFERROR(INDEX(輔助計算!$D:$D, (MATCH(739, 輔助計算!$E$2:$E$801, 0)+1)), "")</f>
        <v/>
      </c>
      <c r="I740" s="10">
        <f>IFERROR(IF(INDEX(ERP資料!$O:$O, (MATCH(739, 輔助計算!$E$2:$E$801, 0)+1))="","",INDEX(ERP資料!$O:$O, (MATCH(739, 輔助計算!$E$2:$E$801, 0)+1))), "")</f>
        <v/>
      </c>
      <c r="J740" s="15">
        <f>IFERROR(IF(INDEX(輔助計算!$D:$D,(MATCH(739, 輔助計算!$E$2:$E$801, 0)+1))="","",INDEX(輔助計算!$D:$D,(MATCH(739, 輔助計算!$E$2:$E$801, 0)+1))*INDEX(ERP資料!$O:$O,(MATCH(739, 輔助計算!$E$2:$E$801, 0)+1))), "")</f>
        <v/>
      </c>
      <c r="K740" s="16" t="n"/>
      <c r="L740" s="16" t="n"/>
      <c r="M740" s="17" t="n"/>
    </row>
    <row r="741">
      <c r="A741" s="14">
        <f>IFERROR(IF(INDEX(ERP資料!$B:$B, (MATCH(740, 輔助計算!$E$2:$E$801, 0)+1))="","",INDEX(ERP資料!$B:$B, (MATCH(740, 輔助計算!$E$2:$E$801, 0)+1))), "")</f>
        <v/>
      </c>
      <c r="B741" s="10">
        <f>IFERROR(IF(INDEX(ERP資料!$A:$A, (MATCH(740, 輔助計算!$E$2:$E$801, 0)+1))="","",INDEX(ERP資料!$A:$A, (MATCH(740, 輔助計算!$E$2:$E$801, 0)+1))), "")</f>
        <v/>
      </c>
      <c r="C741" s="10">
        <f>IFERROR(IF(INDEX(ERP資料!$S:$S, (MATCH(740, 輔助計算!$E$2:$E$801, 0)+1))="","",INDEX(ERP資料!$S:$S, (MATCH(740, 輔助計算!$E$2:$E$801, 0)+1))), "")</f>
        <v/>
      </c>
      <c r="D741" s="10">
        <f>IFERROR(IF(INDEX(ERP資料!$E:$E, (MATCH(740, 輔助計算!$E$2:$E$801, 0)+1))="","",TRIM(INDEX(ERP資料!$E:$E, (MATCH(740, 輔助計算!$E$2:$E$801, 0)+1)))), "")</f>
        <v/>
      </c>
      <c r="E741" s="10">
        <f>IFERROR(IF(INDEX(ERP資料!$F:$F, (MATCH(740, 輔助計算!$E$2:$E$801, 0)+1))="","",INDEX(ERP資料!$F:$F, (MATCH(740, 輔助計算!$E$2:$E$801, 0)+1))), "")</f>
        <v/>
      </c>
      <c r="F741" s="10">
        <f>IFERROR(IF(INDEX(ERP資料!$G:$G, (MATCH(740, 輔助計算!$E$2:$E$801, 0)+1))="","",INDEX(ERP資料!$G:$G, (MATCH(740, 輔助計算!$E$2:$E$801, 0)+1))), "")</f>
        <v/>
      </c>
      <c r="G741" s="10">
        <f>IFERROR(IF(INDEX(ERP資料!$H:$H, (MATCH(740, 輔助計算!$E$2:$E$801, 0)+1))="","",INDEX(ERP資料!$H:$H, (MATCH(740, 輔助計算!$E$2:$E$801, 0)+1))), "")</f>
        <v/>
      </c>
      <c r="H741" s="15">
        <f>IFERROR(INDEX(輔助計算!$D:$D, (MATCH(740, 輔助計算!$E$2:$E$801, 0)+1)), "")</f>
        <v/>
      </c>
      <c r="I741" s="10">
        <f>IFERROR(IF(INDEX(ERP資料!$O:$O, (MATCH(740, 輔助計算!$E$2:$E$801, 0)+1))="","",INDEX(ERP資料!$O:$O, (MATCH(740, 輔助計算!$E$2:$E$801, 0)+1))), "")</f>
        <v/>
      </c>
      <c r="J741" s="15">
        <f>IFERROR(IF(INDEX(輔助計算!$D:$D,(MATCH(740, 輔助計算!$E$2:$E$801, 0)+1))="","",INDEX(輔助計算!$D:$D,(MATCH(740, 輔助計算!$E$2:$E$801, 0)+1))*INDEX(ERP資料!$O:$O,(MATCH(740, 輔助計算!$E$2:$E$801, 0)+1))), "")</f>
        <v/>
      </c>
      <c r="K741" s="16" t="n"/>
      <c r="L741" s="16" t="n"/>
      <c r="M741" s="17" t="n"/>
    </row>
    <row r="742">
      <c r="A742" s="14">
        <f>IFERROR(IF(INDEX(ERP資料!$B:$B, (MATCH(741, 輔助計算!$E$2:$E$801, 0)+1))="","",INDEX(ERP資料!$B:$B, (MATCH(741, 輔助計算!$E$2:$E$801, 0)+1))), "")</f>
        <v/>
      </c>
      <c r="B742" s="10">
        <f>IFERROR(IF(INDEX(ERP資料!$A:$A, (MATCH(741, 輔助計算!$E$2:$E$801, 0)+1))="","",INDEX(ERP資料!$A:$A, (MATCH(741, 輔助計算!$E$2:$E$801, 0)+1))), "")</f>
        <v/>
      </c>
      <c r="C742" s="10">
        <f>IFERROR(IF(INDEX(ERP資料!$S:$S, (MATCH(741, 輔助計算!$E$2:$E$801, 0)+1))="","",INDEX(ERP資料!$S:$S, (MATCH(741, 輔助計算!$E$2:$E$801, 0)+1))), "")</f>
        <v/>
      </c>
      <c r="D742" s="10">
        <f>IFERROR(IF(INDEX(ERP資料!$E:$E, (MATCH(741, 輔助計算!$E$2:$E$801, 0)+1))="","",TRIM(INDEX(ERP資料!$E:$E, (MATCH(741, 輔助計算!$E$2:$E$801, 0)+1)))), "")</f>
        <v/>
      </c>
      <c r="E742" s="10">
        <f>IFERROR(IF(INDEX(ERP資料!$F:$F, (MATCH(741, 輔助計算!$E$2:$E$801, 0)+1))="","",INDEX(ERP資料!$F:$F, (MATCH(741, 輔助計算!$E$2:$E$801, 0)+1))), "")</f>
        <v/>
      </c>
      <c r="F742" s="10">
        <f>IFERROR(IF(INDEX(ERP資料!$G:$G, (MATCH(741, 輔助計算!$E$2:$E$801, 0)+1))="","",INDEX(ERP資料!$G:$G, (MATCH(741, 輔助計算!$E$2:$E$801, 0)+1))), "")</f>
        <v/>
      </c>
      <c r="G742" s="10">
        <f>IFERROR(IF(INDEX(ERP資料!$H:$H, (MATCH(741, 輔助計算!$E$2:$E$801, 0)+1))="","",INDEX(ERP資料!$H:$H, (MATCH(741, 輔助計算!$E$2:$E$801, 0)+1))), "")</f>
        <v/>
      </c>
      <c r="H742" s="15">
        <f>IFERROR(INDEX(輔助計算!$D:$D, (MATCH(741, 輔助計算!$E$2:$E$801, 0)+1)), "")</f>
        <v/>
      </c>
      <c r="I742" s="10">
        <f>IFERROR(IF(INDEX(ERP資料!$O:$O, (MATCH(741, 輔助計算!$E$2:$E$801, 0)+1))="","",INDEX(ERP資料!$O:$O, (MATCH(741, 輔助計算!$E$2:$E$801, 0)+1))), "")</f>
        <v/>
      </c>
      <c r="J742" s="15">
        <f>IFERROR(IF(INDEX(輔助計算!$D:$D,(MATCH(741, 輔助計算!$E$2:$E$801, 0)+1))="","",INDEX(輔助計算!$D:$D,(MATCH(741, 輔助計算!$E$2:$E$801, 0)+1))*INDEX(ERP資料!$O:$O,(MATCH(741, 輔助計算!$E$2:$E$801, 0)+1))), "")</f>
        <v/>
      </c>
      <c r="K742" s="16" t="n"/>
      <c r="L742" s="16" t="n"/>
      <c r="M742" s="17" t="n"/>
    </row>
    <row r="743">
      <c r="A743" s="14">
        <f>IFERROR(IF(INDEX(ERP資料!$B:$B, (MATCH(742, 輔助計算!$E$2:$E$801, 0)+1))="","",INDEX(ERP資料!$B:$B, (MATCH(742, 輔助計算!$E$2:$E$801, 0)+1))), "")</f>
        <v/>
      </c>
      <c r="B743" s="10">
        <f>IFERROR(IF(INDEX(ERP資料!$A:$A, (MATCH(742, 輔助計算!$E$2:$E$801, 0)+1))="","",INDEX(ERP資料!$A:$A, (MATCH(742, 輔助計算!$E$2:$E$801, 0)+1))), "")</f>
        <v/>
      </c>
      <c r="C743" s="10">
        <f>IFERROR(IF(INDEX(ERP資料!$S:$S, (MATCH(742, 輔助計算!$E$2:$E$801, 0)+1))="","",INDEX(ERP資料!$S:$S, (MATCH(742, 輔助計算!$E$2:$E$801, 0)+1))), "")</f>
        <v/>
      </c>
      <c r="D743" s="10">
        <f>IFERROR(IF(INDEX(ERP資料!$E:$E, (MATCH(742, 輔助計算!$E$2:$E$801, 0)+1))="","",TRIM(INDEX(ERP資料!$E:$E, (MATCH(742, 輔助計算!$E$2:$E$801, 0)+1)))), "")</f>
        <v/>
      </c>
      <c r="E743" s="10">
        <f>IFERROR(IF(INDEX(ERP資料!$F:$F, (MATCH(742, 輔助計算!$E$2:$E$801, 0)+1))="","",INDEX(ERP資料!$F:$F, (MATCH(742, 輔助計算!$E$2:$E$801, 0)+1))), "")</f>
        <v/>
      </c>
      <c r="F743" s="10">
        <f>IFERROR(IF(INDEX(ERP資料!$G:$G, (MATCH(742, 輔助計算!$E$2:$E$801, 0)+1))="","",INDEX(ERP資料!$G:$G, (MATCH(742, 輔助計算!$E$2:$E$801, 0)+1))), "")</f>
        <v/>
      </c>
      <c r="G743" s="10">
        <f>IFERROR(IF(INDEX(ERP資料!$H:$H, (MATCH(742, 輔助計算!$E$2:$E$801, 0)+1))="","",INDEX(ERP資料!$H:$H, (MATCH(742, 輔助計算!$E$2:$E$801, 0)+1))), "")</f>
        <v/>
      </c>
      <c r="H743" s="15">
        <f>IFERROR(INDEX(輔助計算!$D:$D, (MATCH(742, 輔助計算!$E$2:$E$801, 0)+1)), "")</f>
        <v/>
      </c>
      <c r="I743" s="10">
        <f>IFERROR(IF(INDEX(ERP資料!$O:$O, (MATCH(742, 輔助計算!$E$2:$E$801, 0)+1))="","",INDEX(ERP資料!$O:$O, (MATCH(742, 輔助計算!$E$2:$E$801, 0)+1))), "")</f>
        <v/>
      </c>
      <c r="J743" s="15">
        <f>IFERROR(IF(INDEX(輔助計算!$D:$D,(MATCH(742, 輔助計算!$E$2:$E$801, 0)+1))="","",INDEX(輔助計算!$D:$D,(MATCH(742, 輔助計算!$E$2:$E$801, 0)+1))*INDEX(ERP資料!$O:$O,(MATCH(742, 輔助計算!$E$2:$E$801, 0)+1))), "")</f>
        <v/>
      </c>
      <c r="K743" s="16" t="n"/>
      <c r="L743" s="16" t="n"/>
      <c r="M743" s="17" t="n"/>
    </row>
    <row r="744">
      <c r="A744" s="14">
        <f>IFERROR(IF(INDEX(ERP資料!$B:$B, (MATCH(743, 輔助計算!$E$2:$E$801, 0)+1))="","",INDEX(ERP資料!$B:$B, (MATCH(743, 輔助計算!$E$2:$E$801, 0)+1))), "")</f>
        <v/>
      </c>
      <c r="B744" s="10">
        <f>IFERROR(IF(INDEX(ERP資料!$A:$A, (MATCH(743, 輔助計算!$E$2:$E$801, 0)+1))="","",INDEX(ERP資料!$A:$A, (MATCH(743, 輔助計算!$E$2:$E$801, 0)+1))), "")</f>
        <v/>
      </c>
      <c r="C744" s="10">
        <f>IFERROR(IF(INDEX(ERP資料!$S:$S, (MATCH(743, 輔助計算!$E$2:$E$801, 0)+1))="","",INDEX(ERP資料!$S:$S, (MATCH(743, 輔助計算!$E$2:$E$801, 0)+1))), "")</f>
        <v/>
      </c>
      <c r="D744" s="10">
        <f>IFERROR(IF(INDEX(ERP資料!$E:$E, (MATCH(743, 輔助計算!$E$2:$E$801, 0)+1))="","",TRIM(INDEX(ERP資料!$E:$E, (MATCH(743, 輔助計算!$E$2:$E$801, 0)+1)))), "")</f>
        <v/>
      </c>
      <c r="E744" s="10">
        <f>IFERROR(IF(INDEX(ERP資料!$F:$F, (MATCH(743, 輔助計算!$E$2:$E$801, 0)+1))="","",INDEX(ERP資料!$F:$F, (MATCH(743, 輔助計算!$E$2:$E$801, 0)+1))), "")</f>
        <v/>
      </c>
      <c r="F744" s="10">
        <f>IFERROR(IF(INDEX(ERP資料!$G:$G, (MATCH(743, 輔助計算!$E$2:$E$801, 0)+1))="","",INDEX(ERP資料!$G:$G, (MATCH(743, 輔助計算!$E$2:$E$801, 0)+1))), "")</f>
        <v/>
      </c>
      <c r="G744" s="10">
        <f>IFERROR(IF(INDEX(ERP資料!$H:$H, (MATCH(743, 輔助計算!$E$2:$E$801, 0)+1))="","",INDEX(ERP資料!$H:$H, (MATCH(743, 輔助計算!$E$2:$E$801, 0)+1))), "")</f>
        <v/>
      </c>
      <c r="H744" s="15">
        <f>IFERROR(INDEX(輔助計算!$D:$D, (MATCH(743, 輔助計算!$E$2:$E$801, 0)+1)), "")</f>
        <v/>
      </c>
      <c r="I744" s="10">
        <f>IFERROR(IF(INDEX(ERP資料!$O:$O, (MATCH(743, 輔助計算!$E$2:$E$801, 0)+1))="","",INDEX(ERP資料!$O:$O, (MATCH(743, 輔助計算!$E$2:$E$801, 0)+1))), "")</f>
        <v/>
      </c>
      <c r="J744" s="15">
        <f>IFERROR(IF(INDEX(輔助計算!$D:$D,(MATCH(743, 輔助計算!$E$2:$E$801, 0)+1))="","",INDEX(輔助計算!$D:$D,(MATCH(743, 輔助計算!$E$2:$E$801, 0)+1))*INDEX(ERP資料!$O:$O,(MATCH(743, 輔助計算!$E$2:$E$801, 0)+1))), "")</f>
        <v/>
      </c>
      <c r="K744" s="16" t="n"/>
      <c r="L744" s="16" t="n"/>
      <c r="M744" s="17" t="n"/>
    </row>
    <row r="745">
      <c r="A745" s="14">
        <f>IFERROR(IF(INDEX(ERP資料!$B:$B, (MATCH(744, 輔助計算!$E$2:$E$801, 0)+1))="","",INDEX(ERP資料!$B:$B, (MATCH(744, 輔助計算!$E$2:$E$801, 0)+1))), "")</f>
        <v/>
      </c>
      <c r="B745" s="10">
        <f>IFERROR(IF(INDEX(ERP資料!$A:$A, (MATCH(744, 輔助計算!$E$2:$E$801, 0)+1))="","",INDEX(ERP資料!$A:$A, (MATCH(744, 輔助計算!$E$2:$E$801, 0)+1))), "")</f>
        <v/>
      </c>
      <c r="C745" s="10">
        <f>IFERROR(IF(INDEX(ERP資料!$S:$S, (MATCH(744, 輔助計算!$E$2:$E$801, 0)+1))="","",INDEX(ERP資料!$S:$S, (MATCH(744, 輔助計算!$E$2:$E$801, 0)+1))), "")</f>
        <v/>
      </c>
      <c r="D745" s="10">
        <f>IFERROR(IF(INDEX(ERP資料!$E:$E, (MATCH(744, 輔助計算!$E$2:$E$801, 0)+1))="","",TRIM(INDEX(ERP資料!$E:$E, (MATCH(744, 輔助計算!$E$2:$E$801, 0)+1)))), "")</f>
        <v/>
      </c>
      <c r="E745" s="10">
        <f>IFERROR(IF(INDEX(ERP資料!$F:$F, (MATCH(744, 輔助計算!$E$2:$E$801, 0)+1))="","",INDEX(ERP資料!$F:$F, (MATCH(744, 輔助計算!$E$2:$E$801, 0)+1))), "")</f>
        <v/>
      </c>
      <c r="F745" s="10">
        <f>IFERROR(IF(INDEX(ERP資料!$G:$G, (MATCH(744, 輔助計算!$E$2:$E$801, 0)+1))="","",INDEX(ERP資料!$G:$G, (MATCH(744, 輔助計算!$E$2:$E$801, 0)+1))), "")</f>
        <v/>
      </c>
      <c r="G745" s="10">
        <f>IFERROR(IF(INDEX(ERP資料!$H:$H, (MATCH(744, 輔助計算!$E$2:$E$801, 0)+1))="","",INDEX(ERP資料!$H:$H, (MATCH(744, 輔助計算!$E$2:$E$801, 0)+1))), "")</f>
        <v/>
      </c>
      <c r="H745" s="15">
        <f>IFERROR(INDEX(輔助計算!$D:$D, (MATCH(744, 輔助計算!$E$2:$E$801, 0)+1)), "")</f>
        <v/>
      </c>
      <c r="I745" s="10">
        <f>IFERROR(IF(INDEX(ERP資料!$O:$O, (MATCH(744, 輔助計算!$E$2:$E$801, 0)+1))="","",INDEX(ERP資料!$O:$O, (MATCH(744, 輔助計算!$E$2:$E$801, 0)+1))), "")</f>
        <v/>
      </c>
      <c r="J745" s="15">
        <f>IFERROR(IF(INDEX(輔助計算!$D:$D,(MATCH(744, 輔助計算!$E$2:$E$801, 0)+1))="","",INDEX(輔助計算!$D:$D,(MATCH(744, 輔助計算!$E$2:$E$801, 0)+1))*INDEX(ERP資料!$O:$O,(MATCH(744, 輔助計算!$E$2:$E$801, 0)+1))), "")</f>
        <v/>
      </c>
      <c r="K745" s="16" t="n"/>
      <c r="L745" s="16" t="n"/>
      <c r="M745" s="17" t="n"/>
    </row>
    <row r="746">
      <c r="A746" s="14">
        <f>IFERROR(IF(INDEX(ERP資料!$B:$B, (MATCH(745, 輔助計算!$E$2:$E$801, 0)+1))="","",INDEX(ERP資料!$B:$B, (MATCH(745, 輔助計算!$E$2:$E$801, 0)+1))), "")</f>
        <v/>
      </c>
      <c r="B746" s="10">
        <f>IFERROR(IF(INDEX(ERP資料!$A:$A, (MATCH(745, 輔助計算!$E$2:$E$801, 0)+1))="","",INDEX(ERP資料!$A:$A, (MATCH(745, 輔助計算!$E$2:$E$801, 0)+1))), "")</f>
        <v/>
      </c>
      <c r="C746" s="10">
        <f>IFERROR(IF(INDEX(ERP資料!$S:$S, (MATCH(745, 輔助計算!$E$2:$E$801, 0)+1))="","",INDEX(ERP資料!$S:$S, (MATCH(745, 輔助計算!$E$2:$E$801, 0)+1))), "")</f>
        <v/>
      </c>
      <c r="D746" s="10">
        <f>IFERROR(IF(INDEX(ERP資料!$E:$E, (MATCH(745, 輔助計算!$E$2:$E$801, 0)+1))="","",TRIM(INDEX(ERP資料!$E:$E, (MATCH(745, 輔助計算!$E$2:$E$801, 0)+1)))), "")</f>
        <v/>
      </c>
      <c r="E746" s="10">
        <f>IFERROR(IF(INDEX(ERP資料!$F:$F, (MATCH(745, 輔助計算!$E$2:$E$801, 0)+1))="","",INDEX(ERP資料!$F:$F, (MATCH(745, 輔助計算!$E$2:$E$801, 0)+1))), "")</f>
        <v/>
      </c>
      <c r="F746" s="10">
        <f>IFERROR(IF(INDEX(ERP資料!$G:$G, (MATCH(745, 輔助計算!$E$2:$E$801, 0)+1))="","",INDEX(ERP資料!$G:$G, (MATCH(745, 輔助計算!$E$2:$E$801, 0)+1))), "")</f>
        <v/>
      </c>
      <c r="G746" s="10">
        <f>IFERROR(IF(INDEX(ERP資料!$H:$H, (MATCH(745, 輔助計算!$E$2:$E$801, 0)+1))="","",INDEX(ERP資料!$H:$H, (MATCH(745, 輔助計算!$E$2:$E$801, 0)+1))), "")</f>
        <v/>
      </c>
      <c r="H746" s="15">
        <f>IFERROR(INDEX(輔助計算!$D:$D, (MATCH(745, 輔助計算!$E$2:$E$801, 0)+1)), "")</f>
        <v/>
      </c>
      <c r="I746" s="10">
        <f>IFERROR(IF(INDEX(ERP資料!$O:$O, (MATCH(745, 輔助計算!$E$2:$E$801, 0)+1))="","",INDEX(ERP資料!$O:$O, (MATCH(745, 輔助計算!$E$2:$E$801, 0)+1))), "")</f>
        <v/>
      </c>
      <c r="J746" s="15">
        <f>IFERROR(IF(INDEX(輔助計算!$D:$D,(MATCH(745, 輔助計算!$E$2:$E$801, 0)+1))="","",INDEX(輔助計算!$D:$D,(MATCH(745, 輔助計算!$E$2:$E$801, 0)+1))*INDEX(ERP資料!$O:$O,(MATCH(745, 輔助計算!$E$2:$E$801, 0)+1))), "")</f>
        <v/>
      </c>
      <c r="K746" s="16" t="n"/>
      <c r="L746" s="16" t="n"/>
      <c r="M746" s="17" t="n"/>
    </row>
    <row r="747">
      <c r="A747" s="14">
        <f>IFERROR(IF(INDEX(ERP資料!$B:$B, (MATCH(746, 輔助計算!$E$2:$E$801, 0)+1))="","",INDEX(ERP資料!$B:$B, (MATCH(746, 輔助計算!$E$2:$E$801, 0)+1))), "")</f>
        <v/>
      </c>
      <c r="B747" s="10">
        <f>IFERROR(IF(INDEX(ERP資料!$A:$A, (MATCH(746, 輔助計算!$E$2:$E$801, 0)+1))="","",INDEX(ERP資料!$A:$A, (MATCH(746, 輔助計算!$E$2:$E$801, 0)+1))), "")</f>
        <v/>
      </c>
      <c r="C747" s="10">
        <f>IFERROR(IF(INDEX(ERP資料!$S:$S, (MATCH(746, 輔助計算!$E$2:$E$801, 0)+1))="","",INDEX(ERP資料!$S:$S, (MATCH(746, 輔助計算!$E$2:$E$801, 0)+1))), "")</f>
        <v/>
      </c>
      <c r="D747" s="10">
        <f>IFERROR(IF(INDEX(ERP資料!$E:$E, (MATCH(746, 輔助計算!$E$2:$E$801, 0)+1))="","",TRIM(INDEX(ERP資料!$E:$E, (MATCH(746, 輔助計算!$E$2:$E$801, 0)+1)))), "")</f>
        <v/>
      </c>
      <c r="E747" s="10">
        <f>IFERROR(IF(INDEX(ERP資料!$F:$F, (MATCH(746, 輔助計算!$E$2:$E$801, 0)+1))="","",INDEX(ERP資料!$F:$F, (MATCH(746, 輔助計算!$E$2:$E$801, 0)+1))), "")</f>
        <v/>
      </c>
      <c r="F747" s="10">
        <f>IFERROR(IF(INDEX(ERP資料!$G:$G, (MATCH(746, 輔助計算!$E$2:$E$801, 0)+1))="","",INDEX(ERP資料!$G:$G, (MATCH(746, 輔助計算!$E$2:$E$801, 0)+1))), "")</f>
        <v/>
      </c>
      <c r="G747" s="10">
        <f>IFERROR(IF(INDEX(ERP資料!$H:$H, (MATCH(746, 輔助計算!$E$2:$E$801, 0)+1))="","",INDEX(ERP資料!$H:$H, (MATCH(746, 輔助計算!$E$2:$E$801, 0)+1))), "")</f>
        <v/>
      </c>
      <c r="H747" s="15">
        <f>IFERROR(INDEX(輔助計算!$D:$D, (MATCH(746, 輔助計算!$E$2:$E$801, 0)+1)), "")</f>
        <v/>
      </c>
      <c r="I747" s="10">
        <f>IFERROR(IF(INDEX(ERP資料!$O:$O, (MATCH(746, 輔助計算!$E$2:$E$801, 0)+1))="","",INDEX(ERP資料!$O:$O, (MATCH(746, 輔助計算!$E$2:$E$801, 0)+1))), "")</f>
        <v/>
      </c>
      <c r="J747" s="15">
        <f>IFERROR(IF(INDEX(輔助計算!$D:$D,(MATCH(746, 輔助計算!$E$2:$E$801, 0)+1))="","",INDEX(輔助計算!$D:$D,(MATCH(746, 輔助計算!$E$2:$E$801, 0)+1))*INDEX(ERP資料!$O:$O,(MATCH(746, 輔助計算!$E$2:$E$801, 0)+1))), "")</f>
        <v/>
      </c>
      <c r="K747" s="16" t="n"/>
      <c r="L747" s="16" t="n"/>
      <c r="M747" s="17" t="n"/>
    </row>
    <row r="748">
      <c r="A748" s="14">
        <f>IFERROR(IF(INDEX(ERP資料!$B:$B, (MATCH(747, 輔助計算!$E$2:$E$801, 0)+1))="","",INDEX(ERP資料!$B:$B, (MATCH(747, 輔助計算!$E$2:$E$801, 0)+1))), "")</f>
        <v/>
      </c>
      <c r="B748" s="10">
        <f>IFERROR(IF(INDEX(ERP資料!$A:$A, (MATCH(747, 輔助計算!$E$2:$E$801, 0)+1))="","",INDEX(ERP資料!$A:$A, (MATCH(747, 輔助計算!$E$2:$E$801, 0)+1))), "")</f>
        <v/>
      </c>
      <c r="C748" s="10">
        <f>IFERROR(IF(INDEX(ERP資料!$S:$S, (MATCH(747, 輔助計算!$E$2:$E$801, 0)+1))="","",INDEX(ERP資料!$S:$S, (MATCH(747, 輔助計算!$E$2:$E$801, 0)+1))), "")</f>
        <v/>
      </c>
      <c r="D748" s="10">
        <f>IFERROR(IF(INDEX(ERP資料!$E:$E, (MATCH(747, 輔助計算!$E$2:$E$801, 0)+1))="","",TRIM(INDEX(ERP資料!$E:$E, (MATCH(747, 輔助計算!$E$2:$E$801, 0)+1)))), "")</f>
        <v/>
      </c>
      <c r="E748" s="10">
        <f>IFERROR(IF(INDEX(ERP資料!$F:$F, (MATCH(747, 輔助計算!$E$2:$E$801, 0)+1))="","",INDEX(ERP資料!$F:$F, (MATCH(747, 輔助計算!$E$2:$E$801, 0)+1))), "")</f>
        <v/>
      </c>
      <c r="F748" s="10">
        <f>IFERROR(IF(INDEX(ERP資料!$G:$G, (MATCH(747, 輔助計算!$E$2:$E$801, 0)+1))="","",INDEX(ERP資料!$G:$G, (MATCH(747, 輔助計算!$E$2:$E$801, 0)+1))), "")</f>
        <v/>
      </c>
      <c r="G748" s="10">
        <f>IFERROR(IF(INDEX(ERP資料!$H:$H, (MATCH(747, 輔助計算!$E$2:$E$801, 0)+1))="","",INDEX(ERP資料!$H:$H, (MATCH(747, 輔助計算!$E$2:$E$801, 0)+1))), "")</f>
        <v/>
      </c>
      <c r="H748" s="15">
        <f>IFERROR(INDEX(輔助計算!$D:$D, (MATCH(747, 輔助計算!$E$2:$E$801, 0)+1)), "")</f>
        <v/>
      </c>
      <c r="I748" s="10">
        <f>IFERROR(IF(INDEX(ERP資料!$O:$O, (MATCH(747, 輔助計算!$E$2:$E$801, 0)+1))="","",INDEX(ERP資料!$O:$O, (MATCH(747, 輔助計算!$E$2:$E$801, 0)+1))), "")</f>
        <v/>
      </c>
      <c r="J748" s="15">
        <f>IFERROR(IF(INDEX(輔助計算!$D:$D,(MATCH(747, 輔助計算!$E$2:$E$801, 0)+1))="","",INDEX(輔助計算!$D:$D,(MATCH(747, 輔助計算!$E$2:$E$801, 0)+1))*INDEX(ERP資料!$O:$O,(MATCH(747, 輔助計算!$E$2:$E$801, 0)+1))), "")</f>
        <v/>
      </c>
      <c r="K748" s="16" t="n"/>
      <c r="L748" s="16" t="n"/>
      <c r="M748" s="17" t="n"/>
    </row>
    <row r="749">
      <c r="A749" s="14">
        <f>IFERROR(IF(INDEX(ERP資料!$B:$B, (MATCH(748, 輔助計算!$E$2:$E$801, 0)+1))="","",INDEX(ERP資料!$B:$B, (MATCH(748, 輔助計算!$E$2:$E$801, 0)+1))), "")</f>
        <v/>
      </c>
      <c r="B749" s="10">
        <f>IFERROR(IF(INDEX(ERP資料!$A:$A, (MATCH(748, 輔助計算!$E$2:$E$801, 0)+1))="","",INDEX(ERP資料!$A:$A, (MATCH(748, 輔助計算!$E$2:$E$801, 0)+1))), "")</f>
        <v/>
      </c>
      <c r="C749" s="10">
        <f>IFERROR(IF(INDEX(ERP資料!$S:$S, (MATCH(748, 輔助計算!$E$2:$E$801, 0)+1))="","",INDEX(ERP資料!$S:$S, (MATCH(748, 輔助計算!$E$2:$E$801, 0)+1))), "")</f>
        <v/>
      </c>
      <c r="D749" s="10">
        <f>IFERROR(IF(INDEX(ERP資料!$E:$E, (MATCH(748, 輔助計算!$E$2:$E$801, 0)+1))="","",TRIM(INDEX(ERP資料!$E:$E, (MATCH(748, 輔助計算!$E$2:$E$801, 0)+1)))), "")</f>
        <v/>
      </c>
      <c r="E749" s="10">
        <f>IFERROR(IF(INDEX(ERP資料!$F:$F, (MATCH(748, 輔助計算!$E$2:$E$801, 0)+1))="","",INDEX(ERP資料!$F:$F, (MATCH(748, 輔助計算!$E$2:$E$801, 0)+1))), "")</f>
        <v/>
      </c>
      <c r="F749" s="10">
        <f>IFERROR(IF(INDEX(ERP資料!$G:$G, (MATCH(748, 輔助計算!$E$2:$E$801, 0)+1))="","",INDEX(ERP資料!$G:$G, (MATCH(748, 輔助計算!$E$2:$E$801, 0)+1))), "")</f>
        <v/>
      </c>
      <c r="G749" s="10">
        <f>IFERROR(IF(INDEX(ERP資料!$H:$H, (MATCH(748, 輔助計算!$E$2:$E$801, 0)+1))="","",INDEX(ERP資料!$H:$H, (MATCH(748, 輔助計算!$E$2:$E$801, 0)+1))), "")</f>
        <v/>
      </c>
      <c r="H749" s="15">
        <f>IFERROR(INDEX(輔助計算!$D:$D, (MATCH(748, 輔助計算!$E$2:$E$801, 0)+1)), "")</f>
        <v/>
      </c>
      <c r="I749" s="10">
        <f>IFERROR(IF(INDEX(ERP資料!$O:$O, (MATCH(748, 輔助計算!$E$2:$E$801, 0)+1))="","",INDEX(ERP資料!$O:$O, (MATCH(748, 輔助計算!$E$2:$E$801, 0)+1))), "")</f>
        <v/>
      </c>
      <c r="J749" s="15">
        <f>IFERROR(IF(INDEX(輔助計算!$D:$D,(MATCH(748, 輔助計算!$E$2:$E$801, 0)+1))="","",INDEX(輔助計算!$D:$D,(MATCH(748, 輔助計算!$E$2:$E$801, 0)+1))*INDEX(ERP資料!$O:$O,(MATCH(748, 輔助計算!$E$2:$E$801, 0)+1))), "")</f>
        <v/>
      </c>
      <c r="K749" s="16" t="n"/>
      <c r="L749" s="16" t="n"/>
      <c r="M749" s="17" t="n"/>
    </row>
    <row r="750">
      <c r="A750" s="14">
        <f>IFERROR(IF(INDEX(ERP資料!$B:$B, (MATCH(749, 輔助計算!$E$2:$E$801, 0)+1))="","",INDEX(ERP資料!$B:$B, (MATCH(749, 輔助計算!$E$2:$E$801, 0)+1))), "")</f>
        <v/>
      </c>
      <c r="B750" s="10">
        <f>IFERROR(IF(INDEX(ERP資料!$A:$A, (MATCH(749, 輔助計算!$E$2:$E$801, 0)+1))="","",INDEX(ERP資料!$A:$A, (MATCH(749, 輔助計算!$E$2:$E$801, 0)+1))), "")</f>
        <v/>
      </c>
      <c r="C750" s="10">
        <f>IFERROR(IF(INDEX(ERP資料!$S:$S, (MATCH(749, 輔助計算!$E$2:$E$801, 0)+1))="","",INDEX(ERP資料!$S:$S, (MATCH(749, 輔助計算!$E$2:$E$801, 0)+1))), "")</f>
        <v/>
      </c>
      <c r="D750" s="10">
        <f>IFERROR(IF(INDEX(ERP資料!$E:$E, (MATCH(749, 輔助計算!$E$2:$E$801, 0)+1))="","",TRIM(INDEX(ERP資料!$E:$E, (MATCH(749, 輔助計算!$E$2:$E$801, 0)+1)))), "")</f>
        <v/>
      </c>
      <c r="E750" s="10">
        <f>IFERROR(IF(INDEX(ERP資料!$F:$F, (MATCH(749, 輔助計算!$E$2:$E$801, 0)+1))="","",INDEX(ERP資料!$F:$F, (MATCH(749, 輔助計算!$E$2:$E$801, 0)+1))), "")</f>
        <v/>
      </c>
      <c r="F750" s="10">
        <f>IFERROR(IF(INDEX(ERP資料!$G:$G, (MATCH(749, 輔助計算!$E$2:$E$801, 0)+1))="","",INDEX(ERP資料!$G:$G, (MATCH(749, 輔助計算!$E$2:$E$801, 0)+1))), "")</f>
        <v/>
      </c>
      <c r="G750" s="10">
        <f>IFERROR(IF(INDEX(ERP資料!$H:$H, (MATCH(749, 輔助計算!$E$2:$E$801, 0)+1))="","",INDEX(ERP資料!$H:$H, (MATCH(749, 輔助計算!$E$2:$E$801, 0)+1))), "")</f>
        <v/>
      </c>
      <c r="H750" s="15">
        <f>IFERROR(INDEX(輔助計算!$D:$D, (MATCH(749, 輔助計算!$E$2:$E$801, 0)+1)), "")</f>
        <v/>
      </c>
      <c r="I750" s="10">
        <f>IFERROR(IF(INDEX(ERP資料!$O:$O, (MATCH(749, 輔助計算!$E$2:$E$801, 0)+1))="","",INDEX(ERP資料!$O:$O, (MATCH(749, 輔助計算!$E$2:$E$801, 0)+1))), "")</f>
        <v/>
      </c>
      <c r="J750" s="15">
        <f>IFERROR(IF(INDEX(輔助計算!$D:$D,(MATCH(749, 輔助計算!$E$2:$E$801, 0)+1))="","",INDEX(輔助計算!$D:$D,(MATCH(749, 輔助計算!$E$2:$E$801, 0)+1))*INDEX(ERP資料!$O:$O,(MATCH(749, 輔助計算!$E$2:$E$801, 0)+1))), "")</f>
        <v/>
      </c>
      <c r="K750" s="16" t="n"/>
      <c r="L750" s="16" t="n"/>
      <c r="M750" s="17" t="n"/>
    </row>
    <row r="751">
      <c r="A751" s="14">
        <f>IFERROR(IF(INDEX(ERP資料!$B:$B, (MATCH(750, 輔助計算!$E$2:$E$801, 0)+1))="","",INDEX(ERP資料!$B:$B, (MATCH(750, 輔助計算!$E$2:$E$801, 0)+1))), "")</f>
        <v/>
      </c>
      <c r="B751" s="10">
        <f>IFERROR(IF(INDEX(ERP資料!$A:$A, (MATCH(750, 輔助計算!$E$2:$E$801, 0)+1))="","",INDEX(ERP資料!$A:$A, (MATCH(750, 輔助計算!$E$2:$E$801, 0)+1))), "")</f>
        <v/>
      </c>
      <c r="C751" s="10">
        <f>IFERROR(IF(INDEX(ERP資料!$S:$S, (MATCH(750, 輔助計算!$E$2:$E$801, 0)+1))="","",INDEX(ERP資料!$S:$S, (MATCH(750, 輔助計算!$E$2:$E$801, 0)+1))), "")</f>
        <v/>
      </c>
      <c r="D751" s="10">
        <f>IFERROR(IF(INDEX(ERP資料!$E:$E, (MATCH(750, 輔助計算!$E$2:$E$801, 0)+1))="","",TRIM(INDEX(ERP資料!$E:$E, (MATCH(750, 輔助計算!$E$2:$E$801, 0)+1)))), "")</f>
        <v/>
      </c>
      <c r="E751" s="10">
        <f>IFERROR(IF(INDEX(ERP資料!$F:$F, (MATCH(750, 輔助計算!$E$2:$E$801, 0)+1))="","",INDEX(ERP資料!$F:$F, (MATCH(750, 輔助計算!$E$2:$E$801, 0)+1))), "")</f>
        <v/>
      </c>
      <c r="F751" s="10">
        <f>IFERROR(IF(INDEX(ERP資料!$G:$G, (MATCH(750, 輔助計算!$E$2:$E$801, 0)+1))="","",INDEX(ERP資料!$G:$G, (MATCH(750, 輔助計算!$E$2:$E$801, 0)+1))), "")</f>
        <v/>
      </c>
      <c r="G751" s="10">
        <f>IFERROR(IF(INDEX(ERP資料!$H:$H, (MATCH(750, 輔助計算!$E$2:$E$801, 0)+1))="","",INDEX(ERP資料!$H:$H, (MATCH(750, 輔助計算!$E$2:$E$801, 0)+1))), "")</f>
        <v/>
      </c>
      <c r="H751" s="15">
        <f>IFERROR(INDEX(輔助計算!$D:$D, (MATCH(750, 輔助計算!$E$2:$E$801, 0)+1)), "")</f>
        <v/>
      </c>
      <c r="I751" s="10">
        <f>IFERROR(IF(INDEX(ERP資料!$O:$O, (MATCH(750, 輔助計算!$E$2:$E$801, 0)+1))="","",INDEX(ERP資料!$O:$O, (MATCH(750, 輔助計算!$E$2:$E$801, 0)+1))), "")</f>
        <v/>
      </c>
      <c r="J751" s="15">
        <f>IFERROR(IF(INDEX(輔助計算!$D:$D,(MATCH(750, 輔助計算!$E$2:$E$801, 0)+1))="","",INDEX(輔助計算!$D:$D,(MATCH(750, 輔助計算!$E$2:$E$801, 0)+1))*INDEX(ERP資料!$O:$O,(MATCH(750, 輔助計算!$E$2:$E$801, 0)+1))), "")</f>
        <v/>
      </c>
      <c r="K751" s="16" t="n"/>
      <c r="L751" s="16" t="n"/>
      <c r="M751" s="17" t="n"/>
    </row>
    <row r="752">
      <c r="A752" s="14">
        <f>IFERROR(IF(INDEX(ERP資料!$B:$B, (MATCH(751, 輔助計算!$E$2:$E$801, 0)+1))="","",INDEX(ERP資料!$B:$B, (MATCH(751, 輔助計算!$E$2:$E$801, 0)+1))), "")</f>
        <v/>
      </c>
      <c r="B752" s="10">
        <f>IFERROR(IF(INDEX(ERP資料!$A:$A, (MATCH(751, 輔助計算!$E$2:$E$801, 0)+1))="","",INDEX(ERP資料!$A:$A, (MATCH(751, 輔助計算!$E$2:$E$801, 0)+1))), "")</f>
        <v/>
      </c>
      <c r="C752" s="10">
        <f>IFERROR(IF(INDEX(ERP資料!$S:$S, (MATCH(751, 輔助計算!$E$2:$E$801, 0)+1))="","",INDEX(ERP資料!$S:$S, (MATCH(751, 輔助計算!$E$2:$E$801, 0)+1))), "")</f>
        <v/>
      </c>
      <c r="D752" s="10">
        <f>IFERROR(IF(INDEX(ERP資料!$E:$E, (MATCH(751, 輔助計算!$E$2:$E$801, 0)+1))="","",TRIM(INDEX(ERP資料!$E:$E, (MATCH(751, 輔助計算!$E$2:$E$801, 0)+1)))), "")</f>
        <v/>
      </c>
      <c r="E752" s="10">
        <f>IFERROR(IF(INDEX(ERP資料!$F:$F, (MATCH(751, 輔助計算!$E$2:$E$801, 0)+1))="","",INDEX(ERP資料!$F:$F, (MATCH(751, 輔助計算!$E$2:$E$801, 0)+1))), "")</f>
        <v/>
      </c>
      <c r="F752" s="10">
        <f>IFERROR(IF(INDEX(ERP資料!$G:$G, (MATCH(751, 輔助計算!$E$2:$E$801, 0)+1))="","",INDEX(ERP資料!$G:$G, (MATCH(751, 輔助計算!$E$2:$E$801, 0)+1))), "")</f>
        <v/>
      </c>
      <c r="G752" s="10">
        <f>IFERROR(IF(INDEX(ERP資料!$H:$H, (MATCH(751, 輔助計算!$E$2:$E$801, 0)+1))="","",INDEX(ERP資料!$H:$H, (MATCH(751, 輔助計算!$E$2:$E$801, 0)+1))), "")</f>
        <v/>
      </c>
      <c r="H752" s="15">
        <f>IFERROR(INDEX(輔助計算!$D:$D, (MATCH(751, 輔助計算!$E$2:$E$801, 0)+1)), "")</f>
        <v/>
      </c>
      <c r="I752" s="10">
        <f>IFERROR(IF(INDEX(ERP資料!$O:$O, (MATCH(751, 輔助計算!$E$2:$E$801, 0)+1))="","",INDEX(ERP資料!$O:$O, (MATCH(751, 輔助計算!$E$2:$E$801, 0)+1))), "")</f>
        <v/>
      </c>
      <c r="J752" s="15">
        <f>IFERROR(IF(INDEX(輔助計算!$D:$D,(MATCH(751, 輔助計算!$E$2:$E$801, 0)+1))="","",INDEX(輔助計算!$D:$D,(MATCH(751, 輔助計算!$E$2:$E$801, 0)+1))*INDEX(ERP資料!$O:$O,(MATCH(751, 輔助計算!$E$2:$E$801, 0)+1))), "")</f>
        <v/>
      </c>
      <c r="K752" s="16" t="n"/>
      <c r="L752" s="16" t="n"/>
      <c r="M752" s="17" t="n"/>
    </row>
    <row r="753">
      <c r="A753" s="14">
        <f>IFERROR(IF(INDEX(ERP資料!$B:$B, (MATCH(752, 輔助計算!$E$2:$E$801, 0)+1))="","",INDEX(ERP資料!$B:$B, (MATCH(752, 輔助計算!$E$2:$E$801, 0)+1))), "")</f>
        <v/>
      </c>
      <c r="B753" s="10">
        <f>IFERROR(IF(INDEX(ERP資料!$A:$A, (MATCH(752, 輔助計算!$E$2:$E$801, 0)+1))="","",INDEX(ERP資料!$A:$A, (MATCH(752, 輔助計算!$E$2:$E$801, 0)+1))), "")</f>
        <v/>
      </c>
      <c r="C753" s="10">
        <f>IFERROR(IF(INDEX(ERP資料!$S:$S, (MATCH(752, 輔助計算!$E$2:$E$801, 0)+1))="","",INDEX(ERP資料!$S:$S, (MATCH(752, 輔助計算!$E$2:$E$801, 0)+1))), "")</f>
        <v/>
      </c>
      <c r="D753" s="10">
        <f>IFERROR(IF(INDEX(ERP資料!$E:$E, (MATCH(752, 輔助計算!$E$2:$E$801, 0)+1))="","",TRIM(INDEX(ERP資料!$E:$E, (MATCH(752, 輔助計算!$E$2:$E$801, 0)+1)))), "")</f>
        <v/>
      </c>
      <c r="E753" s="10">
        <f>IFERROR(IF(INDEX(ERP資料!$F:$F, (MATCH(752, 輔助計算!$E$2:$E$801, 0)+1))="","",INDEX(ERP資料!$F:$F, (MATCH(752, 輔助計算!$E$2:$E$801, 0)+1))), "")</f>
        <v/>
      </c>
      <c r="F753" s="10">
        <f>IFERROR(IF(INDEX(ERP資料!$G:$G, (MATCH(752, 輔助計算!$E$2:$E$801, 0)+1))="","",INDEX(ERP資料!$G:$G, (MATCH(752, 輔助計算!$E$2:$E$801, 0)+1))), "")</f>
        <v/>
      </c>
      <c r="G753" s="10">
        <f>IFERROR(IF(INDEX(ERP資料!$H:$H, (MATCH(752, 輔助計算!$E$2:$E$801, 0)+1))="","",INDEX(ERP資料!$H:$H, (MATCH(752, 輔助計算!$E$2:$E$801, 0)+1))), "")</f>
        <v/>
      </c>
      <c r="H753" s="15">
        <f>IFERROR(INDEX(輔助計算!$D:$D, (MATCH(752, 輔助計算!$E$2:$E$801, 0)+1)), "")</f>
        <v/>
      </c>
      <c r="I753" s="10">
        <f>IFERROR(IF(INDEX(ERP資料!$O:$O, (MATCH(752, 輔助計算!$E$2:$E$801, 0)+1))="","",INDEX(ERP資料!$O:$O, (MATCH(752, 輔助計算!$E$2:$E$801, 0)+1))), "")</f>
        <v/>
      </c>
      <c r="J753" s="15">
        <f>IFERROR(IF(INDEX(輔助計算!$D:$D,(MATCH(752, 輔助計算!$E$2:$E$801, 0)+1))="","",INDEX(輔助計算!$D:$D,(MATCH(752, 輔助計算!$E$2:$E$801, 0)+1))*INDEX(ERP資料!$O:$O,(MATCH(752, 輔助計算!$E$2:$E$801, 0)+1))), "")</f>
        <v/>
      </c>
      <c r="K753" s="16" t="n"/>
      <c r="L753" s="16" t="n"/>
      <c r="M753" s="17" t="n"/>
    </row>
    <row r="754">
      <c r="A754" s="14">
        <f>IFERROR(IF(INDEX(ERP資料!$B:$B, (MATCH(753, 輔助計算!$E$2:$E$801, 0)+1))="","",INDEX(ERP資料!$B:$B, (MATCH(753, 輔助計算!$E$2:$E$801, 0)+1))), "")</f>
        <v/>
      </c>
      <c r="B754" s="10">
        <f>IFERROR(IF(INDEX(ERP資料!$A:$A, (MATCH(753, 輔助計算!$E$2:$E$801, 0)+1))="","",INDEX(ERP資料!$A:$A, (MATCH(753, 輔助計算!$E$2:$E$801, 0)+1))), "")</f>
        <v/>
      </c>
      <c r="C754" s="10">
        <f>IFERROR(IF(INDEX(ERP資料!$S:$S, (MATCH(753, 輔助計算!$E$2:$E$801, 0)+1))="","",INDEX(ERP資料!$S:$S, (MATCH(753, 輔助計算!$E$2:$E$801, 0)+1))), "")</f>
        <v/>
      </c>
      <c r="D754" s="10">
        <f>IFERROR(IF(INDEX(ERP資料!$E:$E, (MATCH(753, 輔助計算!$E$2:$E$801, 0)+1))="","",TRIM(INDEX(ERP資料!$E:$E, (MATCH(753, 輔助計算!$E$2:$E$801, 0)+1)))), "")</f>
        <v/>
      </c>
      <c r="E754" s="10">
        <f>IFERROR(IF(INDEX(ERP資料!$F:$F, (MATCH(753, 輔助計算!$E$2:$E$801, 0)+1))="","",INDEX(ERP資料!$F:$F, (MATCH(753, 輔助計算!$E$2:$E$801, 0)+1))), "")</f>
        <v/>
      </c>
      <c r="F754" s="10">
        <f>IFERROR(IF(INDEX(ERP資料!$G:$G, (MATCH(753, 輔助計算!$E$2:$E$801, 0)+1))="","",INDEX(ERP資料!$G:$G, (MATCH(753, 輔助計算!$E$2:$E$801, 0)+1))), "")</f>
        <v/>
      </c>
      <c r="G754" s="10">
        <f>IFERROR(IF(INDEX(ERP資料!$H:$H, (MATCH(753, 輔助計算!$E$2:$E$801, 0)+1))="","",INDEX(ERP資料!$H:$H, (MATCH(753, 輔助計算!$E$2:$E$801, 0)+1))), "")</f>
        <v/>
      </c>
      <c r="H754" s="15">
        <f>IFERROR(INDEX(輔助計算!$D:$D, (MATCH(753, 輔助計算!$E$2:$E$801, 0)+1)), "")</f>
        <v/>
      </c>
      <c r="I754" s="10">
        <f>IFERROR(IF(INDEX(ERP資料!$O:$O, (MATCH(753, 輔助計算!$E$2:$E$801, 0)+1))="","",INDEX(ERP資料!$O:$O, (MATCH(753, 輔助計算!$E$2:$E$801, 0)+1))), "")</f>
        <v/>
      </c>
      <c r="J754" s="15">
        <f>IFERROR(IF(INDEX(輔助計算!$D:$D,(MATCH(753, 輔助計算!$E$2:$E$801, 0)+1))="","",INDEX(輔助計算!$D:$D,(MATCH(753, 輔助計算!$E$2:$E$801, 0)+1))*INDEX(ERP資料!$O:$O,(MATCH(753, 輔助計算!$E$2:$E$801, 0)+1))), "")</f>
        <v/>
      </c>
      <c r="K754" s="16" t="n"/>
      <c r="L754" s="16" t="n"/>
      <c r="M754" s="17" t="n"/>
    </row>
    <row r="755">
      <c r="A755" s="14">
        <f>IFERROR(IF(INDEX(ERP資料!$B:$B, (MATCH(754, 輔助計算!$E$2:$E$801, 0)+1))="","",INDEX(ERP資料!$B:$B, (MATCH(754, 輔助計算!$E$2:$E$801, 0)+1))), "")</f>
        <v/>
      </c>
      <c r="B755" s="10">
        <f>IFERROR(IF(INDEX(ERP資料!$A:$A, (MATCH(754, 輔助計算!$E$2:$E$801, 0)+1))="","",INDEX(ERP資料!$A:$A, (MATCH(754, 輔助計算!$E$2:$E$801, 0)+1))), "")</f>
        <v/>
      </c>
      <c r="C755" s="10">
        <f>IFERROR(IF(INDEX(ERP資料!$S:$S, (MATCH(754, 輔助計算!$E$2:$E$801, 0)+1))="","",INDEX(ERP資料!$S:$S, (MATCH(754, 輔助計算!$E$2:$E$801, 0)+1))), "")</f>
        <v/>
      </c>
      <c r="D755" s="10">
        <f>IFERROR(IF(INDEX(ERP資料!$E:$E, (MATCH(754, 輔助計算!$E$2:$E$801, 0)+1))="","",TRIM(INDEX(ERP資料!$E:$E, (MATCH(754, 輔助計算!$E$2:$E$801, 0)+1)))), "")</f>
        <v/>
      </c>
      <c r="E755" s="10">
        <f>IFERROR(IF(INDEX(ERP資料!$F:$F, (MATCH(754, 輔助計算!$E$2:$E$801, 0)+1))="","",INDEX(ERP資料!$F:$F, (MATCH(754, 輔助計算!$E$2:$E$801, 0)+1))), "")</f>
        <v/>
      </c>
      <c r="F755" s="10">
        <f>IFERROR(IF(INDEX(ERP資料!$G:$G, (MATCH(754, 輔助計算!$E$2:$E$801, 0)+1))="","",INDEX(ERP資料!$G:$G, (MATCH(754, 輔助計算!$E$2:$E$801, 0)+1))), "")</f>
        <v/>
      </c>
      <c r="G755" s="10">
        <f>IFERROR(IF(INDEX(ERP資料!$H:$H, (MATCH(754, 輔助計算!$E$2:$E$801, 0)+1))="","",INDEX(ERP資料!$H:$H, (MATCH(754, 輔助計算!$E$2:$E$801, 0)+1))), "")</f>
        <v/>
      </c>
      <c r="H755" s="15">
        <f>IFERROR(INDEX(輔助計算!$D:$D, (MATCH(754, 輔助計算!$E$2:$E$801, 0)+1)), "")</f>
        <v/>
      </c>
      <c r="I755" s="10">
        <f>IFERROR(IF(INDEX(ERP資料!$O:$O, (MATCH(754, 輔助計算!$E$2:$E$801, 0)+1))="","",INDEX(ERP資料!$O:$O, (MATCH(754, 輔助計算!$E$2:$E$801, 0)+1))), "")</f>
        <v/>
      </c>
      <c r="J755" s="15">
        <f>IFERROR(IF(INDEX(輔助計算!$D:$D,(MATCH(754, 輔助計算!$E$2:$E$801, 0)+1))="","",INDEX(輔助計算!$D:$D,(MATCH(754, 輔助計算!$E$2:$E$801, 0)+1))*INDEX(ERP資料!$O:$O,(MATCH(754, 輔助計算!$E$2:$E$801, 0)+1))), "")</f>
        <v/>
      </c>
      <c r="K755" s="16" t="n"/>
      <c r="L755" s="16" t="n"/>
      <c r="M755" s="17" t="n"/>
    </row>
    <row r="756">
      <c r="A756" s="14">
        <f>IFERROR(IF(INDEX(ERP資料!$B:$B, (MATCH(755, 輔助計算!$E$2:$E$801, 0)+1))="","",INDEX(ERP資料!$B:$B, (MATCH(755, 輔助計算!$E$2:$E$801, 0)+1))), "")</f>
        <v/>
      </c>
      <c r="B756" s="10">
        <f>IFERROR(IF(INDEX(ERP資料!$A:$A, (MATCH(755, 輔助計算!$E$2:$E$801, 0)+1))="","",INDEX(ERP資料!$A:$A, (MATCH(755, 輔助計算!$E$2:$E$801, 0)+1))), "")</f>
        <v/>
      </c>
      <c r="C756" s="10">
        <f>IFERROR(IF(INDEX(ERP資料!$S:$S, (MATCH(755, 輔助計算!$E$2:$E$801, 0)+1))="","",INDEX(ERP資料!$S:$S, (MATCH(755, 輔助計算!$E$2:$E$801, 0)+1))), "")</f>
        <v/>
      </c>
      <c r="D756" s="10">
        <f>IFERROR(IF(INDEX(ERP資料!$E:$E, (MATCH(755, 輔助計算!$E$2:$E$801, 0)+1))="","",TRIM(INDEX(ERP資料!$E:$E, (MATCH(755, 輔助計算!$E$2:$E$801, 0)+1)))), "")</f>
        <v/>
      </c>
      <c r="E756" s="10">
        <f>IFERROR(IF(INDEX(ERP資料!$F:$F, (MATCH(755, 輔助計算!$E$2:$E$801, 0)+1))="","",INDEX(ERP資料!$F:$F, (MATCH(755, 輔助計算!$E$2:$E$801, 0)+1))), "")</f>
        <v/>
      </c>
      <c r="F756" s="10">
        <f>IFERROR(IF(INDEX(ERP資料!$G:$G, (MATCH(755, 輔助計算!$E$2:$E$801, 0)+1))="","",INDEX(ERP資料!$G:$G, (MATCH(755, 輔助計算!$E$2:$E$801, 0)+1))), "")</f>
        <v/>
      </c>
      <c r="G756" s="10">
        <f>IFERROR(IF(INDEX(ERP資料!$H:$H, (MATCH(755, 輔助計算!$E$2:$E$801, 0)+1))="","",INDEX(ERP資料!$H:$H, (MATCH(755, 輔助計算!$E$2:$E$801, 0)+1))), "")</f>
        <v/>
      </c>
      <c r="H756" s="15">
        <f>IFERROR(INDEX(輔助計算!$D:$D, (MATCH(755, 輔助計算!$E$2:$E$801, 0)+1)), "")</f>
        <v/>
      </c>
      <c r="I756" s="10">
        <f>IFERROR(IF(INDEX(ERP資料!$O:$O, (MATCH(755, 輔助計算!$E$2:$E$801, 0)+1))="","",INDEX(ERP資料!$O:$O, (MATCH(755, 輔助計算!$E$2:$E$801, 0)+1))), "")</f>
        <v/>
      </c>
      <c r="J756" s="15">
        <f>IFERROR(IF(INDEX(輔助計算!$D:$D,(MATCH(755, 輔助計算!$E$2:$E$801, 0)+1))="","",INDEX(輔助計算!$D:$D,(MATCH(755, 輔助計算!$E$2:$E$801, 0)+1))*INDEX(ERP資料!$O:$O,(MATCH(755, 輔助計算!$E$2:$E$801, 0)+1))), "")</f>
        <v/>
      </c>
      <c r="K756" s="16" t="n"/>
      <c r="L756" s="16" t="n"/>
      <c r="M756" s="17" t="n"/>
    </row>
    <row r="757">
      <c r="A757" s="14">
        <f>IFERROR(IF(INDEX(ERP資料!$B:$B, (MATCH(756, 輔助計算!$E$2:$E$801, 0)+1))="","",INDEX(ERP資料!$B:$B, (MATCH(756, 輔助計算!$E$2:$E$801, 0)+1))), "")</f>
        <v/>
      </c>
      <c r="B757" s="10">
        <f>IFERROR(IF(INDEX(ERP資料!$A:$A, (MATCH(756, 輔助計算!$E$2:$E$801, 0)+1))="","",INDEX(ERP資料!$A:$A, (MATCH(756, 輔助計算!$E$2:$E$801, 0)+1))), "")</f>
        <v/>
      </c>
      <c r="C757" s="10">
        <f>IFERROR(IF(INDEX(ERP資料!$S:$S, (MATCH(756, 輔助計算!$E$2:$E$801, 0)+1))="","",INDEX(ERP資料!$S:$S, (MATCH(756, 輔助計算!$E$2:$E$801, 0)+1))), "")</f>
        <v/>
      </c>
      <c r="D757" s="10">
        <f>IFERROR(IF(INDEX(ERP資料!$E:$E, (MATCH(756, 輔助計算!$E$2:$E$801, 0)+1))="","",TRIM(INDEX(ERP資料!$E:$E, (MATCH(756, 輔助計算!$E$2:$E$801, 0)+1)))), "")</f>
        <v/>
      </c>
      <c r="E757" s="10">
        <f>IFERROR(IF(INDEX(ERP資料!$F:$F, (MATCH(756, 輔助計算!$E$2:$E$801, 0)+1))="","",INDEX(ERP資料!$F:$F, (MATCH(756, 輔助計算!$E$2:$E$801, 0)+1))), "")</f>
        <v/>
      </c>
      <c r="F757" s="10">
        <f>IFERROR(IF(INDEX(ERP資料!$G:$G, (MATCH(756, 輔助計算!$E$2:$E$801, 0)+1))="","",INDEX(ERP資料!$G:$G, (MATCH(756, 輔助計算!$E$2:$E$801, 0)+1))), "")</f>
        <v/>
      </c>
      <c r="G757" s="10">
        <f>IFERROR(IF(INDEX(ERP資料!$H:$H, (MATCH(756, 輔助計算!$E$2:$E$801, 0)+1))="","",INDEX(ERP資料!$H:$H, (MATCH(756, 輔助計算!$E$2:$E$801, 0)+1))), "")</f>
        <v/>
      </c>
      <c r="H757" s="15">
        <f>IFERROR(INDEX(輔助計算!$D:$D, (MATCH(756, 輔助計算!$E$2:$E$801, 0)+1)), "")</f>
        <v/>
      </c>
      <c r="I757" s="10">
        <f>IFERROR(IF(INDEX(ERP資料!$O:$O, (MATCH(756, 輔助計算!$E$2:$E$801, 0)+1))="","",INDEX(ERP資料!$O:$O, (MATCH(756, 輔助計算!$E$2:$E$801, 0)+1))), "")</f>
        <v/>
      </c>
      <c r="J757" s="15">
        <f>IFERROR(IF(INDEX(輔助計算!$D:$D,(MATCH(756, 輔助計算!$E$2:$E$801, 0)+1))="","",INDEX(輔助計算!$D:$D,(MATCH(756, 輔助計算!$E$2:$E$801, 0)+1))*INDEX(ERP資料!$O:$O,(MATCH(756, 輔助計算!$E$2:$E$801, 0)+1))), "")</f>
        <v/>
      </c>
      <c r="K757" s="16" t="n"/>
      <c r="L757" s="16" t="n"/>
      <c r="M757" s="17" t="n"/>
    </row>
    <row r="758">
      <c r="A758" s="14">
        <f>IFERROR(IF(INDEX(ERP資料!$B:$B, (MATCH(757, 輔助計算!$E$2:$E$801, 0)+1))="","",INDEX(ERP資料!$B:$B, (MATCH(757, 輔助計算!$E$2:$E$801, 0)+1))), "")</f>
        <v/>
      </c>
      <c r="B758" s="10">
        <f>IFERROR(IF(INDEX(ERP資料!$A:$A, (MATCH(757, 輔助計算!$E$2:$E$801, 0)+1))="","",INDEX(ERP資料!$A:$A, (MATCH(757, 輔助計算!$E$2:$E$801, 0)+1))), "")</f>
        <v/>
      </c>
      <c r="C758" s="10">
        <f>IFERROR(IF(INDEX(ERP資料!$S:$S, (MATCH(757, 輔助計算!$E$2:$E$801, 0)+1))="","",INDEX(ERP資料!$S:$S, (MATCH(757, 輔助計算!$E$2:$E$801, 0)+1))), "")</f>
        <v/>
      </c>
      <c r="D758" s="10">
        <f>IFERROR(IF(INDEX(ERP資料!$E:$E, (MATCH(757, 輔助計算!$E$2:$E$801, 0)+1))="","",TRIM(INDEX(ERP資料!$E:$E, (MATCH(757, 輔助計算!$E$2:$E$801, 0)+1)))), "")</f>
        <v/>
      </c>
      <c r="E758" s="10">
        <f>IFERROR(IF(INDEX(ERP資料!$F:$F, (MATCH(757, 輔助計算!$E$2:$E$801, 0)+1))="","",INDEX(ERP資料!$F:$F, (MATCH(757, 輔助計算!$E$2:$E$801, 0)+1))), "")</f>
        <v/>
      </c>
      <c r="F758" s="10">
        <f>IFERROR(IF(INDEX(ERP資料!$G:$G, (MATCH(757, 輔助計算!$E$2:$E$801, 0)+1))="","",INDEX(ERP資料!$G:$G, (MATCH(757, 輔助計算!$E$2:$E$801, 0)+1))), "")</f>
        <v/>
      </c>
      <c r="G758" s="10">
        <f>IFERROR(IF(INDEX(ERP資料!$H:$H, (MATCH(757, 輔助計算!$E$2:$E$801, 0)+1))="","",INDEX(ERP資料!$H:$H, (MATCH(757, 輔助計算!$E$2:$E$801, 0)+1))), "")</f>
        <v/>
      </c>
      <c r="H758" s="15">
        <f>IFERROR(INDEX(輔助計算!$D:$D, (MATCH(757, 輔助計算!$E$2:$E$801, 0)+1)), "")</f>
        <v/>
      </c>
      <c r="I758" s="10">
        <f>IFERROR(IF(INDEX(ERP資料!$O:$O, (MATCH(757, 輔助計算!$E$2:$E$801, 0)+1))="","",INDEX(ERP資料!$O:$O, (MATCH(757, 輔助計算!$E$2:$E$801, 0)+1))), "")</f>
        <v/>
      </c>
      <c r="J758" s="15">
        <f>IFERROR(IF(INDEX(輔助計算!$D:$D,(MATCH(757, 輔助計算!$E$2:$E$801, 0)+1))="","",INDEX(輔助計算!$D:$D,(MATCH(757, 輔助計算!$E$2:$E$801, 0)+1))*INDEX(ERP資料!$O:$O,(MATCH(757, 輔助計算!$E$2:$E$801, 0)+1))), "")</f>
        <v/>
      </c>
      <c r="K758" s="16" t="n"/>
      <c r="L758" s="16" t="n"/>
      <c r="M758" s="17" t="n"/>
    </row>
    <row r="759">
      <c r="A759" s="14">
        <f>IFERROR(IF(INDEX(ERP資料!$B:$B, (MATCH(758, 輔助計算!$E$2:$E$801, 0)+1))="","",INDEX(ERP資料!$B:$B, (MATCH(758, 輔助計算!$E$2:$E$801, 0)+1))), "")</f>
        <v/>
      </c>
      <c r="B759" s="10">
        <f>IFERROR(IF(INDEX(ERP資料!$A:$A, (MATCH(758, 輔助計算!$E$2:$E$801, 0)+1))="","",INDEX(ERP資料!$A:$A, (MATCH(758, 輔助計算!$E$2:$E$801, 0)+1))), "")</f>
        <v/>
      </c>
      <c r="C759" s="10">
        <f>IFERROR(IF(INDEX(ERP資料!$S:$S, (MATCH(758, 輔助計算!$E$2:$E$801, 0)+1))="","",INDEX(ERP資料!$S:$S, (MATCH(758, 輔助計算!$E$2:$E$801, 0)+1))), "")</f>
        <v/>
      </c>
      <c r="D759" s="10">
        <f>IFERROR(IF(INDEX(ERP資料!$E:$E, (MATCH(758, 輔助計算!$E$2:$E$801, 0)+1))="","",TRIM(INDEX(ERP資料!$E:$E, (MATCH(758, 輔助計算!$E$2:$E$801, 0)+1)))), "")</f>
        <v/>
      </c>
      <c r="E759" s="10">
        <f>IFERROR(IF(INDEX(ERP資料!$F:$F, (MATCH(758, 輔助計算!$E$2:$E$801, 0)+1))="","",INDEX(ERP資料!$F:$F, (MATCH(758, 輔助計算!$E$2:$E$801, 0)+1))), "")</f>
        <v/>
      </c>
      <c r="F759" s="10">
        <f>IFERROR(IF(INDEX(ERP資料!$G:$G, (MATCH(758, 輔助計算!$E$2:$E$801, 0)+1))="","",INDEX(ERP資料!$G:$G, (MATCH(758, 輔助計算!$E$2:$E$801, 0)+1))), "")</f>
        <v/>
      </c>
      <c r="G759" s="10">
        <f>IFERROR(IF(INDEX(ERP資料!$H:$H, (MATCH(758, 輔助計算!$E$2:$E$801, 0)+1))="","",INDEX(ERP資料!$H:$H, (MATCH(758, 輔助計算!$E$2:$E$801, 0)+1))), "")</f>
        <v/>
      </c>
      <c r="H759" s="15">
        <f>IFERROR(INDEX(輔助計算!$D:$D, (MATCH(758, 輔助計算!$E$2:$E$801, 0)+1)), "")</f>
        <v/>
      </c>
      <c r="I759" s="10">
        <f>IFERROR(IF(INDEX(ERP資料!$O:$O, (MATCH(758, 輔助計算!$E$2:$E$801, 0)+1))="","",INDEX(ERP資料!$O:$O, (MATCH(758, 輔助計算!$E$2:$E$801, 0)+1))), "")</f>
        <v/>
      </c>
      <c r="J759" s="15">
        <f>IFERROR(IF(INDEX(輔助計算!$D:$D,(MATCH(758, 輔助計算!$E$2:$E$801, 0)+1))="","",INDEX(輔助計算!$D:$D,(MATCH(758, 輔助計算!$E$2:$E$801, 0)+1))*INDEX(ERP資料!$O:$O,(MATCH(758, 輔助計算!$E$2:$E$801, 0)+1))), "")</f>
        <v/>
      </c>
      <c r="K759" s="16" t="n"/>
      <c r="L759" s="16" t="n"/>
      <c r="M759" s="17" t="n"/>
    </row>
    <row r="760">
      <c r="A760" s="14">
        <f>IFERROR(IF(INDEX(ERP資料!$B:$B, (MATCH(759, 輔助計算!$E$2:$E$801, 0)+1))="","",INDEX(ERP資料!$B:$B, (MATCH(759, 輔助計算!$E$2:$E$801, 0)+1))), "")</f>
        <v/>
      </c>
      <c r="B760" s="10">
        <f>IFERROR(IF(INDEX(ERP資料!$A:$A, (MATCH(759, 輔助計算!$E$2:$E$801, 0)+1))="","",INDEX(ERP資料!$A:$A, (MATCH(759, 輔助計算!$E$2:$E$801, 0)+1))), "")</f>
        <v/>
      </c>
      <c r="C760" s="10">
        <f>IFERROR(IF(INDEX(ERP資料!$S:$S, (MATCH(759, 輔助計算!$E$2:$E$801, 0)+1))="","",INDEX(ERP資料!$S:$S, (MATCH(759, 輔助計算!$E$2:$E$801, 0)+1))), "")</f>
        <v/>
      </c>
      <c r="D760" s="10">
        <f>IFERROR(IF(INDEX(ERP資料!$E:$E, (MATCH(759, 輔助計算!$E$2:$E$801, 0)+1))="","",TRIM(INDEX(ERP資料!$E:$E, (MATCH(759, 輔助計算!$E$2:$E$801, 0)+1)))), "")</f>
        <v/>
      </c>
      <c r="E760" s="10">
        <f>IFERROR(IF(INDEX(ERP資料!$F:$F, (MATCH(759, 輔助計算!$E$2:$E$801, 0)+1))="","",INDEX(ERP資料!$F:$F, (MATCH(759, 輔助計算!$E$2:$E$801, 0)+1))), "")</f>
        <v/>
      </c>
      <c r="F760" s="10">
        <f>IFERROR(IF(INDEX(ERP資料!$G:$G, (MATCH(759, 輔助計算!$E$2:$E$801, 0)+1))="","",INDEX(ERP資料!$G:$G, (MATCH(759, 輔助計算!$E$2:$E$801, 0)+1))), "")</f>
        <v/>
      </c>
      <c r="G760" s="10">
        <f>IFERROR(IF(INDEX(ERP資料!$H:$H, (MATCH(759, 輔助計算!$E$2:$E$801, 0)+1))="","",INDEX(ERP資料!$H:$H, (MATCH(759, 輔助計算!$E$2:$E$801, 0)+1))), "")</f>
        <v/>
      </c>
      <c r="H760" s="15">
        <f>IFERROR(INDEX(輔助計算!$D:$D, (MATCH(759, 輔助計算!$E$2:$E$801, 0)+1)), "")</f>
        <v/>
      </c>
      <c r="I760" s="10">
        <f>IFERROR(IF(INDEX(ERP資料!$O:$O, (MATCH(759, 輔助計算!$E$2:$E$801, 0)+1))="","",INDEX(ERP資料!$O:$O, (MATCH(759, 輔助計算!$E$2:$E$801, 0)+1))), "")</f>
        <v/>
      </c>
      <c r="J760" s="15">
        <f>IFERROR(IF(INDEX(輔助計算!$D:$D,(MATCH(759, 輔助計算!$E$2:$E$801, 0)+1))="","",INDEX(輔助計算!$D:$D,(MATCH(759, 輔助計算!$E$2:$E$801, 0)+1))*INDEX(ERP資料!$O:$O,(MATCH(759, 輔助計算!$E$2:$E$801, 0)+1))), "")</f>
        <v/>
      </c>
      <c r="K760" s="16" t="n"/>
      <c r="L760" s="16" t="n"/>
      <c r="M760" s="17" t="n"/>
    </row>
    <row r="761">
      <c r="A761" s="14">
        <f>IFERROR(IF(INDEX(ERP資料!$B:$B, (MATCH(760, 輔助計算!$E$2:$E$801, 0)+1))="","",INDEX(ERP資料!$B:$B, (MATCH(760, 輔助計算!$E$2:$E$801, 0)+1))), "")</f>
        <v/>
      </c>
      <c r="B761" s="10">
        <f>IFERROR(IF(INDEX(ERP資料!$A:$A, (MATCH(760, 輔助計算!$E$2:$E$801, 0)+1))="","",INDEX(ERP資料!$A:$A, (MATCH(760, 輔助計算!$E$2:$E$801, 0)+1))), "")</f>
        <v/>
      </c>
      <c r="C761" s="10">
        <f>IFERROR(IF(INDEX(ERP資料!$S:$S, (MATCH(760, 輔助計算!$E$2:$E$801, 0)+1))="","",INDEX(ERP資料!$S:$S, (MATCH(760, 輔助計算!$E$2:$E$801, 0)+1))), "")</f>
        <v/>
      </c>
      <c r="D761" s="10">
        <f>IFERROR(IF(INDEX(ERP資料!$E:$E, (MATCH(760, 輔助計算!$E$2:$E$801, 0)+1))="","",TRIM(INDEX(ERP資料!$E:$E, (MATCH(760, 輔助計算!$E$2:$E$801, 0)+1)))), "")</f>
        <v/>
      </c>
      <c r="E761" s="10">
        <f>IFERROR(IF(INDEX(ERP資料!$F:$F, (MATCH(760, 輔助計算!$E$2:$E$801, 0)+1))="","",INDEX(ERP資料!$F:$F, (MATCH(760, 輔助計算!$E$2:$E$801, 0)+1))), "")</f>
        <v/>
      </c>
      <c r="F761" s="10">
        <f>IFERROR(IF(INDEX(ERP資料!$G:$G, (MATCH(760, 輔助計算!$E$2:$E$801, 0)+1))="","",INDEX(ERP資料!$G:$G, (MATCH(760, 輔助計算!$E$2:$E$801, 0)+1))), "")</f>
        <v/>
      </c>
      <c r="G761" s="10">
        <f>IFERROR(IF(INDEX(ERP資料!$H:$H, (MATCH(760, 輔助計算!$E$2:$E$801, 0)+1))="","",INDEX(ERP資料!$H:$H, (MATCH(760, 輔助計算!$E$2:$E$801, 0)+1))), "")</f>
        <v/>
      </c>
      <c r="H761" s="15">
        <f>IFERROR(INDEX(輔助計算!$D:$D, (MATCH(760, 輔助計算!$E$2:$E$801, 0)+1)), "")</f>
        <v/>
      </c>
      <c r="I761" s="10">
        <f>IFERROR(IF(INDEX(ERP資料!$O:$O, (MATCH(760, 輔助計算!$E$2:$E$801, 0)+1))="","",INDEX(ERP資料!$O:$O, (MATCH(760, 輔助計算!$E$2:$E$801, 0)+1))), "")</f>
        <v/>
      </c>
      <c r="J761" s="15">
        <f>IFERROR(IF(INDEX(輔助計算!$D:$D,(MATCH(760, 輔助計算!$E$2:$E$801, 0)+1))="","",INDEX(輔助計算!$D:$D,(MATCH(760, 輔助計算!$E$2:$E$801, 0)+1))*INDEX(ERP資料!$O:$O,(MATCH(760, 輔助計算!$E$2:$E$801, 0)+1))), "")</f>
        <v/>
      </c>
      <c r="K761" s="16" t="n"/>
      <c r="L761" s="16" t="n"/>
      <c r="M761" s="17" t="n"/>
    </row>
    <row r="762">
      <c r="A762" s="14">
        <f>IFERROR(IF(INDEX(ERP資料!$B:$B, (MATCH(761, 輔助計算!$E$2:$E$801, 0)+1))="","",INDEX(ERP資料!$B:$B, (MATCH(761, 輔助計算!$E$2:$E$801, 0)+1))), "")</f>
        <v/>
      </c>
      <c r="B762" s="10">
        <f>IFERROR(IF(INDEX(ERP資料!$A:$A, (MATCH(761, 輔助計算!$E$2:$E$801, 0)+1))="","",INDEX(ERP資料!$A:$A, (MATCH(761, 輔助計算!$E$2:$E$801, 0)+1))), "")</f>
        <v/>
      </c>
      <c r="C762" s="10">
        <f>IFERROR(IF(INDEX(ERP資料!$S:$S, (MATCH(761, 輔助計算!$E$2:$E$801, 0)+1))="","",INDEX(ERP資料!$S:$S, (MATCH(761, 輔助計算!$E$2:$E$801, 0)+1))), "")</f>
        <v/>
      </c>
      <c r="D762" s="10">
        <f>IFERROR(IF(INDEX(ERP資料!$E:$E, (MATCH(761, 輔助計算!$E$2:$E$801, 0)+1))="","",TRIM(INDEX(ERP資料!$E:$E, (MATCH(761, 輔助計算!$E$2:$E$801, 0)+1)))), "")</f>
        <v/>
      </c>
      <c r="E762" s="10">
        <f>IFERROR(IF(INDEX(ERP資料!$F:$F, (MATCH(761, 輔助計算!$E$2:$E$801, 0)+1))="","",INDEX(ERP資料!$F:$F, (MATCH(761, 輔助計算!$E$2:$E$801, 0)+1))), "")</f>
        <v/>
      </c>
      <c r="F762" s="10">
        <f>IFERROR(IF(INDEX(ERP資料!$G:$G, (MATCH(761, 輔助計算!$E$2:$E$801, 0)+1))="","",INDEX(ERP資料!$G:$G, (MATCH(761, 輔助計算!$E$2:$E$801, 0)+1))), "")</f>
        <v/>
      </c>
      <c r="G762" s="10">
        <f>IFERROR(IF(INDEX(ERP資料!$H:$H, (MATCH(761, 輔助計算!$E$2:$E$801, 0)+1))="","",INDEX(ERP資料!$H:$H, (MATCH(761, 輔助計算!$E$2:$E$801, 0)+1))), "")</f>
        <v/>
      </c>
      <c r="H762" s="15">
        <f>IFERROR(INDEX(輔助計算!$D:$D, (MATCH(761, 輔助計算!$E$2:$E$801, 0)+1)), "")</f>
        <v/>
      </c>
      <c r="I762" s="10">
        <f>IFERROR(IF(INDEX(ERP資料!$O:$O, (MATCH(761, 輔助計算!$E$2:$E$801, 0)+1))="","",INDEX(ERP資料!$O:$O, (MATCH(761, 輔助計算!$E$2:$E$801, 0)+1))), "")</f>
        <v/>
      </c>
      <c r="J762" s="15">
        <f>IFERROR(IF(INDEX(輔助計算!$D:$D,(MATCH(761, 輔助計算!$E$2:$E$801, 0)+1))="","",INDEX(輔助計算!$D:$D,(MATCH(761, 輔助計算!$E$2:$E$801, 0)+1))*INDEX(ERP資料!$O:$O,(MATCH(761, 輔助計算!$E$2:$E$801, 0)+1))), "")</f>
        <v/>
      </c>
      <c r="K762" s="16" t="n"/>
      <c r="L762" s="16" t="n"/>
      <c r="M762" s="17" t="n"/>
    </row>
    <row r="763">
      <c r="A763" s="14">
        <f>IFERROR(IF(INDEX(ERP資料!$B:$B, (MATCH(762, 輔助計算!$E$2:$E$801, 0)+1))="","",INDEX(ERP資料!$B:$B, (MATCH(762, 輔助計算!$E$2:$E$801, 0)+1))), "")</f>
        <v/>
      </c>
      <c r="B763" s="10">
        <f>IFERROR(IF(INDEX(ERP資料!$A:$A, (MATCH(762, 輔助計算!$E$2:$E$801, 0)+1))="","",INDEX(ERP資料!$A:$A, (MATCH(762, 輔助計算!$E$2:$E$801, 0)+1))), "")</f>
        <v/>
      </c>
      <c r="C763" s="10">
        <f>IFERROR(IF(INDEX(ERP資料!$S:$S, (MATCH(762, 輔助計算!$E$2:$E$801, 0)+1))="","",INDEX(ERP資料!$S:$S, (MATCH(762, 輔助計算!$E$2:$E$801, 0)+1))), "")</f>
        <v/>
      </c>
      <c r="D763" s="10">
        <f>IFERROR(IF(INDEX(ERP資料!$E:$E, (MATCH(762, 輔助計算!$E$2:$E$801, 0)+1))="","",TRIM(INDEX(ERP資料!$E:$E, (MATCH(762, 輔助計算!$E$2:$E$801, 0)+1)))), "")</f>
        <v/>
      </c>
      <c r="E763" s="10">
        <f>IFERROR(IF(INDEX(ERP資料!$F:$F, (MATCH(762, 輔助計算!$E$2:$E$801, 0)+1))="","",INDEX(ERP資料!$F:$F, (MATCH(762, 輔助計算!$E$2:$E$801, 0)+1))), "")</f>
        <v/>
      </c>
      <c r="F763" s="10">
        <f>IFERROR(IF(INDEX(ERP資料!$G:$G, (MATCH(762, 輔助計算!$E$2:$E$801, 0)+1))="","",INDEX(ERP資料!$G:$G, (MATCH(762, 輔助計算!$E$2:$E$801, 0)+1))), "")</f>
        <v/>
      </c>
      <c r="G763" s="10">
        <f>IFERROR(IF(INDEX(ERP資料!$H:$H, (MATCH(762, 輔助計算!$E$2:$E$801, 0)+1))="","",INDEX(ERP資料!$H:$H, (MATCH(762, 輔助計算!$E$2:$E$801, 0)+1))), "")</f>
        <v/>
      </c>
      <c r="H763" s="15">
        <f>IFERROR(INDEX(輔助計算!$D:$D, (MATCH(762, 輔助計算!$E$2:$E$801, 0)+1)), "")</f>
        <v/>
      </c>
      <c r="I763" s="10">
        <f>IFERROR(IF(INDEX(ERP資料!$O:$O, (MATCH(762, 輔助計算!$E$2:$E$801, 0)+1))="","",INDEX(ERP資料!$O:$O, (MATCH(762, 輔助計算!$E$2:$E$801, 0)+1))), "")</f>
        <v/>
      </c>
      <c r="J763" s="15">
        <f>IFERROR(IF(INDEX(輔助計算!$D:$D,(MATCH(762, 輔助計算!$E$2:$E$801, 0)+1))="","",INDEX(輔助計算!$D:$D,(MATCH(762, 輔助計算!$E$2:$E$801, 0)+1))*INDEX(ERP資料!$O:$O,(MATCH(762, 輔助計算!$E$2:$E$801, 0)+1))), "")</f>
        <v/>
      </c>
      <c r="K763" s="16" t="n"/>
      <c r="L763" s="16" t="n"/>
      <c r="M763" s="17" t="n"/>
    </row>
    <row r="764">
      <c r="A764" s="14">
        <f>IFERROR(IF(INDEX(ERP資料!$B:$B, (MATCH(763, 輔助計算!$E$2:$E$801, 0)+1))="","",INDEX(ERP資料!$B:$B, (MATCH(763, 輔助計算!$E$2:$E$801, 0)+1))), "")</f>
        <v/>
      </c>
      <c r="B764" s="10">
        <f>IFERROR(IF(INDEX(ERP資料!$A:$A, (MATCH(763, 輔助計算!$E$2:$E$801, 0)+1))="","",INDEX(ERP資料!$A:$A, (MATCH(763, 輔助計算!$E$2:$E$801, 0)+1))), "")</f>
        <v/>
      </c>
      <c r="C764" s="10">
        <f>IFERROR(IF(INDEX(ERP資料!$S:$S, (MATCH(763, 輔助計算!$E$2:$E$801, 0)+1))="","",INDEX(ERP資料!$S:$S, (MATCH(763, 輔助計算!$E$2:$E$801, 0)+1))), "")</f>
        <v/>
      </c>
      <c r="D764" s="10">
        <f>IFERROR(IF(INDEX(ERP資料!$E:$E, (MATCH(763, 輔助計算!$E$2:$E$801, 0)+1))="","",TRIM(INDEX(ERP資料!$E:$E, (MATCH(763, 輔助計算!$E$2:$E$801, 0)+1)))), "")</f>
        <v/>
      </c>
      <c r="E764" s="10">
        <f>IFERROR(IF(INDEX(ERP資料!$F:$F, (MATCH(763, 輔助計算!$E$2:$E$801, 0)+1))="","",INDEX(ERP資料!$F:$F, (MATCH(763, 輔助計算!$E$2:$E$801, 0)+1))), "")</f>
        <v/>
      </c>
      <c r="F764" s="10">
        <f>IFERROR(IF(INDEX(ERP資料!$G:$G, (MATCH(763, 輔助計算!$E$2:$E$801, 0)+1))="","",INDEX(ERP資料!$G:$G, (MATCH(763, 輔助計算!$E$2:$E$801, 0)+1))), "")</f>
        <v/>
      </c>
      <c r="G764" s="10">
        <f>IFERROR(IF(INDEX(ERP資料!$H:$H, (MATCH(763, 輔助計算!$E$2:$E$801, 0)+1))="","",INDEX(ERP資料!$H:$H, (MATCH(763, 輔助計算!$E$2:$E$801, 0)+1))), "")</f>
        <v/>
      </c>
      <c r="H764" s="15">
        <f>IFERROR(INDEX(輔助計算!$D:$D, (MATCH(763, 輔助計算!$E$2:$E$801, 0)+1)), "")</f>
        <v/>
      </c>
      <c r="I764" s="10">
        <f>IFERROR(IF(INDEX(ERP資料!$O:$O, (MATCH(763, 輔助計算!$E$2:$E$801, 0)+1))="","",INDEX(ERP資料!$O:$O, (MATCH(763, 輔助計算!$E$2:$E$801, 0)+1))), "")</f>
        <v/>
      </c>
      <c r="J764" s="15">
        <f>IFERROR(IF(INDEX(輔助計算!$D:$D,(MATCH(763, 輔助計算!$E$2:$E$801, 0)+1))="","",INDEX(輔助計算!$D:$D,(MATCH(763, 輔助計算!$E$2:$E$801, 0)+1))*INDEX(ERP資料!$O:$O,(MATCH(763, 輔助計算!$E$2:$E$801, 0)+1))), "")</f>
        <v/>
      </c>
      <c r="K764" s="16" t="n"/>
      <c r="L764" s="16" t="n"/>
      <c r="M764" s="17" t="n"/>
    </row>
    <row r="765">
      <c r="A765" s="14">
        <f>IFERROR(IF(INDEX(ERP資料!$B:$B, (MATCH(764, 輔助計算!$E$2:$E$801, 0)+1))="","",INDEX(ERP資料!$B:$B, (MATCH(764, 輔助計算!$E$2:$E$801, 0)+1))), "")</f>
        <v/>
      </c>
      <c r="B765" s="10">
        <f>IFERROR(IF(INDEX(ERP資料!$A:$A, (MATCH(764, 輔助計算!$E$2:$E$801, 0)+1))="","",INDEX(ERP資料!$A:$A, (MATCH(764, 輔助計算!$E$2:$E$801, 0)+1))), "")</f>
        <v/>
      </c>
      <c r="C765" s="10">
        <f>IFERROR(IF(INDEX(ERP資料!$S:$S, (MATCH(764, 輔助計算!$E$2:$E$801, 0)+1))="","",INDEX(ERP資料!$S:$S, (MATCH(764, 輔助計算!$E$2:$E$801, 0)+1))), "")</f>
        <v/>
      </c>
      <c r="D765" s="10">
        <f>IFERROR(IF(INDEX(ERP資料!$E:$E, (MATCH(764, 輔助計算!$E$2:$E$801, 0)+1))="","",TRIM(INDEX(ERP資料!$E:$E, (MATCH(764, 輔助計算!$E$2:$E$801, 0)+1)))), "")</f>
        <v/>
      </c>
      <c r="E765" s="10">
        <f>IFERROR(IF(INDEX(ERP資料!$F:$F, (MATCH(764, 輔助計算!$E$2:$E$801, 0)+1))="","",INDEX(ERP資料!$F:$F, (MATCH(764, 輔助計算!$E$2:$E$801, 0)+1))), "")</f>
        <v/>
      </c>
      <c r="F765" s="10">
        <f>IFERROR(IF(INDEX(ERP資料!$G:$G, (MATCH(764, 輔助計算!$E$2:$E$801, 0)+1))="","",INDEX(ERP資料!$G:$G, (MATCH(764, 輔助計算!$E$2:$E$801, 0)+1))), "")</f>
        <v/>
      </c>
      <c r="G765" s="10">
        <f>IFERROR(IF(INDEX(ERP資料!$H:$H, (MATCH(764, 輔助計算!$E$2:$E$801, 0)+1))="","",INDEX(ERP資料!$H:$H, (MATCH(764, 輔助計算!$E$2:$E$801, 0)+1))), "")</f>
        <v/>
      </c>
      <c r="H765" s="15">
        <f>IFERROR(INDEX(輔助計算!$D:$D, (MATCH(764, 輔助計算!$E$2:$E$801, 0)+1)), "")</f>
        <v/>
      </c>
      <c r="I765" s="10">
        <f>IFERROR(IF(INDEX(ERP資料!$O:$O, (MATCH(764, 輔助計算!$E$2:$E$801, 0)+1))="","",INDEX(ERP資料!$O:$O, (MATCH(764, 輔助計算!$E$2:$E$801, 0)+1))), "")</f>
        <v/>
      </c>
      <c r="J765" s="15">
        <f>IFERROR(IF(INDEX(輔助計算!$D:$D,(MATCH(764, 輔助計算!$E$2:$E$801, 0)+1))="","",INDEX(輔助計算!$D:$D,(MATCH(764, 輔助計算!$E$2:$E$801, 0)+1))*INDEX(ERP資料!$O:$O,(MATCH(764, 輔助計算!$E$2:$E$801, 0)+1))), "")</f>
        <v/>
      </c>
      <c r="K765" s="16" t="n"/>
      <c r="L765" s="16" t="n"/>
      <c r="M765" s="17" t="n"/>
    </row>
    <row r="766">
      <c r="A766" s="14">
        <f>IFERROR(IF(INDEX(ERP資料!$B:$B, (MATCH(765, 輔助計算!$E$2:$E$801, 0)+1))="","",INDEX(ERP資料!$B:$B, (MATCH(765, 輔助計算!$E$2:$E$801, 0)+1))), "")</f>
        <v/>
      </c>
      <c r="B766" s="10">
        <f>IFERROR(IF(INDEX(ERP資料!$A:$A, (MATCH(765, 輔助計算!$E$2:$E$801, 0)+1))="","",INDEX(ERP資料!$A:$A, (MATCH(765, 輔助計算!$E$2:$E$801, 0)+1))), "")</f>
        <v/>
      </c>
      <c r="C766" s="10">
        <f>IFERROR(IF(INDEX(ERP資料!$S:$S, (MATCH(765, 輔助計算!$E$2:$E$801, 0)+1))="","",INDEX(ERP資料!$S:$S, (MATCH(765, 輔助計算!$E$2:$E$801, 0)+1))), "")</f>
        <v/>
      </c>
      <c r="D766" s="10">
        <f>IFERROR(IF(INDEX(ERP資料!$E:$E, (MATCH(765, 輔助計算!$E$2:$E$801, 0)+1))="","",TRIM(INDEX(ERP資料!$E:$E, (MATCH(765, 輔助計算!$E$2:$E$801, 0)+1)))), "")</f>
        <v/>
      </c>
      <c r="E766" s="10">
        <f>IFERROR(IF(INDEX(ERP資料!$F:$F, (MATCH(765, 輔助計算!$E$2:$E$801, 0)+1))="","",INDEX(ERP資料!$F:$F, (MATCH(765, 輔助計算!$E$2:$E$801, 0)+1))), "")</f>
        <v/>
      </c>
      <c r="F766" s="10">
        <f>IFERROR(IF(INDEX(ERP資料!$G:$G, (MATCH(765, 輔助計算!$E$2:$E$801, 0)+1))="","",INDEX(ERP資料!$G:$G, (MATCH(765, 輔助計算!$E$2:$E$801, 0)+1))), "")</f>
        <v/>
      </c>
      <c r="G766" s="10">
        <f>IFERROR(IF(INDEX(ERP資料!$H:$H, (MATCH(765, 輔助計算!$E$2:$E$801, 0)+1))="","",INDEX(ERP資料!$H:$H, (MATCH(765, 輔助計算!$E$2:$E$801, 0)+1))), "")</f>
        <v/>
      </c>
      <c r="H766" s="15">
        <f>IFERROR(INDEX(輔助計算!$D:$D, (MATCH(765, 輔助計算!$E$2:$E$801, 0)+1)), "")</f>
        <v/>
      </c>
      <c r="I766" s="10">
        <f>IFERROR(IF(INDEX(ERP資料!$O:$O, (MATCH(765, 輔助計算!$E$2:$E$801, 0)+1))="","",INDEX(ERP資料!$O:$O, (MATCH(765, 輔助計算!$E$2:$E$801, 0)+1))), "")</f>
        <v/>
      </c>
      <c r="J766" s="15">
        <f>IFERROR(IF(INDEX(輔助計算!$D:$D,(MATCH(765, 輔助計算!$E$2:$E$801, 0)+1))="","",INDEX(輔助計算!$D:$D,(MATCH(765, 輔助計算!$E$2:$E$801, 0)+1))*INDEX(ERP資料!$O:$O,(MATCH(765, 輔助計算!$E$2:$E$801, 0)+1))), "")</f>
        <v/>
      </c>
      <c r="K766" s="16" t="n"/>
      <c r="L766" s="16" t="n"/>
      <c r="M766" s="17" t="n"/>
    </row>
    <row r="767">
      <c r="A767" s="14">
        <f>IFERROR(IF(INDEX(ERP資料!$B:$B, (MATCH(766, 輔助計算!$E$2:$E$801, 0)+1))="","",INDEX(ERP資料!$B:$B, (MATCH(766, 輔助計算!$E$2:$E$801, 0)+1))), "")</f>
        <v/>
      </c>
      <c r="B767" s="10">
        <f>IFERROR(IF(INDEX(ERP資料!$A:$A, (MATCH(766, 輔助計算!$E$2:$E$801, 0)+1))="","",INDEX(ERP資料!$A:$A, (MATCH(766, 輔助計算!$E$2:$E$801, 0)+1))), "")</f>
        <v/>
      </c>
      <c r="C767" s="10">
        <f>IFERROR(IF(INDEX(ERP資料!$S:$S, (MATCH(766, 輔助計算!$E$2:$E$801, 0)+1))="","",INDEX(ERP資料!$S:$S, (MATCH(766, 輔助計算!$E$2:$E$801, 0)+1))), "")</f>
        <v/>
      </c>
      <c r="D767" s="10">
        <f>IFERROR(IF(INDEX(ERP資料!$E:$E, (MATCH(766, 輔助計算!$E$2:$E$801, 0)+1))="","",TRIM(INDEX(ERP資料!$E:$E, (MATCH(766, 輔助計算!$E$2:$E$801, 0)+1)))), "")</f>
        <v/>
      </c>
      <c r="E767" s="10">
        <f>IFERROR(IF(INDEX(ERP資料!$F:$F, (MATCH(766, 輔助計算!$E$2:$E$801, 0)+1))="","",INDEX(ERP資料!$F:$F, (MATCH(766, 輔助計算!$E$2:$E$801, 0)+1))), "")</f>
        <v/>
      </c>
      <c r="F767" s="10">
        <f>IFERROR(IF(INDEX(ERP資料!$G:$G, (MATCH(766, 輔助計算!$E$2:$E$801, 0)+1))="","",INDEX(ERP資料!$G:$G, (MATCH(766, 輔助計算!$E$2:$E$801, 0)+1))), "")</f>
        <v/>
      </c>
      <c r="G767" s="10">
        <f>IFERROR(IF(INDEX(ERP資料!$H:$H, (MATCH(766, 輔助計算!$E$2:$E$801, 0)+1))="","",INDEX(ERP資料!$H:$H, (MATCH(766, 輔助計算!$E$2:$E$801, 0)+1))), "")</f>
        <v/>
      </c>
      <c r="H767" s="15">
        <f>IFERROR(INDEX(輔助計算!$D:$D, (MATCH(766, 輔助計算!$E$2:$E$801, 0)+1)), "")</f>
        <v/>
      </c>
      <c r="I767" s="10">
        <f>IFERROR(IF(INDEX(ERP資料!$O:$O, (MATCH(766, 輔助計算!$E$2:$E$801, 0)+1))="","",INDEX(ERP資料!$O:$O, (MATCH(766, 輔助計算!$E$2:$E$801, 0)+1))), "")</f>
        <v/>
      </c>
      <c r="J767" s="15">
        <f>IFERROR(IF(INDEX(輔助計算!$D:$D,(MATCH(766, 輔助計算!$E$2:$E$801, 0)+1))="","",INDEX(輔助計算!$D:$D,(MATCH(766, 輔助計算!$E$2:$E$801, 0)+1))*INDEX(ERP資料!$O:$O,(MATCH(766, 輔助計算!$E$2:$E$801, 0)+1))), "")</f>
        <v/>
      </c>
      <c r="K767" s="16" t="n"/>
      <c r="L767" s="16" t="n"/>
      <c r="M767" s="17" t="n"/>
    </row>
    <row r="768">
      <c r="A768" s="14">
        <f>IFERROR(IF(INDEX(ERP資料!$B:$B, (MATCH(767, 輔助計算!$E$2:$E$801, 0)+1))="","",INDEX(ERP資料!$B:$B, (MATCH(767, 輔助計算!$E$2:$E$801, 0)+1))), "")</f>
        <v/>
      </c>
      <c r="B768" s="10">
        <f>IFERROR(IF(INDEX(ERP資料!$A:$A, (MATCH(767, 輔助計算!$E$2:$E$801, 0)+1))="","",INDEX(ERP資料!$A:$A, (MATCH(767, 輔助計算!$E$2:$E$801, 0)+1))), "")</f>
        <v/>
      </c>
      <c r="C768" s="10">
        <f>IFERROR(IF(INDEX(ERP資料!$S:$S, (MATCH(767, 輔助計算!$E$2:$E$801, 0)+1))="","",INDEX(ERP資料!$S:$S, (MATCH(767, 輔助計算!$E$2:$E$801, 0)+1))), "")</f>
        <v/>
      </c>
      <c r="D768" s="10">
        <f>IFERROR(IF(INDEX(ERP資料!$E:$E, (MATCH(767, 輔助計算!$E$2:$E$801, 0)+1))="","",TRIM(INDEX(ERP資料!$E:$E, (MATCH(767, 輔助計算!$E$2:$E$801, 0)+1)))), "")</f>
        <v/>
      </c>
      <c r="E768" s="10">
        <f>IFERROR(IF(INDEX(ERP資料!$F:$F, (MATCH(767, 輔助計算!$E$2:$E$801, 0)+1))="","",INDEX(ERP資料!$F:$F, (MATCH(767, 輔助計算!$E$2:$E$801, 0)+1))), "")</f>
        <v/>
      </c>
      <c r="F768" s="10">
        <f>IFERROR(IF(INDEX(ERP資料!$G:$G, (MATCH(767, 輔助計算!$E$2:$E$801, 0)+1))="","",INDEX(ERP資料!$G:$G, (MATCH(767, 輔助計算!$E$2:$E$801, 0)+1))), "")</f>
        <v/>
      </c>
      <c r="G768" s="10">
        <f>IFERROR(IF(INDEX(ERP資料!$H:$H, (MATCH(767, 輔助計算!$E$2:$E$801, 0)+1))="","",INDEX(ERP資料!$H:$H, (MATCH(767, 輔助計算!$E$2:$E$801, 0)+1))), "")</f>
        <v/>
      </c>
      <c r="H768" s="15">
        <f>IFERROR(INDEX(輔助計算!$D:$D, (MATCH(767, 輔助計算!$E$2:$E$801, 0)+1)), "")</f>
        <v/>
      </c>
      <c r="I768" s="10">
        <f>IFERROR(IF(INDEX(ERP資料!$O:$O, (MATCH(767, 輔助計算!$E$2:$E$801, 0)+1))="","",INDEX(ERP資料!$O:$O, (MATCH(767, 輔助計算!$E$2:$E$801, 0)+1))), "")</f>
        <v/>
      </c>
      <c r="J768" s="15">
        <f>IFERROR(IF(INDEX(輔助計算!$D:$D,(MATCH(767, 輔助計算!$E$2:$E$801, 0)+1))="","",INDEX(輔助計算!$D:$D,(MATCH(767, 輔助計算!$E$2:$E$801, 0)+1))*INDEX(ERP資料!$O:$O,(MATCH(767, 輔助計算!$E$2:$E$801, 0)+1))), "")</f>
        <v/>
      </c>
      <c r="K768" s="16" t="n"/>
      <c r="L768" s="16" t="n"/>
      <c r="M768" s="17" t="n"/>
    </row>
    <row r="769">
      <c r="A769" s="14">
        <f>IFERROR(IF(INDEX(ERP資料!$B:$B, (MATCH(768, 輔助計算!$E$2:$E$801, 0)+1))="","",INDEX(ERP資料!$B:$B, (MATCH(768, 輔助計算!$E$2:$E$801, 0)+1))), "")</f>
        <v/>
      </c>
      <c r="B769" s="10">
        <f>IFERROR(IF(INDEX(ERP資料!$A:$A, (MATCH(768, 輔助計算!$E$2:$E$801, 0)+1))="","",INDEX(ERP資料!$A:$A, (MATCH(768, 輔助計算!$E$2:$E$801, 0)+1))), "")</f>
        <v/>
      </c>
      <c r="C769" s="10">
        <f>IFERROR(IF(INDEX(ERP資料!$S:$S, (MATCH(768, 輔助計算!$E$2:$E$801, 0)+1))="","",INDEX(ERP資料!$S:$S, (MATCH(768, 輔助計算!$E$2:$E$801, 0)+1))), "")</f>
        <v/>
      </c>
      <c r="D769" s="10">
        <f>IFERROR(IF(INDEX(ERP資料!$E:$E, (MATCH(768, 輔助計算!$E$2:$E$801, 0)+1))="","",TRIM(INDEX(ERP資料!$E:$E, (MATCH(768, 輔助計算!$E$2:$E$801, 0)+1)))), "")</f>
        <v/>
      </c>
      <c r="E769" s="10">
        <f>IFERROR(IF(INDEX(ERP資料!$F:$F, (MATCH(768, 輔助計算!$E$2:$E$801, 0)+1))="","",INDEX(ERP資料!$F:$F, (MATCH(768, 輔助計算!$E$2:$E$801, 0)+1))), "")</f>
        <v/>
      </c>
      <c r="F769" s="10">
        <f>IFERROR(IF(INDEX(ERP資料!$G:$G, (MATCH(768, 輔助計算!$E$2:$E$801, 0)+1))="","",INDEX(ERP資料!$G:$G, (MATCH(768, 輔助計算!$E$2:$E$801, 0)+1))), "")</f>
        <v/>
      </c>
      <c r="G769" s="10">
        <f>IFERROR(IF(INDEX(ERP資料!$H:$H, (MATCH(768, 輔助計算!$E$2:$E$801, 0)+1))="","",INDEX(ERP資料!$H:$H, (MATCH(768, 輔助計算!$E$2:$E$801, 0)+1))), "")</f>
        <v/>
      </c>
      <c r="H769" s="15">
        <f>IFERROR(INDEX(輔助計算!$D:$D, (MATCH(768, 輔助計算!$E$2:$E$801, 0)+1)), "")</f>
        <v/>
      </c>
      <c r="I769" s="10">
        <f>IFERROR(IF(INDEX(ERP資料!$O:$O, (MATCH(768, 輔助計算!$E$2:$E$801, 0)+1))="","",INDEX(ERP資料!$O:$O, (MATCH(768, 輔助計算!$E$2:$E$801, 0)+1))), "")</f>
        <v/>
      </c>
      <c r="J769" s="15">
        <f>IFERROR(IF(INDEX(輔助計算!$D:$D,(MATCH(768, 輔助計算!$E$2:$E$801, 0)+1))="","",INDEX(輔助計算!$D:$D,(MATCH(768, 輔助計算!$E$2:$E$801, 0)+1))*INDEX(ERP資料!$O:$O,(MATCH(768, 輔助計算!$E$2:$E$801, 0)+1))), "")</f>
        <v/>
      </c>
      <c r="K769" s="16" t="n"/>
      <c r="L769" s="16" t="n"/>
      <c r="M769" s="17" t="n"/>
    </row>
    <row r="770">
      <c r="A770" s="14">
        <f>IFERROR(IF(INDEX(ERP資料!$B:$B, (MATCH(769, 輔助計算!$E$2:$E$801, 0)+1))="","",INDEX(ERP資料!$B:$B, (MATCH(769, 輔助計算!$E$2:$E$801, 0)+1))), "")</f>
        <v/>
      </c>
      <c r="B770" s="10">
        <f>IFERROR(IF(INDEX(ERP資料!$A:$A, (MATCH(769, 輔助計算!$E$2:$E$801, 0)+1))="","",INDEX(ERP資料!$A:$A, (MATCH(769, 輔助計算!$E$2:$E$801, 0)+1))), "")</f>
        <v/>
      </c>
      <c r="C770" s="10">
        <f>IFERROR(IF(INDEX(ERP資料!$S:$S, (MATCH(769, 輔助計算!$E$2:$E$801, 0)+1))="","",INDEX(ERP資料!$S:$S, (MATCH(769, 輔助計算!$E$2:$E$801, 0)+1))), "")</f>
        <v/>
      </c>
      <c r="D770" s="10">
        <f>IFERROR(IF(INDEX(ERP資料!$E:$E, (MATCH(769, 輔助計算!$E$2:$E$801, 0)+1))="","",TRIM(INDEX(ERP資料!$E:$E, (MATCH(769, 輔助計算!$E$2:$E$801, 0)+1)))), "")</f>
        <v/>
      </c>
      <c r="E770" s="10">
        <f>IFERROR(IF(INDEX(ERP資料!$F:$F, (MATCH(769, 輔助計算!$E$2:$E$801, 0)+1))="","",INDEX(ERP資料!$F:$F, (MATCH(769, 輔助計算!$E$2:$E$801, 0)+1))), "")</f>
        <v/>
      </c>
      <c r="F770" s="10">
        <f>IFERROR(IF(INDEX(ERP資料!$G:$G, (MATCH(769, 輔助計算!$E$2:$E$801, 0)+1))="","",INDEX(ERP資料!$G:$G, (MATCH(769, 輔助計算!$E$2:$E$801, 0)+1))), "")</f>
        <v/>
      </c>
      <c r="G770" s="10">
        <f>IFERROR(IF(INDEX(ERP資料!$H:$H, (MATCH(769, 輔助計算!$E$2:$E$801, 0)+1))="","",INDEX(ERP資料!$H:$H, (MATCH(769, 輔助計算!$E$2:$E$801, 0)+1))), "")</f>
        <v/>
      </c>
      <c r="H770" s="15">
        <f>IFERROR(INDEX(輔助計算!$D:$D, (MATCH(769, 輔助計算!$E$2:$E$801, 0)+1)), "")</f>
        <v/>
      </c>
      <c r="I770" s="10">
        <f>IFERROR(IF(INDEX(ERP資料!$O:$O, (MATCH(769, 輔助計算!$E$2:$E$801, 0)+1))="","",INDEX(ERP資料!$O:$O, (MATCH(769, 輔助計算!$E$2:$E$801, 0)+1))), "")</f>
        <v/>
      </c>
      <c r="J770" s="15">
        <f>IFERROR(IF(INDEX(輔助計算!$D:$D,(MATCH(769, 輔助計算!$E$2:$E$801, 0)+1))="","",INDEX(輔助計算!$D:$D,(MATCH(769, 輔助計算!$E$2:$E$801, 0)+1))*INDEX(ERP資料!$O:$O,(MATCH(769, 輔助計算!$E$2:$E$801, 0)+1))), "")</f>
        <v/>
      </c>
      <c r="K770" s="16" t="n"/>
      <c r="L770" s="16" t="n"/>
      <c r="M770" s="17" t="n"/>
    </row>
    <row r="771">
      <c r="A771" s="14">
        <f>IFERROR(IF(INDEX(ERP資料!$B:$B, (MATCH(770, 輔助計算!$E$2:$E$801, 0)+1))="","",INDEX(ERP資料!$B:$B, (MATCH(770, 輔助計算!$E$2:$E$801, 0)+1))), "")</f>
        <v/>
      </c>
      <c r="B771" s="10">
        <f>IFERROR(IF(INDEX(ERP資料!$A:$A, (MATCH(770, 輔助計算!$E$2:$E$801, 0)+1))="","",INDEX(ERP資料!$A:$A, (MATCH(770, 輔助計算!$E$2:$E$801, 0)+1))), "")</f>
        <v/>
      </c>
      <c r="C771" s="10">
        <f>IFERROR(IF(INDEX(ERP資料!$S:$S, (MATCH(770, 輔助計算!$E$2:$E$801, 0)+1))="","",INDEX(ERP資料!$S:$S, (MATCH(770, 輔助計算!$E$2:$E$801, 0)+1))), "")</f>
        <v/>
      </c>
      <c r="D771" s="10">
        <f>IFERROR(IF(INDEX(ERP資料!$E:$E, (MATCH(770, 輔助計算!$E$2:$E$801, 0)+1))="","",TRIM(INDEX(ERP資料!$E:$E, (MATCH(770, 輔助計算!$E$2:$E$801, 0)+1)))), "")</f>
        <v/>
      </c>
      <c r="E771" s="10">
        <f>IFERROR(IF(INDEX(ERP資料!$F:$F, (MATCH(770, 輔助計算!$E$2:$E$801, 0)+1))="","",INDEX(ERP資料!$F:$F, (MATCH(770, 輔助計算!$E$2:$E$801, 0)+1))), "")</f>
        <v/>
      </c>
      <c r="F771" s="10">
        <f>IFERROR(IF(INDEX(ERP資料!$G:$G, (MATCH(770, 輔助計算!$E$2:$E$801, 0)+1))="","",INDEX(ERP資料!$G:$G, (MATCH(770, 輔助計算!$E$2:$E$801, 0)+1))), "")</f>
        <v/>
      </c>
      <c r="G771" s="10">
        <f>IFERROR(IF(INDEX(ERP資料!$H:$H, (MATCH(770, 輔助計算!$E$2:$E$801, 0)+1))="","",INDEX(ERP資料!$H:$H, (MATCH(770, 輔助計算!$E$2:$E$801, 0)+1))), "")</f>
        <v/>
      </c>
      <c r="H771" s="15">
        <f>IFERROR(INDEX(輔助計算!$D:$D, (MATCH(770, 輔助計算!$E$2:$E$801, 0)+1)), "")</f>
        <v/>
      </c>
      <c r="I771" s="10">
        <f>IFERROR(IF(INDEX(ERP資料!$O:$O, (MATCH(770, 輔助計算!$E$2:$E$801, 0)+1))="","",INDEX(ERP資料!$O:$O, (MATCH(770, 輔助計算!$E$2:$E$801, 0)+1))), "")</f>
        <v/>
      </c>
      <c r="J771" s="15">
        <f>IFERROR(IF(INDEX(輔助計算!$D:$D,(MATCH(770, 輔助計算!$E$2:$E$801, 0)+1))="","",INDEX(輔助計算!$D:$D,(MATCH(770, 輔助計算!$E$2:$E$801, 0)+1))*INDEX(ERP資料!$O:$O,(MATCH(770, 輔助計算!$E$2:$E$801, 0)+1))), "")</f>
        <v/>
      </c>
      <c r="K771" s="16" t="n"/>
      <c r="L771" s="16" t="n"/>
      <c r="M771" s="17" t="n"/>
    </row>
    <row r="772">
      <c r="A772" s="14">
        <f>IFERROR(IF(INDEX(ERP資料!$B:$B, (MATCH(771, 輔助計算!$E$2:$E$801, 0)+1))="","",INDEX(ERP資料!$B:$B, (MATCH(771, 輔助計算!$E$2:$E$801, 0)+1))), "")</f>
        <v/>
      </c>
      <c r="B772" s="10">
        <f>IFERROR(IF(INDEX(ERP資料!$A:$A, (MATCH(771, 輔助計算!$E$2:$E$801, 0)+1))="","",INDEX(ERP資料!$A:$A, (MATCH(771, 輔助計算!$E$2:$E$801, 0)+1))), "")</f>
        <v/>
      </c>
      <c r="C772" s="10">
        <f>IFERROR(IF(INDEX(ERP資料!$S:$S, (MATCH(771, 輔助計算!$E$2:$E$801, 0)+1))="","",INDEX(ERP資料!$S:$S, (MATCH(771, 輔助計算!$E$2:$E$801, 0)+1))), "")</f>
        <v/>
      </c>
      <c r="D772" s="10">
        <f>IFERROR(IF(INDEX(ERP資料!$E:$E, (MATCH(771, 輔助計算!$E$2:$E$801, 0)+1))="","",TRIM(INDEX(ERP資料!$E:$E, (MATCH(771, 輔助計算!$E$2:$E$801, 0)+1)))), "")</f>
        <v/>
      </c>
      <c r="E772" s="10">
        <f>IFERROR(IF(INDEX(ERP資料!$F:$F, (MATCH(771, 輔助計算!$E$2:$E$801, 0)+1))="","",INDEX(ERP資料!$F:$F, (MATCH(771, 輔助計算!$E$2:$E$801, 0)+1))), "")</f>
        <v/>
      </c>
      <c r="F772" s="10">
        <f>IFERROR(IF(INDEX(ERP資料!$G:$G, (MATCH(771, 輔助計算!$E$2:$E$801, 0)+1))="","",INDEX(ERP資料!$G:$G, (MATCH(771, 輔助計算!$E$2:$E$801, 0)+1))), "")</f>
        <v/>
      </c>
      <c r="G772" s="10">
        <f>IFERROR(IF(INDEX(ERP資料!$H:$H, (MATCH(771, 輔助計算!$E$2:$E$801, 0)+1))="","",INDEX(ERP資料!$H:$H, (MATCH(771, 輔助計算!$E$2:$E$801, 0)+1))), "")</f>
        <v/>
      </c>
      <c r="H772" s="15">
        <f>IFERROR(INDEX(輔助計算!$D:$D, (MATCH(771, 輔助計算!$E$2:$E$801, 0)+1)), "")</f>
        <v/>
      </c>
      <c r="I772" s="10">
        <f>IFERROR(IF(INDEX(ERP資料!$O:$O, (MATCH(771, 輔助計算!$E$2:$E$801, 0)+1))="","",INDEX(ERP資料!$O:$O, (MATCH(771, 輔助計算!$E$2:$E$801, 0)+1))), "")</f>
        <v/>
      </c>
      <c r="J772" s="15">
        <f>IFERROR(IF(INDEX(輔助計算!$D:$D,(MATCH(771, 輔助計算!$E$2:$E$801, 0)+1))="","",INDEX(輔助計算!$D:$D,(MATCH(771, 輔助計算!$E$2:$E$801, 0)+1))*INDEX(ERP資料!$O:$O,(MATCH(771, 輔助計算!$E$2:$E$801, 0)+1))), "")</f>
        <v/>
      </c>
      <c r="K772" s="16" t="n"/>
      <c r="L772" s="16" t="n"/>
      <c r="M772" s="17" t="n"/>
    </row>
    <row r="773">
      <c r="A773" s="14">
        <f>IFERROR(IF(INDEX(ERP資料!$B:$B, (MATCH(772, 輔助計算!$E$2:$E$801, 0)+1))="","",INDEX(ERP資料!$B:$B, (MATCH(772, 輔助計算!$E$2:$E$801, 0)+1))), "")</f>
        <v/>
      </c>
      <c r="B773" s="10">
        <f>IFERROR(IF(INDEX(ERP資料!$A:$A, (MATCH(772, 輔助計算!$E$2:$E$801, 0)+1))="","",INDEX(ERP資料!$A:$A, (MATCH(772, 輔助計算!$E$2:$E$801, 0)+1))), "")</f>
        <v/>
      </c>
      <c r="C773" s="10">
        <f>IFERROR(IF(INDEX(ERP資料!$S:$S, (MATCH(772, 輔助計算!$E$2:$E$801, 0)+1))="","",INDEX(ERP資料!$S:$S, (MATCH(772, 輔助計算!$E$2:$E$801, 0)+1))), "")</f>
        <v/>
      </c>
      <c r="D773" s="10">
        <f>IFERROR(IF(INDEX(ERP資料!$E:$E, (MATCH(772, 輔助計算!$E$2:$E$801, 0)+1))="","",TRIM(INDEX(ERP資料!$E:$E, (MATCH(772, 輔助計算!$E$2:$E$801, 0)+1)))), "")</f>
        <v/>
      </c>
      <c r="E773" s="10">
        <f>IFERROR(IF(INDEX(ERP資料!$F:$F, (MATCH(772, 輔助計算!$E$2:$E$801, 0)+1))="","",INDEX(ERP資料!$F:$F, (MATCH(772, 輔助計算!$E$2:$E$801, 0)+1))), "")</f>
        <v/>
      </c>
      <c r="F773" s="10">
        <f>IFERROR(IF(INDEX(ERP資料!$G:$G, (MATCH(772, 輔助計算!$E$2:$E$801, 0)+1))="","",INDEX(ERP資料!$G:$G, (MATCH(772, 輔助計算!$E$2:$E$801, 0)+1))), "")</f>
        <v/>
      </c>
      <c r="G773" s="10">
        <f>IFERROR(IF(INDEX(ERP資料!$H:$H, (MATCH(772, 輔助計算!$E$2:$E$801, 0)+1))="","",INDEX(ERP資料!$H:$H, (MATCH(772, 輔助計算!$E$2:$E$801, 0)+1))), "")</f>
        <v/>
      </c>
      <c r="H773" s="15">
        <f>IFERROR(INDEX(輔助計算!$D:$D, (MATCH(772, 輔助計算!$E$2:$E$801, 0)+1)), "")</f>
        <v/>
      </c>
      <c r="I773" s="10">
        <f>IFERROR(IF(INDEX(ERP資料!$O:$O, (MATCH(772, 輔助計算!$E$2:$E$801, 0)+1))="","",INDEX(ERP資料!$O:$O, (MATCH(772, 輔助計算!$E$2:$E$801, 0)+1))), "")</f>
        <v/>
      </c>
      <c r="J773" s="15">
        <f>IFERROR(IF(INDEX(輔助計算!$D:$D,(MATCH(772, 輔助計算!$E$2:$E$801, 0)+1))="","",INDEX(輔助計算!$D:$D,(MATCH(772, 輔助計算!$E$2:$E$801, 0)+1))*INDEX(ERP資料!$O:$O,(MATCH(772, 輔助計算!$E$2:$E$801, 0)+1))), "")</f>
        <v/>
      </c>
      <c r="K773" s="16" t="n"/>
      <c r="L773" s="16" t="n"/>
      <c r="M773" s="17" t="n"/>
    </row>
    <row r="774">
      <c r="A774" s="14">
        <f>IFERROR(IF(INDEX(ERP資料!$B:$B, (MATCH(773, 輔助計算!$E$2:$E$801, 0)+1))="","",INDEX(ERP資料!$B:$B, (MATCH(773, 輔助計算!$E$2:$E$801, 0)+1))), "")</f>
        <v/>
      </c>
      <c r="B774" s="10">
        <f>IFERROR(IF(INDEX(ERP資料!$A:$A, (MATCH(773, 輔助計算!$E$2:$E$801, 0)+1))="","",INDEX(ERP資料!$A:$A, (MATCH(773, 輔助計算!$E$2:$E$801, 0)+1))), "")</f>
        <v/>
      </c>
      <c r="C774" s="10">
        <f>IFERROR(IF(INDEX(ERP資料!$S:$S, (MATCH(773, 輔助計算!$E$2:$E$801, 0)+1))="","",INDEX(ERP資料!$S:$S, (MATCH(773, 輔助計算!$E$2:$E$801, 0)+1))), "")</f>
        <v/>
      </c>
      <c r="D774" s="10">
        <f>IFERROR(IF(INDEX(ERP資料!$E:$E, (MATCH(773, 輔助計算!$E$2:$E$801, 0)+1))="","",TRIM(INDEX(ERP資料!$E:$E, (MATCH(773, 輔助計算!$E$2:$E$801, 0)+1)))), "")</f>
        <v/>
      </c>
      <c r="E774" s="10">
        <f>IFERROR(IF(INDEX(ERP資料!$F:$F, (MATCH(773, 輔助計算!$E$2:$E$801, 0)+1))="","",INDEX(ERP資料!$F:$F, (MATCH(773, 輔助計算!$E$2:$E$801, 0)+1))), "")</f>
        <v/>
      </c>
      <c r="F774" s="10">
        <f>IFERROR(IF(INDEX(ERP資料!$G:$G, (MATCH(773, 輔助計算!$E$2:$E$801, 0)+1))="","",INDEX(ERP資料!$G:$G, (MATCH(773, 輔助計算!$E$2:$E$801, 0)+1))), "")</f>
        <v/>
      </c>
      <c r="G774" s="10">
        <f>IFERROR(IF(INDEX(ERP資料!$H:$H, (MATCH(773, 輔助計算!$E$2:$E$801, 0)+1))="","",INDEX(ERP資料!$H:$H, (MATCH(773, 輔助計算!$E$2:$E$801, 0)+1))), "")</f>
        <v/>
      </c>
      <c r="H774" s="15">
        <f>IFERROR(INDEX(輔助計算!$D:$D, (MATCH(773, 輔助計算!$E$2:$E$801, 0)+1)), "")</f>
        <v/>
      </c>
      <c r="I774" s="10">
        <f>IFERROR(IF(INDEX(ERP資料!$O:$O, (MATCH(773, 輔助計算!$E$2:$E$801, 0)+1))="","",INDEX(ERP資料!$O:$O, (MATCH(773, 輔助計算!$E$2:$E$801, 0)+1))), "")</f>
        <v/>
      </c>
      <c r="J774" s="15">
        <f>IFERROR(IF(INDEX(輔助計算!$D:$D,(MATCH(773, 輔助計算!$E$2:$E$801, 0)+1))="","",INDEX(輔助計算!$D:$D,(MATCH(773, 輔助計算!$E$2:$E$801, 0)+1))*INDEX(ERP資料!$O:$O,(MATCH(773, 輔助計算!$E$2:$E$801, 0)+1))), "")</f>
        <v/>
      </c>
      <c r="K774" s="16" t="n"/>
      <c r="L774" s="16" t="n"/>
      <c r="M774" s="17" t="n"/>
    </row>
    <row r="775">
      <c r="A775" s="14">
        <f>IFERROR(IF(INDEX(ERP資料!$B:$B, (MATCH(774, 輔助計算!$E$2:$E$801, 0)+1))="","",INDEX(ERP資料!$B:$B, (MATCH(774, 輔助計算!$E$2:$E$801, 0)+1))), "")</f>
        <v/>
      </c>
      <c r="B775" s="10">
        <f>IFERROR(IF(INDEX(ERP資料!$A:$A, (MATCH(774, 輔助計算!$E$2:$E$801, 0)+1))="","",INDEX(ERP資料!$A:$A, (MATCH(774, 輔助計算!$E$2:$E$801, 0)+1))), "")</f>
        <v/>
      </c>
      <c r="C775" s="10">
        <f>IFERROR(IF(INDEX(ERP資料!$S:$S, (MATCH(774, 輔助計算!$E$2:$E$801, 0)+1))="","",INDEX(ERP資料!$S:$S, (MATCH(774, 輔助計算!$E$2:$E$801, 0)+1))), "")</f>
        <v/>
      </c>
      <c r="D775" s="10">
        <f>IFERROR(IF(INDEX(ERP資料!$E:$E, (MATCH(774, 輔助計算!$E$2:$E$801, 0)+1))="","",TRIM(INDEX(ERP資料!$E:$E, (MATCH(774, 輔助計算!$E$2:$E$801, 0)+1)))), "")</f>
        <v/>
      </c>
      <c r="E775" s="10">
        <f>IFERROR(IF(INDEX(ERP資料!$F:$F, (MATCH(774, 輔助計算!$E$2:$E$801, 0)+1))="","",INDEX(ERP資料!$F:$F, (MATCH(774, 輔助計算!$E$2:$E$801, 0)+1))), "")</f>
        <v/>
      </c>
      <c r="F775" s="10">
        <f>IFERROR(IF(INDEX(ERP資料!$G:$G, (MATCH(774, 輔助計算!$E$2:$E$801, 0)+1))="","",INDEX(ERP資料!$G:$G, (MATCH(774, 輔助計算!$E$2:$E$801, 0)+1))), "")</f>
        <v/>
      </c>
      <c r="G775" s="10">
        <f>IFERROR(IF(INDEX(ERP資料!$H:$H, (MATCH(774, 輔助計算!$E$2:$E$801, 0)+1))="","",INDEX(ERP資料!$H:$H, (MATCH(774, 輔助計算!$E$2:$E$801, 0)+1))), "")</f>
        <v/>
      </c>
      <c r="H775" s="15">
        <f>IFERROR(INDEX(輔助計算!$D:$D, (MATCH(774, 輔助計算!$E$2:$E$801, 0)+1)), "")</f>
        <v/>
      </c>
      <c r="I775" s="10">
        <f>IFERROR(IF(INDEX(ERP資料!$O:$O, (MATCH(774, 輔助計算!$E$2:$E$801, 0)+1))="","",INDEX(ERP資料!$O:$O, (MATCH(774, 輔助計算!$E$2:$E$801, 0)+1))), "")</f>
        <v/>
      </c>
      <c r="J775" s="15">
        <f>IFERROR(IF(INDEX(輔助計算!$D:$D,(MATCH(774, 輔助計算!$E$2:$E$801, 0)+1))="","",INDEX(輔助計算!$D:$D,(MATCH(774, 輔助計算!$E$2:$E$801, 0)+1))*INDEX(ERP資料!$O:$O,(MATCH(774, 輔助計算!$E$2:$E$801, 0)+1))), "")</f>
        <v/>
      </c>
      <c r="K775" s="16" t="n"/>
      <c r="L775" s="16" t="n"/>
      <c r="M775" s="17" t="n"/>
    </row>
    <row r="776">
      <c r="A776" s="14">
        <f>IFERROR(IF(INDEX(ERP資料!$B:$B, (MATCH(775, 輔助計算!$E$2:$E$801, 0)+1))="","",INDEX(ERP資料!$B:$B, (MATCH(775, 輔助計算!$E$2:$E$801, 0)+1))), "")</f>
        <v/>
      </c>
      <c r="B776" s="10">
        <f>IFERROR(IF(INDEX(ERP資料!$A:$A, (MATCH(775, 輔助計算!$E$2:$E$801, 0)+1))="","",INDEX(ERP資料!$A:$A, (MATCH(775, 輔助計算!$E$2:$E$801, 0)+1))), "")</f>
        <v/>
      </c>
      <c r="C776" s="10">
        <f>IFERROR(IF(INDEX(ERP資料!$S:$S, (MATCH(775, 輔助計算!$E$2:$E$801, 0)+1))="","",INDEX(ERP資料!$S:$S, (MATCH(775, 輔助計算!$E$2:$E$801, 0)+1))), "")</f>
        <v/>
      </c>
      <c r="D776" s="10">
        <f>IFERROR(IF(INDEX(ERP資料!$E:$E, (MATCH(775, 輔助計算!$E$2:$E$801, 0)+1))="","",TRIM(INDEX(ERP資料!$E:$E, (MATCH(775, 輔助計算!$E$2:$E$801, 0)+1)))), "")</f>
        <v/>
      </c>
      <c r="E776" s="10">
        <f>IFERROR(IF(INDEX(ERP資料!$F:$F, (MATCH(775, 輔助計算!$E$2:$E$801, 0)+1))="","",INDEX(ERP資料!$F:$F, (MATCH(775, 輔助計算!$E$2:$E$801, 0)+1))), "")</f>
        <v/>
      </c>
      <c r="F776" s="10">
        <f>IFERROR(IF(INDEX(ERP資料!$G:$G, (MATCH(775, 輔助計算!$E$2:$E$801, 0)+1))="","",INDEX(ERP資料!$G:$G, (MATCH(775, 輔助計算!$E$2:$E$801, 0)+1))), "")</f>
        <v/>
      </c>
      <c r="G776" s="10">
        <f>IFERROR(IF(INDEX(ERP資料!$H:$H, (MATCH(775, 輔助計算!$E$2:$E$801, 0)+1))="","",INDEX(ERP資料!$H:$H, (MATCH(775, 輔助計算!$E$2:$E$801, 0)+1))), "")</f>
        <v/>
      </c>
      <c r="H776" s="15">
        <f>IFERROR(INDEX(輔助計算!$D:$D, (MATCH(775, 輔助計算!$E$2:$E$801, 0)+1)), "")</f>
        <v/>
      </c>
      <c r="I776" s="10">
        <f>IFERROR(IF(INDEX(ERP資料!$O:$O, (MATCH(775, 輔助計算!$E$2:$E$801, 0)+1))="","",INDEX(ERP資料!$O:$O, (MATCH(775, 輔助計算!$E$2:$E$801, 0)+1))), "")</f>
        <v/>
      </c>
      <c r="J776" s="15">
        <f>IFERROR(IF(INDEX(輔助計算!$D:$D,(MATCH(775, 輔助計算!$E$2:$E$801, 0)+1))="","",INDEX(輔助計算!$D:$D,(MATCH(775, 輔助計算!$E$2:$E$801, 0)+1))*INDEX(ERP資料!$O:$O,(MATCH(775, 輔助計算!$E$2:$E$801, 0)+1))), "")</f>
        <v/>
      </c>
      <c r="K776" s="16" t="n"/>
      <c r="L776" s="16" t="n"/>
      <c r="M776" s="17" t="n"/>
    </row>
    <row r="777">
      <c r="A777" s="14">
        <f>IFERROR(IF(INDEX(ERP資料!$B:$B, (MATCH(776, 輔助計算!$E$2:$E$801, 0)+1))="","",INDEX(ERP資料!$B:$B, (MATCH(776, 輔助計算!$E$2:$E$801, 0)+1))), "")</f>
        <v/>
      </c>
      <c r="B777" s="10">
        <f>IFERROR(IF(INDEX(ERP資料!$A:$A, (MATCH(776, 輔助計算!$E$2:$E$801, 0)+1))="","",INDEX(ERP資料!$A:$A, (MATCH(776, 輔助計算!$E$2:$E$801, 0)+1))), "")</f>
        <v/>
      </c>
      <c r="C777" s="10">
        <f>IFERROR(IF(INDEX(ERP資料!$S:$S, (MATCH(776, 輔助計算!$E$2:$E$801, 0)+1))="","",INDEX(ERP資料!$S:$S, (MATCH(776, 輔助計算!$E$2:$E$801, 0)+1))), "")</f>
        <v/>
      </c>
      <c r="D777" s="10">
        <f>IFERROR(IF(INDEX(ERP資料!$E:$E, (MATCH(776, 輔助計算!$E$2:$E$801, 0)+1))="","",TRIM(INDEX(ERP資料!$E:$E, (MATCH(776, 輔助計算!$E$2:$E$801, 0)+1)))), "")</f>
        <v/>
      </c>
      <c r="E777" s="10">
        <f>IFERROR(IF(INDEX(ERP資料!$F:$F, (MATCH(776, 輔助計算!$E$2:$E$801, 0)+1))="","",INDEX(ERP資料!$F:$F, (MATCH(776, 輔助計算!$E$2:$E$801, 0)+1))), "")</f>
        <v/>
      </c>
      <c r="F777" s="10">
        <f>IFERROR(IF(INDEX(ERP資料!$G:$G, (MATCH(776, 輔助計算!$E$2:$E$801, 0)+1))="","",INDEX(ERP資料!$G:$G, (MATCH(776, 輔助計算!$E$2:$E$801, 0)+1))), "")</f>
        <v/>
      </c>
      <c r="G777" s="10">
        <f>IFERROR(IF(INDEX(ERP資料!$H:$H, (MATCH(776, 輔助計算!$E$2:$E$801, 0)+1))="","",INDEX(ERP資料!$H:$H, (MATCH(776, 輔助計算!$E$2:$E$801, 0)+1))), "")</f>
        <v/>
      </c>
      <c r="H777" s="15">
        <f>IFERROR(INDEX(輔助計算!$D:$D, (MATCH(776, 輔助計算!$E$2:$E$801, 0)+1)), "")</f>
        <v/>
      </c>
      <c r="I777" s="10">
        <f>IFERROR(IF(INDEX(ERP資料!$O:$O, (MATCH(776, 輔助計算!$E$2:$E$801, 0)+1))="","",INDEX(ERP資料!$O:$O, (MATCH(776, 輔助計算!$E$2:$E$801, 0)+1))), "")</f>
        <v/>
      </c>
      <c r="J777" s="15">
        <f>IFERROR(IF(INDEX(輔助計算!$D:$D,(MATCH(776, 輔助計算!$E$2:$E$801, 0)+1))="","",INDEX(輔助計算!$D:$D,(MATCH(776, 輔助計算!$E$2:$E$801, 0)+1))*INDEX(ERP資料!$O:$O,(MATCH(776, 輔助計算!$E$2:$E$801, 0)+1))), "")</f>
        <v/>
      </c>
      <c r="K777" s="16" t="n"/>
      <c r="L777" s="16" t="n"/>
      <c r="M777" s="17" t="n"/>
    </row>
    <row r="778">
      <c r="A778" s="14">
        <f>IFERROR(IF(INDEX(ERP資料!$B:$B, (MATCH(777, 輔助計算!$E$2:$E$801, 0)+1))="","",INDEX(ERP資料!$B:$B, (MATCH(777, 輔助計算!$E$2:$E$801, 0)+1))), "")</f>
        <v/>
      </c>
      <c r="B778" s="10">
        <f>IFERROR(IF(INDEX(ERP資料!$A:$A, (MATCH(777, 輔助計算!$E$2:$E$801, 0)+1))="","",INDEX(ERP資料!$A:$A, (MATCH(777, 輔助計算!$E$2:$E$801, 0)+1))), "")</f>
        <v/>
      </c>
      <c r="C778" s="10">
        <f>IFERROR(IF(INDEX(ERP資料!$S:$S, (MATCH(777, 輔助計算!$E$2:$E$801, 0)+1))="","",INDEX(ERP資料!$S:$S, (MATCH(777, 輔助計算!$E$2:$E$801, 0)+1))), "")</f>
        <v/>
      </c>
      <c r="D778" s="10">
        <f>IFERROR(IF(INDEX(ERP資料!$E:$E, (MATCH(777, 輔助計算!$E$2:$E$801, 0)+1))="","",TRIM(INDEX(ERP資料!$E:$E, (MATCH(777, 輔助計算!$E$2:$E$801, 0)+1)))), "")</f>
        <v/>
      </c>
      <c r="E778" s="10">
        <f>IFERROR(IF(INDEX(ERP資料!$F:$F, (MATCH(777, 輔助計算!$E$2:$E$801, 0)+1))="","",INDEX(ERP資料!$F:$F, (MATCH(777, 輔助計算!$E$2:$E$801, 0)+1))), "")</f>
        <v/>
      </c>
      <c r="F778" s="10">
        <f>IFERROR(IF(INDEX(ERP資料!$G:$G, (MATCH(777, 輔助計算!$E$2:$E$801, 0)+1))="","",INDEX(ERP資料!$G:$G, (MATCH(777, 輔助計算!$E$2:$E$801, 0)+1))), "")</f>
        <v/>
      </c>
      <c r="G778" s="10">
        <f>IFERROR(IF(INDEX(ERP資料!$H:$H, (MATCH(777, 輔助計算!$E$2:$E$801, 0)+1))="","",INDEX(ERP資料!$H:$H, (MATCH(777, 輔助計算!$E$2:$E$801, 0)+1))), "")</f>
        <v/>
      </c>
      <c r="H778" s="15">
        <f>IFERROR(INDEX(輔助計算!$D:$D, (MATCH(777, 輔助計算!$E$2:$E$801, 0)+1)), "")</f>
        <v/>
      </c>
      <c r="I778" s="10">
        <f>IFERROR(IF(INDEX(ERP資料!$O:$O, (MATCH(777, 輔助計算!$E$2:$E$801, 0)+1))="","",INDEX(ERP資料!$O:$O, (MATCH(777, 輔助計算!$E$2:$E$801, 0)+1))), "")</f>
        <v/>
      </c>
      <c r="J778" s="15">
        <f>IFERROR(IF(INDEX(輔助計算!$D:$D,(MATCH(777, 輔助計算!$E$2:$E$801, 0)+1))="","",INDEX(輔助計算!$D:$D,(MATCH(777, 輔助計算!$E$2:$E$801, 0)+1))*INDEX(ERP資料!$O:$O,(MATCH(777, 輔助計算!$E$2:$E$801, 0)+1))), "")</f>
        <v/>
      </c>
      <c r="K778" s="16" t="n"/>
      <c r="L778" s="16" t="n"/>
      <c r="M778" s="17" t="n"/>
    </row>
    <row r="779">
      <c r="A779" s="14">
        <f>IFERROR(IF(INDEX(ERP資料!$B:$B, (MATCH(778, 輔助計算!$E$2:$E$801, 0)+1))="","",INDEX(ERP資料!$B:$B, (MATCH(778, 輔助計算!$E$2:$E$801, 0)+1))), "")</f>
        <v/>
      </c>
      <c r="B779" s="10">
        <f>IFERROR(IF(INDEX(ERP資料!$A:$A, (MATCH(778, 輔助計算!$E$2:$E$801, 0)+1))="","",INDEX(ERP資料!$A:$A, (MATCH(778, 輔助計算!$E$2:$E$801, 0)+1))), "")</f>
        <v/>
      </c>
      <c r="C779" s="10">
        <f>IFERROR(IF(INDEX(ERP資料!$S:$S, (MATCH(778, 輔助計算!$E$2:$E$801, 0)+1))="","",INDEX(ERP資料!$S:$S, (MATCH(778, 輔助計算!$E$2:$E$801, 0)+1))), "")</f>
        <v/>
      </c>
      <c r="D779" s="10">
        <f>IFERROR(IF(INDEX(ERP資料!$E:$E, (MATCH(778, 輔助計算!$E$2:$E$801, 0)+1))="","",TRIM(INDEX(ERP資料!$E:$E, (MATCH(778, 輔助計算!$E$2:$E$801, 0)+1)))), "")</f>
        <v/>
      </c>
      <c r="E779" s="10">
        <f>IFERROR(IF(INDEX(ERP資料!$F:$F, (MATCH(778, 輔助計算!$E$2:$E$801, 0)+1))="","",INDEX(ERP資料!$F:$F, (MATCH(778, 輔助計算!$E$2:$E$801, 0)+1))), "")</f>
        <v/>
      </c>
      <c r="F779" s="10">
        <f>IFERROR(IF(INDEX(ERP資料!$G:$G, (MATCH(778, 輔助計算!$E$2:$E$801, 0)+1))="","",INDEX(ERP資料!$G:$G, (MATCH(778, 輔助計算!$E$2:$E$801, 0)+1))), "")</f>
        <v/>
      </c>
      <c r="G779" s="10">
        <f>IFERROR(IF(INDEX(ERP資料!$H:$H, (MATCH(778, 輔助計算!$E$2:$E$801, 0)+1))="","",INDEX(ERP資料!$H:$H, (MATCH(778, 輔助計算!$E$2:$E$801, 0)+1))), "")</f>
        <v/>
      </c>
      <c r="H779" s="15">
        <f>IFERROR(INDEX(輔助計算!$D:$D, (MATCH(778, 輔助計算!$E$2:$E$801, 0)+1)), "")</f>
        <v/>
      </c>
      <c r="I779" s="10">
        <f>IFERROR(IF(INDEX(ERP資料!$O:$O, (MATCH(778, 輔助計算!$E$2:$E$801, 0)+1))="","",INDEX(ERP資料!$O:$O, (MATCH(778, 輔助計算!$E$2:$E$801, 0)+1))), "")</f>
        <v/>
      </c>
      <c r="J779" s="15">
        <f>IFERROR(IF(INDEX(輔助計算!$D:$D,(MATCH(778, 輔助計算!$E$2:$E$801, 0)+1))="","",INDEX(輔助計算!$D:$D,(MATCH(778, 輔助計算!$E$2:$E$801, 0)+1))*INDEX(ERP資料!$O:$O,(MATCH(778, 輔助計算!$E$2:$E$801, 0)+1))), "")</f>
        <v/>
      </c>
      <c r="K779" s="16" t="n"/>
      <c r="L779" s="16" t="n"/>
      <c r="M779" s="17" t="n"/>
    </row>
    <row r="780">
      <c r="A780" s="14">
        <f>IFERROR(IF(INDEX(ERP資料!$B:$B, (MATCH(779, 輔助計算!$E$2:$E$801, 0)+1))="","",INDEX(ERP資料!$B:$B, (MATCH(779, 輔助計算!$E$2:$E$801, 0)+1))), "")</f>
        <v/>
      </c>
      <c r="B780" s="10">
        <f>IFERROR(IF(INDEX(ERP資料!$A:$A, (MATCH(779, 輔助計算!$E$2:$E$801, 0)+1))="","",INDEX(ERP資料!$A:$A, (MATCH(779, 輔助計算!$E$2:$E$801, 0)+1))), "")</f>
        <v/>
      </c>
      <c r="C780" s="10">
        <f>IFERROR(IF(INDEX(ERP資料!$S:$S, (MATCH(779, 輔助計算!$E$2:$E$801, 0)+1))="","",INDEX(ERP資料!$S:$S, (MATCH(779, 輔助計算!$E$2:$E$801, 0)+1))), "")</f>
        <v/>
      </c>
      <c r="D780" s="10">
        <f>IFERROR(IF(INDEX(ERP資料!$E:$E, (MATCH(779, 輔助計算!$E$2:$E$801, 0)+1))="","",TRIM(INDEX(ERP資料!$E:$E, (MATCH(779, 輔助計算!$E$2:$E$801, 0)+1)))), "")</f>
        <v/>
      </c>
      <c r="E780" s="10">
        <f>IFERROR(IF(INDEX(ERP資料!$F:$F, (MATCH(779, 輔助計算!$E$2:$E$801, 0)+1))="","",INDEX(ERP資料!$F:$F, (MATCH(779, 輔助計算!$E$2:$E$801, 0)+1))), "")</f>
        <v/>
      </c>
      <c r="F780" s="10">
        <f>IFERROR(IF(INDEX(ERP資料!$G:$G, (MATCH(779, 輔助計算!$E$2:$E$801, 0)+1))="","",INDEX(ERP資料!$G:$G, (MATCH(779, 輔助計算!$E$2:$E$801, 0)+1))), "")</f>
        <v/>
      </c>
      <c r="G780" s="10">
        <f>IFERROR(IF(INDEX(ERP資料!$H:$H, (MATCH(779, 輔助計算!$E$2:$E$801, 0)+1))="","",INDEX(ERP資料!$H:$H, (MATCH(779, 輔助計算!$E$2:$E$801, 0)+1))), "")</f>
        <v/>
      </c>
      <c r="H780" s="15">
        <f>IFERROR(INDEX(輔助計算!$D:$D, (MATCH(779, 輔助計算!$E$2:$E$801, 0)+1)), "")</f>
        <v/>
      </c>
      <c r="I780" s="10">
        <f>IFERROR(IF(INDEX(ERP資料!$O:$O, (MATCH(779, 輔助計算!$E$2:$E$801, 0)+1))="","",INDEX(ERP資料!$O:$O, (MATCH(779, 輔助計算!$E$2:$E$801, 0)+1))), "")</f>
        <v/>
      </c>
      <c r="J780" s="15">
        <f>IFERROR(IF(INDEX(輔助計算!$D:$D,(MATCH(779, 輔助計算!$E$2:$E$801, 0)+1))="","",INDEX(輔助計算!$D:$D,(MATCH(779, 輔助計算!$E$2:$E$801, 0)+1))*INDEX(ERP資料!$O:$O,(MATCH(779, 輔助計算!$E$2:$E$801, 0)+1))), "")</f>
        <v/>
      </c>
      <c r="K780" s="16" t="n"/>
      <c r="L780" s="16" t="n"/>
      <c r="M780" s="17" t="n"/>
    </row>
    <row r="781">
      <c r="A781" s="14">
        <f>IFERROR(IF(INDEX(ERP資料!$B:$B, (MATCH(780, 輔助計算!$E$2:$E$801, 0)+1))="","",INDEX(ERP資料!$B:$B, (MATCH(780, 輔助計算!$E$2:$E$801, 0)+1))), "")</f>
        <v/>
      </c>
      <c r="B781" s="10">
        <f>IFERROR(IF(INDEX(ERP資料!$A:$A, (MATCH(780, 輔助計算!$E$2:$E$801, 0)+1))="","",INDEX(ERP資料!$A:$A, (MATCH(780, 輔助計算!$E$2:$E$801, 0)+1))), "")</f>
        <v/>
      </c>
      <c r="C781" s="10">
        <f>IFERROR(IF(INDEX(ERP資料!$S:$S, (MATCH(780, 輔助計算!$E$2:$E$801, 0)+1))="","",INDEX(ERP資料!$S:$S, (MATCH(780, 輔助計算!$E$2:$E$801, 0)+1))), "")</f>
        <v/>
      </c>
      <c r="D781" s="10">
        <f>IFERROR(IF(INDEX(ERP資料!$E:$E, (MATCH(780, 輔助計算!$E$2:$E$801, 0)+1))="","",TRIM(INDEX(ERP資料!$E:$E, (MATCH(780, 輔助計算!$E$2:$E$801, 0)+1)))), "")</f>
        <v/>
      </c>
      <c r="E781" s="10">
        <f>IFERROR(IF(INDEX(ERP資料!$F:$F, (MATCH(780, 輔助計算!$E$2:$E$801, 0)+1))="","",INDEX(ERP資料!$F:$F, (MATCH(780, 輔助計算!$E$2:$E$801, 0)+1))), "")</f>
        <v/>
      </c>
      <c r="F781" s="10">
        <f>IFERROR(IF(INDEX(ERP資料!$G:$G, (MATCH(780, 輔助計算!$E$2:$E$801, 0)+1))="","",INDEX(ERP資料!$G:$G, (MATCH(780, 輔助計算!$E$2:$E$801, 0)+1))), "")</f>
        <v/>
      </c>
      <c r="G781" s="10">
        <f>IFERROR(IF(INDEX(ERP資料!$H:$H, (MATCH(780, 輔助計算!$E$2:$E$801, 0)+1))="","",INDEX(ERP資料!$H:$H, (MATCH(780, 輔助計算!$E$2:$E$801, 0)+1))), "")</f>
        <v/>
      </c>
      <c r="H781" s="15">
        <f>IFERROR(INDEX(輔助計算!$D:$D, (MATCH(780, 輔助計算!$E$2:$E$801, 0)+1)), "")</f>
        <v/>
      </c>
      <c r="I781" s="10">
        <f>IFERROR(IF(INDEX(ERP資料!$O:$O, (MATCH(780, 輔助計算!$E$2:$E$801, 0)+1))="","",INDEX(ERP資料!$O:$O, (MATCH(780, 輔助計算!$E$2:$E$801, 0)+1))), "")</f>
        <v/>
      </c>
      <c r="J781" s="15">
        <f>IFERROR(IF(INDEX(輔助計算!$D:$D,(MATCH(780, 輔助計算!$E$2:$E$801, 0)+1))="","",INDEX(輔助計算!$D:$D,(MATCH(780, 輔助計算!$E$2:$E$801, 0)+1))*INDEX(ERP資料!$O:$O,(MATCH(780, 輔助計算!$E$2:$E$801, 0)+1))), "")</f>
        <v/>
      </c>
      <c r="K781" s="16" t="n"/>
      <c r="L781" s="16" t="n"/>
      <c r="M781" s="17" t="n"/>
    </row>
    <row r="782">
      <c r="A782" s="14">
        <f>IFERROR(IF(INDEX(ERP資料!$B:$B, (MATCH(781, 輔助計算!$E$2:$E$801, 0)+1))="","",INDEX(ERP資料!$B:$B, (MATCH(781, 輔助計算!$E$2:$E$801, 0)+1))), "")</f>
        <v/>
      </c>
      <c r="B782" s="10">
        <f>IFERROR(IF(INDEX(ERP資料!$A:$A, (MATCH(781, 輔助計算!$E$2:$E$801, 0)+1))="","",INDEX(ERP資料!$A:$A, (MATCH(781, 輔助計算!$E$2:$E$801, 0)+1))), "")</f>
        <v/>
      </c>
      <c r="C782" s="10">
        <f>IFERROR(IF(INDEX(ERP資料!$S:$S, (MATCH(781, 輔助計算!$E$2:$E$801, 0)+1))="","",INDEX(ERP資料!$S:$S, (MATCH(781, 輔助計算!$E$2:$E$801, 0)+1))), "")</f>
        <v/>
      </c>
      <c r="D782" s="10">
        <f>IFERROR(IF(INDEX(ERP資料!$E:$E, (MATCH(781, 輔助計算!$E$2:$E$801, 0)+1))="","",TRIM(INDEX(ERP資料!$E:$E, (MATCH(781, 輔助計算!$E$2:$E$801, 0)+1)))), "")</f>
        <v/>
      </c>
      <c r="E782" s="10">
        <f>IFERROR(IF(INDEX(ERP資料!$F:$F, (MATCH(781, 輔助計算!$E$2:$E$801, 0)+1))="","",INDEX(ERP資料!$F:$F, (MATCH(781, 輔助計算!$E$2:$E$801, 0)+1))), "")</f>
        <v/>
      </c>
      <c r="F782" s="10">
        <f>IFERROR(IF(INDEX(ERP資料!$G:$G, (MATCH(781, 輔助計算!$E$2:$E$801, 0)+1))="","",INDEX(ERP資料!$G:$G, (MATCH(781, 輔助計算!$E$2:$E$801, 0)+1))), "")</f>
        <v/>
      </c>
      <c r="G782" s="10">
        <f>IFERROR(IF(INDEX(ERP資料!$H:$H, (MATCH(781, 輔助計算!$E$2:$E$801, 0)+1))="","",INDEX(ERP資料!$H:$H, (MATCH(781, 輔助計算!$E$2:$E$801, 0)+1))), "")</f>
        <v/>
      </c>
      <c r="H782" s="15">
        <f>IFERROR(INDEX(輔助計算!$D:$D, (MATCH(781, 輔助計算!$E$2:$E$801, 0)+1)), "")</f>
        <v/>
      </c>
      <c r="I782" s="10">
        <f>IFERROR(IF(INDEX(ERP資料!$O:$O, (MATCH(781, 輔助計算!$E$2:$E$801, 0)+1))="","",INDEX(ERP資料!$O:$O, (MATCH(781, 輔助計算!$E$2:$E$801, 0)+1))), "")</f>
        <v/>
      </c>
      <c r="J782" s="15">
        <f>IFERROR(IF(INDEX(輔助計算!$D:$D,(MATCH(781, 輔助計算!$E$2:$E$801, 0)+1))="","",INDEX(輔助計算!$D:$D,(MATCH(781, 輔助計算!$E$2:$E$801, 0)+1))*INDEX(ERP資料!$O:$O,(MATCH(781, 輔助計算!$E$2:$E$801, 0)+1))), "")</f>
        <v/>
      </c>
      <c r="K782" s="16" t="n"/>
      <c r="L782" s="16" t="n"/>
      <c r="M782" s="17" t="n"/>
    </row>
    <row r="783">
      <c r="A783" s="14">
        <f>IFERROR(IF(INDEX(ERP資料!$B:$B, (MATCH(782, 輔助計算!$E$2:$E$801, 0)+1))="","",INDEX(ERP資料!$B:$B, (MATCH(782, 輔助計算!$E$2:$E$801, 0)+1))), "")</f>
        <v/>
      </c>
      <c r="B783" s="10">
        <f>IFERROR(IF(INDEX(ERP資料!$A:$A, (MATCH(782, 輔助計算!$E$2:$E$801, 0)+1))="","",INDEX(ERP資料!$A:$A, (MATCH(782, 輔助計算!$E$2:$E$801, 0)+1))), "")</f>
        <v/>
      </c>
      <c r="C783" s="10">
        <f>IFERROR(IF(INDEX(ERP資料!$S:$S, (MATCH(782, 輔助計算!$E$2:$E$801, 0)+1))="","",INDEX(ERP資料!$S:$S, (MATCH(782, 輔助計算!$E$2:$E$801, 0)+1))), "")</f>
        <v/>
      </c>
      <c r="D783" s="10">
        <f>IFERROR(IF(INDEX(ERP資料!$E:$E, (MATCH(782, 輔助計算!$E$2:$E$801, 0)+1))="","",TRIM(INDEX(ERP資料!$E:$E, (MATCH(782, 輔助計算!$E$2:$E$801, 0)+1)))), "")</f>
        <v/>
      </c>
      <c r="E783" s="10">
        <f>IFERROR(IF(INDEX(ERP資料!$F:$F, (MATCH(782, 輔助計算!$E$2:$E$801, 0)+1))="","",INDEX(ERP資料!$F:$F, (MATCH(782, 輔助計算!$E$2:$E$801, 0)+1))), "")</f>
        <v/>
      </c>
      <c r="F783" s="10">
        <f>IFERROR(IF(INDEX(ERP資料!$G:$G, (MATCH(782, 輔助計算!$E$2:$E$801, 0)+1))="","",INDEX(ERP資料!$G:$G, (MATCH(782, 輔助計算!$E$2:$E$801, 0)+1))), "")</f>
        <v/>
      </c>
      <c r="G783" s="10">
        <f>IFERROR(IF(INDEX(ERP資料!$H:$H, (MATCH(782, 輔助計算!$E$2:$E$801, 0)+1))="","",INDEX(ERP資料!$H:$H, (MATCH(782, 輔助計算!$E$2:$E$801, 0)+1))), "")</f>
        <v/>
      </c>
      <c r="H783" s="15">
        <f>IFERROR(INDEX(輔助計算!$D:$D, (MATCH(782, 輔助計算!$E$2:$E$801, 0)+1)), "")</f>
        <v/>
      </c>
      <c r="I783" s="10">
        <f>IFERROR(IF(INDEX(ERP資料!$O:$O, (MATCH(782, 輔助計算!$E$2:$E$801, 0)+1))="","",INDEX(ERP資料!$O:$O, (MATCH(782, 輔助計算!$E$2:$E$801, 0)+1))), "")</f>
        <v/>
      </c>
      <c r="J783" s="15">
        <f>IFERROR(IF(INDEX(輔助計算!$D:$D,(MATCH(782, 輔助計算!$E$2:$E$801, 0)+1))="","",INDEX(輔助計算!$D:$D,(MATCH(782, 輔助計算!$E$2:$E$801, 0)+1))*INDEX(ERP資料!$O:$O,(MATCH(782, 輔助計算!$E$2:$E$801, 0)+1))), "")</f>
        <v/>
      </c>
      <c r="K783" s="16" t="n"/>
      <c r="L783" s="16" t="n"/>
      <c r="M783" s="17" t="n"/>
    </row>
    <row r="784">
      <c r="A784" s="14">
        <f>IFERROR(IF(INDEX(ERP資料!$B:$B, (MATCH(783, 輔助計算!$E$2:$E$801, 0)+1))="","",INDEX(ERP資料!$B:$B, (MATCH(783, 輔助計算!$E$2:$E$801, 0)+1))), "")</f>
        <v/>
      </c>
      <c r="B784" s="10">
        <f>IFERROR(IF(INDEX(ERP資料!$A:$A, (MATCH(783, 輔助計算!$E$2:$E$801, 0)+1))="","",INDEX(ERP資料!$A:$A, (MATCH(783, 輔助計算!$E$2:$E$801, 0)+1))), "")</f>
        <v/>
      </c>
      <c r="C784" s="10">
        <f>IFERROR(IF(INDEX(ERP資料!$S:$S, (MATCH(783, 輔助計算!$E$2:$E$801, 0)+1))="","",INDEX(ERP資料!$S:$S, (MATCH(783, 輔助計算!$E$2:$E$801, 0)+1))), "")</f>
        <v/>
      </c>
      <c r="D784" s="10">
        <f>IFERROR(IF(INDEX(ERP資料!$E:$E, (MATCH(783, 輔助計算!$E$2:$E$801, 0)+1))="","",TRIM(INDEX(ERP資料!$E:$E, (MATCH(783, 輔助計算!$E$2:$E$801, 0)+1)))), "")</f>
        <v/>
      </c>
      <c r="E784" s="10">
        <f>IFERROR(IF(INDEX(ERP資料!$F:$F, (MATCH(783, 輔助計算!$E$2:$E$801, 0)+1))="","",INDEX(ERP資料!$F:$F, (MATCH(783, 輔助計算!$E$2:$E$801, 0)+1))), "")</f>
        <v/>
      </c>
      <c r="F784" s="10">
        <f>IFERROR(IF(INDEX(ERP資料!$G:$G, (MATCH(783, 輔助計算!$E$2:$E$801, 0)+1))="","",INDEX(ERP資料!$G:$G, (MATCH(783, 輔助計算!$E$2:$E$801, 0)+1))), "")</f>
        <v/>
      </c>
      <c r="G784" s="10">
        <f>IFERROR(IF(INDEX(ERP資料!$H:$H, (MATCH(783, 輔助計算!$E$2:$E$801, 0)+1))="","",INDEX(ERP資料!$H:$H, (MATCH(783, 輔助計算!$E$2:$E$801, 0)+1))), "")</f>
        <v/>
      </c>
      <c r="H784" s="15">
        <f>IFERROR(INDEX(輔助計算!$D:$D, (MATCH(783, 輔助計算!$E$2:$E$801, 0)+1)), "")</f>
        <v/>
      </c>
      <c r="I784" s="10">
        <f>IFERROR(IF(INDEX(ERP資料!$O:$O, (MATCH(783, 輔助計算!$E$2:$E$801, 0)+1))="","",INDEX(ERP資料!$O:$O, (MATCH(783, 輔助計算!$E$2:$E$801, 0)+1))), "")</f>
        <v/>
      </c>
      <c r="J784" s="15">
        <f>IFERROR(IF(INDEX(輔助計算!$D:$D,(MATCH(783, 輔助計算!$E$2:$E$801, 0)+1))="","",INDEX(輔助計算!$D:$D,(MATCH(783, 輔助計算!$E$2:$E$801, 0)+1))*INDEX(ERP資料!$O:$O,(MATCH(783, 輔助計算!$E$2:$E$801, 0)+1))), "")</f>
        <v/>
      </c>
      <c r="K784" s="16" t="n"/>
      <c r="L784" s="16" t="n"/>
      <c r="M784" s="17" t="n"/>
    </row>
    <row r="785">
      <c r="A785" s="14">
        <f>IFERROR(IF(INDEX(ERP資料!$B:$B, (MATCH(784, 輔助計算!$E$2:$E$801, 0)+1))="","",INDEX(ERP資料!$B:$B, (MATCH(784, 輔助計算!$E$2:$E$801, 0)+1))), "")</f>
        <v/>
      </c>
      <c r="B785" s="10">
        <f>IFERROR(IF(INDEX(ERP資料!$A:$A, (MATCH(784, 輔助計算!$E$2:$E$801, 0)+1))="","",INDEX(ERP資料!$A:$A, (MATCH(784, 輔助計算!$E$2:$E$801, 0)+1))), "")</f>
        <v/>
      </c>
      <c r="C785" s="10">
        <f>IFERROR(IF(INDEX(ERP資料!$S:$S, (MATCH(784, 輔助計算!$E$2:$E$801, 0)+1))="","",INDEX(ERP資料!$S:$S, (MATCH(784, 輔助計算!$E$2:$E$801, 0)+1))), "")</f>
        <v/>
      </c>
      <c r="D785" s="10">
        <f>IFERROR(IF(INDEX(ERP資料!$E:$E, (MATCH(784, 輔助計算!$E$2:$E$801, 0)+1))="","",TRIM(INDEX(ERP資料!$E:$E, (MATCH(784, 輔助計算!$E$2:$E$801, 0)+1)))), "")</f>
        <v/>
      </c>
      <c r="E785" s="10">
        <f>IFERROR(IF(INDEX(ERP資料!$F:$F, (MATCH(784, 輔助計算!$E$2:$E$801, 0)+1))="","",INDEX(ERP資料!$F:$F, (MATCH(784, 輔助計算!$E$2:$E$801, 0)+1))), "")</f>
        <v/>
      </c>
      <c r="F785" s="10">
        <f>IFERROR(IF(INDEX(ERP資料!$G:$G, (MATCH(784, 輔助計算!$E$2:$E$801, 0)+1))="","",INDEX(ERP資料!$G:$G, (MATCH(784, 輔助計算!$E$2:$E$801, 0)+1))), "")</f>
        <v/>
      </c>
      <c r="G785" s="10">
        <f>IFERROR(IF(INDEX(ERP資料!$H:$H, (MATCH(784, 輔助計算!$E$2:$E$801, 0)+1))="","",INDEX(ERP資料!$H:$H, (MATCH(784, 輔助計算!$E$2:$E$801, 0)+1))), "")</f>
        <v/>
      </c>
      <c r="H785" s="15">
        <f>IFERROR(INDEX(輔助計算!$D:$D, (MATCH(784, 輔助計算!$E$2:$E$801, 0)+1)), "")</f>
        <v/>
      </c>
      <c r="I785" s="10">
        <f>IFERROR(IF(INDEX(ERP資料!$O:$O, (MATCH(784, 輔助計算!$E$2:$E$801, 0)+1))="","",INDEX(ERP資料!$O:$O, (MATCH(784, 輔助計算!$E$2:$E$801, 0)+1))), "")</f>
        <v/>
      </c>
      <c r="J785" s="15">
        <f>IFERROR(IF(INDEX(輔助計算!$D:$D,(MATCH(784, 輔助計算!$E$2:$E$801, 0)+1))="","",INDEX(輔助計算!$D:$D,(MATCH(784, 輔助計算!$E$2:$E$801, 0)+1))*INDEX(ERP資料!$O:$O,(MATCH(784, 輔助計算!$E$2:$E$801, 0)+1))), "")</f>
        <v/>
      </c>
      <c r="K785" s="16" t="n"/>
      <c r="L785" s="16" t="n"/>
      <c r="M785" s="17" t="n"/>
    </row>
    <row r="786">
      <c r="A786" s="14">
        <f>IFERROR(IF(INDEX(ERP資料!$B:$B, (MATCH(785, 輔助計算!$E$2:$E$801, 0)+1))="","",INDEX(ERP資料!$B:$B, (MATCH(785, 輔助計算!$E$2:$E$801, 0)+1))), "")</f>
        <v/>
      </c>
      <c r="B786" s="10">
        <f>IFERROR(IF(INDEX(ERP資料!$A:$A, (MATCH(785, 輔助計算!$E$2:$E$801, 0)+1))="","",INDEX(ERP資料!$A:$A, (MATCH(785, 輔助計算!$E$2:$E$801, 0)+1))), "")</f>
        <v/>
      </c>
      <c r="C786" s="10">
        <f>IFERROR(IF(INDEX(ERP資料!$S:$S, (MATCH(785, 輔助計算!$E$2:$E$801, 0)+1))="","",INDEX(ERP資料!$S:$S, (MATCH(785, 輔助計算!$E$2:$E$801, 0)+1))), "")</f>
        <v/>
      </c>
      <c r="D786" s="10">
        <f>IFERROR(IF(INDEX(ERP資料!$E:$E, (MATCH(785, 輔助計算!$E$2:$E$801, 0)+1))="","",TRIM(INDEX(ERP資料!$E:$E, (MATCH(785, 輔助計算!$E$2:$E$801, 0)+1)))), "")</f>
        <v/>
      </c>
      <c r="E786" s="10">
        <f>IFERROR(IF(INDEX(ERP資料!$F:$F, (MATCH(785, 輔助計算!$E$2:$E$801, 0)+1))="","",INDEX(ERP資料!$F:$F, (MATCH(785, 輔助計算!$E$2:$E$801, 0)+1))), "")</f>
        <v/>
      </c>
      <c r="F786" s="10">
        <f>IFERROR(IF(INDEX(ERP資料!$G:$G, (MATCH(785, 輔助計算!$E$2:$E$801, 0)+1))="","",INDEX(ERP資料!$G:$G, (MATCH(785, 輔助計算!$E$2:$E$801, 0)+1))), "")</f>
        <v/>
      </c>
      <c r="G786" s="10">
        <f>IFERROR(IF(INDEX(ERP資料!$H:$H, (MATCH(785, 輔助計算!$E$2:$E$801, 0)+1))="","",INDEX(ERP資料!$H:$H, (MATCH(785, 輔助計算!$E$2:$E$801, 0)+1))), "")</f>
        <v/>
      </c>
      <c r="H786" s="15">
        <f>IFERROR(INDEX(輔助計算!$D:$D, (MATCH(785, 輔助計算!$E$2:$E$801, 0)+1)), "")</f>
        <v/>
      </c>
      <c r="I786" s="10">
        <f>IFERROR(IF(INDEX(ERP資料!$O:$O, (MATCH(785, 輔助計算!$E$2:$E$801, 0)+1))="","",INDEX(ERP資料!$O:$O, (MATCH(785, 輔助計算!$E$2:$E$801, 0)+1))), "")</f>
        <v/>
      </c>
      <c r="J786" s="15">
        <f>IFERROR(IF(INDEX(輔助計算!$D:$D,(MATCH(785, 輔助計算!$E$2:$E$801, 0)+1))="","",INDEX(輔助計算!$D:$D,(MATCH(785, 輔助計算!$E$2:$E$801, 0)+1))*INDEX(ERP資料!$O:$O,(MATCH(785, 輔助計算!$E$2:$E$801, 0)+1))), "")</f>
        <v/>
      </c>
      <c r="K786" s="16" t="n"/>
      <c r="L786" s="16" t="n"/>
      <c r="M786" s="17" t="n"/>
    </row>
    <row r="787">
      <c r="A787" s="14">
        <f>IFERROR(IF(INDEX(ERP資料!$B:$B, (MATCH(786, 輔助計算!$E$2:$E$801, 0)+1))="","",INDEX(ERP資料!$B:$B, (MATCH(786, 輔助計算!$E$2:$E$801, 0)+1))), "")</f>
        <v/>
      </c>
      <c r="B787" s="10">
        <f>IFERROR(IF(INDEX(ERP資料!$A:$A, (MATCH(786, 輔助計算!$E$2:$E$801, 0)+1))="","",INDEX(ERP資料!$A:$A, (MATCH(786, 輔助計算!$E$2:$E$801, 0)+1))), "")</f>
        <v/>
      </c>
      <c r="C787" s="10">
        <f>IFERROR(IF(INDEX(ERP資料!$S:$S, (MATCH(786, 輔助計算!$E$2:$E$801, 0)+1))="","",INDEX(ERP資料!$S:$S, (MATCH(786, 輔助計算!$E$2:$E$801, 0)+1))), "")</f>
        <v/>
      </c>
      <c r="D787" s="10">
        <f>IFERROR(IF(INDEX(ERP資料!$E:$E, (MATCH(786, 輔助計算!$E$2:$E$801, 0)+1))="","",TRIM(INDEX(ERP資料!$E:$E, (MATCH(786, 輔助計算!$E$2:$E$801, 0)+1)))), "")</f>
        <v/>
      </c>
      <c r="E787" s="10">
        <f>IFERROR(IF(INDEX(ERP資料!$F:$F, (MATCH(786, 輔助計算!$E$2:$E$801, 0)+1))="","",INDEX(ERP資料!$F:$F, (MATCH(786, 輔助計算!$E$2:$E$801, 0)+1))), "")</f>
        <v/>
      </c>
      <c r="F787" s="10">
        <f>IFERROR(IF(INDEX(ERP資料!$G:$G, (MATCH(786, 輔助計算!$E$2:$E$801, 0)+1))="","",INDEX(ERP資料!$G:$G, (MATCH(786, 輔助計算!$E$2:$E$801, 0)+1))), "")</f>
        <v/>
      </c>
      <c r="G787" s="10">
        <f>IFERROR(IF(INDEX(ERP資料!$H:$H, (MATCH(786, 輔助計算!$E$2:$E$801, 0)+1))="","",INDEX(ERP資料!$H:$H, (MATCH(786, 輔助計算!$E$2:$E$801, 0)+1))), "")</f>
        <v/>
      </c>
      <c r="H787" s="15">
        <f>IFERROR(INDEX(輔助計算!$D:$D, (MATCH(786, 輔助計算!$E$2:$E$801, 0)+1)), "")</f>
        <v/>
      </c>
      <c r="I787" s="10">
        <f>IFERROR(IF(INDEX(ERP資料!$O:$O, (MATCH(786, 輔助計算!$E$2:$E$801, 0)+1))="","",INDEX(ERP資料!$O:$O, (MATCH(786, 輔助計算!$E$2:$E$801, 0)+1))), "")</f>
        <v/>
      </c>
      <c r="J787" s="15">
        <f>IFERROR(IF(INDEX(輔助計算!$D:$D,(MATCH(786, 輔助計算!$E$2:$E$801, 0)+1))="","",INDEX(輔助計算!$D:$D,(MATCH(786, 輔助計算!$E$2:$E$801, 0)+1))*INDEX(ERP資料!$O:$O,(MATCH(786, 輔助計算!$E$2:$E$801, 0)+1))), "")</f>
        <v/>
      </c>
      <c r="K787" s="16" t="n"/>
      <c r="L787" s="16" t="n"/>
      <c r="M787" s="17" t="n"/>
    </row>
    <row r="788">
      <c r="A788" s="14">
        <f>IFERROR(IF(INDEX(ERP資料!$B:$B, (MATCH(787, 輔助計算!$E$2:$E$801, 0)+1))="","",INDEX(ERP資料!$B:$B, (MATCH(787, 輔助計算!$E$2:$E$801, 0)+1))), "")</f>
        <v/>
      </c>
      <c r="B788" s="10">
        <f>IFERROR(IF(INDEX(ERP資料!$A:$A, (MATCH(787, 輔助計算!$E$2:$E$801, 0)+1))="","",INDEX(ERP資料!$A:$A, (MATCH(787, 輔助計算!$E$2:$E$801, 0)+1))), "")</f>
        <v/>
      </c>
      <c r="C788" s="10">
        <f>IFERROR(IF(INDEX(ERP資料!$S:$S, (MATCH(787, 輔助計算!$E$2:$E$801, 0)+1))="","",INDEX(ERP資料!$S:$S, (MATCH(787, 輔助計算!$E$2:$E$801, 0)+1))), "")</f>
        <v/>
      </c>
      <c r="D788" s="10">
        <f>IFERROR(IF(INDEX(ERP資料!$E:$E, (MATCH(787, 輔助計算!$E$2:$E$801, 0)+1))="","",TRIM(INDEX(ERP資料!$E:$E, (MATCH(787, 輔助計算!$E$2:$E$801, 0)+1)))), "")</f>
        <v/>
      </c>
      <c r="E788" s="10">
        <f>IFERROR(IF(INDEX(ERP資料!$F:$F, (MATCH(787, 輔助計算!$E$2:$E$801, 0)+1))="","",INDEX(ERP資料!$F:$F, (MATCH(787, 輔助計算!$E$2:$E$801, 0)+1))), "")</f>
        <v/>
      </c>
      <c r="F788" s="10">
        <f>IFERROR(IF(INDEX(ERP資料!$G:$G, (MATCH(787, 輔助計算!$E$2:$E$801, 0)+1))="","",INDEX(ERP資料!$G:$G, (MATCH(787, 輔助計算!$E$2:$E$801, 0)+1))), "")</f>
        <v/>
      </c>
      <c r="G788" s="10">
        <f>IFERROR(IF(INDEX(ERP資料!$H:$H, (MATCH(787, 輔助計算!$E$2:$E$801, 0)+1))="","",INDEX(ERP資料!$H:$H, (MATCH(787, 輔助計算!$E$2:$E$801, 0)+1))), "")</f>
        <v/>
      </c>
      <c r="H788" s="15">
        <f>IFERROR(INDEX(輔助計算!$D:$D, (MATCH(787, 輔助計算!$E$2:$E$801, 0)+1)), "")</f>
        <v/>
      </c>
      <c r="I788" s="10">
        <f>IFERROR(IF(INDEX(ERP資料!$O:$O, (MATCH(787, 輔助計算!$E$2:$E$801, 0)+1))="","",INDEX(ERP資料!$O:$O, (MATCH(787, 輔助計算!$E$2:$E$801, 0)+1))), "")</f>
        <v/>
      </c>
      <c r="J788" s="15">
        <f>IFERROR(IF(INDEX(輔助計算!$D:$D,(MATCH(787, 輔助計算!$E$2:$E$801, 0)+1))="","",INDEX(輔助計算!$D:$D,(MATCH(787, 輔助計算!$E$2:$E$801, 0)+1))*INDEX(ERP資料!$O:$O,(MATCH(787, 輔助計算!$E$2:$E$801, 0)+1))), "")</f>
        <v/>
      </c>
      <c r="K788" s="16" t="n"/>
      <c r="L788" s="16" t="n"/>
      <c r="M788" s="17" t="n"/>
    </row>
    <row r="789">
      <c r="A789" s="14">
        <f>IFERROR(IF(INDEX(ERP資料!$B:$B, (MATCH(788, 輔助計算!$E$2:$E$801, 0)+1))="","",INDEX(ERP資料!$B:$B, (MATCH(788, 輔助計算!$E$2:$E$801, 0)+1))), "")</f>
        <v/>
      </c>
      <c r="B789" s="10">
        <f>IFERROR(IF(INDEX(ERP資料!$A:$A, (MATCH(788, 輔助計算!$E$2:$E$801, 0)+1))="","",INDEX(ERP資料!$A:$A, (MATCH(788, 輔助計算!$E$2:$E$801, 0)+1))), "")</f>
        <v/>
      </c>
      <c r="C789" s="10">
        <f>IFERROR(IF(INDEX(ERP資料!$S:$S, (MATCH(788, 輔助計算!$E$2:$E$801, 0)+1))="","",INDEX(ERP資料!$S:$S, (MATCH(788, 輔助計算!$E$2:$E$801, 0)+1))), "")</f>
        <v/>
      </c>
      <c r="D789" s="10">
        <f>IFERROR(IF(INDEX(ERP資料!$E:$E, (MATCH(788, 輔助計算!$E$2:$E$801, 0)+1))="","",TRIM(INDEX(ERP資料!$E:$E, (MATCH(788, 輔助計算!$E$2:$E$801, 0)+1)))), "")</f>
        <v/>
      </c>
      <c r="E789" s="10">
        <f>IFERROR(IF(INDEX(ERP資料!$F:$F, (MATCH(788, 輔助計算!$E$2:$E$801, 0)+1))="","",INDEX(ERP資料!$F:$F, (MATCH(788, 輔助計算!$E$2:$E$801, 0)+1))), "")</f>
        <v/>
      </c>
      <c r="F789" s="10">
        <f>IFERROR(IF(INDEX(ERP資料!$G:$G, (MATCH(788, 輔助計算!$E$2:$E$801, 0)+1))="","",INDEX(ERP資料!$G:$G, (MATCH(788, 輔助計算!$E$2:$E$801, 0)+1))), "")</f>
        <v/>
      </c>
      <c r="G789" s="10">
        <f>IFERROR(IF(INDEX(ERP資料!$H:$H, (MATCH(788, 輔助計算!$E$2:$E$801, 0)+1))="","",INDEX(ERP資料!$H:$H, (MATCH(788, 輔助計算!$E$2:$E$801, 0)+1))), "")</f>
        <v/>
      </c>
      <c r="H789" s="15">
        <f>IFERROR(INDEX(輔助計算!$D:$D, (MATCH(788, 輔助計算!$E$2:$E$801, 0)+1)), "")</f>
        <v/>
      </c>
      <c r="I789" s="10">
        <f>IFERROR(IF(INDEX(ERP資料!$O:$O, (MATCH(788, 輔助計算!$E$2:$E$801, 0)+1))="","",INDEX(ERP資料!$O:$O, (MATCH(788, 輔助計算!$E$2:$E$801, 0)+1))), "")</f>
        <v/>
      </c>
      <c r="J789" s="15">
        <f>IFERROR(IF(INDEX(輔助計算!$D:$D,(MATCH(788, 輔助計算!$E$2:$E$801, 0)+1))="","",INDEX(輔助計算!$D:$D,(MATCH(788, 輔助計算!$E$2:$E$801, 0)+1))*INDEX(ERP資料!$O:$O,(MATCH(788, 輔助計算!$E$2:$E$801, 0)+1))), "")</f>
        <v/>
      </c>
      <c r="K789" s="16" t="n"/>
      <c r="L789" s="16" t="n"/>
      <c r="M789" s="17" t="n"/>
    </row>
    <row r="790">
      <c r="A790" s="14">
        <f>IFERROR(IF(INDEX(ERP資料!$B:$B, (MATCH(789, 輔助計算!$E$2:$E$801, 0)+1))="","",INDEX(ERP資料!$B:$B, (MATCH(789, 輔助計算!$E$2:$E$801, 0)+1))), "")</f>
        <v/>
      </c>
      <c r="B790" s="10">
        <f>IFERROR(IF(INDEX(ERP資料!$A:$A, (MATCH(789, 輔助計算!$E$2:$E$801, 0)+1))="","",INDEX(ERP資料!$A:$A, (MATCH(789, 輔助計算!$E$2:$E$801, 0)+1))), "")</f>
        <v/>
      </c>
      <c r="C790" s="10">
        <f>IFERROR(IF(INDEX(ERP資料!$S:$S, (MATCH(789, 輔助計算!$E$2:$E$801, 0)+1))="","",INDEX(ERP資料!$S:$S, (MATCH(789, 輔助計算!$E$2:$E$801, 0)+1))), "")</f>
        <v/>
      </c>
      <c r="D790" s="10">
        <f>IFERROR(IF(INDEX(ERP資料!$E:$E, (MATCH(789, 輔助計算!$E$2:$E$801, 0)+1))="","",TRIM(INDEX(ERP資料!$E:$E, (MATCH(789, 輔助計算!$E$2:$E$801, 0)+1)))), "")</f>
        <v/>
      </c>
      <c r="E790" s="10">
        <f>IFERROR(IF(INDEX(ERP資料!$F:$F, (MATCH(789, 輔助計算!$E$2:$E$801, 0)+1))="","",INDEX(ERP資料!$F:$F, (MATCH(789, 輔助計算!$E$2:$E$801, 0)+1))), "")</f>
        <v/>
      </c>
      <c r="F790" s="10">
        <f>IFERROR(IF(INDEX(ERP資料!$G:$G, (MATCH(789, 輔助計算!$E$2:$E$801, 0)+1))="","",INDEX(ERP資料!$G:$G, (MATCH(789, 輔助計算!$E$2:$E$801, 0)+1))), "")</f>
        <v/>
      </c>
      <c r="G790" s="10">
        <f>IFERROR(IF(INDEX(ERP資料!$H:$H, (MATCH(789, 輔助計算!$E$2:$E$801, 0)+1))="","",INDEX(ERP資料!$H:$H, (MATCH(789, 輔助計算!$E$2:$E$801, 0)+1))), "")</f>
        <v/>
      </c>
      <c r="H790" s="15">
        <f>IFERROR(INDEX(輔助計算!$D:$D, (MATCH(789, 輔助計算!$E$2:$E$801, 0)+1)), "")</f>
        <v/>
      </c>
      <c r="I790" s="10">
        <f>IFERROR(IF(INDEX(ERP資料!$O:$O, (MATCH(789, 輔助計算!$E$2:$E$801, 0)+1))="","",INDEX(ERP資料!$O:$O, (MATCH(789, 輔助計算!$E$2:$E$801, 0)+1))), "")</f>
        <v/>
      </c>
      <c r="J790" s="15">
        <f>IFERROR(IF(INDEX(輔助計算!$D:$D,(MATCH(789, 輔助計算!$E$2:$E$801, 0)+1))="","",INDEX(輔助計算!$D:$D,(MATCH(789, 輔助計算!$E$2:$E$801, 0)+1))*INDEX(ERP資料!$O:$O,(MATCH(789, 輔助計算!$E$2:$E$801, 0)+1))), "")</f>
        <v/>
      </c>
      <c r="K790" s="16" t="n"/>
      <c r="L790" s="16" t="n"/>
      <c r="M790" s="17" t="n"/>
    </row>
    <row r="791">
      <c r="A791" s="14">
        <f>IFERROR(IF(INDEX(ERP資料!$B:$B, (MATCH(790, 輔助計算!$E$2:$E$801, 0)+1))="","",INDEX(ERP資料!$B:$B, (MATCH(790, 輔助計算!$E$2:$E$801, 0)+1))), "")</f>
        <v/>
      </c>
      <c r="B791" s="10">
        <f>IFERROR(IF(INDEX(ERP資料!$A:$A, (MATCH(790, 輔助計算!$E$2:$E$801, 0)+1))="","",INDEX(ERP資料!$A:$A, (MATCH(790, 輔助計算!$E$2:$E$801, 0)+1))), "")</f>
        <v/>
      </c>
      <c r="C791" s="10">
        <f>IFERROR(IF(INDEX(ERP資料!$S:$S, (MATCH(790, 輔助計算!$E$2:$E$801, 0)+1))="","",INDEX(ERP資料!$S:$S, (MATCH(790, 輔助計算!$E$2:$E$801, 0)+1))), "")</f>
        <v/>
      </c>
      <c r="D791" s="10">
        <f>IFERROR(IF(INDEX(ERP資料!$E:$E, (MATCH(790, 輔助計算!$E$2:$E$801, 0)+1))="","",TRIM(INDEX(ERP資料!$E:$E, (MATCH(790, 輔助計算!$E$2:$E$801, 0)+1)))), "")</f>
        <v/>
      </c>
      <c r="E791" s="10">
        <f>IFERROR(IF(INDEX(ERP資料!$F:$F, (MATCH(790, 輔助計算!$E$2:$E$801, 0)+1))="","",INDEX(ERP資料!$F:$F, (MATCH(790, 輔助計算!$E$2:$E$801, 0)+1))), "")</f>
        <v/>
      </c>
      <c r="F791" s="10">
        <f>IFERROR(IF(INDEX(ERP資料!$G:$G, (MATCH(790, 輔助計算!$E$2:$E$801, 0)+1))="","",INDEX(ERP資料!$G:$G, (MATCH(790, 輔助計算!$E$2:$E$801, 0)+1))), "")</f>
        <v/>
      </c>
      <c r="G791" s="10">
        <f>IFERROR(IF(INDEX(ERP資料!$H:$H, (MATCH(790, 輔助計算!$E$2:$E$801, 0)+1))="","",INDEX(ERP資料!$H:$H, (MATCH(790, 輔助計算!$E$2:$E$801, 0)+1))), "")</f>
        <v/>
      </c>
      <c r="H791" s="15">
        <f>IFERROR(INDEX(輔助計算!$D:$D, (MATCH(790, 輔助計算!$E$2:$E$801, 0)+1)), "")</f>
        <v/>
      </c>
      <c r="I791" s="10">
        <f>IFERROR(IF(INDEX(ERP資料!$O:$O, (MATCH(790, 輔助計算!$E$2:$E$801, 0)+1))="","",INDEX(ERP資料!$O:$O, (MATCH(790, 輔助計算!$E$2:$E$801, 0)+1))), "")</f>
        <v/>
      </c>
      <c r="J791" s="15">
        <f>IFERROR(IF(INDEX(輔助計算!$D:$D,(MATCH(790, 輔助計算!$E$2:$E$801, 0)+1))="","",INDEX(輔助計算!$D:$D,(MATCH(790, 輔助計算!$E$2:$E$801, 0)+1))*INDEX(ERP資料!$O:$O,(MATCH(790, 輔助計算!$E$2:$E$801, 0)+1))), "")</f>
        <v/>
      </c>
      <c r="K791" s="16" t="n"/>
      <c r="L791" s="16" t="n"/>
      <c r="M791" s="17" t="n"/>
    </row>
    <row r="792">
      <c r="A792" s="14">
        <f>IFERROR(IF(INDEX(ERP資料!$B:$B, (MATCH(791, 輔助計算!$E$2:$E$801, 0)+1))="","",INDEX(ERP資料!$B:$B, (MATCH(791, 輔助計算!$E$2:$E$801, 0)+1))), "")</f>
        <v/>
      </c>
      <c r="B792" s="10">
        <f>IFERROR(IF(INDEX(ERP資料!$A:$A, (MATCH(791, 輔助計算!$E$2:$E$801, 0)+1))="","",INDEX(ERP資料!$A:$A, (MATCH(791, 輔助計算!$E$2:$E$801, 0)+1))), "")</f>
        <v/>
      </c>
      <c r="C792" s="10">
        <f>IFERROR(IF(INDEX(ERP資料!$S:$S, (MATCH(791, 輔助計算!$E$2:$E$801, 0)+1))="","",INDEX(ERP資料!$S:$S, (MATCH(791, 輔助計算!$E$2:$E$801, 0)+1))), "")</f>
        <v/>
      </c>
      <c r="D792" s="10">
        <f>IFERROR(IF(INDEX(ERP資料!$E:$E, (MATCH(791, 輔助計算!$E$2:$E$801, 0)+1))="","",TRIM(INDEX(ERP資料!$E:$E, (MATCH(791, 輔助計算!$E$2:$E$801, 0)+1)))), "")</f>
        <v/>
      </c>
      <c r="E792" s="10">
        <f>IFERROR(IF(INDEX(ERP資料!$F:$F, (MATCH(791, 輔助計算!$E$2:$E$801, 0)+1))="","",INDEX(ERP資料!$F:$F, (MATCH(791, 輔助計算!$E$2:$E$801, 0)+1))), "")</f>
        <v/>
      </c>
      <c r="F792" s="10">
        <f>IFERROR(IF(INDEX(ERP資料!$G:$G, (MATCH(791, 輔助計算!$E$2:$E$801, 0)+1))="","",INDEX(ERP資料!$G:$G, (MATCH(791, 輔助計算!$E$2:$E$801, 0)+1))), "")</f>
        <v/>
      </c>
      <c r="G792" s="10">
        <f>IFERROR(IF(INDEX(ERP資料!$H:$H, (MATCH(791, 輔助計算!$E$2:$E$801, 0)+1))="","",INDEX(ERP資料!$H:$H, (MATCH(791, 輔助計算!$E$2:$E$801, 0)+1))), "")</f>
        <v/>
      </c>
      <c r="H792" s="15">
        <f>IFERROR(INDEX(輔助計算!$D:$D, (MATCH(791, 輔助計算!$E$2:$E$801, 0)+1)), "")</f>
        <v/>
      </c>
      <c r="I792" s="10">
        <f>IFERROR(IF(INDEX(ERP資料!$O:$O, (MATCH(791, 輔助計算!$E$2:$E$801, 0)+1))="","",INDEX(ERP資料!$O:$O, (MATCH(791, 輔助計算!$E$2:$E$801, 0)+1))), "")</f>
        <v/>
      </c>
      <c r="J792" s="15">
        <f>IFERROR(IF(INDEX(輔助計算!$D:$D,(MATCH(791, 輔助計算!$E$2:$E$801, 0)+1))="","",INDEX(輔助計算!$D:$D,(MATCH(791, 輔助計算!$E$2:$E$801, 0)+1))*INDEX(ERP資料!$O:$O,(MATCH(791, 輔助計算!$E$2:$E$801, 0)+1))), "")</f>
        <v/>
      </c>
      <c r="K792" s="16" t="n"/>
      <c r="L792" s="16" t="n"/>
      <c r="M792" s="17" t="n"/>
    </row>
    <row r="793">
      <c r="A793" s="14">
        <f>IFERROR(IF(INDEX(ERP資料!$B:$B, (MATCH(792, 輔助計算!$E$2:$E$801, 0)+1))="","",INDEX(ERP資料!$B:$B, (MATCH(792, 輔助計算!$E$2:$E$801, 0)+1))), "")</f>
        <v/>
      </c>
      <c r="B793" s="10">
        <f>IFERROR(IF(INDEX(ERP資料!$A:$A, (MATCH(792, 輔助計算!$E$2:$E$801, 0)+1))="","",INDEX(ERP資料!$A:$A, (MATCH(792, 輔助計算!$E$2:$E$801, 0)+1))), "")</f>
        <v/>
      </c>
      <c r="C793" s="10">
        <f>IFERROR(IF(INDEX(ERP資料!$S:$S, (MATCH(792, 輔助計算!$E$2:$E$801, 0)+1))="","",INDEX(ERP資料!$S:$S, (MATCH(792, 輔助計算!$E$2:$E$801, 0)+1))), "")</f>
        <v/>
      </c>
      <c r="D793" s="10">
        <f>IFERROR(IF(INDEX(ERP資料!$E:$E, (MATCH(792, 輔助計算!$E$2:$E$801, 0)+1))="","",TRIM(INDEX(ERP資料!$E:$E, (MATCH(792, 輔助計算!$E$2:$E$801, 0)+1)))), "")</f>
        <v/>
      </c>
      <c r="E793" s="10">
        <f>IFERROR(IF(INDEX(ERP資料!$F:$F, (MATCH(792, 輔助計算!$E$2:$E$801, 0)+1))="","",INDEX(ERP資料!$F:$F, (MATCH(792, 輔助計算!$E$2:$E$801, 0)+1))), "")</f>
        <v/>
      </c>
      <c r="F793" s="10">
        <f>IFERROR(IF(INDEX(ERP資料!$G:$G, (MATCH(792, 輔助計算!$E$2:$E$801, 0)+1))="","",INDEX(ERP資料!$G:$G, (MATCH(792, 輔助計算!$E$2:$E$801, 0)+1))), "")</f>
        <v/>
      </c>
      <c r="G793" s="10">
        <f>IFERROR(IF(INDEX(ERP資料!$H:$H, (MATCH(792, 輔助計算!$E$2:$E$801, 0)+1))="","",INDEX(ERP資料!$H:$H, (MATCH(792, 輔助計算!$E$2:$E$801, 0)+1))), "")</f>
        <v/>
      </c>
      <c r="H793" s="15">
        <f>IFERROR(INDEX(輔助計算!$D:$D, (MATCH(792, 輔助計算!$E$2:$E$801, 0)+1)), "")</f>
        <v/>
      </c>
      <c r="I793" s="10">
        <f>IFERROR(IF(INDEX(ERP資料!$O:$O, (MATCH(792, 輔助計算!$E$2:$E$801, 0)+1))="","",INDEX(ERP資料!$O:$O, (MATCH(792, 輔助計算!$E$2:$E$801, 0)+1))), "")</f>
        <v/>
      </c>
      <c r="J793" s="15">
        <f>IFERROR(IF(INDEX(輔助計算!$D:$D,(MATCH(792, 輔助計算!$E$2:$E$801, 0)+1))="","",INDEX(輔助計算!$D:$D,(MATCH(792, 輔助計算!$E$2:$E$801, 0)+1))*INDEX(ERP資料!$O:$O,(MATCH(792, 輔助計算!$E$2:$E$801, 0)+1))), "")</f>
        <v/>
      </c>
      <c r="K793" s="16" t="n"/>
      <c r="L793" s="16" t="n"/>
      <c r="M793" s="17" t="n"/>
    </row>
    <row r="794">
      <c r="A794" s="14">
        <f>IFERROR(IF(INDEX(ERP資料!$B:$B, (MATCH(793, 輔助計算!$E$2:$E$801, 0)+1))="","",INDEX(ERP資料!$B:$B, (MATCH(793, 輔助計算!$E$2:$E$801, 0)+1))), "")</f>
        <v/>
      </c>
      <c r="B794" s="10">
        <f>IFERROR(IF(INDEX(ERP資料!$A:$A, (MATCH(793, 輔助計算!$E$2:$E$801, 0)+1))="","",INDEX(ERP資料!$A:$A, (MATCH(793, 輔助計算!$E$2:$E$801, 0)+1))), "")</f>
        <v/>
      </c>
      <c r="C794" s="10">
        <f>IFERROR(IF(INDEX(ERP資料!$S:$S, (MATCH(793, 輔助計算!$E$2:$E$801, 0)+1))="","",INDEX(ERP資料!$S:$S, (MATCH(793, 輔助計算!$E$2:$E$801, 0)+1))), "")</f>
        <v/>
      </c>
      <c r="D794" s="10">
        <f>IFERROR(IF(INDEX(ERP資料!$E:$E, (MATCH(793, 輔助計算!$E$2:$E$801, 0)+1))="","",TRIM(INDEX(ERP資料!$E:$E, (MATCH(793, 輔助計算!$E$2:$E$801, 0)+1)))), "")</f>
        <v/>
      </c>
      <c r="E794" s="10">
        <f>IFERROR(IF(INDEX(ERP資料!$F:$F, (MATCH(793, 輔助計算!$E$2:$E$801, 0)+1))="","",INDEX(ERP資料!$F:$F, (MATCH(793, 輔助計算!$E$2:$E$801, 0)+1))), "")</f>
        <v/>
      </c>
      <c r="F794" s="10">
        <f>IFERROR(IF(INDEX(ERP資料!$G:$G, (MATCH(793, 輔助計算!$E$2:$E$801, 0)+1))="","",INDEX(ERP資料!$G:$G, (MATCH(793, 輔助計算!$E$2:$E$801, 0)+1))), "")</f>
        <v/>
      </c>
      <c r="G794" s="10">
        <f>IFERROR(IF(INDEX(ERP資料!$H:$H, (MATCH(793, 輔助計算!$E$2:$E$801, 0)+1))="","",INDEX(ERP資料!$H:$H, (MATCH(793, 輔助計算!$E$2:$E$801, 0)+1))), "")</f>
        <v/>
      </c>
      <c r="H794" s="15">
        <f>IFERROR(INDEX(輔助計算!$D:$D, (MATCH(793, 輔助計算!$E$2:$E$801, 0)+1)), "")</f>
        <v/>
      </c>
      <c r="I794" s="10">
        <f>IFERROR(IF(INDEX(ERP資料!$O:$O, (MATCH(793, 輔助計算!$E$2:$E$801, 0)+1))="","",INDEX(ERP資料!$O:$O, (MATCH(793, 輔助計算!$E$2:$E$801, 0)+1))), "")</f>
        <v/>
      </c>
      <c r="J794" s="15">
        <f>IFERROR(IF(INDEX(輔助計算!$D:$D,(MATCH(793, 輔助計算!$E$2:$E$801, 0)+1))="","",INDEX(輔助計算!$D:$D,(MATCH(793, 輔助計算!$E$2:$E$801, 0)+1))*INDEX(ERP資料!$O:$O,(MATCH(793, 輔助計算!$E$2:$E$801, 0)+1))), "")</f>
        <v/>
      </c>
      <c r="K794" s="16" t="n"/>
      <c r="L794" s="16" t="n"/>
      <c r="M794" s="17" t="n"/>
    </row>
    <row r="795">
      <c r="A795" s="14">
        <f>IFERROR(IF(INDEX(ERP資料!$B:$B, (MATCH(794, 輔助計算!$E$2:$E$801, 0)+1))="","",INDEX(ERP資料!$B:$B, (MATCH(794, 輔助計算!$E$2:$E$801, 0)+1))), "")</f>
        <v/>
      </c>
      <c r="B795" s="10">
        <f>IFERROR(IF(INDEX(ERP資料!$A:$A, (MATCH(794, 輔助計算!$E$2:$E$801, 0)+1))="","",INDEX(ERP資料!$A:$A, (MATCH(794, 輔助計算!$E$2:$E$801, 0)+1))), "")</f>
        <v/>
      </c>
      <c r="C795" s="10">
        <f>IFERROR(IF(INDEX(ERP資料!$S:$S, (MATCH(794, 輔助計算!$E$2:$E$801, 0)+1))="","",INDEX(ERP資料!$S:$S, (MATCH(794, 輔助計算!$E$2:$E$801, 0)+1))), "")</f>
        <v/>
      </c>
      <c r="D795" s="10">
        <f>IFERROR(IF(INDEX(ERP資料!$E:$E, (MATCH(794, 輔助計算!$E$2:$E$801, 0)+1))="","",TRIM(INDEX(ERP資料!$E:$E, (MATCH(794, 輔助計算!$E$2:$E$801, 0)+1)))), "")</f>
        <v/>
      </c>
      <c r="E795" s="10">
        <f>IFERROR(IF(INDEX(ERP資料!$F:$F, (MATCH(794, 輔助計算!$E$2:$E$801, 0)+1))="","",INDEX(ERP資料!$F:$F, (MATCH(794, 輔助計算!$E$2:$E$801, 0)+1))), "")</f>
        <v/>
      </c>
      <c r="F795" s="10">
        <f>IFERROR(IF(INDEX(ERP資料!$G:$G, (MATCH(794, 輔助計算!$E$2:$E$801, 0)+1))="","",INDEX(ERP資料!$G:$G, (MATCH(794, 輔助計算!$E$2:$E$801, 0)+1))), "")</f>
        <v/>
      </c>
      <c r="G795" s="10">
        <f>IFERROR(IF(INDEX(ERP資料!$H:$H, (MATCH(794, 輔助計算!$E$2:$E$801, 0)+1))="","",INDEX(ERP資料!$H:$H, (MATCH(794, 輔助計算!$E$2:$E$801, 0)+1))), "")</f>
        <v/>
      </c>
      <c r="H795" s="15">
        <f>IFERROR(INDEX(輔助計算!$D:$D, (MATCH(794, 輔助計算!$E$2:$E$801, 0)+1)), "")</f>
        <v/>
      </c>
      <c r="I795" s="10">
        <f>IFERROR(IF(INDEX(ERP資料!$O:$O, (MATCH(794, 輔助計算!$E$2:$E$801, 0)+1))="","",INDEX(ERP資料!$O:$O, (MATCH(794, 輔助計算!$E$2:$E$801, 0)+1))), "")</f>
        <v/>
      </c>
      <c r="J795" s="15">
        <f>IFERROR(IF(INDEX(輔助計算!$D:$D,(MATCH(794, 輔助計算!$E$2:$E$801, 0)+1))="","",INDEX(輔助計算!$D:$D,(MATCH(794, 輔助計算!$E$2:$E$801, 0)+1))*INDEX(ERP資料!$O:$O,(MATCH(794, 輔助計算!$E$2:$E$801, 0)+1))), "")</f>
        <v/>
      </c>
      <c r="K795" s="16" t="n"/>
      <c r="L795" s="16" t="n"/>
      <c r="M795" s="17" t="n"/>
    </row>
    <row r="796">
      <c r="A796" s="14">
        <f>IFERROR(IF(INDEX(ERP資料!$B:$B, (MATCH(795, 輔助計算!$E$2:$E$801, 0)+1))="","",INDEX(ERP資料!$B:$B, (MATCH(795, 輔助計算!$E$2:$E$801, 0)+1))), "")</f>
        <v/>
      </c>
      <c r="B796" s="10">
        <f>IFERROR(IF(INDEX(ERP資料!$A:$A, (MATCH(795, 輔助計算!$E$2:$E$801, 0)+1))="","",INDEX(ERP資料!$A:$A, (MATCH(795, 輔助計算!$E$2:$E$801, 0)+1))), "")</f>
        <v/>
      </c>
      <c r="C796" s="10">
        <f>IFERROR(IF(INDEX(ERP資料!$S:$S, (MATCH(795, 輔助計算!$E$2:$E$801, 0)+1))="","",INDEX(ERP資料!$S:$S, (MATCH(795, 輔助計算!$E$2:$E$801, 0)+1))), "")</f>
        <v/>
      </c>
      <c r="D796" s="10">
        <f>IFERROR(IF(INDEX(ERP資料!$E:$E, (MATCH(795, 輔助計算!$E$2:$E$801, 0)+1))="","",TRIM(INDEX(ERP資料!$E:$E, (MATCH(795, 輔助計算!$E$2:$E$801, 0)+1)))), "")</f>
        <v/>
      </c>
      <c r="E796" s="10">
        <f>IFERROR(IF(INDEX(ERP資料!$F:$F, (MATCH(795, 輔助計算!$E$2:$E$801, 0)+1))="","",INDEX(ERP資料!$F:$F, (MATCH(795, 輔助計算!$E$2:$E$801, 0)+1))), "")</f>
        <v/>
      </c>
      <c r="F796" s="10">
        <f>IFERROR(IF(INDEX(ERP資料!$G:$G, (MATCH(795, 輔助計算!$E$2:$E$801, 0)+1))="","",INDEX(ERP資料!$G:$G, (MATCH(795, 輔助計算!$E$2:$E$801, 0)+1))), "")</f>
        <v/>
      </c>
      <c r="G796" s="10">
        <f>IFERROR(IF(INDEX(ERP資料!$H:$H, (MATCH(795, 輔助計算!$E$2:$E$801, 0)+1))="","",INDEX(ERP資料!$H:$H, (MATCH(795, 輔助計算!$E$2:$E$801, 0)+1))), "")</f>
        <v/>
      </c>
      <c r="H796" s="15">
        <f>IFERROR(INDEX(輔助計算!$D:$D, (MATCH(795, 輔助計算!$E$2:$E$801, 0)+1)), "")</f>
        <v/>
      </c>
      <c r="I796" s="10">
        <f>IFERROR(IF(INDEX(ERP資料!$O:$O, (MATCH(795, 輔助計算!$E$2:$E$801, 0)+1))="","",INDEX(ERP資料!$O:$O, (MATCH(795, 輔助計算!$E$2:$E$801, 0)+1))), "")</f>
        <v/>
      </c>
      <c r="J796" s="15">
        <f>IFERROR(IF(INDEX(輔助計算!$D:$D,(MATCH(795, 輔助計算!$E$2:$E$801, 0)+1))="","",INDEX(輔助計算!$D:$D,(MATCH(795, 輔助計算!$E$2:$E$801, 0)+1))*INDEX(ERP資料!$O:$O,(MATCH(795, 輔助計算!$E$2:$E$801, 0)+1))), "")</f>
        <v/>
      </c>
      <c r="K796" s="16" t="n"/>
      <c r="L796" s="16" t="n"/>
      <c r="M796" s="17" t="n"/>
    </row>
    <row r="797">
      <c r="A797" s="14">
        <f>IFERROR(IF(INDEX(ERP資料!$B:$B, (MATCH(796, 輔助計算!$E$2:$E$801, 0)+1))="","",INDEX(ERP資料!$B:$B, (MATCH(796, 輔助計算!$E$2:$E$801, 0)+1))), "")</f>
        <v/>
      </c>
      <c r="B797" s="10">
        <f>IFERROR(IF(INDEX(ERP資料!$A:$A, (MATCH(796, 輔助計算!$E$2:$E$801, 0)+1))="","",INDEX(ERP資料!$A:$A, (MATCH(796, 輔助計算!$E$2:$E$801, 0)+1))), "")</f>
        <v/>
      </c>
      <c r="C797" s="10">
        <f>IFERROR(IF(INDEX(ERP資料!$S:$S, (MATCH(796, 輔助計算!$E$2:$E$801, 0)+1))="","",INDEX(ERP資料!$S:$S, (MATCH(796, 輔助計算!$E$2:$E$801, 0)+1))), "")</f>
        <v/>
      </c>
      <c r="D797" s="10">
        <f>IFERROR(IF(INDEX(ERP資料!$E:$E, (MATCH(796, 輔助計算!$E$2:$E$801, 0)+1))="","",TRIM(INDEX(ERP資料!$E:$E, (MATCH(796, 輔助計算!$E$2:$E$801, 0)+1)))), "")</f>
        <v/>
      </c>
      <c r="E797" s="10">
        <f>IFERROR(IF(INDEX(ERP資料!$F:$F, (MATCH(796, 輔助計算!$E$2:$E$801, 0)+1))="","",INDEX(ERP資料!$F:$F, (MATCH(796, 輔助計算!$E$2:$E$801, 0)+1))), "")</f>
        <v/>
      </c>
      <c r="F797" s="10">
        <f>IFERROR(IF(INDEX(ERP資料!$G:$G, (MATCH(796, 輔助計算!$E$2:$E$801, 0)+1))="","",INDEX(ERP資料!$G:$G, (MATCH(796, 輔助計算!$E$2:$E$801, 0)+1))), "")</f>
        <v/>
      </c>
      <c r="G797" s="10">
        <f>IFERROR(IF(INDEX(ERP資料!$H:$H, (MATCH(796, 輔助計算!$E$2:$E$801, 0)+1))="","",INDEX(ERP資料!$H:$H, (MATCH(796, 輔助計算!$E$2:$E$801, 0)+1))), "")</f>
        <v/>
      </c>
      <c r="H797" s="15">
        <f>IFERROR(INDEX(輔助計算!$D:$D, (MATCH(796, 輔助計算!$E$2:$E$801, 0)+1)), "")</f>
        <v/>
      </c>
      <c r="I797" s="10">
        <f>IFERROR(IF(INDEX(ERP資料!$O:$O, (MATCH(796, 輔助計算!$E$2:$E$801, 0)+1))="","",INDEX(ERP資料!$O:$O, (MATCH(796, 輔助計算!$E$2:$E$801, 0)+1))), "")</f>
        <v/>
      </c>
      <c r="J797" s="15">
        <f>IFERROR(IF(INDEX(輔助計算!$D:$D,(MATCH(796, 輔助計算!$E$2:$E$801, 0)+1))="","",INDEX(輔助計算!$D:$D,(MATCH(796, 輔助計算!$E$2:$E$801, 0)+1))*INDEX(ERP資料!$O:$O,(MATCH(796, 輔助計算!$E$2:$E$801, 0)+1))), "")</f>
        <v/>
      </c>
      <c r="K797" s="16" t="n"/>
      <c r="L797" s="16" t="n"/>
      <c r="M797" s="17" t="n"/>
    </row>
    <row r="798">
      <c r="A798" s="14">
        <f>IFERROR(IF(INDEX(ERP資料!$B:$B, (MATCH(797, 輔助計算!$E$2:$E$801, 0)+1))="","",INDEX(ERP資料!$B:$B, (MATCH(797, 輔助計算!$E$2:$E$801, 0)+1))), "")</f>
        <v/>
      </c>
      <c r="B798" s="10">
        <f>IFERROR(IF(INDEX(ERP資料!$A:$A, (MATCH(797, 輔助計算!$E$2:$E$801, 0)+1))="","",INDEX(ERP資料!$A:$A, (MATCH(797, 輔助計算!$E$2:$E$801, 0)+1))), "")</f>
        <v/>
      </c>
      <c r="C798" s="10">
        <f>IFERROR(IF(INDEX(ERP資料!$S:$S, (MATCH(797, 輔助計算!$E$2:$E$801, 0)+1))="","",INDEX(ERP資料!$S:$S, (MATCH(797, 輔助計算!$E$2:$E$801, 0)+1))), "")</f>
        <v/>
      </c>
      <c r="D798" s="10">
        <f>IFERROR(IF(INDEX(ERP資料!$E:$E, (MATCH(797, 輔助計算!$E$2:$E$801, 0)+1))="","",TRIM(INDEX(ERP資料!$E:$E, (MATCH(797, 輔助計算!$E$2:$E$801, 0)+1)))), "")</f>
        <v/>
      </c>
      <c r="E798" s="10">
        <f>IFERROR(IF(INDEX(ERP資料!$F:$F, (MATCH(797, 輔助計算!$E$2:$E$801, 0)+1))="","",INDEX(ERP資料!$F:$F, (MATCH(797, 輔助計算!$E$2:$E$801, 0)+1))), "")</f>
        <v/>
      </c>
      <c r="F798" s="10">
        <f>IFERROR(IF(INDEX(ERP資料!$G:$G, (MATCH(797, 輔助計算!$E$2:$E$801, 0)+1))="","",INDEX(ERP資料!$G:$G, (MATCH(797, 輔助計算!$E$2:$E$801, 0)+1))), "")</f>
        <v/>
      </c>
      <c r="G798" s="10">
        <f>IFERROR(IF(INDEX(ERP資料!$H:$H, (MATCH(797, 輔助計算!$E$2:$E$801, 0)+1))="","",INDEX(ERP資料!$H:$H, (MATCH(797, 輔助計算!$E$2:$E$801, 0)+1))), "")</f>
        <v/>
      </c>
      <c r="H798" s="15">
        <f>IFERROR(INDEX(輔助計算!$D:$D, (MATCH(797, 輔助計算!$E$2:$E$801, 0)+1)), "")</f>
        <v/>
      </c>
      <c r="I798" s="10">
        <f>IFERROR(IF(INDEX(ERP資料!$O:$O, (MATCH(797, 輔助計算!$E$2:$E$801, 0)+1))="","",INDEX(ERP資料!$O:$O, (MATCH(797, 輔助計算!$E$2:$E$801, 0)+1))), "")</f>
        <v/>
      </c>
      <c r="J798" s="15">
        <f>IFERROR(IF(INDEX(輔助計算!$D:$D,(MATCH(797, 輔助計算!$E$2:$E$801, 0)+1))="","",INDEX(輔助計算!$D:$D,(MATCH(797, 輔助計算!$E$2:$E$801, 0)+1))*INDEX(ERP資料!$O:$O,(MATCH(797, 輔助計算!$E$2:$E$801, 0)+1))), "")</f>
        <v/>
      </c>
      <c r="K798" s="16" t="n"/>
      <c r="L798" s="16" t="n"/>
      <c r="M798" s="17" t="n"/>
    </row>
    <row r="799">
      <c r="A799" s="14">
        <f>IFERROR(IF(INDEX(ERP資料!$B:$B, (MATCH(798, 輔助計算!$E$2:$E$801, 0)+1))="","",INDEX(ERP資料!$B:$B, (MATCH(798, 輔助計算!$E$2:$E$801, 0)+1))), "")</f>
        <v/>
      </c>
      <c r="B799" s="10">
        <f>IFERROR(IF(INDEX(ERP資料!$A:$A, (MATCH(798, 輔助計算!$E$2:$E$801, 0)+1))="","",INDEX(ERP資料!$A:$A, (MATCH(798, 輔助計算!$E$2:$E$801, 0)+1))), "")</f>
        <v/>
      </c>
      <c r="C799" s="10">
        <f>IFERROR(IF(INDEX(ERP資料!$S:$S, (MATCH(798, 輔助計算!$E$2:$E$801, 0)+1))="","",INDEX(ERP資料!$S:$S, (MATCH(798, 輔助計算!$E$2:$E$801, 0)+1))), "")</f>
        <v/>
      </c>
      <c r="D799" s="10">
        <f>IFERROR(IF(INDEX(ERP資料!$E:$E, (MATCH(798, 輔助計算!$E$2:$E$801, 0)+1))="","",TRIM(INDEX(ERP資料!$E:$E, (MATCH(798, 輔助計算!$E$2:$E$801, 0)+1)))), "")</f>
        <v/>
      </c>
      <c r="E799" s="10">
        <f>IFERROR(IF(INDEX(ERP資料!$F:$F, (MATCH(798, 輔助計算!$E$2:$E$801, 0)+1))="","",INDEX(ERP資料!$F:$F, (MATCH(798, 輔助計算!$E$2:$E$801, 0)+1))), "")</f>
        <v/>
      </c>
      <c r="F799" s="10">
        <f>IFERROR(IF(INDEX(ERP資料!$G:$G, (MATCH(798, 輔助計算!$E$2:$E$801, 0)+1))="","",INDEX(ERP資料!$G:$G, (MATCH(798, 輔助計算!$E$2:$E$801, 0)+1))), "")</f>
        <v/>
      </c>
      <c r="G799" s="10">
        <f>IFERROR(IF(INDEX(ERP資料!$H:$H, (MATCH(798, 輔助計算!$E$2:$E$801, 0)+1))="","",INDEX(ERP資料!$H:$H, (MATCH(798, 輔助計算!$E$2:$E$801, 0)+1))), "")</f>
        <v/>
      </c>
      <c r="H799" s="15">
        <f>IFERROR(INDEX(輔助計算!$D:$D, (MATCH(798, 輔助計算!$E$2:$E$801, 0)+1)), "")</f>
        <v/>
      </c>
      <c r="I799" s="10">
        <f>IFERROR(IF(INDEX(ERP資料!$O:$O, (MATCH(798, 輔助計算!$E$2:$E$801, 0)+1))="","",INDEX(ERP資料!$O:$O, (MATCH(798, 輔助計算!$E$2:$E$801, 0)+1))), "")</f>
        <v/>
      </c>
      <c r="J799" s="15">
        <f>IFERROR(IF(INDEX(輔助計算!$D:$D,(MATCH(798, 輔助計算!$E$2:$E$801, 0)+1))="","",INDEX(輔助計算!$D:$D,(MATCH(798, 輔助計算!$E$2:$E$801, 0)+1))*INDEX(ERP資料!$O:$O,(MATCH(798, 輔助計算!$E$2:$E$801, 0)+1))), "")</f>
        <v/>
      </c>
      <c r="K799" s="16" t="n"/>
      <c r="L799" s="16" t="n"/>
      <c r="M799" s="17" t="n"/>
    </row>
    <row r="800">
      <c r="A800" s="14">
        <f>IFERROR(IF(INDEX(ERP資料!$B:$B, (MATCH(799, 輔助計算!$E$2:$E$801, 0)+1))="","",INDEX(ERP資料!$B:$B, (MATCH(799, 輔助計算!$E$2:$E$801, 0)+1))), "")</f>
        <v/>
      </c>
      <c r="B800" s="10">
        <f>IFERROR(IF(INDEX(ERP資料!$A:$A, (MATCH(799, 輔助計算!$E$2:$E$801, 0)+1))="","",INDEX(ERP資料!$A:$A, (MATCH(799, 輔助計算!$E$2:$E$801, 0)+1))), "")</f>
        <v/>
      </c>
      <c r="C800" s="10">
        <f>IFERROR(IF(INDEX(ERP資料!$S:$S, (MATCH(799, 輔助計算!$E$2:$E$801, 0)+1))="","",INDEX(ERP資料!$S:$S, (MATCH(799, 輔助計算!$E$2:$E$801, 0)+1))), "")</f>
        <v/>
      </c>
      <c r="D800" s="10">
        <f>IFERROR(IF(INDEX(ERP資料!$E:$E, (MATCH(799, 輔助計算!$E$2:$E$801, 0)+1))="","",TRIM(INDEX(ERP資料!$E:$E, (MATCH(799, 輔助計算!$E$2:$E$801, 0)+1)))), "")</f>
        <v/>
      </c>
      <c r="E800" s="10">
        <f>IFERROR(IF(INDEX(ERP資料!$F:$F, (MATCH(799, 輔助計算!$E$2:$E$801, 0)+1))="","",INDEX(ERP資料!$F:$F, (MATCH(799, 輔助計算!$E$2:$E$801, 0)+1))), "")</f>
        <v/>
      </c>
      <c r="F800" s="10">
        <f>IFERROR(IF(INDEX(ERP資料!$G:$G, (MATCH(799, 輔助計算!$E$2:$E$801, 0)+1))="","",INDEX(ERP資料!$G:$G, (MATCH(799, 輔助計算!$E$2:$E$801, 0)+1))), "")</f>
        <v/>
      </c>
      <c r="G800" s="10">
        <f>IFERROR(IF(INDEX(ERP資料!$H:$H, (MATCH(799, 輔助計算!$E$2:$E$801, 0)+1))="","",INDEX(ERP資料!$H:$H, (MATCH(799, 輔助計算!$E$2:$E$801, 0)+1))), "")</f>
        <v/>
      </c>
      <c r="H800" s="15">
        <f>IFERROR(INDEX(輔助計算!$D:$D, (MATCH(799, 輔助計算!$E$2:$E$801, 0)+1)), "")</f>
        <v/>
      </c>
      <c r="I800" s="10">
        <f>IFERROR(IF(INDEX(ERP資料!$O:$O, (MATCH(799, 輔助計算!$E$2:$E$801, 0)+1))="","",INDEX(ERP資料!$O:$O, (MATCH(799, 輔助計算!$E$2:$E$801, 0)+1))), "")</f>
        <v/>
      </c>
      <c r="J800" s="15">
        <f>IFERROR(IF(INDEX(輔助計算!$D:$D,(MATCH(799, 輔助計算!$E$2:$E$801, 0)+1))="","",INDEX(輔助計算!$D:$D,(MATCH(799, 輔助計算!$E$2:$E$801, 0)+1))*INDEX(ERP資料!$O:$O,(MATCH(799, 輔助計算!$E$2:$E$801, 0)+1))), "")</f>
        <v/>
      </c>
      <c r="K800" s="16" t="n"/>
      <c r="L800" s="16" t="n"/>
      <c r="M800" s="17" t="n"/>
    </row>
    <row r="801">
      <c r="A801" s="14">
        <f>IFERROR(IF(INDEX(ERP資料!$B:$B, (MATCH(800, 輔助計算!$E$2:$E$801, 0)+1))="","",INDEX(ERP資料!$B:$B, (MATCH(800, 輔助計算!$E$2:$E$801, 0)+1))), "")</f>
        <v/>
      </c>
      <c r="B801" s="10">
        <f>IFERROR(IF(INDEX(ERP資料!$A:$A, (MATCH(800, 輔助計算!$E$2:$E$801, 0)+1))="","",INDEX(ERP資料!$A:$A, (MATCH(800, 輔助計算!$E$2:$E$801, 0)+1))), "")</f>
        <v/>
      </c>
      <c r="C801" s="10">
        <f>IFERROR(IF(INDEX(ERP資料!$S:$S, (MATCH(800, 輔助計算!$E$2:$E$801, 0)+1))="","",INDEX(ERP資料!$S:$S, (MATCH(800, 輔助計算!$E$2:$E$801, 0)+1))), "")</f>
        <v/>
      </c>
      <c r="D801" s="10">
        <f>IFERROR(IF(INDEX(ERP資料!$E:$E, (MATCH(800, 輔助計算!$E$2:$E$801, 0)+1))="","",TRIM(INDEX(ERP資料!$E:$E, (MATCH(800, 輔助計算!$E$2:$E$801, 0)+1)))), "")</f>
        <v/>
      </c>
      <c r="E801" s="10">
        <f>IFERROR(IF(INDEX(ERP資料!$F:$F, (MATCH(800, 輔助計算!$E$2:$E$801, 0)+1))="","",INDEX(ERP資料!$F:$F, (MATCH(800, 輔助計算!$E$2:$E$801, 0)+1))), "")</f>
        <v/>
      </c>
      <c r="F801" s="10">
        <f>IFERROR(IF(INDEX(ERP資料!$G:$G, (MATCH(800, 輔助計算!$E$2:$E$801, 0)+1))="","",INDEX(ERP資料!$G:$G, (MATCH(800, 輔助計算!$E$2:$E$801, 0)+1))), "")</f>
        <v/>
      </c>
      <c r="G801" s="10">
        <f>IFERROR(IF(INDEX(ERP資料!$H:$H, (MATCH(800, 輔助計算!$E$2:$E$801, 0)+1))="","",INDEX(ERP資料!$H:$H, (MATCH(800, 輔助計算!$E$2:$E$801, 0)+1))), "")</f>
        <v/>
      </c>
      <c r="H801" s="15">
        <f>IFERROR(INDEX(輔助計算!$D:$D, (MATCH(800, 輔助計算!$E$2:$E$801, 0)+1)), "")</f>
        <v/>
      </c>
      <c r="I801" s="10">
        <f>IFERROR(IF(INDEX(ERP資料!$O:$O, (MATCH(800, 輔助計算!$E$2:$E$801, 0)+1))="","",INDEX(ERP資料!$O:$O, (MATCH(800, 輔助計算!$E$2:$E$801, 0)+1))), "")</f>
        <v/>
      </c>
      <c r="J801" s="15">
        <f>IFERROR(IF(INDEX(輔助計算!$D:$D,(MATCH(800, 輔助計算!$E$2:$E$801, 0)+1))="","",INDEX(輔助計算!$D:$D,(MATCH(800, 輔助計算!$E$2:$E$801, 0)+1))*INDEX(ERP資料!$O:$O,(MATCH(800, 輔助計算!$E$2:$E$801, 0)+1))), "")</f>
        <v/>
      </c>
      <c r="K801" s="16" t="n"/>
      <c r="L801" s="16" t="n"/>
      <c r="M801" s="17" t="n"/>
    </row>
    <row r="802">
      <c r="A802" s="14">
        <f>IFERROR(IF(INDEX(ERP資料!$B:$B, (MATCH(801, 輔助計算!$E$2:$E$801, 0)+1))="","",INDEX(ERP資料!$B:$B, (MATCH(801, 輔助計算!$E$2:$E$801, 0)+1))), "")</f>
        <v/>
      </c>
      <c r="B802" s="10">
        <f>IFERROR(IF(INDEX(ERP資料!$A:$A, (MATCH(801, 輔助計算!$E$2:$E$801, 0)+1))="","",INDEX(ERP資料!$A:$A, (MATCH(801, 輔助計算!$E$2:$E$801, 0)+1))), "")</f>
        <v/>
      </c>
      <c r="C802" s="10">
        <f>IFERROR(IF(INDEX(ERP資料!$S:$S, (MATCH(801, 輔助計算!$E$2:$E$801, 0)+1))="","",INDEX(ERP資料!$S:$S, (MATCH(801, 輔助計算!$E$2:$E$801, 0)+1))), "")</f>
        <v/>
      </c>
      <c r="D802" s="10">
        <f>IFERROR(IF(INDEX(ERP資料!$E:$E, (MATCH(801, 輔助計算!$E$2:$E$801, 0)+1))="","",TRIM(INDEX(ERP資料!$E:$E, (MATCH(801, 輔助計算!$E$2:$E$801, 0)+1)))), "")</f>
        <v/>
      </c>
      <c r="E802" s="10">
        <f>IFERROR(IF(INDEX(ERP資料!$F:$F, (MATCH(801, 輔助計算!$E$2:$E$801, 0)+1))="","",INDEX(ERP資料!$F:$F, (MATCH(801, 輔助計算!$E$2:$E$801, 0)+1))), "")</f>
        <v/>
      </c>
      <c r="F802" s="10">
        <f>IFERROR(IF(INDEX(ERP資料!$G:$G, (MATCH(801, 輔助計算!$E$2:$E$801, 0)+1))="","",INDEX(ERP資料!$G:$G, (MATCH(801, 輔助計算!$E$2:$E$801, 0)+1))), "")</f>
        <v/>
      </c>
      <c r="G802" s="10">
        <f>IFERROR(IF(INDEX(ERP資料!$H:$H, (MATCH(801, 輔助計算!$E$2:$E$801, 0)+1))="","",INDEX(ERP資料!$H:$H, (MATCH(801, 輔助計算!$E$2:$E$801, 0)+1))), "")</f>
        <v/>
      </c>
      <c r="H802" s="15">
        <f>IFERROR(INDEX(輔助計算!$D:$D, (MATCH(801, 輔助計算!$E$2:$E$801, 0)+1)), "")</f>
        <v/>
      </c>
      <c r="I802" s="10">
        <f>IFERROR(IF(INDEX(ERP資料!$O:$O, (MATCH(801, 輔助計算!$E$2:$E$801, 0)+1))="","",INDEX(ERP資料!$O:$O, (MATCH(801, 輔助計算!$E$2:$E$801, 0)+1))), "")</f>
        <v/>
      </c>
      <c r="J802" s="15">
        <f>IFERROR(IF(INDEX(輔助計算!$D:$D,(MATCH(801, 輔助計算!$E$2:$E$801, 0)+1))="","",INDEX(輔助計算!$D:$D,(MATCH(801, 輔助計算!$E$2:$E$801, 0)+1))*INDEX(ERP資料!$O:$O,(MATCH(801, 輔助計算!$E$2:$E$801, 0)+1))), "")</f>
        <v/>
      </c>
      <c r="K802" s="16" t="n"/>
      <c r="L802" s="16" t="n"/>
      <c r="M802" s="17" t="n"/>
    </row>
    <row r="803">
      <c r="A803" s="14">
        <f>IFERROR(IF(INDEX(ERP資料!$B:$B, (MATCH(802, 輔助計算!$E$2:$E$801, 0)+1))="","",INDEX(ERP資料!$B:$B, (MATCH(802, 輔助計算!$E$2:$E$801, 0)+1))), "")</f>
        <v/>
      </c>
      <c r="B803" s="10">
        <f>IFERROR(IF(INDEX(ERP資料!$A:$A, (MATCH(802, 輔助計算!$E$2:$E$801, 0)+1))="","",INDEX(ERP資料!$A:$A, (MATCH(802, 輔助計算!$E$2:$E$801, 0)+1))), "")</f>
        <v/>
      </c>
      <c r="C803" s="10">
        <f>IFERROR(IF(INDEX(ERP資料!$S:$S, (MATCH(802, 輔助計算!$E$2:$E$801, 0)+1))="","",INDEX(ERP資料!$S:$S, (MATCH(802, 輔助計算!$E$2:$E$801, 0)+1))), "")</f>
        <v/>
      </c>
      <c r="D803" s="10">
        <f>IFERROR(IF(INDEX(ERP資料!$E:$E, (MATCH(802, 輔助計算!$E$2:$E$801, 0)+1))="","",TRIM(INDEX(ERP資料!$E:$E, (MATCH(802, 輔助計算!$E$2:$E$801, 0)+1)))), "")</f>
        <v/>
      </c>
      <c r="E803" s="10">
        <f>IFERROR(IF(INDEX(ERP資料!$F:$F, (MATCH(802, 輔助計算!$E$2:$E$801, 0)+1))="","",INDEX(ERP資料!$F:$F, (MATCH(802, 輔助計算!$E$2:$E$801, 0)+1))), "")</f>
        <v/>
      </c>
      <c r="F803" s="10">
        <f>IFERROR(IF(INDEX(ERP資料!$G:$G, (MATCH(802, 輔助計算!$E$2:$E$801, 0)+1))="","",INDEX(ERP資料!$G:$G, (MATCH(802, 輔助計算!$E$2:$E$801, 0)+1))), "")</f>
        <v/>
      </c>
      <c r="G803" s="10">
        <f>IFERROR(IF(INDEX(ERP資料!$H:$H, (MATCH(802, 輔助計算!$E$2:$E$801, 0)+1))="","",INDEX(ERP資料!$H:$H, (MATCH(802, 輔助計算!$E$2:$E$801, 0)+1))), "")</f>
        <v/>
      </c>
      <c r="H803" s="15">
        <f>IFERROR(INDEX(輔助計算!$D:$D, (MATCH(802, 輔助計算!$E$2:$E$801, 0)+1)), "")</f>
        <v/>
      </c>
      <c r="I803" s="10">
        <f>IFERROR(IF(INDEX(ERP資料!$O:$O, (MATCH(802, 輔助計算!$E$2:$E$801, 0)+1))="","",INDEX(ERP資料!$O:$O, (MATCH(802, 輔助計算!$E$2:$E$801, 0)+1))), "")</f>
        <v/>
      </c>
      <c r="J803" s="15">
        <f>IFERROR(IF(INDEX(輔助計算!$D:$D,(MATCH(802, 輔助計算!$E$2:$E$801, 0)+1))="","",INDEX(輔助計算!$D:$D,(MATCH(802, 輔助計算!$E$2:$E$801, 0)+1))*INDEX(ERP資料!$O:$O,(MATCH(802, 輔助計算!$E$2:$E$801, 0)+1))), "")</f>
        <v/>
      </c>
      <c r="K803" s="16" t="n"/>
      <c r="L803" s="16" t="n"/>
      <c r="M803" s="17" t="n"/>
    </row>
    <row r="804">
      <c r="A804" s="14">
        <f>IFERROR(IF(INDEX(ERP資料!$B:$B, (MATCH(803, 輔助計算!$E$2:$E$801, 0)+1))="","",INDEX(ERP資料!$B:$B, (MATCH(803, 輔助計算!$E$2:$E$801, 0)+1))), "")</f>
        <v/>
      </c>
      <c r="B804" s="10">
        <f>IFERROR(IF(INDEX(ERP資料!$A:$A, (MATCH(803, 輔助計算!$E$2:$E$801, 0)+1))="","",INDEX(ERP資料!$A:$A, (MATCH(803, 輔助計算!$E$2:$E$801, 0)+1))), "")</f>
        <v/>
      </c>
      <c r="C804" s="10">
        <f>IFERROR(IF(INDEX(ERP資料!$S:$S, (MATCH(803, 輔助計算!$E$2:$E$801, 0)+1))="","",INDEX(ERP資料!$S:$S, (MATCH(803, 輔助計算!$E$2:$E$801, 0)+1))), "")</f>
        <v/>
      </c>
      <c r="D804" s="10">
        <f>IFERROR(IF(INDEX(ERP資料!$E:$E, (MATCH(803, 輔助計算!$E$2:$E$801, 0)+1))="","",TRIM(INDEX(ERP資料!$E:$E, (MATCH(803, 輔助計算!$E$2:$E$801, 0)+1)))), "")</f>
        <v/>
      </c>
      <c r="E804" s="10">
        <f>IFERROR(IF(INDEX(ERP資料!$F:$F, (MATCH(803, 輔助計算!$E$2:$E$801, 0)+1))="","",INDEX(ERP資料!$F:$F, (MATCH(803, 輔助計算!$E$2:$E$801, 0)+1))), "")</f>
        <v/>
      </c>
      <c r="F804" s="10">
        <f>IFERROR(IF(INDEX(ERP資料!$G:$G, (MATCH(803, 輔助計算!$E$2:$E$801, 0)+1))="","",INDEX(ERP資料!$G:$G, (MATCH(803, 輔助計算!$E$2:$E$801, 0)+1))), "")</f>
        <v/>
      </c>
      <c r="G804" s="10">
        <f>IFERROR(IF(INDEX(ERP資料!$H:$H, (MATCH(803, 輔助計算!$E$2:$E$801, 0)+1))="","",INDEX(ERP資料!$H:$H, (MATCH(803, 輔助計算!$E$2:$E$801, 0)+1))), "")</f>
        <v/>
      </c>
      <c r="H804" s="15">
        <f>IFERROR(INDEX(輔助計算!$D:$D, (MATCH(803, 輔助計算!$E$2:$E$801, 0)+1)), "")</f>
        <v/>
      </c>
      <c r="I804" s="10">
        <f>IFERROR(IF(INDEX(ERP資料!$O:$O, (MATCH(803, 輔助計算!$E$2:$E$801, 0)+1))="","",INDEX(ERP資料!$O:$O, (MATCH(803, 輔助計算!$E$2:$E$801, 0)+1))), "")</f>
        <v/>
      </c>
      <c r="J804" s="15">
        <f>IFERROR(IF(INDEX(輔助計算!$D:$D,(MATCH(803, 輔助計算!$E$2:$E$801, 0)+1))="","",INDEX(輔助計算!$D:$D,(MATCH(803, 輔助計算!$E$2:$E$801, 0)+1))*INDEX(ERP資料!$O:$O,(MATCH(803, 輔助計算!$E$2:$E$801, 0)+1))), "")</f>
        <v/>
      </c>
      <c r="K804" s="16" t="n"/>
      <c r="L804" s="16" t="n"/>
      <c r="M804" s="17" t="n"/>
    </row>
    <row r="805">
      <c r="A805" s="14">
        <f>IFERROR(IF(INDEX(ERP資料!$B:$B, (MATCH(804, 輔助計算!$E$2:$E$801, 0)+1))="","",INDEX(ERP資料!$B:$B, (MATCH(804, 輔助計算!$E$2:$E$801, 0)+1))), "")</f>
        <v/>
      </c>
      <c r="B805" s="10">
        <f>IFERROR(IF(INDEX(ERP資料!$A:$A, (MATCH(804, 輔助計算!$E$2:$E$801, 0)+1))="","",INDEX(ERP資料!$A:$A, (MATCH(804, 輔助計算!$E$2:$E$801, 0)+1))), "")</f>
        <v/>
      </c>
      <c r="C805" s="10">
        <f>IFERROR(IF(INDEX(ERP資料!$S:$S, (MATCH(804, 輔助計算!$E$2:$E$801, 0)+1))="","",INDEX(ERP資料!$S:$S, (MATCH(804, 輔助計算!$E$2:$E$801, 0)+1))), "")</f>
        <v/>
      </c>
      <c r="D805" s="10">
        <f>IFERROR(IF(INDEX(ERP資料!$E:$E, (MATCH(804, 輔助計算!$E$2:$E$801, 0)+1))="","",TRIM(INDEX(ERP資料!$E:$E, (MATCH(804, 輔助計算!$E$2:$E$801, 0)+1)))), "")</f>
        <v/>
      </c>
      <c r="E805" s="10">
        <f>IFERROR(IF(INDEX(ERP資料!$F:$F, (MATCH(804, 輔助計算!$E$2:$E$801, 0)+1))="","",INDEX(ERP資料!$F:$F, (MATCH(804, 輔助計算!$E$2:$E$801, 0)+1))), "")</f>
        <v/>
      </c>
      <c r="F805" s="10">
        <f>IFERROR(IF(INDEX(ERP資料!$G:$G, (MATCH(804, 輔助計算!$E$2:$E$801, 0)+1))="","",INDEX(ERP資料!$G:$G, (MATCH(804, 輔助計算!$E$2:$E$801, 0)+1))), "")</f>
        <v/>
      </c>
      <c r="G805" s="10">
        <f>IFERROR(IF(INDEX(ERP資料!$H:$H, (MATCH(804, 輔助計算!$E$2:$E$801, 0)+1))="","",INDEX(ERP資料!$H:$H, (MATCH(804, 輔助計算!$E$2:$E$801, 0)+1))), "")</f>
        <v/>
      </c>
      <c r="H805" s="15">
        <f>IFERROR(INDEX(輔助計算!$D:$D, (MATCH(804, 輔助計算!$E$2:$E$801, 0)+1)), "")</f>
        <v/>
      </c>
      <c r="I805" s="10">
        <f>IFERROR(IF(INDEX(ERP資料!$O:$O, (MATCH(804, 輔助計算!$E$2:$E$801, 0)+1))="","",INDEX(ERP資料!$O:$O, (MATCH(804, 輔助計算!$E$2:$E$801, 0)+1))), "")</f>
        <v/>
      </c>
      <c r="J805" s="15">
        <f>IFERROR(IF(INDEX(輔助計算!$D:$D,(MATCH(804, 輔助計算!$E$2:$E$801, 0)+1))="","",INDEX(輔助計算!$D:$D,(MATCH(804, 輔助計算!$E$2:$E$801, 0)+1))*INDEX(ERP資料!$O:$O,(MATCH(804, 輔助計算!$E$2:$E$801, 0)+1))), "")</f>
        <v/>
      </c>
      <c r="K805" s="16" t="n"/>
      <c r="L805" s="16" t="n"/>
      <c r="M805" s="17" t="n"/>
    </row>
    <row r="806">
      <c r="A806" s="14">
        <f>IFERROR(IF(INDEX(ERP資料!$B:$B, (MATCH(805, 輔助計算!$E$2:$E$801, 0)+1))="","",INDEX(ERP資料!$B:$B, (MATCH(805, 輔助計算!$E$2:$E$801, 0)+1))), "")</f>
        <v/>
      </c>
      <c r="B806" s="10">
        <f>IFERROR(IF(INDEX(ERP資料!$A:$A, (MATCH(805, 輔助計算!$E$2:$E$801, 0)+1))="","",INDEX(ERP資料!$A:$A, (MATCH(805, 輔助計算!$E$2:$E$801, 0)+1))), "")</f>
        <v/>
      </c>
      <c r="C806" s="10">
        <f>IFERROR(IF(INDEX(ERP資料!$S:$S, (MATCH(805, 輔助計算!$E$2:$E$801, 0)+1))="","",INDEX(ERP資料!$S:$S, (MATCH(805, 輔助計算!$E$2:$E$801, 0)+1))), "")</f>
        <v/>
      </c>
      <c r="D806" s="10">
        <f>IFERROR(IF(INDEX(ERP資料!$E:$E, (MATCH(805, 輔助計算!$E$2:$E$801, 0)+1))="","",TRIM(INDEX(ERP資料!$E:$E, (MATCH(805, 輔助計算!$E$2:$E$801, 0)+1)))), "")</f>
        <v/>
      </c>
      <c r="E806" s="10">
        <f>IFERROR(IF(INDEX(ERP資料!$F:$F, (MATCH(805, 輔助計算!$E$2:$E$801, 0)+1))="","",INDEX(ERP資料!$F:$F, (MATCH(805, 輔助計算!$E$2:$E$801, 0)+1))), "")</f>
        <v/>
      </c>
      <c r="F806" s="10">
        <f>IFERROR(IF(INDEX(ERP資料!$G:$G, (MATCH(805, 輔助計算!$E$2:$E$801, 0)+1))="","",INDEX(ERP資料!$G:$G, (MATCH(805, 輔助計算!$E$2:$E$801, 0)+1))), "")</f>
        <v/>
      </c>
      <c r="G806" s="10">
        <f>IFERROR(IF(INDEX(ERP資料!$H:$H, (MATCH(805, 輔助計算!$E$2:$E$801, 0)+1))="","",INDEX(ERP資料!$H:$H, (MATCH(805, 輔助計算!$E$2:$E$801, 0)+1))), "")</f>
        <v/>
      </c>
      <c r="H806" s="15">
        <f>IFERROR(INDEX(輔助計算!$D:$D, (MATCH(805, 輔助計算!$E$2:$E$801, 0)+1)), "")</f>
        <v/>
      </c>
      <c r="I806" s="10">
        <f>IFERROR(IF(INDEX(ERP資料!$O:$O, (MATCH(805, 輔助計算!$E$2:$E$801, 0)+1))="","",INDEX(ERP資料!$O:$O, (MATCH(805, 輔助計算!$E$2:$E$801, 0)+1))), "")</f>
        <v/>
      </c>
      <c r="J806" s="15">
        <f>IFERROR(IF(INDEX(輔助計算!$D:$D,(MATCH(805, 輔助計算!$E$2:$E$801, 0)+1))="","",INDEX(輔助計算!$D:$D,(MATCH(805, 輔助計算!$E$2:$E$801, 0)+1))*INDEX(ERP資料!$O:$O,(MATCH(805, 輔助計算!$E$2:$E$801, 0)+1))), "")</f>
        <v/>
      </c>
      <c r="K806" s="16" t="n"/>
      <c r="L806" s="16" t="n"/>
      <c r="M806" s="17" t="n"/>
    </row>
    <row r="807">
      <c r="A807" s="14">
        <f>IFERROR(IF(INDEX(ERP資料!$B:$B, (MATCH(806, 輔助計算!$E$2:$E$801, 0)+1))="","",INDEX(ERP資料!$B:$B, (MATCH(806, 輔助計算!$E$2:$E$801, 0)+1))), "")</f>
        <v/>
      </c>
      <c r="B807" s="10">
        <f>IFERROR(IF(INDEX(ERP資料!$A:$A, (MATCH(806, 輔助計算!$E$2:$E$801, 0)+1))="","",INDEX(ERP資料!$A:$A, (MATCH(806, 輔助計算!$E$2:$E$801, 0)+1))), "")</f>
        <v/>
      </c>
      <c r="C807" s="10">
        <f>IFERROR(IF(INDEX(ERP資料!$S:$S, (MATCH(806, 輔助計算!$E$2:$E$801, 0)+1))="","",INDEX(ERP資料!$S:$S, (MATCH(806, 輔助計算!$E$2:$E$801, 0)+1))), "")</f>
        <v/>
      </c>
      <c r="D807" s="10">
        <f>IFERROR(IF(INDEX(ERP資料!$E:$E, (MATCH(806, 輔助計算!$E$2:$E$801, 0)+1))="","",TRIM(INDEX(ERP資料!$E:$E, (MATCH(806, 輔助計算!$E$2:$E$801, 0)+1)))), "")</f>
        <v/>
      </c>
      <c r="E807" s="10">
        <f>IFERROR(IF(INDEX(ERP資料!$F:$F, (MATCH(806, 輔助計算!$E$2:$E$801, 0)+1))="","",INDEX(ERP資料!$F:$F, (MATCH(806, 輔助計算!$E$2:$E$801, 0)+1))), "")</f>
        <v/>
      </c>
      <c r="F807" s="10">
        <f>IFERROR(IF(INDEX(ERP資料!$G:$G, (MATCH(806, 輔助計算!$E$2:$E$801, 0)+1))="","",INDEX(ERP資料!$G:$G, (MATCH(806, 輔助計算!$E$2:$E$801, 0)+1))), "")</f>
        <v/>
      </c>
      <c r="G807" s="10">
        <f>IFERROR(IF(INDEX(ERP資料!$H:$H, (MATCH(806, 輔助計算!$E$2:$E$801, 0)+1))="","",INDEX(ERP資料!$H:$H, (MATCH(806, 輔助計算!$E$2:$E$801, 0)+1))), "")</f>
        <v/>
      </c>
      <c r="H807" s="15">
        <f>IFERROR(INDEX(輔助計算!$D:$D, (MATCH(806, 輔助計算!$E$2:$E$801, 0)+1)), "")</f>
        <v/>
      </c>
      <c r="I807" s="10">
        <f>IFERROR(IF(INDEX(ERP資料!$O:$O, (MATCH(806, 輔助計算!$E$2:$E$801, 0)+1))="","",INDEX(ERP資料!$O:$O, (MATCH(806, 輔助計算!$E$2:$E$801, 0)+1))), "")</f>
        <v/>
      </c>
      <c r="J807" s="15">
        <f>IFERROR(IF(INDEX(輔助計算!$D:$D,(MATCH(806, 輔助計算!$E$2:$E$801, 0)+1))="","",INDEX(輔助計算!$D:$D,(MATCH(806, 輔助計算!$E$2:$E$801, 0)+1))*INDEX(ERP資料!$O:$O,(MATCH(806, 輔助計算!$E$2:$E$801, 0)+1))), "")</f>
        <v/>
      </c>
      <c r="K807" s="16" t="n"/>
      <c r="L807" s="16" t="n"/>
      <c r="M807" s="17" t="n"/>
    </row>
    <row r="808">
      <c r="A808" s="14">
        <f>IFERROR(IF(INDEX(ERP資料!$B:$B, (MATCH(807, 輔助計算!$E$2:$E$801, 0)+1))="","",INDEX(ERP資料!$B:$B, (MATCH(807, 輔助計算!$E$2:$E$801, 0)+1))), "")</f>
        <v/>
      </c>
      <c r="B808" s="10">
        <f>IFERROR(IF(INDEX(ERP資料!$A:$A, (MATCH(807, 輔助計算!$E$2:$E$801, 0)+1))="","",INDEX(ERP資料!$A:$A, (MATCH(807, 輔助計算!$E$2:$E$801, 0)+1))), "")</f>
        <v/>
      </c>
      <c r="C808" s="10">
        <f>IFERROR(IF(INDEX(ERP資料!$S:$S, (MATCH(807, 輔助計算!$E$2:$E$801, 0)+1))="","",INDEX(ERP資料!$S:$S, (MATCH(807, 輔助計算!$E$2:$E$801, 0)+1))), "")</f>
        <v/>
      </c>
      <c r="D808" s="10">
        <f>IFERROR(IF(INDEX(ERP資料!$E:$E, (MATCH(807, 輔助計算!$E$2:$E$801, 0)+1))="","",TRIM(INDEX(ERP資料!$E:$E, (MATCH(807, 輔助計算!$E$2:$E$801, 0)+1)))), "")</f>
        <v/>
      </c>
      <c r="E808" s="10">
        <f>IFERROR(IF(INDEX(ERP資料!$F:$F, (MATCH(807, 輔助計算!$E$2:$E$801, 0)+1))="","",INDEX(ERP資料!$F:$F, (MATCH(807, 輔助計算!$E$2:$E$801, 0)+1))), "")</f>
        <v/>
      </c>
      <c r="F808" s="10">
        <f>IFERROR(IF(INDEX(ERP資料!$G:$G, (MATCH(807, 輔助計算!$E$2:$E$801, 0)+1))="","",INDEX(ERP資料!$G:$G, (MATCH(807, 輔助計算!$E$2:$E$801, 0)+1))), "")</f>
        <v/>
      </c>
      <c r="G808" s="10">
        <f>IFERROR(IF(INDEX(ERP資料!$H:$H, (MATCH(807, 輔助計算!$E$2:$E$801, 0)+1))="","",INDEX(ERP資料!$H:$H, (MATCH(807, 輔助計算!$E$2:$E$801, 0)+1))), "")</f>
        <v/>
      </c>
      <c r="H808" s="15">
        <f>IFERROR(INDEX(輔助計算!$D:$D, (MATCH(807, 輔助計算!$E$2:$E$801, 0)+1)), "")</f>
        <v/>
      </c>
      <c r="I808" s="10">
        <f>IFERROR(IF(INDEX(ERP資料!$O:$O, (MATCH(807, 輔助計算!$E$2:$E$801, 0)+1))="","",INDEX(ERP資料!$O:$O, (MATCH(807, 輔助計算!$E$2:$E$801, 0)+1))), "")</f>
        <v/>
      </c>
      <c r="J808" s="15">
        <f>IFERROR(IF(INDEX(輔助計算!$D:$D,(MATCH(807, 輔助計算!$E$2:$E$801, 0)+1))="","",INDEX(輔助計算!$D:$D,(MATCH(807, 輔助計算!$E$2:$E$801, 0)+1))*INDEX(ERP資料!$O:$O,(MATCH(807, 輔助計算!$E$2:$E$801, 0)+1))), "")</f>
        <v/>
      </c>
      <c r="K808" s="16" t="n"/>
      <c r="L808" s="16" t="n"/>
      <c r="M808" s="17" t="n"/>
    </row>
    <row r="809">
      <c r="A809" s="14">
        <f>IFERROR(IF(INDEX(ERP資料!$B:$B, (MATCH(808, 輔助計算!$E$2:$E$801, 0)+1))="","",INDEX(ERP資料!$B:$B, (MATCH(808, 輔助計算!$E$2:$E$801, 0)+1))), "")</f>
        <v/>
      </c>
      <c r="B809" s="10">
        <f>IFERROR(IF(INDEX(ERP資料!$A:$A, (MATCH(808, 輔助計算!$E$2:$E$801, 0)+1))="","",INDEX(ERP資料!$A:$A, (MATCH(808, 輔助計算!$E$2:$E$801, 0)+1))), "")</f>
        <v/>
      </c>
      <c r="C809" s="10">
        <f>IFERROR(IF(INDEX(ERP資料!$S:$S, (MATCH(808, 輔助計算!$E$2:$E$801, 0)+1))="","",INDEX(ERP資料!$S:$S, (MATCH(808, 輔助計算!$E$2:$E$801, 0)+1))), "")</f>
        <v/>
      </c>
      <c r="D809" s="10">
        <f>IFERROR(IF(INDEX(ERP資料!$E:$E, (MATCH(808, 輔助計算!$E$2:$E$801, 0)+1))="","",TRIM(INDEX(ERP資料!$E:$E, (MATCH(808, 輔助計算!$E$2:$E$801, 0)+1)))), "")</f>
        <v/>
      </c>
      <c r="E809" s="10">
        <f>IFERROR(IF(INDEX(ERP資料!$F:$F, (MATCH(808, 輔助計算!$E$2:$E$801, 0)+1))="","",INDEX(ERP資料!$F:$F, (MATCH(808, 輔助計算!$E$2:$E$801, 0)+1))), "")</f>
        <v/>
      </c>
      <c r="F809" s="10">
        <f>IFERROR(IF(INDEX(ERP資料!$G:$G, (MATCH(808, 輔助計算!$E$2:$E$801, 0)+1))="","",INDEX(ERP資料!$G:$G, (MATCH(808, 輔助計算!$E$2:$E$801, 0)+1))), "")</f>
        <v/>
      </c>
      <c r="G809" s="10">
        <f>IFERROR(IF(INDEX(ERP資料!$H:$H, (MATCH(808, 輔助計算!$E$2:$E$801, 0)+1))="","",INDEX(ERP資料!$H:$H, (MATCH(808, 輔助計算!$E$2:$E$801, 0)+1))), "")</f>
        <v/>
      </c>
      <c r="H809" s="15">
        <f>IFERROR(INDEX(輔助計算!$D:$D, (MATCH(808, 輔助計算!$E$2:$E$801, 0)+1)), "")</f>
        <v/>
      </c>
      <c r="I809" s="10">
        <f>IFERROR(IF(INDEX(ERP資料!$O:$O, (MATCH(808, 輔助計算!$E$2:$E$801, 0)+1))="","",INDEX(ERP資料!$O:$O, (MATCH(808, 輔助計算!$E$2:$E$801, 0)+1))), "")</f>
        <v/>
      </c>
      <c r="J809" s="15">
        <f>IFERROR(IF(INDEX(輔助計算!$D:$D,(MATCH(808, 輔助計算!$E$2:$E$801, 0)+1))="","",INDEX(輔助計算!$D:$D,(MATCH(808, 輔助計算!$E$2:$E$801, 0)+1))*INDEX(ERP資料!$O:$O,(MATCH(808, 輔助計算!$E$2:$E$801, 0)+1))), "")</f>
        <v/>
      </c>
      <c r="K809" s="16" t="n"/>
      <c r="L809" s="16" t="n"/>
      <c r="M809" s="17" t="n"/>
    </row>
    <row r="810">
      <c r="A810" s="14">
        <f>IFERROR(IF(INDEX(ERP資料!$B:$B, (MATCH(809, 輔助計算!$E$2:$E$801, 0)+1))="","",INDEX(ERP資料!$B:$B, (MATCH(809, 輔助計算!$E$2:$E$801, 0)+1))), "")</f>
        <v/>
      </c>
      <c r="B810" s="10">
        <f>IFERROR(IF(INDEX(ERP資料!$A:$A, (MATCH(809, 輔助計算!$E$2:$E$801, 0)+1))="","",INDEX(ERP資料!$A:$A, (MATCH(809, 輔助計算!$E$2:$E$801, 0)+1))), "")</f>
        <v/>
      </c>
      <c r="C810" s="10">
        <f>IFERROR(IF(INDEX(ERP資料!$S:$S, (MATCH(809, 輔助計算!$E$2:$E$801, 0)+1))="","",INDEX(ERP資料!$S:$S, (MATCH(809, 輔助計算!$E$2:$E$801, 0)+1))), "")</f>
        <v/>
      </c>
      <c r="D810" s="10">
        <f>IFERROR(IF(INDEX(ERP資料!$E:$E, (MATCH(809, 輔助計算!$E$2:$E$801, 0)+1))="","",TRIM(INDEX(ERP資料!$E:$E, (MATCH(809, 輔助計算!$E$2:$E$801, 0)+1)))), "")</f>
        <v/>
      </c>
      <c r="E810" s="10">
        <f>IFERROR(IF(INDEX(ERP資料!$F:$F, (MATCH(809, 輔助計算!$E$2:$E$801, 0)+1))="","",INDEX(ERP資料!$F:$F, (MATCH(809, 輔助計算!$E$2:$E$801, 0)+1))), "")</f>
        <v/>
      </c>
      <c r="F810" s="10">
        <f>IFERROR(IF(INDEX(ERP資料!$G:$G, (MATCH(809, 輔助計算!$E$2:$E$801, 0)+1))="","",INDEX(ERP資料!$G:$G, (MATCH(809, 輔助計算!$E$2:$E$801, 0)+1))), "")</f>
        <v/>
      </c>
      <c r="G810" s="10">
        <f>IFERROR(IF(INDEX(ERP資料!$H:$H, (MATCH(809, 輔助計算!$E$2:$E$801, 0)+1))="","",INDEX(ERP資料!$H:$H, (MATCH(809, 輔助計算!$E$2:$E$801, 0)+1))), "")</f>
        <v/>
      </c>
      <c r="H810" s="15">
        <f>IFERROR(INDEX(輔助計算!$D:$D, (MATCH(809, 輔助計算!$E$2:$E$801, 0)+1)), "")</f>
        <v/>
      </c>
      <c r="I810" s="10">
        <f>IFERROR(IF(INDEX(ERP資料!$O:$O, (MATCH(809, 輔助計算!$E$2:$E$801, 0)+1))="","",INDEX(ERP資料!$O:$O, (MATCH(809, 輔助計算!$E$2:$E$801, 0)+1))), "")</f>
        <v/>
      </c>
      <c r="J810" s="15">
        <f>IFERROR(IF(INDEX(輔助計算!$D:$D,(MATCH(809, 輔助計算!$E$2:$E$801, 0)+1))="","",INDEX(輔助計算!$D:$D,(MATCH(809, 輔助計算!$E$2:$E$801, 0)+1))*INDEX(ERP資料!$O:$O,(MATCH(809, 輔助計算!$E$2:$E$801, 0)+1))), "")</f>
        <v/>
      </c>
      <c r="K810" s="16" t="n"/>
      <c r="L810" s="16" t="n"/>
      <c r="M810" s="17" t="n"/>
    </row>
    <row r="811">
      <c r="A811" s="14">
        <f>IFERROR(IF(INDEX(ERP資料!$B:$B, (MATCH(810, 輔助計算!$E$2:$E$801, 0)+1))="","",INDEX(ERP資料!$B:$B, (MATCH(810, 輔助計算!$E$2:$E$801, 0)+1))), "")</f>
        <v/>
      </c>
      <c r="B811" s="10">
        <f>IFERROR(IF(INDEX(ERP資料!$A:$A, (MATCH(810, 輔助計算!$E$2:$E$801, 0)+1))="","",INDEX(ERP資料!$A:$A, (MATCH(810, 輔助計算!$E$2:$E$801, 0)+1))), "")</f>
        <v/>
      </c>
      <c r="C811" s="10">
        <f>IFERROR(IF(INDEX(ERP資料!$S:$S, (MATCH(810, 輔助計算!$E$2:$E$801, 0)+1))="","",INDEX(ERP資料!$S:$S, (MATCH(810, 輔助計算!$E$2:$E$801, 0)+1))), "")</f>
        <v/>
      </c>
      <c r="D811" s="10">
        <f>IFERROR(IF(INDEX(ERP資料!$E:$E, (MATCH(810, 輔助計算!$E$2:$E$801, 0)+1))="","",TRIM(INDEX(ERP資料!$E:$E, (MATCH(810, 輔助計算!$E$2:$E$801, 0)+1)))), "")</f>
        <v/>
      </c>
      <c r="E811" s="10">
        <f>IFERROR(IF(INDEX(ERP資料!$F:$F, (MATCH(810, 輔助計算!$E$2:$E$801, 0)+1))="","",INDEX(ERP資料!$F:$F, (MATCH(810, 輔助計算!$E$2:$E$801, 0)+1))), "")</f>
        <v/>
      </c>
      <c r="F811" s="10">
        <f>IFERROR(IF(INDEX(ERP資料!$G:$G, (MATCH(810, 輔助計算!$E$2:$E$801, 0)+1))="","",INDEX(ERP資料!$G:$G, (MATCH(810, 輔助計算!$E$2:$E$801, 0)+1))), "")</f>
        <v/>
      </c>
      <c r="G811" s="10">
        <f>IFERROR(IF(INDEX(ERP資料!$H:$H, (MATCH(810, 輔助計算!$E$2:$E$801, 0)+1))="","",INDEX(ERP資料!$H:$H, (MATCH(810, 輔助計算!$E$2:$E$801, 0)+1))), "")</f>
        <v/>
      </c>
      <c r="H811" s="15">
        <f>IFERROR(INDEX(輔助計算!$D:$D, (MATCH(810, 輔助計算!$E$2:$E$801, 0)+1)), "")</f>
        <v/>
      </c>
      <c r="I811" s="10">
        <f>IFERROR(IF(INDEX(ERP資料!$O:$O, (MATCH(810, 輔助計算!$E$2:$E$801, 0)+1))="","",INDEX(ERP資料!$O:$O, (MATCH(810, 輔助計算!$E$2:$E$801, 0)+1))), "")</f>
        <v/>
      </c>
      <c r="J811" s="15">
        <f>IFERROR(IF(INDEX(輔助計算!$D:$D,(MATCH(810, 輔助計算!$E$2:$E$801, 0)+1))="","",INDEX(輔助計算!$D:$D,(MATCH(810, 輔助計算!$E$2:$E$801, 0)+1))*INDEX(ERP資料!$O:$O,(MATCH(810, 輔助計算!$E$2:$E$801, 0)+1))), "")</f>
        <v/>
      </c>
      <c r="K811" s="16" t="n"/>
      <c r="L811" s="16" t="n"/>
      <c r="M811" s="17" t="n"/>
    </row>
    <row r="812">
      <c r="A812" s="14">
        <f>IFERROR(IF(INDEX(ERP資料!$B:$B, (MATCH(811, 輔助計算!$E$2:$E$801, 0)+1))="","",INDEX(ERP資料!$B:$B, (MATCH(811, 輔助計算!$E$2:$E$801, 0)+1))), "")</f>
        <v/>
      </c>
      <c r="B812" s="10">
        <f>IFERROR(IF(INDEX(ERP資料!$A:$A, (MATCH(811, 輔助計算!$E$2:$E$801, 0)+1))="","",INDEX(ERP資料!$A:$A, (MATCH(811, 輔助計算!$E$2:$E$801, 0)+1))), "")</f>
        <v/>
      </c>
      <c r="C812" s="10">
        <f>IFERROR(IF(INDEX(ERP資料!$S:$S, (MATCH(811, 輔助計算!$E$2:$E$801, 0)+1))="","",INDEX(ERP資料!$S:$S, (MATCH(811, 輔助計算!$E$2:$E$801, 0)+1))), "")</f>
        <v/>
      </c>
      <c r="D812" s="10">
        <f>IFERROR(IF(INDEX(ERP資料!$E:$E, (MATCH(811, 輔助計算!$E$2:$E$801, 0)+1))="","",TRIM(INDEX(ERP資料!$E:$E, (MATCH(811, 輔助計算!$E$2:$E$801, 0)+1)))), "")</f>
        <v/>
      </c>
      <c r="E812" s="10">
        <f>IFERROR(IF(INDEX(ERP資料!$F:$F, (MATCH(811, 輔助計算!$E$2:$E$801, 0)+1))="","",INDEX(ERP資料!$F:$F, (MATCH(811, 輔助計算!$E$2:$E$801, 0)+1))), "")</f>
        <v/>
      </c>
      <c r="F812" s="10">
        <f>IFERROR(IF(INDEX(ERP資料!$G:$G, (MATCH(811, 輔助計算!$E$2:$E$801, 0)+1))="","",INDEX(ERP資料!$G:$G, (MATCH(811, 輔助計算!$E$2:$E$801, 0)+1))), "")</f>
        <v/>
      </c>
      <c r="G812" s="10">
        <f>IFERROR(IF(INDEX(ERP資料!$H:$H, (MATCH(811, 輔助計算!$E$2:$E$801, 0)+1))="","",INDEX(ERP資料!$H:$H, (MATCH(811, 輔助計算!$E$2:$E$801, 0)+1))), "")</f>
        <v/>
      </c>
      <c r="H812" s="15">
        <f>IFERROR(INDEX(輔助計算!$D:$D, (MATCH(811, 輔助計算!$E$2:$E$801, 0)+1)), "")</f>
        <v/>
      </c>
      <c r="I812" s="10">
        <f>IFERROR(IF(INDEX(ERP資料!$O:$O, (MATCH(811, 輔助計算!$E$2:$E$801, 0)+1))="","",INDEX(ERP資料!$O:$O, (MATCH(811, 輔助計算!$E$2:$E$801, 0)+1))), "")</f>
        <v/>
      </c>
      <c r="J812" s="15">
        <f>IFERROR(IF(INDEX(輔助計算!$D:$D,(MATCH(811, 輔助計算!$E$2:$E$801, 0)+1))="","",INDEX(輔助計算!$D:$D,(MATCH(811, 輔助計算!$E$2:$E$801, 0)+1))*INDEX(ERP資料!$O:$O,(MATCH(811, 輔助計算!$E$2:$E$801, 0)+1))), "")</f>
        <v/>
      </c>
      <c r="K812" s="16" t="n"/>
      <c r="L812" s="16" t="n"/>
      <c r="M812" s="17" t="n"/>
    </row>
    <row r="813">
      <c r="A813" s="14">
        <f>IFERROR(IF(INDEX(ERP資料!$B:$B, (MATCH(812, 輔助計算!$E$2:$E$801, 0)+1))="","",INDEX(ERP資料!$B:$B, (MATCH(812, 輔助計算!$E$2:$E$801, 0)+1))), "")</f>
        <v/>
      </c>
      <c r="B813" s="10">
        <f>IFERROR(IF(INDEX(ERP資料!$A:$A, (MATCH(812, 輔助計算!$E$2:$E$801, 0)+1))="","",INDEX(ERP資料!$A:$A, (MATCH(812, 輔助計算!$E$2:$E$801, 0)+1))), "")</f>
        <v/>
      </c>
      <c r="C813" s="10">
        <f>IFERROR(IF(INDEX(ERP資料!$S:$S, (MATCH(812, 輔助計算!$E$2:$E$801, 0)+1))="","",INDEX(ERP資料!$S:$S, (MATCH(812, 輔助計算!$E$2:$E$801, 0)+1))), "")</f>
        <v/>
      </c>
      <c r="D813" s="10">
        <f>IFERROR(IF(INDEX(ERP資料!$E:$E, (MATCH(812, 輔助計算!$E$2:$E$801, 0)+1))="","",TRIM(INDEX(ERP資料!$E:$E, (MATCH(812, 輔助計算!$E$2:$E$801, 0)+1)))), "")</f>
        <v/>
      </c>
      <c r="E813" s="10">
        <f>IFERROR(IF(INDEX(ERP資料!$F:$F, (MATCH(812, 輔助計算!$E$2:$E$801, 0)+1))="","",INDEX(ERP資料!$F:$F, (MATCH(812, 輔助計算!$E$2:$E$801, 0)+1))), "")</f>
        <v/>
      </c>
      <c r="F813" s="10">
        <f>IFERROR(IF(INDEX(ERP資料!$G:$G, (MATCH(812, 輔助計算!$E$2:$E$801, 0)+1))="","",INDEX(ERP資料!$G:$G, (MATCH(812, 輔助計算!$E$2:$E$801, 0)+1))), "")</f>
        <v/>
      </c>
      <c r="G813" s="10">
        <f>IFERROR(IF(INDEX(ERP資料!$H:$H, (MATCH(812, 輔助計算!$E$2:$E$801, 0)+1))="","",INDEX(ERP資料!$H:$H, (MATCH(812, 輔助計算!$E$2:$E$801, 0)+1))), "")</f>
        <v/>
      </c>
      <c r="H813" s="15">
        <f>IFERROR(INDEX(輔助計算!$D:$D, (MATCH(812, 輔助計算!$E$2:$E$801, 0)+1)), "")</f>
        <v/>
      </c>
      <c r="I813" s="10">
        <f>IFERROR(IF(INDEX(ERP資料!$O:$O, (MATCH(812, 輔助計算!$E$2:$E$801, 0)+1))="","",INDEX(ERP資料!$O:$O, (MATCH(812, 輔助計算!$E$2:$E$801, 0)+1))), "")</f>
        <v/>
      </c>
      <c r="J813" s="15">
        <f>IFERROR(IF(INDEX(輔助計算!$D:$D,(MATCH(812, 輔助計算!$E$2:$E$801, 0)+1))="","",INDEX(輔助計算!$D:$D,(MATCH(812, 輔助計算!$E$2:$E$801, 0)+1))*INDEX(ERP資料!$O:$O,(MATCH(812, 輔助計算!$E$2:$E$801, 0)+1))), "")</f>
        <v/>
      </c>
      <c r="K813" s="16" t="n"/>
      <c r="L813" s="16" t="n"/>
      <c r="M813" s="17" t="n"/>
    </row>
    <row r="814">
      <c r="A814" s="14">
        <f>IFERROR(IF(INDEX(ERP資料!$B:$B, (MATCH(813, 輔助計算!$E$2:$E$801, 0)+1))="","",INDEX(ERP資料!$B:$B, (MATCH(813, 輔助計算!$E$2:$E$801, 0)+1))), "")</f>
        <v/>
      </c>
      <c r="B814" s="10">
        <f>IFERROR(IF(INDEX(ERP資料!$A:$A, (MATCH(813, 輔助計算!$E$2:$E$801, 0)+1))="","",INDEX(ERP資料!$A:$A, (MATCH(813, 輔助計算!$E$2:$E$801, 0)+1))), "")</f>
        <v/>
      </c>
      <c r="C814" s="10">
        <f>IFERROR(IF(INDEX(ERP資料!$S:$S, (MATCH(813, 輔助計算!$E$2:$E$801, 0)+1))="","",INDEX(ERP資料!$S:$S, (MATCH(813, 輔助計算!$E$2:$E$801, 0)+1))), "")</f>
        <v/>
      </c>
      <c r="D814" s="10">
        <f>IFERROR(IF(INDEX(ERP資料!$E:$E, (MATCH(813, 輔助計算!$E$2:$E$801, 0)+1))="","",TRIM(INDEX(ERP資料!$E:$E, (MATCH(813, 輔助計算!$E$2:$E$801, 0)+1)))), "")</f>
        <v/>
      </c>
      <c r="E814" s="10">
        <f>IFERROR(IF(INDEX(ERP資料!$F:$F, (MATCH(813, 輔助計算!$E$2:$E$801, 0)+1))="","",INDEX(ERP資料!$F:$F, (MATCH(813, 輔助計算!$E$2:$E$801, 0)+1))), "")</f>
        <v/>
      </c>
      <c r="F814" s="10">
        <f>IFERROR(IF(INDEX(ERP資料!$G:$G, (MATCH(813, 輔助計算!$E$2:$E$801, 0)+1))="","",INDEX(ERP資料!$G:$G, (MATCH(813, 輔助計算!$E$2:$E$801, 0)+1))), "")</f>
        <v/>
      </c>
      <c r="G814" s="10">
        <f>IFERROR(IF(INDEX(ERP資料!$H:$H, (MATCH(813, 輔助計算!$E$2:$E$801, 0)+1))="","",INDEX(ERP資料!$H:$H, (MATCH(813, 輔助計算!$E$2:$E$801, 0)+1))), "")</f>
        <v/>
      </c>
      <c r="H814" s="15">
        <f>IFERROR(INDEX(輔助計算!$D:$D, (MATCH(813, 輔助計算!$E$2:$E$801, 0)+1)), "")</f>
        <v/>
      </c>
      <c r="I814" s="10">
        <f>IFERROR(IF(INDEX(ERP資料!$O:$O, (MATCH(813, 輔助計算!$E$2:$E$801, 0)+1))="","",INDEX(ERP資料!$O:$O, (MATCH(813, 輔助計算!$E$2:$E$801, 0)+1))), "")</f>
        <v/>
      </c>
      <c r="J814" s="15">
        <f>IFERROR(IF(INDEX(輔助計算!$D:$D,(MATCH(813, 輔助計算!$E$2:$E$801, 0)+1))="","",INDEX(輔助計算!$D:$D,(MATCH(813, 輔助計算!$E$2:$E$801, 0)+1))*INDEX(ERP資料!$O:$O,(MATCH(813, 輔助計算!$E$2:$E$801, 0)+1))), "")</f>
        <v/>
      </c>
      <c r="K814" s="16" t="n"/>
      <c r="L814" s="16" t="n"/>
      <c r="M814" s="17" t="n"/>
    </row>
    <row r="815">
      <c r="A815" s="14">
        <f>IFERROR(IF(INDEX(ERP資料!$B:$B, (MATCH(814, 輔助計算!$E$2:$E$801, 0)+1))="","",INDEX(ERP資料!$B:$B, (MATCH(814, 輔助計算!$E$2:$E$801, 0)+1))), "")</f>
        <v/>
      </c>
      <c r="B815" s="10">
        <f>IFERROR(IF(INDEX(ERP資料!$A:$A, (MATCH(814, 輔助計算!$E$2:$E$801, 0)+1))="","",INDEX(ERP資料!$A:$A, (MATCH(814, 輔助計算!$E$2:$E$801, 0)+1))), "")</f>
        <v/>
      </c>
      <c r="C815" s="10">
        <f>IFERROR(IF(INDEX(ERP資料!$S:$S, (MATCH(814, 輔助計算!$E$2:$E$801, 0)+1))="","",INDEX(ERP資料!$S:$S, (MATCH(814, 輔助計算!$E$2:$E$801, 0)+1))), "")</f>
        <v/>
      </c>
      <c r="D815" s="10">
        <f>IFERROR(IF(INDEX(ERP資料!$E:$E, (MATCH(814, 輔助計算!$E$2:$E$801, 0)+1))="","",TRIM(INDEX(ERP資料!$E:$E, (MATCH(814, 輔助計算!$E$2:$E$801, 0)+1)))), "")</f>
        <v/>
      </c>
      <c r="E815" s="10">
        <f>IFERROR(IF(INDEX(ERP資料!$F:$F, (MATCH(814, 輔助計算!$E$2:$E$801, 0)+1))="","",INDEX(ERP資料!$F:$F, (MATCH(814, 輔助計算!$E$2:$E$801, 0)+1))), "")</f>
        <v/>
      </c>
      <c r="F815" s="10">
        <f>IFERROR(IF(INDEX(ERP資料!$G:$G, (MATCH(814, 輔助計算!$E$2:$E$801, 0)+1))="","",INDEX(ERP資料!$G:$G, (MATCH(814, 輔助計算!$E$2:$E$801, 0)+1))), "")</f>
        <v/>
      </c>
      <c r="G815" s="10">
        <f>IFERROR(IF(INDEX(ERP資料!$H:$H, (MATCH(814, 輔助計算!$E$2:$E$801, 0)+1))="","",INDEX(ERP資料!$H:$H, (MATCH(814, 輔助計算!$E$2:$E$801, 0)+1))), "")</f>
        <v/>
      </c>
      <c r="H815" s="15">
        <f>IFERROR(INDEX(輔助計算!$D:$D, (MATCH(814, 輔助計算!$E$2:$E$801, 0)+1)), "")</f>
        <v/>
      </c>
      <c r="I815" s="10">
        <f>IFERROR(IF(INDEX(ERP資料!$O:$O, (MATCH(814, 輔助計算!$E$2:$E$801, 0)+1))="","",INDEX(ERP資料!$O:$O, (MATCH(814, 輔助計算!$E$2:$E$801, 0)+1))), "")</f>
        <v/>
      </c>
      <c r="J815" s="15">
        <f>IFERROR(IF(INDEX(輔助計算!$D:$D,(MATCH(814, 輔助計算!$E$2:$E$801, 0)+1))="","",INDEX(輔助計算!$D:$D,(MATCH(814, 輔助計算!$E$2:$E$801, 0)+1))*INDEX(ERP資料!$O:$O,(MATCH(814, 輔助計算!$E$2:$E$801, 0)+1))), "")</f>
        <v/>
      </c>
      <c r="K815" s="16" t="n"/>
      <c r="L815" s="16" t="n"/>
      <c r="M815" s="17" t="n"/>
    </row>
    <row r="816">
      <c r="A816" s="14">
        <f>IFERROR(IF(INDEX(ERP資料!$B:$B, (MATCH(815, 輔助計算!$E$2:$E$801, 0)+1))="","",INDEX(ERP資料!$B:$B, (MATCH(815, 輔助計算!$E$2:$E$801, 0)+1))), "")</f>
        <v/>
      </c>
      <c r="B816" s="10">
        <f>IFERROR(IF(INDEX(ERP資料!$A:$A, (MATCH(815, 輔助計算!$E$2:$E$801, 0)+1))="","",INDEX(ERP資料!$A:$A, (MATCH(815, 輔助計算!$E$2:$E$801, 0)+1))), "")</f>
        <v/>
      </c>
      <c r="C816" s="10">
        <f>IFERROR(IF(INDEX(ERP資料!$S:$S, (MATCH(815, 輔助計算!$E$2:$E$801, 0)+1))="","",INDEX(ERP資料!$S:$S, (MATCH(815, 輔助計算!$E$2:$E$801, 0)+1))), "")</f>
        <v/>
      </c>
      <c r="D816" s="10">
        <f>IFERROR(IF(INDEX(ERP資料!$E:$E, (MATCH(815, 輔助計算!$E$2:$E$801, 0)+1))="","",TRIM(INDEX(ERP資料!$E:$E, (MATCH(815, 輔助計算!$E$2:$E$801, 0)+1)))), "")</f>
        <v/>
      </c>
      <c r="E816" s="10">
        <f>IFERROR(IF(INDEX(ERP資料!$F:$F, (MATCH(815, 輔助計算!$E$2:$E$801, 0)+1))="","",INDEX(ERP資料!$F:$F, (MATCH(815, 輔助計算!$E$2:$E$801, 0)+1))), "")</f>
        <v/>
      </c>
      <c r="F816" s="10">
        <f>IFERROR(IF(INDEX(ERP資料!$G:$G, (MATCH(815, 輔助計算!$E$2:$E$801, 0)+1))="","",INDEX(ERP資料!$G:$G, (MATCH(815, 輔助計算!$E$2:$E$801, 0)+1))), "")</f>
        <v/>
      </c>
      <c r="G816" s="10">
        <f>IFERROR(IF(INDEX(ERP資料!$H:$H, (MATCH(815, 輔助計算!$E$2:$E$801, 0)+1))="","",INDEX(ERP資料!$H:$H, (MATCH(815, 輔助計算!$E$2:$E$801, 0)+1))), "")</f>
        <v/>
      </c>
      <c r="H816" s="15">
        <f>IFERROR(INDEX(輔助計算!$D:$D, (MATCH(815, 輔助計算!$E$2:$E$801, 0)+1)), "")</f>
        <v/>
      </c>
      <c r="I816" s="10">
        <f>IFERROR(IF(INDEX(ERP資料!$O:$O, (MATCH(815, 輔助計算!$E$2:$E$801, 0)+1))="","",INDEX(ERP資料!$O:$O, (MATCH(815, 輔助計算!$E$2:$E$801, 0)+1))), "")</f>
        <v/>
      </c>
      <c r="J816" s="15">
        <f>IFERROR(IF(INDEX(輔助計算!$D:$D,(MATCH(815, 輔助計算!$E$2:$E$801, 0)+1))="","",INDEX(輔助計算!$D:$D,(MATCH(815, 輔助計算!$E$2:$E$801, 0)+1))*INDEX(ERP資料!$O:$O,(MATCH(815, 輔助計算!$E$2:$E$801, 0)+1))), "")</f>
        <v/>
      </c>
      <c r="K816" s="16" t="n"/>
      <c r="L816" s="16" t="n"/>
      <c r="M816" s="17" t="n"/>
    </row>
    <row r="817">
      <c r="A817" s="14">
        <f>IFERROR(IF(INDEX(ERP資料!$B:$B, (MATCH(816, 輔助計算!$E$2:$E$801, 0)+1))="","",INDEX(ERP資料!$B:$B, (MATCH(816, 輔助計算!$E$2:$E$801, 0)+1))), "")</f>
        <v/>
      </c>
      <c r="B817" s="10">
        <f>IFERROR(IF(INDEX(ERP資料!$A:$A, (MATCH(816, 輔助計算!$E$2:$E$801, 0)+1))="","",INDEX(ERP資料!$A:$A, (MATCH(816, 輔助計算!$E$2:$E$801, 0)+1))), "")</f>
        <v/>
      </c>
      <c r="C817" s="10">
        <f>IFERROR(IF(INDEX(ERP資料!$S:$S, (MATCH(816, 輔助計算!$E$2:$E$801, 0)+1))="","",INDEX(ERP資料!$S:$S, (MATCH(816, 輔助計算!$E$2:$E$801, 0)+1))), "")</f>
        <v/>
      </c>
      <c r="D817" s="10">
        <f>IFERROR(IF(INDEX(ERP資料!$E:$E, (MATCH(816, 輔助計算!$E$2:$E$801, 0)+1))="","",TRIM(INDEX(ERP資料!$E:$E, (MATCH(816, 輔助計算!$E$2:$E$801, 0)+1)))), "")</f>
        <v/>
      </c>
      <c r="E817" s="10">
        <f>IFERROR(IF(INDEX(ERP資料!$F:$F, (MATCH(816, 輔助計算!$E$2:$E$801, 0)+1))="","",INDEX(ERP資料!$F:$F, (MATCH(816, 輔助計算!$E$2:$E$801, 0)+1))), "")</f>
        <v/>
      </c>
      <c r="F817" s="10">
        <f>IFERROR(IF(INDEX(ERP資料!$G:$G, (MATCH(816, 輔助計算!$E$2:$E$801, 0)+1))="","",INDEX(ERP資料!$G:$G, (MATCH(816, 輔助計算!$E$2:$E$801, 0)+1))), "")</f>
        <v/>
      </c>
      <c r="G817" s="10">
        <f>IFERROR(IF(INDEX(ERP資料!$H:$H, (MATCH(816, 輔助計算!$E$2:$E$801, 0)+1))="","",INDEX(ERP資料!$H:$H, (MATCH(816, 輔助計算!$E$2:$E$801, 0)+1))), "")</f>
        <v/>
      </c>
      <c r="H817" s="15">
        <f>IFERROR(INDEX(輔助計算!$D:$D, (MATCH(816, 輔助計算!$E$2:$E$801, 0)+1)), "")</f>
        <v/>
      </c>
      <c r="I817" s="10">
        <f>IFERROR(IF(INDEX(ERP資料!$O:$O, (MATCH(816, 輔助計算!$E$2:$E$801, 0)+1))="","",INDEX(ERP資料!$O:$O, (MATCH(816, 輔助計算!$E$2:$E$801, 0)+1))), "")</f>
        <v/>
      </c>
      <c r="J817" s="15">
        <f>IFERROR(IF(INDEX(輔助計算!$D:$D,(MATCH(816, 輔助計算!$E$2:$E$801, 0)+1))="","",INDEX(輔助計算!$D:$D,(MATCH(816, 輔助計算!$E$2:$E$801, 0)+1))*INDEX(ERP資料!$O:$O,(MATCH(816, 輔助計算!$E$2:$E$801, 0)+1))), "")</f>
        <v/>
      </c>
      <c r="K817" s="16" t="n"/>
      <c r="L817" s="16" t="n"/>
      <c r="M817" s="17" t="n"/>
    </row>
    <row r="818">
      <c r="A818" s="14">
        <f>IFERROR(IF(INDEX(ERP資料!$B:$B, (MATCH(817, 輔助計算!$E$2:$E$801, 0)+1))="","",INDEX(ERP資料!$B:$B, (MATCH(817, 輔助計算!$E$2:$E$801, 0)+1))), "")</f>
        <v/>
      </c>
      <c r="B818" s="10">
        <f>IFERROR(IF(INDEX(ERP資料!$A:$A, (MATCH(817, 輔助計算!$E$2:$E$801, 0)+1))="","",INDEX(ERP資料!$A:$A, (MATCH(817, 輔助計算!$E$2:$E$801, 0)+1))), "")</f>
        <v/>
      </c>
      <c r="C818" s="10">
        <f>IFERROR(IF(INDEX(ERP資料!$S:$S, (MATCH(817, 輔助計算!$E$2:$E$801, 0)+1))="","",INDEX(ERP資料!$S:$S, (MATCH(817, 輔助計算!$E$2:$E$801, 0)+1))), "")</f>
        <v/>
      </c>
      <c r="D818" s="10">
        <f>IFERROR(IF(INDEX(ERP資料!$E:$E, (MATCH(817, 輔助計算!$E$2:$E$801, 0)+1))="","",TRIM(INDEX(ERP資料!$E:$E, (MATCH(817, 輔助計算!$E$2:$E$801, 0)+1)))), "")</f>
        <v/>
      </c>
      <c r="E818" s="10">
        <f>IFERROR(IF(INDEX(ERP資料!$F:$F, (MATCH(817, 輔助計算!$E$2:$E$801, 0)+1))="","",INDEX(ERP資料!$F:$F, (MATCH(817, 輔助計算!$E$2:$E$801, 0)+1))), "")</f>
        <v/>
      </c>
      <c r="F818" s="10">
        <f>IFERROR(IF(INDEX(ERP資料!$G:$G, (MATCH(817, 輔助計算!$E$2:$E$801, 0)+1))="","",INDEX(ERP資料!$G:$G, (MATCH(817, 輔助計算!$E$2:$E$801, 0)+1))), "")</f>
        <v/>
      </c>
      <c r="G818" s="10">
        <f>IFERROR(IF(INDEX(ERP資料!$H:$H, (MATCH(817, 輔助計算!$E$2:$E$801, 0)+1))="","",INDEX(ERP資料!$H:$H, (MATCH(817, 輔助計算!$E$2:$E$801, 0)+1))), "")</f>
        <v/>
      </c>
      <c r="H818" s="15">
        <f>IFERROR(INDEX(輔助計算!$D:$D, (MATCH(817, 輔助計算!$E$2:$E$801, 0)+1)), "")</f>
        <v/>
      </c>
      <c r="I818" s="10">
        <f>IFERROR(IF(INDEX(ERP資料!$O:$O, (MATCH(817, 輔助計算!$E$2:$E$801, 0)+1))="","",INDEX(ERP資料!$O:$O, (MATCH(817, 輔助計算!$E$2:$E$801, 0)+1))), "")</f>
        <v/>
      </c>
      <c r="J818" s="15">
        <f>IFERROR(IF(INDEX(輔助計算!$D:$D,(MATCH(817, 輔助計算!$E$2:$E$801, 0)+1))="","",INDEX(輔助計算!$D:$D,(MATCH(817, 輔助計算!$E$2:$E$801, 0)+1))*INDEX(ERP資料!$O:$O,(MATCH(817, 輔助計算!$E$2:$E$801, 0)+1))), "")</f>
        <v/>
      </c>
      <c r="K818" s="16" t="n"/>
      <c r="L818" s="16" t="n"/>
      <c r="M818" s="17" t="n"/>
    </row>
    <row r="819">
      <c r="A819" s="14">
        <f>IFERROR(IF(INDEX(ERP資料!$B:$B, (MATCH(818, 輔助計算!$E$2:$E$801, 0)+1))="","",INDEX(ERP資料!$B:$B, (MATCH(818, 輔助計算!$E$2:$E$801, 0)+1))), "")</f>
        <v/>
      </c>
      <c r="B819" s="10">
        <f>IFERROR(IF(INDEX(ERP資料!$A:$A, (MATCH(818, 輔助計算!$E$2:$E$801, 0)+1))="","",INDEX(ERP資料!$A:$A, (MATCH(818, 輔助計算!$E$2:$E$801, 0)+1))), "")</f>
        <v/>
      </c>
      <c r="C819" s="10">
        <f>IFERROR(IF(INDEX(ERP資料!$S:$S, (MATCH(818, 輔助計算!$E$2:$E$801, 0)+1))="","",INDEX(ERP資料!$S:$S, (MATCH(818, 輔助計算!$E$2:$E$801, 0)+1))), "")</f>
        <v/>
      </c>
      <c r="D819" s="10">
        <f>IFERROR(IF(INDEX(ERP資料!$E:$E, (MATCH(818, 輔助計算!$E$2:$E$801, 0)+1))="","",TRIM(INDEX(ERP資料!$E:$E, (MATCH(818, 輔助計算!$E$2:$E$801, 0)+1)))), "")</f>
        <v/>
      </c>
      <c r="E819" s="10">
        <f>IFERROR(IF(INDEX(ERP資料!$F:$F, (MATCH(818, 輔助計算!$E$2:$E$801, 0)+1))="","",INDEX(ERP資料!$F:$F, (MATCH(818, 輔助計算!$E$2:$E$801, 0)+1))), "")</f>
        <v/>
      </c>
      <c r="F819" s="10">
        <f>IFERROR(IF(INDEX(ERP資料!$G:$G, (MATCH(818, 輔助計算!$E$2:$E$801, 0)+1))="","",INDEX(ERP資料!$G:$G, (MATCH(818, 輔助計算!$E$2:$E$801, 0)+1))), "")</f>
        <v/>
      </c>
      <c r="G819" s="10">
        <f>IFERROR(IF(INDEX(ERP資料!$H:$H, (MATCH(818, 輔助計算!$E$2:$E$801, 0)+1))="","",INDEX(ERP資料!$H:$H, (MATCH(818, 輔助計算!$E$2:$E$801, 0)+1))), "")</f>
        <v/>
      </c>
      <c r="H819" s="15">
        <f>IFERROR(INDEX(輔助計算!$D:$D, (MATCH(818, 輔助計算!$E$2:$E$801, 0)+1)), "")</f>
        <v/>
      </c>
      <c r="I819" s="10">
        <f>IFERROR(IF(INDEX(ERP資料!$O:$O, (MATCH(818, 輔助計算!$E$2:$E$801, 0)+1))="","",INDEX(ERP資料!$O:$O, (MATCH(818, 輔助計算!$E$2:$E$801, 0)+1))), "")</f>
        <v/>
      </c>
      <c r="J819" s="15">
        <f>IFERROR(IF(INDEX(輔助計算!$D:$D,(MATCH(818, 輔助計算!$E$2:$E$801, 0)+1))="","",INDEX(輔助計算!$D:$D,(MATCH(818, 輔助計算!$E$2:$E$801, 0)+1))*INDEX(ERP資料!$O:$O,(MATCH(818, 輔助計算!$E$2:$E$801, 0)+1))), "")</f>
        <v/>
      </c>
      <c r="K819" s="16" t="n"/>
      <c r="L819" s="16" t="n"/>
      <c r="M819" s="17" t="n"/>
    </row>
    <row r="820">
      <c r="A820" s="14">
        <f>IFERROR(IF(INDEX(ERP資料!$B:$B, (MATCH(819, 輔助計算!$E$2:$E$801, 0)+1))="","",INDEX(ERP資料!$B:$B, (MATCH(819, 輔助計算!$E$2:$E$801, 0)+1))), "")</f>
        <v/>
      </c>
      <c r="B820" s="10">
        <f>IFERROR(IF(INDEX(ERP資料!$A:$A, (MATCH(819, 輔助計算!$E$2:$E$801, 0)+1))="","",INDEX(ERP資料!$A:$A, (MATCH(819, 輔助計算!$E$2:$E$801, 0)+1))), "")</f>
        <v/>
      </c>
      <c r="C820" s="10">
        <f>IFERROR(IF(INDEX(ERP資料!$S:$S, (MATCH(819, 輔助計算!$E$2:$E$801, 0)+1))="","",INDEX(ERP資料!$S:$S, (MATCH(819, 輔助計算!$E$2:$E$801, 0)+1))), "")</f>
        <v/>
      </c>
      <c r="D820" s="10">
        <f>IFERROR(IF(INDEX(ERP資料!$E:$E, (MATCH(819, 輔助計算!$E$2:$E$801, 0)+1))="","",TRIM(INDEX(ERP資料!$E:$E, (MATCH(819, 輔助計算!$E$2:$E$801, 0)+1)))), "")</f>
        <v/>
      </c>
      <c r="E820" s="10">
        <f>IFERROR(IF(INDEX(ERP資料!$F:$F, (MATCH(819, 輔助計算!$E$2:$E$801, 0)+1))="","",INDEX(ERP資料!$F:$F, (MATCH(819, 輔助計算!$E$2:$E$801, 0)+1))), "")</f>
        <v/>
      </c>
      <c r="F820" s="10">
        <f>IFERROR(IF(INDEX(ERP資料!$G:$G, (MATCH(819, 輔助計算!$E$2:$E$801, 0)+1))="","",INDEX(ERP資料!$G:$G, (MATCH(819, 輔助計算!$E$2:$E$801, 0)+1))), "")</f>
        <v/>
      </c>
      <c r="G820" s="10">
        <f>IFERROR(IF(INDEX(ERP資料!$H:$H, (MATCH(819, 輔助計算!$E$2:$E$801, 0)+1))="","",INDEX(ERP資料!$H:$H, (MATCH(819, 輔助計算!$E$2:$E$801, 0)+1))), "")</f>
        <v/>
      </c>
      <c r="H820" s="15">
        <f>IFERROR(INDEX(輔助計算!$D:$D, (MATCH(819, 輔助計算!$E$2:$E$801, 0)+1)), "")</f>
        <v/>
      </c>
      <c r="I820" s="10">
        <f>IFERROR(IF(INDEX(ERP資料!$O:$O, (MATCH(819, 輔助計算!$E$2:$E$801, 0)+1))="","",INDEX(ERP資料!$O:$O, (MATCH(819, 輔助計算!$E$2:$E$801, 0)+1))), "")</f>
        <v/>
      </c>
      <c r="J820" s="15">
        <f>IFERROR(IF(INDEX(輔助計算!$D:$D,(MATCH(819, 輔助計算!$E$2:$E$801, 0)+1))="","",INDEX(輔助計算!$D:$D,(MATCH(819, 輔助計算!$E$2:$E$801, 0)+1))*INDEX(ERP資料!$O:$O,(MATCH(819, 輔助計算!$E$2:$E$801, 0)+1))), "")</f>
        <v/>
      </c>
      <c r="K820" s="16" t="n"/>
      <c r="L820" s="16" t="n"/>
      <c r="M820" s="17" t="n"/>
    </row>
    <row r="821">
      <c r="A821" s="14">
        <f>IFERROR(IF(INDEX(ERP資料!$B:$B, (MATCH(820, 輔助計算!$E$2:$E$801, 0)+1))="","",INDEX(ERP資料!$B:$B, (MATCH(820, 輔助計算!$E$2:$E$801, 0)+1))), "")</f>
        <v/>
      </c>
      <c r="B821" s="10">
        <f>IFERROR(IF(INDEX(ERP資料!$A:$A, (MATCH(820, 輔助計算!$E$2:$E$801, 0)+1))="","",INDEX(ERP資料!$A:$A, (MATCH(820, 輔助計算!$E$2:$E$801, 0)+1))), "")</f>
        <v/>
      </c>
      <c r="C821" s="10">
        <f>IFERROR(IF(INDEX(ERP資料!$S:$S, (MATCH(820, 輔助計算!$E$2:$E$801, 0)+1))="","",INDEX(ERP資料!$S:$S, (MATCH(820, 輔助計算!$E$2:$E$801, 0)+1))), "")</f>
        <v/>
      </c>
      <c r="D821" s="10">
        <f>IFERROR(IF(INDEX(ERP資料!$E:$E, (MATCH(820, 輔助計算!$E$2:$E$801, 0)+1))="","",TRIM(INDEX(ERP資料!$E:$E, (MATCH(820, 輔助計算!$E$2:$E$801, 0)+1)))), "")</f>
        <v/>
      </c>
      <c r="E821" s="10">
        <f>IFERROR(IF(INDEX(ERP資料!$F:$F, (MATCH(820, 輔助計算!$E$2:$E$801, 0)+1))="","",INDEX(ERP資料!$F:$F, (MATCH(820, 輔助計算!$E$2:$E$801, 0)+1))), "")</f>
        <v/>
      </c>
      <c r="F821" s="10">
        <f>IFERROR(IF(INDEX(ERP資料!$G:$G, (MATCH(820, 輔助計算!$E$2:$E$801, 0)+1))="","",INDEX(ERP資料!$G:$G, (MATCH(820, 輔助計算!$E$2:$E$801, 0)+1))), "")</f>
        <v/>
      </c>
      <c r="G821" s="10">
        <f>IFERROR(IF(INDEX(ERP資料!$H:$H, (MATCH(820, 輔助計算!$E$2:$E$801, 0)+1))="","",INDEX(ERP資料!$H:$H, (MATCH(820, 輔助計算!$E$2:$E$801, 0)+1))), "")</f>
        <v/>
      </c>
      <c r="H821" s="15">
        <f>IFERROR(INDEX(輔助計算!$D:$D, (MATCH(820, 輔助計算!$E$2:$E$801, 0)+1)), "")</f>
        <v/>
      </c>
      <c r="I821" s="10">
        <f>IFERROR(IF(INDEX(ERP資料!$O:$O, (MATCH(820, 輔助計算!$E$2:$E$801, 0)+1))="","",INDEX(ERP資料!$O:$O, (MATCH(820, 輔助計算!$E$2:$E$801, 0)+1))), "")</f>
        <v/>
      </c>
      <c r="J821" s="15">
        <f>IFERROR(IF(INDEX(輔助計算!$D:$D,(MATCH(820, 輔助計算!$E$2:$E$801, 0)+1))="","",INDEX(輔助計算!$D:$D,(MATCH(820, 輔助計算!$E$2:$E$801, 0)+1))*INDEX(ERP資料!$O:$O,(MATCH(820, 輔助計算!$E$2:$E$801, 0)+1))), "")</f>
        <v/>
      </c>
      <c r="K821" s="16" t="n"/>
      <c r="L821" s="16" t="n"/>
      <c r="M821" s="17" t="n"/>
    </row>
    <row r="822">
      <c r="A822" s="14">
        <f>IFERROR(IF(INDEX(ERP資料!$B:$B, (MATCH(821, 輔助計算!$E$2:$E$801, 0)+1))="","",INDEX(ERP資料!$B:$B, (MATCH(821, 輔助計算!$E$2:$E$801, 0)+1))), "")</f>
        <v/>
      </c>
      <c r="B822" s="10">
        <f>IFERROR(IF(INDEX(ERP資料!$A:$A, (MATCH(821, 輔助計算!$E$2:$E$801, 0)+1))="","",INDEX(ERP資料!$A:$A, (MATCH(821, 輔助計算!$E$2:$E$801, 0)+1))), "")</f>
        <v/>
      </c>
      <c r="C822" s="10">
        <f>IFERROR(IF(INDEX(ERP資料!$S:$S, (MATCH(821, 輔助計算!$E$2:$E$801, 0)+1))="","",INDEX(ERP資料!$S:$S, (MATCH(821, 輔助計算!$E$2:$E$801, 0)+1))), "")</f>
        <v/>
      </c>
      <c r="D822" s="10">
        <f>IFERROR(IF(INDEX(ERP資料!$E:$E, (MATCH(821, 輔助計算!$E$2:$E$801, 0)+1))="","",TRIM(INDEX(ERP資料!$E:$E, (MATCH(821, 輔助計算!$E$2:$E$801, 0)+1)))), "")</f>
        <v/>
      </c>
      <c r="E822" s="10">
        <f>IFERROR(IF(INDEX(ERP資料!$F:$F, (MATCH(821, 輔助計算!$E$2:$E$801, 0)+1))="","",INDEX(ERP資料!$F:$F, (MATCH(821, 輔助計算!$E$2:$E$801, 0)+1))), "")</f>
        <v/>
      </c>
      <c r="F822" s="10">
        <f>IFERROR(IF(INDEX(ERP資料!$G:$G, (MATCH(821, 輔助計算!$E$2:$E$801, 0)+1))="","",INDEX(ERP資料!$G:$G, (MATCH(821, 輔助計算!$E$2:$E$801, 0)+1))), "")</f>
        <v/>
      </c>
      <c r="G822" s="10">
        <f>IFERROR(IF(INDEX(ERP資料!$H:$H, (MATCH(821, 輔助計算!$E$2:$E$801, 0)+1))="","",INDEX(ERP資料!$H:$H, (MATCH(821, 輔助計算!$E$2:$E$801, 0)+1))), "")</f>
        <v/>
      </c>
      <c r="H822" s="15">
        <f>IFERROR(INDEX(輔助計算!$D:$D, (MATCH(821, 輔助計算!$E$2:$E$801, 0)+1)), "")</f>
        <v/>
      </c>
      <c r="I822" s="10">
        <f>IFERROR(IF(INDEX(ERP資料!$O:$O, (MATCH(821, 輔助計算!$E$2:$E$801, 0)+1))="","",INDEX(ERP資料!$O:$O, (MATCH(821, 輔助計算!$E$2:$E$801, 0)+1))), "")</f>
        <v/>
      </c>
      <c r="J822" s="15">
        <f>IFERROR(IF(INDEX(輔助計算!$D:$D,(MATCH(821, 輔助計算!$E$2:$E$801, 0)+1))="","",INDEX(輔助計算!$D:$D,(MATCH(821, 輔助計算!$E$2:$E$801, 0)+1))*INDEX(ERP資料!$O:$O,(MATCH(821, 輔助計算!$E$2:$E$801, 0)+1))), "")</f>
        <v/>
      </c>
      <c r="K822" s="16" t="n"/>
      <c r="L822" s="16" t="n"/>
      <c r="M822" s="17" t="n"/>
    </row>
    <row r="823">
      <c r="A823" s="14">
        <f>IFERROR(IF(INDEX(ERP資料!$B:$B, (MATCH(822, 輔助計算!$E$2:$E$801, 0)+1))="","",INDEX(ERP資料!$B:$B, (MATCH(822, 輔助計算!$E$2:$E$801, 0)+1))), "")</f>
        <v/>
      </c>
      <c r="B823" s="10">
        <f>IFERROR(IF(INDEX(ERP資料!$A:$A, (MATCH(822, 輔助計算!$E$2:$E$801, 0)+1))="","",INDEX(ERP資料!$A:$A, (MATCH(822, 輔助計算!$E$2:$E$801, 0)+1))), "")</f>
        <v/>
      </c>
      <c r="C823" s="10">
        <f>IFERROR(IF(INDEX(ERP資料!$S:$S, (MATCH(822, 輔助計算!$E$2:$E$801, 0)+1))="","",INDEX(ERP資料!$S:$S, (MATCH(822, 輔助計算!$E$2:$E$801, 0)+1))), "")</f>
        <v/>
      </c>
      <c r="D823" s="10">
        <f>IFERROR(IF(INDEX(ERP資料!$E:$E, (MATCH(822, 輔助計算!$E$2:$E$801, 0)+1))="","",TRIM(INDEX(ERP資料!$E:$E, (MATCH(822, 輔助計算!$E$2:$E$801, 0)+1)))), "")</f>
        <v/>
      </c>
      <c r="E823" s="10">
        <f>IFERROR(IF(INDEX(ERP資料!$F:$F, (MATCH(822, 輔助計算!$E$2:$E$801, 0)+1))="","",INDEX(ERP資料!$F:$F, (MATCH(822, 輔助計算!$E$2:$E$801, 0)+1))), "")</f>
        <v/>
      </c>
      <c r="F823" s="10">
        <f>IFERROR(IF(INDEX(ERP資料!$G:$G, (MATCH(822, 輔助計算!$E$2:$E$801, 0)+1))="","",INDEX(ERP資料!$G:$G, (MATCH(822, 輔助計算!$E$2:$E$801, 0)+1))), "")</f>
        <v/>
      </c>
      <c r="G823" s="10">
        <f>IFERROR(IF(INDEX(ERP資料!$H:$H, (MATCH(822, 輔助計算!$E$2:$E$801, 0)+1))="","",INDEX(ERP資料!$H:$H, (MATCH(822, 輔助計算!$E$2:$E$801, 0)+1))), "")</f>
        <v/>
      </c>
      <c r="H823" s="15">
        <f>IFERROR(INDEX(輔助計算!$D:$D, (MATCH(822, 輔助計算!$E$2:$E$801, 0)+1)), "")</f>
        <v/>
      </c>
      <c r="I823" s="10">
        <f>IFERROR(IF(INDEX(ERP資料!$O:$O, (MATCH(822, 輔助計算!$E$2:$E$801, 0)+1))="","",INDEX(ERP資料!$O:$O, (MATCH(822, 輔助計算!$E$2:$E$801, 0)+1))), "")</f>
        <v/>
      </c>
      <c r="J823" s="15">
        <f>IFERROR(IF(INDEX(輔助計算!$D:$D,(MATCH(822, 輔助計算!$E$2:$E$801, 0)+1))="","",INDEX(輔助計算!$D:$D,(MATCH(822, 輔助計算!$E$2:$E$801, 0)+1))*INDEX(ERP資料!$O:$O,(MATCH(822, 輔助計算!$E$2:$E$801, 0)+1))), "")</f>
        <v/>
      </c>
      <c r="K823" s="16" t="n"/>
      <c r="L823" s="16" t="n"/>
      <c r="M823" s="17" t="n"/>
    </row>
    <row r="824">
      <c r="A824" s="14">
        <f>IFERROR(IF(INDEX(ERP資料!$B:$B, (MATCH(823, 輔助計算!$E$2:$E$801, 0)+1))="","",INDEX(ERP資料!$B:$B, (MATCH(823, 輔助計算!$E$2:$E$801, 0)+1))), "")</f>
        <v/>
      </c>
      <c r="B824" s="10">
        <f>IFERROR(IF(INDEX(ERP資料!$A:$A, (MATCH(823, 輔助計算!$E$2:$E$801, 0)+1))="","",INDEX(ERP資料!$A:$A, (MATCH(823, 輔助計算!$E$2:$E$801, 0)+1))), "")</f>
        <v/>
      </c>
      <c r="C824" s="10">
        <f>IFERROR(IF(INDEX(ERP資料!$S:$S, (MATCH(823, 輔助計算!$E$2:$E$801, 0)+1))="","",INDEX(ERP資料!$S:$S, (MATCH(823, 輔助計算!$E$2:$E$801, 0)+1))), "")</f>
        <v/>
      </c>
      <c r="D824" s="10">
        <f>IFERROR(IF(INDEX(ERP資料!$E:$E, (MATCH(823, 輔助計算!$E$2:$E$801, 0)+1))="","",TRIM(INDEX(ERP資料!$E:$E, (MATCH(823, 輔助計算!$E$2:$E$801, 0)+1)))), "")</f>
        <v/>
      </c>
      <c r="E824" s="10">
        <f>IFERROR(IF(INDEX(ERP資料!$F:$F, (MATCH(823, 輔助計算!$E$2:$E$801, 0)+1))="","",INDEX(ERP資料!$F:$F, (MATCH(823, 輔助計算!$E$2:$E$801, 0)+1))), "")</f>
        <v/>
      </c>
      <c r="F824" s="10">
        <f>IFERROR(IF(INDEX(ERP資料!$G:$G, (MATCH(823, 輔助計算!$E$2:$E$801, 0)+1))="","",INDEX(ERP資料!$G:$G, (MATCH(823, 輔助計算!$E$2:$E$801, 0)+1))), "")</f>
        <v/>
      </c>
      <c r="G824" s="10">
        <f>IFERROR(IF(INDEX(ERP資料!$H:$H, (MATCH(823, 輔助計算!$E$2:$E$801, 0)+1))="","",INDEX(ERP資料!$H:$H, (MATCH(823, 輔助計算!$E$2:$E$801, 0)+1))), "")</f>
        <v/>
      </c>
      <c r="H824" s="15">
        <f>IFERROR(INDEX(輔助計算!$D:$D, (MATCH(823, 輔助計算!$E$2:$E$801, 0)+1)), "")</f>
        <v/>
      </c>
      <c r="I824" s="10">
        <f>IFERROR(IF(INDEX(ERP資料!$O:$O, (MATCH(823, 輔助計算!$E$2:$E$801, 0)+1))="","",INDEX(ERP資料!$O:$O, (MATCH(823, 輔助計算!$E$2:$E$801, 0)+1))), "")</f>
        <v/>
      </c>
      <c r="J824" s="15">
        <f>IFERROR(IF(INDEX(輔助計算!$D:$D,(MATCH(823, 輔助計算!$E$2:$E$801, 0)+1))="","",INDEX(輔助計算!$D:$D,(MATCH(823, 輔助計算!$E$2:$E$801, 0)+1))*INDEX(ERP資料!$O:$O,(MATCH(823, 輔助計算!$E$2:$E$801, 0)+1))), "")</f>
        <v/>
      </c>
      <c r="K824" s="16" t="n"/>
      <c r="L824" s="16" t="n"/>
      <c r="M824" s="17" t="n"/>
    </row>
    <row r="825">
      <c r="A825" s="14">
        <f>IFERROR(IF(INDEX(ERP資料!$B:$B, (MATCH(824, 輔助計算!$E$2:$E$801, 0)+1))="","",INDEX(ERP資料!$B:$B, (MATCH(824, 輔助計算!$E$2:$E$801, 0)+1))), "")</f>
        <v/>
      </c>
      <c r="B825" s="10">
        <f>IFERROR(IF(INDEX(ERP資料!$A:$A, (MATCH(824, 輔助計算!$E$2:$E$801, 0)+1))="","",INDEX(ERP資料!$A:$A, (MATCH(824, 輔助計算!$E$2:$E$801, 0)+1))), "")</f>
        <v/>
      </c>
      <c r="C825" s="10">
        <f>IFERROR(IF(INDEX(ERP資料!$S:$S, (MATCH(824, 輔助計算!$E$2:$E$801, 0)+1))="","",INDEX(ERP資料!$S:$S, (MATCH(824, 輔助計算!$E$2:$E$801, 0)+1))), "")</f>
        <v/>
      </c>
      <c r="D825" s="10">
        <f>IFERROR(IF(INDEX(ERP資料!$E:$E, (MATCH(824, 輔助計算!$E$2:$E$801, 0)+1))="","",TRIM(INDEX(ERP資料!$E:$E, (MATCH(824, 輔助計算!$E$2:$E$801, 0)+1)))), "")</f>
        <v/>
      </c>
      <c r="E825" s="10">
        <f>IFERROR(IF(INDEX(ERP資料!$F:$F, (MATCH(824, 輔助計算!$E$2:$E$801, 0)+1))="","",INDEX(ERP資料!$F:$F, (MATCH(824, 輔助計算!$E$2:$E$801, 0)+1))), "")</f>
        <v/>
      </c>
      <c r="F825" s="10">
        <f>IFERROR(IF(INDEX(ERP資料!$G:$G, (MATCH(824, 輔助計算!$E$2:$E$801, 0)+1))="","",INDEX(ERP資料!$G:$G, (MATCH(824, 輔助計算!$E$2:$E$801, 0)+1))), "")</f>
        <v/>
      </c>
      <c r="G825" s="10">
        <f>IFERROR(IF(INDEX(ERP資料!$H:$H, (MATCH(824, 輔助計算!$E$2:$E$801, 0)+1))="","",INDEX(ERP資料!$H:$H, (MATCH(824, 輔助計算!$E$2:$E$801, 0)+1))), "")</f>
        <v/>
      </c>
      <c r="H825" s="15">
        <f>IFERROR(INDEX(輔助計算!$D:$D, (MATCH(824, 輔助計算!$E$2:$E$801, 0)+1)), "")</f>
        <v/>
      </c>
      <c r="I825" s="10">
        <f>IFERROR(IF(INDEX(ERP資料!$O:$O, (MATCH(824, 輔助計算!$E$2:$E$801, 0)+1))="","",INDEX(ERP資料!$O:$O, (MATCH(824, 輔助計算!$E$2:$E$801, 0)+1))), "")</f>
        <v/>
      </c>
      <c r="J825" s="15">
        <f>IFERROR(IF(INDEX(輔助計算!$D:$D,(MATCH(824, 輔助計算!$E$2:$E$801, 0)+1))="","",INDEX(輔助計算!$D:$D,(MATCH(824, 輔助計算!$E$2:$E$801, 0)+1))*INDEX(ERP資料!$O:$O,(MATCH(824, 輔助計算!$E$2:$E$801, 0)+1))), "")</f>
        <v/>
      </c>
      <c r="K825" s="16" t="n"/>
      <c r="L825" s="16" t="n"/>
      <c r="M825" s="17" t="n"/>
    </row>
    <row r="826">
      <c r="A826" s="14">
        <f>IFERROR(IF(INDEX(ERP資料!$B:$B, (MATCH(825, 輔助計算!$E$2:$E$801, 0)+1))="","",INDEX(ERP資料!$B:$B, (MATCH(825, 輔助計算!$E$2:$E$801, 0)+1))), "")</f>
        <v/>
      </c>
      <c r="B826" s="10">
        <f>IFERROR(IF(INDEX(ERP資料!$A:$A, (MATCH(825, 輔助計算!$E$2:$E$801, 0)+1))="","",INDEX(ERP資料!$A:$A, (MATCH(825, 輔助計算!$E$2:$E$801, 0)+1))), "")</f>
        <v/>
      </c>
      <c r="C826" s="10">
        <f>IFERROR(IF(INDEX(ERP資料!$S:$S, (MATCH(825, 輔助計算!$E$2:$E$801, 0)+1))="","",INDEX(ERP資料!$S:$S, (MATCH(825, 輔助計算!$E$2:$E$801, 0)+1))), "")</f>
        <v/>
      </c>
      <c r="D826" s="10">
        <f>IFERROR(IF(INDEX(ERP資料!$E:$E, (MATCH(825, 輔助計算!$E$2:$E$801, 0)+1))="","",TRIM(INDEX(ERP資料!$E:$E, (MATCH(825, 輔助計算!$E$2:$E$801, 0)+1)))), "")</f>
        <v/>
      </c>
      <c r="E826" s="10">
        <f>IFERROR(IF(INDEX(ERP資料!$F:$F, (MATCH(825, 輔助計算!$E$2:$E$801, 0)+1))="","",INDEX(ERP資料!$F:$F, (MATCH(825, 輔助計算!$E$2:$E$801, 0)+1))), "")</f>
        <v/>
      </c>
      <c r="F826" s="10">
        <f>IFERROR(IF(INDEX(ERP資料!$G:$G, (MATCH(825, 輔助計算!$E$2:$E$801, 0)+1))="","",INDEX(ERP資料!$G:$G, (MATCH(825, 輔助計算!$E$2:$E$801, 0)+1))), "")</f>
        <v/>
      </c>
      <c r="G826" s="10">
        <f>IFERROR(IF(INDEX(ERP資料!$H:$H, (MATCH(825, 輔助計算!$E$2:$E$801, 0)+1))="","",INDEX(ERP資料!$H:$H, (MATCH(825, 輔助計算!$E$2:$E$801, 0)+1))), "")</f>
        <v/>
      </c>
      <c r="H826" s="15">
        <f>IFERROR(INDEX(輔助計算!$D:$D, (MATCH(825, 輔助計算!$E$2:$E$801, 0)+1)), "")</f>
        <v/>
      </c>
      <c r="I826" s="10">
        <f>IFERROR(IF(INDEX(ERP資料!$O:$O, (MATCH(825, 輔助計算!$E$2:$E$801, 0)+1))="","",INDEX(ERP資料!$O:$O, (MATCH(825, 輔助計算!$E$2:$E$801, 0)+1))), "")</f>
        <v/>
      </c>
      <c r="J826" s="15">
        <f>IFERROR(IF(INDEX(輔助計算!$D:$D,(MATCH(825, 輔助計算!$E$2:$E$801, 0)+1))="","",INDEX(輔助計算!$D:$D,(MATCH(825, 輔助計算!$E$2:$E$801, 0)+1))*INDEX(ERP資料!$O:$O,(MATCH(825, 輔助計算!$E$2:$E$801, 0)+1))), "")</f>
        <v/>
      </c>
      <c r="K826" s="16" t="n"/>
      <c r="L826" s="16" t="n"/>
      <c r="M826" s="17" t="n"/>
    </row>
    <row r="827">
      <c r="A827" s="14">
        <f>IFERROR(IF(INDEX(ERP資料!$B:$B, (MATCH(826, 輔助計算!$E$2:$E$801, 0)+1))="","",INDEX(ERP資料!$B:$B, (MATCH(826, 輔助計算!$E$2:$E$801, 0)+1))), "")</f>
        <v/>
      </c>
      <c r="B827" s="10">
        <f>IFERROR(IF(INDEX(ERP資料!$A:$A, (MATCH(826, 輔助計算!$E$2:$E$801, 0)+1))="","",INDEX(ERP資料!$A:$A, (MATCH(826, 輔助計算!$E$2:$E$801, 0)+1))), "")</f>
        <v/>
      </c>
      <c r="C827" s="10">
        <f>IFERROR(IF(INDEX(ERP資料!$S:$S, (MATCH(826, 輔助計算!$E$2:$E$801, 0)+1))="","",INDEX(ERP資料!$S:$S, (MATCH(826, 輔助計算!$E$2:$E$801, 0)+1))), "")</f>
        <v/>
      </c>
      <c r="D827" s="10">
        <f>IFERROR(IF(INDEX(ERP資料!$E:$E, (MATCH(826, 輔助計算!$E$2:$E$801, 0)+1))="","",TRIM(INDEX(ERP資料!$E:$E, (MATCH(826, 輔助計算!$E$2:$E$801, 0)+1)))), "")</f>
        <v/>
      </c>
      <c r="E827" s="10">
        <f>IFERROR(IF(INDEX(ERP資料!$F:$F, (MATCH(826, 輔助計算!$E$2:$E$801, 0)+1))="","",INDEX(ERP資料!$F:$F, (MATCH(826, 輔助計算!$E$2:$E$801, 0)+1))), "")</f>
        <v/>
      </c>
      <c r="F827" s="10">
        <f>IFERROR(IF(INDEX(ERP資料!$G:$G, (MATCH(826, 輔助計算!$E$2:$E$801, 0)+1))="","",INDEX(ERP資料!$G:$G, (MATCH(826, 輔助計算!$E$2:$E$801, 0)+1))), "")</f>
        <v/>
      </c>
      <c r="G827" s="10">
        <f>IFERROR(IF(INDEX(ERP資料!$H:$H, (MATCH(826, 輔助計算!$E$2:$E$801, 0)+1))="","",INDEX(ERP資料!$H:$H, (MATCH(826, 輔助計算!$E$2:$E$801, 0)+1))), "")</f>
        <v/>
      </c>
      <c r="H827" s="15">
        <f>IFERROR(INDEX(輔助計算!$D:$D, (MATCH(826, 輔助計算!$E$2:$E$801, 0)+1)), "")</f>
        <v/>
      </c>
      <c r="I827" s="10">
        <f>IFERROR(IF(INDEX(ERP資料!$O:$O, (MATCH(826, 輔助計算!$E$2:$E$801, 0)+1))="","",INDEX(ERP資料!$O:$O, (MATCH(826, 輔助計算!$E$2:$E$801, 0)+1))), "")</f>
        <v/>
      </c>
      <c r="J827" s="15">
        <f>IFERROR(IF(INDEX(輔助計算!$D:$D,(MATCH(826, 輔助計算!$E$2:$E$801, 0)+1))="","",INDEX(輔助計算!$D:$D,(MATCH(826, 輔助計算!$E$2:$E$801, 0)+1))*INDEX(ERP資料!$O:$O,(MATCH(826, 輔助計算!$E$2:$E$801, 0)+1))), "")</f>
        <v/>
      </c>
      <c r="K827" s="16" t="n"/>
      <c r="L827" s="16" t="n"/>
      <c r="M827" s="17" t="n"/>
    </row>
    <row r="828">
      <c r="A828" s="14">
        <f>IFERROR(IF(INDEX(ERP資料!$B:$B, (MATCH(827, 輔助計算!$E$2:$E$801, 0)+1))="","",INDEX(ERP資料!$B:$B, (MATCH(827, 輔助計算!$E$2:$E$801, 0)+1))), "")</f>
        <v/>
      </c>
      <c r="B828" s="10">
        <f>IFERROR(IF(INDEX(ERP資料!$A:$A, (MATCH(827, 輔助計算!$E$2:$E$801, 0)+1))="","",INDEX(ERP資料!$A:$A, (MATCH(827, 輔助計算!$E$2:$E$801, 0)+1))), "")</f>
        <v/>
      </c>
      <c r="C828" s="10">
        <f>IFERROR(IF(INDEX(ERP資料!$S:$S, (MATCH(827, 輔助計算!$E$2:$E$801, 0)+1))="","",INDEX(ERP資料!$S:$S, (MATCH(827, 輔助計算!$E$2:$E$801, 0)+1))), "")</f>
        <v/>
      </c>
      <c r="D828" s="10">
        <f>IFERROR(IF(INDEX(ERP資料!$E:$E, (MATCH(827, 輔助計算!$E$2:$E$801, 0)+1))="","",TRIM(INDEX(ERP資料!$E:$E, (MATCH(827, 輔助計算!$E$2:$E$801, 0)+1)))), "")</f>
        <v/>
      </c>
      <c r="E828" s="10">
        <f>IFERROR(IF(INDEX(ERP資料!$F:$F, (MATCH(827, 輔助計算!$E$2:$E$801, 0)+1))="","",INDEX(ERP資料!$F:$F, (MATCH(827, 輔助計算!$E$2:$E$801, 0)+1))), "")</f>
        <v/>
      </c>
      <c r="F828" s="10">
        <f>IFERROR(IF(INDEX(ERP資料!$G:$G, (MATCH(827, 輔助計算!$E$2:$E$801, 0)+1))="","",INDEX(ERP資料!$G:$G, (MATCH(827, 輔助計算!$E$2:$E$801, 0)+1))), "")</f>
        <v/>
      </c>
      <c r="G828" s="10">
        <f>IFERROR(IF(INDEX(ERP資料!$H:$H, (MATCH(827, 輔助計算!$E$2:$E$801, 0)+1))="","",INDEX(ERP資料!$H:$H, (MATCH(827, 輔助計算!$E$2:$E$801, 0)+1))), "")</f>
        <v/>
      </c>
      <c r="H828" s="15">
        <f>IFERROR(INDEX(輔助計算!$D:$D, (MATCH(827, 輔助計算!$E$2:$E$801, 0)+1)), "")</f>
        <v/>
      </c>
      <c r="I828" s="10">
        <f>IFERROR(IF(INDEX(ERP資料!$O:$O, (MATCH(827, 輔助計算!$E$2:$E$801, 0)+1))="","",INDEX(ERP資料!$O:$O, (MATCH(827, 輔助計算!$E$2:$E$801, 0)+1))), "")</f>
        <v/>
      </c>
      <c r="J828" s="15">
        <f>IFERROR(IF(INDEX(輔助計算!$D:$D,(MATCH(827, 輔助計算!$E$2:$E$801, 0)+1))="","",INDEX(輔助計算!$D:$D,(MATCH(827, 輔助計算!$E$2:$E$801, 0)+1))*INDEX(ERP資料!$O:$O,(MATCH(827, 輔助計算!$E$2:$E$801, 0)+1))), "")</f>
        <v/>
      </c>
      <c r="K828" s="16" t="n"/>
      <c r="L828" s="16" t="n"/>
      <c r="M828" s="17" t="n"/>
    </row>
    <row r="829">
      <c r="A829" s="14">
        <f>IFERROR(IF(INDEX(ERP資料!$B:$B, (MATCH(828, 輔助計算!$E$2:$E$801, 0)+1))="","",INDEX(ERP資料!$B:$B, (MATCH(828, 輔助計算!$E$2:$E$801, 0)+1))), "")</f>
        <v/>
      </c>
      <c r="B829" s="10">
        <f>IFERROR(IF(INDEX(ERP資料!$A:$A, (MATCH(828, 輔助計算!$E$2:$E$801, 0)+1))="","",INDEX(ERP資料!$A:$A, (MATCH(828, 輔助計算!$E$2:$E$801, 0)+1))), "")</f>
        <v/>
      </c>
      <c r="C829" s="10">
        <f>IFERROR(IF(INDEX(ERP資料!$S:$S, (MATCH(828, 輔助計算!$E$2:$E$801, 0)+1))="","",INDEX(ERP資料!$S:$S, (MATCH(828, 輔助計算!$E$2:$E$801, 0)+1))), "")</f>
        <v/>
      </c>
      <c r="D829" s="10">
        <f>IFERROR(IF(INDEX(ERP資料!$E:$E, (MATCH(828, 輔助計算!$E$2:$E$801, 0)+1))="","",TRIM(INDEX(ERP資料!$E:$E, (MATCH(828, 輔助計算!$E$2:$E$801, 0)+1)))), "")</f>
        <v/>
      </c>
      <c r="E829" s="10">
        <f>IFERROR(IF(INDEX(ERP資料!$F:$F, (MATCH(828, 輔助計算!$E$2:$E$801, 0)+1))="","",INDEX(ERP資料!$F:$F, (MATCH(828, 輔助計算!$E$2:$E$801, 0)+1))), "")</f>
        <v/>
      </c>
      <c r="F829" s="10">
        <f>IFERROR(IF(INDEX(ERP資料!$G:$G, (MATCH(828, 輔助計算!$E$2:$E$801, 0)+1))="","",INDEX(ERP資料!$G:$G, (MATCH(828, 輔助計算!$E$2:$E$801, 0)+1))), "")</f>
        <v/>
      </c>
      <c r="G829" s="10">
        <f>IFERROR(IF(INDEX(ERP資料!$H:$H, (MATCH(828, 輔助計算!$E$2:$E$801, 0)+1))="","",INDEX(ERP資料!$H:$H, (MATCH(828, 輔助計算!$E$2:$E$801, 0)+1))), "")</f>
        <v/>
      </c>
      <c r="H829" s="15">
        <f>IFERROR(INDEX(輔助計算!$D:$D, (MATCH(828, 輔助計算!$E$2:$E$801, 0)+1)), "")</f>
        <v/>
      </c>
      <c r="I829" s="10">
        <f>IFERROR(IF(INDEX(ERP資料!$O:$O, (MATCH(828, 輔助計算!$E$2:$E$801, 0)+1))="","",INDEX(ERP資料!$O:$O, (MATCH(828, 輔助計算!$E$2:$E$801, 0)+1))), "")</f>
        <v/>
      </c>
      <c r="J829" s="15">
        <f>IFERROR(IF(INDEX(輔助計算!$D:$D,(MATCH(828, 輔助計算!$E$2:$E$801, 0)+1))="","",INDEX(輔助計算!$D:$D,(MATCH(828, 輔助計算!$E$2:$E$801, 0)+1))*INDEX(ERP資料!$O:$O,(MATCH(828, 輔助計算!$E$2:$E$801, 0)+1))), "")</f>
        <v/>
      </c>
      <c r="K829" s="16" t="n"/>
      <c r="L829" s="16" t="n"/>
      <c r="M829" s="17" t="n"/>
    </row>
    <row r="830">
      <c r="A830" s="14">
        <f>IFERROR(IF(INDEX(ERP資料!$B:$B, (MATCH(829, 輔助計算!$E$2:$E$801, 0)+1))="","",INDEX(ERP資料!$B:$B, (MATCH(829, 輔助計算!$E$2:$E$801, 0)+1))), "")</f>
        <v/>
      </c>
      <c r="B830" s="10">
        <f>IFERROR(IF(INDEX(ERP資料!$A:$A, (MATCH(829, 輔助計算!$E$2:$E$801, 0)+1))="","",INDEX(ERP資料!$A:$A, (MATCH(829, 輔助計算!$E$2:$E$801, 0)+1))), "")</f>
        <v/>
      </c>
      <c r="C830" s="10">
        <f>IFERROR(IF(INDEX(ERP資料!$S:$S, (MATCH(829, 輔助計算!$E$2:$E$801, 0)+1))="","",INDEX(ERP資料!$S:$S, (MATCH(829, 輔助計算!$E$2:$E$801, 0)+1))), "")</f>
        <v/>
      </c>
      <c r="D830" s="10">
        <f>IFERROR(IF(INDEX(ERP資料!$E:$E, (MATCH(829, 輔助計算!$E$2:$E$801, 0)+1))="","",TRIM(INDEX(ERP資料!$E:$E, (MATCH(829, 輔助計算!$E$2:$E$801, 0)+1)))), "")</f>
        <v/>
      </c>
      <c r="E830" s="10">
        <f>IFERROR(IF(INDEX(ERP資料!$F:$F, (MATCH(829, 輔助計算!$E$2:$E$801, 0)+1))="","",INDEX(ERP資料!$F:$F, (MATCH(829, 輔助計算!$E$2:$E$801, 0)+1))), "")</f>
        <v/>
      </c>
      <c r="F830" s="10">
        <f>IFERROR(IF(INDEX(ERP資料!$G:$G, (MATCH(829, 輔助計算!$E$2:$E$801, 0)+1))="","",INDEX(ERP資料!$G:$G, (MATCH(829, 輔助計算!$E$2:$E$801, 0)+1))), "")</f>
        <v/>
      </c>
      <c r="G830" s="10">
        <f>IFERROR(IF(INDEX(ERP資料!$H:$H, (MATCH(829, 輔助計算!$E$2:$E$801, 0)+1))="","",INDEX(ERP資料!$H:$H, (MATCH(829, 輔助計算!$E$2:$E$801, 0)+1))), "")</f>
        <v/>
      </c>
      <c r="H830" s="15">
        <f>IFERROR(INDEX(輔助計算!$D:$D, (MATCH(829, 輔助計算!$E$2:$E$801, 0)+1)), "")</f>
        <v/>
      </c>
      <c r="I830" s="10">
        <f>IFERROR(IF(INDEX(ERP資料!$O:$O, (MATCH(829, 輔助計算!$E$2:$E$801, 0)+1))="","",INDEX(ERP資料!$O:$O, (MATCH(829, 輔助計算!$E$2:$E$801, 0)+1))), "")</f>
        <v/>
      </c>
      <c r="J830" s="15">
        <f>IFERROR(IF(INDEX(輔助計算!$D:$D,(MATCH(829, 輔助計算!$E$2:$E$801, 0)+1))="","",INDEX(輔助計算!$D:$D,(MATCH(829, 輔助計算!$E$2:$E$801, 0)+1))*INDEX(ERP資料!$O:$O,(MATCH(829, 輔助計算!$E$2:$E$801, 0)+1))), "")</f>
        <v/>
      </c>
      <c r="K830" s="16" t="n"/>
      <c r="L830" s="16" t="n"/>
      <c r="M830" s="17" t="n"/>
    </row>
    <row r="831">
      <c r="A831" s="14">
        <f>IFERROR(IF(INDEX(ERP資料!$B:$B, (MATCH(830, 輔助計算!$E$2:$E$801, 0)+1))="","",INDEX(ERP資料!$B:$B, (MATCH(830, 輔助計算!$E$2:$E$801, 0)+1))), "")</f>
        <v/>
      </c>
      <c r="B831" s="10">
        <f>IFERROR(IF(INDEX(ERP資料!$A:$A, (MATCH(830, 輔助計算!$E$2:$E$801, 0)+1))="","",INDEX(ERP資料!$A:$A, (MATCH(830, 輔助計算!$E$2:$E$801, 0)+1))), "")</f>
        <v/>
      </c>
      <c r="C831" s="10">
        <f>IFERROR(IF(INDEX(ERP資料!$S:$S, (MATCH(830, 輔助計算!$E$2:$E$801, 0)+1))="","",INDEX(ERP資料!$S:$S, (MATCH(830, 輔助計算!$E$2:$E$801, 0)+1))), "")</f>
        <v/>
      </c>
      <c r="D831" s="10">
        <f>IFERROR(IF(INDEX(ERP資料!$E:$E, (MATCH(830, 輔助計算!$E$2:$E$801, 0)+1))="","",TRIM(INDEX(ERP資料!$E:$E, (MATCH(830, 輔助計算!$E$2:$E$801, 0)+1)))), "")</f>
        <v/>
      </c>
      <c r="E831" s="10">
        <f>IFERROR(IF(INDEX(ERP資料!$F:$F, (MATCH(830, 輔助計算!$E$2:$E$801, 0)+1))="","",INDEX(ERP資料!$F:$F, (MATCH(830, 輔助計算!$E$2:$E$801, 0)+1))), "")</f>
        <v/>
      </c>
      <c r="F831" s="10">
        <f>IFERROR(IF(INDEX(ERP資料!$G:$G, (MATCH(830, 輔助計算!$E$2:$E$801, 0)+1))="","",INDEX(ERP資料!$G:$G, (MATCH(830, 輔助計算!$E$2:$E$801, 0)+1))), "")</f>
        <v/>
      </c>
      <c r="G831" s="10">
        <f>IFERROR(IF(INDEX(ERP資料!$H:$H, (MATCH(830, 輔助計算!$E$2:$E$801, 0)+1))="","",INDEX(ERP資料!$H:$H, (MATCH(830, 輔助計算!$E$2:$E$801, 0)+1))), "")</f>
        <v/>
      </c>
      <c r="H831" s="15">
        <f>IFERROR(INDEX(輔助計算!$D:$D, (MATCH(830, 輔助計算!$E$2:$E$801, 0)+1)), "")</f>
        <v/>
      </c>
      <c r="I831" s="10">
        <f>IFERROR(IF(INDEX(ERP資料!$O:$O, (MATCH(830, 輔助計算!$E$2:$E$801, 0)+1))="","",INDEX(ERP資料!$O:$O, (MATCH(830, 輔助計算!$E$2:$E$801, 0)+1))), "")</f>
        <v/>
      </c>
      <c r="J831" s="15">
        <f>IFERROR(IF(INDEX(輔助計算!$D:$D,(MATCH(830, 輔助計算!$E$2:$E$801, 0)+1))="","",INDEX(輔助計算!$D:$D,(MATCH(830, 輔助計算!$E$2:$E$801, 0)+1))*INDEX(ERP資料!$O:$O,(MATCH(830, 輔助計算!$E$2:$E$801, 0)+1))), "")</f>
        <v/>
      </c>
      <c r="K831" s="16" t="n"/>
      <c r="L831" s="16" t="n"/>
      <c r="M831" s="17" t="n"/>
    </row>
    <row r="832">
      <c r="A832" s="14">
        <f>IFERROR(IF(INDEX(ERP資料!$B:$B, (MATCH(831, 輔助計算!$E$2:$E$801, 0)+1))="","",INDEX(ERP資料!$B:$B, (MATCH(831, 輔助計算!$E$2:$E$801, 0)+1))), "")</f>
        <v/>
      </c>
      <c r="B832" s="10">
        <f>IFERROR(IF(INDEX(ERP資料!$A:$A, (MATCH(831, 輔助計算!$E$2:$E$801, 0)+1))="","",INDEX(ERP資料!$A:$A, (MATCH(831, 輔助計算!$E$2:$E$801, 0)+1))), "")</f>
        <v/>
      </c>
      <c r="C832" s="10">
        <f>IFERROR(IF(INDEX(ERP資料!$S:$S, (MATCH(831, 輔助計算!$E$2:$E$801, 0)+1))="","",INDEX(ERP資料!$S:$S, (MATCH(831, 輔助計算!$E$2:$E$801, 0)+1))), "")</f>
        <v/>
      </c>
      <c r="D832" s="10">
        <f>IFERROR(IF(INDEX(ERP資料!$E:$E, (MATCH(831, 輔助計算!$E$2:$E$801, 0)+1))="","",TRIM(INDEX(ERP資料!$E:$E, (MATCH(831, 輔助計算!$E$2:$E$801, 0)+1)))), "")</f>
        <v/>
      </c>
      <c r="E832" s="10">
        <f>IFERROR(IF(INDEX(ERP資料!$F:$F, (MATCH(831, 輔助計算!$E$2:$E$801, 0)+1))="","",INDEX(ERP資料!$F:$F, (MATCH(831, 輔助計算!$E$2:$E$801, 0)+1))), "")</f>
        <v/>
      </c>
      <c r="F832" s="10">
        <f>IFERROR(IF(INDEX(ERP資料!$G:$G, (MATCH(831, 輔助計算!$E$2:$E$801, 0)+1))="","",INDEX(ERP資料!$G:$G, (MATCH(831, 輔助計算!$E$2:$E$801, 0)+1))), "")</f>
        <v/>
      </c>
      <c r="G832" s="10">
        <f>IFERROR(IF(INDEX(ERP資料!$H:$H, (MATCH(831, 輔助計算!$E$2:$E$801, 0)+1))="","",INDEX(ERP資料!$H:$H, (MATCH(831, 輔助計算!$E$2:$E$801, 0)+1))), "")</f>
        <v/>
      </c>
      <c r="H832" s="15">
        <f>IFERROR(INDEX(輔助計算!$D:$D, (MATCH(831, 輔助計算!$E$2:$E$801, 0)+1)), "")</f>
        <v/>
      </c>
      <c r="I832" s="10">
        <f>IFERROR(IF(INDEX(ERP資料!$O:$O, (MATCH(831, 輔助計算!$E$2:$E$801, 0)+1))="","",INDEX(ERP資料!$O:$O, (MATCH(831, 輔助計算!$E$2:$E$801, 0)+1))), "")</f>
        <v/>
      </c>
      <c r="J832" s="15">
        <f>IFERROR(IF(INDEX(輔助計算!$D:$D,(MATCH(831, 輔助計算!$E$2:$E$801, 0)+1))="","",INDEX(輔助計算!$D:$D,(MATCH(831, 輔助計算!$E$2:$E$801, 0)+1))*INDEX(ERP資料!$O:$O,(MATCH(831, 輔助計算!$E$2:$E$801, 0)+1))), "")</f>
        <v/>
      </c>
      <c r="K832" s="16" t="n"/>
      <c r="L832" s="16" t="n"/>
      <c r="M832" s="17" t="n"/>
    </row>
    <row r="833">
      <c r="A833" s="14">
        <f>IFERROR(IF(INDEX(ERP資料!$B:$B, (MATCH(832, 輔助計算!$E$2:$E$801, 0)+1))="","",INDEX(ERP資料!$B:$B, (MATCH(832, 輔助計算!$E$2:$E$801, 0)+1))), "")</f>
        <v/>
      </c>
      <c r="B833" s="10">
        <f>IFERROR(IF(INDEX(ERP資料!$A:$A, (MATCH(832, 輔助計算!$E$2:$E$801, 0)+1))="","",INDEX(ERP資料!$A:$A, (MATCH(832, 輔助計算!$E$2:$E$801, 0)+1))), "")</f>
        <v/>
      </c>
      <c r="C833" s="10">
        <f>IFERROR(IF(INDEX(ERP資料!$S:$S, (MATCH(832, 輔助計算!$E$2:$E$801, 0)+1))="","",INDEX(ERP資料!$S:$S, (MATCH(832, 輔助計算!$E$2:$E$801, 0)+1))), "")</f>
        <v/>
      </c>
      <c r="D833" s="10">
        <f>IFERROR(IF(INDEX(ERP資料!$E:$E, (MATCH(832, 輔助計算!$E$2:$E$801, 0)+1))="","",TRIM(INDEX(ERP資料!$E:$E, (MATCH(832, 輔助計算!$E$2:$E$801, 0)+1)))), "")</f>
        <v/>
      </c>
      <c r="E833" s="10">
        <f>IFERROR(IF(INDEX(ERP資料!$F:$F, (MATCH(832, 輔助計算!$E$2:$E$801, 0)+1))="","",INDEX(ERP資料!$F:$F, (MATCH(832, 輔助計算!$E$2:$E$801, 0)+1))), "")</f>
        <v/>
      </c>
      <c r="F833" s="10">
        <f>IFERROR(IF(INDEX(ERP資料!$G:$G, (MATCH(832, 輔助計算!$E$2:$E$801, 0)+1))="","",INDEX(ERP資料!$G:$G, (MATCH(832, 輔助計算!$E$2:$E$801, 0)+1))), "")</f>
        <v/>
      </c>
      <c r="G833" s="10">
        <f>IFERROR(IF(INDEX(ERP資料!$H:$H, (MATCH(832, 輔助計算!$E$2:$E$801, 0)+1))="","",INDEX(ERP資料!$H:$H, (MATCH(832, 輔助計算!$E$2:$E$801, 0)+1))), "")</f>
        <v/>
      </c>
      <c r="H833" s="15">
        <f>IFERROR(INDEX(輔助計算!$D:$D, (MATCH(832, 輔助計算!$E$2:$E$801, 0)+1)), "")</f>
        <v/>
      </c>
      <c r="I833" s="10">
        <f>IFERROR(IF(INDEX(ERP資料!$O:$O, (MATCH(832, 輔助計算!$E$2:$E$801, 0)+1))="","",INDEX(ERP資料!$O:$O, (MATCH(832, 輔助計算!$E$2:$E$801, 0)+1))), "")</f>
        <v/>
      </c>
      <c r="J833" s="15">
        <f>IFERROR(IF(INDEX(輔助計算!$D:$D,(MATCH(832, 輔助計算!$E$2:$E$801, 0)+1))="","",INDEX(輔助計算!$D:$D,(MATCH(832, 輔助計算!$E$2:$E$801, 0)+1))*INDEX(ERP資料!$O:$O,(MATCH(832, 輔助計算!$E$2:$E$801, 0)+1))), "")</f>
        <v/>
      </c>
      <c r="K833" s="16" t="n"/>
      <c r="L833" s="16" t="n"/>
      <c r="M833" s="17" t="n"/>
    </row>
    <row r="834">
      <c r="A834" s="14">
        <f>IFERROR(IF(INDEX(ERP資料!$B:$B, (MATCH(833, 輔助計算!$E$2:$E$801, 0)+1))="","",INDEX(ERP資料!$B:$B, (MATCH(833, 輔助計算!$E$2:$E$801, 0)+1))), "")</f>
        <v/>
      </c>
      <c r="B834" s="10">
        <f>IFERROR(IF(INDEX(ERP資料!$A:$A, (MATCH(833, 輔助計算!$E$2:$E$801, 0)+1))="","",INDEX(ERP資料!$A:$A, (MATCH(833, 輔助計算!$E$2:$E$801, 0)+1))), "")</f>
        <v/>
      </c>
      <c r="C834" s="10">
        <f>IFERROR(IF(INDEX(ERP資料!$S:$S, (MATCH(833, 輔助計算!$E$2:$E$801, 0)+1))="","",INDEX(ERP資料!$S:$S, (MATCH(833, 輔助計算!$E$2:$E$801, 0)+1))), "")</f>
        <v/>
      </c>
      <c r="D834" s="10">
        <f>IFERROR(IF(INDEX(ERP資料!$E:$E, (MATCH(833, 輔助計算!$E$2:$E$801, 0)+1))="","",TRIM(INDEX(ERP資料!$E:$E, (MATCH(833, 輔助計算!$E$2:$E$801, 0)+1)))), "")</f>
        <v/>
      </c>
      <c r="E834" s="10">
        <f>IFERROR(IF(INDEX(ERP資料!$F:$F, (MATCH(833, 輔助計算!$E$2:$E$801, 0)+1))="","",INDEX(ERP資料!$F:$F, (MATCH(833, 輔助計算!$E$2:$E$801, 0)+1))), "")</f>
        <v/>
      </c>
      <c r="F834" s="10">
        <f>IFERROR(IF(INDEX(ERP資料!$G:$G, (MATCH(833, 輔助計算!$E$2:$E$801, 0)+1))="","",INDEX(ERP資料!$G:$G, (MATCH(833, 輔助計算!$E$2:$E$801, 0)+1))), "")</f>
        <v/>
      </c>
      <c r="G834" s="10">
        <f>IFERROR(IF(INDEX(ERP資料!$H:$H, (MATCH(833, 輔助計算!$E$2:$E$801, 0)+1))="","",INDEX(ERP資料!$H:$H, (MATCH(833, 輔助計算!$E$2:$E$801, 0)+1))), "")</f>
        <v/>
      </c>
      <c r="H834" s="15">
        <f>IFERROR(INDEX(輔助計算!$D:$D, (MATCH(833, 輔助計算!$E$2:$E$801, 0)+1)), "")</f>
        <v/>
      </c>
      <c r="I834" s="10">
        <f>IFERROR(IF(INDEX(ERP資料!$O:$O, (MATCH(833, 輔助計算!$E$2:$E$801, 0)+1))="","",INDEX(ERP資料!$O:$O, (MATCH(833, 輔助計算!$E$2:$E$801, 0)+1))), "")</f>
        <v/>
      </c>
      <c r="J834" s="15">
        <f>IFERROR(IF(INDEX(輔助計算!$D:$D,(MATCH(833, 輔助計算!$E$2:$E$801, 0)+1))="","",INDEX(輔助計算!$D:$D,(MATCH(833, 輔助計算!$E$2:$E$801, 0)+1))*INDEX(ERP資料!$O:$O,(MATCH(833, 輔助計算!$E$2:$E$801, 0)+1))), "")</f>
        <v/>
      </c>
      <c r="K834" s="16" t="n"/>
      <c r="L834" s="16" t="n"/>
      <c r="M834" s="17" t="n"/>
    </row>
    <row r="835">
      <c r="A835" s="14">
        <f>IFERROR(IF(INDEX(ERP資料!$B:$B, (MATCH(834, 輔助計算!$E$2:$E$801, 0)+1))="","",INDEX(ERP資料!$B:$B, (MATCH(834, 輔助計算!$E$2:$E$801, 0)+1))), "")</f>
        <v/>
      </c>
      <c r="B835" s="10">
        <f>IFERROR(IF(INDEX(ERP資料!$A:$A, (MATCH(834, 輔助計算!$E$2:$E$801, 0)+1))="","",INDEX(ERP資料!$A:$A, (MATCH(834, 輔助計算!$E$2:$E$801, 0)+1))), "")</f>
        <v/>
      </c>
      <c r="C835" s="10">
        <f>IFERROR(IF(INDEX(ERP資料!$S:$S, (MATCH(834, 輔助計算!$E$2:$E$801, 0)+1))="","",INDEX(ERP資料!$S:$S, (MATCH(834, 輔助計算!$E$2:$E$801, 0)+1))), "")</f>
        <v/>
      </c>
      <c r="D835" s="10">
        <f>IFERROR(IF(INDEX(ERP資料!$E:$E, (MATCH(834, 輔助計算!$E$2:$E$801, 0)+1))="","",TRIM(INDEX(ERP資料!$E:$E, (MATCH(834, 輔助計算!$E$2:$E$801, 0)+1)))), "")</f>
        <v/>
      </c>
      <c r="E835" s="10">
        <f>IFERROR(IF(INDEX(ERP資料!$F:$F, (MATCH(834, 輔助計算!$E$2:$E$801, 0)+1))="","",INDEX(ERP資料!$F:$F, (MATCH(834, 輔助計算!$E$2:$E$801, 0)+1))), "")</f>
        <v/>
      </c>
      <c r="F835" s="10">
        <f>IFERROR(IF(INDEX(ERP資料!$G:$G, (MATCH(834, 輔助計算!$E$2:$E$801, 0)+1))="","",INDEX(ERP資料!$G:$G, (MATCH(834, 輔助計算!$E$2:$E$801, 0)+1))), "")</f>
        <v/>
      </c>
      <c r="G835" s="10">
        <f>IFERROR(IF(INDEX(ERP資料!$H:$H, (MATCH(834, 輔助計算!$E$2:$E$801, 0)+1))="","",INDEX(ERP資料!$H:$H, (MATCH(834, 輔助計算!$E$2:$E$801, 0)+1))), "")</f>
        <v/>
      </c>
      <c r="H835" s="15">
        <f>IFERROR(INDEX(輔助計算!$D:$D, (MATCH(834, 輔助計算!$E$2:$E$801, 0)+1)), "")</f>
        <v/>
      </c>
      <c r="I835" s="10">
        <f>IFERROR(IF(INDEX(ERP資料!$O:$O, (MATCH(834, 輔助計算!$E$2:$E$801, 0)+1))="","",INDEX(ERP資料!$O:$O, (MATCH(834, 輔助計算!$E$2:$E$801, 0)+1))), "")</f>
        <v/>
      </c>
      <c r="J835" s="15">
        <f>IFERROR(IF(INDEX(輔助計算!$D:$D,(MATCH(834, 輔助計算!$E$2:$E$801, 0)+1))="","",INDEX(輔助計算!$D:$D,(MATCH(834, 輔助計算!$E$2:$E$801, 0)+1))*INDEX(ERP資料!$O:$O,(MATCH(834, 輔助計算!$E$2:$E$801, 0)+1))), "")</f>
        <v/>
      </c>
      <c r="K835" s="16" t="n"/>
      <c r="L835" s="16" t="n"/>
      <c r="M835" s="17" t="n"/>
    </row>
    <row r="836">
      <c r="A836" s="14">
        <f>IFERROR(IF(INDEX(ERP資料!$B:$B, (MATCH(835, 輔助計算!$E$2:$E$801, 0)+1))="","",INDEX(ERP資料!$B:$B, (MATCH(835, 輔助計算!$E$2:$E$801, 0)+1))), "")</f>
        <v/>
      </c>
      <c r="B836" s="10">
        <f>IFERROR(IF(INDEX(ERP資料!$A:$A, (MATCH(835, 輔助計算!$E$2:$E$801, 0)+1))="","",INDEX(ERP資料!$A:$A, (MATCH(835, 輔助計算!$E$2:$E$801, 0)+1))), "")</f>
        <v/>
      </c>
      <c r="C836" s="10">
        <f>IFERROR(IF(INDEX(ERP資料!$S:$S, (MATCH(835, 輔助計算!$E$2:$E$801, 0)+1))="","",INDEX(ERP資料!$S:$S, (MATCH(835, 輔助計算!$E$2:$E$801, 0)+1))), "")</f>
        <v/>
      </c>
      <c r="D836" s="10">
        <f>IFERROR(IF(INDEX(ERP資料!$E:$E, (MATCH(835, 輔助計算!$E$2:$E$801, 0)+1))="","",TRIM(INDEX(ERP資料!$E:$E, (MATCH(835, 輔助計算!$E$2:$E$801, 0)+1)))), "")</f>
        <v/>
      </c>
      <c r="E836" s="10">
        <f>IFERROR(IF(INDEX(ERP資料!$F:$F, (MATCH(835, 輔助計算!$E$2:$E$801, 0)+1))="","",INDEX(ERP資料!$F:$F, (MATCH(835, 輔助計算!$E$2:$E$801, 0)+1))), "")</f>
        <v/>
      </c>
      <c r="F836" s="10">
        <f>IFERROR(IF(INDEX(ERP資料!$G:$G, (MATCH(835, 輔助計算!$E$2:$E$801, 0)+1))="","",INDEX(ERP資料!$G:$G, (MATCH(835, 輔助計算!$E$2:$E$801, 0)+1))), "")</f>
        <v/>
      </c>
      <c r="G836" s="10">
        <f>IFERROR(IF(INDEX(ERP資料!$H:$H, (MATCH(835, 輔助計算!$E$2:$E$801, 0)+1))="","",INDEX(ERP資料!$H:$H, (MATCH(835, 輔助計算!$E$2:$E$801, 0)+1))), "")</f>
        <v/>
      </c>
      <c r="H836" s="15">
        <f>IFERROR(INDEX(輔助計算!$D:$D, (MATCH(835, 輔助計算!$E$2:$E$801, 0)+1)), "")</f>
        <v/>
      </c>
      <c r="I836" s="10">
        <f>IFERROR(IF(INDEX(ERP資料!$O:$O, (MATCH(835, 輔助計算!$E$2:$E$801, 0)+1))="","",INDEX(ERP資料!$O:$O, (MATCH(835, 輔助計算!$E$2:$E$801, 0)+1))), "")</f>
        <v/>
      </c>
      <c r="J836" s="15">
        <f>IFERROR(IF(INDEX(輔助計算!$D:$D,(MATCH(835, 輔助計算!$E$2:$E$801, 0)+1))="","",INDEX(輔助計算!$D:$D,(MATCH(835, 輔助計算!$E$2:$E$801, 0)+1))*INDEX(ERP資料!$O:$O,(MATCH(835, 輔助計算!$E$2:$E$801, 0)+1))), "")</f>
        <v/>
      </c>
      <c r="K836" s="16" t="n"/>
      <c r="L836" s="16" t="n"/>
      <c r="M836" s="17" t="n"/>
    </row>
    <row r="837">
      <c r="A837" s="14">
        <f>IFERROR(IF(INDEX(ERP資料!$B:$B, (MATCH(836, 輔助計算!$E$2:$E$801, 0)+1))="","",INDEX(ERP資料!$B:$B, (MATCH(836, 輔助計算!$E$2:$E$801, 0)+1))), "")</f>
        <v/>
      </c>
      <c r="B837" s="10">
        <f>IFERROR(IF(INDEX(ERP資料!$A:$A, (MATCH(836, 輔助計算!$E$2:$E$801, 0)+1))="","",INDEX(ERP資料!$A:$A, (MATCH(836, 輔助計算!$E$2:$E$801, 0)+1))), "")</f>
        <v/>
      </c>
      <c r="C837" s="10">
        <f>IFERROR(IF(INDEX(ERP資料!$S:$S, (MATCH(836, 輔助計算!$E$2:$E$801, 0)+1))="","",INDEX(ERP資料!$S:$S, (MATCH(836, 輔助計算!$E$2:$E$801, 0)+1))), "")</f>
        <v/>
      </c>
      <c r="D837" s="10">
        <f>IFERROR(IF(INDEX(ERP資料!$E:$E, (MATCH(836, 輔助計算!$E$2:$E$801, 0)+1))="","",TRIM(INDEX(ERP資料!$E:$E, (MATCH(836, 輔助計算!$E$2:$E$801, 0)+1)))), "")</f>
        <v/>
      </c>
      <c r="E837" s="10">
        <f>IFERROR(IF(INDEX(ERP資料!$F:$F, (MATCH(836, 輔助計算!$E$2:$E$801, 0)+1))="","",INDEX(ERP資料!$F:$F, (MATCH(836, 輔助計算!$E$2:$E$801, 0)+1))), "")</f>
        <v/>
      </c>
      <c r="F837" s="10">
        <f>IFERROR(IF(INDEX(ERP資料!$G:$G, (MATCH(836, 輔助計算!$E$2:$E$801, 0)+1))="","",INDEX(ERP資料!$G:$G, (MATCH(836, 輔助計算!$E$2:$E$801, 0)+1))), "")</f>
        <v/>
      </c>
      <c r="G837" s="10">
        <f>IFERROR(IF(INDEX(ERP資料!$H:$H, (MATCH(836, 輔助計算!$E$2:$E$801, 0)+1))="","",INDEX(ERP資料!$H:$H, (MATCH(836, 輔助計算!$E$2:$E$801, 0)+1))), "")</f>
        <v/>
      </c>
      <c r="H837" s="15">
        <f>IFERROR(INDEX(輔助計算!$D:$D, (MATCH(836, 輔助計算!$E$2:$E$801, 0)+1)), "")</f>
        <v/>
      </c>
      <c r="I837" s="10">
        <f>IFERROR(IF(INDEX(ERP資料!$O:$O, (MATCH(836, 輔助計算!$E$2:$E$801, 0)+1))="","",INDEX(ERP資料!$O:$O, (MATCH(836, 輔助計算!$E$2:$E$801, 0)+1))), "")</f>
        <v/>
      </c>
      <c r="J837" s="15">
        <f>IFERROR(IF(INDEX(輔助計算!$D:$D,(MATCH(836, 輔助計算!$E$2:$E$801, 0)+1))="","",INDEX(輔助計算!$D:$D,(MATCH(836, 輔助計算!$E$2:$E$801, 0)+1))*INDEX(ERP資料!$O:$O,(MATCH(836, 輔助計算!$E$2:$E$801, 0)+1))), "")</f>
        <v/>
      </c>
      <c r="K837" s="16" t="n"/>
      <c r="L837" s="16" t="n"/>
      <c r="M837" s="17" t="n"/>
    </row>
    <row r="838">
      <c r="A838" s="14">
        <f>IFERROR(IF(INDEX(ERP資料!$B:$B, (MATCH(837, 輔助計算!$E$2:$E$801, 0)+1))="","",INDEX(ERP資料!$B:$B, (MATCH(837, 輔助計算!$E$2:$E$801, 0)+1))), "")</f>
        <v/>
      </c>
      <c r="B838" s="10">
        <f>IFERROR(IF(INDEX(ERP資料!$A:$A, (MATCH(837, 輔助計算!$E$2:$E$801, 0)+1))="","",INDEX(ERP資料!$A:$A, (MATCH(837, 輔助計算!$E$2:$E$801, 0)+1))), "")</f>
        <v/>
      </c>
      <c r="C838" s="10">
        <f>IFERROR(IF(INDEX(ERP資料!$S:$S, (MATCH(837, 輔助計算!$E$2:$E$801, 0)+1))="","",INDEX(ERP資料!$S:$S, (MATCH(837, 輔助計算!$E$2:$E$801, 0)+1))), "")</f>
        <v/>
      </c>
      <c r="D838" s="10">
        <f>IFERROR(IF(INDEX(ERP資料!$E:$E, (MATCH(837, 輔助計算!$E$2:$E$801, 0)+1))="","",TRIM(INDEX(ERP資料!$E:$E, (MATCH(837, 輔助計算!$E$2:$E$801, 0)+1)))), "")</f>
        <v/>
      </c>
      <c r="E838" s="10">
        <f>IFERROR(IF(INDEX(ERP資料!$F:$F, (MATCH(837, 輔助計算!$E$2:$E$801, 0)+1))="","",INDEX(ERP資料!$F:$F, (MATCH(837, 輔助計算!$E$2:$E$801, 0)+1))), "")</f>
        <v/>
      </c>
      <c r="F838" s="10">
        <f>IFERROR(IF(INDEX(ERP資料!$G:$G, (MATCH(837, 輔助計算!$E$2:$E$801, 0)+1))="","",INDEX(ERP資料!$G:$G, (MATCH(837, 輔助計算!$E$2:$E$801, 0)+1))), "")</f>
        <v/>
      </c>
      <c r="G838" s="10">
        <f>IFERROR(IF(INDEX(ERP資料!$H:$H, (MATCH(837, 輔助計算!$E$2:$E$801, 0)+1))="","",INDEX(ERP資料!$H:$H, (MATCH(837, 輔助計算!$E$2:$E$801, 0)+1))), "")</f>
        <v/>
      </c>
      <c r="H838" s="15">
        <f>IFERROR(INDEX(輔助計算!$D:$D, (MATCH(837, 輔助計算!$E$2:$E$801, 0)+1)), "")</f>
        <v/>
      </c>
      <c r="I838" s="10">
        <f>IFERROR(IF(INDEX(ERP資料!$O:$O, (MATCH(837, 輔助計算!$E$2:$E$801, 0)+1))="","",INDEX(ERP資料!$O:$O, (MATCH(837, 輔助計算!$E$2:$E$801, 0)+1))), "")</f>
        <v/>
      </c>
      <c r="J838" s="15">
        <f>IFERROR(IF(INDEX(輔助計算!$D:$D,(MATCH(837, 輔助計算!$E$2:$E$801, 0)+1))="","",INDEX(輔助計算!$D:$D,(MATCH(837, 輔助計算!$E$2:$E$801, 0)+1))*INDEX(ERP資料!$O:$O,(MATCH(837, 輔助計算!$E$2:$E$801, 0)+1))), "")</f>
        <v/>
      </c>
      <c r="K838" s="16" t="n"/>
      <c r="L838" s="16" t="n"/>
      <c r="M838" s="17" t="n"/>
    </row>
    <row r="839">
      <c r="A839" s="14">
        <f>IFERROR(IF(INDEX(ERP資料!$B:$B, (MATCH(838, 輔助計算!$E$2:$E$801, 0)+1))="","",INDEX(ERP資料!$B:$B, (MATCH(838, 輔助計算!$E$2:$E$801, 0)+1))), "")</f>
        <v/>
      </c>
      <c r="B839" s="10">
        <f>IFERROR(IF(INDEX(ERP資料!$A:$A, (MATCH(838, 輔助計算!$E$2:$E$801, 0)+1))="","",INDEX(ERP資料!$A:$A, (MATCH(838, 輔助計算!$E$2:$E$801, 0)+1))), "")</f>
        <v/>
      </c>
      <c r="C839" s="10">
        <f>IFERROR(IF(INDEX(ERP資料!$S:$S, (MATCH(838, 輔助計算!$E$2:$E$801, 0)+1))="","",INDEX(ERP資料!$S:$S, (MATCH(838, 輔助計算!$E$2:$E$801, 0)+1))), "")</f>
        <v/>
      </c>
      <c r="D839" s="10">
        <f>IFERROR(IF(INDEX(ERP資料!$E:$E, (MATCH(838, 輔助計算!$E$2:$E$801, 0)+1))="","",TRIM(INDEX(ERP資料!$E:$E, (MATCH(838, 輔助計算!$E$2:$E$801, 0)+1)))), "")</f>
        <v/>
      </c>
      <c r="E839" s="10">
        <f>IFERROR(IF(INDEX(ERP資料!$F:$F, (MATCH(838, 輔助計算!$E$2:$E$801, 0)+1))="","",INDEX(ERP資料!$F:$F, (MATCH(838, 輔助計算!$E$2:$E$801, 0)+1))), "")</f>
        <v/>
      </c>
      <c r="F839" s="10">
        <f>IFERROR(IF(INDEX(ERP資料!$G:$G, (MATCH(838, 輔助計算!$E$2:$E$801, 0)+1))="","",INDEX(ERP資料!$G:$G, (MATCH(838, 輔助計算!$E$2:$E$801, 0)+1))), "")</f>
        <v/>
      </c>
      <c r="G839" s="10">
        <f>IFERROR(IF(INDEX(ERP資料!$H:$H, (MATCH(838, 輔助計算!$E$2:$E$801, 0)+1))="","",INDEX(ERP資料!$H:$H, (MATCH(838, 輔助計算!$E$2:$E$801, 0)+1))), "")</f>
        <v/>
      </c>
      <c r="H839" s="15">
        <f>IFERROR(INDEX(輔助計算!$D:$D, (MATCH(838, 輔助計算!$E$2:$E$801, 0)+1)), "")</f>
        <v/>
      </c>
      <c r="I839" s="10">
        <f>IFERROR(IF(INDEX(ERP資料!$O:$O, (MATCH(838, 輔助計算!$E$2:$E$801, 0)+1))="","",INDEX(ERP資料!$O:$O, (MATCH(838, 輔助計算!$E$2:$E$801, 0)+1))), "")</f>
        <v/>
      </c>
      <c r="J839" s="15">
        <f>IFERROR(IF(INDEX(輔助計算!$D:$D,(MATCH(838, 輔助計算!$E$2:$E$801, 0)+1))="","",INDEX(輔助計算!$D:$D,(MATCH(838, 輔助計算!$E$2:$E$801, 0)+1))*INDEX(ERP資料!$O:$O,(MATCH(838, 輔助計算!$E$2:$E$801, 0)+1))), "")</f>
        <v/>
      </c>
      <c r="K839" s="16" t="n"/>
      <c r="L839" s="16" t="n"/>
      <c r="M839" s="17" t="n"/>
    </row>
    <row r="840">
      <c r="A840" s="14">
        <f>IFERROR(IF(INDEX(ERP資料!$B:$B, (MATCH(839, 輔助計算!$E$2:$E$801, 0)+1))="","",INDEX(ERP資料!$B:$B, (MATCH(839, 輔助計算!$E$2:$E$801, 0)+1))), "")</f>
        <v/>
      </c>
      <c r="B840" s="10">
        <f>IFERROR(IF(INDEX(ERP資料!$A:$A, (MATCH(839, 輔助計算!$E$2:$E$801, 0)+1))="","",INDEX(ERP資料!$A:$A, (MATCH(839, 輔助計算!$E$2:$E$801, 0)+1))), "")</f>
        <v/>
      </c>
      <c r="C840" s="10">
        <f>IFERROR(IF(INDEX(ERP資料!$S:$S, (MATCH(839, 輔助計算!$E$2:$E$801, 0)+1))="","",INDEX(ERP資料!$S:$S, (MATCH(839, 輔助計算!$E$2:$E$801, 0)+1))), "")</f>
        <v/>
      </c>
      <c r="D840" s="10">
        <f>IFERROR(IF(INDEX(ERP資料!$E:$E, (MATCH(839, 輔助計算!$E$2:$E$801, 0)+1))="","",TRIM(INDEX(ERP資料!$E:$E, (MATCH(839, 輔助計算!$E$2:$E$801, 0)+1)))), "")</f>
        <v/>
      </c>
      <c r="E840" s="10">
        <f>IFERROR(IF(INDEX(ERP資料!$F:$F, (MATCH(839, 輔助計算!$E$2:$E$801, 0)+1))="","",INDEX(ERP資料!$F:$F, (MATCH(839, 輔助計算!$E$2:$E$801, 0)+1))), "")</f>
        <v/>
      </c>
      <c r="F840" s="10">
        <f>IFERROR(IF(INDEX(ERP資料!$G:$G, (MATCH(839, 輔助計算!$E$2:$E$801, 0)+1))="","",INDEX(ERP資料!$G:$G, (MATCH(839, 輔助計算!$E$2:$E$801, 0)+1))), "")</f>
        <v/>
      </c>
      <c r="G840" s="10">
        <f>IFERROR(IF(INDEX(ERP資料!$H:$H, (MATCH(839, 輔助計算!$E$2:$E$801, 0)+1))="","",INDEX(ERP資料!$H:$H, (MATCH(839, 輔助計算!$E$2:$E$801, 0)+1))), "")</f>
        <v/>
      </c>
      <c r="H840" s="15">
        <f>IFERROR(INDEX(輔助計算!$D:$D, (MATCH(839, 輔助計算!$E$2:$E$801, 0)+1)), "")</f>
        <v/>
      </c>
      <c r="I840" s="10">
        <f>IFERROR(IF(INDEX(ERP資料!$O:$O, (MATCH(839, 輔助計算!$E$2:$E$801, 0)+1))="","",INDEX(ERP資料!$O:$O, (MATCH(839, 輔助計算!$E$2:$E$801, 0)+1))), "")</f>
        <v/>
      </c>
      <c r="J840" s="15">
        <f>IFERROR(IF(INDEX(輔助計算!$D:$D,(MATCH(839, 輔助計算!$E$2:$E$801, 0)+1))="","",INDEX(輔助計算!$D:$D,(MATCH(839, 輔助計算!$E$2:$E$801, 0)+1))*INDEX(ERP資料!$O:$O,(MATCH(839, 輔助計算!$E$2:$E$801, 0)+1))), "")</f>
        <v/>
      </c>
      <c r="K840" s="16" t="n"/>
      <c r="L840" s="16" t="n"/>
      <c r="M840" s="17" t="n"/>
    </row>
    <row r="841">
      <c r="A841" s="14">
        <f>IFERROR(IF(INDEX(ERP資料!$B:$B, (MATCH(840, 輔助計算!$E$2:$E$801, 0)+1))="","",INDEX(ERP資料!$B:$B, (MATCH(840, 輔助計算!$E$2:$E$801, 0)+1))), "")</f>
        <v/>
      </c>
      <c r="B841" s="10">
        <f>IFERROR(IF(INDEX(ERP資料!$A:$A, (MATCH(840, 輔助計算!$E$2:$E$801, 0)+1))="","",INDEX(ERP資料!$A:$A, (MATCH(840, 輔助計算!$E$2:$E$801, 0)+1))), "")</f>
        <v/>
      </c>
      <c r="C841" s="10">
        <f>IFERROR(IF(INDEX(ERP資料!$S:$S, (MATCH(840, 輔助計算!$E$2:$E$801, 0)+1))="","",INDEX(ERP資料!$S:$S, (MATCH(840, 輔助計算!$E$2:$E$801, 0)+1))), "")</f>
        <v/>
      </c>
      <c r="D841" s="10">
        <f>IFERROR(IF(INDEX(ERP資料!$E:$E, (MATCH(840, 輔助計算!$E$2:$E$801, 0)+1))="","",TRIM(INDEX(ERP資料!$E:$E, (MATCH(840, 輔助計算!$E$2:$E$801, 0)+1)))), "")</f>
        <v/>
      </c>
      <c r="E841" s="10">
        <f>IFERROR(IF(INDEX(ERP資料!$F:$F, (MATCH(840, 輔助計算!$E$2:$E$801, 0)+1))="","",INDEX(ERP資料!$F:$F, (MATCH(840, 輔助計算!$E$2:$E$801, 0)+1))), "")</f>
        <v/>
      </c>
      <c r="F841" s="10">
        <f>IFERROR(IF(INDEX(ERP資料!$G:$G, (MATCH(840, 輔助計算!$E$2:$E$801, 0)+1))="","",INDEX(ERP資料!$G:$G, (MATCH(840, 輔助計算!$E$2:$E$801, 0)+1))), "")</f>
        <v/>
      </c>
      <c r="G841" s="10">
        <f>IFERROR(IF(INDEX(ERP資料!$H:$H, (MATCH(840, 輔助計算!$E$2:$E$801, 0)+1))="","",INDEX(ERP資料!$H:$H, (MATCH(840, 輔助計算!$E$2:$E$801, 0)+1))), "")</f>
        <v/>
      </c>
      <c r="H841" s="15">
        <f>IFERROR(INDEX(輔助計算!$D:$D, (MATCH(840, 輔助計算!$E$2:$E$801, 0)+1)), "")</f>
        <v/>
      </c>
      <c r="I841" s="10">
        <f>IFERROR(IF(INDEX(ERP資料!$O:$O, (MATCH(840, 輔助計算!$E$2:$E$801, 0)+1))="","",INDEX(ERP資料!$O:$O, (MATCH(840, 輔助計算!$E$2:$E$801, 0)+1))), "")</f>
        <v/>
      </c>
      <c r="J841" s="15">
        <f>IFERROR(IF(INDEX(輔助計算!$D:$D,(MATCH(840, 輔助計算!$E$2:$E$801, 0)+1))="","",INDEX(輔助計算!$D:$D,(MATCH(840, 輔助計算!$E$2:$E$801, 0)+1))*INDEX(ERP資料!$O:$O,(MATCH(840, 輔助計算!$E$2:$E$801, 0)+1))), "")</f>
        <v/>
      </c>
      <c r="K841" s="16" t="n"/>
      <c r="L841" s="16" t="n"/>
      <c r="M841" s="17" t="n"/>
    </row>
    <row r="842">
      <c r="A842" s="14">
        <f>IFERROR(IF(INDEX(ERP資料!$B:$B, (MATCH(841, 輔助計算!$E$2:$E$801, 0)+1))="","",INDEX(ERP資料!$B:$B, (MATCH(841, 輔助計算!$E$2:$E$801, 0)+1))), "")</f>
        <v/>
      </c>
      <c r="B842" s="10">
        <f>IFERROR(IF(INDEX(ERP資料!$A:$A, (MATCH(841, 輔助計算!$E$2:$E$801, 0)+1))="","",INDEX(ERP資料!$A:$A, (MATCH(841, 輔助計算!$E$2:$E$801, 0)+1))), "")</f>
        <v/>
      </c>
      <c r="C842" s="10">
        <f>IFERROR(IF(INDEX(ERP資料!$S:$S, (MATCH(841, 輔助計算!$E$2:$E$801, 0)+1))="","",INDEX(ERP資料!$S:$S, (MATCH(841, 輔助計算!$E$2:$E$801, 0)+1))), "")</f>
        <v/>
      </c>
      <c r="D842" s="10">
        <f>IFERROR(IF(INDEX(ERP資料!$E:$E, (MATCH(841, 輔助計算!$E$2:$E$801, 0)+1))="","",TRIM(INDEX(ERP資料!$E:$E, (MATCH(841, 輔助計算!$E$2:$E$801, 0)+1)))), "")</f>
        <v/>
      </c>
      <c r="E842" s="10">
        <f>IFERROR(IF(INDEX(ERP資料!$F:$F, (MATCH(841, 輔助計算!$E$2:$E$801, 0)+1))="","",INDEX(ERP資料!$F:$F, (MATCH(841, 輔助計算!$E$2:$E$801, 0)+1))), "")</f>
        <v/>
      </c>
      <c r="F842" s="10">
        <f>IFERROR(IF(INDEX(ERP資料!$G:$G, (MATCH(841, 輔助計算!$E$2:$E$801, 0)+1))="","",INDEX(ERP資料!$G:$G, (MATCH(841, 輔助計算!$E$2:$E$801, 0)+1))), "")</f>
        <v/>
      </c>
      <c r="G842" s="10">
        <f>IFERROR(IF(INDEX(ERP資料!$H:$H, (MATCH(841, 輔助計算!$E$2:$E$801, 0)+1))="","",INDEX(ERP資料!$H:$H, (MATCH(841, 輔助計算!$E$2:$E$801, 0)+1))), "")</f>
        <v/>
      </c>
      <c r="H842" s="15">
        <f>IFERROR(INDEX(輔助計算!$D:$D, (MATCH(841, 輔助計算!$E$2:$E$801, 0)+1)), "")</f>
        <v/>
      </c>
      <c r="I842" s="10">
        <f>IFERROR(IF(INDEX(ERP資料!$O:$O, (MATCH(841, 輔助計算!$E$2:$E$801, 0)+1))="","",INDEX(ERP資料!$O:$O, (MATCH(841, 輔助計算!$E$2:$E$801, 0)+1))), "")</f>
        <v/>
      </c>
      <c r="J842" s="15">
        <f>IFERROR(IF(INDEX(輔助計算!$D:$D,(MATCH(841, 輔助計算!$E$2:$E$801, 0)+1))="","",INDEX(輔助計算!$D:$D,(MATCH(841, 輔助計算!$E$2:$E$801, 0)+1))*INDEX(ERP資料!$O:$O,(MATCH(841, 輔助計算!$E$2:$E$801, 0)+1))), "")</f>
        <v/>
      </c>
      <c r="K842" s="16" t="n"/>
      <c r="L842" s="16" t="n"/>
      <c r="M842" s="17" t="n"/>
    </row>
    <row r="843">
      <c r="A843" s="14">
        <f>IFERROR(IF(INDEX(ERP資料!$B:$B, (MATCH(842, 輔助計算!$E$2:$E$801, 0)+1))="","",INDEX(ERP資料!$B:$B, (MATCH(842, 輔助計算!$E$2:$E$801, 0)+1))), "")</f>
        <v/>
      </c>
      <c r="B843" s="10">
        <f>IFERROR(IF(INDEX(ERP資料!$A:$A, (MATCH(842, 輔助計算!$E$2:$E$801, 0)+1))="","",INDEX(ERP資料!$A:$A, (MATCH(842, 輔助計算!$E$2:$E$801, 0)+1))), "")</f>
        <v/>
      </c>
      <c r="C843" s="10">
        <f>IFERROR(IF(INDEX(ERP資料!$S:$S, (MATCH(842, 輔助計算!$E$2:$E$801, 0)+1))="","",INDEX(ERP資料!$S:$S, (MATCH(842, 輔助計算!$E$2:$E$801, 0)+1))), "")</f>
        <v/>
      </c>
      <c r="D843" s="10">
        <f>IFERROR(IF(INDEX(ERP資料!$E:$E, (MATCH(842, 輔助計算!$E$2:$E$801, 0)+1))="","",TRIM(INDEX(ERP資料!$E:$E, (MATCH(842, 輔助計算!$E$2:$E$801, 0)+1)))), "")</f>
        <v/>
      </c>
      <c r="E843" s="10">
        <f>IFERROR(IF(INDEX(ERP資料!$F:$F, (MATCH(842, 輔助計算!$E$2:$E$801, 0)+1))="","",INDEX(ERP資料!$F:$F, (MATCH(842, 輔助計算!$E$2:$E$801, 0)+1))), "")</f>
        <v/>
      </c>
      <c r="F843" s="10">
        <f>IFERROR(IF(INDEX(ERP資料!$G:$G, (MATCH(842, 輔助計算!$E$2:$E$801, 0)+1))="","",INDEX(ERP資料!$G:$G, (MATCH(842, 輔助計算!$E$2:$E$801, 0)+1))), "")</f>
        <v/>
      </c>
      <c r="G843" s="10">
        <f>IFERROR(IF(INDEX(ERP資料!$H:$H, (MATCH(842, 輔助計算!$E$2:$E$801, 0)+1))="","",INDEX(ERP資料!$H:$H, (MATCH(842, 輔助計算!$E$2:$E$801, 0)+1))), "")</f>
        <v/>
      </c>
      <c r="H843" s="15">
        <f>IFERROR(INDEX(輔助計算!$D:$D, (MATCH(842, 輔助計算!$E$2:$E$801, 0)+1)), "")</f>
        <v/>
      </c>
      <c r="I843" s="10">
        <f>IFERROR(IF(INDEX(ERP資料!$O:$O, (MATCH(842, 輔助計算!$E$2:$E$801, 0)+1))="","",INDEX(ERP資料!$O:$O, (MATCH(842, 輔助計算!$E$2:$E$801, 0)+1))), "")</f>
        <v/>
      </c>
      <c r="J843" s="15">
        <f>IFERROR(IF(INDEX(輔助計算!$D:$D,(MATCH(842, 輔助計算!$E$2:$E$801, 0)+1))="","",INDEX(輔助計算!$D:$D,(MATCH(842, 輔助計算!$E$2:$E$801, 0)+1))*INDEX(ERP資料!$O:$O,(MATCH(842, 輔助計算!$E$2:$E$801, 0)+1))), "")</f>
        <v/>
      </c>
      <c r="K843" s="16" t="n"/>
      <c r="L843" s="16" t="n"/>
      <c r="M843" s="17" t="n"/>
    </row>
    <row r="844">
      <c r="A844" s="14">
        <f>IFERROR(IF(INDEX(ERP資料!$B:$B, (MATCH(843, 輔助計算!$E$2:$E$801, 0)+1))="","",INDEX(ERP資料!$B:$B, (MATCH(843, 輔助計算!$E$2:$E$801, 0)+1))), "")</f>
        <v/>
      </c>
      <c r="B844" s="10">
        <f>IFERROR(IF(INDEX(ERP資料!$A:$A, (MATCH(843, 輔助計算!$E$2:$E$801, 0)+1))="","",INDEX(ERP資料!$A:$A, (MATCH(843, 輔助計算!$E$2:$E$801, 0)+1))), "")</f>
        <v/>
      </c>
      <c r="C844" s="10">
        <f>IFERROR(IF(INDEX(ERP資料!$S:$S, (MATCH(843, 輔助計算!$E$2:$E$801, 0)+1))="","",INDEX(ERP資料!$S:$S, (MATCH(843, 輔助計算!$E$2:$E$801, 0)+1))), "")</f>
        <v/>
      </c>
      <c r="D844" s="10">
        <f>IFERROR(IF(INDEX(ERP資料!$E:$E, (MATCH(843, 輔助計算!$E$2:$E$801, 0)+1))="","",TRIM(INDEX(ERP資料!$E:$E, (MATCH(843, 輔助計算!$E$2:$E$801, 0)+1)))), "")</f>
        <v/>
      </c>
      <c r="E844" s="10">
        <f>IFERROR(IF(INDEX(ERP資料!$F:$F, (MATCH(843, 輔助計算!$E$2:$E$801, 0)+1))="","",INDEX(ERP資料!$F:$F, (MATCH(843, 輔助計算!$E$2:$E$801, 0)+1))), "")</f>
        <v/>
      </c>
      <c r="F844" s="10">
        <f>IFERROR(IF(INDEX(ERP資料!$G:$G, (MATCH(843, 輔助計算!$E$2:$E$801, 0)+1))="","",INDEX(ERP資料!$G:$G, (MATCH(843, 輔助計算!$E$2:$E$801, 0)+1))), "")</f>
        <v/>
      </c>
      <c r="G844" s="10">
        <f>IFERROR(IF(INDEX(ERP資料!$H:$H, (MATCH(843, 輔助計算!$E$2:$E$801, 0)+1))="","",INDEX(ERP資料!$H:$H, (MATCH(843, 輔助計算!$E$2:$E$801, 0)+1))), "")</f>
        <v/>
      </c>
      <c r="H844" s="15">
        <f>IFERROR(INDEX(輔助計算!$D:$D, (MATCH(843, 輔助計算!$E$2:$E$801, 0)+1)), "")</f>
        <v/>
      </c>
      <c r="I844" s="10">
        <f>IFERROR(IF(INDEX(ERP資料!$O:$O, (MATCH(843, 輔助計算!$E$2:$E$801, 0)+1))="","",INDEX(ERP資料!$O:$O, (MATCH(843, 輔助計算!$E$2:$E$801, 0)+1))), "")</f>
        <v/>
      </c>
      <c r="J844" s="15">
        <f>IFERROR(IF(INDEX(輔助計算!$D:$D,(MATCH(843, 輔助計算!$E$2:$E$801, 0)+1))="","",INDEX(輔助計算!$D:$D,(MATCH(843, 輔助計算!$E$2:$E$801, 0)+1))*INDEX(ERP資料!$O:$O,(MATCH(843, 輔助計算!$E$2:$E$801, 0)+1))), "")</f>
        <v/>
      </c>
      <c r="K844" s="16" t="n"/>
      <c r="L844" s="16" t="n"/>
      <c r="M844" s="17" t="n"/>
    </row>
    <row r="845">
      <c r="A845" s="14">
        <f>IFERROR(IF(INDEX(ERP資料!$B:$B, (MATCH(844, 輔助計算!$E$2:$E$801, 0)+1))="","",INDEX(ERP資料!$B:$B, (MATCH(844, 輔助計算!$E$2:$E$801, 0)+1))), "")</f>
        <v/>
      </c>
      <c r="B845" s="10">
        <f>IFERROR(IF(INDEX(ERP資料!$A:$A, (MATCH(844, 輔助計算!$E$2:$E$801, 0)+1))="","",INDEX(ERP資料!$A:$A, (MATCH(844, 輔助計算!$E$2:$E$801, 0)+1))), "")</f>
        <v/>
      </c>
      <c r="C845" s="10">
        <f>IFERROR(IF(INDEX(ERP資料!$S:$S, (MATCH(844, 輔助計算!$E$2:$E$801, 0)+1))="","",INDEX(ERP資料!$S:$S, (MATCH(844, 輔助計算!$E$2:$E$801, 0)+1))), "")</f>
        <v/>
      </c>
      <c r="D845" s="10">
        <f>IFERROR(IF(INDEX(ERP資料!$E:$E, (MATCH(844, 輔助計算!$E$2:$E$801, 0)+1))="","",TRIM(INDEX(ERP資料!$E:$E, (MATCH(844, 輔助計算!$E$2:$E$801, 0)+1)))), "")</f>
        <v/>
      </c>
      <c r="E845" s="10">
        <f>IFERROR(IF(INDEX(ERP資料!$F:$F, (MATCH(844, 輔助計算!$E$2:$E$801, 0)+1))="","",INDEX(ERP資料!$F:$F, (MATCH(844, 輔助計算!$E$2:$E$801, 0)+1))), "")</f>
        <v/>
      </c>
      <c r="F845" s="10">
        <f>IFERROR(IF(INDEX(ERP資料!$G:$G, (MATCH(844, 輔助計算!$E$2:$E$801, 0)+1))="","",INDEX(ERP資料!$G:$G, (MATCH(844, 輔助計算!$E$2:$E$801, 0)+1))), "")</f>
        <v/>
      </c>
      <c r="G845" s="10">
        <f>IFERROR(IF(INDEX(ERP資料!$H:$H, (MATCH(844, 輔助計算!$E$2:$E$801, 0)+1))="","",INDEX(ERP資料!$H:$H, (MATCH(844, 輔助計算!$E$2:$E$801, 0)+1))), "")</f>
        <v/>
      </c>
      <c r="H845" s="15">
        <f>IFERROR(INDEX(輔助計算!$D:$D, (MATCH(844, 輔助計算!$E$2:$E$801, 0)+1)), "")</f>
        <v/>
      </c>
      <c r="I845" s="10">
        <f>IFERROR(IF(INDEX(ERP資料!$O:$O, (MATCH(844, 輔助計算!$E$2:$E$801, 0)+1))="","",INDEX(ERP資料!$O:$O, (MATCH(844, 輔助計算!$E$2:$E$801, 0)+1))), "")</f>
        <v/>
      </c>
      <c r="J845" s="15">
        <f>IFERROR(IF(INDEX(輔助計算!$D:$D,(MATCH(844, 輔助計算!$E$2:$E$801, 0)+1))="","",INDEX(輔助計算!$D:$D,(MATCH(844, 輔助計算!$E$2:$E$801, 0)+1))*INDEX(ERP資料!$O:$O,(MATCH(844, 輔助計算!$E$2:$E$801, 0)+1))), "")</f>
        <v/>
      </c>
      <c r="K845" s="16" t="n"/>
      <c r="L845" s="16" t="n"/>
      <c r="M845" s="17" t="n"/>
    </row>
    <row r="846">
      <c r="A846" s="14">
        <f>IFERROR(IF(INDEX(ERP資料!$B:$B, (MATCH(845, 輔助計算!$E$2:$E$801, 0)+1))="","",INDEX(ERP資料!$B:$B, (MATCH(845, 輔助計算!$E$2:$E$801, 0)+1))), "")</f>
        <v/>
      </c>
      <c r="B846" s="10">
        <f>IFERROR(IF(INDEX(ERP資料!$A:$A, (MATCH(845, 輔助計算!$E$2:$E$801, 0)+1))="","",INDEX(ERP資料!$A:$A, (MATCH(845, 輔助計算!$E$2:$E$801, 0)+1))), "")</f>
        <v/>
      </c>
      <c r="C846" s="10">
        <f>IFERROR(IF(INDEX(ERP資料!$S:$S, (MATCH(845, 輔助計算!$E$2:$E$801, 0)+1))="","",INDEX(ERP資料!$S:$S, (MATCH(845, 輔助計算!$E$2:$E$801, 0)+1))), "")</f>
        <v/>
      </c>
      <c r="D846" s="10">
        <f>IFERROR(IF(INDEX(ERP資料!$E:$E, (MATCH(845, 輔助計算!$E$2:$E$801, 0)+1))="","",TRIM(INDEX(ERP資料!$E:$E, (MATCH(845, 輔助計算!$E$2:$E$801, 0)+1)))), "")</f>
        <v/>
      </c>
      <c r="E846" s="10">
        <f>IFERROR(IF(INDEX(ERP資料!$F:$F, (MATCH(845, 輔助計算!$E$2:$E$801, 0)+1))="","",INDEX(ERP資料!$F:$F, (MATCH(845, 輔助計算!$E$2:$E$801, 0)+1))), "")</f>
        <v/>
      </c>
      <c r="F846" s="10">
        <f>IFERROR(IF(INDEX(ERP資料!$G:$G, (MATCH(845, 輔助計算!$E$2:$E$801, 0)+1))="","",INDEX(ERP資料!$G:$G, (MATCH(845, 輔助計算!$E$2:$E$801, 0)+1))), "")</f>
        <v/>
      </c>
      <c r="G846" s="10">
        <f>IFERROR(IF(INDEX(ERP資料!$H:$H, (MATCH(845, 輔助計算!$E$2:$E$801, 0)+1))="","",INDEX(ERP資料!$H:$H, (MATCH(845, 輔助計算!$E$2:$E$801, 0)+1))), "")</f>
        <v/>
      </c>
      <c r="H846" s="15">
        <f>IFERROR(INDEX(輔助計算!$D:$D, (MATCH(845, 輔助計算!$E$2:$E$801, 0)+1)), "")</f>
        <v/>
      </c>
      <c r="I846" s="10">
        <f>IFERROR(IF(INDEX(ERP資料!$O:$O, (MATCH(845, 輔助計算!$E$2:$E$801, 0)+1))="","",INDEX(ERP資料!$O:$O, (MATCH(845, 輔助計算!$E$2:$E$801, 0)+1))), "")</f>
        <v/>
      </c>
      <c r="J846" s="15">
        <f>IFERROR(IF(INDEX(輔助計算!$D:$D,(MATCH(845, 輔助計算!$E$2:$E$801, 0)+1))="","",INDEX(輔助計算!$D:$D,(MATCH(845, 輔助計算!$E$2:$E$801, 0)+1))*INDEX(ERP資料!$O:$O,(MATCH(845, 輔助計算!$E$2:$E$801, 0)+1))), "")</f>
        <v/>
      </c>
      <c r="K846" s="16" t="n"/>
      <c r="L846" s="16" t="n"/>
      <c r="M846" s="17" t="n"/>
    </row>
    <row r="847">
      <c r="A847" s="14">
        <f>IFERROR(IF(INDEX(ERP資料!$B:$B, (MATCH(846, 輔助計算!$E$2:$E$801, 0)+1))="","",INDEX(ERP資料!$B:$B, (MATCH(846, 輔助計算!$E$2:$E$801, 0)+1))), "")</f>
        <v/>
      </c>
      <c r="B847" s="10">
        <f>IFERROR(IF(INDEX(ERP資料!$A:$A, (MATCH(846, 輔助計算!$E$2:$E$801, 0)+1))="","",INDEX(ERP資料!$A:$A, (MATCH(846, 輔助計算!$E$2:$E$801, 0)+1))), "")</f>
        <v/>
      </c>
      <c r="C847" s="10">
        <f>IFERROR(IF(INDEX(ERP資料!$S:$S, (MATCH(846, 輔助計算!$E$2:$E$801, 0)+1))="","",INDEX(ERP資料!$S:$S, (MATCH(846, 輔助計算!$E$2:$E$801, 0)+1))), "")</f>
        <v/>
      </c>
      <c r="D847" s="10">
        <f>IFERROR(IF(INDEX(ERP資料!$E:$E, (MATCH(846, 輔助計算!$E$2:$E$801, 0)+1))="","",TRIM(INDEX(ERP資料!$E:$E, (MATCH(846, 輔助計算!$E$2:$E$801, 0)+1)))), "")</f>
        <v/>
      </c>
      <c r="E847" s="10">
        <f>IFERROR(IF(INDEX(ERP資料!$F:$F, (MATCH(846, 輔助計算!$E$2:$E$801, 0)+1))="","",INDEX(ERP資料!$F:$F, (MATCH(846, 輔助計算!$E$2:$E$801, 0)+1))), "")</f>
        <v/>
      </c>
      <c r="F847" s="10">
        <f>IFERROR(IF(INDEX(ERP資料!$G:$G, (MATCH(846, 輔助計算!$E$2:$E$801, 0)+1))="","",INDEX(ERP資料!$G:$G, (MATCH(846, 輔助計算!$E$2:$E$801, 0)+1))), "")</f>
        <v/>
      </c>
      <c r="G847" s="10">
        <f>IFERROR(IF(INDEX(ERP資料!$H:$H, (MATCH(846, 輔助計算!$E$2:$E$801, 0)+1))="","",INDEX(ERP資料!$H:$H, (MATCH(846, 輔助計算!$E$2:$E$801, 0)+1))), "")</f>
        <v/>
      </c>
      <c r="H847" s="15">
        <f>IFERROR(INDEX(輔助計算!$D:$D, (MATCH(846, 輔助計算!$E$2:$E$801, 0)+1)), "")</f>
        <v/>
      </c>
      <c r="I847" s="10">
        <f>IFERROR(IF(INDEX(ERP資料!$O:$O, (MATCH(846, 輔助計算!$E$2:$E$801, 0)+1))="","",INDEX(ERP資料!$O:$O, (MATCH(846, 輔助計算!$E$2:$E$801, 0)+1))), "")</f>
        <v/>
      </c>
      <c r="J847" s="15">
        <f>IFERROR(IF(INDEX(輔助計算!$D:$D,(MATCH(846, 輔助計算!$E$2:$E$801, 0)+1))="","",INDEX(輔助計算!$D:$D,(MATCH(846, 輔助計算!$E$2:$E$801, 0)+1))*INDEX(ERP資料!$O:$O,(MATCH(846, 輔助計算!$E$2:$E$801, 0)+1))), "")</f>
        <v/>
      </c>
      <c r="K847" s="16" t="n"/>
      <c r="L847" s="16" t="n"/>
      <c r="M847" s="17" t="n"/>
    </row>
    <row r="848">
      <c r="A848" s="14">
        <f>IFERROR(IF(INDEX(ERP資料!$B:$B, (MATCH(847, 輔助計算!$E$2:$E$801, 0)+1))="","",INDEX(ERP資料!$B:$B, (MATCH(847, 輔助計算!$E$2:$E$801, 0)+1))), "")</f>
        <v/>
      </c>
      <c r="B848" s="10">
        <f>IFERROR(IF(INDEX(ERP資料!$A:$A, (MATCH(847, 輔助計算!$E$2:$E$801, 0)+1))="","",INDEX(ERP資料!$A:$A, (MATCH(847, 輔助計算!$E$2:$E$801, 0)+1))), "")</f>
        <v/>
      </c>
      <c r="C848" s="10">
        <f>IFERROR(IF(INDEX(ERP資料!$S:$S, (MATCH(847, 輔助計算!$E$2:$E$801, 0)+1))="","",INDEX(ERP資料!$S:$S, (MATCH(847, 輔助計算!$E$2:$E$801, 0)+1))), "")</f>
        <v/>
      </c>
      <c r="D848" s="10">
        <f>IFERROR(IF(INDEX(ERP資料!$E:$E, (MATCH(847, 輔助計算!$E$2:$E$801, 0)+1))="","",TRIM(INDEX(ERP資料!$E:$E, (MATCH(847, 輔助計算!$E$2:$E$801, 0)+1)))), "")</f>
        <v/>
      </c>
      <c r="E848" s="10">
        <f>IFERROR(IF(INDEX(ERP資料!$F:$F, (MATCH(847, 輔助計算!$E$2:$E$801, 0)+1))="","",INDEX(ERP資料!$F:$F, (MATCH(847, 輔助計算!$E$2:$E$801, 0)+1))), "")</f>
        <v/>
      </c>
      <c r="F848" s="10">
        <f>IFERROR(IF(INDEX(ERP資料!$G:$G, (MATCH(847, 輔助計算!$E$2:$E$801, 0)+1))="","",INDEX(ERP資料!$G:$G, (MATCH(847, 輔助計算!$E$2:$E$801, 0)+1))), "")</f>
        <v/>
      </c>
      <c r="G848" s="10">
        <f>IFERROR(IF(INDEX(ERP資料!$H:$H, (MATCH(847, 輔助計算!$E$2:$E$801, 0)+1))="","",INDEX(ERP資料!$H:$H, (MATCH(847, 輔助計算!$E$2:$E$801, 0)+1))), "")</f>
        <v/>
      </c>
      <c r="H848" s="15">
        <f>IFERROR(INDEX(輔助計算!$D:$D, (MATCH(847, 輔助計算!$E$2:$E$801, 0)+1)), "")</f>
        <v/>
      </c>
      <c r="I848" s="10">
        <f>IFERROR(IF(INDEX(ERP資料!$O:$O, (MATCH(847, 輔助計算!$E$2:$E$801, 0)+1))="","",INDEX(ERP資料!$O:$O, (MATCH(847, 輔助計算!$E$2:$E$801, 0)+1))), "")</f>
        <v/>
      </c>
      <c r="J848" s="15">
        <f>IFERROR(IF(INDEX(輔助計算!$D:$D,(MATCH(847, 輔助計算!$E$2:$E$801, 0)+1))="","",INDEX(輔助計算!$D:$D,(MATCH(847, 輔助計算!$E$2:$E$801, 0)+1))*INDEX(ERP資料!$O:$O,(MATCH(847, 輔助計算!$E$2:$E$801, 0)+1))), "")</f>
        <v/>
      </c>
      <c r="K848" s="16" t="n"/>
      <c r="L848" s="16" t="n"/>
      <c r="M848" s="17" t="n"/>
    </row>
    <row r="849">
      <c r="A849" s="14">
        <f>IFERROR(IF(INDEX(ERP資料!$B:$B, (MATCH(848, 輔助計算!$E$2:$E$801, 0)+1))="","",INDEX(ERP資料!$B:$B, (MATCH(848, 輔助計算!$E$2:$E$801, 0)+1))), "")</f>
        <v/>
      </c>
      <c r="B849" s="10">
        <f>IFERROR(IF(INDEX(ERP資料!$A:$A, (MATCH(848, 輔助計算!$E$2:$E$801, 0)+1))="","",INDEX(ERP資料!$A:$A, (MATCH(848, 輔助計算!$E$2:$E$801, 0)+1))), "")</f>
        <v/>
      </c>
      <c r="C849" s="10">
        <f>IFERROR(IF(INDEX(ERP資料!$S:$S, (MATCH(848, 輔助計算!$E$2:$E$801, 0)+1))="","",INDEX(ERP資料!$S:$S, (MATCH(848, 輔助計算!$E$2:$E$801, 0)+1))), "")</f>
        <v/>
      </c>
      <c r="D849" s="10">
        <f>IFERROR(IF(INDEX(ERP資料!$E:$E, (MATCH(848, 輔助計算!$E$2:$E$801, 0)+1))="","",TRIM(INDEX(ERP資料!$E:$E, (MATCH(848, 輔助計算!$E$2:$E$801, 0)+1)))), "")</f>
        <v/>
      </c>
      <c r="E849" s="10">
        <f>IFERROR(IF(INDEX(ERP資料!$F:$F, (MATCH(848, 輔助計算!$E$2:$E$801, 0)+1))="","",INDEX(ERP資料!$F:$F, (MATCH(848, 輔助計算!$E$2:$E$801, 0)+1))), "")</f>
        <v/>
      </c>
      <c r="F849" s="10">
        <f>IFERROR(IF(INDEX(ERP資料!$G:$G, (MATCH(848, 輔助計算!$E$2:$E$801, 0)+1))="","",INDEX(ERP資料!$G:$G, (MATCH(848, 輔助計算!$E$2:$E$801, 0)+1))), "")</f>
        <v/>
      </c>
      <c r="G849" s="10">
        <f>IFERROR(IF(INDEX(ERP資料!$H:$H, (MATCH(848, 輔助計算!$E$2:$E$801, 0)+1))="","",INDEX(ERP資料!$H:$H, (MATCH(848, 輔助計算!$E$2:$E$801, 0)+1))), "")</f>
        <v/>
      </c>
      <c r="H849" s="15">
        <f>IFERROR(INDEX(輔助計算!$D:$D, (MATCH(848, 輔助計算!$E$2:$E$801, 0)+1)), "")</f>
        <v/>
      </c>
      <c r="I849" s="10">
        <f>IFERROR(IF(INDEX(ERP資料!$O:$O, (MATCH(848, 輔助計算!$E$2:$E$801, 0)+1))="","",INDEX(ERP資料!$O:$O, (MATCH(848, 輔助計算!$E$2:$E$801, 0)+1))), "")</f>
        <v/>
      </c>
      <c r="J849" s="15">
        <f>IFERROR(IF(INDEX(輔助計算!$D:$D,(MATCH(848, 輔助計算!$E$2:$E$801, 0)+1))="","",INDEX(輔助計算!$D:$D,(MATCH(848, 輔助計算!$E$2:$E$801, 0)+1))*INDEX(ERP資料!$O:$O,(MATCH(848, 輔助計算!$E$2:$E$801, 0)+1))), "")</f>
        <v/>
      </c>
      <c r="K849" s="16" t="n"/>
      <c r="L849" s="16" t="n"/>
      <c r="M849" s="17" t="n"/>
    </row>
    <row r="850">
      <c r="A850" s="14">
        <f>IFERROR(IF(INDEX(ERP資料!$B:$B, (MATCH(849, 輔助計算!$E$2:$E$801, 0)+1))="","",INDEX(ERP資料!$B:$B, (MATCH(849, 輔助計算!$E$2:$E$801, 0)+1))), "")</f>
        <v/>
      </c>
      <c r="B850" s="10">
        <f>IFERROR(IF(INDEX(ERP資料!$A:$A, (MATCH(849, 輔助計算!$E$2:$E$801, 0)+1))="","",INDEX(ERP資料!$A:$A, (MATCH(849, 輔助計算!$E$2:$E$801, 0)+1))), "")</f>
        <v/>
      </c>
      <c r="C850" s="10">
        <f>IFERROR(IF(INDEX(ERP資料!$S:$S, (MATCH(849, 輔助計算!$E$2:$E$801, 0)+1))="","",INDEX(ERP資料!$S:$S, (MATCH(849, 輔助計算!$E$2:$E$801, 0)+1))), "")</f>
        <v/>
      </c>
      <c r="D850" s="10">
        <f>IFERROR(IF(INDEX(ERP資料!$E:$E, (MATCH(849, 輔助計算!$E$2:$E$801, 0)+1))="","",TRIM(INDEX(ERP資料!$E:$E, (MATCH(849, 輔助計算!$E$2:$E$801, 0)+1)))), "")</f>
        <v/>
      </c>
      <c r="E850" s="10">
        <f>IFERROR(IF(INDEX(ERP資料!$F:$F, (MATCH(849, 輔助計算!$E$2:$E$801, 0)+1))="","",INDEX(ERP資料!$F:$F, (MATCH(849, 輔助計算!$E$2:$E$801, 0)+1))), "")</f>
        <v/>
      </c>
      <c r="F850" s="10">
        <f>IFERROR(IF(INDEX(ERP資料!$G:$G, (MATCH(849, 輔助計算!$E$2:$E$801, 0)+1))="","",INDEX(ERP資料!$G:$G, (MATCH(849, 輔助計算!$E$2:$E$801, 0)+1))), "")</f>
        <v/>
      </c>
      <c r="G850" s="10">
        <f>IFERROR(IF(INDEX(ERP資料!$H:$H, (MATCH(849, 輔助計算!$E$2:$E$801, 0)+1))="","",INDEX(ERP資料!$H:$H, (MATCH(849, 輔助計算!$E$2:$E$801, 0)+1))), "")</f>
        <v/>
      </c>
      <c r="H850" s="15">
        <f>IFERROR(INDEX(輔助計算!$D:$D, (MATCH(849, 輔助計算!$E$2:$E$801, 0)+1)), "")</f>
        <v/>
      </c>
      <c r="I850" s="10">
        <f>IFERROR(IF(INDEX(ERP資料!$O:$O, (MATCH(849, 輔助計算!$E$2:$E$801, 0)+1))="","",INDEX(ERP資料!$O:$O, (MATCH(849, 輔助計算!$E$2:$E$801, 0)+1))), "")</f>
        <v/>
      </c>
      <c r="J850" s="15">
        <f>IFERROR(IF(INDEX(輔助計算!$D:$D,(MATCH(849, 輔助計算!$E$2:$E$801, 0)+1))="","",INDEX(輔助計算!$D:$D,(MATCH(849, 輔助計算!$E$2:$E$801, 0)+1))*INDEX(ERP資料!$O:$O,(MATCH(849, 輔助計算!$E$2:$E$801, 0)+1))), "")</f>
        <v/>
      </c>
      <c r="K850" s="16" t="n"/>
      <c r="L850" s="16" t="n"/>
      <c r="M850" s="17" t="n"/>
    </row>
    <row r="851">
      <c r="A851" s="14">
        <f>IFERROR(IF(INDEX(ERP資料!$B:$B, (MATCH(850, 輔助計算!$E$2:$E$801, 0)+1))="","",INDEX(ERP資料!$B:$B, (MATCH(850, 輔助計算!$E$2:$E$801, 0)+1))), "")</f>
        <v/>
      </c>
      <c r="B851" s="10">
        <f>IFERROR(IF(INDEX(ERP資料!$A:$A, (MATCH(850, 輔助計算!$E$2:$E$801, 0)+1))="","",INDEX(ERP資料!$A:$A, (MATCH(850, 輔助計算!$E$2:$E$801, 0)+1))), "")</f>
        <v/>
      </c>
      <c r="C851" s="10">
        <f>IFERROR(IF(INDEX(ERP資料!$S:$S, (MATCH(850, 輔助計算!$E$2:$E$801, 0)+1))="","",INDEX(ERP資料!$S:$S, (MATCH(850, 輔助計算!$E$2:$E$801, 0)+1))), "")</f>
        <v/>
      </c>
      <c r="D851" s="10">
        <f>IFERROR(IF(INDEX(ERP資料!$E:$E, (MATCH(850, 輔助計算!$E$2:$E$801, 0)+1))="","",TRIM(INDEX(ERP資料!$E:$E, (MATCH(850, 輔助計算!$E$2:$E$801, 0)+1)))), "")</f>
        <v/>
      </c>
      <c r="E851" s="10">
        <f>IFERROR(IF(INDEX(ERP資料!$F:$F, (MATCH(850, 輔助計算!$E$2:$E$801, 0)+1))="","",INDEX(ERP資料!$F:$F, (MATCH(850, 輔助計算!$E$2:$E$801, 0)+1))), "")</f>
        <v/>
      </c>
      <c r="F851" s="10">
        <f>IFERROR(IF(INDEX(ERP資料!$G:$G, (MATCH(850, 輔助計算!$E$2:$E$801, 0)+1))="","",INDEX(ERP資料!$G:$G, (MATCH(850, 輔助計算!$E$2:$E$801, 0)+1))), "")</f>
        <v/>
      </c>
      <c r="G851" s="10">
        <f>IFERROR(IF(INDEX(ERP資料!$H:$H, (MATCH(850, 輔助計算!$E$2:$E$801, 0)+1))="","",INDEX(ERP資料!$H:$H, (MATCH(850, 輔助計算!$E$2:$E$801, 0)+1))), "")</f>
        <v/>
      </c>
      <c r="H851" s="15">
        <f>IFERROR(INDEX(輔助計算!$D:$D, (MATCH(850, 輔助計算!$E$2:$E$801, 0)+1)), "")</f>
        <v/>
      </c>
      <c r="I851" s="10">
        <f>IFERROR(IF(INDEX(ERP資料!$O:$O, (MATCH(850, 輔助計算!$E$2:$E$801, 0)+1))="","",INDEX(ERP資料!$O:$O, (MATCH(850, 輔助計算!$E$2:$E$801, 0)+1))), "")</f>
        <v/>
      </c>
      <c r="J851" s="15">
        <f>IFERROR(IF(INDEX(輔助計算!$D:$D,(MATCH(850, 輔助計算!$E$2:$E$801, 0)+1))="","",INDEX(輔助計算!$D:$D,(MATCH(850, 輔助計算!$E$2:$E$801, 0)+1))*INDEX(ERP資料!$O:$O,(MATCH(850, 輔助計算!$E$2:$E$801, 0)+1))), "")</f>
        <v/>
      </c>
      <c r="K851" s="16" t="n"/>
      <c r="L851" s="16" t="n"/>
      <c r="M851" s="17" t="n"/>
    </row>
    <row r="852">
      <c r="A852" s="14">
        <f>IFERROR(IF(INDEX(ERP資料!$B:$B, (MATCH(851, 輔助計算!$E$2:$E$801, 0)+1))="","",INDEX(ERP資料!$B:$B, (MATCH(851, 輔助計算!$E$2:$E$801, 0)+1))), "")</f>
        <v/>
      </c>
      <c r="B852" s="10">
        <f>IFERROR(IF(INDEX(ERP資料!$A:$A, (MATCH(851, 輔助計算!$E$2:$E$801, 0)+1))="","",INDEX(ERP資料!$A:$A, (MATCH(851, 輔助計算!$E$2:$E$801, 0)+1))), "")</f>
        <v/>
      </c>
      <c r="C852" s="10">
        <f>IFERROR(IF(INDEX(ERP資料!$S:$S, (MATCH(851, 輔助計算!$E$2:$E$801, 0)+1))="","",INDEX(ERP資料!$S:$S, (MATCH(851, 輔助計算!$E$2:$E$801, 0)+1))), "")</f>
        <v/>
      </c>
      <c r="D852" s="10">
        <f>IFERROR(IF(INDEX(ERP資料!$E:$E, (MATCH(851, 輔助計算!$E$2:$E$801, 0)+1))="","",TRIM(INDEX(ERP資料!$E:$E, (MATCH(851, 輔助計算!$E$2:$E$801, 0)+1)))), "")</f>
        <v/>
      </c>
      <c r="E852" s="10">
        <f>IFERROR(IF(INDEX(ERP資料!$F:$F, (MATCH(851, 輔助計算!$E$2:$E$801, 0)+1))="","",INDEX(ERP資料!$F:$F, (MATCH(851, 輔助計算!$E$2:$E$801, 0)+1))), "")</f>
        <v/>
      </c>
      <c r="F852" s="10">
        <f>IFERROR(IF(INDEX(ERP資料!$G:$G, (MATCH(851, 輔助計算!$E$2:$E$801, 0)+1))="","",INDEX(ERP資料!$G:$G, (MATCH(851, 輔助計算!$E$2:$E$801, 0)+1))), "")</f>
        <v/>
      </c>
      <c r="G852" s="10">
        <f>IFERROR(IF(INDEX(ERP資料!$H:$H, (MATCH(851, 輔助計算!$E$2:$E$801, 0)+1))="","",INDEX(ERP資料!$H:$H, (MATCH(851, 輔助計算!$E$2:$E$801, 0)+1))), "")</f>
        <v/>
      </c>
      <c r="H852" s="15">
        <f>IFERROR(INDEX(輔助計算!$D:$D, (MATCH(851, 輔助計算!$E$2:$E$801, 0)+1)), "")</f>
        <v/>
      </c>
      <c r="I852" s="10">
        <f>IFERROR(IF(INDEX(ERP資料!$O:$O, (MATCH(851, 輔助計算!$E$2:$E$801, 0)+1))="","",INDEX(ERP資料!$O:$O, (MATCH(851, 輔助計算!$E$2:$E$801, 0)+1))), "")</f>
        <v/>
      </c>
      <c r="J852" s="15">
        <f>IFERROR(IF(INDEX(輔助計算!$D:$D,(MATCH(851, 輔助計算!$E$2:$E$801, 0)+1))="","",INDEX(輔助計算!$D:$D,(MATCH(851, 輔助計算!$E$2:$E$801, 0)+1))*INDEX(ERP資料!$O:$O,(MATCH(851, 輔助計算!$E$2:$E$801, 0)+1))), "")</f>
        <v/>
      </c>
      <c r="K852" s="16" t="n"/>
      <c r="L852" s="16" t="n"/>
      <c r="M852" s="17" t="n"/>
    </row>
    <row r="853">
      <c r="A853" s="14">
        <f>IFERROR(IF(INDEX(ERP資料!$B:$B, (MATCH(852, 輔助計算!$E$2:$E$801, 0)+1))="","",INDEX(ERP資料!$B:$B, (MATCH(852, 輔助計算!$E$2:$E$801, 0)+1))), "")</f>
        <v/>
      </c>
      <c r="B853" s="10">
        <f>IFERROR(IF(INDEX(ERP資料!$A:$A, (MATCH(852, 輔助計算!$E$2:$E$801, 0)+1))="","",INDEX(ERP資料!$A:$A, (MATCH(852, 輔助計算!$E$2:$E$801, 0)+1))), "")</f>
        <v/>
      </c>
      <c r="C853" s="10">
        <f>IFERROR(IF(INDEX(ERP資料!$S:$S, (MATCH(852, 輔助計算!$E$2:$E$801, 0)+1))="","",INDEX(ERP資料!$S:$S, (MATCH(852, 輔助計算!$E$2:$E$801, 0)+1))), "")</f>
        <v/>
      </c>
      <c r="D853" s="10">
        <f>IFERROR(IF(INDEX(ERP資料!$E:$E, (MATCH(852, 輔助計算!$E$2:$E$801, 0)+1))="","",TRIM(INDEX(ERP資料!$E:$E, (MATCH(852, 輔助計算!$E$2:$E$801, 0)+1)))), "")</f>
        <v/>
      </c>
      <c r="E853" s="10">
        <f>IFERROR(IF(INDEX(ERP資料!$F:$F, (MATCH(852, 輔助計算!$E$2:$E$801, 0)+1))="","",INDEX(ERP資料!$F:$F, (MATCH(852, 輔助計算!$E$2:$E$801, 0)+1))), "")</f>
        <v/>
      </c>
      <c r="F853" s="10">
        <f>IFERROR(IF(INDEX(ERP資料!$G:$G, (MATCH(852, 輔助計算!$E$2:$E$801, 0)+1))="","",INDEX(ERP資料!$G:$G, (MATCH(852, 輔助計算!$E$2:$E$801, 0)+1))), "")</f>
        <v/>
      </c>
      <c r="G853" s="10">
        <f>IFERROR(IF(INDEX(ERP資料!$H:$H, (MATCH(852, 輔助計算!$E$2:$E$801, 0)+1))="","",INDEX(ERP資料!$H:$H, (MATCH(852, 輔助計算!$E$2:$E$801, 0)+1))), "")</f>
        <v/>
      </c>
      <c r="H853" s="15">
        <f>IFERROR(INDEX(輔助計算!$D:$D, (MATCH(852, 輔助計算!$E$2:$E$801, 0)+1)), "")</f>
        <v/>
      </c>
      <c r="I853" s="10">
        <f>IFERROR(IF(INDEX(ERP資料!$O:$O, (MATCH(852, 輔助計算!$E$2:$E$801, 0)+1))="","",INDEX(ERP資料!$O:$O, (MATCH(852, 輔助計算!$E$2:$E$801, 0)+1))), "")</f>
        <v/>
      </c>
      <c r="J853" s="15">
        <f>IFERROR(IF(INDEX(輔助計算!$D:$D,(MATCH(852, 輔助計算!$E$2:$E$801, 0)+1))="","",INDEX(輔助計算!$D:$D,(MATCH(852, 輔助計算!$E$2:$E$801, 0)+1))*INDEX(ERP資料!$O:$O,(MATCH(852, 輔助計算!$E$2:$E$801, 0)+1))), "")</f>
        <v/>
      </c>
      <c r="K853" s="16" t="n"/>
      <c r="L853" s="16" t="n"/>
      <c r="M853" s="17" t="n"/>
    </row>
    <row r="854">
      <c r="A854" s="14">
        <f>IFERROR(IF(INDEX(ERP資料!$B:$B, (MATCH(853, 輔助計算!$E$2:$E$801, 0)+1))="","",INDEX(ERP資料!$B:$B, (MATCH(853, 輔助計算!$E$2:$E$801, 0)+1))), "")</f>
        <v/>
      </c>
      <c r="B854" s="10">
        <f>IFERROR(IF(INDEX(ERP資料!$A:$A, (MATCH(853, 輔助計算!$E$2:$E$801, 0)+1))="","",INDEX(ERP資料!$A:$A, (MATCH(853, 輔助計算!$E$2:$E$801, 0)+1))), "")</f>
        <v/>
      </c>
      <c r="C854" s="10">
        <f>IFERROR(IF(INDEX(ERP資料!$S:$S, (MATCH(853, 輔助計算!$E$2:$E$801, 0)+1))="","",INDEX(ERP資料!$S:$S, (MATCH(853, 輔助計算!$E$2:$E$801, 0)+1))), "")</f>
        <v/>
      </c>
      <c r="D854" s="10">
        <f>IFERROR(IF(INDEX(ERP資料!$E:$E, (MATCH(853, 輔助計算!$E$2:$E$801, 0)+1))="","",TRIM(INDEX(ERP資料!$E:$E, (MATCH(853, 輔助計算!$E$2:$E$801, 0)+1)))), "")</f>
        <v/>
      </c>
      <c r="E854" s="10">
        <f>IFERROR(IF(INDEX(ERP資料!$F:$F, (MATCH(853, 輔助計算!$E$2:$E$801, 0)+1))="","",INDEX(ERP資料!$F:$F, (MATCH(853, 輔助計算!$E$2:$E$801, 0)+1))), "")</f>
        <v/>
      </c>
      <c r="F854" s="10">
        <f>IFERROR(IF(INDEX(ERP資料!$G:$G, (MATCH(853, 輔助計算!$E$2:$E$801, 0)+1))="","",INDEX(ERP資料!$G:$G, (MATCH(853, 輔助計算!$E$2:$E$801, 0)+1))), "")</f>
        <v/>
      </c>
      <c r="G854" s="10">
        <f>IFERROR(IF(INDEX(ERP資料!$H:$H, (MATCH(853, 輔助計算!$E$2:$E$801, 0)+1))="","",INDEX(ERP資料!$H:$H, (MATCH(853, 輔助計算!$E$2:$E$801, 0)+1))), "")</f>
        <v/>
      </c>
      <c r="H854" s="15">
        <f>IFERROR(INDEX(輔助計算!$D:$D, (MATCH(853, 輔助計算!$E$2:$E$801, 0)+1)), "")</f>
        <v/>
      </c>
      <c r="I854" s="10">
        <f>IFERROR(IF(INDEX(ERP資料!$O:$O, (MATCH(853, 輔助計算!$E$2:$E$801, 0)+1))="","",INDEX(ERP資料!$O:$O, (MATCH(853, 輔助計算!$E$2:$E$801, 0)+1))), "")</f>
        <v/>
      </c>
      <c r="J854" s="15">
        <f>IFERROR(IF(INDEX(輔助計算!$D:$D,(MATCH(853, 輔助計算!$E$2:$E$801, 0)+1))="","",INDEX(輔助計算!$D:$D,(MATCH(853, 輔助計算!$E$2:$E$801, 0)+1))*INDEX(ERP資料!$O:$O,(MATCH(853, 輔助計算!$E$2:$E$801, 0)+1))), "")</f>
        <v/>
      </c>
      <c r="K854" s="16" t="n"/>
      <c r="L854" s="16" t="n"/>
      <c r="M854" s="17" t="n"/>
    </row>
    <row r="855">
      <c r="A855" s="14">
        <f>IFERROR(IF(INDEX(ERP資料!$B:$B, (MATCH(854, 輔助計算!$E$2:$E$801, 0)+1))="","",INDEX(ERP資料!$B:$B, (MATCH(854, 輔助計算!$E$2:$E$801, 0)+1))), "")</f>
        <v/>
      </c>
      <c r="B855" s="10">
        <f>IFERROR(IF(INDEX(ERP資料!$A:$A, (MATCH(854, 輔助計算!$E$2:$E$801, 0)+1))="","",INDEX(ERP資料!$A:$A, (MATCH(854, 輔助計算!$E$2:$E$801, 0)+1))), "")</f>
        <v/>
      </c>
      <c r="C855" s="10">
        <f>IFERROR(IF(INDEX(ERP資料!$S:$S, (MATCH(854, 輔助計算!$E$2:$E$801, 0)+1))="","",INDEX(ERP資料!$S:$S, (MATCH(854, 輔助計算!$E$2:$E$801, 0)+1))), "")</f>
        <v/>
      </c>
      <c r="D855" s="10">
        <f>IFERROR(IF(INDEX(ERP資料!$E:$E, (MATCH(854, 輔助計算!$E$2:$E$801, 0)+1))="","",TRIM(INDEX(ERP資料!$E:$E, (MATCH(854, 輔助計算!$E$2:$E$801, 0)+1)))), "")</f>
        <v/>
      </c>
      <c r="E855" s="10">
        <f>IFERROR(IF(INDEX(ERP資料!$F:$F, (MATCH(854, 輔助計算!$E$2:$E$801, 0)+1))="","",INDEX(ERP資料!$F:$F, (MATCH(854, 輔助計算!$E$2:$E$801, 0)+1))), "")</f>
        <v/>
      </c>
      <c r="F855" s="10">
        <f>IFERROR(IF(INDEX(ERP資料!$G:$G, (MATCH(854, 輔助計算!$E$2:$E$801, 0)+1))="","",INDEX(ERP資料!$G:$G, (MATCH(854, 輔助計算!$E$2:$E$801, 0)+1))), "")</f>
        <v/>
      </c>
      <c r="G855" s="10">
        <f>IFERROR(IF(INDEX(ERP資料!$H:$H, (MATCH(854, 輔助計算!$E$2:$E$801, 0)+1))="","",INDEX(ERP資料!$H:$H, (MATCH(854, 輔助計算!$E$2:$E$801, 0)+1))), "")</f>
        <v/>
      </c>
      <c r="H855" s="15">
        <f>IFERROR(INDEX(輔助計算!$D:$D, (MATCH(854, 輔助計算!$E$2:$E$801, 0)+1)), "")</f>
        <v/>
      </c>
      <c r="I855" s="10">
        <f>IFERROR(IF(INDEX(ERP資料!$O:$O, (MATCH(854, 輔助計算!$E$2:$E$801, 0)+1))="","",INDEX(ERP資料!$O:$O, (MATCH(854, 輔助計算!$E$2:$E$801, 0)+1))), "")</f>
        <v/>
      </c>
      <c r="J855" s="15">
        <f>IFERROR(IF(INDEX(輔助計算!$D:$D,(MATCH(854, 輔助計算!$E$2:$E$801, 0)+1))="","",INDEX(輔助計算!$D:$D,(MATCH(854, 輔助計算!$E$2:$E$801, 0)+1))*INDEX(ERP資料!$O:$O,(MATCH(854, 輔助計算!$E$2:$E$801, 0)+1))), "")</f>
        <v/>
      </c>
      <c r="K855" s="16" t="n"/>
      <c r="L855" s="16" t="n"/>
      <c r="M855" s="17" t="n"/>
    </row>
    <row r="856">
      <c r="A856" s="14">
        <f>IFERROR(IF(INDEX(ERP資料!$B:$B, (MATCH(855, 輔助計算!$E$2:$E$801, 0)+1))="","",INDEX(ERP資料!$B:$B, (MATCH(855, 輔助計算!$E$2:$E$801, 0)+1))), "")</f>
        <v/>
      </c>
      <c r="B856" s="10">
        <f>IFERROR(IF(INDEX(ERP資料!$A:$A, (MATCH(855, 輔助計算!$E$2:$E$801, 0)+1))="","",INDEX(ERP資料!$A:$A, (MATCH(855, 輔助計算!$E$2:$E$801, 0)+1))), "")</f>
        <v/>
      </c>
      <c r="C856" s="10">
        <f>IFERROR(IF(INDEX(ERP資料!$S:$S, (MATCH(855, 輔助計算!$E$2:$E$801, 0)+1))="","",INDEX(ERP資料!$S:$S, (MATCH(855, 輔助計算!$E$2:$E$801, 0)+1))), "")</f>
        <v/>
      </c>
      <c r="D856" s="10">
        <f>IFERROR(IF(INDEX(ERP資料!$E:$E, (MATCH(855, 輔助計算!$E$2:$E$801, 0)+1))="","",TRIM(INDEX(ERP資料!$E:$E, (MATCH(855, 輔助計算!$E$2:$E$801, 0)+1)))), "")</f>
        <v/>
      </c>
      <c r="E856" s="10">
        <f>IFERROR(IF(INDEX(ERP資料!$F:$F, (MATCH(855, 輔助計算!$E$2:$E$801, 0)+1))="","",INDEX(ERP資料!$F:$F, (MATCH(855, 輔助計算!$E$2:$E$801, 0)+1))), "")</f>
        <v/>
      </c>
      <c r="F856" s="10">
        <f>IFERROR(IF(INDEX(ERP資料!$G:$G, (MATCH(855, 輔助計算!$E$2:$E$801, 0)+1))="","",INDEX(ERP資料!$G:$G, (MATCH(855, 輔助計算!$E$2:$E$801, 0)+1))), "")</f>
        <v/>
      </c>
      <c r="G856" s="10">
        <f>IFERROR(IF(INDEX(ERP資料!$H:$H, (MATCH(855, 輔助計算!$E$2:$E$801, 0)+1))="","",INDEX(ERP資料!$H:$H, (MATCH(855, 輔助計算!$E$2:$E$801, 0)+1))), "")</f>
        <v/>
      </c>
      <c r="H856" s="15">
        <f>IFERROR(INDEX(輔助計算!$D:$D, (MATCH(855, 輔助計算!$E$2:$E$801, 0)+1)), "")</f>
        <v/>
      </c>
      <c r="I856" s="10">
        <f>IFERROR(IF(INDEX(ERP資料!$O:$O, (MATCH(855, 輔助計算!$E$2:$E$801, 0)+1))="","",INDEX(ERP資料!$O:$O, (MATCH(855, 輔助計算!$E$2:$E$801, 0)+1))), "")</f>
        <v/>
      </c>
      <c r="J856" s="15">
        <f>IFERROR(IF(INDEX(輔助計算!$D:$D,(MATCH(855, 輔助計算!$E$2:$E$801, 0)+1))="","",INDEX(輔助計算!$D:$D,(MATCH(855, 輔助計算!$E$2:$E$801, 0)+1))*INDEX(ERP資料!$O:$O,(MATCH(855, 輔助計算!$E$2:$E$801, 0)+1))), "")</f>
        <v/>
      </c>
      <c r="K856" s="16" t="n"/>
      <c r="L856" s="16" t="n"/>
      <c r="M856" s="17" t="n"/>
    </row>
    <row r="857">
      <c r="A857" s="14">
        <f>IFERROR(IF(INDEX(ERP資料!$B:$B, (MATCH(856, 輔助計算!$E$2:$E$801, 0)+1))="","",INDEX(ERP資料!$B:$B, (MATCH(856, 輔助計算!$E$2:$E$801, 0)+1))), "")</f>
        <v/>
      </c>
      <c r="B857" s="10">
        <f>IFERROR(IF(INDEX(ERP資料!$A:$A, (MATCH(856, 輔助計算!$E$2:$E$801, 0)+1))="","",INDEX(ERP資料!$A:$A, (MATCH(856, 輔助計算!$E$2:$E$801, 0)+1))), "")</f>
        <v/>
      </c>
      <c r="C857" s="10">
        <f>IFERROR(IF(INDEX(ERP資料!$S:$S, (MATCH(856, 輔助計算!$E$2:$E$801, 0)+1))="","",INDEX(ERP資料!$S:$S, (MATCH(856, 輔助計算!$E$2:$E$801, 0)+1))), "")</f>
        <v/>
      </c>
      <c r="D857" s="10">
        <f>IFERROR(IF(INDEX(ERP資料!$E:$E, (MATCH(856, 輔助計算!$E$2:$E$801, 0)+1))="","",TRIM(INDEX(ERP資料!$E:$E, (MATCH(856, 輔助計算!$E$2:$E$801, 0)+1)))), "")</f>
        <v/>
      </c>
      <c r="E857" s="10">
        <f>IFERROR(IF(INDEX(ERP資料!$F:$F, (MATCH(856, 輔助計算!$E$2:$E$801, 0)+1))="","",INDEX(ERP資料!$F:$F, (MATCH(856, 輔助計算!$E$2:$E$801, 0)+1))), "")</f>
        <v/>
      </c>
      <c r="F857" s="10">
        <f>IFERROR(IF(INDEX(ERP資料!$G:$G, (MATCH(856, 輔助計算!$E$2:$E$801, 0)+1))="","",INDEX(ERP資料!$G:$G, (MATCH(856, 輔助計算!$E$2:$E$801, 0)+1))), "")</f>
        <v/>
      </c>
      <c r="G857" s="10">
        <f>IFERROR(IF(INDEX(ERP資料!$H:$H, (MATCH(856, 輔助計算!$E$2:$E$801, 0)+1))="","",INDEX(ERP資料!$H:$H, (MATCH(856, 輔助計算!$E$2:$E$801, 0)+1))), "")</f>
        <v/>
      </c>
      <c r="H857" s="15">
        <f>IFERROR(INDEX(輔助計算!$D:$D, (MATCH(856, 輔助計算!$E$2:$E$801, 0)+1)), "")</f>
        <v/>
      </c>
      <c r="I857" s="10">
        <f>IFERROR(IF(INDEX(ERP資料!$O:$O, (MATCH(856, 輔助計算!$E$2:$E$801, 0)+1))="","",INDEX(ERP資料!$O:$O, (MATCH(856, 輔助計算!$E$2:$E$801, 0)+1))), "")</f>
        <v/>
      </c>
      <c r="J857" s="15">
        <f>IFERROR(IF(INDEX(輔助計算!$D:$D,(MATCH(856, 輔助計算!$E$2:$E$801, 0)+1))="","",INDEX(輔助計算!$D:$D,(MATCH(856, 輔助計算!$E$2:$E$801, 0)+1))*INDEX(ERP資料!$O:$O,(MATCH(856, 輔助計算!$E$2:$E$801, 0)+1))), "")</f>
        <v/>
      </c>
      <c r="K857" s="16" t="n"/>
      <c r="L857" s="16" t="n"/>
      <c r="M857" s="17" t="n"/>
    </row>
    <row r="858">
      <c r="A858" s="14">
        <f>IFERROR(IF(INDEX(ERP資料!$B:$B, (MATCH(857, 輔助計算!$E$2:$E$801, 0)+1))="","",INDEX(ERP資料!$B:$B, (MATCH(857, 輔助計算!$E$2:$E$801, 0)+1))), "")</f>
        <v/>
      </c>
      <c r="B858" s="10">
        <f>IFERROR(IF(INDEX(ERP資料!$A:$A, (MATCH(857, 輔助計算!$E$2:$E$801, 0)+1))="","",INDEX(ERP資料!$A:$A, (MATCH(857, 輔助計算!$E$2:$E$801, 0)+1))), "")</f>
        <v/>
      </c>
      <c r="C858" s="10">
        <f>IFERROR(IF(INDEX(ERP資料!$S:$S, (MATCH(857, 輔助計算!$E$2:$E$801, 0)+1))="","",INDEX(ERP資料!$S:$S, (MATCH(857, 輔助計算!$E$2:$E$801, 0)+1))), "")</f>
        <v/>
      </c>
      <c r="D858" s="10">
        <f>IFERROR(IF(INDEX(ERP資料!$E:$E, (MATCH(857, 輔助計算!$E$2:$E$801, 0)+1))="","",TRIM(INDEX(ERP資料!$E:$E, (MATCH(857, 輔助計算!$E$2:$E$801, 0)+1)))), "")</f>
        <v/>
      </c>
      <c r="E858" s="10">
        <f>IFERROR(IF(INDEX(ERP資料!$F:$F, (MATCH(857, 輔助計算!$E$2:$E$801, 0)+1))="","",INDEX(ERP資料!$F:$F, (MATCH(857, 輔助計算!$E$2:$E$801, 0)+1))), "")</f>
        <v/>
      </c>
      <c r="F858" s="10">
        <f>IFERROR(IF(INDEX(ERP資料!$G:$G, (MATCH(857, 輔助計算!$E$2:$E$801, 0)+1))="","",INDEX(ERP資料!$G:$G, (MATCH(857, 輔助計算!$E$2:$E$801, 0)+1))), "")</f>
        <v/>
      </c>
      <c r="G858" s="10">
        <f>IFERROR(IF(INDEX(ERP資料!$H:$H, (MATCH(857, 輔助計算!$E$2:$E$801, 0)+1))="","",INDEX(ERP資料!$H:$H, (MATCH(857, 輔助計算!$E$2:$E$801, 0)+1))), "")</f>
        <v/>
      </c>
      <c r="H858" s="15">
        <f>IFERROR(INDEX(輔助計算!$D:$D, (MATCH(857, 輔助計算!$E$2:$E$801, 0)+1)), "")</f>
        <v/>
      </c>
      <c r="I858" s="10">
        <f>IFERROR(IF(INDEX(ERP資料!$O:$O, (MATCH(857, 輔助計算!$E$2:$E$801, 0)+1))="","",INDEX(ERP資料!$O:$O, (MATCH(857, 輔助計算!$E$2:$E$801, 0)+1))), "")</f>
        <v/>
      </c>
      <c r="J858" s="15">
        <f>IFERROR(IF(INDEX(輔助計算!$D:$D,(MATCH(857, 輔助計算!$E$2:$E$801, 0)+1))="","",INDEX(輔助計算!$D:$D,(MATCH(857, 輔助計算!$E$2:$E$801, 0)+1))*INDEX(ERP資料!$O:$O,(MATCH(857, 輔助計算!$E$2:$E$801, 0)+1))), "")</f>
        <v/>
      </c>
      <c r="K858" s="16" t="n"/>
      <c r="L858" s="16" t="n"/>
      <c r="M858" s="17" t="n"/>
    </row>
    <row r="859">
      <c r="A859" s="14">
        <f>IFERROR(IF(INDEX(ERP資料!$B:$B, (MATCH(858, 輔助計算!$E$2:$E$801, 0)+1))="","",INDEX(ERP資料!$B:$B, (MATCH(858, 輔助計算!$E$2:$E$801, 0)+1))), "")</f>
        <v/>
      </c>
      <c r="B859" s="10">
        <f>IFERROR(IF(INDEX(ERP資料!$A:$A, (MATCH(858, 輔助計算!$E$2:$E$801, 0)+1))="","",INDEX(ERP資料!$A:$A, (MATCH(858, 輔助計算!$E$2:$E$801, 0)+1))), "")</f>
        <v/>
      </c>
      <c r="C859" s="10">
        <f>IFERROR(IF(INDEX(ERP資料!$S:$S, (MATCH(858, 輔助計算!$E$2:$E$801, 0)+1))="","",INDEX(ERP資料!$S:$S, (MATCH(858, 輔助計算!$E$2:$E$801, 0)+1))), "")</f>
        <v/>
      </c>
      <c r="D859" s="10">
        <f>IFERROR(IF(INDEX(ERP資料!$E:$E, (MATCH(858, 輔助計算!$E$2:$E$801, 0)+1))="","",TRIM(INDEX(ERP資料!$E:$E, (MATCH(858, 輔助計算!$E$2:$E$801, 0)+1)))), "")</f>
        <v/>
      </c>
      <c r="E859" s="10">
        <f>IFERROR(IF(INDEX(ERP資料!$F:$F, (MATCH(858, 輔助計算!$E$2:$E$801, 0)+1))="","",INDEX(ERP資料!$F:$F, (MATCH(858, 輔助計算!$E$2:$E$801, 0)+1))), "")</f>
        <v/>
      </c>
      <c r="F859" s="10">
        <f>IFERROR(IF(INDEX(ERP資料!$G:$G, (MATCH(858, 輔助計算!$E$2:$E$801, 0)+1))="","",INDEX(ERP資料!$G:$G, (MATCH(858, 輔助計算!$E$2:$E$801, 0)+1))), "")</f>
        <v/>
      </c>
      <c r="G859" s="10">
        <f>IFERROR(IF(INDEX(ERP資料!$H:$H, (MATCH(858, 輔助計算!$E$2:$E$801, 0)+1))="","",INDEX(ERP資料!$H:$H, (MATCH(858, 輔助計算!$E$2:$E$801, 0)+1))), "")</f>
        <v/>
      </c>
      <c r="H859" s="15">
        <f>IFERROR(INDEX(輔助計算!$D:$D, (MATCH(858, 輔助計算!$E$2:$E$801, 0)+1)), "")</f>
        <v/>
      </c>
      <c r="I859" s="10">
        <f>IFERROR(IF(INDEX(ERP資料!$O:$O, (MATCH(858, 輔助計算!$E$2:$E$801, 0)+1))="","",INDEX(ERP資料!$O:$O, (MATCH(858, 輔助計算!$E$2:$E$801, 0)+1))), "")</f>
        <v/>
      </c>
      <c r="J859" s="15">
        <f>IFERROR(IF(INDEX(輔助計算!$D:$D,(MATCH(858, 輔助計算!$E$2:$E$801, 0)+1))="","",INDEX(輔助計算!$D:$D,(MATCH(858, 輔助計算!$E$2:$E$801, 0)+1))*INDEX(ERP資料!$O:$O,(MATCH(858, 輔助計算!$E$2:$E$801, 0)+1))), "")</f>
        <v/>
      </c>
      <c r="K859" s="16" t="n"/>
      <c r="L859" s="16" t="n"/>
      <c r="M859" s="17" t="n"/>
    </row>
    <row r="860">
      <c r="A860" s="14">
        <f>IFERROR(IF(INDEX(ERP資料!$B:$B, (MATCH(859, 輔助計算!$E$2:$E$801, 0)+1))="","",INDEX(ERP資料!$B:$B, (MATCH(859, 輔助計算!$E$2:$E$801, 0)+1))), "")</f>
        <v/>
      </c>
      <c r="B860" s="10">
        <f>IFERROR(IF(INDEX(ERP資料!$A:$A, (MATCH(859, 輔助計算!$E$2:$E$801, 0)+1))="","",INDEX(ERP資料!$A:$A, (MATCH(859, 輔助計算!$E$2:$E$801, 0)+1))), "")</f>
        <v/>
      </c>
      <c r="C860" s="10">
        <f>IFERROR(IF(INDEX(ERP資料!$S:$S, (MATCH(859, 輔助計算!$E$2:$E$801, 0)+1))="","",INDEX(ERP資料!$S:$S, (MATCH(859, 輔助計算!$E$2:$E$801, 0)+1))), "")</f>
        <v/>
      </c>
      <c r="D860" s="10">
        <f>IFERROR(IF(INDEX(ERP資料!$E:$E, (MATCH(859, 輔助計算!$E$2:$E$801, 0)+1))="","",TRIM(INDEX(ERP資料!$E:$E, (MATCH(859, 輔助計算!$E$2:$E$801, 0)+1)))), "")</f>
        <v/>
      </c>
      <c r="E860" s="10">
        <f>IFERROR(IF(INDEX(ERP資料!$F:$F, (MATCH(859, 輔助計算!$E$2:$E$801, 0)+1))="","",INDEX(ERP資料!$F:$F, (MATCH(859, 輔助計算!$E$2:$E$801, 0)+1))), "")</f>
        <v/>
      </c>
      <c r="F860" s="10">
        <f>IFERROR(IF(INDEX(ERP資料!$G:$G, (MATCH(859, 輔助計算!$E$2:$E$801, 0)+1))="","",INDEX(ERP資料!$G:$G, (MATCH(859, 輔助計算!$E$2:$E$801, 0)+1))), "")</f>
        <v/>
      </c>
      <c r="G860" s="10">
        <f>IFERROR(IF(INDEX(ERP資料!$H:$H, (MATCH(859, 輔助計算!$E$2:$E$801, 0)+1))="","",INDEX(ERP資料!$H:$H, (MATCH(859, 輔助計算!$E$2:$E$801, 0)+1))), "")</f>
        <v/>
      </c>
      <c r="H860" s="15">
        <f>IFERROR(INDEX(輔助計算!$D:$D, (MATCH(859, 輔助計算!$E$2:$E$801, 0)+1)), "")</f>
        <v/>
      </c>
      <c r="I860" s="10">
        <f>IFERROR(IF(INDEX(ERP資料!$O:$O, (MATCH(859, 輔助計算!$E$2:$E$801, 0)+1))="","",INDEX(ERP資料!$O:$O, (MATCH(859, 輔助計算!$E$2:$E$801, 0)+1))), "")</f>
        <v/>
      </c>
      <c r="J860" s="15">
        <f>IFERROR(IF(INDEX(輔助計算!$D:$D,(MATCH(859, 輔助計算!$E$2:$E$801, 0)+1))="","",INDEX(輔助計算!$D:$D,(MATCH(859, 輔助計算!$E$2:$E$801, 0)+1))*INDEX(ERP資料!$O:$O,(MATCH(859, 輔助計算!$E$2:$E$801, 0)+1))), "")</f>
        <v/>
      </c>
      <c r="K860" s="16" t="n"/>
      <c r="L860" s="16" t="n"/>
      <c r="M860" s="17" t="n"/>
    </row>
    <row r="861">
      <c r="A861" s="14">
        <f>IFERROR(IF(INDEX(ERP資料!$B:$B, (MATCH(860, 輔助計算!$E$2:$E$801, 0)+1))="","",INDEX(ERP資料!$B:$B, (MATCH(860, 輔助計算!$E$2:$E$801, 0)+1))), "")</f>
        <v/>
      </c>
      <c r="B861" s="10">
        <f>IFERROR(IF(INDEX(ERP資料!$A:$A, (MATCH(860, 輔助計算!$E$2:$E$801, 0)+1))="","",INDEX(ERP資料!$A:$A, (MATCH(860, 輔助計算!$E$2:$E$801, 0)+1))), "")</f>
        <v/>
      </c>
      <c r="C861" s="10">
        <f>IFERROR(IF(INDEX(ERP資料!$S:$S, (MATCH(860, 輔助計算!$E$2:$E$801, 0)+1))="","",INDEX(ERP資料!$S:$S, (MATCH(860, 輔助計算!$E$2:$E$801, 0)+1))), "")</f>
        <v/>
      </c>
      <c r="D861" s="10">
        <f>IFERROR(IF(INDEX(ERP資料!$E:$E, (MATCH(860, 輔助計算!$E$2:$E$801, 0)+1))="","",TRIM(INDEX(ERP資料!$E:$E, (MATCH(860, 輔助計算!$E$2:$E$801, 0)+1)))), "")</f>
        <v/>
      </c>
      <c r="E861" s="10">
        <f>IFERROR(IF(INDEX(ERP資料!$F:$F, (MATCH(860, 輔助計算!$E$2:$E$801, 0)+1))="","",INDEX(ERP資料!$F:$F, (MATCH(860, 輔助計算!$E$2:$E$801, 0)+1))), "")</f>
        <v/>
      </c>
      <c r="F861" s="10">
        <f>IFERROR(IF(INDEX(ERP資料!$G:$G, (MATCH(860, 輔助計算!$E$2:$E$801, 0)+1))="","",INDEX(ERP資料!$G:$G, (MATCH(860, 輔助計算!$E$2:$E$801, 0)+1))), "")</f>
        <v/>
      </c>
      <c r="G861" s="10">
        <f>IFERROR(IF(INDEX(ERP資料!$H:$H, (MATCH(860, 輔助計算!$E$2:$E$801, 0)+1))="","",INDEX(ERP資料!$H:$H, (MATCH(860, 輔助計算!$E$2:$E$801, 0)+1))), "")</f>
        <v/>
      </c>
      <c r="H861" s="15">
        <f>IFERROR(INDEX(輔助計算!$D:$D, (MATCH(860, 輔助計算!$E$2:$E$801, 0)+1)), "")</f>
        <v/>
      </c>
      <c r="I861" s="10">
        <f>IFERROR(IF(INDEX(ERP資料!$O:$O, (MATCH(860, 輔助計算!$E$2:$E$801, 0)+1))="","",INDEX(ERP資料!$O:$O, (MATCH(860, 輔助計算!$E$2:$E$801, 0)+1))), "")</f>
        <v/>
      </c>
      <c r="J861" s="15">
        <f>IFERROR(IF(INDEX(輔助計算!$D:$D,(MATCH(860, 輔助計算!$E$2:$E$801, 0)+1))="","",INDEX(輔助計算!$D:$D,(MATCH(860, 輔助計算!$E$2:$E$801, 0)+1))*INDEX(ERP資料!$O:$O,(MATCH(860, 輔助計算!$E$2:$E$801, 0)+1))), "")</f>
        <v/>
      </c>
      <c r="K861" s="16" t="n"/>
      <c r="L861" s="16" t="n"/>
      <c r="M861" s="17" t="n"/>
    </row>
    <row r="862">
      <c r="A862" s="14">
        <f>IFERROR(IF(INDEX(ERP資料!$B:$B, (MATCH(861, 輔助計算!$E$2:$E$801, 0)+1))="","",INDEX(ERP資料!$B:$B, (MATCH(861, 輔助計算!$E$2:$E$801, 0)+1))), "")</f>
        <v/>
      </c>
      <c r="B862" s="10">
        <f>IFERROR(IF(INDEX(ERP資料!$A:$A, (MATCH(861, 輔助計算!$E$2:$E$801, 0)+1))="","",INDEX(ERP資料!$A:$A, (MATCH(861, 輔助計算!$E$2:$E$801, 0)+1))), "")</f>
        <v/>
      </c>
      <c r="C862" s="10">
        <f>IFERROR(IF(INDEX(ERP資料!$S:$S, (MATCH(861, 輔助計算!$E$2:$E$801, 0)+1))="","",INDEX(ERP資料!$S:$S, (MATCH(861, 輔助計算!$E$2:$E$801, 0)+1))), "")</f>
        <v/>
      </c>
      <c r="D862" s="10">
        <f>IFERROR(IF(INDEX(ERP資料!$E:$E, (MATCH(861, 輔助計算!$E$2:$E$801, 0)+1))="","",TRIM(INDEX(ERP資料!$E:$E, (MATCH(861, 輔助計算!$E$2:$E$801, 0)+1)))), "")</f>
        <v/>
      </c>
      <c r="E862" s="10">
        <f>IFERROR(IF(INDEX(ERP資料!$F:$F, (MATCH(861, 輔助計算!$E$2:$E$801, 0)+1))="","",INDEX(ERP資料!$F:$F, (MATCH(861, 輔助計算!$E$2:$E$801, 0)+1))), "")</f>
        <v/>
      </c>
      <c r="F862" s="10">
        <f>IFERROR(IF(INDEX(ERP資料!$G:$G, (MATCH(861, 輔助計算!$E$2:$E$801, 0)+1))="","",INDEX(ERP資料!$G:$G, (MATCH(861, 輔助計算!$E$2:$E$801, 0)+1))), "")</f>
        <v/>
      </c>
      <c r="G862" s="10">
        <f>IFERROR(IF(INDEX(ERP資料!$H:$H, (MATCH(861, 輔助計算!$E$2:$E$801, 0)+1))="","",INDEX(ERP資料!$H:$H, (MATCH(861, 輔助計算!$E$2:$E$801, 0)+1))), "")</f>
        <v/>
      </c>
      <c r="H862" s="15">
        <f>IFERROR(INDEX(輔助計算!$D:$D, (MATCH(861, 輔助計算!$E$2:$E$801, 0)+1)), "")</f>
        <v/>
      </c>
      <c r="I862" s="10">
        <f>IFERROR(IF(INDEX(ERP資料!$O:$O, (MATCH(861, 輔助計算!$E$2:$E$801, 0)+1))="","",INDEX(ERP資料!$O:$O, (MATCH(861, 輔助計算!$E$2:$E$801, 0)+1))), "")</f>
        <v/>
      </c>
      <c r="J862" s="15">
        <f>IFERROR(IF(INDEX(輔助計算!$D:$D,(MATCH(861, 輔助計算!$E$2:$E$801, 0)+1))="","",INDEX(輔助計算!$D:$D,(MATCH(861, 輔助計算!$E$2:$E$801, 0)+1))*INDEX(ERP資料!$O:$O,(MATCH(861, 輔助計算!$E$2:$E$801, 0)+1))), "")</f>
        <v/>
      </c>
      <c r="K862" s="16" t="n"/>
      <c r="L862" s="16" t="n"/>
      <c r="M862" s="17" t="n"/>
    </row>
    <row r="863">
      <c r="A863" s="14">
        <f>IFERROR(IF(INDEX(ERP資料!$B:$B, (MATCH(862, 輔助計算!$E$2:$E$801, 0)+1))="","",INDEX(ERP資料!$B:$B, (MATCH(862, 輔助計算!$E$2:$E$801, 0)+1))), "")</f>
        <v/>
      </c>
      <c r="B863" s="10">
        <f>IFERROR(IF(INDEX(ERP資料!$A:$A, (MATCH(862, 輔助計算!$E$2:$E$801, 0)+1))="","",INDEX(ERP資料!$A:$A, (MATCH(862, 輔助計算!$E$2:$E$801, 0)+1))), "")</f>
        <v/>
      </c>
      <c r="C863" s="10">
        <f>IFERROR(IF(INDEX(ERP資料!$S:$S, (MATCH(862, 輔助計算!$E$2:$E$801, 0)+1))="","",INDEX(ERP資料!$S:$S, (MATCH(862, 輔助計算!$E$2:$E$801, 0)+1))), "")</f>
        <v/>
      </c>
      <c r="D863" s="10">
        <f>IFERROR(IF(INDEX(ERP資料!$E:$E, (MATCH(862, 輔助計算!$E$2:$E$801, 0)+1))="","",TRIM(INDEX(ERP資料!$E:$E, (MATCH(862, 輔助計算!$E$2:$E$801, 0)+1)))), "")</f>
        <v/>
      </c>
      <c r="E863" s="10">
        <f>IFERROR(IF(INDEX(ERP資料!$F:$F, (MATCH(862, 輔助計算!$E$2:$E$801, 0)+1))="","",INDEX(ERP資料!$F:$F, (MATCH(862, 輔助計算!$E$2:$E$801, 0)+1))), "")</f>
        <v/>
      </c>
      <c r="F863" s="10">
        <f>IFERROR(IF(INDEX(ERP資料!$G:$G, (MATCH(862, 輔助計算!$E$2:$E$801, 0)+1))="","",INDEX(ERP資料!$G:$G, (MATCH(862, 輔助計算!$E$2:$E$801, 0)+1))), "")</f>
        <v/>
      </c>
      <c r="G863" s="10">
        <f>IFERROR(IF(INDEX(ERP資料!$H:$H, (MATCH(862, 輔助計算!$E$2:$E$801, 0)+1))="","",INDEX(ERP資料!$H:$H, (MATCH(862, 輔助計算!$E$2:$E$801, 0)+1))), "")</f>
        <v/>
      </c>
      <c r="H863" s="15">
        <f>IFERROR(INDEX(輔助計算!$D:$D, (MATCH(862, 輔助計算!$E$2:$E$801, 0)+1)), "")</f>
        <v/>
      </c>
      <c r="I863" s="10">
        <f>IFERROR(IF(INDEX(ERP資料!$O:$O, (MATCH(862, 輔助計算!$E$2:$E$801, 0)+1))="","",INDEX(ERP資料!$O:$O, (MATCH(862, 輔助計算!$E$2:$E$801, 0)+1))), "")</f>
        <v/>
      </c>
      <c r="J863" s="15">
        <f>IFERROR(IF(INDEX(輔助計算!$D:$D,(MATCH(862, 輔助計算!$E$2:$E$801, 0)+1))="","",INDEX(輔助計算!$D:$D,(MATCH(862, 輔助計算!$E$2:$E$801, 0)+1))*INDEX(ERP資料!$O:$O,(MATCH(862, 輔助計算!$E$2:$E$801, 0)+1))), "")</f>
        <v/>
      </c>
      <c r="K863" s="16" t="n"/>
      <c r="L863" s="16" t="n"/>
      <c r="M863" s="17" t="n"/>
    </row>
    <row r="864">
      <c r="A864" s="14">
        <f>IFERROR(IF(INDEX(ERP資料!$B:$B, (MATCH(863, 輔助計算!$E$2:$E$801, 0)+1))="","",INDEX(ERP資料!$B:$B, (MATCH(863, 輔助計算!$E$2:$E$801, 0)+1))), "")</f>
        <v/>
      </c>
      <c r="B864" s="10">
        <f>IFERROR(IF(INDEX(ERP資料!$A:$A, (MATCH(863, 輔助計算!$E$2:$E$801, 0)+1))="","",INDEX(ERP資料!$A:$A, (MATCH(863, 輔助計算!$E$2:$E$801, 0)+1))), "")</f>
        <v/>
      </c>
      <c r="C864" s="10">
        <f>IFERROR(IF(INDEX(ERP資料!$S:$S, (MATCH(863, 輔助計算!$E$2:$E$801, 0)+1))="","",INDEX(ERP資料!$S:$S, (MATCH(863, 輔助計算!$E$2:$E$801, 0)+1))), "")</f>
        <v/>
      </c>
      <c r="D864" s="10">
        <f>IFERROR(IF(INDEX(ERP資料!$E:$E, (MATCH(863, 輔助計算!$E$2:$E$801, 0)+1))="","",TRIM(INDEX(ERP資料!$E:$E, (MATCH(863, 輔助計算!$E$2:$E$801, 0)+1)))), "")</f>
        <v/>
      </c>
      <c r="E864" s="10">
        <f>IFERROR(IF(INDEX(ERP資料!$F:$F, (MATCH(863, 輔助計算!$E$2:$E$801, 0)+1))="","",INDEX(ERP資料!$F:$F, (MATCH(863, 輔助計算!$E$2:$E$801, 0)+1))), "")</f>
        <v/>
      </c>
      <c r="F864" s="10">
        <f>IFERROR(IF(INDEX(ERP資料!$G:$G, (MATCH(863, 輔助計算!$E$2:$E$801, 0)+1))="","",INDEX(ERP資料!$G:$G, (MATCH(863, 輔助計算!$E$2:$E$801, 0)+1))), "")</f>
        <v/>
      </c>
      <c r="G864" s="10">
        <f>IFERROR(IF(INDEX(ERP資料!$H:$H, (MATCH(863, 輔助計算!$E$2:$E$801, 0)+1))="","",INDEX(ERP資料!$H:$H, (MATCH(863, 輔助計算!$E$2:$E$801, 0)+1))), "")</f>
        <v/>
      </c>
      <c r="H864" s="15">
        <f>IFERROR(INDEX(輔助計算!$D:$D, (MATCH(863, 輔助計算!$E$2:$E$801, 0)+1)), "")</f>
        <v/>
      </c>
      <c r="I864" s="10">
        <f>IFERROR(IF(INDEX(ERP資料!$O:$O, (MATCH(863, 輔助計算!$E$2:$E$801, 0)+1))="","",INDEX(ERP資料!$O:$O, (MATCH(863, 輔助計算!$E$2:$E$801, 0)+1))), "")</f>
        <v/>
      </c>
      <c r="J864" s="15">
        <f>IFERROR(IF(INDEX(輔助計算!$D:$D,(MATCH(863, 輔助計算!$E$2:$E$801, 0)+1))="","",INDEX(輔助計算!$D:$D,(MATCH(863, 輔助計算!$E$2:$E$801, 0)+1))*INDEX(ERP資料!$O:$O,(MATCH(863, 輔助計算!$E$2:$E$801, 0)+1))), "")</f>
        <v/>
      </c>
      <c r="K864" s="16" t="n"/>
      <c r="L864" s="16" t="n"/>
      <c r="M864" s="17" t="n"/>
    </row>
    <row r="865">
      <c r="A865" s="14">
        <f>IFERROR(IF(INDEX(ERP資料!$B:$B, (MATCH(864, 輔助計算!$E$2:$E$801, 0)+1))="","",INDEX(ERP資料!$B:$B, (MATCH(864, 輔助計算!$E$2:$E$801, 0)+1))), "")</f>
        <v/>
      </c>
      <c r="B865" s="10">
        <f>IFERROR(IF(INDEX(ERP資料!$A:$A, (MATCH(864, 輔助計算!$E$2:$E$801, 0)+1))="","",INDEX(ERP資料!$A:$A, (MATCH(864, 輔助計算!$E$2:$E$801, 0)+1))), "")</f>
        <v/>
      </c>
      <c r="C865" s="10">
        <f>IFERROR(IF(INDEX(ERP資料!$S:$S, (MATCH(864, 輔助計算!$E$2:$E$801, 0)+1))="","",INDEX(ERP資料!$S:$S, (MATCH(864, 輔助計算!$E$2:$E$801, 0)+1))), "")</f>
        <v/>
      </c>
      <c r="D865" s="10">
        <f>IFERROR(IF(INDEX(ERP資料!$E:$E, (MATCH(864, 輔助計算!$E$2:$E$801, 0)+1))="","",TRIM(INDEX(ERP資料!$E:$E, (MATCH(864, 輔助計算!$E$2:$E$801, 0)+1)))), "")</f>
        <v/>
      </c>
      <c r="E865" s="10">
        <f>IFERROR(IF(INDEX(ERP資料!$F:$F, (MATCH(864, 輔助計算!$E$2:$E$801, 0)+1))="","",INDEX(ERP資料!$F:$F, (MATCH(864, 輔助計算!$E$2:$E$801, 0)+1))), "")</f>
        <v/>
      </c>
      <c r="F865" s="10">
        <f>IFERROR(IF(INDEX(ERP資料!$G:$G, (MATCH(864, 輔助計算!$E$2:$E$801, 0)+1))="","",INDEX(ERP資料!$G:$G, (MATCH(864, 輔助計算!$E$2:$E$801, 0)+1))), "")</f>
        <v/>
      </c>
      <c r="G865" s="10">
        <f>IFERROR(IF(INDEX(ERP資料!$H:$H, (MATCH(864, 輔助計算!$E$2:$E$801, 0)+1))="","",INDEX(ERP資料!$H:$H, (MATCH(864, 輔助計算!$E$2:$E$801, 0)+1))), "")</f>
        <v/>
      </c>
      <c r="H865" s="15">
        <f>IFERROR(INDEX(輔助計算!$D:$D, (MATCH(864, 輔助計算!$E$2:$E$801, 0)+1)), "")</f>
        <v/>
      </c>
      <c r="I865" s="10">
        <f>IFERROR(IF(INDEX(ERP資料!$O:$O, (MATCH(864, 輔助計算!$E$2:$E$801, 0)+1))="","",INDEX(ERP資料!$O:$O, (MATCH(864, 輔助計算!$E$2:$E$801, 0)+1))), "")</f>
        <v/>
      </c>
      <c r="J865" s="15">
        <f>IFERROR(IF(INDEX(輔助計算!$D:$D,(MATCH(864, 輔助計算!$E$2:$E$801, 0)+1))="","",INDEX(輔助計算!$D:$D,(MATCH(864, 輔助計算!$E$2:$E$801, 0)+1))*INDEX(ERP資料!$O:$O,(MATCH(864, 輔助計算!$E$2:$E$801, 0)+1))), "")</f>
        <v/>
      </c>
      <c r="K865" s="16" t="n"/>
      <c r="L865" s="16" t="n"/>
      <c r="M865" s="17" t="n"/>
    </row>
    <row r="866">
      <c r="A866" s="14">
        <f>IFERROR(IF(INDEX(ERP資料!$B:$B, (MATCH(865, 輔助計算!$E$2:$E$801, 0)+1))="","",INDEX(ERP資料!$B:$B, (MATCH(865, 輔助計算!$E$2:$E$801, 0)+1))), "")</f>
        <v/>
      </c>
      <c r="B866" s="10">
        <f>IFERROR(IF(INDEX(ERP資料!$A:$A, (MATCH(865, 輔助計算!$E$2:$E$801, 0)+1))="","",INDEX(ERP資料!$A:$A, (MATCH(865, 輔助計算!$E$2:$E$801, 0)+1))), "")</f>
        <v/>
      </c>
      <c r="C866" s="10">
        <f>IFERROR(IF(INDEX(ERP資料!$S:$S, (MATCH(865, 輔助計算!$E$2:$E$801, 0)+1))="","",INDEX(ERP資料!$S:$S, (MATCH(865, 輔助計算!$E$2:$E$801, 0)+1))), "")</f>
        <v/>
      </c>
      <c r="D866" s="10">
        <f>IFERROR(IF(INDEX(ERP資料!$E:$E, (MATCH(865, 輔助計算!$E$2:$E$801, 0)+1))="","",TRIM(INDEX(ERP資料!$E:$E, (MATCH(865, 輔助計算!$E$2:$E$801, 0)+1)))), "")</f>
        <v/>
      </c>
      <c r="E866" s="10">
        <f>IFERROR(IF(INDEX(ERP資料!$F:$F, (MATCH(865, 輔助計算!$E$2:$E$801, 0)+1))="","",INDEX(ERP資料!$F:$F, (MATCH(865, 輔助計算!$E$2:$E$801, 0)+1))), "")</f>
        <v/>
      </c>
      <c r="F866" s="10">
        <f>IFERROR(IF(INDEX(ERP資料!$G:$G, (MATCH(865, 輔助計算!$E$2:$E$801, 0)+1))="","",INDEX(ERP資料!$G:$G, (MATCH(865, 輔助計算!$E$2:$E$801, 0)+1))), "")</f>
        <v/>
      </c>
      <c r="G866" s="10">
        <f>IFERROR(IF(INDEX(ERP資料!$H:$H, (MATCH(865, 輔助計算!$E$2:$E$801, 0)+1))="","",INDEX(ERP資料!$H:$H, (MATCH(865, 輔助計算!$E$2:$E$801, 0)+1))), "")</f>
        <v/>
      </c>
      <c r="H866" s="15">
        <f>IFERROR(INDEX(輔助計算!$D:$D, (MATCH(865, 輔助計算!$E$2:$E$801, 0)+1)), "")</f>
        <v/>
      </c>
      <c r="I866" s="10">
        <f>IFERROR(IF(INDEX(ERP資料!$O:$O, (MATCH(865, 輔助計算!$E$2:$E$801, 0)+1))="","",INDEX(ERP資料!$O:$O, (MATCH(865, 輔助計算!$E$2:$E$801, 0)+1))), "")</f>
        <v/>
      </c>
      <c r="J866" s="15">
        <f>IFERROR(IF(INDEX(輔助計算!$D:$D,(MATCH(865, 輔助計算!$E$2:$E$801, 0)+1))="","",INDEX(輔助計算!$D:$D,(MATCH(865, 輔助計算!$E$2:$E$801, 0)+1))*INDEX(ERP資料!$O:$O,(MATCH(865, 輔助計算!$E$2:$E$801, 0)+1))), "")</f>
        <v/>
      </c>
      <c r="K866" s="16" t="n"/>
      <c r="L866" s="16" t="n"/>
      <c r="M866" s="17" t="n"/>
    </row>
    <row r="867">
      <c r="A867" s="14">
        <f>IFERROR(IF(INDEX(ERP資料!$B:$B, (MATCH(866, 輔助計算!$E$2:$E$801, 0)+1))="","",INDEX(ERP資料!$B:$B, (MATCH(866, 輔助計算!$E$2:$E$801, 0)+1))), "")</f>
        <v/>
      </c>
      <c r="B867" s="10">
        <f>IFERROR(IF(INDEX(ERP資料!$A:$A, (MATCH(866, 輔助計算!$E$2:$E$801, 0)+1))="","",INDEX(ERP資料!$A:$A, (MATCH(866, 輔助計算!$E$2:$E$801, 0)+1))), "")</f>
        <v/>
      </c>
      <c r="C867" s="10">
        <f>IFERROR(IF(INDEX(ERP資料!$S:$S, (MATCH(866, 輔助計算!$E$2:$E$801, 0)+1))="","",INDEX(ERP資料!$S:$S, (MATCH(866, 輔助計算!$E$2:$E$801, 0)+1))), "")</f>
        <v/>
      </c>
      <c r="D867" s="10">
        <f>IFERROR(IF(INDEX(ERP資料!$E:$E, (MATCH(866, 輔助計算!$E$2:$E$801, 0)+1))="","",TRIM(INDEX(ERP資料!$E:$E, (MATCH(866, 輔助計算!$E$2:$E$801, 0)+1)))), "")</f>
        <v/>
      </c>
      <c r="E867" s="10">
        <f>IFERROR(IF(INDEX(ERP資料!$F:$F, (MATCH(866, 輔助計算!$E$2:$E$801, 0)+1))="","",INDEX(ERP資料!$F:$F, (MATCH(866, 輔助計算!$E$2:$E$801, 0)+1))), "")</f>
        <v/>
      </c>
      <c r="F867" s="10">
        <f>IFERROR(IF(INDEX(ERP資料!$G:$G, (MATCH(866, 輔助計算!$E$2:$E$801, 0)+1))="","",INDEX(ERP資料!$G:$G, (MATCH(866, 輔助計算!$E$2:$E$801, 0)+1))), "")</f>
        <v/>
      </c>
      <c r="G867" s="10">
        <f>IFERROR(IF(INDEX(ERP資料!$H:$H, (MATCH(866, 輔助計算!$E$2:$E$801, 0)+1))="","",INDEX(ERP資料!$H:$H, (MATCH(866, 輔助計算!$E$2:$E$801, 0)+1))), "")</f>
        <v/>
      </c>
      <c r="H867" s="15">
        <f>IFERROR(INDEX(輔助計算!$D:$D, (MATCH(866, 輔助計算!$E$2:$E$801, 0)+1)), "")</f>
        <v/>
      </c>
      <c r="I867" s="10">
        <f>IFERROR(IF(INDEX(ERP資料!$O:$O, (MATCH(866, 輔助計算!$E$2:$E$801, 0)+1))="","",INDEX(ERP資料!$O:$O, (MATCH(866, 輔助計算!$E$2:$E$801, 0)+1))), "")</f>
        <v/>
      </c>
      <c r="J867" s="15">
        <f>IFERROR(IF(INDEX(輔助計算!$D:$D,(MATCH(866, 輔助計算!$E$2:$E$801, 0)+1))="","",INDEX(輔助計算!$D:$D,(MATCH(866, 輔助計算!$E$2:$E$801, 0)+1))*INDEX(ERP資料!$O:$O,(MATCH(866, 輔助計算!$E$2:$E$801, 0)+1))), "")</f>
        <v/>
      </c>
      <c r="K867" s="16" t="n"/>
      <c r="L867" s="16" t="n"/>
      <c r="M867" s="17" t="n"/>
    </row>
    <row r="868">
      <c r="A868" s="14">
        <f>IFERROR(IF(INDEX(ERP資料!$B:$B, (MATCH(867, 輔助計算!$E$2:$E$801, 0)+1))="","",INDEX(ERP資料!$B:$B, (MATCH(867, 輔助計算!$E$2:$E$801, 0)+1))), "")</f>
        <v/>
      </c>
      <c r="B868" s="10">
        <f>IFERROR(IF(INDEX(ERP資料!$A:$A, (MATCH(867, 輔助計算!$E$2:$E$801, 0)+1))="","",INDEX(ERP資料!$A:$A, (MATCH(867, 輔助計算!$E$2:$E$801, 0)+1))), "")</f>
        <v/>
      </c>
      <c r="C868" s="10">
        <f>IFERROR(IF(INDEX(ERP資料!$S:$S, (MATCH(867, 輔助計算!$E$2:$E$801, 0)+1))="","",INDEX(ERP資料!$S:$S, (MATCH(867, 輔助計算!$E$2:$E$801, 0)+1))), "")</f>
        <v/>
      </c>
      <c r="D868" s="10">
        <f>IFERROR(IF(INDEX(ERP資料!$E:$E, (MATCH(867, 輔助計算!$E$2:$E$801, 0)+1))="","",TRIM(INDEX(ERP資料!$E:$E, (MATCH(867, 輔助計算!$E$2:$E$801, 0)+1)))), "")</f>
        <v/>
      </c>
      <c r="E868" s="10">
        <f>IFERROR(IF(INDEX(ERP資料!$F:$F, (MATCH(867, 輔助計算!$E$2:$E$801, 0)+1))="","",INDEX(ERP資料!$F:$F, (MATCH(867, 輔助計算!$E$2:$E$801, 0)+1))), "")</f>
        <v/>
      </c>
      <c r="F868" s="10">
        <f>IFERROR(IF(INDEX(ERP資料!$G:$G, (MATCH(867, 輔助計算!$E$2:$E$801, 0)+1))="","",INDEX(ERP資料!$G:$G, (MATCH(867, 輔助計算!$E$2:$E$801, 0)+1))), "")</f>
        <v/>
      </c>
      <c r="G868" s="10">
        <f>IFERROR(IF(INDEX(ERP資料!$H:$H, (MATCH(867, 輔助計算!$E$2:$E$801, 0)+1))="","",INDEX(ERP資料!$H:$H, (MATCH(867, 輔助計算!$E$2:$E$801, 0)+1))), "")</f>
        <v/>
      </c>
      <c r="H868" s="15">
        <f>IFERROR(INDEX(輔助計算!$D:$D, (MATCH(867, 輔助計算!$E$2:$E$801, 0)+1)), "")</f>
        <v/>
      </c>
      <c r="I868" s="10">
        <f>IFERROR(IF(INDEX(ERP資料!$O:$O, (MATCH(867, 輔助計算!$E$2:$E$801, 0)+1))="","",INDEX(ERP資料!$O:$O, (MATCH(867, 輔助計算!$E$2:$E$801, 0)+1))), "")</f>
        <v/>
      </c>
      <c r="J868" s="15">
        <f>IFERROR(IF(INDEX(輔助計算!$D:$D,(MATCH(867, 輔助計算!$E$2:$E$801, 0)+1))="","",INDEX(輔助計算!$D:$D,(MATCH(867, 輔助計算!$E$2:$E$801, 0)+1))*INDEX(ERP資料!$O:$O,(MATCH(867, 輔助計算!$E$2:$E$801, 0)+1))), "")</f>
        <v/>
      </c>
      <c r="K868" s="16" t="n"/>
      <c r="L868" s="16" t="n"/>
      <c r="M868" s="17" t="n"/>
    </row>
    <row r="869">
      <c r="A869" s="14">
        <f>IFERROR(IF(INDEX(ERP資料!$B:$B, (MATCH(868, 輔助計算!$E$2:$E$801, 0)+1))="","",INDEX(ERP資料!$B:$B, (MATCH(868, 輔助計算!$E$2:$E$801, 0)+1))), "")</f>
        <v/>
      </c>
      <c r="B869" s="10">
        <f>IFERROR(IF(INDEX(ERP資料!$A:$A, (MATCH(868, 輔助計算!$E$2:$E$801, 0)+1))="","",INDEX(ERP資料!$A:$A, (MATCH(868, 輔助計算!$E$2:$E$801, 0)+1))), "")</f>
        <v/>
      </c>
      <c r="C869" s="10">
        <f>IFERROR(IF(INDEX(ERP資料!$S:$S, (MATCH(868, 輔助計算!$E$2:$E$801, 0)+1))="","",INDEX(ERP資料!$S:$S, (MATCH(868, 輔助計算!$E$2:$E$801, 0)+1))), "")</f>
        <v/>
      </c>
      <c r="D869" s="10">
        <f>IFERROR(IF(INDEX(ERP資料!$E:$E, (MATCH(868, 輔助計算!$E$2:$E$801, 0)+1))="","",TRIM(INDEX(ERP資料!$E:$E, (MATCH(868, 輔助計算!$E$2:$E$801, 0)+1)))), "")</f>
        <v/>
      </c>
      <c r="E869" s="10">
        <f>IFERROR(IF(INDEX(ERP資料!$F:$F, (MATCH(868, 輔助計算!$E$2:$E$801, 0)+1))="","",INDEX(ERP資料!$F:$F, (MATCH(868, 輔助計算!$E$2:$E$801, 0)+1))), "")</f>
        <v/>
      </c>
      <c r="F869" s="10">
        <f>IFERROR(IF(INDEX(ERP資料!$G:$G, (MATCH(868, 輔助計算!$E$2:$E$801, 0)+1))="","",INDEX(ERP資料!$G:$G, (MATCH(868, 輔助計算!$E$2:$E$801, 0)+1))), "")</f>
        <v/>
      </c>
      <c r="G869" s="10">
        <f>IFERROR(IF(INDEX(ERP資料!$H:$H, (MATCH(868, 輔助計算!$E$2:$E$801, 0)+1))="","",INDEX(ERP資料!$H:$H, (MATCH(868, 輔助計算!$E$2:$E$801, 0)+1))), "")</f>
        <v/>
      </c>
      <c r="H869" s="15">
        <f>IFERROR(INDEX(輔助計算!$D:$D, (MATCH(868, 輔助計算!$E$2:$E$801, 0)+1)), "")</f>
        <v/>
      </c>
      <c r="I869" s="10">
        <f>IFERROR(IF(INDEX(ERP資料!$O:$O, (MATCH(868, 輔助計算!$E$2:$E$801, 0)+1))="","",INDEX(ERP資料!$O:$O, (MATCH(868, 輔助計算!$E$2:$E$801, 0)+1))), "")</f>
        <v/>
      </c>
      <c r="J869" s="15">
        <f>IFERROR(IF(INDEX(輔助計算!$D:$D,(MATCH(868, 輔助計算!$E$2:$E$801, 0)+1))="","",INDEX(輔助計算!$D:$D,(MATCH(868, 輔助計算!$E$2:$E$801, 0)+1))*INDEX(ERP資料!$O:$O,(MATCH(868, 輔助計算!$E$2:$E$801, 0)+1))), "")</f>
        <v/>
      </c>
      <c r="K869" s="16" t="n"/>
      <c r="L869" s="16" t="n"/>
      <c r="M869" s="17" t="n"/>
    </row>
    <row r="870">
      <c r="A870" s="14">
        <f>IFERROR(IF(INDEX(ERP資料!$B:$B, (MATCH(869, 輔助計算!$E$2:$E$801, 0)+1))="","",INDEX(ERP資料!$B:$B, (MATCH(869, 輔助計算!$E$2:$E$801, 0)+1))), "")</f>
        <v/>
      </c>
      <c r="B870" s="10">
        <f>IFERROR(IF(INDEX(ERP資料!$A:$A, (MATCH(869, 輔助計算!$E$2:$E$801, 0)+1))="","",INDEX(ERP資料!$A:$A, (MATCH(869, 輔助計算!$E$2:$E$801, 0)+1))), "")</f>
        <v/>
      </c>
      <c r="C870" s="10">
        <f>IFERROR(IF(INDEX(ERP資料!$S:$S, (MATCH(869, 輔助計算!$E$2:$E$801, 0)+1))="","",INDEX(ERP資料!$S:$S, (MATCH(869, 輔助計算!$E$2:$E$801, 0)+1))), "")</f>
        <v/>
      </c>
      <c r="D870" s="10">
        <f>IFERROR(IF(INDEX(ERP資料!$E:$E, (MATCH(869, 輔助計算!$E$2:$E$801, 0)+1))="","",TRIM(INDEX(ERP資料!$E:$E, (MATCH(869, 輔助計算!$E$2:$E$801, 0)+1)))), "")</f>
        <v/>
      </c>
      <c r="E870" s="10">
        <f>IFERROR(IF(INDEX(ERP資料!$F:$F, (MATCH(869, 輔助計算!$E$2:$E$801, 0)+1))="","",INDEX(ERP資料!$F:$F, (MATCH(869, 輔助計算!$E$2:$E$801, 0)+1))), "")</f>
        <v/>
      </c>
      <c r="F870" s="10">
        <f>IFERROR(IF(INDEX(ERP資料!$G:$G, (MATCH(869, 輔助計算!$E$2:$E$801, 0)+1))="","",INDEX(ERP資料!$G:$G, (MATCH(869, 輔助計算!$E$2:$E$801, 0)+1))), "")</f>
        <v/>
      </c>
      <c r="G870" s="10">
        <f>IFERROR(IF(INDEX(ERP資料!$H:$H, (MATCH(869, 輔助計算!$E$2:$E$801, 0)+1))="","",INDEX(ERP資料!$H:$H, (MATCH(869, 輔助計算!$E$2:$E$801, 0)+1))), "")</f>
        <v/>
      </c>
      <c r="H870" s="15">
        <f>IFERROR(INDEX(輔助計算!$D:$D, (MATCH(869, 輔助計算!$E$2:$E$801, 0)+1)), "")</f>
        <v/>
      </c>
      <c r="I870" s="10">
        <f>IFERROR(IF(INDEX(ERP資料!$O:$O, (MATCH(869, 輔助計算!$E$2:$E$801, 0)+1))="","",INDEX(ERP資料!$O:$O, (MATCH(869, 輔助計算!$E$2:$E$801, 0)+1))), "")</f>
        <v/>
      </c>
      <c r="J870" s="15">
        <f>IFERROR(IF(INDEX(輔助計算!$D:$D,(MATCH(869, 輔助計算!$E$2:$E$801, 0)+1))="","",INDEX(輔助計算!$D:$D,(MATCH(869, 輔助計算!$E$2:$E$801, 0)+1))*INDEX(ERP資料!$O:$O,(MATCH(869, 輔助計算!$E$2:$E$801, 0)+1))), "")</f>
        <v/>
      </c>
      <c r="K870" s="16" t="n"/>
      <c r="L870" s="16" t="n"/>
      <c r="M870" s="17" t="n"/>
    </row>
    <row r="871">
      <c r="A871" s="14">
        <f>IFERROR(IF(INDEX(ERP資料!$B:$B, (MATCH(870, 輔助計算!$E$2:$E$801, 0)+1))="","",INDEX(ERP資料!$B:$B, (MATCH(870, 輔助計算!$E$2:$E$801, 0)+1))), "")</f>
        <v/>
      </c>
      <c r="B871" s="10">
        <f>IFERROR(IF(INDEX(ERP資料!$A:$A, (MATCH(870, 輔助計算!$E$2:$E$801, 0)+1))="","",INDEX(ERP資料!$A:$A, (MATCH(870, 輔助計算!$E$2:$E$801, 0)+1))), "")</f>
        <v/>
      </c>
      <c r="C871" s="10">
        <f>IFERROR(IF(INDEX(ERP資料!$S:$S, (MATCH(870, 輔助計算!$E$2:$E$801, 0)+1))="","",INDEX(ERP資料!$S:$S, (MATCH(870, 輔助計算!$E$2:$E$801, 0)+1))), "")</f>
        <v/>
      </c>
      <c r="D871" s="10">
        <f>IFERROR(IF(INDEX(ERP資料!$E:$E, (MATCH(870, 輔助計算!$E$2:$E$801, 0)+1))="","",TRIM(INDEX(ERP資料!$E:$E, (MATCH(870, 輔助計算!$E$2:$E$801, 0)+1)))), "")</f>
        <v/>
      </c>
      <c r="E871" s="10">
        <f>IFERROR(IF(INDEX(ERP資料!$F:$F, (MATCH(870, 輔助計算!$E$2:$E$801, 0)+1))="","",INDEX(ERP資料!$F:$F, (MATCH(870, 輔助計算!$E$2:$E$801, 0)+1))), "")</f>
        <v/>
      </c>
      <c r="F871" s="10">
        <f>IFERROR(IF(INDEX(ERP資料!$G:$G, (MATCH(870, 輔助計算!$E$2:$E$801, 0)+1))="","",INDEX(ERP資料!$G:$G, (MATCH(870, 輔助計算!$E$2:$E$801, 0)+1))), "")</f>
        <v/>
      </c>
      <c r="G871" s="10">
        <f>IFERROR(IF(INDEX(ERP資料!$H:$H, (MATCH(870, 輔助計算!$E$2:$E$801, 0)+1))="","",INDEX(ERP資料!$H:$H, (MATCH(870, 輔助計算!$E$2:$E$801, 0)+1))), "")</f>
        <v/>
      </c>
      <c r="H871" s="15">
        <f>IFERROR(INDEX(輔助計算!$D:$D, (MATCH(870, 輔助計算!$E$2:$E$801, 0)+1)), "")</f>
        <v/>
      </c>
      <c r="I871" s="10">
        <f>IFERROR(IF(INDEX(ERP資料!$O:$O, (MATCH(870, 輔助計算!$E$2:$E$801, 0)+1))="","",INDEX(ERP資料!$O:$O, (MATCH(870, 輔助計算!$E$2:$E$801, 0)+1))), "")</f>
        <v/>
      </c>
      <c r="J871" s="15">
        <f>IFERROR(IF(INDEX(輔助計算!$D:$D,(MATCH(870, 輔助計算!$E$2:$E$801, 0)+1))="","",INDEX(輔助計算!$D:$D,(MATCH(870, 輔助計算!$E$2:$E$801, 0)+1))*INDEX(ERP資料!$O:$O,(MATCH(870, 輔助計算!$E$2:$E$801, 0)+1))), "")</f>
        <v/>
      </c>
      <c r="K871" s="16" t="n"/>
      <c r="L871" s="16" t="n"/>
      <c r="M871" s="17" t="n"/>
    </row>
    <row r="872">
      <c r="A872" s="14">
        <f>IFERROR(IF(INDEX(ERP資料!$B:$B, (MATCH(871, 輔助計算!$E$2:$E$801, 0)+1))="","",INDEX(ERP資料!$B:$B, (MATCH(871, 輔助計算!$E$2:$E$801, 0)+1))), "")</f>
        <v/>
      </c>
      <c r="B872" s="10">
        <f>IFERROR(IF(INDEX(ERP資料!$A:$A, (MATCH(871, 輔助計算!$E$2:$E$801, 0)+1))="","",INDEX(ERP資料!$A:$A, (MATCH(871, 輔助計算!$E$2:$E$801, 0)+1))), "")</f>
        <v/>
      </c>
      <c r="C872" s="10">
        <f>IFERROR(IF(INDEX(ERP資料!$S:$S, (MATCH(871, 輔助計算!$E$2:$E$801, 0)+1))="","",INDEX(ERP資料!$S:$S, (MATCH(871, 輔助計算!$E$2:$E$801, 0)+1))), "")</f>
        <v/>
      </c>
      <c r="D872" s="10">
        <f>IFERROR(IF(INDEX(ERP資料!$E:$E, (MATCH(871, 輔助計算!$E$2:$E$801, 0)+1))="","",TRIM(INDEX(ERP資料!$E:$E, (MATCH(871, 輔助計算!$E$2:$E$801, 0)+1)))), "")</f>
        <v/>
      </c>
      <c r="E872" s="10">
        <f>IFERROR(IF(INDEX(ERP資料!$F:$F, (MATCH(871, 輔助計算!$E$2:$E$801, 0)+1))="","",INDEX(ERP資料!$F:$F, (MATCH(871, 輔助計算!$E$2:$E$801, 0)+1))), "")</f>
        <v/>
      </c>
      <c r="F872" s="10">
        <f>IFERROR(IF(INDEX(ERP資料!$G:$G, (MATCH(871, 輔助計算!$E$2:$E$801, 0)+1))="","",INDEX(ERP資料!$G:$G, (MATCH(871, 輔助計算!$E$2:$E$801, 0)+1))), "")</f>
        <v/>
      </c>
      <c r="G872" s="10">
        <f>IFERROR(IF(INDEX(ERP資料!$H:$H, (MATCH(871, 輔助計算!$E$2:$E$801, 0)+1))="","",INDEX(ERP資料!$H:$H, (MATCH(871, 輔助計算!$E$2:$E$801, 0)+1))), "")</f>
        <v/>
      </c>
      <c r="H872" s="15">
        <f>IFERROR(INDEX(輔助計算!$D:$D, (MATCH(871, 輔助計算!$E$2:$E$801, 0)+1)), "")</f>
        <v/>
      </c>
      <c r="I872" s="10">
        <f>IFERROR(IF(INDEX(ERP資料!$O:$O, (MATCH(871, 輔助計算!$E$2:$E$801, 0)+1))="","",INDEX(ERP資料!$O:$O, (MATCH(871, 輔助計算!$E$2:$E$801, 0)+1))), "")</f>
        <v/>
      </c>
      <c r="J872" s="15">
        <f>IFERROR(IF(INDEX(輔助計算!$D:$D,(MATCH(871, 輔助計算!$E$2:$E$801, 0)+1))="","",INDEX(輔助計算!$D:$D,(MATCH(871, 輔助計算!$E$2:$E$801, 0)+1))*INDEX(ERP資料!$O:$O,(MATCH(871, 輔助計算!$E$2:$E$801, 0)+1))), "")</f>
        <v/>
      </c>
      <c r="K872" s="16" t="n"/>
      <c r="L872" s="16" t="n"/>
      <c r="M872" s="17" t="n"/>
    </row>
    <row r="873">
      <c r="A873" s="14">
        <f>IFERROR(IF(INDEX(ERP資料!$B:$B, (MATCH(872, 輔助計算!$E$2:$E$801, 0)+1))="","",INDEX(ERP資料!$B:$B, (MATCH(872, 輔助計算!$E$2:$E$801, 0)+1))), "")</f>
        <v/>
      </c>
      <c r="B873" s="10">
        <f>IFERROR(IF(INDEX(ERP資料!$A:$A, (MATCH(872, 輔助計算!$E$2:$E$801, 0)+1))="","",INDEX(ERP資料!$A:$A, (MATCH(872, 輔助計算!$E$2:$E$801, 0)+1))), "")</f>
        <v/>
      </c>
      <c r="C873" s="10">
        <f>IFERROR(IF(INDEX(ERP資料!$S:$S, (MATCH(872, 輔助計算!$E$2:$E$801, 0)+1))="","",INDEX(ERP資料!$S:$S, (MATCH(872, 輔助計算!$E$2:$E$801, 0)+1))), "")</f>
        <v/>
      </c>
      <c r="D873" s="10">
        <f>IFERROR(IF(INDEX(ERP資料!$E:$E, (MATCH(872, 輔助計算!$E$2:$E$801, 0)+1))="","",TRIM(INDEX(ERP資料!$E:$E, (MATCH(872, 輔助計算!$E$2:$E$801, 0)+1)))), "")</f>
        <v/>
      </c>
      <c r="E873" s="10">
        <f>IFERROR(IF(INDEX(ERP資料!$F:$F, (MATCH(872, 輔助計算!$E$2:$E$801, 0)+1))="","",INDEX(ERP資料!$F:$F, (MATCH(872, 輔助計算!$E$2:$E$801, 0)+1))), "")</f>
        <v/>
      </c>
      <c r="F873" s="10">
        <f>IFERROR(IF(INDEX(ERP資料!$G:$G, (MATCH(872, 輔助計算!$E$2:$E$801, 0)+1))="","",INDEX(ERP資料!$G:$G, (MATCH(872, 輔助計算!$E$2:$E$801, 0)+1))), "")</f>
        <v/>
      </c>
      <c r="G873" s="10">
        <f>IFERROR(IF(INDEX(ERP資料!$H:$H, (MATCH(872, 輔助計算!$E$2:$E$801, 0)+1))="","",INDEX(ERP資料!$H:$H, (MATCH(872, 輔助計算!$E$2:$E$801, 0)+1))), "")</f>
        <v/>
      </c>
      <c r="H873" s="15">
        <f>IFERROR(INDEX(輔助計算!$D:$D, (MATCH(872, 輔助計算!$E$2:$E$801, 0)+1)), "")</f>
        <v/>
      </c>
      <c r="I873" s="10">
        <f>IFERROR(IF(INDEX(ERP資料!$O:$O, (MATCH(872, 輔助計算!$E$2:$E$801, 0)+1))="","",INDEX(ERP資料!$O:$O, (MATCH(872, 輔助計算!$E$2:$E$801, 0)+1))), "")</f>
        <v/>
      </c>
      <c r="J873" s="15">
        <f>IFERROR(IF(INDEX(輔助計算!$D:$D,(MATCH(872, 輔助計算!$E$2:$E$801, 0)+1))="","",INDEX(輔助計算!$D:$D,(MATCH(872, 輔助計算!$E$2:$E$801, 0)+1))*INDEX(ERP資料!$O:$O,(MATCH(872, 輔助計算!$E$2:$E$801, 0)+1))), "")</f>
        <v/>
      </c>
      <c r="K873" s="16" t="n"/>
      <c r="L873" s="16" t="n"/>
      <c r="M873" s="17" t="n"/>
    </row>
    <row r="874">
      <c r="A874" s="14">
        <f>IFERROR(IF(INDEX(ERP資料!$B:$B, (MATCH(873, 輔助計算!$E$2:$E$801, 0)+1))="","",INDEX(ERP資料!$B:$B, (MATCH(873, 輔助計算!$E$2:$E$801, 0)+1))), "")</f>
        <v/>
      </c>
      <c r="B874" s="10">
        <f>IFERROR(IF(INDEX(ERP資料!$A:$A, (MATCH(873, 輔助計算!$E$2:$E$801, 0)+1))="","",INDEX(ERP資料!$A:$A, (MATCH(873, 輔助計算!$E$2:$E$801, 0)+1))), "")</f>
        <v/>
      </c>
      <c r="C874" s="10">
        <f>IFERROR(IF(INDEX(ERP資料!$S:$S, (MATCH(873, 輔助計算!$E$2:$E$801, 0)+1))="","",INDEX(ERP資料!$S:$S, (MATCH(873, 輔助計算!$E$2:$E$801, 0)+1))), "")</f>
        <v/>
      </c>
      <c r="D874" s="10">
        <f>IFERROR(IF(INDEX(ERP資料!$E:$E, (MATCH(873, 輔助計算!$E$2:$E$801, 0)+1))="","",TRIM(INDEX(ERP資料!$E:$E, (MATCH(873, 輔助計算!$E$2:$E$801, 0)+1)))), "")</f>
        <v/>
      </c>
      <c r="E874" s="10">
        <f>IFERROR(IF(INDEX(ERP資料!$F:$F, (MATCH(873, 輔助計算!$E$2:$E$801, 0)+1))="","",INDEX(ERP資料!$F:$F, (MATCH(873, 輔助計算!$E$2:$E$801, 0)+1))), "")</f>
        <v/>
      </c>
      <c r="F874" s="10">
        <f>IFERROR(IF(INDEX(ERP資料!$G:$G, (MATCH(873, 輔助計算!$E$2:$E$801, 0)+1))="","",INDEX(ERP資料!$G:$G, (MATCH(873, 輔助計算!$E$2:$E$801, 0)+1))), "")</f>
        <v/>
      </c>
      <c r="G874" s="10">
        <f>IFERROR(IF(INDEX(ERP資料!$H:$H, (MATCH(873, 輔助計算!$E$2:$E$801, 0)+1))="","",INDEX(ERP資料!$H:$H, (MATCH(873, 輔助計算!$E$2:$E$801, 0)+1))), "")</f>
        <v/>
      </c>
      <c r="H874" s="15">
        <f>IFERROR(INDEX(輔助計算!$D:$D, (MATCH(873, 輔助計算!$E$2:$E$801, 0)+1)), "")</f>
        <v/>
      </c>
      <c r="I874" s="10">
        <f>IFERROR(IF(INDEX(ERP資料!$O:$O, (MATCH(873, 輔助計算!$E$2:$E$801, 0)+1))="","",INDEX(ERP資料!$O:$O, (MATCH(873, 輔助計算!$E$2:$E$801, 0)+1))), "")</f>
        <v/>
      </c>
      <c r="J874" s="15">
        <f>IFERROR(IF(INDEX(輔助計算!$D:$D,(MATCH(873, 輔助計算!$E$2:$E$801, 0)+1))="","",INDEX(輔助計算!$D:$D,(MATCH(873, 輔助計算!$E$2:$E$801, 0)+1))*INDEX(ERP資料!$O:$O,(MATCH(873, 輔助計算!$E$2:$E$801, 0)+1))), "")</f>
        <v/>
      </c>
      <c r="K874" s="16" t="n"/>
      <c r="L874" s="16" t="n"/>
      <c r="M874" s="17" t="n"/>
    </row>
    <row r="875">
      <c r="A875" s="14">
        <f>IFERROR(IF(INDEX(ERP資料!$B:$B, (MATCH(874, 輔助計算!$E$2:$E$801, 0)+1))="","",INDEX(ERP資料!$B:$B, (MATCH(874, 輔助計算!$E$2:$E$801, 0)+1))), "")</f>
        <v/>
      </c>
      <c r="B875" s="10">
        <f>IFERROR(IF(INDEX(ERP資料!$A:$A, (MATCH(874, 輔助計算!$E$2:$E$801, 0)+1))="","",INDEX(ERP資料!$A:$A, (MATCH(874, 輔助計算!$E$2:$E$801, 0)+1))), "")</f>
        <v/>
      </c>
      <c r="C875" s="10">
        <f>IFERROR(IF(INDEX(ERP資料!$S:$S, (MATCH(874, 輔助計算!$E$2:$E$801, 0)+1))="","",INDEX(ERP資料!$S:$S, (MATCH(874, 輔助計算!$E$2:$E$801, 0)+1))), "")</f>
        <v/>
      </c>
      <c r="D875" s="10">
        <f>IFERROR(IF(INDEX(ERP資料!$E:$E, (MATCH(874, 輔助計算!$E$2:$E$801, 0)+1))="","",TRIM(INDEX(ERP資料!$E:$E, (MATCH(874, 輔助計算!$E$2:$E$801, 0)+1)))), "")</f>
        <v/>
      </c>
      <c r="E875" s="10">
        <f>IFERROR(IF(INDEX(ERP資料!$F:$F, (MATCH(874, 輔助計算!$E$2:$E$801, 0)+1))="","",INDEX(ERP資料!$F:$F, (MATCH(874, 輔助計算!$E$2:$E$801, 0)+1))), "")</f>
        <v/>
      </c>
      <c r="F875" s="10">
        <f>IFERROR(IF(INDEX(ERP資料!$G:$G, (MATCH(874, 輔助計算!$E$2:$E$801, 0)+1))="","",INDEX(ERP資料!$G:$G, (MATCH(874, 輔助計算!$E$2:$E$801, 0)+1))), "")</f>
        <v/>
      </c>
      <c r="G875" s="10">
        <f>IFERROR(IF(INDEX(ERP資料!$H:$H, (MATCH(874, 輔助計算!$E$2:$E$801, 0)+1))="","",INDEX(ERP資料!$H:$H, (MATCH(874, 輔助計算!$E$2:$E$801, 0)+1))), "")</f>
        <v/>
      </c>
      <c r="H875" s="15">
        <f>IFERROR(INDEX(輔助計算!$D:$D, (MATCH(874, 輔助計算!$E$2:$E$801, 0)+1)), "")</f>
        <v/>
      </c>
      <c r="I875" s="10">
        <f>IFERROR(IF(INDEX(ERP資料!$O:$O, (MATCH(874, 輔助計算!$E$2:$E$801, 0)+1))="","",INDEX(ERP資料!$O:$O, (MATCH(874, 輔助計算!$E$2:$E$801, 0)+1))), "")</f>
        <v/>
      </c>
      <c r="J875" s="15">
        <f>IFERROR(IF(INDEX(輔助計算!$D:$D,(MATCH(874, 輔助計算!$E$2:$E$801, 0)+1))="","",INDEX(輔助計算!$D:$D,(MATCH(874, 輔助計算!$E$2:$E$801, 0)+1))*INDEX(ERP資料!$O:$O,(MATCH(874, 輔助計算!$E$2:$E$801, 0)+1))), "")</f>
        <v/>
      </c>
      <c r="K875" s="16" t="n"/>
      <c r="L875" s="16" t="n"/>
      <c r="M875" s="17" t="n"/>
    </row>
    <row r="876">
      <c r="A876" s="14">
        <f>IFERROR(IF(INDEX(ERP資料!$B:$B, (MATCH(875, 輔助計算!$E$2:$E$801, 0)+1))="","",INDEX(ERP資料!$B:$B, (MATCH(875, 輔助計算!$E$2:$E$801, 0)+1))), "")</f>
        <v/>
      </c>
      <c r="B876" s="10">
        <f>IFERROR(IF(INDEX(ERP資料!$A:$A, (MATCH(875, 輔助計算!$E$2:$E$801, 0)+1))="","",INDEX(ERP資料!$A:$A, (MATCH(875, 輔助計算!$E$2:$E$801, 0)+1))), "")</f>
        <v/>
      </c>
      <c r="C876" s="10">
        <f>IFERROR(IF(INDEX(ERP資料!$S:$S, (MATCH(875, 輔助計算!$E$2:$E$801, 0)+1))="","",INDEX(ERP資料!$S:$S, (MATCH(875, 輔助計算!$E$2:$E$801, 0)+1))), "")</f>
        <v/>
      </c>
      <c r="D876" s="10">
        <f>IFERROR(IF(INDEX(ERP資料!$E:$E, (MATCH(875, 輔助計算!$E$2:$E$801, 0)+1))="","",TRIM(INDEX(ERP資料!$E:$E, (MATCH(875, 輔助計算!$E$2:$E$801, 0)+1)))), "")</f>
        <v/>
      </c>
      <c r="E876" s="10">
        <f>IFERROR(IF(INDEX(ERP資料!$F:$F, (MATCH(875, 輔助計算!$E$2:$E$801, 0)+1))="","",INDEX(ERP資料!$F:$F, (MATCH(875, 輔助計算!$E$2:$E$801, 0)+1))), "")</f>
        <v/>
      </c>
      <c r="F876" s="10">
        <f>IFERROR(IF(INDEX(ERP資料!$G:$G, (MATCH(875, 輔助計算!$E$2:$E$801, 0)+1))="","",INDEX(ERP資料!$G:$G, (MATCH(875, 輔助計算!$E$2:$E$801, 0)+1))), "")</f>
        <v/>
      </c>
      <c r="G876" s="10">
        <f>IFERROR(IF(INDEX(ERP資料!$H:$H, (MATCH(875, 輔助計算!$E$2:$E$801, 0)+1))="","",INDEX(ERP資料!$H:$H, (MATCH(875, 輔助計算!$E$2:$E$801, 0)+1))), "")</f>
        <v/>
      </c>
      <c r="H876" s="15">
        <f>IFERROR(INDEX(輔助計算!$D:$D, (MATCH(875, 輔助計算!$E$2:$E$801, 0)+1)), "")</f>
        <v/>
      </c>
      <c r="I876" s="10">
        <f>IFERROR(IF(INDEX(ERP資料!$O:$O, (MATCH(875, 輔助計算!$E$2:$E$801, 0)+1))="","",INDEX(ERP資料!$O:$O, (MATCH(875, 輔助計算!$E$2:$E$801, 0)+1))), "")</f>
        <v/>
      </c>
      <c r="J876" s="15">
        <f>IFERROR(IF(INDEX(輔助計算!$D:$D,(MATCH(875, 輔助計算!$E$2:$E$801, 0)+1))="","",INDEX(輔助計算!$D:$D,(MATCH(875, 輔助計算!$E$2:$E$801, 0)+1))*INDEX(ERP資料!$O:$O,(MATCH(875, 輔助計算!$E$2:$E$801, 0)+1))), "")</f>
        <v/>
      </c>
      <c r="K876" s="16" t="n"/>
      <c r="L876" s="16" t="n"/>
      <c r="M876" s="17" t="n"/>
    </row>
    <row r="877">
      <c r="A877" s="14">
        <f>IFERROR(IF(INDEX(ERP資料!$B:$B, (MATCH(876, 輔助計算!$E$2:$E$801, 0)+1))="","",INDEX(ERP資料!$B:$B, (MATCH(876, 輔助計算!$E$2:$E$801, 0)+1))), "")</f>
        <v/>
      </c>
      <c r="B877" s="10">
        <f>IFERROR(IF(INDEX(ERP資料!$A:$A, (MATCH(876, 輔助計算!$E$2:$E$801, 0)+1))="","",INDEX(ERP資料!$A:$A, (MATCH(876, 輔助計算!$E$2:$E$801, 0)+1))), "")</f>
        <v/>
      </c>
      <c r="C877" s="10">
        <f>IFERROR(IF(INDEX(ERP資料!$S:$S, (MATCH(876, 輔助計算!$E$2:$E$801, 0)+1))="","",INDEX(ERP資料!$S:$S, (MATCH(876, 輔助計算!$E$2:$E$801, 0)+1))), "")</f>
        <v/>
      </c>
      <c r="D877" s="10">
        <f>IFERROR(IF(INDEX(ERP資料!$E:$E, (MATCH(876, 輔助計算!$E$2:$E$801, 0)+1))="","",TRIM(INDEX(ERP資料!$E:$E, (MATCH(876, 輔助計算!$E$2:$E$801, 0)+1)))), "")</f>
        <v/>
      </c>
      <c r="E877" s="10">
        <f>IFERROR(IF(INDEX(ERP資料!$F:$F, (MATCH(876, 輔助計算!$E$2:$E$801, 0)+1))="","",INDEX(ERP資料!$F:$F, (MATCH(876, 輔助計算!$E$2:$E$801, 0)+1))), "")</f>
        <v/>
      </c>
      <c r="F877" s="10">
        <f>IFERROR(IF(INDEX(ERP資料!$G:$G, (MATCH(876, 輔助計算!$E$2:$E$801, 0)+1))="","",INDEX(ERP資料!$G:$G, (MATCH(876, 輔助計算!$E$2:$E$801, 0)+1))), "")</f>
        <v/>
      </c>
      <c r="G877" s="10">
        <f>IFERROR(IF(INDEX(ERP資料!$H:$H, (MATCH(876, 輔助計算!$E$2:$E$801, 0)+1))="","",INDEX(ERP資料!$H:$H, (MATCH(876, 輔助計算!$E$2:$E$801, 0)+1))), "")</f>
        <v/>
      </c>
      <c r="H877" s="15">
        <f>IFERROR(INDEX(輔助計算!$D:$D, (MATCH(876, 輔助計算!$E$2:$E$801, 0)+1)), "")</f>
        <v/>
      </c>
      <c r="I877" s="10">
        <f>IFERROR(IF(INDEX(ERP資料!$O:$O, (MATCH(876, 輔助計算!$E$2:$E$801, 0)+1))="","",INDEX(ERP資料!$O:$O, (MATCH(876, 輔助計算!$E$2:$E$801, 0)+1))), "")</f>
        <v/>
      </c>
      <c r="J877" s="15">
        <f>IFERROR(IF(INDEX(輔助計算!$D:$D,(MATCH(876, 輔助計算!$E$2:$E$801, 0)+1))="","",INDEX(輔助計算!$D:$D,(MATCH(876, 輔助計算!$E$2:$E$801, 0)+1))*INDEX(ERP資料!$O:$O,(MATCH(876, 輔助計算!$E$2:$E$801, 0)+1))), "")</f>
        <v/>
      </c>
      <c r="K877" s="16" t="n"/>
      <c r="L877" s="16" t="n"/>
      <c r="M877" s="17" t="n"/>
    </row>
    <row r="878">
      <c r="A878" s="14">
        <f>IFERROR(IF(INDEX(ERP資料!$B:$B, (MATCH(877, 輔助計算!$E$2:$E$801, 0)+1))="","",INDEX(ERP資料!$B:$B, (MATCH(877, 輔助計算!$E$2:$E$801, 0)+1))), "")</f>
        <v/>
      </c>
      <c r="B878" s="10">
        <f>IFERROR(IF(INDEX(ERP資料!$A:$A, (MATCH(877, 輔助計算!$E$2:$E$801, 0)+1))="","",INDEX(ERP資料!$A:$A, (MATCH(877, 輔助計算!$E$2:$E$801, 0)+1))), "")</f>
        <v/>
      </c>
      <c r="C878" s="10">
        <f>IFERROR(IF(INDEX(ERP資料!$S:$S, (MATCH(877, 輔助計算!$E$2:$E$801, 0)+1))="","",INDEX(ERP資料!$S:$S, (MATCH(877, 輔助計算!$E$2:$E$801, 0)+1))), "")</f>
        <v/>
      </c>
      <c r="D878" s="10">
        <f>IFERROR(IF(INDEX(ERP資料!$E:$E, (MATCH(877, 輔助計算!$E$2:$E$801, 0)+1))="","",TRIM(INDEX(ERP資料!$E:$E, (MATCH(877, 輔助計算!$E$2:$E$801, 0)+1)))), "")</f>
        <v/>
      </c>
      <c r="E878" s="10">
        <f>IFERROR(IF(INDEX(ERP資料!$F:$F, (MATCH(877, 輔助計算!$E$2:$E$801, 0)+1))="","",INDEX(ERP資料!$F:$F, (MATCH(877, 輔助計算!$E$2:$E$801, 0)+1))), "")</f>
        <v/>
      </c>
      <c r="F878" s="10">
        <f>IFERROR(IF(INDEX(ERP資料!$G:$G, (MATCH(877, 輔助計算!$E$2:$E$801, 0)+1))="","",INDEX(ERP資料!$G:$G, (MATCH(877, 輔助計算!$E$2:$E$801, 0)+1))), "")</f>
        <v/>
      </c>
      <c r="G878" s="10">
        <f>IFERROR(IF(INDEX(ERP資料!$H:$H, (MATCH(877, 輔助計算!$E$2:$E$801, 0)+1))="","",INDEX(ERP資料!$H:$H, (MATCH(877, 輔助計算!$E$2:$E$801, 0)+1))), "")</f>
        <v/>
      </c>
      <c r="H878" s="15">
        <f>IFERROR(INDEX(輔助計算!$D:$D, (MATCH(877, 輔助計算!$E$2:$E$801, 0)+1)), "")</f>
        <v/>
      </c>
      <c r="I878" s="10">
        <f>IFERROR(IF(INDEX(ERP資料!$O:$O, (MATCH(877, 輔助計算!$E$2:$E$801, 0)+1))="","",INDEX(ERP資料!$O:$O, (MATCH(877, 輔助計算!$E$2:$E$801, 0)+1))), "")</f>
        <v/>
      </c>
      <c r="J878" s="15">
        <f>IFERROR(IF(INDEX(輔助計算!$D:$D,(MATCH(877, 輔助計算!$E$2:$E$801, 0)+1))="","",INDEX(輔助計算!$D:$D,(MATCH(877, 輔助計算!$E$2:$E$801, 0)+1))*INDEX(ERP資料!$O:$O,(MATCH(877, 輔助計算!$E$2:$E$801, 0)+1))), "")</f>
        <v/>
      </c>
      <c r="K878" s="16" t="n"/>
      <c r="L878" s="16" t="n"/>
      <c r="M878" s="17" t="n"/>
    </row>
    <row r="879">
      <c r="A879" s="14">
        <f>IFERROR(IF(INDEX(ERP資料!$B:$B, (MATCH(878, 輔助計算!$E$2:$E$801, 0)+1))="","",INDEX(ERP資料!$B:$B, (MATCH(878, 輔助計算!$E$2:$E$801, 0)+1))), "")</f>
        <v/>
      </c>
      <c r="B879" s="10">
        <f>IFERROR(IF(INDEX(ERP資料!$A:$A, (MATCH(878, 輔助計算!$E$2:$E$801, 0)+1))="","",INDEX(ERP資料!$A:$A, (MATCH(878, 輔助計算!$E$2:$E$801, 0)+1))), "")</f>
        <v/>
      </c>
      <c r="C879" s="10">
        <f>IFERROR(IF(INDEX(ERP資料!$S:$S, (MATCH(878, 輔助計算!$E$2:$E$801, 0)+1))="","",INDEX(ERP資料!$S:$S, (MATCH(878, 輔助計算!$E$2:$E$801, 0)+1))), "")</f>
        <v/>
      </c>
      <c r="D879" s="10">
        <f>IFERROR(IF(INDEX(ERP資料!$E:$E, (MATCH(878, 輔助計算!$E$2:$E$801, 0)+1))="","",TRIM(INDEX(ERP資料!$E:$E, (MATCH(878, 輔助計算!$E$2:$E$801, 0)+1)))), "")</f>
        <v/>
      </c>
      <c r="E879" s="10">
        <f>IFERROR(IF(INDEX(ERP資料!$F:$F, (MATCH(878, 輔助計算!$E$2:$E$801, 0)+1))="","",INDEX(ERP資料!$F:$F, (MATCH(878, 輔助計算!$E$2:$E$801, 0)+1))), "")</f>
        <v/>
      </c>
      <c r="F879" s="10">
        <f>IFERROR(IF(INDEX(ERP資料!$G:$G, (MATCH(878, 輔助計算!$E$2:$E$801, 0)+1))="","",INDEX(ERP資料!$G:$G, (MATCH(878, 輔助計算!$E$2:$E$801, 0)+1))), "")</f>
        <v/>
      </c>
      <c r="G879" s="10">
        <f>IFERROR(IF(INDEX(ERP資料!$H:$H, (MATCH(878, 輔助計算!$E$2:$E$801, 0)+1))="","",INDEX(ERP資料!$H:$H, (MATCH(878, 輔助計算!$E$2:$E$801, 0)+1))), "")</f>
        <v/>
      </c>
      <c r="H879" s="15">
        <f>IFERROR(INDEX(輔助計算!$D:$D, (MATCH(878, 輔助計算!$E$2:$E$801, 0)+1)), "")</f>
        <v/>
      </c>
      <c r="I879" s="10">
        <f>IFERROR(IF(INDEX(ERP資料!$O:$O, (MATCH(878, 輔助計算!$E$2:$E$801, 0)+1))="","",INDEX(ERP資料!$O:$O, (MATCH(878, 輔助計算!$E$2:$E$801, 0)+1))), "")</f>
        <v/>
      </c>
      <c r="J879" s="15">
        <f>IFERROR(IF(INDEX(輔助計算!$D:$D,(MATCH(878, 輔助計算!$E$2:$E$801, 0)+1))="","",INDEX(輔助計算!$D:$D,(MATCH(878, 輔助計算!$E$2:$E$801, 0)+1))*INDEX(ERP資料!$O:$O,(MATCH(878, 輔助計算!$E$2:$E$801, 0)+1))), "")</f>
        <v/>
      </c>
      <c r="K879" s="16" t="n"/>
      <c r="L879" s="16" t="n"/>
      <c r="M879" s="17" t="n"/>
    </row>
    <row r="880">
      <c r="A880" s="14">
        <f>IFERROR(IF(INDEX(ERP資料!$B:$B, (MATCH(879, 輔助計算!$E$2:$E$801, 0)+1))="","",INDEX(ERP資料!$B:$B, (MATCH(879, 輔助計算!$E$2:$E$801, 0)+1))), "")</f>
        <v/>
      </c>
      <c r="B880" s="10">
        <f>IFERROR(IF(INDEX(ERP資料!$A:$A, (MATCH(879, 輔助計算!$E$2:$E$801, 0)+1))="","",INDEX(ERP資料!$A:$A, (MATCH(879, 輔助計算!$E$2:$E$801, 0)+1))), "")</f>
        <v/>
      </c>
      <c r="C880" s="10">
        <f>IFERROR(IF(INDEX(ERP資料!$S:$S, (MATCH(879, 輔助計算!$E$2:$E$801, 0)+1))="","",INDEX(ERP資料!$S:$S, (MATCH(879, 輔助計算!$E$2:$E$801, 0)+1))), "")</f>
        <v/>
      </c>
      <c r="D880" s="10">
        <f>IFERROR(IF(INDEX(ERP資料!$E:$E, (MATCH(879, 輔助計算!$E$2:$E$801, 0)+1))="","",TRIM(INDEX(ERP資料!$E:$E, (MATCH(879, 輔助計算!$E$2:$E$801, 0)+1)))), "")</f>
        <v/>
      </c>
      <c r="E880" s="10">
        <f>IFERROR(IF(INDEX(ERP資料!$F:$F, (MATCH(879, 輔助計算!$E$2:$E$801, 0)+1))="","",INDEX(ERP資料!$F:$F, (MATCH(879, 輔助計算!$E$2:$E$801, 0)+1))), "")</f>
        <v/>
      </c>
      <c r="F880" s="10">
        <f>IFERROR(IF(INDEX(ERP資料!$G:$G, (MATCH(879, 輔助計算!$E$2:$E$801, 0)+1))="","",INDEX(ERP資料!$G:$G, (MATCH(879, 輔助計算!$E$2:$E$801, 0)+1))), "")</f>
        <v/>
      </c>
      <c r="G880" s="10">
        <f>IFERROR(IF(INDEX(ERP資料!$H:$H, (MATCH(879, 輔助計算!$E$2:$E$801, 0)+1))="","",INDEX(ERP資料!$H:$H, (MATCH(879, 輔助計算!$E$2:$E$801, 0)+1))), "")</f>
        <v/>
      </c>
      <c r="H880" s="15">
        <f>IFERROR(INDEX(輔助計算!$D:$D, (MATCH(879, 輔助計算!$E$2:$E$801, 0)+1)), "")</f>
        <v/>
      </c>
      <c r="I880" s="10">
        <f>IFERROR(IF(INDEX(ERP資料!$O:$O, (MATCH(879, 輔助計算!$E$2:$E$801, 0)+1))="","",INDEX(ERP資料!$O:$O, (MATCH(879, 輔助計算!$E$2:$E$801, 0)+1))), "")</f>
        <v/>
      </c>
      <c r="J880" s="15">
        <f>IFERROR(IF(INDEX(輔助計算!$D:$D,(MATCH(879, 輔助計算!$E$2:$E$801, 0)+1))="","",INDEX(輔助計算!$D:$D,(MATCH(879, 輔助計算!$E$2:$E$801, 0)+1))*INDEX(ERP資料!$O:$O,(MATCH(879, 輔助計算!$E$2:$E$801, 0)+1))), "")</f>
        <v/>
      </c>
      <c r="K880" s="16" t="n"/>
      <c r="L880" s="16" t="n"/>
      <c r="M880" s="17" t="n"/>
    </row>
    <row r="881">
      <c r="A881" s="14">
        <f>IFERROR(IF(INDEX(ERP資料!$B:$B, (MATCH(880, 輔助計算!$E$2:$E$801, 0)+1))="","",INDEX(ERP資料!$B:$B, (MATCH(880, 輔助計算!$E$2:$E$801, 0)+1))), "")</f>
        <v/>
      </c>
      <c r="B881" s="10">
        <f>IFERROR(IF(INDEX(ERP資料!$A:$A, (MATCH(880, 輔助計算!$E$2:$E$801, 0)+1))="","",INDEX(ERP資料!$A:$A, (MATCH(880, 輔助計算!$E$2:$E$801, 0)+1))), "")</f>
        <v/>
      </c>
      <c r="C881" s="10">
        <f>IFERROR(IF(INDEX(ERP資料!$S:$S, (MATCH(880, 輔助計算!$E$2:$E$801, 0)+1))="","",INDEX(ERP資料!$S:$S, (MATCH(880, 輔助計算!$E$2:$E$801, 0)+1))), "")</f>
        <v/>
      </c>
      <c r="D881" s="10">
        <f>IFERROR(IF(INDEX(ERP資料!$E:$E, (MATCH(880, 輔助計算!$E$2:$E$801, 0)+1))="","",TRIM(INDEX(ERP資料!$E:$E, (MATCH(880, 輔助計算!$E$2:$E$801, 0)+1)))), "")</f>
        <v/>
      </c>
      <c r="E881" s="10">
        <f>IFERROR(IF(INDEX(ERP資料!$F:$F, (MATCH(880, 輔助計算!$E$2:$E$801, 0)+1))="","",INDEX(ERP資料!$F:$F, (MATCH(880, 輔助計算!$E$2:$E$801, 0)+1))), "")</f>
        <v/>
      </c>
      <c r="F881" s="10">
        <f>IFERROR(IF(INDEX(ERP資料!$G:$G, (MATCH(880, 輔助計算!$E$2:$E$801, 0)+1))="","",INDEX(ERP資料!$G:$G, (MATCH(880, 輔助計算!$E$2:$E$801, 0)+1))), "")</f>
        <v/>
      </c>
      <c r="G881" s="10">
        <f>IFERROR(IF(INDEX(ERP資料!$H:$H, (MATCH(880, 輔助計算!$E$2:$E$801, 0)+1))="","",INDEX(ERP資料!$H:$H, (MATCH(880, 輔助計算!$E$2:$E$801, 0)+1))), "")</f>
        <v/>
      </c>
      <c r="H881" s="15">
        <f>IFERROR(INDEX(輔助計算!$D:$D, (MATCH(880, 輔助計算!$E$2:$E$801, 0)+1)), "")</f>
        <v/>
      </c>
      <c r="I881" s="10">
        <f>IFERROR(IF(INDEX(ERP資料!$O:$O, (MATCH(880, 輔助計算!$E$2:$E$801, 0)+1))="","",INDEX(ERP資料!$O:$O, (MATCH(880, 輔助計算!$E$2:$E$801, 0)+1))), "")</f>
        <v/>
      </c>
      <c r="J881" s="15">
        <f>IFERROR(IF(INDEX(輔助計算!$D:$D,(MATCH(880, 輔助計算!$E$2:$E$801, 0)+1))="","",INDEX(輔助計算!$D:$D,(MATCH(880, 輔助計算!$E$2:$E$801, 0)+1))*INDEX(ERP資料!$O:$O,(MATCH(880, 輔助計算!$E$2:$E$801, 0)+1))), "")</f>
        <v/>
      </c>
      <c r="K881" s="16" t="n"/>
      <c r="L881" s="16" t="n"/>
      <c r="M881" s="17" t="n"/>
    </row>
    <row r="882">
      <c r="A882" s="14">
        <f>IFERROR(IF(INDEX(ERP資料!$B:$B, (MATCH(881, 輔助計算!$E$2:$E$801, 0)+1))="","",INDEX(ERP資料!$B:$B, (MATCH(881, 輔助計算!$E$2:$E$801, 0)+1))), "")</f>
        <v/>
      </c>
      <c r="B882" s="10">
        <f>IFERROR(IF(INDEX(ERP資料!$A:$A, (MATCH(881, 輔助計算!$E$2:$E$801, 0)+1))="","",INDEX(ERP資料!$A:$A, (MATCH(881, 輔助計算!$E$2:$E$801, 0)+1))), "")</f>
        <v/>
      </c>
      <c r="C882" s="10">
        <f>IFERROR(IF(INDEX(ERP資料!$S:$S, (MATCH(881, 輔助計算!$E$2:$E$801, 0)+1))="","",INDEX(ERP資料!$S:$S, (MATCH(881, 輔助計算!$E$2:$E$801, 0)+1))), "")</f>
        <v/>
      </c>
      <c r="D882" s="10">
        <f>IFERROR(IF(INDEX(ERP資料!$E:$E, (MATCH(881, 輔助計算!$E$2:$E$801, 0)+1))="","",TRIM(INDEX(ERP資料!$E:$E, (MATCH(881, 輔助計算!$E$2:$E$801, 0)+1)))), "")</f>
        <v/>
      </c>
      <c r="E882" s="10">
        <f>IFERROR(IF(INDEX(ERP資料!$F:$F, (MATCH(881, 輔助計算!$E$2:$E$801, 0)+1))="","",INDEX(ERP資料!$F:$F, (MATCH(881, 輔助計算!$E$2:$E$801, 0)+1))), "")</f>
        <v/>
      </c>
      <c r="F882" s="10">
        <f>IFERROR(IF(INDEX(ERP資料!$G:$G, (MATCH(881, 輔助計算!$E$2:$E$801, 0)+1))="","",INDEX(ERP資料!$G:$G, (MATCH(881, 輔助計算!$E$2:$E$801, 0)+1))), "")</f>
        <v/>
      </c>
      <c r="G882" s="10">
        <f>IFERROR(IF(INDEX(ERP資料!$H:$H, (MATCH(881, 輔助計算!$E$2:$E$801, 0)+1))="","",INDEX(ERP資料!$H:$H, (MATCH(881, 輔助計算!$E$2:$E$801, 0)+1))), "")</f>
        <v/>
      </c>
      <c r="H882" s="15">
        <f>IFERROR(INDEX(輔助計算!$D:$D, (MATCH(881, 輔助計算!$E$2:$E$801, 0)+1)), "")</f>
        <v/>
      </c>
      <c r="I882" s="10">
        <f>IFERROR(IF(INDEX(ERP資料!$O:$O, (MATCH(881, 輔助計算!$E$2:$E$801, 0)+1))="","",INDEX(ERP資料!$O:$O, (MATCH(881, 輔助計算!$E$2:$E$801, 0)+1))), "")</f>
        <v/>
      </c>
      <c r="J882" s="15">
        <f>IFERROR(IF(INDEX(輔助計算!$D:$D,(MATCH(881, 輔助計算!$E$2:$E$801, 0)+1))="","",INDEX(輔助計算!$D:$D,(MATCH(881, 輔助計算!$E$2:$E$801, 0)+1))*INDEX(ERP資料!$O:$O,(MATCH(881, 輔助計算!$E$2:$E$801, 0)+1))), "")</f>
        <v/>
      </c>
      <c r="K882" s="16" t="n"/>
      <c r="L882" s="16" t="n"/>
      <c r="M882" s="17" t="n"/>
    </row>
    <row r="883">
      <c r="A883" s="14">
        <f>IFERROR(IF(INDEX(ERP資料!$B:$B, (MATCH(882, 輔助計算!$E$2:$E$801, 0)+1))="","",INDEX(ERP資料!$B:$B, (MATCH(882, 輔助計算!$E$2:$E$801, 0)+1))), "")</f>
        <v/>
      </c>
      <c r="B883" s="10">
        <f>IFERROR(IF(INDEX(ERP資料!$A:$A, (MATCH(882, 輔助計算!$E$2:$E$801, 0)+1))="","",INDEX(ERP資料!$A:$A, (MATCH(882, 輔助計算!$E$2:$E$801, 0)+1))), "")</f>
        <v/>
      </c>
      <c r="C883" s="10">
        <f>IFERROR(IF(INDEX(ERP資料!$S:$S, (MATCH(882, 輔助計算!$E$2:$E$801, 0)+1))="","",INDEX(ERP資料!$S:$S, (MATCH(882, 輔助計算!$E$2:$E$801, 0)+1))), "")</f>
        <v/>
      </c>
      <c r="D883" s="10">
        <f>IFERROR(IF(INDEX(ERP資料!$E:$E, (MATCH(882, 輔助計算!$E$2:$E$801, 0)+1))="","",TRIM(INDEX(ERP資料!$E:$E, (MATCH(882, 輔助計算!$E$2:$E$801, 0)+1)))), "")</f>
        <v/>
      </c>
      <c r="E883" s="10">
        <f>IFERROR(IF(INDEX(ERP資料!$F:$F, (MATCH(882, 輔助計算!$E$2:$E$801, 0)+1))="","",INDEX(ERP資料!$F:$F, (MATCH(882, 輔助計算!$E$2:$E$801, 0)+1))), "")</f>
        <v/>
      </c>
      <c r="F883" s="10">
        <f>IFERROR(IF(INDEX(ERP資料!$G:$G, (MATCH(882, 輔助計算!$E$2:$E$801, 0)+1))="","",INDEX(ERP資料!$G:$G, (MATCH(882, 輔助計算!$E$2:$E$801, 0)+1))), "")</f>
        <v/>
      </c>
      <c r="G883" s="10">
        <f>IFERROR(IF(INDEX(ERP資料!$H:$H, (MATCH(882, 輔助計算!$E$2:$E$801, 0)+1))="","",INDEX(ERP資料!$H:$H, (MATCH(882, 輔助計算!$E$2:$E$801, 0)+1))), "")</f>
        <v/>
      </c>
      <c r="H883" s="15">
        <f>IFERROR(INDEX(輔助計算!$D:$D, (MATCH(882, 輔助計算!$E$2:$E$801, 0)+1)), "")</f>
        <v/>
      </c>
      <c r="I883" s="10">
        <f>IFERROR(IF(INDEX(ERP資料!$O:$O, (MATCH(882, 輔助計算!$E$2:$E$801, 0)+1))="","",INDEX(ERP資料!$O:$O, (MATCH(882, 輔助計算!$E$2:$E$801, 0)+1))), "")</f>
        <v/>
      </c>
      <c r="J883" s="15">
        <f>IFERROR(IF(INDEX(輔助計算!$D:$D,(MATCH(882, 輔助計算!$E$2:$E$801, 0)+1))="","",INDEX(輔助計算!$D:$D,(MATCH(882, 輔助計算!$E$2:$E$801, 0)+1))*INDEX(ERP資料!$O:$O,(MATCH(882, 輔助計算!$E$2:$E$801, 0)+1))), "")</f>
        <v/>
      </c>
      <c r="K883" s="16" t="n"/>
      <c r="L883" s="16" t="n"/>
      <c r="M883" s="17" t="n"/>
    </row>
    <row r="884">
      <c r="A884" s="14">
        <f>IFERROR(IF(INDEX(ERP資料!$B:$B, (MATCH(883, 輔助計算!$E$2:$E$801, 0)+1))="","",INDEX(ERP資料!$B:$B, (MATCH(883, 輔助計算!$E$2:$E$801, 0)+1))), "")</f>
        <v/>
      </c>
      <c r="B884" s="10">
        <f>IFERROR(IF(INDEX(ERP資料!$A:$A, (MATCH(883, 輔助計算!$E$2:$E$801, 0)+1))="","",INDEX(ERP資料!$A:$A, (MATCH(883, 輔助計算!$E$2:$E$801, 0)+1))), "")</f>
        <v/>
      </c>
      <c r="C884" s="10">
        <f>IFERROR(IF(INDEX(ERP資料!$S:$S, (MATCH(883, 輔助計算!$E$2:$E$801, 0)+1))="","",INDEX(ERP資料!$S:$S, (MATCH(883, 輔助計算!$E$2:$E$801, 0)+1))), "")</f>
        <v/>
      </c>
      <c r="D884" s="10">
        <f>IFERROR(IF(INDEX(ERP資料!$E:$E, (MATCH(883, 輔助計算!$E$2:$E$801, 0)+1))="","",TRIM(INDEX(ERP資料!$E:$E, (MATCH(883, 輔助計算!$E$2:$E$801, 0)+1)))), "")</f>
        <v/>
      </c>
      <c r="E884" s="10">
        <f>IFERROR(IF(INDEX(ERP資料!$F:$F, (MATCH(883, 輔助計算!$E$2:$E$801, 0)+1))="","",INDEX(ERP資料!$F:$F, (MATCH(883, 輔助計算!$E$2:$E$801, 0)+1))), "")</f>
        <v/>
      </c>
      <c r="F884" s="10">
        <f>IFERROR(IF(INDEX(ERP資料!$G:$G, (MATCH(883, 輔助計算!$E$2:$E$801, 0)+1))="","",INDEX(ERP資料!$G:$G, (MATCH(883, 輔助計算!$E$2:$E$801, 0)+1))), "")</f>
        <v/>
      </c>
      <c r="G884" s="10">
        <f>IFERROR(IF(INDEX(ERP資料!$H:$H, (MATCH(883, 輔助計算!$E$2:$E$801, 0)+1))="","",INDEX(ERP資料!$H:$H, (MATCH(883, 輔助計算!$E$2:$E$801, 0)+1))), "")</f>
        <v/>
      </c>
      <c r="H884" s="15">
        <f>IFERROR(INDEX(輔助計算!$D:$D, (MATCH(883, 輔助計算!$E$2:$E$801, 0)+1)), "")</f>
        <v/>
      </c>
      <c r="I884" s="10">
        <f>IFERROR(IF(INDEX(ERP資料!$O:$O, (MATCH(883, 輔助計算!$E$2:$E$801, 0)+1))="","",INDEX(ERP資料!$O:$O, (MATCH(883, 輔助計算!$E$2:$E$801, 0)+1))), "")</f>
        <v/>
      </c>
      <c r="J884" s="15">
        <f>IFERROR(IF(INDEX(輔助計算!$D:$D,(MATCH(883, 輔助計算!$E$2:$E$801, 0)+1))="","",INDEX(輔助計算!$D:$D,(MATCH(883, 輔助計算!$E$2:$E$801, 0)+1))*INDEX(ERP資料!$O:$O,(MATCH(883, 輔助計算!$E$2:$E$801, 0)+1))), "")</f>
        <v/>
      </c>
      <c r="K884" s="16" t="n"/>
      <c r="L884" s="16" t="n"/>
      <c r="M884" s="17" t="n"/>
    </row>
    <row r="885">
      <c r="A885" s="14">
        <f>IFERROR(IF(INDEX(ERP資料!$B:$B, (MATCH(884, 輔助計算!$E$2:$E$801, 0)+1))="","",INDEX(ERP資料!$B:$B, (MATCH(884, 輔助計算!$E$2:$E$801, 0)+1))), "")</f>
        <v/>
      </c>
      <c r="B885" s="10">
        <f>IFERROR(IF(INDEX(ERP資料!$A:$A, (MATCH(884, 輔助計算!$E$2:$E$801, 0)+1))="","",INDEX(ERP資料!$A:$A, (MATCH(884, 輔助計算!$E$2:$E$801, 0)+1))), "")</f>
        <v/>
      </c>
      <c r="C885" s="10">
        <f>IFERROR(IF(INDEX(ERP資料!$S:$S, (MATCH(884, 輔助計算!$E$2:$E$801, 0)+1))="","",INDEX(ERP資料!$S:$S, (MATCH(884, 輔助計算!$E$2:$E$801, 0)+1))), "")</f>
        <v/>
      </c>
      <c r="D885" s="10">
        <f>IFERROR(IF(INDEX(ERP資料!$E:$E, (MATCH(884, 輔助計算!$E$2:$E$801, 0)+1))="","",TRIM(INDEX(ERP資料!$E:$E, (MATCH(884, 輔助計算!$E$2:$E$801, 0)+1)))), "")</f>
        <v/>
      </c>
      <c r="E885" s="10">
        <f>IFERROR(IF(INDEX(ERP資料!$F:$F, (MATCH(884, 輔助計算!$E$2:$E$801, 0)+1))="","",INDEX(ERP資料!$F:$F, (MATCH(884, 輔助計算!$E$2:$E$801, 0)+1))), "")</f>
        <v/>
      </c>
      <c r="F885" s="10">
        <f>IFERROR(IF(INDEX(ERP資料!$G:$G, (MATCH(884, 輔助計算!$E$2:$E$801, 0)+1))="","",INDEX(ERP資料!$G:$G, (MATCH(884, 輔助計算!$E$2:$E$801, 0)+1))), "")</f>
        <v/>
      </c>
      <c r="G885" s="10">
        <f>IFERROR(IF(INDEX(ERP資料!$H:$H, (MATCH(884, 輔助計算!$E$2:$E$801, 0)+1))="","",INDEX(ERP資料!$H:$H, (MATCH(884, 輔助計算!$E$2:$E$801, 0)+1))), "")</f>
        <v/>
      </c>
      <c r="H885" s="15">
        <f>IFERROR(INDEX(輔助計算!$D:$D, (MATCH(884, 輔助計算!$E$2:$E$801, 0)+1)), "")</f>
        <v/>
      </c>
      <c r="I885" s="10">
        <f>IFERROR(IF(INDEX(ERP資料!$O:$O, (MATCH(884, 輔助計算!$E$2:$E$801, 0)+1))="","",INDEX(ERP資料!$O:$O, (MATCH(884, 輔助計算!$E$2:$E$801, 0)+1))), "")</f>
        <v/>
      </c>
      <c r="J885" s="15">
        <f>IFERROR(IF(INDEX(輔助計算!$D:$D,(MATCH(884, 輔助計算!$E$2:$E$801, 0)+1))="","",INDEX(輔助計算!$D:$D,(MATCH(884, 輔助計算!$E$2:$E$801, 0)+1))*INDEX(ERP資料!$O:$O,(MATCH(884, 輔助計算!$E$2:$E$801, 0)+1))), "")</f>
        <v/>
      </c>
      <c r="K885" s="16" t="n"/>
      <c r="L885" s="16" t="n"/>
      <c r="M885" s="17" t="n"/>
    </row>
    <row r="886">
      <c r="A886" s="14">
        <f>IFERROR(IF(INDEX(ERP資料!$B:$B, (MATCH(885, 輔助計算!$E$2:$E$801, 0)+1))="","",INDEX(ERP資料!$B:$B, (MATCH(885, 輔助計算!$E$2:$E$801, 0)+1))), "")</f>
        <v/>
      </c>
      <c r="B886" s="10">
        <f>IFERROR(IF(INDEX(ERP資料!$A:$A, (MATCH(885, 輔助計算!$E$2:$E$801, 0)+1))="","",INDEX(ERP資料!$A:$A, (MATCH(885, 輔助計算!$E$2:$E$801, 0)+1))), "")</f>
        <v/>
      </c>
      <c r="C886" s="10">
        <f>IFERROR(IF(INDEX(ERP資料!$S:$S, (MATCH(885, 輔助計算!$E$2:$E$801, 0)+1))="","",INDEX(ERP資料!$S:$S, (MATCH(885, 輔助計算!$E$2:$E$801, 0)+1))), "")</f>
        <v/>
      </c>
      <c r="D886" s="10">
        <f>IFERROR(IF(INDEX(ERP資料!$E:$E, (MATCH(885, 輔助計算!$E$2:$E$801, 0)+1))="","",TRIM(INDEX(ERP資料!$E:$E, (MATCH(885, 輔助計算!$E$2:$E$801, 0)+1)))), "")</f>
        <v/>
      </c>
      <c r="E886" s="10">
        <f>IFERROR(IF(INDEX(ERP資料!$F:$F, (MATCH(885, 輔助計算!$E$2:$E$801, 0)+1))="","",INDEX(ERP資料!$F:$F, (MATCH(885, 輔助計算!$E$2:$E$801, 0)+1))), "")</f>
        <v/>
      </c>
      <c r="F886" s="10">
        <f>IFERROR(IF(INDEX(ERP資料!$G:$G, (MATCH(885, 輔助計算!$E$2:$E$801, 0)+1))="","",INDEX(ERP資料!$G:$G, (MATCH(885, 輔助計算!$E$2:$E$801, 0)+1))), "")</f>
        <v/>
      </c>
      <c r="G886" s="10">
        <f>IFERROR(IF(INDEX(ERP資料!$H:$H, (MATCH(885, 輔助計算!$E$2:$E$801, 0)+1))="","",INDEX(ERP資料!$H:$H, (MATCH(885, 輔助計算!$E$2:$E$801, 0)+1))), "")</f>
        <v/>
      </c>
      <c r="H886" s="15">
        <f>IFERROR(INDEX(輔助計算!$D:$D, (MATCH(885, 輔助計算!$E$2:$E$801, 0)+1)), "")</f>
        <v/>
      </c>
      <c r="I886" s="10">
        <f>IFERROR(IF(INDEX(ERP資料!$O:$O, (MATCH(885, 輔助計算!$E$2:$E$801, 0)+1))="","",INDEX(ERP資料!$O:$O, (MATCH(885, 輔助計算!$E$2:$E$801, 0)+1))), "")</f>
        <v/>
      </c>
      <c r="J886" s="15">
        <f>IFERROR(IF(INDEX(輔助計算!$D:$D,(MATCH(885, 輔助計算!$E$2:$E$801, 0)+1))="","",INDEX(輔助計算!$D:$D,(MATCH(885, 輔助計算!$E$2:$E$801, 0)+1))*INDEX(ERP資料!$O:$O,(MATCH(885, 輔助計算!$E$2:$E$801, 0)+1))), "")</f>
        <v/>
      </c>
      <c r="K886" s="16" t="n"/>
      <c r="L886" s="16" t="n"/>
      <c r="M886" s="17" t="n"/>
    </row>
    <row r="887">
      <c r="A887" s="14">
        <f>IFERROR(IF(INDEX(ERP資料!$B:$B, (MATCH(886, 輔助計算!$E$2:$E$801, 0)+1))="","",INDEX(ERP資料!$B:$B, (MATCH(886, 輔助計算!$E$2:$E$801, 0)+1))), "")</f>
        <v/>
      </c>
      <c r="B887" s="10">
        <f>IFERROR(IF(INDEX(ERP資料!$A:$A, (MATCH(886, 輔助計算!$E$2:$E$801, 0)+1))="","",INDEX(ERP資料!$A:$A, (MATCH(886, 輔助計算!$E$2:$E$801, 0)+1))), "")</f>
        <v/>
      </c>
      <c r="C887" s="10">
        <f>IFERROR(IF(INDEX(ERP資料!$S:$S, (MATCH(886, 輔助計算!$E$2:$E$801, 0)+1))="","",INDEX(ERP資料!$S:$S, (MATCH(886, 輔助計算!$E$2:$E$801, 0)+1))), "")</f>
        <v/>
      </c>
      <c r="D887" s="10">
        <f>IFERROR(IF(INDEX(ERP資料!$E:$E, (MATCH(886, 輔助計算!$E$2:$E$801, 0)+1))="","",TRIM(INDEX(ERP資料!$E:$E, (MATCH(886, 輔助計算!$E$2:$E$801, 0)+1)))), "")</f>
        <v/>
      </c>
      <c r="E887" s="10">
        <f>IFERROR(IF(INDEX(ERP資料!$F:$F, (MATCH(886, 輔助計算!$E$2:$E$801, 0)+1))="","",INDEX(ERP資料!$F:$F, (MATCH(886, 輔助計算!$E$2:$E$801, 0)+1))), "")</f>
        <v/>
      </c>
      <c r="F887" s="10">
        <f>IFERROR(IF(INDEX(ERP資料!$G:$G, (MATCH(886, 輔助計算!$E$2:$E$801, 0)+1))="","",INDEX(ERP資料!$G:$G, (MATCH(886, 輔助計算!$E$2:$E$801, 0)+1))), "")</f>
        <v/>
      </c>
      <c r="G887" s="10">
        <f>IFERROR(IF(INDEX(ERP資料!$H:$H, (MATCH(886, 輔助計算!$E$2:$E$801, 0)+1))="","",INDEX(ERP資料!$H:$H, (MATCH(886, 輔助計算!$E$2:$E$801, 0)+1))), "")</f>
        <v/>
      </c>
      <c r="H887" s="15">
        <f>IFERROR(INDEX(輔助計算!$D:$D, (MATCH(886, 輔助計算!$E$2:$E$801, 0)+1)), "")</f>
        <v/>
      </c>
      <c r="I887" s="10">
        <f>IFERROR(IF(INDEX(ERP資料!$O:$O, (MATCH(886, 輔助計算!$E$2:$E$801, 0)+1))="","",INDEX(ERP資料!$O:$O, (MATCH(886, 輔助計算!$E$2:$E$801, 0)+1))), "")</f>
        <v/>
      </c>
      <c r="J887" s="15">
        <f>IFERROR(IF(INDEX(輔助計算!$D:$D,(MATCH(886, 輔助計算!$E$2:$E$801, 0)+1))="","",INDEX(輔助計算!$D:$D,(MATCH(886, 輔助計算!$E$2:$E$801, 0)+1))*INDEX(ERP資料!$O:$O,(MATCH(886, 輔助計算!$E$2:$E$801, 0)+1))), "")</f>
        <v/>
      </c>
      <c r="K887" s="16" t="n"/>
      <c r="L887" s="16" t="n"/>
      <c r="M887" s="17" t="n"/>
    </row>
    <row r="888">
      <c r="A888" s="14">
        <f>IFERROR(IF(INDEX(ERP資料!$B:$B, (MATCH(887, 輔助計算!$E$2:$E$801, 0)+1))="","",INDEX(ERP資料!$B:$B, (MATCH(887, 輔助計算!$E$2:$E$801, 0)+1))), "")</f>
        <v/>
      </c>
      <c r="B888" s="10">
        <f>IFERROR(IF(INDEX(ERP資料!$A:$A, (MATCH(887, 輔助計算!$E$2:$E$801, 0)+1))="","",INDEX(ERP資料!$A:$A, (MATCH(887, 輔助計算!$E$2:$E$801, 0)+1))), "")</f>
        <v/>
      </c>
      <c r="C888" s="10">
        <f>IFERROR(IF(INDEX(ERP資料!$S:$S, (MATCH(887, 輔助計算!$E$2:$E$801, 0)+1))="","",INDEX(ERP資料!$S:$S, (MATCH(887, 輔助計算!$E$2:$E$801, 0)+1))), "")</f>
        <v/>
      </c>
      <c r="D888" s="10">
        <f>IFERROR(IF(INDEX(ERP資料!$E:$E, (MATCH(887, 輔助計算!$E$2:$E$801, 0)+1))="","",TRIM(INDEX(ERP資料!$E:$E, (MATCH(887, 輔助計算!$E$2:$E$801, 0)+1)))), "")</f>
        <v/>
      </c>
      <c r="E888" s="10">
        <f>IFERROR(IF(INDEX(ERP資料!$F:$F, (MATCH(887, 輔助計算!$E$2:$E$801, 0)+1))="","",INDEX(ERP資料!$F:$F, (MATCH(887, 輔助計算!$E$2:$E$801, 0)+1))), "")</f>
        <v/>
      </c>
      <c r="F888" s="10">
        <f>IFERROR(IF(INDEX(ERP資料!$G:$G, (MATCH(887, 輔助計算!$E$2:$E$801, 0)+1))="","",INDEX(ERP資料!$G:$G, (MATCH(887, 輔助計算!$E$2:$E$801, 0)+1))), "")</f>
        <v/>
      </c>
      <c r="G888" s="10">
        <f>IFERROR(IF(INDEX(ERP資料!$H:$H, (MATCH(887, 輔助計算!$E$2:$E$801, 0)+1))="","",INDEX(ERP資料!$H:$H, (MATCH(887, 輔助計算!$E$2:$E$801, 0)+1))), "")</f>
        <v/>
      </c>
      <c r="H888" s="15">
        <f>IFERROR(INDEX(輔助計算!$D:$D, (MATCH(887, 輔助計算!$E$2:$E$801, 0)+1)), "")</f>
        <v/>
      </c>
      <c r="I888" s="10">
        <f>IFERROR(IF(INDEX(ERP資料!$O:$O, (MATCH(887, 輔助計算!$E$2:$E$801, 0)+1))="","",INDEX(ERP資料!$O:$O, (MATCH(887, 輔助計算!$E$2:$E$801, 0)+1))), "")</f>
        <v/>
      </c>
      <c r="J888" s="15">
        <f>IFERROR(IF(INDEX(輔助計算!$D:$D,(MATCH(887, 輔助計算!$E$2:$E$801, 0)+1))="","",INDEX(輔助計算!$D:$D,(MATCH(887, 輔助計算!$E$2:$E$801, 0)+1))*INDEX(ERP資料!$O:$O,(MATCH(887, 輔助計算!$E$2:$E$801, 0)+1))), "")</f>
        <v/>
      </c>
      <c r="K888" s="16" t="n"/>
      <c r="L888" s="16" t="n"/>
      <c r="M888" s="17" t="n"/>
    </row>
    <row r="889">
      <c r="A889" s="14">
        <f>IFERROR(IF(INDEX(ERP資料!$B:$B, (MATCH(888, 輔助計算!$E$2:$E$801, 0)+1))="","",INDEX(ERP資料!$B:$B, (MATCH(888, 輔助計算!$E$2:$E$801, 0)+1))), "")</f>
        <v/>
      </c>
      <c r="B889" s="10">
        <f>IFERROR(IF(INDEX(ERP資料!$A:$A, (MATCH(888, 輔助計算!$E$2:$E$801, 0)+1))="","",INDEX(ERP資料!$A:$A, (MATCH(888, 輔助計算!$E$2:$E$801, 0)+1))), "")</f>
        <v/>
      </c>
      <c r="C889" s="10">
        <f>IFERROR(IF(INDEX(ERP資料!$S:$S, (MATCH(888, 輔助計算!$E$2:$E$801, 0)+1))="","",INDEX(ERP資料!$S:$S, (MATCH(888, 輔助計算!$E$2:$E$801, 0)+1))), "")</f>
        <v/>
      </c>
      <c r="D889" s="10">
        <f>IFERROR(IF(INDEX(ERP資料!$E:$E, (MATCH(888, 輔助計算!$E$2:$E$801, 0)+1))="","",TRIM(INDEX(ERP資料!$E:$E, (MATCH(888, 輔助計算!$E$2:$E$801, 0)+1)))), "")</f>
        <v/>
      </c>
      <c r="E889" s="10">
        <f>IFERROR(IF(INDEX(ERP資料!$F:$F, (MATCH(888, 輔助計算!$E$2:$E$801, 0)+1))="","",INDEX(ERP資料!$F:$F, (MATCH(888, 輔助計算!$E$2:$E$801, 0)+1))), "")</f>
        <v/>
      </c>
      <c r="F889" s="10">
        <f>IFERROR(IF(INDEX(ERP資料!$G:$G, (MATCH(888, 輔助計算!$E$2:$E$801, 0)+1))="","",INDEX(ERP資料!$G:$G, (MATCH(888, 輔助計算!$E$2:$E$801, 0)+1))), "")</f>
        <v/>
      </c>
      <c r="G889" s="10">
        <f>IFERROR(IF(INDEX(ERP資料!$H:$H, (MATCH(888, 輔助計算!$E$2:$E$801, 0)+1))="","",INDEX(ERP資料!$H:$H, (MATCH(888, 輔助計算!$E$2:$E$801, 0)+1))), "")</f>
        <v/>
      </c>
      <c r="H889" s="15">
        <f>IFERROR(INDEX(輔助計算!$D:$D, (MATCH(888, 輔助計算!$E$2:$E$801, 0)+1)), "")</f>
        <v/>
      </c>
      <c r="I889" s="10">
        <f>IFERROR(IF(INDEX(ERP資料!$O:$O, (MATCH(888, 輔助計算!$E$2:$E$801, 0)+1))="","",INDEX(ERP資料!$O:$O, (MATCH(888, 輔助計算!$E$2:$E$801, 0)+1))), "")</f>
        <v/>
      </c>
      <c r="J889" s="15">
        <f>IFERROR(IF(INDEX(輔助計算!$D:$D,(MATCH(888, 輔助計算!$E$2:$E$801, 0)+1))="","",INDEX(輔助計算!$D:$D,(MATCH(888, 輔助計算!$E$2:$E$801, 0)+1))*INDEX(ERP資料!$O:$O,(MATCH(888, 輔助計算!$E$2:$E$801, 0)+1))), "")</f>
        <v/>
      </c>
      <c r="K889" s="16" t="n"/>
      <c r="L889" s="16" t="n"/>
      <c r="M889" s="17" t="n"/>
    </row>
    <row r="890">
      <c r="A890" s="14">
        <f>IFERROR(IF(INDEX(ERP資料!$B:$B, (MATCH(889, 輔助計算!$E$2:$E$801, 0)+1))="","",INDEX(ERP資料!$B:$B, (MATCH(889, 輔助計算!$E$2:$E$801, 0)+1))), "")</f>
        <v/>
      </c>
      <c r="B890" s="10">
        <f>IFERROR(IF(INDEX(ERP資料!$A:$A, (MATCH(889, 輔助計算!$E$2:$E$801, 0)+1))="","",INDEX(ERP資料!$A:$A, (MATCH(889, 輔助計算!$E$2:$E$801, 0)+1))), "")</f>
        <v/>
      </c>
      <c r="C890" s="10">
        <f>IFERROR(IF(INDEX(ERP資料!$S:$S, (MATCH(889, 輔助計算!$E$2:$E$801, 0)+1))="","",INDEX(ERP資料!$S:$S, (MATCH(889, 輔助計算!$E$2:$E$801, 0)+1))), "")</f>
        <v/>
      </c>
      <c r="D890" s="10">
        <f>IFERROR(IF(INDEX(ERP資料!$E:$E, (MATCH(889, 輔助計算!$E$2:$E$801, 0)+1))="","",TRIM(INDEX(ERP資料!$E:$E, (MATCH(889, 輔助計算!$E$2:$E$801, 0)+1)))), "")</f>
        <v/>
      </c>
      <c r="E890" s="10">
        <f>IFERROR(IF(INDEX(ERP資料!$F:$F, (MATCH(889, 輔助計算!$E$2:$E$801, 0)+1))="","",INDEX(ERP資料!$F:$F, (MATCH(889, 輔助計算!$E$2:$E$801, 0)+1))), "")</f>
        <v/>
      </c>
      <c r="F890" s="10">
        <f>IFERROR(IF(INDEX(ERP資料!$G:$G, (MATCH(889, 輔助計算!$E$2:$E$801, 0)+1))="","",INDEX(ERP資料!$G:$G, (MATCH(889, 輔助計算!$E$2:$E$801, 0)+1))), "")</f>
        <v/>
      </c>
      <c r="G890" s="10">
        <f>IFERROR(IF(INDEX(ERP資料!$H:$H, (MATCH(889, 輔助計算!$E$2:$E$801, 0)+1))="","",INDEX(ERP資料!$H:$H, (MATCH(889, 輔助計算!$E$2:$E$801, 0)+1))), "")</f>
        <v/>
      </c>
      <c r="H890" s="15">
        <f>IFERROR(INDEX(輔助計算!$D:$D, (MATCH(889, 輔助計算!$E$2:$E$801, 0)+1)), "")</f>
        <v/>
      </c>
      <c r="I890" s="10">
        <f>IFERROR(IF(INDEX(ERP資料!$O:$O, (MATCH(889, 輔助計算!$E$2:$E$801, 0)+1))="","",INDEX(ERP資料!$O:$O, (MATCH(889, 輔助計算!$E$2:$E$801, 0)+1))), "")</f>
        <v/>
      </c>
      <c r="J890" s="15">
        <f>IFERROR(IF(INDEX(輔助計算!$D:$D,(MATCH(889, 輔助計算!$E$2:$E$801, 0)+1))="","",INDEX(輔助計算!$D:$D,(MATCH(889, 輔助計算!$E$2:$E$801, 0)+1))*INDEX(ERP資料!$O:$O,(MATCH(889, 輔助計算!$E$2:$E$801, 0)+1))), "")</f>
        <v/>
      </c>
      <c r="K890" s="16" t="n"/>
      <c r="L890" s="16" t="n"/>
      <c r="M890" s="17" t="n"/>
    </row>
    <row r="891">
      <c r="A891" s="14">
        <f>IFERROR(IF(INDEX(ERP資料!$B:$B, (MATCH(890, 輔助計算!$E$2:$E$801, 0)+1))="","",INDEX(ERP資料!$B:$B, (MATCH(890, 輔助計算!$E$2:$E$801, 0)+1))), "")</f>
        <v/>
      </c>
      <c r="B891" s="10">
        <f>IFERROR(IF(INDEX(ERP資料!$A:$A, (MATCH(890, 輔助計算!$E$2:$E$801, 0)+1))="","",INDEX(ERP資料!$A:$A, (MATCH(890, 輔助計算!$E$2:$E$801, 0)+1))), "")</f>
        <v/>
      </c>
      <c r="C891" s="10">
        <f>IFERROR(IF(INDEX(ERP資料!$S:$S, (MATCH(890, 輔助計算!$E$2:$E$801, 0)+1))="","",INDEX(ERP資料!$S:$S, (MATCH(890, 輔助計算!$E$2:$E$801, 0)+1))), "")</f>
        <v/>
      </c>
      <c r="D891" s="10">
        <f>IFERROR(IF(INDEX(ERP資料!$E:$E, (MATCH(890, 輔助計算!$E$2:$E$801, 0)+1))="","",TRIM(INDEX(ERP資料!$E:$E, (MATCH(890, 輔助計算!$E$2:$E$801, 0)+1)))), "")</f>
        <v/>
      </c>
      <c r="E891" s="10">
        <f>IFERROR(IF(INDEX(ERP資料!$F:$F, (MATCH(890, 輔助計算!$E$2:$E$801, 0)+1))="","",INDEX(ERP資料!$F:$F, (MATCH(890, 輔助計算!$E$2:$E$801, 0)+1))), "")</f>
        <v/>
      </c>
      <c r="F891" s="10">
        <f>IFERROR(IF(INDEX(ERP資料!$G:$G, (MATCH(890, 輔助計算!$E$2:$E$801, 0)+1))="","",INDEX(ERP資料!$G:$G, (MATCH(890, 輔助計算!$E$2:$E$801, 0)+1))), "")</f>
        <v/>
      </c>
      <c r="G891" s="10">
        <f>IFERROR(IF(INDEX(ERP資料!$H:$H, (MATCH(890, 輔助計算!$E$2:$E$801, 0)+1))="","",INDEX(ERP資料!$H:$H, (MATCH(890, 輔助計算!$E$2:$E$801, 0)+1))), "")</f>
        <v/>
      </c>
      <c r="H891" s="15">
        <f>IFERROR(INDEX(輔助計算!$D:$D, (MATCH(890, 輔助計算!$E$2:$E$801, 0)+1)), "")</f>
        <v/>
      </c>
      <c r="I891" s="10">
        <f>IFERROR(IF(INDEX(ERP資料!$O:$O, (MATCH(890, 輔助計算!$E$2:$E$801, 0)+1))="","",INDEX(ERP資料!$O:$O, (MATCH(890, 輔助計算!$E$2:$E$801, 0)+1))), "")</f>
        <v/>
      </c>
      <c r="J891" s="15">
        <f>IFERROR(IF(INDEX(輔助計算!$D:$D,(MATCH(890, 輔助計算!$E$2:$E$801, 0)+1))="","",INDEX(輔助計算!$D:$D,(MATCH(890, 輔助計算!$E$2:$E$801, 0)+1))*INDEX(ERP資料!$O:$O,(MATCH(890, 輔助計算!$E$2:$E$801, 0)+1))), "")</f>
        <v/>
      </c>
      <c r="K891" s="16" t="n"/>
      <c r="L891" s="16" t="n"/>
      <c r="M891" s="17" t="n"/>
    </row>
    <row r="892">
      <c r="A892" s="14">
        <f>IFERROR(IF(INDEX(ERP資料!$B:$B, (MATCH(891, 輔助計算!$E$2:$E$801, 0)+1))="","",INDEX(ERP資料!$B:$B, (MATCH(891, 輔助計算!$E$2:$E$801, 0)+1))), "")</f>
        <v/>
      </c>
      <c r="B892" s="10">
        <f>IFERROR(IF(INDEX(ERP資料!$A:$A, (MATCH(891, 輔助計算!$E$2:$E$801, 0)+1))="","",INDEX(ERP資料!$A:$A, (MATCH(891, 輔助計算!$E$2:$E$801, 0)+1))), "")</f>
        <v/>
      </c>
      <c r="C892" s="10">
        <f>IFERROR(IF(INDEX(ERP資料!$S:$S, (MATCH(891, 輔助計算!$E$2:$E$801, 0)+1))="","",INDEX(ERP資料!$S:$S, (MATCH(891, 輔助計算!$E$2:$E$801, 0)+1))), "")</f>
        <v/>
      </c>
      <c r="D892" s="10">
        <f>IFERROR(IF(INDEX(ERP資料!$E:$E, (MATCH(891, 輔助計算!$E$2:$E$801, 0)+1))="","",TRIM(INDEX(ERP資料!$E:$E, (MATCH(891, 輔助計算!$E$2:$E$801, 0)+1)))), "")</f>
        <v/>
      </c>
      <c r="E892" s="10">
        <f>IFERROR(IF(INDEX(ERP資料!$F:$F, (MATCH(891, 輔助計算!$E$2:$E$801, 0)+1))="","",INDEX(ERP資料!$F:$F, (MATCH(891, 輔助計算!$E$2:$E$801, 0)+1))), "")</f>
        <v/>
      </c>
      <c r="F892" s="10">
        <f>IFERROR(IF(INDEX(ERP資料!$G:$G, (MATCH(891, 輔助計算!$E$2:$E$801, 0)+1))="","",INDEX(ERP資料!$G:$G, (MATCH(891, 輔助計算!$E$2:$E$801, 0)+1))), "")</f>
        <v/>
      </c>
      <c r="G892" s="10">
        <f>IFERROR(IF(INDEX(ERP資料!$H:$H, (MATCH(891, 輔助計算!$E$2:$E$801, 0)+1))="","",INDEX(ERP資料!$H:$H, (MATCH(891, 輔助計算!$E$2:$E$801, 0)+1))), "")</f>
        <v/>
      </c>
      <c r="H892" s="15">
        <f>IFERROR(INDEX(輔助計算!$D:$D, (MATCH(891, 輔助計算!$E$2:$E$801, 0)+1)), "")</f>
        <v/>
      </c>
      <c r="I892" s="10">
        <f>IFERROR(IF(INDEX(ERP資料!$O:$O, (MATCH(891, 輔助計算!$E$2:$E$801, 0)+1))="","",INDEX(ERP資料!$O:$O, (MATCH(891, 輔助計算!$E$2:$E$801, 0)+1))), "")</f>
        <v/>
      </c>
      <c r="J892" s="15">
        <f>IFERROR(IF(INDEX(輔助計算!$D:$D,(MATCH(891, 輔助計算!$E$2:$E$801, 0)+1))="","",INDEX(輔助計算!$D:$D,(MATCH(891, 輔助計算!$E$2:$E$801, 0)+1))*INDEX(ERP資料!$O:$O,(MATCH(891, 輔助計算!$E$2:$E$801, 0)+1))), "")</f>
        <v/>
      </c>
      <c r="K892" s="16" t="n"/>
      <c r="L892" s="16" t="n"/>
      <c r="M892" s="17" t="n"/>
    </row>
    <row r="893">
      <c r="A893" s="14">
        <f>IFERROR(IF(INDEX(ERP資料!$B:$B, (MATCH(892, 輔助計算!$E$2:$E$801, 0)+1))="","",INDEX(ERP資料!$B:$B, (MATCH(892, 輔助計算!$E$2:$E$801, 0)+1))), "")</f>
        <v/>
      </c>
      <c r="B893" s="10">
        <f>IFERROR(IF(INDEX(ERP資料!$A:$A, (MATCH(892, 輔助計算!$E$2:$E$801, 0)+1))="","",INDEX(ERP資料!$A:$A, (MATCH(892, 輔助計算!$E$2:$E$801, 0)+1))), "")</f>
        <v/>
      </c>
      <c r="C893" s="10">
        <f>IFERROR(IF(INDEX(ERP資料!$S:$S, (MATCH(892, 輔助計算!$E$2:$E$801, 0)+1))="","",INDEX(ERP資料!$S:$S, (MATCH(892, 輔助計算!$E$2:$E$801, 0)+1))), "")</f>
        <v/>
      </c>
      <c r="D893" s="10">
        <f>IFERROR(IF(INDEX(ERP資料!$E:$E, (MATCH(892, 輔助計算!$E$2:$E$801, 0)+1))="","",TRIM(INDEX(ERP資料!$E:$E, (MATCH(892, 輔助計算!$E$2:$E$801, 0)+1)))), "")</f>
        <v/>
      </c>
      <c r="E893" s="10">
        <f>IFERROR(IF(INDEX(ERP資料!$F:$F, (MATCH(892, 輔助計算!$E$2:$E$801, 0)+1))="","",INDEX(ERP資料!$F:$F, (MATCH(892, 輔助計算!$E$2:$E$801, 0)+1))), "")</f>
        <v/>
      </c>
      <c r="F893" s="10">
        <f>IFERROR(IF(INDEX(ERP資料!$G:$G, (MATCH(892, 輔助計算!$E$2:$E$801, 0)+1))="","",INDEX(ERP資料!$G:$G, (MATCH(892, 輔助計算!$E$2:$E$801, 0)+1))), "")</f>
        <v/>
      </c>
      <c r="G893" s="10">
        <f>IFERROR(IF(INDEX(ERP資料!$H:$H, (MATCH(892, 輔助計算!$E$2:$E$801, 0)+1))="","",INDEX(ERP資料!$H:$H, (MATCH(892, 輔助計算!$E$2:$E$801, 0)+1))), "")</f>
        <v/>
      </c>
      <c r="H893" s="15">
        <f>IFERROR(INDEX(輔助計算!$D:$D, (MATCH(892, 輔助計算!$E$2:$E$801, 0)+1)), "")</f>
        <v/>
      </c>
      <c r="I893" s="10">
        <f>IFERROR(IF(INDEX(ERP資料!$O:$O, (MATCH(892, 輔助計算!$E$2:$E$801, 0)+1))="","",INDEX(ERP資料!$O:$O, (MATCH(892, 輔助計算!$E$2:$E$801, 0)+1))), "")</f>
        <v/>
      </c>
      <c r="J893" s="15">
        <f>IFERROR(IF(INDEX(輔助計算!$D:$D,(MATCH(892, 輔助計算!$E$2:$E$801, 0)+1))="","",INDEX(輔助計算!$D:$D,(MATCH(892, 輔助計算!$E$2:$E$801, 0)+1))*INDEX(ERP資料!$O:$O,(MATCH(892, 輔助計算!$E$2:$E$801, 0)+1))), "")</f>
        <v/>
      </c>
      <c r="K893" s="16" t="n"/>
      <c r="L893" s="16" t="n"/>
      <c r="M893" s="17" t="n"/>
    </row>
    <row r="894">
      <c r="A894" s="14">
        <f>IFERROR(IF(INDEX(ERP資料!$B:$B, (MATCH(893, 輔助計算!$E$2:$E$801, 0)+1))="","",INDEX(ERP資料!$B:$B, (MATCH(893, 輔助計算!$E$2:$E$801, 0)+1))), "")</f>
        <v/>
      </c>
      <c r="B894" s="10">
        <f>IFERROR(IF(INDEX(ERP資料!$A:$A, (MATCH(893, 輔助計算!$E$2:$E$801, 0)+1))="","",INDEX(ERP資料!$A:$A, (MATCH(893, 輔助計算!$E$2:$E$801, 0)+1))), "")</f>
        <v/>
      </c>
      <c r="C894" s="10">
        <f>IFERROR(IF(INDEX(ERP資料!$S:$S, (MATCH(893, 輔助計算!$E$2:$E$801, 0)+1))="","",INDEX(ERP資料!$S:$S, (MATCH(893, 輔助計算!$E$2:$E$801, 0)+1))), "")</f>
        <v/>
      </c>
      <c r="D894" s="10">
        <f>IFERROR(IF(INDEX(ERP資料!$E:$E, (MATCH(893, 輔助計算!$E$2:$E$801, 0)+1))="","",TRIM(INDEX(ERP資料!$E:$E, (MATCH(893, 輔助計算!$E$2:$E$801, 0)+1)))), "")</f>
        <v/>
      </c>
      <c r="E894" s="10">
        <f>IFERROR(IF(INDEX(ERP資料!$F:$F, (MATCH(893, 輔助計算!$E$2:$E$801, 0)+1))="","",INDEX(ERP資料!$F:$F, (MATCH(893, 輔助計算!$E$2:$E$801, 0)+1))), "")</f>
        <v/>
      </c>
      <c r="F894" s="10">
        <f>IFERROR(IF(INDEX(ERP資料!$G:$G, (MATCH(893, 輔助計算!$E$2:$E$801, 0)+1))="","",INDEX(ERP資料!$G:$G, (MATCH(893, 輔助計算!$E$2:$E$801, 0)+1))), "")</f>
        <v/>
      </c>
      <c r="G894" s="10">
        <f>IFERROR(IF(INDEX(ERP資料!$H:$H, (MATCH(893, 輔助計算!$E$2:$E$801, 0)+1))="","",INDEX(ERP資料!$H:$H, (MATCH(893, 輔助計算!$E$2:$E$801, 0)+1))), "")</f>
        <v/>
      </c>
      <c r="H894" s="15">
        <f>IFERROR(INDEX(輔助計算!$D:$D, (MATCH(893, 輔助計算!$E$2:$E$801, 0)+1)), "")</f>
        <v/>
      </c>
      <c r="I894" s="10">
        <f>IFERROR(IF(INDEX(ERP資料!$O:$O, (MATCH(893, 輔助計算!$E$2:$E$801, 0)+1))="","",INDEX(ERP資料!$O:$O, (MATCH(893, 輔助計算!$E$2:$E$801, 0)+1))), "")</f>
        <v/>
      </c>
      <c r="J894" s="15">
        <f>IFERROR(IF(INDEX(輔助計算!$D:$D,(MATCH(893, 輔助計算!$E$2:$E$801, 0)+1))="","",INDEX(輔助計算!$D:$D,(MATCH(893, 輔助計算!$E$2:$E$801, 0)+1))*INDEX(ERP資料!$O:$O,(MATCH(893, 輔助計算!$E$2:$E$801, 0)+1))), "")</f>
        <v/>
      </c>
      <c r="K894" s="16" t="n"/>
      <c r="L894" s="16" t="n"/>
      <c r="M894" s="17" t="n"/>
    </row>
    <row r="895">
      <c r="A895" s="14">
        <f>IFERROR(IF(INDEX(ERP資料!$B:$B, (MATCH(894, 輔助計算!$E$2:$E$801, 0)+1))="","",INDEX(ERP資料!$B:$B, (MATCH(894, 輔助計算!$E$2:$E$801, 0)+1))), "")</f>
        <v/>
      </c>
      <c r="B895" s="10">
        <f>IFERROR(IF(INDEX(ERP資料!$A:$A, (MATCH(894, 輔助計算!$E$2:$E$801, 0)+1))="","",INDEX(ERP資料!$A:$A, (MATCH(894, 輔助計算!$E$2:$E$801, 0)+1))), "")</f>
        <v/>
      </c>
      <c r="C895" s="10">
        <f>IFERROR(IF(INDEX(ERP資料!$S:$S, (MATCH(894, 輔助計算!$E$2:$E$801, 0)+1))="","",INDEX(ERP資料!$S:$S, (MATCH(894, 輔助計算!$E$2:$E$801, 0)+1))), "")</f>
        <v/>
      </c>
      <c r="D895" s="10">
        <f>IFERROR(IF(INDEX(ERP資料!$E:$E, (MATCH(894, 輔助計算!$E$2:$E$801, 0)+1))="","",TRIM(INDEX(ERP資料!$E:$E, (MATCH(894, 輔助計算!$E$2:$E$801, 0)+1)))), "")</f>
        <v/>
      </c>
      <c r="E895" s="10">
        <f>IFERROR(IF(INDEX(ERP資料!$F:$F, (MATCH(894, 輔助計算!$E$2:$E$801, 0)+1))="","",INDEX(ERP資料!$F:$F, (MATCH(894, 輔助計算!$E$2:$E$801, 0)+1))), "")</f>
        <v/>
      </c>
      <c r="F895" s="10">
        <f>IFERROR(IF(INDEX(ERP資料!$G:$G, (MATCH(894, 輔助計算!$E$2:$E$801, 0)+1))="","",INDEX(ERP資料!$G:$G, (MATCH(894, 輔助計算!$E$2:$E$801, 0)+1))), "")</f>
        <v/>
      </c>
      <c r="G895" s="10">
        <f>IFERROR(IF(INDEX(ERP資料!$H:$H, (MATCH(894, 輔助計算!$E$2:$E$801, 0)+1))="","",INDEX(ERP資料!$H:$H, (MATCH(894, 輔助計算!$E$2:$E$801, 0)+1))), "")</f>
        <v/>
      </c>
      <c r="H895" s="15">
        <f>IFERROR(INDEX(輔助計算!$D:$D, (MATCH(894, 輔助計算!$E$2:$E$801, 0)+1)), "")</f>
        <v/>
      </c>
      <c r="I895" s="10">
        <f>IFERROR(IF(INDEX(ERP資料!$O:$O, (MATCH(894, 輔助計算!$E$2:$E$801, 0)+1))="","",INDEX(ERP資料!$O:$O, (MATCH(894, 輔助計算!$E$2:$E$801, 0)+1))), "")</f>
        <v/>
      </c>
      <c r="J895" s="15">
        <f>IFERROR(IF(INDEX(輔助計算!$D:$D,(MATCH(894, 輔助計算!$E$2:$E$801, 0)+1))="","",INDEX(輔助計算!$D:$D,(MATCH(894, 輔助計算!$E$2:$E$801, 0)+1))*INDEX(ERP資料!$O:$O,(MATCH(894, 輔助計算!$E$2:$E$801, 0)+1))), "")</f>
        <v/>
      </c>
      <c r="K895" s="16" t="n"/>
      <c r="L895" s="16" t="n"/>
      <c r="M895" s="17" t="n"/>
    </row>
    <row r="896">
      <c r="A896" s="14">
        <f>IFERROR(IF(INDEX(ERP資料!$B:$B, (MATCH(895, 輔助計算!$E$2:$E$801, 0)+1))="","",INDEX(ERP資料!$B:$B, (MATCH(895, 輔助計算!$E$2:$E$801, 0)+1))), "")</f>
        <v/>
      </c>
      <c r="B896" s="10">
        <f>IFERROR(IF(INDEX(ERP資料!$A:$A, (MATCH(895, 輔助計算!$E$2:$E$801, 0)+1))="","",INDEX(ERP資料!$A:$A, (MATCH(895, 輔助計算!$E$2:$E$801, 0)+1))), "")</f>
        <v/>
      </c>
      <c r="C896" s="10">
        <f>IFERROR(IF(INDEX(ERP資料!$S:$S, (MATCH(895, 輔助計算!$E$2:$E$801, 0)+1))="","",INDEX(ERP資料!$S:$S, (MATCH(895, 輔助計算!$E$2:$E$801, 0)+1))), "")</f>
        <v/>
      </c>
      <c r="D896" s="10">
        <f>IFERROR(IF(INDEX(ERP資料!$E:$E, (MATCH(895, 輔助計算!$E$2:$E$801, 0)+1))="","",TRIM(INDEX(ERP資料!$E:$E, (MATCH(895, 輔助計算!$E$2:$E$801, 0)+1)))), "")</f>
        <v/>
      </c>
      <c r="E896" s="10">
        <f>IFERROR(IF(INDEX(ERP資料!$F:$F, (MATCH(895, 輔助計算!$E$2:$E$801, 0)+1))="","",INDEX(ERP資料!$F:$F, (MATCH(895, 輔助計算!$E$2:$E$801, 0)+1))), "")</f>
        <v/>
      </c>
      <c r="F896" s="10">
        <f>IFERROR(IF(INDEX(ERP資料!$G:$G, (MATCH(895, 輔助計算!$E$2:$E$801, 0)+1))="","",INDEX(ERP資料!$G:$G, (MATCH(895, 輔助計算!$E$2:$E$801, 0)+1))), "")</f>
        <v/>
      </c>
      <c r="G896" s="10">
        <f>IFERROR(IF(INDEX(ERP資料!$H:$H, (MATCH(895, 輔助計算!$E$2:$E$801, 0)+1))="","",INDEX(ERP資料!$H:$H, (MATCH(895, 輔助計算!$E$2:$E$801, 0)+1))), "")</f>
        <v/>
      </c>
      <c r="H896" s="15">
        <f>IFERROR(INDEX(輔助計算!$D:$D, (MATCH(895, 輔助計算!$E$2:$E$801, 0)+1)), "")</f>
        <v/>
      </c>
      <c r="I896" s="10">
        <f>IFERROR(IF(INDEX(ERP資料!$O:$O, (MATCH(895, 輔助計算!$E$2:$E$801, 0)+1))="","",INDEX(ERP資料!$O:$O, (MATCH(895, 輔助計算!$E$2:$E$801, 0)+1))), "")</f>
        <v/>
      </c>
      <c r="J896" s="15">
        <f>IFERROR(IF(INDEX(輔助計算!$D:$D,(MATCH(895, 輔助計算!$E$2:$E$801, 0)+1))="","",INDEX(輔助計算!$D:$D,(MATCH(895, 輔助計算!$E$2:$E$801, 0)+1))*INDEX(ERP資料!$O:$O,(MATCH(895, 輔助計算!$E$2:$E$801, 0)+1))), "")</f>
        <v/>
      </c>
      <c r="K896" s="16" t="n"/>
      <c r="L896" s="16" t="n"/>
      <c r="M896" s="17" t="n"/>
    </row>
    <row r="897">
      <c r="A897" s="14">
        <f>IFERROR(IF(INDEX(ERP資料!$B:$B, (MATCH(896, 輔助計算!$E$2:$E$801, 0)+1))="","",INDEX(ERP資料!$B:$B, (MATCH(896, 輔助計算!$E$2:$E$801, 0)+1))), "")</f>
        <v/>
      </c>
      <c r="B897" s="10">
        <f>IFERROR(IF(INDEX(ERP資料!$A:$A, (MATCH(896, 輔助計算!$E$2:$E$801, 0)+1))="","",INDEX(ERP資料!$A:$A, (MATCH(896, 輔助計算!$E$2:$E$801, 0)+1))), "")</f>
        <v/>
      </c>
      <c r="C897" s="10">
        <f>IFERROR(IF(INDEX(ERP資料!$S:$S, (MATCH(896, 輔助計算!$E$2:$E$801, 0)+1))="","",INDEX(ERP資料!$S:$S, (MATCH(896, 輔助計算!$E$2:$E$801, 0)+1))), "")</f>
        <v/>
      </c>
      <c r="D897" s="10">
        <f>IFERROR(IF(INDEX(ERP資料!$E:$E, (MATCH(896, 輔助計算!$E$2:$E$801, 0)+1))="","",TRIM(INDEX(ERP資料!$E:$E, (MATCH(896, 輔助計算!$E$2:$E$801, 0)+1)))), "")</f>
        <v/>
      </c>
      <c r="E897" s="10">
        <f>IFERROR(IF(INDEX(ERP資料!$F:$F, (MATCH(896, 輔助計算!$E$2:$E$801, 0)+1))="","",INDEX(ERP資料!$F:$F, (MATCH(896, 輔助計算!$E$2:$E$801, 0)+1))), "")</f>
        <v/>
      </c>
      <c r="F897" s="10">
        <f>IFERROR(IF(INDEX(ERP資料!$G:$G, (MATCH(896, 輔助計算!$E$2:$E$801, 0)+1))="","",INDEX(ERP資料!$G:$G, (MATCH(896, 輔助計算!$E$2:$E$801, 0)+1))), "")</f>
        <v/>
      </c>
      <c r="G897" s="10">
        <f>IFERROR(IF(INDEX(ERP資料!$H:$H, (MATCH(896, 輔助計算!$E$2:$E$801, 0)+1))="","",INDEX(ERP資料!$H:$H, (MATCH(896, 輔助計算!$E$2:$E$801, 0)+1))), "")</f>
        <v/>
      </c>
      <c r="H897" s="15">
        <f>IFERROR(INDEX(輔助計算!$D:$D, (MATCH(896, 輔助計算!$E$2:$E$801, 0)+1)), "")</f>
        <v/>
      </c>
      <c r="I897" s="10">
        <f>IFERROR(IF(INDEX(ERP資料!$O:$O, (MATCH(896, 輔助計算!$E$2:$E$801, 0)+1))="","",INDEX(ERP資料!$O:$O, (MATCH(896, 輔助計算!$E$2:$E$801, 0)+1))), "")</f>
        <v/>
      </c>
      <c r="J897" s="15">
        <f>IFERROR(IF(INDEX(輔助計算!$D:$D,(MATCH(896, 輔助計算!$E$2:$E$801, 0)+1))="","",INDEX(輔助計算!$D:$D,(MATCH(896, 輔助計算!$E$2:$E$801, 0)+1))*INDEX(ERP資料!$O:$O,(MATCH(896, 輔助計算!$E$2:$E$801, 0)+1))), "")</f>
        <v/>
      </c>
      <c r="K897" s="16" t="n"/>
      <c r="L897" s="16" t="n"/>
      <c r="M897" s="17" t="n"/>
    </row>
    <row r="898">
      <c r="A898" s="14">
        <f>IFERROR(IF(INDEX(ERP資料!$B:$B, (MATCH(897, 輔助計算!$E$2:$E$801, 0)+1))="","",INDEX(ERP資料!$B:$B, (MATCH(897, 輔助計算!$E$2:$E$801, 0)+1))), "")</f>
        <v/>
      </c>
      <c r="B898" s="10">
        <f>IFERROR(IF(INDEX(ERP資料!$A:$A, (MATCH(897, 輔助計算!$E$2:$E$801, 0)+1))="","",INDEX(ERP資料!$A:$A, (MATCH(897, 輔助計算!$E$2:$E$801, 0)+1))), "")</f>
        <v/>
      </c>
      <c r="C898" s="10">
        <f>IFERROR(IF(INDEX(ERP資料!$S:$S, (MATCH(897, 輔助計算!$E$2:$E$801, 0)+1))="","",INDEX(ERP資料!$S:$S, (MATCH(897, 輔助計算!$E$2:$E$801, 0)+1))), "")</f>
        <v/>
      </c>
      <c r="D898" s="10">
        <f>IFERROR(IF(INDEX(ERP資料!$E:$E, (MATCH(897, 輔助計算!$E$2:$E$801, 0)+1))="","",TRIM(INDEX(ERP資料!$E:$E, (MATCH(897, 輔助計算!$E$2:$E$801, 0)+1)))), "")</f>
        <v/>
      </c>
      <c r="E898" s="10">
        <f>IFERROR(IF(INDEX(ERP資料!$F:$F, (MATCH(897, 輔助計算!$E$2:$E$801, 0)+1))="","",INDEX(ERP資料!$F:$F, (MATCH(897, 輔助計算!$E$2:$E$801, 0)+1))), "")</f>
        <v/>
      </c>
      <c r="F898" s="10">
        <f>IFERROR(IF(INDEX(ERP資料!$G:$G, (MATCH(897, 輔助計算!$E$2:$E$801, 0)+1))="","",INDEX(ERP資料!$G:$G, (MATCH(897, 輔助計算!$E$2:$E$801, 0)+1))), "")</f>
        <v/>
      </c>
      <c r="G898" s="10">
        <f>IFERROR(IF(INDEX(ERP資料!$H:$H, (MATCH(897, 輔助計算!$E$2:$E$801, 0)+1))="","",INDEX(ERP資料!$H:$H, (MATCH(897, 輔助計算!$E$2:$E$801, 0)+1))), "")</f>
        <v/>
      </c>
      <c r="H898" s="15">
        <f>IFERROR(INDEX(輔助計算!$D:$D, (MATCH(897, 輔助計算!$E$2:$E$801, 0)+1)), "")</f>
        <v/>
      </c>
      <c r="I898" s="10">
        <f>IFERROR(IF(INDEX(ERP資料!$O:$O, (MATCH(897, 輔助計算!$E$2:$E$801, 0)+1))="","",INDEX(ERP資料!$O:$O, (MATCH(897, 輔助計算!$E$2:$E$801, 0)+1))), "")</f>
        <v/>
      </c>
      <c r="J898" s="15">
        <f>IFERROR(IF(INDEX(輔助計算!$D:$D,(MATCH(897, 輔助計算!$E$2:$E$801, 0)+1))="","",INDEX(輔助計算!$D:$D,(MATCH(897, 輔助計算!$E$2:$E$801, 0)+1))*INDEX(ERP資料!$O:$O,(MATCH(897, 輔助計算!$E$2:$E$801, 0)+1))), "")</f>
        <v/>
      </c>
      <c r="K898" s="16" t="n"/>
      <c r="L898" s="16" t="n"/>
      <c r="M898" s="17" t="n"/>
    </row>
    <row r="899">
      <c r="A899" s="14">
        <f>IFERROR(IF(INDEX(ERP資料!$B:$B, (MATCH(898, 輔助計算!$E$2:$E$801, 0)+1))="","",INDEX(ERP資料!$B:$B, (MATCH(898, 輔助計算!$E$2:$E$801, 0)+1))), "")</f>
        <v/>
      </c>
      <c r="B899" s="10">
        <f>IFERROR(IF(INDEX(ERP資料!$A:$A, (MATCH(898, 輔助計算!$E$2:$E$801, 0)+1))="","",INDEX(ERP資料!$A:$A, (MATCH(898, 輔助計算!$E$2:$E$801, 0)+1))), "")</f>
        <v/>
      </c>
      <c r="C899" s="10">
        <f>IFERROR(IF(INDEX(ERP資料!$S:$S, (MATCH(898, 輔助計算!$E$2:$E$801, 0)+1))="","",INDEX(ERP資料!$S:$S, (MATCH(898, 輔助計算!$E$2:$E$801, 0)+1))), "")</f>
        <v/>
      </c>
      <c r="D899" s="10">
        <f>IFERROR(IF(INDEX(ERP資料!$E:$E, (MATCH(898, 輔助計算!$E$2:$E$801, 0)+1))="","",TRIM(INDEX(ERP資料!$E:$E, (MATCH(898, 輔助計算!$E$2:$E$801, 0)+1)))), "")</f>
        <v/>
      </c>
      <c r="E899" s="10">
        <f>IFERROR(IF(INDEX(ERP資料!$F:$F, (MATCH(898, 輔助計算!$E$2:$E$801, 0)+1))="","",INDEX(ERP資料!$F:$F, (MATCH(898, 輔助計算!$E$2:$E$801, 0)+1))), "")</f>
        <v/>
      </c>
      <c r="F899" s="10">
        <f>IFERROR(IF(INDEX(ERP資料!$G:$G, (MATCH(898, 輔助計算!$E$2:$E$801, 0)+1))="","",INDEX(ERP資料!$G:$G, (MATCH(898, 輔助計算!$E$2:$E$801, 0)+1))), "")</f>
        <v/>
      </c>
      <c r="G899" s="10">
        <f>IFERROR(IF(INDEX(ERP資料!$H:$H, (MATCH(898, 輔助計算!$E$2:$E$801, 0)+1))="","",INDEX(ERP資料!$H:$H, (MATCH(898, 輔助計算!$E$2:$E$801, 0)+1))), "")</f>
        <v/>
      </c>
      <c r="H899" s="15">
        <f>IFERROR(INDEX(輔助計算!$D:$D, (MATCH(898, 輔助計算!$E$2:$E$801, 0)+1)), "")</f>
        <v/>
      </c>
      <c r="I899" s="10">
        <f>IFERROR(IF(INDEX(ERP資料!$O:$O, (MATCH(898, 輔助計算!$E$2:$E$801, 0)+1))="","",INDEX(ERP資料!$O:$O, (MATCH(898, 輔助計算!$E$2:$E$801, 0)+1))), "")</f>
        <v/>
      </c>
      <c r="J899" s="15">
        <f>IFERROR(IF(INDEX(輔助計算!$D:$D,(MATCH(898, 輔助計算!$E$2:$E$801, 0)+1))="","",INDEX(輔助計算!$D:$D,(MATCH(898, 輔助計算!$E$2:$E$801, 0)+1))*INDEX(ERP資料!$O:$O,(MATCH(898, 輔助計算!$E$2:$E$801, 0)+1))), "")</f>
        <v/>
      </c>
      <c r="K899" s="16" t="n"/>
      <c r="L899" s="16" t="n"/>
      <c r="M899" s="17" t="n"/>
    </row>
    <row r="900">
      <c r="A900" s="14">
        <f>IFERROR(IF(INDEX(ERP資料!$B:$B, (MATCH(899, 輔助計算!$E$2:$E$801, 0)+1))="","",INDEX(ERP資料!$B:$B, (MATCH(899, 輔助計算!$E$2:$E$801, 0)+1))), "")</f>
        <v/>
      </c>
      <c r="B900" s="10">
        <f>IFERROR(IF(INDEX(ERP資料!$A:$A, (MATCH(899, 輔助計算!$E$2:$E$801, 0)+1))="","",INDEX(ERP資料!$A:$A, (MATCH(899, 輔助計算!$E$2:$E$801, 0)+1))), "")</f>
        <v/>
      </c>
      <c r="C900" s="10">
        <f>IFERROR(IF(INDEX(ERP資料!$S:$S, (MATCH(899, 輔助計算!$E$2:$E$801, 0)+1))="","",INDEX(ERP資料!$S:$S, (MATCH(899, 輔助計算!$E$2:$E$801, 0)+1))), "")</f>
        <v/>
      </c>
      <c r="D900" s="10">
        <f>IFERROR(IF(INDEX(ERP資料!$E:$E, (MATCH(899, 輔助計算!$E$2:$E$801, 0)+1))="","",TRIM(INDEX(ERP資料!$E:$E, (MATCH(899, 輔助計算!$E$2:$E$801, 0)+1)))), "")</f>
        <v/>
      </c>
      <c r="E900" s="10">
        <f>IFERROR(IF(INDEX(ERP資料!$F:$F, (MATCH(899, 輔助計算!$E$2:$E$801, 0)+1))="","",INDEX(ERP資料!$F:$F, (MATCH(899, 輔助計算!$E$2:$E$801, 0)+1))), "")</f>
        <v/>
      </c>
      <c r="F900" s="10">
        <f>IFERROR(IF(INDEX(ERP資料!$G:$G, (MATCH(899, 輔助計算!$E$2:$E$801, 0)+1))="","",INDEX(ERP資料!$G:$G, (MATCH(899, 輔助計算!$E$2:$E$801, 0)+1))), "")</f>
        <v/>
      </c>
      <c r="G900" s="10">
        <f>IFERROR(IF(INDEX(ERP資料!$H:$H, (MATCH(899, 輔助計算!$E$2:$E$801, 0)+1))="","",INDEX(ERP資料!$H:$H, (MATCH(899, 輔助計算!$E$2:$E$801, 0)+1))), "")</f>
        <v/>
      </c>
      <c r="H900" s="15">
        <f>IFERROR(INDEX(輔助計算!$D:$D, (MATCH(899, 輔助計算!$E$2:$E$801, 0)+1)), "")</f>
        <v/>
      </c>
      <c r="I900" s="10">
        <f>IFERROR(IF(INDEX(ERP資料!$O:$O, (MATCH(899, 輔助計算!$E$2:$E$801, 0)+1))="","",INDEX(ERP資料!$O:$O, (MATCH(899, 輔助計算!$E$2:$E$801, 0)+1))), "")</f>
        <v/>
      </c>
      <c r="J900" s="15">
        <f>IFERROR(IF(INDEX(輔助計算!$D:$D,(MATCH(899, 輔助計算!$E$2:$E$801, 0)+1))="","",INDEX(輔助計算!$D:$D,(MATCH(899, 輔助計算!$E$2:$E$801, 0)+1))*INDEX(ERP資料!$O:$O,(MATCH(899, 輔助計算!$E$2:$E$801, 0)+1))), "")</f>
        <v/>
      </c>
      <c r="K900" s="16" t="n"/>
      <c r="L900" s="16" t="n"/>
      <c r="M900" s="17" t="n"/>
    </row>
    <row r="901">
      <c r="A901" s="14">
        <f>IFERROR(IF(INDEX(ERP資料!$B:$B, (MATCH(900, 輔助計算!$E$2:$E$801, 0)+1))="","",INDEX(ERP資料!$B:$B, (MATCH(900, 輔助計算!$E$2:$E$801, 0)+1))), "")</f>
        <v/>
      </c>
      <c r="B901" s="10">
        <f>IFERROR(IF(INDEX(ERP資料!$A:$A, (MATCH(900, 輔助計算!$E$2:$E$801, 0)+1))="","",INDEX(ERP資料!$A:$A, (MATCH(900, 輔助計算!$E$2:$E$801, 0)+1))), "")</f>
        <v/>
      </c>
      <c r="C901" s="10">
        <f>IFERROR(IF(INDEX(ERP資料!$S:$S, (MATCH(900, 輔助計算!$E$2:$E$801, 0)+1))="","",INDEX(ERP資料!$S:$S, (MATCH(900, 輔助計算!$E$2:$E$801, 0)+1))), "")</f>
        <v/>
      </c>
      <c r="D901" s="10">
        <f>IFERROR(IF(INDEX(ERP資料!$E:$E, (MATCH(900, 輔助計算!$E$2:$E$801, 0)+1))="","",TRIM(INDEX(ERP資料!$E:$E, (MATCH(900, 輔助計算!$E$2:$E$801, 0)+1)))), "")</f>
        <v/>
      </c>
      <c r="E901" s="10">
        <f>IFERROR(IF(INDEX(ERP資料!$F:$F, (MATCH(900, 輔助計算!$E$2:$E$801, 0)+1))="","",INDEX(ERP資料!$F:$F, (MATCH(900, 輔助計算!$E$2:$E$801, 0)+1))), "")</f>
        <v/>
      </c>
      <c r="F901" s="10">
        <f>IFERROR(IF(INDEX(ERP資料!$G:$G, (MATCH(900, 輔助計算!$E$2:$E$801, 0)+1))="","",INDEX(ERP資料!$G:$G, (MATCH(900, 輔助計算!$E$2:$E$801, 0)+1))), "")</f>
        <v/>
      </c>
      <c r="G901" s="10">
        <f>IFERROR(IF(INDEX(ERP資料!$H:$H, (MATCH(900, 輔助計算!$E$2:$E$801, 0)+1))="","",INDEX(ERP資料!$H:$H, (MATCH(900, 輔助計算!$E$2:$E$801, 0)+1))), "")</f>
        <v/>
      </c>
      <c r="H901" s="15">
        <f>IFERROR(INDEX(輔助計算!$D:$D, (MATCH(900, 輔助計算!$E$2:$E$801, 0)+1)), "")</f>
        <v/>
      </c>
      <c r="I901" s="10">
        <f>IFERROR(IF(INDEX(ERP資料!$O:$O, (MATCH(900, 輔助計算!$E$2:$E$801, 0)+1))="","",INDEX(ERP資料!$O:$O, (MATCH(900, 輔助計算!$E$2:$E$801, 0)+1))), "")</f>
        <v/>
      </c>
      <c r="J901" s="15">
        <f>IFERROR(IF(INDEX(輔助計算!$D:$D,(MATCH(900, 輔助計算!$E$2:$E$801, 0)+1))="","",INDEX(輔助計算!$D:$D,(MATCH(900, 輔助計算!$E$2:$E$801, 0)+1))*INDEX(ERP資料!$O:$O,(MATCH(900, 輔助計算!$E$2:$E$801, 0)+1))), "")</f>
        <v/>
      </c>
      <c r="K901" s="16" t="n"/>
      <c r="L901" s="16" t="n"/>
      <c r="M901" s="17" t="n"/>
    </row>
    <row r="902">
      <c r="A902" s="14">
        <f>IFERROR(IF(INDEX(ERP資料!$B:$B, (MATCH(901, 輔助計算!$E$2:$E$801, 0)+1))="","",INDEX(ERP資料!$B:$B, (MATCH(901, 輔助計算!$E$2:$E$801, 0)+1))), "")</f>
        <v/>
      </c>
      <c r="B902" s="10">
        <f>IFERROR(IF(INDEX(ERP資料!$A:$A, (MATCH(901, 輔助計算!$E$2:$E$801, 0)+1))="","",INDEX(ERP資料!$A:$A, (MATCH(901, 輔助計算!$E$2:$E$801, 0)+1))), "")</f>
        <v/>
      </c>
      <c r="C902" s="10">
        <f>IFERROR(IF(INDEX(ERP資料!$S:$S, (MATCH(901, 輔助計算!$E$2:$E$801, 0)+1))="","",INDEX(ERP資料!$S:$S, (MATCH(901, 輔助計算!$E$2:$E$801, 0)+1))), "")</f>
        <v/>
      </c>
      <c r="D902" s="10">
        <f>IFERROR(IF(INDEX(ERP資料!$E:$E, (MATCH(901, 輔助計算!$E$2:$E$801, 0)+1))="","",TRIM(INDEX(ERP資料!$E:$E, (MATCH(901, 輔助計算!$E$2:$E$801, 0)+1)))), "")</f>
        <v/>
      </c>
      <c r="E902" s="10">
        <f>IFERROR(IF(INDEX(ERP資料!$F:$F, (MATCH(901, 輔助計算!$E$2:$E$801, 0)+1))="","",INDEX(ERP資料!$F:$F, (MATCH(901, 輔助計算!$E$2:$E$801, 0)+1))), "")</f>
        <v/>
      </c>
      <c r="F902" s="10">
        <f>IFERROR(IF(INDEX(ERP資料!$G:$G, (MATCH(901, 輔助計算!$E$2:$E$801, 0)+1))="","",INDEX(ERP資料!$G:$G, (MATCH(901, 輔助計算!$E$2:$E$801, 0)+1))), "")</f>
        <v/>
      </c>
      <c r="G902" s="10">
        <f>IFERROR(IF(INDEX(ERP資料!$H:$H, (MATCH(901, 輔助計算!$E$2:$E$801, 0)+1))="","",INDEX(ERP資料!$H:$H, (MATCH(901, 輔助計算!$E$2:$E$801, 0)+1))), "")</f>
        <v/>
      </c>
      <c r="H902" s="15">
        <f>IFERROR(INDEX(輔助計算!$D:$D, (MATCH(901, 輔助計算!$E$2:$E$801, 0)+1)), "")</f>
        <v/>
      </c>
      <c r="I902" s="10">
        <f>IFERROR(IF(INDEX(ERP資料!$O:$O, (MATCH(901, 輔助計算!$E$2:$E$801, 0)+1))="","",INDEX(ERP資料!$O:$O, (MATCH(901, 輔助計算!$E$2:$E$801, 0)+1))), "")</f>
        <v/>
      </c>
      <c r="J902" s="15">
        <f>IFERROR(IF(INDEX(輔助計算!$D:$D,(MATCH(901, 輔助計算!$E$2:$E$801, 0)+1))="","",INDEX(輔助計算!$D:$D,(MATCH(901, 輔助計算!$E$2:$E$801, 0)+1))*INDEX(ERP資料!$O:$O,(MATCH(901, 輔助計算!$E$2:$E$801, 0)+1))), "")</f>
        <v/>
      </c>
      <c r="K902" s="16" t="n"/>
      <c r="L902" s="16" t="n"/>
      <c r="M902" s="17" t="n"/>
    </row>
    <row r="903">
      <c r="A903" s="14">
        <f>IFERROR(IF(INDEX(ERP資料!$B:$B, (MATCH(902, 輔助計算!$E$2:$E$801, 0)+1))="","",INDEX(ERP資料!$B:$B, (MATCH(902, 輔助計算!$E$2:$E$801, 0)+1))), "")</f>
        <v/>
      </c>
      <c r="B903" s="10">
        <f>IFERROR(IF(INDEX(ERP資料!$A:$A, (MATCH(902, 輔助計算!$E$2:$E$801, 0)+1))="","",INDEX(ERP資料!$A:$A, (MATCH(902, 輔助計算!$E$2:$E$801, 0)+1))), "")</f>
        <v/>
      </c>
      <c r="C903" s="10">
        <f>IFERROR(IF(INDEX(ERP資料!$S:$S, (MATCH(902, 輔助計算!$E$2:$E$801, 0)+1))="","",INDEX(ERP資料!$S:$S, (MATCH(902, 輔助計算!$E$2:$E$801, 0)+1))), "")</f>
        <v/>
      </c>
      <c r="D903" s="10">
        <f>IFERROR(IF(INDEX(ERP資料!$E:$E, (MATCH(902, 輔助計算!$E$2:$E$801, 0)+1))="","",TRIM(INDEX(ERP資料!$E:$E, (MATCH(902, 輔助計算!$E$2:$E$801, 0)+1)))), "")</f>
        <v/>
      </c>
      <c r="E903" s="10">
        <f>IFERROR(IF(INDEX(ERP資料!$F:$F, (MATCH(902, 輔助計算!$E$2:$E$801, 0)+1))="","",INDEX(ERP資料!$F:$F, (MATCH(902, 輔助計算!$E$2:$E$801, 0)+1))), "")</f>
        <v/>
      </c>
      <c r="F903" s="10">
        <f>IFERROR(IF(INDEX(ERP資料!$G:$G, (MATCH(902, 輔助計算!$E$2:$E$801, 0)+1))="","",INDEX(ERP資料!$G:$G, (MATCH(902, 輔助計算!$E$2:$E$801, 0)+1))), "")</f>
        <v/>
      </c>
      <c r="G903" s="10">
        <f>IFERROR(IF(INDEX(ERP資料!$H:$H, (MATCH(902, 輔助計算!$E$2:$E$801, 0)+1))="","",INDEX(ERP資料!$H:$H, (MATCH(902, 輔助計算!$E$2:$E$801, 0)+1))), "")</f>
        <v/>
      </c>
      <c r="H903" s="15">
        <f>IFERROR(INDEX(輔助計算!$D:$D, (MATCH(902, 輔助計算!$E$2:$E$801, 0)+1)), "")</f>
        <v/>
      </c>
      <c r="I903" s="10">
        <f>IFERROR(IF(INDEX(ERP資料!$O:$O, (MATCH(902, 輔助計算!$E$2:$E$801, 0)+1))="","",INDEX(ERP資料!$O:$O, (MATCH(902, 輔助計算!$E$2:$E$801, 0)+1))), "")</f>
        <v/>
      </c>
      <c r="J903" s="15">
        <f>IFERROR(IF(INDEX(輔助計算!$D:$D,(MATCH(902, 輔助計算!$E$2:$E$801, 0)+1))="","",INDEX(輔助計算!$D:$D,(MATCH(902, 輔助計算!$E$2:$E$801, 0)+1))*INDEX(ERP資料!$O:$O,(MATCH(902, 輔助計算!$E$2:$E$801, 0)+1))), "")</f>
        <v/>
      </c>
      <c r="K903" s="16" t="n"/>
      <c r="L903" s="16" t="n"/>
      <c r="M903" s="17" t="n"/>
    </row>
    <row r="904">
      <c r="A904" s="14">
        <f>IFERROR(IF(INDEX(ERP資料!$B:$B, (MATCH(903, 輔助計算!$E$2:$E$801, 0)+1))="","",INDEX(ERP資料!$B:$B, (MATCH(903, 輔助計算!$E$2:$E$801, 0)+1))), "")</f>
        <v/>
      </c>
      <c r="B904" s="10">
        <f>IFERROR(IF(INDEX(ERP資料!$A:$A, (MATCH(903, 輔助計算!$E$2:$E$801, 0)+1))="","",INDEX(ERP資料!$A:$A, (MATCH(903, 輔助計算!$E$2:$E$801, 0)+1))), "")</f>
        <v/>
      </c>
      <c r="C904" s="10">
        <f>IFERROR(IF(INDEX(ERP資料!$S:$S, (MATCH(903, 輔助計算!$E$2:$E$801, 0)+1))="","",INDEX(ERP資料!$S:$S, (MATCH(903, 輔助計算!$E$2:$E$801, 0)+1))), "")</f>
        <v/>
      </c>
      <c r="D904" s="10">
        <f>IFERROR(IF(INDEX(ERP資料!$E:$E, (MATCH(903, 輔助計算!$E$2:$E$801, 0)+1))="","",TRIM(INDEX(ERP資料!$E:$E, (MATCH(903, 輔助計算!$E$2:$E$801, 0)+1)))), "")</f>
        <v/>
      </c>
      <c r="E904" s="10">
        <f>IFERROR(IF(INDEX(ERP資料!$F:$F, (MATCH(903, 輔助計算!$E$2:$E$801, 0)+1))="","",INDEX(ERP資料!$F:$F, (MATCH(903, 輔助計算!$E$2:$E$801, 0)+1))), "")</f>
        <v/>
      </c>
      <c r="F904" s="10">
        <f>IFERROR(IF(INDEX(ERP資料!$G:$G, (MATCH(903, 輔助計算!$E$2:$E$801, 0)+1))="","",INDEX(ERP資料!$G:$G, (MATCH(903, 輔助計算!$E$2:$E$801, 0)+1))), "")</f>
        <v/>
      </c>
      <c r="G904" s="10">
        <f>IFERROR(IF(INDEX(ERP資料!$H:$H, (MATCH(903, 輔助計算!$E$2:$E$801, 0)+1))="","",INDEX(ERP資料!$H:$H, (MATCH(903, 輔助計算!$E$2:$E$801, 0)+1))), "")</f>
        <v/>
      </c>
      <c r="H904" s="15">
        <f>IFERROR(INDEX(輔助計算!$D:$D, (MATCH(903, 輔助計算!$E$2:$E$801, 0)+1)), "")</f>
        <v/>
      </c>
      <c r="I904" s="10">
        <f>IFERROR(IF(INDEX(ERP資料!$O:$O, (MATCH(903, 輔助計算!$E$2:$E$801, 0)+1))="","",INDEX(ERP資料!$O:$O, (MATCH(903, 輔助計算!$E$2:$E$801, 0)+1))), "")</f>
        <v/>
      </c>
      <c r="J904" s="15">
        <f>IFERROR(IF(INDEX(輔助計算!$D:$D,(MATCH(903, 輔助計算!$E$2:$E$801, 0)+1))="","",INDEX(輔助計算!$D:$D,(MATCH(903, 輔助計算!$E$2:$E$801, 0)+1))*INDEX(ERP資料!$O:$O,(MATCH(903, 輔助計算!$E$2:$E$801, 0)+1))), "")</f>
        <v/>
      </c>
      <c r="K904" s="16" t="n"/>
      <c r="L904" s="16" t="n"/>
      <c r="M904" s="17" t="n"/>
    </row>
    <row r="905">
      <c r="A905" s="14">
        <f>IFERROR(IF(INDEX(ERP資料!$B:$B, (MATCH(904, 輔助計算!$E$2:$E$801, 0)+1))="","",INDEX(ERP資料!$B:$B, (MATCH(904, 輔助計算!$E$2:$E$801, 0)+1))), "")</f>
        <v/>
      </c>
      <c r="B905" s="10">
        <f>IFERROR(IF(INDEX(ERP資料!$A:$A, (MATCH(904, 輔助計算!$E$2:$E$801, 0)+1))="","",INDEX(ERP資料!$A:$A, (MATCH(904, 輔助計算!$E$2:$E$801, 0)+1))), "")</f>
        <v/>
      </c>
      <c r="C905" s="10">
        <f>IFERROR(IF(INDEX(ERP資料!$S:$S, (MATCH(904, 輔助計算!$E$2:$E$801, 0)+1))="","",INDEX(ERP資料!$S:$S, (MATCH(904, 輔助計算!$E$2:$E$801, 0)+1))), "")</f>
        <v/>
      </c>
      <c r="D905" s="10">
        <f>IFERROR(IF(INDEX(ERP資料!$E:$E, (MATCH(904, 輔助計算!$E$2:$E$801, 0)+1))="","",TRIM(INDEX(ERP資料!$E:$E, (MATCH(904, 輔助計算!$E$2:$E$801, 0)+1)))), "")</f>
        <v/>
      </c>
      <c r="E905" s="10">
        <f>IFERROR(IF(INDEX(ERP資料!$F:$F, (MATCH(904, 輔助計算!$E$2:$E$801, 0)+1))="","",INDEX(ERP資料!$F:$F, (MATCH(904, 輔助計算!$E$2:$E$801, 0)+1))), "")</f>
        <v/>
      </c>
      <c r="F905" s="10">
        <f>IFERROR(IF(INDEX(ERP資料!$G:$G, (MATCH(904, 輔助計算!$E$2:$E$801, 0)+1))="","",INDEX(ERP資料!$G:$G, (MATCH(904, 輔助計算!$E$2:$E$801, 0)+1))), "")</f>
        <v/>
      </c>
      <c r="G905" s="10">
        <f>IFERROR(IF(INDEX(ERP資料!$H:$H, (MATCH(904, 輔助計算!$E$2:$E$801, 0)+1))="","",INDEX(ERP資料!$H:$H, (MATCH(904, 輔助計算!$E$2:$E$801, 0)+1))), "")</f>
        <v/>
      </c>
      <c r="H905" s="15">
        <f>IFERROR(INDEX(輔助計算!$D:$D, (MATCH(904, 輔助計算!$E$2:$E$801, 0)+1)), "")</f>
        <v/>
      </c>
      <c r="I905" s="10">
        <f>IFERROR(IF(INDEX(ERP資料!$O:$O, (MATCH(904, 輔助計算!$E$2:$E$801, 0)+1))="","",INDEX(ERP資料!$O:$O, (MATCH(904, 輔助計算!$E$2:$E$801, 0)+1))), "")</f>
        <v/>
      </c>
      <c r="J905" s="15">
        <f>IFERROR(IF(INDEX(輔助計算!$D:$D,(MATCH(904, 輔助計算!$E$2:$E$801, 0)+1))="","",INDEX(輔助計算!$D:$D,(MATCH(904, 輔助計算!$E$2:$E$801, 0)+1))*INDEX(ERP資料!$O:$O,(MATCH(904, 輔助計算!$E$2:$E$801, 0)+1))), "")</f>
        <v/>
      </c>
      <c r="K905" s="16" t="n"/>
      <c r="L905" s="16" t="n"/>
      <c r="M905" s="17" t="n"/>
    </row>
    <row r="906">
      <c r="A906" s="14">
        <f>IFERROR(IF(INDEX(ERP資料!$B:$B, (MATCH(905, 輔助計算!$E$2:$E$801, 0)+1))="","",INDEX(ERP資料!$B:$B, (MATCH(905, 輔助計算!$E$2:$E$801, 0)+1))), "")</f>
        <v/>
      </c>
      <c r="B906" s="10">
        <f>IFERROR(IF(INDEX(ERP資料!$A:$A, (MATCH(905, 輔助計算!$E$2:$E$801, 0)+1))="","",INDEX(ERP資料!$A:$A, (MATCH(905, 輔助計算!$E$2:$E$801, 0)+1))), "")</f>
        <v/>
      </c>
      <c r="C906" s="10">
        <f>IFERROR(IF(INDEX(ERP資料!$S:$S, (MATCH(905, 輔助計算!$E$2:$E$801, 0)+1))="","",INDEX(ERP資料!$S:$S, (MATCH(905, 輔助計算!$E$2:$E$801, 0)+1))), "")</f>
        <v/>
      </c>
      <c r="D906" s="10">
        <f>IFERROR(IF(INDEX(ERP資料!$E:$E, (MATCH(905, 輔助計算!$E$2:$E$801, 0)+1))="","",TRIM(INDEX(ERP資料!$E:$E, (MATCH(905, 輔助計算!$E$2:$E$801, 0)+1)))), "")</f>
        <v/>
      </c>
      <c r="E906" s="10">
        <f>IFERROR(IF(INDEX(ERP資料!$F:$F, (MATCH(905, 輔助計算!$E$2:$E$801, 0)+1))="","",INDEX(ERP資料!$F:$F, (MATCH(905, 輔助計算!$E$2:$E$801, 0)+1))), "")</f>
        <v/>
      </c>
      <c r="F906" s="10">
        <f>IFERROR(IF(INDEX(ERP資料!$G:$G, (MATCH(905, 輔助計算!$E$2:$E$801, 0)+1))="","",INDEX(ERP資料!$G:$G, (MATCH(905, 輔助計算!$E$2:$E$801, 0)+1))), "")</f>
        <v/>
      </c>
      <c r="G906" s="10">
        <f>IFERROR(IF(INDEX(ERP資料!$H:$H, (MATCH(905, 輔助計算!$E$2:$E$801, 0)+1))="","",INDEX(ERP資料!$H:$H, (MATCH(905, 輔助計算!$E$2:$E$801, 0)+1))), "")</f>
        <v/>
      </c>
      <c r="H906" s="15">
        <f>IFERROR(INDEX(輔助計算!$D:$D, (MATCH(905, 輔助計算!$E$2:$E$801, 0)+1)), "")</f>
        <v/>
      </c>
      <c r="I906" s="10">
        <f>IFERROR(IF(INDEX(ERP資料!$O:$O, (MATCH(905, 輔助計算!$E$2:$E$801, 0)+1))="","",INDEX(ERP資料!$O:$O, (MATCH(905, 輔助計算!$E$2:$E$801, 0)+1))), "")</f>
        <v/>
      </c>
      <c r="J906" s="15">
        <f>IFERROR(IF(INDEX(輔助計算!$D:$D,(MATCH(905, 輔助計算!$E$2:$E$801, 0)+1))="","",INDEX(輔助計算!$D:$D,(MATCH(905, 輔助計算!$E$2:$E$801, 0)+1))*INDEX(ERP資料!$O:$O,(MATCH(905, 輔助計算!$E$2:$E$801, 0)+1))), "")</f>
        <v/>
      </c>
      <c r="K906" s="16" t="n"/>
      <c r="L906" s="16" t="n"/>
      <c r="M906" s="17" t="n"/>
    </row>
    <row r="907">
      <c r="A907" s="14">
        <f>IFERROR(IF(INDEX(ERP資料!$B:$B, (MATCH(906, 輔助計算!$E$2:$E$801, 0)+1))="","",INDEX(ERP資料!$B:$B, (MATCH(906, 輔助計算!$E$2:$E$801, 0)+1))), "")</f>
        <v/>
      </c>
      <c r="B907" s="10">
        <f>IFERROR(IF(INDEX(ERP資料!$A:$A, (MATCH(906, 輔助計算!$E$2:$E$801, 0)+1))="","",INDEX(ERP資料!$A:$A, (MATCH(906, 輔助計算!$E$2:$E$801, 0)+1))), "")</f>
        <v/>
      </c>
      <c r="C907" s="10">
        <f>IFERROR(IF(INDEX(ERP資料!$S:$S, (MATCH(906, 輔助計算!$E$2:$E$801, 0)+1))="","",INDEX(ERP資料!$S:$S, (MATCH(906, 輔助計算!$E$2:$E$801, 0)+1))), "")</f>
        <v/>
      </c>
      <c r="D907" s="10">
        <f>IFERROR(IF(INDEX(ERP資料!$E:$E, (MATCH(906, 輔助計算!$E$2:$E$801, 0)+1))="","",TRIM(INDEX(ERP資料!$E:$E, (MATCH(906, 輔助計算!$E$2:$E$801, 0)+1)))), "")</f>
        <v/>
      </c>
      <c r="E907" s="10">
        <f>IFERROR(IF(INDEX(ERP資料!$F:$F, (MATCH(906, 輔助計算!$E$2:$E$801, 0)+1))="","",INDEX(ERP資料!$F:$F, (MATCH(906, 輔助計算!$E$2:$E$801, 0)+1))), "")</f>
        <v/>
      </c>
      <c r="F907" s="10">
        <f>IFERROR(IF(INDEX(ERP資料!$G:$G, (MATCH(906, 輔助計算!$E$2:$E$801, 0)+1))="","",INDEX(ERP資料!$G:$G, (MATCH(906, 輔助計算!$E$2:$E$801, 0)+1))), "")</f>
        <v/>
      </c>
      <c r="G907" s="10">
        <f>IFERROR(IF(INDEX(ERP資料!$H:$H, (MATCH(906, 輔助計算!$E$2:$E$801, 0)+1))="","",INDEX(ERP資料!$H:$H, (MATCH(906, 輔助計算!$E$2:$E$801, 0)+1))), "")</f>
        <v/>
      </c>
      <c r="H907" s="15">
        <f>IFERROR(INDEX(輔助計算!$D:$D, (MATCH(906, 輔助計算!$E$2:$E$801, 0)+1)), "")</f>
        <v/>
      </c>
      <c r="I907" s="10">
        <f>IFERROR(IF(INDEX(ERP資料!$O:$O, (MATCH(906, 輔助計算!$E$2:$E$801, 0)+1))="","",INDEX(ERP資料!$O:$O, (MATCH(906, 輔助計算!$E$2:$E$801, 0)+1))), "")</f>
        <v/>
      </c>
      <c r="J907" s="15">
        <f>IFERROR(IF(INDEX(輔助計算!$D:$D,(MATCH(906, 輔助計算!$E$2:$E$801, 0)+1))="","",INDEX(輔助計算!$D:$D,(MATCH(906, 輔助計算!$E$2:$E$801, 0)+1))*INDEX(ERP資料!$O:$O,(MATCH(906, 輔助計算!$E$2:$E$801, 0)+1))), "")</f>
        <v/>
      </c>
      <c r="K907" s="16" t="n"/>
      <c r="L907" s="16" t="n"/>
      <c r="M907" s="17" t="n"/>
    </row>
    <row r="908">
      <c r="A908" s="14">
        <f>IFERROR(IF(INDEX(ERP資料!$B:$B, (MATCH(907, 輔助計算!$E$2:$E$801, 0)+1))="","",INDEX(ERP資料!$B:$B, (MATCH(907, 輔助計算!$E$2:$E$801, 0)+1))), "")</f>
        <v/>
      </c>
      <c r="B908" s="10">
        <f>IFERROR(IF(INDEX(ERP資料!$A:$A, (MATCH(907, 輔助計算!$E$2:$E$801, 0)+1))="","",INDEX(ERP資料!$A:$A, (MATCH(907, 輔助計算!$E$2:$E$801, 0)+1))), "")</f>
        <v/>
      </c>
      <c r="C908" s="10">
        <f>IFERROR(IF(INDEX(ERP資料!$S:$S, (MATCH(907, 輔助計算!$E$2:$E$801, 0)+1))="","",INDEX(ERP資料!$S:$S, (MATCH(907, 輔助計算!$E$2:$E$801, 0)+1))), "")</f>
        <v/>
      </c>
      <c r="D908" s="10">
        <f>IFERROR(IF(INDEX(ERP資料!$E:$E, (MATCH(907, 輔助計算!$E$2:$E$801, 0)+1))="","",TRIM(INDEX(ERP資料!$E:$E, (MATCH(907, 輔助計算!$E$2:$E$801, 0)+1)))), "")</f>
        <v/>
      </c>
      <c r="E908" s="10">
        <f>IFERROR(IF(INDEX(ERP資料!$F:$F, (MATCH(907, 輔助計算!$E$2:$E$801, 0)+1))="","",INDEX(ERP資料!$F:$F, (MATCH(907, 輔助計算!$E$2:$E$801, 0)+1))), "")</f>
        <v/>
      </c>
      <c r="F908" s="10">
        <f>IFERROR(IF(INDEX(ERP資料!$G:$G, (MATCH(907, 輔助計算!$E$2:$E$801, 0)+1))="","",INDEX(ERP資料!$G:$G, (MATCH(907, 輔助計算!$E$2:$E$801, 0)+1))), "")</f>
        <v/>
      </c>
      <c r="G908" s="10">
        <f>IFERROR(IF(INDEX(ERP資料!$H:$H, (MATCH(907, 輔助計算!$E$2:$E$801, 0)+1))="","",INDEX(ERP資料!$H:$H, (MATCH(907, 輔助計算!$E$2:$E$801, 0)+1))), "")</f>
        <v/>
      </c>
      <c r="H908" s="15">
        <f>IFERROR(INDEX(輔助計算!$D:$D, (MATCH(907, 輔助計算!$E$2:$E$801, 0)+1)), "")</f>
        <v/>
      </c>
      <c r="I908" s="10">
        <f>IFERROR(IF(INDEX(ERP資料!$O:$O, (MATCH(907, 輔助計算!$E$2:$E$801, 0)+1))="","",INDEX(ERP資料!$O:$O, (MATCH(907, 輔助計算!$E$2:$E$801, 0)+1))), "")</f>
        <v/>
      </c>
      <c r="J908" s="15">
        <f>IFERROR(IF(INDEX(輔助計算!$D:$D,(MATCH(907, 輔助計算!$E$2:$E$801, 0)+1))="","",INDEX(輔助計算!$D:$D,(MATCH(907, 輔助計算!$E$2:$E$801, 0)+1))*INDEX(ERP資料!$O:$O,(MATCH(907, 輔助計算!$E$2:$E$801, 0)+1))), "")</f>
        <v/>
      </c>
      <c r="K908" s="16" t="n"/>
      <c r="L908" s="16" t="n"/>
      <c r="M908" s="17" t="n"/>
    </row>
    <row r="909">
      <c r="A909" s="14">
        <f>IFERROR(IF(INDEX(ERP資料!$B:$B, (MATCH(908, 輔助計算!$E$2:$E$801, 0)+1))="","",INDEX(ERP資料!$B:$B, (MATCH(908, 輔助計算!$E$2:$E$801, 0)+1))), "")</f>
        <v/>
      </c>
      <c r="B909" s="10">
        <f>IFERROR(IF(INDEX(ERP資料!$A:$A, (MATCH(908, 輔助計算!$E$2:$E$801, 0)+1))="","",INDEX(ERP資料!$A:$A, (MATCH(908, 輔助計算!$E$2:$E$801, 0)+1))), "")</f>
        <v/>
      </c>
      <c r="C909" s="10">
        <f>IFERROR(IF(INDEX(ERP資料!$S:$S, (MATCH(908, 輔助計算!$E$2:$E$801, 0)+1))="","",INDEX(ERP資料!$S:$S, (MATCH(908, 輔助計算!$E$2:$E$801, 0)+1))), "")</f>
        <v/>
      </c>
      <c r="D909" s="10">
        <f>IFERROR(IF(INDEX(ERP資料!$E:$E, (MATCH(908, 輔助計算!$E$2:$E$801, 0)+1))="","",TRIM(INDEX(ERP資料!$E:$E, (MATCH(908, 輔助計算!$E$2:$E$801, 0)+1)))), "")</f>
        <v/>
      </c>
      <c r="E909" s="10">
        <f>IFERROR(IF(INDEX(ERP資料!$F:$F, (MATCH(908, 輔助計算!$E$2:$E$801, 0)+1))="","",INDEX(ERP資料!$F:$F, (MATCH(908, 輔助計算!$E$2:$E$801, 0)+1))), "")</f>
        <v/>
      </c>
      <c r="F909" s="10">
        <f>IFERROR(IF(INDEX(ERP資料!$G:$G, (MATCH(908, 輔助計算!$E$2:$E$801, 0)+1))="","",INDEX(ERP資料!$G:$G, (MATCH(908, 輔助計算!$E$2:$E$801, 0)+1))), "")</f>
        <v/>
      </c>
      <c r="G909" s="10">
        <f>IFERROR(IF(INDEX(ERP資料!$H:$H, (MATCH(908, 輔助計算!$E$2:$E$801, 0)+1))="","",INDEX(ERP資料!$H:$H, (MATCH(908, 輔助計算!$E$2:$E$801, 0)+1))), "")</f>
        <v/>
      </c>
      <c r="H909" s="15">
        <f>IFERROR(INDEX(輔助計算!$D:$D, (MATCH(908, 輔助計算!$E$2:$E$801, 0)+1)), "")</f>
        <v/>
      </c>
      <c r="I909" s="10">
        <f>IFERROR(IF(INDEX(ERP資料!$O:$O, (MATCH(908, 輔助計算!$E$2:$E$801, 0)+1))="","",INDEX(ERP資料!$O:$O, (MATCH(908, 輔助計算!$E$2:$E$801, 0)+1))), "")</f>
        <v/>
      </c>
      <c r="J909" s="15">
        <f>IFERROR(IF(INDEX(輔助計算!$D:$D,(MATCH(908, 輔助計算!$E$2:$E$801, 0)+1))="","",INDEX(輔助計算!$D:$D,(MATCH(908, 輔助計算!$E$2:$E$801, 0)+1))*INDEX(ERP資料!$O:$O,(MATCH(908, 輔助計算!$E$2:$E$801, 0)+1))), "")</f>
        <v/>
      </c>
      <c r="K909" s="16" t="n"/>
      <c r="L909" s="16" t="n"/>
      <c r="M909" s="17" t="n"/>
    </row>
    <row r="910">
      <c r="A910" s="14">
        <f>IFERROR(IF(INDEX(ERP資料!$B:$B, (MATCH(909, 輔助計算!$E$2:$E$801, 0)+1))="","",INDEX(ERP資料!$B:$B, (MATCH(909, 輔助計算!$E$2:$E$801, 0)+1))), "")</f>
        <v/>
      </c>
      <c r="B910" s="10">
        <f>IFERROR(IF(INDEX(ERP資料!$A:$A, (MATCH(909, 輔助計算!$E$2:$E$801, 0)+1))="","",INDEX(ERP資料!$A:$A, (MATCH(909, 輔助計算!$E$2:$E$801, 0)+1))), "")</f>
        <v/>
      </c>
      <c r="C910" s="10">
        <f>IFERROR(IF(INDEX(ERP資料!$S:$S, (MATCH(909, 輔助計算!$E$2:$E$801, 0)+1))="","",INDEX(ERP資料!$S:$S, (MATCH(909, 輔助計算!$E$2:$E$801, 0)+1))), "")</f>
        <v/>
      </c>
      <c r="D910" s="10">
        <f>IFERROR(IF(INDEX(ERP資料!$E:$E, (MATCH(909, 輔助計算!$E$2:$E$801, 0)+1))="","",TRIM(INDEX(ERP資料!$E:$E, (MATCH(909, 輔助計算!$E$2:$E$801, 0)+1)))), "")</f>
        <v/>
      </c>
      <c r="E910" s="10">
        <f>IFERROR(IF(INDEX(ERP資料!$F:$F, (MATCH(909, 輔助計算!$E$2:$E$801, 0)+1))="","",INDEX(ERP資料!$F:$F, (MATCH(909, 輔助計算!$E$2:$E$801, 0)+1))), "")</f>
        <v/>
      </c>
      <c r="F910" s="10">
        <f>IFERROR(IF(INDEX(ERP資料!$G:$G, (MATCH(909, 輔助計算!$E$2:$E$801, 0)+1))="","",INDEX(ERP資料!$G:$G, (MATCH(909, 輔助計算!$E$2:$E$801, 0)+1))), "")</f>
        <v/>
      </c>
      <c r="G910" s="10">
        <f>IFERROR(IF(INDEX(ERP資料!$H:$H, (MATCH(909, 輔助計算!$E$2:$E$801, 0)+1))="","",INDEX(ERP資料!$H:$H, (MATCH(909, 輔助計算!$E$2:$E$801, 0)+1))), "")</f>
        <v/>
      </c>
      <c r="H910" s="15">
        <f>IFERROR(INDEX(輔助計算!$D:$D, (MATCH(909, 輔助計算!$E$2:$E$801, 0)+1)), "")</f>
        <v/>
      </c>
      <c r="I910" s="10">
        <f>IFERROR(IF(INDEX(ERP資料!$O:$O, (MATCH(909, 輔助計算!$E$2:$E$801, 0)+1))="","",INDEX(ERP資料!$O:$O, (MATCH(909, 輔助計算!$E$2:$E$801, 0)+1))), "")</f>
        <v/>
      </c>
      <c r="J910" s="15">
        <f>IFERROR(IF(INDEX(輔助計算!$D:$D,(MATCH(909, 輔助計算!$E$2:$E$801, 0)+1))="","",INDEX(輔助計算!$D:$D,(MATCH(909, 輔助計算!$E$2:$E$801, 0)+1))*INDEX(ERP資料!$O:$O,(MATCH(909, 輔助計算!$E$2:$E$801, 0)+1))), "")</f>
        <v/>
      </c>
      <c r="K910" s="16" t="n"/>
      <c r="L910" s="16" t="n"/>
      <c r="M910" s="17" t="n"/>
    </row>
    <row r="911">
      <c r="A911" s="14">
        <f>IFERROR(IF(INDEX(ERP資料!$B:$B, (MATCH(910, 輔助計算!$E$2:$E$801, 0)+1))="","",INDEX(ERP資料!$B:$B, (MATCH(910, 輔助計算!$E$2:$E$801, 0)+1))), "")</f>
        <v/>
      </c>
      <c r="B911" s="10">
        <f>IFERROR(IF(INDEX(ERP資料!$A:$A, (MATCH(910, 輔助計算!$E$2:$E$801, 0)+1))="","",INDEX(ERP資料!$A:$A, (MATCH(910, 輔助計算!$E$2:$E$801, 0)+1))), "")</f>
        <v/>
      </c>
      <c r="C911" s="10">
        <f>IFERROR(IF(INDEX(ERP資料!$S:$S, (MATCH(910, 輔助計算!$E$2:$E$801, 0)+1))="","",INDEX(ERP資料!$S:$S, (MATCH(910, 輔助計算!$E$2:$E$801, 0)+1))), "")</f>
        <v/>
      </c>
      <c r="D911" s="10">
        <f>IFERROR(IF(INDEX(ERP資料!$E:$E, (MATCH(910, 輔助計算!$E$2:$E$801, 0)+1))="","",TRIM(INDEX(ERP資料!$E:$E, (MATCH(910, 輔助計算!$E$2:$E$801, 0)+1)))), "")</f>
        <v/>
      </c>
      <c r="E911" s="10">
        <f>IFERROR(IF(INDEX(ERP資料!$F:$F, (MATCH(910, 輔助計算!$E$2:$E$801, 0)+1))="","",INDEX(ERP資料!$F:$F, (MATCH(910, 輔助計算!$E$2:$E$801, 0)+1))), "")</f>
        <v/>
      </c>
      <c r="F911" s="10">
        <f>IFERROR(IF(INDEX(ERP資料!$G:$G, (MATCH(910, 輔助計算!$E$2:$E$801, 0)+1))="","",INDEX(ERP資料!$G:$G, (MATCH(910, 輔助計算!$E$2:$E$801, 0)+1))), "")</f>
        <v/>
      </c>
      <c r="G911" s="10">
        <f>IFERROR(IF(INDEX(ERP資料!$H:$H, (MATCH(910, 輔助計算!$E$2:$E$801, 0)+1))="","",INDEX(ERP資料!$H:$H, (MATCH(910, 輔助計算!$E$2:$E$801, 0)+1))), "")</f>
        <v/>
      </c>
      <c r="H911" s="15">
        <f>IFERROR(INDEX(輔助計算!$D:$D, (MATCH(910, 輔助計算!$E$2:$E$801, 0)+1)), "")</f>
        <v/>
      </c>
      <c r="I911" s="10">
        <f>IFERROR(IF(INDEX(ERP資料!$O:$O, (MATCH(910, 輔助計算!$E$2:$E$801, 0)+1))="","",INDEX(ERP資料!$O:$O, (MATCH(910, 輔助計算!$E$2:$E$801, 0)+1))), "")</f>
        <v/>
      </c>
      <c r="J911" s="15">
        <f>IFERROR(IF(INDEX(輔助計算!$D:$D,(MATCH(910, 輔助計算!$E$2:$E$801, 0)+1))="","",INDEX(輔助計算!$D:$D,(MATCH(910, 輔助計算!$E$2:$E$801, 0)+1))*INDEX(ERP資料!$O:$O,(MATCH(910, 輔助計算!$E$2:$E$801, 0)+1))), "")</f>
        <v/>
      </c>
      <c r="K911" s="16" t="n"/>
      <c r="L911" s="16" t="n"/>
      <c r="M911" s="17" t="n"/>
    </row>
    <row r="912">
      <c r="A912" s="14">
        <f>IFERROR(IF(INDEX(ERP資料!$B:$B, (MATCH(911, 輔助計算!$E$2:$E$801, 0)+1))="","",INDEX(ERP資料!$B:$B, (MATCH(911, 輔助計算!$E$2:$E$801, 0)+1))), "")</f>
        <v/>
      </c>
      <c r="B912" s="10">
        <f>IFERROR(IF(INDEX(ERP資料!$A:$A, (MATCH(911, 輔助計算!$E$2:$E$801, 0)+1))="","",INDEX(ERP資料!$A:$A, (MATCH(911, 輔助計算!$E$2:$E$801, 0)+1))), "")</f>
        <v/>
      </c>
      <c r="C912" s="10">
        <f>IFERROR(IF(INDEX(ERP資料!$S:$S, (MATCH(911, 輔助計算!$E$2:$E$801, 0)+1))="","",INDEX(ERP資料!$S:$S, (MATCH(911, 輔助計算!$E$2:$E$801, 0)+1))), "")</f>
        <v/>
      </c>
      <c r="D912" s="10">
        <f>IFERROR(IF(INDEX(ERP資料!$E:$E, (MATCH(911, 輔助計算!$E$2:$E$801, 0)+1))="","",TRIM(INDEX(ERP資料!$E:$E, (MATCH(911, 輔助計算!$E$2:$E$801, 0)+1)))), "")</f>
        <v/>
      </c>
      <c r="E912" s="10">
        <f>IFERROR(IF(INDEX(ERP資料!$F:$F, (MATCH(911, 輔助計算!$E$2:$E$801, 0)+1))="","",INDEX(ERP資料!$F:$F, (MATCH(911, 輔助計算!$E$2:$E$801, 0)+1))), "")</f>
        <v/>
      </c>
      <c r="F912" s="10">
        <f>IFERROR(IF(INDEX(ERP資料!$G:$G, (MATCH(911, 輔助計算!$E$2:$E$801, 0)+1))="","",INDEX(ERP資料!$G:$G, (MATCH(911, 輔助計算!$E$2:$E$801, 0)+1))), "")</f>
        <v/>
      </c>
      <c r="G912" s="10">
        <f>IFERROR(IF(INDEX(ERP資料!$H:$H, (MATCH(911, 輔助計算!$E$2:$E$801, 0)+1))="","",INDEX(ERP資料!$H:$H, (MATCH(911, 輔助計算!$E$2:$E$801, 0)+1))), "")</f>
        <v/>
      </c>
      <c r="H912" s="15">
        <f>IFERROR(INDEX(輔助計算!$D:$D, (MATCH(911, 輔助計算!$E$2:$E$801, 0)+1)), "")</f>
        <v/>
      </c>
      <c r="I912" s="10">
        <f>IFERROR(IF(INDEX(ERP資料!$O:$O, (MATCH(911, 輔助計算!$E$2:$E$801, 0)+1))="","",INDEX(ERP資料!$O:$O, (MATCH(911, 輔助計算!$E$2:$E$801, 0)+1))), "")</f>
        <v/>
      </c>
      <c r="J912" s="15">
        <f>IFERROR(IF(INDEX(輔助計算!$D:$D,(MATCH(911, 輔助計算!$E$2:$E$801, 0)+1))="","",INDEX(輔助計算!$D:$D,(MATCH(911, 輔助計算!$E$2:$E$801, 0)+1))*INDEX(ERP資料!$O:$O,(MATCH(911, 輔助計算!$E$2:$E$801, 0)+1))), "")</f>
        <v/>
      </c>
      <c r="K912" s="16" t="n"/>
      <c r="L912" s="16" t="n"/>
      <c r="M912" s="17" t="n"/>
    </row>
    <row r="913">
      <c r="A913" s="14">
        <f>IFERROR(IF(INDEX(ERP資料!$B:$B, (MATCH(912, 輔助計算!$E$2:$E$801, 0)+1))="","",INDEX(ERP資料!$B:$B, (MATCH(912, 輔助計算!$E$2:$E$801, 0)+1))), "")</f>
        <v/>
      </c>
      <c r="B913" s="10">
        <f>IFERROR(IF(INDEX(ERP資料!$A:$A, (MATCH(912, 輔助計算!$E$2:$E$801, 0)+1))="","",INDEX(ERP資料!$A:$A, (MATCH(912, 輔助計算!$E$2:$E$801, 0)+1))), "")</f>
        <v/>
      </c>
      <c r="C913" s="10">
        <f>IFERROR(IF(INDEX(ERP資料!$S:$S, (MATCH(912, 輔助計算!$E$2:$E$801, 0)+1))="","",INDEX(ERP資料!$S:$S, (MATCH(912, 輔助計算!$E$2:$E$801, 0)+1))), "")</f>
        <v/>
      </c>
      <c r="D913" s="10">
        <f>IFERROR(IF(INDEX(ERP資料!$E:$E, (MATCH(912, 輔助計算!$E$2:$E$801, 0)+1))="","",TRIM(INDEX(ERP資料!$E:$E, (MATCH(912, 輔助計算!$E$2:$E$801, 0)+1)))), "")</f>
        <v/>
      </c>
      <c r="E913" s="10">
        <f>IFERROR(IF(INDEX(ERP資料!$F:$F, (MATCH(912, 輔助計算!$E$2:$E$801, 0)+1))="","",INDEX(ERP資料!$F:$F, (MATCH(912, 輔助計算!$E$2:$E$801, 0)+1))), "")</f>
        <v/>
      </c>
      <c r="F913" s="10">
        <f>IFERROR(IF(INDEX(ERP資料!$G:$G, (MATCH(912, 輔助計算!$E$2:$E$801, 0)+1))="","",INDEX(ERP資料!$G:$G, (MATCH(912, 輔助計算!$E$2:$E$801, 0)+1))), "")</f>
        <v/>
      </c>
      <c r="G913" s="10">
        <f>IFERROR(IF(INDEX(ERP資料!$H:$H, (MATCH(912, 輔助計算!$E$2:$E$801, 0)+1))="","",INDEX(ERP資料!$H:$H, (MATCH(912, 輔助計算!$E$2:$E$801, 0)+1))), "")</f>
        <v/>
      </c>
      <c r="H913" s="15">
        <f>IFERROR(INDEX(輔助計算!$D:$D, (MATCH(912, 輔助計算!$E$2:$E$801, 0)+1)), "")</f>
        <v/>
      </c>
      <c r="I913" s="10">
        <f>IFERROR(IF(INDEX(ERP資料!$O:$O, (MATCH(912, 輔助計算!$E$2:$E$801, 0)+1))="","",INDEX(ERP資料!$O:$O, (MATCH(912, 輔助計算!$E$2:$E$801, 0)+1))), "")</f>
        <v/>
      </c>
      <c r="J913" s="15">
        <f>IFERROR(IF(INDEX(輔助計算!$D:$D,(MATCH(912, 輔助計算!$E$2:$E$801, 0)+1))="","",INDEX(輔助計算!$D:$D,(MATCH(912, 輔助計算!$E$2:$E$801, 0)+1))*INDEX(ERP資料!$O:$O,(MATCH(912, 輔助計算!$E$2:$E$801, 0)+1))), "")</f>
        <v/>
      </c>
      <c r="K913" s="16" t="n"/>
      <c r="L913" s="16" t="n"/>
      <c r="M913" s="17" t="n"/>
    </row>
    <row r="914">
      <c r="A914" s="14">
        <f>IFERROR(IF(INDEX(ERP資料!$B:$B, (MATCH(913, 輔助計算!$E$2:$E$801, 0)+1))="","",INDEX(ERP資料!$B:$B, (MATCH(913, 輔助計算!$E$2:$E$801, 0)+1))), "")</f>
        <v/>
      </c>
      <c r="B914" s="10">
        <f>IFERROR(IF(INDEX(ERP資料!$A:$A, (MATCH(913, 輔助計算!$E$2:$E$801, 0)+1))="","",INDEX(ERP資料!$A:$A, (MATCH(913, 輔助計算!$E$2:$E$801, 0)+1))), "")</f>
        <v/>
      </c>
      <c r="C914" s="10">
        <f>IFERROR(IF(INDEX(ERP資料!$S:$S, (MATCH(913, 輔助計算!$E$2:$E$801, 0)+1))="","",INDEX(ERP資料!$S:$S, (MATCH(913, 輔助計算!$E$2:$E$801, 0)+1))), "")</f>
        <v/>
      </c>
      <c r="D914" s="10">
        <f>IFERROR(IF(INDEX(ERP資料!$E:$E, (MATCH(913, 輔助計算!$E$2:$E$801, 0)+1))="","",TRIM(INDEX(ERP資料!$E:$E, (MATCH(913, 輔助計算!$E$2:$E$801, 0)+1)))), "")</f>
        <v/>
      </c>
      <c r="E914" s="10">
        <f>IFERROR(IF(INDEX(ERP資料!$F:$F, (MATCH(913, 輔助計算!$E$2:$E$801, 0)+1))="","",INDEX(ERP資料!$F:$F, (MATCH(913, 輔助計算!$E$2:$E$801, 0)+1))), "")</f>
        <v/>
      </c>
      <c r="F914" s="10">
        <f>IFERROR(IF(INDEX(ERP資料!$G:$G, (MATCH(913, 輔助計算!$E$2:$E$801, 0)+1))="","",INDEX(ERP資料!$G:$G, (MATCH(913, 輔助計算!$E$2:$E$801, 0)+1))), "")</f>
        <v/>
      </c>
      <c r="G914" s="10">
        <f>IFERROR(IF(INDEX(ERP資料!$H:$H, (MATCH(913, 輔助計算!$E$2:$E$801, 0)+1))="","",INDEX(ERP資料!$H:$H, (MATCH(913, 輔助計算!$E$2:$E$801, 0)+1))), "")</f>
        <v/>
      </c>
      <c r="H914" s="15">
        <f>IFERROR(INDEX(輔助計算!$D:$D, (MATCH(913, 輔助計算!$E$2:$E$801, 0)+1)), "")</f>
        <v/>
      </c>
      <c r="I914" s="10">
        <f>IFERROR(IF(INDEX(ERP資料!$O:$O, (MATCH(913, 輔助計算!$E$2:$E$801, 0)+1))="","",INDEX(ERP資料!$O:$O, (MATCH(913, 輔助計算!$E$2:$E$801, 0)+1))), "")</f>
        <v/>
      </c>
      <c r="J914" s="15">
        <f>IFERROR(IF(INDEX(輔助計算!$D:$D,(MATCH(913, 輔助計算!$E$2:$E$801, 0)+1))="","",INDEX(輔助計算!$D:$D,(MATCH(913, 輔助計算!$E$2:$E$801, 0)+1))*INDEX(ERP資料!$O:$O,(MATCH(913, 輔助計算!$E$2:$E$801, 0)+1))), "")</f>
        <v/>
      </c>
      <c r="K914" s="16" t="n"/>
      <c r="L914" s="16" t="n"/>
      <c r="M914" s="17" t="n"/>
    </row>
    <row r="915">
      <c r="A915" s="14">
        <f>IFERROR(IF(INDEX(ERP資料!$B:$B, (MATCH(914, 輔助計算!$E$2:$E$801, 0)+1))="","",INDEX(ERP資料!$B:$B, (MATCH(914, 輔助計算!$E$2:$E$801, 0)+1))), "")</f>
        <v/>
      </c>
      <c r="B915" s="10">
        <f>IFERROR(IF(INDEX(ERP資料!$A:$A, (MATCH(914, 輔助計算!$E$2:$E$801, 0)+1))="","",INDEX(ERP資料!$A:$A, (MATCH(914, 輔助計算!$E$2:$E$801, 0)+1))), "")</f>
        <v/>
      </c>
      <c r="C915" s="10">
        <f>IFERROR(IF(INDEX(ERP資料!$S:$S, (MATCH(914, 輔助計算!$E$2:$E$801, 0)+1))="","",INDEX(ERP資料!$S:$S, (MATCH(914, 輔助計算!$E$2:$E$801, 0)+1))), "")</f>
        <v/>
      </c>
      <c r="D915" s="10">
        <f>IFERROR(IF(INDEX(ERP資料!$E:$E, (MATCH(914, 輔助計算!$E$2:$E$801, 0)+1))="","",TRIM(INDEX(ERP資料!$E:$E, (MATCH(914, 輔助計算!$E$2:$E$801, 0)+1)))), "")</f>
        <v/>
      </c>
      <c r="E915" s="10">
        <f>IFERROR(IF(INDEX(ERP資料!$F:$F, (MATCH(914, 輔助計算!$E$2:$E$801, 0)+1))="","",INDEX(ERP資料!$F:$F, (MATCH(914, 輔助計算!$E$2:$E$801, 0)+1))), "")</f>
        <v/>
      </c>
      <c r="F915" s="10">
        <f>IFERROR(IF(INDEX(ERP資料!$G:$G, (MATCH(914, 輔助計算!$E$2:$E$801, 0)+1))="","",INDEX(ERP資料!$G:$G, (MATCH(914, 輔助計算!$E$2:$E$801, 0)+1))), "")</f>
        <v/>
      </c>
      <c r="G915" s="10">
        <f>IFERROR(IF(INDEX(ERP資料!$H:$H, (MATCH(914, 輔助計算!$E$2:$E$801, 0)+1))="","",INDEX(ERP資料!$H:$H, (MATCH(914, 輔助計算!$E$2:$E$801, 0)+1))), "")</f>
        <v/>
      </c>
      <c r="H915" s="15">
        <f>IFERROR(INDEX(輔助計算!$D:$D, (MATCH(914, 輔助計算!$E$2:$E$801, 0)+1)), "")</f>
        <v/>
      </c>
      <c r="I915" s="10">
        <f>IFERROR(IF(INDEX(ERP資料!$O:$O, (MATCH(914, 輔助計算!$E$2:$E$801, 0)+1))="","",INDEX(ERP資料!$O:$O, (MATCH(914, 輔助計算!$E$2:$E$801, 0)+1))), "")</f>
        <v/>
      </c>
      <c r="J915" s="15">
        <f>IFERROR(IF(INDEX(輔助計算!$D:$D,(MATCH(914, 輔助計算!$E$2:$E$801, 0)+1))="","",INDEX(輔助計算!$D:$D,(MATCH(914, 輔助計算!$E$2:$E$801, 0)+1))*INDEX(ERP資料!$O:$O,(MATCH(914, 輔助計算!$E$2:$E$801, 0)+1))), "")</f>
        <v/>
      </c>
      <c r="K915" s="16" t="n"/>
      <c r="L915" s="16" t="n"/>
      <c r="M915" s="17" t="n"/>
    </row>
    <row r="916">
      <c r="A916" s="14">
        <f>IFERROR(IF(INDEX(ERP資料!$B:$B, (MATCH(915, 輔助計算!$E$2:$E$801, 0)+1))="","",INDEX(ERP資料!$B:$B, (MATCH(915, 輔助計算!$E$2:$E$801, 0)+1))), "")</f>
        <v/>
      </c>
      <c r="B916" s="10">
        <f>IFERROR(IF(INDEX(ERP資料!$A:$A, (MATCH(915, 輔助計算!$E$2:$E$801, 0)+1))="","",INDEX(ERP資料!$A:$A, (MATCH(915, 輔助計算!$E$2:$E$801, 0)+1))), "")</f>
        <v/>
      </c>
      <c r="C916" s="10">
        <f>IFERROR(IF(INDEX(ERP資料!$S:$S, (MATCH(915, 輔助計算!$E$2:$E$801, 0)+1))="","",INDEX(ERP資料!$S:$S, (MATCH(915, 輔助計算!$E$2:$E$801, 0)+1))), "")</f>
        <v/>
      </c>
      <c r="D916" s="10">
        <f>IFERROR(IF(INDEX(ERP資料!$E:$E, (MATCH(915, 輔助計算!$E$2:$E$801, 0)+1))="","",TRIM(INDEX(ERP資料!$E:$E, (MATCH(915, 輔助計算!$E$2:$E$801, 0)+1)))), "")</f>
        <v/>
      </c>
      <c r="E916" s="10">
        <f>IFERROR(IF(INDEX(ERP資料!$F:$F, (MATCH(915, 輔助計算!$E$2:$E$801, 0)+1))="","",INDEX(ERP資料!$F:$F, (MATCH(915, 輔助計算!$E$2:$E$801, 0)+1))), "")</f>
        <v/>
      </c>
      <c r="F916" s="10">
        <f>IFERROR(IF(INDEX(ERP資料!$G:$G, (MATCH(915, 輔助計算!$E$2:$E$801, 0)+1))="","",INDEX(ERP資料!$G:$G, (MATCH(915, 輔助計算!$E$2:$E$801, 0)+1))), "")</f>
        <v/>
      </c>
      <c r="G916" s="10">
        <f>IFERROR(IF(INDEX(ERP資料!$H:$H, (MATCH(915, 輔助計算!$E$2:$E$801, 0)+1))="","",INDEX(ERP資料!$H:$H, (MATCH(915, 輔助計算!$E$2:$E$801, 0)+1))), "")</f>
        <v/>
      </c>
      <c r="H916" s="15">
        <f>IFERROR(INDEX(輔助計算!$D:$D, (MATCH(915, 輔助計算!$E$2:$E$801, 0)+1)), "")</f>
        <v/>
      </c>
      <c r="I916" s="10">
        <f>IFERROR(IF(INDEX(ERP資料!$O:$O, (MATCH(915, 輔助計算!$E$2:$E$801, 0)+1))="","",INDEX(ERP資料!$O:$O, (MATCH(915, 輔助計算!$E$2:$E$801, 0)+1))), "")</f>
        <v/>
      </c>
      <c r="J916" s="15">
        <f>IFERROR(IF(INDEX(輔助計算!$D:$D,(MATCH(915, 輔助計算!$E$2:$E$801, 0)+1))="","",INDEX(輔助計算!$D:$D,(MATCH(915, 輔助計算!$E$2:$E$801, 0)+1))*INDEX(ERP資料!$O:$O,(MATCH(915, 輔助計算!$E$2:$E$801, 0)+1))), "")</f>
        <v/>
      </c>
      <c r="K916" s="16" t="n"/>
      <c r="L916" s="16" t="n"/>
      <c r="M916" s="17" t="n"/>
    </row>
    <row r="917">
      <c r="A917" s="14">
        <f>IFERROR(IF(INDEX(ERP資料!$B:$B, (MATCH(916, 輔助計算!$E$2:$E$801, 0)+1))="","",INDEX(ERP資料!$B:$B, (MATCH(916, 輔助計算!$E$2:$E$801, 0)+1))), "")</f>
        <v/>
      </c>
      <c r="B917" s="10">
        <f>IFERROR(IF(INDEX(ERP資料!$A:$A, (MATCH(916, 輔助計算!$E$2:$E$801, 0)+1))="","",INDEX(ERP資料!$A:$A, (MATCH(916, 輔助計算!$E$2:$E$801, 0)+1))), "")</f>
        <v/>
      </c>
      <c r="C917" s="10">
        <f>IFERROR(IF(INDEX(ERP資料!$S:$S, (MATCH(916, 輔助計算!$E$2:$E$801, 0)+1))="","",INDEX(ERP資料!$S:$S, (MATCH(916, 輔助計算!$E$2:$E$801, 0)+1))), "")</f>
        <v/>
      </c>
      <c r="D917" s="10">
        <f>IFERROR(IF(INDEX(ERP資料!$E:$E, (MATCH(916, 輔助計算!$E$2:$E$801, 0)+1))="","",TRIM(INDEX(ERP資料!$E:$E, (MATCH(916, 輔助計算!$E$2:$E$801, 0)+1)))), "")</f>
        <v/>
      </c>
      <c r="E917" s="10">
        <f>IFERROR(IF(INDEX(ERP資料!$F:$F, (MATCH(916, 輔助計算!$E$2:$E$801, 0)+1))="","",INDEX(ERP資料!$F:$F, (MATCH(916, 輔助計算!$E$2:$E$801, 0)+1))), "")</f>
        <v/>
      </c>
      <c r="F917" s="10">
        <f>IFERROR(IF(INDEX(ERP資料!$G:$G, (MATCH(916, 輔助計算!$E$2:$E$801, 0)+1))="","",INDEX(ERP資料!$G:$G, (MATCH(916, 輔助計算!$E$2:$E$801, 0)+1))), "")</f>
        <v/>
      </c>
      <c r="G917" s="10">
        <f>IFERROR(IF(INDEX(ERP資料!$H:$H, (MATCH(916, 輔助計算!$E$2:$E$801, 0)+1))="","",INDEX(ERP資料!$H:$H, (MATCH(916, 輔助計算!$E$2:$E$801, 0)+1))), "")</f>
        <v/>
      </c>
      <c r="H917" s="15">
        <f>IFERROR(INDEX(輔助計算!$D:$D, (MATCH(916, 輔助計算!$E$2:$E$801, 0)+1)), "")</f>
        <v/>
      </c>
      <c r="I917" s="10">
        <f>IFERROR(IF(INDEX(ERP資料!$O:$O, (MATCH(916, 輔助計算!$E$2:$E$801, 0)+1))="","",INDEX(ERP資料!$O:$O, (MATCH(916, 輔助計算!$E$2:$E$801, 0)+1))), "")</f>
        <v/>
      </c>
      <c r="J917" s="15">
        <f>IFERROR(IF(INDEX(輔助計算!$D:$D,(MATCH(916, 輔助計算!$E$2:$E$801, 0)+1))="","",INDEX(輔助計算!$D:$D,(MATCH(916, 輔助計算!$E$2:$E$801, 0)+1))*INDEX(ERP資料!$O:$O,(MATCH(916, 輔助計算!$E$2:$E$801, 0)+1))), "")</f>
        <v/>
      </c>
      <c r="K917" s="16" t="n"/>
      <c r="L917" s="16" t="n"/>
      <c r="M917" s="17" t="n"/>
    </row>
    <row r="918">
      <c r="A918" s="14">
        <f>IFERROR(IF(INDEX(ERP資料!$B:$B, (MATCH(917, 輔助計算!$E$2:$E$801, 0)+1))="","",INDEX(ERP資料!$B:$B, (MATCH(917, 輔助計算!$E$2:$E$801, 0)+1))), "")</f>
        <v/>
      </c>
      <c r="B918" s="10">
        <f>IFERROR(IF(INDEX(ERP資料!$A:$A, (MATCH(917, 輔助計算!$E$2:$E$801, 0)+1))="","",INDEX(ERP資料!$A:$A, (MATCH(917, 輔助計算!$E$2:$E$801, 0)+1))), "")</f>
        <v/>
      </c>
      <c r="C918" s="10">
        <f>IFERROR(IF(INDEX(ERP資料!$S:$S, (MATCH(917, 輔助計算!$E$2:$E$801, 0)+1))="","",INDEX(ERP資料!$S:$S, (MATCH(917, 輔助計算!$E$2:$E$801, 0)+1))), "")</f>
        <v/>
      </c>
      <c r="D918" s="10">
        <f>IFERROR(IF(INDEX(ERP資料!$E:$E, (MATCH(917, 輔助計算!$E$2:$E$801, 0)+1))="","",TRIM(INDEX(ERP資料!$E:$E, (MATCH(917, 輔助計算!$E$2:$E$801, 0)+1)))), "")</f>
        <v/>
      </c>
      <c r="E918" s="10">
        <f>IFERROR(IF(INDEX(ERP資料!$F:$F, (MATCH(917, 輔助計算!$E$2:$E$801, 0)+1))="","",INDEX(ERP資料!$F:$F, (MATCH(917, 輔助計算!$E$2:$E$801, 0)+1))), "")</f>
        <v/>
      </c>
      <c r="F918" s="10">
        <f>IFERROR(IF(INDEX(ERP資料!$G:$G, (MATCH(917, 輔助計算!$E$2:$E$801, 0)+1))="","",INDEX(ERP資料!$G:$G, (MATCH(917, 輔助計算!$E$2:$E$801, 0)+1))), "")</f>
        <v/>
      </c>
      <c r="G918" s="10">
        <f>IFERROR(IF(INDEX(ERP資料!$H:$H, (MATCH(917, 輔助計算!$E$2:$E$801, 0)+1))="","",INDEX(ERP資料!$H:$H, (MATCH(917, 輔助計算!$E$2:$E$801, 0)+1))), "")</f>
        <v/>
      </c>
      <c r="H918" s="15">
        <f>IFERROR(INDEX(輔助計算!$D:$D, (MATCH(917, 輔助計算!$E$2:$E$801, 0)+1)), "")</f>
        <v/>
      </c>
      <c r="I918" s="10">
        <f>IFERROR(IF(INDEX(ERP資料!$O:$O, (MATCH(917, 輔助計算!$E$2:$E$801, 0)+1))="","",INDEX(ERP資料!$O:$O, (MATCH(917, 輔助計算!$E$2:$E$801, 0)+1))), "")</f>
        <v/>
      </c>
      <c r="J918" s="15">
        <f>IFERROR(IF(INDEX(輔助計算!$D:$D,(MATCH(917, 輔助計算!$E$2:$E$801, 0)+1))="","",INDEX(輔助計算!$D:$D,(MATCH(917, 輔助計算!$E$2:$E$801, 0)+1))*INDEX(ERP資料!$O:$O,(MATCH(917, 輔助計算!$E$2:$E$801, 0)+1))), "")</f>
        <v/>
      </c>
      <c r="K918" s="16" t="n"/>
      <c r="L918" s="16" t="n"/>
      <c r="M918" s="17" t="n"/>
    </row>
    <row r="919">
      <c r="A919" s="14">
        <f>IFERROR(IF(INDEX(ERP資料!$B:$B, (MATCH(918, 輔助計算!$E$2:$E$801, 0)+1))="","",INDEX(ERP資料!$B:$B, (MATCH(918, 輔助計算!$E$2:$E$801, 0)+1))), "")</f>
        <v/>
      </c>
      <c r="B919" s="10">
        <f>IFERROR(IF(INDEX(ERP資料!$A:$A, (MATCH(918, 輔助計算!$E$2:$E$801, 0)+1))="","",INDEX(ERP資料!$A:$A, (MATCH(918, 輔助計算!$E$2:$E$801, 0)+1))), "")</f>
        <v/>
      </c>
      <c r="C919" s="10">
        <f>IFERROR(IF(INDEX(ERP資料!$S:$S, (MATCH(918, 輔助計算!$E$2:$E$801, 0)+1))="","",INDEX(ERP資料!$S:$S, (MATCH(918, 輔助計算!$E$2:$E$801, 0)+1))), "")</f>
        <v/>
      </c>
      <c r="D919" s="10">
        <f>IFERROR(IF(INDEX(ERP資料!$E:$E, (MATCH(918, 輔助計算!$E$2:$E$801, 0)+1))="","",TRIM(INDEX(ERP資料!$E:$E, (MATCH(918, 輔助計算!$E$2:$E$801, 0)+1)))), "")</f>
        <v/>
      </c>
      <c r="E919" s="10">
        <f>IFERROR(IF(INDEX(ERP資料!$F:$F, (MATCH(918, 輔助計算!$E$2:$E$801, 0)+1))="","",INDEX(ERP資料!$F:$F, (MATCH(918, 輔助計算!$E$2:$E$801, 0)+1))), "")</f>
        <v/>
      </c>
      <c r="F919" s="10">
        <f>IFERROR(IF(INDEX(ERP資料!$G:$G, (MATCH(918, 輔助計算!$E$2:$E$801, 0)+1))="","",INDEX(ERP資料!$G:$G, (MATCH(918, 輔助計算!$E$2:$E$801, 0)+1))), "")</f>
        <v/>
      </c>
      <c r="G919" s="10">
        <f>IFERROR(IF(INDEX(ERP資料!$H:$H, (MATCH(918, 輔助計算!$E$2:$E$801, 0)+1))="","",INDEX(ERP資料!$H:$H, (MATCH(918, 輔助計算!$E$2:$E$801, 0)+1))), "")</f>
        <v/>
      </c>
      <c r="H919" s="15">
        <f>IFERROR(INDEX(輔助計算!$D:$D, (MATCH(918, 輔助計算!$E$2:$E$801, 0)+1)), "")</f>
        <v/>
      </c>
      <c r="I919" s="10">
        <f>IFERROR(IF(INDEX(ERP資料!$O:$O, (MATCH(918, 輔助計算!$E$2:$E$801, 0)+1))="","",INDEX(ERP資料!$O:$O, (MATCH(918, 輔助計算!$E$2:$E$801, 0)+1))), "")</f>
        <v/>
      </c>
      <c r="J919" s="15">
        <f>IFERROR(IF(INDEX(輔助計算!$D:$D,(MATCH(918, 輔助計算!$E$2:$E$801, 0)+1))="","",INDEX(輔助計算!$D:$D,(MATCH(918, 輔助計算!$E$2:$E$801, 0)+1))*INDEX(ERP資料!$O:$O,(MATCH(918, 輔助計算!$E$2:$E$801, 0)+1))), "")</f>
        <v/>
      </c>
      <c r="K919" s="16" t="n"/>
      <c r="L919" s="16" t="n"/>
      <c r="M919" s="17" t="n"/>
    </row>
    <row r="920">
      <c r="A920" s="14">
        <f>IFERROR(IF(INDEX(ERP資料!$B:$B, (MATCH(919, 輔助計算!$E$2:$E$801, 0)+1))="","",INDEX(ERP資料!$B:$B, (MATCH(919, 輔助計算!$E$2:$E$801, 0)+1))), "")</f>
        <v/>
      </c>
      <c r="B920" s="10">
        <f>IFERROR(IF(INDEX(ERP資料!$A:$A, (MATCH(919, 輔助計算!$E$2:$E$801, 0)+1))="","",INDEX(ERP資料!$A:$A, (MATCH(919, 輔助計算!$E$2:$E$801, 0)+1))), "")</f>
        <v/>
      </c>
      <c r="C920" s="10">
        <f>IFERROR(IF(INDEX(ERP資料!$S:$S, (MATCH(919, 輔助計算!$E$2:$E$801, 0)+1))="","",INDEX(ERP資料!$S:$S, (MATCH(919, 輔助計算!$E$2:$E$801, 0)+1))), "")</f>
        <v/>
      </c>
      <c r="D920" s="10">
        <f>IFERROR(IF(INDEX(ERP資料!$E:$E, (MATCH(919, 輔助計算!$E$2:$E$801, 0)+1))="","",TRIM(INDEX(ERP資料!$E:$E, (MATCH(919, 輔助計算!$E$2:$E$801, 0)+1)))), "")</f>
        <v/>
      </c>
      <c r="E920" s="10">
        <f>IFERROR(IF(INDEX(ERP資料!$F:$F, (MATCH(919, 輔助計算!$E$2:$E$801, 0)+1))="","",INDEX(ERP資料!$F:$F, (MATCH(919, 輔助計算!$E$2:$E$801, 0)+1))), "")</f>
        <v/>
      </c>
      <c r="F920" s="10">
        <f>IFERROR(IF(INDEX(ERP資料!$G:$G, (MATCH(919, 輔助計算!$E$2:$E$801, 0)+1))="","",INDEX(ERP資料!$G:$G, (MATCH(919, 輔助計算!$E$2:$E$801, 0)+1))), "")</f>
        <v/>
      </c>
      <c r="G920" s="10">
        <f>IFERROR(IF(INDEX(ERP資料!$H:$H, (MATCH(919, 輔助計算!$E$2:$E$801, 0)+1))="","",INDEX(ERP資料!$H:$H, (MATCH(919, 輔助計算!$E$2:$E$801, 0)+1))), "")</f>
        <v/>
      </c>
      <c r="H920" s="15">
        <f>IFERROR(INDEX(輔助計算!$D:$D, (MATCH(919, 輔助計算!$E$2:$E$801, 0)+1)), "")</f>
        <v/>
      </c>
      <c r="I920" s="10">
        <f>IFERROR(IF(INDEX(ERP資料!$O:$O, (MATCH(919, 輔助計算!$E$2:$E$801, 0)+1))="","",INDEX(ERP資料!$O:$O, (MATCH(919, 輔助計算!$E$2:$E$801, 0)+1))), "")</f>
        <v/>
      </c>
      <c r="J920" s="15">
        <f>IFERROR(IF(INDEX(輔助計算!$D:$D,(MATCH(919, 輔助計算!$E$2:$E$801, 0)+1))="","",INDEX(輔助計算!$D:$D,(MATCH(919, 輔助計算!$E$2:$E$801, 0)+1))*INDEX(ERP資料!$O:$O,(MATCH(919, 輔助計算!$E$2:$E$801, 0)+1))), "")</f>
        <v/>
      </c>
      <c r="K920" s="16" t="n"/>
      <c r="L920" s="16" t="n"/>
      <c r="M920" s="17" t="n"/>
    </row>
    <row r="921">
      <c r="A921" s="14">
        <f>IFERROR(IF(INDEX(ERP資料!$B:$B, (MATCH(920, 輔助計算!$E$2:$E$801, 0)+1))="","",INDEX(ERP資料!$B:$B, (MATCH(920, 輔助計算!$E$2:$E$801, 0)+1))), "")</f>
        <v/>
      </c>
      <c r="B921" s="10">
        <f>IFERROR(IF(INDEX(ERP資料!$A:$A, (MATCH(920, 輔助計算!$E$2:$E$801, 0)+1))="","",INDEX(ERP資料!$A:$A, (MATCH(920, 輔助計算!$E$2:$E$801, 0)+1))), "")</f>
        <v/>
      </c>
      <c r="C921" s="10">
        <f>IFERROR(IF(INDEX(ERP資料!$S:$S, (MATCH(920, 輔助計算!$E$2:$E$801, 0)+1))="","",INDEX(ERP資料!$S:$S, (MATCH(920, 輔助計算!$E$2:$E$801, 0)+1))), "")</f>
        <v/>
      </c>
      <c r="D921" s="10">
        <f>IFERROR(IF(INDEX(ERP資料!$E:$E, (MATCH(920, 輔助計算!$E$2:$E$801, 0)+1))="","",TRIM(INDEX(ERP資料!$E:$E, (MATCH(920, 輔助計算!$E$2:$E$801, 0)+1)))), "")</f>
        <v/>
      </c>
      <c r="E921" s="10">
        <f>IFERROR(IF(INDEX(ERP資料!$F:$F, (MATCH(920, 輔助計算!$E$2:$E$801, 0)+1))="","",INDEX(ERP資料!$F:$F, (MATCH(920, 輔助計算!$E$2:$E$801, 0)+1))), "")</f>
        <v/>
      </c>
      <c r="F921" s="10">
        <f>IFERROR(IF(INDEX(ERP資料!$G:$G, (MATCH(920, 輔助計算!$E$2:$E$801, 0)+1))="","",INDEX(ERP資料!$G:$G, (MATCH(920, 輔助計算!$E$2:$E$801, 0)+1))), "")</f>
        <v/>
      </c>
      <c r="G921" s="10">
        <f>IFERROR(IF(INDEX(ERP資料!$H:$H, (MATCH(920, 輔助計算!$E$2:$E$801, 0)+1))="","",INDEX(ERP資料!$H:$H, (MATCH(920, 輔助計算!$E$2:$E$801, 0)+1))), "")</f>
        <v/>
      </c>
      <c r="H921" s="15">
        <f>IFERROR(INDEX(輔助計算!$D:$D, (MATCH(920, 輔助計算!$E$2:$E$801, 0)+1)), "")</f>
        <v/>
      </c>
      <c r="I921" s="10">
        <f>IFERROR(IF(INDEX(ERP資料!$O:$O, (MATCH(920, 輔助計算!$E$2:$E$801, 0)+1))="","",INDEX(ERP資料!$O:$O, (MATCH(920, 輔助計算!$E$2:$E$801, 0)+1))), "")</f>
        <v/>
      </c>
      <c r="J921" s="15">
        <f>IFERROR(IF(INDEX(輔助計算!$D:$D,(MATCH(920, 輔助計算!$E$2:$E$801, 0)+1))="","",INDEX(輔助計算!$D:$D,(MATCH(920, 輔助計算!$E$2:$E$801, 0)+1))*INDEX(ERP資料!$O:$O,(MATCH(920, 輔助計算!$E$2:$E$801, 0)+1))), "")</f>
        <v/>
      </c>
      <c r="K921" s="16" t="n"/>
      <c r="L921" s="16" t="n"/>
      <c r="M921" s="17" t="n"/>
    </row>
    <row r="922">
      <c r="A922" s="14">
        <f>IFERROR(IF(INDEX(ERP資料!$B:$B, (MATCH(921, 輔助計算!$E$2:$E$801, 0)+1))="","",INDEX(ERP資料!$B:$B, (MATCH(921, 輔助計算!$E$2:$E$801, 0)+1))), "")</f>
        <v/>
      </c>
      <c r="B922" s="10">
        <f>IFERROR(IF(INDEX(ERP資料!$A:$A, (MATCH(921, 輔助計算!$E$2:$E$801, 0)+1))="","",INDEX(ERP資料!$A:$A, (MATCH(921, 輔助計算!$E$2:$E$801, 0)+1))), "")</f>
        <v/>
      </c>
      <c r="C922" s="10">
        <f>IFERROR(IF(INDEX(ERP資料!$S:$S, (MATCH(921, 輔助計算!$E$2:$E$801, 0)+1))="","",INDEX(ERP資料!$S:$S, (MATCH(921, 輔助計算!$E$2:$E$801, 0)+1))), "")</f>
        <v/>
      </c>
      <c r="D922" s="10">
        <f>IFERROR(IF(INDEX(ERP資料!$E:$E, (MATCH(921, 輔助計算!$E$2:$E$801, 0)+1))="","",TRIM(INDEX(ERP資料!$E:$E, (MATCH(921, 輔助計算!$E$2:$E$801, 0)+1)))), "")</f>
        <v/>
      </c>
      <c r="E922" s="10">
        <f>IFERROR(IF(INDEX(ERP資料!$F:$F, (MATCH(921, 輔助計算!$E$2:$E$801, 0)+1))="","",INDEX(ERP資料!$F:$F, (MATCH(921, 輔助計算!$E$2:$E$801, 0)+1))), "")</f>
        <v/>
      </c>
      <c r="F922" s="10">
        <f>IFERROR(IF(INDEX(ERP資料!$G:$G, (MATCH(921, 輔助計算!$E$2:$E$801, 0)+1))="","",INDEX(ERP資料!$G:$G, (MATCH(921, 輔助計算!$E$2:$E$801, 0)+1))), "")</f>
        <v/>
      </c>
      <c r="G922" s="10">
        <f>IFERROR(IF(INDEX(ERP資料!$H:$H, (MATCH(921, 輔助計算!$E$2:$E$801, 0)+1))="","",INDEX(ERP資料!$H:$H, (MATCH(921, 輔助計算!$E$2:$E$801, 0)+1))), "")</f>
        <v/>
      </c>
      <c r="H922" s="15">
        <f>IFERROR(INDEX(輔助計算!$D:$D, (MATCH(921, 輔助計算!$E$2:$E$801, 0)+1)), "")</f>
        <v/>
      </c>
      <c r="I922" s="10">
        <f>IFERROR(IF(INDEX(ERP資料!$O:$O, (MATCH(921, 輔助計算!$E$2:$E$801, 0)+1))="","",INDEX(ERP資料!$O:$O, (MATCH(921, 輔助計算!$E$2:$E$801, 0)+1))), "")</f>
        <v/>
      </c>
      <c r="J922" s="15">
        <f>IFERROR(IF(INDEX(輔助計算!$D:$D,(MATCH(921, 輔助計算!$E$2:$E$801, 0)+1))="","",INDEX(輔助計算!$D:$D,(MATCH(921, 輔助計算!$E$2:$E$801, 0)+1))*INDEX(ERP資料!$O:$O,(MATCH(921, 輔助計算!$E$2:$E$801, 0)+1))), "")</f>
        <v/>
      </c>
      <c r="K922" s="16" t="n"/>
      <c r="L922" s="16" t="n"/>
      <c r="M922" s="17" t="n"/>
    </row>
    <row r="923">
      <c r="A923" s="14">
        <f>IFERROR(IF(INDEX(ERP資料!$B:$B, (MATCH(922, 輔助計算!$E$2:$E$801, 0)+1))="","",INDEX(ERP資料!$B:$B, (MATCH(922, 輔助計算!$E$2:$E$801, 0)+1))), "")</f>
        <v/>
      </c>
      <c r="B923" s="10">
        <f>IFERROR(IF(INDEX(ERP資料!$A:$A, (MATCH(922, 輔助計算!$E$2:$E$801, 0)+1))="","",INDEX(ERP資料!$A:$A, (MATCH(922, 輔助計算!$E$2:$E$801, 0)+1))), "")</f>
        <v/>
      </c>
      <c r="C923" s="10">
        <f>IFERROR(IF(INDEX(ERP資料!$S:$S, (MATCH(922, 輔助計算!$E$2:$E$801, 0)+1))="","",INDEX(ERP資料!$S:$S, (MATCH(922, 輔助計算!$E$2:$E$801, 0)+1))), "")</f>
        <v/>
      </c>
      <c r="D923" s="10">
        <f>IFERROR(IF(INDEX(ERP資料!$E:$E, (MATCH(922, 輔助計算!$E$2:$E$801, 0)+1))="","",TRIM(INDEX(ERP資料!$E:$E, (MATCH(922, 輔助計算!$E$2:$E$801, 0)+1)))), "")</f>
        <v/>
      </c>
      <c r="E923" s="10">
        <f>IFERROR(IF(INDEX(ERP資料!$F:$F, (MATCH(922, 輔助計算!$E$2:$E$801, 0)+1))="","",INDEX(ERP資料!$F:$F, (MATCH(922, 輔助計算!$E$2:$E$801, 0)+1))), "")</f>
        <v/>
      </c>
      <c r="F923" s="10">
        <f>IFERROR(IF(INDEX(ERP資料!$G:$G, (MATCH(922, 輔助計算!$E$2:$E$801, 0)+1))="","",INDEX(ERP資料!$G:$G, (MATCH(922, 輔助計算!$E$2:$E$801, 0)+1))), "")</f>
        <v/>
      </c>
      <c r="G923" s="10">
        <f>IFERROR(IF(INDEX(ERP資料!$H:$H, (MATCH(922, 輔助計算!$E$2:$E$801, 0)+1))="","",INDEX(ERP資料!$H:$H, (MATCH(922, 輔助計算!$E$2:$E$801, 0)+1))), "")</f>
        <v/>
      </c>
      <c r="H923" s="15">
        <f>IFERROR(INDEX(輔助計算!$D:$D, (MATCH(922, 輔助計算!$E$2:$E$801, 0)+1)), "")</f>
        <v/>
      </c>
      <c r="I923" s="10">
        <f>IFERROR(IF(INDEX(ERP資料!$O:$O, (MATCH(922, 輔助計算!$E$2:$E$801, 0)+1))="","",INDEX(ERP資料!$O:$O, (MATCH(922, 輔助計算!$E$2:$E$801, 0)+1))), "")</f>
        <v/>
      </c>
      <c r="J923" s="15">
        <f>IFERROR(IF(INDEX(輔助計算!$D:$D,(MATCH(922, 輔助計算!$E$2:$E$801, 0)+1))="","",INDEX(輔助計算!$D:$D,(MATCH(922, 輔助計算!$E$2:$E$801, 0)+1))*INDEX(ERP資料!$O:$O,(MATCH(922, 輔助計算!$E$2:$E$801, 0)+1))), "")</f>
        <v/>
      </c>
      <c r="K923" s="16" t="n"/>
      <c r="L923" s="16" t="n"/>
      <c r="M923" s="17" t="n"/>
    </row>
    <row r="924">
      <c r="A924" s="14">
        <f>IFERROR(IF(INDEX(ERP資料!$B:$B, (MATCH(923, 輔助計算!$E$2:$E$801, 0)+1))="","",INDEX(ERP資料!$B:$B, (MATCH(923, 輔助計算!$E$2:$E$801, 0)+1))), "")</f>
        <v/>
      </c>
      <c r="B924" s="10">
        <f>IFERROR(IF(INDEX(ERP資料!$A:$A, (MATCH(923, 輔助計算!$E$2:$E$801, 0)+1))="","",INDEX(ERP資料!$A:$A, (MATCH(923, 輔助計算!$E$2:$E$801, 0)+1))), "")</f>
        <v/>
      </c>
      <c r="C924" s="10">
        <f>IFERROR(IF(INDEX(ERP資料!$S:$S, (MATCH(923, 輔助計算!$E$2:$E$801, 0)+1))="","",INDEX(ERP資料!$S:$S, (MATCH(923, 輔助計算!$E$2:$E$801, 0)+1))), "")</f>
        <v/>
      </c>
      <c r="D924" s="10">
        <f>IFERROR(IF(INDEX(ERP資料!$E:$E, (MATCH(923, 輔助計算!$E$2:$E$801, 0)+1))="","",TRIM(INDEX(ERP資料!$E:$E, (MATCH(923, 輔助計算!$E$2:$E$801, 0)+1)))), "")</f>
        <v/>
      </c>
      <c r="E924" s="10">
        <f>IFERROR(IF(INDEX(ERP資料!$F:$F, (MATCH(923, 輔助計算!$E$2:$E$801, 0)+1))="","",INDEX(ERP資料!$F:$F, (MATCH(923, 輔助計算!$E$2:$E$801, 0)+1))), "")</f>
        <v/>
      </c>
      <c r="F924" s="10">
        <f>IFERROR(IF(INDEX(ERP資料!$G:$G, (MATCH(923, 輔助計算!$E$2:$E$801, 0)+1))="","",INDEX(ERP資料!$G:$G, (MATCH(923, 輔助計算!$E$2:$E$801, 0)+1))), "")</f>
        <v/>
      </c>
      <c r="G924" s="10">
        <f>IFERROR(IF(INDEX(ERP資料!$H:$H, (MATCH(923, 輔助計算!$E$2:$E$801, 0)+1))="","",INDEX(ERP資料!$H:$H, (MATCH(923, 輔助計算!$E$2:$E$801, 0)+1))), "")</f>
        <v/>
      </c>
      <c r="H924" s="15">
        <f>IFERROR(INDEX(輔助計算!$D:$D, (MATCH(923, 輔助計算!$E$2:$E$801, 0)+1)), "")</f>
        <v/>
      </c>
      <c r="I924" s="10">
        <f>IFERROR(IF(INDEX(ERP資料!$O:$O, (MATCH(923, 輔助計算!$E$2:$E$801, 0)+1))="","",INDEX(ERP資料!$O:$O, (MATCH(923, 輔助計算!$E$2:$E$801, 0)+1))), "")</f>
        <v/>
      </c>
      <c r="J924" s="15">
        <f>IFERROR(IF(INDEX(輔助計算!$D:$D,(MATCH(923, 輔助計算!$E$2:$E$801, 0)+1))="","",INDEX(輔助計算!$D:$D,(MATCH(923, 輔助計算!$E$2:$E$801, 0)+1))*INDEX(ERP資料!$O:$O,(MATCH(923, 輔助計算!$E$2:$E$801, 0)+1))), "")</f>
        <v/>
      </c>
      <c r="K924" s="16" t="n"/>
      <c r="L924" s="16" t="n"/>
      <c r="M924" s="17" t="n"/>
    </row>
    <row r="925">
      <c r="A925" s="14">
        <f>IFERROR(IF(INDEX(ERP資料!$B:$B, (MATCH(924, 輔助計算!$E$2:$E$801, 0)+1))="","",INDEX(ERP資料!$B:$B, (MATCH(924, 輔助計算!$E$2:$E$801, 0)+1))), "")</f>
        <v/>
      </c>
      <c r="B925" s="10">
        <f>IFERROR(IF(INDEX(ERP資料!$A:$A, (MATCH(924, 輔助計算!$E$2:$E$801, 0)+1))="","",INDEX(ERP資料!$A:$A, (MATCH(924, 輔助計算!$E$2:$E$801, 0)+1))), "")</f>
        <v/>
      </c>
      <c r="C925" s="10">
        <f>IFERROR(IF(INDEX(ERP資料!$S:$S, (MATCH(924, 輔助計算!$E$2:$E$801, 0)+1))="","",INDEX(ERP資料!$S:$S, (MATCH(924, 輔助計算!$E$2:$E$801, 0)+1))), "")</f>
        <v/>
      </c>
      <c r="D925" s="10">
        <f>IFERROR(IF(INDEX(ERP資料!$E:$E, (MATCH(924, 輔助計算!$E$2:$E$801, 0)+1))="","",TRIM(INDEX(ERP資料!$E:$E, (MATCH(924, 輔助計算!$E$2:$E$801, 0)+1)))), "")</f>
        <v/>
      </c>
      <c r="E925" s="10">
        <f>IFERROR(IF(INDEX(ERP資料!$F:$F, (MATCH(924, 輔助計算!$E$2:$E$801, 0)+1))="","",INDEX(ERP資料!$F:$F, (MATCH(924, 輔助計算!$E$2:$E$801, 0)+1))), "")</f>
        <v/>
      </c>
      <c r="F925" s="10">
        <f>IFERROR(IF(INDEX(ERP資料!$G:$G, (MATCH(924, 輔助計算!$E$2:$E$801, 0)+1))="","",INDEX(ERP資料!$G:$G, (MATCH(924, 輔助計算!$E$2:$E$801, 0)+1))), "")</f>
        <v/>
      </c>
      <c r="G925" s="10">
        <f>IFERROR(IF(INDEX(ERP資料!$H:$H, (MATCH(924, 輔助計算!$E$2:$E$801, 0)+1))="","",INDEX(ERP資料!$H:$H, (MATCH(924, 輔助計算!$E$2:$E$801, 0)+1))), "")</f>
        <v/>
      </c>
      <c r="H925" s="15">
        <f>IFERROR(INDEX(輔助計算!$D:$D, (MATCH(924, 輔助計算!$E$2:$E$801, 0)+1)), "")</f>
        <v/>
      </c>
      <c r="I925" s="10">
        <f>IFERROR(IF(INDEX(ERP資料!$O:$O, (MATCH(924, 輔助計算!$E$2:$E$801, 0)+1))="","",INDEX(ERP資料!$O:$O, (MATCH(924, 輔助計算!$E$2:$E$801, 0)+1))), "")</f>
        <v/>
      </c>
      <c r="J925" s="15">
        <f>IFERROR(IF(INDEX(輔助計算!$D:$D,(MATCH(924, 輔助計算!$E$2:$E$801, 0)+1))="","",INDEX(輔助計算!$D:$D,(MATCH(924, 輔助計算!$E$2:$E$801, 0)+1))*INDEX(ERP資料!$O:$O,(MATCH(924, 輔助計算!$E$2:$E$801, 0)+1))), "")</f>
        <v/>
      </c>
      <c r="K925" s="16" t="n"/>
      <c r="L925" s="16" t="n"/>
      <c r="M925" s="17" t="n"/>
    </row>
    <row r="926">
      <c r="A926" s="14">
        <f>IFERROR(IF(INDEX(ERP資料!$B:$B, (MATCH(925, 輔助計算!$E$2:$E$801, 0)+1))="","",INDEX(ERP資料!$B:$B, (MATCH(925, 輔助計算!$E$2:$E$801, 0)+1))), "")</f>
        <v/>
      </c>
      <c r="B926" s="10">
        <f>IFERROR(IF(INDEX(ERP資料!$A:$A, (MATCH(925, 輔助計算!$E$2:$E$801, 0)+1))="","",INDEX(ERP資料!$A:$A, (MATCH(925, 輔助計算!$E$2:$E$801, 0)+1))), "")</f>
        <v/>
      </c>
      <c r="C926" s="10">
        <f>IFERROR(IF(INDEX(ERP資料!$S:$S, (MATCH(925, 輔助計算!$E$2:$E$801, 0)+1))="","",INDEX(ERP資料!$S:$S, (MATCH(925, 輔助計算!$E$2:$E$801, 0)+1))), "")</f>
        <v/>
      </c>
      <c r="D926" s="10">
        <f>IFERROR(IF(INDEX(ERP資料!$E:$E, (MATCH(925, 輔助計算!$E$2:$E$801, 0)+1))="","",TRIM(INDEX(ERP資料!$E:$E, (MATCH(925, 輔助計算!$E$2:$E$801, 0)+1)))), "")</f>
        <v/>
      </c>
      <c r="E926" s="10">
        <f>IFERROR(IF(INDEX(ERP資料!$F:$F, (MATCH(925, 輔助計算!$E$2:$E$801, 0)+1))="","",INDEX(ERP資料!$F:$F, (MATCH(925, 輔助計算!$E$2:$E$801, 0)+1))), "")</f>
        <v/>
      </c>
      <c r="F926" s="10">
        <f>IFERROR(IF(INDEX(ERP資料!$G:$G, (MATCH(925, 輔助計算!$E$2:$E$801, 0)+1))="","",INDEX(ERP資料!$G:$G, (MATCH(925, 輔助計算!$E$2:$E$801, 0)+1))), "")</f>
        <v/>
      </c>
      <c r="G926" s="10">
        <f>IFERROR(IF(INDEX(ERP資料!$H:$H, (MATCH(925, 輔助計算!$E$2:$E$801, 0)+1))="","",INDEX(ERP資料!$H:$H, (MATCH(925, 輔助計算!$E$2:$E$801, 0)+1))), "")</f>
        <v/>
      </c>
      <c r="H926" s="15">
        <f>IFERROR(INDEX(輔助計算!$D:$D, (MATCH(925, 輔助計算!$E$2:$E$801, 0)+1)), "")</f>
        <v/>
      </c>
      <c r="I926" s="10">
        <f>IFERROR(IF(INDEX(ERP資料!$O:$O, (MATCH(925, 輔助計算!$E$2:$E$801, 0)+1))="","",INDEX(ERP資料!$O:$O, (MATCH(925, 輔助計算!$E$2:$E$801, 0)+1))), "")</f>
        <v/>
      </c>
      <c r="J926" s="15">
        <f>IFERROR(IF(INDEX(輔助計算!$D:$D,(MATCH(925, 輔助計算!$E$2:$E$801, 0)+1))="","",INDEX(輔助計算!$D:$D,(MATCH(925, 輔助計算!$E$2:$E$801, 0)+1))*INDEX(ERP資料!$O:$O,(MATCH(925, 輔助計算!$E$2:$E$801, 0)+1))), "")</f>
        <v/>
      </c>
      <c r="K926" s="16" t="n"/>
      <c r="L926" s="16" t="n"/>
      <c r="M926" s="17" t="n"/>
    </row>
    <row r="927">
      <c r="A927" s="14">
        <f>IFERROR(IF(INDEX(ERP資料!$B:$B, (MATCH(926, 輔助計算!$E$2:$E$801, 0)+1))="","",INDEX(ERP資料!$B:$B, (MATCH(926, 輔助計算!$E$2:$E$801, 0)+1))), "")</f>
        <v/>
      </c>
      <c r="B927" s="10">
        <f>IFERROR(IF(INDEX(ERP資料!$A:$A, (MATCH(926, 輔助計算!$E$2:$E$801, 0)+1))="","",INDEX(ERP資料!$A:$A, (MATCH(926, 輔助計算!$E$2:$E$801, 0)+1))), "")</f>
        <v/>
      </c>
      <c r="C927" s="10">
        <f>IFERROR(IF(INDEX(ERP資料!$S:$S, (MATCH(926, 輔助計算!$E$2:$E$801, 0)+1))="","",INDEX(ERP資料!$S:$S, (MATCH(926, 輔助計算!$E$2:$E$801, 0)+1))), "")</f>
        <v/>
      </c>
      <c r="D927" s="10">
        <f>IFERROR(IF(INDEX(ERP資料!$E:$E, (MATCH(926, 輔助計算!$E$2:$E$801, 0)+1))="","",TRIM(INDEX(ERP資料!$E:$E, (MATCH(926, 輔助計算!$E$2:$E$801, 0)+1)))), "")</f>
        <v/>
      </c>
      <c r="E927" s="10">
        <f>IFERROR(IF(INDEX(ERP資料!$F:$F, (MATCH(926, 輔助計算!$E$2:$E$801, 0)+1))="","",INDEX(ERP資料!$F:$F, (MATCH(926, 輔助計算!$E$2:$E$801, 0)+1))), "")</f>
        <v/>
      </c>
      <c r="F927" s="10">
        <f>IFERROR(IF(INDEX(ERP資料!$G:$G, (MATCH(926, 輔助計算!$E$2:$E$801, 0)+1))="","",INDEX(ERP資料!$G:$G, (MATCH(926, 輔助計算!$E$2:$E$801, 0)+1))), "")</f>
        <v/>
      </c>
      <c r="G927" s="10">
        <f>IFERROR(IF(INDEX(ERP資料!$H:$H, (MATCH(926, 輔助計算!$E$2:$E$801, 0)+1))="","",INDEX(ERP資料!$H:$H, (MATCH(926, 輔助計算!$E$2:$E$801, 0)+1))), "")</f>
        <v/>
      </c>
      <c r="H927" s="15">
        <f>IFERROR(INDEX(輔助計算!$D:$D, (MATCH(926, 輔助計算!$E$2:$E$801, 0)+1)), "")</f>
        <v/>
      </c>
      <c r="I927" s="10">
        <f>IFERROR(IF(INDEX(ERP資料!$O:$O, (MATCH(926, 輔助計算!$E$2:$E$801, 0)+1))="","",INDEX(ERP資料!$O:$O, (MATCH(926, 輔助計算!$E$2:$E$801, 0)+1))), "")</f>
        <v/>
      </c>
      <c r="J927" s="15">
        <f>IFERROR(IF(INDEX(輔助計算!$D:$D,(MATCH(926, 輔助計算!$E$2:$E$801, 0)+1))="","",INDEX(輔助計算!$D:$D,(MATCH(926, 輔助計算!$E$2:$E$801, 0)+1))*INDEX(ERP資料!$O:$O,(MATCH(926, 輔助計算!$E$2:$E$801, 0)+1))), "")</f>
        <v/>
      </c>
      <c r="K927" s="16" t="n"/>
      <c r="L927" s="16" t="n"/>
      <c r="M927" s="17" t="n"/>
    </row>
    <row r="928">
      <c r="A928" s="14">
        <f>IFERROR(IF(INDEX(ERP資料!$B:$B, (MATCH(927, 輔助計算!$E$2:$E$801, 0)+1))="","",INDEX(ERP資料!$B:$B, (MATCH(927, 輔助計算!$E$2:$E$801, 0)+1))), "")</f>
        <v/>
      </c>
      <c r="B928" s="10">
        <f>IFERROR(IF(INDEX(ERP資料!$A:$A, (MATCH(927, 輔助計算!$E$2:$E$801, 0)+1))="","",INDEX(ERP資料!$A:$A, (MATCH(927, 輔助計算!$E$2:$E$801, 0)+1))), "")</f>
        <v/>
      </c>
      <c r="C928" s="10">
        <f>IFERROR(IF(INDEX(ERP資料!$S:$S, (MATCH(927, 輔助計算!$E$2:$E$801, 0)+1))="","",INDEX(ERP資料!$S:$S, (MATCH(927, 輔助計算!$E$2:$E$801, 0)+1))), "")</f>
        <v/>
      </c>
      <c r="D928" s="10">
        <f>IFERROR(IF(INDEX(ERP資料!$E:$E, (MATCH(927, 輔助計算!$E$2:$E$801, 0)+1))="","",TRIM(INDEX(ERP資料!$E:$E, (MATCH(927, 輔助計算!$E$2:$E$801, 0)+1)))), "")</f>
        <v/>
      </c>
      <c r="E928" s="10">
        <f>IFERROR(IF(INDEX(ERP資料!$F:$F, (MATCH(927, 輔助計算!$E$2:$E$801, 0)+1))="","",INDEX(ERP資料!$F:$F, (MATCH(927, 輔助計算!$E$2:$E$801, 0)+1))), "")</f>
        <v/>
      </c>
      <c r="F928" s="10">
        <f>IFERROR(IF(INDEX(ERP資料!$G:$G, (MATCH(927, 輔助計算!$E$2:$E$801, 0)+1))="","",INDEX(ERP資料!$G:$G, (MATCH(927, 輔助計算!$E$2:$E$801, 0)+1))), "")</f>
        <v/>
      </c>
      <c r="G928" s="10">
        <f>IFERROR(IF(INDEX(ERP資料!$H:$H, (MATCH(927, 輔助計算!$E$2:$E$801, 0)+1))="","",INDEX(ERP資料!$H:$H, (MATCH(927, 輔助計算!$E$2:$E$801, 0)+1))), "")</f>
        <v/>
      </c>
      <c r="H928" s="15">
        <f>IFERROR(INDEX(輔助計算!$D:$D, (MATCH(927, 輔助計算!$E$2:$E$801, 0)+1)), "")</f>
        <v/>
      </c>
      <c r="I928" s="10">
        <f>IFERROR(IF(INDEX(ERP資料!$O:$O, (MATCH(927, 輔助計算!$E$2:$E$801, 0)+1))="","",INDEX(ERP資料!$O:$O, (MATCH(927, 輔助計算!$E$2:$E$801, 0)+1))), "")</f>
        <v/>
      </c>
      <c r="J928" s="15">
        <f>IFERROR(IF(INDEX(輔助計算!$D:$D,(MATCH(927, 輔助計算!$E$2:$E$801, 0)+1))="","",INDEX(輔助計算!$D:$D,(MATCH(927, 輔助計算!$E$2:$E$801, 0)+1))*INDEX(ERP資料!$O:$O,(MATCH(927, 輔助計算!$E$2:$E$801, 0)+1))), "")</f>
        <v/>
      </c>
      <c r="K928" s="16" t="n"/>
      <c r="L928" s="16" t="n"/>
      <c r="M928" s="17" t="n"/>
    </row>
    <row r="929">
      <c r="A929" s="14">
        <f>IFERROR(IF(INDEX(ERP資料!$B:$B, (MATCH(928, 輔助計算!$E$2:$E$801, 0)+1))="","",INDEX(ERP資料!$B:$B, (MATCH(928, 輔助計算!$E$2:$E$801, 0)+1))), "")</f>
        <v/>
      </c>
      <c r="B929" s="10">
        <f>IFERROR(IF(INDEX(ERP資料!$A:$A, (MATCH(928, 輔助計算!$E$2:$E$801, 0)+1))="","",INDEX(ERP資料!$A:$A, (MATCH(928, 輔助計算!$E$2:$E$801, 0)+1))), "")</f>
        <v/>
      </c>
      <c r="C929" s="10">
        <f>IFERROR(IF(INDEX(ERP資料!$S:$S, (MATCH(928, 輔助計算!$E$2:$E$801, 0)+1))="","",INDEX(ERP資料!$S:$S, (MATCH(928, 輔助計算!$E$2:$E$801, 0)+1))), "")</f>
        <v/>
      </c>
      <c r="D929" s="10">
        <f>IFERROR(IF(INDEX(ERP資料!$E:$E, (MATCH(928, 輔助計算!$E$2:$E$801, 0)+1))="","",TRIM(INDEX(ERP資料!$E:$E, (MATCH(928, 輔助計算!$E$2:$E$801, 0)+1)))), "")</f>
        <v/>
      </c>
      <c r="E929" s="10">
        <f>IFERROR(IF(INDEX(ERP資料!$F:$F, (MATCH(928, 輔助計算!$E$2:$E$801, 0)+1))="","",INDEX(ERP資料!$F:$F, (MATCH(928, 輔助計算!$E$2:$E$801, 0)+1))), "")</f>
        <v/>
      </c>
      <c r="F929" s="10">
        <f>IFERROR(IF(INDEX(ERP資料!$G:$G, (MATCH(928, 輔助計算!$E$2:$E$801, 0)+1))="","",INDEX(ERP資料!$G:$G, (MATCH(928, 輔助計算!$E$2:$E$801, 0)+1))), "")</f>
        <v/>
      </c>
      <c r="G929" s="10">
        <f>IFERROR(IF(INDEX(ERP資料!$H:$H, (MATCH(928, 輔助計算!$E$2:$E$801, 0)+1))="","",INDEX(ERP資料!$H:$H, (MATCH(928, 輔助計算!$E$2:$E$801, 0)+1))), "")</f>
        <v/>
      </c>
      <c r="H929" s="15">
        <f>IFERROR(INDEX(輔助計算!$D:$D, (MATCH(928, 輔助計算!$E$2:$E$801, 0)+1)), "")</f>
        <v/>
      </c>
      <c r="I929" s="10">
        <f>IFERROR(IF(INDEX(ERP資料!$O:$O, (MATCH(928, 輔助計算!$E$2:$E$801, 0)+1))="","",INDEX(ERP資料!$O:$O, (MATCH(928, 輔助計算!$E$2:$E$801, 0)+1))), "")</f>
        <v/>
      </c>
      <c r="J929" s="15">
        <f>IFERROR(IF(INDEX(輔助計算!$D:$D,(MATCH(928, 輔助計算!$E$2:$E$801, 0)+1))="","",INDEX(輔助計算!$D:$D,(MATCH(928, 輔助計算!$E$2:$E$801, 0)+1))*INDEX(ERP資料!$O:$O,(MATCH(928, 輔助計算!$E$2:$E$801, 0)+1))), "")</f>
        <v/>
      </c>
      <c r="K929" s="16" t="n"/>
      <c r="L929" s="16" t="n"/>
      <c r="M929" s="17" t="n"/>
    </row>
    <row r="930">
      <c r="A930" s="14">
        <f>IFERROR(IF(INDEX(ERP資料!$B:$B, (MATCH(929, 輔助計算!$E$2:$E$801, 0)+1))="","",INDEX(ERP資料!$B:$B, (MATCH(929, 輔助計算!$E$2:$E$801, 0)+1))), "")</f>
        <v/>
      </c>
      <c r="B930" s="10">
        <f>IFERROR(IF(INDEX(ERP資料!$A:$A, (MATCH(929, 輔助計算!$E$2:$E$801, 0)+1))="","",INDEX(ERP資料!$A:$A, (MATCH(929, 輔助計算!$E$2:$E$801, 0)+1))), "")</f>
        <v/>
      </c>
      <c r="C930" s="10">
        <f>IFERROR(IF(INDEX(ERP資料!$S:$S, (MATCH(929, 輔助計算!$E$2:$E$801, 0)+1))="","",INDEX(ERP資料!$S:$S, (MATCH(929, 輔助計算!$E$2:$E$801, 0)+1))), "")</f>
        <v/>
      </c>
      <c r="D930" s="10">
        <f>IFERROR(IF(INDEX(ERP資料!$E:$E, (MATCH(929, 輔助計算!$E$2:$E$801, 0)+1))="","",TRIM(INDEX(ERP資料!$E:$E, (MATCH(929, 輔助計算!$E$2:$E$801, 0)+1)))), "")</f>
        <v/>
      </c>
      <c r="E930" s="10">
        <f>IFERROR(IF(INDEX(ERP資料!$F:$F, (MATCH(929, 輔助計算!$E$2:$E$801, 0)+1))="","",INDEX(ERP資料!$F:$F, (MATCH(929, 輔助計算!$E$2:$E$801, 0)+1))), "")</f>
        <v/>
      </c>
      <c r="F930" s="10">
        <f>IFERROR(IF(INDEX(ERP資料!$G:$G, (MATCH(929, 輔助計算!$E$2:$E$801, 0)+1))="","",INDEX(ERP資料!$G:$G, (MATCH(929, 輔助計算!$E$2:$E$801, 0)+1))), "")</f>
        <v/>
      </c>
      <c r="G930" s="10">
        <f>IFERROR(IF(INDEX(ERP資料!$H:$H, (MATCH(929, 輔助計算!$E$2:$E$801, 0)+1))="","",INDEX(ERP資料!$H:$H, (MATCH(929, 輔助計算!$E$2:$E$801, 0)+1))), "")</f>
        <v/>
      </c>
      <c r="H930" s="15">
        <f>IFERROR(INDEX(輔助計算!$D:$D, (MATCH(929, 輔助計算!$E$2:$E$801, 0)+1)), "")</f>
        <v/>
      </c>
      <c r="I930" s="10">
        <f>IFERROR(IF(INDEX(ERP資料!$O:$O, (MATCH(929, 輔助計算!$E$2:$E$801, 0)+1))="","",INDEX(ERP資料!$O:$O, (MATCH(929, 輔助計算!$E$2:$E$801, 0)+1))), "")</f>
        <v/>
      </c>
      <c r="J930" s="15">
        <f>IFERROR(IF(INDEX(輔助計算!$D:$D,(MATCH(929, 輔助計算!$E$2:$E$801, 0)+1))="","",INDEX(輔助計算!$D:$D,(MATCH(929, 輔助計算!$E$2:$E$801, 0)+1))*INDEX(ERP資料!$O:$O,(MATCH(929, 輔助計算!$E$2:$E$801, 0)+1))), "")</f>
        <v/>
      </c>
      <c r="K930" s="16" t="n"/>
      <c r="L930" s="16" t="n"/>
      <c r="M930" s="17" t="n"/>
    </row>
    <row r="931">
      <c r="A931" s="14">
        <f>IFERROR(IF(INDEX(ERP資料!$B:$B, (MATCH(930, 輔助計算!$E$2:$E$801, 0)+1))="","",INDEX(ERP資料!$B:$B, (MATCH(930, 輔助計算!$E$2:$E$801, 0)+1))), "")</f>
        <v/>
      </c>
      <c r="B931" s="10">
        <f>IFERROR(IF(INDEX(ERP資料!$A:$A, (MATCH(930, 輔助計算!$E$2:$E$801, 0)+1))="","",INDEX(ERP資料!$A:$A, (MATCH(930, 輔助計算!$E$2:$E$801, 0)+1))), "")</f>
        <v/>
      </c>
      <c r="C931" s="10">
        <f>IFERROR(IF(INDEX(ERP資料!$S:$S, (MATCH(930, 輔助計算!$E$2:$E$801, 0)+1))="","",INDEX(ERP資料!$S:$S, (MATCH(930, 輔助計算!$E$2:$E$801, 0)+1))), "")</f>
        <v/>
      </c>
      <c r="D931" s="10">
        <f>IFERROR(IF(INDEX(ERP資料!$E:$E, (MATCH(930, 輔助計算!$E$2:$E$801, 0)+1))="","",TRIM(INDEX(ERP資料!$E:$E, (MATCH(930, 輔助計算!$E$2:$E$801, 0)+1)))), "")</f>
        <v/>
      </c>
      <c r="E931" s="10">
        <f>IFERROR(IF(INDEX(ERP資料!$F:$F, (MATCH(930, 輔助計算!$E$2:$E$801, 0)+1))="","",INDEX(ERP資料!$F:$F, (MATCH(930, 輔助計算!$E$2:$E$801, 0)+1))), "")</f>
        <v/>
      </c>
      <c r="F931" s="10">
        <f>IFERROR(IF(INDEX(ERP資料!$G:$G, (MATCH(930, 輔助計算!$E$2:$E$801, 0)+1))="","",INDEX(ERP資料!$G:$G, (MATCH(930, 輔助計算!$E$2:$E$801, 0)+1))), "")</f>
        <v/>
      </c>
      <c r="G931" s="10">
        <f>IFERROR(IF(INDEX(ERP資料!$H:$H, (MATCH(930, 輔助計算!$E$2:$E$801, 0)+1))="","",INDEX(ERP資料!$H:$H, (MATCH(930, 輔助計算!$E$2:$E$801, 0)+1))), "")</f>
        <v/>
      </c>
      <c r="H931" s="15">
        <f>IFERROR(INDEX(輔助計算!$D:$D, (MATCH(930, 輔助計算!$E$2:$E$801, 0)+1)), "")</f>
        <v/>
      </c>
      <c r="I931" s="10">
        <f>IFERROR(IF(INDEX(ERP資料!$O:$O, (MATCH(930, 輔助計算!$E$2:$E$801, 0)+1))="","",INDEX(ERP資料!$O:$O, (MATCH(930, 輔助計算!$E$2:$E$801, 0)+1))), "")</f>
        <v/>
      </c>
      <c r="J931" s="15">
        <f>IFERROR(IF(INDEX(輔助計算!$D:$D,(MATCH(930, 輔助計算!$E$2:$E$801, 0)+1))="","",INDEX(輔助計算!$D:$D,(MATCH(930, 輔助計算!$E$2:$E$801, 0)+1))*INDEX(ERP資料!$O:$O,(MATCH(930, 輔助計算!$E$2:$E$801, 0)+1))), "")</f>
        <v/>
      </c>
      <c r="K931" s="16" t="n"/>
      <c r="L931" s="16" t="n"/>
      <c r="M931" s="17" t="n"/>
    </row>
    <row r="932">
      <c r="A932" s="14">
        <f>IFERROR(IF(INDEX(ERP資料!$B:$B, (MATCH(931, 輔助計算!$E$2:$E$801, 0)+1))="","",INDEX(ERP資料!$B:$B, (MATCH(931, 輔助計算!$E$2:$E$801, 0)+1))), "")</f>
        <v/>
      </c>
      <c r="B932" s="10">
        <f>IFERROR(IF(INDEX(ERP資料!$A:$A, (MATCH(931, 輔助計算!$E$2:$E$801, 0)+1))="","",INDEX(ERP資料!$A:$A, (MATCH(931, 輔助計算!$E$2:$E$801, 0)+1))), "")</f>
        <v/>
      </c>
      <c r="C932" s="10">
        <f>IFERROR(IF(INDEX(ERP資料!$S:$S, (MATCH(931, 輔助計算!$E$2:$E$801, 0)+1))="","",INDEX(ERP資料!$S:$S, (MATCH(931, 輔助計算!$E$2:$E$801, 0)+1))), "")</f>
        <v/>
      </c>
      <c r="D932" s="10">
        <f>IFERROR(IF(INDEX(ERP資料!$E:$E, (MATCH(931, 輔助計算!$E$2:$E$801, 0)+1))="","",TRIM(INDEX(ERP資料!$E:$E, (MATCH(931, 輔助計算!$E$2:$E$801, 0)+1)))), "")</f>
        <v/>
      </c>
      <c r="E932" s="10">
        <f>IFERROR(IF(INDEX(ERP資料!$F:$F, (MATCH(931, 輔助計算!$E$2:$E$801, 0)+1))="","",INDEX(ERP資料!$F:$F, (MATCH(931, 輔助計算!$E$2:$E$801, 0)+1))), "")</f>
        <v/>
      </c>
      <c r="F932" s="10">
        <f>IFERROR(IF(INDEX(ERP資料!$G:$G, (MATCH(931, 輔助計算!$E$2:$E$801, 0)+1))="","",INDEX(ERP資料!$G:$G, (MATCH(931, 輔助計算!$E$2:$E$801, 0)+1))), "")</f>
        <v/>
      </c>
      <c r="G932" s="10">
        <f>IFERROR(IF(INDEX(ERP資料!$H:$H, (MATCH(931, 輔助計算!$E$2:$E$801, 0)+1))="","",INDEX(ERP資料!$H:$H, (MATCH(931, 輔助計算!$E$2:$E$801, 0)+1))), "")</f>
        <v/>
      </c>
      <c r="H932" s="15">
        <f>IFERROR(INDEX(輔助計算!$D:$D, (MATCH(931, 輔助計算!$E$2:$E$801, 0)+1)), "")</f>
        <v/>
      </c>
      <c r="I932" s="10">
        <f>IFERROR(IF(INDEX(ERP資料!$O:$O, (MATCH(931, 輔助計算!$E$2:$E$801, 0)+1))="","",INDEX(ERP資料!$O:$O, (MATCH(931, 輔助計算!$E$2:$E$801, 0)+1))), "")</f>
        <v/>
      </c>
      <c r="J932" s="15">
        <f>IFERROR(IF(INDEX(輔助計算!$D:$D,(MATCH(931, 輔助計算!$E$2:$E$801, 0)+1))="","",INDEX(輔助計算!$D:$D,(MATCH(931, 輔助計算!$E$2:$E$801, 0)+1))*INDEX(ERP資料!$O:$O,(MATCH(931, 輔助計算!$E$2:$E$801, 0)+1))), "")</f>
        <v/>
      </c>
      <c r="K932" s="16" t="n"/>
      <c r="L932" s="16" t="n"/>
      <c r="M932" s="17" t="n"/>
    </row>
    <row r="933">
      <c r="A933" s="14">
        <f>IFERROR(IF(INDEX(ERP資料!$B:$B, (MATCH(932, 輔助計算!$E$2:$E$801, 0)+1))="","",INDEX(ERP資料!$B:$B, (MATCH(932, 輔助計算!$E$2:$E$801, 0)+1))), "")</f>
        <v/>
      </c>
      <c r="B933" s="10">
        <f>IFERROR(IF(INDEX(ERP資料!$A:$A, (MATCH(932, 輔助計算!$E$2:$E$801, 0)+1))="","",INDEX(ERP資料!$A:$A, (MATCH(932, 輔助計算!$E$2:$E$801, 0)+1))), "")</f>
        <v/>
      </c>
      <c r="C933" s="10">
        <f>IFERROR(IF(INDEX(ERP資料!$S:$S, (MATCH(932, 輔助計算!$E$2:$E$801, 0)+1))="","",INDEX(ERP資料!$S:$S, (MATCH(932, 輔助計算!$E$2:$E$801, 0)+1))), "")</f>
        <v/>
      </c>
      <c r="D933" s="10">
        <f>IFERROR(IF(INDEX(ERP資料!$E:$E, (MATCH(932, 輔助計算!$E$2:$E$801, 0)+1))="","",TRIM(INDEX(ERP資料!$E:$E, (MATCH(932, 輔助計算!$E$2:$E$801, 0)+1)))), "")</f>
        <v/>
      </c>
      <c r="E933" s="10">
        <f>IFERROR(IF(INDEX(ERP資料!$F:$F, (MATCH(932, 輔助計算!$E$2:$E$801, 0)+1))="","",INDEX(ERP資料!$F:$F, (MATCH(932, 輔助計算!$E$2:$E$801, 0)+1))), "")</f>
        <v/>
      </c>
      <c r="F933" s="10">
        <f>IFERROR(IF(INDEX(ERP資料!$G:$G, (MATCH(932, 輔助計算!$E$2:$E$801, 0)+1))="","",INDEX(ERP資料!$G:$G, (MATCH(932, 輔助計算!$E$2:$E$801, 0)+1))), "")</f>
        <v/>
      </c>
      <c r="G933" s="10">
        <f>IFERROR(IF(INDEX(ERP資料!$H:$H, (MATCH(932, 輔助計算!$E$2:$E$801, 0)+1))="","",INDEX(ERP資料!$H:$H, (MATCH(932, 輔助計算!$E$2:$E$801, 0)+1))), "")</f>
        <v/>
      </c>
      <c r="H933" s="15">
        <f>IFERROR(INDEX(輔助計算!$D:$D, (MATCH(932, 輔助計算!$E$2:$E$801, 0)+1)), "")</f>
        <v/>
      </c>
      <c r="I933" s="10">
        <f>IFERROR(IF(INDEX(ERP資料!$O:$O, (MATCH(932, 輔助計算!$E$2:$E$801, 0)+1))="","",INDEX(ERP資料!$O:$O, (MATCH(932, 輔助計算!$E$2:$E$801, 0)+1))), "")</f>
        <v/>
      </c>
      <c r="J933" s="15">
        <f>IFERROR(IF(INDEX(輔助計算!$D:$D,(MATCH(932, 輔助計算!$E$2:$E$801, 0)+1))="","",INDEX(輔助計算!$D:$D,(MATCH(932, 輔助計算!$E$2:$E$801, 0)+1))*INDEX(ERP資料!$O:$O,(MATCH(932, 輔助計算!$E$2:$E$801, 0)+1))), "")</f>
        <v/>
      </c>
      <c r="K933" s="16" t="n"/>
      <c r="L933" s="16" t="n"/>
      <c r="M933" s="17" t="n"/>
    </row>
    <row r="934">
      <c r="A934" s="14">
        <f>IFERROR(IF(INDEX(ERP資料!$B:$B, (MATCH(933, 輔助計算!$E$2:$E$801, 0)+1))="","",INDEX(ERP資料!$B:$B, (MATCH(933, 輔助計算!$E$2:$E$801, 0)+1))), "")</f>
        <v/>
      </c>
      <c r="B934" s="10">
        <f>IFERROR(IF(INDEX(ERP資料!$A:$A, (MATCH(933, 輔助計算!$E$2:$E$801, 0)+1))="","",INDEX(ERP資料!$A:$A, (MATCH(933, 輔助計算!$E$2:$E$801, 0)+1))), "")</f>
        <v/>
      </c>
      <c r="C934" s="10">
        <f>IFERROR(IF(INDEX(ERP資料!$S:$S, (MATCH(933, 輔助計算!$E$2:$E$801, 0)+1))="","",INDEX(ERP資料!$S:$S, (MATCH(933, 輔助計算!$E$2:$E$801, 0)+1))), "")</f>
        <v/>
      </c>
      <c r="D934" s="10">
        <f>IFERROR(IF(INDEX(ERP資料!$E:$E, (MATCH(933, 輔助計算!$E$2:$E$801, 0)+1))="","",TRIM(INDEX(ERP資料!$E:$E, (MATCH(933, 輔助計算!$E$2:$E$801, 0)+1)))), "")</f>
        <v/>
      </c>
      <c r="E934" s="10">
        <f>IFERROR(IF(INDEX(ERP資料!$F:$F, (MATCH(933, 輔助計算!$E$2:$E$801, 0)+1))="","",INDEX(ERP資料!$F:$F, (MATCH(933, 輔助計算!$E$2:$E$801, 0)+1))), "")</f>
        <v/>
      </c>
      <c r="F934" s="10">
        <f>IFERROR(IF(INDEX(ERP資料!$G:$G, (MATCH(933, 輔助計算!$E$2:$E$801, 0)+1))="","",INDEX(ERP資料!$G:$G, (MATCH(933, 輔助計算!$E$2:$E$801, 0)+1))), "")</f>
        <v/>
      </c>
      <c r="G934" s="10">
        <f>IFERROR(IF(INDEX(ERP資料!$H:$H, (MATCH(933, 輔助計算!$E$2:$E$801, 0)+1))="","",INDEX(ERP資料!$H:$H, (MATCH(933, 輔助計算!$E$2:$E$801, 0)+1))), "")</f>
        <v/>
      </c>
      <c r="H934" s="15">
        <f>IFERROR(INDEX(輔助計算!$D:$D, (MATCH(933, 輔助計算!$E$2:$E$801, 0)+1)), "")</f>
        <v/>
      </c>
      <c r="I934" s="10">
        <f>IFERROR(IF(INDEX(ERP資料!$O:$O, (MATCH(933, 輔助計算!$E$2:$E$801, 0)+1))="","",INDEX(ERP資料!$O:$O, (MATCH(933, 輔助計算!$E$2:$E$801, 0)+1))), "")</f>
        <v/>
      </c>
      <c r="J934" s="15">
        <f>IFERROR(IF(INDEX(輔助計算!$D:$D,(MATCH(933, 輔助計算!$E$2:$E$801, 0)+1))="","",INDEX(輔助計算!$D:$D,(MATCH(933, 輔助計算!$E$2:$E$801, 0)+1))*INDEX(ERP資料!$O:$O,(MATCH(933, 輔助計算!$E$2:$E$801, 0)+1))), "")</f>
        <v/>
      </c>
      <c r="K934" s="16" t="n"/>
      <c r="L934" s="16" t="n"/>
      <c r="M934" s="17" t="n"/>
    </row>
    <row r="935">
      <c r="A935" s="14">
        <f>IFERROR(IF(INDEX(ERP資料!$B:$B, (MATCH(934, 輔助計算!$E$2:$E$801, 0)+1))="","",INDEX(ERP資料!$B:$B, (MATCH(934, 輔助計算!$E$2:$E$801, 0)+1))), "")</f>
        <v/>
      </c>
      <c r="B935" s="10">
        <f>IFERROR(IF(INDEX(ERP資料!$A:$A, (MATCH(934, 輔助計算!$E$2:$E$801, 0)+1))="","",INDEX(ERP資料!$A:$A, (MATCH(934, 輔助計算!$E$2:$E$801, 0)+1))), "")</f>
        <v/>
      </c>
      <c r="C935" s="10">
        <f>IFERROR(IF(INDEX(ERP資料!$S:$S, (MATCH(934, 輔助計算!$E$2:$E$801, 0)+1))="","",INDEX(ERP資料!$S:$S, (MATCH(934, 輔助計算!$E$2:$E$801, 0)+1))), "")</f>
        <v/>
      </c>
      <c r="D935" s="10">
        <f>IFERROR(IF(INDEX(ERP資料!$E:$E, (MATCH(934, 輔助計算!$E$2:$E$801, 0)+1))="","",TRIM(INDEX(ERP資料!$E:$E, (MATCH(934, 輔助計算!$E$2:$E$801, 0)+1)))), "")</f>
        <v/>
      </c>
      <c r="E935" s="10">
        <f>IFERROR(IF(INDEX(ERP資料!$F:$F, (MATCH(934, 輔助計算!$E$2:$E$801, 0)+1))="","",INDEX(ERP資料!$F:$F, (MATCH(934, 輔助計算!$E$2:$E$801, 0)+1))), "")</f>
        <v/>
      </c>
      <c r="F935" s="10">
        <f>IFERROR(IF(INDEX(ERP資料!$G:$G, (MATCH(934, 輔助計算!$E$2:$E$801, 0)+1))="","",INDEX(ERP資料!$G:$G, (MATCH(934, 輔助計算!$E$2:$E$801, 0)+1))), "")</f>
        <v/>
      </c>
      <c r="G935" s="10">
        <f>IFERROR(IF(INDEX(ERP資料!$H:$H, (MATCH(934, 輔助計算!$E$2:$E$801, 0)+1))="","",INDEX(ERP資料!$H:$H, (MATCH(934, 輔助計算!$E$2:$E$801, 0)+1))), "")</f>
        <v/>
      </c>
      <c r="H935" s="15">
        <f>IFERROR(INDEX(輔助計算!$D:$D, (MATCH(934, 輔助計算!$E$2:$E$801, 0)+1)), "")</f>
        <v/>
      </c>
      <c r="I935" s="10">
        <f>IFERROR(IF(INDEX(ERP資料!$O:$O, (MATCH(934, 輔助計算!$E$2:$E$801, 0)+1))="","",INDEX(ERP資料!$O:$O, (MATCH(934, 輔助計算!$E$2:$E$801, 0)+1))), "")</f>
        <v/>
      </c>
      <c r="J935" s="15">
        <f>IFERROR(IF(INDEX(輔助計算!$D:$D,(MATCH(934, 輔助計算!$E$2:$E$801, 0)+1))="","",INDEX(輔助計算!$D:$D,(MATCH(934, 輔助計算!$E$2:$E$801, 0)+1))*INDEX(ERP資料!$O:$O,(MATCH(934, 輔助計算!$E$2:$E$801, 0)+1))), "")</f>
        <v/>
      </c>
      <c r="K935" s="16" t="n"/>
      <c r="L935" s="16" t="n"/>
      <c r="M935" s="17" t="n"/>
    </row>
    <row r="936">
      <c r="A936" s="14">
        <f>IFERROR(IF(INDEX(ERP資料!$B:$B, (MATCH(935, 輔助計算!$E$2:$E$801, 0)+1))="","",INDEX(ERP資料!$B:$B, (MATCH(935, 輔助計算!$E$2:$E$801, 0)+1))), "")</f>
        <v/>
      </c>
      <c r="B936" s="10">
        <f>IFERROR(IF(INDEX(ERP資料!$A:$A, (MATCH(935, 輔助計算!$E$2:$E$801, 0)+1))="","",INDEX(ERP資料!$A:$A, (MATCH(935, 輔助計算!$E$2:$E$801, 0)+1))), "")</f>
        <v/>
      </c>
      <c r="C936" s="10">
        <f>IFERROR(IF(INDEX(ERP資料!$S:$S, (MATCH(935, 輔助計算!$E$2:$E$801, 0)+1))="","",INDEX(ERP資料!$S:$S, (MATCH(935, 輔助計算!$E$2:$E$801, 0)+1))), "")</f>
        <v/>
      </c>
      <c r="D936" s="10">
        <f>IFERROR(IF(INDEX(ERP資料!$E:$E, (MATCH(935, 輔助計算!$E$2:$E$801, 0)+1))="","",TRIM(INDEX(ERP資料!$E:$E, (MATCH(935, 輔助計算!$E$2:$E$801, 0)+1)))), "")</f>
        <v/>
      </c>
      <c r="E936" s="10">
        <f>IFERROR(IF(INDEX(ERP資料!$F:$F, (MATCH(935, 輔助計算!$E$2:$E$801, 0)+1))="","",INDEX(ERP資料!$F:$F, (MATCH(935, 輔助計算!$E$2:$E$801, 0)+1))), "")</f>
        <v/>
      </c>
      <c r="F936" s="10">
        <f>IFERROR(IF(INDEX(ERP資料!$G:$G, (MATCH(935, 輔助計算!$E$2:$E$801, 0)+1))="","",INDEX(ERP資料!$G:$G, (MATCH(935, 輔助計算!$E$2:$E$801, 0)+1))), "")</f>
        <v/>
      </c>
      <c r="G936" s="10">
        <f>IFERROR(IF(INDEX(ERP資料!$H:$H, (MATCH(935, 輔助計算!$E$2:$E$801, 0)+1))="","",INDEX(ERP資料!$H:$H, (MATCH(935, 輔助計算!$E$2:$E$801, 0)+1))), "")</f>
        <v/>
      </c>
      <c r="H936" s="15">
        <f>IFERROR(INDEX(輔助計算!$D:$D, (MATCH(935, 輔助計算!$E$2:$E$801, 0)+1)), "")</f>
        <v/>
      </c>
      <c r="I936" s="10">
        <f>IFERROR(IF(INDEX(ERP資料!$O:$O, (MATCH(935, 輔助計算!$E$2:$E$801, 0)+1))="","",INDEX(ERP資料!$O:$O, (MATCH(935, 輔助計算!$E$2:$E$801, 0)+1))), "")</f>
        <v/>
      </c>
      <c r="J936" s="15">
        <f>IFERROR(IF(INDEX(輔助計算!$D:$D,(MATCH(935, 輔助計算!$E$2:$E$801, 0)+1))="","",INDEX(輔助計算!$D:$D,(MATCH(935, 輔助計算!$E$2:$E$801, 0)+1))*INDEX(ERP資料!$O:$O,(MATCH(935, 輔助計算!$E$2:$E$801, 0)+1))), "")</f>
        <v/>
      </c>
      <c r="K936" s="16" t="n"/>
      <c r="L936" s="16" t="n"/>
      <c r="M936" s="17" t="n"/>
    </row>
    <row r="937">
      <c r="A937" s="14">
        <f>IFERROR(IF(INDEX(ERP資料!$B:$B, (MATCH(936, 輔助計算!$E$2:$E$801, 0)+1))="","",INDEX(ERP資料!$B:$B, (MATCH(936, 輔助計算!$E$2:$E$801, 0)+1))), "")</f>
        <v/>
      </c>
      <c r="B937" s="10">
        <f>IFERROR(IF(INDEX(ERP資料!$A:$A, (MATCH(936, 輔助計算!$E$2:$E$801, 0)+1))="","",INDEX(ERP資料!$A:$A, (MATCH(936, 輔助計算!$E$2:$E$801, 0)+1))), "")</f>
        <v/>
      </c>
      <c r="C937" s="10">
        <f>IFERROR(IF(INDEX(ERP資料!$S:$S, (MATCH(936, 輔助計算!$E$2:$E$801, 0)+1))="","",INDEX(ERP資料!$S:$S, (MATCH(936, 輔助計算!$E$2:$E$801, 0)+1))), "")</f>
        <v/>
      </c>
      <c r="D937" s="10">
        <f>IFERROR(IF(INDEX(ERP資料!$E:$E, (MATCH(936, 輔助計算!$E$2:$E$801, 0)+1))="","",TRIM(INDEX(ERP資料!$E:$E, (MATCH(936, 輔助計算!$E$2:$E$801, 0)+1)))), "")</f>
        <v/>
      </c>
      <c r="E937" s="10">
        <f>IFERROR(IF(INDEX(ERP資料!$F:$F, (MATCH(936, 輔助計算!$E$2:$E$801, 0)+1))="","",INDEX(ERP資料!$F:$F, (MATCH(936, 輔助計算!$E$2:$E$801, 0)+1))), "")</f>
        <v/>
      </c>
      <c r="F937" s="10">
        <f>IFERROR(IF(INDEX(ERP資料!$G:$G, (MATCH(936, 輔助計算!$E$2:$E$801, 0)+1))="","",INDEX(ERP資料!$G:$G, (MATCH(936, 輔助計算!$E$2:$E$801, 0)+1))), "")</f>
        <v/>
      </c>
      <c r="G937" s="10">
        <f>IFERROR(IF(INDEX(ERP資料!$H:$H, (MATCH(936, 輔助計算!$E$2:$E$801, 0)+1))="","",INDEX(ERP資料!$H:$H, (MATCH(936, 輔助計算!$E$2:$E$801, 0)+1))), "")</f>
        <v/>
      </c>
      <c r="H937" s="15">
        <f>IFERROR(INDEX(輔助計算!$D:$D, (MATCH(936, 輔助計算!$E$2:$E$801, 0)+1)), "")</f>
        <v/>
      </c>
      <c r="I937" s="10">
        <f>IFERROR(IF(INDEX(ERP資料!$O:$O, (MATCH(936, 輔助計算!$E$2:$E$801, 0)+1))="","",INDEX(ERP資料!$O:$O, (MATCH(936, 輔助計算!$E$2:$E$801, 0)+1))), "")</f>
        <v/>
      </c>
      <c r="J937" s="15">
        <f>IFERROR(IF(INDEX(輔助計算!$D:$D,(MATCH(936, 輔助計算!$E$2:$E$801, 0)+1))="","",INDEX(輔助計算!$D:$D,(MATCH(936, 輔助計算!$E$2:$E$801, 0)+1))*INDEX(ERP資料!$O:$O,(MATCH(936, 輔助計算!$E$2:$E$801, 0)+1))), "")</f>
        <v/>
      </c>
      <c r="K937" s="16" t="n"/>
      <c r="L937" s="16" t="n"/>
      <c r="M937" s="17" t="n"/>
    </row>
    <row r="938">
      <c r="A938" s="14">
        <f>IFERROR(IF(INDEX(ERP資料!$B:$B, (MATCH(937, 輔助計算!$E$2:$E$801, 0)+1))="","",INDEX(ERP資料!$B:$B, (MATCH(937, 輔助計算!$E$2:$E$801, 0)+1))), "")</f>
        <v/>
      </c>
      <c r="B938" s="10">
        <f>IFERROR(IF(INDEX(ERP資料!$A:$A, (MATCH(937, 輔助計算!$E$2:$E$801, 0)+1))="","",INDEX(ERP資料!$A:$A, (MATCH(937, 輔助計算!$E$2:$E$801, 0)+1))), "")</f>
        <v/>
      </c>
      <c r="C938" s="10">
        <f>IFERROR(IF(INDEX(ERP資料!$S:$S, (MATCH(937, 輔助計算!$E$2:$E$801, 0)+1))="","",INDEX(ERP資料!$S:$S, (MATCH(937, 輔助計算!$E$2:$E$801, 0)+1))), "")</f>
        <v/>
      </c>
      <c r="D938" s="10">
        <f>IFERROR(IF(INDEX(ERP資料!$E:$E, (MATCH(937, 輔助計算!$E$2:$E$801, 0)+1))="","",TRIM(INDEX(ERP資料!$E:$E, (MATCH(937, 輔助計算!$E$2:$E$801, 0)+1)))), "")</f>
        <v/>
      </c>
      <c r="E938" s="10">
        <f>IFERROR(IF(INDEX(ERP資料!$F:$F, (MATCH(937, 輔助計算!$E$2:$E$801, 0)+1))="","",INDEX(ERP資料!$F:$F, (MATCH(937, 輔助計算!$E$2:$E$801, 0)+1))), "")</f>
        <v/>
      </c>
      <c r="F938" s="10">
        <f>IFERROR(IF(INDEX(ERP資料!$G:$G, (MATCH(937, 輔助計算!$E$2:$E$801, 0)+1))="","",INDEX(ERP資料!$G:$G, (MATCH(937, 輔助計算!$E$2:$E$801, 0)+1))), "")</f>
        <v/>
      </c>
      <c r="G938" s="10">
        <f>IFERROR(IF(INDEX(ERP資料!$H:$H, (MATCH(937, 輔助計算!$E$2:$E$801, 0)+1))="","",INDEX(ERP資料!$H:$H, (MATCH(937, 輔助計算!$E$2:$E$801, 0)+1))), "")</f>
        <v/>
      </c>
      <c r="H938" s="15">
        <f>IFERROR(INDEX(輔助計算!$D:$D, (MATCH(937, 輔助計算!$E$2:$E$801, 0)+1)), "")</f>
        <v/>
      </c>
      <c r="I938" s="10">
        <f>IFERROR(IF(INDEX(ERP資料!$O:$O, (MATCH(937, 輔助計算!$E$2:$E$801, 0)+1))="","",INDEX(ERP資料!$O:$O, (MATCH(937, 輔助計算!$E$2:$E$801, 0)+1))), "")</f>
        <v/>
      </c>
      <c r="J938" s="15">
        <f>IFERROR(IF(INDEX(輔助計算!$D:$D,(MATCH(937, 輔助計算!$E$2:$E$801, 0)+1))="","",INDEX(輔助計算!$D:$D,(MATCH(937, 輔助計算!$E$2:$E$801, 0)+1))*INDEX(ERP資料!$O:$O,(MATCH(937, 輔助計算!$E$2:$E$801, 0)+1))), "")</f>
        <v/>
      </c>
      <c r="K938" s="16" t="n"/>
      <c r="L938" s="16" t="n"/>
      <c r="M938" s="17" t="n"/>
    </row>
    <row r="939">
      <c r="A939" s="14">
        <f>IFERROR(IF(INDEX(ERP資料!$B:$B, (MATCH(938, 輔助計算!$E$2:$E$801, 0)+1))="","",INDEX(ERP資料!$B:$B, (MATCH(938, 輔助計算!$E$2:$E$801, 0)+1))), "")</f>
        <v/>
      </c>
      <c r="B939" s="10">
        <f>IFERROR(IF(INDEX(ERP資料!$A:$A, (MATCH(938, 輔助計算!$E$2:$E$801, 0)+1))="","",INDEX(ERP資料!$A:$A, (MATCH(938, 輔助計算!$E$2:$E$801, 0)+1))), "")</f>
        <v/>
      </c>
      <c r="C939" s="10">
        <f>IFERROR(IF(INDEX(ERP資料!$S:$S, (MATCH(938, 輔助計算!$E$2:$E$801, 0)+1))="","",INDEX(ERP資料!$S:$S, (MATCH(938, 輔助計算!$E$2:$E$801, 0)+1))), "")</f>
        <v/>
      </c>
      <c r="D939" s="10">
        <f>IFERROR(IF(INDEX(ERP資料!$E:$E, (MATCH(938, 輔助計算!$E$2:$E$801, 0)+1))="","",TRIM(INDEX(ERP資料!$E:$E, (MATCH(938, 輔助計算!$E$2:$E$801, 0)+1)))), "")</f>
        <v/>
      </c>
      <c r="E939" s="10">
        <f>IFERROR(IF(INDEX(ERP資料!$F:$F, (MATCH(938, 輔助計算!$E$2:$E$801, 0)+1))="","",INDEX(ERP資料!$F:$F, (MATCH(938, 輔助計算!$E$2:$E$801, 0)+1))), "")</f>
        <v/>
      </c>
      <c r="F939" s="10">
        <f>IFERROR(IF(INDEX(ERP資料!$G:$G, (MATCH(938, 輔助計算!$E$2:$E$801, 0)+1))="","",INDEX(ERP資料!$G:$G, (MATCH(938, 輔助計算!$E$2:$E$801, 0)+1))), "")</f>
        <v/>
      </c>
      <c r="G939" s="10">
        <f>IFERROR(IF(INDEX(ERP資料!$H:$H, (MATCH(938, 輔助計算!$E$2:$E$801, 0)+1))="","",INDEX(ERP資料!$H:$H, (MATCH(938, 輔助計算!$E$2:$E$801, 0)+1))), "")</f>
        <v/>
      </c>
      <c r="H939" s="15">
        <f>IFERROR(INDEX(輔助計算!$D:$D, (MATCH(938, 輔助計算!$E$2:$E$801, 0)+1)), "")</f>
        <v/>
      </c>
      <c r="I939" s="10">
        <f>IFERROR(IF(INDEX(ERP資料!$O:$O, (MATCH(938, 輔助計算!$E$2:$E$801, 0)+1))="","",INDEX(ERP資料!$O:$O, (MATCH(938, 輔助計算!$E$2:$E$801, 0)+1))), "")</f>
        <v/>
      </c>
      <c r="J939" s="15">
        <f>IFERROR(IF(INDEX(輔助計算!$D:$D,(MATCH(938, 輔助計算!$E$2:$E$801, 0)+1))="","",INDEX(輔助計算!$D:$D,(MATCH(938, 輔助計算!$E$2:$E$801, 0)+1))*INDEX(ERP資料!$O:$O,(MATCH(938, 輔助計算!$E$2:$E$801, 0)+1))), "")</f>
        <v/>
      </c>
      <c r="K939" s="16" t="n"/>
      <c r="L939" s="16" t="n"/>
      <c r="M939" s="17" t="n"/>
    </row>
    <row r="940">
      <c r="A940" s="14">
        <f>IFERROR(IF(INDEX(ERP資料!$B:$B, (MATCH(939, 輔助計算!$E$2:$E$801, 0)+1))="","",INDEX(ERP資料!$B:$B, (MATCH(939, 輔助計算!$E$2:$E$801, 0)+1))), "")</f>
        <v/>
      </c>
      <c r="B940" s="10">
        <f>IFERROR(IF(INDEX(ERP資料!$A:$A, (MATCH(939, 輔助計算!$E$2:$E$801, 0)+1))="","",INDEX(ERP資料!$A:$A, (MATCH(939, 輔助計算!$E$2:$E$801, 0)+1))), "")</f>
        <v/>
      </c>
      <c r="C940" s="10">
        <f>IFERROR(IF(INDEX(ERP資料!$S:$S, (MATCH(939, 輔助計算!$E$2:$E$801, 0)+1))="","",INDEX(ERP資料!$S:$S, (MATCH(939, 輔助計算!$E$2:$E$801, 0)+1))), "")</f>
        <v/>
      </c>
      <c r="D940" s="10">
        <f>IFERROR(IF(INDEX(ERP資料!$E:$E, (MATCH(939, 輔助計算!$E$2:$E$801, 0)+1))="","",TRIM(INDEX(ERP資料!$E:$E, (MATCH(939, 輔助計算!$E$2:$E$801, 0)+1)))), "")</f>
        <v/>
      </c>
      <c r="E940" s="10">
        <f>IFERROR(IF(INDEX(ERP資料!$F:$F, (MATCH(939, 輔助計算!$E$2:$E$801, 0)+1))="","",INDEX(ERP資料!$F:$F, (MATCH(939, 輔助計算!$E$2:$E$801, 0)+1))), "")</f>
        <v/>
      </c>
      <c r="F940" s="10">
        <f>IFERROR(IF(INDEX(ERP資料!$G:$G, (MATCH(939, 輔助計算!$E$2:$E$801, 0)+1))="","",INDEX(ERP資料!$G:$G, (MATCH(939, 輔助計算!$E$2:$E$801, 0)+1))), "")</f>
        <v/>
      </c>
      <c r="G940" s="10">
        <f>IFERROR(IF(INDEX(ERP資料!$H:$H, (MATCH(939, 輔助計算!$E$2:$E$801, 0)+1))="","",INDEX(ERP資料!$H:$H, (MATCH(939, 輔助計算!$E$2:$E$801, 0)+1))), "")</f>
        <v/>
      </c>
      <c r="H940" s="15">
        <f>IFERROR(INDEX(輔助計算!$D:$D, (MATCH(939, 輔助計算!$E$2:$E$801, 0)+1)), "")</f>
        <v/>
      </c>
      <c r="I940" s="10">
        <f>IFERROR(IF(INDEX(ERP資料!$O:$O, (MATCH(939, 輔助計算!$E$2:$E$801, 0)+1))="","",INDEX(ERP資料!$O:$O, (MATCH(939, 輔助計算!$E$2:$E$801, 0)+1))), "")</f>
        <v/>
      </c>
      <c r="J940" s="15">
        <f>IFERROR(IF(INDEX(輔助計算!$D:$D,(MATCH(939, 輔助計算!$E$2:$E$801, 0)+1))="","",INDEX(輔助計算!$D:$D,(MATCH(939, 輔助計算!$E$2:$E$801, 0)+1))*INDEX(ERP資料!$O:$O,(MATCH(939, 輔助計算!$E$2:$E$801, 0)+1))), "")</f>
        <v/>
      </c>
      <c r="K940" s="16" t="n"/>
      <c r="L940" s="16" t="n"/>
      <c r="M940" s="17" t="n"/>
    </row>
    <row r="941">
      <c r="A941" s="14">
        <f>IFERROR(IF(INDEX(ERP資料!$B:$B, (MATCH(940, 輔助計算!$E$2:$E$801, 0)+1))="","",INDEX(ERP資料!$B:$B, (MATCH(940, 輔助計算!$E$2:$E$801, 0)+1))), "")</f>
        <v/>
      </c>
      <c r="B941" s="10">
        <f>IFERROR(IF(INDEX(ERP資料!$A:$A, (MATCH(940, 輔助計算!$E$2:$E$801, 0)+1))="","",INDEX(ERP資料!$A:$A, (MATCH(940, 輔助計算!$E$2:$E$801, 0)+1))), "")</f>
        <v/>
      </c>
      <c r="C941" s="10">
        <f>IFERROR(IF(INDEX(ERP資料!$S:$S, (MATCH(940, 輔助計算!$E$2:$E$801, 0)+1))="","",INDEX(ERP資料!$S:$S, (MATCH(940, 輔助計算!$E$2:$E$801, 0)+1))), "")</f>
        <v/>
      </c>
      <c r="D941" s="10">
        <f>IFERROR(IF(INDEX(ERP資料!$E:$E, (MATCH(940, 輔助計算!$E$2:$E$801, 0)+1))="","",TRIM(INDEX(ERP資料!$E:$E, (MATCH(940, 輔助計算!$E$2:$E$801, 0)+1)))), "")</f>
        <v/>
      </c>
      <c r="E941" s="10">
        <f>IFERROR(IF(INDEX(ERP資料!$F:$F, (MATCH(940, 輔助計算!$E$2:$E$801, 0)+1))="","",INDEX(ERP資料!$F:$F, (MATCH(940, 輔助計算!$E$2:$E$801, 0)+1))), "")</f>
        <v/>
      </c>
      <c r="F941" s="10">
        <f>IFERROR(IF(INDEX(ERP資料!$G:$G, (MATCH(940, 輔助計算!$E$2:$E$801, 0)+1))="","",INDEX(ERP資料!$G:$G, (MATCH(940, 輔助計算!$E$2:$E$801, 0)+1))), "")</f>
        <v/>
      </c>
      <c r="G941" s="10">
        <f>IFERROR(IF(INDEX(ERP資料!$H:$H, (MATCH(940, 輔助計算!$E$2:$E$801, 0)+1))="","",INDEX(ERP資料!$H:$H, (MATCH(940, 輔助計算!$E$2:$E$801, 0)+1))), "")</f>
        <v/>
      </c>
      <c r="H941" s="15">
        <f>IFERROR(INDEX(輔助計算!$D:$D, (MATCH(940, 輔助計算!$E$2:$E$801, 0)+1)), "")</f>
        <v/>
      </c>
      <c r="I941" s="10">
        <f>IFERROR(IF(INDEX(ERP資料!$O:$O, (MATCH(940, 輔助計算!$E$2:$E$801, 0)+1))="","",INDEX(ERP資料!$O:$O, (MATCH(940, 輔助計算!$E$2:$E$801, 0)+1))), "")</f>
        <v/>
      </c>
      <c r="J941" s="15">
        <f>IFERROR(IF(INDEX(輔助計算!$D:$D,(MATCH(940, 輔助計算!$E$2:$E$801, 0)+1))="","",INDEX(輔助計算!$D:$D,(MATCH(940, 輔助計算!$E$2:$E$801, 0)+1))*INDEX(ERP資料!$O:$O,(MATCH(940, 輔助計算!$E$2:$E$801, 0)+1))), "")</f>
        <v/>
      </c>
      <c r="K941" s="16" t="n"/>
      <c r="L941" s="16" t="n"/>
      <c r="M941" s="17" t="n"/>
    </row>
    <row r="942">
      <c r="A942" s="14">
        <f>IFERROR(IF(INDEX(ERP資料!$B:$B, (MATCH(941, 輔助計算!$E$2:$E$801, 0)+1))="","",INDEX(ERP資料!$B:$B, (MATCH(941, 輔助計算!$E$2:$E$801, 0)+1))), "")</f>
        <v/>
      </c>
      <c r="B942" s="10">
        <f>IFERROR(IF(INDEX(ERP資料!$A:$A, (MATCH(941, 輔助計算!$E$2:$E$801, 0)+1))="","",INDEX(ERP資料!$A:$A, (MATCH(941, 輔助計算!$E$2:$E$801, 0)+1))), "")</f>
        <v/>
      </c>
      <c r="C942" s="10">
        <f>IFERROR(IF(INDEX(ERP資料!$S:$S, (MATCH(941, 輔助計算!$E$2:$E$801, 0)+1))="","",INDEX(ERP資料!$S:$S, (MATCH(941, 輔助計算!$E$2:$E$801, 0)+1))), "")</f>
        <v/>
      </c>
      <c r="D942" s="10">
        <f>IFERROR(IF(INDEX(ERP資料!$E:$E, (MATCH(941, 輔助計算!$E$2:$E$801, 0)+1))="","",TRIM(INDEX(ERP資料!$E:$E, (MATCH(941, 輔助計算!$E$2:$E$801, 0)+1)))), "")</f>
        <v/>
      </c>
      <c r="E942" s="10">
        <f>IFERROR(IF(INDEX(ERP資料!$F:$F, (MATCH(941, 輔助計算!$E$2:$E$801, 0)+1))="","",INDEX(ERP資料!$F:$F, (MATCH(941, 輔助計算!$E$2:$E$801, 0)+1))), "")</f>
        <v/>
      </c>
      <c r="F942" s="10">
        <f>IFERROR(IF(INDEX(ERP資料!$G:$G, (MATCH(941, 輔助計算!$E$2:$E$801, 0)+1))="","",INDEX(ERP資料!$G:$G, (MATCH(941, 輔助計算!$E$2:$E$801, 0)+1))), "")</f>
        <v/>
      </c>
      <c r="G942" s="10">
        <f>IFERROR(IF(INDEX(ERP資料!$H:$H, (MATCH(941, 輔助計算!$E$2:$E$801, 0)+1))="","",INDEX(ERP資料!$H:$H, (MATCH(941, 輔助計算!$E$2:$E$801, 0)+1))), "")</f>
        <v/>
      </c>
      <c r="H942" s="15">
        <f>IFERROR(INDEX(輔助計算!$D:$D, (MATCH(941, 輔助計算!$E$2:$E$801, 0)+1)), "")</f>
        <v/>
      </c>
      <c r="I942" s="10">
        <f>IFERROR(IF(INDEX(ERP資料!$O:$O, (MATCH(941, 輔助計算!$E$2:$E$801, 0)+1))="","",INDEX(ERP資料!$O:$O, (MATCH(941, 輔助計算!$E$2:$E$801, 0)+1))), "")</f>
        <v/>
      </c>
      <c r="J942" s="15">
        <f>IFERROR(IF(INDEX(輔助計算!$D:$D,(MATCH(941, 輔助計算!$E$2:$E$801, 0)+1))="","",INDEX(輔助計算!$D:$D,(MATCH(941, 輔助計算!$E$2:$E$801, 0)+1))*INDEX(ERP資料!$O:$O,(MATCH(941, 輔助計算!$E$2:$E$801, 0)+1))), "")</f>
        <v/>
      </c>
      <c r="K942" s="16" t="n"/>
      <c r="L942" s="16" t="n"/>
      <c r="M942" s="17" t="n"/>
    </row>
    <row r="943">
      <c r="A943" s="14">
        <f>IFERROR(IF(INDEX(ERP資料!$B:$B, (MATCH(942, 輔助計算!$E$2:$E$801, 0)+1))="","",INDEX(ERP資料!$B:$B, (MATCH(942, 輔助計算!$E$2:$E$801, 0)+1))), "")</f>
        <v/>
      </c>
      <c r="B943" s="10">
        <f>IFERROR(IF(INDEX(ERP資料!$A:$A, (MATCH(942, 輔助計算!$E$2:$E$801, 0)+1))="","",INDEX(ERP資料!$A:$A, (MATCH(942, 輔助計算!$E$2:$E$801, 0)+1))), "")</f>
        <v/>
      </c>
      <c r="C943" s="10">
        <f>IFERROR(IF(INDEX(ERP資料!$S:$S, (MATCH(942, 輔助計算!$E$2:$E$801, 0)+1))="","",INDEX(ERP資料!$S:$S, (MATCH(942, 輔助計算!$E$2:$E$801, 0)+1))), "")</f>
        <v/>
      </c>
      <c r="D943" s="10">
        <f>IFERROR(IF(INDEX(ERP資料!$E:$E, (MATCH(942, 輔助計算!$E$2:$E$801, 0)+1))="","",TRIM(INDEX(ERP資料!$E:$E, (MATCH(942, 輔助計算!$E$2:$E$801, 0)+1)))), "")</f>
        <v/>
      </c>
      <c r="E943" s="10">
        <f>IFERROR(IF(INDEX(ERP資料!$F:$F, (MATCH(942, 輔助計算!$E$2:$E$801, 0)+1))="","",INDEX(ERP資料!$F:$F, (MATCH(942, 輔助計算!$E$2:$E$801, 0)+1))), "")</f>
        <v/>
      </c>
      <c r="F943" s="10">
        <f>IFERROR(IF(INDEX(ERP資料!$G:$G, (MATCH(942, 輔助計算!$E$2:$E$801, 0)+1))="","",INDEX(ERP資料!$G:$G, (MATCH(942, 輔助計算!$E$2:$E$801, 0)+1))), "")</f>
        <v/>
      </c>
      <c r="G943" s="10">
        <f>IFERROR(IF(INDEX(ERP資料!$H:$H, (MATCH(942, 輔助計算!$E$2:$E$801, 0)+1))="","",INDEX(ERP資料!$H:$H, (MATCH(942, 輔助計算!$E$2:$E$801, 0)+1))), "")</f>
        <v/>
      </c>
      <c r="H943" s="15">
        <f>IFERROR(INDEX(輔助計算!$D:$D, (MATCH(942, 輔助計算!$E$2:$E$801, 0)+1)), "")</f>
        <v/>
      </c>
      <c r="I943" s="10">
        <f>IFERROR(IF(INDEX(ERP資料!$O:$O, (MATCH(942, 輔助計算!$E$2:$E$801, 0)+1))="","",INDEX(ERP資料!$O:$O, (MATCH(942, 輔助計算!$E$2:$E$801, 0)+1))), "")</f>
        <v/>
      </c>
      <c r="J943" s="15">
        <f>IFERROR(IF(INDEX(輔助計算!$D:$D,(MATCH(942, 輔助計算!$E$2:$E$801, 0)+1))="","",INDEX(輔助計算!$D:$D,(MATCH(942, 輔助計算!$E$2:$E$801, 0)+1))*INDEX(ERP資料!$O:$O,(MATCH(942, 輔助計算!$E$2:$E$801, 0)+1))), "")</f>
        <v/>
      </c>
      <c r="K943" s="16" t="n"/>
      <c r="L943" s="16" t="n"/>
      <c r="M943" s="17" t="n"/>
    </row>
    <row r="944">
      <c r="A944" s="14">
        <f>IFERROR(IF(INDEX(ERP資料!$B:$B, (MATCH(943, 輔助計算!$E$2:$E$801, 0)+1))="","",INDEX(ERP資料!$B:$B, (MATCH(943, 輔助計算!$E$2:$E$801, 0)+1))), "")</f>
        <v/>
      </c>
      <c r="B944" s="10">
        <f>IFERROR(IF(INDEX(ERP資料!$A:$A, (MATCH(943, 輔助計算!$E$2:$E$801, 0)+1))="","",INDEX(ERP資料!$A:$A, (MATCH(943, 輔助計算!$E$2:$E$801, 0)+1))), "")</f>
        <v/>
      </c>
      <c r="C944" s="10">
        <f>IFERROR(IF(INDEX(ERP資料!$S:$S, (MATCH(943, 輔助計算!$E$2:$E$801, 0)+1))="","",INDEX(ERP資料!$S:$S, (MATCH(943, 輔助計算!$E$2:$E$801, 0)+1))), "")</f>
        <v/>
      </c>
      <c r="D944" s="10">
        <f>IFERROR(IF(INDEX(ERP資料!$E:$E, (MATCH(943, 輔助計算!$E$2:$E$801, 0)+1))="","",TRIM(INDEX(ERP資料!$E:$E, (MATCH(943, 輔助計算!$E$2:$E$801, 0)+1)))), "")</f>
        <v/>
      </c>
      <c r="E944" s="10">
        <f>IFERROR(IF(INDEX(ERP資料!$F:$F, (MATCH(943, 輔助計算!$E$2:$E$801, 0)+1))="","",INDEX(ERP資料!$F:$F, (MATCH(943, 輔助計算!$E$2:$E$801, 0)+1))), "")</f>
        <v/>
      </c>
      <c r="F944" s="10">
        <f>IFERROR(IF(INDEX(ERP資料!$G:$G, (MATCH(943, 輔助計算!$E$2:$E$801, 0)+1))="","",INDEX(ERP資料!$G:$G, (MATCH(943, 輔助計算!$E$2:$E$801, 0)+1))), "")</f>
        <v/>
      </c>
      <c r="G944" s="10">
        <f>IFERROR(IF(INDEX(ERP資料!$H:$H, (MATCH(943, 輔助計算!$E$2:$E$801, 0)+1))="","",INDEX(ERP資料!$H:$H, (MATCH(943, 輔助計算!$E$2:$E$801, 0)+1))), "")</f>
        <v/>
      </c>
      <c r="H944" s="15">
        <f>IFERROR(INDEX(輔助計算!$D:$D, (MATCH(943, 輔助計算!$E$2:$E$801, 0)+1)), "")</f>
        <v/>
      </c>
      <c r="I944" s="10">
        <f>IFERROR(IF(INDEX(ERP資料!$O:$O, (MATCH(943, 輔助計算!$E$2:$E$801, 0)+1))="","",INDEX(ERP資料!$O:$O, (MATCH(943, 輔助計算!$E$2:$E$801, 0)+1))), "")</f>
        <v/>
      </c>
      <c r="J944" s="15">
        <f>IFERROR(IF(INDEX(輔助計算!$D:$D,(MATCH(943, 輔助計算!$E$2:$E$801, 0)+1))="","",INDEX(輔助計算!$D:$D,(MATCH(943, 輔助計算!$E$2:$E$801, 0)+1))*INDEX(ERP資料!$O:$O,(MATCH(943, 輔助計算!$E$2:$E$801, 0)+1))), "")</f>
        <v/>
      </c>
      <c r="K944" s="16" t="n"/>
      <c r="L944" s="16" t="n"/>
      <c r="M944" s="17" t="n"/>
    </row>
    <row r="945">
      <c r="A945" s="14">
        <f>IFERROR(IF(INDEX(ERP資料!$B:$B, (MATCH(944, 輔助計算!$E$2:$E$801, 0)+1))="","",INDEX(ERP資料!$B:$B, (MATCH(944, 輔助計算!$E$2:$E$801, 0)+1))), "")</f>
        <v/>
      </c>
      <c r="B945" s="10">
        <f>IFERROR(IF(INDEX(ERP資料!$A:$A, (MATCH(944, 輔助計算!$E$2:$E$801, 0)+1))="","",INDEX(ERP資料!$A:$A, (MATCH(944, 輔助計算!$E$2:$E$801, 0)+1))), "")</f>
        <v/>
      </c>
      <c r="C945" s="10">
        <f>IFERROR(IF(INDEX(ERP資料!$S:$S, (MATCH(944, 輔助計算!$E$2:$E$801, 0)+1))="","",INDEX(ERP資料!$S:$S, (MATCH(944, 輔助計算!$E$2:$E$801, 0)+1))), "")</f>
        <v/>
      </c>
      <c r="D945" s="10">
        <f>IFERROR(IF(INDEX(ERP資料!$E:$E, (MATCH(944, 輔助計算!$E$2:$E$801, 0)+1))="","",TRIM(INDEX(ERP資料!$E:$E, (MATCH(944, 輔助計算!$E$2:$E$801, 0)+1)))), "")</f>
        <v/>
      </c>
      <c r="E945" s="10">
        <f>IFERROR(IF(INDEX(ERP資料!$F:$F, (MATCH(944, 輔助計算!$E$2:$E$801, 0)+1))="","",INDEX(ERP資料!$F:$F, (MATCH(944, 輔助計算!$E$2:$E$801, 0)+1))), "")</f>
        <v/>
      </c>
      <c r="F945" s="10">
        <f>IFERROR(IF(INDEX(ERP資料!$G:$G, (MATCH(944, 輔助計算!$E$2:$E$801, 0)+1))="","",INDEX(ERP資料!$G:$G, (MATCH(944, 輔助計算!$E$2:$E$801, 0)+1))), "")</f>
        <v/>
      </c>
      <c r="G945" s="10">
        <f>IFERROR(IF(INDEX(ERP資料!$H:$H, (MATCH(944, 輔助計算!$E$2:$E$801, 0)+1))="","",INDEX(ERP資料!$H:$H, (MATCH(944, 輔助計算!$E$2:$E$801, 0)+1))), "")</f>
        <v/>
      </c>
      <c r="H945" s="15">
        <f>IFERROR(INDEX(輔助計算!$D:$D, (MATCH(944, 輔助計算!$E$2:$E$801, 0)+1)), "")</f>
        <v/>
      </c>
      <c r="I945" s="10">
        <f>IFERROR(IF(INDEX(ERP資料!$O:$O, (MATCH(944, 輔助計算!$E$2:$E$801, 0)+1))="","",INDEX(ERP資料!$O:$O, (MATCH(944, 輔助計算!$E$2:$E$801, 0)+1))), "")</f>
        <v/>
      </c>
      <c r="J945" s="15">
        <f>IFERROR(IF(INDEX(輔助計算!$D:$D,(MATCH(944, 輔助計算!$E$2:$E$801, 0)+1))="","",INDEX(輔助計算!$D:$D,(MATCH(944, 輔助計算!$E$2:$E$801, 0)+1))*INDEX(ERP資料!$O:$O,(MATCH(944, 輔助計算!$E$2:$E$801, 0)+1))), "")</f>
        <v/>
      </c>
      <c r="K945" s="16" t="n"/>
      <c r="L945" s="16" t="n"/>
      <c r="M945" s="17" t="n"/>
    </row>
    <row r="946">
      <c r="A946" s="14">
        <f>IFERROR(IF(INDEX(ERP資料!$B:$B, (MATCH(945, 輔助計算!$E$2:$E$801, 0)+1))="","",INDEX(ERP資料!$B:$B, (MATCH(945, 輔助計算!$E$2:$E$801, 0)+1))), "")</f>
        <v/>
      </c>
      <c r="B946" s="10">
        <f>IFERROR(IF(INDEX(ERP資料!$A:$A, (MATCH(945, 輔助計算!$E$2:$E$801, 0)+1))="","",INDEX(ERP資料!$A:$A, (MATCH(945, 輔助計算!$E$2:$E$801, 0)+1))), "")</f>
        <v/>
      </c>
      <c r="C946" s="10">
        <f>IFERROR(IF(INDEX(ERP資料!$S:$S, (MATCH(945, 輔助計算!$E$2:$E$801, 0)+1))="","",INDEX(ERP資料!$S:$S, (MATCH(945, 輔助計算!$E$2:$E$801, 0)+1))), "")</f>
        <v/>
      </c>
      <c r="D946" s="10">
        <f>IFERROR(IF(INDEX(ERP資料!$E:$E, (MATCH(945, 輔助計算!$E$2:$E$801, 0)+1))="","",TRIM(INDEX(ERP資料!$E:$E, (MATCH(945, 輔助計算!$E$2:$E$801, 0)+1)))), "")</f>
        <v/>
      </c>
      <c r="E946" s="10">
        <f>IFERROR(IF(INDEX(ERP資料!$F:$F, (MATCH(945, 輔助計算!$E$2:$E$801, 0)+1))="","",INDEX(ERP資料!$F:$F, (MATCH(945, 輔助計算!$E$2:$E$801, 0)+1))), "")</f>
        <v/>
      </c>
      <c r="F946" s="10">
        <f>IFERROR(IF(INDEX(ERP資料!$G:$G, (MATCH(945, 輔助計算!$E$2:$E$801, 0)+1))="","",INDEX(ERP資料!$G:$G, (MATCH(945, 輔助計算!$E$2:$E$801, 0)+1))), "")</f>
        <v/>
      </c>
      <c r="G946" s="10">
        <f>IFERROR(IF(INDEX(ERP資料!$H:$H, (MATCH(945, 輔助計算!$E$2:$E$801, 0)+1))="","",INDEX(ERP資料!$H:$H, (MATCH(945, 輔助計算!$E$2:$E$801, 0)+1))), "")</f>
        <v/>
      </c>
      <c r="H946" s="15">
        <f>IFERROR(INDEX(輔助計算!$D:$D, (MATCH(945, 輔助計算!$E$2:$E$801, 0)+1)), "")</f>
        <v/>
      </c>
      <c r="I946" s="10">
        <f>IFERROR(IF(INDEX(ERP資料!$O:$O, (MATCH(945, 輔助計算!$E$2:$E$801, 0)+1))="","",INDEX(ERP資料!$O:$O, (MATCH(945, 輔助計算!$E$2:$E$801, 0)+1))), "")</f>
        <v/>
      </c>
      <c r="J946" s="15">
        <f>IFERROR(IF(INDEX(輔助計算!$D:$D,(MATCH(945, 輔助計算!$E$2:$E$801, 0)+1))="","",INDEX(輔助計算!$D:$D,(MATCH(945, 輔助計算!$E$2:$E$801, 0)+1))*INDEX(ERP資料!$O:$O,(MATCH(945, 輔助計算!$E$2:$E$801, 0)+1))), "")</f>
        <v/>
      </c>
      <c r="K946" s="16" t="n"/>
      <c r="L946" s="16" t="n"/>
      <c r="M946" s="17" t="n"/>
    </row>
    <row r="947">
      <c r="A947" s="14">
        <f>IFERROR(IF(INDEX(ERP資料!$B:$B, (MATCH(946, 輔助計算!$E$2:$E$801, 0)+1))="","",INDEX(ERP資料!$B:$B, (MATCH(946, 輔助計算!$E$2:$E$801, 0)+1))), "")</f>
        <v/>
      </c>
      <c r="B947" s="10">
        <f>IFERROR(IF(INDEX(ERP資料!$A:$A, (MATCH(946, 輔助計算!$E$2:$E$801, 0)+1))="","",INDEX(ERP資料!$A:$A, (MATCH(946, 輔助計算!$E$2:$E$801, 0)+1))), "")</f>
        <v/>
      </c>
      <c r="C947" s="10">
        <f>IFERROR(IF(INDEX(ERP資料!$S:$S, (MATCH(946, 輔助計算!$E$2:$E$801, 0)+1))="","",INDEX(ERP資料!$S:$S, (MATCH(946, 輔助計算!$E$2:$E$801, 0)+1))), "")</f>
        <v/>
      </c>
      <c r="D947" s="10">
        <f>IFERROR(IF(INDEX(ERP資料!$E:$E, (MATCH(946, 輔助計算!$E$2:$E$801, 0)+1))="","",TRIM(INDEX(ERP資料!$E:$E, (MATCH(946, 輔助計算!$E$2:$E$801, 0)+1)))), "")</f>
        <v/>
      </c>
      <c r="E947" s="10">
        <f>IFERROR(IF(INDEX(ERP資料!$F:$F, (MATCH(946, 輔助計算!$E$2:$E$801, 0)+1))="","",INDEX(ERP資料!$F:$F, (MATCH(946, 輔助計算!$E$2:$E$801, 0)+1))), "")</f>
        <v/>
      </c>
      <c r="F947" s="10">
        <f>IFERROR(IF(INDEX(ERP資料!$G:$G, (MATCH(946, 輔助計算!$E$2:$E$801, 0)+1))="","",INDEX(ERP資料!$G:$G, (MATCH(946, 輔助計算!$E$2:$E$801, 0)+1))), "")</f>
        <v/>
      </c>
      <c r="G947" s="10">
        <f>IFERROR(IF(INDEX(ERP資料!$H:$H, (MATCH(946, 輔助計算!$E$2:$E$801, 0)+1))="","",INDEX(ERP資料!$H:$H, (MATCH(946, 輔助計算!$E$2:$E$801, 0)+1))), "")</f>
        <v/>
      </c>
      <c r="H947" s="15">
        <f>IFERROR(INDEX(輔助計算!$D:$D, (MATCH(946, 輔助計算!$E$2:$E$801, 0)+1)), "")</f>
        <v/>
      </c>
      <c r="I947" s="10">
        <f>IFERROR(IF(INDEX(ERP資料!$O:$O, (MATCH(946, 輔助計算!$E$2:$E$801, 0)+1))="","",INDEX(ERP資料!$O:$O, (MATCH(946, 輔助計算!$E$2:$E$801, 0)+1))), "")</f>
        <v/>
      </c>
      <c r="J947" s="15">
        <f>IFERROR(IF(INDEX(輔助計算!$D:$D,(MATCH(946, 輔助計算!$E$2:$E$801, 0)+1))="","",INDEX(輔助計算!$D:$D,(MATCH(946, 輔助計算!$E$2:$E$801, 0)+1))*INDEX(ERP資料!$O:$O,(MATCH(946, 輔助計算!$E$2:$E$801, 0)+1))), "")</f>
        <v/>
      </c>
      <c r="K947" s="16" t="n"/>
      <c r="L947" s="16" t="n"/>
      <c r="M947" s="17" t="n"/>
    </row>
    <row r="948">
      <c r="A948" s="14">
        <f>IFERROR(IF(INDEX(ERP資料!$B:$B, (MATCH(947, 輔助計算!$E$2:$E$801, 0)+1))="","",INDEX(ERP資料!$B:$B, (MATCH(947, 輔助計算!$E$2:$E$801, 0)+1))), "")</f>
        <v/>
      </c>
      <c r="B948" s="10">
        <f>IFERROR(IF(INDEX(ERP資料!$A:$A, (MATCH(947, 輔助計算!$E$2:$E$801, 0)+1))="","",INDEX(ERP資料!$A:$A, (MATCH(947, 輔助計算!$E$2:$E$801, 0)+1))), "")</f>
        <v/>
      </c>
      <c r="C948" s="10">
        <f>IFERROR(IF(INDEX(ERP資料!$S:$S, (MATCH(947, 輔助計算!$E$2:$E$801, 0)+1))="","",INDEX(ERP資料!$S:$S, (MATCH(947, 輔助計算!$E$2:$E$801, 0)+1))), "")</f>
        <v/>
      </c>
      <c r="D948" s="10">
        <f>IFERROR(IF(INDEX(ERP資料!$E:$E, (MATCH(947, 輔助計算!$E$2:$E$801, 0)+1))="","",TRIM(INDEX(ERP資料!$E:$E, (MATCH(947, 輔助計算!$E$2:$E$801, 0)+1)))), "")</f>
        <v/>
      </c>
      <c r="E948" s="10">
        <f>IFERROR(IF(INDEX(ERP資料!$F:$F, (MATCH(947, 輔助計算!$E$2:$E$801, 0)+1))="","",INDEX(ERP資料!$F:$F, (MATCH(947, 輔助計算!$E$2:$E$801, 0)+1))), "")</f>
        <v/>
      </c>
      <c r="F948" s="10">
        <f>IFERROR(IF(INDEX(ERP資料!$G:$G, (MATCH(947, 輔助計算!$E$2:$E$801, 0)+1))="","",INDEX(ERP資料!$G:$G, (MATCH(947, 輔助計算!$E$2:$E$801, 0)+1))), "")</f>
        <v/>
      </c>
      <c r="G948" s="10">
        <f>IFERROR(IF(INDEX(ERP資料!$H:$H, (MATCH(947, 輔助計算!$E$2:$E$801, 0)+1))="","",INDEX(ERP資料!$H:$H, (MATCH(947, 輔助計算!$E$2:$E$801, 0)+1))), "")</f>
        <v/>
      </c>
      <c r="H948" s="15">
        <f>IFERROR(INDEX(輔助計算!$D:$D, (MATCH(947, 輔助計算!$E$2:$E$801, 0)+1)), "")</f>
        <v/>
      </c>
      <c r="I948" s="10">
        <f>IFERROR(IF(INDEX(ERP資料!$O:$O, (MATCH(947, 輔助計算!$E$2:$E$801, 0)+1))="","",INDEX(ERP資料!$O:$O, (MATCH(947, 輔助計算!$E$2:$E$801, 0)+1))), "")</f>
        <v/>
      </c>
      <c r="J948" s="15">
        <f>IFERROR(IF(INDEX(輔助計算!$D:$D,(MATCH(947, 輔助計算!$E$2:$E$801, 0)+1))="","",INDEX(輔助計算!$D:$D,(MATCH(947, 輔助計算!$E$2:$E$801, 0)+1))*INDEX(ERP資料!$O:$O,(MATCH(947, 輔助計算!$E$2:$E$801, 0)+1))), "")</f>
        <v/>
      </c>
      <c r="K948" s="16" t="n"/>
      <c r="L948" s="16" t="n"/>
      <c r="M948" s="17" t="n"/>
    </row>
    <row r="949">
      <c r="A949" s="14">
        <f>IFERROR(IF(INDEX(ERP資料!$B:$B, (MATCH(948, 輔助計算!$E$2:$E$801, 0)+1))="","",INDEX(ERP資料!$B:$B, (MATCH(948, 輔助計算!$E$2:$E$801, 0)+1))), "")</f>
        <v/>
      </c>
      <c r="B949" s="10">
        <f>IFERROR(IF(INDEX(ERP資料!$A:$A, (MATCH(948, 輔助計算!$E$2:$E$801, 0)+1))="","",INDEX(ERP資料!$A:$A, (MATCH(948, 輔助計算!$E$2:$E$801, 0)+1))), "")</f>
        <v/>
      </c>
      <c r="C949" s="10">
        <f>IFERROR(IF(INDEX(ERP資料!$S:$S, (MATCH(948, 輔助計算!$E$2:$E$801, 0)+1))="","",INDEX(ERP資料!$S:$S, (MATCH(948, 輔助計算!$E$2:$E$801, 0)+1))), "")</f>
        <v/>
      </c>
      <c r="D949" s="10">
        <f>IFERROR(IF(INDEX(ERP資料!$E:$E, (MATCH(948, 輔助計算!$E$2:$E$801, 0)+1))="","",TRIM(INDEX(ERP資料!$E:$E, (MATCH(948, 輔助計算!$E$2:$E$801, 0)+1)))), "")</f>
        <v/>
      </c>
      <c r="E949" s="10">
        <f>IFERROR(IF(INDEX(ERP資料!$F:$F, (MATCH(948, 輔助計算!$E$2:$E$801, 0)+1))="","",INDEX(ERP資料!$F:$F, (MATCH(948, 輔助計算!$E$2:$E$801, 0)+1))), "")</f>
        <v/>
      </c>
      <c r="F949" s="10">
        <f>IFERROR(IF(INDEX(ERP資料!$G:$G, (MATCH(948, 輔助計算!$E$2:$E$801, 0)+1))="","",INDEX(ERP資料!$G:$G, (MATCH(948, 輔助計算!$E$2:$E$801, 0)+1))), "")</f>
        <v/>
      </c>
      <c r="G949" s="10">
        <f>IFERROR(IF(INDEX(ERP資料!$H:$H, (MATCH(948, 輔助計算!$E$2:$E$801, 0)+1))="","",INDEX(ERP資料!$H:$H, (MATCH(948, 輔助計算!$E$2:$E$801, 0)+1))), "")</f>
        <v/>
      </c>
      <c r="H949" s="15">
        <f>IFERROR(INDEX(輔助計算!$D:$D, (MATCH(948, 輔助計算!$E$2:$E$801, 0)+1)), "")</f>
        <v/>
      </c>
      <c r="I949" s="10">
        <f>IFERROR(IF(INDEX(ERP資料!$O:$O, (MATCH(948, 輔助計算!$E$2:$E$801, 0)+1))="","",INDEX(ERP資料!$O:$O, (MATCH(948, 輔助計算!$E$2:$E$801, 0)+1))), "")</f>
        <v/>
      </c>
      <c r="J949" s="15">
        <f>IFERROR(IF(INDEX(輔助計算!$D:$D,(MATCH(948, 輔助計算!$E$2:$E$801, 0)+1))="","",INDEX(輔助計算!$D:$D,(MATCH(948, 輔助計算!$E$2:$E$801, 0)+1))*INDEX(ERP資料!$O:$O,(MATCH(948, 輔助計算!$E$2:$E$801, 0)+1))), "")</f>
        <v/>
      </c>
      <c r="K949" s="16" t="n"/>
      <c r="L949" s="16" t="n"/>
      <c r="M949" s="17" t="n"/>
    </row>
    <row r="950">
      <c r="A950" s="14">
        <f>IFERROR(IF(INDEX(ERP資料!$B:$B, (MATCH(949, 輔助計算!$E$2:$E$801, 0)+1))="","",INDEX(ERP資料!$B:$B, (MATCH(949, 輔助計算!$E$2:$E$801, 0)+1))), "")</f>
        <v/>
      </c>
      <c r="B950" s="10">
        <f>IFERROR(IF(INDEX(ERP資料!$A:$A, (MATCH(949, 輔助計算!$E$2:$E$801, 0)+1))="","",INDEX(ERP資料!$A:$A, (MATCH(949, 輔助計算!$E$2:$E$801, 0)+1))), "")</f>
        <v/>
      </c>
      <c r="C950" s="10">
        <f>IFERROR(IF(INDEX(ERP資料!$S:$S, (MATCH(949, 輔助計算!$E$2:$E$801, 0)+1))="","",INDEX(ERP資料!$S:$S, (MATCH(949, 輔助計算!$E$2:$E$801, 0)+1))), "")</f>
        <v/>
      </c>
      <c r="D950" s="10">
        <f>IFERROR(IF(INDEX(ERP資料!$E:$E, (MATCH(949, 輔助計算!$E$2:$E$801, 0)+1))="","",TRIM(INDEX(ERP資料!$E:$E, (MATCH(949, 輔助計算!$E$2:$E$801, 0)+1)))), "")</f>
        <v/>
      </c>
      <c r="E950" s="10">
        <f>IFERROR(IF(INDEX(ERP資料!$F:$F, (MATCH(949, 輔助計算!$E$2:$E$801, 0)+1))="","",INDEX(ERP資料!$F:$F, (MATCH(949, 輔助計算!$E$2:$E$801, 0)+1))), "")</f>
        <v/>
      </c>
      <c r="F950" s="10">
        <f>IFERROR(IF(INDEX(ERP資料!$G:$G, (MATCH(949, 輔助計算!$E$2:$E$801, 0)+1))="","",INDEX(ERP資料!$G:$G, (MATCH(949, 輔助計算!$E$2:$E$801, 0)+1))), "")</f>
        <v/>
      </c>
      <c r="G950" s="10">
        <f>IFERROR(IF(INDEX(ERP資料!$H:$H, (MATCH(949, 輔助計算!$E$2:$E$801, 0)+1))="","",INDEX(ERP資料!$H:$H, (MATCH(949, 輔助計算!$E$2:$E$801, 0)+1))), "")</f>
        <v/>
      </c>
      <c r="H950" s="15">
        <f>IFERROR(INDEX(輔助計算!$D:$D, (MATCH(949, 輔助計算!$E$2:$E$801, 0)+1)), "")</f>
        <v/>
      </c>
      <c r="I950" s="10">
        <f>IFERROR(IF(INDEX(ERP資料!$O:$O, (MATCH(949, 輔助計算!$E$2:$E$801, 0)+1))="","",INDEX(ERP資料!$O:$O, (MATCH(949, 輔助計算!$E$2:$E$801, 0)+1))), "")</f>
        <v/>
      </c>
      <c r="J950" s="15">
        <f>IFERROR(IF(INDEX(輔助計算!$D:$D,(MATCH(949, 輔助計算!$E$2:$E$801, 0)+1))="","",INDEX(輔助計算!$D:$D,(MATCH(949, 輔助計算!$E$2:$E$801, 0)+1))*INDEX(ERP資料!$O:$O,(MATCH(949, 輔助計算!$E$2:$E$801, 0)+1))), "")</f>
        <v/>
      </c>
      <c r="K950" s="16" t="n"/>
      <c r="L950" s="16" t="n"/>
      <c r="M950" s="17" t="n"/>
    </row>
    <row r="951">
      <c r="A951" s="14">
        <f>IFERROR(IF(INDEX(ERP資料!$B:$B, (MATCH(950, 輔助計算!$E$2:$E$801, 0)+1))="","",INDEX(ERP資料!$B:$B, (MATCH(950, 輔助計算!$E$2:$E$801, 0)+1))), "")</f>
        <v/>
      </c>
      <c r="B951" s="10">
        <f>IFERROR(IF(INDEX(ERP資料!$A:$A, (MATCH(950, 輔助計算!$E$2:$E$801, 0)+1))="","",INDEX(ERP資料!$A:$A, (MATCH(950, 輔助計算!$E$2:$E$801, 0)+1))), "")</f>
        <v/>
      </c>
      <c r="C951" s="10">
        <f>IFERROR(IF(INDEX(ERP資料!$S:$S, (MATCH(950, 輔助計算!$E$2:$E$801, 0)+1))="","",INDEX(ERP資料!$S:$S, (MATCH(950, 輔助計算!$E$2:$E$801, 0)+1))), "")</f>
        <v/>
      </c>
      <c r="D951" s="10">
        <f>IFERROR(IF(INDEX(ERP資料!$E:$E, (MATCH(950, 輔助計算!$E$2:$E$801, 0)+1))="","",TRIM(INDEX(ERP資料!$E:$E, (MATCH(950, 輔助計算!$E$2:$E$801, 0)+1)))), "")</f>
        <v/>
      </c>
      <c r="E951" s="10">
        <f>IFERROR(IF(INDEX(ERP資料!$F:$F, (MATCH(950, 輔助計算!$E$2:$E$801, 0)+1))="","",INDEX(ERP資料!$F:$F, (MATCH(950, 輔助計算!$E$2:$E$801, 0)+1))), "")</f>
        <v/>
      </c>
      <c r="F951" s="10">
        <f>IFERROR(IF(INDEX(ERP資料!$G:$G, (MATCH(950, 輔助計算!$E$2:$E$801, 0)+1))="","",INDEX(ERP資料!$G:$G, (MATCH(950, 輔助計算!$E$2:$E$801, 0)+1))), "")</f>
        <v/>
      </c>
      <c r="G951" s="10">
        <f>IFERROR(IF(INDEX(ERP資料!$H:$H, (MATCH(950, 輔助計算!$E$2:$E$801, 0)+1))="","",INDEX(ERP資料!$H:$H, (MATCH(950, 輔助計算!$E$2:$E$801, 0)+1))), "")</f>
        <v/>
      </c>
      <c r="H951" s="15">
        <f>IFERROR(INDEX(輔助計算!$D:$D, (MATCH(950, 輔助計算!$E$2:$E$801, 0)+1)), "")</f>
        <v/>
      </c>
      <c r="I951" s="10">
        <f>IFERROR(IF(INDEX(ERP資料!$O:$O, (MATCH(950, 輔助計算!$E$2:$E$801, 0)+1))="","",INDEX(ERP資料!$O:$O, (MATCH(950, 輔助計算!$E$2:$E$801, 0)+1))), "")</f>
        <v/>
      </c>
      <c r="J951" s="15">
        <f>IFERROR(IF(INDEX(輔助計算!$D:$D,(MATCH(950, 輔助計算!$E$2:$E$801, 0)+1))="","",INDEX(輔助計算!$D:$D,(MATCH(950, 輔助計算!$E$2:$E$801, 0)+1))*INDEX(ERP資料!$O:$O,(MATCH(950, 輔助計算!$E$2:$E$801, 0)+1))), "")</f>
        <v/>
      </c>
      <c r="K951" s="16" t="n"/>
      <c r="L951" s="16" t="n"/>
      <c r="M951" s="17" t="n"/>
    </row>
    <row r="952">
      <c r="A952" s="14">
        <f>IFERROR(IF(INDEX(ERP資料!$B:$B, (MATCH(951, 輔助計算!$E$2:$E$801, 0)+1))="","",INDEX(ERP資料!$B:$B, (MATCH(951, 輔助計算!$E$2:$E$801, 0)+1))), "")</f>
        <v/>
      </c>
      <c r="B952" s="10">
        <f>IFERROR(IF(INDEX(ERP資料!$A:$A, (MATCH(951, 輔助計算!$E$2:$E$801, 0)+1))="","",INDEX(ERP資料!$A:$A, (MATCH(951, 輔助計算!$E$2:$E$801, 0)+1))), "")</f>
        <v/>
      </c>
      <c r="C952" s="10">
        <f>IFERROR(IF(INDEX(ERP資料!$S:$S, (MATCH(951, 輔助計算!$E$2:$E$801, 0)+1))="","",INDEX(ERP資料!$S:$S, (MATCH(951, 輔助計算!$E$2:$E$801, 0)+1))), "")</f>
        <v/>
      </c>
      <c r="D952" s="10">
        <f>IFERROR(IF(INDEX(ERP資料!$E:$E, (MATCH(951, 輔助計算!$E$2:$E$801, 0)+1))="","",TRIM(INDEX(ERP資料!$E:$E, (MATCH(951, 輔助計算!$E$2:$E$801, 0)+1)))), "")</f>
        <v/>
      </c>
      <c r="E952" s="10">
        <f>IFERROR(IF(INDEX(ERP資料!$F:$F, (MATCH(951, 輔助計算!$E$2:$E$801, 0)+1))="","",INDEX(ERP資料!$F:$F, (MATCH(951, 輔助計算!$E$2:$E$801, 0)+1))), "")</f>
        <v/>
      </c>
      <c r="F952" s="10">
        <f>IFERROR(IF(INDEX(ERP資料!$G:$G, (MATCH(951, 輔助計算!$E$2:$E$801, 0)+1))="","",INDEX(ERP資料!$G:$G, (MATCH(951, 輔助計算!$E$2:$E$801, 0)+1))), "")</f>
        <v/>
      </c>
      <c r="G952" s="10">
        <f>IFERROR(IF(INDEX(ERP資料!$H:$H, (MATCH(951, 輔助計算!$E$2:$E$801, 0)+1))="","",INDEX(ERP資料!$H:$H, (MATCH(951, 輔助計算!$E$2:$E$801, 0)+1))), "")</f>
        <v/>
      </c>
      <c r="H952" s="15">
        <f>IFERROR(INDEX(輔助計算!$D:$D, (MATCH(951, 輔助計算!$E$2:$E$801, 0)+1)), "")</f>
        <v/>
      </c>
      <c r="I952" s="10">
        <f>IFERROR(IF(INDEX(ERP資料!$O:$O, (MATCH(951, 輔助計算!$E$2:$E$801, 0)+1))="","",INDEX(ERP資料!$O:$O, (MATCH(951, 輔助計算!$E$2:$E$801, 0)+1))), "")</f>
        <v/>
      </c>
      <c r="J952" s="15">
        <f>IFERROR(IF(INDEX(輔助計算!$D:$D,(MATCH(951, 輔助計算!$E$2:$E$801, 0)+1))="","",INDEX(輔助計算!$D:$D,(MATCH(951, 輔助計算!$E$2:$E$801, 0)+1))*INDEX(ERP資料!$O:$O,(MATCH(951, 輔助計算!$E$2:$E$801, 0)+1))), "")</f>
        <v/>
      </c>
      <c r="K952" s="16" t="n"/>
      <c r="L952" s="16" t="n"/>
      <c r="M952" s="17" t="n"/>
    </row>
    <row r="953">
      <c r="A953" s="14">
        <f>IFERROR(IF(INDEX(ERP資料!$B:$B, (MATCH(952, 輔助計算!$E$2:$E$801, 0)+1))="","",INDEX(ERP資料!$B:$B, (MATCH(952, 輔助計算!$E$2:$E$801, 0)+1))), "")</f>
        <v/>
      </c>
      <c r="B953" s="10">
        <f>IFERROR(IF(INDEX(ERP資料!$A:$A, (MATCH(952, 輔助計算!$E$2:$E$801, 0)+1))="","",INDEX(ERP資料!$A:$A, (MATCH(952, 輔助計算!$E$2:$E$801, 0)+1))), "")</f>
        <v/>
      </c>
      <c r="C953" s="10">
        <f>IFERROR(IF(INDEX(ERP資料!$S:$S, (MATCH(952, 輔助計算!$E$2:$E$801, 0)+1))="","",INDEX(ERP資料!$S:$S, (MATCH(952, 輔助計算!$E$2:$E$801, 0)+1))), "")</f>
        <v/>
      </c>
      <c r="D953" s="10">
        <f>IFERROR(IF(INDEX(ERP資料!$E:$E, (MATCH(952, 輔助計算!$E$2:$E$801, 0)+1))="","",TRIM(INDEX(ERP資料!$E:$E, (MATCH(952, 輔助計算!$E$2:$E$801, 0)+1)))), "")</f>
        <v/>
      </c>
      <c r="E953" s="10">
        <f>IFERROR(IF(INDEX(ERP資料!$F:$F, (MATCH(952, 輔助計算!$E$2:$E$801, 0)+1))="","",INDEX(ERP資料!$F:$F, (MATCH(952, 輔助計算!$E$2:$E$801, 0)+1))), "")</f>
        <v/>
      </c>
      <c r="F953" s="10">
        <f>IFERROR(IF(INDEX(ERP資料!$G:$G, (MATCH(952, 輔助計算!$E$2:$E$801, 0)+1))="","",INDEX(ERP資料!$G:$G, (MATCH(952, 輔助計算!$E$2:$E$801, 0)+1))), "")</f>
        <v/>
      </c>
      <c r="G953" s="10">
        <f>IFERROR(IF(INDEX(ERP資料!$H:$H, (MATCH(952, 輔助計算!$E$2:$E$801, 0)+1))="","",INDEX(ERP資料!$H:$H, (MATCH(952, 輔助計算!$E$2:$E$801, 0)+1))), "")</f>
        <v/>
      </c>
      <c r="H953" s="15">
        <f>IFERROR(INDEX(輔助計算!$D:$D, (MATCH(952, 輔助計算!$E$2:$E$801, 0)+1)), "")</f>
        <v/>
      </c>
      <c r="I953" s="10">
        <f>IFERROR(IF(INDEX(ERP資料!$O:$O, (MATCH(952, 輔助計算!$E$2:$E$801, 0)+1))="","",INDEX(ERP資料!$O:$O, (MATCH(952, 輔助計算!$E$2:$E$801, 0)+1))), "")</f>
        <v/>
      </c>
      <c r="J953" s="15">
        <f>IFERROR(IF(INDEX(輔助計算!$D:$D,(MATCH(952, 輔助計算!$E$2:$E$801, 0)+1))="","",INDEX(輔助計算!$D:$D,(MATCH(952, 輔助計算!$E$2:$E$801, 0)+1))*INDEX(ERP資料!$O:$O,(MATCH(952, 輔助計算!$E$2:$E$801, 0)+1))), "")</f>
        <v/>
      </c>
      <c r="K953" s="16" t="n"/>
      <c r="L953" s="16" t="n"/>
      <c r="M953" s="17" t="n"/>
    </row>
    <row r="954">
      <c r="A954" s="14">
        <f>IFERROR(IF(INDEX(ERP資料!$B:$B, (MATCH(953, 輔助計算!$E$2:$E$801, 0)+1))="","",INDEX(ERP資料!$B:$B, (MATCH(953, 輔助計算!$E$2:$E$801, 0)+1))), "")</f>
        <v/>
      </c>
      <c r="B954" s="10">
        <f>IFERROR(IF(INDEX(ERP資料!$A:$A, (MATCH(953, 輔助計算!$E$2:$E$801, 0)+1))="","",INDEX(ERP資料!$A:$A, (MATCH(953, 輔助計算!$E$2:$E$801, 0)+1))), "")</f>
        <v/>
      </c>
      <c r="C954" s="10">
        <f>IFERROR(IF(INDEX(ERP資料!$S:$S, (MATCH(953, 輔助計算!$E$2:$E$801, 0)+1))="","",INDEX(ERP資料!$S:$S, (MATCH(953, 輔助計算!$E$2:$E$801, 0)+1))), "")</f>
        <v/>
      </c>
      <c r="D954" s="10">
        <f>IFERROR(IF(INDEX(ERP資料!$E:$E, (MATCH(953, 輔助計算!$E$2:$E$801, 0)+1))="","",TRIM(INDEX(ERP資料!$E:$E, (MATCH(953, 輔助計算!$E$2:$E$801, 0)+1)))), "")</f>
        <v/>
      </c>
      <c r="E954" s="10">
        <f>IFERROR(IF(INDEX(ERP資料!$F:$F, (MATCH(953, 輔助計算!$E$2:$E$801, 0)+1))="","",INDEX(ERP資料!$F:$F, (MATCH(953, 輔助計算!$E$2:$E$801, 0)+1))), "")</f>
        <v/>
      </c>
      <c r="F954" s="10">
        <f>IFERROR(IF(INDEX(ERP資料!$G:$G, (MATCH(953, 輔助計算!$E$2:$E$801, 0)+1))="","",INDEX(ERP資料!$G:$G, (MATCH(953, 輔助計算!$E$2:$E$801, 0)+1))), "")</f>
        <v/>
      </c>
      <c r="G954" s="10">
        <f>IFERROR(IF(INDEX(ERP資料!$H:$H, (MATCH(953, 輔助計算!$E$2:$E$801, 0)+1))="","",INDEX(ERP資料!$H:$H, (MATCH(953, 輔助計算!$E$2:$E$801, 0)+1))), "")</f>
        <v/>
      </c>
      <c r="H954" s="15">
        <f>IFERROR(INDEX(輔助計算!$D:$D, (MATCH(953, 輔助計算!$E$2:$E$801, 0)+1)), "")</f>
        <v/>
      </c>
      <c r="I954" s="10">
        <f>IFERROR(IF(INDEX(ERP資料!$O:$O, (MATCH(953, 輔助計算!$E$2:$E$801, 0)+1))="","",INDEX(ERP資料!$O:$O, (MATCH(953, 輔助計算!$E$2:$E$801, 0)+1))), "")</f>
        <v/>
      </c>
      <c r="J954" s="15">
        <f>IFERROR(IF(INDEX(輔助計算!$D:$D,(MATCH(953, 輔助計算!$E$2:$E$801, 0)+1))="","",INDEX(輔助計算!$D:$D,(MATCH(953, 輔助計算!$E$2:$E$801, 0)+1))*INDEX(ERP資料!$O:$O,(MATCH(953, 輔助計算!$E$2:$E$801, 0)+1))), "")</f>
        <v/>
      </c>
      <c r="K954" s="16" t="n"/>
      <c r="L954" s="16" t="n"/>
      <c r="M954" s="17" t="n"/>
    </row>
    <row r="955">
      <c r="A955" s="14">
        <f>IFERROR(IF(INDEX(ERP資料!$B:$B, (MATCH(954, 輔助計算!$E$2:$E$801, 0)+1))="","",INDEX(ERP資料!$B:$B, (MATCH(954, 輔助計算!$E$2:$E$801, 0)+1))), "")</f>
        <v/>
      </c>
      <c r="B955" s="10">
        <f>IFERROR(IF(INDEX(ERP資料!$A:$A, (MATCH(954, 輔助計算!$E$2:$E$801, 0)+1))="","",INDEX(ERP資料!$A:$A, (MATCH(954, 輔助計算!$E$2:$E$801, 0)+1))), "")</f>
        <v/>
      </c>
      <c r="C955" s="10">
        <f>IFERROR(IF(INDEX(ERP資料!$S:$S, (MATCH(954, 輔助計算!$E$2:$E$801, 0)+1))="","",INDEX(ERP資料!$S:$S, (MATCH(954, 輔助計算!$E$2:$E$801, 0)+1))), "")</f>
        <v/>
      </c>
      <c r="D955" s="10">
        <f>IFERROR(IF(INDEX(ERP資料!$E:$E, (MATCH(954, 輔助計算!$E$2:$E$801, 0)+1))="","",TRIM(INDEX(ERP資料!$E:$E, (MATCH(954, 輔助計算!$E$2:$E$801, 0)+1)))), "")</f>
        <v/>
      </c>
      <c r="E955" s="10">
        <f>IFERROR(IF(INDEX(ERP資料!$F:$F, (MATCH(954, 輔助計算!$E$2:$E$801, 0)+1))="","",INDEX(ERP資料!$F:$F, (MATCH(954, 輔助計算!$E$2:$E$801, 0)+1))), "")</f>
        <v/>
      </c>
      <c r="F955" s="10">
        <f>IFERROR(IF(INDEX(ERP資料!$G:$G, (MATCH(954, 輔助計算!$E$2:$E$801, 0)+1))="","",INDEX(ERP資料!$G:$G, (MATCH(954, 輔助計算!$E$2:$E$801, 0)+1))), "")</f>
        <v/>
      </c>
      <c r="G955" s="10">
        <f>IFERROR(IF(INDEX(ERP資料!$H:$H, (MATCH(954, 輔助計算!$E$2:$E$801, 0)+1))="","",INDEX(ERP資料!$H:$H, (MATCH(954, 輔助計算!$E$2:$E$801, 0)+1))), "")</f>
        <v/>
      </c>
      <c r="H955" s="15">
        <f>IFERROR(INDEX(輔助計算!$D:$D, (MATCH(954, 輔助計算!$E$2:$E$801, 0)+1)), "")</f>
        <v/>
      </c>
      <c r="I955" s="10">
        <f>IFERROR(IF(INDEX(ERP資料!$O:$O, (MATCH(954, 輔助計算!$E$2:$E$801, 0)+1))="","",INDEX(ERP資料!$O:$O, (MATCH(954, 輔助計算!$E$2:$E$801, 0)+1))), "")</f>
        <v/>
      </c>
      <c r="J955" s="15">
        <f>IFERROR(IF(INDEX(輔助計算!$D:$D,(MATCH(954, 輔助計算!$E$2:$E$801, 0)+1))="","",INDEX(輔助計算!$D:$D,(MATCH(954, 輔助計算!$E$2:$E$801, 0)+1))*INDEX(ERP資料!$O:$O,(MATCH(954, 輔助計算!$E$2:$E$801, 0)+1))), "")</f>
        <v/>
      </c>
      <c r="K955" s="16" t="n"/>
      <c r="L955" s="16" t="n"/>
      <c r="M955" s="17" t="n"/>
    </row>
    <row r="956">
      <c r="A956" s="14">
        <f>IFERROR(IF(INDEX(ERP資料!$B:$B, (MATCH(955, 輔助計算!$E$2:$E$801, 0)+1))="","",INDEX(ERP資料!$B:$B, (MATCH(955, 輔助計算!$E$2:$E$801, 0)+1))), "")</f>
        <v/>
      </c>
      <c r="B956" s="10">
        <f>IFERROR(IF(INDEX(ERP資料!$A:$A, (MATCH(955, 輔助計算!$E$2:$E$801, 0)+1))="","",INDEX(ERP資料!$A:$A, (MATCH(955, 輔助計算!$E$2:$E$801, 0)+1))), "")</f>
        <v/>
      </c>
      <c r="C956" s="10">
        <f>IFERROR(IF(INDEX(ERP資料!$S:$S, (MATCH(955, 輔助計算!$E$2:$E$801, 0)+1))="","",INDEX(ERP資料!$S:$S, (MATCH(955, 輔助計算!$E$2:$E$801, 0)+1))), "")</f>
        <v/>
      </c>
      <c r="D956" s="10">
        <f>IFERROR(IF(INDEX(ERP資料!$E:$E, (MATCH(955, 輔助計算!$E$2:$E$801, 0)+1))="","",TRIM(INDEX(ERP資料!$E:$E, (MATCH(955, 輔助計算!$E$2:$E$801, 0)+1)))), "")</f>
        <v/>
      </c>
      <c r="E956" s="10">
        <f>IFERROR(IF(INDEX(ERP資料!$F:$F, (MATCH(955, 輔助計算!$E$2:$E$801, 0)+1))="","",INDEX(ERP資料!$F:$F, (MATCH(955, 輔助計算!$E$2:$E$801, 0)+1))), "")</f>
        <v/>
      </c>
      <c r="F956" s="10">
        <f>IFERROR(IF(INDEX(ERP資料!$G:$G, (MATCH(955, 輔助計算!$E$2:$E$801, 0)+1))="","",INDEX(ERP資料!$G:$G, (MATCH(955, 輔助計算!$E$2:$E$801, 0)+1))), "")</f>
        <v/>
      </c>
      <c r="G956" s="10">
        <f>IFERROR(IF(INDEX(ERP資料!$H:$H, (MATCH(955, 輔助計算!$E$2:$E$801, 0)+1))="","",INDEX(ERP資料!$H:$H, (MATCH(955, 輔助計算!$E$2:$E$801, 0)+1))), "")</f>
        <v/>
      </c>
      <c r="H956" s="15">
        <f>IFERROR(INDEX(輔助計算!$D:$D, (MATCH(955, 輔助計算!$E$2:$E$801, 0)+1)), "")</f>
        <v/>
      </c>
      <c r="I956" s="10">
        <f>IFERROR(IF(INDEX(ERP資料!$O:$O, (MATCH(955, 輔助計算!$E$2:$E$801, 0)+1))="","",INDEX(ERP資料!$O:$O, (MATCH(955, 輔助計算!$E$2:$E$801, 0)+1))), "")</f>
        <v/>
      </c>
      <c r="J956" s="15">
        <f>IFERROR(IF(INDEX(輔助計算!$D:$D,(MATCH(955, 輔助計算!$E$2:$E$801, 0)+1))="","",INDEX(輔助計算!$D:$D,(MATCH(955, 輔助計算!$E$2:$E$801, 0)+1))*INDEX(ERP資料!$O:$O,(MATCH(955, 輔助計算!$E$2:$E$801, 0)+1))), "")</f>
        <v/>
      </c>
      <c r="K956" s="16" t="n"/>
      <c r="L956" s="16" t="n"/>
      <c r="M956" s="17" t="n"/>
    </row>
    <row r="957">
      <c r="A957" s="14">
        <f>IFERROR(IF(INDEX(ERP資料!$B:$B, (MATCH(956, 輔助計算!$E$2:$E$801, 0)+1))="","",INDEX(ERP資料!$B:$B, (MATCH(956, 輔助計算!$E$2:$E$801, 0)+1))), "")</f>
        <v/>
      </c>
      <c r="B957" s="10">
        <f>IFERROR(IF(INDEX(ERP資料!$A:$A, (MATCH(956, 輔助計算!$E$2:$E$801, 0)+1))="","",INDEX(ERP資料!$A:$A, (MATCH(956, 輔助計算!$E$2:$E$801, 0)+1))), "")</f>
        <v/>
      </c>
      <c r="C957" s="10">
        <f>IFERROR(IF(INDEX(ERP資料!$S:$S, (MATCH(956, 輔助計算!$E$2:$E$801, 0)+1))="","",INDEX(ERP資料!$S:$S, (MATCH(956, 輔助計算!$E$2:$E$801, 0)+1))), "")</f>
        <v/>
      </c>
      <c r="D957" s="10">
        <f>IFERROR(IF(INDEX(ERP資料!$E:$E, (MATCH(956, 輔助計算!$E$2:$E$801, 0)+1))="","",TRIM(INDEX(ERP資料!$E:$E, (MATCH(956, 輔助計算!$E$2:$E$801, 0)+1)))), "")</f>
        <v/>
      </c>
      <c r="E957" s="10">
        <f>IFERROR(IF(INDEX(ERP資料!$F:$F, (MATCH(956, 輔助計算!$E$2:$E$801, 0)+1))="","",INDEX(ERP資料!$F:$F, (MATCH(956, 輔助計算!$E$2:$E$801, 0)+1))), "")</f>
        <v/>
      </c>
      <c r="F957" s="10">
        <f>IFERROR(IF(INDEX(ERP資料!$G:$G, (MATCH(956, 輔助計算!$E$2:$E$801, 0)+1))="","",INDEX(ERP資料!$G:$G, (MATCH(956, 輔助計算!$E$2:$E$801, 0)+1))), "")</f>
        <v/>
      </c>
      <c r="G957" s="10">
        <f>IFERROR(IF(INDEX(ERP資料!$H:$H, (MATCH(956, 輔助計算!$E$2:$E$801, 0)+1))="","",INDEX(ERP資料!$H:$H, (MATCH(956, 輔助計算!$E$2:$E$801, 0)+1))), "")</f>
        <v/>
      </c>
      <c r="H957" s="15">
        <f>IFERROR(INDEX(輔助計算!$D:$D, (MATCH(956, 輔助計算!$E$2:$E$801, 0)+1)), "")</f>
        <v/>
      </c>
      <c r="I957" s="10">
        <f>IFERROR(IF(INDEX(ERP資料!$O:$O, (MATCH(956, 輔助計算!$E$2:$E$801, 0)+1))="","",INDEX(ERP資料!$O:$O, (MATCH(956, 輔助計算!$E$2:$E$801, 0)+1))), "")</f>
        <v/>
      </c>
      <c r="J957" s="15">
        <f>IFERROR(IF(INDEX(輔助計算!$D:$D,(MATCH(956, 輔助計算!$E$2:$E$801, 0)+1))="","",INDEX(輔助計算!$D:$D,(MATCH(956, 輔助計算!$E$2:$E$801, 0)+1))*INDEX(ERP資料!$O:$O,(MATCH(956, 輔助計算!$E$2:$E$801, 0)+1))), "")</f>
        <v/>
      </c>
      <c r="K957" s="16" t="n"/>
      <c r="L957" s="16" t="n"/>
      <c r="M957" s="17" t="n"/>
    </row>
    <row r="958">
      <c r="A958" s="14">
        <f>IFERROR(IF(INDEX(ERP資料!$B:$B, (MATCH(957, 輔助計算!$E$2:$E$801, 0)+1))="","",INDEX(ERP資料!$B:$B, (MATCH(957, 輔助計算!$E$2:$E$801, 0)+1))), "")</f>
        <v/>
      </c>
      <c r="B958" s="10">
        <f>IFERROR(IF(INDEX(ERP資料!$A:$A, (MATCH(957, 輔助計算!$E$2:$E$801, 0)+1))="","",INDEX(ERP資料!$A:$A, (MATCH(957, 輔助計算!$E$2:$E$801, 0)+1))), "")</f>
        <v/>
      </c>
      <c r="C958" s="10">
        <f>IFERROR(IF(INDEX(ERP資料!$S:$S, (MATCH(957, 輔助計算!$E$2:$E$801, 0)+1))="","",INDEX(ERP資料!$S:$S, (MATCH(957, 輔助計算!$E$2:$E$801, 0)+1))), "")</f>
        <v/>
      </c>
      <c r="D958" s="10">
        <f>IFERROR(IF(INDEX(ERP資料!$E:$E, (MATCH(957, 輔助計算!$E$2:$E$801, 0)+1))="","",TRIM(INDEX(ERP資料!$E:$E, (MATCH(957, 輔助計算!$E$2:$E$801, 0)+1)))), "")</f>
        <v/>
      </c>
      <c r="E958" s="10">
        <f>IFERROR(IF(INDEX(ERP資料!$F:$F, (MATCH(957, 輔助計算!$E$2:$E$801, 0)+1))="","",INDEX(ERP資料!$F:$F, (MATCH(957, 輔助計算!$E$2:$E$801, 0)+1))), "")</f>
        <v/>
      </c>
      <c r="F958" s="10">
        <f>IFERROR(IF(INDEX(ERP資料!$G:$G, (MATCH(957, 輔助計算!$E$2:$E$801, 0)+1))="","",INDEX(ERP資料!$G:$G, (MATCH(957, 輔助計算!$E$2:$E$801, 0)+1))), "")</f>
        <v/>
      </c>
      <c r="G958" s="10">
        <f>IFERROR(IF(INDEX(ERP資料!$H:$H, (MATCH(957, 輔助計算!$E$2:$E$801, 0)+1))="","",INDEX(ERP資料!$H:$H, (MATCH(957, 輔助計算!$E$2:$E$801, 0)+1))), "")</f>
        <v/>
      </c>
      <c r="H958" s="15">
        <f>IFERROR(INDEX(輔助計算!$D:$D, (MATCH(957, 輔助計算!$E$2:$E$801, 0)+1)), "")</f>
        <v/>
      </c>
      <c r="I958" s="10">
        <f>IFERROR(IF(INDEX(ERP資料!$O:$O, (MATCH(957, 輔助計算!$E$2:$E$801, 0)+1))="","",INDEX(ERP資料!$O:$O, (MATCH(957, 輔助計算!$E$2:$E$801, 0)+1))), "")</f>
        <v/>
      </c>
      <c r="J958" s="15">
        <f>IFERROR(IF(INDEX(輔助計算!$D:$D,(MATCH(957, 輔助計算!$E$2:$E$801, 0)+1))="","",INDEX(輔助計算!$D:$D,(MATCH(957, 輔助計算!$E$2:$E$801, 0)+1))*INDEX(ERP資料!$O:$O,(MATCH(957, 輔助計算!$E$2:$E$801, 0)+1))), "")</f>
        <v/>
      </c>
      <c r="K958" s="16" t="n"/>
      <c r="L958" s="16" t="n"/>
      <c r="M958" s="17" t="n"/>
    </row>
    <row r="959">
      <c r="A959" s="14">
        <f>IFERROR(IF(INDEX(ERP資料!$B:$B, (MATCH(958, 輔助計算!$E$2:$E$801, 0)+1))="","",INDEX(ERP資料!$B:$B, (MATCH(958, 輔助計算!$E$2:$E$801, 0)+1))), "")</f>
        <v/>
      </c>
      <c r="B959" s="10">
        <f>IFERROR(IF(INDEX(ERP資料!$A:$A, (MATCH(958, 輔助計算!$E$2:$E$801, 0)+1))="","",INDEX(ERP資料!$A:$A, (MATCH(958, 輔助計算!$E$2:$E$801, 0)+1))), "")</f>
        <v/>
      </c>
      <c r="C959" s="10">
        <f>IFERROR(IF(INDEX(ERP資料!$S:$S, (MATCH(958, 輔助計算!$E$2:$E$801, 0)+1))="","",INDEX(ERP資料!$S:$S, (MATCH(958, 輔助計算!$E$2:$E$801, 0)+1))), "")</f>
        <v/>
      </c>
      <c r="D959" s="10">
        <f>IFERROR(IF(INDEX(ERP資料!$E:$E, (MATCH(958, 輔助計算!$E$2:$E$801, 0)+1))="","",TRIM(INDEX(ERP資料!$E:$E, (MATCH(958, 輔助計算!$E$2:$E$801, 0)+1)))), "")</f>
        <v/>
      </c>
      <c r="E959" s="10">
        <f>IFERROR(IF(INDEX(ERP資料!$F:$F, (MATCH(958, 輔助計算!$E$2:$E$801, 0)+1))="","",INDEX(ERP資料!$F:$F, (MATCH(958, 輔助計算!$E$2:$E$801, 0)+1))), "")</f>
        <v/>
      </c>
      <c r="F959" s="10">
        <f>IFERROR(IF(INDEX(ERP資料!$G:$G, (MATCH(958, 輔助計算!$E$2:$E$801, 0)+1))="","",INDEX(ERP資料!$G:$G, (MATCH(958, 輔助計算!$E$2:$E$801, 0)+1))), "")</f>
        <v/>
      </c>
      <c r="G959" s="10">
        <f>IFERROR(IF(INDEX(ERP資料!$H:$H, (MATCH(958, 輔助計算!$E$2:$E$801, 0)+1))="","",INDEX(ERP資料!$H:$H, (MATCH(958, 輔助計算!$E$2:$E$801, 0)+1))), "")</f>
        <v/>
      </c>
      <c r="H959" s="15">
        <f>IFERROR(INDEX(輔助計算!$D:$D, (MATCH(958, 輔助計算!$E$2:$E$801, 0)+1)), "")</f>
        <v/>
      </c>
      <c r="I959" s="10">
        <f>IFERROR(IF(INDEX(ERP資料!$O:$O, (MATCH(958, 輔助計算!$E$2:$E$801, 0)+1))="","",INDEX(ERP資料!$O:$O, (MATCH(958, 輔助計算!$E$2:$E$801, 0)+1))), "")</f>
        <v/>
      </c>
      <c r="J959" s="15">
        <f>IFERROR(IF(INDEX(輔助計算!$D:$D,(MATCH(958, 輔助計算!$E$2:$E$801, 0)+1))="","",INDEX(輔助計算!$D:$D,(MATCH(958, 輔助計算!$E$2:$E$801, 0)+1))*INDEX(ERP資料!$O:$O,(MATCH(958, 輔助計算!$E$2:$E$801, 0)+1))), "")</f>
        <v/>
      </c>
      <c r="K959" s="16" t="n"/>
      <c r="L959" s="16" t="n"/>
      <c r="M959" s="17" t="n"/>
    </row>
    <row r="960">
      <c r="A960" s="14">
        <f>IFERROR(IF(INDEX(ERP資料!$B:$B, (MATCH(959, 輔助計算!$E$2:$E$801, 0)+1))="","",INDEX(ERP資料!$B:$B, (MATCH(959, 輔助計算!$E$2:$E$801, 0)+1))), "")</f>
        <v/>
      </c>
      <c r="B960" s="10">
        <f>IFERROR(IF(INDEX(ERP資料!$A:$A, (MATCH(959, 輔助計算!$E$2:$E$801, 0)+1))="","",INDEX(ERP資料!$A:$A, (MATCH(959, 輔助計算!$E$2:$E$801, 0)+1))), "")</f>
        <v/>
      </c>
      <c r="C960" s="10">
        <f>IFERROR(IF(INDEX(ERP資料!$S:$S, (MATCH(959, 輔助計算!$E$2:$E$801, 0)+1))="","",INDEX(ERP資料!$S:$S, (MATCH(959, 輔助計算!$E$2:$E$801, 0)+1))), "")</f>
        <v/>
      </c>
      <c r="D960" s="10">
        <f>IFERROR(IF(INDEX(ERP資料!$E:$E, (MATCH(959, 輔助計算!$E$2:$E$801, 0)+1))="","",TRIM(INDEX(ERP資料!$E:$E, (MATCH(959, 輔助計算!$E$2:$E$801, 0)+1)))), "")</f>
        <v/>
      </c>
      <c r="E960" s="10">
        <f>IFERROR(IF(INDEX(ERP資料!$F:$F, (MATCH(959, 輔助計算!$E$2:$E$801, 0)+1))="","",INDEX(ERP資料!$F:$F, (MATCH(959, 輔助計算!$E$2:$E$801, 0)+1))), "")</f>
        <v/>
      </c>
      <c r="F960" s="10">
        <f>IFERROR(IF(INDEX(ERP資料!$G:$G, (MATCH(959, 輔助計算!$E$2:$E$801, 0)+1))="","",INDEX(ERP資料!$G:$G, (MATCH(959, 輔助計算!$E$2:$E$801, 0)+1))), "")</f>
        <v/>
      </c>
      <c r="G960" s="10">
        <f>IFERROR(IF(INDEX(ERP資料!$H:$H, (MATCH(959, 輔助計算!$E$2:$E$801, 0)+1))="","",INDEX(ERP資料!$H:$H, (MATCH(959, 輔助計算!$E$2:$E$801, 0)+1))), "")</f>
        <v/>
      </c>
      <c r="H960" s="15">
        <f>IFERROR(INDEX(輔助計算!$D:$D, (MATCH(959, 輔助計算!$E$2:$E$801, 0)+1)), "")</f>
        <v/>
      </c>
      <c r="I960" s="10">
        <f>IFERROR(IF(INDEX(ERP資料!$O:$O, (MATCH(959, 輔助計算!$E$2:$E$801, 0)+1))="","",INDEX(ERP資料!$O:$O, (MATCH(959, 輔助計算!$E$2:$E$801, 0)+1))), "")</f>
        <v/>
      </c>
      <c r="J960" s="15">
        <f>IFERROR(IF(INDEX(輔助計算!$D:$D,(MATCH(959, 輔助計算!$E$2:$E$801, 0)+1))="","",INDEX(輔助計算!$D:$D,(MATCH(959, 輔助計算!$E$2:$E$801, 0)+1))*INDEX(ERP資料!$O:$O,(MATCH(959, 輔助計算!$E$2:$E$801, 0)+1))), "")</f>
        <v/>
      </c>
      <c r="K960" s="16" t="n"/>
      <c r="L960" s="16" t="n"/>
      <c r="M960" s="17" t="n"/>
    </row>
    <row r="961">
      <c r="A961" s="14">
        <f>IFERROR(IF(INDEX(ERP資料!$B:$B, (MATCH(960, 輔助計算!$E$2:$E$801, 0)+1))="","",INDEX(ERP資料!$B:$B, (MATCH(960, 輔助計算!$E$2:$E$801, 0)+1))), "")</f>
        <v/>
      </c>
      <c r="B961" s="10">
        <f>IFERROR(IF(INDEX(ERP資料!$A:$A, (MATCH(960, 輔助計算!$E$2:$E$801, 0)+1))="","",INDEX(ERP資料!$A:$A, (MATCH(960, 輔助計算!$E$2:$E$801, 0)+1))), "")</f>
        <v/>
      </c>
      <c r="C961" s="10">
        <f>IFERROR(IF(INDEX(ERP資料!$S:$S, (MATCH(960, 輔助計算!$E$2:$E$801, 0)+1))="","",INDEX(ERP資料!$S:$S, (MATCH(960, 輔助計算!$E$2:$E$801, 0)+1))), "")</f>
        <v/>
      </c>
      <c r="D961" s="10">
        <f>IFERROR(IF(INDEX(ERP資料!$E:$E, (MATCH(960, 輔助計算!$E$2:$E$801, 0)+1))="","",TRIM(INDEX(ERP資料!$E:$E, (MATCH(960, 輔助計算!$E$2:$E$801, 0)+1)))), "")</f>
        <v/>
      </c>
      <c r="E961" s="10">
        <f>IFERROR(IF(INDEX(ERP資料!$F:$F, (MATCH(960, 輔助計算!$E$2:$E$801, 0)+1))="","",INDEX(ERP資料!$F:$F, (MATCH(960, 輔助計算!$E$2:$E$801, 0)+1))), "")</f>
        <v/>
      </c>
      <c r="F961" s="10">
        <f>IFERROR(IF(INDEX(ERP資料!$G:$G, (MATCH(960, 輔助計算!$E$2:$E$801, 0)+1))="","",INDEX(ERP資料!$G:$G, (MATCH(960, 輔助計算!$E$2:$E$801, 0)+1))), "")</f>
        <v/>
      </c>
      <c r="G961" s="10">
        <f>IFERROR(IF(INDEX(ERP資料!$H:$H, (MATCH(960, 輔助計算!$E$2:$E$801, 0)+1))="","",INDEX(ERP資料!$H:$H, (MATCH(960, 輔助計算!$E$2:$E$801, 0)+1))), "")</f>
        <v/>
      </c>
      <c r="H961" s="15">
        <f>IFERROR(INDEX(輔助計算!$D:$D, (MATCH(960, 輔助計算!$E$2:$E$801, 0)+1)), "")</f>
        <v/>
      </c>
      <c r="I961" s="10">
        <f>IFERROR(IF(INDEX(ERP資料!$O:$O, (MATCH(960, 輔助計算!$E$2:$E$801, 0)+1))="","",INDEX(ERP資料!$O:$O, (MATCH(960, 輔助計算!$E$2:$E$801, 0)+1))), "")</f>
        <v/>
      </c>
      <c r="J961" s="15">
        <f>IFERROR(IF(INDEX(輔助計算!$D:$D,(MATCH(960, 輔助計算!$E$2:$E$801, 0)+1))="","",INDEX(輔助計算!$D:$D,(MATCH(960, 輔助計算!$E$2:$E$801, 0)+1))*INDEX(ERP資料!$O:$O,(MATCH(960, 輔助計算!$E$2:$E$801, 0)+1))), "")</f>
        <v/>
      </c>
      <c r="K961" s="16" t="n"/>
      <c r="L961" s="16" t="n"/>
      <c r="M961" s="17" t="n"/>
    </row>
    <row r="962">
      <c r="A962" s="14">
        <f>IFERROR(IF(INDEX(ERP資料!$B:$B, (MATCH(961, 輔助計算!$E$2:$E$801, 0)+1))="","",INDEX(ERP資料!$B:$B, (MATCH(961, 輔助計算!$E$2:$E$801, 0)+1))), "")</f>
        <v/>
      </c>
      <c r="B962" s="10">
        <f>IFERROR(IF(INDEX(ERP資料!$A:$A, (MATCH(961, 輔助計算!$E$2:$E$801, 0)+1))="","",INDEX(ERP資料!$A:$A, (MATCH(961, 輔助計算!$E$2:$E$801, 0)+1))), "")</f>
        <v/>
      </c>
      <c r="C962" s="10">
        <f>IFERROR(IF(INDEX(ERP資料!$S:$S, (MATCH(961, 輔助計算!$E$2:$E$801, 0)+1))="","",INDEX(ERP資料!$S:$S, (MATCH(961, 輔助計算!$E$2:$E$801, 0)+1))), "")</f>
        <v/>
      </c>
      <c r="D962" s="10">
        <f>IFERROR(IF(INDEX(ERP資料!$E:$E, (MATCH(961, 輔助計算!$E$2:$E$801, 0)+1))="","",TRIM(INDEX(ERP資料!$E:$E, (MATCH(961, 輔助計算!$E$2:$E$801, 0)+1)))), "")</f>
        <v/>
      </c>
      <c r="E962" s="10">
        <f>IFERROR(IF(INDEX(ERP資料!$F:$F, (MATCH(961, 輔助計算!$E$2:$E$801, 0)+1))="","",INDEX(ERP資料!$F:$F, (MATCH(961, 輔助計算!$E$2:$E$801, 0)+1))), "")</f>
        <v/>
      </c>
      <c r="F962" s="10">
        <f>IFERROR(IF(INDEX(ERP資料!$G:$G, (MATCH(961, 輔助計算!$E$2:$E$801, 0)+1))="","",INDEX(ERP資料!$G:$G, (MATCH(961, 輔助計算!$E$2:$E$801, 0)+1))), "")</f>
        <v/>
      </c>
      <c r="G962" s="10">
        <f>IFERROR(IF(INDEX(ERP資料!$H:$H, (MATCH(961, 輔助計算!$E$2:$E$801, 0)+1))="","",INDEX(ERP資料!$H:$H, (MATCH(961, 輔助計算!$E$2:$E$801, 0)+1))), "")</f>
        <v/>
      </c>
      <c r="H962" s="15">
        <f>IFERROR(INDEX(輔助計算!$D:$D, (MATCH(961, 輔助計算!$E$2:$E$801, 0)+1)), "")</f>
        <v/>
      </c>
      <c r="I962" s="10">
        <f>IFERROR(IF(INDEX(ERP資料!$O:$O, (MATCH(961, 輔助計算!$E$2:$E$801, 0)+1))="","",INDEX(ERP資料!$O:$O, (MATCH(961, 輔助計算!$E$2:$E$801, 0)+1))), "")</f>
        <v/>
      </c>
      <c r="J962" s="15">
        <f>IFERROR(IF(INDEX(輔助計算!$D:$D,(MATCH(961, 輔助計算!$E$2:$E$801, 0)+1))="","",INDEX(輔助計算!$D:$D,(MATCH(961, 輔助計算!$E$2:$E$801, 0)+1))*INDEX(ERP資料!$O:$O,(MATCH(961, 輔助計算!$E$2:$E$801, 0)+1))), "")</f>
        <v/>
      </c>
      <c r="K962" s="16" t="n"/>
      <c r="L962" s="16" t="n"/>
      <c r="M962" s="17" t="n"/>
    </row>
    <row r="963">
      <c r="A963" s="14">
        <f>IFERROR(IF(INDEX(ERP資料!$B:$B, (MATCH(962, 輔助計算!$E$2:$E$801, 0)+1))="","",INDEX(ERP資料!$B:$B, (MATCH(962, 輔助計算!$E$2:$E$801, 0)+1))), "")</f>
        <v/>
      </c>
      <c r="B963" s="10">
        <f>IFERROR(IF(INDEX(ERP資料!$A:$A, (MATCH(962, 輔助計算!$E$2:$E$801, 0)+1))="","",INDEX(ERP資料!$A:$A, (MATCH(962, 輔助計算!$E$2:$E$801, 0)+1))), "")</f>
        <v/>
      </c>
      <c r="C963" s="10">
        <f>IFERROR(IF(INDEX(ERP資料!$S:$S, (MATCH(962, 輔助計算!$E$2:$E$801, 0)+1))="","",INDEX(ERP資料!$S:$S, (MATCH(962, 輔助計算!$E$2:$E$801, 0)+1))), "")</f>
        <v/>
      </c>
      <c r="D963" s="10">
        <f>IFERROR(IF(INDEX(ERP資料!$E:$E, (MATCH(962, 輔助計算!$E$2:$E$801, 0)+1))="","",TRIM(INDEX(ERP資料!$E:$E, (MATCH(962, 輔助計算!$E$2:$E$801, 0)+1)))), "")</f>
        <v/>
      </c>
      <c r="E963" s="10">
        <f>IFERROR(IF(INDEX(ERP資料!$F:$F, (MATCH(962, 輔助計算!$E$2:$E$801, 0)+1))="","",INDEX(ERP資料!$F:$F, (MATCH(962, 輔助計算!$E$2:$E$801, 0)+1))), "")</f>
        <v/>
      </c>
      <c r="F963" s="10">
        <f>IFERROR(IF(INDEX(ERP資料!$G:$G, (MATCH(962, 輔助計算!$E$2:$E$801, 0)+1))="","",INDEX(ERP資料!$G:$G, (MATCH(962, 輔助計算!$E$2:$E$801, 0)+1))), "")</f>
        <v/>
      </c>
      <c r="G963" s="10">
        <f>IFERROR(IF(INDEX(ERP資料!$H:$H, (MATCH(962, 輔助計算!$E$2:$E$801, 0)+1))="","",INDEX(ERP資料!$H:$H, (MATCH(962, 輔助計算!$E$2:$E$801, 0)+1))), "")</f>
        <v/>
      </c>
      <c r="H963" s="15">
        <f>IFERROR(INDEX(輔助計算!$D:$D, (MATCH(962, 輔助計算!$E$2:$E$801, 0)+1)), "")</f>
        <v/>
      </c>
      <c r="I963" s="10">
        <f>IFERROR(IF(INDEX(ERP資料!$O:$O, (MATCH(962, 輔助計算!$E$2:$E$801, 0)+1))="","",INDEX(ERP資料!$O:$O, (MATCH(962, 輔助計算!$E$2:$E$801, 0)+1))), "")</f>
        <v/>
      </c>
      <c r="J963" s="15">
        <f>IFERROR(IF(INDEX(輔助計算!$D:$D,(MATCH(962, 輔助計算!$E$2:$E$801, 0)+1))="","",INDEX(輔助計算!$D:$D,(MATCH(962, 輔助計算!$E$2:$E$801, 0)+1))*INDEX(ERP資料!$O:$O,(MATCH(962, 輔助計算!$E$2:$E$801, 0)+1))), "")</f>
        <v/>
      </c>
      <c r="K963" s="16" t="n"/>
      <c r="L963" s="16" t="n"/>
      <c r="M963" s="17" t="n"/>
    </row>
    <row r="964">
      <c r="A964" s="14">
        <f>IFERROR(IF(INDEX(ERP資料!$B:$B, (MATCH(963, 輔助計算!$E$2:$E$801, 0)+1))="","",INDEX(ERP資料!$B:$B, (MATCH(963, 輔助計算!$E$2:$E$801, 0)+1))), "")</f>
        <v/>
      </c>
      <c r="B964" s="10">
        <f>IFERROR(IF(INDEX(ERP資料!$A:$A, (MATCH(963, 輔助計算!$E$2:$E$801, 0)+1))="","",INDEX(ERP資料!$A:$A, (MATCH(963, 輔助計算!$E$2:$E$801, 0)+1))), "")</f>
        <v/>
      </c>
      <c r="C964" s="10">
        <f>IFERROR(IF(INDEX(ERP資料!$S:$S, (MATCH(963, 輔助計算!$E$2:$E$801, 0)+1))="","",INDEX(ERP資料!$S:$S, (MATCH(963, 輔助計算!$E$2:$E$801, 0)+1))), "")</f>
        <v/>
      </c>
      <c r="D964" s="10">
        <f>IFERROR(IF(INDEX(ERP資料!$E:$E, (MATCH(963, 輔助計算!$E$2:$E$801, 0)+1))="","",TRIM(INDEX(ERP資料!$E:$E, (MATCH(963, 輔助計算!$E$2:$E$801, 0)+1)))), "")</f>
        <v/>
      </c>
      <c r="E964" s="10">
        <f>IFERROR(IF(INDEX(ERP資料!$F:$F, (MATCH(963, 輔助計算!$E$2:$E$801, 0)+1))="","",INDEX(ERP資料!$F:$F, (MATCH(963, 輔助計算!$E$2:$E$801, 0)+1))), "")</f>
        <v/>
      </c>
      <c r="F964" s="10">
        <f>IFERROR(IF(INDEX(ERP資料!$G:$G, (MATCH(963, 輔助計算!$E$2:$E$801, 0)+1))="","",INDEX(ERP資料!$G:$G, (MATCH(963, 輔助計算!$E$2:$E$801, 0)+1))), "")</f>
        <v/>
      </c>
      <c r="G964" s="10">
        <f>IFERROR(IF(INDEX(ERP資料!$H:$H, (MATCH(963, 輔助計算!$E$2:$E$801, 0)+1))="","",INDEX(ERP資料!$H:$H, (MATCH(963, 輔助計算!$E$2:$E$801, 0)+1))), "")</f>
        <v/>
      </c>
      <c r="H964" s="15">
        <f>IFERROR(INDEX(輔助計算!$D:$D, (MATCH(963, 輔助計算!$E$2:$E$801, 0)+1)), "")</f>
        <v/>
      </c>
      <c r="I964" s="10">
        <f>IFERROR(IF(INDEX(ERP資料!$O:$O, (MATCH(963, 輔助計算!$E$2:$E$801, 0)+1))="","",INDEX(ERP資料!$O:$O, (MATCH(963, 輔助計算!$E$2:$E$801, 0)+1))), "")</f>
        <v/>
      </c>
      <c r="J964" s="15">
        <f>IFERROR(IF(INDEX(輔助計算!$D:$D,(MATCH(963, 輔助計算!$E$2:$E$801, 0)+1))="","",INDEX(輔助計算!$D:$D,(MATCH(963, 輔助計算!$E$2:$E$801, 0)+1))*INDEX(ERP資料!$O:$O,(MATCH(963, 輔助計算!$E$2:$E$801, 0)+1))), "")</f>
        <v/>
      </c>
      <c r="K964" s="16" t="n"/>
      <c r="L964" s="16" t="n"/>
      <c r="M964" s="17" t="n"/>
    </row>
    <row r="965">
      <c r="A965" s="14">
        <f>IFERROR(IF(INDEX(ERP資料!$B:$B, (MATCH(964, 輔助計算!$E$2:$E$801, 0)+1))="","",INDEX(ERP資料!$B:$B, (MATCH(964, 輔助計算!$E$2:$E$801, 0)+1))), "")</f>
        <v/>
      </c>
      <c r="B965" s="10">
        <f>IFERROR(IF(INDEX(ERP資料!$A:$A, (MATCH(964, 輔助計算!$E$2:$E$801, 0)+1))="","",INDEX(ERP資料!$A:$A, (MATCH(964, 輔助計算!$E$2:$E$801, 0)+1))), "")</f>
        <v/>
      </c>
      <c r="C965" s="10">
        <f>IFERROR(IF(INDEX(ERP資料!$S:$S, (MATCH(964, 輔助計算!$E$2:$E$801, 0)+1))="","",INDEX(ERP資料!$S:$S, (MATCH(964, 輔助計算!$E$2:$E$801, 0)+1))), "")</f>
        <v/>
      </c>
      <c r="D965" s="10">
        <f>IFERROR(IF(INDEX(ERP資料!$E:$E, (MATCH(964, 輔助計算!$E$2:$E$801, 0)+1))="","",TRIM(INDEX(ERP資料!$E:$E, (MATCH(964, 輔助計算!$E$2:$E$801, 0)+1)))), "")</f>
        <v/>
      </c>
      <c r="E965" s="10">
        <f>IFERROR(IF(INDEX(ERP資料!$F:$F, (MATCH(964, 輔助計算!$E$2:$E$801, 0)+1))="","",INDEX(ERP資料!$F:$F, (MATCH(964, 輔助計算!$E$2:$E$801, 0)+1))), "")</f>
        <v/>
      </c>
      <c r="F965" s="10">
        <f>IFERROR(IF(INDEX(ERP資料!$G:$G, (MATCH(964, 輔助計算!$E$2:$E$801, 0)+1))="","",INDEX(ERP資料!$G:$G, (MATCH(964, 輔助計算!$E$2:$E$801, 0)+1))), "")</f>
        <v/>
      </c>
      <c r="G965" s="10">
        <f>IFERROR(IF(INDEX(ERP資料!$H:$H, (MATCH(964, 輔助計算!$E$2:$E$801, 0)+1))="","",INDEX(ERP資料!$H:$H, (MATCH(964, 輔助計算!$E$2:$E$801, 0)+1))), "")</f>
        <v/>
      </c>
      <c r="H965" s="15">
        <f>IFERROR(INDEX(輔助計算!$D:$D, (MATCH(964, 輔助計算!$E$2:$E$801, 0)+1)), "")</f>
        <v/>
      </c>
      <c r="I965" s="10">
        <f>IFERROR(IF(INDEX(ERP資料!$O:$O, (MATCH(964, 輔助計算!$E$2:$E$801, 0)+1))="","",INDEX(ERP資料!$O:$O, (MATCH(964, 輔助計算!$E$2:$E$801, 0)+1))), "")</f>
        <v/>
      </c>
      <c r="J965" s="15">
        <f>IFERROR(IF(INDEX(輔助計算!$D:$D,(MATCH(964, 輔助計算!$E$2:$E$801, 0)+1))="","",INDEX(輔助計算!$D:$D,(MATCH(964, 輔助計算!$E$2:$E$801, 0)+1))*INDEX(ERP資料!$O:$O,(MATCH(964, 輔助計算!$E$2:$E$801, 0)+1))), "")</f>
        <v/>
      </c>
      <c r="K965" s="16" t="n"/>
      <c r="L965" s="16" t="n"/>
      <c r="M965" s="17" t="n"/>
    </row>
    <row r="966">
      <c r="A966" s="14">
        <f>IFERROR(IF(INDEX(ERP資料!$B:$B, (MATCH(965, 輔助計算!$E$2:$E$801, 0)+1))="","",INDEX(ERP資料!$B:$B, (MATCH(965, 輔助計算!$E$2:$E$801, 0)+1))), "")</f>
        <v/>
      </c>
      <c r="B966" s="10">
        <f>IFERROR(IF(INDEX(ERP資料!$A:$A, (MATCH(965, 輔助計算!$E$2:$E$801, 0)+1))="","",INDEX(ERP資料!$A:$A, (MATCH(965, 輔助計算!$E$2:$E$801, 0)+1))), "")</f>
        <v/>
      </c>
      <c r="C966" s="10">
        <f>IFERROR(IF(INDEX(ERP資料!$S:$S, (MATCH(965, 輔助計算!$E$2:$E$801, 0)+1))="","",INDEX(ERP資料!$S:$S, (MATCH(965, 輔助計算!$E$2:$E$801, 0)+1))), "")</f>
        <v/>
      </c>
      <c r="D966" s="10">
        <f>IFERROR(IF(INDEX(ERP資料!$E:$E, (MATCH(965, 輔助計算!$E$2:$E$801, 0)+1))="","",TRIM(INDEX(ERP資料!$E:$E, (MATCH(965, 輔助計算!$E$2:$E$801, 0)+1)))), "")</f>
        <v/>
      </c>
      <c r="E966" s="10">
        <f>IFERROR(IF(INDEX(ERP資料!$F:$F, (MATCH(965, 輔助計算!$E$2:$E$801, 0)+1))="","",INDEX(ERP資料!$F:$F, (MATCH(965, 輔助計算!$E$2:$E$801, 0)+1))), "")</f>
        <v/>
      </c>
      <c r="F966" s="10">
        <f>IFERROR(IF(INDEX(ERP資料!$G:$G, (MATCH(965, 輔助計算!$E$2:$E$801, 0)+1))="","",INDEX(ERP資料!$G:$G, (MATCH(965, 輔助計算!$E$2:$E$801, 0)+1))), "")</f>
        <v/>
      </c>
      <c r="G966" s="10">
        <f>IFERROR(IF(INDEX(ERP資料!$H:$H, (MATCH(965, 輔助計算!$E$2:$E$801, 0)+1))="","",INDEX(ERP資料!$H:$H, (MATCH(965, 輔助計算!$E$2:$E$801, 0)+1))), "")</f>
        <v/>
      </c>
      <c r="H966" s="15">
        <f>IFERROR(INDEX(輔助計算!$D:$D, (MATCH(965, 輔助計算!$E$2:$E$801, 0)+1)), "")</f>
        <v/>
      </c>
      <c r="I966" s="10">
        <f>IFERROR(IF(INDEX(ERP資料!$O:$O, (MATCH(965, 輔助計算!$E$2:$E$801, 0)+1))="","",INDEX(ERP資料!$O:$O, (MATCH(965, 輔助計算!$E$2:$E$801, 0)+1))), "")</f>
        <v/>
      </c>
      <c r="J966" s="15">
        <f>IFERROR(IF(INDEX(輔助計算!$D:$D,(MATCH(965, 輔助計算!$E$2:$E$801, 0)+1))="","",INDEX(輔助計算!$D:$D,(MATCH(965, 輔助計算!$E$2:$E$801, 0)+1))*INDEX(ERP資料!$O:$O,(MATCH(965, 輔助計算!$E$2:$E$801, 0)+1))), "")</f>
        <v/>
      </c>
      <c r="K966" s="16" t="n"/>
      <c r="L966" s="16" t="n"/>
      <c r="M966" s="17" t="n"/>
    </row>
    <row r="967">
      <c r="A967" s="14">
        <f>IFERROR(IF(INDEX(ERP資料!$B:$B, (MATCH(966, 輔助計算!$E$2:$E$801, 0)+1))="","",INDEX(ERP資料!$B:$B, (MATCH(966, 輔助計算!$E$2:$E$801, 0)+1))), "")</f>
        <v/>
      </c>
      <c r="B967" s="10">
        <f>IFERROR(IF(INDEX(ERP資料!$A:$A, (MATCH(966, 輔助計算!$E$2:$E$801, 0)+1))="","",INDEX(ERP資料!$A:$A, (MATCH(966, 輔助計算!$E$2:$E$801, 0)+1))), "")</f>
        <v/>
      </c>
      <c r="C967" s="10">
        <f>IFERROR(IF(INDEX(ERP資料!$S:$S, (MATCH(966, 輔助計算!$E$2:$E$801, 0)+1))="","",INDEX(ERP資料!$S:$S, (MATCH(966, 輔助計算!$E$2:$E$801, 0)+1))), "")</f>
        <v/>
      </c>
      <c r="D967" s="10">
        <f>IFERROR(IF(INDEX(ERP資料!$E:$E, (MATCH(966, 輔助計算!$E$2:$E$801, 0)+1))="","",TRIM(INDEX(ERP資料!$E:$E, (MATCH(966, 輔助計算!$E$2:$E$801, 0)+1)))), "")</f>
        <v/>
      </c>
      <c r="E967" s="10">
        <f>IFERROR(IF(INDEX(ERP資料!$F:$F, (MATCH(966, 輔助計算!$E$2:$E$801, 0)+1))="","",INDEX(ERP資料!$F:$F, (MATCH(966, 輔助計算!$E$2:$E$801, 0)+1))), "")</f>
        <v/>
      </c>
      <c r="F967" s="10">
        <f>IFERROR(IF(INDEX(ERP資料!$G:$G, (MATCH(966, 輔助計算!$E$2:$E$801, 0)+1))="","",INDEX(ERP資料!$G:$G, (MATCH(966, 輔助計算!$E$2:$E$801, 0)+1))), "")</f>
        <v/>
      </c>
      <c r="G967" s="10">
        <f>IFERROR(IF(INDEX(ERP資料!$H:$H, (MATCH(966, 輔助計算!$E$2:$E$801, 0)+1))="","",INDEX(ERP資料!$H:$H, (MATCH(966, 輔助計算!$E$2:$E$801, 0)+1))), "")</f>
        <v/>
      </c>
      <c r="H967" s="15">
        <f>IFERROR(INDEX(輔助計算!$D:$D, (MATCH(966, 輔助計算!$E$2:$E$801, 0)+1)), "")</f>
        <v/>
      </c>
      <c r="I967" s="10">
        <f>IFERROR(IF(INDEX(ERP資料!$O:$O, (MATCH(966, 輔助計算!$E$2:$E$801, 0)+1))="","",INDEX(ERP資料!$O:$O, (MATCH(966, 輔助計算!$E$2:$E$801, 0)+1))), "")</f>
        <v/>
      </c>
      <c r="J967" s="15">
        <f>IFERROR(IF(INDEX(輔助計算!$D:$D,(MATCH(966, 輔助計算!$E$2:$E$801, 0)+1))="","",INDEX(輔助計算!$D:$D,(MATCH(966, 輔助計算!$E$2:$E$801, 0)+1))*INDEX(ERP資料!$O:$O,(MATCH(966, 輔助計算!$E$2:$E$801, 0)+1))), "")</f>
        <v/>
      </c>
      <c r="K967" s="16" t="n"/>
      <c r="L967" s="16" t="n"/>
      <c r="M967" s="17" t="n"/>
    </row>
    <row r="968">
      <c r="A968" s="14">
        <f>IFERROR(IF(INDEX(ERP資料!$B:$B, (MATCH(967, 輔助計算!$E$2:$E$801, 0)+1))="","",INDEX(ERP資料!$B:$B, (MATCH(967, 輔助計算!$E$2:$E$801, 0)+1))), "")</f>
        <v/>
      </c>
      <c r="B968" s="10">
        <f>IFERROR(IF(INDEX(ERP資料!$A:$A, (MATCH(967, 輔助計算!$E$2:$E$801, 0)+1))="","",INDEX(ERP資料!$A:$A, (MATCH(967, 輔助計算!$E$2:$E$801, 0)+1))), "")</f>
        <v/>
      </c>
      <c r="C968" s="10">
        <f>IFERROR(IF(INDEX(ERP資料!$S:$S, (MATCH(967, 輔助計算!$E$2:$E$801, 0)+1))="","",INDEX(ERP資料!$S:$S, (MATCH(967, 輔助計算!$E$2:$E$801, 0)+1))), "")</f>
        <v/>
      </c>
      <c r="D968" s="10">
        <f>IFERROR(IF(INDEX(ERP資料!$E:$E, (MATCH(967, 輔助計算!$E$2:$E$801, 0)+1))="","",TRIM(INDEX(ERP資料!$E:$E, (MATCH(967, 輔助計算!$E$2:$E$801, 0)+1)))), "")</f>
        <v/>
      </c>
      <c r="E968" s="10">
        <f>IFERROR(IF(INDEX(ERP資料!$F:$F, (MATCH(967, 輔助計算!$E$2:$E$801, 0)+1))="","",INDEX(ERP資料!$F:$F, (MATCH(967, 輔助計算!$E$2:$E$801, 0)+1))), "")</f>
        <v/>
      </c>
      <c r="F968" s="10">
        <f>IFERROR(IF(INDEX(ERP資料!$G:$G, (MATCH(967, 輔助計算!$E$2:$E$801, 0)+1))="","",INDEX(ERP資料!$G:$G, (MATCH(967, 輔助計算!$E$2:$E$801, 0)+1))), "")</f>
        <v/>
      </c>
      <c r="G968" s="10">
        <f>IFERROR(IF(INDEX(ERP資料!$H:$H, (MATCH(967, 輔助計算!$E$2:$E$801, 0)+1))="","",INDEX(ERP資料!$H:$H, (MATCH(967, 輔助計算!$E$2:$E$801, 0)+1))), "")</f>
        <v/>
      </c>
      <c r="H968" s="15">
        <f>IFERROR(INDEX(輔助計算!$D:$D, (MATCH(967, 輔助計算!$E$2:$E$801, 0)+1)), "")</f>
        <v/>
      </c>
      <c r="I968" s="10">
        <f>IFERROR(IF(INDEX(ERP資料!$O:$O, (MATCH(967, 輔助計算!$E$2:$E$801, 0)+1))="","",INDEX(ERP資料!$O:$O, (MATCH(967, 輔助計算!$E$2:$E$801, 0)+1))), "")</f>
        <v/>
      </c>
      <c r="J968" s="15">
        <f>IFERROR(IF(INDEX(輔助計算!$D:$D,(MATCH(967, 輔助計算!$E$2:$E$801, 0)+1))="","",INDEX(輔助計算!$D:$D,(MATCH(967, 輔助計算!$E$2:$E$801, 0)+1))*INDEX(ERP資料!$O:$O,(MATCH(967, 輔助計算!$E$2:$E$801, 0)+1))), "")</f>
        <v/>
      </c>
      <c r="K968" s="16" t="n"/>
      <c r="L968" s="16" t="n"/>
      <c r="M968" s="17" t="n"/>
    </row>
    <row r="969">
      <c r="A969" s="14">
        <f>IFERROR(IF(INDEX(ERP資料!$B:$B, (MATCH(968, 輔助計算!$E$2:$E$801, 0)+1))="","",INDEX(ERP資料!$B:$B, (MATCH(968, 輔助計算!$E$2:$E$801, 0)+1))), "")</f>
        <v/>
      </c>
      <c r="B969" s="10">
        <f>IFERROR(IF(INDEX(ERP資料!$A:$A, (MATCH(968, 輔助計算!$E$2:$E$801, 0)+1))="","",INDEX(ERP資料!$A:$A, (MATCH(968, 輔助計算!$E$2:$E$801, 0)+1))), "")</f>
        <v/>
      </c>
      <c r="C969" s="10">
        <f>IFERROR(IF(INDEX(ERP資料!$S:$S, (MATCH(968, 輔助計算!$E$2:$E$801, 0)+1))="","",INDEX(ERP資料!$S:$S, (MATCH(968, 輔助計算!$E$2:$E$801, 0)+1))), "")</f>
        <v/>
      </c>
      <c r="D969" s="10">
        <f>IFERROR(IF(INDEX(ERP資料!$E:$E, (MATCH(968, 輔助計算!$E$2:$E$801, 0)+1))="","",TRIM(INDEX(ERP資料!$E:$E, (MATCH(968, 輔助計算!$E$2:$E$801, 0)+1)))), "")</f>
        <v/>
      </c>
      <c r="E969" s="10">
        <f>IFERROR(IF(INDEX(ERP資料!$F:$F, (MATCH(968, 輔助計算!$E$2:$E$801, 0)+1))="","",INDEX(ERP資料!$F:$F, (MATCH(968, 輔助計算!$E$2:$E$801, 0)+1))), "")</f>
        <v/>
      </c>
      <c r="F969" s="10">
        <f>IFERROR(IF(INDEX(ERP資料!$G:$G, (MATCH(968, 輔助計算!$E$2:$E$801, 0)+1))="","",INDEX(ERP資料!$G:$G, (MATCH(968, 輔助計算!$E$2:$E$801, 0)+1))), "")</f>
        <v/>
      </c>
      <c r="G969" s="10">
        <f>IFERROR(IF(INDEX(ERP資料!$H:$H, (MATCH(968, 輔助計算!$E$2:$E$801, 0)+1))="","",INDEX(ERP資料!$H:$H, (MATCH(968, 輔助計算!$E$2:$E$801, 0)+1))), "")</f>
        <v/>
      </c>
      <c r="H969" s="15">
        <f>IFERROR(INDEX(輔助計算!$D:$D, (MATCH(968, 輔助計算!$E$2:$E$801, 0)+1)), "")</f>
        <v/>
      </c>
      <c r="I969" s="10">
        <f>IFERROR(IF(INDEX(ERP資料!$O:$O, (MATCH(968, 輔助計算!$E$2:$E$801, 0)+1))="","",INDEX(ERP資料!$O:$O, (MATCH(968, 輔助計算!$E$2:$E$801, 0)+1))), "")</f>
        <v/>
      </c>
      <c r="J969" s="15">
        <f>IFERROR(IF(INDEX(輔助計算!$D:$D,(MATCH(968, 輔助計算!$E$2:$E$801, 0)+1))="","",INDEX(輔助計算!$D:$D,(MATCH(968, 輔助計算!$E$2:$E$801, 0)+1))*INDEX(ERP資料!$O:$O,(MATCH(968, 輔助計算!$E$2:$E$801, 0)+1))), "")</f>
        <v/>
      </c>
      <c r="K969" s="16" t="n"/>
      <c r="L969" s="16" t="n"/>
      <c r="M969" s="17" t="n"/>
    </row>
    <row r="970">
      <c r="A970" s="14">
        <f>IFERROR(IF(INDEX(ERP資料!$B:$B, (MATCH(969, 輔助計算!$E$2:$E$801, 0)+1))="","",INDEX(ERP資料!$B:$B, (MATCH(969, 輔助計算!$E$2:$E$801, 0)+1))), "")</f>
        <v/>
      </c>
      <c r="B970" s="10">
        <f>IFERROR(IF(INDEX(ERP資料!$A:$A, (MATCH(969, 輔助計算!$E$2:$E$801, 0)+1))="","",INDEX(ERP資料!$A:$A, (MATCH(969, 輔助計算!$E$2:$E$801, 0)+1))), "")</f>
        <v/>
      </c>
      <c r="C970" s="10">
        <f>IFERROR(IF(INDEX(ERP資料!$S:$S, (MATCH(969, 輔助計算!$E$2:$E$801, 0)+1))="","",INDEX(ERP資料!$S:$S, (MATCH(969, 輔助計算!$E$2:$E$801, 0)+1))), "")</f>
        <v/>
      </c>
      <c r="D970" s="10">
        <f>IFERROR(IF(INDEX(ERP資料!$E:$E, (MATCH(969, 輔助計算!$E$2:$E$801, 0)+1))="","",TRIM(INDEX(ERP資料!$E:$E, (MATCH(969, 輔助計算!$E$2:$E$801, 0)+1)))), "")</f>
        <v/>
      </c>
      <c r="E970" s="10">
        <f>IFERROR(IF(INDEX(ERP資料!$F:$F, (MATCH(969, 輔助計算!$E$2:$E$801, 0)+1))="","",INDEX(ERP資料!$F:$F, (MATCH(969, 輔助計算!$E$2:$E$801, 0)+1))), "")</f>
        <v/>
      </c>
      <c r="F970" s="10">
        <f>IFERROR(IF(INDEX(ERP資料!$G:$G, (MATCH(969, 輔助計算!$E$2:$E$801, 0)+1))="","",INDEX(ERP資料!$G:$G, (MATCH(969, 輔助計算!$E$2:$E$801, 0)+1))), "")</f>
        <v/>
      </c>
      <c r="G970" s="10">
        <f>IFERROR(IF(INDEX(ERP資料!$H:$H, (MATCH(969, 輔助計算!$E$2:$E$801, 0)+1))="","",INDEX(ERP資料!$H:$H, (MATCH(969, 輔助計算!$E$2:$E$801, 0)+1))), "")</f>
        <v/>
      </c>
      <c r="H970" s="15">
        <f>IFERROR(INDEX(輔助計算!$D:$D, (MATCH(969, 輔助計算!$E$2:$E$801, 0)+1)), "")</f>
        <v/>
      </c>
      <c r="I970" s="10">
        <f>IFERROR(IF(INDEX(ERP資料!$O:$O, (MATCH(969, 輔助計算!$E$2:$E$801, 0)+1))="","",INDEX(ERP資料!$O:$O, (MATCH(969, 輔助計算!$E$2:$E$801, 0)+1))), "")</f>
        <v/>
      </c>
      <c r="J970" s="15">
        <f>IFERROR(IF(INDEX(輔助計算!$D:$D,(MATCH(969, 輔助計算!$E$2:$E$801, 0)+1))="","",INDEX(輔助計算!$D:$D,(MATCH(969, 輔助計算!$E$2:$E$801, 0)+1))*INDEX(ERP資料!$O:$O,(MATCH(969, 輔助計算!$E$2:$E$801, 0)+1))), "")</f>
        <v/>
      </c>
      <c r="K970" s="16" t="n"/>
      <c r="L970" s="16" t="n"/>
      <c r="M970" s="17" t="n"/>
    </row>
    <row r="971">
      <c r="A971" s="14">
        <f>IFERROR(IF(INDEX(ERP資料!$B:$B, (MATCH(970, 輔助計算!$E$2:$E$801, 0)+1))="","",INDEX(ERP資料!$B:$B, (MATCH(970, 輔助計算!$E$2:$E$801, 0)+1))), "")</f>
        <v/>
      </c>
      <c r="B971" s="10">
        <f>IFERROR(IF(INDEX(ERP資料!$A:$A, (MATCH(970, 輔助計算!$E$2:$E$801, 0)+1))="","",INDEX(ERP資料!$A:$A, (MATCH(970, 輔助計算!$E$2:$E$801, 0)+1))), "")</f>
        <v/>
      </c>
      <c r="C971" s="10">
        <f>IFERROR(IF(INDEX(ERP資料!$S:$S, (MATCH(970, 輔助計算!$E$2:$E$801, 0)+1))="","",INDEX(ERP資料!$S:$S, (MATCH(970, 輔助計算!$E$2:$E$801, 0)+1))), "")</f>
        <v/>
      </c>
      <c r="D971" s="10">
        <f>IFERROR(IF(INDEX(ERP資料!$E:$E, (MATCH(970, 輔助計算!$E$2:$E$801, 0)+1))="","",TRIM(INDEX(ERP資料!$E:$E, (MATCH(970, 輔助計算!$E$2:$E$801, 0)+1)))), "")</f>
        <v/>
      </c>
      <c r="E971" s="10">
        <f>IFERROR(IF(INDEX(ERP資料!$F:$F, (MATCH(970, 輔助計算!$E$2:$E$801, 0)+1))="","",INDEX(ERP資料!$F:$F, (MATCH(970, 輔助計算!$E$2:$E$801, 0)+1))), "")</f>
        <v/>
      </c>
      <c r="F971" s="10">
        <f>IFERROR(IF(INDEX(ERP資料!$G:$G, (MATCH(970, 輔助計算!$E$2:$E$801, 0)+1))="","",INDEX(ERP資料!$G:$G, (MATCH(970, 輔助計算!$E$2:$E$801, 0)+1))), "")</f>
        <v/>
      </c>
      <c r="G971" s="10">
        <f>IFERROR(IF(INDEX(ERP資料!$H:$H, (MATCH(970, 輔助計算!$E$2:$E$801, 0)+1))="","",INDEX(ERP資料!$H:$H, (MATCH(970, 輔助計算!$E$2:$E$801, 0)+1))), "")</f>
        <v/>
      </c>
      <c r="H971" s="15">
        <f>IFERROR(INDEX(輔助計算!$D:$D, (MATCH(970, 輔助計算!$E$2:$E$801, 0)+1)), "")</f>
        <v/>
      </c>
      <c r="I971" s="10">
        <f>IFERROR(IF(INDEX(ERP資料!$O:$O, (MATCH(970, 輔助計算!$E$2:$E$801, 0)+1))="","",INDEX(ERP資料!$O:$O, (MATCH(970, 輔助計算!$E$2:$E$801, 0)+1))), "")</f>
        <v/>
      </c>
      <c r="J971" s="15">
        <f>IFERROR(IF(INDEX(輔助計算!$D:$D,(MATCH(970, 輔助計算!$E$2:$E$801, 0)+1))="","",INDEX(輔助計算!$D:$D,(MATCH(970, 輔助計算!$E$2:$E$801, 0)+1))*INDEX(ERP資料!$O:$O,(MATCH(970, 輔助計算!$E$2:$E$801, 0)+1))), "")</f>
        <v/>
      </c>
      <c r="K971" s="16" t="n"/>
      <c r="L971" s="16" t="n"/>
      <c r="M971" s="17" t="n"/>
    </row>
    <row r="972">
      <c r="A972" s="14">
        <f>IFERROR(IF(INDEX(ERP資料!$B:$B, (MATCH(971, 輔助計算!$E$2:$E$801, 0)+1))="","",INDEX(ERP資料!$B:$B, (MATCH(971, 輔助計算!$E$2:$E$801, 0)+1))), "")</f>
        <v/>
      </c>
      <c r="B972" s="10">
        <f>IFERROR(IF(INDEX(ERP資料!$A:$A, (MATCH(971, 輔助計算!$E$2:$E$801, 0)+1))="","",INDEX(ERP資料!$A:$A, (MATCH(971, 輔助計算!$E$2:$E$801, 0)+1))), "")</f>
        <v/>
      </c>
      <c r="C972" s="10">
        <f>IFERROR(IF(INDEX(ERP資料!$S:$S, (MATCH(971, 輔助計算!$E$2:$E$801, 0)+1))="","",INDEX(ERP資料!$S:$S, (MATCH(971, 輔助計算!$E$2:$E$801, 0)+1))), "")</f>
        <v/>
      </c>
      <c r="D972" s="10">
        <f>IFERROR(IF(INDEX(ERP資料!$E:$E, (MATCH(971, 輔助計算!$E$2:$E$801, 0)+1))="","",TRIM(INDEX(ERP資料!$E:$E, (MATCH(971, 輔助計算!$E$2:$E$801, 0)+1)))), "")</f>
        <v/>
      </c>
      <c r="E972" s="10">
        <f>IFERROR(IF(INDEX(ERP資料!$F:$F, (MATCH(971, 輔助計算!$E$2:$E$801, 0)+1))="","",INDEX(ERP資料!$F:$F, (MATCH(971, 輔助計算!$E$2:$E$801, 0)+1))), "")</f>
        <v/>
      </c>
      <c r="F972" s="10">
        <f>IFERROR(IF(INDEX(ERP資料!$G:$G, (MATCH(971, 輔助計算!$E$2:$E$801, 0)+1))="","",INDEX(ERP資料!$G:$G, (MATCH(971, 輔助計算!$E$2:$E$801, 0)+1))), "")</f>
        <v/>
      </c>
      <c r="G972" s="10">
        <f>IFERROR(IF(INDEX(ERP資料!$H:$H, (MATCH(971, 輔助計算!$E$2:$E$801, 0)+1))="","",INDEX(ERP資料!$H:$H, (MATCH(971, 輔助計算!$E$2:$E$801, 0)+1))), "")</f>
        <v/>
      </c>
      <c r="H972" s="15">
        <f>IFERROR(INDEX(輔助計算!$D:$D, (MATCH(971, 輔助計算!$E$2:$E$801, 0)+1)), "")</f>
        <v/>
      </c>
      <c r="I972" s="10">
        <f>IFERROR(IF(INDEX(ERP資料!$O:$O, (MATCH(971, 輔助計算!$E$2:$E$801, 0)+1))="","",INDEX(ERP資料!$O:$O, (MATCH(971, 輔助計算!$E$2:$E$801, 0)+1))), "")</f>
        <v/>
      </c>
      <c r="J972" s="15">
        <f>IFERROR(IF(INDEX(輔助計算!$D:$D,(MATCH(971, 輔助計算!$E$2:$E$801, 0)+1))="","",INDEX(輔助計算!$D:$D,(MATCH(971, 輔助計算!$E$2:$E$801, 0)+1))*INDEX(ERP資料!$O:$O,(MATCH(971, 輔助計算!$E$2:$E$801, 0)+1))), "")</f>
        <v/>
      </c>
      <c r="K972" s="16" t="n"/>
      <c r="L972" s="16" t="n"/>
      <c r="M972" s="17" t="n"/>
    </row>
    <row r="973">
      <c r="A973" s="14">
        <f>IFERROR(IF(INDEX(ERP資料!$B:$B, (MATCH(972, 輔助計算!$E$2:$E$801, 0)+1))="","",INDEX(ERP資料!$B:$B, (MATCH(972, 輔助計算!$E$2:$E$801, 0)+1))), "")</f>
        <v/>
      </c>
      <c r="B973" s="10">
        <f>IFERROR(IF(INDEX(ERP資料!$A:$A, (MATCH(972, 輔助計算!$E$2:$E$801, 0)+1))="","",INDEX(ERP資料!$A:$A, (MATCH(972, 輔助計算!$E$2:$E$801, 0)+1))), "")</f>
        <v/>
      </c>
      <c r="C973" s="10">
        <f>IFERROR(IF(INDEX(ERP資料!$S:$S, (MATCH(972, 輔助計算!$E$2:$E$801, 0)+1))="","",INDEX(ERP資料!$S:$S, (MATCH(972, 輔助計算!$E$2:$E$801, 0)+1))), "")</f>
        <v/>
      </c>
      <c r="D973" s="10">
        <f>IFERROR(IF(INDEX(ERP資料!$E:$E, (MATCH(972, 輔助計算!$E$2:$E$801, 0)+1))="","",TRIM(INDEX(ERP資料!$E:$E, (MATCH(972, 輔助計算!$E$2:$E$801, 0)+1)))), "")</f>
        <v/>
      </c>
      <c r="E973" s="10">
        <f>IFERROR(IF(INDEX(ERP資料!$F:$F, (MATCH(972, 輔助計算!$E$2:$E$801, 0)+1))="","",INDEX(ERP資料!$F:$F, (MATCH(972, 輔助計算!$E$2:$E$801, 0)+1))), "")</f>
        <v/>
      </c>
      <c r="F973" s="10">
        <f>IFERROR(IF(INDEX(ERP資料!$G:$G, (MATCH(972, 輔助計算!$E$2:$E$801, 0)+1))="","",INDEX(ERP資料!$G:$G, (MATCH(972, 輔助計算!$E$2:$E$801, 0)+1))), "")</f>
        <v/>
      </c>
      <c r="G973" s="10">
        <f>IFERROR(IF(INDEX(ERP資料!$H:$H, (MATCH(972, 輔助計算!$E$2:$E$801, 0)+1))="","",INDEX(ERP資料!$H:$H, (MATCH(972, 輔助計算!$E$2:$E$801, 0)+1))), "")</f>
        <v/>
      </c>
      <c r="H973" s="15">
        <f>IFERROR(INDEX(輔助計算!$D:$D, (MATCH(972, 輔助計算!$E$2:$E$801, 0)+1)), "")</f>
        <v/>
      </c>
      <c r="I973" s="10">
        <f>IFERROR(IF(INDEX(ERP資料!$O:$O, (MATCH(972, 輔助計算!$E$2:$E$801, 0)+1))="","",INDEX(ERP資料!$O:$O, (MATCH(972, 輔助計算!$E$2:$E$801, 0)+1))), "")</f>
        <v/>
      </c>
      <c r="J973" s="15">
        <f>IFERROR(IF(INDEX(輔助計算!$D:$D,(MATCH(972, 輔助計算!$E$2:$E$801, 0)+1))="","",INDEX(輔助計算!$D:$D,(MATCH(972, 輔助計算!$E$2:$E$801, 0)+1))*INDEX(ERP資料!$O:$O,(MATCH(972, 輔助計算!$E$2:$E$801, 0)+1))), "")</f>
        <v/>
      </c>
      <c r="K973" s="16" t="n"/>
      <c r="L973" s="16" t="n"/>
      <c r="M973" s="17" t="n"/>
    </row>
    <row r="974">
      <c r="A974" s="14">
        <f>IFERROR(IF(INDEX(ERP資料!$B:$B, (MATCH(973, 輔助計算!$E$2:$E$801, 0)+1))="","",INDEX(ERP資料!$B:$B, (MATCH(973, 輔助計算!$E$2:$E$801, 0)+1))), "")</f>
        <v/>
      </c>
      <c r="B974" s="10">
        <f>IFERROR(IF(INDEX(ERP資料!$A:$A, (MATCH(973, 輔助計算!$E$2:$E$801, 0)+1))="","",INDEX(ERP資料!$A:$A, (MATCH(973, 輔助計算!$E$2:$E$801, 0)+1))), "")</f>
        <v/>
      </c>
      <c r="C974" s="10">
        <f>IFERROR(IF(INDEX(ERP資料!$S:$S, (MATCH(973, 輔助計算!$E$2:$E$801, 0)+1))="","",INDEX(ERP資料!$S:$S, (MATCH(973, 輔助計算!$E$2:$E$801, 0)+1))), "")</f>
        <v/>
      </c>
      <c r="D974" s="10">
        <f>IFERROR(IF(INDEX(ERP資料!$E:$E, (MATCH(973, 輔助計算!$E$2:$E$801, 0)+1))="","",TRIM(INDEX(ERP資料!$E:$E, (MATCH(973, 輔助計算!$E$2:$E$801, 0)+1)))), "")</f>
        <v/>
      </c>
      <c r="E974" s="10">
        <f>IFERROR(IF(INDEX(ERP資料!$F:$F, (MATCH(973, 輔助計算!$E$2:$E$801, 0)+1))="","",INDEX(ERP資料!$F:$F, (MATCH(973, 輔助計算!$E$2:$E$801, 0)+1))), "")</f>
        <v/>
      </c>
      <c r="F974" s="10">
        <f>IFERROR(IF(INDEX(ERP資料!$G:$G, (MATCH(973, 輔助計算!$E$2:$E$801, 0)+1))="","",INDEX(ERP資料!$G:$G, (MATCH(973, 輔助計算!$E$2:$E$801, 0)+1))), "")</f>
        <v/>
      </c>
      <c r="G974" s="10">
        <f>IFERROR(IF(INDEX(ERP資料!$H:$H, (MATCH(973, 輔助計算!$E$2:$E$801, 0)+1))="","",INDEX(ERP資料!$H:$H, (MATCH(973, 輔助計算!$E$2:$E$801, 0)+1))), "")</f>
        <v/>
      </c>
      <c r="H974" s="15">
        <f>IFERROR(INDEX(輔助計算!$D:$D, (MATCH(973, 輔助計算!$E$2:$E$801, 0)+1)), "")</f>
        <v/>
      </c>
      <c r="I974" s="10">
        <f>IFERROR(IF(INDEX(ERP資料!$O:$O, (MATCH(973, 輔助計算!$E$2:$E$801, 0)+1))="","",INDEX(ERP資料!$O:$O, (MATCH(973, 輔助計算!$E$2:$E$801, 0)+1))), "")</f>
        <v/>
      </c>
      <c r="J974" s="15">
        <f>IFERROR(IF(INDEX(輔助計算!$D:$D,(MATCH(973, 輔助計算!$E$2:$E$801, 0)+1))="","",INDEX(輔助計算!$D:$D,(MATCH(973, 輔助計算!$E$2:$E$801, 0)+1))*INDEX(ERP資料!$O:$O,(MATCH(973, 輔助計算!$E$2:$E$801, 0)+1))), "")</f>
        <v/>
      </c>
      <c r="K974" s="16" t="n"/>
      <c r="L974" s="16" t="n"/>
      <c r="M974" s="17" t="n"/>
    </row>
    <row r="975">
      <c r="A975" s="14">
        <f>IFERROR(IF(INDEX(ERP資料!$B:$B, (MATCH(974, 輔助計算!$E$2:$E$801, 0)+1))="","",INDEX(ERP資料!$B:$B, (MATCH(974, 輔助計算!$E$2:$E$801, 0)+1))), "")</f>
        <v/>
      </c>
      <c r="B975" s="10">
        <f>IFERROR(IF(INDEX(ERP資料!$A:$A, (MATCH(974, 輔助計算!$E$2:$E$801, 0)+1))="","",INDEX(ERP資料!$A:$A, (MATCH(974, 輔助計算!$E$2:$E$801, 0)+1))), "")</f>
        <v/>
      </c>
      <c r="C975" s="10">
        <f>IFERROR(IF(INDEX(ERP資料!$S:$S, (MATCH(974, 輔助計算!$E$2:$E$801, 0)+1))="","",INDEX(ERP資料!$S:$S, (MATCH(974, 輔助計算!$E$2:$E$801, 0)+1))), "")</f>
        <v/>
      </c>
      <c r="D975" s="10">
        <f>IFERROR(IF(INDEX(ERP資料!$E:$E, (MATCH(974, 輔助計算!$E$2:$E$801, 0)+1))="","",TRIM(INDEX(ERP資料!$E:$E, (MATCH(974, 輔助計算!$E$2:$E$801, 0)+1)))), "")</f>
        <v/>
      </c>
      <c r="E975" s="10">
        <f>IFERROR(IF(INDEX(ERP資料!$F:$F, (MATCH(974, 輔助計算!$E$2:$E$801, 0)+1))="","",INDEX(ERP資料!$F:$F, (MATCH(974, 輔助計算!$E$2:$E$801, 0)+1))), "")</f>
        <v/>
      </c>
      <c r="F975" s="10">
        <f>IFERROR(IF(INDEX(ERP資料!$G:$G, (MATCH(974, 輔助計算!$E$2:$E$801, 0)+1))="","",INDEX(ERP資料!$G:$G, (MATCH(974, 輔助計算!$E$2:$E$801, 0)+1))), "")</f>
        <v/>
      </c>
      <c r="G975" s="10">
        <f>IFERROR(IF(INDEX(ERP資料!$H:$H, (MATCH(974, 輔助計算!$E$2:$E$801, 0)+1))="","",INDEX(ERP資料!$H:$H, (MATCH(974, 輔助計算!$E$2:$E$801, 0)+1))), "")</f>
        <v/>
      </c>
      <c r="H975" s="15">
        <f>IFERROR(INDEX(輔助計算!$D:$D, (MATCH(974, 輔助計算!$E$2:$E$801, 0)+1)), "")</f>
        <v/>
      </c>
      <c r="I975" s="10">
        <f>IFERROR(IF(INDEX(ERP資料!$O:$O, (MATCH(974, 輔助計算!$E$2:$E$801, 0)+1))="","",INDEX(ERP資料!$O:$O, (MATCH(974, 輔助計算!$E$2:$E$801, 0)+1))), "")</f>
        <v/>
      </c>
      <c r="J975" s="15">
        <f>IFERROR(IF(INDEX(輔助計算!$D:$D,(MATCH(974, 輔助計算!$E$2:$E$801, 0)+1))="","",INDEX(輔助計算!$D:$D,(MATCH(974, 輔助計算!$E$2:$E$801, 0)+1))*INDEX(ERP資料!$O:$O,(MATCH(974, 輔助計算!$E$2:$E$801, 0)+1))), "")</f>
        <v/>
      </c>
      <c r="K975" s="16" t="n"/>
      <c r="L975" s="16" t="n"/>
      <c r="M975" s="17" t="n"/>
    </row>
    <row r="976">
      <c r="A976" s="14">
        <f>IFERROR(IF(INDEX(ERP資料!$B:$B, (MATCH(975, 輔助計算!$E$2:$E$801, 0)+1))="","",INDEX(ERP資料!$B:$B, (MATCH(975, 輔助計算!$E$2:$E$801, 0)+1))), "")</f>
        <v/>
      </c>
      <c r="B976" s="10">
        <f>IFERROR(IF(INDEX(ERP資料!$A:$A, (MATCH(975, 輔助計算!$E$2:$E$801, 0)+1))="","",INDEX(ERP資料!$A:$A, (MATCH(975, 輔助計算!$E$2:$E$801, 0)+1))), "")</f>
        <v/>
      </c>
      <c r="C976" s="10">
        <f>IFERROR(IF(INDEX(ERP資料!$S:$S, (MATCH(975, 輔助計算!$E$2:$E$801, 0)+1))="","",INDEX(ERP資料!$S:$S, (MATCH(975, 輔助計算!$E$2:$E$801, 0)+1))), "")</f>
        <v/>
      </c>
      <c r="D976" s="10">
        <f>IFERROR(IF(INDEX(ERP資料!$E:$E, (MATCH(975, 輔助計算!$E$2:$E$801, 0)+1))="","",TRIM(INDEX(ERP資料!$E:$E, (MATCH(975, 輔助計算!$E$2:$E$801, 0)+1)))), "")</f>
        <v/>
      </c>
      <c r="E976" s="10">
        <f>IFERROR(IF(INDEX(ERP資料!$F:$F, (MATCH(975, 輔助計算!$E$2:$E$801, 0)+1))="","",INDEX(ERP資料!$F:$F, (MATCH(975, 輔助計算!$E$2:$E$801, 0)+1))), "")</f>
        <v/>
      </c>
      <c r="F976" s="10">
        <f>IFERROR(IF(INDEX(ERP資料!$G:$G, (MATCH(975, 輔助計算!$E$2:$E$801, 0)+1))="","",INDEX(ERP資料!$G:$G, (MATCH(975, 輔助計算!$E$2:$E$801, 0)+1))), "")</f>
        <v/>
      </c>
      <c r="G976" s="10">
        <f>IFERROR(IF(INDEX(ERP資料!$H:$H, (MATCH(975, 輔助計算!$E$2:$E$801, 0)+1))="","",INDEX(ERP資料!$H:$H, (MATCH(975, 輔助計算!$E$2:$E$801, 0)+1))), "")</f>
        <v/>
      </c>
      <c r="H976" s="15">
        <f>IFERROR(INDEX(輔助計算!$D:$D, (MATCH(975, 輔助計算!$E$2:$E$801, 0)+1)), "")</f>
        <v/>
      </c>
      <c r="I976" s="10">
        <f>IFERROR(IF(INDEX(ERP資料!$O:$O, (MATCH(975, 輔助計算!$E$2:$E$801, 0)+1))="","",INDEX(ERP資料!$O:$O, (MATCH(975, 輔助計算!$E$2:$E$801, 0)+1))), "")</f>
        <v/>
      </c>
      <c r="J976" s="15">
        <f>IFERROR(IF(INDEX(輔助計算!$D:$D,(MATCH(975, 輔助計算!$E$2:$E$801, 0)+1))="","",INDEX(輔助計算!$D:$D,(MATCH(975, 輔助計算!$E$2:$E$801, 0)+1))*INDEX(ERP資料!$O:$O,(MATCH(975, 輔助計算!$E$2:$E$801, 0)+1))), "")</f>
        <v/>
      </c>
      <c r="K976" s="16" t="n"/>
      <c r="L976" s="16" t="n"/>
      <c r="M976" s="17" t="n"/>
    </row>
    <row r="977">
      <c r="A977" s="14">
        <f>IFERROR(IF(INDEX(ERP資料!$B:$B, (MATCH(976, 輔助計算!$E$2:$E$801, 0)+1))="","",INDEX(ERP資料!$B:$B, (MATCH(976, 輔助計算!$E$2:$E$801, 0)+1))), "")</f>
        <v/>
      </c>
      <c r="B977" s="10">
        <f>IFERROR(IF(INDEX(ERP資料!$A:$A, (MATCH(976, 輔助計算!$E$2:$E$801, 0)+1))="","",INDEX(ERP資料!$A:$A, (MATCH(976, 輔助計算!$E$2:$E$801, 0)+1))), "")</f>
        <v/>
      </c>
      <c r="C977" s="10">
        <f>IFERROR(IF(INDEX(ERP資料!$S:$S, (MATCH(976, 輔助計算!$E$2:$E$801, 0)+1))="","",INDEX(ERP資料!$S:$S, (MATCH(976, 輔助計算!$E$2:$E$801, 0)+1))), "")</f>
        <v/>
      </c>
      <c r="D977" s="10">
        <f>IFERROR(IF(INDEX(ERP資料!$E:$E, (MATCH(976, 輔助計算!$E$2:$E$801, 0)+1))="","",TRIM(INDEX(ERP資料!$E:$E, (MATCH(976, 輔助計算!$E$2:$E$801, 0)+1)))), "")</f>
        <v/>
      </c>
      <c r="E977" s="10">
        <f>IFERROR(IF(INDEX(ERP資料!$F:$F, (MATCH(976, 輔助計算!$E$2:$E$801, 0)+1))="","",INDEX(ERP資料!$F:$F, (MATCH(976, 輔助計算!$E$2:$E$801, 0)+1))), "")</f>
        <v/>
      </c>
      <c r="F977" s="10">
        <f>IFERROR(IF(INDEX(ERP資料!$G:$G, (MATCH(976, 輔助計算!$E$2:$E$801, 0)+1))="","",INDEX(ERP資料!$G:$G, (MATCH(976, 輔助計算!$E$2:$E$801, 0)+1))), "")</f>
        <v/>
      </c>
      <c r="G977" s="10">
        <f>IFERROR(IF(INDEX(ERP資料!$H:$H, (MATCH(976, 輔助計算!$E$2:$E$801, 0)+1))="","",INDEX(ERP資料!$H:$H, (MATCH(976, 輔助計算!$E$2:$E$801, 0)+1))), "")</f>
        <v/>
      </c>
      <c r="H977" s="15">
        <f>IFERROR(INDEX(輔助計算!$D:$D, (MATCH(976, 輔助計算!$E$2:$E$801, 0)+1)), "")</f>
        <v/>
      </c>
      <c r="I977" s="10">
        <f>IFERROR(IF(INDEX(ERP資料!$O:$O, (MATCH(976, 輔助計算!$E$2:$E$801, 0)+1))="","",INDEX(ERP資料!$O:$O, (MATCH(976, 輔助計算!$E$2:$E$801, 0)+1))), "")</f>
        <v/>
      </c>
      <c r="J977" s="15">
        <f>IFERROR(IF(INDEX(輔助計算!$D:$D,(MATCH(976, 輔助計算!$E$2:$E$801, 0)+1))="","",INDEX(輔助計算!$D:$D,(MATCH(976, 輔助計算!$E$2:$E$801, 0)+1))*INDEX(ERP資料!$O:$O,(MATCH(976, 輔助計算!$E$2:$E$801, 0)+1))), "")</f>
        <v/>
      </c>
      <c r="K977" s="16" t="n"/>
      <c r="L977" s="16" t="n"/>
      <c r="M977" s="17" t="n"/>
    </row>
    <row r="978">
      <c r="A978" s="14">
        <f>IFERROR(IF(INDEX(ERP資料!$B:$B, (MATCH(977, 輔助計算!$E$2:$E$801, 0)+1))="","",INDEX(ERP資料!$B:$B, (MATCH(977, 輔助計算!$E$2:$E$801, 0)+1))), "")</f>
        <v/>
      </c>
      <c r="B978" s="10">
        <f>IFERROR(IF(INDEX(ERP資料!$A:$A, (MATCH(977, 輔助計算!$E$2:$E$801, 0)+1))="","",INDEX(ERP資料!$A:$A, (MATCH(977, 輔助計算!$E$2:$E$801, 0)+1))), "")</f>
        <v/>
      </c>
      <c r="C978" s="10">
        <f>IFERROR(IF(INDEX(ERP資料!$S:$S, (MATCH(977, 輔助計算!$E$2:$E$801, 0)+1))="","",INDEX(ERP資料!$S:$S, (MATCH(977, 輔助計算!$E$2:$E$801, 0)+1))), "")</f>
        <v/>
      </c>
      <c r="D978" s="10">
        <f>IFERROR(IF(INDEX(ERP資料!$E:$E, (MATCH(977, 輔助計算!$E$2:$E$801, 0)+1))="","",TRIM(INDEX(ERP資料!$E:$E, (MATCH(977, 輔助計算!$E$2:$E$801, 0)+1)))), "")</f>
        <v/>
      </c>
      <c r="E978" s="10">
        <f>IFERROR(IF(INDEX(ERP資料!$F:$F, (MATCH(977, 輔助計算!$E$2:$E$801, 0)+1))="","",INDEX(ERP資料!$F:$F, (MATCH(977, 輔助計算!$E$2:$E$801, 0)+1))), "")</f>
        <v/>
      </c>
      <c r="F978" s="10">
        <f>IFERROR(IF(INDEX(ERP資料!$G:$G, (MATCH(977, 輔助計算!$E$2:$E$801, 0)+1))="","",INDEX(ERP資料!$G:$G, (MATCH(977, 輔助計算!$E$2:$E$801, 0)+1))), "")</f>
        <v/>
      </c>
      <c r="G978" s="10">
        <f>IFERROR(IF(INDEX(ERP資料!$H:$H, (MATCH(977, 輔助計算!$E$2:$E$801, 0)+1))="","",INDEX(ERP資料!$H:$H, (MATCH(977, 輔助計算!$E$2:$E$801, 0)+1))), "")</f>
        <v/>
      </c>
      <c r="H978" s="15">
        <f>IFERROR(INDEX(輔助計算!$D:$D, (MATCH(977, 輔助計算!$E$2:$E$801, 0)+1)), "")</f>
        <v/>
      </c>
      <c r="I978" s="10">
        <f>IFERROR(IF(INDEX(ERP資料!$O:$O, (MATCH(977, 輔助計算!$E$2:$E$801, 0)+1))="","",INDEX(ERP資料!$O:$O, (MATCH(977, 輔助計算!$E$2:$E$801, 0)+1))), "")</f>
        <v/>
      </c>
      <c r="J978" s="15">
        <f>IFERROR(IF(INDEX(輔助計算!$D:$D,(MATCH(977, 輔助計算!$E$2:$E$801, 0)+1))="","",INDEX(輔助計算!$D:$D,(MATCH(977, 輔助計算!$E$2:$E$801, 0)+1))*INDEX(ERP資料!$O:$O,(MATCH(977, 輔助計算!$E$2:$E$801, 0)+1))), "")</f>
        <v/>
      </c>
      <c r="K978" s="16" t="n"/>
      <c r="L978" s="16" t="n"/>
      <c r="M978" s="17" t="n"/>
    </row>
    <row r="979">
      <c r="A979" s="14">
        <f>IFERROR(IF(INDEX(ERP資料!$B:$B, (MATCH(978, 輔助計算!$E$2:$E$801, 0)+1))="","",INDEX(ERP資料!$B:$B, (MATCH(978, 輔助計算!$E$2:$E$801, 0)+1))), "")</f>
        <v/>
      </c>
      <c r="B979" s="10">
        <f>IFERROR(IF(INDEX(ERP資料!$A:$A, (MATCH(978, 輔助計算!$E$2:$E$801, 0)+1))="","",INDEX(ERP資料!$A:$A, (MATCH(978, 輔助計算!$E$2:$E$801, 0)+1))), "")</f>
        <v/>
      </c>
      <c r="C979" s="10">
        <f>IFERROR(IF(INDEX(ERP資料!$S:$S, (MATCH(978, 輔助計算!$E$2:$E$801, 0)+1))="","",INDEX(ERP資料!$S:$S, (MATCH(978, 輔助計算!$E$2:$E$801, 0)+1))), "")</f>
        <v/>
      </c>
      <c r="D979" s="10">
        <f>IFERROR(IF(INDEX(ERP資料!$E:$E, (MATCH(978, 輔助計算!$E$2:$E$801, 0)+1))="","",TRIM(INDEX(ERP資料!$E:$E, (MATCH(978, 輔助計算!$E$2:$E$801, 0)+1)))), "")</f>
        <v/>
      </c>
      <c r="E979" s="10">
        <f>IFERROR(IF(INDEX(ERP資料!$F:$F, (MATCH(978, 輔助計算!$E$2:$E$801, 0)+1))="","",INDEX(ERP資料!$F:$F, (MATCH(978, 輔助計算!$E$2:$E$801, 0)+1))), "")</f>
        <v/>
      </c>
      <c r="F979" s="10">
        <f>IFERROR(IF(INDEX(ERP資料!$G:$G, (MATCH(978, 輔助計算!$E$2:$E$801, 0)+1))="","",INDEX(ERP資料!$G:$G, (MATCH(978, 輔助計算!$E$2:$E$801, 0)+1))), "")</f>
        <v/>
      </c>
      <c r="G979" s="10">
        <f>IFERROR(IF(INDEX(ERP資料!$H:$H, (MATCH(978, 輔助計算!$E$2:$E$801, 0)+1))="","",INDEX(ERP資料!$H:$H, (MATCH(978, 輔助計算!$E$2:$E$801, 0)+1))), "")</f>
        <v/>
      </c>
      <c r="H979" s="15">
        <f>IFERROR(INDEX(輔助計算!$D:$D, (MATCH(978, 輔助計算!$E$2:$E$801, 0)+1)), "")</f>
        <v/>
      </c>
      <c r="I979" s="10">
        <f>IFERROR(IF(INDEX(ERP資料!$O:$O, (MATCH(978, 輔助計算!$E$2:$E$801, 0)+1))="","",INDEX(ERP資料!$O:$O, (MATCH(978, 輔助計算!$E$2:$E$801, 0)+1))), "")</f>
        <v/>
      </c>
      <c r="J979" s="15">
        <f>IFERROR(IF(INDEX(輔助計算!$D:$D,(MATCH(978, 輔助計算!$E$2:$E$801, 0)+1))="","",INDEX(輔助計算!$D:$D,(MATCH(978, 輔助計算!$E$2:$E$801, 0)+1))*INDEX(ERP資料!$O:$O,(MATCH(978, 輔助計算!$E$2:$E$801, 0)+1))), "")</f>
        <v/>
      </c>
      <c r="K979" s="16" t="n"/>
      <c r="L979" s="16" t="n"/>
      <c r="M979" s="17" t="n"/>
    </row>
    <row r="980">
      <c r="A980" s="14">
        <f>IFERROR(IF(INDEX(ERP資料!$B:$B, (MATCH(979, 輔助計算!$E$2:$E$801, 0)+1))="","",INDEX(ERP資料!$B:$B, (MATCH(979, 輔助計算!$E$2:$E$801, 0)+1))), "")</f>
        <v/>
      </c>
      <c r="B980" s="10">
        <f>IFERROR(IF(INDEX(ERP資料!$A:$A, (MATCH(979, 輔助計算!$E$2:$E$801, 0)+1))="","",INDEX(ERP資料!$A:$A, (MATCH(979, 輔助計算!$E$2:$E$801, 0)+1))), "")</f>
        <v/>
      </c>
      <c r="C980" s="10">
        <f>IFERROR(IF(INDEX(ERP資料!$S:$S, (MATCH(979, 輔助計算!$E$2:$E$801, 0)+1))="","",INDEX(ERP資料!$S:$S, (MATCH(979, 輔助計算!$E$2:$E$801, 0)+1))), "")</f>
        <v/>
      </c>
      <c r="D980" s="10">
        <f>IFERROR(IF(INDEX(ERP資料!$E:$E, (MATCH(979, 輔助計算!$E$2:$E$801, 0)+1))="","",TRIM(INDEX(ERP資料!$E:$E, (MATCH(979, 輔助計算!$E$2:$E$801, 0)+1)))), "")</f>
        <v/>
      </c>
      <c r="E980" s="10">
        <f>IFERROR(IF(INDEX(ERP資料!$F:$F, (MATCH(979, 輔助計算!$E$2:$E$801, 0)+1))="","",INDEX(ERP資料!$F:$F, (MATCH(979, 輔助計算!$E$2:$E$801, 0)+1))), "")</f>
        <v/>
      </c>
      <c r="F980" s="10">
        <f>IFERROR(IF(INDEX(ERP資料!$G:$G, (MATCH(979, 輔助計算!$E$2:$E$801, 0)+1))="","",INDEX(ERP資料!$G:$G, (MATCH(979, 輔助計算!$E$2:$E$801, 0)+1))), "")</f>
        <v/>
      </c>
      <c r="G980" s="10">
        <f>IFERROR(IF(INDEX(ERP資料!$H:$H, (MATCH(979, 輔助計算!$E$2:$E$801, 0)+1))="","",INDEX(ERP資料!$H:$H, (MATCH(979, 輔助計算!$E$2:$E$801, 0)+1))), "")</f>
        <v/>
      </c>
      <c r="H980" s="15">
        <f>IFERROR(INDEX(輔助計算!$D:$D, (MATCH(979, 輔助計算!$E$2:$E$801, 0)+1)), "")</f>
        <v/>
      </c>
      <c r="I980" s="10">
        <f>IFERROR(IF(INDEX(ERP資料!$O:$O, (MATCH(979, 輔助計算!$E$2:$E$801, 0)+1))="","",INDEX(ERP資料!$O:$O, (MATCH(979, 輔助計算!$E$2:$E$801, 0)+1))), "")</f>
        <v/>
      </c>
      <c r="J980" s="15">
        <f>IFERROR(IF(INDEX(輔助計算!$D:$D,(MATCH(979, 輔助計算!$E$2:$E$801, 0)+1))="","",INDEX(輔助計算!$D:$D,(MATCH(979, 輔助計算!$E$2:$E$801, 0)+1))*INDEX(ERP資料!$O:$O,(MATCH(979, 輔助計算!$E$2:$E$801, 0)+1))), "")</f>
        <v/>
      </c>
      <c r="K980" s="16" t="n"/>
      <c r="L980" s="16" t="n"/>
      <c r="M980" s="17" t="n"/>
    </row>
    <row r="981">
      <c r="A981" s="14">
        <f>IFERROR(IF(INDEX(ERP資料!$B:$B, (MATCH(980, 輔助計算!$E$2:$E$801, 0)+1))="","",INDEX(ERP資料!$B:$B, (MATCH(980, 輔助計算!$E$2:$E$801, 0)+1))), "")</f>
        <v/>
      </c>
      <c r="B981" s="10">
        <f>IFERROR(IF(INDEX(ERP資料!$A:$A, (MATCH(980, 輔助計算!$E$2:$E$801, 0)+1))="","",INDEX(ERP資料!$A:$A, (MATCH(980, 輔助計算!$E$2:$E$801, 0)+1))), "")</f>
        <v/>
      </c>
      <c r="C981" s="10">
        <f>IFERROR(IF(INDEX(ERP資料!$S:$S, (MATCH(980, 輔助計算!$E$2:$E$801, 0)+1))="","",INDEX(ERP資料!$S:$S, (MATCH(980, 輔助計算!$E$2:$E$801, 0)+1))), "")</f>
        <v/>
      </c>
      <c r="D981" s="10">
        <f>IFERROR(IF(INDEX(ERP資料!$E:$E, (MATCH(980, 輔助計算!$E$2:$E$801, 0)+1))="","",TRIM(INDEX(ERP資料!$E:$E, (MATCH(980, 輔助計算!$E$2:$E$801, 0)+1)))), "")</f>
        <v/>
      </c>
      <c r="E981" s="10">
        <f>IFERROR(IF(INDEX(ERP資料!$F:$F, (MATCH(980, 輔助計算!$E$2:$E$801, 0)+1))="","",INDEX(ERP資料!$F:$F, (MATCH(980, 輔助計算!$E$2:$E$801, 0)+1))), "")</f>
        <v/>
      </c>
      <c r="F981" s="10">
        <f>IFERROR(IF(INDEX(ERP資料!$G:$G, (MATCH(980, 輔助計算!$E$2:$E$801, 0)+1))="","",INDEX(ERP資料!$G:$G, (MATCH(980, 輔助計算!$E$2:$E$801, 0)+1))), "")</f>
        <v/>
      </c>
      <c r="G981" s="10">
        <f>IFERROR(IF(INDEX(ERP資料!$H:$H, (MATCH(980, 輔助計算!$E$2:$E$801, 0)+1))="","",INDEX(ERP資料!$H:$H, (MATCH(980, 輔助計算!$E$2:$E$801, 0)+1))), "")</f>
        <v/>
      </c>
      <c r="H981" s="15">
        <f>IFERROR(INDEX(輔助計算!$D:$D, (MATCH(980, 輔助計算!$E$2:$E$801, 0)+1)), "")</f>
        <v/>
      </c>
      <c r="I981" s="10">
        <f>IFERROR(IF(INDEX(ERP資料!$O:$O, (MATCH(980, 輔助計算!$E$2:$E$801, 0)+1))="","",INDEX(ERP資料!$O:$O, (MATCH(980, 輔助計算!$E$2:$E$801, 0)+1))), "")</f>
        <v/>
      </c>
      <c r="J981" s="15">
        <f>IFERROR(IF(INDEX(輔助計算!$D:$D,(MATCH(980, 輔助計算!$E$2:$E$801, 0)+1))="","",INDEX(輔助計算!$D:$D,(MATCH(980, 輔助計算!$E$2:$E$801, 0)+1))*INDEX(ERP資料!$O:$O,(MATCH(980, 輔助計算!$E$2:$E$801, 0)+1))), "")</f>
        <v/>
      </c>
      <c r="K981" s="16" t="n"/>
      <c r="L981" s="16" t="n"/>
      <c r="M981" s="17" t="n"/>
    </row>
    <row r="982">
      <c r="A982" s="14">
        <f>IFERROR(IF(INDEX(ERP資料!$B:$B, (MATCH(981, 輔助計算!$E$2:$E$801, 0)+1))="","",INDEX(ERP資料!$B:$B, (MATCH(981, 輔助計算!$E$2:$E$801, 0)+1))), "")</f>
        <v/>
      </c>
      <c r="B982" s="10">
        <f>IFERROR(IF(INDEX(ERP資料!$A:$A, (MATCH(981, 輔助計算!$E$2:$E$801, 0)+1))="","",INDEX(ERP資料!$A:$A, (MATCH(981, 輔助計算!$E$2:$E$801, 0)+1))), "")</f>
        <v/>
      </c>
      <c r="C982" s="10">
        <f>IFERROR(IF(INDEX(ERP資料!$S:$S, (MATCH(981, 輔助計算!$E$2:$E$801, 0)+1))="","",INDEX(ERP資料!$S:$S, (MATCH(981, 輔助計算!$E$2:$E$801, 0)+1))), "")</f>
        <v/>
      </c>
      <c r="D982" s="10">
        <f>IFERROR(IF(INDEX(ERP資料!$E:$E, (MATCH(981, 輔助計算!$E$2:$E$801, 0)+1))="","",TRIM(INDEX(ERP資料!$E:$E, (MATCH(981, 輔助計算!$E$2:$E$801, 0)+1)))), "")</f>
        <v/>
      </c>
      <c r="E982" s="10">
        <f>IFERROR(IF(INDEX(ERP資料!$F:$F, (MATCH(981, 輔助計算!$E$2:$E$801, 0)+1))="","",INDEX(ERP資料!$F:$F, (MATCH(981, 輔助計算!$E$2:$E$801, 0)+1))), "")</f>
        <v/>
      </c>
      <c r="F982" s="10">
        <f>IFERROR(IF(INDEX(ERP資料!$G:$G, (MATCH(981, 輔助計算!$E$2:$E$801, 0)+1))="","",INDEX(ERP資料!$G:$G, (MATCH(981, 輔助計算!$E$2:$E$801, 0)+1))), "")</f>
        <v/>
      </c>
      <c r="G982" s="10">
        <f>IFERROR(IF(INDEX(ERP資料!$H:$H, (MATCH(981, 輔助計算!$E$2:$E$801, 0)+1))="","",INDEX(ERP資料!$H:$H, (MATCH(981, 輔助計算!$E$2:$E$801, 0)+1))), "")</f>
        <v/>
      </c>
      <c r="H982" s="15">
        <f>IFERROR(INDEX(輔助計算!$D:$D, (MATCH(981, 輔助計算!$E$2:$E$801, 0)+1)), "")</f>
        <v/>
      </c>
      <c r="I982" s="10">
        <f>IFERROR(IF(INDEX(ERP資料!$O:$O, (MATCH(981, 輔助計算!$E$2:$E$801, 0)+1))="","",INDEX(ERP資料!$O:$O, (MATCH(981, 輔助計算!$E$2:$E$801, 0)+1))), "")</f>
        <v/>
      </c>
      <c r="J982" s="15">
        <f>IFERROR(IF(INDEX(輔助計算!$D:$D,(MATCH(981, 輔助計算!$E$2:$E$801, 0)+1))="","",INDEX(輔助計算!$D:$D,(MATCH(981, 輔助計算!$E$2:$E$801, 0)+1))*INDEX(ERP資料!$O:$O,(MATCH(981, 輔助計算!$E$2:$E$801, 0)+1))), "")</f>
        <v/>
      </c>
      <c r="K982" s="16" t="n"/>
      <c r="L982" s="16" t="n"/>
      <c r="M982" s="17" t="n"/>
    </row>
    <row r="983">
      <c r="A983" s="14">
        <f>IFERROR(IF(INDEX(ERP資料!$B:$B, (MATCH(982, 輔助計算!$E$2:$E$801, 0)+1))="","",INDEX(ERP資料!$B:$B, (MATCH(982, 輔助計算!$E$2:$E$801, 0)+1))), "")</f>
        <v/>
      </c>
      <c r="B983" s="10">
        <f>IFERROR(IF(INDEX(ERP資料!$A:$A, (MATCH(982, 輔助計算!$E$2:$E$801, 0)+1))="","",INDEX(ERP資料!$A:$A, (MATCH(982, 輔助計算!$E$2:$E$801, 0)+1))), "")</f>
        <v/>
      </c>
      <c r="C983" s="10">
        <f>IFERROR(IF(INDEX(ERP資料!$S:$S, (MATCH(982, 輔助計算!$E$2:$E$801, 0)+1))="","",INDEX(ERP資料!$S:$S, (MATCH(982, 輔助計算!$E$2:$E$801, 0)+1))), "")</f>
        <v/>
      </c>
      <c r="D983" s="10">
        <f>IFERROR(IF(INDEX(ERP資料!$E:$E, (MATCH(982, 輔助計算!$E$2:$E$801, 0)+1))="","",TRIM(INDEX(ERP資料!$E:$E, (MATCH(982, 輔助計算!$E$2:$E$801, 0)+1)))), "")</f>
        <v/>
      </c>
      <c r="E983" s="10">
        <f>IFERROR(IF(INDEX(ERP資料!$F:$F, (MATCH(982, 輔助計算!$E$2:$E$801, 0)+1))="","",INDEX(ERP資料!$F:$F, (MATCH(982, 輔助計算!$E$2:$E$801, 0)+1))), "")</f>
        <v/>
      </c>
      <c r="F983" s="10">
        <f>IFERROR(IF(INDEX(ERP資料!$G:$G, (MATCH(982, 輔助計算!$E$2:$E$801, 0)+1))="","",INDEX(ERP資料!$G:$G, (MATCH(982, 輔助計算!$E$2:$E$801, 0)+1))), "")</f>
        <v/>
      </c>
      <c r="G983" s="10">
        <f>IFERROR(IF(INDEX(ERP資料!$H:$H, (MATCH(982, 輔助計算!$E$2:$E$801, 0)+1))="","",INDEX(ERP資料!$H:$H, (MATCH(982, 輔助計算!$E$2:$E$801, 0)+1))), "")</f>
        <v/>
      </c>
      <c r="H983" s="15">
        <f>IFERROR(INDEX(輔助計算!$D:$D, (MATCH(982, 輔助計算!$E$2:$E$801, 0)+1)), "")</f>
        <v/>
      </c>
      <c r="I983" s="10">
        <f>IFERROR(IF(INDEX(ERP資料!$O:$O, (MATCH(982, 輔助計算!$E$2:$E$801, 0)+1))="","",INDEX(ERP資料!$O:$O, (MATCH(982, 輔助計算!$E$2:$E$801, 0)+1))), "")</f>
        <v/>
      </c>
      <c r="J983" s="15">
        <f>IFERROR(IF(INDEX(輔助計算!$D:$D,(MATCH(982, 輔助計算!$E$2:$E$801, 0)+1))="","",INDEX(輔助計算!$D:$D,(MATCH(982, 輔助計算!$E$2:$E$801, 0)+1))*INDEX(ERP資料!$O:$O,(MATCH(982, 輔助計算!$E$2:$E$801, 0)+1))), "")</f>
        <v/>
      </c>
      <c r="K983" s="16" t="n"/>
      <c r="L983" s="16" t="n"/>
      <c r="M983" s="17" t="n"/>
    </row>
    <row r="984">
      <c r="A984" s="14">
        <f>IFERROR(IF(INDEX(ERP資料!$B:$B, (MATCH(983, 輔助計算!$E$2:$E$801, 0)+1))="","",INDEX(ERP資料!$B:$B, (MATCH(983, 輔助計算!$E$2:$E$801, 0)+1))), "")</f>
        <v/>
      </c>
      <c r="B984" s="10">
        <f>IFERROR(IF(INDEX(ERP資料!$A:$A, (MATCH(983, 輔助計算!$E$2:$E$801, 0)+1))="","",INDEX(ERP資料!$A:$A, (MATCH(983, 輔助計算!$E$2:$E$801, 0)+1))), "")</f>
        <v/>
      </c>
      <c r="C984" s="10">
        <f>IFERROR(IF(INDEX(ERP資料!$S:$S, (MATCH(983, 輔助計算!$E$2:$E$801, 0)+1))="","",INDEX(ERP資料!$S:$S, (MATCH(983, 輔助計算!$E$2:$E$801, 0)+1))), "")</f>
        <v/>
      </c>
      <c r="D984" s="10">
        <f>IFERROR(IF(INDEX(ERP資料!$E:$E, (MATCH(983, 輔助計算!$E$2:$E$801, 0)+1))="","",TRIM(INDEX(ERP資料!$E:$E, (MATCH(983, 輔助計算!$E$2:$E$801, 0)+1)))), "")</f>
        <v/>
      </c>
      <c r="E984" s="10">
        <f>IFERROR(IF(INDEX(ERP資料!$F:$F, (MATCH(983, 輔助計算!$E$2:$E$801, 0)+1))="","",INDEX(ERP資料!$F:$F, (MATCH(983, 輔助計算!$E$2:$E$801, 0)+1))), "")</f>
        <v/>
      </c>
      <c r="F984" s="10">
        <f>IFERROR(IF(INDEX(ERP資料!$G:$G, (MATCH(983, 輔助計算!$E$2:$E$801, 0)+1))="","",INDEX(ERP資料!$G:$G, (MATCH(983, 輔助計算!$E$2:$E$801, 0)+1))), "")</f>
        <v/>
      </c>
      <c r="G984" s="10">
        <f>IFERROR(IF(INDEX(ERP資料!$H:$H, (MATCH(983, 輔助計算!$E$2:$E$801, 0)+1))="","",INDEX(ERP資料!$H:$H, (MATCH(983, 輔助計算!$E$2:$E$801, 0)+1))), "")</f>
        <v/>
      </c>
      <c r="H984" s="15">
        <f>IFERROR(INDEX(輔助計算!$D:$D, (MATCH(983, 輔助計算!$E$2:$E$801, 0)+1)), "")</f>
        <v/>
      </c>
      <c r="I984" s="10">
        <f>IFERROR(IF(INDEX(ERP資料!$O:$O, (MATCH(983, 輔助計算!$E$2:$E$801, 0)+1))="","",INDEX(ERP資料!$O:$O, (MATCH(983, 輔助計算!$E$2:$E$801, 0)+1))), "")</f>
        <v/>
      </c>
      <c r="J984" s="15">
        <f>IFERROR(IF(INDEX(輔助計算!$D:$D,(MATCH(983, 輔助計算!$E$2:$E$801, 0)+1))="","",INDEX(輔助計算!$D:$D,(MATCH(983, 輔助計算!$E$2:$E$801, 0)+1))*INDEX(ERP資料!$O:$O,(MATCH(983, 輔助計算!$E$2:$E$801, 0)+1))), "")</f>
        <v/>
      </c>
      <c r="K984" s="16" t="n"/>
      <c r="L984" s="16" t="n"/>
      <c r="M984" s="17" t="n"/>
    </row>
    <row r="985">
      <c r="A985" s="14">
        <f>IFERROR(IF(INDEX(ERP資料!$B:$B, (MATCH(984, 輔助計算!$E$2:$E$801, 0)+1))="","",INDEX(ERP資料!$B:$B, (MATCH(984, 輔助計算!$E$2:$E$801, 0)+1))), "")</f>
        <v/>
      </c>
      <c r="B985" s="10">
        <f>IFERROR(IF(INDEX(ERP資料!$A:$A, (MATCH(984, 輔助計算!$E$2:$E$801, 0)+1))="","",INDEX(ERP資料!$A:$A, (MATCH(984, 輔助計算!$E$2:$E$801, 0)+1))), "")</f>
        <v/>
      </c>
      <c r="C985" s="10">
        <f>IFERROR(IF(INDEX(ERP資料!$S:$S, (MATCH(984, 輔助計算!$E$2:$E$801, 0)+1))="","",INDEX(ERP資料!$S:$S, (MATCH(984, 輔助計算!$E$2:$E$801, 0)+1))), "")</f>
        <v/>
      </c>
      <c r="D985" s="10">
        <f>IFERROR(IF(INDEX(ERP資料!$E:$E, (MATCH(984, 輔助計算!$E$2:$E$801, 0)+1))="","",TRIM(INDEX(ERP資料!$E:$E, (MATCH(984, 輔助計算!$E$2:$E$801, 0)+1)))), "")</f>
        <v/>
      </c>
      <c r="E985" s="10">
        <f>IFERROR(IF(INDEX(ERP資料!$F:$F, (MATCH(984, 輔助計算!$E$2:$E$801, 0)+1))="","",INDEX(ERP資料!$F:$F, (MATCH(984, 輔助計算!$E$2:$E$801, 0)+1))), "")</f>
        <v/>
      </c>
      <c r="F985" s="10">
        <f>IFERROR(IF(INDEX(ERP資料!$G:$G, (MATCH(984, 輔助計算!$E$2:$E$801, 0)+1))="","",INDEX(ERP資料!$G:$G, (MATCH(984, 輔助計算!$E$2:$E$801, 0)+1))), "")</f>
        <v/>
      </c>
      <c r="G985" s="10">
        <f>IFERROR(IF(INDEX(ERP資料!$H:$H, (MATCH(984, 輔助計算!$E$2:$E$801, 0)+1))="","",INDEX(ERP資料!$H:$H, (MATCH(984, 輔助計算!$E$2:$E$801, 0)+1))), "")</f>
        <v/>
      </c>
      <c r="H985" s="15">
        <f>IFERROR(INDEX(輔助計算!$D:$D, (MATCH(984, 輔助計算!$E$2:$E$801, 0)+1)), "")</f>
        <v/>
      </c>
      <c r="I985" s="10">
        <f>IFERROR(IF(INDEX(ERP資料!$O:$O, (MATCH(984, 輔助計算!$E$2:$E$801, 0)+1))="","",INDEX(ERP資料!$O:$O, (MATCH(984, 輔助計算!$E$2:$E$801, 0)+1))), "")</f>
        <v/>
      </c>
      <c r="J985" s="15">
        <f>IFERROR(IF(INDEX(輔助計算!$D:$D,(MATCH(984, 輔助計算!$E$2:$E$801, 0)+1))="","",INDEX(輔助計算!$D:$D,(MATCH(984, 輔助計算!$E$2:$E$801, 0)+1))*INDEX(ERP資料!$O:$O,(MATCH(984, 輔助計算!$E$2:$E$801, 0)+1))), "")</f>
        <v/>
      </c>
      <c r="K985" s="16" t="n"/>
      <c r="L985" s="16" t="n"/>
      <c r="M985" s="17" t="n"/>
    </row>
    <row r="986">
      <c r="A986" s="14">
        <f>IFERROR(IF(INDEX(ERP資料!$B:$B, (MATCH(985, 輔助計算!$E$2:$E$801, 0)+1))="","",INDEX(ERP資料!$B:$B, (MATCH(985, 輔助計算!$E$2:$E$801, 0)+1))), "")</f>
        <v/>
      </c>
      <c r="B986" s="10">
        <f>IFERROR(IF(INDEX(ERP資料!$A:$A, (MATCH(985, 輔助計算!$E$2:$E$801, 0)+1))="","",INDEX(ERP資料!$A:$A, (MATCH(985, 輔助計算!$E$2:$E$801, 0)+1))), "")</f>
        <v/>
      </c>
      <c r="C986" s="10">
        <f>IFERROR(IF(INDEX(ERP資料!$S:$S, (MATCH(985, 輔助計算!$E$2:$E$801, 0)+1))="","",INDEX(ERP資料!$S:$S, (MATCH(985, 輔助計算!$E$2:$E$801, 0)+1))), "")</f>
        <v/>
      </c>
      <c r="D986" s="10">
        <f>IFERROR(IF(INDEX(ERP資料!$E:$E, (MATCH(985, 輔助計算!$E$2:$E$801, 0)+1))="","",TRIM(INDEX(ERP資料!$E:$E, (MATCH(985, 輔助計算!$E$2:$E$801, 0)+1)))), "")</f>
        <v/>
      </c>
      <c r="E986" s="10">
        <f>IFERROR(IF(INDEX(ERP資料!$F:$F, (MATCH(985, 輔助計算!$E$2:$E$801, 0)+1))="","",INDEX(ERP資料!$F:$F, (MATCH(985, 輔助計算!$E$2:$E$801, 0)+1))), "")</f>
        <v/>
      </c>
      <c r="F986" s="10">
        <f>IFERROR(IF(INDEX(ERP資料!$G:$G, (MATCH(985, 輔助計算!$E$2:$E$801, 0)+1))="","",INDEX(ERP資料!$G:$G, (MATCH(985, 輔助計算!$E$2:$E$801, 0)+1))), "")</f>
        <v/>
      </c>
      <c r="G986" s="10">
        <f>IFERROR(IF(INDEX(ERP資料!$H:$H, (MATCH(985, 輔助計算!$E$2:$E$801, 0)+1))="","",INDEX(ERP資料!$H:$H, (MATCH(985, 輔助計算!$E$2:$E$801, 0)+1))), "")</f>
        <v/>
      </c>
      <c r="H986" s="15">
        <f>IFERROR(INDEX(輔助計算!$D:$D, (MATCH(985, 輔助計算!$E$2:$E$801, 0)+1)), "")</f>
        <v/>
      </c>
      <c r="I986" s="10">
        <f>IFERROR(IF(INDEX(ERP資料!$O:$O, (MATCH(985, 輔助計算!$E$2:$E$801, 0)+1))="","",INDEX(ERP資料!$O:$O, (MATCH(985, 輔助計算!$E$2:$E$801, 0)+1))), "")</f>
        <v/>
      </c>
      <c r="J986" s="15">
        <f>IFERROR(IF(INDEX(輔助計算!$D:$D,(MATCH(985, 輔助計算!$E$2:$E$801, 0)+1))="","",INDEX(輔助計算!$D:$D,(MATCH(985, 輔助計算!$E$2:$E$801, 0)+1))*INDEX(ERP資料!$O:$O,(MATCH(985, 輔助計算!$E$2:$E$801, 0)+1))), "")</f>
        <v/>
      </c>
      <c r="K986" s="16" t="n"/>
      <c r="L986" s="16" t="n"/>
      <c r="M986" s="17" t="n"/>
    </row>
    <row r="987">
      <c r="A987" s="14">
        <f>IFERROR(IF(INDEX(ERP資料!$B:$B, (MATCH(986, 輔助計算!$E$2:$E$801, 0)+1))="","",INDEX(ERP資料!$B:$B, (MATCH(986, 輔助計算!$E$2:$E$801, 0)+1))), "")</f>
        <v/>
      </c>
      <c r="B987" s="10">
        <f>IFERROR(IF(INDEX(ERP資料!$A:$A, (MATCH(986, 輔助計算!$E$2:$E$801, 0)+1))="","",INDEX(ERP資料!$A:$A, (MATCH(986, 輔助計算!$E$2:$E$801, 0)+1))), "")</f>
        <v/>
      </c>
      <c r="C987" s="10">
        <f>IFERROR(IF(INDEX(ERP資料!$S:$S, (MATCH(986, 輔助計算!$E$2:$E$801, 0)+1))="","",INDEX(ERP資料!$S:$S, (MATCH(986, 輔助計算!$E$2:$E$801, 0)+1))), "")</f>
        <v/>
      </c>
      <c r="D987" s="10">
        <f>IFERROR(IF(INDEX(ERP資料!$E:$E, (MATCH(986, 輔助計算!$E$2:$E$801, 0)+1))="","",TRIM(INDEX(ERP資料!$E:$E, (MATCH(986, 輔助計算!$E$2:$E$801, 0)+1)))), "")</f>
        <v/>
      </c>
      <c r="E987" s="10">
        <f>IFERROR(IF(INDEX(ERP資料!$F:$F, (MATCH(986, 輔助計算!$E$2:$E$801, 0)+1))="","",INDEX(ERP資料!$F:$F, (MATCH(986, 輔助計算!$E$2:$E$801, 0)+1))), "")</f>
        <v/>
      </c>
      <c r="F987" s="10">
        <f>IFERROR(IF(INDEX(ERP資料!$G:$G, (MATCH(986, 輔助計算!$E$2:$E$801, 0)+1))="","",INDEX(ERP資料!$G:$G, (MATCH(986, 輔助計算!$E$2:$E$801, 0)+1))), "")</f>
        <v/>
      </c>
      <c r="G987" s="10">
        <f>IFERROR(IF(INDEX(ERP資料!$H:$H, (MATCH(986, 輔助計算!$E$2:$E$801, 0)+1))="","",INDEX(ERP資料!$H:$H, (MATCH(986, 輔助計算!$E$2:$E$801, 0)+1))), "")</f>
        <v/>
      </c>
      <c r="H987" s="15">
        <f>IFERROR(INDEX(輔助計算!$D:$D, (MATCH(986, 輔助計算!$E$2:$E$801, 0)+1)), "")</f>
        <v/>
      </c>
      <c r="I987" s="10">
        <f>IFERROR(IF(INDEX(ERP資料!$O:$O, (MATCH(986, 輔助計算!$E$2:$E$801, 0)+1))="","",INDEX(ERP資料!$O:$O, (MATCH(986, 輔助計算!$E$2:$E$801, 0)+1))), "")</f>
        <v/>
      </c>
      <c r="J987" s="15">
        <f>IFERROR(IF(INDEX(輔助計算!$D:$D,(MATCH(986, 輔助計算!$E$2:$E$801, 0)+1))="","",INDEX(輔助計算!$D:$D,(MATCH(986, 輔助計算!$E$2:$E$801, 0)+1))*INDEX(ERP資料!$O:$O,(MATCH(986, 輔助計算!$E$2:$E$801, 0)+1))), "")</f>
        <v/>
      </c>
      <c r="K987" s="16" t="n"/>
      <c r="L987" s="16" t="n"/>
      <c r="M987" s="17" t="n"/>
    </row>
    <row r="988">
      <c r="A988" s="14">
        <f>IFERROR(IF(INDEX(ERP資料!$B:$B, (MATCH(987, 輔助計算!$E$2:$E$801, 0)+1))="","",INDEX(ERP資料!$B:$B, (MATCH(987, 輔助計算!$E$2:$E$801, 0)+1))), "")</f>
        <v/>
      </c>
      <c r="B988" s="10">
        <f>IFERROR(IF(INDEX(ERP資料!$A:$A, (MATCH(987, 輔助計算!$E$2:$E$801, 0)+1))="","",INDEX(ERP資料!$A:$A, (MATCH(987, 輔助計算!$E$2:$E$801, 0)+1))), "")</f>
        <v/>
      </c>
      <c r="C988" s="10">
        <f>IFERROR(IF(INDEX(ERP資料!$S:$S, (MATCH(987, 輔助計算!$E$2:$E$801, 0)+1))="","",INDEX(ERP資料!$S:$S, (MATCH(987, 輔助計算!$E$2:$E$801, 0)+1))), "")</f>
        <v/>
      </c>
      <c r="D988" s="10">
        <f>IFERROR(IF(INDEX(ERP資料!$E:$E, (MATCH(987, 輔助計算!$E$2:$E$801, 0)+1))="","",TRIM(INDEX(ERP資料!$E:$E, (MATCH(987, 輔助計算!$E$2:$E$801, 0)+1)))), "")</f>
        <v/>
      </c>
      <c r="E988" s="10">
        <f>IFERROR(IF(INDEX(ERP資料!$F:$F, (MATCH(987, 輔助計算!$E$2:$E$801, 0)+1))="","",INDEX(ERP資料!$F:$F, (MATCH(987, 輔助計算!$E$2:$E$801, 0)+1))), "")</f>
        <v/>
      </c>
      <c r="F988" s="10">
        <f>IFERROR(IF(INDEX(ERP資料!$G:$G, (MATCH(987, 輔助計算!$E$2:$E$801, 0)+1))="","",INDEX(ERP資料!$G:$G, (MATCH(987, 輔助計算!$E$2:$E$801, 0)+1))), "")</f>
        <v/>
      </c>
      <c r="G988" s="10">
        <f>IFERROR(IF(INDEX(ERP資料!$H:$H, (MATCH(987, 輔助計算!$E$2:$E$801, 0)+1))="","",INDEX(ERP資料!$H:$H, (MATCH(987, 輔助計算!$E$2:$E$801, 0)+1))), "")</f>
        <v/>
      </c>
      <c r="H988" s="15">
        <f>IFERROR(INDEX(輔助計算!$D:$D, (MATCH(987, 輔助計算!$E$2:$E$801, 0)+1)), "")</f>
        <v/>
      </c>
      <c r="I988" s="10">
        <f>IFERROR(IF(INDEX(ERP資料!$O:$O, (MATCH(987, 輔助計算!$E$2:$E$801, 0)+1))="","",INDEX(ERP資料!$O:$O, (MATCH(987, 輔助計算!$E$2:$E$801, 0)+1))), "")</f>
        <v/>
      </c>
      <c r="J988" s="15">
        <f>IFERROR(IF(INDEX(輔助計算!$D:$D,(MATCH(987, 輔助計算!$E$2:$E$801, 0)+1))="","",INDEX(輔助計算!$D:$D,(MATCH(987, 輔助計算!$E$2:$E$801, 0)+1))*INDEX(ERP資料!$O:$O,(MATCH(987, 輔助計算!$E$2:$E$801, 0)+1))), "")</f>
        <v/>
      </c>
      <c r="K988" s="16" t="n"/>
      <c r="L988" s="16" t="n"/>
      <c r="M988" s="17" t="n"/>
    </row>
    <row r="989">
      <c r="A989" s="14">
        <f>IFERROR(IF(INDEX(ERP資料!$B:$B, (MATCH(988, 輔助計算!$E$2:$E$801, 0)+1))="","",INDEX(ERP資料!$B:$B, (MATCH(988, 輔助計算!$E$2:$E$801, 0)+1))), "")</f>
        <v/>
      </c>
      <c r="B989" s="10">
        <f>IFERROR(IF(INDEX(ERP資料!$A:$A, (MATCH(988, 輔助計算!$E$2:$E$801, 0)+1))="","",INDEX(ERP資料!$A:$A, (MATCH(988, 輔助計算!$E$2:$E$801, 0)+1))), "")</f>
        <v/>
      </c>
      <c r="C989" s="10">
        <f>IFERROR(IF(INDEX(ERP資料!$S:$S, (MATCH(988, 輔助計算!$E$2:$E$801, 0)+1))="","",INDEX(ERP資料!$S:$S, (MATCH(988, 輔助計算!$E$2:$E$801, 0)+1))), "")</f>
        <v/>
      </c>
      <c r="D989" s="10">
        <f>IFERROR(IF(INDEX(ERP資料!$E:$E, (MATCH(988, 輔助計算!$E$2:$E$801, 0)+1))="","",TRIM(INDEX(ERP資料!$E:$E, (MATCH(988, 輔助計算!$E$2:$E$801, 0)+1)))), "")</f>
        <v/>
      </c>
      <c r="E989" s="10">
        <f>IFERROR(IF(INDEX(ERP資料!$F:$F, (MATCH(988, 輔助計算!$E$2:$E$801, 0)+1))="","",INDEX(ERP資料!$F:$F, (MATCH(988, 輔助計算!$E$2:$E$801, 0)+1))), "")</f>
        <v/>
      </c>
      <c r="F989" s="10">
        <f>IFERROR(IF(INDEX(ERP資料!$G:$G, (MATCH(988, 輔助計算!$E$2:$E$801, 0)+1))="","",INDEX(ERP資料!$G:$G, (MATCH(988, 輔助計算!$E$2:$E$801, 0)+1))), "")</f>
        <v/>
      </c>
      <c r="G989" s="10">
        <f>IFERROR(IF(INDEX(ERP資料!$H:$H, (MATCH(988, 輔助計算!$E$2:$E$801, 0)+1))="","",INDEX(ERP資料!$H:$H, (MATCH(988, 輔助計算!$E$2:$E$801, 0)+1))), "")</f>
        <v/>
      </c>
      <c r="H989" s="15">
        <f>IFERROR(INDEX(輔助計算!$D:$D, (MATCH(988, 輔助計算!$E$2:$E$801, 0)+1)), "")</f>
        <v/>
      </c>
      <c r="I989" s="10">
        <f>IFERROR(IF(INDEX(ERP資料!$O:$O, (MATCH(988, 輔助計算!$E$2:$E$801, 0)+1))="","",INDEX(ERP資料!$O:$O, (MATCH(988, 輔助計算!$E$2:$E$801, 0)+1))), "")</f>
        <v/>
      </c>
      <c r="J989" s="15">
        <f>IFERROR(IF(INDEX(輔助計算!$D:$D,(MATCH(988, 輔助計算!$E$2:$E$801, 0)+1))="","",INDEX(輔助計算!$D:$D,(MATCH(988, 輔助計算!$E$2:$E$801, 0)+1))*INDEX(ERP資料!$O:$O,(MATCH(988, 輔助計算!$E$2:$E$801, 0)+1))), "")</f>
        <v/>
      </c>
      <c r="K989" s="16" t="n"/>
      <c r="L989" s="16" t="n"/>
      <c r="M989" s="17" t="n"/>
    </row>
    <row r="990">
      <c r="A990" s="14">
        <f>IFERROR(IF(INDEX(ERP資料!$B:$B, (MATCH(989, 輔助計算!$E$2:$E$801, 0)+1))="","",INDEX(ERP資料!$B:$B, (MATCH(989, 輔助計算!$E$2:$E$801, 0)+1))), "")</f>
        <v/>
      </c>
      <c r="B990" s="10">
        <f>IFERROR(IF(INDEX(ERP資料!$A:$A, (MATCH(989, 輔助計算!$E$2:$E$801, 0)+1))="","",INDEX(ERP資料!$A:$A, (MATCH(989, 輔助計算!$E$2:$E$801, 0)+1))), "")</f>
        <v/>
      </c>
      <c r="C990" s="10">
        <f>IFERROR(IF(INDEX(ERP資料!$S:$S, (MATCH(989, 輔助計算!$E$2:$E$801, 0)+1))="","",INDEX(ERP資料!$S:$S, (MATCH(989, 輔助計算!$E$2:$E$801, 0)+1))), "")</f>
        <v/>
      </c>
      <c r="D990" s="10">
        <f>IFERROR(IF(INDEX(ERP資料!$E:$E, (MATCH(989, 輔助計算!$E$2:$E$801, 0)+1))="","",TRIM(INDEX(ERP資料!$E:$E, (MATCH(989, 輔助計算!$E$2:$E$801, 0)+1)))), "")</f>
        <v/>
      </c>
      <c r="E990" s="10">
        <f>IFERROR(IF(INDEX(ERP資料!$F:$F, (MATCH(989, 輔助計算!$E$2:$E$801, 0)+1))="","",INDEX(ERP資料!$F:$F, (MATCH(989, 輔助計算!$E$2:$E$801, 0)+1))), "")</f>
        <v/>
      </c>
      <c r="F990" s="10">
        <f>IFERROR(IF(INDEX(ERP資料!$G:$G, (MATCH(989, 輔助計算!$E$2:$E$801, 0)+1))="","",INDEX(ERP資料!$G:$G, (MATCH(989, 輔助計算!$E$2:$E$801, 0)+1))), "")</f>
        <v/>
      </c>
      <c r="G990" s="10">
        <f>IFERROR(IF(INDEX(ERP資料!$H:$H, (MATCH(989, 輔助計算!$E$2:$E$801, 0)+1))="","",INDEX(ERP資料!$H:$H, (MATCH(989, 輔助計算!$E$2:$E$801, 0)+1))), "")</f>
        <v/>
      </c>
      <c r="H990" s="15">
        <f>IFERROR(INDEX(輔助計算!$D:$D, (MATCH(989, 輔助計算!$E$2:$E$801, 0)+1)), "")</f>
        <v/>
      </c>
      <c r="I990" s="10">
        <f>IFERROR(IF(INDEX(ERP資料!$O:$O, (MATCH(989, 輔助計算!$E$2:$E$801, 0)+1))="","",INDEX(ERP資料!$O:$O, (MATCH(989, 輔助計算!$E$2:$E$801, 0)+1))), "")</f>
        <v/>
      </c>
      <c r="J990" s="15">
        <f>IFERROR(IF(INDEX(輔助計算!$D:$D,(MATCH(989, 輔助計算!$E$2:$E$801, 0)+1))="","",INDEX(輔助計算!$D:$D,(MATCH(989, 輔助計算!$E$2:$E$801, 0)+1))*INDEX(ERP資料!$O:$O,(MATCH(989, 輔助計算!$E$2:$E$801, 0)+1))), "")</f>
        <v/>
      </c>
      <c r="K990" s="16" t="n"/>
      <c r="L990" s="16" t="n"/>
      <c r="M990" s="17" t="n"/>
    </row>
    <row r="991">
      <c r="A991" s="14">
        <f>IFERROR(IF(INDEX(ERP資料!$B:$B, (MATCH(990, 輔助計算!$E$2:$E$801, 0)+1))="","",INDEX(ERP資料!$B:$B, (MATCH(990, 輔助計算!$E$2:$E$801, 0)+1))), "")</f>
        <v/>
      </c>
      <c r="B991" s="10">
        <f>IFERROR(IF(INDEX(ERP資料!$A:$A, (MATCH(990, 輔助計算!$E$2:$E$801, 0)+1))="","",INDEX(ERP資料!$A:$A, (MATCH(990, 輔助計算!$E$2:$E$801, 0)+1))), "")</f>
        <v/>
      </c>
      <c r="C991" s="10">
        <f>IFERROR(IF(INDEX(ERP資料!$S:$S, (MATCH(990, 輔助計算!$E$2:$E$801, 0)+1))="","",INDEX(ERP資料!$S:$S, (MATCH(990, 輔助計算!$E$2:$E$801, 0)+1))), "")</f>
        <v/>
      </c>
      <c r="D991" s="10">
        <f>IFERROR(IF(INDEX(ERP資料!$E:$E, (MATCH(990, 輔助計算!$E$2:$E$801, 0)+1))="","",TRIM(INDEX(ERP資料!$E:$E, (MATCH(990, 輔助計算!$E$2:$E$801, 0)+1)))), "")</f>
        <v/>
      </c>
      <c r="E991" s="10">
        <f>IFERROR(IF(INDEX(ERP資料!$F:$F, (MATCH(990, 輔助計算!$E$2:$E$801, 0)+1))="","",INDEX(ERP資料!$F:$F, (MATCH(990, 輔助計算!$E$2:$E$801, 0)+1))), "")</f>
        <v/>
      </c>
      <c r="F991" s="10">
        <f>IFERROR(IF(INDEX(ERP資料!$G:$G, (MATCH(990, 輔助計算!$E$2:$E$801, 0)+1))="","",INDEX(ERP資料!$G:$G, (MATCH(990, 輔助計算!$E$2:$E$801, 0)+1))), "")</f>
        <v/>
      </c>
      <c r="G991" s="10">
        <f>IFERROR(IF(INDEX(ERP資料!$H:$H, (MATCH(990, 輔助計算!$E$2:$E$801, 0)+1))="","",INDEX(ERP資料!$H:$H, (MATCH(990, 輔助計算!$E$2:$E$801, 0)+1))), "")</f>
        <v/>
      </c>
      <c r="H991" s="15">
        <f>IFERROR(INDEX(輔助計算!$D:$D, (MATCH(990, 輔助計算!$E$2:$E$801, 0)+1)), "")</f>
        <v/>
      </c>
      <c r="I991" s="10">
        <f>IFERROR(IF(INDEX(ERP資料!$O:$O, (MATCH(990, 輔助計算!$E$2:$E$801, 0)+1))="","",INDEX(ERP資料!$O:$O, (MATCH(990, 輔助計算!$E$2:$E$801, 0)+1))), "")</f>
        <v/>
      </c>
      <c r="J991" s="15">
        <f>IFERROR(IF(INDEX(輔助計算!$D:$D,(MATCH(990, 輔助計算!$E$2:$E$801, 0)+1))="","",INDEX(輔助計算!$D:$D,(MATCH(990, 輔助計算!$E$2:$E$801, 0)+1))*INDEX(ERP資料!$O:$O,(MATCH(990, 輔助計算!$E$2:$E$801, 0)+1))), "")</f>
        <v/>
      </c>
      <c r="K991" s="16" t="n"/>
      <c r="L991" s="16" t="n"/>
      <c r="M991" s="17" t="n"/>
    </row>
    <row r="992">
      <c r="A992" s="14">
        <f>IFERROR(IF(INDEX(ERP資料!$B:$B, (MATCH(991, 輔助計算!$E$2:$E$801, 0)+1))="","",INDEX(ERP資料!$B:$B, (MATCH(991, 輔助計算!$E$2:$E$801, 0)+1))), "")</f>
        <v/>
      </c>
      <c r="B992" s="10">
        <f>IFERROR(IF(INDEX(ERP資料!$A:$A, (MATCH(991, 輔助計算!$E$2:$E$801, 0)+1))="","",INDEX(ERP資料!$A:$A, (MATCH(991, 輔助計算!$E$2:$E$801, 0)+1))), "")</f>
        <v/>
      </c>
      <c r="C992" s="10">
        <f>IFERROR(IF(INDEX(ERP資料!$S:$S, (MATCH(991, 輔助計算!$E$2:$E$801, 0)+1))="","",INDEX(ERP資料!$S:$S, (MATCH(991, 輔助計算!$E$2:$E$801, 0)+1))), "")</f>
        <v/>
      </c>
      <c r="D992" s="10">
        <f>IFERROR(IF(INDEX(ERP資料!$E:$E, (MATCH(991, 輔助計算!$E$2:$E$801, 0)+1))="","",TRIM(INDEX(ERP資料!$E:$E, (MATCH(991, 輔助計算!$E$2:$E$801, 0)+1)))), "")</f>
        <v/>
      </c>
      <c r="E992" s="10">
        <f>IFERROR(IF(INDEX(ERP資料!$F:$F, (MATCH(991, 輔助計算!$E$2:$E$801, 0)+1))="","",INDEX(ERP資料!$F:$F, (MATCH(991, 輔助計算!$E$2:$E$801, 0)+1))), "")</f>
        <v/>
      </c>
      <c r="F992" s="10">
        <f>IFERROR(IF(INDEX(ERP資料!$G:$G, (MATCH(991, 輔助計算!$E$2:$E$801, 0)+1))="","",INDEX(ERP資料!$G:$G, (MATCH(991, 輔助計算!$E$2:$E$801, 0)+1))), "")</f>
        <v/>
      </c>
      <c r="G992" s="10">
        <f>IFERROR(IF(INDEX(ERP資料!$H:$H, (MATCH(991, 輔助計算!$E$2:$E$801, 0)+1))="","",INDEX(ERP資料!$H:$H, (MATCH(991, 輔助計算!$E$2:$E$801, 0)+1))), "")</f>
        <v/>
      </c>
      <c r="H992" s="15">
        <f>IFERROR(INDEX(輔助計算!$D:$D, (MATCH(991, 輔助計算!$E$2:$E$801, 0)+1)), "")</f>
        <v/>
      </c>
      <c r="I992" s="10">
        <f>IFERROR(IF(INDEX(ERP資料!$O:$O, (MATCH(991, 輔助計算!$E$2:$E$801, 0)+1))="","",INDEX(ERP資料!$O:$O, (MATCH(991, 輔助計算!$E$2:$E$801, 0)+1))), "")</f>
        <v/>
      </c>
      <c r="J992" s="15">
        <f>IFERROR(IF(INDEX(輔助計算!$D:$D,(MATCH(991, 輔助計算!$E$2:$E$801, 0)+1))="","",INDEX(輔助計算!$D:$D,(MATCH(991, 輔助計算!$E$2:$E$801, 0)+1))*INDEX(ERP資料!$O:$O,(MATCH(991, 輔助計算!$E$2:$E$801, 0)+1))), "")</f>
        <v/>
      </c>
      <c r="K992" s="16" t="n"/>
      <c r="L992" s="16" t="n"/>
      <c r="M992" s="17" t="n"/>
    </row>
    <row r="993">
      <c r="A993" s="14">
        <f>IFERROR(IF(INDEX(ERP資料!$B:$B, (MATCH(992, 輔助計算!$E$2:$E$801, 0)+1))="","",INDEX(ERP資料!$B:$B, (MATCH(992, 輔助計算!$E$2:$E$801, 0)+1))), "")</f>
        <v/>
      </c>
      <c r="B993" s="10">
        <f>IFERROR(IF(INDEX(ERP資料!$A:$A, (MATCH(992, 輔助計算!$E$2:$E$801, 0)+1))="","",INDEX(ERP資料!$A:$A, (MATCH(992, 輔助計算!$E$2:$E$801, 0)+1))), "")</f>
        <v/>
      </c>
      <c r="C993" s="10">
        <f>IFERROR(IF(INDEX(ERP資料!$S:$S, (MATCH(992, 輔助計算!$E$2:$E$801, 0)+1))="","",INDEX(ERP資料!$S:$S, (MATCH(992, 輔助計算!$E$2:$E$801, 0)+1))), "")</f>
        <v/>
      </c>
      <c r="D993" s="10">
        <f>IFERROR(IF(INDEX(ERP資料!$E:$E, (MATCH(992, 輔助計算!$E$2:$E$801, 0)+1))="","",TRIM(INDEX(ERP資料!$E:$E, (MATCH(992, 輔助計算!$E$2:$E$801, 0)+1)))), "")</f>
        <v/>
      </c>
      <c r="E993" s="10">
        <f>IFERROR(IF(INDEX(ERP資料!$F:$F, (MATCH(992, 輔助計算!$E$2:$E$801, 0)+1))="","",INDEX(ERP資料!$F:$F, (MATCH(992, 輔助計算!$E$2:$E$801, 0)+1))), "")</f>
        <v/>
      </c>
      <c r="F993" s="10">
        <f>IFERROR(IF(INDEX(ERP資料!$G:$G, (MATCH(992, 輔助計算!$E$2:$E$801, 0)+1))="","",INDEX(ERP資料!$G:$G, (MATCH(992, 輔助計算!$E$2:$E$801, 0)+1))), "")</f>
        <v/>
      </c>
      <c r="G993" s="10">
        <f>IFERROR(IF(INDEX(ERP資料!$H:$H, (MATCH(992, 輔助計算!$E$2:$E$801, 0)+1))="","",INDEX(ERP資料!$H:$H, (MATCH(992, 輔助計算!$E$2:$E$801, 0)+1))), "")</f>
        <v/>
      </c>
      <c r="H993" s="15">
        <f>IFERROR(INDEX(輔助計算!$D:$D, (MATCH(992, 輔助計算!$E$2:$E$801, 0)+1)), "")</f>
        <v/>
      </c>
      <c r="I993" s="10">
        <f>IFERROR(IF(INDEX(ERP資料!$O:$O, (MATCH(992, 輔助計算!$E$2:$E$801, 0)+1))="","",INDEX(ERP資料!$O:$O, (MATCH(992, 輔助計算!$E$2:$E$801, 0)+1))), "")</f>
        <v/>
      </c>
      <c r="J993" s="15">
        <f>IFERROR(IF(INDEX(輔助計算!$D:$D,(MATCH(992, 輔助計算!$E$2:$E$801, 0)+1))="","",INDEX(輔助計算!$D:$D,(MATCH(992, 輔助計算!$E$2:$E$801, 0)+1))*INDEX(ERP資料!$O:$O,(MATCH(992, 輔助計算!$E$2:$E$801, 0)+1))), "")</f>
        <v/>
      </c>
      <c r="K993" s="16" t="n"/>
      <c r="L993" s="16" t="n"/>
      <c r="M993" s="17" t="n"/>
    </row>
    <row r="994">
      <c r="A994" s="14">
        <f>IFERROR(IF(INDEX(ERP資料!$B:$B, (MATCH(993, 輔助計算!$E$2:$E$801, 0)+1))="","",INDEX(ERP資料!$B:$B, (MATCH(993, 輔助計算!$E$2:$E$801, 0)+1))), "")</f>
        <v/>
      </c>
      <c r="B994" s="10">
        <f>IFERROR(IF(INDEX(ERP資料!$A:$A, (MATCH(993, 輔助計算!$E$2:$E$801, 0)+1))="","",INDEX(ERP資料!$A:$A, (MATCH(993, 輔助計算!$E$2:$E$801, 0)+1))), "")</f>
        <v/>
      </c>
      <c r="C994" s="10">
        <f>IFERROR(IF(INDEX(ERP資料!$S:$S, (MATCH(993, 輔助計算!$E$2:$E$801, 0)+1))="","",INDEX(ERP資料!$S:$S, (MATCH(993, 輔助計算!$E$2:$E$801, 0)+1))), "")</f>
        <v/>
      </c>
      <c r="D994" s="10">
        <f>IFERROR(IF(INDEX(ERP資料!$E:$E, (MATCH(993, 輔助計算!$E$2:$E$801, 0)+1))="","",TRIM(INDEX(ERP資料!$E:$E, (MATCH(993, 輔助計算!$E$2:$E$801, 0)+1)))), "")</f>
        <v/>
      </c>
      <c r="E994" s="10">
        <f>IFERROR(IF(INDEX(ERP資料!$F:$F, (MATCH(993, 輔助計算!$E$2:$E$801, 0)+1))="","",INDEX(ERP資料!$F:$F, (MATCH(993, 輔助計算!$E$2:$E$801, 0)+1))), "")</f>
        <v/>
      </c>
      <c r="F994" s="10">
        <f>IFERROR(IF(INDEX(ERP資料!$G:$G, (MATCH(993, 輔助計算!$E$2:$E$801, 0)+1))="","",INDEX(ERP資料!$G:$G, (MATCH(993, 輔助計算!$E$2:$E$801, 0)+1))), "")</f>
        <v/>
      </c>
      <c r="G994" s="10">
        <f>IFERROR(IF(INDEX(ERP資料!$H:$H, (MATCH(993, 輔助計算!$E$2:$E$801, 0)+1))="","",INDEX(ERP資料!$H:$H, (MATCH(993, 輔助計算!$E$2:$E$801, 0)+1))), "")</f>
        <v/>
      </c>
      <c r="H994" s="15">
        <f>IFERROR(INDEX(輔助計算!$D:$D, (MATCH(993, 輔助計算!$E$2:$E$801, 0)+1)), "")</f>
        <v/>
      </c>
      <c r="I994" s="10">
        <f>IFERROR(IF(INDEX(ERP資料!$O:$O, (MATCH(993, 輔助計算!$E$2:$E$801, 0)+1))="","",INDEX(ERP資料!$O:$O, (MATCH(993, 輔助計算!$E$2:$E$801, 0)+1))), "")</f>
        <v/>
      </c>
      <c r="J994" s="15">
        <f>IFERROR(IF(INDEX(輔助計算!$D:$D,(MATCH(993, 輔助計算!$E$2:$E$801, 0)+1))="","",INDEX(輔助計算!$D:$D,(MATCH(993, 輔助計算!$E$2:$E$801, 0)+1))*INDEX(ERP資料!$O:$O,(MATCH(993, 輔助計算!$E$2:$E$801, 0)+1))), "")</f>
        <v/>
      </c>
      <c r="K994" s="16" t="n"/>
      <c r="L994" s="16" t="n"/>
      <c r="M994" s="17" t="n"/>
    </row>
    <row r="995">
      <c r="A995" s="14">
        <f>IFERROR(IF(INDEX(ERP資料!$B:$B, (MATCH(994, 輔助計算!$E$2:$E$801, 0)+1))="","",INDEX(ERP資料!$B:$B, (MATCH(994, 輔助計算!$E$2:$E$801, 0)+1))), "")</f>
        <v/>
      </c>
      <c r="B995" s="10">
        <f>IFERROR(IF(INDEX(ERP資料!$A:$A, (MATCH(994, 輔助計算!$E$2:$E$801, 0)+1))="","",INDEX(ERP資料!$A:$A, (MATCH(994, 輔助計算!$E$2:$E$801, 0)+1))), "")</f>
        <v/>
      </c>
      <c r="C995" s="10">
        <f>IFERROR(IF(INDEX(ERP資料!$S:$S, (MATCH(994, 輔助計算!$E$2:$E$801, 0)+1))="","",INDEX(ERP資料!$S:$S, (MATCH(994, 輔助計算!$E$2:$E$801, 0)+1))), "")</f>
        <v/>
      </c>
      <c r="D995" s="10">
        <f>IFERROR(IF(INDEX(ERP資料!$E:$E, (MATCH(994, 輔助計算!$E$2:$E$801, 0)+1))="","",TRIM(INDEX(ERP資料!$E:$E, (MATCH(994, 輔助計算!$E$2:$E$801, 0)+1)))), "")</f>
        <v/>
      </c>
      <c r="E995" s="10">
        <f>IFERROR(IF(INDEX(ERP資料!$F:$F, (MATCH(994, 輔助計算!$E$2:$E$801, 0)+1))="","",INDEX(ERP資料!$F:$F, (MATCH(994, 輔助計算!$E$2:$E$801, 0)+1))), "")</f>
        <v/>
      </c>
      <c r="F995" s="10">
        <f>IFERROR(IF(INDEX(ERP資料!$G:$G, (MATCH(994, 輔助計算!$E$2:$E$801, 0)+1))="","",INDEX(ERP資料!$G:$G, (MATCH(994, 輔助計算!$E$2:$E$801, 0)+1))), "")</f>
        <v/>
      </c>
      <c r="G995" s="10">
        <f>IFERROR(IF(INDEX(ERP資料!$H:$H, (MATCH(994, 輔助計算!$E$2:$E$801, 0)+1))="","",INDEX(ERP資料!$H:$H, (MATCH(994, 輔助計算!$E$2:$E$801, 0)+1))), "")</f>
        <v/>
      </c>
      <c r="H995" s="15">
        <f>IFERROR(INDEX(輔助計算!$D:$D, (MATCH(994, 輔助計算!$E$2:$E$801, 0)+1)), "")</f>
        <v/>
      </c>
      <c r="I995" s="10">
        <f>IFERROR(IF(INDEX(ERP資料!$O:$O, (MATCH(994, 輔助計算!$E$2:$E$801, 0)+1))="","",INDEX(ERP資料!$O:$O, (MATCH(994, 輔助計算!$E$2:$E$801, 0)+1))), "")</f>
        <v/>
      </c>
      <c r="J995" s="15">
        <f>IFERROR(IF(INDEX(輔助計算!$D:$D,(MATCH(994, 輔助計算!$E$2:$E$801, 0)+1))="","",INDEX(輔助計算!$D:$D,(MATCH(994, 輔助計算!$E$2:$E$801, 0)+1))*INDEX(ERP資料!$O:$O,(MATCH(994, 輔助計算!$E$2:$E$801, 0)+1))), "")</f>
        <v/>
      </c>
      <c r="K995" s="16" t="n"/>
      <c r="L995" s="16" t="n"/>
      <c r="M995" s="17" t="n"/>
    </row>
    <row r="996">
      <c r="A996" s="14">
        <f>IFERROR(IF(INDEX(ERP資料!$B:$B, (MATCH(995, 輔助計算!$E$2:$E$801, 0)+1))="","",INDEX(ERP資料!$B:$B, (MATCH(995, 輔助計算!$E$2:$E$801, 0)+1))), "")</f>
        <v/>
      </c>
      <c r="B996" s="10">
        <f>IFERROR(IF(INDEX(ERP資料!$A:$A, (MATCH(995, 輔助計算!$E$2:$E$801, 0)+1))="","",INDEX(ERP資料!$A:$A, (MATCH(995, 輔助計算!$E$2:$E$801, 0)+1))), "")</f>
        <v/>
      </c>
      <c r="C996" s="10">
        <f>IFERROR(IF(INDEX(ERP資料!$S:$S, (MATCH(995, 輔助計算!$E$2:$E$801, 0)+1))="","",INDEX(ERP資料!$S:$S, (MATCH(995, 輔助計算!$E$2:$E$801, 0)+1))), "")</f>
        <v/>
      </c>
      <c r="D996" s="10">
        <f>IFERROR(IF(INDEX(ERP資料!$E:$E, (MATCH(995, 輔助計算!$E$2:$E$801, 0)+1))="","",TRIM(INDEX(ERP資料!$E:$E, (MATCH(995, 輔助計算!$E$2:$E$801, 0)+1)))), "")</f>
        <v/>
      </c>
      <c r="E996" s="10">
        <f>IFERROR(IF(INDEX(ERP資料!$F:$F, (MATCH(995, 輔助計算!$E$2:$E$801, 0)+1))="","",INDEX(ERP資料!$F:$F, (MATCH(995, 輔助計算!$E$2:$E$801, 0)+1))), "")</f>
        <v/>
      </c>
      <c r="F996" s="10">
        <f>IFERROR(IF(INDEX(ERP資料!$G:$G, (MATCH(995, 輔助計算!$E$2:$E$801, 0)+1))="","",INDEX(ERP資料!$G:$G, (MATCH(995, 輔助計算!$E$2:$E$801, 0)+1))), "")</f>
        <v/>
      </c>
      <c r="G996" s="10">
        <f>IFERROR(IF(INDEX(ERP資料!$H:$H, (MATCH(995, 輔助計算!$E$2:$E$801, 0)+1))="","",INDEX(ERP資料!$H:$H, (MATCH(995, 輔助計算!$E$2:$E$801, 0)+1))), "")</f>
        <v/>
      </c>
      <c r="H996" s="15">
        <f>IFERROR(INDEX(輔助計算!$D:$D, (MATCH(995, 輔助計算!$E$2:$E$801, 0)+1)), "")</f>
        <v/>
      </c>
      <c r="I996" s="10">
        <f>IFERROR(IF(INDEX(ERP資料!$O:$O, (MATCH(995, 輔助計算!$E$2:$E$801, 0)+1))="","",INDEX(ERP資料!$O:$O, (MATCH(995, 輔助計算!$E$2:$E$801, 0)+1))), "")</f>
        <v/>
      </c>
      <c r="J996" s="15">
        <f>IFERROR(IF(INDEX(輔助計算!$D:$D,(MATCH(995, 輔助計算!$E$2:$E$801, 0)+1))="","",INDEX(輔助計算!$D:$D,(MATCH(995, 輔助計算!$E$2:$E$801, 0)+1))*INDEX(ERP資料!$O:$O,(MATCH(995, 輔助計算!$E$2:$E$801, 0)+1))), "")</f>
        <v/>
      </c>
      <c r="K996" s="16" t="n"/>
      <c r="L996" s="16" t="n"/>
      <c r="M996" s="17" t="n"/>
    </row>
    <row r="997">
      <c r="A997" s="14">
        <f>IFERROR(IF(INDEX(ERP資料!$B:$B, (MATCH(996, 輔助計算!$E$2:$E$801, 0)+1))="","",INDEX(ERP資料!$B:$B, (MATCH(996, 輔助計算!$E$2:$E$801, 0)+1))), "")</f>
        <v/>
      </c>
      <c r="B997" s="10">
        <f>IFERROR(IF(INDEX(ERP資料!$A:$A, (MATCH(996, 輔助計算!$E$2:$E$801, 0)+1))="","",INDEX(ERP資料!$A:$A, (MATCH(996, 輔助計算!$E$2:$E$801, 0)+1))), "")</f>
        <v/>
      </c>
      <c r="C997" s="10">
        <f>IFERROR(IF(INDEX(ERP資料!$S:$S, (MATCH(996, 輔助計算!$E$2:$E$801, 0)+1))="","",INDEX(ERP資料!$S:$S, (MATCH(996, 輔助計算!$E$2:$E$801, 0)+1))), "")</f>
        <v/>
      </c>
      <c r="D997" s="10">
        <f>IFERROR(IF(INDEX(ERP資料!$E:$E, (MATCH(996, 輔助計算!$E$2:$E$801, 0)+1))="","",TRIM(INDEX(ERP資料!$E:$E, (MATCH(996, 輔助計算!$E$2:$E$801, 0)+1)))), "")</f>
        <v/>
      </c>
      <c r="E997" s="10">
        <f>IFERROR(IF(INDEX(ERP資料!$F:$F, (MATCH(996, 輔助計算!$E$2:$E$801, 0)+1))="","",INDEX(ERP資料!$F:$F, (MATCH(996, 輔助計算!$E$2:$E$801, 0)+1))), "")</f>
        <v/>
      </c>
      <c r="F997" s="10">
        <f>IFERROR(IF(INDEX(ERP資料!$G:$G, (MATCH(996, 輔助計算!$E$2:$E$801, 0)+1))="","",INDEX(ERP資料!$G:$G, (MATCH(996, 輔助計算!$E$2:$E$801, 0)+1))), "")</f>
        <v/>
      </c>
      <c r="G997" s="10">
        <f>IFERROR(IF(INDEX(ERP資料!$H:$H, (MATCH(996, 輔助計算!$E$2:$E$801, 0)+1))="","",INDEX(ERP資料!$H:$H, (MATCH(996, 輔助計算!$E$2:$E$801, 0)+1))), "")</f>
        <v/>
      </c>
      <c r="H997" s="15">
        <f>IFERROR(INDEX(輔助計算!$D:$D, (MATCH(996, 輔助計算!$E$2:$E$801, 0)+1)), "")</f>
        <v/>
      </c>
      <c r="I997" s="10">
        <f>IFERROR(IF(INDEX(ERP資料!$O:$O, (MATCH(996, 輔助計算!$E$2:$E$801, 0)+1))="","",INDEX(ERP資料!$O:$O, (MATCH(996, 輔助計算!$E$2:$E$801, 0)+1))), "")</f>
        <v/>
      </c>
      <c r="J997" s="15">
        <f>IFERROR(IF(INDEX(輔助計算!$D:$D,(MATCH(996, 輔助計算!$E$2:$E$801, 0)+1))="","",INDEX(輔助計算!$D:$D,(MATCH(996, 輔助計算!$E$2:$E$801, 0)+1))*INDEX(ERP資料!$O:$O,(MATCH(996, 輔助計算!$E$2:$E$801, 0)+1))), "")</f>
        <v/>
      </c>
      <c r="K997" s="16" t="n"/>
      <c r="L997" s="16" t="n"/>
      <c r="M997" s="17" t="n"/>
    </row>
    <row r="998">
      <c r="A998" s="14">
        <f>IFERROR(IF(INDEX(ERP資料!$B:$B, (MATCH(997, 輔助計算!$E$2:$E$801, 0)+1))="","",INDEX(ERP資料!$B:$B, (MATCH(997, 輔助計算!$E$2:$E$801, 0)+1))), "")</f>
        <v/>
      </c>
      <c r="B998" s="10">
        <f>IFERROR(IF(INDEX(ERP資料!$A:$A, (MATCH(997, 輔助計算!$E$2:$E$801, 0)+1))="","",INDEX(ERP資料!$A:$A, (MATCH(997, 輔助計算!$E$2:$E$801, 0)+1))), "")</f>
        <v/>
      </c>
      <c r="C998" s="10">
        <f>IFERROR(IF(INDEX(ERP資料!$S:$S, (MATCH(997, 輔助計算!$E$2:$E$801, 0)+1))="","",INDEX(ERP資料!$S:$S, (MATCH(997, 輔助計算!$E$2:$E$801, 0)+1))), "")</f>
        <v/>
      </c>
      <c r="D998" s="10">
        <f>IFERROR(IF(INDEX(ERP資料!$E:$E, (MATCH(997, 輔助計算!$E$2:$E$801, 0)+1))="","",TRIM(INDEX(ERP資料!$E:$E, (MATCH(997, 輔助計算!$E$2:$E$801, 0)+1)))), "")</f>
        <v/>
      </c>
      <c r="E998" s="10">
        <f>IFERROR(IF(INDEX(ERP資料!$F:$F, (MATCH(997, 輔助計算!$E$2:$E$801, 0)+1))="","",INDEX(ERP資料!$F:$F, (MATCH(997, 輔助計算!$E$2:$E$801, 0)+1))), "")</f>
        <v/>
      </c>
      <c r="F998" s="10">
        <f>IFERROR(IF(INDEX(ERP資料!$G:$G, (MATCH(997, 輔助計算!$E$2:$E$801, 0)+1))="","",INDEX(ERP資料!$G:$G, (MATCH(997, 輔助計算!$E$2:$E$801, 0)+1))), "")</f>
        <v/>
      </c>
      <c r="G998" s="10">
        <f>IFERROR(IF(INDEX(ERP資料!$H:$H, (MATCH(997, 輔助計算!$E$2:$E$801, 0)+1))="","",INDEX(ERP資料!$H:$H, (MATCH(997, 輔助計算!$E$2:$E$801, 0)+1))), "")</f>
        <v/>
      </c>
      <c r="H998" s="15">
        <f>IFERROR(INDEX(輔助計算!$D:$D, (MATCH(997, 輔助計算!$E$2:$E$801, 0)+1)), "")</f>
        <v/>
      </c>
      <c r="I998" s="10">
        <f>IFERROR(IF(INDEX(ERP資料!$O:$O, (MATCH(997, 輔助計算!$E$2:$E$801, 0)+1))="","",INDEX(ERP資料!$O:$O, (MATCH(997, 輔助計算!$E$2:$E$801, 0)+1))), "")</f>
        <v/>
      </c>
      <c r="J998" s="15">
        <f>IFERROR(IF(INDEX(輔助計算!$D:$D,(MATCH(997, 輔助計算!$E$2:$E$801, 0)+1))="","",INDEX(輔助計算!$D:$D,(MATCH(997, 輔助計算!$E$2:$E$801, 0)+1))*INDEX(ERP資料!$O:$O,(MATCH(997, 輔助計算!$E$2:$E$801, 0)+1))), "")</f>
        <v/>
      </c>
      <c r="K998" s="16" t="n"/>
      <c r="L998" s="16" t="n"/>
      <c r="M998" s="17" t="n"/>
    </row>
    <row r="999">
      <c r="A999" s="14">
        <f>IFERROR(IF(INDEX(ERP資料!$B:$B, (MATCH(998, 輔助計算!$E$2:$E$801, 0)+1))="","",INDEX(ERP資料!$B:$B, (MATCH(998, 輔助計算!$E$2:$E$801, 0)+1))), "")</f>
        <v/>
      </c>
      <c r="B999" s="10">
        <f>IFERROR(IF(INDEX(ERP資料!$A:$A, (MATCH(998, 輔助計算!$E$2:$E$801, 0)+1))="","",INDEX(ERP資料!$A:$A, (MATCH(998, 輔助計算!$E$2:$E$801, 0)+1))), "")</f>
        <v/>
      </c>
      <c r="C999" s="10">
        <f>IFERROR(IF(INDEX(ERP資料!$S:$S, (MATCH(998, 輔助計算!$E$2:$E$801, 0)+1))="","",INDEX(ERP資料!$S:$S, (MATCH(998, 輔助計算!$E$2:$E$801, 0)+1))), "")</f>
        <v/>
      </c>
      <c r="D999" s="10">
        <f>IFERROR(IF(INDEX(ERP資料!$E:$E, (MATCH(998, 輔助計算!$E$2:$E$801, 0)+1))="","",TRIM(INDEX(ERP資料!$E:$E, (MATCH(998, 輔助計算!$E$2:$E$801, 0)+1)))), "")</f>
        <v/>
      </c>
      <c r="E999" s="10">
        <f>IFERROR(IF(INDEX(ERP資料!$F:$F, (MATCH(998, 輔助計算!$E$2:$E$801, 0)+1))="","",INDEX(ERP資料!$F:$F, (MATCH(998, 輔助計算!$E$2:$E$801, 0)+1))), "")</f>
        <v/>
      </c>
      <c r="F999" s="10">
        <f>IFERROR(IF(INDEX(ERP資料!$G:$G, (MATCH(998, 輔助計算!$E$2:$E$801, 0)+1))="","",INDEX(ERP資料!$G:$G, (MATCH(998, 輔助計算!$E$2:$E$801, 0)+1))), "")</f>
        <v/>
      </c>
      <c r="G999" s="10">
        <f>IFERROR(IF(INDEX(ERP資料!$H:$H, (MATCH(998, 輔助計算!$E$2:$E$801, 0)+1))="","",INDEX(ERP資料!$H:$H, (MATCH(998, 輔助計算!$E$2:$E$801, 0)+1))), "")</f>
        <v/>
      </c>
      <c r="H999" s="15">
        <f>IFERROR(INDEX(輔助計算!$D:$D, (MATCH(998, 輔助計算!$E$2:$E$801, 0)+1)), "")</f>
        <v/>
      </c>
      <c r="I999" s="10">
        <f>IFERROR(IF(INDEX(ERP資料!$O:$O, (MATCH(998, 輔助計算!$E$2:$E$801, 0)+1))="","",INDEX(ERP資料!$O:$O, (MATCH(998, 輔助計算!$E$2:$E$801, 0)+1))), "")</f>
        <v/>
      </c>
      <c r="J999" s="15">
        <f>IFERROR(IF(INDEX(輔助計算!$D:$D,(MATCH(998, 輔助計算!$E$2:$E$801, 0)+1))="","",INDEX(輔助計算!$D:$D,(MATCH(998, 輔助計算!$E$2:$E$801, 0)+1))*INDEX(ERP資料!$O:$O,(MATCH(998, 輔助計算!$E$2:$E$801, 0)+1))), "")</f>
        <v/>
      </c>
      <c r="K999" s="16" t="n"/>
      <c r="L999" s="16" t="n"/>
      <c r="M999" s="17" t="n"/>
    </row>
    <row r="1000">
      <c r="A1000" s="14">
        <f>IFERROR(IF(INDEX(ERP資料!$B:$B, (MATCH(999, 輔助計算!$E$2:$E$801, 0)+1))="","",INDEX(ERP資料!$B:$B, (MATCH(999, 輔助計算!$E$2:$E$801, 0)+1))), "")</f>
        <v/>
      </c>
      <c r="B1000" s="10">
        <f>IFERROR(IF(INDEX(ERP資料!$A:$A, (MATCH(999, 輔助計算!$E$2:$E$801, 0)+1))="","",INDEX(ERP資料!$A:$A, (MATCH(999, 輔助計算!$E$2:$E$801, 0)+1))), "")</f>
        <v/>
      </c>
      <c r="C1000" s="10">
        <f>IFERROR(IF(INDEX(ERP資料!$S:$S, (MATCH(999, 輔助計算!$E$2:$E$801, 0)+1))="","",INDEX(ERP資料!$S:$S, (MATCH(999, 輔助計算!$E$2:$E$801, 0)+1))), "")</f>
        <v/>
      </c>
      <c r="D1000" s="10">
        <f>IFERROR(IF(INDEX(ERP資料!$E:$E, (MATCH(999, 輔助計算!$E$2:$E$801, 0)+1))="","",TRIM(INDEX(ERP資料!$E:$E, (MATCH(999, 輔助計算!$E$2:$E$801, 0)+1)))), "")</f>
        <v/>
      </c>
      <c r="E1000" s="10">
        <f>IFERROR(IF(INDEX(ERP資料!$F:$F, (MATCH(999, 輔助計算!$E$2:$E$801, 0)+1))="","",INDEX(ERP資料!$F:$F, (MATCH(999, 輔助計算!$E$2:$E$801, 0)+1))), "")</f>
        <v/>
      </c>
      <c r="F1000" s="10">
        <f>IFERROR(IF(INDEX(ERP資料!$G:$G, (MATCH(999, 輔助計算!$E$2:$E$801, 0)+1))="","",INDEX(ERP資料!$G:$G, (MATCH(999, 輔助計算!$E$2:$E$801, 0)+1))), "")</f>
        <v/>
      </c>
      <c r="G1000" s="10">
        <f>IFERROR(IF(INDEX(ERP資料!$H:$H, (MATCH(999, 輔助計算!$E$2:$E$801, 0)+1))="","",INDEX(ERP資料!$H:$H, (MATCH(999, 輔助計算!$E$2:$E$801, 0)+1))), "")</f>
        <v/>
      </c>
      <c r="H1000" s="15">
        <f>IFERROR(INDEX(輔助計算!$D:$D, (MATCH(999, 輔助計算!$E$2:$E$801, 0)+1)), "")</f>
        <v/>
      </c>
      <c r="I1000" s="10">
        <f>IFERROR(IF(INDEX(ERP資料!$O:$O, (MATCH(999, 輔助計算!$E$2:$E$801, 0)+1))="","",INDEX(ERP資料!$O:$O, (MATCH(999, 輔助計算!$E$2:$E$801, 0)+1))), "")</f>
        <v/>
      </c>
      <c r="J1000" s="15">
        <f>IFERROR(IF(INDEX(輔助計算!$D:$D,(MATCH(999, 輔助計算!$E$2:$E$801, 0)+1))="","",INDEX(輔助計算!$D:$D,(MATCH(999, 輔助計算!$E$2:$E$801, 0)+1))*INDEX(ERP資料!$O:$O,(MATCH(999, 輔助計算!$E$2:$E$801, 0)+1))), "")</f>
        <v/>
      </c>
      <c r="K1000" s="16" t="n"/>
      <c r="L1000" s="16" t="n"/>
      <c r="M1000" s="17" t="n"/>
    </row>
    <row r="1001">
      <c r="A1001" s="14">
        <f>IFERROR(IF(INDEX(ERP資料!$B:$B, (MATCH(1000, 輔助計算!$E$2:$E$801, 0)+1))="","",INDEX(ERP資料!$B:$B, (MATCH(1000, 輔助計算!$E$2:$E$801, 0)+1))), "")</f>
        <v/>
      </c>
      <c r="B1001" s="10">
        <f>IFERROR(IF(INDEX(ERP資料!$A:$A, (MATCH(1000, 輔助計算!$E$2:$E$801, 0)+1))="","",INDEX(ERP資料!$A:$A, (MATCH(1000, 輔助計算!$E$2:$E$801, 0)+1))), "")</f>
        <v/>
      </c>
      <c r="C1001" s="10">
        <f>IFERROR(IF(INDEX(ERP資料!$S:$S, (MATCH(1000, 輔助計算!$E$2:$E$801, 0)+1))="","",INDEX(ERP資料!$S:$S, (MATCH(1000, 輔助計算!$E$2:$E$801, 0)+1))), "")</f>
        <v/>
      </c>
      <c r="D1001" s="10">
        <f>IFERROR(IF(INDEX(ERP資料!$E:$E, (MATCH(1000, 輔助計算!$E$2:$E$801, 0)+1))="","",TRIM(INDEX(ERP資料!$E:$E, (MATCH(1000, 輔助計算!$E$2:$E$801, 0)+1)))), "")</f>
        <v/>
      </c>
      <c r="E1001" s="10">
        <f>IFERROR(IF(INDEX(ERP資料!$F:$F, (MATCH(1000, 輔助計算!$E$2:$E$801, 0)+1))="","",INDEX(ERP資料!$F:$F, (MATCH(1000, 輔助計算!$E$2:$E$801, 0)+1))), "")</f>
        <v/>
      </c>
      <c r="F1001" s="10">
        <f>IFERROR(IF(INDEX(ERP資料!$G:$G, (MATCH(1000, 輔助計算!$E$2:$E$801, 0)+1))="","",INDEX(ERP資料!$G:$G, (MATCH(1000, 輔助計算!$E$2:$E$801, 0)+1))), "")</f>
        <v/>
      </c>
      <c r="G1001" s="10">
        <f>IFERROR(IF(INDEX(ERP資料!$H:$H, (MATCH(1000, 輔助計算!$E$2:$E$801, 0)+1))="","",INDEX(ERP資料!$H:$H, (MATCH(1000, 輔助計算!$E$2:$E$801, 0)+1))), "")</f>
        <v/>
      </c>
      <c r="H1001" s="15">
        <f>IFERROR(INDEX(輔助計算!$D:$D, (MATCH(1000, 輔助計算!$E$2:$E$801, 0)+1)), "")</f>
        <v/>
      </c>
      <c r="I1001" s="10">
        <f>IFERROR(IF(INDEX(ERP資料!$O:$O, (MATCH(1000, 輔助計算!$E$2:$E$801, 0)+1))="","",INDEX(ERP資料!$O:$O, (MATCH(1000, 輔助計算!$E$2:$E$801, 0)+1))), "")</f>
        <v/>
      </c>
      <c r="J1001" s="15">
        <f>IFERROR(IF(INDEX(輔助計算!$D:$D,(MATCH(1000, 輔助計算!$E$2:$E$801, 0)+1))="","",INDEX(輔助計算!$D:$D,(MATCH(1000, 輔助計算!$E$2:$E$801, 0)+1))*INDEX(ERP資料!$O:$O,(MATCH(1000, 輔助計算!$E$2:$E$801, 0)+1))), "")</f>
        <v/>
      </c>
      <c r="K1001" s="16" t="n"/>
      <c r="L1001" s="16" t="n"/>
      <c r="M1001" s="17" t="n"/>
    </row>
    <row r="1002">
      <c r="A1002" s="14">
        <f>IFERROR(IF(INDEX(ERP資料!$B:$B, (MATCH(1001, 輔助計算!$E$2:$E$801, 0)+1))="","",INDEX(ERP資料!$B:$B, (MATCH(1001, 輔助計算!$E$2:$E$801, 0)+1))), "")</f>
        <v/>
      </c>
      <c r="B1002" s="10">
        <f>IFERROR(IF(INDEX(ERP資料!$A:$A, (MATCH(1001, 輔助計算!$E$2:$E$801, 0)+1))="","",INDEX(ERP資料!$A:$A, (MATCH(1001, 輔助計算!$E$2:$E$801, 0)+1))), "")</f>
        <v/>
      </c>
      <c r="C1002" s="10">
        <f>IFERROR(IF(INDEX(ERP資料!$S:$S, (MATCH(1001, 輔助計算!$E$2:$E$801, 0)+1))="","",INDEX(ERP資料!$S:$S, (MATCH(1001, 輔助計算!$E$2:$E$801, 0)+1))), "")</f>
        <v/>
      </c>
      <c r="D1002" s="10">
        <f>IFERROR(IF(INDEX(ERP資料!$E:$E, (MATCH(1001, 輔助計算!$E$2:$E$801, 0)+1))="","",TRIM(INDEX(ERP資料!$E:$E, (MATCH(1001, 輔助計算!$E$2:$E$801, 0)+1)))), "")</f>
        <v/>
      </c>
      <c r="E1002" s="10">
        <f>IFERROR(IF(INDEX(ERP資料!$F:$F, (MATCH(1001, 輔助計算!$E$2:$E$801, 0)+1))="","",INDEX(ERP資料!$F:$F, (MATCH(1001, 輔助計算!$E$2:$E$801, 0)+1))), "")</f>
        <v/>
      </c>
      <c r="F1002" s="10">
        <f>IFERROR(IF(INDEX(ERP資料!$G:$G, (MATCH(1001, 輔助計算!$E$2:$E$801, 0)+1))="","",INDEX(ERP資料!$G:$G, (MATCH(1001, 輔助計算!$E$2:$E$801, 0)+1))), "")</f>
        <v/>
      </c>
      <c r="G1002" s="10">
        <f>IFERROR(IF(INDEX(ERP資料!$H:$H, (MATCH(1001, 輔助計算!$E$2:$E$801, 0)+1))="","",INDEX(ERP資料!$H:$H, (MATCH(1001, 輔助計算!$E$2:$E$801, 0)+1))), "")</f>
        <v/>
      </c>
      <c r="H1002" s="15">
        <f>IFERROR(INDEX(輔助計算!$D:$D, (MATCH(1001, 輔助計算!$E$2:$E$801, 0)+1)), "")</f>
        <v/>
      </c>
      <c r="I1002" s="10">
        <f>IFERROR(IF(INDEX(ERP資料!$O:$O, (MATCH(1001, 輔助計算!$E$2:$E$801, 0)+1))="","",INDEX(ERP資料!$O:$O, (MATCH(1001, 輔助計算!$E$2:$E$801, 0)+1))), "")</f>
        <v/>
      </c>
      <c r="J1002" s="15">
        <f>IFERROR(IF(INDEX(輔助計算!$D:$D,(MATCH(1001, 輔助計算!$E$2:$E$801, 0)+1))="","",INDEX(輔助計算!$D:$D,(MATCH(1001, 輔助計算!$E$2:$E$801, 0)+1))*INDEX(ERP資料!$O:$O,(MATCH(1001, 輔助計算!$E$2:$E$801, 0)+1))), "")</f>
        <v/>
      </c>
      <c r="K1002" s="16" t="n"/>
      <c r="L1002" s="16" t="n"/>
      <c r="M1002" s="17" t="n"/>
    </row>
    <row r="1003">
      <c r="A1003" s="14">
        <f>IFERROR(IF(INDEX(ERP資料!$B:$B, (MATCH(1002, 輔助計算!$E$2:$E$801, 0)+1))="","",INDEX(ERP資料!$B:$B, (MATCH(1002, 輔助計算!$E$2:$E$801, 0)+1))), "")</f>
        <v/>
      </c>
      <c r="B1003" s="10">
        <f>IFERROR(IF(INDEX(ERP資料!$A:$A, (MATCH(1002, 輔助計算!$E$2:$E$801, 0)+1))="","",INDEX(ERP資料!$A:$A, (MATCH(1002, 輔助計算!$E$2:$E$801, 0)+1))), "")</f>
        <v/>
      </c>
      <c r="C1003" s="10">
        <f>IFERROR(IF(INDEX(ERP資料!$S:$S, (MATCH(1002, 輔助計算!$E$2:$E$801, 0)+1))="","",INDEX(ERP資料!$S:$S, (MATCH(1002, 輔助計算!$E$2:$E$801, 0)+1))), "")</f>
        <v/>
      </c>
      <c r="D1003" s="10">
        <f>IFERROR(IF(INDEX(ERP資料!$E:$E, (MATCH(1002, 輔助計算!$E$2:$E$801, 0)+1))="","",TRIM(INDEX(ERP資料!$E:$E, (MATCH(1002, 輔助計算!$E$2:$E$801, 0)+1)))), "")</f>
        <v/>
      </c>
      <c r="E1003" s="10">
        <f>IFERROR(IF(INDEX(ERP資料!$F:$F, (MATCH(1002, 輔助計算!$E$2:$E$801, 0)+1))="","",INDEX(ERP資料!$F:$F, (MATCH(1002, 輔助計算!$E$2:$E$801, 0)+1))), "")</f>
        <v/>
      </c>
      <c r="F1003" s="10">
        <f>IFERROR(IF(INDEX(ERP資料!$G:$G, (MATCH(1002, 輔助計算!$E$2:$E$801, 0)+1))="","",INDEX(ERP資料!$G:$G, (MATCH(1002, 輔助計算!$E$2:$E$801, 0)+1))), "")</f>
        <v/>
      </c>
      <c r="G1003" s="10">
        <f>IFERROR(IF(INDEX(ERP資料!$H:$H, (MATCH(1002, 輔助計算!$E$2:$E$801, 0)+1))="","",INDEX(ERP資料!$H:$H, (MATCH(1002, 輔助計算!$E$2:$E$801, 0)+1))), "")</f>
        <v/>
      </c>
      <c r="H1003" s="15">
        <f>IFERROR(INDEX(輔助計算!$D:$D, (MATCH(1002, 輔助計算!$E$2:$E$801, 0)+1)), "")</f>
        <v/>
      </c>
      <c r="I1003" s="10">
        <f>IFERROR(IF(INDEX(ERP資料!$O:$O, (MATCH(1002, 輔助計算!$E$2:$E$801, 0)+1))="","",INDEX(ERP資料!$O:$O, (MATCH(1002, 輔助計算!$E$2:$E$801, 0)+1))), "")</f>
        <v/>
      </c>
      <c r="J1003" s="15">
        <f>IFERROR(IF(INDEX(輔助計算!$D:$D,(MATCH(1002, 輔助計算!$E$2:$E$801, 0)+1))="","",INDEX(輔助計算!$D:$D,(MATCH(1002, 輔助計算!$E$2:$E$801, 0)+1))*INDEX(ERP資料!$O:$O,(MATCH(1002, 輔助計算!$E$2:$E$801, 0)+1))), "")</f>
        <v/>
      </c>
      <c r="K1003" s="16" t="n"/>
      <c r="L1003" s="16" t="n"/>
      <c r="M1003" s="17" t="n"/>
    </row>
    <row r="1004">
      <c r="A1004" s="14">
        <f>IFERROR(IF(INDEX(ERP資料!$B:$B, (MATCH(1003, 輔助計算!$E$2:$E$801, 0)+1))="","",INDEX(ERP資料!$B:$B, (MATCH(1003, 輔助計算!$E$2:$E$801, 0)+1))), "")</f>
        <v/>
      </c>
      <c r="B1004" s="10">
        <f>IFERROR(IF(INDEX(ERP資料!$A:$A, (MATCH(1003, 輔助計算!$E$2:$E$801, 0)+1))="","",INDEX(ERP資料!$A:$A, (MATCH(1003, 輔助計算!$E$2:$E$801, 0)+1))), "")</f>
        <v/>
      </c>
      <c r="C1004" s="10">
        <f>IFERROR(IF(INDEX(ERP資料!$S:$S, (MATCH(1003, 輔助計算!$E$2:$E$801, 0)+1))="","",INDEX(ERP資料!$S:$S, (MATCH(1003, 輔助計算!$E$2:$E$801, 0)+1))), "")</f>
        <v/>
      </c>
      <c r="D1004" s="10">
        <f>IFERROR(IF(INDEX(ERP資料!$E:$E, (MATCH(1003, 輔助計算!$E$2:$E$801, 0)+1))="","",TRIM(INDEX(ERP資料!$E:$E, (MATCH(1003, 輔助計算!$E$2:$E$801, 0)+1)))), "")</f>
        <v/>
      </c>
      <c r="E1004" s="10">
        <f>IFERROR(IF(INDEX(ERP資料!$F:$F, (MATCH(1003, 輔助計算!$E$2:$E$801, 0)+1))="","",INDEX(ERP資料!$F:$F, (MATCH(1003, 輔助計算!$E$2:$E$801, 0)+1))), "")</f>
        <v/>
      </c>
      <c r="F1004" s="10">
        <f>IFERROR(IF(INDEX(ERP資料!$G:$G, (MATCH(1003, 輔助計算!$E$2:$E$801, 0)+1))="","",INDEX(ERP資料!$G:$G, (MATCH(1003, 輔助計算!$E$2:$E$801, 0)+1))), "")</f>
        <v/>
      </c>
      <c r="G1004" s="10">
        <f>IFERROR(IF(INDEX(ERP資料!$H:$H, (MATCH(1003, 輔助計算!$E$2:$E$801, 0)+1))="","",INDEX(ERP資料!$H:$H, (MATCH(1003, 輔助計算!$E$2:$E$801, 0)+1))), "")</f>
        <v/>
      </c>
      <c r="H1004" s="15">
        <f>IFERROR(INDEX(輔助計算!$D:$D, (MATCH(1003, 輔助計算!$E$2:$E$801, 0)+1)), "")</f>
        <v/>
      </c>
      <c r="I1004" s="10">
        <f>IFERROR(IF(INDEX(ERP資料!$O:$O, (MATCH(1003, 輔助計算!$E$2:$E$801, 0)+1))="","",INDEX(ERP資料!$O:$O, (MATCH(1003, 輔助計算!$E$2:$E$801, 0)+1))), "")</f>
        <v/>
      </c>
      <c r="J1004" s="15">
        <f>IFERROR(IF(INDEX(輔助計算!$D:$D,(MATCH(1003, 輔助計算!$E$2:$E$801, 0)+1))="","",INDEX(輔助計算!$D:$D,(MATCH(1003, 輔助計算!$E$2:$E$801, 0)+1))*INDEX(ERP資料!$O:$O,(MATCH(1003, 輔助計算!$E$2:$E$801, 0)+1))), "")</f>
        <v/>
      </c>
      <c r="K1004" s="16" t="n"/>
      <c r="L1004" s="16" t="n"/>
      <c r="M1004" s="17" t="n"/>
    </row>
    <row r="1005">
      <c r="A1005" s="14">
        <f>IFERROR(IF(INDEX(ERP資料!$B:$B, (MATCH(1004, 輔助計算!$E$2:$E$801, 0)+1))="","",INDEX(ERP資料!$B:$B, (MATCH(1004, 輔助計算!$E$2:$E$801, 0)+1))), "")</f>
        <v/>
      </c>
      <c r="B1005" s="10">
        <f>IFERROR(IF(INDEX(ERP資料!$A:$A, (MATCH(1004, 輔助計算!$E$2:$E$801, 0)+1))="","",INDEX(ERP資料!$A:$A, (MATCH(1004, 輔助計算!$E$2:$E$801, 0)+1))), "")</f>
        <v/>
      </c>
      <c r="C1005" s="10">
        <f>IFERROR(IF(INDEX(ERP資料!$S:$S, (MATCH(1004, 輔助計算!$E$2:$E$801, 0)+1))="","",INDEX(ERP資料!$S:$S, (MATCH(1004, 輔助計算!$E$2:$E$801, 0)+1))), "")</f>
        <v/>
      </c>
      <c r="D1005" s="10">
        <f>IFERROR(IF(INDEX(ERP資料!$E:$E, (MATCH(1004, 輔助計算!$E$2:$E$801, 0)+1))="","",TRIM(INDEX(ERP資料!$E:$E, (MATCH(1004, 輔助計算!$E$2:$E$801, 0)+1)))), "")</f>
        <v/>
      </c>
      <c r="E1005" s="10">
        <f>IFERROR(IF(INDEX(ERP資料!$F:$F, (MATCH(1004, 輔助計算!$E$2:$E$801, 0)+1))="","",INDEX(ERP資料!$F:$F, (MATCH(1004, 輔助計算!$E$2:$E$801, 0)+1))), "")</f>
        <v/>
      </c>
      <c r="F1005" s="10">
        <f>IFERROR(IF(INDEX(ERP資料!$G:$G, (MATCH(1004, 輔助計算!$E$2:$E$801, 0)+1))="","",INDEX(ERP資料!$G:$G, (MATCH(1004, 輔助計算!$E$2:$E$801, 0)+1))), "")</f>
        <v/>
      </c>
      <c r="G1005" s="10">
        <f>IFERROR(IF(INDEX(ERP資料!$H:$H, (MATCH(1004, 輔助計算!$E$2:$E$801, 0)+1))="","",INDEX(ERP資料!$H:$H, (MATCH(1004, 輔助計算!$E$2:$E$801, 0)+1))), "")</f>
        <v/>
      </c>
      <c r="H1005" s="15">
        <f>IFERROR(INDEX(輔助計算!$D:$D, (MATCH(1004, 輔助計算!$E$2:$E$801, 0)+1)), "")</f>
        <v/>
      </c>
      <c r="I1005" s="10">
        <f>IFERROR(IF(INDEX(ERP資料!$O:$O, (MATCH(1004, 輔助計算!$E$2:$E$801, 0)+1))="","",INDEX(ERP資料!$O:$O, (MATCH(1004, 輔助計算!$E$2:$E$801, 0)+1))), "")</f>
        <v/>
      </c>
      <c r="J1005" s="15">
        <f>IFERROR(IF(INDEX(輔助計算!$D:$D,(MATCH(1004, 輔助計算!$E$2:$E$801, 0)+1))="","",INDEX(輔助計算!$D:$D,(MATCH(1004, 輔助計算!$E$2:$E$801, 0)+1))*INDEX(ERP資料!$O:$O,(MATCH(1004, 輔助計算!$E$2:$E$801, 0)+1))), "")</f>
        <v/>
      </c>
      <c r="K1005" s="16" t="n"/>
      <c r="L1005" s="16" t="n"/>
      <c r="M1005" s="17" t="n"/>
    </row>
    <row r="1006">
      <c r="A1006" s="14">
        <f>IFERROR(IF(INDEX(ERP資料!$B:$B, (MATCH(1005, 輔助計算!$E$2:$E$801, 0)+1))="","",INDEX(ERP資料!$B:$B, (MATCH(1005, 輔助計算!$E$2:$E$801, 0)+1))), "")</f>
        <v/>
      </c>
      <c r="B1006" s="10">
        <f>IFERROR(IF(INDEX(ERP資料!$A:$A, (MATCH(1005, 輔助計算!$E$2:$E$801, 0)+1))="","",INDEX(ERP資料!$A:$A, (MATCH(1005, 輔助計算!$E$2:$E$801, 0)+1))), "")</f>
        <v/>
      </c>
      <c r="C1006" s="10">
        <f>IFERROR(IF(INDEX(ERP資料!$S:$S, (MATCH(1005, 輔助計算!$E$2:$E$801, 0)+1))="","",INDEX(ERP資料!$S:$S, (MATCH(1005, 輔助計算!$E$2:$E$801, 0)+1))), "")</f>
        <v/>
      </c>
      <c r="D1006" s="10">
        <f>IFERROR(IF(INDEX(ERP資料!$E:$E, (MATCH(1005, 輔助計算!$E$2:$E$801, 0)+1))="","",TRIM(INDEX(ERP資料!$E:$E, (MATCH(1005, 輔助計算!$E$2:$E$801, 0)+1)))), "")</f>
        <v/>
      </c>
      <c r="E1006" s="10">
        <f>IFERROR(IF(INDEX(ERP資料!$F:$F, (MATCH(1005, 輔助計算!$E$2:$E$801, 0)+1))="","",INDEX(ERP資料!$F:$F, (MATCH(1005, 輔助計算!$E$2:$E$801, 0)+1))), "")</f>
        <v/>
      </c>
      <c r="F1006" s="10">
        <f>IFERROR(IF(INDEX(ERP資料!$G:$G, (MATCH(1005, 輔助計算!$E$2:$E$801, 0)+1))="","",INDEX(ERP資料!$G:$G, (MATCH(1005, 輔助計算!$E$2:$E$801, 0)+1))), "")</f>
        <v/>
      </c>
      <c r="G1006" s="10">
        <f>IFERROR(IF(INDEX(ERP資料!$H:$H, (MATCH(1005, 輔助計算!$E$2:$E$801, 0)+1))="","",INDEX(ERP資料!$H:$H, (MATCH(1005, 輔助計算!$E$2:$E$801, 0)+1))), "")</f>
        <v/>
      </c>
      <c r="H1006" s="15">
        <f>IFERROR(INDEX(輔助計算!$D:$D, (MATCH(1005, 輔助計算!$E$2:$E$801, 0)+1)), "")</f>
        <v/>
      </c>
      <c r="I1006" s="10">
        <f>IFERROR(IF(INDEX(ERP資料!$O:$O, (MATCH(1005, 輔助計算!$E$2:$E$801, 0)+1))="","",INDEX(ERP資料!$O:$O, (MATCH(1005, 輔助計算!$E$2:$E$801, 0)+1))), "")</f>
        <v/>
      </c>
      <c r="J1006" s="15">
        <f>IFERROR(IF(INDEX(輔助計算!$D:$D,(MATCH(1005, 輔助計算!$E$2:$E$801, 0)+1))="","",INDEX(輔助計算!$D:$D,(MATCH(1005, 輔助計算!$E$2:$E$801, 0)+1))*INDEX(ERP資料!$O:$O,(MATCH(1005, 輔助計算!$E$2:$E$801, 0)+1))), "")</f>
        <v/>
      </c>
      <c r="K1006" s="16" t="n"/>
      <c r="L1006" s="16" t="n"/>
      <c r="M1006" s="17" t="n"/>
    </row>
    <row r="1007">
      <c r="A1007" s="14">
        <f>IFERROR(IF(INDEX(ERP資料!$B:$B, (MATCH(1006, 輔助計算!$E$2:$E$801, 0)+1))="","",INDEX(ERP資料!$B:$B, (MATCH(1006, 輔助計算!$E$2:$E$801, 0)+1))), "")</f>
        <v/>
      </c>
      <c r="B1007" s="10">
        <f>IFERROR(IF(INDEX(ERP資料!$A:$A, (MATCH(1006, 輔助計算!$E$2:$E$801, 0)+1))="","",INDEX(ERP資料!$A:$A, (MATCH(1006, 輔助計算!$E$2:$E$801, 0)+1))), "")</f>
        <v/>
      </c>
      <c r="C1007" s="10">
        <f>IFERROR(IF(INDEX(ERP資料!$S:$S, (MATCH(1006, 輔助計算!$E$2:$E$801, 0)+1))="","",INDEX(ERP資料!$S:$S, (MATCH(1006, 輔助計算!$E$2:$E$801, 0)+1))), "")</f>
        <v/>
      </c>
      <c r="D1007" s="10">
        <f>IFERROR(IF(INDEX(ERP資料!$E:$E, (MATCH(1006, 輔助計算!$E$2:$E$801, 0)+1))="","",TRIM(INDEX(ERP資料!$E:$E, (MATCH(1006, 輔助計算!$E$2:$E$801, 0)+1)))), "")</f>
        <v/>
      </c>
      <c r="E1007" s="10">
        <f>IFERROR(IF(INDEX(ERP資料!$F:$F, (MATCH(1006, 輔助計算!$E$2:$E$801, 0)+1))="","",INDEX(ERP資料!$F:$F, (MATCH(1006, 輔助計算!$E$2:$E$801, 0)+1))), "")</f>
        <v/>
      </c>
      <c r="F1007" s="10">
        <f>IFERROR(IF(INDEX(ERP資料!$G:$G, (MATCH(1006, 輔助計算!$E$2:$E$801, 0)+1))="","",INDEX(ERP資料!$G:$G, (MATCH(1006, 輔助計算!$E$2:$E$801, 0)+1))), "")</f>
        <v/>
      </c>
      <c r="G1007" s="10">
        <f>IFERROR(IF(INDEX(ERP資料!$H:$H, (MATCH(1006, 輔助計算!$E$2:$E$801, 0)+1))="","",INDEX(ERP資料!$H:$H, (MATCH(1006, 輔助計算!$E$2:$E$801, 0)+1))), "")</f>
        <v/>
      </c>
      <c r="H1007" s="15">
        <f>IFERROR(INDEX(輔助計算!$D:$D, (MATCH(1006, 輔助計算!$E$2:$E$801, 0)+1)), "")</f>
        <v/>
      </c>
      <c r="I1007" s="10">
        <f>IFERROR(IF(INDEX(ERP資料!$O:$O, (MATCH(1006, 輔助計算!$E$2:$E$801, 0)+1))="","",INDEX(ERP資料!$O:$O, (MATCH(1006, 輔助計算!$E$2:$E$801, 0)+1))), "")</f>
        <v/>
      </c>
      <c r="J1007" s="15">
        <f>IFERROR(IF(INDEX(輔助計算!$D:$D,(MATCH(1006, 輔助計算!$E$2:$E$801, 0)+1))="","",INDEX(輔助計算!$D:$D,(MATCH(1006, 輔助計算!$E$2:$E$801, 0)+1))*INDEX(ERP資料!$O:$O,(MATCH(1006, 輔助計算!$E$2:$E$801, 0)+1))), "")</f>
        <v/>
      </c>
      <c r="K1007" s="16" t="n"/>
      <c r="L1007" s="16" t="n"/>
      <c r="M1007" s="17" t="n"/>
    </row>
    <row r="1008">
      <c r="A1008" s="14">
        <f>IFERROR(IF(INDEX(ERP資料!$B:$B, (MATCH(1007, 輔助計算!$E$2:$E$801, 0)+1))="","",INDEX(ERP資料!$B:$B, (MATCH(1007, 輔助計算!$E$2:$E$801, 0)+1))), "")</f>
        <v/>
      </c>
      <c r="B1008" s="10">
        <f>IFERROR(IF(INDEX(ERP資料!$A:$A, (MATCH(1007, 輔助計算!$E$2:$E$801, 0)+1))="","",INDEX(ERP資料!$A:$A, (MATCH(1007, 輔助計算!$E$2:$E$801, 0)+1))), "")</f>
        <v/>
      </c>
      <c r="C1008" s="10">
        <f>IFERROR(IF(INDEX(ERP資料!$S:$S, (MATCH(1007, 輔助計算!$E$2:$E$801, 0)+1))="","",INDEX(ERP資料!$S:$S, (MATCH(1007, 輔助計算!$E$2:$E$801, 0)+1))), "")</f>
        <v/>
      </c>
      <c r="D1008" s="10">
        <f>IFERROR(IF(INDEX(ERP資料!$E:$E, (MATCH(1007, 輔助計算!$E$2:$E$801, 0)+1))="","",TRIM(INDEX(ERP資料!$E:$E, (MATCH(1007, 輔助計算!$E$2:$E$801, 0)+1)))), "")</f>
        <v/>
      </c>
      <c r="E1008" s="10">
        <f>IFERROR(IF(INDEX(ERP資料!$F:$F, (MATCH(1007, 輔助計算!$E$2:$E$801, 0)+1))="","",INDEX(ERP資料!$F:$F, (MATCH(1007, 輔助計算!$E$2:$E$801, 0)+1))), "")</f>
        <v/>
      </c>
      <c r="F1008" s="10">
        <f>IFERROR(IF(INDEX(ERP資料!$G:$G, (MATCH(1007, 輔助計算!$E$2:$E$801, 0)+1))="","",INDEX(ERP資料!$G:$G, (MATCH(1007, 輔助計算!$E$2:$E$801, 0)+1))), "")</f>
        <v/>
      </c>
      <c r="G1008" s="10">
        <f>IFERROR(IF(INDEX(ERP資料!$H:$H, (MATCH(1007, 輔助計算!$E$2:$E$801, 0)+1))="","",INDEX(ERP資料!$H:$H, (MATCH(1007, 輔助計算!$E$2:$E$801, 0)+1))), "")</f>
        <v/>
      </c>
      <c r="H1008" s="15">
        <f>IFERROR(INDEX(輔助計算!$D:$D, (MATCH(1007, 輔助計算!$E$2:$E$801, 0)+1)), "")</f>
        <v/>
      </c>
      <c r="I1008" s="10">
        <f>IFERROR(IF(INDEX(ERP資料!$O:$O, (MATCH(1007, 輔助計算!$E$2:$E$801, 0)+1))="","",INDEX(ERP資料!$O:$O, (MATCH(1007, 輔助計算!$E$2:$E$801, 0)+1))), "")</f>
        <v/>
      </c>
      <c r="J1008" s="15">
        <f>IFERROR(IF(INDEX(輔助計算!$D:$D,(MATCH(1007, 輔助計算!$E$2:$E$801, 0)+1))="","",INDEX(輔助計算!$D:$D,(MATCH(1007, 輔助計算!$E$2:$E$801, 0)+1))*INDEX(ERP資料!$O:$O,(MATCH(1007, 輔助計算!$E$2:$E$801, 0)+1))), "")</f>
        <v/>
      </c>
      <c r="K1008" s="16" t="n"/>
      <c r="L1008" s="16" t="n"/>
      <c r="M1008" s="17" t="n"/>
    </row>
    <row r="1009">
      <c r="A1009" s="14">
        <f>IFERROR(IF(INDEX(ERP資料!$B:$B, (MATCH(1008, 輔助計算!$E$2:$E$801, 0)+1))="","",INDEX(ERP資料!$B:$B, (MATCH(1008, 輔助計算!$E$2:$E$801, 0)+1))), "")</f>
        <v/>
      </c>
      <c r="B1009" s="10">
        <f>IFERROR(IF(INDEX(ERP資料!$A:$A, (MATCH(1008, 輔助計算!$E$2:$E$801, 0)+1))="","",INDEX(ERP資料!$A:$A, (MATCH(1008, 輔助計算!$E$2:$E$801, 0)+1))), "")</f>
        <v/>
      </c>
      <c r="C1009" s="10">
        <f>IFERROR(IF(INDEX(ERP資料!$S:$S, (MATCH(1008, 輔助計算!$E$2:$E$801, 0)+1))="","",INDEX(ERP資料!$S:$S, (MATCH(1008, 輔助計算!$E$2:$E$801, 0)+1))), "")</f>
        <v/>
      </c>
      <c r="D1009" s="10">
        <f>IFERROR(IF(INDEX(ERP資料!$E:$E, (MATCH(1008, 輔助計算!$E$2:$E$801, 0)+1))="","",TRIM(INDEX(ERP資料!$E:$E, (MATCH(1008, 輔助計算!$E$2:$E$801, 0)+1)))), "")</f>
        <v/>
      </c>
      <c r="E1009" s="10">
        <f>IFERROR(IF(INDEX(ERP資料!$F:$F, (MATCH(1008, 輔助計算!$E$2:$E$801, 0)+1))="","",INDEX(ERP資料!$F:$F, (MATCH(1008, 輔助計算!$E$2:$E$801, 0)+1))), "")</f>
        <v/>
      </c>
      <c r="F1009" s="10">
        <f>IFERROR(IF(INDEX(ERP資料!$G:$G, (MATCH(1008, 輔助計算!$E$2:$E$801, 0)+1))="","",INDEX(ERP資料!$G:$G, (MATCH(1008, 輔助計算!$E$2:$E$801, 0)+1))), "")</f>
        <v/>
      </c>
      <c r="G1009" s="10">
        <f>IFERROR(IF(INDEX(ERP資料!$H:$H, (MATCH(1008, 輔助計算!$E$2:$E$801, 0)+1))="","",INDEX(ERP資料!$H:$H, (MATCH(1008, 輔助計算!$E$2:$E$801, 0)+1))), "")</f>
        <v/>
      </c>
      <c r="H1009" s="15">
        <f>IFERROR(INDEX(輔助計算!$D:$D, (MATCH(1008, 輔助計算!$E$2:$E$801, 0)+1)), "")</f>
        <v/>
      </c>
      <c r="I1009" s="10">
        <f>IFERROR(IF(INDEX(ERP資料!$O:$O, (MATCH(1008, 輔助計算!$E$2:$E$801, 0)+1))="","",INDEX(ERP資料!$O:$O, (MATCH(1008, 輔助計算!$E$2:$E$801, 0)+1))), "")</f>
        <v/>
      </c>
      <c r="J1009" s="15">
        <f>IFERROR(IF(INDEX(輔助計算!$D:$D,(MATCH(1008, 輔助計算!$E$2:$E$801, 0)+1))="","",INDEX(輔助計算!$D:$D,(MATCH(1008, 輔助計算!$E$2:$E$801, 0)+1))*INDEX(ERP資料!$O:$O,(MATCH(1008, 輔助計算!$E$2:$E$801, 0)+1))), "")</f>
        <v/>
      </c>
      <c r="K1009" s="16" t="n"/>
      <c r="L1009" s="16" t="n"/>
      <c r="M1009" s="17" t="n"/>
    </row>
    <row r="1010">
      <c r="A1010" s="14">
        <f>IFERROR(IF(INDEX(ERP資料!$B:$B, (MATCH(1009, 輔助計算!$E$2:$E$801, 0)+1))="","",INDEX(ERP資料!$B:$B, (MATCH(1009, 輔助計算!$E$2:$E$801, 0)+1))), "")</f>
        <v/>
      </c>
      <c r="B1010" s="10">
        <f>IFERROR(IF(INDEX(ERP資料!$A:$A, (MATCH(1009, 輔助計算!$E$2:$E$801, 0)+1))="","",INDEX(ERP資料!$A:$A, (MATCH(1009, 輔助計算!$E$2:$E$801, 0)+1))), "")</f>
        <v/>
      </c>
      <c r="C1010" s="10">
        <f>IFERROR(IF(INDEX(ERP資料!$S:$S, (MATCH(1009, 輔助計算!$E$2:$E$801, 0)+1))="","",INDEX(ERP資料!$S:$S, (MATCH(1009, 輔助計算!$E$2:$E$801, 0)+1))), "")</f>
        <v/>
      </c>
      <c r="D1010" s="10">
        <f>IFERROR(IF(INDEX(ERP資料!$E:$E, (MATCH(1009, 輔助計算!$E$2:$E$801, 0)+1))="","",TRIM(INDEX(ERP資料!$E:$E, (MATCH(1009, 輔助計算!$E$2:$E$801, 0)+1)))), "")</f>
        <v/>
      </c>
      <c r="E1010" s="10">
        <f>IFERROR(IF(INDEX(ERP資料!$F:$F, (MATCH(1009, 輔助計算!$E$2:$E$801, 0)+1))="","",INDEX(ERP資料!$F:$F, (MATCH(1009, 輔助計算!$E$2:$E$801, 0)+1))), "")</f>
        <v/>
      </c>
      <c r="F1010" s="10">
        <f>IFERROR(IF(INDEX(ERP資料!$G:$G, (MATCH(1009, 輔助計算!$E$2:$E$801, 0)+1))="","",INDEX(ERP資料!$G:$G, (MATCH(1009, 輔助計算!$E$2:$E$801, 0)+1))), "")</f>
        <v/>
      </c>
      <c r="G1010" s="10">
        <f>IFERROR(IF(INDEX(ERP資料!$H:$H, (MATCH(1009, 輔助計算!$E$2:$E$801, 0)+1))="","",INDEX(ERP資料!$H:$H, (MATCH(1009, 輔助計算!$E$2:$E$801, 0)+1))), "")</f>
        <v/>
      </c>
      <c r="H1010" s="15">
        <f>IFERROR(INDEX(輔助計算!$D:$D, (MATCH(1009, 輔助計算!$E$2:$E$801, 0)+1)), "")</f>
        <v/>
      </c>
      <c r="I1010" s="10">
        <f>IFERROR(IF(INDEX(ERP資料!$O:$O, (MATCH(1009, 輔助計算!$E$2:$E$801, 0)+1))="","",INDEX(ERP資料!$O:$O, (MATCH(1009, 輔助計算!$E$2:$E$801, 0)+1))), "")</f>
        <v/>
      </c>
      <c r="J1010" s="15">
        <f>IFERROR(IF(INDEX(輔助計算!$D:$D,(MATCH(1009, 輔助計算!$E$2:$E$801, 0)+1))="","",INDEX(輔助計算!$D:$D,(MATCH(1009, 輔助計算!$E$2:$E$801, 0)+1))*INDEX(ERP資料!$O:$O,(MATCH(1009, 輔助計算!$E$2:$E$801, 0)+1))), "")</f>
        <v/>
      </c>
      <c r="K1010" s="16" t="n"/>
      <c r="L1010" s="16" t="n"/>
      <c r="M1010" s="17" t="n"/>
    </row>
    <row r="1011">
      <c r="A1011" s="14">
        <f>IFERROR(IF(INDEX(ERP資料!$B:$B, (MATCH(1010, 輔助計算!$E$2:$E$801, 0)+1))="","",INDEX(ERP資料!$B:$B, (MATCH(1010, 輔助計算!$E$2:$E$801, 0)+1))), "")</f>
        <v/>
      </c>
      <c r="B1011" s="10">
        <f>IFERROR(IF(INDEX(ERP資料!$A:$A, (MATCH(1010, 輔助計算!$E$2:$E$801, 0)+1))="","",INDEX(ERP資料!$A:$A, (MATCH(1010, 輔助計算!$E$2:$E$801, 0)+1))), "")</f>
        <v/>
      </c>
      <c r="C1011" s="10">
        <f>IFERROR(IF(INDEX(ERP資料!$S:$S, (MATCH(1010, 輔助計算!$E$2:$E$801, 0)+1))="","",INDEX(ERP資料!$S:$S, (MATCH(1010, 輔助計算!$E$2:$E$801, 0)+1))), "")</f>
        <v/>
      </c>
      <c r="D1011" s="10">
        <f>IFERROR(IF(INDEX(ERP資料!$E:$E, (MATCH(1010, 輔助計算!$E$2:$E$801, 0)+1))="","",TRIM(INDEX(ERP資料!$E:$E, (MATCH(1010, 輔助計算!$E$2:$E$801, 0)+1)))), "")</f>
        <v/>
      </c>
      <c r="E1011" s="10">
        <f>IFERROR(IF(INDEX(ERP資料!$F:$F, (MATCH(1010, 輔助計算!$E$2:$E$801, 0)+1))="","",INDEX(ERP資料!$F:$F, (MATCH(1010, 輔助計算!$E$2:$E$801, 0)+1))), "")</f>
        <v/>
      </c>
      <c r="F1011" s="10">
        <f>IFERROR(IF(INDEX(ERP資料!$G:$G, (MATCH(1010, 輔助計算!$E$2:$E$801, 0)+1))="","",INDEX(ERP資料!$G:$G, (MATCH(1010, 輔助計算!$E$2:$E$801, 0)+1))), "")</f>
        <v/>
      </c>
      <c r="G1011" s="10">
        <f>IFERROR(IF(INDEX(ERP資料!$H:$H, (MATCH(1010, 輔助計算!$E$2:$E$801, 0)+1))="","",INDEX(ERP資料!$H:$H, (MATCH(1010, 輔助計算!$E$2:$E$801, 0)+1))), "")</f>
        <v/>
      </c>
      <c r="H1011" s="15">
        <f>IFERROR(INDEX(輔助計算!$D:$D, (MATCH(1010, 輔助計算!$E$2:$E$801, 0)+1)), "")</f>
        <v/>
      </c>
      <c r="I1011" s="10">
        <f>IFERROR(IF(INDEX(ERP資料!$O:$O, (MATCH(1010, 輔助計算!$E$2:$E$801, 0)+1))="","",INDEX(ERP資料!$O:$O, (MATCH(1010, 輔助計算!$E$2:$E$801, 0)+1))), "")</f>
        <v/>
      </c>
      <c r="J1011" s="15">
        <f>IFERROR(IF(INDEX(輔助計算!$D:$D,(MATCH(1010, 輔助計算!$E$2:$E$801, 0)+1))="","",INDEX(輔助計算!$D:$D,(MATCH(1010, 輔助計算!$E$2:$E$801, 0)+1))*INDEX(ERP資料!$O:$O,(MATCH(1010, 輔助計算!$E$2:$E$801, 0)+1))), "")</f>
        <v/>
      </c>
      <c r="K1011" s="16" t="n"/>
      <c r="L1011" s="16" t="n"/>
      <c r="M1011" s="17" t="n"/>
    </row>
    <row r="1012">
      <c r="A1012" s="14">
        <f>IFERROR(IF(INDEX(ERP資料!$B:$B, (MATCH(1011, 輔助計算!$E$2:$E$801, 0)+1))="","",INDEX(ERP資料!$B:$B, (MATCH(1011, 輔助計算!$E$2:$E$801, 0)+1))), "")</f>
        <v/>
      </c>
      <c r="B1012" s="10">
        <f>IFERROR(IF(INDEX(ERP資料!$A:$A, (MATCH(1011, 輔助計算!$E$2:$E$801, 0)+1))="","",INDEX(ERP資料!$A:$A, (MATCH(1011, 輔助計算!$E$2:$E$801, 0)+1))), "")</f>
        <v/>
      </c>
      <c r="C1012" s="10">
        <f>IFERROR(IF(INDEX(ERP資料!$S:$S, (MATCH(1011, 輔助計算!$E$2:$E$801, 0)+1))="","",INDEX(ERP資料!$S:$S, (MATCH(1011, 輔助計算!$E$2:$E$801, 0)+1))), "")</f>
        <v/>
      </c>
      <c r="D1012" s="10">
        <f>IFERROR(IF(INDEX(ERP資料!$E:$E, (MATCH(1011, 輔助計算!$E$2:$E$801, 0)+1))="","",TRIM(INDEX(ERP資料!$E:$E, (MATCH(1011, 輔助計算!$E$2:$E$801, 0)+1)))), "")</f>
        <v/>
      </c>
      <c r="E1012" s="10">
        <f>IFERROR(IF(INDEX(ERP資料!$F:$F, (MATCH(1011, 輔助計算!$E$2:$E$801, 0)+1))="","",INDEX(ERP資料!$F:$F, (MATCH(1011, 輔助計算!$E$2:$E$801, 0)+1))), "")</f>
        <v/>
      </c>
      <c r="F1012" s="10">
        <f>IFERROR(IF(INDEX(ERP資料!$G:$G, (MATCH(1011, 輔助計算!$E$2:$E$801, 0)+1))="","",INDEX(ERP資料!$G:$G, (MATCH(1011, 輔助計算!$E$2:$E$801, 0)+1))), "")</f>
        <v/>
      </c>
      <c r="G1012" s="10">
        <f>IFERROR(IF(INDEX(ERP資料!$H:$H, (MATCH(1011, 輔助計算!$E$2:$E$801, 0)+1))="","",INDEX(ERP資料!$H:$H, (MATCH(1011, 輔助計算!$E$2:$E$801, 0)+1))), "")</f>
        <v/>
      </c>
      <c r="H1012" s="15">
        <f>IFERROR(INDEX(輔助計算!$D:$D, (MATCH(1011, 輔助計算!$E$2:$E$801, 0)+1)), "")</f>
        <v/>
      </c>
      <c r="I1012" s="10">
        <f>IFERROR(IF(INDEX(ERP資料!$O:$O, (MATCH(1011, 輔助計算!$E$2:$E$801, 0)+1))="","",INDEX(ERP資料!$O:$O, (MATCH(1011, 輔助計算!$E$2:$E$801, 0)+1))), "")</f>
        <v/>
      </c>
      <c r="J1012" s="15">
        <f>IFERROR(IF(INDEX(輔助計算!$D:$D,(MATCH(1011, 輔助計算!$E$2:$E$801, 0)+1))="","",INDEX(輔助計算!$D:$D,(MATCH(1011, 輔助計算!$E$2:$E$801, 0)+1))*INDEX(ERP資料!$O:$O,(MATCH(1011, 輔助計算!$E$2:$E$801, 0)+1))), "")</f>
        <v/>
      </c>
      <c r="K1012" s="16" t="n"/>
      <c r="L1012" s="16" t="n"/>
      <c r="M1012" s="17" t="n"/>
    </row>
    <row r="1013">
      <c r="A1013" s="14">
        <f>IFERROR(IF(INDEX(ERP資料!$B:$B, (MATCH(1012, 輔助計算!$E$2:$E$801, 0)+1))="","",INDEX(ERP資料!$B:$B, (MATCH(1012, 輔助計算!$E$2:$E$801, 0)+1))), "")</f>
        <v/>
      </c>
      <c r="B1013" s="10">
        <f>IFERROR(IF(INDEX(ERP資料!$A:$A, (MATCH(1012, 輔助計算!$E$2:$E$801, 0)+1))="","",INDEX(ERP資料!$A:$A, (MATCH(1012, 輔助計算!$E$2:$E$801, 0)+1))), "")</f>
        <v/>
      </c>
      <c r="C1013" s="10">
        <f>IFERROR(IF(INDEX(ERP資料!$S:$S, (MATCH(1012, 輔助計算!$E$2:$E$801, 0)+1))="","",INDEX(ERP資料!$S:$S, (MATCH(1012, 輔助計算!$E$2:$E$801, 0)+1))), "")</f>
        <v/>
      </c>
      <c r="D1013" s="10">
        <f>IFERROR(IF(INDEX(ERP資料!$E:$E, (MATCH(1012, 輔助計算!$E$2:$E$801, 0)+1))="","",TRIM(INDEX(ERP資料!$E:$E, (MATCH(1012, 輔助計算!$E$2:$E$801, 0)+1)))), "")</f>
        <v/>
      </c>
      <c r="E1013" s="10">
        <f>IFERROR(IF(INDEX(ERP資料!$F:$F, (MATCH(1012, 輔助計算!$E$2:$E$801, 0)+1))="","",INDEX(ERP資料!$F:$F, (MATCH(1012, 輔助計算!$E$2:$E$801, 0)+1))), "")</f>
        <v/>
      </c>
      <c r="F1013" s="10">
        <f>IFERROR(IF(INDEX(ERP資料!$G:$G, (MATCH(1012, 輔助計算!$E$2:$E$801, 0)+1))="","",INDEX(ERP資料!$G:$G, (MATCH(1012, 輔助計算!$E$2:$E$801, 0)+1))), "")</f>
        <v/>
      </c>
      <c r="G1013" s="10">
        <f>IFERROR(IF(INDEX(ERP資料!$H:$H, (MATCH(1012, 輔助計算!$E$2:$E$801, 0)+1))="","",INDEX(ERP資料!$H:$H, (MATCH(1012, 輔助計算!$E$2:$E$801, 0)+1))), "")</f>
        <v/>
      </c>
      <c r="H1013" s="15">
        <f>IFERROR(INDEX(輔助計算!$D:$D, (MATCH(1012, 輔助計算!$E$2:$E$801, 0)+1)), "")</f>
        <v/>
      </c>
      <c r="I1013" s="10">
        <f>IFERROR(IF(INDEX(ERP資料!$O:$O, (MATCH(1012, 輔助計算!$E$2:$E$801, 0)+1))="","",INDEX(ERP資料!$O:$O, (MATCH(1012, 輔助計算!$E$2:$E$801, 0)+1))), "")</f>
        <v/>
      </c>
      <c r="J1013" s="15">
        <f>IFERROR(IF(INDEX(輔助計算!$D:$D,(MATCH(1012, 輔助計算!$E$2:$E$801, 0)+1))="","",INDEX(輔助計算!$D:$D,(MATCH(1012, 輔助計算!$E$2:$E$801, 0)+1))*INDEX(ERP資料!$O:$O,(MATCH(1012, 輔助計算!$E$2:$E$801, 0)+1))), "")</f>
        <v/>
      </c>
      <c r="K1013" s="16" t="n"/>
      <c r="L1013" s="16" t="n"/>
      <c r="M1013" s="17" t="n"/>
    </row>
    <row r="1014">
      <c r="A1014" s="14">
        <f>IFERROR(IF(INDEX(ERP資料!$B:$B, (MATCH(1013, 輔助計算!$E$2:$E$801, 0)+1))="","",INDEX(ERP資料!$B:$B, (MATCH(1013, 輔助計算!$E$2:$E$801, 0)+1))), "")</f>
        <v/>
      </c>
      <c r="B1014" s="10">
        <f>IFERROR(IF(INDEX(ERP資料!$A:$A, (MATCH(1013, 輔助計算!$E$2:$E$801, 0)+1))="","",INDEX(ERP資料!$A:$A, (MATCH(1013, 輔助計算!$E$2:$E$801, 0)+1))), "")</f>
        <v/>
      </c>
      <c r="C1014" s="10">
        <f>IFERROR(IF(INDEX(ERP資料!$S:$S, (MATCH(1013, 輔助計算!$E$2:$E$801, 0)+1))="","",INDEX(ERP資料!$S:$S, (MATCH(1013, 輔助計算!$E$2:$E$801, 0)+1))), "")</f>
        <v/>
      </c>
      <c r="D1014" s="10">
        <f>IFERROR(IF(INDEX(ERP資料!$E:$E, (MATCH(1013, 輔助計算!$E$2:$E$801, 0)+1))="","",TRIM(INDEX(ERP資料!$E:$E, (MATCH(1013, 輔助計算!$E$2:$E$801, 0)+1)))), "")</f>
        <v/>
      </c>
      <c r="E1014" s="10">
        <f>IFERROR(IF(INDEX(ERP資料!$F:$F, (MATCH(1013, 輔助計算!$E$2:$E$801, 0)+1))="","",INDEX(ERP資料!$F:$F, (MATCH(1013, 輔助計算!$E$2:$E$801, 0)+1))), "")</f>
        <v/>
      </c>
      <c r="F1014" s="10">
        <f>IFERROR(IF(INDEX(ERP資料!$G:$G, (MATCH(1013, 輔助計算!$E$2:$E$801, 0)+1))="","",INDEX(ERP資料!$G:$G, (MATCH(1013, 輔助計算!$E$2:$E$801, 0)+1))), "")</f>
        <v/>
      </c>
      <c r="G1014" s="10">
        <f>IFERROR(IF(INDEX(ERP資料!$H:$H, (MATCH(1013, 輔助計算!$E$2:$E$801, 0)+1))="","",INDEX(ERP資料!$H:$H, (MATCH(1013, 輔助計算!$E$2:$E$801, 0)+1))), "")</f>
        <v/>
      </c>
      <c r="H1014" s="15">
        <f>IFERROR(INDEX(輔助計算!$D:$D, (MATCH(1013, 輔助計算!$E$2:$E$801, 0)+1)), "")</f>
        <v/>
      </c>
      <c r="I1014" s="10">
        <f>IFERROR(IF(INDEX(ERP資料!$O:$O, (MATCH(1013, 輔助計算!$E$2:$E$801, 0)+1))="","",INDEX(ERP資料!$O:$O, (MATCH(1013, 輔助計算!$E$2:$E$801, 0)+1))), "")</f>
        <v/>
      </c>
      <c r="J1014" s="15">
        <f>IFERROR(IF(INDEX(輔助計算!$D:$D,(MATCH(1013, 輔助計算!$E$2:$E$801, 0)+1))="","",INDEX(輔助計算!$D:$D,(MATCH(1013, 輔助計算!$E$2:$E$801, 0)+1))*INDEX(ERP資料!$O:$O,(MATCH(1013, 輔助計算!$E$2:$E$801, 0)+1))), "")</f>
        <v/>
      </c>
      <c r="K1014" s="16" t="n"/>
      <c r="L1014" s="16" t="n"/>
      <c r="M1014" s="17" t="n"/>
    </row>
    <row r="1015">
      <c r="A1015" s="14">
        <f>IFERROR(IF(INDEX(ERP資料!$B:$B, (MATCH(1014, 輔助計算!$E$2:$E$801, 0)+1))="","",INDEX(ERP資料!$B:$B, (MATCH(1014, 輔助計算!$E$2:$E$801, 0)+1))), "")</f>
        <v/>
      </c>
      <c r="B1015" s="10">
        <f>IFERROR(IF(INDEX(ERP資料!$A:$A, (MATCH(1014, 輔助計算!$E$2:$E$801, 0)+1))="","",INDEX(ERP資料!$A:$A, (MATCH(1014, 輔助計算!$E$2:$E$801, 0)+1))), "")</f>
        <v/>
      </c>
      <c r="C1015" s="10">
        <f>IFERROR(IF(INDEX(ERP資料!$S:$S, (MATCH(1014, 輔助計算!$E$2:$E$801, 0)+1))="","",INDEX(ERP資料!$S:$S, (MATCH(1014, 輔助計算!$E$2:$E$801, 0)+1))), "")</f>
        <v/>
      </c>
      <c r="D1015" s="10">
        <f>IFERROR(IF(INDEX(ERP資料!$E:$E, (MATCH(1014, 輔助計算!$E$2:$E$801, 0)+1))="","",TRIM(INDEX(ERP資料!$E:$E, (MATCH(1014, 輔助計算!$E$2:$E$801, 0)+1)))), "")</f>
        <v/>
      </c>
      <c r="E1015" s="10">
        <f>IFERROR(IF(INDEX(ERP資料!$F:$F, (MATCH(1014, 輔助計算!$E$2:$E$801, 0)+1))="","",INDEX(ERP資料!$F:$F, (MATCH(1014, 輔助計算!$E$2:$E$801, 0)+1))), "")</f>
        <v/>
      </c>
      <c r="F1015" s="10">
        <f>IFERROR(IF(INDEX(ERP資料!$G:$G, (MATCH(1014, 輔助計算!$E$2:$E$801, 0)+1))="","",INDEX(ERP資料!$G:$G, (MATCH(1014, 輔助計算!$E$2:$E$801, 0)+1))), "")</f>
        <v/>
      </c>
      <c r="G1015" s="10">
        <f>IFERROR(IF(INDEX(ERP資料!$H:$H, (MATCH(1014, 輔助計算!$E$2:$E$801, 0)+1))="","",INDEX(ERP資料!$H:$H, (MATCH(1014, 輔助計算!$E$2:$E$801, 0)+1))), "")</f>
        <v/>
      </c>
      <c r="H1015" s="15">
        <f>IFERROR(INDEX(輔助計算!$D:$D, (MATCH(1014, 輔助計算!$E$2:$E$801, 0)+1)), "")</f>
        <v/>
      </c>
      <c r="I1015" s="10">
        <f>IFERROR(IF(INDEX(ERP資料!$O:$O, (MATCH(1014, 輔助計算!$E$2:$E$801, 0)+1))="","",INDEX(ERP資料!$O:$O, (MATCH(1014, 輔助計算!$E$2:$E$801, 0)+1))), "")</f>
        <v/>
      </c>
      <c r="J1015" s="15">
        <f>IFERROR(IF(INDEX(輔助計算!$D:$D,(MATCH(1014, 輔助計算!$E$2:$E$801, 0)+1))="","",INDEX(輔助計算!$D:$D,(MATCH(1014, 輔助計算!$E$2:$E$801, 0)+1))*INDEX(ERP資料!$O:$O,(MATCH(1014, 輔助計算!$E$2:$E$801, 0)+1))), "")</f>
        <v/>
      </c>
      <c r="K1015" s="16" t="n"/>
      <c r="L1015" s="16" t="n"/>
      <c r="M1015" s="17" t="n"/>
    </row>
    <row r="1016">
      <c r="A1016" s="14">
        <f>IFERROR(IF(INDEX(ERP資料!$B:$B, (MATCH(1015, 輔助計算!$E$2:$E$801, 0)+1))="","",INDEX(ERP資料!$B:$B, (MATCH(1015, 輔助計算!$E$2:$E$801, 0)+1))), "")</f>
        <v/>
      </c>
      <c r="B1016" s="10">
        <f>IFERROR(IF(INDEX(ERP資料!$A:$A, (MATCH(1015, 輔助計算!$E$2:$E$801, 0)+1))="","",INDEX(ERP資料!$A:$A, (MATCH(1015, 輔助計算!$E$2:$E$801, 0)+1))), "")</f>
        <v/>
      </c>
      <c r="C1016" s="10">
        <f>IFERROR(IF(INDEX(ERP資料!$S:$S, (MATCH(1015, 輔助計算!$E$2:$E$801, 0)+1))="","",INDEX(ERP資料!$S:$S, (MATCH(1015, 輔助計算!$E$2:$E$801, 0)+1))), "")</f>
        <v/>
      </c>
      <c r="D1016" s="10">
        <f>IFERROR(IF(INDEX(ERP資料!$E:$E, (MATCH(1015, 輔助計算!$E$2:$E$801, 0)+1))="","",TRIM(INDEX(ERP資料!$E:$E, (MATCH(1015, 輔助計算!$E$2:$E$801, 0)+1)))), "")</f>
        <v/>
      </c>
      <c r="E1016" s="10">
        <f>IFERROR(IF(INDEX(ERP資料!$F:$F, (MATCH(1015, 輔助計算!$E$2:$E$801, 0)+1))="","",INDEX(ERP資料!$F:$F, (MATCH(1015, 輔助計算!$E$2:$E$801, 0)+1))), "")</f>
        <v/>
      </c>
      <c r="F1016" s="10">
        <f>IFERROR(IF(INDEX(ERP資料!$G:$G, (MATCH(1015, 輔助計算!$E$2:$E$801, 0)+1))="","",INDEX(ERP資料!$G:$G, (MATCH(1015, 輔助計算!$E$2:$E$801, 0)+1))), "")</f>
        <v/>
      </c>
      <c r="G1016" s="10">
        <f>IFERROR(IF(INDEX(ERP資料!$H:$H, (MATCH(1015, 輔助計算!$E$2:$E$801, 0)+1))="","",INDEX(ERP資料!$H:$H, (MATCH(1015, 輔助計算!$E$2:$E$801, 0)+1))), "")</f>
        <v/>
      </c>
      <c r="H1016" s="15">
        <f>IFERROR(INDEX(輔助計算!$D:$D, (MATCH(1015, 輔助計算!$E$2:$E$801, 0)+1)), "")</f>
        <v/>
      </c>
      <c r="I1016" s="10">
        <f>IFERROR(IF(INDEX(ERP資料!$O:$O, (MATCH(1015, 輔助計算!$E$2:$E$801, 0)+1))="","",INDEX(ERP資料!$O:$O, (MATCH(1015, 輔助計算!$E$2:$E$801, 0)+1))), "")</f>
        <v/>
      </c>
      <c r="J1016" s="15">
        <f>IFERROR(IF(INDEX(輔助計算!$D:$D,(MATCH(1015, 輔助計算!$E$2:$E$801, 0)+1))="","",INDEX(輔助計算!$D:$D,(MATCH(1015, 輔助計算!$E$2:$E$801, 0)+1))*INDEX(ERP資料!$O:$O,(MATCH(1015, 輔助計算!$E$2:$E$801, 0)+1))), "")</f>
        <v/>
      </c>
      <c r="K1016" s="16" t="n"/>
      <c r="L1016" s="16" t="n"/>
      <c r="M1016" s="17" t="n"/>
    </row>
    <row r="1017">
      <c r="A1017" s="14">
        <f>IFERROR(IF(INDEX(ERP資料!$B:$B, (MATCH(1016, 輔助計算!$E$2:$E$801, 0)+1))="","",INDEX(ERP資料!$B:$B, (MATCH(1016, 輔助計算!$E$2:$E$801, 0)+1))), "")</f>
        <v/>
      </c>
      <c r="B1017" s="10">
        <f>IFERROR(IF(INDEX(ERP資料!$A:$A, (MATCH(1016, 輔助計算!$E$2:$E$801, 0)+1))="","",INDEX(ERP資料!$A:$A, (MATCH(1016, 輔助計算!$E$2:$E$801, 0)+1))), "")</f>
        <v/>
      </c>
      <c r="C1017" s="10">
        <f>IFERROR(IF(INDEX(ERP資料!$S:$S, (MATCH(1016, 輔助計算!$E$2:$E$801, 0)+1))="","",INDEX(ERP資料!$S:$S, (MATCH(1016, 輔助計算!$E$2:$E$801, 0)+1))), "")</f>
        <v/>
      </c>
      <c r="D1017" s="10">
        <f>IFERROR(IF(INDEX(ERP資料!$E:$E, (MATCH(1016, 輔助計算!$E$2:$E$801, 0)+1))="","",TRIM(INDEX(ERP資料!$E:$E, (MATCH(1016, 輔助計算!$E$2:$E$801, 0)+1)))), "")</f>
        <v/>
      </c>
      <c r="E1017" s="10">
        <f>IFERROR(IF(INDEX(ERP資料!$F:$F, (MATCH(1016, 輔助計算!$E$2:$E$801, 0)+1))="","",INDEX(ERP資料!$F:$F, (MATCH(1016, 輔助計算!$E$2:$E$801, 0)+1))), "")</f>
        <v/>
      </c>
      <c r="F1017" s="10">
        <f>IFERROR(IF(INDEX(ERP資料!$G:$G, (MATCH(1016, 輔助計算!$E$2:$E$801, 0)+1))="","",INDEX(ERP資料!$G:$G, (MATCH(1016, 輔助計算!$E$2:$E$801, 0)+1))), "")</f>
        <v/>
      </c>
      <c r="G1017" s="10">
        <f>IFERROR(IF(INDEX(ERP資料!$H:$H, (MATCH(1016, 輔助計算!$E$2:$E$801, 0)+1))="","",INDEX(ERP資料!$H:$H, (MATCH(1016, 輔助計算!$E$2:$E$801, 0)+1))), "")</f>
        <v/>
      </c>
      <c r="H1017" s="15">
        <f>IFERROR(INDEX(輔助計算!$D:$D, (MATCH(1016, 輔助計算!$E$2:$E$801, 0)+1)), "")</f>
        <v/>
      </c>
      <c r="I1017" s="10">
        <f>IFERROR(IF(INDEX(ERP資料!$O:$O, (MATCH(1016, 輔助計算!$E$2:$E$801, 0)+1))="","",INDEX(ERP資料!$O:$O, (MATCH(1016, 輔助計算!$E$2:$E$801, 0)+1))), "")</f>
        <v/>
      </c>
      <c r="J1017" s="15">
        <f>IFERROR(IF(INDEX(輔助計算!$D:$D,(MATCH(1016, 輔助計算!$E$2:$E$801, 0)+1))="","",INDEX(輔助計算!$D:$D,(MATCH(1016, 輔助計算!$E$2:$E$801, 0)+1))*INDEX(ERP資料!$O:$O,(MATCH(1016, 輔助計算!$E$2:$E$801, 0)+1))), "")</f>
        <v/>
      </c>
      <c r="K1017" s="16" t="n"/>
      <c r="L1017" s="16" t="n"/>
      <c r="M1017" s="17" t="n"/>
    </row>
    <row r="1018">
      <c r="A1018" s="14">
        <f>IFERROR(IF(INDEX(ERP資料!$B:$B, (MATCH(1017, 輔助計算!$E$2:$E$801, 0)+1))="","",INDEX(ERP資料!$B:$B, (MATCH(1017, 輔助計算!$E$2:$E$801, 0)+1))), "")</f>
        <v/>
      </c>
      <c r="B1018" s="10">
        <f>IFERROR(IF(INDEX(ERP資料!$A:$A, (MATCH(1017, 輔助計算!$E$2:$E$801, 0)+1))="","",INDEX(ERP資料!$A:$A, (MATCH(1017, 輔助計算!$E$2:$E$801, 0)+1))), "")</f>
        <v/>
      </c>
      <c r="C1018" s="10">
        <f>IFERROR(IF(INDEX(ERP資料!$S:$S, (MATCH(1017, 輔助計算!$E$2:$E$801, 0)+1))="","",INDEX(ERP資料!$S:$S, (MATCH(1017, 輔助計算!$E$2:$E$801, 0)+1))), "")</f>
        <v/>
      </c>
      <c r="D1018" s="10">
        <f>IFERROR(IF(INDEX(ERP資料!$E:$E, (MATCH(1017, 輔助計算!$E$2:$E$801, 0)+1))="","",TRIM(INDEX(ERP資料!$E:$E, (MATCH(1017, 輔助計算!$E$2:$E$801, 0)+1)))), "")</f>
        <v/>
      </c>
      <c r="E1018" s="10">
        <f>IFERROR(IF(INDEX(ERP資料!$F:$F, (MATCH(1017, 輔助計算!$E$2:$E$801, 0)+1))="","",INDEX(ERP資料!$F:$F, (MATCH(1017, 輔助計算!$E$2:$E$801, 0)+1))), "")</f>
        <v/>
      </c>
      <c r="F1018" s="10">
        <f>IFERROR(IF(INDEX(ERP資料!$G:$G, (MATCH(1017, 輔助計算!$E$2:$E$801, 0)+1))="","",INDEX(ERP資料!$G:$G, (MATCH(1017, 輔助計算!$E$2:$E$801, 0)+1))), "")</f>
        <v/>
      </c>
      <c r="G1018" s="10">
        <f>IFERROR(IF(INDEX(ERP資料!$H:$H, (MATCH(1017, 輔助計算!$E$2:$E$801, 0)+1))="","",INDEX(ERP資料!$H:$H, (MATCH(1017, 輔助計算!$E$2:$E$801, 0)+1))), "")</f>
        <v/>
      </c>
      <c r="H1018" s="15">
        <f>IFERROR(INDEX(輔助計算!$D:$D, (MATCH(1017, 輔助計算!$E$2:$E$801, 0)+1)), "")</f>
        <v/>
      </c>
      <c r="I1018" s="10">
        <f>IFERROR(IF(INDEX(ERP資料!$O:$O, (MATCH(1017, 輔助計算!$E$2:$E$801, 0)+1))="","",INDEX(ERP資料!$O:$O, (MATCH(1017, 輔助計算!$E$2:$E$801, 0)+1))), "")</f>
        <v/>
      </c>
      <c r="J1018" s="15">
        <f>IFERROR(IF(INDEX(輔助計算!$D:$D,(MATCH(1017, 輔助計算!$E$2:$E$801, 0)+1))="","",INDEX(輔助計算!$D:$D,(MATCH(1017, 輔助計算!$E$2:$E$801, 0)+1))*INDEX(ERP資料!$O:$O,(MATCH(1017, 輔助計算!$E$2:$E$801, 0)+1))), "")</f>
        <v/>
      </c>
      <c r="K1018" s="16" t="n"/>
      <c r="L1018" s="16" t="n"/>
      <c r="M1018" s="17" t="n"/>
    </row>
    <row r="1019">
      <c r="A1019" s="14">
        <f>IFERROR(IF(INDEX(ERP資料!$B:$B, (MATCH(1018, 輔助計算!$E$2:$E$801, 0)+1))="","",INDEX(ERP資料!$B:$B, (MATCH(1018, 輔助計算!$E$2:$E$801, 0)+1))), "")</f>
        <v/>
      </c>
      <c r="B1019" s="10">
        <f>IFERROR(IF(INDEX(ERP資料!$A:$A, (MATCH(1018, 輔助計算!$E$2:$E$801, 0)+1))="","",INDEX(ERP資料!$A:$A, (MATCH(1018, 輔助計算!$E$2:$E$801, 0)+1))), "")</f>
        <v/>
      </c>
      <c r="C1019" s="10">
        <f>IFERROR(IF(INDEX(ERP資料!$S:$S, (MATCH(1018, 輔助計算!$E$2:$E$801, 0)+1))="","",INDEX(ERP資料!$S:$S, (MATCH(1018, 輔助計算!$E$2:$E$801, 0)+1))), "")</f>
        <v/>
      </c>
      <c r="D1019" s="10">
        <f>IFERROR(IF(INDEX(ERP資料!$E:$E, (MATCH(1018, 輔助計算!$E$2:$E$801, 0)+1))="","",TRIM(INDEX(ERP資料!$E:$E, (MATCH(1018, 輔助計算!$E$2:$E$801, 0)+1)))), "")</f>
        <v/>
      </c>
      <c r="E1019" s="10">
        <f>IFERROR(IF(INDEX(ERP資料!$F:$F, (MATCH(1018, 輔助計算!$E$2:$E$801, 0)+1))="","",INDEX(ERP資料!$F:$F, (MATCH(1018, 輔助計算!$E$2:$E$801, 0)+1))), "")</f>
        <v/>
      </c>
      <c r="F1019" s="10">
        <f>IFERROR(IF(INDEX(ERP資料!$G:$G, (MATCH(1018, 輔助計算!$E$2:$E$801, 0)+1))="","",INDEX(ERP資料!$G:$G, (MATCH(1018, 輔助計算!$E$2:$E$801, 0)+1))), "")</f>
        <v/>
      </c>
      <c r="G1019" s="10">
        <f>IFERROR(IF(INDEX(ERP資料!$H:$H, (MATCH(1018, 輔助計算!$E$2:$E$801, 0)+1))="","",INDEX(ERP資料!$H:$H, (MATCH(1018, 輔助計算!$E$2:$E$801, 0)+1))), "")</f>
        <v/>
      </c>
      <c r="H1019" s="15">
        <f>IFERROR(INDEX(輔助計算!$D:$D, (MATCH(1018, 輔助計算!$E$2:$E$801, 0)+1)), "")</f>
        <v/>
      </c>
      <c r="I1019" s="10">
        <f>IFERROR(IF(INDEX(ERP資料!$O:$O, (MATCH(1018, 輔助計算!$E$2:$E$801, 0)+1))="","",INDEX(ERP資料!$O:$O, (MATCH(1018, 輔助計算!$E$2:$E$801, 0)+1))), "")</f>
        <v/>
      </c>
      <c r="J1019" s="15">
        <f>IFERROR(IF(INDEX(輔助計算!$D:$D,(MATCH(1018, 輔助計算!$E$2:$E$801, 0)+1))="","",INDEX(輔助計算!$D:$D,(MATCH(1018, 輔助計算!$E$2:$E$801, 0)+1))*INDEX(ERP資料!$O:$O,(MATCH(1018, 輔助計算!$E$2:$E$801, 0)+1))), "")</f>
        <v/>
      </c>
      <c r="K1019" s="16" t="n"/>
      <c r="L1019" s="16" t="n"/>
      <c r="M1019" s="17" t="n"/>
    </row>
    <row r="1020">
      <c r="A1020" s="14">
        <f>IFERROR(IF(INDEX(ERP資料!$B:$B, (MATCH(1019, 輔助計算!$E$2:$E$801, 0)+1))="","",INDEX(ERP資料!$B:$B, (MATCH(1019, 輔助計算!$E$2:$E$801, 0)+1))), "")</f>
        <v/>
      </c>
      <c r="B1020" s="10">
        <f>IFERROR(IF(INDEX(ERP資料!$A:$A, (MATCH(1019, 輔助計算!$E$2:$E$801, 0)+1))="","",INDEX(ERP資料!$A:$A, (MATCH(1019, 輔助計算!$E$2:$E$801, 0)+1))), "")</f>
        <v/>
      </c>
      <c r="C1020" s="10">
        <f>IFERROR(IF(INDEX(ERP資料!$S:$S, (MATCH(1019, 輔助計算!$E$2:$E$801, 0)+1))="","",INDEX(ERP資料!$S:$S, (MATCH(1019, 輔助計算!$E$2:$E$801, 0)+1))), "")</f>
        <v/>
      </c>
      <c r="D1020" s="10">
        <f>IFERROR(IF(INDEX(ERP資料!$E:$E, (MATCH(1019, 輔助計算!$E$2:$E$801, 0)+1))="","",TRIM(INDEX(ERP資料!$E:$E, (MATCH(1019, 輔助計算!$E$2:$E$801, 0)+1)))), "")</f>
        <v/>
      </c>
      <c r="E1020" s="10">
        <f>IFERROR(IF(INDEX(ERP資料!$F:$F, (MATCH(1019, 輔助計算!$E$2:$E$801, 0)+1))="","",INDEX(ERP資料!$F:$F, (MATCH(1019, 輔助計算!$E$2:$E$801, 0)+1))), "")</f>
        <v/>
      </c>
      <c r="F1020" s="10">
        <f>IFERROR(IF(INDEX(ERP資料!$G:$G, (MATCH(1019, 輔助計算!$E$2:$E$801, 0)+1))="","",INDEX(ERP資料!$G:$G, (MATCH(1019, 輔助計算!$E$2:$E$801, 0)+1))), "")</f>
        <v/>
      </c>
      <c r="G1020" s="10">
        <f>IFERROR(IF(INDEX(ERP資料!$H:$H, (MATCH(1019, 輔助計算!$E$2:$E$801, 0)+1))="","",INDEX(ERP資料!$H:$H, (MATCH(1019, 輔助計算!$E$2:$E$801, 0)+1))), "")</f>
        <v/>
      </c>
      <c r="H1020" s="15">
        <f>IFERROR(INDEX(輔助計算!$D:$D, (MATCH(1019, 輔助計算!$E$2:$E$801, 0)+1)), "")</f>
        <v/>
      </c>
      <c r="I1020" s="10">
        <f>IFERROR(IF(INDEX(ERP資料!$O:$O, (MATCH(1019, 輔助計算!$E$2:$E$801, 0)+1))="","",INDEX(ERP資料!$O:$O, (MATCH(1019, 輔助計算!$E$2:$E$801, 0)+1))), "")</f>
        <v/>
      </c>
      <c r="J1020" s="15">
        <f>IFERROR(IF(INDEX(輔助計算!$D:$D,(MATCH(1019, 輔助計算!$E$2:$E$801, 0)+1))="","",INDEX(輔助計算!$D:$D,(MATCH(1019, 輔助計算!$E$2:$E$801, 0)+1))*INDEX(ERP資料!$O:$O,(MATCH(1019, 輔助計算!$E$2:$E$801, 0)+1))), "")</f>
        <v/>
      </c>
      <c r="K1020" s="16" t="n"/>
      <c r="L1020" s="16" t="n"/>
      <c r="M1020" s="17" t="n"/>
    </row>
    <row r="1021">
      <c r="A1021" s="14">
        <f>IFERROR(IF(INDEX(ERP資料!$B:$B, (MATCH(1020, 輔助計算!$E$2:$E$801, 0)+1))="","",INDEX(ERP資料!$B:$B, (MATCH(1020, 輔助計算!$E$2:$E$801, 0)+1))), "")</f>
        <v/>
      </c>
      <c r="B1021" s="10">
        <f>IFERROR(IF(INDEX(ERP資料!$A:$A, (MATCH(1020, 輔助計算!$E$2:$E$801, 0)+1))="","",INDEX(ERP資料!$A:$A, (MATCH(1020, 輔助計算!$E$2:$E$801, 0)+1))), "")</f>
        <v/>
      </c>
      <c r="C1021" s="10">
        <f>IFERROR(IF(INDEX(ERP資料!$S:$S, (MATCH(1020, 輔助計算!$E$2:$E$801, 0)+1))="","",INDEX(ERP資料!$S:$S, (MATCH(1020, 輔助計算!$E$2:$E$801, 0)+1))), "")</f>
        <v/>
      </c>
      <c r="D1021" s="10">
        <f>IFERROR(IF(INDEX(ERP資料!$E:$E, (MATCH(1020, 輔助計算!$E$2:$E$801, 0)+1))="","",TRIM(INDEX(ERP資料!$E:$E, (MATCH(1020, 輔助計算!$E$2:$E$801, 0)+1)))), "")</f>
        <v/>
      </c>
      <c r="E1021" s="10">
        <f>IFERROR(IF(INDEX(ERP資料!$F:$F, (MATCH(1020, 輔助計算!$E$2:$E$801, 0)+1))="","",INDEX(ERP資料!$F:$F, (MATCH(1020, 輔助計算!$E$2:$E$801, 0)+1))), "")</f>
        <v/>
      </c>
      <c r="F1021" s="10">
        <f>IFERROR(IF(INDEX(ERP資料!$G:$G, (MATCH(1020, 輔助計算!$E$2:$E$801, 0)+1))="","",INDEX(ERP資料!$G:$G, (MATCH(1020, 輔助計算!$E$2:$E$801, 0)+1))), "")</f>
        <v/>
      </c>
      <c r="G1021" s="10">
        <f>IFERROR(IF(INDEX(ERP資料!$H:$H, (MATCH(1020, 輔助計算!$E$2:$E$801, 0)+1))="","",INDEX(ERP資料!$H:$H, (MATCH(1020, 輔助計算!$E$2:$E$801, 0)+1))), "")</f>
        <v/>
      </c>
      <c r="H1021" s="15">
        <f>IFERROR(INDEX(輔助計算!$D:$D, (MATCH(1020, 輔助計算!$E$2:$E$801, 0)+1)), "")</f>
        <v/>
      </c>
      <c r="I1021" s="10">
        <f>IFERROR(IF(INDEX(ERP資料!$O:$O, (MATCH(1020, 輔助計算!$E$2:$E$801, 0)+1))="","",INDEX(ERP資料!$O:$O, (MATCH(1020, 輔助計算!$E$2:$E$801, 0)+1))), "")</f>
        <v/>
      </c>
      <c r="J1021" s="15">
        <f>IFERROR(IF(INDEX(輔助計算!$D:$D,(MATCH(1020, 輔助計算!$E$2:$E$801, 0)+1))="","",INDEX(輔助計算!$D:$D,(MATCH(1020, 輔助計算!$E$2:$E$801, 0)+1))*INDEX(ERP資料!$O:$O,(MATCH(1020, 輔助計算!$E$2:$E$801, 0)+1))), "")</f>
        <v/>
      </c>
      <c r="K1021" s="16" t="n"/>
      <c r="L1021" s="16" t="n"/>
      <c r="M1021" s="17" t="n"/>
    </row>
    <row r="1022">
      <c r="A1022" s="14">
        <f>IFERROR(IF(INDEX(ERP資料!$B:$B, (MATCH(1021, 輔助計算!$E$2:$E$801, 0)+1))="","",INDEX(ERP資料!$B:$B, (MATCH(1021, 輔助計算!$E$2:$E$801, 0)+1))), "")</f>
        <v/>
      </c>
      <c r="B1022" s="10">
        <f>IFERROR(IF(INDEX(ERP資料!$A:$A, (MATCH(1021, 輔助計算!$E$2:$E$801, 0)+1))="","",INDEX(ERP資料!$A:$A, (MATCH(1021, 輔助計算!$E$2:$E$801, 0)+1))), "")</f>
        <v/>
      </c>
      <c r="C1022" s="10">
        <f>IFERROR(IF(INDEX(ERP資料!$S:$S, (MATCH(1021, 輔助計算!$E$2:$E$801, 0)+1))="","",INDEX(ERP資料!$S:$S, (MATCH(1021, 輔助計算!$E$2:$E$801, 0)+1))), "")</f>
        <v/>
      </c>
      <c r="D1022" s="10">
        <f>IFERROR(IF(INDEX(ERP資料!$E:$E, (MATCH(1021, 輔助計算!$E$2:$E$801, 0)+1))="","",TRIM(INDEX(ERP資料!$E:$E, (MATCH(1021, 輔助計算!$E$2:$E$801, 0)+1)))), "")</f>
        <v/>
      </c>
      <c r="E1022" s="10">
        <f>IFERROR(IF(INDEX(ERP資料!$F:$F, (MATCH(1021, 輔助計算!$E$2:$E$801, 0)+1))="","",INDEX(ERP資料!$F:$F, (MATCH(1021, 輔助計算!$E$2:$E$801, 0)+1))), "")</f>
        <v/>
      </c>
      <c r="F1022" s="10">
        <f>IFERROR(IF(INDEX(ERP資料!$G:$G, (MATCH(1021, 輔助計算!$E$2:$E$801, 0)+1))="","",INDEX(ERP資料!$G:$G, (MATCH(1021, 輔助計算!$E$2:$E$801, 0)+1))), "")</f>
        <v/>
      </c>
      <c r="G1022" s="10">
        <f>IFERROR(IF(INDEX(ERP資料!$H:$H, (MATCH(1021, 輔助計算!$E$2:$E$801, 0)+1))="","",INDEX(ERP資料!$H:$H, (MATCH(1021, 輔助計算!$E$2:$E$801, 0)+1))), "")</f>
        <v/>
      </c>
      <c r="H1022" s="15">
        <f>IFERROR(INDEX(輔助計算!$D:$D, (MATCH(1021, 輔助計算!$E$2:$E$801, 0)+1)), "")</f>
        <v/>
      </c>
      <c r="I1022" s="10">
        <f>IFERROR(IF(INDEX(ERP資料!$O:$O, (MATCH(1021, 輔助計算!$E$2:$E$801, 0)+1))="","",INDEX(ERP資料!$O:$O, (MATCH(1021, 輔助計算!$E$2:$E$801, 0)+1))), "")</f>
        <v/>
      </c>
      <c r="J1022" s="15">
        <f>IFERROR(IF(INDEX(輔助計算!$D:$D,(MATCH(1021, 輔助計算!$E$2:$E$801, 0)+1))="","",INDEX(輔助計算!$D:$D,(MATCH(1021, 輔助計算!$E$2:$E$801, 0)+1))*INDEX(ERP資料!$O:$O,(MATCH(1021, 輔助計算!$E$2:$E$801, 0)+1))), "")</f>
        <v/>
      </c>
      <c r="K1022" s="16" t="n"/>
      <c r="L1022" s="16" t="n"/>
      <c r="M1022" s="17" t="n"/>
    </row>
    <row r="1023">
      <c r="A1023" s="14">
        <f>IFERROR(IF(INDEX(ERP資料!$B:$B, (MATCH(1022, 輔助計算!$E$2:$E$801, 0)+1))="","",INDEX(ERP資料!$B:$B, (MATCH(1022, 輔助計算!$E$2:$E$801, 0)+1))), "")</f>
        <v/>
      </c>
      <c r="B1023" s="10">
        <f>IFERROR(IF(INDEX(ERP資料!$A:$A, (MATCH(1022, 輔助計算!$E$2:$E$801, 0)+1))="","",INDEX(ERP資料!$A:$A, (MATCH(1022, 輔助計算!$E$2:$E$801, 0)+1))), "")</f>
        <v/>
      </c>
      <c r="C1023" s="10">
        <f>IFERROR(IF(INDEX(ERP資料!$S:$S, (MATCH(1022, 輔助計算!$E$2:$E$801, 0)+1))="","",INDEX(ERP資料!$S:$S, (MATCH(1022, 輔助計算!$E$2:$E$801, 0)+1))), "")</f>
        <v/>
      </c>
      <c r="D1023" s="10">
        <f>IFERROR(IF(INDEX(ERP資料!$E:$E, (MATCH(1022, 輔助計算!$E$2:$E$801, 0)+1))="","",TRIM(INDEX(ERP資料!$E:$E, (MATCH(1022, 輔助計算!$E$2:$E$801, 0)+1)))), "")</f>
        <v/>
      </c>
      <c r="E1023" s="10">
        <f>IFERROR(IF(INDEX(ERP資料!$F:$F, (MATCH(1022, 輔助計算!$E$2:$E$801, 0)+1))="","",INDEX(ERP資料!$F:$F, (MATCH(1022, 輔助計算!$E$2:$E$801, 0)+1))), "")</f>
        <v/>
      </c>
      <c r="F1023" s="10">
        <f>IFERROR(IF(INDEX(ERP資料!$G:$G, (MATCH(1022, 輔助計算!$E$2:$E$801, 0)+1))="","",INDEX(ERP資料!$G:$G, (MATCH(1022, 輔助計算!$E$2:$E$801, 0)+1))), "")</f>
        <v/>
      </c>
      <c r="G1023" s="10">
        <f>IFERROR(IF(INDEX(ERP資料!$H:$H, (MATCH(1022, 輔助計算!$E$2:$E$801, 0)+1))="","",INDEX(ERP資料!$H:$H, (MATCH(1022, 輔助計算!$E$2:$E$801, 0)+1))), "")</f>
        <v/>
      </c>
      <c r="H1023" s="15">
        <f>IFERROR(INDEX(輔助計算!$D:$D, (MATCH(1022, 輔助計算!$E$2:$E$801, 0)+1)), "")</f>
        <v/>
      </c>
      <c r="I1023" s="10">
        <f>IFERROR(IF(INDEX(ERP資料!$O:$O, (MATCH(1022, 輔助計算!$E$2:$E$801, 0)+1))="","",INDEX(ERP資料!$O:$O, (MATCH(1022, 輔助計算!$E$2:$E$801, 0)+1))), "")</f>
        <v/>
      </c>
      <c r="J1023" s="15">
        <f>IFERROR(IF(INDEX(輔助計算!$D:$D,(MATCH(1022, 輔助計算!$E$2:$E$801, 0)+1))="","",INDEX(輔助計算!$D:$D,(MATCH(1022, 輔助計算!$E$2:$E$801, 0)+1))*INDEX(ERP資料!$O:$O,(MATCH(1022, 輔助計算!$E$2:$E$801, 0)+1))), "")</f>
        <v/>
      </c>
      <c r="K1023" s="16" t="n"/>
      <c r="L1023" s="16" t="n"/>
      <c r="M1023" s="17" t="n"/>
    </row>
    <row r="1024">
      <c r="A1024" s="14">
        <f>IFERROR(IF(INDEX(ERP資料!$B:$B, (MATCH(1023, 輔助計算!$E$2:$E$801, 0)+1))="","",INDEX(ERP資料!$B:$B, (MATCH(1023, 輔助計算!$E$2:$E$801, 0)+1))), "")</f>
        <v/>
      </c>
      <c r="B1024" s="10">
        <f>IFERROR(IF(INDEX(ERP資料!$A:$A, (MATCH(1023, 輔助計算!$E$2:$E$801, 0)+1))="","",INDEX(ERP資料!$A:$A, (MATCH(1023, 輔助計算!$E$2:$E$801, 0)+1))), "")</f>
        <v/>
      </c>
      <c r="C1024" s="10">
        <f>IFERROR(IF(INDEX(ERP資料!$S:$S, (MATCH(1023, 輔助計算!$E$2:$E$801, 0)+1))="","",INDEX(ERP資料!$S:$S, (MATCH(1023, 輔助計算!$E$2:$E$801, 0)+1))), "")</f>
        <v/>
      </c>
      <c r="D1024" s="10">
        <f>IFERROR(IF(INDEX(ERP資料!$E:$E, (MATCH(1023, 輔助計算!$E$2:$E$801, 0)+1))="","",TRIM(INDEX(ERP資料!$E:$E, (MATCH(1023, 輔助計算!$E$2:$E$801, 0)+1)))), "")</f>
        <v/>
      </c>
      <c r="E1024" s="10">
        <f>IFERROR(IF(INDEX(ERP資料!$F:$F, (MATCH(1023, 輔助計算!$E$2:$E$801, 0)+1))="","",INDEX(ERP資料!$F:$F, (MATCH(1023, 輔助計算!$E$2:$E$801, 0)+1))), "")</f>
        <v/>
      </c>
      <c r="F1024" s="10">
        <f>IFERROR(IF(INDEX(ERP資料!$G:$G, (MATCH(1023, 輔助計算!$E$2:$E$801, 0)+1))="","",INDEX(ERP資料!$G:$G, (MATCH(1023, 輔助計算!$E$2:$E$801, 0)+1))), "")</f>
        <v/>
      </c>
      <c r="G1024" s="10">
        <f>IFERROR(IF(INDEX(ERP資料!$H:$H, (MATCH(1023, 輔助計算!$E$2:$E$801, 0)+1))="","",INDEX(ERP資料!$H:$H, (MATCH(1023, 輔助計算!$E$2:$E$801, 0)+1))), "")</f>
        <v/>
      </c>
      <c r="H1024" s="15">
        <f>IFERROR(INDEX(輔助計算!$D:$D, (MATCH(1023, 輔助計算!$E$2:$E$801, 0)+1)), "")</f>
        <v/>
      </c>
      <c r="I1024" s="10">
        <f>IFERROR(IF(INDEX(ERP資料!$O:$O, (MATCH(1023, 輔助計算!$E$2:$E$801, 0)+1))="","",INDEX(ERP資料!$O:$O, (MATCH(1023, 輔助計算!$E$2:$E$801, 0)+1))), "")</f>
        <v/>
      </c>
      <c r="J1024" s="15">
        <f>IFERROR(IF(INDEX(輔助計算!$D:$D,(MATCH(1023, 輔助計算!$E$2:$E$801, 0)+1))="","",INDEX(輔助計算!$D:$D,(MATCH(1023, 輔助計算!$E$2:$E$801, 0)+1))*INDEX(ERP資料!$O:$O,(MATCH(1023, 輔助計算!$E$2:$E$801, 0)+1))), "")</f>
        <v/>
      </c>
      <c r="K1024" s="16" t="n"/>
      <c r="L1024" s="16" t="n"/>
      <c r="M1024" s="17" t="n"/>
    </row>
    <row r="1025">
      <c r="A1025" s="14">
        <f>IFERROR(IF(INDEX(ERP資料!$B:$B, (MATCH(1024, 輔助計算!$E$2:$E$801, 0)+1))="","",INDEX(ERP資料!$B:$B, (MATCH(1024, 輔助計算!$E$2:$E$801, 0)+1))), "")</f>
        <v/>
      </c>
      <c r="B1025" s="10">
        <f>IFERROR(IF(INDEX(ERP資料!$A:$A, (MATCH(1024, 輔助計算!$E$2:$E$801, 0)+1))="","",INDEX(ERP資料!$A:$A, (MATCH(1024, 輔助計算!$E$2:$E$801, 0)+1))), "")</f>
        <v/>
      </c>
      <c r="C1025" s="10">
        <f>IFERROR(IF(INDEX(ERP資料!$S:$S, (MATCH(1024, 輔助計算!$E$2:$E$801, 0)+1))="","",INDEX(ERP資料!$S:$S, (MATCH(1024, 輔助計算!$E$2:$E$801, 0)+1))), "")</f>
        <v/>
      </c>
      <c r="D1025" s="10">
        <f>IFERROR(IF(INDEX(ERP資料!$E:$E, (MATCH(1024, 輔助計算!$E$2:$E$801, 0)+1))="","",TRIM(INDEX(ERP資料!$E:$E, (MATCH(1024, 輔助計算!$E$2:$E$801, 0)+1)))), "")</f>
        <v/>
      </c>
      <c r="E1025" s="10">
        <f>IFERROR(IF(INDEX(ERP資料!$F:$F, (MATCH(1024, 輔助計算!$E$2:$E$801, 0)+1))="","",INDEX(ERP資料!$F:$F, (MATCH(1024, 輔助計算!$E$2:$E$801, 0)+1))), "")</f>
        <v/>
      </c>
      <c r="F1025" s="10">
        <f>IFERROR(IF(INDEX(ERP資料!$G:$G, (MATCH(1024, 輔助計算!$E$2:$E$801, 0)+1))="","",INDEX(ERP資料!$G:$G, (MATCH(1024, 輔助計算!$E$2:$E$801, 0)+1))), "")</f>
        <v/>
      </c>
      <c r="G1025" s="10">
        <f>IFERROR(IF(INDEX(ERP資料!$H:$H, (MATCH(1024, 輔助計算!$E$2:$E$801, 0)+1))="","",INDEX(ERP資料!$H:$H, (MATCH(1024, 輔助計算!$E$2:$E$801, 0)+1))), "")</f>
        <v/>
      </c>
      <c r="H1025" s="15">
        <f>IFERROR(INDEX(輔助計算!$D:$D, (MATCH(1024, 輔助計算!$E$2:$E$801, 0)+1)), "")</f>
        <v/>
      </c>
      <c r="I1025" s="10">
        <f>IFERROR(IF(INDEX(ERP資料!$O:$O, (MATCH(1024, 輔助計算!$E$2:$E$801, 0)+1))="","",INDEX(ERP資料!$O:$O, (MATCH(1024, 輔助計算!$E$2:$E$801, 0)+1))), "")</f>
        <v/>
      </c>
      <c r="J1025" s="15">
        <f>IFERROR(IF(INDEX(輔助計算!$D:$D,(MATCH(1024, 輔助計算!$E$2:$E$801, 0)+1))="","",INDEX(輔助計算!$D:$D,(MATCH(1024, 輔助計算!$E$2:$E$801, 0)+1))*INDEX(ERP資料!$O:$O,(MATCH(1024, 輔助計算!$E$2:$E$801, 0)+1))), "")</f>
        <v/>
      </c>
      <c r="K1025" s="16" t="n"/>
      <c r="L1025" s="16" t="n"/>
      <c r="M1025" s="17" t="n"/>
    </row>
    <row r="1026">
      <c r="A1026" s="14">
        <f>IFERROR(IF(INDEX(ERP資料!$B:$B, (MATCH(1025, 輔助計算!$E$2:$E$801, 0)+1))="","",INDEX(ERP資料!$B:$B, (MATCH(1025, 輔助計算!$E$2:$E$801, 0)+1))), "")</f>
        <v/>
      </c>
      <c r="B1026" s="10">
        <f>IFERROR(IF(INDEX(ERP資料!$A:$A, (MATCH(1025, 輔助計算!$E$2:$E$801, 0)+1))="","",INDEX(ERP資料!$A:$A, (MATCH(1025, 輔助計算!$E$2:$E$801, 0)+1))), "")</f>
        <v/>
      </c>
      <c r="C1026" s="10">
        <f>IFERROR(IF(INDEX(ERP資料!$S:$S, (MATCH(1025, 輔助計算!$E$2:$E$801, 0)+1))="","",INDEX(ERP資料!$S:$S, (MATCH(1025, 輔助計算!$E$2:$E$801, 0)+1))), "")</f>
        <v/>
      </c>
      <c r="D1026" s="10">
        <f>IFERROR(IF(INDEX(ERP資料!$E:$E, (MATCH(1025, 輔助計算!$E$2:$E$801, 0)+1))="","",TRIM(INDEX(ERP資料!$E:$E, (MATCH(1025, 輔助計算!$E$2:$E$801, 0)+1)))), "")</f>
        <v/>
      </c>
      <c r="E1026" s="10">
        <f>IFERROR(IF(INDEX(ERP資料!$F:$F, (MATCH(1025, 輔助計算!$E$2:$E$801, 0)+1))="","",INDEX(ERP資料!$F:$F, (MATCH(1025, 輔助計算!$E$2:$E$801, 0)+1))), "")</f>
        <v/>
      </c>
      <c r="F1026" s="10">
        <f>IFERROR(IF(INDEX(ERP資料!$G:$G, (MATCH(1025, 輔助計算!$E$2:$E$801, 0)+1))="","",INDEX(ERP資料!$G:$G, (MATCH(1025, 輔助計算!$E$2:$E$801, 0)+1))), "")</f>
        <v/>
      </c>
      <c r="G1026" s="10">
        <f>IFERROR(IF(INDEX(ERP資料!$H:$H, (MATCH(1025, 輔助計算!$E$2:$E$801, 0)+1))="","",INDEX(ERP資料!$H:$H, (MATCH(1025, 輔助計算!$E$2:$E$801, 0)+1))), "")</f>
        <v/>
      </c>
      <c r="H1026" s="15">
        <f>IFERROR(INDEX(輔助計算!$D:$D, (MATCH(1025, 輔助計算!$E$2:$E$801, 0)+1)), "")</f>
        <v/>
      </c>
      <c r="I1026" s="10">
        <f>IFERROR(IF(INDEX(ERP資料!$O:$O, (MATCH(1025, 輔助計算!$E$2:$E$801, 0)+1))="","",INDEX(ERP資料!$O:$O, (MATCH(1025, 輔助計算!$E$2:$E$801, 0)+1))), "")</f>
        <v/>
      </c>
      <c r="J1026" s="15">
        <f>IFERROR(IF(INDEX(輔助計算!$D:$D,(MATCH(1025, 輔助計算!$E$2:$E$801, 0)+1))="","",INDEX(輔助計算!$D:$D,(MATCH(1025, 輔助計算!$E$2:$E$801, 0)+1))*INDEX(ERP資料!$O:$O,(MATCH(1025, 輔助計算!$E$2:$E$801, 0)+1))), "")</f>
        <v/>
      </c>
      <c r="K1026" s="16" t="n"/>
      <c r="L1026" s="16" t="n"/>
      <c r="M1026" s="17" t="n"/>
    </row>
    <row r="1027">
      <c r="A1027" s="14">
        <f>IFERROR(IF(INDEX(ERP資料!$B:$B, (MATCH(1026, 輔助計算!$E$2:$E$801, 0)+1))="","",INDEX(ERP資料!$B:$B, (MATCH(1026, 輔助計算!$E$2:$E$801, 0)+1))), "")</f>
        <v/>
      </c>
      <c r="B1027" s="10">
        <f>IFERROR(IF(INDEX(ERP資料!$A:$A, (MATCH(1026, 輔助計算!$E$2:$E$801, 0)+1))="","",INDEX(ERP資料!$A:$A, (MATCH(1026, 輔助計算!$E$2:$E$801, 0)+1))), "")</f>
        <v/>
      </c>
      <c r="C1027" s="10">
        <f>IFERROR(IF(INDEX(ERP資料!$S:$S, (MATCH(1026, 輔助計算!$E$2:$E$801, 0)+1))="","",INDEX(ERP資料!$S:$S, (MATCH(1026, 輔助計算!$E$2:$E$801, 0)+1))), "")</f>
        <v/>
      </c>
      <c r="D1027" s="10">
        <f>IFERROR(IF(INDEX(ERP資料!$E:$E, (MATCH(1026, 輔助計算!$E$2:$E$801, 0)+1))="","",TRIM(INDEX(ERP資料!$E:$E, (MATCH(1026, 輔助計算!$E$2:$E$801, 0)+1)))), "")</f>
        <v/>
      </c>
      <c r="E1027" s="10">
        <f>IFERROR(IF(INDEX(ERP資料!$F:$F, (MATCH(1026, 輔助計算!$E$2:$E$801, 0)+1))="","",INDEX(ERP資料!$F:$F, (MATCH(1026, 輔助計算!$E$2:$E$801, 0)+1))), "")</f>
        <v/>
      </c>
      <c r="F1027" s="10">
        <f>IFERROR(IF(INDEX(ERP資料!$G:$G, (MATCH(1026, 輔助計算!$E$2:$E$801, 0)+1))="","",INDEX(ERP資料!$G:$G, (MATCH(1026, 輔助計算!$E$2:$E$801, 0)+1))), "")</f>
        <v/>
      </c>
      <c r="G1027" s="10">
        <f>IFERROR(IF(INDEX(ERP資料!$H:$H, (MATCH(1026, 輔助計算!$E$2:$E$801, 0)+1))="","",INDEX(ERP資料!$H:$H, (MATCH(1026, 輔助計算!$E$2:$E$801, 0)+1))), "")</f>
        <v/>
      </c>
      <c r="H1027" s="15">
        <f>IFERROR(INDEX(輔助計算!$D:$D, (MATCH(1026, 輔助計算!$E$2:$E$801, 0)+1)), "")</f>
        <v/>
      </c>
      <c r="I1027" s="10">
        <f>IFERROR(IF(INDEX(ERP資料!$O:$O, (MATCH(1026, 輔助計算!$E$2:$E$801, 0)+1))="","",INDEX(ERP資料!$O:$O, (MATCH(1026, 輔助計算!$E$2:$E$801, 0)+1))), "")</f>
        <v/>
      </c>
      <c r="J1027" s="15">
        <f>IFERROR(IF(INDEX(輔助計算!$D:$D,(MATCH(1026, 輔助計算!$E$2:$E$801, 0)+1))="","",INDEX(輔助計算!$D:$D,(MATCH(1026, 輔助計算!$E$2:$E$801, 0)+1))*INDEX(ERP資料!$O:$O,(MATCH(1026, 輔助計算!$E$2:$E$801, 0)+1))), "")</f>
        <v/>
      </c>
      <c r="K1027" s="16" t="n"/>
      <c r="L1027" s="16" t="n"/>
      <c r="M1027" s="17" t="n"/>
    </row>
    <row r="1028">
      <c r="A1028" s="14">
        <f>IFERROR(IF(INDEX(ERP資料!$B:$B, (MATCH(1027, 輔助計算!$E$2:$E$801, 0)+1))="","",INDEX(ERP資料!$B:$B, (MATCH(1027, 輔助計算!$E$2:$E$801, 0)+1))), "")</f>
        <v/>
      </c>
      <c r="B1028" s="10">
        <f>IFERROR(IF(INDEX(ERP資料!$A:$A, (MATCH(1027, 輔助計算!$E$2:$E$801, 0)+1))="","",INDEX(ERP資料!$A:$A, (MATCH(1027, 輔助計算!$E$2:$E$801, 0)+1))), "")</f>
        <v/>
      </c>
      <c r="C1028" s="10">
        <f>IFERROR(IF(INDEX(ERP資料!$S:$S, (MATCH(1027, 輔助計算!$E$2:$E$801, 0)+1))="","",INDEX(ERP資料!$S:$S, (MATCH(1027, 輔助計算!$E$2:$E$801, 0)+1))), "")</f>
        <v/>
      </c>
      <c r="D1028" s="10">
        <f>IFERROR(IF(INDEX(ERP資料!$E:$E, (MATCH(1027, 輔助計算!$E$2:$E$801, 0)+1))="","",TRIM(INDEX(ERP資料!$E:$E, (MATCH(1027, 輔助計算!$E$2:$E$801, 0)+1)))), "")</f>
        <v/>
      </c>
      <c r="E1028" s="10">
        <f>IFERROR(IF(INDEX(ERP資料!$F:$F, (MATCH(1027, 輔助計算!$E$2:$E$801, 0)+1))="","",INDEX(ERP資料!$F:$F, (MATCH(1027, 輔助計算!$E$2:$E$801, 0)+1))), "")</f>
        <v/>
      </c>
      <c r="F1028" s="10">
        <f>IFERROR(IF(INDEX(ERP資料!$G:$G, (MATCH(1027, 輔助計算!$E$2:$E$801, 0)+1))="","",INDEX(ERP資料!$G:$G, (MATCH(1027, 輔助計算!$E$2:$E$801, 0)+1))), "")</f>
        <v/>
      </c>
      <c r="G1028" s="10">
        <f>IFERROR(IF(INDEX(ERP資料!$H:$H, (MATCH(1027, 輔助計算!$E$2:$E$801, 0)+1))="","",INDEX(ERP資料!$H:$H, (MATCH(1027, 輔助計算!$E$2:$E$801, 0)+1))), "")</f>
        <v/>
      </c>
      <c r="H1028" s="15">
        <f>IFERROR(INDEX(輔助計算!$D:$D, (MATCH(1027, 輔助計算!$E$2:$E$801, 0)+1)), "")</f>
        <v/>
      </c>
      <c r="I1028" s="10">
        <f>IFERROR(IF(INDEX(ERP資料!$O:$O, (MATCH(1027, 輔助計算!$E$2:$E$801, 0)+1))="","",INDEX(ERP資料!$O:$O, (MATCH(1027, 輔助計算!$E$2:$E$801, 0)+1))), "")</f>
        <v/>
      </c>
      <c r="J1028" s="15">
        <f>IFERROR(IF(INDEX(輔助計算!$D:$D,(MATCH(1027, 輔助計算!$E$2:$E$801, 0)+1))="","",INDEX(輔助計算!$D:$D,(MATCH(1027, 輔助計算!$E$2:$E$801, 0)+1))*INDEX(ERP資料!$O:$O,(MATCH(1027, 輔助計算!$E$2:$E$801, 0)+1))), "")</f>
        <v/>
      </c>
      <c r="K1028" s="16" t="n"/>
      <c r="L1028" s="16" t="n"/>
      <c r="M1028" s="17" t="n"/>
    </row>
    <row r="1029">
      <c r="A1029" s="14">
        <f>IFERROR(IF(INDEX(ERP資料!$B:$B, (MATCH(1028, 輔助計算!$E$2:$E$801, 0)+1))="","",INDEX(ERP資料!$B:$B, (MATCH(1028, 輔助計算!$E$2:$E$801, 0)+1))), "")</f>
        <v/>
      </c>
      <c r="B1029" s="10">
        <f>IFERROR(IF(INDEX(ERP資料!$A:$A, (MATCH(1028, 輔助計算!$E$2:$E$801, 0)+1))="","",INDEX(ERP資料!$A:$A, (MATCH(1028, 輔助計算!$E$2:$E$801, 0)+1))), "")</f>
        <v/>
      </c>
      <c r="C1029" s="10">
        <f>IFERROR(IF(INDEX(ERP資料!$S:$S, (MATCH(1028, 輔助計算!$E$2:$E$801, 0)+1))="","",INDEX(ERP資料!$S:$S, (MATCH(1028, 輔助計算!$E$2:$E$801, 0)+1))), "")</f>
        <v/>
      </c>
      <c r="D1029" s="10">
        <f>IFERROR(IF(INDEX(ERP資料!$E:$E, (MATCH(1028, 輔助計算!$E$2:$E$801, 0)+1))="","",TRIM(INDEX(ERP資料!$E:$E, (MATCH(1028, 輔助計算!$E$2:$E$801, 0)+1)))), "")</f>
        <v/>
      </c>
      <c r="E1029" s="10">
        <f>IFERROR(IF(INDEX(ERP資料!$F:$F, (MATCH(1028, 輔助計算!$E$2:$E$801, 0)+1))="","",INDEX(ERP資料!$F:$F, (MATCH(1028, 輔助計算!$E$2:$E$801, 0)+1))), "")</f>
        <v/>
      </c>
      <c r="F1029" s="10">
        <f>IFERROR(IF(INDEX(ERP資料!$G:$G, (MATCH(1028, 輔助計算!$E$2:$E$801, 0)+1))="","",INDEX(ERP資料!$G:$G, (MATCH(1028, 輔助計算!$E$2:$E$801, 0)+1))), "")</f>
        <v/>
      </c>
      <c r="G1029" s="10">
        <f>IFERROR(IF(INDEX(ERP資料!$H:$H, (MATCH(1028, 輔助計算!$E$2:$E$801, 0)+1))="","",INDEX(ERP資料!$H:$H, (MATCH(1028, 輔助計算!$E$2:$E$801, 0)+1))), "")</f>
        <v/>
      </c>
      <c r="H1029" s="15">
        <f>IFERROR(INDEX(輔助計算!$D:$D, (MATCH(1028, 輔助計算!$E$2:$E$801, 0)+1)), "")</f>
        <v/>
      </c>
      <c r="I1029" s="10">
        <f>IFERROR(IF(INDEX(ERP資料!$O:$O, (MATCH(1028, 輔助計算!$E$2:$E$801, 0)+1))="","",INDEX(ERP資料!$O:$O, (MATCH(1028, 輔助計算!$E$2:$E$801, 0)+1))), "")</f>
        <v/>
      </c>
      <c r="J1029" s="15">
        <f>IFERROR(IF(INDEX(輔助計算!$D:$D,(MATCH(1028, 輔助計算!$E$2:$E$801, 0)+1))="","",INDEX(輔助計算!$D:$D,(MATCH(1028, 輔助計算!$E$2:$E$801, 0)+1))*INDEX(ERP資料!$O:$O,(MATCH(1028, 輔助計算!$E$2:$E$801, 0)+1))), "")</f>
        <v/>
      </c>
      <c r="K1029" s="16" t="n"/>
      <c r="L1029" s="16" t="n"/>
      <c r="M1029" s="17" t="n"/>
    </row>
    <row r="1030">
      <c r="A1030" s="14">
        <f>IFERROR(IF(INDEX(ERP資料!$B:$B, (MATCH(1029, 輔助計算!$E$2:$E$801, 0)+1))="","",INDEX(ERP資料!$B:$B, (MATCH(1029, 輔助計算!$E$2:$E$801, 0)+1))), "")</f>
        <v/>
      </c>
      <c r="B1030" s="10">
        <f>IFERROR(IF(INDEX(ERP資料!$A:$A, (MATCH(1029, 輔助計算!$E$2:$E$801, 0)+1))="","",INDEX(ERP資料!$A:$A, (MATCH(1029, 輔助計算!$E$2:$E$801, 0)+1))), "")</f>
        <v/>
      </c>
      <c r="C1030" s="10">
        <f>IFERROR(IF(INDEX(ERP資料!$S:$S, (MATCH(1029, 輔助計算!$E$2:$E$801, 0)+1))="","",INDEX(ERP資料!$S:$S, (MATCH(1029, 輔助計算!$E$2:$E$801, 0)+1))), "")</f>
        <v/>
      </c>
      <c r="D1030" s="10">
        <f>IFERROR(IF(INDEX(ERP資料!$E:$E, (MATCH(1029, 輔助計算!$E$2:$E$801, 0)+1))="","",TRIM(INDEX(ERP資料!$E:$E, (MATCH(1029, 輔助計算!$E$2:$E$801, 0)+1)))), "")</f>
        <v/>
      </c>
      <c r="E1030" s="10">
        <f>IFERROR(IF(INDEX(ERP資料!$F:$F, (MATCH(1029, 輔助計算!$E$2:$E$801, 0)+1))="","",INDEX(ERP資料!$F:$F, (MATCH(1029, 輔助計算!$E$2:$E$801, 0)+1))), "")</f>
        <v/>
      </c>
      <c r="F1030" s="10">
        <f>IFERROR(IF(INDEX(ERP資料!$G:$G, (MATCH(1029, 輔助計算!$E$2:$E$801, 0)+1))="","",INDEX(ERP資料!$G:$G, (MATCH(1029, 輔助計算!$E$2:$E$801, 0)+1))), "")</f>
        <v/>
      </c>
      <c r="G1030" s="10">
        <f>IFERROR(IF(INDEX(ERP資料!$H:$H, (MATCH(1029, 輔助計算!$E$2:$E$801, 0)+1))="","",INDEX(ERP資料!$H:$H, (MATCH(1029, 輔助計算!$E$2:$E$801, 0)+1))), "")</f>
        <v/>
      </c>
      <c r="H1030" s="15">
        <f>IFERROR(INDEX(輔助計算!$D:$D, (MATCH(1029, 輔助計算!$E$2:$E$801, 0)+1)), "")</f>
        <v/>
      </c>
      <c r="I1030" s="10">
        <f>IFERROR(IF(INDEX(ERP資料!$O:$O, (MATCH(1029, 輔助計算!$E$2:$E$801, 0)+1))="","",INDEX(ERP資料!$O:$O, (MATCH(1029, 輔助計算!$E$2:$E$801, 0)+1))), "")</f>
        <v/>
      </c>
      <c r="J1030" s="15">
        <f>IFERROR(IF(INDEX(輔助計算!$D:$D,(MATCH(1029, 輔助計算!$E$2:$E$801, 0)+1))="","",INDEX(輔助計算!$D:$D,(MATCH(1029, 輔助計算!$E$2:$E$801, 0)+1))*INDEX(ERP資料!$O:$O,(MATCH(1029, 輔助計算!$E$2:$E$801, 0)+1))), "")</f>
        <v/>
      </c>
      <c r="K1030" s="16" t="n"/>
      <c r="L1030" s="16" t="n"/>
      <c r="M1030" s="17" t="n"/>
    </row>
    <row r="1031">
      <c r="A1031" s="14">
        <f>IFERROR(IF(INDEX(ERP資料!$B:$B, (MATCH(1030, 輔助計算!$E$2:$E$801, 0)+1))="","",INDEX(ERP資料!$B:$B, (MATCH(1030, 輔助計算!$E$2:$E$801, 0)+1))), "")</f>
        <v/>
      </c>
      <c r="B1031" s="10">
        <f>IFERROR(IF(INDEX(ERP資料!$A:$A, (MATCH(1030, 輔助計算!$E$2:$E$801, 0)+1))="","",INDEX(ERP資料!$A:$A, (MATCH(1030, 輔助計算!$E$2:$E$801, 0)+1))), "")</f>
        <v/>
      </c>
      <c r="C1031" s="10">
        <f>IFERROR(IF(INDEX(ERP資料!$S:$S, (MATCH(1030, 輔助計算!$E$2:$E$801, 0)+1))="","",INDEX(ERP資料!$S:$S, (MATCH(1030, 輔助計算!$E$2:$E$801, 0)+1))), "")</f>
        <v/>
      </c>
      <c r="D1031" s="10">
        <f>IFERROR(IF(INDEX(ERP資料!$E:$E, (MATCH(1030, 輔助計算!$E$2:$E$801, 0)+1))="","",TRIM(INDEX(ERP資料!$E:$E, (MATCH(1030, 輔助計算!$E$2:$E$801, 0)+1)))), "")</f>
        <v/>
      </c>
      <c r="E1031" s="10">
        <f>IFERROR(IF(INDEX(ERP資料!$F:$F, (MATCH(1030, 輔助計算!$E$2:$E$801, 0)+1))="","",INDEX(ERP資料!$F:$F, (MATCH(1030, 輔助計算!$E$2:$E$801, 0)+1))), "")</f>
        <v/>
      </c>
      <c r="F1031" s="10">
        <f>IFERROR(IF(INDEX(ERP資料!$G:$G, (MATCH(1030, 輔助計算!$E$2:$E$801, 0)+1))="","",INDEX(ERP資料!$G:$G, (MATCH(1030, 輔助計算!$E$2:$E$801, 0)+1))), "")</f>
        <v/>
      </c>
      <c r="G1031" s="10">
        <f>IFERROR(IF(INDEX(ERP資料!$H:$H, (MATCH(1030, 輔助計算!$E$2:$E$801, 0)+1))="","",INDEX(ERP資料!$H:$H, (MATCH(1030, 輔助計算!$E$2:$E$801, 0)+1))), "")</f>
        <v/>
      </c>
      <c r="H1031" s="15">
        <f>IFERROR(INDEX(輔助計算!$D:$D, (MATCH(1030, 輔助計算!$E$2:$E$801, 0)+1)), "")</f>
        <v/>
      </c>
      <c r="I1031" s="10">
        <f>IFERROR(IF(INDEX(ERP資料!$O:$O, (MATCH(1030, 輔助計算!$E$2:$E$801, 0)+1))="","",INDEX(ERP資料!$O:$O, (MATCH(1030, 輔助計算!$E$2:$E$801, 0)+1))), "")</f>
        <v/>
      </c>
      <c r="J1031" s="15">
        <f>IFERROR(IF(INDEX(輔助計算!$D:$D,(MATCH(1030, 輔助計算!$E$2:$E$801, 0)+1))="","",INDEX(輔助計算!$D:$D,(MATCH(1030, 輔助計算!$E$2:$E$801, 0)+1))*INDEX(ERP資料!$O:$O,(MATCH(1030, 輔助計算!$E$2:$E$801, 0)+1))), "")</f>
        <v/>
      </c>
      <c r="K1031" s="16" t="n"/>
      <c r="L1031" s="16" t="n"/>
      <c r="M1031" s="17" t="n"/>
    </row>
    <row r="1032">
      <c r="A1032" s="14">
        <f>IFERROR(IF(INDEX(ERP資料!$B:$B, (MATCH(1031, 輔助計算!$E$2:$E$801, 0)+1))="","",INDEX(ERP資料!$B:$B, (MATCH(1031, 輔助計算!$E$2:$E$801, 0)+1))), "")</f>
        <v/>
      </c>
      <c r="B1032" s="10">
        <f>IFERROR(IF(INDEX(ERP資料!$A:$A, (MATCH(1031, 輔助計算!$E$2:$E$801, 0)+1))="","",INDEX(ERP資料!$A:$A, (MATCH(1031, 輔助計算!$E$2:$E$801, 0)+1))), "")</f>
        <v/>
      </c>
      <c r="C1032" s="10">
        <f>IFERROR(IF(INDEX(ERP資料!$S:$S, (MATCH(1031, 輔助計算!$E$2:$E$801, 0)+1))="","",INDEX(ERP資料!$S:$S, (MATCH(1031, 輔助計算!$E$2:$E$801, 0)+1))), "")</f>
        <v/>
      </c>
      <c r="D1032" s="10">
        <f>IFERROR(IF(INDEX(ERP資料!$E:$E, (MATCH(1031, 輔助計算!$E$2:$E$801, 0)+1))="","",TRIM(INDEX(ERP資料!$E:$E, (MATCH(1031, 輔助計算!$E$2:$E$801, 0)+1)))), "")</f>
        <v/>
      </c>
      <c r="E1032" s="10">
        <f>IFERROR(IF(INDEX(ERP資料!$F:$F, (MATCH(1031, 輔助計算!$E$2:$E$801, 0)+1))="","",INDEX(ERP資料!$F:$F, (MATCH(1031, 輔助計算!$E$2:$E$801, 0)+1))), "")</f>
        <v/>
      </c>
      <c r="F1032" s="10">
        <f>IFERROR(IF(INDEX(ERP資料!$G:$G, (MATCH(1031, 輔助計算!$E$2:$E$801, 0)+1))="","",INDEX(ERP資料!$G:$G, (MATCH(1031, 輔助計算!$E$2:$E$801, 0)+1))), "")</f>
        <v/>
      </c>
      <c r="G1032" s="10">
        <f>IFERROR(IF(INDEX(ERP資料!$H:$H, (MATCH(1031, 輔助計算!$E$2:$E$801, 0)+1))="","",INDEX(ERP資料!$H:$H, (MATCH(1031, 輔助計算!$E$2:$E$801, 0)+1))), "")</f>
        <v/>
      </c>
      <c r="H1032" s="15">
        <f>IFERROR(INDEX(輔助計算!$D:$D, (MATCH(1031, 輔助計算!$E$2:$E$801, 0)+1)), "")</f>
        <v/>
      </c>
      <c r="I1032" s="10">
        <f>IFERROR(IF(INDEX(ERP資料!$O:$O, (MATCH(1031, 輔助計算!$E$2:$E$801, 0)+1))="","",INDEX(ERP資料!$O:$O, (MATCH(1031, 輔助計算!$E$2:$E$801, 0)+1))), "")</f>
        <v/>
      </c>
      <c r="J1032" s="15">
        <f>IFERROR(IF(INDEX(輔助計算!$D:$D,(MATCH(1031, 輔助計算!$E$2:$E$801, 0)+1))="","",INDEX(輔助計算!$D:$D,(MATCH(1031, 輔助計算!$E$2:$E$801, 0)+1))*INDEX(ERP資料!$O:$O,(MATCH(1031, 輔助計算!$E$2:$E$801, 0)+1))), "")</f>
        <v/>
      </c>
      <c r="K1032" s="16" t="n"/>
      <c r="L1032" s="16" t="n"/>
      <c r="M1032" s="17" t="n"/>
    </row>
    <row r="1033">
      <c r="A1033" s="14">
        <f>IFERROR(IF(INDEX(ERP資料!$B:$B, (MATCH(1032, 輔助計算!$E$2:$E$801, 0)+1))="","",INDEX(ERP資料!$B:$B, (MATCH(1032, 輔助計算!$E$2:$E$801, 0)+1))), "")</f>
        <v/>
      </c>
      <c r="B1033" s="10">
        <f>IFERROR(IF(INDEX(ERP資料!$A:$A, (MATCH(1032, 輔助計算!$E$2:$E$801, 0)+1))="","",INDEX(ERP資料!$A:$A, (MATCH(1032, 輔助計算!$E$2:$E$801, 0)+1))), "")</f>
        <v/>
      </c>
      <c r="C1033" s="10">
        <f>IFERROR(IF(INDEX(ERP資料!$S:$S, (MATCH(1032, 輔助計算!$E$2:$E$801, 0)+1))="","",INDEX(ERP資料!$S:$S, (MATCH(1032, 輔助計算!$E$2:$E$801, 0)+1))), "")</f>
        <v/>
      </c>
      <c r="D1033" s="10">
        <f>IFERROR(IF(INDEX(ERP資料!$E:$E, (MATCH(1032, 輔助計算!$E$2:$E$801, 0)+1))="","",TRIM(INDEX(ERP資料!$E:$E, (MATCH(1032, 輔助計算!$E$2:$E$801, 0)+1)))), "")</f>
        <v/>
      </c>
      <c r="E1033" s="10">
        <f>IFERROR(IF(INDEX(ERP資料!$F:$F, (MATCH(1032, 輔助計算!$E$2:$E$801, 0)+1))="","",INDEX(ERP資料!$F:$F, (MATCH(1032, 輔助計算!$E$2:$E$801, 0)+1))), "")</f>
        <v/>
      </c>
      <c r="F1033" s="10">
        <f>IFERROR(IF(INDEX(ERP資料!$G:$G, (MATCH(1032, 輔助計算!$E$2:$E$801, 0)+1))="","",INDEX(ERP資料!$G:$G, (MATCH(1032, 輔助計算!$E$2:$E$801, 0)+1))), "")</f>
        <v/>
      </c>
      <c r="G1033" s="10">
        <f>IFERROR(IF(INDEX(ERP資料!$H:$H, (MATCH(1032, 輔助計算!$E$2:$E$801, 0)+1))="","",INDEX(ERP資料!$H:$H, (MATCH(1032, 輔助計算!$E$2:$E$801, 0)+1))), "")</f>
        <v/>
      </c>
      <c r="H1033" s="15">
        <f>IFERROR(INDEX(輔助計算!$D:$D, (MATCH(1032, 輔助計算!$E$2:$E$801, 0)+1)), "")</f>
        <v/>
      </c>
      <c r="I1033" s="10">
        <f>IFERROR(IF(INDEX(ERP資料!$O:$O, (MATCH(1032, 輔助計算!$E$2:$E$801, 0)+1))="","",INDEX(ERP資料!$O:$O, (MATCH(1032, 輔助計算!$E$2:$E$801, 0)+1))), "")</f>
        <v/>
      </c>
      <c r="J1033" s="15">
        <f>IFERROR(IF(INDEX(輔助計算!$D:$D,(MATCH(1032, 輔助計算!$E$2:$E$801, 0)+1))="","",INDEX(輔助計算!$D:$D,(MATCH(1032, 輔助計算!$E$2:$E$801, 0)+1))*INDEX(ERP資料!$O:$O,(MATCH(1032, 輔助計算!$E$2:$E$801, 0)+1))), "")</f>
        <v/>
      </c>
      <c r="K1033" s="16" t="n"/>
      <c r="L1033" s="16" t="n"/>
      <c r="M1033" s="17" t="n"/>
    </row>
    <row r="1034">
      <c r="A1034" s="14">
        <f>IFERROR(IF(INDEX(ERP資料!$B:$B, (MATCH(1033, 輔助計算!$E$2:$E$801, 0)+1))="","",INDEX(ERP資料!$B:$B, (MATCH(1033, 輔助計算!$E$2:$E$801, 0)+1))), "")</f>
        <v/>
      </c>
      <c r="B1034" s="10">
        <f>IFERROR(IF(INDEX(ERP資料!$A:$A, (MATCH(1033, 輔助計算!$E$2:$E$801, 0)+1))="","",INDEX(ERP資料!$A:$A, (MATCH(1033, 輔助計算!$E$2:$E$801, 0)+1))), "")</f>
        <v/>
      </c>
      <c r="C1034" s="10">
        <f>IFERROR(IF(INDEX(ERP資料!$S:$S, (MATCH(1033, 輔助計算!$E$2:$E$801, 0)+1))="","",INDEX(ERP資料!$S:$S, (MATCH(1033, 輔助計算!$E$2:$E$801, 0)+1))), "")</f>
        <v/>
      </c>
      <c r="D1034" s="10">
        <f>IFERROR(IF(INDEX(ERP資料!$E:$E, (MATCH(1033, 輔助計算!$E$2:$E$801, 0)+1))="","",TRIM(INDEX(ERP資料!$E:$E, (MATCH(1033, 輔助計算!$E$2:$E$801, 0)+1)))), "")</f>
        <v/>
      </c>
      <c r="E1034" s="10">
        <f>IFERROR(IF(INDEX(ERP資料!$F:$F, (MATCH(1033, 輔助計算!$E$2:$E$801, 0)+1))="","",INDEX(ERP資料!$F:$F, (MATCH(1033, 輔助計算!$E$2:$E$801, 0)+1))), "")</f>
        <v/>
      </c>
      <c r="F1034" s="10">
        <f>IFERROR(IF(INDEX(ERP資料!$G:$G, (MATCH(1033, 輔助計算!$E$2:$E$801, 0)+1))="","",INDEX(ERP資料!$G:$G, (MATCH(1033, 輔助計算!$E$2:$E$801, 0)+1))), "")</f>
        <v/>
      </c>
      <c r="G1034" s="10">
        <f>IFERROR(IF(INDEX(ERP資料!$H:$H, (MATCH(1033, 輔助計算!$E$2:$E$801, 0)+1))="","",INDEX(ERP資料!$H:$H, (MATCH(1033, 輔助計算!$E$2:$E$801, 0)+1))), "")</f>
        <v/>
      </c>
      <c r="H1034" s="15">
        <f>IFERROR(INDEX(輔助計算!$D:$D, (MATCH(1033, 輔助計算!$E$2:$E$801, 0)+1)), "")</f>
        <v/>
      </c>
      <c r="I1034" s="10">
        <f>IFERROR(IF(INDEX(ERP資料!$O:$O, (MATCH(1033, 輔助計算!$E$2:$E$801, 0)+1))="","",INDEX(ERP資料!$O:$O, (MATCH(1033, 輔助計算!$E$2:$E$801, 0)+1))), "")</f>
        <v/>
      </c>
      <c r="J1034" s="15">
        <f>IFERROR(IF(INDEX(輔助計算!$D:$D,(MATCH(1033, 輔助計算!$E$2:$E$801, 0)+1))="","",INDEX(輔助計算!$D:$D,(MATCH(1033, 輔助計算!$E$2:$E$801, 0)+1))*INDEX(ERP資料!$O:$O,(MATCH(1033, 輔助計算!$E$2:$E$801, 0)+1))), "")</f>
        <v/>
      </c>
      <c r="K1034" s="16" t="n"/>
      <c r="L1034" s="16" t="n"/>
      <c r="M1034" s="17" t="n"/>
    </row>
    <row r="1035">
      <c r="A1035" s="14">
        <f>IFERROR(IF(INDEX(ERP資料!$B:$B, (MATCH(1034, 輔助計算!$E$2:$E$801, 0)+1))="","",INDEX(ERP資料!$B:$B, (MATCH(1034, 輔助計算!$E$2:$E$801, 0)+1))), "")</f>
        <v/>
      </c>
      <c r="B1035" s="10">
        <f>IFERROR(IF(INDEX(ERP資料!$A:$A, (MATCH(1034, 輔助計算!$E$2:$E$801, 0)+1))="","",INDEX(ERP資料!$A:$A, (MATCH(1034, 輔助計算!$E$2:$E$801, 0)+1))), "")</f>
        <v/>
      </c>
      <c r="C1035" s="10">
        <f>IFERROR(IF(INDEX(ERP資料!$S:$S, (MATCH(1034, 輔助計算!$E$2:$E$801, 0)+1))="","",INDEX(ERP資料!$S:$S, (MATCH(1034, 輔助計算!$E$2:$E$801, 0)+1))), "")</f>
        <v/>
      </c>
      <c r="D1035" s="10">
        <f>IFERROR(IF(INDEX(ERP資料!$E:$E, (MATCH(1034, 輔助計算!$E$2:$E$801, 0)+1))="","",TRIM(INDEX(ERP資料!$E:$E, (MATCH(1034, 輔助計算!$E$2:$E$801, 0)+1)))), "")</f>
        <v/>
      </c>
      <c r="E1035" s="10">
        <f>IFERROR(IF(INDEX(ERP資料!$F:$F, (MATCH(1034, 輔助計算!$E$2:$E$801, 0)+1))="","",INDEX(ERP資料!$F:$F, (MATCH(1034, 輔助計算!$E$2:$E$801, 0)+1))), "")</f>
        <v/>
      </c>
      <c r="F1035" s="10">
        <f>IFERROR(IF(INDEX(ERP資料!$G:$G, (MATCH(1034, 輔助計算!$E$2:$E$801, 0)+1))="","",INDEX(ERP資料!$G:$G, (MATCH(1034, 輔助計算!$E$2:$E$801, 0)+1))), "")</f>
        <v/>
      </c>
      <c r="G1035" s="10">
        <f>IFERROR(IF(INDEX(ERP資料!$H:$H, (MATCH(1034, 輔助計算!$E$2:$E$801, 0)+1))="","",INDEX(ERP資料!$H:$H, (MATCH(1034, 輔助計算!$E$2:$E$801, 0)+1))), "")</f>
        <v/>
      </c>
      <c r="H1035" s="15">
        <f>IFERROR(INDEX(輔助計算!$D:$D, (MATCH(1034, 輔助計算!$E$2:$E$801, 0)+1)), "")</f>
        <v/>
      </c>
      <c r="I1035" s="10">
        <f>IFERROR(IF(INDEX(ERP資料!$O:$O, (MATCH(1034, 輔助計算!$E$2:$E$801, 0)+1))="","",INDEX(ERP資料!$O:$O, (MATCH(1034, 輔助計算!$E$2:$E$801, 0)+1))), "")</f>
        <v/>
      </c>
      <c r="J1035" s="15">
        <f>IFERROR(IF(INDEX(輔助計算!$D:$D,(MATCH(1034, 輔助計算!$E$2:$E$801, 0)+1))="","",INDEX(輔助計算!$D:$D,(MATCH(1034, 輔助計算!$E$2:$E$801, 0)+1))*INDEX(ERP資料!$O:$O,(MATCH(1034, 輔助計算!$E$2:$E$801, 0)+1))), "")</f>
        <v/>
      </c>
      <c r="K1035" s="16" t="n"/>
      <c r="L1035" s="16" t="n"/>
      <c r="M1035" s="17" t="n"/>
    </row>
    <row r="1036">
      <c r="A1036" s="14">
        <f>IFERROR(IF(INDEX(ERP資料!$B:$B, (MATCH(1035, 輔助計算!$E$2:$E$801, 0)+1))="","",INDEX(ERP資料!$B:$B, (MATCH(1035, 輔助計算!$E$2:$E$801, 0)+1))), "")</f>
        <v/>
      </c>
      <c r="B1036" s="10">
        <f>IFERROR(IF(INDEX(ERP資料!$A:$A, (MATCH(1035, 輔助計算!$E$2:$E$801, 0)+1))="","",INDEX(ERP資料!$A:$A, (MATCH(1035, 輔助計算!$E$2:$E$801, 0)+1))), "")</f>
        <v/>
      </c>
      <c r="C1036" s="10">
        <f>IFERROR(IF(INDEX(ERP資料!$S:$S, (MATCH(1035, 輔助計算!$E$2:$E$801, 0)+1))="","",INDEX(ERP資料!$S:$S, (MATCH(1035, 輔助計算!$E$2:$E$801, 0)+1))), "")</f>
        <v/>
      </c>
      <c r="D1036" s="10">
        <f>IFERROR(IF(INDEX(ERP資料!$E:$E, (MATCH(1035, 輔助計算!$E$2:$E$801, 0)+1))="","",TRIM(INDEX(ERP資料!$E:$E, (MATCH(1035, 輔助計算!$E$2:$E$801, 0)+1)))), "")</f>
        <v/>
      </c>
      <c r="E1036" s="10">
        <f>IFERROR(IF(INDEX(ERP資料!$F:$F, (MATCH(1035, 輔助計算!$E$2:$E$801, 0)+1))="","",INDEX(ERP資料!$F:$F, (MATCH(1035, 輔助計算!$E$2:$E$801, 0)+1))), "")</f>
        <v/>
      </c>
      <c r="F1036" s="10">
        <f>IFERROR(IF(INDEX(ERP資料!$G:$G, (MATCH(1035, 輔助計算!$E$2:$E$801, 0)+1))="","",INDEX(ERP資料!$G:$G, (MATCH(1035, 輔助計算!$E$2:$E$801, 0)+1))), "")</f>
        <v/>
      </c>
      <c r="G1036" s="10">
        <f>IFERROR(IF(INDEX(ERP資料!$H:$H, (MATCH(1035, 輔助計算!$E$2:$E$801, 0)+1))="","",INDEX(ERP資料!$H:$H, (MATCH(1035, 輔助計算!$E$2:$E$801, 0)+1))), "")</f>
        <v/>
      </c>
      <c r="H1036" s="15">
        <f>IFERROR(INDEX(輔助計算!$D:$D, (MATCH(1035, 輔助計算!$E$2:$E$801, 0)+1)), "")</f>
        <v/>
      </c>
      <c r="I1036" s="10">
        <f>IFERROR(IF(INDEX(ERP資料!$O:$O, (MATCH(1035, 輔助計算!$E$2:$E$801, 0)+1))="","",INDEX(ERP資料!$O:$O, (MATCH(1035, 輔助計算!$E$2:$E$801, 0)+1))), "")</f>
        <v/>
      </c>
      <c r="J1036" s="15">
        <f>IFERROR(IF(INDEX(輔助計算!$D:$D,(MATCH(1035, 輔助計算!$E$2:$E$801, 0)+1))="","",INDEX(輔助計算!$D:$D,(MATCH(1035, 輔助計算!$E$2:$E$801, 0)+1))*INDEX(ERP資料!$O:$O,(MATCH(1035, 輔助計算!$E$2:$E$801, 0)+1))), "")</f>
        <v/>
      </c>
      <c r="K1036" s="16" t="n"/>
      <c r="L1036" s="16" t="n"/>
      <c r="M1036" s="17" t="n"/>
    </row>
    <row r="1037">
      <c r="A1037" s="14">
        <f>IFERROR(IF(INDEX(ERP資料!$B:$B, (MATCH(1036, 輔助計算!$E$2:$E$801, 0)+1))="","",INDEX(ERP資料!$B:$B, (MATCH(1036, 輔助計算!$E$2:$E$801, 0)+1))), "")</f>
        <v/>
      </c>
      <c r="B1037" s="10">
        <f>IFERROR(IF(INDEX(ERP資料!$A:$A, (MATCH(1036, 輔助計算!$E$2:$E$801, 0)+1))="","",INDEX(ERP資料!$A:$A, (MATCH(1036, 輔助計算!$E$2:$E$801, 0)+1))), "")</f>
        <v/>
      </c>
      <c r="C1037" s="10">
        <f>IFERROR(IF(INDEX(ERP資料!$S:$S, (MATCH(1036, 輔助計算!$E$2:$E$801, 0)+1))="","",INDEX(ERP資料!$S:$S, (MATCH(1036, 輔助計算!$E$2:$E$801, 0)+1))), "")</f>
        <v/>
      </c>
      <c r="D1037" s="10">
        <f>IFERROR(IF(INDEX(ERP資料!$E:$E, (MATCH(1036, 輔助計算!$E$2:$E$801, 0)+1))="","",TRIM(INDEX(ERP資料!$E:$E, (MATCH(1036, 輔助計算!$E$2:$E$801, 0)+1)))), "")</f>
        <v/>
      </c>
      <c r="E1037" s="10">
        <f>IFERROR(IF(INDEX(ERP資料!$F:$F, (MATCH(1036, 輔助計算!$E$2:$E$801, 0)+1))="","",INDEX(ERP資料!$F:$F, (MATCH(1036, 輔助計算!$E$2:$E$801, 0)+1))), "")</f>
        <v/>
      </c>
      <c r="F1037" s="10">
        <f>IFERROR(IF(INDEX(ERP資料!$G:$G, (MATCH(1036, 輔助計算!$E$2:$E$801, 0)+1))="","",INDEX(ERP資料!$G:$G, (MATCH(1036, 輔助計算!$E$2:$E$801, 0)+1))), "")</f>
        <v/>
      </c>
      <c r="G1037" s="10">
        <f>IFERROR(IF(INDEX(ERP資料!$H:$H, (MATCH(1036, 輔助計算!$E$2:$E$801, 0)+1))="","",INDEX(ERP資料!$H:$H, (MATCH(1036, 輔助計算!$E$2:$E$801, 0)+1))), "")</f>
        <v/>
      </c>
      <c r="H1037" s="15">
        <f>IFERROR(INDEX(輔助計算!$D:$D, (MATCH(1036, 輔助計算!$E$2:$E$801, 0)+1)), "")</f>
        <v/>
      </c>
      <c r="I1037" s="10">
        <f>IFERROR(IF(INDEX(ERP資料!$O:$O, (MATCH(1036, 輔助計算!$E$2:$E$801, 0)+1))="","",INDEX(ERP資料!$O:$O, (MATCH(1036, 輔助計算!$E$2:$E$801, 0)+1))), "")</f>
        <v/>
      </c>
      <c r="J1037" s="15">
        <f>IFERROR(IF(INDEX(輔助計算!$D:$D,(MATCH(1036, 輔助計算!$E$2:$E$801, 0)+1))="","",INDEX(輔助計算!$D:$D,(MATCH(1036, 輔助計算!$E$2:$E$801, 0)+1))*INDEX(ERP資料!$O:$O,(MATCH(1036, 輔助計算!$E$2:$E$801, 0)+1))), "")</f>
        <v/>
      </c>
      <c r="K1037" s="16" t="n"/>
      <c r="L1037" s="16" t="n"/>
      <c r="M1037" s="17" t="n"/>
    </row>
    <row r="1038">
      <c r="A1038" s="14">
        <f>IFERROR(IF(INDEX(ERP資料!$B:$B, (MATCH(1037, 輔助計算!$E$2:$E$801, 0)+1))="","",INDEX(ERP資料!$B:$B, (MATCH(1037, 輔助計算!$E$2:$E$801, 0)+1))), "")</f>
        <v/>
      </c>
      <c r="B1038" s="10">
        <f>IFERROR(IF(INDEX(ERP資料!$A:$A, (MATCH(1037, 輔助計算!$E$2:$E$801, 0)+1))="","",INDEX(ERP資料!$A:$A, (MATCH(1037, 輔助計算!$E$2:$E$801, 0)+1))), "")</f>
        <v/>
      </c>
      <c r="C1038" s="10">
        <f>IFERROR(IF(INDEX(ERP資料!$S:$S, (MATCH(1037, 輔助計算!$E$2:$E$801, 0)+1))="","",INDEX(ERP資料!$S:$S, (MATCH(1037, 輔助計算!$E$2:$E$801, 0)+1))), "")</f>
        <v/>
      </c>
      <c r="D1038" s="10">
        <f>IFERROR(IF(INDEX(ERP資料!$E:$E, (MATCH(1037, 輔助計算!$E$2:$E$801, 0)+1))="","",TRIM(INDEX(ERP資料!$E:$E, (MATCH(1037, 輔助計算!$E$2:$E$801, 0)+1)))), "")</f>
        <v/>
      </c>
      <c r="E1038" s="10">
        <f>IFERROR(IF(INDEX(ERP資料!$F:$F, (MATCH(1037, 輔助計算!$E$2:$E$801, 0)+1))="","",INDEX(ERP資料!$F:$F, (MATCH(1037, 輔助計算!$E$2:$E$801, 0)+1))), "")</f>
        <v/>
      </c>
      <c r="F1038" s="10">
        <f>IFERROR(IF(INDEX(ERP資料!$G:$G, (MATCH(1037, 輔助計算!$E$2:$E$801, 0)+1))="","",INDEX(ERP資料!$G:$G, (MATCH(1037, 輔助計算!$E$2:$E$801, 0)+1))), "")</f>
        <v/>
      </c>
      <c r="G1038" s="10">
        <f>IFERROR(IF(INDEX(ERP資料!$H:$H, (MATCH(1037, 輔助計算!$E$2:$E$801, 0)+1))="","",INDEX(ERP資料!$H:$H, (MATCH(1037, 輔助計算!$E$2:$E$801, 0)+1))), "")</f>
        <v/>
      </c>
      <c r="H1038" s="15">
        <f>IFERROR(INDEX(輔助計算!$D:$D, (MATCH(1037, 輔助計算!$E$2:$E$801, 0)+1)), "")</f>
        <v/>
      </c>
      <c r="I1038" s="10">
        <f>IFERROR(IF(INDEX(ERP資料!$O:$O, (MATCH(1037, 輔助計算!$E$2:$E$801, 0)+1))="","",INDEX(ERP資料!$O:$O, (MATCH(1037, 輔助計算!$E$2:$E$801, 0)+1))), "")</f>
        <v/>
      </c>
      <c r="J1038" s="15">
        <f>IFERROR(IF(INDEX(輔助計算!$D:$D,(MATCH(1037, 輔助計算!$E$2:$E$801, 0)+1))="","",INDEX(輔助計算!$D:$D,(MATCH(1037, 輔助計算!$E$2:$E$801, 0)+1))*INDEX(ERP資料!$O:$O,(MATCH(1037, 輔助計算!$E$2:$E$801, 0)+1))), "")</f>
        <v/>
      </c>
      <c r="K1038" s="16" t="n"/>
      <c r="L1038" s="16" t="n"/>
      <c r="M1038" s="17" t="n"/>
    </row>
    <row r="1039">
      <c r="A1039" s="14">
        <f>IFERROR(IF(INDEX(ERP資料!$B:$B, (MATCH(1038, 輔助計算!$E$2:$E$801, 0)+1))="","",INDEX(ERP資料!$B:$B, (MATCH(1038, 輔助計算!$E$2:$E$801, 0)+1))), "")</f>
        <v/>
      </c>
      <c r="B1039" s="10">
        <f>IFERROR(IF(INDEX(ERP資料!$A:$A, (MATCH(1038, 輔助計算!$E$2:$E$801, 0)+1))="","",INDEX(ERP資料!$A:$A, (MATCH(1038, 輔助計算!$E$2:$E$801, 0)+1))), "")</f>
        <v/>
      </c>
      <c r="C1039" s="10">
        <f>IFERROR(IF(INDEX(ERP資料!$S:$S, (MATCH(1038, 輔助計算!$E$2:$E$801, 0)+1))="","",INDEX(ERP資料!$S:$S, (MATCH(1038, 輔助計算!$E$2:$E$801, 0)+1))), "")</f>
        <v/>
      </c>
      <c r="D1039" s="10">
        <f>IFERROR(IF(INDEX(ERP資料!$E:$E, (MATCH(1038, 輔助計算!$E$2:$E$801, 0)+1))="","",TRIM(INDEX(ERP資料!$E:$E, (MATCH(1038, 輔助計算!$E$2:$E$801, 0)+1)))), "")</f>
        <v/>
      </c>
      <c r="E1039" s="10">
        <f>IFERROR(IF(INDEX(ERP資料!$F:$F, (MATCH(1038, 輔助計算!$E$2:$E$801, 0)+1))="","",INDEX(ERP資料!$F:$F, (MATCH(1038, 輔助計算!$E$2:$E$801, 0)+1))), "")</f>
        <v/>
      </c>
      <c r="F1039" s="10">
        <f>IFERROR(IF(INDEX(ERP資料!$G:$G, (MATCH(1038, 輔助計算!$E$2:$E$801, 0)+1))="","",INDEX(ERP資料!$G:$G, (MATCH(1038, 輔助計算!$E$2:$E$801, 0)+1))), "")</f>
        <v/>
      </c>
      <c r="G1039" s="10">
        <f>IFERROR(IF(INDEX(ERP資料!$H:$H, (MATCH(1038, 輔助計算!$E$2:$E$801, 0)+1))="","",INDEX(ERP資料!$H:$H, (MATCH(1038, 輔助計算!$E$2:$E$801, 0)+1))), "")</f>
        <v/>
      </c>
      <c r="H1039" s="15">
        <f>IFERROR(INDEX(輔助計算!$D:$D, (MATCH(1038, 輔助計算!$E$2:$E$801, 0)+1)), "")</f>
        <v/>
      </c>
      <c r="I1039" s="10">
        <f>IFERROR(IF(INDEX(ERP資料!$O:$O, (MATCH(1038, 輔助計算!$E$2:$E$801, 0)+1))="","",INDEX(ERP資料!$O:$O, (MATCH(1038, 輔助計算!$E$2:$E$801, 0)+1))), "")</f>
        <v/>
      </c>
      <c r="J1039" s="15">
        <f>IFERROR(IF(INDEX(輔助計算!$D:$D,(MATCH(1038, 輔助計算!$E$2:$E$801, 0)+1))="","",INDEX(輔助計算!$D:$D,(MATCH(1038, 輔助計算!$E$2:$E$801, 0)+1))*INDEX(ERP資料!$O:$O,(MATCH(1038, 輔助計算!$E$2:$E$801, 0)+1))), "")</f>
        <v/>
      </c>
      <c r="K1039" s="16" t="n"/>
      <c r="L1039" s="16" t="n"/>
      <c r="M1039" s="17" t="n"/>
    </row>
    <row r="1040">
      <c r="A1040" s="14">
        <f>IFERROR(IF(INDEX(ERP資料!$B:$B, (MATCH(1039, 輔助計算!$E$2:$E$801, 0)+1))="","",INDEX(ERP資料!$B:$B, (MATCH(1039, 輔助計算!$E$2:$E$801, 0)+1))), "")</f>
        <v/>
      </c>
      <c r="B1040" s="10">
        <f>IFERROR(IF(INDEX(ERP資料!$A:$A, (MATCH(1039, 輔助計算!$E$2:$E$801, 0)+1))="","",INDEX(ERP資料!$A:$A, (MATCH(1039, 輔助計算!$E$2:$E$801, 0)+1))), "")</f>
        <v/>
      </c>
      <c r="C1040" s="10">
        <f>IFERROR(IF(INDEX(ERP資料!$S:$S, (MATCH(1039, 輔助計算!$E$2:$E$801, 0)+1))="","",INDEX(ERP資料!$S:$S, (MATCH(1039, 輔助計算!$E$2:$E$801, 0)+1))), "")</f>
        <v/>
      </c>
      <c r="D1040" s="10">
        <f>IFERROR(IF(INDEX(ERP資料!$E:$E, (MATCH(1039, 輔助計算!$E$2:$E$801, 0)+1))="","",TRIM(INDEX(ERP資料!$E:$E, (MATCH(1039, 輔助計算!$E$2:$E$801, 0)+1)))), "")</f>
        <v/>
      </c>
      <c r="E1040" s="10">
        <f>IFERROR(IF(INDEX(ERP資料!$F:$F, (MATCH(1039, 輔助計算!$E$2:$E$801, 0)+1))="","",INDEX(ERP資料!$F:$F, (MATCH(1039, 輔助計算!$E$2:$E$801, 0)+1))), "")</f>
        <v/>
      </c>
      <c r="F1040" s="10">
        <f>IFERROR(IF(INDEX(ERP資料!$G:$G, (MATCH(1039, 輔助計算!$E$2:$E$801, 0)+1))="","",INDEX(ERP資料!$G:$G, (MATCH(1039, 輔助計算!$E$2:$E$801, 0)+1))), "")</f>
        <v/>
      </c>
      <c r="G1040" s="10">
        <f>IFERROR(IF(INDEX(ERP資料!$H:$H, (MATCH(1039, 輔助計算!$E$2:$E$801, 0)+1))="","",INDEX(ERP資料!$H:$H, (MATCH(1039, 輔助計算!$E$2:$E$801, 0)+1))), "")</f>
        <v/>
      </c>
      <c r="H1040" s="15">
        <f>IFERROR(INDEX(輔助計算!$D:$D, (MATCH(1039, 輔助計算!$E$2:$E$801, 0)+1)), "")</f>
        <v/>
      </c>
      <c r="I1040" s="10">
        <f>IFERROR(IF(INDEX(ERP資料!$O:$O, (MATCH(1039, 輔助計算!$E$2:$E$801, 0)+1))="","",INDEX(ERP資料!$O:$O, (MATCH(1039, 輔助計算!$E$2:$E$801, 0)+1))), "")</f>
        <v/>
      </c>
      <c r="J1040" s="15">
        <f>IFERROR(IF(INDEX(輔助計算!$D:$D,(MATCH(1039, 輔助計算!$E$2:$E$801, 0)+1))="","",INDEX(輔助計算!$D:$D,(MATCH(1039, 輔助計算!$E$2:$E$801, 0)+1))*INDEX(ERP資料!$O:$O,(MATCH(1039, 輔助計算!$E$2:$E$801, 0)+1))), "")</f>
        <v/>
      </c>
      <c r="K1040" s="16" t="n"/>
      <c r="L1040" s="16" t="n"/>
      <c r="M1040" s="17" t="n"/>
    </row>
    <row r="1041">
      <c r="A1041" s="14">
        <f>IFERROR(IF(INDEX(ERP資料!$B:$B, (MATCH(1040, 輔助計算!$E$2:$E$801, 0)+1))="","",INDEX(ERP資料!$B:$B, (MATCH(1040, 輔助計算!$E$2:$E$801, 0)+1))), "")</f>
        <v/>
      </c>
      <c r="B1041" s="10">
        <f>IFERROR(IF(INDEX(ERP資料!$A:$A, (MATCH(1040, 輔助計算!$E$2:$E$801, 0)+1))="","",INDEX(ERP資料!$A:$A, (MATCH(1040, 輔助計算!$E$2:$E$801, 0)+1))), "")</f>
        <v/>
      </c>
      <c r="C1041" s="10">
        <f>IFERROR(IF(INDEX(ERP資料!$S:$S, (MATCH(1040, 輔助計算!$E$2:$E$801, 0)+1))="","",INDEX(ERP資料!$S:$S, (MATCH(1040, 輔助計算!$E$2:$E$801, 0)+1))), "")</f>
        <v/>
      </c>
      <c r="D1041" s="10">
        <f>IFERROR(IF(INDEX(ERP資料!$E:$E, (MATCH(1040, 輔助計算!$E$2:$E$801, 0)+1))="","",TRIM(INDEX(ERP資料!$E:$E, (MATCH(1040, 輔助計算!$E$2:$E$801, 0)+1)))), "")</f>
        <v/>
      </c>
      <c r="E1041" s="10">
        <f>IFERROR(IF(INDEX(ERP資料!$F:$F, (MATCH(1040, 輔助計算!$E$2:$E$801, 0)+1))="","",INDEX(ERP資料!$F:$F, (MATCH(1040, 輔助計算!$E$2:$E$801, 0)+1))), "")</f>
        <v/>
      </c>
      <c r="F1041" s="10">
        <f>IFERROR(IF(INDEX(ERP資料!$G:$G, (MATCH(1040, 輔助計算!$E$2:$E$801, 0)+1))="","",INDEX(ERP資料!$G:$G, (MATCH(1040, 輔助計算!$E$2:$E$801, 0)+1))), "")</f>
        <v/>
      </c>
      <c r="G1041" s="10">
        <f>IFERROR(IF(INDEX(ERP資料!$H:$H, (MATCH(1040, 輔助計算!$E$2:$E$801, 0)+1))="","",INDEX(ERP資料!$H:$H, (MATCH(1040, 輔助計算!$E$2:$E$801, 0)+1))), "")</f>
        <v/>
      </c>
      <c r="H1041" s="15">
        <f>IFERROR(INDEX(輔助計算!$D:$D, (MATCH(1040, 輔助計算!$E$2:$E$801, 0)+1)), "")</f>
        <v/>
      </c>
      <c r="I1041" s="10">
        <f>IFERROR(IF(INDEX(ERP資料!$O:$O, (MATCH(1040, 輔助計算!$E$2:$E$801, 0)+1))="","",INDEX(ERP資料!$O:$O, (MATCH(1040, 輔助計算!$E$2:$E$801, 0)+1))), "")</f>
        <v/>
      </c>
      <c r="J1041" s="15">
        <f>IFERROR(IF(INDEX(輔助計算!$D:$D,(MATCH(1040, 輔助計算!$E$2:$E$801, 0)+1))="","",INDEX(輔助計算!$D:$D,(MATCH(1040, 輔助計算!$E$2:$E$801, 0)+1))*INDEX(ERP資料!$O:$O,(MATCH(1040, 輔助計算!$E$2:$E$801, 0)+1))), "")</f>
        <v/>
      </c>
      <c r="K1041" s="16" t="n"/>
      <c r="L1041" s="16" t="n"/>
      <c r="M1041" s="17" t="n"/>
    </row>
  </sheetData>
  <conditionalFormatting sqref="F2:F1041">
    <cfRule type="expression" priority="1" dxfId="0">
      <formula>AND($F2&lt;&gt;"", $F2&lt;=680, $B2&lt;&gt;"")</formula>
    </cfRule>
  </conditionalFormatting>
  <conditionalFormatting sqref="G2:G1041">
    <cfRule type="expression" priority="2" dxfId="0">
      <formula>AND($G2&lt;&gt;"", $G2&lt;=680, $B2&lt;&gt;"")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7" customWidth="1" min="4" max="4"/>
    <col width="8" customWidth="1" min="5" max="5"/>
    <col width="9" customWidth="1" min="6" max="6"/>
    <col width="9" customWidth="1" min="7" max="7"/>
    <col width="7" customWidth="1" min="8" max="8"/>
    <col width="10" customWidth="1" min="9" max="9"/>
    <col width="7" customWidth="1" min="10" max="10"/>
    <col width="8" customWidth="1" min="11" max="11"/>
    <col width="22" customWidth="1" min="12" max="12"/>
    <col width="5" customWidth="1" min="13" max="13"/>
    <col width="9" customWidth="1" min="14" max="14"/>
    <col width="9" customWidth="1" min="15" max="15"/>
    <col width="8" customWidth="1" min="16" max="16"/>
    <col width="10" customWidth="1" min="17" max="17"/>
    <col width="11" customWidth="1" min="18" max="18"/>
    <col width="18" customWidth="1" min="19" max="19"/>
  </cols>
  <sheetData>
    <row r="1" ht="30" customHeight="1">
      <c r="A1" s="9" t="inlineStr">
        <is>
          <t>結關日</t>
        </is>
      </c>
      <c r="B1" s="9" t="inlineStr">
        <is>
          <t>裝櫃單號</t>
        </is>
      </c>
      <c r="C1" s="9" t="inlineStr">
        <is>
          <t>客戶</t>
        </is>
      </c>
      <c r="D1" s="9" t="inlineStr">
        <is>
          <t>紙類</t>
        </is>
      </c>
      <c r="E1" s="9" t="inlineStr">
        <is>
          <t>基重</t>
        </is>
      </c>
      <c r="F1" s="9" t="inlineStr">
        <is>
          <t>寬(mm)</t>
        </is>
      </c>
      <c r="G1" s="9" t="inlineStr">
        <is>
          <t>長(mm)</t>
        </is>
      </c>
      <c r="H1" s="9" t="inlineStr">
        <is>
          <t>束/件</t>
        </is>
      </c>
      <c r="I1" s="9" t="inlineStr">
        <is>
          <t>總束數</t>
        </is>
      </c>
      <c r="J1" s="9" t="inlineStr">
        <is>
          <t>雙生</t>
        </is>
      </c>
      <c r="K1" s="9" t="inlineStr">
        <is>
          <t>件數</t>
        </is>
      </c>
      <c r="L1" s="9" t="inlineStr">
        <is>
          <t>特殊備註</t>
        </is>
      </c>
      <c r="M1" s="9" t="inlineStr">
        <is>
          <t>✓</t>
        </is>
      </c>
      <c r="N1" s="9" t="inlineStr">
        <is>
          <t>寬(mm)</t>
        </is>
      </c>
      <c r="O1" s="9" t="inlineStr">
        <is>
          <t>長(mm)</t>
        </is>
      </c>
      <c r="P1" s="9" t="inlineStr">
        <is>
          <t>件數</t>
        </is>
      </c>
      <c r="Q1" s="9" t="inlineStr">
        <is>
          <t>狀態</t>
        </is>
      </c>
      <c r="R1" s="9" t="inlineStr">
        <is>
          <t>訂購日期</t>
        </is>
      </c>
      <c r="S1" s="9" t="inlineStr">
        <is>
          <t>備註</t>
        </is>
      </c>
    </row>
    <row r="2">
      <c r="A2" s="14">
        <f>IFERROR(IF(AND(IFERROR(INDEX(ERP資料!$A:$A, (MATCH(1, 輔助計算!$F$2:$F$801, 0)+1)), "")&lt;&gt;"", IFERROR(INDEX(ERP資料!$A:$A, (MATCH(1, 輔助計算!$F$2:$F$801, 0)+1)), "")&lt;&gt;IFERROR(INDEX(ERP資料!$A:$A, MATCH(0, 輔助計算!$F$2:$F$801, 0)+1), "")), INDEX(ERP資料!$B:$B, (MATCH(1, 輔助計算!$F$2:$F$801, 0)+1)), ""), "")</f>
        <v/>
      </c>
      <c r="B2" s="10">
        <f>IFERROR(IF(AND(IFERROR(INDEX(ERP資料!$A:$A, (MATCH(1, 輔助計算!$F$2:$F$801, 0)+1)), "")&lt;&gt;"", IFERROR(INDEX(ERP資料!$A:$A, (MATCH(1, 輔助計算!$F$2:$F$801, 0)+1)), "")&lt;&gt;IFERROR(INDEX(ERP資料!$A:$A, MATCH(0, 輔助計算!$F$2:$F$801, 0)+1), "")), IFERROR(INDEX(ERP資料!$A:$A, (MATCH(1, 輔助計算!$F$2:$F$801, 0)+1)), ""), ""), "")</f>
        <v/>
      </c>
      <c r="C2" s="10">
        <f>IFERROR(IF(AND(IFERROR(INDEX(ERP資料!$A:$A, (MATCH(1, 輔助計算!$F$2:$F$801, 0)+1)), "")&lt;&gt;"", IFERROR(INDEX(ERP資料!$A:$A, (MATCH(1, 輔助計算!$F$2:$F$801, 0)+1)), "")&lt;&gt;IFERROR(INDEX(ERP資料!$A:$A, MATCH(0, 輔助計算!$F$2:$F$801, 0)+1), "")), INDEX(ERP資料!$S:$S, (MATCH(1, 輔助計算!$F$2:$F$801, 0)+1)), ""), "")</f>
        <v/>
      </c>
      <c r="D2" s="10">
        <f>IFERROR(IF(INDEX(ERP資料!$E:$E, (MATCH(1, 輔助計算!$F$2:$F$801, 0)+1))="","",TRIM(INDEX(ERP資料!$E:$E, (MATCH(1, 輔助計算!$F$2:$F$801, 0)+1)))), "")</f>
        <v/>
      </c>
      <c r="E2" s="10">
        <f>IFERROR(IF(INDEX(ERP資料!$F:$F, (MATCH(1, 輔助計算!$F$2:$F$801, 0)+1))="","",INDEX(ERP資料!$F:$F, (MATCH(1, 輔助計算!$F$2:$F$801, 0)+1))), "")</f>
        <v/>
      </c>
      <c r="F2" s="10">
        <f>IFERROR(IF(INDEX(ERP資料!$G:$G, (MATCH(1, 輔助計算!$F$2:$F$801, 0)+1))="","",INDEX(ERP資料!$G:$G, (MATCH(1, 輔助計算!$F$2:$F$801, 0)+1))), "")</f>
        <v/>
      </c>
      <c r="G2" s="10">
        <f>IFERROR(IF(INDEX(ERP資料!$H:$H, (MATCH(1, 輔助計算!$F$2:$F$801, 0)+1))="","",INDEX(ERP資料!$H:$H, (MATCH(1, 輔助計算!$F$2:$F$801, 0)+1))), "")</f>
        <v/>
      </c>
      <c r="H2" s="10">
        <f>IFERROR(IF(INDEX(ERP資料!$O:$O, (MATCH(1, 輔助計算!$F$2:$F$801, 0)+1))="","",INDEX(ERP資料!$O:$O, (MATCH(1, 輔助計算!$F$2:$F$801, 0)+1))), "")</f>
        <v/>
      </c>
      <c r="I2" s="15">
        <f>IFERROR(IF(INDEX(輔助計算!$D:$D,(MATCH(1, 輔助計算!$F$2:$F$801, 0)+1))="","",INDEX(輔助計算!$D:$D,(MATCH(1, 輔助計算!$F$2:$F$801, 0)+1))*INDEX(ERP資料!$O:$O,(MATCH(1, 輔助計算!$F$2:$F$801, 0)+1))), "")</f>
        <v/>
      </c>
      <c r="J2" s="16" t="n"/>
      <c r="K2" s="15">
        <f>IFERROR(INDEX(輔助計算!$D:$D, (MATCH(1, 輔助計算!$F$2:$F$801, 0)+1)), "")</f>
        <v/>
      </c>
      <c r="L2" s="16">
        <f>IFERROR(IF(AND(IFERROR(VLOOKUP(LEFT(INDEX(ERP資料!$S:$S, (MATCH(1, 輔助計算!$F$2:$F$801, 0)+1)), 4), 100張客戶!$A:$A, 1, FALSE), "")&lt;&gt;"", OR(INDEX(ERP資料!$F:$F, (MATCH(1, 輔助計算!$F$2:$F$801, 0)+1))=270, INDEX(ERP資料!$F:$F, (MATCH(1, 輔助計算!$F$2:$F$801, 0)+1))=300)), "100張", ""), "")</f>
        <v/>
      </c>
      <c r="M2" s="17" t="n"/>
      <c r="N2" s="17">
        <f>IF($F2="","",$F2)</f>
        <v/>
      </c>
      <c r="O2" s="17">
        <f>IF($G2="","",$G2)</f>
        <v/>
      </c>
      <c r="P2" s="17">
        <f>IF($K2="","",$K2)</f>
        <v/>
      </c>
      <c r="Q2" s="16" t="n"/>
      <c r="R2" s="18" t="n"/>
      <c r="S2" s="16" t="n"/>
    </row>
    <row r="3">
      <c r="A3" s="14">
        <f>IFERROR(IF(AND(IFERROR(INDEX(ERP資料!$A:$A, (MATCH(2, 輔助計算!$F$2:$F$801, 0)+1)), "")&lt;&gt;"", IFERROR(INDEX(ERP資料!$A:$A, (MATCH(2, 輔助計算!$F$2:$F$801, 0)+1)), "")&lt;&gt;IFERROR(INDEX(ERP資料!$A:$A, MATCH(1, 輔助計算!$F$2:$F$801, 0)+1), "")), INDEX(ERP資料!$B:$B, (MATCH(2, 輔助計算!$F$2:$F$801, 0)+1)), ""), "")</f>
        <v/>
      </c>
      <c r="B3" s="10">
        <f>IFERROR(IF(AND(IFERROR(INDEX(ERP資料!$A:$A, (MATCH(2, 輔助計算!$F$2:$F$801, 0)+1)), "")&lt;&gt;"", IFERROR(INDEX(ERP資料!$A:$A, (MATCH(2, 輔助計算!$F$2:$F$801, 0)+1)), "")&lt;&gt;IFERROR(INDEX(ERP資料!$A:$A, MATCH(1, 輔助計算!$F$2:$F$801, 0)+1), "")), IFERROR(INDEX(ERP資料!$A:$A, (MATCH(2, 輔助計算!$F$2:$F$801, 0)+1)), ""), ""), "")</f>
        <v/>
      </c>
      <c r="C3" s="10">
        <f>IFERROR(IF(AND(IFERROR(INDEX(ERP資料!$A:$A, (MATCH(2, 輔助計算!$F$2:$F$801, 0)+1)), "")&lt;&gt;"", IFERROR(INDEX(ERP資料!$A:$A, (MATCH(2, 輔助計算!$F$2:$F$801, 0)+1)), "")&lt;&gt;IFERROR(INDEX(ERP資料!$A:$A, MATCH(1, 輔助計算!$F$2:$F$801, 0)+1), "")), INDEX(ERP資料!$S:$S, (MATCH(2, 輔助計算!$F$2:$F$801, 0)+1)), ""), "")</f>
        <v/>
      </c>
      <c r="D3" s="10">
        <f>IFERROR(IF(INDEX(ERP資料!$E:$E, (MATCH(2, 輔助計算!$F$2:$F$801, 0)+1))="","",TRIM(INDEX(ERP資料!$E:$E, (MATCH(2, 輔助計算!$F$2:$F$801, 0)+1)))), "")</f>
        <v/>
      </c>
      <c r="E3" s="10">
        <f>IFERROR(IF(INDEX(ERP資料!$F:$F, (MATCH(2, 輔助計算!$F$2:$F$801, 0)+1))="","",INDEX(ERP資料!$F:$F, (MATCH(2, 輔助計算!$F$2:$F$801, 0)+1))), "")</f>
        <v/>
      </c>
      <c r="F3" s="10">
        <f>IFERROR(IF(INDEX(ERP資料!$G:$G, (MATCH(2, 輔助計算!$F$2:$F$801, 0)+1))="","",INDEX(ERP資料!$G:$G, (MATCH(2, 輔助計算!$F$2:$F$801, 0)+1))), "")</f>
        <v/>
      </c>
      <c r="G3" s="10">
        <f>IFERROR(IF(INDEX(ERP資料!$H:$H, (MATCH(2, 輔助計算!$F$2:$F$801, 0)+1))="","",INDEX(ERP資料!$H:$H, (MATCH(2, 輔助計算!$F$2:$F$801, 0)+1))), "")</f>
        <v/>
      </c>
      <c r="H3" s="10">
        <f>IFERROR(IF(INDEX(ERP資料!$O:$O, (MATCH(2, 輔助計算!$F$2:$F$801, 0)+1))="","",INDEX(ERP資料!$O:$O, (MATCH(2, 輔助計算!$F$2:$F$801, 0)+1))), "")</f>
        <v/>
      </c>
      <c r="I3" s="15">
        <f>IFERROR(IF(INDEX(輔助計算!$D:$D,(MATCH(2, 輔助計算!$F$2:$F$801, 0)+1))="","",INDEX(輔助計算!$D:$D,(MATCH(2, 輔助計算!$F$2:$F$801, 0)+1))*INDEX(ERP資料!$O:$O,(MATCH(2, 輔助計算!$F$2:$F$801, 0)+1))), "")</f>
        <v/>
      </c>
      <c r="J3" s="16" t="n"/>
      <c r="K3" s="15">
        <f>IFERROR(INDEX(輔助計算!$D:$D, (MATCH(2, 輔助計算!$F$2:$F$801, 0)+1)), "")</f>
        <v/>
      </c>
      <c r="L3" s="16">
        <f>IFERROR(IF(AND(IFERROR(VLOOKUP(LEFT(INDEX(ERP資料!$S:$S, (MATCH(2, 輔助計算!$F$2:$F$801, 0)+1)), 4), 100張客戶!$A:$A, 1, FALSE), "")&lt;&gt;"", OR(INDEX(ERP資料!$F:$F, (MATCH(2, 輔助計算!$F$2:$F$801, 0)+1))=270, INDEX(ERP資料!$F:$F, (MATCH(2, 輔助計算!$F$2:$F$801, 0)+1))=300)), "100張", ""), "")</f>
        <v/>
      </c>
      <c r="M3" s="17" t="n"/>
      <c r="N3" s="17">
        <f>IF($F3="","",$F3)</f>
        <v/>
      </c>
      <c r="O3" s="17">
        <f>IF($G3="","",$G3)</f>
        <v/>
      </c>
      <c r="P3" s="17">
        <f>IF($K3="","",$K3)</f>
        <v/>
      </c>
      <c r="Q3" s="16" t="n"/>
      <c r="R3" s="18" t="n"/>
      <c r="S3" s="16" t="n"/>
    </row>
    <row r="4">
      <c r="A4" s="14">
        <f>IFERROR(IF(AND(IFERROR(INDEX(ERP資料!$A:$A, (MATCH(3, 輔助計算!$F$2:$F$801, 0)+1)), "")&lt;&gt;"", IFERROR(INDEX(ERP資料!$A:$A, (MATCH(3, 輔助計算!$F$2:$F$801, 0)+1)), "")&lt;&gt;IFERROR(INDEX(ERP資料!$A:$A, MATCH(2, 輔助計算!$F$2:$F$801, 0)+1), "")), INDEX(ERP資料!$B:$B, (MATCH(3, 輔助計算!$F$2:$F$801, 0)+1)), ""), "")</f>
        <v/>
      </c>
      <c r="B4" s="10">
        <f>IFERROR(IF(AND(IFERROR(INDEX(ERP資料!$A:$A, (MATCH(3, 輔助計算!$F$2:$F$801, 0)+1)), "")&lt;&gt;"", IFERROR(INDEX(ERP資料!$A:$A, (MATCH(3, 輔助計算!$F$2:$F$801, 0)+1)), "")&lt;&gt;IFERROR(INDEX(ERP資料!$A:$A, MATCH(2, 輔助計算!$F$2:$F$801, 0)+1), "")), IFERROR(INDEX(ERP資料!$A:$A, (MATCH(3, 輔助計算!$F$2:$F$801, 0)+1)), ""), ""), "")</f>
        <v/>
      </c>
      <c r="C4" s="10">
        <f>IFERROR(IF(AND(IFERROR(INDEX(ERP資料!$A:$A, (MATCH(3, 輔助計算!$F$2:$F$801, 0)+1)), "")&lt;&gt;"", IFERROR(INDEX(ERP資料!$A:$A, (MATCH(3, 輔助計算!$F$2:$F$801, 0)+1)), "")&lt;&gt;IFERROR(INDEX(ERP資料!$A:$A, MATCH(2, 輔助計算!$F$2:$F$801, 0)+1), "")), INDEX(ERP資料!$S:$S, (MATCH(3, 輔助計算!$F$2:$F$801, 0)+1)), ""), "")</f>
        <v/>
      </c>
      <c r="D4" s="10">
        <f>IFERROR(IF(INDEX(ERP資料!$E:$E, (MATCH(3, 輔助計算!$F$2:$F$801, 0)+1))="","",TRIM(INDEX(ERP資料!$E:$E, (MATCH(3, 輔助計算!$F$2:$F$801, 0)+1)))), "")</f>
        <v/>
      </c>
      <c r="E4" s="10">
        <f>IFERROR(IF(INDEX(ERP資料!$F:$F, (MATCH(3, 輔助計算!$F$2:$F$801, 0)+1))="","",INDEX(ERP資料!$F:$F, (MATCH(3, 輔助計算!$F$2:$F$801, 0)+1))), "")</f>
        <v/>
      </c>
      <c r="F4" s="10">
        <f>IFERROR(IF(INDEX(ERP資料!$G:$G, (MATCH(3, 輔助計算!$F$2:$F$801, 0)+1))="","",INDEX(ERP資料!$G:$G, (MATCH(3, 輔助計算!$F$2:$F$801, 0)+1))), "")</f>
        <v/>
      </c>
      <c r="G4" s="10">
        <f>IFERROR(IF(INDEX(ERP資料!$H:$H, (MATCH(3, 輔助計算!$F$2:$F$801, 0)+1))="","",INDEX(ERP資料!$H:$H, (MATCH(3, 輔助計算!$F$2:$F$801, 0)+1))), "")</f>
        <v/>
      </c>
      <c r="H4" s="10">
        <f>IFERROR(IF(INDEX(ERP資料!$O:$O, (MATCH(3, 輔助計算!$F$2:$F$801, 0)+1))="","",INDEX(ERP資料!$O:$O, (MATCH(3, 輔助計算!$F$2:$F$801, 0)+1))), "")</f>
        <v/>
      </c>
      <c r="I4" s="15">
        <f>IFERROR(IF(INDEX(輔助計算!$D:$D,(MATCH(3, 輔助計算!$F$2:$F$801, 0)+1))="","",INDEX(輔助計算!$D:$D,(MATCH(3, 輔助計算!$F$2:$F$801, 0)+1))*INDEX(ERP資料!$O:$O,(MATCH(3, 輔助計算!$F$2:$F$801, 0)+1))), "")</f>
        <v/>
      </c>
      <c r="J4" s="16" t="n"/>
      <c r="K4" s="15">
        <f>IFERROR(INDEX(輔助計算!$D:$D, (MATCH(3, 輔助計算!$F$2:$F$801, 0)+1)), "")</f>
        <v/>
      </c>
      <c r="L4" s="16">
        <f>IFERROR(IF(AND(IFERROR(VLOOKUP(LEFT(INDEX(ERP資料!$S:$S, (MATCH(3, 輔助計算!$F$2:$F$801, 0)+1)), 4), 100張客戶!$A:$A, 1, FALSE), "")&lt;&gt;"", OR(INDEX(ERP資料!$F:$F, (MATCH(3, 輔助計算!$F$2:$F$801, 0)+1))=270, INDEX(ERP資料!$F:$F, (MATCH(3, 輔助計算!$F$2:$F$801, 0)+1))=300)), "100張", ""), "")</f>
        <v/>
      </c>
      <c r="M4" s="17" t="n"/>
      <c r="N4" s="17">
        <f>IF($F4="","",$F4)</f>
        <v/>
      </c>
      <c r="O4" s="17">
        <f>IF($G4="","",$G4)</f>
        <v/>
      </c>
      <c r="P4" s="17">
        <f>IF($K4="","",$K4)</f>
        <v/>
      </c>
      <c r="Q4" s="16" t="n"/>
      <c r="R4" s="18" t="n"/>
      <c r="S4" s="16" t="n"/>
    </row>
    <row r="5">
      <c r="A5" s="14">
        <f>IFERROR(IF(AND(IFERROR(INDEX(ERP資料!$A:$A, (MATCH(4, 輔助計算!$F$2:$F$801, 0)+1)), "")&lt;&gt;"", IFERROR(INDEX(ERP資料!$A:$A, (MATCH(4, 輔助計算!$F$2:$F$801, 0)+1)), "")&lt;&gt;IFERROR(INDEX(ERP資料!$A:$A, MATCH(3, 輔助計算!$F$2:$F$801, 0)+1), "")), INDEX(ERP資料!$B:$B, (MATCH(4, 輔助計算!$F$2:$F$801, 0)+1)), ""), "")</f>
        <v/>
      </c>
      <c r="B5" s="10">
        <f>IFERROR(IF(AND(IFERROR(INDEX(ERP資料!$A:$A, (MATCH(4, 輔助計算!$F$2:$F$801, 0)+1)), "")&lt;&gt;"", IFERROR(INDEX(ERP資料!$A:$A, (MATCH(4, 輔助計算!$F$2:$F$801, 0)+1)), "")&lt;&gt;IFERROR(INDEX(ERP資料!$A:$A, MATCH(3, 輔助計算!$F$2:$F$801, 0)+1), "")), IFERROR(INDEX(ERP資料!$A:$A, (MATCH(4, 輔助計算!$F$2:$F$801, 0)+1)), ""), ""), "")</f>
        <v/>
      </c>
      <c r="C5" s="10">
        <f>IFERROR(IF(AND(IFERROR(INDEX(ERP資料!$A:$A, (MATCH(4, 輔助計算!$F$2:$F$801, 0)+1)), "")&lt;&gt;"", IFERROR(INDEX(ERP資料!$A:$A, (MATCH(4, 輔助計算!$F$2:$F$801, 0)+1)), "")&lt;&gt;IFERROR(INDEX(ERP資料!$A:$A, MATCH(3, 輔助計算!$F$2:$F$801, 0)+1), "")), INDEX(ERP資料!$S:$S, (MATCH(4, 輔助計算!$F$2:$F$801, 0)+1)), ""), "")</f>
        <v/>
      </c>
      <c r="D5" s="10">
        <f>IFERROR(IF(INDEX(ERP資料!$E:$E, (MATCH(4, 輔助計算!$F$2:$F$801, 0)+1))="","",TRIM(INDEX(ERP資料!$E:$E, (MATCH(4, 輔助計算!$F$2:$F$801, 0)+1)))), "")</f>
        <v/>
      </c>
      <c r="E5" s="10">
        <f>IFERROR(IF(INDEX(ERP資料!$F:$F, (MATCH(4, 輔助計算!$F$2:$F$801, 0)+1))="","",INDEX(ERP資料!$F:$F, (MATCH(4, 輔助計算!$F$2:$F$801, 0)+1))), "")</f>
        <v/>
      </c>
      <c r="F5" s="10">
        <f>IFERROR(IF(INDEX(ERP資料!$G:$G, (MATCH(4, 輔助計算!$F$2:$F$801, 0)+1))="","",INDEX(ERP資料!$G:$G, (MATCH(4, 輔助計算!$F$2:$F$801, 0)+1))), "")</f>
        <v/>
      </c>
      <c r="G5" s="10">
        <f>IFERROR(IF(INDEX(ERP資料!$H:$H, (MATCH(4, 輔助計算!$F$2:$F$801, 0)+1))="","",INDEX(ERP資料!$H:$H, (MATCH(4, 輔助計算!$F$2:$F$801, 0)+1))), "")</f>
        <v/>
      </c>
      <c r="H5" s="10">
        <f>IFERROR(IF(INDEX(ERP資料!$O:$O, (MATCH(4, 輔助計算!$F$2:$F$801, 0)+1))="","",INDEX(ERP資料!$O:$O, (MATCH(4, 輔助計算!$F$2:$F$801, 0)+1))), "")</f>
        <v/>
      </c>
      <c r="I5" s="15">
        <f>IFERROR(IF(INDEX(輔助計算!$D:$D,(MATCH(4, 輔助計算!$F$2:$F$801, 0)+1))="","",INDEX(輔助計算!$D:$D,(MATCH(4, 輔助計算!$F$2:$F$801, 0)+1))*INDEX(ERP資料!$O:$O,(MATCH(4, 輔助計算!$F$2:$F$801, 0)+1))), "")</f>
        <v/>
      </c>
      <c r="J5" s="16" t="n"/>
      <c r="K5" s="15">
        <f>IFERROR(INDEX(輔助計算!$D:$D, (MATCH(4, 輔助計算!$F$2:$F$801, 0)+1)), "")</f>
        <v/>
      </c>
      <c r="L5" s="16">
        <f>IFERROR(IF(AND(IFERROR(VLOOKUP(LEFT(INDEX(ERP資料!$S:$S, (MATCH(4, 輔助計算!$F$2:$F$801, 0)+1)), 4), 100張客戶!$A:$A, 1, FALSE), "")&lt;&gt;"", OR(INDEX(ERP資料!$F:$F, (MATCH(4, 輔助計算!$F$2:$F$801, 0)+1))=270, INDEX(ERP資料!$F:$F, (MATCH(4, 輔助計算!$F$2:$F$801, 0)+1))=300)), "100張", ""), "")</f>
        <v/>
      </c>
      <c r="M5" s="17" t="n"/>
      <c r="N5" s="17">
        <f>IF($F5="","",$F5)</f>
        <v/>
      </c>
      <c r="O5" s="17">
        <f>IF($G5="","",$G5)</f>
        <v/>
      </c>
      <c r="P5" s="17">
        <f>IF($K5="","",$K5)</f>
        <v/>
      </c>
      <c r="Q5" s="16" t="n"/>
      <c r="R5" s="18" t="n"/>
      <c r="S5" s="16" t="n"/>
    </row>
    <row r="6">
      <c r="A6" s="14">
        <f>IFERROR(IF(AND(IFERROR(INDEX(ERP資料!$A:$A, (MATCH(5, 輔助計算!$F$2:$F$801, 0)+1)), "")&lt;&gt;"", IFERROR(INDEX(ERP資料!$A:$A, (MATCH(5, 輔助計算!$F$2:$F$801, 0)+1)), "")&lt;&gt;IFERROR(INDEX(ERP資料!$A:$A, MATCH(4, 輔助計算!$F$2:$F$801, 0)+1), "")), INDEX(ERP資料!$B:$B, (MATCH(5, 輔助計算!$F$2:$F$801, 0)+1)), ""), "")</f>
        <v/>
      </c>
      <c r="B6" s="10">
        <f>IFERROR(IF(AND(IFERROR(INDEX(ERP資料!$A:$A, (MATCH(5, 輔助計算!$F$2:$F$801, 0)+1)), "")&lt;&gt;"", IFERROR(INDEX(ERP資料!$A:$A, (MATCH(5, 輔助計算!$F$2:$F$801, 0)+1)), "")&lt;&gt;IFERROR(INDEX(ERP資料!$A:$A, MATCH(4, 輔助計算!$F$2:$F$801, 0)+1), "")), IFERROR(INDEX(ERP資料!$A:$A, (MATCH(5, 輔助計算!$F$2:$F$801, 0)+1)), ""), ""), "")</f>
        <v/>
      </c>
      <c r="C6" s="10">
        <f>IFERROR(IF(AND(IFERROR(INDEX(ERP資料!$A:$A, (MATCH(5, 輔助計算!$F$2:$F$801, 0)+1)), "")&lt;&gt;"", IFERROR(INDEX(ERP資料!$A:$A, (MATCH(5, 輔助計算!$F$2:$F$801, 0)+1)), "")&lt;&gt;IFERROR(INDEX(ERP資料!$A:$A, MATCH(4, 輔助計算!$F$2:$F$801, 0)+1), "")), INDEX(ERP資料!$S:$S, (MATCH(5, 輔助計算!$F$2:$F$801, 0)+1)), ""), "")</f>
        <v/>
      </c>
      <c r="D6" s="10">
        <f>IFERROR(IF(INDEX(ERP資料!$E:$E, (MATCH(5, 輔助計算!$F$2:$F$801, 0)+1))="","",TRIM(INDEX(ERP資料!$E:$E, (MATCH(5, 輔助計算!$F$2:$F$801, 0)+1)))), "")</f>
        <v/>
      </c>
      <c r="E6" s="10">
        <f>IFERROR(IF(INDEX(ERP資料!$F:$F, (MATCH(5, 輔助計算!$F$2:$F$801, 0)+1))="","",INDEX(ERP資料!$F:$F, (MATCH(5, 輔助計算!$F$2:$F$801, 0)+1))), "")</f>
        <v/>
      </c>
      <c r="F6" s="10">
        <f>IFERROR(IF(INDEX(ERP資料!$G:$G, (MATCH(5, 輔助計算!$F$2:$F$801, 0)+1))="","",INDEX(ERP資料!$G:$G, (MATCH(5, 輔助計算!$F$2:$F$801, 0)+1))), "")</f>
        <v/>
      </c>
      <c r="G6" s="10">
        <f>IFERROR(IF(INDEX(ERP資料!$H:$H, (MATCH(5, 輔助計算!$F$2:$F$801, 0)+1))="","",INDEX(ERP資料!$H:$H, (MATCH(5, 輔助計算!$F$2:$F$801, 0)+1))), "")</f>
        <v/>
      </c>
      <c r="H6" s="10">
        <f>IFERROR(IF(INDEX(ERP資料!$O:$O, (MATCH(5, 輔助計算!$F$2:$F$801, 0)+1))="","",INDEX(ERP資料!$O:$O, (MATCH(5, 輔助計算!$F$2:$F$801, 0)+1))), "")</f>
        <v/>
      </c>
      <c r="I6" s="15">
        <f>IFERROR(IF(INDEX(輔助計算!$D:$D,(MATCH(5, 輔助計算!$F$2:$F$801, 0)+1))="","",INDEX(輔助計算!$D:$D,(MATCH(5, 輔助計算!$F$2:$F$801, 0)+1))*INDEX(ERP資料!$O:$O,(MATCH(5, 輔助計算!$F$2:$F$801, 0)+1))), "")</f>
        <v/>
      </c>
      <c r="J6" s="16" t="n"/>
      <c r="K6" s="15">
        <f>IFERROR(INDEX(輔助計算!$D:$D, (MATCH(5, 輔助計算!$F$2:$F$801, 0)+1)), "")</f>
        <v/>
      </c>
      <c r="L6" s="16">
        <f>IFERROR(IF(AND(IFERROR(VLOOKUP(LEFT(INDEX(ERP資料!$S:$S, (MATCH(5, 輔助計算!$F$2:$F$801, 0)+1)), 4), 100張客戶!$A:$A, 1, FALSE), "")&lt;&gt;"", OR(INDEX(ERP資料!$F:$F, (MATCH(5, 輔助計算!$F$2:$F$801, 0)+1))=270, INDEX(ERP資料!$F:$F, (MATCH(5, 輔助計算!$F$2:$F$801, 0)+1))=300)), "100張", ""), "")</f>
        <v/>
      </c>
      <c r="M6" s="17" t="n"/>
      <c r="N6" s="17">
        <f>IF($F6="","",$F6)</f>
        <v/>
      </c>
      <c r="O6" s="17">
        <f>IF($G6="","",$G6)</f>
        <v/>
      </c>
      <c r="P6" s="17">
        <f>IF($K6="","",$K6)</f>
        <v/>
      </c>
      <c r="Q6" s="16" t="n"/>
      <c r="R6" s="18" t="n"/>
      <c r="S6" s="16" t="n"/>
    </row>
    <row r="7">
      <c r="A7" s="14">
        <f>IFERROR(IF(AND(IFERROR(INDEX(ERP資料!$A:$A, (MATCH(6, 輔助計算!$F$2:$F$801, 0)+1)), "")&lt;&gt;"", IFERROR(INDEX(ERP資料!$A:$A, (MATCH(6, 輔助計算!$F$2:$F$801, 0)+1)), "")&lt;&gt;IFERROR(INDEX(ERP資料!$A:$A, MATCH(5, 輔助計算!$F$2:$F$801, 0)+1), "")), INDEX(ERP資料!$B:$B, (MATCH(6, 輔助計算!$F$2:$F$801, 0)+1)), ""), "")</f>
        <v/>
      </c>
      <c r="B7" s="10">
        <f>IFERROR(IF(AND(IFERROR(INDEX(ERP資料!$A:$A, (MATCH(6, 輔助計算!$F$2:$F$801, 0)+1)), "")&lt;&gt;"", IFERROR(INDEX(ERP資料!$A:$A, (MATCH(6, 輔助計算!$F$2:$F$801, 0)+1)), "")&lt;&gt;IFERROR(INDEX(ERP資料!$A:$A, MATCH(5, 輔助計算!$F$2:$F$801, 0)+1), "")), IFERROR(INDEX(ERP資料!$A:$A, (MATCH(6, 輔助計算!$F$2:$F$801, 0)+1)), ""), ""), "")</f>
        <v/>
      </c>
      <c r="C7" s="10">
        <f>IFERROR(IF(AND(IFERROR(INDEX(ERP資料!$A:$A, (MATCH(6, 輔助計算!$F$2:$F$801, 0)+1)), "")&lt;&gt;"", IFERROR(INDEX(ERP資料!$A:$A, (MATCH(6, 輔助計算!$F$2:$F$801, 0)+1)), "")&lt;&gt;IFERROR(INDEX(ERP資料!$A:$A, MATCH(5, 輔助計算!$F$2:$F$801, 0)+1), "")), INDEX(ERP資料!$S:$S, (MATCH(6, 輔助計算!$F$2:$F$801, 0)+1)), ""), "")</f>
        <v/>
      </c>
      <c r="D7" s="10">
        <f>IFERROR(IF(INDEX(ERP資料!$E:$E, (MATCH(6, 輔助計算!$F$2:$F$801, 0)+1))="","",TRIM(INDEX(ERP資料!$E:$E, (MATCH(6, 輔助計算!$F$2:$F$801, 0)+1)))), "")</f>
        <v/>
      </c>
      <c r="E7" s="10">
        <f>IFERROR(IF(INDEX(ERP資料!$F:$F, (MATCH(6, 輔助計算!$F$2:$F$801, 0)+1))="","",INDEX(ERP資料!$F:$F, (MATCH(6, 輔助計算!$F$2:$F$801, 0)+1))), "")</f>
        <v/>
      </c>
      <c r="F7" s="10">
        <f>IFERROR(IF(INDEX(ERP資料!$G:$G, (MATCH(6, 輔助計算!$F$2:$F$801, 0)+1))="","",INDEX(ERP資料!$G:$G, (MATCH(6, 輔助計算!$F$2:$F$801, 0)+1))), "")</f>
        <v/>
      </c>
      <c r="G7" s="10">
        <f>IFERROR(IF(INDEX(ERP資料!$H:$H, (MATCH(6, 輔助計算!$F$2:$F$801, 0)+1))="","",INDEX(ERP資料!$H:$H, (MATCH(6, 輔助計算!$F$2:$F$801, 0)+1))), "")</f>
        <v/>
      </c>
      <c r="H7" s="10">
        <f>IFERROR(IF(INDEX(ERP資料!$O:$O, (MATCH(6, 輔助計算!$F$2:$F$801, 0)+1))="","",INDEX(ERP資料!$O:$O, (MATCH(6, 輔助計算!$F$2:$F$801, 0)+1))), "")</f>
        <v/>
      </c>
      <c r="I7" s="15">
        <f>IFERROR(IF(INDEX(輔助計算!$D:$D,(MATCH(6, 輔助計算!$F$2:$F$801, 0)+1))="","",INDEX(輔助計算!$D:$D,(MATCH(6, 輔助計算!$F$2:$F$801, 0)+1))*INDEX(ERP資料!$O:$O,(MATCH(6, 輔助計算!$F$2:$F$801, 0)+1))), "")</f>
        <v/>
      </c>
      <c r="J7" s="16" t="n"/>
      <c r="K7" s="15">
        <f>IFERROR(INDEX(輔助計算!$D:$D, (MATCH(6, 輔助計算!$F$2:$F$801, 0)+1)), "")</f>
        <v/>
      </c>
      <c r="L7" s="16">
        <f>IFERROR(IF(AND(IFERROR(VLOOKUP(LEFT(INDEX(ERP資料!$S:$S, (MATCH(6, 輔助計算!$F$2:$F$801, 0)+1)), 4), 100張客戶!$A:$A, 1, FALSE), "")&lt;&gt;"", OR(INDEX(ERP資料!$F:$F, (MATCH(6, 輔助計算!$F$2:$F$801, 0)+1))=270, INDEX(ERP資料!$F:$F, (MATCH(6, 輔助計算!$F$2:$F$801, 0)+1))=300)), "100張", ""), "")</f>
        <v/>
      </c>
      <c r="M7" s="17" t="n"/>
      <c r="N7" s="17">
        <f>IF($F7="","",$F7)</f>
        <v/>
      </c>
      <c r="O7" s="17">
        <f>IF($G7="","",$G7)</f>
        <v/>
      </c>
      <c r="P7" s="17">
        <f>IF($K7="","",$K7)</f>
        <v/>
      </c>
      <c r="Q7" s="16" t="n"/>
      <c r="R7" s="18" t="n"/>
      <c r="S7" s="16" t="n"/>
    </row>
    <row r="8">
      <c r="A8" s="14">
        <f>IFERROR(IF(AND(IFERROR(INDEX(ERP資料!$A:$A, (MATCH(7, 輔助計算!$F$2:$F$801, 0)+1)), "")&lt;&gt;"", IFERROR(INDEX(ERP資料!$A:$A, (MATCH(7, 輔助計算!$F$2:$F$801, 0)+1)), "")&lt;&gt;IFERROR(INDEX(ERP資料!$A:$A, MATCH(6, 輔助計算!$F$2:$F$801, 0)+1), "")), INDEX(ERP資料!$B:$B, (MATCH(7, 輔助計算!$F$2:$F$801, 0)+1)), ""), "")</f>
        <v/>
      </c>
      <c r="B8" s="10">
        <f>IFERROR(IF(AND(IFERROR(INDEX(ERP資料!$A:$A, (MATCH(7, 輔助計算!$F$2:$F$801, 0)+1)), "")&lt;&gt;"", IFERROR(INDEX(ERP資料!$A:$A, (MATCH(7, 輔助計算!$F$2:$F$801, 0)+1)), "")&lt;&gt;IFERROR(INDEX(ERP資料!$A:$A, MATCH(6, 輔助計算!$F$2:$F$801, 0)+1), "")), IFERROR(INDEX(ERP資料!$A:$A, (MATCH(7, 輔助計算!$F$2:$F$801, 0)+1)), ""), ""), "")</f>
        <v/>
      </c>
      <c r="C8" s="10">
        <f>IFERROR(IF(AND(IFERROR(INDEX(ERP資料!$A:$A, (MATCH(7, 輔助計算!$F$2:$F$801, 0)+1)), "")&lt;&gt;"", IFERROR(INDEX(ERP資料!$A:$A, (MATCH(7, 輔助計算!$F$2:$F$801, 0)+1)), "")&lt;&gt;IFERROR(INDEX(ERP資料!$A:$A, MATCH(6, 輔助計算!$F$2:$F$801, 0)+1), "")), INDEX(ERP資料!$S:$S, (MATCH(7, 輔助計算!$F$2:$F$801, 0)+1)), ""), "")</f>
        <v/>
      </c>
      <c r="D8" s="10">
        <f>IFERROR(IF(INDEX(ERP資料!$E:$E, (MATCH(7, 輔助計算!$F$2:$F$801, 0)+1))="","",TRIM(INDEX(ERP資料!$E:$E, (MATCH(7, 輔助計算!$F$2:$F$801, 0)+1)))), "")</f>
        <v/>
      </c>
      <c r="E8" s="10">
        <f>IFERROR(IF(INDEX(ERP資料!$F:$F, (MATCH(7, 輔助計算!$F$2:$F$801, 0)+1))="","",INDEX(ERP資料!$F:$F, (MATCH(7, 輔助計算!$F$2:$F$801, 0)+1))), "")</f>
        <v/>
      </c>
      <c r="F8" s="10">
        <f>IFERROR(IF(INDEX(ERP資料!$G:$G, (MATCH(7, 輔助計算!$F$2:$F$801, 0)+1))="","",INDEX(ERP資料!$G:$G, (MATCH(7, 輔助計算!$F$2:$F$801, 0)+1))), "")</f>
        <v/>
      </c>
      <c r="G8" s="10">
        <f>IFERROR(IF(INDEX(ERP資料!$H:$H, (MATCH(7, 輔助計算!$F$2:$F$801, 0)+1))="","",INDEX(ERP資料!$H:$H, (MATCH(7, 輔助計算!$F$2:$F$801, 0)+1))), "")</f>
        <v/>
      </c>
      <c r="H8" s="10">
        <f>IFERROR(IF(INDEX(ERP資料!$O:$O, (MATCH(7, 輔助計算!$F$2:$F$801, 0)+1))="","",INDEX(ERP資料!$O:$O, (MATCH(7, 輔助計算!$F$2:$F$801, 0)+1))), "")</f>
        <v/>
      </c>
      <c r="I8" s="15">
        <f>IFERROR(IF(INDEX(輔助計算!$D:$D,(MATCH(7, 輔助計算!$F$2:$F$801, 0)+1))="","",INDEX(輔助計算!$D:$D,(MATCH(7, 輔助計算!$F$2:$F$801, 0)+1))*INDEX(ERP資料!$O:$O,(MATCH(7, 輔助計算!$F$2:$F$801, 0)+1))), "")</f>
        <v/>
      </c>
      <c r="J8" s="16" t="n"/>
      <c r="K8" s="15">
        <f>IFERROR(INDEX(輔助計算!$D:$D, (MATCH(7, 輔助計算!$F$2:$F$801, 0)+1)), "")</f>
        <v/>
      </c>
      <c r="L8" s="16">
        <f>IFERROR(IF(AND(IFERROR(VLOOKUP(LEFT(INDEX(ERP資料!$S:$S, (MATCH(7, 輔助計算!$F$2:$F$801, 0)+1)), 4), 100張客戶!$A:$A, 1, FALSE), "")&lt;&gt;"", OR(INDEX(ERP資料!$F:$F, (MATCH(7, 輔助計算!$F$2:$F$801, 0)+1))=270, INDEX(ERP資料!$F:$F, (MATCH(7, 輔助計算!$F$2:$F$801, 0)+1))=300)), "100張", ""), "")</f>
        <v/>
      </c>
      <c r="M8" s="17" t="n"/>
      <c r="N8" s="17">
        <f>IF($F8="","",$F8)</f>
        <v/>
      </c>
      <c r="O8" s="17">
        <f>IF($G8="","",$G8)</f>
        <v/>
      </c>
      <c r="P8" s="17">
        <f>IF($K8="","",$K8)</f>
        <v/>
      </c>
      <c r="Q8" s="16" t="n"/>
      <c r="R8" s="18" t="n"/>
      <c r="S8" s="16" t="n"/>
    </row>
    <row r="9">
      <c r="A9" s="14">
        <f>IFERROR(IF(AND(IFERROR(INDEX(ERP資料!$A:$A, (MATCH(8, 輔助計算!$F$2:$F$801, 0)+1)), "")&lt;&gt;"", IFERROR(INDEX(ERP資料!$A:$A, (MATCH(8, 輔助計算!$F$2:$F$801, 0)+1)), "")&lt;&gt;IFERROR(INDEX(ERP資料!$A:$A, MATCH(7, 輔助計算!$F$2:$F$801, 0)+1), "")), INDEX(ERP資料!$B:$B, (MATCH(8, 輔助計算!$F$2:$F$801, 0)+1)), ""), "")</f>
        <v/>
      </c>
      <c r="B9" s="10">
        <f>IFERROR(IF(AND(IFERROR(INDEX(ERP資料!$A:$A, (MATCH(8, 輔助計算!$F$2:$F$801, 0)+1)), "")&lt;&gt;"", IFERROR(INDEX(ERP資料!$A:$A, (MATCH(8, 輔助計算!$F$2:$F$801, 0)+1)), "")&lt;&gt;IFERROR(INDEX(ERP資料!$A:$A, MATCH(7, 輔助計算!$F$2:$F$801, 0)+1), "")), IFERROR(INDEX(ERP資料!$A:$A, (MATCH(8, 輔助計算!$F$2:$F$801, 0)+1)), ""), ""), "")</f>
        <v/>
      </c>
      <c r="C9" s="10">
        <f>IFERROR(IF(AND(IFERROR(INDEX(ERP資料!$A:$A, (MATCH(8, 輔助計算!$F$2:$F$801, 0)+1)), "")&lt;&gt;"", IFERROR(INDEX(ERP資料!$A:$A, (MATCH(8, 輔助計算!$F$2:$F$801, 0)+1)), "")&lt;&gt;IFERROR(INDEX(ERP資料!$A:$A, MATCH(7, 輔助計算!$F$2:$F$801, 0)+1), "")), INDEX(ERP資料!$S:$S, (MATCH(8, 輔助計算!$F$2:$F$801, 0)+1)), ""), "")</f>
        <v/>
      </c>
      <c r="D9" s="10">
        <f>IFERROR(IF(INDEX(ERP資料!$E:$E, (MATCH(8, 輔助計算!$F$2:$F$801, 0)+1))="","",TRIM(INDEX(ERP資料!$E:$E, (MATCH(8, 輔助計算!$F$2:$F$801, 0)+1)))), "")</f>
        <v/>
      </c>
      <c r="E9" s="10">
        <f>IFERROR(IF(INDEX(ERP資料!$F:$F, (MATCH(8, 輔助計算!$F$2:$F$801, 0)+1))="","",INDEX(ERP資料!$F:$F, (MATCH(8, 輔助計算!$F$2:$F$801, 0)+1))), "")</f>
        <v/>
      </c>
      <c r="F9" s="10">
        <f>IFERROR(IF(INDEX(ERP資料!$G:$G, (MATCH(8, 輔助計算!$F$2:$F$801, 0)+1))="","",INDEX(ERP資料!$G:$G, (MATCH(8, 輔助計算!$F$2:$F$801, 0)+1))), "")</f>
        <v/>
      </c>
      <c r="G9" s="10">
        <f>IFERROR(IF(INDEX(ERP資料!$H:$H, (MATCH(8, 輔助計算!$F$2:$F$801, 0)+1))="","",INDEX(ERP資料!$H:$H, (MATCH(8, 輔助計算!$F$2:$F$801, 0)+1))), "")</f>
        <v/>
      </c>
      <c r="H9" s="10">
        <f>IFERROR(IF(INDEX(ERP資料!$O:$O, (MATCH(8, 輔助計算!$F$2:$F$801, 0)+1))="","",INDEX(ERP資料!$O:$O, (MATCH(8, 輔助計算!$F$2:$F$801, 0)+1))), "")</f>
        <v/>
      </c>
      <c r="I9" s="15">
        <f>IFERROR(IF(INDEX(輔助計算!$D:$D,(MATCH(8, 輔助計算!$F$2:$F$801, 0)+1))="","",INDEX(輔助計算!$D:$D,(MATCH(8, 輔助計算!$F$2:$F$801, 0)+1))*INDEX(ERP資料!$O:$O,(MATCH(8, 輔助計算!$F$2:$F$801, 0)+1))), "")</f>
        <v/>
      </c>
      <c r="J9" s="16" t="n"/>
      <c r="K9" s="15">
        <f>IFERROR(INDEX(輔助計算!$D:$D, (MATCH(8, 輔助計算!$F$2:$F$801, 0)+1)), "")</f>
        <v/>
      </c>
      <c r="L9" s="16">
        <f>IFERROR(IF(AND(IFERROR(VLOOKUP(LEFT(INDEX(ERP資料!$S:$S, (MATCH(8, 輔助計算!$F$2:$F$801, 0)+1)), 4), 100張客戶!$A:$A, 1, FALSE), "")&lt;&gt;"", OR(INDEX(ERP資料!$F:$F, (MATCH(8, 輔助計算!$F$2:$F$801, 0)+1))=270, INDEX(ERP資料!$F:$F, (MATCH(8, 輔助計算!$F$2:$F$801, 0)+1))=300)), "100張", ""), "")</f>
        <v/>
      </c>
      <c r="M9" s="17" t="n"/>
      <c r="N9" s="17">
        <f>IF($F9="","",$F9)</f>
        <v/>
      </c>
      <c r="O9" s="17">
        <f>IF($G9="","",$G9)</f>
        <v/>
      </c>
      <c r="P9" s="17">
        <f>IF($K9="","",$K9)</f>
        <v/>
      </c>
      <c r="Q9" s="16" t="n"/>
      <c r="R9" s="18" t="n"/>
      <c r="S9" s="16" t="n"/>
    </row>
    <row r="10">
      <c r="A10" s="14">
        <f>IFERROR(IF(AND(IFERROR(INDEX(ERP資料!$A:$A, (MATCH(9, 輔助計算!$F$2:$F$801, 0)+1)), "")&lt;&gt;"", IFERROR(INDEX(ERP資料!$A:$A, (MATCH(9, 輔助計算!$F$2:$F$801, 0)+1)), "")&lt;&gt;IFERROR(INDEX(ERP資料!$A:$A, MATCH(8, 輔助計算!$F$2:$F$801, 0)+1), "")), INDEX(ERP資料!$B:$B, (MATCH(9, 輔助計算!$F$2:$F$801, 0)+1)), ""), "")</f>
        <v/>
      </c>
      <c r="B10" s="10">
        <f>IFERROR(IF(AND(IFERROR(INDEX(ERP資料!$A:$A, (MATCH(9, 輔助計算!$F$2:$F$801, 0)+1)), "")&lt;&gt;"", IFERROR(INDEX(ERP資料!$A:$A, (MATCH(9, 輔助計算!$F$2:$F$801, 0)+1)), "")&lt;&gt;IFERROR(INDEX(ERP資料!$A:$A, MATCH(8, 輔助計算!$F$2:$F$801, 0)+1), "")), IFERROR(INDEX(ERP資料!$A:$A, (MATCH(9, 輔助計算!$F$2:$F$801, 0)+1)), ""), ""), "")</f>
        <v/>
      </c>
      <c r="C10" s="10">
        <f>IFERROR(IF(AND(IFERROR(INDEX(ERP資料!$A:$A, (MATCH(9, 輔助計算!$F$2:$F$801, 0)+1)), "")&lt;&gt;"", IFERROR(INDEX(ERP資料!$A:$A, (MATCH(9, 輔助計算!$F$2:$F$801, 0)+1)), "")&lt;&gt;IFERROR(INDEX(ERP資料!$A:$A, MATCH(8, 輔助計算!$F$2:$F$801, 0)+1), "")), INDEX(ERP資料!$S:$S, (MATCH(9, 輔助計算!$F$2:$F$801, 0)+1)), ""), "")</f>
        <v/>
      </c>
      <c r="D10" s="10">
        <f>IFERROR(IF(INDEX(ERP資料!$E:$E, (MATCH(9, 輔助計算!$F$2:$F$801, 0)+1))="","",TRIM(INDEX(ERP資料!$E:$E, (MATCH(9, 輔助計算!$F$2:$F$801, 0)+1)))), "")</f>
        <v/>
      </c>
      <c r="E10" s="10">
        <f>IFERROR(IF(INDEX(ERP資料!$F:$F, (MATCH(9, 輔助計算!$F$2:$F$801, 0)+1))="","",INDEX(ERP資料!$F:$F, (MATCH(9, 輔助計算!$F$2:$F$801, 0)+1))), "")</f>
        <v/>
      </c>
      <c r="F10" s="10">
        <f>IFERROR(IF(INDEX(ERP資料!$G:$G, (MATCH(9, 輔助計算!$F$2:$F$801, 0)+1))="","",INDEX(ERP資料!$G:$G, (MATCH(9, 輔助計算!$F$2:$F$801, 0)+1))), "")</f>
        <v/>
      </c>
      <c r="G10" s="10">
        <f>IFERROR(IF(INDEX(ERP資料!$H:$H, (MATCH(9, 輔助計算!$F$2:$F$801, 0)+1))="","",INDEX(ERP資料!$H:$H, (MATCH(9, 輔助計算!$F$2:$F$801, 0)+1))), "")</f>
        <v/>
      </c>
      <c r="H10" s="10">
        <f>IFERROR(IF(INDEX(ERP資料!$O:$O, (MATCH(9, 輔助計算!$F$2:$F$801, 0)+1))="","",INDEX(ERP資料!$O:$O, (MATCH(9, 輔助計算!$F$2:$F$801, 0)+1))), "")</f>
        <v/>
      </c>
      <c r="I10" s="15">
        <f>IFERROR(IF(INDEX(輔助計算!$D:$D,(MATCH(9, 輔助計算!$F$2:$F$801, 0)+1))="","",INDEX(輔助計算!$D:$D,(MATCH(9, 輔助計算!$F$2:$F$801, 0)+1))*INDEX(ERP資料!$O:$O,(MATCH(9, 輔助計算!$F$2:$F$801, 0)+1))), "")</f>
        <v/>
      </c>
      <c r="J10" s="16" t="n"/>
      <c r="K10" s="15">
        <f>IFERROR(INDEX(輔助計算!$D:$D, (MATCH(9, 輔助計算!$F$2:$F$801, 0)+1)), "")</f>
        <v/>
      </c>
      <c r="L10" s="16">
        <f>IFERROR(IF(AND(IFERROR(VLOOKUP(LEFT(INDEX(ERP資料!$S:$S, (MATCH(9, 輔助計算!$F$2:$F$801, 0)+1)), 4), 100張客戶!$A:$A, 1, FALSE), "")&lt;&gt;"", OR(INDEX(ERP資料!$F:$F, (MATCH(9, 輔助計算!$F$2:$F$801, 0)+1))=270, INDEX(ERP資料!$F:$F, (MATCH(9, 輔助計算!$F$2:$F$801, 0)+1))=300)), "100張", ""), "")</f>
        <v/>
      </c>
      <c r="M10" s="17" t="n"/>
      <c r="N10" s="17">
        <f>IF($F10="","",$F10)</f>
        <v/>
      </c>
      <c r="O10" s="17">
        <f>IF($G10="","",$G10)</f>
        <v/>
      </c>
      <c r="P10" s="17">
        <f>IF($K10="","",$K10)</f>
        <v/>
      </c>
      <c r="Q10" s="16" t="n"/>
      <c r="R10" s="18" t="n"/>
      <c r="S10" s="16" t="n"/>
    </row>
    <row r="11">
      <c r="A11" s="14">
        <f>IFERROR(IF(AND(IFERROR(INDEX(ERP資料!$A:$A, (MATCH(10, 輔助計算!$F$2:$F$801, 0)+1)), "")&lt;&gt;"", IFERROR(INDEX(ERP資料!$A:$A, (MATCH(10, 輔助計算!$F$2:$F$801, 0)+1)), "")&lt;&gt;IFERROR(INDEX(ERP資料!$A:$A, MATCH(9, 輔助計算!$F$2:$F$801, 0)+1), "")), INDEX(ERP資料!$B:$B, (MATCH(10, 輔助計算!$F$2:$F$801, 0)+1)), ""), "")</f>
        <v/>
      </c>
      <c r="B11" s="10">
        <f>IFERROR(IF(AND(IFERROR(INDEX(ERP資料!$A:$A, (MATCH(10, 輔助計算!$F$2:$F$801, 0)+1)), "")&lt;&gt;"", IFERROR(INDEX(ERP資料!$A:$A, (MATCH(10, 輔助計算!$F$2:$F$801, 0)+1)), "")&lt;&gt;IFERROR(INDEX(ERP資料!$A:$A, MATCH(9, 輔助計算!$F$2:$F$801, 0)+1), "")), IFERROR(INDEX(ERP資料!$A:$A, (MATCH(10, 輔助計算!$F$2:$F$801, 0)+1)), ""), ""), "")</f>
        <v/>
      </c>
      <c r="C11" s="10">
        <f>IFERROR(IF(AND(IFERROR(INDEX(ERP資料!$A:$A, (MATCH(10, 輔助計算!$F$2:$F$801, 0)+1)), "")&lt;&gt;"", IFERROR(INDEX(ERP資料!$A:$A, (MATCH(10, 輔助計算!$F$2:$F$801, 0)+1)), "")&lt;&gt;IFERROR(INDEX(ERP資料!$A:$A, MATCH(9, 輔助計算!$F$2:$F$801, 0)+1), "")), INDEX(ERP資料!$S:$S, (MATCH(10, 輔助計算!$F$2:$F$801, 0)+1)), ""), "")</f>
        <v/>
      </c>
      <c r="D11" s="10">
        <f>IFERROR(IF(INDEX(ERP資料!$E:$E, (MATCH(10, 輔助計算!$F$2:$F$801, 0)+1))="","",TRIM(INDEX(ERP資料!$E:$E, (MATCH(10, 輔助計算!$F$2:$F$801, 0)+1)))), "")</f>
        <v/>
      </c>
      <c r="E11" s="10">
        <f>IFERROR(IF(INDEX(ERP資料!$F:$F, (MATCH(10, 輔助計算!$F$2:$F$801, 0)+1))="","",INDEX(ERP資料!$F:$F, (MATCH(10, 輔助計算!$F$2:$F$801, 0)+1))), "")</f>
        <v/>
      </c>
      <c r="F11" s="10">
        <f>IFERROR(IF(INDEX(ERP資料!$G:$G, (MATCH(10, 輔助計算!$F$2:$F$801, 0)+1))="","",INDEX(ERP資料!$G:$G, (MATCH(10, 輔助計算!$F$2:$F$801, 0)+1))), "")</f>
        <v/>
      </c>
      <c r="G11" s="10">
        <f>IFERROR(IF(INDEX(ERP資料!$H:$H, (MATCH(10, 輔助計算!$F$2:$F$801, 0)+1))="","",INDEX(ERP資料!$H:$H, (MATCH(10, 輔助計算!$F$2:$F$801, 0)+1))), "")</f>
        <v/>
      </c>
      <c r="H11" s="10">
        <f>IFERROR(IF(INDEX(ERP資料!$O:$O, (MATCH(10, 輔助計算!$F$2:$F$801, 0)+1))="","",INDEX(ERP資料!$O:$O, (MATCH(10, 輔助計算!$F$2:$F$801, 0)+1))), "")</f>
        <v/>
      </c>
      <c r="I11" s="15">
        <f>IFERROR(IF(INDEX(輔助計算!$D:$D,(MATCH(10, 輔助計算!$F$2:$F$801, 0)+1))="","",INDEX(輔助計算!$D:$D,(MATCH(10, 輔助計算!$F$2:$F$801, 0)+1))*INDEX(ERP資料!$O:$O,(MATCH(10, 輔助計算!$F$2:$F$801, 0)+1))), "")</f>
        <v/>
      </c>
      <c r="J11" s="16" t="n"/>
      <c r="K11" s="15">
        <f>IFERROR(INDEX(輔助計算!$D:$D, (MATCH(10, 輔助計算!$F$2:$F$801, 0)+1)), "")</f>
        <v/>
      </c>
      <c r="L11" s="16">
        <f>IFERROR(IF(AND(IFERROR(VLOOKUP(LEFT(INDEX(ERP資料!$S:$S, (MATCH(10, 輔助計算!$F$2:$F$801, 0)+1)), 4), 100張客戶!$A:$A, 1, FALSE), "")&lt;&gt;"", OR(INDEX(ERP資料!$F:$F, (MATCH(10, 輔助計算!$F$2:$F$801, 0)+1))=270, INDEX(ERP資料!$F:$F, (MATCH(10, 輔助計算!$F$2:$F$801, 0)+1))=300)), "100張", ""), "")</f>
        <v/>
      </c>
      <c r="M11" s="17" t="n"/>
      <c r="N11" s="17">
        <f>IF($F11="","",$F11)</f>
        <v/>
      </c>
      <c r="O11" s="17">
        <f>IF($G11="","",$G11)</f>
        <v/>
      </c>
      <c r="P11" s="17">
        <f>IF($K11="","",$K11)</f>
        <v/>
      </c>
      <c r="Q11" s="16" t="n"/>
      <c r="R11" s="18" t="n"/>
      <c r="S11" s="16" t="n"/>
    </row>
    <row r="12">
      <c r="A12" s="14">
        <f>IFERROR(IF(AND(IFERROR(INDEX(ERP資料!$A:$A, (MATCH(11, 輔助計算!$F$2:$F$801, 0)+1)), "")&lt;&gt;"", IFERROR(INDEX(ERP資料!$A:$A, (MATCH(11, 輔助計算!$F$2:$F$801, 0)+1)), "")&lt;&gt;IFERROR(INDEX(ERP資料!$A:$A, MATCH(10, 輔助計算!$F$2:$F$801, 0)+1), "")), INDEX(ERP資料!$B:$B, (MATCH(11, 輔助計算!$F$2:$F$801, 0)+1)), ""), "")</f>
        <v/>
      </c>
      <c r="B12" s="10">
        <f>IFERROR(IF(AND(IFERROR(INDEX(ERP資料!$A:$A, (MATCH(11, 輔助計算!$F$2:$F$801, 0)+1)), "")&lt;&gt;"", IFERROR(INDEX(ERP資料!$A:$A, (MATCH(11, 輔助計算!$F$2:$F$801, 0)+1)), "")&lt;&gt;IFERROR(INDEX(ERP資料!$A:$A, MATCH(10, 輔助計算!$F$2:$F$801, 0)+1), "")), IFERROR(INDEX(ERP資料!$A:$A, (MATCH(11, 輔助計算!$F$2:$F$801, 0)+1)), ""), ""), "")</f>
        <v/>
      </c>
      <c r="C12" s="10">
        <f>IFERROR(IF(AND(IFERROR(INDEX(ERP資料!$A:$A, (MATCH(11, 輔助計算!$F$2:$F$801, 0)+1)), "")&lt;&gt;"", IFERROR(INDEX(ERP資料!$A:$A, (MATCH(11, 輔助計算!$F$2:$F$801, 0)+1)), "")&lt;&gt;IFERROR(INDEX(ERP資料!$A:$A, MATCH(10, 輔助計算!$F$2:$F$801, 0)+1), "")), INDEX(ERP資料!$S:$S, (MATCH(11, 輔助計算!$F$2:$F$801, 0)+1)), ""), "")</f>
        <v/>
      </c>
      <c r="D12" s="10">
        <f>IFERROR(IF(INDEX(ERP資料!$E:$E, (MATCH(11, 輔助計算!$F$2:$F$801, 0)+1))="","",TRIM(INDEX(ERP資料!$E:$E, (MATCH(11, 輔助計算!$F$2:$F$801, 0)+1)))), "")</f>
        <v/>
      </c>
      <c r="E12" s="10">
        <f>IFERROR(IF(INDEX(ERP資料!$F:$F, (MATCH(11, 輔助計算!$F$2:$F$801, 0)+1))="","",INDEX(ERP資料!$F:$F, (MATCH(11, 輔助計算!$F$2:$F$801, 0)+1))), "")</f>
        <v/>
      </c>
      <c r="F12" s="10">
        <f>IFERROR(IF(INDEX(ERP資料!$G:$G, (MATCH(11, 輔助計算!$F$2:$F$801, 0)+1))="","",INDEX(ERP資料!$G:$G, (MATCH(11, 輔助計算!$F$2:$F$801, 0)+1))), "")</f>
        <v/>
      </c>
      <c r="G12" s="10">
        <f>IFERROR(IF(INDEX(ERP資料!$H:$H, (MATCH(11, 輔助計算!$F$2:$F$801, 0)+1))="","",INDEX(ERP資料!$H:$H, (MATCH(11, 輔助計算!$F$2:$F$801, 0)+1))), "")</f>
        <v/>
      </c>
      <c r="H12" s="10">
        <f>IFERROR(IF(INDEX(ERP資料!$O:$O, (MATCH(11, 輔助計算!$F$2:$F$801, 0)+1))="","",INDEX(ERP資料!$O:$O, (MATCH(11, 輔助計算!$F$2:$F$801, 0)+1))), "")</f>
        <v/>
      </c>
      <c r="I12" s="15">
        <f>IFERROR(IF(INDEX(輔助計算!$D:$D,(MATCH(11, 輔助計算!$F$2:$F$801, 0)+1))="","",INDEX(輔助計算!$D:$D,(MATCH(11, 輔助計算!$F$2:$F$801, 0)+1))*INDEX(ERP資料!$O:$O,(MATCH(11, 輔助計算!$F$2:$F$801, 0)+1))), "")</f>
        <v/>
      </c>
      <c r="J12" s="16" t="n"/>
      <c r="K12" s="15">
        <f>IFERROR(INDEX(輔助計算!$D:$D, (MATCH(11, 輔助計算!$F$2:$F$801, 0)+1)), "")</f>
        <v/>
      </c>
      <c r="L12" s="16">
        <f>IFERROR(IF(AND(IFERROR(VLOOKUP(LEFT(INDEX(ERP資料!$S:$S, (MATCH(11, 輔助計算!$F$2:$F$801, 0)+1)), 4), 100張客戶!$A:$A, 1, FALSE), "")&lt;&gt;"", OR(INDEX(ERP資料!$F:$F, (MATCH(11, 輔助計算!$F$2:$F$801, 0)+1))=270, INDEX(ERP資料!$F:$F, (MATCH(11, 輔助計算!$F$2:$F$801, 0)+1))=300)), "100張", ""), "")</f>
        <v/>
      </c>
      <c r="M12" s="17" t="n"/>
      <c r="N12" s="17">
        <f>IF($F12="","",$F12)</f>
        <v/>
      </c>
      <c r="O12" s="17">
        <f>IF($G12="","",$G12)</f>
        <v/>
      </c>
      <c r="P12" s="17">
        <f>IF($K12="","",$K12)</f>
        <v/>
      </c>
      <c r="Q12" s="16" t="n"/>
      <c r="R12" s="18" t="n"/>
      <c r="S12" s="16" t="n"/>
    </row>
    <row r="13">
      <c r="A13" s="14">
        <f>IFERROR(IF(AND(IFERROR(INDEX(ERP資料!$A:$A, (MATCH(12, 輔助計算!$F$2:$F$801, 0)+1)), "")&lt;&gt;"", IFERROR(INDEX(ERP資料!$A:$A, (MATCH(12, 輔助計算!$F$2:$F$801, 0)+1)), "")&lt;&gt;IFERROR(INDEX(ERP資料!$A:$A, MATCH(11, 輔助計算!$F$2:$F$801, 0)+1), "")), INDEX(ERP資料!$B:$B, (MATCH(12, 輔助計算!$F$2:$F$801, 0)+1)), ""), "")</f>
        <v/>
      </c>
      <c r="B13" s="10">
        <f>IFERROR(IF(AND(IFERROR(INDEX(ERP資料!$A:$A, (MATCH(12, 輔助計算!$F$2:$F$801, 0)+1)), "")&lt;&gt;"", IFERROR(INDEX(ERP資料!$A:$A, (MATCH(12, 輔助計算!$F$2:$F$801, 0)+1)), "")&lt;&gt;IFERROR(INDEX(ERP資料!$A:$A, MATCH(11, 輔助計算!$F$2:$F$801, 0)+1), "")), IFERROR(INDEX(ERP資料!$A:$A, (MATCH(12, 輔助計算!$F$2:$F$801, 0)+1)), ""), ""), "")</f>
        <v/>
      </c>
      <c r="C13" s="10">
        <f>IFERROR(IF(AND(IFERROR(INDEX(ERP資料!$A:$A, (MATCH(12, 輔助計算!$F$2:$F$801, 0)+1)), "")&lt;&gt;"", IFERROR(INDEX(ERP資料!$A:$A, (MATCH(12, 輔助計算!$F$2:$F$801, 0)+1)), "")&lt;&gt;IFERROR(INDEX(ERP資料!$A:$A, MATCH(11, 輔助計算!$F$2:$F$801, 0)+1), "")), INDEX(ERP資料!$S:$S, (MATCH(12, 輔助計算!$F$2:$F$801, 0)+1)), ""), "")</f>
        <v/>
      </c>
      <c r="D13" s="10">
        <f>IFERROR(IF(INDEX(ERP資料!$E:$E, (MATCH(12, 輔助計算!$F$2:$F$801, 0)+1))="","",TRIM(INDEX(ERP資料!$E:$E, (MATCH(12, 輔助計算!$F$2:$F$801, 0)+1)))), "")</f>
        <v/>
      </c>
      <c r="E13" s="10">
        <f>IFERROR(IF(INDEX(ERP資料!$F:$F, (MATCH(12, 輔助計算!$F$2:$F$801, 0)+1))="","",INDEX(ERP資料!$F:$F, (MATCH(12, 輔助計算!$F$2:$F$801, 0)+1))), "")</f>
        <v/>
      </c>
      <c r="F13" s="10">
        <f>IFERROR(IF(INDEX(ERP資料!$G:$G, (MATCH(12, 輔助計算!$F$2:$F$801, 0)+1))="","",INDEX(ERP資料!$G:$G, (MATCH(12, 輔助計算!$F$2:$F$801, 0)+1))), "")</f>
        <v/>
      </c>
      <c r="G13" s="10">
        <f>IFERROR(IF(INDEX(ERP資料!$H:$H, (MATCH(12, 輔助計算!$F$2:$F$801, 0)+1))="","",INDEX(ERP資料!$H:$H, (MATCH(12, 輔助計算!$F$2:$F$801, 0)+1))), "")</f>
        <v/>
      </c>
      <c r="H13" s="10">
        <f>IFERROR(IF(INDEX(ERP資料!$O:$O, (MATCH(12, 輔助計算!$F$2:$F$801, 0)+1))="","",INDEX(ERP資料!$O:$O, (MATCH(12, 輔助計算!$F$2:$F$801, 0)+1))), "")</f>
        <v/>
      </c>
      <c r="I13" s="15">
        <f>IFERROR(IF(INDEX(輔助計算!$D:$D,(MATCH(12, 輔助計算!$F$2:$F$801, 0)+1))="","",INDEX(輔助計算!$D:$D,(MATCH(12, 輔助計算!$F$2:$F$801, 0)+1))*INDEX(ERP資料!$O:$O,(MATCH(12, 輔助計算!$F$2:$F$801, 0)+1))), "")</f>
        <v/>
      </c>
      <c r="J13" s="16" t="n"/>
      <c r="K13" s="15">
        <f>IFERROR(INDEX(輔助計算!$D:$D, (MATCH(12, 輔助計算!$F$2:$F$801, 0)+1)), "")</f>
        <v/>
      </c>
      <c r="L13" s="16">
        <f>IFERROR(IF(AND(IFERROR(VLOOKUP(LEFT(INDEX(ERP資料!$S:$S, (MATCH(12, 輔助計算!$F$2:$F$801, 0)+1)), 4), 100張客戶!$A:$A, 1, FALSE), "")&lt;&gt;"", OR(INDEX(ERP資料!$F:$F, (MATCH(12, 輔助計算!$F$2:$F$801, 0)+1))=270, INDEX(ERP資料!$F:$F, (MATCH(12, 輔助計算!$F$2:$F$801, 0)+1))=300)), "100張", ""), "")</f>
        <v/>
      </c>
      <c r="M13" s="17" t="n"/>
      <c r="N13" s="17">
        <f>IF($F13="","",$F13)</f>
        <v/>
      </c>
      <c r="O13" s="17">
        <f>IF($G13="","",$G13)</f>
        <v/>
      </c>
      <c r="P13" s="17">
        <f>IF($K13="","",$K13)</f>
        <v/>
      </c>
      <c r="Q13" s="16" t="n"/>
      <c r="R13" s="18" t="n"/>
      <c r="S13" s="16" t="n"/>
    </row>
    <row r="14">
      <c r="A14" s="14">
        <f>IFERROR(IF(AND(IFERROR(INDEX(ERP資料!$A:$A, (MATCH(13, 輔助計算!$F$2:$F$801, 0)+1)), "")&lt;&gt;"", IFERROR(INDEX(ERP資料!$A:$A, (MATCH(13, 輔助計算!$F$2:$F$801, 0)+1)), "")&lt;&gt;IFERROR(INDEX(ERP資料!$A:$A, MATCH(12, 輔助計算!$F$2:$F$801, 0)+1), "")), INDEX(ERP資料!$B:$B, (MATCH(13, 輔助計算!$F$2:$F$801, 0)+1)), ""), "")</f>
        <v/>
      </c>
      <c r="B14" s="10">
        <f>IFERROR(IF(AND(IFERROR(INDEX(ERP資料!$A:$A, (MATCH(13, 輔助計算!$F$2:$F$801, 0)+1)), "")&lt;&gt;"", IFERROR(INDEX(ERP資料!$A:$A, (MATCH(13, 輔助計算!$F$2:$F$801, 0)+1)), "")&lt;&gt;IFERROR(INDEX(ERP資料!$A:$A, MATCH(12, 輔助計算!$F$2:$F$801, 0)+1), "")), IFERROR(INDEX(ERP資料!$A:$A, (MATCH(13, 輔助計算!$F$2:$F$801, 0)+1)), ""), ""), "")</f>
        <v/>
      </c>
      <c r="C14" s="10">
        <f>IFERROR(IF(AND(IFERROR(INDEX(ERP資料!$A:$A, (MATCH(13, 輔助計算!$F$2:$F$801, 0)+1)), "")&lt;&gt;"", IFERROR(INDEX(ERP資料!$A:$A, (MATCH(13, 輔助計算!$F$2:$F$801, 0)+1)), "")&lt;&gt;IFERROR(INDEX(ERP資料!$A:$A, MATCH(12, 輔助計算!$F$2:$F$801, 0)+1), "")), INDEX(ERP資料!$S:$S, (MATCH(13, 輔助計算!$F$2:$F$801, 0)+1)), ""), "")</f>
        <v/>
      </c>
      <c r="D14" s="10">
        <f>IFERROR(IF(INDEX(ERP資料!$E:$E, (MATCH(13, 輔助計算!$F$2:$F$801, 0)+1))="","",TRIM(INDEX(ERP資料!$E:$E, (MATCH(13, 輔助計算!$F$2:$F$801, 0)+1)))), "")</f>
        <v/>
      </c>
      <c r="E14" s="10">
        <f>IFERROR(IF(INDEX(ERP資料!$F:$F, (MATCH(13, 輔助計算!$F$2:$F$801, 0)+1))="","",INDEX(ERP資料!$F:$F, (MATCH(13, 輔助計算!$F$2:$F$801, 0)+1))), "")</f>
        <v/>
      </c>
      <c r="F14" s="10">
        <f>IFERROR(IF(INDEX(ERP資料!$G:$G, (MATCH(13, 輔助計算!$F$2:$F$801, 0)+1))="","",INDEX(ERP資料!$G:$G, (MATCH(13, 輔助計算!$F$2:$F$801, 0)+1))), "")</f>
        <v/>
      </c>
      <c r="G14" s="10">
        <f>IFERROR(IF(INDEX(ERP資料!$H:$H, (MATCH(13, 輔助計算!$F$2:$F$801, 0)+1))="","",INDEX(ERP資料!$H:$H, (MATCH(13, 輔助計算!$F$2:$F$801, 0)+1))), "")</f>
        <v/>
      </c>
      <c r="H14" s="10">
        <f>IFERROR(IF(INDEX(ERP資料!$O:$O, (MATCH(13, 輔助計算!$F$2:$F$801, 0)+1))="","",INDEX(ERP資料!$O:$O, (MATCH(13, 輔助計算!$F$2:$F$801, 0)+1))), "")</f>
        <v/>
      </c>
      <c r="I14" s="15">
        <f>IFERROR(IF(INDEX(輔助計算!$D:$D,(MATCH(13, 輔助計算!$F$2:$F$801, 0)+1))="","",INDEX(輔助計算!$D:$D,(MATCH(13, 輔助計算!$F$2:$F$801, 0)+1))*INDEX(ERP資料!$O:$O,(MATCH(13, 輔助計算!$F$2:$F$801, 0)+1))), "")</f>
        <v/>
      </c>
      <c r="J14" s="16" t="n"/>
      <c r="K14" s="15">
        <f>IFERROR(INDEX(輔助計算!$D:$D, (MATCH(13, 輔助計算!$F$2:$F$801, 0)+1)), "")</f>
        <v/>
      </c>
      <c r="L14" s="16">
        <f>IFERROR(IF(AND(IFERROR(VLOOKUP(LEFT(INDEX(ERP資料!$S:$S, (MATCH(13, 輔助計算!$F$2:$F$801, 0)+1)), 4), 100張客戶!$A:$A, 1, FALSE), "")&lt;&gt;"", OR(INDEX(ERP資料!$F:$F, (MATCH(13, 輔助計算!$F$2:$F$801, 0)+1))=270, INDEX(ERP資料!$F:$F, (MATCH(13, 輔助計算!$F$2:$F$801, 0)+1))=300)), "100張", ""), "")</f>
        <v/>
      </c>
      <c r="M14" s="17" t="n"/>
      <c r="N14" s="17">
        <f>IF($F14="","",$F14)</f>
        <v/>
      </c>
      <c r="O14" s="17">
        <f>IF($G14="","",$G14)</f>
        <v/>
      </c>
      <c r="P14" s="17">
        <f>IF($K14="","",$K14)</f>
        <v/>
      </c>
      <c r="Q14" s="16" t="n"/>
      <c r="R14" s="18" t="n"/>
      <c r="S14" s="16" t="n"/>
    </row>
    <row r="15">
      <c r="A15" s="14">
        <f>IFERROR(IF(AND(IFERROR(INDEX(ERP資料!$A:$A, (MATCH(14, 輔助計算!$F$2:$F$801, 0)+1)), "")&lt;&gt;"", IFERROR(INDEX(ERP資料!$A:$A, (MATCH(14, 輔助計算!$F$2:$F$801, 0)+1)), "")&lt;&gt;IFERROR(INDEX(ERP資料!$A:$A, MATCH(13, 輔助計算!$F$2:$F$801, 0)+1), "")), INDEX(ERP資料!$B:$B, (MATCH(14, 輔助計算!$F$2:$F$801, 0)+1)), ""), "")</f>
        <v/>
      </c>
      <c r="B15" s="10">
        <f>IFERROR(IF(AND(IFERROR(INDEX(ERP資料!$A:$A, (MATCH(14, 輔助計算!$F$2:$F$801, 0)+1)), "")&lt;&gt;"", IFERROR(INDEX(ERP資料!$A:$A, (MATCH(14, 輔助計算!$F$2:$F$801, 0)+1)), "")&lt;&gt;IFERROR(INDEX(ERP資料!$A:$A, MATCH(13, 輔助計算!$F$2:$F$801, 0)+1), "")), IFERROR(INDEX(ERP資料!$A:$A, (MATCH(14, 輔助計算!$F$2:$F$801, 0)+1)), ""), ""), "")</f>
        <v/>
      </c>
      <c r="C15" s="10">
        <f>IFERROR(IF(AND(IFERROR(INDEX(ERP資料!$A:$A, (MATCH(14, 輔助計算!$F$2:$F$801, 0)+1)), "")&lt;&gt;"", IFERROR(INDEX(ERP資料!$A:$A, (MATCH(14, 輔助計算!$F$2:$F$801, 0)+1)), "")&lt;&gt;IFERROR(INDEX(ERP資料!$A:$A, MATCH(13, 輔助計算!$F$2:$F$801, 0)+1), "")), INDEX(ERP資料!$S:$S, (MATCH(14, 輔助計算!$F$2:$F$801, 0)+1)), ""), "")</f>
        <v/>
      </c>
      <c r="D15" s="10">
        <f>IFERROR(IF(INDEX(ERP資料!$E:$E, (MATCH(14, 輔助計算!$F$2:$F$801, 0)+1))="","",TRIM(INDEX(ERP資料!$E:$E, (MATCH(14, 輔助計算!$F$2:$F$801, 0)+1)))), "")</f>
        <v/>
      </c>
      <c r="E15" s="10">
        <f>IFERROR(IF(INDEX(ERP資料!$F:$F, (MATCH(14, 輔助計算!$F$2:$F$801, 0)+1))="","",INDEX(ERP資料!$F:$F, (MATCH(14, 輔助計算!$F$2:$F$801, 0)+1))), "")</f>
        <v/>
      </c>
      <c r="F15" s="10">
        <f>IFERROR(IF(INDEX(ERP資料!$G:$G, (MATCH(14, 輔助計算!$F$2:$F$801, 0)+1))="","",INDEX(ERP資料!$G:$G, (MATCH(14, 輔助計算!$F$2:$F$801, 0)+1))), "")</f>
        <v/>
      </c>
      <c r="G15" s="10">
        <f>IFERROR(IF(INDEX(ERP資料!$H:$H, (MATCH(14, 輔助計算!$F$2:$F$801, 0)+1))="","",INDEX(ERP資料!$H:$H, (MATCH(14, 輔助計算!$F$2:$F$801, 0)+1))), "")</f>
        <v/>
      </c>
      <c r="H15" s="10">
        <f>IFERROR(IF(INDEX(ERP資料!$O:$O, (MATCH(14, 輔助計算!$F$2:$F$801, 0)+1))="","",INDEX(ERP資料!$O:$O, (MATCH(14, 輔助計算!$F$2:$F$801, 0)+1))), "")</f>
        <v/>
      </c>
      <c r="I15" s="15">
        <f>IFERROR(IF(INDEX(輔助計算!$D:$D,(MATCH(14, 輔助計算!$F$2:$F$801, 0)+1))="","",INDEX(輔助計算!$D:$D,(MATCH(14, 輔助計算!$F$2:$F$801, 0)+1))*INDEX(ERP資料!$O:$O,(MATCH(14, 輔助計算!$F$2:$F$801, 0)+1))), "")</f>
        <v/>
      </c>
      <c r="J15" s="16" t="n"/>
      <c r="K15" s="15">
        <f>IFERROR(INDEX(輔助計算!$D:$D, (MATCH(14, 輔助計算!$F$2:$F$801, 0)+1)), "")</f>
        <v/>
      </c>
      <c r="L15" s="16">
        <f>IFERROR(IF(AND(IFERROR(VLOOKUP(LEFT(INDEX(ERP資料!$S:$S, (MATCH(14, 輔助計算!$F$2:$F$801, 0)+1)), 4), 100張客戶!$A:$A, 1, FALSE), "")&lt;&gt;"", OR(INDEX(ERP資料!$F:$F, (MATCH(14, 輔助計算!$F$2:$F$801, 0)+1))=270, INDEX(ERP資料!$F:$F, (MATCH(14, 輔助計算!$F$2:$F$801, 0)+1))=300)), "100張", ""), "")</f>
        <v/>
      </c>
      <c r="M15" s="17" t="n"/>
      <c r="N15" s="17">
        <f>IF($F15="","",$F15)</f>
        <v/>
      </c>
      <c r="O15" s="17">
        <f>IF($G15="","",$G15)</f>
        <v/>
      </c>
      <c r="P15" s="17">
        <f>IF($K15="","",$K15)</f>
        <v/>
      </c>
      <c r="Q15" s="16" t="n"/>
      <c r="R15" s="18" t="n"/>
      <c r="S15" s="16" t="n"/>
    </row>
    <row r="16">
      <c r="A16" s="14">
        <f>IFERROR(IF(AND(IFERROR(INDEX(ERP資料!$A:$A, (MATCH(15, 輔助計算!$F$2:$F$801, 0)+1)), "")&lt;&gt;"", IFERROR(INDEX(ERP資料!$A:$A, (MATCH(15, 輔助計算!$F$2:$F$801, 0)+1)), "")&lt;&gt;IFERROR(INDEX(ERP資料!$A:$A, MATCH(14, 輔助計算!$F$2:$F$801, 0)+1), "")), INDEX(ERP資料!$B:$B, (MATCH(15, 輔助計算!$F$2:$F$801, 0)+1)), ""), "")</f>
        <v/>
      </c>
      <c r="B16" s="10">
        <f>IFERROR(IF(AND(IFERROR(INDEX(ERP資料!$A:$A, (MATCH(15, 輔助計算!$F$2:$F$801, 0)+1)), "")&lt;&gt;"", IFERROR(INDEX(ERP資料!$A:$A, (MATCH(15, 輔助計算!$F$2:$F$801, 0)+1)), "")&lt;&gt;IFERROR(INDEX(ERP資料!$A:$A, MATCH(14, 輔助計算!$F$2:$F$801, 0)+1), "")), IFERROR(INDEX(ERP資料!$A:$A, (MATCH(15, 輔助計算!$F$2:$F$801, 0)+1)), ""), ""), "")</f>
        <v/>
      </c>
      <c r="C16" s="10">
        <f>IFERROR(IF(AND(IFERROR(INDEX(ERP資料!$A:$A, (MATCH(15, 輔助計算!$F$2:$F$801, 0)+1)), "")&lt;&gt;"", IFERROR(INDEX(ERP資料!$A:$A, (MATCH(15, 輔助計算!$F$2:$F$801, 0)+1)), "")&lt;&gt;IFERROR(INDEX(ERP資料!$A:$A, MATCH(14, 輔助計算!$F$2:$F$801, 0)+1), "")), INDEX(ERP資料!$S:$S, (MATCH(15, 輔助計算!$F$2:$F$801, 0)+1)), ""), "")</f>
        <v/>
      </c>
      <c r="D16" s="10">
        <f>IFERROR(IF(INDEX(ERP資料!$E:$E, (MATCH(15, 輔助計算!$F$2:$F$801, 0)+1))="","",TRIM(INDEX(ERP資料!$E:$E, (MATCH(15, 輔助計算!$F$2:$F$801, 0)+1)))), "")</f>
        <v/>
      </c>
      <c r="E16" s="10">
        <f>IFERROR(IF(INDEX(ERP資料!$F:$F, (MATCH(15, 輔助計算!$F$2:$F$801, 0)+1))="","",INDEX(ERP資料!$F:$F, (MATCH(15, 輔助計算!$F$2:$F$801, 0)+1))), "")</f>
        <v/>
      </c>
      <c r="F16" s="10">
        <f>IFERROR(IF(INDEX(ERP資料!$G:$G, (MATCH(15, 輔助計算!$F$2:$F$801, 0)+1))="","",INDEX(ERP資料!$G:$G, (MATCH(15, 輔助計算!$F$2:$F$801, 0)+1))), "")</f>
        <v/>
      </c>
      <c r="G16" s="10">
        <f>IFERROR(IF(INDEX(ERP資料!$H:$H, (MATCH(15, 輔助計算!$F$2:$F$801, 0)+1))="","",INDEX(ERP資料!$H:$H, (MATCH(15, 輔助計算!$F$2:$F$801, 0)+1))), "")</f>
        <v/>
      </c>
      <c r="H16" s="10">
        <f>IFERROR(IF(INDEX(ERP資料!$O:$O, (MATCH(15, 輔助計算!$F$2:$F$801, 0)+1))="","",INDEX(ERP資料!$O:$O, (MATCH(15, 輔助計算!$F$2:$F$801, 0)+1))), "")</f>
        <v/>
      </c>
      <c r="I16" s="15">
        <f>IFERROR(IF(INDEX(輔助計算!$D:$D,(MATCH(15, 輔助計算!$F$2:$F$801, 0)+1))="","",INDEX(輔助計算!$D:$D,(MATCH(15, 輔助計算!$F$2:$F$801, 0)+1))*INDEX(ERP資料!$O:$O,(MATCH(15, 輔助計算!$F$2:$F$801, 0)+1))), "")</f>
        <v/>
      </c>
      <c r="J16" s="16" t="n"/>
      <c r="K16" s="15">
        <f>IFERROR(INDEX(輔助計算!$D:$D, (MATCH(15, 輔助計算!$F$2:$F$801, 0)+1)), "")</f>
        <v/>
      </c>
      <c r="L16" s="16">
        <f>IFERROR(IF(AND(IFERROR(VLOOKUP(LEFT(INDEX(ERP資料!$S:$S, (MATCH(15, 輔助計算!$F$2:$F$801, 0)+1)), 4), 100張客戶!$A:$A, 1, FALSE), "")&lt;&gt;"", OR(INDEX(ERP資料!$F:$F, (MATCH(15, 輔助計算!$F$2:$F$801, 0)+1))=270, INDEX(ERP資料!$F:$F, (MATCH(15, 輔助計算!$F$2:$F$801, 0)+1))=300)), "100張", ""), "")</f>
        <v/>
      </c>
      <c r="M16" s="17" t="n"/>
      <c r="N16" s="17">
        <f>IF($F16="","",$F16)</f>
        <v/>
      </c>
      <c r="O16" s="17">
        <f>IF($G16="","",$G16)</f>
        <v/>
      </c>
      <c r="P16" s="17">
        <f>IF($K16="","",$K16)</f>
        <v/>
      </c>
      <c r="Q16" s="16" t="n"/>
      <c r="R16" s="18" t="n"/>
      <c r="S16" s="16" t="n"/>
    </row>
    <row r="17">
      <c r="A17" s="14">
        <f>IFERROR(IF(AND(IFERROR(INDEX(ERP資料!$A:$A, (MATCH(16, 輔助計算!$F$2:$F$801, 0)+1)), "")&lt;&gt;"", IFERROR(INDEX(ERP資料!$A:$A, (MATCH(16, 輔助計算!$F$2:$F$801, 0)+1)), "")&lt;&gt;IFERROR(INDEX(ERP資料!$A:$A, MATCH(15, 輔助計算!$F$2:$F$801, 0)+1), "")), INDEX(ERP資料!$B:$B, (MATCH(16, 輔助計算!$F$2:$F$801, 0)+1)), ""), "")</f>
        <v/>
      </c>
      <c r="B17" s="10">
        <f>IFERROR(IF(AND(IFERROR(INDEX(ERP資料!$A:$A, (MATCH(16, 輔助計算!$F$2:$F$801, 0)+1)), "")&lt;&gt;"", IFERROR(INDEX(ERP資料!$A:$A, (MATCH(16, 輔助計算!$F$2:$F$801, 0)+1)), "")&lt;&gt;IFERROR(INDEX(ERP資料!$A:$A, MATCH(15, 輔助計算!$F$2:$F$801, 0)+1), "")), IFERROR(INDEX(ERP資料!$A:$A, (MATCH(16, 輔助計算!$F$2:$F$801, 0)+1)), ""), ""), "")</f>
        <v/>
      </c>
      <c r="C17" s="10">
        <f>IFERROR(IF(AND(IFERROR(INDEX(ERP資料!$A:$A, (MATCH(16, 輔助計算!$F$2:$F$801, 0)+1)), "")&lt;&gt;"", IFERROR(INDEX(ERP資料!$A:$A, (MATCH(16, 輔助計算!$F$2:$F$801, 0)+1)), "")&lt;&gt;IFERROR(INDEX(ERP資料!$A:$A, MATCH(15, 輔助計算!$F$2:$F$801, 0)+1), "")), INDEX(ERP資料!$S:$S, (MATCH(16, 輔助計算!$F$2:$F$801, 0)+1)), ""), "")</f>
        <v/>
      </c>
      <c r="D17" s="10">
        <f>IFERROR(IF(INDEX(ERP資料!$E:$E, (MATCH(16, 輔助計算!$F$2:$F$801, 0)+1))="","",TRIM(INDEX(ERP資料!$E:$E, (MATCH(16, 輔助計算!$F$2:$F$801, 0)+1)))), "")</f>
        <v/>
      </c>
      <c r="E17" s="10">
        <f>IFERROR(IF(INDEX(ERP資料!$F:$F, (MATCH(16, 輔助計算!$F$2:$F$801, 0)+1))="","",INDEX(ERP資料!$F:$F, (MATCH(16, 輔助計算!$F$2:$F$801, 0)+1))), "")</f>
        <v/>
      </c>
      <c r="F17" s="10">
        <f>IFERROR(IF(INDEX(ERP資料!$G:$G, (MATCH(16, 輔助計算!$F$2:$F$801, 0)+1))="","",INDEX(ERP資料!$G:$G, (MATCH(16, 輔助計算!$F$2:$F$801, 0)+1))), "")</f>
        <v/>
      </c>
      <c r="G17" s="10">
        <f>IFERROR(IF(INDEX(ERP資料!$H:$H, (MATCH(16, 輔助計算!$F$2:$F$801, 0)+1))="","",INDEX(ERP資料!$H:$H, (MATCH(16, 輔助計算!$F$2:$F$801, 0)+1))), "")</f>
        <v/>
      </c>
      <c r="H17" s="10">
        <f>IFERROR(IF(INDEX(ERP資料!$O:$O, (MATCH(16, 輔助計算!$F$2:$F$801, 0)+1))="","",INDEX(ERP資料!$O:$O, (MATCH(16, 輔助計算!$F$2:$F$801, 0)+1))), "")</f>
        <v/>
      </c>
      <c r="I17" s="15">
        <f>IFERROR(IF(INDEX(輔助計算!$D:$D,(MATCH(16, 輔助計算!$F$2:$F$801, 0)+1))="","",INDEX(輔助計算!$D:$D,(MATCH(16, 輔助計算!$F$2:$F$801, 0)+1))*INDEX(ERP資料!$O:$O,(MATCH(16, 輔助計算!$F$2:$F$801, 0)+1))), "")</f>
        <v/>
      </c>
      <c r="J17" s="16" t="n"/>
      <c r="K17" s="15">
        <f>IFERROR(INDEX(輔助計算!$D:$D, (MATCH(16, 輔助計算!$F$2:$F$801, 0)+1)), "")</f>
        <v/>
      </c>
      <c r="L17" s="16">
        <f>IFERROR(IF(AND(IFERROR(VLOOKUP(LEFT(INDEX(ERP資料!$S:$S, (MATCH(16, 輔助計算!$F$2:$F$801, 0)+1)), 4), 100張客戶!$A:$A, 1, FALSE), "")&lt;&gt;"", OR(INDEX(ERP資料!$F:$F, (MATCH(16, 輔助計算!$F$2:$F$801, 0)+1))=270, INDEX(ERP資料!$F:$F, (MATCH(16, 輔助計算!$F$2:$F$801, 0)+1))=300)), "100張", ""), "")</f>
        <v/>
      </c>
      <c r="M17" s="17" t="n"/>
      <c r="N17" s="17">
        <f>IF($F17="","",$F17)</f>
        <v/>
      </c>
      <c r="O17" s="17">
        <f>IF($G17="","",$G17)</f>
        <v/>
      </c>
      <c r="P17" s="17">
        <f>IF($K17="","",$K17)</f>
        <v/>
      </c>
      <c r="Q17" s="16" t="n"/>
      <c r="R17" s="18" t="n"/>
      <c r="S17" s="16" t="n"/>
    </row>
    <row r="18">
      <c r="A18" s="14">
        <f>IFERROR(IF(AND(IFERROR(INDEX(ERP資料!$A:$A, (MATCH(17, 輔助計算!$F$2:$F$801, 0)+1)), "")&lt;&gt;"", IFERROR(INDEX(ERP資料!$A:$A, (MATCH(17, 輔助計算!$F$2:$F$801, 0)+1)), "")&lt;&gt;IFERROR(INDEX(ERP資料!$A:$A, MATCH(16, 輔助計算!$F$2:$F$801, 0)+1), "")), INDEX(ERP資料!$B:$B, (MATCH(17, 輔助計算!$F$2:$F$801, 0)+1)), ""), "")</f>
        <v/>
      </c>
      <c r="B18" s="10">
        <f>IFERROR(IF(AND(IFERROR(INDEX(ERP資料!$A:$A, (MATCH(17, 輔助計算!$F$2:$F$801, 0)+1)), "")&lt;&gt;"", IFERROR(INDEX(ERP資料!$A:$A, (MATCH(17, 輔助計算!$F$2:$F$801, 0)+1)), "")&lt;&gt;IFERROR(INDEX(ERP資料!$A:$A, MATCH(16, 輔助計算!$F$2:$F$801, 0)+1), "")), IFERROR(INDEX(ERP資料!$A:$A, (MATCH(17, 輔助計算!$F$2:$F$801, 0)+1)), ""), ""), "")</f>
        <v/>
      </c>
      <c r="C18" s="10">
        <f>IFERROR(IF(AND(IFERROR(INDEX(ERP資料!$A:$A, (MATCH(17, 輔助計算!$F$2:$F$801, 0)+1)), "")&lt;&gt;"", IFERROR(INDEX(ERP資料!$A:$A, (MATCH(17, 輔助計算!$F$2:$F$801, 0)+1)), "")&lt;&gt;IFERROR(INDEX(ERP資料!$A:$A, MATCH(16, 輔助計算!$F$2:$F$801, 0)+1), "")), INDEX(ERP資料!$S:$S, (MATCH(17, 輔助計算!$F$2:$F$801, 0)+1)), ""), "")</f>
        <v/>
      </c>
      <c r="D18" s="10">
        <f>IFERROR(IF(INDEX(ERP資料!$E:$E, (MATCH(17, 輔助計算!$F$2:$F$801, 0)+1))="","",TRIM(INDEX(ERP資料!$E:$E, (MATCH(17, 輔助計算!$F$2:$F$801, 0)+1)))), "")</f>
        <v/>
      </c>
      <c r="E18" s="10">
        <f>IFERROR(IF(INDEX(ERP資料!$F:$F, (MATCH(17, 輔助計算!$F$2:$F$801, 0)+1))="","",INDEX(ERP資料!$F:$F, (MATCH(17, 輔助計算!$F$2:$F$801, 0)+1))), "")</f>
        <v/>
      </c>
      <c r="F18" s="10">
        <f>IFERROR(IF(INDEX(ERP資料!$G:$G, (MATCH(17, 輔助計算!$F$2:$F$801, 0)+1))="","",INDEX(ERP資料!$G:$G, (MATCH(17, 輔助計算!$F$2:$F$801, 0)+1))), "")</f>
        <v/>
      </c>
      <c r="G18" s="10">
        <f>IFERROR(IF(INDEX(ERP資料!$H:$H, (MATCH(17, 輔助計算!$F$2:$F$801, 0)+1))="","",INDEX(ERP資料!$H:$H, (MATCH(17, 輔助計算!$F$2:$F$801, 0)+1))), "")</f>
        <v/>
      </c>
      <c r="H18" s="10">
        <f>IFERROR(IF(INDEX(ERP資料!$O:$O, (MATCH(17, 輔助計算!$F$2:$F$801, 0)+1))="","",INDEX(ERP資料!$O:$O, (MATCH(17, 輔助計算!$F$2:$F$801, 0)+1))), "")</f>
        <v/>
      </c>
      <c r="I18" s="15">
        <f>IFERROR(IF(INDEX(輔助計算!$D:$D,(MATCH(17, 輔助計算!$F$2:$F$801, 0)+1))="","",INDEX(輔助計算!$D:$D,(MATCH(17, 輔助計算!$F$2:$F$801, 0)+1))*INDEX(ERP資料!$O:$O,(MATCH(17, 輔助計算!$F$2:$F$801, 0)+1))), "")</f>
        <v/>
      </c>
      <c r="J18" s="16" t="n"/>
      <c r="K18" s="15">
        <f>IFERROR(INDEX(輔助計算!$D:$D, (MATCH(17, 輔助計算!$F$2:$F$801, 0)+1)), "")</f>
        <v/>
      </c>
      <c r="L18" s="16">
        <f>IFERROR(IF(AND(IFERROR(VLOOKUP(LEFT(INDEX(ERP資料!$S:$S, (MATCH(17, 輔助計算!$F$2:$F$801, 0)+1)), 4), 100張客戶!$A:$A, 1, FALSE), "")&lt;&gt;"", OR(INDEX(ERP資料!$F:$F, (MATCH(17, 輔助計算!$F$2:$F$801, 0)+1))=270, INDEX(ERP資料!$F:$F, (MATCH(17, 輔助計算!$F$2:$F$801, 0)+1))=300)), "100張", ""), "")</f>
        <v/>
      </c>
      <c r="M18" s="17" t="n"/>
      <c r="N18" s="17">
        <f>IF($F18="","",$F18)</f>
        <v/>
      </c>
      <c r="O18" s="17">
        <f>IF($G18="","",$G18)</f>
        <v/>
      </c>
      <c r="P18" s="17">
        <f>IF($K18="","",$K18)</f>
        <v/>
      </c>
      <c r="Q18" s="16" t="n"/>
      <c r="R18" s="18" t="n"/>
      <c r="S18" s="16" t="n"/>
    </row>
    <row r="19">
      <c r="A19" s="14">
        <f>IFERROR(IF(AND(IFERROR(INDEX(ERP資料!$A:$A, (MATCH(18, 輔助計算!$F$2:$F$801, 0)+1)), "")&lt;&gt;"", IFERROR(INDEX(ERP資料!$A:$A, (MATCH(18, 輔助計算!$F$2:$F$801, 0)+1)), "")&lt;&gt;IFERROR(INDEX(ERP資料!$A:$A, MATCH(17, 輔助計算!$F$2:$F$801, 0)+1), "")), INDEX(ERP資料!$B:$B, (MATCH(18, 輔助計算!$F$2:$F$801, 0)+1)), ""), "")</f>
        <v/>
      </c>
      <c r="B19" s="10">
        <f>IFERROR(IF(AND(IFERROR(INDEX(ERP資料!$A:$A, (MATCH(18, 輔助計算!$F$2:$F$801, 0)+1)), "")&lt;&gt;"", IFERROR(INDEX(ERP資料!$A:$A, (MATCH(18, 輔助計算!$F$2:$F$801, 0)+1)), "")&lt;&gt;IFERROR(INDEX(ERP資料!$A:$A, MATCH(17, 輔助計算!$F$2:$F$801, 0)+1), "")), IFERROR(INDEX(ERP資料!$A:$A, (MATCH(18, 輔助計算!$F$2:$F$801, 0)+1)), ""), ""), "")</f>
        <v/>
      </c>
      <c r="C19" s="10">
        <f>IFERROR(IF(AND(IFERROR(INDEX(ERP資料!$A:$A, (MATCH(18, 輔助計算!$F$2:$F$801, 0)+1)), "")&lt;&gt;"", IFERROR(INDEX(ERP資料!$A:$A, (MATCH(18, 輔助計算!$F$2:$F$801, 0)+1)), "")&lt;&gt;IFERROR(INDEX(ERP資料!$A:$A, MATCH(17, 輔助計算!$F$2:$F$801, 0)+1), "")), INDEX(ERP資料!$S:$S, (MATCH(18, 輔助計算!$F$2:$F$801, 0)+1)), ""), "")</f>
        <v/>
      </c>
      <c r="D19" s="10">
        <f>IFERROR(IF(INDEX(ERP資料!$E:$E, (MATCH(18, 輔助計算!$F$2:$F$801, 0)+1))="","",TRIM(INDEX(ERP資料!$E:$E, (MATCH(18, 輔助計算!$F$2:$F$801, 0)+1)))), "")</f>
        <v/>
      </c>
      <c r="E19" s="10">
        <f>IFERROR(IF(INDEX(ERP資料!$F:$F, (MATCH(18, 輔助計算!$F$2:$F$801, 0)+1))="","",INDEX(ERP資料!$F:$F, (MATCH(18, 輔助計算!$F$2:$F$801, 0)+1))), "")</f>
        <v/>
      </c>
      <c r="F19" s="10">
        <f>IFERROR(IF(INDEX(ERP資料!$G:$G, (MATCH(18, 輔助計算!$F$2:$F$801, 0)+1))="","",INDEX(ERP資料!$G:$G, (MATCH(18, 輔助計算!$F$2:$F$801, 0)+1))), "")</f>
        <v/>
      </c>
      <c r="G19" s="10">
        <f>IFERROR(IF(INDEX(ERP資料!$H:$H, (MATCH(18, 輔助計算!$F$2:$F$801, 0)+1))="","",INDEX(ERP資料!$H:$H, (MATCH(18, 輔助計算!$F$2:$F$801, 0)+1))), "")</f>
        <v/>
      </c>
      <c r="H19" s="10">
        <f>IFERROR(IF(INDEX(ERP資料!$O:$O, (MATCH(18, 輔助計算!$F$2:$F$801, 0)+1))="","",INDEX(ERP資料!$O:$O, (MATCH(18, 輔助計算!$F$2:$F$801, 0)+1))), "")</f>
        <v/>
      </c>
      <c r="I19" s="15">
        <f>IFERROR(IF(INDEX(輔助計算!$D:$D,(MATCH(18, 輔助計算!$F$2:$F$801, 0)+1))="","",INDEX(輔助計算!$D:$D,(MATCH(18, 輔助計算!$F$2:$F$801, 0)+1))*INDEX(ERP資料!$O:$O,(MATCH(18, 輔助計算!$F$2:$F$801, 0)+1))), "")</f>
        <v/>
      </c>
      <c r="J19" s="16" t="n"/>
      <c r="K19" s="15">
        <f>IFERROR(INDEX(輔助計算!$D:$D, (MATCH(18, 輔助計算!$F$2:$F$801, 0)+1)), "")</f>
        <v/>
      </c>
      <c r="L19" s="16">
        <f>IFERROR(IF(AND(IFERROR(VLOOKUP(LEFT(INDEX(ERP資料!$S:$S, (MATCH(18, 輔助計算!$F$2:$F$801, 0)+1)), 4), 100張客戶!$A:$A, 1, FALSE), "")&lt;&gt;"", OR(INDEX(ERP資料!$F:$F, (MATCH(18, 輔助計算!$F$2:$F$801, 0)+1))=270, INDEX(ERP資料!$F:$F, (MATCH(18, 輔助計算!$F$2:$F$801, 0)+1))=300)), "100張", ""), "")</f>
        <v/>
      </c>
      <c r="M19" s="17" t="n"/>
      <c r="N19" s="17">
        <f>IF($F19="","",$F19)</f>
        <v/>
      </c>
      <c r="O19" s="17">
        <f>IF($G19="","",$G19)</f>
        <v/>
      </c>
      <c r="P19" s="17">
        <f>IF($K19="","",$K19)</f>
        <v/>
      </c>
      <c r="Q19" s="16" t="n"/>
      <c r="R19" s="18" t="n"/>
      <c r="S19" s="16" t="n"/>
    </row>
    <row r="20">
      <c r="A20" s="14">
        <f>IFERROR(IF(AND(IFERROR(INDEX(ERP資料!$A:$A, (MATCH(19, 輔助計算!$F$2:$F$801, 0)+1)), "")&lt;&gt;"", IFERROR(INDEX(ERP資料!$A:$A, (MATCH(19, 輔助計算!$F$2:$F$801, 0)+1)), "")&lt;&gt;IFERROR(INDEX(ERP資料!$A:$A, MATCH(18, 輔助計算!$F$2:$F$801, 0)+1), "")), INDEX(ERP資料!$B:$B, (MATCH(19, 輔助計算!$F$2:$F$801, 0)+1)), ""), "")</f>
        <v/>
      </c>
      <c r="B20" s="10">
        <f>IFERROR(IF(AND(IFERROR(INDEX(ERP資料!$A:$A, (MATCH(19, 輔助計算!$F$2:$F$801, 0)+1)), "")&lt;&gt;"", IFERROR(INDEX(ERP資料!$A:$A, (MATCH(19, 輔助計算!$F$2:$F$801, 0)+1)), "")&lt;&gt;IFERROR(INDEX(ERP資料!$A:$A, MATCH(18, 輔助計算!$F$2:$F$801, 0)+1), "")), IFERROR(INDEX(ERP資料!$A:$A, (MATCH(19, 輔助計算!$F$2:$F$801, 0)+1)), ""), ""), "")</f>
        <v/>
      </c>
      <c r="C20" s="10">
        <f>IFERROR(IF(AND(IFERROR(INDEX(ERP資料!$A:$A, (MATCH(19, 輔助計算!$F$2:$F$801, 0)+1)), "")&lt;&gt;"", IFERROR(INDEX(ERP資料!$A:$A, (MATCH(19, 輔助計算!$F$2:$F$801, 0)+1)), "")&lt;&gt;IFERROR(INDEX(ERP資料!$A:$A, MATCH(18, 輔助計算!$F$2:$F$801, 0)+1), "")), INDEX(ERP資料!$S:$S, (MATCH(19, 輔助計算!$F$2:$F$801, 0)+1)), ""), "")</f>
        <v/>
      </c>
      <c r="D20" s="10">
        <f>IFERROR(IF(INDEX(ERP資料!$E:$E, (MATCH(19, 輔助計算!$F$2:$F$801, 0)+1))="","",TRIM(INDEX(ERP資料!$E:$E, (MATCH(19, 輔助計算!$F$2:$F$801, 0)+1)))), "")</f>
        <v/>
      </c>
      <c r="E20" s="10">
        <f>IFERROR(IF(INDEX(ERP資料!$F:$F, (MATCH(19, 輔助計算!$F$2:$F$801, 0)+1))="","",INDEX(ERP資料!$F:$F, (MATCH(19, 輔助計算!$F$2:$F$801, 0)+1))), "")</f>
        <v/>
      </c>
      <c r="F20" s="10">
        <f>IFERROR(IF(INDEX(ERP資料!$G:$G, (MATCH(19, 輔助計算!$F$2:$F$801, 0)+1))="","",INDEX(ERP資料!$G:$G, (MATCH(19, 輔助計算!$F$2:$F$801, 0)+1))), "")</f>
        <v/>
      </c>
      <c r="G20" s="10">
        <f>IFERROR(IF(INDEX(ERP資料!$H:$H, (MATCH(19, 輔助計算!$F$2:$F$801, 0)+1))="","",INDEX(ERP資料!$H:$H, (MATCH(19, 輔助計算!$F$2:$F$801, 0)+1))), "")</f>
        <v/>
      </c>
      <c r="H20" s="10">
        <f>IFERROR(IF(INDEX(ERP資料!$O:$O, (MATCH(19, 輔助計算!$F$2:$F$801, 0)+1))="","",INDEX(ERP資料!$O:$O, (MATCH(19, 輔助計算!$F$2:$F$801, 0)+1))), "")</f>
        <v/>
      </c>
      <c r="I20" s="15">
        <f>IFERROR(IF(INDEX(輔助計算!$D:$D,(MATCH(19, 輔助計算!$F$2:$F$801, 0)+1))="","",INDEX(輔助計算!$D:$D,(MATCH(19, 輔助計算!$F$2:$F$801, 0)+1))*INDEX(ERP資料!$O:$O,(MATCH(19, 輔助計算!$F$2:$F$801, 0)+1))), "")</f>
        <v/>
      </c>
      <c r="J20" s="16" t="n"/>
      <c r="K20" s="15">
        <f>IFERROR(INDEX(輔助計算!$D:$D, (MATCH(19, 輔助計算!$F$2:$F$801, 0)+1)), "")</f>
        <v/>
      </c>
      <c r="L20" s="16">
        <f>IFERROR(IF(AND(IFERROR(VLOOKUP(LEFT(INDEX(ERP資料!$S:$S, (MATCH(19, 輔助計算!$F$2:$F$801, 0)+1)), 4), 100張客戶!$A:$A, 1, FALSE), "")&lt;&gt;"", OR(INDEX(ERP資料!$F:$F, (MATCH(19, 輔助計算!$F$2:$F$801, 0)+1))=270, INDEX(ERP資料!$F:$F, (MATCH(19, 輔助計算!$F$2:$F$801, 0)+1))=300)), "100張", ""), "")</f>
        <v/>
      </c>
      <c r="M20" s="17" t="n"/>
      <c r="N20" s="17">
        <f>IF($F20="","",$F20)</f>
        <v/>
      </c>
      <c r="O20" s="17">
        <f>IF($G20="","",$G20)</f>
        <v/>
      </c>
      <c r="P20" s="17">
        <f>IF($K20="","",$K20)</f>
        <v/>
      </c>
      <c r="Q20" s="16" t="n"/>
      <c r="R20" s="18" t="n"/>
      <c r="S20" s="16" t="n"/>
    </row>
    <row r="21">
      <c r="A21" s="14">
        <f>IFERROR(IF(AND(IFERROR(INDEX(ERP資料!$A:$A, (MATCH(20, 輔助計算!$F$2:$F$801, 0)+1)), "")&lt;&gt;"", IFERROR(INDEX(ERP資料!$A:$A, (MATCH(20, 輔助計算!$F$2:$F$801, 0)+1)), "")&lt;&gt;IFERROR(INDEX(ERP資料!$A:$A, MATCH(19, 輔助計算!$F$2:$F$801, 0)+1), "")), INDEX(ERP資料!$B:$B, (MATCH(20, 輔助計算!$F$2:$F$801, 0)+1)), ""), "")</f>
        <v/>
      </c>
      <c r="B21" s="10">
        <f>IFERROR(IF(AND(IFERROR(INDEX(ERP資料!$A:$A, (MATCH(20, 輔助計算!$F$2:$F$801, 0)+1)), "")&lt;&gt;"", IFERROR(INDEX(ERP資料!$A:$A, (MATCH(20, 輔助計算!$F$2:$F$801, 0)+1)), "")&lt;&gt;IFERROR(INDEX(ERP資料!$A:$A, MATCH(19, 輔助計算!$F$2:$F$801, 0)+1), "")), IFERROR(INDEX(ERP資料!$A:$A, (MATCH(20, 輔助計算!$F$2:$F$801, 0)+1)), ""), ""), "")</f>
        <v/>
      </c>
      <c r="C21" s="10">
        <f>IFERROR(IF(AND(IFERROR(INDEX(ERP資料!$A:$A, (MATCH(20, 輔助計算!$F$2:$F$801, 0)+1)), "")&lt;&gt;"", IFERROR(INDEX(ERP資料!$A:$A, (MATCH(20, 輔助計算!$F$2:$F$801, 0)+1)), "")&lt;&gt;IFERROR(INDEX(ERP資料!$A:$A, MATCH(19, 輔助計算!$F$2:$F$801, 0)+1), "")), INDEX(ERP資料!$S:$S, (MATCH(20, 輔助計算!$F$2:$F$801, 0)+1)), ""), "")</f>
        <v/>
      </c>
      <c r="D21" s="10">
        <f>IFERROR(IF(INDEX(ERP資料!$E:$E, (MATCH(20, 輔助計算!$F$2:$F$801, 0)+1))="","",TRIM(INDEX(ERP資料!$E:$E, (MATCH(20, 輔助計算!$F$2:$F$801, 0)+1)))), "")</f>
        <v/>
      </c>
      <c r="E21" s="10">
        <f>IFERROR(IF(INDEX(ERP資料!$F:$F, (MATCH(20, 輔助計算!$F$2:$F$801, 0)+1))="","",INDEX(ERP資料!$F:$F, (MATCH(20, 輔助計算!$F$2:$F$801, 0)+1))), "")</f>
        <v/>
      </c>
      <c r="F21" s="10">
        <f>IFERROR(IF(INDEX(ERP資料!$G:$G, (MATCH(20, 輔助計算!$F$2:$F$801, 0)+1))="","",INDEX(ERP資料!$G:$G, (MATCH(20, 輔助計算!$F$2:$F$801, 0)+1))), "")</f>
        <v/>
      </c>
      <c r="G21" s="10">
        <f>IFERROR(IF(INDEX(ERP資料!$H:$H, (MATCH(20, 輔助計算!$F$2:$F$801, 0)+1))="","",INDEX(ERP資料!$H:$H, (MATCH(20, 輔助計算!$F$2:$F$801, 0)+1))), "")</f>
        <v/>
      </c>
      <c r="H21" s="10">
        <f>IFERROR(IF(INDEX(ERP資料!$O:$O, (MATCH(20, 輔助計算!$F$2:$F$801, 0)+1))="","",INDEX(ERP資料!$O:$O, (MATCH(20, 輔助計算!$F$2:$F$801, 0)+1))), "")</f>
        <v/>
      </c>
      <c r="I21" s="15">
        <f>IFERROR(IF(INDEX(輔助計算!$D:$D,(MATCH(20, 輔助計算!$F$2:$F$801, 0)+1))="","",INDEX(輔助計算!$D:$D,(MATCH(20, 輔助計算!$F$2:$F$801, 0)+1))*INDEX(ERP資料!$O:$O,(MATCH(20, 輔助計算!$F$2:$F$801, 0)+1))), "")</f>
        <v/>
      </c>
      <c r="J21" s="16" t="n"/>
      <c r="K21" s="15">
        <f>IFERROR(INDEX(輔助計算!$D:$D, (MATCH(20, 輔助計算!$F$2:$F$801, 0)+1)), "")</f>
        <v/>
      </c>
      <c r="L21" s="16">
        <f>IFERROR(IF(AND(IFERROR(VLOOKUP(LEFT(INDEX(ERP資料!$S:$S, (MATCH(20, 輔助計算!$F$2:$F$801, 0)+1)), 4), 100張客戶!$A:$A, 1, FALSE), "")&lt;&gt;"", OR(INDEX(ERP資料!$F:$F, (MATCH(20, 輔助計算!$F$2:$F$801, 0)+1))=270, INDEX(ERP資料!$F:$F, (MATCH(20, 輔助計算!$F$2:$F$801, 0)+1))=300)), "100張", ""), "")</f>
        <v/>
      </c>
      <c r="M21" s="17" t="n"/>
      <c r="N21" s="17">
        <f>IF($F21="","",$F21)</f>
        <v/>
      </c>
      <c r="O21" s="17">
        <f>IF($G21="","",$G21)</f>
        <v/>
      </c>
      <c r="P21" s="17">
        <f>IF($K21="","",$K21)</f>
        <v/>
      </c>
      <c r="Q21" s="16" t="n"/>
      <c r="R21" s="18" t="n"/>
      <c r="S21" s="16" t="n"/>
    </row>
    <row r="22">
      <c r="A22" s="14">
        <f>IFERROR(IF(AND(IFERROR(INDEX(ERP資料!$A:$A, (MATCH(21, 輔助計算!$F$2:$F$801, 0)+1)), "")&lt;&gt;"", IFERROR(INDEX(ERP資料!$A:$A, (MATCH(21, 輔助計算!$F$2:$F$801, 0)+1)), "")&lt;&gt;IFERROR(INDEX(ERP資料!$A:$A, MATCH(20, 輔助計算!$F$2:$F$801, 0)+1), "")), INDEX(ERP資料!$B:$B, (MATCH(21, 輔助計算!$F$2:$F$801, 0)+1)), ""), "")</f>
        <v/>
      </c>
      <c r="B22" s="10">
        <f>IFERROR(IF(AND(IFERROR(INDEX(ERP資料!$A:$A, (MATCH(21, 輔助計算!$F$2:$F$801, 0)+1)), "")&lt;&gt;"", IFERROR(INDEX(ERP資料!$A:$A, (MATCH(21, 輔助計算!$F$2:$F$801, 0)+1)), "")&lt;&gt;IFERROR(INDEX(ERP資料!$A:$A, MATCH(20, 輔助計算!$F$2:$F$801, 0)+1), "")), IFERROR(INDEX(ERP資料!$A:$A, (MATCH(21, 輔助計算!$F$2:$F$801, 0)+1)), ""), ""), "")</f>
        <v/>
      </c>
      <c r="C22" s="10">
        <f>IFERROR(IF(AND(IFERROR(INDEX(ERP資料!$A:$A, (MATCH(21, 輔助計算!$F$2:$F$801, 0)+1)), "")&lt;&gt;"", IFERROR(INDEX(ERP資料!$A:$A, (MATCH(21, 輔助計算!$F$2:$F$801, 0)+1)), "")&lt;&gt;IFERROR(INDEX(ERP資料!$A:$A, MATCH(20, 輔助計算!$F$2:$F$801, 0)+1), "")), INDEX(ERP資料!$S:$S, (MATCH(21, 輔助計算!$F$2:$F$801, 0)+1)), ""), "")</f>
        <v/>
      </c>
      <c r="D22" s="10">
        <f>IFERROR(IF(INDEX(ERP資料!$E:$E, (MATCH(21, 輔助計算!$F$2:$F$801, 0)+1))="","",TRIM(INDEX(ERP資料!$E:$E, (MATCH(21, 輔助計算!$F$2:$F$801, 0)+1)))), "")</f>
        <v/>
      </c>
      <c r="E22" s="10">
        <f>IFERROR(IF(INDEX(ERP資料!$F:$F, (MATCH(21, 輔助計算!$F$2:$F$801, 0)+1))="","",INDEX(ERP資料!$F:$F, (MATCH(21, 輔助計算!$F$2:$F$801, 0)+1))), "")</f>
        <v/>
      </c>
      <c r="F22" s="10">
        <f>IFERROR(IF(INDEX(ERP資料!$G:$G, (MATCH(21, 輔助計算!$F$2:$F$801, 0)+1))="","",INDEX(ERP資料!$G:$G, (MATCH(21, 輔助計算!$F$2:$F$801, 0)+1))), "")</f>
        <v/>
      </c>
      <c r="G22" s="10">
        <f>IFERROR(IF(INDEX(ERP資料!$H:$H, (MATCH(21, 輔助計算!$F$2:$F$801, 0)+1))="","",INDEX(ERP資料!$H:$H, (MATCH(21, 輔助計算!$F$2:$F$801, 0)+1))), "")</f>
        <v/>
      </c>
      <c r="H22" s="10">
        <f>IFERROR(IF(INDEX(ERP資料!$O:$O, (MATCH(21, 輔助計算!$F$2:$F$801, 0)+1))="","",INDEX(ERP資料!$O:$O, (MATCH(21, 輔助計算!$F$2:$F$801, 0)+1))), "")</f>
        <v/>
      </c>
      <c r="I22" s="15">
        <f>IFERROR(IF(INDEX(輔助計算!$D:$D,(MATCH(21, 輔助計算!$F$2:$F$801, 0)+1))="","",INDEX(輔助計算!$D:$D,(MATCH(21, 輔助計算!$F$2:$F$801, 0)+1))*INDEX(ERP資料!$O:$O,(MATCH(21, 輔助計算!$F$2:$F$801, 0)+1))), "")</f>
        <v/>
      </c>
      <c r="J22" s="16" t="n"/>
      <c r="K22" s="15">
        <f>IFERROR(INDEX(輔助計算!$D:$D, (MATCH(21, 輔助計算!$F$2:$F$801, 0)+1)), "")</f>
        <v/>
      </c>
      <c r="L22" s="16">
        <f>IFERROR(IF(AND(IFERROR(VLOOKUP(LEFT(INDEX(ERP資料!$S:$S, (MATCH(21, 輔助計算!$F$2:$F$801, 0)+1)), 4), 100張客戶!$A:$A, 1, FALSE), "")&lt;&gt;"", OR(INDEX(ERP資料!$F:$F, (MATCH(21, 輔助計算!$F$2:$F$801, 0)+1))=270, INDEX(ERP資料!$F:$F, (MATCH(21, 輔助計算!$F$2:$F$801, 0)+1))=300)), "100張", ""), "")</f>
        <v/>
      </c>
      <c r="M22" s="17" t="n"/>
      <c r="N22" s="17">
        <f>IF($F22="","",$F22)</f>
        <v/>
      </c>
      <c r="O22" s="17">
        <f>IF($G22="","",$G22)</f>
        <v/>
      </c>
      <c r="P22" s="17">
        <f>IF($K22="","",$K22)</f>
        <v/>
      </c>
      <c r="Q22" s="16" t="n"/>
      <c r="R22" s="18" t="n"/>
      <c r="S22" s="16" t="n"/>
    </row>
    <row r="23">
      <c r="A23" s="14">
        <f>IFERROR(IF(AND(IFERROR(INDEX(ERP資料!$A:$A, (MATCH(22, 輔助計算!$F$2:$F$801, 0)+1)), "")&lt;&gt;"", IFERROR(INDEX(ERP資料!$A:$A, (MATCH(22, 輔助計算!$F$2:$F$801, 0)+1)), "")&lt;&gt;IFERROR(INDEX(ERP資料!$A:$A, MATCH(21, 輔助計算!$F$2:$F$801, 0)+1), "")), INDEX(ERP資料!$B:$B, (MATCH(22, 輔助計算!$F$2:$F$801, 0)+1)), ""), "")</f>
        <v/>
      </c>
      <c r="B23" s="10">
        <f>IFERROR(IF(AND(IFERROR(INDEX(ERP資料!$A:$A, (MATCH(22, 輔助計算!$F$2:$F$801, 0)+1)), "")&lt;&gt;"", IFERROR(INDEX(ERP資料!$A:$A, (MATCH(22, 輔助計算!$F$2:$F$801, 0)+1)), "")&lt;&gt;IFERROR(INDEX(ERP資料!$A:$A, MATCH(21, 輔助計算!$F$2:$F$801, 0)+1), "")), IFERROR(INDEX(ERP資料!$A:$A, (MATCH(22, 輔助計算!$F$2:$F$801, 0)+1)), ""), ""), "")</f>
        <v/>
      </c>
      <c r="C23" s="10">
        <f>IFERROR(IF(AND(IFERROR(INDEX(ERP資料!$A:$A, (MATCH(22, 輔助計算!$F$2:$F$801, 0)+1)), "")&lt;&gt;"", IFERROR(INDEX(ERP資料!$A:$A, (MATCH(22, 輔助計算!$F$2:$F$801, 0)+1)), "")&lt;&gt;IFERROR(INDEX(ERP資料!$A:$A, MATCH(21, 輔助計算!$F$2:$F$801, 0)+1), "")), INDEX(ERP資料!$S:$S, (MATCH(22, 輔助計算!$F$2:$F$801, 0)+1)), ""), "")</f>
        <v/>
      </c>
      <c r="D23" s="10">
        <f>IFERROR(IF(INDEX(ERP資料!$E:$E, (MATCH(22, 輔助計算!$F$2:$F$801, 0)+1))="","",TRIM(INDEX(ERP資料!$E:$E, (MATCH(22, 輔助計算!$F$2:$F$801, 0)+1)))), "")</f>
        <v/>
      </c>
      <c r="E23" s="10">
        <f>IFERROR(IF(INDEX(ERP資料!$F:$F, (MATCH(22, 輔助計算!$F$2:$F$801, 0)+1))="","",INDEX(ERP資料!$F:$F, (MATCH(22, 輔助計算!$F$2:$F$801, 0)+1))), "")</f>
        <v/>
      </c>
      <c r="F23" s="10">
        <f>IFERROR(IF(INDEX(ERP資料!$G:$G, (MATCH(22, 輔助計算!$F$2:$F$801, 0)+1))="","",INDEX(ERP資料!$G:$G, (MATCH(22, 輔助計算!$F$2:$F$801, 0)+1))), "")</f>
        <v/>
      </c>
      <c r="G23" s="10">
        <f>IFERROR(IF(INDEX(ERP資料!$H:$H, (MATCH(22, 輔助計算!$F$2:$F$801, 0)+1))="","",INDEX(ERP資料!$H:$H, (MATCH(22, 輔助計算!$F$2:$F$801, 0)+1))), "")</f>
        <v/>
      </c>
      <c r="H23" s="10">
        <f>IFERROR(IF(INDEX(ERP資料!$O:$O, (MATCH(22, 輔助計算!$F$2:$F$801, 0)+1))="","",INDEX(ERP資料!$O:$O, (MATCH(22, 輔助計算!$F$2:$F$801, 0)+1))), "")</f>
        <v/>
      </c>
      <c r="I23" s="15">
        <f>IFERROR(IF(INDEX(輔助計算!$D:$D,(MATCH(22, 輔助計算!$F$2:$F$801, 0)+1))="","",INDEX(輔助計算!$D:$D,(MATCH(22, 輔助計算!$F$2:$F$801, 0)+1))*INDEX(ERP資料!$O:$O,(MATCH(22, 輔助計算!$F$2:$F$801, 0)+1))), "")</f>
        <v/>
      </c>
      <c r="J23" s="16" t="n"/>
      <c r="K23" s="15">
        <f>IFERROR(INDEX(輔助計算!$D:$D, (MATCH(22, 輔助計算!$F$2:$F$801, 0)+1)), "")</f>
        <v/>
      </c>
      <c r="L23" s="16">
        <f>IFERROR(IF(AND(IFERROR(VLOOKUP(LEFT(INDEX(ERP資料!$S:$S, (MATCH(22, 輔助計算!$F$2:$F$801, 0)+1)), 4), 100張客戶!$A:$A, 1, FALSE), "")&lt;&gt;"", OR(INDEX(ERP資料!$F:$F, (MATCH(22, 輔助計算!$F$2:$F$801, 0)+1))=270, INDEX(ERP資料!$F:$F, (MATCH(22, 輔助計算!$F$2:$F$801, 0)+1))=300)), "100張", ""), "")</f>
        <v/>
      </c>
      <c r="M23" s="17" t="n"/>
      <c r="N23" s="17">
        <f>IF($F23="","",$F23)</f>
        <v/>
      </c>
      <c r="O23" s="17">
        <f>IF($G23="","",$G23)</f>
        <v/>
      </c>
      <c r="P23" s="17">
        <f>IF($K23="","",$K23)</f>
        <v/>
      </c>
      <c r="Q23" s="16" t="n"/>
      <c r="R23" s="18" t="n"/>
      <c r="S23" s="16" t="n"/>
    </row>
    <row r="24">
      <c r="A24" s="14">
        <f>IFERROR(IF(AND(IFERROR(INDEX(ERP資料!$A:$A, (MATCH(23, 輔助計算!$F$2:$F$801, 0)+1)), "")&lt;&gt;"", IFERROR(INDEX(ERP資料!$A:$A, (MATCH(23, 輔助計算!$F$2:$F$801, 0)+1)), "")&lt;&gt;IFERROR(INDEX(ERP資料!$A:$A, MATCH(22, 輔助計算!$F$2:$F$801, 0)+1), "")), INDEX(ERP資料!$B:$B, (MATCH(23, 輔助計算!$F$2:$F$801, 0)+1)), ""), "")</f>
        <v/>
      </c>
      <c r="B24" s="10">
        <f>IFERROR(IF(AND(IFERROR(INDEX(ERP資料!$A:$A, (MATCH(23, 輔助計算!$F$2:$F$801, 0)+1)), "")&lt;&gt;"", IFERROR(INDEX(ERP資料!$A:$A, (MATCH(23, 輔助計算!$F$2:$F$801, 0)+1)), "")&lt;&gt;IFERROR(INDEX(ERP資料!$A:$A, MATCH(22, 輔助計算!$F$2:$F$801, 0)+1), "")), IFERROR(INDEX(ERP資料!$A:$A, (MATCH(23, 輔助計算!$F$2:$F$801, 0)+1)), ""), ""), "")</f>
        <v/>
      </c>
      <c r="C24" s="10">
        <f>IFERROR(IF(AND(IFERROR(INDEX(ERP資料!$A:$A, (MATCH(23, 輔助計算!$F$2:$F$801, 0)+1)), "")&lt;&gt;"", IFERROR(INDEX(ERP資料!$A:$A, (MATCH(23, 輔助計算!$F$2:$F$801, 0)+1)), "")&lt;&gt;IFERROR(INDEX(ERP資料!$A:$A, MATCH(22, 輔助計算!$F$2:$F$801, 0)+1), "")), INDEX(ERP資料!$S:$S, (MATCH(23, 輔助計算!$F$2:$F$801, 0)+1)), ""), "")</f>
        <v/>
      </c>
      <c r="D24" s="10">
        <f>IFERROR(IF(INDEX(ERP資料!$E:$E, (MATCH(23, 輔助計算!$F$2:$F$801, 0)+1))="","",TRIM(INDEX(ERP資料!$E:$E, (MATCH(23, 輔助計算!$F$2:$F$801, 0)+1)))), "")</f>
        <v/>
      </c>
      <c r="E24" s="10">
        <f>IFERROR(IF(INDEX(ERP資料!$F:$F, (MATCH(23, 輔助計算!$F$2:$F$801, 0)+1))="","",INDEX(ERP資料!$F:$F, (MATCH(23, 輔助計算!$F$2:$F$801, 0)+1))), "")</f>
        <v/>
      </c>
      <c r="F24" s="10">
        <f>IFERROR(IF(INDEX(ERP資料!$G:$G, (MATCH(23, 輔助計算!$F$2:$F$801, 0)+1))="","",INDEX(ERP資料!$G:$G, (MATCH(23, 輔助計算!$F$2:$F$801, 0)+1))), "")</f>
        <v/>
      </c>
      <c r="G24" s="10">
        <f>IFERROR(IF(INDEX(ERP資料!$H:$H, (MATCH(23, 輔助計算!$F$2:$F$801, 0)+1))="","",INDEX(ERP資料!$H:$H, (MATCH(23, 輔助計算!$F$2:$F$801, 0)+1))), "")</f>
        <v/>
      </c>
      <c r="H24" s="10">
        <f>IFERROR(IF(INDEX(ERP資料!$O:$O, (MATCH(23, 輔助計算!$F$2:$F$801, 0)+1))="","",INDEX(ERP資料!$O:$O, (MATCH(23, 輔助計算!$F$2:$F$801, 0)+1))), "")</f>
        <v/>
      </c>
      <c r="I24" s="15">
        <f>IFERROR(IF(INDEX(輔助計算!$D:$D,(MATCH(23, 輔助計算!$F$2:$F$801, 0)+1))="","",INDEX(輔助計算!$D:$D,(MATCH(23, 輔助計算!$F$2:$F$801, 0)+1))*INDEX(ERP資料!$O:$O,(MATCH(23, 輔助計算!$F$2:$F$801, 0)+1))), "")</f>
        <v/>
      </c>
      <c r="J24" s="16" t="n"/>
      <c r="K24" s="15">
        <f>IFERROR(INDEX(輔助計算!$D:$D, (MATCH(23, 輔助計算!$F$2:$F$801, 0)+1)), "")</f>
        <v/>
      </c>
      <c r="L24" s="16">
        <f>IFERROR(IF(AND(IFERROR(VLOOKUP(LEFT(INDEX(ERP資料!$S:$S, (MATCH(23, 輔助計算!$F$2:$F$801, 0)+1)), 4), 100張客戶!$A:$A, 1, FALSE), "")&lt;&gt;"", OR(INDEX(ERP資料!$F:$F, (MATCH(23, 輔助計算!$F$2:$F$801, 0)+1))=270, INDEX(ERP資料!$F:$F, (MATCH(23, 輔助計算!$F$2:$F$801, 0)+1))=300)), "100張", ""), "")</f>
        <v/>
      </c>
      <c r="M24" s="17" t="n"/>
      <c r="N24" s="17">
        <f>IF($F24="","",$F24)</f>
        <v/>
      </c>
      <c r="O24" s="17">
        <f>IF($G24="","",$G24)</f>
        <v/>
      </c>
      <c r="P24" s="17">
        <f>IF($K24="","",$K24)</f>
        <v/>
      </c>
      <c r="Q24" s="16" t="n"/>
      <c r="R24" s="18" t="n"/>
      <c r="S24" s="16" t="n"/>
    </row>
    <row r="25">
      <c r="A25" s="14">
        <f>IFERROR(IF(AND(IFERROR(INDEX(ERP資料!$A:$A, (MATCH(24, 輔助計算!$F$2:$F$801, 0)+1)), "")&lt;&gt;"", IFERROR(INDEX(ERP資料!$A:$A, (MATCH(24, 輔助計算!$F$2:$F$801, 0)+1)), "")&lt;&gt;IFERROR(INDEX(ERP資料!$A:$A, MATCH(23, 輔助計算!$F$2:$F$801, 0)+1), "")), INDEX(ERP資料!$B:$B, (MATCH(24, 輔助計算!$F$2:$F$801, 0)+1)), ""), "")</f>
        <v/>
      </c>
      <c r="B25" s="10">
        <f>IFERROR(IF(AND(IFERROR(INDEX(ERP資料!$A:$A, (MATCH(24, 輔助計算!$F$2:$F$801, 0)+1)), "")&lt;&gt;"", IFERROR(INDEX(ERP資料!$A:$A, (MATCH(24, 輔助計算!$F$2:$F$801, 0)+1)), "")&lt;&gt;IFERROR(INDEX(ERP資料!$A:$A, MATCH(23, 輔助計算!$F$2:$F$801, 0)+1), "")), IFERROR(INDEX(ERP資料!$A:$A, (MATCH(24, 輔助計算!$F$2:$F$801, 0)+1)), ""), ""), "")</f>
        <v/>
      </c>
      <c r="C25" s="10">
        <f>IFERROR(IF(AND(IFERROR(INDEX(ERP資料!$A:$A, (MATCH(24, 輔助計算!$F$2:$F$801, 0)+1)), "")&lt;&gt;"", IFERROR(INDEX(ERP資料!$A:$A, (MATCH(24, 輔助計算!$F$2:$F$801, 0)+1)), "")&lt;&gt;IFERROR(INDEX(ERP資料!$A:$A, MATCH(23, 輔助計算!$F$2:$F$801, 0)+1), "")), INDEX(ERP資料!$S:$S, (MATCH(24, 輔助計算!$F$2:$F$801, 0)+1)), ""), "")</f>
        <v/>
      </c>
      <c r="D25" s="10">
        <f>IFERROR(IF(INDEX(ERP資料!$E:$E, (MATCH(24, 輔助計算!$F$2:$F$801, 0)+1))="","",TRIM(INDEX(ERP資料!$E:$E, (MATCH(24, 輔助計算!$F$2:$F$801, 0)+1)))), "")</f>
        <v/>
      </c>
      <c r="E25" s="10">
        <f>IFERROR(IF(INDEX(ERP資料!$F:$F, (MATCH(24, 輔助計算!$F$2:$F$801, 0)+1))="","",INDEX(ERP資料!$F:$F, (MATCH(24, 輔助計算!$F$2:$F$801, 0)+1))), "")</f>
        <v/>
      </c>
      <c r="F25" s="10">
        <f>IFERROR(IF(INDEX(ERP資料!$G:$G, (MATCH(24, 輔助計算!$F$2:$F$801, 0)+1))="","",INDEX(ERP資料!$G:$G, (MATCH(24, 輔助計算!$F$2:$F$801, 0)+1))), "")</f>
        <v/>
      </c>
      <c r="G25" s="10">
        <f>IFERROR(IF(INDEX(ERP資料!$H:$H, (MATCH(24, 輔助計算!$F$2:$F$801, 0)+1))="","",INDEX(ERP資料!$H:$H, (MATCH(24, 輔助計算!$F$2:$F$801, 0)+1))), "")</f>
        <v/>
      </c>
      <c r="H25" s="10">
        <f>IFERROR(IF(INDEX(ERP資料!$O:$O, (MATCH(24, 輔助計算!$F$2:$F$801, 0)+1))="","",INDEX(ERP資料!$O:$O, (MATCH(24, 輔助計算!$F$2:$F$801, 0)+1))), "")</f>
        <v/>
      </c>
      <c r="I25" s="15">
        <f>IFERROR(IF(INDEX(輔助計算!$D:$D,(MATCH(24, 輔助計算!$F$2:$F$801, 0)+1))="","",INDEX(輔助計算!$D:$D,(MATCH(24, 輔助計算!$F$2:$F$801, 0)+1))*INDEX(ERP資料!$O:$O,(MATCH(24, 輔助計算!$F$2:$F$801, 0)+1))), "")</f>
        <v/>
      </c>
      <c r="J25" s="16" t="n"/>
      <c r="K25" s="15">
        <f>IFERROR(INDEX(輔助計算!$D:$D, (MATCH(24, 輔助計算!$F$2:$F$801, 0)+1)), "")</f>
        <v/>
      </c>
      <c r="L25" s="16">
        <f>IFERROR(IF(AND(IFERROR(VLOOKUP(LEFT(INDEX(ERP資料!$S:$S, (MATCH(24, 輔助計算!$F$2:$F$801, 0)+1)), 4), 100張客戶!$A:$A, 1, FALSE), "")&lt;&gt;"", OR(INDEX(ERP資料!$F:$F, (MATCH(24, 輔助計算!$F$2:$F$801, 0)+1))=270, INDEX(ERP資料!$F:$F, (MATCH(24, 輔助計算!$F$2:$F$801, 0)+1))=300)), "100張", ""), "")</f>
        <v/>
      </c>
      <c r="M25" s="17" t="n"/>
      <c r="N25" s="17">
        <f>IF($F25="","",$F25)</f>
        <v/>
      </c>
      <c r="O25" s="17">
        <f>IF($G25="","",$G25)</f>
        <v/>
      </c>
      <c r="P25" s="17">
        <f>IF($K25="","",$K25)</f>
        <v/>
      </c>
      <c r="Q25" s="16" t="n"/>
      <c r="R25" s="18" t="n"/>
      <c r="S25" s="16" t="n"/>
    </row>
    <row r="26">
      <c r="A26" s="14">
        <f>IFERROR(IF(AND(IFERROR(INDEX(ERP資料!$A:$A, (MATCH(25, 輔助計算!$F$2:$F$801, 0)+1)), "")&lt;&gt;"", IFERROR(INDEX(ERP資料!$A:$A, (MATCH(25, 輔助計算!$F$2:$F$801, 0)+1)), "")&lt;&gt;IFERROR(INDEX(ERP資料!$A:$A, MATCH(24, 輔助計算!$F$2:$F$801, 0)+1), "")), INDEX(ERP資料!$B:$B, (MATCH(25, 輔助計算!$F$2:$F$801, 0)+1)), ""), "")</f>
        <v/>
      </c>
      <c r="B26" s="10">
        <f>IFERROR(IF(AND(IFERROR(INDEX(ERP資料!$A:$A, (MATCH(25, 輔助計算!$F$2:$F$801, 0)+1)), "")&lt;&gt;"", IFERROR(INDEX(ERP資料!$A:$A, (MATCH(25, 輔助計算!$F$2:$F$801, 0)+1)), "")&lt;&gt;IFERROR(INDEX(ERP資料!$A:$A, MATCH(24, 輔助計算!$F$2:$F$801, 0)+1), "")), IFERROR(INDEX(ERP資料!$A:$A, (MATCH(25, 輔助計算!$F$2:$F$801, 0)+1)), ""), ""), "")</f>
        <v/>
      </c>
      <c r="C26" s="10">
        <f>IFERROR(IF(AND(IFERROR(INDEX(ERP資料!$A:$A, (MATCH(25, 輔助計算!$F$2:$F$801, 0)+1)), "")&lt;&gt;"", IFERROR(INDEX(ERP資料!$A:$A, (MATCH(25, 輔助計算!$F$2:$F$801, 0)+1)), "")&lt;&gt;IFERROR(INDEX(ERP資料!$A:$A, MATCH(24, 輔助計算!$F$2:$F$801, 0)+1), "")), INDEX(ERP資料!$S:$S, (MATCH(25, 輔助計算!$F$2:$F$801, 0)+1)), ""), "")</f>
        <v/>
      </c>
      <c r="D26" s="10">
        <f>IFERROR(IF(INDEX(ERP資料!$E:$E, (MATCH(25, 輔助計算!$F$2:$F$801, 0)+1))="","",TRIM(INDEX(ERP資料!$E:$E, (MATCH(25, 輔助計算!$F$2:$F$801, 0)+1)))), "")</f>
        <v/>
      </c>
      <c r="E26" s="10">
        <f>IFERROR(IF(INDEX(ERP資料!$F:$F, (MATCH(25, 輔助計算!$F$2:$F$801, 0)+1))="","",INDEX(ERP資料!$F:$F, (MATCH(25, 輔助計算!$F$2:$F$801, 0)+1))), "")</f>
        <v/>
      </c>
      <c r="F26" s="10">
        <f>IFERROR(IF(INDEX(ERP資料!$G:$G, (MATCH(25, 輔助計算!$F$2:$F$801, 0)+1))="","",INDEX(ERP資料!$G:$G, (MATCH(25, 輔助計算!$F$2:$F$801, 0)+1))), "")</f>
        <v/>
      </c>
      <c r="G26" s="10">
        <f>IFERROR(IF(INDEX(ERP資料!$H:$H, (MATCH(25, 輔助計算!$F$2:$F$801, 0)+1))="","",INDEX(ERP資料!$H:$H, (MATCH(25, 輔助計算!$F$2:$F$801, 0)+1))), "")</f>
        <v/>
      </c>
      <c r="H26" s="10">
        <f>IFERROR(IF(INDEX(ERP資料!$O:$O, (MATCH(25, 輔助計算!$F$2:$F$801, 0)+1))="","",INDEX(ERP資料!$O:$O, (MATCH(25, 輔助計算!$F$2:$F$801, 0)+1))), "")</f>
        <v/>
      </c>
      <c r="I26" s="15">
        <f>IFERROR(IF(INDEX(輔助計算!$D:$D,(MATCH(25, 輔助計算!$F$2:$F$801, 0)+1))="","",INDEX(輔助計算!$D:$D,(MATCH(25, 輔助計算!$F$2:$F$801, 0)+1))*INDEX(ERP資料!$O:$O,(MATCH(25, 輔助計算!$F$2:$F$801, 0)+1))), "")</f>
        <v/>
      </c>
      <c r="J26" s="16" t="n"/>
      <c r="K26" s="15">
        <f>IFERROR(INDEX(輔助計算!$D:$D, (MATCH(25, 輔助計算!$F$2:$F$801, 0)+1)), "")</f>
        <v/>
      </c>
      <c r="L26" s="16">
        <f>IFERROR(IF(AND(IFERROR(VLOOKUP(LEFT(INDEX(ERP資料!$S:$S, (MATCH(25, 輔助計算!$F$2:$F$801, 0)+1)), 4), 100張客戶!$A:$A, 1, FALSE), "")&lt;&gt;"", OR(INDEX(ERP資料!$F:$F, (MATCH(25, 輔助計算!$F$2:$F$801, 0)+1))=270, INDEX(ERP資料!$F:$F, (MATCH(25, 輔助計算!$F$2:$F$801, 0)+1))=300)), "100張", ""), "")</f>
        <v/>
      </c>
      <c r="M26" s="17" t="n"/>
      <c r="N26" s="17">
        <f>IF($F26="","",$F26)</f>
        <v/>
      </c>
      <c r="O26" s="17">
        <f>IF($G26="","",$G26)</f>
        <v/>
      </c>
      <c r="P26" s="17">
        <f>IF($K26="","",$K26)</f>
        <v/>
      </c>
      <c r="Q26" s="16" t="n"/>
      <c r="R26" s="18" t="n"/>
      <c r="S26" s="16" t="n"/>
    </row>
    <row r="27">
      <c r="A27" s="14">
        <f>IFERROR(IF(AND(IFERROR(INDEX(ERP資料!$A:$A, (MATCH(26, 輔助計算!$F$2:$F$801, 0)+1)), "")&lt;&gt;"", IFERROR(INDEX(ERP資料!$A:$A, (MATCH(26, 輔助計算!$F$2:$F$801, 0)+1)), "")&lt;&gt;IFERROR(INDEX(ERP資料!$A:$A, MATCH(25, 輔助計算!$F$2:$F$801, 0)+1), "")), INDEX(ERP資料!$B:$B, (MATCH(26, 輔助計算!$F$2:$F$801, 0)+1)), ""), "")</f>
        <v/>
      </c>
      <c r="B27" s="10">
        <f>IFERROR(IF(AND(IFERROR(INDEX(ERP資料!$A:$A, (MATCH(26, 輔助計算!$F$2:$F$801, 0)+1)), "")&lt;&gt;"", IFERROR(INDEX(ERP資料!$A:$A, (MATCH(26, 輔助計算!$F$2:$F$801, 0)+1)), "")&lt;&gt;IFERROR(INDEX(ERP資料!$A:$A, MATCH(25, 輔助計算!$F$2:$F$801, 0)+1), "")), IFERROR(INDEX(ERP資料!$A:$A, (MATCH(26, 輔助計算!$F$2:$F$801, 0)+1)), ""), ""), "")</f>
        <v/>
      </c>
      <c r="C27" s="10">
        <f>IFERROR(IF(AND(IFERROR(INDEX(ERP資料!$A:$A, (MATCH(26, 輔助計算!$F$2:$F$801, 0)+1)), "")&lt;&gt;"", IFERROR(INDEX(ERP資料!$A:$A, (MATCH(26, 輔助計算!$F$2:$F$801, 0)+1)), "")&lt;&gt;IFERROR(INDEX(ERP資料!$A:$A, MATCH(25, 輔助計算!$F$2:$F$801, 0)+1), "")), INDEX(ERP資料!$S:$S, (MATCH(26, 輔助計算!$F$2:$F$801, 0)+1)), ""), "")</f>
        <v/>
      </c>
      <c r="D27" s="10">
        <f>IFERROR(IF(INDEX(ERP資料!$E:$E, (MATCH(26, 輔助計算!$F$2:$F$801, 0)+1))="","",TRIM(INDEX(ERP資料!$E:$E, (MATCH(26, 輔助計算!$F$2:$F$801, 0)+1)))), "")</f>
        <v/>
      </c>
      <c r="E27" s="10">
        <f>IFERROR(IF(INDEX(ERP資料!$F:$F, (MATCH(26, 輔助計算!$F$2:$F$801, 0)+1))="","",INDEX(ERP資料!$F:$F, (MATCH(26, 輔助計算!$F$2:$F$801, 0)+1))), "")</f>
        <v/>
      </c>
      <c r="F27" s="10">
        <f>IFERROR(IF(INDEX(ERP資料!$G:$G, (MATCH(26, 輔助計算!$F$2:$F$801, 0)+1))="","",INDEX(ERP資料!$G:$G, (MATCH(26, 輔助計算!$F$2:$F$801, 0)+1))), "")</f>
        <v/>
      </c>
      <c r="G27" s="10">
        <f>IFERROR(IF(INDEX(ERP資料!$H:$H, (MATCH(26, 輔助計算!$F$2:$F$801, 0)+1))="","",INDEX(ERP資料!$H:$H, (MATCH(26, 輔助計算!$F$2:$F$801, 0)+1))), "")</f>
        <v/>
      </c>
      <c r="H27" s="10">
        <f>IFERROR(IF(INDEX(ERP資料!$O:$O, (MATCH(26, 輔助計算!$F$2:$F$801, 0)+1))="","",INDEX(ERP資料!$O:$O, (MATCH(26, 輔助計算!$F$2:$F$801, 0)+1))), "")</f>
        <v/>
      </c>
      <c r="I27" s="15">
        <f>IFERROR(IF(INDEX(輔助計算!$D:$D,(MATCH(26, 輔助計算!$F$2:$F$801, 0)+1))="","",INDEX(輔助計算!$D:$D,(MATCH(26, 輔助計算!$F$2:$F$801, 0)+1))*INDEX(ERP資料!$O:$O,(MATCH(26, 輔助計算!$F$2:$F$801, 0)+1))), "")</f>
        <v/>
      </c>
      <c r="J27" s="16" t="n"/>
      <c r="K27" s="15">
        <f>IFERROR(INDEX(輔助計算!$D:$D, (MATCH(26, 輔助計算!$F$2:$F$801, 0)+1)), "")</f>
        <v/>
      </c>
      <c r="L27" s="16">
        <f>IFERROR(IF(AND(IFERROR(VLOOKUP(LEFT(INDEX(ERP資料!$S:$S, (MATCH(26, 輔助計算!$F$2:$F$801, 0)+1)), 4), 100張客戶!$A:$A, 1, FALSE), "")&lt;&gt;"", OR(INDEX(ERP資料!$F:$F, (MATCH(26, 輔助計算!$F$2:$F$801, 0)+1))=270, INDEX(ERP資料!$F:$F, (MATCH(26, 輔助計算!$F$2:$F$801, 0)+1))=300)), "100張", ""), "")</f>
        <v/>
      </c>
      <c r="M27" s="17" t="n"/>
      <c r="N27" s="17">
        <f>IF($F27="","",$F27)</f>
        <v/>
      </c>
      <c r="O27" s="17">
        <f>IF($G27="","",$G27)</f>
        <v/>
      </c>
      <c r="P27" s="17">
        <f>IF($K27="","",$K27)</f>
        <v/>
      </c>
      <c r="Q27" s="16" t="n"/>
      <c r="R27" s="18" t="n"/>
      <c r="S27" s="16" t="n"/>
    </row>
    <row r="28">
      <c r="A28" s="14">
        <f>IFERROR(IF(AND(IFERROR(INDEX(ERP資料!$A:$A, (MATCH(27, 輔助計算!$F$2:$F$801, 0)+1)), "")&lt;&gt;"", IFERROR(INDEX(ERP資料!$A:$A, (MATCH(27, 輔助計算!$F$2:$F$801, 0)+1)), "")&lt;&gt;IFERROR(INDEX(ERP資料!$A:$A, MATCH(26, 輔助計算!$F$2:$F$801, 0)+1), "")), INDEX(ERP資料!$B:$B, (MATCH(27, 輔助計算!$F$2:$F$801, 0)+1)), ""), "")</f>
        <v/>
      </c>
      <c r="B28" s="10">
        <f>IFERROR(IF(AND(IFERROR(INDEX(ERP資料!$A:$A, (MATCH(27, 輔助計算!$F$2:$F$801, 0)+1)), "")&lt;&gt;"", IFERROR(INDEX(ERP資料!$A:$A, (MATCH(27, 輔助計算!$F$2:$F$801, 0)+1)), "")&lt;&gt;IFERROR(INDEX(ERP資料!$A:$A, MATCH(26, 輔助計算!$F$2:$F$801, 0)+1), "")), IFERROR(INDEX(ERP資料!$A:$A, (MATCH(27, 輔助計算!$F$2:$F$801, 0)+1)), ""), ""), "")</f>
        <v/>
      </c>
      <c r="C28" s="10">
        <f>IFERROR(IF(AND(IFERROR(INDEX(ERP資料!$A:$A, (MATCH(27, 輔助計算!$F$2:$F$801, 0)+1)), "")&lt;&gt;"", IFERROR(INDEX(ERP資料!$A:$A, (MATCH(27, 輔助計算!$F$2:$F$801, 0)+1)), "")&lt;&gt;IFERROR(INDEX(ERP資料!$A:$A, MATCH(26, 輔助計算!$F$2:$F$801, 0)+1), "")), INDEX(ERP資料!$S:$S, (MATCH(27, 輔助計算!$F$2:$F$801, 0)+1)), ""), "")</f>
        <v/>
      </c>
      <c r="D28" s="10">
        <f>IFERROR(IF(INDEX(ERP資料!$E:$E, (MATCH(27, 輔助計算!$F$2:$F$801, 0)+1))="","",TRIM(INDEX(ERP資料!$E:$E, (MATCH(27, 輔助計算!$F$2:$F$801, 0)+1)))), "")</f>
        <v/>
      </c>
      <c r="E28" s="10">
        <f>IFERROR(IF(INDEX(ERP資料!$F:$F, (MATCH(27, 輔助計算!$F$2:$F$801, 0)+1))="","",INDEX(ERP資料!$F:$F, (MATCH(27, 輔助計算!$F$2:$F$801, 0)+1))), "")</f>
        <v/>
      </c>
      <c r="F28" s="10">
        <f>IFERROR(IF(INDEX(ERP資料!$G:$G, (MATCH(27, 輔助計算!$F$2:$F$801, 0)+1))="","",INDEX(ERP資料!$G:$G, (MATCH(27, 輔助計算!$F$2:$F$801, 0)+1))), "")</f>
        <v/>
      </c>
      <c r="G28" s="10">
        <f>IFERROR(IF(INDEX(ERP資料!$H:$H, (MATCH(27, 輔助計算!$F$2:$F$801, 0)+1))="","",INDEX(ERP資料!$H:$H, (MATCH(27, 輔助計算!$F$2:$F$801, 0)+1))), "")</f>
        <v/>
      </c>
      <c r="H28" s="10">
        <f>IFERROR(IF(INDEX(ERP資料!$O:$O, (MATCH(27, 輔助計算!$F$2:$F$801, 0)+1))="","",INDEX(ERP資料!$O:$O, (MATCH(27, 輔助計算!$F$2:$F$801, 0)+1))), "")</f>
        <v/>
      </c>
      <c r="I28" s="15">
        <f>IFERROR(IF(INDEX(輔助計算!$D:$D,(MATCH(27, 輔助計算!$F$2:$F$801, 0)+1))="","",INDEX(輔助計算!$D:$D,(MATCH(27, 輔助計算!$F$2:$F$801, 0)+1))*INDEX(ERP資料!$O:$O,(MATCH(27, 輔助計算!$F$2:$F$801, 0)+1))), "")</f>
        <v/>
      </c>
      <c r="J28" s="16" t="n"/>
      <c r="K28" s="15">
        <f>IFERROR(INDEX(輔助計算!$D:$D, (MATCH(27, 輔助計算!$F$2:$F$801, 0)+1)), "")</f>
        <v/>
      </c>
      <c r="L28" s="16">
        <f>IFERROR(IF(AND(IFERROR(VLOOKUP(LEFT(INDEX(ERP資料!$S:$S, (MATCH(27, 輔助計算!$F$2:$F$801, 0)+1)), 4), 100張客戶!$A:$A, 1, FALSE), "")&lt;&gt;"", OR(INDEX(ERP資料!$F:$F, (MATCH(27, 輔助計算!$F$2:$F$801, 0)+1))=270, INDEX(ERP資料!$F:$F, (MATCH(27, 輔助計算!$F$2:$F$801, 0)+1))=300)), "100張", ""), "")</f>
        <v/>
      </c>
      <c r="M28" s="17" t="n"/>
      <c r="N28" s="17">
        <f>IF($F28="","",$F28)</f>
        <v/>
      </c>
      <c r="O28" s="17">
        <f>IF($G28="","",$G28)</f>
        <v/>
      </c>
      <c r="P28" s="17">
        <f>IF($K28="","",$K28)</f>
        <v/>
      </c>
      <c r="Q28" s="16" t="n"/>
      <c r="R28" s="18" t="n"/>
      <c r="S28" s="16" t="n"/>
    </row>
    <row r="29">
      <c r="A29" s="14">
        <f>IFERROR(IF(AND(IFERROR(INDEX(ERP資料!$A:$A, (MATCH(28, 輔助計算!$F$2:$F$801, 0)+1)), "")&lt;&gt;"", IFERROR(INDEX(ERP資料!$A:$A, (MATCH(28, 輔助計算!$F$2:$F$801, 0)+1)), "")&lt;&gt;IFERROR(INDEX(ERP資料!$A:$A, MATCH(27, 輔助計算!$F$2:$F$801, 0)+1), "")), INDEX(ERP資料!$B:$B, (MATCH(28, 輔助計算!$F$2:$F$801, 0)+1)), ""), "")</f>
        <v/>
      </c>
      <c r="B29" s="10">
        <f>IFERROR(IF(AND(IFERROR(INDEX(ERP資料!$A:$A, (MATCH(28, 輔助計算!$F$2:$F$801, 0)+1)), "")&lt;&gt;"", IFERROR(INDEX(ERP資料!$A:$A, (MATCH(28, 輔助計算!$F$2:$F$801, 0)+1)), "")&lt;&gt;IFERROR(INDEX(ERP資料!$A:$A, MATCH(27, 輔助計算!$F$2:$F$801, 0)+1), "")), IFERROR(INDEX(ERP資料!$A:$A, (MATCH(28, 輔助計算!$F$2:$F$801, 0)+1)), ""), ""), "")</f>
        <v/>
      </c>
      <c r="C29" s="10">
        <f>IFERROR(IF(AND(IFERROR(INDEX(ERP資料!$A:$A, (MATCH(28, 輔助計算!$F$2:$F$801, 0)+1)), "")&lt;&gt;"", IFERROR(INDEX(ERP資料!$A:$A, (MATCH(28, 輔助計算!$F$2:$F$801, 0)+1)), "")&lt;&gt;IFERROR(INDEX(ERP資料!$A:$A, MATCH(27, 輔助計算!$F$2:$F$801, 0)+1), "")), INDEX(ERP資料!$S:$S, (MATCH(28, 輔助計算!$F$2:$F$801, 0)+1)), ""), "")</f>
        <v/>
      </c>
      <c r="D29" s="10">
        <f>IFERROR(IF(INDEX(ERP資料!$E:$E, (MATCH(28, 輔助計算!$F$2:$F$801, 0)+1))="","",TRIM(INDEX(ERP資料!$E:$E, (MATCH(28, 輔助計算!$F$2:$F$801, 0)+1)))), "")</f>
        <v/>
      </c>
      <c r="E29" s="10">
        <f>IFERROR(IF(INDEX(ERP資料!$F:$F, (MATCH(28, 輔助計算!$F$2:$F$801, 0)+1))="","",INDEX(ERP資料!$F:$F, (MATCH(28, 輔助計算!$F$2:$F$801, 0)+1))), "")</f>
        <v/>
      </c>
      <c r="F29" s="10">
        <f>IFERROR(IF(INDEX(ERP資料!$G:$G, (MATCH(28, 輔助計算!$F$2:$F$801, 0)+1))="","",INDEX(ERP資料!$G:$G, (MATCH(28, 輔助計算!$F$2:$F$801, 0)+1))), "")</f>
        <v/>
      </c>
      <c r="G29" s="10">
        <f>IFERROR(IF(INDEX(ERP資料!$H:$H, (MATCH(28, 輔助計算!$F$2:$F$801, 0)+1))="","",INDEX(ERP資料!$H:$H, (MATCH(28, 輔助計算!$F$2:$F$801, 0)+1))), "")</f>
        <v/>
      </c>
      <c r="H29" s="10">
        <f>IFERROR(IF(INDEX(ERP資料!$O:$O, (MATCH(28, 輔助計算!$F$2:$F$801, 0)+1))="","",INDEX(ERP資料!$O:$O, (MATCH(28, 輔助計算!$F$2:$F$801, 0)+1))), "")</f>
        <v/>
      </c>
      <c r="I29" s="15">
        <f>IFERROR(IF(INDEX(輔助計算!$D:$D,(MATCH(28, 輔助計算!$F$2:$F$801, 0)+1))="","",INDEX(輔助計算!$D:$D,(MATCH(28, 輔助計算!$F$2:$F$801, 0)+1))*INDEX(ERP資料!$O:$O,(MATCH(28, 輔助計算!$F$2:$F$801, 0)+1))), "")</f>
        <v/>
      </c>
      <c r="J29" s="16" t="n"/>
      <c r="K29" s="15">
        <f>IFERROR(INDEX(輔助計算!$D:$D, (MATCH(28, 輔助計算!$F$2:$F$801, 0)+1)), "")</f>
        <v/>
      </c>
      <c r="L29" s="16">
        <f>IFERROR(IF(AND(IFERROR(VLOOKUP(LEFT(INDEX(ERP資料!$S:$S, (MATCH(28, 輔助計算!$F$2:$F$801, 0)+1)), 4), 100張客戶!$A:$A, 1, FALSE), "")&lt;&gt;"", OR(INDEX(ERP資料!$F:$F, (MATCH(28, 輔助計算!$F$2:$F$801, 0)+1))=270, INDEX(ERP資料!$F:$F, (MATCH(28, 輔助計算!$F$2:$F$801, 0)+1))=300)), "100張", ""), "")</f>
        <v/>
      </c>
      <c r="M29" s="17" t="n"/>
      <c r="N29" s="17">
        <f>IF($F29="","",$F29)</f>
        <v/>
      </c>
      <c r="O29" s="17">
        <f>IF($G29="","",$G29)</f>
        <v/>
      </c>
      <c r="P29" s="17">
        <f>IF($K29="","",$K29)</f>
        <v/>
      </c>
      <c r="Q29" s="16" t="n"/>
      <c r="R29" s="18" t="n"/>
      <c r="S29" s="16" t="n"/>
    </row>
    <row r="30">
      <c r="A30" s="14">
        <f>IFERROR(IF(AND(IFERROR(INDEX(ERP資料!$A:$A, (MATCH(29, 輔助計算!$F$2:$F$801, 0)+1)), "")&lt;&gt;"", IFERROR(INDEX(ERP資料!$A:$A, (MATCH(29, 輔助計算!$F$2:$F$801, 0)+1)), "")&lt;&gt;IFERROR(INDEX(ERP資料!$A:$A, MATCH(28, 輔助計算!$F$2:$F$801, 0)+1), "")), INDEX(ERP資料!$B:$B, (MATCH(29, 輔助計算!$F$2:$F$801, 0)+1)), ""), "")</f>
        <v/>
      </c>
      <c r="B30" s="10">
        <f>IFERROR(IF(AND(IFERROR(INDEX(ERP資料!$A:$A, (MATCH(29, 輔助計算!$F$2:$F$801, 0)+1)), "")&lt;&gt;"", IFERROR(INDEX(ERP資料!$A:$A, (MATCH(29, 輔助計算!$F$2:$F$801, 0)+1)), "")&lt;&gt;IFERROR(INDEX(ERP資料!$A:$A, MATCH(28, 輔助計算!$F$2:$F$801, 0)+1), "")), IFERROR(INDEX(ERP資料!$A:$A, (MATCH(29, 輔助計算!$F$2:$F$801, 0)+1)), ""), ""), "")</f>
        <v/>
      </c>
      <c r="C30" s="10">
        <f>IFERROR(IF(AND(IFERROR(INDEX(ERP資料!$A:$A, (MATCH(29, 輔助計算!$F$2:$F$801, 0)+1)), "")&lt;&gt;"", IFERROR(INDEX(ERP資料!$A:$A, (MATCH(29, 輔助計算!$F$2:$F$801, 0)+1)), "")&lt;&gt;IFERROR(INDEX(ERP資料!$A:$A, MATCH(28, 輔助計算!$F$2:$F$801, 0)+1), "")), INDEX(ERP資料!$S:$S, (MATCH(29, 輔助計算!$F$2:$F$801, 0)+1)), ""), "")</f>
        <v/>
      </c>
      <c r="D30" s="10">
        <f>IFERROR(IF(INDEX(ERP資料!$E:$E, (MATCH(29, 輔助計算!$F$2:$F$801, 0)+1))="","",TRIM(INDEX(ERP資料!$E:$E, (MATCH(29, 輔助計算!$F$2:$F$801, 0)+1)))), "")</f>
        <v/>
      </c>
      <c r="E30" s="10">
        <f>IFERROR(IF(INDEX(ERP資料!$F:$F, (MATCH(29, 輔助計算!$F$2:$F$801, 0)+1))="","",INDEX(ERP資料!$F:$F, (MATCH(29, 輔助計算!$F$2:$F$801, 0)+1))), "")</f>
        <v/>
      </c>
      <c r="F30" s="10">
        <f>IFERROR(IF(INDEX(ERP資料!$G:$G, (MATCH(29, 輔助計算!$F$2:$F$801, 0)+1))="","",INDEX(ERP資料!$G:$G, (MATCH(29, 輔助計算!$F$2:$F$801, 0)+1))), "")</f>
        <v/>
      </c>
      <c r="G30" s="10">
        <f>IFERROR(IF(INDEX(ERP資料!$H:$H, (MATCH(29, 輔助計算!$F$2:$F$801, 0)+1))="","",INDEX(ERP資料!$H:$H, (MATCH(29, 輔助計算!$F$2:$F$801, 0)+1))), "")</f>
        <v/>
      </c>
      <c r="H30" s="10">
        <f>IFERROR(IF(INDEX(ERP資料!$O:$O, (MATCH(29, 輔助計算!$F$2:$F$801, 0)+1))="","",INDEX(ERP資料!$O:$O, (MATCH(29, 輔助計算!$F$2:$F$801, 0)+1))), "")</f>
        <v/>
      </c>
      <c r="I30" s="15">
        <f>IFERROR(IF(INDEX(輔助計算!$D:$D,(MATCH(29, 輔助計算!$F$2:$F$801, 0)+1))="","",INDEX(輔助計算!$D:$D,(MATCH(29, 輔助計算!$F$2:$F$801, 0)+1))*INDEX(ERP資料!$O:$O,(MATCH(29, 輔助計算!$F$2:$F$801, 0)+1))), "")</f>
        <v/>
      </c>
      <c r="J30" s="16" t="n"/>
      <c r="K30" s="15">
        <f>IFERROR(INDEX(輔助計算!$D:$D, (MATCH(29, 輔助計算!$F$2:$F$801, 0)+1)), "")</f>
        <v/>
      </c>
      <c r="L30" s="16">
        <f>IFERROR(IF(AND(IFERROR(VLOOKUP(LEFT(INDEX(ERP資料!$S:$S, (MATCH(29, 輔助計算!$F$2:$F$801, 0)+1)), 4), 100張客戶!$A:$A, 1, FALSE), "")&lt;&gt;"", OR(INDEX(ERP資料!$F:$F, (MATCH(29, 輔助計算!$F$2:$F$801, 0)+1))=270, INDEX(ERP資料!$F:$F, (MATCH(29, 輔助計算!$F$2:$F$801, 0)+1))=300)), "100張", ""), "")</f>
        <v/>
      </c>
      <c r="M30" s="17" t="n"/>
      <c r="N30" s="17">
        <f>IF($F30="","",$F30)</f>
        <v/>
      </c>
      <c r="O30" s="17">
        <f>IF($G30="","",$G30)</f>
        <v/>
      </c>
      <c r="P30" s="17">
        <f>IF($K30="","",$K30)</f>
        <v/>
      </c>
      <c r="Q30" s="16" t="n"/>
      <c r="R30" s="18" t="n"/>
      <c r="S30" s="16" t="n"/>
    </row>
    <row r="31">
      <c r="A31" s="14">
        <f>IFERROR(IF(AND(IFERROR(INDEX(ERP資料!$A:$A, (MATCH(30, 輔助計算!$F$2:$F$801, 0)+1)), "")&lt;&gt;"", IFERROR(INDEX(ERP資料!$A:$A, (MATCH(30, 輔助計算!$F$2:$F$801, 0)+1)), "")&lt;&gt;IFERROR(INDEX(ERP資料!$A:$A, MATCH(29, 輔助計算!$F$2:$F$801, 0)+1), "")), INDEX(ERP資料!$B:$B, (MATCH(30, 輔助計算!$F$2:$F$801, 0)+1)), ""), "")</f>
        <v/>
      </c>
      <c r="B31" s="10">
        <f>IFERROR(IF(AND(IFERROR(INDEX(ERP資料!$A:$A, (MATCH(30, 輔助計算!$F$2:$F$801, 0)+1)), "")&lt;&gt;"", IFERROR(INDEX(ERP資料!$A:$A, (MATCH(30, 輔助計算!$F$2:$F$801, 0)+1)), "")&lt;&gt;IFERROR(INDEX(ERP資料!$A:$A, MATCH(29, 輔助計算!$F$2:$F$801, 0)+1), "")), IFERROR(INDEX(ERP資料!$A:$A, (MATCH(30, 輔助計算!$F$2:$F$801, 0)+1)), ""), ""), "")</f>
        <v/>
      </c>
      <c r="C31" s="10">
        <f>IFERROR(IF(AND(IFERROR(INDEX(ERP資料!$A:$A, (MATCH(30, 輔助計算!$F$2:$F$801, 0)+1)), "")&lt;&gt;"", IFERROR(INDEX(ERP資料!$A:$A, (MATCH(30, 輔助計算!$F$2:$F$801, 0)+1)), "")&lt;&gt;IFERROR(INDEX(ERP資料!$A:$A, MATCH(29, 輔助計算!$F$2:$F$801, 0)+1), "")), INDEX(ERP資料!$S:$S, (MATCH(30, 輔助計算!$F$2:$F$801, 0)+1)), ""), "")</f>
        <v/>
      </c>
      <c r="D31" s="10">
        <f>IFERROR(IF(INDEX(ERP資料!$E:$E, (MATCH(30, 輔助計算!$F$2:$F$801, 0)+1))="","",TRIM(INDEX(ERP資料!$E:$E, (MATCH(30, 輔助計算!$F$2:$F$801, 0)+1)))), "")</f>
        <v/>
      </c>
      <c r="E31" s="10">
        <f>IFERROR(IF(INDEX(ERP資料!$F:$F, (MATCH(30, 輔助計算!$F$2:$F$801, 0)+1))="","",INDEX(ERP資料!$F:$F, (MATCH(30, 輔助計算!$F$2:$F$801, 0)+1))), "")</f>
        <v/>
      </c>
      <c r="F31" s="10">
        <f>IFERROR(IF(INDEX(ERP資料!$G:$G, (MATCH(30, 輔助計算!$F$2:$F$801, 0)+1))="","",INDEX(ERP資料!$G:$G, (MATCH(30, 輔助計算!$F$2:$F$801, 0)+1))), "")</f>
        <v/>
      </c>
      <c r="G31" s="10">
        <f>IFERROR(IF(INDEX(ERP資料!$H:$H, (MATCH(30, 輔助計算!$F$2:$F$801, 0)+1))="","",INDEX(ERP資料!$H:$H, (MATCH(30, 輔助計算!$F$2:$F$801, 0)+1))), "")</f>
        <v/>
      </c>
      <c r="H31" s="10">
        <f>IFERROR(IF(INDEX(ERP資料!$O:$O, (MATCH(30, 輔助計算!$F$2:$F$801, 0)+1))="","",INDEX(ERP資料!$O:$O, (MATCH(30, 輔助計算!$F$2:$F$801, 0)+1))), "")</f>
        <v/>
      </c>
      <c r="I31" s="15">
        <f>IFERROR(IF(INDEX(輔助計算!$D:$D,(MATCH(30, 輔助計算!$F$2:$F$801, 0)+1))="","",INDEX(輔助計算!$D:$D,(MATCH(30, 輔助計算!$F$2:$F$801, 0)+1))*INDEX(ERP資料!$O:$O,(MATCH(30, 輔助計算!$F$2:$F$801, 0)+1))), "")</f>
        <v/>
      </c>
      <c r="J31" s="16" t="n"/>
      <c r="K31" s="15">
        <f>IFERROR(INDEX(輔助計算!$D:$D, (MATCH(30, 輔助計算!$F$2:$F$801, 0)+1)), "")</f>
        <v/>
      </c>
      <c r="L31" s="16">
        <f>IFERROR(IF(AND(IFERROR(VLOOKUP(LEFT(INDEX(ERP資料!$S:$S, (MATCH(30, 輔助計算!$F$2:$F$801, 0)+1)), 4), 100張客戶!$A:$A, 1, FALSE), "")&lt;&gt;"", OR(INDEX(ERP資料!$F:$F, (MATCH(30, 輔助計算!$F$2:$F$801, 0)+1))=270, INDEX(ERP資料!$F:$F, (MATCH(30, 輔助計算!$F$2:$F$801, 0)+1))=300)), "100張", ""), "")</f>
        <v/>
      </c>
      <c r="M31" s="17" t="n"/>
      <c r="N31" s="17">
        <f>IF($F31="","",$F31)</f>
        <v/>
      </c>
      <c r="O31" s="17">
        <f>IF($G31="","",$G31)</f>
        <v/>
      </c>
      <c r="P31" s="17">
        <f>IF($K31="","",$K31)</f>
        <v/>
      </c>
      <c r="Q31" s="16" t="n"/>
      <c r="R31" s="18" t="n"/>
      <c r="S31" s="16" t="n"/>
    </row>
    <row r="32">
      <c r="A32" s="14">
        <f>IFERROR(IF(AND(IFERROR(INDEX(ERP資料!$A:$A, (MATCH(31, 輔助計算!$F$2:$F$801, 0)+1)), "")&lt;&gt;"", IFERROR(INDEX(ERP資料!$A:$A, (MATCH(31, 輔助計算!$F$2:$F$801, 0)+1)), "")&lt;&gt;IFERROR(INDEX(ERP資料!$A:$A, MATCH(30, 輔助計算!$F$2:$F$801, 0)+1), "")), INDEX(ERP資料!$B:$B, (MATCH(31, 輔助計算!$F$2:$F$801, 0)+1)), ""), "")</f>
        <v/>
      </c>
      <c r="B32" s="10">
        <f>IFERROR(IF(AND(IFERROR(INDEX(ERP資料!$A:$A, (MATCH(31, 輔助計算!$F$2:$F$801, 0)+1)), "")&lt;&gt;"", IFERROR(INDEX(ERP資料!$A:$A, (MATCH(31, 輔助計算!$F$2:$F$801, 0)+1)), "")&lt;&gt;IFERROR(INDEX(ERP資料!$A:$A, MATCH(30, 輔助計算!$F$2:$F$801, 0)+1), "")), IFERROR(INDEX(ERP資料!$A:$A, (MATCH(31, 輔助計算!$F$2:$F$801, 0)+1)), ""), ""), "")</f>
        <v/>
      </c>
      <c r="C32" s="10">
        <f>IFERROR(IF(AND(IFERROR(INDEX(ERP資料!$A:$A, (MATCH(31, 輔助計算!$F$2:$F$801, 0)+1)), "")&lt;&gt;"", IFERROR(INDEX(ERP資料!$A:$A, (MATCH(31, 輔助計算!$F$2:$F$801, 0)+1)), "")&lt;&gt;IFERROR(INDEX(ERP資料!$A:$A, MATCH(30, 輔助計算!$F$2:$F$801, 0)+1), "")), INDEX(ERP資料!$S:$S, (MATCH(31, 輔助計算!$F$2:$F$801, 0)+1)), ""), "")</f>
        <v/>
      </c>
      <c r="D32" s="10">
        <f>IFERROR(IF(INDEX(ERP資料!$E:$E, (MATCH(31, 輔助計算!$F$2:$F$801, 0)+1))="","",TRIM(INDEX(ERP資料!$E:$E, (MATCH(31, 輔助計算!$F$2:$F$801, 0)+1)))), "")</f>
        <v/>
      </c>
      <c r="E32" s="10">
        <f>IFERROR(IF(INDEX(ERP資料!$F:$F, (MATCH(31, 輔助計算!$F$2:$F$801, 0)+1))="","",INDEX(ERP資料!$F:$F, (MATCH(31, 輔助計算!$F$2:$F$801, 0)+1))), "")</f>
        <v/>
      </c>
      <c r="F32" s="10">
        <f>IFERROR(IF(INDEX(ERP資料!$G:$G, (MATCH(31, 輔助計算!$F$2:$F$801, 0)+1))="","",INDEX(ERP資料!$G:$G, (MATCH(31, 輔助計算!$F$2:$F$801, 0)+1))), "")</f>
        <v/>
      </c>
      <c r="G32" s="10">
        <f>IFERROR(IF(INDEX(ERP資料!$H:$H, (MATCH(31, 輔助計算!$F$2:$F$801, 0)+1))="","",INDEX(ERP資料!$H:$H, (MATCH(31, 輔助計算!$F$2:$F$801, 0)+1))), "")</f>
        <v/>
      </c>
      <c r="H32" s="10">
        <f>IFERROR(IF(INDEX(ERP資料!$O:$O, (MATCH(31, 輔助計算!$F$2:$F$801, 0)+1))="","",INDEX(ERP資料!$O:$O, (MATCH(31, 輔助計算!$F$2:$F$801, 0)+1))), "")</f>
        <v/>
      </c>
      <c r="I32" s="15">
        <f>IFERROR(IF(INDEX(輔助計算!$D:$D,(MATCH(31, 輔助計算!$F$2:$F$801, 0)+1))="","",INDEX(輔助計算!$D:$D,(MATCH(31, 輔助計算!$F$2:$F$801, 0)+1))*INDEX(ERP資料!$O:$O,(MATCH(31, 輔助計算!$F$2:$F$801, 0)+1))), "")</f>
        <v/>
      </c>
      <c r="J32" s="16" t="n"/>
      <c r="K32" s="15">
        <f>IFERROR(INDEX(輔助計算!$D:$D, (MATCH(31, 輔助計算!$F$2:$F$801, 0)+1)), "")</f>
        <v/>
      </c>
      <c r="L32" s="16">
        <f>IFERROR(IF(AND(IFERROR(VLOOKUP(LEFT(INDEX(ERP資料!$S:$S, (MATCH(31, 輔助計算!$F$2:$F$801, 0)+1)), 4), 100張客戶!$A:$A, 1, FALSE), "")&lt;&gt;"", OR(INDEX(ERP資料!$F:$F, (MATCH(31, 輔助計算!$F$2:$F$801, 0)+1))=270, INDEX(ERP資料!$F:$F, (MATCH(31, 輔助計算!$F$2:$F$801, 0)+1))=300)), "100張", ""), "")</f>
        <v/>
      </c>
      <c r="M32" s="17" t="n"/>
      <c r="N32" s="17">
        <f>IF($F32="","",$F32)</f>
        <v/>
      </c>
      <c r="O32" s="17">
        <f>IF($G32="","",$G32)</f>
        <v/>
      </c>
      <c r="P32" s="17">
        <f>IF($K32="","",$K32)</f>
        <v/>
      </c>
      <c r="Q32" s="16" t="n"/>
      <c r="R32" s="18" t="n"/>
      <c r="S32" s="16" t="n"/>
    </row>
    <row r="33">
      <c r="A33" s="14">
        <f>IFERROR(IF(AND(IFERROR(INDEX(ERP資料!$A:$A, (MATCH(32, 輔助計算!$F$2:$F$801, 0)+1)), "")&lt;&gt;"", IFERROR(INDEX(ERP資料!$A:$A, (MATCH(32, 輔助計算!$F$2:$F$801, 0)+1)), "")&lt;&gt;IFERROR(INDEX(ERP資料!$A:$A, MATCH(31, 輔助計算!$F$2:$F$801, 0)+1), "")), INDEX(ERP資料!$B:$B, (MATCH(32, 輔助計算!$F$2:$F$801, 0)+1)), ""), "")</f>
        <v/>
      </c>
      <c r="B33" s="10">
        <f>IFERROR(IF(AND(IFERROR(INDEX(ERP資料!$A:$A, (MATCH(32, 輔助計算!$F$2:$F$801, 0)+1)), "")&lt;&gt;"", IFERROR(INDEX(ERP資料!$A:$A, (MATCH(32, 輔助計算!$F$2:$F$801, 0)+1)), "")&lt;&gt;IFERROR(INDEX(ERP資料!$A:$A, MATCH(31, 輔助計算!$F$2:$F$801, 0)+1), "")), IFERROR(INDEX(ERP資料!$A:$A, (MATCH(32, 輔助計算!$F$2:$F$801, 0)+1)), ""), ""), "")</f>
        <v/>
      </c>
      <c r="C33" s="10">
        <f>IFERROR(IF(AND(IFERROR(INDEX(ERP資料!$A:$A, (MATCH(32, 輔助計算!$F$2:$F$801, 0)+1)), "")&lt;&gt;"", IFERROR(INDEX(ERP資料!$A:$A, (MATCH(32, 輔助計算!$F$2:$F$801, 0)+1)), "")&lt;&gt;IFERROR(INDEX(ERP資料!$A:$A, MATCH(31, 輔助計算!$F$2:$F$801, 0)+1), "")), INDEX(ERP資料!$S:$S, (MATCH(32, 輔助計算!$F$2:$F$801, 0)+1)), ""), "")</f>
        <v/>
      </c>
      <c r="D33" s="10">
        <f>IFERROR(IF(INDEX(ERP資料!$E:$E, (MATCH(32, 輔助計算!$F$2:$F$801, 0)+1))="","",TRIM(INDEX(ERP資料!$E:$E, (MATCH(32, 輔助計算!$F$2:$F$801, 0)+1)))), "")</f>
        <v/>
      </c>
      <c r="E33" s="10">
        <f>IFERROR(IF(INDEX(ERP資料!$F:$F, (MATCH(32, 輔助計算!$F$2:$F$801, 0)+1))="","",INDEX(ERP資料!$F:$F, (MATCH(32, 輔助計算!$F$2:$F$801, 0)+1))), "")</f>
        <v/>
      </c>
      <c r="F33" s="10">
        <f>IFERROR(IF(INDEX(ERP資料!$G:$G, (MATCH(32, 輔助計算!$F$2:$F$801, 0)+1))="","",INDEX(ERP資料!$G:$G, (MATCH(32, 輔助計算!$F$2:$F$801, 0)+1))), "")</f>
        <v/>
      </c>
      <c r="G33" s="10">
        <f>IFERROR(IF(INDEX(ERP資料!$H:$H, (MATCH(32, 輔助計算!$F$2:$F$801, 0)+1))="","",INDEX(ERP資料!$H:$H, (MATCH(32, 輔助計算!$F$2:$F$801, 0)+1))), "")</f>
        <v/>
      </c>
      <c r="H33" s="10">
        <f>IFERROR(IF(INDEX(ERP資料!$O:$O, (MATCH(32, 輔助計算!$F$2:$F$801, 0)+1))="","",INDEX(ERP資料!$O:$O, (MATCH(32, 輔助計算!$F$2:$F$801, 0)+1))), "")</f>
        <v/>
      </c>
      <c r="I33" s="15">
        <f>IFERROR(IF(INDEX(輔助計算!$D:$D,(MATCH(32, 輔助計算!$F$2:$F$801, 0)+1))="","",INDEX(輔助計算!$D:$D,(MATCH(32, 輔助計算!$F$2:$F$801, 0)+1))*INDEX(ERP資料!$O:$O,(MATCH(32, 輔助計算!$F$2:$F$801, 0)+1))), "")</f>
        <v/>
      </c>
      <c r="J33" s="16" t="n"/>
      <c r="K33" s="15">
        <f>IFERROR(INDEX(輔助計算!$D:$D, (MATCH(32, 輔助計算!$F$2:$F$801, 0)+1)), "")</f>
        <v/>
      </c>
      <c r="L33" s="16">
        <f>IFERROR(IF(AND(IFERROR(VLOOKUP(LEFT(INDEX(ERP資料!$S:$S, (MATCH(32, 輔助計算!$F$2:$F$801, 0)+1)), 4), 100張客戶!$A:$A, 1, FALSE), "")&lt;&gt;"", OR(INDEX(ERP資料!$F:$F, (MATCH(32, 輔助計算!$F$2:$F$801, 0)+1))=270, INDEX(ERP資料!$F:$F, (MATCH(32, 輔助計算!$F$2:$F$801, 0)+1))=300)), "100張", ""), "")</f>
        <v/>
      </c>
      <c r="M33" s="17" t="n"/>
      <c r="N33" s="17">
        <f>IF($F33="","",$F33)</f>
        <v/>
      </c>
      <c r="O33" s="17">
        <f>IF($G33="","",$G33)</f>
        <v/>
      </c>
      <c r="P33" s="17">
        <f>IF($K33="","",$K33)</f>
        <v/>
      </c>
      <c r="Q33" s="16" t="n"/>
      <c r="R33" s="18" t="n"/>
      <c r="S33" s="16" t="n"/>
    </row>
    <row r="34">
      <c r="A34" s="14">
        <f>IFERROR(IF(AND(IFERROR(INDEX(ERP資料!$A:$A, (MATCH(33, 輔助計算!$F$2:$F$801, 0)+1)), "")&lt;&gt;"", IFERROR(INDEX(ERP資料!$A:$A, (MATCH(33, 輔助計算!$F$2:$F$801, 0)+1)), "")&lt;&gt;IFERROR(INDEX(ERP資料!$A:$A, MATCH(32, 輔助計算!$F$2:$F$801, 0)+1), "")), INDEX(ERP資料!$B:$B, (MATCH(33, 輔助計算!$F$2:$F$801, 0)+1)), ""), "")</f>
        <v/>
      </c>
      <c r="B34" s="10">
        <f>IFERROR(IF(AND(IFERROR(INDEX(ERP資料!$A:$A, (MATCH(33, 輔助計算!$F$2:$F$801, 0)+1)), "")&lt;&gt;"", IFERROR(INDEX(ERP資料!$A:$A, (MATCH(33, 輔助計算!$F$2:$F$801, 0)+1)), "")&lt;&gt;IFERROR(INDEX(ERP資料!$A:$A, MATCH(32, 輔助計算!$F$2:$F$801, 0)+1), "")), IFERROR(INDEX(ERP資料!$A:$A, (MATCH(33, 輔助計算!$F$2:$F$801, 0)+1)), ""), ""), "")</f>
        <v/>
      </c>
      <c r="C34" s="10">
        <f>IFERROR(IF(AND(IFERROR(INDEX(ERP資料!$A:$A, (MATCH(33, 輔助計算!$F$2:$F$801, 0)+1)), "")&lt;&gt;"", IFERROR(INDEX(ERP資料!$A:$A, (MATCH(33, 輔助計算!$F$2:$F$801, 0)+1)), "")&lt;&gt;IFERROR(INDEX(ERP資料!$A:$A, MATCH(32, 輔助計算!$F$2:$F$801, 0)+1), "")), INDEX(ERP資料!$S:$S, (MATCH(33, 輔助計算!$F$2:$F$801, 0)+1)), ""), "")</f>
        <v/>
      </c>
      <c r="D34" s="10">
        <f>IFERROR(IF(INDEX(ERP資料!$E:$E, (MATCH(33, 輔助計算!$F$2:$F$801, 0)+1))="","",TRIM(INDEX(ERP資料!$E:$E, (MATCH(33, 輔助計算!$F$2:$F$801, 0)+1)))), "")</f>
        <v/>
      </c>
      <c r="E34" s="10">
        <f>IFERROR(IF(INDEX(ERP資料!$F:$F, (MATCH(33, 輔助計算!$F$2:$F$801, 0)+1))="","",INDEX(ERP資料!$F:$F, (MATCH(33, 輔助計算!$F$2:$F$801, 0)+1))), "")</f>
        <v/>
      </c>
      <c r="F34" s="10">
        <f>IFERROR(IF(INDEX(ERP資料!$G:$G, (MATCH(33, 輔助計算!$F$2:$F$801, 0)+1))="","",INDEX(ERP資料!$G:$G, (MATCH(33, 輔助計算!$F$2:$F$801, 0)+1))), "")</f>
        <v/>
      </c>
      <c r="G34" s="10">
        <f>IFERROR(IF(INDEX(ERP資料!$H:$H, (MATCH(33, 輔助計算!$F$2:$F$801, 0)+1))="","",INDEX(ERP資料!$H:$H, (MATCH(33, 輔助計算!$F$2:$F$801, 0)+1))), "")</f>
        <v/>
      </c>
      <c r="H34" s="10">
        <f>IFERROR(IF(INDEX(ERP資料!$O:$O, (MATCH(33, 輔助計算!$F$2:$F$801, 0)+1))="","",INDEX(ERP資料!$O:$O, (MATCH(33, 輔助計算!$F$2:$F$801, 0)+1))), "")</f>
        <v/>
      </c>
      <c r="I34" s="15">
        <f>IFERROR(IF(INDEX(輔助計算!$D:$D,(MATCH(33, 輔助計算!$F$2:$F$801, 0)+1))="","",INDEX(輔助計算!$D:$D,(MATCH(33, 輔助計算!$F$2:$F$801, 0)+1))*INDEX(ERP資料!$O:$O,(MATCH(33, 輔助計算!$F$2:$F$801, 0)+1))), "")</f>
        <v/>
      </c>
      <c r="J34" s="16" t="n"/>
      <c r="K34" s="15">
        <f>IFERROR(INDEX(輔助計算!$D:$D, (MATCH(33, 輔助計算!$F$2:$F$801, 0)+1)), "")</f>
        <v/>
      </c>
      <c r="L34" s="16">
        <f>IFERROR(IF(AND(IFERROR(VLOOKUP(LEFT(INDEX(ERP資料!$S:$S, (MATCH(33, 輔助計算!$F$2:$F$801, 0)+1)), 4), 100張客戶!$A:$A, 1, FALSE), "")&lt;&gt;"", OR(INDEX(ERP資料!$F:$F, (MATCH(33, 輔助計算!$F$2:$F$801, 0)+1))=270, INDEX(ERP資料!$F:$F, (MATCH(33, 輔助計算!$F$2:$F$801, 0)+1))=300)), "100張", ""), "")</f>
        <v/>
      </c>
      <c r="M34" s="17" t="n"/>
      <c r="N34" s="17">
        <f>IF($F34="","",$F34)</f>
        <v/>
      </c>
      <c r="O34" s="17">
        <f>IF($G34="","",$G34)</f>
        <v/>
      </c>
      <c r="P34" s="17">
        <f>IF($K34="","",$K34)</f>
        <v/>
      </c>
      <c r="Q34" s="16" t="n"/>
      <c r="R34" s="18" t="n"/>
      <c r="S34" s="16" t="n"/>
    </row>
    <row r="35">
      <c r="A35" s="14">
        <f>IFERROR(IF(AND(IFERROR(INDEX(ERP資料!$A:$A, (MATCH(34, 輔助計算!$F$2:$F$801, 0)+1)), "")&lt;&gt;"", IFERROR(INDEX(ERP資料!$A:$A, (MATCH(34, 輔助計算!$F$2:$F$801, 0)+1)), "")&lt;&gt;IFERROR(INDEX(ERP資料!$A:$A, MATCH(33, 輔助計算!$F$2:$F$801, 0)+1), "")), INDEX(ERP資料!$B:$B, (MATCH(34, 輔助計算!$F$2:$F$801, 0)+1)), ""), "")</f>
        <v/>
      </c>
      <c r="B35" s="10">
        <f>IFERROR(IF(AND(IFERROR(INDEX(ERP資料!$A:$A, (MATCH(34, 輔助計算!$F$2:$F$801, 0)+1)), "")&lt;&gt;"", IFERROR(INDEX(ERP資料!$A:$A, (MATCH(34, 輔助計算!$F$2:$F$801, 0)+1)), "")&lt;&gt;IFERROR(INDEX(ERP資料!$A:$A, MATCH(33, 輔助計算!$F$2:$F$801, 0)+1), "")), IFERROR(INDEX(ERP資料!$A:$A, (MATCH(34, 輔助計算!$F$2:$F$801, 0)+1)), ""), ""), "")</f>
        <v/>
      </c>
      <c r="C35" s="10">
        <f>IFERROR(IF(AND(IFERROR(INDEX(ERP資料!$A:$A, (MATCH(34, 輔助計算!$F$2:$F$801, 0)+1)), "")&lt;&gt;"", IFERROR(INDEX(ERP資料!$A:$A, (MATCH(34, 輔助計算!$F$2:$F$801, 0)+1)), "")&lt;&gt;IFERROR(INDEX(ERP資料!$A:$A, MATCH(33, 輔助計算!$F$2:$F$801, 0)+1), "")), INDEX(ERP資料!$S:$S, (MATCH(34, 輔助計算!$F$2:$F$801, 0)+1)), ""), "")</f>
        <v/>
      </c>
      <c r="D35" s="10">
        <f>IFERROR(IF(INDEX(ERP資料!$E:$E, (MATCH(34, 輔助計算!$F$2:$F$801, 0)+1))="","",TRIM(INDEX(ERP資料!$E:$E, (MATCH(34, 輔助計算!$F$2:$F$801, 0)+1)))), "")</f>
        <v/>
      </c>
      <c r="E35" s="10">
        <f>IFERROR(IF(INDEX(ERP資料!$F:$F, (MATCH(34, 輔助計算!$F$2:$F$801, 0)+1))="","",INDEX(ERP資料!$F:$F, (MATCH(34, 輔助計算!$F$2:$F$801, 0)+1))), "")</f>
        <v/>
      </c>
      <c r="F35" s="10">
        <f>IFERROR(IF(INDEX(ERP資料!$G:$G, (MATCH(34, 輔助計算!$F$2:$F$801, 0)+1))="","",INDEX(ERP資料!$G:$G, (MATCH(34, 輔助計算!$F$2:$F$801, 0)+1))), "")</f>
        <v/>
      </c>
      <c r="G35" s="10">
        <f>IFERROR(IF(INDEX(ERP資料!$H:$H, (MATCH(34, 輔助計算!$F$2:$F$801, 0)+1))="","",INDEX(ERP資料!$H:$H, (MATCH(34, 輔助計算!$F$2:$F$801, 0)+1))), "")</f>
        <v/>
      </c>
      <c r="H35" s="10">
        <f>IFERROR(IF(INDEX(ERP資料!$O:$O, (MATCH(34, 輔助計算!$F$2:$F$801, 0)+1))="","",INDEX(ERP資料!$O:$O, (MATCH(34, 輔助計算!$F$2:$F$801, 0)+1))), "")</f>
        <v/>
      </c>
      <c r="I35" s="15">
        <f>IFERROR(IF(INDEX(輔助計算!$D:$D,(MATCH(34, 輔助計算!$F$2:$F$801, 0)+1))="","",INDEX(輔助計算!$D:$D,(MATCH(34, 輔助計算!$F$2:$F$801, 0)+1))*INDEX(ERP資料!$O:$O,(MATCH(34, 輔助計算!$F$2:$F$801, 0)+1))), "")</f>
        <v/>
      </c>
      <c r="J35" s="16" t="n"/>
      <c r="K35" s="15">
        <f>IFERROR(INDEX(輔助計算!$D:$D, (MATCH(34, 輔助計算!$F$2:$F$801, 0)+1)), "")</f>
        <v/>
      </c>
      <c r="L35" s="16">
        <f>IFERROR(IF(AND(IFERROR(VLOOKUP(LEFT(INDEX(ERP資料!$S:$S, (MATCH(34, 輔助計算!$F$2:$F$801, 0)+1)), 4), 100張客戶!$A:$A, 1, FALSE), "")&lt;&gt;"", OR(INDEX(ERP資料!$F:$F, (MATCH(34, 輔助計算!$F$2:$F$801, 0)+1))=270, INDEX(ERP資料!$F:$F, (MATCH(34, 輔助計算!$F$2:$F$801, 0)+1))=300)), "100張", ""), "")</f>
        <v/>
      </c>
      <c r="M35" s="17" t="n"/>
      <c r="N35" s="17">
        <f>IF($F35="","",$F35)</f>
        <v/>
      </c>
      <c r="O35" s="17">
        <f>IF($G35="","",$G35)</f>
        <v/>
      </c>
      <c r="P35" s="17">
        <f>IF($K35="","",$K35)</f>
        <v/>
      </c>
      <c r="Q35" s="16" t="n"/>
      <c r="R35" s="18" t="n"/>
      <c r="S35" s="16" t="n"/>
    </row>
    <row r="36">
      <c r="A36" s="14">
        <f>IFERROR(IF(AND(IFERROR(INDEX(ERP資料!$A:$A, (MATCH(35, 輔助計算!$F$2:$F$801, 0)+1)), "")&lt;&gt;"", IFERROR(INDEX(ERP資料!$A:$A, (MATCH(35, 輔助計算!$F$2:$F$801, 0)+1)), "")&lt;&gt;IFERROR(INDEX(ERP資料!$A:$A, MATCH(34, 輔助計算!$F$2:$F$801, 0)+1), "")), INDEX(ERP資料!$B:$B, (MATCH(35, 輔助計算!$F$2:$F$801, 0)+1)), ""), "")</f>
        <v/>
      </c>
      <c r="B36" s="10">
        <f>IFERROR(IF(AND(IFERROR(INDEX(ERP資料!$A:$A, (MATCH(35, 輔助計算!$F$2:$F$801, 0)+1)), "")&lt;&gt;"", IFERROR(INDEX(ERP資料!$A:$A, (MATCH(35, 輔助計算!$F$2:$F$801, 0)+1)), "")&lt;&gt;IFERROR(INDEX(ERP資料!$A:$A, MATCH(34, 輔助計算!$F$2:$F$801, 0)+1), "")), IFERROR(INDEX(ERP資料!$A:$A, (MATCH(35, 輔助計算!$F$2:$F$801, 0)+1)), ""), ""), "")</f>
        <v/>
      </c>
      <c r="C36" s="10">
        <f>IFERROR(IF(AND(IFERROR(INDEX(ERP資料!$A:$A, (MATCH(35, 輔助計算!$F$2:$F$801, 0)+1)), "")&lt;&gt;"", IFERROR(INDEX(ERP資料!$A:$A, (MATCH(35, 輔助計算!$F$2:$F$801, 0)+1)), "")&lt;&gt;IFERROR(INDEX(ERP資料!$A:$A, MATCH(34, 輔助計算!$F$2:$F$801, 0)+1), "")), INDEX(ERP資料!$S:$S, (MATCH(35, 輔助計算!$F$2:$F$801, 0)+1)), ""), "")</f>
        <v/>
      </c>
      <c r="D36" s="10">
        <f>IFERROR(IF(INDEX(ERP資料!$E:$E, (MATCH(35, 輔助計算!$F$2:$F$801, 0)+1))="","",TRIM(INDEX(ERP資料!$E:$E, (MATCH(35, 輔助計算!$F$2:$F$801, 0)+1)))), "")</f>
        <v/>
      </c>
      <c r="E36" s="10">
        <f>IFERROR(IF(INDEX(ERP資料!$F:$F, (MATCH(35, 輔助計算!$F$2:$F$801, 0)+1))="","",INDEX(ERP資料!$F:$F, (MATCH(35, 輔助計算!$F$2:$F$801, 0)+1))), "")</f>
        <v/>
      </c>
      <c r="F36" s="10">
        <f>IFERROR(IF(INDEX(ERP資料!$G:$G, (MATCH(35, 輔助計算!$F$2:$F$801, 0)+1))="","",INDEX(ERP資料!$G:$G, (MATCH(35, 輔助計算!$F$2:$F$801, 0)+1))), "")</f>
        <v/>
      </c>
      <c r="G36" s="10">
        <f>IFERROR(IF(INDEX(ERP資料!$H:$H, (MATCH(35, 輔助計算!$F$2:$F$801, 0)+1))="","",INDEX(ERP資料!$H:$H, (MATCH(35, 輔助計算!$F$2:$F$801, 0)+1))), "")</f>
        <v/>
      </c>
      <c r="H36" s="10">
        <f>IFERROR(IF(INDEX(ERP資料!$O:$O, (MATCH(35, 輔助計算!$F$2:$F$801, 0)+1))="","",INDEX(ERP資料!$O:$O, (MATCH(35, 輔助計算!$F$2:$F$801, 0)+1))), "")</f>
        <v/>
      </c>
      <c r="I36" s="15">
        <f>IFERROR(IF(INDEX(輔助計算!$D:$D,(MATCH(35, 輔助計算!$F$2:$F$801, 0)+1))="","",INDEX(輔助計算!$D:$D,(MATCH(35, 輔助計算!$F$2:$F$801, 0)+1))*INDEX(ERP資料!$O:$O,(MATCH(35, 輔助計算!$F$2:$F$801, 0)+1))), "")</f>
        <v/>
      </c>
      <c r="J36" s="16" t="n"/>
      <c r="K36" s="15">
        <f>IFERROR(INDEX(輔助計算!$D:$D, (MATCH(35, 輔助計算!$F$2:$F$801, 0)+1)), "")</f>
        <v/>
      </c>
      <c r="L36" s="16">
        <f>IFERROR(IF(AND(IFERROR(VLOOKUP(LEFT(INDEX(ERP資料!$S:$S, (MATCH(35, 輔助計算!$F$2:$F$801, 0)+1)), 4), 100張客戶!$A:$A, 1, FALSE), "")&lt;&gt;"", OR(INDEX(ERP資料!$F:$F, (MATCH(35, 輔助計算!$F$2:$F$801, 0)+1))=270, INDEX(ERP資料!$F:$F, (MATCH(35, 輔助計算!$F$2:$F$801, 0)+1))=300)), "100張", ""), "")</f>
        <v/>
      </c>
      <c r="M36" s="17" t="n"/>
      <c r="N36" s="17">
        <f>IF($F36="","",$F36)</f>
        <v/>
      </c>
      <c r="O36" s="17">
        <f>IF($G36="","",$G36)</f>
        <v/>
      </c>
      <c r="P36" s="17">
        <f>IF($K36="","",$K36)</f>
        <v/>
      </c>
      <c r="Q36" s="16" t="n"/>
      <c r="R36" s="18" t="n"/>
      <c r="S36" s="16" t="n"/>
    </row>
    <row r="37">
      <c r="A37" s="14">
        <f>IFERROR(IF(AND(IFERROR(INDEX(ERP資料!$A:$A, (MATCH(36, 輔助計算!$F$2:$F$801, 0)+1)), "")&lt;&gt;"", IFERROR(INDEX(ERP資料!$A:$A, (MATCH(36, 輔助計算!$F$2:$F$801, 0)+1)), "")&lt;&gt;IFERROR(INDEX(ERP資料!$A:$A, MATCH(35, 輔助計算!$F$2:$F$801, 0)+1), "")), INDEX(ERP資料!$B:$B, (MATCH(36, 輔助計算!$F$2:$F$801, 0)+1)), ""), "")</f>
        <v/>
      </c>
      <c r="B37" s="10">
        <f>IFERROR(IF(AND(IFERROR(INDEX(ERP資料!$A:$A, (MATCH(36, 輔助計算!$F$2:$F$801, 0)+1)), "")&lt;&gt;"", IFERROR(INDEX(ERP資料!$A:$A, (MATCH(36, 輔助計算!$F$2:$F$801, 0)+1)), "")&lt;&gt;IFERROR(INDEX(ERP資料!$A:$A, MATCH(35, 輔助計算!$F$2:$F$801, 0)+1), "")), IFERROR(INDEX(ERP資料!$A:$A, (MATCH(36, 輔助計算!$F$2:$F$801, 0)+1)), ""), ""), "")</f>
        <v/>
      </c>
      <c r="C37" s="10">
        <f>IFERROR(IF(AND(IFERROR(INDEX(ERP資料!$A:$A, (MATCH(36, 輔助計算!$F$2:$F$801, 0)+1)), "")&lt;&gt;"", IFERROR(INDEX(ERP資料!$A:$A, (MATCH(36, 輔助計算!$F$2:$F$801, 0)+1)), "")&lt;&gt;IFERROR(INDEX(ERP資料!$A:$A, MATCH(35, 輔助計算!$F$2:$F$801, 0)+1), "")), INDEX(ERP資料!$S:$S, (MATCH(36, 輔助計算!$F$2:$F$801, 0)+1)), ""), "")</f>
        <v/>
      </c>
      <c r="D37" s="10">
        <f>IFERROR(IF(INDEX(ERP資料!$E:$E, (MATCH(36, 輔助計算!$F$2:$F$801, 0)+1))="","",TRIM(INDEX(ERP資料!$E:$E, (MATCH(36, 輔助計算!$F$2:$F$801, 0)+1)))), "")</f>
        <v/>
      </c>
      <c r="E37" s="10">
        <f>IFERROR(IF(INDEX(ERP資料!$F:$F, (MATCH(36, 輔助計算!$F$2:$F$801, 0)+1))="","",INDEX(ERP資料!$F:$F, (MATCH(36, 輔助計算!$F$2:$F$801, 0)+1))), "")</f>
        <v/>
      </c>
      <c r="F37" s="10">
        <f>IFERROR(IF(INDEX(ERP資料!$G:$G, (MATCH(36, 輔助計算!$F$2:$F$801, 0)+1))="","",INDEX(ERP資料!$G:$G, (MATCH(36, 輔助計算!$F$2:$F$801, 0)+1))), "")</f>
        <v/>
      </c>
      <c r="G37" s="10">
        <f>IFERROR(IF(INDEX(ERP資料!$H:$H, (MATCH(36, 輔助計算!$F$2:$F$801, 0)+1))="","",INDEX(ERP資料!$H:$H, (MATCH(36, 輔助計算!$F$2:$F$801, 0)+1))), "")</f>
        <v/>
      </c>
      <c r="H37" s="10">
        <f>IFERROR(IF(INDEX(ERP資料!$O:$O, (MATCH(36, 輔助計算!$F$2:$F$801, 0)+1))="","",INDEX(ERP資料!$O:$O, (MATCH(36, 輔助計算!$F$2:$F$801, 0)+1))), "")</f>
        <v/>
      </c>
      <c r="I37" s="15">
        <f>IFERROR(IF(INDEX(輔助計算!$D:$D,(MATCH(36, 輔助計算!$F$2:$F$801, 0)+1))="","",INDEX(輔助計算!$D:$D,(MATCH(36, 輔助計算!$F$2:$F$801, 0)+1))*INDEX(ERP資料!$O:$O,(MATCH(36, 輔助計算!$F$2:$F$801, 0)+1))), "")</f>
        <v/>
      </c>
      <c r="J37" s="16" t="n"/>
      <c r="K37" s="15">
        <f>IFERROR(INDEX(輔助計算!$D:$D, (MATCH(36, 輔助計算!$F$2:$F$801, 0)+1)), "")</f>
        <v/>
      </c>
      <c r="L37" s="16">
        <f>IFERROR(IF(AND(IFERROR(VLOOKUP(LEFT(INDEX(ERP資料!$S:$S, (MATCH(36, 輔助計算!$F$2:$F$801, 0)+1)), 4), 100張客戶!$A:$A, 1, FALSE), "")&lt;&gt;"", OR(INDEX(ERP資料!$F:$F, (MATCH(36, 輔助計算!$F$2:$F$801, 0)+1))=270, INDEX(ERP資料!$F:$F, (MATCH(36, 輔助計算!$F$2:$F$801, 0)+1))=300)), "100張", ""), "")</f>
        <v/>
      </c>
      <c r="M37" s="17" t="n"/>
      <c r="N37" s="17">
        <f>IF($F37="","",$F37)</f>
        <v/>
      </c>
      <c r="O37" s="17">
        <f>IF($G37="","",$G37)</f>
        <v/>
      </c>
      <c r="P37" s="17">
        <f>IF($K37="","",$K37)</f>
        <v/>
      </c>
      <c r="Q37" s="16" t="n"/>
      <c r="R37" s="18" t="n"/>
      <c r="S37" s="16" t="n"/>
    </row>
    <row r="38">
      <c r="A38" s="14">
        <f>IFERROR(IF(AND(IFERROR(INDEX(ERP資料!$A:$A, (MATCH(37, 輔助計算!$F$2:$F$801, 0)+1)), "")&lt;&gt;"", IFERROR(INDEX(ERP資料!$A:$A, (MATCH(37, 輔助計算!$F$2:$F$801, 0)+1)), "")&lt;&gt;IFERROR(INDEX(ERP資料!$A:$A, MATCH(36, 輔助計算!$F$2:$F$801, 0)+1), "")), INDEX(ERP資料!$B:$B, (MATCH(37, 輔助計算!$F$2:$F$801, 0)+1)), ""), "")</f>
        <v/>
      </c>
      <c r="B38" s="10">
        <f>IFERROR(IF(AND(IFERROR(INDEX(ERP資料!$A:$A, (MATCH(37, 輔助計算!$F$2:$F$801, 0)+1)), "")&lt;&gt;"", IFERROR(INDEX(ERP資料!$A:$A, (MATCH(37, 輔助計算!$F$2:$F$801, 0)+1)), "")&lt;&gt;IFERROR(INDEX(ERP資料!$A:$A, MATCH(36, 輔助計算!$F$2:$F$801, 0)+1), "")), IFERROR(INDEX(ERP資料!$A:$A, (MATCH(37, 輔助計算!$F$2:$F$801, 0)+1)), ""), ""), "")</f>
        <v/>
      </c>
      <c r="C38" s="10">
        <f>IFERROR(IF(AND(IFERROR(INDEX(ERP資料!$A:$A, (MATCH(37, 輔助計算!$F$2:$F$801, 0)+1)), "")&lt;&gt;"", IFERROR(INDEX(ERP資料!$A:$A, (MATCH(37, 輔助計算!$F$2:$F$801, 0)+1)), "")&lt;&gt;IFERROR(INDEX(ERP資料!$A:$A, MATCH(36, 輔助計算!$F$2:$F$801, 0)+1), "")), INDEX(ERP資料!$S:$S, (MATCH(37, 輔助計算!$F$2:$F$801, 0)+1)), ""), "")</f>
        <v/>
      </c>
      <c r="D38" s="10">
        <f>IFERROR(IF(INDEX(ERP資料!$E:$E, (MATCH(37, 輔助計算!$F$2:$F$801, 0)+1))="","",TRIM(INDEX(ERP資料!$E:$E, (MATCH(37, 輔助計算!$F$2:$F$801, 0)+1)))), "")</f>
        <v/>
      </c>
      <c r="E38" s="10">
        <f>IFERROR(IF(INDEX(ERP資料!$F:$F, (MATCH(37, 輔助計算!$F$2:$F$801, 0)+1))="","",INDEX(ERP資料!$F:$F, (MATCH(37, 輔助計算!$F$2:$F$801, 0)+1))), "")</f>
        <v/>
      </c>
      <c r="F38" s="10">
        <f>IFERROR(IF(INDEX(ERP資料!$G:$G, (MATCH(37, 輔助計算!$F$2:$F$801, 0)+1))="","",INDEX(ERP資料!$G:$G, (MATCH(37, 輔助計算!$F$2:$F$801, 0)+1))), "")</f>
        <v/>
      </c>
      <c r="G38" s="10">
        <f>IFERROR(IF(INDEX(ERP資料!$H:$H, (MATCH(37, 輔助計算!$F$2:$F$801, 0)+1))="","",INDEX(ERP資料!$H:$H, (MATCH(37, 輔助計算!$F$2:$F$801, 0)+1))), "")</f>
        <v/>
      </c>
      <c r="H38" s="10">
        <f>IFERROR(IF(INDEX(ERP資料!$O:$O, (MATCH(37, 輔助計算!$F$2:$F$801, 0)+1))="","",INDEX(ERP資料!$O:$O, (MATCH(37, 輔助計算!$F$2:$F$801, 0)+1))), "")</f>
        <v/>
      </c>
      <c r="I38" s="15">
        <f>IFERROR(IF(INDEX(輔助計算!$D:$D,(MATCH(37, 輔助計算!$F$2:$F$801, 0)+1))="","",INDEX(輔助計算!$D:$D,(MATCH(37, 輔助計算!$F$2:$F$801, 0)+1))*INDEX(ERP資料!$O:$O,(MATCH(37, 輔助計算!$F$2:$F$801, 0)+1))), "")</f>
        <v/>
      </c>
      <c r="J38" s="16" t="n"/>
      <c r="K38" s="15">
        <f>IFERROR(INDEX(輔助計算!$D:$D, (MATCH(37, 輔助計算!$F$2:$F$801, 0)+1)), "")</f>
        <v/>
      </c>
      <c r="L38" s="16">
        <f>IFERROR(IF(AND(IFERROR(VLOOKUP(LEFT(INDEX(ERP資料!$S:$S, (MATCH(37, 輔助計算!$F$2:$F$801, 0)+1)), 4), 100張客戶!$A:$A, 1, FALSE), "")&lt;&gt;"", OR(INDEX(ERP資料!$F:$F, (MATCH(37, 輔助計算!$F$2:$F$801, 0)+1))=270, INDEX(ERP資料!$F:$F, (MATCH(37, 輔助計算!$F$2:$F$801, 0)+1))=300)), "100張", ""), "")</f>
        <v/>
      </c>
      <c r="M38" s="17" t="n"/>
      <c r="N38" s="17">
        <f>IF($F38="","",$F38)</f>
        <v/>
      </c>
      <c r="O38" s="17">
        <f>IF($G38="","",$G38)</f>
        <v/>
      </c>
      <c r="P38" s="17">
        <f>IF($K38="","",$K38)</f>
        <v/>
      </c>
      <c r="Q38" s="16" t="n"/>
      <c r="R38" s="18" t="n"/>
      <c r="S38" s="16" t="n"/>
    </row>
    <row r="39">
      <c r="A39" s="14">
        <f>IFERROR(IF(AND(IFERROR(INDEX(ERP資料!$A:$A, (MATCH(38, 輔助計算!$F$2:$F$801, 0)+1)), "")&lt;&gt;"", IFERROR(INDEX(ERP資料!$A:$A, (MATCH(38, 輔助計算!$F$2:$F$801, 0)+1)), "")&lt;&gt;IFERROR(INDEX(ERP資料!$A:$A, MATCH(37, 輔助計算!$F$2:$F$801, 0)+1), "")), INDEX(ERP資料!$B:$B, (MATCH(38, 輔助計算!$F$2:$F$801, 0)+1)), ""), "")</f>
        <v/>
      </c>
      <c r="B39" s="10">
        <f>IFERROR(IF(AND(IFERROR(INDEX(ERP資料!$A:$A, (MATCH(38, 輔助計算!$F$2:$F$801, 0)+1)), "")&lt;&gt;"", IFERROR(INDEX(ERP資料!$A:$A, (MATCH(38, 輔助計算!$F$2:$F$801, 0)+1)), "")&lt;&gt;IFERROR(INDEX(ERP資料!$A:$A, MATCH(37, 輔助計算!$F$2:$F$801, 0)+1), "")), IFERROR(INDEX(ERP資料!$A:$A, (MATCH(38, 輔助計算!$F$2:$F$801, 0)+1)), ""), ""), "")</f>
        <v/>
      </c>
      <c r="C39" s="10">
        <f>IFERROR(IF(AND(IFERROR(INDEX(ERP資料!$A:$A, (MATCH(38, 輔助計算!$F$2:$F$801, 0)+1)), "")&lt;&gt;"", IFERROR(INDEX(ERP資料!$A:$A, (MATCH(38, 輔助計算!$F$2:$F$801, 0)+1)), "")&lt;&gt;IFERROR(INDEX(ERP資料!$A:$A, MATCH(37, 輔助計算!$F$2:$F$801, 0)+1), "")), INDEX(ERP資料!$S:$S, (MATCH(38, 輔助計算!$F$2:$F$801, 0)+1)), ""), "")</f>
        <v/>
      </c>
      <c r="D39" s="10">
        <f>IFERROR(IF(INDEX(ERP資料!$E:$E, (MATCH(38, 輔助計算!$F$2:$F$801, 0)+1))="","",TRIM(INDEX(ERP資料!$E:$E, (MATCH(38, 輔助計算!$F$2:$F$801, 0)+1)))), "")</f>
        <v/>
      </c>
      <c r="E39" s="10">
        <f>IFERROR(IF(INDEX(ERP資料!$F:$F, (MATCH(38, 輔助計算!$F$2:$F$801, 0)+1))="","",INDEX(ERP資料!$F:$F, (MATCH(38, 輔助計算!$F$2:$F$801, 0)+1))), "")</f>
        <v/>
      </c>
      <c r="F39" s="10">
        <f>IFERROR(IF(INDEX(ERP資料!$G:$G, (MATCH(38, 輔助計算!$F$2:$F$801, 0)+1))="","",INDEX(ERP資料!$G:$G, (MATCH(38, 輔助計算!$F$2:$F$801, 0)+1))), "")</f>
        <v/>
      </c>
      <c r="G39" s="10">
        <f>IFERROR(IF(INDEX(ERP資料!$H:$H, (MATCH(38, 輔助計算!$F$2:$F$801, 0)+1))="","",INDEX(ERP資料!$H:$H, (MATCH(38, 輔助計算!$F$2:$F$801, 0)+1))), "")</f>
        <v/>
      </c>
      <c r="H39" s="10">
        <f>IFERROR(IF(INDEX(ERP資料!$O:$O, (MATCH(38, 輔助計算!$F$2:$F$801, 0)+1))="","",INDEX(ERP資料!$O:$O, (MATCH(38, 輔助計算!$F$2:$F$801, 0)+1))), "")</f>
        <v/>
      </c>
      <c r="I39" s="15">
        <f>IFERROR(IF(INDEX(輔助計算!$D:$D,(MATCH(38, 輔助計算!$F$2:$F$801, 0)+1))="","",INDEX(輔助計算!$D:$D,(MATCH(38, 輔助計算!$F$2:$F$801, 0)+1))*INDEX(ERP資料!$O:$O,(MATCH(38, 輔助計算!$F$2:$F$801, 0)+1))), "")</f>
        <v/>
      </c>
      <c r="J39" s="16" t="n"/>
      <c r="K39" s="15">
        <f>IFERROR(INDEX(輔助計算!$D:$D, (MATCH(38, 輔助計算!$F$2:$F$801, 0)+1)), "")</f>
        <v/>
      </c>
      <c r="L39" s="16">
        <f>IFERROR(IF(AND(IFERROR(VLOOKUP(LEFT(INDEX(ERP資料!$S:$S, (MATCH(38, 輔助計算!$F$2:$F$801, 0)+1)), 4), 100張客戶!$A:$A, 1, FALSE), "")&lt;&gt;"", OR(INDEX(ERP資料!$F:$F, (MATCH(38, 輔助計算!$F$2:$F$801, 0)+1))=270, INDEX(ERP資料!$F:$F, (MATCH(38, 輔助計算!$F$2:$F$801, 0)+1))=300)), "100張", ""), "")</f>
        <v/>
      </c>
      <c r="M39" s="17" t="n"/>
      <c r="N39" s="17">
        <f>IF($F39="","",$F39)</f>
        <v/>
      </c>
      <c r="O39" s="17">
        <f>IF($G39="","",$G39)</f>
        <v/>
      </c>
      <c r="P39" s="17">
        <f>IF($K39="","",$K39)</f>
        <v/>
      </c>
      <c r="Q39" s="16" t="n"/>
      <c r="R39" s="18" t="n"/>
      <c r="S39" s="16" t="n"/>
    </row>
    <row r="40">
      <c r="A40" s="14">
        <f>IFERROR(IF(AND(IFERROR(INDEX(ERP資料!$A:$A, (MATCH(39, 輔助計算!$F$2:$F$801, 0)+1)), "")&lt;&gt;"", IFERROR(INDEX(ERP資料!$A:$A, (MATCH(39, 輔助計算!$F$2:$F$801, 0)+1)), "")&lt;&gt;IFERROR(INDEX(ERP資料!$A:$A, MATCH(38, 輔助計算!$F$2:$F$801, 0)+1), "")), INDEX(ERP資料!$B:$B, (MATCH(39, 輔助計算!$F$2:$F$801, 0)+1)), ""), "")</f>
        <v/>
      </c>
      <c r="B40" s="10">
        <f>IFERROR(IF(AND(IFERROR(INDEX(ERP資料!$A:$A, (MATCH(39, 輔助計算!$F$2:$F$801, 0)+1)), "")&lt;&gt;"", IFERROR(INDEX(ERP資料!$A:$A, (MATCH(39, 輔助計算!$F$2:$F$801, 0)+1)), "")&lt;&gt;IFERROR(INDEX(ERP資料!$A:$A, MATCH(38, 輔助計算!$F$2:$F$801, 0)+1), "")), IFERROR(INDEX(ERP資料!$A:$A, (MATCH(39, 輔助計算!$F$2:$F$801, 0)+1)), ""), ""), "")</f>
        <v/>
      </c>
      <c r="C40" s="10">
        <f>IFERROR(IF(AND(IFERROR(INDEX(ERP資料!$A:$A, (MATCH(39, 輔助計算!$F$2:$F$801, 0)+1)), "")&lt;&gt;"", IFERROR(INDEX(ERP資料!$A:$A, (MATCH(39, 輔助計算!$F$2:$F$801, 0)+1)), "")&lt;&gt;IFERROR(INDEX(ERP資料!$A:$A, MATCH(38, 輔助計算!$F$2:$F$801, 0)+1), "")), INDEX(ERP資料!$S:$S, (MATCH(39, 輔助計算!$F$2:$F$801, 0)+1)), ""), "")</f>
        <v/>
      </c>
      <c r="D40" s="10">
        <f>IFERROR(IF(INDEX(ERP資料!$E:$E, (MATCH(39, 輔助計算!$F$2:$F$801, 0)+1))="","",TRIM(INDEX(ERP資料!$E:$E, (MATCH(39, 輔助計算!$F$2:$F$801, 0)+1)))), "")</f>
        <v/>
      </c>
      <c r="E40" s="10">
        <f>IFERROR(IF(INDEX(ERP資料!$F:$F, (MATCH(39, 輔助計算!$F$2:$F$801, 0)+1))="","",INDEX(ERP資料!$F:$F, (MATCH(39, 輔助計算!$F$2:$F$801, 0)+1))), "")</f>
        <v/>
      </c>
      <c r="F40" s="10">
        <f>IFERROR(IF(INDEX(ERP資料!$G:$G, (MATCH(39, 輔助計算!$F$2:$F$801, 0)+1))="","",INDEX(ERP資料!$G:$G, (MATCH(39, 輔助計算!$F$2:$F$801, 0)+1))), "")</f>
        <v/>
      </c>
      <c r="G40" s="10">
        <f>IFERROR(IF(INDEX(ERP資料!$H:$H, (MATCH(39, 輔助計算!$F$2:$F$801, 0)+1))="","",INDEX(ERP資料!$H:$H, (MATCH(39, 輔助計算!$F$2:$F$801, 0)+1))), "")</f>
        <v/>
      </c>
      <c r="H40" s="10">
        <f>IFERROR(IF(INDEX(ERP資料!$O:$O, (MATCH(39, 輔助計算!$F$2:$F$801, 0)+1))="","",INDEX(ERP資料!$O:$O, (MATCH(39, 輔助計算!$F$2:$F$801, 0)+1))), "")</f>
        <v/>
      </c>
      <c r="I40" s="15">
        <f>IFERROR(IF(INDEX(輔助計算!$D:$D,(MATCH(39, 輔助計算!$F$2:$F$801, 0)+1))="","",INDEX(輔助計算!$D:$D,(MATCH(39, 輔助計算!$F$2:$F$801, 0)+1))*INDEX(ERP資料!$O:$O,(MATCH(39, 輔助計算!$F$2:$F$801, 0)+1))), "")</f>
        <v/>
      </c>
      <c r="J40" s="16" t="n"/>
      <c r="K40" s="15">
        <f>IFERROR(INDEX(輔助計算!$D:$D, (MATCH(39, 輔助計算!$F$2:$F$801, 0)+1)), "")</f>
        <v/>
      </c>
      <c r="L40" s="16">
        <f>IFERROR(IF(AND(IFERROR(VLOOKUP(LEFT(INDEX(ERP資料!$S:$S, (MATCH(39, 輔助計算!$F$2:$F$801, 0)+1)), 4), 100張客戶!$A:$A, 1, FALSE), "")&lt;&gt;"", OR(INDEX(ERP資料!$F:$F, (MATCH(39, 輔助計算!$F$2:$F$801, 0)+1))=270, INDEX(ERP資料!$F:$F, (MATCH(39, 輔助計算!$F$2:$F$801, 0)+1))=300)), "100張", ""), "")</f>
        <v/>
      </c>
      <c r="M40" s="17" t="n"/>
      <c r="N40" s="17">
        <f>IF($F40="","",$F40)</f>
        <v/>
      </c>
      <c r="O40" s="17">
        <f>IF($G40="","",$G40)</f>
        <v/>
      </c>
      <c r="P40" s="17">
        <f>IF($K40="","",$K40)</f>
        <v/>
      </c>
      <c r="Q40" s="16" t="n"/>
      <c r="R40" s="18" t="n"/>
      <c r="S40" s="16" t="n"/>
    </row>
    <row r="41">
      <c r="A41" s="14">
        <f>IFERROR(IF(AND(IFERROR(INDEX(ERP資料!$A:$A, (MATCH(40, 輔助計算!$F$2:$F$801, 0)+1)), "")&lt;&gt;"", IFERROR(INDEX(ERP資料!$A:$A, (MATCH(40, 輔助計算!$F$2:$F$801, 0)+1)), "")&lt;&gt;IFERROR(INDEX(ERP資料!$A:$A, MATCH(39, 輔助計算!$F$2:$F$801, 0)+1), "")), INDEX(ERP資料!$B:$B, (MATCH(40, 輔助計算!$F$2:$F$801, 0)+1)), ""), "")</f>
        <v/>
      </c>
      <c r="B41" s="10">
        <f>IFERROR(IF(AND(IFERROR(INDEX(ERP資料!$A:$A, (MATCH(40, 輔助計算!$F$2:$F$801, 0)+1)), "")&lt;&gt;"", IFERROR(INDEX(ERP資料!$A:$A, (MATCH(40, 輔助計算!$F$2:$F$801, 0)+1)), "")&lt;&gt;IFERROR(INDEX(ERP資料!$A:$A, MATCH(39, 輔助計算!$F$2:$F$801, 0)+1), "")), IFERROR(INDEX(ERP資料!$A:$A, (MATCH(40, 輔助計算!$F$2:$F$801, 0)+1)), ""), ""), "")</f>
        <v/>
      </c>
      <c r="C41" s="10">
        <f>IFERROR(IF(AND(IFERROR(INDEX(ERP資料!$A:$A, (MATCH(40, 輔助計算!$F$2:$F$801, 0)+1)), "")&lt;&gt;"", IFERROR(INDEX(ERP資料!$A:$A, (MATCH(40, 輔助計算!$F$2:$F$801, 0)+1)), "")&lt;&gt;IFERROR(INDEX(ERP資料!$A:$A, MATCH(39, 輔助計算!$F$2:$F$801, 0)+1), "")), INDEX(ERP資料!$S:$S, (MATCH(40, 輔助計算!$F$2:$F$801, 0)+1)), ""), "")</f>
        <v/>
      </c>
      <c r="D41" s="10">
        <f>IFERROR(IF(INDEX(ERP資料!$E:$E, (MATCH(40, 輔助計算!$F$2:$F$801, 0)+1))="","",TRIM(INDEX(ERP資料!$E:$E, (MATCH(40, 輔助計算!$F$2:$F$801, 0)+1)))), "")</f>
        <v/>
      </c>
      <c r="E41" s="10">
        <f>IFERROR(IF(INDEX(ERP資料!$F:$F, (MATCH(40, 輔助計算!$F$2:$F$801, 0)+1))="","",INDEX(ERP資料!$F:$F, (MATCH(40, 輔助計算!$F$2:$F$801, 0)+1))), "")</f>
        <v/>
      </c>
      <c r="F41" s="10">
        <f>IFERROR(IF(INDEX(ERP資料!$G:$G, (MATCH(40, 輔助計算!$F$2:$F$801, 0)+1))="","",INDEX(ERP資料!$G:$G, (MATCH(40, 輔助計算!$F$2:$F$801, 0)+1))), "")</f>
        <v/>
      </c>
      <c r="G41" s="10">
        <f>IFERROR(IF(INDEX(ERP資料!$H:$H, (MATCH(40, 輔助計算!$F$2:$F$801, 0)+1))="","",INDEX(ERP資料!$H:$H, (MATCH(40, 輔助計算!$F$2:$F$801, 0)+1))), "")</f>
        <v/>
      </c>
      <c r="H41" s="10">
        <f>IFERROR(IF(INDEX(ERP資料!$O:$O, (MATCH(40, 輔助計算!$F$2:$F$801, 0)+1))="","",INDEX(ERP資料!$O:$O, (MATCH(40, 輔助計算!$F$2:$F$801, 0)+1))), "")</f>
        <v/>
      </c>
      <c r="I41" s="15">
        <f>IFERROR(IF(INDEX(輔助計算!$D:$D,(MATCH(40, 輔助計算!$F$2:$F$801, 0)+1))="","",INDEX(輔助計算!$D:$D,(MATCH(40, 輔助計算!$F$2:$F$801, 0)+1))*INDEX(ERP資料!$O:$O,(MATCH(40, 輔助計算!$F$2:$F$801, 0)+1))), "")</f>
        <v/>
      </c>
      <c r="J41" s="16" t="n"/>
      <c r="K41" s="15">
        <f>IFERROR(INDEX(輔助計算!$D:$D, (MATCH(40, 輔助計算!$F$2:$F$801, 0)+1)), "")</f>
        <v/>
      </c>
      <c r="L41" s="16">
        <f>IFERROR(IF(AND(IFERROR(VLOOKUP(LEFT(INDEX(ERP資料!$S:$S, (MATCH(40, 輔助計算!$F$2:$F$801, 0)+1)), 4), 100張客戶!$A:$A, 1, FALSE), "")&lt;&gt;"", OR(INDEX(ERP資料!$F:$F, (MATCH(40, 輔助計算!$F$2:$F$801, 0)+1))=270, INDEX(ERP資料!$F:$F, (MATCH(40, 輔助計算!$F$2:$F$801, 0)+1))=300)), "100張", ""), "")</f>
        <v/>
      </c>
      <c r="M41" s="17" t="n"/>
      <c r="N41" s="17">
        <f>IF($F41="","",$F41)</f>
        <v/>
      </c>
      <c r="O41" s="17">
        <f>IF($G41="","",$G41)</f>
        <v/>
      </c>
      <c r="P41" s="17">
        <f>IF($K41="","",$K41)</f>
        <v/>
      </c>
      <c r="Q41" s="16" t="n"/>
      <c r="R41" s="18" t="n"/>
      <c r="S41" s="16" t="n"/>
    </row>
    <row r="42">
      <c r="A42" s="14">
        <f>IFERROR(IF(AND(IFERROR(INDEX(ERP資料!$A:$A, (MATCH(41, 輔助計算!$F$2:$F$801, 0)+1)), "")&lt;&gt;"", IFERROR(INDEX(ERP資料!$A:$A, (MATCH(41, 輔助計算!$F$2:$F$801, 0)+1)), "")&lt;&gt;IFERROR(INDEX(ERP資料!$A:$A, MATCH(40, 輔助計算!$F$2:$F$801, 0)+1), "")), INDEX(ERP資料!$B:$B, (MATCH(41, 輔助計算!$F$2:$F$801, 0)+1)), ""), "")</f>
        <v/>
      </c>
      <c r="B42" s="10">
        <f>IFERROR(IF(AND(IFERROR(INDEX(ERP資料!$A:$A, (MATCH(41, 輔助計算!$F$2:$F$801, 0)+1)), "")&lt;&gt;"", IFERROR(INDEX(ERP資料!$A:$A, (MATCH(41, 輔助計算!$F$2:$F$801, 0)+1)), "")&lt;&gt;IFERROR(INDEX(ERP資料!$A:$A, MATCH(40, 輔助計算!$F$2:$F$801, 0)+1), "")), IFERROR(INDEX(ERP資料!$A:$A, (MATCH(41, 輔助計算!$F$2:$F$801, 0)+1)), ""), ""), "")</f>
        <v/>
      </c>
      <c r="C42" s="10">
        <f>IFERROR(IF(AND(IFERROR(INDEX(ERP資料!$A:$A, (MATCH(41, 輔助計算!$F$2:$F$801, 0)+1)), "")&lt;&gt;"", IFERROR(INDEX(ERP資料!$A:$A, (MATCH(41, 輔助計算!$F$2:$F$801, 0)+1)), "")&lt;&gt;IFERROR(INDEX(ERP資料!$A:$A, MATCH(40, 輔助計算!$F$2:$F$801, 0)+1), "")), INDEX(ERP資料!$S:$S, (MATCH(41, 輔助計算!$F$2:$F$801, 0)+1)), ""), "")</f>
        <v/>
      </c>
      <c r="D42" s="10">
        <f>IFERROR(IF(INDEX(ERP資料!$E:$E, (MATCH(41, 輔助計算!$F$2:$F$801, 0)+1))="","",TRIM(INDEX(ERP資料!$E:$E, (MATCH(41, 輔助計算!$F$2:$F$801, 0)+1)))), "")</f>
        <v/>
      </c>
      <c r="E42" s="10">
        <f>IFERROR(IF(INDEX(ERP資料!$F:$F, (MATCH(41, 輔助計算!$F$2:$F$801, 0)+1))="","",INDEX(ERP資料!$F:$F, (MATCH(41, 輔助計算!$F$2:$F$801, 0)+1))), "")</f>
        <v/>
      </c>
      <c r="F42" s="10">
        <f>IFERROR(IF(INDEX(ERP資料!$G:$G, (MATCH(41, 輔助計算!$F$2:$F$801, 0)+1))="","",INDEX(ERP資料!$G:$G, (MATCH(41, 輔助計算!$F$2:$F$801, 0)+1))), "")</f>
        <v/>
      </c>
      <c r="G42" s="10">
        <f>IFERROR(IF(INDEX(ERP資料!$H:$H, (MATCH(41, 輔助計算!$F$2:$F$801, 0)+1))="","",INDEX(ERP資料!$H:$H, (MATCH(41, 輔助計算!$F$2:$F$801, 0)+1))), "")</f>
        <v/>
      </c>
      <c r="H42" s="10">
        <f>IFERROR(IF(INDEX(ERP資料!$O:$O, (MATCH(41, 輔助計算!$F$2:$F$801, 0)+1))="","",INDEX(ERP資料!$O:$O, (MATCH(41, 輔助計算!$F$2:$F$801, 0)+1))), "")</f>
        <v/>
      </c>
      <c r="I42" s="15">
        <f>IFERROR(IF(INDEX(輔助計算!$D:$D,(MATCH(41, 輔助計算!$F$2:$F$801, 0)+1))="","",INDEX(輔助計算!$D:$D,(MATCH(41, 輔助計算!$F$2:$F$801, 0)+1))*INDEX(ERP資料!$O:$O,(MATCH(41, 輔助計算!$F$2:$F$801, 0)+1))), "")</f>
        <v/>
      </c>
      <c r="J42" s="16" t="n"/>
      <c r="K42" s="15">
        <f>IFERROR(INDEX(輔助計算!$D:$D, (MATCH(41, 輔助計算!$F$2:$F$801, 0)+1)), "")</f>
        <v/>
      </c>
      <c r="L42" s="16">
        <f>IFERROR(IF(AND(IFERROR(VLOOKUP(LEFT(INDEX(ERP資料!$S:$S, (MATCH(41, 輔助計算!$F$2:$F$801, 0)+1)), 4), 100張客戶!$A:$A, 1, FALSE), "")&lt;&gt;"", OR(INDEX(ERP資料!$F:$F, (MATCH(41, 輔助計算!$F$2:$F$801, 0)+1))=270, INDEX(ERP資料!$F:$F, (MATCH(41, 輔助計算!$F$2:$F$801, 0)+1))=300)), "100張", ""), "")</f>
        <v/>
      </c>
      <c r="M42" s="17" t="n"/>
      <c r="N42" s="17">
        <f>IF($F42="","",$F42)</f>
        <v/>
      </c>
      <c r="O42" s="17">
        <f>IF($G42="","",$G42)</f>
        <v/>
      </c>
      <c r="P42" s="17">
        <f>IF($K42="","",$K42)</f>
        <v/>
      </c>
      <c r="Q42" s="16" t="n"/>
      <c r="R42" s="18" t="n"/>
      <c r="S42" s="16" t="n"/>
    </row>
    <row r="43">
      <c r="A43" s="14">
        <f>IFERROR(IF(AND(IFERROR(INDEX(ERP資料!$A:$A, (MATCH(42, 輔助計算!$F$2:$F$801, 0)+1)), "")&lt;&gt;"", IFERROR(INDEX(ERP資料!$A:$A, (MATCH(42, 輔助計算!$F$2:$F$801, 0)+1)), "")&lt;&gt;IFERROR(INDEX(ERP資料!$A:$A, MATCH(41, 輔助計算!$F$2:$F$801, 0)+1), "")), INDEX(ERP資料!$B:$B, (MATCH(42, 輔助計算!$F$2:$F$801, 0)+1)), ""), "")</f>
        <v/>
      </c>
      <c r="B43" s="10">
        <f>IFERROR(IF(AND(IFERROR(INDEX(ERP資料!$A:$A, (MATCH(42, 輔助計算!$F$2:$F$801, 0)+1)), "")&lt;&gt;"", IFERROR(INDEX(ERP資料!$A:$A, (MATCH(42, 輔助計算!$F$2:$F$801, 0)+1)), "")&lt;&gt;IFERROR(INDEX(ERP資料!$A:$A, MATCH(41, 輔助計算!$F$2:$F$801, 0)+1), "")), IFERROR(INDEX(ERP資料!$A:$A, (MATCH(42, 輔助計算!$F$2:$F$801, 0)+1)), ""), ""), "")</f>
        <v/>
      </c>
      <c r="C43" s="10">
        <f>IFERROR(IF(AND(IFERROR(INDEX(ERP資料!$A:$A, (MATCH(42, 輔助計算!$F$2:$F$801, 0)+1)), "")&lt;&gt;"", IFERROR(INDEX(ERP資料!$A:$A, (MATCH(42, 輔助計算!$F$2:$F$801, 0)+1)), "")&lt;&gt;IFERROR(INDEX(ERP資料!$A:$A, MATCH(41, 輔助計算!$F$2:$F$801, 0)+1), "")), INDEX(ERP資料!$S:$S, (MATCH(42, 輔助計算!$F$2:$F$801, 0)+1)), ""), "")</f>
        <v/>
      </c>
      <c r="D43" s="10">
        <f>IFERROR(IF(INDEX(ERP資料!$E:$E, (MATCH(42, 輔助計算!$F$2:$F$801, 0)+1))="","",TRIM(INDEX(ERP資料!$E:$E, (MATCH(42, 輔助計算!$F$2:$F$801, 0)+1)))), "")</f>
        <v/>
      </c>
      <c r="E43" s="10">
        <f>IFERROR(IF(INDEX(ERP資料!$F:$F, (MATCH(42, 輔助計算!$F$2:$F$801, 0)+1))="","",INDEX(ERP資料!$F:$F, (MATCH(42, 輔助計算!$F$2:$F$801, 0)+1))), "")</f>
        <v/>
      </c>
      <c r="F43" s="10">
        <f>IFERROR(IF(INDEX(ERP資料!$G:$G, (MATCH(42, 輔助計算!$F$2:$F$801, 0)+1))="","",INDEX(ERP資料!$G:$G, (MATCH(42, 輔助計算!$F$2:$F$801, 0)+1))), "")</f>
        <v/>
      </c>
      <c r="G43" s="10">
        <f>IFERROR(IF(INDEX(ERP資料!$H:$H, (MATCH(42, 輔助計算!$F$2:$F$801, 0)+1))="","",INDEX(ERP資料!$H:$H, (MATCH(42, 輔助計算!$F$2:$F$801, 0)+1))), "")</f>
        <v/>
      </c>
      <c r="H43" s="10">
        <f>IFERROR(IF(INDEX(ERP資料!$O:$O, (MATCH(42, 輔助計算!$F$2:$F$801, 0)+1))="","",INDEX(ERP資料!$O:$O, (MATCH(42, 輔助計算!$F$2:$F$801, 0)+1))), "")</f>
        <v/>
      </c>
      <c r="I43" s="15">
        <f>IFERROR(IF(INDEX(輔助計算!$D:$D,(MATCH(42, 輔助計算!$F$2:$F$801, 0)+1))="","",INDEX(輔助計算!$D:$D,(MATCH(42, 輔助計算!$F$2:$F$801, 0)+1))*INDEX(ERP資料!$O:$O,(MATCH(42, 輔助計算!$F$2:$F$801, 0)+1))), "")</f>
        <v/>
      </c>
      <c r="J43" s="16" t="n"/>
      <c r="K43" s="15">
        <f>IFERROR(INDEX(輔助計算!$D:$D, (MATCH(42, 輔助計算!$F$2:$F$801, 0)+1)), "")</f>
        <v/>
      </c>
      <c r="L43" s="16">
        <f>IFERROR(IF(AND(IFERROR(VLOOKUP(LEFT(INDEX(ERP資料!$S:$S, (MATCH(42, 輔助計算!$F$2:$F$801, 0)+1)), 4), 100張客戶!$A:$A, 1, FALSE), "")&lt;&gt;"", OR(INDEX(ERP資料!$F:$F, (MATCH(42, 輔助計算!$F$2:$F$801, 0)+1))=270, INDEX(ERP資料!$F:$F, (MATCH(42, 輔助計算!$F$2:$F$801, 0)+1))=300)), "100張", ""), "")</f>
        <v/>
      </c>
      <c r="M43" s="17" t="n"/>
      <c r="N43" s="17">
        <f>IF($F43="","",$F43)</f>
        <v/>
      </c>
      <c r="O43" s="17">
        <f>IF($G43="","",$G43)</f>
        <v/>
      </c>
      <c r="P43" s="17">
        <f>IF($K43="","",$K43)</f>
        <v/>
      </c>
      <c r="Q43" s="16" t="n"/>
      <c r="R43" s="18" t="n"/>
      <c r="S43" s="16" t="n"/>
    </row>
    <row r="44">
      <c r="A44" s="14">
        <f>IFERROR(IF(AND(IFERROR(INDEX(ERP資料!$A:$A, (MATCH(43, 輔助計算!$F$2:$F$801, 0)+1)), "")&lt;&gt;"", IFERROR(INDEX(ERP資料!$A:$A, (MATCH(43, 輔助計算!$F$2:$F$801, 0)+1)), "")&lt;&gt;IFERROR(INDEX(ERP資料!$A:$A, MATCH(42, 輔助計算!$F$2:$F$801, 0)+1), "")), INDEX(ERP資料!$B:$B, (MATCH(43, 輔助計算!$F$2:$F$801, 0)+1)), ""), "")</f>
        <v/>
      </c>
      <c r="B44" s="10">
        <f>IFERROR(IF(AND(IFERROR(INDEX(ERP資料!$A:$A, (MATCH(43, 輔助計算!$F$2:$F$801, 0)+1)), "")&lt;&gt;"", IFERROR(INDEX(ERP資料!$A:$A, (MATCH(43, 輔助計算!$F$2:$F$801, 0)+1)), "")&lt;&gt;IFERROR(INDEX(ERP資料!$A:$A, MATCH(42, 輔助計算!$F$2:$F$801, 0)+1), "")), IFERROR(INDEX(ERP資料!$A:$A, (MATCH(43, 輔助計算!$F$2:$F$801, 0)+1)), ""), ""), "")</f>
        <v/>
      </c>
      <c r="C44" s="10">
        <f>IFERROR(IF(AND(IFERROR(INDEX(ERP資料!$A:$A, (MATCH(43, 輔助計算!$F$2:$F$801, 0)+1)), "")&lt;&gt;"", IFERROR(INDEX(ERP資料!$A:$A, (MATCH(43, 輔助計算!$F$2:$F$801, 0)+1)), "")&lt;&gt;IFERROR(INDEX(ERP資料!$A:$A, MATCH(42, 輔助計算!$F$2:$F$801, 0)+1), "")), INDEX(ERP資料!$S:$S, (MATCH(43, 輔助計算!$F$2:$F$801, 0)+1)), ""), "")</f>
        <v/>
      </c>
      <c r="D44" s="10">
        <f>IFERROR(IF(INDEX(ERP資料!$E:$E, (MATCH(43, 輔助計算!$F$2:$F$801, 0)+1))="","",TRIM(INDEX(ERP資料!$E:$E, (MATCH(43, 輔助計算!$F$2:$F$801, 0)+1)))), "")</f>
        <v/>
      </c>
      <c r="E44" s="10">
        <f>IFERROR(IF(INDEX(ERP資料!$F:$F, (MATCH(43, 輔助計算!$F$2:$F$801, 0)+1))="","",INDEX(ERP資料!$F:$F, (MATCH(43, 輔助計算!$F$2:$F$801, 0)+1))), "")</f>
        <v/>
      </c>
      <c r="F44" s="10">
        <f>IFERROR(IF(INDEX(ERP資料!$G:$G, (MATCH(43, 輔助計算!$F$2:$F$801, 0)+1))="","",INDEX(ERP資料!$G:$G, (MATCH(43, 輔助計算!$F$2:$F$801, 0)+1))), "")</f>
        <v/>
      </c>
      <c r="G44" s="10">
        <f>IFERROR(IF(INDEX(ERP資料!$H:$H, (MATCH(43, 輔助計算!$F$2:$F$801, 0)+1))="","",INDEX(ERP資料!$H:$H, (MATCH(43, 輔助計算!$F$2:$F$801, 0)+1))), "")</f>
        <v/>
      </c>
      <c r="H44" s="10">
        <f>IFERROR(IF(INDEX(ERP資料!$O:$O, (MATCH(43, 輔助計算!$F$2:$F$801, 0)+1))="","",INDEX(ERP資料!$O:$O, (MATCH(43, 輔助計算!$F$2:$F$801, 0)+1))), "")</f>
        <v/>
      </c>
      <c r="I44" s="15">
        <f>IFERROR(IF(INDEX(輔助計算!$D:$D,(MATCH(43, 輔助計算!$F$2:$F$801, 0)+1))="","",INDEX(輔助計算!$D:$D,(MATCH(43, 輔助計算!$F$2:$F$801, 0)+1))*INDEX(ERP資料!$O:$O,(MATCH(43, 輔助計算!$F$2:$F$801, 0)+1))), "")</f>
        <v/>
      </c>
      <c r="J44" s="16" t="n"/>
      <c r="K44" s="15">
        <f>IFERROR(INDEX(輔助計算!$D:$D, (MATCH(43, 輔助計算!$F$2:$F$801, 0)+1)), "")</f>
        <v/>
      </c>
      <c r="L44" s="16">
        <f>IFERROR(IF(AND(IFERROR(VLOOKUP(LEFT(INDEX(ERP資料!$S:$S, (MATCH(43, 輔助計算!$F$2:$F$801, 0)+1)), 4), 100張客戶!$A:$A, 1, FALSE), "")&lt;&gt;"", OR(INDEX(ERP資料!$F:$F, (MATCH(43, 輔助計算!$F$2:$F$801, 0)+1))=270, INDEX(ERP資料!$F:$F, (MATCH(43, 輔助計算!$F$2:$F$801, 0)+1))=300)), "100張", ""), "")</f>
        <v/>
      </c>
      <c r="M44" s="17" t="n"/>
      <c r="N44" s="17">
        <f>IF($F44="","",$F44)</f>
        <v/>
      </c>
      <c r="O44" s="17">
        <f>IF($G44="","",$G44)</f>
        <v/>
      </c>
      <c r="P44" s="17">
        <f>IF($K44="","",$K44)</f>
        <v/>
      </c>
      <c r="Q44" s="16" t="n"/>
      <c r="R44" s="18" t="n"/>
      <c r="S44" s="16" t="n"/>
    </row>
    <row r="45">
      <c r="A45" s="14">
        <f>IFERROR(IF(AND(IFERROR(INDEX(ERP資料!$A:$A, (MATCH(44, 輔助計算!$F$2:$F$801, 0)+1)), "")&lt;&gt;"", IFERROR(INDEX(ERP資料!$A:$A, (MATCH(44, 輔助計算!$F$2:$F$801, 0)+1)), "")&lt;&gt;IFERROR(INDEX(ERP資料!$A:$A, MATCH(43, 輔助計算!$F$2:$F$801, 0)+1), "")), INDEX(ERP資料!$B:$B, (MATCH(44, 輔助計算!$F$2:$F$801, 0)+1)), ""), "")</f>
        <v/>
      </c>
      <c r="B45" s="10">
        <f>IFERROR(IF(AND(IFERROR(INDEX(ERP資料!$A:$A, (MATCH(44, 輔助計算!$F$2:$F$801, 0)+1)), "")&lt;&gt;"", IFERROR(INDEX(ERP資料!$A:$A, (MATCH(44, 輔助計算!$F$2:$F$801, 0)+1)), "")&lt;&gt;IFERROR(INDEX(ERP資料!$A:$A, MATCH(43, 輔助計算!$F$2:$F$801, 0)+1), "")), IFERROR(INDEX(ERP資料!$A:$A, (MATCH(44, 輔助計算!$F$2:$F$801, 0)+1)), ""), ""), "")</f>
        <v/>
      </c>
      <c r="C45" s="10">
        <f>IFERROR(IF(AND(IFERROR(INDEX(ERP資料!$A:$A, (MATCH(44, 輔助計算!$F$2:$F$801, 0)+1)), "")&lt;&gt;"", IFERROR(INDEX(ERP資料!$A:$A, (MATCH(44, 輔助計算!$F$2:$F$801, 0)+1)), "")&lt;&gt;IFERROR(INDEX(ERP資料!$A:$A, MATCH(43, 輔助計算!$F$2:$F$801, 0)+1), "")), INDEX(ERP資料!$S:$S, (MATCH(44, 輔助計算!$F$2:$F$801, 0)+1)), ""), "")</f>
        <v/>
      </c>
      <c r="D45" s="10">
        <f>IFERROR(IF(INDEX(ERP資料!$E:$E, (MATCH(44, 輔助計算!$F$2:$F$801, 0)+1))="","",TRIM(INDEX(ERP資料!$E:$E, (MATCH(44, 輔助計算!$F$2:$F$801, 0)+1)))), "")</f>
        <v/>
      </c>
      <c r="E45" s="10">
        <f>IFERROR(IF(INDEX(ERP資料!$F:$F, (MATCH(44, 輔助計算!$F$2:$F$801, 0)+1))="","",INDEX(ERP資料!$F:$F, (MATCH(44, 輔助計算!$F$2:$F$801, 0)+1))), "")</f>
        <v/>
      </c>
      <c r="F45" s="10">
        <f>IFERROR(IF(INDEX(ERP資料!$G:$G, (MATCH(44, 輔助計算!$F$2:$F$801, 0)+1))="","",INDEX(ERP資料!$G:$G, (MATCH(44, 輔助計算!$F$2:$F$801, 0)+1))), "")</f>
        <v/>
      </c>
      <c r="G45" s="10">
        <f>IFERROR(IF(INDEX(ERP資料!$H:$H, (MATCH(44, 輔助計算!$F$2:$F$801, 0)+1))="","",INDEX(ERP資料!$H:$H, (MATCH(44, 輔助計算!$F$2:$F$801, 0)+1))), "")</f>
        <v/>
      </c>
      <c r="H45" s="10">
        <f>IFERROR(IF(INDEX(ERP資料!$O:$O, (MATCH(44, 輔助計算!$F$2:$F$801, 0)+1))="","",INDEX(ERP資料!$O:$O, (MATCH(44, 輔助計算!$F$2:$F$801, 0)+1))), "")</f>
        <v/>
      </c>
      <c r="I45" s="15">
        <f>IFERROR(IF(INDEX(輔助計算!$D:$D,(MATCH(44, 輔助計算!$F$2:$F$801, 0)+1))="","",INDEX(輔助計算!$D:$D,(MATCH(44, 輔助計算!$F$2:$F$801, 0)+1))*INDEX(ERP資料!$O:$O,(MATCH(44, 輔助計算!$F$2:$F$801, 0)+1))), "")</f>
        <v/>
      </c>
      <c r="J45" s="16" t="n"/>
      <c r="K45" s="15">
        <f>IFERROR(INDEX(輔助計算!$D:$D, (MATCH(44, 輔助計算!$F$2:$F$801, 0)+1)), "")</f>
        <v/>
      </c>
      <c r="L45" s="16">
        <f>IFERROR(IF(AND(IFERROR(VLOOKUP(LEFT(INDEX(ERP資料!$S:$S, (MATCH(44, 輔助計算!$F$2:$F$801, 0)+1)), 4), 100張客戶!$A:$A, 1, FALSE), "")&lt;&gt;"", OR(INDEX(ERP資料!$F:$F, (MATCH(44, 輔助計算!$F$2:$F$801, 0)+1))=270, INDEX(ERP資料!$F:$F, (MATCH(44, 輔助計算!$F$2:$F$801, 0)+1))=300)), "100張", ""), "")</f>
        <v/>
      </c>
      <c r="M45" s="17" t="n"/>
      <c r="N45" s="17">
        <f>IF($F45="","",$F45)</f>
        <v/>
      </c>
      <c r="O45" s="17">
        <f>IF($G45="","",$G45)</f>
        <v/>
      </c>
      <c r="P45" s="17">
        <f>IF($K45="","",$K45)</f>
        <v/>
      </c>
      <c r="Q45" s="16" t="n"/>
      <c r="R45" s="18" t="n"/>
      <c r="S45" s="16" t="n"/>
    </row>
    <row r="46">
      <c r="A46" s="14">
        <f>IFERROR(IF(AND(IFERROR(INDEX(ERP資料!$A:$A, (MATCH(45, 輔助計算!$F$2:$F$801, 0)+1)), "")&lt;&gt;"", IFERROR(INDEX(ERP資料!$A:$A, (MATCH(45, 輔助計算!$F$2:$F$801, 0)+1)), "")&lt;&gt;IFERROR(INDEX(ERP資料!$A:$A, MATCH(44, 輔助計算!$F$2:$F$801, 0)+1), "")), INDEX(ERP資料!$B:$B, (MATCH(45, 輔助計算!$F$2:$F$801, 0)+1)), ""), "")</f>
        <v/>
      </c>
      <c r="B46" s="10">
        <f>IFERROR(IF(AND(IFERROR(INDEX(ERP資料!$A:$A, (MATCH(45, 輔助計算!$F$2:$F$801, 0)+1)), "")&lt;&gt;"", IFERROR(INDEX(ERP資料!$A:$A, (MATCH(45, 輔助計算!$F$2:$F$801, 0)+1)), "")&lt;&gt;IFERROR(INDEX(ERP資料!$A:$A, MATCH(44, 輔助計算!$F$2:$F$801, 0)+1), "")), IFERROR(INDEX(ERP資料!$A:$A, (MATCH(45, 輔助計算!$F$2:$F$801, 0)+1)), ""), ""), "")</f>
        <v/>
      </c>
      <c r="C46" s="10">
        <f>IFERROR(IF(AND(IFERROR(INDEX(ERP資料!$A:$A, (MATCH(45, 輔助計算!$F$2:$F$801, 0)+1)), "")&lt;&gt;"", IFERROR(INDEX(ERP資料!$A:$A, (MATCH(45, 輔助計算!$F$2:$F$801, 0)+1)), "")&lt;&gt;IFERROR(INDEX(ERP資料!$A:$A, MATCH(44, 輔助計算!$F$2:$F$801, 0)+1), "")), INDEX(ERP資料!$S:$S, (MATCH(45, 輔助計算!$F$2:$F$801, 0)+1)), ""), "")</f>
        <v/>
      </c>
      <c r="D46" s="10">
        <f>IFERROR(IF(INDEX(ERP資料!$E:$E, (MATCH(45, 輔助計算!$F$2:$F$801, 0)+1))="","",TRIM(INDEX(ERP資料!$E:$E, (MATCH(45, 輔助計算!$F$2:$F$801, 0)+1)))), "")</f>
        <v/>
      </c>
      <c r="E46" s="10">
        <f>IFERROR(IF(INDEX(ERP資料!$F:$F, (MATCH(45, 輔助計算!$F$2:$F$801, 0)+1))="","",INDEX(ERP資料!$F:$F, (MATCH(45, 輔助計算!$F$2:$F$801, 0)+1))), "")</f>
        <v/>
      </c>
      <c r="F46" s="10">
        <f>IFERROR(IF(INDEX(ERP資料!$G:$G, (MATCH(45, 輔助計算!$F$2:$F$801, 0)+1))="","",INDEX(ERP資料!$G:$G, (MATCH(45, 輔助計算!$F$2:$F$801, 0)+1))), "")</f>
        <v/>
      </c>
      <c r="G46" s="10">
        <f>IFERROR(IF(INDEX(ERP資料!$H:$H, (MATCH(45, 輔助計算!$F$2:$F$801, 0)+1))="","",INDEX(ERP資料!$H:$H, (MATCH(45, 輔助計算!$F$2:$F$801, 0)+1))), "")</f>
        <v/>
      </c>
      <c r="H46" s="10">
        <f>IFERROR(IF(INDEX(ERP資料!$O:$O, (MATCH(45, 輔助計算!$F$2:$F$801, 0)+1))="","",INDEX(ERP資料!$O:$O, (MATCH(45, 輔助計算!$F$2:$F$801, 0)+1))), "")</f>
        <v/>
      </c>
      <c r="I46" s="15">
        <f>IFERROR(IF(INDEX(輔助計算!$D:$D,(MATCH(45, 輔助計算!$F$2:$F$801, 0)+1))="","",INDEX(輔助計算!$D:$D,(MATCH(45, 輔助計算!$F$2:$F$801, 0)+1))*INDEX(ERP資料!$O:$O,(MATCH(45, 輔助計算!$F$2:$F$801, 0)+1))), "")</f>
        <v/>
      </c>
      <c r="J46" s="16" t="n"/>
      <c r="K46" s="15">
        <f>IFERROR(INDEX(輔助計算!$D:$D, (MATCH(45, 輔助計算!$F$2:$F$801, 0)+1)), "")</f>
        <v/>
      </c>
      <c r="L46" s="16">
        <f>IFERROR(IF(AND(IFERROR(VLOOKUP(LEFT(INDEX(ERP資料!$S:$S, (MATCH(45, 輔助計算!$F$2:$F$801, 0)+1)), 4), 100張客戶!$A:$A, 1, FALSE), "")&lt;&gt;"", OR(INDEX(ERP資料!$F:$F, (MATCH(45, 輔助計算!$F$2:$F$801, 0)+1))=270, INDEX(ERP資料!$F:$F, (MATCH(45, 輔助計算!$F$2:$F$801, 0)+1))=300)), "100張", ""), "")</f>
        <v/>
      </c>
      <c r="M46" s="17" t="n"/>
      <c r="N46" s="17">
        <f>IF($F46="","",$F46)</f>
        <v/>
      </c>
      <c r="O46" s="17">
        <f>IF($G46="","",$G46)</f>
        <v/>
      </c>
      <c r="P46" s="17">
        <f>IF($K46="","",$K46)</f>
        <v/>
      </c>
      <c r="Q46" s="16" t="n"/>
      <c r="R46" s="18" t="n"/>
      <c r="S46" s="16" t="n"/>
    </row>
    <row r="47">
      <c r="A47" s="14">
        <f>IFERROR(IF(AND(IFERROR(INDEX(ERP資料!$A:$A, (MATCH(46, 輔助計算!$F$2:$F$801, 0)+1)), "")&lt;&gt;"", IFERROR(INDEX(ERP資料!$A:$A, (MATCH(46, 輔助計算!$F$2:$F$801, 0)+1)), "")&lt;&gt;IFERROR(INDEX(ERP資料!$A:$A, MATCH(45, 輔助計算!$F$2:$F$801, 0)+1), "")), INDEX(ERP資料!$B:$B, (MATCH(46, 輔助計算!$F$2:$F$801, 0)+1)), ""), "")</f>
        <v/>
      </c>
      <c r="B47" s="10">
        <f>IFERROR(IF(AND(IFERROR(INDEX(ERP資料!$A:$A, (MATCH(46, 輔助計算!$F$2:$F$801, 0)+1)), "")&lt;&gt;"", IFERROR(INDEX(ERP資料!$A:$A, (MATCH(46, 輔助計算!$F$2:$F$801, 0)+1)), "")&lt;&gt;IFERROR(INDEX(ERP資料!$A:$A, MATCH(45, 輔助計算!$F$2:$F$801, 0)+1), "")), IFERROR(INDEX(ERP資料!$A:$A, (MATCH(46, 輔助計算!$F$2:$F$801, 0)+1)), ""), ""), "")</f>
        <v/>
      </c>
      <c r="C47" s="10">
        <f>IFERROR(IF(AND(IFERROR(INDEX(ERP資料!$A:$A, (MATCH(46, 輔助計算!$F$2:$F$801, 0)+1)), "")&lt;&gt;"", IFERROR(INDEX(ERP資料!$A:$A, (MATCH(46, 輔助計算!$F$2:$F$801, 0)+1)), "")&lt;&gt;IFERROR(INDEX(ERP資料!$A:$A, MATCH(45, 輔助計算!$F$2:$F$801, 0)+1), "")), INDEX(ERP資料!$S:$S, (MATCH(46, 輔助計算!$F$2:$F$801, 0)+1)), ""), "")</f>
        <v/>
      </c>
      <c r="D47" s="10">
        <f>IFERROR(IF(INDEX(ERP資料!$E:$E, (MATCH(46, 輔助計算!$F$2:$F$801, 0)+1))="","",TRIM(INDEX(ERP資料!$E:$E, (MATCH(46, 輔助計算!$F$2:$F$801, 0)+1)))), "")</f>
        <v/>
      </c>
      <c r="E47" s="10">
        <f>IFERROR(IF(INDEX(ERP資料!$F:$F, (MATCH(46, 輔助計算!$F$2:$F$801, 0)+1))="","",INDEX(ERP資料!$F:$F, (MATCH(46, 輔助計算!$F$2:$F$801, 0)+1))), "")</f>
        <v/>
      </c>
      <c r="F47" s="10">
        <f>IFERROR(IF(INDEX(ERP資料!$G:$G, (MATCH(46, 輔助計算!$F$2:$F$801, 0)+1))="","",INDEX(ERP資料!$G:$G, (MATCH(46, 輔助計算!$F$2:$F$801, 0)+1))), "")</f>
        <v/>
      </c>
      <c r="G47" s="10">
        <f>IFERROR(IF(INDEX(ERP資料!$H:$H, (MATCH(46, 輔助計算!$F$2:$F$801, 0)+1))="","",INDEX(ERP資料!$H:$H, (MATCH(46, 輔助計算!$F$2:$F$801, 0)+1))), "")</f>
        <v/>
      </c>
      <c r="H47" s="10">
        <f>IFERROR(IF(INDEX(ERP資料!$O:$O, (MATCH(46, 輔助計算!$F$2:$F$801, 0)+1))="","",INDEX(ERP資料!$O:$O, (MATCH(46, 輔助計算!$F$2:$F$801, 0)+1))), "")</f>
        <v/>
      </c>
      <c r="I47" s="15">
        <f>IFERROR(IF(INDEX(輔助計算!$D:$D,(MATCH(46, 輔助計算!$F$2:$F$801, 0)+1))="","",INDEX(輔助計算!$D:$D,(MATCH(46, 輔助計算!$F$2:$F$801, 0)+1))*INDEX(ERP資料!$O:$O,(MATCH(46, 輔助計算!$F$2:$F$801, 0)+1))), "")</f>
        <v/>
      </c>
      <c r="J47" s="16" t="n"/>
      <c r="K47" s="15">
        <f>IFERROR(INDEX(輔助計算!$D:$D, (MATCH(46, 輔助計算!$F$2:$F$801, 0)+1)), "")</f>
        <v/>
      </c>
      <c r="L47" s="16">
        <f>IFERROR(IF(AND(IFERROR(VLOOKUP(LEFT(INDEX(ERP資料!$S:$S, (MATCH(46, 輔助計算!$F$2:$F$801, 0)+1)), 4), 100張客戶!$A:$A, 1, FALSE), "")&lt;&gt;"", OR(INDEX(ERP資料!$F:$F, (MATCH(46, 輔助計算!$F$2:$F$801, 0)+1))=270, INDEX(ERP資料!$F:$F, (MATCH(46, 輔助計算!$F$2:$F$801, 0)+1))=300)), "100張", ""), "")</f>
        <v/>
      </c>
      <c r="M47" s="17" t="n"/>
      <c r="N47" s="17">
        <f>IF($F47="","",$F47)</f>
        <v/>
      </c>
      <c r="O47" s="17">
        <f>IF($G47="","",$G47)</f>
        <v/>
      </c>
      <c r="P47" s="17">
        <f>IF($K47="","",$K47)</f>
        <v/>
      </c>
      <c r="Q47" s="16" t="n"/>
      <c r="R47" s="18" t="n"/>
      <c r="S47" s="16" t="n"/>
    </row>
    <row r="48">
      <c r="A48" s="14">
        <f>IFERROR(IF(AND(IFERROR(INDEX(ERP資料!$A:$A, (MATCH(47, 輔助計算!$F$2:$F$801, 0)+1)), "")&lt;&gt;"", IFERROR(INDEX(ERP資料!$A:$A, (MATCH(47, 輔助計算!$F$2:$F$801, 0)+1)), "")&lt;&gt;IFERROR(INDEX(ERP資料!$A:$A, MATCH(46, 輔助計算!$F$2:$F$801, 0)+1), "")), INDEX(ERP資料!$B:$B, (MATCH(47, 輔助計算!$F$2:$F$801, 0)+1)), ""), "")</f>
        <v/>
      </c>
      <c r="B48" s="10">
        <f>IFERROR(IF(AND(IFERROR(INDEX(ERP資料!$A:$A, (MATCH(47, 輔助計算!$F$2:$F$801, 0)+1)), "")&lt;&gt;"", IFERROR(INDEX(ERP資料!$A:$A, (MATCH(47, 輔助計算!$F$2:$F$801, 0)+1)), "")&lt;&gt;IFERROR(INDEX(ERP資料!$A:$A, MATCH(46, 輔助計算!$F$2:$F$801, 0)+1), "")), IFERROR(INDEX(ERP資料!$A:$A, (MATCH(47, 輔助計算!$F$2:$F$801, 0)+1)), ""), ""), "")</f>
        <v/>
      </c>
      <c r="C48" s="10">
        <f>IFERROR(IF(AND(IFERROR(INDEX(ERP資料!$A:$A, (MATCH(47, 輔助計算!$F$2:$F$801, 0)+1)), "")&lt;&gt;"", IFERROR(INDEX(ERP資料!$A:$A, (MATCH(47, 輔助計算!$F$2:$F$801, 0)+1)), "")&lt;&gt;IFERROR(INDEX(ERP資料!$A:$A, MATCH(46, 輔助計算!$F$2:$F$801, 0)+1), "")), INDEX(ERP資料!$S:$S, (MATCH(47, 輔助計算!$F$2:$F$801, 0)+1)), ""), "")</f>
        <v/>
      </c>
      <c r="D48" s="10">
        <f>IFERROR(IF(INDEX(ERP資料!$E:$E, (MATCH(47, 輔助計算!$F$2:$F$801, 0)+1))="","",TRIM(INDEX(ERP資料!$E:$E, (MATCH(47, 輔助計算!$F$2:$F$801, 0)+1)))), "")</f>
        <v/>
      </c>
      <c r="E48" s="10">
        <f>IFERROR(IF(INDEX(ERP資料!$F:$F, (MATCH(47, 輔助計算!$F$2:$F$801, 0)+1))="","",INDEX(ERP資料!$F:$F, (MATCH(47, 輔助計算!$F$2:$F$801, 0)+1))), "")</f>
        <v/>
      </c>
      <c r="F48" s="10">
        <f>IFERROR(IF(INDEX(ERP資料!$G:$G, (MATCH(47, 輔助計算!$F$2:$F$801, 0)+1))="","",INDEX(ERP資料!$G:$G, (MATCH(47, 輔助計算!$F$2:$F$801, 0)+1))), "")</f>
        <v/>
      </c>
      <c r="G48" s="10">
        <f>IFERROR(IF(INDEX(ERP資料!$H:$H, (MATCH(47, 輔助計算!$F$2:$F$801, 0)+1))="","",INDEX(ERP資料!$H:$H, (MATCH(47, 輔助計算!$F$2:$F$801, 0)+1))), "")</f>
        <v/>
      </c>
      <c r="H48" s="10">
        <f>IFERROR(IF(INDEX(ERP資料!$O:$O, (MATCH(47, 輔助計算!$F$2:$F$801, 0)+1))="","",INDEX(ERP資料!$O:$O, (MATCH(47, 輔助計算!$F$2:$F$801, 0)+1))), "")</f>
        <v/>
      </c>
      <c r="I48" s="15">
        <f>IFERROR(IF(INDEX(輔助計算!$D:$D,(MATCH(47, 輔助計算!$F$2:$F$801, 0)+1))="","",INDEX(輔助計算!$D:$D,(MATCH(47, 輔助計算!$F$2:$F$801, 0)+1))*INDEX(ERP資料!$O:$O,(MATCH(47, 輔助計算!$F$2:$F$801, 0)+1))), "")</f>
        <v/>
      </c>
      <c r="J48" s="16" t="n"/>
      <c r="K48" s="15">
        <f>IFERROR(INDEX(輔助計算!$D:$D, (MATCH(47, 輔助計算!$F$2:$F$801, 0)+1)), "")</f>
        <v/>
      </c>
      <c r="L48" s="16">
        <f>IFERROR(IF(AND(IFERROR(VLOOKUP(LEFT(INDEX(ERP資料!$S:$S, (MATCH(47, 輔助計算!$F$2:$F$801, 0)+1)), 4), 100張客戶!$A:$A, 1, FALSE), "")&lt;&gt;"", OR(INDEX(ERP資料!$F:$F, (MATCH(47, 輔助計算!$F$2:$F$801, 0)+1))=270, INDEX(ERP資料!$F:$F, (MATCH(47, 輔助計算!$F$2:$F$801, 0)+1))=300)), "100張", ""), "")</f>
        <v/>
      </c>
      <c r="M48" s="17" t="n"/>
      <c r="N48" s="17">
        <f>IF($F48="","",$F48)</f>
        <v/>
      </c>
      <c r="O48" s="17">
        <f>IF($G48="","",$G48)</f>
        <v/>
      </c>
      <c r="P48" s="17">
        <f>IF($K48="","",$K48)</f>
        <v/>
      </c>
      <c r="Q48" s="16" t="n"/>
      <c r="R48" s="18" t="n"/>
      <c r="S48" s="16" t="n"/>
    </row>
    <row r="49">
      <c r="A49" s="14">
        <f>IFERROR(IF(AND(IFERROR(INDEX(ERP資料!$A:$A, (MATCH(48, 輔助計算!$F$2:$F$801, 0)+1)), "")&lt;&gt;"", IFERROR(INDEX(ERP資料!$A:$A, (MATCH(48, 輔助計算!$F$2:$F$801, 0)+1)), "")&lt;&gt;IFERROR(INDEX(ERP資料!$A:$A, MATCH(47, 輔助計算!$F$2:$F$801, 0)+1), "")), INDEX(ERP資料!$B:$B, (MATCH(48, 輔助計算!$F$2:$F$801, 0)+1)), ""), "")</f>
        <v/>
      </c>
      <c r="B49" s="10">
        <f>IFERROR(IF(AND(IFERROR(INDEX(ERP資料!$A:$A, (MATCH(48, 輔助計算!$F$2:$F$801, 0)+1)), "")&lt;&gt;"", IFERROR(INDEX(ERP資料!$A:$A, (MATCH(48, 輔助計算!$F$2:$F$801, 0)+1)), "")&lt;&gt;IFERROR(INDEX(ERP資料!$A:$A, MATCH(47, 輔助計算!$F$2:$F$801, 0)+1), "")), IFERROR(INDEX(ERP資料!$A:$A, (MATCH(48, 輔助計算!$F$2:$F$801, 0)+1)), ""), ""), "")</f>
        <v/>
      </c>
      <c r="C49" s="10">
        <f>IFERROR(IF(AND(IFERROR(INDEX(ERP資料!$A:$A, (MATCH(48, 輔助計算!$F$2:$F$801, 0)+1)), "")&lt;&gt;"", IFERROR(INDEX(ERP資料!$A:$A, (MATCH(48, 輔助計算!$F$2:$F$801, 0)+1)), "")&lt;&gt;IFERROR(INDEX(ERP資料!$A:$A, MATCH(47, 輔助計算!$F$2:$F$801, 0)+1), "")), INDEX(ERP資料!$S:$S, (MATCH(48, 輔助計算!$F$2:$F$801, 0)+1)), ""), "")</f>
        <v/>
      </c>
      <c r="D49" s="10">
        <f>IFERROR(IF(INDEX(ERP資料!$E:$E, (MATCH(48, 輔助計算!$F$2:$F$801, 0)+1))="","",TRIM(INDEX(ERP資料!$E:$E, (MATCH(48, 輔助計算!$F$2:$F$801, 0)+1)))), "")</f>
        <v/>
      </c>
      <c r="E49" s="10">
        <f>IFERROR(IF(INDEX(ERP資料!$F:$F, (MATCH(48, 輔助計算!$F$2:$F$801, 0)+1))="","",INDEX(ERP資料!$F:$F, (MATCH(48, 輔助計算!$F$2:$F$801, 0)+1))), "")</f>
        <v/>
      </c>
      <c r="F49" s="10">
        <f>IFERROR(IF(INDEX(ERP資料!$G:$G, (MATCH(48, 輔助計算!$F$2:$F$801, 0)+1))="","",INDEX(ERP資料!$G:$G, (MATCH(48, 輔助計算!$F$2:$F$801, 0)+1))), "")</f>
        <v/>
      </c>
      <c r="G49" s="10">
        <f>IFERROR(IF(INDEX(ERP資料!$H:$H, (MATCH(48, 輔助計算!$F$2:$F$801, 0)+1))="","",INDEX(ERP資料!$H:$H, (MATCH(48, 輔助計算!$F$2:$F$801, 0)+1))), "")</f>
        <v/>
      </c>
      <c r="H49" s="10">
        <f>IFERROR(IF(INDEX(ERP資料!$O:$O, (MATCH(48, 輔助計算!$F$2:$F$801, 0)+1))="","",INDEX(ERP資料!$O:$O, (MATCH(48, 輔助計算!$F$2:$F$801, 0)+1))), "")</f>
        <v/>
      </c>
      <c r="I49" s="15">
        <f>IFERROR(IF(INDEX(輔助計算!$D:$D,(MATCH(48, 輔助計算!$F$2:$F$801, 0)+1))="","",INDEX(輔助計算!$D:$D,(MATCH(48, 輔助計算!$F$2:$F$801, 0)+1))*INDEX(ERP資料!$O:$O,(MATCH(48, 輔助計算!$F$2:$F$801, 0)+1))), "")</f>
        <v/>
      </c>
      <c r="J49" s="16" t="n"/>
      <c r="K49" s="15">
        <f>IFERROR(INDEX(輔助計算!$D:$D, (MATCH(48, 輔助計算!$F$2:$F$801, 0)+1)), "")</f>
        <v/>
      </c>
      <c r="L49" s="16">
        <f>IFERROR(IF(AND(IFERROR(VLOOKUP(LEFT(INDEX(ERP資料!$S:$S, (MATCH(48, 輔助計算!$F$2:$F$801, 0)+1)), 4), 100張客戶!$A:$A, 1, FALSE), "")&lt;&gt;"", OR(INDEX(ERP資料!$F:$F, (MATCH(48, 輔助計算!$F$2:$F$801, 0)+1))=270, INDEX(ERP資料!$F:$F, (MATCH(48, 輔助計算!$F$2:$F$801, 0)+1))=300)), "100張", ""), "")</f>
        <v/>
      </c>
      <c r="M49" s="17" t="n"/>
      <c r="N49" s="17">
        <f>IF($F49="","",$F49)</f>
        <v/>
      </c>
      <c r="O49" s="17">
        <f>IF($G49="","",$G49)</f>
        <v/>
      </c>
      <c r="P49" s="17">
        <f>IF($K49="","",$K49)</f>
        <v/>
      </c>
      <c r="Q49" s="16" t="n"/>
      <c r="R49" s="18" t="n"/>
      <c r="S49" s="16" t="n"/>
    </row>
    <row r="50">
      <c r="A50" s="14">
        <f>IFERROR(IF(AND(IFERROR(INDEX(ERP資料!$A:$A, (MATCH(49, 輔助計算!$F$2:$F$801, 0)+1)), "")&lt;&gt;"", IFERROR(INDEX(ERP資料!$A:$A, (MATCH(49, 輔助計算!$F$2:$F$801, 0)+1)), "")&lt;&gt;IFERROR(INDEX(ERP資料!$A:$A, MATCH(48, 輔助計算!$F$2:$F$801, 0)+1), "")), INDEX(ERP資料!$B:$B, (MATCH(49, 輔助計算!$F$2:$F$801, 0)+1)), ""), "")</f>
        <v/>
      </c>
      <c r="B50" s="10">
        <f>IFERROR(IF(AND(IFERROR(INDEX(ERP資料!$A:$A, (MATCH(49, 輔助計算!$F$2:$F$801, 0)+1)), "")&lt;&gt;"", IFERROR(INDEX(ERP資料!$A:$A, (MATCH(49, 輔助計算!$F$2:$F$801, 0)+1)), "")&lt;&gt;IFERROR(INDEX(ERP資料!$A:$A, MATCH(48, 輔助計算!$F$2:$F$801, 0)+1), "")), IFERROR(INDEX(ERP資料!$A:$A, (MATCH(49, 輔助計算!$F$2:$F$801, 0)+1)), ""), ""), "")</f>
        <v/>
      </c>
      <c r="C50" s="10">
        <f>IFERROR(IF(AND(IFERROR(INDEX(ERP資料!$A:$A, (MATCH(49, 輔助計算!$F$2:$F$801, 0)+1)), "")&lt;&gt;"", IFERROR(INDEX(ERP資料!$A:$A, (MATCH(49, 輔助計算!$F$2:$F$801, 0)+1)), "")&lt;&gt;IFERROR(INDEX(ERP資料!$A:$A, MATCH(48, 輔助計算!$F$2:$F$801, 0)+1), "")), INDEX(ERP資料!$S:$S, (MATCH(49, 輔助計算!$F$2:$F$801, 0)+1)), ""), "")</f>
        <v/>
      </c>
      <c r="D50" s="10">
        <f>IFERROR(IF(INDEX(ERP資料!$E:$E, (MATCH(49, 輔助計算!$F$2:$F$801, 0)+1))="","",TRIM(INDEX(ERP資料!$E:$E, (MATCH(49, 輔助計算!$F$2:$F$801, 0)+1)))), "")</f>
        <v/>
      </c>
      <c r="E50" s="10">
        <f>IFERROR(IF(INDEX(ERP資料!$F:$F, (MATCH(49, 輔助計算!$F$2:$F$801, 0)+1))="","",INDEX(ERP資料!$F:$F, (MATCH(49, 輔助計算!$F$2:$F$801, 0)+1))), "")</f>
        <v/>
      </c>
      <c r="F50" s="10">
        <f>IFERROR(IF(INDEX(ERP資料!$G:$G, (MATCH(49, 輔助計算!$F$2:$F$801, 0)+1))="","",INDEX(ERP資料!$G:$G, (MATCH(49, 輔助計算!$F$2:$F$801, 0)+1))), "")</f>
        <v/>
      </c>
      <c r="G50" s="10">
        <f>IFERROR(IF(INDEX(ERP資料!$H:$H, (MATCH(49, 輔助計算!$F$2:$F$801, 0)+1))="","",INDEX(ERP資料!$H:$H, (MATCH(49, 輔助計算!$F$2:$F$801, 0)+1))), "")</f>
        <v/>
      </c>
      <c r="H50" s="10">
        <f>IFERROR(IF(INDEX(ERP資料!$O:$O, (MATCH(49, 輔助計算!$F$2:$F$801, 0)+1))="","",INDEX(ERP資料!$O:$O, (MATCH(49, 輔助計算!$F$2:$F$801, 0)+1))), "")</f>
        <v/>
      </c>
      <c r="I50" s="15">
        <f>IFERROR(IF(INDEX(輔助計算!$D:$D,(MATCH(49, 輔助計算!$F$2:$F$801, 0)+1))="","",INDEX(輔助計算!$D:$D,(MATCH(49, 輔助計算!$F$2:$F$801, 0)+1))*INDEX(ERP資料!$O:$O,(MATCH(49, 輔助計算!$F$2:$F$801, 0)+1))), "")</f>
        <v/>
      </c>
      <c r="J50" s="16" t="n"/>
      <c r="K50" s="15">
        <f>IFERROR(INDEX(輔助計算!$D:$D, (MATCH(49, 輔助計算!$F$2:$F$801, 0)+1)), "")</f>
        <v/>
      </c>
      <c r="L50" s="16">
        <f>IFERROR(IF(AND(IFERROR(VLOOKUP(LEFT(INDEX(ERP資料!$S:$S, (MATCH(49, 輔助計算!$F$2:$F$801, 0)+1)), 4), 100張客戶!$A:$A, 1, FALSE), "")&lt;&gt;"", OR(INDEX(ERP資料!$F:$F, (MATCH(49, 輔助計算!$F$2:$F$801, 0)+1))=270, INDEX(ERP資料!$F:$F, (MATCH(49, 輔助計算!$F$2:$F$801, 0)+1))=300)), "100張", ""), "")</f>
        <v/>
      </c>
      <c r="M50" s="17" t="n"/>
      <c r="N50" s="17">
        <f>IF($F50="","",$F50)</f>
        <v/>
      </c>
      <c r="O50" s="17">
        <f>IF($G50="","",$G50)</f>
        <v/>
      </c>
      <c r="P50" s="17">
        <f>IF($K50="","",$K50)</f>
        <v/>
      </c>
      <c r="Q50" s="16" t="n"/>
      <c r="R50" s="18" t="n"/>
      <c r="S50" s="16" t="n"/>
    </row>
    <row r="51">
      <c r="A51" s="14">
        <f>IFERROR(IF(AND(IFERROR(INDEX(ERP資料!$A:$A, (MATCH(50, 輔助計算!$F$2:$F$801, 0)+1)), "")&lt;&gt;"", IFERROR(INDEX(ERP資料!$A:$A, (MATCH(50, 輔助計算!$F$2:$F$801, 0)+1)), "")&lt;&gt;IFERROR(INDEX(ERP資料!$A:$A, MATCH(49, 輔助計算!$F$2:$F$801, 0)+1), "")), INDEX(ERP資料!$B:$B, (MATCH(50, 輔助計算!$F$2:$F$801, 0)+1)), ""), "")</f>
        <v/>
      </c>
      <c r="B51" s="10">
        <f>IFERROR(IF(AND(IFERROR(INDEX(ERP資料!$A:$A, (MATCH(50, 輔助計算!$F$2:$F$801, 0)+1)), "")&lt;&gt;"", IFERROR(INDEX(ERP資料!$A:$A, (MATCH(50, 輔助計算!$F$2:$F$801, 0)+1)), "")&lt;&gt;IFERROR(INDEX(ERP資料!$A:$A, MATCH(49, 輔助計算!$F$2:$F$801, 0)+1), "")), IFERROR(INDEX(ERP資料!$A:$A, (MATCH(50, 輔助計算!$F$2:$F$801, 0)+1)), ""), ""), "")</f>
        <v/>
      </c>
      <c r="C51" s="10">
        <f>IFERROR(IF(AND(IFERROR(INDEX(ERP資料!$A:$A, (MATCH(50, 輔助計算!$F$2:$F$801, 0)+1)), "")&lt;&gt;"", IFERROR(INDEX(ERP資料!$A:$A, (MATCH(50, 輔助計算!$F$2:$F$801, 0)+1)), "")&lt;&gt;IFERROR(INDEX(ERP資料!$A:$A, MATCH(49, 輔助計算!$F$2:$F$801, 0)+1), "")), INDEX(ERP資料!$S:$S, (MATCH(50, 輔助計算!$F$2:$F$801, 0)+1)), ""), "")</f>
        <v/>
      </c>
      <c r="D51" s="10">
        <f>IFERROR(IF(INDEX(ERP資料!$E:$E, (MATCH(50, 輔助計算!$F$2:$F$801, 0)+1))="","",TRIM(INDEX(ERP資料!$E:$E, (MATCH(50, 輔助計算!$F$2:$F$801, 0)+1)))), "")</f>
        <v/>
      </c>
      <c r="E51" s="10">
        <f>IFERROR(IF(INDEX(ERP資料!$F:$F, (MATCH(50, 輔助計算!$F$2:$F$801, 0)+1))="","",INDEX(ERP資料!$F:$F, (MATCH(50, 輔助計算!$F$2:$F$801, 0)+1))), "")</f>
        <v/>
      </c>
      <c r="F51" s="10">
        <f>IFERROR(IF(INDEX(ERP資料!$G:$G, (MATCH(50, 輔助計算!$F$2:$F$801, 0)+1))="","",INDEX(ERP資料!$G:$G, (MATCH(50, 輔助計算!$F$2:$F$801, 0)+1))), "")</f>
        <v/>
      </c>
      <c r="G51" s="10">
        <f>IFERROR(IF(INDEX(ERP資料!$H:$H, (MATCH(50, 輔助計算!$F$2:$F$801, 0)+1))="","",INDEX(ERP資料!$H:$H, (MATCH(50, 輔助計算!$F$2:$F$801, 0)+1))), "")</f>
        <v/>
      </c>
      <c r="H51" s="10">
        <f>IFERROR(IF(INDEX(ERP資料!$O:$O, (MATCH(50, 輔助計算!$F$2:$F$801, 0)+1))="","",INDEX(ERP資料!$O:$O, (MATCH(50, 輔助計算!$F$2:$F$801, 0)+1))), "")</f>
        <v/>
      </c>
      <c r="I51" s="15">
        <f>IFERROR(IF(INDEX(輔助計算!$D:$D,(MATCH(50, 輔助計算!$F$2:$F$801, 0)+1))="","",INDEX(輔助計算!$D:$D,(MATCH(50, 輔助計算!$F$2:$F$801, 0)+1))*INDEX(ERP資料!$O:$O,(MATCH(50, 輔助計算!$F$2:$F$801, 0)+1))), "")</f>
        <v/>
      </c>
      <c r="J51" s="16" t="n"/>
      <c r="K51" s="15">
        <f>IFERROR(INDEX(輔助計算!$D:$D, (MATCH(50, 輔助計算!$F$2:$F$801, 0)+1)), "")</f>
        <v/>
      </c>
      <c r="L51" s="16">
        <f>IFERROR(IF(AND(IFERROR(VLOOKUP(LEFT(INDEX(ERP資料!$S:$S, (MATCH(50, 輔助計算!$F$2:$F$801, 0)+1)), 4), 100張客戶!$A:$A, 1, FALSE), "")&lt;&gt;"", OR(INDEX(ERP資料!$F:$F, (MATCH(50, 輔助計算!$F$2:$F$801, 0)+1))=270, INDEX(ERP資料!$F:$F, (MATCH(50, 輔助計算!$F$2:$F$801, 0)+1))=300)), "100張", ""), "")</f>
        <v/>
      </c>
      <c r="M51" s="17" t="n"/>
      <c r="N51" s="17">
        <f>IF($F51="","",$F51)</f>
        <v/>
      </c>
      <c r="O51" s="17">
        <f>IF($G51="","",$G51)</f>
        <v/>
      </c>
      <c r="P51" s="17">
        <f>IF($K51="","",$K51)</f>
        <v/>
      </c>
      <c r="Q51" s="16" t="n"/>
      <c r="R51" s="18" t="n"/>
      <c r="S51" s="16" t="n"/>
    </row>
    <row r="52">
      <c r="A52" s="14">
        <f>IFERROR(IF(AND(IFERROR(INDEX(ERP資料!$A:$A, (MATCH(51, 輔助計算!$F$2:$F$801, 0)+1)), "")&lt;&gt;"", IFERROR(INDEX(ERP資料!$A:$A, (MATCH(51, 輔助計算!$F$2:$F$801, 0)+1)), "")&lt;&gt;IFERROR(INDEX(ERP資料!$A:$A, MATCH(50, 輔助計算!$F$2:$F$801, 0)+1), "")), INDEX(ERP資料!$B:$B, (MATCH(51, 輔助計算!$F$2:$F$801, 0)+1)), ""), "")</f>
        <v/>
      </c>
      <c r="B52" s="10">
        <f>IFERROR(IF(AND(IFERROR(INDEX(ERP資料!$A:$A, (MATCH(51, 輔助計算!$F$2:$F$801, 0)+1)), "")&lt;&gt;"", IFERROR(INDEX(ERP資料!$A:$A, (MATCH(51, 輔助計算!$F$2:$F$801, 0)+1)), "")&lt;&gt;IFERROR(INDEX(ERP資料!$A:$A, MATCH(50, 輔助計算!$F$2:$F$801, 0)+1), "")), IFERROR(INDEX(ERP資料!$A:$A, (MATCH(51, 輔助計算!$F$2:$F$801, 0)+1)), ""), ""), "")</f>
        <v/>
      </c>
      <c r="C52" s="10">
        <f>IFERROR(IF(AND(IFERROR(INDEX(ERP資料!$A:$A, (MATCH(51, 輔助計算!$F$2:$F$801, 0)+1)), "")&lt;&gt;"", IFERROR(INDEX(ERP資料!$A:$A, (MATCH(51, 輔助計算!$F$2:$F$801, 0)+1)), "")&lt;&gt;IFERROR(INDEX(ERP資料!$A:$A, MATCH(50, 輔助計算!$F$2:$F$801, 0)+1), "")), INDEX(ERP資料!$S:$S, (MATCH(51, 輔助計算!$F$2:$F$801, 0)+1)), ""), "")</f>
        <v/>
      </c>
      <c r="D52" s="10">
        <f>IFERROR(IF(INDEX(ERP資料!$E:$E, (MATCH(51, 輔助計算!$F$2:$F$801, 0)+1))="","",TRIM(INDEX(ERP資料!$E:$E, (MATCH(51, 輔助計算!$F$2:$F$801, 0)+1)))), "")</f>
        <v/>
      </c>
      <c r="E52" s="10">
        <f>IFERROR(IF(INDEX(ERP資料!$F:$F, (MATCH(51, 輔助計算!$F$2:$F$801, 0)+1))="","",INDEX(ERP資料!$F:$F, (MATCH(51, 輔助計算!$F$2:$F$801, 0)+1))), "")</f>
        <v/>
      </c>
      <c r="F52" s="10">
        <f>IFERROR(IF(INDEX(ERP資料!$G:$G, (MATCH(51, 輔助計算!$F$2:$F$801, 0)+1))="","",INDEX(ERP資料!$G:$G, (MATCH(51, 輔助計算!$F$2:$F$801, 0)+1))), "")</f>
        <v/>
      </c>
      <c r="G52" s="10">
        <f>IFERROR(IF(INDEX(ERP資料!$H:$H, (MATCH(51, 輔助計算!$F$2:$F$801, 0)+1))="","",INDEX(ERP資料!$H:$H, (MATCH(51, 輔助計算!$F$2:$F$801, 0)+1))), "")</f>
        <v/>
      </c>
      <c r="H52" s="10">
        <f>IFERROR(IF(INDEX(ERP資料!$O:$O, (MATCH(51, 輔助計算!$F$2:$F$801, 0)+1))="","",INDEX(ERP資料!$O:$O, (MATCH(51, 輔助計算!$F$2:$F$801, 0)+1))), "")</f>
        <v/>
      </c>
      <c r="I52" s="15">
        <f>IFERROR(IF(INDEX(輔助計算!$D:$D,(MATCH(51, 輔助計算!$F$2:$F$801, 0)+1))="","",INDEX(輔助計算!$D:$D,(MATCH(51, 輔助計算!$F$2:$F$801, 0)+1))*INDEX(ERP資料!$O:$O,(MATCH(51, 輔助計算!$F$2:$F$801, 0)+1))), "")</f>
        <v/>
      </c>
      <c r="J52" s="16" t="n"/>
      <c r="K52" s="15">
        <f>IFERROR(INDEX(輔助計算!$D:$D, (MATCH(51, 輔助計算!$F$2:$F$801, 0)+1)), "")</f>
        <v/>
      </c>
      <c r="L52" s="16">
        <f>IFERROR(IF(AND(IFERROR(VLOOKUP(LEFT(INDEX(ERP資料!$S:$S, (MATCH(51, 輔助計算!$F$2:$F$801, 0)+1)), 4), 100張客戶!$A:$A, 1, FALSE), "")&lt;&gt;"", OR(INDEX(ERP資料!$F:$F, (MATCH(51, 輔助計算!$F$2:$F$801, 0)+1))=270, INDEX(ERP資料!$F:$F, (MATCH(51, 輔助計算!$F$2:$F$801, 0)+1))=300)), "100張", ""), "")</f>
        <v/>
      </c>
      <c r="M52" s="17" t="n"/>
      <c r="N52" s="17">
        <f>IF($F52="","",$F52)</f>
        <v/>
      </c>
      <c r="O52" s="17">
        <f>IF($G52="","",$G52)</f>
        <v/>
      </c>
      <c r="P52" s="17">
        <f>IF($K52="","",$K52)</f>
        <v/>
      </c>
      <c r="Q52" s="16" t="n"/>
      <c r="R52" s="18" t="n"/>
      <c r="S52" s="16" t="n"/>
    </row>
    <row r="53">
      <c r="A53" s="14">
        <f>IFERROR(IF(AND(IFERROR(INDEX(ERP資料!$A:$A, (MATCH(52, 輔助計算!$F$2:$F$801, 0)+1)), "")&lt;&gt;"", IFERROR(INDEX(ERP資料!$A:$A, (MATCH(52, 輔助計算!$F$2:$F$801, 0)+1)), "")&lt;&gt;IFERROR(INDEX(ERP資料!$A:$A, MATCH(51, 輔助計算!$F$2:$F$801, 0)+1), "")), INDEX(ERP資料!$B:$B, (MATCH(52, 輔助計算!$F$2:$F$801, 0)+1)), ""), "")</f>
        <v/>
      </c>
      <c r="B53" s="10">
        <f>IFERROR(IF(AND(IFERROR(INDEX(ERP資料!$A:$A, (MATCH(52, 輔助計算!$F$2:$F$801, 0)+1)), "")&lt;&gt;"", IFERROR(INDEX(ERP資料!$A:$A, (MATCH(52, 輔助計算!$F$2:$F$801, 0)+1)), "")&lt;&gt;IFERROR(INDEX(ERP資料!$A:$A, MATCH(51, 輔助計算!$F$2:$F$801, 0)+1), "")), IFERROR(INDEX(ERP資料!$A:$A, (MATCH(52, 輔助計算!$F$2:$F$801, 0)+1)), ""), ""), "")</f>
        <v/>
      </c>
      <c r="C53" s="10">
        <f>IFERROR(IF(AND(IFERROR(INDEX(ERP資料!$A:$A, (MATCH(52, 輔助計算!$F$2:$F$801, 0)+1)), "")&lt;&gt;"", IFERROR(INDEX(ERP資料!$A:$A, (MATCH(52, 輔助計算!$F$2:$F$801, 0)+1)), "")&lt;&gt;IFERROR(INDEX(ERP資料!$A:$A, MATCH(51, 輔助計算!$F$2:$F$801, 0)+1), "")), INDEX(ERP資料!$S:$S, (MATCH(52, 輔助計算!$F$2:$F$801, 0)+1)), ""), "")</f>
        <v/>
      </c>
      <c r="D53" s="10">
        <f>IFERROR(IF(INDEX(ERP資料!$E:$E, (MATCH(52, 輔助計算!$F$2:$F$801, 0)+1))="","",TRIM(INDEX(ERP資料!$E:$E, (MATCH(52, 輔助計算!$F$2:$F$801, 0)+1)))), "")</f>
        <v/>
      </c>
      <c r="E53" s="10">
        <f>IFERROR(IF(INDEX(ERP資料!$F:$F, (MATCH(52, 輔助計算!$F$2:$F$801, 0)+1))="","",INDEX(ERP資料!$F:$F, (MATCH(52, 輔助計算!$F$2:$F$801, 0)+1))), "")</f>
        <v/>
      </c>
      <c r="F53" s="10">
        <f>IFERROR(IF(INDEX(ERP資料!$G:$G, (MATCH(52, 輔助計算!$F$2:$F$801, 0)+1))="","",INDEX(ERP資料!$G:$G, (MATCH(52, 輔助計算!$F$2:$F$801, 0)+1))), "")</f>
        <v/>
      </c>
      <c r="G53" s="10">
        <f>IFERROR(IF(INDEX(ERP資料!$H:$H, (MATCH(52, 輔助計算!$F$2:$F$801, 0)+1))="","",INDEX(ERP資料!$H:$H, (MATCH(52, 輔助計算!$F$2:$F$801, 0)+1))), "")</f>
        <v/>
      </c>
      <c r="H53" s="10">
        <f>IFERROR(IF(INDEX(ERP資料!$O:$O, (MATCH(52, 輔助計算!$F$2:$F$801, 0)+1))="","",INDEX(ERP資料!$O:$O, (MATCH(52, 輔助計算!$F$2:$F$801, 0)+1))), "")</f>
        <v/>
      </c>
      <c r="I53" s="15">
        <f>IFERROR(IF(INDEX(輔助計算!$D:$D,(MATCH(52, 輔助計算!$F$2:$F$801, 0)+1))="","",INDEX(輔助計算!$D:$D,(MATCH(52, 輔助計算!$F$2:$F$801, 0)+1))*INDEX(ERP資料!$O:$O,(MATCH(52, 輔助計算!$F$2:$F$801, 0)+1))), "")</f>
        <v/>
      </c>
      <c r="J53" s="16" t="n"/>
      <c r="K53" s="15">
        <f>IFERROR(INDEX(輔助計算!$D:$D, (MATCH(52, 輔助計算!$F$2:$F$801, 0)+1)), "")</f>
        <v/>
      </c>
      <c r="L53" s="16">
        <f>IFERROR(IF(AND(IFERROR(VLOOKUP(LEFT(INDEX(ERP資料!$S:$S, (MATCH(52, 輔助計算!$F$2:$F$801, 0)+1)), 4), 100張客戶!$A:$A, 1, FALSE), "")&lt;&gt;"", OR(INDEX(ERP資料!$F:$F, (MATCH(52, 輔助計算!$F$2:$F$801, 0)+1))=270, INDEX(ERP資料!$F:$F, (MATCH(52, 輔助計算!$F$2:$F$801, 0)+1))=300)), "100張", ""), "")</f>
        <v/>
      </c>
      <c r="M53" s="17" t="n"/>
      <c r="N53" s="17">
        <f>IF($F53="","",$F53)</f>
        <v/>
      </c>
      <c r="O53" s="17">
        <f>IF($G53="","",$G53)</f>
        <v/>
      </c>
      <c r="P53" s="17">
        <f>IF($K53="","",$K53)</f>
        <v/>
      </c>
      <c r="Q53" s="16" t="n"/>
      <c r="R53" s="18" t="n"/>
      <c r="S53" s="16" t="n"/>
    </row>
    <row r="54">
      <c r="A54" s="14">
        <f>IFERROR(IF(AND(IFERROR(INDEX(ERP資料!$A:$A, (MATCH(53, 輔助計算!$F$2:$F$801, 0)+1)), "")&lt;&gt;"", IFERROR(INDEX(ERP資料!$A:$A, (MATCH(53, 輔助計算!$F$2:$F$801, 0)+1)), "")&lt;&gt;IFERROR(INDEX(ERP資料!$A:$A, MATCH(52, 輔助計算!$F$2:$F$801, 0)+1), "")), INDEX(ERP資料!$B:$B, (MATCH(53, 輔助計算!$F$2:$F$801, 0)+1)), ""), "")</f>
        <v/>
      </c>
      <c r="B54" s="10">
        <f>IFERROR(IF(AND(IFERROR(INDEX(ERP資料!$A:$A, (MATCH(53, 輔助計算!$F$2:$F$801, 0)+1)), "")&lt;&gt;"", IFERROR(INDEX(ERP資料!$A:$A, (MATCH(53, 輔助計算!$F$2:$F$801, 0)+1)), "")&lt;&gt;IFERROR(INDEX(ERP資料!$A:$A, MATCH(52, 輔助計算!$F$2:$F$801, 0)+1), "")), IFERROR(INDEX(ERP資料!$A:$A, (MATCH(53, 輔助計算!$F$2:$F$801, 0)+1)), ""), ""), "")</f>
        <v/>
      </c>
      <c r="C54" s="10">
        <f>IFERROR(IF(AND(IFERROR(INDEX(ERP資料!$A:$A, (MATCH(53, 輔助計算!$F$2:$F$801, 0)+1)), "")&lt;&gt;"", IFERROR(INDEX(ERP資料!$A:$A, (MATCH(53, 輔助計算!$F$2:$F$801, 0)+1)), "")&lt;&gt;IFERROR(INDEX(ERP資料!$A:$A, MATCH(52, 輔助計算!$F$2:$F$801, 0)+1), "")), INDEX(ERP資料!$S:$S, (MATCH(53, 輔助計算!$F$2:$F$801, 0)+1)), ""), "")</f>
        <v/>
      </c>
      <c r="D54" s="10">
        <f>IFERROR(IF(INDEX(ERP資料!$E:$E, (MATCH(53, 輔助計算!$F$2:$F$801, 0)+1))="","",TRIM(INDEX(ERP資料!$E:$E, (MATCH(53, 輔助計算!$F$2:$F$801, 0)+1)))), "")</f>
        <v/>
      </c>
      <c r="E54" s="10">
        <f>IFERROR(IF(INDEX(ERP資料!$F:$F, (MATCH(53, 輔助計算!$F$2:$F$801, 0)+1))="","",INDEX(ERP資料!$F:$F, (MATCH(53, 輔助計算!$F$2:$F$801, 0)+1))), "")</f>
        <v/>
      </c>
      <c r="F54" s="10">
        <f>IFERROR(IF(INDEX(ERP資料!$G:$G, (MATCH(53, 輔助計算!$F$2:$F$801, 0)+1))="","",INDEX(ERP資料!$G:$G, (MATCH(53, 輔助計算!$F$2:$F$801, 0)+1))), "")</f>
        <v/>
      </c>
      <c r="G54" s="10">
        <f>IFERROR(IF(INDEX(ERP資料!$H:$H, (MATCH(53, 輔助計算!$F$2:$F$801, 0)+1))="","",INDEX(ERP資料!$H:$H, (MATCH(53, 輔助計算!$F$2:$F$801, 0)+1))), "")</f>
        <v/>
      </c>
      <c r="H54" s="10">
        <f>IFERROR(IF(INDEX(ERP資料!$O:$O, (MATCH(53, 輔助計算!$F$2:$F$801, 0)+1))="","",INDEX(ERP資料!$O:$O, (MATCH(53, 輔助計算!$F$2:$F$801, 0)+1))), "")</f>
        <v/>
      </c>
      <c r="I54" s="15">
        <f>IFERROR(IF(INDEX(輔助計算!$D:$D,(MATCH(53, 輔助計算!$F$2:$F$801, 0)+1))="","",INDEX(輔助計算!$D:$D,(MATCH(53, 輔助計算!$F$2:$F$801, 0)+1))*INDEX(ERP資料!$O:$O,(MATCH(53, 輔助計算!$F$2:$F$801, 0)+1))), "")</f>
        <v/>
      </c>
      <c r="J54" s="16" t="n"/>
      <c r="K54" s="15">
        <f>IFERROR(INDEX(輔助計算!$D:$D, (MATCH(53, 輔助計算!$F$2:$F$801, 0)+1)), "")</f>
        <v/>
      </c>
      <c r="L54" s="16">
        <f>IFERROR(IF(AND(IFERROR(VLOOKUP(LEFT(INDEX(ERP資料!$S:$S, (MATCH(53, 輔助計算!$F$2:$F$801, 0)+1)), 4), 100張客戶!$A:$A, 1, FALSE), "")&lt;&gt;"", OR(INDEX(ERP資料!$F:$F, (MATCH(53, 輔助計算!$F$2:$F$801, 0)+1))=270, INDEX(ERP資料!$F:$F, (MATCH(53, 輔助計算!$F$2:$F$801, 0)+1))=300)), "100張", ""), "")</f>
        <v/>
      </c>
      <c r="M54" s="17" t="n"/>
      <c r="N54" s="17">
        <f>IF($F54="","",$F54)</f>
        <v/>
      </c>
      <c r="O54" s="17">
        <f>IF($G54="","",$G54)</f>
        <v/>
      </c>
      <c r="P54" s="17">
        <f>IF($K54="","",$K54)</f>
        <v/>
      </c>
      <c r="Q54" s="16" t="n"/>
      <c r="R54" s="18" t="n"/>
      <c r="S54" s="16" t="n"/>
    </row>
    <row r="55">
      <c r="A55" s="14">
        <f>IFERROR(IF(AND(IFERROR(INDEX(ERP資料!$A:$A, (MATCH(54, 輔助計算!$F$2:$F$801, 0)+1)), "")&lt;&gt;"", IFERROR(INDEX(ERP資料!$A:$A, (MATCH(54, 輔助計算!$F$2:$F$801, 0)+1)), "")&lt;&gt;IFERROR(INDEX(ERP資料!$A:$A, MATCH(53, 輔助計算!$F$2:$F$801, 0)+1), "")), INDEX(ERP資料!$B:$B, (MATCH(54, 輔助計算!$F$2:$F$801, 0)+1)), ""), "")</f>
        <v/>
      </c>
      <c r="B55" s="10">
        <f>IFERROR(IF(AND(IFERROR(INDEX(ERP資料!$A:$A, (MATCH(54, 輔助計算!$F$2:$F$801, 0)+1)), "")&lt;&gt;"", IFERROR(INDEX(ERP資料!$A:$A, (MATCH(54, 輔助計算!$F$2:$F$801, 0)+1)), "")&lt;&gt;IFERROR(INDEX(ERP資料!$A:$A, MATCH(53, 輔助計算!$F$2:$F$801, 0)+1), "")), IFERROR(INDEX(ERP資料!$A:$A, (MATCH(54, 輔助計算!$F$2:$F$801, 0)+1)), ""), ""), "")</f>
        <v/>
      </c>
      <c r="C55" s="10">
        <f>IFERROR(IF(AND(IFERROR(INDEX(ERP資料!$A:$A, (MATCH(54, 輔助計算!$F$2:$F$801, 0)+1)), "")&lt;&gt;"", IFERROR(INDEX(ERP資料!$A:$A, (MATCH(54, 輔助計算!$F$2:$F$801, 0)+1)), "")&lt;&gt;IFERROR(INDEX(ERP資料!$A:$A, MATCH(53, 輔助計算!$F$2:$F$801, 0)+1), "")), INDEX(ERP資料!$S:$S, (MATCH(54, 輔助計算!$F$2:$F$801, 0)+1)), ""), "")</f>
        <v/>
      </c>
      <c r="D55" s="10">
        <f>IFERROR(IF(INDEX(ERP資料!$E:$E, (MATCH(54, 輔助計算!$F$2:$F$801, 0)+1))="","",TRIM(INDEX(ERP資料!$E:$E, (MATCH(54, 輔助計算!$F$2:$F$801, 0)+1)))), "")</f>
        <v/>
      </c>
      <c r="E55" s="10">
        <f>IFERROR(IF(INDEX(ERP資料!$F:$F, (MATCH(54, 輔助計算!$F$2:$F$801, 0)+1))="","",INDEX(ERP資料!$F:$F, (MATCH(54, 輔助計算!$F$2:$F$801, 0)+1))), "")</f>
        <v/>
      </c>
      <c r="F55" s="10">
        <f>IFERROR(IF(INDEX(ERP資料!$G:$G, (MATCH(54, 輔助計算!$F$2:$F$801, 0)+1))="","",INDEX(ERP資料!$G:$G, (MATCH(54, 輔助計算!$F$2:$F$801, 0)+1))), "")</f>
        <v/>
      </c>
      <c r="G55" s="10">
        <f>IFERROR(IF(INDEX(ERP資料!$H:$H, (MATCH(54, 輔助計算!$F$2:$F$801, 0)+1))="","",INDEX(ERP資料!$H:$H, (MATCH(54, 輔助計算!$F$2:$F$801, 0)+1))), "")</f>
        <v/>
      </c>
      <c r="H55" s="10">
        <f>IFERROR(IF(INDEX(ERP資料!$O:$O, (MATCH(54, 輔助計算!$F$2:$F$801, 0)+1))="","",INDEX(ERP資料!$O:$O, (MATCH(54, 輔助計算!$F$2:$F$801, 0)+1))), "")</f>
        <v/>
      </c>
      <c r="I55" s="15">
        <f>IFERROR(IF(INDEX(輔助計算!$D:$D,(MATCH(54, 輔助計算!$F$2:$F$801, 0)+1))="","",INDEX(輔助計算!$D:$D,(MATCH(54, 輔助計算!$F$2:$F$801, 0)+1))*INDEX(ERP資料!$O:$O,(MATCH(54, 輔助計算!$F$2:$F$801, 0)+1))), "")</f>
        <v/>
      </c>
      <c r="J55" s="16" t="n"/>
      <c r="K55" s="15">
        <f>IFERROR(INDEX(輔助計算!$D:$D, (MATCH(54, 輔助計算!$F$2:$F$801, 0)+1)), "")</f>
        <v/>
      </c>
      <c r="L55" s="16">
        <f>IFERROR(IF(AND(IFERROR(VLOOKUP(LEFT(INDEX(ERP資料!$S:$S, (MATCH(54, 輔助計算!$F$2:$F$801, 0)+1)), 4), 100張客戶!$A:$A, 1, FALSE), "")&lt;&gt;"", OR(INDEX(ERP資料!$F:$F, (MATCH(54, 輔助計算!$F$2:$F$801, 0)+1))=270, INDEX(ERP資料!$F:$F, (MATCH(54, 輔助計算!$F$2:$F$801, 0)+1))=300)), "100張", ""), "")</f>
        <v/>
      </c>
      <c r="M55" s="17" t="n"/>
      <c r="N55" s="17">
        <f>IF($F55="","",$F55)</f>
        <v/>
      </c>
      <c r="O55" s="17">
        <f>IF($G55="","",$G55)</f>
        <v/>
      </c>
      <c r="P55" s="17">
        <f>IF($K55="","",$K55)</f>
        <v/>
      </c>
      <c r="Q55" s="16" t="n"/>
      <c r="R55" s="18" t="n"/>
      <c r="S55" s="16" t="n"/>
    </row>
    <row r="56">
      <c r="A56" s="14">
        <f>IFERROR(IF(AND(IFERROR(INDEX(ERP資料!$A:$A, (MATCH(55, 輔助計算!$F$2:$F$801, 0)+1)), "")&lt;&gt;"", IFERROR(INDEX(ERP資料!$A:$A, (MATCH(55, 輔助計算!$F$2:$F$801, 0)+1)), "")&lt;&gt;IFERROR(INDEX(ERP資料!$A:$A, MATCH(54, 輔助計算!$F$2:$F$801, 0)+1), "")), INDEX(ERP資料!$B:$B, (MATCH(55, 輔助計算!$F$2:$F$801, 0)+1)), ""), "")</f>
        <v/>
      </c>
      <c r="B56" s="10">
        <f>IFERROR(IF(AND(IFERROR(INDEX(ERP資料!$A:$A, (MATCH(55, 輔助計算!$F$2:$F$801, 0)+1)), "")&lt;&gt;"", IFERROR(INDEX(ERP資料!$A:$A, (MATCH(55, 輔助計算!$F$2:$F$801, 0)+1)), "")&lt;&gt;IFERROR(INDEX(ERP資料!$A:$A, MATCH(54, 輔助計算!$F$2:$F$801, 0)+1), "")), IFERROR(INDEX(ERP資料!$A:$A, (MATCH(55, 輔助計算!$F$2:$F$801, 0)+1)), ""), ""), "")</f>
        <v/>
      </c>
      <c r="C56" s="10">
        <f>IFERROR(IF(AND(IFERROR(INDEX(ERP資料!$A:$A, (MATCH(55, 輔助計算!$F$2:$F$801, 0)+1)), "")&lt;&gt;"", IFERROR(INDEX(ERP資料!$A:$A, (MATCH(55, 輔助計算!$F$2:$F$801, 0)+1)), "")&lt;&gt;IFERROR(INDEX(ERP資料!$A:$A, MATCH(54, 輔助計算!$F$2:$F$801, 0)+1), "")), INDEX(ERP資料!$S:$S, (MATCH(55, 輔助計算!$F$2:$F$801, 0)+1)), ""), "")</f>
        <v/>
      </c>
      <c r="D56" s="10">
        <f>IFERROR(IF(INDEX(ERP資料!$E:$E, (MATCH(55, 輔助計算!$F$2:$F$801, 0)+1))="","",TRIM(INDEX(ERP資料!$E:$E, (MATCH(55, 輔助計算!$F$2:$F$801, 0)+1)))), "")</f>
        <v/>
      </c>
      <c r="E56" s="10">
        <f>IFERROR(IF(INDEX(ERP資料!$F:$F, (MATCH(55, 輔助計算!$F$2:$F$801, 0)+1))="","",INDEX(ERP資料!$F:$F, (MATCH(55, 輔助計算!$F$2:$F$801, 0)+1))), "")</f>
        <v/>
      </c>
      <c r="F56" s="10">
        <f>IFERROR(IF(INDEX(ERP資料!$G:$G, (MATCH(55, 輔助計算!$F$2:$F$801, 0)+1))="","",INDEX(ERP資料!$G:$G, (MATCH(55, 輔助計算!$F$2:$F$801, 0)+1))), "")</f>
        <v/>
      </c>
      <c r="G56" s="10">
        <f>IFERROR(IF(INDEX(ERP資料!$H:$H, (MATCH(55, 輔助計算!$F$2:$F$801, 0)+1))="","",INDEX(ERP資料!$H:$H, (MATCH(55, 輔助計算!$F$2:$F$801, 0)+1))), "")</f>
        <v/>
      </c>
      <c r="H56" s="10">
        <f>IFERROR(IF(INDEX(ERP資料!$O:$O, (MATCH(55, 輔助計算!$F$2:$F$801, 0)+1))="","",INDEX(ERP資料!$O:$O, (MATCH(55, 輔助計算!$F$2:$F$801, 0)+1))), "")</f>
        <v/>
      </c>
      <c r="I56" s="15">
        <f>IFERROR(IF(INDEX(輔助計算!$D:$D,(MATCH(55, 輔助計算!$F$2:$F$801, 0)+1))="","",INDEX(輔助計算!$D:$D,(MATCH(55, 輔助計算!$F$2:$F$801, 0)+1))*INDEX(ERP資料!$O:$O,(MATCH(55, 輔助計算!$F$2:$F$801, 0)+1))), "")</f>
        <v/>
      </c>
      <c r="J56" s="16" t="n"/>
      <c r="K56" s="15">
        <f>IFERROR(INDEX(輔助計算!$D:$D, (MATCH(55, 輔助計算!$F$2:$F$801, 0)+1)), "")</f>
        <v/>
      </c>
      <c r="L56" s="16">
        <f>IFERROR(IF(AND(IFERROR(VLOOKUP(LEFT(INDEX(ERP資料!$S:$S, (MATCH(55, 輔助計算!$F$2:$F$801, 0)+1)), 4), 100張客戶!$A:$A, 1, FALSE), "")&lt;&gt;"", OR(INDEX(ERP資料!$F:$F, (MATCH(55, 輔助計算!$F$2:$F$801, 0)+1))=270, INDEX(ERP資料!$F:$F, (MATCH(55, 輔助計算!$F$2:$F$801, 0)+1))=300)), "100張", ""), "")</f>
        <v/>
      </c>
      <c r="M56" s="17" t="n"/>
      <c r="N56" s="17">
        <f>IF($F56="","",$F56)</f>
        <v/>
      </c>
      <c r="O56" s="17">
        <f>IF($G56="","",$G56)</f>
        <v/>
      </c>
      <c r="P56" s="17">
        <f>IF($K56="","",$K56)</f>
        <v/>
      </c>
      <c r="Q56" s="16" t="n"/>
      <c r="R56" s="18" t="n"/>
      <c r="S56" s="16" t="n"/>
    </row>
    <row r="57">
      <c r="A57" s="14">
        <f>IFERROR(IF(AND(IFERROR(INDEX(ERP資料!$A:$A, (MATCH(56, 輔助計算!$F$2:$F$801, 0)+1)), "")&lt;&gt;"", IFERROR(INDEX(ERP資料!$A:$A, (MATCH(56, 輔助計算!$F$2:$F$801, 0)+1)), "")&lt;&gt;IFERROR(INDEX(ERP資料!$A:$A, MATCH(55, 輔助計算!$F$2:$F$801, 0)+1), "")), INDEX(ERP資料!$B:$B, (MATCH(56, 輔助計算!$F$2:$F$801, 0)+1)), ""), "")</f>
        <v/>
      </c>
      <c r="B57" s="10">
        <f>IFERROR(IF(AND(IFERROR(INDEX(ERP資料!$A:$A, (MATCH(56, 輔助計算!$F$2:$F$801, 0)+1)), "")&lt;&gt;"", IFERROR(INDEX(ERP資料!$A:$A, (MATCH(56, 輔助計算!$F$2:$F$801, 0)+1)), "")&lt;&gt;IFERROR(INDEX(ERP資料!$A:$A, MATCH(55, 輔助計算!$F$2:$F$801, 0)+1), "")), IFERROR(INDEX(ERP資料!$A:$A, (MATCH(56, 輔助計算!$F$2:$F$801, 0)+1)), ""), ""), "")</f>
        <v/>
      </c>
      <c r="C57" s="10">
        <f>IFERROR(IF(AND(IFERROR(INDEX(ERP資料!$A:$A, (MATCH(56, 輔助計算!$F$2:$F$801, 0)+1)), "")&lt;&gt;"", IFERROR(INDEX(ERP資料!$A:$A, (MATCH(56, 輔助計算!$F$2:$F$801, 0)+1)), "")&lt;&gt;IFERROR(INDEX(ERP資料!$A:$A, MATCH(55, 輔助計算!$F$2:$F$801, 0)+1), "")), INDEX(ERP資料!$S:$S, (MATCH(56, 輔助計算!$F$2:$F$801, 0)+1)), ""), "")</f>
        <v/>
      </c>
      <c r="D57" s="10">
        <f>IFERROR(IF(INDEX(ERP資料!$E:$E, (MATCH(56, 輔助計算!$F$2:$F$801, 0)+1))="","",TRIM(INDEX(ERP資料!$E:$E, (MATCH(56, 輔助計算!$F$2:$F$801, 0)+1)))), "")</f>
        <v/>
      </c>
      <c r="E57" s="10">
        <f>IFERROR(IF(INDEX(ERP資料!$F:$F, (MATCH(56, 輔助計算!$F$2:$F$801, 0)+1))="","",INDEX(ERP資料!$F:$F, (MATCH(56, 輔助計算!$F$2:$F$801, 0)+1))), "")</f>
        <v/>
      </c>
      <c r="F57" s="10">
        <f>IFERROR(IF(INDEX(ERP資料!$G:$G, (MATCH(56, 輔助計算!$F$2:$F$801, 0)+1))="","",INDEX(ERP資料!$G:$G, (MATCH(56, 輔助計算!$F$2:$F$801, 0)+1))), "")</f>
        <v/>
      </c>
      <c r="G57" s="10">
        <f>IFERROR(IF(INDEX(ERP資料!$H:$H, (MATCH(56, 輔助計算!$F$2:$F$801, 0)+1))="","",INDEX(ERP資料!$H:$H, (MATCH(56, 輔助計算!$F$2:$F$801, 0)+1))), "")</f>
        <v/>
      </c>
      <c r="H57" s="10">
        <f>IFERROR(IF(INDEX(ERP資料!$O:$O, (MATCH(56, 輔助計算!$F$2:$F$801, 0)+1))="","",INDEX(ERP資料!$O:$O, (MATCH(56, 輔助計算!$F$2:$F$801, 0)+1))), "")</f>
        <v/>
      </c>
      <c r="I57" s="15">
        <f>IFERROR(IF(INDEX(輔助計算!$D:$D,(MATCH(56, 輔助計算!$F$2:$F$801, 0)+1))="","",INDEX(輔助計算!$D:$D,(MATCH(56, 輔助計算!$F$2:$F$801, 0)+1))*INDEX(ERP資料!$O:$O,(MATCH(56, 輔助計算!$F$2:$F$801, 0)+1))), "")</f>
        <v/>
      </c>
      <c r="J57" s="16" t="n"/>
      <c r="K57" s="15">
        <f>IFERROR(INDEX(輔助計算!$D:$D, (MATCH(56, 輔助計算!$F$2:$F$801, 0)+1)), "")</f>
        <v/>
      </c>
      <c r="L57" s="16">
        <f>IFERROR(IF(AND(IFERROR(VLOOKUP(LEFT(INDEX(ERP資料!$S:$S, (MATCH(56, 輔助計算!$F$2:$F$801, 0)+1)), 4), 100張客戶!$A:$A, 1, FALSE), "")&lt;&gt;"", OR(INDEX(ERP資料!$F:$F, (MATCH(56, 輔助計算!$F$2:$F$801, 0)+1))=270, INDEX(ERP資料!$F:$F, (MATCH(56, 輔助計算!$F$2:$F$801, 0)+1))=300)), "100張", ""), "")</f>
        <v/>
      </c>
      <c r="M57" s="17" t="n"/>
      <c r="N57" s="17">
        <f>IF($F57="","",$F57)</f>
        <v/>
      </c>
      <c r="O57" s="17">
        <f>IF($G57="","",$G57)</f>
        <v/>
      </c>
      <c r="P57" s="17">
        <f>IF($K57="","",$K57)</f>
        <v/>
      </c>
      <c r="Q57" s="16" t="n"/>
      <c r="R57" s="18" t="n"/>
      <c r="S57" s="16" t="n"/>
    </row>
    <row r="58">
      <c r="A58" s="14">
        <f>IFERROR(IF(AND(IFERROR(INDEX(ERP資料!$A:$A, (MATCH(57, 輔助計算!$F$2:$F$801, 0)+1)), "")&lt;&gt;"", IFERROR(INDEX(ERP資料!$A:$A, (MATCH(57, 輔助計算!$F$2:$F$801, 0)+1)), "")&lt;&gt;IFERROR(INDEX(ERP資料!$A:$A, MATCH(56, 輔助計算!$F$2:$F$801, 0)+1), "")), INDEX(ERP資料!$B:$B, (MATCH(57, 輔助計算!$F$2:$F$801, 0)+1)), ""), "")</f>
        <v/>
      </c>
      <c r="B58" s="10">
        <f>IFERROR(IF(AND(IFERROR(INDEX(ERP資料!$A:$A, (MATCH(57, 輔助計算!$F$2:$F$801, 0)+1)), "")&lt;&gt;"", IFERROR(INDEX(ERP資料!$A:$A, (MATCH(57, 輔助計算!$F$2:$F$801, 0)+1)), "")&lt;&gt;IFERROR(INDEX(ERP資料!$A:$A, MATCH(56, 輔助計算!$F$2:$F$801, 0)+1), "")), IFERROR(INDEX(ERP資料!$A:$A, (MATCH(57, 輔助計算!$F$2:$F$801, 0)+1)), ""), ""), "")</f>
        <v/>
      </c>
      <c r="C58" s="10">
        <f>IFERROR(IF(AND(IFERROR(INDEX(ERP資料!$A:$A, (MATCH(57, 輔助計算!$F$2:$F$801, 0)+1)), "")&lt;&gt;"", IFERROR(INDEX(ERP資料!$A:$A, (MATCH(57, 輔助計算!$F$2:$F$801, 0)+1)), "")&lt;&gt;IFERROR(INDEX(ERP資料!$A:$A, MATCH(56, 輔助計算!$F$2:$F$801, 0)+1), "")), INDEX(ERP資料!$S:$S, (MATCH(57, 輔助計算!$F$2:$F$801, 0)+1)), ""), "")</f>
        <v/>
      </c>
      <c r="D58" s="10">
        <f>IFERROR(IF(INDEX(ERP資料!$E:$E, (MATCH(57, 輔助計算!$F$2:$F$801, 0)+1))="","",TRIM(INDEX(ERP資料!$E:$E, (MATCH(57, 輔助計算!$F$2:$F$801, 0)+1)))), "")</f>
        <v/>
      </c>
      <c r="E58" s="10">
        <f>IFERROR(IF(INDEX(ERP資料!$F:$F, (MATCH(57, 輔助計算!$F$2:$F$801, 0)+1))="","",INDEX(ERP資料!$F:$F, (MATCH(57, 輔助計算!$F$2:$F$801, 0)+1))), "")</f>
        <v/>
      </c>
      <c r="F58" s="10">
        <f>IFERROR(IF(INDEX(ERP資料!$G:$G, (MATCH(57, 輔助計算!$F$2:$F$801, 0)+1))="","",INDEX(ERP資料!$G:$G, (MATCH(57, 輔助計算!$F$2:$F$801, 0)+1))), "")</f>
        <v/>
      </c>
      <c r="G58" s="10">
        <f>IFERROR(IF(INDEX(ERP資料!$H:$H, (MATCH(57, 輔助計算!$F$2:$F$801, 0)+1))="","",INDEX(ERP資料!$H:$H, (MATCH(57, 輔助計算!$F$2:$F$801, 0)+1))), "")</f>
        <v/>
      </c>
      <c r="H58" s="10">
        <f>IFERROR(IF(INDEX(ERP資料!$O:$O, (MATCH(57, 輔助計算!$F$2:$F$801, 0)+1))="","",INDEX(ERP資料!$O:$O, (MATCH(57, 輔助計算!$F$2:$F$801, 0)+1))), "")</f>
        <v/>
      </c>
      <c r="I58" s="15">
        <f>IFERROR(IF(INDEX(輔助計算!$D:$D,(MATCH(57, 輔助計算!$F$2:$F$801, 0)+1))="","",INDEX(輔助計算!$D:$D,(MATCH(57, 輔助計算!$F$2:$F$801, 0)+1))*INDEX(ERP資料!$O:$O,(MATCH(57, 輔助計算!$F$2:$F$801, 0)+1))), "")</f>
        <v/>
      </c>
      <c r="J58" s="16" t="n"/>
      <c r="K58" s="15">
        <f>IFERROR(INDEX(輔助計算!$D:$D, (MATCH(57, 輔助計算!$F$2:$F$801, 0)+1)), "")</f>
        <v/>
      </c>
      <c r="L58" s="16">
        <f>IFERROR(IF(AND(IFERROR(VLOOKUP(LEFT(INDEX(ERP資料!$S:$S, (MATCH(57, 輔助計算!$F$2:$F$801, 0)+1)), 4), 100張客戶!$A:$A, 1, FALSE), "")&lt;&gt;"", OR(INDEX(ERP資料!$F:$F, (MATCH(57, 輔助計算!$F$2:$F$801, 0)+1))=270, INDEX(ERP資料!$F:$F, (MATCH(57, 輔助計算!$F$2:$F$801, 0)+1))=300)), "100張", ""), "")</f>
        <v/>
      </c>
      <c r="M58" s="17" t="n"/>
      <c r="N58" s="17">
        <f>IF($F58="","",$F58)</f>
        <v/>
      </c>
      <c r="O58" s="17">
        <f>IF($G58="","",$G58)</f>
        <v/>
      </c>
      <c r="P58" s="17">
        <f>IF($K58="","",$K58)</f>
        <v/>
      </c>
      <c r="Q58" s="16" t="n"/>
      <c r="R58" s="18" t="n"/>
      <c r="S58" s="16" t="n"/>
    </row>
    <row r="59">
      <c r="A59" s="14">
        <f>IFERROR(IF(AND(IFERROR(INDEX(ERP資料!$A:$A, (MATCH(58, 輔助計算!$F$2:$F$801, 0)+1)), "")&lt;&gt;"", IFERROR(INDEX(ERP資料!$A:$A, (MATCH(58, 輔助計算!$F$2:$F$801, 0)+1)), "")&lt;&gt;IFERROR(INDEX(ERP資料!$A:$A, MATCH(57, 輔助計算!$F$2:$F$801, 0)+1), "")), INDEX(ERP資料!$B:$B, (MATCH(58, 輔助計算!$F$2:$F$801, 0)+1)), ""), "")</f>
        <v/>
      </c>
      <c r="B59" s="10">
        <f>IFERROR(IF(AND(IFERROR(INDEX(ERP資料!$A:$A, (MATCH(58, 輔助計算!$F$2:$F$801, 0)+1)), "")&lt;&gt;"", IFERROR(INDEX(ERP資料!$A:$A, (MATCH(58, 輔助計算!$F$2:$F$801, 0)+1)), "")&lt;&gt;IFERROR(INDEX(ERP資料!$A:$A, MATCH(57, 輔助計算!$F$2:$F$801, 0)+1), "")), IFERROR(INDEX(ERP資料!$A:$A, (MATCH(58, 輔助計算!$F$2:$F$801, 0)+1)), ""), ""), "")</f>
        <v/>
      </c>
      <c r="C59" s="10">
        <f>IFERROR(IF(AND(IFERROR(INDEX(ERP資料!$A:$A, (MATCH(58, 輔助計算!$F$2:$F$801, 0)+1)), "")&lt;&gt;"", IFERROR(INDEX(ERP資料!$A:$A, (MATCH(58, 輔助計算!$F$2:$F$801, 0)+1)), "")&lt;&gt;IFERROR(INDEX(ERP資料!$A:$A, MATCH(57, 輔助計算!$F$2:$F$801, 0)+1), "")), INDEX(ERP資料!$S:$S, (MATCH(58, 輔助計算!$F$2:$F$801, 0)+1)), ""), "")</f>
        <v/>
      </c>
      <c r="D59" s="10">
        <f>IFERROR(IF(INDEX(ERP資料!$E:$E, (MATCH(58, 輔助計算!$F$2:$F$801, 0)+1))="","",TRIM(INDEX(ERP資料!$E:$E, (MATCH(58, 輔助計算!$F$2:$F$801, 0)+1)))), "")</f>
        <v/>
      </c>
      <c r="E59" s="10">
        <f>IFERROR(IF(INDEX(ERP資料!$F:$F, (MATCH(58, 輔助計算!$F$2:$F$801, 0)+1))="","",INDEX(ERP資料!$F:$F, (MATCH(58, 輔助計算!$F$2:$F$801, 0)+1))), "")</f>
        <v/>
      </c>
      <c r="F59" s="10">
        <f>IFERROR(IF(INDEX(ERP資料!$G:$G, (MATCH(58, 輔助計算!$F$2:$F$801, 0)+1))="","",INDEX(ERP資料!$G:$G, (MATCH(58, 輔助計算!$F$2:$F$801, 0)+1))), "")</f>
        <v/>
      </c>
      <c r="G59" s="10">
        <f>IFERROR(IF(INDEX(ERP資料!$H:$H, (MATCH(58, 輔助計算!$F$2:$F$801, 0)+1))="","",INDEX(ERP資料!$H:$H, (MATCH(58, 輔助計算!$F$2:$F$801, 0)+1))), "")</f>
        <v/>
      </c>
      <c r="H59" s="10">
        <f>IFERROR(IF(INDEX(ERP資料!$O:$O, (MATCH(58, 輔助計算!$F$2:$F$801, 0)+1))="","",INDEX(ERP資料!$O:$O, (MATCH(58, 輔助計算!$F$2:$F$801, 0)+1))), "")</f>
        <v/>
      </c>
      <c r="I59" s="15">
        <f>IFERROR(IF(INDEX(輔助計算!$D:$D,(MATCH(58, 輔助計算!$F$2:$F$801, 0)+1))="","",INDEX(輔助計算!$D:$D,(MATCH(58, 輔助計算!$F$2:$F$801, 0)+1))*INDEX(ERP資料!$O:$O,(MATCH(58, 輔助計算!$F$2:$F$801, 0)+1))), "")</f>
        <v/>
      </c>
      <c r="J59" s="16" t="n"/>
      <c r="K59" s="15">
        <f>IFERROR(INDEX(輔助計算!$D:$D, (MATCH(58, 輔助計算!$F$2:$F$801, 0)+1)), "")</f>
        <v/>
      </c>
      <c r="L59" s="16">
        <f>IFERROR(IF(AND(IFERROR(VLOOKUP(LEFT(INDEX(ERP資料!$S:$S, (MATCH(58, 輔助計算!$F$2:$F$801, 0)+1)), 4), 100張客戶!$A:$A, 1, FALSE), "")&lt;&gt;"", OR(INDEX(ERP資料!$F:$F, (MATCH(58, 輔助計算!$F$2:$F$801, 0)+1))=270, INDEX(ERP資料!$F:$F, (MATCH(58, 輔助計算!$F$2:$F$801, 0)+1))=300)), "100張", ""), "")</f>
        <v/>
      </c>
      <c r="M59" s="17" t="n"/>
      <c r="N59" s="17">
        <f>IF($F59="","",$F59)</f>
        <v/>
      </c>
      <c r="O59" s="17">
        <f>IF($G59="","",$G59)</f>
        <v/>
      </c>
      <c r="P59" s="17">
        <f>IF($K59="","",$K59)</f>
        <v/>
      </c>
      <c r="Q59" s="16" t="n"/>
      <c r="R59" s="18" t="n"/>
      <c r="S59" s="16" t="n"/>
    </row>
    <row r="60">
      <c r="A60" s="14">
        <f>IFERROR(IF(AND(IFERROR(INDEX(ERP資料!$A:$A, (MATCH(59, 輔助計算!$F$2:$F$801, 0)+1)), "")&lt;&gt;"", IFERROR(INDEX(ERP資料!$A:$A, (MATCH(59, 輔助計算!$F$2:$F$801, 0)+1)), "")&lt;&gt;IFERROR(INDEX(ERP資料!$A:$A, MATCH(58, 輔助計算!$F$2:$F$801, 0)+1), "")), INDEX(ERP資料!$B:$B, (MATCH(59, 輔助計算!$F$2:$F$801, 0)+1)), ""), "")</f>
        <v/>
      </c>
      <c r="B60" s="10">
        <f>IFERROR(IF(AND(IFERROR(INDEX(ERP資料!$A:$A, (MATCH(59, 輔助計算!$F$2:$F$801, 0)+1)), "")&lt;&gt;"", IFERROR(INDEX(ERP資料!$A:$A, (MATCH(59, 輔助計算!$F$2:$F$801, 0)+1)), "")&lt;&gt;IFERROR(INDEX(ERP資料!$A:$A, MATCH(58, 輔助計算!$F$2:$F$801, 0)+1), "")), IFERROR(INDEX(ERP資料!$A:$A, (MATCH(59, 輔助計算!$F$2:$F$801, 0)+1)), ""), ""), "")</f>
        <v/>
      </c>
      <c r="C60" s="10">
        <f>IFERROR(IF(AND(IFERROR(INDEX(ERP資料!$A:$A, (MATCH(59, 輔助計算!$F$2:$F$801, 0)+1)), "")&lt;&gt;"", IFERROR(INDEX(ERP資料!$A:$A, (MATCH(59, 輔助計算!$F$2:$F$801, 0)+1)), "")&lt;&gt;IFERROR(INDEX(ERP資料!$A:$A, MATCH(58, 輔助計算!$F$2:$F$801, 0)+1), "")), INDEX(ERP資料!$S:$S, (MATCH(59, 輔助計算!$F$2:$F$801, 0)+1)), ""), "")</f>
        <v/>
      </c>
      <c r="D60" s="10">
        <f>IFERROR(IF(INDEX(ERP資料!$E:$E, (MATCH(59, 輔助計算!$F$2:$F$801, 0)+1))="","",TRIM(INDEX(ERP資料!$E:$E, (MATCH(59, 輔助計算!$F$2:$F$801, 0)+1)))), "")</f>
        <v/>
      </c>
      <c r="E60" s="10">
        <f>IFERROR(IF(INDEX(ERP資料!$F:$F, (MATCH(59, 輔助計算!$F$2:$F$801, 0)+1))="","",INDEX(ERP資料!$F:$F, (MATCH(59, 輔助計算!$F$2:$F$801, 0)+1))), "")</f>
        <v/>
      </c>
      <c r="F60" s="10">
        <f>IFERROR(IF(INDEX(ERP資料!$G:$G, (MATCH(59, 輔助計算!$F$2:$F$801, 0)+1))="","",INDEX(ERP資料!$G:$G, (MATCH(59, 輔助計算!$F$2:$F$801, 0)+1))), "")</f>
        <v/>
      </c>
      <c r="G60" s="10">
        <f>IFERROR(IF(INDEX(ERP資料!$H:$H, (MATCH(59, 輔助計算!$F$2:$F$801, 0)+1))="","",INDEX(ERP資料!$H:$H, (MATCH(59, 輔助計算!$F$2:$F$801, 0)+1))), "")</f>
        <v/>
      </c>
      <c r="H60" s="10">
        <f>IFERROR(IF(INDEX(ERP資料!$O:$O, (MATCH(59, 輔助計算!$F$2:$F$801, 0)+1))="","",INDEX(ERP資料!$O:$O, (MATCH(59, 輔助計算!$F$2:$F$801, 0)+1))), "")</f>
        <v/>
      </c>
      <c r="I60" s="15">
        <f>IFERROR(IF(INDEX(輔助計算!$D:$D,(MATCH(59, 輔助計算!$F$2:$F$801, 0)+1))="","",INDEX(輔助計算!$D:$D,(MATCH(59, 輔助計算!$F$2:$F$801, 0)+1))*INDEX(ERP資料!$O:$O,(MATCH(59, 輔助計算!$F$2:$F$801, 0)+1))), "")</f>
        <v/>
      </c>
      <c r="J60" s="16" t="n"/>
      <c r="K60" s="15">
        <f>IFERROR(INDEX(輔助計算!$D:$D, (MATCH(59, 輔助計算!$F$2:$F$801, 0)+1)), "")</f>
        <v/>
      </c>
      <c r="L60" s="16">
        <f>IFERROR(IF(AND(IFERROR(VLOOKUP(LEFT(INDEX(ERP資料!$S:$S, (MATCH(59, 輔助計算!$F$2:$F$801, 0)+1)), 4), 100張客戶!$A:$A, 1, FALSE), "")&lt;&gt;"", OR(INDEX(ERP資料!$F:$F, (MATCH(59, 輔助計算!$F$2:$F$801, 0)+1))=270, INDEX(ERP資料!$F:$F, (MATCH(59, 輔助計算!$F$2:$F$801, 0)+1))=300)), "100張", ""), "")</f>
        <v/>
      </c>
      <c r="M60" s="17" t="n"/>
      <c r="N60" s="17">
        <f>IF($F60="","",$F60)</f>
        <v/>
      </c>
      <c r="O60" s="17">
        <f>IF($G60="","",$G60)</f>
        <v/>
      </c>
      <c r="P60" s="17">
        <f>IF($K60="","",$K60)</f>
        <v/>
      </c>
      <c r="Q60" s="16" t="n"/>
      <c r="R60" s="18" t="n"/>
      <c r="S60" s="16" t="n"/>
    </row>
    <row r="61">
      <c r="A61" s="14">
        <f>IFERROR(IF(AND(IFERROR(INDEX(ERP資料!$A:$A, (MATCH(60, 輔助計算!$F$2:$F$801, 0)+1)), "")&lt;&gt;"", IFERROR(INDEX(ERP資料!$A:$A, (MATCH(60, 輔助計算!$F$2:$F$801, 0)+1)), "")&lt;&gt;IFERROR(INDEX(ERP資料!$A:$A, MATCH(59, 輔助計算!$F$2:$F$801, 0)+1), "")), INDEX(ERP資料!$B:$B, (MATCH(60, 輔助計算!$F$2:$F$801, 0)+1)), ""), "")</f>
        <v/>
      </c>
      <c r="B61" s="10">
        <f>IFERROR(IF(AND(IFERROR(INDEX(ERP資料!$A:$A, (MATCH(60, 輔助計算!$F$2:$F$801, 0)+1)), "")&lt;&gt;"", IFERROR(INDEX(ERP資料!$A:$A, (MATCH(60, 輔助計算!$F$2:$F$801, 0)+1)), "")&lt;&gt;IFERROR(INDEX(ERP資料!$A:$A, MATCH(59, 輔助計算!$F$2:$F$801, 0)+1), "")), IFERROR(INDEX(ERP資料!$A:$A, (MATCH(60, 輔助計算!$F$2:$F$801, 0)+1)), ""), ""), "")</f>
        <v/>
      </c>
      <c r="C61" s="10">
        <f>IFERROR(IF(AND(IFERROR(INDEX(ERP資料!$A:$A, (MATCH(60, 輔助計算!$F$2:$F$801, 0)+1)), "")&lt;&gt;"", IFERROR(INDEX(ERP資料!$A:$A, (MATCH(60, 輔助計算!$F$2:$F$801, 0)+1)), "")&lt;&gt;IFERROR(INDEX(ERP資料!$A:$A, MATCH(59, 輔助計算!$F$2:$F$801, 0)+1), "")), INDEX(ERP資料!$S:$S, (MATCH(60, 輔助計算!$F$2:$F$801, 0)+1)), ""), "")</f>
        <v/>
      </c>
      <c r="D61" s="10">
        <f>IFERROR(IF(INDEX(ERP資料!$E:$E, (MATCH(60, 輔助計算!$F$2:$F$801, 0)+1))="","",TRIM(INDEX(ERP資料!$E:$E, (MATCH(60, 輔助計算!$F$2:$F$801, 0)+1)))), "")</f>
        <v/>
      </c>
      <c r="E61" s="10">
        <f>IFERROR(IF(INDEX(ERP資料!$F:$F, (MATCH(60, 輔助計算!$F$2:$F$801, 0)+1))="","",INDEX(ERP資料!$F:$F, (MATCH(60, 輔助計算!$F$2:$F$801, 0)+1))), "")</f>
        <v/>
      </c>
      <c r="F61" s="10">
        <f>IFERROR(IF(INDEX(ERP資料!$G:$G, (MATCH(60, 輔助計算!$F$2:$F$801, 0)+1))="","",INDEX(ERP資料!$G:$G, (MATCH(60, 輔助計算!$F$2:$F$801, 0)+1))), "")</f>
        <v/>
      </c>
      <c r="G61" s="10">
        <f>IFERROR(IF(INDEX(ERP資料!$H:$H, (MATCH(60, 輔助計算!$F$2:$F$801, 0)+1))="","",INDEX(ERP資料!$H:$H, (MATCH(60, 輔助計算!$F$2:$F$801, 0)+1))), "")</f>
        <v/>
      </c>
      <c r="H61" s="10">
        <f>IFERROR(IF(INDEX(ERP資料!$O:$O, (MATCH(60, 輔助計算!$F$2:$F$801, 0)+1))="","",INDEX(ERP資料!$O:$O, (MATCH(60, 輔助計算!$F$2:$F$801, 0)+1))), "")</f>
        <v/>
      </c>
      <c r="I61" s="15">
        <f>IFERROR(IF(INDEX(輔助計算!$D:$D,(MATCH(60, 輔助計算!$F$2:$F$801, 0)+1))="","",INDEX(輔助計算!$D:$D,(MATCH(60, 輔助計算!$F$2:$F$801, 0)+1))*INDEX(ERP資料!$O:$O,(MATCH(60, 輔助計算!$F$2:$F$801, 0)+1))), "")</f>
        <v/>
      </c>
      <c r="J61" s="16" t="n"/>
      <c r="K61" s="15">
        <f>IFERROR(INDEX(輔助計算!$D:$D, (MATCH(60, 輔助計算!$F$2:$F$801, 0)+1)), "")</f>
        <v/>
      </c>
      <c r="L61" s="16">
        <f>IFERROR(IF(AND(IFERROR(VLOOKUP(LEFT(INDEX(ERP資料!$S:$S, (MATCH(60, 輔助計算!$F$2:$F$801, 0)+1)), 4), 100張客戶!$A:$A, 1, FALSE), "")&lt;&gt;"", OR(INDEX(ERP資料!$F:$F, (MATCH(60, 輔助計算!$F$2:$F$801, 0)+1))=270, INDEX(ERP資料!$F:$F, (MATCH(60, 輔助計算!$F$2:$F$801, 0)+1))=300)), "100張", ""), "")</f>
        <v/>
      </c>
      <c r="M61" s="17" t="n"/>
      <c r="N61" s="17">
        <f>IF($F61="","",$F61)</f>
        <v/>
      </c>
      <c r="O61" s="17">
        <f>IF($G61="","",$G61)</f>
        <v/>
      </c>
      <c r="P61" s="17">
        <f>IF($K61="","",$K61)</f>
        <v/>
      </c>
      <c r="Q61" s="16" t="n"/>
      <c r="R61" s="18" t="n"/>
      <c r="S61" s="16" t="n"/>
    </row>
    <row r="62">
      <c r="A62" s="14">
        <f>IFERROR(IF(AND(IFERROR(INDEX(ERP資料!$A:$A, (MATCH(61, 輔助計算!$F$2:$F$801, 0)+1)), "")&lt;&gt;"", IFERROR(INDEX(ERP資料!$A:$A, (MATCH(61, 輔助計算!$F$2:$F$801, 0)+1)), "")&lt;&gt;IFERROR(INDEX(ERP資料!$A:$A, MATCH(60, 輔助計算!$F$2:$F$801, 0)+1), "")), INDEX(ERP資料!$B:$B, (MATCH(61, 輔助計算!$F$2:$F$801, 0)+1)), ""), "")</f>
        <v/>
      </c>
      <c r="B62" s="10">
        <f>IFERROR(IF(AND(IFERROR(INDEX(ERP資料!$A:$A, (MATCH(61, 輔助計算!$F$2:$F$801, 0)+1)), "")&lt;&gt;"", IFERROR(INDEX(ERP資料!$A:$A, (MATCH(61, 輔助計算!$F$2:$F$801, 0)+1)), "")&lt;&gt;IFERROR(INDEX(ERP資料!$A:$A, MATCH(60, 輔助計算!$F$2:$F$801, 0)+1), "")), IFERROR(INDEX(ERP資料!$A:$A, (MATCH(61, 輔助計算!$F$2:$F$801, 0)+1)), ""), ""), "")</f>
        <v/>
      </c>
      <c r="C62" s="10">
        <f>IFERROR(IF(AND(IFERROR(INDEX(ERP資料!$A:$A, (MATCH(61, 輔助計算!$F$2:$F$801, 0)+1)), "")&lt;&gt;"", IFERROR(INDEX(ERP資料!$A:$A, (MATCH(61, 輔助計算!$F$2:$F$801, 0)+1)), "")&lt;&gt;IFERROR(INDEX(ERP資料!$A:$A, MATCH(60, 輔助計算!$F$2:$F$801, 0)+1), "")), INDEX(ERP資料!$S:$S, (MATCH(61, 輔助計算!$F$2:$F$801, 0)+1)), ""), "")</f>
        <v/>
      </c>
      <c r="D62" s="10">
        <f>IFERROR(IF(INDEX(ERP資料!$E:$E, (MATCH(61, 輔助計算!$F$2:$F$801, 0)+1))="","",TRIM(INDEX(ERP資料!$E:$E, (MATCH(61, 輔助計算!$F$2:$F$801, 0)+1)))), "")</f>
        <v/>
      </c>
      <c r="E62" s="10">
        <f>IFERROR(IF(INDEX(ERP資料!$F:$F, (MATCH(61, 輔助計算!$F$2:$F$801, 0)+1))="","",INDEX(ERP資料!$F:$F, (MATCH(61, 輔助計算!$F$2:$F$801, 0)+1))), "")</f>
        <v/>
      </c>
      <c r="F62" s="10">
        <f>IFERROR(IF(INDEX(ERP資料!$G:$G, (MATCH(61, 輔助計算!$F$2:$F$801, 0)+1))="","",INDEX(ERP資料!$G:$G, (MATCH(61, 輔助計算!$F$2:$F$801, 0)+1))), "")</f>
        <v/>
      </c>
      <c r="G62" s="10">
        <f>IFERROR(IF(INDEX(ERP資料!$H:$H, (MATCH(61, 輔助計算!$F$2:$F$801, 0)+1))="","",INDEX(ERP資料!$H:$H, (MATCH(61, 輔助計算!$F$2:$F$801, 0)+1))), "")</f>
        <v/>
      </c>
      <c r="H62" s="10">
        <f>IFERROR(IF(INDEX(ERP資料!$O:$O, (MATCH(61, 輔助計算!$F$2:$F$801, 0)+1))="","",INDEX(ERP資料!$O:$O, (MATCH(61, 輔助計算!$F$2:$F$801, 0)+1))), "")</f>
        <v/>
      </c>
      <c r="I62" s="15">
        <f>IFERROR(IF(INDEX(輔助計算!$D:$D,(MATCH(61, 輔助計算!$F$2:$F$801, 0)+1))="","",INDEX(輔助計算!$D:$D,(MATCH(61, 輔助計算!$F$2:$F$801, 0)+1))*INDEX(ERP資料!$O:$O,(MATCH(61, 輔助計算!$F$2:$F$801, 0)+1))), "")</f>
        <v/>
      </c>
      <c r="J62" s="16" t="n"/>
      <c r="K62" s="15">
        <f>IFERROR(INDEX(輔助計算!$D:$D, (MATCH(61, 輔助計算!$F$2:$F$801, 0)+1)), "")</f>
        <v/>
      </c>
      <c r="L62" s="16">
        <f>IFERROR(IF(AND(IFERROR(VLOOKUP(LEFT(INDEX(ERP資料!$S:$S, (MATCH(61, 輔助計算!$F$2:$F$801, 0)+1)), 4), 100張客戶!$A:$A, 1, FALSE), "")&lt;&gt;"", OR(INDEX(ERP資料!$F:$F, (MATCH(61, 輔助計算!$F$2:$F$801, 0)+1))=270, INDEX(ERP資料!$F:$F, (MATCH(61, 輔助計算!$F$2:$F$801, 0)+1))=300)), "100張", ""), "")</f>
        <v/>
      </c>
      <c r="M62" s="17" t="n"/>
      <c r="N62" s="17">
        <f>IF($F62="","",$F62)</f>
        <v/>
      </c>
      <c r="O62" s="17">
        <f>IF($G62="","",$G62)</f>
        <v/>
      </c>
      <c r="P62" s="17">
        <f>IF($K62="","",$K62)</f>
        <v/>
      </c>
      <c r="Q62" s="16" t="n"/>
      <c r="R62" s="18" t="n"/>
      <c r="S62" s="16" t="n"/>
    </row>
    <row r="63">
      <c r="A63" s="14">
        <f>IFERROR(IF(AND(IFERROR(INDEX(ERP資料!$A:$A, (MATCH(62, 輔助計算!$F$2:$F$801, 0)+1)), "")&lt;&gt;"", IFERROR(INDEX(ERP資料!$A:$A, (MATCH(62, 輔助計算!$F$2:$F$801, 0)+1)), "")&lt;&gt;IFERROR(INDEX(ERP資料!$A:$A, MATCH(61, 輔助計算!$F$2:$F$801, 0)+1), "")), INDEX(ERP資料!$B:$B, (MATCH(62, 輔助計算!$F$2:$F$801, 0)+1)), ""), "")</f>
        <v/>
      </c>
      <c r="B63" s="10">
        <f>IFERROR(IF(AND(IFERROR(INDEX(ERP資料!$A:$A, (MATCH(62, 輔助計算!$F$2:$F$801, 0)+1)), "")&lt;&gt;"", IFERROR(INDEX(ERP資料!$A:$A, (MATCH(62, 輔助計算!$F$2:$F$801, 0)+1)), "")&lt;&gt;IFERROR(INDEX(ERP資料!$A:$A, MATCH(61, 輔助計算!$F$2:$F$801, 0)+1), "")), IFERROR(INDEX(ERP資料!$A:$A, (MATCH(62, 輔助計算!$F$2:$F$801, 0)+1)), ""), ""), "")</f>
        <v/>
      </c>
      <c r="C63" s="10">
        <f>IFERROR(IF(AND(IFERROR(INDEX(ERP資料!$A:$A, (MATCH(62, 輔助計算!$F$2:$F$801, 0)+1)), "")&lt;&gt;"", IFERROR(INDEX(ERP資料!$A:$A, (MATCH(62, 輔助計算!$F$2:$F$801, 0)+1)), "")&lt;&gt;IFERROR(INDEX(ERP資料!$A:$A, MATCH(61, 輔助計算!$F$2:$F$801, 0)+1), "")), INDEX(ERP資料!$S:$S, (MATCH(62, 輔助計算!$F$2:$F$801, 0)+1)), ""), "")</f>
        <v/>
      </c>
      <c r="D63" s="10">
        <f>IFERROR(IF(INDEX(ERP資料!$E:$E, (MATCH(62, 輔助計算!$F$2:$F$801, 0)+1))="","",TRIM(INDEX(ERP資料!$E:$E, (MATCH(62, 輔助計算!$F$2:$F$801, 0)+1)))), "")</f>
        <v/>
      </c>
      <c r="E63" s="10">
        <f>IFERROR(IF(INDEX(ERP資料!$F:$F, (MATCH(62, 輔助計算!$F$2:$F$801, 0)+1))="","",INDEX(ERP資料!$F:$F, (MATCH(62, 輔助計算!$F$2:$F$801, 0)+1))), "")</f>
        <v/>
      </c>
      <c r="F63" s="10">
        <f>IFERROR(IF(INDEX(ERP資料!$G:$G, (MATCH(62, 輔助計算!$F$2:$F$801, 0)+1))="","",INDEX(ERP資料!$G:$G, (MATCH(62, 輔助計算!$F$2:$F$801, 0)+1))), "")</f>
        <v/>
      </c>
      <c r="G63" s="10">
        <f>IFERROR(IF(INDEX(ERP資料!$H:$H, (MATCH(62, 輔助計算!$F$2:$F$801, 0)+1))="","",INDEX(ERP資料!$H:$H, (MATCH(62, 輔助計算!$F$2:$F$801, 0)+1))), "")</f>
        <v/>
      </c>
      <c r="H63" s="10">
        <f>IFERROR(IF(INDEX(ERP資料!$O:$O, (MATCH(62, 輔助計算!$F$2:$F$801, 0)+1))="","",INDEX(ERP資料!$O:$O, (MATCH(62, 輔助計算!$F$2:$F$801, 0)+1))), "")</f>
        <v/>
      </c>
      <c r="I63" s="15">
        <f>IFERROR(IF(INDEX(輔助計算!$D:$D,(MATCH(62, 輔助計算!$F$2:$F$801, 0)+1))="","",INDEX(輔助計算!$D:$D,(MATCH(62, 輔助計算!$F$2:$F$801, 0)+1))*INDEX(ERP資料!$O:$O,(MATCH(62, 輔助計算!$F$2:$F$801, 0)+1))), "")</f>
        <v/>
      </c>
      <c r="J63" s="16" t="n"/>
      <c r="K63" s="15">
        <f>IFERROR(INDEX(輔助計算!$D:$D, (MATCH(62, 輔助計算!$F$2:$F$801, 0)+1)), "")</f>
        <v/>
      </c>
      <c r="L63" s="16">
        <f>IFERROR(IF(AND(IFERROR(VLOOKUP(LEFT(INDEX(ERP資料!$S:$S, (MATCH(62, 輔助計算!$F$2:$F$801, 0)+1)), 4), 100張客戶!$A:$A, 1, FALSE), "")&lt;&gt;"", OR(INDEX(ERP資料!$F:$F, (MATCH(62, 輔助計算!$F$2:$F$801, 0)+1))=270, INDEX(ERP資料!$F:$F, (MATCH(62, 輔助計算!$F$2:$F$801, 0)+1))=300)), "100張", ""), "")</f>
        <v/>
      </c>
      <c r="M63" s="17" t="n"/>
      <c r="N63" s="17">
        <f>IF($F63="","",$F63)</f>
        <v/>
      </c>
      <c r="O63" s="17">
        <f>IF($G63="","",$G63)</f>
        <v/>
      </c>
      <c r="P63" s="17">
        <f>IF($K63="","",$K63)</f>
        <v/>
      </c>
      <c r="Q63" s="16" t="n"/>
      <c r="R63" s="18" t="n"/>
      <c r="S63" s="16" t="n"/>
    </row>
    <row r="64">
      <c r="A64" s="14">
        <f>IFERROR(IF(AND(IFERROR(INDEX(ERP資料!$A:$A, (MATCH(63, 輔助計算!$F$2:$F$801, 0)+1)), "")&lt;&gt;"", IFERROR(INDEX(ERP資料!$A:$A, (MATCH(63, 輔助計算!$F$2:$F$801, 0)+1)), "")&lt;&gt;IFERROR(INDEX(ERP資料!$A:$A, MATCH(62, 輔助計算!$F$2:$F$801, 0)+1), "")), INDEX(ERP資料!$B:$B, (MATCH(63, 輔助計算!$F$2:$F$801, 0)+1)), ""), "")</f>
        <v/>
      </c>
      <c r="B64" s="10">
        <f>IFERROR(IF(AND(IFERROR(INDEX(ERP資料!$A:$A, (MATCH(63, 輔助計算!$F$2:$F$801, 0)+1)), "")&lt;&gt;"", IFERROR(INDEX(ERP資料!$A:$A, (MATCH(63, 輔助計算!$F$2:$F$801, 0)+1)), "")&lt;&gt;IFERROR(INDEX(ERP資料!$A:$A, MATCH(62, 輔助計算!$F$2:$F$801, 0)+1), "")), IFERROR(INDEX(ERP資料!$A:$A, (MATCH(63, 輔助計算!$F$2:$F$801, 0)+1)), ""), ""), "")</f>
        <v/>
      </c>
      <c r="C64" s="10">
        <f>IFERROR(IF(AND(IFERROR(INDEX(ERP資料!$A:$A, (MATCH(63, 輔助計算!$F$2:$F$801, 0)+1)), "")&lt;&gt;"", IFERROR(INDEX(ERP資料!$A:$A, (MATCH(63, 輔助計算!$F$2:$F$801, 0)+1)), "")&lt;&gt;IFERROR(INDEX(ERP資料!$A:$A, MATCH(62, 輔助計算!$F$2:$F$801, 0)+1), "")), INDEX(ERP資料!$S:$S, (MATCH(63, 輔助計算!$F$2:$F$801, 0)+1)), ""), "")</f>
        <v/>
      </c>
      <c r="D64" s="10">
        <f>IFERROR(IF(INDEX(ERP資料!$E:$E, (MATCH(63, 輔助計算!$F$2:$F$801, 0)+1))="","",TRIM(INDEX(ERP資料!$E:$E, (MATCH(63, 輔助計算!$F$2:$F$801, 0)+1)))), "")</f>
        <v/>
      </c>
      <c r="E64" s="10">
        <f>IFERROR(IF(INDEX(ERP資料!$F:$F, (MATCH(63, 輔助計算!$F$2:$F$801, 0)+1))="","",INDEX(ERP資料!$F:$F, (MATCH(63, 輔助計算!$F$2:$F$801, 0)+1))), "")</f>
        <v/>
      </c>
      <c r="F64" s="10">
        <f>IFERROR(IF(INDEX(ERP資料!$G:$G, (MATCH(63, 輔助計算!$F$2:$F$801, 0)+1))="","",INDEX(ERP資料!$G:$G, (MATCH(63, 輔助計算!$F$2:$F$801, 0)+1))), "")</f>
        <v/>
      </c>
      <c r="G64" s="10">
        <f>IFERROR(IF(INDEX(ERP資料!$H:$H, (MATCH(63, 輔助計算!$F$2:$F$801, 0)+1))="","",INDEX(ERP資料!$H:$H, (MATCH(63, 輔助計算!$F$2:$F$801, 0)+1))), "")</f>
        <v/>
      </c>
      <c r="H64" s="10">
        <f>IFERROR(IF(INDEX(ERP資料!$O:$O, (MATCH(63, 輔助計算!$F$2:$F$801, 0)+1))="","",INDEX(ERP資料!$O:$O, (MATCH(63, 輔助計算!$F$2:$F$801, 0)+1))), "")</f>
        <v/>
      </c>
      <c r="I64" s="15">
        <f>IFERROR(IF(INDEX(輔助計算!$D:$D,(MATCH(63, 輔助計算!$F$2:$F$801, 0)+1))="","",INDEX(輔助計算!$D:$D,(MATCH(63, 輔助計算!$F$2:$F$801, 0)+1))*INDEX(ERP資料!$O:$O,(MATCH(63, 輔助計算!$F$2:$F$801, 0)+1))), "")</f>
        <v/>
      </c>
      <c r="J64" s="16" t="n"/>
      <c r="K64" s="15">
        <f>IFERROR(INDEX(輔助計算!$D:$D, (MATCH(63, 輔助計算!$F$2:$F$801, 0)+1)), "")</f>
        <v/>
      </c>
      <c r="L64" s="16">
        <f>IFERROR(IF(AND(IFERROR(VLOOKUP(LEFT(INDEX(ERP資料!$S:$S, (MATCH(63, 輔助計算!$F$2:$F$801, 0)+1)), 4), 100張客戶!$A:$A, 1, FALSE), "")&lt;&gt;"", OR(INDEX(ERP資料!$F:$F, (MATCH(63, 輔助計算!$F$2:$F$801, 0)+1))=270, INDEX(ERP資料!$F:$F, (MATCH(63, 輔助計算!$F$2:$F$801, 0)+1))=300)), "100張", ""), "")</f>
        <v/>
      </c>
      <c r="M64" s="17" t="n"/>
      <c r="N64" s="17">
        <f>IF($F64="","",$F64)</f>
        <v/>
      </c>
      <c r="O64" s="17">
        <f>IF($G64="","",$G64)</f>
        <v/>
      </c>
      <c r="P64" s="17">
        <f>IF($K64="","",$K64)</f>
        <v/>
      </c>
      <c r="Q64" s="16" t="n"/>
      <c r="R64" s="18" t="n"/>
      <c r="S64" s="16" t="n"/>
    </row>
    <row r="65">
      <c r="A65" s="14">
        <f>IFERROR(IF(AND(IFERROR(INDEX(ERP資料!$A:$A, (MATCH(64, 輔助計算!$F$2:$F$801, 0)+1)), "")&lt;&gt;"", IFERROR(INDEX(ERP資料!$A:$A, (MATCH(64, 輔助計算!$F$2:$F$801, 0)+1)), "")&lt;&gt;IFERROR(INDEX(ERP資料!$A:$A, MATCH(63, 輔助計算!$F$2:$F$801, 0)+1), "")), INDEX(ERP資料!$B:$B, (MATCH(64, 輔助計算!$F$2:$F$801, 0)+1)), ""), "")</f>
        <v/>
      </c>
      <c r="B65" s="10">
        <f>IFERROR(IF(AND(IFERROR(INDEX(ERP資料!$A:$A, (MATCH(64, 輔助計算!$F$2:$F$801, 0)+1)), "")&lt;&gt;"", IFERROR(INDEX(ERP資料!$A:$A, (MATCH(64, 輔助計算!$F$2:$F$801, 0)+1)), "")&lt;&gt;IFERROR(INDEX(ERP資料!$A:$A, MATCH(63, 輔助計算!$F$2:$F$801, 0)+1), "")), IFERROR(INDEX(ERP資料!$A:$A, (MATCH(64, 輔助計算!$F$2:$F$801, 0)+1)), ""), ""), "")</f>
        <v/>
      </c>
      <c r="C65" s="10">
        <f>IFERROR(IF(AND(IFERROR(INDEX(ERP資料!$A:$A, (MATCH(64, 輔助計算!$F$2:$F$801, 0)+1)), "")&lt;&gt;"", IFERROR(INDEX(ERP資料!$A:$A, (MATCH(64, 輔助計算!$F$2:$F$801, 0)+1)), "")&lt;&gt;IFERROR(INDEX(ERP資料!$A:$A, MATCH(63, 輔助計算!$F$2:$F$801, 0)+1), "")), INDEX(ERP資料!$S:$S, (MATCH(64, 輔助計算!$F$2:$F$801, 0)+1)), ""), "")</f>
        <v/>
      </c>
      <c r="D65" s="10">
        <f>IFERROR(IF(INDEX(ERP資料!$E:$E, (MATCH(64, 輔助計算!$F$2:$F$801, 0)+1))="","",TRIM(INDEX(ERP資料!$E:$E, (MATCH(64, 輔助計算!$F$2:$F$801, 0)+1)))), "")</f>
        <v/>
      </c>
      <c r="E65" s="10">
        <f>IFERROR(IF(INDEX(ERP資料!$F:$F, (MATCH(64, 輔助計算!$F$2:$F$801, 0)+1))="","",INDEX(ERP資料!$F:$F, (MATCH(64, 輔助計算!$F$2:$F$801, 0)+1))), "")</f>
        <v/>
      </c>
      <c r="F65" s="10">
        <f>IFERROR(IF(INDEX(ERP資料!$G:$G, (MATCH(64, 輔助計算!$F$2:$F$801, 0)+1))="","",INDEX(ERP資料!$G:$G, (MATCH(64, 輔助計算!$F$2:$F$801, 0)+1))), "")</f>
        <v/>
      </c>
      <c r="G65" s="10">
        <f>IFERROR(IF(INDEX(ERP資料!$H:$H, (MATCH(64, 輔助計算!$F$2:$F$801, 0)+1))="","",INDEX(ERP資料!$H:$H, (MATCH(64, 輔助計算!$F$2:$F$801, 0)+1))), "")</f>
        <v/>
      </c>
      <c r="H65" s="10">
        <f>IFERROR(IF(INDEX(ERP資料!$O:$O, (MATCH(64, 輔助計算!$F$2:$F$801, 0)+1))="","",INDEX(ERP資料!$O:$O, (MATCH(64, 輔助計算!$F$2:$F$801, 0)+1))), "")</f>
        <v/>
      </c>
      <c r="I65" s="15">
        <f>IFERROR(IF(INDEX(輔助計算!$D:$D,(MATCH(64, 輔助計算!$F$2:$F$801, 0)+1))="","",INDEX(輔助計算!$D:$D,(MATCH(64, 輔助計算!$F$2:$F$801, 0)+1))*INDEX(ERP資料!$O:$O,(MATCH(64, 輔助計算!$F$2:$F$801, 0)+1))), "")</f>
        <v/>
      </c>
      <c r="J65" s="16" t="n"/>
      <c r="K65" s="15">
        <f>IFERROR(INDEX(輔助計算!$D:$D, (MATCH(64, 輔助計算!$F$2:$F$801, 0)+1)), "")</f>
        <v/>
      </c>
      <c r="L65" s="16">
        <f>IFERROR(IF(AND(IFERROR(VLOOKUP(LEFT(INDEX(ERP資料!$S:$S, (MATCH(64, 輔助計算!$F$2:$F$801, 0)+1)), 4), 100張客戶!$A:$A, 1, FALSE), "")&lt;&gt;"", OR(INDEX(ERP資料!$F:$F, (MATCH(64, 輔助計算!$F$2:$F$801, 0)+1))=270, INDEX(ERP資料!$F:$F, (MATCH(64, 輔助計算!$F$2:$F$801, 0)+1))=300)), "100張", ""), "")</f>
        <v/>
      </c>
      <c r="M65" s="17" t="n"/>
      <c r="N65" s="17">
        <f>IF($F65="","",$F65)</f>
        <v/>
      </c>
      <c r="O65" s="17">
        <f>IF($G65="","",$G65)</f>
        <v/>
      </c>
      <c r="P65" s="17">
        <f>IF($K65="","",$K65)</f>
        <v/>
      </c>
      <c r="Q65" s="16" t="n"/>
      <c r="R65" s="18" t="n"/>
      <c r="S65" s="16" t="n"/>
    </row>
    <row r="66">
      <c r="A66" s="14">
        <f>IFERROR(IF(AND(IFERROR(INDEX(ERP資料!$A:$A, (MATCH(65, 輔助計算!$F$2:$F$801, 0)+1)), "")&lt;&gt;"", IFERROR(INDEX(ERP資料!$A:$A, (MATCH(65, 輔助計算!$F$2:$F$801, 0)+1)), "")&lt;&gt;IFERROR(INDEX(ERP資料!$A:$A, MATCH(64, 輔助計算!$F$2:$F$801, 0)+1), "")), INDEX(ERP資料!$B:$B, (MATCH(65, 輔助計算!$F$2:$F$801, 0)+1)), ""), "")</f>
        <v/>
      </c>
      <c r="B66" s="10">
        <f>IFERROR(IF(AND(IFERROR(INDEX(ERP資料!$A:$A, (MATCH(65, 輔助計算!$F$2:$F$801, 0)+1)), "")&lt;&gt;"", IFERROR(INDEX(ERP資料!$A:$A, (MATCH(65, 輔助計算!$F$2:$F$801, 0)+1)), "")&lt;&gt;IFERROR(INDEX(ERP資料!$A:$A, MATCH(64, 輔助計算!$F$2:$F$801, 0)+1), "")), IFERROR(INDEX(ERP資料!$A:$A, (MATCH(65, 輔助計算!$F$2:$F$801, 0)+1)), ""), ""), "")</f>
        <v/>
      </c>
      <c r="C66" s="10">
        <f>IFERROR(IF(AND(IFERROR(INDEX(ERP資料!$A:$A, (MATCH(65, 輔助計算!$F$2:$F$801, 0)+1)), "")&lt;&gt;"", IFERROR(INDEX(ERP資料!$A:$A, (MATCH(65, 輔助計算!$F$2:$F$801, 0)+1)), "")&lt;&gt;IFERROR(INDEX(ERP資料!$A:$A, MATCH(64, 輔助計算!$F$2:$F$801, 0)+1), "")), INDEX(ERP資料!$S:$S, (MATCH(65, 輔助計算!$F$2:$F$801, 0)+1)), ""), "")</f>
        <v/>
      </c>
      <c r="D66" s="10">
        <f>IFERROR(IF(INDEX(ERP資料!$E:$E, (MATCH(65, 輔助計算!$F$2:$F$801, 0)+1))="","",TRIM(INDEX(ERP資料!$E:$E, (MATCH(65, 輔助計算!$F$2:$F$801, 0)+1)))), "")</f>
        <v/>
      </c>
      <c r="E66" s="10">
        <f>IFERROR(IF(INDEX(ERP資料!$F:$F, (MATCH(65, 輔助計算!$F$2:$F$801, 0)+1))="","",INDEX(ERP資料!$F:$F, (MATCH(65, 輔助計算!$F$2:$F$801, 0)+1))), "")</f>
        <v/>
      </c>
      <c r="F66" s="10">
        <f>IFERROR(IF(INDEX(ERP資料!$G:$G, (MATCH(65, 輔助計算!$F$2:$F$801, 0)+1))="","",INDEX(ERP資料!$G:$G, (MATCH(65, 輔助計算!$F$2:$F$801, 0)+1))), "")</f>
        <v/>
      </c>
      <c r="G66" s="10">
        <f>IFERROR(IF(INDEX(ERP資料!$H:$H, (MATCH(65, 輔助計算!$F$2:$F$801, 0)+1))="","",INDEX(ERP資料!$H:$H, (MATCH(65, 輔助計算!$F$2:$F$801, 0)+1))), "")</f>
        <v/>
      </c>
      <c r="H66" s="10">
        <f>IFERROR(IF(INDEX(ERP資料!$O:$O, (MATCH(65, 輔助計算!$F$2:$F$801, 0)+1))="","",INDEX(ERP資料!$O:$O, (MATCH(65, 輔助計算!$F$2:$F$801, 0)+1))), "")</f>
        <v/>
      </c>
      <c r="I66" s="15">
        <f>IFERROR(IF(INDEX(輔助計算!$D:$D,(MATCH(65, 輔助計算!$F$2:$F$801, 0)+1))="","",INDEX(輔助計算!$D:$D,(MATCH(65, 輔助計算!$F$2:$F$801, 0)+1))*INDEX(ERP資料!$O:$O,(MATCH(65, 輔助計算!$F$2:$F$801, 0)+1))), "")</f>
        <v/>
      </c>
      <c r="J66" s="16" t="n"/>
      <c r="K66" s="15">
        <f>IFERROR(INDEX(輔助計算!$D:$D, (MATCH(65, 輔助計算!$F$2:$F$801, 0)+1)), "")</f>
        <v/>
      </c>
      <c r="L66" s="16">
        <f>IFERROR(IF(AND(IFERROR(VLOOKUP(LEFT(INDEX(ERP資料!$S:$S, (MATCH(65, 輔助計算!$F$2:$F$801, 0)+1)), 4), 100張客戶!$A:$A, 1, FALSE), "")&lt;&gt;"", OR(INDEX(ERP資料!$F:$F, (MATCH(65, 輔助計算!$F$2:$F$801, 0)+1))=270, INDEX(ERP資料!$F:$F, (MATCH(65, 輔助計算!$F$2:$F$801, 0)+1))=300)), "100張", ""), "")</f>
        <v/>
      </c>
      <c r="M66" s="17" t="n"/>
      <c r="N66" s="17">
        <f>IF($F66="","",$F66)</f>
        <v/>
      </c>
      <c r="O66" s="17">
        <f>IF($G66="","",$G66)</f>
        <v/>
      </c>
      <c r="P66" s="17">
        <f>IF($K66="","",$K66)</f>
        <v/>
      </c>
      <c r="Q66" s="16" t="n"/>
      <c r="R66" s="18" t="n"/>
      <c r="S66" s="16" t="n"/>
    </row>
    <row r="67">
      <c r="A67" s="14">
        <f>IFERROR(IF(AND(IFERROR(INDEX(ERP資料!$A:$A, (MATCH(66, 輔助計算!$F$2:$F$801, 0)+1)), "")&lt;&gt;"", IFERROR(INDEX(ERP資料!$A:$A, (MATCH(66, 輔助計算!$F$2:$F$801, 0)+1)), "")&lt;&gt;IFERROR(INDEX(ERP資料!$A:$A, MATCH(65, 輔助計算!$F$2:$F$801, 0)+1), "")), INDEX(ERP資料!$B:$B, (MATCH(66, 輔助計算!$F$2:$F$801, 0)+1)), ""), "")</f>
        <v/>
      </c>
      <c r="B67" s="10">
        <f>IFERROR(IF(AND(IFERROR(INDEX(ERP資料!$A:$A, (MATCH(66, 輔助計算!$F$2:$F$801, 0)+1)), "")&lt;&gt;"", IFERROR(INDEX(ERP資料!$A:$A, (MATCH(66, 輔助計算!$F$2:$F$801, 0)+1)), "")&lt;&gt;IFERROR(INDEX(ERP資料!$A:$A, MATCH(65, 輔助計算!$F$2:$F$801, 0)+1), "")), IFERROR(INDEX(ERP資料!$A:$A, (MATCH(66, 輔助計算!$F$2:$F$801, 0)+1)), ""), ""), "")</f>
        <v/>
      </c>
      <c r="C67" s="10">
        <f>IFERROR(IF(AND(IFERROR(INDEX(ERP資料!$A:$A, (MATCH(66, 輔助計算!$F$2:$F$801, 0)+1)), "")&lt;&gt;"", IFERROR(INDEX(ERP資料!$A:$A, (MATCH(66, 輔助計算!$F$2:$F$801, 0)+1)), "")&lt;&gt;IFERROR(INDEX(ERP資料!$A:$A, MATCH(65, 輔助計算!$F$2:$F$801, 0)+1), "")), INDEX(ERP資料!$S:$S, (MATCH(66, 輔助計算!$F$2:$F$801, 0)+1)), ""), "")</f>
        <v/>
      </c>
      <c r="D67" s="10">
        <f>IFERROR(IF(INDEX(ERP資料!$E:$E, (MATCH(66, 輔助計算!$F$2:$F$801, 0)+1))="","",TRIM(INDEX(ERP資料!$E:$E, (MATCH(66, 輔助計算!$F$2:$F$801, 0)+1)))), "")</f>
        <v/>
      </c>
      <c r="E67" s="10">
        <f>IFERROR(IF(INDEX(ERP資料!$F:$F, (MATCH(66, 輔助計算!$F$2:$F$801, 0)+1))="","",INDEX(ERP資料!$F:$F, (MATCH(66, 輔助計算!$F$2:$F$801, 0)+1))), "")</f>
        <v/>
      </c>
      <c r="F67" s="10">
        <f>IFERROR(IF(INDEX(ERP資料!$G:$G, (MATCH(66, 輔助計算!$F$2:$F$801, 0)+1))="","",INDEX(ERP資料!$G:$G, (MATCH(66, 輔助計算!$F$2:$F$801, 0)+1))), "")</f>
        <v/>
      </c>
      <c r="G67" s="10">
        <f>IFERROR(IF(INDEX(ERP資料!$H:$H, (MATCH(66, 輔助計算!$F$2:$F$801, 0)+1))="","",INDEX(ERP資料!$H:$H, (MATCH(66, 輔助計算!$F$2:$F$801, 0)+1))), "")</f>
        <v/>
      </c>
      <c r="H67" s="10">
        <f>IFERROR(IF(INDEX(ERP資料!$O:$O, (MATCH(66, 輔助計算!$F$2:$F$801, 0)+1))="","",INDEX(ERP資料!$O:$O, (MATCH(66, 輔助計算!$F$2:$F$801, 0)+1))), "")</f>
        <v/>
      </c>
      <c r="I67" s="15">
        <f>IFERROR(IF(INDEX(輔助計算!$D:$D,(MATCH(66, 輔助計算!$F$2:$F$801, 0)+1))="","",INDEX(輔助計算!$D:$D,(MATCH(66, 輔助計算!$F$2:$F$801, 0)+1))*INDEX(ERP資料!$O:$O,(MATCH(66, 輔助計算!$F$2:$F$801, 0)+1))), "")</f>
        <v/>
      </c>
      <c r="J67" s="16" t="n"/>
      <c r="K67" s="15">
        <f>IFERROR(INDEX(輔助計算!$D:$D, (MATCH(66, 輔助計算!$F$2:$F$801, 0)+1)), "")</f>
        <v/>
      </c>
      <c r="L67" s="16">
        <f>IFERROR(IF(AND(IFERROR(VLOOKUP(LEFT(INDEX(ERP資料!$S:$S, (MATCH(66, 輔助計算!$F$2:$F$801, 0)+1)), 4), 100張客戶!$A:$A, 1, FALSE), "")&lt;&gt;"", OR(INDEX(ERP資料!$F:$F, (MATCH(66, 輔助計算!$F$2:$F$801, 0)+1))=270, INDEX(ERP資料!$F:$F, (MATCH(66, 輔助計算!$F$2:$F$801, 0)+1))=300)), "100張", ""), "")</f>
        <v/>
      </c>
      <c r="M67" s="17" t="n"/>
      <c r="N67" s="17">
        <f>IF($F67="","",$F67)</f>
        <v/>
      </c>
      <c r="O67" s="17">
        <f>IF($G67="","",$G67)</f>
        <v/>
      </c>
      <c r="P67" s="17">
        <f>IF($K67="","",$K67)</f>
        <v/>
      </c>
      <c r="Q67" s="16" t="n"/>
      <c r="R67" s="18" t="n"/>
      <c r="S67" s="16" t="n"/>
    </row>
    <row r="68">
      <c r="A68" s="14">
        <f>IFERROR(IF(AND(IFERROR(INDEX(ERP資料!$A:$A, (MATCH(67, 輔助計算!$F$2:$F$801, 0)+1)), "")&lt;&gt;"", IFERROR(INDEX(ERP資料!$A:$A, (MATCH(67, 輔助計算!$F$2:$F$801, 0)+1)), "")&lt;&gt;IFERROR(INDEX(ERP資料!$A:$A, MATCH(66, 輔助計算!$F$2:$F$801, 0)+1), "")), INDEX(ERP資料!$B:$B, (MATCH(67, 輔助計算!$F$2:$F$801, 0)+1)), ""), "")</f>
        <v/>
      </c>
      <c r="B68" s="10">
        <f>IFERROR(IF(AND(IFERROR(INDEX(ERP資料!$A:$A, (MATCH(67, 輔助計算!$F$2:$F$801, 0)+1)), "")&lt;&gt;"", IFERROR(INDEX(ERP資料!$A:$A, (MATCH(67, 輔助計算!$F$2:$F$801, 0)+1)), "")&lt;&gt;IFERROR(INDEX(ERP資料!$A:$A, MATCH(66, 輔助計算!$F$2:$F$801, 0)+1), "")), IFERROR(INDEX(ERP資料!$A:$A, (MATCH(67, 輔助計算!$F$2:$F$801, 0)+1)), ""), ""), "")</f>
        <v/>
      </c>
      <c r="C68" s="10">
        <f>IFERROR(IF(AND(IFERROR(INDEX(ERP資料!$A:$A, (MATCH(67, 輔助計算!$F$2:$F$801, 0)+1)), "")&lt;&gt;"", IFERROR(INDEX(ERP資料!$A:$A, (MATCH(67, 輔助計算!$F$2:$F$801, 0)+1)), "")&lt;&gt;IFERROR(INDEX(ERP資料!$A:$A, MATCH(66, 輔助計算!$F$2:$F$801, 0)+1), "")), INDEX(ERP資料!$S:$S, (MATCH(67, 輔助計算!$F$2:$F$801, 0)+1)), ""), "")</f>
        <v/>
      </c>
      <c r="D68" s="10">
        <f>IFERROR(IF(INDEX(ERP資料!$E:$E, (MATCH(67, 輔助計算!$F$2:$F$801, 0)+1))="","",TRIM(INDEX(ERP資料!$E:$E, (MATCH(67, 輔助計算!$F$2:$F$801, 0)+1)))), "")</f>
        <v/>
      </c>
      <c r="E68" s="10">
        <f>IFERROR(IF(INDEX(ERP資料!$F:$F, (MATCH(67, 輔助計算!$F$2:$F$801, 0)+1))="","",INDEX(ERP資料!$F:$F, (MATCH(67, 輔助計算!$F$2:$F$801, 0)+1))), "")</f>
        <v/>
      </c>
      <c r="F68" s="10">
        <f>IFERROR(IF(INDEX(ERP資料!$G:$G, (MATCH(67, 輔助計算!$F$2:$F$801, 0)+1))="","",INDEX(ERP資料!$G:$G, (MATCH(67, 輔助計算!$F$2:$F$801, 0)+1))), "")</f>
        <v/>
      </c>
      <c r="G68" s="10">
        <f>IFERROR(IF(INDEX(ERP資料!$H:$H, (MATCH(67, 輔助計算!$F$2:$F$801, 0)+1))="","",INDEX(ERP資料!$H:$H, (MATCH(67, 輔助計算!$F$2:$F$801, 0)+1))), "")</f>
        <v/>
      </c>
      <c r="H68" s="10">
        <f>IFERROR(IF(INDEX(ERP資料!$O:$O, (MATCH(67, 輔助計算!$F$2:$F$801, 0)+1))="","",INDEX(ERP資料!$O:$O, (MATCH(67, 輔助計算!$F$2:$F$801, 0)+1))), "")</f>
        <v/>
      </c>
      <c r="I68" s="15">
        <f>IFERROR(IF(INDEX(輔助計算!$D:$D,(MATCH(67, 輔助計算!$F$2:$F$801, 0)+1))="","",INDEX(輔助計算!$D:$D,(MATCH(67, 輔助計算!$F$2:$F$801, 0)+1))*INDEX(ERP資料!$O:$O,(MATCH(67, 輔助計算!$F$2:$F$801, 0)+1))), "")</f>
        <v/>
      </c>
      <c r="J68" s="16" t="n"/>
      <c r="K68" s="15">
        <f>IFERROR(INDEX(輔助計算!$D:$D, (MATCH(67, 輔助計算!$F$2:$F$801, 0)+1)), "")</f>
        <v/>
      </c>
      <c r="L68" s="16">
        <f>IFERROR(IF(AND(IFERROR(VLOOKUP(LEFT(INDEX(ERP資料!$S:$S, (MATCH(67, 輔助計算!$F$2:$F$801, 0)+1)), 4), 100張客戶!$A:$A, 1, FALSE), "")&lt;&gt;"", OR(INDEX(ERP資料!$F:$F, (MATCH(67, 輔助計算!$F$2:$F$801, 0)+1))=270, INDEX(ERP資料!$F:$F, (MATCH(67, 輔助計算!$F$2:$F$801, 0)+1))=300)), "100張", ""), "")</f>
        <v/>
      </c>
      <c r="M68" s="17" t="n"/>
      <c r="N68" s="17">
        <f>IF($F68="","",$F68)</f>
        <v/>
      </c>
      <c r="O68" s="17">
        <f>IF($G68="","",$G68)</f>
        <v/>
      </c>
      <c r="P68" s="17">
        <f>IF($K68="","",$K68)</f>
        <v/>
      </c>
      <c r="Q68" s="16" t="n"/>
      <c r="R68" s="18" t="n"/>
      <c r="S68" s="16" t="n"/>
    </row>
    <row r="69">
      <c r="A69" s="14">
        <f>IFERROR(IF(AND(IFERROR(INDEX(ERP資料!$A:$A, (MATCH(68, 輔助計算!$F$2:$F$801, 0)+1)), "")&lt;&gt;"", IFERROR(INDEX(ERP資料!$A:$A, (MATCH(68, 輔助計算!$F$2:$F$801, 0)+1)), "")&lt;&gt;IFERROR(INDEX(ERP資料!$A:$A, MATCH(67, 輔助計算!$F$2:$F$801, 0)+1), "")), INDEX(ERP資料!$B:$B, (MATCH(68, 輔助計算!$F$2:$F$801, 0)+1)), ""), "")</f>
        <v/>
      </c>
      <c r="B69" s="10">
        <f>IFERROR(IF(AND(IFERROR(INDEX(ERP資料!$A:$A, (MATCH(68, 輔助計算!$F$2:$F$801, 0)+1)), "")&lt;&gt;"", IFERROR(INDEX(ERP資料!$A:$A, (MATCH(68, 輔助計算!$F$2:$F$801, 0)+1)), "")&lt;&gt;IFERROR(INDEX(ERP資料!$A:$A, MATCH(67, 輔助計算!$F$2:$F$801, 0)+1), "")), IFERROR(INDEX(ERP資料!$A:$A, (MATCH(68, 輔助計算!$F$2:$F$801, 0)+1)), ""), ""), "")</f>
        <v/>
      </c>
      <c r="C69" s="10">
        <f>IFERROR(IF(AND(IFERROR(INDEX(ERP資料!$A:$A, (MATCH(68, 輔助計算!$F$2:$F$801, 0)+1)), "")&lt;&gt;"", IFERROR(INDEX(ERP資料!$A:$A, (MATCH(68, 輔助計算!$F$2:$F$801, 0)+1)), "")&lt;&gt;IFERROR(INDEX(ERP資料!$A:$A, MATCH(67, 輔助計算!$F$2:$F$801, 0)+1), "")), INDEX(ERP資料!$S:$S, (MATCH(68, 輔助計算!$F$2:$F$801, 0)+1)), ""), "")</f>
        <v/>
      </c>
      <c r="D69" s="10">
        <f>IFERROR(IF(INDEX(ERP資料!$E:$E, (MATCH(68, 輔助計算!$F$2:$F$801, 0)+1))="","",TRIM(INDEX(ERP資料!$E:$E, (MATCH(68, 輔助計算!$F$2:$F$801, 0)+1)))), "")</f>
        <v/>
      </c>
      <c r="E69" s="10">
        <f>IFERROR(IF(INDEX(ERP資料!$F:$F, (MATCH(68, 輔助計算!$F$2:$F$801, 0)+1))="","",INDEX(ERP資料!$F:$F, (MATCH(68, 輔助計算!$F$2:$F$801, 0)+1))), "")</f>
        <v/>
      </c>
      <c r="F69" s="10">
        <f>IFERROR(IF(INDEX(ERP資料!$G:$G, (MATCH(68, 輔助計算!$F$2:$F$801, 0)+1))="","",INDEX(ERP資料!$G:$G, (MATCH(68, 輔助計算!$F$2:$F$801, 0)+1))), "")</f>
        <v/>
      </c>
      <c r="G69" s="10">
        <f>IFERROR(IF(INDEX(ERP資料!$H:$H, (MATCH(68, 輔助計算!$F$2:$F$801, 0)+1))="","",INDEX(ERP資料!$H:$H, (MATCH(68, 輔助計算!$F$2:$F$801, 0)+1))), "")</f>
        <v/>
      </c>
      <c r="H69" s="10">
        <f>IFERROR(IF(INDEX(ERP資料!$O:$O, (MATCH(68, 輔助計算!$F$2:$F$801, 0)+1))="","",INDEX(ERP資料!$O:$O, (MATCH(68, 輔助計算!$F$2:$F$801, 0)+1))), "")</f>
        <v/>
      </c>
      <c r="I69" s="15">
        <f>IFERROR(IF(INDEX(輔助計算!$D:$D,(MATCH(68, 輔助計算!$F$2:$F$801, 0)+1))="","",INDEX(輔助計算!$D:$D,(MATCH(68, 輔助計算!$F$2:$F$801, 0)+1))*INDEX(ERP資料!$O:$O,(MATCH(68, 輔助計算!$F$2:$F$801, 0)+1))), "")</f>
        <v/>
      </c>
      <c r="J69" s="16" t="n"/>
      <c r="K69" s="15">
        <f>IFERROR(INDEX(輔助計算!$D:$D, (MATCH(68, 輔助計算!$F$2:$F$801, 0)+1)), "")</f>
        <v/>
      </c>
      <c r="L69" s="16">
        <f>IFERROR(IF(AND(IFERROR(VLOOKUP(LEFT(INDEX(ERP資料!$S:$S, (MATCH(68, 輔助計算!$F$2:$F$801, 0)+1)), 4), 100張客戶!$A:$A, 1, FALSE), "")&lt;&gt;"", OR(INDEX(ERP資料!$F:$F, (MATCH(68, 輔助計算!$F$2:$F$801, 0)+1))=270, INDEX(ERP資料!$F:$F, (MATCH(68, 輔助計算!$F$2:$F$801, 0)+1))=300)), "100張", ""), "")</f>
        <v/>
      </c>
      <c r="M69" s="17" t="n"/>
      <c r="N69" s="17">
        <f>IF($F69="","",$F69)</f>
        <v/>
      </c>
      <c r="O69" s="17">
        <f>IF($G69="","",$G69)</f>
        <v/>
      </c>
      <c r="P69" s="17">
        <f>IF($K69="","",$K69)</f>
        <v/>
      </c>
      <c r="Q69" s="16" t="n"/>
      <c r="R69" s="18" t="n"/>
      <c r="S69" s="16" t="n"/>
    </row>
    <row r="70">
      <c r="A70" s="14">
        <f>IFERROR(IF(AND(IFERROR(INDEX(ERP資料!$A:$A, (MATCH(69, 輔助計算!$F$2:$F$801, 0)+1)), "")&lt;&gt;"", IFERROR(INDEX(ERP資料!$A:$A, (MATCH(69, 輔助計算!$F$2:$F$801, 0)+1)), "")&lt;&gt;IFERROR(INDEX(ERP資料!$A:$A, MATCH(68, 輔助計算!$F$2:$F$801, 0)+1), "")), INDEX(ERP資料!$B:$B, (MATCH(69, 輔助計算!$F$2:$F$801, 0)+1)), ""), "")</f>
        <v/>
      </c>
      <c r="B70" s="10">
        <f>IFERROR(IF(AND(IFERROR(INDEX(ERP資料!$A:$A, (MATCH(69, 輔助計算!$F$2:$F$801, 0)+1)), "")&lt;&gt;"", IFERROR(INDEX(ERP資料!$A:$A, (MATCH(69, 輔助計算!$F$2:$F$801, 0)+1)), "")&lt;&gt;IFERROR(INDEX(ERP資料!$A:$A, MATCH(68, 輔助計算!$F$2:$F$801, 0)+1), "")), IFERROR(INDEX(ERP資料!$A:$A, (MATCH(69, 輔助計算!$F$2:$F$801, 0)+1)), ""), ""), "")</f>
        <v/>
      </c>
      <c r="C70" s="10">
        <f>IFERROR(IF(AND(IFERROR(INDEX(ERP資料!$A:$A, (MATCH(69, 輔助計算!$F$2:$F$801, 0)+1)), "")&lt;&gt;"", IFERROR(INDEX(ERP資料!$A:$A, (MATCH(69, 輔助計算!$F$2:$F$801, 0)+1)), "")&lt;&gt;IFERROR(INDEX(ERP資料!$A:$A, MATCH(68, 輔助計算!$F$2:$F$801, 0)+1), "")), INDEX(ERP資料!$S:$S, (MATCH(69, 輔助計算!$F$2:$F$801, 0)+1)), ""), "")</f>
        <v/>
      </c>
      <c r="D70" s="10">
        <f>IFERROR(IF(INDEX(ERP資料!$E:$E, (MATCH(69, 輔助計算!$F$2:$F$801, 0)+1))="","",TRIM(INDEX(ERP資料!$E:$E, (MATCH(69, 輔助計算!$F$2:$F$801, 0)+1)))), "")</f>
        <v/>
      </c>
      <c r="E70" s="10">
        <f>IFERROR(IF(INDEX(ERP資料!$F:$F, (MATCH(69, 輔助計算!$F$2:$F$801, 0)+1))="","",INDEX(ERP資料!$F:$F, (MATCH(69, 輔助計算!$F$2:$F$801, 0)+1))), "")</f>
        <v/>
      </c>
      <c r="F70" s="10">
        <f>IFERROR(IF(INDEX(ERP資料!$G:$G, (MATCH(69, 輔助計算!$F$2:$F$801, 0)+1))="","",INDEX(ERP資料!$G:$G, (MATCH(69, 輔助計算!$F$2:$F$801, 0)+1))), "")</f>
        <v/>
      </c>
      <c r="G70" s="10">
        <f>IFERROR(IF(INDEX(ERP資料!$H:$H, (MATCH(69, 輔助計算!$F$2:$F$801, 0)+1))="","",INDEX(ERP資料!$H:$H, (MATCH(69, 輔助計算!$F$2:$F$801, 0)+1))), "")</f>
        <v/>
      </c>
      <c r="H70" s="10">
        <f>IFERROR(IF(INDEX(ERP資料!$O:$O, (MATCH(69, 輔助計算!$F$2:$F$801, 0)+1))="","",INDEX(ERP資料!$O:$O, (MATCH(69, 輔助計算!$F$2:$F$801, 0)+1))), "")</f>
        <v/>
      </c>
      <c r="I70" s="15">
        <f>IFERROR(IF(INDEX(輔助計算!$D:$D,(MATCH(69, 輔助計算!$F$2:$F$801, 0)+1))="","",INDEX(輔助計算!$D:$D,(MATCH(69, 輔助計算!$F$2:$F$801, 0)+1))*INDEX(ERP資料!$O:$O,(MATCH(69, 輔助計算!$F$2:$F$801, 0)+1))), "")</f>
        <v/>
      </c>
      <c r="J70" s="16" t="n"/>
      <c r="K70" s="15">
        <f>IFERROR(INDEX(輔助計算!$D:$D, (MATCH(69, 輔助計算!$F$2:$F$801, 0)+1)), "")</f>
        <v/>
      </c>
      <c r="L70" s="16">
        <f>IFERROR(IF(AND(IFERROR(VLOOKUP(LEFT(INDEX(ERP資料!$S:$S, (MATCH(69, 輔助計算!$F$2:$F$801, 0)+1)), 4), 100張客戶!$A:$A, 1, FALSE), "")&lt;&gt;"", OR(INDEX(ERP資料!$F:$F, (MATCH(69, 輔助計算!$F$2:$F$801, 0)+1))=270, INDEX(ERP資料!$F:$F, (MATCH(69, 輔助計算!$F$2:$F$801, 0)+1))=300)), "100張", ""), "")</f>
        <v/>
      </c>
      <c r="M70" s="17" t="n"/>
      <c r="N70" s="17">
        <f>IF($F70="","",$F70)</f>
        <v/>
      </c>
      <c r="O70" s="17">
        <f>IF($G70="","",$G70)</f>
        <v/>
      </c>
      <c r="P70" s="17">
        <f>IF($K70="","",$K70)</f>
        <v/>
      </c>
      <c r="Q70" s="16" t="n"/>
      <c r="R70" s="18" t="n"/>
      <c r="S70" s="16" t="n"/>
    </row>
    <row r="71">
      <c r="A71" s="14">
        <f>IFERROR(IF(AND(IFERROR(INDEX(ERP資料!$A:$A, (MATCH(70, 輔助計算!$F$2:$F$801, 0)+1)), "")&lt;&gt;"", IFERROR(INDEX(ERP資料!$A:$A, (MATCH(70, 輔助計算!$F$2:$F$801, 0)+1)), "")&lt;&gt;IFERROR(INDEX(ERP資料!$A:$A, MATCH(69, 輔助計算!$F$2:$F$801, 0)+1), "")), INDEX(ERP資料!$B:$B, (MATCH(70, 輔助計算!$F$2:$F$801, 0)+1)), ""), "")</f>
        <v/>
      </c>
      <c r="B71" s="10">
        <f>IFERROR(IF(AND(IFERROR(INDEX(ERP資料!$A:$A, (MATCH(70, 輔助計算!$F$2:$F$801, 0)+1)), "")&lt;&gt;"", IFERROR(INDEX(ERP資料!$A:$A, (MATCH(70, 輔助計算!$F$2:$F$801, 0)+1)), "")&lt;&gt;IFERROR(INDEX(ERP資料!$A:$A, MATCH(69, 輔助計算!$F$2:$F$801, 0)+1), "")), IFERROR(INDEX(ERP資料!$A:$A, (MATCH(70, 輔助計算!$F$2:$F$801, 0)+1)), ""), ""), "")</f>
        <v/>
      </c>
      <c r="C71" s="10">
        <f>IFERROR(IF(AND(IFERROR(INDEX(ERP資料!$A:$A, (MATCH(70, 輔助計算!$F$2:$F$801, 0)+1)), "")&lt;&gt;"", IFERROR(INDEX(ERP資料!$A:$A, (MATCH(70, 輔助計算!$F$2:$F$801, 0)+1)), "")&lt;&gt;IFERROR(INDEX(ERP資料!$A:$A, MATCH(69, 輔助計算!$F$2:$F$801, 0)+1), "")), INDEX(ERP資料!$S:$S, (MATCH(70, 輔助計算!$F$2:$F$801, 0)+1)), ""), "")</f>
        <v/>
      </c>
      <c r="D71" s="10">
        <f>IFERROR(IF(INDEX(ERP資料!$E:$E, (MATCH(70, 輔助計算!$F$2:$F$801, 0)+1))="","",TRIM(INDEX(ERP資料!$E:$E, (MATCH(70, 輔助計算!$F$2:$F$801, 0)+1)))), "")</f>
        <v/>
      </c>
      <c r="E71" s="10">
        <f>IFERROR(IF(INDEX(ERP資料!$F:$F, (MATCH(70, 輔助計算!$F$2:$F$801, 0)+1))="","",INDEX(ERP資料!$F:$F, (MATCH(70, 輔助計算!$F$2:$F$801, 0)+1))), "")</f>
        <v/>
      </c>
      <c r="F71" s="10">
        <f>IFERROR(IF(INDEX(ERP資料!$G:$G, (MATCH(70, 輔助計算!$F$2:$F$801, 0)+1))="","",INDEX(ERP資料!$G:$G, (MATCH(70, 輔助計算!$F$2:$F$801, 0)+1))), "")</f>
        <v/>
      </c>
      <c r="G71" s="10">
        <f>IFERROR(IF(INDEX(ERP資料!$H:$H, (MATCH(70, 輔助計算!$F$2:$F$801, 0)+1))="","",INDEX(ERP資料!$H:$H, (MATCH(70, 輔助計算!$F$2:$F$801, 0)+1))), "")</f>
        <v/>
      </c>
      <c r="H71" s="10">
        <f>IFERROR(IF(INDEX(ERP資料!$O:$O, (MATCH(70, 輔助計算!$F$2:$F$801, 0)+1))="","",INDEX(ERP資料!$O:$O, (MATCH(70, 輔助計算!$F$2:$F$801, 0)+1))), "")</f>
        <v/>
      </c>
      <c r="I71" s="15">
        <f>IFERROR(IF(INDEX(輔助計算!$D:$D,(MATCH(70, 輔助計算!$F$2:$F$801, 0)+1))="","",INDEX(輔助計算!$D:$D,(MATCH(70, 輔助計算!$F$2:$F$801, 0)+1))*INDEX(ERP資料!$O:$O,(MATCH(70, 輔助計算!$F$2:$F$801, 0)+1))), "")</f>
        <v/>
      </c>
      <c r="J71" s="16" t="n"/>
      <c r="K71" s="15">
        <f>IFERROR(INDEX(輔助計算!$D:$D, (MATCH(70, 輔助計算!$F$2:$F$801, 0)+1)), "")</f>
        <v/>
      </c>
      <c r="L71" s="16">
        <f>IFERROR(IF(AND(IFERROR(VLOOKUP(LEFT(INDEX(ERP資料!$S:$S, (MATCH(70, 輔助計算!$F$2:$F$801, 0)+1)), 4), 100張客戶!$A:$A, 1, FALSE), "")&lt;&gt;"", OR(INDEX(ERP資料!$F:$F, (MATCH(70, 輔助計算!$F$2:$F$801, 0)+1))=270, INDEX(ERP資料!$F:$F, (MATCH(70, 輔助計算!$F$2:$F$801, 0)+1))=300)), "100張", ""), "")</f>
        <v/>
      </c>
      <c r="M71" s="17" t="n"/>
      <c r="N71" s="17">
        <f>IF($F71="","",$F71)</f>
        <v/>
      </c>
      <c r="O71" s="17">
        <f>IF($G71="","",$G71)</f>
        <v/>
      </c>
      <c r="P71" s="17">
        <f>IF($K71="","",$K71)</f>
        <v/>
      </c>
      <c r="Q71" s="16" t="n"/>
      <c r="R71" s="18" t="n"/>
      <c r="S71" s="16" t="n"/>
    </row>
    <row r="72">
      <c r="A72" s="14">
        <f>IFERROR(IF(AND(IFERROR(INDEX(ERP資料!$A:$A, (MATCH(71, 輔助計算!$F$2:$F$801, 0)+1)), "")&lt;&gt;"", IFERROR(INDEX(ERP資料!$A:$A, (MATCH(71, 輔助計算!$F$2:$F$801, 0)+1)), "")&lt;&gt;IFERROR(INDEX(ERP資料!$A:$A, MATCH(70, 輔助計算!$F$2:$F$801, 0)+1), "")), INDEX(ERP資料!$B:$B, (MATCH(71, 輔助計算!$F$2:$F$801, 0)+1)), ""), "")</f>
        <v/>
      </c>
      <c r="B72" s="10">
        <f>IFERROR(IF(AND(IFERROR(INDEX(ERP資料!$A:$A, (MATCH(71, 輔助計算!$F$2:$F$801, 0)+1)), "")&lt;&gt;"", IFERROR(INDEX(ERP資料!$A:$A, (MATCH(71, 輔助計算!$F$2:$F$801, 0)+1)), "")&lt;&gt;IFERROR(INDEX(ERP資料!$A:$A, MATCH(70, 輔助計算!$F$2:$F$801, 0)+1), "")), IFERROR(INDEX(ERP資料!$A:$A, (MATCH(71, 輔助計算!$F$2:$F$801, 0)+1)), ""), ""), "")</f>
        <v/>
      </c>
      <c r="C72" s="10">
        <f>IFERROR(IF(AND(IFERROR(INDEX(ERP資料!$A:$A, (MATCH(71, 輔助計算!$F$2:$F$801, 0)+1)), "")&lt;&gt;"", IFERROR(INDEX(ERP資料!$A:$A, (MATCH(71, 輔助計算!$F$2:$F$801, 0)+1)), "")&lt;&gt;IFERROR(INDEX(ERP資料!$A:$A, MATCH(70, 輔助計算!$F$2:$F$801, 0)+1), "")), INDEX(ERP資料!$S:$S, (MATCH(71, 輔助計算!$F$2:$F$801, 0)+1)), ""), "")</f>
        <v/>
      </c>
      <c r="D72" s="10">
        <f>IFERROR(IF(INDEX(ERP資料!$E:$E, (MATCH(71, 輔助計算!$F$2:$F$801, 0)+1))="","",TRIM(INDEX(ERP資料!$E:$E, (MATCH(71, 輔助計算!$F$2:$F$801, 0)+1)))), "")</f>
        <v/>
      </c>
      <c r="E72" s="10">
        <f>IFERROR(IF(INDEX(ERP資料!$F:$F, (MATCH(71, 輔助計算!$F$2:$F$801, 0)+1))="","",INDEX(ERP資料!$F:$F, (MATCH(71, 輔助計算!$F$2:$F$801, 0)+1))), "")</f>
        <v/>
      </c>
      <c r="F72" s="10">
        <f>IFERROR(IF(INDEX(ERP資料!$G:$G, (MATCH(71, 輔助計算!$F$2:$F$801, 0)+1))="","",INDEX(ERP資料!$G:$G, (MATCH(71, 輔助計算!$F$2:$F$801, 0)+1))), "")</f>
        <v/>
      </c>
      <c r="G72" s="10">
        <f>IFERROR(IF(INDEX(ERP資料!$H:$H, (MATCH(71, 輔助計算!$F$2:$F$801, 0)+1))="","",INDEX(ERP資料!$H:$H, (MATCH(71, 輔助計算!$F$2:$F$801, 0)+1))), "")</f>
        <v/>
      </c>
      <c r="H72" s="10">
        <f>IFERROR(IF(INDEX(ERP資料!$O:$O, (MATCH(71, 輔助計算!$F$2:$F$801, 0)+1))="","",INDEX(ERP資料!$O:$O, (MATCH(71, 輔助計算!$F$2:$F$801, 0)+1))), "")</f>
        <v/>
      </c>
      <c r="I72" s="15">
        <f>IFERROR(IF(INDEX(輔助計算!$D:$D,(MATCH(71, 輔助計算!$F$2:$F$801, 0)+1))="","",INDEX(輔助計算!$D:$D,(MATCH(71, 輔助計算!$F$2:$F$801, 0)+1))*INDEX(ERP資料!$O:$O,(MATCH(71, 輔助計算!$F$2:$F$801, 0)+1))), "")</f>
        <v/>
      </c>
      <c r="J72" s="16" t="n"/>
      <c r="K72" s="15">
        <f>IFERROR(INDEX(輔助計算!$D:$D, (MATCH(71, 輔助計算!$F$2:$F$801, 0)+1)), "")</f>
        <v/>
      </c>
      <c r="L72" s="16">
        <f>IFERROR(IF(AND(IFERROR(VLOOKUP(LEFT(INDEX(ERP資料!$S:$S, (MATCH(71, 輔助計算!$F$2:$F$801, 0)+1)), 4), 100張客戶!$A:$A, 1, FALSE), "")&lt;&gt;"", OR(INDEX(ERP資料!$F:$F, (MATCH(71, 輔助計算!$F$2:$F$801, 0)+1))=270, INDEX(ERP資料!$F:$F, (MATCH(71, 輔助計算!$F$2:$F$801, 0)+1))=300)), "100張", ""), "")</f>
        <v/>
      </c>
      <c r="M72" s="17" t="n"/>
      <c r="N72" s="17">
        <f>IF($F72="","",$F72)</f>
        <v/>
      </c>
      <c r="O72" s="17">
        <f>IF($G72="","",$G72)</f>
        <v/>
      </c>
      <c r="P72" s="17">
        <f>IF($K72="","",$K72)</f>
        <v/>
      </c>
      <c r="Q72" s="16" t="n"/>
      <c r="R72" s="18" t="n"/>
      <c r="S72" s="16" t="n"/>
    </row>
    <row r="73">
      <c r="A73" s="14">
        <f>IFERROR(IF(AND(IFERROR(INDEX(ERP資料!$A:$A, (MATCH(72, 輔助計算!$F$2:$F$801, 0)+1)), "")&lt;&gt;"", IFERROR(INDEX(ERP資料!$A:$A, (MATCH(72, 輔助計算!$F$2:$F$801, 0)+1)), "")&lt;&gt;IFERROR(INDEX(ERP資料!$A:$A, MATCH(71, 輔助計算!$F$2:$F$801, 0)+1), "")), INDEX(ERP資料!$B:$B, (MATCH(72, 輔助計算!$F$2:$F$801, 0)+1)), ""), "")</f>
        <v/>
      </c>
      <c r="B73" s="10">
        <f>IFERROR(IF(AND(IFERROR(INDEX(ERP資料!$A:$A, (MATCH(72, 輔助計算!$F$2:$F$801, 0)+1)), "")&lt;&gt;"", IFERROR(INDEX(ERP資料!$A:$A, (MATCH(72, 輔助計算!$F$2:$F$801, 0)+1)), "")&lt;&gt;IFERROR(INDEX(ERP資料!$A:$A, MATCH(71, 輔助計算!$F$2:$F$801, 0)+1), "")), IFERROR(INDEX(ERP資料!$A:$A, (MATCH(72, 輔助計算!$F$2:$F$801, 0)+1)), ""), ""), "")</f>
        <v/>
      </c>
      <c r="C73" s="10">
        <f>IFERROR(IF(AND(IFERROR(INDEX(ERP資料!$A:$A, (MATCH(72, 輔助計算!$F$2:$F$801, 0)+1)), "")&lt;&gt;"", IFERROR(INDEX(ERP資料!$A:$A, (MATCH(72, 輔助計算!$F$2:$F$801, 0)+1)), "")&lt;&gt;IFERROR(INDEX(ERP資料!$A:$A, MATCH(71, 輔助計算!$F$2:$F$801, 0)+1), "")), INDEX(ERP資料!$S:$S, (MATCH(72, 輔助計算!$F$2:$F$801, 0)+1)), ""), "")</f>
        <v/>
      </c>
      <c r="D73" s="10">
        <f>IFERROR(IF(INDEX(ERP資料!$E:$E, (MATCH(72, 輔助計算!$F$2:$F$801, 0)+1))="","",TRIM(INDEX(ERP資料!$E:$E, (MATCH(72, 輔助計算!$F$2:$F$801, 0)+1)))), "")</f>
        <v/>
      </c>
      <c r="E73" s="10">
        <f>IFERROR(IF(INDEX(ERP資料!$F:$F, (MATCH(72, 輔助計算!$F$2:$F$801, 0)+1))="","",INDEX(ERP資料!$F:$F, (MATCH(72, 輔助計算!$F$2:$F$801, 0)+1))), "")</f>
        <v/>
      </c>
      <c r="F73" s="10">
        <f>IFERROR(IF(INDEX(ERP資料!$G:$G, (MATCH(72, 輔助計算!$F$2:$F$801, 0)+1))="","",INDEX(ERP資料!$G:$G, (MATCH(72, 輔助計算!$F$2:$F$801, 0)+1))), "")</f>
        <v/>
      </c>
      <c r="G73" s="10">
        <f>IFERROR(IF(INDEX(ERP資料!$H:$H, (MATCH(72, 輔助計算!$F$2:$F$801, 0)+1))="","",INDEX(ERP資料!$H:$H, (MATCH(72, 輔助計算!$F$2:$F$801, 0)+1))), "")</f>
        <v/>
      </c>
      <c r="H73" s="10">
        <f>IFERROR(IF(INDEX(ERP資料!$O:$O, (MATCH(72, 輔助計算!$F$2:$F$801, 0)+1))="","",INDEX(ERP資料!$O:$O, (MATCH(72, 輔助計算!$F$2:$F$801, 0)+1))), "")</f>
        <v/>
      </c>
      <c r="I73" s="15">
        <f>IFERROR(IF(INDEX(輔助計算!$D:$D,(MATCH(72, 輔助計算!$F$2:$F$801, 0)+1))="","",INDEX(輔助計算!$D:$D,(MATCH(72, 輔助計算!$F$2:$F$801, 0)+1))*INDEX(ERP資料!$O:$O,(MATCH(72, 輔助計算!$F$2:$F$801, 0)+1))), "")</f>
        <v/>
      </c>
      <c r="J73" s="16" t="n"/>
      <c r="K73" s="15">
        <f>IFERROR(INDEX(輔助計算!$D:$D, (MATCH(72, 輔助計算!$F$2:$F$801, 0)+1)), "")</f>
        <v/>
      </c>
      <c r="L73" s="16">
        <f>IFERROR(IF(AND(IFERROR(VLOOKUP(LEFT(INDEX(ERP資料!$S:$S, (MATCH(72, 輔助計算!$F$2:$F$801, 0)+1)), 4), 100張客戶!$A:$A, 1, FALSE), "")&lt;&gt;"", OR(INDEX(ERP資料!$F:$F, (MATCH(72, 輔助計算!$F$2:$F$801, 0)+1))=270, INDEX(ERP資料!$F:$F, (MATCH(72, 輔助計算!$F$2:$F$801, 0)+1))=300)), "100張", ""), "")</f>
        <v/>
      </c>
      <c r="M73" s="17" t="n"/>
      <c r="N73" s="17">
        <f>IF($F73="","",$F73)</f>
        <v/>
      </c>
      <c r="O73" s="17">
        <f>IF($G73="","",$G73)</f>
        <v/>
      </c>
      <c r="P73" s="17">
        <f>IF($K73="","",$K73)</f>
        <v/>
      </c>
      <c r="Q73" s="16" t="n"/>
      <c r="R73" s="18" t="n"/>
      <c r="S73" s="16" t="n"/>
    </row>
    <row r="74">
      <c r="A74" s="14">
        <f>IFERROR(IF(AND(IFERROR(INDEX(ERP資料!$A:$A, (MATCH(73, 輔助計算!$F$2:$F$801, 0)+1)), "")&lt;&gt;"", IFERROR(INDEX(ERP資料!$A:$A, (MATCH(73, 輔助計算!$F$2:$F$801, 0)+1)), "")&lt;&gt;IFERROR(INDEX(ERP資料!$A:$A, MATCH(72, 輔助計算!$F$2:$F$801, 0)+1), "")), INDEX(ERP資料!$B:$B, (MATCH(73, 輔助計算!$F$2:$F$801, 0)+1)), ""), "")</f>
        <v/>
      </c>
      <c r="B74" s="10">
        <f>IFERROR(IF(AND(IFERROR(INDEX(ERP資料!$A:$A, (MATCH(73, 輔助計算!$F$2:$F$801, 0)+1)), "")&lt;&gt;"", IFERROR(INDEX(ERP資料!$A:$A, (MATCH(73, 輔助計算!$F$2:$F$801, 0)+1)), "")&lt;&gt;IFERROR(INDEX(ERP資料!$A:$A, MATCH(72, 輔助計算!$F$2:$F$801, 0)+1), "")), IFERROR(INDEX(ERP資料!$A:$A, (MATCH(73, 輔助計算!$F$2:$F$801, 0)+1)), ""), ""), "")</f>
        <v/>
      </c>
      <c r="C74" s="10">
        <f>IFERROR(IF(AND(IFERROR(INDEX(ERP資料!$A:$A, (MATCH(73, 輔助計算!$F$2:$F$801, 0)+1)), "")&lt;&gt;"", IFERROR(INDEX(ERP資料!$A:$A, (MATCH(73, 輔助計算!$F$2:$F$801, 0)+1)), "")&lt;&gt;IFERROR(INDEX(ERP資料!$A:$A, MATCH(72, 輔助計算!$F$2:$F$801, 0)+1), "")), INDEX(ERP資料!$S:$S, (MATCH(73, 輔助計算!$F$2:$F$801, 0)+1)), ""), "")</f>
        <v/>
      </c>
      <c r="D74" s="10">
        <f>IFERROR(IF(INDEX(ERP資料!$E:$E, (MATCH(73, 輔助計算!$F$2:$F$801, 0)+1))="","",TRIM(INDEX(ERP資料!$E:$E, (MATCH(73, 輔助計算!$F$2:$F$801, 0)+1)))), "")</f>
        <v/>
      </c>
      <c r="E74" s="10">
        <f>IFERROR(IF(INDEX(ERP資料!$F:$F, (MATCH(73, 輔助計算!$F$2:$F$801, 0)+1))="","",INDEX(ERP資料!$F:$F, (MATCH(73, 輔助計算!$F$2:$F$801, 0)+1))), "")</f>
        <v/>
      </c>
      <c r="F74" s="10">
        <f>IFERROR(IF(INDEX(ERP資料!$G:$G, (MATCH(73, 輔助計算!$F$2:$F$801, 0)+1))="","",INDEX(ERP資料!$G:$G, (MATCH(73, 輔助計算!$F$2:$F$801, 0)+1))), "")</f>
        <v/>
      </c>
      <c r="G74" s="10">
        <f>IFERROR(IF(INDEX(ERP資料!$H:$H, (MATCH(73, 輔助計算!$F$2:$F$801, 0)+1))="","",INDEX(ERP資料!$H:$H, (MATCH(73, 輔助計算!$F$2:$F$801, 0)+1))), "")</f>
        <v/>
      </c>
      <c r="H74" s="10">
        <f>IFERROR(IF(INDEX(ERP資料!$O:$O, (MATCH(73, 輔助計算!$F$2:$F$801, 0)+1))="","",INDEX(ERP資料!$O:$O, (MATCH(73, 輔助計算!$F$2:$F$801, 0)+1))), "")</f>
        <v/>
      </c>
      <c r="I74" s="15">
        <f>IFERROR(IF(INDEX(輔助計算!$D:$D,(MATCH(73, 輔助計算!$F$2:$F$801, 0)+1))="","",INDEX(輔助計算!$D:$D,(MATCH(73, 輔助計算!$F$2:$F$801, 0)+1))*INDEX(ERP資料!$O:$O,(MATCH(73, 輔助計算!$F$2:$F$801, 0)+1))), "")</f>
        <v/>
      </c>
      <c r="J74" s="16" t="n"/>
      <c r="K74" s="15">
        <f>IFERROR(INDEX(輔助計算!$D:$D, (MATCH(73, 輔助計算!$F$2:$F$801, 0)+1)), "")</f>
        <v/>
      </c>
      <c r="L74" s="16">
        <f>IFERROR(IF(AND(IFERROR(VLOOKUP(LEFT(INDEX(ERP資料!$S:$S, (MATCH(73, 輔助計算!$F$2:$F$801, 0)+1)), 4), 100張客戶!$A:$A, 1, FALSE), "")&lt;&gt;"", OR(INDEX(ERP資料!$F:$F, (MATCH(73, 輔助計算!$F$2:$F$801, 0)+1))=270, INDEX(ERP資料!$F:$F, (MATCH(73, 輔助計算!$F$2:$F$801, 0)+1))=300)), "100張", ""), "")</f>
        <v/>
      </c>
      <c r="M74" s="17" t="n"/>
      <c r="N74" s="17">
        <f>IF($F74="","",$F74)</f>
        <v/>
      </c>
      <c r="O74" s="17">
        <f>IF($G74="","",$G74)</f>
        <v/>
      </c>
      <c r="P74" s="17">
        <f>IF($K74="","",$K74)</f>
        <v/>
      </c>
      <c r="Q74" s="16" t="n"/>
      <c r="R74" s="18" t="n"/>
      <c r="S74" s="16" t="n"/>
    </row>
    <row r="75">
      <c r="A75" s="14">
        <f>IFERROR(IF(AND(IFERROR(INDEX(ERP資料!$A:$A, (MATCH(74, 輔助計算!$F$2:$F$801, 0)+1)), "")&lt;&gt;"", IFERROR(INDEX(ERP資料!$A:$A, (MATCH(74, 輔助計算!$F$2:$F$801, 0)+1)), "")&lt;&gt;IFERROR(INDEX(ERP資料!$A:$A, MATCH(73, 輔助計算!$F$2:$F$801, 0)+1), "")), INDEX(ERP資料!$B:$B, (MATCH(74, 輔助計算!$F$2:$F$801, 0)+1)), ""), "")</f>
        <v/>
      </c>
      <c r="B75" s="10">
        <f>IFERROR(IF(AND(IFERROR(INDEX(ERP資料!$A:$A, (MATCH(74, 輔助計算!$F$2:$F$801, 0)+1)), "")&lt;&gt;"", IFERROR(INDEX(ERP資料!$A:$A, (MATCH(74, 輔助計算!$F$2:$F$801, 0)+1)), "")&lt;&gt;IFERROR(INDEX(ERP資料!$A:$A, MATCH(73, 輔助計算!$F$2:$F$801, 0)+1), "")), IFERROR(INDEX(ERP資料!$A:$A, (MATCH(74, 輔助計算!$F$2:$F$801, 0)+1)), ""), ""), "")</f>
        <v/>
      </c>
      <c r="C75" s="10">
        <f>IFERROR(IF(AND(IFERROR(INDEX(ERP資料!$A:$A, (MATCH(74, 輔助計算!$F$2:$F$801, 0)+1)), "")&lt;&gt;"", IFERROR(INDEX(ERP資料!$A:$A, (MATCH(74, 輔助計算!$F$2:$F$801, 0)+1)), "")&lt;&gt;IFERROR(INDEX(ERP資料!$A:$A, MATCH(73, 輔助計算!$F$2:$F$801, 0)+1), "")), INDEX(ERP資料!$S:$S, (MATCH(74, 輔助計算!$F$2:$F$801, 0)+1)), ""), "")</f>
        <v/>
      </c>
      <c r="D75" s="10">
        <f>IFERROR(IF(INDEX(ERP資料!$E:$E, (MATCH(74, 輔助計算!$F$2:$F$801, 0)+1))="","",TRIM(INDEX(ERP資料!$E:$E, (MATCH(74, 輔助計算!$F$2:$F$801, 0)+1)))), "")</f>
        <v/>
      </c>
      <c r="E75" s="10">
        <f>IFERROR(IF(INDEX(ERP資料!$F:$F, (MATCH(74, 輔助計算!$F$2:$F$801, 0)+1))="","",INDEX(ERP資料!$F:$F, (MATCH(74, 輔助計算!$F$2:$F$801, 0)+1))), "")</f>
        <v/>
      </c>
      <c r="F75" s="10">
        <f>IFERROR(IF(INDEX(ERP資料!$G:$G, (MATCH(74, 輔助計算!$F$2:$F$801, 0)+1))="","",INDEX(ERP資料!$G:$G, (MATCH(74, 輔助計算!$F$2:$F$801, 0)+1))), "")</f>
        <v/>
      </c>
      <c r="G75" s="10">
        <f>IFERROR(IF(INDEX(ERP資料!$H:$H, (MATCH(74, 輔助計算!$F$2:$F$801, 0)+1))="","",INDEX(ERP資料!$H:$H, (MATCH(74, 輔助計算!$F$2:$F$801, 0)+1))), "")</f>
        <v/>
      </c>
      <c r="H75" s="10">
        <f>IFERROR(IF(INDEX(ERP資料!$O:$O, (MATCH(74, 輔助計算!$F$2:$F$801, 0)+1))="","",INDEX(ERP資料!$O:$O, (MATCH(74, 輔助計算!$F$2:$F$801, 0)+1))), "")</f>
        <v/>
      </c>
      <c r="I75" s="15">
        <f>IFERROR(IF(INDEX(輔助計算!$D:$D,(MATCH(74, 輔助計算!$F$2:$F$801, 0)+1))="","",INDEX(輔助計算!$D:$D,(MATCH(74, 輔助計算!$F$2:$F$801, 0)+1))*INDEX(ERP資料!$O:$O,(MATCH(74, 輔助計算!$F$2:$F$801, 0)+1))), "")</f>
        <v/>
      </c>
      <c r="J75" s="16" t="n"/>
      <c r="K75" s="15">
        <f>IFERROR(INDEX(輔助計算!$D:$D, (MATCH(74, 輔助計算!$F$2:$F$801, 0)+1)), "")</f>
        <v/>
      </c>
      <c r="L75" s="16">
        <f>IFERROR(IF(AND(IFERROR(VLOOKUP(LEFT(INDEX(ERP資料!$S:$S, (MATCH(74, 輔助計算!$F$2:$F$801, 0)+1)), 4), 100張客戶!$A:$A, 1, FALSE), "")&lt;&gt;"", OR(INDEX(ERP資料!$F:$F, (MATCH(74, 輔助計算!$F$2:$F$801, 0)+1))=270, INDEX(ERP資料!$F:$F, (MATCH(74, 輔助計算!$F$2:$F$801, 0)+1))=300)), "100張", ""), "")</f>
        <v/>
      </c>
      <c r="M75" s="17" t="n"/>
      <c r="N75" s="17">
        <f>IF($F75="","",$F75)</f>
        <v/>
      </c>
      <c r="O75" s="17">
        <f>IF($G75="","",$G75)</f>
        <v/>
      </c>
      <c r="P75" s="17">
        <f>IF($K75="","",$K75)</f>
        <v/>
      </c>
      <c r="Q75" s="16" t="n"/>
      <c r="R75" s="18" t="n"/>
      <c r="S75" s="16" t="n"/>
    </row>
    <row r="76">
      <c r="A76" s="14">
        <f>IFERROR(IF(AND(IFERROR(INDEX(ERP資料!$A:$A, (MATCH(75, 輔助計算!$F$2:$F$801, 0)+1)), "")&lt;&gt;"", IFERROR(INDEX(ERP資料!$A:$A, (MATCH(75, 輔助計算!$F$2:$F$801, 0)+1)), "")&lt;&gt;IFERROR(INDEX(ERP資料!$A:$A, MATCH(74, 輔助計算!$F$2:$F$801, 0)+1), "")), INDEX(ERP資料!$B:$B, (MATCH(75, 輔助計算!$F$2:$F$801, 0)+1)), ""), "")</f>
        <v/>
      </c>
      <c r="B76" s="10">
        <f>IFERROR(IF(AND(IFERROR(INDEX(ERP資料!$A:$A, (MATCH(75, 輔助計算!$F$2:$F$801, 0)+1)), "")&lt;&gt;"", IFERROR(INDEX(ERP資料!$A:$A, (MATCH(75, 輔助計算!$F$2:$F$801, 0)+1)), "")&lt;&gt;IFERROR(INDEX(ERP資料!$A:$A, MATCH(74, 輔助計算!$F$2:$F$801, 0)+1), "")), IFERROR(INDEX(ERP資料!$A:$A, (MATCH(75, 輔助計算!$F$2:$F$801, 0)+1)), ""), ""), "")</f>
        <v/>
      </c>
      <c r="C76" s="10">
        <f>IFERROR(IF(AND(IFERROR(INDEX(ERP資料!$A:$A, (MATCH(75, 輔助計算!$F$2:$F$801, 0)+1)), "")&lt;&gt;"", IFERROR(INDEX(ERP資料!$A:$A, (MATCH(75, 輔助計算!$F$2:$F$801, 0)+1)), "")&lt;&gt;IFERROR(INDEX(ERP資料!$A:$A, MATCH(74, 輔助計算!$F$2:$F$801, 0)+1), "")), INDEX(ERP資料!$S:$S, (MATCH(75, 輔助計算!$F$2:$F$801, 0)+1)), ""), "")</f>
        <v/>
      </c>
      <c r="D76" s="10">
        <f>IFERROR(IF(INDEX(ERP資料!$E:$E, (MATCH(75, 輔助計算!$F$2:$F$801, 0)+1))="","",TRIM(INDEX(ERP資料!$E:$E, (MATCH(75, 輔助計算!$F$2:$F$801, 0)+1)))), "")</f>
        <v/>
      </c>
      <c r="E76" s="10">
        <f>IFERROR(IF(INDEX(ERP資料!$F:$F, (MATCH(75, 輔助計算!$F$2:$F$801, 0)+1))="","",INDEX(ERP資料!$F:$F, (MATCH(75, 輔助計算!$F$2:$F$801, 0)+1))), "")</f>
        <v/>
      </c>
      <c r="F76" s="10">
        <f>IFERROR(IF(INDEX(ERP資料!$G:$G, (MATCH(75, 輔助計算!$F$2:$F$801, 0)+1))="","",INDEX(ERP資料!$G:$G, (MATCH(75, 輔助計算!$F$2:$F$801, 0)+1))), "")</f>
        <v/>
      </c>
      <c r="G76" s="10">
        <f>IFERROR(IF(INDEX(ERP資料!$H:$H, (MATCH(75, 輔助計算!$F$2:$F$801, 0)+1))="","",INDEX(ERP資料!$H:$H, (MATCH(75, 輔助計算!$F$2:$F$801, 0)+1))), "")</f>
        <v/>
      </c>
      <c r="H76" s="10">
        <f>IFERROR(IF(INDEX(ERP資料!$O:$O, (MATCH(75, 輔助計算!$F$2:$F$801, 0)+1))="","",INDEX(ERP資料!$O:$O, (MATCH(75, 輔助計算!$F$2:$F$801, 0)+1))), "")</f>
        <v/>
      </c>
      <c r="I76" s="15">
        <f>IFERROR(IF(INDEX(輔助計算!$D:$D,(MATCH(75, 輔助計算!$F$2:$F$801, 0)+1))="","",INDEX(輔助計算!$D:$D,(MATCH(75, 輔助計算!$F$2:$F$801, 0)+1))*INDEX(ERP資料!$O:$O,(MATCH(75, 輔助計算!$F$2:$F$801, 0)+1))), "")</f>
        <v/>
      </c>
      <c r="J76" s="16" t="n"/>
      <c r="K76" s="15">
        <f>IFERROR(INDEX(輔助計算!$D:$D, (MATCH(75, 輔助計算!$F$2:$F$801, 0)+1)), "")</f>
        <v/>
      </c>
      <c r="L76" s="16">
        <f>IFERROR(IF(AND(IFERROR(VLOOKUP(LEFT(INDEX(ERP資料!$S:$S, (MATCH(75, 輔助計算!$F$2:$F$801, 0)+1)), 4), 100張客戶!$A:$A, 1, FALSE), "")&lt;&gt;"", OR(INDEX(ERP資料!$F:$F, (MATCH(75, 輔助計算!$F$2:$F$801, 0)+1))=270, INDEX(ERP資料!$F:$F, (MATCH(75, 輔助計算!$F$2:$F$801, 0)+1))=300)), "100張", ""), "")</f>
        <v/>
      </c>
      <c r="M76" s="17" t="n"/>
      <c r="N76" s="17">
        <f>IF($F76="","",$F76)</f>
        <v/>
      </c>
      <c r="O76" s="17">
        <f>IF($G76="","",$G76)</f>
        <v/>
      </c>
      <c r="P76" s="17">
        <f>IF($K76="","",$K76)</f>
        <v/>
      </c>
      <c r="Q76" s="16" t="n"/>
      <c r="R76" s="18" t="n"/>
      <c r="S76" s="16" t="n"/>
    </row>
    <row r="77">
      <c r="A77" s="14">
        <f>IFERROR(IF(AND(IFERROR(INDEX(ERP資料!$A:$A, (MATCH(76, 輔助計算!$F$2:$F$801, 0)+1)), "")&lt;&gt;"", IFERROR(INDEX(ERP資料!$A:$A, (MATCH(76, 輔助計算!$F$2:$F$801, 0)+1)), "")&lt;&gt;IFERROR(INDEX(ERP資料!$A:$A, MATCH(75, 輔助計算!$F$2:$F$801, 0)+1), "")), INDEX(ERP資料!$B:$B, (MATCH(76, 輔助計算!$F$2:$F$801, 0)+1)), ""), "")</f>
        <v/>
      </c>
      <c r="B77" s="10">
        <f>IFERROR(IF(AND(IFERROR(INDEX(ERP資料!$A:$A, (MATCH(76, 輔助計算!$F$2:$F$801, 0)+1)), "")&lt;&gt;"", IFERROR(INDEX(ERP資料!$A:$A, (MATCH(76, 輔助計算!$F$2:$F$801, 0)+1)), "")&lt;&gt;IFERROR(INDEX(ERP資料!$A:$A, MATCH(75, 輔助計算!$F$2:$F$801, 0)+1), "")), IFERROR(INDEX(ERP資料!$A:$A, (MATCH(76, 輔助計算!$F$2:$F$801, 0)+1)), ""), ""), "")</f>
        <v/>
      </c>
      <c r="C77" s="10">
        <f>IFERROR(IF(AND(IFERROR(INDEX(ERP資料!$A:$A, (MATCH(76, 輔助計算!$F$2:$F$801, 0)+1)), "")&lt;&gt;"", IFERROR(INDEX(ERP資料!$A:$A, (MATCH(76, 輔助計算!$F$2:$F$801, 0)+1)), "")&lt;&gt;IFERROR(INDEX(ERP資料!$A:$A, MATCH(75, 輔助計算!$F$2:$F$801, 0)+1), "")), INDEX(ERP資料!$S:$S, (MATCH(76, 輔助計算!$F$2:$F$801, 0)+1)), ""), "")</f>
        <v/>
      </c>
      <c r="D77" s="10">
        <f>IFERROR(IF(INDEX(ERP資料!$E:$E, (MATCH(76, 輔助計算!$F$2:$F$801, 0)+1))="","",TRIM(INDEX(ERP資料!$E:$E, (MATCH(76, 輔助計算!$F$2:$F$801, 0)+1)))), "")</f>
        <v/>
      </c>
      <c r="E77" s="10">
        <f>IFERROR(IF(INDEX(ERP資料!$F:$F, (MATCH(76, 輔助計算!$F$2:$F$801, 0)+1))="","",INDEX(ERP資料!$F:$F, (MATCH(76, 輔助計算!$F$2:$F$801, 0)+1))), "")</f>
        <v/>
      </c>
      <c r="F77" s="10">
        <f>IFERROR(IF(INDEX(ERP資料!$G:$G, (MATCH(76, 輔助計算!$F$2:$F$801, 0)+1))="","",INDEX(ERP資料!$G:$G, (MATCH(76, 輔助計算!$F$2:$F$801, 0)+1))), "")</f>
        <v/>
      </c>
      <c r="G77" s="10">
        <f>IFERROR(IF(INDEX(ERP資料!$H:$H, (MATCH(76, 輔助計算!$F$2:$F$801, 0)+1))="","",INDEX(ERP資料!$H:$H, (MATCH(76, 輔助計算!$F$2:$F$801, 0)+1))), "")</f>
        <v/>
      </c>
      <c r="H77" s="10">
        <f>IFERROR(IF(INDEX(ERP資料!$O:$O, (MATCH(76, 輔助計算!$F$2:$F$801, 0)+1))="","",INDEX(ERP資料!$O:$O, (MATCH(76, 輔助計算!$F$2:$F$801, 0)+1))), "")</f>
        <v/>
      </c>
      <c r="I77" s="15">
        <f>IFERROR(IF(INDEX(輔助計算!$D:$D,(MATCH(76, 輔助計算!$F$2:$F$801, 0)+1))="","",INDEX(輔助計算!$D:$D,(MATCH(76, 輔助計算!$F$2:$F$801, 0)+1))*INDEX(ERP資料!$O:$O,(MATCH(76, 輔助計算!$F$2:$F$801, 0)+1))), "")</f>
        <v/>
      </c>
      <c r="J77" s="16" t="n"/>
      <c r="K77" s="15">
        <f>IFERROR(INDEX(輔助計算!$D:$D, (MATCH(76, 輔助計算!$F$2:$F$801, 0)+1)), "")</f>
        <v/>
      </c>
      <c r="L77" s="16">
        <f>IFERROR(IF(AND(IFERROR(VLOOKUP(LEFT(INDEX(ERP資料!$S:$S, (MATCH(76, 輔助計算!$F$2:$F$801, 0)+1)), 4), 100張客戶!$A:$A, 1, FALSE), "")&lt;&gt;"", OR(INDEX(ERP資料!$F:$F, (MATCH(76, 輔助計算!$F$2:$F$801, 0)+1))=270, INDEX(ERP資料!$F:$F, (MATCH(76, 輔助計算!$F$2:$F$801, 0)+1))=300)), "100張", ""), "")</f>
        <v/>
      </c>
      <c r="M77" s="17" t="n"/>
      <c r="N77" s="17">
        <f>IF($F77="","",$F77)</f>
        <v/>
      </c>
      <c r="O77" s="17">
        <f>IF($G77="","",$G77)</f>
        <v/>
      </c>
      <c r="P77" s="17">
        <f>IF($K77="","",$K77)</f>
        <v/>
      </c>
      <c r="Q77" s="16" t="n"/>
      <c r="R77" s="18" t="n"/>
      <c r="S77" s="16" t="n"/>
    </row>
    <row r="78">
      <c r="A78" s="14">
        <f>IFERROR(IF(AND(IFERROR(INDEX(ERP資料!$A:$A, (MATCH(77, 輔助計算!$F$2:$F$801, 0)+1)), "")&lt;&gt;"", IFERROR(INDEX(ERP資料!$A:$A, (MATCH(77, 輔助計算!$F$2:$F$801, 0)+1)), "")&lt;&gt;IFERROR(INDEX(ERP資料!$A:$A, MATCH(76, 輔助計算!$F$2:$F$801, 0)+1), "")), INDEX(ERP資料!$B:$B, (MATCH(77, 輔助計算!$F$2:$F$801, 0)+1)), ""), "")</f>
        <v/>
      </c>
      <c r="B78" s="10">
        <f>IFERROR(IF(AND(IFERROR(INDEX(ERP資料!$A:$A, (MATCH(77, 輔助計算!$F$2:$F$801, 0)+1)), "")&lt;&gt;"", IFERROR(INDEX(ERP資料!$A:$A, (MATCH(77, 輔助計算!$F$2:$F$801, 0)+1)), "")&lt;&gt;IFERROR(INDEX(ERP資料!$A:$A, MATCH(76, 輔助計算!$F$2:$F$801, 0)+1), "")), IFERROR(INDEX(ERP資料!$A:$A, (MATCH(77, 輔助計算!$F$2:$F$801, 0)+1)), ""), ""), "")</f>
        <v/>
      </c>
      <c r="C78" s="10">
        <f>IFERROR(IF(AND(IFERROR(INDEX(ERP資料!$A:$A, (MATCH(77, 輔助計算!$F$2:$F$801, 0)+1)), "")&lt;&gt;"", IFERROR(INDEX(ERP資料!$A:$A, (MATCH(77, 輔助計算!$F$2:$F$801, 0)+1)), "")&lt;&gt;IFERROR(INDEX(ERP資料!$A:$A, MATCH(76, 輔助計算!$F$2:$F$801, 0)+1), "")), INDEX(ERP資料!$S:$S, (MATCH(77, 輔助計算!$F$2:$F$801, 0)+1)), ""), "")</f>
        <v/>
      </c>
      <c r="D78" s="10">
        <f>IFERROR(IF(INDEX(ERP資料!$E:$E, (MATCH(77, 輔助計算!$F$2:$F$801, 0)+1))="","",TRIM(INDEX(ERP資料!$E:$E, (MATCH(77, 輔助計算!$F$2:$F$801, 0)+1)))), "")</f>
        <v/>
      </c>
      <c r="E78" s="10">
        <f>IFERROR(IF(INDEX(ERP資料!$F:$F, (MATCH(77, 輔助計算!$F$2:$F$801, 0)+1))="","",INDEX(ERP資料!$F:$F, (MATCH(77, 輔助計算!$F$2:$F$801, 0)+1))), "")</f>
        <v/>
      </c>
      <c r="F78" s="10">
        <f>IFERROR(IF(INDEX(ERP資料!$G:$G, (MATCH(77, 輔助計算!$F$2:$F$801, 0)+1))="","",INDEX(ERP資料!$G:$G, (MATCH(77, 輔助計算!$F$2:$F$801, 0)+1))), "")</f>
        <v/>
      </c>
      <c r="G78" s="10">
        <f>IFERROR(IF(INDEX(ERP資料!$H:$H, (MATCH(77, 輔助計算!$F$2:$F$801, 0)+1))="","",INDEX(ERP資料!$H:$H, (MATCH(77, 輔助計算!$F$2:$F$801, 0)+1))), "")</f>
        <v/>
      </c>
      <c r="H78" s="10">
        <f>IFERROR(IF(INDEX(ERP資料!$O:$O, (MATCH(77, 輔助計算!$F$2:$F$801, 0)+1))="","",INDEX(ERP資料!$O:$O, (MATCH(77, 輔助計算!$F$2:$F$801, 0)+1))), "")</f>
        <v/>
      </c>
      <c r="I78" s="15">
        <f>IFERROR(IF(INDEX(輔助計算!$D:$D,(MATCH(77, 輔助計算!$F$2:$F$801, 0)+1))="","",INDEX(輔助計算!$D:$D,(MATCH(77, 輔助計算!$F$2:$F$801, 0)+1))*INDEX(ERP資料!$O:$O,(MATCH(77, 輔助計算!$F$2:$F$801, 0)+1))), "")</f>
        <v/>
      </c>
      <c r="J78" s="16" t="n"/>
      <c r="K78" s="15">
        <f>IFERROR(INDEX(輔助計算!$D:$D, (MATCH(77, 輔助計算!$F$2:$F$801, 0)+1)), "")</f>
        <v/>
      </c>
      <c r="L78" s="16">
        <f>IFERROR(IF(AND(IFERROR(VLOOKUP(LEFT(INDEX(ERP資料!$S:$S, (MATCH(77, 輔助計算!$F$2:$F$801, 0)+1)), 4), 100張客戶!$A:$A, 1, FALSE), "")&lt;&gt;"", OR(INDEX(ERP資料!$F:$F, (MATCH(77, 輔助計算!$F$2:$F$801, 0)+1))=270, INDEX(ERP資料!$F:$F, (MATCH(77, 輔助計算!$F$2:$F$801, 0)+1))=300)), "100張", ""), "")</f>
        <v/>
      </c>
      <c r="M78" s="17" t="n"/>
      <c r="N78" s="17">
        <f>IF($F78="","",$F78)</f>
        <v/>
      </c>
      <c r="O78" s="17">
        <f>IF($G78="","",$G78)</f>
        <v/>
      </c>
      <c r="P78" s="17">
        <f>IF($K78="","",$K78)</f>
        <v/>
      </c>
      <c r="Q78" s="16" t="n"/>
      <c r="R78" s="18" t="n"/>
      <c r="S78" s="16" t="n"/>
    </row>
    <row r="79">
      <c r="A79" s="14">
        <f>IFERROR(IF(AND(IFERROR(INDEX(ERP資料!$A:$A, (MATCH(78, 輔助計算!$F$2:$F$801, 0)+1)), "")&lt;&gt;"", IFERROR(INDEX(ERP資料!$A:$A, (MATCH(78, 輔助計算!$F$2:$F$801, 0)+1)), "")&lt;&gt;IFERROR(INDEX(ERP資料!$A:$A, MATCH(77, 輔助計算!$F$2:$F$801, 0)+1), "")), INDEX(ERP資料!$B:$B, (MATCH(78, 輔助計算!$F$2:$F$801, 0)+1)), ""), "")</f>
        <v/>
      </c>
      <c r="B79" s="10">
        <f>IFERROR(IF(AND(IFERROR(INDEX(ERP資料!$A:$A, (MATCH(78, 輔助計算!$F$2:$F$801, 0)+1)), "")&lt;&gt;"", IFERROR(INDEX(ERP資料!$A:$A, (MATCH(78, 輔助計算!$F$2:$F$801, 0)+1)), "")&lt;&gt;IFERROR(INDEX(ERP資料!$A:$A, MATCH(77, 輔助計算!$F$2:$F$801, 0)+1), "")), IFERROR(INDEX(ERP資料!$A:$A, (MATCH(78, 輔助計算!$F$2:$F$801, 0)+1)), ""), ""), "")</f>
        <v/>
      </c>
      <c r="C79" s="10">
        <f>IFERROR(IF(AND(IFERROR(INDEX(ERP資料!$A:$A, (MATCH(78, 輔助計算!$F$2:$F$801, 0)+1)), "")&lt;&gt;"", IFERROR(INDEX(ERP資料!$A:$A, (MATCH(78, 輔助計算!$F$2:$F$801, 0)+1)), "")&lt;&gt;IFERROR(INDEX(ERP資料!$A:$A, MATCH(77, 輔助計算!$F$2:$F$801, 0)+1), "")), INDEX(ERP資料!$S:$S, (MATCH(78, 輔助計算!$F$2:$F$801, 0)+1)), ""), "")</f>
        <v/>
      </c>
      <c r="D79" s="10">
        <f>IFERROR(IF(INDEX(ERP資料!$E:$E, (MATCH(78, 輔助計算!$F$2:$F$801, 0)+1))="","",TRIM(INDEX(ERP資料!$E:$E, (MATCH(78, 輔助計算!$F$2:$F$801, 0)+1)))), "")</f>
        <v/>
      </c>
      <c r="E79" s="10">
        <f>IFERROR(IF(INDEX(ERP資料!$F:$F, (MATCH(78, 輔助計算!$F$2:$F$801, 0)+1))="","",INDEX(ERP資料!$F:$F, (MATCH(78, 輔助計算!$F$2:$F$801, 0)+1))), "")</f>
        <v/>
      </c>
      <c r="F79" s="10">
        <f>IFERROR(IF(INDEX(ERP資料!$G:$G, (MATCH(78, 輔助計算!$F$2:$F$801, 0)+1))="","",INDEX(ERP資料!$G:$G, (MATCH(78, 輔助計算!$F$2:$F$801, 0)+1))), "")</f>
        <v/>
      </c>
      <c r="G79" s="10">
        <f>IFERROR(IF(INDEX(ERP資料!$H:$H, (MATCH(78, 輔助計算!$F$2:$F$801, 0)+1))="","",INDEX(ERP資料!$H:$H, (MATCH(78, 輔助計算!$F$2:$F$801, 0)+1))), "")</f>
        <v/>
      </c>
      <c r="H79" s="10">
        <f>IFERROR(IF(INDEX(ERP資料!$O:$O, (MATCH(78, 輔助計算!$F$2:$F$801, 0)+1))="","",INDEX(ERP資料!$O:$O, (MATCH(78, 輔助計算!$F$2:$F$801, 0)+1))), "")</f>
        <v/>
      </c>
      <c r="I79" s="15">
        <f>IFERROR(IF(INDEX(輔助計算!$D:$D,(MATCH(78, 輔助計算!$F$2:$F$801, 0)+1))="","",INDEX(輔助計算!$D:$D,(MATCH(78, 輔助計算!$F$2:$F$801, 0)+1))*INDEX(ERP資料!$O:$O,(MATCH(78, 輔助計算!$F$2:$F$801, 0)+1))), "")</f>
        <v/>
      </c>
      <c r="J79" s="16" t="n"/>
      <c r="K79" s="15">
        <f>IFERROR(INDEX(輔助計算!$D:$D, (MATCH(78, 輔助計算!$F$2:$F$801, 0)+1)), "")</f>
        <v/>
      </c>
      <c r="L79" s="16">
        <f>IFERROR(IF(AND(IFERROR(VLOOKUP(LEFT(INDEX(ERP資料!$S:$S, (MATCH(78, 輔助計算!$F$2:$F$801, 0)+1)), 4), 100張客戶!$A:$A, 1, FALSE), "")&lt;&gt;"", OR(INDEX(ERP資料!$F:$F, (MATCH(78, 輔助計算!$F$2:$F$801, 0)+1))=270, INDEX(ERP資料!$F:$F, (MATCH(78, 輔助計算!$F$2:$F$801, 0)+1))=300)), "100張", ""), "")</f>
        <v/>
      </c>
      <c r="M79" s="17" t="n"/>
      <c r="N79" s="17">
        <f>IF($F79="","",$F79)</f>
        <v/>
      </c>
      <c r="O79" s="17">
        <f>IF($G79="","",$G79)</f>
        <v/>
      </c>
      <c r="P79" s="17">
        <f>IF($K79="","",$K79)</f>
        <v/>
      </c>
      <c r="Q79" s="16" t="n"/>
      <c r="R79" s="18" t="n"/>
      <c r="S79" s="16" t="n"/>
    </row>
    <row r="80">
      <c r="A80" s="14">
        <f>IFERROR(IF(AND(IFERROR(INDEX(ERP資料!$A:$A, (MATCH(79, 輔助計算!$F$2:$F$801, 0)+1)), "")&lt;&gt;"", IFERROR(INDEX(ERP資料!$A:$A, (MATCH(79, 輔助計算!$F$2:$F$801, 0)+1)), "")&lt;&gt;IFERROR(INDEX(ERP資料!$A:$A, MATCH(78, 輔助計算!$F$2:$F$801, 0)+1), "")), INDEX(ERP資料!$B:$B, (MATCH(79, 輔助計算!$F$2:$F$801, 0)+1)), ""), "")</f>
        <v/>
      </c>
      <c r="B80" s="10">
        <f>IFERROR(IF(AND(IFERROR(INDEX(ERP資料!$A:$A, (MATCH(79, 輔助計算!$F$2:$F$801, 0)+1)), "")&lt;&gt;"", IFERROR(INDEX(ERP資料!$A:$A, (MATCH(79, 輔助計算!$F$2:$F$801, 0)+1)), "")&lt;&gt;IFERROR(INDEX(ERP資料!$A:$A, MATCH(78, 輔助計算!$F$2:$F$801, 0)+1), "")), IFERROR(INDEX(ERP資料!$A:$A, (MATCH(79, 輔助計算!$F$2:$F$801, 0)+1)), ""), ""), "")</f>
        <v/>
      </c>
      <c r="C80" s="10">
        <f>IFERROR(IF(AND(IFERROR(INDEX(ERP資料!$A:$A, (MATCH(79, 輔助計算!$F$2:$F$801, 0)+1)), "")&lt;&gt;"", IFERROR(INDEX(ERP資料!$A:$A, (MATCH(79, 輔助計算!$F$2:$F$801, 0)+1)), "")&lt;&gt;IFERROR(INDEX(ERP資料!$A:$A, MATCH(78, 輔助計算!$F$2:$F$801, 0)+1), "")), INDEX(ERP資料!$S:$S, (MATCH(79, 輔助計算!$F$2:$F$801, 0)+1)), ""), "")</f>
        <v/>
      </c>
      <c r="D80" s="10">
        <f>IFERROR(IF(INDEX(ERP資料!$E:$E, (MATCH(79, 輔助計算!$F$2:$F$801, 0)+1))="","",TRIM(INDEX(ERP資料!$E:$E, (MATCH(79, 輔助計算!$F$2:$F$801, 0)+1)))), "")</f>
        <v/>
      </c>
      <c r="E80" s="10">
        <f>IFERROR(IF(INDEX(ERP資料!$F:$F, (MATCH(79, 輔助計算!$F$2:$F$801, 0)+1))="","",INDEX(ERP資料!$F:$F, (MATCH(79, 輔助計算!$F$2:$F$801, 0)+1))), "")</f>
        <v/>
      </c>
      <c r="F80" s="10">
        <f>IFERROR(IF(INDEX(ERP資料!$G:$G, (MATCH(79, 輔助計算!$F$2:$F$801, 0)+1))="","",INDEX(ERP資料!$G:$G, (MATCH(79, 輔助計算!$F$2:$F$801, 0)+1))), "")</f>
        <v/>
      </c>
      <c r="G80" s="10">
        <f>IFERROR(IF(INDEX(ERP資料!$H:$H, (MATCH(79, 輔助計算!$F$2:$F$801, 0)+1))="","",INDEX(ERP資料!$H:$H, (MATCH(79, 輔助計算!$F$2:$F$801, 0)+1))), "")</f>
        <v/>
      </c>
      <c r="H80" s="10">
        <f>IFERROR(IF(INDEX(ERP資料!$O:$O, (MATCH(79, 輔助計算!$F$2:$F$801, 0)+1))="","",INDEX(ERP資料!$O:$O, (MATCH(79, 輔助計算!$F$2:$F$801, 0)+1))), "")</f>
        <v/>
      </c>
      <c r="I80" s="15">
        <f>IFERROR(IF(INDEX(輔助計算!$D:$D,(MATCH(79, 輔助計算!$F$2:$F$801, 0)+1))="","",INDEX(輔助計算!$D:$D,(MATCH(79, 輔助計算!$F$2:$F$801, 0)+1))*INDEX(ERP資料!$O:$O,(MATCH(79, 輔助計算!$F$2:$F$801, 0)+1))), "")</f>
        <v/>
      </c>
      <c r="J80" s="16" t="n"/>
      <c r="K80" s="15">
        <f>IFERROR(INDEX(輔助計算!$D:$D, (MATCH(79, 輔助計算!$F$2:$F$801, 0)+1)), "")</f>
        <v/>
      </c>
      <c r="L80" s="16">
        <f>IFERROR(IF(AND(IFERROR(VLOOKUP(LEFT(INDEX(ERP資料!$S:$S, (MATCH(79, 輔助計算!$F$2:$F$801, 0)+1)), 4), 100張客戶!$A:$A, 1, FALSE), "")&lt;&gt;"", OR(INDEX(ERP資料!$F:$F, (MATCH(79, 輔助計算!$F$2:$F$801, 0)+1))=270, INDEX(ERP資料!$F:$F, (MATCH(79, 輔助計算!$F$2:$F$801, 0)+1))=300)), "100張", ""), "")</f>
        <v/>
      </c>
      <c r="M80" s="17" t="n"/>
      <c r="N80" s="17">
        <f>IF($F80="","",$F80)</f>
        <v/>
      </c>
      <c r="O80" s="17">
        <f>IF($G80="","",$G80)</f>
        <v/>
      </c>
      <c r="P80" s="17">
        <f>IF($K80="","",$K80)</f>
        <v/>
      </c>
      <c r="Q80" s="16" t="n"/>
      <c r="R80" s="18" t="n"/>
      <c r="S80" s="16" t="n"/>
    </row>
    <row r="81">
      <c r="A81" s="14">
        <f>IFERROR(IF(AND(IFERROR(INDEX(ERP資料!$A:$A, (MATCH(80, 輔助計算!$F$2:$F$801, 0)+1)), "")&lt;&gt;"", IFERROR(INDEX(ERP資料!$A:$A, (MATCH(80, 輔助計算!$F$2:$F$801, 0)+1)), "")&lt;&gt;IFERROR(INDEX(ERP資料!$A:$A, MATCH(79, 輔助計算!$F$2:$F$801, 0)+1), "")), INDEX(ERP資料!$B:$B, (MATCH(80, 輔助計算!$F$2:$F$801, 0)+1)), ""), "")</f>
        <v/>
      </c>
      <c r="B81" s="10">
        <f>IFERROR(IF(AND(IFERROR(INDEX(ERP資料!$A:$A, (MATCH(80, 輔助計算!$F$2:$F$801, 0)+1)), "")&lt;&gt;"", IFERROR(INDEX(ERP資料!$A:$A, (MATCH(80, 輔助計算!$F$2:$F$801, 0)+1)), "")&lt;&gt;IFERROR(INDEX(ERP資料!$A:$A, MATCH(79, 輔助計算!$F$2:$F$801, 0)+1), "")), IFERROR(INDEX(ERP資料!$A:$A, (MATCH(80, 輔助計算!$F$2:$F$801, 0)+1)), ""), ""), "")</f>
        <v/>
      </c>
      <c r="C81" s="10">
        <f>IFERROR(IF(AND(IFERROR(INDEX(ERP資料!$A:$A, (MATCH(80, 輔助計算!$F$2:$F$801, 0)+1)), "")&lt;&gt;"", IFERROR(INDEX(ERP資料!$A:$A, (MATCH(80, 輔助計算!$F$2:$F$801, 0)+1)), "")&lt;&gt;IFERROR(INDEX(ERP資料!$A:$A, MATCH(79, 輔助計算!$F$2:$F$801, 0)+1), "")), INDEX(ERP資料!$S:$S, (MATCH(80, 輔助計算!$F$2:$F$801, 0)+1)), ""), "")</f>
        <v/>
      </c>
      <c r="D81" s="10">
        <f>IFERROR(IF(INDEX(ERP資料!$E:$E, (MATCH(80, 輔助計算!$F$2:$F$801, 0)+1))="","",TRIM(INDEX(ERP資料!$E:$E, (MATCH(80, 輔助計算!$F$2:$F$801, 0)+1)))), "")</f>
        <v/>
      </c>
      <c r="E81" s="10">
        <f>IFERROR(IF(INDEX(ERP資料!$F:$F, (MATCH(80, 輔助計算!$F$2:$F$801, 0)+1))="","",INDEX(ERP資料!$F:$F, (MATCH(80, 輔助計算!$F$2:$F$801, 0)+1))), "")</f>
        <v/>
      </c>
      <c r="F81" s="10">
        <f>IFERROR(IF(INDEX(ERP資料!$G:$G, (MATCH(80, 輔助計算!$F$2:$F$801, 0)+1))="","",INDEX(ERP資料!$G:$G, (MATCH(80, 輔助計算!$F$2:$F$801, 0)+1))), "")</f>
        <v/>
      </c>
      <c r="G81" s="10">
        <f>IFERROR(IF(INDEX(ERP資料!$H:$H, (MATCH(80, 輔助計算!$F$2:$F$801, 0)+1))="","",INDEX(ERP資料!$H:$H, (MATCH(80, 輔助計算!$F$2:$F$801, 0)+1))), "")</f>
        <v/>
      </c>
      <c r="H81" s="10">
        <f>IFERROR(IF(INDEX(ERP資料!$O:$O, (MATCH(80, 輔助計算!$F$2:$F$801, 0)+1))="","",INDEX(ERP資料!$O:$O, (MATCH(80, 輔助計算!$F$2:$F$801, 0)+1))), "")</f>
        <v/>
      </c>
      <c r="I81" s="15">
        <f>IFERROR(IF(INDEX(輔助計算!$D:$D,(MATCH(80, 輔助計算!$F$2:$F$801, 0)+1))="","",INDEX(輔助計算!$D:$D,(MATCH(80, 輔助計算!$F$2:$F$801, 0)+1))*INDEX(ERP資料!$O:$O,(MATCH(80, 輔助計算!$F$2:$F$801, 0)+1))), "")</f>
        <v/>
      </c>
      <c r="J81" s="16" t="n"/>
      <c r="K81" s="15">
        <f>IFERROR(INDEX(輔助計算!$D:$D, (MATCH(80, 輔助計算!$F$2:$F$801, 0)+1)), "")</f>
        <v/>
      </c>
      <c r="L81" s="16">
        <f>IFERROR(IF(AND(IFERROR(VLOOKUP(LEFT(INDEX(ERP資料!$S:$S, (MATCH(80, 輔助計算!$F$2:$F$801, 0)+1)), 4), 100張客戶!$A:$A, 1, FALSE), "")&lt;&gt;"", OR(INDEX(ERP資料!$F:$F, (MATCH(80, 輔助計算!$F$2:$F$801, 0)+1))=270, INDEX(ERP資料!$F:$F, (MATCH(80, 輔助計算!$F$2:$F$801, 0)+1))=300)), "100張", ""), "")</f>
        <v/>
      </c>
      <c r="M81" s="17" t="n"/>
      <c r="N81" s="17">
        <f>IF($F81="","",$F81)</f>
        <v/>
      </c>
      <c r="O81" s="17">
        <f>IF($G81="","",$G81)</f>
        <v/>
      </c>
      <c r="P81" s="17">
        <f>IF($K81="","",$K81)</f>
        <v/>
      </c>
      <c r="Q81" s="16" t="n"/>
      <c r="R81" s="18" t="n"/>
      <c r="S81" s="16" t="n"/>
    </row>
    <row r="82">
      <c r="A82" s="14">
        <f>IFERROR(IF(AND(IFERROR(INDEX(ERP資料!$A:$A, (MATCH(81, 輔助計算!$F$2:$F$801, 0)+1)), "")&lt;&gt;"", IFERROR(INDEX(ERP資料!$A:$A, (MATCH(81, 輔助計算!$F$2:$F$801, 0)+1)), "")&lt;&gt;IFERROR(INDEX(ERP資料!$A:$A, MATCH(80, 輔助計算!$F$2:$F$801, 0)+1), "")), INDEX(ERP資料!$B:$B, (MATCH(81, 輔助計算!$F$2:$F$801, 0)+1)), ""), "")</f>
        <v/>
      </c>
      <c r="B82" s="10">
        <f>IFERROR(IF(AND(IFERROR(INDEX(ERP資料!$A:$A, (MATCH(81, 輔助計算!$F$2:$F$801, 0)+1)), "")&lt;&gt;"", IFERROR(INDEX(ERP資料!$A:$A, (MATCH(81, 輔助計算!$F$2:$F$801, 0)+1)), "")&lt;&gt;IFERROR(INDEX(ERP資料!$A:$A, MATCH(80, 輔助計算!$F$2:$F$801, 0)+1), "")), IFERROR(INDEX(ERP資料!$A:$A, (MATCH(81, 輔助計算!$F$2:$F$801, 0)+1)), ""), ""), "")</f>
        <v/>
      </c>
      <c r="C82" s="10">
        <f>IFERROR(IF(AND(IFERROR(INDEX(ERP資料!$A:$A, (MATCH(81, 輔助計算!$F$2:$F$801, 0)+1)), "")&lt;&gt;"", IFERROR(INDEX(ERP資料!$A:$A, (MATCH(81, 輔助計算!$F$2:$F$801, 0)+1)), "")&lt;&gt;IFERROR(INDEX(ERP資料!$A:$A, MATCH(80, 輔助計算!$F$2:$F$801, 0)+1), "")), INDEX(ERP資料!$S:$S, (MATCH(81, 輔助計算!$F$2:$F$801, 0)+1)), ""), "")</f>
        <v/>
      </c>
      <c r="D82" s="10">
        <f>IFERROR(IF(INDEX(ERP資料!$E:$E, (MATCH(81, 輔助計算!$F$2:$F$801, 0)+1))="","",TRIM(INDEX(ERP資料!$E:$E, (MATCH(81, 輔助計算!$F$2:$F$801, 0)+1)))), "")</f>
        <v/>
      </c>
      <c r="E82" s="10">
        <f>IFERROR(IF(INDEX(ERP資料!$F:$F, (MATCH(81, 輔助計算!$F$2:$F$801, 0)+1))="","",INDEX(ERP資料!$F:$F, (MATCH(81, 輔助計算!$F$2:$F$801, 0)+1))), "")</f>
        <v/>
      </c>
      <c r="F82" s="10">
        <f>IFERROR(IF(INDEX(ERP資料!$G:$G, (MATCH(81, 輔助計算!$F$2:$F$801, 0)+1))="","",INDEX(ERP資料!$G:$G, (MATCH(81, 輔助計算!$F$2:$F$801, 0)+1))), "")</f>
        <v/>
      </c>
      <c r="G82" s="10">
        <f>IFERROR(IF(INDEX(ERP資料!$H:$H, (MATCH(81, 輔助計算!$F$2:$F$801, 0)+1))="","",INDEX(ERP資料!$H:$H, (MATCH(81, 輔助計算!$F$2:$F$801, 0)+1))), "")</f>
        <v/>
      </c>
      <c r="H82" s="10">
        <f>IFERROR(IF(INDEX(ERP資料!$O:$O, (MATCH(81, 輔助計算!$F$2:$F$801, 0)+1))="","",INDEX(ERP資料!$O:$O, (MATCH(81, 輔助計算!$F$2:$F$801, 0)+1))), "")</f>
        <v/>
      </c>
      <c r="I82" s="15">
        <f>IFERROR(IF(INDEX(輔助計算!$D:$D,(MATCH(81, 輔助計算!$F$2:$F$801, 0)+1))="","",INDEX(輔助計算!$D:$D,(MATCH(81, 輔助計算!$F$2:$F$801, 0)+1))*INDEX(ERP資料!$O:$O,(MATCH(81, 輔助計算!$F$2:$F$801, 0)+1))), "")</f>
        <v/>
      </c>
      <c r="J82" s="16" t="n"/>
      <c r="K82" s="15">
        <f>IFERROR(INDEX(輔助計算!$D:$D, (MATCH(81, 輔助計算!$F$2:$F$801, 0)+1)), "")</f>
        <v/>
      </c>
      <c r="L82" s="16">
        <f>IFERROR(IF(AND(IFERROR(VLOOKUP(LEFT(INDEX(ERP資料!$S:$S, (MATCH(81, 輔助計算!$F$2:$F$801, 0)+1)), 4), 100張客戶!$A:$A, 1, FALSE), "")&lt;&gt;"", OR(INDEX(ERP資料!$F:$F, (MATCH(81, 輔助計算!$F$2:$F$801, 0)+1))=270, INDEX(ERP資料!$F:$F, (MATCH(81, 輔助計算!$F$2:$F$801, 0)+1))=300)), "100張", ""), "")</f>
        <v/>
      </c>
      <c r="M82" s="17" t="n"/>
      <c r="N82" s="17">
        <f>IF($F82="","",$F82)</f>
        <v/>
      </c>
      <c r="O82" s="17">
        <f>IF($G82="","",$G82)</f>
        <v/>
      </c>
      <c r="P82" s="17">
        <f>IF($K82="","",$K82)</f>
        <v/>
      </c>
      <c r="Q82" s="16" t="n"/>
      <c r="R82" s="18" t="n"/>
      <c r="S82" s="16" t="n"/>
    </row>
    <row r="83">
      <c r="A83" s="14">
        <f>IFERROR(IF(AND(IFERROR(INDEX(ERP資料!$A:$A, (MATCH(82, 輔助計算!$F$2:$F$801, 0)+1)), "")&lt;&gt;"", IFERROR(INDEX(ERP資料!$A:$A, (MATCH(82, 輔助計算!$F$2:$F$801, 0)+1)), "")&lt;&gt;IFERROR(INDEX(ERP資料!$A:$A, MATCH(81, 輔助計算!$F$2:$F$801, 0)+1), "")), INDEX(ERP資料!$B:$B, (MATCH(82, 輔助計算!$F$2:$F$801, 0)+1)), ""), "")</f>
        <v/>
      </c>
      <c r="B83" s="10">
        <f>IFERROR(IF(AND(IFERROR(INDEX(ERP資料!$A:$A, (MATCH(82, 輔助計算!$F$2:$F$801, 0)+1)), "")&lt;&gt;"", IFERROR(INDEX(ERP資料!$A:$A, (MATCH(82, 輔助計算!$F$2:$F$801, 0)+1)), "")&lt;&gt;IFERROR(INDEX(ERP資料!$A:$A, MATCH(81, 輔助計算!$F$2:$F$801, 0)+1), "")), IFERROR(INDEX(ERP資料!$A:$A, (MATCH(82, 輔助計算!$F$2:$F$801, 0)+1)), ""), ""), "")</f>
        <v/>
      </c>
      <c r="C83" s="10">
        <f>IFERROR(IF(AND(IFERROR(INDEX(ERP資料!$A:$A, (MATCH(82, 輔助計算!$F$2:$F$801, 0)+1)), "")&lt;&gt;"", IFERROR(INDEX(ERP資料!$A:$A, (MATCH(82, 輔助計算!$F$2:$F$801, 0)+1)), "")&lt;&gt;IFERROR(INDEX(ERP資料!$A:$A, MATCH(81, 輔助計算!$F$2:$F$801, 0)+1), "")), INDEX(ERP資料!$S:$S, (MATCH(82, 輔助計算!$F$2:$F$801, 0)+1)), ""), "")</f>
        <v/>
      </c>
      <c r="D83" s="10">
        <f>IFERROR(IF(INDEX(ERP資料!$E:$E, (MATCH(82, 輔助計算!$F$2:$F$801, 0)+1))="","",TRIM(INDEX(ERP資料!$E:$E, (MATCH(82, 輔助計算!$F$2:$F$801, 0)+1)))), "")</f>
        <v/>
      </c>
      <c r="E83" s="10">
        <f>IFERROR(IF(INDEX(ERP資料!$F:$F, (MATCH(82, 輔助計算!$F$2:$F$801, 0)+1))="","",INDEX(ERP資料!$F:$F, (MATCH(82, 輔助計算!$F$2:$F$801, 0)+1))), "")</f>
        <v/>
      </c>
      <c r="F83" s="10">
        <f>IFERROR(IF(INDEX(ERP資料!$G:$G, (MATCH(82, 輔助計算!$F$2:$F$801, 0)+1))="","",INDEX(ERP資料!$G:$G, (MATCH(82, 輔助計算!$F$2:$F$801, 0)+1))), "")</f>
        <v/>
      </c>
      <c r="G83" s="10">
        <f>IFERROR(IF(INDEX(ERP資料!$H:$H, (MATCH(82, 輔助計算!$F$2:$F$801, 0)+1))="","",INDEX(ERP資料!$H:$H, (MATCH(82, 輔助計算!$F$2:$F$801, 0)+1))), "")</f>
        <v/>
      </c>
      <c r="H83" s="10">
        <f>IFERROR(IF(INDEX(ERP資料!$O:$O, (MATCH(82, 輔助計算!$F$2:$F$801, 0)+1))="","",INDEX(ERP資料!$O:$O, (MATCH(82, 輔助計算!$F$2:$F$801, 0)+1))), "")</f>
        <v/>
      </c>
      <c r="I83" s="15">
        <f>IFERROR(IF(INDEX(輔助計算!$D:$D,(MATCH(82, 輔助計算!$F$2:$F$801, 0)+1))="","",INDEX(輔助計算!$D:$D,(MATCH(82, 輔助計算!$F$2:$F$801, 0)+1))*INDEX(ERP資料!$O:$O,(MATCH(82, 輔助計算!$F$2:$F$801, 0)+1))), "")</f>
        <v/>
      </c>
      <c r="J83" s="16" t="n"/>
      <c r="K83" s="15">
        <f>IFERROR(INDEX(輔助計算!$D:$D, (MATCH(82, 輔助計算!$F$2:$F$801, 0)+1)), "")</f>
        <v/>
      </c>
      <c r="L83" s="16">
        <f>IFERROR(IF(AND(IFERROR(VLOOKUP(LEFT(INDEX(ERP資料!$S:$S, (MATCH(82, 輔助計算!$F$2:$F$801, 0)+1)), 4), 100張客戶!$A:$A, 1, FALSE), "")&lt;&gt;"", OR(INDEX(ERP資料!$F:$F, (MATCH(82, 輔助計算!$F$2:$F$801, 0)+1))=270, INDEX(ERP資料!$F:$F, (MATCH(82, 輔助計算!$F$2:$F$801, 0)+1))=300)), "100張", ""), "")</f>
        <v/>
      </c>
      <c r="M83" s="17" t="n"/>
      <c r="N83" s="17">
        <f>IF($F83="","",$F83)</f>
        <v/>
      </c>
      <c r="O83" s="17">
        <f>IF($G83="","",$G83)</f>
        <v/>
      </c>
      <c r="P83" s="17">
        <f>IF($K83="","",$K83)</f>
        <v/>
      </c>
      <c r="Q83" s="16" t="n"/>
      <c r="R83" s="18" t="n"/>
      <c r="S83" s="16" t="n"/>
    </row>
    <row r="84">
      <c r="A84" s="14">
        <f>IFERROR(IF(AND(IFERROR(INDEX(ERP資料!$A:$A, (MATCH(83, 輔助計算!$F$2:$F$801, 0)+1)), "")&lt;&gt;"", IFERROR(INDEX(ERP資料!$A:$A, (MATCH(83, 輔助計算!$F$2:$F$801, 0)+1)), "")&lt;&gt;IFERROR(INDEX(ERP資料!$A:$A, MATCH(82, 輔助計算!$F$2:$F$801, 0)+1), "")), INDEX(ERP資料!$B:$B, (MATCH(83, 輔助計算!$F$2:$F$801, 0)+1)), ""), "")</f>
        <v/>
      </c>
      <c r="B84" s="10">
        <f>IFERROR(IF(AND(IFERROR(INDEX(ERP資料!$A:$A, (MATCH(83, 輔助計算!$F$2:$F$801, 0)+1)), "")&lt;&gt;"", IFERROR(INDEX(ERP資料!$A:$A, (MATCH(83, 輔助計算!$F$2:$F$801, 0)+1)), "")&lt;&gt;IFERROR(INDEX(ERP資料!$A:$A, MATCH(82, 輔助計算!$F$2:$F$801, 0)+1), "")), IFERROR(INDEX(ERP資料!$A:$A, (MATCH(83, 輔助計算!$F$2:$F$801, 0)+1)), ""), ""), "")</f>
        <v/>
      </c>
      <c r="C84" s="10">
        <f>IFERROR(IF(AND(IFERROR(INDEX(ERP資料!$A:$A, (MATCH(83, 輔助計算!$F$2:$F$801, 0)+1)), "")&lt;&gt;"", IFERROR(INDEX(ERP資料!$A:$A, (MATCH(83, 輔助計算!$F$2:$F$801, 0)+1)), "")&lt;&gt;IFERROR(INDEX(ERP資料!$A:$A, MATCH(82, 輔助計算!$F$2:$F$801, 0)+1), "")), INDEX(ERP資料!$S:$S, (MATCH(83, 輔助計算!$F$2:$F$801, 0)+1)), ""), "")</f>
        <v/>
      </c>
      <c r="D84" s="10">
        <f>IFERROR(IF(INDEX(ERP資料!$E:$E, (MATCH(83, 輔助計算!$F$2:$F$801, 0)+1))="","",TRIM(INDEX(ERP資料!$E:$E, (MATCH(83, 輔助計算!$F$2:$F$801, 0)+1)))), "")</f>
        <v/>
      </c>
      <c r="E84" s="10">
        <f>IFERROR(IF(INDEX(ERP資料!$F:$F, (MATCH(83, 輔助計算!$F$2:$F$801, 0)+1))="","",INDEX(ERP資料!$F:$F, (MATCH(83, 輔助計算!$F$2:$F$801, 0)+1))), "")</f>
        <v/>
      </c>
      <c r="F84" s="10">
        <f>IFERROR(IF(INDEX(ERP資料!$G:$G, (MATCH(83, 輔助計算!$F$2:$F$801, 0)+1))="","",INDEX(ERP資料!$G:$G, (MATCH(83, 輔助計算!$F$2:$F$801, 0)+1))), "")</f>
        <v/>
      </c>
      <c r="G84" s="10">
        <f>IFERROR(IF(INDEX(ERP資料!$H:$H, (MATCH(83, 輔助計算!$F$2:$F$801, 0)+1))="","",INDEX(ERP資料!$H:$H, (MATCH(83, 輔助計算!$F$2:$F$801, 0)+1))), "")</f>
        <v/>
      </c>
      <c r="H84" s="10">
        <f>IFERROR(IF(INDEX(ERP資料!$O:$O, (MATCH(83, 輔助計算!$F$2:$F$801, 0)+1))="","",INDEX(ERP資料!$O:$O, (MATCH(83, 輔助計算!$F$2:$F$801, 0)+1))), "")</f>
        <v/>
      </c>
      <c r="I84" s="15">
        <f>IFERROR(IF(INDEX(輔助計算!$D:$D,(MATCH(83, 輔助計算!$F$2:$F$801, 0)+1))="","",INDEX(輔助計算!$D:$D,(MATCH(83, 輔助計算!$F$2:$F$801, 0)+1))*INDEX(ERP資料!$O:$O,(MATCH(83, 輔助計算!$F$2:$F$801, 0)+1))), "")</f>
        <v/>
      </c>
      <c r="J84" s="16" t="n"/>
      <c r="K84" s="15">
        <f>IFERROR(INDEX(輔助計算!$D:$D, (MATCH(83, 輔助計算!$F$2:$F$801, 0)+1)), "")</f>
        <v/>
      </c>
      <c r="L84" s="16">
        <f>IFERROR(IF(AND(IFERROR(VLOOKUP(LEFT(INDEX(ERP資料!$S:$S, (MATCH(83, 輔助計算!$F$2:$F$801, 0)+1)), 4), 100張客戶!$A:$A, 1, FALSE), "")&lt;&gt;"", OR(INDEX(ERP資料!$F:$F, (MATCH(83, 輔助計算!$F$2:$F$801, 0)+1))=270, INDEX(ERP資料!$F:$F, (MATCH(83, 輔助計算!$F$2:$F$801, 0)+1))=300)), "100張", ""), "")</f>
        <v/>
      </c>
      <c r="M84" s="17" t="n"/>
      <c r="N84" s="17">
        <f>IF($F84="","",$F84)</f>
        <v/>
      </c>
      <c r="O84" s="17">
        <f>IF($G84="","",$G84)</f>
        <v/>
      </c>
      <c r="P84" s="17">
        <f>IF($K84="","",$K84)</f>
        <v/>
      </c>
      <c r="Q84" s="16" t="n"/>
      <c r="R84" s="18" t="n"/>
      <c r="S84" s="16" t="n"/>
    </row>
    <row r="85">
      <c r="A85" s="14">
        <f>IFERROR(IF(AND(IFERROR(INDEX(ERP資料!$A:$A, (MATCH(84, 輔助計算!$F$2:$F$801, 0)+1)), "")&lt;&gt;"", IFERROR(INDEX(ERP資料!$A:$A, (MATCH(84, 輔助計算!$F$2:$F$801, 0)+1)), "")&lt;&gt;IFERROR(INDEX(ERP資料!$A:$A, MATCH(83, 輔助計算!$F$2:$F$801, 0)+1), "")), INDEX(ERP資料!$B:$B, (MATCH(84, 輔助計算!$F$2:$F$801, 0)+1)), ""), "")</f>
        <v/>
      </c>
      <c r="B85" s="10">
        <f>IFERROR(IF(AND(IFERROR(INDEX(ERP資料!$A:$A, (MATCH(84, 輔助計算!$F$2:$F$801, 0)+1)), "")&lt;&gt;"", IFERROR(INDEX(ERP資料!$A:$A, (MATCH(84, 輔助計算!$F$2:$F$801, 0)+1)), "")&lt;&gt;IFERROR(INDEX(ERP資料!$A:$A, MATCH(83, 輔助計算!$F$2:$F$801, 0)+1), "")), IFERROR(INDEX(ERP資料!$A:$A, (MATCH(84, 輔助計算!$F$2:$F$801, 0)+1)), ""), ""), "")</f>
        <v/>
      </c>
      <c r="C85" s="10">
        <f>IFERROR(IF(AND(IFERROR(INDEX(ERP資料!$A:$A, (MATCH(84, 輔助計算!$F$2:$F$801, 0)+1)), "")&lt;&gt;"", IFERROR(INDEX(ERP資料!$A:$A, (MATCH(84, 輔助計算!$F$2:$F$801, 0)+1)), "")&lt;&gt;IFERROR(INDEX(ERP資料!$A:$A, MATCH(83, 輔助計算!$F$2:$F$801, 0)+1), "")), INDEX(ERP資料!$S:$S, (MATCH(84, 輔助計算!$F$2:$F$801, 0)+1)), ""), "")</f>
        <v/>
      </c>
      <c r="D85" s="10">
        <f>IFERROR(IF(INDEX(ERP資料!$E:$E, (MATCH(84, 輔助計算!$F$2:$F$801, 0)+1))="","",TRIM(INDEX(ERP資料!$E:$E, (MATCH(84, 輔助計算!$F$2:$F$801, 0)+1)))), "")</f>
        <v/>
      </c>
      <c r="E85" s="10">
        <f>IFERROR(IF(INDEX(ERP資料!$F:$F, (MATCH(84, 輔助計算!$F$2:$F$801, 0)+1))="","",INDEX(ERP資料!$F:$F, (MATCH(84, 輔助計算!$F$2:$F$801, 0)+1))), "")</f>
        <v/>
      </c>
      <c r="F85" s="10">
        <f>IFERROR(IF(INDEX(ERP資料!$G:$G, (MATCH(84, 輔助計算!$F$2:$F$801, 0)+1))="","",INDEX(ERP資料!$G:$G, (MATCH(84, 輔助計算!$F$2:$F$801, 0)+1))), "")</f>
        <v/>
      </c>
      <c r="G85" s="10">
        <f>IFERROR(IF(INDEX(ERP資料!$H:$H, (MATCH(84, 輔助計算!$F$2:$F$801, 0)+1))="","",INDEX(ERP資料!$H:$H, (MATCH(84, 輔助計算!$F$2:$F$801, 0)+1))), "")</f>
        <v/>
      </c>
      <c r="H85" s="10">
        <f>IFERROR(IF(INDEX(ERP資料!$O:$O, (MATCH(84, 輔助計算!$F$2:$F$801, 0)+1))="","",INDEX(ERP資料!$O:$O, (MATCH(84, 輔助計算!$F$2:$F$801, 0)+1))), "")</f>
        <v/>
      </c>
      <c r="I85" s="15">
        <f>IFERROR(IF(INDEX(輔助計算!$D:$D,(MATCH(84, 輔助計算!$F$2:$F$801, 0)+1))="","",INDEX(輔助計算!$D:$D,(MATCH(84, 輔助計算!$F$2:$F$801, 0)+1))*INDEX(ERP資料!$O:$O,(MATCH(84, 輔助計算!$F$2:$F$801, 0)+1))), "")</f>
        <v/>
      </c>
      <c r="J85" s="16" t="n"/>
      <c r="K85" s="15">
        <f>IFERROR(INDEX(輔助計算!$D:$D, (MATCH(84, 輔助計算!$F$2:$F$801, 0)+1)), "")</f>
        <v/>
      </c>
      <c r="L85" s="16">
        <f>IFERROR(IF(AND(IFERROR(VLOOKUP(LEFT(INDEX(ERP資料!$S:$S, (MATCH(84, 輔助計算!$F$2:$F$801, 0)+1)), 4), 100張客戶!$A:$A, 1, FALSE), "")&lt;&gt;"", OR(INDEX(ERP資料!$F:$F, (MATCH(84, 輔助計算!$F$2:$F$801, 0)+1))=270, INDEX(ERP資料!$F:$F, (MATCH(84, 輔助計算!$F$2:$F$801, 0)+1))=300)), "100張", ""), "")</f>
        <v/>
      </c>
      <c r="M85" s="17" t="n"/>
      <c r="N85" s="17">
        <f>IF($F85="","",$F85)</f>
        <v/>
      </c>
      <c r="O85" s="17">
        <f>IF($G85="","",$G85)</f>
        <v/>
      </c>
      <c r="P85" s="17">
        <f>IF($K85="","",$K85)</f>
        <v/>
      </c>
      <c r="Q85" s="16" t="n"/>
      <c r="R85" s="18" t="n"/>
      <c r="S85" s="16" t="n"/>
    </row>
    <row r="86">
      <c r="A86" s="14">
        <f>IFERROR(IF(AND(IFERROR(INDEX(ERP資料!$A:$A, (MATCH(85, 輔助計算!$F$2:$F$801, 0)+1)), "")&lt;&gt;"", IFERROR(INDEX(ERP資料!$A:$A, (MATCH(85, 輔助計算!$F$2:$F$801, 0)+1)), "")&lt;&gt;IFERROR(INDEX(ERP資料!$A:$A, MATCH(84, 輔助計算!$F$2:$F$801, 0)+1), "")), INDEX(ERP資料!$B:$B, (MATCH(85, 輔助計算!$F$2:$F$801, 0)+1)), ""), "")</f>
        <v/>
      </c>
      <c r="B86" s="10">
        <f>IFERROR(IF(AND(IFERROR(INDEX(ERP資料!$A:$A, (MATCH(85, 輔助計算!$F$2:$F$801, 0)+1)), "")&lt;&gt;"", IFERROR(INDEX(ERP資料!$A:$A, (MATCH(85, 輔助計算!$F$2:$F$801, 0)+1)), "")&lt;&gt;IFERROR(INDEX(ERP資料!$A:$A, MATCH(84, 輔助計算!$F$2:$F$801, 0)+1), "")), IFERROR(INDEX(ERP資料!$A:$A, (MATCH(85, 輔助計算!$F$2:$F$801, 0)+1)), ""), ""), "")</f>
        <v/>
      </c>
      <c r="C86" s="10">
        <f>IFERROR(IF(AND(IFERROR(INDEX(ERP資料!$A:$A, (MATCH(85, 輔助計算!$F$2:$F$801, 0)+1)), "")&lt;&gt;"", IFERROR(INDEX(ERP資料!$A:$A, (MATCH(85, 輔助計算!$F$2:$F$801, 0)+1)), "")&lt;&gt;IFERROR(INDEX(ERP資料!$A:$A, MATCH(84, 輔助計算!$F$2:$F$801, 0)+1), "")), INDEX(ERP資料!$S:$S, (MATCH(85, 輔助計算!$F$2:$F$801, 0)+1)), ""), "")</f>
        <v/>
      </c>
      <c r="D86" s="10">
        <f>IFERROR(IF(INDEX(ERP資料!$E:$E, (MATCH(85, 輔助計算!$F$2:$F$801, 0)+1))="","",TRIM(INDEX(ERP資料!$E:$E, (MATCH(85, 輔助計算!$F$2:$F$801, 0)+1)))), "")</f>
        <v/>
      </c>
      <c r="E86" s="10">
        <f>IFERROR(IF(INDEX(ERP資料!$F:$F, (MATCH(85, 輔助計算!$F$2:$F$801, 0)+1))="","",INDEX(ERP資料!$F:$F, (MATCH(85, 輔助計算!$F$2:$F$801, 0)+1))), "")</f>
        <v/>
      </c>
      <c r="F86" s="10">
        <f>IFERROR(IF(INDEX(ERP資料!$G:$G, (MATCH(85, 輔助計算!$F$2:$F$801, 0)+1))="","",INDEX(ERP資料!$G:$G, (MATCH(85, 輔助計算!$F$2:$F$801, 0)+1))), "")</f>
        <v/>
      </c>
      <c r="G86" s="10">
        <f>IFERROR(IF(INDEX(ERP資料!$H:$H, (MATCH(85, 輔助計算!$F$2:$F$801, 0)+1))="","",INDEX(ERP資料!$H:$H, (MATCH(85, 輔助計算!$F$2:$F$801, 0)+1))), "")</f>
        <v/>
      </c>
      <c r="H86" s="10">
        <f>IFERROR(IF(INDEX(ERP資料!$O:$O, (MATCH(85, 輔助計算!$F$2:$F$801, 0)+1))="","",INDEX(ERP資料!$O:$O, (MATCH(85, 輔助計算!$F$2:$F$801, 0)+1))), "")</f>
        <v/>
      </c>
      <c r="I86" s="15">
        <f>IFERROR(IF(INDEX(輔助計算!$D:$D,(MATCH(85, 輔助計算!$F$2:$F$801, 0)+1))="","",INDEX(輔助計算!$D:$D,(MATCH(85, 輔助計算!$F$2:$F$801, 0)+1))*INDEX(ERP資料!$O:$O,(MATCH(85, 輔助計算!$F$2:$F$801, 0)+1))), "")</f>
        <v/>
      </c>
      <c r="J86" s="16" t="n"/>
      <c r="K86" s="15">
        <f>IFERROR(INDEX(輔助計算!$D:$D, (MATCH(85, 輔助計算!$F$2:$F$801, 0)+1)), "")</f>
        <v/>
      </c>
      <c r="L86" s="16">
        <f>IFERROR(IF(AND(IFERROR(VLOOKUP(LEFT(INDEX(ERP資料!$S:$S, (MATCH(85, 輔助計算!$F$2:$F$801, 0)+1)), 4), 100張客戶!$A:$A, 1, FALSE), "")&lt;&gt;"", OR(INDEX(ERP資料!$F:$F, (MATCH(85, 輔助計算!$F$2:$F$801, 0)+1))=270, INDEX(ERP資料!$F:$F, (MATCH(85, 輔助計算!$F$2:$F$801, 0)+1))=300)), "100張", ""), "")</f>
        <v/>
      </c>
      <c r="M86" s="17" t="n"/>
      <c r="N86" s="17">
        <f>IF($F86="","",$F86)</f>
        <v/>
      </c>
      <c r="O86" s="17">
        <f>IF($G86="","",$G86)</f>
        <v/>
      </c>
      <c r="P86" s="17">
        <f>IF($K86="","",$K86)</f>
        <v/>
      </c>
      <c r="Q86" s="16" t="n"/>
      <c r="R86" s="18" t="n"/>
      <c r="S86" s="16" t="n"/>
    </row>
    <row r="87">
      <c r="A87" s="14">
        <f>IFERROR(IF(AND(IFERROR(INDEX(ERP資料!$A:$A, (MATCH(86, 輔助計算!$F$2:$F$801, 0)+1)), "")&lt;&gt;"", IFERROR(INDEX(ERP資料!$A:$A, (MATCH(86, 輔助計算!$F$2:$F$801, 0)+1)), "")&lt;&gt;IFERROR(INDEX(ERP資料!$A:$A, MATCH(85, 輔助計算!$F$2:$F$801, 0)+1), "")), INDEX(ERP資料!$B:$B, (MATCH(86, 輔助計算!$F$2:$F$801, 0)+1)), ""), "")</f>
        <v/>
      </c>
      <c r="B87" s="10">
        <f>IFERROR(IF(AND(IFERROR(INDEX(ERP資料!$A:$A, (MATCH(86, 輔助計算!$F$2:$F$801, 0)+1)), "")&lt;&gt;"", IFERROR(INDEX(ERP資料!$A:$A, (MATCH(86, 輔助計算!$F$2:$F$801, 0)+1)), "")&lt;&gt;IFERROR(INDEX(ERP資料!$A:$A, MATCH(85, 輔助計算!$F$2:$F$801, 0)+1), "")), IFERROR(INDEX(ERP資料!$A:$A, (MATCH(86, 輔助計算!$F$2:$F$801, 0)+1)), ""), ""), "")</f>
        <v/>
      </c>
      <c r="C87" s="10">
        <f>IFERROR(IF(AND(IFERROR(INDEX(ERP資料!$A:$A, (MATCH(86, 輔助計算!$F$2:$F$801, 0)+1)), "")&lt;&gt;"", IFERROR(INDEX(ERP資料!$A:$A, (MATCH(86, 輔助計算!$F$2:$F$801, 0)+1)), "")&lt;&gt;IFERROR(INDEX(ERP資料!$A:$A, MATCH(85, 輔助計算!$F$2:$F$801, 0)+1), "")), INDEX(ERP資料!$S:$S, (MATCH(86, 輔助計算!$F$2:$F$801, 0)+1)), ""), "")</f>
        <v/>
      </c>
      <c r="D87" s="10">
        <f>IFERROR(IF(INDEX(ERP資料!$E:$E, (MATCH(86, 輔助計算!$F$2:$F$801, 0)+1))="","",TRIM(INDEX(ERP資料!$E:$E, (MATCH(86, 輔助計算!$F$2:$F$801, 0)+1)))), "")</f>
        <v/>
      </c>
      <c r="E87" s="10">
        <f>IFERROR(IF(INDEX(ERP資料!$F:$F, (MATCH(86, 輔助計算!$F$2:$F$801, 0)+1))="","",INDEX(ERP資料!$F:$F, (MATCH(86, 輔助計算!$F$2:$F$801, 0)+1))), "")</f>
        <v/>
      </c>
      <c r="F87" s="10">
        <f>IFERROR(IF(INDEX(ERP資料!$G:$G, (MATCH(86, 輔助計算!$F$2:$F$801, 0)+1))="","",INDEX(ERP資料!$G:$G, (MATCH(86, 輔助計算!$F$2:$F$801, 0)+1))), "")</f>
        <v/>
      </c>
      <c r="G87" s="10">
        <f>IFERROR(IF(INDEX(ERP資料!$H:$H, (MATCH(86, 輔助計算!$F$2:$F$801, 0)+1))="","",INDEX(ERP資料!$H:$H, (MATCH(86, 輔助計算!$F$2:$F$801, 0)+1))), "")</f>
        <v/>
      </c>
      <c r="H87" s="10">
        <f>IFERROR(IF(INDEX(ERP資料!$O:$O, (MATCH(86, 輔助計算!$F$2:$F$801, 0)+1))="","",INDEX(ERP資料!$O:$O, (MATCH(86, 輔助計算!$F$2:$F$801, 0)+1))), "")</f>
        <v/>
      </c>
      <c r="I87" s="15">
        <f>IFERROR(IF(INDEX(輔助計算!$D:$D,(MATCH(86, 輔助計算!$F$2:$F$801, 0)+1))="","",INDEX(輔助計算!$D:$D,(MATCH(86, 輔助計算!$F$2:$F$801, 0)+1))*INDEX(ERP資料!$O:$O,(MATCH(86, 輔助計算!$F$2:$F$801, 0)+1))), "")</f>
        <v/>
      </c>
      <c r="J87" s="16" t="n"/>
      <c r="K87" s="15">
        <f>IFERROR(INDEX(輔助計算!$D:$D, (MATCH(86, 輔助計算!$F$2:$F$801, 0)+1)), "")</f>
        <v/>
      </c>
      <c r="L87" s="16">
        <f>IFERROR(IF(AND(IFERROR(VLOOKUP(LEFT(INDEX(ERP資料!$S:$S, (MATCH(86, 輔助計算!$F$2:$F$801, 0)+1)), 4), 100張客戶!$A:$A, 1, FALSE), "")&lt;&gt;"", OR(INDEX(ERP資料!$F:$F, (MATCH(86, 輔助計算!$F$2:$F$801, 0)+1))=270, INDEX(ERP資料!$F:$F, (MATCH(86, 輔助計算!$F$2:$F$801, 0)+1))=300)), "100張", ""), "")</f>
        <v/>
      </c>
      <c r="M87" s="17" t="n"/>
      <c r="N87" s="17">
        <f>IF($F87="","",$F87)</f>
        <v/>
      </c>
      <c r="O87" s="17">
        <f>IF($G87="","",$G87)</f>
        <v/>
      </c>
      <c r="P87" s="17">
        <f>IF($K87="","",$K87)</f>
        <v/>
      </c>
      <c r="Q87" s="16" t="n"/>
      <c r="R87" s="18" t="n"/>
      <c r="S87" s="16" t="n"/>
    </row>
    <row r="88">
      <c r="A88" s="14">
        <f>IFERROR(IF(AND(IFERROR(INDEX(ERP資料!$A:$A, (MATCH(87, 輔助計算!$F$2:$F$801, 0)+1)), "")&lt;&gt;"", IFERROR(INDEX(ERP資料!$A:$A, (MATCH(87, 輔助計算!$F$2:$F$801, 0)+1)), "")&lt;&gt;IFERROR(INDEX(ERP資料!$A:$A, MATCH(86, 輔助計算!$F$2:$F$801, 0)+1), "")), INDEX(ERP資料!$B:$B, (MATCH(87, 輔助計算!$F$2:$F$801, 0)+1)), ""), "")</f>
        <v/>
      </c>
      <c r="B88" s="10">
        <f>IFERROR(IF(AND(IFERROR(INDEX(ERP資料!$A:$A, (MATCH(87, 輔助計算!$F$2:$F$801, 0)+1)), "")&lt;&gt;"", IFERROR(INDEX(ERP資料!$A:$A, (MATCH(87, 輔助計算!$F$2:$F$801, 0)+1)), "")&lt;&gt;IFERROR(INDEX(ERP資料!$A:$A, MATCH(86, 輔助計算!$F$2:$F$801, 0)+1), "")), IFERROR(INDEX(ERP資料!$A:$A, (MATCH(87, 輔助計算!$F$2:$F$801, 0)+1)), ""), ""), "")</f>
        <v/>
      </c>
      <c r="C88" s="10">
        <f>IFERROR(IF(AND(IFERROR(INDEX(ERP資料!$A:$A, (MATCH(87, 輔助計算!$F$2:$F$801, 0)+1)), "")&lt;&gt;"", IFERROR(INDEX(ERP資料!$A:$A, (MATCH(87, 輔助計算!$F$2:$F$801, 0)+1)), "")&lt;&gt;IFERROR(INDEX(ERP資料!$A:$A, MATCH(86, 輔助計算!$F$2:$F$801, 0)+1), "")), INDEX(ERP資料!$S:$S, (MATCH(87, 輔助計算!$F$2:$F$801, 0)+1)), ""), "")</f>
        <v/>
      </c>
      <c r="D88" s="10">
        <f>IFERROR(IF(INDEX(ERP資料!$E:$E, (MATCH(87, 輔助計算!$F$2:$F$801, 0)+1))="","",TRIM(INDEX(ERP資料!$E:$E, (MATCH(87, 輔助計算!$F$2:$F$801, 0)+1)))), "")</f>
        <v/>
      </c>
      <c r="E88" s="10">
        <f>IFERROR(IF(INDEX(ERP資料!$F:$F, (MATCH(87, 輔助計算!$F$2:$F$801, 0)+1))="","",INDEX(ERP資料!$F:$F, (MATCH(87, 輔助計算!$F$2:$F$801, 0)+1))), "")</f>
        <v/>
      </c>
      <c r="F88" s="10">
        <f>IFERROR(IF(INDEX(ERP資料!$G:$G, (MATCH(87, 輔助計算!$F$2:$F$801, 0)+1))="","",INDEX(ERP資料!$G:$G, (MATCH(87, 輔助計算!$F$2:$F$801, 0)+1))), "")</f>
        <v/>
      </c>
      <c r="G88" s="10">
        <f>IFERROR(IF(INDEX(ERP資料!$H:$H, (MATCH(87, 輔助計算!$F$2:$F$801, 0)+1))="","",INDEX(ERP資料!$H:$H, (MATCH(87, 輔助計算!$F$2:$F$801, 0)+1))), "")</f>
        <v/>
      </c>
      <c r="H88" s="10">
        <f>IFERROR(IF(INDEX(ERP資料!$O:$O, (MATCH(87, 輔助計算!$F$2:$F$801, 0)+1))="","",INDEX(ERP資料!$O:$O, (MATCH(87, 輔助計算!$F$2:$F$801, 0)+1))), "")</f>
        <v/>
      </c>
      <c r="I88" s="15">
        <f>IFERROR(IF(INDEX(輔助計算!$D:$D,(MATCH(87, 輔助計算!$F$2:$F$801, 0)+1))="","",INDEX(輔助計算!$D:$D,(MATCH(87, 輔助計算!$F$2:$F$801, 0)+1))*INDEX(ERP資料!$O:$O,(MATCH(87, 輔助計算!$F$2:$F$801, 0)+1))), "")</f>
        <v/>
      </c>
      <c r="J88" s="16" t="n"/>
      <c r="K88" s="15">
        <f>IFERROR(INDEX(輔助計算!$D:$D, (MATCH(87, 輔助計算!$F$2:$F$801, 0)+1)), "")</f>
        <v/>
      </c>
      <c r="L88" s="16">
        <f>IFERROR(IF(AND(IFERROR(VLOOKUP(LEFT(INDEX(ERP資料!$S:$S, (MATCH(87, 輔助計算!$F$2:$F$801, 0)+1)), 4), 100張客戶!$A:$A, 1, FALSE), "")&lt;&gt;"", OR(INDEX(ERP資料!$F:$F, (MATCH(87, 輔助計算!$F$2:$F$801, 0)+1))=270, INDEX(ERP資料!$F:$F, (MATCH(87, 輔助計算!$F$2:$F$801, 0)+1))=300)), "100張", ""), "")</f>
        <v/>
      </c>
      <c r="M88" s="17" t="n"/>
      <c r="N88" s="17">
        <f>IF($F88="","",$F88)</f>
        <v/>
      </c>
      <c r="O88" s="17">
        <f>IF($G88="","",$G88)</f>
        <v/>
      </c>
      <c r="P88" s="17">
        <f>IF($K88="","",$K88)</f>
        <v/>
      </c>
      <c r="Q88" s="16" t="n"/>
      <c r="R88" s="18" t="n"/>
      <c r="S88" s="16" t="n"/>
    </row>
    <row r="89">
      <c r="A89" s="14">
        <f>IFERROR(IF(AND(IFERROR(INDEX(ERP資料!$A:$A, (MATCH(88, 輔助計算!$F$2:$F$801, 0)+1)), "")&lt;&gt;"", IFERROR(INDEX(ERP資料!$A:$A, (MATCH(88, 輔助計算!$F$2:$F$801, 0)+1)), "")&lt;&gt;IFERROR(INDEX(ERP資料!$A:$A, MATCH(87, 輔助計算!$F$2:$F$801, 0)+1), "")), INDEX(ERP資料!$B:$B, (MATCH(88, 輔助計算!$F$2:$F$801, 0)+1)), ""), "")</f>
        <v/>
      </c>
      <c r="B89" s="10">
        <f>IFERROR(IF(AND(IFERROR(INDEX(ERP資料!$A:$A, (MATCH(88, 輔助計算!$F$2:$F$801, 0)+1)), "")&lt;&gt;"", IFERROR(INDEX(ERP資料!$A:$A, (MATCH(88, 輔助計算!$F$2:$F$801, 0)+1)), "")&lt;&gt;IFERROR(INDEX(ERP資料!$A:$A, MATCH(87, 輔助計算!$F$2:$F$801, 0)+1), "")), IFERROR(INDEX(ERP資料!$A:$A, (MATCH(88, 輔助計算!$F$2:$F$801, 0)+1)), ""), ""), "")</f>
        <v/>
      </c>
      <c r="C89" s="10">
        <f>IFERROR(IF(AND(IFERROR(INDEX(ERP資料!$A:$A, (MATCH(88, 輔助計算!$F$2:$F$801, 0)+1)), "")&lt;&gt;"", IFERROR(INDEX(ERP資料!$A:$A, (MATCH(88, 輔助計算!$F$2:$F$801, 0)+1)), "")&lt;&gt;IFERROR(INDEX(ERP資料!$A:$A, MATCH(87, 輔助計算!$F$2:$F$801, 0)+1), "")), INDEX(ERP資料!$S:$S, (MATCH(88, 輔助計算!$F$2:$F$801, 0)+1)), ""), "")</f>
        <v/>
      </c>
      <c r="D89" s="10">
        <f>IFERROR(IF(INDEX(ERP資料!$E:$E, (MATCH(88, 輔助計算!$F$2:$F$801, 0)+1))="","",TRIM(INDEX(ERP資料!$E:$E, (MATCH(88, 輔助計算!$F$2:$F$801, 0)+1)))), "")</f>
        <v/>
      </c>
      <c r="E89" s="10">
        <f>IFERROR(IF(INDEX(ERP資料!$F:$F, (MATCH(88, 輔助計算!$F$2:$F$801, 0)+1))="","",INDEX(ERP資料!$F:$F, (MATCH(88, 輔助計算!$F$2:$F$801, 0)+1))), "")</f>
        <v/>
      </c>
      <c r="F89" s="10">
        <f>IFERROR(IF(INDEX(ERP資料!$G:$G, (MATCH(88, 輔助計算!$F$2:$F$801, 0)+1))="","",INDEX(ERP資料!$G:$G, (MATCH(88, 輔助計算!$F$2:$F$801, 0)+1))), "")</f>
        <v/>
      </c>
      <c r="G89" s="10">
        <f>IFERROR(IF(INDEX(ERP資料!$H:$H, (MATCH(88, 輔助計算!$F$2:$F$801, 0)+1))="","",INDEX(ERP資料!$H:$H, (MATCH(88, 輔助計算!$F$2:$F$801, 0)+1))), "")</f>
        <v/>
      </c>
      <c r="H89" s="10">
        <f>IFERROR(IF(INDEX(ERP資料!$O:$O, (MATCH(88, 輔助計算!$F$2:$F$801, 0)+1))="","",INDEX(ERP資料!$O:$O, (MATCH(88, 輔助計算!$F$2:$F$801, 0)+1))), "")</f>
        <v/>
      </c>
      <c r="I89" s="15">
        <f>IFERROR(IF(INDEX(輔助計算!$D:$D,(MATCH(88, 輔助計算!$F$2:$F$801, 0)+1))="","",INDEX(輔助計算!$D:$D,(MATCH(88, 輔助計算!$F$2:$F$801, 0)+1))*INDEX(ERP資料!$O:$O,(MATCH(88, 輔助計算!$F$2:$F$801, 0)+1))), "")</f>
        <v/>
      </c>
      <c r="J89" s="16" t="n"/>
      <c r="K89" s="15">
        <f>IFERROR(INDEX(輔助計算!$D:$D, (MATCH(88, 輔助計算!$F$2:$F$801, 0)+1)), "")</f>
        <v/>
      </c>
      <c r="L89" s="16">
        <f>IFERROR(IF(AND(IFERROR(VLOOKUP(LEFT(INDEX(ERP資料!$S:$S, (MATCH(88, 輔助計算!$F$2:$F$801, 0)+1)), 4), 100張客戶!$A:$A, 1, FALSE), "")&lt;&gt;"", OR(INDEX(ERP資料!$F:$F, (MATCH(88, 輔助計算!$F$2:$F$801, 0)+1))=270, INDEX(ERP資料!$F:$F, (MATCH(88, 輔助計算!$F$2:$F$801, 0)+1))=300)), "100張", ""), "")</f>
        <v/>
      </c>
      <c r="M89" s="17" t="n"/>
      <c r="N89" s="17">
        <f>IF($F89="","",$F89)</f>
        <v/>
      </c>
      <c r="O89" s="17">
        <f>IF($G89="","",$G89)</f>
        <v/>
      </c>
      <c r="P89" s="17">
        <f>IF($K89="","",$K89)</f>
        <v/>
      </c>
      <c r="Q89" s="16" t="n"/>
      <c r="R89" s="18" t="n"/>
      <c r="S89" s="16" t="n"/>
    </row>
    <row r="90">
      <c r="A90" s="14">
        <f>IFERROR(IF(AND(IFERROR(INDEX(ERP資料!$A:$A, (MATCH(89, 輔助計算!$F$2:$F$801, 0)+1)), "")&lt;&gt;"", IFERROR(INDEX(ERP資料!$A:$A, (MATCH(89, 輔助計算!$F$2:$F$801, 0)+1)), "")&lt;&gt;IFERROR(INDEX(ERP資料!$A:$A, MATCH(88, 輔助計算!$F$2:$F$801, 0)+1), "")), INDEX(ERP資料!$B:$B, (MATCH(89, 輔助計算!$F$2:$F$801, 0)+1)), ""), "")</f>
        <v/>
      </c>
      <c r="B90" s="10">
        <f>IFERROR(IF(AND(IFERROR(INDEX(ERP資料!$A:$A, (MATCH(89, 輔助計算!$F$2:$F$801, 0)+1)), "")&lt;&gt;"", IFERROR(INDEX(ERP資料!$A:$A, (MATCH(89, 輔助計算!$F$2:$F$801, 0)+1)), "")&lt;&gt;IFERROR(INDEX(ERP資料!$A:$A, MATCH(88, 輔助計算!$F$2:$F$801, 0)+1), "")), IFERROR(INDEX(ERP資料!$A:$A, (MATCH(89, 輔助計算!$F$2:$F$801, 0)+1)), ""), ""), "")</f>
        <v/>
      </c>
      <c r="C90" s="10">
        <f>IFERROR(IF(AND(IFERROR(INDEX(ERP資料!$A:$A, (MATCH(89, 輔助計算!$F$2:$F$801, 0)+1)), "")&lt;&gt;"", IFERROR(INDEX(ERP資料!$A:$A, (MATCH(89, 輔助計算!$F$2:$F$801, 0)+1)), "")&lt;&gt;IFERROR(INDEX(ERP資料!$A:$A, MATCH(88, 輔助計算!$F$2:$F$801, 0)+1), "")), INDEX(ERP資料!$S:$S, (MATCH(89, 輔助計算!$F$2:$F$801, 0)+1)), ""), "")</f>
        <v/>
      </c>
      <c r="D90" s="10">
        <f>IFERROR(IF(INDEX(ERP資料!$E:$E, (MATCH(89, 輔助計算!$F$2:$F$801, 0)+1))="","",TRIM(INDEX(ERP資料!$E:$E, (MATCH(89, 輔助計算!$F$2:$F$801, 0)+1)))), "")</f>
        <v/>
      </c>
      <c r="E90" s="10">
        <f>IFERROR(IF(INDEX(ERP資料!$F:$F, (MATCH(89, 輔助計算!$F$2:$F$801, 0)+1))="","",INDEX(ERP資料!$F:$F, (MATCH(89, 輔助計算!$F$2:$F$801, 0)+1))), "")</f>
        <v/>
      </c>
      <c r="F90" s="10">
        <f>IFERROR(IF(INDEX(ERP資料!$G:$G, (MATCH(89, 輔助計算!$F$2:$F$801, 0)+1))="","",INDEX(ERP資料!$G:$G, (MATCH(89, 輔助計算!$F$2:$F$801, 0)+1))), "")</f>
        <v/>
      </c>
      <c r="G90" s="10">
        <f>IFERROR(IF(INDEX(ERP資料!$H:$H, (MATCH(89, 輔助計算!$F$2:$F$801, 0)+1))="","",INDEX(ERP資料!$H:$H, (MATCH(89, 輔助計算!$F$2:$F$801, 0)+1))), "")</f>
        <v/>
      </c>
      <c r="H90" s="10">
        <f>IFERROR(IF(INDEX(ERP資料!$O:$O, (MATCH(89, 輔助計算!$F$2:$F$801, 0)+1))="","",INDEX(ERP資料!$O:$O, (MATCH(89, 輔助計算!$F$2:$F$801, 0)+1))), "")</f>
        <v/>
      </c>
      <c r="I90" s="15">
        <f>IFERROR(IF(INDEX(輔助計算!$D:$D,(MATCH(89, 輔助計算!$F$2:$F$801, 0)+1))="","",INDEX(輔助計算!$D:$D,(MATCH(89, 輔助計算!$F$2:$F$801, 0)+1))*INDEX(ERP資料!$O:$O,(MATCH(89, 輔助計算!$F$2:$F$801, 0)+1))), "")</f>
        <v/>
      </c>
      <c r="J90" s="16" t="n"/>
      <c r="K90" s="15">
        <f>IFERROR(INDEX(輔助計算!$D:$D, (MATCH(89, 輔助計算!$F$2:$F$801, 0)+1)), "")</f>
        <v/>
      </c>
      <c r="L90" s="16">
        <f>IFERROR(IF(AND(IFERROR(VLOOKUP(LEFT(INDEX(ERP資料!$S:$S, (MATCH(89, 輔助計算!$F$2:$F$801, 0)+1)), 4), 100張客戶!$A:$A, 1, FALSE), "")&lt;&gt;"", OR(INDEX(ERP資料!$F:$F, (MATCH(89, 輔助計算!$F$2:$F$801, 0)+1))=270, INDEX(ERP資料!$F:$F, (MATCH(89, 輔助計算!$F$2:$F$801, 0)+1))=300)), "100張", ""), "")</f>
        <v/>
      </c>
      <c r="M90" s="17" t="n"/>
      <c r="N90" s="17">
        <f>IF($F90="","",$F90)</f>
        <v/>
      </c>
      <c r="O90" s="17">
        <f>IF($G90="","",$G90)</f>
        <v/>
      </c>
      <c r="P90" s="17">
        <f>IF($K90="","",$K90)</f>
        <v/>
      </c>
      <c r="Q90" s="16" t="n"/>
      <c r="R90" s="18" t="n"/>
      <c r="S90" s="16" t="n"/>
    </row>
    <row r="91">
      <c r="A91" s="14">
        <f>IFERROR(IF(AND(IFERROR(INDEX(ERP資料!$A:$A, (MATCH(90, 輔助計算!$F$2:$F$801, 0)+1)), "")&lt;&gt;"", IFERROR(INDEX(ERP資料!$A:$A, (MATCH(90, 輔助計算!$F$2:$F$801, 0)+1)), "")&lt;&gt;IFERROR(INDEX(ERP資料!$A:$A, MATCH(89, 輔助計算!$F$2:$F$801, 0)+1), "")), INDEX(ERP資料!$B:$B, (MATCH(90, 輔助計算!$F$2:$F$801, 0)+1)), ""), "")</f>
        <v/>
      </c>
      <c r="B91" s="10">
        <f>IFERROR(IF(AND(IFERROR(INDEX(ERP資料!$A:$A, (MATCH(90, 輔助計算!$F$2:$F$801, 0)+1)), "")&lt;&gt;"", IFERROR(INDEX(ERP資料!$A:$A, (MATCH(90, 輔助計算!$F$2:$F$801, 0)+1)), "")&lt;&gt;IFERROR(INDEX(ERP資料!$A:$A, MATCH(89, 輔助計算!$F$2:$F$801, 0)+1), "")), IFERROR(INDEX(ERP資料!$A:$A, (MATCH(90, 輔助計算!$F$2:$F$801, 0)+1)), ""), ""), "")</f>
        <v/>
      </c>
      <c r="C91" s="10">
        <f>IFERROR(IF(AND(IFERROR(INDEX(ERP資料!$A:$A, (MATCH(90, 輔助計算!$F$2:$F$801, 0)+1)), "")&lt;&gt;"", IFERROR(INDEX(ERP資料!$A:$A, (MATCH(90, 輔助計算!$F$2:$F$801, 0)+1)), "")&lt;&gt;IFERROR(INDEX(ERP資料!$A:$A, MATCH(89, 輔助計算!$F$2:$F$801, 0)+1), "")), INDEX(ERP資料!$S:$S, (MATCH(90, 輔助計算!$F$2:$F$801, 0)+1)), ""), "")</f>
        <v/>
      </c>
      <c r="D91" s="10">
        <f>IFERROR(IF(INDEX(ERP資料!$E:$E, (MATCH(90, 輔助計算!$F$2:$F$801, 0)+1))="","",TRIM(INDEX(ERP資料!$E:$E, (MATCH(90, 輔助計算!$F$2:$F$801, 0)+1)))), "")</f>
        <v/>
      </c>
      <c r="E91" s="10">
        <f>IFERROR(IF(INDEX(ERP資料!$F:$F, (MATCH(90, 輔助計算!$F$2:$F$801, 0)+1))="","",INDEX(ERP資料!$F:$F, (MATCH(90, 輔助計算!$F$2:$F$801, 0)+1))), "")</f>
        <v/>
      </c>
      <c r="F91" s="10">
        <f>IFERROR(IF(INDEX(ERP資料!$G:$G, (MATCH(90, 輔助計算!$F$2:$F$801, 0)+1))="","",INDEX(ERP資料!$G:$G, (MATCH(90, 輔助計算!$F$2:$F$801, 0)+1))), "")</f>
        <v/>
      </c>
      <c r="G91" s="10">
        <f>IFERROR(IF(INDEX(ERP資料!$H:$H, (MATCH(90, 輔助計算!$F$2:$F$801, 0)+1))="","",INDEX(ERP資料!$H:$H, (MATCH(90, 輔助計算!$F$2:$F$801, 0)+1))), "")</f>
        <v/>
      </c>
      <c r="H91" s="10">
        <f>IFERROR(IF(INDEX(ERP資料!$O:$O, (MATCH(90, 輔助計算!$F$2:$F$801, 0)+1))="","",INDEX(ERP資料!$O:$O, (MATCH(90, 輔助計算!$F$2:$F$801, 0)+1))), "")</f>
        <v/>
      </c>
      <c r="I91" s="15">
        <f>IFERROR(IF(INDEX(輔助計算!$D:$D,(MATCH(90, 輔助計算!$F$2:$F$801, 0)+1))="","",INDEX(輔助計算!$D:$D,(MATCH(90, 輔助計算!$F$2:$F$801, 0)+1))*INDEX(ERP資料!$O:$O,(MATCH(90, 輔助計算!$F$2:$F$801, 0)+1))), "")</f>
        <v/>
      </c>
      <c r="J91" s="16" t="n"/>
      <c r="K91" s="15">
        <f>IFERROR(INDEX(輔助計算!$D:$D, (MATCH(90, 輔助計算!$F$2:$F$801, 0)+1)), "")</f>
        <v/>
      </c>
      <c r="L91" s="16">
        <f>IFERROR(IF(AND(IFERROR(VLOOKUP(LEFT(INDEX(ERP資料!$S:$S, (MATCH(90, 輔助計算!$F$2:$F$801, 0)+1)), 4), 100張客戶!$A:$A, 1, FALSE), "")&lt;&gt;"", OR(INDEX(ERP資料!$F:$F, (MATCH(90, 輔助計算!$F$2:$F$801, 0)+1))=270, INDEX(ERP資料!$F:$F, (MATCH(90, 輔助計算!$F$2:$F$801, 0)+1))=300)), "100張", ""), "")</f>
        <v/>
      </c>
      <c r="M91" s="17" t="n"/>
      <c r="N91" s="17">
        <f>IF($F91="","",$F91)</f>
        <v/>
      </c>
      <c r="O91" s="17">
        <f>IF($G91="","",$G91)</f>
        <v/>
      </c>
      <c r="P91" s="17">
        <f>IF($K91="","",$K91)</f>
        <v/>
      </c>
      <c r="Q91" s="16" t="n"/>
      <c r="R91" s="18" t="n"/>
      <c r="S91" s="16" t="n"/>
    </row>
    <row r="92">
      <c r="A92" s="14">
        <f>IFERROR(IF(AND(IFERROR(INDEX(ERP資料!$A:$A, (MATCH(91, 輔助計算!$F$2:$F$801, 0)+1)), "")&lt;&gt;"", IFERROR(INDEX(ERP資料!$A:$A, (MATCH(91, 輔助計算!$F$2:$F$801, 0)+1)), "")&lt;&gt;IFERROR(INDEX(ERP資料!$A:$A, MATCH(90, 輔助計算!$F$2:$F$801, 0)+1), "")), INDEX(ERP資料!$B:$B, (MATCH(91, 輔助計算!$F$2:$F$801, 0)+1)), ""), "")</f>
        <v/>
      </c>
      <c r="B92" s="10">
        <f>IFERROR(IF(AND(IFERROR(INDEX(ERP資料!$A:$A, (MATCH(91, 輔助計算!$F$2:$F$801, 0)+1)), "")&lt;&gt;"", IFERROR(INDEX(ERP資料!$A:$A, (MATCH(91, 輔助計算!$F$2:$F$801, 0)+1)), "")&lt;&gt;IFERROR(INDEX(ERP資料!$A:$A, MATCH(90, 輔助計算!$F$2:$F$801, 0)+1), "")), IFERROR(INDEX(ERP資料!$A:$A, (MATCH(91, 輔助計算!$F$2:$F$801, 0)+1)), ""), ""), "")</f>
        <v/>
      </c>
      <c r="C92" s="10">
        <f>IFERROR(IF(AND(IFERROR(INDEX(ERP資料!$A:$A, (MATCH(91, 輔助計算!$F$2:$F$801, 0)+1)), "")&lt;&gt;"", IFERROR(INDEX(ERP資料!$A:$A, (MATCH(91, 輔助計算!$F$2:$F$801, 0)+1)), "")&lt;&gt;IFERROR(INDEX(ERP資料!$A:$A, MATCH(90, 輔助計算!$F$2:$F$801, 0)+1), "")), INDEX(ERP資料!$S:$S, (MATCH(91, 輔助計算!$F$2:$F$801, 0)+1)), ""), "")</f>
        <v/>
      </c>
      <c r="D92" s="10">
        <f>IFERROR(IF(INDEX(ERP資料!$E:$E, (MATCH(91, 輔助計算!$F$2:$F$801, 0)+1))="","",TRIM(INDEX(ERP資料!$E:$E, (MATCH(91, 輔助計算!$F$2:$F$801, 0)+1)))), "")</f>
        <v/>
      </c>
      <c r="E92" s="10">
        <f>IFERROR(IF(INDEX(ERP資料!$F:$F, (MATCH(91, 輔助計算!$F$2:$F$801, 0)+1))="","",INDEX(ERP資料!$F:$F, (MATCH(91, 輔助計算!$F$2:$F$801, 0)+1))), "")</f>
        <v/>
      </c>
      <c r="F92" s="10">
        <f>IFERROR(IF(INDEX(ERP資料!$G:$G, (MATCH(91, 輔助計算!$F$2:$F$801, 0)+1))="","",INDEX(ERP資料!$G:$G, (MATCH(91, 輔助計算!$F$2:$F$801, 0)+1))), "")</f>
        <v/>
      </c>
      <c r="G92" s="10">
        <f>IFERROR(IF(INDEX(ERP資料!$H:$H, (MATCH(91, 輔助計算!$F$2:$F$801, 0)+1))="","",INDEX(ERP資料!$H:$H, (MATCH(91, 輔助計算!$F$2:$F$801, 0)+1))), "")</f>
        <v/>
      </c>
      <c r="H92" s="10">
        <f>IFERROR(IF(INDEX(ERP資料!$O:$O, (MATCH(91, 輔助計算!$F$2:$F$801, 0)+1))="","",INDEX(ERP資料!$O:$O, (MATCH(91, 輔助計算!$F$2:$F$801, 0)+1))), "")</f>
        <v/>
      </c>
      <c r="I92" s="15">
        <f>IFERROR(IF(INDEX(輔助計算!$D:$D,(MATCH(91, 輔助計算!$F$2:$F$801, 0)+1))="","",INDEX(輔助計算!$D:$D,(MATCH(91, 輔助計算!$F$2:$F$801, 0)+1))*INDEX(ERP資料!$O:$O,(MATCH(91, 輔助計算!$F$2:$F$801, 0)+1))), "")</f>
        <v/>
      </c>
      <c r="J92" s="16" t="n"/>
      <c r="K92" s="15">
        <f>IFERROR(INDEX(輔助計算!$D:$D, (MATCH(91, 輔助計算!$F$2:$F$801, 0)+1)), "")</f>
        <v/>
      </c>
      <c r="L92" s="16">
        <f>IFERROR(IF(AND(IFERROR(VLOOKUP(LEFT(INDEX(ERP資料!$S:$S, (MATCH(91, 輔助計算!$F$2:$F$801, 0)+1)), 4), 100張客戶!$A:$A, 1, FALSE), "")&lt;&gt;"", OR(INDEX(ERP資料!$F:$F, (MATCH(91, 輔助計算!$F$2:$F$801, 0)+1))=270, INDEX(ERP資料!$F:$F, (MATCH(91, 輔助計算!$F$2:$F$801, 0)+1))=300)), "100張", ""), "")</f>
        <v/>
      </c>
      <c r="M92" s="17" t="n"/>
      <c r="N92" s="17">
        <f>IF($F92="","",$F92)</f>
        <v/>
      </c>
      <c r="O92" s="17">
        <f>IF($G92="","",$G92)</f>
        <v/>
      </c>
      <c r="P92" s="17">
        <f>IF($K92="","",$K92)</f>
        <v/>
      </c>
      <c r="Q92" s="16" t="n"/>
      <c r="R92" s="18" t="n"/>
      <c r="S92" s="16" t="n"/>
    </row>
    <row r="93">
      <c r="A93" s="14">
        <f>IFERROR(IF(AND(IFERROR(INDEX(ERP資料!$A:$A, (MATCH(92, 輔助計算!$F$2:$F$801, 0)+1)), "")&lt;&gt;"", IFERROR(INDEX(ERP資料!$A:$A, (MATCH(92, 輔助計算!$F$2:$F$801, 0)+1)), "")&lt;&gt;IFERROR(INDEX(ERP資料!$A:$A, MATCH(91, 輔助計算!$F$2:$F$801, 0)+1), "")), INDEX(ERP資料!$B:$B, (MATCH(92, 輔助計算!$F$2:$F$801, 0)+1)), ""), "")</f>
        <v/>
      </c>
      <c r="B93" s="10">
        <f>IFERROR(IF(AND(IFERROR(INDEX(ERP資料!$A:$A, (MATCH(92, 輔助計算!$F$2:$F$801, 0)+1)), "")&lt;&gt;"", IFERROR(INDEX(ERP資料!$A:$A, (MATCH(92, 輔助計算!$F$2:$F$801, 0)+1)), "")&lt;&gt;IFERROR(INDEX(ERP資料!$A:$A, MATCH(91, 輔助計算!$F$2:$F$801, 0)+1), "")), IFERROR(INDEX(ERP資料!$A:$A, (MATCH(92, 輔助計算!$F$2:$F$801, 0)+1)), ""), ""), "")</f>
        <v/>
      </c>
      <c r="C93" s="10">
        <f>IFERROR(IF(AND(IFERROR(INDEX(ERP資料!$A:$A, (MATCH(92, 輔助計算!$F$2:$F$801, 0)+1)), "")&lt;&gt;"", IFERROR(INDEX(ERP資料!$A:$A, (MATCH(92, 輔助計算!$F$2:$F$801, 0)+1)), "")&lt;&gt;IFERROR(INDEX(ERP資料!$A:$A, MATCH(91, 輔助計算!$F$2:$F$801, 0)+1), "")), INDEX(ERP資料!$S:$S, (MATCH(92, 輔助計算!$F$2:$F$801, 0)+1)), ""), "")</f>
        <v/>
      </c>
      <c r="D93" s="10">
        <f>IFERROR(IF(INDEX(ERP資料!$E:$E, (MATCH(92, 輔助計算!$F$2:$F$801, 0)+1))="","",TRIM(INDEX(ERP資料!$E:$E, (MATCH(92, 輔助計算!$F$2:$F$801, 0)+1)))), "")</f>
        <v/>
      </c>
      <c r="E93" s="10">
        <f>IFERROR(IF(INDEX(ERP資料!$F:$F, (MATCH(92, 輔助計算!$F$2:$F$801, 0)+1))="","",INDEX(ERP資料!$F:$F, (MATCH(92, 輔助計算!$F$2:$F$801, 0)+1))), "")</f>
        <v/>
      </c>
      <c r="F93" s="10">
        <f>IFERROR(IF(INDEX(ERP資料!$G:$G, (MATCH(92, 輔助計算!$F$2:$F$801, 0)+1))="","",INDEX(ERP資料!$G:$G, (MATCH(92, 輔助計算!$F$2:$F$801, 0)+1))), "")</f>
        <v/>
      </c>
      <c r="G93" s="10">
        <f>IFERROR(IF(INDEX(ERP資料!$H:$H, (MATCH(92, 輔助計算!$F$2:$F$801, 0)+1))="","",INDEX(ERP資料!$H:$H, (MATCH(92, 輔助計算!$F$2:$F$801, 0)+1))), "")</f>
        <v/>
      </c>
      <c r="H93" s="10">
        <f>IFERROR(IF(INDEX(ERP資料!$O:$O, (MATCH(92, 輔助計算!$F$2:$F$801, 0)+1))="","",INDEX(ERP資料!$O:$O, (MATCH(92, 輔助計算!$F$2:$F$801, 0)+1))), "")</f>
        <v/>
      </c>
      <c r="I93" s="15">
        <f>IFERROR(IF(INDEX(輔助計算!$D:$D,(MATCH(92, 輔助計算!$F$2:$F$801, 0)+1))="","",INDEX(輔助計算!$D:$D,(MATCH(92, 輔助計算!$F$2:$F$801, 0)+1))*INDEX(ERP資料!$O:$O,(MATCH(92, 輔助計算!$F$2:$F$801, 0)+1))), "")</f>
        <v/>
      </c>
      <c r="J93" s="16" t="n"/>
      <c r="K93" s="15">
        <f>IFERROR(INDEX(輔助計算!$D:$D, (MATCH(92, 輔助計算!$F$2:$F$801, 0)+1)), "")</f>
        <v/>
      </c>
      <c r="L93" s="16">
        <f>IFERROR(IF(AND(IFERROR(VLOOKUP(LEFT(INDEX(ERP資料!$S:$S, (MATCH(92, 輔助計算!$F$2:$F$801, 0)+1)), 4), 100張客戶!$A:$A, 1, FALSE), "")&lt;&gt;"", OR(INDEX(ERP資料!$F:$F, (MATCH(92, 輔助計算!$F$2:$F$801, 0)+1))=270, INDEX(ERP資料!$F:$F, (MATCH(92, 輔助計算!$F$2:$F$801, 0)+1))=300)), "100張", ""), "")</f>
        <v/>
      </c>
      <c r="M93" s="17" t="n"/>
      <c r="N93" s="17">
        <f>IF($F93="","",$F93)</f>
        <v/>
      </c>
      <c r="O93" s="17">
        <f>IF($G93="","",$G93)</f>
        <v/>
      </c>
      <c r="P93" s="17">
        <f>IF($K93="","",$K93)</f>
        <v/>
      </c>
      <c r="Q93" s="16" t="n"/>
      <c r="R93" s="18" t="n"/>
      <c r="S93" s="16" t="n"/>
    </row>
    <row r="94">
      <c r="A94" s="14">
        <f>IFERROR(IF(AND(IFERROR(INDEX(ERP資料!$A:$A, (MATCH(93, 輔助計算!$F$2:$F$801, 0)+1)), "")&lt;&gt;"", IFERROR(INDEX(ERP資料!$A:$A, (MATCH(93, 輔助計算!$F$2:$F$801, 0)+1)), "")&lt;&gt;IFERROR(INDEX(ERP資料!$A:$A, MATCH(92, 輔助計算!$F$2:$F$801, 0)+1), "")), INDEX(ERP資料!$B:$B, (MATCH(93, 輔助計算!$F$2:$F$801, 0)+1)), ""), "")</f>
        <v/>
      </c>
      <c r="B94" s="10">
        <f>IFERROR(IF(AND(IFERROR(INDEX(ERP資料!$A:$A, (MATCH(93, 輔助計算!$F$2:$F$801, 0)+1)), "")&lt;&gt;"", IFERROR(INDEX(ERP資料!$A:$A, (MATCH(93, 輔助計算!$F$2:$F$801, 0)+1)), "")&lt;&gt;IFERROR(INDEX(ERP資料!$A:$A, MATCH(92, 輔助計算!$F$2:$F$801, 0)+1), "")), IFERROR(INDEX(ERP資料!$A:$A, (MATCH(93, 輔助計算!$F$2:$F$801, 0)+1)), ""), ""), "")</f>
        <v/>
      </c>
      <c r="C94" s="10">
        <f>IFERROR(IF(AND(IFERROR(INDEX(ERP資料!$A:$A, (MATCH(93, 輔助計算!$F$2:$F$801, 0)+1)), "")&lt;&gt;"", IFERROR(INDEX(ERP資料!$A:$A, (MATCH(93, 輔助計算!$F$2:$F$801, 0)+1)), "")&lt;&gt;IFERROR(INDEX(ERP資料!$A:$A, MATCH(92, 輔助計算!$F$2:$F$801, 0)+1), "")), INDEX(ERP資料!$S:$S, (MATCH(93, 輔助計算!$F$2:$F$801, 0)+1)), ""), "")</f>
        <v/>
      </c>
      <c r="D94" s="10">
        <f>IFERROR(IF(INDEX(ERP資料!$E:$E, (MATCH(93, 輔助計算!$F$2:$F$801, 0)+1))="","",TRIM(INDEX(ERP資料!$E:$E, (MATCH(93, 輔助計算!$F$2:$F$801, 0)+1)))), "")</f>
        <v/>
      </c>
      <c r="E94" s="10">
        <f>IFERROR(IF(INDEX(ERP資料!$F:$F, (MATCH(93, 輔助計算!$F$2:$F$801, 0)+1))="","",INDEX(ERP資料!$F:$F, (MATCH(93, 輔助計算!$F$2:$F$801, 0)+1))), "")</f>
        <v/>
      </c>
      <c r="F94" s="10">
        <f>IFERROR(IF(INDEX(ERP資料!$G:$G, (MATCH(93, 輔助計算!$F$2:$F$801, 0)+1))="","",INDEX(ERP資料!$G:$G, (MATCH(93, 輔助計算!$F$2:$F$801, 0)+1))), "")</f>
        <v/>
      </c>
      <c r="G94" s="10">
        <f>IFERROR(IF(INDEX(ERP資料!$H:$H, (MATCH(93, 輔助計算!$F$2:$F$801, 0)+1))="","",INDEX(ERP資料!$H:$H, (MATCH(93, 輔助計算!$F$2:$F$801, 0)+1))), "")</f>
        <v/>
      </c>
      <c r="H94" s="10">
        <f>IFERROR(IF(INDEX(ERP資料!$O:$O, (MATCH(93, 輔助計算!$F$2:$F$801, 0)+1))="","",INDEX(ERP資料!$O:$O, (MATCH(93, 輔助計算!$F$2:$F$801, 0)+1))), "")</f>
        <v/>
      </c>
      <c r="I94" s="15">
        <f>IFERROR(IF(INDEX(輔助計算!$D:$D,(MATCH(93, 輔助計算!$F$2:$F$801, 0)+1))="","",INDEX(輔助計算!$D:$D,(MATCH(93, 輔助計算!$F$2:$F$801, 0)+1))*INDEX(ERP資料!$O:$O,(MATCH(93, 輔助計算!$F$2:$F$801, 0)+1))), "")</f>
        <v/>
      </c>
      <c r="J94" s="16" t="n"/>
      <c r="K94" s="15">
        <f>IFERROR(INDEX(輔助計算!$D:$D, (MATCH(93, 輔助計算!$F$2:$F$801, 0)+1)), "")</f>
        <v/>
      </c>
      <c r="L94" s="16">
        <f>IFERROR(IF(AND(IFERROR(VLOOKUP(LEFT(INDEX(ERP資料!$S:$S, (MATCH(93, 輔助計算!$F$2:$F$801, 0)+1)), 4), 100張客戶!$A:$A, 1, FALSE), "")&lt;&gt;"", OR(INDEX(ERP資料!$F:$F, (MATCH(93, 輔助計算!$F$2:$F$801, 0)+1))=270, INDEX(ERP資料!$F:$F, (MATCH(93, 輔助計算!$F$2:$F$801, 0)+1))=300)), "100張", ""), "")</f>
        <v/>
      </c>
      <c r="M94" s="17" t="n"/>
      <c r="N94" s="17">
        <f>IF($F94="","",$F94)</f>
        <v/>
      </c>
      <c r="O94" s="17">
        <f>IF($G94="","",$G94)</f>
        <v/>
      </c>
      <c r="P94" s="17">
        <f>IF($K94="","",$K94)</f>
        <v/>
      </c>
      <c r="Q94" s="16" t="n"/>
      <c r="R94" s="18" t="n"/>
      <c r="S94" s="16" t="n"/>
    </row>
    <row r="95">
      <c r="A95" s="14">
        <f>IFERROR(IF(AND(IFERROR(INDEX(ERP資料!$A:$A, (MATCH(94, 輔助計算!$F$2:$F$801, 0)+1)), "")&lt;&gt;"", IFERROR(INDEX(ERP資料!$A:$A, (MATCH(94, 輔助計算!$F$2:$F$801, 0)+1)), "")&lt;&gt;IFERROR(INDEX(ERP資料!$A:$A, MATCH(93, 輔助計算!$F$2:$F$801, 0)+1), "")), INDEX(ERP資料!$B:$B, (MATCH(94, 輔助計算!$F$2:$F$801, 0)+1)), ""), "")</f>
        <v/>
      </c>
      <c r="B95" s="10">
        <f>IFERROR(IF(AND(IFERROR(INDEX(ERP資料!$A:$A, (MATCH(94, 輔助計算!$F$2:$F$801, 0)+1)), "")&lt;&gt;"", IFERROR(INDEX(ERP資料!$A:$A, (MATCH(94, 輔助計算!$F$2:$F$801, 0)+1)), "")&lt;&gt;IFERROR(INDEX(ERP資料!$A:$A, MATCH(93, 輔助計算!$F$2:$F$801, 0)+1), "")), IFERROR(INDEX(ERP資料!$A:$A, (MATCH(94, 輔助計算!$F$2:$F$801, 0)+1)), ""), ""), "")</f>
        <v/>
      </c>
      <c r="C95" s="10">
        <f>IFERROR(IF(AND(IFERROR(INDEX(ERP資料!$A:$A, (MATCH(94, 輔助計算!$F$2:$F$801, 0)+1)), "")&lt;&gt;"", IFERROR(INDEX(ERP資料!$A:$A, (MATCH(94, 輔助計算!$F$2:$F$801, 0)+1)), "")&lt;&gt;IFERROR(INDEX(ERP資料!$A:$A, MATCH(93, 輔助計算!$F$2:$F$801, 0)+1), "")), INDEX(ERP資料!$S:$S, (MATCH(94, 輔助計算!$F$2:$F$801, 0)+1)), ""), "")</f>
        <v/>
      </c>
      <c r="D95" s="10">
        <f>IFERROR(IF(INDEX(ERP資料!$E:$E, (MATCH(94, 輔助計算!$F$2:$F$801, 0)+1))="","",TRIM(INDEX(ERP資料!$E:$E, (MATCH(94, 輔助計算!$F$2:$F$801, 0)+1)))), "")</f>
        <v/>
      </c>
      <c r="E95" s="10">
        <f>IFERROR(IF(INDEX(ERP資料!$F:$F, (MATCH(94, 輔助計算!$F$2:$F$801, 0)+1))="","",INDEX(ERP資料!$F:$F, (MATCH(94, 輔助計算!$F$2:$F$801, 0)+1))), "")</f>
        <v/>
      </c>
      <c r="F95" s="10">
        <f>IFERROR(IF(INDEX(ERP資料!$G:$G, (MATCH(94, 輔助計算!$F$2:$F$801, 0)+1))="","",INDEX(ERP資料!$G:$G, (MATCH(94, 輔助計算!$F$2:$F$801, 0)+1))), "")</f>
        <v/>
      </c>
      <c r="G95" s="10">
        <f>IFERROR(IF(INDEX(ERP資料!$H:$H, (MATCH(94, 輔助計算!$F$2:$F$801, 0)+1))="","",INDEX(ERP資料!$H:$H, (MATCH(94, 輔助計算!$F$2:$F$801, 0)+1))), "")</f>
        <v/>
      </c>
      <c r="H95" s="10">
        <f>IFERROR(IF(INDEX(ERP資料!$O:$O, (MATCH(94, 輔助計算!$F$2:$F$801, 0)+1))="","",INDEX(ERP資料!$O:$O, (MATCH(94, 輔助計算!$F$2:$F$801, 0)+1))), "")</f>
        <v/>
      </c>
      <c r="I95" s="15">
        <f>IFERROR(IF(INDEX(輔助計算!$D:$D,(MATCH(94, 輔助計算!$F$2:$F$801, 0)+1))="","",INDEX(輔助計算!$D:$D,(MATCH(94, 輔助計算!$F$2:$F$801, 0)+1))*INDEX(ERP資料!$O:$O,(MATCH(94, 輔助計算!$F$2:$F$801, 0)+1))), "")</f>
        <v/>
      </c>
      <c r="J95" s="16" t="n"/>
      <c r="K95" s="15">
        <f>IFERROR(INDEX(輔助計算!$D:$D, (MATCH(94, 輔助計算!$F$2:$F$801, 0)+1)), "")</f>
        <v/>
      </c>
      <c r="L95" s="16">
        <f>IFERROR(IF(AND(IFERROR(VLOOKUP(LEFT(INDEX(ERP資料!$S:$S, (MATCH(94, 輔助計算!$F$2:$F$801, 0)+1)), 4), 100張客戶!$A:$A, 1, FALSE), "")&lt;&gt;"", OR(INDEX(ERP資料!$F:$F, (MATCH(94, 輔助計算!$F$2:$F$801, 0)+1))=270, INDEX(ERP資料!$F:$F, (MATCH(94, 輔助計算!$F$2:$F$801, 0)+1))=300)), "100張", ""), "")</f>
        <v/>
      </c>
      <c r="M95" s="17" t="n"/>
      <c r="N95" s="17">
        <f>IF($F95="","",$F95)</f>
        <v/>
      </c>
      <c r="O95" s="17">
        <f>IF($G95="","",$G95)</f>
        <v/>
      </c>
      <c r="P95" s="17">
        <f>IF($K95="","",$K95)</f>
        <v/>
      </c>
      <c r="Q95" s="16" t="n"/>
      <c r="R95" s="18" t="n"/>
      <c r="S95" s="16" t="n"/>
    </row>
    <row r="96">
      <c r="A96" s="14">
        <f>IFERROR(IF(AND(IFERROR(INDEX(ERP資料!$A:$A, (MATCH(95, 輔助計算!$F$2:$F$801, 0)+1)), "")&lt;&gt;"", IFERROR(INDEX(ERP資料!$A:$A, (MATCH(95, 輔助計算!$F$2:$F$801, 0)+1)), "")&lt;&gt;IFERROR(INDEX(ERP資料!$A:$A, MATCH(94, 輔助計算!$F$2:$F$801, 0)+1), "")), INDEX(ERP資料!$B:$B, (MATCH(95, 輔助計算!$F$2:$F$801, 0)+1)), ""), "")</f>
        <v/>
      </c>
      <c r="B96" s="10">
        <f>IFERROR(IF(AND(IFERROR(INDEX(ERP資料!$A:$A, (MATCH(95, 輔助計算!$F$2:$F$801, 0)+1)), "")&lt;&gt;"", IFERROR(INDEX(ERP資料!$A:$A, (MATCH(95, 輔助計算!$F$2:$F$801, 0)+1)), "")&lt;&gt;IFERROR(INDEX(ERP資料!$A:$A, MATCH(94, 輔助計算!$F$2:$F$801, 0)+1), "")), IFERROR(INDEX(ERP資料!$A:$A, (MATCH(95, 輔助計算!$F$2:$F$801, 0)+1)), ""), ""), "")</f>
        <v/>
      </c>
      <c r="C96" s="10">
        <f>IFERROR(IF(AND(IFERROR(INDEX(ERP資料!$A:$A, (MATCH(95, 輔助計算!$F$2:$F$801, 0)+1)), "")&lt;&gt;"", IFERROR(INDEX(ERP資料!$A:$A, (MATCH(95, 輔助計算!$F$2:$F$801, 0)+1)), "")&lt;&gt;IFERROR(INDEX(ERP資料!$A:$A, MATCH(94, 輔助計算!$F$2:$F$801, 0)+1), "")), INDEX(ERP資料!$S:$S, (MATCH(95, 輔助計算!$F$2:$F$801, 0)+1)), ""), "")</f>
        <v/>
      </c>
      <c r="D96" s="10">
        <f>IFERROR(IF(INDEX(ERP資料!$E:$E, (MATCH(95, 輔助計算!$F$2:$F$801, 0)+1))="","",TRIM(INDEX(ERP資料!$E:$E, (MATCH(95, 輔助計算!$F$2:$F$801, 0)+1)))), "")</f>
        <v/>
      </c>
      <c r="E96" s="10">
        <f>IFERROR(IF(INDEX(ERP資料!$F:$F, (MATCH(95, 輔助計算!$F$2:$F$801, 0)+1))="","",INDEX(ERP資料!$F:$F, (MATCH(95, 輔助計算!$F$2:$F$801, 0)+1))), "")</f>
        <v/>
      </c>
      <c r="F96" s="10">
        <f>IFERROR(IF(INDEX(ERP資料!$G:$G, (MATCH(95, 輔助計算!$F$2:$F$801, 0)+1))="","",INDEX(ERP資料!$G:$G, (MATCH(95, 輔助計算!$F$2:$F$801, 0)+1))), "")</f>
        <v/>
      </c>
      <c r="G96" s="10">
        <f>IFERROR(IF(INDEX(ERP資料!$H:$H, (MATCH(95, 輔助計算!$F$2:$F$801, 0)+1))="","",INDEX(ERP資料!$H:$H, (MATCH(95, 輔助計算!$F$2:$F$801, 0)+1))), "")</f>
        <v/>
      </c>
      <c r="H96" s="10">
        <f>IFERROR(IF(INDEX(ERP資料!$O:$O, (MATCH(95, 輔助計算!$F$2:$F$801, 0)+1))="","",INDEX(ERP資料!$O:$O, (MATCH(95, 輔助計算!$F$2:$F$801, 0)+1))), "")</f>
        <v/>
      </c>
      <c r="I96" s="15">
        <f>IFERROR(IF(INDEX(輔助計算!$D:$D,(MATCH(95, 輔助計算!$F$2:$F$801, 0)+1))="","",INDEX(輔助計算!$D:$D,(MATCH(95, 輔助計算!$F$2:$F$801, 0)+1))*INDEX(ERP資料!$O:$O,(MATCH(95, 輔助計算!$F$2:$F$801, 0)+1))), "")</f>
        <v/>
      </c>
      <c r="J96" s="16" t="n"/>
      <c r="K96" s="15">
        <f>IFERROR(INDEX(輔助計算!$D:$D, (MATCH(95, 輔助計算!$F$2:$F$801, 0)+1)), "")</f>
        <v/>
      </c>
      <c r="L96" s="16">
        <f>IFERROR(IF(AND(IFERROR(VLOOKUP(LEFT(INDEX(ERP資料!$S:$S, (MATCH(95, 輔助計算!$F$2:$F$801, 0)+1)), 4), 100張客戶!$A:$A, 1, FALSE), "")&lt;&gt;"", OR(INDEX(ERP資料!$F:$F, (MATCH(95, 輔助計算!$F$2:$F$801, 0)+1))=270, INDEX(ERP資料!$F:$F, (MATCH(95, 輔助計算!$F$2:$F$801, 0)+1))=300)), "100張", ""), "")</f>
        <v/>
      </c>
      <c r="M96" s="17" t="n"/>
      <c r="N96" s="17">
        <f>IF($F96="","",$F96)</f>
        <v/>
      </c>
      <c r="O96" s="17">
        <f>IF($G96="","",$G96)</f>
        <v/>
      </c>
      <c r="P96" s="17">
        <f>IF($K96="","",$K96)</f>
        <v/>
      </c>
      <c r="Q96" s="16" t="n"/>
      <c r="R96" s="18" t="n"/>
      <c r="S96" s="16" t="n"/>
    </row>
    <row r="97">
      <c r="A97" s="14">
        <f>IFERROR(IF(AND(IFERROR(INDEX(ERP資料!$A:$A, (MATCH(96, 輔助計算!$F$2:$F$801, 0)+1)), "")&lt;&gt;"", IFERROR(INDEX(ERP資料!$A:$A, (MATCH(96, 輔助計算!$F$2:$F$801, 0)+1)), "")&lt;&gt;IFERROR(INDEX(ERP資料!$A:$A, MATCH(95, 輔助計算!$F$2:$F$801, 0)+1), "")), INDEX(ERP資料!$B:$B, (MATCH(96, 輔助計算!$F$2:$F$801, 0)+1)), ""), "")</f>
        <v/>
      </c>
      <c r="B97" s="10">
        <f>IFERROR(IF(AND(IFERROR(INDEX(ERP資料!$A:$A, (MATCH(96, 輔助計算!$F$2:$F$801, 0)+1)), "")&lt;&gt;"", IFERROR(INDEX(ERP資料!$A:$A, (MATCH(96, 輔助計算!$F$2:$F$801, 0)+1)), "")&lt;&gt;IFERROR(INDEX(ERP資料!$A:$A, MATCH(95, 輔助計算!$F$2:$F$801, 0)+1), "")), IFERROR(INDEX(ERP資料!$A:$A, (MATCH(96, 輔助計算!$F$2:$F$801, 0)+1)), ""), ""), "")</f>
        <v/>
      </c>
      <c r="C97" s="10">
        <f>IFERROR(IF(AND(IFERROR(INDEX(ERP資料!$A:$A, (MATCH(96, 輔助計算!$F$2:$F$801, 0)+1)), "")&lt;&gt;"", IFERROR(INDEX(ERP資料!$A:$A, (MATCH(96, 輔助計算!$F$2:$F$801, 0)+1)), "")&lt;&gt;IFERROR(INDEX(ERP資料!$A:$A, MATCH(95, 輔助計算!$F$2:$F$801, 0)+1), "")), INDEX(ERP資料!$S:$S, (MATCH(96, 輔助計算!$F$2:$F$801, 0)+1)), ""), "")</f>
        <v/>
      </c>
      <c r="D97" s="10">
        <f>IFERROR(IF(INDEX(ERP資料!$E:$E, (MATCH(96, 輔助計算!$F$2:$F$801, 0)+1))="","",TRIM(INDEX(ERP資料!$E:$E, (MATCH(96, 輔助計算!$F$2:$F$801, 0)+1)))), "")</f>
        <v/>
      </c>
      <c r="E97" s="10">
        <f>IFERROR(IF(INDEX(ERP資料!$F:$F, (MATCH(96, 輔助計算!$F$2:$F$801, 0)+1))="","",INDEX(ERP資料!$F:$F, (MATCH(96, 輔助計算!$F$2:$F$801, 0)+1))), "")</f>
        <v/>
      </c>
      <c r="F97" s="10">
        <f>IFERROR(IF(INDEX(ERP資料!$G:$G, (MATCH(96, 輔助計算!$F$2:$F$801, 0)+1))="","",INDEX(ERP資料!$G:$G, (MATCH(96, 輔助計算!$F$2:$F$801, 0)+1))), "")</f>
        <v/>
      </c>
      <c r="G97" s="10">
        <f>IFERROR(IF(INDEX(ERP資料!$H:$H, (MATCH(96, 輔助計算!$F$2:$F$801, 0)+1))="","",INDEX(ERP資料!$H:$H, (MATCH(96, 輔助計算!$F$2:$F$801, 0)+1))), "")</f>
        <v/>
      </c>
      <c r="H97" s="10">
        <f>IFERROR(IF(INDEX(ERP資料!$O:$O, (MATCH(96, 輔助計算!$F$2:$F$801, 0)+1))="","",INDEX(ERP資料!$O:$O, (MATCH(96, 輔助計算!$F$2:$F$801, 0)+1))), "")</f>
        <v/>
      </c>
      <c r="I97" s="15">
        <f>IFERROR(IF(INDEX(輔助計算!$D:$D,(MATCH(96, 輔助計算!$F$2:$F$801, 0)+1))="","",INDEX(輔助計算!$D:$D,(MATCH(96, 輔助計算!$F$2:$F$801, 0)+1))*INDEX(ERP資料!$O:$O,(MATCH(96, 輔助計算!$F$2:$F$801, 0)+1))), "")</f>
        <v/>
      </c>
      <c r="J97" s="16" t="n"/>
      <c r="K97" s="15">
        <f>IFERROR(INDEX(輔助計算!$D:$D, (MATCH(96, 輔助計算!$F$2:$F$801, 0)+1)), "")</f>
        <v/>
      </c>
      <c r="L97" s="16">
        <f>IFERROR(IF(AND(IFERROR(VLOOKUP(LEFT(INDEX(ERP資料!$S:$S, (MATCH(96, 輔助計算!$F$2:$F$801, 0)+1)), 4), 100張客戶!$A:$A, 1, FALSE), "")&lt;&gt;"", OR(INDEX(ERP資料!$F:$F, (MATCH(96, 輔助計算!$F$2:$F$801, 0)+1))=270, INDEX(ERP資料!$F:$F, (MATCH(96, 輔助計算!$F$2:$F$801, 0)+1))=300)), "100張", ""), "")</f>
        <v/>
      </c>
      <c r="M97" s="17" t="n"/>
      <c r="N97" s="17">
        <f>IF($F97="","",$F97)</f>
        <v/>
      </c>
      <c r="O97" s="17">
        <f>IF($G97="","",$G97)</f>
        <v/>
      </c>
      <c r="P97" s="17">
        <f>IF($K97="","",$K97)</f>
        <v/>
      </c>
      <c r="Q97" s="16" t="n"/>
      <c r="R97" s="18" t="n"/>
      <c r="S97" s="16" t="n"/>
    </row>
    <row r="98">
      <c r="A98" s="14">
        <f>IFERROR(IF(AND(IFERROR(INDEX(ERP資料!$A:$A, (MATCH(97, 輔助計算!$F$2:$F$801, 0)+1)), "")&lt;&gt;"", IFERROR(INDEX(ERP資料!$A:$A, (MATCH(97, 輔助計算!$F$2:$F$801, 0)+1)), "")&lt;&gt;IFERROR(INDEX(ERP資料!$A:$A, MATCH(96, 輔助計算!$F$2:$F$801, 0)+1), "")), INDEX(ERP資料!$B:$B, (MATCH(97, 輔助計算!$F$2:$F$801, 0)+1)), ""), "")</f>
        <v/>
      </c>
      <c r="B98" s="10">
        <f>IFERROR(IF(AND(IFERROR(INDEX(ERP資料!$A:$A, (MATCH(97, 輔助計算!$F$2:$F$801, 0)+1)), "")&lt;&gt;"", IFERROR(INDEX(ERP資料!$A:$A, (MATCH(97, 輔助計算!$F$2:$F$801, 0)+1)), "")&lt;&gt;IFERROR(INDEX(ERP資料!$A:$A, MATCH(96, 輔助計算!$F$2:$F$801, 0)+1), "")), IFERROR(INDEX(ERP資料!$A:$A, (MATCH(97, 輔助計算!$F$2:$F$801, 0)+1)), ""), ""), "")</f>
        <v/>
      </c>
      <c r="C98" s="10">
        <f>IFERROR(IF(AND(IFERROR(INDEX(ERP資料!$A:$A, (MATCH(97, 輔助計算!$F$2:$F$801, 0)+1)), "")&lt;&gt;"", IFERROR(INDEX(ERP資料!$A:$A, (MATCH(97, 輔助計算!$F$2:$F$801, 0)+1)), "")&lt;&gt;IFERROR(INDEX(ERP資料!$A:$A, MATCH(96, 輔助計算!$F$2:$F$801, 0)+1), "")), INDEX(ERP資料!$S:$S, (MATCH(97, 輔助計算!$F$2:$F$801, 0)+1)), ""), "")</f>
        <v/>
      </c>
      <c r="D98" s="10">
        <f>IFERROR(IF(INDEX(ERP資料!$E:$E, (MATCH(97, 輔助計算!$F$2:$F$801, 0)+1))="","",TRIM(INDEX(ERP資料!$E:$E, (MATCH(97, 輔助計算!$F$2:$F$801, 0)+1)))), "")</f>
        <v/>
      </c>
      <c r="E98" s="10">
        <f>IFERROR(IF(INDEX(ERP資料!$F:$F, (MATCH(97, 輔助計算!$F$2:$F$801, 0)+1))="","",INDEX(ERP資料!$F:$F, (MATCH(97, 輔助計算!$F$2:$F$801, 0)+1))), "")</f>
        <v/>
      </c>
      <c r="F98" s="10">
        <f>IFERROR(IF(INDEX(ERP資料!$G:$G, (MATCH(97, 輔助計算!$F$2:$F$801, 0)+1))="","",INDEX(ERP資料!$G:$G, (MATCH(97, 輔助計算!$F$2:$F$801, 0)+1))), "")</f>
        <v/>
      </c>
      <c r="G98" s="10">
        <f>IFERROR(IF(INDEX(ERP資料!$H:$H, (MATCH(97, 輔助計算!$F$2:$F$801, 0)+1))="","",INDEX(ERP資料!$H:$H, (MATCH(97, 輔助計算!$F$2:$F$801, 0)+1))), "")</f>
        <v/>
      </c>
      <c r="H98" s="10">
        <f>IFERROR(IF(INDEX(ERP資料!$O:$O, (MATCH(97, 輔助計算!$F$2:$F$801, 0)+1))="","",INDEX(ERP資料!$O:$O, (MATCH(97, 輔助計算!$F$2:$F$801, 0)+1))), "")</f>
        <v/>
      </c>
      <c r="I98" s="15">
        <f>IFERROR(IF(INDEX(輔助計算!$D:$D,(MATCH(97, 輔助計算!$F$2:$F$801, 0)+1))="","",INDEX(輔助計算!$D:$D,(MATCH(97, 輔助計算!$F$2:$F$801, 0)+1))*INDEX(ERP資料!$O:$O,(MATCH(97, 輔助計算!$F$2:$F$801, 0)+1))), "")</f>
        <v/>
      </c>
      <c r="J98" s="16" t="n"/>
      <c r="K98" s="15">
        <f>IFERROR(INDEX(輔助計算!$D:$D, (MATCH(97, 輔助計算!$F$2:$F$801, 0)+1)), "")</f>
        <v/>
      </c>
      <c r="L98" s="16">
        <f>IFERROR(IF(AND(IFERROR(VLOOKUP(LEFT(INDEX(ERP資料!$S:$S, (MATCH(97, 輔助計算!$F$2:$F$801, 0)+1)), 4), 100張客戶!$A:$A, 1, FALSE), "")&lt;&gt;"", OR(INDEX(ERP資料!$F:$F, (MATCH(97, 輔助計算!$F$2:$F$801, 0)+1))=270, INDEX(ERP資料!$F:$F, (MATCH(97, 輔助計算!$F$2:$F$801, 0)+1))=300)), "100張", ""), "")</f>
        <v/>
      </c>
      <c r="M98" s="17" t="n"/>
      <c r="N98" s="17">
        <f>IF($F98="","",$F98)</f>
        <v/>
      </c>
      <c r="O98" s="17">
        <f>IF($G98="","",$G98)</f>
        <v/>
      </c>
      <c r="P98" s="17">
        <f>IF($K98="","",$K98)</f>
        <v/>
      </c>
      <c r="Q98" s="16" t="n"/>
      <c r="R98" s="18" t="n"/>
      <c r="S98" s="16" t="n"/>
    </row>
    <row r="99">
      <c r="A99" s="14">
        <f>IFERROR(IF(AND(IFERROR(INDEX(ERP資料!$A:$A, (MATCH(98, 輔助計算!$F$2:$F$801, 0)+1)), "")&lt;&gt;"", IFERROR(INDEX(ERP資料!$A:$A, (MATCH(98, 輔助計算!$F$2:$F$801, 0)+1)), "")&lt;&gt;IFERROR(INDEX(ERP資料!$A:$A, MATCH(97, 輔助計算!$F$2:$F$801, 0)+1), "")), INDEX(ERP資料!$B:$B, (MATCH(98, 輔助計算!$F$2:$F$801, 0)+1)), ""), "")</f>
        <v/>
      </c>
      <c r="B99" s="10">
        <f>IFERROR(IF(AND(IFERROR(INDEX(ERP資料!$A:$A, (MATCH(98, 輔助計算!$F$2:$F$801, 0)+1)), "")&lt;&gt;"", IFERROR(INDEX(ERP資料!$A:$A, (MATCH(98, 輔助計算!$F$2:$F$801, 0)+1)), "")&lt;&gt;IFERROR(INDEX(ERP資料!$A:$A, MATCH(97, 輔助計算!$F$2:$F$801, 0)+1), "")), IFERROR(INDEX(ERP資料!$A:$A, (MATCH(98, 輔助計算!$F$2:$F$801, 0)+1)), ""), ""), "")</f>
        <v/>
      </c>
      <c r="C99" s="10">
        <f>IFERROR(IF(AND(IFERROR(INDEX(ERP資料!$A:$A, (MATCH(98, 輔助計算!$F$2:$F$801, 0)+1)), "")&lt;&gt;"", IFERROR(INDEX(ERP資料!$A:$A, (MATCH(98, 輔助計算!$F$2:$F$801, 0)+1)), "")&lt;&gt;IFERROR(INDEX(ERP資料!$A:$A, MATCH(97, 輔助計算!$F$2:$F$801, 0)+1), "")), INDEX(ERP資料!$S:$S, (MATCH(98, 輔助計算!$F$2:$F$801, 0)+1)), ""), "")</f>
        <v/>
      </c>
      <c r="D99" s="10">
        <f>IFERROR(IF(INDEX(ERP資料!$E:$E, (MATCH(98, 輔助計算!$F$2:$F$801, 0)+1))="","",TRIM(INDEX(ERP資料!$E:$E, (MATCH(98, 輔助計算!$F$2:$F$801, 0)+1)))), "")</f>
        <v/>
      </c>
      <c r="E99" s="10">
        <f>IFERROR(IF(INDEX(ERP資料!$F:$F, (MATCH(98, 輔助計算!$F$2:$F$801, 0)+1))="","",INDEX(ERP資料!$F:$F, (MATCH(98, 輔助計算!$F$2:$F$801, 0)+1))), "")</f>
        <v/>
      </c>
      <c r="F99" s="10">
        <f>IFERROR(IF(INDEX(ERP資料!$G:$G, (MATCH(98, 輔助計算!$F$2:$F$801, 0)+1))="","",INDEX(ERP資料!$G:$G, (MATCH(98, 輔助計算!$F$2:$F$801, 0)+1))), "")</f>
        <v/>
      </c>
      <c r="G99" s="10">
        <f>IFERROR(IF(INDEX(ERP資料!$H:$H, (MATCH(98, 輔助計算!$F$2:$F$801, 0)+1))="","",INDEX(ERP資料!$H:$H, (MATCH(98, 輔助計算!$F$2:$F$801, 0)+1))), "")</f>
        <v/>
      </c>
      <c r="H99" s="10">
        <f>IFERROR(IF(INDEX(ERP資料!$O:$O, (MATCH(98, 輔助計算!$F$2:$F$801, 0)+1))="","",INDEX(ERP資料!$O:$O, (MATCH(98, 輔助計算!$F$2:$F$801, 0)+1))), "")</f>
        <v/>
      </c>
      <c r="I99" s="15">
        <f>IFERROR(IF(INDEX(輔助計算!$D:$D,(MATCH(98, 輔助計算!$F$2:$F$801, 0)+1))="","",INDEX(輔助計算!$D:$D,(MATCH(98, 輔助計算!$F$2:$F$801, 0)+1))*INDEX(ERP資料!$O:$O,(MATCH(98, 輔助計算!$F$2:$F$801, 0)+1))), "")</f>
        <v/>
      </c>
      <c r="J99" s="16" t="n"/>
      <c r="K99" s="15">
        <f>IFERROR(INDEX(輔助計算!$D:$D, (MATCH(98, 輔助計算!$F$2:$F$801, 0)+1)), "")</f>
        <v/>
      </c>
      <c r="L99" s="16">
        <f>IFERROR(IF(AND(IFERROR(VLOOKUP(LEFT(INDEX(ERP資料!$S:$S, (MATCH(98, 輔助計算!$F$2:$F$801, 0)+1)), 4), 100張客戶!$A:$A, 1, FALSE), "")&lt;&gt;"", OR(INDEX(ERP資料!$F:$F, (MATCH(98, 輔助計算!$F$2:$F$801, 0)+1))=270, INDEX(ERP資料!$F:$F, (MATCH(98, 輔助計算!$F$2:$F$801, 0)+1))=300)), "100張", ""), "")</f>
        <v/>
      </c>
      <c r="M99" s="17" t="n"/>
      <c r="N99" s="17">
        <f>IF($F99="","",$F99)</f>
        <v/>
      </c>
      <c r="O99" s="17">
        <f>IF($G99="","",$G99)</f>
        <v/>
      </c>
      <c r="P99" s="17">
        <f>IF($K99="","",$K99)</f>
        <v/>
      </c>
      <c r="Q99" s="16" t="n"/>
      <c r="R99" s="18" t="n"/>
      <c r="S99" s="16" t="n"/>
    </row>
    <row r="100">
      <c r="A100" s="14">
        <f>IFERROR(IF(AND(IFERROR(INDEX(ERP資料!$A:$A, (MATCH(99, 輔助計算!$F$2:$F$801, 0)+1)), "")&lt;&gt;"", IFERROR(INDEX(ERP資料!$A:$A, (MATCH(99, 輔助計算!$F$2:$F$801, 0)+1)), "")&lt;&gt;IFERROR(INDEX(ERP資料!$A:$A, MATCH(98, 輔助計算!$F$2:$F$801, 0)+1), "")), INDEX(ERP資料!$B:$B, (MATCH(99, 輔助計算!$F$2:$F$801, 0)+1)), ""), "")</f>
        <v/>
      </c>
      <c r="B100" s="10">
        <f>IFERROR(IF(AND(IFERROR(INDEX(ERP資料!$A:$A, (MATCH(99, 輔助計算!$F$2:$F$801, 0)+1)), "")&lt;&gt;"", IFERROR(INDEX(ERP資料!$A:$A, (MATCH(99, 輔助計算!$F$2:$F$801, 0)+1)), "")&lt;&gt;IFERROR(INDEX(ERP資料!$A:$A, MATCH(98, 輔助計算!$F$2:$F$801, 0)+1), "")), IFERROR(INDEX(ERP資料!$A:$A, (MATCH(99, 輔助計算!$F$2:$F$801, 0)+1)), ""), ""), "")</f>
        <v/>
      </c>
      <c r="C100" s="10">
        <f>IFERROR(IF(AND(IFERROR(INDEX(ERP資料!$A:$A, (MATCH(99, 輔助計算!$F$2:$F$801, 0)+1)), "")&lt;&gt;"", IFERROR(INDEX(ERP資料!$A:$A, (MATCH(99, 輔助計算!$F$2:$F$801, 0)+1)), "")&lt;&gt;IFERROR(INDEX(ERP資料!$A:$A, MATCH(98, 輔助計算!$F$2:$F$801, 0)+1), "")), INDEX(ERP資料!$S:$S, (MATCH(99, 輔助計算!$F$2:$F$801, 0)+1)), ""), "")</f>
        <v/>
      </c>
      <c r="D100" s="10">
        <f>IFERROR(IF(INDEX(ERP資料!$E:$E, (MATCH(99, 輔助計算!$F$2:$F$801, 0)+1))="","",TRIM(INDEX(ERP資料!$E:$E, (MATCH(99, 輔助計算!$F$2:$F$801, 0)+1)))), "")</f>
        <v/>
      </c>
      <c r="E100" s="10">
        <f>IFERROR(IF(INDEX(ERP資料!$F:$F, (MATCH(99, 輔助計算!$F$2:$F$801, 0)+1))="","",INDEX(ERP資料!$F:$F, (MATCH(99, 輔助計算!$F$2:$F$801, 0)+1))), "")</f>
        <v/>
      </c>
      <c r="F100" s="10">
        <f>IFERROR(IF(INDEX(ERP資料!$G:$G, (MATCH(99, 輔助計算!$F$2:$F$801, 0)+1))="","",INDEX(ERP資料!$G:$G, (MATCH(99, 輔助計算!$F$2:$F$801, 0)+1))), "")</f>
        <v/>
      </c>
      <c r="G100" s="10">
        <f>IFERROR(IF(INDEX(ERP資料!$H:$H, (MATCH(99, 輔助計算!$F$2:$F$801, 0)+1))="","",INDEX(ERP資料!$H:$H, (MATCH(99, 輔助計算!$F$2:$F$801, 0)+1))), "")</f>
        <v/>
      </c>
      <c r="H100" s="10">
        <f>IFERROR(IF(INDEX(ERP資料!$O:$O, (MATCH(99, 輔助計算!$F$2:$F$801, 0)+1))="","",INDEX(ERP資料!$O:$O, (MATCH(99, 輔助計算!$F$2:$F$801, 0)+1))), "")</f>
        <v/>
      </c>
      <c r="I100" s="15">
        <f>IFERROR(IF(INDEX(輔助計算!$D:$D,(MATCH(99, 輔助計算!$F$2:$F$801, 0)+1))="","",INDEX(輔助計算!$D:$D,(MATCH(99, 輔助計算!$F$2:$F$801, 0)+1))*INDEX(ERP資料!$O:$O,(MATCH(99, 輔助計算!$F$2:$F$801, 0)+1))), "")</f>
        <v/>
      </c>
      <c r="J100" s="16" t="n"/>
      <c r="K100" s="15">
        <f>IFERROR(INDEX(輔助計算!$D:$D, (MATCH(99, 輔助計算!$F$2:$F$801, 0)+1)), "")</f>
        <v/>
      </c>
      <c r="L100" s="16">
        <f>IFERROR(IF(AND(IFERROR(VLOOKUP(LEFT(INDEX(ERP資料!$S:$S, (MATCH(99, 輔助計算!$F$2:$F$801, 0)+1)), 4), 100張客戶!$A:$A, 1, FALSE), "")&lt;&gt;"", OR(INDEX(ERP資料!$F:$F, (MATCH(99, 輔助計算!$F$2:$F$801, 0)+1))=270, INDEX(ERP資料!$F:$F, (MATCH(99, 輔助計算!$F$2:$F$801, 0)+1))=300)), "100張", ""), "")</f>
        <v/>
      </c>
      <c r="M100" s="17" t="n"/>
      <c r="N100" s="17">
        <f>IF($F100="","",$F100)</f>
        <v/>
      </c>
      <c r="O100" s="17">
        <f>IF($G100="","",$G100)</f>
        <v/>
      </c>
      <c r="P100" s="17">
        <f>IF($K100="","",$K100)</f>
        <v/>
      </c>
      <c r="Q100" s="16" t="n"/>
      <c r="R100" s="18" t="n"/>
      <c r="S100" s="16" t="n"/>
    </row>
    <row r="101">
      <c r="A101" s="14">
        <f>IFERROR(IF(AND(IFERROR(INDEX(ERP資料!$A:$A, (MATCH(100, 輔助計算!$F$2:$F$801, 0)+1)), "")&lt;&gt;"", IFERROR(INDEX(ERP資料!$A:$A, (MATCH(100, 輔助計算!$F$2:$F$801, 0)+1)), "")&lt;&gt;IFERROR(INDEX(ERP資料!$A:$A, MATCH(99, 輔助計算!$F$2:$F$801, 0)+1), "")), INDEX(ERP資料!$B:$B, (MATCH(100, 輔助計算!$F$2:$F$801, 0)+1)), ""), "")</f>
        <v/>
      </c>
      <c r="B101" s="10">
        <f>IFERROR(IF(AND(IFERROR(INDEX(ERP資料!$A:$A, (MATCH(100, 輔助計算!$F$2:$F$801, 0)+1)), "")&lt;&gt;"", IFERROR(INDEX(ERP資料!$A:$A, (MATCH(100, 輔助計算!$F$2:$F$801, 0)+1)), "")&lt;&gt;IFERROR(INDEX(ERP資料!$A:$A, MATCH(99, 輔助計算!$F$2:$F$801, 0)+1), "")), IFERROR(INDEX(ERP資料!$A:$A, (MATCH(100, 輔助計算!$F$2:$F$801, 0)+1)), ""), ""), "")</f>
        <v/>
      </c>
      <c r="C101" s="10">
        <f>IFERROR(IF(AND(IFERROR(INDEX(ERP資料!$A:$A, (MATCH(100, 輔助計算!$F$2:$F$801, 0)+1)), "")&lt;&gt;"", IFERROR(INDEX(ERP資料!$A:$A, (MATCH(100, 輔助計算!$F$2:$F$801, 0)+1)), "")&lt;&gt;IFERROR(INDEX(ERP資料!$A:$A, MATCH(99, 輔助計算!$F$2:$F$801, 0)+1), "")), INDEX(ERP資料!$S:$S, (MATCH(100, 輔助計算!$F$2:$F$801, 0)+1)), ""), "")</f>
        <v/>
      </c>
      <c r="D101" s="10">
        <f>IFERROR(IF(INDEX(ERP資料!$E:$E, (MATCH(100, 輔助計算!$F$2:$F$801, 0)+1))="","",TRIM(INDEX(ERP資料!$E:$E, (MATCH(100, 輔助計算!$F$2:$F$801, 0)+1)))), "")</f>
        <v/>
      </c>
      <c r="E101" s="10">
        <f>IFERROR(IF(INDEX(ERP資料!$F:$F, (MATCH(100, 輔助計算!$F$2:$F$801, 0)+1))="","",INDEX(ERP資料!$F:$F, (MATCH(100, 輔助計算!$F$2:$F$801, 0)+1))), "")</f>
        <v/>
      </c>
      <c r="F101" s="10">
        <f>IFERROR(IF(INDEX(ERP資料!$G:$G, (MATCH(100, 輔助計算!$F$2:$F$801, 0)+1))="","",INDEX(ERP資料!$G:$G, (MATCH(100, 輔助計算!$F$2:$F$801, 0)+1))), "")</f>
        <v/>
      </c>
      <c r="G101" s="10">
        <f>IFERROR(IF(INDEX(ERP資料!$H:$H, (MATCH(100, 輔助計算!$F$2:$F$801, 0)+1))="","",INDEX(ERP資料!$H:$H, (MATCH(100, 輔助計算!$F$2:$F$801, 0)+1))), "")</f>
        <v/>
      </c>
      <c r="H101" s="10">
        <f>IFERROR(IF(INDEX(ERP資料!$O:$O, (MATCH(100, 輔助計算!$F$2:$F$801, 0)+1))="","",INDEX(ERP資料!$O:$O, (MATCH(100, 輔助計算!$F$2:$F$801, 0)+1))), "")</f>
        <v/>
      </c>
      <c r="I101" s="15">
        <f>IFERROR(IF(INDEX(輔助計算!$D:$D,(MATCH(100, 輔助計算!$F$2:$F$801, 0)+1))="","",INDEX(輔助計算!$D:$D,(MATCH(100, 輔助計算!$F$2:$F$801, 0)+1))*INDEX(ERP資料!$O:$O,(MATCH(100, 輔助計算!$F$2:$F$801, 0)+1))), "")</f>
        <v/>
      </c>
      <c r="J101" s="16" t="n"/>
      <c r="K101" s="15">
        <f>IFERROR(INDEX(輔助計算!$D:$D, (MATCH(100, 輔助計算!$F$2:$F$801, 0)+1)), "")</f>
        <v/>
      </c>
      <c r="L101" s="16">
        <f>IFERROR(IF(AND(IFERROR(VLOOKUP(LEFT(INDEX(ERP資料!$S:$S, (MATCH(100, 輔助計算!$F$2:$F$801, 0)+1)), 4), 100張客戶!$A:$A, 1, FALSE), "")&lt;&gt;"", OR(INDEX(ERP資料!$F:$F, (MATCH(100, 輔助計算!$F$2:$F$801, 0)+1))=270, INDEX(ERP資料!$F:$F, (MATCH(100, 輔助計算!$F$2:$F$801, 0)+1))=300)), "100張", ""), "")</f>
        <v/>
      </c>
      <c r="M101" s="17" t="n"/>
      <c r="N101" s="17">
        <f>IF($F101="","",$F101)</f>
        <v/>
      </c>
      <c r="O101" s="17">
        <f>IF($G101="","",$G101)</f>
        <v/>
      </c>
      <c r="P101" s="17">
        <f>IF($K101="","",$K101)</f>
        <v/>
      </c>
      <c r="Q101" s="16" t="n"/>
      <c r="R101" s="18" t="n"/>
      <c r="S101" s="16" t="n"/>
    </row>
    <row r="102">
      <c r="A102" s="14">
        <f>IFERROR(IF(AND(IFERROR(INDEX(ERP資料!$A:$A, (MATCH(101, 輔助計算!$F$2:$F$801, 0)+1)), "")&lt;&gt;"", IFERROR(INDEX(ERP資料!$A:$A, (MATCH(101, 輔助計算!$F$2:$F$801, 0)+1)), "")&lt;&gt;IFERROR(INDEX(ERP資料!$A:$A, MATCH(100, 輔助計算!$F$2:$F$801, 0)+1), "")), INDEX(ERP資料!$B:$B, (MATCH(101, 輔助計算!$F$2:$F$801, 0)+1)), ""), "")</f>
        <v/>
      </c>
      <c r="B102" s="10">
        <f>IFERROR(IF(AND(IFERROR(INDEX(ERP資料!$A:$A, (MATCH(101, 輔助計算!$F$2:$F$801, 0)+1)), "")&lt;&gt;"", IFERROR(INDEX(ERP資料!$A:$A, (MATCH(101, 輔助計算!$F$2:$F$801, 0)+1)), "")&lt;&gt;IFERROR(INDEX(ERP資料!$A:$A, MATCH(100, 輔助計算!$F$2:$F$801, 0)+1), "")), IFERROR(INDEX(ERP資料!$A:$A, (MATCH(101, 輔助計算!$F$2:$F$801, 0)+1)), ""), ""), "")</f>
        <v/>
      </c>
      <c r="C102" s="10">
        <f>IFERROR(IF(AND(IFERROR(INDEX(ERP資料!$A:$A, (MATCH(101, 輔助計算!$F$2:$F$801, 0)+1)), "")&lt;&gt;"", IFERROR(INDEX(ERP資料!$A:$A, (MATCH(101, 輔助計算!$F$2:$F$801, 0)+1)), "")&lt;&gt;IFERROR(INDEX(ERP資料!$A:$A, MATCH(100, 輔助計算!$F$2:$F$801, 0)+1), "")), INDEX(ERP資料!$S:$S, (MATCH(101, 輔助計算!$F$2:$F$801, 0)+1)), ""), "")</f>
        <v/>
      </c>
      <c r="D102" s="10">
        <f>IFERROR(IF(INDEX(ERP資料!$E:$E, (MATCH(101, 輔助計算!$F$2:$F$801, 0)+1))="","",TRIM(INDEX(ERP資料!$E:$E, (MATCH(101, 輔助計算!$F$2:$F$801, 0)+1)))), "")</f>
        <v/>
      </c>
      <c r="E102" s="10">
        <f>IFERROR(IF(INDEX(ERP資料!$F:$F, (MATCH(101, 輔助計算!$F$2:$F$801, 0)+1))="","",INDEX(ERP資料!$F:$F, (MATCH(101, 輔助計算!$F$2:$F$801, 0)+1))), "")</f>
        <v/>
      </c>
      <c r="F102" s="10">
        <f>IFERROR(IF(INDEX(ERP資料!$G:$G, (MATCH(101, 輔助計算!$F$2:$F$801, 0)+1))="","",INDEX(ERP資料!$G:$G, (MATCH(101, 輔助計算!$F$2:$F$801, 0)+1))), "")</f>
        <v/>
      </c>
      <c r="G102" s="10">
        <f>IFERROR(IF(INDEX(ERP資料!$H:$H, (MATCH(101, 輔助計算!$F$2:$F$801, 0)+1))="","",INDEX(ERP資料!$H:$H, (MATCH(101, 輔助計算!$F$2:$F$801, 0)+1))), "")</f>
        <v/>
      </c>
      <c r="H102" s="10">
        <f>IFERROR(IF(INDEX(ERP資料!$O:$O, (MATCH(101, 輔助計算!$F$2:$F$801, 0)+1))="","",INDEX(ERP資料!$O:$O, (MATCH(101, 輔助計算!$F$2:$F$801, 0)+1))), "")</f>
        <v/>
      </c>
      <c r="I102" s="15">
        <f>IFERROR(IF(INDEX(輔助計算!$D:$D,(MATCH(101, 輔助計算!$F$2:$F$801, 0)+1))="","",INDEX(輔助計算!$D:$D,(MATCH(101, 輔助計算!$F$2:$F$801, 0)+1))*INDEX(ERP資料!$O:$O,(MATCH(101, 輔助計算!$F$2:$F$801, 0)+1))), "")</f>
        <v/>
      </c>
      <c r="J102" s="16" t="n"/>
      <c r="K102" s="15">
        <f>IFERROR(INDEX(輔助計算!$D:$D, (MATCH(101, 輔助計算!$F$2:$F$801, 0)+1)), "")</f>
        <v/>
      </c>
      <c r="L102" s="16">
        <f>IFERROR(IF(AND(IFERROR(VLOOKUP(LEFT(INDEX(ERP資料!$S:$S, (MATCH(101, 輔助計算!$F$2:$F$801, 0)+1)), 4), 100張客戶!$A:$A, 1, FALSE), "")&lt;&gt;"", OR(INDEX(ERP資料!$F:$F, (MATCH(101, 輔助計算!$F$2:$F$801, 0)+1))=270, INDEX(ERP資料!$F:$F, (MATCH(101, 輔助計算!$F$2:$F$801, 0)+1))=300)), "100張", ""), "")</f>
        <v/>
      </c>
      <c r="M102" s="17" t="n"/>
      <c r="N102" s="17">
        <f>IF($F102="","",$F102)</f>
        <v/>
      </c>
      <c r="O102" s="17">
        <f>IF($G102="","",$G102)</f>
        <v/>
      </c>
      <c r="P102" s="17">
        <f>IF($K102="","",$K102)</f>
        <v/>
      </c>
      <c r="Q102" s="16" t="n"/>
      <c r="R102" s="18" t="n"/>
      <c r="S102" s="16" t="n"/>
    </row>
    <row r="103">
      <c r="A103" s="14">
        <f>IFERROR(IF(AND(IFERROR(INDEX(ERP資料!$A:$A, (MATCH(102, 輔助計算!$F$2:$F$801, 0)+1)), "")&lt;&gt;"", IFERROR(INDEX(ERP資料!$A:$A, (MATCH(102, 輔助計算!$F$2:$F$801, 0)+1)), "")&lt;&gt;IFERROR(INDEX(ERP資料!$A:$A, MATCH(101, 輔助計算!$F$2:$F$801, 0)+1), "")), INDEX(ERP資料!$B:$B, (MATCH(102, 輔助計算!$F$2:$F$801, 0)+1)), ""), "")</f>
        <v/>
      </c>
      <c r="B103" s="10">
        <f>IFERROR(IF(AND(IFERROR(INDEX(ERP資料!$A:$A, (MATCH(102, 輔助計算!$F$2:$F$801, 0)+1)), "")&lt;&gt;"", IFERROR(INDEX(ERP資料!$A:$A, (MATCH(102, 輔助計算!$F$2:$F$801, 0)+1)), "")&lt;&gt;IFERROR(INDEX(ERP資料!$A:$A, MATCH(101, 輔助計算!$F$2:$F$801, 0)+1), "")), IFERROR(INDEX(ERP資料!$A:$A, (MATCH(102, 輔助計算!$F$2:$F$801, 0)+1)), ""), ""), "")</f>
        <v/>
      </c>
      <c r="C103" s="10">
        <f>IFERROR(IF(AND(IFERROR(INDEX(ERP資料!$A:$A, (MATCH(102, 輔助計算!$F$2:$F$801, 0)+1)), "")&lt;&gt;"", IFERROR(INDEX(ERP資料!$A:$A, (MATCH(102, 輔助計算!$F$2:$F$801, 0)+1)), "")&lt;&gt;IFERROR(INDEX(ERP資料!$A:$A, MATCH(101, 輔助計算!$F$2:$F$801, 0)+1), "")), INDEX(ERP資料!$S:$S, (MATCH(102, 輔助計算!$F$2:$F$801, 0)+1)), ""), "")</f>
        <v/>
      </c>
      <c r="D103" s="10">
        <f>IFERROR(IF(INDEX(ERP資料!$E:$E, (MATCH(102, 輔助計算!$F$2:$F$801, 0)+1))="","",TRIM(INDEX(ERP資料!$E:$E, (MATCH(102, 輔助計算!$F$2:$F$801, 0)+1)))), "")</f>
        <v/>
      </c>
      <c r="E103" s="10">
        <f>IFERROR(IF(INDEX(ERP資料!$F:$F, (MATCH(102, 輔助計算!$F$2:$F$801, 0)+1))="","",INDEX(ERP資料!$F:$F, (MATCH(102, 輔助計算!$F$2:$F$801, 0)+1))), "")</f>
        <v/>
      </c>
      <c r="F103" s="10">
        <f>IFERROR(IF(INDEX(ERP資料!$G:$G, (MATCH(102, 輔助計算!$F$2:$F$801, 0)+1))="","",INDEX(ERP資料!$G:$G, (MATCH(102, 輔助計算!$F$2:$F$801, 0)+1))), "")</f>
        <v/>
      </c>
      <c r="G103" s="10">
        <f>IFERROR(IF(INDEX(ERP資料!$H:$H, (MATCH(102, 輔助計算!$F$2:$F$801, 0)+1))="","",INDEX(ERP資料!$H:$H, (MATCH(102, 輔助計算!$F$2:$F$801, 0)+1))), "")</f>
        <v/>
      </c>
      <c r="H103" s="10">
        <f>IFERROR(IF(INDEX(ERP資料!$O:$O, (MATCH(102, 輔助計算!$F$2:$F$801, 0)+1))="","",INDEX(ERP資料!$O:$O, (MATCH(102, 輔助計算!$F$2:$F$801, 0)+1))), "")</f>
        <v/>
      </c>
      <c r="I103" s="15">
        <f>IFERROR(IF(INDEX(輔助計算!$D:$D,(MATCH(102, 輔助計算!$F$2:$F$801, 0)+1))="","",INDEX(輔助計算!$D:$D,(MATCH(102, 輔助計算!$F$2:$F$801, 0)+1))*INDEX(ERP資料!$O:$O,(MATCH(102, 輔助計算!$F$2:$F$801, 0)+1))), "")</f>
        <v/>
      </c>
      <c r="J103" s="16" t="n"/>
      <c r="K103" s="15">
        <f>IFERROR(INDEX(輔助計算!$D:$D, (MATCH(102, 輔助計算!$F$2:$F$801, 0)+1)), "")</f>
        <v/>
      </c>
      <c r="L103" s="16">
        <f>IFERROR(IF(AND(IFERROR(VLOOKUP(LEFT(INDEX(ERP資料!$S:$S, (MATCH(102, 輔助計算!$F$2:$F$801, 0)+1)), 4), 100張客戶!$A:$A, 1, FALSE), "")&lt;&gt;"", OR(INDEX(ERP資料!$F:$F, (MATCH(102, 輔助計算!$F$2:$F$801, 0)+1))=270, INDEX(ERP資料!$F:$F, (MATCH(102, 輔助計算!$F$2:$F$801, 0)+1))=300)), "100張", ""), "")</f>
        <v/>
      </c>
      <c r="M103" s="17" t="n"/>
      <c r="N103" s="17">
        <f>IF($F103="","",$F103)</f>
        <v/>
      </c>
      <c r="O103" s="17">
        <f>IF($G103="","",$G103)</f>
        <v/>
      </c>
      <c r="P103" s="17">
        <f>IF($K103="","",$K103)</f>
        <v/>
      </c>
      <c r="Q103" s="16" t="n"/>
      <c r="R103" s="18" t="n"/>
      <c r="S103" s="16" t="n"/>
    </row>
    <row r="104">
      <c r="A104" s="14">
        <f>IFERROR(IF(AND(IFERROR(INDEX(ERP資料!$A:$A, (MATCH(103, 輔助計算!$F$2:$F$801, 0)+1)), "")&lt;&gt;"", IFERROR(INDEX(ERP資料!$A:$A, (MATCH(103, 輔助計算!$F$2:$F$801, 0)+1)), "")&lt;&gt;IFERROR(INDEX(ERP資料!$A:$A, MATCH(102, 輔助計算!$F$2:$F$801, 0)+1), "")), INDEX(ERP資料!$B:$B, (MATCH(103, 輔助計算!$F$2:$F$801, 0)+1)), ""), "")</f>
        <v/>
      </c>
      <c r="B104" s="10">
        <f>IFERROR(IF(AND(IFERROR(INDEX(ERP資料!$A:$A, (MATCH(103, 輔助計算!$F$2:$F$801, 0)+1)), "")&lt;&gt;"", IFERROR(INDEX(ERP資料!$A:$A, (MATCH(103, 輔助計算!$F$2:$F$801, 0)+1)), "")&lt;&gt;IFERROR(INDEX(ERP資料!$A:$A, MATCH(102, 輔助計算!$F$2:$F$801, 0)+1), "")), IFERROR(INDEX(ERP資料!$A:$A, (MATCH(103, 輔助計算!$F$2:$F$801, 0)+1)), ""), ""), "")</f>
        <v/>
      </c>
      <c r="C104" s="10">
        <f>IFERROR(IF(AND(IFERROR(INDEX(ERP資料!$A:$A, (MATCH(103, 輔助計算!$F$2:$F$801, 0)+1)), "")&lt;&gt;"", IFERROR(INDEX(ERP資料!$A:$A, (MATCH(103, 輔助計算!$F$2:$F$801, 0)+1)), "")&lt;&gt;IFERROR(INDEX(ERP資料!$A:$A, MATCH(102, 輔助計算!$F$2:$F$801, 0)+1), "")), INDEX(ERP資料!$S:$S, (MATCH(103, 輔助計算!$F$2:$F$801, 0)+1)), ""), "")</f>
        <v/>
      </c>
      <c r="D104" s="10">
        <f>IFERROR(IF(INDEX(ERP資料!$E:$E, (MATCH(103, 輔助計算!$F$2:$F$801, 0)+1))="","",TRIM(INDEX(ERP資料!$E:$E, (MATCH(103, 輔助計算!$F$2:$F$801, 0)+1)))), "")</f>
        <v/>
      </c>
      <c r="E104" s="10">
        <f>IFERROR(IF(INDEX(ERP資料!$F:$F, (MATCH(103, 輔助計算!$F$2:$F$801, 0)+1))="","",INDEX(ERP資料!$F:$F, (MATCH(103, 輔助計算!$F$2:$F$801, 0)+1))), "")</f>
        <v/>
      </c>
      <c r="F104" s="10">
        <f>IFERROR(IF(INDEX(ERP資料!$G:$G, (MATCH(103, 輔助計算!$F$2:$F$801, 0)+1))="","",INDEX(ERP資料!$G:$G, (MATCH(103, 輔助計算!$F$2:$F$801, 0)+1))), "")</f>
        <v/>
      </c>
      <c r="G104" s="10">
        <f>IFERROR(IF(INDEX(ERP資料!$H:$H, (MATCH(103, 輔助計算!$F$2:$F$801, 0)+1))="","",INDEX(ERP資料!$H:$H, (MATCH(103, 輔助計算!$F$2:$F$801, 0)+1))), "")</f>
        <v/>
      </c>
      <c r="H104" s="10">
        <f>IFERROR(IF(INDEX(ERP資料!$O:$O, (MATCH(103, 輔助計算!$F$2:$F$801, 0)+1))="","",INDEX(ERP資料!$O:$O, (MATCH(103, 輔助計算!$F$2:$F$801, 0)+1))), "")</f>
        <v/>
      </c>
      <c r="I104" s="15">
        <f>IFERROR(IF(INDEX(輔助計算!$D:$D,(MATCH(103, 輔助計算!$F$2:$F$801, 0)+1))="","",INDEX(輔助計算!$D:$D,(MATCH(103, 輔助計算!$F$2:$F$801, 0)+1))*INDEX(ERP資料!$O:$O,(MATCH(103, 輔助計算!$F$2:$F$801, 0)+1))), "")</f>
        <v/>
      </c>
      <c r="J104" s="16" t="n"/>
      <c r="K104" s="15">
        <f>IFERROR(INDEX(輔助計算!$D:$D, (MATCH(103, 輔助計算!$F$2:$F$801, 0)+1)), "")</f>
        <v/>
      </c>
      <c r="L104" s="16">
        <f>IFERROR(IF(AND(IFERROR(VLOOKUP(LEFT(INDEX(ERP資料!$S:$S, (MATCH(103, 輔助計算!$F$2:$F$801, 0)+1)), 4), 100張客戶!$A:$A, 1, FALSE), "")&lt;&gt;"", OR(INDEX(ERP資料!$F:$F, (MATCH(103, 輔助計算!$F$2:$F$801, 0)+1))=270, INDEX(ERP資料!$F:$F, (MATCH(103, 輔助計算!$F$2:$F$801, 0)+1))=300)), "100張", ""), "")</f>
        <v/>
      </c>
      <c r="M104" s="17" t="n"/>
      <c r="N104" s="17">
        <f>IF($F104="","",$F104)</f>
        <v/>
      </c>
      <c r="O104" s="17">
        <f>IF($G104="","",$G104)</f>
        <v/>
      </c>
      <c r="P104" s="17">
        <f>IF($K104="","",$K104)</f>
        <v/>
      </c>
      <c r="Q104" s="16" t="n"/>
      <c r="R104" s="18" t="n"/>
      <c r="S104" s="16" t="n"/>
    </row>
    <row r="105">
      <c r="A105" s="14">
        <f>IFERROR(IF(AND(IFERROR(INDEX(ERP資料!$A:$A, (MATCH(104, 輔助計算!$F$2:$F$801, 0)+1)), "")&lt;&gt;"", IFERROR(INDEX(ERP資料!$A:$A, (MATCH(104, 輔助計算!$F$2:$F$801, 0)+1)), "")&lt;&gt;IFERROR(INDEX(ERP資料!$A:$A, MATCH(103, 輔助計算!$F$2:$F$801, 0)+1), "")), INDEX(ERP資料!$B:$B, (MATCH(104, 輔助計算!$F$2:$F$801, 0)+1)), ""), "")</f>
        <v/>
      </c>
      <c r="B105" s="10">
        <f>IFERROR(IF(AND(IFERROR(INDEX(ERP資料!$A:$A, (MATCH(104, 輔助計算!$F$2:$F$801, 0)+1)), "")&lt;&gt;"", IFERROR(INDEX(ERP資料!$A:$A, (MATCH(104, 輔助計算!$F$2:$F$801, 0)+1)), "")&lt;&gt;IFERROR(INDEX(ERP資料!$A:$A, MATCH(103, 輔助計算!$F$2:$F$801, 0)+1), "")), IFERROR(INDEX(ERP資料!$A:$A, (MATCH(104, 輔助計算!$F$2:$F$801, 0)+1)), ""), ""), "")</f>
        <v/>
      </c>
      <c r="C105" s="10">
        <f>IFERROR(IF(AND(IFERROR(INDEX(ERP資料!$A:$A, (MATCH(104, 輔助計算!$F$2:$F$801, 0)+1)), "")&lt;&gt;"", IFERROR(INDEX(ERP資料!$A:$A, (MATCH(104, 輔助計算!$F$2:$F$801, 0)+1)), "")&lt;&gt;IFERROR(INDEX(ERP資料!$A:$A, MATCH(103, 輔助計算!$F$2:$F$801, 0)+1), "")), INDEX(ERP資料!$S:$S, (MATCH(104, 輔助計算!$F$2:$F$801, 0)+1)), ""), "")</f>
        <v/>
      </c>
      <c r="D105" s="10">
        <f>IFERROR(IF(INDEX(ERP資料!$E:$E, (MATCH(104, 輔助計算!$F$2:$F$801, 0)+1))="","",TRIM(INDEX(ERP資料!$E:$E, (MATCH(104, 輔助計算!$F$2:$F$801, 0)+1)))), "")</f>
        <v/>
      </c>
      <c r="E105" s="10">
        <f>IFERROR(IF(INDEX(ERP資料!$F:$F, (MATCH(104, 輔助計算!$F$2:$F$801, 0)+1))="","",INDEX(ERP資料!$F:$F, (MATCH(104, 輔助計算!$F$2:$F$801, 0)+1))), "")</f>
        <v/>
      </c>
      <c r="F105" s="10">
        <f>IFERROR(IF(INDEX(ERP資料!$G:$G, (MATCH(104, 輔助計算!$F$2:$F$801, 0)+1))="","",INDEX(ERP資料!$G:$G, (MATCH(104, 輔助計算!$F$2:$F$801, 0)+1))), "")</f>
        <v/>
      </c>
      <c r="G105" s="10">
        <f>IFERROR(IF(INDEX(ERP資料!$H:$H, (MATCH(104, 輔助計算!$F$2:$F$801, 0)+1))="","",INDEX(ERP資料!$H:$H, (MATCH(104, 輔助計算!$F$2:$F$801, 0)+1))), "")</f>
        <v/>
      </c>
      <c r="H105" s="10">
        <f>IFERROR(IF(INDEX(ERP資料!$O:$O, (MATCH(104, 輔助計算!$F$2:$F$801, 0)+1))="","",INDEX(ERP資料!$O:$O, (MATCH(104, 輔助計算!$F$2:$F$801, 0)+1))), "")</f>
        <v/>
      </c>
      <c r="I105" s="15">
        <f>IFERROR(IF(INDEX(輔助計算!$D:$D,(MATCH(104, 輔助計算!$F$2:$F$801, 0)+1))="","",INDEX(輔助計算!$D:$D,(MATCH(104, 輔助計算!$F$2:$F$801, 0)+1))*INDEX(ERP資料!$O:$O,(MATCH(104, 輔助計算!$F$2:$F$801, 0)+1))), "")</f>
        <v/>
      </c>
      <c r="J105" s="16" t="n"/>
      <c r="K105" s="15">
        <f>IFERROR(INDEX(輔助計算!$D:$D, (MATCH(104, 輔助計算!$F$2:$F$801, 0)+1)), "")</f>
        <v/>
      </c>
      <c r="L105" s="16">
        <f>IFERROR(IF(AND(IFERROR(VLOOKUP(LEFT(INDEX(ERP資料!$S:$S, (MATCH(104, 輔助計算!$F$2:$F$801, 0)+1)), 4), 100張客戶!$A:$A, 1, FALSE), "")&lt;&gt;"", OR(INDEX(ERP資料!$F:$F, (MATCH(104, 輔助計算!$F$2:$F$801, 0)+1))=270, INDEX(ERP資料!$F:$F, (MATCH(104, 輔助計算!$F$2:$F$801, 0)+1))=300)), "100張", ""), "")</f>
        <v/>
      </c>
      <c r="M105" s="17" t="n"/>
      <c r="N105" s="17">
        <f>IF($F105="","",$F105)</f>
        <v/>
      </c>
      <c r="O105" s="17">
        <f>IF($G105="","",$G105)</f>
        <v/>
      </c>
      <c r="P105" s="17">
        <f>IF($K105="","",$K105)</f>
        <v/>
      </c>
      <c r="Q105" s="16" t="n"/>
      <c r="R105" s="18" t="n"/>
      <c r="S105" s="16" t="n"/>
    </row>
    <row r="106">
      <c r="A106" s="14">
        <f>IFERROR(IF(AND(IFERROR(INDEX(ERP資料!$A:$A, (MATCH(105, 輔助計算!$F$2:$F$801, 0)+1)), "")&lt;&gt;"", IFERROR(INDEX(ERP資料!$A:$A, (MATCH(105, 輔助計算!$F$2:$F$801, 0)+1)), "")&lt;&gt;IFERROR(INDEX(ERP資料!$A:$A, MATCH(104, 輔助計算!$F$2:$F$801, 0)+1), "")), INDEX(ERP資料!$B:$B, (MATCH(105, 輔助計算!$F$2:$F$801, 0)+1)), ""), "")</f>
        <v/>
      </c>
      <c r="B106" s="10">
        <f>IFERROR(IF(AND(IFERROR(INDEX(ERP資料!$A:$A, (MATCH(105, 輔助計算!$F$2:$F$801, 0)+1)), "")&lt;&gt;"", IFERROR(INDEX(ERP資料!$A:$A, (MATCH(105, 輔助計算!$F$2:$F$801, 0)+1)), "")&lt;&gt;IFERROR(INDEX(ERP資料!$A:$A, MATCH(104, 輔助計算!$F$2:$F$801, 0)+1), "")), IFERROR(INDEX(ERP資料!$A:$A, (MATCH(105, 輔助計算!$F$2:$F$801, 0)+1)), ""), ""), "")</f>
        <v/>
      </c>
      <c r="C106" s="10">
        <f>IFERROR(IF(AND(IFERROR(INDEX(ERP資料!$A:$A, (MATCH(105, 輔助計算!$F$2:$F$801, 0)+1)), "")&lt;&gt;"", IFERROR(INDEX(ERP資料!$A:$A, (MATCH(105, 輔助計算!$F$2:$F$801, 0)+1)), "")&lt;&gt;IFERROR(INDEX(ERP資料!$A:$A, MATCH(104, 輔助計算!$F$2:$F$801, 0)+1), "")), INDEX(ERP資料!$S:$S, (MATCH(105, 輔助計算!$F$2:$F$801, 0)+1)), ""), "")</f>
        <v/>
      </c>
      <c r="D106" s="10">
        <f>IFERROR(IF(INDEX(ERP資料!$E:$E, (MATCH(105, 輔助計算!$F$2:$F$801, 0)+1))="","",TRIM(INDEX(ERP資料!$E:$E, (MATCH(105, 輔助計算!$F$2:$F$801, 0)+1)))), "")</f>
        <v/>
      </c>
      <c r="E106" s="10">
        <f>IFERROR(IF(INDEX(ERP資料!$F:$F, (MATCH(105, 輔助計算!$F$2:$F$801, 0)+1))="","",INDEX(ERP資料!$F:$F, (MATCH(105, 輔助計算!$F$2:$F$801, 0)+1))), "")</f>
        <v/>
      </c>
      <c r="F106" s="10">
        <f>IFERROR(IF(INDEX(ERP資料!$G:$G, (MATCH(105, 輔助計算!$F$2:$F$801, 0)+1))="","",INDEX(ERP資料!$G:$G, (MATCH(105, 輔助計算!$F$2:$F$801, 0)+1))), "")</f>
        <v/>
      </c>
      <c r="G106" s="10">
        <f>IFERROR(IF(INDEX(ERP資料!$H:$H, (MATCH(105, 輔助計算!$F$2:$F$801, 0)+1))="","",INDEX(ERP資料!$H:$H, (MATCH(105, 輔助計算!$F$2:$F$801, 0)+1))), "")</f>
        <v/>
      </c>
      <c r="H106" s="10">
        <f>IFERROR(IF(INDEX(ERP資料!$O:$O, (MATCH(105, 輔助計算!$F$2:$F$801, 0)+1))="","",INDEX(ERP資料!$O:$O, (MATCH(105, 輔助計算!$F$2:$F$801, 0)+1))), "")</f>
        <v/>
      </c>
      <c r="I106" s="15">
        <f>IFERROR(IF(INDEX(輔助計算!$D:$D,(MATCH(105, 輔助計算!$F$2:$F$801, 0)+1))="","",INDEX(輔助計算!$D:$D,(MATCH(105, 輔助計算!$F$2:$F$801, 0)+1))*INDEX(ERP資料!$O:$O,(MATCH(105, 輔助計算!$F$2:$F$801, 0)+1))), "")</f>
        <v/>
      </c>
      <c r="J106" s="16" t="n"/>
      <c r="K106" s="15">
        <f>IFERROR(INDEX(輔助計算!$D:$D, (MATCH(105, 輔助計算!$F$2:$F$801, 0)+1)), "")</f>
        <v/>
      </c>
      <c r="L106" s="16">
        <f>IFERROR(IF(AND(IFERROR(VLOOKUP(LEFT(INDEX(ERP資料!$S:$S, (MATCH(105, 輔助計算!$F$2:$F$801, 0)+1)), 4), 100張客戶!$A:$A, 1, FALSE), "")&lt;&gt;"", OR(INDEX(ERP資料!$F:$F, (MATCH(105, 輔助計算!$F$2:$F$801, 0)+1))=270, INDEX(ERP資料!$F:$F, (MATCH(105, 輔助計算!$F$2:$F$801, 0)+1))=300)), "100張", ""), "")</f>
        <v/>
      </c>
      <c r="M106" s="17" t="n"/>
      <c r="N106" s="17">
        <f>IF($F106="","",$F106)</f>
        <v/>
      </c>
      <c r="O106" s="17">
        <f>IF($G106="","",$G106)</f>
        <v/>
      </c>
      <c r="P106" s="17">
        <f>IF($K106="","",$K106)</f>
        <v/>
      </c>
      <c r="Q106" s="16" t="n"/>
      <c r="R106" s="18" t="n"/>
      <c r="S106" s="16" t="n"/>
    </row>
    <row r="107">
      <c r="A107" s="14">
        <f>IFERROR(IF(AND(IFERROR(INDEX(ERP資料!$A:$A, (MATCH(106, 輔助計算!$F$2:$F$801, 0)+1)), "")&lt;&gt;"", IFERROR(INDEX(ERP資料!$A:$A, (MATCH(106, 輔助計算!$F$2:$F$801, 0)+1)), "")&lt;&gt;IFERROR(INDEX(ERP資料!$A:$A, MATCH(105, 輔助計算!$F$2:$F$801, 0)+1), "")), INDEX(ERP資料!$B:$B, (MATCH(106, 輔助計算!$F$2:$F$801, 0)+1)), ""), "")</f>
        <v/>
      </c>
      <c r="B107" s="10">
        <f>IFERROR(IF(AND(IFERROR(INDEX(ERP資料!$A:$A, (MATCH(106, 輔助計算!$F$2:$F$801, 0)+1)), "")&lt;&gt;"", IFERROR(INDEX(ERP資料!$A:$A, (MATCH(106, 輔助計算!$F$2:$F$801, 0)+1)), "")&lt;&gt;IFERROR(INDEX(ERP資料!$A:$A, MATCH(105, 輔助計算!$F$2:$F$801, 0)+1), "")), IFERROR(INDEX(ERP資料!$A:$A, (MATCH(106, 輔助計算!$F$2:$F$801, 0)+1)), ""), ""), "")</f>
        <v/>
      </c>
      <c r="C107" s="10">
        <f>IFERROR(IF(AND(IFERROR(INDEX(ERP資料!$A:$A, (MATCH(106, 輔助計算!$F$2:$F$801, 0)+1)), "")&lt;&gt;"", IFERROR(INDEX(ERP資料!$A:$A, (MATCH(106, 輔助計算!$F$2:$F$801, 0)+1)), "")&lt;&gt;IFERROR(INDEX(ERP資料!$A:$A, MATCH(105, 輔助計算!$F$2:$F$801, 0)+1), "")), INDEX(ERP資料!$S:$S, (MATCH(106, 輔助計算!$F$2:$F$801, 0)+1)), ""), "")</f>
        <v/>
      </c>
      <c r="D107" s="10">
        <f>IFERROR(IF(INDEX(ERP資料!$E:$E, (MATCH(106, 輔助計算!$F$2:$F$801, 0)+1))="","",TRIM(INDEX(ERP資料!$E:$E, (MATCH(106, 輔助計算!$F$2:$F$801, 0)+1)))), "")</f>
        <v/>
      </c>
      <c r="E107" s="10">
        <f>IFERROR(IF(INDEX(ERP資料!$F:$F, (MATCH(106, 輔助計算!$F$2:$F$801, 0)+1))="","",INDEX(ERP資料!$F:$F, (MATCH(106, 輔助計算!$F$2:$F$801, 0)+1))), "")</f>
        <v/>
      </c>
      <c r="F107" s="10">
        <f>IFERROR(IF(INDEX(ERP資料!$G:$G, (MATCH(106, 輔助計算!$F$2:$F$801, 0)+1))="","",INDEX(ERP資料!$G:$G, (MATCH(106, 輔助計算!$F$2:$F$801, 0)+1))), "")</f>
        <v/>
      </c>
      <c r="G107" s="10">
        <f>IFERROR(IF(INDEX(ERP資料!$H:$H, (MATCH(106, 輔助計算!$F$2:$F$801, 0)+1))="","",INDEX(ERP資料!$H:$H, (MATCH(106, 輔助計算!$F$2:$F$801, 0)+1))), "")</f>
        <v/>
      </c>
      <c r="H107" s="10">
        <f>IFERROR(IF(INDEX(ERP資料!$O:$O, (MATCH(106, 輔助計算!$F$2:$F$801, 0)+1))="","",INDEX(ERP資料!$O:$O, (MATCH(106, 輔助計算!$F$2:$F$801, 0)+1))), "")</f>
        <v/>
      </c>
      <c r="I107" s="15">
        <f>IFERROR(IF(INDEX(輔助計算!$D:$D,(MATCH(106, 輔助計算!$F$2:$F$801, 0)+1))="","",INDEX(輔助計算!$D:$D,(MATCH(106, 輔助計算!$F$2:$F$801, 0)+1))*INDEX(ERP資料!$O:$O,(MATCH(106, 輔助計算!$F$2:$F$801, 0)+1))), "")</f>
        <v/>
      </c>
      <c r="J107" s="16" t="n"/>
      <c r="K107" s="15">
        <f>IFERROR(INDEX(輔助計算!$D:$D, (MATCH(106, 輔助計算!$F$2:$F$801, 0)+1)), "")</f>
        <v/>
      </c>
      <c r="L107" s="16">
        <f>IFERROR(IF(AND(IFERROR(VLOOKUP(LEFT(INDEX(ERP資料!$S:$S, (MATCH(106, 輔助計算!$F$2:$F$801, 0)+1)), 4), 100張客戶!$A:$A, 1, FALSE), "")&lt;&gt;"", OR(INDEX(ERP資料!$F:$F, (MATCH(106, 輔助計算!$F$2:$F$801, 0)+1))=270, INDEX(ERP資料!$F:$F, (MATCH(106, 輔助計算!$F$2:$F$801, 0)+1))=300)), "100張", ""), "")</f>
        <v/>
      </c>
      <c r="M107" s="17" t="n"/>
      <c r="N107" s="17">
        <f>IF($F107="","",$F107)</f>
        <v/>
      </c>
      <c r="O107" s="17">
        <f>IF($G107="","",$G107)</f>
        <v/>
      </c>
      <c r="P107" s="17">
        <f>IF($K107="","",$K107)</f>
        <v/>
      </c>
      <c r="Q107" s="16" t="n"/>
      <c r="R107" s="18" t="n"/>
      <c r="S107" s="16" t="n"/>
    </row>
    <row r="108">
      <c r="A108" s="14">
        <f>IFERROR(IF(AND(IFERROR(INDEX(ERP資料!$A:$A, (MATCH(107, 輔助計算!$F$2:$F$801, 0)+1)), "")&lt;&gt;"", IFERROR(INDEX(ERP資料!$A:$A, (MATCH(107, 輔助計算!$F$2:$F$801, 0)+1)), "")&lt;&gt;IFERROR(INDEX(ERP資料!$A:$A, MATCH(106, 輔助計算!$F$2:$F$801, 0)+1), "")), INDEX(ERP資料!$B:$B, (MATCH(107, 輔助計算!$F$2:$F$801, 0)+1)), ""), "")</f>
        <v/>
      </c>
      <c r="B108" s="10">
        <f>IFERROR(IF(AND(IFERROR(INDEX(ERP資料!$A:$A, (MATCH(107, 輔助計算!$F$2:$F$801, 0)+1)), "")&lt;&gt;"", IFERROR(INDEX(ERP資料!$A:$A, (MATCH(107, 輔助計算!$F$2:$F$801, 0)+1)), "")&lt;&gt;IFERROR(INDEX(ERP資料!$A:$A, MATCH(106, 輔助計算!$F$2:$F$801, 0)+1), "")), IFERROR(INDEX(ERP資料!$A:$A, (MATCH(107, 輔助計算!$F$2:$F$801, 0)+1)), ""), ""), "")</f>
        <v/>
      </c>
      <c r="C108" s="10">
        <f>IFERROR(IF(AND(IFERROR(INDEX(ERP資料!$A:$A, (MATCH(107, 輔助計算!$F$2:$F$801, 0)+1)), "")&lt;&gt;"", IFERROR(INDEX(ERP資料!$A:$A, (MATCH(107, 輔助計算!$F$2:$F$801, 0)+1)), "")&lt;&gt;IFERROR(INDEX(ERP資料!$A:$A, MATCH(106, 輔助計算!$F$2:$F$801, 0)+1), "")), INDEX(ERP資料!$S:$S, (MATCH(107, 輔助計算!$F$2:$F$801, 0)+1)), ""), "")</f>
        <v/>
      </c>
      <c r="D108" s="10">
        <f>IFERROR(IF(INDEX(ERP資料!$E:$E, (MATCH(107, 輔助計算!$F$2:$F$801, 0)+1))="","",TRIM(INDEX(ERP資料!$E:$E, (MATCH(107, 輔助計算!$F$2:$F$801, 0)+1)))), "")</f>
        <v/>
      </c>
      <c r="E108" s="10">
        <f>IFERROR(IF(INDEX(ERP資料!$F:$F, (MATCH(107, 輔助計算!$F$2:$F$801, 0)+1))="","",INDEX(ERP資料!$F:$F, (MATCH(107, 輔助計算!$F$2:$F$801, 0)+1))), "")</f>
        <v/>
      </c>
      <c r="F108" s="10">
        <f>IFERROR(IF(INDEX(ERP資料!$G:$G, (MATCH(107, 輔助計算!$F$2:$F$801, 0)+1))="","",INDEX(ERP資料!$G:$G, (MATCH(107, 輔助計算!$F$2:$F$801, 0)+1))), "")</f>
        <v/>
      </c>
      <c r="G108" s="10">
        <f>IFERROR(IF(INDEX(ERP資料!$H:$H, (MATCH(107, 輔助計算!$F$2:$F$801, 0)+1))="","",INDEX(ERP資料!$H:$H, (MATCH(107, 輔助計算!$F$2:$F$801, 0)+1))), "")</f>
        <v/>
      </c>
      <c r="H108" s="10">
        <f>IFERROR(IF(INDEX(ERP資料!$O:$O, (MATCH(107, 輔助計算!$F$2:$F$801, 0)+1))="","",INDEX(ERP資料!$O:$O, (MATCH(107, 輔助計算!$F$2:$F$801, 0)+1))), "")</f>
        <v/>
      </c>
      <c r="I108" s="15">
        <f>IFERROR(IF(INDEX(輔助計算!$D:$D,(MATCH(107, 輔助計算!$F$2:$F$801, 0)+1))="","",INDEX(輔助計算!$D:$D,(MATCH(107, 輔助計算!$F$2:$F$801, 0)+1))*INDEX(ERP資料!$O:$O,(MATCH(107, 輔助計算!$F$2:$F$801, 0)+1))), "")</f>
        <v/>
      </c>
      <c r="J108" s="16" t="n"/>
      <c r="K108" s="15">
        <f>IFERROR(INDEX(輔助計算!$D:$D, (MATCH(107, 輔助計算!$F$2:$F$801, 0)+1)), "")</f>
        <v/>
      </c>
      <c r="L108" s="16">
        <f>IFERROR(IF(AND(IFERROR(VLOOKUP(LEFT(INDEX(ERP資料!$S:$S, (MATCH(107, 輔助計算!$F$2:$F$801, 0)+1)), 4), 100張客戶!$A:$A, 1, FALSE), "")&lt;&gt;"", OR(INDEX(ERP資料!$F:$F, (MATCH(107, 輔助計算!$F$2:$F$801, 0)+1))=270, INDEX(ERP資料!$F:$F, (MATCH(107, 輔助計算!$F$2:$F$801, 0)+1))=300)), "100張", ""), "")</f>
        <v/>
      </c>
      <c r="M108" s="17" t="n"/>
      <c r="N108" s="17">
        <f>IF($F108="","",$F108)</f>
        <v/>
      </c>
      <c r="O108" s="17">
        <f>IF($G108="","",$G108)</f>
        <v/>
      </c>
      <c r="P108" s="17">
        <f>IF($K108="","",$K108)</f>
        <v/>
      </c>
      <c r="Q108" s="16" t="n"/>
      <c r="R108" s="18" t="n"/>
      <c r="S108" s="16" t="n"/>
    </row>
    <row r="109">
      <c r="A109" s="14">
        <f>IFERROR(IF(AND(IFERROR(INDEX(ERP資料!$A:$A, (MATCH(108, 輔助計算!$F$2:$F$801, 0)+1)), "")&lt;&gt;"", IFERROR(INDEX(ERP資料!$A:$A, (MATCH(108, 輔助計算!$F$2:$F$801, 0)+1)), "")&lt;&gt;IFERROR(INDEX(ERP資料!$A:$A, MATCH(107, 輔助計算!$F$2:$F$801, 0)+1), "")), INDEX(ERP資料!$B:$B, (MATCH(108, 輔助計算!$F$2:$F$801, 0)+1)), ""), "")</f>
        <v/>
      </c>
      <c r="B109" s="10">
        <f>IFERROR(IF(AND(IFERROR(INDEX(ERP資料!$A:$A, (MATCH(108, 輔助計算!$F$2:$F$801, 0)+1)), "")&lt;&gt;"", IFERROR(INDEX(ERP資料!$A:$A, (MATCH(108, 輔助計算!$F$2:$F$801, 0)+1)), "")&lt;&gt;IFERROR(INDEX(ERP資料!$A:$A, MATCH(107, 輔助計算!$F$2:$F$801, 0)+1), "")), IFERROR(INDEX(ERP資料!$A:$A, (MATCH(108, 輔助計算!$F$2:$F$801, 0)+1)), ""), ""), "")</f>
        <v/>
      </c>
      <c r="C109" s="10">
        <f>IFERROR(IF(AND(IFERROR(INDEX(ERP資料!$A:$A, (MATCH(108, 輔助計算!$F$2:$F$801, 0)+1)), "")&lt;&gt;"", IFERROR(INDEX(ERP資料!$A:$A, (MATCH(108, 輔助計算!$F$2:$F$801, 0)+1)), "")&lt;&gt;IFERROR(INDEX(ERP資料!$A:$A, MATCH(107, 輔助計算!$F$2:$F$801, 0)+1), "")), INDEX(ERP資料!$S:$S, (MATCH(108, 輔助計算!$F$2:$F$801, 0)+1)), ""), "")</f>
        <v/>
      </c>
      <c r="D109" s="10">
        <f>IFERROR(IF(INDEX(ERP資料!$E:$E, (MATCH(108, 輔助計算!$F$2:$F$801, 0)+1))="","",TRIM(INDEX(ERP資料!$E:$E, (MATCH(108, 輔助計算!$F$2:$F$801, 0)+1)))), "")</f>
        <v/>
      </c>
      <c r="E109" s="10">
        <f>IFERROR(IF(INDEX(ERP資料!$F:$F, (MATCH(108, 輔助計算!$F$2:$F$801, 0)+1))="","",INDEX(ERP資料!$F:$F, (MATCH(108, 輔助計算!$F$2:$F$801, 0)+1))), "")</f>
        <v/>
      </c>
      <c r="F109" s="10">
        <f>IFERROR(IF(INDEX(ERP資料!$G:$G, (MATCH(108, 輔助計算!$F$2:$F$801, 0)+1))="","",INDEX(ERP資料!$G:$G, (MATCH(108, 輔助計算!$F$2:$F$801, 0)+1))), "")</f>
        <v/>
      </c>
      <c r="G109" s="10">
        <f>IFERROR(IF(INDEX(ERP資料!$H:$H, (MATCH(108, 輔助計算!$F$2:$F$801, 0)+1))="","",INDEX(ERP資料!$H:$H, (MATCH(108, 輔助計算!$F$2:$F$801, 0)+1))), "")</f>
        <v/>
      </c>
      <c r="H109" s="10">
        <f>IFERROR(IF(INDEX(ERP資料!$O:$O, (MATCH(108, 輔助計算!$F$2:$F$801, 0)+1))="","",INDEX(ERP資料!$O:$O, (MATCH(108, 輔助計算!$F$2:$F$801, 0)+1))), "")</f>
        <v/>
      </c>
      <c r="I109" s="15">
        <f>IFERROR(IF(INDEX(輔助計算!$D:$D,(MATCH(108, 輔助計算!$F$2:$F$801, 0)+1))="","",INDEX(輔助計算!$D:$D,(MATCH(108, 輔助計算!$F$2:$F$801, 0)+1))*INDEX(ERP資料!$O:$O,(MATCH(108, 輔助計算!$F$2:$F$801, 0)+1))), "")</f>
        <v/>
      </c>
      <c r="J109" s="16" t="n"/>
      <c r="K109" s="15">
        <f>IFERROR(INDEX(輔助計算!$D:$D, (MATCH(108, 輔助計算!$F$2:$F$801, 0)+1)), "")</f>
        <v/>
      </c>
      <c r="L109" s="16">
        <f>IFERROR(IF(AND(IFERROR(VLOOKUP(LEFT(INDEX(ERP資料!$S:$S, (MATCH(108, 輔助計算!$F$2:$F$801, 0)+1)), 4), 100張客戶!$A:$A, 1, FALSE), "")&lt;&gt;"", OR(INDEX(ERP資料!$F:$F, (MATCH(108, 輔助計算!$F$2:$F$801, 0)+1))=270, INDEX(ERP資料!$F:$F, (MATCH(108, 輔助計算!$F$2:$F$801, 0)+1))=300)), "100張", ""), "")</f>
        <v/>
      </c>
      <c r="M109" s="17" t="n"/>
      <c r="N109" s="17">
        <f>IF($F109="","",$F109)</f>
        <v/>
      </c>
      <c r="O109" s="17">
        <f>IF($G109="","",$G109)</f>
        <v/>
      </c>
      <c r="P109" s="17">
        <f>IF($K109="","",$K109)</f>
        <v/>
      </c>
      <c r="Q109" s="16" t="n"/>
      <c r="R109" s="18" t="n"/>
      <c r="S109" s="16" t="n"/>
    </row>
    <row r="110">
      <c r="A110" s="14">
        <f>IFERROR(IF(AND(IFERROR(INDEX(ERP資料!$A:$A, (MATCH(109, 輔助計算!$F$2:$F$801, 0)+1)), "")&lt;&gt;"", IFERROR(INDEX(ERP資料!$A:$A, (MATCH(109, 輔助計算!$F$2:$F$801, 0)+1)), "")&lt;&gt;IFERROR(INDEX(ERP資料!$A:$A, MATCH(108, 輔助計算!$F$2:$F$801, 0)+1), "")), INDEX(ERP資料!$B:$B, (MATCH(109, 輔助計算!$F$2:$F$801, 0)+1)), ""), "")</f>
        <v/>
      </c>
      <c r="B110" s="10">
        <f>IFERROR(IF(AND(IFERROR(INDEX(ERP資料!$A:$A, (MATCH(109, 輔助計算!$F$2:$F$801, 0)+1)), "")&lt;&gt;"", IFERROR(INDEX(ERP資料!$A:$A, (MATCH(109, 輔助計算!$F$2:$F$801, 0)+1)), "")&lt;&gt;IFERROR(INDEX(ERP資料!$A:$A, MATCH(108, 輔助計算!$F$2:$F$801, 0)+1), "")), IFERROR(INDEX(ERP資料!$A:$A, (MATCH(109, 輔助計算!$F$2:$F$801, 0)+1)), ""), ""), "")</f>
        <v/>
      </c>
      <c r="C110" s="10">
        <f>IFERROR(IF(AND(IFERROR(INDEX(ERP資料!$A:$A, (MATCH(109, 輔助計算!$F$2:$F$801, 0)+1)), "")&lt;&gt;"", IFERROR(INDEX(ERP資料!$A:$A, (MATCH(109, 輔助計算!$F$2:$F$801, 0)+1)), "")&lt;&gt;IFERROR(INDEX(ERP資料!$A:$A, MATCH(108, 輔助計算!$F$2:$F$801, 0)+1), "")), INDEX(ERP資料!$S:$S, (MATCH(109, 輔助計算!$F$2:$F$801, 0)+1)), ""), "")</f>
        <v/>
      </c>
      <c r="D110" s="10">
        <f>IFERROR(IF(INDEX(ERP資料!$E:$E, (MATCH(109, 輔助計算!$F$2:$F$801, 0)+1))="","",TRIM(INDEX(ERP資料!$E:$E, (MATCH(109, 輔助計算!$F$2:$F$801, 0)+1)))), "")</f>
        <v/>
      </c>
      <c r="E110" s="10">
        <f>IFERROR(IF(INDEX(ERP資料!$F:$F, (MATCH(109, 輔助計算!$F$2:$F$801, 0)+1))="","",INDEX(ERP資料!$F:$F, (MATCH(109, 輔助計算!$F$2:$F$801, 0)+1))), "")</f>
        <v/>
      </c>
      <c r="F110" s="10">
        <f>IFERROR(IF(INDEX(ERP資料!$G:$G, (MATCH(109, 輔助計算!$F$2:$F$801, 0)+1))="","",INDEX(ERP資料!$G:$G, (MATCH(109, 輔助計算!$F$2:$F$801, 0)+1))), "")</f>
        <v/>
      </c>
      <c r="G110" s="10">
        <f>IFERROR(IF(INDEX(ERP資料!$H:$H, (MATCH(109, 輔助計算!$F$2:$F$801, 0)+1))="","",INDEX(ERP資料!$H:$H, (MATCH(109, 輔助計算!$F$2:$F$801, 0)+1))), "")</f>
        <v/>
      </c>
      <c r="H110" s="10">
        <f>IFERROR(IF(INDEX(ERP資料!$O:$O, (MATCH(109, 輔助計算!$F$2:$F$801, 0)+1))="","",INDEX(ERP資料!$O:$O, (MATCH(109, 輔助計算!$F$2:$F$801, 0)+1))), "")</f>
        <v/>
      </c>
      <c r="I110" s="15">
        <f>IFERROR(IF(INDEX(輔助計算!$D:$D,(MATCH(109, 輔助計算!$F$2:$F$801, 0)+1))="","",INDEX(輔助計算!$D:$D,(MATCH(109, 輔助計算!$F$2:$F$801, 0)+1))*INDEX(ERP資料!$O:$O,(MATCH(109, 輔助計算!$F$2:$F$801, 0)+1))), "")</f>
        <v/>
      </c>
      <c r="J110" s="16" t="n"/>
      <c r="K110" s="15">
        <f>IFERROR(INDEX(輔助計算!$D:$D, (MATCH(109, 輔助計算!$F$2:$F$801, 0)+1)), "")</f>
        <v/>
      </c>
      <c r="L110" s="16">
        <f>IFERROR(IF(AND(IFERROR(VLOOKUP(LEFT(INDEX(ERP資料!$S:$S, (MATCH(109, 輔助計算!$F$2:$F$801, 0)+1)), 4), 100張客戶!$A:$A, 1, FALSE), "")&lt;&gt;"", OR(INDEX(ERP資料!$F:$F, (MATCH(109, 輔助計算!$F$2:$F$801, 0)+1))=270, INDEX(ERP資料!$F:$F, (MATCH(109, 輔助計算!$F$2:$F$801, 0)+1))=300)), "100張", ""), "")</f>
        <v/>
      </c>
      <c r="M110" s="17" t="n"/>
      <c r="N110" s="17">
        <f>IF($F110="","",$F110)</f>
        <v/>
      </c>
      <c r="O110" s="17">
        <f>IF($G110="","",$G110)</f>
        <v/>
      </c>
      <c r="P110" s="17">
        <f>IF($K110="","",$K110)</f>
        <v/>
      </c>
      <c r="Q110" s="16" t="n"/>
      <c r="R110" s="18" t="n"/>
      <c r="S110" s="16" t="n"/>
    </row>
    <row r="111">
      <c r="A111" s="14">
        <f>IFERROR(IF(AND(IFERROR(INDEX(ERP資料!$A:$A, (MATCH(110, 輔助計算!$F$2:$F$801, 0)+1)), "")&lt;&gt;"", IFERROR(INDEX(ERP資料!$A:$A, (MATCH(110, 輔助計算!$F$2:$F$801, 0)+1)), "")&lt;&gt;IFERROR(INDEX(ERP資料!$A:$A, MATCH(109, 輔助計算!$F$2:$F$801, 0)+1), "")), INDEX(ERP資料!$B:$B, (MATCH(110, 輔助計算!$F$2:$F$801, 0)+1)), ""), "")</f>
        <v/>
      </c>
      <c r="B111" s="10">
        <f>IFERROR(IF(AND(IFERROR(INDEX(ERP資料!$A:$A, (MATCH(110, 輔助計算!$F$2:$F$801, 0)+1)), "")&lt;&gt;"", IFERROR(INDEX(ERP資料!$A:$A, (MATCH(110, 輔助計算!$F$2:$F$801, 0)+1)), "")&lt;&gt;IFERROR(INDEX(ERP資料!$A:$A, MATCH(109, 輔助計算!$F$2:$F$801, 0)+1), "")), IFERROR(INDEX(ERP資料!$A:$A, (MATCH(110, 輔助計算!$F$2:$F$801, 0)+1)), ""), ""), "")</f>
        <v/>
      </c>
      <c r="C111" s="10">
        <f>IFERROR(IF(AND(IFERROR(INDEX(ERP資料!$A:$A, (MATCH(110, 輔助計算!$F$2:$F$801, 0)+1)), "")&lt;&gt;"", IFERROR(INDEX(ERP資料!$A:$A, (MATCH(110, 輔助計算!$F$2:$F$801, 0)+1)), "")&lt;&gt;IFERROR(INDEX(ERP資料!$A:$A, MATCH(109, 輔助計算!$F$2:$F$801, 0)+1), "")), INDEX(ERP資料!$S:$S, (MATCH(110, 輔助計算!$F$2:$F$801, 0)+1)), ""), "")</f>
        <v/>
      </c>
      <c r="D111" s="10">
        <f>IFERROR(IF(INDEX(ERP資料!$E:$E, (MATCH(110, 輔助計算!$F$2:$F$801, 0)+1))="","",TRIM(INDEX(ERP資料!$E:$E, (MATCH(110, 輔助計算!$F$2:$F$801, 0)+1)))), "")</f>
        <v/>
      </c>
      <c r="E111" s="10">
        <f>IFERROR(IF(INDEX(ERP資料!$F:$F, (MATCH(110, 輔助計算!$F$2:$F$801, 0)+1))="","",INDEX(ERP資料!$F:$F, (MATCH(110, 輔助計算!$F$2:$F$801, 0)+1))), "")</f>
        <v/>
      </c>
      <c r="F111" s="10">
        <f>IFERROR(IF(INDEX(ERP資料!$G:$G, (MATCH(110, 輔助計算!$F$2:$F$801, 0)+1))="","",INDEX(ERP資料!$G:$G, (MATCH(110, 輔助計算!$F$2:$F$801, 0)+1))), "")</f>
        <v/>
      </c>
      <c r="G111" s="10">
        <f>IFERROR(IF(INDEX(ERP資料!$H:$H, (MATCH(110, 輔助計算!$F$2:$F$801, 0)+1))="","",INDEX(ERP資料!$H:$H, (MATCH(110, 輔助計算!$F$2:$F$801, 0)+1))), "")</f>
        <v/>
      </c>
      <c r="H111" s="10">
        <f>IFERROR(IF(INDEX(ERP資料!$O:$O, (MATCH(110, 輔助計算!$F$2:$F$801, 0)+1))="","",INDEX(ERP資料!$O:$O, (MATCH(110, 輔助計算!$F$2:$F$801, 0)+1))), "")</f>
        <v/>
      </c>
      <c r="I111" s="15">
        <f>IFERROR(IF(INDEX(輔助計算!$D:$D,(MATCH(110, 輔助計算!$F$2:$F$801, 0)+1))="","",INDEX(輔助計算!$D:$D,(MATCH(110, 輔助計算!$F$2:$F$801, 0)+1))*INDEX(ERP資料!$O:$O,(MATCH(110, 輔助計算!$F$2:$F$801, 0)+1))), "")</f>
        <v/>
      </c>
      <c r="J111" s="16" t="n"/>
      <c r="K111" s="15">
        <f>IFERROR(INDEX(輔助計算!$D:$D, (MATCH(110, 輔助計算!$F$2:$F$801, 0)+1)), "")</f>
        <v/>
      </c>
      <c r="L111" s="16">
        <f>IFERROR(IF(AND(IFERROR(VLOOKUP(LEFT(INDEX(ERP資料!$S:$S, (MATCH(110, 輔助計算!$F$2:$F$801, 0)+1)), 4), 100張客戶!$A:$A, 1, FALSE), "")&lt;&gt;"", OR(INDEX(ERP資料!$F:$F, (MATCH(110, 輔助計算!$F$2:$F$801, 0)+1))=270, INDEX(ERP資料!$F:$F, (MATCH(110, 輔助計算!$F$2:$F$801, 0)+1))=300)), "100張", ""), "")</f>
        <v/>
      </c>
      <c r="M111" s="17" t="n"/>
      <c r="N111" s="17">
        <f>IF($F111="","",$F111)</f>
        <v/>
      </c>
      <c r="O111" s="17">
        <f>IF($G111="","",$G111)</f>
        <v/>
      </c>
      <c r="P111" s="17">
        <f>IF($K111="","",$K111)</f>
        <v/>
      </c>
      <c r="Q111" s="16" t="n"/>
      <c r="R111" s="18" t="n"/>
      <c r="S111" s="16" t="n"/>
    </row>
    <row r="112">
      <c r="A112" s="14">
        <f>IFERROR(IF(AND(IFERROR(INDEX(ERP資料!$A:$A, (MATCH(111, 輔助計算!$F$2:$F$801, 0)+1)), "")&lt;&gt;"", IFERROR(INDEX(ERP資料!$A:$A, (MATCH(111, 輔助計算!$F$2:$F$801, 0)+1)), "")&lt;&gt;IFERROR(INDEX(ERP資料!$A:$A, MATCH(110, 輔助計算!$F$2:$F$801, 0)+1), "")), INDEX(ERP資料!$B:$B, (MATCH(111, 輔助計算!$F$2:$F$801, 0)+1)), ""), "")</f>
        <v/>
      </c>
      <c r="B112" s="10">
        <f>IFERROR(IF(AND(IFERROR(INDEX(ERP資料!$A:$A, (MATCH(111, 輔助計算!$F$2:$F$801, 0)+1)), "")&lt;&gt;"", IFERROR(INDEX(ERP資料!$A:$A, (MATCH(111, 輔助計算!$F$2:$F$801, 0)+1)), "")&lt;&gt;IFERROR(INDEX(ERP資料!$A:$A, MATCH(110, 輔助計算!$F$2:$F$801, 0)+1), "")), IFERROR(INDEX(ERP資料!$A:$A, (MATCH(111, 輔助計算!$F$2:$F$801, 0)+1)), ""), ""), "")</f>
        <v/>
      </c>
      <c r="C112" s="10">
        <f>IFERROR(IF(AND(IFERROR(INDEX(ERP資料!$A:$A, (MATCH(111, 輔助計算!$F$2:$F$801, 0)+1)), "")&lt;&gt;"", IFERROR(INDEX(ERP資料!$A:$A, (MATCH(111, 輔助計算!$F$2:$F$801, 0)+1)), "")&lt;&gt;IFERROR(INDEX(ERP資料!$A:$A, MATCH(110, 輔助計算!$F$2:$F$801, 0)+1), "")), INDEX(ERP資料!$S:$S, (MATCH(111, 輔助計算!$F$2:$F$801, 0)+1)), ""), "")</f>
        <v/>
      </c>
      <c r="D112" s="10">
        <f>IFERROR(IF(INDEX(ERP資料!$E:$E, (MATCH(111, 輔助計算!$F$2:$F$801, 0)+1))="","",TRIM(INDEX(ERP資料!$E:$E, (MATCH(111, 輔助計算!$F$2:$F$801, 0)+1)))), "")</f>
        <v/>
      </c>
      <c r="E112" s="10">
        <f>IFERROR(IF(INDEX(ERP資料!$F:$F, (MATCH(111, 輔助計算!$F$2:$F$801, 0)+1))="","",INDEX(ERP資料!$F:$F, (MATCH(111, 輔助計算!$F$2:$F$801, 0)+1))), "")</f>
        <v/>
      </c>
      <c r="F112" s="10">
        <f>IFERROR(IF(INDEX(ERP資料!$G:$G, (MATCH(111, 輔助計算!$F$2:$F$801, 0)+1))="","",INDEX(ERP資料!$G:$G, (MATCH(111, 輔助計算!$F$2:$F$801, 0)+1))), "")</f>
        <v/>
      </c>
      <c r="G112" s="10">
        <f>IFERROR(IF(INDEX(ERP資料!$H:$H, (MATCH(111, 輔助計算!$F$2:$F$801, 0)+1))="","",INDEX(ERP資料!$H:$H, (MATCH(111, 輔助計算!$F$2:$F$801, 0)+1))), "")</f>
        <v/>
      </c>
      <c r="H112" s="10">
        <f>IFERROR(IF(INDEX(ERP資料!$O:$O, (MATCH(111, 輔助計算!$F$2:$F$801, 0)+1))="","",INDEX(ERP資料!$O:$O, (MATCH(111, 輔助計算!$F$2:$F$801, 0)+1))), "")</f>
        <v/>
      </c>
      <c r="I112" s="15">
        <f>IFERROR(IF(INDEX(輔助計算!$D:$D,(MATCH(111, 輔助計算!$F$2:$F$801, 0)+1))="","",INDEX(輔助計算!$D:$D,(MATCH(111, 輔助計算!$F$2:$F$801, 0)+1))*INDEX(ERP資料!$O:$O,(MATCH(111, 輔助計算!$F$2:$F$801, 0)+1))), "")</f>
        <v/>
      </c>
      <c r="J112" s="16" t="n"/>
      <c r="K112" s="15">
        <f>IFERROR(INDEX(輔助計算!$D:$D, (MATCH(111, 輔助計算!$F$2:$F$801, 0)+1)), "")</f>
        <v/>
      </c>
      <c r="L112" s="16">
        <f>IFERROR(IF(AND(IFERROR(VLOOKUP(LEFT(INDEX(ERP資料!$S:$S, (MATCH(111, 輔助計算!$F$2:$F$801, 0)+1)), 4), 100張客戶!$A:$A, 1, FALSE), "")&lt;&gt;"", OR(INDEX(ERP資料!$F:$F, (MATCH(111, 輔助計算!$F$2:$F$801, 0)+1))=270, INDEX(ERP資料!$F:$F, (MATCH(111, 輔助計算!$F$2:$F$801, 0)+1))=300)), "100張", ""), "")</f>
        <v/>
      </c>
      <c r="M112" s="17" t="n"/>
      <c r="N112" s="17">
        <f>IF($F112="","",$F112)</f>
        <v/>
      </c>
      <c r="O112" s="17">
        <f>IF($G112="","",$G112)</f>
        <v/>
      </c>
      <c r="P112" s="17">
        <f>IF($K112="","",$K112)</f>
        <v/>
      </c>
      <c r="Q112" s="16" t="n"/>
      <c r="R112" s="18" t="n"/>
      <c r="S112" s="16" t="n"/>
    </row>
    <row r="113">
      <c r="A113" s="14">
        <f>IFERROR(IF(AND(IFERROR(INDEX(ERP資料!$A:$A, (MATCH(112, 輔助計算!$F$2:$F$801, 0)+1)), "")&lt;&gt;"", IFERROR(INDEX(ERP資料!$A:$A, (MATCH(112, 輔助計算!$F$2:$F$801, 0)+1)), "")&lt;&gt;IFERROR(INDEX(ERP資料!$A:$A, MATCH(111, 輔助計算!$F$2:$F$801, 0)+1), "")), INDEX(ERP資料!$B:$B, (MATCH(112, 輔助計算!$F$2:$F$801, 0)+1)), ""), "")</f>
        <v/>
      </c>
      <c r="B113" s="10">
        <f>IFERROR(IF(AND(IFERROR(INDEX(ERP資料!$A:$A, (MATCH(112, 輔助計算!$F$2:$F$801, 0)+1)), "")&lt;&gt;"", IFERROR(INDEX(ERP資料!$A:$A, (MATCH(112, 輔助計算!$F$2:$F$801, 0)+1)), "")&lt;&gt;IFERROR(INDEX(ERP資料!$A:$A, MATCH(111, 輔助計算!$F$2:$F$801, 0)+1), "")), IFERROR(INDEX(ERP資料!$A:$A, (MATCH(112, 輔助計算!$F$2:$F$801, 0)+1)), ""), ""), "")</f>
        <v/>
      </c>
      <c r="C113" s="10">
        <f>IFERROR(IF(AND(IFERROR(INDEX(ERP資料!$A:$A, (MATCH(112, 輔助計算!$F$2:$F$801, 0)+1)), "")&lt;&gt;"", IFERROR(INDEX(ERP資料!$A:$A, (MATCH(112, 輔助計算!$F$2:$F$801, 0)+1)), "")&lt;&gt;IFERROR(INDEX(ERP資料!$A:$A, MATCH(111, 輔助計算!$F$2:$F$801, 0)+1), "")), INDEX(ERP資料!$S:$S, (MATCH(112, 輔助計算!$F$2:$F$801, 0)+1)), ""), "")</f>
        <v/>
      </c>
      <c r="D113" s="10">
        <f>IFERROR(IF(INDEX(ERP資料!$E:$E, (MATCH(112, 輔助計算!$F$2:$F$801, 0)+1))="","",TRIM(INDEX(ERP資料!$E:$E, (MATCH(112, 輔助計算!$F$2:$F$801, 0)+1)))), "")</f>
        <v/>
      </c>
      <c r="E113" s="10">
        <f>IFERROR(IF(INDEX(ERP資料!$F:$F, (MATCH(112, 輔助計算!$F$2:$F$801, 0)+1))="","",INDEX(ERP資料!$F:$F, (MATCH(112, 輔助計算!$F$2:$F$801, 0)+1))), "")</f>
        <v/>
      </c>
      <c r="F113" s="10">
        <f>IFERROR(IF(INDEX(ERP資料!$G:$G, (MATCH(112, 輔助計算!$F$2:$F$801, 0)+1))="","",INDEX(ERP資料!$G:$G, (MATCH(112, 輔助計算!$F$2:$F$801, 0)+1))), "")</f>
        <v/>
      </c>
      <c r="G113" s="10">
        <f>IFERROR(IF(INDEX(ERP資料!$H:$H, (MATCH(112, 輔助計算!$F$2:$F$801, 0)+1))="","",INDEX(ERP資料!$H:$H, (MATCH(112, 輔助計算!$F$2:$F$801, 0)+1))), "")</f>
        <v/>
      </c>
      <c r="H113" s="10">
        <f>IFERROR(IF(INDEX(ERP資料!$O:$O, (MATCH(112, 輔助計算!$F$2:$F$801, 0)+1))="","",INDEX(ERP資料!$O:$O, (MATCH(112, 輔助計算!$F$2:$F$801, 0)+1))), "")</f>
        <v/>
      </c>
      <c r="I113" s="15">
        <f>IFERROR(IF(INDEX(輔助計算!$D:$D,(MATCH(112, 輔助計算!$F$2:$F$801, 0)+1))="","",INDEX(輔助計算!$D:$D,(MATCH(112, 輔助計算!$F$2:$F$801, 0)+1))*INDEX(ERP資料!$O:$O,(MATCH(112, 輔助計算!$F$2:$F$801, 0)+1))), "")</f>
        <v/>
      </c>
      <c r="J113" s="16" t="n"/>
      <c r="K113" s="15">
        <f>IFERROR(INDEX(輔助計算!$D:$D, (MATCH(112, 輔助計算!$F$2:$F$801, 0)+1)), "")</f>
        <v/>
      </c>
      <c r="L113" s="16">
        <f>IFERROR(IF(AND(IFERROR(VLOOKUP(LEFT(INDEX(ERP資料!$S:$S, (MATCH(112, 輔助計算!$F$2:$F$801, 0)+1)), 4), 100張客戶!$A:$A, 1, FALSE), "")&lt;&gt;"", OR(INDEX(ERP資料!$F:$F, (MATCH(112, 輔助計算!$F$2:$F$801, 0)+1))=270, INDEX(ERP資料!$F:$F, (MATCH(112, 輔助計算!$F$2:$F$801, 0)+1))=300)), "100張", ""), "")</f>
        <v/>
      </c>
      <c r="M113" s="17" t="n"/>
      <c r="N113" s="17">
        <f>IF($F113="","",$F113)</f>
        <v/>
      </c>
      <c r="O113" s="17">
        <f>IF($G113="","",$G113)</f>
        <v/>
      </c>
      <c r="P113" s="17">
        <f>IF($K113="","",$K113)</f>
        <v/>
      </c>
      <c r="Q113" s="16" t="n"/>
      <c r="R113" s="18" t="n"/>
      <c r="S113" s="16" t="n"/>
    </row>
    <row r="114">
      <c r="A114" s="14">
        <f>IFERROR(IF(AND(IFERROR(INDEX(ERP資料!$A:$A, (MATCH(113, 輔助計算!$F$2:$F$801, 0)+1)), "")&lt;&gt;"", IFERROR(INDEX(ERP資料!$A:$A, (MATCH(113, 輔助計算!$F$2:$F$801, 0)+1)), "")&lt;&gt;IFERROR(INDEX(ERP資料!$A:$A, MATCH(112, 輔助計算!$F$2:$F$801, 0)+1), "")), INDEX(ERP資料!$B:$B, (MATCH(113, 輔助計算!$F$2:$F$801, 0)+1)), ""), "")</f>
        <v/>
      </c>
      <c r="B114" s="10">
        <f>IFERROR(IF(AND(IFERROR(INDEX(ERP資料!$A:$A, (MATCH(113, 輔助計算!$F$2:$F$801, 0)+1)), "")&lt;&gt;"", IFERROR(INDEX(ERP資料!$A:$A, (MATCH(113, 輔助計算!$F$2:$F$801, 0)+1)), "")&lt;&gt;IFERROR(INDEX(ERP資料!$A:$A, MATCH(112, 輔助計算!$F$2:$F$801, 0)+1), "")), IFERROR(INDEX(ERP資料!$A:$A, (MATCH(113, 輔助計算!$F$2:$F$801, 0)+1)), ""), ""), "")</f>
        <v/>
      </c>
      <c r="C114" s="10">
        <f>IFERROR(IF(AND(IFERROR(INDEX(ERP資料!$A:$A, (MATCH(113, 輔助計算!$F$2:$F$801, 0)+1)), "")&lt;&gt;"", IFERROR(INDEX(ERP資料!$A:$A, (MATCH(113, 輔助計算!$F$2:$F$801, 0)+1)), "")&lt;&gt;IFERROR(INDEX(ERP資料!$A:$A, MATCH(112, 輔助計算!$F$2:$F$801, 0)+1), "")), INDEX(ERP資料!$S:$S, (MATCH(113, 輔助計算!$F$2:$F$801, 0)+1)), ""), "")</f>
        <v/>
      </c>
      <c r="D114" s="10">
        <f>IFERROR(IF(INDEX(ERP資料!$E:$E, (MATCH(113, 輔助計算!$F$2:$F$801, 0)+1))="","",TRIM(INDEX(ERP資料!$E:$E, (MATCH(113, 輔助計算!$F$2:$F$801, 0)+1)))), "")</f>
        <v/>
      </c>
      <c r="E114" s="10">
        <f>IFERROR(IF(INDEX(ERP資料!$F:$F, (MATCH(113, 輔助計算!$F$2:$F$801, 0)+1))="","",INDEX(ERP資料!$F:$F, (MATCH(113, 輔助計算!$F$2:$F$801, 0)+1))), "")</f>
        <v/>
      </c>
      <c r="F114" s="10">
        <f>IFERROR(IF(INDEX(ERP資料!$G:$G, (MATCH(113, 輔助計算!$F$2:$F$801, 0)+1))="","",INDEX(ERP資料!$G:$G, (MATCH(113, 輔助計算!$F$2:$F$801, 0)+1))), "")</f>
        <v/>
      </c>
      <c r="G114" s="10">
        <f>IFERROR(IF(INDEX(ERP資料!$H:$H, (MATCH(113, 輔助計算!$F$2:$F$801, 0)+1))="","",INDEX(ERP資料!$H:$H, (MATCH(113, 輔助計算!$F$2:$F$801, 0)+1))), "")</f>
        <v/>
      </c>
      <c r="H114" s="10">
        <f>IFERROR(IF(INDEX(ERP資料!$O:$O, (MATCH(113, 輔助計算!$F$2:$F$801, 0)+1))="","",INDEX(ERP資料!$O:$O, (MATCH(113, 輔助計算!$F$2:$F$801, 0)+1))), "")</f>
        <v/>
      </c>
      <c r="I114" s="15">
        <f>IFERROR(IF(INDEX(輔助計算!$D:$D,(MATCH(113, 輔助計算!$F$2:$F$801, 0)+1))="","",INDEX(輔助計算!$D:$D,(MATCH(113, 輔助計算!$F$2:$F$801, 0)+1))*INDEX(ERP資料!$O:$O,(MATCH(113, 輔助計算!$F$2:$F$801, 0)+1))), "")</f>
        <v/>
      </c>
      <c r="J114" s="16" t="n"/>
      <c r="K114" s="15">
        <f>IFERROR(INDEX(輔助計算!$D:$D, (MATCH(113, 輔助計算!$F$2:$F$801, 0)+1)), "")</f>
        <v/>
      </c>
      <c r="L114" s="16">
        <f>IFERROR(IF(AND(IFERROR(VLOOKUP(LEFT(INDEX(ERP資料!$S:$S, (MATCH(113, 輔助計算!$F$2:$F$801, 0)+1)), 4), 100張客戶!$A:$A, 1, FALSE), "")&lt;&gt;"", OR(INDEX(ERP資料!$F:$F, (MATCH(113, 輔助計算!$F$2:$F$801, 0)+1))=270, INDEX(ERP資料!$F:$F, (MATCH(113, 輔助計算!$F$2:$F$801, 0)+1))=300)), "100張", ""), "")</f>
        <v/>
      </c>
      <c r="M114" s="17" t="n"/>
      <c r="N114" s="17">
        <f>IF($F114="","",$F114)</f>
        <v/>
      </c>
      <c r="O114" s="17">
        <f>IF($G114="","",$G114)</f>
        <v/>
      </c>
      <c r="P114" s="17">
        <f>IF($K114="","",$K114)</f>
        <v/>
      </c>
      <c r="Q114" s="16" t="n"/>
      <c r="R114" s="18" t="n"/>
      <c r="S114" s="16" t="n"/>
    </row>
    <row r="115">
      <c r="A115" s="14">
        <f>IFERROR(IF(AND(IFERROR(INDEX(ERP資料!$A:$A, (MATCH(114, 輔助計算!$F$2:$F$801, 0)+1)), "")&lt;&gt;"", IFERROR(INDEX(ERP資料!$A:$A, (MATCH(114, 輔助計算!$F$2:$F$801, 0)+1)), "")&lt;&gt;IFERROR(INDEX(ERP資料!$A:$A, MATCH(113, 輔助計算!$F$2:$F$801, 0)+1), "")), INDEX(ERP資料!$B:$B, (MATCH(114, 輔助計算!$F$2:$F$801, 0)+1)), ""), "")</f>
        <v/>
      </c>
      <c r="B115" s="10">
        <f>IFERROR(IF(AND(IFERROR(INDEX(ERP資料!$A:$A, (MATCH(114, 輔助計算!$F$2:$F$801, 0)+1)), "")&lt;&gt;"", IFERROR(INDEX(ERP資料!$A:$A, (MATCH(114, 輔助計算!$F$2:$F$801, 0)+1)), "")&lt;&gt;IFERROR(INDEX(ERP資料!$A:$A, MATCH(113, 輔助計算!$F$2:$F$801, 0)+1), "")), IFERROR(INDEX(ERP資料!$A:$A, (MATCH(114, 輔助計算!$F$2:$F$801, 0)+1)), ""), ""), "")</f>
        <v/>
      </c>
      <c r="C115" s="10">
        <f>IFERROR(IF(AND(IFERROR(INDEX(ERP資料!$A:$A, (MATCH(114, 輔助計算!$F$2:$F$801, 0)+1)), "")&lt;&gt;"", IFERROR(INDEX(ERP資料!$A:$A, (MATCH(114, 輔助計算!$F$2:$F$801, 0)+1)), "")&lt;&gt;IFERROR(INDEX(ERP資料!$A:$A, MATCH(113, 輔助計算!$F$2:$F$801, 0)+1), "")), INDEX(ERP資料!$S:$S, (MATCH(114, 輔助計算!$F$2:$F$801, 0)+1)), ""), "")</f>
        <v/>
      </c>
      <c r="D115" s="10">
        <f>IFERROR(IF(INDEX(ERP資料!$E:$E, (MATCH(114, 輔助計算!$F$2:$F$801, 0)+1))="","",TRIM(INDEX(ERP資料!$E:$E, (MATCH(114, 輔助計算!$F$2:$F$801, 0)+1)))), "")</f>
        <v/>
      </c>
      <c r="E115" s="10">
        <f>IFERROR(IF(INDEX(ERP資料!$F:$F, (MATCH(114, 輔助計算!$F$2:$F$801, 0)+1))="","",INDEX(ERP資料!$F:$F, (MATCH(114, 輔助計算!$F$2:$F$801, 0)+1))), "")</f>
        <v/>
      </c>
      <c r="F115" s="10">
        <f>IFERROR(IF(INDEX(ERP資料!$G:$G, (MATCH(114, 輔助計算!$F$2:$F$801, 0)+1))="","",INDEX(ERP資料!$G:$G, (MATCH(114, 輔助計算!$F$2:$F$801, 0)+1))), "")</f>
        <v/>
      </c>
      <c r="G115" s="10">
        <f>IFERROR(IF(INDEX(ERP資料!$H:$H, (MATCH(114, 輔助計算!$F$2:$F$801, 0)+1))="","",INDEX(ERP資料!$H:$H, (MATCH(114, 輔助計算!$F$2:$F$801, 0)+1))), "")</f>
        <v/>
      </c>
      <c r="H115" s="10">
        <f>IFERROR(IF(INDEX(ERP資料!$O:$O, (MATCH(114, 輔助計算!$F$2:$F$801, 0)+1))="","",INDEX(ERP資料!$O:$O, (MATCH(114, 輔助計算!$F$2:$F$801, 0)+1))), "")</f>
        <v/>
      </c>
      <c r="I115" s="15">
        <f>IFERROR(IF(INDEX(輔助計算!$D:$D,(MATCH(114, 輔助計算!$F$2:$F$801, 0)+1))="","",INDEX(輔助計算!$D:$D,(MATCH(114, 輔助計算!$F$2:$F$801, 0)+1))*INDEX(ERP資料!$O:$O,(MATCH(114, 輔助計算!$F$2:$F$801, 0)+1))), "")</f>
        <v/>
      </c>
      <c r="J115" s="16" t="n"/>
      <c r="K115" s="15">
        <f>IFERROR(INDEX(輔助計算!$D:$D, (MATCH(114, 輔助計算!$F$2:$F$801, 0)+1)), "")</f>
        <v/>
      </c>
      <c r="L115" s="16">
        <f>IFERROR(IF(AND(IFERROR(VLOOKUP(LEFT(INDEX(ERP資料!$S:$S, (MATCH(114, 輔助計算!$F$2:$F$801, 0)+1)), 4), 100張客戶!$A:$A, 1, FALSE), "")&lt;&gt;"", OR(INDEX(ERP資料!$F:$F, (MATCH(114, 輔助計算!$F$2:$F$801, 0)+1))=270, INDEX(ERP資料!$F:$F, (MATCH(114, 輔助計算!$F$2:$F$801, 0)+1))=300)), "100張", ""), "")</f>
        <v/>
      </c>
      <c r="M115" s="17" t="n"/>
      <c r="N115" s="17">
        <f>IF($F115="","",$F115)</f>
        <v/>
      </c>
      <c r="O115" s="17">
        <f>IF($G115="","",$G115)</f>
        <v/>
      </c>
      <c r="P115" s="17">
        <f>IF($K115="","",$K115)</f>
        <v/>
      </c>
      <c r="Q115" s="16" t="n"/>
      <c r="R115" s="18" t="n"/>
      <c r="S115" s="16" t="n"/>
    </row>
    <row r="116">
      <c r="A116" s="14">
        <f>IFERROR(IF(AND(IFERROR(INDEX(ERP資料!$A:$A, (MATCH(115, 輔助計算!$F$2:$F$801, 0)+1)), "")&lt;&gt;"", IFERROR(INDEX(ERP資料!$A:$A, (MATCH(115, 輔助計算!$F$2:$F$801, 0)+1)), "")&lt;&gt;IFERROR(INDEX(ERP資料!$A:$A, MATCH(114, 輔助計算!$F$2:$F$801, 0)+1), "")), INDEX(ERP資料!$B:$B, (MATCH(115, 輔助計算!$F$2:$F$801, 0)+1)), ""), "")</f>
        <v/>
      </c>
      <c r="B116" s="10">
        <f>IFERROR(IF(AND(IFERROR(INDEX(ERP資料!$A:$A, (MATCH(115, 輔助計算!$F$2:$F$801, 0)+1)), "")&lt;&gt;"", IFERROR(INDEX(ERP資料!$A:$A, (MATCH(115, 輔助計算!$F$2:$F$801, 0)+1)), "")&lt;&gt;IFERROR(INDEX(ERP資料!$A:$A, MATCH(114, 輔助計算!$F$2:$F$801, 0)+1), "")), IFERROR(INDEX(ERP資料!$A:$A, (MATCH(115, 輔助計算!$F$2:$F$801, 0)+1)), ""), ""), "")</f>
        <v/>
      </c>
      <c r="C116" s="10">
        <f>IFERROR(IF(AND(IFERROR(INDEX(ERP資料!$A:$A, (MATCH(115, 輔助計算!$F$2:$F$801, 0)+1)), "")&lt;&gt;"", IFERROR(INDEX(ERP資料!$A:$A, (MATCH(115, 輔助計算!$F$2:$F$801, 0)+1)), "")&lt;&gt;IFERROR(INDEX(ERP資料!$A:$A, MATCH(114, 輔助計算!$F$2:$F$801, 0)+1), "")), INDEX(ERP資料!$S:$S, (MATCH(115, 輔助計算!$F$2:$F$801, 0)+1)), ""), "")</f>
        <v/>
      </c>
      <c r="D116" s="10">
        <f>IFERROR(IF(INDEX(ERP資料!$E:$E, (MATCH(115, 輔助計算!$F$2:$F$801, 0)+1))="","",TRIM(INDEX(ERP資料!$E:$E, (MATCH(115, 輔助計算!$F$2:$F$801, 0)+1)))), "")</f>
        <v/>
      </c>
      <c r="E116" s="10">
        <f>IFERROR(IF(INDEX(ERP資料!$F:$F, (MATCH(115, 輔助計算!$F$2:$F$801, 0)+1))="","",INDEX(ERP資料!$F:$F, (MATCH(115, 輔助計算!$F$2:$F$801, 0)+1))), "")</f>
        <v/>
      </c>
      <c r="F116" s="10">
        <f>IFERROR(IF(INDEX(ERP資料!$G:$G, (MATCH(115, 輔助計算!$F$2:$F$801, 0)+1))="","",INDEX(ERP資料!$G:$G, (MATCH(115, 輔助計算!$F$2:$F$801, 0)+1))), "")</f>
        <v/>
      </c>
      <c r="G116" s="10">
        <f>IFERROR(IF(INDEX(ERP資料!$H:$H, (MATCH(115, 輔助計算!$F$2:$F$801, 0)+1))="","",INDEX(ERP資料!$H:$H, (MATCH(115, 輔助計算!$F$2:$F$801, 0)+1))), "")</f>
        <v/>
      </c>
      <c r="H116" s="10">
        <f>IFERROR(IF(INDEX(ERP資料!$O:$O, (MATCH(115, 輔助計算!$F$2:$F$801, 0)+1))="","",INDEX(ERP資料!$O:$O, (MATCH(115, 輔助計算!$F$2:$F$801, 0)+1))), "")</f>
        <v/>
      </c>
      <c r="I116" s="15">
        <f>IFERROR(IF(INDEX(輔助計算!$D:$D,(MATCH(115, 輔助計算!$F$2:$F$801, 0)+1))="","",INDEX(輔助計算!$D:$D,(MATCH(115, 輔助計算!$F$2:$F$801, 0)+1))*INDEX(ERP資料!$O:$O,(MATCH(115, 輔助計算!$F$2:$F$801, 0)+1))), "")</f>
        <v/>
      </c>
      <c r="J116" s="16" t="n"/>
      <c r="K116" s="15">
        <f>IFERROR(INDEX(輔助計算!$D:$D, (MATCH(115, 輔助計算!$F$2:$F$801, 0)+1)), "")</f>
        <v/>
      </c>
      <c r="L116" s="16">
        <f>IFERROR(IF(AND(IFERROR(VLOOKUP(LEFT(INDEX(ERP資料!$S:$S, (MATCH(115, 輔助計算!$F$2:$F$801, 0)+1)), 4), 100張客戶!$A:$A, 1, FALSE), "")&lt;&gt;"", OR(INDEX(ERP資料!$F:$F, (MATCH(115, 輔助計算!$F$2:$F$801, 0)+1))=270, INDEX(ERP資料!$F:$F, (MATCH(115, 輔助計算!$F$2:$F$801, 0)+1))=300)), "100張", ""), "")</f>
        <v/>
      </c>
      <c r="M116" s="17" t="n"/>
      <c r="N116" s="17">
        <f>IF($F116="","",$F116)</f>
        <v/>
      </c>
      <c r="O116" s="17">
        <f>IF($G116="","",$G116)</f>
        <v/>
      </c>
      <c r="P116" s="17">
        <f>IF($K116="","",$K116)</f>
        <v/>
      </c>
      <c r="Q116" s="16" t="n"/>
      <c r="R116" s="18" t="n"/>
      <c r="S116" s="16" t="n"/>
    </row>
    <row r="117">
      <c r="A117" s="14">
        <f>IFERROR(IF(AND(IFERROR(INDEX(ERP資料!$A:$A, (MATCH(116, 輔助計算!$F$2:$F$801, 0)+1)), "")&lt;&gt;"", IFERROR(INDEX(ERP資料!$A:$A, (MATCH(116, 輔助計算!$F$2:$F$801, 0)+1)), "")&lt;&gt;IFERROR(INDEX(ERP資料!$A:$A, MATCH(115, 輔助計算!$F$2:$F$801, 0)+1), "")), INDEX(ERP資料!$B:$B, (MATCH(116, 輔助計算!$F$2:$F$801, 0)+1)), ""), "")</f>
        <v/>
      </c>
      <c r="B117" s="10">
        <f>IFERROR(IF(AND(IFERROR(INDEX(ERP資料!$A:$A, (MATCH(116, 輔助計算!$F$2:$F$801, 0)+1)), "")&lt;&gt;"", IFERROR(INDEX(ERP資料!$A:$A, (MATCH(116, 輔助計算!$F$2:$F$801, 0)+1)), "")&lt;&gt;IFERROR(INDEX(ERP資料!$A:$A, MATCH(115, 輔助計算!$F$2:$F$801, 0)+1), "")), IFERROR(INDEX(ERP資料!$A:$A, (MATCH(116, 輔助計算!$F$2:$F$801, 0)+1)), ""), ""), "")</f>
        <v/>
      </c>
      <c r="C117" s="10">
        <f>IFERROR(IF(AND(IFERROR(INDEX(ERP資料!$A:$A, (MATCH(116, 輔助計算!$F$2:$F$801, 0)+1)), "")&lt;&gt;"", IFERROR(INDEX(ERP資料!$A:$A, (MATCH(116, 輔助計算!$F$2:$F$801, 0)+1)), "")&lt;&gt;IFERROR(INDEX(ERP資料!$A:$A, MATCH(115, 輔助計算!$F$2:$F$801, 0)+1), "")), INDEX(ERP資料!$S:$S, (MATCH(116, 輔助計算!$F$2:$F$801, 0)+1)), ""), "")</f>
        <v/>
      </c>
      <c r="D117" s="10">
        <f>IFERROR(IF(INDEX(ERP資料!$E:$E, (MATCH(116, 輔助計算!$F$2:$F$801, 0)+1))="","",TRIM(INDEX(ERP資料!$E:$E, (MATCH(116, 輔助計算!$F$2:$F$801, 0)+1)))), "")</f>
        <v/>
      </c>
      <c r="E117" s="10">
        <f>IFERROR(IF(INDEX(ERP資料!$F:$F, (MATCH(116, 輔助計算!$F$2:$F$801, 0)+1))="","",INDEX(ERP資料!$F:$F, (MATCH(116, 輔助計算!$F$2:$F$801, 0)+1))), "")</f>
        <v/>
      </c>
      <c r="F117" s="10">
        <f>IFERROR(IF(INDEX(ERP資料!$G:$G, (MATCH(116, 輔助計算!$F$2:$F$801, 0)+1))="","",INDEX(ERP資料!$G:$G, (MATCH(116, 輔助計算!$F$2:$F$801, 0)+1))), "")</f>
        <v/>
      </c>
      <c r="G117" s="10">
        <f>IFERROR(IF(INDEX(ERP資料!$H:$H, (MATCH(116, 輔助計算!$F$2:$F$801, 0)+1))="","",INDEX(ERP資料!$H:$H, (MATCH(116, 輔助計算!$F$2:$F$801, 0)+1))), "")</f>
        <v/>
      </c>
      <c r="H117" s="10">
        <f>IFERROR(IF(INDEX(ERP資料!$O:$O, (MATCH(116, 輔助計算!$F$2:$F$801, 0)+1))="","",INDEX(ERP資料!$O:$O, (MATCH(116, 輔助計算!$F$2:$F$801, 0)+1))), "")</f>
        <v/>
      </c>
      <c r="I117" s="15">
        <f>IFERROR(IF(INDEX(輔助計算!$D:$D,(MATCH(116, 輔助計算!$F$2:$F$801, 0)+1))="","",INDEX(輔助計算!$D:$D,(MATCH(116, 輔助計算!$F$2:$F$801, 0)+1))*INDEX(ERP資料!$O:$O,(MATCH(116, 輔助計算!$F$2:$F$801, 0)+1))), "")</f>
        <v/>
      </c>
      <c r="J117" s="16" t="n"/>
      <c r="K117" s="15">
        <f>IFERROR(INDEX(輔助計算!$D:$D, (MATCH(116, 輔助計算!$F$2:$F$801, 0)+1)), "")</f>
        <v/>
      </c>
      <c r="L117" s="16">
        <f>IFERROR(IF(AND(IFERROR(VLOOKUP(LEFT(INDEX(ERP資料!$S:$S, (MATCH(116, 輔助計算!$F$2:$F$801, 0)+1)), 4), 100張客戶!$A:$A, 1, FALSE), "")&lt;&gt;"", OR(INDEX(ERP資料!$F:$F, (MATCH(116, 輔助計算!$F$2:$F$801, 0)+1))=270, INDEX(ERP資料!$F:$F, (MATCH(116, 輔助計算!$F$2:$F$801, 0)+1))=300)), "100張", ""), "")</f>
        <v/>
      </c>
      <c r="M117" s="17" t="n"/>
      <c r="N117" s="17">
        <f>IF($F117="","",$F117)</f>
        <v/>
      </c>
      <c r="O117" s="17">
        <f>IF($G117="","",$G117)</f>
        <v/>
      </c>
      <c r="P117" s="17">
        <f>IF($K117="","",$K117)</f>
        <v/>
      </c>
      <c r="Q117" s="16" t="n"/>
      <c r="R117" s="18" t="n"/>
      <c r="S117" s="16" t="n"/>
    </row>
    <row r="118">
      <c r="A118" s="14">
        <f>IFERROR(IF(AND(IFERROR(INDEX(ERP資料!$A:$A, (MATCH(117, 輔助計算!$F$2:$F$801, 0)+1)), "")&lt;&gt;"", IFERROR(INDEX(ERP資料!$A:$A, (MATCH(117, 輔助計算!$F$2:$F$801, 0)+1)), "")&lt;&gt;IFERROR(INDEX(ERP資料!$A:$A, MATCH(116, 輔助計算!$F$2:$F$801, 0)+1), "")), INDEX(ERP資料!$B:$B, (MATCH(117, 輔助計算!$F$2:$F$801, 0)+1)), ""), "")</f>
        <v/>
      </c>
      <c r="B118" s="10">
        <f>IFERROR(IF(AND(IFERROR(INDEX(ERP資料!$A:$A, (MATCH(117, 輔助計算!$F$2:$F$801, 0)+1)), "")&lt;&gt;"", IFERROR(INDEX(ERP資料!$A:$A, (MATCH(117, 輔助計算!$F$2:$F$801, 0)+1)), "")&lt;&gt;IFERROR(INDEX(ERP資料!$A:$A, MATCH(116, 輔助計算!$F$2:$F$801, 0)+1), "")), IFERROR(INDEX(ERP資料!$A:$A, (MATCH(117, 輔助計算!$F$2:$F$801, 0)+1)), ""), ""), "")</f>
        <v/>
      </c>
      <c r="C118" s="10">
        <f>IFERROR(IF(AND(IFERROR(INDEX(ERP資料!$A:$A, (MATCH(117, 輔助計算!$F$2:$F$801, 0)+1)), "")&lt;&gt;"", IFERROR(INDEX(ERP資料!$A:$A, (MATCH(117, 輔助計算!$F$2:$F$801, 0)+1)), "")&lt;&gt;IFERROR(INDEX(ERP資料!$A:$A, MATCH(116, 輔助計算!$F$2:$F$801, 0)+1), "")), INDEX(ERP資料!$S:$S, (MATCH(117, 輔助計算!$F$2:$F$801, 0)+1)), ""), "")</f>
        <v/>
      </c>
      <c r="D118" s="10">
        <f>IFERROR(IF(INDEX(ERP資料!$E:$E, (MATCH(117, 輔助計算!$F$2:$F$801, 0)+1))="","",TRIM(INDEX(ERP資料!$E:$E, (MATCH(117, 輔助計算!$F$2:$F$801, 0)+1)))), "")</f>
        <v/>
      </c>
      <c r="E118" s="10">
        <f>IFERROR(IF(INDEX(ERP資料!$F:$F, (MATCH(117, 輔助計算!$F$2:$F$801, 0)+1))="","",INDEX(ERP資料!$F:$F, (MATCH(117, 輔助計算!$F$2:$F$801, 0)+1))), "")</f>
        <v/>
      </c>
      <c r="F118" s="10">
        <f>IFERROR(IF(INDEX(ERP資料!$G:$G, (MATCH(117, 輔助計算!$F$2:$F$801, 0)+1))="","",INDEX(ERP資料!$G:$G, (MATCH(117, 輔助計算!$F$2:$F$801, 0)+1))), "")</f>
        <v/>
      </c>
      <c r="G118" s="10">
        <f>IFERROR(IF(INDEX(ERP資料!$H:$H, (MATCH(117, 輔助計算!$F$2:$F$801, 0)+1))="","",INDEX(ERP資料!$H:$H, (MATCH(117, 輔助計算!$F$2:$F$801, 0)+1))), "")</f>
        <v/>
      </c>
      <c r="H118" s="10">
        <f>IFERROR(IF(INDEX(ERP資料!$O:$O, (MATCH(117, 輔助計算!$F$2:$F$801, 0)+1))="","",INDEX(ERP資料!$O:$O, (MATCH(117, 輔助計算!$F$2:$F$801, 0)+1))), "")</f>
        <v/>
      </c>
      <c r="I118" s="15">
        <f>IFERROR(IF(INDEX(輔助計算!$D:$D,(MATCH(117, 輔助計算!$F$2:$F$801, 0)+1))="","",INDEX(輔助計算!$D:$D,(MATCH(117, 輔助計算!$F$2:$F$801, 0)+1))*INDEX(ERP資料!$O:$O,(MATCH(117, 輔助計算!$F$2:$F$801, 0)+1))), "")</f>
        <v/>
      </c>
      <c r="J118" s="16" t="n"/>
      <c r="K118" s="15">
        <f>IFERROR(INDEX(輔助計算!$D:$D, (MATCH(117, 輔助計算!$F$2:$F$801, 0)+1)), "")</f>
        <v/>
      </c>
      <c r="L118" s="16">
        <f>IFERROR(IF(AND(IFERROR(VLOOKUP(LEFT(INDEX(ERP資料!$S:$S, (MATCH(117, 輔助計算!$F$2:$F$801, 0)+1)), 4), 100張客戶!$A:$A, 1, FALSE), "")&lt;&gt;"", OR(INDEX(ERP資料!$F:$F, (MATCH(117, 輔助計算!$F$2:$F$801, 0)+1))=270, INDEX(ERP資料!$F:$F, (MATCH(117, 輔助計算!$F$2:$F$801, 0)+1))=300)), "100張", ""), "")</f>
        <v/>
      </c>
      <c r="M118" s="17" t="n"/>
      <c r="N118" s="17">
        <f>IF($F118="","",$F118)</f>
        <v/>
      </c>
      <c r="O118" s="17">
        <f>IF($G118="","",$G118)</f>
        <v/>
      </c>
      <c r="P118" s="17">
        <f>IF($K118="","",$K118)</f>
        <v/>
      </c>
      <c r="Q118" s="16" t="n"/>
      <c r="R118" s="18" t="n"/>
      <c r="S118" s="16" t="n"/>
    </row>
    <row r="119">
      <c r="A119" s="14">
        <f>IFERROR(IF(AND(IFERROR(INDEX(ERP資料!$A:$A, (MATCH(118, 輔助計算!$F$2:$F$801, 0)+1)), "")&lt;&gt;"", IFERROR(INDEX(ERP資料!$A:$A, (MATCH(118, 輔助計算!$F$2:$F$801, 0)+1)), "")&lt;&gt;IFERROR(INDEX(ERP資料!$A:$A, MATCH(117, 輔助計算!$F$2:$F$801, 0)+1), "")), INDEX(ERP資料!$B:$B, (MATCH(118, 輔助計算!$F$2:$F$801, 0)+1)), ""), "")</f>
        <v/>
      </c>
      <c r="B119" s="10">
        <f>IFERROR(IF(AND(IFERROR(INDEX(ERP資料!$A:$A, (MATCH(118, 輔助計算!$F$2:$F$801, 0)+1)), "")&lt;&gt;"", IFERROR(INDEX(ERP資料!$A:$A, (MATCH(118, 輔助計算!$F$2:$F$801, 0)+1)), "")&lt;&gt;IFERROR(INDEX(ERP資料!$A:$A, MATCH(117, 輔助計算!$F$2:$F$801, 0)+1), "")), IFERROR(INDEX(ERP資料!$A:$A, (MATCH(118, 輔助計算!$F$2:$F$801, 0)+1)), ""), ""), "")</f>
        <v/>
      </c>
      <c r="C119" s="10">
        <f>IFERROR(IF(AND(IFERROR(INDEX(ERP資料!$A:$A, (MATCH(118, 輔助計算!$F$2:$F$801, 0)+1)), "")&lt;&gt;"", IFERROR(INDEX(ERP資料!$A:$A, (MATCH(118, 輔助計算!$F$2:$F$801, 0)+1)), "")&lt;&gt;IFERROR(INDEX(ERP資料!$A:$A, MATCH(117, 輔助計算!$F$2:$F$801, 0)+1), "")), INDEX(ERP資料!$S:$S, (MATCH(118, 輔助計算!$F$2:$F$801, 0)+1)), ""), "")</f>
        <v/>
      </c>
      <c r="D119" s="10">
        <f>IFERROR(IF(INDEX(ERP資料!$E:$E, (MATCH(118, 輔助計算!$F$2:$F$801, 0)+1))="","",TRIM(INDEX(ERP資料!$E:$E, (MATCH(118, 輔助計算!$F$2:$F$801, 0)+1)))), "")</f>
        <v/>
      </c>
      <c r="E119" s="10">
        <f>IFERROR(IF(INDEX(ERP資料!$F:$F, (MATCH(118, 輔助計算!$F$2:$F$801, 0)+1))="","",INDEX(ERP資料!$F:$F, (MATCH(118, 輔助計算!$F$2:$F$801, 0)+1))), "")</f>
        <v/>
      </c>
      <c r="F119" s="10">
        <f>IFERROR(IF(INDEX(ERP資料!$G:$G, (MATCH(118, 輔助計算!$F$2:$F$801, 0)+1))="","",INDEX(ERP資料!$G:$G, (MATCH(118, 輔助計算!$F$2:$F$801, 0)+1))), "")</f>
        <v/>
      </c>
      <c r="G119" s="10">
        <f>IFERROR(IF(INDEX(ERP資料!$H:$H, (MATCH(118, 輔助計算!$F$2:$F$801, 0)+1))="","",INDEX(ERP資料!$H:$H, (MATCH(118, 輔助計算!$F$2:$F$801, 0)+1))), "")</f>
        <v/>
      </c>
      <c r="H119" s="10">
        <f>IFERROR(IF(INDEX(ERP資料!$O:$O, (MATCH(118, 輔助計算!$F$2:$F$801, 0)+1))="","",INDEX(ERP資料!$O:$O, (MATCH(118, 輔助計算!$F$2:$F$801, 0)+1))), "")</f>
        <v/>
      </c>
      <c r="I119" s="15">
        <f>IFERROR(IF(INDEX(輔助計算!$D:$D,(MATCH(118, 輔助計算!$F$2:$F$801, 0)+1))="","",INDEX(輔助計算!$D:$D,(MATCH(118, 輔助計算!$F$2:$F$801, 0)+1))*INDEX(ERP資料!$O:$O,(MATCH(118, 輔助計算!$F$2:$F$801, 0)+1))), "")</f>
        <v/>
      </c>
      <c r="J119" s="16" t="n"/>
      <c r="K119" s="15">
        <f>IFERROR(INDEX(輔助計算!$D:$D, (MATCH(118, 輔助計算!$F$2:$F$801, 0)+1)), "")</f>
        <v/>
      </c>
      <c r="L119" s="16">
        <f>IFERROR(IF(AND(IFERROR(VLOOKUP(LEFT(INDEX(ERP資料!$S:$S, (MATCH(118, 輔助計算!$F$2:$F$801, 0)+1)), 4), 100張客戶!$A:$A, 1, FALSE), "")&lt;&gt;"", OR(INDEX(ERP資料!$F:$F, (MATCH(118, 輔助計算!$F$2:$F$801, 0)+1))=270, INDEX(ERP資料!$F:$F, (MATCH(118, 輔助計算!$F$2:$F$801, 0)+1))=300)), "100張", ""), "")</f>
        <v/>
      </c>
      <c r="M119" s="17" t="n"/>
      <c r="N119" s="17">
        <f>IF($F119="","",$F119)</f>
        <v/>
      </c>
      <c r="O119" s="17">
        <f>IF($G119="","",$G119)</f>
        <v/>
      </c>
      <c r="P119" s="17">
        <f>IF($K119="","",$K119)</f>
        <v/>
      </c>
      <c r="Q119" s="16" t="n"/>
      <c r="R119" s="18" t="n"/>
      <c r="S119" s="16" t="n"/>
    </row>
    <row r="120">
      <c r="A120" s="14">
        <f>IFERROR(IF(AND(IFERROR(INDEX(ERP資料!$A:$A, (MATCH(119, 輔助計算!$F$2:$F$801, 0)+1)), "")&lt;&gt;"", IFERROR(INDEX(ERP資料!$A:$A, (MATCH(119, 輔助計算!$F$2:$F$801, 0)+1)), "")&lt;&gt;IFERROR(INDEX(ERP資料!$A:$A, MATCH(118, 輔助計算!$F$2:$F$801, 0)+1), "")), INDEX(ERP資料!$B:$B, (MATCH(119, 輔助計算!$F$2:$F$801, 0)+1)), ""), "")</f>
        <v/>
      </c>
      <c r="B120" s="10">
        <f>IFERROR(IF(AND(IFERROR(INDEX(ERP資料!$A:$A, (MATCH(119, 輔助計算!$F$2:$F$801, 0)+1)), "")&lt;&gt;"", IFERROR(INDEX(ERP資料!$A:$A, (MATCH(119, 輔助計算!$F$2:$F$801, 0)+1)), "")&lt;&gt;IFERROR(INDEX(ERP資料!$A:$A, MATCH(118, 輔助計算!$F$2:$F$801, 0)+1), "")), IFERROR(INDEX(ERP資料!$A:$A, (MATCH(119, 輔助計算!$F$2:$F$801, 0)+1)), ""), ""), "")</f>
        <v/>
      </c>
      <c r="C120" s="10">
        <f>IFERROR(IF(AND(IFERROR(INDEX(ERP資料!$A:$A, (MATCH(119, 輔助計算!$F$2:$F$801, 0)+1)), "")&lt;&gt;"", IFERROR(INDEX(ERP資料!$A:$A, (MATCH(119, 輔助計算!$F$2:$F$801, 0)+1)), "")&lt;&gt;IFERROR(INDEX(ERP資料!$A:$A, MATCH(118, 輔助計算!$F$2:$F$801, 0)+1), "")), INDEX(ERP資料!$S:$S, (MATCH(119, 輔助計算!$F$2:$F$801, 0)+1)), ""), "")</f>
        <v/>
      </c>
      <c r="D120" s="10">
        <f>IFERROR(IF(INDEX(ERP資料!$E:$E, (MATCH(119, 輔助計算!$F$2:$F$801, 0)+1))="","",TRIM(INDEX(ERP資料!$E:$E, (MATCH(119, 輔助計算!$F$2:$F$801, 0)+1)))), "")</f>
        <v/>
      </c>
      <c r="E120" s="10">
        <f>IFERROR(IF(INDEX(ERP資料!$F:$F, (MATCH(119, 輔助計算!$F$2:$F$801, 0)+1))="","",INDEX(ERP資料!$F:$F, (MATCH(119, 輔助計算!$F$2:$F$801, 0)+1))), "")</f>
        <v/>
      </c>
      <c r="F120" s="10">
        <f>IFERROR(IF(INDEX(ERP資料!$G:$G, (MATCH(119, 輔助計算!$F$2:$F$801, 0)+1))="","",INDEX(ERP資料!$G:$G, (MATCH(119, 輔助計算!$F$2:$F$801, 0)+1))), "")</f>
        <v/>
      </c>
      <c r="G120" s="10">
        <f>IFERROR(IF(INDEX(ERP資料!$H:$H, (MATCH(119, 輔助計算!$F$2:$F$801, 0)+1))="","",INDEX(ERP資料!$H:$H, (MATCH(119, 輔助計算!$F$2:$F$801, 0)+1))), "")</f>
        <v/>
      </c>
      <c r="H120" s="10">
        <f>IFERROR(IF(INDEX(ERP資料!$O:$O, (MATCH(119, 輔助計算!$F$2:$F$801, 0)+1))="","",INDEX(ERP資料!$O:$O, (MATCH(119, 輔助計算!$F$2:$F$801, 0)+1))), "")</f>
        <v/>
      </c>
      <c r="I120" s="15">
        <f>IFERROR(IF(INDEX(輔助計算!$D:$D,(MATCH(119, 輔助計算!$F$2:$F$801, 0)+1))="","",INDEX(輔助計算!$D:$D,(MATCH(119, 輔助計算!$F$2:$F$801, 0)+1))*INDEX(ERP資料!$O:$O,(MATCH(119, 輔助計算!$F$2:$F$801, 0)+1))), "")</f>
        <v/>
      </c>
      <c r="J120" s="16" t="n"/>
      <c r="K120" s="15">
        <f>IFERROR(INDEX(輔助計算!$D:$D, (MATCH(119, 輔助計算!$F$2:$F$801, 0)+1)), "")</f>
        <v/>
      </c>
      <c r="L120" s="16">
        <f>IFERROR(IF(AND(IFERROR(VLOOKUP(LEFT(INDEX(ERP資料!$S:$S, (MATCH(119, 輔助計算!$F$2:$F$801, 0)+1)), 4), 100張客戶!$A:$A, 1, FALSE), "")&lt;&gt;"", OR(INDEX(ERP資料!$F:$F, (MATCH(119, 輔助計算!$F$2:$F$801, 0)+1))=270, INDEX(ERP資料!$F:$F, (MATCH(119, 輔助計算!$F$2:$F$801, 0)+1))=300)), "100張", ""), "")</f>
        <v/>
      </c>
      <c r="M120" s="17" t="n"/>
      <c r="N120" s="17">
        <f>IF($F120="","",$F120)</f>
        <v/>
      </c>
      <c r="O120" s="17">
        <f>IF($G120="","",$G120)</f>
        <v/>
      </c>
      <c r="P120" s="17">
        <f>IF($K120="","",$K120)</f>
        <v/>
      </c>
      <c r="Q120" s="16" t="n"/>
      <c r="R120" s="18" t="n"/>
      <c r="S120" s="16" t="n"/>
    </row>
    <row r="121">
      <c r="A121" s="14">
        <f>IFERROR(IF(AND(IFERROR(INDEX(ERP資料!$A:$A, (MATCH(120, 輔助計算!$F$2:$F$801, 0)+1)), "")&lt;&gt;"", IFERROR(INDEX(ERP資料!$A:$A, (MATCH(120, 輔助計算!$F$2:$F$801, 0)+1)), "")&lt;&gt;IFERROR(INDEX(ERP資料!$A:$A, MATCH(119, 輔助計算!$F$2:$F$801, 0)+1), "")), INDEX(ERP資料!$B:$B, (MATCH(120, 輔助計算!$F$2:$F$801, 0)+1)), ""), "")</f>
        <v/>
      </c>
      <c r="B121" s="10">
        <f>IFERROR(IF(AND(IFERROR(INDEX(ERP資料!$A:$A, (MATCH(120, 輔助計算!$F$2:$F$801, 0)+1)), "")&lt;&gt;"", IFERROR(INDEX(ERP資料!$A:$A, (MATCH(120, 輔助計算!$F$2:$F$801, 0)+1)), "")&lt;&gt;IFERROR(INDEX(ERP資料!$A:$A, MATCH(119, 輔助計算!$F$2:$F$801, 0)+1), "")), IFERROR(INDEX(ERP資料!$A:$A, (MATCH(120, 輔助計算!$F$2:$F$801, 0)+1)), ""), ""), "")</f>
        <v/>
      </c>
      <c r="C121" s="10">
        <f>IFERROR(IF(AND(IFERROR(INDEX(ERP資料!$A:$A, (MATCH(120, 輔助計算!$F$2:$F$801, 0)+1)), "")&lt;&gt;"", IFERROR(INDEX(ERP資料!$A:$A, (MATCH(120, 輔助計算!$F$2:$F$801, 0)+1)), "")&lt;&gt;IFERROR(INDEX(ERP資料!$A:$A, MATCH(119, 輔助計算!$F$2:$F$801, 0)+1), "")), INDEX(ERP資料!$S:$S, (MATCH(120, 輔助計算!$F$2:$F$801, 0)+1)), ""), "")</f>
        <v/>
      </c>
      <c r="D121" s="10">
        <f>IFERROR(IF(INDEX(ERP資料!$E:$E, (MATCH(120, 輔助計算!$F$2:$F$801, 0)+1))="","",TRIM(INDEX(ERP資料!$E:$E, (MATCH(120, 輔助計算!$F$2:$F$801, 0)+1)))), "")</f>
        <v/>
      </c>
      <c r="E121" s="10">
        <f>IFERROR(IF(INDEX(ERP資料!$F:$F, (MATCH(120, 輔助計算!$F$2:$F$801, 0)+1))="","",INDEX(ERP資料!$F:$F, (MATCH(120, 輔助計算!$F$2:$F$801, 0)+1))), "")</f>
        <v/>
      </c>
      <c r="F121" s="10">
        <f>IFERROR(IF(INDEX(ERP資料!$G:$G, (MATCH(120, 輔助計算!$F$2:$F$801, 0)+1))="","",INDEX(ERP資料!$G:$G, (MATCH(120, 輔助計算!$F$2:$F$801, 0)+1))), "")</f>
        <v/>
      </c>
      <c r="G121" s="10">
        <f>IFERROR(IF(INDEX(ERP資料!$H:$H, (MATCH(120, 輔助計算!$F$2:$F$801, 0)+1))="","",INDEX(ERP資料!$H:$H, (MATCH(120, 輔助計算!$F$2:$F$801, 0)+1))), "")</f>
        <v/>
      </c>
      <c r="H121" s="10">
        <f>IFERROR(IF(INDEX(ERP資料!$O:$O, (MATCH(120, 輔助計算!$F$2:$F$801, 0)+1))="","",INDEX(ERP資料!$O:$O, (MATCH(120, 輔助計算!$F$2:$F$801, 0)+1))), "")</f>
        <v/>
      </c>
      <c r="I121" s="15">
        <f>IFERROR(IF(INDEX(輔助計算!$D:$D,(MATCH(120, 輔助計算!$F$2:$F$801, 0)+1))="","",INDEX(輔助計算!$D:$D,(MATCH(120, 輔助計算!$F$2:$F$801, 0)+1))*INDEX(ERP資料!$O:$O,(MATCH(120, 輔助計算!$F$2:$F$801, 0)+1))), "")</f>
        <v/>
      </c>
      <c r="J121" s="16" t="n"/>
      <c r="K121" s="15">
        <f>IFERROR(INDEX(輔助計算!$D:$D, (MATCH(120, 輔助計算!$F$2:$F$801, 0)+1)), "")</f>
        <v/>
      </c>
      <c r="L121" s="16">
        <f>IFERROR(IF(AND(IFERROR(VLOOKUP(LEFT(INDEX(ERP資料!$S:$S, (MATCH(120, 輔助計算!$F$2:$F$801, 0)+1)), 4), 100張客戶!$A:$A, 1, FALSE), "")&lt;&gt;"", OR(INDEX(ERP資料!$F:$F, (MATCH(120, 輔助計算!$F$2:$F$801, 0)+1))=270, INDEX(ERP資料!$F:$F, (MATCH(120, 輔助計算!$F$2:$F$801, 0)+1))=300)), "100張", ""), "")</f>
        <v/>
      </c>
      <c r="M121" s="17" t="n"/>
      <c r="N121" s="17">
        <f>IF($F121="","",$F121)</f>
        <v/>
      </c>
      <c r="O121" s="17">
        <f>IF($G121="","",$G121)</f>
        <v/>
      </c>
      <c r="P121" s="17">
        <f>IF($K121="","",$K121)</f>
        <v/>
      </c>
      <c r="Q121" s="16" t="n"/>
      <c r="R121" s="18" t="n"/>
      <c r="S121" s="16" t="n"/>
    </row>
    <row r="122">
      <c r="A122" s="14">
        <f>IFERROR(IF(AND(IFERROR(INDEX(ERP資料!$A:$A, (MATCH(121, 輔助計算!$F$2:$F$801, 0)+1)), "")&lt;&gt;"", IFERROR(INDEX(ERP資料!$A:$A, (MATCH(121, 輔助計算!$F$2:$F$801, 0)+1)), "")&lt;&gt;IFERROR(INDEX(ERP資料!$A:$A, MATCH(120, 輔助計算!$F$2:$F$801, 0)+1), "")), INDEX(ERP資料!$B:$B, (MATCH(121, 輔助計算!$F$2:$F$801, 0)+1)), ""), "")</f>
        <v/>
      </c>
      <c r="B122" s="10">
        <f>IFERROR(IF(AND(IFERROR(INDEX(ERP資料!$A:$A, (MATCH(121, 輔助計算!$F$2:$F$801, 0)+1)), "")&lt;&gt;"", IFERROR(INDEX(ERP資料!$A:$A, (MATCH(121, 輔助計算!$F$2:$F$801, 0)+1)), "")&lt;&gt;IFERROR(INDEX(ERP資料!$A:$A, MATCH(120, 輔助計算!$F$2:$F$801, 0)+1), "")), IFERROR(INDEX(ERP資料!$A:$A, (MATCH(121, 輔助計算!$F$2:$F$801, 0)+1)), ""), ""), "")</f>
        <v/>
      </c>
      <c r="C122" s="10">
        <f>IFERROR(IF(AND(IFERROR(INDEX(ERP資料!$A:$A, (MATCH(121, 輔助計算!$F$2:$F$801, 0)+1)), "")&lt;&gt;"", IFERROR(INDEX(ERP資料!$A:$A, (MATCH(121, 輔助計算!$F$2:$F$801, 0)+1)), "")&lt;&gt;IFERROR(INDEX(ERP資料!$A:$A, MATCH(120, 輔助計算!$F$2:$F$801, 0)+1), "")), INDEX(ERP資料!$S:$S, (MATCH(121, 輔助計算!$F$2:$F$801, 0)+1)), ""), "")</f>
        <v/>
      </c>
      <c r="D122" s="10">
        <f>IFERROR(IF(INDEX(ERP資料!$E:$E, (MATCH(121, 輔助計算!$F$2:$F$801, 0)+1))="","",TRIM(INDEX(ERP資料!$E:$E, (MATCH(121, 輔助計算!$F$2:$F$801, 0)+1)))), "")</f>
        <v/>
      </c>
      <c r="E122" s="10">
        <f>IFERROR(IF(INDEX(ERP資料!$F:$F, (MATCH(121, 輔助計算!$F$2:$F$801, 0)+1))="","",INDEX(ERP資料!$F:$F, (MATCH(121, 輔助計算!$F$2:$F$801, 0)+1))), "")</f>
        <v/>
      </c>
      <c r="F122" s="10">
        <f>IFERROR(IF(INDEX(ERP資料!$G:$G, (MATCH(121, 輔助計算!$F$2:$F$801, 0)+1))="","",INDEX(ERP資料!$G:$G, (MATCH(121, 輔助計算!$F$2:$F$801, 0)+1))), "")</f>
        <v/>
      </c>
      <c r="G122" s="10">
        <f>IFERROR(IF(INDEX(ERP資料!$H:$H, (MATCH(121, 輔助計算!$F$2:$F$801, 0)+1))="","",INDEX(ERP資料!$H:$H, (MATCH(121, 輔助計算!$F$2:$F$801, 0)+1))), "")</f>
        <v/>
      </c>
      <c r="H122" s="10">
        <f>IFERROR(IF(INDEX(ERP資料!$O:$O, (MATCH(121, 輔助計算!$F$2:$F$801, 0)+1))="","",INDEX(ERP資料!$O:$O, (MATCH(121, 輔助計算!$F$2:$F$801, 0)+1))), "")</f>
        <v/>
      </c>
      <c r="I122" s="15">
        <f>IFERROR(IF(INDEX(輔助計算!$D:$D,(MATCH(121, 輔助計算!$F$2:$F$801, 0)+1))="","",INDEX(輔助計算!$D:$D,(MATCH(121, 輔助計算!$F$2:$F$801, 0)+1))*INDEX(ERP資料!$O:$O,(MATCH(121, 輔助計算!$F$2:$F$801, 0)+1))), "")</f>
        <v/>
      </c>
      <c r="J122" s="16" t="n"/>
      <c r="K122" s="15">
        <f>IFERROR(INDEX(輔助計算!$D:$D, (MATCH(121, 輔助計算!$F$2:$F$801, 0)+1)), "")</f>
        <v/>
      </c>
      <c r="L122" s="16">
        <f>IFERROR(IF(AND(IFERROR(VLOOKUP(LEFT(INDEX(ERP資料!$S:$S, (MATCH(121, 輔助計算!$F$2:$F$801, 0)+1)), 4), 100張客戶!$A:$A, 1, FALSE), "")&lt;&gt;"", OR(INDEX(ERP資料!$F:$F, (MATCH(121, 輔助計算!$F$2:$F$801, 0)+1))=270, INDEX(ERP資料!$F:$F, (MATCH(121, 輔助計算!$F$2:$F$801, 0)+1))=300)), "100張", ""), "")</f>
        <v/>
      </c>
      <c r="M122" s="17" t="n"/>
      <c r="N122" s="17">
        <f>IF($F122="","",$F122)</f>
        <v/>
      </c>
      <c r="O122" s="17">
        <f>IF($G122="","",$G122)</f>
        <v/>
      </c>
      <c r="P122" s="17">
        <f>IF($K122="","",$K122)</f>
        <v/>
      </c>
      <c r="Q122" s="16" t="n"/>
      <c r="R122" s="18" t="n"/>
      <c r="S122" s="16" t="n"/>
    </row>
    <row r="123">
      <c r="A123" s="14">
        <f>IFERROR(IF(AND(IFERROR(INDEX(ERP資料!$A:$A, (MATCH(122, 輔助計算!$F$2:$F$801, 0)+1)), "")&lt;&gt;"", IFERROR(INDEX(ERP資料!$A:$A, (MATCH(122, 輔助計算!$F$2:$F$801, 0)+1)), "")&lt;&gt;IFERROR(INDEX(ERP資料!$A:$A, MATCH(121, 輔助計算!$F$2:$F$801, 0)+1), "")), INDEX(ERP資料!$B:$B, (MATCH(122, 輔助計算!$F$2:$F$801, 0)+1)), ""), "")</f>
        <v/>
      </c>
      <c r="B123" s="10">
        <f>IFERROR(IF(AND(IFERROR(INDEX(ERP資料!$A:$A, (MATCH(122, 輔助計算!$F$2:$F$801, 0)+1)), "")&lt;&gt;"", IFERROR(INDEX(ERP資料!$A:$A, (MATCH(122, 輔助計算!$F$2:$F$801, 0)+1)), "")&lt;&gt;IFERROR(INDEX(ERP資料!$A:$A, MATCH(121, 輔助計算!$F$2:$F$801, 0)+1), "")), IFERROR(INDEX(ERP資料!$A:$A, (MATCH(122, 輔助計算!$F$2:$F$801, 0)+1)), ""), ""), "")</f>
        <v/>
      </c>
      <c r="C123" s="10">
        <f>IFERROR(IF(AND(IFERROR(INDEX(ERP資料!$A:$A, (MATCH(122, 輔助計算!$F$2:$F$801, 0)+1)), "")&lt;&gt;"", IFERROR(INDEX(ERP資料!$A:$A, (MATCH(122, 輔助計算!$F$2:$F$801, 0)+1)), "")&lt;&gt;IFERROR(INDEX(ERP資料!$A:$A, MATCH(121, 輔助計算!$F$2:$F$801, 0)+1), "")), INDEX(ERP資料!$S:$S, (MATCH(122, 輔助計算!$F$2:$F$801, 0)+1)), ""), "")</f>
        <v/>
      </c>
      <c r="D123" s="10">
        <f>IFERROR(IF(INDEX(ERP資料!$E:$E, (MATCH(122, 輔助計算!$F$2:$F$801, 0)+1))="","",TRIM(INDEX(ERP資料!$E:$E, (MATCH(122, 輔助計算!$F$2:$F$801, 0)+1)))), "")</f>
        <v/>
      </c>
      <c r="E123" s="10">
        <f>IFERROR(IF(INDEX(ERP資料!$F:$F, (MATCH(122, 輔助計算!$F$2:$F$801, 0)+1))="","",INDEX(ERP資料!$F:$F, (MATCH(122, 輔助計算!$F$2:$F$801, 0)+1))), "")</f>
        <v/>
      </c>
      <c r="F123" s="10">
        <f>IFERROR(IF(INDEX(ERP資料!$G:$G, (MATCH(122, 輔助計算!$F$2:$F$801, 0)+1))="","",INDEX(ERP資料!$G:$G, (MATCH(122, 輔助計算!$F$2:$F$801, 0)+1))), "")</f>
        <v/>
      </c>
      <c r="G123" s="10">
        <f>IFERROR(IF(INDEX(ERP資料!$H:$H, (MATCH(122, 輔助計算!$F$2:$F$801, 0)+1))="","",INDEX(ERP資料!$H:$H, (MATCH(122, 輔助計算!$F$2:$F$801, 0)+1))), "")</f>
        <v/>
      </c>
      <c r="H123" s="10">
        <f>IFERROR(IF(INDEX(ERP資料!$O:$O, (MATCH(122, 輔助計算!$F$2:$F$801, 0)+1))="","",INDEX(ERP資料!$O:$O, (MATCH(122, 輔助計算!$F$2:$F$801, 0)+1))), "")</f>
        <v/>
      </c>
      <c r="I123" s="15">
        <f>IFERROR(IF(INDEX(輔助計算!$D:$D,(MATCH(122, 輔助計算!$F$2:$F$801, 0)+1))="","",INDEX(輔助計算!$D:$D,(MATCH(122, 輔助計算!$F$2:$F$801, 0)+1))*INDEX(ERP資料!$O:$O,(MATCH(122, 輔助計算!$F$2:$F$801, 0)+1))), "")</f>
        <v/>
      </c>
      <c r="J123" s="16" t="n"/>
      <c r="K123" s="15">
        <f>IFERROR(INDEX(輔助計算!$D:$D, (MATCH(122, 輔助計算!$F$2:$F$801, 0)+1)), "")</f>
        <v/>
      </c>
      <c r="L123" s="16">
        <f>IFERROR(IF(AND(IFERROR(VLOOKUP(LEFT(INDEX(ERP資料!$S:$S, (MATCH(122, 輔助計算!$F$2:$F$801, 0)+1)), 4), 100張客戶!$A:$A, 1, FALSE), "")&lt;&gt;"", OR(INDEX(ERP資料!$F:$F, (MATCH(122, 輔助計算!$F$2:$F$801, 0)+1))=270, INDEX(ERP資料!$F:$F, (MATCH(122, 輔助計算!$F$2:$F$801, 0)+1))=300)), "100張", ""), "")</f>
        <v/>
      </c>
      <c r="M123" s="17" t="n"/>
      <c r="N123" s="17">
        <f>IF($F123="","",$F123)</f>
        <v/>
      </c>
      <c r="O123" s="17">
        <f>IF($G123="","",$G123)</f>
        <v/>
      </c>
      <c r="P123" s="17">
        <f>IF($K123="","",$K123)</f>
        <v/>
      </c>
      <c r="Q123" s="16" t="n"/>
      <c r="R123" s="18" t="n"/>
      <c r="S123" s="16" t="n"/>
    </row>
    <row r="124">
      <c r="A124" s="14">
        <f>IFERROR(IF(AND(IFERROR(INDEX(ERP資料!$A:$A, (MATCH(123, 輔助計算!$F$2:$F$801, 0)+1)), "")&lt;&gt;"", IFERROR(INDEX(ERP資料!$A:$A, (MATCH(123, 輔助計算!$F$2:$F$801, 0)+1)), "")&lt;&gt;IFERROR(INDEX(ERP資料!$A:$A, MATCH(122, 輔助計算!$F$2:$F$801, 0)+1), "")), INDEX(ERP資料!$B:$B, (MATCH(123, 輔助計算!$F$2:$F$801, 0)+1)), ""), "")</f>
        <v/>
      </c>
      <c r="B124" s="10">
        <f>IFERROR(IF(AND(IFERROR(INDEX(ERP資料!$A:$A, (MATCH(123, 輔助計算!$F$2:$F$801, 0)+1)), "")&lt;&gt;"", IFERROR(INDEX(ERP資料!$A:$A, (MATCH(123, 輔助計算!$F$2:$F$801, 0)+1)), "")&lt;&gt;IFERROR(INDEX(ERP資料!$A:$A, MATCH(122, 輔助計算!$F$2:$F$801, 0)+1), "")), IFERROR(INDEX(ERP資料!$A:$A, (MATCH(123, 輔助計算!$F$2:$F$801, 0)+1)), ""), ""), "")</f>
        <v/>
      </c>
      <c r="C124" s="10">
        <f>IFERROR(IF(AND(IFERROR(INDEX(ERP資料!$A:$A, (MATCH(123, 輔助計算!$F$2:$F$801, 0)+1)), "")&lt;&gt;"", IFERROR(INDEX(ERP資料!$A:$A, (MATCH(123, 輔助計算!$F$2:$F$801, 0)+1)), "")&lt;&gt;IFERROR(INDEX(ERP資料!$A:$A, MATCH(122, 輔助計算!$F$2:$F$801, 0)+1), "")), INDEX(ERP資料!$S:$S, (MATCH(123, 輔助計算!$F$2:$F$801, 0)+1)), ""), "")</f>
        <v/>
      </c>
      <c r="D124" s="10">
        <f>IFERROR(IF(INDEX(ERP資料!$E:$E, (MATCH(123, 輔助計算!$F$2:$F$801, 0)+1))="","",TRIM(INDEX(ERP資料!$E:$E, (MATCH(123, 輔助計算!$F$2:$F$801, 0)+1)))), "")</f>
        <v/>
      </c>
      <c r="E124" s="10">
        <f>IFERROR(IF(INDEX(ERP資料!$F:$F, (MATCH(123, 輔助計算!$F$2:$F$801, 0)+1))="","",INDEX(ERP資料!$F:$F, (MATCH(123, 輔助計算!$F$2:$F$801, 0)+1))), "")</f>
        <v/>
      </c>
      <c r="F124" s="10">
        <f>IFERROR(IF(INDEX(ERP資料!$G:$G, (MATCH(123, 輔助計算!$F$2:$F$801, 0)+1))="","",INDEX(ERP資料!$G:$G, (MATCH(123, 輔助計算!$F$2:$F$801, 0)+1))), "")</f>
        <v/>
      </c>
      <c r="G124" s="10">
        <f>IFERROR(IF(INDEX(ERP資料!$H:$H, (MATCH(123, 輔助計算!$F$2:$F$801, 0)+1))="","",INDEX(ERP資料!$H:$H, (MATCH(123, 輔助計算!$F$2:$F$801, 0)+1))), "")</f>
        <v/>
      </c>
      <c r="H124" s="10">
        <f>IFERROR(IF(INDEX(ERP資料!$O:$O, (MATCH(123, 輔助計算!$F$2:$F$801, 0)+1))="","",INDEX(ERP資料!$O:$O, (MATCH(123, 輔助計算!$F$2:$F$801, 0)+1))), "")</f>
        <v/>
      </c>
      <c r="I124" s="15">
        <f>IFERROR(IF(INDEX(輔助計算!$D:$D,(MATCH(123, 輔助計算!$F$2:$F$801, 0)+1))="","",INDEX(輔助計算!$D:$D,(MATCH(123, 輔助計算!$F$2:$F$801, 0)+1))*INDEX(ERP資料!$O:$O,(MATCH(123, 輔助計算!$F$2:$F$801, 0)+1))), "")</f>
        <v/>
      </c>
      <c r="J124" s="16" t="n"/>
      <c r="K124" s="15">
        <f>IFERROR(INDEX(輔助計算!$D:$D, (MATCH(123, 輔助計算!$F$2:$F$801, 0)+1)), "")</f>
        <v/>
      </c>
      <c r="L124" s="16">
        <f>IFERROR(IF(AND(IFERROR(VLOOKUP(LEFT(INDEX(ERP資料!$S:$S, (MATCH(123, 輔助計算!$F$2:$F$801, 0)+1)), 4), 100張客戶!$A:$A, 1, FALSE), "")&lt;&gt;"", OR(INDEX(ERP資料!$F:$F, (MATCH(123, 輔助計算!$F$2:$F$801, 0)+1))=270, INDEX(ERP資料!$F:$F, (MATCH(123, 輔助計算!$F$2:$F$801, 0)+1))=300)), "100張", ""), "")</f>
        <v/>
      </c>
      <c r="M124" s="17" t="n"/>
      <c r="N124" s="17">
        <f>IF($F124="","",$F124)</f>
        <v/>
      </c>
      <c r="O124" s="17">
        <f>IF($G124="","",$G124)</f>
        <v/>
      </c>
      <c r="P124" s="17">
        <f>IF($K124="","",$K124)</f>
        <v/>
      </c>
      <c r="Q124" s="16" t="n"/>
      <c r="R124" s="18" t="n"/>
      <c r="S124" s="16" t="n"/>
    </row>
    <row r="125">
      <c r="A125" s="14">
        <f>IFERROR(IF(AND(IFERROR(INDEX(ERP資料!$A:$A, (MATCH(124, 輔助計算!$F$2:$F$801, 0)+1)), "")&lt;&gt;"", IFERROR(INDEX(ERP資料!$A:$A, (MATCH(124, 輔助計算!$F$2:$F$801, 0)+1)), "")&lt;&gt;IFERROR(INDEX(ERP資料!$A:$A, MATCH(123, 輔助計算!$F$2:$F$801, 0)+1), "")), INDEX(ERP資料!$B:$B, (MATCH(124, 輔助計算!$F$2:$F$801, 0)+1)), ""), "")</f>
        <v/>
      </c>
      <c r="B125" s="10">
        <f>IFERROR(IF(AND(IFERROR(INDEX(ERP資料!$A:$A, (MATCH(124, 輔助計算!$F$2:$F$801, 0)+1)), "")&lt;&gt;"", IFERROR(INDEX(ERP資料!$A:$A, (MATCH(124, 輔助計算!$F$2:$F$801, 0)+1)), "")&lt;&gt;IFERROR(INDEX(ERP資料!$A:$A, MATCH(123, 輔助計算!$F$2:$F$801, 0)+1), "")), IFERROR(INDEX(ERP資料!$A:$A, (MATCH(124, 輔助計算!$F$2:$F$801, 0)+1)), ""), ""), "")</f>
        <v/>
      </c>
      <c r="C125" s="10">
        <f>IFERROR(IF(AND(IFERROR(INDEX(ERP資料!$A:$A, (MATCH(124, 輔助計算!$F$2:$F$801, 0)+1)), "")&lt;&gt;"", IFERROR(INDEX(ERP資料!$A:$A, (MATCH(124, 輔助計算!$F$2:$F$801, 0)+1)), "")&lt;&gt;IFERROR(INDEX(ERP資料!$A:$A, MATCH(123, 輔助計算!$F$2:$F$801, 0)+1), "")), INDEX(ERP資料!$S:$S, (MATCH(124, 輔助計算!$F$2:$F$801, 0)+1)), ""), "")</f>
        <v/>
      </c>
      <c r="D125" s="10">
        <f>IFERROR(IF(INDEX(ERP資料!$E:$E, (MATCH(124, 輔助計算!$F$2:$F$801, 0)+1))="","",TRIM(INDEX(ERP資料!$E:$E, (MATCH(124, 輔助計算!$F$2:$F$801, 0)+1)))), "")</f>
        <v/>
      </c>
      <c r="E125" s="10">
        <f>IFERROR(IF(INDEX(ERP資料!$F:$F, (MATCH(124, 輔助計算!$F$2:$F$801, 0)+1))="","",INDEX(ERP資料!$F:$F, (MATCH(124, 輔助計算!$F$2:$F$801, 0)+1))), "")</f>
        <v/>
      </c>
      <c r="F125" s="10">
        <f>IFERROR(IF(INDEX(ERP資料!$G:$G, (MATCH(124, 輔助計算!$F$2:$F$801, 0)+1))="","",INDEX(ERP資料!$G:$G, (MATCH(124, 輔助計算!$F$2:$F$801, 0)+1))), "")</f>
        <v/>
      </c>
      <c r="G125" s="10">
        <f>IFERROR(IF(INDEX(ERP資料!$H:$H, (MATCH(124, 輔助計算!$F$2:$F$801, 0)+1))="","",INDEX(ERP資料!$H:$H, (MATCH(124, 輔助計算!$F$2:$F$801, 0)+1))), "")</f>
        <v/>
      </c>
      <c r="H125" s="10">
        <f>IFERROR(IF(INDEX(ERP資料!$O:$O, (MATCH(124, 輔助計算!$F$2:$F$801, 0)+1))="","",INDEX(ERP資料!$O:$O, (MATCH(124, 輔助計算!$F$2:$F$801, 0)+1))), "")</f>
        <v/>
      </c>
      <c r="I125" s="15">
        <f>IFERROR(IF(INDEX(輔助計算!$D:$D,(MATCH(124, 輔助計算!$F$2:$F$801, 0)+1))="","",INDEX(輔助計算!$D:$D,(MATCH(124, 輔助計算!$F$2:$F$801, 0)+1))*INDEX(ERP資料!$O:$O,(MATCH(124, 輔助計算!$F$2:$F$801, 0)+1))), "")</f>
        <v/>
      </c>
      <c r="J125" s="16" t="n"/>
      <c r="K125" s="15">
        <f>IFERROR(INDEX(輔助計算!$D:$D, (MATCH(124, 輔助計算!$F$2:$F$801, 0)+1)), "")</f>
        <v/>
      </c>
      <c r="L125" s="16">
        <f>IFERROR(IF(AND(IFERROR(VLOOKUP(LEFT(INDEX(ERP資料!$S:$S, (MATCH(124, 輔助計算!$F$2:$F$801, 0)+1)), 4), 100張客戶!$A:$A, 1, FALSE), "")&lt;&gt;"", OR(INDEX(ERP資料!$F:$F, (MATCH(124, 輔助計算!$F$2:$F$801, 0)+1))=270, INDEX(ERP資料!$F:$F, (MATCH(124, 輔助計算!$F$2:$F$801, 0)+1))=300)), "100張", ""), "")</f>
        <v/>
      </c>
      <c r="M125" s="17" t="n"/>
      <c r="N125" s="17">
        <f>IF($F125="","",$F125)</f>
        <v/>
      </c>
      <c r="O125" s="17">
        <f>IF($G125="","",$G125)</f>
        <v/>
      </c>
      <c r="P125" s="17">
        <f>IF($K125="","",$K125)</f>
        <v/>
      </c>
      <c r="Q125" s="16" t="n"/>
      <c r="R125" s="18" t="n"/>
      <c r="S125" s="16" t="n"/>
    </row>
    <row r="126">
      <c r="A126" s="14">
        <f>IFERROR(IF(AND(IFERROR(INDEX(ERP資料!$A:$A, (MATCH(125, 輔助計算!$F$2:$F$801, 0)+1)), "")&lt;&gt;"", IFERROR(INDEX(ERP資料!$A:$A, (MATCH(125, 輔助計算!$F$2:$F$801, 0)+1)), "")&lt;&gt;IFERROR(INDEX(ERP資料!$A:$A, MATCH(124, 輔助計算!$F$2:$F$801, 0)+1), "")), INDEX(ERP資料!$B:$B, (MATCH(125, 輔助計算!$F$2:$F$801, 0)+1)), ""), "")</f>
        <v/>
      </c>
      <c r="B126" s="10">
        <f>IFERROR(IF(AND(IFERROR(INDEX(ERP資料!$A:$A, (MATCH(125, 輔助計算!$F$2:$F$801, 0)+1)), "")&lt;&gt;"", IFERROR(INDEX(ERP資料!$A:$A, (MATCH(125, 輔助計算!$F$2:$F$801, 0)+1)), "")&lt;&gt;IFERROR(INDEX(ERP資料!$A:$A, MATCH(124, 輔助計算!$F$2:$F$801, 0)+1), "")), IFERROR(INDEX(ERP資料!$A:$A, (MATCH(125, 輔助計算!$F$2:$F$801, 0)+1)), ""), ""), "")</f>
        <v/>
      </c>
      <c r="C126" s="10">
        <f>IFERROR(IF(AND(IFERROR(INDEX(ERP資料!$A:$A, (MATCH(125, 輔助計算!$F$2:$F$801, 0)+1)), "")&lt;&gt;"", IFERROR(INDEX(ERP資料!$A:$A, (MATCH(125, 輔助計算!$F$2:$F$801, 0)+1)), "")&lt;&gt;IFERROR(INDEX(ERP資料!$A:$A, MATCH(124, 輔助計算!$F$2:$F$801, 0)+1), "")), INDEX(ERP資料!$S:$S, (MATCH(125, 輔助計算!$F$2:$F$801, 0)+1)), ""), "")</f>
        <v/>
      </c>
      <c r="D126" s="10">
        <f>IFERROR(IF(INDEX(ERP資料!$E:$E, (MATCH(125, 輔助計算!$F$2:$F$801, 0)+1))="","",TRIM(INDEX(ERP資料!$E:$E, (MATCH(125, 輔助計算!$F$2:$F$801, 0)+1)))), "")</f>
        <v/>
      </c>
      <c r="E126" s="10">
        <f>IFERROR(IF(INDEX(ERP資料!$F:$F, (MATCH(125, 輔助計算!$F$2:$F$801, 0)+1))="","",INDEX(ERP資料!$F:$F, (MATCH(125, 輔助計算!$F$2:$F$801, 0)+1))), "")</f>
        <v/>
      </c>
      <c r="F126" s="10">
        <f>IFERROR(IF(INDEX(ERP資料!$G:$G, (MATCH(125, 輔助計算!$F$2:$F$801, 0)+1))="","",INDEX(ERP資料!$G:$G, (MATCH(125, 輔助計算!$F$2:$F$801, 0)+1))), "")</f>
        <v/>
      </c>
      <c r="G126" s="10">
        <f>IFERROR(IF(INDEX(ERP資料!$H:$H, (MATCH(125, 輔助計算!$F$2:$F$801, 0)+1))="","",INDEX(ERP資料!$H:$H, (MATCH(125, 輔助計算!$F$2:$F$801, 0)+1))), "")</f>
        <v/>
      </c>
      <c r="H126" s="10">
        <f>IFERROR(IF(INDEX(ERP資料!$O:$O, (MATCH(125, 輔助計算!$F$2:$F$801, 0)+1))="","",INDEX(ERP資料!$O:$O, (MATCH(125, 輔助計算!$F$2:$F$801, 0)+1))), "")</f>
        <v/>
      </c>
      <c r="I126" s="15">
        <f>IFERROR(IF(INDEX(輔助計算!$D:$D,(MATCH(125, 輔助計算!$F$2:$F$801, 0)+1))="","",INDEX(輔助計算!$D:$D,(MATCH(125, 輔助計算!$F$2:$F$801, 0)+1))*INDEX(ERP資料!$O:$O,(MATCH(125, 輔助計算!$F$2:$F$801, 0)+1))), "")</f>
        <v/>
      </c>
      <c r="J126" s="16" t="n"/>
      <c r="K126" s="15">
        <f>IFERROR(INDEX(輔助計算!$D:$D, (MATCH(125, 輔助計算!$F$2:$F$801, 0)+1)), "")</f>
        <v/>
      </c>
      <c r="L126" s="16">
        <f>IFERROR(IF(AND(IFERROR(VLOOKUP(LEFT(INDEX(ERP資料!$S:$S, (MATCH(125, 輔助計算!$F$2:$F$801, 0)+1)), 4), 100張客戶!$A:$A, 1, FALSE), "")&lt;&gt;"", OR(INDEX(ERP資料!$F:$F, (MATCH(125, 輔助計算!$F$2:$F$801, 0)+1))=270, INDEX(ERP資料!$F:$F, (MATCH(125, 輔助計算!$F$2:$F$801, 0)+1))=300)), "100張", ""), "")</f>
        <v/>
      </c>
      <c r="M126" s="17" t="n"/>
      <c r="N126" s="17">
        <f>IF($F126="","",$F126)</f>
        <v/>
      </c>
      <c r="O126" s="17">
        <f>IF($G126="","",$G126)</f>
        <v/>
      </c>
      <c r="P126" s="17">
        <f>IF($K126="","",$K126)</f>
        <v/>
      </c>
      <c r="Q126" s="16" t="n"/>
      <c r="R126" s="18" t="n"/>
      <c r="S126" s="16" t="n"/>
    </row>
    <row r="127">
      <c r="A127" s="14">
        <f>IFERROR(IF(AND(IFERROR(INDEX(ERP資料!$A:$A, (MATCH(126, 輔助計算!$F$2:$F$801, 0)+1)), "")&lt;&gt;"", IFERROR(INDEX(ERP資料!$A:$A, (MATCH(126, 輔助計算!$F$2:$F$801, 0)+1)), "")&lt;&gt;IFERROR(INDEX(ERP資料!$A:$A, MATCH(125, 輔助計算!$F$2:$F$801, 0)+1), "")), INDEX(ERP資料!$B:$B, (MATCH(126, 輔助計算!$F$2:$F$801, 0)+1)), ""), "")</f>
        <v/>
      </c>
      <c r="B127" s="10">
        <f>IFERROR(IF(AND(IFERROR(INDEX(ERP資料!$A:$A, (MATCH(126, 輔助計算!$F$2:$F$801, 0)+1)), "")&lt;&gt;"", IFERROR(INDEX(ERP資料!$A:$A, (MATCH(126, 輔助計算!$F$2:$F$801, 0)+1)), "")&lt;&gt;IFERROR(INDEX(ERP資料!$A:$A, MATCH(125, 輔助計算!$F$2:$F$801, 0)+1), "")), IFERROR(INDEX(ERP資料!$A:$A, (MATCH(126, 輔助計算!$F$2:$F$801, 0)+1)), ""), ""), "")</f>
        <v/>
      </c>
      <c r="C127" s="10">
        <f>IFERROR(IF(AND(IFERROR(INDEX(ERP資料!$A:$A, (MATCH(126, 輔助計算!$F$2:$F$801, 0)+1)), "")&lt;&gt;"", IFERROR(INDEX(ERP資料!$A:$A, (MATCH(126, 輔助計算!$F$2:$F$801, 0)+1)), "")&lt;&gt;IFERROR(INDEX(ERP資料!$A:$A, MATCH(125, 輔助計算!$F$2:$F$801, 0)+1), "")), INDEX(ERP資料!$S:$S, (MATCH(126, 輔助計算!$F$2:$F$801, 0)+1)), ""), "")</f>
        <v/>
      </c>
      <c r="D127" s="10">
        <f>IFERROR(IF(INDEX(ERP資料!$E:$E, (MATCH(126, 輔助計算!$F$2:$F$801, 0)+1))="","",TRIM(INDEX(ERP資料!$E:$E, (MATCH(126, 輔助計算!$F$2:$F$801, 0)+1)))), "")</f>
        <v/>
      </c>
      <c r="E127" s="10">
        <f>IFERROR(IF(INDEX(ERP資料!$F:$F, (MATCH(126, 輔助計算!$F$2:$F$801, 0)+1))="","",INDEX(ERP資料!$F:$F, (MATCH(126, 輔助計算!$F$2:$F$801, 0)+1))), "")</f>
        <v/>
      </c>
      <c r="F127" s="10">
        <f>IFERROR(IF(INDEX(ERP資料!$G:$G, (MATCH(126, 輔助計算!$F$2:$F$801, 0)+1))="","",INDEX(ERP資料!$G:$G, (MATCH(126, 輔助計算!$F$2:$F$801, 0)+1))), "")</f>
        <v/>
      </c>
      <c r="G127" s="10">
        <f>IFERROR(IF(INDEX(ERP資料!$H:$H, (MATCH(126, 輔助計算!$F$2:$F$801, 0)+1))="","",INDEX(ERP資料!$H:$H, (MATCH(126, 輔助計算!$F$2:$F$801, 0)+1))), "")</f>
        <v/>
      </c>
      <c r="H127" s="10">
        <f>IFERROR(IF(INDEX(ERP資料!$O:$O, (MATCH(126, 輔助計算!$F$2:$F$801, 0)+1))="","",INDEX(ERP資料!$O:$O, (MATCH(126, 輔助計算!$F$2:$F$801, 0)+1))), "")</f>
        <v/>
      </c>
      <c r="I127" s="15">
        <f>IFERROR(IF(INDEX(輔助計算!$D:$D,(MATCH(126, 輔助計算!$F$2:$F$801, 0)+1))="","",INDEX(輔助計算!$D:$D,(MATCH(126, 輔助計算!$F$2:$F$801, 0)+1))*INDEX(ERP資料!$O:$O,(MATCH(126, 輔助計算!$F$2:$F$801, 0)+1))), "")</f>
        <v/>
      </c>
      <c r="J127" s="16" t="n"/>
      <c r="K127" s="15">
        <f>IFERROR(INDEX(輔助計算!$D:$D, (MATCH(126, 輔助計算!$F$2:$F$801, 0)+1)), "")</f>
        <v/>
      </c>
      <c r="L127" s="16">
        <f>IFERROR(IF(AND(IFERROR(VLOOKUP(LEFT(INDEX(ERP資料!$S:$S, (MATCH(126, 輔助計算!$F$2:$F$801, 0)+1)), 4), 100張客戶!$A:$A, 1, FALSE), "")&lt;&gt;"", OR(INDEX(ERP資料!$F:$F, (MATCH(126, 輔助計算!$F$2:$F$801, 0)+1))=270, INDEX(ERP資料!$F:$F, (MATCH(126, 輔助計算!$F$2:$F$801, 0)+1))=300)), "100張", ""), "")</f>
        <v/>
      </c>
      <c r="M127" s="17" t="n"/>
      <c r="N127" s="17">
        <f>IF($F127="","",$F127)</f>
        <v/>
      </c>
      <c r="O127" s="17">
        <f>IF($G127="","",$G127)</f>
        <v/>
      </c>
      <c r="P127" s="17">
        <f>IF($K127="","",$K127)</f>
        <v/>
      </c>
      <c r="Q127" s="16" t="n"/>
      <c r="R127" s="18" t="n"/>
      <c r="S127" s="16" t="n"/>
    </row>
    <row r="128">
      <c r="A128" s="14">
        <f>IFERROR(IF(AND(IFERROR(INDEX(ERP資料!$A:$A, (MATCH(127, 輔助計算!$F$2:$F$801, 0)+1)), "")&lt;&gt;"", IFERROR(INDEX(ERP資料!$A:$A, (MATCH(127, 輔助計算!$F$2:$F$801, 0)+1)), "")&lt;&gt;IFERROR(INDEX(ERP資料!$A:$A, MATCH(126, 輔助計算!$F$2:$F$801, 0)+1), "")), INDEX(ERP資料!$B:$B, (MATCH(127, 輔助計算!$F$2:$F$801, 0)+1)), ""), "")</f>
        <v/>
      </c>
      <c r="B128" s="10">
        <f>IFERROR(IF(AND(IFERROR(INDEX(ERP資料!$A:$A, (MATCH(127, 輔助計算!$F$2:$F$801, 0)+1)), "")&lt;&gt;"", IFERROR(INDEX(ERP資料!$A:$A, (MATCH(127, 輔助計算!$F$2:$F$801, 0)+1)), "")&lt;&gt;IFERROR(INDEX(ERP資料!$A:$A, MATCH(126, 輔助計算!$F$2:$F$801, 0)+1), "")), IFERROR(INDEX(ERP資料!$A:$A, (MATCH(127, 輔助計算!$F$2:$F$801, 0)+1)), ""), ""), "")</f>
        <v/>
      </c>
      <c r="C128" s="10">
        <f>IFERROR(IF(AND(IFERROR(INDEX(ERP資料!$A:$A, (MATCH(127, 輔助計算!$F$2:$F$801, 0)+1)), "")&lt;&gt;"", IFERROR(INDEX(ERP資料!$A:$A, (MATCH(127, 輔助計算!$F$2:$F$801, 0)+1)), "")&lt;&gt;IFERROR(INDEX(ERP資料!$A:$A, MATCH(126, 輔助計算!$F$2:$F$801, 0)+1), "")), INDEX(ERP資料!$S:$S, (MATCH(127, 輔助計算!$F$2:$F$801, 0)+1)), ""), "")</f>
        <v/>
      </c>
      <c r="D128" s="10">
        <f>IFERROR(IF(INDEX(ERP資料!$E:$E, (MATCH(127, 輔助計算!$F$2:$F$801, 0)+1))="","",TRIM(INDEX(ERP資料!$E:$E, (MATCH(127, 輔助計算!$F$2:$F$801, 0)+1)))), "")</f>
        <v/>
      </c>
      <c r="E128" s="10">
        <f>IFERROR(IF(INDEX(ERP資料!$F:$F, (MATCH(127, 輔助計算!$F$2:$F$801, 0)+1))="","",INDEX(ERP資料!$F:$F, (MATCH(127, 輔助計算!$F$2:$F$801, 0)+1))), "")</f>
        <v/>
      </c>
      <c r="F128" s="10">
        <f>IFERROR(IF(INDEX(ERP資料!$G:$G, (MATCH(127, 輔助計算!$F$2:$F$801, 0)+1))="","",INDEX(ERP資料!$G:$G, (MATCH(127, 輔助計算!$F$2:$F$801, 0)+1))), "")</f>
        <v/>
      </c>
      <c r="G128" s="10">
        <f>IFERROR(IF(INDEX(ERP資料!$H:$H, (MATCH(127, 輔助計算!$F$2:$F$801, 0)+1))="","",INDEX(ERP資料!$H:$H, (MATCH(127, 輔助計算!$F$2:$F$801, 0)+1))), "")</f>
        <v/>
      </c>
      <c r="H128" s="10">
        <f>IFERROR(IF(INDEX(ERP資料!$O:$O, (MATCH(127, 輔助計算!$F$2:$F$801, 0)+1))="","",INDEX(ERP資料!$O:$O, (MATCH(127, 輔助計算!$F$2:$F$801, 0)+1))), "")</f>
        <v/>
      </c>
      <c r="I128" s="15">
        <f>IFERROR(IF(INDEX(輔助計算!$D:$D,(MATCH(127, 輔助計算!$F$2:$F$801, 0)+1))="","",INDEX(輔助計算!$D:$D,(MATCH(127, 輔助計算!$F$2:$F$801, 0)+1))*INDEX(ERP資料!$O:$O,(MATCH(127, 輔助計算!$F$2:$F$801, 0)+1))), "")</f>
        <v/>
      </c>
      <c r="J128" s="16" t="n"/>
      <c r="K128" s="15">
        <f>IFERROR(INDEX(輔助計算!$D:$D, (MATCH(127, 輔助計算!$F$2:$F$801, 0)+1)), "")</f>
        <v/>
      </c>
      <c r="L128" s="16">
        <f>IFERROR(IF(AND(IFERROR(VLOOKUP(LEFT(INDEX(ERP資料!$S:$S, (MATCH(127, 輔助計算!$F$2:$F$801, 0)+1)), 4), 100張客戶!$A:$A, 1, FALSE), "")&lt;&gt;"", OR(INDEX(ERP資料!$F:$F, (MATCH(127, 輔助計算!$F$2:$F$801, 0)+1))=270, INDEX(ERP資料!$F:$F, (MATCH(127, 輔助計算!$F$2:$F$801, 0)+1))=300)), "100張", ""), "")</f>
        <v/>
      </c>
      <c r="M128" s="17" t="n"/>
      <c r="N128" s="17">
        <f>IF($F128="","",$F128)</f>
        <v/>
      </c>
      <c r="O128" s="17">
        <f>IF($G128="","",$G128)</f>
        <v/>
      </c>
      <c r="P128" s="17">
        <f>IF($K128="","",$K128)</f>
        <v/>
      </c>
      <c r="Q128" s="16" t="n"/>
      <c r="R128" s="18" t="n"/>
      <c r="S128" s="16" t="n"/>
    </row>
    <row r="129">
      <c r="A129" s="14">
        <f>IFERROR(IF(AND(IFERROR(INDEX(ERP資料!$A:$A, (MATCH(128, 輔助計算!$F$2:$F$801, 0)+1)), "")&lt;&gt;"", IFERROR(INDEX(ERP資料!$A:$A, (MATCH(128, 輔助計算!$F$2:$F$801, 0)+1)), "")&lt;&gt;IFERROR(INDEX(ERP資料!$A:$A, MATCH(127, 輔助計算!$F$2:$F$801, 0)+1), "")), INDEX(ERP資料!$B:$B, (MATCH(128, 輔助計算!$F$2:$F$801, 0)+1)), ""), "")</f>
        <v/>
      </c>
      <c r="B129" s="10">
        <f>IFERROR(IF(AND(IFERROR(INDEX(ERP資料!$A:$A, (MATCH(128, 輔助計算!$F$2:$F$801, 0)+1)), "")&lt;&gt;"", IFERROR(INDEX(ERP資料!$A:$A, (MATCH(128, 輔助計算!$F$2:$F$801, 0)+1)), "")&lt;&gt;IFERROR(INDEX(ERP資料!$A:$A, MATCH(127, 輔助計算!$F$2:$F$801, 0)+1), "")), IFERROR(INDEX(ERP資料!$A:$A, (MATCH(128, 輔助計算!$F$2:$F$801, 0)+1)), ""), ""), "")</f>
        <v/>
      </c>
      <c r="C129" s="10">
        <f>IFERROR(IF(AND(IFERROR(INDEX(ERP資料!$A:$A, (MATCH(128, 輔助計算!$F$2:$F$801, 0)+1)), "")&lt;&gt;"", IFERROR(INDEX(ERP資料!$A:$A, (MATCH(128, 輔助計算!$F$2:$F$801, 0)+1)), "")&lt;&gt;IFERROR(INDEX(ERP資料!$A:$A, MATCH(127, 輔助計算!$F$2:$F$801, 0)+1), "")), INDEX(ERP資料!$S:$S, (MATCH(128, 輔助計算!$F$2:$F$801, 0)+1)), ""), "")</f>
        <v/>
      </c>
      <c r="D129" s="10">
        <f>IFERROR(IF(INDEX(ERP資料!$E:$E, (MATCH(128, 輔助計算!$F$2:$F$801, 0)+1))="","",TRIM(INDEX(ERP資料!$E:$E, (MATCH(128, 輔助計算!$F$2:$F$801, 0)+1)))), "")</f>
        <v/>
      </c>
      <c r="E129" s="10">
        <f>IFERROR(IF(INDEX(ERP資料!$F:$F, (MATCH(128, 輔助計算!$F$2:$F$801, 0)+1))="","",INDEX(ERP資料!$F:$F, (MATCH(128, 輔助計算!$F$2:$F$801, 0)+1))), "")</f>
        <v/>
      </c>
      <c r="F129" s="10">
        <f>IFERROR(IF(INDEX(ERP資料!$G:$G, (MATCH(128, 輔助計算!$F$2:$F$801, 0)+1))="","",INDEX(ERP資料!$G:$G, (MATCH(128, 輔助計算!$F$2:$F$801, 0)+1))), "")</f>
        <v/>
      </c>
      <c r="G129" s="10">
        <f>IFERROR(IF(INDEX(ERP資料!$H:$H, (MATCH(128, 輔助計算!$F$2:$F$801, 0)+1))="","",INDEX(ERP資料!$H:$H, (MATCH(128, 輔助計算!$F$2:$F$801, 0)+1))), "")</f>
        <v/>
      </c>
      <c r="H129" s="10">
        <f>IFERROR(IF(INDEX(ERP資料!$O:$O, (MATCH(128, 輔助計算!$F$2:$F$801, 0)+1))="","",INDEX(ERP資料!$O:$O, (MATCH(128, 輔助計算!$F$2:$F$801, 0)+1))), "")</f>
        <v/>
      </c>
      <c r="I129" s="15">
        <f>IFERROR(IF(INDEX(輔助計算!$D:$D,(MATCH(128, 輔助計算!$F$2:$F$801, 0)+1))="","",INDEX(輔助計算!$D:$D,(MATCH(128, 輔助計算!$F$2:$F$801, 0)+1))*INDEX(ERP資料!$O:$O,(MATCH(128, 輔助計算!$F$2:$F$801, 0)+1))), "")</f>
        <v/>
      </c>
      <c r="J129" s="16" t="n"/>
      <c r="K129" s="15">
        <f>IFERROR(INDEX(輔助計算!$D:$D, (MATCH(128, 輔助計算!$F$2:$F$801, 0)+1)), "")</f>
        <v/>
      </c>
      <c r="L129" s="16">
        <f>IFERROR(IF(AND(IFERROR(VLOOKUP(LEFT(INDEX(ERP資料!$S:$S, (MATCH(128, 輔助計算!$F$2:$F$801, 0)+1)), 4), 100張客戶!$A:$A, 1, FALSE), "")&lt;&gt;"", OR(INDEX(ERP資料!$F:$F, (MATCH(128, 輔助計算!$F$2:$F$801, 0)+1))=270, INDEX(ERP資料!$F:$F, (MATCH(128, 輔助計算!$F$2:$F$801, 0)+1))=300)), "100張", ""), "")</f>
        <v/>
      </c>
      <c r="M129" s="17" t="n"/>
      <c r="N129" s="17">
        <f>IF($F129="","",$F129)</f>
        <v/>
      </c>
      <c r="O129" s="17">
        <f>IF($G129="","",$G129)</f>
        <v/>
      </c>
      <c r="P129" s="17">
        <f>IF($K129="","",$K129)</f>
        <v/>
      </c>
      <c r="Q129" s="16" t="n"/>
      <c r="R129" s="18" t="n"/>
      <c r="S129" s="16" t="n"/>
    </row>
    <row r="130">
      <c r="A130" s="14">
        <f>IFERROR(IF(AND(IFERROR(INDEX(ERP資料!$A:$A, (MATCH(129, 輔助計算!$F$2:$F$801, 0)+1)), "")&lt;&gt;"", IFERROR(INDEX(ERP資料!$A:$A, (MATCH(129, 輔助計算!$F$2:$F$801, 0)+1)), "")&lt;&gt;IFERROR(INDEX(ERP資料!$A:$A, MATCH(128, 輔助計算!$F$2:$F$801, 0)+1), "")), INDEX(ERP資料!$B:$B, (MATCH(129, 輔助計算!$F$2:$F$801, 0)+1)), ""), "")</f>
        <v/>
      </c>
      <c r="B130" s="10">
        <f>IFERROR(IF(AND(IFERROR(INDEX(ERP資料!$A:$A, (MATCH(129, 輔助計算!$F$2:$F$801, 0)+1)), "")&lt;&gt;"", IFERROR(INDEX(ERP資料!$A:$A, (MATCH(129, 輔助計算!$F$2:$F$801, 0)+1)), "")&lt;&gt;IFERROR(INDEX(ERP資料!$A:$A, MATCH(128, 輔助計算!$F$2:$F$801, 0)+1), "")), IFERROR(INDEX(ERP資料!$A:$A, (MATCH(129, 輔助計算!$F$2:$F$801, 0)+1)), ""), ""), "")</f>
        <v/>
      </c>
      <c r="C130" s="10">
        <f>IFERROR(IF(AND(IFERROR(INDEX(ERP資料!$A:$A, (MATCH(129, 輔助計算!$F$2:$F$801, 0)+1)), "")&lt;&gt;"", IFERROR(INDEX(ERP資料!$A:$A, (MATCH(129, 輔助計算!$F$2:$F$801, 0)+1)), "")&lt;&gt;IFERROR(INDEX(ERP資料!$A:$A, MATCH(128, 輔助計算!$F$2:$F$801, 0)+1), "")), INDEX(ERP資料!$S:$S, (MATCH(129, 輔助計算!$F$2:$F$801, 0)+1)), ""), "")</f>
        <v/>
      </c>
      <c r="D130" s="10">
        <f>IFERROR(IF(INDEX(ERP資料!$E:$E, (MATCH(129, 輔助計算!$F$2:$F$801, 0)+1))="","",TRIM(INDEX(ERP資料!$E:$E, (MATCH(129, 輔助計算!$F$2:$F$801, 0)+1)))), "")</f>
        <v/>
      </c>
      <c r="E130" s="10">
        <f>IFERROR(IF(INDEX(ERP資料!$F:$F, (MATCH(129, 輔助計算!$F$2:$F$801, 0)+1))="","",INDEX(ERP資料!$F:$F, (MATCH(129, 輔助計算!$F$2:$F$801, 0)+1))), "")</f>
        <v/>
      </c>
      <c r="F130" s="10">
        <f>IFERROR(IF(INDEX(ERP資料!$G:$G, (MATCH(129, 輔助計算!$F$2:$F$801, 0)+1))="","",INDEX(ERP資料!$G:$G, (MATCH(129, 輔助計算!$F$2:$F$801, 0)+1))), "")</f>
        <v/>
      </c>
      <c r="G130" s="10">
        <f>IFERROR(IF(INDEX(ERP資料!$H:$H, (MATCH(129, 輔助計算!$F$2:$F$801, 0)+1))="","",INDEX(ERP資料!$H:$H, (MATCH(129, 輔助計算!$F$2:$F$801, 0)+1))), "")</f>
        <v/>
      </c>
      <c r="H130" s="10">
        <f>IFERROR(IF(INDEX(ERP資料!$O:$O, (MATCH(129, 輔助計算!$F$2:$F$801, 0)+1))="","",INDEX(ERP資料!$O:$O, (MATCH(129, 輔助計算!$F$2:$F$801, 0)+1))), "")</f>
        <v/>
      </c>
      <c r="I130" s="15">
        <f>IFERROR(IF(INDEX(輔助計算!$D:$D,(MATCH(129, 輔助計算!$F$2:$F$801, 0)+1))="","",INDEX(輔助計算!$D:$D,(MATCH(129, 輔助計算!$F$2:$F$801, 0)+1))*INDEX(ERP資料!$O:$O,(MATCH(129, 輔助計算!$F$2:$F$801, 0)+1))), "")</f>
        <v/>
      </c>
      <c r="J130" s="16" t="n"/>
      <c r="K130" s="15">
        <f>IFERROR(INDEX(輔助計算!$D:$D, (MATCH(129, 輔助計算!$F$2:$F$801, 0)+1)), "")</f>
        <v/>
      </c>
      <c r="L130" s="16">
        <f>IFERROR(IF(AND(IFERROR(VLOOKUP(LEFT(INDEX(ERP資料!$S:$S, (MATCH(129, 輔助計算!$F$2:$F$801, 0)+1)), 4), 100張客戶!$A:$A, 1, FALSE), "")&lt;&gt;"", OR(INDEX(ERP資料!$F:$F, (MATCH(129, 輔助計算!$F$2:$F$801, 0)+1))=270, INDEX(ERP資料!$F:$F, (MATCH(129, 輔助計算!$F$2:$F$801, 0)+1))=300)), "100張", ""), "")</f>
        <v/>
      </c>
      <c r="M130" s="17" t="n"/>
      <c r="N130" s="17">
        <f>IF($F130="","",$F130)</f>
        <v/>
      </c>
      <c r="O130" s="17">
        <f>IF($G130="","",$G130)</f>
        <v/>
      </c>
      <c r="P130" s="17">
        <f>IF($K130="","",$K130)</f>
        <v/>
      </c>
      <c r="Q130" s="16" t="n"/>
      <c r="R130" s="18" t="n"/>
      <c r="S130" s="16" t="n"/>
    </row>
    <row r="131">
      <c r="A131" s="14">
        <f>IFERROR(IF(AND(IFERROR(INDEX(ERP資料!$A:$A, (MATCH(130, 輔助計算!$F$2:$F$801, 0)+1)), "")&lt;&gt;"", IFERROR(INDEX(ERP資料!$A:$A, (MATCH(130, 輔助計算!$F$2:$F$801, 0)+1)), "")&lt;&gt;IFERROR(INDEX(ERP資料!$A:$A, MATCH(129, 輔助計算!$F$2:$F$801, 0)+1), "")), INDEX(ERP資料!$B:$B, (MATCH(130, 輔助計算!$F$2:$F$801, 0)+1)), ""), "")</f>
        <v/>
      </c>
      <c r="B131" s="10">
        <f>IFERROR(IF(AND(IFERROR(INDEX(ERP資料!$A:$A, (MATCH(130, 輔助計算!$F$2:$F$801, 0)+1)), "")&lt;&gt;"", IFERROR(INDEX(ERP資料!$A:$A, (MATCH(130, 輔助計算!$F$2:$F$801, 0)+1)), "")&lt;&gt;IFERROR(INDEX(ERP資料!$A:$A, MATCH(129, 輔助計算!$F$2:$F$801, 0)+1), "")), IFERROR(INDEX(ERP資料!$A:$A, (MATCH(130, 輔助計算!$F$2:$F$801, 0)+1)), ""), ""), "")</f>
        <v/>
      </c>
      <c r="C131" s="10">
        <f>IFERROR(IF(AND(IFERROR(INDEX(ERP資料!$A:$A, (MATCH(130, 輔助計算!$F$2:$F$801, 0)+1)), "")&lt;&gt;"", IFERROR(INDEX(ERP資料!$A:$A, (MATCH(130, 輔助計算!$F$2:$F$801, 0)+1)), "")&lt;&gt;IFERROR(INDEX(ERP資料!$A:$A, MATCH(129, 輔助計算!$F$2:$F$801, 0)+1), "")), INDEX(ERP資料!$S:$S, (MATCH(130, 輔助計算!$F$2:$F$801, 0)+1)), ""), "")</f>
        <v/>
      </c>
      <c r="D131" s="10">
        <f>IFERROR(IF(INDEX(ERP資料!$E:$E, (MATCH(130, 輔助計算!$F$2:$F$801, 0)+1))="","",TRIM(INDEX(ERP資料!$E:$E, (MATCH(130, 輔助計算!$F$2:$F$801, 0)+1)))), "")</f>
        <v/>
      </c>
      <c r="E131" s="10">
        <f>IFERROR(IF(INDEX(ERP資料!$F:$F, (MATCH(130, 輔助計算!$F$2:$F$801, 0)+1))="","",INDEX(ERP資料!$F:$F, (MATCH(130, 輔助計算!$F$2:$F$801, 0)+1))), "")</f>
        <v/>
      </c>
      <c r="F131" s="10">
        <f>IFERROR(IF(INDEX(ERP資料!$G:$G, (MATCH(130, 輔助計算!$F$2:$F$801, 0)+1))="","",INDEX(ERP資料!$G:$G, (MATCH(130, 輔助計算!$F$2:$F$801, 0)+1))), "")</f>
        <v/>
      </c>
      <c r="G131" s="10">
        <f>IFERROR(IF(INDEX(ERP資料!$H:$H, (MATCH(130, 輔助計算!$F$2:$F$801, 0)+1))="","",INDEX(ERP資料!$H:$H, (MATCH(130, 輔助計算!$F$2:$F$801, 0)+1))), "")</f>
        <v/>
      </c>
      <c r="H131" s="10">
        <f>IFERROR(IF(INDEX(ERP資料!$O:$O, (MATCH(130, 輔助計算!$F$2:$F$801, 0)+1))="","",INDEX(ERP資料!$O:$O, (MATCH(130, 輔助計算!$F$2:$F$801, 0)+1))), "")</f>
        <v/>
      </c>
      <c r="I131" s="15">
        <f>IFERROR(IF(INDEX(輔助計算!$D:$D,(MATCH(130, 輔助計算!$F$2:$F$801, 0)+1))="","",INDEX(輔助計算!$D:$D,(MATCH(130, 輔助計算!$F$2:$F$801, 0)+1))*INDEX(ERP資料!$O:$O,(MATCH(130, 輔助計算!$F$2:$F$801, 0)+1))), "")</f>
        <v/>
      </c>
      <c r="J131" s="16" t="n"/>
      <c r="K131" s="15">
        <f>IFERROR(INDEX(輔助計算!$D:$D, (MATCH(130, 輔助計算!$F$2:$F$801, 0)+1)), "")</f>
        <v/>
      </c>
      <c r="L131" s="16">
        <f>IFERROR(IF(AND(IFERROR(VLOOKUP(LEFT(INDEX(ERP資料!$S:$S, (MATCH(130, 輔助計算!$F$2:$F$801, 0)+1)), 4), 100張客戶!$A:$A, 1, FALSE), "")&lt;&gt;"", OR(INDEX(ERP資料!$F:$F, (MATCH(130, 輔助計算!$F$2:$F$801, 0)+1))=270, INDEX(ERP資料!$F:$F, (MATCH(130, 輔助計算!$F$2:$F$801, 0)+1))=300)), "100張", ""), "")</f>
        <v/>
      </c>
      <c r="M131" s="17" t="n"/>
      <c r="N131" s="17">
        <f>IF($F131="","",$F131)</f>
        <v/>
      </c>
      <c r="O131" s="17">
        <f>IF($G131="","",$G131)</f>
        <v/>
      </c>
      <c r="P131" s="17">
        <f>IF($K131="","",$K131)</f>
        <v/>
      </c>
      <c r="Q131" s="16" t="n"/>
      <c r="R131" s="18" t="n"/>
      <c r="S131" s="16" t="n"/>
    </row>
    <row r="132">
      <c r="A132" s="14">
        <f>IFERROR(IF(AND(IFERROR(INDEX(ERP資料!$A:$A, (MATCH(131, 輔助計算!$F$2:$F$801, 0)+1)), "")&lt;&gt;"", IFERROR(INDEX(ERP資料!$A:$A, (MATCH(131, 輔助計算!$F$2:$F$801, 0)+1)), "")&lt;&gt;IFERROR(INDEX(ERP資料!$A:$A, MATCH(130, 輔助計算!$F$2:$F$801, 0)+1), "")), INDEX(ERP資料!$B:$B, (MATCH(131, 輔助計算!$F$2:$F$801, 0)+1)), ""), "")</f>
        <v/>
      </c>
      <c r="B132" s="10">
        <f>IFERROR(IF(AND(IFERROR(INDEX(ERP資料!$A:$A, (MATCH(131, 輔助計算!$F$2:$F$801, 0)+1)), "")&lt;&gt;"", IFERROR(INDEX(ERP資料!$A:$A, (MATCH(131, 輔助計算!$F$2:$F$801, 0)+1)), "")&lt;&gt;IFERROR(INDEX(ERP資料!$A:$A, MATCH(130, 輔助計算!$F$2:$F$801, 0)+1), "")), IFERROR(INDEX(ERP資料!$A:$A, (MATCH(131, 輔助計算!$F$2:$F$801, 0)+1)), ""), ""), "")</f>
        <v/>
      </c>
      <c r="C132" s="10">
        <f>IFERROR(IF(AND(IFERROR(INDEX(ERP資料!$A:$A, (MATCH(131, 輔助計算!$F$2:$F$801, 0)+1)), "")&lt;&gt;"", IFERROR(INDEX(ERP資料!$A:$A, (MATCH(131, 輔助計算!$F$2:$F$801, 0)+1)), "")&lt;&gt;IFERROR(INDEX(ERP資料!$A:$A, MATCH(130, 輔助計算!$F$2:$F$801, 0)+1), "")), INDEX(ERP資料!$S:$S, (MATCH(131, 輔助計算!$F$2:$F$801, 0)+1)), ""), "")</f>
        <v/>
      </c>
      <c r="D132" s="10">
        <f>IFERROR(IF(INDEX(ERP資料!$E:$E, (MATCH(131, 輔助計算!$F$2:$F$801, 0)+1))="","",TRIM(INDEX(ERP資料!$E:$E, (MATCH(131, 輔助計算!$F$2:$F$801, 0)+1)))), "")</f>
        <v/>
      </c>
      <c r="E132" s="10">
        <f>IFERROR(IF(INDEX(ERP資料!$F:$F, (MATCH(131, 輔助計算!$F$2:$F$801, 0)+1))="","",INDEX(ERP資料!$F:$F, (MATCH(131, 輔助計算!$F$2:$F$801, 0)+1))), "")</f>
        <v/>
      </c>
      <c r="F132" s="10">
        <f>IFERROR(IF(INDEX(ERP資料!$G:$G, (MATCH(131, 輔助計算!$F$2:$F$801, 0)+1))="","",INDEX(ERP資料!$G:$G, (MATCH(131, 輔助計算!$F$2:$F$801, 0)+1))), "")</f>
        <v/>
      </c>
      <c r="G132" s="10">
        <f>IFERROR(IF(INDEX(ERP資料!$H:$H, (MATCH(131, 輔助計算!$F$2:$F$801, 0)+1))="","",INDEX(ERP資料!$H:$H, (MATCH(131, 輔助計算!$F$2:$F$801, 0)+1))), "")</f>
        <v/>
      </c>
      <c r="H132" s="10">
        <f>IFERROR(IF(INDEX(ERP資料!$O:$O, (MATCH(131, 輔助計算!$F$2:$F$801, 0)+1))="","",INDEX(ERP資料!$O:$O, (MATCH(131, 輔助計算!$F$2:$F$801, 0)+1))), "")</f>
        <v/>
      </c>
      <c r="I132" s="15">
        <f>IFERROR(IF(INDEX(輔助計算!$D:$D,(MATCH(131, 輔助計算!$F$2:$F$801, 0)+1))="","",INDEX(輔助計算!$D:$D,(MATCH(131, 輔助計算!$F$2:$F$801, 0)+1))*INDEX(ERP資料!$O:$O,(MATCH(131, 輔助計算!$F$2:$F$801, 0)+1))), "")</f>
        <v/>
      </c>
      <c r="J132" s="16" t="n"/>
      <c r="K132" s="15">
        <f>IFERROR(INDEX(輔助計算!$D:$D, (MATCH(131, 輔助計算!$F$2:$F$801, 0)+1)), "")</f>
        <v/>
      </c>
      <c r="L132" s="16">
        <f>IFERROR(IF(AND(IFERROR(VLOOKUP(LEFT(INDEX(ERP資料!$S:$S, (MATCH(131, 輔助計算!$F$2:$F$801, 0)+1)), 4), 100張客戶!$A:$A, 1, FALSE), "")&lt;&gt;"", OR(INDEX(ERP資料!$F:$F, (MATCH(131, 輔助計算!$F$2:$F$801, 0)+1))=270, INDEX(ERP資料!$F:$F, (MATCH(131, 輔助計算!$F$2:$F$801, 0)+1))=300)), "100張", ""), "")</f>
        <v/>
      </c>
      <c r="M132" s="17" t="n"/>
      <c r="N132" s="17">
        <f>IF($F132="","",$F132)</f>
        <v/>
      </c>
      <c r="O132" s="17">
        <f>IF($G132="","",$G132)</f>
        <v/>
      </c>
      <c r="P132" s="17">
        <f>IF($K132="","",$K132)</f>
        <v/>
      </c>
      <c r="Q132" s="16" t="n"/>
      <c r="R132" s="18" t="n"/>
      <c r="S132" s="16" t="n"/>
    </row>
    <row r="133">
      <c r="A133" s="14">
        <f>IFERROR(IF(AND(IFERROR(INDEX(ERP資料!$A:$A, (MATCH(132, 輔助計算!$F$2:$F$801, 0)+1)), "")&lt;&gt;"", IFERROR(INDEX(ERP資料!$A:$A, (MATCH(132, 輔助計算!$F$2:$F$801, 0)+1)), "")&lt;&gt;IFERROR(INDEX(ERP資料!$A:$A, MATCH(131, 輔助計算!$F$2:$F$801, 0)+1), "")), INDEX(ERP資料!$B:$B, (MATCH(132, 輔助計算!$F$2:$F$801, 0)+1)), ""), "")</f>
        <v/>
      </c>
      <c r="B133" s="10">
        <f>IFERROR(IF(AND(IFERROR(INDEX(ERP資料!$A:$A, (MATCH(132, 輔助計算!$F$2:$F$801, 0)+1)), "")&lt;&gt;"", IFERROR(INDEX(ERP資料!$A:$A, (MATCH(132, 輔助計算!$F$2:$F$801, 0)+1)), "")&lt;&gt;IFERROR(INDEX(ERP資料!$A:$A, MATCH(131, 輔助計算!$F$2:$F$801, 0)+1), "")), IFERROR(INDEX(ERP資料!$A:$A, (MATCH(132, 輔助計算!$F$2:$F$801, 0)+1)), ""), ""), "")</f>
        <v/>
      </c>
      <c r="C133" s="10">
        <f>IFERROR(IF(AND(IFERROR(INDEX(ERP資料!$A:$A, (MATCH(132, 輔助計算!$F$2:$F$801, 0)+1)), "")&lt;&gt;"", IFERROR(INDEX(ERP資料!$A:$A, (MATCH(132, 輔助計算!$F$2:$F$801, 0)+1)), "")&lt;&gt;IFERROR(INDEX(ERP資料!$A:$A, MATCH(131, 輔助計算!$F$2:$F$801, 0)+1), "")), INDEX(ERP資料!$S:$S, (MATCH(132, 輔助計算!$F$2:$F$801, 0)+1)), ""), "")</f>
        <v/>
      </c>
      <c r="D133" s="10">
        <f>IFERROR(IF(INDEX(ERP資料!$E:$E, (MATCH(132, 輔助計算!$F$2:$F$801, 0)+1))="","",TRIM(INDEX(ERP資料!$E:$E, (MATCH(132, 輔助計算!$F$2:$F$801, 0)+1)))), "")</f>
        <v/>
      </c>
      <c r="E133" s="10">
        <f>IFERROR(IF(INDEX(ERP資料!$F:$F, (MATCH(132, 輔助計算!$F$2:$F$801, 0)+1))="","",INDEX(ERP資料!$F:$F, (MATCH(132, 輔助計算!$F$2:$F$801, 0)+1))), "")</f>
        <v/>
      </c>
      <c r="F133" s="10">
        <f>IFERROR(IF(INDEX(ERP資料!$G:$G, (MATCH(132, 輔助計算!$F$2:$F$801, 0)+1))="","",INDEX(ERP資料!$G:$G, (MATCH(132, 輔助計算!$F$2:$F$801, 0)+1))), "")</f>
        <v/>
      </c>
      <c r="G133" s="10">
        <f>IFERROR(IF(INDEX(ERP資料!$H:$H, (MATCH(132, 輔助計算!$F$2:$F$801, 0)+1))="","",INDEX(ERP資料!$H:$H, (MATCH(132, 輔助計算!$F$2:$F$801, 0)+1))), "")</f>
        <v/>
      </c>
      <c r="H133" s="10">
        <f>IFERROR(IF(INDEX(ERP資料!$O:$O, (MATCH(132, 輔助計算!$F$2:$F$801, 0)+1))="","",INDEX(ERP資料!$O:$O, (MATCH(132, 輔助計算!$F$2:$F$801, 0)+1))), "")</f>
        <v/>
      </c>
      <c r="I133" s="15">
        <f>IFERROR(IF(INDEX(輔助計算!$D:$D,(MATCH(132, 輔助計算!$F$2:$F$801, 0)+1))="","",INDEX(輔助計算!$D:$D,(MATCH(132, 輔助計算!$F$2:$F$801, 0)+1))*INDEX(ERP資料!$O:$O,(MATCH(132, 輔助計算!$F$2:$F$801, 0)+1))), "")</f>
        <v/>
      </c>
      <c r="J133" s="16" t="n"/>
      <c r="K133" s="15">
        <f>IFERROR(INDEX(輔助計算!$D:$D, (MATCH(132, 輔助計算!$F$2:$F$801, 0)+1)), "")</f>
        <v/>
      </c>
      <c r="L133" s="16">
        <f>IFERROR(IF(AND(IFERROR(VLOOKUP(LEFT(INDEX(ERP資料!$S:$S, (MATCH(132, 輔助計算!$F$2:$F$801, 0)+1)), 4), 100張客戶!$A:$A, 1, FALSE), "")&lt;&gt;"", OR(INDEX(ERP資料!$F:$F, (MATCH(132, 輔助計算!$F$2:$F$801, 0)+1))=270, INDEX(ERP資料!$F:$F, (MATCH(132, 輔助計算!$F$2:$F$801, 0)+1))=300)), "100張", ""), "")</f>
        <v/>
      </c>
      <c r="M133" s="17" t="n"/>
      <c r="N133" s="17">
        <f>IF($F133="","",$F133)</f>
        <v/>
      </c>
      <c r="O133" s="17">
        <f>IF($G133="","",$G133)</f>
        <v/>
      </c>
      <c r="P133" s="17">
        <f>IF($K133="","",$K133)</f>
        <v/>
      </c>
      <c r="Q133" s="16" t="n"/>
      <c r="R133" s="18" t="n"/>
      <c r="S133" s="16" t="n"/>
    </row>
    <row r="134">
      <c r="A134" s="14">
        <f>IFERROR(IF(AND(IFERROR(INDEX(ERP資料!$A:$A, (MATCH(133, 輔助計算!$F$2:$F$801, 0)+1)), "")&lt;&gt;"", IFERROR(INDEX(ERP資料!$A:$A, (MATCH(133, 輔助計算!$F$2:$F$801, 0)+1)), "")&lt;&gt;IFERROR(INDEX(ERP資料!$A:$A, MATCH(132, 輔助計算!$F$2:$F$801, 0)+1), "")), INDEX(ERP資料!$B:$B, (MATCH(133, 輔助計算!$F$2:$F$801, 0)+1)), ""), "")</f>
        <v/>
      </c>
      <c r="B134" s="10">
        <f>IFERROR(IF(AND(IFERROR(INDEX(ERP資料!$A:$A, (MATCH(133, 輔助計算!$F$2:$F$801, 0)+1)), "")&lt;&gt;"", IFERROR(INDEX(ERP資料!$A:$A, (MATCH(133, 輔助計算!$F$2:$F$801, 0)+1)), "")&lt;&gt;IFERROR(INDEX(ERP資料!$A:$A, MATCH(132, 輔助計算!$F$2:$F$801, 0)+1), "")), IFERROR(INDEX(ERP資料!$A:$A, (MATCH(133, 輔助計算!$F$2:$F$801, 0)+1)), ""), ""), "")</f>
        <v/>
      </c>
      <c r="C134" s="10">
        <f>IFERROR(IF(AND(IFERROR(INDEX(ERP資料!$A:$A, (MATCH(133, 輔助計算!$F$2:$F$801, 0)+1)), "")&lt;&gt;"", IFERROR(INDEX(ERP資料!$A:$A, (MATCH(133, 輔助計算!$F$2:$F$801, 0)+1)), "")&lt;&gt;IFERROR(INDEX(ERP資料!$A:$A, MATCH(132, 輔助計算!$F$2:$F$801, 0)+1), "")), INDEX(ERP資料!$S:$S, (MATCH(133, 輔助計算!$F$2:$F$801, 0)+1)), ""), "")</f>
        <v/>
      </c>
      <c r="D134" s="10">
        <f>IFERROR(IF(INDEX(ERP資料!$E:$E, (MATCH(133, 輔助計算!$F$2:$F$801, 0)+1))="","",TRIM(INDEX(ERP資料!$E:$E, (MATCH(133, 輔助計算!$F$2:$F$801, 0)+1)))), "")</f>
        <v/>
      </c>
      <c r="E134" s="10">
        <f>IFERROR(IF(INDEX(ERP資料!$F:$F, (MATCH(133, 輔助計算!$F$2:$F$801, 0)+1))="","",INDEX(ERP資料!$F:$F, (MATCH(133, 輔助計算!$F$2:$F$801, 0)+1))), "")</f>
        <v/>
      </c>
      <c r="F134" s="10">
        <f>IFERROR(IF(INDEX(ERP資料!$G:$G, (MATCH(133, 輔助計算!$F$2:$F$801, 0)+1))="","",INDEX(ERP資料!$G:$G, (MATCH(133, 輔助計算!$F$2:$F$801, 0)+1))), "")</f>
        <v/>
      </c>
      <c r="G134" s="10">
        <f>IFERROR(IF(INDEX(ERP資料!$H:$H, (MATCH(133, 輔助計算!$F$2:$F$801, 0)+1))="","",INDEX(ERP資料!$H:$H, (MATCH(133, 輔助計算!$F$2:$F$801, 0)+1))), "")</f>
        <v/>
      </c>
      <c r="H134" s="10">
        <f>IFERROR(IF(INDEX(ERP資料!$O:$O, (MATCH(133, 輔助計算!$F$2:$F$801, 0)+1))="","",INDEX(ERP資料!$O:$O, (MATCH(133, 輔助計算!$F$2:$F$801, 0)+1))), "")</f>
        <v/>
      </c>
      <c r="I134" s="15">
        <f>IFERROR(IF(INDEX(輔助計算!$D:$D,(MATCH(133, 輔助計算!$F$2:$F$801, 0)+1))="","",INDEX(輔助計算!$D:$D,(MATCH(133, 輔助計算!$F$2:$F$801, 0)+1))*INDEX(ERP資料!$O:$O,(MATCH(133, 輔助計算!$F$2:$F$801, 0)+1))), "")</f>
        <v/>
      </c>
      <c r="J134" s="16" t="n"/>
      <c r="K134" s="15">
        <f>IFERROR(INDEX(輔助計算!$D:$D, (MATCH(133, 輔助計算!$F$2:$F$801, 0)+1)), "")</f>
        <v/>
      </c>
      <c r="L134" s="16">
        <f>IFERROR(IF(AND(IFERROR(VLOOKUP(LEFT(INDEX(ERP資料!$S:$S, (MATCH(133, 輔助計算!$F$2:$F$801, 0)+1)), 4), 100張客戶!$A:$A, 1, FALSE), "")&lt;&gt;"", OR(INDEX(ERP資料!$F:$F, (MATCH(133, 輔助計算!$F$2:$F$801, 0)+1))=270, INDEX(ERP資料!$F:$F, (MATCH(133, 輔助計算!$F$2:$F$801, 0)+1))=300)), "100張", ""), "")</f>
        <v/>
      </c>
      <c r="M134" s="17" t="n"/>
      <c r="N134" s="17">
        <f>IF($F134="","",$F134)</f>
        <v/>
      </c>
      <c r="O134" s="17">
        <f>IF($G134="","",$G134)</f>
        <v/>
      </c>
      <c r="P134" s="17">
        <f>IF($K134="","",$K134)</f>
        <v/>
      </c>
      <c r="Q134" s="16" t="n"/>
      <c r="R134" s="18" t="n"/>
      <c r="S134" s="16" t="n"/>
    </row>
    <row r="135">
      <c r="A135" s="14">
        <f>IFERROR(IF(AND(IFERROR(INDEX(ERP資料!$A:$A, (MATCH(134, 輔助計算!$F$2:$F$801, 0)+1)), "")&lt;&gt;"", IFERROR(INDEX(ERP資料!$A:$A, (MATCH(134, 輔助計算!$F$2:$F$801, 0)+1)), "")&lt;&gt;IFERROR(INDEX(ERP資料!$A:$A, MATCH(133, 輔助計算!$F$2:$F$801, 0)+1), "")), INDEX(ERP資料!$B:$B, (MATCH(134, 輔助計算!$F$2:$F$801, 0)+1)), ""), "")</f>
        <v/>
      </c>
      <c r="B135" s="10">
        <f>IFERROR(IF(AND(IFERROR(INDEX(ERP資料!$A:$A, (MATCH(134, 輔助計算!$F$2:$F$801, 0)+1)), "")&lt;&gt;"", IFERROR(INDEX(ERP資料!$A:$A, (MATCH(134, 輔助計算!$F$2:$F$801, 0)+1)), "")&lt;&gt;IFERROR(INDEX(ERP資料!$A:$A, MATCH(133, 輔助計算!$F$2:$F$801, 0)+1), "")), IFERROR(INDEX(ERP資料!$A:$A, (MATCH(134, 輔助計算!$F$2:$F$801, 0)+1)), ""), ""), "")</f>
        <v/>
      </c>
      <c r="C135" s="10">
        <f>IFERROR(IF(AND(IFERROR(INDEX(ERP資料!$A:$A, (MATCH(134, 輔助計算!$F$2:$F$801, 0)+1)), "")&lt;&gt;"", IFERROR(INDEX(ERP資料!$A:$A, (MATCH(134, 輔助計算!$F$2:$F$801, 0)+1)), "")&lt;&gt;IFERROR(INDEX(ERP資料!$A:$A, MATCH(133, 輔助計算!$F$2:$F$801, 0)+1), "")), INDEX(ERP資料!$S:$S, (MATCH(134, 輔助計算!$F$2:$F$801, 0)+1)), ""), "")</f>
        <v/>
      </c>
      <c r="D135" s="10">
        <f>IFERROR(IF(INDEX(ERP資料!$E:$E, (MATCH(134, 輔助計算!$F$2:$F$801, 0)+1))="","",TRIM(INDEX(ERP資料!$E:$E, (MATCH(134, 輔助計算!$F$2:$F$801, 0)+1)))), "")</f>
        <v/>
      </c>
      <c r="E135" s="10">
        <f>IFERROR(IF(INDEX(ERP資料!$F:$F, (MATCH(134, 輔助計算!$F$2:$F$801, 0)+1))="","",INDEX(ERP資料!$F:$F, (MATCH(134, 輔助計算!$F$2:$F$801, 0)+1))), "")</f>
        <v/>
      </c>
      <c r="F135" s="10">
        <f>IFERROR(IF(INDEX(ERP資料!$G:$G, (MATCH(134, 輔助計算!$F$2:$F$801, 0)+1))="","",INDEX(ERP資料!$G:$G, (MATCH(134, 輔助計算!$F$2:$F$801, 0)+1))), "")</f>
        <v/>
      </c>
      <c r="G135" s="10">
        <f>IFERROR(IF(INDEX(ERP資料!$H:$H, (MATCH(134, 輔助計算!$F$2:$F$801, 0)+1))="","",INDEX(ERP資料!$H:$H, (MATCH(134, 輔助計算!$F$2:$F$801, 0)+1))), "")</f>
        <v/>
      </c>
      <c r="H135" s="10">
        <f>IFERROR(IF(INDEX(ERP資料!$O:$O, (MATCH(134, 輔助計算!$F$2:$F$801, 0)+1))="","",INDEX(ERP資料!$O:$O, (MATCH(134, 輔助計算!$F$2:$F$801, 0)+1))), "")</f>
        <v/>
      </c>
      <c r="I135" s="15">
        <f>IFERROR(IF(INDEX(輔助計算!$D:$D,(MATCH(134, 輔助計算!$F$2:$F$801, 0)+1))="","",INDEX(輔助計算!$D:$D,(MATCH(134, 輔助計算!$F$2:$F$801, 0)+1))*INDEX(ERP資料!$O:$O,(MATCH(134, 輔助計算!$F$2:$F$801, 0)+1))), "")</f>
        <v/>
      </c>
      <c r="J135" s="16" t="n"/>
      <c r="K135" s="15">
        <f>IFERROR(INDEX(輔助計算!$D:$D, (MATCH(134, 輔助計算!$F$2:$F$801, 0)+1)), "")</f>
        <v/>
      </c>
      <c r="L135" s="16">
        <f>IFERROR(IF(AND(IFERROR(VLOOKUP(LEFT(INDEX(ERP資料!$S:$S, (MATCH(134, 輔助計算!$F$2:$F$801, 0)+1)), 4), 100張客戶!$A:$A, 1, FALSE), "")&lt;&gt;"", OR(INDEX(ERP資料!$F:$F, (MATCH(134, 輔助計算!$F$2:$F$801, 0)+1))=270, INDEX(ERP資料!$F:$F, (MATCH(134, 輔助計算!$F$2:$F$801, 0)+1))=300)), "100張", ""), "")</f>
        <v/>
      </c>
      <c r="M135" s="17" t="n"/>
      <c r="N135" s="17">
        <f>IF($F135="","",$F135)</f>
        <v/>
      </c>
      <c r="O135" s="17">
        <f>IF($G135="","",$G135)</f>
        <v/>
      </c>
      <c r="P135" s="17">
        <f>IF($K135="","",$K135)</f>
        <v/>
      </c>
      <c r="Q135" s="16" t="n"/>
      <c r="R135" s="18" t="n"/>
      <c r="S135" s="16" t="n"/>
    </row>
    <row r="136">
      <c r="A136" s="14">
        <f>IFERROR(IF(AND(IFERROR(INDEX(ERP資料!$A:$A, (MATCH(135, 輔助計算!$F$2:$F$801, 0)+1)), "")&lt;&gt;"", IFERROR(INDEX(ERP資料!$A:$A, (MATCH(135, 輔助計算!$F$2:$F$801, 0)+1)), "")&lt;&gt;IFERROR(INDEX(ERP資料!$A:$A, MATCH(134, 輔助計算!$F$2:$F$801, 0)+1), "")), INDEX(ERP資料!$B:$B, (MATCH(135, 輔助計算!$F$2:$F$801, 0)+1)), ""), "")</f>
        <v/>
      </c>
      <c r="B136" s="10">
        <f>IFERROR(IF(AND(IFERROR(INDEX(ERP資料!$A:$A, (MATCH(135, 輔助計算!$F$2:$F$801, 0)+1)), "")&lt;&gt;"", IFERROR(INDEX(ERP資料!$A:$A, (MATCH(135, 輔助計算!$F$2:$F$801, 0)+1)), "")&lt;&gt;IFERROR(INDEX(ERP資料!$A:$A, MATCH(134, 輔助計算!$F$2:$F$801, 0)+1), "")), IFERROR(INDEX(ERP資料!$A:$A, (MATCH(135, 輔助計算!$F$2:$F$801, 0)+1)), ""), ""), "")</f>
        <v/>
      </c>
      <c r="C136" s="10">
        <f>IFERROR(IF(AND(IFERROR(INDEX(ERP資料!$A:$A, (MATCH(135, 輔助計算!$F$2:$F$801, 0)+1)), "")&lt;&gt;"", IFERROR(INDEX(ERP資料!$A:$A, (MATCH(135, 輔助計算!$F$2:$F$801, 0)+1)), "")&lt;&gt;IFERROR(INDEX(ERP資料!$A:$A, MATCH(134, 輔助計算!$F$2:$F$801, 0)+1), "")), INDEX(ERP資料!$S:$S, (MATCH(135, 輔助計算!$F$2:$F$801, 0)+1)), ""), "")</f>
        <v/>
      </c>
      <c r="D136" s="10">
        <f>IFERROR(IF(INDEX(ERP資料!$E:$E, (MATCH(135, 輔助計算!$F$2:$F$801, 0)+1))="","",TRIM(INDEX(ERP資料!$E:$E, (MATCH(135, 輔助計算!$F$2:$F$801, 0)+1)))), "")</f>
        <v/>
      </c>
      <c r="E136" s="10">
        <f>IFERROR(IF(INDEX(ERP資料!$F:$F, (MATCH(135, 輔助計算!$F$2:$F$801, 0)+1))="","",INDEX(ERP資料!$F:$F, (MATCH(135, 輔助計算!$F$2:$F$801, 0)+1))), "")</f>
        <v/>
      </c>
      <c r="F136" s="10">
        <f>IFERROR(IF(INDEX(ERP資料!$G:$G, (MATCH(135, 輔助計算!$F$2:$F$801, 0)+1))="","",INDEX(ERP資料!$G:$G, (MATCH(135, 輔助計算!$F$2:$F$801, 0)+1))), "")</f>
        <v/>
      </c>
      <c r="G136" s="10">
        <f>IFERROR(IF(INDEX(ERP資料!$H:$H, (MATCH(135, 輔助計算!$F$2:$F$801, 0)+1))="","",INDEX(ERP資料!$H:$H, (MATCH(135, 輔助計算!$F$2:$F$801, 0)+1))), "")</f>
        <v/>
      </c>
      <c r="H136" s="10">
        <f>IFERROR(IF(INDEX(ERP資料!$O:$O, (MATCH(135, 輔助計算!$F$2:$F$801, 0)+1))="","",INDEX(ERP資料!$O:$O, (MATCH(135, 輔助計算!$F$2:$F$801, 0)+1))), "")</f>
        <v/>
      </c>
      <c r="I136" s="15">
        <f>IFERROR(IF(INDEX(輔助計算!$D:$D,(MATCH(135, 輔助計算!$F$2:$F$801, 0)+1))="","",INDEX(輔助計算!$D:$D,(MATCH(135, 輔助計算!$F$2:$F$801, 0)+1))*INDEX(ERP資料!$O:$O,(MATCH(135, 輔助計算!$F$2:$F$801, 0)+1))), "")</f>
        <v/>
      </c>
      <c r="J136" s="16" t="n"/>
      <c r="K136" s="15">
        <f>IFERROR(INDEX(輔助計算!$D:$D, (MATCH(135, 輔助計算!$F$2:$F$801, 0)+1)), "")</f>
        <v/>
      </c>
      <c r="L136" s="16">
        <f>IFERROR(IF(AND(IFERROR(VLOOKUP(LEFT(INDEX(ERP資料!$S:$S, (MATCH(135, 輔助計算!$F$2:$F$801, 0)+1)), 4), 100張客戶!$A:$A, 1, FALSE), "")&lt;&gt;"", OR(INDEX(ERP資料!$F:$F, (MATCH(135, 輔助計算!$F$2:$F$801, 0)+1))=270, INDEX(ERP資料!$F:$F, (MATCH(135, 輔助計算!$F$2:$F$801, 0)+1))=300)), "100張", ""), "")</f>
        <v/>
      </c>
      <c r="M136" s="17" t="n"/>
      <c r="N136" s="17">
        <f>IF($F136="","",$F136)</f>
        <v/>
      </c>
      <c r="O136" s="17">
        <f>IF($G136="","",$G136)</f>
        <v/>
      </c>
      <c r="P136" s="17">
        <f>IF($K136="","",$K136)</f>
        <v/>
      </c>
      <c r="Q136" s="16" t="n"/>
      <c r="R136" s="18" t="n"/>
      <c r="S136" s="16" t="n"/>
    </row>
    <row r="137">
      <c r="A137" s="14">
        <f>IFERROR(IF(AND(IFERROR(INDEX(ERP資料!$A:$A, (MATCH(136, 輔助計算!$F$2:$F$801, 0)+1)), "")&lt;&gt;"", IFERROR(INDEX(ERP資料!$A:$A, (MATCH(136, 輔助計算!$F$2:$F$801, 0)+1)), "")&lt;&gt;IFERROR(INDEX(ERP資料!$A:$A, MATCH(135, 輔助計算!$F$2:$F$801, 0)+1), "")), INDEX(ERP資料!$B:$B, (MATCH(136, 輔助計算!$F$2:$F$801, 0)+1)), ""), "")</f>
        <v/>
      </c>
      <c r="B137" s="10">
        <f>IFERROR(IF(AND(IFERROR(INDEX(ERP資料!$A:$A, (MATCH(136, 輔助計算!$F$2:$F$801, 0)+1)), "")&lt;&gt;"", IFERROR(INDEX(ERP資料!$A:$A, (MATCH(136, 輔助計算!$F$2:$F$801, 0)+1)), "")&lt;&gt;IFERROR(INDEX(ERP資料!$A:$A, MATCH(135, 輔助計算!$F$2:$F$801, 0)+1), "")), IFERROR(INDEX(ERP資料!$A:$A, (MATCH(136, 輔助計算!$F$2:$F$801, 0)+1)), ""), ""), "")</f>
        <v/>
      </c>
      <c r="C137" s="10">
        <f>IFERROR(IF(AND(IFERROR(INDEX(ERP資料!$A:$A, (MATCH(136, 輔助計算!$F$2:$F$801, 0)+1)), "")&lt;&gt;"", IFERROR(INDEX(ERP資料!$A:$A, (MATCH(136, 輔助計算!$F$2:$F$801, 0)+1)), "")&lt;&gt;IFERROR(INDEX(ERP資料!$A:$A, MATCH(135, 輔助計算!$F$2:$F$801, 0)+1), "")), INDEX(ERP資料!$S:$S, (MATCH(136, 輔助計算!$F$2:$F$801, 0)+1)), ""), "")</f>
        <v/>
      </c>
      <c r="D137" s="10">
        <f>IFERROR(IF(INDEX(ERP資料!$E:$E, (MATCH(136, 輔助計算!$F$2:$F$801, 0)+1))="","",TRIM(INDEX(ERP資料!$E:$E, (MATCH(136, 輔助計算!$F$2:$F$801, 0)+1)))), "")</f>
        <v/>
      </c>
      <c r="E137" s="10">
        <f>IFERROR(IF(INDEX(ERP資料!$F:$F, (MATCH(136, 輔助計算!$F$2:$F$801, 0)+1))="","",INDEX(ERP資料!$F:$F, (MATCH(136, 輔助計算!$F$2:$F$801, 0)+1))), "")</f>
        <v/>
      </c>
      <c r="F137" s="10">
        <f>IFERROR(IF(INDEX(ERP資料!$G:$G, (MATCH(136, 輔助計算!$F$2:$F$801, 0)+1))="","",INDEX(ERP資料!$G:$G, (MATCH(136, 輔助計算!$F$2:$F$801, 0)+1))), "")</f>
        <v/>
      </c>
      <c r="G137" s="10">
        <f>IFERROR(IF(INDEX(ERP資料!$H:$H, (MATCH(136, 輔助計算!$F$2:$F$801, 0)+1))="","",INDEX(ERP資料!$H:$H, (MATCH(136, 輔助計算!$F$2:$F$801, 0)+1))), "")</f>
        <v/>
      </c>
      <c r="H137" s="10">
        <f>IFERROR(IF(INDEX(ERP資料!$O:$O, (MATCH(136, 輔助計算!$F$2:$F$801, 0)+1))="","",INDEX(ERP資料!$O:$O, (MATCH(136, 輔助計算!$F$2:$F$801, 0)+1))), "")</f>
        <v/>
      </c>
      <c r="I137" s="15">
        <f>IFERROR(IF(INDEX(輔助計算!$D:$D,(MATCH(136, 輔助計算!$F$2:$F$801, 0)+1))="","",INDEX(輔助計算!$D:$D,(MATCH(136, 輔助計算!$F$2:$F$801, 0)+1))*INDEX(ERP資料!$O:$O,(MATCH(136, 輔助計算!$F$2:$F$801, 0)+1))), "")</f>
        <v/>
      </c>
      <c r="J137" s="16" t="n"/>
      <c r="K137" s="15">
        <f>IFERROR(INDEX(輔助計算!$D:$D, (MATCH(136, 輔助計算!$F$2:$F$801, 0)+1)), "")</f>
        <v/>
      </c>
      <c r="L137" s="16">
        <f>IFERROR(IF(AND(IFERROR(VLOOKUP(LEFT(INDEX(ERP資料!$S:$S, (MATCH(136, 輔助計算!$F$2:$F$801, 0)+1)), 4), 100張客戶!$A:$A, 1, FALSE), "")&lt;&gt;"", OR(INDEX(ERP資料!$F:$F, (MATCH(136, 輔助計算!$F$2:$F$801, 0)+1))=270, INDEX(ERP資料!$F:$F, (MATCH(136, 輔助計算!$F$2:$F$801, 0)+1))=300)), "100張", ""), "")</f>
        <v/>
      </c>
      <c r="M137" s="17" t="n"/>
      <c r="N137" s="17">
        <f>IF($F137="","",$F137)</f>
        <v/>
      </c>
      <c r="O137" s="17">
        <f>IF($G137="","",$G137)</f>
        <v/>
      </c>
      <c r="P137" s="17">
        <f>IF($K137="","",$K137)</f>
        <v/>
      </c>
      <c r="Q137" s="16" t="n"/>
      <c r="R137" s="18" t="n"/>
      <c r="S137" s="16" t="n"/>
    </row>
    <row r="138">
      <c r="A138" s="14">
        <f>IFERROR(IF(AND(IFERROR(INDEX(ERP資料!$A:$A, (MATCH(137, 輔助計算!$F$2:$F$801, 0)+1)), "")&lt;&gt;"", IFERROR(INDEX(ERP資料!$A:$A, (MATCH(137, 輔助計算!$F$2:$F$801, 0)+1)), "")&lt;&gt;IFERROR(INDEX(ERP資料!$A:$A, MATCH(136, 輔助計算!$F$2:$F$801, 0)+1), "")), INDEX(ERP資料!$B:$B, (MATCH(137, 輔助計算!$F$2:$F$801, 0)+1)), ""), "")</f>
        <v/>
      </c>
      <c r="B138" s="10">
        <f>IFERROR(IF(AND(IFERROR(INDEX(ERP資料!$A:$A, (MATCH(137, 輔助計算!$F$2:$F$801, 0)+1)), "")&lt;&gt;"", IFERROR(INDEX(ERP資料!$A:$A, (MATCH(137, 輔助計算!$F$2:$F$801, 0)+1)), "")&lt;&gt;IFERROR(INDEX(ERP資料!$A:$A, MATCH(136, 輔助計算!$F$2:$F$801, 0)+1), "")), IFERROR(INDEX(ERP資料!$A:$A, (MATCH(137, 輔助計算!$F$2:$F$801, 0)+1)), ""), ""), "")</f>
        <v/>
      </c>
      <c r="C138" s="10">
        <f>IFERROR(IF(AND(IFERROR(INDEX(ERP資料!$A:$A, (MATCH(137, 輔助計算!$F$2:$F$801, 0)+1)), "")&lt;&gt;"", IFERROR(INDEX(ERP資料!$A:$A, (MATCH(137, 輔助計算!$F$2:$F$801, 0)+1)), "")&lt;&gt;IFERROR(INDEX(ERP資料!$A:$A, MATCH(136, 輔助計算!$F$2:$F$801, 0)+1), "")), INDEX(ERP資料!$S:$S, (MATCH(137, 輔助計算!$F$2:$F$801, 0)+1)), ""), "")</f>
        <v/>
      </c>
      <c r="D138" s="10">
        <f>IFERROR(IF(INDEX(ERP資料!$E:$E, (MATCH(137, 輔助計算!$F$2:$F$801, 0)+1))="","",TRIM(INDEX(ERP資料!$E:$E, (MATCH(137, 輔助計算!$F$2:$F$801, 0)+1)))), "")</f>
        <v/>
      </c>
      <c r="E138" s="10">
        <f>IFERROR(IF(INDEX(ERP資料!$F:$F, (MATCH(137, 輔助計算!$F$2:$F$801, 0)+1))="","",INDEX(ERP資料!$F:$F, (MATCH(137, 輔助計算!$F$2:$F$801, 0)+1))), "")</f>
        <v/>
      </c>
      <c r="F138" s="10">
        <f>IFERROR(IF(INDEX(ERP資料!$G:$G, (MATCH(137, 輔助計算!$F$2:$F$801, 0)+1))="","",INDEX(ERP資料!$G:$G, (MATCH(137, 輔助計算!$F$2:$F$801, 0)+1))), "")</f>
        <v/>
      </c>
      <c r="G138" s="10">
        <f>IFERROR(IF(INDEX(ERP資料!$H:$H, (MATCH(137, 輔助計算!$F$2:$F$801, 0)+1))="","",INDEX(ERP資料!$H:$H, (MATCH(137, 輔助計算!$F$2:$F$801, 0)+1))), "")</f>
        <v/>
      </c>
      <c r="H138" s="10">
        <f>IFERROR(IF(INDEX(ERP資料!$O:$O, (MATCH(137, 輔助計算!$F$2:$F$801, 0)+1))="","",INDEX(ERP資料!$O:$O, (MATCH(137, 輔助計算!$F$2:$F$801, 0)+1))), "")</f>
        <v/>
      </c>
      <c r="I138" s="15">
        <f>IFERROR(IF(INDEX(輔助計算!$D:$D,(MATCH(137, 輔助計算!$F$2:$F$801, 0)+1))="","",INDEX(輔助計算!$D:$D,(MATCH(137, 輔助計算!$F$2:$F$801, 0)+1))*INDEX(ERP資料!$O:$O,(MATCH(137, 輔助計算!$F$2:$F$801, 0)+1))), "")</f>
        <v/>
      </c>
      <c r="J138" s="16" t="n"/>
      <c r="K138" s="15">
        <f>IFERROR(INDEX(輔助計算!$D:$D, (MATCH(137, 輔助計算!$F$2:$F$801, 0)+1)), "")</f>
        <v/>
      </c>
      <c r="L138" s="16">
        <f>IFERROR(IF(AND(IFERROR(VLOOKUP(LEFT(INDEX(ERP資料!$S:$S, (MATCH(137, 輔助計算!$F$2:$F$801, 0)+1)), 4), 100張客戶!$A:$A, 1, FALSE), "")&lt;&gt;"", OR(INDEX(ERP資料!$F:$F, (MATCH(137, 輔助計算!$F$2:$F$801, 0)+1))=270, INDEX(ERP資料!$F:$F, (MATCH(137, 輔助計算!$F$2:$F$801, 0)+1))=300)), "100張", ""), "")</f>
        <v/>
      </c>
      <c r="M138" s="17" t="n"/>
      <c r="N138" s="17">
        <f>IF($F138="","",$F138)</f>
        <v/>
      </c>
      <c r="O138" s="17">
        <f>IF($G138="","",$G138)</f>
        <v/>
      </c>
      <c r="P138" s="17">
        <f>IF($K138="","",$K138)</f>
        <v/>
      </c>
      <c r="Q138" s="16" t="n"/>
      <c r="R138" s="18" t="n"/>
      <c r="S138" s="16" t="n"/>
    </row>
    <row r="139">
      <c r="A139" s="14">
        <f>IFERROR(IF(AND(IFERROR(INDEX(ERP資料!$A:$A, (MATCH(138, 輔助計算!$F$2:$F$801, 0)+1)), "")&lt;&gt;"", IFERROR(INDEX(ERP資料!$A:$A, (MATCH(138, 輔助計算!$F$2:$F$801, 0)+1)), "")&lt;&gt;IFERROR(INDEX(ERP資料!$A:$A, MATCH(137, 輔助計算!$F$2:$F$801, 0)+1), "")), INDEX(ERP資料!$B:$B, (MATCH(138, 輔助計算!$F$2:$F$801, 0)+1)), ""), "")</f>
        <v/>
      </c>
      <c r="B139" s="10">
        <f>IFERROR(IF(AND(IFERROR(INDEX(ERP資料!$A:$A, (MATCH(138, 輔助計算!$F$2:$F$801, 0)+1)), "")&lt;&gt;"", IFERROR(INDEX(ERP資料!$A:$A, (MATCH(138, 輔助計算!$F$2:$F$801, 0)+1)), "")&lt;&gt;IFERROR(INDEX(ERP資料!$A:$A, MATCH(137, 輔助計算!$F$2:$F$801, 0)+1), "")), IFERROR(INDEX(ERP資料!$A:$A, (MATCH(138, 輔助計算!$F$2:$F$801, 0)+1)), ""), ""), "")</f>
        <v/>
      </c>
      <c r="C139" s="10">
        <f>IFERROR(IF(AND(IFERROR(INDEX(ERP資料!$A:$A, (MATCH(138, 輔助計算!$F$2:$F$801, 0)+1)), "")&lt;&gt;"", IFERROR(INDEX(ERP資料!$A:$A, (MATCH(138, 輔助計算!$F$2:$F$801, 0)+1)), "")&lt;&gt;IFERROR(INDEX(ERP資料!$A:$A, MATCH(137, 輔助計算!$F$2:$F$801, 0)+1), "")), INDEX(ERP資料!$S:$S, (MATCH(138, 輔助計算!$F$2:$F$801, 0)+1)), ""), "")</f>
        <v/>
      </c>
      <c r="D139" s="10">
        <f>IFERROR(IF(INDEX(ERP資料!$E:$E, (MATCH(138, 輔助計算!$F$2:$F$801, 0)+1))="","",TRIM(INDEX(ERP資料!$E:$E, (MATCH(138, 輔助計算!$F$2:$F$801, 0)+1)))), "")</f>
        <v/>
      </c>
      <c r="E139" s="10">
        <f>IFERROR(IF(INDEX(ERP資料!$F:$F, (MATCH(138, 輔助計算!$F$2:$F$801, 0)+1))="","",INDEX(ERP資料!$F:$F, (MATCH(138, 輔助計算!$F$2:$F$801, 0)+1))), "")</f>
        <v/>
      </c>
      <c r="F139" s="10">
        <f>IFERROR(IF(INDEX(ERP資料!$G:$G, (MATCH(138, 輔助計算!$F$2:$F$801, 0)+1))="","",INDEX(ERP資料!$G:$G, (MATCH(138, 輔助計算!$F$2:$F$801, 0)+1))), "")</f>
        <v/>
      </c>
      <c r="G139" s="10">
        <f>IFERROR(IF(INDEX(ERP資料!$H:$H, (MATCH(138, 輔助計算!$F$2:$F$801, 0)+1))="","",INDEX(ERP資料!$H:$H, (MATCH(138, 輔助計算!$F$2:$F$801, 0)+1))), "")</f>
        <v/>
      </c>
      <c r="H139" s="10">
        <f>IFERROR(IF(INDEX(ERP資料!$O:$O, (MATCH(138, 輔助計算!$F$2:$F$801, 0)+1))="","",INDEX(ERP資料!$O:$O, (MATCH(138, 輔助計算!$F$2:$F$801, 0)+1))), "")</f>
        <v/>
      </c>
      <c r="I139" s="15">
        <f>IFERROR(IF(INDEX(輔助計算!$D:$D,(MATCH(138, 輔助計算!$F$2:$F$801, 0)+1))="","",INDEX(輔助計算!$D:$D,(MATCH(138, 輔助計算!$F$2:$F$801, 0)+1))*INDEX(ERP資料!$O:$O,(MATCH(138, 輔助計算!$F$2:$F$801, 0)+1))), "")</f>
        <v/>
      </c>
      <c r="J139" s="16" t="n"/>
      <c r="K139" s="15">
        <f>IFERROR(INDEX(輔助計算!$D:$D, (MATCH(138, 輔助計算!$F$2:$F$801, 0)+1)), "")</f>
        <v/>
      </c>
      <c r="L139" s="16">
        <f>IFERROR(IF(AND(IFERROR(VLOOKUP(LEFT(INDEX(ERP資料!$S:$S, (MATCH(138, 輔助計算!$F$2:$F$801, 0)+1)), 4), 100張客戶!$A:$A, 1, FALSE), "")&lt;&gt;"", OR(INDEX(ERP資料!$F:$F, (MATCH(138, 輔助計算!$F$2:$F$801, 0)+1))=270, INDEX(ERP資料!$F:$F, (MATCH(138, 輔助計算!$F$2:$F$801, 0)+1))=300)), "100張", ""), "")</f>
        <v/>
      </c>
      <c r="M139" s="17" t="n"/>
      <c r="N139" s="17">
        <f>IF($F139="","",$F139)</f>
        <v/>
      </c>
      <c r="O139" s="17">
        <f>IF($G139="","",$G139)</f>
        <v/>
      </c>
      <c r="P139" s="17">
        <f>IF($K139="","",$K139)</f>
        <v/>
      </c>
      <c r="Q139" s="16" t="n"/>
      <c r="R139" s="18" t="n"/>
      <c r="S139" s="16" t="n"/>
    </row>
    <row r="140">
      <c r="A140" s="14">
        <f>IFERROR(IF(AND(IFERROR(INDEX(ERP資料!$A:$A, (MATCH(139, 輔助計算!$F$2:$F$801, 0)+1)), "")&lt;&gt;"", IFERROR(INDEX(ERP資料!$A:$A, (MATCH(139, 輔助計算!$F$2:$F$801, 0)+1)), "")&lt;&gt;IFERROR(INDEX(ERP資料!$A:$A, MATCH(138, 輔助計算!$F$2:$F$801, 0)+1), "")), INDEX(ERP資料!$B:$B, (MATCH(139, 輔助計算!$F$2:$F$801, 0)+1)), ""), "")</f>
        <v/>
      </c>
      <c r="B140" s="10">
        <f>IFERROR(IF(AND(IFERROR(INDEX(ERP資料!$A:$A, (MATCH(139, 輔助計算!$F$2:$F$801, 0)+1)), "")&lt;&gt;"", IFERROR(INDEX(ERP資料!$A:$A, (MATCH(139, 輔助計算!$F$2:$F$801, 0)+1)), "")&lt;&gt;IFERROR(INDEX(ERP資料!$A:$A, MATCH(138, 輔助計算!$F$2:$F$801, 0)+1), "")), IFERROR(INDEX(ERP資料!$A:$A, (MATCH(139, 輔助計算!$F$2:$F$801, 0)+1)), ""), ""), "")</f>
        <v/>
      </c>
      <c r="C140" s="10">
        <f>IFERROR(IF(AND(IFERROR(INDEX(ERP資料!$A:$A, (MATCH(139, 輔助計算!$F$2:$F$801, 0)+1)), "")&lt;&gt;"", IFERROR(INDEX(ERP資料!$A:$A, (MATCH(139, 輔助計算!$F$2:$F$801, 0)+1)), "")&lt;&gt;IFERROR(INDEX(ERP資料!$A:$A, MATCH(138, 輔助計算!$F$2:$F$801, 0)+1), "")), INDEX(ERP資料!$S:$S, (MATCH(139, 輔助計算!$F$2:$F$801, 0)+1)), ""), "")</f>
        <v/>
      </c>
      <c r="D140" s="10">
        <f>IFERROR(IF(INDEX(ERP資料!$E:$E, (MATCH(139, 輔助計算!$F$2:$F$801, 0)+1))="","",TRIM(INDEX(ERP資料!$E:$E, (MATCH(139, 輔助計算!$F$2:$F$801, 0)+1)))), "")</f>
        <v/>
      </c>
      <c r="E140" s="10">
        <f>IFERROR(IF(INDEX(ERP資料!$F:$F, (MATCH(139, 輔助計算!$F$2:$F$801, 0)+1))="","",INDEX(ERP資料!$F:$F, (MATCH(139, 輔助計算!$F$2:$F$801, 0)+1))), "")</f>
        <v/>
      </c>
      <c r="F140" s="10">
        <f>IFERROR(IF(INDEX(ERP資料!$G:$G, (MATCH(139, 輔助計算!$F$2:$F$801, 0)+1))="","",INDEX(ERP資料!$G:$G, (MATCH(139, 輔助計算!$F$2:$F$801, 0)+1))), "")</f>
        <v/>
      </c>
      <c r="G140" s="10">
        <f>IFERROR(IF(INDEX(ERP資料!$H:$H, (MATCH(139, 輔助計算!$F$2:$F$801, 0)+1))="","",INDEX(ERP資料!$H:$H, (MATCH(139, 輔助計算!$F$2:$F$801, 0)+1))), "")</f>
        <v/>
      </c>
      <c r="H140" s="10">
        <f>IFERROR(IF(INDEX(ERP資料!$O:$O, (MATCH(139, 輔助計算!$F$2:$F$801, 0)+1))="","",INDEX(ERP資料!$O:$O, (MATCH(139, 輔助計算!$F$2:$F$801, 0)+1))), "")</f>
        <v/>
      </c>
      <c r="I140" s="15">
        <f>IFERROR(IF(INDEX(輔助計算!$D:$D,(MATCH(139, 輔助計算!$F$2:$F$801, 0)+1))="","",INDEX(輔助計算!$D:$D,(MATCH(139, 輔助計算!$F$2:$F$801, 0)+1))*INDEX(ERP資料!$O:$O,(MATCH(139, 輔助計算!$F$2:$F$801, 0)+1))), "")</f>
        <v/>
      </c>
      <c r="J140" s="16" t="n"/>
      <c r="K140" s="15">
        <f>IFERROR(INDEX(輔助計算!$D:$D, (MATCH(139, 輔助計算!$F$2:$F$801, 0)+1)), "")</f>
        <v/>
      </c>
      <c r="L140" s="16">
        <f>IFERROR(IF(AND(IFERROR(VLOOKUP(LEFT(INDEX(ERP資料!$S:$S, (MATCH(139, 輔助計算!$F$2:$F$801, 0)+1)), 4), 100張客戶!$A:$A, 1, FALSE), "")&lt;&gt;"", OR(INDEX(ERP資料!$F:$F, (MATCH(139, 輔助計算!$F$2:$F$801, 0)+1))=270, INDEX(ERP資料!$F:$F, (MATCH(139, 輔助計算!$F$2:$F$801, 0)+1))=300)), "100張", ""), "")</f>
        <v/>
      </c>
      <c r="M140" s="17" t="n"/>
      <c r="N140" s="17">
        <f>IF($F140="","",$F140)</f>
        <v/>
      </c>
      <c r="O140" s="17">
        <f>IF($G140="","",$G140)</f>
        <v/>
      </c>
      <c r="P140" s="17">
        <f>IF($K140="","",$K140)</f>
        <v/>
      </c>
      <c r="Q140" s="16" t="n"/>
      <c r="R140" s="18" t="n"/>
      <c r="S140" s="16" t="n"/>
    </row>
    <row r="141">
      <c r="A141" s="14">
        <f>IFERROR(IF(AND(IFERROR(INDEX(ERP資料!$A:$A, (MATCH(140, 輔助計算!$F$2:$F$801, 0)+1)), "")&lt;&gt;"", IFERROR(INDEX(ERP資料!$A:$A, (MATCH(140, 輔助計算!$F$2:$F$801, 0)+1)), "")&lt;&gt;IFERROR(INDEX(ERP資料!$A:$A, MATCH(139, 輔助計算!$F$2:$F$801, 0)+1), "")), INDEX(ERP資料!$B:$B, (MATCH(140, 輔助計算!$F$2:$F$801, 0)+1)), ""), "")</f>
        <v/>
      </c>
      <c r="B141" s="10">
        <f>IFERROR(IF(AND(IFERROR(INDEX(ERP資料!$A:$A, (MATCH(140, 輔助計算!$F$2:$F$801, 0)+1)), "")&lt;&gt;"", IFERROR(INDEX(ERP資料!$A:$A, (MATCH(140, 輔助計算!$F$2:$F$801, 0)+1)), "")&lt;&gt;IFERROR(INDEX(ERP資料!$A:$A, MATCH(139, 輔助計算!$F$2:$F$801, 0)+1), "")), IFERROR(INDEX(ERP資料!$A:$A, (MATCH(140, 輔助計算!$F$2:$F$801, 0)+1)), ""), ""), "")</f>
        <v/>
      </c>
      <c r="C141" s="10">
        <f>IFERROR(IF(AND(IFERROR(INDEX(ERP資料!$A:$A, (MATCH(140, 輔助計算!$F$2:$F$801, 0)+1)), "")&lt;&gt;"", IFERROR(INDEX(ERP資料!$A:$A, (MATCH(140, 輔助計算!$F$2:$F$801, 0)+1)), "")&lt;&gt;IFERROR(INDEX(ERP資料!$A:$A, MATCH(139, 輔助計算!$F$2:$F$801, 0)+1), "")), INDEX(ERP資料!$S:$S, (MATCH(140, 輔助計算!$F$2:$F$801, 0)+1)), ""), "")</f>
        <v/>
      </c>
      <c r="D141" s="10">
        <f>IFERROR(IF(INDEX(ERP資料!$E:$E, (MATCH(140, 輔助計算!$F$2:$F$801, 0)+1))="","",TRIM(INDEX(ERP資料!$E:$E, (MATCH(140, 輔助計算!$F$2:$F$801, 0)+1)))), "")</f>
        <v/>
      </c>
      <c r="E141" s="10">
        <f>IFERROR(IF(INDEX(ERP資料!$F:$F, (MATCH(140, 輔助計算!$F$2:$F$801, 0)+1))="","",INDEX(ERP資料!$F:$F, (MATCH(140, 輔助計算!$F$2:$F$801, 0)+1))), "")</f>
        <v/>
      </c>
      <c r="F141" s="10">
        <f>IFERROR(IF(INDEX(ERP資料!$G:$G, (MATCH(140, 輔助計算!$F$2:$F$801, 0)+1))="","",INDEX(ERP資料!$G:$G, (MATCH(140, 輔助計算!$F$2:$F$801, 0)+1))), "")</f>
        <v/>
      </c>
      <c r="G141" s="10">
        <f>IFERROR(IF(INDEX(ERP資料!$H:$H, (MATCH(140, 輔助計算!$F$2:$F$801, 0)+1))="","",INDEX(ERP資料!$H:$H, (MATCH(140, 輔助計算!$F$2:$F$801, 0)+1))), "")</f>
        <v/>
      </c>
      <c r="H141" s="10">
        <f>IFERROR(IF(INDEX(ERP資料!$O:$O, (MATCH(140, 輔助計算!$F$2:$F$801, 0)+1))="","",INDEX(ERP資料!$O:$O, (MATCH(140, 輔助計算!$F$2:$F$801, 0)+1))), "")</f>
        <v/>
      </c>
      <c r="I141" s="15">
        <f>IFERROR(IF(INDEX(輔助計算!$D:$D,(MATCH(140, 輔助計算!$F$2:$F$801, 0)+1))="","",INDEX(輔助計算!$D:$D,(MATCH(140, 輔助計算!$F$2:$F$801, 0)+1))*INDEX(ERP資料!$O:$O,(MATCH(140, 輔助計算!$F$2:$F$801, 0)+1))), "")</f>
        <v/>
      </c>
      <c r="J141" s="16" t="n"/>
      <c r="K141" s="15">
        <f>IFERROR(INDEX(輔助計算!$D:$D, (MATCH(140, 輔助計算!$F$2:$F$801, 0)+1)), "")</f>
        <v/>
      </c>
      <c r="L141" s="16">
        <f>IFERROR(IF(AND(IFERROR(VLOOKUP(LEFT(INDEX(ERP資料!$S:$S, (MATCH(140, 輔助計算!$F$2:$F$801, 0)+1)), 4), 100張客戶!$A:$A, 1, FALSE), "")&lt;&gt;"", OR(INDEX(ERP資料!$F:$F, (MATCH(140, 輔助計算!$F$2:$F$801, 0)+1))=270, INDEX(ERP資料!$F:$F, (MATCH(140, 輔助計算!$F$2:$F$801, 0)+1))=300)), "100張", ""), "")</f>
        <v/>
      </c>
      <c r="M141" s="17" t="n"/>
      <c r="N141" s="17">
        <f>IF($F141="","",$F141)</f>
        <v/>
      </c>
      <c r="O141" s="17">
        <f>IF($G141="","",$G141)</f>
        <v/>
      </c>
      <c r="P141" s="17">
        <f>IF($K141="","",$K141)</f>
        <v/>
      </c>
      <c r="Q141" s="16" t="n"/>
      <c r="R141" s="18" t="n"/>
      <c r="S141" s="16" t="n"/>
    </row>
    <row r="142">
      <c r="A142" s="14">
        <f>IFERROR(IF(AND(IFERROR(INDEX(ERP資料!$A:$A, (MATCH(141, 輔助計算!$F$2:$F$801, 0)+1)), "")&lt;&gt;"", IFERROR(INDEX(ERP資料!$A:$A, (MATCH(141, 輔助計算!$F$2:$F$801, 0)+1)), "")&lt;&gt;IFERROR(INDEX(ERP資料!$A:$A, MATCH(140, 輔助計算!$F$2:$F$801, 0)+1), "")), INDEX(ERP資料!$B:$B, (MATCH(141, 輔助計算!$F$2:$F$801, 0)+1)), ""), "")</f>
        <v/>
      </c>
      <c r="B142" s="10">
        <f>IFERROR(IF(AND(IFERROR(INDEX(ERP資料!$A:$A, (MATCH(141, 輔助計算!$F$2:$F$801, 0)+1)), "")&lt;&gt;"", IFERROR(INDEX(ERP資料!$A:$A, (MATCH(141, 輔助計算!$F$2:$F$801, 0)+1)), "")&lt;&gt;IFERROR(INDEX(ERP資料!$A:$A, MATCH(140, 輔助計算!$F$2:$F$801, 0)+1), "")), IFERROR(INDEX(ERP資料!$A:$A, (MATCH(141, 輔助計算!$F$2:$F$801, 0)+1)), ""), ""), "")</f>
        <v/>
      </c>
      <c r="C142" s="10">
        <f>IFERROR(IF(AND(IFERROR(INDEX(ERP資料!$A:$A, (MATCH(141, 輔助計算!$F$2:$F$801, 0)+1)), "")&lt;&gt;"", IFERROR(INDEX(ERP資料!$A:$A, (MATCH(141, 輔助計算!$F$2:$F$801, 0)+1)), "")&lt;&gt;IFERROR(INDEX(ERP資料!$A:$A, MATCH(140, 輔助計算!$F$2:$F$801, 0)+1), "")), INDEX(ERP資料!$S:$S, (MATCH(141, 輔助計算!$F$2:$F$801, 0)+1)), ""), "")</f>
        <v/>
      </c>
      <c r="D142" s="10">
        <f>IFERROR(IF(INDEX(ERP資料!$E:$E, (MATCH(141, 輔助計算!$F$2:$F$801, 0)+1))="","",TRIM(INDEX(ERP資料!$E:$E, (MATCH(141, 輔助計算!$F$2:$F$801, 0)+1)))), "")</f>
        <v/>
      </c>
      <c r="E142" s="10">
        <f>IFERROR(IF(INDEX(ERP資料!$F:$F, (MATCH(141, 輔助計算!$F$2:$F$801, 0)+1))="","",INDEX(ERP資料!$F:$F, (MATCH(141, 輔助計算!$F$2:$F$801, 0)+1))), "")</f>
        <v/>
      </c>
      <c r="F142" s="10">
        <f>IFERROR(IF(INDEX(ERP資料!$G:$G, (MATCH(141, 輔助計算!$F$2:$F$801, 0)+1))="","",INDEX(ERP資料!$G:$G, (MATCH(141, 輔助計算!$F$2:$F$801, 0)+1))), "")</f>
        <v/>
      </c>
      <c r="G142" s="10">
        <f>IFERROR(IF(INDEX(ERP資料!$H:$H, (MATCH(141, 輔助計算!$F$2:$F$801, 0)+1))="","",INDEX(ERP資料!$H:$H, (MATCH(141, 輔助計算!$F$2:$F$801, 0)+1))), "")</f>
        <v/>
      </c>
      <c r="H142" s="10">
        <f>IFERROR(IF(INDEX(ERP資料!$O:$O, (MATCH(141, 輔助計算!$F$2:$F$801, 0)+1))="","",INDEX(ERP資料!$O:$O, (MATCH(141, 輔助計算!$F$2:$F$801, 0)+1))), "")</f>
        <v/>
      </c>
      <c r="I142" s="15">
        <f>IFERROR(IF(INDEX(輔助計算!$D:$D,(MATCH(141, 輔助計算!$F$2:$F$801, 0)+1))="","",INDEX(輔助計算!$D:$D,(MATCH(141, 輔助計算!$F$2:$F$801, 0)+1))*INDEX(ERP資料!$O:$O,(MATCH(141, 輔助計算!$F$2:$F$801, 0)+1))), "")</f>
        <v/>
      </c>
      <c r="J142" s="16" t="n"/>
      <c r="K142" s="15">
        <f>IFERROR(INDEX(輔助計算!$D:$D, (MATCH(141, 輔助計算!$F$2:$F$801, 0)+1)), "")</f>
        <v/>
      </c>
      <c r="L142" s="16">
        <f>IFERROR(IF(AND(IFERROR(VLOOKUP(LEFT(INDEX(ERP資料!$S:$S, (MATCH(141, 輔助計算!$F$2:$F$801, 0)+1)), 4), 100張客戶!$A:$A, 1, FALSE), "")&lt;&gt;"", OR(INDEX(ERP資料!$F:$F, (MATCH(141, 輔助計算!$F$2:$F$801, 0)+1))=270, INDEX(ERP資料!$F:$F, (MATCH(141, 輔助計算!$F$2:$F$801, 0)+1))=300)), "100張", ""), "")</f>
        <v/>
      </c>
      <c r="M142" s="17" t="n"/>
      <c r="N142" s="17">
        <f>IF($F142="","",$F142)</f>
        <v/>
      </c>
      <c r="O142" s="17">
        <f>IF($G142="","",$G142)</f>
        <v/>
      </c>
      <c r="P142" s="17">
        <f>IF($K142="","",$K142)</f>
        <v/>
      </c>
      <c r="Q142" s="16" t="n"/>
      <c r="R142" s="18" t="n"/>
      <c r="S142" s="16" t="n"/>
    </row>
    <row r="143">
      <c r="A143" s="14">
        <f>IFERROR(IF(AND(IFERROR(INDEX(ERP資料!$A:$A, (MATCH(142, 輔助計算!$F$2:$F$801, 0)+1)), "")&lt;&gt;"", IFERROR(INDEX(ERP資料!$A:$A, (MATCH(142, 輔助計算!$F$2:$F$801, 0)+1)), "")&lt;&gt;IFERROR(INDEX(ERP資料!$A:$A, MATCH(141, 輔助計算!$F$2:$F$801, 0)+1), "")), INDEX(ERP資料!$B:$B, (MATCH(142, 輔助計算!$F$2:$F$801, 0)+1)), ""), "")</f>
        <v/>
      </c>
      <c r="B143" s="10">
        <f>IFERROR(IF(AND(IFERROR(INDEX(ERP資料!$A:$A, (MATCH(142, 輔助計算!$F$2:$F$801, 0)+1)), "")&lt;&gt;"", IFERROR(INDEX(ERP資料!$A:$A, (MATCH(142, 輔助計算!$F$2:$F$801, 0)+1)), "")&lt;&gt;IFERROR(INDEX(ERP資料!$A:$A, MATCH(141, 輔助計算!$F$2:$F$801, 0)+1), "")), IFERROR(INDEX(ERP資料!$A:$A, (MATCH(142, 輔助計算!$F$2:$F$801, 0)+1)), ""), ""), "")</f>
        <v/>
      </c>
      <c r="C143" s="10">
        <f>IFERROR(IF(AND(IFERROR(INDEX(ERP資料!$A:$A, (MATCH(142, 輔助計算!$F$2:$F$801, 0)+1)), "")&lt;&gt;"", IFERROR(INDEX(ERP資料!$A:$A, (MATCH(142, 輔助計算!$F$2:$F$801, 0)+1)), "")&lt;&gt;IFERROR(INDEX(ERP資料!$A:$A, MATCH(141, 輔助計算!$F$2:$F$801, 0)+1), "")), INDEX(ERP資料!$S:$S, (MATCH(142, 輔助計算!$F$2:$F$801, 0)+1)), ""), "")</f>
        <v/>
      </c>
      <c r="D143" s="10">
        <f>IFERROR(IF(INDEX(ERP資料!$E:$E, (MATCH(142, 輔助計算!$F$2:$F$801, 0)+1))="","",TRIM(INDEX(ERP資料!$E:$E, (MATCH(142, 輔助計算!$F$2:$F$801, 0)+1)))), "")</f>
        <v/>
      </c>
      <c r="E143" s="10">
        <f>IFERROR(IF(INDEX(ERP資料!$F:$F, (MATCH(142, 輔助計算!$F$2:$F$801, 0)+1))="","",INDEX(ERP資料!$F:$F, (MATCH(142, 輔助計算!$F$2:$F$801, 0)+1))), "")</f>
        <v/>
      </c>
      <c r="F143" s="10">
        <f>IFERROR(IF(INDEX(ERP資料!$G:$G, (MATCH(142, 輔助計算!$F$2:$F$801, 0)+1))="","",INDEX(ERP資料!$G:$G, (MATCH(142, 輔助計算!$F$2:$F$801, 0)+1))), "")</f>
        <v/>
      </c>
      <c r="G143" s="10">
        <f>IFERROR(IF(INDEX(ERP資料!$H:$H, (MATCH(142, 輔助計算!$F$2:$F$801, 0)+1))="","",INDEX(ERP資料!$H:$H, (MATCH(142, 輔助計算!$F$2:$F$801, 0)+1))), "")</f>
        <v/>
      </c>
      <c r="H143" s="10">
        <f>IFERROR(IF(INDEX(ERP資料!$O:$O, (MATCH(142, 輔助計算!$F$2:$F$801, 0)+1))="","",INDEX(ERP資料!$O:$O, (MATCH(142, 輔助計算!$F$2:$F$801, 0)+1))), "")</f>
        <v/>
      </c>
      <c r="I143" s="15">
        <f>IFERROR(IF(INDEX(輔助計算!$D:$D,(MATCH(142, 輔助計算!$F$2:$F$801, 0)+1))="","",INDEX(輔助計算!$D:$D,(MATCH(142, 輔助計算!$F$2:$F$801, 0)+1))*INDEX(ERP資料!$O:$O,(MATCH(142, 輔助計算!$F$2:$F$801, 0)+1))), "")</f>
        <v/>
      </c>
      <c r="J143" s="16" t="n"/>
      <c r="K143" s="15">
        <f>IFERROR(INDEX(輔助計算!$D:$D, (MATCH(142, 輔助計算!$F$2:$F$801, 0)+1)), "")</f>
        <v/>
      </c>
      <c r="L143" s="16">
        <f>IFERROR(IF(AND(IFERROR(VLOOKUP(LEFT(INDEX(ERP資料!$S:$S, (MATCH(142, 輔助計算!$F$2:$F$801, 0)+1)), 4), 100張客戶!$A:$A, 1, FALSE), "")&lt;&gt;"", OR(INDEX(ERP資料!$F:$F, (MATCH(142, 輔助計算!$F$2:$F$801, 0)+1))=270, INDEX(ERP資料!$F:$F, (MATCH(142, 輔助計算!$F$2:$F$801, 0)+1))=300)), "100張", ""), "")</f>
        <v/>
      </c>
      <c r="M143" s="17" t="n"/>
      <c r="N143" s="17">
        <f>IF($F143="","",$F143)</f>
        <v/>
      </c>
      <c r="O143" s="17">
        <f>IF($G143="","",$G143)</f>
        <v/>
      </c>
      <c r="P143" s="17">
        <f>IF($K143="","",$K143)</f>
        <v/>
      </c>
      <c r="Q143" s="16" t="n"/>
      <c r="R143" s="18" t="n"/>
      <c r="S143" s="16" t="n"/>
    </row>
    <row r="144">
      <c r="A144" s="14">
        <f>IFERROR(IF(AND(IFERROR(INDEX(ERP資料!$A:$A, (MATCH(143, 輔助計算!$F$2:$F$801, 0)+1)), "")&lt;&gt;"", IFERROR(INDEX(ERP資料!$A:$A, (MATCH(143, 輔助計算!$F$2:$F$801, 0)+1)), "")&lt;&gt;IFERROR(INDEX(ERP資料!$A:$A, MATCH(142, 輔助計算!$F$2:$F$801, 0)+1), "")), INDEX(ERP資料!$B:$B, (MATCH(143, 輔助計算!$F$2:$F$801, 0)+1)), ""), "")</f>
        <v/>
      </c>
      <c r="B144" s="10">
        <f>IFERROR(IF(AND(IFERROR(INDEX(ERP資料!$A:$A, (MATCH(143, 輔助計算!$F$2:$F$801, 0)+1)), "")&lt;&gt;"", IFERROR(INDEX(ERP資料!$A:$A, (MATCH(143, 輔助計算!$F$2:$F$801, 0)+1)), "")&lt;&gt;IFERROR(INDEX(ERP資料!$A:$A, MATCH(142, 輔助計算!$F$2:$F$801, 0)+1), "")), IFERROR(INDEX(ERP資料!$A:$A, (MATCH(143, 輔助計算!$F$2:$F$801, 0)+1)), ""), ""), "")</f>
        <v/>
      </c>
      <c r="C144" s="10">
        <f>IFERROR(IF(AND(IFERROR(INDEX(ERP資料!$A:$A, (MATCH(143, 輔助計算!$F$2:$F$801, 0)+1)), "")&lt;&gt;"", IFERROR(INDEX(ERP資料!$A:$A, (MATCH(143, 輔助計算!$F$2:$F$801, 0)+1)), "")&lt;&gt;IFERROR(INDEX(ERP資料!$A:$A, MATCH(142, 輔助計算!$F$2:$F$801, 0)+1), "")), INDEX(ERP資料!$S:$S, (MATCH(143, 輔助計算!$F$2:$F$801, 0)+1)), ""), "")</f>
        <v/>
      </c>
      <c r="D144" s="10">
        <f>IFERROR(IF(INDEX(ERP資料!$E:$E, (MATCH(143, 輔助計算!$F$2:$F$801, 0)+1))="","",TRIM(INDEX(ERP資料!$E:$E, (MATCH(143, 輔助計算!$F$2:$F$801, 0)+1)))), "")</f>
        <v/>
      </c>
      <c r="E144" s="10">
        <f>IFERROR(IF(INDEX(ERP資料!$F:$F, (MATCH(143, 輔助計算!$F$2:$F$801, 0)+1))="","",INDEX(ERP資料!$F:$F, (MATCH(143, 輔助計算!$F$2:$F$801, 0)+1))), "")</f>
        <v/>
      </c>
      <c r="F144" s="10">
        <f>IFERROR(IF(INDEX(ERP資料!$G:$G, (MATCH(143, 輔助計算!$F$2:$F$801, 0)+1))="","",INDEX(ERP資料!$G:$G, (MATCH(143, 輔助計算!$F$2:$F$801, 0)+1))), "")</f>
        <v/>
      </c>
      <c r="G144" s="10">
        <f>IFERROR(IF(INDEX(ERP資料!$H:$H, (MATCH(143, 輔助計算!$F$2:$F$801, 0)+1))="","",INDEX(ERP資料!$H:$H, (MATCH(143, 輔助計算!$F$2:$F$801, 0)+1))), "")</f>
        <v/>
      </c>
      <c r="H144" s="10">
        <f>IFERROR(IF(INDEX(ERP資料!$O:$O, (MATCH(143, 輔助計算!$F$2:$F$801, 0)+1))="","",INDEX(ERP資料!$O:$O, (MATCH(143, 輔助計算!$F$2:$F$801, 0)+1))), "")</f>
        <v/>
      </c>
      <c r="I144" s="15">
        <f>IFERROR(IF(INDEX(輔助計算!$D:$D,(MATCH(143, 輔助計算!$F$2:$F$801, 0)+1))="","",INDEX(輔助計算!$D:$D,(MATCH(143, 輔助計算!$F$2:$F$801, 0)+1))*INDEX(ERP資料!$O:$O,(MATCH(143, 輔助計算!$F$2:$F$801, 0)+1))), "")</f>
        <v/>
      </c>
      <c r="J144" s="16" t="n"/>
      <c r="K144" s="15">
        <f>IFERROR(INDEX(輔助計算!$D:$D, (MATCH(143, 輔助計算!$F$2:$F$801, 0)+1)), "")</f>
        <v/>
      </c>
      <c r="L144" s="16">
        <f>IFERROR(IF(AND(IFERROR(VLOOKUP(LEFT(INDEX(ERP資料!$S:$S, (MATCH(143, 輔助計算!$F$2:$F$801, 0)+1)), 4), 100張客戶!$A:$A, 1, FALSE), "")&lt;&gt;"", OR(INDEX(ERP資料!$F:$F, (MATCH(143, 輔助計算!$F$2:$F$801, 0)+1))=270, INDEX(ERP資料!$F:$F, (MATCH(143, 輔助計算!$F$2:$F$801, 0)+1))=300)), "100張", ""), "")</f>
        <v/>
      </c>
      <c r="M144" s="17" t="n"/>
      <c r="N144" s="17">
        <f>IF($F144="","",$F144)</f>
        <v/>
      </c>
      <c r="O144" s="17">
        <f>IF($G144="","",$G144)</f>
        <v/>
      </c>
      <c r="P144" s="17">
        <f>IF($K144="","",$K144)</f>
        <v/>
      </c>
      <c r="Q144" s="16" t="n"/>
      <c r="R144" s="18" t="n"/>
      <c r="S144" s="16" t="n"/>
    </row>
    <row r="145">
      <c r="A145" s="14">
        <f>IFERROR(IF(AND(IFERROR(INDEX(ERP資料!$A:$A, (MATCH(144, 輔助計算!$F$2:$F$801, 0)+1)), "")&lt;&gt;"", IFERROR(INDEX(ERP資料!$A:$A, (MATCH(144, 輔助計算!$F$2:$F$801, 0)+1)), "")&lt;&gt;IFERROR(INDEX(ERP資料!$A:$A, MATCH(143, 輔助計算!$F$2:$F$801, 0)+1), "")), INDEX(ERP資料!$B:$B, (MATCH(144, 輔助計算!$F$2:$F$801, 0)+1)), ""), "")</f>
        <v/>
      </c>
      <c r="B145" s="10">
        <f>IFERROR(IF(AND(IFERROR(INDEX(ERP資料!$A:$A, (MATCH(144, 輔助計算!$F$2:$F$801, 0)+1)), "")&lt;&gt;"", IFERROR(INDEX(ERP資料!$A:$A, (MATCH(144, 輔助計算!$F$2:$F$801, 0)+1)), "")&lt;&gt;IFERROR(INDEX(ERP資料!$A:$A, MATCH(143, 輔助計算!$F$2:$F$801, 0)+1), "")), IFERROR(INDEX(ERP資料!$A:$A, (MATCH(144, 輔助計算!$F$2:$F$801, 0)+1)), ""), ""), "")</f>
        <v/>
      </c>
      <c r="C145" s="10">
        <f>IFERROR(IF(AND(IFERROR(INDEX(ERP資料!$A:$A, (MATCH(144, 輔助計算!$F$2:$F$801, 0)+1)), "")&lt;&gt;"", IFERROR(INDEX(ERP資料!$A:$A, (MATCH(144, 輔助計算!$F$2:$F$801, 0)+1)), "")&lt;&gt;IFERROR(INDEX(ERP資料!$A:$A, MATCH(143, 輔助計算!$F$2:$F$801, 0)+1), "")), INDEX(ERP資料!$S:$S, (MATCH(144, 輔助計算!$F$2:$F$801, 0)+1)), ""), "")</f>
        <v/>
      </c>
      <c r="D145" s="10">
        <f>IFERROR(IF(INDEX(ERP資料!$E:$E, (MATCH(144, 輔助計算!$F$2:$F$801, 0)+1))="","",TRIM(INDEX(ERP資料!$E:$E, (MATCH(144, 輔助計算!$F$2:$F$801, 0)+1)))), "")</f>
        <v/>
      </c>
      <c r="E145" s="10">
        <f>IFERROR(IF(INDEX(ERP資料!$F:$F, (MATCH(144, 輔助計算!$F$2:$F$801, 0)+1))="","",INDEX(ERP資料!$F:$F, (MATCH(144, 輔助計算!$F$2:$F$801, 0)+1))), "")</f>
        <v/>
      </c>
      <c r="F145" s="10">
        <f>IFERROR(IF(INDEX(ERP資料!$G:$G, (MATCH(144, 輔助計算!$F$2:$F$801, 0)+1))="","",INDEX(ERP資料!$G:$G, (MATCH(144, 輔助計算!$F$2:$F$801, 0)+1))), "")</f>
        <v/>
      </c>
      <c r="G145" s="10">
        <f>IFERROR(IF(INDEX(ERP資料!$H:$H, (MATCH(144, 輔助計算!$F$2:$F$801, 0)+1))="","",INDEX(ERP資料!$H:$H, (MATCH(144, 輔助計算!$F$2:$F$801, 0)+1))), "")</f>
        <v/>
      </c>
      <c r="H145" s="10">
        <f>IFERROR(IF(INDEX(ERP資料!$O:$O, (MATCH(144, 輔助計算!$F$2:$F$801, 0)+1))="","",INDEX(ERP資料!$O:$O, (MATCH(144, 輔助計算!$F$2:$F$801, 0)+1))), "")</f>
        <v/>
      </c>
      <c r="I145" s="15">
        <f>IFERROR(IF(INDEX(輔助計算!$D:$D,(MATCH(144, 輔助計算!$F$2:$F$801, 0)+1))="","",INDEX(輔助計算!$D:$D,(MATCH(144, 輔助計算!$F$2:$F$801, 0)+1))*INDEX(ERP資料!$O:$O,(MATCH(144, 輔助計算!$F$2:$F$801, 0)+1))), "")</f>
        <v/>
      </c>
      <c r="J145" s="16" t="n"/>
      <c r="K145" s="15">
        <f>IFERROR(INDEX(輔助計算!$D:$D, (MATCH(144, 輔助計算!$F$2:$F$801, 0)+1)), "")</f>
        <v/>
      </c>
      <c r="L145" s="16">
        <f>IFERROR(IF(AND(IFERROR(VLOOKUP(LEFT(INDEX(ERP資料!$S:$S, (MATCH(144, 輔助計算!$F$2:$F$801, 0)+1)), 4), 100張客戶!$A:$A, 1, FALSE), "")&lt;&gt;"", OR(INDEX(ERP資料!$F:$F, (MATCH(144, 輔助計算!$F$2:$F$801, 0)+1))=270, INDEX(ERP資料!$F:$F, (MATCH(144, 輔助計算!$F$2:$F$801, 0)+1))=300)), "100張", ""), "")</f>
        <v/>
      </c>
      <c r="M145" s="17" t="n"/>
      <c r="N145" s="17">
        <f>IF($F145="","",$F145)</f>
        <v/>
      </c>
      <c r="O145" s="17">
        <f>IF($G145="","",$G145)</f>
        <v/>
      </c>
      <c r="P145" s="17">
        <f>IF($K145="","",$K145)</f>
        <v/>
      </c>
      <c r="Q145" s="16" t="n"/>
      <c r="R145" s="18" t="n"/>
      <c r="S145" s="16" t="n"/>
    </row>
    <row r="146">
      <c r="A146" s="14">
        <f>IFERROR(IF(AND(IFERROR(INDEX(ERP資料!$A:$A, (MATCH(145, 輔助計算!$F$2:$F$801, 0)+1)), "")&lt;&gt;"", IFERROR(INDEX(ERP資料!$A:$A, (MATCH(145, 輔助計算!$F$2:$F$801, 0)+1)), "")&lt;&gt;IFERROR(INDEX(ERP資料!$A:$A, MATCH(144, 輔助計算!$F$2:$F$801, 0)+1), "")), INDEX(ERP資料!$B:$B, (MATCH(145, 輔助計算!$F$2:$F$801, 0)+1)), ""), "")</f>
        <v/>
      </c>
      <c r="B146" s="10">
        <f>IFERROR(IF(AND(IFERROR(INDEX(ERP資料!$A:$A, (MATCH(145, 輔助計算!$F$2:$F$801, 0)+1)), "")&lt;&gt;"", IFERROR(INDEX(ERP資料!$A:$A, (MATCH(145, 輔助計算!$F$2:$F$801, 0)+1)), "")&lt;&gt;IFERROR(INDEX(ERP資料!$A:$A, MATCH(144, 輔助計算!$F$2:$F$801, 0)+1), "")), IFERROR(INDEX(ERP資料!$A:$A, (MATCH(145, 輔助計算!$F$2:$F$801, 0)+1)), ""), ""), "")</f>
        <v/>
      </c>
      <c r="C146" s="10">
        <f>IFERROR(IF(AND(IFERROR(INDEX(ERP資料!$A:$A, (MATCH(145, 輔助計算!$F$2:$F$801, 0)+1)), "")&lt;&gt;"", IFERROR(INDEX(ERP資料!$A:$A, (MATCH(145, 輔助計算!$F$2:$F$801, 0)+1)), "")&lt;&gt;IFERROR(INDEX(ERP資料!$A:$A, MATCH(144, 輔助計算!$F$2:$F$801, 0)+1), "")), INDEX(ERP資料!$S:$S, (MATCH(145, 輔助計算!$F$2:$F$801, 0)+1)), ""), "")</f>
        <v/>
      </c>
      <c r="D146" s="10">
        <f>IFERROR(IF(INDEX(ERP資料!$E:$E, (MATCH(145, 輔助計算!$F$2:$F$801, 0)+1))="","",TRIM(INDEX(ERP資料!$E:$E, (MATCH(145, 輔助計算!$F$2:$F$801, 0)+1)))), "")</f>
        <v/>
      </c>
      <c r="E146" s="10">
        <f>IFERROR(IF(INDEX(ERP資料!$F:$F, (MATCH(145, 輔助計算!$F$2:$F$801, 0)+1))="","",INDEX(ERP資料!$F:$F, (MATCH(145, 輔助計算!$F$2:$F$801, 0)+1))), "")</f>
        <v/>
      </c>
      <c r="F146" s="10">
        <f>IFERROR(IF(INDEX(ERP資料!$G:$G, (MATCH(145, 輔助計算!$F$2:$F$801, 0)+1))="","",INDEX(ERP資料!$G:$G, (MATCH(145, 輔助計算!$F$2:$F$801, 0)+1))), "")</f>
        <v/>
      </c>
      <c r="G146" s="10">
        <f>IFERROR(IF(INDEX(ERP資料!$H:$H, (MATCH(145, 輔助計算!$F$2:$F$801, 0)+1))="","",INDEX(ERP資料!$H:$H, (MATCH(145, 輔助計算!$F$2:$F$801, 0)+1))), "")</f>
        <v/>
      </c>
      <c r="H146" s="10">
        <f>IFERROR(IF(INDEX(ERP資料!$O:$O, (MATCH(145, 輔助計算!$F$2:$F$801, 0)+1))="","",INDEX(ERP資料!$O:$O, (MATCH(145, 輔助計算!$F$2:$F$801, 0)+1))), "")</f>
        <v/>
      </c>
      <c r="I146" s="15">
        <f>IFERROR(IF(INDEX(輔助計算!$D:$D,(MATCH(145, 輔助計算!$F$2:$F$801, 0)+1))="","",INDEX(輔助計算!$D:$D,(MATCH(145, 輔助計算!$F$2:$F$801, 0)+1))*INDEX(ERP資料!$O:$O,(MATCH(145, 輔助計算!$F$2:$F$801, 0)+1))), "")</f>
        <v/>
      </c>
      <c r="J146" s="16" t="n"/>
      <c r="K146" s="15">
        <f>IFERROR(INDEX(輔助計算!$D:$D, (MATCH(145, 輔助計算!$F$2:$F$801, 0)+1)), "")</f>
        <v/>
      </c>
      <c r="L146" s="16">
        <f>IFERROR(IF(AND(IFERROR(VLOOKUP(LEFT(INDEX(ERP資料!$S:$S, (MATCH(145, 輔助計算!$F$2:$F$801, 0)+1)), 4), 100張客戶!$A:$A, 1, FALSE), "")&lt;&gt;"", OR(INDEX(ERP資料!$F:$F, (MATCH(145, 輔助計算!$F$2:$F$801, 0)+1))=270, INDEX(ERP資料!$F:$F, (MATCH(145, 輔助計算!$F$2:$F$801, 0)+1))=300)), "100張", ""), "")</f>
        <v/>
      </c>
      <c r="M146" s="17" t="n"/>
      <c r="N146" s="17">
        <f>IF($F146="","",$F146)</f>
        <v/>
      </c>
      <c r="O146" s="17">
        <f>IF($G146="","",$G146)</f>
        <v/>
      </c>
      <c r="P146" s="17">
        <f>IF($K146="","",$K146)</f>
        <v/>
      </c>
      <c r="Q146" s="16" t="n"/>
      <c r="R146" s="18" t="n"/>
      <c r="S146" s="16" t="n"/>
    </row>
    <row r="147">
      <c r="A147" s="14">
        <f>IFERROR(IF(AND(IFERROR(INDEX(ERP資料!$A:$A, (MATCH(146, 輔助計算!$F$2:$F$801, 0)+1)), "")&lt;&gt;"", IFERROR(INDEX(ERP資料!$A:$A, (MATCH(146, 輔助計算!$F$2:$F$801, 0)+1)), "")&lt;&gt;IFERROR(INDEX(ERP資料!$A:$A, MATCH(145, 輔助計算!$F$2:$F$801, 0)+1), "")), INDEX(ERP資料!$B:$B, (MATCH(146, 輔助計算!$F$2:$F$801, 0)+1)), ""), "")</f>
        <v/>
      </c>
      <c r="B147" s="10">
        <f>IFERROR(IF(AND(IFERROR(INDEX(ERP資料!$A:$A, (MATCH(146, 輔助計算!$F$2:$F$801, 0)+1)), "")&lt;&gt;"", IFERROR(INDEX(ERP資料!$A:$A, (MATCH(146, 輔助計算!$F$2:$F$801, 0)+1)), "")&lt;&gt;IFERROR(INDEX(ERP資料!$A:$A, MATCH(145, 輔助計算!$F$2:$F$801, 0)+1), "")), IFERROR(INDEX(ERP資料!$A:$A, (MATCH(146, 輔助計算!$F$2:$F$801, 0)+1)), ""), ""), "")</f>
        <v/>
      </c>
      <c r="C147" s="10">
        <f>IFERROR(IF(AND(IFERROR(INDEX(ERP資料!$A:$A, (MATCH(146, 輔助計算!$F$2:$F$801, 0)+1)), "")&lt;&gt;"", IFERROR(INDEX(ERP資料!$A:$A, (MATCH(146, 輔助計算!$F$2:$F$801, 0)+1)), "")&lt;&gt;IFERROR(INDEX(ERP資料!$A:$A, MATCH(145, 輔助計算!$F$2:$F$801, 0)+1), "")), INDEX(ERP資料!$S:$S, (MATCH(146, 輔助計算!$F$2:$F$801, 0)+1)), ""), "")</f>
        <v/>
      </c>
      <c r="D147" s="10">
        <f>IFERROR(IF(INDEX(ERP資料!$E:$E, (MATCH(146, 輔助計算!$F$2:$F$801, 0)+1))="","",TRIM(INDEX(ERP資料!$E:$E, (MATCH(146, 輔助計算!$F$2:$F$801, 0)+1)))), "")</f>
        <v/>
      </c>
      <c r="E147" s="10">
        <f>IFERROR(IF(INDEX(ERP資料!$F:$F, (MATCH(146, 輔助計算!$F$2:$F$801, 0)+1))="","",INDEX(ERP資料!$F:$F, (MATCH(146, 輔助計算!$F$2:$F$801, 0)+1))), "")</f>
        <v/>
      </c>
      <c r="F147" s="10">
        <f>IFERROR(IF(INDEX(ERP資料!$G:$G, (MATCH(146, 輔助計算!$F$2:$F$801, 0)+1))="","",INDEX(ERP資料!$G:$G, (MATCH(146, 輔助計算!$F$2:$F$801, 0)+1))), "")</f>
        <v/>
      </c>
      <c r="G147" s="10">
        <f>IFERROR(IF(INDEX(ERP資料!$H:$H, (MATCH(146, 輔助計算!$F$2:$F$801, 0)+1))="","",INDEX(ERP資料!$H:$H, (MATCH(146, 輔助計算!$F$2:$F$801, 0)+1))), "")</f>
        <v/>
      </c>
      <c r="H147" s="10">
        <f>IFERROR(IF(INDEX(ERP資料!$O:$O, (MATCH(146, 輔助計算!$F$2:$F$801, 0)+1))="","",INDEX(ERP資料!$O:$O, (MATCH(146, 輔助計算!$F$2:$F$801, 0)+1))), "")</f>
        <v/>
      </c>
      <c r="I147" s="15">
        <f>IFERROR(IF(INDEX(輔助計算!$D:$D,(MATCH(146, 輔助計算!$F$2:$F$801, 0)+1))="","",INDEX(輔助計算!$D:$D,(MATCH(146, 輔助計算!$F$2:$F$801, 0)+1))*INDEX(ERP資料!$O:$O,(MATCH(146, 輔助計算!$F$2:$F$801, 0)+1))), "")</f>
        <v/>
      </c>
      <c r="J147" s="16" t="n"/>
      <c r="K147" s="15">
        <f>IFERROR(INDEX(輔助計算!$D:$D, (MATCH(146, 輔助計算!$F$2:$F$801, 0)+1)), "")</f>
        <v/>
      </c>
      <c r="L147" s="16">
        <f>IFERROR(IF(AND(IFERROR(VLOOKUP(LEFT(INDEX(ERP資料!$S:$S, (MATCH(146, 輔助計算!$F$2:$F$801, 0)+1)), 4), 100張客戶!$A:$A, 1, FALSE), "")&lt;&gt;"", OR(INDEX(ERP資料!$F:$F, (MATCH(146, 輔助計算!$F$2:$F$801, 0)+1))=270, INDEX(ERP資料!$F:$F, (MATCH(146, 輔助計算!$F$2:$F$801, 0)+1))=300)), "100張", ""), "")</f>
        <v/>
      </c>
      <c r="M147" s="17" t="n"/>
      <c r="N147" s="17">
        <f>IF($F147="","",$F147)</f>
        <v/>
      </c>
      <c r="O147" s="17">
        <f>IF($G147="","",$G147)</f>
        <v/>
      </c>
      <c r="P147" s="17">
        <f>IF($K147="","",$K147)</f>
        <v/>
      </c>
      <c r="Q147" s="16" t="n"/>
      <c r="R147" s="18" t="n"/>
      <c r="S147" s="16" t="n"/>
    </row>
    <row r="148">
      <c r="A148" s="14">
        <f>IFERROR(IF(AND(IFERROR(INDEX(ERP資料!$A:$A, (MATCH(147, 輔助計算!$F$2:$F$801, 0)+1)), "")&lt;&gt;"", IFERROR(INDEX(ERP資料!$A:$A, (MATCH(147, 輔助計算!$F$2:$F$801, 0)+1)), "")&lt;&gt;IFERROR(INDEX(ERP資料!$A:$A, MATCH(146, 輔助計算!$F$2:$F$801, 0)+1), "")), INDEX(ERP資料!$B:$B, (MATCH(147, 輔助計算!$F$2:$F$801, 0)+1)), ""), "")</f>
        <v/>
      </c>
      <c r="B148" s="10">
        <f>IFERROR(IF(AND(IFERROR(INDEX(ERP資料!$A:$A, (MATCH(147, 輔助計算!$F$2:$F$801, 0)+1)), "")&lt;&gt;"", IFERROR(INDEX(ERP資料!$A:$A, (MATCH(147, 輔助計算!$F$2:$F$801, 0)+1)), "")&lt;&gt;IFERROR(INDEX(ERP資料!$A:$A, MATCH(146, 輔助計算!$F$2:$F$801, 0)+1), "")), IFERROR(INDEX(ERP資料!$A:$A, (MATCH(147, 輔助計算!$F$2:$F$801, 0)+1)), ""), ""), "")</f>
        <v/>
      </c>
      <c r="C148" s="10">
        <f>IFERROR(IF(AND(IFERROR(INDEX(ERP資料!$A:$A, (MATCH(147, 輔助計算!$F$2:$F$801, 0)+1)), "")&lt;&gt;"", IFERROR(INDEX(ERP資料!$A:$A, (MATCH(147, 輔助計算!$F$2:$F$801, 0)+1)), "")&lt;&gt;IFERROR(INDEX(ERP資料!$A:$A, MATCH(146, 輔助計算!$F$2:$F$801, 0)+1), "")), INDEX(ERP資料!$S:$S, (MATCH(147, 輔助計算!$F$2:$F$801, 0)+1)), ""), "")</f>
        <v/>
      </c>
      <c r="D148" s="10">
        <f>IFERROR(IF(INDEX(ERP資料!$E:$E, (MATCH(147, 輔助計算!$F$2:$F$801, 0)+1))="","",TRIM(INDEX(ERP資料!$E:$E, (MATCH(147, 輔助計算!$F$2:$F$801, 0)+1)))), "")</f>
        <v/>
      </c>
      <c r="E148" s="10">
        <f>IFERROR(IF(INDEX(ERP資料!$F:$F, (MATCH(147, 輔助計算!$F$2:$F$801, 0)+1))="","",INDEX(ERP資料!$F:$F, (MATCH(147, 輔助計算!$F$2:$F$801, 0)+1))), "")</f>
        <v/>
      </c>
      <c r="F148" s="10">
        <f>IFERROR(IF(INDEX(ERP資料!$G:$G, (MATCH(147, 輔助計算!$F$2:$F$801, 0)+1))="","",INDEX(ERP資料!$G:$G, (MATCH(147, 輔助計算!$F$2:$F$801, 0)+1))), "")</f>
        <v/>
      </c>
      <c r="G148" s="10">
        <f>IFERROR(IF(INDEX(ERP資料!$H:$H, (MATCH(147, 輔助計算!$F$2:$F$801, 0)+1))="","",INDEX(ERP資料!$H:$H, (MATCH(147, 輔助計算!$F$2:$F$801, 0)+1))), "")</f>
        <v/>
      </c>
      <c r="H148" s="10">
        <f>IFERROR(IF(INDEX(ERP資料!$O:$O, (MATCH(147, 輔助計算!$F$2:$F$801, 0)+1))="","",INDEX(ERP資料!$O:$O, (MATCH(147, 輔助計算!$F$2:$F$801, 0)+1))), "")</f>
        <v/>
      </c>
      <c r="I148" s="15">
        <f>IFERROR(IF(INDEX(輔助計算!$D:$D,(MATCH(147, 輔助計算!$F$2:$F$801, 0)+1))="","",INDEX(輔助計算!$D:$D,(MATCH(147, 輔助計算!$F$2:$F$801, 0)+1))*INDEX(ERP資料!$O:$O,(MATCH(147, 輔助計算!$F$2:$F$801, 0)+1))), "")</f>
        <v/>
      </c>
      <c r="J148" s="16" t="n"/>
      <c r="K148" s="15">
        <f>IFERROR(INDEX(輔助計算!$D:$D, (MATCH(147, 輔助計算!$F$2:$F$801, 0)+1)), "")</f>
        <v/>
      </c>
      <c r="L148" s="16">
        <f>IFERROR(IF(AND(IFERROR(VLOOKUP(LEFT(INDEX(ERP資料!$S:$S, (MATCH(147, 輔助計算!$F$2:$F$801, 0)+1)), 4), 100張客戶!$A:$A, 1, FALSE), "")&lt;&gt;"", OR(INDEX(ERP資料!$F:$F, (MATCH(147, 輔助計算!$F$2:$F$801, 0)+1))=270, INDEX(ERP資料!$F:$F, (MATCH(147, 輔助計算!$F$2:$F$801, 0)+1))=300)), "100張", ""), "")</f>
        <v/>
      </c>
      <c r="M148" s="17" t="n"/>
      <c r="N148" s="17">
        <f>IF($F148="","",$F148)</f>
        <v/>
      </c>
      <c r="O148" s="17">
        <f>IF($G148="","",$G148)</f>
        <v/>
      </c>
      <c r="P148" s="17">
        <f>IF($K148="","",$K148)</f>
        <v/>
      </c>
      <c r="Q148" s="16" t="n"/>
      <c r="R148" s="18" t="n"/>
      <c r="S148" s="16" t="n"/>
    </row>
    <row r="149">
      <c r="A149" s="14">
        <f>IFERROR(IF(AND(IFERROR(INDEX(ERP資料!$A:$A, (MATCH(148, 輔助計算!$F$2:$F$801, 0)+1)), "")&lt;&gt;"", IFERROR(INDEX(ERP資料!$A:$A, (MATCH(148, 輔助計算!$F$2:$F$801, 0)+1)), "")&lt;&gt;IFERROR(INDEX(ERP資料!$A:$A, MATCH(147, 輔助計算!$F$2:$F$801, 0)+1), "")), INDEX(ERP資料!$B:$B, (MATCH(148, 輔助計算!$F$2:$F$801, 0)+1)), ""), "")</f>
        <v/>
      </c>
      <c r="B149" s="10">
        <f>IFERROR(IF(AND(IFERROR(INDEX(ERP資料!$A:$A, (MATCH(148, 輔助計算!$F$2:$F$801, 0)+1)), "")&lt;&gt;"", IFERROR(INDEX(ERP資料!$A:$A, (MATCH(148, 輔助計算!$F$2:$F$801, 0)+1)), "")&lt;&gt;IFERROR(INDEX(ERP資料!$A:$A, MATCH(147, 輔助計算!$F$2:$F$801, 0)+1), "")), IFERROR(INDEX(ERP資料!$A:$A, (MATCH(148, 輔助計算!$F$2:$F$801, 0)+1)), ""), ""), "")</f>
        <v/>
      </c>
      <c r="C149" s="10">
        <f>IFERROR(IF(AND(IFERROR(INDEX(ERP資料!$A:$A, (MATCH(148, 輔助計算!$F$2:$F$801, 0)+1)), "")&lt;&gt;"", IFERROR(INDEX(ERP資料!$A:$A, (MATCH(148, 輔助計算!$F$2:$F$801, 0)+1)), "")&lt;&gt;IFERROR(INDEX(ERP資料!$A:$A, MATCH(147, 輔助計算!$F$2:$F$801, 0)+1), "")), INDEX(ERP資料!$S:$S, (MATCH(148, 輔助計算!$F$2:$F$801, 0)+1)), ""), "")</f>
        <v/>
      </c>
      <c r="D149" s="10">
        <f>IFERROR(IF(INDEX(ERP資料!$E:$E, (MATCH(148, 輔助計算!$F$2:$F$801, 0)+1))="","",TRIM(INDEX(ERP資料!$E:$E, (MATCH(148, 輔助計算!$F$2:$F$801, 0)+1)))), "")</f>
        <v/>
      </c>
      <c r="E149" s="10">
        <f>IFERROR(IF(INDEX(ERP資料!$F:$F, (MATCH(148, 輔助計算!$F$2:$F$801, 0)+1))="","",INDEX(ERP資料!$F:$F, (MATCH(148, 輔助計算!$F$2:$F$801, 0)+1))), "")</f>
        <v/>
      </c>
      <c r="F149" s="10">
        <f>IFERROR(IF(INDEX(ERP資料!$G:$G, (MATCH(148, 輔助計算!$F$2:$F$801, 0)+1))="","",INDEX(ERP資料!$G:$G, (MATCH(148, 輔助計算!$F$2:$F$801, 0)+1))), "")</f>
        <v/>
      </c>
      <c r="G149" s="10">
        <f>IFERROR(IF(INDEX(ERP資料!$H:$H, (MATCH(148, 輔助計算!$F$2:$F$801, 0)+1))="","",INDEX(ERP資料!$H:$H, (MATCH(148, 輔助計算!$F$2:$F$801, 0)+1))), "")</f>
        <v/>
      </c>
      <c r="H149" s="10">
        <f>IFERROR(IF(INDEX(ERP資料!$O:$O, (MATCH(148, 輔助計算!$F$2:$F$801, 0)+1))="","",INDEX(ERP資料!$O:$O, (MATCH(148, 輔助計算!$F$2:$F$801, 0)+1))), "")</f>
        <v/>
      </c>
      <c r="I149" s="15">
        <f>IFERROR(IF(INDEX(輔助計算!$D:$D,(MATCH(148, 輔助計算!$F$2:$F$801, 0)+1))="","",INDEX(輔助計算!$D:$D,(MATCH(148, 輔助計算!$F$2:$F$801, 0)+1))*INDEX(ERP資料!$O:$O,(MATCH(148, 輔助計算!$F$2:$F$801, 0)+1))), "")</f>
        <v/>
      </c>
      <c r="J149" s="16" t="n"/>
      <c r="K149" s="15">
        <f>IFERROR(INDEX(輔助計算!$D:$D, (MATCH(148, 輔助計算!$F$2:$F$801, 0)+1)), "")</f>
        <v/>
      </c>
      <c r="L149" s="16">
        <f>IFERROR(IF(AND(IFERROR(VLOOKUP(LEFT(INDEX(ERP資料!$S:$S, (MATCH(148, 輔助計算!$F$2:$F$801, 0)+1)), 4), 100張客戶!$A:$A, 1, FALSE), "")&lt;&gt;"", OR(INDEX(ERP資料!$F:$F, (MATCH(148, 輔助計算!$F$2:$F$801, 0)+1))=270, INDEX(ERP資料!$F:$F, (MATCH(148, 輔助計算!$F$2:$F$801, 0)+1))=300)), "100張", ""), "")</f>
        <v/>
      </c>
      <c r="M149" s="17" t="n"/>
      <c r="N149" s="17">
        <f>IF($F149="","",$F149)</f>
        <v/>
      </c>
      <c r="O149" s="17">
        <f>IF($G149="","",$G149)</f>
        <v/>
      </c>
      <c r="P149" s="17">
        <f>IF($K149="","",$K149)</f>
        <v/>
      </c>
      <c r="Q149" s="16" t="n"/>
      <c r="R149" s="18" t="n"/>
      <c r="S149" s="16" t="n"/>
    </row>
    <row r="150">
      <c r="A150" s="14">
        <f>IFERROR(IF(AND(IFERROR(INDEX(ERP資料!$A:$A, (MATCH(149, 輔助計算!$F$2:$F$801, 0)+1)), "")&lt;&gt;"", IFERROR(INDEX(ERP資料!$A:$A, (MATCH(149, 輔助計算!$F$2:$F$801, 0)+1)), "")&lt;&gt;IFERROR(INDEX(ERP資料!$A:$A, MATCH(148, 輔助計算!$F$2:$F$801, 0)+1), "")), INDEX(ERP資料!$B:$B, (MATCH(149, 輔助計算!$F$2:$F$801, 0)+1)), ""), "")</f>
        <v/>
      </c>
      <c r="B150" s="10">
        <f>IFERROR(IF(AND(IFERROR(INDEX(ERP資料!$A:$A, (MATCH(149, 輔助計算!$F$2:$F$801, 0)+1)), "")&lt;&gt;"", IFERROR(INDEX(ERP資料!$A:$A, (MATCH(149, 輔助計算!$F$2:$F$801, 0)+1)), "")&lt;&gt;IFERROR(INDEX(ERP資料!$A:$A, MATCH(148, 輔助計算!$F$2:$F$801, 0)+1), "")), IFERROR(INDEX(ERP資料!$A:$A, (MATCH(149, 輔助計算!$F$2:$F$801, 0)+1)), ""), ""), "")</f>
        <v/>
      </c>
      <c r="C150" s="10">
        <f>IFERROR(IF(AND(IFERROR(INDEX(ERP資料!$A:$A, (MATCH(149, 輔助計算!$F$2:$F$801, 0)+1)), "")&lt;&gt;"", IFERROR(INDEX(ERP資料!$A:$A, (MATCH(149, 輔助計算!$F$2:$F$801, 0)+1)), "")&lt;&gt;IFERROR(INDEX(ERP資料!$A:$A, MATCH(148, 輔助計算!$F$2:$F$801, 0)+1), "")), INDEX(ERP資料!$S:$S, (MATCH(149, 輔助計算!$F$2:$F$801, 0)+1)), ""), "")</f>
        <v/>
      </c>
      <c r="D150" s="10">
        <f>IFERROR(IF(INDEX(ERP資料!$E:$E, (MATCH(149, 輔助計算!$F$2:$F$801, 0)+1))="","",TRIM(INDEX(ERP資料!$E:$E, (MATCH(149, 輔助計算!$F$2:$F$801, 0)+1)))), "")</f>
        <v/>
      </c>
      <c r="E150" s="10">
        <f>IFERROR(IF(INDEX(ERP資料!$F:$F, (MATCH(149, 輔助計算!$F$2:$F$801, 0)+1))="","",INDEX(ERP資料!$F:$F, (MATCH(149, 輔助計算!$F$2:$F$801, 0)+1))), "")</f>
        <v/>
      </c>
      <c r="F150" s="10">
        <f>IFERROR(IF(INDEX(ERP資料!$G:$G, (MATCH(149, 輔助計算!$F$2:$F$801, 0)+1))="","",INDEX(ERP資料!$G:$G, (MATCH(149, 輔助計算!$F$2:$F$801, 0)+1))), "")</f>
        <v/>
      </c>
      <c r="G150" s="10">
        <f>IFERROR(IF(INDEX(ERP資料!$H:$H, (MATCH(149, 輔助計算!$F$2:$F$801, 0)+1))="","",INDEX(ERP資料!$H:$H, (MATCH(149, 輔助計算!$F$2:$F$801, 0)+1))), "")</f>
        <v/>
      </c>
      <c r="H150" s="10">
        <f>IFERROR(IF(INDEX(ERP資料!$O:$O, (MATCH(149, 輔助計算!$F$2:$F$801, 0)+1))="","",INDEX(ERP資料!$O:$O, (MATCH(149, 輔助計算!$F$2:$F$801, 0)+1))), "")</f>
        <v/>
      </c>
      <c r="I150" s="15">
        <f>IFERROR(IF(INDEX(輔助計算!$D:$D,(MATCH(149, 輔助計算!$F$2:$F$801, 0)+1))="","",INDEX(輔助計算!$D:$D,(MATCH(149, 輔助計算!$F$2:$F$801, 0)+1))*INDEX(ERP資料!$O:$O,(MATCH(149, 輔助計算!$F$2:$F$801, 0)+1))), "")</f>
        <v/>
      </c>
      <c r="J150" s="16" t="n"/>
      <c r="K150" s="15">
        <f>IFERROR(INDEX(輔助計算!$D:$D, (MATCH(149, 輔助計算!$F$2:$F$801, 0)+1)), "")</f>
        <v/>
      </c>
      <c r="L150" s="16">
        <f>IFERROR(IF(AND(IFERROR(VLOOKUP(LEFT(INDEX(ERP資料!$S:$S, (MATCH(149, 輔助計算!$F$2:$F$801, 0)+1)), 4), 100張客戶!$A:$A, 1, FALSE), "")&lt;&gt;"", OR(INDEX(ERP資料!$F:$F, (MATCH(149, 輔助計算!$F$2:$F$801, 0)+1))=270, INDEX(ERP資料!$F:$F, (MATCH(149, 輔助計算!$F$2:$F$801, 0)+1))=300)), "100張", ""), "")</f>
        <v/>
      </c>
      <c r="M150" s="17" t="n"/>
      <c r="N150" s="17">
        <f>IF($F150="","",$F150)</f>
        <v/>
      </c>
      <c r="O150" s="17">
        <f>IF($G150="","",$G150)</f>
        <v/>
      </c>
      <c r="P150" s="17">
        <f>IF($K150="","",$K150)</f>
        <v/>
      </c>
      <c r="Q150" s="16" t="n"/>
      <c r="R150" s="18" t="n"/>
      <c r="S150" s="16" t="n"/>
    </row>
    <row r="151">
      <c r="A151" s="14">
        <f>IFERROR(IF(AND(IFERROR(INDEX(ERP資料!$A:$A, (MATCH(150, 輔助計算!$F$2:$F$801, 0)+1)), "")&lt;&gt;"", IFERROR(INDEX(ERP資料!$A:$A, (MATCH(150, 輔助計算!$F$2:$F$801, 0)+1)), "")&lt;&gt;IFERROR(INDEX(ERP資料!$A:$A, MATCH(149, 輔助計算!$F$2:$F$801, 0)+1), "")), INDEX(ERP資料!$B:$B, (MATCH(150, 輔助計算!$F$2:$F$801, 0)+1)), ""), "")</f>
        <v/>
      </c>
      <c r="B151" s="10">
        <f>IFERROR(IF(AND(IFERROR(INDEX(ERP資料!$A:$A, (MATCH(150, 輔助計算!$F$2:$F$801, 0)+1)), "")&lt;&gt;"", IFERROR(INDEX(ERP資料!$A:$A, (MATCH(150, 輔助計算!$F$2:$F$801, 0)+1)), "")&lt;&gt;IFERROR(INDEX(ERP資料!$A:$A, MATCH(149, 輔助計算!$F$2:$F$801, 0)+1), "")), IFERROR(INDEX(ERP資料!$A:$A, (MATCH(150, 輔助計算!$F$2:$F$801, 0)+1)), ""), ""), "")</f>
        <v/>
      </c>
      <c r="C151" s="10">
        <f>IFERROR(IF(AND(IFERROR(INDEX(ERP資料!$A:$A, (MATCH(150, 輔助計算!$F$2:$F$801, 0)+1)), "")&lt;&gt;"", IFERROR(INDEX(ERP資料!$A:$A, (MATCH(150, 輔助計算!$F$2:$F$801, 0)+1)), "")&lt;&gt;IFERROR(INDEX(ERP資料!$A:$A, MATCH(149, 輔助計算!$F$2:$F$801, 0)+1), "")), INDEX(ERP資料!$S:$S, (MATCH(150, 輔助計算!$F$2:$F$801, 0)+1)), ""), "")</f>
        <v/>
      </c>
      <c r="D151" s="10">
        <f>IFERROR(IF(INDEX(ERP資料!$E:$E, (MATCH(150, 輔助計算!$F$2:$F$801, 0)+1))="","",TRIM(INDEX(ERP資料!$E:$E, (MATCH(150, 輔助計算!$F$2:$F$801, 0)+1)))), "")</f>
        <v/>
      </c>
      <c r="E151" s="10">
        <f>IFERROR(IF(INDEX(ERP資料!$F:$F, (MATCH(150, 輔助計算!$F$2:$F$801, 0)+1))="","",INDEX(ERP資料!$F:$F, (MATCH(150, 輔助計算!$F$2:$F$801, 0)+1))), "")</f>
        <v/>
      </c>
      <c r="F151" s="10">
        <f>IFERROR(IF(INDEX(ERP資料!$G:$G, (MATCH(150, 輔助計算!$F$2:$F$801, 0)+1))="","",INDEX(ERP資料!$G:$G, (MATCH(150, 輔助計算!$F$2:$F$801, 0)+1))), "")</f>
        <v/>
      </c>
      <c r="G151" s="10">
        <f>IFERROR(IF(INDEX(ERP資料!$H:$H, (MATCH(150, 輔助計算!$F$2:$F$801, 0)+1))="","",INDEX(ERP資料!$H:$H, (MATCH(150, 輔助計算!$F$2:$F$801, 0)+1))), "")</f>
        <v/>
      </c>
      <c r="H151" s="10">
        <f>IFERROR(IF(INDEX(ERP資料!$O:$O, (MATCH(150, 輔助計算!$F$2:$F$801, 0)+1))="","",INDEX(ERP資料!$O:$O, (MATCH(150, 輔助計算!$F$2:$F$801, 0)+1))), "")</f>
        <v/>
      </c>
      <c r="I151" s="15">
        <f>IFERROR(IF(INDEX(輔助計算!$D:$D,(MATCH(150, 輔助計算!$F$2:$F$801, 0)+1))="","",INDEX(輔助計算!$D:$D,(MATCH(150, 輔助計算!$F$2:$F$801, 0)+1))*INDEX(ERP資料!$O:$O,(MATCH(150, 輔助計算!$F$2:$F$801, 0)+1))), "")</f>
        <v/>
      </c>
      <c r="J151" s="16" t="n"/>
      <c r="K151" s="15">
        <f>IFERROR(INDEX(輔助計算!$D:$D, (MATCH(150, 輔助計算!$F$2:$F$801, 0)+1)), "")</f>
        <v/>
      </c>
      <c r="L151" s="16">
        <f>IFERROR(IF(AND(IFERROR(VLOOKUP(LEFT(INDEX(ERP資料!$S:$S, (MATCH(150, 輔助計算!$F$2:$F$801, 0)+1)), 4), 100張客戶!$A:$A, 1, FALSE), "")&lt;&gt;"", OR(INDEX(ERP資料!$F:$F, (MATCH(150, 輔助計算!$F$2:$F$801, 0)+1))=270, INDEX(ERP資料!$F:$F, (MATCH(150, 輔助計算!$F$2:$F$801, 0)+1))=300)), "100張", ""), "")</f>
        <v/>
      </c>
      <c r="M151" s="17" t="n"/>
      <c r="N151" s="17">
        <f>IF($F151="","",$F151)</f>
        <v/>
      </c>
      <c r="O151" s="17">
        <f>IF($G151="","",$G151)</f>
        <v/>
      </c>
      <c r="P151" s="17">
        <f>IF($K151="","",$K151)</f>
        <v/>
      </c>
      <c r="Q151" s="16" t="n"/>
      <c r="R151" s="18" t="n"/>
      <c r="S151" s="16" t="n"/>
    </row>
    <row r="152">
      <c r="A152" s="14">
        <f>IFERROR(IF(AND(IFERROR(INDEX(ERP資料!$A:$A, (MATCH(151, 輔助計算!$F$2:$F$801, 0)+1)), "")&lt;&gt;"", IFERROR(INDEX(ERP資料!$A:$A, (MATCH(151, 輔助計算!$F$2:$F$801, 0)+1)), "")&lt;&gt;IFERROR(INDEX(ERP資料!$A:$A, MATCH(150, 輔助計算!$F$2:$F$801, 0)+1), "")), INDEX(ERP資料!$B:$B, (MATCH(151, 輔助計算!$F$2:$F$801, 0)+1)), ""), "")</f>
        <v/>
      </c>
      <c r="B152" s="10">
        <f>IFERROR(IF(AND(IFERROR(INDEX(ERP資料!$A:$A, (MATCH(151, 輔助計算!$F$2:$F$801, 0)+1)), "")&lt;&gt;"", IFERROR(INDEX(ERP資料!$A:$A, (MATCH(151, 輔助計算!$F$2:$F$801, 0)+1)), "")&lt;&gt;IFERROR(INDEX(ERP資料!$A:$A, MATCH(150, 輔助計算!$F$2:$F$801, 0)+1), "")), IFERROR(INDEX(ERP資料!$A:$A, (MATCH(151, 輔助計算!$F$2:$F$801, 0)+1)), ""), ""), "")</f>
        <v/>
      </c>
      <c r="C152" s="10">
        <f>IFERROR(IF(AND(IFERROR(INDEX(ERP資料!$A:$A, (MATCH(151, 輔助計算!$F$2:$F$801, 0)+1)), "")&lt;&gt;"", IFERROR(INDEX(ERP資料!$A:$A, (MATCH(151, 輔助計算!$F$2:$F$801, 0)+1)), "")&lt;&gt;IFERROR(INDEX(ERP資料!$A:$A, MATCH(150, 輔助計算!$F$2:$F$801, 0)+1), "")), INDEX(ERP資料!$S:$S, (MATCH(151, 輔助計算!$F$2:$F$801, 0)+1)), ""), "")</f>
        <v/>
      </c>
      <c r="D152" s="10">
        <f>IFERROR(IF(INDEX(ERP資料!$E:$E, (MATCH(151, 輔助計算!$F$2:$F$801, 0)+1))="","",TRIM(INDEX(ERP資料!$E:$E, (MATCH(151, 輔助計算!$F$2:$F$801, 0)+1)))), "")</f>
        <v/>
      </c>
      <c r="E152" s="10">
        <f>IFERROR(IF(INDEX(ERP資料!$F:$F, (MATCH(151, 輔助計算!$F$2:$F$801, 0)+1))="","",INDEX(ERP資料!$F:$F, (MATCH(151, 輔助計算!$F$2:$F$801, 0)+1))), "")</f>
        <v/>
      </c>
      <c r="F152" s="10">
        <f>IFERROR(IF(INDEX(ERP資料!$G:$G, (MATCH(151, 輔助計算!$F$2:$F$801, 0)+1))="","",INDEX(ERP資料!$G:$G, (MATCH(151, 輔助計算!$F$2:$F$801, 0)+1))), "")</f>
        <v/>
      </c>
      <c r="G152" s="10">
        <f>IFERROR(IF(INDEX(ERP資料!$H:$H, (MATCH(151, 輔助計算!$F$2:$F$801, 0)+1))="","",INDEX(ERP資料!$H:$H, (MATCH(151, 輔助計算!$F$2:$F$801, 0)+1))), "")</f>
        <v/>
      </c>
      <c r="H152" s="10">
        <f>IFERROR(IF(INDEX(ERP資料!$O:$O, (MATCH(151, 輔助計算!$F$2:$F$801, 0)+1))="","",INDEX(ERP資料!$O:$O, (MATCH(151, 輔助計算!$F$2:$F$801, 0)+1))), "")</f>
        <v/>
      </c>
      <c r="I152" s="15">
        <f>IFERROR(IF(INDEX(輔助計算!$D:$D,(MATCH(151, 輔助計算!$F$2:$F$801, 0)+1))="","",INDEX(輔助計算!$D:$D,(MATCH(151, 輔助計算!$F$2:$F$801, 0)+1))*INDEX(ERP資料!$O:$O,(MATCH(151, 輔助計算!$F$2:$F$801, 0)+1))), "")</f>
        <v/>
      </c>
      <c r="J152" s="16" t="n"/>
      <c r="K152" s="15">
        <f>IFERROR(INDEX(輔助計算!$D:$D, (MATCH(151, 輔助計算!$F$2:$F$801, 0)+1)), "")</f>
        <v/>
      </c>
      <c r="L152" s="16">
        <f>IFERROR(IF(AND(IFERROR(VLOOKUP(LEFT(INDEX(ERP資料!$S:$S, (MATCH(151, 輔助計算!$F$2:$F$801, 0)+1)), 4), 100張客戶!$A:$A, 1, FALSE), "")&lt;&gt;"", OR(INDEX(ERP資料!$F:$F, (MATCH(151, 輔助計算!$F$2:$F$801, 0)+1))=270, INDEX(ERP資料!$F:$F, (MATCH(151, 輔助計算!$F$2:$F$801, 0)+1))=300)), "100張", ""), "")</f>
        <v/>
      </c>
      <c r="M152" s="17" t="n"/>
      <c r="N152" s="17">
        <f>IF($F152="","",$F152)</f>
        <v/>
      </c>
      <c r="O152" s="17">
        <f>IF($G152="","",$G152)</f>
        <v/>
      </c>
      <c r="P152" s="17">
        <f>IF($K152="","",$K152)</f>
        <v/>
      </c>
      <c r="Q152" s="16" t="n"/>
      <c r="R152" s="18" t="n"/>
      <c r="S152" s="16" t="n"/>
    </row>
    <row r="153">
      <c r="A153" s="14">
        <f>IFERROR(IF(AND(IFERROR(INDEX(ERP資料!$A:$A, (MATCH(152, 輔助計算!$F$2:$F$801, 0)+1)), "")&lt;&gt;"", IFERROR(INDEX(ERP資料!$A:$A, (MATCH(152, 輔助計算!$F$2:$F$801, 0)+1)), "")&lt;&gt;IFERROR(INDEX(ERP資料!$A:$A, MATCH(151, 輔助計算!$F$2:$F$801, 0)+1), "")), INDEX(ERP資料!$B:$B, (MATCH(152, 輔助計算!$F$2:$F$801, 0)+1)), ""), "")</f>
        <v/>
      </c>
      <c r="B153" s="10">
        <f>IFERROR(IF(AND(IFERROR(INDEX(ERP資料!$A:$A, (MATCH(152, 輔助計算!$F$2:$F$801, 0)+1)), "")&lt;&gt;"", IFERROR(INDEX(ERP資料!$A:$A, (MATCH(152, 輔助計算!$F$2:$F$801, 0)+1)), "")&lt;&gt;IFERROR(INDEX(ERP資料!$A:$A, MATCH(151, 輔助計算!$F$2:$F$801, 0)+1), "")), IFERROR(INDEX(ERP資料!$A:$A, (MATCH(152, 輔助計算!$F$2:$F$801, 0)+1)), ""), ""), "")</f>
        <v/>
      </c>
      <c r="C153" s="10">
        <f>IFERROR(IF(AND(IFERROR(INDEX(ERP資料!$A:$A, (MATCH(152, 輔助計算!$F$2:$F$801, 0)+1)), "")&lt;&gt;"", IFERROR(INDEX(ERP資料!$A:$A, (MATCH(152, 輔助計算!$F$2:$F$801, 0)+1)), "")&lt;&gt;IFERROR(INDEX(ERP資料!$A:$A, MATCH(151, 輔助計算!$F$2:$F$801, 0)+1), "")), INDEX(ERP資料!$S:$S, (MATCH(152, 輔助計算!$F$2:$F$801, 0)+1)), ""), "")</f>
        <v/>
      </c>
      <c r="D153" s="10">
        <f>IFERROR(IF(INDEX(ERP資料!$E:$E, (MATCH(152, 輔助計算!$F$2:$F$801, 0)+1))="","",TRIM(INDEX(ERP資料!$E:$E, (MATCH(152, 輔助計算!$F$2:$F$801, 0)+1)))), "")</f>
        <v/>
      </c>
      <c r="E153" s="10">
        <f>IFERROR(IF(INDEX(ERP資料!$F:$F, (MATCH(152, 輔助計算!$F$2:$F$801, 0)+1))="","",INDEX(ERP資料!$F:$F, (MATCH(152, 輔助計算!$F$2:$F$801, 0)+1))), "")</f>
        <v/>
      </c>
      <c r="F153" s="10">
        <f>IFERROR(IF(INDEX(ERP資料!$G:$G, (MATCH(152, 輔助計算!$F$2:$F$801, 0)+1))="","",INDEX(ERP資料!$G:$G, (MATCH(152, 輔助計算!$F$2:$F$801, 0)+1))), "")</f>
        <v/>
      </c>
      <c r="G153" s="10">
        <f>IFERROR(IF(INDEX(ERP資料!$H:$H, (MATCH(152, 輔助計算!$F$2:$F$801, 0)+1))="","",INDEX(ERP資料!$H:$H, (MATCH(152, 輔助計算!$F$2:$F$801, 0)+1))), "")</f>
        <v/>
      </c>
      <c r="H153" s="10">
        <f>IFERROR(IF(INDEX(ERP資料!$O:$O, (MATCH(152, 輔助計算!$F$2:$F$801, 0)+1))="","",INDEX(ERP資料!$O:$O, (MATCH(152, 輔助計算!$F$2:$F$801, 0)+1))), "")</f>
        <v/>
      </c>
      <c r="I153" s="15">
        <f>IFERROR(IF(INDEX(輔助計算!$D:$D,(MATCH(152, 輔助計算!$F$2:$F$801, 0)+1))="","",INDEX(輔助計算!$D:$D,(MATCH(152, 輔助計算!$F$2:$F$801, 0)+1))*INDEX(ERP資料!$O:$O,(MATCH(152, 輔助計算!$F$2:$F$801, 0)+1))), "")</f>
        <v/>
      </c>
      <c r="J153" s="16" t="n"/>
      <c r="K153" s="15">
        <f>IFERROR(INDEX(輔助計算!$D:$D, (MATCH(152, 輔助計算!$F$2:$F$801, 0)+1)), "")</f>
        <v/>
      </c>
      <c r="L153" s="16">
        <f>IFERROR(IF(AND(IFERROR(VLOOKUP(LEFT(INDEX(ERP資料!$S:$S, (MATCH(152, 輔助計算!$F$2:$F$801, 0)+1)), 4), 100張客戶!$A:$A, 1, FALSE), "")&lt;&gt;"", OR(INDEX(ERP資料!$F:$F, (MATCH(152, 輔助計算!$F$2:$F$801, 0)+1))=270, INDEX(ERP資料!$F:$F, (MATCH(152, 輔助計算!$F$2:$F$801, 0)+1))=300)), "100張", ""), "")</f>
        <v/>
      </c>
      <c r="M153" s="17" t="n"/>
      <c r="N153" s="17">
        <f>IF($F153="","",$F153)</f>
        <v/>
      </c>
      <c r="O153" s="17">
        <f>IF($G153="","",$G153)</f>
        <v/>
      </c>
      <c r="P153" s="17">
        <f>IF($K153="","",$K153)</f>
        <v/>
      </c>
      <c r="Q153" s="16" t="n"/>
      <c r="R153" s="18" t="n"/>
      <c r="S153" s="16" t="n"/>
    </row>
    <row r="154">
      <c r="A154" s="14">
        <f>IFERROR(IF(AND(IFERROR(INDEX(ERP資料!$A:$A, (MATCH(153, 輔助計算!$F$2:$F$801, 0)+1)), "")&lt;&gt;"", IFERROR(INDEX(ERP資料!$A:$A, (MATCH(153, 輔助計算!$F$2:$F$801, 0)+1)), "")&lt;&gt;IFERROR(INDEX(ERP資料!$A:$A, MATCH(152, 輔助計算!$F$2:$F$801, 0)+1), "")), INDEX(ERP資料!$B:$B, (MATCH(153, 輔助計算!$F$2:$F$801, 0)+1)), ""), "")</f>
        <v/>
      </c>
      <c r="B154" s="10">
        <f>IFERROR(IF(AND(IFERROR(INDEX(ERP資料!$A:$A, (MATCH(153, 輔助計算!$F$2:$F$801, 0)+1)), "")&lt;&gt;"", IFERROR(INDEX(ERP資料!$A:$A, (MATCH(153, 輔助計算!$F$2:$F$801, 0)+1)), "")&lt;&gt;IFERROR(INDEX(ERP資料!$A:$A, MATCH(152, 輔助計算!$F$2:$F$801, 0)+1), "")), IFERROR(INDEX(ERP資料!$A:$A, (MATCH(153, 輔助計算!$F$2:$F$801, 0)+1)), ""), ""), "")</f>
        <v/>
      </c>
      <c r="C154" s="10">
        <f>IFERROR(IF(AND(IFERROR(INDEX(ERP資料!$A:$A, (MATCH(153, 輔助計算!$F$2:$F$801, 0)+1)), "")&lt;&gt;"", IFERROR(INDEX(ERP資料!$A:$A, (MATCH(153, 輔助計算!$F$2:$F$801, 0)+1)), "")&lt;&gt;IFERROR(INDEX(ERP資料!$A:$A, MATCH(152, 輔助計算!$F$2:$F$801, 0)+1), "")), INDEX(ERP資料!$S:$S, (MATCH(153, 輔助計算!$F$2:$F$801, 0)+1)), ""), "")</f>
        <v/>
      </c>
      <c r="D154" s="10">
        <f>IFERROR(IF(INDEX(ERP資料!$E:$E, (MATCH(153, 輔助計算!$F$2:$F$801, 0)+1))="","",TRIM(INDEX(ERP資料!$E:$E, (MATCH(153, 輔助計算!$F$2:$F$801, 0)+1)))), "")</f>
        <v/>
      </c>
      <c r="E154" s="10">
        <f>IFERROR(IF(INDEX(ERP資料!$F:$F, (MATCH(153, 輔助計算!$F$2:$F$801, 0)+1))="","",INDEX(ERP資料!$F:$F, (MATCH(153, 輔助計算!$F$2:$F$801, 0)+1))), "")</f>
        <v/>
      </c>
      <c r="F154" s="10">
        <f>IFERROR(IF(INDEX(ERP資料!$G:$G, (MATCH(153, 輔助計算!$F$2:$F$801, 0)+1))="","",INDEX(ERP資料!$G:$G, (MATCH(153, 輔助計算!$F$2:$F$801, 0)+1))), "")</f>
        <v/>
      </c>
      <c r="G154" s="10">
        <f>IFERROR(IF(INDEX(ERP資料!$H:$H, (MATCH(153, 輔助計算!$F$2:$F$801, 0)+1))="","",INDEX(ERP資料!$H:$H, (MATCH(153, 輔助計算!$F$2:$F$801, 0)+1))), "")</f>
        <v/>
      </c>
      <c r="H154" s="10">
        <f>IFERROR(IF(INDEX(ERP資料!$O:$O, (MATCH(153, 輔助計算!$F$2:$F$801, 0)+1))="","",INDEX(ERP資料!$O:$O, (MATCH(153, 輔助計算!$F$2:$F$801, 0)+1))), "")</f>
        <v/>
      </c>
      <c r="I154" s="15">
        <f>IFERROR(IF(INDEX(輔助計算!$D:$D,(MATCH(153, 輔助計算!$F$2:$F$801, 0)+1))="","",INDEX(輔助計算!$D:$D,(MATCH(153, 輔助計算!$F$2:$F$801, 0)+1))*INDEX(ERP資料!$O:$O,(MATCH(153, 輔助計算!$F$2:$F$801, 0)+1))), "")</f>
        <v/>
      </c>
      <c r="J154" s="16" t="n"/>
      <c r="K154" s="15">
        <f>IFERROR(INDEX(輔助計算!$D:$D, (MATCH(153, 輔助計算!$F$2:$F$801, 0)+1)), "")</f>
        <v/>
      </c>
      <c r="L154" s="16">
        <f>IFERROR(IF(AND(IFERROR(VLOOKUP(LEFT(INDEX(ERP資料!$S:$S, (MATCH(153, 輔助計算!$F$2:$F$801, 0)+1)), 4), 100張客戶!$A:$A, 1, FALSE), "")&lt;&gt;"", OR(INDEX(ERP資料!$F:$F, (MATCH(153, 輔助計算!$F$2:$F$801, 0)+1))=270, INDEX(ERP資料!$F:$F, (MATCH(153, 輔助計算!$F$2:$F$801, 0)+1))=300)), "100張", ""), "")</f>
        <v/>
      </c>
      <c r="M154" s="17" t="n"/>
      <c r="N154" s="17">
        <f>IF($F154="","",$F154)</f>
        <v/>
      </c>
      <c r="O154" s="17">
        <f>IF($G154="","",$G154)</f>
        <v/>
      </c>
      <c r="P154" s="17">
        <f>IF($K154="","",$K154)</f>
        <v/>
      </c>
      <c r="Q154" s="16" t="n"/>
      <c r="R154" s="18" t="n"/>
      <c r="S154" s="16" t="n"/>
    </row>
    <row r="155">
      <c r="A155" s="14">
        <f>IFERROR(IF(AND(IFERROR(INDEX(ERP資料!$A:$A, (MATCH(154, 輔助計算!$F$2:$F$801, 0)+1)), "")&lt;&gt;"", IFERROR(INDEX(ERP資料!$A:$A, (MATCH(154, 輔助計算!$F$2:$F$801, 0)+1)), "")&lt;&gt;IFERROR(INDEX(ERP資料!$A:$A, MATCH(153, 輔助計算!$F$2:$F$801, 0)+1), "")), INDEX(ERP資料!$B:$B, (MATCH(154, 輔助計算!$F$2:$F$801, 0)+1)), ""), "")</f>
        <v/>
      </c>
      <c r="B155" s="10">
        <f>IFERROR(IF(AND(IFERROR(INDEX(ERP資料!$A:$A, (MATCH(154, 輔助計算!$F$2:$F$801, 0)+1)), "")&lt;&gt;"", IFERROR(INDEX(ERP資料!$A:$A, (MATCH(154, 輔助計算!$F$2:$F$801, 0)+1)), "")&lt;&gt;IFERROR(INDEX(ERP資料!$A:$A, MATCH(153, 輔助計算!$F$2:$F$801, 0)+1), "")), IFERROR(INDEX(ERP資料!$A:$A, (MATCH(154, 輔助計算!$F$2:$F$801, 0)+1)), ""), ""), "")</f>
        <v/>
      </c>
      <c r="C155" s="10">
        <f>IFERROR(IF(AND(IFERROR(INDEX(ERP資料!$A:$A, (MATCH(154, 輔助計算!$F$2:$F$801, 0)+1)), "")&lt;&gt;"", IFERROR(INDEX(ERP資料!$A:$A, (MATCH(154, 輔助計算!$F$2:$F$801, 0)+1)), "")&lt;&gt;IFERROR(INDEX(ERP資料!$A:$A, MATCH(153, 輔助計算!$F$2:$F$801, 0)+1), "")), INDEX(ERP資料!$S:$S, (MATCH(154, 輔助計算!$F$2:$F$801, 0)+1)), ""), "")</f>
        <v/>
      </c>
      <c r="D155" s="10">
        <f>IFERROR(IF(INDEX(ERP資料!$E:$E, (MATCH(154, 輔助計算!$F$2:$F$801, 0)+1))="","",TRIM(INDEX(ERP資料!$E:$E, (MATCH(154, 輔助計算!$F$2:$F$801, 0)+1)))), "")</f>
        <v/>
      </c>
      <c r="E155" s="10">
        <f>IFERROR(IF(INDEX(ERP資料!$F:$F, (MATCH(154, 輔助計算!$F$2:$F$801, 0)+1))="","",INDEX(ERP資料!$F:$F, (MATCH(154, 輔助計算!$F$2:$F$801, 0)+1))), "")</f>
        <v/>
      </c>
      <c r="F155" s="10">
        <f>IFERROR(IF(INDEX(ERP資料!$G:$G, (MATCH(154, 輔助計算!$F$2:$F$801, 0)+1))="","",INDEX(ERP資料!$G:$G, (MATCH(154, 輔助計算!$F$2:$F$801, 0)+1))), "")</f>
        <v/>
      </c>
      <c r="G155" s="10">
        <f>IFERROR(IF(INDEX(ERP資料!$H:$H, (MATCH(154, 輔助計算!$F$2:$F$801, 0)+1))="","",INDEX(ERP資料!$H:$H, (MATCH(154, 輔助計算!$F$2:$F$801, 0)+1))), "")</f>
        <v/>
      </c>
      <c r="H155" s="10">
        <f>IFERROR(IF(INDEX(ERP資料!$O:$O, (MATCH(154, 輔助計算!$F$2:$F$801, 0)+1))="","",INDEX(ERP資料!$O:$O, (MATCH(154, 輔助計算!$F$2:$F$801, 0)+1))), "")</f>
        <v/>
      </c>
      <c r="I155" s="15">
        <f>IFERROR(IF(INDEX(輔助計算!$D:$D,(MATCH(154, 輔助計算!$F$2:$F$801, 0)+1))="","",INDEX(輔助計算!$D:$D,(MATCH(154, 輔助計算!$F$2:$F$801, 0)+1))*INDEX(ERP資料!$O:$O,(MATCH(154, 輔助計算!$F$2:$F$801, 0)+1))), "")</f>
        <v/>
      </c>
      <c r="J155" s="16" t="n"/>
      <c r="K155" s="15">
        <f>IFERROR(INDEX(輔助計算!$D:$D, (MATCH(154, 輔助計算!$F$2:$F$801, 0)+1)), "")</f>
        <v/>
      </c>
      <c r="L155" s="16">
        <f>IFERROR(IF(AND(IFERROR(VLOOKUP(LEFT(INDEX(ERP資料!$S:$S, (MATCH(154, 輔助計算!$F$2:$F$801, 0)+1)), 4), 100張客戶!$A:$A, 1, FALSE), "")&lt;&gt;"", OR(INDEX(ERP資料!$F:$F, (MATCH(154, 輔助計算!$F$2:$F$801, 0)+1))=270, INDEX(ERP資料!$F:$F, (MATCH(154, 輔助計算!$F$2:$F$801, 0)+1))=300)), "100張", ""), "")</f>
        <v/>
      </c>
      <c r="M155" s="17" t="n"/>
      <c r="N155" s="17">
        <f>IF($F155="","",$F155)</f>
        <v/>
      </c>
      <c r="O155" s="17">
        <f>IF($G155="","",$G155)</f>
        <v/>
      </c>
      <c r="P155" s="17">
        <f>IF($K155="","",$K155)</f>
        <v/>
      </c>
      <c r="Q155" s="16" t="n"/>
      <c r="R155" s="18" t="n"/>
      <c r="S155" s="16" t="n"/>
    </row>
    <row r="156">
      <c r="A156" s="14">
        <f>IFERROR(IF(AND(IFERROR(INDEX(ERP資料!$A:$A, (MATCH(155, 輔助計算!$F$2:$F$801, 0)+1)), "")&lt;&gt;"", IFERROR(INDEX(ERP資料!$A:$A, (MATCH(155, 輔助計算!$F$2:$F$801, 0)+1)), "")&lt;&gt;IFERROR(INDEX(ERP資料!$A:$A, MATCH(154, 輔助計算!$F$2:$F$801, 0)+1), "")), INDEX(ERP資料!$B:$B, (MATCH(155, 輔助計算!$F$2:$F$801, 0)+1)), ""), "")</f>
        <v/>
      </c>
      <c r="B156" s="10">
        <f>IFERROR(IF(AND(IFERROR(INDEX(ERP資料!$A:$A, (MATCH(155, 輔助計算!$F$2:$F$801, 0)+1)), "")&lt;&gt;"", IFERROR(INDEX(ERP資料!$A:$A, (MATCH(155, 輔助計算!$F$2:$F$801, 0)+1)), "")&lt;&gt;IFERROR(INDEX(ERP資料!$A:$A, MATCH(154, 輔助計算!$F$2:$F$801, 0)+1), "")), IFERROR(INDEX(ERP資料!$A:$A, (MATCH(155, 輔助計算!$F$2:$F$801, 0)+1)), ""), ""), "")</f>
        <v/>
      </c>
      <c r="C156" s="10">
        <f>IFERROR(IF(AND(IFERROR(INDEX(ERP資料!$A:$A, (MATCH(155, 輔助計算!$F$2:$F$801, 0)+1)), "")&lt;&gt;"", IFERROR(INDEX(ERP資料!$A:$A, (MATCH(155, 輔助計算!$F$2:$F$801, 0)+1)), "")&lt;&gt;IFERROR(INDEX(ERP資料!$A:$A, MATCH(154, 輔助計算!$F$2:$F$801, 0)+1), "")), INDEX(ERP資料!$S:$S, (MATCH(155, 輔助計算!$F$2:$F$801, 0)+1)), ""), "")</f>
        <v/>
      </c>
      <c r="D156" s="10">
        <f>IFERROR(IF(INDEX(ERP資料!$E:$E, (MATCH(155, 輔助計算!$F$2:$F$801, 0)+1))="","",TRIM(INDEX(ERP資料!$E:$E, (MATCH(155, 輔助計算!$F$2:$F$801, 0)+1)))), "")</f>
        <v/>
      </c>
      <c r="E156" s="10">
        <f>IFERROR(IF(INDEX(ERP資料!$F:$F, (MATCH(155, 輔助計算!$F$2:$F$801, 0)+1))="","",INDEX(ERP資料!$F:$F, (MATCH(155, 輔助計算!$F$2:$F$801, 0)+1))), "")</f>
        <v/>
      </c>
      <c r="F156" s="10">
        <f>IFERROR(IF(INDEX(ERP資料!$G:$G, (MATCH(155, 輔助計算!$F$2:$F$801, 0)+1))="","",INDEX(ERP資料!$G:$G, (MATCH(155, 輔助計算!$F$2:$F$801, 0)+1))), "")</f>
        <v/>
      </c>
      <c r="G156" s="10">
        <f>IFERROR(IF(INDEX(ERP資料!$H:$H, (MATCH(155, 輔助計算!$F$2:$F$801, 0)+1))="","",INDEX(ERP資料!$H:$H, (MATCH(155, 輔助計算!$F$2:$F$801, 0)+1))), "")</f>
        <v/>
      </c>
      <c r="H156" s="10">
        <f>IFERROR(IF(INDEX(ERP資料!$O:$O, (MATCH(155, 輔助計算!$F$2:$F$801, 0)+1))="","",INDEX(ERP資料!$O:$O, (MATCH(155, 輔助計算!$F$2:$F$801, 0)+1))), "")</f>
        <v/>
      </c>
      <c r="I156" s="15">
        <f>IFERROR(IF(INDEX(輔助計算!$D:$D,(MATCH(155, 輔助計算!$F$2:$F$801, 0)+1))="","",INDEX(輔助計算!$D:$D,(MATCH(155, 輔助計算!$F$2:$F$801, 0)+1))*INDEX(ERP資料!$O:$O,(MATCH(155, 輔助計算!$F$2:$F$801, 0)+1))), "")</f>
        <v/>
      </c>
      <c r="J156" s="16" t="n"/>
      <c r="K156" s="15">
        <f>IFERROR(INDEX(輔助計算!$D:$D, (MATCH(155, 輔助計算!$F$2:$F$801, 0)+1)), "")</f>
        <v/>
      </c>
      <c r="L156" s="16">
        <f>IFERROR(IF(AND(IFERROR(VLOOKUP(LEFT(INDEX(ERP資料!$S:$S, (MATCH(155, 輔助計算!$F$2:$F$801, 0)+1)), 4), 100張客戶!$A:$A, 1, FALSE), "")&lt;&gt;"", OR(INDEX(ERP資料!$F:$F, (MATCH(155, 輔助計算!$F$2:$F$801, 0)+1))=270, INDEX(ERP資料!$F:$F, (MATCH(155, 輔助計算!$F$2:$F$801, 0)+1))=300)), "100張", ""), "")</f>
        <v/>
      </c>
      <c r="M156" s="17" t="n"/>
      <c r="N156" s="17">
        <f>IF($F156="","",$F156)</f>
        <v/>
      </c>
      <c r="O156" s="17">
        <f>IF($G156="","",$G156)</f>
        <v/>
      </c>
      <c r="P156" s="17">
        <f>IF($K156="","",$K156)</f>
        <v/>
      </c>
      <c r="Q156" s="16" t="n"/>
      <c r="R156" s="18" t="n"/>
      <c r="S156" s="16" t="n"/>
    </row>
    <row r="157">
      <c r="A157" s="14">
        <f>IFERROR(IF(AND(IFERROR(INDEX(ERP資料!$A:$A, (MATCH(156, 輔助計算!$F$2:$F$801, 0)+1)), "")&lt;&gt;"", IFERROR(INDEX(ERP資料!$A:$A, (MATCH(156, 輔助計算!$F$2:$F$801, 0)+1)), "")&lt;&gt;IFERROR(INDEX(ERP資料!$A:$A, MATCH(155, 輔助計算!$F$2:$F$801, 0)+1), "")), INDEX(ERP資料!$B:$B, (MATCH(156, 輔助計算!$F$2:$F$801, 0)+1)), ""), "")</f>
        <v/>
      </c>
      <c r="B157" s="10">
        <f>IFERROR(IF(AND(IFERROR(INDEX(ERP資料!$A:$A, (MATCH(156, 輔助計算!$F$2:$F$801, 0)+1)), "")&lt;&gt;"", IFERROR(INDEX(ERP資料!$A:$A, (MATCH(156, 輔助計算!$F$2:$F$801, 0)+1)), "")&lt;&gt;IFERROR(INDEX(ERP資料!$A:$A, MATCH(155, 輔助計算!$F$2:$F$801, 0)+1), "")), IFERROR(INDEX(ERP資料!$A:$A, (MATCH(156, 輔助計算!$F$2:$F$801, 0)+1)), ""), ""), "")</f>
        <v/>
      </c>
      <c r="C157" s="10">
        <f>IFERROR(IF(AND(IFERROR(INDEX(ERP資料!$A:$A, (MATCH(156, 輔助計算!$F$2:$F$801, 0)+1)), "")&lt;&gt;"", IFERROR(INDEX(ERP資料!$A:$A, (MATCH(156, 輔助計算!$F$2:$F$801, 0)+1)), "")&lt;&gt;IFERROR(INDEX(ERP資料!$A:$A, MATCH(155, 輔助計算!$F$2:$F$801, 0)+1), "")), INDEX(ERP資料!$S:$S, (MATCH(156, 輔助計算!$F$2:$F$801, 0)+1)), ""), "")</f>
        <v/>
      </c>
      <c r="D157" s="10">
        <f>IFERROR(IF(INDEX(ERP資料!$E:$E, (MATCH(156, 輔助計算!$F$2:$F$801, 0)+1))="","",TRIM(INDEX(ERP資料!$E:$E, (MATCH(156, 輔助計算!$F$2:$F$801, 0)+1)))), "")</f>
        <v/>
      </c>
      <c r="E157" s="10">
        <f>IFERROR(IF(INDEX(ERP資料!$F:$F, (MATCH(156, 輔助計算!$F$2:$F$801, 0)+1))="","",INDEX(ERP資料!$F:$F, (MATCH(156, 輔助計算!$F$2:$F$801, 0)+1))), "")</f>
        <v/>
      </c>
      <c r="F157" s="10">
        <f>IFERROR(IF(INDEX(ERP資料!$G:$G, (MATCH(156, 輔助計算!$F$2:$F$801, 0)+1))="","",INDEX(ERP資料!$G:$G, (MATCH(156, 輔助計算!$F$2:$F$801, 0)+1))), "")</f>
        <v/>
      </c>
      <c r="G157" s="10">
        <f>IFERROR(IF(INDEX(ERP資料!$H:$H, (MATCH(156, 輔助計算!$F$2:$F$801, 0)+1))="","",INDEX(ERP資料!$H:$H, (MATCH(156, 輔助計算!$F$2:$F$801, 0)+1))), "")</f>
        <v/>
      </c>
      <c r="H157" s="10">
        <f>IFERROR(IF(INDEX(ERP資料!$O:$O, (MATCH(156, 輔助計算!$F$2:$F$801, 0)+1))="","",INDEX(ERP資料!$O:$O, (MATCH(156, 輔助計算!$F$2:$F$801, 0)+1))), "")</f>
        <v/>
      </c>
      <c r="I157" s="15">
        <f>IFERROR(IF(INDEX(輔助計算!$D:$D,(MATCH(156, 輔助計算!$F$2:$F$801, 0)+1))="","",INDEX(輔助計算!$D:$D,(MATCH(156, 輔助計算!$F$2:$F$801, 0)+1))*INDEX(ERP資料!$O:$O,(MATCH(156, 輔助計算!$F$2:$F$801, 0)+1))), "")</f>
        <v/>
      </c>
      <c r="J157" s="16" t="n"/>
      <c r="K157" s="15">
        <f>IFERROR(INDEX(輔助計算!$D:$D, (MATCH(156, 輔助計算!$F$2:$F$801, 0)+1)), "")</f>
        <v/>
      </c>
      <c r="L157" s="16">
        <f>IFERROR(IF(AND(IFERROR(VLOOKUP(LEFT(INDEX(ERP資料!$S:$S, (MATCH(156, 輔助計算!$F$2:$F$801, 0)+1)), 4), 100張客戶!$A:$A, 1, FALSE), "")&lt;&gt;"", OR(INDEX(ERP資料!$F:$F, (MATCH(156, 輔助計算!$F$2:$F$801, 0)+1))=270, INDEX(ERP資料!$F:$F, (MATCH(156, 輔助計算!$F$2:$F$801, 0)+1))=300)), "100張", ""), "")</f>
        <v/>
      </c>
      <c r="M157" s="17" t="n"/>
      <c r="N157" s="17">
        <f>IF($F157="","",$F157)</f>
        <v/>
      </c>
      <c r="O157" s="17">
        <f>IF($G157="","",$G157)</f>
        <v/>
      </c>
      <c r="P157" s="17">
        <f>IF($K157="","",$K157)</f>
        <v/>
      </c>
      <c r="Q157" s="16" t="n"/>
      <c r="R157" s="18" t="n"/>
      <c r="S157" s="16" t="n"/>
    </row>
    <row r="158">
      <c r="A158" s="14">
        <f>IFERROR(IF(AND(IFERROR(INDEX(ERP資料!$A:$A, (MATCH(157, 輔助計算!$F$2:$F$801, 0)+1)), "")&lt;&gt;"", IFERROR(INDEX(ERP資料!$A:$A, (MATCH(157, 輔助計算!$F$2:$F$801, 0)+1)), "")&lt;&gt;IFERROR(INDEX(ERP資料!$A:$A, MATCH(156, 輔助計算!$F$2:$F$801, 0)+1), "")), INDEX(ERP資料!$B:$B, (MATCH(157, 輔助計算!$F$2:$F$801, 0)+1)), ""), "")</f>
        <v/>
      </c>
      <c r="B158" s="10">
        <f>IFERROR(IF(AND(IFERROR(INDEX(ERP資料!$A:$A, (MATCH(157, 輔助計算!$F$2:$F$801, 0)+1)), "")&lt;&gt;"", IFERROR(INDEX(ERP資料!$A:$A, (MATCH(157, 輔助計算!$F$2:$F$801, 0)+1)), "")&lt;&gt;IFERROR(INDEX(ERP資料!$A:$A, MATCH(156, 輔助計算!$F$2:$F$801, 0)+1), "")), IFERROR(INDEX(ERP資料!$A:$A, (MATCH(157, 輔助計算!$F$2:$F$801, 0)+1)), ""), ""), "")</f>
        <v/>
      </c>
      <c r="C158" s="10">
        <f>IFERROR(IF(AND(IFERROR(INDEX(ERP資料!$A:$A, (MATCH(157, 輔助計算!$F$2:$F$801, 0)+1)), "")&lt;&gt;"", IFERROR(INDEX(ERP資料!$A:$A, (MATCH(157, 輔助計算!$F$2:$F$801, 0)+1)), "")&lt;&gt;IFERROR(INDEX(ERP資料!$A:$A, MATCH(156, 輔助計算!$F$2:$F$801, 0)+1), "")), INDEX(ERP資料!$S:$S, (MATCH(157, 輔助計算!$F$2:$F$801, 0)+1)), ""), "")</f>
        <v/>
      </c>
      <c r="D158" s="10">
        <f>IFERROR(IF(INDEX(ERP資料!$E:$E, (MATCH(157, 輔助計算!$F$2:$F$801, 0)+1))="","",TRIM(INDEX(ERP資料!$E:$E, (MATCH(157, 輔助計算!$F$2:$F$801, 0)+1)))), "")</f>
        <v/>
      </c>
      <c r="E158" s="10">
        <f>IFERROR(IF(INDEX(ERP資料!$F:$F, (MATCH(157, 輔助計算!$F$2:$F$801, 0)+1))="","",INDEX(ERP資料!$F:$F, (MATCH(157, 輔助計算!$F$2:$F$801, 0)+1))), "")</f>
        <v/>
      </c>
      <c r="F158" s="10">
        <f>IFERROR(IF(INDEX(ERP資料!$G:$G, (MATCH(157, 輔助計算!$F$2:$F$801, 0)+1))="","",INDEX(ERP資料!$G:$G, (MATCH(157, 輔助計算!$F$2:$F$801, 0)+1))), "")</f>
        <v/>
      </c>
      <c r="G158" s="10">
        <f>IFERROR(IF(INDEX(ERP資料!$H:$H, (MATCH(157, 輔助計算!$F$2:$F$801, 0)+1))="","",INDEX(ERP資料!$H:$H, (MATCH(157, 輔助計算!$F$2:$F$801, 0)+1))), "")</f>
        <v/>
      </c>
      <c r="H158" s="10">
        <f>IFERROR(IF(INDEX(ERP資料!$O:$O, (MATCH(157, 輔助計算!$F$2:$F$801, 0)+1))="","",INDEX(ERP資料!$O:$O, (MATCH(157, 輔助計算!$F$2:$F$801, 0)+1))), "")</f>
        <v/>
      </c>
      <c r="I158" s="15">
        <f>IFERROR(IF(INDEX(輔助計算!$D:$D,(MATCH(157, 輔助計算!$F$2:$F$801, 0)+1))="","",INDEX(輔助計算!$D:$D,(MATCH(157, 輔助計算!$F$2:$F$801, 0)+1))*INDEX(ERP資料!$O:$O,(MATCH(157, 輔助計算!$F$2:$F$801, 0)+1))), "")</f>
        <v/>
      </c>
      <c r="J158" s="16" t="n"/>
      <c r="K158" s="15">
        <f>IFERROR(INDEX(輔助計算!$D:$D, (MATCH(157, 輔助計算!$F$2:$F$801, 0)+1)), "")</f>
        <v/>
      </c>
      <c r="L158" s="16">
        <f>IFERROR(IF(AND(IFERROR(VLOOKUP(LEFT(INDEX(ERP資料!$S:$S, (MATCH(157, 輔助計算!$F$2:$F$801, 0)+1)), 4), 100張客戶!$A:$A, 1, FALSE), "")&lt;&gt;"", OR(INDEX(ERP資料!$F:$F, (MATCH(157, 輔助計算!$F$2:$F$801, 0)+1))=270, INDEX(ERP資料!$F:$F, (MATCH(157, 輔助計算!$F$2:$F$801, 0)+1))=300)), "100張", ""), "")</f>
        <v/>
      </c>
      <c r="M158" s="17" t="n"/>
      <c r="N158" s="17">
        <f>IF($F158="","",$F158)</f>
        <v/>
      </c>
      <c r="O158" s="17">
        <f>IF($G158="","",$G158)</f>
        <v/>
      </c>
      <c r="P158" s="17">
        <f>IF($K158="","",$K158)</f>
        <v/>
      </c>
      <c r="Q158" s="16" t="n"/>
      <c r="R158" s="18" t="n"/>
      <c r="S158" s="16" t="n"/>
    </row>
    <row r="159">
      <c r="A159" s="14">
        <f>IFERROR(IF(AND(IFERROR(INDEX(ERP資料!$A:$A, (MATCH(158, 輔助計算!$F$2:$F$801, 0)+1)), "")&lt;&gt;"", IFERROR(INDEX(ERP資料!$A:$A, (MATCH(158, 輔助計算!$F$2:$F$801, 0)+1)), "")&lt;&gt;IFERROR(INDEX(ERP資料!$A:$A, MATCH(157, 輔助計算!$F$2:$F$801, 0)+1), "")), INDEX(ERP資料!$B:$B, (MATCH(158, 輔助計算!$F$2:$F$801, 0)+1)), ""), "")</f>
        <v/>
      </c>
      <c r="B159" s="10">
        <f>IFERROR(IF(AND(IFERROR(INDEX(ERP資料!$A:$A, (MATCH(158, 輔助計算!$F$2:$F$801, 0)+1)), "")&lt;&gt;"", IFERROR(INDEX(ERP資料!$A:$A, (MATCH(158, 輔助計算!$F$2:$F$801, 0)+1)), "")&lt;&gt;IFERROR(INDEX(ERP資料!$A:$A, MATCH(157, 輔助計算!$F$2:$F$801, 0)+1), "")), IFERROR(INDEX(ERP資料!$A:$A, (MATCH(158, 輔助計算!$F$2:$F$801, 0)+1)), ""), ""), "")</f>
        <v/>
      </c>
      <c r="C159" s="10">
        <f>IFERROR(IF(AND(IFERROR(INDEX(ERP資料!$A:$A, (MATCH(158, 輔助計算!$F$2:$F$801, 0)+1)), "")&lt;&gt;"", IFERROR(INDEX(ERP資料!$A:$A, (MATCH(158, 輔助計算!$F$2:$F$801, 0)+1)), "")&lt;&gt;IFERROR(INDEX(ERP資料!$A:$A, MATCH(157, 輔助計算!$F$2:$F$801, 0)+1), "")), INDEX(ERP資料!$S:$S, (MATCH(158, 輔助計算!$F$2:$F$801, 0)+1)), ""), "")</f>
        <v/>
      </c>
      <c r="D159" s="10">
        <f>IFERROR(IF(INDEX(ERP資料!$E:$E, (MATCH(158, 輔助計算!$F$2:$F$801, 0)+1))="","",TRIM(INDEX(ERP資料!$E:$E, (MATCH(158, 輔助計算!$F$2:$F$801, 0)+1)))), "")</f>
        <v/>
      </c>
      <c r="E159" s="10">
        <f>IFERROR(IF(INDEX(ERP資料!$F:$F, (MATCH(158, 輔助計算!$F$2:$F$801, 0)+1))="","",INDEX(ERP資料!$F:$F, (MATCH(158, 輔助計算!$F$2:$F$801, 0)+1))), "")</f>
        <v/>
      </c>
      <c r="F159" s="10">
        <f>IFERROR(IF(INDEX(ERP資料!$G:$G, (MATCH(158, 輔助計算!$F$2:$F$801, 0)+1))="","",INDEX(ERP資料!$G:$G, (MATCH(158, 輔助計算!$F$2:$F$801, 0)+1))), "")</f>
        <v/>
      </c>
      <c r="G159" s="10">
        <f>IFERROR(IF(INDEX(ERP資料!$H:$H, (MATCH(158, 輔助計算!$F$2:$F$801, 0)+1))="","",INDEX(ERP資料!$H:$H, (MATCH(158, 輔助計算!$F$2:$F$801, 0)+1))), "")</f>
        <v/>
      </c>
      <c r="H159" s="10">
        <f>IFERROR(IF(INDEX(ERP資料!$O:$O, (MATCH(158, 輔助計算!$F$2:$F$801, 0)+1))="","",INDEX(ERP資料!$O:$O, (MATCH(158, 輔助計算!$F$2:$F$801, 0)+1))), "")</f>
        <v/>
      </c>
      <c r="I159" s="15">
        <f>IFERROR(IF(INDEX(輔助計算!$D:$D,(MATCH(158, 輔助計算!$F$2:$F$801, 0)+1))="","",INDEX(輔助計算!$D:$D,(MATCH(158, 輔助計算!$F$2:$F$801, 0)+1))*INDEX(ERP資料!$O:$O,(MATCH(158, 輔助計算!$F$2:$F$801, 0)+1))), "")</f>
        <v/>
      </c>
      <c r="J159" s="16" t="n"/>
      <c r="K159" s="15">
        <f>IFERROR(INDEX(輔助計算!$D:$D, (MATCH(158, 輔助計算!$F$2:$F$801, 0)+1)), "")</f>
        <v/>
      </c>
      <c r="L159" s="16">
        <f>IFERROR(IF(AND(IFERROR(VLOOKUP(LEFT(INDEX(ERP資料!$S:$S, (MATCH(158, 輔助計算!$F$2:$F$801, 0)+1)), 4), 100張客戶!$A:$A, 1, FALSE), "")&lt;&gt;"", OR(INDEX(ERP資料!$F:$F, (MATCH(158, 輔助計算!$F$2:$F$801, 0)+1))=270, INDEX(ERP資料!$F:$F, (MATCH(158, 輔助計算!$F$2:$F$801, 0)+1))=300)), "100張", ""), "")</f>
        <v/>
      </c>
      <c r="M159" s="17" t="n"/>
      <c r="N159" s="17">
        <f>IF($F159="","",$F159)</f>
        <v/>
      </c>
      <c r="O159" s="17">
        <f>IF($G159="","",$G159)</f>
        <v/>
      </c>
      <c r="P159" s="17">
        <f>IF($K159="","",$K159)</f>
        <v/>
      </c>
      <c r="Q159" s="16" t="n"/>
      <c r="R159" s="18" t="n"/>
      <c r="S159" s="16" t="n"/>
    </row>
    <row r="160">
      <c r="A160" s="14">
        <f>IFERROR(IF(AND(IFERROR(INDEX(ERP資料!$A:$A, (MATCH(159, 輔助計算!$F$2:$F$801, 0)+1)), "")&lt;&gt;"", IFERROR(INDEX(ERP資料!$A:$A, (MATCH(159, 輔助計算!$F$2:$F$801, 0)+1)), "")&lt;&gt;IFERROR(INDEX(ERP資料!$A:$A, MATCH(158, 輔助計算!$F$2:$F$801, 0)+1), "")), INDEX(ERP資料!$B:$B, (MATCH(159, 輔助計算!$F$2:$F$801, 0)+1)), ""), "")</f>
        <v/>
      </c>
      <c r="B160" s="10">
        <f>IFERROR(IF(AND(IFERROR(INDEX(ERP資料!$A:$A, (MATCH(159, 輔助計算!$F$2:$F$801, 0)+1)), "")&lt;&gt;"", IFERROR(INDEX(ERP資料!$A:$A, (MATCH(159, 輔助計算!$F$2:$F$801, 0)+1)), "")&lt;&gt;IFERROR(INDEX(ERP資料!$A:$A, MATCH(158, 輔助計算!$F$2:$F$801, 0)+1), "")), IFERROR(INDEX(ERP資料!$A:$A, (MATCH(159, 輔助計算!$F$2:$F$801, 0)+1)), ""), ""), "")</f>
        <v/>
      </c>
      <c r="C160" s="10">
        <f>IFERROR(IF(AND(IFERROR(INDEX(ERP資料!$A:$A, (MATCH(159, 輔助計算!$F$2:$F$801, 0)+1)), "")&lt;&gt;"", IFERROR(INDEX(ERP資料!$A:$A, (MATCH(159, 輔助計算!$F$2:$F$801, 0)+1)), "")&lt;&gt;IFERROR(INDEX(ERP資料!$A:$A, MATCH(158, 輔助計算!$F$2:$F$801, 0)+1), "")), INDEX(ERP資料!$S:$S, (MATCH(159, 輔助計算!$F$2:$F$801, 0)+1)), ""), "")</f>
        <v/>
      </c>
      <c r="D160" s="10">
        <f>IFERROR(IF(INDEX(ERP資料!$E:$E, (MATCH(159, 輔助計算!$F$2:$F$801, 0)+1))="","",TRIM(INDEX(ERP資料!$E:$E, (MATCH(159, 輔助計算!$F$2:$F$801, 0)+1)))), "")</f>
        <v/>
      </c>
      <c r="E160" s="10">
        <f>IFERROR(IF(INDEX(ERP資料!$F:$F, (MATCH(159, 輔助計算!$F$2:$F$801, 0)+1))="","",INDEX(ERP資料!$F:$F, (MATCH(159, 輔助計算!$F$2:$F$801, 0)+1))), "")</f>
        <v/>
      </c>
      <c r="F160" s="10">
        <f>IFERROR(IF(INDEX(ERP資料!$G:$G, (MATCH(159, 輔助計算!$F$2:$F$801, 0)+1))="","",INDEX(ERP資料!$G:$G, (MATCH(159, 輔助計算!$F$2:$F$801, 0)+1))), "")</f>
        <v/>
      </c>
      <c r="G160" s="10">
        <f>IFERROR(IF(INDEX(ERP資料!$H:$H, (MATCH(159, 輔助計算!$F$2:$F$801, 0)+1))="","",INDEX(ERP資料!$H:$H, (MATCH(159, 輔助計算!$F$2:$F$801, 0)+1))), "")</f>
        <v/>
      </c>
      <c r="H160" s="10">
        <f>IFERROR(IF(INDEX(ERP資料!$O:$O, (MATCH(159, 輔助計算!$F$2:$F$801, 0)+1))="","",INDEX(ERP資料!$O:$O, (MATCH(159, 輔助計算!$F$2:$F$801, 0)+1))), "")</f>
        <v/>
      </c>
      <c r="I160" s="15">
        <f>IFERROR(IF(INDEX(輔助計算!$D:$D,(MATCH(159, 輔助計算!$F$2:$F$801, 0)+1))="","",INDEX(輔助計算!$D:$D,(MATCH(159, 輔助計算!$F$2:$F$801, 0)+1))*INDEX(ERP資料!$O:$O,(MATCH(159, 輔助計算!$F$2:$F$801, 0)+1))), "")</f>
        <v/>
      </c>
      <c r="J160" s="16" t="n"/>
      <c r="K160" s="15">
        <f>IFERROR(INDEX(輔助計算!$D:$D, (MATCH(159, 輔助計算!$F$2:$F$801, 0)+1)), "")</f>
        <v/>
      </c>
      <c r="L160" s="16">
        <f>IFERROR(IF(AND(IFERROR(VLOOKUP(LEFT(INDEX(ERP資料!$S:$S, (MATCH(159, 輔助計算!$F$2:$F$801, 0)+1)), 4), 100張客戶!$A:$A, 1, FALSE), "")&lt;&gt;"", OR(INDEX(ERP資料!$F:$F, (MATCH(159, 輔助計算!$F$2:$F$801, 0)+1))=270, INDEX(ERP資料!$F:$F, (MATCH(159, 輔助計算!$F$2:$F$801, 0)+1))=300)), "100張", ""), "")</f>
        <v/>
      </c>
      <c r="M160" s="17" t="n"/>
      <c r="N160" s="17">
        <f>IF($F160="","",$F160)</f>
        <v/>
      </c>
      <c r="O160" s="17">
        <f>IF($G160="","",$G160)</f>
        <v/>
      </c>
      <c r="P160" s="17">
        <f>IF($K160="","",$K160)</f>
        <v/>
      </c>
      <c r="Q160" s="16" t="n"/>
      <c r="R160" s="18" t="n"/>
      <c r="S160" s="16" t="n"/>
    </row>
    <row r="161">
      <c r="A161" s="14">
        <f>IFERROR(IF(AND(IFERROR(INDEX(ERP資料!$A:$A, (MATCH(160, 輔助計算!$F$2:$F$801, 0)+1)), "")&lt;&gt;"", IFERROR(INDEX(ERP資料!$A:$A, (MATCH(160, 輔助計算!$F$2:$F$801, 0)+1)), "")&lt;&gt;IFERROR(INDEX(ERP資料!$A:$A, MATCH(159, 輔助計算!$F$2:$F$801, 0)+1), "")), INDEX(ERP資料!$B:$B, (MATCH(160, 輔助計算!$F$2:$F$801, 0)+1)), ""), "")</f>
        <v/>
      </c>
      <c r="B161" s="10">
        <f>IFERROR(IF(AND(IFERROR(INDEX(ERP資料!$A:$A, (MATCH(160, 輔助計算!$F$2:$F$801, 0)+1)), "")&lt;&gt;"", IFERROR(INDEX(ERP資料!$A:$A, (MATCH(160, 輔助計算!$F$2:$F$801, 0)+1)), "")&lt;&gt;IFERROR(INDEX(ERP資料!$A:$A, MATCH(159, 輔助計算!$F$2:$F$801, 0)+1), "")), IFERROR(INDEX(ERP資料!$A:$A, (MATCH(160, 輔助計算!$F$2:$F$801, 0)+1)), ""), ""), "")</f>
        <v/>
      </c>
      <c r="C161" s="10">
        <f>IFERROR(IF(AND(IFERROR(INDEX(ERP資料!$A:$A, (MATCH(160, 輔助計算!$F$2:$F$801, 0)+1)), "")&lt;&gt;"", IFERROR(INDEX(ERP資料!$A:$A, (MATCH(160, 輔助計算!$F$2:$F$801, 0)+1)), "")&lt;&gt;IFERROR(INDEX(ERP資料!$A:$A, MATCH(159, 輔助計算!$F$2:$F$801, 0)+1), "")), INDEX(ERP資料!$S:$S, (MATCH(160, 輔助計算!$F$2:$F$801, 0)+1)), ""), "")</f>
        <v/>
      </c>
      <c r="D161" s="10">
        <f>IFERROR(IF(INDEX(ERP資料!$E:$E, (MATCH(160, 輔助計算!$F$2:$F$801, 0)+1))="","",TRIM(INDEX(ERP資料!$E:$E, (MATCH(160, 輔助計算!$F$2:$F$801, 0)+1)))), "")</f>
        <v/>
      </c>
      <c r="E161" s="10">
        <f>IFERROR(IF(INDEX(ERP資料!$F:$F, (MATCH(160, 輔助計算!$F$2:$F$801, 0)+1))="","",INDEX(ERP資料!$F:$F, (MATCH(160, 輔助計算!$F$2:$F$801, 0)+1))), "")</f>
        <v/>
      </c>
      <c r="F161" s="10">
        <f>IFERROR(IF(INDEX(ERP資料!$G:$G, (MATCH(160, 輔助計算!$F$2:$F$801, 0)+1))="","",INDEX(ERP資料!$G:$G, (MATCH(160, 輔助計算!$F$2:$F$801, 0)+1))), "")</f>
        <v/>
      </c>
      <c r="G161" s="10">
        <f>IFERROR(IF(INDEX(ERP資料!$H:$H, (MATCH(160, 輔助計算!$F$2:$F$801, 0)+1))="","",INDEX(ERP資料!$H:$H, (MATCH(160, 輔助計算!$F$2:$F$801, 0)+1))), "")</f>
        <v/>
      </c>
      <c r="H161" s="10">
        <f>IFERROR(IF(INDEX(ERP資料!$O:$O, (MATCH(160, 輔助計算!$F$2:$F$801, 0)+1))="","",INDEX(ERP資料!$O:$O, (MATCH(160, 輔助計算!$F$2:$F$801, 0)+1))), "")</f>
        <v/>
      </c>
      <c r="I161" s="15">
        <f>IFERROR(IF(INDEX(輔助計算!$D:$D,(MATCH(160, 輔助計算!$F$2:$F$801, 0)+1))="","",INDEX(輔助計算!$D:$D,(MATCH(160, 輔助計算!$F$2:$F$801, 0)+1))*INDEX(ERP資料!$O:$O,(MATCH(160, 輔助計算!$F$2:$F$801, 0)+1))), "")</f>
        <v/>
      </c>
      <c r="J161" s="16" t="n"/>
      <c r="K161" s="15">
        <f>IFERROR(INDEX(輔助計算!$D:$D, (MATCH(160, 輔助計算!$F$2:$F$801, 0)+1)), "")</f>
        <v/>
      </c>
      <c r="L161" s="16">
        <f>IFERROR(IF(AND(IFERROR(VLOOKUP(LEFT(INDEX(ERP資料!$S:$S, (MATCH(160, 輔助計算!$F$2:$F$801, 0)+1)), 4), 100張客戶!$A:$A, 1, FALSE), "")&lt;&gt;"", OR(INDEX(ERP資料!$F:$F, (MATCH(160, 輔助計算!$F$2:$F$801, 0)+1))=270, INDEX(ERP資料!$F:$F, (MATCH(160, 輔助計算!$F$2:$F$801, 0)+1))=300)), "100張", ""), "")</f>
        <v/>
      </c>
      <c r="M161" s="17" t="n"/>
      <c r="N161" s="17">
        <f>IF($F161="","",$F161)</f>
        <v/>
      </c>
      <c r="O161" s="17">
        <f>IF($G161="","",$G161)</f>
        <v/>
      </c>
      <c r="P161" s="17">
        <f>IF($K161="","",$K161)</f>
        <v/>
      </c>
      <c r="Q161" s="16" t="n"/>
      <c r="R161" s="18" t="n"/>
      <c r="S161" s="16" t="n"/>
    </row>
    <row r="162">
      <c r="A162" s="14">
        <f>IFERROR(IF(AND(IFERROR(INDEX(ERP資料!$A:$A, (MATCH(161, 輔助計算!$F$2:$F$801, 0)+1)), "")&lt;&gt;"", IFERROR(INDEX(ERP資料!$A:$A, (MATCH(161, 輔助計算!$F$2:$F$801, 0)+1)), "")&lt;&gt;IFERROR(INDEX(ERP資料!$A:$A, MATCH(160, 輔助計算!$F$2:$F$801, 0)+1), "")), INDEX(ERP資料!$B:$B, (MATCH(161, 輔助計算!$F$2:$F$801, 0)+1)), ""), "")</f>
        <v/>
      </c>
      <c r="B162" s="10">
        <f>IFERROR(IF(AND(IFERROR(INDEX(ERP資料!$A:$A, (MATCH(161, 輔助計算!$F$2:$F$801, 0)+1)), "")&lt;&gt;"", IFERROR(INDEX(ERP資料!$A:$A, (MATCH(161, 輔助計算!$F$2:$F$801, 0)+1)), "")&lt;&gt;IFERROR(INDEX(ERP資料!$A:$A, MATCH(160, 輔助計算!$F$2:$F$801, 0)+1), "")), IFERROR(INDEX(ERP資料!$A:$A, (MATCH(161, 輔助計算!$F$2:$F$801, 0)+1)), ""), ""), "")</f>
        <v/>
      </c>
      <c r="C162" s="10">
        <f>IFERROR(IF(AND(IFERROR(INDEX(ERP資料!$A:$A, (MATCH(161, 輔助計算!$F$2:$F$801, 0)+1)), "")&lt;&gt;"", IFERROR(INDEX(ERP資料!$A:$A, (MATCH(161, 輔助計算!$F$2:$F$801, 0)+1)), "")&lt;&gt;IFERROR(INDEX(ERP資料!$A:$A, MATCH(160, 輔助計算!$F$2:$F$801, 0)+1), "")), INDEX(ERP資料!$S:$S, (MATCH(161, 輔助計算!$F$2:$F$801, 0)+1)), ""), "")</f>
        <v/>
      </c>
      <c r="D162" s="10">
        <f>IFERROR(IF(INDEX(ERP資料!$E:$E, (MATCH(161, 輔助計算!$F$2:$F$801, 0)+1))="","",TRIM(INDEX(ERP資料!$E:$E, (MATCH(161, 輔助計算!$F$2:$F$801, 0)+1)))), "")</f>
        <v/>
      </c>
      <c r="E162" s="10">
        <f>IFERROR(IF(INDEX(ERP資料!$F:$F, (MATCH(161, 輔助計算!$F$2:$F$801, 0)+1))="","",INDEX(ERP資料!$F:$F, (MATCH(161, 輔助計算!$F$2:$F$801, 0)+1))), "")</f>
        <v/>
      </c>
      <c r="F162" s="10">
        <f>IFERROR(IF(INDEX(ERP資料!$G:$G, (MATCH(161, 輔助計算!$F$2:$F$801, 0)+1))="","",INDEX(ERP資料!$G:$G, (MATCH(161, 輔助計算!$F$2:$F$801, 0)+1))), "")</f>
        <v/>
      </c>
      <c r="G162" s="10">
        <f>IFERROR(IF(INDEX(ERP資料!$H:$H, (MATCH(161, 輔助計算!$F$2:$F$801, 0)+1))="","",INDEX(ERP資料!$H:$H, (MATCH(161, 輔助計算!$F$2:$F$801, 0)+1))), "")</f>
        <v/>
      </c>
      <c r="H162" s="10">
        <f>IFERROR(IF(INDEX(ERP資料!$O:$O, (MATCH(161, 輔助計算!$F$2:$F$801, 0)+1))="","",INDEX(ERP資料!$O:$O, (MATCH(161, 輔助計算!$F$2:$F$801, 0)+1))), "")</f>
        <v/>
      </c>
      <c r="I162" s="15">
        <f>IFERROR(IF(INDEX(輔助計算!$D:$D,(MATCH(161, 輔助計算!$F$2:$F$801, 0)+1))="","",INDEX(輔助計算!$D:$D,(MATCH(161, 輔助計算!$F$2:$F$801, 0)+1))*INDEX(ERP資料!$O:$O,(MATCH(161, 輔助計算!$F$2:$F$801, 0)+1))), "")</f>
        <v/>
      </c>
      <c r="J162" s="16" t="n"/>
      <c r="K162" s="15">
        <f>IFERROR(INDEX(輔助計算!$D:$D, (MATCH(161, 輔助計算!$F$2:$F$801, 0)+1)), "")</f>
        <v/>
      </c>
      <c r="L162" s="16">
        <f>IFERROR(IF(AND(IFERROR(VLOOKUP(LEFT(INDEX(ERP資料!$S:$S, (MATCH(161, 輔助計算!$F$2:$F$801, 0)+1)), 4), 100張客戶!$A:$A, 1, FALSE), "")&lt;&gt;"", OR(INDEX(ERP資料!$F:$F, (MATCH(161, 輔助計算!$F$2:$F$801, 0)+1))=270, INDEX(ERP資料!$F:$F, (MATCH(161, 輔助計算!$F$2:$F$801, 0)+1))=300)), "100張", ""), "")</f>
        <v/>
      </c>
      <c r="M162" s="17" t="n"/>
      <c r="N162" s="17">
        <f>IF($F162="","",$F162)</f>
        <v/>
      </c>
      <c r="O162" s="17">
        <f>IF($G162="","",$G162)</f>
        <v/>
      </c>
      <c r="P162" s="17">
        <f>IF($K162="","",$K162)</f>
        <v/>
      </c>
      <c r="Q162" s="16" t="n"/>
      <c r="R162" s="18" t="n"/>
      <c r="S162" s="16" t="n"/>
    </row>
    <row r="163">
      <c r="A163" s="14">
        <f>IFERROR(IF(AND(IFERROR(INDEX(ERP資料!$A:$A, (MATCH(162, 輔助計算!$F$2:$F$801, 0)+1)), "")&lt;&gt;"", IFERROR(INDEX(ERP資料!$A:$A, (MATCH(162, 輔助計算!$F$2:$F$801, 0)+1)), "")&lt;&gt;IFERROR(INDEX(ERP資料!$A:$A, MATCH(161, 輔助計算!$F$2:$F$801, 0)+1), "")), INDEX(ERP資料!$B:$B, (MATCH(162, 輔助計算!$F$2:$F$801, 0)+1)), ""), "")</f>
        <v/>
      </c>
      <c r="B163" s="10">
        <f>IFERROR(IF(AND(IFERROR(INDEX(ERP資料!$A:$A, (MATCH(162, 輔助計算!$F$2:$F$801, 0)+1)), "")&lt;&gt;"", IFERROR(INDEX(ERP資料!$A:$A, (MATCH(162, 輔助計算!$F$2:$F$801, 0)+1)), "")&lt;&gt;IFERROR(INDEX(ERP資料!$A:$A, MATCH(161, 輔助計算!$F$2:$F$801, 0)+1), "")), IFERROR(INDEX(ERP資料!$A:$A, (MATCH(162, 輔助計算!$F$2:$F$801, 0)+1)), ""), ""), "")</f>
        <v/>
      </c>
      <c r="C163" s="10">
        <f>IFERROR(IF(AND(IFERROR(INDEX(ERP資料!$A:$A, (MATCH(162, 輔助計算!$F$2:$F$801, 0)+1)), "")&lt;&gt;"", IFERROR(INDEX(ERP資料!$A:$A, (MATCH(162, 輔助計算!$F$2:$F$801, 0)+1)), "")&lt;&gt;IFERROR(INDEX(ERP資料!$A:$A, MATCH(161, 輔助計算!$F$2:$F$801, 0)+1), "")), INDEX(ERP資料!$S:$S, (MATCH(162, 輔助計算!$F$2:$F$801, 0)+1)), ""), "")</f>
        <v/>
      </c>
      <c r="D163" s="10">
        <f>IFERROR(IF(INDEX(ERP資料!$E:$E, (MATCH(162, 輔助計算!$F$2:$F$801, 0)+1))="","",TRIM(INDEX(ERP資料!$E:$E, (MATCH(162, 輔助計算!$F$2:$F$801, 0)+1)))), "")</f>
        <v/>
      </c>
      <c r="E163" s="10">
        <f>IFERROR(IF(INDEX(ERP資料!$F:$F, (MATCH(162, 輔助計算!$F$2:$F$801, 0)+1))="","",INDEX(ERP資料!$F:$F, (MATCH(162, 輔助計算!$F$2:$F$801, 0)+1))), "")</f>
        <v/>
      </c>
      <c r="F163" s="10">
        <f>IFERROR(IF(INDEX(ERP資料!$G:$G, (MATCH(162, 輔助計算!$F$2:$F$801, 0)+1))="","",INDEX(ERP資料!$G:$G, (MATCH(162, 輔助計算!$F$2:$F$801, 0)+1))), "")</f>
        <v/>
      </c>
      <c r="G163" s="10">
        <f>IFERROR(IF(INDEX(ERP資料!$H:$H, (MATCH(162, 輔助計算!$F$2:$F$801, 0)+1))="","",INDEX(ERP資料!$H:$H, (MATCH(162, 輔助計算!$F$2:$F$801, 0)+1))), "")</f>
        <v/>
      </c>
      <c r="H163" s="10">
        <f>IFERROR(IF(INDEX(ERP資料!$O:$O, (MATCH(162, 輔助計算!$F$2:$F$801, 0)+1))="","",INDEX(ERP資料!$O:$O, (MATCH(162, 輔助計算!$F$2:$F$801, 0)+1))), "")</f>
        <v/>
      </c>
      <c r="I163" s="15">
        <f>IFERROR(IF(INDEX(輔助計算!$D:$D,(MATCH(162, 輔助計算!$F$2:$F$801, 0)+1))="","",INDEX(輔助計算!$D:$D,(MATCH(162, 輔助計算!$F$2:$F$801, 0)+1))*INDEX(ERP資料!$O:$O,(MATCH(162, 輔助計算!$F$2:$F$801, 0)+1))), "")</f>
        <v/>
      </c>
      <c r="J163" s="16" t="n"/>
      <c r="K163" s="15">
        <f>IFERROR(INDEX(輔助計算!$D:$D, (MATCH(162, 輔助計算!$F$2:$F$801, 0)+1)), "")</f>
        <v/>
      </c>
      <c r="L163" s="16">
        <f>IFERROR(IF(AND(IFERROR(VLOOKUP(LEFT(INDEX(ERP資料!$S:$S, (MATCH(162, 輔助計算!$F$2:$F$801, 0)+1)), 4), 100張客戶!$A:$A, 1, FALSE), "")&lt;&gt;"", OR(INDEX(ERP資料!$F:$F, (MATCH(162, 輔助計算!$F$2:$F$801, 0)+1))=270, INDEX(ERP資料!$F:$F, (MATCH(162, 輔助計算!$F$2:$F$801, 0)+1))=300)), "100張", ""), "")</f>
        <v/>
      </c>
      <c r="M163" s="17" t="n"/>
      <c r="N163" s="17">
        <f>IF($F163="","",$F163)</f>
        <v/>
      </c>
      <c r="O163" s="17">
        <f>IF($G163="","",$G163)</f>
        <v/>
      </c>
      <c r="P163" s="17">
        <f>IF($K163="","",$K163)</f>
        <v/>
      </c>
      <c r="Q163" s="16" t="n"/>
      <c r="R163" s="18" t="n"/>
      <c r="S163" s="16" t="n"/>
    </row>
    <row r="164">
      <c r="A164" s="14">
        <f>IFERROR(IF(AND(IFERROR(INDEX(ERP資料!$A:$A, (MATCH(163, 輔助計算!$F$2:$F$801, 0)+1)), "")&lt;&gt;"", IFERROR(INDEX(ERP資料!$A:$A, (MATCH(163, 輔助計算!$F$2:$F$801, 0)+1)), "")&lt;&gt;IFERROR(INDEX(ERP資料!$A:$A, MATCH(162, 輔助計算!$F$2:$F$801, 0)+1), "")), INDEX(ERP資料!$B:$B, (MATCH(163, 輔助計算!$F$2:$F$801, 0)+1)), ""), "")</f>
        <v/>
      </c>
      <c r="B164" s="10">
        <f>IFERROR(IF(AND(IFERROR(INDEX(ERP資料!$A:$A, (MATCH(163, 輔助計算!$F$2:$F$801, 0)+1)), "")&lt;&gt;"", IFERROR(INDEX(ERP資料!$A:$A, (MATCH(163, 輔助計算!$F$2:$F$801, 0)+1)), "")&lt;&gt;IFERROR(INDEX(ERP資料!$A:$A, MATCH(162, 輔助計算!$F$2:$F$801, 0)+1), "")), IFERROR(INDEX(ERP資料!$A:$A, (MATCH(163, 輔助計算!$F$2:$F$801, 0)+1)), ""), ""), "")</f>
        <v/>
      </c>
      <c r="C164" s="10">
        <f>IFERROR(IF(AND(IFERROR(INDEX(ERP資料!$A:$A, (MATCH(163, 輔助計算!$F$2:$F$801, 0)+1)), "")&lt;&gt;"", IFERROR(INDEX(ERP資料!$A:$A, (MATCH(163, 輔助計算!$F$2:$F$801, 0)+1)), "")&lt;&gt;IFERROR(INDEX(ERP資料!$A:$A, MATCH(162, 輔助計算!$F$2:$F$801, 0)+1), "")), INDEX(ERP資料!$S:$S, (MATCH(163, 輔助計算!$F$2:$F$801, 0)+1)), ""), "")</f>
        <v/>
      </c>
      <c r="D164" s="10">
        <f>IFERROR(IF(INDEX(ERP資料!$E:$E, (MATCH(163, 輔助計算!$F$2:$F$801, 0)+1))="","",TRIM(INDEX(ERP資料!$E:$E, (MATCH(163, 輔助計算!$F$2:$F$801, 0)+1)))), "")</f>
        <v/>
      </c>
      <c r="E164" s="10">
        <f>IFERROR(IF(INDEX(ERP資料!$F:$F, (MATCH(163, 輔助計算!$F$2:$F$801, 0)+1))="","",INDEX(ERP資料!$F:$F, (MATCH(163, 輔助計算!$F$2:$F$801, 0)+1))), "")</f>
        <v/>
      </c>
      <c r="F164" s="10">
        <f>IFERROR(IF(INDEX(ERP資料!$G:$G, (MATCH(163, 輔助計算!$F$2:$F$801, 0)+1))="","",INDEX(ERP資料!$G:$G, (MATCH(163, 輔助計算!$F$2:$F$801, 0)+1))), "")</f>
        <v/>
      </c>
      <c r="G164" s="10">
        <f>IFERROR(IF(INDEX(ERP資料!$H:$H, (MATCH(163, 輔助計算!$F$2:$F$801, 0)+1))="","",INDEX(ERP資料!$H:$H, (MATCH(163, 輔助計算!$F$2:$F$801, 0)+1))), "")</f>
        <v/>
      </c>
      <c r="H164" s="10">
        <f>IFERROR(IF(INDEX(ERP資料!$O:$O, (MATCH(163, 輔助計算!$F$2:$F$801, 0)+1))="","",INDEX(ERP資料!$O:$O, (MATCH(163, 輔助計算!$F$2:$F$801, 0)+1))), "")</f>
        <v/>
      </c>
      <c r="I164" s="15">
        <f>IFERROR(IF(INDEX(輔助計算!$D:$D,(MATCH(163, 輔助計算!$F$2:$F$801, 0)+1))="","",INDEX(輔助計算!$D:$D,(MATCH(163, 輔助計算!$F$2:$F$801, 0)+1))*INDEX(ERP資料!$O:$O,(MATCH(163, 輔助計算!$F$2:$F$801, 0)+1))), "")</f>
        <v/>
      </c>
      <c r="J164" s="16" t="n"/>
      <c r="K164" s="15">
        <f>IFERROR(INDEX(輔助計算!$D:$D, (MATCH(163, 輔助計算!$F$2:$F$801, 0)+1)), "")</f>
        <v/>
      </c>
      <c r="L164" s="16">
        <f>IFERROR(IF(AND(IFERROR(VLOOKUP(LEFT(INDEX(ERP資料!$S:$S, (MATCH(163, 輔助計算!$F$2:$F$801, 0)+1)), 4), 100張客戶!$A:$A, 1, FALSE), "")&lt;&gt;"", OR(INDEX(ERP資料!$F:$F, (MATCH(163, 輔助計算!$F$2:$F$801, 0)+1))=270, INDEX(ERP資料!$F:$F, (MATCH(163, 輔助計算!$F$2:$F$801, 0)+1))=300)), "100張", ""), "")</f>
        <v/>
      </c>
      <c r="M164" s="17" t="n"/>
      <c r="N164" s="17">
        <f>IF($F164="","",$F164)</f>
        <v/>
      </c>
      <c r="O164" s="17">
        <f>IF($G164="","",$G164)</f>
        <v/>
      </c>
      <c r="P164" s="17">
        <f>IF($K164="","",$K164)</f>
        <v/>
      </c>
      <c r="Q164" s="16" t="n"/>
      <c r="R164" s="18" t="n"/>
      <c r="S164" s="16" t="n"/>
    </row>
    <row r="165">
      <c r="A165" s="14">
        <f>IFERROR(IF(AND(IFERROR(INDEX(ERP資料!$A:$A, (MATCH(164, 輔助計算!$F$2:$F$801, 0)+1)), "")&lt;&gt;"", IFERROR(INDEX(ERP資料!$A:$A, (MATCH(164, 輔助計算!$F$2:$F$801, 0)+1)), "")&lt;&gt;IFERROR(INDEX(ERP資料!$A:$A, MATCH(163, 輔助計算!$F$2:$F$801, 0)+1), "")), INDEX(ERP資料!$B:$B, (MATCH(164, 輔助計算!$F$2:$F$801, 0)+1)), ""), "")</f>
        <v/>
      </c>
      <c r="B165" s="10">
        <f>IFERROR(IF(AND(IFERROR(INDEX(ERP資料!$A:$A, (MATCH(164, 輔助計算!$F$2:$F$801, 0)+1)), "")&lt;&gt;"", IFERROR(INDEX(ERP資料!$A:$A, (MATCH(164, 輔助計算!$F$2:$F$801, 0)+1)), "")&lt;&gt;IFERROR(INDEX(ERP資料!$A:$A, MATCH(163, 輔助計算!$F$2:$F$801, 0)+1), "")), IFERROR(INDEX(ERP資料!$A:$A, (MATCH(164, 輔助計算!$F$2:$F$801, 0)+1)), ""), ""), "")</f>
        <v/>
      </c>
      <c r="C165" s="10">
        <f>IFERROR(IF(AND(IFERROR(INDEX(ERP資料!$A:$A, (MATCH(164, 輔助計算!$F$2:$F$801, 0)+1)), "")&lt;&gt;"", IFERROR(INDEX(ERP資料!$A:$A, (MATCH(164, 輔助計算!$F$2:$F$801, 0)+1)), "")&lt;&gt;IFERROR(INDEX(ERP資料!$A:$A, MATCH(163, 輔助計算!$F$2:$F$801, 0)+1), "")), INDEX(ERP資料!$S:$S, (MATCH(164, 輔助計算!$F$2:$F$801, 0)+1)), ""), "")</f>
        <v/>
      </c>
      <c r="D165" s="10">
        <f>IFERROR(IF(INDEX(ERP資料!$E:$E, (MATCH(164, 輔助計算!$F$2:$F$801, 0)+1))="","",TRIM(INDEX(ERP資料!$E:$E, (MATCH(164, 輔助計算!$F$2:$F$801, 0)+1)))), "")</f>
        <v/>
      </c>
      <c r="E165" s="10">
        <f>IFERROR(IF(INDEX(ERP資料!$F:$F, (MATCH(164, 輔助計算!$F$2:$F$801, 0)+1))="","",INDEX(ERP資料!$F:$F, (MATCH(164, 輔助計算!$F$2:$F$801, 0)+1))), "")</f>
        <v/>
      </c>
      <c r="F165" s="10">
        <f>IFERROR(IF(INDEX(ERP資料!$G:$G, (MATCH(164, 輔助計算!$F$2:$F$801, 0)+1))="","",INDEX(ERP資料!$G:$G, (MATCH(164, 輔助計算!$F$2:$F$801, 0)+1))), "")</f>
        <v/>
      </c>
      <c r="G165" s="10">
        <f>IFERROR(IF(INDEX(ERP資料!$H:$H, (MATCH(164, 輔助計算!$F$2:$F$801, 0)+1))="","",INDEX(ERP資料!$H:$H, (MATCH(164, 輔助計算!$F$2:$F$801, 0)+1))), "")</f>
        <v/>
      </c>
      <c r="H165" s="10">
        <f>IFERROR(IF(INDEX(ERP資料!$O:$O, (MATCH(164, 輔助計算!$F$2:$F$801, 0)+1))="","",INDEX(ERP資料!$O:$O, (MATCH(164, 輔助計算!$F$2:$F$801, 0)+1))), "")</f>
        <v/>
      </c>
      <c r="I165" s="15">
        <f>IFERROR(IF(INDEX(輔助計算!$D:$D,(MATCH(164, 輔助計算!$F$2:$F$801, 0)+1))="","",INDEX(輔助計算!$D:$D,(MATCH(164, 輔助計算!$F$2:$F$801, 0)+1))*INDEX(ERP資料!$O:$O,(MATCH(164, 輔助計算!$F$2:$F$801, 0)+1))), "")</f>
        <v/>
      </c>
      <c r="J165" s="16" t="n"/>
      <c r="K165" s="15">
        <f>IFERROR(INDEX(輔助計算!$D:$D, (MATCH(164, 輔助計算!$F$2:$F$801, 0)+1)), "")</f>
        <v/>
      </c>
      <c r="L165" s="16">
        <f>IFERROR(IF(AND(IFERROR(VLOOKUP(LEFT(INDEX(ERP資料!$S:$S, (MATCH(164, 輔助計算!$F$2:$F$801, 0)+1)), 4), 100張客戶!$A:$A, 1, FALSE), "")&lt;&gt;"", OR(INDEX(ERP資料!$F:$F, (MATCH(164, 輔助計算!$F$2:$F$801, 0)+1))=270, INDEX(ERP資料!$F:$F, (MATCH(164, 輔助計算!$F$2:$F$801, 0)+1))=300)), "100張", ""), "")</f>
        <v/>
      </c>
      <c r="M165" s="17" t="n"/>
      <c r="N165" s="17">
        <f>IF($F165="","",$F165)</f>
        <v/>
      </c>
      <c r="O165" s="17">
        <f>IF($G165="","",$G165)</f>
        <v/>
      </c>
      <c r="P165" s="17">
        <f>IF($K165="","",$K165)</f>
        <v/>
      </c>
      <c r="Q165" s="16" t="n"/>
      <c r="R165" s="18" t="n"/>
      <c r="S165" s="16" t="n"/>
    </row>
    <row r="166">
      <c r="A166" s="14">
        <f>IFERROR(IF(AND(IFERROR(INDEX(ERP資料!$A:$A, (MATCH(165, 輔助計算!$F$2:$F$801, 0)+1)), "")&lt;&gt;"", IFERROR(INDEX(ERP資料!$A:$A, (MATCH(165, 輔助計算!$F$2:$F$801, 0)+1)), "")&lt;&gt;IFERROR(INDEX(ERP資料!$A:$A, MATCH(164, 輔助計算!$F$2:$F$801, 0)+1), "")), INDEX(ERP資料!$B:$B, (MATCH(165, 輔助計算!$F$2:$F$801, 0)+1)), ""), "")</f>
        <v/>
      </c>
      <c r="B166" s="10">
        <f>IFERROR(IF(AND(IFERROR(INDEX(ERP資料!$A:$A, (MATCH(165, 輔助計算!$F$2:$F$801, 0)+1)), "")&lt;&gt;"", IFERROR(INDEX(ERP資料!$A:$A, (MATCH(165, 輔助計算!$F$2:$F$801, 0)+1)), "")&lt;&gt;IFERROR(INDEX(ERP資料!$A:$A, MATCH(164, 輔助計算!$F$2:$F$801, 0)+1), "")), IFERROR(INDEX(ERP資料!$A:$A, (MATCH(165, 輔助計算!$F$2:$F$801, 0)+1)), ""), ""), "")</f>
        <v/>
      </c>
      <c r="C166" s="10">
        <f>IFERROR(IF(AND(IFERROR(INDEX(ERP資料!$A:$A, (MATCH(165, 輔助計算!$F$2:$F$801, 0)+1)), "")&lt;&gt;"", IFERROR(INDEX(ERP資料!$A:$A, (MATCH(165, 輔助計算!$F$2:$F$801, 0)+1)), "")&lt;&gt;IFERROR(INDEX(ERP資料!$A:$A, MATCH(164, 輔助計算!$F$2:$F$801, 0)+1), "")), INDEX(ERP資料!$S:$S, (MATCH(165, 輔助計算!$F$2:$F$801, 0)+1)), ""), "")</f>
        <v/>
      </c>
      <c r="D166" s="10">
        <f>IFERROR(IF(INDEX(ERP資料!$E:$E, (MATCH(165, 輔助計算!$F$2:$F$801, 0)+1))="","",TRIM(INDEX(ERP資料!$E:$E, (MATCH(165, 輔助計算!$F$2:$F$801, 0)+1)))), "")</f>
        <v/>
      </c>
      <c r="E166" s="10">
        <f>IFERROR(IF(INDEX(ERP資料!$F:$F, (MATCH(165, 輔助計算!$F$2:$F$801, 0)+1))="","",INDEX(ERP資料!$F:$F, (MATCH(165, 輔助計算!$F$2:$F$801, 0)+1))), "")</f>
        <v/>
      </c>
      <c r="F166" s="10">
        <f>IFERROR(IF(INDEX(ERP資料!$G:$G, (MATCH(165, 輔助計算!$F$2:$F$801, 0)+1))="","",INDEX(ERP資料!$G:$G, (MATCH(165, 輔助計算!$F$2:$F$801, 0)+1))), "")</f>
        <v/>
      </c>
      <c r="G166" s="10">
        <f>IFERROR(IF(INDEX(ERP資料!$H:$H, (MATCH(165, 輔助計算!$F$2:$F$801, 0)+1))="","",INDEX(ERP資料!$H:$H, (MATCH(165, 輔助計算!$F$2:$F$801, 0)+1))), "")</f>
        <v/>
      </c>
      <c r="H166" s="10">
        <f>IFERROR(IF(INDEX(ERP資料!$O:$O, (MATCH(165, 輔助計算!$F$2:$F$801, 0)+1))="","",INDEX(ERP資料!$O:$O, (MATCH(165, 輔助計算!$F$2:$F$801, 0)+1))), "")</f>
        <v/>
      </c>
      <c r="I166" s="15">
        <f>IFERROR(IF(INDEX(輔助計算!$D:$D,(MATCH(165, 輔助計算!$F$2:$F$801, 0)+1))="","",INDEX(輔助計算!$D:$D,(MATCH(165, 輔助計算!$F$2:$F$801, 0)+1))*INDEX(ERP資料!$O:$O,(MATCH(165, 輔助計算!$F$2:$F$801, 0)+1))), "")</f>
        <v/>
      </c>
      <c r="J166" s="16" t="n"/>
      <c r="K166" s="15">
        <f>IFERROR(INDEX(輔助計算!$D:$D, (MATCH(165, 輔助計算!$F$2:$F$801, 0)+1)), "")</f>
        <v/>
      </c>
      <c r="L166" s="16">
        <f>IFERROR(IF(AND(IFERROR(VLOOKUP(LEFT(INDEX(ERP資料!$S:$S, (MATCH(165, 輔助計算!$F$2:$F$801, 0)+1)), 4), 100張客戶!$A:$A, 1, FALSE), "")&lt;&gt;"", OR(INDEX(ERP資料!$F:$F, (MATCH(165, 輔助計算!$F$2:$F$801, 0)+1))=270, INDEX(ERP資料!$F:$F, (MATCH(165, 輔助計算!$F$2:$F$801, 0)+1))=300)), "100張", ""), "")</f>
        <v/>
      </c>
      <c r="M166" s="17" t="n"/>
      <c r="N166" s="17">
        <f>IF($F166="","",$F166)</f>
        <v/>
      </c>
      <c r="O166" s="17">
        <f>IF($G166="","",$G166)</f>
        <v/>
      </c>
      <c r="P166" s="17">
        <f>IF($K166="","",$K166)</f>
        <v/>
      </c>
      <c r="Q166" s="16" t="n"/>
      <c r="R166" s="18" t="n"/>
      <c r="S166" s="16" t="n"/>
    </row>
    <row r="167">
      <c r="A167" s="14">
        <f>IFERROR(IF(AND(IFERROR(INDEX(ERP資料!$A:$A, (MATCH(166, 輔助計算!$F$2:$F$801, 0)+1)), "")&lt;&gt;"", IFERROR(INDEX(ERP資料!$A:$A, (MATCH(166, 輔助計算!$F$2:$F$801, 0)+1)), "")&lt;&gt;IFERROR(INDEX(ERP資料!$A:$A, MATCH(165, 輔助計算!$F$2:$F$801, 0)+1), "")), INDEX(ERP資料!$B:$B, (MATCH(166, 輔助計算!$F$2:$F$801, 0)+1)), ""), "")</f>
        <v/>
      </c>
      <c r="B167" s="10">
        <f>IFERROR(IF(AND(IFERROR(INDEX(ERP資料!$A:$A, (MATCH(166, 輔助計算!$F$2:$F$801, 0)+1)), "")&lt;&gt;"", IFERROR(INDEX(ERP資料!$A:$A, (MATCH(166, 輔助計算!$F$2:$F$801, 0)+1)), "")&lt;&gt;IFERROR(INDEX(ERP資料!$A:$A, MATCH(165, 輔助計算!$F$2:$F$801, 0)+1), "")), IFERROR(INDEX(ERP資料!$A:$A, (MATCH(166, 輔助計算!$F$2:$F$801, 0)+1)), ""), ""), "")</f>
        <v/>
      </c>
      <c r="C167" s="10">
        <f>IFERROR(IF(AND(IFERROR(INDEX(ERP資料!$A:$A, (MATCH(166, 輔助計算!$F$2:$F$801, 0)+1)), "")&lt;&gt;"", IFERROR(INDEX(ERP資料!$A:$A, (MATCH(166, 輔助計算!$F$2:$F$801, 0)+1)), "")&lt;&gt;IFERROR(INDEX(ERP資料!$A:$A, MATCH(165, 輔助計算!$F$2:$F$801, 0)+1), "")), INDEX(ERP資料!$S:$S, (MATCH(166, 輔助計算!$F$2:$F$801, 0)+1)), ""), "")</f>
        <v/>
      </c>
      <c r="D167" s="10">
        <f>IFERROR(IF(INDEX(ERP資料!$E:$E, (MATCH(166, 輔助計算!$F$2:$F$801, 0)+1))="","",TRIM(INDEX(ERP資料!$E:$E, (MATCH(166, 輔助計算!$F$2:$F$801, 0)+1)))), "")</f>
        <v/>
      </c>
      <c r="E167" s="10">
        <f>IFERROR(IF(INDEX(ERP資料!$F:$F, (MATCH(166, 輔助計算!$F$2:$F$801, 0)+1))="","",INDEX(ERP資料!$F:$F, (MATCH(166, 輔助計算!$F$2:$F$801, 0)+1))), "")</f>
        <v/>
      </c>
      <c r="F167" s="10">
        <f>IFERROR(IF(INDEX(ERP資料!$G:$G, (MATCH(166, 輔助計算!$F$2:$F$801, 0)+1))="","",INDEX(ERP資料!$G:$G, (MATCH(166, 輔助計算!$F$2:$F$801, 0)+1))), "")</f>
        <v/>
      </c>
      <c r="G167" s="10">
        <f>IFERROR(IF(INDEX(ERP資料!$H:$H, (MATCH(166, 輔助計算!$F$2:$F$801, 0)+1))="","",INDEX(ERP資料!$H:$H, (MATCH(166, 輔助計算!$F$2:$F$801, 0)+1))), "")</f>
        <v/>
      </c>
      <c r="H167" s="10">
        <f>IFERROR(IF(INDEX(ERP資料!$O:$O, (MATCH(166, 輔助計算!$F$2:$F$801, 0)+1))="","",INDEX(ERP資料!$O:$O, (MATCH(166, 輔助計算!$F$2:$F$801, 0)+1))), "")</f>
        <v/>
      </c>
      <c r="I167" s="15">
        <f>IFERROR(IF(INDEX(輔助計算!$D:$D,(MATCH(166, 輔助計算!$F$2:$F$801, 0)+1))="","",INDEX(輔助計算!$D:$D,(MATCH(166, 輔助計算!$F$2:$F$801, 0)+1))*INDEX(ERP資料!$O:$O,(MATCH(166, 輔助計算!$F$2:$F$801, 0)+1))), "")</f>
        <v/>
      </c>
      <c r="J167" s="16" t="n"/>
      <c r="K167" s="15">
        <f>IFERROR(INDEX(輔助計算!$D:$D, (MATCH(166, 輔助計算!$F$2:$F$801, 0)+1)), "")</f>
        <v/>
      </c>
      <c r="L167" s="16">
        <f>IFERROR(IF(AND(IFERROR(VLOOKUP(LEFT(INDEX(ERP資料!$S:$S, (MATCH(166, 輔助計算!$F$2:$F$801, 0)+1)), 4), 100張客戶!$A:$A, 1, FALSE), "")&lt;&gt;"", OR(INDEX(ERP資料!$F:$F, (MATCH(166, 輔助計算!$F$2:$F$801, 0)+1))=270, INDEX(ERP資料!$F:$F, (MATCH(166, 輔助計算!$F$2:$F$801, 0)+1))=300)), "100張", ""), "")</f>
        <v/>
      </c>
      <c r="M167" s="17" t="n"/>
      <c r="N167" s="17">
        <f>IF($F167="","",$F167)</f>
        <v/>
      </c>
      <c r="O167" s="17">
        <f>IF($G167="","",$G167)</f>
        <v/>
      </c>
      <c r="P167" s="17">
        <f>IF($K167="","",$K167)</f>
        <v/>
      </c>
      <c r="Q167" s="16" t="n"/>
      <c r="R167" s="18" t="n"/>
      <c r="S167" s="16" t="n"/>
    </row>
    <row r="168">
      <c r="A168" s="14">
        <f>IFERROR(IF(AND(IFERROR(INDEX(ERP資料!$A:$A, (MATCH(167, 輔助計算!$F$2:$F$801, 0)+1)), "")&lt;&gt;"", IFERROR(INDEX(ERP資料!$A:$A, (MATCH(167, 輔助計算!$F$2:$F$801, 0)+1)), "")&lt;&gt;IFERROR(INDEX(ERP資料!$A:$A, MATCH(166, 輔助計算!$F$2:$F$801, 0)+1), "")), INDEX(ERP資料!$B:$B, (MATCH(167, 輔助計算!$F$2:$F$801, 0)+1)), ""), "")</f>
        <v/>
      </c>
      <c r="B168" s="10">
        <f>IFERROR(IF(AND(IFERROR(INDEX(ERP資料!$A:$A, (MATCH(167, 輔助計算!$F$2:$F$801, 0)+1)), "")&lt;&gt;"", IFERROR(INDEX(ERP資料!$A:$A, (MATCH(167, 輔助計算!$F$2:$F$801, 0)+1)), "")&lt;&gt;IFERROR(INDEX(ERP資料!$A:$A, MATCH(166, 輔助計算!$F$2:$F$801, 0)+1), "")), IFERROR(INDEX(ERP資料!$A:$A, (MATCH(167, 輔助計算!$F$2:$F$801, 0)+1)), ""), ""), "")</f>
        <v/>
      </c>
      <c r="C168" s="10">
        <f>IFERROR(IF(AND(IFERROR(INDEX(ERP資料!$A:$A, (MATCH(167, 輔助計算!$F$2:$F$801, 0)+1)), "")&lt;&gt;"", IFERROR(INDEX(ERP資料!$A:$A, (MATCH(167, 輔助計算!$F$2:$F$801, 0)+1)), "")&lt;&gt;IFERROR(INDEX(ERP資料!$A:$A, MATCH(166, 輔助計算!$F$2:$F$801, 0)+1), "")), INDEX(ERP資料!$S:$S, (MATCH(167, 輔助計算!$F$2:$F$801, 0)+1)), ""), "")</f>
        <v/>
      </c>
      <c r="D168" s="10">
        <f>IFERROR(IF(INDEX(ERP資料!$E:$E, (MATCH(167, 輔助計算!$F$2:$F$801, 0)+1))="","",TRIM(INDEX(ERP資料!$E:$E, (MATCH(167, 輔助計算!$F$2:$F$801, 0)+1)))), "")</f>
        <v/>
      </c>
      <c r="E168" s="10">
        <f>IFERROR(IF(INDEX(ERP資料!$F:$F, (MATCH(167, 輔助計算!$F$2:$F$801, 0)+1))="","",INDEX(ERP資料!$F:$F, (MATCH(167, 輔助計算!$F$2:$F$801, 0)+1))), "")</f>
        <v/>
      </c>
      <c r="F168" s="10">
        <f>IFERROR(IF(INDEX(ERP資料!$G:$G, (MATCH(167, 輔助計算!$F$2:$F$801, 0)+1))="","",INDEX(ERP資料!$G:$G, (MATCH(167, 輔助計算!$F$2:$F$801, 0)+1))), "")</f>
        <v/>
      </c>
      <c r="G168" s="10">
        <f>IFERROR(IF(INDEX(ERP資料!$H:$H, (MATCH(167, 輔助計算!$F$2:$F$801, 0)+1))="","",INDEX(ERP資料!$H:$H, (MATCH(167, 輔助計算!$F$2:$F$801, 0)+1))), "")</f>
        <v/>
      </c>
      <c r="H168" s="10">
        <f>IFERROR(IF(INDEX(ERP資料!$O:$O, (MATCH(167, 輔助計算!$F$2:$F$801, 0)+1))="","",INDEX(ERP資料!$O:$O, (MATCH(167, 輔助計算!$F$2:$F$801, 0)+1))), "")</f>
        <v/>
      </c>
      <c r="I168" s="15">
        <f>IFERROR(IF(INDEX(輔助計算!$D:$D,(MATCH(167, 輔助計算!$F$2:$F$801, 0)+1))="","",INDEX(輔助計算!$D:$D,(MATCH(167, 輔助計算!$F$2:$F$801, 0)+1))*INDEX(ERP資料!$O:$O,(MATCH(167, 輔助計算!$F$2:$F$801, 0)+1))), "")</f>
        <v/>
      </c>
      <c r="J168" s="16" t="n"/>
      <c r="K168" s="15">
        <f>IFERROR(INDEX(輔助計算!$D:$D, (MATCH(167, 輔助計算!$F$2:$F$801, 0)+1)), "")</f>
        <v/>
      </c>
      <c r="L168" s="16">
        <f>IFERROR(IF(AND(IFERROR(VLOOKUP(LEFT(INDEX(ERP資料!$S:$S, (MATCH(167, 輔助計算!$F$2:$F$801, 0)+1)), 4), 100張客戶!$A:$A, 1, FALSE), "")&lt;&gt;"", OR(INDEX(ERP資料!$F:$F, (MATCH(167, 輔助計算!$F$2:$F$801, 0)+1))=270, INDEX(ERP資料!$F:$F, (MATCH(167, 輔助計算!$F$2:$F$801, 0)+1))=300)), "100張", ""), "")</f>
        <v/>
      </c>
      <c r="M168" s="17" t="n"/>
      <c r="N168" s="17">
        <f>IF($F168="","",$F168)</f>
        <v/>
      </c>
      <c r="O168" s="17">
        <f>IF($G168="","",$G168)</f>
        <v/>
      </c>
      <c r="P168" s="17">
        <f>IF($K168="","",$K168)</f>
        <v/>
      </c>
      <c r="Q168" s="16" t="n"/>
      <c r="R168" s="18" t="n"/>
      <c r="S168" s="16" t="n"/>
    </row>
    <row r="169">
      <c r="A169" s="14">
        <f>IFERROR(IF(AND(IFERROR(INDEX(ERP資料!$A:$A, (MATCH(168, 輔助計算!$F$2:$F$801, 0)+1)), "")&lt;&gt;"", IFERROR(INDEX(ERP資料!$A:$A, (MATCH(168, 輔助計算!$F$2:$F$801, 0)+1)), "")&lt;&gt;IFERROR(INDEX(ERP資料!$A:$A, MATCH(167, 輔助計算!$F$2:$F$801, 0)+1), "")), INDEX(ERP資料!$B:$B, (MATCH(168, 輔助計算!$F$2:$F$801, 0)+1)), ""), "")</f>
        <v/>
      </c>
      <c r="B169" s="10">
        <f>IFERROR(IF(AND(IFERROR(INDEX(ERP資料!$A:$A, (MATCH(168, 輔助計算!$F$2:$F$801, 0)+1)), "")&lt;&gt;"", IFERROR(INDEX(ERP資料!$A:$A, (MATCH(168, 輔助計算!$F$2:$F$801, 0)+1)), "")&lt;&gt;IFERROR(INDEX(ERP資料!$A:$A, MATCH(167, 輔助計算!$F$2:$F$801, 0)+1), "")), IFERROR(INDEX(ERP資料!$A:$A, (MATCH(168, 輔助計算!$F$2:$F$801, 0)+1)), ""), ""), "")</f>
        <v/>
      </c>
      <c r="C169" s="10">
        <f>IFERROR(IF(AND(IFERROR(INDEX(ERP資料!$A:$A, (MATCH(168, 輔助計算!$F$2:$F$801, 0)+1)), "")&lt;&gt;"", IFERROR(INDEX(ERP資料!$A:$A, (MATCH(168, 輔助計算!$F$2:$F$801, 0)+1)), "")&lt;&gt;IFERROR(INDEX(ERP資料!$A:$A, MATCH(167, 輔助計算!$F$2:$F$801, 0)+1), "")), INDEX(ERP資料!$S:$S, (MATCH(168, 輔助計算!$F$2:$F$801, 0)+1)), ""), "")</f>
        <v/>
      </c>
      <c r="D169" s="10">
        <f>IFERROR(IF(INDEX(ERP資料!$E:$E, (MATCH(168, 輔助計算!$F$2:$F$801, 0)+1))="","",TRIM(INDEX(ERP資料!$E:$E, (MATCH(168, 輔助計算!$F$2:$F$801, 0)+1)))), "")</f>
        <v/>
      </c>
      <c r="E169" s="10">
        <f>IFERROR(IF(INDEX(ERP資料!$F:$F, (MATCH(168, 輔助計算!$F$2:$F$801, 0)+1))="","",INDEX(ERP資料!$F:$F, (MATCH(168, 輔助計算!$F$2:$F$801, 0)+1))), "")</f>
        <v/>
      </c>
      <c r="F169" s="10">
        <f>IFERROR(IF(INDEX(ERP資料!$G:$G, (MATCH(168, 輔助計算!$F$2:$F$801, 0)+1))="","",INDEX(ERP資料!$G:$G, (MATCH(168, 輔助計算!$F$2:$F$801, 0)+1))), "")</f>
        <v/>
      </c>
      <c r="G169" s="10">
        <f>IFERROR(IF(INDEX(ERP資料!$H:$H, (MATCH(168, 輔助計算!$F$2:$F$801, 0)+1))="","",INDEX(ERP資料!$H:$H, (MATCH(168, 輔助計算!$F$2:$F$801, 0)+1))), "")</f>
        <v/>
      </c>
      <c r="H169" s="10">
        <f>IFERROR(IF(INDEX(ERP資料!$O:$O, (MATCH(168, 輔助計算!$F$2:$F$801, 0)+1))="","",INDEX(ERP資料!$O:$O, (MATCH(168, 輔助計算!$F$2:$F$801, 0)+1))), "")</f>
        <v/>
      </c>
      <c r="I169" s="15">
        <f>IFERROR(IF(INDEX(輔助計算!$D:$D,(MATCH(168, 輔助計算!$F$2:$F$801, 0)+1))="","",INDEX(輔助計算!$D:$D,(MATCH(168, 輔助計算!$F$2:$F$801, 0)+1))*INDEX(ERP資料!$O:$O,(MATCH(168, 輔助計算!$F$2:$F$801, 0)+1))), "")</f>
        <v/>
      </c>
      <c r="J169" s="16" t="n"/>
      <c r="K169" s="15">
        <f>IFERROR(INDEX(輔助計算!$D:$D, (MATCH(168, 輔助計算!$F$2:$F$801, 0)+1)), "")</f>
        <v/>
      </c>
      <c r="L169" s="16">
        <f>IFERROR(IF(AND(IFERROR(VLOOKUP(LEFT(INDEX(ERP資料!$S:$S, (MATCH(168, 輔助計算!$F$2:$F$801, 0)+1)), 4), 100張客戶!$A:$A, 1, FALSE), "")&lt;&gt;"", OR(INDEX(ERP資料!$F:$F, (MATCH(168, 輔助計算!$F$2:$F$801, 0)+1))=270, INDEX(ERP資料!$F:$F, (MATCH(168, 輔助計算!$F$2:$F$801, 0)+1))=300)), "100張", ""), "")</f>
        <v/>
      </c>
      <c r="M169" s="17" t="n"/>
      <c r="N169" s="17">
        <f>IF($F169="","",$F169)</f>
        <v/>
      </c>
      <c r="O169" s="17">
        <f>IF($G169="","",$G169)</f>
        <v/>
      </c>
      <c r="P169" s="17">
        <f>IF($K169="","",$K169)</f>
        <v/>
      </c>
      <c r="Q169" s="16" t="n"/>
      <c r="R169" s="18" t="n"/>
      <c r="S169" s="16" t="n"/>
    </row>
    <row r="170">
      <c r="A170" s="14">
        <f>IFERROR(IF(AND(IFERROR(INDEX(ERP資料!$A:$A, (MATCH(169, 輔助計算!$F$2:$F$801, 0)+1)), "")&lt;&gt;"", IFERROR(INDEX(ERP資料!$A:$A, (MATCH(169, 輔助計算!$F$2:$F$801, 0)+1)), "")&lt;&gt;IFERROR(INDEX(ERP資料!$A:$A, MATCH(168, 輔助計算!$F$2:$F$801, 0)+1), "")), INDEX(ERP資料!$B:$B, (MATCH(169, 輔助計算!$F$2:$F$801, 0)+1)), ""), "")</f>
        <v/>
      </c>
      <c r="B170" s="10">
        <f>IFERROR(IF(AND(IFERROR(INDEX(ERP資料!$A:$A, (MATCH(169, 輔助計算!$F$2:$F$801, 0)+1)), "")&lt;&gt;"", IFERROR(INDEX(ERP資料!$A:$A, (MATCH(169, 輔助計算!$F$2:$F$801, 0)+1)), "")&lt;&gt;IFERROR(INDEX(ERP資料!$A:$A, MATCH(168, 輔助計算!$F$2:$F$801, 0)+1), "")), IFERROR(INDEX(ERP資料!$A:$A, (MATCH(169, 輔助計算!$F$2:$F$801, 0)+1)), ""), ""), "")</f>
        <v/>
      </c>
      <c r="C170" s="10">
        <f>IFERROR(IF(AND(IFERROR(INDEX(ERP資料!$A:$A, (MATCH(169, 輔助計算!$F$2:$F$801, 0)+1)), "")&lt;&gt;"", IFERROR(INDEX(ERP資料!$A:$A, (MATCH(169, 輔助計算!$F$2:$F$801, 0)+1)), "")&lt;&gt;IFERROR(INDEX(ERP資料!$A:$A, MATCH(168, 輔助計算!$F$2:$F$801, 0)+1), "")), INDEX(ERP資料!$S:$S, (MATCH(169, 輔助計算!$F$2:$F$801, 0)+1)), ""), "")</f>
        <v/>
      </c>
      <c r="D170" s="10">
        <f>IFERROR(IF(INDEX(ERP資料!$E:$E, (MATCH(169, 輔助計算!$F$2:$F$801, 0)+1))="","",TRIM(INDEX(ERP資料!$E:$E, (MATCH(169, 輔助計算!$F$2:$F$801, 0)+1)))), "")</f>
        <v/>
      </c>
      <c r="E170" s="10">
        <f>IFERROR(IF(INDEX(ERP資料!$F:$F, (MATCH(169, 輔助計算!$F$2:$F$801, 0)+1))="","",INDEX(ERP資料!$F:$F, (MATCH(169, 輔助計算!$F$2:$F$801, 0)+1))), "")</f>
        <v/>
      </c>
      <c r="F170" s="10">
        <f>IFERROR(IF(INDEX(ERP資料!$G:$G, (MATCH(169, 輔助計算!$F$2:$F$801, 0)+1))="","",INDEX(ERP資料!$G:$G, (MATCH(169, 輔助計算!$F$2:$F$801, 0)+1))), "")</f>
        <v/>
      </c>
      <c r="G170" s="10">
        <f>IFERROR(IF(INDEX(ERP資料!$H:$H, (MATCH(169, 輔助計算!$F$2:$F$801, 0)+1))="","",INDEX(ERP資料!$H:$H, (MATCH(169, 輔助計算!$F$2:$F$801, 0)+1))), "")</f>
        <v/>
      </c>
      <c r="H170" s="10">
        <f>IFERROR(IF(INDEX(ERP資料!$O:$O, (MATCH(169, 輔助計算!$F$2:$F$801, 0)+1))="","",INDEX(ERP資料!$O:$O, (MATCH(169, 輔助計算!$F$2:$F$801, 0)+1))), "")</f>
        <v/>
      </c>
      <c r="I170" s="15">
        <f>IFERROR(IF(INDEX(輔助計算!$D:$D,(MATCH(169, 輔助計算!$F$2:$F$801, 0)+1))="","",INDEX(輔助計算!$D:$D,(MATCH(169, 輔助計算!$F$2:$F$801, 0)+1))*INDEX(ERP資料!$O:$O,(MATCH(169, 輔助計算!$F$2:$F$801, 0)+1))), "")</f>
        <v/>
      </c>
      <c r="J170" s="16" t="n"/>
      <c r="K170" s="15">
        <f>IFERROR(INDEX(輔助計算!$D:$D, (MATCH(169, 輔助計算!$F$2:$F$801, 0)+1)), "")</f>
        <v/>
      </c>
      <c r="L170" s="16">
        <f>IFERROR(IF(AND(IFERROR(VLOOKUP(LEFT(INDEX(ERP資料!$S:$S, (MATCH(169, 輔助計算!$F$2:$F$801, 0)+1)), 4), 100張客戶!$A:$A, 1, FALSE), "")&lt;&gt;"", OR(INDEX(ERP資料!$F:$F, (MATCH(169, 輔助計算!$F$2:$F$801, 0)+1))=270, INDEX(ERP資料!$F:$F, (MATCH(169, 輔助計算!$F$2:$F$801, 0)+1))=300)), "100張", ""), "")</f>
        <v/>
      </c>
      <c r="M170" s="17" t="n"/>
      <c r="N170" s="17">
        <f>IF($F170="","",$F170)</f>
        <v/>
      </c>
      <c r="O170" s="17">
        <f>IF($G170="","",$G170)</f>
        <v/>
      </c>
      <c r="P170" s="17">
        <f>IF($K170="","",$K170)</f>
        <v/>
      </c>
      <c r="Q170" s="16" t="n"/>
      <c r="R170" s="18" t="n"/>
      <c r="S170" s="16" t="n"/>
    </row>
    <row r="171">
      <c r="A171" s="14">
        <f>IFERROR(IF(AND(IFERROR(INDEX(ERP資料!$A:$A, (MATCH(170, 輔助計算!$F$2:$F$801, 0)+1)), "")&lt;&gt;"", IFERROR(INDEX(ERP資料!$A:$A, (MATCH(170, 輔助計算!$F$2:$F$801, 0)+1)), "")&lt;&gt;IFERROR(INDEX(ERP資料!$A:$A, MATCH(169, 輔助計算!$F$2:$F$801, 0)+1), "")), INDEX(ERP資料!$B:$B, (MATCH(170, 輔助計算!$F$2:$F$801, 0)+1)), ""), "")</f>
        <v/>
      </c>
      <c r="B171" s="10">
        <f>IFERROR(IF(AND(IFERROR(INDEX(ERP資料!$A:$A, (MATCH(170, 輔助計算!$F$2:$F$801, 0)+1)), "")&lt;&gt;"", IFERROR(INDEX(ERP資料!$A:$A, (MATCH(170, 輔助計算!$F$2:$F$801, 0)+1)), "")&lt;&gt;IFERROR(INDEX(ERP資料!$A:$A, MATCH(169, 輔助計算!$F$2:$F$801, 0)+1), "")), IFERROR(INDEX(ERP資料!$A:$A, (MATCH(170, 輔助計算!$F$2:$F$801, 0)+1)), ""), ""), "")</f>
        <v/>
      </c>
      <c r="C171" s="10">
        <f>IFERROR(IF(AND(IFERROR(INDEX(ERP資料!$A:$A, (MATCH(170, 輔助計算!$F$2:$F$801, 0)+1)), "")&lt;&gt;"", IFERROR(INDEX(ERP資料!$A:$A, (MATCH(170, 輔助計算!$F$2:$F$801, 0)+1)), "")&lt;&gt;IFERROR(INDEX(ERP資料!$A:$A, MATCH(169, 輔助計算!$F$2:$F$801, 0)+1), "")), INDEX(ERP資料!$S:$S, (MATCH(170, 輔助計算!$F$2:$F$801, 0)+1)), ""), "")</f>
        <v/>
      </c>
      <c r="D171" s="10">
        <f>IFERROR(IF(INDEX(ERP資料!$E:$E, (MATCH(170, 輔助計算!$F$2:$F$801, 0)+1))="","",TRIM(INDEX(ERP資料!$E:$E, (MATCH(170, 輔助計算!$F$2:$F$801, 0)+1)))), "")</f>
        <v/>
      </c>
      <c r="E171" s="10">
        <f>IFERROR(IF(INDEX(ERP資料!$F:$F, (MATCH(170, 輔助計算!$F$2:$F$801, 0)+1))="","",INDEX(ERP資料!$F:$F, (MATCH(170, 輔助計算!$F$2:$F$801, 0)+1))), "")</f>
        <v/>
      </c>
      <c r="F171" s="10">
        <f>IFERROR(IF(INDEX(ERP資料!$G:$G, (MATCH(170, 輔助計算!$F$2:$F$801, 0)+1))="","",INDEX(ERP資料!$G:$G, (MATCH(170, 輔助計算!$F$2:$F$801, 0)+1))), "")</f>
        <v/>
      </c>
      <c r="G171" s="10">
        <f>IFERROR(IF(INDEX(ERP資料!$H:$H, (MATCH(170, 輔助計算!$F$2:$F$801, 0)+1))="","",INDEX(ERP資料!$H:$H, (MATCH(170, 輔助計算!$F$2:$F$801, 0)+1))), "")</f>
        <v/>
      </c>
      <c r="H171" s="10">
        <f>IFERROR(IF(INDEX(ERP資料!$O:$O, (MATCH(170, 輔助計算!$F$2:$F$801, 0)+1))="","",INDEX(ERP資料!$O:$O, (MATCH(170, 輔助計算!$F$2:$F$801, 0)+1))), "")</f>
        <v/>
      </c>
      <c r="I171" s="15">
        <f>IFERROR(IF(INDEX(輔助計算!$D:$D,(MATCH(170, 輔助計算!$F$2:$F$801, 0)+1))="","",INDEX(輔助計算!$D:$D,(MATCH(170, 輔助計算!$F$2:$F$801, 0)+1))*INDEX(ERP資料!$O:$O,(MATCH(170, 輔助計算!$F$2:$F$801, 0)+1))), "")</f>
        <v/>
      </c>
      <c r="J171" s="16" t="n"/>
      <c r="K171" s="15">
        <f>IFERROR(INDEX(輔助計算!$D:$D, (MATCH(170, 輔助計算!$F$2:$F$801, 0)+1)), "")</f>
        <v/>
      </c>
      <c r="L171" s="16">
        <f>IFERROR(IF(AND(IFERROR(VLOOKUP(LEFT(INDEX(ERP資料!$S:$S, (MATCH(170, 輔助計算!$F$2:$F$801, 0)+1)), 4), 100張客戶!$A:$A, 1, FALSE), "")&lt;&gt;"", OR(INDEX(ERP資料!$F:$F, (MATCH(170, 輔助計算!$F$2:$F$801, 0)+1))=270, INDEX(ERP資料!$F:$F, (MATCH(170, 輔助計算!$F$2:$F$801, 0)+1))=300)), "100張", ""), "")</f>
        <v/>
      </c>
      <c r="M171" s="17" t="n"/>
      <c r="N171" s="17">
        <f>IF($F171="","",$F171)</f>
        <v/>
      </c>
      <c r="O171" s="17">
        <f>IF($G171="","",$G171)</f>
        <v/>
      </c>
      <c r="P171" s="17">
        <f>IF($K171="","",$K171)</f>
        <v/>
      </c>
      <c r="Q171" s="16" t="n"/>
      <c r="R171" s="18" t="n"/>
      <c r="S171" s="16" t="n"/>
    </row>
    <row r="172">
      <c r="A172" s="14">
        <f>IFERROR(IF(AND(IFERROR(INDEX(ERP資料!$A:$A, (MATCH(171, 輔助計算!$F$2:$F$801, 0)+1)), "")&lt;&gt;"", IFERROR(INDEX(ERP資料!$A:$A, (MATCH(171, 輔助計算!$F$2:$F$801, 0)+1)), "")&lt;&gt;IFERROR(INDEX(ERP資料!$A:$A, MATCH(170, 輔助計算!$F$2:$F$801, 0)+1), "")), INDEX(ERP資料!$B:$B, (MATCH(171, 輔助計算!$F$2:$F$801, 0)+1)), ""), "")</f>
        <v/>
      </c>
      <c r="B172" s="10">
        <f>IFERROR(IF(AND(IFERROR(INDEX(ERP資料!$A:$A, (MATCH(171, 輔助計算!$F$2:$F$801, 0)+1)), "")&lt;&gt;"", IFERROR(INDEX(ERP資料!$A:$A, (MATCH(171, 輔助計算!$F$2:$F$801, 0)+1)), "")&lt;&gt;IFERROR(INDEX(ERP資料!$A:$A, MATCH(170, 輔助計算!$F$2:$F$801, 0)+1), "")), IFERROR(INDEX(ERP資料!$A:$A, (MATCH(171, 輔助計算!$F$2:$F$801, 0)+1)), ""), ""), "")</f>
        <v/>
      </c>
      <c r="C172" s="10">
        <f>IFERROR(IF(AND(IFERROR(INDEX(ERP資料!$A:$A, (MATCH(171, 輔助計算!$F$2:$F$801, 0)+1)), "")&lt;&gt;"", IFERROR(INDEX(ERP資料!$A:$A, (MATCH(171, 輔助計算!$F$2:$F$801, 0)+1)), "")&lt;&gt;IFERROR(INDEX(ERP資料!$A:$A, MATCH(170, 輔助計算!$F$2:$F$801, 0)+1), "")), INDEX(ERP資料!$S:$S, (MATCH(171, 輔助計算!$F$2:$F$801, 0)+1)), ""), "")</f>
        <v/>
      </c>
      <c r="D172" s="10">
        <f>IFERROR(IF(INDEX(ERP資料!$E:$E, (MATCH(171, 輔助計算!$F$2:$F$801, 0)+1))="","",TRIM(INDEX(ERP資料!$E:$E, (MATCH(171, 輔助計算!$F$2:$F$801, 0)+1)))), "")</f>
        <v/>
      </c>
      <c r="E172" s="10">
        <f>IFERROR(IF(INDEX(ERP資料!$F:$F, (MATCH(171, 輔助計算!$F$2:$F$801, 0)+1))="","",INDEX(ERP資料!$F:$F, (MATCH(171, 輔助計算!$F$2:$F$801, 0)+1))), "")</f>
        <v/>
      </c>
      <c r="F172" s="10">
        <f>IFERROR(IF(INDEX(ERP資料!$G:$G, (MATCH(171, 輔助計算!$F$2:$F$801, 0)+1))="","",INDEX(ERP資料!$G:$G, (MATCH(171, 輔助計算!$F$2:$F$801, 0)+1))), "")</f>
        <v/>
      </c>
      <c r="G172" s="10">
        <f>IFERROR(IF(INDEX(ERP資料!$H:$H, (MATCH(171, 輔助計算!$F$2:$F$801, 0)+1))="","",INDEX(ERP資料!$H:$H, (MATCH(171, 輔助計算!$F$2:$F$801, 0)+1))), "")</f>
        <v/>
      </c>
      <c r="H172" s="10">
        <f>IFERROR(IF(INDEX(ERP資料!$O:$O, (MATCH(171, 輔助計算!$F$2:$F$801, 0)+1))="","",INDEX(ERP資料!$O:$O, (MATCH(171, 輔助計算!$F$2:$F$801, 0)+1))), "")</f>
        <v/>
      </c>
      <c r="I172" s="15">
        <f>IFERROR(IF(INDEX(輔助計算!$D:$D,(MATCH(171, 輔助計算!$F$2:$F$801, 0)+1))="","",INDEX(輔助計算!$D:$D,(MATCH(171, 輔助計算!$F$2:$F$801, 0)+1))*INDEX(ERP資料!$O:$O,(MATCH(171, 輔助計算!$F$2:$F$801, 0)+1))), "")</f>
        <v/>
      </c>
      <c r="J172" s="16" t="n"/>
      <c r="K172" s="15">
        <f>IFERROR(INDEX(輔助計算!$D:$D, (MATCH(171, 輔助計算!$F$2:$F$801, 0)+1)), "")</f>
        <v/>
      </c>
      <c r="L172" s="16">
        <f>IFERROR(IF(AND(IFERROR(VLOOKUP(LEFT(INDEX(ERP資料!$S:$S, (MATCH(171, 輔助計算!$F$2:$F$801, 0)+1)), 4), 100張客戶!$A:$A, 1, FALSE), "")&lt;&gt;"", OR(INDEX(ERP資料!$F:$F, (MATCH(171, 輔助計算!$F$2:$F$801, 0)+1))=270, INDEX(ERP資料!$F:$F, (MATCH(171, 輔助計算!$F$2:$F$801, 0)+1))=300)), "100張", ""), "")</f>
        <v/>
      </c>
      <c r="M172" s="17" t="n"/>
      <c r="N172" s="17">
        <f>IF($F172="","",$F172)</f>
        <v/>
      </c>
      <c r="O172" s="17">
        <f>IF($G172="","",$G172)</f>
        <v/>
      </c>
      <c r="P172" s="17">
        <f>IF($K172="","",$K172)</f>
        <v/>
      </c>
      <c r="Q172" s="16" t="n"/>
      <c r="R172" s="18" t="n"/>
      <c r="S172" s="16" t="n"/>
    </row>
    <row r="173">
      <c r="A173" s="14">
        <f>IFERROR(IF(AND(IFERROR(INDEX(ERP資料!$A:$A, (MATCH(172, 輔助計算!$F$2:$F$801, 0)+1)), "")&lt;&gt;"", IFERROR(INDEX(ERP資料!$A:$A, (MATCH(172, 輔助計算!$F$2:$F$801, 0)+1)), "")&lt;&gt;IFERROR(INDEX(ERP資料!$A:$A, MATCH(171, 輔助計算!$F$2:$F$801, 0)+1), "")), INDEX(ERP資料!$B:$B, (MATCH(172, 輔助計算!$F$2:$F$801, 0)+1)), ""), "")</f>
        <v/>
      </c>
      <c r="B173" s="10">
        <f>IFERROR(IF(AND(IFERROR(INDEX(ERP資料!$A:$A, (MATCH(172, 輔助計算!$F$2:$F$801, 0)+1)), "")&lt;&gt;"", IFERROR(INDEX(ERP資料!$A:$A, (MATCH(172, 輔助計算!$F$2:$F$801, 0)+1)), "")&lt;&gt;IFERROR(INDEX(ERP資料!$A:$A, MATCH(171, 輔助計算!$F$2:$F$801, 0)+1), "")), IFERROR(INDEX(ERP資料!$A:$A, (MATCH(172, 輔助計算!$F$2:$F$801, 0)+1)), ""), ""), "")</f>
        <v/>
      </c>
      <c r="C173" s="10">
        <f>IFERROR(IF(AND(IFERROR(INDEX(ERP資料!$A:$A, (MATCH(172, 輔助計算!$F$2:$F$801, 0)+1)), "")&lt;&gt;"", IFERROR(INDEX(ERP資料!$A:$A, (MATCH(172, 輔助計算!$F$2:$F$801, 0)+1)), "")&lt;&gt;IFERROR(INDEX(ERP資料!$A:$A, MATCH(171, 輔助計算!$F$2:$F$801, 0)+1), "")), INDEX(ERP資料!$S:$S, (MATCH(172, 輔助計算!$F$2:$F$801, 0)+1)), ""), "")</f>
        <v/>
      </c>
      <c r="D173" s="10">
        <f>IFERROR(IF(INDEX(ERP資料!$E:$E, (MATCH(172, 輔助計算!$F$2:$F$801, 0)+1))="","",TRIM(INDEX(ERP資料!$E:$E, (MATCH(172, 輔助計算!$F$2:$F$801, 0)+1)))), "")</f>
        <v/>
      </c>
      <c r="E173" s="10">
        <f>IFERROR(IF(INDEX(ERP資料!$F:$F, (MATCH(172, 輔助計算!$F$2:$F$801, 0)+1))="","",INDEX(ERP資料!$F:$F, (MATCH(172, 輔助計算!$F$2:$F$801, 0)+1))), "")</f>
        <v/>
      </c>
      <c r="F173" s="10">
        <f>IFERROR(IF(INDEX(ERP資料!$G:$G, (MATCH(172, 輔助計算!$F$2:$F$801, 0)+1))="","",INDEX(ERP資料!$G:$G, (MATCH(172, 輔助計算!$F$2:$F$801, 0)+1))), "")</f>
        <v/>
      </c>
      <c r="G173" s="10">
        <f>IFERROR(IF(INDEX(ERP資料!$H:$H, (MATCH(172, 輔助計算!$F$2:$F$801, 0)+1))="","",INDEX(ERP資料!$H:$H, (MATCH(172, 輔助計算!$F$2:$F$801, 0)+1))), "")</f>
        <v/>
      </c>
      <c r="H173" s="10">
        <f>IFERROR(IF(INDEX(ERP資料!$O:$O, (MATCH(172, 輔助計算!$F$2:$F$801, 0)+1))="","",INDEX(ERP資料!$O:$O, (MATCH(172, 輔助計算!$F$2:$F$801, 0)+1))), "")</f>
        <v/>
      </c>
      <c r="I173" s="15">
        <f>IFERROR(IF(INDEX(輔助計算!$D:$D,(MATCH(172, 輔助計算!$F$2:$F$801, 0)+1))="","",INDEX(輔助計算!$D:$D,(MATCH(172, 輔助計算!$F$2:$F$801, 0)+1))*INDEX(ERP資料!$O:$O,(MATCH(172, 輔助計算!$F$2:$F$801, 0)+1))), "")</f>
        <v/>
      </c>
      <c r="J173" s="16" t="n"/>
      <c r="K173" s="15">
        <f>IFERROR(INDEX(輔助計算!$D:$D, (MATCH(172, 輔助計算!$F$2:$F$801, 0)+1)), "")</f>
        <v/>
      </c>
      <c r="L173" s="16">
        <f>IFERROR(IF(AND(IFERROR(VLOOKUP(LEFT(INDEX(ERP資料!$S:$S, (MATCH(172, 輔助計算!$F$2:$F$801, 0)+1)), 4), 100張客戶!$A:$A, 1, FALSE), "")&lt;&gt;"", OR(INDEX(ERP資料!$F:$F, (MATCH(172, 輔助計算!$F$2:$F$801, 0)+1))=270, INDEX(ERP資料!$F:$F, (MATCH(172, 輔助計算!$F$2:$F$801, 0)+1))=300)), "100張", ""), "")</f>
        <v/>
      </c>
      <c r="M173" s="17" t="n"/>
      <c r="N173" s="17">
        <f>IF($F173="","",$F173)</f>
        <v/>
      </c>
      <c r="O173" s="17">
        <f>IF($G173="","",$G173)</f>
        <v/>
      </c>
      <c r="P173" s="17">
        <f>IF($K173="","",$K173)</f>
        <v/>
      </c>
      <c r="Q173" s="16" t="n"/>
      <c r="R173" s="18" t="n"/>
      <c r="S173" s="16" t="n"/>
    </row>
    <row r="174">
      <c r="A174" s="14">
        <f>IFERROR(IF(AND(IFERROR(INDEX(ERP資料!$A:$A, (MATCH(173, 輔助計算!$F$2:$F$801, 0)+1)), "")&lt;&gt;"", IFERROR(INDEX(ERP資料!$A:$A, (MATCH(173, 輔助計算!$F$2:$F$801, 0)+1)), "")&lt;&gt;IFERROR(INDEX(ERP資料!$A:$A, MATCH(172, 輔助計算!$F$2:$F$801, 0)+1), "")), INDEX(ERP資料!$B:$B, (MATCH(173, 輔助計算!$F$2:$F$801, 0)+1)), ""), "")</f>
        <v/>
      </c>
      <c r="B174" s="10">
        <f>IFERROR(IF(AND(IFERROR(INDEX(ERP資料!$A:$A, (MATCH(173, 輔助計算!$F$2:$F$801, 0)+1)), "")&lt;&gt;"", IFERROR(INDEX(ERP資料!$A:$A, (MATCH(173, 輔助計算!$F$2:$F$801, 0)+1)), "")&lt;&gt;IFERROR(INDEX(ERP資料!$A:$A, MATCH(172, 輔助計算!$F$2:$F$801, 0)+1), "")), IFERROR(INDEX(ERP資料!$A:$A, (MATCH(173, 輔助計算!$F$2:$F$801, 0)+1)), ""), ""), "")</f>
        <v/>
      </c>
      <c r="C174" s="10">
        <f>IFERROR(IF(AND(IFERROR(INDEX(ERP資料!$A:$A, (MATCH(173, 輔助計算!$F$2:$F$801, 0)+1)), "")&lt;&gt;"", IFERROR(INDEX(ERP資料!$A:$A, (MATCH(173, 輔助計算!$F$2:$F$801, 0)+1)), "")&lt;&gt;IFERROR(INDEX(ERP資料!$A:$A, MATCH(172, 輔助計算!$F$2:$F$801, 0)+1), "")), INDEX(ERP資料!$S:$S, (MATCH(173, 輔助計算!$F$2:$F$801, 0)+1)), ""), "")</f>
        <v/>
      </c>
      <c r="D174" s="10">
        <f>IFERROR(IF(INDEX(ERP資料!$E:$E, (MATCH(173, 輔助計算!$F$2:$F$801, 0)+1))="","",TRIM(INDEX(ERP資料!$E:$E, (MATCH(173, 輔助計算!$F$2:$F$801, 0)+1)))), "")</f>
        <v/>
      </c>
      <c r="E174" s="10">
        <f>IFERROR(IF(INDEX(ERP資料!$F:$F, (MATCH(173, 輔助計算!$F$2:$F$801, 0)+1))="","",INDEX(ERP資料!$F:$F, (MATCH(173, 輔助計算!$F$2:$F$801, 0)+1))), "")</f>
        <v/>
      </c>
      <c r="F174" s="10">
        <f>IFERROR(IF(INDEX(ERP資料!$G:$G, (MATCH(173, 輔助計算!$F$2:$F$801, 0)+1))="","",INDEX(ERP資料!$G:$G, (MATCH(173, 輔助計算!$F$2:$F$801, 0)+1))), "")</f>
        <v/>
      </c>
      <c r="G174" s="10">
        <f>IFERROR(IF(INDEX(ERP資料!$H:$H, (MATCH(173, 輔助計算!$F$2:$F$801, 0)+1))="","",INDEX(ERP資料!$H:$H, (MATCH(173, 輔助計算!$F$2:$F$801, 0)+1))), "")</f>
        <v/>
      </c>
      <c r="H174" s="10">
        <f>IFERROR(IF(INDEX(ERP資料!$O:$O, (MATCH(173, 輔助計算!$F$2:$F$801, 0)+1))="","",INDEX(ERP資料!$O:$O, (MATCH(173, 輔助計算!$F$2:$F$801, 0)+1))), "")</f>
        <v/>
      </c>
      <c r="I174" s="15">
        <f>IFERROR(IF(INDEX(輔助計算!$D:$D,(MATCH(173, 輔助計算!$F$2:$F$801, 0)+1))="","",INDEX(輔助計算!$D:$D,(MATCH(173, 輔助計算!$F$2:$F$801, 0)+1))*INDEX(ERP資料!$O:$O,(MATCH(173, 輔助計算!$F$2:$F$801, 0)+1))), "")</f>
        <v/>
      </c>
      <c r="J174" s="16" t="n"/>
      <c r="K174" s="15">
        <f>IFERROR(INDEX(輔助計算!$D:$D, (MATCH(173, 輔助計算!$F$2:$F$801, 0)+1)), "")</f>
        <v/>
      </c>
      <c r="L174" s="16">
        <f>IFERROR(IF(AND(IFERROR(VLOOKUP(LEFT(INDEX(ERP資料!$S:$S, (MATCH(173, 輔助計算!$F$2:$F$801, 0)+1)), 4), 100張客戶!$A:$A, 1, FALSE), "")&lt;&gt;"", OR(INDEX(ERP資料!$F:$F, (MATCH(173, 輔助計算!$F$2:$F$801, 0)+1))=270, INDEX(ERP資料!$F:$F, (MATCH(173, 輔助計算!$F$2:$F$801, 0)+1))=300)), "100張", ""), "")</f>
        <v/>
      </c>
      <c r="M174" s="17" t="n"/>
      <c r="N174" s="17">
        <f>IF($F174="","",$F174)</f>
        <v/>
      </c>
      <c r="O174" s="17">
        <f>IF($G174="","",$G174)</f>
        <v/>
      </c>
      <c r="P174" s="17">
        <f>IF($K174="","",$K174)</f>
        <v/>
      </c>
      <c r="Q174" s="16" t="n"/>
      <c r="R174" s="18" t="n"/>
      <c r="S174" s="16" t="n"/>
    </row>
    <row r="175">
      <c r="A175" s="14">
        <f>IFERROR(IF(AND(IFERROR(INDEX(ERP資料!$A:$A, (MATCH(174, 輔助計算!$F$2:$F$801, 0)+1)), "")&lt;&gt;"", IFERROR(INDEX(ERP資料!$A:$A, (MATCH(174, 輔助計算!$F$2:$F$801, 0)+1)), "")&lt;&gt;IFERROR(INDEX(ERP資料!$A:$A, MATCH(173, 輔助計算!$F$2:$F$801, 0)+1), "")), INDEX(ERP資料!$B:$B, (MATCH(174, 輔助計算!$F$2:$F$801, 0)+1)), ""), "")</f>
        <v/>
      </c>
      <c r="B175" s="10">
        <f>IFERROR(IF(AND(IFERROR(INDEX(ERP資料!$A:$A, (MATCH(174, 輔助計算!$F$2:$F$801, 0)+1)), "")&lt;&gt;"", IFERROR(INDEX(ERP資料!$A:$A, (MATCH(174, 輔助計算!$F$2:$F$801, 0)+1)), "")&lt;&gt;IFERROR(INDEX(ERP資料!$A:$A, MATCH(173, 輔助計算!$F$2:$F$801, 0)+1), "")), IFERROR(INDEX(ERP資料!$A:$A, (MATCH(174, 輔助計算!$F$2:$F$801, 0)+1)), ""), ""), "")</f>
        <v/>
      </c>
      <c r="C175" s="10">
        <f>IFERROR(IF(AND(IFERROR(INDEX(ERP資料!$A:$A, (MATCH(174, 輔助計算!$F$2:$F$801, 0)+1)), "")&lt;&gt;"", IFERROR(INDEX(ERP資料!$A:$A, (MATCH(174, 輔助計算!$F$2:$F$801, 0)+1)), "")&lt;&gt;IFERROR(INDEX(ERP資料!$A:$A, MATCH(173, 輔助計算!$F$2:$F$801, 0)+1), "")), INDEX(ERP資料!$S:$S, (MATCH(174, 輔助計算!$F$2:$F$801, 0)+1)), ""), "")</f>
        <v/>
      </c>
      <c r="D175" s="10">
        <f>IFERROR(IF(INDEX(ERP資料!$E:$E, (MATCH(174, 輔助計算!$F$2:$F$801, 0)+1))="","",TRIM(INDEX(ERP資料!$E:$E, (MATCH(174, 輔助計算!$F$2:$F$801, 0)+1)))), "")</f>
        <v/>
      </c>
      <c r="E175" s="10">
        <f>IFERROR(IF(INDEX(ERP資料!$F:$F, (MATCH(174, 輔助計算!$F$2:$F$801, 0)+1))="","",INDEX(ERP資料!$F:$F, (MATCH(174, 輔助計算!$F$2:$F$801, 0)+1))), "")</f>
        <v/>
      </c>
      <c r="F175" s="10">
        <f>IFERROR(IF(INDEX(ERP資料!$G:$G, (MATCH(174, 輔助計算!$F$2:$F$801, 0)+1))="","",INDEX(ERP資料!$G:$G, (MATCH(174, 輔助計算!$F$2:$F$801, 0)+1))), "")</f>
        <v/>
      </c>
      <c r="G175" s="10">
        <f>IFERROR(IF(INDEX(ERP資料!$H:$H, (MATCH(174, 輔助計算!$F$2:$F$801, 0)+1))="","",INDEX(ERP資料!$H:$H, (MATCH(174, 輔助計算!$F$2:$F$801, 0)+1))), "")</f>
        <v/>
      </c>
      <c r="H175" s="10">
        <f>IFERROR(IF(INDEX(ERP資料!$O:$O, (MATCH(174, 輔助計算!$F$2:$F$801, 0)+1))="","",INDEX(ERP資料!$O:$O, (MATCH(174, 輔助計算!$F$2:$F$801, 0)+1))), "")</f>
        <v/>
      </c>
      <c r="I175" s="15">
        <f>IFERROR(IF(INDEX(輔助計算!$D:$D,(MATCH(174, 輔助計算!$F$2:$F$801, 0)+1))="","",INDEX(輔助計算!$D:$D,(MATCH(174, 輔助計算!$F$2:$F$801, 0)+1))*INDEX(ERP資料!$O:$O,(MATCH(174, 輔助計算!$F$2:$F$801, 0)+1))), "")</f>
        <v/>
      </c>
      <c r="J175" s="16" t="n"/>
      <c r="K175" s="15">
        <f>IFERROR(INDEX(輔助計算!$D:$D, (MATCH(174, 輔助計算!$F$2:$F$801, 0)+1)), "")</f>
        <v/>
      </c>
      <c r="L175" s="16">
        <f>IFERROR(IF(AND(IFERROR(VLOOKUP(LEFT(INDEX(ERP資料!$S:$S, (MATCH(174, 輔助計算!$F$2:$F$801, 0)+1)), 4), 100張客戶!$A:$A, 1, FALSE), "")&lt;&gt;"", OR(INDEX(ERP資料!$F:$F, (MATCH(174, 輔助計算!$F$2:$F$801, 0)+1))=270, INDEX(ERP資料!$F:$F, (MATCH(174, 輔助計算!$F$2:$F$801, 0)+1))=300)), "100張", ""), "")</f>
        <v/>
      </c>
      <c r="M175" s="17" t="n"/>
      <c r="N175" s="17">
        <f>IF($F175="","",$F175)</f>
        <v/>
      </c>
      <c r="O175" s="17">
        <f>IF($G175="","",$G175)</f>
        <v/>
      </c>
      <c r="P175" s="17">
        <f>IF($K175="","",$K175)</f>
        <v/>
      </c>
      <c r="Q175" s="16" t="n"/>
      <c r="R175" s="18" t="n"/>
      <c r="S175" s="16" t="n"/>
    </row>
    <row r="176">
      <c r="A176" s="14">
        <f>IFERROR(IF(AND(IFERROR(INDEX(ERP資料!$A:$A, (MATCH(175, 輔助計算!$F$2:$F$801, 0)+1)), "")&lt;&gt;"", IFERROR(INDEX(ERP資料!$A:$A, (MATCH(175, 輔助計算!$F$2:$F$801, 0)+1)), "")&lt;&gt;IFERROR(INDEX(ERP資料!$A:$A, MATCH(174, 輔助計算!$F$2:$F$801, 0)+1), "")), INDEX(ERP資料!$B:$B, (MATCH(175, 輔助計算!$F$2:$F$801, 0)+1)), ""), "")</f>
        <v/>
      </c>
      <c r="B176" s="10">
        <f>IFERROR(IF(AND(IFERROR(INDEX(ERP資料!$A:$A, (MATCH(175, 輔助計算!$F$2:$F$801, 0)+1)), "")&lt;&gt;"", IFERROR(INDEX(ERP資料!$A:$A, (MATCH(175, 輔助計算!$F$2:$F$801, 0)+1)), "")&lt;&gt;IFERROR(INDEX(ERP資料!$A:$A, MATCH(174, 輔助計算!$F$2:$F$801, 0)+1), "")), IFERROR(INDEX(ERP資料!$A:$A, (MATCH(175, 輔助計算!$F$2:$F$801, 0)+1)), ""), ""), "")</f>
        <v/>
      </c>
      <c r="C176" s="10">
        <f>IFERROR(IF(AND(IFERROR(INDEX(ERP資料!$A:$A, (MATCH(175, 輔助計算!$F$2:$F$801, 0)+1)), "")&lt;&gt;"", IFERROR(INDEX(ERP資料!$A:$A, (MATCH(175, 輔助計算!$F$2:$F$801, 0)+1)), "")&lt;&gt;IFERROR(INDEX(ERP資料!$A:$A, MATCH(174, 輔助計算!$F$2:$F$801, 0)+1), "")), INDEX(ERP資料!$S:$S, (MATCH(175, 輔助計算!$F$2:$F$801, 0)+1)), ""), "")</f>
        <v/>
      </c>
      <c r="D176" s="10">
        <f>IFERROR(IF(INDEX(ERP資料!$E:$E, (MATCH(175, 輔助計算!$F$2:$F$801, 0)+1))="","",TRIM(INDEX(ERP資料!$E:$E, (MATCH(175, 輔助計算!$F$2:$F$801, 0)+1)))), "")</f>
        <v/>
      </c>
      <c r="E176" s="10">
        <f>IFERROR(IF(INDEX(ERP資料!$F:$F, (MATCH(175, 輔助計算!$F$2:$F$801, 0)+1))="","",INDEX(ERP資料!$F:$F, (MATCH(175, 輔助計算!$F$2:$F$801, 0)+1))), "")</f>
        <v/>
      </c>
      <c r="F176" s="10">
        <f>IFERROR(IF(INDEX(ERP資料!$G:$G, (MATCH(175, 輔助計算!$F$2:$F$801, 0)+1))="","",INDEX(ERP資料!$G:$G, (MATCH(175, 輔助計算!$F$2:$F$801, 0)+1))), "")</f>
        <v/>
      </c>
      <c r="G176" s="10">
        <f>IFERROR(IF(INDEX(ERP資料!$H:$H, (MATCH(175, 輔助計算!$F$2:$F$801, 0)+1))="","",INDEX(ERP資料!$H:$H, (MATCH(175, 輔助計算!$F$2:$F$801, 0)+1))), "")</f>
        <v/>
      </c>
      <c r="H176" s="10">
        <f>IFERROR(IF(INDEX(ERP資料!$O:$O, (MATCH(175, 輔助計算!$F$2:$F$801, 0)+1))="","",INDEX(ERP資料!$O:$O, (MATCH(175, 輔助計算!$F$2:$F$801, 0)+1))), "")</f>
        <v/>
      </c>
      <c r="I176" s="15">
        <f>IFERROR(IF(INDEX(輔助計算!$D:$D,(MATCH(175, 輔助計算!$F$2:$F$801, 0)+1))="","",INDEX(輔助計算!$D:$D,(MATCH(175, 輔助計算!$F$2:$F$801, 0)+1))*INDEX(ERP資料!$O:$O,(MATCH(175, 輔助計算!$F$2:$F$801, 0)+1))), "")</f>
        <v/>
      </c>
      <c r="J176" s="16" t="n"/>
      <c r="K176" s="15">
        <f>IFERROR(INDEX(輔助計算!$D:$D, (MATCH(175, 輔助計算!$F$2:$F$801, 0)+1)), "")</f>
        <v/>
      </c>
      <c r="L176" s="16">
        <f>IFERROR(IF(AND(IFERROR(VLOOKUP(LEFT(INDEX(ERP資料!$S:$S, (MATCH(175, 輔助計算!$F$2:$F$801, 0)+1)), 4), 100張客戶!$A:$A, 1, FALSE), "")&lt;&gt;"", OR(INDEX(ERP資料!$F:$F, (MATCH(175, 輔助計算!$F$2:$F$801, 0)+1))=270, INDEX(ERP資料!$F:$F, (MATCH(175, 輔助計算!$F$2:$F$801, 0)+1))=300)), "100張", ""), "")</f>
        <v/>
      </c>
      <c r="M176" s="17" t="n"/>
      <c r="N176" s="17">
        <f>IF($F176="","",$F176)</f>
        <v/>
      </c>
      <c r="O176" s="17">
        <f>IF($G176="","",$G176)</f>
        <v/>
      </c>
      <c r="P176" s="17">
        <f>IF($K176="","",$K176)</f>
        <v/>
      </c>
      <c r="Q176" s="16" t="n"/>
      <c r="R176" s="18" t="n"/>
      <c r="S176" s="16" t="n"/>
    </row>
    <row r="177">
      <c r="A177" s="14">
        <f>IFERROR(IF(AND(IFERROR(INDEX(ERP資料!$A:$A, (MATCH(176, 輔助計算!$F$2:$F$801, 0)+1)), "")&lt;&gt;"", IFERROR(INDEX(ERP資料!$A:$A, (MATCH(176, 輔助計算!$F$2:$F$801, 0)+1)), "")&lt;&gt;IFERROR(INDEX(ERP資料!$A:$A, MATCH(175, 輔助計算!$F$2:$F$801, 0)+1), "")), INDEX(ERP資料!$B:$B, (MATCH(176, 輔助計算!$F$2:$F$801, 0)+1)), ""), "")</f>
        <v/>
      </c>
      <c r="B177" s="10">
        <f>IFERROR(IF(AND(IFERROR(INDEX(ERP資料!$A:$A, (MATCH(176, 輔助計算!$F$2:$F$801, 0)+1)), "")&lt;&gt;"", IFERROR(INDEX(ERP資料!$A:$A, (MATCH(176, 輔助計算!$F$2:$F$801, 0)+1)), "")&lt;&gt;IFERROR(INDEX(ERP資料!$A:$A, MATCH(175, 輔助計算!$F$2:$F$801, 0)+1), "")), IFERROR(INDEX(ERP資料!$A:$A, (MATCH(176, 輔助計算!$F$2:$F$801, 0)+1)), ""), ""), "")</f>
        <v/>
      </c>
      <c r="C177" s="10">
        <f>IFERROR(IF(AND(IFERROR(INDEX(ERP資料!$A:$A, (MATCH(176, 輔助計算!$F$2:$F$801, 0)+1)), "")&lt;&gt;"", IFERROR(INDEX(ERP資料!$A:$A, (MATCH(176, 輔助計算!$F$2:$F$801, 0)+1)), "")&lt;&gt;IFERROR(INDEX(ERP資料!$A:$A, MATCH(175, 輔助計算!$F$2:$F$801, 0)+1), "")), INDEX(ERP資料!$S:$S, (MATCH(176, 輔助計算!$F$2:$F$801, 0)+1)), ""), "")</f>
        <v/>
      </c>
      <c r="D177" s="10">
        <f>IFERROR(IF(INDEX(ERP資料!$E:$E, (MATCH(176, 輔助計算!$F$2:$F$801, 0)+1))="","",TRIM(INDEX(ERP資料!$E:$E, (MATCH(176, 輔助計算!$F$2:$F$801, 0)+1)))), "")</f>
        <v/>
      </c>
      <c r="E177" s="10">
        <f>IFERROR(IF(INDEX(ERP資料!$F:$F, (MATCH(176, 輔助計算!$F$2:$F$801, 0)+1))="","",INDEX(ERP資料!$F:$F, (MATCH(176, 輔助計算!$F$2:$F$801, 0)+1))), "")</f>
        <v/>
      </c>
      <c r="F177" s="10">
        <f>IFERROR(IF(INDEX(ERP資料!$G:$G, (MATCH(176, 輔助計算!$F$2:$F$801, 0)+1))="","",INDEX(ERP資料!$G:$G, (MATCH(176, 輔助計算!$F$2:$F$801, 0)+1))), "")</f>
        <v/>
      </c>
      <c r="G177" s="10">
        <f>IFERROR(IF(INDEX(ERP資料!$H:$H, (MATCH(176, 輔助計算!$F$2:$F$801, 0)+1))="","",INDEX(ERP資料!$H:$H, (MATCH(176, 輔助計算!$F$2:$F$801, 0)+1))), "")</f>
        <v/>
      </c>
      <c r="H177" s="10">
        <f>IFERROR(IF(INDEX(ERP資料!$O:$O, (MATCH(176, 輔助計算!$F$2:$F$801, 0)+1))="","",INDEX(ERP資料!$O:$O, (MATCH(176, 輔助計算!$F$2:$F$801, 0)+1))), "")</f>
        <v/>
      </c>
      <c r="I177" s="15">
        <f>IFERROR(IF(INDEX(輔助計算!$D:$D,(MATCH(176, 輔助計算!$F$2:$F$801, 0)+1))="","",INDEX(輔助計算!$D:$D,(MATCH(176, 輔助計算!$F$2:$F$801, 0)+1))*INDEX(ERP資料!$O:$O,(MATCH(176, 輔助計算!$F$2:$F$801, 0)+1))), "")</f>
        <v/>
      </c>
      <c r="J177" s="16" t="n"/>
      <c r="K177" s="15">
        <f>IFERROR(INDEX(輔助計算!$D:$D, (MATCH(176, 輔助計算!$F$2:$F$801, 0)+1)), "")</f>
        <v/>
      </c>
      <c r="L177" s="16">
        <f>IFERROR(IF(AND(IFERROR(VLOOKUP(LEFT(INDEX(ERP資料!$S:$S, (MATCH(176, 輔助計算!$F$2:$F$801, 0)+1)), 4), 100張客戶!$A:$A, 1, FALSE), "")&lt;&gt;"", OR(INDEX(ERP資料!$F:$F, (MATCH(176, 輔助計算!$F$2:$F$801, 0)+1))=270, INDEX(ERP資料!$F:$F, (MATCH(176, 輔助計算!$F$2:$F$801, 0)+1))=300)), "100張", ""), "")</f>
        <v/>
      </c>
      <c r="M177" s="17" t="n"/>
      <c r="N177" s="17">
        <f>IF($F177="","",$F177)</f>
        <v/>
      </c>
      <c r="O177" s="17">
        <f>IF($G177="","",$G177)</f>
        <v/>
      </c>
      <c r="P177" s="17">
        <f>IF($K177="","",$K177)</f>
        <v/>
      </c>
      <c r="Q177" s="16" t="n"/>
      <c r="R177" s="18" t="n"/>
      <c r="S177" s="16" t="n"/>
    </row>
    <row r="178">
      <c r="A178" s="14">
        <f>IFERROR(IF(AND(IFERROR(INDEX(ERP資料!$A:$A, (MATCH(177, 輔助計算!$F$2:$F$801, 0)+1)), "")&lt;&gt;"", IFERROR(INDEX(ERP資料!$A:$A, (MATCH(177, 輔助計算!$F$2:$F$801, 0)+1)), "")&lt;&gt;IFERROR(INDEX(ERP資料!$A:$A, MATCH(176, 輔助計算!$F$2:$F$801, 0)+1), "")), INDEX(ERP資料!$B:$B, (MATCH(177, 輔助計算!$F$2:$F$801, 0)+1)), ""), "")</f>
        <v/>
      </c>
      <c r="B178" s="10">
        <f>IFERROR(IF(AND(IFERROR(INDEX(ERP資料!$A:$A, (MATCH(177, 輔助計算!$F$2:$F$801, 0)+1)), "")&lt;&gt;"", IFERROR(INDEX(ERP資料!$A:$A, (MATCH(177, 輔助計算!$F$2:$F$801, 0)+1)), "")&lt;&gt;IFERROR(INDEX(ERP資料!$A:$A, MATCH(176, 輔助計算!$F$2:$F$801, 0)+1), "")), IFERROR(INDEX(ERP資料!$A:$A, (MATCH(177, 輔助計算!$F$2:$F$801, 0)+1)), ""), ""), "")</f>
        <v/>
      </c>
      <c r="C178" s="10">
        <f>IFERROR(IF(AND(IFERROR(INDEX(ERP資料!$A:$A, (MATCH(177, 輔助計算!$F$2:$F$801, 0)+1)), "")&lt;&gt;"", IFERROR(INDEX(ERP資料!$A:$A, (MATCH(177, 輔助計算!$F$2:$F$801, 0)+1)), "")&lt;&gt;IFERROR(INDEX(ERP資料!$A:$A, MATCH(176, 輔助計算!$F$2:$F$801, 0)+1), "")), INDEX(ERP資料!$S:$S, (MATCH(177, 輔助計算!$F$2:$F$801, 0)+1)), ""), "")</f>
        <v/>
      </c>
      <c r="D178" s="10">
        <f>IFERROR(IF(INDEX(ERP資料!$E:$E, (MATCH(177, 輔助計算!$F$2:$F$801, 0)+1))="","",TRIM(INDEX(ERP資料!$E:$E, (MATCH(177, 輔助計算!$F$2:$F$801, 0)+1)))), "")</f>
        <v/>
      </c>
      <c r="E178" s="10">
        <f>IFERROR(IF(INDEX(ERP資料!$F:$F, (MATCH(177, 輔助計算!$F$2:$F$801, 0)+1))="","",INDEX(ERP資料!$F:$F, (MATCH(177, 輔助計算!$F$2:$F$801, 0)+1))), "")</f>
        <v/>
      </c>
      <c r="F178" s="10">
        <f>IFERROR(IF(INDEX(ERP資料!$G:$G, (MATCH(177, 輔助計算!$F$2:$F$801, 0)+1))="","",INDEX(ERP資料!$G:$G, (MATCH(177, 輔助計算!$F$2:$F$801, 0)+1))), "")</f>
        <v/>
      </c>
      <c r="G178" s="10">
        <f>IFERROR(IF(INDEX(ERP資料!$H:$H, (MATCH(177, 輔助計算!$F$2:$F$801, 0)+1))="","",INDEX(ERP資料!$H:$H, (MATCH(177, 輔助計算!$F$2:$F$801, 0)+1))), "")</f>
        <v/>
      </c>
      <c r="H178" s="10">
        <f>IFERROR(IF(INDEX(ERP資料!$O:$O, (MATCH(177, 輔助計算!$F$2:$F$801, 0)+1))="","",INDEX(ERP資料!$O:$O, (MATCH(177, 輔助計算!$F$2:$F$801, 0)+1))), "")</f>
        <v/>
      </c>
      <c r="I178" s="15">
        <f>IFERROR(IF(INDEX(輔助計算!$D:$D,(MATCH(177, 輔助計算!$F$2:$F$801, 0)+1))="","",INDEX(輔助計算!$D:$D,(MATCH(177, 輔助計算!$F$2:$F$801, 0)+1))*INDEX(ERP資料!$O:$O,(MATCH(177, 輔助計算!$F$2:$F$801, 0)+1))), "")</f>
        <v/>
      </c>
      <c r="J178" s="16" t="n"/>
      <c r="K178" s="15">
        <f>IFERROR(INDEX(輔助計算!$D:$D, (MATCH(177, 輔助計算!$F$2:$F$801, 0)+1)), "")</f>
        <v/>
      </c>
      <c r="L178" s="16">
        <f>IFERROR(IF(AND(IFERROR(VLOOKUP(LEFT(INDEX(ERP資料!$S:$S, (MATCH(177, 輔助計算!$F$2:$F$801, 0)+1)), 4), 100張客戶!$A:$A, 1, FALSE), "")&lt;&gt;"", OR(INDEX(ERP資料!$F:$F, (MATCH(177, 輔助計算!$F$2:$F$801, 0)+1))=270, INDEX(ERP資料!$F:$F, (MATCH(177, 輔助計算!$F$2:$F$801, 0)+1))=300)), "100張", ""), "")</f>
        <v/>
      </c>
      <c r="M178" s="17" t="n"/>
      <c r="N178" s="17">
        <f>IF($F178="","",$F178)</f>
        <v/>
      </c>
      <c r="O178" s="17">
        <f>IF($G178="","",$G178)</f>
        <v/>
      </c>
      <c r="P178" s="17">
        <f>IF($K178="","",$K178)</f>
        <v/>
      </c>
      <c r="Q178" s="16" t="n"/>
      <c r="R178" s="18" t="n"/>
      <c r="S178" s="16" t="n"/>
    </row>
    <row r="179">
      <c r="A179" s="14">
        <f>IFERROR(IF(AND(IFERROR(INDEX(ERP資料!$A:$A, (MATCH(178, 輔助計算!$F$2:$F$801, 0)+1)), "")&lt;&gt;"", IFERROR(INDEX(ERP資料!$A:$A, (MATCH(178, 輔助計算!$F$2:$F$801, 0)+1)), "")&lt;&gt;IFERROR(INDEX(ERP資料!$A:$A, MATCH(177, 輔助計算!$F$2:$F$801, 0)+1), "")), INDEX(ERP資料!$B:$B, (MATCH(178, 輔助計算!$F$2:$F$801, 0)+1)), ""), "")</f>
        <v/>
      </c>
      <c r="B179" s="10">
        <f>IFERROR(IF(AND(IFERROR(INDEX(ERP資料!$A:$A, (MATCH(178, 輔助計算!$F$2:$F$801, 0)+1)), "")&lt;&gt;"", IFERROR(INDEX(ERP資料!$A:$A, (MATCH(178, 輔助計算!$F$2:$F$801, 0)+1)), "")&lt;&gt;IFERROR(INDEX(ERP資料!$A:$A, MATCH(177, 輔助計算!$F$2:$F$801, 0)+1), "")), IFERROR(INDEX(ERP資料!$A:$A, (MATCH(178, 輔助計算!$F$2:$F$801, 0)+1)), ""), ""), "")</f>
        <v/>
      </c>
      <c r="C179" s="10">
        <f>IFERROR(IF(AND(IFERROR(INDEX(ERP資料!$A:$A, (MATCH(178, 輔助計算!$F$2:$F$801, 0)+1)), "")&lt;&gt;"", IFERROR(INDEX(ERP資料!$A:$A, (MATCH(178, 輔助計算!$F$2:$F$801, 0)+1)), "")&lt;&gt;IFERROR(INDEX(ERP資料!$A:$A, MATCH(177, 輔助計算!$F$2:$F$801, 0)+1), "")), INDEX(ERP資料!$S:$S, (MATCH(178, 輔助計算!$F$2:$F$801, 0)+1)), ""), "")</f>
        <v/>
      </c>
      <c r="D179" s="10">
        <f>IFERROR(IF(INDEX(ERP資料!$E:$E, (MATCH(178, 輔助計算!$F$2:$F$801, 0)+1))="","",TRIM(INDEX(ERP資料!$E:$E, (MATCH(178, 輔助計算!$F$2:$F$801, 0)+1)))), "")</f>
        <v/>
      </c>
      <c r="E179" s="10">
        <f>IFERROR(IF(INDEX(ERP資料!$F:$F, (MATCH(178, 輔助計算!$F$2:$F$801, 0)+1))="","",INDEX(ERP資料!$F:$F, (MATCH(178, 輔助計算!$F$2:$F$801, 0)+1))), "")</f>
        <v/>
      </c>
      <c r="F179" s="10">
        <f>IFERROR(IF(INDEX(ERP資料!$G:$G, (MATCH(178, 輔助計算!$F$2:$F$801, 0)+1))="","",INDEX(ERP資料!$G:$G, (MATCH(178, 輔助計算!$F$2:$F$801, 0)+1))), "")</f>
        <v/>
      </c>
      <c r="G179" s="10">
        <f>IFERROR(IF(INDEX(ERP資料!$H:$H, (MATCH(178, 輔助計算!$F$2:$F$801, 0)+1))="","",INDEX(ERP資料!$H:$H, (MATCH(178, 輔助計算!$F$2:$F$801, 0)+1))), "")</f>
        <v/>
      </c>
      <c r="H179" s="10">
        <f>IFERROR(IF(INDEX(ERP資料!$O:$O, (MATCH(178, 輔助計算!$F$2:$F$801, 0)+1))="","",INDEX(ERP資料!$O:$O, (MATCH(178, 輔助計算!$F$2:$F$801, 0)+1))), "")</f>
        <v/>
      </c>
      <c r="I179" s="15">
        <f>IFERROR(IF(INDEX(輔助計算!$D:$D,(MATCH(178, 輔助計算!$F$2:$F$801, 0)+1))="","",INDEX(輔助計算!$D:$D,(MATCH(178, 輔助計算!$F$2:$F$801, 0)+1))*INDEX(ERP資料!$O:$O,(MATCH(178, 輔助計算!$F$2:$F$801, 0)+1))), "")</f>
        <v/>
      </c>
      <c r="J179" s="16" t="n"/>
      <c r="K179" s="15">
        <f>IFERROR(INDEX(輔助計算!$D:$D, (MATCH(178, 輔助計算!$F$2:$F$801, 0)+1)), "")</f>
        <v/>
      </c>
      <c r="L179" s="16">
        <f>IFERROR(IF(AND(IFERROR(VLOOKUP(LEFT(INDEX(ERP資料!$S:$S, (MATCH(178, 輔助計算!$F$2:$F$801, 0)+1)), 4), 100張客戶!$A:$A, 1, FALSE), "")&lt;&gt;"", OR(INDEX(ERP資料!$F:$F, (MATCH(178, 輔助計算!$F$2:$F$801, 0)+1))=270, INDEX(ERP資料!$F:$F, (MATCH(178, 輔助計算!$F$2:$F$801, 0)+1))=300)), "100張", ""), "")</f>
        <v/>
      </c>
      <c r="M179" s="17" t="n"/>
      <c r="N179" s="17">
        <f>IF($F179="","",$F179)</f>
        <v/>
      </c>
      <c r="O179" s="17">
        <f>IF($G179="","",$G179)</f>
        <v/>
      </c>
      <c r="P179" s="17">
        <f>IF($K179="","",$K179)</f>
        <v/>
      </c>
      <c r="Q179" s="16" t="n"/>
      <c r="R179" s="18" t="n"/>
      <c r="S179" s="16" t="n"/>
    </row>
    <row r="180">
      <c r="A180" s="14">
        <f>IFERROR(IF(AND(IFERROR(INDEX(ERP資料!$A:$A, (MATCH(179, 輔助計算!$F$2:$F$801, 0)+1)), "")&lt;&gt;"", IFERROR(INDEX(ERP資料!$A:$A, (MATCH(179, 輔助計算!$F$2:$F$801, 0)+1)), "")&lt;&gt;IFERROR(INDEX(ERP資料!$A:$A, MATCH(178, 輔助計算!$F$2:$F$801, 0)+1), "")), INDEX(ERP資料!$B:$B, (MATCH(179, 輔助計算!$F$2:$F$801, 0)+1)), ""), "")</f>
        <v/>
      </c>
      <c r="B180" s="10">
        <f>IFERROR(IF(AND(IFERROR(INDEX(ERP資料!$A:$A, (MATCH(179, 輔助計算!$F$2:$F$801, 0)+1)), "")&lt;&gt;"", IFERROR(INDEX(ERP資料!$A:$A, (MATCH(179, 輔助計算!$F$2:$F$801, 0)+1)), "")&lt;&gt;IFERROR(INDEX(ERP資料!$A:$A, MATCH(178, 輔助計算!$F$2:$F$801, 0)+1), "")), IFERROR(INDEX(ERP資料!$A:$A, (MATCH(179, 輔助計算!$F$2:$F$801, 0)+1)), ""), ""), "")</f>
        <v/>
      </c>
      <c r="C180" s="10">
        <f>IFERROR(IF(AND(IFERROR(INDEX(ERP資料!$A:$A, (MATCH(179, 輔助計算!$F$2:$F$801, 0)+1)), "")&lt;&gt;"", IFERROR(INDEX(ERP資料!$A:$A, (MATCH(179, 輔助計算!$F$2:$F$801, 0)+1)), "")&lt;&gt;IFERROR(INDEX(ERP資料!$A:$A, MATCH(178, 輔助計算!$F$2:$F$801, 0)+1), "")), INDEX(ERP資料!$S:$S, (MATCH(179, 輔助計算!$F$2:$F$801, 0)+1)), ""), "")</f>
        <v/>
      </c>
      <c r="D180" s="10">
        <f>IFERROR(IF(INDEX(ERP資料!$E:$E, (MATCH(179, 輔助計算!$F$2:$F$801, 0)+1))="","",TRIM(INDEX(ERP資料!$E:$E, (MATCH(179, 輔助計算!$F$2:$F$801, 0)+1)))), "")</f>
        <v/>
      </c>
      <c r="E180" s="10">
        <f>IFERROR(IF(INDEX(ERP資料!$F:$F, (MATCH(179, 輔助計算!$F$2:$F$801, 0)+1))="","",INDEX(ERP資料!$F:$F, (MATCH(179, 輔助計算!$F$2:$F$801, 0)+1))), "")</f>
        <v/>
      </c>
      <c r="F180" s="10">
        <f>IFERROR(IF(INDEX(ERP資料!$G:$G, (MATCH(179, 輔助計算!$F$2:$F$801, 0)+1))="","",INDEX(ERP資料!$G:$G, (MATCH(179, 輔助計算!$F$2:$F$801, 0)+1))), "")</f>
        <v/>
      </c>
      <c r="G180" s="10">
        <f>IFERROR(IF(INDEX(ERP資料!$H:$H, (MATCH(179, 輔助計算!$F$2:$F$801, 0)+1))="","",INDEX(ERP資料!$H:$H, (MATCH(179, 輔助計算!$F$2:$F$801, 0)+1))), "")</f>
        <v/>
      </c>
      <c r="H180" s="10">
        <f>IFERROR(IF(INDEX(ERP資料!$O:$O, (MATCH(179, 輔助計算!$F$2:$F$801, 0)+1))="","",INDEX(ERP資料!$O:$O, (MATCH(179, 輔助計算!$F$2:$F$801, 0)+1))), "")</f>
        <v/>
      </c>
      <c r="I180" s="15">
        <f>IFERROR(IF(INDEX(輔助計算!$D:$D,(MATCH(179, 輔助計算!$F$2:$F$801, 0)+1))="","",INDEX(輔助計算!$D:$D,(MATCH(179, 輔助計算!$F$2:$F$801, 0)+1))*INDEX(ERP資料!$O:$O,(MATCH(179, 輔助計算!$F$2:$F$801, 0)+1))), "")</f>
        <v/>
      </c>
      <c r="J180" s="16" t="n"/>
      <c r="K180" s="15">
        <f>IFERROR(INDEX(輔助計算!$D:$D, (MATCH(179, 輔助計算!$F$2:$F$801, 0)+1)), "")</f>
        <v/>
      </c>
      <c r="L180" s="16">
        <f>IFERROR(IF(AND(IFERROR(VLOOKUP(LEFT(INDEX(ERP資料!$S:$S, (MATCH(179, 輔助計算!$F$2:$F$801, 0)+1)), 4), 100張客戶!$A:$A, 1, FALSE), "")&lt;&gt;"", OR(INDEX(ERP資料!$F:$F, (MATCH(179, 輔助計算!$F$2:$F$801, 0)+1))=270, INDEX(ERP資料!$F:$F, (MATCH(179, 輔助計算!$F$2:$F$801, 0)+1))=300)), "100張", ""), "")</f>
        <v/>
      </c>
      <c r="M180" s="17" t="n"/>
      <c r="N180" s="17">
        <f>IF($F180="","",$F180)</f>
        <v/>
      </c>
      <c r="O180" s="17">
        <f>IF($G180="","",$G180)</f>
        <v/>
      </c>
      <c r="P180" s="17">
        <f>IF($K180="","",$K180)</f>
        <v/>
      </c>
      <c r="Q180" s="16" t="n"/>
      <c r="R180" s="18" t="n"/>
      <c r="S180" s="16" t="n"/>
    </row>
    <row r="181">
      <c r="A181" s="14">
        <f>IFERROR(IF(AND(IFERROR(INDEX(ERP資料!$A:$A, (MATCH(180, 輔助計算!$F$2:$F$801, 0)+1)), "")&lt;&gt;"", IFERROR(INDEX(ERP資料!$A:$A, (MATCH(180, 輔助計算!$F$2:$F$801, 0)+1)), "")&lt;&gt;IFERROR(INDEX(ERP資料!$A:$A, MATCH(179, 輔助計算!$F$2:$F$801, 0)+1), "")), INDEX(ERP資料!$B:$B, (MATCH(180, 輔助計算!$F$2:$F$801, 0)+1)), ""), "")</f>
        <v/>
      </c>
      <c r="B181" s="10">
        <f>IFERROR(IF(AND(IFERROR(INDEX(ERP資料!$A:$A, (MATCH(180, 輔助計算!$F$2:$F$801, 0)+1)), "")&lt;&gt;"", IFERROR(INDEX(ERP資料!$A:$A, (MATCH(180, 輔助計算!$F$2:$F$801, 0)+1)), "")&lt;&gt;IFERROR(INDEX(ERP資料!$A:$A, MATCH(179, 輔助計算!$F$2:$F$801, 0)+1), "")), IFERROR(INDEX(ERP資料!$A:$A, (MATCH(180, 輔助計算!$F$2:$F$801, 0)+1)), ""), ""), "")</f>
        <v/>
      </c>
      <c r="C181" s="10">
        <f>IFERROR(IF(AND(IFERROR(INDEX(ERP資料!$A:$A, (MATCH(180, 輔助計算!$F$2:$F$801, 0)+1)), "")&lt;&gt;"", IFERROR(INDEX(ERP資料!$A:$A, (MATCH(180, 輔助計算!$F$2:$F$801, 0)+1)), "")&lt;&gt;IFERROR(INDEX(ERP資料!$A:$A, MATCH(179, 輔助計算!$F$2:$F$801, 0)+1), "")), INDEX(ERP資料!$S:$S, (MATCH(180, 輔助計算!$F$2:$F$801, 0)+1)), ""), "")</f>
        <v/>
      </c>
      <c r="D181" s="10">
        <f>IFERROR(IF(INDEX(ERP資料!$E:$E, (MATCH(180, 輔助計算!$F$2:$F$801, 0)+1))="","",TRIM(INDEX(ERP資料!$E:$E, (MATCH(180, 輔助計算!$F$2:$F$801, 0)+1)))), "")</f>
        <v/>
      </c>
      <c r="E181" s="10">
        <f>IFERROR(IF(INDEX(ERP資料!$F:$F, (MATCH(180, 輔助計算!$F$2:$F$801, 0)+1))="","",INDEX(ERP資料!$F:$F, (MATCH(180, 輔助計算!$F$2:$F$801, 0)+1))), "")</f>
        <v/>
      </c>
      <c r="F181" s="10">
        <f>IFERROR(IF(INDEX(ERP資料!$G:$G, (MATCH(180, 輔助計算!$F$2:$F$801, 0)+1))="","",INDEX(ERP資料!$G:$G, (MATCH(180, 輔助計算!$F$2:$F$801, 0)+1))), "")</f>
        <v/>
      </c>
      <c r="G181" s="10">
        <f>IFERROR(IF(INDEX(ERP資料!$H:$H, (MATCH(180, 輔助計算!$F$2:$F$801, 0)+1))="","",INDEX(ERP資料!$H:$H, (MATCH(180, 輔助計算!$F$2:$F$801, 0)+1))), "")</f>
        <v/>
      </c>
      <c r="H181" s="10">
        <f>IFERROR(IF(INDEX(ERP資料!$O:$O, (MATCH(180, 輔助計算!$F$2:$F$801, 0)+1))="","",INDEX(ERP資料!$O:$O, (MATCH(180, 輔助計算!$F$2:$F$801, 0)+1))), "")</f>
        <v/>
      </c>
      <c r="I181" s="15">
        <f>IFERROR(IF(INDEX(輔助計算!$D:$D,(MATCH(180, 輔助計算!$F$2:$F$801, 0)+1))="","",INDEX(輔助計算!$D:$D,(MATCH(180, 輔助計算!$F$2:$F$801, 0)+1))*INDEX(ERP資料!$O:$O,(MATCH(180, 輔助計算!$F$2:$F$801, 0)+1))), "")</f>
        <v/>
      </c>
      <c r="J181" s="16" t="n"/>
      <c r="K181" s="15">
        <f>IFERROR(INDEX(輔助計算!$D:$D, (MATCH(180, 輔助計算!$F$2:$F$801, 0)+1)), "")</f>
        <v/>
      </c>
      <c r="L181" s="16">
        <f>IFERROR(IF(AND(IFERROR(VLOOKUP(LEFT(INDEX(ERP資料!$S:$S, (MATCH(180, 輔助計算!$F$2:$F$801, 0)+1)), 4), 100張客戶!$A:$A, 1, FALSE), "")&lt;&gt;"", OR(INDEX(ERP資料!$F:$F, (MATCH(180, 輔助計算!$F$2:$F$801, 0)+1))=270, INDEX(ERP資料!$F:$F, (MATCH(180, 輔助計算!$F$2:$F$801, 0)+1))=300)), "100張", ""), "")</f>
        <v/>
      </c>
      <c r="M181" s="17" t="n"/>
      <c r="N181" s="17">
        <f>IF($F181="","",$F181)</f>
        <v/>
      </c>
      <c r="O181" s="17">
        <f>IF($G181="","",$G181)</f>
        <v/>
      </c>
      <c r="P181" s="17">
        <f>IF($K181="","",$K181)</f>
        <v/>
      </c>
      <c r="Q181" s="16" t="n"/>
      <c r="R181" s="18" t="n"/>
      <c r="S181" s="16" t="n"/>
    </row>
    <row r="182">
      <c r="A182" s="14">
        <f>IFERROR(IF(AND(IFERROR(INDEX(ERP資料!$A:$A, (MATCH(181, 輔助計算!$F$2:$F$801, 0)+1)), "")&lt;&gt;"", IFERROR(INDEX(ERP資料!$A:$A, (MATCH(181, 輔助計算!$F$2:$F$801, 0)+1)), "")&lt;&gt;IFERROR(INDEX(ERP資料!$A:$A, MATCH(180, 輔助計算!$F$2:$F$801, 0)+1), "")), INDEX(ERP資料!$B:$B, (MATCH(181, 輔助計算!$F$2:$F$801, 0)+1)), ""), "")</f>
        <v/>
      </c>
      <c r="B182" s="10">
        <f>IFERROR(IF(AND(IFERROR(INDEX(ERP資料!$A:$A, (MATCH(181, 輔助計算!$F$2:$F$801, 0)+1)), "")&lt;&gt;"", IFERROR(INDEX(ERP資料!$A:$A, (MATCH(181, 輔助計算!$F$2:$F$801, 0)+1)), "")&lt;&gt;IFERROR(INDEX(ERP資料!$A:$A, MATCH(180, 輔助計算!$F$2:$F$801, 0)+1), "")), IFERROR(INDEX(ERP資料!$A:$A, (MATCH(181, 輔助計算!$F$2:$F$801, 0)+1)), ""), ""), "")</f>
        <v/>
      </c>
      <c r="C182" s="10">
        <f>IFERROR(IF(AND(IFERROR(INDEX(ERP資料!$A:$A, (MATCH(181, 輔助計算!$F$2:$F$801, 0)+1)), "")&lt;&gt;"", IFERROR(INDEX(ERP資料!$A:$A, (MATCH(181, 輔助計算!$F$2:$F$801, 0)+1)), "")&lt;&gt;IFERROR(INDEX(ERP資料!$A:$A, MATCH(180, 輔助計算!$F$2:$F$801, 0)+1), "")), INDEX(ERP資料!$S:$S, (MATCH(181, 輔助計算!$F$2:$F$801, 0)+1)), ""), "")</f>
        <v/>
      </c>
      <c r="D182" s="10">
        <f>IFERROR(IF(INDEX(ERP資料!$E:$E, (MATCH(181, 輔助計算!$F$2:$F$801, 0)+1))="","",TRIM(INDEX(ERP資料!$E:$E, (MATCH(181, 輔助計算!$F$2:$F$801, 0)+1)))), "")</f>
        <v/>
      </c>
      <c r="E182" s="10">
        <f>IFERROR(IF(INDEX(ERP資料!$F:$F, (MATCH(181, 輔助計算!$F$2:$F$801, 0)+1))="","",INDEX(ERP資料!$F:$F, (MATCH(181, 輔助計算!$F$2:$F$801, 0)+1))), "")</f>
        <v/>
      </c>
      <c r="F182" s="10">
        <f>IFERROR(IF(INDEX(ERP資料!$G:$G, (MATCH(181, 輔助計算!$F$2:$F$801, 0)+1))="","",INDEX(ERP資料!$G:$G, (MATCH(181, 輔助計算!$F$2:$F$801, 0)+1))), "")</f>
        <v/>
      </c>
      <c r="G182" s="10">
        <f>IFERROR(IF(INDEX(ERP資料!$H:$H, (MATCH(181, 輔助計算!$F$2:$F$801, 0)+1))="","",INDEX(ERP資料!$H:$H, (MATCH(181, 輔助計算!$F$2:$F$801, 0)+1))), "")</f>
        <v/>
      </c>
      <c r="H182" s="10">
        <f>IFERROR(IF(INDEX(ERP資料!$O:$O, (MATCH(181, 輔助計算!$F$2:$F$801, 0)+1))="","",INDEX(ERP資料!$O:$O, (MATCH(181, 輔助計算!$F$2:$F$801, 0)+1))), "")</f>
        <v/>
      </c>
      <c r="I182" s="15">
        <f>IFERROR(IF(INDEX(輔助計算!$D:$D,(MATCH(181, 輔助計算!$F$2:$F$801, 0)+1))="","",INDEX(輔助計算!$D:$D,(MATCH(181, 輔助計算!$F$2:$F$801, 0)+1))*INDEX(ERP資料!$O:$O,(MATCH(181, 輔助計算!$F$2:$F$801, 0)+1))), "")</f>
        <v/>
      </c>
      <c r="J182" s="16" t="n"/>
      <c r="K182" s="15">
        <f>IFERROR(INDEX(輔助計算!$D:$D, (MATCH(181, 輔助計算!$F$2:$F$801, 0)+1)), "")</f>
        <v/>
      </c>
      <c r="L182" s="16">
        <f>IFERROR(IF(AND(IFERROR(VLOOKUP(LEFT(INDEX(ERP資料!$S:$S, (MATCH(181, 輔助計算!$F$2:$F$801, 0)+1)), 4), 100張客戶!$A:$A, 1, FALSE), "")&lt;&gt;"", OR(INDEX(ERP資料!$F:$F, (MATCH(181, 輔助計算!$F$2:$F$801, 0)+1))=270, INDEX(ERP資料!$F:$F, (MATCH(181, 輔助計算!$F$2:$F$801, 0)+1))=300)), "100張", ""), "")</f>
        <v/>
      </c>
      <c r="M182" s="17" t="n"/>
      <c r="N182" s="17">
        <f>IF($F182="","",$F182)</f>
        <v/>
      </c>
      <c r="O182" s="17">
        <f>IF($G182="","",$G182)</f>
        <v/>
      </c>
      <c r="P182" s="17">
        <f>IF($K182="","",$K182)</f>
        <v/>
      </c>
      <c r="Q182" s="16" t="n"/>
      <c r="R182" s="18" t="n"/>
      <c r="S182" s="16" t="n"/>
    </row>
    <row r="183">
      <c r="A183" s="14">
        <f>IFERROR(IF(AND(IFERROR(INDEX(ERP資料!$A:$A, (MATCH(182, 輔助計算!$F$2:$F$801, 0)+1)), "")&lt;&gt;"", IFERROR(INDEX(ERP資料!$A:$A, (MATCH(182, 輔助計算!$F$2:$F$801, 0)+1)), "")&lt;&gt;IFERROR(INDEX(ERP資料!$A:$A, MATCH(181, 輔助計算!$F$2:$F$801, 0)+1), "")), INDEX(ERP資料!$B:$B, (MATCH(182, 輔助計算!$F$2:$F$801, 0)+1)), ""), "")</f>
        <v/>
      </c>
      <c r="B183" s="10">
        <f>IFERROR(IF(AND(IFERROR(INDEX(ERP資料!$A:$A, (MATCH(182, 輔助計算!$F$2:$F$801, 0)+1)), "")&lt;&gt;"", IFERROR(INDEX(ERP資料!$A:$A, (MATCH(182, 輔助計算!$F$2:$F$801, 0)+1)), "")&lt;&gt;IFERROR(INDEX(ERP資料!$A:$A, MATCH(181, 輔助計算!$F$2:$F$801, 0)+1), "")), IFERROR(INDEX(ERP資料!$A:$A, (MATCH(182, 輔助計算!$F$2:$F$801, 0)+1)), ""), ""), "")</f>
        <v/>
      </c>
      <c r="C183" s="10">
        <f>IFERROR(IF(AND(IFERROR(INDEX(ERP資料!$A:$A, (MATCH(182, 輔助計算!$F$2:$F$801, 0)+1)), "")&lt;&gt;"", IFERROR(INDEX(ERP資料!$A:$A, (MATCH(182, 輔助計算!$F$2:$F$801, 0)+1)), "")&lt;&gt;IFERROR(INDEX(ERP資料!$A:$A, MATCH(181, 輔助計算!$F$2:$F$801, 0)+1), "")), INDEX(ERP資料!$S:$S, (MATCH(182, 輔助計算!$F$2:$F$801, 0)+1)), ""), "")</f>
        <v/>
      </c>
      <c r="D183" s="10">
        <f>IFERROR(IF(INDEX(ERP資料!$E:$E, (MATCH(182, 輔助計算!$F$2:$F$801, 0)+1))="","",TRIM(INDEX(ERP資料!$E:$E, (MATCH(182, 輔助計算!$F$2:$F$801, 0)+1)))), "")</f>
        <v/>
      </c>
      <c r="E183" s="10">
        <f>IFERROR(IF(INDEX(ERP資料!$F:$F, (MATCH(182, 輔助計算!$F$2:$F$801, 0)+1))="","",INDEX(ERP資料!$F:$F, (MATCH(182, 輔助計算!$F$2:$F$801, 0)+1))), "")</f>
        <v/>
      </c>
      <c r="F183" s="10">
        <f>IFERROR(IF(INDEX(ERP資料!$G:$G, (MATCH(182, 輔助計算!$F$2:$F$801, 0)+1))="","",INDEX(ERP資料!$G:$G, (MATCH(182, 輔助計算!$F$2:$F$801, 0)+1))), "")</f>
        <v/>
      </c>
      <c r="G183" s="10">
        <f>IFERROR(IF(INDEX(ERP資料!$H:$H, (MATCH(182, 輔助計算!$F$2:$F$801, 0)+1))="","",INDEX(ERP資料!$H:$H, (MATCH(182, 輔助計算!$F$2:$F$801, 0)+1))), "")</f>
        <v/>
      </c>
      <c r="H183" s="10">
        <f>IFERROR(IF(INDEX(ERP資料!$O:$O, (MATCH(182, 輔助計算!$F$2:$F$801, 0)+1))="","",INDEX(ERP資料!$O:$O, (MATCH(182, 輔助計算!$F$2:$F$801, 0)+1))), "")</f>
        <v/>
      </c>
      <c r="I183" s="15">
        <f>IFERROR(IF(INDEX(輔助計算!$D:$D,(MATCH(182, 輔助計算!$F$2:$F$801, 0)+1))="","",INDEX(輔助計算!$D:$D,(MATCH(182, 輔助計算!$F$2:$F$801, 0)+1))*INDEX(ERP資料!$O:$O,(MATCH(182, 輔助計算!$F$2:$F$801, 0)+1))), "")</f>
        <v/>
      </c>
      <c r="J183" s="16" t="n"/>
      <c r="K183" s="15">
        <f>IFERROR(INDEX(輔助計算!$D:$D, (MATCH(182, 輔助計算!$F$2:$F$801, 0)+1)), "")</f>
        <v/>
      </c>
      <c r="L183" s="16">
        <f>IFERROR(IF(AND(IFERROR(VLOOKUP(LEFT(INDEX(ERP資料!$S:$S, (MATCH(182, 輔助計算!$F$2:$F$801, 0)+1)), 4), 100張客戶!$A:$A, 1, FALSE), "")&lt;&gt;"", OR(INDEX(ERP資料!$F:$F, (MATCH(182, 輔助計算!$F$2:$F$801, 0)+1))=270, INDEX(ERP資料!$F:$F, (MATCH(182, 輔助計算!$F$2:$F$801, 0)+1))=300)), "100張", ""), "")</f>
        <v/>
      </c>
      <c r="M183" s="17" t="n"/>
      <c r="N183" s="17">
        <f>IF($F183="","",$F183)</f>
        <v/>
      </c>
      <c r="O183" s="17">
        <f>IF($G183="","",$G183)</f>
        <v/>
      </c>
      <c r="P183" s="17">
        <f>IF($K183="","",$K183)</f>
        <v/>
      </c>
      <c r="Q183" s="16" t="n"/>
      <c r="R183" s="18" t="n"/>
      <c r="S183" s="16" t="n"/>
    </row>
    <row r="184">
      <c r="A184" s="14">
        <f>IFERROR(IF(AND(IFERROR(INDEX(ERP資料!$A:$A, (MATCH(183, 輔助計算!$F$2:$F$801, 0)+1)), "")&lt;&gt;"", IFERROR(INDEX(ERP資料!$A:$A, (MATCH(183, 輔助計算!$F$2:$F$801, 0)+1)), "")&lt;&gt;IFERROR(INDEX(ERP資料!$A:$A, MATCH(182, 輔助計算!$F$2:$F$801, 0)+1), "")), INDEX(ERP資料!$B:$B, (MATCH(183, 輔助計算!$F$2:$F$801, 0)+1)), ""), "")</f>
        <v/>
      </c>
      <c r="B184" s="10">
        <f>IFERROR(IF(AND(IFERROR(INDEX(ERP資料!$A:$A, (MATCH(183, 輔助計算!$F$2:$F$801, 0)+1)), "")&lt;&gt;"", IFERROR(INDEX(ERP資料!$A:$A, (MATCH(183, 輔助計算!$F$2:$F$801, 0)+1)), "")&lt;&gt;IFERROR(INDEX(ERP資料!$A:$A, MATCH(182, 輔助計算!$F$2:$F$801, 0)+1), "")), IFERROR(INDEX(ERP資料!$A:$A, (MATCH(183, 輔助計算!$F$2:$F$801, 0)+1)), ""), ""), "")</f>
        <v/>
      </c>
      <c r="C184" s="10">
        <f>IFERROR(IF(AND(IFERROR(INDEX(ERP資料!$A:$A, (MATCH(183, 輔助計算!$F$2:$F$801, 0)+1)), "")&lt;&gt;"", IFERROR(INDEX(ERP資料!$A:$A, (MATCH(183, 輔助計算!$F$2:$F$801, 0)+1)), "")&lt;&gt;IFERROR(INDEX(ERP資料!$A:$A, MATCH(182, 輔助計算!$F$2:$F$801, 0)+1), "")), INDEX(ERP資料!$S:$S, (MATCH(183, 輔助計算!$F$2:$F$801, 0)+1)), ""), "")</f>
        <v/>
      </c>
      <c r="D184" s="10">
        <f>IFERROR(IF(INDEX(ERP資料!$E:$E, (MATCH(183, 輔助計算!$F$2:$F$801, 0)+1))="","",TRIM(INDEX(ERP資料!$E:$E, (MATCH(183, 輔助計算!$F$2:$F$801, 0)+1)))), "")</f>
        <v/>
      </c>
      <c r="E184" s="10">
        <f>IFERROR(IF(INDEX(ERP資料!$F:$F, (MATCH(183, 輔助計算!$F$2:$F$801, 0)+1))="","",INDEX(ERP資料!$F:$F, (MATCH(183, 輔助計算!$F$2:$F$801, 0)+1))), "")</f>
        <v/>
      </c>
      <c r="F184" s="10">
        <f>IFERROR(IF(INDEX(ERP資料!$G:$G, (MATCH(183, 輔助計算!$F$2:$F$801, 0)+1))="","",INDEX(ERP資料!$G:$G, (MATCH(183, 輔助計算!$F$2:$F$801, 0)+1))), "")</f>
        <v/>
      </c>
      <c r="G184" s="10">
        <f>IFERROR(IF(INDEX(ERP資料!$H:$H, (MATCH(183, 輔助計算!$F$2:$F$801, 0)+1))="","",INDEX(ERP資料!$H:$H, (MATCH(183, 輔助計算!$F$2:$F$801, 0)+1))), "")</f>
        <v/>
      </c>
      <c r="H184" s="10">
        <f>IFERROR(IF(INDEX(ERP資料!$O:$O, (MATCH(183, 輔助計算!$F$2:$F$801, 0)+1))="","",INDEX(ERP資料!$O:$O, (MATCH(183, 輔助計算!$F$2:$F$801, 0)+1))), "")</f>
        <v/>
      </c>
      <c r="I184" s="15">
        <f>IFERROR(IF(INDEX(輔助計算!$D:$D,(MATCH(183, 輔助計算!$F$2:$F$801, 0)+1))="","",INDEX(輔助計算!$D:$D,(MATCH(183, 輔助計算!$F$2:$F$801, 0)+1))*INDEX(ERP資料!$O:$O,(MATCH(183, 輔助計算!$F$2:$F$801, 0)+1))), "")</f>
        <v/>
      </c>
      <c r="J184" s="16" t="n"/>
      <c r="K184" s="15">
        <f>IFERROR(INDEX(輔助計算!$D:$D, (MATCH(183, 輔助計算!$F$2:$F$801, 0)+1)), "")</f>
        <v/>
      </c>
      <c r="L184" s="16">
        <f>IFERROR(IF(AND(IFERROR(VLOOKUP(LEFT(INDEX(ERP資料!$S:$S, (MATCH(183, 輔助計算!$F$2:$F$801, 0)+1)), 4), 100張客戶!$A:$A, 1, FALSE), "")&lt;&gt;"", OR(INDEX(ERP資料!$F:$F, (MATCH(183, 輔助計算!$F$2:$F$801, 0)+1))=270, INDEX(ERP資料!$F:$F, (MATCH(183, 輔助計算!$F$2:$F$801, 0)+1))=300)), "100張", ""), "")</f>
        <v/>
      </c>
      <c r="M184" s="17" t="n"/>
      <c r="N184" s="17">
        <f>IF($F184="","",$F184)</f>
        <v/>
      </c>
      <c r="O184" s="17">
        <f>IF($G184="","",$G184)</f>
        <v/>
      </c>
      <c r="P184" s="17">
        <f>IF($K184="","",$K184)</f>
        <v/>
      </c>
      <c r="Q184" s="16" t="n"/>
      <c r="R184" s="18" t="n"/>
      <c r="S184" s="16" t="n"/>
    </row>
    <row r="185">
      <c r="A185" s="14">
        <f>IFERROR(IF(AND(IFERROR(INDEX(ERP資料!$A:$A, (MATCH(184, 輔助計算!$F$2:$F$801, 0)+1)), "")&lt;&gt;"", IFERROR(INDEX(ERP資料!$A:$A, (MATCH(184, 輔助計算!$F$2:$F$801, 0)+1)), "")&lt;&gt;IFERROR(INDEX(ERP資料!$A:$A, MATCH(183, 輔助計算!$F$2:$F$801, 0)+1), "")), INDEX(ERP資料!$B:$B, (MATCH(184, 輔助計算!$F$2:$F$801, 0)+1)), ""), "")</f>
        <v/>
      </c>
      <c r="B185" s="10">
        <f>IFERROR(IF(AND(IFERROR(INDEX(ERP資料!$A:$A, (MATCH(184, 輔助計算!$F$2:$F$801, 0)+1)), "")&lt;&gt;"", IFERROR(INDEX(ERP資料!$A:$A, (MATCH(184, 輔助計算!$F$2:$F$801, 0)+1)), "")&lt;&gt;IFERROR(INDEX(ERP資料!$A:$A, MATCH(183, 輔助計算!$F$2:$F$801, 0)+1), "")), IFERROR(INDEX(ERP資料!$A:$A, (MATCH(184, 輔助計算!$F$2:$F$801, 0)+1)), ""), ""), "")</f>
        <v/>
      </c>
      <c r="C185" s="10">
        <f>IFERROR(IF(AND(IFERROR(INDEX(ERP資料!$A:$A, (MATCH(184, 輔助計算!$F$2:$F$801, 0)+1)), "")&lt;&gt;"", IFERROR(INDEX(ERP資料!$A:$A, (MATCH(184, 輔助計算!$F$2:$F$801, 0)+1)), "")&lt;&gt;IFERROR(INDEX(ERP資料!$A:$A, MATCH(183, 輔助計算!$F$2:$F$801, 0)+1), "")), INDEX(ERP資料!$S:$S, (MATCH(184, 輔助計算!$F$2:$F$801, 0)+1)), ""), "")</f>
        <v/>
      </c>
      <c r="D185" s="10">
        <f>IFERROR(IF(INDEX(ERP資料!$E:$E, (MATCH(184, 輔助計算!$F$2:$F$801, 0)+1))="","",TRIM(INDEX(ERP資料!$E:$E, (MATCH(184, 輔助計算!$F$2:$F$801, 0)+1)))), "")</f>
        <v/>
      </c>
      <c r="E185" s="10">
        <f>IFERROR(IF(INDEX(ERP資料!$F:$F, (MATCH(184, 輔助計算!$F$2:$F$801, 0)+1))="","",INDEX(ERP資料!$F:$F, (MATCH(184, 輔助計算!$F$2:$F$801, 0)+1))), "")</f>
        <v/>
      </c>
      <c r="F185" s="10">
        <f>IFERROR(IF(INDEX(ERP資料!$G:$G, (MATCH(184, 輔助計算!$F$2:$F$801, 0)+1))="","",INDEX(ERP資料!$G:$G, (MATCH(184, 輔助計算!$F$2:$F$801, 0)+1))), "")</f>
        <v/>
      </c>
      <c r="G185" s="10">
        <f>IFERROR(IF(INDEX(ERP資料!$H:$H, (MATCH(184, 輔助計算!$F$2:$F$801, 0)+1))="","",INDEX(ERP資料!$H:$H, (MATCH(184, 輔助計算!$F$2:$F$801, 0)+1))), "")</f>
        <v/>
      </c>
      <c r="H185" s="10">
        <f>IFERROR(IF(INDEX(ERP資料!$O:$O, (MATCH(184, 輔助計算!$F$2:$F$801, 0)+1))="","",INDEX(ERP資料!$O:$O, (MATCH(184, 輔助計算!$F$2:$F$801, 0)+1))), "")</f>
        <v/>
      </c>
      <c r="I185" s="15">
        <f>IFERROR(IF(INDEX(輔助計算!$D:$D,(MATCH(184, 輔助計算!$F$2:$F$801, 0)+1))="","",INDEX(輔助計算!$D:$D,(MATCH(184, 輔助計算!$F$2:$F$801, 0)+1))*INDEX(ERP資料!$O:$O,(MATCH(184, 輔助計算!$F$2:$F$801, 0)+1))), "")</f>
        <v/>
      </c>
      <c r="J185" s="16" t="n"/>
      <c r="K185" s="15">
        <f>IFERROR(INDEX(輔助計算!$D:$D, (MATCH(184, 輔助計算!$F$2:$F$801, 0)+1)), "")</f>
        <v/>
      </c>
      <c r="L185" s="16">
        <f>IFERROR(IF(AND(IFERROR(VLOOKUP(LEFT(INDEX(ERP資料!$S:$S, (MATCH(184, 輔助計算!$F$2:$F$801, 0)+1)), 4), 100張客戶!$A:$A, 1, FALSE), "")&lt;&gt;"", OR(INDEX(ERP資料!$F:$F, (MATCH(184, 輔助計算!$F$2:$F$801, 0)+1))=270, INDEX(ERP資料!$F:$F, (MATCH(184, 輔助計算!$F$2:$F$801, 0)+1))=300)), "100張", ""), "")</f>
        <v/>
      </c>
      <c r="M185" s="17" t="n"/>
      <c r="N185" s="17">
        <f>IF($F185="","",$F185)</f>
        <v/>
      </c>
      <c r="O185" s="17">
        <f>IF($G185="","",$G185)</f>
        <v/>
      </c>
      <c r="P185" s="17">
        <f>IF($K185="","",$K185)</f>
        <v/>
      </c>
      <c r="Q185" s="16" t="n"/>
      <c r="R185" s="18" t="n"/>
      <c r="S185" s="16" t="n"/>
    </row>
    <row r="186">
      <c r="A186" s="14">
        <f>IFERROR(IF(AND(IFERROR(INDEX(ERP資料!$A:$A, (MATCH(185, 輔助計算!$F$2:$F$801, 0)+1)), "")&lt;&gt;"", IFERROR(INDEX(ERP資料!$A:$A, (MATCH(185, 輔助計算!$F$2:$F$801, 0)+1)), "")&lt;&gt;IFERROR(INDEX(ERP資料!$A:$A, MATCH(184, 輔助計算!$F$2:$F$801, 0)+1), "")), INDEX(ERP資料!$B:$B, (MATCH(185, 輔助計算!$F$2:$F$801, 0)+1)), ""), "")</f>
        <v/>
      </c>
      <c r="B186" s="10">
        <f>IFERROR(IF(AND(IFERROR(INDEX(ERP資料!$A:$A, (MATCH(185, 輔助計算!$F$2:$F$801, 0)+1)), "")&lt;&gt;"", IFERROR(INDEX(ERP資料!$A:$A, (MATCH(185, 輔助計算!$F$2:$F$801, 0)+1)), "")&lt;&gt;IFERROR(INDEX(ERP資料!$A:$A, MATCH(184, 輔助計算!$F$2:$F$801, 0)+1), "")), IFERROR(INDEX(ERP資料!$A:$A, (MATCH(185, 輔助計算!$F$2:$F$801, 0)+1)), ""), ""), "")</f>
        <v/>
      </c>
      <c r="C186" s="10">
        <f>IFERROR(IF(AND(IFERROR(INDEX(ERP資料!$A:$A, (MATCH(185, 輔助計算!$F$2:$F$801, 0)+1)), "")&lt;&gt;"", IFERROR(INDEX(ERP資料!$A:$A, (MATCH(185, 輔助計算!$F$2:$F$801, 0)+1)), "")&lt;&gt;IFERROR(INDEX(ERP資料!$A:$A, MATCH(184, 輔助計算!$F$2:$F$801, 0)+1), "")), INDEX(ERP資料!$S:$S, (MATCH(185, 輔助計算!$F$2:$F$801, 0)+1)), ""), "")</f>
        <v/>
      </c>
      <c r="D186" s="10">
        <f>IFERROR(IF(INDEX(ERP資料!$E:$E, (MATCH(185, 輔助計算!$F$2:$F$801, 0)+1))="","",TRIM(INDEX(ERP資料!$E:$E, (MATCH(185, 輔助計算!$F$2:$F$801, 0)+1)))), "")</f>
        <v/>
      </c>
      <c r="E186" s="10">
        <f>IFERROR(IF(INDEX(ERP資料!$F:$F, (MATCH(185, 輔助計算!$F$2:$F$801, 0)+1))="","",INDEX(ERP資料!$F:$F, (MATCH(185, 輔助計算!$F$2:$F$801, 0)+1))), "")</f>
        <v/>
      </c>
      <c r="F186" s="10">
        <f>IFERROR(IF(INDEX(ERP資料!$G:$G, (MATCH(185, 輔助計算!$F$2:$F$801, 0)+1))="","",INDEX(ERP資料!$G:$G, (MATCH(185, 輔助計算!$F$2:$F$801, 0)+1))), "")</f>
        <v/>
      </c>
      <c r="G186" s="10">
        <f>IFERROR(IF(INDEX(ERP資料!$H:$H, (MATCH(185, 輔助計算!$F$2:$F$801, 0)+1))="","",INDEX(ERP資料!$H:$H, (MATCH(185, 輔助計算!$F$2:$F$801, 0)+1))), "")</f>
        <v/>
      </c>
      <c r="H186" s="10">
        <f>IFERROR(IF(INDEX(ERP資料!$O:$O, (MATCH(185, 輔助計算!$F$2:$F$801, 0)+1))="","",INDEX(ERP資料!$O:$O, (MATCH(185, 輔助計算!$F$2:$F$801, 0)+1))), "")</f>
        <v/>
      </c>
      <c r="I186" s="15">
        <f>IFERROR(IF(INDEX(輔助計算!$D:$D,(MATCH(185, 輔助計算!$F$2:$F$801, 0)+1))="","",INDEX(輔助計算!$D:$D,(MATCH(185, 輔助計算!$F$2:$F$801, 0)+1))*INDEX(ERP資料!$O:$O,(MATCH(185, 輔助計算!$F$2:$F$801, 0)+1))), "")</f>
        <v/>
      </c>
      <c r="J186" s="16" t="n"/>
      <c r="K186" s="15">
        <f>IFERROR(INDEX(輔助計算!$D:$D, (MATCH(185, 輔助計算!$F$2:$F$801, 0)+1)), "")</f>
        <v/>
      </c>
      <c r="L186" s="16">
        <f>IFERROR(IF(AND(IFERROR(VLOOKUP(LEFT(INDEX(ERP資料!$S:$S, (MATCH(185, 輔助計算!$F$2:$F$801, 0)+1)), 4), 100張客戶!$A:$A, 1, FALSE), "")&lt;&gt;"", OR(INDEX(ERP資料!$F:$F, (MATCH(185, 輔助計算!$F$2:$F$801, 0)+1))=270, INDEX(ERP資料!$F:$F, (MATCH(185, 輔助計算!$F$2:$F$801, 0)+1))=300)), "100張", ""), "")</f>
        <v/>
      </c>
      <c r="M186" s="17" t="n"/>
      <c r="N186" s="17">
        <f>IF($F186="","",$F186)</f>
        <v/>
      </c>
      <c r="O186" s="17">
        <f>IF($G186="","",$G186)</f>
        <v/>
      </c>
      <c r="P186" s="17">
        <f>IF($K186="","",$K186)</f>
        <v/>
      </c>
      <c r="Q186" s="16" t="n"/>
      <c r="R186" s="18" t="n"/>
      <c r="S186" s="16" t="n"/>
    </row>
    <row r="187">
      <c r="A187" s="14">
        <f>IFERROR(IF(AND(IFERROR(INDEX(ERP資料!$A:$A, (MATCH(186, 輔助計算!$F$2:$F$801, 0)+1)), "")&lt;&gt;"", IFERROR(INDEX(ERP資料!$A:$A, (MATCH(186, 輔助計算!$F$2:$F$801, 0)+1)), "")&lt;&gt;IFERROR(INDEX(ERP資料!$A:$A, MATCH(185, 輔助計算!$F$2:$F$801, 0)+1), "")), INDEX(ERP資料!$B:$B, (MATCH(186, 輔助計算!$F$2:$F$801, 0)+1)), ""), "")</f>
        <v/>
      </c>
      <c r="B187" s="10">
        <f>IFERROR(IF(AND(IFERROR(INDEX(ERP資料!$A:$A, (MATCH(186, 輔助計算!$F$2:$F$801, 0)+1)), "")&lt;&gt;"", IFERROR(INDEX(ERP資料!$A:$A, (MATCH(186, 輔助計算!$F$2:$F$801, 0)+1)), "")&lt;&gt;IFERROR(INDEX(ERP資料!$A:$A, MATCH(185, 輔助計算!$F$2:$F$801, 0)+1), "")), IFERROR(INDEX(ERP資料!$A:$A, (MATCH(186, 輔助計算!$F$2:$F$801, 0)+1)), ""), ""), "")</f>
        <v/>
      </c>
      <c r="C187" s="10">
        <f>IFERROR(IF(AND(IFERROR(INDEX(ERP資料!$A:$A, (MATCH(186, 輔助計算!$F$2:$F$801, 0)+1)), "")&lt;&gt;"", IFERROR(INDEX(ERP資料!$A:$A, (MATCH(186, 輔助計算!$F$2:$F$801, 0)+1)), "")&lt;&gt;IFERROR(INDEX(ERP資料!$A:$A, MATCH(185, 輔助計算!$F$2:$F$801, 0)+1), "")), INDEX(ERP資料!$S:$S, (MATCH(186, 輔助計算!$F$2:$F$801, 0)+1)), ""), "")</f>
        <v/>
      </c>
      <c r="D187" s="10">
        <f>IFERROR(IF(INDEX(ERP資料!$E:$E, (MATCH(186, 輔助計算!$F$2:$F$801, 0)+1))="","",TRIM(INDEX(ERP資料!$E:$E, (MATCH(186, 輔助計算!$F$2:$F$801, 0)+1)))), "")</f>
        <v/>
      </c>
      <c r="E187" s="10">
        <f>IFERROR(IF(INDEX(ERP資料!$F:$F, (MATCH(186, 輔助計算!$F$2:$F$801, 0)+1))="","",INDEX(ERP資料!$F:$F, (MATCH(186, 輔助計算!$F$2:$F$801, 0)+1))), "")</f>
        <v/>
      </c>
      <c r="F187" s="10">
        <f>IFERROR(IF(INDEX(ERP資料!$G:$G, (MATCH(186, 輔助計算!$F$2:$F$801, 0)+1))="","",INDEX(ERP資料!$G:$G, (MATCH(186, 輔助計算!$F$2:$F$801, 0)+1))), "")</f>
        <v/>
      </c>
      <c r="G187" s="10">
        <f>IFERROR(IF(INDEX(ERP資料!$H:$H, (MATCH(186, 輔助計算!$F$2:$F$801, 0)+1))="","",INDEX(ERP資料!$H:$H, (MATCH(186, 輔助計算!$F$2:$F$801, 0)+1))), "")</f>
        <v/>
      </c>
      <c r="H187" s="10">
        <f>IFERROR(IF(INDEX(ERP資料!$O:$O, (MATCH(186, 輔助計算!$F$2:$F$801, 0)+1))="","",INDEX(ERP資料!$O:$O, (MATCH(186, 輔助計算!$F$2:$F$801, 0)+1))), "")</f>
        <v/>
      </c>
      <c r="I187" s="15">
        <f>IFERROR(IF(INDEX(輔助計算!$D:$D,(MATCH(186, 輔助計算!$F$2:$F$801, 0)+1))="","",INDEX(輔助計算!$D:$D,(MATCH(186, 輔助計算!$F$2:$F$801, 0)+1))*INDEX(ERP資料!$O:$O,(MATCH(186, 輔助計算!$F$2:$F$801, 0)+1))), "")</f>
        <v/>
      </c>
      <c r="J187" s="16" t="n"/>
      <c r="K187" s="15">
        <f>IFERROR(INDEX(輔助計算!$D:$D, (MATCH(186, 輔助計算!$F$2:$F$801, 0)+1)), "")</f>
        <v/>
      </c>
      <c r="L187" s="16">
        <f>IFERROR(IF(AND(IFERROR(VLOOKUP(LEFT(INDEX(ERP資料!$S:$S, (MATCH(186, 輔助計算!$F$2:$F$801, 0)+1)), 4), 100張客戶!$A:$A, 1, FALSE), "")&lt;&gt;"", OR(INDEX(ERP資料!$F:$F, (MATCH(186, 輔助計算!$F$2:$F$801, 0)+1))=270, INDEX(ERP資料!$F:$F, (MATCH(186, 輔助計算!$F$2:$F$801, 0)+1))=300)), "100張", ""), "")</f>
        <v/>
      </c>
      <c r="M187" s="17" t="n"/>
      <c r="N187" s="17">
        <f>IF($F187="","",$F187)</f>
        <v/>
      </c>
      <c r="O187" s="17">
        <f>IF($G187="","",$G187)</f>
        <v/>
      </c>
      <c r="P187" s="17">
        <f>IF($K187="","",$K187)</f>
        <v/>
      </c>
      <c r="Q187" s="16" t="n"/>
      <c r="R187" s="18" t="n"/>
      <c r="S187" s="16" t="n"/>
    </row>
    <row r="188">
      <c r="A188" s="14">
        <f>IFERROR(IF(AND(IFERROR(INDEX(ERP資料!$A:$A, (MATCH(187, 輔助計算!$F$2:$F$801, 0)+1)), "")&lt;&gt;"", IFERROR(INDEX(ERP資料!$A:$A, (MATCH(187, 輔助計算!$F$2:$F$801, 0)+1)), "")&lt;&gt;IFERROR(INDEX(ERP資料!$A:$A, MATCH(186, 輔助計算!$F$2:$F$801, 0)+1), "")), INDEX(ERP資料!$B:$B, (MATCH(187, 輔助計算!$F$2:$F$801, 0)+1)), ""), "")</f>
        <v/>
      </c>
      <c r="B188" s="10">
        <f>IFERROR(IF(AND(IFERROR(INDEX(ERP資料!$A:$A, (MATCH(187, 輔助計算!$F$2:$F$801, 0)+1)), "")&lt;&gt;"", IFERROR(INDEX(ERP資料!$A:$A, (MATCH(187, 輔助計算!$F$2:$F$801, 0)+1)), "")&lt;&gt;IFERROR(INDEX(ERP資料!$A:$A, MATCH(186, 輔助計算!$F$2:$F$801, 0)+1), "")), IFERROR(INDEX(ERP資料!$A:$A, (MATCH(187, 輔助計算!$F$2:$F$801, 0)+1)), ""), ""), "")</f>
        <v/>
      </c>
      <c r="C188" s="10">
        <f>IFERROR(IF(AND(IFERROR(INDEX(ERP資料!$A:$A, (MATCH(187, 輔助計算!$F$2:$F$801, 0)+1)), "")&lt;&gt;"", IFERROR(INDEX(ERP資料!$A:$A, (MATCH(187, 輔助計算!$F$2:$F$801, 0)+1)), "")&lt;&gt;IFERROR(INDEX(ERP資料!$A:$A, MATCH(186, 輔助計算!$F$2:$F$801, 0)+1), "")), INDEX(ERP資料!$S:$S, (MATCH(187, 輔助計算!$F$2:$F$801, 0)+1)), ""), "")</f>
        <v/>
      </c>
      <c r="D188" s="10">
        <f>IFERROR(IF(INDEX(ERP資料!$E:$E, (MATCH(187, 輔助計算!$F$2:$F$801, 0)+1))="","",TRIM(INDEX(ERP資料!$E:$E, (MATCH(187, 輔助計算!$F$2:$F$801, 0)+1)))), "")</f>
        <v/>
      </c>
      <c r="E188" s="10">
        <f>IFERROR(IF(INDEX(ERP資料!$F:$F, (MATCH(187, 輔助計算!$F$2:$F$801, 0)+1))="","",INDEX(ERP資料!$F:$F, (MATCH(187, 輔助計算!$F$2:$F$801, 0)+1))), "")</f>
        <v/>
      </c>
      <c r="F188" s="10">
        <f>IFERROR(IF(INDEX(ERP資料!$G:$G, (MATCH(187, 輔助計算!$F$2:$F$801, 0)+1))="","",INDEX(ERP資料!$G:$G, (MATCH(187, 輔助計算!$F$2:$F$801, 0)+1))), "")</f>
        <v/>
      </c>
      <c r="G188" s="10">
        <f>IFERROR(IF(INDEX(ERP資料!$H:$H, (MATCH(187, 輔助計算!$F$2:$F$801, 0)+1))="","",INDEX(ERP資料!$H:$H, (MATCH(187, 輔助計算!$F$2:$F$801, 0)+1))), "")</f>
        <v/>
      </c>
      <c r="H188" s="10">
        <f>IFERROR(IF(INDEX(ERP資料!$O:$O, (MATCH(187, 輔助計算!$F$2:$F$801, 0)+1))="","",INDEX(ERP資料!$O:$O, (MATCH(187, 輔助計算!$F$2:$F$801, 0)+1))), "")</f>
        <v/>
      </c>
      <c r="I188" s="15">
        <f>IFERROR(IF(INDEX(輔助計算!$D:$D,(MATCH(187, 輔助計算!$F$2:$F$801, 0)+1))="","",INDEX(輔助計算!$D:$D,(MATCH(187, 輔助計算!$F$2:$F$801, 0)+1))*INDEX(ERP資料!$O:$O,(MATCH(187, 輔助計算!$F$2:$F$801, 0)+1))), "")</f>
        <v/>
      </c>
      <c r="J188" s="16" t="n"/>
      <c r="K188" s="15">
        <f>IFERROR(INDEX(輔助計算!$D:$D, (MATCH(187, 輔助計算!$F$2:$F$801, 0)+1)), "")</f>
        <v/>
      </c>
      <c r="L188" s="16">
        <f>IFERROR(IF(AND(IFERROR(VLOOKUP(LEFT(INDEX(ERP資料!$S:$S, (MATCH(187, 輔助計算!$F$2:$F$801, 0)+1)), 4), 100張客戶!$A:$A, 1, FALSE), "")&lt;&gt;"", OR(INDEX(ERP資料!$F:$F, (MATCH(187, 輔助計算!$F$2:$F$801, 0)+1))=270, INDEX(ERP資料!$F:$F, (MATCH(187, 輔助計算!$F$2:$F$801, 0)+1))=300)), "100張", ""), "")</f>
        <v/>
      </c>
      <c r="M188" s="17" t="n"/>
      <c r="N188" s="17">
        <f>IF($F188="","",$F188)</f>
        <v/>
      </c>
      <c r="O188" s="17">
        <f>IF($G188="","",$G188)</f>
        <v/>
      </c>
      <c r="P188" s="17">
        <f>IF($K188="","",$K188)</f>
        <v/>
      </c>
      <c r="Q188" s="16" t="n"/>
      <c r="R188" s="18" t="n"/>
      <c r="S188" s="16" t="n"/>
    </row>
    <row r="189">
      <c r="A189" s="14">
        <f>IFERROR(IF(AND(IFERROR(INDEX(ERP資料!$A:$A, (MATCH(188, 輔助計算!$F$2:$F$801, 0)+1)), "")&lt;&gt;"", IFERROR(INDEX(ERP資料!$A:$A, (MATCH(188, 輔助計算!$F$2:$F$801, 0)+1)), "")&lt;&gt;IFERROR(INDEX(ERP資料!$A:$A, MATCH(187, 輔助計算!$F$2:$F$801, 0)+1), "")), INDEX(ERP資料!$B:$B, (MATCH(188, 輔助計算!$F$2:$F$801, 0)+1)), ""), "")</f>
        <v/>
      </c>
      <c r="B189" s="10">
        <f>IFERROR(IF(AND(IFERROR(INDEX(ERP資料!$A:$A, (MATCH(188, 輔助計算!$F$2:$F$801, 0)+1)), "")&lt;&gt;"", IFERROR(INDEX(ERP資料!$A:$A, (MATCH(188, 輔助計算!$F$2:$F$801, 0)+1)), "")&lt;&gt;IFERROR(INDEX(ERP資料!$A:$A, MATCH(187, 輔助計算!$F$2:$F$801, 0)+1), "")), IFERROR(INDEX(ERP資料!$A:$A, (MATCH(188, 輔助計算!$F$2:$F$801, 0)+1)), ""), ""), "")</f>
        <v/>
      </c>
      <c r="C189" s="10">
        <f>IFERROR(IF(AND(IFERROR(INDEX(ERP資料!$A:$A, (MATCH(188, 輔助計算!$F$2:$F$801, 0)+1)), "")&lt;&gt;"", IFERROR(INDEX(ERP資料!$A:$A, (MATCH(188, 輔助計算!$F$2:$F$801, 0)+1)), "")&lt;&gt;IFERROR(INDEX(ERP資料!$A:$A, MATCH(187, 輔助計算!$F$2:$F$801, 0)+1), "")), INDEX(ERP資料!$S:$S, (MATCH(188, 輔助計算!$F$2:$F$801, 0)+1)), ""), "")</f>
        <v/>
      </c>
      <c r="D189" s="10">
        <f>IFERROR(IF(INDEX(ERP資料!$E:$E, (MATCH(188, 輔助計算!$F$2:$F$801, 0)+1))="","",TRIM(INDEX(ERP資料!$E:$E, (MATCH(188, 輔助計算!$F$2:$F$801, 0)+1)))), "")</f>
        <v/>
      </c>
      <c r="E189" s="10">
        <f>IFERROR(IF(INDEX(ERP資料!$F:$F, (MATCH(188, 輔助計算!$F$2:$F$801, 0)+1))="","",INDEX(ERP資料!$F:$F, (MATCH(188, 輔助計算!$F$2:$F$801, 0)+1))), "")</f>
        <v/>
      </c>
      <c r="F189" s="10">
        <f>IFERROR(IF(INDEX(ERP資料!$G:$G, (MATCH(188, 輔助計算!$F$2:$F$801, 0)+1))="","",INDEX(ERP資料!$G:$G, (MATCH(188, 輔助計算!$F$2:$F$801, 0)+1))), "")</f>
        <v/>
      </c>
      <c r="G189" s="10">
        <f>IFERROR(IF(INDEX(ERP資料!$H:$H, (MATCH(188, 輔助計算!$F$2:$F$801, 0)+1))="","",INDEX(ERP資料!$H:$H, (MATCH(188, 輔助計算!$F$2:$F$801, 0)+1))), "")</f>
        <v/>
      </c>
      <c r="H189" s="10">
        <f>IFERROR(IF(INDEX(ERP資料!$O:$O, (MATCH(188, 輔助計算!$F$2:$F$801, 0)+1))="","",INDEX(ERP資料!$O:$O, (MATCH(188, 輔助計算!$F$2:$F$801, 0)+1))), "")</f>
        <v/>
      </c>
      <c r="I189" s="15">
        <f>IFERROR(IF(INDEX(輔助計算!$D:$D,(MATCH(188, 輔助計算!$F$2:$F$801, 0)+1))="","",INDEX(輔助計算!$D:$D,(MATCH(188, 輔助計算!$F$2:$F$801, 0)+1))*INDEX(ERP資料!$O:$O,(MATCH(188, 輔助計算!$F$2:$F$801, 0)+1))), "")</f>
        <v/>
      </c>
      <c r="J189" s="16" t="n"/>
      <c r="K189" s="15">
        <f>IFERROR(INDEX(輔助計算!$D:$D, (MATCH(188, 輔助計算!$F$2:$F$801, 0)+1)), "")</f>
        <v/>
      </c>
      <c r="L189" s="16">
        <f>IFERROR(IF(AND(IFERROR(VLOOKUP(LEFT(INDEX(ERP資料!$S:$S, (MATCH(188, 輔助計算!$F$2:$F$801, 0)+1)), 4), 100張客戶!$A:$A, 1, FALSE), "")&lt;&gt;"", OR(INDEX(ERP資料!$F:$F, (MATCH(188, 輔助計算!$F$2:$F$801, 0)+1))=270, INDEX(ERP資料!$F:$F, (MATCH(188, 輔助計算!$F$2:$F$801, 0)+1))=300)), "100張", ""), "")</f>
        <v/>
      </c>
      <c r="M189" s="17" t="n"/>
      <c r="N189" s="17">
        <f>IF($F189="","",$F189)</f>
        <v/>
      </c>
      <c r="O189" s="17">
        <f>IF($G189="","",$G189)</f>
        <v/>
      </c>
      <c r="P189" s="17">
        <f>IF($K189="","",$K189)</f>
        <v/>
      </c>
      <c r="Q189" s="16" t="n"/>
      <c r="R189" s="18" t="n"/>
      <c r="S189" s="16" t="n"/>
    </row>
    <row r="190">
      <c r="A190" s="14">
        <f>IFERROR(IF(AND(IFERROR(INDEX(ERP資料!$A:$A, (MATCH(189, 輔助計算!$F$2:$F$801, 0)+1)), "")&lt;&gt;"", IFERROR(INDEX(ERP資料!$A:$A, (MATCH(189, 輔助計算!$F$2:$F$801, 0)+1)), "")&lt;&gt;IFERROR(INDEX(ERP資料!$A:$A, MATCH(188, 輔助計算!$F$2:$F$801, 0)+1), "")), INDEX(ERP資料!$B:$B, (MATCH(189, 輔助計算!$F$2:$F$801, 0)+1)), ""), "")</f>
        <v/>
      </c>
      <c r="B190" s="10">
        <f>IFERROR(IF(AND(IFERROR(INDEX(ERP資料!$A:$A, (MATCH(189, 輔助計算!$F$2:$F$801, 0)+1)), "")&lt;&gt;"", IFERROR(INDEX(ERP資料!$A:$A, (MATCH(189, 輔助計算!$F$2:$F$801, 0)+1)), "")&lt;&gt;IFERROR(INDEX(ERP資料!$A:$A, MATCH(188, 輔助計算!$F$2:$F$801, 0)+1), "")), IFERROR(INDEX(ERP資料!$A:$A, (MATCH(189, 輔助計算!$F$2:$F$801, 0)+1)), ""), ""), "")</f>
        <v/>
      </c>
      <c r="C190" s="10">
        <f>IFERROR(IF(AND(IFERROR(INDEX(ERP資料!$A:$A, (MATCH(189, 輔助計算!$F$2:$F$801, 0)+1)), "")&lt;&gt;"", IFERROR(INDEX(ERP資料!$A:$A, (MATCH(189, 輔助計算!$F$2:$F$801, 0)+1)), "")&lt;&gt;IFERROR(INDEX(ERP資料!$A:$A, MATCH(188, 輔助計算!$F$2:$F$801, 0)+1), "")), INDEX(ERP資料!$S:$S, (MATCH(189, 輔助計算!$F$2:$F$801, 0)+1)), ""), "")</f>
        <v/>
      </c>
      <c r="D190" s="10">
        <f>IFERROR(IF(INDEX(ERP資料!$E:$E, (MATCH(189, 輔助計算!$F$2:$F$801, 0)+1))="","",TRIM(INDEX(ERP資料!$E:$E, (MATCH(189, 輔助計算!$F$2:$F$801, 0)+1)))), "")</f>
        <v/>
      </c>
      <c r="E190" s="10">
        <f>IFERROR(IF(INDEX(ERP資料!$F:$F, (MATCH(189, 輔助計算!$F$2:$F$801, 0)+1))="","",INDEX(ERP資料!$F:$F, (MATCH(189, 輔助計算!$F$2:$F$801, 0)+1))), "")</f>
        <v/>
      </c>
      <c r="F190" s="10">
        <f>IFERROR(IF(INDEX(ERP資料!$G:$G, (MATCH(189, 輔助計算!$F$2:$F$801, 0)+1))="","",INDEX(ERP資料!$G:$G, (MATCH(189, 輔助計算!$F$2:$F$801, 0)+1))), "")</f>
        <v/>
      </c>
      <c r="G190" s="10">
        <f>IFERROR(IF(INDEX(ERP資料!$H:$H, (MATCH(189, 輔助計算!$F$2:$F$801, 0)+1))="","",INDEX(ERP資料!$H:$H, (MATCH(189, 輔助計算!$F$2:$F$801, 0)+1))), "")</f>
        <v/>
      </c>
      <c r="H190" s="10">
        <f>IFERROR(IF(INDEX(ERP資料!$O:$O, (MATCH(189, 輔助計算!$F$2:$F$801, 0)+1))="","",INDEX(ERP資料!$O:$O, (MATCH(189, 輔助計算!$F$2:$F$801, 0)+1))), "")</f>
        <v/>
      </c>
      <c r="I190" s="15">
        <f>IFERROR(IF(INDEX(輔助計算!$D:$D,(MATCH(189, 輔助計算!$F$2:$F$801, 0)+1))="","",INDEX(輔助計算!$D:$D,(MATCH(189, 輔助計算!$F$2:$F$801, 0)+1))*INDEX(ERP資料!$O:$O,(MATCH(189, 輔助計算!$F$2:$F$801, 0)+1))), "")</f>
        <v/>
      </c>
      <c r="J190" s="16" t="n"/>
      <c r="K190" s="15">
        <f>IFERROR(INDEX(輔助計算!$D:$D, (MATCH(189, 輔助計算!$F$2:$F$801, 0)+1)), "")</f>
        <v/>
      </c>
      <c r="L190" s="16">
        <f>IFERROR(IF(AND(IFERROR(VLOOKUP(LEFT(INDEX(ERP資料!$S:$S, (MATCH(189, 輔助計算!$F$2:$F$801, 0)+1)), 4), 100張客戶!$A:$A, 1, FALSE), "")&lt;&gt;"", OR(INDEX(ERP資料!$F:$F, (MATCH(189, 輔助計算!$F$2:$F$801, 0)+1))=270, INDEX(ERP資料!$F:$F, (MATCH(189, 輔助計算!$F$2:$F$801, 0)+1))=300)), "100張", ""), "")</f>
        <v/>
      </c>
      <c r="M190" s="17" t="n"/>
      <c r="N190" s="17">
        <f>IF($F190="","",$F190)</f>
        <v/>
      </c>
      <c r="O190" s="17">
        <f>IF($G190="","",$G190)</f>
        <v/>
      </c>
      <c r="P190" s="17">
        <f>IF($K190="","",$K190)</f>
        <v/>
      </c>
      <c r="Q190" s="16" t="n"/>
      <c r="R190" s="18" t="n"/>
      <c r="S190" s="16" t="n"/>
    </row>
    <row r="191">
      <c r="A191" s="14">
        <f>IFERROR(IF(AND(IFERROR(INDEX(ERP資料!$A:$A, (MATCH(190, 輔助計算!$F$2:$F$801, 0)+1)), "")&lt;&gt;"", IFERROR(INDEX(ERP資料!$A:$A, (MATCH(190, 輔助計算!$F$2:$F$801, 0)+1)), "")&lt;&gt;IFERROR(INDEX(ERP資料!$A:$A, MATCH(189, 輔助計算!$F$2:$F$801, 0)+1), "")), INDEX(ERP資料!$B:$B, (MATCH(190, 輔助計算!$F$2:$F$801, 0)+1)), ""), "")</f>
        <v/>
      </c>
      <c r="B191" s="10">
        <f>IFERROR(IF(AND(IFERROR(INDEX(ERP資料!$A:$A, (MATCH(190, 輔助計算!$F$2:$F$801, 0)+1)), "")&lt;&gt;"", IFERROR(INDEX(ERP資料!$A:$A, (MATCH(190, 輔助計算!$F$2:$F$801, 0)+1)), "")&lt;&gt;IFERROR(INDEX(ERP資料!$A:$A, MATCH(189, 輔助計算!$F$2:$F$801, 0)+1), "")), IFERROR(INDEX(ERP資料!$A:$A, (MATCH(190, 輔助計算!$F$2:$F$801, 0)+1)), ""), ""), "")</f>
        <v/>
      </c>
      <c r="C191" s="10">
        <f>IFERROR(IF(AND(IFERROR(INDEX(ERP資料!$A:$A, (MATCH(190, 輔助計算!$F$2:$F$801, 0)+1)), "")&lt;&gt;"", IFERROR(INDEX(ERP資料!$A:$A, (MATCH(190, 輔助計算!$F$2:$F$801, 0)+1)), "")&lt;&gt;IFERROR(INDEX(ERP資料!$A:$A, MATCH(189, 輔助計算!$F$2:$F$801, 0)+1), "")), INDEX(ERP資料!$S:$S, (MATCH(190, 輔助計算!$F$2:$F$801, 0)+1)), ""), "")</f>
        <v/>
      </c>
      <c r="D191" s="10">
        <f>IFERROR(IF(INDEX(ERP資料!$E:$E, (MATCH(190, 輔助計算!$F$2:$F$801, 0)+1))="","",TRIM(INDEX(ERP資料!$E:$E, (MATCH(190, 輔助計算!$F$2:$F$801, 0)+1)))), "")</f>
        <v/>
      </c>
      <c r="E191" s="10">
        <f>IFERROR(IF(INDEX(ERP資料!$F:$F, (MATCH(190, 輔助計算!$F$2:$F$801, 0)+1))="","",INDEX(ERP資料!$F:$F, (MATCH(190, 輔助計算!$F$2:$F$801, 0)+1))), "")</f>
        <v/>
      </c>
      <c r="F191" s="10">
        <f>IFERROR(IF(INDEX(ERP資料!$G:$G, (MATCH(190, 輔助計算!$F$2:$F$801, 0)+1))="","",INDEX(ERP資料!$G:$G, (MATCH(190, 輔助計算!$F$2:$F$801, 0)+1))), "")</f>
        <v/>
      </c>
      <c r="G191" s="10">
        <f>IFERROR(IF(INDEX(ERP資料!$H:$H, (MATCH(190, 輔助計算!$F$2:$F$801, 0)+1))="","",INDEX(ERP資料!$H:$H, (MATCH(190, 輔助計算!$F$2:$F$801, 0)+1))), "")</f>
        <v/>
      </c>
      <c r="H191" s="10">
        <f>IFERROR(IF(INDEX(ERP資料!$O:$O, (MATCH(190, 輔助計算!$F$2:$F$801, 0)+1))="","",INDEX(ERP資料!$O:$O, (MATCH(190, 輔助計算!$F$2:$F$801, 0)+1))), "")</f>
        <v/>
      </c>
      <c r="I191" s="15">
        <f>IFERROR(IF(INDEX(輔助計算!$D:$D,(MATCH(190, 輔助計算!$F$2:$F$801, 0)+1))="","",INDEX(輔助計算!$D:$D,(MATCH(190, 輔助計算!$F$2:$F$801, 0)+1))*INDEX(ERP資料!$O:$O,(MATCH(190, 輔助計算!$F$2:$F$801, 0)+1))), "")</f>
        <v/>
      </c>
      <c r="J191" s="16" t="n"/>
      <c r="K191" s="15">
        <f>IFERROR(INDEX(輔助計算!$D:$D, (MATCH(190, 輔助計算!$F$2:$F$801, 0)+1)), "")</f>
        <v/>
      </c>
      <c r="L191" s="16">
        <f>IFERROR(IF(AND(IFERROR(VLOOKUP(LEFT(INDEX(ERP資料!$S:$S, (MATCH(190, 輔助計算!$F$2:$F$801, 0)+1)), 4), 100張客戶!$A:$A, 1, FALSE), "")&lt;&gt;"", OR(INDEX(ERP資料!$F:$F, (MATCH(190, 輔助計算!$F$2:$F$801, 0)+1))=270, INDEX(ERP資料!$F:$F, (MATCH(190, 輔助計算!$F$2:$F$801, 0)+1))=300)), "100張", ""), "")</f>
        <v/>
      </c>
      <c r="M191" s="17" t="n"/>
      <c r="N191" s="17">
        <f>IF($F191="","",$F191)</f>
        <v/>
      </c>
      <c r="O191" s="17">
        <f>IF($G191="","",$G191)</f>
        <v/>
      </c>
      <c r="P191" s="17">
        <f>IF($K191="","",$K191)</f>
        <v/>
      </c>
      <c r="Q191" s="16" t="n"/>
      <c r="R191" s="18" t="n"/>
      <c r="S191" s="16" t="n"/>
    </row>
    <row r="192">
      <c r="A192" s="14">
        <f>IFERROR(IF(AND(IFERROR(INDEX(ERP資料!$A:$A, (MATCH(191, 輔助計算!$F$2:$F$801, 0)+1)), "")&lt;&gt;"", IFERROR(INDEX(ERP資料!$A:$A, (MATCH(191, 輔助計算!$F$2:$F$801, 0)+1)), "")&lt;&gt;IFERROR(INDEX(ERP資料!$A:$A, MATCH(190, 輔助計算!$F$2:$F$801, 0)+1), "")), INDEX(ERP資料!$B:$B, (MATCH(191, 輔助計算!$F$2:$F$801, 0)+1)), ""), "")</f>
        <v/>
      </c>
      <c r="B192" s="10">
        <f>IFERROR(IF(AND(IFERROR(INDEX(ERP資料!$A:$A, (MATCH(191, 輔助計算!$F$2:$F$801, 0)+1)), "")&lt;&gt;"", IFERROR(INDEX(ERP資料!$A:$A, (MATCH(191, 輔助計算!$F$2:$F$801, 0)+1)), "")&lt;&gt;IFERROR(INDEX(ERP資料!$A:$A, MATCH(190, 輔助計算!$F$2:$F$801, 0)+1), "")), IFERROR(INDEX(ERP資料!$A:$A, (MATCH(191, 輔助計算!$F$2:$F$801, 0)+1)), ""), ""), "")</f>
        <v/>
      </c>
      <c r="C192" s="10">
        <f>IFERROR(IF(AND(IFERROR(INDEX(ERP資料!$A:$A, (MATCH(191, 輔助計算!$F$2:$F$801, 0)+1)), "")&lt;&gt;"", IFERROR(INDEX(ERP資料!$A:$A, (MATCH(191, 輔助計算!$F$2:$F$801, 0)+1)), "")&lt;&gt;IFERROR(INDEX(ERP資料!$A:$A, MATCH(190, 輔助計算!$F$2:$F$801, 0)+1), "")), INDEX(ERP資料!$S:$S, (MATCH(191, 輔助計算!$F$2:$F$801, 0)+1)), ""), "")</f>
        <v/>
      </c>
      <c r="D192" s="10">
        <f>IFERROR(IF(INDEX(ERP資料!$E:$E, (MATCH(191, 輔助計算!$F$2:$F$801, 0)+1))="","",TRIM(INDEX(ERP資料!$E:$E, (MATCH(191, 輔助計算!$F$2:$F$801, 0)+1)))), "")</f>
        <v/>
      </c>
      <c r="E192" s="10">
        <f>IFERROR(IF(INDEX(ERP資料!$F:$F, (MATCH(191, 輔助計算!$F$2:$F$801, 0)+1))="","",INDEX(ERP資料!$F:$F, (MATCH(191, 輔助計算!$F$2:$F$801, 0)+1))), "")</f>
        <v/>
      </c>
      <c r="F192" s="10">
        <f>IFERROR(IF(INDEX(ERP資料!$G:$G, (MATCH(191, 輔助計算!$F$2:$F$801, 0)+1))="","",INDEX(ERP資料!$G:$G, (MATCH(191, 輔助計算!$F$2:$F$801, 0)+1))), "")</f>
        <v/>
      </c>
      <c r="G192" s="10">
        <f>IFERROR(IF(INDEX(ERP資料!$H:$H, (MATCH(191, 輔助計算!$F$2:$F$801, 0)+1))="","",INDEX(ERP資料!$H:$H, (MATCH(191, 輔助計算!$F$2:$F$801, 0)+1))), "")</f>
        <v/>
      </c>
      <c r="H192" s="10">
        <f>IFERROR(IF(INDEX(ERP資料!$O:$O, (MATCH(191, 輔助計算!$F$2:$F$801, 0)+1))="","",INDEX(ERP資料!$O:$O, (MATCH(191, 輔助計算!$F$2:$F$801, 0)+1))), "")</f>
        <v/>
      </c>
      <c r="I192" s="15">
        <f>IFERROR(IF(INDEX(輔助計算!$D:$D,(MATCH(191, 輔助計算!$F$2:$F$801, 0)+1))="","",INDEX(輔助計算!$D:$D,(MATCH(191, 輔助計算!$F$2:$F$801, 0)+1))*INDEX(ERP資料!$O:$O,(MATCH(191, 輔助計算!$F$2:$F$801, 0)+1))), "")</f>
        <v/>
      </c>
      <c r="J192" s="16" t="n"/>
      <c r="K192" s="15">
        <f>IFERROR(INDEX(輔助計算!$D:$D, (MATCH(191, 輔助計算!$F$2:$F$801, 0)+1)), "")</f>
        <v/>
      </c>
      <c r="L192" s="16">
        <f>IFERROR(IF(AND(IFERROR(VLOOKUP(LEFT(INDEX(ERP資料!$S:$S, (MATCH(191, 輔助計算!$F$2:$F$801, 0)+1)), 4), 100張客戶!$A:$A, 1, FALSE), "")&lt;&gt;"", OR(INDEX(ERP資料!$F:$F, (MATCH(191, 輔助計算!$F$2:$F$801, 0)+1))=270, INDEX(ERP資料!$F:$F, (MATCH(191, 輔助計算!$F$2:$F$801, 0)+1))=300)), "100張", ""), "")</f>
        <v/>
      </c>
      <c r="M192" s="17" t="n"/>
      <c r="N192" s="17">
        <f>IF($F192="","",$F192)</f>
        <v/>
      </c>
      <c r="O192" s="17">
        <f>IF($G192="","",$G192)</f>
        <v/>
      </c>
      <c r="P192" s="17">
        <f>IF($K192="","",$K192)</f>
        <v/>
      </c>
      <c r="Q192" s="16" t="n"/>
      <c r="R192" s="18" t="n"/>
      <c r="S192" s="16" t="n"/>
    </row>
    <row r="193">
      <c r="A193" s="14">
        <f>IFERROR(IF(AND(IFERROR(INDEX(ERP資料!$A:$A, (MATCH(192, 輔助計算!$F$2:$F$801, 0)+1)), "")&lt;&gt;"", IFERROR(INDEX(ERP資料!$A:$A, (MATCH(192, 輔助計算!$F$2:$F$801, 0)+1)), "")&lt;&gt;IFERROR(INDEX(ERP資料!$A:$A, MATCH(191, 輔助計算!$F$2:$F$801, 0)+1), "")), INDEX(ERP資料!$B:$B, (MATCH(192, 輔助計算!$F$2:$F$801, 0)+1)), ""), "")</f>
        <v/>
      </c>
      <c r="B193" s="10">
        <f>IFERROR(IF(AND(IFERROR(INDEX(ERP資料!$A:$A, (MATCH(192, 輔助計算!$F$2:$F$801, 0)+1)), "")&lt;&gt;"", IFERROR(INDEX(ERP資料!$A:$A, (MATCH(192, 輔助計算!$F$2:$F$801, 0)+1)), "")&lt;&gt;IFERROR(INDEX(ERP資料!$A:$A, MATCH(191, 輔助計算!$F$2:$F$801, 0)+1), "")), IFERROR(INDEX(ERP資料!$A:$A, (MATCH(192, 輔助計算!$F$2:$F$801, 0)+1)), ""), ""), "")</f>
        <v/>
      </c>
      <c r="C193" s="10">
        <f>IFERROR(IF(AND(IFERROR(INDEX(ERP資料!$A:$A, (MATCH(192, 輔助計算!$F$2:$F$801, 0)+1)), "")&lt;&gt;"", IFERROR(INDEX(ERP資料!$A:$A, (MATCH(192, 輔助計算!$F$2:$F$801, 0)+1)), "")&lt;&gt;IFERROR(INDEX(ERP資料!$A:$A, MATCH(191, 輔助計算!$F$2:$F$801, 0)+1), "")), INDEX(ERP資料!$S:$S, (MATCH(192, 輔助計算!$F$2:$F$801, 0)+1)), ""), "")</f>
        <v/>
      </c>
      <c r="D193" s="10">
        <f>IFERROR(IF(INDEX(ERP資料!$E:$E, (MATCH(192, 輔助計算!$F$2:$F$801, 0)+1))="","",TRIM(INDEX(ERP資料!$E:$E, (MATCH(192, 輔助計算!$F$2:$F$801, 0)+1)))), "")</f>
        <v/>
      </c>
      <c r="E193" s="10">
        <f>IFERROR(IF(INDEX(ERP資料!$F:$F, (MATCH(192, 輔助計算!$F$2:$F$801, 0)+1))="","",INDEX(ERP資料!$F:$F, (MATCH(192, 輔助計算!$F$2:$F$801, 0)+1))), "")</f>
        <v/>
      </c>
      <c r="F193" s="10">
        <f>IFERROR(IF(INDEX(ERP資料!$G:$G, (MATCH(192, 輔助計算!$F$2:$F$801, 0)+1))="","",INDEX(ERP資料!$G:$G, (MATCH(192, 輔助計算!$F$2:$F$801, 0)+1))), "")</f>
        <v/>
      </c>
      <c r="G193" s="10">
        <f>IFERROR(IF(INDEX(ERP資料!$H:$H, (MATCH(192, 輔助計算!$F$2:$F$801, 0)+1))="","",INDEX(ERP資料!$H:$H, (MATCH(192, 輔助計算!$F$2:$F$801, 0)+1))), "")</f>
        <v/>
      </c>
      <c r="H193" s="10">
        <f>IFERROR(IF(INDEX(ERP資料!$O:$O, (MATCH(192, 輔助計算!$F$2:$F$801, 0)+1))="","",INDEX(ERP資料!$O:$O, (MATCH(192, 輔助計算!$F$2:$F$801, 0)+1))), "")</f>
        <v/>
      </c>
      <c r="I193" s="15">
        <f>IFERROR(IF(INDEX(輔助計算!$D:$D,(MATCH(192, 輔助計算!$F$2:$F$801, 0)+1))="","",INDEX(輔助計算!$D:$D,(MATCH(192, 輔助計算!$F$2:$F$801, 0)+1))*INDEX(ERP資料!$O:$O,(MATCH(192, 輔助計算!$F$2:$F$801, 0)+1))), "")</f>
        <v/>
      </c>
      <c r="J193" s="16" t="n"/>
      <c r="K193" s="15">
        <f>IFERROR(INDEX(輔助計算!$D:$D, (MATCH(192, 輔助計算!$F$2:$F$801, 0)+1)), "")</f>
        <v/>
      </c>
      <c r="L193" s="16">
        <f>IFERROR(IF(AND(IFERROR(VLOOKUP(LEFT(INDEX(ERP資料!$S:$S, (MATCH(192, 輔助計算!$F$2:$F$801, 0)+1)), 4), 100張客戶!$A:$A, 1, FALSE), "")&lt;&gt;"", OR(INDEX(ERP資料!$F:$F, (MATCH(192, 輔助計算!$F$2:$F$801, 0)+1))=270, INDEX(ERP資料!$F:$F, (MATCH(192, 輔助計算!$F$2:$F$801, 0)+1))=300)), "100張", ""), "")</f>
        <v/>
      </c>
      <c r="M193" s="17" t="n"/>
      <c r="N193" s="17">
        <f>IF($F193="","",$F193)</f>
        <v/>
      </c>
      <c r="O193" s="17">
        <f>IF($G193="","",$G193)</f>
        <v/>
      </c>
      <c r="P193" s="17">
        <f>IF($K193="","",$K193)</f>
        <v/>
      </c>
      <c r="Q193" s="16" t="n"/>
      <c r="R193" s="18" t="n"/>
      <c r="S193" s="16" t="n"/>
    </row>
    <row r="194">
      <c r="A194" s="14">
        <f>IFERROR(IF(AND(IFERROR(INDEX(ERP資料!$A:$A, (MATCH(193, 輔助計算!$F$2:$F$801, 0)+1)), "")&lt;&gt;"", IFERROR(INDEX(ERP資料!$A:$A, (MATCH(193, 輔助計算!$F$2:$F$801, 0)+1)), "")&lt;&gt;IFERROR(INDEX(ERP資料!$A:$A, MATCH(192, 輔助計算!$F$2:$F$801, 0)+1), "")), INDEX(ERP資料!$B:$B, (MATCH(193, 輔助計算!$F$2:$F$801, 0)+1)), ""), "")</f>
        <v/>
      </c>
      <c r="B194" s="10">
        <f>IFERROR(IF(AND(IFERROR(INDEX(ERP資料!$A:$A, (MATCH(193, 輔助計算!$F$2:$F$801, 0)+1)), "")&lt;&gt;"", IFERROR(INDEX(ERP資料!$A:$A, (MATCH(193, 輔助計算!$F$2:$F$801, 0)+1)), "")&lt;&gt;IFERROR(INDEX(ERP資料!$A:$A, MATCH(192, 輔助計算!$F$2:$F$801, 0)+1), "")), IFERROR(INDEX(ERP資料!$A:$A, (MATCH(193, 輔助計算!$F$2:$F$801, 0)+1)), ""), ""), "")</f>
        <v/>
      </c>
      <c r="C194" s="10">
        <f>IFERROR(IF(AND(IFERROR(INDEX(ERP資料!$A:$A, (MATCH(193, 輔助計算!$F$2:$F$801, 0)+1)), "")&lt;&gt;"", IFERROR(INDEX(ERP資料!$A:$A, (MATCH(193, 輔助計算!$F$2:$F$801, 0)+1)), "")&lt;&gt;IFERROR(INDEX(ERP資料!$A:$A, MATCH(192, 輔助計算!$F$2:$F$801, 0)+1), "")), INDEX(ERP資料!$S:$S, (MATCH(193, 輔助計算!$F$2:$F$801, 0)+1)), ""), "")</f>
        <v/>
      </c>
      <c r="D194" s="10">
        <f>IFERROR(IF(INDEX(ERP資料!$E:$E, (MATCH(193, 輔助計算!$F$2:$F$801, 0)+1))="","",TRIM(INDEX(ERP資料!$E:$E, (MATCH(193, 輔助計算!$F$2:$F$801, 0)+1)))), "")</f>
        <v/>
      </c>
      <c r="E194" s="10">
        <f>IFERROR(IF(INDEX(ERP資料!$F:$F, (MATCH(193, 輔助計算!$F$2:$F$801, 0)+1))="","",INDEX(ERP資料!$F:$F, (MATCH(193, 輔助計算!$F$2:$F$801, 0)+1))), "")</f>
        <v/>
      </c>
      <c r="F194" s="10">
        <f>IFERROR(IF(INDEX(ERP資料!$G:$G, (MATCH(193, 輔助計算!$F$2:$F$801, 0)+1))="","",INDEX(ERP資料!$G:$G, (MATCH(193, 輔助計算!$F$2:$F$801, 0)+1))), "")</f>
        <v/>
      </c>
      <c r="G194" s="10">
        <f>IFERROR(IF(INDEX(ERP資料!$H:$H, (MATCH(193, 輔助計算!$F$2:$F$801, 0)+1))="","",INDEX(ERP資料!$H:$H, (MATCH(193, 輔助計算!$F$2:$F$801, 0)+1))), "")</f>
        <v/>
      </c>
      <c r="H194" s="10">
        <f>IFERROR(IF(INDEX(ERP資料!$O:$O, (MATCH(193, 輔助計算!$F$2:$F$801, 0)+1))="","",INDEX(ERP資料!$O:$O, (MATCH(193, 輔助計算!$F$2:$F$801, 0)+1))), "")</f>
        <v/>
      </c>
      <c r="I194" s="15">
        <f>IFERROR(IF(INDEX(輔助計算!$D:$D,(MATCH(193, 輔助計算!$F$2:$F$801, 0)+1))="","",INDEX(輔助計算!$D:$D,(MATCH(193, 輔助計算!$F$2:$F$801, 0)+1))*INDEX(ERP資料!$O:$O,(MATCH(193, 輔助計算!$F$2:$F$801, 0)+1))), "")</f>
        <v/>
      </c>
      <c r="J194" s="16" t="n"/>
      <c r="K194" s="15">
        <f>IFERROR(INDEX(輔助計算!$D:$D, (MATCH(193, 輔助計算!$F$2:$F$801, 0)+1)), "")</f>
        <v/>
      </c>
      <c r="L194" s="16">
        <f>IFERROR(IF(AND(IFERROR(VLOOKUP(LEFT(INDEX(ERP資料!$S:$S, (MATCH(193, 輔助計算!$F$2:$F$801, 0)+1)), 4), 100張客戶!$A:$A, 1, FALSE), "")&lt;&gt;"", OR(INDEX(ERP資料!$F:$F, (MATCH(193, 輔助計算!$F$2:$F$801, 0)+1))=270, INDEX(ERP資料!$F:$F, (MATCH(193, 輔助計算!$F$2:$F$801, 0)+1))=300)), "100張", ""), "")</f>
        <v/>
      </c>
      <c r="M194" s="17" t="n"/>
      <c r="N194" s="17">
        <f>IF($F194="","",$F194)</f>
        <v/>
      </c>
      <c r="O194" s="17">
        <f>IF($G194="","",$G194)</f>
        <v/>
      </c>
      <c r="P194" s="17">
        <f>IF($K194="","",$K194)</f>
        <v/>
      </c>
      <c r="Q194" s="16" t="n"/>
      <c r="R194" s="18" t="n"/>
      <c r="S194" s="16" t="n"/>
    </row>
    <row r="195">
      <c r="A195" s="14">
        <f>IFERROR(IF(AND(IFERROR(INDEX(ERP資料!$A:$A, (MATCH(194, 輔助計算!$F$2:$F$801, 0)+1)), "")&lt;&gt;"", IFERROR(INDEX(ERP資料!$A:$A, (MATCH(194, 輔助計算!$F$2:$F$801, 0)+1)), "")&lt;&gt;IFERROR(INDEX(ERP資料!$A:$A, MATCH(193, 輔助計算!$F$2:$F$801, 0)+1), "")), INDEX(ERP資料!$B:$B, (MATCH(194, 輔助計算!$F$2:$F$801, 0)+1)), ""), "")</f>
        <v/>
      </c>
      <c r="B195" s="10">
        <f>IFERROR(IF(AND(IFERROR(INDEX(ERP資料!$A:$A, (MATCH(194, 輔助計算!$F$2:$F$801, 0)+1)), "")&lt;&gt;"", IFERROR(INDEX(ERP資料!$A:$A, (MATCH(194, 輔助計算!$F$2:$F$801, 0)+1)), "")&lt;&gt;IFERROR(INDEX(ERP資料!$A:$A, MATCH(193, 輔助計算!$F$2:$F$801, 0)+1), "")), IFERROR(INDEX(ERP資料!$A:$A, (MATCH(194, 輔助計算!$F$2:$F$801, 0)+1)), ""), ""), "")</f>
        <v/>
      </c>
      <c r="C195" s="10">
        <f>IFERROR(IF(AND(IFERROR(INDEX(ERP資料!$A:$A, (MATCH(194, 輔助計算!$F$2:$F$801, 0)+1)), "")&lt;&gt;"", IFERROR(INDEX(ERP資料!$A:$A, (MATCH(194, 輔助計算!$F$2:$F$801, 0)+1)), "")&lt;&gt;IFERROR(INDEX(ERP資料!$A:$A, MATCH(193, 輔助計算!$F$2:$F$801, 0)+1), "")), INDEX(ERP資料!$S:$S, (MATCH(194, 輔助計算!$F$2:$F$801, 0)+1)), ""), "")</f>
        <v/>
      </c>
      <c r="D195" s="10">
        <f>IFERROR(IF(INDEX(ERP資料!$E:$E, (MATCH(194, 輔助計算!$F$2:$F$801, 0)+1))="","",TRIM(INDEX(ERP資料!$E:$E, (MATCH(194, 輔助計算!$F$2:$F$801, 0)+1)))), "")</f>
        <v/>
      </c>
      <c r="E195" s="10">
        <f>IFERROR(IF(INDEX(ERP資料!$F:$F, (MATCH(194, 輔助計算!$F$2:$F$801, 0)+1))="","",INDEX(ERP資料!$F:$F, (MATCH(194, 輔助計算!$F$2:$F$801, 0)+1))), "")</f>
        <v/>
      </c>
      <c r="F195" s="10">
        <f>IFERROR(IF(INDEX(ERP資料!$G:$G, (MATCH(194, 輔助計算!$F$2:$F$801, 0)+1))="","",INDEX(ERP資料!$G:$G, (MATCH(194, 輔助計算!$F$2:$F$801, 0)+1))), "")</f>
        <v/>
      </c>
      <c r="G195" s="10">
        <f>IFERROR(IF(INDEX(ERP資料!$H:$H, (MATCH(194, 輔助計算!$F$2:$F$801, 0)+1))="","",INDEX(ERP資料!$H:$H, (MATCH(194, 輔助計算!$F$2:$F$801, 0)+1))), "")</f>
        <v/>
      </c>
      <c r="H195" s="10">
        <f>IFERROR(IF(INDEX(ERP資料!$O:$O, (MATCH(194, 輔助計算!$F$2:$F$801, 0)+1))="","",INDEX(ERP資料!$O:$O, (MATCH(194, 輔助計算!$F$2:$F$801, 0)+1))), "")</f>
        <v/>
      </c>
      <c r="I195" s="15">
        <f>IFERROR(IF(INDEX(輔助計算!$D:$D,(MATCH(194, 輔助計算!$F$2:$F$801, 0)+1))="","",INDEX(輔助計算!$D:$D,(MATCH(194, 輔助計算!$F$2:$F$801, 0)+1))*INDEX(ERP資料!$O:$O,(MATCH(194, 輔助計算!$F$2:$F$801, 0)+1))), "")</f>
        <v/>
      </c>
      <c r="J195" s="16" t="n"/>
      <c r="K195" s="15">
        <f>IFERROR(INDEX(輔助計算!$D:$D, (MATCH(194, 輔助計算!$F$2:$F$801, 0)+1)), "")</f>
        <v/>
      </c>
      <c r="L195" s="16">
        <f>IFERROR(IF(AND(IFERROR(VLOOKUP(LEFT(INDEX(ERP資料!$S:$S, (MATCH(194, 輔助計算!$F$2:$F$801, 0)+1)), 4), 100張客戶!$A:$A, 1, FALSE), "")&lt;&gt;"", OR(INDEX(ERP資料!$F:$F, (MATCH(194, 輔助計算!$F$2:$F$801, 0)+1))=270, INDEX(ERP資料!$F:$F, (MATCH(194, 輔助計算!$F$2:$F$801, 0)+1))=300)), "100張", ""), "")</f>
        <v/>
      </c>
      <c r="M195" s="17" t="n"/>
      <c r="N195" s="17">
        <f>IF($F195="","",$F195)</f>
        <v/>
      </c>
      <c r="O195" s="17">
        <f>IF($G195="","",$G195)</f>
        <v/>
      </c>
      <c r="P195" s="17">
        <f>IF($K195="","",$K195)</f>
        <v/>
      </c>
      <c r="Q195" s="16" t="n"/>
      <c r="R195" s="18" t="n"/>
      <c r="S195" s="16" t="n"/>
    </row>
    <row r="196">
      <c r="A196" s="14">
        <f>IFERROR(IF(AND(IFERROR(INDEX(ERP資料!$A:$A, (MATCH(195, 輔助計算!$F$2:$F$801, 0)+1)), "")&lt;&gt;"", IFERROR(INDEX(ERP資料!$A:$A, (MATCH(195, 輔助計算!$F$2:$F$801, 0)+1)), "")&lt;&gt;IFERROR(INDEX(ERP資料!$A:$A, MATCH(194, 輔助計算!$F$2:$F$801, 0)+1), "")), INDEX(ERP資料!$B:$B, (MATCH(195, 輔助計算!$F$2:$F$801, 0)+1)), ""), "")</f>
        <v/>
      </c>
      <c r="B196" s="10">
        <f>IFERROR(IF(AND(IFERROR(INDEX(ERP資料!$A:$A, (MATCH(195, 輔助計算!$F$2:$F$801, 0)+1)), "")&lt;&gt;"", IFERROR(INDEX(ERP資料!$A:$A, (MATCH(195, 輔助計算!$F$2:$F$801, 0)+1)), "")&lt;&gt;IFERROR(INDEX(ERP資料!$A:$A, MATCH(194, 輔助計算!$F$2:$F$801, 0)+1), "")), IFERROR(INDEX(ERP資料!$A:$A, (MATCH(195, 輔助計算!$F$2:$F$801, 0)+1)), ""), ""), "")</f>
        <v/>
      </c>
      <c r="C196" s="10">
        <f>IFERROR(IF(AND(IFERROR(INDEX(ERP資料!$A:$A, (MATCH(195, 輔助計算!$F$2:$F$801, 0)+1)), "")&lt;&gt;"", IFERROR(INDEX(ERP資料!$A:$A, (MATCH(195, 輔助計算!$F$2:$F$801, 0)+1)), "")&lt;&gt;IFERROR(INDEX(ERP資料!$A:$A, MATCH(194, 輔助計算!$F$2:$F$801, 0)+1), "")), INDEX(ERP資料!$S:$S, (MATCH(195, 輔助計算!$F$2:$F$801, 0)+1)), ""), "")</f>
        <v/>
      </c>
      <c r="D196" s="10">
        <f>IFERROR(IF(INDEX(ERP資料!$E:$E, (MATCH(195, 輔助計算!$F$2:$F$801, 0)+1))="","",TRIM(INDEX(ERP資料!$E:$E, (MATCH(195, 輔助計算!$F$2:$F$801, 0)+1)))), "")</f>
        <v/>
      </c>
      <c r="E196" s="10">
        <f>IFERROR(IF(INDEX(ERP資料!$F:$F, (MATCH(195, 輔助計算!$F$2:$F$801, 0)+1))="","",INDEX(ERP資料!$F:$F, (MATCH(195, 輔助計算!$F$2:$F$801, 0)+1))), "")</f>
        <v/>
      </c>
      <c r="F196" s="10">
        <f>IFERROR(IF(INDEX(ERP資料!$G:$G, (MATCH(195, 輔助計算!$F$2:$F$801, 0)+1))="","",INDEX(ERP資料!$G:$G, (MATCH(195, 輔助計算!$F$2:$F$801, 0)+1))), "")</f>
        <v/>
      </c>
      <c r="G196" s="10">
        <f>IFERROR(IF(INDEX(ERP資料!$H:$H, (MATCH(195, 輔助計算!$F$2:$F$801, 0)+1))="","",INDEX(ERP資料!$H:$H, (MATCH(195, 輔助計算!$F$2:$F$801, 0)+1))), "")</f>
        <v/>
      </c>
      <c r="H196" s="10">
        <f>IFERROR(IF(INDEX(ERP資料!$O:$O, (MATCH(195, 輔助計算!$F$2:$F$801, 0)+1))="","",INDEX(ERP資料!$O:$O, (MATCH(195, 輔助計算!$F$2:$F$801, 0)+1))), "")</f>
        <v/>
      </c>
      <c r="I196" s="15">
        <f>IFERROR(IF(INDEX(輔助計算!$D:$D,(MATCH(195, 輔助計算!$F$2:$F$801, 0)+1))="","",INDEX(輔助計算!$D:$D,(MATCH(195, 輔助計算!$F$2:$F$801, 0)+1))*INDEX(ERP資料!$O:$O,(MATCH(195, 輔助計算!$F$2:$F$801, 0)+1))), "")</f>
        <v/>
      </c>
      <c r="J196" s="16" t="n"/>
      <c r="K196" s="15">
        <f>IFERROR(INDEX(輔助計算!$D:$D, (MATCH(195, 輔助計算!$F$2:$F$801, 0)+1)), "")</f>
        <v/>
      </c>
      <c r="L196" s="16">
        <f>IFERROR(IF(AND(IFERROR(VLOOKUP(LEFT(INDEX(ERP資料!$S:$S, (MATCH(195, 輔助計算!$F$2:$F$801, 0)+1)), 4), 100張客戶!$A:$A, 1, FALSE), "")&lt;&gt;"", OR(INDEX(ERP資料!$F:$F, (MATCH(195, 輔助計算!$F$2:$F$801, 0)+1))=270, INDEX(ERP資料!$F:$F, (MATCH(195, 輔助計算!$F$2:$F$801, 0)+1))=300)), "100張", ""), "")</f>
        <v/>
      </c>
      <c r="M196" s="17" t="n"/>
      <c r="N196" s="17">
        <f>IF($F196="","",$F196)</f>
        <v/>
      </c>
      <c r="O196" s="17">
        <f>IF($G196="","",$G196)</f>
        <v/>
      </c>
      <c r="P196" s="17">
        <f>IF($K196="","",$K196)</f>
        <v/>
      </c>
      <c r="Q196" s="16" t="n"/>
      <c r="R196" s="18" t="n"/>
      <c r="S196" s="16" t="n"/>
    </row>
    <row r="197">
      <c r="A197" s="14">
        <f>IFERROR(IF(AND(IFERROR(INDEX(ERP資料!$A:$A, (MATCH(196, 輔助計算!$F$2:$F$801, 0)+1)), "")&lt;&gt;"", IFERROR(INDEX(ERP資料!$A:$A, (MATCH(196, 輔助計算!$F$2:$F$801, 0)+1)), "")&lt;&gt;IFERROR(INDEX(ERP資料!$A:$A, MATCH(195, 輔助計算!$F$2:$F$801, 0)+1), "")), INDEX(ERP資料!$B:$B, (MATCH(196, 輔助計算!$F$2:$F$801, 0)+1)), ""), "")</f>
        <v/>
      </c>
      <c r="B197" s="10">
        <f>IFERROR(IF(AND(IFERROR(INDEX(ERP資料!$A:$A, (MATCH(196, 輔助計算!$F$2:$F$801, 0)+1)), "")&lt;&gt;"", IFERROR(INDEX(ERP資料!$A:$A, (MATCH(196, 輔助計算!$F$2:$F$801, 0)+1)), "")&lt;&gt;IFERROR(INDEX(ERP資料!$A:$A, MATCH(195, 輔助計算!$F$2:$F$801, 0)+1), "")), IFERROR(INDEX(ERP資料!$A:$A, (MATCH(196, 輔助計算!$F$2:$F$801, 0)+1)), ""), ""), "")</f>
        <v/>
      </c>
      <c r="C197" s="10">
        <f>IFERROR(IF(AND(IFERROR(INDEX(ERP資料!$A:$A, (MATCH(196, 輔助計算!$F$2:$F$801, 0)+1)), "")&lt;&gt;"", IFERROR(INDEX(ERP資料!$A:$A, (MATCH(196, 輔助計算!$F$2:$F$801, 0)+1)), "")&lt;&gt;IFERROR(INDEX(ERP資料!$A:$A, MATCH(195, 輔助計算!$F$2:$F$801, 0)+1), "")), INDEX(ERP資料!$S:$S, (MATCH(196, 輔助計算!$F$2:$F$801, 0)+1)), ""), "")</f>
        <v/>
      </c>
      <c r="D197" s="10">
        <f>IFERROR(IF(INDEX(ERP資料!$E:$E, (MATCH(196, 輔助計算!$F$2:$F$801, 0)+1))="","",TRIM(INDEX(ERP資料!$E:$E, (MATCH(196, 輔助計算!$F$2:$F$801, 0)+1)))), "")</f>
        <v/>
      </c>
      <c r="E197" s="10">
        <f>IFERROR(IF(INDEX(ERP資料!$F:$F, (MATCH(196, 輔助計算!$F$2:$F$801, 0)+1))="","",INDEX(ERP資料!$F:$F, (MATCH(196, 輔助計算!$F$2:$F$801, 0)+1))), "")</f>
        <v/>
      </c>
      <c r="F197" s="10">
        <f>IFERROR(IF(INDEX(ERP資料!$G:$G, (MATCH(196, 輔助計算!$F$2:$F$801, 0)+1))="","",INDEX(ERP資料!$G:$G, (MATCH(196, 輔助計算!$F$2:$F$801, 0)+1))), "")</f>
        <v/>
      </c>
      <c r="G197" s="10">
        <f>IFERROR(IF(INDEX(ERP資料!$H:$H, (MATCH(196, 輔助計算!$F$2:$F$801, 0)+1))="","",INDEX(ERP資料!$H:$H, (MATCH(196, 輔助計算!$F$2:$F$801, 0)+1))), "")</f>
        <v/>
      </c>
      <c r="H197" s="10">
        <f>IFERROR(IF(INDEX(ERP資料!$O:$O, (MATCH(196, 輔助計算!$F$2:$F$801, 0)+1))="","",INDEX(ERP資料!$O:$O, (MATCH(196, 輔助計算!$F$2:$F$801, 0)+1))), "")</f>
        <v/>
      </c>
      <c r="I197" s="15">
        <f>IFERROR(IF(INDEX(輔助計算!$D:$D,(MATCH(196, 輔助計算!$F$2:$F$801, 0)+1))="","",INDEX(輔助計算!$D:$D,(MATCH(196, 輔助計算!$F$2:$F$801, 0)+1))*INDEX(ERP資料!$O:$O,(MATCH(196, 輔助計算!$F$2:$F$801, 0)+1))), "")</f>
        <v/>
      </c>
      <c r="J197" s="16" t="n"/>
      <c r="K197" s="15">
        <f>IFERROR(INDEX(輔助計算!$D:$D, (MATCH(196, 輔助計算!$F$2:$F$801, 0)+1)), "")</f>
        <v/>
      </c>
      <c r="L197" s="16">
        <f>IFERROR(IF(AND(IFERROR(VLOOKUP(LEFT(INDEX(ERP資料!$S:$S, (MATCH(196, 輔助計算!$F$2:$F$801, 0)+1)), 4), 100張客戶!$A:$A, 1, FALSE), "")&lt;&gt;"", OR(INDEX(ERP資料!$F:$F, (MATCH(196, 輔助計算!$F$2:$F$801, 0)+1))=270, INDEX(ERP資料!$F:$F, (MATCH(196, 輔助計算!$F$2:$F$801, 0)+1))=300)), "100張", ""), "")</f>
        <v/>
      </c>
      <c r="M197" s="17" t="n"/>
      <c r="N197" s="17">
        <f>IF($F197="","",$F197)</f>
        <v/>
      </c>
      <c r="O197" s="17">
        <f>IF($G197="","",$G197)</f>
        <v/>
      </c>
      <c r="P197" s="17">
        <f>IF($K197="","",$K197)</f>
        <v/>
      </c>
      <c r="Q197" s="16" t="n"/>
      <c r="R197" s="18" t="n"/>
      <c r="S197" s="16" t="n"/>
    </row>
    <row r="198">
      <c r="A198" s="14">
        <f>IFERROR(IF(AND(IFERROR(INDEX(ERP資料!$A:$A, (MATCH(197, 輔助計算!$F$2:$F$801, 0)+1)), "")&lt;&gt;"", IFERROR(INDEX(ERP資料!$A:$A, (MATCH(197, 輔助計算!$F$2:$F$801, 0)+1)), "")&lt;&gt;IFERROR(INDEX(ERP資料!$A:$A, MATCH(196, 輔助計算!$F$2:$F$801, 0)+1), "")), INDEX(ERP資料!$B:$B, (MATCH(197, 輔助計算!$F$2:$F$801, 0)+1)), ""), "")</f>
        <v/>
      </c>
      <c r="B198" s="10">
        <f>IFERROR(IF(AND(IFERROR(INDEX(ERP資料!$A:$A, (MATCH(197, 輔助計算!$F$2:$F$801, 0)+1)), "")&lt;&gt;"", IFERROR(INDEX(ERP資料!$A:$A, (MATCH(197, 輔助計算!$F$2:$F$801, 0)+1)), "")&lt;&gt;IFERROR(INDEX(ERP資料!$A:$A, MATCH(196, 輔助計算!$F$2:$F$801, 0)+1), "")), IFERROR(INDEX(ERP資料!$A:$A, (MATCH(197, 輔助計算!$F$2:$F$801, 0)+1)), ""), ""), "")</f>
        <v/>
      </c>
      <c r="C198" s="10">
        <f>IFERROR(IF(AND(IFERROR(INDEX(ERP資料!$A:$A, (MATCH(197, 輔助計算!$F$2:$F$801, 0)+1)), "")&lt;&gt;"", IFERROR(INDEX(ERP資料!$A:$A, (MATCH(197, 輔助計算!$F$2:$F$801, 0)+1)), "")&lt;&gt;IFERROR(INDEX(ERP資料!$A:$A, MATCH(196, 輔助計算!$F$2:$F$801, 0)+1), "")), INDEX(ERP資料!$S:$S, (MATCH(197, 輔助計算!$F$2:$F$801, 0)+1)), ""), "")</f>
        <v/>
      </c>
      <c r="D198" s="10">
        <f>IFERROR(IF(INDEX(ERP資料!$E:$E, (MATCH(197, 輔助計算!$F$2:$F$801, 0)+1))="","",TRIM(INDEX(ERP資料!$E:$E, (MATCH(197, 輔助計算!$F$2:$F$801, 0)+1)))), "")</f>
        <v/>
      </c>
      <c r="E198" s="10">
        <f>IFERROR(IF(INDEX(ERP資料!$F:$F, (MATCH(197, 輔助計算!$F$2:$F$801, 0)+1))="","",INDEX(ERP資料!$F:$F, (MATCH(197, 輔助計算!$F$2:$F$801, 0)+1))), "")</f>
        <v/>
      </c>
      <c r="F198" s="10">
        <f>IFERROR(IF(INDEX(ERP資料!$G:$G, (MATCH(197, 輔助計算!$F$2:$F$801, 0)+1))="","",INDEX(ERP資料!$G:$G, (MATCH(197, 輔助計算!$F$2:$F$801, 0)+1))), "")</f>
        <v/>
      </c>
      <c r="G198" s="10">
        <f>IFERROR(IF(INDEX(ERP資料!$H:$H, (MATCH(197, 輔助計算!$F$2:$F$801, 0)+1))="","",INDEX(ERP資料!$H:$H, (MATCH(197, 輔助計算!$F$2:$F$801, 0)+1))), "")</f>
        <v/>
      </c>
      <c r="H198" s="10">
        <f>IFERROR(IF(INDEX(ERP資料!$O:$O, (MATCH(197, 輔助計算!$F$2:$F$801, 0)+1))="","",INDEX(ERP資料!$O:$O, (MATCH(197, 輔助計算!$F$2:$F$801, 0)+1))), "")</f>
        <v/>
      </c>
      <c r="I198" s="15">
        <f>IFERROR(IF(INDEX(輔助計算!$D:$D,(MATCH(197, 輔助計算!$F$2:$F$801, 0)+1))="","",INDEX(輔助計算!$D:$D,(MATCH(197, 輔助計算!$F$2:$F$801, 0)+1))*INDEX(ERP資料!$O:$O,(MATCH(197, 輔助計算!$F$2:$F$801, 0)+1))), "")</f>
        <v/>
      </c>
      <c r="J198" s="16" t="n"/>
      <c r="K198" s="15">
        <f>IFERROR(INDEX(輔助計算!$D:$D, (MATCH(197, 輔助計算!$F$2:$F$801, 0)+1)), "")</f>
        <v/>
      </c>
      <c r="L198" s="16">
        <f>IFERROR(IF(AND(IFERROR(VLOOKUP(LEFT(INDEX(ERP資料!$S:$S, (MATCH(197, 輔助計算!$F$2:$F$801, 0)+1)), 4), 100張客戶!$A:$A, 1, FALSE), "")&lt;&gt;"", OR(INDEX(ERP資料!$F:$F, (MATCH(197, 輔助計算!$F$2:$F$801, 0)+1))=270, INDEX(ERP資料!$F:$F, (MATCH(197, 輔助計算!$F$2:$F$801, 0)+1))=300)), "100張", ""), "")</f>
        <v/>
      </c>
      <c r="M198" s="17" t="n"/>
      <c r="N198" s="17">
        <f>IF($F198="","",$F198)</f>
        <v/>
      </c>
      <c r="O198" s="17">
        <f>IF($G198="","",$G198)</f>
        <v/>
      </c>
      <c r="P198" s="17">
        <f>IF($K198="","",$K198)</f>
        <v/>
      </c>
      <c r="Q198" s="16" t="n"/>
      <c r="R198" s="18" t="n"/>
      <c r="S198" s="16" t="n"/>
    </row>
    <row r="199">
      <c r="A199" s="14">
        <f>IFERROR(IF(AND(IFERROR(INDEX(ERP資料!$A:$A, (MATCH(198, 輔助計算!$F$2:$F$801, 0)+1)), "")&lt;&gt;"", IFERROR(INDEX(ERP資料!$A:$A, (MATCH(198, 輔助計算!$F$2:$F$801, 0)+1)), "")&lt;&gt;IFERROR(INDEX(ERP資料!$A:$A, MATCH(197, 輔助計算!$F$2:$F$801, 0)+1), "")), INDEX(ERP資料!$B:$B, (MATCH(198, 輔助計算!$F$2:$F$801, 0)+1)), ""), "")</f>
        <v/>
      </c>
      <c r="B199" s="10">
        <f>IFERROR(IF(AND(IFERROR(INDEX(ERP資料!$A:$A, (MATCH(198, 輔助計算!$F$2:$F$801, 0)+1)), "")&lt;&gt;"", IFERROR(INDEX(ERP資料!$A:$A, (MATCH(198, 輔助計算!$F$2:$F$801, 0)+1)), "")&lt;&gt;IFERROR(INDEX(ERP資料!$A:$A, MATCH(197, 輔助計算!$F$2:$F$801, 0)+1), "")), IFERROR(INDEX(ERP資料!$A:$A, (MATCH(198, 輔助計算!$F$2:$F$801, 0)+1)), ""), ""), "")</f>
        <v/>
      </c>
      <c r="C199" s="10">
        <f>IFERROR(IF(AND(IFERROR(INDEX(ERP資料!$A:$A, (MATCH(198, 輔助計算!$F$2:$F$801, 0)+1)), "")&lt;&gt;"", IFERROR(INDEX(ERP資料!$A:$A, (MATCH(198, 輔助計算!$F$2:$F$801, 0)+1)), "")&lt;&gt;IFERROR(INDEX(ERP資料!$A:$A, MATCH(197, 輔助計算!$F$2:$F$801, 0)+1), "")), INDEX(ERP資料!$S:$S, (MATCH(198, 輔助計算!$F$2:$F$801, 0)+1)), ""), "")</f>
        <v/>
      </c>
      <c r="D199" s="10">
        <f>IFERROR(IF(INDEX(ERP資料!$E:$E, (MATCH(198, 輔助計算!$F$2:$F$801, 0)+1))="","",TRIM(INDEX(ERP資料!$E:$E, (MATCH(198, 輔助計算!$F$2:$F$801, 0)+1)))), "")</f>
        <v/>
      </c>
      <c r="E199" s="10">
        <f>IFERROR(IF(INDEX(ERP資料!$F:$F, (MATCH(198, 輔助計算!$F$2:$F$801, 0)+1))="","",INDEX(ERP資料!$F:$F, (MATCH(198, 輔助計算!$F$2:$F$801, 0)+1))), "")</f>
        <v/>
      </c>
      <c r="F199" s="10">
        <f>IFERROR(IF(INDEX(ERP資料!$G:$G, (MATCH(198, 輔助計算!$F$2:$F$801, 0)+1))="","",INDEX(ERP資料!$G:$G, (MATCH(198, 輔助計算!$F$2:$F$801, 0)+1))), "")</f>
        <v/>
      </c>
      <c r="G199" s="10">
        <f>IFERROR(IF(INDEX(ERP資料!$H:$H, (MATCH(198, 輔助計算!$F$2:$F$801, 0)+1))="","",INDEX(ERP資料!$H:$H, (MATCH(198, 輔助計算!$F$2:$F$801, 0)+1))), "")</f>
        <v/>
      </c>
      <c r="H199" s="10">
        <f>IFERROR(IF(INDEX(ERP資料!$O:$O, (MATCH(198, 輔助計算!$F$2:$F$801, 0)+1))="","",INDEX(ERP資料!$O:$O, (MATCH(198, 輔助計算!$F$2:$F$801, 0)+1))), "")</f>
        <v/>
      </c>
      <c r="I199" s="15">
        <f>IFERROR(IF(INDEX(輔助計算!$D:$D,(MATCH(198, 輔助計算!$F$2:$F$801, 0)+1))="","",INDEX(輔助計算!$D:$D,(MATCH(198, 輔助計算!$F$2:$F$801, 0)+1))*INDEX(ERP資料!$O:$O,(MATCH(198, 輔助計算!$F$2:$F$801, 0)+1))), "")</f>
        <v/>
      </c>
      <c r="J199" s="16" t="n"/>
      <c r="K199" s="15">
        <f>IFERROR(INDEX(輔助計算!$D:$D, (MATCH(198, 輔助計算!$F$2:$F$801, 0)+1)), "")</f>
        <v/>
      </c>
      <c r="L199" s="16">
        <f>IFERROR(IF(AND(IFERROR(VLOOKUP(LEFT(INDEX(ERP資料!$S:$S, (MATCH(198, 輔助計算!$F$2:$F$801, 0)+1)), 4), 100張客戶!$A:$A, 1, FALSE), "")&lt;&gt;"", OR(INDEX(ERP資料!$F:$F, (MATCH(198, 輔助計算!$F$2:$F$801, 0)+1))=270, INDEX(ERP資料!$F:$F, (MATCH(198, 輔助計算!$F$2:$F$801, 0)+1))=300)), "100張", ""), "")</f>
        <v/>
      </c>
      <c r="M199" s="17" t="n"/>
      <c r="N199" s="17">
        <f>IF($F199="","",$F199)</f>
        <v/>
      </c>
      <c r="O199" s="17">
        <f>IF($G199="","",$G199)</f>
        <v/>
      </c>
      <c r="P199" s="17">
        <f>IF($K199="","",$K199)</f>
        <v/>
      </c>
      <c r="Q199" s="16" t="n"/>
      <c r="R199" s="18" t="n"/>
      <c r="S199" s="16" t="n"/>
    </row>
    <row r="200">
      <c r="A200" s="14">
        <f>IFERROR(IF(AND(IFERROR(INDEX(ERP資料!$A:$A, (MATCH(199, 輔助計算!$F$2:$F$801, 0)+1)), "")&lt;&gt;"", IFERROR(INDEX(ERP資料!$A:$A, (MATCH(199, 輔助計算!$F$2:$F$801, 0)+1)), "")&lt;&gt;IFERROR(INDEX(ERP資料!$A:$A, MATCH(198, 輔助計算!$F$2:$F$801, 0)+1), "")), INDEX(ERP資料!$B:$B, (MATCH(199, 輔助計算!$F$2:$F$801, 0)+1)), ""), "")</f>
        <v/>
      </c>
      <c r="B200" s="10">
        <f>IFERROR(IF(AND(IFERROR(INDEX(ERP資料!$A:$A, (MATCH(199, 輔助計算!$F$2:$F$801, 0)+1)), "")&lt;&gt;"", IFERROR(INDEX(ERP資料!$A:$A, (MATCH(199, 輔助計算!$F$2:$F$801, 0)+1)), "")&lt;&gt;IFERROR(INDEX(ERP資料!$A:$A, MATCH(198, 輔助計算!$F$2:$F$801, 0)+1), "")), IFERROR(INDEX(ERP資料!$A:$A, (MATCH(199, 輔助計算!$F$2:$F$801, 0)+1)), ""), ""), "")</f>
        <v/>
      </c>
      <c r="C200" s="10">
        <f>IFERROR(IF(AND(IFERROR(INDEX(ERP資料!$A:$A, (MATCH(199, 輔助計算!$F$2:$F$801, 0)+1)), "")&lt;&gt;"", IFERROR(INDEX(ERP資料!$A:$A, (MATCH(199, 輔助計算!$F$2:$F$801, 0)+1)), "")&lt;&gt;IFERROR(INDEX(ERP資料!$A:$A, MATCH(198, 輔助計算!$F$2:$F$801, 0)+1), "")), INDEX(ERP資料!$S:$S, (MATCH(199, 輔助計算!$F$2:$F$801, 0)+1)), ""), "")</f>
        <v/>
      </c>
      <c r="D200" s="10">
        <f>IFERROR(IF(INDEX(ERP資料!$E:$E, (MATCH(199, 輔助計算!$F$2:$F$801, 0)+1))="","",TRIM(INDEX(ERP資料!$E:$E, (MATCH(199, 輔助計算!$F$2:$F$801, 0)+1)))), "")</f>
        <v/>
      </c>
      <c r="E200" s="10">
        <f>IFERROR(IF(INDEX(ERP資料!$F:$F, (MATCH(199, 輔助計算!$F$2:$F$801, 0)+1))="","",INDEX(ERP資料!$F:$F, (MATCH(199, 輔助計算!$F$2:$F$801, 0)+1))), "")</f>
        <v/>
      </c>
      <c r="F200" s="10">
        <f>IFERROR(IF(INDEX(ERP資料!$G:$G, (MATCH(199, 輔助計算!$F$2:$F$801, 0)+1))="","",INDEX(ERP資料!$G:$G, (MATCH(199, 輔助計算!$F$2:$F$801, 0)+1))), "")</f>
        <v/>
      </c>
      <c r="G200" s="10">
        <f>IFERROR(IF(INDEX(ERP資料!$H:$H, (MATCH(199, 輔助計算!$F$2:$F$801, 0)+1))="","",INDEX(ERP資料!$H:$H, (MATCH(199, 輔助計算!$F$2:$F$801, 0)+1))), "")</f>
        <v/>
      </c>
      <c r="H200" s="10">
        <f>IFERROR(IF(INDEX(ERP資料!$O:$O, (MATCH(199, 輔助計算!$F$2:$F$801, 0)+1))="","",INDEX(ERP資料!$O:$O, (MATCH(199, 輔助計算!$F$2:$F$801, 0)+1))), "")</f>
        <v/>
      </c>
      <c r="I200" s="15">
        <f>IFERROR(IF(INDEX(輔助計算!$D:$D,(MATCH(199, 輔助計算!$F$2:$F$801, 0)+1))="","",INDEX(輔助計算!$D:$D,(MATCH(199, 輔助計算!$F$2:$F$801, 0)+1))*INDEX(ERP資料!$O:$O,(MATCH(199, 輔助計算!$F$2:$F$801, 0)+1))), "")</f>
        <v/>
      </c>
      <c r="J200" s="16" t="n"/>
      <c r="K200" s="15">
        <f>IFERROR(INDEX(輔助計算!$D:$D, (MATCH(199, 輔助計算!$F$2:$F$801, 0)+1)), "")</f>
        <v/>
      </c>
      <c r="L200" s="16">
        <f>IFERROR(IF(AND(IFERROR(VLOOKUP(LEFT(INDEX(ERP資料!$S:$S, (MATCH(199, 輔助計算!$F$2:$F$801, 0)+1)), 4), 100張客戶!$A:$A, 1, FALSE), "")&lt;&gt;"", OR(INDEX(ERP資料!$F:$F, (MATCH(199, 輔助計算!$F$2:$F$801, 0)+1))=270, INDEX(ERP資料!$F:$F, (MATCH(199, 輔助計算!$F$2:$F$801, 0)+1))=300)), "100張", ""), "")</f>
        <v/>
      </c>
      <c r="M200" s="17" t="n"/>
      <c r="N200" s="17">
        <f>IF($F200="","",$F200)</f>
        <v/>
      </c>
      <c r="O200" s="17">
        <f>IF($G200="","",$G200)</f>
        <v/>
      </c>
      <c r="P200" s="17">
        <f>IF($K200="","",$K200)</f>
        <v/>
      </c>
      <c r="Q200" s="16" t="n"/>
      <c r="R200" s="18" t="n"/>
      <c r="S200" s="16" t="n"/>
    </row>
    <row r="201">
      <c r="A201" s="14">
        <f>IFERROR(IF(AND(IFERROR(INDEX(ERP資料!$A:$A, (MATCH(200, 輔助計算!$F$2:$F$801, 0)+1)), "")&lt;&gt;"", IFERROR(INDEX(ERP資料!$A:$A, (MATCH(200, 輔助計算!$F$2:$F$801, 0)+1)), "")&lt;&gt;IFERROR(INDEX(ERP資料!$A:$A, MATCH(199, 輔助計算!$F$2:$F$801, 0)+1), "")), INDEX(ERP資料!$B:$B, (MATCH(200, 輔助計算!$F$2:$F$801, 0)+1)), ""), "")</f>
        <v/>
      </c>
      <c r="B201" s="10">
        <f>IFERROR(IF(AND(IFERROR(INDEX(ERP資料!$A:$A, (MATCH(200, 輔助計算!$F$2:$F$801, 0)+1)), "")&lt;&gt;"", IFERROR(INDEX(ERP資料!$A:$A, (MATCH(200, 輔助計算!$F$2:$F$801, 0)+1)), "")&lt;&gt;IFERROR(INDEX(ERP資料!$A:$A, MATCH(199, 輔助計算!$F$2:$F$801, 0)+1), "")), IFERROR(INDEX(ERP資料!$A:$A, (MATCH(200, 輔助計算!$F$2:$F$801, 0)+1)), ""), ""), "")</f>
        <v/>
      </c>
      <c r="C201" s="10">
        <f>IFERROR(IF(AND(IFERROR(INDEX(ERP資料!$A:$A, (MATCH(200, 輔助計算!$F$2:$F$801, 0)+1)), "")&lt;&gt;"", IFERROR(INDEX(ERP資料!$A:$A, (MATCH(200, 輔助計算!$F$2:$F$801, 0)+1)), "")&lt;&gt;IFERROR(INDEX(ERP資料!$A:$A, MATCH(199, 輔助計算!$F$2:$F$801, 0)+1), "")), INDEX(ERP資料!$S:$S, (MATCH(200, 輔助計算!$F$2:$F$801, 0)+1)), ""), "")</f>
        <v/>
      </c>
      <c r="D201" s="10">
        <f>IFERROR(IF(INDEX(ERP資料!$E:$E, (MATCH(200, 輔助計算!$F$2:$F$801, 0)+1))="","",TRIM(INDEX(ERP資料!$E:$E, (MATCH(200, 輔助計算!$F$2:$F$801, 0)+1)))), "")</f>
        <v/>
      </c>
      <c r="E201" s="10">
        <f>IFERROR(IF(INDEX(ERP資料!$F:$F, (MATCH(200, 輔助計算!$F$2:$F$801, 0)+1))="","",INDEX(ERP資料!$F:$F, (MATCH(200, 輔助計算!$F$2:$F$801, 0)+1))), "")</f>
        <v/>
      </c>
      <c r="F201" s="10">
        <f>IFERROR(IF(INDEX(ERP資料!$G:$G, (MATCH(200, 輔助計算!$F$2:$F$801, 0)+1))="","",INDEX(ERP資料!$G:$G, (MATCH(200, 輔助計算!$F$2:$F$801, 0)+1))), "")</f>
        <v/>
      </c>
      <c r="G201" s="10">
        <f>IFERROR(IF(INDEX(ERP資料!$H:$H, (MATCH(200, 輔助計算!$F$2:$F$801, 0)+1))="","",INDEX(ERP資料!$H:$H, (MATCH(200, 輔助計算!$F$2:$F$801, 0)+1))), "")</f>
        <v/>
      </c>
      <c r="H201" s="10">
        <f>IFERROR(IF(INDEX(ERP資料!$O:$O, (MATCH(200, 輔助計算!$F$2:$F$801, 0)+1))="","",INDEX(ERP資料!$O:$O, (MATCH(200, 輔助計算!$F$2:$F$801, 0)+1))), "")</f>
        <v/>
      </c>
      <c r="I201" s="15">
        <f>IFERROR(IF(INDEX(輔助計算!$D:$D,(MATCH(200, 輔助計算!$F$2:$F$801, 0)+1))="","",INDEX(輔助計算!$D:$D,(MATCH(200, 輔助計算!$F$2:$F$801, 0)+1))*INDEX(ERP資料!$O:$O,(MATCH(200, 輔助計算!$F$2:$F$801, 0)+1))), "")</f>
        <v/>
      </c>
      <c r="J201" s="16" t="n"/>
      <c r="K201" s="15">
        <f>IFERROR(INDEX(輔助計算!$D:$D, (MATCH(200, 輔助計算!$F$2:$F$801, 0)+1)), "")</f>
        <v/>
      </c>
      <c r="L201" s="16">
        <f>IFERROR(IF(AND(IFERROR(VLOOKUP(LEFT(INDEX(ERP資料!$S:$S, (MATCH(200, 輔助計算!$F$2:$F$801, 0)+1)), 4), 100張客戶!$A:$A, 1, FALSE), "")&lt;&gt;"", OR(INDEX(ERP資料!$F:$F, (MATCH(200, 輔助計算!$F$2:$F$801, 0)+1))=270, INDEX(ERP資料!$F:$F, (MATCH(200, 輔助計算!$F$2:$F$801, 0)+1))=300)), "100張", ""), "")</f>
        <v/>
      </c>
      <c r="M201" s="17" t="n"/>
      <c r="N201" s="17">
        <f>IF($F201="","",$F201)</f>
        <v/>
      </c>
      <c r="O201" s="17">
        <f>IF($G201="","",$G201)</f>
        <v/>
      </c>
      <c r="P201" s="17">
        <f>IF($K201="","",$K201)</f>
        <v/>
      </c>
      <c r="Q201" s="16" t="n"/>
      <c r="R201" s="18" t="n"/>
      <c r="S201" s="16" t="n"/>
    </row>
    <row r="202">
      <c r="A202" s="14">
        <f>IFERROR(IF(AND(IFERROR(INDEX(ERP資料!$A:$A, (MATCH(201, 輔助計算!$F$2:$F$801, 0)+1)), "")&lt;&gt;"", IFERROR(INDEX(ERP資料!$A:$A, (MATCH(201, 輔助計算!$F$2:$F$801, 0)+1)), "")&lt;&gt;IFERROR(INDEX(ERP資料!$A:$A, MATCH(200, 輔助計算!$F$2:$F$801, 0)+1), "")), INDEX(ERP資料!$B:$B, (MATCH(201, 輔助計算!$F$2:$F$801, 0)+1)), ""), "")</f>
        <v/>
      </c>
      <c r="B202" s="10">
        <f>IFERROR(IF(AND(IFERROR(INDEX(ERP資料!$A:$A, (MATCH(201, 輔助計算!$F$2:$F$801, 0)+1)), "")&lt;&gt;"", IFERROR(INDEX(ERP資料!$A:$A, (MATCH(201, 輔助計算!$F$2:$F$801, 0)+1)), "")&lt;&gt;IFERROR(INDEX(ERP資料!$A:$A, MATCH(200, 輔助計算!$F$2:$F$801, 0)+1), "")), IFERROR(INDEX(ERP資料!$A:$A, (MATCH(201, 輔助計算!$F$2:$F$801, 0)+1)), ""), ""), "")</f>
        <v/>
      </c>
      <c r="C202" s="10">
        <f>IFERROR(IF(AND(IFERROR(INDEX(ERP資料!$A:$A, (MATCH(201, 輔助計算!$F$2:$F$801, 0)+1)), "")&lt;&gt;"", IFERROR(INDEX(ERP資料!$A:$A, (MATCH(201, 輔助計算!$F$2:$F$801, 0)+1)), "")&lt;&gt;IFERROR(INDEX(ERP資料!$A:$A, MATCH(200, 輔助計算!$F$2:$F$801, 0)+1), "")), INDEX(ERP資料!$S:$S, (MATCH(201, 輔助計算!$F$2:$F$801, 0)+1)), ""), "")</f>
        <v/>
      </c>
      <c r="D202" s="10">
        <f>IFERROR(IF(INDEX(ERP資料!$E:$E, (MATCH(201, 輔助計算!$F$2:$F$801, 0)+1))="","",TRIM(INDEX(ERP資料!$E:$E, (MATCH(201, 輔助計算!$F$2:$F$801, 0)+1)))), "")</f>
        <v/>
      </c>
      <c r="E202" s="10">
        <f>IFERROR(IF(INDEX(ERP資料!$F:$F, (MATCH(201, 輔助計算!$F$2:$F$801, 0)+1))="","",INDEX(ERP資料!$F:$F, (MATCH(201, 輔助計算!$F$2:$F$801, 0)+1))), "")</f>
        <v/>
      </c>
      <c r="F202" s="10">
        <f>IFERROR(IF(INDEX(ERP資料!$G:$G, (MATCH(201, 輔助計算!$F$2:$F$801, 0)+1))="","",INDEX(ERP資料!$G:$G, (MATCH(201, 輔助計算!$F$2:$F$801, 0)+1))), "")</f>
        <v/>
      </c>
      <c r="G202" s="10">
        <f>IFERROR(IF(INDEX(ERP資料!$H:$H, (MATCH(201, 輔助計算!$F$2:$F$801, 0)+1))="","",INDEX(ERP資料!$H:$H, (MATCH(201, 輔助計算!$F$2:$F$801, 0)+1))), "")</f>
        <v/>
      </c>
      <c r="H202" s="10">
        <f>IFERROR(IF(INDEX(ERP資料!$O:$O, (MATCH(201, 輔助計算!$F$2:$F$801, 0)+1))="","",INDEX(ERP資料!$O:$O, (MATCH(201, 輔助計算!$F$2:$F$801, 0)+1))), "")</f>
        <v/>
      </c>
      <c r="I202" s="15">
        <f>IFERROR(IF(INDEX(輔助計算!$D:$D,(MATCH(201, 輔助計算!$F$2:$F$801, 0)+1))="","",INDEX(輔助計算!$D:$D,(MATCH(201, 輔助計算!$F$2:$F$801, 0)+1))*INDEX(ERP資料!$O:$O,(MATCH(201, 輔助計算!$F$2:$F$801, 0)+1))), "")</f>
        <v/>
      </c>
      <c r="J202" s="16" t="n"/>
      <c r="K202" s="15">
        <f>IFERROR(INDEX(輔助計算!$D:$D, (MATCH(201, 輔助計算!$F$2:$F$801, 0)+1)), "")</f>
        <v/>
      </c>
      <c r="L202" s="16">
        <f>IFERROR(IF(AND(IFERROR(VLOOKUP(LEFT(INDEX(ERP資料!$S:$S, (MATCH(201, 輔助計算!$F$2:$F$801, 0)+1)), 4), 100張客戶!$A:$A, 1, FALSE), "")&lt;&gt;"", OR(INDEX(ERP資料!$F:$F, (MATCH(201, 輔助計算!$F$2:$F$801, 0)+1))=270, INDEX(ERP資料!$F:$F, (MATCH(201, 輔助計算!$F$2:$F$801, 0)+1))=300)), "100張", ""), "")</f>
        <v/>
      </c>
      <c r="M202" s="17" t="n"/>
      <c r="N202" s="17">
        <f>IF($F202="","",$F202)</f>
        <v/>
      </c>
      <c r="O202" s="17">
        <f>IF($G202="","",$G202)</f>
        <v/>
      </c>
      <c r="P202" s="17">
        <f>IF($K202="","",$K202)</f>
        <v/>
      </c>
      <c r="Q202" s="16" t="n"/>
      <c r="R202" s="18" t="n"/>
      <c r="S202" s="16" t="n"/>
    </row>
    <row r="203">
      <c r="A203" s="14">
        <f>IFERROR(IF(AND(IFERROR(INDEX(ERP資料!$A:$A, (MATCH(202, 輔助計算!$F$2:$F$801, 0)+1)), "")&lt;&gt;"", IFERROR(INDEX(ERP資料!$A:$A, (MATCH(202, 輔助計算!$F$2:$F$801, 0)+1)), "")&lt;&gt;IFERROR(INDEX(ERP資料!$A:$A, MATCH(201, 輔助計算!$F$2:$F$801, 0)+1), "")), INDEX(ERP資料!$B:$B, (MATCH(202, 輔助計算!$F$2:$F$801, 0)+1)), ""), "")</f>
        <v/>
      </c>
      <c r="B203" s="10">
        <f>IFERROR(IF(AND(IFERROR(INDEX(ERP資料!$A:$A, (MATCH(202, 輔助計算!$F$2:$F$801, 0)+1)), "")&lt;&gt;"", IFERROR(INDEX(ERP資料!$A:$A, (MATCH(202, 輔助計算!$F$2:$F$801, 0)+1)), "")&lt;&gt;IFERROR(INDEX(ERP資料!$A:$A, MATCH(201, 輔助計算!$F$2:$F$801, 0)+1), "")), IFERROR(INDEX(ERP資料!$A:$A, (MATCH(202, 輔助計算!$F$2:$F$801, 0)+1)), ""), ""), "")</f>
        <v/>
      </c>
      <c r="C203" s="10">
        <f>IFERROR(IF(AND(IFERROR(INDEX(ERP資料!$A:$A, (MATCH(202, 輔助計算!$F$2:$F$801, 0)+1)), "")&lt;&gt;"", IFERROR(INDEX(ERP資料!$A:$A, (MATCH(202, 輔助計算!$F$2:$F$801, 0)+1)), "")&lt;&gt;IFERROR(INDEX(ERP資料!$A:$A, MATCH(201, 輔助計算!$F$2:$F$801, 0)+1), "")), INDEX(ERP資料!$S:$S, (MATCH(202, 輔助計算!$F$2:$F$801, 0)+1)), ""), "")</f>
        <v/>
      </c>
      <c r="D203" s="10">
        <f>IFERROR(IF(INDEX(ERP資料!$E:$E, (MATCH(202, 輔助計算!$F$2:$F$801, 0)+1))="","",TRIM(INDEX(ERP資料!$E:$E, (MATCH(202, 輔助計算!$F$2:$F$801, 0)+1)))), "")</f>
        <v/>
      </c>
      <c r="E203" s="10">
        <f>IFERROR(IF(INDEX(ERP資料!$F:$F, (MATCH(202, 輔助計算!$F$2:$F$801, 0)+1))="","",INDEX(ERP資料!$F:$F, (MATCH(202, 輔助計算!$F$2:$F$801, 0)+1))), "")</f>
        <v/>
      </c>
      <c r="F203" s="10">
        <f>IFERROR(IF(INDEX(ERP資料!$G:$G, (MATCH(202, 輔助計算!$F$2:$F$801, 0)+1))="","",INDEX(ERP資料!$G:$G, (MATCH(202, 輔助計算!$F$2:$F$801, 0)+1))), "")</f>
        <v/>
      </c>
      <c r="G203" s="10">
        <f>IFERROR(IF(INDEX(ERP資料!$H:$H, (MATCH(202, 輔助計算!$F$2:$F$801, 0)+1))="","",INDEX(ERP資料!$H:$H, (MATCH(202, 輔助計算!$F$2:$F$801, 0)+1))), "")</f>
        <v/>
      </c>
      <c r="H203" s="10">
        <f>IFERROR(IF(INDEX(ERP資料!$O:$O, (MATCH(202, 輔助計算!$F$2:$F$801, 0)+1))="","",INDEX(ERP資料!$O:$O, (MATCH(202, 輔助計算!$F$2:$F$801, 0)+1))), "")</f>
        <v/>
      </c>
      <c r="I203" s="15">
        <f>IFERROR(IF(INDEX(輔助計算!$D:$D,(MATCH(202, 輔助計算!$F$2:$F$801, 0)+1))="","",INDEX(輔助計算!$D:$D,(MATCH(202, 輔助計算!$F$2:$F$801, 0)+1))*INDEX(ERP資料!$O:$O,(MATCH(202, 輔助計算!$F$2:$F$801, 0)+1))), "")</f>
        <v/>
      </c>
      <c r="J203" s="16" t="n"/>
      <c r="K203" s="15">
        <f>IFERROR(INDEX(輔助計算!$D:$D, (MATCH(202, 輔助計算!$F$2:$F$801, 0)+1)), "")</f>
        <v/>
      </c>
      <c r="L203" s="16">
        <f>IFERROR(IF(AND(IFERROR(VLOOKUP(LEFT(INDEX(ERP資料!$S:$S, (MATCH(202, 輔助計算!$F$2:$F$801, 0)+1)), 4), 100張客戶!$A:$A, 1, FALSE), "")&lt;&gt;"", OR(INDEX(ERP資料!$F:$F, (MATCH(202, 輔助計算!$F$2:$F$801, 0)+1))=270, INDEX(ERP資料!$F:$F, (MATCH(202, 輔助計算!$F$2:$F$801, 0)+1))=300)), "100張", ""), "")</f>
        <v/>
      </c>
      <c r="M203" s="17" t="n"/>
      <c r="N203" s="17">
        <f>IF($F203="","",$F203)</f>
        <v/>
      </c>
      <c r="O203" s="17">
        <f>IF($G203="","",$G203)</f>
        <v/>
      </c>
      <c r="P203" s="17">
        <f>IF($K203="","",$K203)</f>
        <v/>
      </c>
      <c r="Q203" s="16" t="n"/>
      <c r="R203" s="18" t="n"/>
      <c r="S203" s="16" t="n"/>
    </row>
    <row r="204">
      <c r="A204" s="14">
        <f>IFERROR(IF(AND(IFERROR(INDEX(ERP資料!$A:$A, (MATCH(203, 輔助計算!$F$2:$F$801, 0)+1)), "")&lt;&gt;"", IFERROR(INDEX(ERP資料!$A:$A, (MATCH(203, 輔助計算!$F$2:$F$801, 0)+1)), "")&lt;&gt;IFERROR(INDEX(ERP資料!$A:$A, MATCH(202, 輔助計算!$F$2:$F$801, 0)+1), "")), INDEX(ERP資料!$B:$B, (MATCH(203, 輔助計算!$F$2:$F$801, 0)+1)), ""), "")</f>
        <v/>
      </c>
      <c r="B204" s="10">
        <f>IFERROR(IF(AND(IFERROR(INDEX(ERP資料!$A:$A, (MATCH(203, 輔助計算!$F$2:$F$801, 0)+1)), "")&lt;&gt;"", IFERROR(INDEX(ERP資料!$A:$A, (MATCH(203, 輔助計算!$F$2:$F$801, 0)+1)), "")&lt;&gt;IFERROR(INDEX(ERP資料!$A:$A, MATCH(202, 輔助計算!$F$2:$F$801, 0)+1), "")), IFERROR(INDEX(ERP資料!$A:$A, (MATCH(203, 輔助計算!$F$2:$F$801, 0)+1)), ""), ""), "")</f>
        <v/>
      </c>
      <c r="C204" s="10">
        <f>IFERROR(IF(AND(IFERROR(INDEX(ERP資料!$A:$A, (MATCH(203, 輔助計算!$F$2:$F$801, 0)+1)), "")&lt;&gt;"", IFERROR(INDEX(ERP資料!$A:$A, (MATCH(203, 輔助計算!$F$2:$F$801, 0)+1)), "")&lt;&gt;IFERROR(INDEX(ERP資料!$A:$A, MATCH(202, 輔助計算!$F$2:$F$801, 0)+1), "")), INDEX(ERP資料!$S:$S, (MATCH(203, 輔助計算!$F$2:$F$801, 0)+1)), ""), "")</f>
        <v/>
      </c>
      <c r="D204" s="10">
        <f>IFERROR(IF(INDEX(ERP資料!$E:$E, (MATCH(203, 輔助計算!$F$2:$F$801, 0)+1))="","",TRIM(INDEX(ERP資料!$E:$E, (MATCH(203, 輔助計算!$F$2:$F$801, 0)+1)))), "")</f>
        <v/>
      </c>
      <c r="E204" s="10">
        <f>IFERROR(IF(INDEX(ERP資料!$F:$F, (MATCH(203, 輔助計算!$F$2:$F$801, 0)+1))="","",INDEX(ERP資料!$F:$F, (MATCH(203, 輔助計算!$F$2:$F$801, 0)+1))), "")</f>
        <v/>
      </c>
      <c r="F204" s="10">
        <f>IFERROR(IF(INDEX(ERP資料!$G:$G, (MATCH(203, 輔助計算!$F$2:$F$801, 0)+1))="","",INDEX(ERP資料!$G:$G, (MATCH(203, 輔助計算!$F$2:$F$801, 0)+1))), "")</f>
        <v/>
      </c>
      <c r="G204" s="10">
        <f>IFERROR(IF(INDEX(ERP資料!$H:$H, (MATCH(203, 輔助計算!$F$2:$F$801, 0)+1))="","",INDEX(ERP資料!$H:$H, (MATCH(203, 輔助計算!$F$2:$F$801, 0)+1))), "")</f>
        <v/>
      </c>
      <c r="H204" s="10">
        <f>IFERROR(IF(INDEX(ERP資料!$O:$O, (MATCH(203, 輔助計算!$F$2:$F$801, 0)+1))="","",INDEX(ERP資料!$O:$O, (MATCH(203, 輔助計算!$F$2:$F$801, 0)+1))), "")</f>
        <v/>
      </c>
      <c r="I204" s="15">
        <f>IFERROR(IF(INDEX(輔助計算!$D:$D,(MATCH(203, 輔助計算!$F$2:$F$801, 0)+1))="","",INDEX(輔助計算!$D:$D,(MATCH(203, 輔助計算!$F$2:$F$801, 0)+1))*INDEX(ERP資料!$O:$O,(MATCH(203, 輔助計算!$F$2:$F$801, 0)+1))), "")</f>
        <v/>
      </c>
      <c r="J204" s="16" t="n"/>
      <c r="K204" s="15">
        <f>IFERROR(INDEX(輔助計算!$D:$D, (MATCH(203, 輔助計算!$F$2:$F$801, 0)+1)), "")</f>
        <v/>
      </c>
      <c r="L204" s="16">
        <f>IFERROR(IF(AND(IFERROR(VLOOKUP(LEFT(INDEX(ERP資料!$S:$S, (MATCH(203, 輔助計算!$F$2:$F$801, 0)+1)), 4), 100張客戶!$A:$A, 1, FALSE), "")&lt;&gt;"", OR(INDEX(ERP資料!$F:$F, (MATCH(203, 輔助計算!$F$2:$F$801, 0)+1))=270, INDEX(ERP資料!$F:$F, (MATCH(203, 輔助計算!$F$2:$F$801, 0)+1))=300)), "100張", ""), "")</f>
        <v/>
      </c>
      <c r="M204" s="17" t="n"/>
      <c r="N204" s="17">
        <f>IF($F204="","",$F204)</f>
        <v/>
      </c>
      <c r="O204" s="17">
        <f>IF($G204="","",$G204)</f>
        <v/>
      </c>
      <c r="P204" s="17">
        <f>IF($K204="","",$K204)</f>
        <v/>
      </c>
      <c r="Q204" s="16" t="n"/>
      <c r="R204" s="18" t="n"/>
      <c r="S204" s="16" t="n"/>
    </row>
    <row r="205">
      <c r="A205" s="14">
        <f>IFERROR(IF(AND(IFERROR(INDEX(ERP資料!$A:$A, (MATCH(204, 輔助計算!$F$2:$F$801, 0)+1)), "")&lt;&gt;"", IFERROR(INDEX(ERP資料!$A:$A, (MATCH(204, 輔助計算!$F$2:$F$801, 0)+1)), "")&lt;&gt;IFERROR(INDEX(ERP資料!$A:$A, MATCH(203, 輔助計算!$F$2:$F$801, 0)+1), "")), INDEX(ERP資料!$B:$B, (MATCH(204, 輔助計算!$F$2:$F$801, 0)+1)), ""), "")</f>
        <v/>
      </c>
      <c r="B205" s="10">
        <f>IFERROR(IF(AND(IFERROR(INDEX(ERP資料!$A:$A, (MATCH(204, 輔助計算!$F$2:$F$801, 0)+1)), "")&lt;&gt;"", IFERROR(INDEX(ERP資料!$A:$A, (MATCH(204, 輔助計算!$F$2:$F$801, 0)+1)), "")&lt;&gt;IFERROR(INDEX(ERP資料!$A:$A, MATCH(203, 輔助計算!$F$2:$F$801, 0)+1), "")), IFERROR(INDEX(ERP資料!$A:$A, (MATCH(204, 輔助計算!$F$2:$F$801, 0)+1)), ""), ""), "")</f>
        <v/>
      </c>
      <c r="C205" s="10">
        <f>IFERROR(IF(AND(IFERROR(INDEX(ERP資料!$A:$A, (MATCH(204, 輔助計算!$F$2:$F$801, 0)+1)), "")&lt;&gt;"", IFERROR(INDEX(ERP資料!$A:$A, (MATCH(204, 輔助計算!$F$2:$F$801, 0)+1)), "")&lt;&gt;IFERROR(INDEX(ERP資料!$A:$A, MATCH(203, 輔助計算!$F$2:$F$801, 0)+1), "")), INDEX(ERP資料!$S:$S, (MATCH(204, 輔助計算!$F$2:$F$801, 0)+1)), ""), "")</f>
        <v/>
      </c>
      <c r="D205" s="10">
        <f>IFERROR(IF(INDEX(ERP資料!$E:$E, (MATCH(204, 輔助計算!$F$2:$F$801, 0)+1))="","",TRIM(INDEX(ERP資料!$E:$E, (MATCH(204, 輔助計算!$F$2:$F$801, 0)+1)))), "")</f>
        <v/>
      </c>
      <c r="E205" s="10">
        <f>IFERROR(IF(INDEX(ERP資料!$F:$F, (MATCH(204, 輔助計算!$F$2:$F$801, 0)+1))="","",INDEX(ERP資料!$F:$F, (MATCH(204, 輔助計算!$F$2:$F$801, 0)+1))), "")</f>
        <v/>
      </c>
      <c r="F205" s="10">
        <f>IFERROR(IF(INDEX(ERP資料!$G:$G, (MATCH(204, 輔助計算!$F$2:$F$801, 0)+1))="","",INDEX(ERP資料!$G:$G, (MATCH(204, 輔助計算!$F$2:$F$801, 0)+1))), "")</f>
        <v/>
      </c>
      <c r="G205" s="10">
        <f>IFERROR(IF(INDEX(ERP資料!$H:$H, (MATCH(204, 輔助計算!$F$2:$F$801, 0)+1))="","",INDEX(ERP資料!$H:$H, (MATCH(204, 輔助計算!$F$2:$F$801, 0)+1))), "")</f>
        <v/>
      </c>
      <c r="H205" s="10">
        <f>IFERROR(IF(INDEX(ERP資料!$O:$O, (MATCH(204, 輔助計算!$F$2:$F$801, 0)+1))="","",INDEX(ERP資料!$O:$O, (MATCH(204, 輔助計算!$F$2:$F$801, 0)+1))), "")</f>
        <v/>
      </c>
      <c r="I205" s="15">
        <f>IFERROR(IF(INDEX(輔助計算!$D:$D,(MATCH(204, 輔助計算!$F$2:$F$801, 0)+1))="","",INDEX(輔助計算!$D:$D,(MATCH(204, 輔助計算!$F$2:$F$801, 0)+1))*INDEX(ERP資料!$O:$O,(MATCH(204, 輔助計算!$F$2:$F$801, 0)+1))), "")</f>
        <v/>
      </c>
      <c r="J205" s="16" t="n"/>
      <c r="K205" s="15">
        <f>IFERROR(INDEX(輔助計算!$D:$D, (MATCH(204, 輔助計算!$F$2:$F$801, 0)+1)), "")</f>
        <v/>
      </c>
      <c r="L205" s="16">
        <f>IFERROR(IF(AND(IFERROR(VLOOKUP(LEFT(INDEX(ERP資料!$S:$S, (MATCH(204, 輔助計算!$F$2:$F$801, 0)+1)), 4), 100張客戶!$A:$A, 1, FALSE), "")&lt;&gt;"", OR(INDEX(ERP資料!$F:$F, (MATCH(204, 輔助計算!$F$2:$F$801, 0)+1))=270, INDEX(ERP資料!$F:$F, (MATCH(204, 輔助計算!$F$2:$F$801, 0)+1))=300)), "100張", ""), "")</f>
        <v/>
      </c>
      <c r="M205" s="17" t="n"/>
      <c r="N205" s="17">
        <f>IF($F205="","",$F205)</f>
        <v/>
      </c>
      <c r="O205" s="17">
        <f>IF($G205="","",$G205)</f>
        <v/>
      </c>
      <c r="P205" s="17">
        <f>IF($K205="","",$K205)</f>
        <v/>
      </c>
      <c r="Q205" s="16" t="n"/>
      <c r="R205" s="18" t="n"/>
      <c r="S205" s="16" t="n"/>
    </row>
    <row r="206">
      <c r="A206" s="14">
        <f>IFERROR(IF(AND(IFERROR(INDEX(ERP資料!$A:$A, (MATCH(205, 輔助計算!$F$2:$F$801, 0)+1)), "")&lt;&gt;"", IFERROR(INDEX(ERP資料!$A:$A, (MATCH(205, 輔助計算!$F$2:$F$801, 0)+1)), "")&lt;&gt;IFERROR(INDEX(ERP資料!$A:$A, MATCH(204, 輔助計算!$F$2:$F$801, 0)+1), "")), INDEX(ERP資料!$B:$B, (MATCH(205, 輔助計算!$F$2:$F$801, 0)+1)), ""), "")</f>
        <v/>
      </c>
      <c r="B206" s="10">
        <f>IFERROR(IF(AND(IFERROR(INDEX(ERP資料!$A:$A, (MATCH(205, 輔助計算!$F$2:$F$801, 0)+1)), "")&lt;&gt;"", IFERROR(INDEX(ERP資料!$A:$A, (MATCH(205, 輔助計算!$F$2:$F$801, 0)+1)), "")&lt;&gt;IFERROR(INDEX(ERP資料!$A:$A, MATCH(204, 輔助計算!$F$2:$F$801, 0)+1), "")), IFERROR(INDEX(ERP資料!$A:$A, (MATCH(205, 輔助計算!$F$2:$F$801, 0)+1)), ""), ""), "")</f>
        <v/>
      </c>
      <c r="C206" s="10">
        <f>IFERROR(IF(AND(IFERROR(INDEX(ERP資料!$A:$A, (MATCH(205, 輔助計算!$F$2:$F$801, 0)+1)), "")&lt;&gt;"", IFERROR(INDEX(ERP資料!$A:$A, (MATCH(205, 輔助計算!$F$2:$F$801, 0)+1)), "")&lt;&gt;IFERROR(INDEX(ERP資料!$A:$A, MATCH(204, 輔助計算!$F$2:$F$801, 0)+1), "")), INDEX(ERP資料!$S:$S, (MATCH(205, 輔助計算!$F$2:$F$801, 0)+1)), ""), "")</f>
        <v/>
      </c>
      <c r="D206" s="10">
        <f>IFERROR(IF(INDEX(ERP資料!$E:$E, (MATCH(205, 輔助計算!$F$2:$F$801, 0)+1))="","",TRIM(INDEX(ERP資料!$E:$E, (MATCH(205, 輔助計算!$F$2:$F$801, 0)+1)))), "")</f>
        <v/>
      </c>
      <c r="E206" s="10">
        <f>IFERROR(IF(INDEX(ERP資料!$F:$F, (MATCH(205, 輔助計算!$F$2:$F$801, 0)+1))="","",INDEX(ERP資料!$F:$F, (MATCH(205, 輔助計算!$F$2:$F$801, 0)+1))), "")</f>
        <v/>
      </c>
      <c r="F206" s="10">
        <f>IFERROR(IF(INDEX(ERP資料!$G:$G, (MATCH(205, 輔助計算!$F$2:$F$801, 0)+1))="","",INDEX(ERP資料!$G:$G, (MATCH(205, 輔助計算!$F$2:$F$801, 0)+1))), "")</f>
        <v/>
      </c>
      <c r="G206" s="10">
        <f>IFERROR(IF(INDEX(ERP資料!$H:$H, (MATCH(205, 輔助計算!$F$2:$F$801, 0)+1))="","",INDEX(ERP資料!$H:$H, (MATCH(205, 輔助計算!$F$2:$F$801, 0)+1))), "")</f>
        <v/>
      </c>
      <c r="H206" s="10">
        <f>IFERROR(IF(INDEX(ERP資料!$O:$O, (MATCH(205, 輔助計算!$F$2:$F$801, 0)+1))="","",INDEX(ERP資料!$O:$O, (MATCH(205, 輔助計算!$F$2:$F$801, 0)+1))), "")</f>
        <v/>
      </c>
      <c r="I206" s="15">
        <f>IFERROR(IF(INDEX(輔助計算!$D:$D,(MATCH(205, 輔助計算!$F$2:$F$801, 0)+1))="","",INDEX(輔助計算!$D:$D,(MATCH(205, 輔助計算!$F$2:$F$801, 0)+1))*INDEX(ERP資料!$O:$O,(MATCH(205, 輔助計算!$F$2:$F$801, 0)+1))), "")</f>
        <v/>
      </c>
      <c r="J206" s="16" t="n"/>
      <c r="K206" s="15">
        <f>IFERROR(INDEX(輔助計算!$D:$D, (MATCH(205, 輔助計算!$F$2:$F$801, 0)+1)), "")</f>
        <v/>
      </c>
      <c r="L206" s="16">
        <f>IFERROR(IF(AND(IFERROR(VLOOKUP(LEFT(INDEX(ERP資料!$S:$S, (MATCH(205, 輔助計算!$F$2:$F$801, 0)+1)), 4), 100張客戶!$A:$A, 1, FALSE), "")&lt;&gt;"", OR(INDEX(ERP資料!$F:$F, (MATCH(205, 輔助計算!$F$2:$F$801, 0)+1))=270, INDEX(ERP資料!$F:$F, (MATCH(205, 輔助計算!$F$2:$F$801, 0)+1))=300)), "100張", ""), "")</f>
        <v/>
      </c>
      <c r="M206" s="17" t="n"/>
      <c r="N206" s="17">
        <f>IF($F206="","",$F206)</f>
        <v/>
      </c>
      <c r="O206" s="17">
        <f>IF($G206="","",$G206)</f>
        <v/>
      </c>
      <c r="P206" s="17">
        <f>IF($K206="","",$K206)</f>
        <v/>
      </c>
      <c r="Q206" s="16" t="n"/>
      <c r="R206" s="18" t="n"/>
      <c r="S206" s="16" t="n"/>
    </row>
    <row r="207">
      <c r="A207" s="14">
        <f>IFERROR(IF(AND(IFERROR(INDEX(ERP資料!$A:$A, (MATCH(206, 輔助計算!$F$2:$F$801, 0)+1)), "")&lt;&gt;"", IFERROR(INDEX(ERP資料!$A:$A, (MATCH(206, 輔助計算!$F$2:$F$801, 0)+1)), "")&lt;&gt;IFERROR(INDEX(ERP資料!$A:$A, MATCH(205, 輔助計算!$F$2:$F$801, 0)+1), "")), INDEX(ERP資料!$B:$B, (MATCH(206, 輔助計算!$F$2:$F$801, 0)+1)), ""), "")</f>
        <v/>
      </c>
      <c r="B207" s="10">
        <f>IFERROR(IF(AND(IFERROR(INDEX(ERP資料!$A:$A, (MATCH(206, 輔助計算!$F$2:$F$801, 0)+1)), "")&lt;&gt;"", IFERROR(INDEX(ERP資料!$A:$A, (MATCH(206, 輔助計算!$F$2:$F$801, 0)+1)), "")&lt;&gt;IFERROR(INDEX(ERP資料!$A:$A, MATCH(205, 輔助計算!$F$2:$F$801, 0)+1), "")), IFERROR(INDEX(ERP資料!$A:$A, (MATCH(206, 輔助計算!$F$2:$F$801, 0)+1)), ""), ""), "")</f>
        <v/>
      </c>
      <c r="C207" s="10">
        <f>IFERROR(IF(AND(IFERROR(INDEX(ERP資料!$A:$A, (MATCH(206, 輔助計算!$F$2:$F$801, 0)+1)), "")&lt;&gt;"", IFERROR(INDEX(ERP資料!$A:$A, (MATCH(206, 輔助計算!$F$2:$F$801, 0)+1)), "")&lt;&gt;IFERROR(INDEX(ERP資料!$A:$A, MATCH(205, 輔助計算!$F$2:$F$801, 0)+1), "")), INDEX(ERP資料!$S:$S, (MATCH(206, 輔助計算!$F$2:$F$801, 0)+1)), ""), "")</f>
        <v/>
      </c>
      <c r="D207" s="10">
        <f>IFERROR(IF(INDEX(ERP資料!$E:$E, (MATCH(206, 輔助計算!$F$2:$F$801, 0)+1))="","",TRIM(INDEX(ERP資料!$E:$E, (MATCH(206, 輔助計算!$F$2:$F$801, 0)+1)))), "")</f>
        <v/>
      </c>
      <c r="E207" s="10">
        <f>IFERROR(IF(INDEX(ERP資料!$F:$F, (MATCH(206, 輔助計算!$F$2:$F$801, 0)+1))="","",INDEX(ERP資料!$F:$F, (MATCH(206, 輔助計算!$F$2:$F$801, 0)+1))), "")</f>
        <v/>
      </c>
      <c r="F207" s="10">
        <f>IFERROR(IF(INDEX(ERP資料!$G:$G, (MATCH(206, 輔助計算!$F$2:$F$801, 0)+1))="","",INDEX(ERP資料!$G:$G, (MATCH(206, 輔助計算!$F$2:$F$801, 0)+1))), "")</f>
        <v/>
      </c>
      <c r="G207" s="10">
        <f>IFERROR(IF(INDEX(ERP資料!$H:$H, (MATCH(206, 輔助計算!$F$2:$F$801, 0)+1))="","",INDEX(ERP資料!$H:$H, (MATCH(206, 輔助計算!$F$2:$F$801, 0)+1))), "")</f>
        <v/>
      </c>
      <c r="H207" s="10">
        <f>IFERROR(IF(INDEX(ERP資料!$O:$O, (MATCH(206, 輔助計算!$F$2:$F$801, 0)+1))="","",INDEX(ERP資料!$O:$O, (MATCH(206, 輔助計算!$F$2:$F$801, 0)+1))), "")</f>
        <v/>
      </c>
      <c r="I207" s="15">
        <f>IFERROR(IF(INDEX(輔助計算!$D:$D,(MATCH(206, 輔助計算!$F$2:$F$801, 0)+1))="","",INDEX(輔助計算!$D:$D,(MATCH(206, 輔助計算!$F$2:$F$801, 0)+1))*INDEX(ERP資料!$O:$O,(MATCH(206, 輔助計算!$F$2:$F$801, 0)+1))), "")</f>
        <v/>
      </c>
      <c r="J207" s="16" t="n"/>
      <c r="K207" s="15">
        <f>IFERROR(INDEX(輔助計算!$D:$D, (MATCH(206, 輔助計算!$F$2:$F$801, 0)+1)), "")</f>
        <v/>
      </c>
      <c r="L207" s="16">
        <f>IFERROR(IF(AND(IFERROR(VLOOKUP(LEFT(INDEX(ERP資料!$S:$S, (MATCH(206, 輔助計算!$F$2:$F$801, 0)+1)), 4), 100張客戶!$A:$A, 1, FALSE), "")&lt;&gt;"", OR(INDEX(ERP資料!$F:$F, (MATCH(206, 輔助計算!$F$2:$F$801, 0)+1))=270, INDEX(ERP資料!$F:$F, (MATCH(206, 輔助計算!$F$2:$F$801, 0)+1))=300)), "100張", ""), "")</f>
        <v/>
      </c>
      <c r="M207" s="17" t="n"/>
      <c r="N207" s="17">
        <f>IF($F207="","",$F207)</f>
        <v/>
      </c>
      <c r="O207" s="17">
        <f>IF($G207="","",$G207)</f>
        <v/>
      </c>
      <c r="P207" s="17">
        <f>IF($K207="","",$K207)</f>
        <v/>
      </c>
      <c r="Q207" s="16" t="n"/>
      <c r="R207" s="18" t="n"/>
      <c r="S207" s="16" t="n"/>
    </row>
    <row r="208">
      <c r="A208" s="14">
        <f>IFERROR(IF(AND(IFERROR(INDEX(ERP資料!$A:$A, (MATCH(207, 輔助計算!$F$2:$F$801, 0)+1)), "")&lt;&gt;"", IFERROR(INDEX(ERP資料!$A:$A, (MATCH(207, 輔助計算!$F$2:$F$801, 0)+1)), "")&lt;&gt;IFERROR(INDEX(ERP資料!$A:$A, MATCH(206, 輔助計算!$F$2:$F$801, 0)+1), "")), INDEX(ERP資料!$B:$B, (MATCH(207, 輔助計算!$F$2:$F$801, 0)+1)), ""), "")</f>
        <v/>
      </c>
      <c r="B208" s="10">
        <f>IFERROR(IF(AND(IFERROR(INDEX(ERP資料!$A:$A, (MATCH(207, 輔助計算!$F$2:$F$801, 0)+1)), "")&lt;&gt;"", IFERROR(INDEX(ERP資料!$A:$A, (MATCH(207, 輔助計算!$F$2:$F$801, 0)+1)), "")&lt;&gt;IFERROR(INDEX(ERP資料!$A:$A, MATCH(206, 輔助計算!$F$2:$F$801, 0)+1), "")), IFERROR(INDEX(ERP資料!$A:$A, (MATCH(207, 輔助計算!$F$2:$F$801, 0)+1)), ""), ""), "")</f>
        <v/>
      </c>
      <c r="C208" s="10">
        <f>IFERROR(IF(AND(IFERROR(INDEX(ERP資料!$A:$A, (MATCH(207, 輔助計算!$F$2:$F$801, 0)+1)), "")&lt;&gt;"", IFERROR(INDEX(ERP資料!$A:$A, (MATCH(207, 輔助計算!$F$2:$F$801, 0)+1)), "")&lt;&gt;IFERROR(INDEX(ERP資料!$A:$A, MATCH(206, 輔助計算!$F$2:$F$801, 0)+1), "")), INDEX(ERP資料!$S:$S, (MATCH(207, 輔助計算!$F$2:$F$801, 0)+1)), ""), "")</f>
        <v/>
      </c>
      <c r="D208" s="10">
        <f>IFERROR(IF(INDEX(ERP資料!$E:$E, (MATCH(207, 輔助計算!$F$2:$F$801, 0)+1))="","",TRIM(INDEX(ERP資料!$E:$E, (MATCH(207, 輔助計算!$F$2:$F$801, 0)+1)))), "")</f>
        <v/>
      </c>
      <c r="E208" s="10">
        <f>IFERROR(IF(INDEX(ERP資料!$F:$F, (MATCH(207, 輔助計算!$F$2:$F$801, 0)+1))="","",INDEX(ERP資料!$F:$F, (MATCH(207, 輔助計算!$F$2:$F$801, 0)+1))), "")</f>
        <v/>
      </c>
      <c r="F208" s="10">
        <f>IFERROR(IF(INDEX(ERP資料!$G:$G, (MATCH(207, 輔助計算!$F$2:$F$801, 0)+1))="","",INDEX(ERP資料!$G:$G, (MATCH(207, 輔助計算!$F$2:$F$801, 0)+1))), "")</f>
        <v/>
      </c>
      <c r="G208" s="10">
        <f>IFERROR(IF(INDEX(ERP資料!$H:$H, (MATCH(207, 輔助計算!$F$2:$F$801, 0)+1))="","",INDEX(ERP資料!$H:$H, (MATCH(207, 輔助計算!$F$2:$F$801, 0)+1))), "")</f>
        <v/>
      </c>
      <c r="H208" s="10">
        <f>IFERROR(IF(INDEX(ERP資料!$O:$O, (MATCH(207, 輔助計算!$F$2:$F$801, 0)+1))="","",INDEX(ERP資料!$O:$O, (MATCH(207, 輔助計算!$F$2:$F$801, 0)+1))), "")</f>
        <v/>
      </c>
      <c r="I208" s="15">
        <f>IFERROR(IF(INDEX(輔助計算!$D:$D,(MATCH(207, 輔助計算!$F$2:$F$801, 0)+1))="","",INDEX(輔助計算!$D:$D,(MATCH(207, 輔助計算!$F$2:$F$801, 0)+1))*INDEX(ERP資料!$O:$O,(MATCH(207, 輔助計算!$F$2:$F$801, 0)+1))), "")</f>
        <v/>
      </c>
      <c r="J208" s="16" t="n"/>
      <c r="K208" s="15">
        <f>IFERROR(INDEX(輔助計算!$D:$D, (MATCH(207, 輔助計算!$F$2:$F$801, 0)+1)), "")</f>
        <v/>
      </c>
      <c r="L208" s="16">
        <f>IFERROR(IF(AND(IFERROR(VLOOKUP(LEFT(INDEX(ERP資料!$S:$S, (MATCH(207, 輔助計算!$F$2:$F$801, 0)+1)), 4), 100張客戶!$A:$A, 1, FALSE), "")&lt;&gt;"", OR(INDEX(ERP資料!$F:$F, (MATCH(207, 輔助計算!$F$2:$F$801, 0)+1))=270, INDEX(ERP資料!$F:$F, (MATCH(207, 輔助計算!$F$2:$F$801, 0)+1))=300)), "100張", ""), "")</f>
        <v/>
      </c>
      <c r="M208" s="17" t="n"/>
      <c r="N208" s="17">
        <f>IF($F208="","",$F208)</f>
        <v/>
      </c>
      <c r="O208" s="17">
        <f>IF($G208="","",$G208)</f>
        <v/>
      </c>
      <c r="P208" s="17">
        <f>IF($K208="","",$K208)</f>
        <v/>
      </c>
      <c r="Q208" s="16" t="n"/>
      <c r="R208" s="18" t="n"/>
      <c r="S208" s="16" t="n"/>
    </row>
    <row r="209">
      <c r="A209" s="14">
        <f>IFERROR(IF(AND(IFERROR(INDEX(ERP資料!$A:$A, (MATCH(208, 輔助計算!$F$2:$F$801, 0)+1)), "")&lt;&gt;"", IFERROR(INDEX(ERP資料!$A:$A, (MATCH(208, 輔助計算!$F$2:$F$801, 0)+1)), "")&lt;&gt;IFERROR(INDEX(ERP資料!$A:$A, MATCH(207, 輔助計算!$F$2:$F$801, 0)+1), "")), INDEX(ERP資料!$B:$B, (MATCH(208, 輔助計算!$F$2:$F$801, 0)+1)), ""), "")</f>
        <v/>
      </c>
      <c r="B209" s="10">
        <f>IFERROR(IF(AND(IFERROR(INDEX(ERP資料!$A:$A, (MATCH(208, 輔助計算!$F$2:$F$801, 0)+1)), "")&lt;&gt;"", IFERROR(INDEX(ERP資料!$A:$A, (MATCH(208, 輔助計算!$F$2:$F$801, 0)+1)), "")&lt;&gt;IFERROR(INDEX(ERP資料!$A:$A, MATCH(207, 輔助計算!$F$2:$F$801, 0)+1), "")), IFERROR(INDEX(ERP資料!$A:$A, (MATCH(208, 輔助計算!$F$2:$F$801, 0)+1)), ""), ""), "")</f>
        <v/>
      </c>
      <c r="C209" s="10">
        <f>IFERROR(IF(AND(IFERROR(INDEX(ERP資料!$A:$A, (MATCH(208, 輔助計算!$F$2:$F$801, 0)+1)), "")&lt;&gt;"", IFERROR(INDEX(ERP資料!$A:$A, (MATCH(208, 輔助計算!$F$2:$F$801, 0)+1)), "")&lt;&gt;IFERROR(INDEX(ERP資料!$A:$A, MATCH(207, 輔助計算!$F$2:$F$801, 0)+1), "")), INDEX(ERP資料!$S:$S, (MATCH(208, 輔助計算!$F$2:$F$801, 0)+1)), ""), "")</f>
        <v/>
      </c>
      <c r="D209" s="10">
        <f>IFERROR(IF(INDEX(ERP資料!$E:$E, (MATCH(208, 輔助計算!$F$2:$F$801, 0)+1))="","",TRIM(INDEX(ERP資料!$E:$E, (MATCH(208, 輔助計算!$F$2:$F$801, 0)+1)))), "")</f>
        <v/>
      </c>
      <c r="E209" s="10">
        <f>IFERROR(IF(INDEX(ERP資料!$F:$F, (MATCH(208, 輔助計算!$F$2:$F$801, 0)+1))="","",INDEX(ERP資料!$F:$F, (MATCH(208, 輔助計算!$F$2:$F$801, 0)+1))), "")</f>
        <v/>
      </c>
      <c r="F209" s="10">
        <f>IFERROR(IF(INDEX(ERP資料!$G:$G, (MATCH(208, 輔助計算!$F$2:$F$801, 0)+1))="","",INDEX(ERP資料!$G:$G, (MATCH(208, 輔助計算!$F$2:$F$801, 0)+1))), "")</f>
        <v/>
      </c>
      <c r="G209" s="10">
        <f>IFERROR(IF(INDEX(ERP資料!$H:$H, (MATCH(208, 輔助計算!$F$2:$F$801, 0)+1))="","",INDEX(ERP資料!$H:$H, (MATCH(208, 輔助計算!$F$2:$F$801, 0)+1))), "")</f>
        <v/>
      </c>
      <c r="H209" s="10">
        <f>IFERROR(IF(INDEX(ERP資料!$O:$O, (MATCH(208, 輔助計算!$F$2:$F$801, 0)+1))="","",INDEX(ERP資料!$O:$O, (MATCH(208, 輔助計算!$F$2:$F$801, 0)+1))), "")</f>
        <v/>
      </c>
      <c r="I209" s="15">
        <f>IFERROR(IF(INDEX(輔助計算!$D:$D,(MATCH(208, 輔助計算!$F$2:$F$801, 0)+1))="","",INDEX(輔助計算!$D:$D,(MATCH(208, 輔助計算!$F$2:$F$801, 0)+1))*INDEX(ERP資料!$O:$O,(MATCH(208, 輔助計算!$F$2:$F$801, 0)+1))), "")</f>
        <v/>
      </c>
      <c r="J209" s="16" t="n"/>
      <c r="K209" s="15">
        <f>IFERROR(INDEX(輔助計算!$D:$D, (MATCH(208, 輔助計算!$F$2:$F$801, 0)+1)), "")</f>
        <v/>
      </c>
      <c r="L209" s="16">
        <f>IFERROR(IF(AND(IFERROR(VLOOKUP(LEFT(INDEX(ERP資料!$S:$S, (MATCH(208, 輔助計算!$F$2:$F$801, 0)+1)), 4), 100張客戶!$A:$A, 1, FALSE), "")&lt;&gt;"", OR(INDEX(ERP資料!$F:$F, (MATCH(208, 輔助計算!$F$2:$F$801, 0)+1))=270, INDEX(ERP資料!$F:$F, (MATCH(208, 輔助計算!$F$2:$F$801, 0)+1))=300)), "100張", ""), "")</f>
        <v/>
      </c>
      <c r="M209" s="17" t="n"/>
      <c r="N209" s="17">
        <f>IF($F209="","",$F209)</f>
        <v/>
      </c>
      <c r="O209" s="17">
        <f>IF($G209="","",$G209)</f>
        <v/>
      </c>
      <c r="P209" s="17">
        <f>IF($K209="","",$K209)</f>
        <v/>
      </c>
      <c r="Q209" s="16" t="n"/>
      <c r="R209" s="18" t="n"/>
      <c r="S209" s="16" t="n"/>
    </row>
    <row r="210">
      <c r="A210" s="14">
        <f>IFERROR(IF(AND(IFERROR(INDEX(ERP資料!$A:$A, (MATCH(209, 輔助計算!$F$2:$F$801, 0)+1)), "")&lt;&gt;"", IFERROR(INDEX(ERP資料!$A:$A, (MATCH(209, 輔助計算!$F$2:$F$801, 0)+1)), "")&lt;&gt;IFERROR(INDEX(ERP資料!$A:$A, MATCH(208, 輔助計算!$F$2:$F$801, 0)+1), "")), INDEX(ERP資料!$B:$B, (MATCH(209, 輔助計算!$F$2:$F$801, 0)+1)), ""), "")</f>
        <v/>
      </c>
      <c r="B210" s="10">
        <f>IFERROR(IF(AND(IFERROR(INDEX(ERP資料!$A:$A, (MATCH(209, 輔助計算!$F$2:$F$801, 0)+1)), "")&lt;&gt;"", IFERROR(INDEX(ERP資料!$A:$A, (MATCH(209, 輔助計算!$F$2:$F$801, 0)+1)), "")&lt;&gt;IFERROR(INDEX(ERP資料!$A:$A, MATCH(208, 輔助計算!$F$2:$F$801, 0)+1), "")), IFERROR(INDEX(ERP資料!$A:$A, (MATCH(209, 輔助計算!$F$2:$F$801, 0)+1)), ""), ""), "")</f>
        <v/>
      </c>
      <c r="C210" s="10">
        <f>IFERROR(IF(AND(IFERROR(INDEX(ERP資料!$A:$A, (MATCH(209, 輔助計算!$F$2:$F$801, 0)+1)), "")&lt;&gt;"", IFERROR(INDEX(ERP資料!$A:$A, (MATCH(209, 輔助計算!$F$2:$F$801, 0)+1)), "")&lt;&gt;IFERROR(INDEX(ERP資料!$A:$A, MATCH(208, 輔助計算!$F$2:$F$801, 0)+1), "")), INDEX(ERP資料!$S:$S, (MATCH(209, 輔助計算!$F$2:$F$801, 0)+1)), ""), "")</f>
        <v/>
      </c>
      <c r="D210" s="10">
        <f>IFERROR(IF(INDEX(ERP資料!$E:$E, (MATCH(209, 輔助計算!$F$2:$F$801, 0)+1))="","",TRIM(INDEX(ERP資料!$E:$E, (MATCH(209, 輔助計算!$F$2:$F$801, 0)+1)))), "")</f>
        <v/>
      </c>
      <c r="E210" s="10">
        <f>IFERROR(IF(INDEX(ERP資料!$F:$F, (MATCH(209, 輔助計算!$F$2:$F$801, 0)+1))="","",INDEX(ERP資料!$F:$F, (MATCH(209, 輔助計算!$F$2:$F$801, 0)+1))), "")</f>
        <v/>
      </c>
      <c r="F210" s="10">
        <f>IFERROR(IF(INDEX(ERP資料!$G:$G, (MATCH(209, 輔助計算!$F$2:$F$801, 0)+1))="","",INDEX(ERP資料!$G:$G, (MATCH(209, 輔助計算!$F$2:$F$801, 0)+1))), "")</f>
        <v/>
      </c>
      <c r="G210" s="10">
        <f>IFERROR(IF(INDEX(ERP資料!$H:$H, (MATCH(209, 輔助計算!$F$2:$F$801, 0)+1))="","",INDEX(ERP資料!$H:$H, (MATCH(209, 輔助計算!$F$2:$F$801, 0)+1))), "")</f>
        <v/>
      </c>
      <c r="H210" s="10">
        <f>IFERROR(IF(INDEX(ERP資料!$O:$O, (MATCH(209, 輔助計算!$F$2:$F$801, 0)+1))="","",INDEX(ERP資料!$O:$O, (MATCH(209, 輔助計算!$F$2:$F$801, 0)+1))), "")</f>
        <v/>
      </c>
      <c r="I210" s="15">
        <f>IFERROR(IF(INDEX(輔助計算!$D:$D,(MATCH(209, 輔助計算!$F$2:$F$801, 0)+1))="","",INDEX(輔助計算!$D:$D,(MATCH(209, 輔助計算!$F$2:$F$801, 0)+1))*INDEX(ERP資料!$O:$O,(MATCH(209, 輔助計算!$F$2:$F$801, 0)+1))), "")</f>
        <v/>
      </c>
      <c r="J210" s="16" t="n"/>
      <c r="K210" s="15">
        <f>IFERROR(INDEX(輔助計算!$D:$D, (MATCH(209, 輔助計算!$F$2:$F$801, 0)+1)), "")</f>
        <v/>
      </c>
      <c r="L210" s="16">
        <f>IFERROR(IF(AND(IFERROR(VLOOKUP(LEFT(INDEX(ERP資料!$S:$S, (MATCH(209, 輔助計算!$F$2:$F$801, 0)+1)), 4), 100張客戶!$A:$A, 1, FALSE), "")&lt;&gt;"", OR(INDEX(ERP資料!$F:$F, (MATCH(209, 輔助計算!$F$2:$F$801, 0)+1))=270, INDEX(ERP資料!$F:$F, (MATCH(209, 輔助計算!$F$2:$F$801, 0)+1))=300)), "100張", ""), "")</f>
        <v/>
      </c>
      <c r="M210" s="17" t="n"/>
      <c r="N210" s="17">
        <f>IF($F210="","",$F210)</f>
        <v/>
      </c>
      <c r="O210" s="17">
        <f>IF($G210="","",$G210)</f>
        <v/>
      </c>
      <c r="P210" s="17">
        <f>IF($K210="","",$K210)</f>
        <v/>
      </c>
      <c r="Q210" s="16" t="n"/>
      <c r="R210" s="18" t="n"/>
      <c r="S210" s="16" t="n"/>
    </row>
    <row r="211">
      <c r="A211" s="14">
        <f>IFERROR(IF(AND(IFERROR(INDEX(ERP資料!$A:$A, (MATCH(210, 輔助計算!$F$2:$F$801, 0)+1)), "")&lt;&gt;"", IFERROR(INDEX(ERP資料!$A:$A, (MATCH(210, 輔助計算!$F$2:$F$801, 0)+1)), "")&lt;&gt;IFERROR(INDEX(ERP資料!$A:$A, MATCH(209, 輔助計算!$F$2:$F$801, 0)+1), "")), INDEX(ERP資料!$B:$B, (MATCH(210, 輔助計算!$F$2:$F$801, 0)+1)), ""), "")</f>
        <v/>
      </c>
      <c r="B211" s="10">
        <f>IFERROR(IF(AND(IFERROR(INDEX(ERP資料!$A:$A, (MATCH(210, 輔助計算!$F$2:$F$801, 0)+1)), "")&lt;&gt;"", IFERROR(INDEX(ERP資料!$A:$A, (MATCH(210, 輔助計算!$F$2:$F$801, 0)+1)), "")&lt;&gt;IFERROR(INDEX(ERP資料!$A:$A, MATCH(209, 輔助計算!$F$2:$F$801, 0)+1), "")), IFERROR(INDEX(ERP資料!$A:$A, (MATCH(210, 輔助計算!$F$2:$F$801, 0)+1)), ""), ""), "")</f>
        <v/>
      </c>
      <c r="C211" s="10">
        <f>IFERROR(IF(AND(IFERROR(INDEX(ERP資料!$A:$A, (MATCH(210, 輔助計算!$F$2:$F$801, 0)+1)), "")&lt;&gt;"", IFERROR(INDEX(ERP資料!$A:$A, (MATCH(210, 輔助計算!$F$2:$F$801, 0)+1)), "")&lt;&gt;IFERROR(INDEX(ERP資料!$A:$A, MATCH(209, 輔助計算!$F$2:$F$801, 0)+1), "")), INDEX(ERP資料!$S:$S, (MATCH(210, 輔助計算!$F$2:$F$801, 0)+1)), ""), "")</f>
        <v/>
      </c>
      <c r="D211" s="10">
        <f>IFERROR(IF(INDEX(ERP資料!$E:$E, (MATCH(210, 輔助計算!$F$2:$F$801, 0)+1))="","",TRIM(INDEX(ERP資料!$E:$E, (MATCH(210, 輔助計算!$F$2:$F$801, 0)+1)))), "")</f>
        <v/>
      </c>
      <c r="E211" s="10">
        <f>IFERROR(IF(INDEX(ERP資料!$F:$F, (MATCH(210, 輔助計算!$F$2:$F$801, 0)+1))="","",INDEX(ERP資料!$F:$F, (MATCH(210, 輔助計算!$F$2:$F$801, 0)+1))), "")</f>
        <v/>
      </c>
      <c r="F211" s="10">
        <f>IFERROR(IF(INDEX(ERP資料!$G:$G, (MATCH(210, 輔助計算!$F$2:$F$801, 0)+1))="","",INDEX(ERP資料!$G:$G, (MATCH(210, 輔助計算!$F$2:$F$801, 0)+1))), "")</f>
        <v/>
      </c>
      <c r="G211" s="10">
        <f>IFERROR(IF(INDEX(ERP資料!$H:$H, (MATCH(210, 輔助計算!$F$2:$F$801, 0)+1))="","",INDEX(ERP資料!$H:$H, (MATCH(210, 輔助計算!$F$2:$F$801, 0)+1))), "")</f>
        <v/>
      </c>
      <c r="H211" s="10">
        <f>IFERROR(IF(INDEX(ERP資料!$O:$O, (MATCH(210, 輔助計算!$F$2:$F$801, 0)+1))="","",INDEX(ERP資料!$O:$O, (MATCH(210, 輔助計算!$F$2:$F$801, 0)+1))), "")</f>
        <v/>
      </c>
      <c r="I211" s="15">
        <f>IFERROR(IF(INDEX(輔助計算!$D:$D,(MATCH(210, 輔助計算!$F$2:$F$801, 0)+1))="","",INDEX(輔助計算!$D:$D,(MATCH(210, 輔助計算!$F$2:$F$801, 0)+1))*INDEX(ERP資料!$O:$O,(MATCH(210, 輔助計算!$F$2:$F$801, 0)+1))), "")</f>
        <v/>
      </c>
      <c r="J211" s="16" t="n"/>
      <c r="K211" s="15">
        <f>IFERROR(INDEX(輔助計算!$D:$D, (MATCH(210, 輔助計算!$F$2:$F$801, 0)+1)), "")</f>
        <v/>
      </c>
      <c r="L211" s="16">
        <f>IFERROR(IF(AND(IFERROR(VLOOKUP(LEFT(INDEX(ERP資料!$S:$S, (MATCH(210, 輔助計算!$F$2:$F$801, 0)+1)), 4), 100張客戶!$A:$A, 1, FALSE), "")&lt;&gt;"", OR(INDEX(ERP資料!$F:$F, (MATCH(210, 輔助計算!$F$2:$F$801, 0)+1))=270, INDEX(ERP資料!$F:$F, (MATCH(210, 輔助計算!$F$2:$F$801, 0)+1))=300)), "100張", ""), "")</f>
        <v/>
      </c>
      <c r="M211" s="17" t="n"/>
      <c r="N211" s="17">
        <f>IF($F211="","",$F211)</f>
        <v/>
      </c>
      <c r="O211" s="17">
        <f>IF($G211="","",$G211)</f>
        <v/>
      </c>
      <c r="P211" s="17">
        <f>IF($K211="","",$K211)</f>
        <v/>
      </c>
      <c r="Q211" s="16" t="n"/>
      <c r="R211" s="18" t="n"/>
      <c r="S211" s="16" t="n"/>
    </row>
    <row r="212">
      <c r="A212" s="14">
        <f>IFERROR(IF(AND(IFERROR(INDEX(ERP資料!$A:$A, (MATCH(211, 輔助計算!$F$2:$F$801, 0)+1)), "")&lt;&gt;"", IFERROR(INDEX(ERP資料!$A:$A, (MATCH(211, 輔助計算!$F$2:$F$801, 0)+1)), "")&lt;&gt;IFERROR(INDEX(ERP資料!$A:$A, MATCH(210, 輔助計算!$F$2:$F$801, 0)+1), "")), INDEX(ERP資料!$B:$B, (MATCH(211, 輔助計算!$F$2:$F$801, 0)+1)), ""), "")</f>
        <v/>
      </c>
      <c r="B212" s="10">
        <f>IFERROR(IF(AND(IFERROR(INDEX(ERP資料!$A:$A, (MATCH(211, 輔助計算!$F$2:$F$801, 0)+1)), "")&lt;&gt;"", IFERROR(INDEX(ERP資料!$A:$A, (MATCH(211, 輔助計算!$F$2:$F$801, 0)+1)), "")&lt;&gt;IFERROR(INDEX(ERP資料!$A:$A, MATCH(210, 輔助計算!$F$2:$F$801, 0)+1), "")), IFERROR(INDEX(ERP資料!$A:$A, (MATCH(211, 輔助計算!$F$2:$F$801, 0)+1)), ""), ""), "")</f>
        <v/>
      </c>
      <c r="C212" s="10">
        <f>IFERROR(IF(AND(IFERROR(INDEX(ERP資料!$A:$A, (MATCH(211, 輔助計算!$F$2:$F$801, 0)+1)), "")&lt;&gt;"", IFERROR(INDEX(ERP資料!$A:$A, (MATCH(211, 輔助計算!$F$2:$F$801, 0)+1)), "")&lt;&gt;IFERROR(INDEX(ERP資料!$A:$A, MATCH(210, 輔助計算!$F$2:$F$801, 0)+1), "")), INDEX(ERP資料!$S:$S, (MATCH(211, 輔助計算!$F$2:$F$801, 0)+1)), ""), "")</f>
        <v/>
      </c>
      <c r="D212" s="10">
        <f>IFERROR(IF(INDEX(ERP資料!$E:$E, (MATCH(211, 輔助計算!$F$2:$F$801, 0)+1))="","",TRIM(INDEX(ERP資料!$E:$E, (MATCH(211, 輔助計算!$F$2:$F$801, 0)+1)))), "")</f>
        <v/>
      </c>
      <c r="E212" s="10">
        <f>IFERROR(IF(INDEX(ERP資料!$F:$F, (MATCH(211, 輔助計算!$F$2:$F$801, 0)+1))="","",INDEX(ERP資料!$F:$F, (MATCH(211, 輔助計算!$F$2:$F$801, 0)+1))), "")</f>
        <v/>
      </c>
      <c r="F212" s="10">
        <f>IFERROR(IF(INDEX(ERP資料!$G:$G, (MATCH(211, 輔助計算!$F$2:$F$801, 0)+1))="","",INDEX(ERP資料!$G:$G, (MATCH(211, 輔助計算!$F$2:$F$801, 0)+1))), "")</f>
        <v/>
      </c>
      <c r="G212" s="10">
        <f>IFERROR(IF(INDEX(ERP資料!$H:$H, (MATCH(211, 輔助計算!$F$2:$F$801, 0)+1))="","",INDEX(ERP資料!$H:$H, (MATCH(211, 輔助計算!$F$2:$F$801, 0)+1))), "")</f>
        <v/>
      </c>
      <c r="H212" s="10">
        <f>IFERROR(IF(INDEX(ERP資料!$O:$O, (MATCH(211, 輔助計算!$F$2:$F$801, 0)+1))="","",INDEX(ERP資料!$O:$O, (MATCH(211, 輔助計算!$F$2:$F$801, 0)+1))), "")</f>
        <v/>
      </c>
      <c r="I212" s="15">
        <f>IFERROR(IF(INDEX(輔助計算!$D:$D,(MATCH(211, 輔助計算!$F$2:$F$801, 0)+1))="","",INDEX(輔助計算!$D:$D,(MATCH(211, 輔助計算!$F$2:$F$801, 0)+1))*INDEX(ERP資料!$O:$O,(MATCH(211, 輔助計算!$F$2:$F$801, 0)+1))), "")</f>
        <v/>
      </c>
      <c r="J212" s="16" t="n"/>
      <c r="K212" s="15">
        <f>IFERROR(INDEX(輔助計算!$D:$D, (MATCH(211, 輔助計算!$F$2:$F$801, 0)+1)), "")</f>
        <v/>
      </c>
      <c r="L212" s="16">
        <f>IFERROR(IF(AND(IFERROR(VLOOKUP(LEFT(INDEX(ERP資料!$S:$S, (MATCH(211, 輔助計算!$F$2:$F$801, 0)+1)), 4), 100張客戶!$A:$A, 1, FALSE), "")&lt;&gt;"", OR(INDEX(ERP資料!$F:$F, (MATCH(211, 輔助計算!$F$2:$F$801, 0)+1))=270, INDEX(ERP資料!$F:$F, (MATCH(211, 輔助計算!$F$2:$F$801, 0)+1))=300)), "100張", ""), "")</f>
        <v/>
      </c>
      <c r="M212" s="17" t="n"/>
      <c r="N212" s="17">
        <f>IF($F212="","",$F212)</f>
        <v/>
      </c>
      <c r="O212" s="17">
        <f>IF($G212="","",$G212)</f>
        <v/>
      </c>
      <c r="P212" s="17">
        <f>IF($K212="","",$K212)</f>
        <v/>
      </c>
      <c r="Q212" s="16" t="n"/>
      <c r="R212" s="18" t="n"/>
      <c r="S212" s="16" t="n"/>
    </row>
    <row r="213">
      <c r="A213" s="14">
        <f>IFERROR(IF(AND(IFERROR(INDEX(ERP資料!$A:$A, (MATCH(212, 輔助計算!$F$2:$F$801, 0)+1)), "")&lt;&gt;"", IFERROR(INDEX(ERP資料!$A:$A, (MATCH(212, 輔助計算!$F$2:$F$801, 0)+1)), "")&lt;&gt;IFERROR(INDEX(ERP資料!$A:$A, MATCH(211, 輔助計算!$F$2:$F$801, 0)+1), "")), INDEX(ERP資料!$B:$B, (MATCH(212, 輔助計算!$F$2:$F$801, 0)+1)), ""), "")</f>
        <v/>
      </c>
      <c r="B213" s="10">
        <f>IFERROR(IF(AND(IFERROR(INDEX(ERP資料!$A:$A, (MATCH(212, 輔助計算!$F$2:$F$801, 0)+1)), "")&lt;&gt;"", IFERROR(INDEX(ERP資料!$A:$A, (MATCH(212, 輔助計算!$F$2:$F$801, 0)+1)), "")&lt;&gt;IFERROR(INDEX(ERP資料!$A:$A, MATCH(211, 輔助計算!$F$2:$F$801, 0)+1), "")), IFERROR(INDEX(ERP資料!$A:$A, (MATCH(212, 輔助計算!$F$2:$F$801, 0)+1)), ""), ""), "")</f>
        <v/>
      </c>
      <c r="C213" s="10">
        <f>IFERROR(IF(AND(IFERROR(INDEX(ERP資料!$A:$A, (MATCH(212, 輔助計算!$F$2:$F$801, 0)+1)), "")&lt;&gt;"", IFERROR(INDEX(ERP資料!$A:$A, (MATCH(212, 輔助計算!$F$2:$F$801, 0)+1)), "")&lt;&gt;IFERROR(INDEX(ERP資料!$A:$A, MATCH(211, 輔助計算!$F$2:$F$801, 0)+1), "")), INDEX(ERP資料!$S:$S, (MATCH(212, 輔助計算!$F$2:$F$801, 0)+1)), ""), "")</f>
        <v/>
      </c>
      <c r="D213" s="10">
        <f>IFERROR(IF(INDEX(ERP資料!$E:$E, (MATCH(212, 輔助計算!$F$2:$F$801, 0)+1))="","",TRIM(INDEX(ERP資料!$E:$E, (MATCH(212, 輔助計算!$F$2:$F$801, 0)+1)))), "")</f>
        <v/>
      </c>
      <c r="E213" s="10">
        <f>IFERROR(IF(INDEX(ERP資料!$F:$F, (MATCH(212, 輔助計算!$F$2:$F$801, 0)+1))="","",INDEX(ERP資料!$F:$F, (MATCH(212, 輔助計算!$F$2:$F$801, 0)+1))), "")</f>
        <v/>
      </c>
      <c r="F213" s="10">
        <f>IFERROR(IF(INDEX(ERP資料!$G:$G, (MATCH(212, 輔助計算!$F$2:$F$801, 0)+1))="","",INDEX(ERP資料!$G:$G, (MATCH(212, 輔助計算!$F$2:$F$801, 0)+1))), "")</f>
        <v/>
      </c>
      <c r="G213" s="10">
        <f>IFERROR(IF(INDEX(ERP資料!$H:$H, (MATCH(212, 輔助計算!$F$2:$F$801, 0)+1))="","",INDEX(ERP資料!$H:$H, (MATCH(212, 輔助計算!$F$2:$F$801, 0)+1))), "")</f>
        <v/>
      </c>
      <c r="H213" s="10">
        <f>IFERROR(IF(INDEX(ERP資料!$O:$O, (MATCH(212, 輔助計算!$F$2:$F$801, 0)+1))="","",INDEX(ERP資料!$O:$O, (MATCH(212, 輔助計算!$F$2:$F$801, 0)+1))), "")</f>
        <v/>
      </c>
      <c r="I213" s="15">
        <f>IFERROR(IF(INDEX(輔助計算!$D:$D,(MATCH(212, 輔助計算!$F$2:$F$801, 0)+1))="","",INDEX(輔助計算!$D:$D,(MATCH(212, 輔助計算!$F$2:$F$801, 0)+1))*INDEX(ERP資料!$O:$O,(MATCH(212, 輔助計算!$F$2:$F$801, 0)+1))), "")</f>
        <v/>
      </c>
      <c r="J213" s="16" t="n"/>
      <c r="K213" s="15">
        <f>IFERROR(INDEX(輔助計算!$D:$D, (MATCH(212, 輔助計算!$F$2:$F$801, 0)+1)), "")</f>
        <v/>
      </c>
      <c r="L213" s="16">
        <f>IFERROR(IF(AND(IFERROR(VLOOKUP(LEFT(INDEX(ERP資料!$S:$S, (MATCH(212, 輔助計算!$F$2:$F$801, 0)+1)), 4), 100張客戶!$A:$A, 1, FALSE), "")&lt;&gt;"", OR(INDEX(ERP資料!$F:$F, (MATCH(212, 輔助計算!$F$2:$F$801, 0)+1))=270, INDEX(ERP資料!$F:$F, (MATCH(212, 輔助計算!$F$2:$F$801, 0)+1))=300)), "100張", ""), "")</f>
        <v/>
      </c>
      <c r="M213" s="17" t="n"/>
      <c r="N213" s="17">
        <f>IF($F213="","",$F213)</f>
        <v/>
      </c>
      <c r="O213" s="17">
        <f>IF($G213="","",$G213)</f>
        <v/>
      </c>
      <c r="P213" s="17">
        <f>IF($K213="","",$K213)</f>
        <v/>
      </c>
      <c r="Q213" s="16" t="n"/>
      <c r="R213" s="18" t="n"/>
      <c r="S213" s="16" t="n"/>
    </row>
    <row r="214">
      <c r="A214" s="14">
        <f>IFERROR(IF(AND(IFERROR(INDEX(ERP資料!$A:$A, (MATCH(213, 輔助計算!$F$2:$F$801, 0)+1)), "")&lt;&gt;"", IFERROR(INDEX(ERP資料!$A:$A, (MATCH(213, 輔助計算!$F$2:$F$801, 0)+1)), "")&lt;&gt;IFERROR(INDEX(ERP資料!$A:$A, MATCH(212, 輔助計算!$F$2:$F$801, 0)+1), "")), INDEX(ERP資料!$B:$B, (MATCH(213, 輔助計算!$F$2:$F$801, 0)+1)), ""), "")</f>
        <v/>
      </c>
      <c r="B214" s="10">
        <f>IFERROR(IF(AND(IFERROR(INDEX(ERP資料!$A:$A, (MATCH(213, 輔助計算!$F$2:$F$801, 0)+1)), "")&lt;&gt;"", IFERROR(INDEX(ERP資料!$A:$A, (MATCH(213, 輔助計算!$F$2:$F$801, 0)+1)), "")&lt;&gt;IFERROR(INDEX(ERP資料!$A:$A, MATCH(212, 輔助計算!$F$2:$F$801, 0)+1), "")), IFERROR(INDEX(ERP資料!$A:$A, (MATCH(213, 輔助計算!$F$2:$F$801, 0)+1)), ""), ""), "")</f>
        <v/>
      </c>
      <c r="C214" s="10">
        <f>IFERROR(IF(AND(IFERROR(INDEX(ERP資料!$A:$A, (MATCH(213, 輔助計算!$F$2:$F$801, 0)+1)), "")&lt;&gt;"", IFERROR(INDEX(ERP資料!$A:$A, (MATCH(213, 輔助計算!$F$2:$F$801, 0)+1)), "")&lt;&gt;IFERROR(INDEX(ERP資料!$A:$A, MATCH(212, 輔助計算!$F$2:$F$801, 0)+1), "")), INDEX(ERP資料!$S:$S, (MATCH(213, 輔助計算!$F$2:$F$801, 0)+1)), ""), "")</f>
        <v/>
      </c>
      <c r="D214" s="10">
        <f>IFERROR(IF(INDEX(ERP資料!$E:$E, (MATCH(213, 輔助計算!$F$2:$F$801, 0)+1))="","",TRIM(INDEX(ERP資料!$E:$E, (MATCH(213, 輔助計算!$F$2:$F$801, 0)+1)))), "")</f>
        <v/>
      </c>
      <c r="E214" s="10">
        <f>IFERROR(IF(INDEX(ERP資料!$F:$F, (MATCH(213, 輔助計算!$F$2:$F$801, 0)+1))="","",INDEX(ERP資料!$F:$F, (MATCH(213, 輔助計算!$F$2:$F$801, 0)+1))), "")</f>
        <v/>
      </c>
      <c r="F214" s="10">
        <f>IFERROR(IF(INDEX(ERP資料!$G:$G, (MATCH(213, 輔助計算!$F$2:$F$801, 0)+1))="","",INDEX(ERP資料!$G:$G, (MATCH(213, 輔助計算!$F$2:$F$801, 0)+1))), "")</f>
        <v/>
      </c>
      <c r="G214" s="10">
        <f>IFERROR(IF(INDEX(ERP資料!$H:$H, (MATCH(213, 輔助計算!$F$2:$F$801, 0)+1))="","",INDEX(ERP資料!$H:$H, (MATCH(213, 輔助計算!$F$2:$F$801, 0)+1))), "")</f>
        <v/>
      </c>
      <c r="H214" s="10">
        <f>IFERROR(IF(INDEX(ERP資料!$O:$O, (MATCH(213, 輔助計算!$F$2:$F$801, 0)+1))="","",INDEX(ERP資料!$O:$O, (MATCH(213, 輔助計算!$F$2:$F$801, 0)+1))), "")</f>
        <v/>
      </c>
      <c r="I214" s="15">
        <f>IFERROR(IF(INDEX(輔助計算!$D:$D,(MATCH(213, 輔助計算!$F$2:$F$801, 0)+1))="","",INDEX(輔助計算!$D:$D,(MATCH(213, 輔助計算!$F$2:$F$801, 0)+1))*INDEX(ERP資料!$O:$O,(MATCH(213, 輔助計算!$F$2:$F$801, 0)+1))), "")</f>
        <v/>
      </c>
      <c r="J214" s="16" t="n"/>
      <c r="K214" s="15">
        <f>IFERROR(INDEX(輔助計算!$D:$D, (MATCH(213, 輔助計算!$F$2:$F$801, 0)+1)), "")</f>
        <v/>
      </c>
      <c r="L214" s="16">
        <f>IFERROR(IF(AND(IFERROR(VLOOKUP(LEFT(INDEX(ERP資料!$S:$S, (MATCH(213, 輔助計算!$F$2:$F$801, 0)+1)), 4), 100張客戶!$A:$A, 1, FALSE), "")&lt;&gt;"", OR(INDEX(ERP資料!$F:$F, (MATCH(213, 輔助計算!$F$2:$F$801, 0)+1))=270, INDEX(ERP資料!$F:$F, (MATCH(213, 輔助計算!$F$2:$F$801, 0)+1))=300)), "100張", ""), "")</f>
        <v/>
      </c>
      <c r="M214" s="17" t="n"/>
      <c r="N214" s="17">
        <f>IF($F214="","",$F214)</f>
        <v/>
      </c>
      <c r="O214" s="17">
        <f>IF($G214="","",$G214)</f>
        <v/>
      </c>
      <c r="P214" s="17">
        <f>IF($K214="","",$K214)</f>
        <v/>
      </c>
      <c r="Q214" s="16" t="n"/>
      <c r="R214" s="18" t="n"/>
      <c r="S214" s="16" t="n"/>
    </row>
    <row r="215">
      <c r="A215" s="14">
        <f>IFERROR(IF(AND(IFERROR(INDEX(ERP資料!$A:$A, (MATCH(214, 輔助計算!$F$2:$F$801, 0)+1)), "")&lt;&gt;"", IFERROR(INDEX(ERP資料!$A:$A, (MATCH(214, 輔助計算!$F$2:$F$801, 0)+1)), "")&lt;&gt;IFERROR(INDEX(ERP資料!$A:$A, MATCH(213, 輔助計算!$F$2:$F$801, 0)+1), "")), INDEX(ERP資料!$B:$B, (MATCH(214, 輔助計算!$F$2:$F$801, 0)+1)), ""), "")</f>
        <v/>
      </c>
      <c r="B215" s="10">
        <f>IFERROR(IF(AND(IFERROR(INDEX(ERP資料!$A:$A, (MATCH(214, 輔助計算!$F$2:$F$801, 0)+1)), "")&lt;&gt;"", IFERROR(INDEX(ERP資料!$A:$A, (MATCH(214, 輔助計算!$F$2:$F$801, 0)+1)), "")&lt;&gt;IFERROR(INDEX(ERP資料!$A:$A, MATCH(213, 輔助計算!$F$2:$F$801, 0)+1), "")), IFERROR(INDEX(ERP資料!$A:$A, (MATCH(214, 輔助計算!$F$2:$F$801, 0)+1)), ""), ""), "")</f>
        <v/>
      </c>
      <c r="C215" s="10">
        <f>IFERROR(IF(AND(IFERROR(INDEX(ERP資料!$A:$A, (MATCH(214, 輔助計算!$F$2:$F$801, 0)+1)), "")&lt;&gt;"", IFERROR(INDEX(ERP資料!$A:$A, (MATCH(214, 輔助計算!$F$2:$F$801, 0)+1)), "")&lt;&gt;IFERROR(INDEX(ERP資料!$A:$A, MATCH(213, 輔助計算!$F$2:$F$801, 0)+1), "")), INDEX(ERP資料!$S:$S, (MATCH(214, 輔助計算!$F$2:$F$801, 0)+1)), ""), "")</f>
        <v/>
      </c>
      <c r="D215" s="10">
        <f>IFERROR(IF(INDEX(ERP資料!$E:$E, (MATCH(214, 輔助計算!$F$2:$F$801, 0)+1))="","",TRIM(INDEX(ERP資料!$E:$E, (MATCH(214, 輔助計算!$F$2:$F$801, 0)+1)))), "")</f>
        <v/>
      </c>
      <c r="E215" s="10">
        <f>IFERROR(IF(INDEX(ERP資料!$F:$F, (MATCH(214, 輔助計算!$F$2:$F$801, 0)+1))="","",INDEX(ERP資料!$F:$F, (MATCH(214, 輔助計算!$F$2:$F$801, 0)+1))), "")</f>
        <v/>
      </c>
      <c r="F215" s="10">
        <f>IFERROR(IF(INDEX(ERP資料!$G:$G, (MATCH(214, 輔助計算!$F$2:$F$801, 0)+1))="","",INDEX(ERP資料!$G:$G, (MATCH(214, 輔助計算!$F$2:$F$801, 0)+1))), "")</f>
        <v/>
      </c>
      <c r="G215" s="10">
        <f>IFERROR(IF(INDEX(ERP資料!$H:$H, (MATCH(214, 輔助計算!$F$2:$F$801, 0)+1))="","",INDEX(ERP資料!$H:$H, (MATCH(214, 輔助計算!$F$2:$F$801, 0)+1))), "")</f>
        <v/>
      </c>
      <c r="H215" s="10">
        <f>IFERROR(IF(INDEX(ERP資料!$O:$O, (MATCH(214, 輔助計算!$F$2:$F$801, 0)+1))="","",INDEX(ERP資料!$O:$O, (MATCH(214, 輔助計算!$F$2:$F$801, 0)+1))), "")</f>
        <v/>
      </c>
      <c r="I215" s="15">
        <f>IFERROR(IF(INDEX(輔助計算!$D:$D,(MATCH(214, 輔助計算!$F$2:$F$801, 0)+1))="","",INDEX(輔助計算!$D:$D,(MATCH(214, 輔助計算!$F$2:$F$801, 0)+1))*INDEX(ERP資料!$O:$O,(MATCH(214, 輔助計算!$F$2:$F$801, 0)+1))), "")</f>
        <v/>
      </c>
      <c r="J215" s="16" t="n"/>
      <c r="K215" s="15">
        <f>IFERROR(INDEX(輔助計算!$D:$D, (MATCH(214, 輔助計算!$F$2:$F$801, 0)+1)), "")</f>
        <v/>
      </c>
      <c r="L215" s="16">
        <f>IFERROR(IF(AND(IFERROR(VLOOKUP(LEFT(INDEX(ERP資料!$S:$S, (MATCH(214, 輔助計算!$F$2:$F$801, 0)+1)), 4), 100張客戶!$A:$A, 1, FALSE), "")&lt;&gt;"", OR(INDEX(ERP資料!$F:$F, (MATCH(214, 輔助計算!$F$2:$F$801, 0)+1))=270, INDEX(ERP資料!$F:$F, (MATCH(214, 輔助計算!$F$2:$F$801, 0)+1))=300)), "100張", ""), "")</f>
        <v/>
      </c>
      <c r="M215" s="17" t="n"/>
      <c r="N215" s="17">
        <f>IF($F215="","",$F215)</f>
        <v/>
      </c>
      <c r="O215" s="17">
        <f>IF($G215="","",$G215)</f>
        <v/>
      </c>
      <c r="P215" s="17">
        <f>IF($K215="","",$K215)</f>
        <v/>
      </c>
      <c r="Q215" s="16" t="n"/>
      <c r="R215" s="18" t="n"/>
      <c r="S215" s="16" t="n"/>
    </row>
    <row r="216">
      <c r="A216" s="14">
        <f>IFERROR(IF(AND(IFERROR(INDEX(ERP資料!$A:$A, (MATCH(215, 輔助計算!$F$2:$F$801, 0)+1)), "")&lt;&gt;"", IFERROR(INDEX(ERP資料!$A:$A, (MATCH(215, 輔助計算!$F$2:$F$801, 0)+1)), "")&lt;&gt;IFERROR(INDEX(ERP資料!$A:$A, MATCH(214, 輔助計算!$F$2:$F$801, 0)+1), "")), INDEX(ERP資料!$B:$B, (MATCH(215, 輔助計算!$F$2:$F$801, 0)+1)), ""), "")</f>
        <v/>
      </c>
      <c r="B216" s="10">
        <f>IFERROR(IF(AND(IFERROR(INDEX(ERP資料!$A:$A, (MATCH(215, 輔助計算!$F$2:$F$801, 0)+1)), "")&lt;&gt;"", IFERROR(INDEX(ERP資料!$A:$A, (MATCH(215, 輔助計算!$F$2:$F$801, 0)+1)), "")&lt;&gt;IFERROR(INDEX(ERP資料!$A:$A, MATCH(214, 輔助計算!$F$2:$F$801, 0)+1), "")), IFERROR(INDEX(ERP資料!$A:$A, (MATCH(215, 輔助計算!$F$2:$F$801, 0)+1)), ""), ""), "")</f>
        <v/>
      </c>
      <c r="C216" s="10">
        <f>IFERROR(IF(AND(IFERROR(INDEX(ERP資料!$A:$A, (MATCH(215, 輔助計算!$F$2:$F$801, 0)+1)), "")&lt;&gt;"", IFERROR(INDEX(ERP資料!$A:$A, (MATCH(215, 輔助計算!$F$2:$F$801, 0)+1)), "")&lt;&gt;IFERROR(INDEX(ERP資料!$A:$A, MATCH(214, 輔助計算!$F$2:$F$801, 0)+1), "")), INDEX(ERP資料!$S:$S, (MATCH(215, 輔助計算!$F$2:$F$801, 0)+1)), ""), "")</f>
        <v/>
      </c>
      <c r="D216" s="10">
        <f>IFERROR(IF(INDEX(ERP資料!$E:$E, (MATCH(215, 輔助計算!$F$2:$F$801, 0)+1))="","",TRIM(INDEX(ERP資料!$E:$E, (MATCH(215, 輔助計算!$F$2:$F$801, 0)+1)))), "")</f>
        <v/>
      </c>
      <c r="E216" s="10">
        <f>IFERROR(IF(INDEX(ERP資料!$F:$F, (MATCH(215, 輔助計算!$F$2:$F$801, 0)+1))="","",INDEX(ERP資料!$F:$F, (MATCH(215, 輔助計算!$F$2:$F$801, 0)+1))), "")</f>
        <v/>
      </c>
      <c r="F216" s="10">
        <f>IFERROR(IF(INDEX(ERP資料!$G:$G, (MATCH(215, 輔助計算!$F$2:$F$801, 0)+1))="","",INDEX(ERP資料!$G:$G, (MATCH(215, 輔助計算!$F$2:$F$801, 0)+1))), "")</f>
        <v/>
      </c>
      <c r="G216" s="10">
        <f>IFERROR(IF(INDEX(ERP資料!$H:$H, (MATCH(215, 輔助計算!$F$2:$F$801, 0)+1))="","",INDEX(ERP資料!$H:$H, (MATCH(215, 輔助計算!$F$2:$F$801, 0)+1))), "")</f>
        <v/>
      </c>
      <c r="H216" s="10">
        <f>IFERROR(IF(INDEX(ERP資料!$O:$O, (MATCH(215, 輔助計算!$F$2:$F$801, 0)+1))="","",INDEX(ERP資料!$O:$O, (MATCH(215, 輔助計算!$F$2:$F$801, 0)+1))), "")</f>
        <v/>
      </c>
      <c r="I216" s="15">
        <f>IFERROR(IF(INDEX(輔助計算!$D:$D,(MATCH(215, 輔助計算!$F$2:$F$801, 0)+1))="","",INDEX(輔助計算!$D:$D,(MATCH(215, 輔助計算!$F$2:$F$801, 0)+1))*INDEX(ERP資料!$O:$O,(MATCH(215, 輔助計算!$F$2:$F$801, 0)+1))), "")</f>
        <v/>
      </c>
      <c r="J216" s="16" t="n"/>
      <c r="K216" s="15">
        <f>IFERROR(INDEX(輔助計算!$D:$D, (MATCH(215, 輔助計算!$F$2:$F$801, 0)+1)), "")</f>
        <v/>
      </c>
      <c r="L216" s="16">
        <f>IFERROR(IF(AND(IFERROR(VLOOKUP(LEFT(INDEX(ERP資料!$S:$S, (MATCH(215, 輔助計算!$F$2:$F$801, 0)+1)), 4), 100張客戶!$A:$A, 1, FALSE), "")&lt;&gt;"", OR(INDEX(ERP資料!$F:$F, (MATCH(215, 輔助計算!$F$2:$F$801, 0)+1))=270, INDEX(ERP資料!$F:$F, (MATCH(215, 輔助計算!$F$2:$F$801, 0)+1))=300)), "100張", ""), "")</f>
        <v/>
      </c>
      <c r="M216" s="17" t="n"/>
      <c r="N216" s="17">
        <f>IF($F216="","",$F216)</f>
        <v/>
      </c>
      <c r="O216" s="17">
        <f>IF($G216="","",$G216)</f>
        <v/>
      </c>
      <c r="P216" s="17">
        <f>IF($K216="","",$K216)</f>
        <v/>
      </c>
      <c r="Q216" s="16" t="n"/>
      <c r="R216" s="18" t="n"/>
      <c r="S216" s="16" t="n"/>
    </row>
    <row r="217">
      <c r="A217" s="14">
        <f>IFERROR(IF(AND(IFERROR(INDEX(ERP資料!$A:$A, (MATCH(216, 輔助計算!$F$2:$F$801, 0)+1)), "")&lt;&gt;"", IFERROR(INDEX(ERP資料!$A:$A, (MATCH(216, 輔助計算!$F$2:$F$801, 0)+1)), "")&lt;&gt;IFERROR(INDEX(ERP資料!$A:$A, MATCH(215, 輔助計算!$F$2:$F$801, 0)+1), "")), INDEX(ERP資料!$B:$B, (MATCH(216, 輔助計算!$F$2:$F$801, 0)+1)), ""), "")</f>
        <v/>
      </c>
      <c r="B217" s="10">
        <f>IFERROR(IF(AND(IFERROR(INDEX(ERP資料!$A:$A, (MATCH(216, 輔助計算!$F$2:$F$801, 0)+1)), "")&lt;&gt;"", IFERROR(INDEX(ERP資料!$A:$A, (MATCH(216, 輔助計算!$F$2:$F$801, 0)+1)), "")&lt;&gt;IFERROR(INDEX(ERP資料!$A:$A, MATCH(215, 輔助計算!$F$2:$F$801, 0)+1), "")), IFERROR(INDEX(ERP資料!$A:$A, (MATCH(216, 輔助計算!$F$2:$F$801, 0)+1)), ""), ""), "")</f>
        <v/>
      </c>
      <c r="C217" s="10">
        <f>IFERROR(IF(AND(IFERROR(INDEX(ERP資料!$A:$A, (MATCH(216, 輔助計算!$F$2:$F$801, 0)+1)), "")&lt;&gt;"", IFERROR(INDEX(ERP資料!$A:$A, (MATCH(216, 輔助計算!$F$2:$F$801, 0)+1)), "")&lt;&gt;IFERROR(INDEX(ERP資料!$A:$A, MATCH(215, 輔助計算!$F$2:$F$801, 0)+1), "")), INDEX(ERP資料!$S:$S, (MATCH(216, 輔助計算!$F$2:$F$801, 0)+1)), ""), "")</f>
        <v/>
      </c>
      <c r="D217" s="10">
        <f>IFERROR(IF(INDEX(ERP資料!$E:$E, (MATCH(216, 輔助計算!$F$2:$F$801, 0)+1))="","",TRIM(INDEX(ERP資料!$E:$E, (MATCH(216, 輔助計算!$F$2:$F$801, 0)+1)))), "")</f>
        <v/>
      </c>
      <c r="E217" s="10">
        <f>IFERROR(IF(INDEX(ERP資料!$F:$F, (MATCH(216, 輔助計算!$F$2:$F$801, 0)+1))="","",INDEX(ERP資料!$F:$F, (MATCH(216, 輔助計算!$F$2:$F$801, 0)+1))), "")</f>
        <v/>
      </c>
      <c r="F217" s="10">
        <f>IFERROR(IF(INDEX(ERP資料!$G:$G, (MATCH(216, 輔助計算!$F$2:$F$801, 0)+1))="","",INDEX(ERP資料!$G:$G, (MATCH(216, 輔助計算!$F$2:$F$801, 0)+1))), "")</f>
        <v/>
      </c>
      <c r="G217" s="10">
        <f>IFERROR(IF(INDEX(ERP資料!$H:$H, (MATCH(216, 輔助計算!$F$2:$F$801, 0)+1))="","",INDEX(ERP資料!$H:$H, (MATCH(216, 輔助計算!$F$2:$F$801, 0)+1))), "")</f>
        <v/>
      </c>
      <c r="H217" s="10">
        <f>IFERROR(IF(INDEX(ERP資料!$O:$O, (MATCH(216, 輔助計算!$F$2:$F$801, 0)+1))="","",INDEX(ERP資料!$O:$O, (MATCH(216, 輔助計算!$F$2:$F$801, 0)+1))), "")</f>
        <v/>
      </c>
      <c r="I217" s="15">
        <f>IFERROR(IF(INDEX(輔助計算!$D:$D,(MATCH(216, 輔助計算!$F$2:$F$801, 0)+1))="","",INDEX(輔助計算!$D:$D,(MATCH(216, 輔助計算!$F$2:$F$801, 0)+1))*INDEX(ERP資料!$O:$O,(MATCH(216, 輔助計算!$F$2:$F$801, 0)+1))), "")</f>
        <v/>
      </c>
      <c r="J217" s="16" t="n"/>
      <c r="K217" s="15">
        <f>IFERROR(INDEX(輔助計算!$D:$D, (MATCH(216, 輔助計算!$F$2:$F$801, 0)+1)), "")</f>
        <v/>
      </c>
      <c r="L217" s="16">
        <f>IFERROR(IF(AND(IFERROR(VLOOKUP(LEFT(INDEX(ERP資料!$S:$S, (MATCH(216, 輔助計算!$F$2:$F$801, 0)+1)), 4), 100張客戶!$A:$A, 1, FALSE), "")&lt;&gt;"", OR(INDEX(ERP資料!$F:$F, (MATCH(216, 輔助計算!$F$2:$F$801, 0)+1))=270, INDEX(ERP資料!$F:$F, (MATCH(216, 輔助計算!$F$2:$F$801, 0)+1))=300)), "100張", ""), "")</f>
        <v/>
      </c>
      <c r="M217" s="17" t="n"/>
      <c r="N217" s="17">
        <f>IF($F217="","",$F217)</f>
        <v/>
      </c>
      <c r="O217" s="17">
        <f>IF($G217="","",$G217)</f>
        <v/>
      </c>
      <c r="P217" s="17">
        <f>IF($K217="","",$K217)</f>
        <v/>
      </c>
      <c r="Q217" s="16" t="n"/>
      <c r="R217" s="18" t="n"/>
      <c r="S217" s="16" t="n"/>
    </row>
    <row r="218">
      <c r="A218" s="14">
        <f>IFERROR(IF(AND(IFERROR(INDEX(ERP資料!$A:$A, (MATCH(217, 輔助計算!$F$2:$F$801, 0)+1)), "")&lt;&gt;"", IFERROR(INDEX(ERP資料!$A:$A, (MATCH(217, 輔助計算!$F$2:$F$801, 0)+1)), "")&lt;&gt;IFERROR(INDEX(ERP資料!$A:$A, MATCH(216, 輔助計算!$F$2:$F$801, 0)+1), "")), INDEX(ERP資料!$B:$B, (MATCH(217, 輔助計算!$F$2:$F$801, 0)+1)), ""), "")</f>
        <v/>
      </c>
      <c r="B218" s="10">
        <f>IFERROR(IF(AND(IFERROR(INDEX(ERP資料!$A:$A, (MATCH(217, 輔助計算!$F$2:$F$801, 0)+1)), "")&lt;&gt;"", IFERROR(INDEX(ERP資料!$A:$A, (MATCH(217, 輔助計算!$F$2:$F$801, 0)+1)), "")&lt;&gt;IFERROR(INDEX(ERP資料!$A:$A, MATCH(216, 輔助計算!$F$2:$F$801, 0)+1), "")), IFERROR(INDEX(ERP資料!$A:$A, (MATCH(217, 輔助計算!$F$2:$F$801, 0)+1)), ""), ""), "")</f>
        <v/>
      </c>
      <c r="C218" s="10">
        <f>IFERROR(IF(AND(IFERROR(INDEX(ERP資料!$A:$A, (MATCH(217, 輔助計算!$F$2:$F$801, 0)+1)), "")&lt;&gt;"", IFERROR(INDEX(ERP資料!$A:$A, (MATCH(217, 輔助計算!$F$2:$F$801, 0)+1)), "")&lt;&gt;IFERROR(INDEX(ERP資料!$A:$A, MATCH(216, 輔助計算!$F$2:$F$801, 0)+1), "")), INDEX(ERP資料!$S:$S, (MATCH(217, 輔助計算!$F$2:$F$801, 0)+1)), ""), "")</f>
        <v/>
      </c>
      <c r="D218" s="10">
        <f>IFERROR(IF(INDEX(ERP資料!$E:$E, (MATCH(217, 輔助計算!$F$2:$F$801, 0)+1))="","",TRIM(INDEX(ERP資料!$E:$E, (MATCH(217, 輔助計算!$F$2:$F$801, 0)+1)))), "")</f>
        <v/>
      </c>
      <c r="E218" s="10">
        <f>IFERROR(IF(INDEX(ERP資料!$F:$F, (MATCH(217, 輔助計算!$F$2:$F$801, 0)+1))="","",INDEX(ERP資料!$F:$F, (MATCH(217, 輔助計算!$F$2:$F$801, 0)+1))), "")</f>
        <v/>
      </c>
      <c r="F218" s="10">
        <f>IFERROR(IF(INDEX(ERP資料!$G:$G, (MATCH(217, 輔助計算!$F$2:$F$801, 0)+1))="","",INDEX(ERP資料!$G:$G, (MATCH(217, 輔助計算!$F$2:$F$801, 0)+1))), "")</f>
        <v/>
      </c>
      <c r="G218" s="10">
        <f>IFERROR(IF(INDEX(ERP資料!$H:$H, (MATCH(217, 輔助計算!$F$2:$F$801, 0)+1))="","",INDEX(ERP資料!$H:$H, (MATCH(217, 輔助計算!$F$2:$F$801, 0)+1))), "")</f>
        <v/>
      </c>
      <c r="H218" s="10">
        <f>IFERROR(IF(INDEX(ERP資料!$O:$O, (MATCH(217, 輔助計算!$F$2:$F$801, 0)+1))="","",INDEX(ERP資料!$O:$O, (MATCH(217, 輔助計算!$F$2:$F$801, 0)+1))), "")</f>
        <v/>
      </c>
      <c r="I218" s="15">
        <f>IFERROR(IF(INDEX(輔助計算!$D:$D,(MATCH(217, 輔助計算!$F$2:$F$801, 0)+1))="","",INDEX(輔助計算!$D:$D,(MATCH(217, 輔助計算!$F$2:$F$801, 0)+1))*INDEX(ERP資料!$O:$O,(MATCH(217, 輔助計算!$F$2:$F$801, 0)+1))), "")</f>
        <v/>
      </c>
      <c r="J218" s="16" t="n"/>
      <c r="K218" s="15">
        <f>IFERROR(INDEX(輔助計算!$D:$D, (MATCH(217, 輔助計算!$F$2:$F$801, 0)+1)), "")</f>
        <v/>
      </c>
      <c r="L218" s="16">
        <f>IFERROR(IF(AND(IFERROR(VLOOKUP(LEFT(INDEX(ERP資料!$S:$S, (MATCH(217, 輔助計算!$F$2:$F$801, 0)+1)), 4), 100張客戶!$A:$A, 1, FALSE), "")&lt;&gt;"", OR(INDEX(ERP資料!$F:$F, (MATCH(217, 輔助計算!$F$2:$F$801, 0)+1))=270, INDEX(ERP資料!$F:$F, (MATCH(217, 輔助計算!$F$2:$F$801, 0)+1))=300)), "100張", ""), "")</f>
        <v/>
      </c>
      <c r="M218" s="17" t="n"/>
      <c r="N218" s="17">
        <f>IF($F218="","",$F218)</f>
        <v/>
      </c>
      <c r="O218" s="17">
        <f>IF($G218="","",$G218)</f>
        <v/>
      </c>
      <c r="P218" s="17">
        <f>IF($K218="","",$K218)</f>
        <v/>
      </c>
      <c r="Q218" s="16" t="n"/>
      <c r="R218" s="18" t="n"/>
      <c r="S218" s="16" t="n"/>
    </row>
    <row r="219">
      <c r="A219" s="14">
        <f>IFERROR(IF(AND(IFERROR(INDEX(ERP資料!$A:$A, (MATCH(218, 輔助計算!$F$2:$F$801, 0)+1)), "")&lt;&gt;"", IFERROR(INDEX(ERP資料!$A:$A, (MATCH(218, 輔助計算!$F$2:$F$801, 0)+1)), "")&lt;&gt;IFERROR(INDEX(ERP資料!$A:$A, MATCH(217, 輔助計算!$F$2:$F$801, 0)+1), "")), INDEX(ERP資料!$B:$B, (MATCH(218, 輔助計算!$F$2:$F$801, 0)+1)), ""), "")</f>
        <v/>
      </c>
      <c r="B219" s="10">
        <f>IFERROR(IF(AND(IFERROR(INDEX(ERP資料!$A:$A, (MATCH(218, 輔助計算!$F$2:$F$801, 0)+1)), "")&lt;&gt;"", IFERROR(INDEX(ERP資料!$A:$A, (MATCH(218, 輔助計算!$F$2:$F$801, 0)+1)), "")&lt;&gt;IFERROR(INDEX(ERP資料!$A:$A, MATCH(217, 輔助計算!$F$2:$F$801, 0)+1), "")), IFERROR(INDEX(ERP資料!$A:$A, (MATCH(218, 輔助計算!$F$2:$F$801, 0)+1)), ""), ""), "")</f>
        <v/>
      </c>
      <c r="C219" s="10">
        <f>IFERROR(IF(AND(IFERROR(INDEX(ERP資料!$A:$A, (MATCH(218, 輔助計算!$F$2:$F$801, 0)+1)), "")&lt;&gt;"", IFERROR(INDEX(ERP資料!$A:$A, (MATCH(218, 輔助計算!$F$2:$F$801, 0)+1)), "")&lt;&gt;IFERROR(INDEX(ERP資料!$A:$A, MATCH(217, 輔助計算!$F$2:$F$801, 0)+1), "")), INDEX(ERP資料!$S:$S, (MATCH(218, 輔助計算!$F$2:$F$801, 0)+1)), ""), "")</f>
        <v/>
      </c>
      <c r="D219" s="10">
        <f>IFERROR(IF(INDEX(ERP資料!$E:$E, (MATCH(218, 輔助計算!$F$2:$F$801, 0)+1))="","",TRIM(INDEX(ERP資料!$E:$E, (MATCH(218, 輔助計算!$F$2:$F$801, 0)+1)))), "")</f>
        <v/>
      </c>
      <c r="E219" s="10">
        <f>IFERROR(IF(INDEX(ERP資料!$F:$F, (MATCH(218, 輔助計算!$F$2:$F$801, 0)+1))="","",INDEX(ERP資料!$F:$F, (MATCH(218, 輔助計算!$F$2:$F$801, 0)+1))), "")</f>
        <v/>
      </c>
      <c r="F219" s="10">
        <f>IFERROR(IF(INDEX(ERP資料!$G:$G, (MATCH(218, 輔助計算!$F$2:$F$801, 0)+1))="","",INDEX(ERP資料!$G:$G, (MATCH(218, 輔助計算!$F$2:$F$801, 0)+1))), "")</f>
        <v/>
      </c>
      <c r="G219" s="10">
        <f>IFERROR(IF(INDEX(ERP資料!$H:$H, (MATCH(218, 輔助計算!$F$2:$F$801, 0)+1))="","",INDEX(ERP資料!$H:$H, (MATCH(218, 輔助計算!$F$2:$F$801, 0)+1))), "")</f>
        <v/>
      </c>
      <c r="H219" s="10">
        <f>IFERROR(IF(INDEX(ERP資料!$O:$O, (MATCH(218, 輔助計算!$F$2:$F$801, 0)+1))="","",INDEX(ERP資料!$O:$O, (MATCH(218, 輔助計算!$F$2:$F$801, 0)+1))), "")</f>
        <v/>
      </c>
      <c r="I219" s="15">
        <f>IFERROR(IF(INDEX(輔助計算!$D:$D,(MATCH(218, 輔助計算!$F$2:$F$801, 0)+1))="","",INDEX(輔助計算!$D:$D,(MATCH(218, 輔助計算!$F$2:$F$801, 0)+1))*INDEX(ERP資料!$O:$O,(MATCH(218, 輔助計算!$F$2:$F$801, 0)+1))), "")</f>
        <v/>
      </c>
      <c r="J219" s="16" t="n"/>
      <c r="K219" s="15">
        <f>IFERROR(INDEX(輔助計算!$D:$D, (MATCH(218, 輔助計算!$F$2:$F$801, 0)+1)), "")</f>
        <v/>
      </c>
      <c r="L219" s="16">
        <f>IFERROR(IF(AND(IFERROR(VLOOKUP(LEFT(INDEX(ERP資料!$S:$S, (MATCH(218, 輔助計算!$F$2:$F$801, 0)+1)), 4), 100張客戶!$A:$A, 1, FALSE), "")&lt;&gt;"", OR(INDEX(ERP資料!$F:$F, (MATCH(218, 輔助計算!$F$2:$F$801, 0)+1))=270, INDEX(ERP資料!$F:$F, (MATCH(218, 輔助計算!$F$2:$F$801, 0)+1))=300)), "100張", ""), "")</f>
        <v/>
      </c>
      <c r="M219" s="17" t="n"/>
      <c r="N219" s="17">
        <f>IF($F219="","",$F219)</f>
        <v/>
      </c>
      <c r="O219" s="17">
        <f>IF($G219="","",$G219)</f>
        <v/>
      </c>
      <c r="P219" s="17">
        <f>IF($K219="","",$K219)</f>
        <v/>
      </c>
      <c r="Q219" s="16" t="n"/>
      <c r="R219" s="18" t="n"/>
      <c r="S219" s="16" t="n"/>
    </row>
    <row r="220">
      <c r="A220" s="14">
        <f>IFERROR(IF(AND(IFERROR(INDEX(ERP資料!$A:$A, (MATCH(219, 輔助計算!$F$2:$F$801, 0)+1)), "")&lt;&gt;"", IFERROR(INDEX(ERP資料!$A:$A, (MATCH(219, 輔助計算!$F$2:$F$801, 0)+1)), "")&lt;&gt;IFERROR(INDEX(ERP資料!$A:$A, MATCH(218, 輔助計算!$F$2:$F$801, 0)+1), "")), INDEX(ERP資料!$B:$B, (MATCH(219, 輔助計算!$F$2:$F$801, 0)+1)), ""), "")</f>
        <v/>
      </c>
      <c r="B220" s="10">
        <f>IFERROR(IF(AND(IFERROR(INDEX(ERP資料!$A:$A, (MATCH(219, 輔助計算!$F$2:$F$801, 0)+1)), "")&lt;&gt;"", IFERROR(INDEX(ERP資料!$A:$A, (MATCH(219, 輔助計算!$F$2:$F$801, 0)+1)), "")&lt;&gt;IFERROR(INDEX(ERP資料!$A:$A, MATCH(218, 輔助計算!$F$2:$F$801, 0)+1), "")), IFERROR(INDEX(ERP資料!$A:$A, (MATCH(219, 輔助計算!$F$2:$F$801, 0)+1)), ""), ""), "")</f>
        <v/>
      </c>
      <c r="C220" s="10">
        <f>IFERROR(IF(AND(IFERROR(INDEX(ERP資料!$A:$A, (MATCH(219, 輔助計算!$F$2:$F$801, 0)+1)), "")&lt;&gt;"", IFERROR(INDEX(ERP資料!$A:$A, (MATCH(219, 輔助計算!$F$2:$F$801, 0)+1)), "")&lt;&gt;IFERROR(INDEX(ERP資料!$A:$A, MATCH(218, 輔助計算!$F$2:$F$801, 0)+1), "")), INDEX(ERP資料!$S:$S, (MATCH(219, 輔助計算!$F$2:$F$801, 0)+1)), ""), "")</f>
        <v/>
      </c>
      <c r="D220" s="10">
        <f>IFERROR(IF(INDEX(ERP資料!$E:$E, (MATCH(219, 輔助計算!$F$2:$F$801, 0)+1))="","",TRIM(INDEX(ERP資料!$E:$E, (MATCH(219, 輔助計算!$F$2:$F$801, 0)+1)))), "")</f>
        <v/>
      </c>
      <c r="E220" s="10">
        <f>IFERROR(IF(INDEX(ERP資料!$F:$F, (MATCH(219, 輔助計算!$F$2:$F$801, 0)+1))="","",INDEX(ERP資料!$F:$F, (MATCH(219, 輔助計算!$F$2:$F$801, 0)+1))), "")</f>
        <v/>
      </c>
      <c r="F220" s="10">
        <f>IFERROR(IF(INDEX(ERP資料!$G:$G, (MATCH(219, 輔助計算!$F$2:$F$801, 0)+1))="","",INDEX(ERP資料!$G:$G, (MATCH(219, 輔助計算!$F$2:$F$801, 0)+1))), "")</f>
        <v/>
      </c>
      <c r="G220" s="10">
        <f>IFERROR(IF(INDEX(ERP資料!$H:$H, (MATCH(219, 輔助計算!$F$2:$F$801, 0)+1))="","",INDEX(ERP資料!$H:$H, (MATCH(219, 輔助計算!$F$2:$F$801, 0)+1))), "")</f>
        <v/>
      </c>
      <c r="H220" s="10">
        <f>IFERROR(IF(INDEX(ERP資料!$O:$O, (MATCH(219, 輔助計算!$F$2:$F$801, 0)+1))="","",INDEX(ERP資料!$O:$O, (MATCH(219, 輔助計算!$F$2:$F$801, 0)+1))), "")</f>
        <v/>
      </c>
      <c r="I220" s="15">
        <f>IFERROR(IF(INDEX(輔助計算!$D:$D,(MATCH(219, 輔助計算!$F$2:$F$801, 0)+1))="","",INDEX(輔助計算!$D:$D,(MATCH(219, 輔助計算!$F$2:$F$801, 0)+1))*INDEX(ERP資料!$O:$O,(MATCH(219, 輔助計算!$F$2:$F$801, 0)+1))), "")</f>
        <v/>
      </c>
      <c r="J220" s="16" t="n"/>
      <c r="K220" s="15">
        <f>IFERROR(INDEX(輔助計算!$D:$D, (MATCH(219, 輔助計算!$F$2:$F$801, 0)+1)), "")</f>
        <v/>
      </c>
      <c r="L220" s="16">
        <f>IFERROR(IF(AND(IFERROR(VLOOKUP(LEFT(INDEX(ERP資料!$S:$S, (MATCH(219, 輔助計算!$F$2:$F$801, 0)+1)), 4), 100張客戶!$A:$A, 1, FALSE), "")&lt;&gt;"", OR(INDEX(ERP資料!$F:$F, (MATCH(219, 輔助計算!$F$2:$F$801, 0)+1))=270, INDEX(ERP資料!$F:$F, (MATCH(219, 輔助計算!$F$2:$F$801, 0)+1))=300)), "100張", ""), "")</f>
        <v/>
      </c>
      <c r="M220" s="17" t="n"/>
      <c r="N220" s="17">
        <f>IF($F220="","",$F220)</f>
        <v/>
      </c>
      <c r="O220" s="17">
        <f>IF($G220="","",$G220)</f>
        <v/>
      </c>
      <c r="P220" s="17">
        <f>IF($K220="","",$K220)</f>
        <v/>
      </c>
      <c r="Q220" s="16" t="n"/>
      <c r="R220" s="18" t="n"/>
      <c r="S220" s="16" t="n"/>
    </row>
    <row r="221">
      <c r="A221" s="14">
        <f>IFERROR(IF(AND(IFERROR(INDEX(ERP資料!$A:$A, (MATCH(220, 輔助計算!$F$2:$F$801, 0)+1)), "")&lt;&gt;"", IFERROR(INDEX(ERP資料!$A:$A, (MATCH(220, 輔助計算!$F$2:$F$801, 0)+1)), "")&lt;&gt;IFERROR(INDEX(ERP資料!$A:$A, MATCH(219, 輔助計算!$F$2:$F$801, 0)+1), "")), INDEX(ERP資料!$B:$B, (MATCH(220, 輔助計算!$F$2:$F$801, 0)+1)), ""), "")</f>
        <v/>
      </c>
      <c r="B221" s="10">
        <f>IFERROR(IF(AND(IFERROR(INDEX(ERP資料!$A:$A, (MATCH(220, 輔助計算!$F$2:$F$801, 0)+1)), "")&lt;&gt;"", IFERROR(INDEX(ERP資料!$A:$A, (MATCH(220, 輔助計算!$F$2:$F$801, 0)+1)), "")&lt;&gt;IFERROR(INDEX(ERP資料!$A:$A, MATCH(219, 輔助計算!$F$2:$F$801, 0)+1), "")), IFERROR(INDEX(ERP資料!$A:$A, (MATCH(220, 輔助計算!$F$2:$F$801, 0)+1)), ""), ""), "")</f>
        <v/>
      </c>
      <c r="C221" s="10">
        <f>IFERROR(IF(AND(IFERROR(INDEX(ERP資料!$A:$A, (MATCH(220, 輔助計算!$F$2:$F$801, 0)+1)), "")&lt;&gt;"", IFERROR(INDEX(ERP資料!$A:$A, (MATCH(220, 輔助計算!$F$2:$F$801, 0)+1)), "")&lt;&gt;IFERROR(INDEX(ERP資料!$A:$A, MATCH(219, 輔助計算!$F$2:$F$801, 0)+1), "")), INDEX(ERP資料!$S:$S, (MATCH(220, 輔助計算!$F$2:$F$801, 0)+1)), ""), "")</f>
        <v/>
      </c>
      <c r="D221" s="10">
        <f>IFERROR(IF(INDEX(ERP資料!$E:$E, (MATCH(220, 輔助計算!$F$2:$F$801, 0)+1))="","",TRIM(INDEX(ERP資料!$E:$E, (MATCH(220, 輔助計算!$F$2:$F$801, 0)+1)))), "")</f>
        <v/>
      </c>
      <c r="E221" s="10">
        <f>IFERROR(IF(INDEX(ERP資料!$F:$F, (MATCH(220, 輔助計算!$F$2:$F$801, 0)+1))="","",INDEX(ERP資料!$F:$F, (MATCH(220, 輔助計算!$F$2:$F$801, 0)+1))), "")</f>
        <v/>
      </c>
      <c r="F221" s="10">
        <f>IFERROR(IF(INDEX(ERP資料!$G:$G, (MATCH(220, 輔助計算!$F$2:$F$801, 0)+1))="","",INDEX(ERP資料!$G:$G, (MATCH(220, 輔助計算!$F$2:$F$801, 0)+1))), "")</f>
        <v/>
      </c>
      <c r="G221" s="10">
        <f>IFERROR(IF(INDEX(ERP資料!$H:$H, (MATCH(220, 輔助計算!$F$2:$F$801, 0)+1))="","",INDEX(ERP資料!$H:$H, (MATCH(220, 輔助計算!$F$2:$F$801, 0)+1))), "")</f>
        <v/>
      </c>
      <c r="H221" s="10">
        <f>IFERROR(IF(INDEX(ERP資料!$O:$O, (MATCH(220, 輔助計算!$F$2:$F$801, 0)+1))="","",INDEX(ERP資料!$O:$O, (MATCH(220, 輔助計算!$F$2:$F$801, 0)+1))), "")</f>
        <v/>
      </c>
      <c r="I221" s="15">
        <f>IFERROR(IF(INDEX(輔助計算!$D:$D,(MATCH(220, 輔助計算!$F$2:$F$801, 0)+1))="","",INDEX(輔助計算!$D:$D,(MATCH(220, 輔助計算!$F$2:$F$801, 0)+1))*INDEX(ERP資料!$O:$O,(MATCH(220, 輔助計算!$F$2:$F$801, 0)+1))), "")</f>
        <v/>
      </c>
      <c r="J221" s="16" t="n"/>
      <c r="K221" s="15">
        <f>IFERROR(INDEX(輔助計算!$D:$D, (MATCH(220, 輔助計算!$F$2:$F$801, 0)+1)), "")</f>
        <v/>
      </c>
      <c r="L221" s="16">
        <f>IFERROR(IF(AND(IFERROR(VLOOKUP(LEFT(INDEX(ERP資料!$S:$S, (MATCH(220, 輔助計算!$F$2:$F$801, 0)+1)), 4), 100張客戶!$A:$A, 1, FALSE), "")&lt;&gt;"", OR(INDEX(ERP資料!$F:$F, (MATCH(220, 輔助計算!$F$2:$F$801, 0)+1))=270, INDEX(ERP資料!$F:$F, (MATCH(220, 輔助計算!$F$2:$F$801, 0)+1))=300)), "100張", ""), "")</f>
        <v/>
      </c>
      <c r="M221" s="17" t="n"/>
      <c r="N221" s="17">
        <f>IF($F221="","",$F221)</f>
        <v/>
      </c>
      <c r="O221" s="17">
        <f>IF($G221="","",$G221)</f>
        <v/>
      </c>
      <c r="P221" s="17">
        <f>IF($K221="","",$K221)</f>
        <v/>
      </c>
      <c r="Q221" s="16" t="n"/>
      <c r="R221" s="18" t="n"/>
      <c r="S221" s="16" t="n"/>
    </row>
    <row r="222">
      <c r="A222" s="14">
        <f>IFERROR(IF(AND(IFERROR(INDEX(ERP資料!$A:$A, (MATCH(221, 輔助計算!$F$2:$F$801, 0)+1)), "")&lt;&gt;"", IFERROR(INDEX(ERP資料!$A:$A, (MATCH(221, 輔助計算!$F$2:$F$801, 0)+1)), "")&lt;&gt;IFERROR(INDEX(ERP資料!$A:$A, MATCH(220, 輔助計算!$F$2:$F$801, 0)+1), "")), INDEX(ERP資料!$B:$B, (MATCH(221, 輔助計算!$F$2:$F$801, 0)+1)), ""), "")</f>
        <v/>
      </c>
      <c r="B222" s="10">
        <f>IFERROR(IF(AND(IFERROR(INDEX(ERP資料!$A:$A, (MATCH(221, 輔助計算!$F$2:$F$801, 0)+1)), "")&lt;&gt;"", IFERROR(INDEX(ERP資料!$A:$A, (MATCH(221, 輔助計算!$F$2:$F$801, 0)+1)), "")&lt;&gt;IFERROR(INDEX(ERP資料!$A:$A, MATCH(220, 輔助計算!$F$2:$F$801, 0)+1), "")), IFERROR(INDEX(ERP資料!$A:$A, (MATCH(221, 輔助計算!$F$2:$F$801, 0)+1)), ""), ""), "")</f>
        <v/>
      </c>
      <c r="C222" s="10">
        <f>IFERROR(IF(AND(IFERROR(INDEX(ERP資料!$A:$A, (MATCH(221, 輔助計算!$F$2:$F$801, 0)+1)), "")&lt;&gt;"", IFERROR(INDEX(ERP資料!$A:$A, (MATCH(221, 輔助計算!$F$2:$F$801, 0)+1)), "")&lt;&gt;IFERROR(INDEX(ERP資料!$A:$A, MATCH(220, 輔助計算!$F$2:$F$801, 0)+1), "")), INDEX(ERP資料!$S:$S, (MATCH(221, 輔助計算!$F$2:$F$801, 0)+1)), ""), "")</f>
        <v/>
      </c>
      <c r="D222" s="10">
        <f>IFERROR(IF(INDEX(ERP資料!$E:$E, (MATCH(221, 輔助計算!$F$2:$F$801, 0)+1))="","",TRIM(INDEX(ERP資料!$E:$E, (MATCH(221, 輔助計算!$F$2:$F$801, 0)+1)))), "")</f>
        <v/>
      </c>
      <c r="E222" s="10">
        <f>IFERROR(IF(INDEX(ERP資料!$F:$F, (MATCH(221, 輔助計算!$F$2:$F$801, 0)+1))="","",INDEX(ERP資料!$F:$F, (MATCH(221, 輔助計算!$F$2:$F$801, 0)+1))), "")</f>
        <v/>
      </c>
      <c r="F222" s="10">
        <f>IFERROR(IF(INDEX(ERP資料!$G:$G, (MATCH(221, 輔助計算!$F$2:$F$801, 0)+1))="","",INDEX(ERP資料!$G:$G, (MATCH(221, 輔助計算!$F$2:$F$801, 0)+1))), "")</f>
        <v/>
      </c>
      <c r="G222" s="10">
        <f>IFERROR(IF(INDEX(ERP資料!$H:$H, (MATCH(221, 輔助計算!$F$2:$F$801, 0)+1))="","",INDEX(ERP資料!$H:$H, (MATCH(221, 輔助計算!$F$2:$F$801, 0)+1))), "")</f>
        <v/>
      </c>
      <c r="H222" s="10">
        <f>IFERROR(IF(INDEX(ERP資料!$O:$O, (MATCH(221, 輔助計算!$F$2:$F$801, 0)+1))="","",INDEX(ERP資料!$O:$O, (MATCH(221, 輔助計算!$F$2:$F$801, 0)+1))), "")</f>
        <v/>
      </c>
      <c r="I222" s="15">
        <f>IFERROR(IF(INDEX(輔助計算!$D:$D,(MATCH(221, 輔助計算!$F$2:$F$801, 0)+1))="","",INDEX(輔助計算!$D:$D,(MATCH(221, 輔助計算!$F$2:$F$801, 0)+1))*INDEX(ERP資料!$O:$O,(MATCH(221, 輔助計算!$F$2:$F$801, 0)+1))), "")</f>
        <v/>
      </c>
      <c r="J222" s="16" t="n"/>
      <c r="K222" s="15">
        <f>IFERROR(INDEX(輔助計算!$D:$D, (MATCH(221, 輔助計算!$F$2:$F$801, 0)+1)), "")</f>
        <v/>
      </c>
      <c r="L222" s="16">
        <f>IFERROR(IF(AND(IFERROR(VLOOKUP(LEFT(INDEX(ERP資料!$S:$S, (MATCH(221, 輔助計算!$F$2:$F$801, 0)+1)), 4), 100張客戶!$A:$A, 1, FALSE), "")&lt;&gt;"", OR(INDEX(ERP資料!$F:$F, (MATCH(221, 輔助計算!$F$2:$F$801, 0)+1))=270, INDEX(ERP資料!$F:$F, (MATCH(221, 輔助計算!$F$2:$F$801, 0)+1))=300)), "100張", ""), "")</f>
        <v/>
      </c>
      <c r="M222" s="17" t="n"/>
      <c r="N222" s="17">
        <f>IF($F222="","",$F222)</f>
        <v/>
      </c>
      <c r="O222" s="17">
        <f>IF($G222="","",$G222)</f>
        <v/>
      </c>
      <c r="P222" s="17">
        <f>IF($K222="","",$K222)</f>
        <v/>
      </c>
      <c r="Q222" s="16" t="n"/>
      <c r="R222" s="18" t="n"/>
      <c r="S222" s="16" t="n"/>
    </row>
    <row r="223">
      <c r="A223" s="14">
        <f>IFERROR(IF(AND(IFERROR(INDEX(ERP資料!$A:$A, (MATCH(222, 輔助計算!$F$2:$F$801, 0)+1)), "")&lt;&gt;"", IFERROR(INDEX(ERP資料!$A:$A, (MATCH(222, 輔助計算!$F$2:$F$801, 0)+1)), "")&lt;&gt;IFERROR(INDEX(ERP資料!$A:$A, MATCH(221, 輔助計算!$F$2:$F$801, 0)+1), "")), INDEX(ERP資料!$B:$B, (MATCH(222, 輔助計算!$F$2:$F$801, 0)+1)), ""), "")</f>
        <v/>
      </c>
      <c r="B223" s="10">
        <f>IFERROR(IF(AND(IFERROR(INDEX(ERP資料!$A:$A, (MATCH(222, 輔助計算!$F$2:$F$801, 0)+1)), "")&lt;&gt;"", IFERROR(INDEX(ERP資料!$A:$A, (MATCH(222, 輔助計算!$F$2:$F$801, 0)+1)), "")&lt;&gt;IFERROR(INDEX(ERP資料!$A:$A, MATCH(221, 輔助計算!$F$2:$F$801, 0)+1), "")), IFERROR(INDEX(ERP資料!$A:$A, (MATCH(222, 輔助計算!$F$2:$F$801, 0)+1)), ""), ""), "")</f>
        <v/>
      </c>
      <c r="C223" s="10">
        <f>IFERROR(IF(AND(IFERROR(INDEX(ERP資料!$A:$A, (MATCH(222, 輔助計算!$F$2:$F$801, 0)+1)), "")&lt;&gt;"", IFERROR(INDEX(ERP資料!$A:$A, (MATCH(222, 輔助計算!$F$2:$F$801, 0)+1)), "")&lt;&gt;IFERROR(INDEX(ERP資料!$A:$A, MATCH(221, 輔助計算!$F$2:$F$801, 0)+1), "")), INDEX(ERP資料!$S:$S, (MATCH(222, 輔助計算!$F$2:$F$801, 0)+1)), ""), "")</f>
        <v/>
      </c>
      <c r="D223" s="10">
        <f>IFERROR(IF(INDEX(ERP資料!$E:$E, (MATCH(222, 輔助計算!$F$2:$F$801, 0)+1))="","",TRIM(INDEX(ERP資料!$E:$E, (MATCH(222, 輔助計算!$F$2:$F$801, 0)+1)))), "")</f>
        <v/>
      </c>
      <c r="E223" s="10">
        <f>IFERROR(IF(INDEX(ERP資料!$F:$F, (MATCH(222, 輔助計算!$F$2:$F$801, 0)+1))="","",INDEX(ERP資料!$F:$F, (MATCH(222, 輔助計算!$F$2:$F$801, 0)+1))), "")</f>
        <v/>
      </c>
      <c r="F223" s="10">
        <f>IFERROR(IF(INDEX(ERP資料!$G:$G, (MATCH(222, 輔助計算!$F$2:$F$801, 0)+1))="","",INDEX(ERP資料!$G:$G, (MATCH(222, 輔助計算!$F$2:$F$801, 0)+1))), "")</f>
        <v/>
      </c>
      <c r="G223" s="10">
        <f>IFERROR(IF(INDEX(ERP資料!$H:$H, (MATCH(222, 輔助計算!$F$2:$F$801, 0)+1))="","",INDEX(ERP資料!$H:$H, (MATCH(222, 輔助計算!$F$2:$F$801, 0)+1))), "")</f>
        <v/>
      </c>
      <c r="H223" s="10">
        <f>IFERROR(IF(INDEX(ERP資料!$O:$O, (MATCH(222, 輔助計算!$F$2:$F$801, 0)+1))="","",INDEX(ERP資料!$O:$O, (MATCH(222, 輔助計算!$F$2:$F$801, 0)+1))), "")</f>
        <v/>
      </c>
      <c r="I223" s="15">
        <f>IFERROR(IF(INDEX(輔助計算!$D:$D,(MATCH(222, 輔助計算!$F$2:$F$801, 0)+1))="","",INDEX(輔助計算!$D:$D,(MATCH(222, 輔助計算!$F$2:$F$801, 0)+1))*INDEX(ERP資料!$O:$O,(MATCH(222, 輔助計算!$F$2:$F$801, 0)+1))), "")</f>
        <v/>
      </c>
      <c r="J223" s="16" t="n"/>
      <c r="K223" s="15">
        <f>IFERROR(INDEX(輔助計算!$D:$D, (MATCH(222, 輔助計算!$F$2:$F$801, 0)+1)), "")</f>
        <v/>
      </c>
      <c r="L223" s="16">
        <f>IFERROR(IF(AND(IFERROR(VLOOKUP(LEFT(INDEX(ERP資料!$S:$S, (MATCH(222, 輔助計算!$F$2:$F$801, 0)+1)), 4), 100張客戶!$A:$A, 1, FALSE), "")&lt;&gt;"", OR(INDEX(ERP資料!$F:$F, (MATCH(222, 輔助計算!$F$2:$F$801, 0)+1))=270, INDEX(ERP資料!$F:$F, (MATCH(222, 輔助計算!$F$2:$F$801, 0)+1))=300)), "100張", ""), "")</f>
        <v/>
      </c>
      <c r="M223" s="17" t="n"/>
      <c r="N223" s="17">
        <f>IF($F223="","",$F223)</f>
        <v/>
      </c>
      <c r="O223" s="17">
        <f>IF($G223="","",$G223)</f>
        <v/>
      </c>
      <c r="P223" s="17">
        <f>IF($K223="","",$K223)</f>
        <v/>
      </c>
      <c r="Q223" s="16" t="n"/>
      <c r="R223" s="18" t="n"/>
      <c r="S223" s="16" t="n"/>
    </row>
    <row r="224">
      <c r="A224" s="14">
        <f>IFERROR(IF(AND(IFERROR(INDEX(ERP資料!$A:$A, (MATCH(223, 輔助計算!$F$2:$F$801, 0)+1)), "")&lt;&gt;"", IFERROR(INDEX(ERP資料!$A:$A, (MATCH(223, 輔助計算!$F$2:$F$801, 0)+1)), "")&lt;&gt;IFERROR(INDEX(ERP資料!$A:$A, MATCH(222, 輔助計算!$F$2:$F$801, 0)+1), "")), INDEX(ERP資料!$B:$B, (MATCH(223, 輔助計算!$F$2:$F$801, 0)+1)), ""), "")</f>
        <v/>
      </c>
      <c r="B224" s="10">
        <f>IFERROR(IF(AND(IFERROR(INDEX(ERP資料!$A:$A, (MATCH(223, 輔助計算!$F$2:$F$801, 0)+1)), "")&lt;&gt;"", IFERROR(INDEX(ERP資料!$A:$A, (MATCH(223, 輔助計算!$F$2:$F$801, 0)+1)), "")&lt;&gt;IFERROR(INDEX(ERP資料!$A:$A, MATCH(222, 輔助計算!$F$2:$F$801, 0)+1), "")), IFERROR(INDEX(ERP資料!$A:$A, (MATCH(223, 輔助計算!$F$2:$F$801, 0)+1)), ""), ""), "")</f>
        <v/>
      </c>
      <c r="C224" s="10">
        <f>IFERROR(IF(AND(IFERROR(INDEX(ERP資料!$A:$A, (MATCH(223, 輔助計算!$F$2:$F$801, 0)+1)), "")&lt;&gt;"", IFERROR(INDEX(ERP資料!$A:$A, (MATCH(223, 輔助計算!$F$2:$F$801, 0)+1)), "")&lt;&gt;IFERROR(INDEX(ERP資料!$A:$A, MATCH(222, 輔助計算!$F$2:$F$801, 0)+1), "")), INDEX(ERP資料!$S:$S, (MATCH(223, 輔助計算!$F$2:$F$801, 0)+1)), ""), "")</f>
        <v/>
      </c>
      <c r="D224" s="10">
        <f>IFERROR(IF(INDEX(ERP資料!$E:$E, (MATCH(223, 輔助計算!$F$2:$F$801, 0)+1))="","",TRIM(INDEX(ERP資料!$E:$E, (MATCH(223, 輔助計算!$F$2:$F$801, 0)+1)))), "")</f>
        <v/>
      </c>
      <c r="E224" s="10">
        <f>IFERROR(IF(INDEX(ERP資料!$F:$F, (MATCH(223, 輔助計算!$F$2:$F$801, 0)+1))="","",INDEX(ERP資料!$F:$F, (MATCH(223, 輔助計算!$F$2:$F$801, 0)+1))), "")</f>
        <v/>
      </c>
      <c r="F224" s="10">
        <f>IFERROR(IF(INDEX(ERP資料!$G:$G, (MATCH(223, 輔助計算!$F$2:$F$801, 0)+1))="","",INDEX(ERP資料!$G:$G, (MATCH(223, 輔助計算!$F$2:$F$801, 0)+1))), "")</f>
        <v/>
      </c>
      <c r="G224" s="10">
        <f>IFERROR(IF(INDEX(ERP資料!$H:$H, (MATCH(223, 輔助計算!$F$2:$F$801, 0)+1))="","",INDEX(ERP資料!$H:$H, (MATCH(223, 輔助計算!$F$2:$F$801, 0)+1))), "")</f>
        <v/>
      </c>
      <c r="H224" s="10">
        <f>IFERROR(IF(INDEX(ERP資料!$O:$O, (MATCH(223, 輔助計算!$F$2:$F$801, 0)+1))="","",INDEX(ERP資料!$O:$O, (MATCH(223, 輔助計算!$F$2:$F$801, 0)+1))), "")</f>
        <v/>
      </c>
      <c r="I224" s="15">
        <f>IFERROR(IF(INDEX(輔助計算!$D:$D,(MATCH(223, 輔助計算!$F$2:$F$801, 0)+1))="","",INDEX(輔助計算!$D:$D,(MATCH(223, 輔助計算!$F$2:$F$801, 0)+1))*INDEX(ERP資料!$O:$O,(MATCH(223, 輔助計算!$F$2:$F$801, 0)+1))), "")</f>
        <v/>
      </c>
      <c r="J224" s="16" t="n"/>
      <c r="K224" s="15">
        <f>IFERROR(INDEX(輔助計算!$D:$D, (MATCH(223, 輔助計算!$F$2:$F$801, 0)+1)), "")</f>
        <v/>
      </c>
      <c r="L224" s="16">
        <f>IFERROR(IF(AND(IFERROR(VLOOKUP(LEFT(INDEX(ERP資料!$S:$S, (MATCH(223, 輔助計算!$F$2:$F$801, 0)+1)), 4), 100張客戶!$A:$A, 1, FALSE), "")&lt;&gt;"", OR(INDEX(ERP資料!$F:$F, (MATCH(223, 輔助計算!$F$2:$F$801, 0)+1))=270, INDEX(ERP資料!$F:$F, (MATCH(223, 輔助計算!$F$2:$F$801, 0)+1))=300)), "100張", ""), "")</f>
        <v/>
      </c>
      <c r="M224" s="17" t="n"/>
      <c r="N224" s="17">
        <f>IF($F224="","",$F224)</f>
        <v/>
      </c>
      <c r="O224" s="17">
        <f>IF($G224="","",$G224)</f>
        <v/>
      </c>
      <c r="P224" s="17">
        <f>IF($K224="","",$K224)</f>
        <v/>
      </c>
      <c r="Q224" s="16" t="n"/>
      <c r="R224" s="18" t="n"/>
      <c r="S224" s="16" t="n"/>
    </row>
    <row r="225">
      <c r="A225" s="14">
        <f>IFERROR(IF(AND(IFERROR(INDEX(ERP資料!$A:$A, (MATCH(224, 輔助計算!$F$2:$F$801, 0)+1)), "")&lt;&gt;"", IFERROR(INDEX(ERP資料!$A:$A, (MATCH(224, 輔助計算!$F$2:$F$801, 0)+1)), "")&lt;&gt;IFERROR(INDEX(ERP資料!$A:$A, MATCH(223, 輔助計算!$F$2:$F$801, 0)+1), "")), INDEX(ERP資料!$B:$B, (MATCH(224, 輔助計算!$F$2:$F$801, 0)+1)), ""), "")</f>
        <v/>
      </c>
      <c r="B225" s="10">
        <f>IFERROR(IF(AND(IFERROR(INDEX(ERP資料!$A:$A, (MATCH(224, 輔助計算!$F$2:$F$801, 0)+1)), "")&lt;&gt;"", IFERROR(INDEX(ERP資料!$A:$A, (MATCH(224, 輔助計算!$F$2:$F$801, 0)+1)), "")&lt;&gt;IFERROR(INDEX(ERP資料!$A:$A, MATCH(223, 輔助計算!$F$2:$F$801, 0)+1), "")), IFERROR(INDEX(ERP資料!$A:$A, (MATCH(224, 輔助計算!$F$2:$F$801, 0)+1)), ""), ""), "")</f>
        <v/>
      </c>
      <c r="C225" s="10">
        <f>IFERROR(IF(AND(IFERROR(INDEX(ERP資料!$A:$A, (MATCH(224, 輔助計算!$F$2:$F$801, 0)+1)), "")&lt;&gt;"", IFERROR(INDEX(ERP資料!$A:$A, (MATCH(224, 輔助計算!$F$2:$F$801, 0)+1)), "")&lt;&gt;IFERROR(INDEX(ERP資料!$A:$A, MATCH(223, 輔助計算!$F$2:$F$801, 0)+1), "")), INDEX(ERP資料!$S:$S, (MATCH(224, 輔助計算!$F$2:$F$801, 0)+1)), ""), "")</f>
        <v/>
      </c>
      <c r="D225" s="10">
        <f>IFERROR(IF(INDEX(ERP資料!$E:$E, (MATCH(224, 輔助計算!$F$2:$F$801, 0)+1))="","",TRIM(INDEX(ERP資料!$E:$E, (MATCH(224, 輔助計算!$F$2:$F$801, 0)+1)))), "")</f>
        <v/>
      </c>
      <c r="E225" s="10">
        <f>IFERROR(IF(INDEX(ERP資料!$F:$F, (MATCH(224, 輔助計算!$F$2:$F$801, 0)+1))="","",INDEX(ERP資料!$F:$F, (MATCH(224, 輔助計算!$F$2:$F$801, 0)+1))), "")</f>
        <v/>
      </c>
      <c r="F225" s="10">
        <f>IFERROR(IF(INDEX(ERP資料!$G:$G, (MATCH(224, 輔助計算!$F$2:$F$801, 0)+1))="","",INDEX(ERP資料!$G:$G, (MATCH(224, 輔助計算!$F$2:$F$801, 0)+1))), "")</f>
        <v/>
      </c>
      <c r="G225" s="10">
        <f>IFERROR(IF(INDEX(ERP資料!$H:$H, (MATCH(224, 輔助計算!$F$2:$F$801, 0)+1))="","",INDEX(ERP資料!$H:$H, (MATCH(224, 輔助計算!$F$2:$F$801, 0)+1))), "")</f>
        <v/>
      </c>
      <c r="H225" s="10">
        <f>IFERROR(IF(INDEX(ERP資料!$O:$O, (MATCH(224, 輔助計算!$F$2:$F$801, 0)+1))="","",INDEX(ERP資料!$O:$O, (MATCH(224, 輔助計算!$F$2:$F$801, 0)+1))), "")</f>
        <v/>
      </c>
      <c r="I225" s="15">
        <f>IFERROR(IF(INDEX(輔助計算!$D:$D,(MATCH(224, 輔助計算!$F$2:$F$801, 0)+1))="","",INDEX(輔助計算!$D:$D,(MATCH(224, 輔助計算!$F$2:$F$801, 0)+1))*INDEX(ERP資料!$O:$O,(MATCH(224, 輔助計算!$F$2:$F$801, 0)+1))), "")</f>
        <v/>
      </c>
      <c r="J225" s="16" t="n"/>
      <c r="K225" s="15">
        <f>IFERROR(INDEX(輔助計算!$D:$D, (MATCH(224, 輔助計算!$F$2:$F$801, 0)+1)), "")</f>
        <v/>
      </c>
      <c r="L225" s="16">
        <f>IFERROR(IF(AND(IFERROR(VLOOKUP(LEFT(INDEX(ERP資料!$S:$S, (MATCH(224, 輔助計算!$F$2:$F$801, 0)+1)), 4), 100張客戶!$A:$A, 1, FALSE), "")&lt;&gt;"", OR(INDEX(ERP資料!$F:$F, (MATCH(224, 輔助計算!$F$2:$F$801, 0)+1))=270, INDEX(ERP資料!$F:$F, (MATCH(224, 輔助計算!$F$2:$F$801, 0)+1))=300)), "100張", ""), "")</f>
        <v/>
      </c>
      <c r="M225" s="17" t="n"/>
      <c r="N225" s="17">
        <f>IF($F225="","",$F225)</f>
        <v/>
      </c>
      <c r="O225" s="17">
        <f>IF($G225="","",$G225)</f>
        <v/>
      </c>
      <c r="P225" s="17">
        <f>IF($K225="","",$K225)</f>
        <v/>
      </c>
      <c r="Q225" s="16" t="n"/>
      <c r="R225" s="18" t="n"/>
      <c r="S225" s="16" t="n"/>
    </row>
    <row r="226">
      <c r="A226" s="14">
        <f>IFERROR(IF(AND(IFERROR(INDEX(ERP資料!$A:$A, (MATCH(225, 輔助計算!$F$2:$F$801, 0)+1)), "")&lt;&gt;"", IFERROR(INDEX(ERP資料!$A:$A, (MATCH(225, 輔助計算!$F$2:$F$801, 0)+1)), "")&lt;&gt;IFERROR(INDEX(ERP資料!$A:$A, MATCH(224, 輔助計算!$F$2:$F$801, 0)+1), "")), INDEX(ERP資料!$B:$B, (MATCH(225, 輔助計算!$F$2:$F$801, 0)+1)), ""), "")</f>
        <v/>
      </c>
      <c r="B226" s="10">
        <f>IFERROR(IF(AND(IFERROR(INDEX(ERP資料!$A:$A, (MATCH(225, 輔助計算!$F$2:$F$801, 0)+1)), "")&lt;&gt;"", IFERROR(INDEX(ERP資料!$A:$A, (MATCH(225, 輔助計算!$F$2:$F$801, 0)+1)), "")&lt;&gt;IFERROR(INDEX(ERP資料!$A:$A, MATCH(224, 輔助計算!$F$2:$F$801, 0)+1), "")), IFERROR(INDEX(ERP資料!$A:$A, (MATCH(225, 輔助計算!$F$2:$F$801, 0)+1)), ""), ""), "")</f>
        <v/>
      </c>
      <c r="C226" s="10">
        <f>IFERROR(IF(AND(IFERROR(INDEX(ERP資料!$A:$A, (MATCH(225, 輔助計算!$F$2:$F$801, 0)+1)), "")&lt;&gt;"", IFERROR(INDEX(ERP資料!$A:$A, (MATCH(225, 輔助計算!$F$2:$F$801, 0)+1)), "")&lt;&gt;IFERROR(INDEX(ERP資料!$A:$A, MATCH(224, 輔助計算!$F$2:$F$801, 0)+1), "")), INDEX(ERP資料!$S:$S, (MATCH(225, 輔助計算!$F$2:$F$801, 0)+1)), ""), "")</f>
        <v/>
      </c>
      <c r="D226" s="10">
        <f>IFERROR(IF(INDEX(ERP資料!$E:$E, (MATCH(225, 輔助計算!$F$2:$F$801, 0)+1))="","",TRIM(INDEX(ERP資料!$E:$E, (MATCH(225, 輔助計算!$F$2:$F$801, 0)+1)))), "")</f>
        <v/>
      </c>
      <c r="E226" s="10">
        <f>IFERROR(IF(INDEX(ERP資料!$F:$F, (MATCH(225, 輔助計算!$F$2:$F$801, 0)+1))="","",INDEX(ERP資料!$F:$F, (MATCH(225, 輔助計算!$F$2:$F$801, 0)+1))), "")</f>
        <v/>
      </c>
      <c r="F226" s="10">
        <f>IFERROR(IF(INDEX(ERP資料!$G:$G, (MATCH(225, 輔助計算!$F$2:$F$801, 0)+1))="","",INDEX(ERP資料!$G:$G, (MATCH(225, 輔助計算!$F$2:$F$801, 0)+1))), "")</f>
        <v/>
      </c>
      <c r="G226" s="10">
        <f>IFERROR(IF(INDEX(ERP資料!$H:$H, (MATCH(225, 輔助計算!$F$2:$F$801, 0)+1))="","",INDEX(ERP資料!$H:$H, (MATCH(225, 輔助計算!$F$2:$F$801, 0)+1))), "")</f>
        <v/>
      </c>
      <c r="H226" s="10">
        <f>IFERROR(IF(INDEX(ERP資料!$O:$O, (MATCH(225, 輔助計算!$F$2:$F$801, 0)+1))="","",INDEX(ERP資料!$O:$O, (MATCH(225, 輔助計算!$F$2:$F$801, 0)+1))), "")</f>
        <v/>
      </c>
      <c r="I226" s="15">
        <f>IFERROR(IF(INDEX(輔助計算!$D:$D,(MATCH(225, 輔助計算!$F$2:$F$801, 0)+1))="","",INDEX(輔助計算!$D:$D,(MATCH(225, 輔助計算!$F$2:$F$801, 0)+1))*INDEX(ERP資料!$O:$O,(MATCH(225, 輔助計算!$F$2:$F$801, 0)+1))), "")</f>
        <v/>
      </c>
      <c r="J226" s="16" t="n"/>
      <c r="K226" s="15">
        <f>IFERROR(INDEX(輔助計算!$D:$D, (MATCH(225, 輔助計算!$F$2:$F$801, 0)+1)), "")</f>
        <v/>
      </c>
      <c r="L226" s="16">
        <f>IFERROR(IF(AND(IFERROR(VLOOKUP(LEFT(INDEX(ERP資料!$S:$S, (MATCH(225, 輔助計算!$F$2:$F$801, 0)+1)), 4), 100張客戶!$A:$A, 1, FALSE), "")&lt;&gt;"", OR(INDEX(ERP資料!$F:$F, (MATCH(225, 輔助計算!$F$2:$F$801, 0)+1))=270, INDEX(ERP資料!$F:$F, (MATCH(225, 輔助計算!$F$2:$F$801, 0)+1))=300)), "100張", ""), "")</f>
        <v/>
      </c>
      <c r="M226" s="17" t="n"/>
      <c r="N226" s="17">
        <f>IF($F226="","",$F226)</f>
        <v/>
      </c>
      <c r="O226" s="17">
        <f>IF($G226="","",$G226)</f>
        <v/>
      </c>
      <c r="P226" s="17">
        <f>IF($K226="","",$K226)</f>
        <v/>
      </c>
      <c r="Q226" s="16" t="n"/>
      <c r="R226" s="18" t="n"/>
      <c r="S226" s="16" t="n"/>
    </row>
    <row r="227">
      <c r="A227" s="14">
        <f>IFERROR(IF(AND(IFERROR(INDEX(ERP資料!$A:$A, (MATCH(226, 輔助計算!$F$2:$F$801, 0)+1)), "")&lt;&gt;"", IFERROR(INDEX(ERP資料!$A:$A, (MATCH(226, 輔助計算!$F$2:$F$801, 0)+1)), "")&lt;&gt;IFERROR(INDEX(ERP資料!$A:$A, MATCH(225, 輔助計算!$F$2:$F$801, 0)+1), "")), INDEX(ERP資料!$B:$B, (MATCH(226, 輔助計算!$F$2:$F$801, 0)+1)), ""), "")</f>
        <v/>
      </c>
      <c r="B227" s="10">
        <f>IFERROR(IF(AND(IFERROR(INDEX(ERP資料!$A:$A, (MATCH(226, 輔助計算!$F$2:$F$801, 0)+1)), "")&lt;&gt;"", IFERROR(INDEX(ERP資料!$A:$A, (MATCH(226, 輔助計算!$F$2:$F$801, 0)+1)), "")&lt;&gt;IFERROR(INDEX(ERP資料!$A:$A, MATCH(225, 輔助計算!$F$2:$F$801, 0)+1), "")), IFERROR(INDEX(ERP資料!$A:$A, (MATCH(226, 輔助計算!$F$2:$F$801, 0)+1)), ""), ""), "")</f>
        <v/>
      </c>
      <c r="C227" s="10">
        <f>IFERROR(IF(AND(IFERROR(INDEX(ERP資料!$A:$A, (MATCH(226, 輔助計算!$F$2:$F$801, 0)+1)), "")&lt;&gt;"", IFERROR(INDEX(ERP資料!$A:$A, (MATCH(226, 輔助計算!$F$2:$F$801, 0)+1)), "")&lt;&gt;IFERROR(INDEX(ERP資料!$A:$A, MATCH(225, 輔助計算!$F$2:$F$801, 0)+1), "")), INDEX(ERP資料!$S:$S, (MATCH(226, 輔助計算!$F$2:$F$801, 0)+1)), ""), "")</f>
        <v/>
      </c>
      <c r="D227" s="10">
        <f>IFERROR(IF(INDEX(ERP資料!$E:$E, (MATCH(226, 輔助計算!$F$2:$F$801, 0)+1))="","",TRIM(INDEX(ERP資料!$E:$E, (MATCH(226, 輔助計算!$F$2:$F$801, 0)+1)))), "")</f>
        <v/>
      </c>
      <c r="E227" s="10">
        <f>IFERROR(IF(INDEX(ERP資料!$F:$F, (MATCH(226, 輔助計算!$F$2:$F$801, 0)+1))="","",INDEX(ERP資料!$F:$F, (MATCH(226, 輔助計算!$F$2:$F$801, 0)+1))), "")</f>
        <v/>
      </c>
      <c r="F227" s="10">
        <f>IFERROR(IF(INDEX(ERP資料!$G:$G, (MATCH(226, 輔助計算!$F$2:$F$801, 0)+1))="","",INDEX(ERP資料!$G:$G, (MATCH(226, 輔助計算!$F$2:$F$801, 0)+1))), "")</f>
        <v/>
      </c>
      <c r="G227" s="10">
        <f>IFERROR(IF(INDEX(ERP資料!$H:$H, (MATCH(226, 輔助計算!$F$2:$F$801, 0)+1))="","",INDEX(ERP資料!$H:$H, (MATCH(226, 輔助計算!$F$2:$F$801, 0)+1))), "")</f>
        <v/>
      </c>
      <c r="H227" s="10">
        <f>IFERROR(IF(INDEX(ERP資料!$O:$O, (MATCH(226, 輔助計算!$F$2:$F$801, 0)+1))="","",INDEX(ERP資料!$O:$O, (MATCH(226, 輔助計算!$F$2:$F$801, 0)+1))), "")</f>
        <v/>
      </c>
      <c r="I227" s="15">
        <f>IFERROR(IF(INDEX(輔助計算!$D:$D,(MATCH(226, 輔助計算!$F$2:$F$801, 0)+1))="","",INDEX(輔助計算!$D:$D,(MATCH(226, 輔助計算!$F$2:$F$801, 0)+1))*INDEX(ERP資料!$O:$O,(MATCH(226, 輔助計算!$F$2:$F$801, 0)+1))), "")</f>
        <v/>
      </c>
      <c r="J227" s="16" t="n"/>
      <c r="K227" s="15">
        <f>IFERROR(INDEX(輔助計算!$D:$D, (MATCH(226, 輔助計算!$F$2:$F$801, 0)+1)), "")</f>
        <v/>
      </c>
      <c r="L227" s="16">
        <f>IFERROR(IF(AND(IFERROR(VLOOKUP(LEFT(INDEX(ERP資料!$S:$S, (MATCH(226, 輔助計算!$F$2:$F$801, 0)+1)), 4), 100張客戶!$A:$A, 1, FALSE), "")&lt;&gt;"", OR(INDEX(ERP資料!$F:$F, (MATCH(226, 輔助計算!$F$2:$F$801, 0)+1))=270, INDEX(ERP資料!$F:$F, (MATCH(226, 輔助計算!$F$2:$F$801, 0)+1))=300)), "100張", ""), "")</f>
        <v/>
      </c>
      <c r="M227" s="17" t="n"/>
      <c r="N227" s="17">
        <f>IF($F227="","",$F227)</f>
        <v/>
      </c>
      <c r="O227" s="17">
        <f>IF($G227="","",$G227)</f>
        <v/>
      </c>
      <c r="P227" s="17">
        <f>IF($K227="","",$K227)</f>
        <v/>
      </c>
      <c r="Q227" s="16" t="n"/>
      <c r="R227" s="18" t="n"/>
      <c r="S227" s="16" t="n"/>
    </row>
    <row r="228">
      <c r="A228" s="14">
        <f>IFERROR(IF(AND(IFERROR(INDEX(ERP資料!$A:$A, (MATCH(227, 輔助計算!$F$2:$F$801, 0)+1)), "")&lt;&gt;"", IFERROR(INDEX(ERP資料!$A:$A, (MATCH(227, 輔助計算!$F$2:$F$801, 0)+1)), "")&lt;&gt;IFERROR(INDEX(ERP資料!$A:$A, MATCH(226, 輔助計算!$F$2:$F$801, 0)+1), "")), INDEX(ERP資料!$B:$B, (MATCH(227, 輔助計算!$F$2:$F$801, 0)+1)), ""), "")</f>
        <v/>
      </c>
      <c r="B228" s="10">
        <f>IFERROR(IF(AND(IFERROR(INDEX(ERP資料!$A:$A, (MATCH(227, 輔助計算!$F$2:$F$801, 0)+1)), "")&lt;&gt;"", IFERROR(INDEX(ERP資料!$A:$A, (MATCH(227, 輔助計算!$F$2:$F$801, 0)+1)), "")&lt;&gt;IFERROR(INDEX(ERP資料!$A:$A, MATCH(226, 輔助計算!$F$2:$F$801, 0)+1), "")), IFERROR(INDEX(ERP資料!$A:$A, (MATCH(227, 輔助計算!$F$2:$F$801, 0)+1)), ""), ""), "")</f>
        <v/>
      </c>
      <c r="C228" s="10">
        <f>IFERROR(IF(AND(IFERROR(INDEX(ERP資料!$A:$A, (MATCH(227, 輔助計算!$F$2:$F$801, 0)+1)), "")&lt;&gt;"", IFERROR(INDEX(ERP資料!$A:$A, (MATCH(227, 輔助計算!$F$2:$F$801, 0)+1)), "")&lt;&gt;IFERROR(INDEX(ERP資料!$A:$A, MATCH(226, 輔助計算!$F$2:$F$801, 0)+1), "")), INDEX(ERP資料!$S:$S, (MATCH(227, 輔助計算!$F$2:$F$801, 0)+1)), ""), "")</f>
        <v/>
      </c>
      <c r="D228" s="10">
        <f>IFERROR(IF(INDEX(ERP資料!$E:$E, (MATCH(227, 輔助計算!$F$2:$F$801, 0)+1))="","",TRIM(INDEX(ERP資料!$E:$E, (MATCH(227, 輔助計算!$F$2:$F$801, 0)+1)))), "")</f>
        <v/>
      </c>
      <c r="E228" s="10">
        <f>IFERROR(IF(INDEX(ERP資料!$F:$F, (MATCH(227, 輔助計算!$F$2:$F$801, 0)+1))="","",INDEX(ERP資料!$F:$F, (MATCH(227, 輔助計算!$F$2:$F$801, 0)+1))), "")</f>
        <v/>
      </c>
      <c r="F228" s="10">
        <f>IFERROR(IF(INDEX(ERP資料!$G:$G, (MATCH(227, 輔助計算!$F$2:$F$801, 0)+1))="","",INDEX(ERP資料!$G:$G, (MATCH(227, 輔助計算!$F$2:$F$801, 0)+1))), "")</f>
        <v/>
      </c>
      <c r="G228" s="10">
        <f>IFERROR(IF(INDEX(ERP資料!$H:$H, (MATCH(227, 輔助計算!$F$2:$F$801, 0)+1))="","",INDEX(ERP資料!$H:$H, (MATCH(227, 輔助計算!$F$2:$F$801, 0)+1))), "")</f>
        <v/>
      </c>
      <c r="H228" s="10">
        <f>IFERROR(IF(INDEX(ERP資料!$O:$O, (MATCH(227, 輔助計算!$F$2:$F$801, 0)+1))="","",INDEX(ERP資料!$O:$O, (MATCH(227, 輔助計算!$F$2:$F$801, 0)+1))), "")</f>
        <v/>
      </c>
      <c r="I228" s="15">
        <f>IFERROR(IF(INDEX(輔助計算!$D:$D,(MATCH(227, 輔助計算!$F$2:$F$801, 0)+1))="","",INDEX(輔助計算!$D:$D,(MATCH(227, 輔助計算!$F$2:$F$801, 0)+1))*INDEX(ERP資料!$O:$O,(MATCH(227, 輔助計算!$F$2:$F$801, 0)+1))), "")</f>
        <v/>
      </c>
      <c r="J228" s="16" t="n"/>
      <c r="K228" s="15">
        <f>IFERROR(INDEX(輔助計算!$D:$D, (MATCH(227, 輔助計算!$F$2:$F$801, 0)+1)), "")</f>
        <v/>
      </c>
      <c r="L228" s="16">
        <f>IFERROR(IF(AND(IFERROR(VLOOKUP(LEFT(INDEX(ERP資料!$S:$S, (MATCH(227, 輔助計算!$F$2:$F$801, 0)+1)), 4), 100張客戶!$A:$A, 1, FALSE), "")&lt;&gt;"", OR(INDEX(ERP資料!$F:$F, (MATCH(227, 輔助計算!$F$2:$F$801, 0)+1))=270, INDEX(ERP資料!$F:$F, (MATCH(227, 輔助計算!$F$2:$F$801, 0)+1))=300)), "100張", ""), "")</f>
        <v/>
      </c>
      <c r="M228" s="17" t="n"/>
      <c r="N228" s="17">
        <f>IF($F228="","",$F228)</f>
        <v/>
      </c>
      <c r="O228" s="17">
        <f>IF($G228="","",$G228)</f>
        <v/>
      </c>
      <c r="P228" s="17">
        <f>IF($K228="","",$K228)</f>
        <v/>
      </c>
      <c r="Q228" s="16" t="n"/>
      <c r="R228" s="18" t="n"/>
      <c r="S228" s="16" t="n"/>
    </row>
    <row r="229">
      <c r="A229" s="14">
        <f>IFERROR(IF(AND(IFERROR(INDEX(ERP資料!$A:$A, (MATCH(228, 輔助計算!$F$2:$F$801, 0)+1)), "")&lt;&gt;"", IFERROR(INDEX(ERP資料!$A:$A, (MATCH(228, 輔助計算!$F$2:$F$801, 0)+1)), "")&lt;&gt;IFERROR(INDEX(ERP資料!$A:$A, MATCH(227, 輔助計算!$F$2:$F$801, 0)+1), "")), INDEX(ERP資料!$B:$B, (MATCH(228, 輔助計算!$F$2:$F$801, 0)+1)), ""), "")</f>
        <v/>
      </c>
      <c r="B229" s="10">
        <f>IFERROR(IF(AND(IFERROR(INDEX(ERP資料!$A:$A, (MATCH(228, 輔助計算!$F$2:$F$801, 0)+1)), "")&lt;&gt;"", IFERROR(INDEX(ERP資料!$A:$A, (MATCH(228, 輔助計算!$F$2:$F$801, 0)+1)), "")&lt;&gt;IFERROR(INDEX(ERP資料!$A:$A, MATCH(227, 輔助計算!$F$2:$F$801, 0)+1), "")), IFERROR(INDEX(ERP資料!$A:$A, (MATCH(228, 輔助計算!$F$2:$F$801, 0)+1)), ""), ""), "")</f>
        <v/>
      </c>
      <c r="C229" s="10">
        <f>IFERROR(IF(AND(IFERROR(INDEX(ERP資料!$A:$A, (MATCH(228, 輔助計算!$F$2:$F$801, 0)+1)), "")&lt;&gt;"", IFERROR(INDEX(ERP資料!$A:$A, (MATCH(228, 輔助計算!$F$2:$F$801, 0)+1)), "")&lt;&gt;IFERROR(INDEX(ERP資料!$A:$A, MATCH(227, 輔助計算!$F$2:$F$801, 0)+1), "")), INDEX(ERP資料!$S:$S, (MATCH(228, 輔助計算!$F$2:$F$801, 0)+1)), ""), "")</f>
        <v/>
      </c>
      <c r="D229" s="10">
        <f>IFERROR(IF(INDEX(ERP資料!$E:$E, (MATCH(228, 輔助計算!$F$2:$F$801, 0)+1))="","",TRIM(INDEX(ERP資料!$E:$E, (MATCH(228, 輔助計算!$F$2:$F$801, 0)+1)))), "")</f>
        <v/>
      </c>
      <c r="E229" s="10">
        <f>IFERROR(IF(INDEX(ERP資料!$F:$F, (MATCH(228, 輔助計算!$F$2:$F$801, 0)+1))="","",INDEX(ERP資料!$F:$F, (MATCH(228, 輔助計算!$F$2:$F$801, 0)+1))), "")</f>
        <v/>
      </c>
      <c r="F229" s="10">
        <f>IFERROR(IF(INDEX(ERP資料!$G:$G, (MATCH(228, 輔助計算!$F$2:$F$801, 0)+1))="","",INDEX(ERP資料!$G:$G, (MATCH(228, 輔助計算!$F$2:$F$801, 0)+1))), "")</f>
        <v/>
      </c>
      <c r="G229" s="10">
        <f>IFERROR(IF(INDEX(ERP資料!$H:$H, (MATCH(228, 輔助計算!$F$2:$F$801, 0)+1))="","",INDEX(ERP資料!$H:$H, (MATCH(228, 輔助計算!$F$2:$F$801, 0)+1))), "")</f>
        <v/>
      </c>
      <c r="H229" s="10">
        <f>IFERROR(IF(INDEX(ERP資料!$O:$O, (MATCH(228, 輔助計算!$F$2:$F$801, 0)+1))="","",INDEX(ERP資料!$O:$O, (MATCH(228, 輔助計算!$F$2:$F$801, 0)+1))), "")</f>
        <v/>
      </c>
      <c r="I229" s="15">
        <f>IFERROR(IF(INDEX(輔助計算!$D:$D,(MATCH(228, 輔助計算!$F$2:$F$801, 0)+1))="","",INDEX(輔助計算!$D:$D,(MATCH(228, 輔助計算!$F$2:$F$801, 0)+1))*INDEX(ERP資料!$O:$O,(MATCH(228, 輔助計算!$F$2:$F$801, 0)+1))), "")</f>
        <v/>
      </c>
      <c r="J229" s="16" t="n"/>
      <c r="K229" s="15">
        <f>IFERROR(INDEX(輔助計算!$D:$D, (MATCH(228, 輔助計算!$F$2:$F$801, 0)+1)), "")</f>
        <v/>
      </c>
      <c r="L229" s="16">
        <f>IFERROR(IF(AND(IFERROR(VLOOKUP(LEFT(INDEX(ERP資料!$S:$S, (MATCH(228, 輔助計算!$F$2:$F$801, 0)+1)), 4), 100張客戶!$A:$A, 1, FALSE), "")&lt;&gt;"", OR(INDEX(ERP資料!$F:$F, (MATCH(228, 輔助計算!$F$2:$F$801, 0)+1))=270, INDEX(ERP資料!$F:$F, (MATCH(228, 輔助計算!$F$2:$F$801, 0)+1))=300)), "100張", ""), "")</f>
        <v/>
      </c>
      <c r="M229" s="17" t="n"/>
      <c r="N229" s="17">
        <f>IF($F229="","",$F229)</f>
        <v/>
      </c>
      <c r="O229" s="17">
        <f>IF($G229="","",$G229)</f>
        <v/>
      </c>
      <c r="P229" s="17">
        <f>IF($K229="","",$K229)</f>
        <v/>
      </c>
      <c r="Q229" s="16" t="n"/>
      <c r="R229" s="18" t="n"/>
      <c r="S229" s="16" t="n"/>
    </row>
    <row r="230">
      <c r="A230" s="14">
        <f>IFERROR(IF(AND(IFERROR(INDEX(ERP資料!$A:$A, (MATCH(229, 輔助計算!$F$2:$F$801, 0)+1)), "")&lt;&gt;"", IFERROR(INDEX(ERP資料!$A:$A, (MATCH(229, 輔助計算!$F$2:$F$801, 0)+1)), "")&lt;&gt;IFERROR(INDEX(ERP資料!$A:$A, MATCH(228, 輔助計算!$F$2:$F$801, 0)+1), "")), INDEX(ERP資料!$B:$B, (MATCH(229, 輔助計算!$F$2:$F$801, 0)+1)), ""), "")</f>
        <v/>
      </c>
      <c r="B230" s="10">
        <f>IFERROR(IF(AND(IFERROR(INDEX(ERP資料!$A:$A, (MATCH(229, 輔助計算!$F$2:$F$801, 0)+1)), "")&lt;&gt;"", IFERROR(INDEX(ERP資料!$A:$A, (MATCH(229, 輔助計算!$F$2:$F$801, 0)+1)), "")&lt;&gt;IFERROR(INDEX(ERP資料!$A:$A, MATCH(228, 輔助計算!$F$2:$F$801, 0)+1), "")), IFERROR(INDEX(ERP資料!$A:$A, (MATCH(229, 輔助計算!$F$2:$F$801, 0)+1)), ""), ""), "")</f>
        <v/>
      </c>
      <c r="C230" s="10">
        <f>IFERROR(IF(AND(IFERROR(INDEX(ERP資料!$A:$A, (MATCH(229, 輔助計算!$F$2:$F$801, 0)+1)), "")&lt;&gt;"", IFERROR(INDEX(ERP資料!$A:$A, (MATCH(229, 輔助計算!$F$2:$F$801, 0)+1)), "")&lt;&gt;IFERROR(INDEX(ERP資料!$A:$A, MATCH(228, 輔助計算!$F$2:$F$801, 0)+1), "")), INDEX(ERP資料!$S:$S, (MATCH(229, 輔助計算!$F$2:$F$801, 0)+1)), ""), "")</f>
        <v/>
      </c>
      <c r="D230" s="10">
        <f>IFERROR(IF(INDEX(ERP資料!$E:$E, (MATCH(229, 輔助計算!$F$2:$F$801, 0)+1))="","",TRIM(INDEX(ERP資料!$E:$E, (MATCH(229, 輔助計算!$F$2:$F$801, 0)+1)))), "")</f>
        <v/>
      </c>
      <c r="E230" s="10">
        <f>IFERROR(IF(INDEX(ERP資料!$F:$F, (MATCH(229, 輔助計算!$F$2:$F$801, 0)+1))="","",INDEX(ERP資料!$F:$F, (MATCH(229, 輔助計算!$F$2:$F$801, 0)+1))), "")</f>
        <v/>
      </c>
      <c r="F230" s="10">
        <f>IFERROR(IF(INDEX(ERP資料!$G:$G, (MATCH(229, 輔助計算!$F$2:$F$801, 0)+1))="","",INDEX(ERP資料!$G:$G, (MATCH(229, 輔助計算!$F$2:$F$801, 0)+1))), "")</f>
        <v/>
      </c>
      <c r="G230" s="10">
        <f>IFERROR(IF(INDEX(ERP資料!$H:$H, (MATCH(229, 輔助計算!$F$2:$F$801, 0)+1))="","",INDEX(ERP資料!$H:$H, (MATCH(229, 輔助計算!$F$2:$F$801, 0)+1))), "")</f>
        <v/>
      </c>
      <c r="H230" s="10">
        <f>IFERROR(IF(INDEX(ERP資料!$O:$O, (MATCH(229, 輔助計算!$F$2:$F$801, 0)+1))="","",INDEX(ERP資料!$O:$O, (MATCH(229, 輔助計算!$F$2:$F$801, 0)+1))), "")</f>
        <v/>
      </c>
      <c r="I230" s="15">
        <f>IFERROR(IF(INDEX(輔助計算!$D:$D,(MATCH(229, 輔助計算!$F$2:$F$801, 0)+1))="","",INDEX(輔助計算!$D:$D,(MATCH(229, 輔助計算!$F$2:$F$801, 0)+1))*INDEX(ERP資料!$O:$O,(MATCH(229, 輔助計算!$F$2:$F$801, 0)+1))), "")</f>
        <v/>
      </c>
      <c r="J230" s="16" t="n"/>
      <c r="K230" s="15">
        <f>IFERROR(INDEX(輔助計算!$D:$D, (MATCH(229, 輔助計算!$F$2:$F$801, 0)+1)), "")</f>
        <v/>
      </c>
      <c r="L230" s="16">
        <f>IFERROR(IF(AND(IFERROR(VLOOKUP(LEFT(INDEX(ERP資料!$S:$S, (MATCH(229, 輔助計算!$F$2:$F$801, 0)+1)), 4), 100張客戶!$A:$A, 1, FALSE), "")&lt;&gt;"", OR(INDEX(ERP資料!$F:$F, (MATCH(229, 輔助計算!$F$2:$F$801, 0)+1))=270, INDEX(ERP資料!$F:$F, (MATCH(229, 輔助計算!$F$2:$F$801, 0)+1))=300)), "100張", ""), "")</f>
        <v/>
      </c>
      <c r="M230" s="17" t="n"/>
      <c r="N230" s="17">
        <f>IF($F230="","",$F230)</f>
        <v/>
      </c>
      <c r="O230" s="17">
        <f>IF($G230="","",$G230)</f>
        <v/>
      </c>
      <c r="P230" s="17">
        <f>IF($K230="","",$K230)</f>
        <v/>
      </c>
      <c r="Q230" s="16" t="n"/>
      <c r="R230" s="18" t="n"/>
      <c r="S230" s="16" t="n"/>
    </row>
    <row r="231">
      <c r="A231" s="14">
        <f>IFERROR(IF(AND(IFERROR(INDEX(ERP資料!$A:$A, (MATCH(230, 輔助計算!$F$2:$F$801, 0)+1)), "")&lt;&gt;"", IFERROR(INDEX(ERP資料!$A:$A, (MATCH(230, 輔助計算!$F$2:$F$801, 0)+1)), "")&lt;&gt;IFERROR(INDEX(ERP資料!$A:$A, MATCH(229, 輔助計算!$F$2:$F$801, 0)+1), "")), INDEX(ERP資料!$B:$B, (MATCH(230, 輔助計算!$F$2:$F$801, 0)+1)), ""), "")</f>
        <v/>
      </c>
      <c r="B231" s="10">
        <f>IFERROR(IF(AND(IFERROR(INDEX(ERP資料!$A:$A, (MATCH(230, 輔助計算!$F$2:$F$801, 0)+1)), "")&lt;&gt;"", IFERROR(INDEX(ERP資料!$A:$A, (MATCH(230, 輔助計算!$F$2:$F$801, 0)+1)), "")&lt;&gt;IFERROR(INDEX(ERP資料!$A:$A, MATCH(229, 輔助計算!$F$2:$F$801, 0)+1), "")), IFERROR(INDEX(ERP資料!$A:$A, (MATCH(230, 輔助計算!$F$2:$F$801, 0)+1)), ""), ""), "")</f>
        <v/>
      </c>
      <c r="C231" s="10">
        <f>IFERROR(IF(AND(IFERROR(INDEX(ERP資料!$A:$A, (MATCH(230, 輔助計算!$F$2:$F$801, 0)+1)), "")&lt;&gt;"", IFERROR(INDEX(ERP資料!$A:$A, (MATCH(230, 輔助計算!$F$2:$F$801, 0)+1)), "")&lt;&gt;IFERROR(INDEX(ERP資料!$A:$A, MATCH(229, 輔助計算!$F$2:$F$801, 0)+1), "")), INDEX(ERP資料!$S:$S, (MATCH(230, 輔助計算!$F$2:$F$801, 0)+1)), ""), "")</f>
        <v/>
      </c>
      <c r="D231" s="10">
        <f>IFERROR(IF(INDEX(ERP資料!$E:$E, (MATCH(230, 輔助計算!$F$2:$F$801, 0)+1))="","",TRIM(INDEX(ERP資料!$E:$E, (MATCH(230, 輔助計算!$F$2:$F$801, 0)+1)))), "")</f>
        <v/>
      </c>
      <c r="E231" s="10">
        <f>IFERROR(IF(INDEX(ERP資料!$F:$F, (MATCH(230, 輔助計算!$F$2:$F$801, 0)+1))="","",INDEX(ERP資料!$F:$F, (MATCH(230, 輔助計算!$F$2:$F$801, 0)+1))), "")</f>
        <v/>
      </c>
      <c r="F231" s="10">
        <f>IFERROR(IF(INDEX(ERP資料!$G:$G, (MATCH(230, 輔助計算!$F$2:$F$801, 0)+1))="","",INDEX(ERP資料!$G:$G, (MATCH(230, 輔助計算!$F$2:$F$801, 0)+1))), "")</f>
        <v/>
      </c>
      <c r="G231" s="10">
        <f>IFERROR(IF(INDEX(ERP資料!$H:$H, (MATCH(230, 輔助計算!$F$2:$F$801, 0)+1))="","",INDEX(ERP資料!$H:$H, (MATCH(230, 輔助計算!$F$2:$F$801, 0)+1))), "")</f>
        <v/>
      </c>
      <c r="H231" s="10">
        <f>IFERROR(IF(INDEX(ERP資料!$O:$O, (MATCH(230, 輔助計算!$F$2:$F$801, 0)+1))="","",INDEX(ERP資料!$O:$O, (MATCH(230, 輔助計算!$F$2:$F$801, 0)+1))), "")</f>
        <v/>
      </c>
      <c r="I231" s="15">
        <f>IFERROR(IF(INDEX(輔助計算!$D:$D,(MATCH(230, 輔助計算!$F$2:$F$801, 0)+1))="","",INDEX(輔助計算!$D:$D,(MATCH(230, 輔助計算!$F$2:$F$801, 0)+1))*INDEX(ERP資料!$O:$O,(MATCH(230, 輔助計算!$F$2:$F$801, 0)+1))), "")</f>
        <v/>
      </c>
      <c r="J231" s="16" t="n"/>
      <c r="K231" s="15">
        <f>IFERROR(INDEX(輔助計算!$D:$D, (MATCH(230, 輔助計算!$F$2:$F$801, 0)+1)), "")</f>
        <v/>
      </c>
      <c r="L231" s="16">
        <f>IFERROR(IF(AND(IFERROR(VLOOKUP(LEFT(INDEX(ERP資料!$S:$S, (MATCH(230, 輔助計算!$F$2:$F$801, 0)+1)), 4), 100張客戶!$A:$A, 1, FALSE), "")&lt;&gt;"", OR(INDEX(ERP資料!$F:$F, (MATCH(230, 輔助計算!$F$2:$F$801, 0)+1))=270, INDEX(ERP資料!$F:$F, (MATCH(230, 輔助計算!$F$2:$F$801, 0)+1))=300)), "100張", ""), "")</f>
        <v/>
      </c>
      <c r="M231" s="17" t="n"/>
      <c r="N231" s="17">
        <f>IF($F231="","",$F231)</f>
        <v/>
      </c>
      <c r="O231" s="17">
        <f>IF($G231="","",$G231)</f>
        <v/>
      </c>
      <c r="P231" s="17">
        <f>IF($K231="","",$K231)</f>
        <v/>
      </c>
      <c r="Q231" s="16" t="n"/>
      <c r="R231" s="18" t="n"/>
      <c r="S231" s="16" t="n"/>
    </row>
    <row r="232">
      <c r="A232" s="14">
        <f>IFERROR(IF(AND(IFERROR(INDEX(ERP資料!$A:$A, (MATCH(231, 輔助計算!$F$2:$F$801, 0)+1)), "")&lt;&gt;"", IFERROR(INDEX(ERP資料!$A:$A, (MATCH(231, 輔助計算!$F$2:$F$801, 0)+1)), "")&lt;&gt;IFERROR(INDEX(ERP資料!$A:$A, MATCH(230, 輔助計算!$F$2:$F$801, 0)+1), "")), INDEX(ERP資料!$B:$B, (MATCH(231, 輔助計算!$F$2:$F$801, 0)+1)), ""), "")</f>
        <v/>
      </c>
      <c r="B232" s="10">
        <f>IFERROR(IF(AND(IFERROR(INDEX(ERP資料!$A:$A, (MATCH(231, 輔助計算!$F$2:$F$801, 0)+1)), "")&lt;&gt;"", IFERROR(INDEX(ERP資料!$A:$A, (MATCH(231, 輔助計算!$F$2:$F$801, 0)+1)), "")&lt;&gt;IFERROR(INDEX(ERP資料!$A:$A, MATCH(230, 輔助計算!$F$2:$F$801, 0)+1), "")), IFERROR(INDEX(ERP資料!$A:$A, (MATCH(231, 輔助計算!$F$2:$F$801, 0)+1)), ""), ""), "")</f>
        <v/>
      </c>
      <c r="C232" s="10">
        <f>IFERROR(IF(AND(IFERROR(INDEX(ERP資料!$A:$A, (MATCH(231, 輔助計算!$F$2:$F$801, 0)+1)), "")&lt;&gt;"", IFERROR(INDEX(ERP資料!$A:$A, (MATCH(231, 輔助計算!$F$2:$F$801, 0)+1)), "")&lt;&gt;IFERROR(INDEX(ERP資料!$A:$A, MATCH(230, 輔助計算!$F$2:$F$801, 0)+1), "")), INDEX(ERP資料!$S:$S, (MATCH(231, 輔助計算!$F$2:$F$801, 0)+1)), ""), "")</f>
        <v/>
      </c>
      <c r="D232" s="10">
        <f>IFERROR(IF(INDEX(ERP資料!$E:$E, (MATCH(231, 輔助計算!$F$2:$F$801, 0)+1))="","",TRIM(INDEX(ERP資料!$E:$E, (MATCH(231, 輔助計算!$F$2:$F$801, 0)+1)))), "")</f>
        <v/>
      </c>
      <c r="E232" s="10">
        <f>IFERROR(IF(INDEX(ERP資料!$F:$F, (MATCH(231, 輔助計算!$F$2:$F$801, 0)+1))="","",INDEX(ERP資料!$F:$F, (MATCH(231, 輔助計算!$F$2:$F$801, 0)+1))), "")</f>
        <v/>
      </c>
      <c r="F232" s="10">
        <f>IFERROR(IF(INDEX(ERP資料!$G:$G, (MATCH(231, 輔助計算!$F$2:$F$801, 0)+1))="","",INDEX(ERP資料!$G:$G, (MATCH(231, 輔助計算!$F$2:$F$801, 0)+1))), "")</f>
        <v/>
      </c>
      <c r="G232" s="10">
        <f>IFERROR(IF(INDEX(ERP資料!$H:$H, (MATCH(231, 輔助計算!$F$2:$F$801, 0)+1))="","",INDEX(ERP資料!$H:$H, (MATCH(231, 輔助計算!$F$2:$F$801, 0)+1))), "")</f>
        <v/>
      </c>
      <c r="H232" s="10">
        <f>IFERROR(IF(INDEX(ERP資料!$O:$O, (MATCH(231, 輔助計算!$F$2:$F$801, 0)+1))="","",INDEX(ERP資料!$O:$O, (MATCH(231, 輔助計算!$F$2:$F$801, 0)+1))), "")</f>
        <v/>
      </c>
      <c r="I232" s="15">
        <f>IFERROR(IF(INDEX(輔助計算!$D:$D,(MATCH(231, 輔助計算!$F$2:$F$801, 0)+1))="","",INDEX(輔助計算!$D:$D,(MATCH(231, 輔助計算!$F$2:$F$801, 0)+1))*INDEX(ERP資料!$O:$O,(MATCH(231, 輔助計算!$F$2:$F$801, 0)+1))), "")</f>
        <v/>
      </c>
      <c r="J232" s="16" t="n"/>
      <c r="K232" s="15">
        <f>IFERROR(INDEX(輔助計算!$D:$D, (MATCH(231, 輔助計算!$F$2:$F$801, 0)+1)), "")</f>
        <v/>
      </c>
      <c r="L232" s="16">
        <f>IFERROR(IF(AND(IFERROR(VLOOKUP(LEFT(INDEX(ERP資料!$S:$S, (MATCH(231, 輔助計算!$F$2:$F$801, 0)+1)), 4), 100張客戶!$A:$A, 1, FALSE), "")&lt;&gt;"", OR(INDEX(ERP資料!$F:$F, (MATCH(231, 輔助計算!$F$2:$F$801, 0)+1))=270, INDEX(ERP資料!$F:$F, (MATCH(231, 輔助計算!$F$2:$F$801, 0)+1))=300)), "100張", ""), "")</f>
        <v/>
      </c>
      <c r="M232" s="17" t="n"/>
      <c r="N232" s="17">
        <f>IF($F232="","",$F232)</f>
        <v/>
      </c>
      <c r="O232" s="17">
        <f>IF($G232="","",$G232)</f>
        <v/>
      </c>
      <c r="P232" s="17">
        <f>IF($K232="","",$K232)</f>
        <v/>
      </c>
      <c r="Q232" s="16" t="n"/>
      <c r="R232" s="18" t="n"/>
      <c r="S232" s="16" t="n"/>
    </row>
    <row r="233">
      <c r="A233" s="14">
        <f>IFERROR(IF(AND(IFERROR(INDEX(ERP資料!$A:$A, (MATCH(232, 輔助計算!$F$2:$F$801, 0)+1)), "")&lt;&gt;"", IFERROR(INDEX(ERP資料!$A:$A, (MATCH(232, 輔助計算!$F$2:$F$801, 0)+1)), "")&lt;&gt;IFERROR(INDEX(ERP資料!$A:$A, MATCH(231, 輔助計算!$F$2:$F$801, 0)+1), "")), INDEX(ERP資料!$B:$B, (MATCH(232, 輔助計算!$F$2:$F$801, 0)+1)), ""), "")</f>
        <v/>
      </c>
      <c r="B233" s="10">
        <f>IFERROR(IF(AND(IFERROR(INDEX(ERP資料!$A:$A, (MATCH(232, 輔助計算!$F$2:$F$801, 0)+1)), "")&lt;&gt;"", IFERROR(INDEX(ERP資料!$A:$A, (MATCH(232, 輔助計算!$F$2:$F$801, 0)+1)), "")&lt;&gt;IFERROR(INDEX(ERP資料!$A:$A, MATCH(231, 輔助計算!$F$2:$F$801, 0)+1), "")), IFERROR(INDEX(ERP資料!$A:$A, (MATCH(232, 輔助計算!$F$2:$F$801, 0)+1)), ""), ""), "")</f>
        <v/>
      </c>
      <c r="C233" s="10">
        <f>IFERROR(IF(AND(IFERROR(INDEX(ERP資料!$A:$A, (MATCH(232, 輔助計算!$F$2:$F$801, 0)+1)), "")&lt;&gt;"", IFERROR(INDEX(ERP資料!$A:$A, (MATCH(232, 輔助計算!$F$2:$F$801, 0)+1)), "")&lt;&gt;IFERROR(INDEX(ERP資料!$A:$A, MATCH(231, 輔助計算!$F$2:$F$801, 0)+1), "")), INDEX(ERP資料!$S:$S, (MATCH(232, 輔助計算!$F$2:$F$801, 0)+1)), ""), "")</f>
        <v/>
      </c>
      <c r="D233" s="10">
        <f>IFERROR(IF(INDEX(ERP資料!$E:$E, (MATCH(232, 輔助計算!$F$2:$F$801, 0)+1))="","",TRIM(INDEX(ERP資料!$E:$E, (MATCH(232, 輔助計算!$F$2:$F$801, 0)+1)))), "")</f>
        <v/>
      </c>
      <c r="E233" s="10">
        <f>IFERROR(IF(INDEX(ERP資料!$F:$F, (MATCH(232, 輔助計算!$F$2:$F$801, 0)+1))="","",INDEX(ERP資料!$F:$F, (MATCH(232, 輔助計算!$F$2:$F$801, 0)+1))), "")</f>
        <v/>
      </c>
      <c r="F233" s="10">
        <f>IFERROR(IF(INDEX(ERP資料!$G:$G, (MATCH(232, 輔助計算!$F$2:$F$801, 0)+1))="","",INDEX(ERP資料!$G:$G, (MATCH(232, 輔助計算!$F$2:$F$801, 0)+1))), "")</f>
        <v/>
      </c>
      <c r="G233" s="10">
        <f>IFERROR(IF(INDEX(ERP資料!$H:$H, (MATCH(232, 輔助計算!$F$2:$F$801, 0)+1))="","",INDEX(ERP資料!$H:$H, (MATCH(232, 輔助計算!$F$2:$F$801, 0)+1))), "")</f>
        <v/>
      </c>
      <c r="H233" s="10">
        <f>IFERROR(IF(INDEX(ERP資料!$O:$O, (MATCH(232, 輔助計算!$F$2:$F$801, 0)+1))="","",INDEX(ERP資料!$O:$O, (MATCH(232, 輔助計算!$F$2:$F$801, 0)+1))), "")</f>
        <v/>
      </c>
      <c r="I233" s="15">
        <f>IFERROR(IF(INDEX(輔助計算!$D:$D,(MATCH(232, 輔助計算!$F$2:$F$801, 0)+1))="","",INDEX(輔助計算!$D:$D,(MATCH(232, 輔助計算!$F$2:$F$801, 0)+1))*INDEX(ERP資料!$O:$O,(MATCH(232, 輔助計算!$F$2:$F$801, 0)+1))), "")</f>
        <v/>
      </c>
      <c r="J233" s="16" t="n"/>
      <c r="K233" s="15">
        <f>IFERROR(INDEX(輔助計算!$D:$D, (MATCH(232, 輔助計算!$F$2:$F$801, 0)+1)), "")</f>
        <v/>
      </c>
      <c r="L233" s="16">
        <f>IFERROR(IF(AND(IFERROR(VLOOKUP(LEFT(INDEX(ERP資料!$S:$S, (MATCH(232, 輔助計算!$F$2:$F$801, 0)+1)), 4), 100張客戶!$A:$A, 1, FALSE), "")&lt;&gt;"", OR(INDEX(ERP資料!$F:$F, (MATCH(232, 輔助計算!$F$2:$F$801, 0)+1))=270, INDEX(ERP資料!$F:$F, (MATCH(232, 輔助計算!$F$2:$F$801, 0)+1))=300)), "100張", ""), "")</f>
        <v/>
      </c>
      <c r="M233" s="17" t="n"/>
      <c r="N233" s="17">
        <f>IF($F233="","",$F233)</f>
        <v/>
      </c>
      <c r="O233" s="17">
        <f>IF($G233="","",$G233)</f>
        <v/>
      </c>
      <c r="P233" s="17">
        <f>IF($K233="","",$K233)</f>
        <v/>
      </c>
      <c r="Q233" s="16" t="n"/>
      <c r="R233" s="18" t="n"/>
      <c r="S233" s="16" t="n"/>
    </row>
    <row r="234">
      <c r="A234" s="14">
        <f>IFERROR(IF(AND(IFERROR(INDEX(ERP資料!$A:$A, (MATCH(233, 輔助計算!$F$2:$F$801, 0)+1)), "")&lt;&gt;"", IFERROR(INDEX(ERP資料!$A:$A, (MATCH(233, 輔助計算!$F$2:$F$801, 0)+1)), "")&lt;&gt;IFERROR(INDEX(ERP資料!$A:$A, MATCH(232, 輔助計算!$F$2:$F$801, 0)+1), "")), INDEX(ERP資料!$B:$B, (MATCH(233, 輔助計算!$F$2:$F$801, 0)+1)), ""), "")</f>
        <v/>
      </c>
      <c r="B234" s="10">
        <f>IFERROR(IF(AND(IFERROR(INDEX(ERP資料!$A:$A, (MATCH(233, 輔助計算!$F$2:$F$801, 0)+1)), "")&lt;&gt;"", IFERROR(INDEX(ERP資料!$A:$A, (MATCH(233, 輔助計算!$F$2:$F$801, 0)+1)), "")&lt;&gt;IFERROR(INDEX(ERP資料!$A:$A, MATCH(232, 輔助計算!$F$2:$F$801, 0)+1), "")), IFERROR(INDEX(ERP資料!$A:$A, (MATCH(233, 輔助計算!$F$2:$F$801, 0)+1)), ""), ""), "")</f>
        <v/>
      </c>
      <c r="C234" s="10">
        <f>IFERROR(IF(AND(IFERROR(INDEX(ERP資料!$A:$A, (MATCH(233, 輔助計算!$F$2:$F$801, 0)+1)), "")&lt;&gt;"", IFERROR(INDEX(ERP資料!$A:$A, (MATCH(233, 輔助計算!$F$2:$F$801, 0)+1)), "")&lt;&gt;IFERROR(INDEX(ERP資料!$A:$A, MATCH(232, 輔助計算!$F$2:$F$801, 0)+1), "")), INDEX(ERP資料!$S:$S, (MATCH(233, 輔助計算!$F$2:$F$801, 0)+1)), ""), "")</f>
        <v/>
      </c>
      <c r="D234" s="10">
        <f>IFERROR(IF(INDEX(ERP資料!$E:$E, (MATCH(233, 輔助計算!$F$2:$F$801, 0)+1))="","",TRIM(INDEX(ERP資料!$E:$E, (MATCH(233, 輔助計算!$F$2:$F$801, 0)+1)))), "")</f>
        <v/>
      </c>
      <c r="E234" s="10">
        <f>IFERROR(IF(INDEX(ERP資料!$F:$F, (MATCH(233, 輔助計算!$F$2:$F$801, 0)+1))="","",INDEX(ERP資料!$F:$F, (MATCH(233, 輔助計算!$F$2:$F$801, 0)+1))), "")</f>
        <v/>
      </c>
      <c r="F234" s="10">
        <f>IFERROR(IF(INDEX(ERP資料!$G:$G, (MATCH(233, 輔助計算!$F$2:$F$801, 0)+1))="","",INDEX(ERP資料!$G:$G, (MATCH(233, 輔助計算!$F$2:$F$801, 0)+1))), "")</f>
        <v/>
      </c>
      <c r="G234" s="10">
        <f>IFERROR(IF(INDEX(ERP資料!$H:$H, (MATCH(233, 輔助計算!$F$2:$F$801, 0)+1))="","",INDEX(ERP資料!$H:$H, (MATCH(233, 輔助計算!$F$2:$F$801, 0)+1))), "")</f>
        <v/>
      </c>
      <c r="H234" s="10">
        <f>IFERROR(IF(INDEX(ERP資料!$O:$O, (MATCH(233, 輔助計算!$F$2:$F$801, 0)+1))="","",INDEX(ERP資料!$O:$O, (MATCH(233, 輔助計算!$F$2:$F$801, 0)+1))), "")</f>
        <v/>
      </c>
      <c r="I234" s="15">
        <f>IFERROR(IF(INDEX(輔助計算!$D:$D,(MATCH(233, 輔助計算!$F$2:$F$801, 0)+1))="","",INDEX(輔助計算!$D:$D,(MATCH(233, 輔助計算!$F$2:$F$801, 0)+1))*INDEX(ERP資料!$O:$O,(MATCH(233, 輔助計算!$F$2:$F$801, 0)+1))), "")</f>
        <v/>
      </c>
      <c r="J234" s="16" t="n"/>
      <c r="K234" s="15">
        <f>IFERROR(INDEX(輔助計算!$D:$D, (MATCH(233, 輔助計算!$F$2:$F$801, 0)+1)), "")</f>
        <v/>
      </c>
      <c r="L234" s="16">
        <f>IFERROR(IF(AND(IFERROR(VLOOKUP(LEFT(INDEX(ERP資料!$S:$S, (MATCH(233, 輔助計算!$F$2:$F$801, 0)+1)), 4), 100張客戶!$A:$A, 1, FALSE), "")&lt;&gt;"", OR(INDEX(ERP資料!$F:$F, (MATCH(233, 輔助計算!$F$2:$F$801, 0)+1))=270, INDEX(ERP資料!$F:$F, (MATCH(233, 輔助計算!$F$2:$F$801, 0)+1))=300)), "100張", ""), "")</f>
        <v/>
      </c>
      <c r="M234" s="17" t="n"/>
      <c r="N234" s="17">
        <f>IF($F234="","",$F234)</f>
        <v/>
      </c>
      <c r="O234" s="17">
        <f>IF($G234="","",$G234)</f>
        <v/>
      </c>
      <c r="P234" s="17">
        <f>IF($K234="","",$K234)</f>
        <v/>
      </c>
      <c r="Q234" s="16" t="n"/>
      <c r="R234" s="18" t="n"/>
      <c r="S234" s="16" t="n"/>
    </row>
    <row r="235">
      <c r="A235" s="14">
        <f>IFERROR(IF(AND(IFERROR(INDEX(ERP資料!$A:$A, (MATCH(234, 輔助計算!$F$2:$F$801, 0)+1)), "")&lt;&gt;"", IFERROR(INDEX(ERP資料!$A:$A, (MATCH(234, 輔助計算!$F$2:$F$801, 0)+1)), "")&lt;&gt;IFERROR(INDEX(ERP資料!$A:$A, MATCH(233, 輔助計算!$F$2:$F$801, 0)+1), "")), INDEX(ERP資料!$B:$B, (MATCH(234, 輔助計算!$F$2:$F$801, 0)+1)), ""), "")</f>
        <v/>
      </c>
      <c r="B235" s="10">
        <f>IFERROR(IF(AND(IFERROR(INDEX(ERP資料!$A:$A, (MATCH(234, 輔助計算!$F$2:$F$801, 0)+1)), "")&lt;&gt;"", IFERROR(INDEX(ERP資料!$A:$A, (MATCH(234, 輔助計算!$F$2:$F$801, 0)+1)), "")&lt;&gt;IFERROR(INDEX(ERP資料!$A:$A, MATCH(233, 輔助計算!$F$2:$F$801, 0)+1), "")), IFERROR(INDEX(ERP資料!$A:$A, (MATCH(234, 輔助計算!$F$2:$F$801, 0)+1)), ""), ""), "")</f>
        <v/>
      </c>
      <c r="C235" s="10">
        <f>IFERROR(IF(AND(IFERROR(INDEX(ERP資料!$A:$A, (MATCH(234, 輔助計算!$F$2:$F$801, 0)+1)), "")&lt;&gt;"", IFERROR(INDEX(ERP資料!$A:$A, (MATCH(234, 輔助計算!$F$2:$F$801, 0)+1)), "")&lt;&gt;IFERROR(INDEX(ERP資料!$A:$A, MATCH(233, 輔助計算!$F$2:$F$801, 0)+1), "")), INDEX(ERP資料!$S:$S, (MATCH(234, 輔助計算!$F$2:$F$801, 0)+1)), ""), "")</f>
        <v/>
      </c>
      <c r="D235" s="10">
        <f>IFERROR(IF(INDEX(ERP資料!$E:$E, (MATCH(234, 輔助計算!$F$2:$F$801, 0)+1))="","",TRIM(INDEX(ERP資料!$E:$E, (MATCH(234, 輔助計算!$F$2:$F$801, 0)+1)))), "")</f>
        <v/>
      </c>
      <c r="E235" s="10">
        <f>IFERROR(IF(INDEX(ERP資料!$F:$F, (MATCH(234, 輔助計算!$F$2:$F$801, 0)+1))="","",INDEX(ERP資料!$F:$F, (MATCH(234, 輔助計算!$F$2:$F$801, 0)+1))), "")</f>
        <v/>
      </c>
      <c r="F235" s="10">
        <f>IFERROR(IF(INDEX(ERP資料!$G:$G, (MATCH(234, 輔助計算!$F$2:$F$801, 0)+1))="","",INDEX(ERP資料!$G:$G, (MATCH(234, 輔助計算!$F$2:$F$801, 0)+1))), "")</f>
        <v/>
      </c>
      <c r="G235" s="10">
        <f>IFERROR(IF(INDEX(ERP資料!$H:$H, (MATCH(234, 輔助計算!$F$2:$F$801, 0)+1))="","",INDEX(ERP資料!$H:$H, (MATCH(234, 輔助計算!$F$2:$F$801, 0)+1))), "")</f>
        <v/>
      </c>
      <c r="H235" s="10">
        <f>IFERROR(IF(INDEX(ERP資料!$O:$O, (MATCH(234, 輔助計算!$F$2:$F$801, 0)+1))="","",INDEX(ERP資料!$O:$O, (MATCH(234, 輔助計算!$F$2:$F$801, 0)+1))), "")</f>
        <v/>
      </c>
      <c r="I235" s="15">
        <f>IFERROR(IF(INDEX(輔助計算!$D:$D,(MATCH(234, 輔助計算!$F$2:$F$801, 0)+1))="","",INDEX(輔助計算!$D:$D,(MATCH(234, 輔助計算!$F$2:$F$801, 0)+1))*INDEX(ERP資料!$O:$O,(MATCH(234, 輔助計算!$F$2:$F$801, 0)+1))), "")</f>
        <v/>
      </c>
      <c r="J235" s="16" t="n"/>
      <c r="K235" s="15">
        <f>IFERROR(INDEX(輔助計算!$D:$D, (MATCH(234, 輔助計算!$F$2:$F$801, 0)+1)), "")</f>
        <v/>
      </c>
      <c r="L235" s="16">
        <f>IFERROR(IF(AND(IFERROR(VLOOKUP(LEFT(INDEX(ERP資料!$S:$S, (MATCH(234, 輔助計算!$F$2:$F$801, 0)+1)), 4), 100張客戶!$A:$A, 1, FALSE), "")&lt;&gt;"", OR(INDEX(ERP資料!$F:$F, (MATCH(234, 輔助計算!$F$2:$F$801, 0)+1))=270, INDEX(ERP資料!$F:$F, (MATCH(234, 輔助計算!$F$2:$F$801, 0)+1))=300)), "100張", ""), "")</f>
        <v/>
      </c>
      <c r="M235" s="17" t="n"/>
      <c r="N235" s="17">
        <f>IF($F235="","",$F235)</f>
        <v/>
      </c>
      <c r="O235" s="17">
        <f>IF($G235="","",$G235)</f>
        <v/>
      </c>
      <c r="P235" s="17">
        <f>IF($K235="","",$K235)</f>
        <v/>
      </c>
      <c r="Q235" s="16" t="n"/>
      <c r="R235" s="18" t="n"/>
      <c r="S235" s="16" t="n"/>
    </row>
    <row r="236">
      <c r="A236" s="14">
        <f>IFERROR(IF(AND(IFERROR(INDEX(ERP資料!$A:$A, (MATCH(235, 輔助計算!$F$2:$F$801, 0)+1)), "")&lt;&gt;"", IFERROR(INDEX(ERP資料!$A:$A, (MATCH(235, 輔助計算!$F$2:$F$801, 0)+1)), "")&lt;&gt;IFERROR(INDEX(ERP資料!$A:$A, MATCH(234, 輔助計算!$F$2:$F$801, 0)+1), "")), INDEX(ERP資料!$B:$B, (MATCH(235, 輔助計算!$F$2:$F$801, 0)+1)), ""), "")</f>
        <v/>
      </c>
      <c r="B236" s="10">
        <f>IFERROR(IF(AND(IFERROR(INDEX(ERP資料!$A:$A, (MATCH(235, 輔助計算!$F$2:$F$801, 0)+1)), "")&lt;&gt;"", IFERROR(INDEX(ERP資料!$A:$A, (MATCH(235, 輔助計算!$F$2:$F$801, 0)+1)), "")&lt;&gt;IFERROR(INDEX(ERP資料!$A:$A, MATCH(234, 輔助計算!$F$2:$F$801, 0)+1), "")), IFERROR(INDEX(ERP資料!$A:$A, (MATCH(235, 輔助計算!$F$2:$F$801, 0)+1)), ""), ""), "")</f>
        <v/>
      </c>
      <c r="C236" s="10">
        <f>IFERROR(IF(AND(IFERROR(INDEX(ERP資料!$A:$A, (MATCH(235, 輔助計算!$F$2:$F$801, 0)+1)), "")&lt;&gt;"", IFERROR(INDEX(ERP資料!$A:$A, (MATCH(235, 輔助計算!$F$2:$F$801, 0)+1)), "")&lt;&gt;IFERROR(INDEX(ERP資料!$A:$A, MATCH(234, 輔助計算!$F$2:$F$801, 0)+1), "")), INDEX(ERP資料!$S:$S, (MATCH(235, 輔助計算!$F$2:$F$801, 0)+1)), ""), "")</f>
        <v/>
      </c>
      <c r="D236" s="10">
        <f>IFERROR(IF(INDEX(ERP資料!$E:$E, (MATCH(235, 輔助計算!$F$2:$F$801, 0)+1))="","",TRIM(INDEX(ERP資料!$E:$E, (MATCH(235, 輔助計算!$F$2:$F$801, 0)+1)))), "")</f>
        <v/>
      </c>
      <c r="E236" s="10">
        <f>IFERROR(IF(INDEX(ERP資料!$F:$F, (MATCH(235, 輔助計算!$F$2:$F$801, 0)+1))="","",INDEX(ERP資料!$F:$F, (MATCH(235, 輔助計算!$F$2:$F$801, 0)+1))), "")</f>
        <v/>
      </c>
      <c r="F236" s="10">
        <f>IFERROR(IF(INDEX(ERP資料!$G:$G, (MATCH(235, 輔助計算!$F$2:$F$801, 0)+1))="","",INDEX(ERP資料!$G:$G, (MATCH(235, 輔助計算!$F$2:$F$801, 0)+1))), "")</f>
        <v/>
      </c>
      <c r="G236" s="10">
        <f>IFERROR(IF(INDEX(ERP資料!$H:$H, (MATCH(235, 輔助計算!$F$2:$F$801, 0)+1))="","",INDEX(ERP資料!$H:$H, (MATCH(235, 輔助計算!$F$2:$F$801, 0)+1))), "")</f>
        <v/>
      </c>
      <c r="H236" s="10">
        <f>IFERROR(IF(INDEX(ERP資料!$O:$O, (MATCH(235, 輔助計算!$F$2:$F$801, 0)+1))="","",INDEX(ERP資料!$O:$O, (MATCH(235, 輔助計算!$F$2:$F$801, 0)+1))), "")</f>
        <v/>
      </c>
      <c r="I236" s="15">
        <f>IFERROR(IF(INDEX(輔助計算!$D:$D,(MATCH(235, 輔助計算!$F$2:$F$801, 0)+1))="","",INDEX(輔助計算!$D:$D,(MATCH(235, 輔助計算!$F$2:$F$801, 0)+1))*INDEX(ERP資料!$O:$O,(MATCH(235, 輔助計算!$F$2:$F$801, 0)+1))), "")</f>
        <v/>
      </c>
      <c r="J236" s="16" t="n"/>
      <c r="K236" s="15">
        <f>IFERROR(INDEX(輔助計算!$D:$D, (MATCH(235, 輔助計算!$F$2:$F$801, 0)+1)), "")</f>
        <v/>
      </c>
      <c r="L236" s="16">
        <f>IFERROR(IF(AND(IFERROR(VLOOKUP(LEFT(INDEX(ERP資料!$S:$S, (MATCH(235, 輔助計算!$F$2:$F$801, 0)+1)), 4), 100張客戶!$A:$A, 1, FALSE), "")&lt;&gt;"", OR(INDEX(ERP資料!$F:$F, (MATCH(235, 輔助計算!$F$2:$F$801, 0)+1))=270, INDEX(ERP資料!$F:$F, (MATCH(235, 輔助計算!$F$2:$F$801, 0)+1))=300)), "100張", ""), "")</f>
        <v/>
      </c>
      <c r="M236" s="17" t="n"/>
      <c r="N236" s="17">
        <f>IF($F236="","",$F236)</f>
        <v/>
      </c>
      <c r="O236" s="17">
        <f>IF($G236="","",$G236)</f>
        <v/>
      </c>
      <c r="P236" s="17">
        <f>IF($K236="","",$K236)</f>
        <v/>
      </c>
      <c r="Q236" s="16" t="n"/>
      <c r="R236" s="18" t="n"/>
      <c r="S236" s="16" t="n"/>
    </row>
    <row r="237">
      <c r="A237" s="14">
        <f>IFERROR(IF(AND(IFERROR(INDEX(ERP資料!$A:$A, (MATCH(236, 輔助計算!$F$2:$F$801, 0)+1)), "")&lt;&gt;"", IFERROR(INDEX(ERP資料!$A:$A, (MATCH(236, 輔助計算!$F$2:$F$801, 0)+1)), "")&lt;&gt;IFERROR(INDEX(ERP資料!$A:$A, MATCH(235, 輔助計算!$F$2:$F$801, 0)+1), "")), INDEX(ERP資料!$B:$B, (MATCH(236, 輔助計算!$F$2:$F$801, 0)+1)), ""), "")</f>
        <v/>
      </c>
      <c r="B237" s="10">
        <f>IFERROR(IF(AND(IFERROR(INDEX(ERP資料!$A:$A, (MATCH(236, 輔助計算!$F$2:$F$801, 0)+1)), "")&lt;&gt;"", IFERROR(INDEX(ERP資料!$A:$A, (MATCH(236, 輔助計算!$F$2:$F$801, 0)+1)), "")&lt;&gt;IFERROR(INDEX(ERP資料!$A:$A, MATCH(235, 輔助計算!$F$2:$F$801, 0)+1), "")), IFERROR(INDEX(ERP資料!$A:$A, (MATCH(236, 輔助計算!$F$2:$F$801, 0)+1)), ""), ""), "")</f>
        <v/>
      </c>
      <c r="C237" s="10">
        <f>IFERROR(IF(AND(IFERROR(INDEX(ERP資料!$A:$A, (MATCH(236, 輔助計算!$F$2:$F$801, 0)+1)), "")&lt;&gt;"", IFERROR(INDEX(ERP資料!$A:$A, (MATCH(236, 輔助計算!$F$2:$F$801, 0)+1)), "")&lt;&gt;IFERROR(INDEX(ERP資料!$A:$A, MATCH(235, 輔助計算!$F$2:$F$801, 0)+1), "")), INDEX(ERP資料!$S:$S, (MATCH(236, 輔助計算!$F$2:$F$801, 0)+1)), ""), "")</f>
        <v/>
      </c>
      <c r="D237" s="10">
        <f>IFERROR(IF(INDEX(ERP資料!$E:$E, (MATCH(236, 輔助計算!$F$2:$F$801, 0)+1))="","",TRIM(INDEX(ERP資料!$E:$E, (MATCH(236, 輔助計算!$F$2:$F$801, 0)+1)))), "")</f>
        <v/>
      </c>
      <c r="E237" s="10">
        <f>IFERROR(IF(INDEX(ERP資料!$F:$F, (MATCH(236, 輔助計算!$F$2:$F$801, 0)+1))="","",INDEX(ERP資料!$F:$F, (MATCH(236, 輔助計算!$F$2:$F$801, 0)+1))), "")</f>
        <v/>
      </c>
      <c r="F237" s="10">
        <f>IFERROR(IF(INDEX(ERP資料!$G:$G, (MATCH(236, 輔助計算!$F$2:$F$801, 0)+1))="","",INDEX(ERP資料!$G:$G, (MATCH(236, 輔助計算!$F$2:$F$801, 0)+1))), "")</f>
        <v/>
      </c>
      <c r="G237" s="10">
        <f>IFERROR(IF(INDEX(ERP資料!$H:$H, (MATCH(236, 輔助計算!$F$2:$F$801, 0)+1))="","",INDEX(ERP資料!$H:$H, (MATCH(236, 輔助計算!$F$2:$F$801, 0)+1))), "")</f>
        <v/>
      </c>
      <c r="H237" s="10">
        <f>IFERROR(IF(INDEX(ERP資料!$O:$O, (MATCH(236, 輔助計算!$F$2:$F$801, 0)+1))="","",INDEX(ERP資料!$O:$O, (MATCH(236, 輔助計算!$F$2:$F$801, 0)+1))), "")</f>
        <v/>
      </c>
      <c r="I237" s="15">
        <f>IFERROR(IF(INDEX(輔助計算!$D:$D,(MATCH(236, 輔助計算!$F$2:$F$801, 0)+1))="","",INDEX(輔助計算!$D:$D,(MATCH(236, 輔助計算!$F$2:$F$801, 0)+1))*INDEX(ERP資料!$O:$O,(MATCH(236, 輔助計算!$F$2:$F$801, 0)+1))), "")</f>
        <v/>
      </c>
      <c r="J237" s="16" t="n"/>
      <c r="K237" s="15">
        <f>IFERROR(INDEX(輔助計算!$D:$D, (MATCH(236, 輔助計算!$F$2:$F$801, 0)+1)), "")</f>
        <v/>
      </c>
      <c r="L237" s="16">
        <f>IFERROR(IF(AND(IFERROR(VLOOKUP(LEFT(INDEX(ERP資料!$S:$S, (MATCH(236, 輔助計算!$F$2:$F$801, 0)+1)), 4), 100張客戶!$A:$A, 1, FALSE), "")&lt;&gt;"", OR(INDEX(ERP資料!$F:$F, (MATCH(236, 輔助計算!$F$2:$F$801, 0)+1))=270, INDEX(ERP資料!$F:$F, (MATCH(236, 輔助計算!$F$2:$F$801, 0)+1))=300)), "100張", ""), "")</f>
        <v/>
      </c>
      <c r="M237" s="17" t="n"/>
      <c r="N237" s="17">
        <f>IF($F237="","",$F237)</f>
        <v/>
      </c>
      <c r="O237" s="17">
        <f>IF($G237="","",$G237)</f>
        <v/>
      </c>
      <c r="P237" s="17">
        <f>IF($K237="","",$K237)</f>
        <v/>
      </c>
      <c r="Q237" s="16" t="n"/>
      <c r="R237" s="18" t="n"/>
      <c r="S237" s="16" t="n"/>
    </row>
    <row r="238">
      <c r="A238" s="14">
        <f>IFERROR(IF(AND(IFERROR(INDEX(ERP資料!$A:$A, (MATCH(237, 輔助計算!$F$2:$F$801, 0)+1)), "")&lt;&gt;"", IFERROR(INDEX(ERP資料!$A:$A, (MATCH(237, 輔助計算!$F$2:$F$801, 0)+1)), "")&lt;&gt;IFERROR(INDEX(ERP資料!$A:$A, MATCH(236, 輔助計算!$F$2:$F$801, 0)+1), "")), INDEX(ERP資料!$B:$B, (MATCH(237, 輔助計算!$F$2:$F$801, 0)+1)), ""), "")</f>
        <v/>
      </c>
      <c r="B238" s="10">
        <f>IFERROR(IF(AND(IFERROR(INDEX(ERP資料!$A:$A, (MATCH(237, 輔助計算!$F$2:$F$801, 0)+1)), "")&lt;&gt;"", IFERROR(INDEX(ERP資料!$A:$A, (MATCH(237, 輔助計算!$F$2:$F$801, 0)+1)), "")&lt;&gt;IFERROR(INDEX(ERP資料!$A:$A, MATCH(236, 輔助計算!$F$2:$F$801, 0)+1), "")), IFERROR(INDEX(ERP資料!$A:$A, (MATCH(237, 輔助計算!$F$2:$F$801, 0)+1)), ""), ""), "")</f>
        <v/>
      </c>
      <c r="C238" s="10">
        <f>IFERROR(IF(AND(IFERROR(INDEX(ERP資料!$A:$A, (MATCH(237, 輔助計算!$F$2:$F$801, 0)+1)), "")&lt;&gt;"", IFERROR(INDEX(ERP資料!$A:$A, (MATCH(237, 輔助計算!$F$2:$F$801, 0)+1)), "")&lt;&gt;IFERROR(INDEX(ERP資料!$A:$A, MATCH(236, 輔助計算!$F$2:$F$801, 0)+1), "")), INDEX(ERP資料!$S:$S, (MATCH(237, 輔助計算!$F$2:$F$801, 0)+1)), ""), "")</f>
        <v/>
      </c>
      <c r="D238" s="10">
        <f>IFERROR(IF(INDEX(ERP資料!$E:$E, (MATCH(237, 輔助計算!$F$2:$F$801, 0)+1))="","",TRIM(INDEX(ERP資料!$E:$E, (MATCH(237, 輔助計算!$F$2:$F$801, 0)+1)))), "")</f>
        <v/>
      </c>
      <c r="E238" s="10">
        <f>IFERROR(IF(INDEX(ERP資料!$F:$F, (MATCH(237, 輔助計算!$F$2:$F$801, 0)+1))="","",INDEX(ERP資料!$F:$F, (MATCH(237, 輔助計算!$F$2:$F$801, 0)+1))), "")</f>
        <v/>
      </c>
      <c r="F238" s="10">
        <f>IFERROR(IF(INDEX(ERP資料!$G:$G, (MATCH(237, 輔助計算!$F$2:$F$801, 0)+1))="","",INDEX(ERP資料!$G:$G, (MATCH(237, 輔助計算!$F$2:$F$801, 0)+1))), "")</f>
        <v/>
      </c>
      <c r="G238" s="10">
        <f>IFERROR(IF(INDEX(ERP資料!$H:$H, (MATCH(237, 輔助計算!$F$2:$F$801, 0)+1))="","",INDEX(ERP資料!$H:$H, (MATCH(237, 輔助計算!$F$2:$F$801, 0)+1))), "")</f>
        <v/>
      </c>
      <c r="H238" s="10">
        <f>IFERROR(IF(INDEX(ERP資料!$O:$O, (MATCH(237, 輔助計算!$F$2:$F$801, 0)+1))="","",INDEX(ERP資料!$O:$O, (MATCH(237, 輔助計算!$F$2:$F$801, 0)+1))), "")</f>
        <v/>
      </c>
      <c r="I238" s="15">
        <f>IFERROR(IF(INDEX(輔助計算!$D:$D,(MATCH(237, 輔助計算!$F$2:$F$801, 0)+1))="","",INDEX(輔助計算!$D:$D,(MATCH(237, 輔助計算!$F$2:$F$801, 0)+1))*INDEX(ERP資料!$O:$O,(MATCH(237, 輔助計算!$F$2:$F$801, 0)+1))), "")</f>
        <v/>
      </c>
      <c r="J238" s="16" t="n"/>
      <c r="K238" s="15">
        <f>IFERROR(INDEX(輔助計算!$D:$D, (MATCH(237, 輔助計算!$F$2:$F$801, 0)+1)), "")</f>
        <v/>
      </c>
      <c r="L238" s="16">
        <f>IFERROR(IF(AND(IFERROR(VLOOKUP(LEFT(INDEX(ERP資料!$S:$S, (MATCH(237, 輔助計算!$F$2:$F$801, 0)+1)), 4), 100張客戶!$A:$A, 1, FALSE), "")&lt;&gt;"", OR(INDEX(ERP資料!$F:$F, (MATCH(237, 輔助計算!$F$2:$F$801, 0)+1))=270, INDEX(ERP資料!$F:$F, (MATCH(237, 輔助計算!$F$2:$F$801, 0)+1))=300)), "100張", ""), "")</f>
        <v/>
      </c>
      <c r="M238" s="17" t="n"/>
      <c r="N238" s="17">
        <f>IF($F238="","",$F238)</f>
        <v/>
      </c>
      <c r="O238" s="17">
        <f>IF($G238="","",$G238)</f>
        <v/>
      </c>
      <c r="P238" s="17">
        <f>IF($K238="","",$K238)</f>
        <v/>
      </c>
      <c r="Q238" s="16" t="n"/>
      <c r="R238" s="18" t="n"/>
      <c r="S238" s="16" t="n"/>
    </row>
    <row r="239">
      <c r="A239" s="14">
        <f>IFERROR(IF(AND(IFERROR(INDEX(ERP資料!$A:$A, (MATCH(238, 輔助計算!$F$2:$F$801, 0)+1)), "")&lt;&gt;"", IFERROR(INDEX(ERP資料!$A:$A, (MATCH(238, 輔助計算!$F$2:$F$801, 0)+1)), "")&lt;&gt;IFERROR(INDEX(ERP資料!$A:$A, MATCH(237, 輔助計算!$F$2:$F$801, 0)+1), "")), INDEX(ERP資料!$B:$B, (MATCH(238, 輔助計算!$F$2:$F$801, 0)+1)), ""), "")</f>
        <v/>
      </c>
      <c r="B239" s="10">
        <f>IFERROR(IF(AND(IFERROR(INDEX(ERP資料!$A:$A, (MATCH(238, 輔助計算!$F$2:$F$801, 0)+1)), "")&lt;&gt;"", IFERROR(INDEX(ERP資料!$A:$A, (MATCH(238, 輔助計算!$F$2:$F$801, 0)+1)), "")&lt;&gt;IFERROR(INDEX(ERP資料!$A:$A, MATCH(237, 輔助計算!$F$2:$F$801, 0)+1), "")), IFERROR(INDEX(ERP資料!$A:$A, (MATCH(238, 輔助計算!$F$2:$F$801, 0)+1)), ""), ""), "")</f>
        <v/>
      </c>
      <c r="C239" s="10">
        <f>IFERROR(IF(AND(IFERROR(INDEX(ERP資料!$A:$A, (MATCH(238, 輔助計算!$F$2:$F$801, 0)+1)), "")&lt;&gt;"", IFERROR(INDEX(ERP資料!$A:$A, (MATCH(238, 輔助計算!$F$2:$F$801, 0)+1)), "")&lt;&gt;IFERROR(INDEX(ERP資料!$A:$A, MATCH(237, 輔助計算!$F$2:$F$801, 0)+1), "")), INDEX(ERP資料!$S:$S, (MATCH(238, 輔助計算!$F$2:$F$801, 0)+1)), ""), "")</f>
        <v/>
      </c>
      <c r="D239" s="10">
        <f>IFERROR(IF(INDEX(ERP資料!$E:$E, (MATCH(238, 輔助計算!$F$2:$F$801, 0)+1))="","",TRIM(INDEX(ERP資料!$E:$E, (MATCH(238, 輔助計算!$F$2:$F$801, 0)+1)))), "")</f>
        <v/>
      </c>
      <c r="E239" s="10">
        <f>IFERROR(IF(INDEX(ERP資料!$F:$F, (MATCH(238, 輔助計算!$F$2:$F$801, 0)+1))="","",INDEX(ERP資料!$F:$F, (MATCH(238, 輔助計算!$F$2:$F$801, 0)+1))), "")</f>
        <v/>
      </c>
      <c r="F239" s="10">
        <f>IFERROR(IF(INDEX(ERP資料!$G:$G, (MATCH(238, 輔助計算!$F$2:$F$801, 0)+1))="","",INDEX(ERP資料!$G:$G, (MATCH(238, 輔助計算!$F$2:$F$801, 0)+1))), "")</f>
        <v/>
      </c>
      <c r="G239" s="10">
        <f>IFERROR(IF(INDEX(ERP資料!$H:$H, (MATCH(238, 輔助計算!$F$2:$F$801, 0)+1))="","",INDEX(ERP資料!$H:$H, (MATCH(238, 輔助計算!$F$2:$F$801, 0)+1))), "")</f>
        <v/>
      </c>
      <c r="H239" s="10">
        <f>IFERROR(IF(INDEX(ERP資料!$O:$O, (MATCH(238, 輔助計算!$F$2:$F$801, 0)+1))="","",INDEX(ERP資料!$O:$O, (MATCH(238, 輔助計算!$F$2:$F$801, 0)+1))), "")</f>
        <v/>
      </c>
      <c r="I239" s="15">
        <f>IFERROR(IF(INDEX(輔助計算!$D:$D,(MATCH(238, 輔助計算!$F$2:$F$801, 0)+1))="","",INDEX(輔助計算!$D:$D,(MATCH(238, 輔助計算!$F$2:$F$801, 0)+1))*INDEX(ERP資料!$O:$O,(MATCH(238, 輔助計算!$F$2:$F$801, 0)+1))), "")</f>
        <v/>
      </c>
      <c r="J239" s="16" t="n"/>
      <c r="K239" s="15">
        <f>IFERROR(INDEX(輔助計算!$D:$D, (MATCH(238, 輔助計算!$F$2:$F$801, 0)+1)), "")</f>
        <v/>
      </c>
      <c r="L239" s="16">
        <f>IFERROR(IF(AND(IFERROR(VLOOKUP(LEFT(INDEX(ERP資料!$S:$S, (MATCH(238, 輔助計算!$F$2:$F$801, 0)+1)), 4), 100張客戶!$A:$A, 1, FALSE), "")&lt;&gt;"", OR(INDEX(ERP資料!$F:$F, (MATCH(238, 輔助計算!$F$2:$F$801, 0)+1))=270, INDEX(ERP資料!$F:$F, (MATCH(238, 輔助計算!$F$2:$F$801, 0)+1))=300)), "100張", ""), "")</f>
        <v/>
      </c>
      <c r="M239" s="17" t="n"/>
      <c r="N239" s="17">
        <f>IF($F239="","",$F239)</f>
        <v/>
      </c>
      <c r="O239" s="17">
        <f>IF($G239="","",$G239)</f>
        <v/>
      </c>
      <c r="P239" s="17">
        <f>IF($K239="","",$K239)</f>
        <v/>
      </c>
      <c r="Q239" s="16" t="n"/>
      <c r="R239" s="18" t="n"/>
      <c r="S239" s="16" t="n"/>
    </row>
    <row r="240">
      <c r="A240" s="14">
        <f>IFERROR(IF(AND(IFERROR(INDEX(ERP資料!$A:$A, (MATCH(239, 輔助計算!$F$2:$F$801, 0)+1)), "")&lt;&gt;"", IFERROR(INDEX(ERP資料!$A:$A, (MATCH(239, 輔助計算!$F$2:$F$801, 0)+1)), "")&lt;&gt;IFERROR(INDEX(ERP資料!$A:$A, MATCH(238, 輔助計算!$F$2:$F$801, 0)+1), "")), INDEX(ERP資料!$B:$B, (MATCH(239, 輔助計算!$F$2:$F$801, 0)+1)), ""), "")</f>
        <v/>
      </c>
      <c r="B240" s="10">
        <f>IFERROR(IF(AND(IFERROR(INDEX(ERP資料!$A:$A, (MATCH(239, 輔助計算!$F$2:$F$801, 0)+1)), "")&lt;&gt;"", IFERROR(INDEX(ERP資料!$A:$A, (MATCH(239, 輔助計算!$F$2:$F$801, 0)+1)), "")&lt;&gt;IFERROR(INDEX(ERP資料!$A:$A, MATCH(238, 輔助計算!$F$2:$F$801, 0)+1), "")), IFERROR(INDEX(ERP資料!$A:$A, (MATCH(239, 輔助計算!$F$2:$F$801, 0)+1)), ""), ""), "")</f>
        <v/>
      </c>
      <c r="C240" s="10">
        <f>IFERROR(IF(AND(IFERROR(INDEX(ERP資料!$A:$A, (MATCH(239, 輔助計算!$F$2:$F$801, 0)+1)), "")&lt;&gt;"", IFERROR(INDEX(ERP資料!$A:$A, (MATCH(239, 輔助計算!$F$2:$F$801, 0)+1)), "")&lt;&gt;IFERROR(INDEX(ERP資料!$A:$A, MATCH(238, 輔助計算!$F$2:$F$801, 0)+1), "")), INDEX(ERP資料!$S:$S, (MATCH(239, 輔助計算!$F$2:$F$801, 0)+1)), ""), "")</f>
        <v/>
      </c>
      <c r="D240" s="10">
        <f>IFERROR(IF(INDEX(ERP資料!$E:$E, (MATCH(239, 輔助計算!$F$2:$F$801, 0)+1))="","",TRIM(INDEX(ERP資料!$E:$E, (MATCH(239, 輔助計算!$F$2:$F$801, 0)+1)))), "")</f>
        <v/>
      </c>
      <c r="E240" s="10">
        <f>IFERROR(IF(INDEX(ERP資料!$F:$F, (MATCH(239, 輔助計算!$F$2:$F$801, 0)+1))="","",INDEX(ERP資料!$F:$F, (MATCH(239, 輔助計算!$F$2:$F$801, 0)+1))), "")</f>
        <v/>
      </c>
      <c r="F240" s="10">
        <f>IFERROR(IF(INDEX(ERP資料!$G:$G, (MATCH(239, 輔助計算!$F$2:$F$801, 0)+1))="","",INDEX(ERP資料!$G:$G, (MATCH(239, 輔助計算!$F$2:$F$801, 0)+1))), "")</f>
        <v/>
      </c>
      <c r="G240" s="10">
        <f>IFERROR(IF(INDEX(ERP資料!$H:$H, (MATCH(239, 輔助計算!$F$2:$F$801, 0)+1))="","",INDEX(ERP資料!$H:$H, (MATCH(239, 輔助計算!$F$2:$F$801, 0)+1))), "")</f>
        <v/>
      </c>
      <c r="H240" s="10">
        <f>IFERROR(IF(INDEX(ERP資料!$O:$O, (MATCH(239, 輔助計算!$F$2:$F$801, 0)+1))="","",INDEX(ERP資料!$O:$O, (MATCH(239, 輔助計算!$F$2:$F$801, 0)+1))), "")</f>
        <v/>
      </c>
      <c r="I240" s="15">
        <f>IFERROR(IF(INDEX(輔助計算!$D:$D,(MATCH(239, 輔助計算!$F$2:$F$801, 0)+1))="","",INDEX(輔助計算!$D:$D,(MATCH(239, 輔助計算!$F$2:$F$801, 0)+1))*INDEX(ERP資料!$O:$O,(MATCH(239, 輔助計算!$F$2:$F$801, 0)+1))), "")</f>
        <v/>
      </c>
      <c r="J240" s="16" t="n"/>
      <c r="K240" s="15">
        <f>IFERROR(INDEX(輔助計算!$D:$D, (MATCH(239, 輔助計算!$F$2:$F$801, 0)+1)), "")</f>
        <v/>
      </c>
      <c r="L240" s="16">
        <f>IFERROR(IF(AND(IFERROR(VLOOKUP(LEFT(INDEX(ERP資料!$S:$S, (MATCH(239, 輔助計算!$F$2:$F$801, 0)+1)), 4), 100張客戶!$A:$A, 1, FALSE), "")&lt;&gt;"", OR(INDEX(ERP資料!$F:$F, (MATCH(239, 輔助計算!$F$2:$F$801, 0)+1))=270, INDEX(ERP資料!$F:$F, (MATCH(239, 輔助計算!$F$2:$F$801, 0)+1))=300)), "100張", ""), "")</f>
        <v/>
      </c>
      <c r="M240" s="17" t="n"/>
      <c r="N240" s="17">
        <f>IF($F240="","",$F240)</f>
        <v/>
      </c>
      <c r="O240" s="17">
        <f>IF($G240="","",$G240)</f>
        <v/>
      </c>
      <c r="P240" s="17">
        <f>IF($K240="","",$K240)</f>
        <v/>
      </c>
      <c r="Q240" s="16" t="n"/>
      <c r="R240" s="18" t="n"/>
      <c r="S240" s="16" t="n"/>
    </row>
    <row r="241">
      <c r="A241" s="14">
        <f>IFERROR(IF(AND(IFERROR(INDEX(ERP資料!$A:$A, (MATCH(240, 輔助計算!$F$2:$F$801, 0)+1)), "")&lt;&gt;"", IFERROR(INDEX(ERP資料!$A:$A, (MATCH(240, 輔助計算!$F$2:$F$801, 0)+1)), "")&lt;&gt;IFERROR(INDEX(ERP資料!$A:$A, MATCH(239, 輔助計算!$F$2:$F$801, 0)+1), "")), INDEX(ERP資料!$B:$B, (MATCH(240, 輔助計算!$F$2:$F$801, 0)+1)), ""), "")</f>
        <v/>
      </c>
      <c r="B241" s="10">
        <f>IFERROR(IF(AND(IFERROR(INDEX(ERP資料!$A:$A, (MATCH(240, 輔助計算!$F$2:$F$801, 0)+1)), "")&lt;&gt;"", IFERROR(INDEX(ERP資料!$A:$A, (MATCH(240, 輔助計算!$F$2:$F$801, 0)+1)), "")&lt;&gt;IFERROR(INDEX(ERP資料!$A:$A, MATCH(239, 輔助計算!$F$2:$F$801, 0)+1), "")), IFERROR(INDEX(ERP資料!$A:$A, (MATCH(240, 輔助計算!$F$2:$F$801, 0)+1)), ""), ""), "")</f>
        <v/>
      </c>
      <c r="C241" s="10">
        <f>IFERROR(IF(AND(IFERROR(INDEX(ERP資料!$A:$A, (MATCH(240, 輔助計算!$F$2:$F$801, 0)+1)), "")&lt;&gt;"", IFERROR(INDEX(ERP資料!$A:$A, (MATCH(240, 輔助計算!$F$2:$F$801, 0)+1)), "")&lt;&gt;IFERROR(INDEX(ERP資料!$A:$A, MATCH(239, 輔助計算!$F$2:$F$801, 0)+1), "")), INDEX(ERP資料!$S:$S, (MATCH(240, 輔助計算!$F$2:$F$801, 0)+1)), ""), "")</f>
        <v/>
      </c>
      <c r="D241" s="10">
        <f>IFERROR(IF(INDEX(ERP資料!$E:$E, (MATCH(240, 輔助計算!$F$2:$F$801, 0)+1))="","",TRIM(INDEX(ERP資料!$E:$E, (MATCH(240, 輔助計算!$F$2:$F$801, 0)+1)))), "")</f>
        <v/>
      </c>
      <c r="E241" s="10">
        <f>IFERROR(IF(INDEX(ERP資料!$F:$F, (MATCH(240, 輔助計算!$F$2:$F$801, 0)+1))="","",INDEX(ERP資料!$F:$F, (MATCH(240, 輔助計算!$F$2:$F$801, 0)+1))), "")</f>
        <v/>
      </c>
      <c r="F241" s="10">
        <f>IFERROR(IF(INDEX(ERP資料!$G:$G, (MATCH(240, 輔助計算!$F$2:$F$801, 0)+1))="","",INDEX(ERP資料!$G:$G, (MATCH(240, 輔助計算!$F$2:$F$801, 0)+1))), "")</f>
        <v/>
      </c>
      <c r="G241" s="10">
        <f>IFERROR(IF(INDEX(ERP資料!$H:$H, (MATCH(240, 輔助計算!$F$2:$F$801, 0)+1))="","",INDEX(ERP資料!$H:$H, (MATCH(240, 輔助計算!$F$2:$F$801, 0)+1))), "")</f>
        <v/>
      </c>
      <c r="H241" s="10">
        <f>IFERROR(IF(INDEX(ERP資料!$O:$O, (MATCH(240, 輔助計算!$F$2:$F$801, 0)+1))="","",INDEX(ERP資料!$O:$O, (MATCH(240, 輔助計算!$F$2:$F$801, 0)+1))), "")</f>
        <v/>
      </c>
      <c r="I241" s="15">
        <f>IFERROR(IF(INDEX(輔助計算!$D:$D,(MATCH(240, 輔助計算!$F$2:$F$801, 0)+1))="","",INDEX(輔助計算!$D:$D,(MATCH(240, 輔助計算!$F$2:$F$801, 0)+1))*INDEX(ERP資料!$O:$O,(MATCH(240, 輔助計算!$F$2:$F$801, 0)+1))), "")</f>
        <v/>
      </c>
      <c r="J241" s="16" t="n"/>
      <c r="K241" s="15">
        <f>IFERROR(INDEX(輔助計算!$D:$D, (MATCH(240, 輔助計算!$F$2:$F$801, 0)+1)), "")</f>
        <v/>
      </c>
      <c r="L241" s="16">
        <f>IFERROR(IF(AND(IFERROR(VLOOKUP(LEFT(INDEX(ERP資料!$S:$S, (MATCH(240, 輔助計算!$F$2:$F$801, 0)+1)), 4), 100張客戶!$A:$A, 1, FALSE), "")&lt;&gt;"", OR(INDEX(ERP資料!$F:$F, (MATCH(240, 輔助計算!$F$2:$F$801, 0)+1))=270, INDEX(ERP資料!$F:$F, (MATCH(240, 輔助計算!$F$2:$F$801, 0)+1))=300)), "100張", ""), "")</f>
        <v/>
      </c>
      <c r="M241" s="17" t="n"/>
      <c r="N241" s="17">
        <f>IF($F241="","",$F241)</f>
        <v/>
      </c>
      <c r="O241" s="17">
        <f>IF($G241="","",$G241)</f>
        <v/>
      </c>
      <c r="P241" s="17">
        <f>IF($K241="","",$K241)</f>
        <v/>
      </c>
      <c r="Q241" s="16" t="n"/>
      <c r="R241" s="18" t="n"/>
      <c r="S241" s="16" t="n"/>
    </row>
    <row r="242">
      <c r="A242" s="14">
        <f>IFERROR(IF(AND(IFERROR(INDEX(ERP資料!$A:$A, (MATCH(241, 輔助計算!$F$2:$F$801, 0)+1)), "")&lt;&gt;"", IFERROR(INDEX(ERP資料!$A:$A, (MATCH(241, 輔助計算!$F$2:$F$801, 0)+1)), "")&lt;&gt;IFERROR(INDEX(ERP資料!$A:$A, MATCH(240, 輔助計算!$F$2:$F$801, 0)+1), "")), INDEX(ERP資料!$B:$B, (MATCH(241, 輔助計算!$F$2:$F$801, 0)+1)), ""), "")</f>
        <v/>
      </c>
      <c r="B242" s="10">
        <f>IFERROR(IF(AND(IFERROR(INDEX(ERP資料!$A:$A, (MATCH(241, 輔助計算!$F$2:$F$801, 0)+1)), "")&lt;&gt;"", IFERROR(INDEX(ERP資料!$A:$A, (MATCH(241, 輔助計算!$F$2:$F$801, 0)+1)), "")&lt;&gt;IFERROR(INDEX(ERP資料!$A:$A, MATCH(240, 輔助計算!$F$2:$F$801, 0)+1), "")), IFERROR(INDEX(ERP資料!$A:$A, (MATCH(241, 輔助計算!$F$2:$F$801, 0)+1)), ""), ""), "")</f>
        <v/>
      </c>
      <c r="C242" s="10">
        <f>IFERROR(IF(AND(IFERROR(INDEX(ERP資料!$A:$A, (MATCH(241, 輔助計算!$F$2:$F$801, 0)+1)), "")&lt;&gt;"", IFERROR(INDEX(ERP資料!$A:$A, (MATCH(241, 輔助計算!$F$2:$F$801, 0)+1)), "")&lt;&gt;IFERROR(INDEX(ERP資料!$A:$A, MATCH(240, 輔助計算!$F$2:$F$801, 0)+1), "")), INDEX(ERP資料!$S:$S, (MATCH(241, 輔助計算!$F$2:$F$801, 0)+1)), ""), "")</f>
        <v/>
      </c>
      <c r="D242" s="10">
        <f>IFERROR(IF(INDEX(ERP資料!$E:$E, (MATCH(241, 輔助計算!$F$2:$F$801, 0)+1))="","",TRIM(INDEX(ERP資料!$E:$E, (MATCH(241, 輔助計算!$F$2:$F$801, 0)+1)))), "")</f>
        <v/>
      </c>
      <c r="E242" s="10">
        <f>IFERROR(IF(INDEX(ERP資料!$F:$F, (MATCH(241, 輔助計算!$F$2:$F$801, 0)+1))="","",INDEX(ERP資料!$F:$F, (MATCH(241, 輔助計算!$F$2:$F$801, 0)+1))), "")</f>
        <v/>
      </c>
      <c r="F242" s="10">
        <f>IFERROR(IF(INDEX(ERP資料!$G:$G, (MATCH(241, 輔助計算!$F$2:$F$801, 0)+1))="","",INDEX(ERP資料!$G:$G, (MATCH(241, 輔助計算!$F$2:$F$801, 0)+1))), "")</f>
        <v/>
      </c>
      <c r="G242" s="10">
        <f>IFERROR(IF(INDEX(ERP資料!$H:$H, (MATCH(241, 輔助計算!$F$2:$F$801, 0)+1))="","",INDEX(ERP資料!$H:$H, (MATCH(241, 輔助計算!$F$2:$F$801, 0)+1))), "")</f>
        <v/>
      </c>
      <c r="H242" s="10">
        <f>IFERROR(IF(INDEX(ERP資料!$O:$O, (MATCH(241, 輔助計算!$F$2:$F$801, 0)+1))="","",INDEX(ERP資料!$O:$O, (MATCH(241, 輔助計算!$F$2:$F$801, 0)+1))), "")</f>
        <v/>
      </c>
      <c r="I242" s="15">
        <f>IFERROR(IF(INDEX(輔助計算!$D:$D,(MATCH(241, 輔助計算!$F$2:$F$801, 0)+1))="","",INDEX(輔助計算!$D:$D,(MATCH(241, 輔助計算!$F$2:$F$801, 0)+1))*INDEX(ERP資料!$O:$O,(MATCH(241, 輔助計算!$F$2:$F$801, 0)+1))), "")</f>
        <v/>
      </c>
      <c r="J242" s="16" t="n"/>
      <c r="K242" s="15">
        <f>IFERROR(INDEX(輔助計算!$D:$D, (MATCH(241, 輔助計算!$F$2:$F$801, 0)+1)), "")</f>
        <v/>
      </c>
      <c r="L242" s="16">
        <f>IFERROR(IF(AND(IFERROR(VLOOKUP(LEFT(INDEX(ERP資料!$S:$S, (MATCH(241, 輔助計算!$F$2:$F$801, 0)+1)), 4), 100張客戶!$A:$A, 1, FALSE), "")&lt;&gt;"", OR(INDEX(ERP資料!$F:$F, (MATCH(241, 輔助計算!$F$2:$F$801, 0)+1))=270, INDEX(ERP資料!$F:$F, (MATCH(241, 輔助計算!$F$2:$F$801, 0)+1))=300)), "100張", ""), "")</f>
        <v/>
      </c>
      <c r="M242" s="17" t="n"/>
      <c r="N242" s="17">
        <f>IF($F242="","",$F242)</f>
        <v/>
      </c>
      <c r="O242" s="17">
        <f>IF($G242="","",$G242)</f>
        <v/>
      </c>
      <c r="P242" s="17">
        <f>IF($K242="","",$K242)</f>
        <v/>
      </c>
      <c r="Q242" s="16" t="n"/>
      <c r="R242" s="18" t="n"/>
      <c r="S242" s="16" t="n"/>
    </row>
    <row r="243">
      <c r="A243" s="14">
        <f>IFERROR(IF(AND(IFERROR(INDEX(ERP資料!$A:$A, (MATCH(242, 輔助計算!$F$2:$F$801, 0)+1)), "")&lt;&gt;"", IFERROR(INDEX(ERP資料!$A:$A, (MATCH(242, 輔助計算!$F$2:$F$801, 0)+1)), "")&lt;&gt;IFERROR(INDEX(ERP資料!$A:$A, MATCH(241, 輔助計算!$F$2:$F$801, 0)+1), "")), INDEX(ERP資料!$B:$B, (MATCH(242, 輔助計算!$F$2:$F$801, 0)+1)), ""), "")</f>
        <v/>
      </c>
      <c r="B243" s="10">
        <f>IFERROR(IF(AND(IFERROR(INDEX(ERP資料!$A:$A, (MATCH(242, 輔助計算!$F$2:$F$801, 0)+1)), "")&lt;&gt;"", IFERROR(INDEX(ERP資料!$A:$A, (MATCH(242, 輔助計算!$F$2:$F$801, 0)+1)), "")&lt;&gt;IFERROR(INDEX(ERP資料!$A:$A, MATCH(241, 輔助計算!$F$2:$F$801, 0)+1), "")), IFERROR(INDEX(ERP資料!$A:$A, (MATCH(242, 輔助計算!$F$2:$F$801, 0)+1)), ""), ""), "")</f>
        <v/>
      </c>
      <c r="C243" s="10">
        <f>IFERROR(IF(AND(IFERROR(INDEX(ERP資料!$A:$A, (MATCH(242, 輔助計算!$F$2:$F$801, 0)+1)), "")&lt;&gt;"", IFERROR(INDEX(ERP資料!$A:$A, (MATCH(242, 輔助計算!$F$2:$F$801, 0)+1)), "")&lt;&gt;IFERROR(INDEX(ERP資料!$A:$A, MATCH(241, 輔助計算!$F$2:$F$801, 0)+1), "")), INDEX(ERP資料!$S:$S, (MATCH(242, 輔助計算!$F$2:$F$801, 0)+1)), ""), "")</f>
        <v/>
      </c>
      <c r="D243" s="10">
        <f>IFERROR(IF(INDEX(ERP資料!$E:$E, (MATCH(242, 輔助計算!$F$2:$F$801, 0)+1))="","",TRIM(INDEX(ERP資料!$E:$E, (MATCH(242, 輔助計算!$F$2:$F$801, 0)+1)))), "")</f>
        <v/>
      </c>
      <c r="E243" s="10">
        <f>IFERROR(IF(INDEX(ERP資料!$F:$F, (MATCH(242, 輔助計算!$F$2:$F$801, 0)+1))="","",INDEX(ERP資料!$F:$F, (MATCH(242, 輔助計算!$F$2:$F$801, 0)+1))), "")</f>
        <v/>
      </c>
      <c r="F243" s="10">
        <f>IFERROR(IF(INDEX(ERP資料!$G:$G, (MATCH(242, 輔助計算!$F$2:$F$801, 0)+1))="","",INDEX(ERP資料!$G:$G, (MATCH(242, 輔助計算!$F$2:$F$801, 0)+1))), "")</f>
        <v/>
      </c>
      <c r="G243" s="10">
        <f>IFERROR(IF(INDEX(ERP資料!$H:$H, (MATCH(242, 輔助計算!$F$2:$F$801, 0)+1))="","",INDEX(ERP資料!$H:$H, (MATCH(242, 輔助計算!$F$2:$F$801, 0)+1))), "")</f>
        <v/>
      </c>
      <c r="H243" s="10">
        <f>IFERROR(IF(INDEX(ERP資料!$O:$O, (MATCH(242, 輔助計算!$F$2:$F$801, 0)+1))="","",INDEX(ERP資料!$O:$O, (MATCH(242, 輔助計算!$F$2:$F$801, 0)+1))), "")</f>
        <v/>
      </c>
      <c r="I243" s="15">
        <f>IFERROR(IF(INDEX(輔助計算!$D:$D,(MATCH(242, 輔助計算!$F$2:$F$801, 0)+1))="","",INDEX(輔助計算!$D:$D,(MATCH(242, 輔助計算!$F$2:$F$801, 0)+1))*INDEX(ERP資料!$O:$O,(MATCH(242, 輔助計算!$F$2:$F$801, 0)+1))), "")</f>
        <v/>
      </c>
      <c r="J243" s="16" t="n"/>
      <c r="K243" s="15">
        <f>IFERROR(INDEX(輔助計算!$D:$D, (MATCH(242, 輔助計算!$F$2:$F$801, 0)+1)), "")</f>
        <v/>
      </c>
      <c r="L243" s="16">
        <f>IFERROR(IF(AND(IFERROR(VLOOKUP(LEFT(INDEX(ERP資料!$S:$S, (MATCH(242, 輔助計算!$F$2:$F$801, 0)+1)), 4), 100張客戶!$A:$A, 1, FALSE), "")&lt;&gt;"", OR(INDEX(ERP資料!$F:$F, (MATCH(242, 輔助計算!$F$2:$F$801, 0)+1))=270, INDEX(ERP資料!$F:$F, (MATCH(242, 輔助計算!$F$2:$F$801, 0)+1))=300)), "100張", ""), "")</f>
        <v/>
      </c>
      <c r="M243" s="17" t="n"/>
      <c r="N243" s="17">
        <f>IF($F243="","",$F243)</f>
        <v/>
      </c>
      <c r="O243" s="17">
        <f>IF($G243="","",$G243)</f>
        <v/>
      </c>
      <c r="P243" s="17">
        <f>IF($K243="","",$K243)</f>
        <v/>
      </c>
      <c r="Q243" s="16" t="n"/>
      <c r="R243" s="18" t="n"/>
      <c r="S243" s="16" t="n"/>
    </row>
    <row r="244">
      <c r="A244" s="14">
        <f>IFERROR(IF(AND(IFERROR(INDEX(ERP資料!$A:$A, (MATCH(243, 輔助計算!$F$2:$F$801, 0)+1)), "")&lt;&gt;"", IFERROR(INDEX(ERP資料!$A:$A, (MATCH(243, 輔助計算!$F$2:$F$801, 0)+1)), "")&lt;&gt;IFERROR(INDEX(ERP資料!$A:$A, MATCH(242, 輔助計算!$F$2:$F$801, 0)+1), "")), INDEX(ERP資料!$B:$B, (MATCH(243, 輔助計算!$F$2:$F$801, 0)+1)), ""), "")</f>
        <v/>
      </c>
      <c r="B244" s="10">
        <f>IFERROR(IF(AND(IFERROR(INDEX(ERP資料!$A:$A, (MATCH(243, 輔助計算!$F$2:$F$801, 0)+1)), "")&lt;&gt;"", IFERROR(INDEX(ERP資料!$A:$A, (MATCH(243, 輔助計算!$F$2:$F$801, 0)+1)), "")&lt;&gt;IFERROR(INDEX(ERP資料!$A:$A, MATCH(242, 輔助計算!$F$2:$F$801, 0)+1), "")), IFERROR(INDEX(ERP資料!$A:$A, (MATCH(243, 輔助計算!$F$2:$F$801, 0)+1)), ""), ""), "")</f>
        <v/>
      </c>
      <c r="C244" s="10">
        <f>IFERROR(IF(AND(IFERROR(INDEX(ERP資料!$A:$A, (MATCH(243, 輔助計算!$F$2:$F$801, 0)+1)), "")&lt;&gt;"", IFERROR(INDEX(ERP資料!$A:$A, (MATCH(243, 輔助計算!$F$2:$F$801, 0)+1)), "")&lt;&gt;IFERROR(INDEX(ERP資料!$A:$A, MATCH(242, 輔助計算!$F$2:$F$801, 0)+1), "")), INDEX(ERP資料!$S:$S, (MATCH(243, 輔助計算!$F$2:$F$801, 0)+1)), ""), "")</f>
        <v/>
      </c>
      <c r="D244" s="10">
        <f>IFERROR(IF(INDEX(ERP資料!$E:$E, (MATCH(243, 輔助計算!$F$2:$F$801, 0)+1))="","",TRIM(INDEX(ERP資料!$E:$E, (MATCH(243, 輔助計算!$F$2:$F$801, 0)+1)))), "")</f>
        <v/>
      </c>
      <c r="E244" s="10">
        <f>IFERROR(IF(INDEX(ERP資料!$F:$F, (MATCH(243, 輔助計算!$F$2:$F$801, 0)+1))="","",INDEX(ERP資料!$F:$F, (MATCH(243, 輔助計算!$F$2:$F$801, 0)+1))), "")</f>
        <v/>
      </c>
      <c r="F244" s="10">
        <f>IFERROR(IF(INDEX(ERP資料!$G:$G, (MATCH(243, 輔助計算!$F$2:$F$801, 0)+1))="","",INDEX(ERP資料!$G:$G, (MATCH(243, 輔助計算!$F$2:$F$801, 0)+1))), "")</f>
        <v/>
      </c>
      <c r="G244" s="10">
        <f>IFERROR(IF(INDEX(ERP資料!$H:$H, (MATCH(243, 輔助計算!$F$2:$F$801, 0)+1))="","",INDEX(ERP資料!$H:$H, (MATCH(243, 輔助計算!$F$2:$F$801, 0)+1))), "")</f>
        <v/>
      </c>
      <c r="H244" s="10">
        <f>IFERROR(IF(INDEX(ERP資料!$O:$O, (MATCH(243, 輔助計算!$F$2:$F$801, 0)+1))="","",INDEX(ERP資料!$O:$O, (MATCH(243, 輔助計算!$F$2:$F$801, 0)+1))), "")</f>
        <v/>
      </c>
      <c r="I244" s="15">
        <f>IFERROR(IF(INDEX(輔助計算!$D:$D,(MATCH(243, 輔助計算!$F$2:$F$801, 0)+1))="","",INDEX(輔助計算!$D:$D,(MATCH(243, 輔助計算!$F$2:$F$801, 0)+1))*INDEX(ERP資料!$O:$O,(MATCH(243, 輔助計算!$F$2:$F$801, 0)+1))), "")</f>
        <v/>
      </c>
      <c r="J244" s="16" t="n"/>
      <c r="K244" s="15">
        <f>IFERROR(INDEX(輔助計算!$D:$D, (MATCH(243, 輔助計算!$F$2:$F$801, 0)+1)), "")</f>
        <v/>
      </c>
      <c r="L244" s="16">
        <f>IFERROR(IF(AND(IFERROR(VLOOKUP(LEFT(INDEX(ERP資料!$S:$S, (MATCH(243, 輔助計算!$F$2:$F$801, 0)+1)), 4), 100張客戶!$A:$A, 1, FALSE), "")&lt;&gt;"", OR(INDEX(ERP資料!$F:$F, (MATCH(243, 輔助計算!$F$2:$F$801, 0)+1))=270, INDEX(ERP資料!$F:$F, (MATCH(243, 輔助計算!$F$2:$F$801, 0)+1))=300)), "100張", ""), "")</f>
        <v/>
      </c>
      <c r="M244" s="17" t="n"/>
      <c r="N244" s="17">
        <f>IF($F244="","",$F244)</f>
        <v/>
      </c>
      <c r="O244" s="17">
        <f>IF($G244="","",$G244)</f>
        <v/>
      </c>
      <c r="P244" s="17">
        <f>IF($K244="","",$K244)</f>
        <v/>
      </c>
      <c r="Q244" s="16" t="n"/>
      <c r="R244" s="18" t="n"/>
      <c r="S244" s="16" t="n"/>
    </row>
    <row r="245">
      <c r="A245" s="14">
        <f>IFERROR(IF(AND(IFERROR(INDEX(ERP資料!$A:$A, (MATCH(244, 輔助計算!$F$2:$F$801, 0)+1)), "")&lt;&gt;"", IFERROR(INDEX(ERP資料!$A:$A, (MATCH(244, 輔助計算!$F$2:$F$801, 0)+1)), "")&lt;&gt;IFERROR(INDEX(ERP資料!$A:$A, MATCH(243, 輔助計算!$F$2:$F$801, 0)+1), "")), INDEX(ERP資料!$B:$B, (MATCH(244, 輔助計算!$F$2:$F$801, 0)+1)), ""), "")</f>
        <v/>
      </c>
      <c r="B245" s="10">
        <f>IFERROR(IF(AND(IFERROR(INDEX(ERP資料!$A:$A, (MATCH(244, 輔助計算!$F$2:$F$801, 0)+1)), "")&lt;&gt;"", IFERROR(INDEX(ERP資料!$A:$A, (MATCH(244, 輔助計算!$F$2:$F$801, 0)+1)), "")&lt;&gt;IFERROR(INDEX(ERP資料!$A:$A, MATCH(243, 輔助計算!$F$2:$F$801, 0)+1), "")), IFERROR(INDEX(ERP資料!$A:$A, (MATCH(244, 輔助計算!$F$2:$F$801, 0)+1)), ""), ""), "")</f>
        <v/>
      </c>
      <c r="C245" s="10">
        <f>IFERROR(IF(AND(IFERROR(INDEX(ERP資料!$A:$A, (MATCH(244, 輔助計算!$F$2:$F$801, 0)+1)), "")&lt;&gt;"", IFERROR(INDEX(ERP資料!$A:$A, (MATCH(244, 輔助計算!$F$2:$F$801, 0)+1)), "")&lt;&gt;IFERROR(INDEX(ERP資料!$A:$A, MATCH(243, 輔助計算!$F$2:$F$801, 0)+1), "")), INDEX(ERP資料!$S:$S, (MATCH(244, 輔助計算!$F$2:$F$801, 0)+1)), ""), "")</f>
        <v/>
      </c>
      <c r="D245" s="10">
        <f>IFERROR(IF(INDEX(ERP資料!$E:$E, (MATCH(244, 輔助計算!$F$2:$F$801, 0)+1))="","",TRIM(INDEX(ERP資料!$E:$E, (MATCH(244, 輔助計算!$F$2:$F$801, 0)+1)))), "")</f>
        <v/>
      </c>
      <c r="E245" s="10">
        <f>IFERROR(IF(INDEX(ERP資料!$F:$F, (MATCH(244, 輔助計算!$F$2:$F$801, 0)+1))="","",INDEX(ERP資料!$F:$F, (MATCH(244, 輔助計算!$F$2:$F$801, 0)+1))), "")</f>
        <v/>
      </c>
      <c r="F245" s="10">
        <f>IFERROR(IF(INDEX(ERP資料!$G:$G, (MATCH(244, 輔助計算!$F$2:$F$801, 0)+1))="","",INDEX(ERP資料!$G:$G, (MATCH(244, 輔助計算!$F$2:$F$801, 0)+1))), "")</f>
        <v/>
      </c>
      <c r="G245" s="10">
        <f>IFERROR(IF(INDEX(ERP資料!$H:$H, (MATCH(244, 輔助計算!$F$2:$F$801, 0)+1))="","",INDEX(ERP資料!$H:$H, (MATCH(244, 輔助計算!$F$2:$F$801, 0)+1))), "")</f>
        <v/>
      </c>
      <c r="H245" s="10">
        <f>IFERROR(IF(INDEX(ERP資料!$O:$O, (MATCH(244, 輔助計算!$F$2:$F$801, 0)+1))="","",INDEX(ERP資料!$O:$O, (MATCH(244, 輔助計算!$F$2:$F$801, 0)+1))), "")</f>
        <v/>
      </c>
      <c r="I245" s="15">
        <f>IFERROR(IF(INDEX(輔助計算!$D:$D,(MATCH(244, 輔助計算!$F$2:$F$801, 0)+1))="","",INDEX(輔助計算!$D:$D,(MATCH(244, 輔助計算!$F$2:$F$801, 0)+1))*INDEX(ERP資料!$O:$O,(MATCH(244, 輔助計算!$F$2:$F$801, 0)+1))), "")</f>
        <v/>
      </c>
      <c r="J245" s="16" t="n"/>
      <c r="K245" s="15">
        <f>IFERROR(INDEX(輔助計算!$D:$D, (MATCH(244, 輔助計算!$F$2:$F$801, 0)+1)), "")</f>
        <v/>
      </c>
      <c r="L245" s="16">
        <f>IFERROR(IF(AND(IFERROR(VLOOKUP(LEFT(INDEX(ERP資料!$S:$S, (MATCH(244, 輔助計算!$F$2:$F$801, 0)+1)), 4), 100張客戶!$A:$A, 1, FALSE), "")&lt;&gt;"", OR(INDEX(ERP資料!$F:$F, (MATCH(244, 輔助計算!$F$2:$F$801, 0)+1))=270, INDEX(ERP資料!$F:$F, (MATCH(244, 輔助計算!$F$2:$F$801, 0)+1))=300)), "100張", ""), "")</f>
        <v/>
      </c>
      <c r="M245" s="17" t="n"/>
      <c r="N245" s="17">
        <f>IF($F245="","",$F245)</f>
        <v/>
      </c>
      <c r="O245" s="17">
        <f>IF($G245="","",$G245)</f>
        <v/>
      </c>
      <c r="P245" s="17">
        <f>IF($K245="","",$K245)</f>
        <v/>
      </c>
      <c r="Q245" s="16" t="n"/>
      <c r="R245" s="18" t="n"/>
      <c r="S245" s="16" t="n"/>
    </row>
    <row r="246">
      <c r="A246" s="14">
        <f>IFERROR(IF(AND(IFERROR(INDEX(ERP資料!$A:$A, (MATCH(245, 輔助計算!$F$2:$F$801, 0)+1)), "")&lt;&gt;"", IFERROR(INDEX(ERP資料!$A:$A, (MATCH(245, 輔助計算!$F$2:$F$801, 0)+1)), "")&lt;&gt;IFERROR(INDEX(ERP資料!$A:$A, MATCH(244, 輔助計算!$F$2:$F$801, 0)+1), "")), INDEX(ERP資料!$B:$B, (MATCH(245, 輔助計算!$F$2:$F$801, 0)+1)), ""), "")</f>
        <v/>
      </c>
      <c r="B246" s="10">
        <f>IFERROR(IF(AND(IFERROR(INDEX(ERP資料!$A:$A, (MATCH(245, 輔助計算!$F$2:$F$801, 0)+1)), "")&lt;&gt;"", IFERROR(INDEX(ERP資料!$A:$A, (MATCH(245, 輔助計算!$F$2:$F$801, 0)+1)), "")&lt;&gt;IFERROR(INDEX(ERP資料!$A:$A, MATCH(244, 輔助計算!$F$2:$F$801, 0)+1), "")), IFERROR(INDEX(ERP資料!$A:$A, (MATCH(245, 輔助計算!$F$2:$F$801, 0)+1)), ""), ""), "")</f>
        <v/>
      </c>
      <c r="C246" s="10">
        <f>IFERROR(IF(AND(IFERROR(INDEX(ERP資料!$A:$A, (MATCH(245, 輔助計算!$F$2:$F$801, 0)+1)), "")&lt;&gt;"", IFERROR(INDEX(ERP資料!$A:$A, (MATCH(245, 輔助計算!$F$2:$F$801, 0)+1)), "")&lt;&gt;IFERROR(INDEX(ERP資料!$A:$A, MATCH(244, 輔助計算!$F$2:$F$801, 0)+1), "")), INDEX(ERP資料!$S:$S, (MATCH(245, 輔助計算!$F$2:$F$801, 0)+1)), ""), "")</f>
        <v/>
      </c>
      <c r="D246" s="10">
        <f>IFERROR(IF(INDEX(ERP資料!$E:$E, (MATCH(245, 輔助計算!$F$2:$F$801, 0)+1))="","",TRIM(INDEX(ERP資料!$E:$E, (MATCH(245, 輔助計算!$F$2:$F$801, 0)+1)))), "")</f>
        <v/>
      </c>
      <c r="E246" s="10">
        <f>IFERROR(IF(INDEX(ERP資料!$F:$F, (MATCH(245, 輔助計算!$F$2:$F$801, 0)+1))="","",INDEX(ERP資料!$F:$F, (MATCH(245, 輔助計算!$F$2:$F$801, 0)+1))), "")</f>
        <v/>
      </c>
      <c r="F246" s="10">
        <f>IFERROR(IF(INDEX(ERP資料!$G:$G, (MATCH(245, 輔助計算!$F$2:$F$801, 0)+1))="","",INDEX(ERP資料!$G:$G, (MATCH(245, 輔助計算!$F$2:$F$801, 0)+1))), "")</f>
        <v/>
      </c>
      <c r="G246" s="10">
        <f>IFERROR(IF(INDEX(ERP資料!$H:$H, (MATCH(245, 輔助計算!$F$2:$F$801, 0)+1))="","",INDEX(ERP資料!$H:$H, (MATCH(245, 輔助計算!$F$2:$F$801, 0)+1))), "")</f>
        <v/>
      </c>
      <c r="H246" s="10">
        <f>IFERROR(IF(INDEX(ERP資料!$O:$O, (MATCH(245, 輔助計算!$F$2:$F$801, 0)+1))="","",INDEX(ERP資料!$O:$O, (MATCH(245, 輔助計算!$F$2:$F$801, 0)+1))), "")</f>
        <v/>
      </c>
      <c r="I246" s="15">
        <f>IFERROR(IF(INDEX(輔助計算!$D:$D,(MATCH(245, 輔助計算!$F$2:$F$801, 0)+1))="","",INDEX(輔助計算!$D:$D,(MATCH(245, 輔助計算!$F$2:$F$801, 0)+1))*INDEX(ERP資料!$O:$O,(MATCH(245, 輔助計算!$F$2:$F$801, 0)+1))), "")</f>
        <v/>
      </c>
      <c r="J246" s="16" t="n"/>
      <c r="K246" s="15">
        <f>IFERROR(INDEX(輔助計算!$D:$D, (MATCH(245, 輔助計算!$F$2:$F$801, 0)+1)), "")</f>
        <v/>
      </c>
      <c r="L246" s="16">
        <f>IFERROR(IF(AND(IFERROR(VLOOKUP(LEFT(INDEX(ERP資料!$S:$S, (MATCH(245, 輔助計算!$F$2:$F$801, 0)+1)), 4), 100張客戶!$A:$A, 1, FALSE), "")&lt;&gt;"", OR(INDEX(ERP資料!$F:$F, (MATCH(245, 輔助計算!$F$2:$F$801, 0)+1))=270, INDEX(ERP資料!$F:$F, (MATCH(245, 輔助計算!$F$2:$F$801, 0)+1))=300)), "100張", ""), "")</f>
        <v/>
      </c>
      <c r="M246" s="17" t="n"/>
      <c r="N246" s="17">
        <f>IF($F246="","",$F246)</f>
        <v/>
      </c>
      <c r="O246" s="17">
        <f>IF($G246="","",$G246)</f>
        <v/>
      </c>
      <c r="P246" s="17">
        <f>IF($K246="","",$K246)</f>
        <v/>
      </c>
      <c r="Q246" s="16" t="n"/>
      <c r="R246" s="18" t="n"/>
      <c r="S246" s="16" t="n"/>
    </row>
    <row r="247">
      <c r="A247" s="14">
        <f>IFERROR(IF(AND(IFERROR(INDEX(ERP資料!$A:$A, (MATCH(246, 輔助計算!$F$2:$F$801, 0)+1)), "")&lt;&gt;"", IFERROR(INDEX(ERP資料!$A:$A, (MATCH(246, 輔助計算!$F$2:$F$801, 0)+1)), "")&lt;&gt;IFERROR(INDEX(ERP資料!$A:$A, MATCH(245, 輔助計算!$F$2:$F$801, 0)+1), "")), INDEX(ERP資料!$B:$B, (MATCH(246, 輔助計算!$F$2:$F$801, 0)+1)), ""), "")</f>
        <v/>
      </c>
      <c r="B247" s="10">
        <f>IFERROR(IF(AND(IFERROR(INDEX(ERP資料!$A:$A, (MATCH(246, 輔助計算!$F$2:$F$801, 0)+1)), "")&lt;&gt;"", IFERROR(INDEX(ERP資料!$A:$A, (MATCH(246, 輔助計算!$F$2:$F$801, 0)+1)), "")&lt;&gt;IFERROR(INDEX(ERP資料!$A:$A, MATCH(245, 輔助計算!$F$2:$F$801, 0)+1), "")), IFERROR(INDEX(ERP資料!$A:$A, (MATCH(246, 輔助計算!$F$2:$F$801, 0)+1)), ""), ""), "")</f>
        <v/>
      </c>
      <c r="C247" s="10">
        <f>IFERROR(IF(AND(IFERROR(INDEX(ERP資料!$A:$A, (MATCH(246, 輔助計算!$F$2:$F$801, 0)+1)), "")&lt;&gt;"", IFERROR(INDEX(ERP資料!$A:$A, (MATCH(246, 輔助計算!$F$2:$F$801, 0)+1)), "")&lt;&gt;IFERROR(INDEX(ERP資料!$A:$A, MATCH(245, 輔助計算!$F$2:$F$801, 0)+1), "")), INDEX(ERP資料!$S:$S, (MATCH(246, 輔助計算!$F$2:$F$801, 0)+1)), ""), "")</f>
        <v/>
      </c>
      <c r="D247" s="10">
        <f>IFERROR(IF(INDEX(ERP資料!$E:$E, (MATCH(246, 輔助計算!$F$2:$F$801, 0)+1))="","",TRIM(INDEX(ERP資料!$E:$E, (MATCH(246, 輔助計算!$F$2:$F$801, 0)+1)))), "")</f>
        <v/>
      </c>
      <c r="E247" s="10">
        <f>IFERROR(IF(INDEX(ERP資料!$F:$F, (MATCH(246, 輔助計算!$F$2:$F$801, 0)+1))="","",INDEX(ERP資料!$F:$F, (MATCH(246, 輔助計算!$F$2:$F$801, 0)+1))), "")</f>
        <v/>
      </c>
      <c r="F247" s="10">
        <f>IFERROR(IF(INDEX(ERP資料!$G:$G, (MATCH(246, 輔助計算!$F$2:$F$801, 0)+1))="","",INDEX(ERP資料!$G:$G, (MATCH(246, 輔助計算!$F$2:$F$801, 0)+1))), "")</f>
        <v/>
      </c>
      <c r="G247" s="10">
        <f>IFERROR(IF(INDEX(ERP資料!$H:$H, (MATCH(246, 輔助計算!$F$2:$F$801, 0)+1))="","",INDEX(ERP資料!$H:$H, (MATCH(246, 輔助計算!$F$2:$F$801, 0)+1))), "")</f>
        <v/>
      </c>
      <c r="H247" s="10">
        <f>IFERROR(IF(INDEX(ERP資料!$O:$O, (MATCH(246, 輔助計算!$F$2:$F$801, 0)+1))="","",INDEX(ERP資料!$O:$O, (MATCH(246, 輔助計算!$F$2:$F$801, 0)+1))), "")</f>
        <v/>
      </c>
      <c r="I247" s="15">
        <f>IFERROR(IF(INDEX(輔助計算!$D:$D,(MATCH(246, 輔助計算!$F$2:$F$801, 0)+1))="","",INDEX(輔助計算!$D:$D,(MATCH(246, 輔助計算!$F$2:$F$801, 0)+1))*INDEX(ERP資料!$O:$O,(MATCH(246, 輔助計算!$F$2:$F$801, 0)+1))), "")</f>
        <v/>
      </c>
      <c r="J247" s="16" t="n"/>
      <c r="K247" s="15">
        <f>IFERROR(INDEX(輔助計算!$D:$D, (MATCH(246, 輔助計算!$F$2:$F$801, 0)+1)), "")</f>
        <v/>
      </c>
      <c r="L247" s="16">
        <f>IFERROR(IF(AND(IFERROR(VLOOKUP(LEFT(INDEX(ERP資料!$S:$S, (MATCH(246, 輔助計算!$F$2:$F$801, 0)+1)), 4), 100張客戶!$A:$A, 1, FALSE), "")&lt;&gt;"", OR(INDEX(ERP資料!$F:$F, (MATCH(246, 輔助計算!$F$2:$F$801, 0)+1))=270, INDEX(ERP資料!$F:$F, (MATCH(246, 輔助計算!$F$2:$F$801, 0)+1))=300)), "100張", ""), "")</f>
        <v/>
      </c>
      <c r="M247" s="17" t="n"/>
      <c r="N247" s="17">
        <f>IF($F247="","",$F247)</f>
        <v/>
      </c>
      <c r="O247" s="17">
        <f>IF($G247="","",$G247)</f>
        <v/>
      </c>
      <c r="P247" s="17">
        <f>IF($K247="","",$K247)</f>
        <v/>
      </c>
      <c r="Q247" s="16" t="n"/>
      <c r="R247" s="18" t="n"/>
      <c r="S247" s="16" t="n"/>
    </row>
    <row r="248">
      <c r="A248" s="14">
        <f>IFERROR(IF(AND(IFERROR(INDEX(ERP資料!$A:$A, (MATCH(247, 輔助計算!$F$2:$F$801, 0)+1)), "")&lt;&gt;"", IFERROR(INDEX(ERP資料!$A:$A, (MATCH(247, 輔助計算!$F$2:$F$801, 0)+1)), "")&lt;&gt;IFERROR(INDEX(ERP資料!$A:$A, MATCH(246, 輔助計算!$F$2:$F$801, 0)+1), "")), INDEX(ERP資料!$B:$B, (MATCH(247, 輔助計算!$F$2:$F$801, 0)+1)), ""), "")</f>
        <v/>
      </c>
      <c r="B248" s="10">
        <f>IFERROR(IF(AND(IFERROR(INDEX(ERP資料!$A:$A, (MATCH(247, 輔助計算!$F$2:$F$801, 0)+1)), "")&lt;&gt;"", IFERROR(INDEX(ERP資料!$A:$A, (MATCH(247, 輔助計算!$F$2:$F$801, 0)+1)), "")&lt;&gt;IFERROR(INDEX(ERP資料!$A:$A, MATCH(246, 輔助計算!$F$2:$F$801, 0)+1), "")), IFERROR(INDEX(ERP資料!$A:$A, (MATCH(247, 輔助計算!$F$2:$F$801, 0)+1)), ""), ""), "")</f>
        <v/>
      </c>
      <c r="C248" s="10">
        <f>IFERROR(IF(AND(IFERROR(INDEX(ERP資料!$A:$A, (MATCH(247, 輔助計算!$F$2:$F$801, 0)+1)), "")&lt;&gt;"", IFERROR(INDEX(ERP資料!$A:$A, (MATCH(247, 輔助計算!$F$2:$F$801, 0)+1)), "")&lt;&gt;IFERROR(INDEX(ERP資料!$A:$A, MATCH(246, 輔助計算!$F$2:$F$801, 0)+1), "")), INDEX(ERP資料!$S:$S, (MATCH(247, 輔助計算!$F$2:$F$801, 0)+1)), ""), "")</f>
        <v/>
      </c>
      <c r="D248" s="10">
        <f>IFERROR(IF(INDEX(ERP資料!$E:$E, (MATCH(247, 輔助計算!$F$2:$F$801, 0)+1))="","",TRIM(INDEX(ERP資料!$E:$E, (MATCH(247, 輔助計算!$F$2:$F$801, 0)+1)))), "")</f>
        <v/>
      </c>
      <c r="E248" s="10">
        <f>IFERROR(IF(INDEX(ERP資料!$F:$F, (MATCH(247, 輔助計算!$F$2:$F$801, 0)+1))="","",INDEX(ERP資料!$F:$F, (MATCH(247, 輔助計算!$F$2:$F$801, 0)+1))), "")</f>
        <v/>
      </c>
      <c r="F248" s="10">
        <f>IFERROR(IF(INDEX(ERP資料!$G:$G, (MATCH(247, 輔助計算!$F$2:$F$801, 0)+1))="","",INDEX(ERP資料!$G:$G, (MATCH(247, 輔助計算!$F$2:$F$801, 0)+1))), "")</f>
        <v/>
      </c>
      <c r="G248" s="10">
        <f>IFERROR(IF(INDEX(ERP資料!$H:$H, (MATCH(247, 輔助計算!$F$2:$F$801, 0)+1))="","",INDEX(ERP資料!$H:$H, (MATCH(247, 輔助計算!$F$2:$F$801, 0)+1))), "")</f>
        <v/>
      </c>
      <c r="H248" s="10">
        <f>IFERROR(IF(INDEX(ERP資料!$O:$O, (MATCH(247, 輔助計算!$F$2:$F$801, 0)+1))="","",INDEX(ERP資料!$O:$O, (MATCH(247, 輔助計算!$F$2:$F$801, 0)+1))), "")</f>
        <v/>
      </c>
      <c r="I248" s="15">
        <f>IFERROR(IF(INDEX(輔助計算!$D:$D,(MATCH(247, 輔助計算!$F$2:$F$801, 0)+1))="","",INDEX(輔助計算!$D:$D,(MATCH(247, 輔助計算!$F$2:$F$801, 0)+1))*INDEX(ERP資料!$O:$O,(MATCH(247, 輔助計算!$F$2:$F$801, 0)+1))), "")</f>
        <v/>
      </c>
      <c r="J248" s="16" t="n"/>
      <c r="K248" s="15">
        <f>IFERROR(INDEX(輔助計算!$D:$D, (MATCH(247, 輔助計算!$F$2:$F$801, 0)+1)), "")</f>
        <v/>
      </c>
      <c r="L248" s="16">
        <f>IFERROR(IF(AND(IFERROR(VLOOKUP(LEFT(INDEX(ERP資料!$S:$S, (MATCH(247, 輔助計算!$F$2:$F$801, 0)+1)), 4), 100張客戶!$A:$A, 1, FALSE), "")&lt;&gt;"", OR(INDEX(ERP資料!$F:$F, (MATCH(247, 輔助計算!$F$2:$F$801, 0)+1))=270, INDEX(ERP資料!$F:$F, (MATCH(247, 輔助計算!$F$2:$F$801, 0)+1))=300)), "100張", ""), "")</f>
        <v/>
      </c>
      <c r="M248" s="17" t="n"/>
      <c r="N248" s="17">
        <f>IF($F248="","",$F248)</f>
        <v/>
      </c>
      <c r="O248" s="17">
        <f>IF($G248="","",$G248)</f>
        <v/>
      </c>
      <c r="P248" s="17">
        <f>IF($K248="","",$K248)</f>
        <v/>
      </c>
      <c r="Q248" s="16" t="n"/>
      <c r="R248" s="18" t="n"/>
      <c r="S248" s="16" t="n"/>
    </row>
    <row r="249">
      <c r="A249" s="14">
        <f>IFERROR(IF(AND(IFERROR(INDEX(ERP資料!$A:$A, (MATCH(248, 輔助計算!$F$2:$F$801, 0)+1)), "")&lt;&gt;"", IFERROR(INDEX(ERP資料!$A:$A, (MATCH(248, 輔助計算!$F$2:$F$801, 0)+1)), "")&lt;&gt;IFERROR(INDEX(ERP資料!$A:$A, MATCH(247, 輔助計算!$F$2:$F$801, 0)+1), "")), INDEX(ERP資料!$B:$B, (MATCH(248, 輔助計算!$F$2:$F$801, 0)+1)), ""), "")</f>
        <v/>
      </c>
      <c r="B249" s="10">
        <f>IFERROR(IF(AND(IFERROR(INDEX(ERP資料!$A:$A, (MATCH(248, 輔助計算!$F$2:$F$801, 0)+1)), "")&lt;&gt;"", IFERROR(INDEX(ERP資料!$A:$A, (MATCH(248, 輔助計算!$F$2:$F$801, 0)+1)), "")&lt;&gt;IFERROR(INDEX(ERP資料!$A:$A, MATCH(247, 輔助計算!$F$2:$F$801, 0)+1), "")), IFERROR(INDEX(ERP資料!$A:$A, (MATCH(248, 輔助計算!$F$2:$F$801, 0)+1)), ""), ""), "")</f>
        <v/>
      </c>
      <c r="C249" s="10">
        <f>IFERROR(IF(AND(IFERROR(INDEX(ERP資料!$A:$A, (MATCH(248, 輔助計算!$F$2:$F$801, 0)+1)), "")&lt;&gt;"", IFERROR(INDEX(ERP資料!$A:$A, (MATCH(248, 輔助計算!$F$2:$F$801, 0)+1)), "")&lt;&gt;IFERROR(INDEX(ERP資料!$A:$A, MATCH(247, 輔助計算!$F$2:$F$801, 0)+1), "")), INDEX(ERP資料!$S:$S, (MATCH(248, 輔助計算!$F$2:$F$801, 0)+1)), ""), "")</f>
        <v/>
      </c>
      <c r="D249" s="10">
        <f>IFERROR(IF(INDEX(ERP資料!$E:$E, (MATCH(248, 輔助計算!$F$2:$F$801, 0)+1))="","",TRIM(INDEX(ERP資料!$E:$E, (MATCH(248, 輔助計算!$F$2:$F$801, 0)+1)))), "")</f>
        <v/>
      </c>
      <c r="E249" s="10">
        <f>IFERROR(IF(INDEX(ERP資料!$F:$F, (MATCH(248, 輔助計算!$F$2:$F$801, 0)+1))="","",INDEX(ERP資料!$F:$F, (MATCH(248, 輔助計算!$F$2:$F$801, 0)+1))), "")</f>
        <v/>
      </c>
      <c r="F249" s="10">
        <f>IFERROR(IF(INDEX(ERP資料!$G:$G, (MATCH(248, 輔助計算!$F$2:$F$801, 0)+1))="","",INDEX(ERP資料!$G:$G, (MATCH(248, 輔助計算!$F$2:$F$801, 0)+1))), "")</f>
        <v/>
      </c>
      <c r="G249" s="10">
        <f>IFERROR(IF(INDEX(ERP資料!$H:$H, (MATCH(248, 輔助計算!$F$2:$F$801, 0)+1))="","",INDEX(ERP資料!$H:$H, (MATCH(248, 輔助計算!$F$2:$F$801, 0)+1))), "")</f>
        <v/>
      </c>
      <c r="H249" s="10">
        <f>IFERROR(IF(INDEX(ERP資料!$O:$O, (MATCH(248, 輔助計算!$F$2:$F$801, 0)+1))="","",INDEX(ERP資料!$O:$O, (MATCH(248, 輔助計算!$F$2:$F$801, 0)+1))), "")</f>
        <v/>
      </c>
      <c r="I249" s="15">
        <f>IFERROR(IF(INDEX(輔助計算!$D:$D,(MATCH(248, 輔助計算!$F$2:$F$801, 0)+1))="","",INDEX(輔助計算!$D:$D,(MATCH(248, 輔助計算!$F$2:$F$801, 0)+1))*INDEX(ERP資料!$O:$O,(MATCH(248, 輔助計算!$F$2:$F$801, 0)+1))), "")</f>
        <v/>
      </c>
      <c r="J249" s="16" t="n"/>
      <c r="K249" s="15">
        <f>IFERROR(INDEX(輔助計算!$D:$D, (MATCH(248, 輔助計算!$F$2:$F$801, 0)+1)), "")</f>
        <v/>
      </c>
      <c r="L249" s="16">
        <f>IFERROR(IF(AND(IFERROR(VLOOKUP(LEFT(INDEX(ERP資料!$S:$S, (MATCH(248, 輔助計算!$F$2:$F$801, 0)+1)), 4), 100張客戶!$A:$A, 1, FALSE), "")&lt;&gt;"", OR(INDEX(ERP資料!$F:$F, (MATCH(248, 輔助計算!$F$2:$F$801, 0)+1))=270, INDEX(ERP資料!$F:$F, (MATCH(248, 輔助計算!$F$2:$F$801, 0)+1))=300)), "100張", ""), "")</f>
        <v/>
      </c>
      <c r="M249" s="17" t="n"/>
      <c r="N249" s="17">
        <f>IF($F249="","",$F249)</f>
        <v/>
      </c>
      <c r="O249" s="17">
        <f>IF($G249="","",$G249)</f>
        <v/>
      </c>
      <c r="P249" s="17">
        <f>IF($K249="","",$K249)</f>
        <v/>
      </c>
      <c r="Q249" s="16" t="n"/>
      <c r="R249" s="18" t="n"/>
      <c r="S249" s="16" t="n"/>
    </row>
    <row r="250">
      <c r="A250" s="14">
        <f>IFERROR(IF(AND(IFERROR(INDEX(ERP資料!$A:$A, (MATCH(249, 輔助計算!$F$2:$F$801, 0)+1)), "")&lt;&gt;"", IFERROR(INDEX(ERP資料!$A:$A, (MATCH(249, 輔助計算!$F$2:$F$801, 0)+1)), "")&lt;&gt;IFERROR(INDEX(ERP資料!$A:$A, MATCH(248, 輔助計算!$F$2:$F$801, 0)+1), "")), INDEX(ERP資料!$B:$B, (MATCH(249, 輔助計算!$F$2:$F$801, 0)+1)), ""), "")</f>
        <v/>
      </c>
      <c r="B250" s="10">
        <f>IFERROR(IF(AND(IFERROR(INDEX(ERP資料!$A:$A, (MATCH(249, 輔助計算!$F$2:$F$801, 0)+1)), "")&lt;&gt;"", IFERROR(INDEX(ERP資料!$A:$A, (MATCH(249, 輔助計算!$F$2:$F$801, 0)+1)), "")&lt;&gt;IFERROR(INDEX(ERP資料!$A:$A, MATCH(248, 輔助計算!$F$2:$F$801, 0)+1), "")), IFERROR(INDEX(ERP資料!$A:$A, (MATCH(249, 輔助計算!$F$2:$F$801, 0)+1)), ""), ""), "")</f>
        <v/>
      </c>
      <c r="C250" s="10">
        <f>IFERROR(IF(AND(IFERROR(INDEX(ERP資料!$A:$A, (MATCH(249, 輔助計算!$F$2:$F$801, 0)+1)), "")&lt;&gt;"", IFERROR(INDEX(ERP資料!$A:$A, (MATCH(249, 輔助計算!$F$2:$F$801, 0)+1)), "")&lt;&gt;IFERROR(INDEX(ERP資料!$A:$A, MATCH(248, 輔助計算!$F$2:$F$801, 0)+1), "")), INDEX(ERP資料!$S:$S, (MATCH(249, 輔助計算!$F$2:$F$801, 0)+1)), ""), "")</f>
        <v/>
      </c>
      <c r="D250" s="10">
        <f>IFERROR(IF(INDEX(ERP資料!$E:$E, (MATCH(249, 輔助計算!$F$2:$F$801, 0)+1))="","",TRIM(INDEX(ERP資料!$E:$E, (MATCH(249, 輔助計算!$F$2:$F$801, 0)+1)))), "")</f>
        <v/>
      </c>
      <c r="E250" s="10">
        <f>IFERROR(IF(INDEX(ERP資料!$F:$F, (MATCH(249, 輔助計算!$F$2:$F$801, 0)+1))="","",INDEX(ERP資料!$F:$F, (MATCH(249, 輔助計算!$F$2:$F$801, 0)+1))), "")</f>
        <v/>
      </c>
      <c r="F250" s="10">
        <f>IFERROR(IF(INDEX(ERP資料!$G:$G, (MATCH(249, 輔助計算!$F$2:$F$801, 0)+1))="","",INDEX(ERP資料!$G:$G, (MATCH(249, 輔助計算!$F$2:$F$801, 0)+1))), "")</f>
        <v/>
      </c>
      <c r="G250" s="10">
        <f>IFERROR(IF(INDEX(ERP資料!$H:$H, (MATCH(249, 輔助計算!$F$2:$F$801, 0)+1))="","",INDEX(ERP資料!$H:$H, (MATCH(249, 輔助計算!$F$2:$F$801, 0)+1))), "")</f>
        <v/>
      </c>
      <c r="H250" s="10">
        <f>IFERROR(IF(INDEX(ERP資料!$O:$O, (MATCH(249, 輔助計算!$F$2:$F$801, 0)+1))="","",INDEX(ERP資料!$O:$O, (MATCH(249, 輔助計算!$F$2:$F$801, 0)+1))), "")</f>
        <v/>
      </c>
      <c r="I250" s="15">
        <f>IFERROR(IF(INDEX(輔助計算!$D:$D,(MATCH(249, 輔助計算!$F$2:$F$801, 0)+1))="","",INDEX(輔助計算!$D:$D,(MATCH(249, 輔助計算!$F$2:$F$801, 0)+1))*INDEX(ERP資料!$O:$O,(MATCH(249, 輔助計算!$F$2:$F$801, 0)+1))), "")</f>
        <v/>
      </c>
      <c r="J250" s="16" t="n"/>
      <c r="K250" s="15">
        <f>IFERROR(INDEX(輔助計算!$D:$D, (MATCH(249, 輔助計算!$F$2:$F$801, 0)+1)), "")</f>
        <v/>
      </c>
      <c r="L250" s="16">
        <f>IFERROR(IF(AND(IFERROR(VLOOKUP(LEFT(INDEX(ERP資料!$S:$S, (MATCH(249, 輔助計算!$F$2:$F$801, 0)+1)), 4), 100張客戶!$A:$A, 1, FALSE), "")&lt;&gt;"", OR(INDEX(ERP資料!$F:$F, (MATCH(249, 輔助計算!$F$2:$F$801, 0)+1))=270, INDEX(ERP資料!$F:$F, (MATCH(249, 輔助計算!$F$2:$F$801, 0)+1))=300)), "100張", ""), "")</f>
        <v/>
      </c>
      <c r="M250" s="17" t="n"/>
      <c r="N250" s="17">
        <f>IF($F250="","",$F250)</f>
        <v/>
      </c>
      <c r="O250" s="17">
        <f>IF($G250="","",$G250)</f>
        <v/>
      </c>
      <c r="P250" s="17">
        <f>IF($K250="","",$K250)</f>
        <v/>
      </c>
      <c r="Q250" s="16" t="n"/>
      <c r="R250" s="18" t="n"/>
      <c r="S250" s="16" t="n"/>
    </row>
    <row r="251">
      <c r="A251" s="14">
        <f>IFERROR(IF(AND(IFERROR(INDEX(ERP資料!$A:$A, (MATCH(250, 輔助計算!$F$2:$F$801, 0)+1)), "")&lt;&gt;"", IFERROR(INDEX(ERP資料!$A:$A, (MATCH(250, 輔助計算!$F$2:$F$801, 0)+1)), "")&lt;&gt;IFERROR(INDEX(ERP資料!$A:$A, MATCH(249, 輔助計算!$F$2:$F$801, 0)+1), "")), INDEX(ERP資料!$B:$B, (MATCH(250, 輔助計算!$F$2:$F$801, 0)+1)), ""), "")</f>
        <v/>
      </c>
      <c r="B251" s="10">
        <f>IFERROR(IF(AND(IFERROR(INDEX(ERP資料!$A:$A, (MATCH(250, 輔助計算!$F$2:$F$801, 0)+1)), "")&lt;&gt;"", IFERROR(INDEX(ERP資料!$A:$A, (MATCH(250, 輔助計算!$F$2:$F$801, 0)+1)), "")&lt;&gt;IFERROR(INDEX(ERP資料!$A:$A, MATCH(249, 輔助計算!$F$2:$F$801, 0)+1), "")), IFERROR(INDEX(ERP資料!$A:$A, (MATCH(250, 輔助計算!$F$2:$F$801, 0)+1)), ""), ""), "")</f>
        <v/>
      </c>
      <c r="C251" s="10">
        <f>IFERROR(IF(AND(IFERROR(INDEX(ERP資料!$A:$A, (MATCH(250, 輔助計算!$F$2:$F$801, 0)+1)), "")&lt;&gt;"", IFERROR(INDEX(ERP資料!$A:$A, (MATCH(250, 輔助計算!$F$2:$F$801, 0)+1)), "")&lt;&gt;IFERROR(INDEX(ERP資料!$A:$A, MATCH(249, 輔助計算!$F$2:$F$801, 0)+1), "")), INDEX(ERP資料!$S:$S, (MATCH(250, 輔助計算!$F$2:$F$801, 0)+1)), ""), "")</f>
        <v/>
      </c>
      <c r="D251" s="10">
        <f>IFERROR(IF(INDEX(ERP資料!$E:$E, (MATCH(250, 輔助計算!$F$2:$F$801, 0)+1))="","",TRIM(INDEX(ERP資料!$E:$E, (MATCH(250, 輔助計算!$F$2:$F$801, 0)+1)))), "")</f>
        <v/>
      </c>
      <c r="E251" s="10">
        <f>IFERROR(IF(INDEX(ERP資料!$F:$F, (MATCH(250, 輔助計算!$F$2:$F$801, 0)+1))="","",INDEX(ERP資料!$F:$F, (MATCH(250, 輔助計算!$F$2:$F$801, 0)+1))), "")</f>
        <v/>
      </c>
      <c r="F251" s="10">
        <f>IFERROR(IF(INDEX(ERP資料!$G:$G, (MATCH(250, 輔助計算!$F$2:$F$801, 0)+1))="","",INDEX(ERP資料!$G:$G, (MATCH(250, 輔助計算!$F$2:$F$801, 0)+1))), "")</f>
        <v/>
      </c>
      <c r="G251" s="10">
        <f>IFERROR(IF(INDEX(ERP資料!$H:$H, (MATCH(250, 輔助計算!$F$2:$F$801, 0)+1))="","",INDEX(ERP資料!$H:$H, (MATCH(250, 輔助計算!$F$2:$F$801, 0)+1))), "")</f>
        <v/>
      </c>
      <c r="H251" s="10">
        <f>IFERROR(IF(INDEX(ERP資料!$O:$O, (MATCH(250, 輔助計算!$F$2:$F$801, 0)+1))="","",INDEX(ERP資料!$O:$O, (MATCH(250, 輔助計算!$F$2:$F$801, 0)+1))), "")</f>
        <v/>
      </c>
      <c r="I251" s="15">
        <f>IFERROR(IF(INDEX(輔助計算!$D:$D,(MATCH(250, 輔助計算!$F$2:$F$801, 0)+1))="","",INDEX(輔助計算!$D:$D,(MATCH(250, 輔助計算!$F$2:$F$801, 0)+1))*INDEX(ERP資料!$O:$O,(MATCH(250, 輔助計算!$F$2:$F$801, 0)+1))), "")</f>
        <v/>
      </c>
      <c r="J251" s="16" t="n"/>
      <c r="K251" s="15">
        <f>IFERROR(INDEX(輔助計算!$D:$D, (MATCH(250, 輔助計算!$F$2:$F$801, 0)+1)), "")</f>
        <v/>
      </c>
      <c r="L251" s="16">
        <f>IFERROR(IF(AND(IFERROR(VLOOKUP(LEFT(INDEX(ERP資料!$S:$S, (MATCH(250, 輔助計算!$F$2:$F$801, 0)+1)), 4), 100張客戶!$A:$A, 1, FALSE), "")&lt;&gt;"", OR(INDEX(ERP資料!$F:$F, (MATCH(250, 輔助計算!$F$2:$F$801, 0)+1))=270, INDEX(ERP資料!$F:$F, (MATCH(250, 輔助計算!$F$2:$F$801, 0)+1))=300)), "100張", ""), "")</f>
        <v/>
      </c>
      <c r="M251" s="17" t="n"/>
      <c r="N251" s="17">
        <f>IF($F251="","",$F251)</f>
        <v/>
      </c>
      <c r="O251" s="17">
        <f>IF($G251="","",$G251)</f>
        <v/>
      </c>
      <c r="P251" s="17">
        <f>IF($K251="","",$K251)</f>
        <v/>
      </c>
      <c r="Q251" s="16" t="n"/>
      <c r="R251" s="18" t="n"/>
      <c r="S251" s="16" t="n"/>
    </row>
    <row r="252">
      <c r="A252" s="14">
        <f>IFERROR(IF(AND(IFERROR(INDEX(ERP資料!$A:$A, (MATCH(251, 輔助計算!$F$2:$F$801, 0)+1)), "")&lt;&gt;"", IFERROR(INDEX(ERP資料!$A:$A, (MATCH(251, 輔助計算!$F$2:$F$801, 0)+1)), "")&lt;&gt;IFERROR(INDEX(ERP資料!$A:$A, MATCH(250, 輔助計算!$F$2:$F$801, 0)+1), "")), INDEX(ERP資料!$B:$B, (MATCH(251, 輔助計算!$F$2:$F$801, 0)+1)), ""), "")</f>
        <v/>
      </c>
      <c r="B252" s="10">
        <f>IFERROR(IF(AND(IFERROR(INDEX(ERP資料!$A:$A, (MATCH(251, 輔助計算!$F$2:$F$801, 0)+1)), "")&lt;&gt;"", IFERROR(INDEX(ERP資料!$A:$A, (MATCH(251, 輔助計算!$F$2:$F$801, 0)+1)), "")&lt;&gt;IFERROR(INDEX(ERP資料!$A:$A, MATCH(250, 輔助計算!$F$2:$F$801, 0)+1), "")), IFERROR(INDEX(ERP資料!$A:$A, (MATCH(251, 輔助計算!$F$2:$F$801, 0)+1)), ""), ""), "")</f>
        <v/>
      </c>
      <c r="C252" s="10">
        <f>IFERROR(IF(AND(IFERROR(INDEX(ERP資料!$A:$A, (MATCH(251, 輔助計算!$F$2:$F$801, 0)+1)), "")&lt;&gt;"", IFERROR(INDEX(ERP資料!$A:$A, (MATCH(251, 輔助計算!$F$2:$F$801, 0)+1)), "")&lt;&gt;IFERROR(INDEX(ERP資料!$A:$A, MATCH(250, 輔助計算!$F$2:$F$801, 0)+1), "")), INDEX(ERP資料!$S:$S, (MATCH(251, 輔助計算!$F$2:$F$801, 0)+1)), ""), "")</f>
        <v/>
      </c>
      <c r="D252" s="10">
        <f>IFERROR(IF(INDEX(ERP資料!$E:$E, (MATCH(251, 輔助計算!$F$2:$F$801, 0)+1))="","",TRIM(INDEX(ERP資料!$E:$E, (MATCH(251, 輔助計算!$F$2:$F$801, 0)+1)))), "")</f>
        <v/>
      </c>
      <c r="E252" s="10">
        <f>IFERROR(IF(INDEX(ERP資料!$F:$F, (MATCH(251, 輔助計算!$F$2:$F$801, 0)+1))="","",INDEX(ERP資料!$F:$F, (MATCH(251, 輔助計算!$F$2:$F$801, 0)+1))), "")</f>
        <v/>
      </c>
      <c r="F252" s="10">
        <f>IFERROR(IF(INDEX(ERP資料!$G:$G, (MATCH(251, 輔助計算!$F$2:$F$801, 0)+1))="","",INDEX(ERP資料!$G:$G, (MATCH(251, 輔助計算!$F$2:$F$801, 0)+1))), "")</f>
        <v/>
      </c>
      <c r="G252" s="10">
        <f>IFERROR(IF(INDEX(ERP資料!$H:$H, (MATCH(251, 輔助計算!$F$2:$F$801, 0)+1))="","",INDEX(ERP資料!$H:$H, (MATCH(251, 輔助計算!$F$2:$F$801, 0)+1))), "")</f>
        <v/>
      </c>
      <c r="H252" s="10">
        <f>IFERROR(IF(INDEX(ERP資料!$O:$O, (MATCH(251, 輔助計算!$F$2:$F$801, 0)+1))="","",INDEX(ERP資料!$O:$O, (MATCH(251, 輔助計算!$F$2:$F$801, 0)+1))), "")</f>
        <v/>
      </c>
      <c r="I252" s="15">
        <f>IFERROR(IF(INDEX(輔助計算!$D:$D,(MATCH(251, 輔助計算!$F$2:$F$801, 0)+1))="","",INDEX(輔助計算!$D:$D,(MATCH(251, 輔助計算!$F$2:$F$801, 0)+1))*INDEX(ERP資料!$O:$O,(MATCH(251, 輔助計算!$F$2:$F$801, 0)+1))), "")</f>
        <v/>
      </c>
      <c r="J252" s="16" t="n"/>
      <c r="K252" s="15">
        <f>IFERROR(INDEX(輔助計算!$D:$D, (MATCH(251, 輔助計算!$F$2:$F$801, 0)+1)), "")</f>
        <v/>
      </c>
      <c r="L252" s="16">
        <f>IFERROR(IF(AND(IFERROR(VLOOKUP(LEFT(INDEX(ERP資料!$S:$S, (MATCH(251, 輔助計算!$F$2:$F$801, 0)+1)), 4), 100張客戶!$A:$A, 1, FALSE), "")&lt;&gt;"", OR(INDEX(ERP資料!$F:$F, (MATCH(251, 輔助計算!$F$2:$F$801, 0)+1))=270, INDEX(ERP資料!$F:$F, (MATCH(251, 輔助計算!$F$2:$F$801, 0)+1))=300)), "100張", ""), "")</f>
        <v/>
      </c>
      <c r="M252" s="17" t="n"/>
      <c r="N252" s="17">
        <f>IF($F252="","",$F252)</f>
        <v/>
      </c>
      <c r="O252" s="17">
        <f>IF($G252="","",$G252)</f>
        <v/>
      </c>
      <c r="P252" s="17">
        <f>IF($K252="","",$K252)</f>
        <v/>
      </c>
      <c r="Q252" s="16" t="n"/>
      <c r="R252" s="18" t="n"/>
      <c r="S252" s="16" t="n"/>
    </row>
    <row r="253">
      <c r="A253" s="14">
        <f>IFERROR(IF(AND(IFERROR(INDEX(ERP資料!$A:$A, (MATCH(252, 輔助計算!$F$2:$F$801, 0)+1)), "")&lt;&gt;"", IFERROR(INDEX(ERP資料!$A:$A, (MATCH(252, 輔助計算!$F$2:$F$801, 0)+1)), "")&lt;&gt;IFERROR(INDEX(ERP資料!$A:$A, MATCH(251, 輔助計算!$F$2:$F$801, 0)+1), "")), INDEX(ERP資料!$B:$B, (MATCH(252, 輔助計算!$F$2:$F$801, 0)+1)), ""), "")</f>
        <v/>
      </c>
      <c r="B253" s="10">
        <f>IFERROR(IF(AND(IFERROR(INDEX(ERP資料!$A:$A, (MATCH(252, 輔助計算!$F$2:$F$801, 0)+1)), "")&lt;&gt;"", IFERROR(INDEX(ERP資料!$A:$A, (MATCH(252, 輔助計算!$F$2:$F$801, 0)+1)), "")&lt;&gt;IFERROR(INDEX(ERP資料!$A:$A, MATCH(251, 輔助計算!$F$2:$F$801, 0)+1), "")), IFERROR(INDEX(ERP資料!$A:$A, (MATCH(252, 輔助計算!$F$2:$F$801, 0)+1)), ""), ""), "")</f>
        <v/>
      </c>
      <c r="C253" s="10">
        <f>IFERROR(IF(AND(IFERROR(INDEX(ERP資料!$A:$A, (MATCH(252, 輔助計算!$F$2:$F$801, 0)+1)), "")&lt;&gt;"", IFERROR(INDEX(ERP資料!$A:$A, (MATCH(252, 輔助計算!$F$2:$F$801, 0)+1)), "")&lt;&gt;IFERROR(INDEX(ERP資料!$A:$A, MATCH(251, 輔助計算!$F$2:$F$801, 0)+1), "")), INDEX(ERP資料!$S:$S, (MATCH(252, 輔助計算!$F$2:$F$801, 0)+1)), ""), "")</f>
        <v/>
      </c>
      <c r="D253" s="10">
        <f>IFERROR(IF(INDEX(ERP資料!$E:$E, (MATCH(252, 輔助計算!$F$2:$F$801, 0)+1))="","",TRIM(INDEX(ERP資料!$E:$E, (MATCH(252, 輔助計算!$F$2:$F$801, 0)+1)))), "")</f>
        <v/>
      </c>
      <c r="E253" s="10">
        <f>IFERROR(IF(INDEX(ERP資料!$F:$F, (MATCH(252, 輔助計算!$F$2:$F$801, 0)+1))="","",INDEX(ERP資料!$F:$F, (MATCH(252, 輔助計算!$F$2:$F$801, 0)+1))), "")</f>
        <v/>
      </c>
      <c r="F253" s="10">
        <f>IFERROR(IF(INDEX(ERP資料!$G:$G, (MATCH(252, 輔助計算!$F$2:$F$801, 0)+1))="","",INDEX(ERP資料!$G:$G, (MATCH(252, 輔助計算!$F$2:$F$801, 0)+1))), "")</f>
        <v/>
      </c>
      <c r="G253" s="10">
        <f>IFERROR(IF(INDEX(ERP資料!$H:$H, (MATCH(252, 輔助計算!$F$2:$F$801, 0)+1))="","",INDEX(ERP資料!$H:$H, (MATCH(252, 輔助計算!$F$2:$F$801, 0)+1))), "")</f>
        <v/>
      </c>
      <c r="H253" s="10">
        <f>IFERROR(IF(INDEX(ERP資料!$O:$O, (MATCH(252, 輔助計算!$F$2:$F$801, 0)+1))="","",INDEX(ERP資料!$O:$O, (MATCH(252, 輔助計算!$F$2:$F$801, 0)+1))), "")</f>
        <v/>
      </c>
      <c r="I253" s="15">
        <f>IFERROR(IF(INDEX(輔助計算!$D:$D,(MATCH(252, 輔助計算!$F$2:$F$801, 0)+1))="","",INDEX(輔助計算!$D:$D,(MATCH(252, 輔助計算!$F$2:$F$801, 0)+1))*INDEX(ERP資料!$O:$O,(MATCH(252, 輔助計算!$F$2:$F$801, 0)+1))), "")</f>
        <v/>
      </c>
      <c r="J253" s="16" t="n"/>
      <c r="K253" s="15">
        <f>IFERROR(INDEX(輔助計算!$D:$D, (MATCH(252, 輔助計算!$F$2:$F$801, 0)+1)), "")</f>
        <v/>
      </c>
      <c r="L253" s="16">
        <f>IFERROR(IF(AND(IFERROR(VLOOKUP(LEFT(INDEX(ERP資料!$S:$S, (MATCH(252, 輔助計算!$F$2:$F$801, 0)+1)), 4), 100張客戶!$A:$A, 1, FALSE), "")&lt;&gt;"", OR(INDEX(ERP資料!$F:$F, (MATCH(252, 輔助計算!$F$2:$F$801, 0)+1))=270, INDEX(ERP資料!$F:$F, (MATCH(252, 輔助計算!$F$2:$F$801, 0)+1))=300)), "100張", ""), "")</f>
        <v/>
      </c>
      <c r="M253" s="17" t="n"/>
      <c r="N253" s="17">
        <f>IF($F253="","",$F253)</f>
        <v/>
      </c>
      <c r="O253" s="17">
        <f>IF($G253="","",$G253)</f>
        <v/>
      </c>
      <c r="P253" s="17">
        <f>IF($K253="","",$K253)</f>
        <v/>
      </c>
      <c r="Q253" s="16" t="n"/>
      <c r="R253" s="18" t="n"/>
      <c r="S253" s="16" t="n"/>
    </row>
    <row r="254">
      <c r="A254" s="14">
        <f>IFERROR(IF(AND(IFERROR(INDEX(ERP資料!$A:$A, (MATCH(253, 輔助計算!$F$2:$F$801, 0)+1)), "")&lt;&gt;"", IFERROR(INDEX(ERP資料!$A:$A, (MATCH(253, 輔助計算!$F$2:$F$801, 0)+1)), "")&lt;&gt;IFERROR(INDEX(ERP資料!$A:$A, MATCH(252, 輔助計算!$F$2:$F$801, 0)+1), "")), INDEX(ERP資料!$B:$B, (MATCH(253, 輔助計算!$F$2:$F$801, 0)+1)), ""), "")</f>
        <v/>
      </c>
      <c r="B254" s="10">
        <f>IFERROR(IF(AND(IFERROR(INDEX(ERP資料!$A:$A, (MATCH(253, 輔助計算!$F$2:$F$801, 0)+1)), "")&lt;&gt;"", IFERROR(INDEX(ERP資料!$A:$A, (MATCH(253, 輔助計算!$F$2:$F$801, 0)+1)), "")&lt;&gt;IFERROR(INDEX(ERP資料!$A:$A, MATCH(252, 輔助計算!$F$2:$F$801, 0)+1), "")), IFERROR(INDEX(ERP資料!$A:$A, (MATCH(253, 輔助計算!$F$2:$F$801, 0)+1)), ""), ""), "")</f>
        <v/>
      </c>
      <c r="C254" s="10">
        <f>IFERROR(IF(AND(IFERROR(INDEX(ERP資料!$A:$A, (MATCH(253, 輔助計算!$F$2:$F$801, 0)+1)), "")&lt;&gt;"", IFERROR(INDEX(ERP資料!$A:$A, (MATCH(253, 輔助計算!$F$2:$F$801, 0)+1)), "")&lt;&gt;IFERROR(INDEX(ERP資料!$A:$A, MATCH(252, 輔助計算!$F$2:$F$801, 0)+1), "")), INDEX(ERP資料!$S:$S, (MATCH(253, 輔助計算!$F$2:$F$801, 0)+1)), ""), "")</f>
        <v/>
      </c>
      <c r="D254" s="10">
        <f>IFERROR(IF(INDEX(ERP資料!$E:$E, (MATCH(253, 輔助計算!$F$2:$F$801, 0)+1))="","",TRIM(INDEX(ERP資料!$E:$E, (MATCH(253, 輔助計算!$F$2:$F$801, 0)+1)))), "")</f>
        <v/>
      </c>
      <c r="E254" s="10">
        <f>IFERROR(IF(INDEX(ERP資料!$F:$F, (MATCH(253, 輔助計算!$F$2:$F$801, 0)+1))="","",INDEX(ERP資料!$F:$F, (MATCH(253, 輔助計算!$F$2:$F$801, 0)+1))), "")</f>
        <v/>
      </c>
      <c r="F254" s="10">
        <f>IFERROR(IF(INDEX(ERP資料!$G:$G, (MATCH(253, 輔助計算!$F$2:$F$801, 0)+1))="","",INDEX(ERP資料!$G:$G, (MATCH(253, 輔助計算!$F$2:$F$801, 0)+1))), "")</f>
        <v/>
      </c>
      <c r="G254" s="10">
        <f>IFERROR(IF(INDEX(ERP資料!$H:$H, (MATCH(253, 輔助計算!$F$2:$F$801, 0)+1))="","",INDEX(ERP資料!$H:$H, (MATCH(253, 輔助計算!$F$2:$F$801, 0)+1))), "")</f>
        <v/>
      </c>
      <c r="H254" s="10">
        <f>IFERROR(IF(INDEX(ERP資料!$O:$O, (MATCH(253, 輔助計算!$F$2:$F$801, 0)+1))="","",INDEX(ERP資料!$O:$O, (MATCH(253, 輔助計算!$F$2:$F$801, 0)+1))), "")</f>
        <v/>
      </c>
      <c r="I254" s="15">
        <f>IFERROR(IF(INDEX(輔助計算!$D:$D,(MATCH(253, 輔助計算!$F$2:$F$801, 0)+1))="","",INDEX(輔助計算!$D:$D,(MATCH(253, 輔助計算!$F$2:$F$801, 0)+1))*INDEX(ERP資料!$O:$O,(MATCH(253, 輔助計算!$F$2:$F$801, 0)+1))), "")</f>
        <v/>
      </c>
      <c r="J254" s="16" t="n"/>
      <c r="K254" s="15">
        <f>IFERROR(INDEX(輔助計算!$D:$D, (MATCH(253, 輔助計算!$F$2:$F$801, 0)+1)), "")</f>
        <v/>
      </c>
      <c r="L254" s="16">
        <f>IFERROR(IF(AND(IFERROR(VLOOKUP(LEFT(INDEX(ERP資料!$S:$S, (MATCH(253, 輔助計算!$F$2:$F$801, 0)+1)), 4), 100張客戶!$A:$A, 1, FALSE), "")&lt;&gt;"", OR(INDEX(ERP資料!$F:$F, (MATCH(253, 輔助計算!$F$2:$F$801, 0)+1))=270, INDEX(ERP資料!$F:$F, (MATCH(253, 輔助計算!$F$2:$F$801, 0)+1))=300)), "100張", ""), "")</f>
        <v/>
      </c>
      <c r="M254" s="17" t="n"/>
      <c r="N254" s="17">
        <f>IF($F254="","",$F254)</f>
        <v/>
      </c>
      <c r="O254" s="17">
        <f>IF($G254="","",$G254)</f>
        <v/>
      </c>
      <c r="P254" s="17">
        <f>IF($K254="","",$K254)</f>
        <v/>
      </c>
      <c r="Q254" s="16" t="n"/>
      <c r="R254" s="18" t="n"/>
      <c r="S254" s="16" t="n"/>
    </row>
    <row r="255">
      <c r="A255" s="14">
        <f>IFERROR(IF(AND(IFERROR(INDEX(ERP資料!$A:$A, (MATCH(254, 輔助計算!$F$2:$F$801, 0)+1)), "")&lt;&gt;"", IFERROR(INDEX(ERP資料!$A:$A, (MATCH(254, 輔助計算!$F$2:$F$801, 0)+1)), "")&lt;&gt;IFERROR(INDEX(ERP資料!$A:$A, MATCH(253, 輔助計算!$F$2:$F$801, 0)+1), "")), INDEX(ERP資料!$B:$B, (MATCH(254, 輔助計算!$F$2:$F$801, 0)+1)), ""), "")</f>
        <v/>
      </c>
      <c r="B255" s="10">
        <f>IFERROR(IF(AND(IFERROR(INDEX(ERP資料!$A:$A, (MATCH(254, 輔助計算!$F$2:$F$801, 0)+1)), "")&lt;&gt;"", IFERROR(INDEX(ERP資料!$A:$A, (MATCH(254, 輔助計算!$F$2:$F$801, 0)+1)), "")&lt;&gt;IFERROR(INDEX(ERP資料!$A:$A, MATCH(253, 輔助計算!$F$2:$F$801, 0)+1), "")), IFERROR(INDEX(ERP資料!$A:$A, (MATCH(254, 輔助計算!$F$2:$F$801, 0)+1)), ""), ""), "")</f>
        <v/>
      </c>
      <c r="C255" s="10">
        <f>IFERROR(IF(AND(IFERROR(INDEX(ERP資料!$A:$A, (MATCH(254, 輔助計算!$F$2:$F$801, 0)+1)), "")&lt;&gt;"", IFERROR(INDEX(ERP資料!$A:$A, (MATCH(254, 輔助計算!$F$2:$F$801, 0)+1)), "")&lt;&gt;IFERROR(INDEX(ERP資料!$A:$A, MATCH(253, 輔助計算!$F$2:$F$801, 0)+1), "")), INDEX(ERP資料!$S:$S, (MATCH(254, 輔助計算!$F$2:$F$801, 0)+1)), ""), "")</f>
        <v/>
      </c>
      <c r="D255" s="10">
        <f>IFERROR(IF(INDEX(ERP資料!$E:$E, (MATCH(254, 輔助計算!$F$2:$F$801, 0)+1))="","",TRIM(INDEX(ERP資料!$E:$E, (MATCH(254, 輔助計算!$F$2:$F$801, 0)+1)))), "")</f>
        <v/>
      </c>
      <c r="E255" s="10">
        <f>IFERROR(IF(INDEX(ERP資料!$F:$F, (MATCH(254, 輔助計算!$F$2:$F$801, 0)+1))="","",INDEX(ERP資料!$F:$F, (MATCH(254, 輔助計算!$F$2:$F$801, 0)+1))), "")</f>
        <v/>
      </c>
      <c r="F255" s="10">
        <f>IFERROR(IF(INDEX(ERP資料!$G:$G, (MATCH(254, 輔助計算!$F$2:$F$801, 0)+1))="","",INDEX(ERP資料!$G:$G, (MATCH(254, 輔助計算!$F$2:$F$801, 0)+1))), "")</f>
        <v/>
      </c>
      <c r="G255" s="10">
        <f>IFERROR(IF(INDEX(ERP資料!$H:$H, (MATCH(254, 輔助計算!$F$2:$F$801, 0)+1))="","",INDEX(ERP資料!$H:$H, (MATCH(254, 輔助計算!$F$2:$F$801, 0)+1))), "")</f>
        <v/>
      </c>
      <c r="H255" s="10">
        <f>IFERROR(IF(INDEX(ERP資料!$O:$O, (MATCH(254, 輔助計算!$F$2:$F$801, 0)+1))="","",INDEX(ERP資料!$O:$O, (MATCH(254, 輔助計算!$F$2:$F$801, 0)+1))), "")</f>
        <v/>
      </c>
      <c r="I255" s="15">
        <f>IFERROR(IF(INDEX(輔助計算!$D:$D,(MATCH(254, 輔助計算!$F$2:$F$801, 0)+1))="","",INDEX(輔助計算!$D:$D,(MATCH(254, 輔助計算!$F$2:$F$801, 0)+1))*INDEX(ERP資料!$O:$O,(MATCH(254, 輔助計算!$F$2:$F$801, 0)+1))), "")</f>
        <v/>
      </c>
      <c r="J255" s="16" t="n"/>
      <c r="K255" s="15">
        <f>IFERROR(INDEX(輔助計算!$D:$D, (MATCH(254, 輔助計算!$F$2:$F$801, 0)+1)), "")</f>
        <v/>
      </c>
      <c r="L255" s="16">
        <f>IFERROR(IF(AND(IFERROR(VLOOKUP(LEFT(INDEX(ERP資料!$S:$S, (MATCH(254, 輔助計算!$F$2:$F$801, 0)+1)), 4), 100張客戶!$A:$A, 1, FALSE), "")&lt;&gt;"", OR(INDEX(ERP資料!$F:$F, (MATCH(254, 輔助計算!$F$2:$F$801, 0)+1))=270, INDEX(ERP資料!$F:$F, (MATCH(254, 輔助計算!$F$2:$F$801, 0)+1))=300)), "100張", ""), "")</f>
        <v/>
      </c>
      <c r="M255" s="17" t="n"/>
      <c r="N255" s="17">
        <f>IF($F255="","",$F255)</f>
        <v/>
      </c>
      <c r="O255" s="17">
        <f>IF($G255="","",$G255)</f>
        <v/>
      </c>
      <c r="P255" s="17">
        <f>IF($K255="","",$K255)</f>
        <v/>
      </c>
      <c r="Q255" s="16" t="n"/>
      <c r="R255" s="18" t="n"/>
      <c r="S255" s="16" t="n"/>
    </row>
    <row r="256">
      <c r="A256" s="14">
        <f>IFERROR(IF(AND(IFERROR(INDEX(ERP資料!$A:$A, (MATCH(255, 輔助計算!$F$2:$F$801, 0)+1)), "")&lt;&gt;"", IFERROR(INDEX(ERP資料!$A:$A, (MATCH(255, 輔助計算!$F$2:$F$801, 0)+1)), "")&lt;&gt;IFERROR(INDEX(ERP資料!$A:$A, MATCH(254, 輔助計算!$F$2:$F$801, 0)+1), "")), INDEX(ERP資料!$B:$B, (MATCH(255, 輔助計算!$F$2:$F$801, 0)+1)), ""), "")</f>
        <v/>
      </c>
      <c r="B256" s="10">
        <f>IFERROR(IF(AND(IFERROR(INDEX(ERP資料!$A:$A, (MATCH(255, 輔助計算!$F$2:$F$801, 0)+1)), "")&lt;&gt;"", IFERROR(INDEX(ERP資料!$A:$A, (MATCH(255, 輔助計算!$F$2:$F$801, 0)+1)), "")&lt;&gt;IFERROR(INDEX(ERP資料!$A:$A, MATCH(254, 輔助計算!$F$2:$F$801, 0)+1), "")), IFERROR(INDEX(ERP資料!$A:$A, (MATCH(255, 輔助計算!$F$2:$F$801, 0)+1)), ""), ""), "")</f>
        <v/>
      </c>
      <c r="C256" s="10">
        <f>IFERROR(IF(AND(IFERROR(INDEX(ERP資料!$A:$A, (MATCH(255, 輔助計算!$F$2:$F$801, 0)+1)), "")&lt;&gt;"", IFERROR(INDEX(ERP資料!$A:$A, (MATCH(255, 輔助計算!$F$2:$F$801, 0)+1)), "")&lt;&gt;IFERROR(INDEX(ERP資料!$A:$A, MATCH(254, 輔助計算!$F$2:$F$801, 0)+1), "")), INDEX(ERP資料!$S:$S, (MATCH(255, 輔助計算!$F$2:$F$801, 0)+1)), ""), "")</f>
        <v/>
      </c>
      <c r="D256" s="10">
        <f>IFERROR(IF(INDEX(ERP資料!$E:$E, (MATCH(255, 輔助計算!$F$2:$F$801, 0)+1))="","",TRIM(INDEX(ERP資料!$E:$E, (MATCH(255, 輔助計算!$F$2:$F$801, 0)+1)))), "")</f>
        <v/>
      </c>
      <c r="E256" s="10">
        <f>IFERROR(IF(INDEX(ERP資料!$F:$F, (MATCH(255, 輔助計算!$F$2:$F$801, 0)+1))="","",INDEX(ERP資料!$F:$F, (MATCH(255, 輔助計算!$F$2:$F$801, 0)+1))), "")</f>
        <v/>
      </c>
      <c r="F256" s="10">
        <f>IFERROR(IF(INDEX(ERP資料!$G:$G, (MATCH(255, 輔助計算!$F$2:$F$801, 0)+1))="","",INDEX(ERP資料!$G:$G, (MATCH(255, 輔助計算!$F$2:$F$801, 0)+1))), "")</f>
        <v/>
      </c>
      <c r="G256" s="10">
        <f>IFERROR(IF(INDEX(ERP資料!$H:$H, (MATCH(255, 輔助計算!$F$2:$F$801, 0)+1))="","",INDEX(ERP資料!$H:$H, (MATCH(255, 輔助計算!$F$2:$F$801, 0)+1))), "")</f>
        <v/>
      </c>
      <c r="H256" s="10">
        <f>IFERROR(IF(INDEX(ERP資料!$O:$O, (MATCH(255, 輔助計算!$F$2:$F$801, 0)+1))="","",INDEX(ERP資料!$O:$O, (MATCH(255, 輔助計算!$F$2:$F$801, 0)+1))), "")</f>
        <v/>
      </c>
      <c r="I256" s="15">
        <f>IFERROR(IF(INDEX(輔助計算!$D:$D,(MATCH(255, 輔助計算!$F$2:$F$801, 0)+1))="","",INDEX(輔助計算!$D:$D,(MATCH(255, 輔助計算!$F$2:$F$801, 0)+1))*INDEX(ERP資料!$O:$O,(MATCH(255, 輔助計算!$F$2:$F$801, 0)+1))), "")</f>
        <v/>
      </c>
      <c r="J256" s="16" t="n"/>
      <c r="K256" s="15">
        <f>IFERROR(INDEX(輔助計算!$D:$D, (MATCH(255, 輔助計算!$F$2:$F$801, 0)+1)), "")</f>
        <v/>
      </c>
      <c r="L256" s="16">
        <f>IFERROR(IF(AND(IFERROR(VLOOKUP(LEFT(INDEX(ERP資料!$S:$S, (MATCH(255, 輔助計算!$F$2:$F$801, 0)+1)), 4), 100張客戶!$A:$A, 1, FALSE), "")&lt;&gt;"", OR(INDEX(ERP資料!$F:$F, (MATCH(255, 輔助計算!$F$2:$F$801, 0)+1))=270, INDEX(ERP資料!$F:$F, (MATCH(255, 輔助計算!$F$2:$F$801, 0)+1))=300)), "100張", ""), "")</f>
        <v/>
      </c>
      <c r="M256" s="17" t="n"/>
      <c r="N256" s="17">
        <f>IF($F256="","",$F256)</f>
        <v/>
      </c>
      <c r="O256" s="17">
        <f>IF($G256="","",$G256)</f>
        <v/>
      </c>
      <c r="P256" s="17">
        <f>IF($K256="","",$K256)</f>
        <v/>
      </c>
      <c r="Q256" s="16" t="n"/>
      <c r="R256" s="18" t="n"/>
      <c r="S256" s="16" t="n"/>
    </row>
    <row r="257">
      <c r="A257" s="14">
        <f>IFERROR(IF(AND(IFERROR(INDEX(ERP資料!$A:$A, (MATCH(256, 輔助計算!$F$2:$F$801, 0)+1)), "")&lt;&gt;"", IFERROR(INDEX(ERP資料!$A:$A, (MATCH(256, 輔助計算!$F$2:$F$801, 0)+1)), "")&lt;&gt;IFERROR(INDEX(ERP資料!$A:$A, MATCH(255, 輔助計算!$F$2:$F$801, 0)+1), "")), INDEX(ERP資料!$B:$B, (MATCH(256, 輔助計算!$F$2:$F$801, 0)+1)), ""), "")</f>
        <v/>
      </c>
      <c r="B257" s="10">
        <f>IFERROR(IF(AND(IFERROR(INDEX(ERP資料!$A:$A, (MATCH(256, 輔助計算!$F$2:$F$801, 0)+1)), "")&lt;&gt;"", IFERROR(INDEX(ERP資料!$A:$A, (MATCH(256, 輔助計算!$F$2:$F$801, 0)+1)), "")&lt;&gt;IFERROR(INDEX(ERP資料!$A:$A, MATCH(255, 輔助計算!$F$2:$F$801, 0)+1), "")), IFERROR(INDEX(ERP資料!$A:$A, (MATCH(256, 輔助計算!$F$2:$F$801, 0)+1)), ""), ""), "")</f>
        <v/>
      </c>
      <c r="C257" s="10">
        <f>IFERROR(IF(AND(IFERROR(INDEX(ERP資料!$A:$A, (MATCH(256, 輔助計算!$F$2:$F$801, 0)+1)), "")&lt;&gt;"", IFERROR(INDEX(ERP資料!$A:$A, (MATCH(256, 輔助計算!$F$2:$F$801, 0)+1)), "")&lt;&gt;IFERROR(INDEX(ERP資料!$A:$A, MATCH(255, 輔助計算!$F$2:$F$801, 0)+1), "")), INDEX(ERP資料!$S:$S, (MATCH(256, 輔助計算!$F$2:$F$801, 0)+1)), ""), "")</f>
        <v/>
      </c>
      <c r="D257" s="10">
        <f>IFERROR(IF(INDEX(ERP資料!$E:$E, (MATCH(256, 輔助計算!$F$2:$F$801, 0)+1))="","",TRIM(INDEX(ERP資料!$E:$E, (MATCH(256, 輔助計算!$F$2:$F$801, 0)+1)))), "")</f>
        <v/>
      </c>
      <c r="E257" s="10">
        <f>IFERROR(IF(INDEX(ERP資料!$F:$F, (MATCH(256, 輔助計算!$F$2:$F$801, 0)+1))="","",INDEX(ERP資料!$F:$F, (MATCH(256, 輔助計算!$F$2:$F$801, 0)+1))), "")</f>
        <v/>
      </c>
      <c r="F257" s="10">
        <f>IFERROR(IF(INDEX(ERP資料!$G:$G, (MATCH(256, 輔助計算!$F$2:$F$801, 0)+1))="","",INDEX(ERP資料!$G:$G, (MATCH(256, 輔助計算!$F$2:$F$801, 0)+1))), "")</f>
        <v/>
      </c>
      <c r="G257" s="10">
        <f>IFERROR(IF(INDEX(ERP資料!$H:$H, (MATCH(256, 輔助計算!$F$2:$F$801, 0)+1))="","",INDEX(ERP資料!$H:$H, (MATCH(256, 輔助計算!$F$2:$F$801, 0)+1))), "")</f>
        <v/>
      </c>
      <c r="H257" s="10">
        <f>IFERROR(IF(INDEX(ERP資料!$O:$O, (MATCH(256, 輔助計算!$F$2:$F$801, 0)+1))="","",INDEX(ERP資料!$O:$O, (MATCH(256, 輔助計算!$F$2:$F$801, 0)+1))), "")</f>
        <v/>
      </c>
      <c r="I257" s="15">
        <f>IFERROR(IF(INDEX(輔助計算!$D:$D,(MATCH(256, 輔助計算!$F$2:$F$801, 0)+1))="","",INDEX(輔助計算!$D:$D,(MATCH(256, 輔助計算!$F$2:$F$801, 0)+1))*INDEX(ERP資料!$O:$O,(MATCH(256, 輔助計算!$F$2:$F$801, 0)+1))), "")</f>
        <v/>
      </c>
      <c r="J257" s="16" t="n"/>
      <c r="K257" s="15">
        <f>IFERROR(INDEX(輔助計算!$D:$D, (MATCH(256, 輔助計算!$F$2:$F$801, 0)+1)), "")</f>
        <v/>
      </c>
      <c r="L257" s="16">
        <f>IFERROR(IF(AND(IFERROR(VLOOKUP(LEFT(INDEX(ERP資料!$S:$S, (MATCH(256, 輔助計算!$F$2:$F$801, 0)+1)), 4), 100張客戶!$A:$A, 1, FALSE), "")&lt;&gt;"", OR(INDEX(ERP資料!$F:$F, (MATCH(256, 輔助計算!$F$2:$F$801, 0)+1))=270, INDEX(ERP資料!$F:$F, (MATCH(256, 輔助計算!$F$2:$F$801, 0)+1))=300)), "100張", ""), "")</f>
        <v/>
      </c>
      <c r="M257" s="17" t="n"/>
      <c r="N257" s="17">
        <f>IF($F257="","",$F257)</f>
        <v/>
      </c>
      <c r="O257" s="17">
        <f>IF($G257="","",$G257)</f>
        <v/>
      </c>
      <c r="P257" s="17">
        <f>IF($K257="","",$K257)</f>
        <v/>
      </c>
      <c r="Q257" s="16" t="n"/>
      <c r="R257" s="18" t="n"/>
      <c r="S257" s="16" t="n"/>
    </row>
    <row r="258">
      <c r="A258" s="14">
        <f>IFERROR(IF(AND(IFERROR(INDEX(ERP資料!$A:$A, (MATCH(257, 輔助計算!$F$2:$F$801, 0)+1)), "")&lt;&gt;"", IFERROR(INDEX(ERP資料!$A:$A, (MATCH(257, 輔助計算!$F$2:$F$801, 0)+1)), "")&lt;&gt;IFERROR(INDEX(ERP資料!$A:$A, MATCH(256, 輔助計算!$F$2:$F$801, 0)+1), "")), INDEX(ERP資料!$B:$B, (MATCH(257, 輔助計算!$F$2:$F$801, 0)+1)), ""), "")</f>
        <v/>
      </c>
      <c r="B258" s="10">
        <f>IFERROR(IF(AND(IFERROR(INDEX(ERP資料!$A:$A, (MATCH(257, 輔助計算!$F$2:$F$801, 0)+1)), "")&lt;&gt;"", IFERROR(INDEX(ERP資料!$A:$A, (MATCH(257, 輔助計算!$F$2:$F$801, 0)+1)), "")&lt;&gt;IFERROR(INDEX(ERP資料!$A:$A, MATCH(256, 輔助計算!$F$2:$F$801, 0)+1), "")), IFERROR(INDEX(ERP資料!$A:$A, (MATCH(257, 輔助計算!$F$2:$F$801, 0)+1)), ""), ""), "")</f>
        <v/>
      </c>
      <c r="C258" s="10">
        <f>IFERROR(IF(AND(IFERROR(INDEX(ERP資料!$A:$A, (MATCH(257, 輔助計算!$F$2:$F$801, 0)+1)), "")&lt;&gt;"", IFERROR(INDEX(ERP資料!$A:$A, (MATCH(257, 輔助計算!$F$2:$F$801, 0)+1)), "")&lt;&gt;IFERROR(INDEX(ERP資料!$A:$A, MATCH(256, 輔助計算!$F$2:$F$801, 0)+1), "")), INDEX(ERP資料!$S:$S, (MATCH(257, 輔助計算!$F$2:$F$801, 0)+1)), ""), "")</f>
        <v/>
      </c>
      <c r="D258" s="10">
        <f>IFERROR(IF(INDEX(ERP資料!$E:$E, (MATCH(257, 輔助計算!$F$2:$F$801, 0)+1))="","",TRIM(INDEX(ERP資料!$E:$E, (MATCH(257, 輔助計算!$F$2:$F$801, 0)+1)))), "")</f>
        <v/>
      </c>
      <c r="E258" s="10">
        <f>IFERROR(IF(INDEX(ERP資料!$F:$F, (MATCH(257, 輔助計算!$F$2:$F$801, 0)+1))="","",INDEX(ERP資料!$F:$F, (MATCH(257, 輔助計算!$F$2:$F$801, 0)+1))), "")</f>
        <v/>
      </c>
      <c r="F258" s="10">
        <f>IFERROR(IF(INDEX(ERP資料!$G:$G, (MATCH(257, 輔助計算!$F$2:$F$801, 0)+1))="","",INDEX(ERP資料!$G:$G, (MATCH(257, 輔助計算!$F$2:$F$801, 0)+1))), "")</f>
        <v/>
      </c>
      <c r="G258" s="10">
        <f>IFERROR(IF(INDEX(ERP資料!$H:$H, (MATCH(257, 輔助計算!$F$2:$F$801, 0)+1))="","",INDEX(ERP資料!$H:$H, (MATCH(257, 輔助計算!$F$2:$F$801, 0)+1))), "")</f>
        <v/>
      </c>
      <c r="H258" s="10">
        <f>IFERROR(IF(INDEX(ERP資料!$O:$O, (MATCH(257, 輔助計算!$F$2:$F$801, 0)+1))="","",INDEX(ERP資料!$O:$O, (MATCH(257, 輔助計算!$F$2:$F$801, 0)+1))), "")</f>
        <v/>
      </c>
      <c r="I258" s="15">
        <f>IFERROR(IF(INDEX(輔助計算!$D:$D,(MATCH(257, 輔助計算!$F$2:$F$801, 0)+1))="","",INDEX(輔助計算!$D:$D,(MATCH(257, 輔助計算!$F$2:$F$801, 0)+1))*INDEX(ERP資料!$O:$O,(MATCH(257, 輔助計算!$F$2:$F$801, 0)+1))), "")</f>
        <v/>
      </c>
      <c r="J258" s="16" t="n"/>
      <c r="K258" s="15">
        <f>IFERROR(INDEX(輔助計算!$D:$D, (MATCH(257, 輔助計算!$F$2:$F$801, 0)+1)), "")</f>
        <v/>
      </c>
      <c r="L258" s="16">
        <f>IFERROR(IF(AND(IFERROR(VLOOKUP(LEFT(INDEX(ERP資料!$S:$S, (MATCH(257, 輔助計算!$F$2:$F$801, 0)+1)), 4), 100張客戶!$A:$A, 1, FALSE), "")&lt;&gt;"", OR(INDEX(ERP資料!$F:$F, (MATCH(257, 輔助計算!$F$2:$F$801, 0)+1))=270, INDEX(ERP資料!$F:$F, (MATCH(257, 輔助計算!$F$2:$F$801, 0)+1))=300)), "100張", ""), "")</f>
        <v/>
      </c>
      <c r="M258" s="17" t="n"/>
      <c r="N258" s="17">
        <f>IF($F258="","",$F258)</f>
        <v/>
      </c>
      <c r="O258" s="17">
        <f>IF($G258="","",$G258)</f>
        <v/>
      </c>
      <c r="P258" s="17">
        <f>IF($K258="","",$K258)</f>
        <v/>
      </c>
      <c r="Q258" s="16" t="n"/>
      <c r="R258" s="18" t="n"/>
      <c r="S258" s="16" t="n"/>
    </row>
    <row r="259">
      <c r="A259" s="14">
        <f>IFERROR(IF(AND(IFERROR(INDEX(ERP資料!$A:$A, (MATCH(258, 輔助計算!$F$2:$F$801, 0)+1)), "")&lt;&gt;"", IFERROR(INDEX(ERP資料!$A:$A, (MATCH(258, 輔助計算!$F$2:$F$801, 0)+1)), "")&lt;&gt;IFERROR(INDEX(ERP資料!$A:$A, MATCH(257, 輔助計算!$F$2:$F$801, 0)+1), "")), INDEX(ERP資料!$B:$B, (MATCH(258, 輔助計算!$F$2:$F$801, 0)+1)), ""), "")</f>
        <v/>
      </c>
      <c r="B259" s="10">
        <f>IFERROR(IF(AND(IFERROR(INDEX(ERP資料!$A:$A, (MATCH(258, 輔助計算!$F$2:$F$801, 0)+1)), "")&lt;&gt;"", IFERROR(INDEX(ERP資料!$A:$A, (MATCH(258, 輔助計算!$F$2:$F$801, 0)+1)), "")&lt;&gt;IFERROR(INDEX(ERP資料!$A:$A, MATCH(257, 輔助計算!$F$2:$F$801, 0)+1), "")), IFERROR(INDEX(ERP資料!$A:$A, (MATCH(258, 輔助計算!$F$2:$F$801, 0)+1)), ""), ""), "")</f>
        <v/>
      </c>
      <c r="C259" s="10">
        <f>IFERROR(IF(AND(IFERROR(INDEX(ERP資料!$A:$A, (MATCH(258, 輔助計算!$F$2:$F$801, 0)+1)), "")&lt;&gt;"", IFERROR(INDEX(ERP資料!$A:$A, (MATCH(258, 輔助計算!$F$2:$F$801, 0)+1)), "")&lt;&gt;IFERROR(INDEX(ERP資料!$A:$A, MATCH(257, 輔助計算!$F$2:$F$801, 0)+1), "")), INDEX(ERP資料!$S:$S, (MATCH(258, 輔助計算!$F$2:$F$801, 0)+1)), ""), "")</f>
        <v/>
      </c>
      <c r="D259" s="10">
        <f>IFERROR(IF(INDEX(ERP資料!$E:$E, (MATCH(258, 輔助計算!$F$2:$F$801, 0)+1))="","",TRIM(INDEX(ERP資料!$E:$E, (MATCH(258, 輔助計算!$F$2:$F$801, 0)+1)))), "")</f>
        <v/>
      </c>
      <c r="E259" s="10">
        <f>IFERROR(IF(INDEX(ERP資料!$F:$F, (MATCH(258, 輔助計算!$F$2:$F$801, 0)+1))="","",INDEX(ERP資料!$F:$F, (MATCH(258, 輔助計算!$F$2:$F$801, 0)+1))), "")</f>
        <v/>
      </c>
      <c r="F259" s="10">
        <f>IFERROR(IF(INDEX(ERP資料!$G:$G, (MATCH(258, 輔助計算!$F$2:$F$801, 0)+1))="","",INDEX(ERP資料!$G:$G, (MATCH(258, 輔助計算!$F$2:$F$801, 0)+1))), "")</f>
        <v/>
      </c>
      <c r="G259" s="10">
        <f>IFERROR(IF(INDEX(ERP資料!$H:$H, (MATCH(258, 輔助計算!$F$2:$F$801, 0)+1))="","",INDEX(ERP資料!$H:$H, (MATCH(258, 輔助計算!$F$2:$F$801, 0)+1))), "")</f>
        <v/>
      </c>
      <c r="H259" s="10">
        <f>IFERROR(IF(INDEX(ERP資料!$O:$O, (MATCH(258, 輔助計算!$F$2:$F$801, 0)+1))="","",INDEX(ERP資料!$O:$O, (MATCH(258, 輔助計算!$F$2:$F$801, 0)+1))), "")</f>
        <v/>
      </c>
      <c r="I259" s="15">
        <f>IFERROR(IF(INDEX(輔助計算!$D:$D,(MATCH(258, 輔助計算!$F$2:$F$801, 0)+1))="","",INDEX(輔助計算!$D:$D,(MATCH(258, 輔助計算!$F$2:$F$801, 0)+1))*INDEX(ERP資料!$O:$O,(MATCH(258, 輔助計算!$F$2:$F$801, 0)+1))), "")</f>
        <v/>
      </c>
      <c r="J259" s="16" t="n"/>
      <c r="K259" s="15">
        <f>IFERROR(INDEX(輔助計算!$D:$D, (MATCH(258, 輔助計算!$F$2:$F$801, 0)+1)), "")</f>
        <v/>
      </c>
      <c r="L259" s="16">
        <f>IFERROR(IF(AND(IFERROR(VLOOKUP(LEFT(INDEX(ERP資料!$S:$S, (MATCH(258, 輔助計算!$F$2:$F$801, 0)+1)), 4), 100張客戶!$A:$A, 1, FALSE), "")&lt;&gt;"", OR(INDEX(ERP資料!$F:$F, (MATCH(258, 輔助計算!$F$2:$F$801, 0)+1))=270, INDEX(ERP資料!$F:$F, (MATCH(258, 輔助計算!$F$2:$F$801, 0)+1))=300)), "100張", ""), "")</f>
        <v/>
      </c>
      <c r="M259" s="17" t="n"/>
      <c r="N259" s="17">
        <f>IF($F259="","",$F259)</f>
        <v/>
      </c>
      <c r="O259" s="17">
        <f>IF($G259="","",$G259)</f>
        <v/>
      </c>
      <c r="P259" s="17">
        <f>IF($K259="","",$K259)</f>
        <v/>
      </c>
      <c r="Q259" s="16" t="n"/>
      <c r="R259" s="18" t="n"/>
      <c r="S259" s="16" t="n"/>
    </row>
    <row r="260">
      <c r="A260" s="14">
        <f>IFERROR(IF(AND(IFERROR(INDEX(ERP資料!$A:$A, (MATCH(259, 輔助計算!$F$2:$F$801, 0)+1)), "")&lt;&gt;"", IFERROR(INDEX(ERP資料!$A:$A, (MATCH(259, 輔助計算!$F$2:$F$801, 0)+1)), "")&lt;&gt;IFERROR(INDEX(ERP資料!$A:$A, MATCH(258, 輔助計算!$F$2:$F$801, 0)+1), "")), INDEX(ERP資料!$B:$B, (MATCH(259, 輔助計算!$F$2:$F$801, 0)+1)), ""), "")</f>
        <v/>
      </c>
      <c r="B260" s="10">
        <f>IFERROR(IF(AND(IFERROR(INDEX(ERP資料!$A:$A, (MATCH(259, 輔助計算!$F$2:$F$801, 0)+1)), "")&lt;&gt;"", IFERROR(INDEX(ERP資料!$A:$A, (MATCH(259, 輔助計算!$F$2:$F$801, 0)+1)), "")&lt;&gt;IFERROR(INDEX(ERP資料!$A:$A, MATCH(258, 輔助計算!$F$2:$F$801, 0)+1), "")), IFERROR(INDEX(ERP資料!$A:$A, (MATCH(259, 輔助計算!$F$2:$F$801, 0)+1)), ""), ""), "")</f>
        <v/>
      </c>
      <c r="C260" s="10">
        <f>IFERROR(IF(AND(IFERROR(INDEX(ERP資料!$A:$A, (MATCH(259, 輔助計算!$F$2:$F$801, 0)+1)), "")&lt;&gt;"", IFERROR(INDEX(ERP資料!$A:$A, (MATCH(259, 輔助計算!$F$2:$F$801, 0)+1)), "")&lt;&gt;IFERROR(INDEX(ERP資料!$A:$A, MATCH(258, 輔助計算!$F$2:$F$801, 0)+1), "")), INDEX(ERP資料!$S:$S, (MATCH(259, 輔助計算!$F$2:$F$801, 0)+1)), ""), "")</f>
        <v/>
      </c>
      <c r="D260" s="10">
        <f>IFERROR(IF(INDEX(ERP資料!$E:$E, (MATCH(259, 輔助計算!$F$2:$F$801, 0)+1))="","",TRIM(INDEX(ERP資料!$E:$E, (MATCH(259, 輔助計算!$F$2:$F$801, 0)+1)))), "")</f>
        <v/>
      </c>
      <c r="E260" s="10">
        <f>IFERROR(IF(INDEX(ERP資料!$F:$F, (MATCH(259, 輔助計算!$F$2:$F$801, 0)+1))="","",INDEX(ERP資料!$F:$F, (MATCH(259, 輔助計算!$F$2:$F$801, 0)+1))), "")</f>
        <v/>
      </c>
      <c r="F260" s="10">
        <f>IFERROR(IF(INDEX(ERP資料!$G:$G, (MATCH(259, 輔助計算!$F$2:$F$801, 0)+1))="","",INDEX(ERP資料!$G:$G, (MATCH(259, 輔助計算!$F$2:$F$801, 0)+1))), "")</f>
        <v/>
      </c>
      <c r="G260" s="10">
        <f>IFERROR(IF(INDEX(ERP資料!$H:$H, (MATCH(259, 輔助計算!$F$2:$F$801, 0)+1))="","",INDEX(ERP資料!$H:$H, (MATCH(259, 輔助計算!$F$2:$F$801, 0)+1))), "")</f>
        <v/>
      </c>
      <c r="H260" s="10">
        <f>IFERROR(IF(INDEX(ERP資料!$O:$O, (MATCH(259, 輔助計算!$F$2:$F$801, 0)+1))="","",INDEX(ERP資料!$O:$O, (MATCH(259, 輔助計算!$F$2:$F$801, 0)+1))), "")</f>
        <v/>
      </c>
      <c r="I260" s="15">
        <f>IFERROR(IF(INDEX(輔助計算!$D:$D,(MATCH(259, 輔助計算!$F$2:$F$801, 0)+1))="","",INDEX(輔助計算!$D:$D,(MATCH(259, 輔助計算!$F$2:$F$801, 0)+1))*INDEX(ERP資料!$O:$O,(MATCH(259, 輔助計算!$F$2:$F$801, 0)+1))), "")</f>
        <v/>
      </c>
      <c r="J260" s="16" t="n"/>
      <c r="K260" s="15">
        <f>IFERROR(INDEX(輔助計算!$D:$D, (MATCH(259, 輔助計算!$F$2:$F$801, 0)+1)), "")</f>
        <v/>
      </c>
      <c r="L260" s="16">
        <f>IFERROR(IF(AND(IFERROR(VLOOKUP(LEFT(INDEX(ERP資料!$S:$S, (MATCH(259, 輔助計算!$F$2:$F$801, 0)+1)), 4), 100張客戶!$A:$A, 1, FALSE), "")&lt;&gt;"", OR(INDEX(ERP資料!$F:$F, (MATCH(259, 輔助計算!$F$2:$F$801, 0)+1))=270, INDEX(ERP資料!$F:$F, (MATCH(259, 輔助計算!$F$2:$F$801, 0)+1))=300)), "100張", ""), "")</f>
        <v/>
      </c>
      <c r="M260" s="17" t="n"/>
      <c r="N260" s="17">
        <f>IF($F260="","",$F260)</f>
        <v/>
      </c>
      <c r="O260" s="17">
        <f>IF($G260="","",$G260)</f>
        <v/>
      </c>
      <c r="P260" s="17">
        <f>IF($K260="","",$K260)</f>
        <v/>
      </c>
      <c r="Q260" s="16" t="n"/>
      <c r="R260" s="18" t="n"/>
      <c r="S260" s="16" t="n"/>
    </row>
    <row r="261">
      <c r="A261" s="14">
        <f>IFERROR(IF(AND(IFERROR(INDEX(ERP資料!$A:$A, (MATCH(260, 輔助計算!$F$2:$F$801, 0)+1)), "")&lt;&gt;"", IFERROR(INDEX(ERP資料!$A:$A, (MATCH(260, 輔助計算!$F$2:$F$801, 0)+1)), "")&lt;&gt;IFERROR(INDEX(ERP資料!$A:$A, MATCH(259, 輔助計算!$F$2:$F$801, 0)+1), "")), INDEX(ERP資料!$B:$B, (MATCH(260, 輔助計算!$F$2:$F$801, 0)+1)), ""), "")</f>
        <v/>
      </c>
      <c r="B261" s="10">
        <f>IFERROR(IF(AND(IFERROR(INDEX(ERP資料!$A:$A, (MATCH(260, 輔助計算!$F$2:$F$801, 0)+1)), "")&lt;&gt;"", IFERROR(INDEX(ERP資料!$A:$A, (MATCH(260, 輔助計算!$F$2:$F$801, 0)+1)), "")&lt;&gt;IFERROR(INDEX(ERP資料!$A:$A, MATCH(259, 輔助計算!$F$2:$F$801, 0)+1), "")), IFERROR(INDEX(ERP資料!$A:$A, (MATCH(260, 輔助計算!$F$2:$F$801, 0)+1)), ""), ""), "")</f>
        <v/>
      </c>
      <c r="C261" s="10">
        <f>IFERROR(IF(AND(IFERROR(INDEX(ERP資料!$A:$A, (MATCH(260, 輔助計算!$F$2:$F$801, 0)+1)), "")&lt;&gt;"", IFERROR(INDEX(ERP資料!$A:$A, (MATCH(260, 輔助計算!$F$2:$F$801, 0)+1)), "")&lt;&gt;IFERROR(INDEX(ERP資料!$A:$A, MATCH(259, 輔助計算!$F$2:$F$801, 0)+1), "")), INDEX(ERP資料!$S:$S, (MATCH(260, 輔助計算!$F$2:$F$801, 0)+1)), ""), "")</f>
        <v/>
      </c>
      <c r="D261" s="10">
        <f>IFERROR(IF(INDEX(ERP資料!$E:$E, (MATCH(260, 輔助計算!$F$2:$F$801, 0)+1))="","",TRIM(INDEX(ERP資料!$E:$E, (MATCH(260, 輔助計算!$F$2:$F$801, 0)+1)))), "")</f>
        <v/>
      </c>
      <c r="E261" s="10">
        <f>IFERROR(IF(INDEX(ERP資料!$F:$F, (MATCH(260, 輔助計算!$F$2:$F$801, 0)+1))="","",INDEX(ERP資料!$F:$F, (MATCH(260, 輔助計算!$F$2:$F$801, 0)+1))), "")</f>
        <v/>
      </c>
      <c r="F261" s="10">
        <f>IFERROR(IF(INDEX(ERP資料!$G:$G, (MATCH(260, 輔助計算!$F$2:$F$801, 0)+1))="","",INDEX(ERP資料!$G:$G, (MATCH(260, 輔助計算!$F$2:$F$801, 0)+1))), "")</f>
        <v/>
      </c>
      <c r="G261" s="10">
        <f>IFERROR(IF(INDEX(ERP資料!$H:$H, (MATCH(260, 輔助計算!$F$2:$F$801, 0)+1))="","",INDEX(ERP資料!$H:$H, (MATCH(260, 輔助計算!$F$2:$F$801, 0)+1))), "")</f>
        <v/>
      </c>
      <c r="H261" s="10">
        <f>IFERROR(IF(INDEX(ERP資料!$O:$O, (MATCH(260, 輔助計算!$F$2:$F$801, 0)+1))="","",INDEX(ERP資料!$O:$O, (MATCH(260, 輔助計算!$F$2:$F$801, 0)+1))), "")</f>
        <v/>
      </c>
      <c r="I261" s="15">
        <f>IFERROR(IF(INDEX(輔助計算!$D:$D,(MATCH(260, 輔助計算!$F$2:$F$801, 0)+1))="","",INDEX(輔助計算!$D:$D,(MATCH(260, 輔助計算!$F$2:$F$801, 0)+1))*INDEX(ERP資料!$O:$O,(MATCH(260, 輔助計算!$F$2:$F$801, 0)+1))), "")</f>
        <v/>
      </c>
      <c r="J261" s="16" t="n"/>
      <c r="K261" s="15">
        <f>IFERROR(INDEX(輔助計算!$D:$D, (MATCH(260, 輔助計算!$F$2:$F$801, 0)+1)), "")</f>
        <v/>
      </c>
      <c r="L261" s="16">
        <f>IFERROR(IF(AND(IFERROR(VLOOKUP(LEFT(INDEX(ERP資料!$S:$S, (MATCH(260, 輔助計算!$F$2:$F$801, 0)+1)), 4), 100張客戶!$A:$A, 1, FALSE), "")&lt;&gt;"", OR(INDEX(ERP資料!$F:$F, (MATCH(260, 輔助計算!$F$2:$F$801, 0)+1))=270, INDEX(ERP資料!$F:$F, (MATCH(260, 輔助計算!$F$2:$F$801, 0)+1))=300)), "100張", ""), "")</f>
        <v/>
      </c>
      <c r="M261" s="17" t="n"/>
      <c r="N261" s="17">
        <f>IF($F261="","",$F261)</f>
        <v/>
      </c>
      <c r="O261" s="17">
        <f>IF($G261="","",$G261)</f>
        <v/>
      </c>
      <c r="P261" s="17">
        <f>IF($K261="","",$K261)</f>
        <v/>
      </c>
      <c r="Q261" s="16" t="n"/>
      <c r="R261" s="18" t="n"/>
      <c r="S261" s="16" t="n"/>
    </row>
    <row r="262">
      <c r="A262" s="14">
        <f>IFERROR(IF(AND(IFERROR(INDEX(ERP資料!$A:$A, (MATCH(261, 輔助計算!$F$2:$F$801, 0)+1)), "")&lt;&gt;"", IFERROR(INDEX(ERP資料!$A:$A, (MATCH(261, 輔助計算!$F$2:$F$801, 0)+1)), "")&lt;&gt;IFERROR(INDEX(ERP資料!$A:$A, MATCH(260, 輔助計算!$F$2:$F$801, 0)+1), "")), INDEX(ERP資料!$B:$B, (MATCH(261, 輔助計算!$F$2:$F$801, 0)+1)), ""), "")</f>
        <v/>
      </c>
      <c r="B262" s="10">
        <f>IFERROR(IF(AND(IFERROR(INDEX(ERP資料!$A:$A, (MATCH(261, 輔助計算!$F$2:$F$801, 0)+1)), "")&lt;&gt;"", IFERROR(INDEX(ERP資料!$A:$A, (MATCH(261, 輔助計算!$F$2:$F$801, 0)+1)), "")&lt;&gt;IFERROR(INDEX(ERP資料!$A:$A, MATCH(260, 輔助計算!$F$2:$F$801, 0)+1), "")), IFERROR(INDEX(ERP資料!$A:$A, (MATCH(261, 輔助計算!$F$2:$F$801, 0)+1)), ""), ""), "")</f>
        <v/>
      </c>
      <c r="C262" s="10">
        <f>IFERROR(IF(AND(IFERROR(INDEX(ERP資料!$A:$A, (MATCH(261, 輔助計算!$F$2:$F$801, 0)+1)), "")&lt;&gt;"", IFERROR(INDEX(ERP資料!$A:$A, (MATCH(261, 輔助計算!$F$2:$F$801, 0)+1)), "")&lt;&gt;IFERROR(INDEX(ERP資料!$A:$A, MATCH(260, 輔助計算!$F$2:$F$801, 0)+1), "")), INDEX(ERP資料!$S:$S, (MATCH(261, 輔助計算!$F$2:$F$801, 0)+1)), ""), "")</f>
        <v/>
      </c>
      <c r="D262" s="10">
        <f>IFERROR(IF(INDEX(ERP資料!$E:$E, (MATCH(261, 輔助計算!$F$2:$F$801, 0)+1))="","",TRIM(INDEX(ERP資料!$E:$E, (MATCH(261, 輔助計算!$F$2:$F$801, 0)+1)))), "")</f>
        <v/>
      </c>
      <c r="E262" s="10">
        <f>IFERROR(IF(INDEX(ERP資料!$F:$F, (MATCH(261, 輔助計算!$F$2:$F$801, 0)+1))="","",INDEX(ERP資料!$F:$F, (MATCH(261, 輔助計算!$F$2:$F$801, 0)+1))), "")</f>
        <v/>
      </c>
      <c r="F262" s="10">
        <f>IFERROR(IF(INDEX(ERP資料!$G:$G, (MATCH(261, 輔助計算!$F$2:$F$801, 0)+1))="","",INDEX(ERP資料!$G:$G, (MATCH(261, 輔助計算!$F$2:$F$801, 0)+1))), "")</f>
        <v/>
      </c>
      <c r="G262" s="10">
        <f>IFERROR(IF(INDEX(ERP資料!$H:$H, (MATCH(261, 輔助計算!$F$2:$F$801, 0)+1))="","",INDEX(ERP資料!$H:$H, (MATCH(261, 輔助計算!$F$2:$F$801, 0)+1))), "")</f>
        <v/>
      </c>
      <c r="H262" s="10">
        <f>IFERROR(IF(INDEX(ERP資料!$O:$O, (MATCH(261, 輔助計算!$F$2:$F$801, 0)+1))="","",INDEX(ERP資料!$O:$O, (MATCH(261, 輔助計算!$F$2:$F$801, 0)+1))), "")</f>
        <v/>
      </c>
      <c r="I262" s="15">
        <f>IFERROR(IF(INDEX(輔助計算!$D:$D,(MATCH(261, 輔助計算!$F$2:$F$801, 0)+1))="","",INDEX(輔助計算!$D:$D,(MATCH(261, 輔助計算!$F$2:$F$801, 0)+1))*INDEX(ERP資料!$O:$O,(MATCH(261, 輔助計算!$F$2:$F$801, 0)+1))), "")</f>
        <v/>
      </c>
      <c r="J262" s="16" t="n"/>
      <c r="K262" s="15">
        <f>IFERROR(INDEX(輔助計算!$D:$D, (MATCH(261, 輔助計算!$F$2:$F$801, 0)+1)), "")</f>
        <v/>
      </c>
      <c r="L262" s="16">
        <f>IFERROR(IF(AND(IFERROR(VLOOKUP(LEFT(INDEX(ERP資料!$S:$S, (MATCH(261, 輔助計算!$F$2:$F$801, 0)+1)), 4), 100張客戶!$A:$A, 1, FALSE), "")&lt;&gt;"", OR(INDEX(ERP資料!$F:$F, (MATCH(261, 輔助計算!$F$2:$F$801, 0)+1))=270, INDEX(ERP資料!$F:$F, (MATCH(261, 輔助計算!$F$2:$F$801, 0)+1))=300)), "100張", ""), "")</f>
        <v/>
      </c>
      <c r="M262" s="17" t="n"/>
      <c r="N262" s="17">
        <f>IF($F262="","",$F262)</f>
        <v/>
      </c>
      <c r="O262" s="17">
        <f>IF($G262="","",$G262)</f>
        <v/>
      </c>
      <c r="P262" s="17">
        <f>IF($K262="","",$K262)</f>
        <v/>
      </c>
      <c r="Q262" s="16" t="n"/>
      <c r="R262" s="18" t="n"/>
      <c r="S262" s="16" t="n"/>
    </row>
    <row r="263">
      <c r="A263" s="14">
        <f>IFERROR(IF(AND(IFERROR(INDEX(ERP資料!$A:$A, (MATCH(262, 輔助計算!$F$2:$F$801, 0)+1)), "")&lt;&gt;"", IFERROR(INDEX(ERP資料!$A:$A, (MATCH(262, 輔助計算!$F$2:$F$801, 0)+1)), "")&lt;&gt;IFERROR(INDEX(ERP資料!$A:$A, MATCH(261, 輔助計算!$F$2:$F$801, 0)+1), "")), INDEX(ERP資料!$B:$B, (MATCH(262, 輔助計算!$F$2:$F$801, 0)+1)), ""), "")</f>
        <v/>
      </c>
      <c r="B263" s="10">
        <f>IFERROR(IF(AND(IFERROR(INDEX(ERP資料!$A:$A, (MATCH(262, 輔助計算!$F$2:$F$801, 0)+1)), "")&lt;&gt;"", IFERROR(INDEX(ERP資料!$A:$A, (MATCH(262, 輔助計算!$F$2:$F$801, 0)+1)), "")&lt;&gt;IFERROR(INDEX(ERP資料!$A:$A, MATCH(261, 輔助計算!$F$2:$F$801, 0)+1), "")), IFERROR(INDEX(ERP資料!$A:$A, (MATCH(262, 輔助計算!$F$2:$F$801, 0)+1)), ""), ""), "")</f>
        <v/>
      </c>
      <c r="C263" s="10">
        <f>IFERROR(IF(AND(IFERROR(INDEX(ERP資料!$A:$A, (MATCH(262, 輔助計算!$F$2:$F$801, 0)+1)), "")&lt;&gt;"", IFERROR(INDEX(ERP資料!$A:$A, (MATCH(262, 輔助計算!$F$2:$F$801, 0)+1)), "")&lt;&gt;IFERROR(INDEX(ERP資料!$A:$A, MATCH(261, 輔助計算!$F$2:$F$801, 0)+1), "")), INDEX(ERP資料!$S:$S, (MATCH(262, 輔助計算!$F$2:$F$801, 0)+1)), ""), "")</f>
        <v/>
      </c>
      <c r="D263" s="10">
        <f>IFERROR(IF(INDEX(ERP資料!$E:$E, (MATCH(262, 輔助計算!$F$2:$F$801, 0)+1))="","",TRIM(INDEX(ERP資料!$E:$E, (MATCH(262, 輔助計算!$F$2:$F$801, 0)+1)))), "")</f>
        <v/>
      </c>
      <c r="E263" s="10">
        <f>IFERROR(IF(INDEX(ERP資料!$F:$F, (MATCH(262, 輔助計算!$F$2:$F$801, 0)+1))="","",INDEX(ERP資料!$F:$F, (MATCH(262, 輔助計算!$F$2:$F$801, 0)+1))), "")</f>
        <v/>
      </c>
      <c r="F263" s="10">
        <f>IFERROR(IF(INDEX(ERP資料!$G:$G, (MATCH(262, 輔助計算!$F$2:$F$801, 0)+1))="","",INDEX(ERP資料!$G:$G, (MATCH(262, 輔助計算!$F$2:$F$801, 0)+1))), "")</f>
        <v/>
      </c>
      <c r="G263" s="10">
        <f>IFERROR(IF(INDEX(ERP資料!$H:$H, (MATCH(262, 輔助計算!$F$2:$F$801, 0)+1))="","",INDEX(ERP資料!$H:$H, (MATCH(262, 輔助計算!$F$2:$F$801, 0)+1))), "")</f>
        <v/>
      </c>
      <c r="H263" s="10">
        <f>IFERROR(IF(INDEX(ERP資料!$O:$O, (MATCH(262, 輔助計算!$F$2:$F$801, 0)+1))="","",INDEX(ERP資料!$O:$O, (MATCH(262, 輔助計算!$F$2:$F$801, 0)+1))), "")</f>
        <v/>
      </c>
      <c r="I263" s="15">
        <f>IFERROR(IF(INDEX(輔助計算!$D:$D,(MATCH(262, 輔助計算!$F$2:$F$801, 0)+1))="","",INDEX(輔助計算!$D:$D,(MATCH(262, 輔助計算!$F$2:$F$801, 0)+1))*INDEX(ERP資料!$O:$O,(MATCH(262, 輔助計算!$F$2:$F$801, 0)+1))), "")</f>
        <v/>
      </c>
      <c r="J263" s="16" t="n"/>
      <c r="K263" s="15">
        <f>IFERROR(INDEX(輔助計算!$D:$D, (MATCH(262, 輔助計算!$F$2:$F$801, 0)+1)), "")</f>
        <v/>
      </c>
      <c r="L263" s="16">
        <f>IFERROR(IF(AND(IFERROR(VLOOKUP(LEFT(INDEX(ERP資料!$S:$S, (MATCH(262, 輔助計算!$F$2:$F$801, 0)+1)), 4), 100張客戶!$A:$A, 1, FALSE), "")&lt;&gt;"", OR(INDEX(ERP資料!$F:$F, (MATCH(262, 輔助計算!$F$2:$F$801, 0)+1))=270, INDEX(ERP資料!$F:$F, (MATCH(262, 輔助計算!$F$2:$F$801, 0)+1))=300)), "100張", ""), "")</f>
        <v/>
      </c>
      <c r="M263" s="17" t="n"/>
      <c r="N263" s="17">
        <f>IF($F263="","",$F263)</f>
        <v/>
      </c>
      <c r="O263" s="17">
        <f>IF($G263="","",$G263)</f>
        <v/>
      </c>
      <c r="P263" s="17">
        <f>IF($K263="","",$K263)</f>
        <v/>
      </c>
      <c r="Q263" s="16" t="n"/>
      <c r="R263" s="18" t="n"/>
      <c r="S263" s="16" t="n"/>
    </row>
    <row r="264">
      <c r="A264" s="14">
        <f>IFERROR(IF(AND(IFERROR(INDEX(ERP資料!$A:$A, (MATCH(263, 輔助計算!$F$2:$F$801, 0)+1)), "")&lt;&gt;"", IFERROR(INDEX(ERP資料!$A:$A, (MATCH(263, 輔助計算!$F$2:$F$801, 0)+1)), "")&lt;&gt;IFERROR(INDEX(ERP資料!$A:$A, MATCH(262, 輔助計算!$F$2:$F$801, 0)+1), "")), INDEX(ERP資料!$B:$B, (MATCH(263, 輔助計算!$F$2:$F$801, 0)+1)), ""), "")</f>
        <v/>
      </c>
      <c r="B264" s="10">
        <f>IFERROR(IF(AND(IFERROR(INDEX(ERP資料!$A:$A, (MATCH(263, 輔助計算!$F$2:$F$801, 0)+1)), "")&lt;&gt;"", IFERROR(INDEX(ERP資料!$A:$A, (MATCH(263, 輔助計算!$F$2:$F$801, 0)+1)), "")&lt;&gt;IFERROR(INDEX(ERP資料!$A:$A, MATCH(262, 輔助計算!$F$2:$F$801, 0)+1), "")), IFERROR(INDEX(ERP資料!$A:$A, (MATCH(263, 輔助計算!$F$2:$F$801, 0)+1)), ""), ""), "")</f>
        <v/>
      </c>
      <c r="C264" s="10">
        <f>IFERROR(IF(AND(IFERROR(INDEX(ERP資料!$A:$A, (MATCH(263, 輔助計算!$F$2:$F$801, 0)+1)), "")&lt;&gt;"", IFERROR(INDEX(ERP資料!$A:$A, (MATCH(263, 輔助計算!$F$2:$F$801, 0)+1)), "")&lt;&gt;IFERROR(INDEX(ERP資料!$A:$A, MATCH(262, 輔助計算!$F$2:$F$801, 0)+1), "")), INDEX(ERP資料!$S:$S, (MATCH(263, 輔助計算!$F$2:$F$801, 0)+1)), ""), "")</f>
        <v/>
      </c>
      <c r="D264" s="10">
        <f>IFERROR(IF(INDEX(ERP資料!$E:$E, (MATCH(263, 輔助計算!$F$2:$F$801, 0)+1))="","",TRIM(INDEX(ERP資料!$E:$E, (MATCH(263, 輔助計算!$F$2:$F$801, 0)+1)))), "")</f>
        <v/>
      </c>
      <c r="E264" s="10">
        <f>IFERROR(IF(INDEX(ERP資料!$F:$F, (MATCH(263, 輔助計算!$F$2:$F$801, 0)+1))="","",INDEX(ERP資料!$F:$F, (MATCH(263, 輔助計算!$F$2:$F$801, 0)+1))), "")</f>
        <v/>
      </c>
      <c r="F264" s="10">
        <f>IFERROR(IF(INDEX(ERP資料!$G:$G, (MATCH(263, 輔助計算!$F$2:$F$801, 0)+1))="","",INDEX(ERP資料!$G:$G, (MATCH(263, 輔助計算!$F$2:$F$801, 0)+1))), "")</f>
        <v/>
      </c>
      <c r="G264" s="10">
        <f>IFERROR(IF(INDEX(ERP資料!$H:$H, (MATCH(263, 輔助計算!$F$2:$F$801, 0)+1))="","",INDEX(ERP資料!$H:$H, (MATCH(263, 輔助計算!$F$2:$F$801, 0)+1))), "")</f>
        <v/>
      </c>
      <c r="H264" s="10">
        <f>IFERROR(IF(INDEX(ERP資料!$O:$O, (MATCH(263, 輔助計算!$F$2:$F$801, 0)+1))="","",INDEX(ERP資料!$O:$O, (MATCH(263, 輔助計算!$F$2:$F$801, 0)+1))), "")</f>
        <v/>
      </c>
      <c r="I264" s="15">
        <f>IFERROR(IF(INDEX(輔助計算!$D:$D,(MATCH(263, 輔助計算!$F$2:$F$801, 0)+1))="","",INDEX(輔助計算!$D:$D,(MATCH(263, 輔助計算!$F$2:$F$801, 0)+1))*INDEX(ERP資料!$O:$O,(MATCH(263, 輔助計算!$F$2:$F$801, 0)+1))), "")</f>
        <v/>
      </c>
      <c r="J264" s="16" t="n"/>
      <c r="K264" s="15">
        <f>IFERROR(INDEX(輔助計算!$D:$D, (MATCH(263, 輔助計算!$F$2:$F$801, 0)+1)), "")</f>
        <v/>
      </c>
      <c r="L264" s="16">
        <f>IFERROR(IF(AND(IFERROR(VLOOKUP(LEFT(INDEX(ERP資料!$S:$S, (MATCH(263, 輔助計算!$F$2:$F$801, 0)+1)), 4), 100張客戶!$A:$A, 1, FALSE), "")&lt;&gt;"", OR(INDEX(ERP資料!$F:$F, (MATCH(263, 輔助計算!$F$2:$F$801, 0)+1))=270, INDEX(ERP資料!$F:$F, (MATCH(263, 輔助計算!$F$2:$F$801, 0)+1))=300)), "100張", ""), "")</f>
        <v/>
      </c>
      <c r="M264" s="17" t="n"/>
      <c r="N264" s="17">
        <f>IF($F264="","",$F264)</f>
        <v/>
      </c>
      <c r="O264" s="17">
        <f>IF($G264="","",$G264)</f>
        <v/>
      </c>
      <c r="P264" s="17">
        <f>IF($K264="","",$K264)</f>
        <v/>
      </c>
      <c r="Q264" s="16" t="n"/>
      <c r="R264" s="18" t="n"/>
      <c r="S264" s="16" t="n"/>
    </row>
    <row r="265">
      <c r="A265" s="14">
        <f>IFERROR(IF(AND(IFERROR(INDEX(ERP資料!$A:$A, (MATCH(264, 輔助計算!$F$2:$F$801, 0)+1)), "")&lt;&gt;"", IFERROR(INDEX(ERP資料!$A:$A, (MATCH(264, 輔助計算!$F$2:$F$801, 0)+1)), "")&lt;&gt;IFERROR(INDEX(ERP資料!$A:$A, MATCH(263, 輔助計算!$F$2:$F$801, 0)+1), "")), INDEX(ERP資料!$B:$B, (MATCH(264, 輔助計算!$F$2:$F$801, 0)+1)), ""), "")</f>
        <v/>
      </c>
      <c r="B265" s="10">
        <f>IFERROR(IF(AND(IFERROR(INDEX(ERP資料!$A:$A, (MATCH(264, 輔助計算!$F$2:$F$801, 0)+1)), "")&lt;&gt;"", IFERROR(INDEX(ERP資料!$A:$A, (MATCH(264, 輔助計算!$F$2:$F$801, 0)+1)), "")&lt;&gt;IFERROR(INDEX(ERP資料!$A:$A, MATCH(263, 輔助計算!$F$2:$F$801, 0)+1), "")), IFERROR(INDEX(ERP資料!$A:$A, (MATCH(264, 輔助計算!$F$2:$F$801, 0)+1)), ""), ""), "")</f>
        <v/>
      </c>
      <c r="C265" s="10">
        <f>IFERROR(IF(AND(IFERROR(INDEX(ERP資料!$A:$A, (MATCH(264, 輔助計算!$F$2:$F$801, 0)+1)), "")&lt;&gt;"", IFERROR(INDEX(ERP資料!$A:$A, (MATCH(264, 輔助計算!$F$2:$F$801, 0)+1)), "")&lt;&gt;IFERROR(INDEX(ERP資料!$A:$A, MATCH(263, 輔助計算!$F$2:$F$801, 0)+1), "")), INDEX(ERP資料!$S:$S, (MATCH(264, 輔助計算!$F$2:$F$801, 0)+1)), ""), "")</f>
        <v/>
      </c>
      <c r="D265" s="10">
        <f>IFERROR(IF(INDEX(ERP資料!$E:$E, (MATCH(264, 輔助計算!$F$2:$F$801, 0)+1))="","",TRIM(INDEX(ERP資料!$E:$E, (MATCH(264, 輔助計算!$F$2:$F$801, 0)+1)))), "")</f>
        <v/>
      </c>
      <c r="E265" s="10">
        <f>IFERROR(IF(INDEX(ERP資料!$F:$F, (MATCH(264, 輔助計算!$F$2:$F$801, 0)+1))="","",INDEX(ERP資料!$F:$F, (MATCH(264, 輔助計算!$F$2:$F$801, 0)+1))), "")</f>
        <v/>
      </c>
      <c r="F265" s="10">
        <f>IFERROR(IF(INDEX(ERP資料!$G:$G, (MATCH(264, 輔助計算!$F$2:$F$801, 0)+1))="","",INDEX(ERP資料!$G:$G, (MATCH(264, 輔助計算!$F$2:$F$801, 0)+1))), "")</f>
        <v/>
      </c>
      <c r="G265" s="10">
        <f>IFERROR(IF(INDEX(ERP資料!$H:$H, (MATCH(264, 輔助計算!$F$2:$F$801, 0)+1))="","",INDEX(ERP資料!$H:$H, (MATCH(264, 輔助計算!$F$2:$F$801, 0)+1))), "")</f>
        <v/>
      </c>
      <c r="H265" s="10">
        <f>IFERROR(IF(INDEX(ERP資料!$O:$O, (MATCH(264, 輔助計算!$F$2:$F$801, 0)+1))="","",INDEX(ERP資料!$O:$O, (MATCH(264, 輔助計算!$F$2:$F$801, 0)+1))), "")</f>
        <v/>
      </c>
      <c r="I265" s="15">
        <f>IFERROR(IF(INDEX(輔助計算!$D:$D,(MATCH(264, 輔助計算!$F$2:$F$801, 0)+1))="","",INDEX(輔助計算!$D:$D,(MATCH(264, 輔助計算!$F$2:$F$801, 0)+1))*INDEX(ERP資料!$O:$O,(MATCH(264, 輔助計算!$F$2:$F$801, 0)+1))), "")</f>
        <v/>
      </c>
      <c r="J265" s="16" t="n"/>
      <c r="K265" s="15">
        <f>IFERROR(INDEX(輔助計算!$D:$D, (MATCH(264, 輔助計算!$F$2:$F$801, 0)+1)), "")</f>
        <v/>
      </c>
      <c r="L265" s="16">
        <f>IFERROR(IF(AND(IFERROR(VLOOKUP(LEFT(INDEX(ERP資料!$S:$S, (MATCH(264, 輔助計算!$F$2:$F$801, 0)+1)), 4), 100張客戶!$A:$A, 1, FALSE), "")&lt;&gt;"", OR(INDEX(ERP資料!$F:$F, (MATCH(264, 輔助計算!$F$2:$F$801, 0)+1))=270, INDEX(ERP資料!$F:$F, (MATCH(264, 輔助計算!$F$2:$F$801, 0)+1))=300)), "100張", ""), "")</f>
        <v/>
      </c>
      <c r="M265" s="17" t="n"/>
      <c r="N265" s="17">
        <f>IF($F265="","",$F265)</f>
        <v/>
      </c>
      <c r="O265" s="17">
        <f>IF($G265="","",$G265)</f>
        <v/>
      </c>
      <c r="P265" s="17">
        <f>IF($K265="","",$K265)</f>
        <v/>
      </c>
      <c r="Q265" s="16" t="n"/>
      <c r="R265" s="18" t="n"/>
      <c r="S265" s="16" t="n"/>
    </row>
    <row r="266">
      <c r="A266" s="14">
        <f>IFERROR(IF(AND(IFERROR(INDEX(ERP資料!$A:$A, (MATCH(265, 輔助計算!$F$2:$F$801, 0)+1)), "")&lt;&gt;"", IFERROR(INDEX(ERP資料!$A:$A, (MATCH(265, 輔助計算!$F$2:$F$801, 0)+1)), "")&lt;&gt;IFERROR(INDEX(ERP資料!$A:$A, MATCH(264, 輔助計算!$F$2:$F$801, 0)+1), "")), INDEX(ERP資料!$B:$B, (MATCH(265, 輔助計算!$F$2:$F$801, 0)+1)), ""), "")</f>
        <v/>
      </c>
      <c r="B266" s="10">
        <f>IFERROR(IF(AND(IFERROR(INDEX(ERP資料!$A:$A, (MATCH(265, 輔助計算!$F$2:$F$801, 0)+1)), "")&lt;&gt;"", IFERROR(INDEX(ERP資料!$A:$A, (MATCH(265, 輔助計算!$F$2:$F$801, 0)+1)), "")&lt;&gt;IFERROR(INDEX(ERP資料!$A:$A, MATCH(264, 輔助計算!$F$2:$F$801, 0)+1), "")), IFERROR(INDEX(ERP資料!$A:$A, (MATCH(265, 輔助計算!$F$2:$F$801, 0)+1)), ""), ""), "")</f>
        <v/>
      </c>
      <c r="C266" s="10">
        <f>IFERROR(IF(AND(IFERROR(INDEX(ERP資料!$A:$A, (MATCH(265, 輔助計算!$F$2:$F$801, 0)+1)), "")&lt;&gt;"", IFERROR(INDEX(ERP資料!$A:$A, (MATCH(265, 輔助計算!$F$2:$F$801, 0)+1)), "")&lt;&gt;IFERROR(INDEX(ERP資料!$A:$A, MATCH(264, 輔助計算!$F$2:$F$801, 0)+1), "")), INDEX(ERP資料!$S:$S, (MATCH(265, 輔助計算!$F$2:$F$801, 0)+1)), ""), "")</f>
        <v/>
      </c>
      <c r="D266" s="10">
        <f>IFERROR(IF(INDEX(ERP資料!$E:$E, (MATCH(265, 輔助計算!$F$2:$F$801, 0)+1))="","",TRIM(INDEX(ERP資料!$E:$E, (MATCH(265, 輔助計算!$F$2:$F$801, 0)+1)))), "")</f>
        <v/>
      </c>
      <c r="E266" s="10">
        <f>IFERROR(IF(INDEX(ERP資料!$F:$F, (MATCH(265, 輔助計算!$F$2:$F$801, 0)+1))="","",INDEX(ERP資料!$F:$F, (MATCH(265, 輔助計算!$F$2:$F$801, 0)+1))), "")</f>
        <v/>
      </c>
      <c r="F266" s="10">
        <f>IFERROR(IF(INDEX(ERP資料!$G:$G, (MATCH(265, 輔助計算!$F$2:$F$801, 0)+1))="","",INDEX(ERP資料!$G:$G, (MATCH(265, 輔助計算!$F$2:$F$801, 0)+1))), "")</f>
        <v/>
      </c>
      <c r="G266" s="10">
        <f>IFERROR(IF(INDEX(ERP資料!$H:$H, (MATCH(265, 輔助計算!$F$2:$F$801, 0)+1))="","",INDEX(ERP資料!$H:$H, (MATCH(265, 輔助計算!$F$2:$F$801, 0)+1))), "")</f>
        <v/>
      </c>
      <c r="H266" s="10">
        <f>IFERROR(IF(INDEX(ERP資料!$O:$O, (MATCH(265, 輔助計算!$F$2:$F$801, 0)+1))="","",INDEX(ERP資料!$O:$O, (MATCH(265, 輔助計算!$F$2:$F$801, 0)+1))), "")</f>
        <v/>
      </c>
      <c r="I266" s="15">
        <f>IFERROR(IF(INDEX(輔助計算!$D:$D,(MATCH(265, 輔助計算!$F$2:$F$801, 0)+1))="","",INDEX(輔助計算!$D:$D,(MATCH(265, 輔助計算!$F$2:$F$801, 0)+1))*INDEX(ERP資料!$O:$O,(MATCH(265, 輔助計算!$F$2:$F$801, 0)+1))), "")</f>
        <v/>
      </c>
      <c r="J266" s="16" t="n"/>
      <c r="K266" s="15">
        <f>IFERROR(INDEX(輔助計算!$D:$D, (MATCH(265, 輔助計算!$F$2:$F$801, 0)+1)), "")</f>
        <v/>
      </c>
      <c r="L266" s="16">
        <f>IFERROR(IF(AND(IFERROR(VLOOKUP(LEFT(INDEX(ERP資料!$S:$S, (MATCH(265, 輔助計算!$F$2:$F$801, 0)+1)), 4), 100張客戶!$A:$A, 1, FALSE), "")&lt;&gt;"", OR(INDEX(ERP資料!$F:$F, (MATCH(265, 輔助計算!$F$2:$F$801, 0)+1))=270, INDEX(ERP資料!$F:$F, (MATCH(265, 輔助計算!$F$2:$F$801, 0)+1))=300)), "100張", ""), "")</f>
        <v/>
      </c>
      <c r="M266" s="17" t="n"/>
      <c r="N266" s="17">
        <f>IF($F266="","",$F266)</f>
        <v/>
      </c>
      <c r="O266" s="17">
        <f>IF($G266="","",$G266)</f>
        <v/>
      </c>
      <c r="P266" s="17">
        <f>IF($K266="","",$K266)</f>
        <v/>
      </c>
      <c r="Q266" s="16" t="n"/>
      <c r="R266" s="18" t="n"/>
      <c r="S266" s="16" t="n"/>
    </row>
    <row r="267">
      <c r="A267" s="14">
        <f>IFERROR(IF(AND(IFERROR(INDEX(ERP資料!$A:$A, (MATCH(266, 輔助計算!$F$2:$F$801, 0)+1)), "")&lt;&gt;"", IFERROR(INDEX(ERP資料!$A:$A, (MATCH(266, 輔助計算!$F$2:$F$801, 0)+1)), "")&lt;&gt;IFERROR(INDEX(ERP資料!$A:$A, MATCH(265, 輔助計算!$F$2:$F$801, 0)+1), "")), INDEX(ERP資料!$B:$B, (MATCH(266, 輔助計算!$F$2:$F$801, 0)+1)), ""), "")</f>
        <v/>
      </c>
      <c r="B267" s="10">
        <f>IFERROR(IF(AND(IFERROR(INDEX(ERP資料!$A:$A, (MATCH(266, 輔助計算!$F$2:$F$801, 0)+1)), "")&lt;&gt;"", IFERROR(INDEX(ERP資料!$A:$A, (MATCH(266, 輔助計算!$F$2:$F$801, 0)+1)), "")&lt;&gt;IFERROR(INDEX(ERP資料!$A:$A, MATCH(265, 輔助計算!$F$2:$F$801, 0)+1), "")), IFERROR(INDEX(ERP資料!$A:$A, (MATCH(266, 輔助計算!$F$2:$F$801, 0)+1)), ""), ""), "")</f>
        <v/>
      </c>
      <c r="C267" s="10">
        <f>IFERROR(IF(AND(IFERROR(INDEX(ERP資料!$A:$A, (MATCH(266, 輔助計算!$F$2:$F$801, 0)+1)), "")&lt;&gt;"", IFERROR(INDEX(ERP資料!$A:$A, (MATCH(266, 輔助計算!$F$2:$F$801, 0)+1)), "")&lt;&gt;IFERROR(INDEX(ERP資料!$A:$A, MATCH(265, 輔助計算!$F$2:$F$801, 0)+1), "")), INDEX(ERP資料!$S:$S, (MATCH(266, 輔助計算!$F$2:$F$801, 0)+1)), ""), "")</f>
        <v/>
      </c>
      <c r="D267" s="10">
        <f>IFERROR(IF(INDEX(ERP資料!$E:$E, (MATCH(266, 輔助計算!$F$2:$F$801, 0)+1))="","",TRIM(INDEX(ERP資料!$E:$E, (MATCH(266, 輔助計算!$F$2:$F$801, 0)+1)))), "")</f>
        <v/>
      </c>
      <c r="E267" s="10">
        <f>IFERROR(IF(INDEX(ERP資料!$F:$F, (MATCH(266, 輔助計算!$F$2:$F$801, 0)+1))="","",INDEX(ERP資料!$F:$F, (MATCH(266, 輔助計算!$F$2:$F$801, 0)+1))), "")</f>
        <v/>
      </c>
      <c r="F267" s="10">
        <f>IFERROR(IF(INDEX(ERP資料!$G:$G, (MATCH(266, 輔助計算!$F$2:$F$801, 0)+1))="","",INDEX(ERP資料!$G:$G, (MATCH(266, 輔助計算!$F$2:$F$801, 0)+1))), "")</f>
        <v/>
      </c>
      <c r="G267" s="10">
        <f>IFERROR(IF(INDEX(ERP資料!$H:$H, (MATCH(266, 輔助計算!$F$2:$F$801, 0)+1))="","",INDEX(ERP資料!$H:$H, (MATCH(266, 輔助計算!$F$2:$F$801, 0)+1))), "")</f>
        <v/>
      </c>
      <c r="H267" s="10">
        <f>IFERROR(IF(INDEX(ERP資料!$O:$O, (MATCH(266, 輔助計算!$F$2:$F$801, 0)+1))="","",INDEX(ERP資料!$O:$O, (MATCH(266, 輔助計算!$F$2:$F$801, 0)+1))), "")</f>
        <v/>
      </c>
      <c r="I267" s="15">
        <f>IFERROR(IF(INDEX(輔助計算!$D:$D,(MATCH(266, 輔助計算!$F$2:$F$801, 0)+1))="","",INDEX(輔助計算!$D:$D,(MATCH(266, 輔助計算!$F$2:$F$801, 0)+1))*INDEX(ERP資料!$O:$O,(MATCH(266, 輔助計算!$F$2:$F$801, 0)+1))), "")</f>
        <v/>
      </c>
      <c r="J267" s="16" t="n"/>
      <c r="K267" s="15">
        <f>IFERROR(INDEX(輔助計算!$D:$D, (MATCH(266, 輔助計算!$F$2:$F$801, 0)+1)), "")</f>
        <v/>
      </c>
      <c r="L267" s="16">
        <f>IFERROR(IF(AND(IFERROR(VLOOKUP(LEFT(INDEX(ERP資料!$S:$S, (MATCH(266, 輔助計算!$F$2:$F$801, 0)+1)), 4), 100張客戶!$A:$A, 1, FALSE), "")&lt;&gt;"", OR(INDEX(ERP資料!$F:$F, (MATCH(266, 輔助計算!$F$2:$F$801, 0)+1))=270, INDEX(ERP資料!$F:$F, (MATCH(266, 輔助計算!$F$2:$F$801, 0)+1))=300)), "100張", ""), "")</f>
        <v/>
      </c>
      <c r="M267" s="17" t="n"/>
      <c r="N267" s="17">
        <f>IF($F267="","",$F267)</f>
        <v/>
      </c>
      <c r="O267" s="17">
        <f>IF($G267="","",$G267)</f>
        <v/>
      </c>
      <c r="P267" s="17">
        <f>IF($K267="","",$K267)</f>
        <v/>
      </c>
      <c r="Q267" s="16" t="n"/>
      <c r="R267" s="18" t="n"/>
      <c r="S267" s="16" t="n"/>
    </row>
    <row r="268">
      <c r="A268" s="14">
        <f>IFERROR(IF(AND(IFERROR(INDEX(ERP資料!$A:$A, (MATCH(267, 輔助計算!$F$2:$F$801, 0)+1)), "")&lt;&gt;"", IFERROR(INDEX(ERP資料!$A:$A, (MATCH(267, 輔助計算!$F$2:$F$801, 0)+1)), "")&lt;&gt;IFERROR(INDEX(ERP資料!$A:$A, MATCH(266, 輔助計算!$F$2:$F$801, 0)+1), "")), INDEX(ERP資料!$B:$B, (MATCH(267, 輔助計算!$F$2:$F$801, 0)+1)), ""), "")</f>
        <v/>
      </c>
      <c r="B268" s="10">
        <f>IFERROR(IF(AND(IFERROR(INDEX(ERP資料!$A:$A, (MATCH(267, 輔助計算!$F$2:$F$801, 0)+1)), "")&lt;&gt;"", IFERROR(INDEX(ERP資料!$A:$A, (MATCH(267, 輔助計算!$F$2:$F$801, 0)+1)), "")&lt;&gt;IFERROR(INDEX(ERP資料!$A:$A, MATCH(266, 輔助計算!$F$2:$F$801, 0)+1), "")), IFERROR(INDEX(ERP資料!$A:$A, (MATCH(267, 輔助計算!$F$2:$F$801, 0)+1)), ""), ""), "")</f>
        <v/>
      </c>
      <c r="C268" s="10">
        <f>IFERROR(IF(AND(IFERROR(INDEX(ERP資料!$A:$A, (MATCH(267, 輔助計算!$F$2:$F$801, 0)+1)), "")&lt;&gt;"", IFERROR(INDEX(ERP資料!$A:$A, (MATCH(267, 輔助計算!$F$2:$F$801, 0)+1)), "")&lt;&gt;IFERROR(INDEX(ERP資料!$A:$A, MATCH(266, 輔助計算!$F$2:$F$801, 0)+1), "")), INDEX(ERP資料!$S:$S, (MATCH(267, 輔助計算!$F$2:$F$801, 0)+1)), ""), "")</f>
        <v/>
      </c>
      <c r="D268" s="10">
        <f>IFERROR(IF(INDEX(ERP資料!$E:$E, (MATCH(267, 輔助計算!$F$2:$F$801, 0)+1))="","",TRIM(INDEX(ERP資料!$E:$E, (MATCH(267, 輔助計算!$F$2:$F$801, 0)+1)))), "")</f>
        <v/>
      </c>
      <c r="E268" s="10">
        <f>IFERROR(IF(INDEX(ERP資料!$F:$F, (MATCH(267, 輔助計算!$F$2:$F$801, 0)+1))="","",INDEX(ERP資料!$F:$F, (MATCH(267, 輔助計算!$F$2:$F$801, 0)+1))), "")</f>
        <v/>
      </c>
      <c r="F268" s="10">
        <f>IFERROR(IF(INDEX(ERP資料!$G:$G, (MATCH(267, 輔助計算!$F$2:$F$801, 0)+1))="","",INDEX(ERP資料!$G:$G, (MATCH(267, 輔助計算!$F$2:$F$801, 0)+1))), "")</f>
        <v/>
      </c>
      <c r="G268" s="10">
        <f>IFERROR(IF(INDEX(ERP資料!$H:$H, (MATCH(267, 輔助計算!$F$2:$F$801, 0)+1))="","",INDEX(ERP資料!$H:$H, (MATCH(267, 輔助計算!$F$2:$F$801, 0)+1))), "")</f>
        <v/>
      </c>
      <c r="H268" s="10">
        <f>IFERROR(IF(INDEX(ERP資料!$O:$O, (MATCH(267, 輔助計算!$F$2:$F$801, 0)+1))="","",INDEX(ERP資料!$O:$O, (MATCH(267, 輔助計算!$F$2:$F$801, 0)+1))), "")</f>
        <v/>
      </c>
      <c r="I268" s="15">
        <f>IFERROR(IF(INDEX(輔助計算!$D:$D,(MATCH(267, 輔助計算!$F$2:$F$801, 0)+1))="","",INDEX(輔助計算!$D:$D,(MATCH(267, 輔助計算!$F$2:$F$801, 0)+1))*INDEX(ERP資料!$O:$O,(MATCH(267, 輔助計算!$F$2:$F$801, 0)+1))), "")</f>
        <v/>
      </c>
      <c r="J268" s="16" t="n"/>
      <c r="K268" s="15">
        <f>IFERROR(INDEX(輔助計算!$D:$D, (MATCH(267, 輔助計算!$F$2:$F$801, 0)+1)), "")</f>
        <v/>
      </c>
      <c r="L268" s="16">
        <f>IFERROR(IF(AND(IFERROR(VLOOKUP(LEFT(INDEX(ERP資料!$S:$S, (MATCH(267, 輔助計算!$F$2:$F$801, 0)+1)), 4), 100張客戶!$A:$A, 1, FALSE), "")&lt;&gt;"", OR(INDEX(ERP資料!$F:$F, (MATCH(267, 輔助計算!$F$2:$F$801, 0)+1))=270, INDEX(ERP資料!$F:$F, (MATCH(267, 輔助計算!$F$2:$F$801, 0)+1))=300)), "100張", ""), "")</f>
        <v/>
      </c>
      <c r="M268" s="17" t="n"/>
      <c r="N268" s="17">
        <f>IF($F268="","",$F268)</f>
        <v/>
      </c>
      <c r="O268" s="17">
        <f>IF($G268="","",$G268)</f>
        <v/>
      </c>
      <c r="P268" s="17">
        <f>IF($K268="","",$K268)</f>
        <v/>
      </c>
      <c r="Q268" s="16" t="n"/>
      <c r="R268" s="18" t="n"/>
      <c r="S268" s="16" t="n"/>
    </row>
    <row r="269">
      <c r="A269" s="14">
        <f>IFERROR(IF(AND(IFERROR(INDEX(ERP資料!$A:$A, (MATCH(268, 輔助計算!$F$2:$F$801, 0)+1)), "")&lt;&gt;"", IFERROR(INDEX(ERP資料!$A:$A, (MATCH(268, 輔助計算!$F$2:$F$801, 0)+1)), "")&lt;&gt;IFERROR(INDEX(ERP資料!$A:$A, MATCH(267, 輔助計算!$F$2:$F$801, 0)+1), "")), INDEX(ERP資料!$B:$B, (MATCH(268, 輔助計算!$F$2:$F$801, 0)+1)), ""), "")</f>
        <v/>
      </c>
      <c r="B269" s="10">
        <f>IFERROR(IF(AND(IFERROR(INDEX(ERP資料!$A:$A, (MATCH(268, 輔助計算!$F$2:$F$801, 0)+1)), "")&lt;&gt;"", IFERROR(INDEX(ERP資料!$A:$A, (MATCH(268, 輔助計算!$F$2:$F$801, 0)+1)), "")&lt;&gt;IFERROR(INDEX(ERP資料!$A:$A, MATCH(267, 輔助計算!$F$2:$F$801, 0)+1), "")), IFERROR(INDEX(ERP資料!$A:$A, (MATCH(268, 輔助計算!$F$2:$F$801, 0)+1)), ""), ""), "")</f>
        <v/>
      </c>
      <c r="C269" s="10">
        <f>IFERROR(IF(AND(IFERROR(INDEX(ERP資料!$A:$A, (MATCH(268, 輔助計算!$F$2:$F$801, 0)+1)), "")&lt;&gt;"", IFERROR(INDEX(ERP資料!$A:$A, (MATCH(268, 輔助計算!$F$2:$F$801, 0)+1)), "")&lt;&gt;IFERROR(INDEX(ERP資料!$A:$A, MATCH(267, 輔助計算!$F$2:$F$801, 0)+1), "")), INDEX(ERP資料!$S:$S, (MATCH(268, 輔助計算!$F$2:$F$801, 0)+1)), ""), "")</f>
        <v/>
      </c>
      <c r="D269" s="10">
        <f>IFERROR(IF(INDEX(ERP資料!$E:$E, (MATCH(268, 輔助計算!$F$2:$F$801, 0)+1))="","",TRIM(INDEX(ERP資料!$E:$E, (MATCH(268, 輔助計算!$F$2:$F$801, 0)+1)))), "")</f>
        <v/>
      </c>
      <c r="E269" s="10">
        <f>IFERROR(IF(INDEX(ERP資料!$F:$F, (MATCH(268, 輔助計算!$F$2:$F$801, 0)+1))="","",INDEX(ERP資料!$F:$F, (MATCH(268, 輔助計算!$F$2:$F$801, 0)+1))), "")</f>
        <v/>
      </c>
      <c r="F269" s="10">
        <f>IFERROR(IF(INDEX(ERP資料!$G:$G, (MATCH(268, 輔助計算!$F$2:$F$801, 0)+1))="","",INDEX(ERP資料!$G:$G, (MATCH(268, 輔助計算!$F$2:$F$801, 0)+1))), "")</f>
        <v/>
      </c>
      <c r="G269" s="10">
        <f>IFERROR(IF(INDEX(ERP資料!$H:$H, (MATCH(268, 輔助計算!$F$2:$F$801, 0)+1))="","",INDEX(ERP資料!$H:$H, (MATCH(268, 輔助計算!$F$2:$F$801, 0)+1))), "")</f>
        <v/>
      </c>
      <c r="H269" s="10">
        <f>IFERROR(IF(INDEX(ERP資料!$O:$O, (MATCH(268, 輔助計算!$F$2:$F$801, 0)+1))="","",INDEX(ERP資料!$O:$O, (MATCH(268, 輔助計算!$F$2:$F$801, 0)+1))), "")</f>
        <v/>
      </c>
      <c r="I269" s="15">
        <f>IFERROR(IF(INDEX(輔助計算!$D:$D,(MATCH(268, 輔助計算!$F$2:$F$801, 0)+1))="","",INDEX(輔助計算!$D:$D,(MATCH(268, 輔助計算!$F$2:$F$801, 0)+1))*INDEX(ERP資料!$O:$O,(MATCH(268, 輔助計算!$F$2:$F$801, 0)+1))), "")</f>
        <v/>
      </c>
      <c r="J269" s="16" t="n"/>
      <c r="K269" s="15">
        <f>IFERROR(INDEX(輔助計算!$D:$D, (MATCH(268, 輔助計算!$F$2:$F$801, 0)+1)), "")</f>
        <v/>
      </c>
      <c r="L269" s="16">
        <f>IFERROR(IF(AND(IFERROR(VLOOKUP(LEFT(INDEX(ERP資料!$S:$S, (MATCH(268, 輔助計算!$F$2:$F$801, 0)+1)), 4), 100張客戶!$A:$A, 1, FALSE), "")&lt;&gt;"", OR(INDEX(ERP資料!$F:$F, (MATCH(268, 輔助計算!$F$2:$F$801, 0)+1))=270, INDEX(ERP資料!$F:$F, (MATCH(268, 輔助計算!$F$2:$F$801, 0)+1))=300)), "100張", ""), "")</f>
        <v/>
      </c>
      <c r="M269" s="17" t="n"/>
      <c r="N269" s="17">
        <f>IF($F269="","",$F269)</f>
        <v/>
      </c>
      <c r="O269" s="17">
        <f>IF($G269="","",$G269)</f>
        <v/>
      </c>
      <c r="P269" s="17">
        <f>IF($K269="","",$K269)</f>
        <v/>
      </c>
      <c r="Q269" s="16" t="n"/>
      <c r="R269" s="18" t="n"/>
      <c r="S269" s="16" t="n"/>
    </row>
    <row r="270">
      <c r="A270" s="14">
        <f>IFERROR(IF(AND(IFERROR(INDEX(ERP資料!$A:$A, (MATCH(269, 輔助計算!$F$2:$F$801, 0)+1)), "")&lt;&gt;"", IFERROR(INDEX(ERP資料!$A:$A, (MATCH(269, 輔助計算!$F$2:$F$801, 0)+1)), "")&lt;&gt;IFERROR(INDEX(ERP資料!$A:$A, MATCH(268, 輔助計算!$F$2:$F$801, 0)+1), "")), INDEX(ERP資料!$B:$B, (MATCH(269, 輔助計算!$F$2:$F$801, 0)+1)), ""), "")</f>
        <v/>
      </c>
      <c r="B270" s="10">
        <f>IFERROR(IF(AND(IFERROR(INDEX(ERP資料!$A:$A, (MATCH(269, 輔助計算!$F$2:$F$801, 0)+1)), "")&lt;&gt;"", IFERROR(INDEX(ERP資料!$A:$A, (MATCH(269, 輔助計算!$F$2:$F$801, 0)+1)), "")&lt;&gt;IFERROR(INDEX(ERP資料!$A:$A, MATCH(268, 輔助計算!$F$2:$F$801, 0)+1), "")), IFERROR(INDEX(ERP資料!$A:$A, (MATCH(269, 輔助計算!$F$2:$F$801, 0)+1)), ""), ""), "")</f>
        <v/>
      </c>
      <c r="C270" s="10">
        <f>IFERROR(IF(AND(IFERROR(INDEX(ERP資料!$A:$A, (MATCH(269, 輔助計算!$F$2:$F$801, 0)+1)), "")&lt;&gt;"", IFERROR(INDEX(ERP資料!$A:$A, (MATCH(269, 輔助計算!$F$2:$F$801, 0)+1)), "")&lt;&gt;IFERROR(INDEX(ERP資料!$A:$A, MATCH(268, 輔助計算!$F$2:$F$801, 0)+1), "")), INDEX(ERP資料!$S:$S, (MATCH(269, 輔助計算!$F$2:$F$801, 0)+1)), ""), "")</f>
        <v/>
      </c>
      <c r="D270" s="10">
        <f>IFERROR(IF(INDEX(ERP資料!$E:$E, (MATCH(269, 輔助計算!$F$2:$F$801, 0)+1))="","",TRIM(INDEX(ERP資料!$E:$E, (MATCH(269, 輔助計算!$F$2:$F$801, 0)+1)))), "")</f>
        <v/>
      </c>
      <c r="E270" s="10">
        <f>IFERROR(IF(INDEX(ERP資料!$F:$F, (MATCH(269, 輔助計算!$F$2:$F$801, 0)+1))="","",INDEX(ERP資料!$F:$F, (MATCH(269, 輔助計算!$F$2:$F$801, 0)+1))), "")</f>
        <v/>
      </c>
      <c r="F270" s="10">
        <f>IFERROR(IF(INDEX(ERP資料!$G:$G, (MATCH(269, 輔助計算!$F$2:$F$801, 0)+1))="","",INDEX(ERP資料!$G:$G, (MATCH(269, 輔助計算!$F$2:$F$801, 0)+1))), "")</f>
        <v/>
      </c>
      <c r="G270" s="10">
        <f>IFERROR(IF(INDEX(ERP資料!$H:$H, (MATCH(269, 輔助計算!$F$2:$F$801, 0)+1))="","",INDEX(ERP資料!$H:$H, (MATCH(269, 輔助計算!$F$2:$F$801, 0)+1))), "")</f>
        <v/>
      </c>
      <c r="H270" s="10">
        <f>IFERROR(IF(INDEX(ERP資料!$O:$O, (MATCH(269, 輔助計算!$F$2:$F$801, 0)+1))="","",INDEX(ERP資料!$O:$O, (MATCH(269, 輔助計算!$F$2:$F$801, 0)+1))), "")</f>
        <v/>
      </c>
      <c r="I270" s="15">
        <f>IFERROR(IF(INDEX(輔助計算!$D:$D,(MATCH(269, 輔助計算!$F$2:$F$801, 0)+1))="","",INDEX(輔助計算!$D:$D,(MATCH(269, 輔助計算!$F$2:$F$801, 0)+1))*INDEX(ERP資料!$O:$O,(MATCH(269, 輔助計算!$F$2:$F$801, 0)+1))), "")</f>
        <v/>
      </c>
      <c r="J270" s="16" t="n"/>
      <c r="K270" s="15">
        <f>IFERROR(INDEX(輔助計算!$D:$D, (MATCH(269, 輔助計算!$F$2:$F$801, 0)+1)), "")</f>
        <v/>
      </c>
      <c r="L270" s="16">
        <f>IFERROR(IF(AND(IFERROR(VLOOKUP(LEFT(INDEX(ERP資料!$S:$S, (MATCH(269, 輔助計算!$F$2:$F$801, 0)+1)), 4), 100張客戶!$A:$A, 1, FALSE), "")&lt;&gt;"", OR(INDEX(ERP資料!$F:$F, (MATCH(269, 輔助計算!$F$2:$F$801, 0)+1))=270, INDEX(ERP資料!$F:$F, (MATCH(269, 輔助計算!$F$2:$F$801, 0)+1))=300)), "100張", ""), "")</f>
        <v/>
      </c>
      <c r="M270" s="17" t="n"/>
      <c r="N270" s="17">
        <f>IF($F270="","",$F270)</f>
        <v/>
      </c>
      <c r="O270" s="17">
        <f>IF($G270="","",$G270)</f>
        <v/>
      </c>
      <c r="P270" s="17">
        <f>IF($K270="","",$K270)</f>
        <v/>
      </c>
      <c r="Q270" s="16" t="n"/>
      <c r="R270" s="18" t="n"/>
      <c r="S270" s="16" t="n"/>
    </row>
    <row r="271">
      <c r="A271" s="14">
        <f>IFERROR(IF(AND(IFERROR(INDEX(ERP資料!$A:$A, (MATCH(270, 輔助計算!$F$2:$F$801, 0)+1)), "")&lt;&gt;"", IFERROR(INDEX(ERP資料!$A:$A, (MATCH(270, 輔助計算!$F$2:$F$801, 0)+1)), "")&lt;&gt;IFERROR(INDEX(ERP資料!$A:$A, MATCH(269, 輔助計算!$F$2:$F$801, 0)+1), "")), INDEX(ERP資料!$B:$B, (MATCH(270, 輔助計算!$F$2:$F$801, 0)+1)), ""), "")</f>
        <v/>
      </c>
      <c r="B271" s="10">
        <f>IFERROR(IF(AND(IFERROR(INDEX(ERP資料!$A:$A, (MATCH(270, 輔助計算!$F$2:$F$801, 0)+1)), "")&lt;&gt;"", IFERROR(INDEX(ERP資料!$A:$A, (MATCH(270, 輔助計算!$F$2:$F$801, 0)+1)), "")&lt;&gt;IFERROR(INDEX(ERP資料!$A:$A, MATCH(269, 輔助計算!$F$2:$F$801, 0)+1), "")), IFERROR(INDEX(ERP資料!$A:$A, (MATCH(270, 輔助計算!$F$2:$F$801, 0)+1)), ""), ""), "")</f>
        <v/>
      </c>
      <c r="C271" s="10">
        <f>IFERROR(IF(AND(IFERROR(INDEX(ERP資料!$A:$A, (MATCH(270, 輔助計算!$F$2:$F$801, 0)+1)), "")&lt;&gt;"", IFERROR(INDEX(ERP資料!$A:$A, (MATCH(270, 輔助計算!$F$2:$F$801, 0)+1)), "")&lt;&gt;IFERROR(INDEX(ERP資料!$A:$A, MATCH(269, 輔助計算!$F$2:$F$801, 0)+1), "")), INDEX(ERP資料!$S:$S, (MATCH(270, 輔助計算!$F$2:$F$801, 0)+1)), ""), "")</f>
        <v/>
      </c>
      <c r="D271" s="10">
        <f>IFERROR(IF(INDEX(ERP資料!$E:$E, (MATCH(270, 輔助計算!$F$2:$F$801, 0)+1))="","",TRIM(INDEX(ERP資料!$E:$E, (MATCH(270, 輔助計算!$F$2:$F$801, 0)+1)))), "")</f>
        <v/>
      </c>
      <c r="E271" s="10">
        <f>IFERROR(IF(INDEX(ERP資料!$F:$F, (MATCH(270, 輔助計算!$F$2:$F$801, 0)+1))="","",INDEX(ERP資料!$F:$F, (MATCH(270, 輔助計算!$F$2:$F$801, 0)+1))), "")</f>
        <v/>
      </c>
      <c r="F271" s="10">
        <f>IFERROR(IF(INDEX(ERP資料!$G:$G, (MATCH(270, 輔助計算!$F$2:$F$801, 0)+1))="","",INDEX(ERP資料!$G:$G, (MATCH(270, 輔助計算!$F$2:$F$801, 0)+1))), "")</f>
        <v/>
      </c>
      <c r="G271" s="10">
        <f>IFERROR(IF(INDEX(ERP資料!$H:$H, (MATCH(270, 輔助計算!$F$2:$F$801, 0)+1))="","",INDEX(ERP資料!$H:$H, (MATCH(270, 輔助計算!$F$2:$F$801, 0)+1))), "")</f>
        <v/>
      </c>
      <c r="H271" s="10">
        <f>IFERROR(IF(INDEX(ERP資料!$O:$O, (MATCH(270, 輔助計算!$F$2:$F$801, 0)+1))="","",INDEX(ERP資料!$O:$O, (MATCH(270, 輔助計算!$F$2:$F$801, 0)+1))), "")</f>
        <v/>
      </c>
      <c r="I271" s="15">
        <f>IFERROR(IF(INDEX(輔助計算!$D:$D,(MATCH(270, 輔助計算!$F$2:$F$801, 0)+1))="","",INDEX(輔助計算!$D:$D,(MATCH(270, 輔助計算!$F$2:$F$801, 0)+1))*INDEX(ERP資料!$O:$O,(MATCH(270, 輔助計算!$F$2:$F$801, 0)+1))), "")</f>
        <v/>
      </c>
      <c r="J271" s="16" t="n"/>
      <c r="K271" s="15">
        <f>IFERROR(INDEX(輔助計算!$D:$D, (MATCH(270, 輔助計算!$F$2:$F$801, 0)+1)), "")</f>
        <v/>
      </c>
      <c r="L271" s="16">
        <f>IFERROR(IF(AND(IFERROR(VLOOKUP(LEFT(INDEX(ERP資料!$S:$S, (MATCH(270, 輔助計算!$F$2:$F$801, 0)+1)), 4), 100張客戶!$A:$A, 1, FALSE), "")&lt;&gt;"", OR(INDEX(ERP資料!$F:$F, (MATCH(270, 輔助計算!$F$2:$F$801, 0)+1))=270, INDEX(ERP資料!$F:$F, (MATCH(270, 輔助計算!$F$2:$F$801, 0)+1))=300)), "100張", ""), "")</f>
        <v/>
      </c>
      <c r="M271" s="17" t="n"/>
      <c r="N271" s="17">
        <f>IF($F271="","",$F271)</f>
        <v/>
      </c>
      <c r="O271" s="17">
        <f>IF($G271="","",$G271)</f>
        <v/>
      </c>
      <c r="P271" s="17">
        <f>IF($K271="","",$K271)</f>
        <v/>
      </c>
      <c r="Q271" s="16" t="n"/>
      <c r="R271" s="18" t="n"/>
      <c r="S271" s="16" t="n"/>
    </row>
    <row r="272">
      <c r="A272" s="14">
        <f>IFERROR(IF(AND(IFERROR(INDEX(ERP資料!$A:$A, (MATCH(271, 輔助計算!$F$2:$F$801, 0)+1)), "")&lt;&gt;"", IFERROR(INDEX(ERP資料!$A:$A, (MATCH(271, 輔助計算!$F$2:$F$801, 0)+1)), "")&lt;&gt;IFERROR(INDEX(ERP資料!$A:$A, MATCH(270, 輔助計算!$F$2:$F$801, 0)+1), "")), INDEX(ERP資料!$B:$B, (MATCH(271, 輔助計算!$F$2:$F$801, 0)+1)), ""), "")</f>
        <v/>
      </c>
      <c r="B272" s="10">
        <f>IFERROR(IF(AND(IFERROR(INDEX(ERP資料!$A:$A, (MATCH(271, 輔助計算!$F$2:$F$801, 0)+1)), "")&lt;&gt;"", IFERROR(INDEX(ERP資料!$A:$A, (MATCH(271, 輔助計算!$F$2:$F$801, 0)+1)), "")&lt;&gt;IFERROR(INDEX(ERP資料!$A:$A, MATCH(270, 輔助計算!$F$2:$F$801, 0)+1), "")), IFERROR(INDEX(ERP資料!$A:$A, (MATCH(271, 輔助計算!$F$2:$F$801, 0)+1)), ""), ""), "")</f>
        <v/>
      </c>
      <c r="C272" s="10">
        <f>IFERROR(IF(AND(IFERROR(INDEX(ERP資料!$A:$A, (MATCH(271, 輔助計算!$F$2:$F$801, 0)+1)), "")&lt;&gt;"", IFERROR(INDEX(ERP資料!$A:$A, (MATCH(271, 輔助計算!$F$2:$F$801, 0)+1)), "")&lt;&gt;IFERROR(INDEX(ERP資料!$A:$A, MATCH(270, 輔助計算!$F$2:$F$801, 0)+1), "")), INDEX(ERP資料!$S:$S, (MATCH(271, 輔助計算!$F$2:$F$801, 0)+1)), ""), "")</f>
        <v/>
      </c>
      <c r="D272" s="10">
        <f>IFERROR(IF(INDEX(ERP資料!$E:$E, (MATCH(271, 輔助計算!$F$2:$F$801, 0)+1))="","",TRIM(INDEX(ERP資料!$E:$E, (MATCH(271, 輔助計算!$F$2:$F$801, 0)+1)))), "")</f>
        <v/>
      </c>
      <c r="E272" s="10">
        <f>IFERROR(IF(INDEX(ERP資料!$F:$F, (MATCH(271, 輔助計算!$F$2:$F$801, 0)+1))="","",INDEX(ERP資料!$F:$F, (MATCH(271, 輔助計算!$F$2:$F$801, 0)+1))), "")</f>
        <v/>
      </c>
      <c r="F272" s="10">
        <f>IFERROR(IF(INDEX(ERP資料!$G:$G, (MATCH(271, 輔助計算!$F$2:$F$801, 0)+1))="","",INDEX(ERP資料!$G:$G, (MATCH(271, 輔助計算!$F$2:$F$801, 0)+1))), "")</f>
        <v/>
      </c>
      <c r="G272" s="10">
        <f>IFERROR(IF(INDEX(ERP資料!$H:$H, (MATCH(271, 輔助計算!$F$2:$F$801, 0)+1))="","",INDEX(ERP資料!$H:$H, (MATCH(271, 輔助計算!$F$2:$F$801, 0)+1))), "")</f>
        <v/>
      </c>
      <c r="H272" s="10">
        <f>IFERROR(IF(INDEX(ERP資料!$O:$O, (MATCH(271, 輔助計算!$F$2:$F$801, 0)+1))="","",INDEX(ERP資料!$O:$O, (MATCH(271, 輔助計算!$F$2:$F$801, 0)+1))), "")</f>
        <v/>
      </c>
      <c r="I272" s="15">
        <f>IFERROR(IF(INDEX(輔助計算!$D:$D,(MATCH(271, 輔助計算!$F$2:$F$801, 0)+1))="","",INDEX(輔助計算!$D:$D,(MATCH(271, 輔助計算!$F$2:$F$801, 0)+1))*INDEX(ERP資料!$O:$O,(MATCH(271, 輔助計算!$F$2:$F$801, 0)+1))), "")</f>
        <v/>
      </c>
      <c r="J272" s="16" t="n"/>
      <c r="K272" s="15">
        <f>IFERROR(INDEX(輔助計算!$D:$D, (MATCH(271, 輔助計算!$F$2:$F$801, 0)+1)), "")</f>
        <v/>
      </c>
      <c r="L272" s="16">
        <f>IFERROR(IF(AND(IFERROR(VLOOKUP(LEFT(INDEX(ERP資料!$S:$S, (MATCH(271, 輔助計算!$F$2:$F$801, 0)+1)), 4), 100張客戶!$A:$A, 1, FALSE), "")&lt;&gt;"", OR(INDEX(ERP資料!$F:$F, (MATCH(271, 輔助計算!$F$2:$F$801, 0)+1))=270, INDEX(ERP資料!$F:$F, (MATCH(271, 輔助計算!$F$2:$F$801, 0)+1))=300)), "100張", ""), "")</f>
        <v/>
      </c>
      <c r="M272" s="17" t="n"/>
      <c r="N272" s="17">
        <f>IF($F272="","",$F272)</f>
        <v/>
      </c>
      <c r="O272" s="17">
        <f>IF($G272="","",$G272)</f>
        <v/>
      </c>
      <c r="P272" s="17">
        <f>IF($K272="","",$K272)</f>
        <v/>
      </c>
      <c r="Q272" s="16" t="n"/>
      <c r="R272" s="18" t="n"/>
      <c r="S272" s="16" t="n"/>
    </row>
    <row r="273">
      <c r="A273" s="14">
        <f>IFERROR(IF(AND(IFERROR(INDEX(ERP資料!$A:$A, (MATCH(272, 輔助計算!$F$2:$F$801, 0)+1)), "")&lt;&gt;"", IFERROR(INDEX(ERP資料!$A:$A, (MATCH(272, 輔助計算!$F$2:$F$801, 0)+1)), "")&lt;&gt;IFERROR(INDEX(ERP資料!$A:$A, MATCH(271, 輔助計算!$F$2:$F$801, 0)+1), "")), INDEX(ERP資料!$B:$B, (MATCH(272, 輔助計算!$F$2:$F$801, 0)+1)), ""), "")</f>
        <v/>
      </c>
      <c r="B273" s="10">
        <f>IFERROR(IF(AND(IFERROR(INDEX(ERP資料!$A:$A, (MATCH(272, 輔助計算!$F$2:$F$801, 0)+1)), "")&lt;&gt;"", IFERROR(INDEX(ERP資料!$A:$A, (MATCH(272, 輔助計算!$F$2:$F$801, 0)+1)), "")&lt;&gt;IFERROR(INDEX(ERP資料!$A:$A, MATCH(271, 輔助計算!$F$2:$F$801, 0)+1), "")), IFERROR(INDEX(ERP資料!$A:$A, (MATCH(272, 輔助計算!$F$2:$F$801, 0)+1)), ""), ""), "")</f>
        <v/>
      </c>
      <c r="C273" s="10">
        <f>IFERROR(IF(AND(IFERROR(INDEX(ERP資料!$A:$A, (MATCH(272, 輔助計算!$F$2:$F$801, 0)+1)), "")&lt;&gt;"", IFERROR(INDEX(ERP資料!$A:$A, (MATCH(272, 輔助計算!$F$2:$F$801, 0)+1)), "")&lt;&gt;IFERROR(INDEX(ERP資料!$A:$A, MATCH(271, 輔助計算!$F$2:$F$801, 0)+1), "")), INDEX(ERP資料!$S:$S, (MATCH(272, 輔助計算!$F$2:$F$801, 0)+1)), ""), "")</f>
        <v/>
      </c>
      <c r="D273" s="10">
        <f>IFERROR(IF(INDEX(ERP資料!$E:$E, (MATCH(272, 輔助計算!$F$2:$F$801, 0)+1))="","",TRIM(INDEX(ERP資料!$E:$E, (MATCH(272, 輔助計算!$F$2:$F$801, 0)+1)))), "")</f>
        <v/>
      </c>
      <c r="E273" s="10">
        <f>IFERROR(IF(INDEX(ERP資料!$F:$F, (MATCH(272, 輔助計算!$F$2:$F$801, 0)+1))="","",INDEX(ERP資料!$F:$F, (MATCH(272, 輔助計算!$F$2:$F$801, 0)+1))), "")</f>
        <v/>
      </c>
      <c r="F273" s="10">
        <f>IFERROR(IF(INDEX(ERP資料!$G:$G, (MATCH(272, 輔助計算!$F$2:$F$801, 0)+1))="","",INDEX(ERP資料!$G:$G, (MATCH(272, 輔助計算!$F$2:$F$801, 0)+1))), "")</f>
        <v/>
      </c>
      <c r="G273" s="10">
        <f>IFERROR(IF(INDEX(ERP資料!$H:$H, (MATCH(272, 輔助計算!$F$2:$F$801, 0)+1))="","",INDEX(ERP資料!$H:$H, (MATCH(272, 輔助計算!$F$2:$F$801, 0)+1))), "")</f>
        <v/>
      </c>
      <c r="H273" s="10">
        <f>IFERROR(IF(INDEX(ERP資料!$O:$O, (MATCH(272, 輔助計算!$F$2:$F$801, 0)+1))="","",INDEX(ERP資料!$O:$O, (MATCH(272, 輔助計算!$F$2:$F$801, 0)+1))), "")</f>
        <v/>
      </c>
      <c r="I273" s="15">
        <f>IFERROR(IF(INDEX(輔助計算!$D:$D,(MATCH(272, 輔助計算!$F$2:$F$801, 0)+1))="","",INDEX(輔助計算!$D:$D,(MATCH(272, 輔助計算!$F$2:$F$801, 0)+1))*INDEX(ERP資料!$O:$O,(MATCH(272, 輔助計算!$F$2:$F$801, 0)+1))), "")</f>
        <v/>
      </c>
      <c r="J273" s="16" t="n"/>
      <c r="K273" s="15">
        <f>IFERROR(INDEX(輔助計算!$D:$D, (MATCH(272, 輔助計算!$F$2:$F$801, 0)+1)), "")</f>
        <v/>
      </c>
      <c r="L273" s="16">
        <f>IFERROR(IF(AND(IFERROR(VLOOKUP(LEFT(INDEX(ERP資料!$S:$S, (MATCH(272, 輔助計算!$F$2:$F$801, 0)+1)), 4), 100張客戶!$A:$A, 1, FALSE), "")&lt;&gt;"", OR(INDEX(ERP資料!$F:$F, (MATCH(272, 輔助計算!$F$2:$F$801, 0)+1))=270, INDEX(ERP資料!$F:$F, (MATCH(272, 輔助計算!$F$2:$F$801, 0)+1))=300)), "100張", ""), "")</f>
        <v/>
      </c>
      <c r="M273" s="17" t="n"/>
      <c r="N273" s="17">
        <f>IF($F273="","",$F273)</f>
        <v/>
      </c>
      <c r="O273" s="17">
        <f>IF($G273="","",$G273)</f>
        <v/>
      </c>
      <c r="P273" s="17">
        <f>IF($K273="","",$K273)</f>
        <v/>
      </c>
      <c r="Q273" s="16" t="n"/>
      <c r="R273" s="18" t="n"/>
      <c r="S273" s="16" t="n"/>
    </row>
    <row r="274">
      <c r="A274" s="14">
        <f>IFERROR(IF(AND(IFERROR(INDEX(ERP資料!$A:$A, (MATCH(273, 輔助計算!$F$2:$F$801, 0)+1)), "")&lt;&gt;"", IFERROR(INDEX(ERP資料!$A:$A, (MATCH(273, 輔助計算!$F$2:$F$801, 0)+1)), "")&lt;&gt;IFERROR(INDEX(ERP資料!$A:$A, MATCH(272, 輔助計算!$F$2:$F$801, 0)+1), "")), INDEX(ERP資料!$B:$B, (MATCH(273, 輔助計算!$F$2:$F$801, 0)+1)), ""), "")</f>
        <v/>
      </c>
      <c r="B274" s="10">
        <f>IFERROR(IF(AND(IFERROR(INDEX(ERP資料!$A:$A, (MATCH(273, 輔助計算!$F$2:$F$801, 0)+1)), "")&lt;&gt;"", IFERROR(INDEX(ERP資料!$A:$A, (MATCH(273, 輔助計算!$F$2:$F$801, 0)+1)), "")&lt;&gt;IFERROR(INDEX(ERP資料!$A:$A, MATCH(272, 輔助計算!$F$2:$F$801, 0)+1), "")), IFERROR(INDEX(ERP資料!$A:$A, (MATCH(273, 輔助計算!$F$2:$F$801, 0)+1)), ""), ""), "")</f>
        <v/>
      </c>
      <c r="C274" s="10">
        <f>IFERROR(IF(AND(IFERROR(INDEX(ERP資料!$A:$A, (MATCH(273, 輔助計算!$F$2:$F$801, 0)+1)), "")&lt;&gt;"", IFERROR(INDEX(ERP資料!$A:$A, (MATCH(273, 輔助計算!$F$2:$F$801, 0)+1)), "")&lt;&gt;IFERROR(INDEX(ERP資料!$A:$A, MATCH(272, 輔助計算!$F$2:$F$801, 0)+1), "")), INDEX(ERP資料!$S:$S, (MATCH(273, 輔助計算!$F$2:$F$801, 0)+1)), ""), "")</f>
        <v/>
      </c>
      <c r="D274" s="10">
        <f>IFERROR(IF(INDEX(ERP資料!$E:$E, (MATCH(273, 輔助計算!$F$2:$F$801, 0)+1))="","",TRIM(INDEX(ERP資料!$E:$E, (MATCH(273, 輔助計算!$F$2:$F$801, 0)+1)))), "")</f>
        <v/>
      </c>
      <c r="E274" s="10">
        <f>IFERROR(IF(INDEX(ERP資料!$F:$F, (MATCH(273, 輔助計算!$F$2:$F$801, 0)+1))="","",INDEX(ERP資料!$F:$F, (MATCH(273, 輔助計算!$F$2:$F$801, 0)+1))), "")</f>
        <v/>
      </c>
      <c r="F274" s="10">
        <f>IFERROR(IF(INDEX(ERP資料!$G:$G, (MATCH(273, 輔助計算!$F$2:$F$801, 0)+1))="","",INDEX(ERP資料!$G:$G, (MATCH(273, 輔助計算!$F$2:$F$801, 0)+1))), "")</f>
        <v/>
      </c>
      <c r="G274" s="10">
        <f>IFERROR(IF(INDEX(ERP資料!$H:$H, (MATCH(273, 輔助計算!$F$2:$F$801, 0)+1))="","",INDEX(ERP資料!$H:$H, (MATCH(273, 輔助計算!$F$2:$F$801, 0)+1))), "")</f>
        <v/>
      </c>
      <c r="H274" s="10">
        <f>IFERROR(IF(INDEX(ERP資料!$O:$O, (MATCH(273, 輔助計算!$F$2:$F$801, 0)+1))="","",INDEX(ERP資料!$O:$O, (MATCH(273, 輔助計算!$F$2:$F$801, 0)+1))), "")</f>
        <v/>
      </c>
      <c r="I274" s="15">
        <f>IFERROR(IF(INDEX(輔助計算!$D:$D,(MATCH(273, 輔助計算!$F$2:$F$801, 0)+1))="","",INDEX(輔助計算!$D:$D,(MATCH(273, 輔助計算!$F$2:$F$801, 0)+1))*INDEX(ERP資料!$O:$O,(MATCH(273, 輔助計算!$F$2:$F$801, 0)+1))), "")</f>
        <v/>
      </c>
      <c r="J274" s="16" t="n"/>
      <c r="K274" s="15">
        <f>IFERROR(INDEX(輔助計算!$D:$D, (MATCH(273, 輔助計算!$F$2:$F$801, 0)+1)), "")</f>
        <v/>
      </c>
      <c r="L274" s="16">
        <f>IFERROR(IF(AND(IFERROR(VLOOKUP(LEFT(INDEX(ERP資料!$S:$S, (MATCH(273, 輔助計算!$F$2:$F$801, 0)+1)), 4), 100張客戶!$A:$A, 1, FALSE), "")&lt;&gt;"", OR(INDEX(ERP資料!$F:$F, (MATCH(273, 輔助計算!$F$2:$F$801, 0)+1))=270, INDEX(ERP資料!$F:$F, (MATCH(273, 輔助計算!$F$2:$F$801, 0)+1))=300)), "100張", ""), "")</f>
        <v/>
      </c>
      <c r="M274" s="17" t="n"/>
      <c r="N274" s="17">
        <f>IF($F274="","",$F274)</f>
        <v/>
      </c>
      <c r="O274" s="17">
        <f>IF($G274="","",$G274)</f>
        <v/>
      </c>
      <c r="P274" s="17">
        <f>IF($K274="","",$K274)</f>
        <v/>
      </c>
      <c r="Q274" s="16" t="n"/>
      <c r="R274" s="18" t="n"/>
      <c r="S274" s="16" t="n"/>
    </row>
    <row r="275">
      <c r="A275" s="14">
        <f>IFERROR(IF(AND(IFERROR(INDEX(ERP資料!$A:$A, (MATCH(274, 輔助計算!$F$2:$F$801, 0)+1)), "")&lt;&gt;"", IFERROR(INDEX(ERP資料!$A:$A, (MATCH(274, 輔助計算!$F$2:$F$801, 0)+1)), "")&lt;&gt;IFERROR(INDEX(ERP資料!$A:$A, MATCH(273, 輔助計算!$F$2:$F$801, 0)+1), "")), INDEX(ERP資料!$B:$B, (MATCH(274, 輔助計算!$F$2:$F$801, 0)+1)), ""), "")</f>
        <v/>
      </c>
      <c r="B275" s="10">
        <f>IFERROR(IF(AND(IFERROR(INDEX(ERP資料!$A:$A, (MATCH(274, 輔助計算!$F$2:$F$801, 0)+1)), "")&lt;&gt;"", IFERROR(INDEX(ERP資料!$A:$A, (MATCH(274, 輔助計算!$F$2:$F$801, 0)+1)), "")&lt;&gt;IFERROR(INDEX(ERP資料!$A:$A, MATCH(273, 輔助計算!$F$2:$F$801, 0)+1), "")), IFERROR(INDEX(ERP資料!$A:$A, (MATCH(274, 輔助計算!$F$2:$F$801, 0)+1)), ""), ""), "")</f>
        <v/>
      </c>
      <c r="C275" s="10">
        <f>IFERROR(IF(AND(IFERROR(INDEX(ERP資料!$A:$A, (MATCH(274, 輔助計算!$F$2:$F$801, 0)+1)), "")&lt;&gt;"", IFERROR(INDEX(ERP資料!$A:$A, (MATCH(274, 輔助計算!$F$2:$F$801, 0)+1)), "")&lt;&gt;IFERROR(INDEX(ERP資料!$A:$A, MATCH(273, 輔助計算!$F$2:$F$801, 0)+1), "")), INDEX(ERP資料!$S:$S, (MATCH(274, 輔助計算!$F$2:$F$801, 0)+1)), ""), "")</f>
        <v/>
      </c>
      <c r="D275" s="10">
        <f>IFERROR(IF(INDEX(ERP資料!$E:$E, (MATCH(274, 輔助計算!$F$2:$F$801, 0)+1))="","",TRIM(INDEX(ERP資料!$E:$E, (MATCH(274, 輔助計算!$F$2:$F$801, 0)+1)))), "")</f>
        <v/>
      </c>
      <c r="E275" s="10">
        <f>IFERROR(IF(INDEX(ERP資料!$F:$F, (MATCH(274, 輔助計算!$F$2:$F$801, 0)+1))="","",INDEX(ERP資料!$F:$F, (MATCH(274, 輔助計算!$F$2:$F$801, 0)+1))), "")</f>
        <v/>
      </c>
      <c r="F275" s="10">
        <f>IFERROR(IF(INDEX(ERP資料!$G:$G, (MATCH(274, 輔助計算!$F$2:$F$801, 0)+1))="","",INDEX(ERP資料!$G:$G, (MATCH(274, 輔助計算!$F$2:$F$801, 0)+1))), "")</f>
        <v/>
      </c>
      <c r="G275" s="10">
        <f>IFERROR(IF(INDEX(ERP資料!$H:$H, (MATCH(274, 輔助計算!$F$2:$F$801, 0)+1))="","",INDEX(ERP資料!$H:$H, (MATCH(274, 輔助計算!$F$2:$F$801, 0)+1))), "")</f>
        <v/>
      </c>
      <c r="H275" s="10">
        <f>IFERROR(IF(INDEX(ERP資料!$O:$O, (MATCH(274, 輔助計算!$F$2:$F$801, 0)+1))="","",INDEX(ERP資料!$O:$O, (MATCH(274, 輔助計算!$F$2:$F$801, 0)+1))), "")</f>
        <v/>
      </c>
      <c r="I275" s="15">
        <f>IFERROR(IF(INDEX(輔助計算!$D:$D,(MATCH(274, 輔助計算!$F$2:$F$801, 0)+1))="","",INDEX(輔助計算!$D:$D,(MATCH(274, 輔助計算!$F$2:$F$801, 0)+1))*INDEX(ERP資料!$O:$O,(MATCH(274, 輔助計算!$F$2:$F$801, 0)+1))), "")</f>
        <v/>
      </c>
      <c r="J275" s="16" t="n"/>
      <c r="K275" s="15">
        <f>IFERROR(INDEX(輔助計算!$D:$D, (MATCH(274, 輔助計算!$F$2:$F$801, 0)+1)), "")</f>
        <v/>
      </c>
      <c r="L275" s="16">
        <f>IFERROR(IF(AND(IFERROR(VLOOKUP(LEFT(INDEX(ERP資料!$S:$S, (MATCH(274, 輔助計算!$F$2:$F$801, 0)+1)), 4), 100張客戶!$A:$A, 1, FALSE), "")&lt;&gt;"", OR(INDEX(ERP資料!$F:$F, (MATCH(274, 輔助計算!$F$2:$F$801, 0)+1))=270, INDEX(ERP資料!$F:$F, (MATCH(274, 輔助計算!$F$2:$F$801, 0)+1))=300)), "100張", ""), "")</f>
        <v/>
      </c>
      <c r="M275" s="17" t="n"/>
      <c r="N275" s="17">
        <f>IF($F275="","",$F275)</f>
        <v/>
      </c>
      <c r="O275" s="17">
        <f>IF($G275="","",$G275)</f>
        <v/>
      </c>
      <c r="P275" s="17">
        <f>IF($K275="","",$K275)</f>
        <v/>
      </c>
      <c r="Q275" s="16" t="n"/>
      <c r="R275" s="18" t="n"/>
      <c r="S275" s="16" t="n"/>
    </row>
    <row r="276">
      <c r="A276" s="14">
        <f>IFERROR(IF(AND(IFERROR(INDEX(ERP資料!$A:$A, (MATCH(275, 輔助計算!$F$2:$F$801, 0)+1)), "")&lt;&gt;"", IFERROR(INDEX(ERP資料!$A:$A, (MATCH(275, 輔助計算!$F$2:$F$801, 0)+1)), "")&lt;&gt;IFERROR(INDEX(ERP資料!$A:$A, MATCH(274, 輔助計算!$F$2:$F$801, 0)+1), "")), INDEX(ERP資料!$B:$B, (MATCH(275, 輔助計算!$F$2:$F$801, 0)+1)), ""), "")</f>
        <v/>
      </c>
      <c r="B276" s="10">
        <f>IFERROR(IF(AND(IFERROR(INDEX(ERP資料!$A:$A, (MATCH(275, 輔助計算!$F$2:$F$801, 0)+1)), "")&lt;&gt;"", IFERROR(INDEX(ERP資料!$A:$A, (MATCH(275, 輔助計算!$F$2:$F$801, 0)+1)), "")&lt;&gt;IFERROR(INDEX(ERP資料!$A:$A, MATCH(274, 輔助計算!$F$2:$F$801, 0)+1), "")), IFERROR(INDEX(ERP資料!$A:$A, (MATCH(275, 輔助計算!$F$2:$F$801, 0)+1)), ""), ""), "")</f>
        <v/>
      </c>
      <c r="C276" s="10">
        <f>IFERROR(IF(AND(IFERROR(INDEX(ERP資料!$A:$A, (MATCH(275, 輔助計算!$F$2:$F$801, 0)+1)), "")&lt;&gt;"", IFERROR(INDEX(ERP資料!$A:$A, (MATCH(275, 輔助計算!$F$2:$F$801, 0)+1)), "")&lt;&gt;IFERROR(INDEX(ERP資料!$A:$A, MATCH(274, 輔助計算!$F$2:$F$801, 0)+1), "")), INDEX(ERP資料!$S:$S, (MATCH(275, 輔助計算!$F$2:$F$801, 0)+1)), ""), "")</f>
        <v/>
      </c>
      <c r="D276" s="10">
        <f>IFERROR(IF(INDEX(ERP資料!$E:$E, (MATCH(275, 輔助計算!$F$2:$F$801, 0)+1))="","",TRIM(INDEX(ERP資料!$E:$E, (MATCH(275, 輔助計算!$F$2:$F$801, 0)+1)))), "")</f>
        <v/>
      </c>
      <c r="E276" s="10">
        <f>IFERROR(IF(INDEX(ERP資料!$F:$F, (MATCH(275, 輔助計算!$F$2:$F$801, 0)+1))="","",INDEX(ERP資料!$F:$F, (MATCH(275, 輔助計算!$F$2:$F$801, 0)+1))), "")</f>
        <v/>
      </c>
      <c r="F276" s="10">
        <f>IFERROR(IF(INDEX(ERP資料!$G:$G, (MATCH(275, 輔助計算!$F$2:$F$801, 0)+1))="","",INDEX(ERP資料!$G:$G, (MATCH(275, 輔助計算!$F$2:$F$801, 0)+1))), "")</f>
        <v/>
      </c>
      <c r="G276" s="10">
        <f>IFERROR(IF(INDEX(ERP資料!$H:$H, (MATCH(275, 輔助計算!$F$2:$F$801, 0)+1))="","",INDEX(ERP資料!$H:$H, (MATCH(275, 輔助計算!$F$2:$F$801, 0)+1))), "")</f>
        <v/>
      </c>
      <c r="H276" s="10">
        <f>IFERROR(IF(INDEX(ERP資料!$O:$O, (MATCH(275, 輔助計算!$F$2:$F$801, 0)+1))="","",INDEX(ERP資料!$O:$O, (MATCH(275, 輔助計算!$F$2:$F$801, 0)+1))), "")</f>
        <v/>
      </c>
      <c r="I276" s="15">
        <f>IFERROR(IF(INDEX(輔助計算!$D:$D,(MATCH(275, 輔助計算!$F$2:$F$801, 0)+1))="","",INDEX(輔助計算!$D:$D,(MATCH(275, 輔助計算!$F$2:$F$801, 0)+1))*INDEX(ERP資料!$O:$O,(MATCH(275, 輔助計算!$F$2:$F$801, 0)+1))), "")</f>
        <v/>
      </c>
      <c r="J276" s="16" t="n"/>
      <c r="K276" s="15">
        <f>IFERROR(INDEX(輔助計算!$D:$D, (MATCH(275, 輔助計算!$F$2:$F$801, 0)+1)), "")</f>
        <v/>
      </c>
      <c r="L276" s="16">
        <f>IFERROR(IF(AND(IFERROR(VLOOKUP(LEFT(INDEX(ERP資料!$S:$S, (MATCH(275, 輔助計算!$F$2:$F$801, 0)+1)), 4), 100張客戶!$A:$A, 1, FALSE), "")&lt;&gt;"", OR(INDEX(ERP資料!$F:$F, (MATCH(275, 輔助計算!$F$2:$F$801, 0)+1))=270, INDEX(ERP資料!$F:$F, (MATCH(275, 輔助計算!$F$2:$F$801, 0)+1))=300)), "100張", ""), "")</f>
        <v/>
      </c>
      <c r="M276" s="17" t="n"/>
      <c r="N276" s="17">
        <f>IF($F276="","",$F276)</f>
        <v/>
      </c>
      <c r="O276" s="17">
        <f>IF($G276="","",$G276)</f>
        <v/>
      </c>
      <c r="P276" s="17">
        <f>IF($K276="","",$K276)</f>
        <v/>
      </c>
      <c r="Q276" s="16" t="n"/>
      <c r="R276" s="18" t="n"/>
      <c r="S276" s="16" t="n"/>
    </row>
    <row r="277">
      <c r="A277" s="14">
        <f>IFERROR(IF(AND(IFERROR(INDEX(ERP資料!$A:$A, (MATCH(276, 輔助計算!$F$2:$F$801, 0)+1)), "")&lt;&gt;"", IFERROR(INDEX(ERP資料!$A:$A, (MATCH(276, 輔助計算!$F$2:$F$801, 0)+1)), "")&lt;&gt;IFERROR(INDEX(ERP資料!$A:$A, MATCH(275, 輔助計算!$F$2:$F$801, 0)+1), "")), INDEX(ERP資料!$B:$B, (MATCH(276, 輔助計算!$F$2:$F$801, 0)+1)), ""), "")</f>
        <v/>
      </c>
      <c r="B277" s="10">
        <f>IFERROR(IF(AND(IFERROR(INDEX(ERP資料!$A:$A, (MATCH(276, 輔助計算!$F$2:$F$801, 0)+1)), "")&lt;&gt;"", IFERROR(INDEX(ERP資料!$A:$A, (MATCH(276, 輔助計算!$F$2:$F$801, 0)+1)), "")&lt;&gt;IFERROR(INDEX(ERP資料!$A:$A, MATCH(275, 輔助計算!$F$2:$F$801, 0)+1), "")), IFERROR(INDEX(ERP資料!$A:$A, (MATCH(276, 輔助計算!$F$2:$F$801, 0)+1)), ""), ""), "")</f>
        <v/>
      </c>
      <c r="C277" s="10">
        <f>IFERROR(IF(AND(IFERROR(INDEX(ERP資料!$A:$A, (MATCH(276, 輔助計算!$F$2:$F$801, 0)+1)), "")&lt;&gt;"", IFERROR(INDEX(ERP資料!$A:$A, (MATCH(276, 輔助計算!$F$2:$F$801, 0)+1)), "")&lt;&gt;IFERROR(INDEX(ERP資料!$A:$A, MATCH(275, 輔助計算!$F$2:$F$801, 0)+1), "")), INDEX(ERP資料!$S:$S, (MATCH(276, 輔助計算!$F$2:$F$801, 0)+1)), ""), "")</f>
        <v/>
      </c>
      <c r="D277" s="10">
        <f>IFERROR(IF(INDEX(ERP資料!$E:$E, (MATCH(276, 輔助計算!$F$2:$F$801, 0)+1))="","",TRIM(INDEX(ERP資料!$E:$E, (MATCH(276, 輔助計算!$F$2:$F$801, 0)+1)))), "")</f>
        <v/>
      </c>
      <c r="E277" s="10">
        <f>IFERROR(IF(INDEX(ERP資料!$F:$F, (MATCH(276, 輔助計算!$F$2:$F$801, 0)+1))="","",INDEX(ERP資料!$F:$F, (MATCH(276, 輔助計算!$F$2:$F$801, 0)+1))), "")</f>
        <v/>
      </c>
      <c r="F277" s="10">
        <f>IFERROR(IF(INDEX(ERP資料!$G:$G, (MATCH(276, 輔助計算!$F$2:$F$801, 0)+1))="","",INDEX(ERP資料!$G:$G, (MATCH(276, 輔助計算!$F$2:$F$801, 0)+1))), "")</f>
        <v/>
      </c>
      <c r="G277" s="10">
        <f>IFERROR(IF(INDEX(ERP資料!$H:$H, (MATCH(276, 輔助計算!$F$2:$F$801, 0)+1))="","",INDEX(ERP資料!$H:$H, (MATCH(276, 輔助計算!$F$2:$F$801, 0)+1))), "")</f>
        <v/>
      </c>
      <c r="H277" s="10">
        <f>IFERROR(IF(INDEX(ERP資料!$O:$O, (MATCH(276, 輔助計算!$F$2:$F$801, 0)+1))="","",INDEX(ERP資料!$O:$O, (MATCH(276, 輔助計算!$F$2:$F$801, 0)+1))), "")</f>
        <v/>
      </c>
      <c r="I277" s="15">
        <f>IFERROR(IF(INDEX(輔助計算!$D:$D,(MATCH(276, 輔助計算!$F$2:$F$801, 0)+1))="","",INDEX(輔助計算!$D:$D,(MATCH(276, 輔助計算!$F$2:$F$801, 0)+1))*INDEX(ERP資料!$O:$O,(MATCH(276, 輔助計算!$F$2:$F$801, 0)+1))), "")</f>
        <v/>
      </c>
      <c r="J277" s="16" t="n"/>
      <c r="K277" s="15">
        <f>IFERROR(INDEX(輔助計算!$D:$D, (MATCH(276, 輔助計算!$F$2:$F$801, 0)+1)), "")</f>
        <v/>
      </c>
      <c r="L277" s="16">
        <f>IFERROR(IF(AND(IFERROR(VLOOKUP(LEFT(INDEX(ERP資料!$S:$S, (MATCH(276, 輔助計算!$F$2:$F$801, 0)+1)), 4), 100張客戶!$A:$A, 1, FALSE), "")&lt;&gt;"", OR(INDEX(ERP資料!$F:$F, (MATCH(276, 輔助計算!$F$2:$F$801, 0)+1))=270, INDEX(ERP資料!$F:$F, (MATCH(276, 輔助計算!$F$2:$F$801, 0)+1))=300)), "100張", ""), "")</f>
        <v/>
      </c>
      <c r="M277" s="17" t="n"/>
      <c r="N277" s="17">
        <f>IF($F277="","",$F277)</f>
        <v/>
      </c>
      <c r="O277" s="17">
        <f>IF($G277="","",$G277)</f>
        <v/>
      </c>
      <c r="P277" s="17">
        <f>IF($K277="","",$K277)</f>
        <v/>
      </c>
      <c r="Q277" s="16" t="n"/>
      <c r="R277" s="18" t="n"/>
      <c r="S277" s="16" t="n"/>
    </row>
    <row r="278">
      <c r="A278" s="14">
        <f>IFERROR(IF(AND(IFERROR(INDEX(ERP資料!$A:$A, (MATCH(277, 輔助計算!$F$2:$F$801, 0)+1)), "")&lt;&gt;"", IFERROR(INDEX(ERP資料!$A:$A, (MATCH(277, 輔助計算!$F$2:$F$801, 0)+1)), "")&lt;&gt;IFERROR(INDEX(ERP資料!$A:$A, MATCH(276, 輔助計算!$F$2:$F$801, 0)+1), "")), INDEX(ERP資料!$B:$B, (MATCH(277, 輔助計算!$F$2:$F$801, 0)+1)), ""), "")</f>
        <v/>
      </c>
      <c r="B278" s="10">
        <f>IFERROR(IF(AND(IFERROR(INDEX(ERP資料!$A:$A, (MATCH(277, 輔助計算!$F$2:$F$801, 0)+1)), "")&lt;&gt;"", IFERROR(INDEX(ERP資料!$A:$A, (MATCH(277, 輔助計算!$F$2:$F$801, 0)+1)), "")&lt;&gt;IFERROR(INDEX(ERP資料!$A:$A, MATCH(276, 輔助計算!$F$2:$F$801, 0)+1), "")), IFERROR(INDEX(ERP資料!$A:$A, (MATCH(277, 輔助計算!$F$2:$F$801, 0)+1)), ""), ""), "")</f>
        <v/>
      </c>
      <c r="C278" s="10">
        <f>IFERROR(IF(AND(IFERROR(INDEX(ERP資料!$A:$A, (MATCH(277, 輔助計算!$F$2:$F$801, 0)+1)), "")&lt;&gt;"", IFERROR(INDEX(ERP資料!$A:$A, (MATCH(277, 輔助計算!$F$2:$F$801, 0)+1)), "")&lt;&gt;IFERROR(INDEX(ERP資料!$A:$A, MATCH(276, 輔助計算!$F$2:$F$801, 0)+1), "")), INDEX(ERP資料!$S:$S, (MATCH(277, 輔助計算!$F$2:$F$801, 0)+1)), ""), "")</f>
        <v/>
      </c>
      <c r="D278" s="10">
        <f>IFERROR(IF(INDEX(ERP資料!$E:$E, (MATCH(277, 輔助計算!$F$2:$F$801, 0)+1))="","",TRIM(INDEX(ERP資料!$E:$E, (MATCH(277, 輔助計算!$F$2:$F$801, 0)+1)))), "")</f>
        <v/>
      </c>
      <c r="E278" s="10">
        <f>IFERROR(IF(INDEX(ERP資料!$F:$F, (MATCH(277, 輔助計算!$F$2:$F$801, 0)+1))="","",INDEX(ERP資料!$F:$F, (MATCH(277, 輔助計算!$F$2:$F$801, 0)+1))), "")</f>
        <v/>
      </c>
      <c r="F278" s="10">
        <f>IFERROR(IF(INDEX(ERP資料!$G:$G, (MATCH(277, 輔助計算!$F$2:$F$801, 0)+1))="","",INDEX(ERP資料!$G:$G, (MATCH(277, 輔助計算!$F$2:$F$801, 0)+1))), "")</f>
        <v/>
      </c>
      <c r="G278" s="10">
        <f>IFERROR(IF(INDEX(ERP資料!$H:$H, (MATCH(277, 輔助計算!$F$2:$F$801, 0)+1))="","",INDEX(ERP資料!$H:$H, (MATCH(277, 輔助計算!$F$2:$F$801, 0)+1))), "")</f>
        <v/>
      </c>
      <c r="H278" s="10">
        <f>IFERROR(IF(INDEX(ERP資料!$O:$O, (MATCH(277, 輔助計算!$F$2:$F$801, 0)+1))="","",INDEX(ERP資料!$O:$O, (MATCH(277, 輔助計算!$F$2:$F$801, 0)+1))), "")</f>
        <v/>
      </c>
      <c r="I278" s="15">
        <f>IFERROR(IF(INDEX(輔助計算!$D:$D,(MATCH(277, 輔助計算!$F$2:$F$801, 0)+1))="","",INDEX(輔助計算!$D:$D,(MATCH(277, 輔助計算!$F$2:$F$801, 0)+1))*INDEX(ERP資料!$O:$O,(MATCH(277, 輔助計算!$F$2:$F$801, 0)+1))), "")</f>
        <v/>
      </c>
      <c r="J278" s="16" t="n"/>
      <c r="K278" s="15">
        <f>IFERROR(INDEX(輔助計算!$D:$D, (MATCH(277, 輔助計算!$F$2:$F$801, 0)+1)), "")</f>
        <v/>
      </c>
      <c r="L278" s="16">
        <f>IFERROR(IF(AND(IFERROR(VLOOKUP(LEFT(INDEX(ERP資料!$S:$S, (MATCH(277, 輔助計算!$F$2:$F$801, 0)+1)), 4), 100張客戶!$A:$A, 1, FALSE), "")&lt;&gt;"", OR(INDEX(ERP資料!$F:$F, (MATCH(277, 輔助計算!$F$2:$F$801, 0)+1))=270, INDEX(ERP資料!$F:$F, (MATCH(277, 輔助計算!$F$2:$F$801, 0)+1))=300)), "100張", ""), "")</f>
        <v/>
      </c>
      <c r="M278" s="17" t="n"/>
      <c r="N278" s="17">
        <f>IF($F278="","",$F278)</f>
        <v/>
      </c>
      <c r="O278" s="17">
        <f>IF($G278="","",$G278)</f>
        <v/>
      </c>
      <c r="P278" s="17">
        <f>IF($K278="","",$K278)</f>
        <v/>
      </c>
      <c r="Q278" s="16" t="n"/>
      <c r="R278" s="18" t="n"/>
      <c r="S278" s="16" t="n"/>
    </row>
    <row r="279">
      <c r="A279" s="14">
        <f>IFERROR(IF(AND(IFERROR(INDEX(ERP資料!$A:$A, (MATCH(278, 輔助計算!$F$2:$F$801, 0)+1)), "")&lt;&gt;"", IFERROR(INDEX(ERP資料!$A:$A, (MATCH(278, 輔助計算!$F$2:$F$801, 0)+1)), "")&lt;&gt;IFERROR(INDEX(ERP資料!$A:$A, MATCH(277, 輔助計算!$F$2:$F$801, 0)+1), "")), INDEX(ERP資料!$B:$B, (MATCH(278, 輔助計算!$F$2:$F$801, 0)+1)), ""), "")</f>
        <v/>
      </c>
      <c r="B279" s="10">
        <f>IFERROR(IF(AND(IFERROR(INDEX(ERP資料!$A:$A, (MATCH(278, 輔助計算!$F$2:$F$801, 0)+1)), "")&lt;&gt;"", IFERROR(INDEX(ERP資料!$A:$A, (MATCH(278, 輔助計算!$F$2:$F$801, 0)+1)), "")&lt;&gt;IFERROR(INDEX(ERP資料!$A:$A, MATCH(277, 輔助計算!$F$2:$F$801, 0)+1), "")), IFERROR(INDEX(ERP資料!$A:$A, (MATCH(278, 輔助計算!$F$2:$F$801, 0)+1)), ""), ""), "")</f>
        <v/>
      </c>
      <c r="C279" s="10">
        <f>IFERROR(IF(AND(IFERROR(INDEX(ERP資料!$A:$A, (MATCH(278, 輔助計算!$F$2:$F$801, 0)+1)), "")&lt;&gt;"", IFERROR(INDEX(ERP資料!$A:$A, (MATCH(278, 輔助計算!$F$2:$F$801, 0)+1)), "")&lt;&gt;IFERROR(INDEX(ERP資料!$A:$A, MATCH(277, 輔助計算!$F$2:$F$801, 0)+1), "")), INDEX(ERP資料!$S:$S, (MATCH(278, 輔助計算!$F$2:$F$801, 0)+1)), ""), "")</f>
        <v/>
      </c>
      <c r="D279" s="10">
        <f>IFERROR(IF(INDEX(ERP資料!$E:$E, (MATCH(278, 輔助計算!$F$2:$F$801, 0)+1))="","",TRIM(INDEX(ERP資料!$E:$E, (MATCH(278, 輔助計算!$F$2:$F$801, 0)+1)))), "")</f>
        <v/>
      </c>
      <c r="E279" s="10">
        <f>IFERROR(IF(INDEX(ERP資料!$F:$F, (MATCH(278, 輔助計算!$F$2:$F$801, 0)+1))="","",INDEX(ERP資料!$F:$F, (MATCH(278, 輔助計算!$F$2:$F$801, 0)+1))), "")</f>
        <v/>
      </c>
      <c r="F279" s="10">
        <f>IFERROR(IF(INDEX(ERP資料!$G:$G, (MATCH(278, 輔助計算!$F$2:$F$801, 0)+1))="","",INDEX(ERP資料!$G:$G, (MATCH(278, 輔助計算!$F$2:$F$801, 0)+1))), "")</f>
        <v/>
      </c>
      <c r="G279" s="10">
        <f>IFERROR(IF(INDEX(ERP資料!$H:$H, (MATCH(278, 輔助計算!$F$2:$F$801, 0)+1))="","",INDEX(ERP資料!$H:$H, (MATCH(278, 輔助計算!$F$2:$F$801, 0)+1))), "")</f>
        <v/>
      </c>
      <c r="H279" s="10">
        <f>IFERROR(IF(INDEX(ERP資料!$O:$O, (MATCH(278, 輔助計算!$F$2:$F$801, 0)+1))="","",INDEX(ERP資料!$O:$O, (MATCH(278, 輔助計算!$F$2:$F$801, 0)+1))), "")</f>
        <v/>
      </c>
      <c r="I279" s="15">
        <f>IFERROR(IF(INDEX(輔助計算!$D:$D,(MATCH(278, 輔助計算!$F$2:$F$801, 0)+1))="","",INDEX(輔助計算!$D:$D,(MATCH(278, 輔助計算!$F$2:$F$801, 0)+1))*INDEX(ERP資料!$O:$O,(MATCH(278, 輔助計算!$F$2:$F$801, 0)+1))), "")</f>
        <v/>
      </c>
      <c r="J279" s="16" t="n"/>
      <c r="K279" s="15">
        <f>IFERROR(INDEX(輔助計算!$D:$D, (MATCH(278, 輔助計算!$F$2:$F$801, 0)+1)), "")</f>
        <v/>
      </c>
      <c r="L279" s="16">
        <f>IFERROR(IF(AND(IFERROR(VLOOKUP(LEFT(INDEX(ERP資料!$S:$S, (MATCH(278, 輔助計算!$F$2:$F$801, 0)+1)), 4), 100張客戶!$A:$A, 1, FALSE), "")&lt;&gt;"", OR(INDEX(ERP資料!$F:$F, (MATCH(278, 輔助計算!$F$2:$F$801, 0)+1))=270, INDEX(ERP資料!$F:$F, (MATCH(278, 輔助計算!$F$2:$F$801, 0)+1))=300)), "100張", ""), "")</f>
        <v/>
      </c>
      <c r="M279" s="17" t="n"/>
      <c r="N279" s="17">
        <f>IF($F279="","",$F279)</f>
        <v/>
      </c>
      <c r="O279" s="17">
        <f>IF($G279="","",$G279)</f>
        <v/>
      </c>
      <c r="P279" s="17">
        <f>IF($K279="","",$K279)</f>
        <v/>
      </c>
      <c r="Q279" s="16" t="n"/>
      <c r="R279" s="18" t="n"/>
      <c r="S279" s="16" t="n"/>
    </row>
    <row r="280">
      <c r="A280" s="14">
        <f>IFERROR(IF(AND(IFERROR(INDEX(ERP資料!$A:$A, (MATCH(279, 輔助計算!$F$2:$F$801, 0)+1)), "")&lt;&gt;"", IFERROR(INDEX(ERP資料!$A:$A, (MATCH(279, 輔助計算!$F$2:$F$801, 0)+1)), "")&lt;&gt;IFERROR(INDEX(ERP資料!$A:$A, MATCH(278, 輔助計算!$F$2:$F$801, 0)+1), "")), INDEX(ERP資料!$B:$B, (MATCH(279, 輔助計算!$F$2:$F$801, 0)+1)), ""), "")</f>
        <v/>
      </c>
      <c r="B280" s="10">
        <f>IFERROR(IF(AND(IFERROR(INDEX(ERP資料!$A:$A, (MATCH(279, 輔助計算!$F$2:$F$801, 0)+1)), "")&lt;&gt;"", IFERROR(INDEX(ERP資料!$A:$A, (MATCH(279, 輔助計算!$F$2:$F$801, 0)+1)), "")&lt;&gt;IFERROR(INDEX(ERP資料!$A:$A, MATCH(278, 輔助計算!$F$2:$F$801, 0)+1), "")), IFERROR(INDEX(ERP資料!$A:$A, (MATCH(279, 輔助計算!$F$2:$F$801, 0)+1)), ""), ""), "")</f>
        <v/>
      </c>
      <c r="C280" s="10">
        <f>IFERROR(IF(AND(IFERROR(INDEX(ERP資料!$A:$A, (MATCH(279, 輔助計算!$F$2:$F$801, 0)+1)), "")&lt;&gt;"", IFERROR(INDEX(ERP資料!$A:$A, (MATCH(279, 輔助計算!$F$2:$F$801, 0)+1)), "")&lt;&gt;IFERROR(INDEX(ERP資料!$A:$A, MATCH(278, 輔助計算!$F$2:$F$801, 0)+1), "")), INDEX(ERP資料!$S:$S, (MATCH(279, 輔助計算!$F$2:$F$801, 0)+1)), ""), "")</f>
        <v/>
      </c>
      <c r="D280" s="10">
        <f>IFERROR(IF(INDEX(ERP資料!$E:$E, (MATCH(279, 輔助計算!$F$2:$F$801, 0)+1))="","",TRIM(INDEX(ERP資料!$E:$E, (MATCH(279, 輔助計算!$F$2:$F$801, 0)+1)))), "")</f>
        <v/>
      </c>
      <c r="E280" s="10">
        <f>IFERROR(IF(INDEX(ERP資料!$F:$F, (MATCH(279, 輔助計算!$F$2:$F$801, 0)+1))="","",INDEX(ERP資料!$F:$F, (MATCH(279, 輔助計算!$F$2:$F$801, 0)+1))), "")</f>
        <v/>
      </c>
      <c r="F280" s="10">
        <f>IFERROR(IF(INDEX(ERP資料!$G:$G, (MATCH(279, 輔助計算!$F$2:$F$801, 0)+1))="","",INDEX(ERP資料!$G:$G, (MATCH(279, 輔助計算!$F$2:$F$801, 0)+1))), "")</f>
        <v/>
      </c>
      <c r="G280" s="10">
        <f>IFERROR(IF(INDEX(ERP資料!$H:$H, (MATCH(279, 輔助計算!$F$2:$F$801, 0)+1))="","",INDEX(ERP資料!$H:$H, (MATCH(279, 輔助計算!$F$2:$F$801, 0)+1))), "")</f>
        <v/>
      </c>
      <c r="H280" s="10">
        <f>IFERROR(IF(INDEX(ERP資料!$O:$O, (MATCH(279, 輔助計算!$F$2:$F$801, 0)+1))="","",INDEX(ERP資料!$O:$O, (MATCH(279, 輔助計算!$F$2:$F$801, 0)+1))), "")</f>
        <v/>
      </c>
      <c r="I280" s="15">
        <f>IFERROR(IF(INDEX(輔助計算!$D:$D,(MATCH(279, 輔助計算!$F$2:$F$801, 0)+1))="","",INDEX(輔助計算!$D:$D,(MATCH(279, 輔助計算!$F$2:$F$801, 0)+1))*INDEX(ERP資料!$O:$O,(MATCH(279, 輔助計算!$F$2:$F$801, 0)+1))), "")</f>
        <v/>
      </c>
      <c r="J280" s="16" t="n"/>
      <c r="K280" s="15">
        <f>IFERROR(INDEX(輔助計算!$D:$D, (MATCH(279, 輔助計算!$F$2:$F$801, 0)+1)), "")</f>
        <v/>
      </c>
      <c r="L280" s="16">
        <f>IFERROR(IF(AND(IFERROR(VLOOKUP(LEFT(INDEX(ERP資料!$S:$S, (MATCH(279, 輔助計算!$F$2:$F$801, 0)+1)), 4), 100張客戶!$A:$A, 1, FALSE), "")&lt;&gt;"", OR(INDEX(ERP資料!$F:$F, (MATCH(279, 輔助計算!$F$2:$F$801, 0)+1))=270, INDEX(ERP資料!$F:$F, (MATCH(279, 輔助計算!$F$2:$F$801, 0)+1))=300)), "100張", ""), "")</f>
        <v/>
      </c>
      <c r="M280" s="17" t="n"/>
      <c r="N280" s="17">
        <f>IF($F280="","",$F280)</f>
        <v/>
      </c>
      <c r="O280" s="17">
        <f>IF($G280="","",$G280)</f>
        <v/>
      </c>
      <c r="P280" s="17">
        <f>IF($K280="","",$K280)</f>
        <v/>
      </c>
      <c r="Q280" s="16" t="n"/>
      <c r="R280" s="18" t="n"/>
      <c r="S280" s="16" t="n"/>
    </row>
    <row r="281">
      <c r="A281" s="14">
        <f>IFERROR(IF(AND(IFERROR(INDEX(ERP資料!$A:$A, (MATCH(280, 輔助計算!$F$2:$F$801, 0)+1)), "")&lt;&gt;"", IFERROR(INDEX(ERP資料!$A:$A, (MATCH(280, 輔助計算!$F$2:$F$801, 0)+1)), "")&lt;&gt;IFERROR(INDEX(ERP資料!$A:$A, MATCH(279, 輔助計算!$F$2:$F$801, 0)+1), "")), INDEX(ERP資料!$B:$B, (MATCH(280, 輔助計算!$F$2:$F$801, 0)+1)), ""), "")</f>
        <v/>
      </c>
      <c r="B281" s="10">
        <f>IFERROR(IF(AND(IFERROR(INDEX(ERP資料!$A:$A, (MATCH(280, 輔助計算!$F$2:$F$801, 0)+1)), "")&lt;&gt;"", IFERROR(INDEX(ERP資料!$A:$A, (MATCH(280, 輔助計算!$F$2:$F$801, 0)+1)), "")&lt;&gt;IFERROR(INDEX(ERP資料!$A:$A, MATCH(279, 輔助計算!$F$2:$F$801, 0)+1), "")), IFERROR(INDEX(ERP資料!$A:$A, (MATCH(280, 輔助計算!$F$2:$F$801, 0)+1)), ""), ""), "")</f>
        <v/>
      </c>
      <c r="C281" s="10">
        <f>IFERROR(IF(AND(IFERROR(INDEX(ERP資料!$A:$A, (MATCH(280, 輔助計算!$F$2:$F$801, 0)+1)), "")&lt;&gt;"", IFERROR(INDEX(ERP資料!$A:$A, (MATCH(280, 輔助計算!$F$2:$F$801, 0)+1)), "")&lt;&gt;IFERROR(INDEX(ERP資料!$A:$A, MATCH(279, 輔助計算!$F$2:$F$801, 0)+1), "")), INDEX(ERP資料!$S:$S, (MATCH(280, 輔助計算!$F$2:$F$801, 0)+1)), ""), "")</f>
        <v/>
      </c>
      <c r="D281" s="10">
        <f>IFERROR(IF(INDEX(ERP資料!$E:$E, (MATCH(280, 輔助計算!$F$2:$F$801, 0)+1))="","",TRIM(INDEX(ERP資料!$E:$E, (MATCH(280, 輔助計算!$F$2:$F$801, 0)+1)))), "")</f>
        <v/>
      </c>
      <c r="E281" s="10">
        <f>IFERROR(IF(INDEX(ERP資料!$F:$F, (MATCH(280, 輔助計算!$F$2:$F$801, 0)+1))="","",INDEX(ERP資料!$F:$F, (MATCH(280, 輔助計算!$F$2:$F$801, 0)+1))), "")</f>
        <v/>
      </c>
      <c r="F281" s="10">
        <f>IFERROR(IF(INDEX(ERP資料!$G:$G, (MATCH(280, 輔助計算!$F$2:$F$801, 0)+1))="","",INDEX(ERP資料!$G:$G, (MATCH(280, 輔助計算!$F$2:$F$801, 0)+1))), "")</f>
        <v/>
      </c>
      <c r="G281" s="10">
        <f>IFERROR(IF(INDEX(ERP資料!$H:$H, (MATCH(280, 輔助計算!$F$2:$F$801, 0)+1))="","",INDEX(ERP資料!$H:$H, (MATCH(280, 輔助計算!$F$2:$F$801, 0)+1))), "")</f>
        <v/>
      </c>
      <c r="H281" s="10">
        <f>IFERROR(IF(INDEX(ERP資料!$O:$O, (MATCH(280, 輔助計算!$F$2:$F$801, 0)+1))="","",INDEX(ERP資料!$O:$O, (MATCH(280, 輔助計算!$F$2:$F$801, 0)+1))), "")</f>
        <v/>
      </c>
      <c r="I281" s="15">
        <f>IFERROR(IF(INDEX(輔助計算!$D:$D,(MATCH(280, 輔助計算!$F$2:$F$801, 0)+1))="","",INDEX(輔助計算!$D:$D,(MATCH(280, 輔助計算!$F$2:$F$801, 0)+1))*INDEX(ERP資料!$O:$O,(MATCH(280, 輔助計算!$F$2:$F$801, 0)+1))), "")</f>
        <v/>
      </c>
      <c r="J281" s="16" t="n"/>
      <c r="K281" s="15">
        <f>IFERROR(INDEX(輔助計算!$D:$D, (MATCH(280, 輔助計算!$F$2:$F$801, 0)+1)), "")</f>
        <v/>
      </c>
      <c r="L281" s="16">
        <f>IFERROR(IF(AND(IFERROR(VLOOKUP(LEFT(INDEX(ERP資料!$S:$S, (MATCH(280, 輔助計算!$F$2:$F$801, 0)+1)), 4), 100張客戶!$A:$A, 1, FALSE), "")&lt;&gt;"", OR(INDEX(ERP資料!$F:$F, (MATCH(280, 輔助計算!$F$2:$F$801, 0)+1))=270, INDEX(ERP資料!$F:$F, (MATCH(280, 輔助計算!$F$2:$F$801, 0)+1))=300)), "100張", ""), "")</f>
        <v/>
      </c>
      <c r="M281" s="17" t="n"/>
      <c r="N281" s="17">
        <f>IF($F281="","",$F281)</f>
        <v/>
      </c>
      <c r="O281" s="17">
        <f>IF($G281="","",$G281)</f>
        <v/>
      </c>
      <c r="P281" s="17">
        <f>IF($K281="","",$K281)</f>
        <v/>
      </c>
      <c r="Q281" s="16" t="n"/>
      <c r="R281" s="18" t="n"/>
      <c r="S281" s="16" t="n"/>
    </row>
    <row r="282">
      <c r="A282" s="14">
        <f>IFERROR(IF(AND(IFERROR(INDEX(ERP資料!$A:$A, (MATCH(281, 輔助計算!$F$2:$F$801, 0)+1)), "")&lt;&gt;"", IFERROR(INDEX(ERP資料!$A:$A, (MATCH(281, 輔助計算!$F$2:$F$801, 0)+1)), "")&lt;&gt;IFERROR(INDEX(ERP資料!$A:$A, MATCH(280, 輔助計算!$F$2:$F$801, 0)+1), "")), INDEX(ERP資料!$B:$B, (MATCH(281, 輔助計算!$F$2:$F$801, 0)+1)), ""), "")</f>
        <v/>
      </c>
      <c r="B282" s="10">
        <f>IFERROR(IF(AND(IFERROR(INDEX(ERP資料!$A:$A, (MATCH(281, 輔助計算!$F$2:$F$801, 0)+1)), "")&lt;&gt;"", IFERROR(INDEX(ERP資料!$A:$A, (MATCH(281, 輔助計算!$F$2:$F$801, 0)+1)), "")&lt;&gt;IFERROR(INDEX(ERP資料!$A:$A, MATCH(280, 輔助計算!$F$2:$F$801, 0)+1), "")), IFERROR(INDEX(ERP資料!$A:$A, (MATCH(281, 輔助計算!$F$2:$F$801, 0)+1)), ""), ""), "")</f>
        <v/>
      </c>
      <c r="C282" s="10">
        <f>IFERROR(IF(AND(IFERROR(INDEX(ERP資料!$A:$A, (MATCH(281, 輔助計算!$F$2:$F$801, 0)+1)), "")&lt;&gt;"", IFERROR(INDEX(ERP資料!$A:$A, (MATCH(281, 輔助計算!$F$2:$F$801, 0)+1)), "")&lt;&gt;IFERROR(INDEX(ERP資料!$A:$A, MATCH(280, 輔助計算!$F$2:$F$801, 0)+1), "")), INDEX(ERP資料!$S:$S, (MATCH(281, 輔助計算!$F$2:$F$801, 0)+1)), ""), "")</f>
        <v/>
      </c>
      <c r="D282" s="10">
        <f>IFERROR(IF(INDEX(ERP資料!$E:$E, (MATCH(281, 輔助計算!$F$2:$F$801, 0)+1))="","",TRIM(INDEX(ERP資料!$E:$E, (MATCH(281, 輔助計算!$F$2:$F$801, 0)+1)))), "")</f>
        <v/>
      </c>
      <c r="E282" s="10">
        <f>IFERROR(IF(INDEX(ERP資料!$F:$F, (MATCH(281, 輔助計算!$F$2:$F$801, 0)+1))="","",INDEX(ERP資料!$F:$F, (MATCH(281, 輔助計算!$F$2:$F$801, 0)+1))), "")</f>
        <v/>
      </c>
      <c r="F282" s="10">
        <f>IFERROR(IF(INDEX(ERP資料!$G:$G, (MATCH(281, 輔助計算!$F$2:$F$801, 0)+1))="","",INDEX(ERP資料!$G:$G, (MATCH(281, 輔助計算!$F$2:$F$801, 0)+1))), "")</f>
        <v/>
      </c>
      <c r="G282" s="10">
        <f>IFERROR(IF(INDEX(ERP資料!$H:$H, (MATCH(281, 輔助計算!$F$2:$F$801, 0)+1))="","",INDEX(ERP資料!$H:$H, (MATCH(281, 輔助計算!$F$2:$F$801, 0)+1))), "")</f>
        <v/>
      </c>
      <c r="H282" s="10">
        <f>IFERROR(IF(INDEX(ERP資料!$O:$O, (MATCH(281, 輔助計算!$F$2:$F$801, 0)+1))="","",INDEX(ERP資料!$O:$O, (MATCH(281, 輔助計算!$F$2:$F$801, 0)+1))), "")</f>
        <v/>
      </c>
      <c r="I282" s="15">
        <f>IFERROR(IF(INDEX(輔助計算!$D:$D,(MATCH(281, 輔助計算!$F$2:$F$801, 0)+1))="","",INDEX(輔助計算!$D:$D,(MATCH(281, 輔助計算!$F$2:$F$801, 0)+1))*INDEX(ERP資料!$O:$O,(MATCH(281, 輔助計算!$F$2:$F$801, 0)+1))), "")</f>
        <v/>
      </c>
      <c r="J282" s="16" t="n"/>
      <c r="K282" s="15">
        <f>IFERROR(INDEX(輔助計算!$D:$D, (MATCH(281, 輔助計算!$F$2:$F$801, 0)+1)), "")</f>
        <v/>
      </c>
      <c r="L282" s="16">
        <f>IFERROR(IF(AND(IFERROR(VLOOKUP(LEFT(INDEX(ERP資料!$S:$S, (MATCH(281, 輔助計算!$F$2:$F$801, 0)+1)), 4), 100張客戶!$A:$A, 1, FALSE), "")&lt;&gt;"", OR(INDEX(ERP資料!$F:$F, (MATCH(281, 輔助計算!$F$2:$F$801, 0)+1))=270, INDEX(ERP資料!$F:$F, (MATCH(281, 輔助計算!$F$2:$F$801, 0)+1))=300)), "100張", ""), "")</f>
        <v/>
      </c>
      <c r="M282" s="17" t="n"/>
      <c r="N282" s="17">
        <f>IF($F282="","",$F282)</f>
        <v/>
      </c>
      <c r="O282" s="17">
        <f>IF($G282="","",$G282)</f>
        <v/>
      </c>
      <c r="P282" s="17">
        <f>IF($K282="","",$K282)</f>
        <v/>
      </c>
      <c r="Q282" s="16" t="n"/>
      <c r="R282" s="18" t="n"/>
      <c r="S282" s="16" t="n"/>
    </row>
    <row r="283">
      <c r="A283" s="14">
        <f>IFERROR(IF(AND(IFERROR(INDEX(ERP資料!$A:$A, (MATCH(282, 輔助計算!$F$2:$F$801, 0)+1)), "")&lt;&gt;"", IFERROR(INDEX(ERP資料!$A:$A, (MATCH(282, 輔助計算!$F$2:$F$801, 0)+1)), "")&lt;&gt;IFERROR(INDEX(ERP資料!$A:$A, MATCH(281, 輔助計算!$F$2:$F$801, 0)+1), "")), INDEX(ERP資料!$B:$B, (MATCH(282, 輔助計算!$F$2:$F$801, 0)+1)), ""), "")</f>
        <v/>
      </c>
      <c r="B283" s="10">
        <f>IFERROR(IF(AND(IFERROR(INDEX(ERP資料!$A:$A, (MATCH(282, 輔助計算!$F$2:$F$801, 0)+1)), "")&lt;&gt;"", IFERROR(INDEX(ERP資料!$A:$A, (MATCH(282, 輔助計算!$F$2:$F$801, 0)+1)), "")&lt;&gt;IFERROR(INDEX(ERP資料!$A:$A, MATCH(281, 輔助計算!$F$2:$F$801, 0)+1), "")), IFERROR(INDEX(ERP資料!$A:$A, (MATCH(282, 輔助計算!$F$2:$F$801, 0)+1)), ""), ""), "")</f>
        <v/>
      </c>
      <c r="C283" s="10">
        <f>IFERROR(IF(AND(IFERROR(INDEX(ERP資料!$A:$A, (MATCH(282, 輔助計算!$F$2:$F$801, 0)+1)), "")&lt;&gt;"", IFERROR(INDEX(ERP資料!$A:$A, (MATCH(282, 輔助計算!$F$2:$F$801, 0)+1)), "")&lt;&gt;IFERROR(INDEX(ERP資料!$A:$A, MATCH(281, 輔助計算!$F$2:$F$801, 0)+1), "")), INDEX(ERP資料!$S:$S, (MATCH(282, 輔助計算!$F$2:$F$801, 0)+1)), ""), "")</f>
        <v/>
      </c>
      <c r="D283" s="10">
        <f>IFERROR(IF(INDEX(ERP資料!$E:$E, (MATCH(282, 輔助計算!$F$2:$F$801, 0)+1))="","",TRIM(INDEX(ERP資料!$E:$E, (MATCH(282, 輔助計算!$F$2:$F$801, 0)+1)))), "")</f>
        <v/>
      </c>
      <c r="E283" s="10">
        <f>IFERROR(IF(INDEX(ERP資料!$F:$F, (MATCH(282, 輔助計算!$F$2:$F$801, 0)+1))="","",INDEX(ERP資料!$F:$F, (MATCH(282, 輔助計算!$F$2:$F$801, 0)+1))), "")</f>
        <v/>
      </c>
      <c r="F283" s="10">
        <f>IFERROR(IF(INDEX(ERP資料!$G:$G, (MATCH(282, 輔助計算!$F$2:$F$801, 0)+1))="","",INDEX(ERP資料!$G:$G, (MATCH(282, 輔助計算!$F$2:$F$801, 0)+1))), "")</f>
        <v/>
      </c>
      <c r="G283" s="10">
        <f>IFERROR(IF(INDEX(ERP資料!$H:$H, (MATCH(282, 輔助計算!$F$2:$F$801, 0)+1))="","",INDEX(ERP資料!$H:$H, (MATCH(282, 輔助計算!$F$2:$F$801, 0)+1))), "")</f>
        <v/>
      </c>
      <c r="H283" s="10">
        <f>IFERROR(IF(INDEX(ERP資料!$O:$O, (MATCH(282, 輔助計算!$F$2:$F$801, 0)+1))="","",INDEX(ERP資料!$O:$O, (MATCH(282, 輔助計算!$F$2:$F$801, 0)+1))), "")</f>
        <v/>
      </c>
      <c r="I283" s="15">
        <f>IFERROR(IF(INDEX(輔助計算!$D:$D,(MATCH(282, 輔助計算!$F$2:$F$801, 0)+1))="","",INDEX(輔助計算!$D:$D,(MATCH(282, 輔助計算!$F$2:$F$801, 0)+1))*INDEX(ERP資料!$O:$O,(MATCH(282, 輔助計算!$F$2:$F$801, 0)+1))), "")</f>
        <v/>
      </c>
      <c r="J283" s="16" t="n"/>
      <c r="K283" s="15">
        <f>IFERROR(INDEX(輔助計算!$D:$D, (MATCH(282, 輔助計算!$F$2:$F$801, 0)+1)), "")</f>
        <v/>
      </c>
      <c r="L283" s="16">
        <f>IFERROR(IF(AND(IFERROR(VLOOKUP(LEFT(INDEX(ERP資料!$S:$S, (MATCH(282, 輔助計算!$F$2:$F$801, 0)+1)), 4), 100張客戶!$A:$A, 1, FALSE), "")&lt;&gt;"", OR(INDEX(ERP資料!$F:$F, (MATCH(282, 輔助計算!$F$2:$F$801, 0)+1))=270, INDEX(ERP資料!$F:$F, (MATCH(282, 輔助計算!$F$2:$F$801, 0)+1))=300)), "100張", ""), "")</f>
        <v/>
      </c>
      <c r="M283" s="17" t="n"/>
      <c r="N283" s="17">
        <f>IF($F283="","",$F283)</f>
        <v/>
      </c>
      <c r="O283" s="17">
        <f>IF($G283="","",$G283)</f>
        <v/>
      </c>
      <c r="P283" s="17">
        <f>IF($K283="","",$K283)</f>
        <v/>
      </c>
      <c r="Q283" s="16" t="n"/>
      <c r="R283" s="18" t="n"/>
      <c r="S283" s="16" t="n"/>
    </row>
    <row r="284">
      <c r="A284" s="14">
        <f>IFERROR(IF(AND(IFERROR(INDEX(ERP資料!$A:$A, (MATCH(283, 輔助計算!$F$2:$F$801, 0)+1)), "")&lt;&gt;"", IFERROR(INDEX(ERP資料!$A:$A, (MATCH(283, 輔助計算!$F$2:$F$801, 0)+1)), "")&lt;&gt;IFERROR(INDEX(ERP資料!$A:$A, MATCH(282, 輔助計算!$F$2:$F$801, 0)+1), "")), INDEX(ERP資料!$B:$B, (MATCH(283, 輔助計算!$F$2:$F$801, 0)+1)), ""), "")</f>
        <v/>
      </c>
      <c r="B284" s="10">
        <f>IFERROR(IF(AND(IFERROR(INDEX(ERP資料!$A:$A, (MATCH(283, 輔助計算!$F$2:$F$801, 0)+1)), "")&lt;&gt;"", IFERROR(INDEX(ERP資料!$A:$A, (MATCH(283, 輔助計算!$F$2:$F$801, 0)+1)), "")&lt;&gt;IFERROR(INDEX(ERP資料!$A:$A, MATCH(282, 輔助計算!$F$2:$F$801, 0)+1), "")), IFERROR(INDEX(ERP資料!$A:$A, (MATCH(283, 輔助計算!$F$2:$F$801, 0)+1)), ""), ""), "")</f>
        <v/>
      </c>
      <c r="C284" s="10">
        <f>IFERROR(IF(AND(IFERROR(INDEX(ERP資料!$A:$A, (MATCH(283, 輔助計算!$F$2:$F$801, 0)+1)), "")&lt;&gt;"", IFERROR(INDEX(ERP資料!$A:$A, (MATCH(283, 輔助計算!$F$2:$F$801, 0)+1)), "")&lt;&gt;IFERROR(INDEX(ERP資料!$A:$A, MATCH(282, 輔助計算!$F$2:$F$801, 0)+1), "")), INDEX(ERP資料!$S:$S, (MATCH(283, 輔助計算!$F$2:$F$801, 0)+1)), ""), "")</f>
        <v/>
      </c>
      <c r="D284" s="10">
        <f>IFERROR(IF(INDEX(ERP資料!$E:$E, (MATCH(283, 輔助計算!$F$2:$F$801, 0)+1))="","",TRIM(INDEX(ERP資料!$E:$E, (MATCH(283, 輔助計算!$F$2:$F$801, 0)+1)))), "")</f>
        <v/>
      </c>
      <c r="E284" s="10">
        <f>IFERROR(IF(INDEX(ERP資料!$F:$F, (MATCH(283, 輔助計算!$F$2:$F$801, 0)+1))="","",INDEX(ERP資料!$F:$F, (MATCH(283, 輔助計算!$F$2:$F$801, 0)+1))), "")</f>
        <v/>
      </c>
      <c r="F284" s="10">
        <f>IFERROR(IF(INDEX(ERP資料!$G:$G, (MATCH(283, 輔助計算!$F$2:$F$801, 0)+1))="","",INDEX(ERP資料!$G:$G, (MATCH(283, 輔助計算!$F$2:$F$801, 0)+1))), "")</f>
        <v/>
      </c>
      <c r="G284" s="10">
        <f>IFERROR(IF(INDEX(ERP資料!$H:$H, (MATCH(283, 輔助計算!$F$2:$F$801, 0)+1))="","",INDEX(ERP資料!$H:$H, (MATCH(283, 輔助計算!$F$2:$F$801, 0)+1))), "")</f>
        <v/>
      </c>
      <c r="H284" s="10">
        <f>IFERROR(IF(INDEX(ERP資料!$O:$O, (MATCH(283, 輔助計算!$F$2:$F$801, 0)+1))="","",INDEX(ERP資料!$O:$O, (MATCH(283, 輔助計算!$F$2:$F$801, 0)+1))), "")</f>
        <v/>
      </c>
      <c r="I284" s="15">
        <f>IFERROR(IF(INDEX(輔助計算!$D:$D,(MATCH(283, 輔助計算!$F$2:$F$801, 0)+1))="","",INDEX(輔助計算!$D:$D,(MATCH(283, 輔助計算!$F$2:$F$801, 0)+1))*INDEX(ERP資料!$O:$O,(MATCH(283, 輔助計算!$F$2:$F$801, 0)+1))), "")</f>
        <v/>
      </c>
      <c r="J284" s="16" t="n"/>
      <c r="K284" s="15">
        <f>IFERROR(INDEX(輔助計算!$D:$D, (MATCH(283, 輔助計算!$F$2:$F$801, 0)+1)), "")</f>
        <v/>
      </c>
      <c r="L284" s="16">
        <f>IFERROR(IF(AND(IFERROR(VLOOKUP(LEFT(INDEX(ERP資料!$S:$S, (MATCH(283, 輔助計算!$F$2:$F$801, 0)+1)), 4), 100張客戶!$A:$A, 1, FALSE), "")&lt;&gt;"", OR(INDEX(ERP資料!$F:$F, (MATCH(283, 輔助計算!$F$2:$F$801, 0)+1))=270, INDEX(ERP資料!$F:$F, (MATCH(283, 輔助計算!$F$2:$F$801, 0)+1))=300)), "100張", ""), "")</f>
        <v/>
      </c>
      <c r="M284" s="17" t="n"/>
      <c r="N284" s="17">
        <f>IF($F284="","",$F284)</f>
        <v/>
      </c>
      <c r="O284" s="17">
        <f>IF($G284="","",$G284)</f>
        <v/>
      </c>
      <c r="P284" s="17">
        <f>IF($K284="","",$K284)</f>
        <v/>
      </c>
      <c r="Q284" s="16" t="n"/>
      <c r="R284" s="18" t="n"/>
      <c r="S284" s="16" t="n"/>
    </row>
    <row r="285">
      <c r="A285" s="14">
        <f>IFERROR(IF(AND(IFERROR(INDEX(ERP資料!$A:$A, (MATCH(284, 輔助計算!$F$2:$F$801, 0)+1)), "")&lt;&gt;"", IFERROR(INDEX(ERP資料!$A:$A, (MATCH(284, 輔助計算!$F$2:$F$801, 0)+1)), "")&lt;&gt;IFERROR(INDEX(ERP資料!$A:$A, MATCH(283, 輔助計算!$F$2:$F$801, 0)+1), "")), INDEX(ERP資料!$B:$B, (MATCH(284, 輔助計算!$F$2:$F$801, 0)+1)), ""), "")</f>
        <v/>
      </c>
      <c r="B285" s="10">
        <f>IFERROR(IF(AND(IFERROR(INDEX(ERP資料!$A:$A, (MATCH(284, 輔助計算!$F$2:$F$801, 0)+1)), "")&lt;&gt;"", IFERROR(INDEX(ERP資料!$A:$A, (MATCH(284, 輔助計算!$F$2:$F$801, 0)+1)), "")&lt;&gt;IFERROR(INDEX(ERP資料!$A:$A, MATCH(283, 輔助計算!$F$2:$F$801, 0)+1), "")), IFERROR(INDEX(ERP資料!$A:$A, (MATCH(284, 輔助計算!$F$2:$F$801, 0)+1)), ""), ""), "")</f>
        <v/>
      </c>
      <c r="C285" s="10">
        <f>IFERROR(IF(AND(IFERROR(INDEX(ERP資料!$A:$A, (MATCH(284, 輔助計算!$F$2:$F$801, 0)+1)), "")&lt;&gt;"", IFERROR(INDEX(ERP資料!$A:$A, (MATCH(284, 輔助計算!$F$2:$F$801, 0)+1)), "")&lt;&gt;IFERROR(INDEX(ERP資料!$A:$A, MATCH(283, 輔助計算!$F$2:$F$801, 0)+1), "")), INDEX(ERP資料!$S:$S, (MATCH(284, 輔助計算!$F$2:$F$801, 0)+1)), ""), "")</f>
        <v/>
      </c>
      <c r="D285" s="10">
        <f>IFERROR(IF(INDEX(ERP資料!$E:$E, (MATCH(284, 輔助計算!$F$2:$F$801, 0)+1))="","",TRIM(INDEX(ERP資料!$E:$E, (MATCH(284, 輔助計算!$F$2:$F$801, 0)+1)))), "")</f>
        <v/>
      </c>
      <c r="E285" s="10">
        <f>IFERROR(IF(INDEX(ERP資料!$F:$F, (MATCH(284, 輔助計算!$F$2:$F$801, 0)+1))="","",INDEX(ERP資料!$F:$F, (MATCH(284, 輔助計算!$F$2:$F$801, 0)+1))), "")</f>
        <v/>
      </c>
      <c r="F285" s="10">
        <f>IFERROR(IF(INDEX(ERP資料!$G:$G, (MATCH(284, 輔助計算!$F$2:$F$801, 0)+1))="","",INDEX(ERP資料!$G:$G, (MATCH(284, 輔助計算!$F$2:$F$801, 0)+1))), "")</f>
        <v/>
      </c>
      <c r="G285" s="10">
        <f>IFERROR(IF(INDEX(ERP資料!$H:$H, (MATCH(284, 輔助計算!$F$2:$F$801, 0)+1))="","",INDEX(ERP資料!$H:$H, (MATCH(284, 輔助計算!$F$2:$F$801, 0)+1))), "")</f>
        <v/>
      </c>
      <c r="H285" s="10">
        <f>IFERROR(IF(INDEX(ERP資料!$O:$O, (MATCH(284, 輔助計算!$F$2:$F$801, 0)+1))="","",INDEX(ERP資料!$O:$O, (MATCH(284, 輔助計算!$F$2:$F$801, 0)+1))), "")</f>
        <v/>
      </c>
      <c r="I285" s="15">
        <f>IFERROR(IF(INDEX(輔助計算!$D:$D,(MATCH(284, 輔助計算!$F$2:$F$801, 0)+1))="","",INDEX(輔助計算!$D:$D,(MATCH(284, 輔助計算!$F$2:$F$801, 0)+1))*INDEX(ERP資料!$O:$O,(MATCH(284, 輔助計算!$F$2:$F$801, 0)+1))), "")</f>
        <v/>
      </c>
      <c r="J285" s="16" t="n"/>
      <c r="K285" s="15">
        <f>IFERROR(INDEX(輔助計算!$D:$D, (MATCH(284, 輔助計算!$F$2:$F$801, 0)+1)), "")</f>
        <v/>
      </c>
      <c r="L285" s="16">
        <f>IFERROR(IF(AND(IFERROR(VLOOKUP(LEFT(INDEX(ERP資料!$S:$S, (MATCH(284, 輔助計算!$F$2:$F$801, 0)+1)), 4), 100張客戶!$A:$A, 1, FALSE), "")&lt;&gt;"", OR(INDEX(ERP資料!$F:$F, (MATCH(284, 輔助計算!$F$2:$F$801, 0)+1))=270, INDEX(ERP資料!$F:$F, (MATCH(284, 輔助計算!$F$2:$F$801, 0)+1))=300)), "100張", ""), "")</f>
        <v/>
      </c>
      <c r="M285" s="17" t="n"/>
      <c r="N285" s="17">
        <f>IF($F285="","",$F285)</f>
        <v/>
      </c>
      <c r="O285" s="17">
        <f>IF($G285="","",$G285)</f>
        <v/>
      </c>
      <c r="P285" s="17">
        <f>IF($K285="","",$K285)</f>
        <v/>
      </c>
      <c r="Q285" s="16" t="n"/>
      <c r="R285" s="18" t="n"/>
      <c r="S285" s="16" t="n"/>
    </row>
    <row r="286">
      <c r="A286" s="14">
        <f>IFERROR(IF(AND(IFERROR(INDEX(ERP資料!$A:$A, (MATCH(285, 輔助計算!$F$2:$F$801, 0)+1)), "")&lt;&gt;"", IFERROR(INDEX(ERP資料!$A:$A, (MATCH(285, 輔助計算!$F$2:$F$801, 0)+1)), "")&lt;&gt;IFERROR(INDEX(ERP資料!$A:$A, MATCH(284, 輔助計算!$F$2:$F$801, 0)+1), "")), INDEX(ERP資料!$B:$B, (MATCH(285, 輔助計算!$F$2:$F$801, 0)+1)), ""), "")</f>
        <v/>
      </c>
      <c r="B286" s="10">
        <f>IFERROR(IF(AND(IFERROR(INDEX(ERP資料!$A:$A, (MATCH(285, 輔助計算!$F$2:$F$801, 0)+1)), "")&lt;&gt;"", IFERROR(INDEX(ERP資料!$A:$A, (MATCH(285, 輔助計算!$F$2:$F$801, 0)+1)), "")&lt;&gt;IFERROR(INDEX(ERP資料!$A:$A, MATCH(284, 輔助計算!$F$2:$F$801, 0)+1), "")), IFERROR(INDEX(ERP資料!$A:$A, (MATCH(285, 輔助計算!$F$2:$F$801, 0)+1)), ""), ""), "")</f>
        <v/>
      </c>
      <c r="C286" s="10">
        <f>IFERROR(IF(AND(IFERROR(INDEX(ERP資料!$A:$A, (MATCH(285, 輔助計算!$F$2:$F$801, 0)+1)), "")&lt;&gt;"", IFERROR(INDEX(ERP資料!$A:$A, (MATCH(285, 輔助計算!$F$2:$F$801, 0)+1)), "")&lt;&gt;IFERROR(INDEX(ERP資料!$A:$A, MATCH(284, 輔助計算!$F$2:$F$801, 0)+1), "")), INDEX(ERP資料!$S:$S, (MATCH(285, 輔助計算!$F$2:$F$801, 0)+1)), ""), "")</f>
        <v/>
      </c>
      <c r="D286" s="10">
        <f>IFERROR(IF(INDEX(ERP資料!$E:$E, (MATCH(285, 輔助計算!$F$2:$F$801, 0)+1))="","",TRIM(INDEX(ERP資料!$E:$E, (MATCH(285, 輔助計算!$F$2:$F$801, 0)+1)))), "")</f>
        <v/>
      </c>
      <c r="E286" s="10">
        <f>IFERROR(IF(INDEX(ERP資料!$F:$F, (MATCH(285, 輔助計算!$F$2:$F$801, 0)+1))="","",INDEX(ERP資料!$F:$F, (MATCH(285, 輔助計算!$F$2:$F$801, 0)+1))), "")</f>
        <v/>
      </c>
      <c r="F286" s="10">
        <f>IFERROR(IF(INDEX(ERP資料!$G:$G, (MATCH(285, 輔助計算!$F$2:$F$801, 0)+1))="","",INDEX(ERP資料!$G:$G, (MATCH(285, 輔助計算!$F$2:$F$801, 0)+1))), "")</f>
        <v/>
      </c>
      <c r="G286" s="10">
        <f>IFERROR(IF(INDEX(ERP資料!$H:$H, (MATCH(285, 輔助計算!$F$2:$F$801, 0)+1))="","",INDEX(ERP資料!$H:$H, (MATCH(285, 輔助計算!$F$2:$F$801, 0)+1))), "")</f>
        <v/>
      </c>
      <c r="H286" s="10">
        <f>IFERROR(IF(INDEX(ERP資料!$O:$O, (MATCH(285, 輔助計算!$F$2:$F$801, 0)+1))="","",INDEX(ERP資料!$O:$O, (MATCH(285, 輔助計算!$F$2:$F$801, 0)+1))), "")</f>
        <v/>
      </c>
      <c r="I286" s="15">
        <f>IFERROR(IF(INDEX(輔助計算!$D:$D,(MATCH(285, 輔助計算!$F$2:$F$801, 0)+1))="","",INDEX(輔助計算!$D:$D,(MATCH(285, 輔助計算!$F$2:$F$801, 0)+1))*INDEX(ERP資料!$O:$O,(MATCH(285, 輔助計算!$F$2:$F$801, 0)+1))), "")</f>
        <v/>
      </c>
      <c r="J286" s="16" t="n"/>
      <c r="K286" s="15">
        <f>IFERROR(INDEX(輔助計算!$D:$D, (MATCH(285, 輔助計算!$F$2:$F$801, 0)+1)), "")</f>
        <v/>
      </c>
      <c r="L286" s="16">
        <f>IFERROR(IF(AND(IFERROR(VLOOKUP(LEFT(INDEX(ERP資料!$S:$S, (MATCH(285, 輔助計算!$F$2:$F$801, 0)+1)), 4), 100張客戶!$A:$A, 1, FALSE), "")&lt;&gt;"", OR(INDEX(ERP資料!$F:$F, (MATCH(285, 輔助計算!$F$2:$F$801, 0)+1))=270, INDEX(ERP資料!$F:$F, (MATCH(285, 輔助計算!$F$2:$F$801, 0)+1))=300)), "100張", ""), "")</f>
        <v/>
      </c>
      <c r="M286" s="17" t="n"/>
      <c r="N286" s="17">
        <f>IF($F286="","",$F286)</f>
        <v/>
      </c>
      <c r="O286" s="17">
        <f>IF($G286="","",$G286)</f>
        <v/>
      </c>
      <c r="P286" s="17">
        <f>IF($K286="","",$K286)</f>
        <v/>
      </c>
      <c r="Q286" s="16" t="n"/>
      <c r="R286" s="18" t="n"/>
      <c r="S286" s="16" t="n"/>
    </row>
    <row r="287">
      <c r="A287" s="14">
        <f>IFERROR(IF(AND(IFERROR(INDEX(ERP資料!$A:$A, (MATCH(286, 輔助計算!$F$2:$F$801, 0)+1)), "")&lt;&gt;"", IFERROR(INDEX(ERP資料!$A:$A, (MATCH(286, 輔助計算!$F$2:$F$801, 0)+1)), "")&lt;&gt;IFERROR(INDEX(ERP資料!$A:$A, MATCH(285, 輔助計算!$F$2:$F$801, 0)+1), "")), INDEX(ERP資料!$B:$B, (MATCH(286, 輔助計算!$F$2:$F$801, 0)+1)), ""), "")</f>
        <v/>
      </c>
      <c r="B287" s="10">
        <f>IFERROR(IF(AND(IFERROR(INDEX(ERP資料!$A:$A, (MATCH(286, 輔助計算!$F$2:$F$801, 0)+1)), "")&lt;&gt;"", IFERROR(INDEX(ERP資料!$A:$A, (MATCH(286, 輔助計算!$F$2:$F$801, 0)+1)), "")&lt;&gt;IFERROR(INDEX(ERP資料!$A:$A, MATCH(285, 輔助計算!$F$2:$F$801, 0)+1), "")), IFERROR(INDEX(ERP資料!$A:$A, (MATCH(286, 輔助計算!$F$2:$F$801, 0)+1)), ""), ""), "")</f>
        <v/>
      </c>
      <c r="C287" s="10">
        <f>IFERROR(IF(AND(IFERROR(INDEX(ERP資料!$A:$A, (MATCH(286, 輔助計算!$F$2:$F$801, 0)+1)), "")&lt;&gt;"", IFERROR(INDEX(ERP資料!$A:$A, (MATCH(286, 輔助計算!$F$2:$F$801, 0)+1)), "")&lt;&gt;IFERROR(INDEX(ERP資料!$A:$A, MATCH(285, 輔助計算!$F$2:$F$801, 0)+1), "")), INDEX(ERP資料!$S:$S, (MATCH(286, 輔助計算!$F$2:$F$801, 0)+1)), ""), "")</f>
        <v/>
      </c>
      <c r="D287" s="10">
        <f>IFERROR(IF(INDEX(ERP資料!$E:$E, (MATCH(286, 輔助計算!$F$2:$F$801, 0)+1))="","",TRIM(INDEX(ERP資料!$E:$E, (MATCH(286, 輔助計算!$F$2:$F$801, 0)+1)))), "")</f>
        <v/>
      </c>
      <c r="E287" s="10">
        <f>IFERROR(IF(INDEX(ERP資料!$F:$F, (MATCH(286, 輔助計算!$F$2:$F$801, 0)+1))="","",INDEX(ERP資料!$F:$F, (MATCH(286, 輔助計算!$F$2:$F$801, 0)+1))), "")</f>
        <v/>
      </c>
      <c r="F287" s="10">
        <f>IFERROR(IF(INDEX(ERP資料!$G:$G, (MATCH(286, 輔助計算!$F$2:$F$801, 0)+1))="","",INDEX(ERP資料!$G:$G, (MATCH(286, 輔助計算!$F$2:$F$801, 0)+1))), "")</f>
        <v/>
      </c>
      <c r="G287" s="10">
        <f>IFERROR(IF(INDEX(ERP資料!$H:$H, (MATCH(286, 輔助計算!$F$2:$F$801, 0)+1))="","",INDEX(ERP資料!$H:$H, (MATCH(286, 輔助計算!$F$2:$F$801, 0)+1))), "")</f>
        <v/>
      </c>
      <c r="H287" s="10">
        <f>IFERROR(IF(INDEX(ERP資料!$O:$O, (MATCH(286, 輔助計算!$F$2:$F$801, 0)+1))="","",INDEX(ERP資料!$O:$O, (MATCH(286, 輔助計算!$F$2:$F$801, 0)+1))), "")</f>
        <v/>
      </c>
      <c r="I287" s="15">
        <f>IFERROR(IF(INDEX(輔助計算!$D:$D,(MATCH(286, 輔助計算!$F$2:$F$801, 0)+1))="","",INDEX(輔助計算!$D:$D,(MATCH(286, 輔助計算!$F$2:$F$801, 0)+1))*INDEX(ERP資料!$O:$O,(MATCH(286, 輔助計算!$F$2:$F$801, 0)+1))), "")</f>
        <v/>
      </c>
      <c r="J287" s="16" t="n"/>
      <c r="K287" s="15">
        <f>IFERROR(INDEX(輔助計算!$D:$D, (MATCH(286, 輔助計算!$F$2:$F$801, 0)+1)), "")</f>
        <v/>
      </c>
      <c r="L287" s="16">
        <f>IFERROR(IF(AND(IFERROR(VLOOKUP(LEFT(INDEX(ERP資料!$S:$S, (MATCH(286, 輔助計算!$F$2:$F$801, 0)+1)), 4), 100張客戶!$A:$A, 1, FALSE), "")&lt;&gt;"", OR(INDEX(ERP資料!$F:$F, (MATCH(286, 輔助計算!$F$2:$F$801, 0)+1))=270, INDEX(ERP資料!$F:$F, (MATCH(286, 輔助計算!$F$2:$F$801, 0)+1))=300)), "100張", ""), "")</f>
        <v/>
      </c>
      <c r="M287" s="17" t="n"/>
      <c r="N287" s="17">
        <f>IF($F287="","",$F287)</f>
        <v/>
      </c>
      <c r="O287" s="17">
        <f>IF($G287="","",$G287)</f>
        <v/>
      </c>
      <c r="P287" s="17">
        <f>IF($K287="","",$K287)</f>
        <v/>
      </c>
      <c r="Q287" s="16" t="n"/>
      <c r="R287" s="18" t="n"/>
      <c r="S287" s="16" t="n"/>
    </row>
    <row r="288">
      <c r="A288" s="14">
        <f>IFERROR(IF(AND(IFERROR(INDEX(ERP資料!$A:$A, (MATCH(287, 輔助計算!$F$2:$F$801, 0)+1)), "")&lt;&gt;"", IFERROR(INDEX(ERP資料!$A:$A, (MATCH(287, 輔助計算!$F$2:$F$801, 0)+1)), "")&lt;&gt;IFERROR(INDEX(ERP資料!$A:$A, MATCH(286, 輔助計算!$F$2:$F$801, 0)+1), "")), INDEX(ERP資料!$B:$B, (MATCH(287, 輔助計算!$F$2:$F$801, 0)+1)), ""), "")</f>
        <v/>
      </c>
      <c r="B288" s="10">
        <f>IFERROR(IF(AND(IFERROR(INDEX(ERP資料!$A:$A, (MATCH(287, 輔助計算!$F$2:$F$801, 0)+1)), "")&lt;&gt;"", IFERROR(INDEX(ERP資料!$A:$A, (MATCH(287, 輔助計算!$F$2:$F$801, 0)+1)), "")&lt;&gt;IFERROR(INDEX(ERP資料!$A:$A, MATCH(286, 輔助計算!$F$2:$F$801, 0)+1), "")), IFERROR(INDEX(ERP資料!$A:$A, (MATCH(287, 輔助計算!$F$2:$F$801, 0)+1)), ""), ""), "")</f>
        <v/>
      </c>
      <c r="C288" s="10">
        <f>IFERROR(IF(AND(IFERROR(INDEX(ERP資料!$A:$A, (MATCH(287, 輔助計算!$F$2:$F$801, 0)+1)), "")&lt;&gt;"", IFERROR(INDEX(ERP資料!$A:$A, (MATCH(287, 輔助計算!$F$2:$F$801, 0)+1)), "")&lt;&gt;IFERROR(INDEX(ERP資料!$A:$A, MATCH(286, 輔助計算!$F$2:$F$801, 0)+1), "")), INDEX(ERP資料!$S:$S, (MATCH(287, 輔助計算!$F$2:$F$801, 0)+1)), ""), "")</f>
        <v/>
      </c>
      <c r="D288" s="10">
        <f>IFERROR(IF(INDEX(ERP資料!$E:$E, (MATCH(287, 輔助計算!$F$2:$F$801, 0)+1))="","",TRIM(INDEX(ERP資料!$E:$E, (MATCH(287, 輔助計算!$F$2:$F$801, 0)+1)))), "")</f>
        <v/>
      </c>
      <c r="E288" s="10">
        <f>IFERROR(IF(INDEX(ERP資料!$F:$F, (MATCH(287, 輔助計算!$F$2:$F$801, 0)+1))="","",INDEX(ERP資料!$F:$F, (MATCH(287, 輔助計算!$F$2:$F$801, 0)+1))), "")</f>
        <v/>
      </c>
      <c r="F288" s="10">
        <f>IFERROR(IF(INDEX(ERP資料!$G:$G, (MATCH(287, 輔助計算!$F$2:$F$801, 0)+1))="","",INDEX(ERP資料!$G:$G, (MATCH(287, 輔助計算!$F$2:$F$801, 0)+1))), "")</f>
        <v/>
      </c>
      <c r="G288" s="10">
        <f>IFERROR(IF(INDEX(ERP資料!$H:$H, (MATCH(287, 輔助計算!$F$2:$F$801, 0)+1))="","",INDEX(ERP資料!$H:$H, (MATCH(287, 輔助計算!$F$2:$F$801, 0)+1))), "")</f>
        <v/>
      </c>
      <c r="H288" s="10">
        <f>IFERROR(IF(INDEX(ERP資料!$O:$O, (MATCH(287, 輔助計算!$F$2:$F$801, 0)+1))="","",INDEX(ERP資料!$O:$O, (MATCH(287, 輔助計算!$F$2:$F$801, 0)+1))), "")</f>
        <v/>
      </c>
      <c r="I288" s="15">
        <f>IFERROR(IF(INDEX(輔助計算!$D:$D,(MATCH(287, 輔助計算!$F$2:$F$801, 0)+1))="","",INDEX(輔助計算!$D:$D,(MATCH(287, 輔助計算!$F$2:$F$801, 0)+1))*INDEX(ERP資料!$O:$O,(MATCH(287, 輔助計算!$F$2:$F$801, 0)+1))), "")</f>
        <v/>
      </c>
      <c r="J288" s="16" t="n"/>
      <c r="K288" s="15">
        <f>IFERROR(INDEX(輔助計算!$D:$D, (MATCH(287, 輔助計算!$F$2:$F$801, 0)+1)), "")</f>
        <v/>
      </c>
      <c r="L288" s="16">
        <f>IFERROR(IF(AND(IFERROR(VLOOKUP(LEFT(INDEX(ERP資料!$S:$S, (MATCH(287, 輔助計算!$F$2:$F$801, 0)+1)), 4), 100張客戶!$A:$A, 1, FALSE), "")&lt;&gt;"", OR(INDEX(ERP資料!$F:$F, (MATCH(287, 輔助計算!$F$2:$F$801, 0)+1))=270, INDEX(ERP資料!$F:$F, (MATCH(287, 輔助計算!$F$2:$F$801, 0)+1))=300)), "100張", ""), "")</f>
        <v/>
      </c>
      <c r="M288" s="17" t="n"/>
      <c r="N288" s="17">
        <f>IF($F288="","",$F288)</f>
        <v/>
      </c>
      <c r="O288" s="17">
        <f>IF($G288="","",$G288)</f>
        <v/>
      </c>
      <c r="P288" s="17">
        <f>IF($K288="","",$K288)</f>
        <v/>
      </c>
      <c r="Q288" s="16" t="n"/>
      <c r="R288" s="18" t="n"/>
      <c r="S288" s="16" t="n"/>
    </row>
    <row r="289">
      <c r="A289" s="14">
        <f>IFERROR(IF(AND(IFERROR(INDEX(ERP資料!$A:$A, (MATCH(288, 輔助計算!$F$2:$F$801, 0)+1)), "")&lt;&gt;"", IFERROR(INDEX(ERP資料!$A:$A, (MATCH(288, 輔助計算!$F$2:$F$801, 0)+1)), "")&lt;&gt;IFERROR(INDEX(ERP資料!$A:$A, MATCH(287, 輔助計算!$F$2:$F$801, 0)+1), "")), INDEX(ERP資料!$B:$B, (MATCH(288, 輔助計算!$F$2:$F$801, 0)+1)), ""), "")</f>
        <v/>
      </c>
      <c r="B289" s="10">
        <f>IFERROR(IF(AND(IFERROR(INDEX(ERP資料!$A:$A, (MATCH(288, 輔助計算!$F$2:$F$801, 0)+1)), "")&lt;&gt;"", IFERROR(INDEX(ERP資料!$A:$A, (MATCH(288, 輔助計算!$F$2:$F$801, 0)+1)), "")&lt;&gt;IFERROR(INDEX(ERP資料!$A:$A, MATCH(287, 輔助計算!$F$2:$F$801, 0)+1), "")), IFERROR(INDEX(ERP資料!$A:$A, (MATCH(288, 輔助計算!$F$2:$F$801, 0)+1)), ""), ""), "")</f>
        <v/>
      </c>
      <c r="C289" s="10">
        <f>IFERROR(IF(AND(IFERROR(INDEX(ERP資料!$A:$A, (MATCH(288, 輔助計算!$F$2:$F$801, 0)+1)), "")&lt;&gt;"", IFERROR(INDEX(ERP資料!$A:$A, (MATCH(288, 輔助計算!$F$2:$F$801, 0)+1)), "")&lt;&gt;IFERROR(INDEX(ERP資料!$A:$A, MATCH(287, 輔助計算!$F$2:$F$801, 0)+1), "")), INDEX(ERP資料!$S:$S, (MATCH(288, 輔助計算!$F$2:$F$801, 0)+1)), ""), "")</f>
        <v/>
      </c>
      <c r="D289" s="10">
        <f>IFERROR(IF(INDEX(ERP資料!$E:$E, (MATCH(288, 輔助計算!$F$2:$F$801, 0)+1))="","",TRIM(INDEX(ERP資料!$E:$E, (MATCH(288, 輔助計算!$F$2:$F$801, 0)+1)))), "")</f>
        <v/>
      </c>
      <c r="E289" s="10">
        <f>IFERROR(IF(INDEX(ERP資料!$F:$F, (MATCH(288, 輔助計算!$F$2:$F$801, 0)+1))="","",INDEX(ERP資料!$F:$F, (MATCH(288, 輔助計算!$F$2:$F$801, 0)+1))), "")</f>
        <v/>
      </c>
      <c r="F289" s="10">
        <f>IFERROR(IF(INDEX(ERP資料!$G:$G, (MATCH(288, 輔助計算!$F$2:$F$801, 0)+1))="","",INDEX(ERP資料!$G:$G, (MATCH(288, 輔助計算!$F$2:$F$801, 0)+1))), "")</f>
        <v/>
      </c>
      <c r="G289" s="10">
        <f>IFERROR(IF(INDEX(ERP資料!$H:$H, (MATCH(288, 輔助計算!$F$2:$F$801, 0)+1))="","",INDEX(ERP資料!$H:$H, (MATCH(288, 輔助計算!$F$2:$F$801, 0)+1))), "")</f>
        <v/>
      </c>
      <c r="H289" s="10">
        <f>IFERROR(IF(INDEX(ERP資料!$O:$O, (MATCH(288, 輔助計算!$F$2:$F$801, 0)+1))="","",INDEX(ERP資料!$O:$O, (MATCH(288, 輔助計算!$F$2:$F$801, 0)+1))), "")</f>
        <v/>
      </c>
      <c r="I289" s="15">
        <f>IFERROR(IF(INDEX(輔助計算!$D:$D,(MATCH(288, 輔助計算!$F$2:$F$801, 0)+1))="","",INDEX(輔助計算!$D:$D,(MATCH(288, 輔助計算!$F$2:$F$801, 0)+1))*INDEX(ERP資料!$O:$O,(MATCH(288, 輔助計算!$F$2:$F$801, 0)+1))), "")</f>
        <v/>
      </c>
      <c r="J289" s="16" t="n"/>
      <c r="K289" s="15">
        <f>IFERROR(INDEX(輔助計算!$D:$D, (MATCH(288, 輔助計算!$F$2:$F$801, 0)+1)), "")</f>
        <v/>
      </c>
      <c r="L289" s="16">
        <f>IFERROR(IF(AND(IFERROR(VLOOKUP(LEFT(INDEX(ERP資料!$S:$S, (MATCH(288, 輔助計算!$F$2:$F$801, 0)+1)), 4), 100張客戶!$A:$A, 1, FALSE), "")&lt;&gt;"", OR(INDEX(ERP資料!$F:$F, (MATCH(288, 輔助計算!$F$2:$F$801, 0)+1))=270, INDEX(ERP資料!$F:$F, (MATCH(288, 輔助計算!$F$2:$F$801, 0)+1))=300)), "100張", ""), "")</f>
        <v/>
      </c>
      <c r="M289" s="17" t="n"/>
      <c r="N289" s="17">
        <f>IF($F289="","",$F289)</f>
        <v/>
      </c>
      <c r="O289" s="17">
        <f>IF($G289="","",$G289)</f>
        <v/>
      </c>
      <c r="P289" s="17">
        <f>IF($K289="","",$K289)</f>
        <v/>
      </c>
      <c r="Q289" s="16" t="n"/>
      <c r="R289" s="18" t="n"/>
      <c r="S289" s="16" t="n"/>
    </row>
    <row r="290">
      <c r="A290" s="14">
        <f>IFERROR(IF(AND(IFERROR(INDEX(ERP資料!$A:$A, (MATCH(289, 輔助計算!$F$2:$F$801, 0)+1)), "")&lt;&gt;"", IFERROR(INDEX(ERP資料!$A:$A, (MATCH(289, 輔助計算!$F$2:$F$801, 0)+1)), "")&lt;&gt;IFERROR(INDEX(ERP資料!$A:$A, MATCH(288, 輔助計算!$F$2:$F$801, 0)+1), "")), INDEX(ERP資料!$B:$B, (MATCH(289, 輔助計算!$F$2:$F$801, 0)+1)), ""), "")</f>
        <v/>
      </c>
      <c r="B290" s="10">
        <f>IFERROR(IF(AND(IFERROR(INDEX(ERP資料!$A:$A, (MATCH(289, 輔助計算!$F$2:$F$801, 0)+1)), "")&lt;&gt;"", IFERROR(INDEX(ERP資料!$A:$A, (MATCH(289, 輔助計算!$F$2:$F$801, 0)+1)), "")&lt;&gt;IFERROR(INDEX(ERP資料!$A:$A, MATCH(288, 輔助計算!$F$2:$F$801, 0)+1), "")), IFERROR(INDEX(ERP資料!$A:$A, (MATCH(289, 輔助計算!$F$2:$F$801, 0)+1)), ""), ""), "")</f>
        <v/>
      </c>
      <c r="C290" s="10">
        <f>IFERROR(IF(AND(IFERROR(INDEX(ERP資料!$A:$A, (MATCH(289, 輔助計算!$F$2:$F$801, 0)+1)), "")&lt;&gt;"", IFERROR(INDEX(ERP資料!$A:$A, (MATCH(289, 輔助計算!$F$2:$F$801, 0)+1)), "")&lt;&gt;IFERROR(INDEX(ERP資料!$A:$A, MATCH(288, 輔助計算!$F$2:$F$801, 0)+1), "")), INDEX(ERP資料!$S:$S, (MATCH(289, 輔助計算!$F$2:$F$801, 0)+1)), ""), "")</f>
        <v/>
      </c>
      <c r="D290" s="10">
        <f>IFERROR(IF(INDEX(ERP資料!$E:$E, (MATCH(289, 輔助計算!$F$2:$F$801, 0)+1))="","",TRIM(INDEX(ERP資料!$E:$E, (MATCH(289, 輔助計算!$F$2:$F$801, 0)+1)))), "")</f>
        <v/>
      </c>
      <c r="E290" s="10">
        <f>IFERROR(IF(INDEX(ERP資料!$F:$F, (MATCH(289, 輔助計算!$F$2:$F$801, 0)+1))="","",INDEX(ERP資料!$F:$F, (MATCH(289, 輔助計算!$F$2:$F$801, 0)+1))), "")</f>
        <v/>
      </c>
      <c r="F290" s="10">
        <f>IFERROR(IF(INDEX(ERP資料!$G:$G, (MATCH(289, 輔助計算!$F$2:$F$801, 0)+1))="","",INDEX(ERP資料!$G:$G, (MATCH(289, 輔助計算!$F$2:$F$801, 0)+1))), "")</f>
        <v/>
      </c>
      <c r="G290" s="10">
        <f>IFERROR(IF(INDEX(ERP資料!$H:$H, (MATCH(289, 輔助計算!$F$2:$F$801, 0)+1))="","",INDEX(ERP資料!$H:$H, (MATCH(289, 輔助計算!$F$2:$F$801, 0)+1))), "")</f>
        <v/>
      </c>
      <c r="H290" s="10">
        <f>IFERROR(IF(INDEX(ERP資料!$O:$O, (MATCH(289, 輔助計算!$F$2:$F$801, 0)+1))="","",INDEX(ERP資料!$O:$O, (MATCH(289, 輔助計算!$F$2:$F$801, 0)+1))), "")</f>
        <v/>
      </c>
      <c r="I290" s="15">
        <f>IFERROR(IF(INDEX(輔助計算!$D:$D,(MATCH(289, 輔助計算!$F$2:$F$801, 0)+1))="","",INDEX(輔助計算!$D:$D,(MATCH(289, 輔助計算!$F$2:$F$801, 0)+1))*INDEX(ERP資料!$O:$O,(MATCH(289, 輔助計算!$F$2:$F$801, 0)+1))), "")</f>
        <v/>
      </c>
      <c r="J290" s="16" t="n"/>
      <c r="K290" s="15">
        <f>IFERROR(INDEX(輔助計算!$D:$D, (MATCH(289, 輔助計算!$F$2:$F$801, 0)+1)), "")</f>
        <v/>
      </c>
      <c r="L290" s="16">
        <f>IFERROR(IF(AND(IFERROR(VLOOKUP(LEFT(INDEX(ERP資料!$S:$S, (MATCH(289, 輔助計算!$F$2:$F$801, 0)+1)), 4), 100張客戶!$A:$A, 1, FALSE), "")&lt;&gt;"", OR(INDEX(ERP資料!$F:$F, (MATCH(289, 輔助計算!$F$2:$F$801, 0)+1))=270, INDEX(ERP資料!$F:$F, (MATCH(289, 輔助計算!$F$2:$F$801, 0)+1))=300)), "100張", ""), "")</f>
        <v/>
      </c>
      <c r="M290" s="17" t="n"/>
      <c r="N290" s="17">
        <f>IF($F290="","",$F290)</f>
        <v/>
      </c>
      <c r="O290" s="17">
        <f>IF($G290="","",$G290)</f>
        <v/>
      </c>
      <c r="P290" s="17">
        <f>IF($K290="","",$K290)</f>
        <v/>
      </c>
      <c r="Q290" s="16" t="n"/>
      <c r="R290" s="18" t="n"/>
      <c r="S290" s="16" t="n"/>
    </row>
    <row r="291">
      <c r="A291" s="14">
        <f>IFERROR(IF(AND(IFERROR(INDEX(ERP資料!$A:$A, (MATCH(290, 輔助計算!$F$2:$F$801, 0)+1)), "")&lt;&gt;"", IFERROR(INDEX(ERP資料!$A:$A, (MATCH(290, 輔助計算!$F$2:$F$801, 0)+1)), "")&lt;&gt;IFERROR(INDEX(ERP資料!$A:$A, MATCH(289, 輔助計算!$F$2:$F$801, 0)+1), "")), INDEX(ERP資料!$B:$B, (MATCH(290, 輔助計算!$F$2:$F$801, 0)+1)), ""), "")</f>
        <v/>
      </c>
      <c r="B291" s="10">
        <f>IFERROR(IF(AND(IFERROR(INDEX(ERP資料!$A:$A, (MATCH(290, 輔助計算!$F$2:$F$801, 0)+1)), "")&lt;&gt;"", IFERROR(INDEX(ERP資料!$A:$A, (MATCH(290, 輔助計算!$F$2:$F$801, 0)+1)), "")&lt;&gt;IFERROR(INDEX(ERP資料!$A:$A, MATCH(289, 輔助計算!$F$2:$F$801, 0)+1), "")), IFERROR(INDEX(ERP資料!$A:$A, (MATCH(290, 輔助計算!$F$2:$F$801, 0)+1)), ""), ""), "")</f>
        <v/>
      </c>
      <c r="C291" s="10">
        <f>IFERROR(IF(AND(IFERROR(INDEX(ERP資料!$A:$A, (MATCH(290, 輔助計算!$F$2:$F$801, 0)+1)), "")&lt;&gt;"", IFERROR(INDEX(ERP資料!$A:$A, (MATCH(290, 輔助計算!$F$2:$F$801, 0)+1)), "")&lt;&gt;IFERROR(INDEX(ERP資料!$A:$A, MATCH(289, 輔助計算!$F$2:$F$801, 0)+1), "")), INDEX(ERP資料!$S:$S, (MATCH(290, 輔助計算!$F$2:$F$801, 0)+1)), ""), "")</f>
        <v/>
      </c>
      <c r="D291" s="10">
        <f>IFERROR(IF(INDEX(ERP資料!$E:$E, (MATCH(290, 輔助計算!$F$2:$F$801, 0)+1))="","",TRIM(INDEX(ERP資料!$E:$E, (MATCH(290, 輔助計算!$F$2:$F$801, 0)+1)))), "")</f>
        <v/>
      </c>
      <c r="E291" s="10">
        <f>IFERROR(IF(INDEX(ERP資料!$F:$F, (MATCH(290, 輔助計算!$F$2:$F$801, 0)+1))="","",INDEX(ERP資料!$F:$F, (MATCH(290, 輔助計算!$F$2:$F$801, 0)+1))), "")</f>
        <v/>
      </c>
      <c r="F291" s="10">
        <f>IFERROR(IF(INDEX(ERP資料!$G:$G, (MATCH(290, 輔助計算!$F$2:$F$801, 0)+1))="","",INDEX(ERP資料!$G:$G, (MATCH(290, 輔助計算!$F$2:$F$801, 0)+1))), "")</f>
        <v/>
      </c>
      <c r="G291" s="10">
        <f>IFERROR(IF(INDEX(ERP資料!$H:$H, (MATCH(290, 輔助計算!$F$2:$F$801, 0)+1))="","",INDEX(ERP資料!$H:$H, (MATCH(290, 輔助計算!$F$2:$F$801, 0)+1))), "")</f>
        <v/>
      </c>
      <c r="H291" s="10">
        <f>IFERROR(IF(INDEX(ERP資料!$O:$O, (MATCH(290, 輔助計算!$F$2:$F$801, 0)+1))="","",INDEX(ERP資料!$O:$O, (MATCH(290, 輔助計算!$F$2:$F$801, 0)+1))), "")</f>
        <v/>
      </c>
      <c r="I291" s="15">
        <f>IFERROR(IF(INDEX(輔助計算!$D:$D,(MATCH(290, 輔助計算!$F$2:$F$801, 0)+1))="","",INDEX(輔助計算!$D:$D,(MATCH(290, 輔助計算!$F$2:$F$801, 0)+1))*INDEX(ERP資料!$O:$O,(MATCH(290, 輔助計算!$F$2:$F$801, 0)+1))), "")</f>
        <v/>
      </c>
      <c r="J291" s="16" t="n"/>
      <c r="K291" s="15">
        <f>IFERROR(INDEX(輔助計算!$D:$D, (MATCH(290, 輔助計算!$F$2:$F$801, 0)+1)), "")</f>
        <v/>
      </c>
      <c r="L291" s="16">
        <f>IFERROR(IF(AND(IFERROR(VLOOKUP(LEFT(INDEX(ERP資料!$S:$S, (MATCH(290, 輔助計算!$F$2:$F$801, 0)+1)), 4), 100張客戶!$A:$A, 1, FALSE), "")&lt;&gt;"", OR(INDEX(ERP資料!$F:$F, (MATCH(290, 輔助計算!$F$2:$F$801, 0)+1))=270, INDEX(ERP資料!$F:$F, (MATCH(290, 輔助計算!$F$2:$F$801, 0)+1))=300)), "100張", ""), "")</f>
        <v/>
      </c>
      <c r="M291" s="17" t="n"/>
      <c r="N291" s="17">
        <f>IF($F291="","",$F291)</f>
        <v/>
      </c>
      <c r="O291" s="17">
        <f>IF($G291="","",$G291)</f>
        <v/>
      </c>
      <c r="P291" s="17">
        <f>IF($K291="","",$K291)</f>
        <v/>
      </c>
      <c r="Q291" s="16" t="n"/>
      <c r="R291" s="18" t="n"/>
      <c r="S291" s="16" t="n"/>
    </row>
    <row r="292">
      <c r="A292" s="14">
        <f>IFERROR(IF(AND(IFERROR(INDEX(ERP資料!$A:$A, (MATCH(291, 輔助計算!$F$2:$F$801, 0)+1)), "")&lt;&gt;"", IFERROR(INDEX(ERP資料!$A:$A, (MATCH(291, 輔助計算!$F$2:$F$801, 0)+1)), "")&lt;&gt;IFERROR(INDEX(ERP資料!$A:$A, MATCH(290, 輔助計算!$F$2:$F$801, 0)+1), "")), INDEX(ERP資料!$B:$B, (MATCH(291, 輔助計算!$F$2:$F$801, 0)+1)), ""), "")</f>
        <v/>
      </c>
      <c r="B292" s="10">
        <f>IFERROR(IF(AND(IFERROR(INDEX(ERP資料!$A:$A, (MATCH(291, 輔助計算!$F$2:$F$801, 0)+1)), "")&lt;&gt;"", IFERROR(INDEX(ERP資料!$A:$A, (MATCH(291, 輔助計算!$F$2:$F$801, 0)+1)), "")&lt;&gt;IFERROR(INDEX(ERP資料!$A:$A, MATCH(290, 輔助計算!$F$2:$F$801, 0)+1), "")), IFERROR(INDEX(ERP資料!$A:$A, (MATCH(291, 輔助計算!$F$2:$F$801, 0)+1)), ""), ""), "")</f>
        <v/>
      </c>
      <c r="C292" s="10">
        <f>IFERROR(IF(AND(IFERROR(INDEX(ERP資料!$A:$A, (MATCH(291, 輔助計算!$F$2:$F$801, 0)+1)), "")&lt;&gt;"", IFERROR(INDEX(ERP資料!$A:$A, (MATCH(291, 輔助計算!$F$2:$F$801, 0)+1)), "")&lt;&gt;IFERROR(INDEX(ERP資料!$A:$A, MATCH(290, 輔助計算!$F$2:$F$801, 0)+1), "")), INDEX(ERP資料!$S:$S, (MATCH(291, 輔助計算!$F$2:$F$801, 0)+1)), ""), "")</f>
        <v/>
      </c>
      <c r="D292" s="10">
        <f>IFERROR(IF(INDEX(ERP資料!$E:$E, (MATCH(291, 輔助計算!$F$2:$F$801, 0)+1))="","",TRIM(INDEX(ERP資料!$E:$E, (MATCH(291, 輔助計算!$F$2:$F$801, 0)+1)))), "")</f>
        <v/>
      </c>
      <c r="E292" s="10">
        <f>IFERROR(IF(INDEX(ERP資料!$F:$F, (MATCH(291, 輔助計算!$F$2:$F$801, 0)+1))="","",INDEX(ERP資料!$F:$F, (MATCH(291, 輔助計算!$F$2:$F$801, 0)+1))), "")</f>
        <v/>
      </c>
      <c r="F292" s="10">
        <f>IFERROR(IF(INDEX(ERP資料!$G:$G, (MATCH(291, 輔助計算!$F$2:$F$801, 0)+1))="","",INDEX(ERP資料!$G:$G, (MATCH(291, 輔助計算!$F$2:$F$801, 0)+1))), "")</f>
        <v/>
      </c>
      <c r="G292" s="10">
        <f>IFERROR(IF(INDEX(ERP資料!$H:$H, (MATCH(291, 輔助計算!$F$2:$F$801, 0)+1))="","",INDEX(ERP資料!$H:$H, (MATCH(291, 輔助計算!$F$2:$F$801, 0)+1))), "")</f>
        <v/>
      </c>
      <c r="H292" s="10">
        <f>IFERROR(IF(INDEX(ERP資料!$O:$O, (MATCH(291, 輔助計算!$F$2:$F$801, 0)+1))="","",INDEX(ERP資料!$O:$O, (MATCH(291, 輔助計算!$F$2:$F$801, 0)+1))), "")</f>
        <v/>
      </c>
      <c r="I292" s="15">
        <f>IFERROR(IF(INDEX(輔助計算!$D:$D,(MATCH(291, 輔助計算!$F$2:$F$801, 0)+1))="","",INDEX(輔助計算!$D:$D,(MATCH(291, 輔助計算!$F$2:$F$801, 0)+1))*INDEX(ERP資料!$O:$O,(MATCH(291, 輔助計算!$F$2:$F$801, 0)+1))), "")</f>
        <v/>
      </c>
      <c r="J292" s="16" t="n"/>
      <c r="K292" s="15">
        <f>IFERROR(INDEX(輔助計算!$D:$D, (MATCH(291, 輔助計算!$F$2:$F$801, 0)+1)), "")</f>
        <v/>
      </c>
      <c r="L292" s="16">
        <f>IFERROR(IF(AND(IFERROR(VLOOKUP(LEFT(INDEX(ERP資料!$S:$S, (MATCH(291, 輔助計算!$F$2:$F$801, 0)+1)), 4), 100張客戶!$A:$A, 1, FALSE), "")&lt;&gt;"", OR(INDEX(ERP資料!$F:$F, (MATCH(291, 輔助計算!$F$2:$F$801, 0)+1))=270, INDEX(ERP資料!$F:$F, (MATCH(291, 輔助計算!$F$2:$F$801, 0)+1))=300)), "100張", ""), "")</f>
        <v/>
      </c>
      <c r="M292" s="17" t="n"/>
      <c r="N292" s="17">
        <f>IF($F292="","",$F292)</f>
        <v/>
      </c>
      <c r="O292" s="17">
        <f>IF($G292="","",$G292)</f>
        <v/>
      </c>
      <c r="P292" s="17">
        <f>IF($K292="","",$K292)</f>
        <v/>
      </c>
      <c r="Q292" s="16" t="n"/>
      <c r="R292" s="18" t="n"/>
      <c r="S292" s="16" t="n"/>
    </row>
    <row r="293">
      <c r="A293" s="14">
        <f>IFERROR(IF(AND(IFERROR(INDEX(ERP資料!$A:$A, (MATCH(292, 輔助計算!$F$2:$F$801, 0)+1)), "")&lt;&gt;"", IFERROR(INDEX(ERP資料!$A:$A, (MATCH(292, 輔助計算!$F$2:$F$801, 0)+1)), "")&lt;&gt;IFERROR(INDEX(ERP資料!$A:$A, MATCH(291, 輔助計算!$F$2:$F$801, 0)+1), "")), INDEX(ERP資料!$B:$B, (MATCH(292, 輔助計算!$F$2:$F$801, 0)+1)), ""), "")</f>
        <v/>
      </c>
      <c r="B293" s="10">
        <f>IFERROR(IF(AND(IFERROR(INDEX(ERP資料!$A:$A, (MATCH(292, 輔助計算!$F$2:$F$801, 0)+1)), "")&lt;&gt;"", IFERROR(INDEX(ERP資料!$A:$A, (MATCH(292, 輔助計算!$F$2:$F$801, 0)+1)), "")&lt;&gt;IFERROR(INDEX(ERP資料!$A:$A, MATCH(291, 輔助計算!$F$2:$F$801, 0)+1), "")), IFERROR(INDEX(ERP資料!$A:$A, (MATCH(292, 輔助計算!$F$2:$F$801, 0)+1)), ""), ""), "")</f>
        <v/>
      </c>
      <c r="C293" s="10">
        <f>IFERROR(IF(AND(IFERROR(INDEX(ERP資料!$A:$A, (MATCH(292, 輔助計算!$F$2:$F$801, 0)+1)), "")&lt;&gt;"", IFERROR(INDEX(ERP資料!$A:$A, (MATCH(292, 輔助計算!$F$2:$F$801, 0)+1)), "")&lt;&gt;IFERROR(INDEX(ERP資料!$A:$A, MATCH(291, 輔助計算!$F$2:$F$801, 0)+1), "")), INDEX(ERP資料!$S:$S, (MATCH(292, 輔助計算!$F$2:$F$801, 0)+1)), ""), "")</f>
        <v/>
      </c>
      <c r="D293" s="10">
        <f>IFERROR(IF(INDEX(ERP資料!$E:$E, (MATCH(292, 輔助計算!$F$2:$F$801, 0)+1))="","",TRIM(INDEX(ERP資料!$E:$E, (MATCH(292, 輔助計算!$F$2:$F$801, 0)+1)))), "")</f>
        <v/>
      </c>
      <c r="E293" s="10">
        <f>IFERROR(IF(INDEX(ERP資料!$F:$F, (MATCH(292, 輔助計算!$F$2:$F$801, 0)+1))="","",INDEX(ERP資料!$F:$F, (MATCH(292, 輔助計算!$F$2:$F$801, 0)+1))), "")</f>
        <v/>
      </c>
      <c r="F293" s="10">
        <f>IFERROR(IF(INDEX(ERP資料!$G:$G, (MATCH(292, 輔助計算!$F$2:$F$801, 0)+1))="","",INDEX(ERP資料!$G:$G, (MATCH(292, 輔助計算!$F$2:$F$801, 0)+1))), "")</f>
        <v/>
      </c>
      <c r="G293" s="10">
        <f>IFERROR(IF(INDEX(ERP資料!$H:$H, (MATCH(292, 輔助計算!$F$2:$F$801, 0)+1))="","",INDEX(ERP資料!$H:$H, (MATCH(292, 輔助計算!$F$2:$F$801, 0)+1))), "")</f>
        <v/>
      </c>
      <c r="H293" s="10">
        <f>IFERROR(IF(INDEX(ERP資料!$O:$O, (MATCH(292, 輔助計算!$F$2:$F$801, 0)+1))="","",INDEX(ERP資料!$O:$O, (MATCH(292, 輔助計算!$F$2:$F$801, 0)+1))), "")</f>
        <v/>
      </c>
      <c r="I293" s="15">
        <f>IFERROR(IF(INDEX(輔助計算!$D:$D,(MATCH(292, 輔助計算!$F$2:$F$801, 0)+1))="","",INDEX(輔助計算!$D:$D,(MATCH(292, 輔助計算!$F$2:$F$801, 0)+1))*INDEX(ERP資料!$O:$O,(MATCH(292, 輔助計算!$F$2:$F$801, 0)+1))), "")</f>
        <v/>
      </c>
      <c r="J293" s="16" t="n"/>
      <c r="K293" s="15">
        <f>IFERROR(INDEX(輔助計算!$D:$D, (MATCH(292, 輔助計算!$F$2:$F$801, 0)+1)), "")</f>
        <v/>
      </c>
      <c r="L293" s="16">
        <f>IFERROR(IF(AND(IFERROR(VLOOKUP(LEFT(INDEX(ERP資料!$S:$S, (MATCH(292, 輔助計算!$F$2:$F$801, 0)+1)), 4), 100張客戶!$A:$A, 1, FALSE), "")&lt;&gt;"", OR(INDEX(ERP資料!$F:$F, (MATCH(292, 輔助計算!$F$2:$F$801, 0)+1))=270, INDEX(ERP資料!$F:$F, (MATCH(292, 輔助計算!$F$2:$F$801, 0)+1))=300)), "100張", ""), "")</f>
        <v/>
      </c>
      <c r="M293" s="17" t="n"/>
      <c r="N293" s="17">
        <f>IF($F293="","",$F293)</f>
        <v/>
      </c>
      <c r="O293" s="17">
        <f>IF($G293="","",$G293)</f>
        <v/>
      </c>
      <c r="P293" s="17">
        <f>IF($K293="","",$K293)</f>
        <v/>
      </c>
      <c r="Q293" s="16" t="n"/>
      <c r="R293" s="18" t="n"/>
      <c r="S293" s="16" t="n"/>
    </row>
    <row r="294">
      <c r="A294" s="14">
        <f>IFERROR(IF(AND(IFERROR(INDEX(ERP資料!$A:$A, (MATCH(293, 輔助計算!$F$2:$F$801, 0)+1)), "")&lt;&gt;"", IFERROR(INDEX(ERP資料!$A:$A, (MATCH(293, 輔助計算!$F$2:$F$801, 0)+1)), "")&lt;&gt;IFERROR(INDEX(ERP資料!$A:$A, MATCH(292, 輔助計算!$F$2:$F$801, 0)+1), "")), INDEX(ERP資料!$B:$B, (MATCH(293, 輔助計算!$F$2:$F$801, 0)+1)), ""), "")</f>
        <v/>
      </c>
      <c r="B294" s="10">
        <f>IFERROR(IF(AND(IFERROR(INDEX(ERP資料!$A:$A, (MATCH(293, 輔助計算!$F$2:$F$801, 0)+1)), "")&lt;&gt;"", IFERROR(INDEX(ERP資料!$A:$A, (MATCH(293, 輔助計算!$F$2:$F$801, 0)+1)), "")&lt;&gt;IFERROR(INDEX(ERP資料!$A:$A, MATCH(292, 輔助計算!$F$2:$F$801, 0)+1), "")), IFERROR(INDEX(ERP資料!$A:$A, (MATCH(293, 輔助計算!$F$2:$F$801, 0)+1)), ""), ""), "")</f>
        <v/>
      </c>
      <c r="C294" s="10">
        <f>IFERROR(IF(AND(IFERROR(INDEX(ERP資料!$A:$A, (MATCH(293, 輔助計算!$F$2:$F$801, 0)+1)), "")&lt;&gt;"", IFERROR(INDEX(ERP資料!$A:$A, (MATCH(293, 輔助計算!$F$2:$F$801, 0)+1)), "")&lt;&gt;IFERROR(INDEX(ERP資料!$A:$A, MATCH(292, 輔助計算!$F$2:$F$801, 0)+1), "")), INDEX(ERP資料!$S:$S, (MATCH(293, 輔助計算!$F$2:$F$801, 0)+1)), ""), "")</f>
        <v/>
      </c>
      <c r="D294" s="10">
        <f>IFERROR(IF(INDEX(ERP資料!$E:$E, (MATCH(293, 輔助計算!$F$2:$F$801, 0)+1))="","",TRIM(INDEX(ERP資料!$E:$E, (MATCH(293, 輔助計算!$F$2:$F$801, 0)+1)))), "")</f>
        <v/>
      </c>
      <c r="E294" s="10">
        <f>IFERROR(IF(INDEX(ERP資料!$F:$F, (MATCH(293, 輔助計算!$F$2:$F$801, 0)+1))="","",INDEX(ERP資料!$F:$F, (MATCH(293, 輔助計算!$F$2:$F$801, 0)+1))), "")</f>
        <v/>
      </c>
      <c r="F294" s="10">
        <f>IFERROR(IF(INDEX(ERP資料!$G:$G, (MATCH(293, 輔助計算!$F$2:$F$801, 0)+1))="","",INDEX(ERP資料!$G:$G, (MATCH(293, 輔助計算!$F$2:$F$801, 0)+1))), "")</f>
        <v/>
      </c>
      <c r="G294" s="10">
        <f>IFERROR(IF(INDEX(ERP資料!$H:$H, (MATCH(293, 輔助計算!$F$2:$F$801, 0)+1))="","",INDEX(ERP資料!$H:$H, (MATCH(293, 輔助計算!$F$2:$F$801, 0)+1))), "")</f>
        <v/>
      </c>
      <c r="H294" s="10">
        <f>IFERROR(IF(INDEX(ERP資料!$O:$O, (MATCH(293, 輔助計算!$F$2:$F$801, 0)+1))="","",INDEX(ERP資料!$O:$O, (MATCH(293, 輔助計算!$F$2:$F$801, 0)+1))), "")</f>
        <v/>
      </c>
      <c r="I294" s="15">
        <f>IFERROR(IF(INDEX(輔助計算!$D:$D,(MATCH(293, 輔助計算!$F$2:$F$801, 0)+1))="","",INDEX(輔助計算!$D:$D,(MATCH(293, 輔助計算!$F$2:$F$801, 0)+1))*INDEX(ERP資料!$O:$O,(MATCH(293, 輔助計算!$F$2:$F$801, 0)+1))), "")</f>
        <v/>
      </c>
      <c r="J294" s="16" t="n"/>
      <c r="K294" s="15">
        <f>IFERROR(INDEX(輔助計算!$D:$D, (MATCH(293, 輔助計算!$F$2:$F$801, 0)+1)), "")</f>
        <v/>
      </c>
      <c r="L294" s="16">
        <f>IFERROR(IF(AND(IFERROR(VLOOKUP(LEFT(INDEX(ERP資料!$S:$S, (MATCH(293, 輔助計算!$F$2:$F$801, 0)+1)), 4), 100張客戶!$A:$A, 1, FALSE), "")&lt;&gt;"", OR(INDEX(ERP資料!$F:$F, (MATCH(293, 輔助計算!$F$2:$F$801, 0)+1))=270, INDEX(ERP資料!$F:$F, (MATCH(293, 輔助計算!$F$2:$F$801, 0)+1))=300)), "100張", ""), "")</f>
        <v/>
      </c>
      <c r="M294" s="17" t="n"/>
      <c r="N294" s="17">
        <f>IF($F294="","",$F294)</f>
        <v/>
      </c>
      <c r="O294" s="17">
        <f>IF($G294="","",$G294)</f>
        <v/>
      </c>
      <c r="P294" s="17">
        <f>IF($K294="","",$K294)</f>
        <v/>
      </c>
      <c r="Q294" s="16" t="n"/>
      <c r="R294" s="18" t="n"/>
      <c r="S294" s="16" t="n"/>
    </row>
    <row r="295">
      <c r="A295" s="14">
        <f>IFERROR(IF(AND(IFERROR(INDEX(ERP資料!$A:$A, (MATCH(294, 輔助計算!$F$2:$F$801, 0)+1)), "")&lt;&gt;"", IFERROR(INDEX(ERP資料!$A:$A, (MATCH(294, 輔助計算!$F$2:$F$801, 0)+1)), "")&lt;&gt;IFERROR(INDEX(ERP資料!$A:$A, MATCH(293, 輔助計算!$F$2:$F$801, 0)+1), "")), INDEX(ERP資料!$B:$B, (MATCH(294, 輔助計算!$F$2:$F$801, 0)+1)), ""), "")</f>
        <v/>
      </c>
      <c r="B295" s="10">
        <f>IFERROR(IF(AND(IFERROR(INDEX(ERP資料!$A:$A, (MATCH(294, 輔助計算!$F$2:$F$801, 0)+1)), "")&lt;&gt;"", IFERROR(INDEX(ERP資料!$A:$A, (MATCH(294, 輔助計算!$F$2:$F$801, 0)+1)), "")&lt;&gt;IFERROR(INDEX(ERP資料!$A:$A, MATCH(293, 輔助計算!$F$2:$F$801, 0)+1), "")), IFERROR(INDEX(ERP資料!$A:$A, (MATCH(294, 輔助計算!$F$2:$F$801, 0)+1)), ""), ""), "")</f>
        <v/>
      </c>
      <c r="C295" s="10">
        <f>IFERROR(IF(AND(IFERROR(INDEX(ERP資料!$A:$A, (MATCH(294, 輔助計算!$F$2:$F$801, 0)+1)), "")&lt;&gt;"", IFERROR(INDEX(ERP資料!$A:$A, (MATCH(294, 輔助計算!$F$2:$F$801, 0)+1)), "")&lt;&gt;IFERROR(INDEX(ERP資料!$A:$A, MATCH(293, 輔助計算!$F$2:$F$801, 0)+1), "")), INDEX(ERP資料!$S:$S, (MATCH(294, 輔助計算!$F$2:$F$801, 0)+1)), ""), "")</f>
        <v/>
      </c>
      <c r="D295" s="10">
        <f>IFERROR(IF(INDEX(ERP資料!$E:$E, (MATCH(294, 輔助計算!$F$2:$F$801, 0)+1))="","",TRIM(INDEX(ERP資料!$E:$E, (MATCH(294, 輔助計算!$F$2:$F$801, 0)+1)))), "")</f>
        <v/>
      </c>
      <c r="E295" s="10">
        <f>IFERROR(IF(INDEX(ERP資料!$F:$F, (MATCH(294, 輔助計算!$F$2:$F$801, 0)+1))="","",INDEX(ERP資料!$F:$F, (MATCH(294, 輔助計算!$F$2:$F$801, 0)+1))), "")</f>
        <v/>
      </c>
      <c r="F295" s="10">
        <f>IFERROR(IF(INDEX(ERP資料!$G:$G, (MATCH(294, 輔助計算!$F$2:$F$801, 0)+1))="","",INDEX(ERP資料!$G:$G, (MATCH(294, 輔助計算!$F$2:$F$801, 0)+1))), "")</f>
        <v/>
      </c>
      <c r="G295" s="10">
        <f>IFERROR(IF(INDEX(ERP資料!$H:$H, (MATCH(294, 輔助計算!$F$2:$F$801, 0)+1))="","",INDEX(ERP資料!$H:$H, (MATCH(294, 輔助計算!$F$2:$F$801, 0)+1))), "")</f>
        <v/>
      </c>
      <c r="H295" s="10">
        <f>IFERROR(IF(INDEX(ERP資料!$O:$O, (MATCH(294, 輔助計算!$F$2:$F$801, 0)+1))="","",INDEX(ERP資料!$O:$O, (MATCH(294, 輔助計算!$F$2:$F$801, 0)+1))), "")</f>
        <v/>
      </c>
      <c r="I295" s="15">
        <f>IFERROR(IF(INDEX(輔助計算!$D:$D,(MATCH(294, 輔助計算!$F$2:$F$801, 0)+1))="","",INDEX(輔助計算!$D:$D,(MATCH(294, 輔助計算!$F$2:$F$801, 0)+1))*INDEX(ERP資料!$O:$O,(MATCH(294, 輔助計算!$F$2:$F$801, 0)+1))), "")</f>
        <v/>
      </c>
      <c r="J295" s="16" t="n"/>
      <c r="K295" s="15">
        <f>IFERROR(INDEX(輔助計算!$D:$D, (MATCH(294, 輔助計算!$F$2:$F$801, 0)+1)), "")</f>
        <v/>
      </c>
      <c r="L295" s="16">
        <f>IFERROR(IF(AND(IFERROR(VLOOKUP(LEFT(INDEX(ERP資料!$S:$S, (MATCH(294, 輔助計算!$F$2:$F$801, 0)+1)), 4), 100張客戶!$A:$A, 1, FALSE), "")&lt;&gt;"", OR(INDEX(ERP資料!$F:$F, (MATCH(294, 輔助計算!$F$2:$F$801, 0)+1))=270, INDEX(ERP資料!$F:$F, (MATCH(294, 輔助計算!$F$2:$F$801, 0)+1))=300)), "100張", ""), "")</f>
        <v/>
      </c>
      <c r="M295" s="17" t="n"/>
      <c r="N295" s="17">
        <f>IF($F295="","",$F295)</f>
        <v/>
      </c>
      <c r="O295" s="17">
        <f>IF($G295="","",$G295)</f>
        <v/>
      </c>
      <c r="P295" s="17">
        <f>IF($K295="","",$K295)</f>
        <v/>
      </c>
      <c r="Q295" s="16" t="n"/>
      <c r="R295" s="18" t="n"/>
      <c r="S295" s="16" t="n"/>
    </row>
    <row r="296">
      <c r="A296" s="14">
        <f>IFERROR(IF(AND(IFERROR(INDEX(ERP資料!$A:$A, (MATCH(295, 輔助計算!$F$2:$F$801, 0)+1)), "")&lt;&gt;"", IFERROR(INDEX(ERP資料!$A:$A, (MATCH(295, 輔助計算!$F$2:$F$801, 0)+1)), "")&lt;&gt;IFERROR(INDEX(ERP資料!$A:$A, MATCH(294, 輔助計算!$F$2:$F$801, 0)+1), "")), INDEX(ERP資料!$B:$B, (MATCH(295, 輔助計算!$F$2:$F$801, 0)+1)), ""), "")</f>
        <v/>
      </c>
      <c r="B296" s="10">
        <f>IFERROR(IF(AND(IFERROR(INDEX(ERP資料!$A:$A, (MATCH(295, 輔助計算!$F$2:$F$801, 0)+1)), "")&lt;&gt;"", IFERROR(INDEX(ERP資料!$A:$A, (MATCH(295, 輔助計算!$F$2:$F$801, 0)+1)), "")&lt;&gt;IFERROR(INDEX(ERP資料!$A:$A, MATCH(294, 輔助計算!$F$2:$F$801, 0)+1), "")), IFERROR(INDEX(ERP資料!$A:$A, (MATCH(295, 輔助計算!$F$2:$F$801, 0)+1)), ""), ""), "")</f>
        <v/>
      </c>
      <c r="C296" s="10">
        <f>IFERROR(IF(AND(IFERROR(INDEX(ERP資料!$A:$A, (MATCH(295, 輔助計算!$F$2:$F$801, 0)+1)), "")&lt;&gt;"", IFERROR(INDEX(ERP資料!$A:$A, (MATCH(295, 輔助計算!$F$2:$F$801, 0)+1)), "")&lt;&gt;IFERROR(INDEX(ERP資料!$A:$A, MATCH(294, 輔助計算!$F$2:$F$801, 0)+1), "")), INDEX(ERP資料!$S:$S, (MATCH(295, 輔助計算!$F$2:$F$801, 0)+1)), ""), "")</f>
        <v/>
      </c>
      <c r="D296" s="10">
        <f>IFERROR(IF(INDEX(ERP資料!$E:$E, (MATCH(295, 輔助計算!$F$2:$F$801, 0)+1))="","",TRIM(INDEX(ERP資料!$E:$E, (MATCH(295, 輔助計算!$F$2:$F$801, 0)+1)))), "")</f>
        <v/>
      </c>
      <c r="E296" s="10">
        <f>IFERROR(IF(INDEX(ERP資料!$F:$F, (MATCH(295, 輔助計算!$F$2:$F$801, 0)+1))="","",INDEX(ERP資料!$F:$F, (MATCH(295, 輔助計算!$F$2:$F$801, 0)+1))), "")</f>
        <v/>
      </c>
      <c r="F296" s="10">
        <f>IFERROR(IF(INDEX(ERP資料!$G:$G, (MATCH(295, 輔助計算!$F$2:$F$801, 0)+1))="","",INDEX(ERP資料!$G:$G, (MATCH(295, 輔助計算!$F$2:$F$801, 0)+1))), "")</f>
        <v/>
      </c>
      <c r="G296" s="10">
        <f>IFERROR(IF(INDEX(ERP資料!$H:$H, (MATCH(295, 輔助計算!$F$2:$F$801, 0)+1))="","",INDEX(ERP資料!$H:$H, (MATCH(295, 輔助計算!$F$2:$F$801, 0)+1))), "")</f>
        <v/>
      </c>
      <c r="H296" s="10">
        <f>IFERROR(IF(INDEX(ERP資料!$O:$O, (MATCH(295, 輔助計算!$F$2:$F$801, 0)+1))="","",INDEX(ERP資料!$O:$O, (MATCH(295, 輔助計算!$F$2:$F$801, 0)+1))), "")</f>
        <v/>
      </c>
      <c r="I296" s="15">
        <f>IFERROR(IF(INDEX(輔助計算!$D:$D,(MATCH(295, 輔助計算!$F$2:$F$801, 0)+1))="","",INDEX(輔助計算!$D:$D,(MATCH(295, 輔助計算!$F$2:$F$801, 0)+1))*INDEX(ERP資料!$O:$O,(MATCH(295, 輔助計算!$F$2:$F$801, 0)+1))), "")</f>
        <v/>
      </c>
      <c r="J296" s="16" t="n"/>
      <c r="K296" s="15">
        <f>IFERROR(INDEX(輔助計算!$D:$D, (MATCH(295, 輔助計算!$F$2:$F$801, 0)+1)), "")</f>
        <v/>
      </c>
      <c r="L296" s="16">
        <f>IFERROR(IF(AND(IFERROR(VLOOKUP(LEFT(INDEX(ERP資料!$S:$S, (MATCH(295, 輔助計算!$F$2:$F$801, 0)+1)), 4), 100張客戶!$A:$A, 1, FALSE), "")&lt;&gt;"", OR(INDEX(ERP資料!$F:$F, (MATCH(295, 輔助計算!$F$2:$F$801, 0)+1))=270, INDEX(ERP資料!$F:$F, (MATCH(295, 輔助計算!$F$2:$F$801, 0)+1))=300)), "100張", ""), "")</f>
        <v/>
      </c>
      <c r="M296" s="17" t="n"/>
      <c r="N296" s="17">
        <f>IF($F296="","",$F296)</f>
        <v/>
      </c>
      <c r="O296" s="17">
        <f>IF($G296="","",$G296)</f>
        <v/>
      </c>
      <c r="P296" s="17">
        <f>IF($K296="","",$K296)</f>
        <v/>
      </c>
      <c r="Q296" s="16" t="n"/>
      <c r="R296" s="18" t="n"/>
      <c r="S296" s="16" t="n"/>
    </row>
    <row r="297">
      <c r="A297" s="14">
        <f>IFERROR(IF(AND(IFERROR(INDEX(ERP資料!$A:$A, (MATCH(296, 輔助計算!$F$2:$F$801, 0)+1)), "")&lt;&gt;"", IFERROR(INDEX(ERP資料!$A:$A, (MATCH(296, 輔助計算!$F$2:$F$801, 0)+1)), "")&lt;&gt;IFERROR(INDEX(ERP資料!$A:$A, MATCH(295, 輔助計算!$F$2:$F$801, 0)+1), "")), INDEX(ERP資料!$B:$B, (MATCH(296, 輔助計算!$F$2:$F$801, 0)+1)), ""), "")</f>
        <v/>
      </c>
      <c r="B297" s="10">
        <f>IFERROR(IF(AND(IFERROR(INDEX(ERP資料!$A:$A, (MATCH(296, 輔助計算!$F$2:$F$801, 0)+1)), "")&lt;&gt;"", IFERROR(INDEX(ERP資料!$A:$A, (MATCH(296, 輔助計算!$F$2:$F$801, 0)+1)), "")&lt;&gt;IFERROR(INDEX(ERP資料!$A:$A, MATCH(295, 輔助計算!$F$2:$F$801, 0)+1), "")), IFERROR(INDEX(ERP資料!$A:$A, (MATCH(296, 輔助計算!$F$2:$F$801, 0)+1)), ""), ""), "")</f>
        <v/>
      </c>
      <c r="C297" s="10">
        <f>IFERROR(IF(AND(IFERROR(INDEX(ERP資料!$A:$A, (MATCH(296, 輔助計算!$F$2:$F$801, 0)+1)), "")&lt;&gt;"", IFERROR(INDEX(ERP資料!$A:$A, (MATCH(296, 輔助計算!$F$2:$F$801, 0)+1)), "")&lt;&gt;IFERROR(INDEX(ERP資料!$A:$A, MATCH(295, 輔助計算!$F$2:$F$801, 0)+1), "")), INDEX(ERP資料!$S:$S, (MATCH(296, 輔助計算!$F$2:$F$801, 0)+1)), ""), "")</f>
        <v/>
      </c>
      <c r="D297" s="10">
        <f>IFERROR(IF(INDEX(ERP資料!$E:$E, (MATCH(296, 輔助計算!$F$2:$F$801, 0)+1))="","",TRIM(INDEX(ERP資料!$E:$E, (MATCH(296, 輔助計算!$F$2:$F$801, 0)+1)))), "")</f>
        <v/>
      </c>
      <c r="E297" s="10">
        <f>IFERROR(IF(INDEX(ERP資料!$F:$F, (MATCH(296, 輔助計算!$F$2:$F$801, 0)+1))="","",INDEX(ERP資料!$F:$F, (MATCH(296, 輔助計算!$F$2:$F$801, 0)+1))), "")</f>
        <v/>
      </c>
      <c r="F297" s="10">
        <f>IFERROR(IF(INDEX(ERP資料!$G:$G, (MATCH(296, 輔助計算!$F$2:$F$801, 0)+1))="","",INDEX(ERP資料!$G:$G, (MATCH(296, 輔助計算!$F$2:$F$801, 0)+1))), "")</f>
        <v/>
      </c>
      <c r="G297" s="10">
        <f>IFERROR(IF(INDEX(ERP資料!$H:$H, (MATCH(296, 輔助計算!$F$2:$F$801, 0)+1))="","",INDEX(ERP資料!$H:$H, (MATCH(296, 輔助計算!$F$2:$F$801, 0)+1))), "")</f>
        <v/>
      </c>
      <c r="H297" s="10">
        <f>IFERROR(IF(INDEX(ERP資料!$O:$O, (MATCH(296, 輔助計算!$F$2:$F$801, 0)+1))="","",INDEX(ERP資料!$O:$O, (MATCH(296, 輔助計算!$F$2:$F$801, 0)+1))), "")</f>
        <v/>
      </c>
      <c r="I297" s="15">
        <f>IFERROR(IF(INDEX(輔助計算!$D:$D,(MATCH(296, 輔助計算!$F$2:$F$801, 0)+1))="","",INDEX(輔助計算!$D:$D,(MATCH(296, 輔助計算!$F$2:$F$801, 0)+1))*INDEX(ERP資料!$O:$O,(MATCH(296, 輔助計算!$F$2:$F$801, 0)+1))), "")</f>
        <v/>
      </c>
      <c r="J297" s="16" t="n"/>
      <c r="K297" s="15">
        <f>IFERROR(INDEX(輔助計算!$D:$D, (MATCH(296, 輔助計算!$F$2:$F$801, 0)+1)), "")</f>
        <v/>
      </c>
      <c r="L297" s="16">
        <f>IFERROR(IF(AND(IFERROR(VLOOKUP(LEFT(INDEX(ERP資料!$S:$S, (MATCH(296, 輔助計算!$F$2:$F$801, 0)+1)), 4), 100張客戶!$A:$A, 1, FALSE), "")&lt;&gt;"", OR(INDEX(ERP資料!$F:$F, (MATCH(296, 輔助計算!$F$2:$F$801, 0)+1))=270, INDEX(ERP資料!$F:$F, (MATCH(296, 輔助計算!$F$2:$F$801, 0)+1))=300)), "100張", ""), "")</f>
        <v/>
      </c>
      <c r="M297" s="17" t="n"/>
      <c r="N297" s="17">
        <f>IF($F297="","",$F297)</f>
        <v/>
      </c>
      <c r="O297" s="17">
        <f>IF($G297="","",$G297)</f>
        <v/>
      </c>
      <c r="P297" s="17">
        <f>IF($K297="","",$K297)</f>
        <v/>
      </c>
      <c r="Q297" s="16" t="n"/>
      <c r="R297" s="18" t="n"/>
      <c r="S297" s="16" t="n"/>
    </row>
    <row r="298">
      <c r="A298" s="14">
        <f>IFERROR(IF(AND(IFERROR(INDEX(ERP資料!$A:$A, (MATCH(297, 輔助計算!$F$2:$F$801, 0)+1)), "")&lt;&gt;"", IFERROR(INDEX(ERP資料!$A:$A, (MATCH(297, 輔助計算!$F$2:$F$801, 0)+1)), "")&lt;&gt;IFERROR(INDEX(ERP資料!$A:$A, MATCH(296, 輔助計算!$F$2:$F$801, 0)+1), "")), INDEX(ERP資料!$B:$B, (MATCH(297, 輔助計算!$F$2:$F$801, 0)+1)), ""), "")</f>
        <v/>
      </c>
      <c r="B298" s="10">
        <f>IFERROR(IF(AND(IFERROR(INDEX(ERP資料!$A:$A, (MATCH(297, 輔助計算!$F$2:$F$801, 0)+1)), "")&lt;&gt;"", IFERROR(INDEX(ERP資料!$A:$A, (MATCH(297, 輔助計算!$F$2:$F$801, 0)+1)), "")&lt;&gt;IFERROR(INDEX(ERP資料!$A:$A, MATCH(296, 輔助計算!$F$2:$F$801, 0)+1), "")), IFERROR(INDEX(ERP資料!$A:$A, (MATCH(297, 輔助計算!$F$2:$F$801, 0)+1)), ""), ""), "")</f>
        <v/>
      </c>
      <c r="C298" s="10">
        <f>IFERROR(IF(AND(IFERROR(INDEX(ERP資料!$A:$A, (MATCH(297, 輔助計算!$F$2:$F$801, 0)+1)), "")&lt;&gt;"", IFERROR(INDEX(ERP資料!$A:$A, (MATCH(297, 輔助計算!$F$2:$F$801, 0)+1)), "")&lt;&gt;IFERROR(INDEX(ERP資料!$A:$A, MATCH(296, 輔助計算!$F$2:$F$801, 0)+1), "")), INDEX(ERP資料!$S:$S, (MATCH(297, 輔助計算!$F$2:$F$801, 0)+1)), ""), "")</f>
        <v/>
      </c>
      <c r="D298" s="10">
        <f>IFERROR(IF(INDEX(ERP資料!$E:$E, (MATCH(297, 輔助計算!$F$2:$F$801, 0)+1))="","",TRIM(INDEX(ERP資料!$E:$E, (MATCH(297, 輔助計算!$F$2:$F$801, 0)+1)))), "")</f>
        <v/>
      </c>
      <c r="E298" s="10">
        <f>IFERROR(IF(INDEX(ERP資料!$F:$F, (MATCH(297, 輔助計算!$F$2:$F$801, 0)+1))="","",INDEX(ERP資料!$F:$F, (MATCH(297, 輔助計算!$F$2:$F$801, 0)+1))), "")</f>
        <v/>
      </c>
      <c r="F298" s="10">
        <f>IFERROR(IF(INDEX(ERP資料!$G:$G, (MATCH(297, 輔助計算!$F$2:$F$801, 0)+1))="","",INDEX(ERP資料!$G:$G, (MATCH(297, 輔助計算!$F$2:$F$801, 0)+1))), "")</f>
        <v/>
      </c>
      <c r="G298" s="10">
        <f>IFERROR(IF(INDEX(ERP資料!$H:$H, (MATCH(297, 輔助計算!$F$2:$F$801, 0)+1))="","",INDEX(ERP資料!$H:$H, (MATCH(297, 輔助計算!$F$2:$F$801, 0)+1))), "")</f>
        <v/>
      </c>
      <c r="H298" s="10">
        <f>IFERROR(IF(INDEX(ERP資料!$O:$O, (MATCH(297, 輔助計算!$F$2:$F$801, 0)+1))="","",INDEX(ERP資料!$O:$O, (MATCH(297, 輔助計算!$F$2:$F$801, 0)+1))), "")</f>
        <v/>
      </c>
      <c r="I298" s="15">
        <f>IFERROR(IF(INDEX(輔助計算!$D:$D,(MATCH(297, 輔助計算!$F$2:$F$801, 0)+1))="","",INDEX(輔助計算!$D:$D,(MATCH(297, 輔助計算!$F$2:$F$801, 0)+1))*INDEX(ERP資料!$O:$O,(MATCH(297, 輔助計算!$F$2:$F$801, 0)+1))), "")</f>
        <v/>
      </c>
      <c r="J298" s="16" t="n"/>
      <c r="K298" s="15">
        <f>IFERROR(INDEX(輔助計算!$D:$D, (MATCH(297, 輔助計算!$F$2:$F$801, 0)+1)), "")</f>
        <v/>
      </c>
      <c r="L298" s="16">
        <f>IFERROR(IF(AND(IFERROR(VLOOKUP(LEFT(INDEX(ERP資料!$S:$S, (MATCH(297, 輔助計算!$F$2:$F$801, 0)+1)), 4), 100張客戶!$A:$A, 1, FALSE), "")&lt;&gt;"", OR(INDEX(ERP資料!$F:$F, (MATCH(297, 輔助計算!$F$2:$F$801, 0)+1))=270, INDEX(ERP資料!$F:$F, (MATCH(297, 輔助計算!$F$2:$F$801, 0)+1))=300)), "100張", ""), "")</f>
        <v/>
      </c>
      <c r="M298" s="17" t="n"/>
      <c r="N298" s="17">
        <f>IF($F298="","",$F298)</f>
        <v/>
      </c>
      <c r="O298" s="17">
        <f>IF($G298="","",$G298)</f>
        <v/>
      </c>
      <c r="P298" s="17">
        <f>IF($K298="","",$K298)</f>
        <v/>
      </c>
      <c r="Q298" s="16" t="n"/>
      <c r="R298" s="18" t="n"/>
      <c r="S298" s="16" t="n"/>
    </row>
    <row r="299">
      <c r="A299" s="14">
        <f>IFERROR(IF(AND(IFERROR(INDEX(ERP資料!$A:$A, (MATCH(298, 輔助計算!$F$2:$F$801, 0)+1)), "")&lt;&gt;"", IFERROR(INDEX(ERP資料!$A:$A, (MATCH(298, 輔助計算!$F$2:$F$801, 0)+1)), "")&lt;&gt;IFERROR(INDEX(ERP資料!$A:$A, MATCH(297, 輔助計算!$F$2:$F$801, 0)+1), "")), INDEX(ERP資料!$B:$B, (MATCH(298, 輔助計算!$F$2:$F$801, 0)+1)), ""), "")</f>
        <v/>
      </c>
      <c r="B299" s="10">
        <f>IFERROR(IF(AND(IFERROR(INDEX(ERP資料!$A:$A, (MATCH(298, 輔助計算!$F$2:$F$801, 0)+1)), "")&lt;&gt;"", IFERROR(INDEX(ERP資料!$A:$A, (MATCH(298, 輔助計算!$F$2:$F$801, 0)+1)), "")&lt;&gt;IFERROR(INDEX(ERP資料!$A:$A, MATCH(297, 輔助計算!$F$2:$F$801, 0)+1), "")), IFERROR(INDEX(ERP資料!$A:$A, (MATCH(298, 輔助計算!$F$2:$F$801, 0)+1)), ""), ""), "")</f>
        <v/>
      </c>
      <c r="C299" s="10">
        <f>IFERROR(IF(AND(IFERROR(INDEX(ERP資料!$A:$A, (MATCH(298, 輔助計算!$F$2:$F$801, 0)+1)), "")&lt;&gt;"", IFERROR(INDEX(ERP資料!$A:$A, (MATCH(298, 輔助計算!$F$2:$F$801, 0)+1)), "")&lt;&gt;IFERROR(INDEX(ERP資料!$A:$A, MATCH(297, 輔助計算!$F$2:$F$801, 0)+1), "")), INDEX(ERP資料!$S:$S, (MATCH(298, 輔助計算!$F$2:$F$801, 0)+1)), ""), "")</f>
        <v/>
      </c>
      <c r="D299" s="10">
        <f>IFERROR(IF(INDEX(ERP資料!$E:$E, (MATCH(298, 輔助計算!$F$2:$F$801, 0)+1))="","",TRIM(INDEX(ERP資料!$E:$E, (MATCH(298, 輔助計算!$F$2:$F$801, 0)+1)))), "")</f>
        <v/>
      </c>
      <c r="E299" s="10">
        <f>IFERROR(IF(INDEX(ERP資料!$F:$F, (MATCH(298, 輔助計算!$F$2:$F$801, 0)+1))="","",INDEX(ERP資料!$F:$F, (MATCH(298, 輔助計算!$F$2:$F$801, 0)+1))), "")</f>
        <v/>
      </c>
      <c r="F299" s="10">
        <f>IFERROR(IF(INDEX(ERP資料!$G:$G, (MATCH(298, 輔助計算!$F$2:$F$801, 0)+1))="","",INDEX(ERP資料!$G:$G, (MATCH(298, 輔助計算!$F$2:$F$801, 0)+1))), "")</f>
        <v/>
      </c>
      <c r="G299" s="10">
        <f>IFERROR(IF(INDEX(ERP資料!$H:$H, (MATCH(298, 輔助計算!$F$2:$F$801, 0)+1))="","",INDEX(ERP資料!$H:$H, (MATCH(298, 輔助計算!$F$2:$F$801, 0)+1))), "")</f>
        <v/>
      </c>
      <c r="H299" s="10">
        <f>IFERROR(IF(INDEX(ERP資料!$O:$O, (MATCH(298, 輔助計算!$F$2:$F$801, 0)+1))="","",INDEX(ERP資料!$O:$O, (MATCH(298, 輔助計算!$F$2:$F$801, 0)+1))), "")</f>
        <v/>
      </c>
      <c r="I299" s="15">
        <f>IFERROR(IF(INDEX(輔助計算!$D:$D,(MATCH(298, 輔助計算!$F$2:$F$801, 0)+1))="","",INDEX(輔助計算!$D:$D,(MATCH(298, 輔助計算!$F$2:$F$801, 0)+1))*INDEX(ERP資料!$O:$O,(MATCH(298, 輔助計算!$F$2:$F$801, 0)+1))), "")</f>
        <v/>
      </c>
      <c r="J299" s="16" t="n"/>
      <c r="K299" s="15">
        <f>IFERROR(INDEX(輔助計算!$D:$D, (MATCH(298, 輔助計算!$F$2:$F$801, 0)+1)), "")</f>
        <v/>
      </c>
      <c r="L299" s="16">
        <f>IFERROR(IF(AND(IFERROR(VLOOKUP(LEFT(INDEX(ERP資料!$S:$S, (MATCH(298, 輔助計算!$F$2:$F$801, 0)+1)), 4), 100張客戶!$A:$A, 1, FALSE), "")&lt;&gt;"", OR(INDEX(ERP資料!$F:$F, (MATCH(298, 輔助計算!$F$2:$F$801, 0)+1))=270, INDEX(ERP資料!$F:$F, (MATCH(298, 輔助計算!$F$2:$F$801, 0)+1))=300)), "100張", ""), "")</f>
        <v/>
      </c>
      <c r="M299" s="17" t="n"/>
      <c r="N299" s="17">
        <f>IF($F299="","",$F299)</f>
        <v/>
      </c>
      <c r="O299" s="17">
        <f>IF($G299="","",$G299)</f>
        <v/>
      </c>
      <c r="P299" s="17">
        <f>IF($K299="","",$K299)</f>
        <v/>
      </c>
      <c r="Q299" s="16" t="n"/>
      <c r="R299" s="18" t="n"/>
      <c r="S299" s="16" t="n"/>
    </row>
    <row r="300">
      <c r="A300" s="14">
        <f>IFERROR(IF(AND(IFERROR(INDEX(ERP資料!$A:$A, (MATCH(299, 輔助計算!$F$2:$F$801, 0)+1)), "")&lt;&gt;"", IFERROR(INDEX(ERP資料!$A:$A, (MATCH(299, 輔助計算!$F$2:$F$801, 0)+1)), "")&lt;&gt;IFERROR(INDEX(ERP資料!$A:$A, MATCH(298, 輔助計算!$F$2:$F$801, 0)+1), "")), INDEX(ERP資料!$B:$B, (MATCH(299, 輔助計算!$F$2:$F$801, 0)+1)), ""), "")</f>
        <v/>
      </c>
      <c r="B300" s="10">
        <f>IFERROR(IF(AND(IFERROR(INDEX(ERP資料!$A:$A, (MATCH(299, 輔助計算!$F$2:$F$801, 0)+1)), "")&lt;&gt;"", IFERROR(INDEX(ERP資料!$A:$A, (MATCH(299, 輔助計算!$F$2:$F$801, 0)+1)), "")&lt;&gt;IFERROR(INDEX(ERP資料!$A:$A, MATCH(298, 輔助計算!$F$2:$F$801, 0)+1), "")), IFERROR(INDEX(ERP資料!$A:$A, (MATCH(299, 輔助計算!$F$2:$F$801, 0)+1)), ""), ""), "")</f>
        <v/>
      </c>
      <c r="C300" s="10">
        <f>IFERROR(IF(AND(IFERROR(INDEX(ERP資料!$A:$A, (MATCH(299, 輔助計算!$F$2:$F$801, 0)+1)), "")&lt;&gt;"", IFERROR(INDEX(ERP資料!$A:$A, (MATCH(299, 輔助計算!$F$2:$F$801, 0)+1)), "")&lt;&gt;IFERROR(INDEX(ERP資料!$A:$A, MATCH(298, 輔助計算!$F$2:$F$801, 0)+1), "")), INDEX(ERP資料!$S:$S, (MATCH(299, 輔助計算!$F$2:$F$801, 0)+1)), ""), "")</f>
        <v/>
      </c>
      <c r="D300" s="10">
        <f>IFERROR(IF(INDEX(ERP資料!$E:$E, (MATCH(299, 輔助計算!$F$2:$F$801, 0)+1))="","",TRIM(INDEX(ERP資料!$E:$E, (MATCH(299, 輔助計算!$F$2:$F$801, 0)+1)))), "")</f>
        <v/>
      </c>
      <c r="E300" s="10">
        <f>IFERROR(IF(INDEX(ERP資料!$F:$F, (MATCH(299, 輔助計算!$F$2:$F$801, 0)+1))="","",INDEX(ERP資料!$F:$F, (MATCH(299, 輔助計算!$F$2:$F$801, 0)+1))), "")</f>
        <v/>
      </c>
      <c r="F300" s="10">
        <f>IFERROR(IF(INDEX(ERP資料!$G:$G, (MATCH(299, 輔助計算!$F$2:$F$801, 0)+1))="","",INDEX(ERP資料!$G:$G, (MATCH(299, 輔助計算!$F$2:$F$801, 0)+1))), "")</f>
        <v/>
      </c>
      <c r="G300" s="10">
        <f>IFERROR(IF(INDEX(ERP資料!$H:$H, (MATCH(299, 輔助計算!$F$2:$F$801, 0)+1))="","",INDEX(ERP資料!$H:$H, (MATCH(299, 輔助計算!$F$2:$F$801, 0)+1))), "")</f>
        <v/>
      </c>
      <c r="H300" s="10">
        <f>IFERROR(IF(INDEX(ERP資料!$O:$O, (MATCH(299, 輔助計算!$F$2:$F$801, 0)+1))="","",INDEX(ERP資料!$O:$O, (MATCH(299, 輔助計算!$F$2:$F$801, 0)+1))), "")</f>
        <v/>
      </c>
      <c r="I300" s="15">
        <f>IFERROR(IF(INDEX(輔助計算!$D:$D,(MATCH(299, 輔助計算!$F$2:$F$801, 0)+1))="","",INDEX(輔助計算!$D:$D,(MATCH(299, 輔助計算!$F$2:$F$801, 0)+1))*INDEX(ERP資料!$O:$O,(MATCH(299, 輔助計算!$F$2:$F$801, 0)+1))), "")</f>
        <v/>
      </c>
      <c r="J300" s="16" t="n"/>
      <c r="K300" s="15">
        <f>IFERROR(INDEX(輔助計算!$D:$D, (MATCH(299, 輔助計算!$F$2:$F$801, 0)+1)), "")</f>
        <v/>
      </c>
      <c r="L300" s="16">
        <f>IFERROR(IF(AND(IFERROR(VLOOKUP(LEFT(INDEX(ERP資料!$S:$S, (MATCH(299, 輔助計算!$F$2:$F$801, 0)+1)), 4), 100張客戶!$A:$A, 1, FALSE), "")&lt;&gt;"", OR(INDEX(ERP資料!$F:$F, (MATCH(299, 輔助計算!$F$2:$F$801, 0)+1))=270, INDEX(ERP資料!$F:$F, (MATCH(299, 輔助計算!$F$2:$F$801, 0)+1))=300)), "100張", ""), "")</f>
        <v/>
      </c>
      <c r="M300" s="17" t="n"/>
      <c r="N300" s="17">
        <f>IF($F300="","",$F300)</f>
        <v/>
      </c>
      <c r="O300" s="17">
        <f>IF($G300="","",$G300)</f>
        <v/>
      </c>
      <c r="P300" s="17">
        <f>IF($K300="","",$K300)</f>
        <v/>
      </c>
      <c r="Q300" s="16" t="n"/>
      <c r="R300" s="18" t="n"/>
      <c r="S300" s="16" t="n"/>
    </row>
    <row r="301">
      <c r="A301" s="14">
        <f>IFERROR(IF(AND(IFERROR(INDEX(ERP資料!$A:$A, (MATCH(300, 輔助計算!$F$2:$F$801, 0)+1)), "")&lt;&gt;"", IFERROR(INDEX(ERP資料!$A:$A, (MATCH(300, 輔助計算!$F$2:$F$801, 0)+1)), "")&lt;&gt;IFERROR(INDEX(ERP資料!$A:$A, MATCH(299, 輔助計算!$F$2:$F$801, 0)+1), "")), INDEX(ERP資料!$B:$B, (MATCH(300, 輔助計算!$F$2:$F$801, 0)+1)), ""), "")</f>
        <v/>
      </c>
      <c r="B301" s="10">
        <f>IFERROR(IF(AND(IFERROR(INDEX(ERP資料!$A:$A, (MATCH(300, 輔助計算!$F$2:$F$801, 0)+1)), "")&lt;&gt;"", IFERROR(INDEX(ERP資料!$A:$A, (MATCH(300, 輔助計算!$F$2:$F$801, 0)+1)), "")&lt;&gt;IFERROR(INDEX(ERP資料!$A:$A, MATCH(299, 輔助計算!$F$2:$F$801, 0)+1), "")), IFERROR(INDEX(ERP資料!$A:$A, (MATCH(300, 輔助計算!$F$2:$F$801, 0)+1)), ""), ""), "")</f>
        <v/>
      </c>
      <c r="C301" s="10">
        <f>IFERROR(IF(AND(IFERROR(INDEX(ERP資料!$A:$A, (MATCH(300, 輔助計算!$F$2:$F$801, 0)+1)), "")&lt;&gt;"", IFERROR(INDEX(ERP資料!$A:$A, (MATCH(300, 輔助計算!$F$2:$F$801, 0)+1)), "")&lt;&gt;IFERROR(INDEX(ERP資料!$A:$A, MATCH(299, 輔助計算!$F$2:$F$801, 0)+1), "")), INDEX(ERP資料!$S:$S, (MATCH(300, 輔助計算!$F$2:$F$801, 0)+1)), ""), "")</f>
        <v/>
      </c>
      <c r="D301" s="10">
        <f>IFERROR(IF(INDEX(ERP資料!$E:$E, (MATCH(300, 輔助計算!$F$2:$F$801, 0)+1))="","",TRIM(INDEX(ERP資料!$E:$E, (MATCH(300, 輔助計算!$F$2:$F$801, 0)+1)))), "")</f>
        <v/>
      </c>
      <c r="E301" s="10">
        <f>IFERROR(IF(INDEX(ERP資料!$F:$F, (MATCH(300, 輔助計算!$F$2:$F$801, 0)+1))="","",INDEX(ERP資料!$F:$F, (MATCH(300, 輔助計算!$F$2:$F$801, 0)+1))), "")</f>
        <v/>
      </c>
      <c r="F301" s="10">
        <f>IFERROR(IF(INDEX(ERP資料!$G:$G, (MATCH(300, 輔助計算!$F$2:$F$801, 0)+1))="","",INDEX(ERP資料!$G:$G, (MATCH(300, 輔助計算!$F$2:$F$801, 0)+1))), "")</f>
        <v/>
      </c>
      <c r="G301" s="10">
        <f>IFERROR(IF(INDEX(ERP資料!$H:$H, (MATCH(300, 輔助計算!$F$2:$F$801, 0)+1))="","",INDEX(ERP資料!$H:$H, (MATCH(300, 輔助計算!$F$2:$F$801, 0)+1))), "")</f>
        <v/>
      </c>
      <c r="H301" s="10">
        <f>IFERROR(IF(INDEX(ERP資料!$O:$O, (MATCH(300, 輔助計算!$F$2:$F$801, 0)+1))="","",INDEX(ERP資料!$O:$O, (MATCH(300, 輔助計算!$F$2:$F$801, 0)+1))), "")</f>
        <v/>
      </c>
      <c r="I301" s="15">
        <f>IFERROR(IF(INDEX(輔助計算!$D:$D,(MATCH(300, 輔助計算!$F$2:$F$801, 0)+1))="","",INDEX(輔助計算!$D:$D,(MATCH(300, 輔助計算!$F$2:$F$801, 0)+1))*INDEX(ERP資料!$O:$O,(MATCH(300, 輔助計算!$F$2:$F$801, 0)+1))), "")</f>
        <v/>
      </c>
      <c r="J301" s="16" t="n"/>
      <c r="K301" s="15">
        <f>IFERROR(INDEX(輔助計算!$D:$D, (MATCH(300, 輔助計算!$F$2:$F$801, 0)+1)), "")</f>
        <v/>
      </c>
      <c r="L301" s="16">
        <f>IFERROR(IF(AND(IFERROR(VLOOKUP(LEFT(INDEX(ERP資料!$S:$S, (MATCH(300, 輔助計算!$F$2:$F$801, 0)+1)), 4), 100張客戶!$A:$A, 1, FALSE), "")&lt;&gt;"", OR(INDEX(ERP資料!$F:$F, (MATCH(300, 輔助計算!$F$2:$F$801, 0)+1))=270, INDEX(ERP資料!$F:$F, (MATCH(300, 輔助計算!$F$2:$F$801, 0)+1))=300)), "100張", ""), "")</f>
        <v/>
      </c>
      <c r="M301" s="17" t="n"/>
      <c r="N301" s="17">
        <f>IF($F301="","",$F301)</f>
        <v/>
      </c>
      <c r="O301" s="17">
        <f>IF($G301="","",$G301)</f>
        <v/>
      </c>
      <c r="P301" s="17">
        <f>IF($K301="","",$K301)</f>
        <v/>
      </c>
      <c r="Q301" s="16" t="n"/>
      <c r="R301" s="18" t="n"/>
      <c r="S301" s="16" t="n"/>
    </row>
    <row r="302">
      <c r="A302" s="14">
        <f>IFERROR(IF(AND(IFERROR(INDEX(ERP資料!$A:$A, (MATCH(301, 輔助計算!$F$2:$F$801, 0)+1)), "")&lt;&gt;"", IFERROR(INDEX(ERP資料!$A:$A, (MATCH(301, 輔助計算!$F$2:$F$801, 0)+1)), "")&lt;&gt;IFERROR(INDEX(ERP資料!$A:$A, MATCH(300, 輔助計算!$F$2:$F$801, 0)+1), "")), INDEX(ERP資料!$B:$B, (MATCH(301, 輔助計算!$F$2:$F$801, 0)+1)), ""), "")</f>
        <v/>
      </c>
      <c r="B302" s="10">
        <f>IFERROR(IF(AND(IFERROR(INDEX(ERP資料!$A:$A, (MATCH(301, 輔助計算!$F$2:$F$801, 0)+1)), "")&lt;&gt;"", IFERROR(INDEX(ERP資料!$A:$A, (MATCH(301, 輔助計算!$F$2:$F$801, 0)+1)), "")&lt;&gt;IFERROR(INDEX(ERP資料!$A:$A, MATCH(300, 輔助計算!$F$2:$F$801, 0)+1), "")), IFERROR(INDEX(ERP資料!$A:$A, (MATCH(301, 輔助計算!$F$2:$F$801, 0)+1)), ""), ""), "")</f>
        <v/>
      </c>
      <c r="C302" s="10">
        <f>IFERROR(IF(AND(IFERROR(INDEX(ERP資料!$A:$A, (MATCH(301, 輔助計算!$F$2:$F$801, 0)+1)), "")&lt;&gt;"", IFERROR(INDEX(ERP資料!$A:$A, (MATCH(301, 輔助計算!$F$2:$F$801, 0)+1)), "")&lt;&gt;IFERROR(INDEX(ERP資料!$A:$A, MATCH(300, 輔助計算!$F$2:$F$801, 0)+1), "")), INDEX(ERP資料!$S:$S, (MATCH(301, 輔助計算!$F$2:$F$801, 0)+1)), ""), "")</f>
        <v/>
      </c>
      <c r="D302" s="10">
        <f>IFERROR(IF(INDEX(ERP資料!$E:$E, (MATCH(301, 輔助計算!$F$2:$F$801, 0)+1))="","",TRIM(INDEX(ERP資料!$E:$E, (MATCH(301, 輔助計算!$F$2:$F$801, 0)+1)))), "")</f>
        <v/>
      </c>
      <c r="E302" s="10">
        <f>IFERROR(IF(INDEX(ERP資料!$F:$F, (MATCH(301, 輔助計算!$F$2:$F$801, 0)+1))="","",INDEX(ERP資料!$F:$F, (MATCH(301, 輔助計算!$F$2:$F$801, 0)+1))), "")</f>
        <v/>
      </c>
      <c r="F302" s="10">
        <f>IFERROR(IF(INDEX(ERP資料!$G:$G, (MATCH(301, 輔助計算!$F$2:$F$801, 0)+1))="","",INDEX(ERP資料!$G:$G, (MATCH(301, 輔助計算!$F$2:$F$801, 0)+1))), "")</f>
        <v/>
      </c>
      <c r="G302" s="10">
        <f>IFERROR(IF(INDEX(ERP資料!$H:$H, (MATCH(301, 輔助計算!$F$2:$F$801, 0)+1))="","",INDEX(ERP資料!$H:$H, (MATCH(301, 輔助計算!$F$2:$F$801, 0)+1))), "")</f>
        <v/>
      </c>
      <c r="H302" s="10">
        <f>IFERROR(IF(INDEX(ERP資料!$O:$O, (MATCH(301, 輔助計算!$F$2:$F$801, 0)+1))="","",INDEX(ERP資料!$O:$O, (MATCH(301, 輔助計算!$F$2:$F$801, 0)+1))), "")</f>
        <v/>
      </c>
      <c r="I302" s="15">
        <f>IFERROR(IF(INDEX(輔助計算!$D:$D,(MATCH(301, 輔助計算!$F$2:$F$801, 0)+1))="","",INDEX(輔助計算!$D:$D,(MATCH(301, 輔助計算!$F$2:$F$801, 0)+1))*INDEX(ERP資料!$O:$O,(MATCH(301, 輔助計算!$F$2:$F$801, 0)+1))), "")</f>
        <v/>
      </c>
      <c r="J302" s="16" t="n"/>
      <c r="K302" s="15">
        <f>IFERROR(INDEX(輔助計算!$D:$D, (MATCH(301, 輔助計算!$F$2:$F$801, 0)+1)), "")</f>
        <v/>
      </c>
      <c r="L302" s="16">
        <f>IFERROR(IF(AND(IFERROR(VLOOKUP(LEFT(INDEX(ERP資料!$S:$S, (MATCH(301, 輔助計算!$F$2:$F$801, 0)+1)), 4), 100張客戶!$A:$A, 1, FALSE), "")&lt;&gt;"", OR(INDEX(ERP資料!$F:$F, (MATCH(301, 輔助計算!$F$2:$F$801, 0)+1))=270, INDEX(ERP資料!$F:$F, (MATCH(301, 輔助計算!$F$2:$F$801, 0)+1))=300)), "100張", ""), "")</f>
        <v/>
      </c>
      <c r="M302" s="17" t="n"/>
      <c r="N302" s="17">
        <f>IF($F302="","",$F302)</f>
        <v/>
      </c>
      <c r="O302" s="17">
        <f>IF($G302="","",$G302)</f>
        <v/>
      </c>
      <c r="P302" s="17">
        <f>IF($K302="","",$K302)</f>
        <v/>
      </c>
      <c r="Q302" s="16" t="n"/>
      <c r="R302" s="18" t="n"/>
      <c r="S302" s="16" t="n"/>
    </row>
    <row r="303">
      <c r="A303" s="14">
        <f>IFERROR(IF(AND(IFERROR(INDEX(ERP資料!$A:$A, (MATCH(302, 輔助計算!$F$2:$F$801, 0)+1)), "")&lt;&gt;"", IFERROR(INDEX(ERP資料!$A:$A, (MATCH(302, 輔助計算!$F$2:$F$801, 0)+1)), "")&lt;&gt;IFERROR(INDEX(ERP資料!$A:$A, MATCH(301, 輔助計算!$F$2:$F$801, 0)+1), "")), INDEX(ERP資料!$B:$B, (MATCH(302, 輔助計算!$F$2:$F$801, 0)+1)), ""), "")</f>
        <v/>
      </c>
      <c r="B303" s="10">
        <f>IFERROR(IF(AND(IFERROR(INDEX(ERP資料!$A:$A, (MATCH(302, 輔助計算!$F$2:$F$801, 0)+1)), "")&lt;&gt;"", IFERROR(INDEX(ERP資料!$A:$A, (MATCH(302, 輔助計算!$F$2:$F$801, 0)+1)), "")&lt;&gt;IFERROR(INDEX(ERP資料!$A:$A, MATCH(301, 輔助計算!$F$2:$F$801, 0)+1), "")), IFERROR(INDEX(ERP資料!$A:$A, (MATCH(302, 輔助計算!$F$2:$F$801, 0)+1)), ""), ""), "")</f>
        <v/>
      </c>
      <c r="C303" s="10">
        <f>IFERROR(IF(AND(IFERROR(INDEX(ERP資料!$A:$A, (MATCH(302, 輔助計算!$F$2:$F$801, 0)+1)), "")&lt;&gt;"", IFERROR(INDEX(ERP資料!$A:$A, (MATCH(302, 輔助計算!$F$2:$F$801, 0)+1)), "")&lt;&gt;IFERROR(INDEX(ERP資料!$A:$A, MATCH(301, 輔助計算!$F$2:$F$801, 0)+1), "")), INDEX(ERP資料!$S:$S, (MATCH(302, 輔助計算!$F$2:$F$801, 0)+1)), ""), "")</f>
        <v/>
      </c>
      <c r="D303" s="10">
        <f>IFERROR(IF(INDEX(ERP資料!$E:$E, (MATCH(302, 輔助計算!$F$2:$F$801, 0)+1))="","",TRIM(INDEX(ERP資料!$E:$E, (MATCH(302, 輔助計算!$F$2:$F$801, 0)+1)))), "")</f>
        <v/>
      </c>
      <c r="E303" s="10">
        <f>IFERROR(IF(INDEX(ERP資料!$F:$F, (MATCH(302, 輔助計算!$F$2:$F$801, 0)+1))="","",INDEX(ERP資料!$F:$F, (MATCH(302, 輔助計算!$F$2:$F$801, 0)+1))), "")</f>
        <v/>
      </c>
      <c r="F303" s="10">
        <f>IFERROR(IF(INDEX(ERP資料!$G:$G, (MATCH(302, 輔助計算!$F$2:$F$801, 0)+1))="","",INDEX(ERP資料!$G:$G, (MATCH(302, 輔助計算!$F$2:$F$801, 0)+1))), "")</f>
        <v/>
      </c>
      <c r="G303" s="10">
        <f>IFERROR(IF(INDEX(ERP資料!$H:$H, (MATCH(302, 輔助計算!$F$2:$F$801, 0)+1))="","",INDEX(ERP資料!$H:$H, (MATCH(302, 輔助計算!$F$2:$F$801, 0)+1))), "")</f>
        <v/>
      </c>
      <c r="H303" s="10">
        <f>IFERROR(IF(INDEX(ERP資料!$O:$O, (MATCH(302, 輔助計算!$F$2:$F$801, 0)+1))="","",INDEX(ERP資料!$O:$O, (MATCH(302, 輔助計算!$F$2:$F$801, 0)+1))), "")</f>
        <v/>
      </c>
      <c r="I303" s="15">
        <f>IFERROR(IF(INDEX(輔助計算!$D:$D,(MATCH(302, 輔助計算!$F$2:$F$801, 0)+1))="","",INDEX(輔助計算!$D:$D,(MATCH(302, 輔助計算!$F$2:$F$801, 0)+1))*INDEX(ERP資料!$O:$O,(MATCH(302, 輔助計算!$F$2:$F$801, 0)+1))), "")</f>
        <v/>
      </c>
      <c r="J303" s="16" t="n"/>
      <c r="K303" s="15">
        <f>IFERROR(INDEX(輔助計算!$D:$D, (MATCH(302, 輔助計算!$F$2:$F$801, 0)+1)), "")</f>
        <v/>
      </c>
      <c r="L303" s="16">
        <f>IFERROR(IF(AND(IFERROR(VLOOKUP(LEFT(INDEX(ERP資料!$S:$S, (MATCH(302, 輔助計算!$F$2:$F$801, 0)+1)), 4), 100張客戶!$A:$A, 1, FALSE), "")&lt;&gt;"", OR(INDEX(ERP資料!$F:$F, (MATCH(302, 輔助計算!$F$2:$F$801, 0)+1))=270, INDEX(ERP資料!$F:$F, (MATCH(302, 輔助計算!$F$2:$F$801, 0)+1))=300)), "100張", ""), "")</f>
        <v/>
      </c>
      <c r="M303" s="17" t="n"/>
      <c r="N303" s="17">
        <f>IF($F303="","",$F303)</f>
        <v/>
      </c>
      <c r="O303" s="17">
        <f>IF($G303="","",$G303)</f>
        <v/>
      </c>
      <c r="P303" s="17">
        <f>IF($K303="","",$K303)</f>
        <v/>
      </c>
      <c r="Q303" s="16" t="n"/>
      <c r="R303" s="18" t="n"/>
      <c r="S303" s="16" t="n"/>
    </row>
    <row r="304">
      <c r="A304" s="14">
        <f>IFERROR(IF(AND(IFERROR(INDEX(ERP資料!$A:$A, (MATCH(303, 輔助計算!$F$2:$F$801, 0)+1)), "")&lt;&gt;"", IFERROR(INDEX(ERP資料!$A:$A, (MATCH(303, 輔助計算!$F$2:$F$801, 0)+1)), "")&lt;&gt;IFERROR(INDEX(ERP資料!$A:$A, MATCH(302, 輔助計算!$F$2:$F$801, 0)+1), "")), INDEX(ERP資料!$B:$B, (MATCH(303, 輔助計算!$F$2:$F$801, 0)+1)), ""), "")</f>
        <v/>
      </c>
      <c r="B304" s="10">
        <f>IFERROR(IF(AND(IFERROR(INDEX(ERP資料!$A:$A, (MATCH(303, 輔助計算!$F$2:$F$801, 0)+1)), "")&lt;&gt;"", IFERROR(INDEX(ERP資料!$A:$A, (MATCH(303, 輔助計算!$F$2:$F$801, 0)+1)), "")&lt;&gt;IFERROR(INDEX(ERP資料!$A:$A, MATCH(302, 輔助計算!$F$2:$F$801, 0)+1), "")), IFERROR(INDEX(ERP資料!$A:$A, (MATCH(303, 輔助計算!$F$2:$F$801, 0)+1)), ""), ""), "")</f>
        <v/>
      </c>
      <c r="C304" s="10">
        <f>IFERROR(IF(AND(IFERROR(INDEX(ERP資料!$A:$A, (MATCH(303, 輔助計算!$F$2:$F$801, 0)+1)), "")&lt;&gt;"", IFERROR(INDEX(ERP資料!$A:$A, (MATCH(303, 輔助計算!$F$2:$F$801, 0)+1)), "")&lt;&gt;IFERROR(INDEX(ERP資料!$A:$A, MATCH(302, 輔助計算!$F$2:$F$801, 0)+1), "")), INDEX(ERP資料!$S:$S, (MATCH(303, 輔助計算!$F$2:$F$801, 0)+1)), ""), "")</f>
        <v/>
      </c>
      <c r="D304" s="10">
        <f>IFERROR(IF(INDEX(ERP資料!$E:$E, (MATCH(303, 輔助計算!$F$2:$F$801, 0)+1))="","",TRIM(INDEX(ERP資料!$E:$E, (MATCH(303, 輔助計算!$F$2:$F$801, 0)+1)))), "")</f>
        <v/>
      </c>
      <c r="E304" s="10">
        <f>IFERROR(IF(INDEX(ERP資料!$F:$F, (MATCH(303, 輔助計算!$F$2:$F$801, 0)+1))="","",INDEX(ERP資料!$F:$F, (MATCH(303, 輔助計算!$F$2:$F$801, 0)+1))), "")</f>
        <v/>
      </c>
      <c r="F304" s="10">
        <f>IFERROR(IF(INDEX(ERP資料!$G:$G, (MATCH(303, 輔助計算!$F$2:$F$801, 0)+1))="","",INDEX(ERP資料!$G:$G, (MATCH(303, 輔助計算!$F$2:$F$801, 0)+1))), "")</f>
        <v/>
      </c>
      <c r="G304" s="10">
        <f>IFERROR(IF(INDEX(ERP資料!$H:$H, (MATCH(303, 輔助計算!$F$2:$F$801, 0)+1))="","",INDEX(ERP資料!$H:$H, (MATCH(303, 輔助計算!$F$2:$F$801, 0)+1))), "")</f>
        <v/>
      </c>
      <c r="H304" s="10">
        <f>IFERROR(IF(INDEX(ERP資料!$O:$O, (MATCH(303, 輔助計算!$F$2:$F$801, 0)+1))="","",INDEX(ERP資料!$O:$O, (MATCH(303, 輔助計算!$F$2:$F$801, 0)+1))), "")</f>
        <v/>
      </c>
      <c r="I304" s="15">
        <f>IFERROR(IF(INDEX(輔助計算!$D:$D,(MATCH(303, 輔助計算!$F$2:$F$801, 0)+1))="","",INDEX(輔助計算!$D:$D,(MATCH(303, 輔助計算!$F$2:$F$801, 0)+1))*INDEX(ERP資料!$O:$O,(MATCH(303, 輔助計算!$F$2:$F$801, 0)+1))), "")</f>
        <v/>
      </c>
      <c r="J304" s="16" t="n"/>
      <c r="K304" s="15">
        <f>IFERROR(INDEX(輔助計算!$D:$D, (MATCH(303, 輔助計算!$F$2:$F$801, 0)+1)), "")</f>
        <v/>
      </c>
      <c r="L304" s="16">
        <f>IFERROR(IF(AND(IFERROR(VLOOKUP(LEFT(INDEX(ERP資料!$S:$S, (MATCH(303, 輔助計算!$F$2:$F$801, 0)+1)), 4), 100張客戶!$A:$A, 1, FALSE), "")&lt;&gt;"", OR(INDEX(ERP資料!$F:$F, (MATCH(303, 輔助計算!$F$2:$F$801, 0)+1))=270, INDEX(ERP資料!$F:$F, (MATCH(303, 輔助計算!$F$2:$F$801, 0)+1))=300)), "100張", ""), "")</f>
        <v/>
      </c>
      <c r="M304" s="17" t="n"/>
      <c r="N304" s="17">
        <f>IF($F304="","",$F304)</f>
        <v/>
      </c>
      <c r="O304" s="17">
        <f>IF($G304="","",$G304)</f>
        <v/>
      </c>
      <c r="P304" s="17">
        <f>IF($K304="","",$K304)</f>
        <v/>
      </c>
      <c r="Q304" s="16" t="n"/>
      <c r="R304" s="18" t="n"/>
      <c r="S304" s="16" t="n"/>
    </row>
    <row r="305">
      <c r="A305" s="14">
        <f>IFERROR(IF(AND(IFERROR(INDEX(ERP資料!$A:$A, (MATCH(304, 輔助計算!$F$2:$F$801, 0)+1)), "")&lt;&gt;"", IFERROR(INDEX(ERP資料!$A:$A, (MATCH(304, 輔助計算!$F$2:$F$801, 0)+1)), "")&lt;&gt;IFERROR(INDEX(ERP資料!$A:$A, MATCH(303, 輔助計算!$F$2:$F$801, 0)+1), "")), INDEX(ERP資料!$B:$B, (MATCH(304, 輔助計算!$F$2:$F$801, 0)+1)), ""), "")</f>
        <v/>
      </c>
      <c r="B305" s="10">
        <f>IFERROR(IF(AND(IFERROR(INDEX(ERP資料!$A:$A, (MATCH(304, 輔助計算!$F$2:$F$801, 0)+1)), "")&lt;&gt;"", IFERROR(INDEX(ERP資料!$A:$A, (MATCH(304, 輔助計算!$F$2:$F$801, 0)+1)), "")&lt;&gt;IFERROR(INDEX(ERP資料!$A:$A, MATCH(303, 輔助計算!$F$2:$F$801, 0)+1), "")), IFERROR(INDEX(ERP資料!$A:$A, (MATCH(304, 輔助計算!$F$2:$F$801, 0)+1)), ""), ""), "")</f>
        <v/>
      </c>
      <c r="C305" s="10">
        <f>IFERROR(IF(AND(IFERROR(INDEX(ERP資料!$A:$A, (MATCH(304, 輔助計算!$F$2:$F$801, 0)+1)), "")&lt;&gt;"", IFERROR(INDEX(ERP資料!$A:$A, (MATCH(304, 輔助計算!$F$2:$F$801, 0)+1)), "")&lt;&gt;IFERROR(INDEX(ERP資料!$A:$A, MATCH(303, 輔助計算!$F$2:$F$801, 0)+1), "")), INDEX(ERP資料!$S:$S, (MATCH(304, 輔助計算!$F$2:$F$801, 0)+1)), ""), "")</f>
        <v/>
      </c>
      <c r="D305" s="10">
        <f>IFERROR(IF(INDEX(ERP資料!$E:$E, (MATCH(304, 輔助計算!$F$2:$F$801, 0)+1))="","",TRIM(INDEX(ERP資料!$E:$E, (MATCH(304, 輔助計算!$F$2:$F$801, 0)+1)))), "")</f>
        <v/>
      </c>
      <c r="E305" s="10">
        <f>IFERROR(IF(INDEX(ERP資料!$F:$F, (MATCH(304, 輔助計算!$F$2:$F$801, 0)+1))="","",INDEX(ERP資料!$F:$F, (MATCH(304, 輔助計算!$F$2:$F$801, 0)+1))), "")</f>
        <v/>
      </c>
      <c r="F305" s="10">
        <f>IFERROR(IF(INDEX(ERP資料!$G:$G, (MATCH(304, 輔助計算!$F$2:$F$801, 0)+1))="","",INDEX(ERP資料!$G:$G, (MATCH(304, 輔助計算!$F$2:$F$801, 0)+1))), "")</f>
        <v/>
      </c>
      <c r="G305" s="10">
        <f>IFERROR(IF(INDEX(ERP資料!$H:$H, (MATCH(304, 輔助計算!$F$2:$F$801, 0)+1))="","",INDEX(ERP資料!$H:$H, (MATCH(304, 輔助計算!$F$2:$F$801, 0)+1))), "")</f>
        <v/>
      </c>
      <c r="H305" s="10">
        <f>IFERROR(IF(INDEX(ERP資料!$O:$O, (MATCH(304, 輔助計算!$F$2:$F$801, 0)+1))="","",INDEX(ERP資料!$O:$O, (MATCH(304, 輔助計算!$F$2:$F$801, 0)+1))), "")</f>
        <v/>
      </c>
      <c r="I305" s="15">
        <f>IFERROR(IF(INDEX(輔助計算!$D:$D,(MATCH(304, 輔助計算!$F$2:$F$801, 0)+1))="","",INDEX(輔助計算!$D:$D,(MATCH(304, 輔助計算!$F$2:$F$801, 0)+1))*INDEX(ERP資料!$O:$O,(MATCH(304, 輔助計算!$F$2:$F$801, 0)+1))), "")</f>
        <v/>
      </c>
      <c r="J305" s="16" t="n"/>
      <c r="K305" s="15">
        <f>IFERROR(INDEX(輔助計算!$D:$D, (MATCH(304, 輔助計算!$F$2:$F$801, 0)+1)), "")</f>
        <v/>
      </c>
      <c r="L305" s="16">
        <f>IFERROR(IF(AND(IFERROR(VLOOKUP(LEFT(INDEX(ERP資料!$S:$S, (MATCH(304, 輔助計算!$F$2:$F$801, 0)+1)), 4), 100張客戶!$A:$A, 1, FALSE), "")&lt;&gt;"", OR(INDEX(ERP資料!$F:$F, (MATCH(304, 輔助計算!$F$2:$F$801, 0)+1))=270, INDEX(ERP資料!$F:$F, (MATCH(304, 輔助計算!$F$2:$F$801, 0)+1))=300)), "100張", ""), "")</f>
        <v/>
      </c>
      <c r="M305" s="17" t="n"/>
      <c r="N305" s="17">
        <f>IF($F305="","",$F305)</f>
        <v/>
      </c>
      <c r="O305" s="17">
        <f>IF($G305="","",$G305)</f>
        <v/>
      </c>
      <c r="P305" s="17">
        <f>IF($K305="","",$K305)</f>
        <v/>
      </c>
      <c r="Q305" s="16" t="n"/>
      <c r="R305" s="18" t="n"/>
      <c r="S305" s="16" t="n"/>
    </row>
    <row r="306">
      <c r="A306" s="14">
        <f>IFERROR(IF(AND(IFERROR(INDEX(ERP資料!$A:$A, (MATCH(305, 輔助計算!$F$2:$F$801, 0)+1)), "")&lt;&gt;"", IFERROR(INDEX(ERP資料!$A:$A, (MATCH(305, 輔助計算!$F$2:$F$801, 0)+1)), "")&lt;&gt;IFERROR(INDEX(ERP資料!$A:$A, MATCH(304, 輔助計算!$F$2:$F$801, 0)+1), "")), INDEX(ERP資料!$B:$B, (MATCH(305, 輔助計算!$F$2:$F$801, 0)+1)), ""), "")</f>
        <v/>
      </c>
      <c r="B306" s="10">
        <f>IFERROR(IF(AND(IFERROR(INDEX(ERP資料!$A:$A, (MATCH(305, 輔助計算!$F$2:$F$801, 0)+1)), "")&lt;&gt;"", IFERROR(INDEX(ERP資料!$A:$A, (MATCH(305, 輔助計算!$F$2:$F$801, 0)+1)), "")&lt;&gt;IFERROR(INDEX(ERP資料!$A:$A, MATCH(304, 輔助計算!$F$2:$F$801, 0)+1), "")), IFERROR(INDEX(ERP資料!$A:$A, (MATCH(305, 輔助計算!$F$2:$F$801, 0)+1)), ""), ""), "")</f>
        <v/>
      </c>
      <c r="C306" s="10">
        <f>IFERROR(IF(AND(IFERROR(INDEX(ERP資料!$A:$A, (MATCH(305, 輔助計算!$F$2:$F$801, 0)+1)), "")&lt;&gt;"", IFERROR(INDEX(ERP資料!$A:$A, (MATCH(305, 輔助計算!$F$2:$F$801, 0)+1)), "")&lt;&gt;IFERROR(INDEX(ERP資料!$A:$A, MATCH(304, 輔助計算!$F$2:$F$801, 0)+1), "")), INDEX(ERP資料!$S:$S, (MATCH(305, 輔助計算!$F$2:$F$801, 0)+1)), ""), "")</f>
        <v/>
      </c>
      <c r="D306" s="10">
        <f>IFERROR(IF(INDEX(ERP資料!$E:$E, (MATCH(305, 輔助計算!$F$2:$F$801, 0)+1))="","",TRIM(INDEX(ERP資料!$E:$E, (MATCH(305, 輔助計算!$F$2:$F$801, 0)+1)))), "")</f>
        <v/>
      </c>
      <c r="E306" s="10">
        <f>IFERROR(IF(INDEX(ERP資料!$F:$F, (MATCH(305, 輔助計算!$F$2:$F$801, 0)+1))="","",INDEX(ERP資料!$F:$F, (MATCH(305, 輔助計算!$F$2:$F$801, 0)+1))), "")</f>
        <v/>
      </c>
      <c r="F306" s="10">
        <f>IFERROR(IF(INDEX(ERP資料!$G:$G, (MATCH(305, 輔助計算!$F$2:$F$801, 0)+1))="","",INDEX(ERP資料!$G:$G, (MATCH(305, 輔助計算!$F$2:$F$801, 0)+1))), "")</f>
        <v/>
      </c>
      <c r="G306" s="10">
        <f>IFERROR(IF(INDEX(ERP資料!$H:$H, (MATCH(305, 輔助計算!$F$2:$F$801, 0)+1))="","",INDEX(ERP資料!$H:$H, (MATCH(305, 輔助計算!$F$2:$F$801, 0)+1))), "")</f>
        <v/>
      </c>
      <c r="H306" s="10">
        <f>IFERROR(IF(INDEX(ERP資料!$O:$O, (MATCH(305, 輔助計算!$F$2:$F$801, 0)+1))="","",INDEX(ERP資料!$O:$O, (MATCH(305, 輔助計算!$F$2:$F$801, 0)+1))), "")</f>
        <v/>
      </c>
      <c r="I306" s="15">
        <f>IFERROR(IF(INDEX(輔助計算!$D:$D,(MATCH(305, 輔助計算!$F$2:$F$801, 0)+1))="","",INDEX(輔助計算!$D:$D,(MATCH(305, 輔助計算!$F$2:$F$801, 0)+1))*INDEX(ERP資料!$O:$O,(MATCH(305, 輔助計算!$F$2:$F$801, 0)+1))), "")</f>
        <v/>
      </c>
      <c r="J306" s="16" t="n"/>
      <c r="K306" s="15">
        <f>IFERROR(INDEX(輔助計算!$D:$D, (MATCH(305, 輔助計算!$F$2:$F$801, 0)+1)), "")</f>
        <v/>
      </c>
      <c r="L306" s="16">
        <f>IFERROR(IF(AND(IFERROR(VLOOKUP(LEFT(INDEX(ERP資料!$S:$S, (MATCH(305, 輔助計算!$F$2:$F$801, 0)+1)), 4), 100張客戶!$A:$A, 1, FALSE), "")&lt;&gt;"", OR(INDEX(ERP資料!$F:$F, (MATCH(305, 輔助計算!$F$2:$F$801, 0)+1))=270, INDEX(ERP資料!$F:$F, (MATCH(305, 輔助計算!$F$2:$F$801, 0)+1))=300)), "100張", ""), "")</f>
        <v/>
      </c>
      <c r="M306" s="17" t="n"/>
      <c r="N306" s="17">
        <f>IF($F306="","",$F306)</f>
        <v/>
      </c>
      <c r="O306" s="17">
        <f>IF($G306="","",$G306)</f>
        <v/>
      </c>
      <c r="P306" s="17">
        <f>IF($K306="","",$K306)</f>
        <v/>
      </c>
      <c r="Q306" s="16" t="n"/>
      <c r="R306" s="18" t="n"/>
      <c r="S306" s="16" t="n"/>
    </row>
    <row r="307">
      <c r="A307" s="14">
        <f>IFERROR(IF(AND(IFERROR(INDEX(ERP資料!$A:$A, (MATCH(306, 輔助計算!$F$2:$F$801, 0)+1)), "")&lt;&gt;"", IFERROR(INDEX(ERP資料!$A:$A, (MATCH(306, 輔助計算!$F$2:$F$801, 0)+1)), "")&lt;&gt;IFERROR(INDEX(ERP資料!$A:$A, MATCH(305, 輔助計算!$F$2:$F$801, 0)+1), "")), INDEX(ERP資料!$B:$B, (MATCH(306, 輔助計算!$F$2:$F$801, 0)+1)), ""), "")</f>
        <v/>
      </c>
      <c r="B307" s="10">
        <f>IFERROR(IF(AND(IFERROR(INDEX(ERP資料!$A:$A, (MATCH(306, 輔助計算!$F$2:$F$801, 0)+1)), "")&lt;&gt;"", IFERROR(INDEX(ERP資料!$A:$A, (MATCH(306, 輔助計算!$F$2:$F$801, 0)+1)), "")&lt;&gt;IFERROR(INDEX(ERP資料!$A:$A, MATCH(305, 輔助計算!$F$2:$F$801, 0)+1), "")), IFERROR(INDEX(ERP資料!$A:$A, (MATCH(306, 輔助計算!$F$2:$F$801, 0)+1)), ""), ""), "")</f>
        <v/>
      </c>
      <c r="C307" s="10">
        <f>IFERROR(IF(AND(IFERROR(INDEX(ERP資料!$A:$A, (MATCH(306, 輔助計算!$F$2:$F$801, 0)+1)), "")&lt;&gt;"", IFERROR(INDEX(ERP資料!$A:$A, (MATCH(306, 輔助計算!$F$2:$F$801, 0)+1)), "")&lt;&gt;IFERROR(INDEX(ERP資料!$A:$A, MATCH(305, 輔助計算!$F$2:$F$801, 0)+1), "")), INDEX(ERP資料!$S:$S, (MATCH(306, 輔助計算!$F$2:$F$801, 0)+1)), ""), "")</f>
        <v/>
      </c>
      <c r="D307" s="10">
        <f>IFERROR(IF(INDEX(ERP資料!$E:$E, (MATCH(306, 輔助計算!$F$2:$F$801, 0)+1))="","",TRIM(INDEX(ERP資料!$E:$E, (MATCH(306, 輔助計算!$F$2:$F$801, 0)+1)))), "")</f>
        <v/>
      </c>
      <c r="E307" s="10">
        <f>IFERROR(IF(INDEX(ERP資料!$F:$F, (MATCH(306, 輔助計算!$F$2:$F$801, 0)+1))="","",INDEX(ERP資料!$F:$F, (MATCH(306, 輔助計算!$F$2:$F$801, 0)+1))), "")</f>
        <v/>
      </c>
      <c r="F307" s="10">
        <f>IFERROR(IF(INDEX(ERP資料!$G:$G, (MATCH(306, 輔助計算!$F$2:$F$801, 0)+1))="","",INDEX(ERP資料!$G:$G, (MATCH(306, 輔助計算!$F$2:$F$801, 0)+1))), "")</f>
        <v/>
      </c>
      <c r="G307" s="10">
        <f>IFERROR(IF(INDEX(ERP資料!$H:$H, (MATCH(306, 輔助計算!$F$2:$F$801, 0)+1))="","",INDEX(ERP資料!$H:$H, (MATCH(306, 輔助計算!$F$2:$F$801, 0)+1))), "")</f>
        <v/>
      </c>
      <c r="H307" s="10">
        <f>IFERROR(IF(INDEX(ERP資料!$O:$O, (MATCH(306, 輔助計算!$F$2:$F$801, 0)+1))="","",INDEX(ERP資料!$O:$O, (MATCH(306, 輔助計算!$F$2:$F$801, 0)+1))), "")</f>
        <v/>
      </c>
      <c r="I307" s="15">
        <f>IFERROR(IF(INDEX(輔助計算!$D:$D,(MATCH(306, 輔助計算!$F$2:$F$801, 0)+1))="","",INDEX(輔助計算!$D:$D,(MATCH(306, 輔助計算!$F$2:$F$801, 0)+1))*INDEX(ERP資料!$O:$O,(MATCH(306, 輔助計算!$F$2:$F$801, 0)+1))), "")</f>
        <v/>
      </c>
      <c r="J307" s="16" t="n"/>
      <c r="K307" s="15">
        <f>IFERROR(INDEX(輔助計算!$D:$D, (MATCH(306, 輔助計算!$F$2:$F$801, 0)+1)), "")</f>
        <v/>
      </c>
      <c r="L307" s="16">
        <f>IFERROR(IF(AND(IFERROR(VLOOKUP(LEFT(INDEX(ERP資料!$S:$S, (MATCH(306, 輔助計算!$F$2:$F$801, 0)+1)), 4), 100張客戶!$A:$A, 1, FALSE), "")&lt;&gt;"", OR(INDEX(ERP資料!$F:$F, (MATCH(306, 輔助計算!$F$2:$F$801, 0)+1))=270, INDEX(ERP資料!$F:$F, (MATCH(306, 輔助計算!$F$2:$F$801, 0)+1))=300)), "100張", ""), "")</f>
        <v/>
      </c>
      <c r="M307" s="17" t="n"/>
      <c r="N307" s="17">
        <f>IF($F307="","",$F307)</f>
        <v/>
      </c>
      <c r="O307" s="17">
        <f>IF($G307="","",$G307)</f>
        <v/>
      </c>
      <c r="P307" s="17">
        <f>IF($K307="","",$K307)</f>
        <v/>
      </c>
      <c r="Q307" s="16" t="n"/>
      <c r="R307" s="18" t="n"/>
      <c r="S307" s="16" t="n"/>
    </row>
    <row r="308">
      <c r="A308" s="14">
        <f>IFERROR(IF(AND(IFERROR(INDEX(ERP資料!$A:$A, (MATCH(307, 輔助計算!$F$2:$F$801, 0)+1)), "")&lt;&gt;"", IFERROR(INDEX(ERP資料!$A:$A, (MATCH(307, 輔助計算!$F$2:$F$801, 0)+1)), "")&lt;&gt;IFERROR(INDEX(ERP資料!$A:$A, MATCH(306, 輔助計算!$F$2:$F$801, 0)+1), "")), INDEX(ERP資料!$B:$B, (MATCH(307, 輔助計算!$F$2:$F$801, 0)+1)), ""), "")</f>
        <v/>
      </c>
      <c r="B308" s="10">
        <f>IFERROR(IF(AND(IFERROR(INDEX(ERP資料!$A:$A, (MATCH(307, 輔助計算!$F$2:$F$801, 0)+1)), "")&lt;&gt;"", IFERROR(INDEX(ERP資料!$A:$A, (MATCH(307, 輔助計算!$F$2:$F$801, 0)+1)), "")&lt;&gt;IFERROR(INDEX(ERP資料!$A:$A, MATCH(306, 輔助計算!$F$2:$F$801, 0)+1), "")), IFERROR(INDEX(ERP資料!$A:$A, (MATCH(307, 輔助計算!$F$2:$F$801, 0)+1)), ""), ""), "")</f>
        <v/>
      </c>
      <c r="C308" s="10">
        <f>IFERROR(IF(AND(IFERROR(INDEX(ERP資料!$A:$A, (MATCH(307, 輔助計算!$F$2:$F$801, 0)+1)), "")&lt;&gt;"", IFERROR(INDEX(ERP資料!$A:$A, (MATCH(307, 輔助計算!$F$2:$F$801, 0)+1)), "")&lt;&gt;IFERROR(INDEX(ERP資料!$A:$A, MATCH(306, 輔助計算!$F$2:$F$801, 0)+1), "")), INDEX(ERP資料!$S:$S, (MATCH(307, 輔助計算!$F$2:$F$801, 0)+1)), ""), "")</f>
        <v/>
      </c>
      <c r="D308" s="10">
        <f>IFERROR(IF(INDEX(ERP資料!$E:$E, (MATCH(307, 輔助計算!$F$2:$F$801, 0)+1))="","",TRIM(INDEX(ERP資料!$E:$E, (MATCH(307, 輔助計算!$F$2:$F$801, 0)+1)))), "")</f>
        <v/>
      </c>
      <c r="E308" s="10">
        <f>IFERROR(IF(INDEX(ERP資料!$F:$F, (MATCH(307, 輔助計算!$F$2:$F$801, 0)+1))="","",INDEX(ERP資料!$F:$F, (MATCH(307, 輔助計算!$F$2:$F$801, 0)+1))), "")</f>
        <v/>
      </c>
      <c r="F308" s="10">
        <f>IFERROR(IF(INDEX(ERP資料!$G:$G, (MATCH(307, 輔助計算!$F$2:$F$801, 0)+1))="","",INDEX(ERP資料!$G:$G, (MATCH(307, 輔助計算!$F$2:$F$801, 0)+1))), "")</f>
        <v/>
      </c>
      <c r="G308" s="10">
        <f>IFERROR(IF(INDEX(ERP資料!$H:$H, (MATCH(307, 輔助計算!$F$2:$F$801, 0)+1))="","",INDEX(ERP資料!$H:$H, (MATCH(307, 輔助計算!$F$2:$F$801, 0)+1))), "")</f>
        <v/>
      </c>
      <c r="H308" s="10">
        <f>IFERROR(IF(INDEX(ERP資料!$O:$O, (MATCH(307, 輔助計算!$F$2:$F$801, 0)+1))="","",INDEX(ERP資料!$O:$O, (MATCH(307, 輔助計算!$F$2:$F$801, 0)+1))), "")</f>
        <v/>
      </c>
      <c r="I308" s="15">
        <f>IFERROR(IF(INDEX(輔助計算!$D:$D,(MATCH(307, 輔助計算!$F$2:$F$801, 0)+1))="","",INDEX(輔助計算!$D:$D,(MATCH(307, 輔助計算!$F$2:$F$801, 0)+1))*INDEX(ERP資料!$O:$O,(MATCH(307, 輔助計算!$F$2:$F$801, 0)+1))), "")</f>
        <v/>
      </c>
      <c r="J308" s="16" t="n"/>
      <c r="K308" s="15">
        <f>IFERROR(INDEX(輔助計算!$D:$D, (MATCH(307, 輔助計算!$F$2:$F$801, 0)+1)), "")</f>
        <v/>
      </c>
      <c r="L308" s="16">
        <f>IFERROR(IF(AND(IFERROR(VLOOKUP(LEFT(INDEX(ERP資料!$S:$S, (MATCH(307, 輔助計算!$F$2:$F$801, 0)+1)), 4), 100張客戶!$A:$A, 1, FALSE), "")&lt;&gt;"", OR(INDEX(ERP資料!$F:$F, (MATCH(307, 輔助計算!$F$2:$F$801, 0)+1))=270, INDEX(ERP資料!$F:$F, (MATCH(307, 輔助計算!$F$2:$F$801, 0)+1))=300)), "100張", ""), "")</f>
        <v/>
      </c>
      <c r="M308" s="17" t="n"/>
      <c r="N308" s="17">
        <f>IF($F308="","",$F308)</f>
        <v/>
      </c>
      <c r="O308" s="17">
        <f>IF($G308="","",$G308)</f>
        <v/>
      </c>
      <c r="P308" s="17">
        <f>IF($K308="","",$K308)</f>
        <v/>
      </c>
      <c r="Q308" s="16" t="n"/>
      <c r="R308" s="18" t="n"/>
      <c r="S308" s="16" t="n"/>
    </row>
    <row r="309">
      <c r="A309" s="14">
        <f>IFERROR(IF(AND(IFERROR(INDEX(ERP資料!$A:$A, (MATCH(308, 輔助計算!$F$2:$F$801, 0)+1)), "")&lt;&gt;"", IFERROR(INDEX(ERP資料!$A:$A, (MATCH(308, 輔助計算!$F$2:$F$801, 0)+1)), "")&lt;&gt;IFERROR(INDEX(ERP資料!$A:$A, MATCH(307, 輔助計算!$F$2:$F$801, 0)+1), "")), INDEX(ERP資料!$B:$B, (MATCH(308, 輔助計算!$F$2:$F$801, 0)+1)), ""), "")</f>
        <v/>
      </c>
      <c r="B309" s="10">
        <f>IFERROR(IF(AND(IFERROR(INDEX(ERP資料!$A:$A, (MATCH(308, 輔助計算!$F$2:$F$801, 0)+1)), "")&lt;&gt;"", IFERROR(INDEX(ERP資料!$A:$A, (MATCH(308, 輔助計算!$F$2:$F$801, 0)+1)), "")&lt;&gt;IFERROR(INDEX(ERP資料!$A:$A, MATCH(307, 輔助計算!$F$2:$F$801, 0)+1), "")), IFERROR(INDEX(ERP資料!$A:$A, (MATCH(308, 輔助計算!$F$2:$F$801, 0)+1)), ""), ""), "")</f>
        <v/>
      </c>
      <c r="C309" s="10">
        <f>IFERROR(IF(AND(IFERROR(INDEX(ERP資料!$A:$A, (MATCH(308, 輔助計算!$F$2:$F$801, 0)+1)), "")&lt;&gt;"", IFERROR(INDEX(ERP資料!$A:$A, (MATCH(308, 輔助計算!$F$2:$F$801, 0)+1)), "")&lt;&gt;IFERROR(INDEX(ERP資料!$A:$A, MATCH(307, 輔助計算!$F$2:$F$801, 0)+1), "")), INDEX(ERP資料!$S:$S, (MATCH(308, 輔助計算!$F$2:$F$801, 0)+1)), ""), "")</f>
        <v/>
      </c>
      <c r="D309" s="10">
        <f>IFERROR(IF(INDEX(ERP資料!$E:$E, (MATCH(308, 輔助計算!$F$2:$F$801, 0)+1))="","",TRIM(INDEX(ERP資料!$E:$E, (MATCH(308, 輔助計算!$F$2:$F$801, 0)+1)))), "")</f>
        <v/>
      </c>
      <c r="E309" s="10">
        <f>IFERROR(IF(INDEX(ERP資料!$F:$F, (MATCH(308, 輔助計算!$F$2:$F$801, 0)+1))="","",INDEX(ERP資料!$F:$F, (MATCH(308, 輔助計算!$F$2:$F$801, 0)+1))), "")</f>
        <v/>
      </c>
      <c r="F309" s="10">
        <f>IFERROR(IF(INDEX(ERP資料!$G:$G, (MATCH(308, 輔助計算!$F$2:$F$801, 0)+1))="","",INDEX(ERP資料!$G:$G, (MATCH(308, 輔助計算!$F$2:$F$801, 0)+1))), "")</f>
        <v/>
      </c>
      <c r="G309" s="10">
        <f>IFERROR(IF(INDEX(ERP資料!$H:$H, (MATCH(308, 輔助計算!$F$2:$F$801, 0)+1))="","",INDEX(ERP資料!$H:$H, (MATCH(308, 輔助計算!$F$2:$F$801, 0)+1))), "")</f>
        <v/>
      </c>
      <c r="H309" s="10">
        <f>IFERROR(IF(INDEX(ERP資料!$O:$O, (MATCH(308, 輔助計算!$F$2:$F$801, 0)+1))="","",INDEX(ERP資料!$O:$O, (MATCH(308, 輔助計算!$F$2:$F$801, 0)+1))), "")</f>
        <v/>
      </c>
      <c r="I309" s="15">
        <f>IFERROR(IF(INDEX(輔助計算!$D:$D,(MATCH(308, 輔助計算!$F$2:$F$801, 0)+1))="","",INDEX(輔助計算!$D:$D,(MATCH(308, 輔助計算!$F$2:$F$801, 0)+1))*INDEX(ERP資料!$O:$O,(MATCH(308, 輔助計算!$F$2:$F$801, 0)+1))), "")</f>
        <v/>
      </c>
      <c r="J309" s="16" t="n"/>
      <c r="K309" s="15">
        <f>IFERROR(INDEX(輔助計算!$D:$D, (MATCH(308, 輔助計算!$F$2:$F$801, 0)+1)), "")</f>
        <v/>
      </c>
      <c r="L309" s="16">
        <f>IFERROR(IF(AND(IFERROR(VLOOKUP(LEFT(INDEX(ERP資料!$S:$S, (MATCH(308, 輔助計算!$F$2:$F$801, 0)+1)), 4), 100張客戶!$A:$A, 1, FALSE), "")&lt;&gt;"", OR(INDEX(ERP資料!$F:$F, (MATCH(308, 輔助計算!$F$2:$F$801, 0)+1))=270, INDEX(ERP資料!$F:$F, (MATCH(308, 輔助計算!$F$2:$F$801, 0)+1))=300)), "100張", ""), "")</f>
        <v/>
      </c>
      <c r="M309" s="17" t="n"/>
      <c r="N309" s="17">
        <f>IF($F309="","",$F309)</f>
        <v/>
      </c>
      <c r="O309" s="17">
        <f>IF($G309="","",$G309)</f>
        <v/>
      </c>
      <c r="P309" s="17">
        <f>IF($K309="","",$K309)</f>
        <v/>
      </c>
      <c r="Q309" s="16" t="n"/>
      <c r="R309" s="18" t="n"/>
      <c r="S309" s="16" t="n"/>
    </row>
    <row r="310">
      <c r="A310" s="14">
        <f>IFERROR(IF(AND(IFERROR(INDEX(ERP資料!$A:$A, (MATCH(309, 輔助計算!$F$2:$F$801, 0)+1)), "")&lt;&gt;"", IFERROR(INDEX(ERP資料!$A:$A, (MATCH(309, 輔助計算!$F$2:$F$801, 0)+1)), "")&lt;&gt;IFERROR(INDEX(ERP資料!$A:$A, MATCH(308, 輔助計算!$F$2:$F$801, 0)+1), "")), INDEX(ERP資料!$B:$B, (MATCH(309, 輔助計算!$F$2:$F$801, 0)+1)), ""), "")</f>
        <v/>
      </c>
      <c r="B310" s="10">
        <f>IFERROR(IF(AND(IFERROR(INDEX(ERP資料!$A:$A, (MATCH(309, 輔助計算!$F$2:$F$801, 0)+1)), "")&lt;&gt;"", IFERROR(INDEX(ERP資料!$A:$A, (MATCH(309, 輔助計算!$F$2:$F$801, 0)+1)), "")&lt;&gt;IFERROR(INDEX(ERP資料!$A:$A, MATCH(308, 輔助計算!$F$2:$F$801, 0)+1), "")), IFERROR(INDEX(ERP資料!$A:$A, (MATCH(309, 輔助計算!$F$2:$F$801, 0)+1)), ""), ""), "")</f>
        <v/>
      </c>
      <c r="C310" s="10">
        <f>IFERROR(IF(AND(IFERROR(INDEX(ERP資料!$A:$A, (MATCH(309, 輔助計算!$F$2:$F$801, 0)+1)), "")&lt;&gt;"", IFERROR(INDEX(ERP資料!$A:$A, (MATCH(309, 輔助計算!$F$2:$F$801, 0)+1)), "")&lt;&gt;IFERROR(INDEX(ERP資料!$A:$A, MATCH(308, 輔助計算!$F$2:$F$801, 0)+1), "")), INDEX(ERP資料!$S:$S, (MATCH(309, 輔助計算!$F$2:$F$801, 0)+1)), ""), "")</f>
        <v/>
      </c>
      <c r="D310" s="10">
        <f>IFERROR(IF(INDEX(ERP資料!$E:$E, (MATCH(309, 輔助計算!$F$2:$F$801, 0)+1))="","",TRIM(INDEX(ERP資料!$E:$E, (MATCH(309, 輔助計算!$F$2:$F$801, 0)+1)))), "")</f>
        <v/>
      </c>
      <c r="E310" s="10">
        <f>IFERROR(IF(INDEX(ERP資料!$F:$F, (MATCH(309, 輔助計算!$F$2:$F$801, 0)+1))="","",INDEX(ERP資料!$F:$F, (MATCH(309, 輔助計算!$F$2:$F$801, 0)+1))), "")</f>
        <v/>
      </c>
      <c r="F310" s="10">
        <f>IFERROR(IF(INDEX(ERP資料!$G:$G, (MATCH(309, 輔助計算!$F$2:$F$801, 0)+1))="","",INDEX(ERP資料!$G:$G, (MATCH(309, 輔助計算!$F$2:$F$801, 0)+1))), "")</f>
        <v/>
      </c>
      <c r="G310" s="10">
        <f>IFERROR(IF(INDEX(ERP資料!$H:$H, (MATCH(309, 輔助計算!$F$2:$F$801, 0)+1))="","",INDEX(ERP資料!$H:$H, (MATCH(309, 輔助計算!$F$2:$F$801, 0)+1))), "")</f>
        <v/>
      </c>
      <c r="H310" s="10">
        <f>IFERROR(IF(INDEX(ERP資料!$O:$O, (MATCH(309, 輔助計算!$F$2:$F$801, 0)+1))="","",INDEX(ERP資料!$O:$O, (MATCH(309, 輔助計算!$F$2:$F$801, 0)+1))), "")</f>
        <v/>
      </c>
      <c r="I310" s="15">
        <f>IFERROR(IF(INDEX(輔助計算!$D:$D,(MATCH(309, 輔助計算!$F$2:$F$801, 0)+1))="","",INDEX(輔助計算!$D:$D,(MATCH(309, 輔助計算!$F$2:$F$801, 0)+1))*INDEX(ERP資料!$O:$O,(MATCH(309, 輔助計算!$F$2:$F$801, 0)+1))), "")</f>
        <v/>
      </c>
      <c r="J310" s="16" t="n"/>
      <c r="K310" s="15">
        <f>IFERROR(INDEX(輔助計算!$D:$D, (MATCH(309, 輔助計算!$F$2:$F$801, 0)+1)), "")</f>
        <v/>
      </c>
      <c r="L310" s="16">
        <f>IFERROR(IF(AND(IFERROR(VLOOKUP(LEFT(INDEX(ERP資料!$S:$S, (MATCH(309, 輔助計算!$F$2:$F$801, 0)+1)), 4), 100張客戶!$A:$A, 1, FALSE), "")&lt;&gt;"", OR(INDEX(ERP資料!$F:$F, (MATCH(309, 輔助計算!$F$2:$F$801, 0)+1))=270, INDEX(ERP資料!$F:$F, (MATCH(309, 輔助計算!$F$2:$F$801, 0)+1))=300)), "100張", ""), "")</f>
        <v/>
      </c>
      <c r="M310" s="17" t="n"/>
      <c r="N310" s="17">
        <f>IF($F310="","",$F310)</f>
        <v/>
      </c>
      <c r="O310" s="17">
        <f>IF($G310="","",$G310)</f>
        <v/>
      </c>
      <c r="P310" s="17">
        <f>IF($K310="","",$K310)</f>
        <v/>
      </c>
      <c r="Q310" s="16" t="n"/>
      <c r="R310" s="18" t="n"/>
      <c r="S310" s="16" t="n"/>
    </row>
    <row r="311">
      <c r="A311" s="14">
        <f>IFERROR(IF(AND(IFERROR(INDEX(ERP資料!$A:$A, (MATCH(310, 輔助計算!$F$2:$F$801, 0)+1)), "")&lt;&gt;"", IFERROR(INDEX(ERP資料!$A:$A, (MATCH(310, 輔助計算!$F$2:$F$801, 0)+1)), "")&lt;&gt;IFERROR(INDEX(ERP資料!$A:$A, MATCH(309, 輔助計算!$F$2:$F$801, 0)+1), "")), INDEX(ERP資料!$B:$B, (MATCH(310, 輔助計算!$F$2:$F$801, 0)+1)), ""), "")</f>
        <v/>
      </c>
      <c r="B311" s="10">
        <f>IFERROR(IF(AND(IFERROR(INDEX(ERP資料!$A:$A, (MATCH(310, 輔助計算!$F$2:$F$801, 0)+1)), "")&lt;&gt;"", IFERROR(INDEX(ERP資料!$A:$A, (MATCH(310, 輔助計算!$F$2:$F$801, 0)+1)), "")&lt;&gt;IFERROR(INDEX(ERP資料!$A:$A, MATCH(309, 輔助計算!$F$2:$F$801, 0)+1), "")), IFERROR(INDEX(ERP資料!$A:$A, (MATCH(310, 輔助計算!$F$2:$F$801, 0)+1)), ""), ""), "")</f>
        <v/>
      </c>
      <c r="C311" s="10">
        <f>IFERROR(IF(AND(IFERROR(INDEX(ERP資料!$A:$A, (MATCH(310, 輔助計算!$F$2:$F$801, 0)+1)), "")&lt;&gt;"", IFERROR(INDEX(ERP資料!$A:$A, (MATCH(310, 輔助計算!$F$2:$F$801, 0)+1)), "")&lt;&gt;IFERROR(INDEX(ERP資料!$A:$A, MATCH(309, 輔助計算!$F$2:$F$801, 0)+1), "")), INDEX(ERP資料!$S:$S, (MATCH(310, 輔助計算!$F$2:$F$801, 0)+1)), ""), "")</f>
        <v/>
      </c>
      <c r="D311" s="10">
        <f>IFERROR(IF(INDEX(ERP資料!$E:$E, (MATCH(310, 輔助計算!$F$2:$F$801, 0)+1))="","",TRIM(INDEX(ERP資料!$E:$E, (MATCH(310, 輔助計算!$F$2:$F$801, 0)+1)))), "")</f>
        <v/>
      </c>
      <c r="E311" s="10">
        <f>IFERROR(IF(INDEX(ERP資料!$F:$F, (MATCH(310, 輔助計算!$F$2:$F$801, 0)+1))="","",INDEX(ERP資料!$F:$F, (MATCH(310, 輔助計算!$F$2:$F$801, 0)+1))), "")</f>
        <v/>
      </c>
      <c r="F311" s="10">
        <f>IFERROR(IF(INDEX(ERP資料!$G:$G, (MATCH(310, 輔助計算!$F$2:$F$801, 0)+1))="","",INDEX(ERP資料!$G:$G, (MATCH(310, 輔助計算!$F$2:$F$801, 0)+1))), "")</f>
        <v/>
      </c>
      <c r="G311" s="10">
        <f>IFERROR(IF(INDEX(ERP資料!$H:$H, (MATCH(310, 輔助計算!$F$2:$F$801, 0)+1))="","",INDEX(ERP資料!$H:$H, (MATCH(310, 輔助計算!$F$2:$F$801, 0)+1))), "")</f>
        <v/>
      </c>
      <c r="H311" s="10">
        <f>IFERROR(IF(INDEX(ERP資料!$O:$O, (MATCH(310, 輔助計算!$F$2:$F$801, 0)+1))="","",INDEX(ERP資料!$O:$O, (MATCH(310, 輔助計算!$F$2:$F$801, 0)+1))), "")</f>
        <v/>
      </c>
      <c r="I311" s="15">
        <f>IFERROR(IF(INDEX(輔助計算!$D:$D,(MATCH(310, 輔助計算!$F$2:$F$801, 0)+1))="","",INDEX(輔助計算!$D:$D,(MATCH(310, 輔助計算!$F$2:$F$801, 0)+1))*INDEX(ERP資料!$O:$O,(MATCH(310, 輔助計算!$F$2:$F$801, 0)+1))), "")</f>
        <v/>
      </c>
      <c r="J311" s="16" t="n"/>
      <c r="K311" s="15">
        <f>IFERROR(INDEX(輔助計算!$D:$D, (MATCH(310, 輔助計算!$F$2:$F$801, 0)+1)), "")</f>
        <v/>
      </c>
      <c r="L311" s="16">
        <f>IFERROR(IF(AND(IFERROR(VLOOKUP(LEFT(INDEX(ERP資料!$S:$S, (MATCH(310, 輔助計算!$F$2:$F$801, 0)+1)), 4), 100張客戶!$A:$A, 1, FALSE), "")&lt;&gt;"", OR(INDEX(ERP資料!$F:$F, (MATCH(310, 輔助計算!$F$2:$F$801, 0)+1))=270, INDEX(ERP資料!$F:$F, (MATCH(310, 輔助計算!$F$2:$F$801, 0)+1))=300)), "100張", ""), "")</f>
        <v/>
      </c>
      <c r="M311" s="17" t="n"/>
      <c r="N311" s="17">
        <f>IF($F311="","",$F311)</f>
        <v/>
      </c>
      <c r="O311" s="17">
        <f>IF($G311="","",$G311)</f>
        <v/>
      </c>
      <c r="P311" s="17">
        <f>IF($K311="","",$K311)</f>
        <v/>
      </c>
      <c r="Q311" s="16" t="n"/>
      <c r="R311" s="18" t="n"/>
      <c r="S311" s="16" t="n"/>
    </row>
    <row r="312">
      <c r="A312" s="14">
        <f>IFERROR(IF(AND(IFERROR(INDEX(ERP資料!$A:$A, (MATCH(311, 輔助計算!$F$2:$F$801, 0)+1)), "")&lt;&gt;"", IFERROR(INDEX(ERP資料!$A:$A, (MATCH(311, 輔助計算!$F$2:$F$801, 0)+1)), "")&lt;&gt;IFERROR(INDEX(ERP資料!$A:$A, MATCH(310, 輔助計算!$F$2:$F$801, 0)+1), "")), INDEX(ERP資料!$B:$B, (MATCH(311, 輔助計算!$F$2:$F$801, 0)+1)), ""), "")</f>
        <v/>
      </c>
      <c r="B312" s="10">
        <f>IFERROR(IF(AND(IFERROR(INDEX(ERP資料!$A:$A, (MATCH(311, 輔助計算!$F$2:$F$801, 0)+1)), "")&lt;&gt;"", IFERROR(INDEX(ERP資料!$A:$A, (MATCH(311, 輔助計算!$F$2:$F$801, 0)+1)), "")&lt;&gt;IFERROR(INDEX(ERP資料!$A:$A, MATCH(310, 輔助計算!$F$2:$F$801, 0)+1), "")), IFERROR(INDEX(ERP資料!$A:$A, (MATCH(311, 輔助計算!$F$2:$F$801, 0)+1)), ""), ""), "")</f>
        <v/>
      </c>
      <c r="C312" s="10">
        <f>IFERROR(IF(AND(IFERROR(INDEX(ERP資料!$A:$A, (MATCH(311, 輔助計算!$F$2:$F$801, 0)+1)), "")&lt;&gt;"", IFERROR(INDEX(ERP資料!$A:$A, (MATCH(311, 輔助計算!$F$2:$F$801, 0)+1)), "")&lt;&gt;IFERROR(INDEX(ERP資料!$A:$A, MATCH(310, 輔助計算!$F$2:$F$801, 0)+1), "")), INDEX(ERP資料!$S:$S, (MATCH(311, 輔助計算!$F$2:$F$801, 0)+1)), ""), "")</f>
        <v/>
      </c>
      <c r="D312" s="10">
        <f>IFERROR(IF(INDEX(ERP資料!$E:$E, (MATCH(311, 輔助計算!$F$2:$F$801, 0)+1))="","",TRIM(INDEX(ERP資料!$E:$E, (MATCH(311, 輔助計算!$F$2:$F$801, 0)+1)))), "")</f>
        <v/>
      </c>
      <c r="E312" s="10">
        <f>IFERROR(IF(INDEX(ERP資料!$F:$F, (MATCH(311, 輔助計算!$F$2:$F$801, 0)+1))="","",INDEX(ERP資料!$F:$F, (MATCH(311, 輔助計算!$F$2:$F$801, 0)+1))), "")</f>
        <v/>
      </c>
      <c r="F312" s="10">
        <f>IFERROR(IF(INDEX(ERP資料!$G:$G, (MATCH(311, 輔助計算!$F$2:$F$801, 0)+1))="","",INDEX(ERP資料!$G:$G, (MATCH(311, 輔助計算!$F$2:$F$801, 0)+1))), "")</f>
        <v/>
      </c>
      <c r="G312" s="10">
        <f>IFERROR(IF(INDEX(ERP資料!$H:$H, (MATCH(311, 輔助計算!$F$2:$F$801, 0)+1))="","",INDEX(ERP資料!$H:$H, (MATCH(311, 輔助計算!$F$2:$F$801, 0)+1))), "")</f>
        <v/>
      </c>
      <c r="H312" s="10">
        <f>IFERROR(IF(INDEX(ERP資料!$O:$O, (MATCH(311, 輔助計算!$F$2:$F$801, 0)+1))="","",INDEX(ERP資料!$O:$O, (MATCH(311, 輔助計算!$F$2:$F$801, 0)+1))), "")</f>
        <v/>
      </c>
      <c r="I312" s="15">
        <f>IFERROR(IF(INDEX(輔助計算!$D:$D,(MATCH(311, 輔助計算!$F$2:$F$801, 0)+1))="","",INDEX(輔助計算!$D:$D,(MATCH(311, 輔助計算!$F$2:$F$801, 0)+1))*INDEX(ERP資料!$O:$O,(MATCH(311, 輔助計算!$F$2:$F$801, 0)+1))), "")</f>
        <v/>
      </c>
      <c r="J312" s="16" t="n"/>
      <c r="K312" s="15">
        <f>IFERROR(INDEX(輔助計算!$D:$D, (MATCH(311, 輔助計算!$F$2:$F$801, 0)+1)), "")</f>
        <v/>
      </c>
      <c r="L312" s="16">
        <f>IFERROR(IF(AND(IFERROR(VLOOKUP(LEFT(INDEX(ERP資料!$S:$S, (MATCH(311, 輔助計算!$F$2:$F$801, 0)+1)), 4), 100張客戶!$A:$A, 1, FALSE), "")&lt;&gt;"", OR(INDEX(ERP資料!$F:$F, (MATCH(311, 輔助計算!$F$2:$F$801, 0)+1))=270, INDEX(ERP資料!$F:$F, (MATCH(311, 輔助計算!$F$2:$F$801, 0)+1))=300)), "100張", ""), "")</f>
        <v/>
      </c>
      <c r="M312" s="17" t="n"/>
      <c r="N312" s="17">
        <f>IF($F312="","",$F312)</f>
        <v/>
      </c>
      <c r="O312" s="17">
        <f>IF($G312="","",$G312)</f>
        <v/>
      </c>
      <c r="P312" s="17">
        <f>IF($K312="","",$K312)</f>
        <v/>
      </c>
      <c r="Q312" s="16" t="n"/>
      <c r="R312" s="18" t="n"/>
      <c r="S312" s="16" t="n"/>
    </row>
    <row r="313">
      <c r="A313" s="14">
        <f>IFERROR(IF(AND(IFERROR(INDEX(ERP資料!$A:$A, (MATCH(312, 輔助計算!$F$2:$F$801, 0)+1)), "")&lt;&gt;"", IFERROR(INDEX(ERP資料!$A:$A, (MATCH(312, 輔助計算!$F$2:$F$801, 0)+1)), "")&lt;&gt;IFERROR(INDEX(ERP資料!$A:$A, MATCH(311, 輔助計算!$F$2:$F$801, 0)+1), "")), INDEX(ERP資料!$B:$B, (MATCH(312, 輔助計算!$F$2:$F$801, 0)+1)), ""), "")</f>
        <v/>
      </c>
      <c r="B313" s="10">
        <f>IFERROR(IF(AND(IFERROR(INDEX(ERP資料!$A:$A, (MATCH(312, 輔助計算!$F$2:$F$801, 0)+1)), "")&lt;&gt;"", IFERROR(INDEX(ERP資料!$A:$A, (MATCH(312, 輔助計算!$F$2:$F$801, 0)+1)), "")&lt;&gt;IFERROR(INDEX(ERP資料!$A:$A, MATCH(311, 輔助計算!$F$2:$F$801, 0)+1), "")), IFERROR(INDEX(ERP資料!$A:$A, (MATCH(312, 輔助計算!$F$2:$F$801, 0)+1)), ""), ""), "")</f>
        <v/>
      </c>
      <c r="C313" s="10">
        <f>IFERROR(IF(AND(IFERROR(INDEX(ERP資料!$A:$A, (MATCH(312, 輔助計算!$F$2:$F$801, 0)+1)), "")&lt;&gt;"", IFERROR(INDEX(ERP資料!$A:$A, (MATCH(312, 輔助計算!$F$2:$F$801, 0)+1)), "")&lt;&gt;IFERROR(INDEX(ERP資料!$A:$A, MATCH(311, 輔助計算!$F$2:$F$801, 0)+1), "")), INDEX(ERP資料!$S:$S, (MATCH(312, 輔助計算!$F$2:$F$801, 0)+1)), ""), "")</f>
        <v/>
      </c>
      <c r="D313" s="10">
        <f>IFERROR(IF(INDEX(ERP資料!$E:$E, (MATCH(312, 輔助計算!$F$2:$F$801, 0)+1))="","",TRIM(INDEX(ERP資料!$E:$E, (MATCH(312, 輔助計算!$F$2:$F$801, 0)+1)))), "")</f>
        <v/>
      </c>
      <c r="E313" s="10">
        <f>IFERROR(IF(INDEX(ERP資料!$F:$F, (MATCH(312, 輔助計算!$F$2:$F$801, 0)+1))="","",INDEX(ERP資料!$F:$F, (MATCH(312, 輔助計算!$F$2:$F$801, 0)+1))), "")</f>
        <v/>
      </c>
      <c r="F313" s="10">
        <f>IFERROR(IF(INDEX(ERP資料!$G:$G, (MATCH(312, 輔助計算!$F$2:$F$801, 0)+1))="","",INDEX(ERP資料!$G:$G, (MATCH(312, 輔助計算!$F$2:$F$801, 0)+1))), "")</f>
        <v/>
      </c>
      <c r="G313" s="10">
        <f>IFERROR(IF(INDEX(ERP資料!$H:$H, (MATCH(312, 輔助計算!$F$2:$F$801, 0)+1))="","",INDEX(ERP資料!$H:$H, (MATCH(312, 輔助計算!$F$2:$F$801, 0)+1))), "")</f>
        <v/>
      </c>
      <c r="H313" s="10">
        <f>IFERROR(IF(INDEX(ERP資料!$O:$O, (MATCH(312, 輔助計算!$F$2:$F$801, 0)+1))="","",INDEX(ERP資料!$O:$O, (MATCH(312, 輔助計算!$F$2:$F$801, 0)+1))), "")</f>
        <v/>
      </c>
      <c r="I313" s="15">
        <f>IFERROR(IF(INDEX(輔助計算!$D:$D,(MATCH(312, 輔助計算!$F$2:$F$801, 0)+1))="","",INDEX(輔助計算!$D:$D,(MATCH(312, 輔助計算!$F$2:$F$801, 0)+1))*INDEX(ERP資料!$O:$O,(MATCH(312, 輔助計算!$F$2:$F$801, 0)+1))), "")</f>
        <v/>
      </c>
      <c r="J313" s="16" t="n"/>
      <c r="K313" s="15">
        <f>IFERROR(INDEX(輔助計算!$D:$D, (MATCH(312, 輔助計算!$F$2:$F$801, 0)+1)), "")</f>
        <v/>
      </c>
      <c r="L313" s="16">
        <f>IFERROR(IF(AND(IFERROR(VLOOKUP(LEFT(INDEX(ERP資料!$S:$S, (MATCH(312, 輔助計算!$F$2:$F$801, 0)+1)), 4), 100張客戶!$A:$A, 1, FALSE), "")&lt;&gt;"", OR(INDEX(ERP資料!$F:$F, (MATCH(312, 輔助計算!$F$2:$F$801, 0)+1))=270, INDEX(ERP資料!$F:$F, (MATCH(312, 輔助計算!$F$2:$F$801, 0)+1))=300)), "100張", ""), "")</f>
        <v/>
      </c>
      <c r="M313" s="17" t="n"/>
      <c r="N313" s="17">
        <f>IF($F313="","",$F313)</f>
        <v/>
      </c>
      <c r="O313" s="17">
        <f>IF($G313="","",$G313)</f>
        <v/>
      </c>
      <c r="P313" s="17">
        <f>IF($K313="","",$K313)</f>
        <v/>
      </c>
      <c r="Q313" s="16" t="n"/>
      <c r="R313" s="18" t="n"/>
      <c r="S313" s="16" t="n"/>
    </row>
    <row r="314">
      <c r="A314" s="14">
        <f>IFERROR(IF(AND(IFERROR(INDEX(ERP資料!$A:$A, (MATCH(313, 輔助計算!$F$2:$F$801, 0)+1)), "")&lt;&gt;"", IFERROR(INDEX(ERP資料!$A:$A, (MATCH(313, 輔助計算!$F$2:$F$801, 0)+1)), "")&lt;&gt;IFERROR(INDEX(ERP資料!$A:$A, MATCH(312, 輔助計算!$F$2:$F$801, 0)+1), "")), INDEX(ERP資料!$B:$B, (MATCH(313, 輔助計算!$F$2:$F$801, 0)+1)), ""), "")</f>
        <v/>
      </c>
      <c r="B314" s="10">
        <f>IFERROR(IF(AND(IFERROR(INDEX(ERP資料!$A:$A, (MATCH(313, 輔助計算!$F$2:$F$801, 0)+1)), "")&lt;&gt;"", IFERROR(INDEX(ERP資料!$A:$A, (MATCH(313, 輔助計算!$F$2:$F$801, 0)+1)), "")&lt;&gt;IFERROR(INDEX(ERP資料!$A:$A, MATCH(312, 輔助計算!$F$2:$F$801, 0)+1), "")), IFERROR(INDEX(ERP資料!$A:$A, (MATCH(313, 輔助計算!$F$2:$F$801, 0)+1)), ""), ""), "")</f>
        <v/>
      </c>
      <c r="C314" s="10">
        <f>IFERROR(IF(AND(IFERROR(INDEX(ERP資料!$A:$A, (MATCH(313, 輔助計算!$F$2:$F$801, 0)+1)), "")&lt;&gt;"", IFERROR(INDEX(ERP資料!$A:$A, (MATCH(313, 輔助計算!$F$2:$F$801, 0)+1)), "")&lt;&gt;IFERROR(INDEX(ERP資料!$A:$A, MATCH(312, 輔助計算!$F$2:$F$801, 0)+1), "")), INDEX(ERP資料!$S:$S, (MATCH(313, 輔助計算!$F$2:$F$801, 0)+1)), ""), "")</f>
        <v/>
      </c>
      <c r="D314" s="10">
        <f>IFERROR(IF(INDEX(ERP資料!$E:$E, (MATCH(313, 輔助計算!$F$2:$F$801, 0)+1))="","",TRIM(INDEX(ERP資料!$E:$E, (MATCH(313, 輔助計算!$F$2:$F$801, 0)+1)))), "")</f>
        <v/>
      </c>
      <c r="E314" s="10">
        <f>IFERROR(IF(INDEX(ERP資料!$F:$F, (MATCH(313, 輔助計算!$F$2:$F$801, 0)+1))="","",INDEX(ERP資料!$F:$F, (MATCH(313, 輔助計算!$F$2:$F$801, 0)+1))), "")</f>
        <v/>
      </c>
      <c r="F314" s="10">
        <f>IFERROR(IF(INDEX(ERP資料!$G:$G, (MATCH(313, 輔助計算!$F$2:$F$801, 0)+1))="","",INDEX(ERP資料!$G:$G, (MATCH(313, 輔助計算!$F$2:$F$801, 0)+1))), "")</f>
        <v/>
      </c>
      <c r="G314" s="10">
        <f>IFERROR(IF(INDEX(ERP資料!$H:$H, (MATCH(313, 輔助計算!$F$2:$F$801, 0)+1))="","",INDEX(ERP資料!$H:$H, (MATCH(313, 輔助計算!$F$2:$F$801, 0)+1))), "")</f>
        <v/>
      </c>
      <c r="H314" s="10">
        <f>IFERROR(IF(INDEX(ERP資料!$O:$O, (MATCH(313, 輔助計算!$F$2:$F$801, 0)+1))="","",INDEX(ERP資料!$O:$O, (MATCH(313, 輔助計算!$F$2:$F$801, 0)+1))), "")</f>
        <v/>
      </c>
      <c r="I314" s="15">
        <f>IFERROR(IF(INDEX(輔助計算!$D:$D,(MATCH(313, 輔助計算!$F$2:$F$801, 0)+1))="","",INDEX(輔助計算!$D:$D,(MATCH(313, 輔助計算!$F$2:$F$801, 0)+1))*INDEX(ERP資料!$O:$O,(MATCH(313, 輔助計算!$F$2:$F$801, 0)+1))), "")</f>
        <v/>
      </c>
      <c r="J314" s="16" t="n"/>
      <c r="K314" s="15">
        <f>IFERROR(INDEX(輔助計算!$D:$D, (MATCH(313, 輔助計算!$F$2:$F$801, 0)+1)), "")</f>
        <v/>
      </c>
      <c r="L314" s="16">
        <f>IFERROR(IF(AND(IFERROR(VLOOKUP(LEFT(INDEX(ERP資料!$S:$S, (MATCH(313, 輔助計算!$F$2:$F$801, 0)+1)), 4), 100張客戶!$A:$A, 1, FALSE), "")&lt;&gt;"", OR(INDEX(ERP資料!$F:$F, (MATCH(313, 輔助計算!$F$2:$F$801, 0)+1))=270, INDEX(ERP資料!$F:$F, (MATCH(313, 輔助計算!$F$2:$F$801, 0)+1))=300)), "100張", ""), "")</f>
        <v/>
      </c>
      <c r="M314" s="17" t="n"/>
      <c r="N314" s="17">
        <f>IF($F314="","",$F314)</f>
        <v/>
      </c>
      <c r="O314" s="17">
        <f>IF($G314="","",$G314)</f>
        <v/>
      </c>
      <c r="P314" s="17">
        <f>IF($K314="","",$K314)</f>
        <v/>
      </c>
      <c r="Q314" s="16" t="n"/>
      <c r="R314" s="18" t="n"/>
      <c r="S314" s="16" t="n"/>
    </row>
    <row r="315">
      <c r="A315" s="14">
        <f>IFERROR(IF(AND(IFERROR(INDEX(ERP資料!$A:$A, (MATCH(314, 輔助計算!$F$2:$F$801, 0)+1)), "")&lt;&gt;"", IFERROR(INDEX(ERP資料!$A:$A, (MATCH(314, 輔助計算!$F$2:$F$801, 0)+1)), "")&lt;&gt;IFERROR(INDEX(ERP資料!$A:$A, MATCH(313, 輔助計算!$F$2:$F$801, 0)+1), "")), INDEX(ERP資料!$B:$B, (MATCH(314, 輔助計算!$F$2:$F$801, 0)+1)), ""), "")</f>
        <v/>
      </c>
      <c r="B315" s="10">
        <f>IFERROR(IF(AND(IFERROR(INDEX(ERP資料!$A:$A, (MATCH(314, 輔助計算!$F$2:$F$801, 0)+1)), "")&lt;&gt;"", IFERROR(INDEX(ERP資料!$A:$A, (MATCH(314, 輔助計算!$F$2:$F$801, 0)+1)), "")&lt;&gt;IFERROR(INDEX(ERP資料!$A:$A, MATCH(313, 輔助計算!$F$2:$F$801, 0)+1), "")), IFERROR(INDEX(ERP資料!$A:$A, (MATCH(314, 輔助計算!$F$2:$F$801, 0)+1)), ""), ""), "")</f>
        <v/>
      </c>
      <c r="C315" s="10">
        <f>IFERROR(IF(AND(IFERROR(INDEX(ERP資料!$A:$A, (MATCH(314, 輔助計算!$F$2:$F$801, 0)+1)), "")&lt;&gt;"", IFERROR(INDEX(ERP資料!$A:$A, (MATCH(314, 輔助計算!$F$2:$F$801, 0)+1)), "")&lt;&gt;IFERROR(INDEX(ERP資料!$A:$A, MATCH(313, 輔助計算!$F$2:$F$801, 0)+1), "")), INDEX(ERP資料!$S:$S, (MATCH(314, 輔助計算!$F$2:$F$801, 0)+1)), ""), "")</f>
        <v/>
      </c>
      <c r="D315" s="10">
        <f>IFERROR(IF(INDEX(ERP資料!$E:$E, (MATCH(314, 輔助計算!$F$2:$F$801, 0)+1))="","",TRIM(INDEX(ERP資料!$E:$E, (MATCH(314, 輔助計算!$F$2:$F$801, 0)+1)))), "")</f>
        <v/>
      </c>
      <c r="E315" s="10">
        <f>IFERROR(IF(INDEX(ERP資料!$F:$F, (MATCH(314, 輔助計算!$F$2:$F$801, 0)+1))="","",INDEX(ERP資料!$F:$F, (MATCH(314, 輔助計算!$F$2:$F$801, 0)+1))), "")</f>
        <v/>
      </c>
      <c r="F315" s="10">
        <f>IFERROR(IF(INDEX(ERP資料!$G:$G, (MATCH(314, 輔助計算!$F$2:$F$801, 0)+1))="","",INDEX(ERP資料!$G:$G, (MATCH(314, 輔助計算!$F$2:$F$801, 0)+1))), "")</f>
        <v/>
      </c>
      <c r="G315" s="10">
        <f>IFERROR(IF(INDEX(ERP資料!$H:$H, (MATCH(314, 輔助計算!$F$2:$F$801, 0)+1))="","",INDEX(ERP資料!$H:$H, (MATCH(314, 輔助計算!$F$2:$F$801, 0)+1))), "")</f>
        <v/>
      </c>
      <c r="H315" s="10">
        <f>IFERROR(IF(INDEX(ERP資料!$O:$O, (MATCH(314, 輔助計算!$F$2:$F$801, 0)+1))="","",INDEX(ERP資料!$O:$O, (MATCH(314, 輔助計算!$F$2:$F$801, 0)+1))), "")</f>
        <v/>
      </c>
      <c r="I315" s="15">
        <f>IFERROR(IF(INDEX(輔助計算!$D:$D,(MATCH(314, 輔助計算!$F$2:$F$801, 0)+1))="","",INDEX(輔助計算!$D:$D,(MATCH(314, 輔助計算!$F$2:$F$801, 0)+1))*INDEX(ERP資料!$O:$O,(MATCH(314, 輔助計算!$F$2:$F$801, 0)+1))), "")</f>
        <v/>
      </c>
      <c r="J315" s="16" t="n"/>
      <c r="K315" s="15">
        <f>IFERROR(INDEX(輔助計算!$D:$D, (MATCH(314, 輔助計算!$F$2:$F$801, 0)+1)), "")</f>
        <v/>
      </c>
      <c r="L315" s="16">
        <f>IFERROR(IF(AND(IFERROR(VLOOKUP(LEFT(INDEX(ERP資料!$S:$S, (MATCH(314, 輔助計算!$F$2:$F$801, 0)+1)), 4), 100張客戶!$A:$A, 1, FALSE), "")&lt;&gt;"", OR(INDEX(ERP資料!$F:$F, (MATCH(314, 輔助計算!$F$2:$F$801, 0)+1))=270, INDEX(ERP資料!$F:$F, (MATCH(314, 輔助計算!$F$2:$F$801, 0)+1))=300)), "100張", ""), "")</f>
        <v/>
      </c>
      <c r="M315" s="17" t="n"/>
      <c r="N315" s="17">
        <f>IF($F315="","",$F315)</f>
        <v/>
      </c>
      <c r="O315" s="17">
        <f>IF($G315="","",$G315)</f>
        <v/>
      </c>
      <c r="P315" s="17">
        <f>IF($K315="","",$K315)</f>
        <v/>
      </c>
      <c r="Q315" s="16" t="n"/>
      <c r="R315" s="18" t="n"/>
      <c r="S315" s="16" t="n"/>
    </row>
    <row r="316">
      <c r="A316" s="14">
        <f>IFERROR(IF(AND(IFERROR(INDEX(ERP資料!$A:$A, (MATCH(315, 輔助計算!$F$2:$F$801, 0)+1)), "")&lt;&gt;"", IFERROR(INDEX(ERP資料!$A:$A, (MATCH(315, 輔助計算!$F$2:$F$801, 0)+1)), "")&lt;&gt;IFERROR(INDEX(ERP資料!$A:$A, MATCH(314, 輔助計算!$F$2:$F$801, 0)+1), "")), INDEX(ERP資料!$B:$B, (MATCH(315, 輔助計算!$F$2:$F$801, 0)+1)), ""), "")</f>
        <v/>
      </c>
      <c r="B316" s="10">
        <f>IFERROR(IF(AND(IFERROR(INDEX(ERP資料!$A:$A, (MATCH(315, 輔助計算!$F$2:$F$801, 0)+1)), "")&lt;&gt;"", IFERROR(INDEX(ERP資料!$A:$A, (MATCH(315, 輔助計算!$F$2:$F$801, 0)+1)), "")&lt;&gt;IFERROR(INDEX(ERP資料!$A:$A, MATCH(314, 輔助計算!$F$2:$F$801, 0)+1), "")), IFERROR(INDEX(ERP資料!$A:$A, (MATCH(315, 輔助計算!$F$2:$F$801, 0)+1)), ""), ""), "")</f>
        <v/>
      </c>
      <c r="C316" s="10">
        <f>IFERROR(IF(AND(IFERROR(INDEX(ERP資料!$A:$A, (MATCH(315, 輔助計算!$F$2:$F$801, 0)+1)), "")&lt;&gt;"", IFERROR(INDEX(ERP資料!$A:$A, (MATCH(315, 輔助計算!$F$2:$F$801, 0)+1)), "")&lt;&gt;IFERROR(INDEX(ERP資料!$A:$A, MATCH(314, 輔助計算!$F$2:$F$801, 0)+1), "")), INDEX(ERP資料!$S:$S, (MATCH(315, 輔助計算!$F$2:$F$801, 0)+1)), ""), "")</f>
        <v/>
      </c>
      <c r="D316" s="10">
        <f>IFERROR(IF(INDEX(ERP資料!$E:$E, (MATCH(315, 輔助計算!$F$2:$F$801, 0)+1))="","",TRIM(INDEX(ERP資料!$E:$E, (MATCH(315, 輔助計算!$F$2:$F$801, 0)+1)))), "")</f>
        <v/>
      </c>
      <c r="E316" s="10">
        <f>IFERROR(IF(INDEX(ERP資料!$F:$F, (MATCH(315, 輔助計算!$F$2:$F$801, 0)+1))="","",INDEX(ERP資料!$F:$F, (MATCH(315, 輔助計算!$F$2:$F$801, 0)+1))), "")</f>
        <v/>
      </c>
      <c r="F316" s="10">
        <f>IFERROR(IF(INDEX(ERP資料!$G:$G, (MATCH(315, 輔助計算!$F$2:$F$801, 0)+1))="","",INDEX(ERP資料!$G:$G, (MATCH(315, 輔助計算!$F$2:$F$801, 0)+1))), "")</f>
        <v/>
      </c>
      <c r="G316" s="10">
        <f>IFERROR(IF(INDEX(ERP資料!$H:$H, (MATCH(315, 輔助計算!$F$2:$F$801, 0)+1))="","",INDEX(ERP資料!$H:$H, (MATCH(315, 輔助計算!$F$2:$F$801, 0)+1))), "")</f>
        <v/>
      </c>
      <c r="H316" s="10">
        <f>IFERROR(IF(INDEX(ERP資料!$O:$O, (MATCH(315, 輔助計算!$F$2:$F$801, 0)+1))="","",INDEX(ERP資料!$O:$O, (MATCH(315, 輔助計算!$F$2:$F$801, 0)+1))), "")</f>
        <v/>
      </c>
      <c r="I316" s="15">
        <f>IFERROR(IF(INDEX(輔助計算!$D:$D,(MATCH(315, 輔助計算!$F$2:$F$801, 0)+1))="","",INDEX(輔助計算!$D:$D,(MATCH(315, 輔助計算!$F$2:$F$801, 0)+1))*INDEX(ERP資料!$O:$O,(MATCH(315, 輔助計算!$F$2:$F$801, 0)+1))), "")</f>
        <v/>
      </c>
      <c r="J316" s="16" t="n"/>
      <c r="K316" s="15">
        <f>IFERROR(INDEX(輔助計算!$D:$D, (MATCH(315, 輔助計算!$F$2:$F$801, 0)+1)), "")</f>
        <v/>
      </c>
      <c r="L316" s="16">
        <f>IFERROR(IF(AND(IFERROR(VLOOKUP(LEFT(INDEX(ERP資料!$S:$S, (MATCH(315, 輔助計算!$F$2:$F$801, 0)+1)), 4), 100張客戶!$A:$A, 1, FALSE), "")&lt;&gt;"", OR(INDEX(ERP資料!$F:$F, (MATCH(315, 輔助計算!$F$2:$F$801, 0)+1))=270, INDEX(ERP資料!$F:$F, (MATCH(315, 輔助計算!$F$2:$F$801, 0)+1))=300)), "100張", ""), "")</f>
        <v/>
      </c>
      <c r="M316" s="17" t="n"/>
      <c r="N316" s="17">
        <f>IF($F316="","",$F316)</f>
        <v/>
      </c>
      <c r="O316" s="17">
        <f>IF($G316="","",$G316)</f>
        <v/>
      </c>
      <c r="P316" s="17">
        <f>IF($K316="","",$K316)</f>
        <v/>
      </c>
      <c r="Q316" s="16" t="n"/>
      <c r="R316" s="18" t="n"/>
      <c r="S316" s="16" t="n"/>
    </row>
    <row r="317">
      <c r="A317" s="14">
        <f>IFERROR(IF(AND(IFERROR(INDEX(ERP資料!$A:$A, (MATCH(316, 輔助計算!$F$2:$F$801, 0)+1)), "")&lt;&gt;"", IFERROR(INDEX(ERP資料!$A:$A, (MATCH(316, 輔助計算!$F$2:$F$801, 0)+1)), "")&lt;&gt;IFERROR(INDEX(ERP資料!$A:$A, MATCH(315, 輔助計算!$F$2:$F$801, 0)+1), "")), INDEX(ERP資料!$B:$B, (MATCH(316, 輔助計算!$F$2:$F$801, 0)+1)), ""), "")</f>
        <v/>
      </c>
      <c r="B317" s="10">
        <f>IFERROR(IF(AND(IFERROR(INDEX(ERP資料!$A:$A, (MATCH(316, 輔助計算!$F$2:$F$801, 0)+1)), "")&lt;&gt;"", IFERROR(INDEX(ERP資料!$A:$A, (MATCH(316, 輔助計算!$F$2:$F$801, 0)+1)), "")&lt;&gt;IFERROR(INDEX(ERP資料!$A:$A, MATCH(315, 輔助計算!$F$2:$F$801, 0)+1), "")), IFERROR(INDEX(ERP資料!$A:$A, (MATCH(316, 輔助計算!$F$2:$F$801, 0)+1)), ""), ""), "")</f>
        <v/>
      </c>
      <c r="C317" s="10">
        <f>IFERROR(IF(AND(IFERROR(INDEX(ERP資料!$A:$A, (MATCH(316, 輔助計算!$F$2:$F$801, 0)+1)), "")&lt;&gt;"", IFERROR(INDEX(ERP資料!$A:$A, (MATCH(316, 輔助計算!$F$2:$F$801, 0)+1)), "")&lt;&gt;IFERROR(INDEX(ERP資料!$A:$A, MATCH(315, 輔助計算!$F$2:$F$801, 0)+1), "")), INDEX(ERP資料!$S:$S, (MATCH(316, 輔助計算!$F$2:$F$801, 0)+1)), ""), "")</f>
        <v/>
      </c>
      <c r="D317" s="10">
        <f>IFERROR(IF(INDEX(ERP資料!$E:$E, (MATCH(316, 輔助計算!$F$2:$F$801, 0)+1))="","",TRIM(INDEX(ERP資料!$E:$E, (MATCH(316, 輔助計算!$F$2:$F$801, 0)+1)))), "")</f>
        <v/>
      </c>
      <c r="E317" s="10">
        <f>IFERROR(IF(INDEX(ERP資料!$F:$F, (MATCH(316, 輔助計算!$F$2:$F$801, 0)+1))="","",INDEX(ERP資料!$F:$F, (MATCH(316, 輔助計算!$F$2:$F$801, 0)+1))), "")</f>
        <v/>
      </c>
      <c r="F317" s="10">
        <f>IFERROR(IF(INDEX(ERP資料!$G:$G, (MATCH(316, 輔助計算!$F$2:$F$801, 0)+1))="","",INDEX(ERP資料!$G:$G, (MATCH(316, 輔助計算!$F$2:$F$801, 0)+1))), "")</f>
        <v/>
      </c>
      <c r="G317" s="10">
        <f>IFERROR(IF(INDEX(ERP資料!$H:$H, (MATCH(316, 輔助計算!$F$2:$F$801, 0)+1))="","",INDEX(ERP資料!$H:$H, (MATCH(316, 輔助計算!$F$2:$F$801, 0)+1))), "")</f>
        <v/>
      </c>
      <c r="H317" s="10">
        <f>IFERROR(IF(INDEX(ERP資料!$O:$O, (MATCH(316, 輔助計算!$F$2:$F$801, 0)+1))="","",INDEX(ERP資料!$O:$O, (MATCH(316, 輔助計算!$F$2:$F$801, 0)+1))), "")</f>
        <v/>
      </c>
      <c r="I317" s="15">
        <f>IFERROR(IF(INDEX(輔助計算!$D:$D,(MATCH(316, 輔助計算!$F$2:$F$801, 0)+1))="","",INDEX(輔助計算!$D:$D,(MATCH(316, 輔助計算!$F$2:$F$801, 0)+1))*INDEX(ERP資料!$O:$O,(MATCH(316, 輔助計算!$F$2:$F$801, 0)+1))), "")</f>
        <v/>
      </c>
      <c r="J317" s="16" t="n"/>
      <c r="K317" s="15">
        <f>IFERROR(INDEX(輔助計算!$D:$D, (MATCH(316, 輔助計算!$F$2:$F$801, 0)+1)), "")</f>
        <v/>
      </c>
      <c r="L317" s="16">
        <f>IFERROR(IF(AND(IFERROR(VLOOKUP(LEFT(INDEX(ERP資料!$S:$S, (MATCH(316, 輔助計算!$F$2:$F$801, 0)+1)), 4), 100張客戶!$A:$A, 1, FALSE), "")&lt;&gt;"", OR(INDEX(ERP資料!$F:$F, (MATCH(316, 輔助計算!$F$2:$F$801, 0)+1))=270, INDEX(ERP資料!$F:$F, (MATCH(316, 輔助計算!$F$2:$F$801, 0)+1))=300)), "100張", ""), "")</f>
        <v/>
      </c>
      <c r="M317" s="17" t="n"/>
      <c r="N317" s="17">
        <f>IF($F317="","",$F317)</f>
        <v/>
      </c>
      <c r="O317" s="17">
        <f>IF($G317="","",$G317)</f>
        <v/>
      </c>
      <c r="P317" s="17">
        <f>IF($K317="","",$K317)</f>
        <v/>
      </c>
      <c r="Q317" s="16" t="n"/>
      <c r="R317" s="18" t="n"/>
      <c r="S317" s="16" t="n"/>
    </row>
    <row r="318">
      <c r="A318" s="14">
        <f>IFERROR(IF(AND(IFERROR(INDEX(ERP資料!$A:$A, (MATCH(317, 輔助計算!$F$2:$F$801, 0)+1)), "")&lt;&gt;"", IFERROR(INDEX(ERP資料!$A:$A, (MATCH(317, 輔助計算!$F$2:$F$801, 0)+1)), "")&lt;&gt;IFERROR(INDEX(ERP資料!$A:$A, MATCH(316, 輔助計算!$F$2:$F$801, 0)+1), "")), INDEX(ERP資料!$B:$B, (MATCH(317, 輔助計算!$F$2:$F$801, 0)+1)), ""), "")</f>
        <v/>
      </c>
      <c r="B318" s="10">
        <f>IFERROR(IF(AND(IFERROR(INDEX(ERP資料!$A:$A, (MATCH(317, 輔助計算!$F$2:$F$801, 0)+1)), "")&lt;&gt;"", IFERROR(INDEX(ERP資料!$A:$A, (MATCH(317, 輔助計算!$F$2:$F$801, 0)+1)), "")&lt;&gt;IFERROR(INDEX(ERP資料!$A:$A, MATCH(316, 輔助計算!$F$2:$F$801, 0)+1), "")), IFERROR(INDEX(ERP資料!$A:$A, (MATCH(317, 輔助計算!$F$2:$F$801, 0)+1)), ""), ""), "")</f>
        <v/>
      </c>
      <c r="C318" s="10">
        <f>IFERROR(IF(AND(IFERROR(INDEX(ERP資料!$A:$A, (MATCH(317, 輔助計算!$F$2:$F$801, 0)+1)), "")&lt;&gt;"", IFERROR(INDEX(ERP資料!$A:$A, (MATCH(317, 輔助計算!$F$2:$F$801, 0)+1)), "")&lt;&gt;IFERROR(INDEX(ERP資料!$A:$A, MATCH(316, 輔助計算!$F$2:$F$801, 0)+1), "")), INDEX(ERP資料!$S:$S, (MATCH(317, 輔助計算!$F$2:$F$801, 0)+1)), ""), "")</f>
        <v/>
      </c>
      <c r="D318" s="10">
        <f>IFERROR(IF(INDEX(ERP資料!$E:$E, (MATCH(317, 輔助計算!$F$2:$F$801, 0)+1))="","",TRIM(INDEX(ERP資料!$E:$E, (MATCH(317, 輔助計算!$F$2:$F$801, 0)+1)))), "")</f>
        <v/>
      </c>
      <c r="E318" s="10">
        <f>IFERROR(IF(INDEX(ERP資料!$F:$F, (MATCH(317, 輔助計算!$F$2:$F$801, 0)+1))="","",INDEX(ERP資料!$F:$F, (MATCH(317, 輔助計算!$F$2:$F$801, 0)+1))), "")</f>
        <v/>
      </c>
      <c r="F318" s="10">
        <f>IFERROR(IF(INDEX(ERP資料!$G:$G, (MATCH(317, 輔助計算!$F$2:$F$801, 0)+1))="","",INDEX(ERP資料!$G:$G, (MATCH(317, 輔助計算!$F$2:$F$801, 0)+1))), "")</f>
        <v/>
      </c>
      <c r="G318" s="10">
        <f>IFERROR(IF(INDEX(ERP資料!$H:$H, (MATCH(317, 輔助計算!$F$2:$F$801, 0)+1))="","",INDEX(ERP資料!$H:$H, (MATCH(317, 輔助計算!$F$2:$F$801, 0)+1))), "")</f>
        <v/>
      </c>
      <c r="H318" s="10">
        <f>IFERROR(IF(INDEX(ERP資料!$O:$O, (MATCH(317, 輔助計算!$F$2:$F$801, 0)+1))="","",INDEX(ERP資料!$O:$O, (MATCH(317, 輔助計算!$F$2:$F$801, 0)+1))), "")</f>
        <v/>
      </c>
      <c r="I318" s="15">
        <f>IFERROR(IF(INDEX(輔助計算!$D:$D,(MATCH(317, 輔助計算!$F$2:$F$801, 0)+1))="","",INDEX(輔助計算!$D:$D,(MATCH(317, 輔助計算!$F$2:$F$801, 0)+1))*INDEX(ERP資料!$O:$O,(MATCH(317, 輔助計算!$F$2:$F$801, 0)+1))), "")</f>
        <v/>
      </c>
      <c r="J318" s="16" t="n"/>
      <c r="K318" s="15">
        <f>IFERROR(INDEX(輔助計算!$D:$D, (MATCH(317, 輔助計算!$F$2:$F$801, 0)+1)), "")</f>
        <v/>
      </c>
      <c r="L318" s="16">
        <f>IFERROR(IF(AND(IFERROR(VLOOKUP(LEFT(INDEX(ERP資料!$S:$S, (MATCH(317, 輔助計算!$F$2:$F$801, 0)+1)), 4), 100張客戶!$A:$A, 1, FALSE), "")&lt;&gt;"", OR(INDEX(ERP資料!$F:$F, (MATCH(317, 輔助計算!$F$2:$F$801, 0)+1))=270, INDEX(ERP資料!$F:$F, (MATCH(317, 輔助計算!$F$2:$F$801, 0)+1))=300)), "100張", ""), "")</f>
        <v/>
      </c>
      <c r="M318" s="17" t="n"/>
      <c r="N318" s="17">
        <f>IF($F318="","",$F318)</f>
        <v/>
      </c>
      <c r="O318" s="17">
        <f>IF($G318="","",$G318)</f>
        <v/>
      </c>
      <c r="P318" s="17">
        <f>IF($K318="","",$K318)</f>
        <v/>
      </c>
      <c r="Q318" s="16" t="n"/>
      <c r="R318" s="18" t="n"/>
      <c r="S318" s="16" t="n"/>
    </row>
    <row r="319">
      <c r="A319" s="14">
        <f>IFERROR(IF(AND(IFERROR(INDEX(ERP資料!$A:$A, (MATCH(318, 輔助計算!$F$2:$F$801, 0)+1)), "")&lt;&gt;"", IFERROR(INDEX(ERP資料!$A:$A, (MATCH(318, 輔助計算!$F$2:$F$801, 0)+1)), "")&lt;&gt;IFERROR(INDEX(ERP資料!$A:$A, MATCH(317, 輔助計算!$F$2:$F$801, 0)+1), "")), INDEX(ERP資料!$B:$B, (MATCH(318, 輔助計算!$F$2:$F$801, 0)+1)), ""), "")</f>
        <v/>
      </c>
      <c r="B319" s="10">
        <f>IFERROR(IF(AND(IFERROR(INDEX(ERP資料!$A:$A, (MATCH(318, 輔助計算!$F$2:$F$801, 0)+1)), "")&lt;&gt;"", IFERROR(INDEX(ERP資料!$A:$A, (MATCH(318, 輔助計算!$F$2:$F$801, 0)+1)), "")&lt;&gt;IFERROR(INDEX(ERP資料!$A:$A, MATCH(317, 輔助計算!$F$2:$F$801, 0)+1), "")), IFERROR(INDEX(ERP資料!$A:$A, (MATCH(318, 輔助計算!$F$2:$F$801, 0)+1)), ""), ""), "")</f>
        <v/>
      </c>
      <c r="C319" s="10">
        <f>IFERROR(IF(AND(IFERROR(INDEX(ERP資料!$A:$A, (MATCH(318, 輔助計算!$F$2:$F$801, 0)+1)), "")&lt;&gt;"", IFERROR(INDEX(ERP資料!$A:$A, (MATCH(318, 輔助計算!$F$2:$F$801, 0)+1)), "")&lt;&gt;IFERROR(INDEX(ERP資料!$A:$A, MATCH(317, 輔助計算!$F$2:$F$801, 0)+1), "")), INDEX(ERP資料!$S:$S, (MATCH(318, 輔助計算!$F$2:$F$801, 0)+1)), ""), "")</f>
        <v/>
      </c>
      <c r="D319" s="10">
        <f>IFERROR(IF(INDEX(ERP資料!$E:$E, (MATCH(318, 輔助計算!$F$2:$F$801, 0)+1))="","",TRIM(INDEX(ERP資料!$E:$E, (MATCH(318, 輔助計算!$F$2:$F$801, 0)+1)))), "")</f>
        <v/>
      </c>
      <c r="E319" s="10">
        <f>IFERROR(IF(INDEX(ERP資料!$F:$F, (MATCH(318, 輔助計算!$F$2:$F$801, 0)+1))="","",INDEX(ERP資料!$F:$F, (MATCH(318, 輔助計算!$F$2:$F$801, 0)+1))), "")</f>
        <v/>
      </c>
      <c r="F319" s="10">
        <f>IFERROR(IF(INDEX(ERP資料!$G:$G, (MATCH(318, 輔助計算!$F$2:$F$801, 0)+1))="","",INDEX(ERP資料!$G:$G, (MATCH(318, 輔助計算!$F$2:$F$801, 0)+1))), "")</f>
        <v/>
      </c>
      <c r="G319" s="10">
        <f>IFERROR(IF(INDEX(ERP資料!$H:$H, (MATCH(318, 輔助計算!$F$2:$F$801, 0)+1))="","",INDEX(ERP資料!$H:$H, (MATCH(318, 輔助計算!$F$2:$F$801, 0)+1))), "")</f>
        <v/>
      </c>
      <c r="H319" s="10">
        <f>IFERROR(IF(INDEX(ERP資料!$O:$O, (MATCH(318, 輔助計算!$F$2:$F$801, 0)+1))="","",INDEX(ERP資料!$O:$O, (MATCH(318, 輔助計算!$F$2:$F$801, 0)+1))), "")</f>
        <v/>
      </c>
      <c r="I319" s="15">
        <f>IFERROR(IF(INDEX(輔助計算!$D:$D,(MATCH(318, 輔助計算!$F$2:$F$801, 0)+1))="","",INDEX(輔助計算!$D:$D,(MATCH(318, 輔助計算!$F$2:$F$801, 0)+1))*INDEX(ERP資料!$O:$O,(MATCH(318, 輔助計算!$F$2:$F$801, 0)+1))), "")</f>
        <v/>
      </c>
      <c r="J319" s="16" t="n"/>
      <c r="K319" s="15">
        <f>IFERROR(INDEX(輔助計算!$D:$D, (MATCH(318, 輔助計算!$F$2:$F$801, 0)+1)), "")</f>
        <v/>
      </c>
      <c r="L319" s="16">
        <f>IFERROR(IF(AND(IFERROR(VLOOKUP(LEFT(INDEX(ERP資料!$S:$S, (MATCH(318, 輔助計算!$F$2:$F$801, 0)+1)), 4), 100張客戶!$A:$A, 1, FALSE), "")&lt;&gt;"", OR(INDEX(ERP資料!$F:$F, (MATCH(318, 輔助計算!$F$2:$F$801, 0)+1))=270, INDEX(ERP資料!$F:$F, (MATCH(318, 輔助計算!$F$2:$F$801, 0)+1))=300)), "100張", ""), "")</f>
        <v/>
      </c>
      <c r="M319" s="17" t="n"/>
      <c r="N319" s="17">
        <f>IF($F319="","",$F319)</f>
        <v/>
      </c>
      <c r="O319" s="17">
        <f>IF($G319="","",$G319)</f>
        <v/>
      </c>
      <c r="P319" s="17">
        <f>IF($K319="","",$K319)</f>
        <v/>
      </c>
      <c r="Q319" s="16" t="n"/>
      <c r="R319" s="18" t="n"/>
      <c r="S319" s="16" t="n"/>
    </row>
    <row r="320">
      <c r="A320" s="14">
        <f>IFERROR(IF(AND(IFERROR(INDEX(ERP資料!$A:$A, (MATCH(319, 輔助計算!$F$2:$F$801, 0)+1)), "")&lt;&gt;"", IFERROR(INDEX(ERP資料!$A:$A, (MATCH(319, 輔助計算!$F$2:$F$801, 0)+1)), "")&lt;&gt;IFERROR(INDEX(ERP資料!$A:$A, MATCH(318, 輔助計算!$F$2:$F$801, 0)+1), "")), INDEX(ERP資料!$B:$B, (MATCH(319, 輔助計算!$F$2:$F$801, 0)+1)), ""), "")</f>
        <v/>
      </c>
      <c r="B320" s="10">
        <f>IFERROR(IF(AND(IFERROR(INDEX(ERP資料!$A:$A, (MATCH(319, 輔助計算!$F$2:$F$801, 0)+1)), "")&lt;&gt;"", IFERROR(INDEX(ERP資料!$A:$A, (MATCH(319, 輔助計算!$F$2:$F$801, 0)+1)), "")&lt;&gt;IFERROR(INDEX(ERP資料!$A:$A, MATCH(318, 輔助計算!$F$2:$F$801, 0)+1), "")), IFERROR(INDEX(ERP資料!$A:$A, (MATCH(319, 輔助計算!$F$2:$F$801, 0)+1)), ""), ""), "")</f>
        <v/>
      </c>
      <c r="C320" s="10">
        <f>IFERROR(IF(AND(IFERROR(INDEX(ERP資料!$A:$A, (MATCH(319, 輔助計算!$F$2:$F$801, 0)+1)), "")&lt;&gt;"", IFERROR(INDEX(ERP資料!$A:$A, (MATCH(319, 輔助計算!$F$2:$F$801, 0)+1)), "")&lt;&gt;IFERROR(INDEX(ERP資料!$A:$A, MATCH(318, 輔助計算!$F$2:$F$801, 0)+1), "")), INDEX(ERP資料!$S:$S, (MATCH(319, 輔助計算!$F$2:$F$801, 0)+1)), ""), "")</f>
        <v/>
      </c>
      <c r="D320" s="10">
        <f>IFERROR(IF(INDEX(ERP資料!$E:$E, (MATCH(319, 輔助計算!$F$2:$F$801, 0)+1))="","",TRIM(INDEX(ERP資料!$E:$E, (MATCH(319, 輔助計算!$F$2:$F$801, 0)+1)))), "")</f>
        <v/>
      </c>
      <c r="E320" s="10">
        <f>IFERROR(IF(INDEX(ERP資料!$F:$F, (MATCH(319, 輔助計算!$F$2:$F$801, 0)+1))="","",INDEX(ERP資料!$F:$F, (MATCH(319, 輔助計算!$F$2:$F$801, 0)+1))), "")</f>
        <v/>
      </c>
      <c r="F320" s="10">
        <f>IFERROR(IF(INDEX(ERP資料!$G:$G, (MATCH(319, 輔助計算!$F$2:$F$801, 0)+1))="","",INDEX(ERP資料!$G:$G, (MATCH(319, 輔助計算!$F$2:$F$801, 0)+1))), "")</f>
        <v/>
      </c>
      <c r="G320" s="10">
        <f>IFERROR(IF(INDEX(ERP資料!$H:$H, (MATCH(319, 輔助計算!$F$2:$F$801, 0)+1))="","",INDEX(ERP資料!$H:$H, (MATCH(319, 輔助計算!$F$2:$F$801, 0)+1))), "")</f>
        <v/>
      </c>
      <c r="H320" s="10">
        <f>IFERROR(IF(INDEX(ERP資料!$O:$O, (MATCH(319, 輔助計算!$F$2:$F$801, 0)+1))="","",INDEX(ERP資料!$O:$O, (MATCH(319, 輔助計算!$F$2:$F$801, 0)+1))), "")</f>
        <v/>
      </c>
      <c r="I320" s="15">
        <f>IFERROR(IF(INDEX(輔助計算!$D:$D,(MATCH(319, 輔助計算!$F$2:$F$801, 0)+1))="","",INDEX(輔助計算!$D:$D,(MATCH(319, 輔助計算!$F$2:$F$801, 0)+1))*INDEX(ERP資料!$O:$O,(MATCH(319, 輔助計算!$F$2:$F$801, 0)+1))), "")</f>
        <v/>
      </c>
      <c r="J320" s="16" t="n"/>
      <c r="K320" s="15">
        <f>IFERROR(INDEX(輔助計算!$D:$D, (MATCH(319, 輔助計算!$F$2:$F$801, 0)+1)), "")</f>
        <v/>
      </c>
      <c r="L320" s="16">
        <f>IFERROR(IF(AND(IFERROR(VLOOKUP(LEFT(INDEX(ERP資料!$S:$S, (MATCH(319, 輔助計算!$F$2:$F$801, 0)+1)), 4), 100張客戶!$A:$A, 1, FALSE), "")&lt;&gt;"", OR(INDEX(ERP資料!$F:$F, (MATCH(319, 輔助計算!$F$2:$F$801, 0)+1))=270, INDEX(ERP資料!$F:$F, (MATCH(319, 輔助計算!$F$2:$F$801, 0)+1))=300)), "100張", ""), "")</f>
        <v/>
      </c>
      <c r="M320" s="17" t="n"/>
      <c r="N320" s="17">
        <f>IF($F320="","",$F320)</f>
        <v/>
      </c>
      <c r="O320" s="17">
        <f>IF($G320="","",$G320)</f>
        <v/>
      </c>
      <c r="P320" s="17">
        <f>IF($K320="","",$K320)</f>
        <v/>
      </c>
      <c r="Q320" s="16" t="n"/>
      <c r="R320" s="18" t="n"/>
      <c r="S320" s="16" t="n"/>
    </row>
    <row r="321">
      <c r="A321" s="14">
        <f>IFERROR(IF(AND(IFERROR(INDEX(ERP資料!$A:$A, (MATCH(320, 輔助計算!$F$2:$F$801, 0)+1)), "")&lt;&gt;"", IFERROR(INDEX(ERP資料!$A:$A, (MATCH(320, 輔助計算!$F$2:$F$801, 0)+1)), "")&lt;&gt;IFERROR(INDEX(ERP資料!$A:$A, MATCH(319, 輔助計算!$F$2:$F$801, 0)+1), "")), INDEX(ERP資料!$B:$B, (MATCH(320, 輔助計算!$F$2:$F$801, 0)+1)), ""), "")</f>
        <v/>
      </c>
      <c r="B321" s="10">
        <f>IFERROR(IF(AND(IFERROR(INDEX(ERP資料!$A:$A, (MATCH(320, 輔助計算!$F$2:$F$801, 0)+1)), "")&lt;&gt;"", IFERROR(INDEX(ERP資料!$A:$A, (MATCH(320, 輔助計算!$F$2:$F$801, 0)+1)), "")&lt;&gt;IFERROR(INDEX(ERP資料!$A:$A, MATCH(319, 輔助計算!$F$2:$F$801, 0)+1), "")), IFERROR(INDEX(ERP資料!$A:$A, (MATCH(320, 輔助計算!$F$2:$F$801, 0)+1)), ""), ""), "")</f>
        <v/>
      </c>
      <c r="C321" s="10">
        <f>IFERROR(IF(AND(IFERROR(INDEX(ERP資料!$A:$A, (MATCH(320, 輔助計算!$F$2:$F$801, 0)+1)), "")&lt;&gt;"", IFERROR(INDEX(ERP資料!$A:$A, (MATCH(320, 輔助計算!$F$2:$F$801, 0)+1)), "")&lt;&gt;IFERROR(INDEX(ERP資料!$A:$A, MATCH(319, 輔助計算!$F$2:$F$801, 0)+1), "")), INDEX(ERP資料!$S:$S, (MATCH(320, 輔助計算!$F$2:$F$801, 0)+1)), ""), "")</f>
        <v/>
      </c>
      <c r="D321" s="10">
        <f>IFERROR(IF(INDEX(ERP資料!$E:$E, (MATCH(320, 輔助計算!$F$2:$F$801, 0)+1))="","",TRIM(INDEX(ERP資料!$E:$E, (MATCH(320, 輔助計算!$F$2:$F$801, 0)+1)))), "")</f>
        <v/>
      </c>
      <c r="E321" s="10">
        <f>IFERROR(IF(INDEX(ERP資料!$F:$F, (MATCH(320, 輔助計算!$F$2:$F$801, 0)+1))="","",INDEX(ERP資料!$F:$F, (MATCH(320, 輔助計算!$F$2:$F$801, 0)+1))), "")</f>
        <v/>
      </c>
      <c r="F321" s="10">
        <f>IFERROR(IF(INDEX(ERP資料!$G:$G, (MATCH(320, 輔助計算!$F$2:$F$801, 0)+1))="","",INDEX(ERP資料!$G:$G, (MATCH(320, 輔助計算!$F$2:$F$801, 0)+1))), "")</f>
        <v/>
      </c>
      <c r="G321" s="10">
        <f>IFERROR(IF(INDEX(ERP資料!$H:$H, (MATCH(320, 輔助計算!$F$2:$F$801, 0)+1))="","",INDEX(ERP資料!$H:$H, (MATCH(320, 輔助計算!$F$2:$F$801, 0)+1))), "")</f>
        <v/>
      </c>
      <c r="H321" s="10">
        <f>IFERROR(IF(INDEX(ERP資料!$O:$O, (MATCH(320, 輔助計算!$F$2:$F$801, 0)+1))="","",INDEX(ERP資料!$O:$O, (MATCH(320, 輔助計算!$F$2:$F$801, 0)+1))), "")</f>
        <v/>
      </c>
      <c r="I321" s="15">
        <f>IFERROR(IF(INDEX(輔助計算!$D:$D,(MATCH(320, 輔助計算!$F$2:$F$801, 0)+1))="","",INDEX(輔助計算!$D:$D,(MATCH(320, 輔助計算!$F$2:$F$801, 0)+1))*INDEX(ERP資料!$O:$O,(MATCH(320, 輔助計算!$F$2:$F$801, 0)+1))), "")</f>
        <v/>
      </c>
      <c r="J321" s="16" t="n"/>
      <c r="K321" s="15">
        <f>IFERROR(INDEX(輔助計算!$D:$D, (MATCH(320, 輔助計算!$F$2:$F$801, 0)+1)), "")</f>
        <v/>
      </c>
      <c r="L321" s="16">
        <f>IFERROR(IF(AND(IFERROR(VLOOKUP(LEFT(INDEX(ERP資料!$S:$S, (MATCH(320, 輔助計算!$F$2:$F$801, 0)+1)), 4), 100張客戶!$A:$A, 1, FALSE), "")&lt;&gt;"", OR(INDEX(ERP資料!$F:$F, (MATCH(320, 輔助計算!$F$2:$F$801, 0)+1))=270, INDEX(ERP資料!$F:$F, (MATCH(320, 輔助計算!$F$2:$F$801, 0)+1))=300)), "100張", ""), "")</f>
        <v/>
      </c>
      <c r="M321" s="17" t="n"/>
      <c r="N321" s="17">
        <f>IF($F321="","",$F321)</f>
        <v/>
      </c>
      <c r="O321" s="17">
        <f>IF($G321="","",$G321)</f>
        <v/>
      </c>
      <c r="P321" s="17">
        <f>IF($K321="","",$K321)</f>
        <v/>
      </c>
      <c r="Q321" s="16" t="n"/>
      <c r="R321" s="18" t="n"/>
      <c r="S321" s="16" t="n"/>
    </row>
    <row r="322">
      <c r="A322" s="14">
        <f>IFERROR(IF(AND(IFERROR(INDEX(ERP資料!$A:$A, (MATCH(321, 輔助計算!$F$2:$F$801, 0)+1)), "")&lt;&gt;"", IFERROR(INDEX(ERP資料!$A:$A, (MATCH(321, 輔助計算!$F$2:$F$801, 0)+1)), "")&lt;&gt;IFERROR(INDEX(ERP資料!$A:$A, MATCH(320, 輔助計算!$F$2:$F$801, 0)+1), "")), INDEX(ERP資料!$B:$B, (MATCH(321, 輔助計算!$F$2:$F$801, 0)+1)), ""), "")</f>
        <v/>
      </c>
      <c r="B322" s="10">
        <f>IFERROR(IF(AND(IFERROR(INDEX(ERP資料!$A:$A, (MATCH(321, 輔助計算!$F$2:$F$801, 0)+1)), "")&lt;&gt;"", IFERROR(INDEX(ERP資料!$A:$A, (MATCH(321, 輔助計算!$F$2:$F$801, 0)+1)), "")&lt;&gt;IFERROR(INDEX(ERP資料!$A:$A, MATCH(320, 輔助計算!$F$2:$F$801, 0)+1), "")), IFERROR(INDEX(ERP資料!$A:$A, (MATCH(321, 輔助計算!$F$2:$F$801, 0)+1)), ""), ""), "")</f>
        <v/>
      </c>
      <c r="C322" s="10">
        <f>IFERROR(IF(AND(IFERROR(INDEX(ERP資料!$A:$A, (MATCH(321, 輔助計算!$F$2:$F$801, 0)+1)), "")&lt;&gt;"", IFERROR(INDEX(ERP資料!$A:$A, (MATCH(321, 輔助計算!$F$2:$F$801, 0)+1)), "")&lt;&gt;IFERROR(INDEX(ERP資料!$A:$A, MATCH(320, 輔助計算!$F$2:$F$801, 0)+1), "")), INDEX(ERP資料!$S:$S, (MATCH(321, 輔助計算!$F$2:$F$801, 0)+1)), ""), "")</f>
        <v/>
      </c>
      <c r="D322" s="10">
        <f>IFERROR(IF(INDEX(ERP資料!$E:$E, (MATCH(321, 輔助計算!$F$2:$F$801, 0)+1))="","",TRIM(INDEX(ERP資料!$E:$E, (MATCH(321, 輔助計算!$F$2:$F$801, 0)+1)))), "")</f>
        <v/>
      </c>
      <c r="E322" s="10">
        <f>IFERROR(IF(INDEX(ERP資料!$F:$F, (MATCH(321, 輔助計算!$F$2:$F$801, 0)+1))="","",INDEX(ERP資料!$F:$F, (MATCH(321, 輔助計算!$F$2:$F$801, 0)+1))), "")</f>
        <v/>
      </c>
      <c r="F322" s="10">
        <f>IFERROR(IF(INDEX(ERP資料!$G:$G, (MATCH(321, 輔助計算!$F$2:$F$801, 0)+1))="","",INDEX(ERP資料!$G:$G, (MATCH(321, 輔助計算!$F$2:$F$801, 0)+1))), "")</f>
        <v/>
      </c>
      <c r="G322" s="10">
        <f>IFERROR(IF(INDEX(ERP資料!$H:$H, (MATCH(321, 輔助計算!$F$2:$F$801, 0)+1))="","",INDEX(ERP資料!$H:$H, (MATCH(321, 輔助計算!$F$2:$F$801, 0)+1))), "")</f>
        <v/>
      </c>
      <c r="H322" s="10">
        <f>IFERROR(IF(INDEX(ERP資料!$O:$O, (MATCH(321, 輔助計算!$F$2:$F$801, 0)+1))="","",INDEX(ERP資料!$O:$O, (MATCH(321, 輔助計算!$F$2:$F$801, 0)+1))), "")</f>
        <v/>
      </c>
      <c r="I322" s="15">
        <f>IFERROR(IF(INDEX(輔助計算!$D:$D,(MATCH(321, 輔助計算!$F$2:$F$801, 0)+1))="","",INDEX(輔助計算!$D:$D,(MATCH(321, 輔助計算!$F$2:$F$801, 0)+1))*INDEX(ERP資料!$O:$O,(MATCH(321, 輔助計算!$F$2:$F$801, 0)+1))), "")</f>
        <v/>
      </c>
      <c r="J322" s="16" t="n"/>
      <c r="K322" s="15">
        <f>IFERROR(INDEX(輔助計算!$D:$D, (MATCH(321, 輔助計算!$F$2:$F$801, 0)+1)), "")</f>
        <v/>
      </c>
      <c r="L322" s="16">
        <f>IFERROR(IF(AND(IFERROR(VLOOKUP(LEFT(INDEX(ERP資料!$S:$S, (MATCH(321, 輔助計算!$F$2:$F$801, 0)+1)), 4), 100張客戶!$A:$A, 1, FALSE), "")&lt;&gt;"", OR(INDEX(ERP資料!$F:$F, (MATCH(321, 輔助計算!$F$2:$F$801, 0)+1))=270, INDEX(ERP資料!$F:$F, (MATCH(321, 輔助計算!$F$2:$F$801, 0)+1))=300)), "100張", ""), "")</f>
        <v/>
      </c>
      <c r="M322" s="17" t="n"/>
      <c r="N322" s="17">
        <f>IF($F322="","",$F322)</f>
        <v/>
      </c>
      <c r="O322" s="17">
        <f>IF($G322="","",$G322)</f>
        <v/>
      </c>
      <c r="P322" s="17">
        <f>IF($K322="","",$K322)</f>
        <v/>
      </c>
      <c r="Q322" s="16" t="n"/>
      <c r="R322" s="18" t="n"/>
      <c r="S322" s="16" t="n"/>
    </row>
    <row r="323">
      <c r="A323" s="14">
        <f>IFERROR(IF(AND(IFERROR(INDEX(ERP資料!$A:$A, (MATCH(322, 輔助計算!$F$2:$F$801, 0)+1)), "")&lt;&gt;"", IFERROR(INDEX(ERP資料!$A:$A, (MATCH(322, 輔助計算!$F$2:$F$801, 0)+1)), "")&lt;&gt;IFERROR(INDEX(ERP資料!$A:$A, MATCH(321, 輔助計算!$F$2:$F$801, 0)+1), "")), INDEX(ERP資料!$B:$B, (MATCH(322, 輔助計算!$F$2:$F$801, 0)+1)), ""), "")</f>
        <v/>
      </c>
      <c r="B323" s="10">
        <f>IFERROR(IF(AND(IFERROR(INDEX(ERP資料!$A:$A, (MATCH(322, 輔助計算!$F$2:$F$801, 0)+1)), "")&lt;&gt;"", IFERROR(INDEX(ERP資料!$A:$A, (MATCH(322, 輔助計算!$F$2:$F$801, 0)+1)), "")&lt;&gt;IFERROR(INDEX(ERP資料!$A:$A, MATCH(321, 輔助計算!$F$2:$F$801, 0)+1), "")), IFERROR(INDEX(ERP資料!$A:$A, (MATCH(322, 輔助計算!$F$2:$F$801, 0)+1)), ""), ""), "")</f>
        <v/>
      </c>
      <c r="C323" s="10">
        <f>IFERROR(IF(AND(IFERROR(INDEX(ERP資料!$A:$A, (MATCH(322, 輔助計算!$F$2:$F$801, 0)+1)), "")&lt;&gt;"", IFERROR(INDEX(ERP資料!$A:$A, (MATCH(322, 輔助計算!$F$2:$F$801, 0)+1)), "")&lt;&gt;IFERROR(INDEX(ERP資料!$A:$A, MATCH(321, 輔助計算!$F$2:$F$801, 0)+1), "")), INDEX(ERP資料!$S:$S, (MATCH(322, 輔助計算!$F$2:$F$801, 0)+1)), ""), "")</f>
        <v/>
      </c>
      <c r="D323" s="10">
        <f>IFERROR(IF(INDEX(ERP資料!$E:$E, (MATCH(322, 輔助計算!$F$2:$F$801, 0)+1))="","",TRIM(INDEX(ERP資料!$E:$E, (MATCH(322, 輔助計算!$F$2:$F$801, 0)+1)))), "")</f>
        <v/>
      </c>
      <c r="E323" s="10">
        <f>IFERROR(IF(INDEX(ERP資料!$F:$F, (MATCH(322, 輔助計算!$F$2:$F$801, 0)+1))="","",INDEX(ERP資料!$F:$F, (MATCH(322, 輔助計算!$F$2:$F$801, 0)+1))), "")</f>
        <v/>
      </c>
      <c r="F323" s="10">
        <f>IFERROR(IF(INDEX(ERP資料!$G:$G, (MATCH(322, 輔助計算!$F$2:$F$801, 0)+1))="","",INDEX(ERP資料!$G:$G, (MATCH(322, 輔助計算!$F$2:$F$801, 0)+1))), "")</f>
        <v/>
      </c>
      <c r="G323" s="10">
        <f>IFERROR(IF(INDEX(ERP資料!$H:$H, (MATCH(322, 輔助計算!$F$2:$F$801, 0)+1))="","",INDEX(ERP資料!$H:$H, (MATCH(322, 輔助計算!$F$2:$F$801, 0)+1))), "")</f>
        <v/>
      </c>
      <c r="H323" s="10">
        <f>IFERROR(IF(INDEX(ERP資料!$O:$O, (MATCH(322, 輔助計算!$F$2:$F$801, 0)+1))="","",INDEX(ERP資料!$O:$O, (MATCH(322, 輔助計算!$F$2:$F$801, 0)+1))), "")</f>
        <v/>
      </c>
      <c r="I323" s="15">
        <f>IFERROR(IF(INDEX(輔助計算!$D:$D,(MATCH(322, 輔助計算!$F$2:$F$801, 0)+1))="","",INDEX(輔助計算!$D:$D,(MATCH(322, 輔助計算!$F$2:$F$801, 0)+1))*INDEX(ERP資料!$O:$O,(MATCH(322, 輔助計算!$F$2:$F$801, 0)+1))), "")</f>
        <v/>
      </c>
      <c r="J323" s="16" t="n"/>
      <c r="K323" s="15">
        <f>IFERROR(INDEX(輔助計算!$D:$D, (MATCH(322, 輔助計算!$F$2:$F$801, 0)+1)), "")</f>
        <v/>
      </c>
      <c r="L323" s="16">
        <f>IFERROR(IF(AND(IFERROR(VLOOKUP(LEFT(INDEX(ERP資料!$S:$S, (MATCH(322, 輔助計算!$F$2:$F$801, 0)+1)), 4), 100張客戶!$A:$A, 1, FALSE), "")&lt;&gt;"", OR(INDEX(ERP資料!$F:$F, (MATCH(322, 輔助計算!$F$2:$F$801, 0)+1))=270, INDEX(ERP資料!$F:$F, (MATCH(322, 輔助計算!$F$2:$F$801, 0)+1))=300)), "100張", ""), "")</f>
        <v/>
      </c>
      <c r="M323" s="17" t="n"/>
      <c r="N323" s="17">
        <f>IF($F323="","",$F323)</f>
        <v/>
      </c>
      <c r="O323" s="17">
        <f>IF($G323="","",$G323)</f>
        <v/>
      </c>
      <c r="P323" s="17">
        <f>IF($K323="","",$K323)</f>
        <v/>
      </c>
      <c r="Q323" s="16" t="n"/>
      <c r="R323" s="18" t="n"/>
      <c r="S323" s="16" t="n"/>
    </row>
    <row r="324">
      <c r="A324" s="14">
        <f>IFERROR(IF(AND(IFERROR(INDEX(ERP資料!$A:$A, (MATCH(323, 輔助計算!$F$2:$F$801, 0)+1)), "")&lt;&gt;"", IFERROR(INDEX(ERP資料!$A:$A, (MATCH(323, 輔助計算!$F$2:$F$801, 0)+1)), "")&lt;&gt;IFERROR(INDEX(ERP資料!$A:$A, MATCH(322, 輔助計算!$F$2:$F$801, 0)+1), "")), INDEX(ERP資料!$B:$B, (MATCH(323, 輔助計算!$F$2:$F$801, 0)+1)), ""), "")</f>
        <v/>
      </c>
      <c r="B324" s="10">
        <f>IFERROR(IF(AND(IFERROR(INDEX(ERP資料!$A:$A, (MATCH(323, 輔助計算!$F$2:$F$801, 0)+1)), "")&lt;&gt;"", IFERROR(INDEX(ERP資料!$A:$A, (MATCH(323, 輔助計算!$F$2:$F$801, 0)+1)), "")&lt;&gt;IFERROR(INDEX(ERP資料!$A:$A, MATCH(322, 輔助計算!$F$2:$F$801, 0)+1), "")), IFERROR(INDEX(ERP資料!$A:$A, (MATCH(323, 輔助計算!$F$2:$F$801, 0)+1)), ""), ""), "")</f>
        <v/>
      </c>
      <c r="C324" s="10">
        <f>IFERROR(IF(AND(IFERROR(INDEX(ERP資料!$A:$A, (MATCH(323, 輔助計算!$F$2:$F$801, 0)+1)), "")&lt;&gt;"", IFERROR(INDEX(ERP資料!$A:$A, (MATCH(323, 輔助計算!$F$2:$F$801, 0)+1)), "")&lt;&gt;IFERROR(INDEX(ERP資料!$A:$A, MATCH(322, 輔助計算!$F$2:$F$801, 0)+1), "")), INDEX(ERP資料!$S:$S, (MATCH(323, 輔助計算!$F$2:$F$801, 0)+1)), ""), "")</f>
        <v/>
      </c>
      <c r="D324" s="10">
        <f>IFERROR(IF(INDEX(ERP資料!$E:$E, (MATCH(323, 輔助計算!$F$2:$F$801, 0)+1))="","",TRIM(INDEX(ERP資料!$E:$E, (MATCH(323, 輔助計算!$F$2:$F$801, 0)+1)))), "")</f>
        <v/>
      </c>
      <c r="E324" s="10">
        <f>IFERROR(IF(INDEX(ERP資料!$F:$F, (MATCH(323, 輔助計算!$F$2:$F$801, 0)+1))="","",INDEX(ERP資料!$F:$F, (MATCH(323, 輔助計算!$F$2:$F$801, 0)+1))), "")</f>
        <v/>
      </c>
      <c r="F324" s="10">
        <f>IFERROR(IF(INDEX(ERP資料!$G:$G, (MATCH(323, 輔助計算!$F$2:$F$801, 0)+1))="","",INDEX(ERP資料!$G:$G, (MATCH(323, 輔助計算!$F$2:$F$801, 0)+1))), "")</f>
        <v/>
      </c>
      <c r="G324" s="10">
        <f>IFERROR(IF(INDEX(ERP資料!$H:$H, (MATCH(323, 輔助計算!$F$2:$F$801, 0)+1))="","",INDEX(ERP資料!$H:$H, (MATCH(323, 輔助計算!$F$2:$F$801, 0)+1))), "")</f>
        <v/>
      </c>
      <c r="H324" s="10">
        <f>IFERROR(IF(INDEX(ERP資料!$O:$O, (MATCH(323, 輔助計算!$F$2:$F$801, 0)+1))="","",INDEX(ERP資料!$O:$O, (MATCH(323, 輔助計算!$F$2:$F$801, 0)+1))), "")</f>
        <v/>
      </c>
      <c r="I324" s="15">
        <f>IFERROR(IF(INDEX(輔助計算!$D:$D,(MATCH(323, 輔助計算!$F$2:$F$801, 0)+1))="","",INDEX(輔助計算!$D:$D,(MATCH(323, 輔助計算!$F$2:$F$801, 0)+1))*INDEX(ERP資料!$O:$O,(MATCH(323, 輔助計算!$F$2:$F$801, 0)+1))), "")</f>
        <v/>
      </c>
      <c r="J324" s="16" t="n"/>
      <c r="K324" s="15">
        <f>IFERROR(INDEX(輔助計算!$D:$D, (MATCH(323, 輔助計算!$F$2:$F$801, 0)+1)), "")</f>
        <v/>
      </c>
      <c r="L324" s="16">
        <f>IFERROR(IF(AND(IFERROR(VLOOKUP(LEFT(INDEX(ERP資料!$S:$S, (MATCH(323, 輔助計算!$F$2:$F$801, 0)+1)), 4), 100張客戶!$A:$A, 1, FALSE), "")&lt;&gt;"", OR(INDEX(ERP資料!$F:$F, (MATCH(323, 輔助計算!$F$2:$F$801, 0)+1))=270, INDEX(ERP資料!$F:$F, (MATCH(323, 輔助計算!$F$2:$F$801, 0)+1))=300)), "100張", ""), "")</f>
        <v/>
      </c>
      <c r="M324" s="17" t="n"/>
      <c r="N324" s="17">
        <f>IF($F324="","",$F324)</f>
        <v/>
      </c>
      <c r="O324" s="17">
        <f>IF($G324="","",$G324)</f>
        <v/>
      </c>
      <c r="P324" s="17">
        <f>IF($K324="","",$K324)</f>
        <v/>
      </c>
      <c r="Q324" s="16" t="n"/>
      <c r="R324" s="18" t="n"/>
      <c r="S324" s="16" t="n"/>
    </row>
    <row r="325">
      <c r="A325" s="14">
        <f>IFERROR(IF(AND(IFERROR(INDEX(ERP資料!$A:$A, (MATCH(324, 輔助計算!$F$2:$F$801, 0)+1)), "")&lt;&gt;"", IFERROR(INDEX(ERP資料!$A:$A, (MATCH(324, 輔助計算!$F$2:$F$801, 0)+1)), "")&lt;&gt;IFERROR(INDEX(ERP資料!$A:$A, MATCH(323, 輔助計算!$F$2:$F$801, 0)+1), "")), INDEX(ERP資料!$B:$B, (MATCH(324, 輔助計算!$F$2:$F$801, 0)+1)), ""), "")</f>
        <v/>
      </c>
      <c r="B325" s="10">
        <f>IFERROR(IF(AND(IFERROR(INDEX(ERP資料!$A:$A, (MATCH(324, 輔助計算!$F$2:$F$801, 0)+1)), "")&lt;&gt;"", IFERROR(INDEX(ERP資料!$A:$A, (MATCH(324, 輔助計算!$F$2:$F$801, 0)+1)), "")&lt;&gt;IFERROR(INDEX(ERP資料!$A:$A, MATCH(323, 輔助計算!$F$2:$F$801, 0)+1), "")), IFERROR(INDEX(ERP資料!$A:$A, (MATCH(324, 輔助計算!$F$2:$F$801, 0)+1)), ""), ""), "")</f>
        <v/>
      </c>
      <c r="C325" s="10">
        <f>IFERROR(IF(AND(IFERROR(INDEX(ERP資料!$A:$A, (MATCH(324, 輔助計算!$F$2:$F$801, 0)+1)), "")&lt;&gt;"", IFERROR(INDEX(ERP資料!$A:$A, (MATCH(324, 輔助計算!$F$2:$F$801, 0)+1)), "")&lt;&gt;IFERROR(INDEX(ERP資料!$A:$A, MATCH(323, 輔助計算!$F$2:$F$801, 0)+1), "")), INDEX(ERP資料!$S:$S, (MATCH(324, 輔助計算!$F$2:$F$801, 0)+1)), ""), "")</f>
        <v/>
      </c>
      <c r="D325" s="10">
        <f>IFERROR(IF(INDEX(ERP資料!$E:$E, (MATCH(324, 輔助計算!$F$2:$F$801, 0)+1))="","",TRIM(INDEX(ERP資料!$E:$E, (MATCH(324, 輔助計算!$F$2:$F$801, 0)+1)))), "")</f>
        <v/>
      </c>
      <c r="E325" s="10">
        <f>IFERROR(IF(INDEX(ERP資料!$F:$F, (MATCH(324, 輔助計算!$F$2:$F$801, 0)+1))="","",INDEX(ERP資料!$F:$F, (MATCH(324, 輔助計算!$F$2:$F$801, 0)+1))), "")</f>
        <v/>
      </c>
      <c r="F325" s="10">
        <f>IFERROR(IF(INDEX(ERP資料!$G:$G, (MATCH(324, 輔助計算!$F$2:$F$801, 0)+1))="","",INDEX(ERP資料!$G:$G, (MATCH(324, 輔助計算!$F$2:$F$801, 0)+1))), "")</f>
        <v/>
      </c>
      <c r="G325" s="10">
        <f>IFERROR(IF(INDEX(ERP資料!$H:$H, (MATCH(324, 輔助計算!$F$2:$F$801, 0)+1))="","",INDEX(ERP資料!$H:$H, (MATCH(324, 輔助計算!$F$2:$F$801, 0)+1))), "")</f>
        <v/>
      </c>
      <c r="H325" s="10">
        <f>IFERROR(IF(INDEX(ERP資料!$O:$O, (MATCH(324, 輔助計算!$F$2:$F$801, 0)+1))="","",INDEX(ERP資料!$O:$O, (MATCH(324, 輔助計算!$F$2:$F$801, 0)+1))), "")</f>
        <v/>
      </c>
      <c r="I325" s="15">
        <f>IFERROR(IF(INDEX(輔助計算!$D:$D,(MATCH(324, 輔助計算!$F$2:$F$801, 0)+1))="","",INDEX(輔助計算!$D:$D,(MATCH(324, 輔助計算!$F$2:$F$801, 0)+1))*INDEX(ERP資料!$O:$O,(MATCH(324, 輔助計算!$F$2:$F$801, 0)+1))), "")</f>
        <v/>
      </c>
      <c r="J325" s="16" t="n"/>
      <c r="K325" s="15">
        <f>IFERROR(INDEX(輔助計算!$D:$D, (MATCH(324, 輔助計算!$F$2:$F$801, 0)+1)), "")</f>
        <v/>
      </c>
      <c r="L325" s="16">
        <f>IFERROR(IF(AND(IFERROR(VLOOKUP(LEFT(INDEX(ERP資料!$S:$S, (MATCH(324, 輔助計算!$F$2:$F$801, 0)+1)), 4), 100張客戶!$A:$A, 1, FALSE), "")&lt;&gt;"", OR(INDEX(ERP資料!$F:$F, (MATCH(324, 輔助計算!$F$2:$F$801, 0)+1))=270, INDEX(ERP資料!$F:$F, (MATCH(324, 輔助計算!$F$2:$F$801, 0)+1))=300)), "100張", ""), "")</f>
        <v/>
      </c>
      <c r="M325" s="17" t="n"/>
      <c r="N325" s="17">
        <f>IF($F325="","",$F325)</f>
        <v/>
      </c>
      <c r="O325" s="17">
        <f>IF($G325="","",$G325)</f>
        <v/>
      </c>
      <c r="P325" s="17">
        <f>IF($K325="","",$K325)</f>
        <v/>
      </c>
      <c r="Q325" s="16" t="n"/>
      <c r="R325" s="18" t="n"/>
      <c r="S325" s="16" t="n"/>
    </row>
    <row r="326">
      <c r="A326" s="14">
        <f>IFERROR(IF(AND(IFERROR(INDEX(ERP資料!$A:$A, (MATCH(325, 輔助計算!$F$2:$F$801, 0)+1)), "")&lt;&gt;"", IFERROR(INDEX(ERP資料!$A:$A, (MATCH(325, 輔助計算!$F$2:$F$801, 0)+1)), "")&lt;&gt;IFERROR(INDEX(ERP資料!$A:$A, MATCH(324, 輔助計算!$F$2:$F$801, 0)+1), "")), INDEX(ERP資料!$B:$B, (MATCH(325, 輔助計算!$F$2:$F$801, 0)+1)), ""), "")</f>
        <v/>
      </c>
      <c r="B326" s="10">
        <f>IFERROR(IF(AND(IFERROR(INDEX(ERP資料!$A:$A, (MATCH(325, 輔助計算!$F$2:$F$801, 0)+1)), "")&lt;&gt;"", IFERROR(INDEX(ERP資料!$A:$A, (MATCH(325, 輔助計算!$F$2:$F$801, 0)+1)), "")&lt;&gt;IFERROR(INDEX(ERP資料!$A:$A, MATCH(324, 輔助計算!$F$2:$F$801, 0)+1), "")), IFERROR(INDEX(ERP資料!$A:$A, (MATCH(325, 輔助計算!$F$2:$F$801, 0)+1)), ""), ""), "")</f>
        <v/>
      </c>
      <c r="C326" s="10">
        <f>IFERROR(IF(AND(IFERROR(INDEX(ERP資料!$A:$A, (MATCH(325, 輔助計算!$F$2:$F$801, 0)+1)), "")&lt;&gt;"", IFERROR(INDEX(ERP資料!$A:$A, (MATCH(325, 輔助計算!$F$2:$F$801, 0)+1)), "")&lt;&gt;IFERROR(INDEX(ERP資料!$A:$A, MATCH(324, 輔助計算!$F$2:$F$801, 0)+1), "")), INDEX(ERP資料!$S:$S, (MATCH(325, 輔助計算!$F$2:$F$801, 0)+1)), ""), "")</f>
        <v/>
      </c>
      <c r="D326" s="10">
        <f>IFERROR(IF(INDEX(ERP資料!$E:$E, (MATCH(325, 輔助計算!$F$2:$F$801, 0)+1))="","",TRIM(INDEX(ERP資料!$E:$E, (MATCH(325, 輔助計算!$F$2:$F$801, 0)+1)))), "")</f>
        <v/>
      </c>
      <c r="E326" s="10">
        <f>IFERROR(IF(INDEX(ERP資料!$F:$F, (MATCH(325, 輔助計算!$F$2:$F$801, 0)+1))="","",INDEX(ERP資料!$F:$F, (MATCH(325, 輔助計算!$F$2:$F$801, 0)+1))), "")</f>
        <v/>
      </c>
      <c r="F326" s="10">
        <f>IFERROR(IF(INDEX(ERP資料!$G:$G, (MATCH(325, 輔助計算!$F$2:$F$801, 0)+1))="","",INDEX(ERP資料!$G:$G, (MATCH(325, 輔助計算!$F$2:$F$801, 0)+1))), "")</f>
        <v/>
      </c>
      <c r="G326" s="10">
        <f>IFERROR(IF(INDEX(ERP資料!$H:$H, (MATCH(325, 輔助計算!$F$2:$F$801, 0)+1))="","",INDEX(ERP資料!$H:$H, (MATCH(325, 輔助計算!$F$2:$F$801, 0)+1))), "")</f>
        <v/>
      </c>
      <c r="H326" s="10">
        <f>IFERROR(IF(INDEX(ERP資料!$O:$O, (MATCH(325, 輔助計算!$F$2:$F$801, 0)+1))="","",INDEX(ERP資料!$O:$O, (MATCH(325, 輔助計算!$F$2:$F$801, 0)+1))), "")</f>
        <v/>
      </c>
      <c r="I326" s="15">
        <f>IFERROR(IF(INDEX(輔助計算!$D:$D,(MATCH(325, 輔助計算!$F$2:$F$801, 0)+1))="","",INDEX(輔助計算!$D:$D,(MATCH(325, 輔助計算!$F$2:$F$801, 0)+1))*INDEX(ERP資料!$O:$O,(MATCH(325, 輔助計算!$F$2:$F$801, 0)+1))), "")</f>
        <v/>
      </c>
      <c r="J326" s="16" t="n"/>
      <c r="K326" s="15">
        <f>IFERROR(INDEX(輔助計算!$D:$D, (MATCH(325, 輔助計算!$F$2:$F$801, 0)+1)), "")</f>
        <v/>
      </c>
      <c r="L326" s="16">
        <f>IFERROR(IF(AND(IFERROR(VLOOKUP(LEFT(INDEX(ERP資料!$S:$S, (MATCH(325, 輔助計算!$F$2:$F$801, 0)+1)), 4), 100張客戶!$A:$A, 1, FALSE), "")&lt;&gt;"", OR(INDEX(ERP資料!$F:$F, (MATCH(325, 輔助計算!$F$2:$F$801, 0)+1))=270, INDEX(ERP資料!$F:$F, (MATCH(325, 輔助計算!$F$2:$F$801, 0)+1))=300)), "100張", ""), "")</f>
        <v/>
      </c>
      <c r="M326" s="17" t="n"/>
      <c r="N326" s="17">
        <f>IF($F326="","",$F326)</f>
        <v/>
      </c>
      <c r="O326" s="17">
        <f>IF($G326="","",$G326)</f>
        <v/>
      </c>
      <c r="P326" s="17">
        <f>IF($K326="","",$K326)</f>
        <v/>
      </c>
      <c r="Q326" s="16" t="n"/>
      <c r="R326" s="18" t="n"/>
      <c r="S326" s="16" t="n"/>
    </row>
    <row r="327">
      <c r="A327" s="14">
        <f>IFERROR(IF(AND(IFERROR(INDEX(ERP資料!$A:$A, (MATCH(326, 輔助計算!$F$2:$F$801, 0)+1)), "")&lt;&gt;"", IFERROR(INDEX(ERP資料!$A:$A, (MATCH(326, 輔助計算!$F$2:$F$801, 0)+1)), "")&lt;&gt;IFERROR(INDEX(ERP資料!$A:$A, MATCH(325, 輔助計算!$F$2:$F$801, 0)+1), "")), INDEX(ERP資料!$B:$B, (MATCH(326, 輔助計算!$F$2:$F$801, 0)+1)), ""), "")</f>
        <v/>
      </c>
      <c r="B327" s="10">
        <f>IFERROR(IF(AND(IFERROR(INDEX(ERP資料!$A:$A, (MATCH(326, 輔助計算!$F$2:$F$801, 0)+1)), "")&lt;&gt;"", IFERROR(INDEX(ERP資料!$A:$A, (MATCH(326, 輔助計算!$F$2:$F$801, 0)+1)), "")&lt;&gt;IFERROR(INDEX(ERP資料!$A:$A, MATCH(325, 輔助計算!$F$2:$F$801, 0)+1), "")), IFERROR(INDEX(ERP資料!$A:$A, (MATCH(326, 輔助計算!$F$2:$F$801, 0)+1)), ""), ""), "")</f>
        <v/>
      </c>
      <c r="C327" s="10">
        <f>IFERROR(IF(AND(IFERROR(INDEX(ERP資料!$A:$A, (MATCH(326, 輔助計算!$F$2:$F$801, 0)+1)), "")&lt;&gt;"", IFERROR(INDEX(ERP資料!$A:$A, (MATCH(326, 輔助計算!$F$2:$F$801, 0)+1)), "")&lt;&gt;IFERROR(INDEX(ERP資料!$A:$A, MATCH(325, 輔助計算!$F$2:$F$801, 0)+1), "")), INDEX(ERP資料!$S:$S, (MATCH(326, 輔助計算!$F$2:$F$801, 0)+1)), ""), "")</f>
        <v/>
      </c>
      <c r="D327" s="10">
        <f>IFERROR(IF(INDEX(ERP資料!$E:$E, (MATCH(326, 輔助計算!$F$2:$F$801, 0)+1))="","",TRIM(INDEX(ERP資料!$E:$E, (MATCH(326, 輔助計算!$F$2:$F$801, 0)+1)))), "")</f>
        <v/>
      </c>
      <c r="E327" s="10">
        <f>IFERROR(IF(INDEX(ERP資料!$F:$F, (MATCH(326, 輔助計算!$F$2:$F$801, 0)+1))="","",INDEX(ERP資料!$F:$F, (MATCH(326, 輔助計算!$F$2:$F$801, 0)+1))), "")</f>
        <v/>
      </c>
      <c r="F327" s="10">
        <f>IFERROR(IF(INDEX(ERP資料!$G:$G, (MATCH(326, 輔助計算!$F$2:$F$801, 0)+1))="","",INDEX(ERP資料!$G:$G, (MATCH(326, 輔助計算!$F$2:$F$801, 0)+1))), "")</f>
        <v/>
      </c>
      <c r="G327" s="10">
        <f>IFERROR(IF(INDEX(ERP資料!$H:$H, (MATCH(326, 輔助計算!$F$2:$F$801, 0)+1))="","",INDEX(ERP資料!$H:$H, (MATCH(326, 輔助計算!$F$2:$F$801, 0)+1))), "")</f>
        <v/>
      </c>
      <c r="H327" s="10">
        <f>IFERROR(IF(INDEX(ERP資料!$O:$O, (MATCH(326, 輔助計算!$F$2:$F$801, 0)+1))="","",INDEX(ERP資料!$O:$O, (MATCH(326, 輔助計算!$F$2:$F$801, 0)+1))), "")</f>
        <v/>
      </c>
      <c r="I327" s="15">
        <f>IFERROR(IF(INDEX(輔助計算!$D:$D,(MATCH(326, 輔助計算!$F$2:$F$801, 0)+1))="","",INDEX(輔助計算!$D:$D,(MATCH(326, 輔助計算!$F$2:$F$801, 0)+1))*INDEX(ERP資料!$O:$O,(MATCH(326, 輔助計算!$F$2:$F$801, 0)+1))), "")</f>
        <v/>
      </c>
      <c r="J327" s="16" t="n"/>
      <c r="K327" s="15">
        <f>IFERROR(INDEX(輔助計算!$D:$D, (MATCH(326, 輔助計算!$F$2:$F$801, 0)+1)), "")</f>
        <v/>
      </c>
      <c r="L327" s="16">
        <f>IFERROR(IF(AND(IFERROR(VLOOKUP(LEFT(INDEX(ERP資料!$S:$S, (MATCH(326, 輔助計算!$F$2:$F$801, 0)+1)), 4), 100張客戶!$A:$A, 1, FALSE), "")&lt;&gt;"", OR(INDEX(ERP資料!$F:$F, (MATCH(326, 輔助計算!$F$2:$F$801, 0)+1))=270, INDEX(ERP資料!$F:$F, (MATCH(326, 輔助計算!$F$2:$F$801, 0)+1))=300)), "100張", ""), "")</f>
        <v/>
      </c>
      <c r="M327" s="17" t="n"/>
      <c r="N327" s="17">
        <f>IF($F327="","",$F327)</f>
        <v/>
      </c>
      <c r="O327" s="17">
        <f>IF($G327="","",$G327)</f>
        <v/>
      </c>
      <c r="P327" s="17">
        <f>IF($K327="","",$K327)</f>
        <v/>
      </c>
      <c r="Q327" s="16" t="n"/>
      <c r="R327" s="18" t="n"/>
      <c r="S327" s="16" t="n"/>
    </row>
    <row r="328">
      <c r="A328" s="14">
        <f>IFERROR(IF(AND(IFERROR(INDEX(ERP資料!$A:$A, (MATCH(327, 輔助計算!$F$2:$F$801, 0)+1)), "")&lt;&gt;"", IFERROR(INDEX(ERP資料!$A:$A, (MATCH(327, 輔助計算!$F$2:$F$801, 0)+1)), "")&lt;&gt;IFERROR(INDEX(ERP資料!$A:$A, MATCH(326, 輔助計算!$F$2:$F$801, 0)+1), "")), INDEX(ERP資料!$B:$B, (MATCH(327, 輔助計算!$F$2:$F$801, 0)+1)), ""), "")</f>
        <v/>
      </c>
      <c r="B328" s="10">
        <f>IFERROR(IF(AND(IFERROR(INDEX(ERP資料!$A:$A, (MATCH(327, 輔助計算!$F$2:$F$801, 0)+1)), "")&lt;&gt;"", IFERROR(INDEX(ERP資料!$A:$A, (MATCH(327, 輔助計算!$F$2:$F$801, 0)+1)), "")&lt;&gt;IFERROR(INDEX(ERP資料!$A:$A, MATCH(326, 輔助計算!$F$2:$F$801, 0)+1), "")), IFERROR(INDEX(ERP資料!$A:$A, (MATCH(327, 輔助計算!$F$2:$F$801, 0)+1)), ""), ""), "")</f>
        <v/>
      </c>
      <c r="C328" s="10">
        <f>IFERROR(IF(AND(IFERROR(INDEX(ERP資料!$A:$A, (MATCH(327, 輔助計算!$F$2:$F$801, 0)+1)), "")&lt;&gt;"", IFERROR(INDEX(ERP資料!$A:$A, (MATCH(327, 輔助計算!$F$2:$F$801, 0)+1)), "")&lt;&gt;IFERROR(INDEX(ERP資料!$A:$A, MATCH(326, 輔助計算!$F$2:$F$801, 0)+1), "")), INDEX(ERP資料!$S:$S, (MATCH(327, 輔助計算!$F$2:$F$801, 0)+1)), ""), "")</f>
        <v/>
      </c>
      <c r="D328" s="10">
        <f>IFERROR(IF(INDEX(ERP資料!$E:$E, (MATCH(327, 輔助計算!$F$2:$F$801, 0)+1))="","",TRIM(INDEX(ERP資料!$E:$E, (MATCH(327, 輔助計算!$F$2:$F$801, 0)+1)))), "")</f>
        <v/>
      </c>
      <c r="E328" s="10">
        <f>IFERROR(IF(INDEX(ERP資料!$F:$F, (MATCH(327, 輔助計算!$F$2:$F$801, 0)+1))="","",INDEX(ERP資料!$F:$F, (MATCH(327, 輔助計算!$F$2:$F$801, 0)+1))), "")</f>
        <v/>
      </c>
      <c r="F328" s="10">
        <f>IFERROR(IF(INDEX(ERP資料!$G:$G, (MATCH(327, 輔助計算!$F$2:$F$801, 0)+1))="","",INDEX(ERP資料!$G:$G, (MATCH(327, 輔助計算!$F$2:$F$801, 0)+1))), "")</f>
        <v/>
      </c>
      <c r="G328" s="10">
        <f>IFERROR(IF(INDEX(ERP資料!$H:$H, (MATCH(327, 輔助計算!$F$2:$F$801, 0)+1))="","",INDEX(ERP資料!$H:$H, (MATCH(327, 輔助計算!$F$2:$F$801, 0)+1))), "")</f>
        <v/>
      </c>
      <c r="H328" s="10">
        <f>IFERROR(IF(INDEX(ERP資料!$O:$O, (MATCH(327, 輔助計算!$F$2:$F$801, 0)+1))="","",INDEX(ERP資料!$O:$O, (MATCH(327, 輔助計算!$F$2:$F$801, 0)+1))), "")</f>
        <v/>
      </c>
      <c r="I328" s="15">
        <f>IFERROR(IF(INDEX(輔助計算!$D:$D,(MATCH(327, 輔助計算!$F$2:$F$801, 0)+1))="","",INDEX(輔助計算!$D:$D,(MATCH(327, 輔助計算!$F$2:$F$801, 0)+1))*INDEX(ERP資料!$O:$O,(MATCH(327, 輔助計算!$F$2:$F$801, 0)+1))), "")</f>
        <v/>
      </c>
      <c r="J328" s="16" t="n"/>
      <c r="K328" s="15">
        <f>IFERROR(INDEX(輔助計算!$D:$D, (MATCH(327, 輔助計算!$F$2:$F$801, 0)+1)), "")</f>
        <v/>
      </c>
      <c r="L328" s="16">
        <f>IFERROR(IF(AND(IFERROR(VLOOKUP(LEFT(INDEX(ERP資料!$S:$S, (MATCH(327, 輔助計算!$F$2:$F$801, 0)+1)), 4), 100張客戶!$A:$A, 1, FALSE), "")&lt;&gt;"", OR(INDEX(ERP資料!$F:$F, (MATCH(327, 輔助計算!$F$2:$F$801, 0)+1))=270, INDEX(ERP資料!$F:$F, (MATCH(327, 輔助計算!$F$2:$F$801, 0)+1))=300)), "100張", ""), "")</f>
        <v/>
      </c>
      <c r="M328" s="17" t="n"/>
      <c r="N328" s="17">
        <f>IF($F328="","",$F328)</f>
        <v/>
      </c>
      <c r="O328" s="17">
        <f>IF($G328="","",$G328)</f>
        <v/>
      </c>
      <c r="P328" s="17">
        <f>IF($K328="","",$K328)</f>
        <v/>
      </c>
      <c r="Q328" s="16" t="n"/>
      <c r="R328" s="18" t="n"/>
      <c r="S328" s="16" t="n"/>
    </row>
    <row r="329">
      <c r="A329" s="14">
        <f>IFERROR(IF(AND(IFERROR(INDEX(ERP資料!$A:$A, (MATCH(328, 輔助計算!$F$2:$F$801, 0)+1)), "")&lt;&gt;"", IFERROR(INDEX(ERP資料!$A:$A, (MATCH(328, 輔助計算!$F$2:$F$801, 0)+1)), "")&lt;&gt;IFERROR(INDEX(ERP資料!$A:$A, MATCH(327, 輔助計算!$F$2:$F$801, 0)+1), "")), INDEX(ERP資料!$B:$B, (MATCH(328, 輔助計算!$F$2:$F$801, 0)+1)), ""), "")</f>
        <v/>
      </c>
      <c r="B329" s="10">
        <f>IFERROR(IF(AND(IFERROR(INDEX(ERP資料!$A:$A, (MATCH(328, 輔助計算!$F$2:$F$801, 0)+1)), "")&lt;&gt;"", IFERROR(INDEX(ERP資料!$A:$A, (MATCH(328, 輔助計算!$F$2:$F$801, 0)+1)), "")&lt;&gt;IFERROR(INDEX(ERP資料!$A:$A, MATCH(327, 輔助計算!$F$2:$F$801, 0)+1), "")), IFERROR(INDEX(ERP資料!$A:$A, (MATCH(328, 輔助計算!$F$2:$F$801, 0)+1)), ""), ""), "")</f>
        <v/>
      </c>
      <c r="C329" s="10">
        <f>IFERROR(IF(AND(IFERROR(INDEX(ERP資料!$A:$A, (MATCH(328, 輔助計算!$F$2:$F$801, 0)+1)), "")&lt;&gt;"", IFERROR(INDEX(ERP資料!$A:$A, (MATCH(328, 輔助計算!$F$2:$F$801, 0)+1)), "")&lt;&gt;IFERROR(INDEX(ERP資料!$A:$A, MATCH(327, 輔助計算!$F$2:$F$801, 0)+1), "")), INDEX(ERP資料!$S:$S, (MATCH(328, 輔助計算!$F$2:$F$801, 0)+1)), ""), "")</f>
        <v/>
      </c>
      <c r="D329" s="10">
        <f>IFERROR(IF(INDEX(ERP資料!$E:$E, (MATCH(328, 輔助計算!$F$2:$F$801, 0)+1))="","",TRIM(INDEX(ERP資料!$E:$E, (MATCH(328, 輔助計算!$F$2:$F$801, 0)+1)))), "")</f>
        <v/>
      </c>
      <c r="E329" s="10">
        <f>IFERROR(IF(INDEX(ERP資料!$F:$F, (MATCH(328, 輔助計算!$F$2:$F$801, 0)+1))="","",INDEX(ERP資料!$F:$F, (MATCH(328, 輔助計算!$F$2:$F$801, 0)+1))), "")</f>
        <v/>
      </c>
      <c r="F329" s="10">
        <f>IFERROR(IF(INDEX(ERP資料!$G:$G, (MATCH(328, 輔助計算!$F$2:$F$801, 0)+1))="","",INDEX(ERP資料!$G:$G, (MATCH(328, 輔助計算!$F$2:$F$801, 0)+1))), "")</f>
        <v/>
      </c>
      <c r="G329" s="10">
        <f>IFERROR(IF(INDEX(ERP資料!$H:$H, (MATCH(328, 輔助計算!$F$2:$F$801, 0)+1))="","",INDEX(ERP資料!$H:$H, (MATCH(328, 輔助計算!$F$2:$F$801, 0)+1))), "")</f>
        <v/>
      </c>
      <c r="H329" s="10">
        <f>IFERROR(IF(INDEX(ERP資料!$O:$O, (MATCH(328, 輔助計算!$F$2:$F$801, 0)+1))="","",INDEX(ERP資料!$O:$O, (MATCH(328, 輔助計算!$F$2:$F$801, 0)+1))), "")</f>
        <v/>
      </c>
      <c r="I329" s="15">
        <f>IFERROR(IF(INDEX(輔助計算!$D:$D,(MATCH(328, 輔助計算!$F$2:$F$801, 0)+1))="","",INDEX(輔助計算!$D:$D,(MATCH(328, 輔助計算!$F$2:$F$801, 0)+1))*INDEX(ERP資料!$O:$O,(MATCH(328, 輔助計算!$F$2:$F$801, 0)+1))), "")</f>
        <v/>
      </c>
      <c r="J329" s="16" t="n"/>
      <c r="K329" s="15">
        <f>IFERROR(INDEX(輔助計算!$D:$D, (MATCH(328, 輔助計算!$F$2:$F$801, 0)+1)), "")</f>
        <v/>
      </c>
      <c r="L329" s="16">
        <f>IFERROR(IF(AND(IFERROR(VLOOKUP(LEFT(INDEX(ERP資料!$S:$S, (MATCH(328, 輔助計算!$F$2:$F$801, 0)+1)), 4), 100張客戶!$A:$A, 1, FALSE), "")&lt;&gt;"", OR(INDEX(ERP資料!$F:$F, (MATCH(328, 輔助計算!$F$2:$F$801, 0)+1))=270, INDEX(ERP資料!$F:$F, (MATCH(328, 輔助計算!$F$2:$F$801, 0)+1))=300)), "100張", ""), "")</f>
        <v/>
      </c>
      <c r="M329" s="17" t="n"/>
      <c r="N329" s="17">
        <f>IF($F329="","",$F329)</f>
        <v/>
      </c>
      <c r="O329" s="17">
        <f>IF($G329="","",$G329)</f>
        <v/>
      </c>
      <c r="P329" s="17">
        <f>IF($K329="","",$K329)</f>
        <v/>
      </c>
      <c r="Q329" s="16" t="n"/>
      <c r="R329" s="18" t="n"/>
      <c r="S329" s="16" t="n"/>
    </row>
    <row r="330">
      <c r="A330" s="14">
        <f>IFERROR(IF(AND(IFERROR(INDEX(ERP資料!$A:$A, (MATCH(329, 輔助計算!$F$2:$F$801, 0)+1)), "")&lt;&gt;"", IFERROR(INDEX(ERP資料!$A:$A, (MATCH(329, 輔助計算!$F$2:$F$801, 0)+1)), "")&lt;&gt;IFERROR(INDEX(ERP資料!$A:$A, MATCH(328, 輔助計算!$F$2:$F$801, 0)+1), "")), INDEX(ERP資料!$B:$B, (MATCH(329, 輔助計算!$F$2:$F$801, 0)+1)), ""), "")</f>
        <v/>
      </c>
      <c r="B330" s="10">
        <f>IFERROR(IF(AND(IFERROR(INDEX(ERP資料!$A:$A, (MATCH(329, 輔助計算!$F$2:$F$801, 0)+1)), "")&lt;&gt;"", IFERROR(INDEX(ERP資料!$A:$A, (MATCH(329, 輔助計算!$F$2:$F$801, 0)+1)), "")&lt;&gt;IFERROR(INDEX(ERP資料!$A:$A, MATCH(328, 輔助計算!$F$2:$F$801, 0)+1), "")), IFERROR(INDEX(ERP資料!$A:$A, (MATCH(329, 輔助計算!$F$2:$F$801, 0)+1)), ""), ""), "")</f>
        <v/>
      </c>
      <c r="C330" s="10">
        <f>IFERROR(IF(AND(IFERROR(INDEX(ERP資料!$A:$A, (MATCH(329, 輔助計算!$F$2:$F$801, 0)+1)), "")&lt;&gt;"", IFERROR(INDEX(ERP資料!$A:$A, (MATCH(329, 輔助計算!$F$2:$F$801, 0)+1)), "")&lt;&gt;IFERROR(INDEX(ERP資料!$A:$A, MATCH(328, 輔助計算!$F$2:$F$801, 0)+1), "")), INDEX(ERP資料!$S:$S, (MATCH(329, 輔助計算!$F$2:$F$801, 0)+1)), ""), "")</f>
        <v/>
      </c>
      <c r="D330" s="10">
        <f>IFERROR(IF(INDEX(ERP資料!$E:$E, (MATCH(329, 輔助計算!$F$2:$F$801, 0)+1))="","",TRIM(INDEX(ERP資料!$E:$E, (MATCH(329, 輔助計算!$F$2:$F$801, 0)+1)))), "")</f>
        <v/>
      </c>
      <c r="E330" s="10">
        <f>IFERROR(IF(INDEX(ERP資料!$F:$F, (MATCH(329, 輔助計算!$F$2:$F$801, 0)+1))="","",INDEX(ERP資料!$F:$F, (MATCH(329, 輔助計算!$F$2:$F$801, 0)+1))), "")</f>
        <v/>
      </c>
      <c r="F330" s="10">
        <f>IFERROR(IF(INDEX(ERP資料!$G:$G, (MATCH(329, 輔助計算!$F$2:$F$801, 0)+1))="","",INDEX(ERP資料!$G:$G, (MATCH(329, 輔助計算!$F$2:$F$801, 0)+1))), "")</f>
        <v/>
      </c>
      <c r="G330" s="10">
        <f>IFERROR(IF(INDEX(ERP資料!$H:$H, (MATCH(329, 輔助計算!$F$2:$F$801, 0)+1))="","",INDEX(ERP資料!$H:$H, (MATCH(329, 輔助計算!$F$2:$F$801, 0)+1))), "")</f>
        <v/>
      </c>
      <c r="H330" s="10">
        <f>IFERROR(IF(INDEX(ERP資料!$O:$O, (MATCH(329, 輔助計算!$F$2:$F$801, 0)+1))="","",INDEX(ERP資料!$O:$O, (MATCH(329, 輔助計算!$F$2:$F$801, 0)+1))), "")</f>
        <v/>
      </c>
      <c r="I330" s="15">
        <f>IFERROR(IF(INDEX(輔助計算!$D:$D,(MATCH(329, 輔助計算!$F$2:$F$801, 0)+1))="","",INDEX(輔助計算!$D:$D,(MATCH(329, 輔助計算!$F$2:$F$801, 0)+1))*INDEX(ERP資料!$O:$O,(MATCH(329, 輔助計算!$F$2:$F$801, 0)+1))), "")</f>
        <v/>
      </c>
      <c r="J330" s="16" t="n"/>
      <c r="K330" s="15">
        <f>IFERROR(INDEX(輔助計算!$D:$D, (MATCH(329, 輔助計算!$F$2:$F$801, 0)+1)), "")</f>
        <v/>
      </c>
      <c r="L330" s="16">
        <f>IFERROR(IF(AND(IFERROR(VLOOKUP(LEFT(INDEX(ERP資料!$S:$S, (MATCH(329, 輔助計算!$F$2:$F$801, 0)+1)), 4), 100張客戶!$A:$A, 1, FALSE), "")&lt;&gt;"", OR(INDEX(ERP資料!$F:$F, (MATCH(329, 輔助計算!$F$2:$F$801, 0)+1))=270, INDEX(ERP資料!$F:$F, (MATCH(329, 輔助計算!$F$2:$F$801, 0)+1))=300)), "100張", ""), "")</f>
        <v/>
      </c>
      <c r="M330" s="17" t="n"/>
      <c r="N330" s="17">
        <f>IF($F330="","",$F330)</f>
        <v/>
      </c>
      <c r="O330" s="17">
        <f>IF($G330="","",$G330)</f>
        <v/>
      </c>
      <c r="P330" s="17">
        <f>IF($K330="","",$K330)</f>
        <v/>
      </c>
      <c r="Q330" s="16" t="n"/>
      <c r="R330" s="18" t="n"/>
      <c r="S330" s="16" t="n"/>
    </row>
    <row r="331">
      <c r="A331" s="14">
        <f>IFERROR(IF(AND(IFERROR(INDEX(ERP資料!$A:$A, (MATCH(330, 輔助計算!$F$2:$F$801, 0)+1)), "")&lt;&gt;"", IFERROR(INDEX(ERP資料!$A:$A, (MATCH(330, 輔助計算!$F$2:$F$801, 0)+1)), "")&lt;&gt;IFERROR(INDEX(ERP資料!$A:$A, MATCH(329, 輔助計算!$F$2:$F$801, 0)+1), "")), INDEX(ERP資料!$B:$B, (MATCH(330, 輔助計算!$F$2:$F$801, 0)+1)), ""), "")</f>
        <v/>
      </c>
      <c r="B331" s="10">
        <f>IFERROR(IF(AND(IFERROR(INDEX(ERP資料!$A:$A, (MATCH(330, 輔助計算!$F$2:$F$801, 0)+1)), "")&lt;&gt;"", IFERROR(INDEX(ERP資料!$A:$A, (MATCH(330, 輔助計算!$F$2:$F$801, 0)+1)), "")&lt;&gt;IFERROR(INDEX(ERP資料!$A:$A, MATCH(329, 輔助計算!$F$2:$F$801, 0)+1), "")), IFERROR(INDEX(ERP資料!$A:$A, (MATCH(330, 輔助計算!$F$2:$F$801, 0)+1)), ""), ""), "")</f>
        <v/>
      </c>
      <c r="C331" s="10">
        <f>IFERROR(IF(AND(IFERROR(INDEX(ERP資料!$A:$A, (MATCH(330, 輔助計算!$F$2:$F$801, 0)+1)), "")&lt;&gt;"", IFERROR(INDEX(ERP資料!$A:$A, (MATCH(330, 輔助計算!$F$2:$F$801, 0)+1)), "")&lt;&gt;IFERROR(INDEX(ERP資料!$A:$A, MATCH(329, 輔助計算!$F$2:$F$801, 0)+1), "")), INDEX(ERP資料!$S:$S, (MATCH(330, 輔助計算!$F$2:$F$801, 0)+1)), ""), "")</f>
        <v/>
      </c>
      <c r="D331" s="10">
        <f>IFERROR(IF(INDEX(ERP資料!$E:$E, (MATCH(330, 輔助計算!$F$2:$F$801, 0)+1))="","",TRIM(INDEX(ERP資料!$E:$E, (MATCH(330, 輔助計算!$F$2:$F$801, 0)+1)))), "")</f>
        <v/>
      </c>
      <c r="E331" s="10">
        <f>IFERROR(IF(INDEX(ERP資料!$F:$F, (MATCH(330, 輔助計算!$F$2:$F$801, 0)+1))="","",INDEX(ERP資料!$F:$F, (MATCH(330, 輔助計算!$F$2:$F$801, 0)+1))), "")</f>
        <v/>
      </c>
      <c r="F331" s="10">
        <f>IFERROR(IF(INDEX(ERP資料!$G:$G, (MATCH(330, 輔助計算!$F$2:$F$801, 0)+1))="","",INDEX(ERP資料!$G:$G, (MATCH(330, 輔助計算!$F$2:$F$801, 0)+1))), "")</f>
        <v/>
      </c>
      <c r="G331" s="10">
        <f>IFERROR(IF(INDEX(ERP資料!$H:$H, (MATCH(330, 輔助計算!$F$2:$F$801, 0)+1))="","",INDEX(ERP資料!$H:$H, (MATCH(330, 輔助計算!$F$2:$F$801, 0)+1))), "")</f>
        <v/>
      </c>
      <c r="H331" s="10">
        <f>IFERROR(IF(INDEX(ERP資料!$O:$O, (MATCH(330, 輔助計算!$F$2:$F$801, 0)+1))="","",INDEX(ERP資料!$O:$O, (MATCH(330, 輔助計算!$F$2:$F$801, 0)+1))), "")</f>
        <v/>
      </c>
      <c r="I331" s="15">
        <f>IFERROR(IF(INDEX(輔助計算!$D:$D,(MATCH(330, 輔助計算!$F$2:$F$801, 0)+1))="","",INDEX(輔助計算!$D:$D,(MATCH(330, 輔助計算!$F$2:$F$801, 0)+1))*INDEX(ERP資料!$O:$O,(MATCH(330, 輔助計算!$F$2:$F$801, 0)+1))), "")</f>
        <v/>
      </c>
      <c r="J331" s="16" t="n"/>
      <c r="K331" s="15">
        <f>IFERROR(INDEX(輔助計算!$D:$D, (MATCH(330, 輔助計算!$F$2:$F$801, 0)+1)), "")</f>
        <v/>
      </c>
      <c r="L331" s="16">
        <f>IFERROR(IF(AND(IFERROR(VLOOKUP(LEFT(INDEX(ERP資料!$S:$S, (MATCH(330, 輔助計算!$F$2:$F$801, 0)+1)), 4), 100張客戶!$A:$A, 1, FALSE), "")&lt;&gt;"", OR(INDEX(ERP資料!$F:$F, (MATCH(330, 輔助計算!$F$2:$F$801, 0)+1))=270, INDEX(ERP資料!$F:$F, (MATCH(330, 輔助計算!$F$2:$F$801, 0)+1))=300)), "100張", ""), "")</f>
        <v/>
      </c>
      <c r="M331" s="17" t="n"/>
      <c r="N331" s="17">
        <f>IF($F331="","",$F331)</f>
        <v/>
      </c>
      <c r="O331" s="17">
        <f>IF($G331="","",$G331)</f>
        <v/>
      </c>
      <c r="P331" s="17">
        <f>IF($K331="","",$K331)</f>
        <v/>
      </c>
      <c r="Q331" s="16" t="n"/>
      <c r="R331" s="18" t="n"/>
      <c r="S331" s="16" t="n"/>
    </row>
    <row r="332">
      <c r="A332" s="14">
        <f>IFERROR(IF(AND(IFERROR(INDEX(ERP資料!$A:$A, (MATCH(331, 輔助計算!$F$2:$F$801, 0)+1)), "")&lt;&gt;"", IFERROR(INDEX(ERP資料!$A:$A, (MATCH(331, 輔助計算!$F$2:$F$801, 0)+1)), "")&lt;&gt;IFERROR(INDEX(ERP資料!$A:$A, MATCH(330, 輔助計算!$F$2:$F$801, 0)+1), "")), INDEX(ERP資料!$B:$B, (MATCH(331, 輔助計算!$F$2:$F$801, 0)+1)), ""), "")</f>
        <v/>
      </c>
      <c r="B332" s="10">
        <f>IFERROR(IF(AND(IFERROR(INDEX(ERP資料!$A:$A, (MATCH(331, 輔助計算!$F$2:$F$801, 0)+1)), "")&lt;&gt;"", IFERROR(INDEX(ERP資料!$A:$A, (MATCH(331, 輔助計算!$F$2:$F$801, 0)+1)), "")&lt;&gt;IFERROR(INDEX(ERP資料!$A:$A, MATCH(330, 輔助計算!$F$2:$F$801, 0)+1), "")), IFERROR(INDEX(ERP資料!$A:$A, (MATCH(331, 輔助計算!$F$2:$F$801, 0)+1)), ""), ""), "")</f>
        <v/>
      </c>
      <c r="C332" s="10">
        <f>IFERROR(IF(AND(IFERROR(INDEX(ERP資料!$A:$A, (MATCH(331, 輔助計算!$F$2:$F$801, 0)+1)), "")&lt;&gt;"", IFERROR(INDEX(ERP資料!$A:$A, (MATCH(331, 輔助計算!$F$2:$F$801, 0)+1)), "")&lt;&gt;IFERROR(INDEX(ERP資料!$A:$A, MATCH(330, 輔助計算!$F$2:$F$801, 0)+1), "")), INDEX(ERP資料!$S:$S, (MATCH(331, 輔助計算!$F$2:$F$801, 0)+1)), ""), "")</f>
        <v/>
      </c>
      <c r="D332" s="10">
        <f>IFERROR(IF(INDEX(ERP資料!$E:$E, (MATCH(331, 輔助計算!$F$2:$F$801, 0)+1))="","",TRIM(INDEX(ERP資料!$E:$E, (MATCH(331, 輔助計算!$F$2:$F$801, 0)+1)))), "")</f>
        <v/>
      </c>
      <c r="E332" s="10">
        <f>IFERROR(IF(INDEX(ERP資料!$F:$F, (MATCH(331, 輔助計算!$F$2:$F$801, 0)+1))="","",INDEX(ERP資料!$F:$F, (MATCH(331, 輔助計算!$F$2:$F$801, 0)+1))), "")</f>
        <v/>
      </c>
      <c r="F332" s="10">
        <f>IFERROR(IF(INDEX(ERP資料!$G:$G, (MATCH(331, 輔助計算!$F$2:$F$801, 0)+1))="","",INDEX(ERP資料!$G:$G, (MATCH(331, 輔助計算!$F$2:$F$801, 0)+1))), "")</f>
        <v/>
      </c>
      <c r="G332" s="10">
        <f>IFERROR(IF(INDEX(ERP資料!$H:$H, (MATCH(331, 輔助計算!$F$2:$F$801, 0)+1))="","",INDEX(ERP資料!$H:$H, (MATCH(331, 輔助計算!$F$2:$F$801, 0)+1))), "")</f>
        <v/>
      </c>
      <c r="H332" s="10">
        <f>IFERROR(IF(INDEX(ERP資料!$O:$O, (MATCH(331, 輔助計算!$F$2:$F$801, 0)+1))="","",INDEX(ERP資料!$O:$O, (MATCH(331, 輔助計算!$F$2:$F$801, 0)+1))), "")</f>
        <v/>
      </c>
      <c r="I332" s="15">
        <f>IFERROR(IF(INDEX(輔助計算!$D:$D,(MATCH(331, 輔助計算!$F$2:$F$801, 0)+1))="","",INDEX(輔助計算!$D:$D,(MATCH(331, 輔助計算!$F$2:$F$801, 0)+1))*INDEX(ERP資料!$O:$O,(MATCH(331, 輔助計算!$F$2:$F$801, 0)+1))), "")</f>
        <v/>
      </c>
      <c r="J332" s="16" t="n"/>
      <c r="K332" s="15">
        <f>IFERROR(INDEX(輔助計算!$D:$D, (MATCH(331, 輔助計算!$F$2:$F$801, 0)+1)), "")</f>
        <v/>
      </c>
      <c r="L332" s="16">
        <f>IFERROR(IF(AND(IFERROR(VLOOKUP(LEFT(INDEX(ERP資料!$S:$S, (MATCH(331, 輔助計算!$F$2:$F$801, 0)+1)), 4), 100張客戶!$A:$A, 1, FALSE), "")&lt;&gt;"", OR(INDEX(ERP資料!$F:$F, (MATCH(331, 輔助計算!$F$2:$F$801, 0)+1))=270, INDEX(ERP資料!$F:$F, (MATCH(331, 輔助計算!$F$2:$F$801, 0)+1))=300)), "100張", ""), "")</f>
        <v/>
      </c>
      <c r="M332" s="17" t="n"/>
      <c r="N332" s="17">
        <f>IF($F332="","",$F332)</f>
        <v/>
      </c>
      <c r="O332" s="17">
        <f>IF($G332="","",$G332)</f>
        <v/>
      </c>
      <c r="P332" s="17">
        <f>IF($K332="","",$K332)</f>
        <v/>
      </c>
      <c r="Q332" s="16" t="n"/>
      <c r="R332" s="18" t="n"/>
      <c r="S332" s="16" t="n"/>
    </row>
    <row r="333">
      <c r="A333" s="14">
        <f>IFERROR(IF(AND(IFERROR(INDEX(ERP資料!$A:$A, (MATCH(332, 輔助計算!$F$2:$F$801, 0)+1)), "")&lt;&gt;"", IFERROR(INDEX(ERP資料!$A:$A, (MATCH(332, 輔助計算!$F$2:$F$801, 0)+1)), "")&lt;&gt;IFERROR(INDEX(ERP資料!$A:$A, MATCH(331, 輔助計算!$F$2:$F$801, 0)+1), "")), INDEX(ERP資料!$B:$B, (MATCH(332, 輔助計算!$F$2:$F$801, 0)+1)), ""), "")</f>
        <v/>
      </c>
      <c r="B333" s="10">
        <f>IFERROR(IF(AND(IFERROR(INDEX(ERP資料!$A:$A, (MATCH(332, 輔助計算!$F$2:$F$801, 0)+1)), "")&lt;&gt;"", IFERROR(INDEX(ERP資料!$A:$A, (MATCH(332, 輔助計算!$F$2:$F$801, 0)+1)), "")&lt;&gt;IFERROR(INDEX(ERP資料!$A:$A, MATCH(331, 輔助計算!$F$2:$F$801, 0)+1), "")), IFERROR(INDEX(ERP資料!$A:$A, (MATCH(332, 輔助計算!$F$2:$F$801, 0)+1)), ""), ""), "")</f>
        <v/>
      </c>
      <c r="C333" s="10">
        <f>IFERROR(IF(AND(IFERROR(INDEX(ERP資料!$A:$A, (MATCH(332, 輔助計算!$F$2:$F$801, 0)+1)), "")&lt;&gt;"", IFERROR(INDEX(ERP資料!$A:$A, (MATCH(332, 輔助計算!$F$2:$F$801, 0)+1)), "")&lt;&gt;IFERROR(INDEX(ERP資料!$A:$A, MATCH(331, 輔助計算!$F$2:$F$801, 0)+1), "")), INDEX(ERP資料!$S:$S, (MATCH(332, 輔助計算!$F$2:$F$801, 0)+1)), ""), "")</f>
        <v/>
      </c>
      <c r="D333" s="10">
        <f>IFERROR(IF(INDEX(ERP資料!$E:$E, (MATCH(332, 輔助計算!$F$2:$F$801, 0)+1))="","",TRIM(INDEX(ERP資料!$E:$E, (MATCH(332, 輔助計算!$F$2:$F$801, 0)+1)))), "")</f>
        <v/>
      </c>
      <c r="E333" s="10">
        <f>IFERROR(IF(INDEX(ERP資料!$F:$F, (MATCH(332, 輔助計算!$F$2:$F$801, 0)+1))="","",INDEX(ERP資料!$F:$F, (MATCH(332, 輔助計算!$F$2:$F$801, 0)+1))), "")</f>
        <v/>
      </c>
      <c r="F333" s="10">
        <f>IFERROR(IF(INDEX(ERP資料!$G:$G, (MATCH(332, 輔助計算!$F$2:$F$801, 0)+1))="","",INDEX(ERP資料!$G:$G, (MATCH(332, 輔助計算!$F$2:$F$801, 0)+1))), "")</f>
        <v/>
      </c>
      <c r="G333" s="10">
        <f>IFERROR(IF(INDEX(ERP資料!$H:$H, (MATCH(332, 輔助計算!$F$2:$F$801, 0)+1))="","",INDEX(ERP資料!$H:$H, (MATCH(332, 輔助計算!$F$2:$F$801, 0)+1))), "")</f>
        <v/>
      </c>
      <c r="H333" s="10">
        <f>IFERROR(IF(INDEX(ERP資料!$O:$O, (MATCH(332, 輔助計算!$F$2:$F$801, 0)+1))="","",INDEX(ERP資料!$O:$O, (MATCH(332, 輔助計算!$F$2:$F$801, 0)+1))), "")</f>
        <v/>
      </c>
      <c r="I333" s="15">
        <f>IFERROR(IF(INDEX(輔助計算!$D:$D,(MATCH(332, 輔助計算!$F$2:$F$801, 0)+1))="","",INDEX(輔助計算!$D:$D,(MATCH(332, 輔助計算!$F$2:$F$801, 0)+1))*INDEX(ERP資料!$O:$O,(MATCH(332, 輔助計算!$F$2:$F$801, 0)+1))), "")</f>
        <v/>
      </c>
      <c r="J333" s="16" t="n"/>
      <c r="K333" s="15">
        <f>IFERROR(INDEX(輔助計算!$D:$D, (MATCH(332, 輔助計算!$F$2:$F$801, 0)+1)), "")</f>
        <v/>
      </c>
      <c r="L333" s="16">
        <f>IFERROR(IF(AND(IFERROR(VLOOKUP(LEFT(INDEX(ERP資料!$S:$S, (MATCH(332, 輔助計算!$F$2:$F$801, 0)+1)), 4), 100張客戶!$A:$A, 1, FALSE), "")&lt;&gt;"", OR(INDEX(ERP資料!$F:$F, (MATCH(332, 輔助計算!$F$2:$F$801, 0)+1))=270, INDEX(ERP資料!$F:$F, (MATCH(332, 輔助計算!$F$2:$F$801, 0)+1))=300)), "100張", ""), "")</f>
        <v/>
      </c>
      <c r="M333" s="17" t="n"/>
      <c r="N333" s="17">
        <f>IF($F333="","",$F333)</f>
        <v/>
      </c>
      <c r="O333" s="17">
        <f>IF($G333="","",$G333)</f>
        <v/>
      </c>
      <c r="P333" s="17">
        <f>IF($K333="","",$K333)</f>
        <v/>
      </c>
      <c r="Q333" s="16" t="n"/>
      <c r="R333" s="18" t="n"/>
      <c r="S333" s="16" t="n"/>
    </row>
    <row r="334">
      <c r="A334" s="14">
        <f>IFERROR(IF(AND(IFERROR(INDEX(ERP資料!$A:$A, (MATCH(333, 輔助計算!$F$2:$F$801, 0)+1)), "")&lt;&gt;"", IFERROR(INDEX(ERP資料!$A:$A, (MATCH(333, 輔助計算!$F$2:$F$801, 0)+1)), "")&lt;&gt;IFERROR(INDEX(ERP資料!$A:$A, MATCH(332, 輔助計算!$F$2:$F$801, 0)+1), "")), INDEX(ERP資料!$B:$B, (MATCH(333, 輔助計算!$F$2:$F$801, 0)+1)), ""), "")</f>
        <v/>
      </c>
      <c r="B334" s="10">
        <f>IFERROR(IF(AND(IFERROR(INDEX(ERP資料!$A:$A, (MATCH(333, 輔助計算!$F$2:$F$801, 0)+1)), "")&lt;&gt;"", IFERROR(INDEX(ERP資料!$A:$A, (MATCH(333, 輔助計算!$F$2:$F$801, 0)+1)), "")&lt;&gt;IFERROR(INDEX(ERP資料!$A:$A, MATCH(332, 輔助計算!$F$2:$F$801, 0)+1), "")), IFERROR(INDEX(ERP資料!$A:$A, (MATCH(333, 輔助計算!$F$2:$F$801, 0)+1)), ""), ""), "")</f>
        <v/>
      </c>
      <c r="C334" s="10">
        <f>IFERROR(IF(AND(IFERROR(INDEX(ERP資料!$A:$A, (MATCH(333, 輔助計算!$F$2:$F$801, 0)+1)), "")&lt;&gt;"", IFERROR(INDEX(ERP資料!$A:$A, (MATCH(333, 輔助計算!$F$2:$F$801, 0)+1)), "")&lt;&gt;IFERROR(INDEX(ERP資料!$A:$A, MATCH(332, 輔助計算!$F$2:$F$801, 0)+1), "")), INDEX(ERP資料!$S:$S, (MATCH(333, 輔助計算!$F$2:$F$801, 0)+1)), ""), "")</f>
        <v/>
      </c>
      <c r="D334" s="10">
        <f>IFERROR(IF(INDEX(ERP資料!$E:$E, (MATCH(333, 輔助計算!$F$2:$F$801, 0)+1))="","",TRIM(INDEX(ERP資料!$E:$E, (MATCH(333, 輔助計算!$F$2:$F$801, 0)+1)))), "")</f>
        <v/>
      </c>
      <c r="E334" s="10">
        <f>IFERROR(IF(INDEX(ERP資料!$F:$F, (MATCH(333, 輔助計算!$F$2:$F$801, 0)+1))="","",INDEX(ERP資料!$F:$F, (MATCH(333, 輔助計算!$F$2:$F$801, 0)+1))), "")</f>
        <v/>
      </c>
      <c r="F334" s="10">
        <f>IFERROR(IF(INDEX(ERP資料!$G:$G, (MATCH(333, 輔助計算!$F$2:$F$801, 0)+1))="","",INDEX(ERP資料!$G:$G, (MATCH(333, 輔助計算!$F$2:$F$801, 0)+1))), "")</f>
        <v/>
      </c>
      <c r="G334" s="10">
        <f>IFERROR(IF(INDEX(ERP資料!$H:$H, (MATCH(333, 輔助計算!$F$2:$F$801, 0)+1))="","",INDEX(ERP資料!$H:$H, (MATCH(333, 輔助計算!$F$2:$F$801, 0)+1))), "")</f>
        <v/>
      </c>
      <c r="H334" s="10">
        <f>IFERROR(IF(INDEX(ERP資料!$O:$O, (MATCH(333, 輔助計算!$F$2:$F$801, 0)+1))="","",INDEX(ERP資料!$O:$O, (MATCH(333, 輔助計算!$F$2:$F$801, 0)+1))), "")</f>
        <v/>
      </c>
      <c r="I334" s="15">
        <f>IFERROR(IF(INDEX(輔助計算!$D:$D,(MATCH(333, 輔助計算!$F$2:$F$801, 0)+1))="","",INDEX(輔助計算!$D:$D,(MATCH(333, 輔助計算!$F$2:$F$801, 0)+1))*INDEX(ERP資料!$O:$O,(MATCH(333, 輔助計算!$F$2:$F$801, 0)+1))), "")</f>
        <v/>
      </c>
      <c r="J334" s="16" t="n"/>
      <c r="K334" s="15">
        <f>IFERROR(INDEX(輔助計算!$D:$D, (MATCH(333, 輔助計算!$F$2:$F$801, 0)+1)), "")</f>
        <v/>
      </c>
      <c r="L334" s="16">
        <f>IFERROR(IF(AND(IFERROR(VLOOKUP(LEFT(INDEX(ERP資料!$S:$S, (MATCH(333, 輔助計算!$F$2:$F$801, 0)+1)), 4), 100張客戶!$A:$A, 1, FALSE), "")&lt;&gt;"", OR(INDEX(ERP資料!$F:$F, (MATCH(333, 輔助計算!$F$2:$F$801, 0)+1))=270, INDEX(ERP資料!$F:$F, (MATCH(333, 輔助計算!$F$2:$F$801, 0)+1))=300)), "100張", ""), "")</f>
        <v/>
      </c>
      <c r="M334" s="17" t="n"/>
      <c r="N334" s="17">
        <f>IF($F334="","",$F334)</f>
        <v/>
      </c>
      <c r="O334" s="17">
        <f>IF($G334="","",$G334)</f>
        <v/>
      </c>
      <c r="P334" s="17">
        <f>IF($K334="","",$K334)</f>
        <v/>
      </c>
      <c r="Q334" s="16" t="n"/>
      <c r="R334" s="18" t="n"/>
      <c r="S334" s="16" t="n"/>
    </row>
    <row r="335">
      <c r="A335" s="14">
        <f>IFERROR(IF(AND(IFERROR(INDEX(ERP資料!$A:$A, (MATCH(334, 輔助計算!$F$2:$F$801, 0)+1)), "")&lt;&gt;"", IFERROR(INDEX(ERP資料!$A:$A, (MATCH(334, 輔助計算!$F$2:$F$801, 0)+1)), "")&lt;&gt;IFERROR(INDEX(ERP資料!$A:$A, MATCH(333, 輔助計算!$F$2:$F$801, 0)+1), "")), INDEX(ERP資料!$B:$B, (MATCH(334, 輔助計算!$F$2:$F$801, 0)+1)), ""), "")</f>
        <v/>
      </c>
      <c r="B335" s="10">
        <f>IFERROR(IF(AND(IFERROR(INDEX(ERP資料!$A:$A, (MATCH(334, 輔助計算!$F$2:$F$801, 0)+1)), "")&lt;&gt;"", IFERROR(INDEX(ERP資料!$A:$A, (MATCH(334, 輔助計算!$F$2:$F$801, 0)+1)), "")&lt;&gt;IFERROR(INDEX(ERP資料!$A:$A, MATCH(333, 輔助計算!$F$2:$F$801, 0)+1), "")), IFERROR(INDEX(ERP資料!$A:$A, (MATCH(334, 輔助計算!$F$2:$F$801, 0)+1)), ""), ""), "")</f>
        <v/>
      </c>
      <c r="C335" s="10">
        <f>IFERROR(IF(AND(IFERROR(INDEX(ERP資料!$A:$A, (MATCH(334, 輔助計算!$F$2:$F$801, 0)+1)), "")&lt;&gt;"", IFERROR(INDEX(ERP資料!$A:$A, (MATCH(334, 輔助計算!$F$2:$F$801, 0)+1)), "")&lt;&gt;IFERROR(INDEX(ERP資料!$A:$A, MATCH(333, 輔助計算!$F$2:$F$801, 0)+1), "")), INDEX(ERP資料!$S:$S, (MATCH(334, 輔助計算!$F$2:$F$801, 0)+1)), ""), "")</f>
        <v/>
      </c>
      <c r="D335" s="10">
        <f>IFERROR(IF(INDEX(ERP資料!$E:$E, (MATCH(334, 輔助計算!$F$2:$F$801, 0)+1))="","",TRIM(INDEX(ERP資料!$E:$E, (MATCH(334, 輔助計算!$F$2:$F$801, 0)+1)))), "")</f>
        <v/>
      </c>
      <c r="E335" s="10">
        <f>IFERROR(IF(INDEX(ERP資料!$F:$F, (MATCH(334, 輔助計算!$F$2:$F$801, 0)+1))="","",INDEX(ERP資料!$F:$F, (MATCH(334, 輔助計算!$F$2:$F$801, 0)+1))), "")</f>
        <v/>
      </c>
      <c r="F335" s="10">
        <f>IFERROR(IF(INDEX(ERP資料!$G:$G, (MATCH(334, 輔助計算!$F$2:$F$801, 0)+1))="","",INDEX(ERP資料!$G:$G, (MATCH(334, 輔助計算!$F$2:$F$801, 0)+1))), "")</f>
        <v/>
      </c>
      <c r="G335" s="10">
        <f>IFERROR(IF(INDEX(ERP資料!$H:$H, (MATCH(334, 輔助計算!$F$2:$F$801, 0)+1))="","",INDEX(ERP資料!$H:$H, (MATCH(334, 輔助計算!$F$2:$F$801, 0)+1))), "")</f>
        <v/>
      </c>
      <c r="H335" s="10">
        <f>IFERROR(IF(INDEX(ERP資料!$O:$O, (MATCH(334, 輔助計算!$F$2:$F$801, 0)+1))="","",INDEX(ERP資料!$O:$O, (MATCH(334, 輔助計算!$F$2:$F$801, 0)+1))), "")</f>
        <v/>
      </c>
      <c r="I335" s="15">
        <f>IFERROR(IF(INDEX(輔助計算!$D:$D,(MATCH(334, 輔助計算!$F$2:$F$801, 0)+1))="","",INDEX(輔助計算!$D:$D,(MATCH(334, 輔助計算!$F$2:$F$801, 0)+1))*INDEX(ERP資料!$O:$O,(MATCH(334, 輔助計算!$F$2:$F$801, 0)+1))), "")</f>
        <v/>
      </c>
      <c r="J335" s="16" t="n"/>
      <c r="K335" s="15">
        <f>IFERROR(INDEX(輔助計算!$D:$D, (MATCH(334, 輔助計算!$F$2:$F$801, 0)+1)), "")</f>
        <v/>
      </c>
      <c r="L335" s="16">
        <f>IFERROR(IF(AND(IFERROR(VLOOKUP(LEFT(INDEX(ERP資料!$S:$S, (MATCH(334, 輔助計算!$F$2:$F$801, 0)+1)), 4), 100張客戶!$A:$A, 1, FALSE), "")&lt;&gt;"", OR(INDEX(ERP資料!$F:$F, (MATCH(334, 輔助計算!$F$2:$F$801, 0)+1))=270, INDEX(ERP資料!$F:$F, (MATCH(334, 輔助計算!$F$2:$F$801, 0)+1))=300)), "100張", ""), "")</f>
        <v/>
      </c>
      <c r="M335" s="17" t="n"/>
      <c r="N335" s="17">
        <f>IF($F335="","",$F335)</f>
        <v/>
      </c>
      <c r="O335" s="17">
        <f>IF($G335="","",$G335)</f>
        <v/>
      </c>
      <c r="P335" s="17">
        <f>IF($K335="","",$K335)</f>
        <v/>
      </c>
      <c r="Q335" s="16" t="n"/>
      <c r="R335" s="18" t="n"/>
      <c r="S335" s="16" t="n"/>
    </row>
    <row r="336">
      <c r="A336" s="14">
        <f>IFERROR(IF(AND(IFERROR(INDEX(ERP資料!$A:$A, (MATCH(335, 輔助計算!$F$2:$F$801, 0)+1)), "")&lt;&gt;"", IFERROR(INDEX(ERP資料!$A:$A, (MATCH(335, 輔助計算!$F$2:$F$801, 0)+1)), "")&lt;&gt;IFERROR(INDEX(ERP資料!$A:$A, MATCH(334, 輔助計算!$F$2:$F$801, 0)+1), "")), INDEX(ERP資料!$B:$B, (MATCH(335, 輔助計算!$F$2:$F$801, 0)+1)), ""), "")</f>
        <v/>
      </c>
      <c r="B336" s="10">
        <f>IFERROR(IF(AND(IFERROR(INDEX(ERP資料!$A:$A, (MATCH(335, 輔助計算!$F$2:$F$801, 0)+1)), "")&lt;&gt;"", IFERROR(INDEX(ERP資料!$A:$A, (MATCH(335, 輔助計算!$F$2:$F$801, 0)+1)), "")&lt;&gt;IFERROR(INDEX(ERP資料!$A:$A, MATCH(334, 輔助計算!$F$2:$F$801, 0)+1), "")), IFERROR(INDEX(ERP資料!$A:$A, (MATCH(335, 輔助計算!$F$2:$F$801, 0)+1)), ""), ""), "")</f>
        <v/>
      </c>
      <c r="C336" s="10">
        <f>IFERROR(IF(AND(IFERROR(INDEX(ERP資料!$A:$A, (MATCH(335, 輔助計算!$F$2:$F$801, 0)+1)), "")&lt;&gt;"", IFERROR(INDEX(ERP資料!$A:$A, (MATCH(335, 輔助計算!$F$2:$F$801, 0)+1)), "")&lt;&gt;IFERROR(INDEX(ERP資料!$A:$A, MATCH(334, 輔助計算!$F$2:$F$801, 0)+1), "")), INDEX(ERP資料!$S:$S, (MATCH(335, 輔助計算!$F$2:$F$801, 0)+1)), ""), "")</f>
        <v/>
      </c>
      <c r="D336" s="10">
        <f>IFERROR(IF(INDEX(ERP資料!$E:$E, (MATCH(335, 輔助計算!$F$2:$F$801, 0)+1))="","",TRIM(INDEX(ERP資料!$E:$E, (MATCH(335, 輔助計算!$F$2:$F$801, 0)+1)))), "")</f>
        <v/>
      </c>
      <c r="E336" s="10">
        <f>IFERROR(IF(INDEX(ERP資料!$F:$F, (MATCH(335, 輔助計算!$F$2:$F$801, 0)+1))="","",INDEX(ERP資料!$F:$F, (MATCH(335, 輔助計算!$F$2:$F$801, 0)+1))), "")</f>
        <v/>
      </c>
      <c r="F336" s="10">
        <f>IFERROR(IF(INDEX(ERP資料!$G:$G, (MATCH(335, 輔助計算!$F$2:$F$801, 0)+1))="","",INDEX(ERP資料!$G:$G, (MATCH(335, 輔助計算!$F$2:$F$801, 0)+1))), "")</f>
        <v/>
      </c>
      <c r="G336" s="10">
        <f>IFERROR(IF(INDEX(ERP資料!$H:$H, (MATCH(335, 輔助計算!$F$2:$F$801, 0)+1))="","",INDEX(ERP資料!$H:$H, (MATCH(335, 輔助計算!$F$2:$F$801, 0)+1))), "")</f>
        <v/>
      </c>
      <c r="H336" s="10">
        <f>IFERROR(IF(INDEX(ERP資料!$O:$O, (MATCH(335, 輔助計算!$F$2:$F$801, 0)+1))="","",INDEX(ERP資料!$O:$O, (MATCH(335, 輔助計算!$F$2:$F$801, 0)+1))), "")</f>
        <v/>
      </c>
      <c r="I336" s="15">
        <f>IFERROR(IF(INDEX(輔助計算!$D:$D,(MATCH(335, 輔助計算!$F$2:$F$801, 0)+1))="","",INDEX(輔助計算!$D:$D,(MATCH(335, 輔助計算!$F$2:$F$801, 0)+1))*INDEX(ERP資料!$O:$O,(MATCH(335, 輔助計算!$F$2:$F$801, 0)+1))), "")</f>
        <v/>
      </c>
      <c r="J336" s="16" t="n"/>
      <c r="K336" s="15">
        <f>IFERROR(INDEX(輔助計算!$D:$D, (MATCH(335, 輔助計算!$F$2:$F$801, 0)+1)), "")</f>
        <v/>
      </c>
      <c r="L336" s="16">
        <f>IFERROR(IF(AND(IFERROR(VLOOKUP(LEFT(INDEX(ERP資料!$S:$S, (MATCH(335, 輔助計算!$F$2:$F$801, 0)+1)), 4), 100張客戶!$A:$A, 1, FALSE), "")&lt;&gt;"", OR(INDEX(ERP資料!$F:$F, (MATCH(335, 輔助計算!$F$2:$F$801, 0)+1))=270, INDEX(ERP資料!$F:$F, (MATCH(335, 輔助計算!$F$2:$F$801, 0)+1))=300)), "100張", ""), "")</f>
        <v/>
      </c>
      <c r="M336" s="17" t="n"/>
      <c r="N336" s="17">
        <f>IF($F336="","",$F336)</f>
        <v/>
      </c>
      <c r="O336" s="17">
        <f>IF($G336="","",$G336)</f>
        <v/>
      </c>
      <c r="P336" s="17">
        <f>IF($K336="","",$K336)</f>
        <v/>
      </c>
      <c r="Q336" s="16" t="n"/>
      <c r="R336" s="18" t="n"/>
      <c r="S336" s="16" t="n"/>
    </row>
    <row r="337">
      <c r="A337" s="14">
        <f>IFERROR(IF(AND(IFERROR(INDEX(ERP資料!$A:$A, (MATCH(336, 輔助計算!$F$2:$F$801, 0)+1)), "")&lt;&gt;"", IFERROR(INDEX(ERP資料!$A:$A, (MATCH(336, 輔助計算!$F$2:$F$801, 0)+1)), "")&lt;&gt;IFERROR(INDEX(ERP資料!$A:$A, MATCH(335, 輔助計算!$F$2:$F$801, 0)+1), "")), INDEX(ERP資料!$B:$B, (MATCH(336, 輔助計算!$F$2:$F$801, 0)+1)), ""), "")</f>
        <v/>
      </c>
      <c r="B337" s="10">
        <f>IFERROR(IF(AND(IFERROR(INDEX(ERP資料!$A:$A, (MATCH(336, 輔助計算!$F$2:$F$801, 0)+1)), "")&lt;&gt;"", IFERROR(INDEX(ERP資料!$A:$A, (MATCH(336, 輔助計算!$F$2:$F$801, 0)+1)), "")&lt;&gt;IFERROR(INDEX(ERP資料!$A:$A, MATCH(335, 輔助計算!$F$2:$F$801, 0)+1), "")), IFERROR(INDEX(ERP資料!$A:$A, (MATCH(336, 輔助計算!$F$2:$F$801, 0)+1)), ""), ""), "")</f>
        <v/>
      </c>
      <c r="C337" s="10">
        <f>IFERROR(IF(AND(IFERROR(INDEX(ERP資料!$A:$A, (MATCH(336, 輔助計算!$F$2:$F$801, 0)+1)), "")&lt;&gt;"", IFERROR(INDEX(ERP資料!$A:$A, (MATCH(336, 輔助計算!$F$2:$F$801, 0)+1)), "")&lt;&gt;IFERROR(INDEX(ERP資料!$A:$A, MATCH(335, 輔助計算!$F$2:$F$801, 0)+1), "")), INDEX(ERP資料!$S:$S, (MATCH(336, 輔助計算!$F$2:$F$801, 0)+1)), ""), "")</f>
        <v/>
      </c>
      <c r="D337" s="10">
        <f>IFERROR(IF(INDEX(ERP資料!$E:$E, (MATCH(336, 輔助計算!$F$2:$F$801, 0)+1))="","",TRIM(INDEX(ERP資料!$E:$E, (MATCH(336, 輔助計算!$F$2:$F$801, 0)+1)))), "")</f>
        <v/>
      </c>
      <c r="E337" s="10">
        <f>IFERROR(IF(INDEX(ERP資料!$F:$F, (MATCH(336, 輔助計算!$F$2:$F$801, 0)+1))="","",INDEX(ERP資料!$F:$F, (MATCH(336, 輔助計算!$F$2:$F$801, 0)+1))), "")</f>
        <v/>
      </c>
      <c r="F337" s="10">
        <f>IFERROR(IF(INDEX(ERP資料!$G:$G, (MATCH(336, 輔助計算!$F$2:$F$801, 0)+1))="","",INDEX(ERP資料!$G:$G, (MATCH(336, 輔助計算!$F$2:$F$801, 0)+1))), "")</f>
        <v/>
      </c>
      <c r="G337" s="10">
        <f>IFERROR(IF(INDEX(ERP資料!$H:$H, (MATCH(336, 輔助計算!$F$2:$F$801, 0)+1))="","",INDEX(ERP資料!$H:$H, (MATCH(336, 輔助計算!$F$2:$F$801, 0)+1))), "")</f>
        <v/>
      </c>
      <c r="H337" s="10">
        <f>IFERROR(IF(INDEX(ERP資料!$O:$O, (MATCH(336, 輔助計算!$F$2:$F$801, 0)+1))="","",INDEX(ERP資料!$O:$O, (MATCH(336, 輔助計算!$F$2:$F$801, 0)+1))), "")</f>
        <v/>
      </c>
      <c r="I337" s="15">
        <f>IFERROR(IF(INDEX(輔助計算!$D:$D,(MATCH(336, 輔助計算!$F$2:$F$801, 0)+1))="","",INDEX(輔助計算!$D:$D,(MATCH(336, 輔助計算!$F$2:$F$801, 0)+1))*INDEX(ERP資料!$O:$O,(MATCH(336, 輔助計算!$F$2:$F$801, 0)+1))), "")</f>
        <v/>
      </c>
      <c r="J337" s="16" t="n"/>
      <c r="K337" s="15">
        <f>IFERROR(INDEX(輔助計算!$D:$D, (MATCH(336, 輔助計算!$F$2:$F$801, 0)+1)), "")</f>
        <v/>
      </c>
      <c r="L337" s="16">
        <f>IFERROR(IF(AND(IFERROR(VLOOKUP(LEFT(INDEX(ERP資料!$S:$S, (MATCH(336, 輔助計算!$F$2:$F$801, 0)+1)), 4), 100張客戶!$A:$A, 1, FALSE), "")&lt;&gt;"", OR(INDEX(ERP資料!$F:$F, (MATCH(336, 輔助計算!$F$2:$F$801, 0)+1))=270, INDEX(ERP資料!$F:$F, (MATCH(336, 輔助計算!$F$2:$F$801, 0)+1))=300)), "100張", ""), "")</f>
        <v/>
      </c>
      <c r="M337" s="17" t="n"/>
      <c r="N337" s="17">
        <f>IF($F337="","",$F337)</f>
        <v/>
      </c>
      <c r="O337" s="17">
        <f>IF($G337="","",$G337)</f>
        <v/>
      </c>
      <c r="P337" s="17">
        <f>IF($K337="","",$K337)</f>
        <v/>
      </c>
      <c r="Q337" s="16" t="n"/>
      <c r="R337" s="18" t="n"/>
      <c r="S337" s="16" t="n"/>
    </row>
    <row r="338">
      <c r="A338" s="14">
        <f>IFERROR(IF(AND(IFERROR(INDEX(ERP資料!$A:$A, (MATCH(337, 輔助計算!$F$2:$F$801, 0)+1)), "")&lt;&gt;"", IFERROR(INDEX(ERP資料!$A:$A, (MATCH(337, 輔助計算!$F$2:$F$801, 0)+1)), "")&lt;&gt;IFERROR(INDEX(ERP資料!$A:$A, MATCH(336, 輔助計算!$F$2:$F$801, 0)+1), "")), INDEX(ERP資料!$B:$B, (MATCH(337, 輔助計算!$F$2:$F$801, 0)+1)), ""), "")</f>
        <v/>
      </c>
      <c r="B338" s="10">
        <f>IFERROR(IF(AND(IFERROR(INDEX(ERP資料!$A:$A, (MATCH(337, 輔助計算!$F$2:$F$801, 0)+1)), "")&lt;&gt;"", IFERROR(INDEX(ERP資料!$A:$A, (MATCH(337, 輔助計算!$F$2:$F$801, 0)+1)), "")&lt;&gt;IFERROR(INDEX(ERP資料!$A:$A, MATCH(336, 輔助計算!$F$2:$F$801, 0)+1), "")), IFERROR(INDEX(ERP資料!$A:$A, (MATCH(337, 輔助計算!$F$2:$F$801, 0)+1)), ""), ""), "")</f>
        <v/>
      </c>
      <c r="C338" s="10">
        <f>IFERROR(IF(AND(IFERROR(INDEX(ERP資料!$A:$A, (MATCH(337, 輔助計算!$F$2:$F$801, 0)+1)), "")&lt;&gt;"", IFERROR(INDEX(ERP資料!$A:$A, (MATCH(337, 輔助計算!$F$2:$F$801, 0)+1)), "")&lt;&gt;IFERROR(INDEX(ERP資料!$A:$A, MATCH(336, 輔助計算!$F$2:$F$801, 0)+1), "")), INDEX(ERP資料!$S:$S, (MATCH(337, 輔助計算!$F$2:$F$801, 0)+1)), ""), "")</f>
        <v/>
      </c>
      <c r="D338" s="10">
        <f>IFERROR(IF(INDEX(ERP資料!$E:$E, (MATCH(337, 輔助計算!$F$2:$F$801, 0)+1))="","",TRIM(INDEX(ERP資料!$E:$E, (MATCH(337, 輔助計算!$F$2:$F$801, 0)+1)))), "")</f>
        <v/>
      </c>
      <c r="E338" s="10">
        <f>IFERROR(IF(INDEX(ERP資料!$F:$F, (MATCH(337, 輔助計算!$F$2:$F$801, 0)+1))="","",INDEX(ERP資料!$F:$F, (MATCH(337, 輔助計算!$F$2:$F$801, 0)+1))), "")</f>
        <v/>
      </c>
      <c r="F338" s="10">
        <f>IFERROR(IF(INDEX(ERP資料!$G:$G, (MATCH(337, 輔助計算!$F$2:$F$801, 0)+1))="","",INDEX(ERP資料!$G:$G, (MATCH(337, 輔助計算!$F$2:$F$801, 0)+1))), "")</f>
        <v/>
      </c>
      <c r="G338" s="10">
        <f>IFERROR(IF(INDEX(ERP資料!$H:$H, (MATCH(337, 輔助計算!$F$2:$F$801, 0)+1))="","",INDEX(ERP資料!$H:$H, (MATCH(337, 輔助計算!$F$2:$F$801, 0)+1))), "")</f>
        <v/>
      </c>
      <c r="H338" s="10">
        <f>IFERROR(IF(INDEX(ERP資料!$O:$O, (MATCH(337, 輔助計算!$F$2:$F$801, 0)+1))="","",INDEX(ERP資料!$O:$O, (MATCH(337, 輔助計算!$F$2:$F$801, 0)+1))), "")</f>
        <v/>
      </c>
      <c r="I338" s="15">
        <f>IFERROR(IF(INDEX(輔助計算!$D:$D,(MATCH(337, 輔助計算!$F$2:$F$801, 0)+1))="","",INDEX(輔助計算!$D:$D,(MATCH(337, 輔助計算!$F$2:$F$801, 0)+1))*INDEX(ERP資料!$O:$O,(MATCH(337, 輔助計算!$F$2:$F$801, 0)+1))), "")</f>
        <v/>
      </c>
      <c r="J338" s="16" t="n"/>
      <c r="K338" s="15">
        <f>IFERROR(INDEX(輔助計算!$D:$D, (MATCH(337, 輔助計算!$F$2:$F$801, 0)+1)), "")</f>
        <v/>
      </c>
      <c r="L338" s="16">
        <f>IFERROR(IF(AND(IFERROR(VLOOKUP(LEFT(INDEX(ERP資料!$S:$S, (MATCH(337, 輔助計算!$F$2:$F$801, 0)+1)), 4), 100張客戶!$A:$A, 1, FALSE), "")&lt;&gt;"", OR(INDEX(ERP資料!$F:$F, (MATCH(337, 輔助計算!$F$2:$F$801, 0)+1))=270, INDEX(ERP資料!$F:$F, (MATCH(337, 輔助計算!$F$2:$F$801, 0)+1))=300)), "100張", ""), "")</f>
        <v/>
      </c>
      <c r="M338" s="17" t="n"/>
      <c r="N338" s="17">
        <f>IF($F338="","",$F338)</f>
        <v/>
      </c>
      <c r="O338" s="17">
        <f>IF($G338="","",$G338)</f>
        <v/>
      </c>
      <c r="P338" s="17">
        <f>IF($K338="","",$K338)</f>
        <v/>
      </c>
      <c r="Q338" s="16" t="n"/>
      <c r="R338" s="18" t="n"/>
      <c r="S338" s="16" t="n"/>
    </row>
    <row r="339">
      <c r="A339" s="14">
        <f>IFERROR(IF(AND(IFERROR(INDEX(ERP資料!$A:$A, (MATCH(338, 輔助計算!$F$2:$F$801, 0)+1)), "")&lt;&gt;"", IFERROR(INDEX(ERP資料!$A:$A, (MATCH(338, 輔助計算!$F$2:$F$801, 0)+1)), "")&lt;&gt;IFERROR(INDEX(ERP資料!$A:$A, MATCH(337, 輔助計算!$F$2:$F$801, 0)+1), "")), INDEX(ERP資料!$B:$B, (MATCH(338, 輔助計算!$F$2:$F$801, 0)+1)), ""), "")</f>
        <v/>
      </c>
      <c r="B339" s="10">
        <f>IFERROR(IF(AND(IFERROR(INDEX(ERP資料!$A:$A, (MATCH(338, 輔助計算!$F$2:$F$801, 0)+1)), "")&lt;&gt;"", IFERROR(INDEX(ERP資料!$A:$A, (MATCH(338, 輔助計算!$F$2:$F$801, 0)+1)), "")&lt;&gt;IFERROR(INDEX(ERP資料!$A:$A, MATCH(337, 輔助計算!$F$2:$F$801, 0)+1), "")), IFERROR(INDEX(ERP資料!$A:$A, (MATCH(338, 輔助計算!$F$2:$F$801, 0)+1)), ""), ""), "")</f>
        <v/>
      </c>
      <c r="C339" s="10">
        <f>IFERROR(IF(AND(IFERROR(INDEX(ERP資料!$A:$A, (MATCH(338, 輔助計算!$F$2:$F$801, 0)+1)), "")&lt;&gt;"", IFERROR(INDEX(ERP資料!$A:$A, (MATCH(338, 輔助計算!$F$2:$F$801, 0)+1)), "")&lt;&gt;IFERROR(INDEX(ERP資料!$A:$A, MATCH(337, 輔助計算!$F$2:$F$801, 0)+1), "")), INDEX(ERP資料!$S:$S, (MATCH(338, 輔助計算!$F$2:$F$801, 0)+1)), ""), "")</f>
        <v/>
      </c>
      <c r="D339" s="10">
        <f>IFERROR(IF(INDEX(ERP資料!$E:$E, (MATCH(338, 輔助計算!$F$2:$F$801, 0)+1))="","",TRIM(INDEX(ERP資料!$E:$E, (MATCH(338, 輔助計算!$F$2:$F$801, 0)+1)))), "")</f>
        <v/>
      </c>
      <c r="E339" s="10">
        <f>IFERROR(IF(INDEX(ERP資料!$F:$F, (MATCH(338, 輔助計算!$F$2:$F$801, 0)+1))="","",INDEX(ERP資料!$F:$F, (MATCH(338, 輔助計算!$F$2:$F$801, 0)+1))), "")</f>
        <v/>
      </c>
      <c r="F339" s="10">
        <f>IFERROR(IF(INDEX(ERP資料!$G:$G, (MATCH(338, 輔助計算!$F$2:$F$801, 0)+1))="","",INDEX(ERP資料!$G:$G, (MATCH(338, 輔助計算!$F$2:$F$801, 0)+1))), "")</f>
        <v/>
      </c>
      <c r="G339" s="10">
        <f>IFERROR(IF(INDEX(ERP資料!$H:$H, (MATCH(338, 輔助計算!$F$2:$F$801, 0)+1))="","",INDEX(ERP資料!$H:$H, (MATCH(338, 輔助計算!$F$2:$F$801, 0)+1))), "")</f>
        <v/>
      </c>
      <c r="H339" s="10">
        <f>IFERROR(IF(INDEX(ERP資料!$O:$O, (MATCH(338, 輔助計算!$F$2:$F$801, 0)+1))="","",INDEX(ERP資料!$O:$O, (MATCH(338, 輔助計算!$F$2:$F$801, 0)+1))), "")</f>
        <v/>
      </c>
      <c r="I339" s="15">
        <f>IFERROR(IF(INDEX(輔助計算!$D:$D,(MATCH(338, 輔助計算!$F$2:$F$801, 0)+1))="","",INDEX(輔助計算!$D:$D,(MATCH(338, 輔助計算!$F$2:$F$801, 0)+1))*INDEX(ERP資料!$O:$O,(MATCH(338, 輔助計算!$F$2:$F$801, 0)+1))), "")</f>
        <v/>
      </c>
      <c r="J339" s="16" t="n"/>
      <c r="K339" s="15">
        <f>IFERROR(INDEX(輔助計算!$D:$D, (MATCH(338, 輔助計算!$F$2:$F$801, 0)+1)), "")</f>
        <v/>
      </c>
      <c r="L339" s="16">
        <f>IFERROR(IF(AND(IFERROR(VLOOKUP(LEFT(INDEX(ERP資料!$S:$S, (MATCH(338, 輔助計算!$F$2:$F$801, 0)+1)), 4), 100張客戶!$A:$A, 1, FALSE), "")&lt;&gt;"", OR(INDEX(ERP資料!$F:$F, (MATCH(338, 輔助計算!$F$2:$F$801, 0)+1))=270, INDEX(ERP資料!$F:$F, (MATCH(338, 輔助計算!$F$2:$F$801, 0)+1))=300)), "100張", ""), "")</f>
        <v/>
      </c>
      <c r="M339" s="17" t="n"/>
      <c r="N339" s="17">
        <f>IF($F339="","",$F339)</f>
        <v/>
      </c>
      <c r="O339" s="17">
        <f>IF($G339="","",$G339)</f>
        <v/>
      </c>
      <c r="P339" s="17">
        <f>IF($K339="","",$K339)</f>
        <v/>
      </c>
      <c r="Q339" s="16" t="n"/>
      <c r="R339" s="18" t="n"/>
      <c r="S339" s="16" t="n"/>
    </row>
    <row r="340">
      <c r="A340" s="14">
        <f>IFERROR(IF(AND(IFERROR(INDEX(ERP資料!$A:$A, (MATCH(339, 輔助計算!$F$2:$F$801, 0)+1)), "")&lt;&gt;"", IFERROR(INDEX(ERP資料!$A:$A, (MATCH(339, 輔助計算!$F$2:$F$801, 0)+1)), "")&lt;&gt;IFERROR(INDEX(ERP資料!$A:$A, MATCH(338, 輔助計算!$F$2:$F$801, 0)+1), "")), INDEX(ERP資料!$B:$B, (MATCH(339, 輔助計算!$F$2:$F$801, 0)+1)), ""), "")</f>
        <v/>
      </c>
      <c r="B340" s="10">
        <f>IFERROR(IF(AND(IFERROR(INDEX(ERP資料!$A:$A, (MATCH(339, 輔助計算!$F$2:$F$801, 0)+1)), "")&lt;&gt;"", IFERROR(INDEX(ERP資料!$A:$A, (MATCH(339, 輔助計算!$F$2:$F$801, 0)+1)), "")&lt;&gt;IFERROR(INDEX(ERP資料!$A:$A, MATCH(338, 輔助計算!$F$2:$F$801, 0)+1), "")), IFERROR(INDEX(ERP資料!$A:$A, (MATCH(339, 輔助計算!$F$2:$F$801, 0)+1)), ""), ""), "")</f>
        <v/>
      </c>
      <c r="C340" s="10">
        <f>IFERROR(IF(AND(IFERROR(INDEX(ERP資料!$A:$A, (MATCH(339, 輔助計算!$F$2:$F$801, 0)+1)), "")&lt;&gt;"", IFERROR(INDEX(ERP資料!$A:$A, (MATCH(339, 輔助計算!$F$2:$F$801, 0)+1)), "")&lt;&gt;IFERROR(INDEX(ERP資料!$A:$A, MATCH(338, 輔助計算!$F$2:$F$801, 0)+1), "")), INDEX(ERP資料!$S:$S, (MATCH(339, 輔助計算!$F$2:$F$801, 0)+1)), ""), "")</f>
        <v/>
      </c>
      <c r="D340" s="10">
        <f>IFERROR(IF(INDEX(ERP資料!$E:$E, (MATCH(339, 輔助計算!$F$2:$F$801, 0)+1))="","",TRIM(INDEX(ERP資料!$E:$E, (MATCH(339, 輔助計算!$F$2:$F$801, 0)+1)))), "")</f>
        <v/>
      </c>
      <c r="E340" s="10">
        <f>IFERROR(IF(INDEX(ERP資料!$F:$F, (MATCH(339, 輔助計算!$F$2:$F$801, 0)+1))="","",INDEX(ERP資料!$F:$F, (MATCH(339, 輔助計算!$F$2:$F$801, 0)+1))), "")</f>
        <v/>
      </c>
      <c r="F340" s="10">
        <f>IFERROR(IF(INDEX(ERP資料!$G:$G, (MATCH(339, 輔助計算!$F$2:$F$801, 0)+1))="","",INDEX(ERP資料!$G:$G, (MATCH(339, 輔助計算!$F$2:$F$801, 0)+1))), "")</f>
        <v/>
      </c>
      <c r="G340" s="10">
        <f>IFERROR(IF(INDEX(ERP資料!$H:$H, (MATCH(339, 輔助計算!$F$2:$F$801, 0)+1))="","",INDEX(ERP資料!$H:$H, (MATCH(339, 輔助計算!$F$2:$F$801, 0)+1))), "")</f>
        <v/>
      </c>
      <c r="H340" s="10">
        <f>IFERROR(IF(INDEX(ERP資料!$O:$O, (MATCH(339, 輔助計算!$F$2:$F$801, 0)+1))="","",INDEX(ERP資料!$O:$O, (MATCH(339, 輔助計算!$F$2:$F$801, 0)+1))), "")</f>
        <v/>
      </c>
      <c r="I340" s="15">
        <f>IFERROR(IF(INDEX(輔助計算!$D:$D,(MATCH(339, 輔助計算!$F$2:$F$801, 0)+1))="","",INDEX(輔助計算!$D:$D,(MATCH(339, 輔助計算!$F$2:$F$801, 0)+1))*INDEX(ERP資料!$O:$O,(MATCH(339, 輔助計算!$F$2:$F$801, 0)+1))), "")</f>
        <v/>
      </c>
      <c r="J340" s="16" t="n"/>
      <c r="K340" s="15">
        <f>IFERROR(INDEX(輔助計算!$D:$D, (MATCH(339, 輔助計算!$F$2:$F$801, 0)+1)), "")</f>
        <v/>
      </c>
      <c r="L340" s="16">
        <f>IFERROR(IF(AND(IFERROR(VLOOKUP(LEFT(INDEX(ERP資料!$S:$S, (MATCH(339, 輔助計算!$F$2:$F$801, 0)+1)), 4), 100張客戶!$A:$A, 1, FALSE), "")&lt;&gt;"", OR(INDEX(ERP資料!$F:$F, (MATCH(339, 輔助計算!$F$2:$F$801, 0)+1))=270, INDEX(ERP資料!$F:$F, (MATCH(339, 輔助計算!$F$2:$F$801, 0)+1))=300)), "100張", ""), "")</f>
        <v/>
      </c>
      <c r="M340" s="17" t="n"/>
      <c r="N340" s="17">
        <f>IF($F340="","",$F340)</f>
        <v/>
      </c>
      <c r="O340" s="17">
        <f>IF($G340="","",$G340)</f>
        <v/>
      </c>
      <c r="P340" s="17">
        <f>IF($K340="","",$K340)</f>
        <v/>
      </c>
      <c r="Q340" s="16" t="n"/>
      <c r="R340" s="18" t="n"/>
      <c r="S340" s="16" t="n"/>
    </row>
    <row r="341">
      <c r="A341" s="14">
        <f>IFERROR(IF(AND(IFERROR(INDEX(ERP資料!$A:$A, (MATCH(340, 輔助計算!$F$2:$F$801, 0)+1)), "")&lt;&gt;"", IFERROR(INDEX(ERP資料!$A:$A, (MATCH(340, 輔助計算!$F$2:$F$801, 0)+1)), "")&lt;&gt;IFERROR(INDEX(ERP資料!$A:$A, MATCH(339, 輔助計算!$F$2:$F$801, 0)+1), "")), INDEX(ERP資料!$B:$B, (MATCH(340, 輔助計算!$F$2:$F$801, 0)+1)), ""), "")</f>
        <v/>
      </c>
      <c r="B341" s="10">
        <f>IFERROR(IF(AND(IFERROR(INDEX(ERP資料!$A:$A, (MATCH(340, 輔助計算!$F$2:$F$801, 0)+1)), "")&lt;&gt;"", IFERROR(INDEX(ERP資料!$A:$A, (MATCH(340, 輔助計算!$F$2:$F$801, 0)+1)), "")&lt;&gt;IFERROR(INDEX(ERP資料!$A:$A, MATCH(339, 輔助計算!$F$2:$F$801, 0)+1), "")), IFERROR(INDEX(ERP資料!$A:$A, (MATCH(340, 輔助計算!$F$2:$F$801, 0)+1)), ""), ""), "")</f>
        <v/>
      </c>
      <c r="C341" s="10">
        <f>IFERROR(IF(AND(IFERROR(INDEX(ERP資料!$A:$A, (MATCH(340, 輔助計算!$F$2:$F$801, 0)+1)), "")&lt;&gt;"", IFERROR(INDEX(ERP資料!$A:$A, (MATCH(340, 輔助計算!$F$2:$F$801, 0)+1)), "")&lt;&gt;IFERROR(INDEX(ERP資料!$A:$A, MATCH(339, 輔助計算!$F$2:$F$801, 0)+1), "")), INDEX(ERP資料!$S:$S, (MATCH(340, 輔助計算!$F$2:$F$801, 0)+1)), ""), "")</f>
        <v/>
      </c>
      <c r="D341" s="10">
        <f>IFERROR(IF(INDEX(ERP資料!$E:$E, (MATCH(340, 輔助計算!$F$2:$F$801, 0)+1))="","",TRIM(INDEX(ERP資料!$E:$E, (MATCH(340, 輔助計算!$F$2:$F$801, 0)+1)))), "")</f>
        <v/>
      </c>
      <c r="E341" s="10">
        <f>IFERROR(IF(INDEX(ERP資料!$F:$F, (MATCH(340, 輔助計算!$F$2:$F$801, 0)+1))="","",INDEX(ERP資料!$F:$F, (MATCH(340, 輔助計算!$F$2:$F$801, 0)+1))), "")</f>
        <v/>
      </c>
      <c r="F341" s="10">
        <f>IFERROR(IF(INDEX(ERP資料!$G:$G, (MATCH(340, 輔助計算!$F$2:$F$801, 0)+1))="","",INDEX(ERP資料!$G:$G, (MATCH(340, 輔助計算!$F$2:$F$801, 0)+1))), "")</f>
        <v/>
      </c>
      <c r="G341" s="10">
        <f>IFERROR(IF(INDEX(ERP資料!$H:$H, (MATCH(340, 輔助計算!$F$2:$F$801, 0)+1))="","",INDEX(ERP資料!$H:$H, (MATCH(340, 輔助計算!$F$2:$F$801, 0)+1))), "")</f>
        <v/>
      </c>
      <c r="H341" s="10">
        <f>IFERROR(IF(INDEX(ERP資料!$O:$O, (MATCH(340, 輔助計算!$F$2:$F$801, 0)+1))="","",INDEX(ERP資料!$O:$O, (MATCH(340, 輔助計算!$F$2:$F$801, 0)+1))), "")</f>
        <v/>
      </c>
      <c r="I341" s="15">
        <f>IFERROR(IF(INDEX(輔助計算!$D:$D,(MATCH(340, 輔助計算!$F$2:$F$801, 0)+1))="","",INDEX(輔助計算!$D:$D,(MATCH(340, 輔助計算!$F$2:$F$801, 0)+1))*INDEX(ERP資料!$O:$O,(MATCH(340, 輔助計算!$F$2:$F$801, 0)+1))), "")</f>
        <v/>
      </c>
      <c r="J341" s="16" t="n"/>
      <c r="K341" s="15">
        <f>IFERROR(INDEX(輔助計算!$D:$D, (MATCH(340, 輔助計算!$F$2:$F$801, 0)+1)), "")</f>
        <v/>
      </c>
      <c r="L341" s="16">
        <f>IFERROR(IF(AND(IFERROR(VLOOKUP(LEFT(INDEX(ERP資料!$S:$S, (MATCH(340, 輔助計算!$F$2:$F$801, 0)+1)), 4), 100張客戶!$A:$A, 1, FALSE), "")&lt;&gt;"", OR(INDEX(ERP資料!$F:$F, (MATCH(340, 輔助計算!$F$2:$F$801, 0)+1))=270, INDEX(ERP資料!$F:$F, (MATCH(340, 輔助計算!$F$2:$F$801, 0)+1))=300)), "100張", ""), "")</f>
        <v/>
      </c>
      <c r="M341" s="17" t="n"/>
      <c r="N341" s="17">
        <f>IF($F341="","",$F341)</f>
        <v/>
      </c>
      <c r="O341" s="17">
        <f>IF($G341="","",$G341)</f>
        <v/>
      </c>
      <c r="P341" s="17">
        <f>IF($K341="","",$K341)</f>
        <v/>
      </c>
      <c r="Q341" s="16" t="n"/>
      <c r="R341" s="18" t="n"/>
      <c r="S341" s="16" t="n"/>
    </row>
    <row r="342">
      <c r="A342" s="14">
        <f>IFERROR(IF(AND(IFERROR(INDEX(ERP資料!$A:$A, (MATCH(341, 輔助計算!$F$2:$F$801, 0)+1)), "")&lt;&gt;"", IFERROR(INDEX(ERP資料!$A:$A, (MATCH(341, 輔助計算!$F$2:$F$801, 0)+1)), "")&lt;&gt;IFERROR(INDEX(ERP資料!$A:$A, MATCH(340, 輔助計算!$F$2:$F$801, 0)+1), "")), INDEX(ERP資料!$B:$B, (MATCH(341, 輔助計算!$F$2:$F$801, 0)+1)), ""), "")</f>
        <v/>
      </c>
      <c r="B342" s="10">
        <f>IFERROR(IF(AND(IFERROR(INDEX(ERP資料!$A:$A, (MATCH(341, 輔助計算!$F$2:$F$801, 0)+1)), "")&lt;&gt;"", IFERROR(INDEX(ERP資料!$A:$A, (MATCH(341, 輔助計算!$F$2:$F$801, 0)+1)), "")&lt;&gt;IFERROR(INDEX(ERP資料!$A:$A, MATCH(340, 輔助計算!$F$2:$F$801, 0)+1), "")), IFERROR(INDEX(ERP資料!$A:$A, (MATCH(341, 輔助計算!$F$2:$F$801, 0)+1)), ""), ""), "")</f>
        <v/>
      </c>
      <c r="C342" s="10">
        <f>IFERROR(IF(AND(IFERROR(INDEX(ERP資料!$A:$A, (MATCH(341, 輔助計算!$F$2:$F$801, 0)+1)), "")&lt;&gt;"", IFERROR(INDEX(ERP資料!$A:$A, (MATCH(341, 輔助計算!$F$2:$F$801, 0)+1)), "")&lt;&gt;IFERROR(INDEX(ERP資料!$A:$A, MATCH(340, 輔助計算!$F$2:$F$801, 0)+1), "")), INDEX(ERP資料!$S:$S, (MATCH(341, 輔助計算!$F$2:$F$801, 0)+1)), ""), "")</f>
        <v/>
      </c>
      <c r="D342" s="10">
        <f>IFERROR(IF(INDEX(ERP資料!$E:$E, (MATCH(341, 輔助計算!$F$2:$F$801, 0)+1))="","",TRIM(INDEX(ERP資料!$E:$E, (MATCH(341, 輔助計算!$F$2:$F$801, 0)+1)))), "")</f>
        <v/>
      </c>
      <c r="E342" s="10">
        <f>IFERROR(IF(INDEX(ERP資料!$F:$F, (MATCH(341, 輔助計算!$F$2:$F$801, 0)+1))="","",INDEX(ERP資料!$F:$F, (MATCH(341, 輔助計算!$F$2:$F$801, 0)+1))), "")</f>
        <v/>
      </c>
      <c r="F342" s="10">
        <f>IFERROR(IF(INDEX(ERP資料!$G:$G, (MATCH(341, 輔助計算!$F$2:$F$801, 0)+1))="","",INDEX(ERP資料!$G:$G, (MATCH(341, 輔助計算!$F$2:$F$801, 0)+1))), "")</f>
        <v/>
      </c>
      <c r="G342" s="10">
        <f>IFERROR(IF(INDEX(ERP資料!$H:$H, (MATCH(341, 輔助計算!$F$2:$F$801, 0)+1))="","",INDEX(ERP資料!$H:$H, (MATCH(341, 輔助計算!$F$2:$F$801, 0)+1))), "")</f>
        <v/>
      </c>
      <c r="H342" s="10">
        <f>IFERROR(IF(INDEX(ERP資料!$O:$O, (MATCH(341, 輔助計算!$F$2:$F$801, 0)+1))="","",INDEX(ERP資料!$O:$O, (MATCH(341, 輔助計算!$F$2:$F$801, 0)+1))), "")</f>
        <v/>
      </c>
      <c r="I342" s="15">
        <f>IFERROR(IF(INDEX(輔助計算!$D:$D,(MATCH(341, 輔助計算!$F$2:$F$801, 0)+1))="","",INDEX(輔助計算!$D:$D,(MATCH(341, 輔助計算!$F$2:$F$801, 0)+1))*INDEX(ERP資料!$O:$O,(MATCH(341, 輔助計算!$F$2:$F$801, 0)+1))), "")</f>
        <v/>
      </c>
      <c r="J342" s="16" t="n"/>
      <c r="K342" s="15">
        <f>IFERROR(INDEX(輔助計算!$D:$D, (MATCH(341, 輔助計算!$F$2:$F$801, 0)+1)), "")</f>
        <v/>
      </c>
      <c r="L342" s="16">
        <f>IFERROR(IF(AND(IFERROR(VLOOKUP(LEFT(INDEX(ERP資料!$S:$S, (MATCH(341, 輔助計算!$F$2:$F$801, 0)+1)), 4), 100張客戶!$A:$A, 1, FALSE), "")&lt;&gt;"", OR(INDEX(ERP資料!$F:$F, (MATCH(341, 輔助計算!$F$2:$F$801, 0)+1))=270, INDEX(ERP資料!$F:$F, (MATCH(341, 輔助計算!$F$2:$F$801, 0)+1))=300)), "100張", ""), "")</f>
        <v/>
      </c>
      <c r="M342" s="17" t="n"/>
      <c r="N342" s="17">
        <f>IF($F342="","",$F342)</f>
        <v/>
      </c>
      <c r="O342" s="17">
        <f>IF($G342="","",$G342)</f>
        <v/>
      </c>
      <c r="P342" s="17">
        <f>IF($K342="","",$K342)</f>
        <v/>
      </c>
      <c r="Q342" s="16" t="n"/>
      <c r="R342" s="18" t="n"/>
      <c r="S342" s="16" t="n"/>
    </row>
    <row r="343">
      <c r="A343" s="14">
        <f>IFERROR(IF(AND(IFERROR(INDEX(ERP資料!$A:$A, (MATCH(342, 輔助計算!$F$2:$F$801, 0)+1)), "")&lt;&gt;"", IFERROR(INDEX(ERP資料!$A:$A, (MATCH(342, 輔助計算!$F$2:$F$801, 0)+1)), "")&lt;&gt;IFERROR(INDEX(ERP資料!$A:$A, MATCH(341, 輔助計算!$F$2:$F$801, 0)+1), "")), INDEX(ERP資料!$B:$B, (MATCH(342, 輔助計算!$F$2:$F$801, 0)+1)), ""), "")</f>
        <v/>
      </c>
      <c r="B343" s="10">
        <f>IFERROR(IF(AND(IFERROR(INDEX(ERP資料!$A:$A, (MATCH(342, 輔助計算!$F$2:$F$801, 0)+1)), "")&lt;&gt;"", IFERROR(INDEX(ERP資料!$A:$A, (MATCH(342, 輔助計算!$F$2:$F$801, 0)+1)), "")&lt;&gt;IFERROR(INDEX(ERP資料!$A:$A, MATCH(341, 輔助計算!$F$2:$F$801, 0)+1), "")), IFERROR(INDEX(ERP資料!$A:$A, (MATCH(342, 輔助計算!$F$2:$F$801, 0)+1)), ""), ""), "")</f>
        <v/>
      </c>
      <c r="C343" s="10">
        <f>IFERROR(IF(AND(IFERROR(INDEX(ERP資料!$A:$A, (MATCH(342, 輔助計算!$F$2:$F$801, 0)+1)), "")&lt;&gt;"", IFERROR(INDEX(ERP資料!$A:$A, (MATCH(342, 輔助計算!$F$2:$F$801, 0)+1)), "")&lt;&gt;IFERROR(INDEX(ERP資料!$A:$A, MATCH(341, 輔助計算!$F$2:$F$801, 0)+1), "")), INDEX(ERP資料!$S:$S, (MATCH(342, 輔助計算!$F$2:$F$801, 0)+1)), ""), "")</f>
        <v/>
      </c>
      <c r="D343" s="10">
        <f>IFERROR(IF(INDEX(ERP資料!$E:$E, (MATCH(342, 輔助計算!$F$2:$F$801, 0)+1))="","",TRIM(INDEX(ERP資料!$E:$E, (MATCH(342, 輔助計算!$F$2:$F$801, 0)+1)))), "")</f>
        <v/>
      </c>
      <c r="E343" s="10">
        <f>IFERROR(IF(INDEX(ERP資料!$F:$F, (MATCH(342, 輔助計算!$F$2:$F$801, 0)+1))="","",INDEX(ERP資料!$F:$F, (MATCH(342, 輔助計算!$F$2:$F$801, 0)+1))), "")</f>
        <v/>
      </c>
      <c r="F343" s="10">
        <f>IFERROR(IF(INDEX(ERP資料!$G:$G, (MATCH(342, 輔助計算!$F$2:$F$801, 0)+1))="","",INDEX(ERP資料!$G:$G, (MATCH(342, 輔助計算!$F$2:$F$801, 0)+1))), "")</f>
        <v/>
      </c>
      <c r="G343" s="10">
        <f>IFERROR(IF(INDEX(ERP資料!$H:$H, (MATCH(342, 輔助計算!$F$2:$F$801, 0)+1))="","",INDEX(ERP資料!$H:$H, (MATCH(342, 輔助計算!$F$2:$F$801, 0)+1))), "")</f>
        <v/>
      </c>
      <c r="H343" s="10">
        <f>IFERROR(IF(INDEX(ERP資料!$O:$O, (MATCH(342, 輔助計算!$F$2:$F$801, 0)+1))="","",INDEX(ERP資料!$O:$O, (MATCH(342, 輔助計算!$F$2:$F$801, 0)+1))), "")</f>
        <v/>
      </c>
      <c r="I343" s="15">
        <f>IFERROR(IF(INDEX(輔助計算!$D:$D,(MATCH(342, 輔助計算!$F$2:$F$801, 0)+1))="","",INDEX(輔助計算!$D:$D,(MATCH(342, 輔助計算!$F$2:$F$801, 0)+1))*INDEX(ERP資料!$O:$O,(MATCH(342, 輔助計算!$F$2:$F$801, 0)+1))), "")</f>
        <v/>
      </c>
      <c r="J343" s="16" t="n"/>
      <c r="K343" s="15">
        <f>IFERROR(INDEX(輔助計算!$D:$D, (MATCH(342, 輔助計算!$F$2:$F$801, 0)+1)), "")</f>
        <v/>
      </c>
      <c r="L343" s="16">
        <f>IFERROR(IF(AND(IFERROR(VLOOKUP(LEFT(INDEX(ERP資料!$S:$S, (MATCH(342, 輔助計算!$F$2:$F$801, 0)+1)), 4), 100張客戶!$A:$A, 1, FALSE), "")&lt;&gt;"", OR(INDEX(ERP資料!$F:$F, (MATCH(342, 輔助計算!$F$2:$F$801, 0)+1))=270, INDEX(ERP資料!$F:$F, (MATCH(342, 輔助計算!$F$2:$F$801, 0)+1))=300)), "100張", ""), "")</f>
        <v/>
      </c>
      <c r="M343" s="17" t="n"/>
      <c r="N343" s="17">
        <f>IF($F343="","",$F343)</f>
        <v/>
      </c>
      <c r="O343" s="17">
        <f>IF($G343="","",$G343)</f>
        <v/>
      </c>
      <c r="P343" s="17">
        <f>IF($K343="","",$K343)</f>
        <v/>
      </c>
      <c r="Q343" s="16" t="n"/>
      <c r="R343" s="18" t="n"/>
      <c r="S343" s="16" t="n"/>
    </row>
    <row r="344">
      <c r="A344" s="14">
        <f>IFERROR(IF(AND(IFERROR(INDEX(ERP資料!$A:$A, (MATCH(343, 輔助計算!$F$2:$F$801, 0)+1)), "")&lt;&gt;"", IFERROR(INDEX(ERP資料!$A:$A, (MATCH(343, 輔助計算!$F$2:$F$801, 0)+1)), "")&lt;&gt;IFERROR(INDEX(ERP資料!$A:$A, MATCH(342, 輔助計算!$F$2:$F$801, 0)+1), "")), INDEX(ERP資料!$B:$B, (MATCH(343, 輔助計算!$F$2:$F$801, 0)+1)), ""), "")</f>
        <v/>
      </c>
      <c r="B344" s="10">
        <f>IFERROR(IF(AND(IFERROR(INDEX(ERP資料!$A:$A, (MATCH(343, 輔助計算!$F$2:$F$801, 0)+1)), "")&lt;&gt;"", IFERROR(INDEX(ERP資料!$A:$A, (MATCH(343, 輔助計算!$F$2:$F$801, 0)+1)), "")&lt;&gt;IFERROR(INDEX(ERP資料!$A:$A, MATCH(342, 輔助計算!$F$2:$F$801, 0)+1), "")), IFERROR(INDEX(ERP資料!$A:$A, (MATCH(343, 輔助計算!$F$2:$F$801, 0)+1)), ""), ""), "")</f>
        <v/>
      </c>
      <c r="C344" s="10">
        <f>IFERROR(IF(AND(IFERROR(INDEX(ERP資料!$A:$A, (MATCH(343, 輔助計算!$F$2:$F$801, 0)+1)), "")&lt;&gt;"", IFERROR(INDEX(ERP資料!$A:$A, (MATCH(343, 輔助計算!$F$2:$F$801, 0)+1)), "")&lt;&gt;IFERROR(INDEX(ERP資料!$A:$A, MATCH(342, 輔助計算!$F$2:$F$801, 0)+1), "")), INDEX(ERP資料!$S:$S, (MATCH(343, 輔助計算!$F$2:$F$801, 0)+1)), ""), "")</f>
        <v/>
      </c>
      <c r="D344" s="10">
        <f>IFERROR(IF(INDEX(ERP資料!$E:$E, (MATCH(343, 輔助計算!$F$2:$F$801, 0)+1))="","",TRIM(INDEX(ERP資料!$E:$E, (MATCH(343, 輔助計算!$F$2:$F$801, 0)+1)))), "")</f>
        <v/>
      </c>
      <c r="E344" s="10">
        <f>IFERROR(IF(INDEX(ERP資料!$F:$F, (MATCH(343, 輔助計算!$F$2:$F$801, 0)+1))="","",INDEX(ERP資料!$F:$F, (MATCH(343, 輔助計算!$F$2:$F$801, 0)+1))), "")</f>
        <v/>
      </c>
      <c r="F344" s="10">
        <f>IFERROR(IF(INDEX(ERP資料!$G:$G, (MATCH(343, 輔助計算!$F$2:$F$801, 0)+1))="","",INDEX(ERP資料!$G:$G, (MATCH(343, 輔助計算!$F$2:$F$801, 0)+1))), "")</f>
        <v/>
      </c>
      <c r="G344" s="10">
        <f>IFERROR(IF(INDEX(ERP資料!$H:$H, (MATCH(343, 輔助計算!$F$2:$F$801, 0)+1))="","",INDEX(ERP資料!$H:$H, (MATCH(343, 輔助計算!$F$2:$F$801, 0)+1))), "")</f>
        <v/>
      </c>
      <c r="H344" s="10">
        <f>IFERROR(IF(INDEX(ERP資料!$O:$O, (MATCH(343, 輔助計算!$F$2:$F$801, 0)+1))="","",INDEX(ERP資料!$O:$O, (MATCH(343, 輔助計算!$F$2:$F$801, 0)+1))), "")</f>
        <v/>
      </c>
      <c r="I344" s="15">
        <f>IFERROR(IF(INDEX(輔助計算!$D:$D,(MATCH(343, 輔助計算!$F$2:$F$801, 0)+1))="","",INDEX(輔助計算!$D:$D,(MATCH(343, 輔助計算!$F$2:$F$801, 0)+1))*INDEX(ERP資料!$O:$O,(MATCH(343, 輔助計算!$F$2:$F$801, 0)+1))), "")</f>
        <v/>
      </c>
      <c r="J344" s="16" t="n"/>
      <c r="K344" s="15">
        <f>IFERROR(INDEX(輔助計算!$D:$D, (MATCH(343, 輔助計算!$F$2:$F$801, 0)+1)), "")</f>
        <v/>
      </c>
      <c r="L344" s="16">
        <f>IFERROR(IF(AND(IFERROR(VLOOKUP(LEFT(INDEX(ERP資料!$S:$S, (MATCH(343, 輔助計算!$F$2:$F$801, 0)+1)), 4), 100張客戶!$A:$A, 1, FALSE), "")&lt;&gt;"", OR(INDEX(ERP資料!$F:$F, (MATCH(343, 輔助計算!$F$2:$F$801, 0)+1))=270, INDEX(ERP資料!$F:$F, (MATCH(343, 輔助計算!$F$2:$F$801, 0)+1))=300)), "100張", ""), "")</f>
        <v/>
      </c>
      <c r="M344" s="17" t="n"/>
      <c r="N344" s="17">
        <f>IF($F344="","",$F344)</f>
        <v/>
      </c>
      <c r="O344" s="17">
        <f>IF($G344="","",$G344)</f>
        <v/>
      </c>
      <c r="P344" s="17">
        <f>IF($K344="","",$K344)</f>
        <v/>
      </c>
      <c r="Q344" s="16" t="n"/>
      <c r="R344" s="18" t="n"/>
      <c r="S344" s="16" t="n"/>
    </row>
    <row r="345">
      <c r="A345" s="14">
        <f>IFERROR(IF(AND(IFERROR(INDEX(ERP資料!$A:$A, (MATCH(344, 輔助計算!$F$2:$F$801, 0)+1)), "")&lt;&gt;"", IFERROR(INDEX(ERP資料!$A:$A, (MATCH(344, 輔助計算!$F$2:$F$801, 0)+1)), "")&lt;&gt;IFERROR(INDEX(ERP資料!$A:$A, MATCH(343, 輔助計算!$F$2:$F$801, 0)+1), "")), INDEX(ERP資料!$B:$B, (MATCH(344, 輔助計算!$F$2:$F$801, 0)+1)), ""), "")</f>
        <v/>
      </c>
      <c r="B345" s="10">
        <f>IFERROR(IF(AND(IFERROR(INDEX(ERP資料!$A:$A, (MATCH(344, 輔助計算!$F$2:$F$801, 0)+1)), "")&lt;&gt;"", IFERROR(INDEX(ERP資料!$A:$A, (MATCH(344, 輔助計算!$F$2:$F$801, 0)+1)), "")&lt;&gt;IFERROR(INDEX(ERP資料!$A:$A, MATCH(343, 輔助計算!$F$2:$F$801, 0)+1), "")), IFERROR(INDEX(ERP資料!$A:$A, (MATCH(344, 輔助計算!$F$2:$F$801, 0)+1)), ""), ""), "")</f>
        <v/>
      </c>
      <c r="C345" s="10">
        <f>IFERROR(IF(AND(IFERROR(INDEX(ERP資料!$A:$A, (MATCH(344, 輔助計算!$F$2:$F$801, 0)+1)), "")&lt;&gt;"", IFERROR(INDEX(ERP資料!$A:$A, (MATCH(344, 輔助計算!$F$2:$F$801, 0)+1)), "")&lt;&gt;IFERROR(INDEX(ERP資料!$A:$A, MATCH(343, 輔助計算!$F$2:$F$801, 0)+1), "")), INDEX(ERP資料!$S:$S, (MATCH(344, 輔助計算!$F$2:$F$801, 0)+1)), ""), "")</f>
        <v/>
      </c>
      <c r="D345" s="10">
        <f>IFERROR(IF(INDEX(ERP資料!$E:$E, (MATCH(344, 輔助計算!$F$2:$F$801, 0)+1))="","",TRIM(INDEX(ERP資料!$E:$E, (MATCH(344, 輔助計算!$F$2:$F$801, 0)+1)))), "")</f>
        <v/>
      </c>
      <c r="E345" s="10">
        <f>IFERROR(IF(INDEX(ERP資料!$F:$F, (MATCH(344, 輔助計算!$F$2:$F$801, 0)+1))="","",INDEX(ERP資料!$F:$F, (MATCH(344, 輔助計算!$F$2:$F$801, 0)+1))), "")</f>
        <v/>
      </c>
      <c r="F345" s="10">
        <f>IFERROR(IF(INDEX(ERP資料!$G:$G, (MATCH(344, 輔助計算!$F$2:$F$801, 0)+1))="","",INDEX(ERP資料!$G:$G, (MATCH(344, 輔助計算!$F$2:$F$801, 0)+1))), "")</f>
        <v/>
      </c>
      <c r="G345" s="10">
        <f>IFERROR(IF(INDEX(ERP資料!$H:$H, (MATCH(344, 輔助計算!$F$2:$F$801, 0)+1))="","",INDEX(ERP資料!$H:$H, (MATCH(344, 輔助計算!$F$2:$F$801, 0)+1))), "")</f>
        <v/>
      </c>
      <c r="H345" s="10">
        <f>IFERROR(IF(INDEX(ERP資料!$O:$O, (MATCH(344, 輔助計算!$F$2:$F$801, 0)+1))="","",INDEX(ERP資料!$O:$O, (MATCH(344, 輔助計算!$F$2:$F$801, 0)+1))), "")</f>
        <v/>
      </c>
      <c r="I345" s="15">
        <f>IFERROR(IF(INDEX(輔助計算!$D:$D,(MATCH(344, 輔助計算!$F$2:$F$801, 0)+1))="","",INDEX(輔助計算!$D:$D,(MATCH(344, 輔助計算!$F$2:$F$801, 0)+1))*INDEX(ERP資料!$O:$O,(MATCH(344, 輔助計算!$F$2:$F$801, 0)+1))), "")</f>
        <v/>
      </c>
      <c r="J345" s="16" t="n"/>
      <c r="K345" s="15">
        <f>IFERROR(INDEX(輔助計算!$D:$D, (MATCH(344, 輔助計算!$F$2:$F$801, 0)+1)), "")</f>
        <v/>
      </c>
      <c r="L345" s="16">
        <f>IFERROR(IF(AND(IFERROR(VLOOKUP(LEFT(INDEX(ERP資料!$S:$S, (MATCH(344, 輔助計算!$F$2:$F$801, 0)+1)), 4), 100張客戶!$A:$A, 1, FALSE), "")&lt;&gt;"", OR(INDEX(ERP資料!$F:$F, (MATCH(344, 輔助計算!$F$2:$F$801, 0)+1))=270, INDEX(ERP資料!$F:$F, (MATCH(344, 輔助計算!$F$2:$F$801, 0)+1))=300)), "100張", ""), "")</f>
        <v/>
      </c>
      <c r="M345" s="17" t="n"/>
      <c r="N345" s="17">
        <f>IF($F345="","",$F345)</f>
        <v/>
      </c>
      <c r="O345" s="17">
        <f>IF($G345="","",$G345)</f>
        <v/>
      </c>
      <c r="P345" s="17">
        <f>IF($K345="","",$K345)</f>
        <v/>
      </c>
      <c r="Q345" s="16" t="n"/>
      <c r="R345" s="18" t="n"/>
      <c r="S345" s="16" t="n"/>
    </row>
    <row r="346">
      <c r="A346" s="14">
        <f>IFERROR(IF(AND(IFERROR(INDEX(ERP資料!$A:$A, (MATCH(345, 輔助計算!$F$2:$F$801, 0)+1)), "")&lt;&gt;"", IFERROR(INDEX(ERP資料!$A:$A, (MATCH(345, 輔助計算!$F$2:$F$801, 0)+1)), "")&lt;&gt;IFERROR(INDEX(ERP資料!$A:$A, MATCH(344, 輔助計算!$F$2:$F$801, 0)+1), "")), INDEX(ERP資料!$B:$B, (MATCH(345, 輔助計算!$F$2:$F$801, 0)+1)), ""), "")</f>
        <v/>
      </c>
      <c r="B346" s="10">
        <f>IFERROR(IF(AND(IFERROR(INDEX(ERP資料!$A:$A, (MATCH(345, 輔助計算!$F$2:$F$801, 0)+1)), "")&lt;&gt;"", IFERROR(INDEX(ERP資料!$A:$A, (MATCH(345, 輔助計算!$F$2:$F$801, 0)+1)), "")&lt;&gt;IFERROR(INDEX(ERP資料!$A:$A, MATCH(344, 輔助計算!$F$2:$F$801, 0)+1), "")), IFERROR(INDEX(ERP資料!$A:$A, (MATCH(345, 輔助計算!$F$2:$F$801, 0)+1)), ""), ""), "")</f>
        <v/>
      </c>
      <c r="C346" s="10">
        <f>IFERROR(IF(AND(IFERROR(INDEX(ERP資料!$A:$A, (MATCH(345, 輔助計算!$F$2:$F$801, 0)+1)), "")&lt;&gt;"", IFERROR(INDEX(ERP資料!$A:$A, (MATCH(345, 輔助計算!$F$2:$F$801, 0)+1)), "")&lt;&gt;IFERROR(INDEX(ERP資料!$A:$A, MATCH(344, 輔助計算!$F$2:$F$801, 0)+1), "")), INDEX(ERP資料!$S:$S, (MATCH(345, 輔助計算!$F$2:$F$801, 0)+1)), ""), "")</f>
        <v/>
      </c>
      <c r="D346" s="10">
        <f>IFERROR(IF(INDEX(ERP資料!$E:$E, (MATCH(345, 輔助計算!$F$2:$F$801, 0)+1))="","",TRIM(INDEX(ERP資料!$E:$E, (MATCH(345, 輔助計算!$F$2:$F$801, 0)+1)))), "")</f>
        <v/>
      </c>
      <c r="E346" s="10">
        <f>IFERROR(IF(INDEX(ERP資料!$F:$F, (MATCH(345, 輔助計算!$F$2:$F$801, 0)+1))="","",INDEX(ERP資料!$F:$F, (MATCH(345, 輔助計算!$F$2:$F$801, 0)+1))), "")</f>
        <v/>
      </c>
      <c r="F346" s="10">
        <f>IFERROR(IF(INDEX(ERP資料!$G:$G, (MATCH(345, 輔助計算!$F$2:$F$801, 0)+1))="","",INDEX(ERP資料!$G:$G, (MATCH(345, 輔助計算!$F$2:$F$801, 0)+1))), "")</f>
        <v/>
      </c>
      <c r="G346" s="10">
        <f>IFERROR(IF(INDEX(ERP資料!$H:$H, (MATCH(345, 輔助計算!$F$2:$F$801, 0)+1))="","",INDEX(ERP資料!$H:$H, (MATCH(345, 輔助計算!$F$2:$F$801, 0)+1))), "")</f>
        <v/>
      </c>
      <c r="H346" s="10">
        <f>IFERROR(IF(INDEX(ERP資料!$O:$O, (MATCH(345, 輔助計算!$F$2:$F$801, 0)+1))="","",INDEX(ERP資料!$O:$O, (MATCH(345, 輔助計算!$F$2:$F$801, 0)+1))), "")</f>
        <v/>
      </c>
      <c r="I346" s="15">
        <f>IFERROR(IF(INDEX(輔助計算!$D:$D,(MATCH(345, 輔助計算!$F$2:$F$801, 0)+1))="","",INDEX(輔助計算!$D:$D,(MATCH(345, 輔助計算!$F$2:$F$801, 0)+1))*INDEX(ERP資料!$O:$O,(MATCH(345, 輔助計算!$F$2:$F$801, 0)+1))), "")</f>
        <v/>
      </c>
      <c r="J346" s="16" t="n"/>
      <c r="K346" s="15">
        <f>IFERROR(INDEX(輔助計算!$D:$D, (MATCH(345, 輔助計算!$F$2:$F$801, 0)+1)), "")</f>
        <v/>
      </c>
      <c r="L346" s="16">
        <f>IFERROR(IF(AND(IFERROR(VLOOKUP(LEFT(INDEX(ERP資料!$S:$S, (MATCH(345, 輔助計算!$F$2:$F$801, 0)+1)), 4), 100張客戶!$A:$A, 1, FALSE), "")&lt;&gt;"", OR(INDEX(ERP資料!$F:$F, (MATCH(345, 輔助計算!$F$2:$F$801, 0)+1))=270, INDEX(ERP資料!$F:$F, (MATCH(345, 輔助計算!$F$2:$F$801, 0)+1))=300)), "100張", ""), "")</f>
        <v/>
      </c>
      <c r="M346" s="17" t="n"/>
      <c r="N346" s="17">
        <f>IF($F346="","",$F346)</f>
        <v/>
      </c>
      <c r="O346" s="17">
        <f>IF($G346="","",$G346)</f>
        <v/>
      </c>
      <c r="P346" s="17">
        <f>IF($K346="","",$K346)</f>
        <v/>
      </c>
      <c r="Q346" s="16" t="n"/>
      <c r="R346" s="18" t="n"/>
      <c r="S346" s="16" t="n"/>
    </row>
    <row r="347">
      <c r="A347" s="14">
        <f>IFERROR(IF(AND(IFERROR(INDEX(ERP資料!$A:$A, (MATCH(346, 輔助計算!$F$2:$F$801, 0)+1)), "")&lt;&gt;"", IFERROR(INDEX(ERP資料!$A:$A, (MATCH(346, 輔助計算!$F$2:$F$801, 0)+1)), "")&lt;&gt;IFERROR(INDEX(ERP資料!$A:$A, MATCH(345, 輔助計算!$F$2:$F$801, 0)+1), "")), INDEX(ERP資料!$B:$B, (MATCH(346, 輔助計算!$F$2:$F$801, 0)+1)), ""), "")</f>
        <v/>
      </c>
      <c r="B347" s="10">
        <f>IFERROR(IF(AND(IFERROR(INDEX(ERP資料!$A:$A, (MATCH(346, 輔助計算!$F$2:$F$801, 0)+1)), "")&lt;&gt;"", IFERROR(INDEX(ERP資料!$A:$A, (MATCH(346, 輔助計算!$F$2:$F$801, 0)+1)), "")&lt;&gt;IFERROR(INDEX(ERP資料!$A:$A, MATCH(345, 輔助計算!$F$2:$F$801, 0)+1), "")), IFERROR(INDEX(ERP資料!$A:$A, (MATCH(346, 輔助計算!$F$2:$F$801, 0)+1)), ""), ""), "")</f>
        <v/>
      </c>
      <c r="C347" s="10">
        <f>IFERROR(IF(AND(IFERROR(INDEX(ERP資料!$A:$A, (MATCH(346, 輔助計算!$F$2:$F$801, 0)+1)), "")&lt;&gt;"", IFERROR(INDEX(ERP資料!$A:$A, (MATCH(346, 輔助計算!$F$2:$F$801, 0)+1)), "")&lt;&gt;IFERROR(INDEX(ERP資料!$A:$A, MATCH(345, 輔助計算!$F$2:$F$801, 0)+1), "")), INDEX(ERP資料!$S:$S, (MATCH(346, 輔助計算!$F$2:$F$801, 0)+1)), ""), "")</f>
        <v/>
      </c>
      <c r="D347" s="10">
        <f>IFERROR(IF(INDEX(ERP資料!$E:$E, (MATCH(346, 輔助計算!$F$2:$F$801, 0)+1))="","",TRIM(INDEX(ERP資料!$E:$E, (MATCH(346, 輔助計算!$F$2:$F$801, 0)+1)))), "")</f>
        <v/>
      </c>
      <c r="E347" s="10">
        <f>IFERROR(IF(INDEX(ERP資料!$F:$F, (MATCH(346, 輔助計算!$F$2:$F$801, 0)+1))="","",INDEX(ERP資料!$F:$F, (MATCH(346, 輔助計算!$F$2:$F$801, 0)+1))), "")</f>
        <v/>
      </c>
      <c r="F347" s="10">
        <f>IFERROR(IF(INDEX(ERP資料!$G:$G, (MATCH(346, 輔助計算!$F$2:$F$801, 0)+1))="","",INDEX(ERP資料!$G:$G, (MATCH(346, 輔助計算!$F$2:$F$801, 0)+1))), "")</f>
        <v/>
      </c>
      <c r="G347" s="10">
        <f>IFERROR(IF(INDEX(ERP資料!$H:$H, (MATCH(346, 輔助計算!$F$2:$F$801, 0)+1))="","",INDEX(ERP資料!$H:$H, (MATCH(346, 輔助計算!$F$2:$F$801, 0)+1))), "")</f>
        <v/>
      </c>
      <c r="H347" s="10">
        <f>IFERROR(IF(INDEX(ERP資料!$O:$O, (MATCH(346, 輔助計算!$F$2:$F$801, 0)+1))="","",INDEX(ERP資料!$O:$O, (MATCH(346, 輔助計算!$F$2:$F$801, 0)+1))), "")</f>
        <v/>
      </c>
      <c r="I347" s="15">
        <f>IFERROR(IF(INDEX(輔助計算!$D:$D,(MATCH(346, 輔助計算!$F$2:$F$801, 0)+1))="","",INDEX(輔助計算!$D:$D,(MATCH(346, 輔助計算!$F$2:$F$801, 0)+1))*INDEX(ERP資料!$O:$O,(MATCH(346, 輔助計算!$F$2:$F$801, 0)+1))), "")</f>
        <v/>
      </c>
      <c r="J347" s="16" t="n"/>
      <c r="K347" s="15">
        <f>IFERROR(INDEX(輔助計算!$D:$D, (MATCH(346, 輔助計算!$F$2:$F$801, 0)+1)), "")</f>
        <v/>
      </c>
      <c r="L347" s="16">
        <f>IFERROR(IF(AND(IFERROR(VLOOKUP(LEFT(INDEX(ERP資料!$S:$S, (MATCH(346, 輔助計算!$F$2:$F$801, 0)+1)), 4), 100張客戶!$A:$A, 1, FALSE), "")&lt;&gt;"", OR(INDEX(ERP資料!$F:$F, (MATCH(346, 輔助計算!$F$2:$F$801, 0)+1))=270, INDEX(ERP資料!$F:$F, (MATCH(346, 輔助計算!$F$2:$F$801, 0)+1))=300)), "100張", ""), "")</f>
        <v/>
      </c>
      <c r="M347" s="17" t="n"/>
      <c r="N347" s="17">
        <f>IF($F347="","",$F347)</f>
        <v/>
      </c>
      <c r="O347" s="17">
        <f>IF($G347="","",$G347)</f>
        <v/>
      </c>
      <c r="P347" s="17">
        <f>IF($K347="","",$K347)</f>
        <v/>
      </c>
      <c r="Q347" s="16" t="n"/>
      <c r="R347" s="18" t="n"/>
      <c r="S347" s="16" t="n"/>
    </row>
    <row r="348">
      <c r="A348" s="14">
        <f>IFERROR(IF(AND(IFERROR(INDEX(ERP資料!$A:$A, (MATCH(347, 輔助計算!$F$2:$F$801, 0)+1)), "")&lt;&gt;"", IFERROR(INDEX(ERP資料!$A:$A, (MATCH(347, 輔助計算!$F$2:$F$801, 0)+1)), "")&lt;&gt;IFERROR(INDEX(ERP資料!$A:$A, MATCH(346, 輔助計算!$F$2:$F$801, 0)+1), "")), INDEX(ERP資料!$B:$B, (MATCH(347, 輔助計算!$F$2:$F$801, 0)+1)), ""), "")</f>
        <v/>
      </c>
      <c r="B348" s="10">
        <f>IFERROR(IF(AND(IFERROR(INDEX(ERP資料!$A:$A, (MATCH(347, 輔助計算!$F$2:$F$801, 0)+1)), "")&lt;&gt;"", IFERROR(INDEX(ERP資料!$A:$A, (MATCH(347, 輔助計算!$F$2:$F$801, 0)+1)), "")&lt;&gt;IFERROR(INDEX(ERP資料!$A:$A, MATCH(346, 輔助計算!$F$2:$F$801, 0)+1), "")), IFERROR(INDEX(ERP資料!$A:$A, (MATCH(347, 輔助計算!$F$2:$F$801, 0)+1)), ""), ""), "")</f>
        <v/>
      </c>
      <c r="C348" s="10">
        <f>IFERROR(IF(AND(IFERROR(INDEX(ERP資料!$A:$A, (MATCH(347, 輔助計算!$F$2:$F$801, 0)+1)), "")&lt;&gt;"", IFERROR(INDEX(ERP資料!$A:$A, (MATCH(347, 輔助計算!$F$2:$F$801, 0)+1)), "")&lt;&gt;IFERROR(INDEX(ERP資料!$A:$A, MATCH(346, 輔助計算!$F$2:$F$801, 0)+1), "")), INDEX(ERP資料!$S:$S, (MATCH(347, 輔助計算!$F$2:$F$801, 0)+1)), ""), "")</f>
        <v/>
      </c>
      <c r="D348" s="10">
        <f>IFERROR(IF(INDEX(ERP資料!$E:$E, (MATCH(347, 輔助計算!$F$2:$F$801, 0)+1))="","",TRIM(INDEX(ERP資料!$E:$E, (MATCH(347, 輔助計算!$F$2:$F$801, 0)+1)))), "")</f>
        <v/>
      </c>
      <c r="E348" s="10">
        <f>IFERROR(IF(INDEX(ERP資料!$F:$F, (MATCH(347, 輔助計算!$F$2:$F$801, 0)+1))="","",INDEX(ERP資料!$F:$F, (MATCH(347, 輔助計算!$F$2:$F$801, 0)+1))), "")</f>
        <v/>
      </c>
      <c r="F348" s="10">
        <f>IFERROR(IF(INDEX(ERP資料!$G:$G, (MATCH(347, 輔助計算!$F$2:$F$801, 0)+1))="","",INDEX(ERP資料!$G:$G, (MATCH(347, 輔助計算!$F$2:$F$801, 0)+1))), "")</f>
        <v/>
      </c>
      <c r="G348" s="10">
        <f>IFERROR(IF(INDEX(ERP資料!$H:$H, (MATCH(347, 輔助計算!$F$2:$F$801, 0)+1))="","",INDEX(ERP資料!$H:$H, (MATCH(347, 輔助計算!$F$2:$F$801, 0)+1))), "")</f>
        <v/>
      </c>
      <c r="H348" s="10">
        <f>IFERROR(IF(INDEX(ERP資料!$O:$O, (MATCH(347, 輔助計算!$F$2:$F$801, 0)+1))="","",INDEX(ERP資料!$O:$O, (MATCH(347, 輔助計算!$F$2:$F$801, 0)+1))), "")</f>
        <v/>
      </c>
      <c r="I348" s="15">
        <f>IFERROR(IF(INDEX(輔助計算!$D:$D,(MATCH(347, 輔助計算!$F$2:$F$801, 0)+1))="","",INDEX(輔助計算!$D:$D,(MATCH(347, 輔助計算!$F$2:$F$801, 0)+1))*INDEX(ERP資料!$O:$O,(MATCH(347, 輔助計算!$F$2:$F$801, 0)+1))), "")</f>
        <v/>
      </c>
      <c r="J348" s="16" t="n"/>
      <c r="K348" s="15">
        <f>IFERROR(INDEX(輔助計算!$D:$D, (MATCH(347, 輔助計算!$F$2:$F$801, 0)+1)), "")</f>
        <v/>
      </c>
      <c r="L348" s="16">
        <f>IFERROR(IF(AND(IFERROR(VLOOKUP(LEFT(INDEX(ERP資料!$S:$S, (MATCH(347, 輔助計算!$F$2:$F$801, 0)+1)), 4), 100張客戶!$A:$A, 1, FALSE), "")&lt;&gt;"", OR(INDEX(ERP資料!$F:$F, (MATCH(347, 輔助計算!$F$2:$F$801, 0)+1))=270, INDEX(ERP資料!$F:$F, (MATCH(347, 輔助計算!$F$2:$F$801, 0)+1))=300)), "100張", ""), "")</f>
        <v/>
      </c>
      <c r="M348" s="17" t="n"/>
      <c r="N348" s="17">
        <f>IF($F348="","",$F348)</f>
        <v/>
      </c>
      <c r="O348" s="17">
        <f>IF($G348="","",$G348)</f>
        <v/>
      </c>
      <c r="P348" s="17">
        <f>IF($K348="","",$K348)</f>
        <v/>
      </c>
      <c r="Q348" s="16" t="n"/>
      <c r="R348" s="18" t="n"/>
      <c r="S348" s="16" t="n"/>
    </row>
    <row r="349">
      <c r="A349" s="14">
        <f>IFERROR(IF(AND(IFERROR(INDEX(ERP資料!$A:$A, (MATCH(348, 輔助計算!$F$2:$F$801, 0)+1)), "")&lt;&gt;"", IFERROR(INDEX(ERP資料!$A:$A, (MATCH(348, 輔助計算!$F$2:$F$801, 0)+1)), "")&lt;&gt;IFERROR(INDEX(ERP資料!$A:$A, MATCH(347, 輔助計算!$F$2:$F$801, 0)+1), "")), INDEX(ERP資料!$B:$B, (MATCH(348, 輔助計算!$F$2:$F$801, 0)+1)), ""), "")</f>
        <v/>
      </c>
      <c r="B349" s="10">
        <f>IFERROR(IF(AND(IFERROR(INDEX(ERP資料!$A:$A, (MATCH(348, 輔助計算!$F$2:$F$801, 0)+1)), "")&lt;&gt;"", IFERROR(INDEX(ERP資料!$A:$A, (MATCH(348, 輔助計算!$F$2:$F$801, 0)+1)), "")&lt;&gt;IFERROR(INDEX(ERP資料!$A:$A, MATCH(347, 輔助計算!$F$2:$F$801, 0)+1), "")), IFERROR(INDEX(ERP資料!$A:$A, (MATCH(348, 輔助計算!$F$2:$F$801, 0)+1)), ""), ""), "")</f>
        <v/>
      </c>
      <c r="C349" s="10">
        <f>IFERROR(IF(AND(IFERROR(INDEX(ERP資料!$A:$A, (MATCH(348, 輔助計算!$F$2:$F$801, 0)+1)), "")&lt;&gt;"", IFERROR(INDEX(ERP資料!$A:$A, (MATCH(348, 輔助計算!$F$2:$F$801, 0)+1)), "")&lt;&gt;IFERROR(INDEX(ERP資料!$A:$A, MATCH(347, 輔助計算!$F$2:$F$801, 0)+1), "")), INDEX(ERP資料!$S:$S, (MATCH(348, 輔助計算!$F$2:$F$801, 0)+1)), ""), "")</f>
        <v/>
      </c>
      <c r="D349" s="10">
        <f>IFERROR(IF(INDEX(ERP資料!$E:$E, (MATCH(348, 輔助計算!$F$2:$F$801, 0)+1))="","",TRIM(INDEX(ERP資料!$E:$E, (MATCH(348, 輔助計算!$F$2:$F$801, 0)+1)))), "")</f>
        <v/>
      </c>
      <c r="E349" s="10">
        <f>IFERROR(IF(INDEX(ERP資料!$F:$F, (MATCH(348, 輔助計算!$F$2:$F$801, 0)+1))="","",INDEX(ERP資料!$F:$F, (MATCH(348, 輔助計算!$F$2:$F$801, 0)+1))), "")</f>
        <v/>
      </c>
      <c r="F349" s="10">
        <f>IFERROR(IF(INDEX(ERP資料!$G:$G, (MATCH(348, 輔助計算!$F$2:$F$801, 0)+1))="","",INDEX(ERP資料!$G:$G, (MATCH(348, 輔助計算!$F$2:$F$801, 0)+1))), "")</f>
        <v/>
      </c>
      <c r="G349" s="10">
        <f>IFERROR(IF(INDEX(ERP資料!$H:$H, (MATCH(348, 輔助計算!$F$2:$F$801, 0)+1))="","",INDEX(ERP資料!$H:$H, (MATCH(348, 輔助計算!$F$2:$F$801, 0)+1))), "")</f>
        <v/>
      </c>
      <c r="H349" s="10">
        <f>IFERROR(IF(INDEX(ERP資料!$O:$O, (MATCH(348, 輔助計算!$F$2:$F$801, 0)+1))="","",INDEX(ERP資料!$O:$O, (MATCH(348, 輔助計算!$F$2:$F$801, 0)+1))), "")</f>
        <v/>
      </c>
      <c r="I349" s="15">
        <f>IFERROR(IF(INDEX(輔助計算!$D:$D,(MATCH(348, 輔助計算!$F$2:$F$801, 0)+1))="","",INDEX(輔助計算!$D:$D,(MATCH(348, 輔助計算!$F$2:$F$801, 0)+1))*INDEX(ERP資料!$O:$O,(MATCH(348, 輔助計算!$F$2:$F$801, 0)+1))), "")</f>
        <v/>
      </c>
      <c r="J349" s="16" t="n"/>
      <c r="K349" s="15">
        <f>IFERROR(INDEX(輔助計算!$D:$D, (MATCH(348, 輔助計算!$F$2:$F$801, 0)+1)), "")</f>
        <v/>
      </c>
      <c r="L349" s="16">
        <f>IFERROR(IF(AND(IFERROR(VLOOKUP(LEFT(INDEX(ERP資料!$S:$S, (MATCH(348, 輔助計算!$F$2:$F$801, 0)+1)), 4), 100張客戶!$A:$A, 1, FALSE), "")&lt;&gt;"", OR(INDEX(ERP資料!$F:$F, (MATCH(348, 輔助計算!$F$2:$F$801, 0)+1))=270, INDEX(ERP資料!$F:$F, (MATCH(348, 輔助計算!$F$2:$F$801, 0)+1))=300)), "100張", ""), "")</f>
        <v/>
      </c>
      <c r="M349" s="17" t="n"/>
      <c r="N349" s="17">
        <f>IF($F349="","",$F349)</f>
        <v/>
      </c>
      <c r="O349" s="17">
        <f>IF($G349="","",$G349)</f>
        <v/>
      </c>
      <c r="P349" s="17">
        <f>IF($K349="","",$K349)</f>
        <v/>
      </c>
      <c r="Q349" s="16" t="n"/>
      <c r="R349" s="18" t="n"/>
      <c r="S349" s="16" t="n"/>
    </row>
    <row r="350">
      <c r="A350" s="14">
        <f>IFERROR(IF(AND(IFERROR(INDEX(ERP資料!$A:$A, (MATCH(349, 輔助計算!$F$2:$F$801, 0)+1)), "")&lt;&gt;"", IFERROR(INDEX(ERP資料!$A:$A, (MATCH(349, 輔助計算!$F$2:$F$801, 0)+1)), "")&lt;&gt;IFERROR(INDEX(ERP資料!$A:$A, MATCH(348, 輔助計算!$F$2:$F$801, 0)+1), "")), INDEX(ERP資料!$B:$B, (MATCH(349, 輔助計算!$F$2:$F$801, 0)+1)), ""), "")</f>
        <v/>
      </c>
      <c r="B350" s="10">
        <f>IFERROR(IF(AND(IFERROR(INDEX(ERP資料!$A:$A, (MATCH(349, 輔助計算!$F$2:$F$801, 0)+1)), "")&lt;&gt;"", IFERROR(INDEX(ERP資料!$A:$A, (MATCH(349, 輔助計算!$F$2:$F$801, 0)+1)), "")&lt;&gt;IFERROR(INDEX(ERP資料!$A:$A, MATCH(348, 輔助計算!$F$2:$F$801, 0)+1), "")), IFERROR(INDEX(ERP資料!$A:$A, (MATCH(349, 輔助計算!$F$2:$F$801, 0)+1)), ""), ""), "")</f>
        <v/>
      </c>
      <c r="C350" s="10">
        <f>IFERROR(IF(AND(IFERROR(INDEX(ERP資料!$A:$A, (MATCH(349, 輔助計算!$F$2:$F$801, 0)+1)), "")&lt;&gt;"", IFERROR(INDEX(ERP資料!$A:$A, (MATCH(349, 輔助計算!$F$2:$F$801, 0)+1)), "")&lt;&gt;IFERROR(INDEX(ERP資料!$A:$A, MATCH(348, 輔助計算!$F$2:$F$801, 0)+1), "")), INDEX(ERP資料!$S:$S, (MATCH(349, 輔助計算!$F$2:$F$801, 0)+1)), ""), "")</f>
        <v/>
      </c>
      <c r="D350" s="10">
        <f>IFERROR(IF(INDEX(ERP資料!$E:$E, (MATCH(349, 輔助計算!$F$2:$F$801, 0)+1))="","",TRIM(INDEX(ERP資料!$E:$E, (MATCH(349, 輔助計算!$F$2:$F$801, 0)+1)))), "")</f>
        <v/>
      </c>
      <c r="E350" s="10">
        <f>IFERROR(IF(INDEX(ERP資料!$F:$F, (MATCH(349, 輔助計算!$F$2:$F$801, 0)+1))="","",INDEX(ERP資料!$F:$F, (MATCH(349, 輔助計算!$F$2:$F$801, 0)+1))), "")</f>
        <v/>
      </c>
      <c r="F350" s="10">
        <f>IFERROR(IF(INDEX(ERP資料!$G:$G, (MATCH(349, 輔助計算!$F$2:$F$801, 0)+1))="","",INDEX(ERP資料!$G:$G, (MATCH(349, 輔助計算!$F$2:$F$801, 0)+1))), "")</f>
        <v/>
      </c>
      <c r="G350" s="10">
        <f>IFERROR(IF(INDEX(ERP資料!$H:$H, (MATCH(349, 輔助計算!$F$2:$F$801, 0)+1))="","",INDEX(ERP資料!$H:$H, (MATCH(349, 輔助計算!$F$2:$F$801, 0)+1))), "")</f>
        <v/>
      </c>
      <c r="H350" s="10">
        <f>IFERROR(IF(INDEX(ERP資料!$O:$O, (MATCH(349, 輔助計算!$F$2:$F$801, 0)+1))="","",INDEX(ERP資料!$O:$O, (MATCH(349, 輔助計算!$F$2:$F$801, 0)+1))), "")</f>
        <v/>
      </c>
      <c r="I350" s="15">
        <f>IFERROR(IF(INDEX(輔助計算!$D:$D,(MATCH(349, 輔助計算!$F$2:$F$801, 0)+1))="","",INDEX(輔助計算!$D:$D,(MATCH(349, 輔助計算!$F$2:$F$801, 0)+1))*INDEX(ERP資料!$O:$O,(MATCH(349, 輔助計算!$F$2:$F$801, 0)+1))), "")</f>
        <v/>
      </c>
      <c r="J350" s="16" t="n"/>
      <c r="K350" s="15">
        <f>IFERROR(INDEX(輔助計算!$D:$D, (MATCH(349, 輔助計算!$F$2:$F$801, 0)+1)), "")</f>
        <v/>
      </c>
      <c r="L350" s="16">
        <f>IFERROR(IF(AND(IFERROR(VLOOKUP(LEFT(INDEX(ERP資料!$S:$S, (MATCH(349, 輔助計算!$F$2:$F$801, 0)+1)), 4), 100張客戶!$A:$A, 1, FALSE), "")&lt;&gt;"", OR(INDEX(ERP資料!$F:$F, (MATCH(349, 輔助計算!$F$2:$F$801, 0)+1))=270, INDEX(ERP資料!$F:$F, (MATCH(349, 輔助計算!$F$2:$F$801, 0)+1))=300)), "100張", ""), "")</f>
        <v/>
      </c>
      <c r="M350" s="17" t="n"/>
      <c r="N350" s="17">
        <f>IF($F350="","",$F350)</f>
        <v/>
      </c>
      <c r="O350" s="17">
        <f>IF($G350="","",$G350)</f>
        <v/>
      </c>
      <c r="P350" s="17">
        <f>IF($K350="","",$K350)</f>
        <v/>
      </c>
      <c r="Q350" s="16" t="n"/>
      <c r="R350" s="18" t="n"/>
      <c r="S350" s="16" t="n"/>
    </row>
    <row r="351">
      <c r="A351" s="14">
        <f>IFERROR(IF(AND(IFERROR(INDEX(ERP資料!$A:$A, (MATCH(350, 輔助計算!$F$2:$F$801, 0)+1)), "")&lt;&gt;"", IFERROR(INDEX(ERP資料!$A:$A, (MATCH(350, 輔助計算!$F$2:$F$801, 0)+1)), "")&lt;&gt;IFERROR(INDEX(ERP資料!$A:$A, MATCH(349, 輔助計算!$F$2:$F$801, 0)+1), "")), INDEX(ERP資料!$B:$B, (MATCH(350, 輔助計算!$F$2:$F$801, 0)+1)), ""), "")</f>
        <v/>
      </c>
      <c r="B351" s="10">
        <f>IFERROR(IF(AND(IFERROR(INDEX(ERP資料!$A:$A, (MATCH(350, 輔助計算!$F$2:$F$801, 0)+1)), "")&lt;&gt;"", IFERROR(INDEX(ERP資料!$A:$A, (MATCH(350, 輔助計算!$F$2:$F$801, 0)+1)), "")&lt;&gt;IFERROR(INDEX(ERP資料!$A:$A, MATCH(349, 輔助計算!$F$2:$F$801, 0)+1), "")), IFERROR(INDEX(ERP資料!$A:$A, (MATCH(350, 輔助計算!$F$2:$F$801, 0)+1)), ""), ""), "")</f>
        <v/>
      </c>
      <c r="C351" s="10">
        <f>IFERROR(IF(AND(IFERROR(INDEX(ERP資料!$A:$A, (MATCH(350, 輔助計算!$F$2:$F$801, 0)+1)), "")&lt;&gt;"", IFERROR(INDEX(ERP資料!$A:$A, (MATCH(350, 輔助計算!$F$2:$F$801, 0)+1)), "")&lt;&gt;IFERROR(INDEX(ERP資料!$A:$A, MATCH(349, 輔助計算!$F$2:$F$801, 0)+1), "")), INDEX(ERP資料!$S:$S, (MATCH(350, 輔助計算!$F$2:$F$801, 0)+1)), ""), "")</f>
        <v/>
      </c>
      <c r="D351" s="10">
        <f>IFERROR(IF(INDEX(ERP資料!$E:$E, (MATCH(350, 輔助計算!$F$2:$F$801, 0)+1))="","",TRIM(INDEX(ERP資料!$E:$E, (MATCH(350, 輔助計算!$F$2:$F$801, 0)+1)))), "")</f>
        <v/>
      </c>
      <c r="E351" s="10">
        <f>IFERROR(IF(INDEX(ERP資料!$F:$F, (MATCH(350, 輔助計算!$F$2:$F$801, 0)+1))="","",INDEX(ERP資料!$F:$F, (MATCH(350, 輔助計算!$F$2:$F$801, 0)+1))), "")</f>
        <v/>
      </c>
      <c r="F351" s="10">
        <f>IFERROR(IF(INDEX(ERP資料!$G:$G, (MATCH(350, 輔助計算!$F$2:$F$801, 0)+1))="","",INDEX(ERP資料!$G:$G, (MATCH(350, 輔助計算!$F$2:$F$801, 0)+1))), "")</f>
        <v/>
      </c>
      <c r="G351" s="10">
        <f>IFERROR(IF(INDEX(ERP資料!$H:$H, (MATCH(350, 輔助計算!$F$2:$F$801, 0)+1))="","",INDEX(ERP資料!$H:$H, (MATCH(350, 輔助計算!$F$2:$F$801, 0)+1))), "")</f>
        <v/>
      </c>
      <c r="H351" s="10">
        <f>IFERROR(IF(INDEX(ERP資料!$O:$O, (MATCH(350, 輔助計算!$F$2:$F$801, 0)+1))="","",INDEX(ERP資料!$O:$O, (MATCH(350, 輔助計算!$F$2:$F$801, 0)+1))), "")</f>
        <v/>
      </c>
      <c r="I351" s="15">
        <f>IFERROR(IF(INDEX(輔助計算!$D:$D,(MATCH(350, 輔助計算!$F$2:$F$801, 0)+1))="","",INDEX(輔助計算!$D:$D,(MATCH(350, 輔助計算!$F$2:$F$801, 0)+1))*INDEX(ERP資料!$O:$O,(MATCH(350, 輔助計算!$F$2:$F$801, 0)+1))), "")</f>
        <v/>
      </c>
      <c r="J351" s="16" t="n"/>
      <c r="K351" s="15">
        <f>IFERROR(INDEX(輔助計算!$D:$D, (MATCH(350, 輔助計算!$F$2:$F$801, 0)+1)), "")</f>
        <v/>
      </c>
      <c r="L351" s="16">
        <f>IFERROR(IF(AND(IFERROR(VLOOKUP(LEFT(INDEX(ERP資料!$S:$S, (MATCH(350, 輔助計算!$F$2:$F$801, 0)+1)), 4), 100張客戶!$A:$A, 1, FALSE), "")&lt;&gt;"", OR(INDEX(ERP資料!$F:$F, (MATCH(350, 輔助計算!$F$2:$F$801, 0)+1))=270, INDEX(ERP資料!$F:$F, (MATCH(350, 輔助計算!$F$2:$F$801, 0)+1))=300)), "100張", ""), "")</f>
        <v/>
      </c>
      <c r="M351" s="17" t="n"/>
      <c r="N351" s="17">
        <f>IF($F351="","",$F351)</f>
        <v/>
      </c>
      <c r="O351" s="17">
        <f>IF($G351="","",$G351)</f>
        <v/>
      </c>
      <c r="P351" s="17">
        <f>IF($K351="","",$K351)</f>
        <v/>
      </c>
      <c r="Q351" s="16" t="n"/>
      <c r="R351" s="18" t="n"/>
      <c r="S351" s="16" t="n"/>
    </row>
    <row r="352">
      <c r="A352" s="14">
        <f>IFERROR(IF(AND(IFERROR(INDEX(ERP資料!$A:$A, (MATCH(351, 輔助計算!$F$2:$F$801, 0)+1)), "")&lt;&gt;"", IFERROR(INDEX(ERP資料!$A:$A, (MATCH(351, 輔助計算!$F$2:$F$801, 0)+1)), "")&lt;&gt;IFERROR(INDEX(ERP資料!$A:$A, MATCH(350, 輔助計算!$F$2:$F$801, 0)+1), "")), INDEX(ERP資料!$B:$B, (MATCH(351, 輔助計算!$F$2:$F$801, 0)+1)), ""), "")</f>
        <v/>
      </c>
      <c r="B352" s="10">
        <f>IFERROR(IF(AND(IFERROR(INDEX(ERP資料!$A:$A, (MATCH(351, 輔助計算!$F$2:$F$801, 0)+1)), "")&lt;&gt;"", IFERROR(INDEX(ERP資料!$A:$A, (MATCH(351, 輔助計算!$F$2:$F$801, 0)+1)), "")&lt;&gt;IFERROR(INDEX(ERP資料!$A:$A, MATCH(350, 輔助計算!$F$2:$F$801, 0)+1), "")), IFERROR(INDEX(ERP資料!$A:$A, (MATCH(351, 輔助計算!$F$2:$F$801, 0)+1)), ""), ""), "")</f>
        <v/>
      </c>
      <c r="C352" s="10">
        <f>IFERROR(IF(AND(IFERROR(INDEX(ERP資料!$A:$A, (MATCH(351, 輔助計算!$F$2:$F$801, 0)+1)), "")&lt;&gt;"", IFERROR(INDEX(ERP資料!$A:$A, (MATCH(351, 輔助計算!$F$2:$F$801, 0)+1)), "")&lt;&gt;IFERROR(INDEX(ERP資料!$A:$A, MATCH(350, 輔助計算!$F$2:$F$801, 0)+1), "")), INDEX(ERP資料!$S:$S, (MATCH(351, 輔助計算!$F$2:$F$801, 0)+1)), ""), "")</f>
        <v/>
      </c>
      <c r="D352" s="10">
        <f>IFERROR(IF(INDEX(ERP資料!$E:$E, (MATCH(351, 輔助計算!$F$2:$F$801, 0)+1))="","",TRIM(INDEX(ERP資料!$E:$E, (MATCH(351, 輔助計算!$F$2:$F$801, 0)+1)))), "")</f>
        <v/>
      </c>
      <c r="E352" s="10">
        <f>IFERROR(IF(INDEX(ERP資料!$F:$F, (MATCH(351, 輔助計算!$F$2:$F$801, 0)+1))="","",INDEX(ERP資料!$F:$F, (MATCH(351, 輔助計算!$F$2:$F$801, 0)+1))), "")</f>
        <v/>
      </c>
      <c r="F352" s="10">
        <f>IFERROR(IF(INDEX(ERP資料!$G:$G, (MATCH(351, 輔助計算!$F$2:$F$801, 0)+1))="","",INDEX(ERP資料!$G:$G, (MATCH(351, 輔助計算!$F$2:$F$801, 0)+1))), "")</f>
        <v/>
      </c>
      <c r="G352" s="10">
        <f>IFERROR(IF(INDEX(ERP資料!$H:$H, (MATCH(351, 輔助計算!$F$2:$F$801, 0)+1))="","",INDEX(ERP資料!$H:$H, (MATCH(351, 輔助計算!$F$2:$F$801, 0)+1))), "")</f>
        <v/>
      </c>
      <c r="H352" s="10">
        <f>IFERROR(IF(INDEX(ERP資料!$O:$O, (MATCH(351, 輔助計算!$F$2:$F$801, 0)+1))="","",INDEX(ERP資料!$O:$O, (MATCH(351, 輔助計算!$F$2:$F$801, 0)+1))), "")</f>
        <v/>
      </c>
      <c r="I352" s="15">
        <f>IFERROR(IF(INDEX(輔助計算!$D:$D,(MATCH(351, 輔助計算!$F$2:$F$801, 0)+1))="","",INDEX(輔助計算!$D:$D,(MATCH(351, 輔助計算!$F$2:$F$801, 0)+1))*INDEX(ERP資料!$O:$O,(MATCH(351, 輔助計算!$F$2:$F$801, 0)+1))), "")</f>
        <v/>
      </c>
      <c r="J352" s="16" t="n"/>
      <c r="K352" s="15">
        <f>IFERROR(INDEX(輔助計算!$D:$D, (MATCH(351, 輔助計算!$F$2:$F$801, 0)+1)), "")</f>
        <v/>
      </c>
      <c r="L352" s="16">
        <f>IFERROR(IF(AND(IFERROR(VLOOKUP(LEFT(INDEX(ERP資料!$S:$S, (MATCH(351, 輔助計算!$F$2:$F$801, 0)+1)), 4), 100張客戶!$A:$A, 1, FALSE), "")&lt;&gt;"", OR(INDEX(ERP資料!$F:$F, (MATCH(351, 輔助計算!$F$2:$F$801, 0)+1))=270, INDEX(ERP資料!$F:$F, (MATCH(351, 輔助計算!$F$2:$F$801, 0)+1))=300)), "100張", ""), "")</f>
        <v/>
      </c>
      <c r="M352" s="17" t="n"/>
      <c r="N352" s="17">
        <f>IF($F352="","",$F352)</f>
        <v/>
      </c>
      <c r="O352" s="17">
        <f>IF($G352="","",$G352)</f>
        <v/>
      </c>
      <c r="P352" s="17">
        <f>IF($K352="","",$K352)</f>
        <v/>
      </c>
      <c r="Q352" s="16" t="n"/>
      <c r="R352" s="18" t="n"/>
      <c r="S352" s="16" t="n"/>
    </row>
    <row r="353">
      <c r="A353" s="14">
        <f>IFERROR(IF(AND(IFERROR(INDEX(ERP資料!$A:$A, (MATCH(352, 輔助計算!$F$2:$F$801, 0)+1)), "")&lt;&gt;"", IFERROR(INDEX(ERP資料!$A:$A, (MATCH(352, 輔助計算!$F$2:$F$801, 0)+1)), "")&lt;&gt;IFERROR(INDEX(ERP資料!$A:$A, MATCH(351, 輔助計算!$F$2:$F$801, 0)+1), "")), INDEX(ERP資料!$B:$B, (MATCH(352, 輔助計算!$F$2:$F$801, 0)+1)), ""), "")</f>
        <v/>
      </c>
      <c r="B353" s="10">
        <f>IFERROR(IF(AND(IFERROR(INDEX(ERP資料!$A:$A, (MATCH(352, 輔助計算!$F$2:$F$801, 0)+1)), "")&lt;&gt;"", IFERROR(INDEX(ERP資料!$A:$A, (MATCH(352, 輔助計算!$F$2:$F$801, 0)+1)), "")&lt;&gt;IFERROR(INDEX(ERP資料!$A:$A, MATCH(351, 輔助計算!$F$2:$F$801, 0)+1), "")), IFERROR(INDEX(ERP資料!$A:$A, (MATCH(352, 輔助計算!$F$2:$F$801, 0)+1)), ""), ""), "")</f>
        <v/>
      </c>
      <c r="C353" s="10">
        <f>IFERROR(IF(AND(IFERROR(INDEX(ERP資料!$A:$A, (MATCH(352, 輔助計算!$F$2:$F$801, 0)+1)), "")&lt;&gt;"", IFERROR(INDEX(ERP資料!$A:$A, (MATCH(352, 輔助計算!$F$2:$F$801, 0)+1)), "")&lt;&gt;IFERROR(INDEX(ERP資料!$A:$A, MATCH(351, 輔助計算!$F$2:$F$801, 0)+1), "")), INDEX(ERP資料!$S:$S, (MATCH(352, 輔助計算!$F$2:$F$801, 0)+1)), ""), "")</f>
        <v/>
      </c>
      <c r="D353" s="10">
        <f>IFERROR(IF(INDEX(ERP資料!$E:$E, (MATCH(352, 輔助計算!$F$2:$F$801, 0)+1))="","",TRIM(INDEX(ERP資料!$E:$E, (MATCH(352, 輔助計算!$F$2:$F$801, 0)+1)))), "")</f>
        <v/>
      </c>
      <c r="E353" s="10">
        <f>IFERROR(IF(INDEX(ERP資料!$F:$F, (MATCH(352, 輔助計算!$F$2:$F$801, 0)+1))="","",INDEX(ERP資料!$F:$F, (MATCH(352, 輔助計算!$F$2:$F$801, 0)+1))), "")</f>
        <v/>
      </c>
      <c r="F353" s="10">
        <f>IFERROR(IF(INDEX(ERP資料!$G:$G, (MATCH(352, 輔助計算!$F$2:$F$801, 0)+1))="","",INDEX(ERP資料!$G:$G, (MATCH(352, 輔助計算!$F$2:$F$801, 0)+1))), "")</f>
        <v/>
      </c>
      <c r="G353" s="10">
        <f>IFERROR(IF(INDEX(ERP資料!$H:$H, (MATCH(352, 輔助計算!$F$2:$F$801, 0)+1))="","",INDEX(ERP資料!$H:$H, (MATCH(352, 輔助計算!$F$2:$F$801, 0)+1))), "")</f>
        <v/>
      </c>
      <c r="H353" s="10">
        <f>IFERROR(IF(INDEX(ERP資料!$O:$O, (MATCH(352, 輔助計算!$F$2:$F$801, 0)+1))="","",INDEX(ERP資料!$O:$O, (MATCH(352, 輔助計算!$F$2:$F$801, 0)+1))), "")</f>
        <v/>
      </c>
      <c r="I353" s="15">
        <f>IFERROR(IF(INDEX(輔助計算!$D:$D,(MATCH(352, 輔助計算!$F$2:$F$801, 0)+1))="","",INDEX(輔助計算!$D:$D,(MATCH(352, 輔助計算!$F$2:$F$801, 0)+1))*INDEX(ERP資料!$O:$O,(MATCH(352, 輔助計算!$F$2:$F$801, 0)+1))), "")</f>
        <v/>
      </c>
      <c r="J353" s="16" t="n"/>
      <c r="K353" s="15">
        <f>IFERROR(INDEX(輔助計算!$D:$D, (MATCH(352, 輔助計算!$F$2:$F$801, 0)+1)), "")</f>
        <v/>
      </c>
      <c r="L353" s="16">
        <f>IFERROR(IF(AND(IFERROR(VLOOKUP(LEFT(INDEX(ERP資料!$S:$S, (MATCH(352, 輔助計算!$F$2:$F$801, 0)+1)), 4), 100張客戶!$A:$A, 1, FALSE), "")&lt;&gt;"", OR(INDEX(ERP資料!$F:$F, (MATCH(352, 輔助計算!$F$2:$F$801, 0)+1))=270, INDEX(ERP資料!$F:$F, (MATCH(352, 輔助計算!$F$2:$F$801, 0)+1))=300)), "100張", ""), "")</f>
        <v/>
      </c>
      <c r="M353" s="17" t="n"/>
      <c r="N353" s="17">
        <f>IF($F353="","",$F353)</f>
        <v/>
      </c>
      <c r="O353" s="17">
        <f>IF($G353="","",$G353)</f>
        <v/>
      </c>
      <c r="P353" s="17">
        <f>IF($K353="","",$K353)</f>
        <v/>
      </c>
      <c r="Q353" s="16" t="n"/>
      <c r="R353" s="18" t="n"/>
      <c r="S353" s="16" t="n"/>
    </row>
    <row r="354">
      <c r="A354" s="14">
        <f>IFERROR(IF(AND(IFERROR(INDEX(ERP資料!$A:$A, (MATCH(353, 輔助計算!$F$2:$F$801, 0)+1)), "")&lt;&gt;"", IFERROR(INDEX(ERP資料!$A:$A, (MATCH(353, 輔助計算!$F$2:$F$801, 0)+1)), "")&lt;&gt;IFERROR(INDEX(ERP資料!$A:$A, MATCH(352, 輔助計算!$F$2:$F$801, 0)+1), "")), INDEX(ERP資料!$B:$B, (MATCH(353, 輔助計算!$F$2:$F$801, 0)+1)), ""), "")</f>
        <v/>
      </c>
      <c r="B354" s="10">
        <f>IFERROR(IF(AND(IFERROR(INDEX(ERP資料!$A:$A, (MATCH(353, 輔助計算!$F$2:$F$801, 0)+1)), "")&lt;&gt;"", IFERROR(INDEX(ERP資料!$A:$A, (MATCH(353, 輔助計算!$F$2:$F$801, 0)+1)), "")&lt;&gt;IFERROR(INDEX(ERP資料!$A:$A, MATCH(352, 輔助計算!$F$2:$F$801, 0)+1), "")), IFERROR(INDEX(ERP資料!$A:$A, (MATCH(353, 輔助計算!$F$2:$F$801, 0)+1)), ""), ""), "")</f>
        <v/>
      </c>
      <c r="C354" s="10">
        <f>IFERROR(IF(AND(IFERROR(INDEX(ERP資料!$A:$A, (MATCH(353, 輔助計算!$F$2:$F$801, 0)+1)), "")&lt;&gt;"", IFERROR(INDEX(ERP資料!$A:$A, (MATCH(353, 輔助計算!$F$2:$F$801, 0)+1)), "")&lt;&gt;IFERROR(INDEX(ERP資料!$A:$A, MATCH(352, 輔助計算!$F$2:$F$801, 0)+1), "")), INDEX(ERP資料!$S:$S, (MATCH(353, 輔助計算!$F$2:$F$801, 0)+1)), ""), "")</f>
        <v/>
      </c>
      <c r="D354" s="10">
        <f>IFERROR(IF(INDEX(ERP資料!$E:$E, (MATCH(353, 輔助計算!$F$2:$F$801, 0)+1))="","",TRIM(INDEX(ERP資料!$E:$E, (MATCH(353, 輔助計算!$F$2:$F$801, 0)+1)))), "")</f>
        <v/>
      </c>
      <c r="E354" s="10">
        <f>IFERROR(IF(INDEX(ERP資料!$F:$F, (MATCH(353, 輔助計算!$F$2:$F$801, 0)+1))="","",INDEX(ERP資料!$F:$F, (MATCH(353, 輔助計算!$F$2:$F$801, 0)+1))), "")</f>
        <v/>
      </c>
      <c r="F354" s="10">
        <f>IFERROR(IF(INDEX(ERP資料!$G:$G, (MATCH(353, 輔助計算!$F$2:$F$801, 0)+1))="","",INDEX(ERP資料!$G:$G, (MATCH(353, 輔助計算!$F$2:$F$801, 0)+1))), "")</f>
        <v/>
      </c>
      <c r="G354" s="10">
        <f>IFERROR(IF(INDEX(ERP資料!$H:$H, (MATCH(353, 輔助計算!$F$2:$F$801, 0)+1))="","",INDEX(ERP資料!$H:$H, (MATCH(353, 輔助計算!$F$2:$F$801, 0)+1))), "")</f>
        <v/>
      </c>
      <c r="H354" s="10">
        <f>IFERROR(IF(INDEX(ERP資料!$O:$O, (MATCH(353, 輔助計算!$F$2:$F$801, 0)+1))="","",INDEX(ERP資料!$O:$O, (MATCH(353, 輔助計算!$F$2:$F$801, 0)+1))), "")</f>
        <v/>
      </c>
      <c r="I354" s="15">
        <f>IFERROR(IF(INDEX(輔助計算!$D:$D,(MATCH(353, 輔助計算!$F$2:$F$801, 0)+1))="","",INDEX(輔助計算!$D:$D,(MATCH(353, 輔助計算!$F$2:$F$801, 0)+1))*INDEX(ERP資料!$O:$O,(MATCH(353, 輔助計算!$F$2:$F$801, 0)+1))), "")</f>
        <v/>
      </c>
      <c r="J354" s="16" t="n"/>
      <c r="K354" s="15">
        <f>IFERROR(INDEX(輔助計算!$D:$D, (MATCH(353, 輔助計算!$F$2:$F$801, 0)+1)), "")</f>
        <v/>
      </c>
      <c r="L354" s="16">
        <f>IFERROR(IF(AND(IFERROR(VLOOKUP(LEFT(INDEX(ERP資料!$S:$S, (MATCH(353, 輔助計算!$F$2:$F$801, 0)+1)), 4), 100張客戶!$A:$A, 1, FALSE), "")&lt;&gt;"", OR(INDEX(ERP資料!$F:$F, (MATCH(353, 輔助計算!$F$2:$F$801, 0)+1))=270, INDEX(ERP資料!$F:$F, (MATCH(353, 輔助計算!$F$2:$F$801, 0)+1))=300)), "100張", ""), "")</f>
        <v/>
      </c>
      <c r="M354" s="17" t="n"/>
      <c r="N354" s="17">
        <f>IF($F354="","",$F354)</f>
        <v/>
      </c>
      <c r="O354" s="17">
        <f>IF($G354="","",$G354)</f>
        <v/>
      </c>
      <c r="P354" s="17">
        <f>IF($K354="","",$K354)</f>
        <v/>
      </c>
      <c r="Q354" s="16" t="n"/>
      <c r="R354" s="18" t="n"/>
      <c r="S354" s="16" t="n"/>
    </row>
    <row r="355">
      <c r="A355" s="14">
        <f>IFERROR(IF(AND(IFERROR(INDEX(ERP資料!$A:$A, (MATCH(354, 輔助計算!$F$2:$F$801, 0)+1)), "")&lt;&gt;"", IFERROR(INDEX(ERP資料!$A:$A, (MATCH(354, 輔助計算!$F$2:$F$801, 0)+1)), "")&lt;&gt;IFERROR(INDEX(ERP資料!$A:$A, MATCH(353, 輔助計算!$F$2:$F$801, 0)+1), "")), INDEX(ERP資料!$B:$B, (MATCH(354, 輔助計算!$F$2:$F$801, 0)+1)), ""), "")</f>
        <v/>
      </c>
      <c r="B355" s="10">
        <f>IFERROR(IF(AND(IFERROR(INDEX(ERP資料!$A:$A, (MATCH(354, 輔助計算!$F$2:$F$801, 0)+1)), "")&lt;&gt;"", IFERROR(INDEX(ERP資料!$A:$A, (MATCH(354, 輔助計算!$F$2:$F$801, 0)+1)), "")&lt;&gt;IFERROR(INDEX(ERP資料!$A:$A, MATCH(353, 輔助計算!$F$2:$F$801, 0)+1), "")), IFERROR(INDEX(ERP資料!$A:$A, (MATCH(354, 輔助計算!$F$2:$F$801, 0)+1)), ""), ""), "")</f>
        <v/>
      </c>
      <c r="C355" s="10">
        <f>IFERROR(IF(AND(IFERROR(INDEX(ERP資料!$A:$A, (MATCH(354, 輔助計算!$F$2:$F$801, 0)+1)), "")&lt;&gt;"", IFERROR(INDEX(ERP資料!$A:$A, (MATCH(354, 輔助計算!$F$2:$F$801, 0)+1)), "")&lt;&gt;IFERROR(INDEX(ERP資料!$A:$A, MATCH(353, 輔助計算!$F$2:$F$801, 0)+1), "")), INDEX(ERP資料!$S:$S, (MATCH(354, 輔助計算!$F$2:$F$801, 0)+1)), ""), "")</f>
        <v/>
      </c>
      <c r="D355" s="10">
        <f>IFERROR(IF(INDEX(ERP資料!$E:$E, (MATCH(354, 輔助計算!$F$2:$F$801, 0)+1))="","",TRIM(INDEX(ERP資料!$E:$E, (MATCH(354, 輔助計算!$F$2:$F$801, 0)+1)))), "")</f>
        <v/>
      </c>
      <c r="E355" s="10">
        <f>IFERROR(IF(INDEX(ERP資料!$F:$F, (MATCH(354, 輔助計算!$F$2:$F$801, 0)+1))="","",INDEX(ERP資料!$F:$F, (MATCH(354, 輔助計算!$F$2:$F$801, 0)+1))), "")</f>
        <v/>
      </c>
      <c r="F355" s="10">
        <f>IFERROR(IF(INDEX(ERP資料!$G:$G, (MATCH(354, 輔助計算!$F$2:$F$801, 0)+1))="","",INDEX(ERP資料!$G:$G, (MATCH(354, 輔助計算!$F$2:$F$801, 0)+1))), "")</f>
        <v/>
      </c>
      <c r="G355" s="10">
        <f>IFERROR(IF(INDEX(ERP資料!$H:$H, (MATCH(354, 輔助計算!$F$2:$F$801, 0)+1))="","",INDEX(ERP資料!$H:$H, (MATCH(354, 輔助計算!$F$2:$F$801, 0)+1))), "")</f>
        <v/>
      </c>
      <c r="H355" s="10">
        <f>IFERROR(IF(INDEX(ERP資料!$O:$O, (MATCH(354, 輔助計算!$F$2:$F$801, 0)+1))="","",INDEX(ERP資料!$O:$O, (MATCH(354, 輔助計算!$F$2:$F$801, 0)+1))), "")</f>
        <v/>
      </c>
      <c r="I355" s="15">
        <f>IFERROR(IF(INDEX(輔助計算!$D:$D,(MATCH(354, 輔助計算!$F$2:$F$801, 0)+1))="","",INDEX(輔助計算!$D:$D,(MATCH(354, 輔助計算!$F$2:$F$801, 0)+1))*INDEX(ERP資料!$O:$O,(MATCH(354, 輔助計算!$F$2:$F$801, 0)+1))), "")</f>
        <v/>
      </c>
      <c r="J355" s="16" t="n"/>
      <c r="K355" s="15">
        <f>IFERROR(INDEX(輔助計算!$D:$D, (MATCH(354, 輔助計算!$F$2:$F$801, 0)+1)), "")</f>
        <v/>
      </c>
      <c r="L355" s="16">
        <f>IFERROR(IF(AND(IFERROR(VLOOKUP(LEFT(INDEX(ERP資料!$S:$S, (MATCH(354, 輔助計算!$F$2:$F$801, 0)+1)), 4), 100張客戶!$A:$A, 1, FALSE), "")&lt;&gt;"", OR(INDEX(ERP資料!$F:$F, (MATCH(354, 輔助計算!$F$2:$F$801, 0)+1))=270, INDEX(ERP資料!$F:$F, (MATCH(354, 輔助計算!$F$2:$F$801, 0)+1))=300)), "100張", ""), "")</f>
        <v/>
      </c>
      <c r="M355" s="17" t="n"/>
      <c r="N355" s="17">
        <f>IF($F355="","",$F355)</f>
        <v/>
      </c>
      <c r="O355" s="17">
        <f>IF($G355="","",$G355)</f>
        <v/>
      </c>
      <c r="P355" s="17">
        <f>IF($K355="","",$K355)</f>
        <v/>
      </c>
      <c r="Q355" s="16" t="n"/>
      <c r="R355" s="18" t="n"/>
      <c r="S355" s="16" t="n"/>
    </row>
    <row r="356">
      <c r="A356" s="14">
        <f>IFERROR(IF(AND(IFERROR(INDEX(ERP資料!$A:$A, (MATCH(355, 輔助計算!$F$2:$F$801, 0)+1)), "")&lt;&gt;"", IFERROR(INDEX(ERP資料!$A:$A, (MATCH(355, 輔助計算!$F$2:$F$801, 0)+1)), "")&lt;&gt;IFERROR(INDEX(ERP資料!$A:$A, MATCH(354, 輔助計算!$F$2:$F$801, 0)+1), "")), INDEX(ERP資料!$B:$B, (MATCH(355, 輔助計算!$F$2:$F$801, 0)+1)), ""), "")</f>
        <v/>
      </c>
      <c r="B356" s="10">
        <f>IFERROR(IF(AND(IFERROR(INDEX(ERP資料!$A:$A, (MATCH(355, 輔助計算!$F$2:$F$801, 0)+1)), "")&lt;&gt;"", IFERROR(INDEX(ERP資料!$A:$A, (MATCH(355, 輔助計算!$F$2:$F$801, 0)+1)), "")&lt;&gt;IFERROR(INDEX(ERP資料!$A:$A, MATCH(354, 輔助計算!$F$2:$F$801, 0)+1), "")), IFERROR(INDEX(ERP資料!$A:$A, (MATCH(355, 輔助計算!$F$2:$F$801, 0)+1)), ""), ""), "")</f>
        <v/>
      </c>
      <c r="C356" s="10">
        <f>IFERROR(IF(AND(IFERROR(INDEX(ERP資料!$A:$A, (MATCH(355, 輔助計算!$F$2:$F$801, 0)+1)), "")&lt;&gt;"", IFERROR(INDEX(ERP資料!$A:$A, (MATCH(355, 輔助計算!$F$2:$F$801, 0)+1)), "")&lt;&gt;IFERROR(INDEX(ERP資料!$A:$A, MATCH(354, 輔助計算!$F$2:$F$801, 0)+1), "")), INDEX(ERP資料!$S:$S, (MATCH(355, 輔助計算!$F$2:$F$801, 0)+1)), ""), "")</f>
        <v/>
      </c>
      <c r="D356" s="10">
        <f>IFERROR(IF(INDEX(ERP資料!$E:$E, (MATCH(355, 輔助計算!$F$2:$F$801, 0)+1))="","",TRIM(INDEX(ERP資料!$E:$E, (MATCH(355, 輔助計算!$F$2:$F$801, 0)+1)))), "")</f>
        <v/>
      </c>
      <c r="E356" s="10">
        <f>IFERROR(IF(INDEX(ERP資料!$F:$F, (MATCH(355, 輔助計算!$F$2:$F$801, 0)+1))="","",INDEX(ERP資料!$F:$F, (MATCH(355, 輔助計算!$F$2:$F$801, 0)+1))), "")</f>
        <v/>
      </c>
      <c r="F356" s="10">
        <f>IFERROR(IF(INDEX(ERP資料!$G:$G, (MATCH(355, 輔助計算!$F$2:$F$801, 0)+1))="","",INDEX(ERP資料!$G:$G, (MATCH(355, 輔助計算!$F$2:$F$801, 0)+1))), "")</f>
        <v/>
      </c>
      <c r="G356" s="10">
        <f>IFERROR(IF(INDEX(ERP資料!$H:$H, (MATCH(355, 輔助計算!$F$2:$F$801, 0)+1))="","",INDEX(ERP資料!$H:$H, (MATCH(355, 輔助計算!$F$2:$F$801, 0)+1))), "")</f>
        <v/>
      </c>
      <c r="H356" s="10">
        <f>IFERROR(IF(INDEX(ERP資料!$O:$O, (MATCH(355, 輔助計算!$F$2:$F$801, 0)+1))="","",INDEX(ERP資料!$O:$O, (MATCH(355, 輔助計算!$F$2:$F$801, 0)+1))), "")</f>
        <v/>
      </c>
      <c r="I356" s="15">
        <f>IFERROR(IF(INDEX(輔助計算!$D:$D,(MATCH(355, 輔助計算!$F$2:$F$801, 0)+1))="","",INDEX(輔助計算!$D:$D,(MATCH(355, 輔助計算!$F$2:$F$801, 0)+1))*INDEX(ERP資料!$O:$O,(MATCH(355, 輔助計算!$F$2:$F$801, 0)+1))), "")</f>
        <v/>
      </c>
      <c r="J356" s="16" t="n"/>
      <c r="K356" s="15">
        <f>IFERROR(INDEX(輔助計算!$D:$D, (MATCH(355, 輔助計算!$F$2:$F$801, 0)+1)), "")</f>
        <v/>
      </c>
      <c r="L356" s="16">
        <f>IFERROR(IF(AND(IFERROR(VLOOKUP(LEFT(INDEX(ERP資料!$S:$S, (MATCH(355, 輔助計算!$F$2:$F$801, 0)+1)), 4), 100張客戶!$A:$A, 1, FALSE), "")&lt;&gt;"", OR(INDEX(ERP資料!$F:$F, (MATCH(355, 輔助計算!$F$2:$F$801, 0)+1))=270, INDEX(ERP資料!$F:$F, (MATCH(355, 輔助計算!$F$2:$F$801, 0)+1))=300)), "100張", ""), "")</f>
        <v/>
      </c>
      <c r="M356" s="17" t="n"/>
      <c r="N356" s="17">
        <f>IF($F356="","",$F356)</f>
        <v/>
      </c>
      <c r="O356" s="17">
        <f>IF($G356="","",$G356)</f>
        <v/>
      </c>
      <c r="P356" s="17">
        <f>IF($K356="","",$K356)</f>
        <v/>
      </c>
      <c r="Q356" s="16" t="n"/>
      <c r="R356" s="18" t="n"/>
      <c r="S356" s="16" t="n"/>
    </row>
    <row r="357">
      <c r="A357" s="14">
        <f>IFERROR(IF(AND(IFERROR(INDEX(ERP資料!$A:$A, (MATCH(356, 輔助計算!$F$2:$F$801, 0)+1)), "")&lt;&gt;"", IFERROR(INDEX(ERP資料!$A:$A, (MATCH(356, 輔助計算!$F$2:$F$801, 0)+1)), "")&lt;&gt;IFERROR(INDEX(ERP資料!$A:$A, MATCH(355, 輔助計算!$F$2:$F$801, 0)+1), "")), INDEX(ERP資料!$B:$B, (MATCH(356, 輔助計算!$F$2:$F$801, 0)+1)), ""), "")</f>
        <v/>
      </c>
      <c r="B357" s="10">
        <f>IFERROR(IF(AND(IFERROR(INDEX(ERP資料!$A:$A, (MATCH(356, 輔助計算!$F$2:$F$801, 0)+1)), "")&lt;&gt;"", IFERROR(INDEX(ERP資料!$A:$A, (MATCH(356, 輔助計算!$F$2:$F$801, 0)+1)), "")&lt;&gt;IFERROR(INDEX(ERP資料!$A:$A, MATCH(355, 輔助計算!$F$2:$F$801, 0)+1), "")), IFERROR(INDEX(ERP資料!$A:$A, (MATCH(356, 輔助計算!$F$2:$F$801, 0)+1)), ""), ""), "")</f>
        <v/>
      </c>
      <c r="C357" s="10">
        <f>IFERROR(IF(AND(IFERROR(INDEX(ERP資料!$A:$A, (MATCH(356, 輔助計算!$F$2:$F$801, 0)+1)), "")&lt;&gt;"", IFERROR(INDEX(ERP資料!$A:$A, (MATCH(356, 輔助計算!$F$2:$F$801, 0)+1)), "")&lt;&gt;IFERROR(INDEX(ERP資料!$A:$A, MATCH(355, 輔助計算!$F$2:$F$801, 0)+1), "")), INDEX(ERP資料!$S:$S, (MATCH(356, 輔助計算!$F$2:$F$801, 0)+1)), ""), "")</f>
        <v/>
      </c>
      <c r="D357" s="10">
        <f>IFERROR(IF(INDEX(ERP資料!$E:$E, (MATCH(356, 輔助計算!$F$2:$F$801, 0)+1))="","",TRIM(INDEX(ERP資料!$E:$E, (MATCH(356, 輔助計算!$F$2:$F$801, 0)+1)))), "")</f>
        <v/>
      </c>
      <c r="E357" s="10">
        <f>IFERROR(IF(INDEX(ERP資料!$F:$F, (MATCH(356, 輔助計算!$F$2:$F$801, 0)+1))="","",INDEX(ERP資料!$F:$F, (MATCH(356, 輔助計算!$F$2:$F$801, 0)+1))), "")</f>
        <v/>
      </c>
      <c r="F357" s="10">
        <f>IFERROR(IF(INDEX(ERP資料!$G:$G, (MATCH(356, 輔助計算!$F$2:$F$801, 0)+1))="","",INDEX(ERP資料!$G:$G, (MATCH(356, 輔助計算!$F$2:$F$801, 0)+1))), "")</f>
        <v/>
      </c>
      <c r="G357" s="10">
        <f>IFERROR(IF(INDEX(ERP資料!$H:$H, (MATCH(356, 輔助計算!$F$2:$F$801, 0)+1))="","",INDEX(ERP資料!$H:$H, (MATCH(356, 輔助計算!$F$2:$F$801, 0)+1))), "")</f>
        <v/>
      </c>
      <c r="H357" s="10">
        <f>IFERROR(IF(INDEX(ERP資料!$O:$O, (MATCH(356, 輔助計算!$F$2:$F$801, 0)+1))="","",INDEX(ERP資料!$O:$O, (MATCH(356, 輔助計算!$F$2:$F$801, 0)+1))), "")</f>
        <v/>
      </c>
      <c r="I357" s="15">
        <f>IFERROR(IF(INDEX(輔助計算!$D:$D,(MATCH(356, 輔助計算!$F$2:$F$801, 0)+1))="","",INDEX(輔助計算!$D:$D,(MATCH(356, 輔助計算!$F$2:$F$801, 0)+1))*INDEX(ERP資料!$O:$O,(MATCH(356, 輔助計算!$F$2:$F$801, 0)+1))), "")</f>
        <v/>
      </c>
      <c r="J357" s="16" t="n"/>
      <c r="K357" s="15">
        <f>IFERROR(INDEX(輔助計算!$D:$D, (MATCH(356, 輔助計算!$F$2:$F$801, 0)+1)), "")</f>
        <v/>
      </c>
      <c r="L357" s="16">
        <f>IFERROR(IF(AND(IFERROR(VLOOKUP(LEFT(INDEX(ERP資料!$S:$S, (MATCH(356, 輔助計算!$F$2:$F$801, 0)+1)), 4), 100張客戶!$A:$A, 1, FALSE), "")&lt;&gt;"", OR(INDEX(ERP資料!$F:$F, (MATCH(356, 輔助計算!$F$2:$F$801, 0)+1))=270, INDEX(ERP資料!$F:$F, (MATCH(356, 輔助計算!$F$2:$F$801, 0)+1))=300)), "100張", ""), "")</f>
        <v/>
      </c>
      <c r="M357" s="17" t="n"/>
      <c r="N357" s="17">
        <f>IF($F357="","",$F357)</f>
        <v/>
      </c>
      <c r="O357" s="17">
        <f>IF($G357="","",$G357)</f>
        <v/>
      </c>
      <c r="P357" s="17">
        <f>IF($K357="","",$K357)</f>
        <v/>
      </c>
      <c r="Q357" s="16" t="n"/>
      <c r="R357" s="18" t="n"/>
      <c r="S357" s="16" t="n"/>
    </row>
    <row r="358">
      <c r="A358" s="14">
        <f>IFERROR(IF(AND(IFERROR(INDEX(ERP資料!$A:$A, (MATCH(357, 輔助計算!$F$2:$F$801, 0)+1)), "")&lt;&gt;"", IFERROR(INDEX(ERP資料!$A:$A, (MATCH(357, 輔助計算!$F$2:$F$801, 0)+1)), "")&lt;&gt;IFERROR(INDEX(ERP資料!$A:$A, MATCH(356, 輔助計算!$F$2:$F$801, 0)+1), "")), INDEX(ERP資料!$B:$B, (MATCH(357, 輔助計算!$F$2:$F$801, 0)+1)), ""), "")</f>
        <v/>
      </c>
      <c r="B358" s="10">
        <f>IFERROR(IF(AND(IFERROR(INDEX(ERP資料!$A:$A, (MATCH(357, 輔助計算!$F$2:$F$801, 0)+1)), "")&lt;&gt;"", IFERROR(INDEX(ERP資料!$A:$A, (MATCH(357, 輔助計算!$F$2:$F$801, 0)+1)), "")&lt;&gt;IFERROR(INDEX(ERP資料!$A:$A, MATCH(356, 輔助計算!$F$2:$F$801, 0)+1), "")), IFERROR(INDEX(ERP資料!$A:$A, (MATCH(357, 輔助計算!$F$2:$F$801, 0)+1)), ""), ""), "")</f>
        <v/>
      </c>
      <c r="C358" s="10">
        <f>IFERROR(IF(AND(IFERROR(INDEX(ERP資料!$A:$A, (MATCH(357, 輔助計算!$F$2:$F$801, 0)+1)), "")&lt;&gt;"", IFERROR(INDEX(ERP資料!$A:$A, (MATCH(357, 輔助計算!$F$2:$F$801, 0)+1)), "")&lt;&gt;IFERROR(INDEX(ERP資料!$A:$A, MATCH(356, 輔助計算!$F$2:$F$801, 0)+1), "")), INDEX(ERP資料!$S:$S, (MATCH(357, 輔助計算!$F$2:$F$801, 0)+1)), ""), "")</f>
        <v/>
      </c>
      <c r="D358" s="10">
        <f>IFERROR(IF(INDEX(ERP資料!$E:$E, (MATCH(357, 輔助計算!$F$2:$F$801, 0)+1))="","",TRIM(INDEX(ERP資料!$E:$E, (MATCH(357, 輔助計算!$F$2:$F$801, 0)+1)))), "")</f>
        <v/>
      </c>
      <c r="E358" s="10">
        <f>IFERROR(IF(INDEX(ERP資料!$F:$F, (MATCH(357, 輔助計算!$F$2:$F$801, 0)+1))="","",INDEX(ERP資料!$F:$F, (MATCH(357, 輔助計算!$F$2:$F$801, 0)+1))), "")</f>
        <v/>
      </c>
      <c r="F358" s="10">
        <f>IFERROR(IF(INDEX(ERP資料!$G:$G, (MATCH(357, 輔助計算!$F$2:$F$801, 0)+1))="","",INDEX(ERP資料!$G:$G, (MATCH(357, 輔助計算!$F$2:$F$801, 0)+1))), "")</f>
        <v/>
      </c>
      <c r="G358" s="10">
        <f>IFERROR(IF(INDEX(ERP資料!$H:$H, (MATCH(357, 輔助計算!$F$2:$F$801, 0)+1))="","",INDEX(ERP資料!$H:$H, (MATCH(357, 輔助計算!$F$2:$F$801, 0)+1))), "")</f>
        <v/>
      </c>
      <c r="H358" s="10">
        <f>IFERROR(IF(INDEX(ERP資料!$O:$O, (MATCH(357, 輔助計算!$F$2:$F$801, 0)+1))="","",INDEX(ERP資料!$O:$O, (MATCH(357, 輔助計算!$F$2:$F$801, 0)+1))), "")</f>
        <v/>
      </c>
      <c r="I358" s="15">
        <f>IFERROR(IF(INDEX(輔助計算!$D:$D,(MATCH(357, 輔助計算!$F$2:$F$801, 0)+1))="","",INDEX(輔助計算!$D:$D,(MATCH(357, 輔助計算!$F$2:$F$801, 0)+1))*INDEX(ERP資料!$O:$O,(MATCH(357, 輔助計算!$F$2:$F$801, 0)+1))), "")</f>
        <v/>
      </c>
      <c r="J358" s="16" t="n"/>
      <c r="K358" s="15">
        <f>IFERROR(INDEX(輔助計算!$D:$D, (MATCH(357, 輔助計算!$F$2:$F$801, 0)+1)), "")</f>
        <v/>
      </c>
      <c r="L358" s="16">
        <f>IFERROR(IF(AND(IFERROR(VLOOKUP(LEFT(INDEX(ERP資料!$S:$S, (MATCH(357, 輔助計算!$F$2:$F$801, 0)+1)), 4), 100張客戶!$A:$A, 1, FALSE), "")&lt;&gt;"", OR(INDEX(ERP資料!$F:$F, (MATCH(357, 輔助計算!$F$2:$F$801, 0)+1))=270, INDEX(ERP資料!$F:$F, (MATCH(357, 輔助計算!$F$2:$F$801, 0)+1))=300)), "100張", ""), "")</f>
        <v/>
      </c>
      <c r="M358" s="17" t="n"/>
      <c r="N358" s="17">
        <f>IF($F358="","",$F358)</f>
        <v/>
      </c>
      <c r="O358" s="17">
        <f>IF($G358="","",$G358)</f>
        <v/>
      </c>
      <c r="P358" s="17">
        <f>IF($K358="","",$K358)</f>
        <v/>
      </c>
      <c r="Q358" s="16" t="n"/>
      <c r="R358" s="18" t="n"/>
      <c r="S358" s="16" t="n"/>
    </row>
    <row r="359">
      <c r="A359" s="14">
        <f>IFERROR(IF(AND(IFERROR(INDEX(ERP資料!$A:$A, (MATCH(358, 輔助計算!$F$2:$F$801, 0)+1)), "")&lt;&gt;"", IFERROR(INDEX(ERP資料!$A:$A, (MATCH(358, 輔助計算!$F$2:$F$801, 0)+1)), "")&lt;&gt;IFERROR(INDEX(ERP資料!$A:$A, MATCH(357, 輔助計算!$F$2:$F$801, 0)+1), "")), INDEX(ERP資料!$B:$B, (MATCH(358, 輔助計算!$F$2:$F$801, 0)+1)), ""), "")</f>
        <v/>
      </c>
      <c r="B359" s="10">
        <f>IFERROR(IF(AND(IFERROR(INDEX(ERP資料!$A:$A, (MATCH(358, 輔助計算!$F$2:$F$801, 0)+1)), "")&lt;&gt;"", IFERROR(INDEX(ERP資料!$A:$A, (MATCH(358, 輔助計算!$F$2:$F$801, 0)+1)), "")&lt;&gt;IFERROR(INDEX(ERP資料!$A:$A, MATCH(357, 輔助計算!$F$2:$F$801, 0)+1), "")), IFERROR(INDEX(ERP資料!$A:$A, (MATCH(358, 輔助計算!$F$2:$F$801, 0)+1)), ""), ""), "")</f>
        <v/>
      </c>
      <c r="C359" s="10">
        <f>IFERROR(IF(AND(IFERROR(INDEX(ERP資料!$A:$A, (MATCH(358, 輔助計算!$F$2:$F$801, 0)+1)), "")&lt;&gt;"", IFERROR(INDEX(ERP資料!$A:$A, (MATCH(358, 輔助計算!$F$2:$F$801, 0)+1)), "")&lt;&gt;IFERROR(INDEX(ERP資料!$A:$A, MATCH(357, 輔助計算!$F$2:$F$801, 0)+1), "")), INDEX(ERP資料!$S:$S, (MATCH(358, 輔助計算!$F$2:$F$801, 0)+1)), ""), "")</f>
        <v/>
      </c>
      <c r="D359" s="10">
        <f>IFERROR(IF(INDEX(ERP資料!$E:$E, (MATCH(358, 輔助計算!$F$2:$F$801, 0)+1))="","",TRIM(INDEX(ERP資料!$E:$E, (MATCH(358, 輔助計算!$F$2:$F$801, 0)+1)))), "")</f>
        <v/>
      </c>
      <c r="E359" s="10">
        <f>IFERROR(IF(INDEX(ERP資料!$F:$F, (MATCH(358, 輔助計算!$F$2:$F$801, 0)+1))="","",INDEX(ERP資料!$F:$F, (MATCH(358, 輔助計算!$F$2:$F$801, 0)+1))), "")</f>
        <v/>
      </c>
      <c r="F359" s="10">
        <f>IFERROR(IF(INDEX(ERP資料!$G:$G, (MATCH(358, 輔助計算!$F$2:$F$801, 0)+1))="","",INDEX(ERP資料!$G:$G, (MATCH(358, 輔助計算!$F$2:$F$801, 0)+1))), "")</f>
        <v/>
      </c>
      <c r="G359" s="10">
        <f>IFERROR(IF(INDEX(ERP資料!$H:$H, (MATCH(358, 輔助計算!$F$2:$F$801, 0)+1))="","",INDEX(ERP資料!$H:$H, (MATCH(358, 輔助計算!$F$2:$F$801, 0)+1))), "")</f>
        <v/>
      </c>
      <c r="H359" s="10">
        <f>IFERROR(IF(INDEX(ERP資料!$O:$O, (MATCH(358, 輔助計算!$F$2:$F$801, 0)+1))="","",INDEX(ERP資料!$O:$O, (MATCH(358, 輔助計算!$F$2:$F$801, 0)+1))), "")</f>
        <v/>
      </c>
      <c r="I359" s="15">
        <f>IFERROR(IF(INDEX(輔助計算!$D:$D,(MATCH(358, 輔助計算!$F$2:$F$801, 0)+1))="","",INDEX(輔助計算!$D:$D,(MATCH(358, 輔助計算!$F$2:$F$801, 0)+1))*INDEX(ERP資料!$O:$O,(MATCH(358, 輔助計算!$F$2:$F$801, 0)+1))), "")</f>
        <v/>
      </c>
      <c r="J359" s="16" t="n"/>
      <c r="K359" s="15">
        <f>IFERROR(INDEX(輔助計算!$D:$D, (MATCH(358, 輔助計算!$F$2:$F$801, 0)+1)), "")</f>
        <v/>
      </c>
      <c r="L359" s="16">
        <f>IFERROR(IF(AND(IFERROR(VLOOKUP(LEFT(INDEX(ERP資料!$S:$S, (MATCH(358, 輔助計算!$F$2:$F$801, 0)+1)), 4), 100張客戶!$A:$A, 1, FALSE), "")&lt;&gt;"", OR(INDEX(ERP資料!$F:$F, (MATCH(358, 輔助計算!$F$2:$F$801, 0)+1))=270, INDEX(ERP資料!$F:$F, (MATCH(358, 輔助計算!$F$2:$F$801, 0)+1))=300)), "100張", ""), "")</f>
        <v/>
      </c>
      <c r="M359" s="17" t="n"/>
      <c r="N359" s="17">
        <f>IF($F359="","",$F359)</f>
        <v/>
      </c>
      <c r="O359" s="17">
        <f>IF($G359="","",$G359)</f>
        <v/>
      </c>
      <c r="P359" s="17">
        <f>IF($K359="","",$K359)</f>
        <v/>
      </c>
      <c r="Q359" s="16" t="n"/>
      <c r="R359" s="18" t="n"/>
      <c r="S359" s="16" t="n"/>
    </row>
    <row r="360">
      <c r="A360" s="14">
        <f>IFERROR(IF(AND(IFERROR(INDEX(ERP資料!$A:$A, (MATCH(359, 輔助計算!$F$2:$F$801, 0)+1)), "")&lt;&gt;"", IFERROR(INDEX(ERP資料!$A:$A, (MATCH(359, 輔助計算!$F$2:$F$801, 0)+1)), "")&lt;&gt;IFERROR(INDEX(ERP資料!$A:$A, MATCH(358, 輔助計算!$F$2:$F$801, 0)+1), "")), INDEX(ERP資料!$B:$B, (MATCH(359, 輔助計算!$F$2:$F$801, 0)+1)), ""), "")</f>
        <v/>
      </c>
      <c r="B360" s="10">
        <f>IFERROR(IF(AND(IFERROR(INDEX(ERP資料!$A:$A, (MATCH(359, 輔助計算!$F$2:$F$801, 0)+1)), "")&lt;&gt;"", IFERROR(INDEX(ERP資料!$A:$A, (MATCH(359, 輔助計算!$F$2:$F$801, 0)+1)), "")&lt;&gt;IFERROR(INDEX(ERP資料!$A:$A, MATCH(358, 輔助計算!$F$2:$F$801, 0)+1), "")), IFERROR(INDEX(ERP資料!$A:$A, (MATCH(359, 輔助計算!$F$2:$F$801, 0)+1)), ""), ""), "")</f>
        <v/>
      </c>
      <c r="C360" s="10">
        <f>IFERROR(IF(AND(IFERROR(INDEX(ERP資料!$A:$A, (MATCH(359, 輔助計算!$F$2:$F$801, 0)+1)), "")&lt;&gt;"", IFERROR(INDEX(ERP資料!$A:$A, (MATCH(359, 輔助計算!$F$2:$F$801, 0)+1)), "")&lt;&gt;IFERROR(INDEX(ERP資料!$A:$A, MATCH(358, 輔助計算!$F$2:$F$801, 0)+1), "")), INDEX(ERP資料!$S:$S, (MATCH(359, 輔助計算!$F$2:$F$801, 0)+1)), ""), "")</f>
        <v/>
      </c>
      <c r="D360" s="10">
        <f>IFERROR(IF(INDEX(ERP資料!$E:$E, (MATCH(359, 輔助計算!$F$2:$F$801, 0)+1))="","",TRIM(INDEX(ERP資料!$E:$E, (MATCH(359, 輔助計算!$F$2:$F$801, 0)+1)))), "")</f>
        <v/>
      </c>
      <c r="E360" s="10">
        <f>IFERROR(IF(INDEX(ERP資料!$F:$F, (MATCH(359, 輔助計算!$F$2:$F$801, 0)+1))="","",INDEX(ERP資料!$F:$F, (MATCH(359, 輔助計算!$F$2:$F$801, 0)+1))), "")</f>
        <v/>
      </c>
      <c r="F360" s="10">
        <f>IFERROR(IF(INDEX(ERP資料!$G:$G, (MATCH(359, 輔助計算!$F$2:$F$801, 0)+1))="","",INDEX(ERP資料!$G:$G, (MATCH(359, 輔助計算!$F$2:$F$801, 0)+1))), "")</f>
        <v/>
      </c>
      <c r="G360" s="10">
        <f>IFERROR(IF(INDEX(ERP資料!$H:$H, (MATCH(359, 輔助計算!$F$2:$F$801, 0)+1))="","",INDEX(ERP資料!$H:$H, (MATCH(359, 輔助計算!$F$2:$F$801, 0)+1))), "")</f>
        <v/>
      </c>
      <c r="H360" s="10">
        <f>IFERROR(IF(INDEX(ERP資料!$O:$O, (MATCH(359, 輔助計算!$F$2:$F$801, 0)+1))="","",INDEX(ERP資料!$O:$O, (MATCH(359, 輔助計算!$F$2:$F$801, 0)+1))), "")</f>
        <v/>
      </c>
      <c r="I360" s="15">
        <f>IFERROR(IF(INDEX(輔助計算!$D:$D,(MATCH(359, 輔助計算!$F$2:$F$801, 0)+1))="","",INDEX(輔助計算!$D:$D,(MATCH(359, 輔助計算!$F$2:$F$801, 0)+1))*INDEX(ERP資料!$O:$O,(MATCH(359, 輔助計算!$F$2:$F$801, 0)+1))), "")</f>
        <v/>
      </c>
      <c r="J360" s="16" t="n"/>
      <c r="K360" s="15">
        <f>IFERROR(INDEX(輔助計算!$D:$D, (MATCH(359, 輔助計算!$F$2:$F$801, 0)+1)), "")</f>
        <v/>
      </c>
      <c r="L360" s="16">
        <f>IFERROR(IF(AND(IFERROR(VLOOKUP(LEFT(INDEX(ERP資料!$S:$S, (MATCH(359, 輔助計算!$F$2:$F$801, 0)+1)), 4), 100張客戶!$A:$A, 1, FALSE), "")&lt;&gt;"", OR(INDEX(ERP資料!$F:$F, (MATCH(359, 輔助計算!$F$2:$F$801, 0)+1))=270, INDEX(ERP資料!$F:$F, (MATCH(359, 輔助計算!$F$2:$F$801, 0)+1))=300)), "100張", ""), "")</f>
        <v/>
      </c>
      <c r="M360" s="17" t="n"/>
      <c r="N360" s="17">
        <f>IF($F360="","",$F360)</f>
        <v/>
      </c>
      <c r="O360" s="17">
        <f>IF($G360="","",$G360)</f>
        <v/>
      </c>
      <c r="P360" s="17">
        <f>IF($K360="","",$K360)</f>
        <v/>
      </c>
      <c r="Q360" s="16" t="n"/>
      <c r="R360" s="18" t="n"/>
      <c r="S360" s="16" t="n"/>
    </row>
    <row r="361">
      <c r="A361" s="14">
        <f>IFERROR(IF(AND(IFERROR(INDEX(ERP資料!$A:$A, (MATCH(360, 輔助計算!$F$2:$F$801, 0)+1)), "")&lt;&gt;"", IFERROR(INDEX(ERP資料!$A:$A, (MATCH(360, 輔助計算!$F$2:$F$801, 0)+1)), "")&lt;&gt;IFERROR(INDEX(ERP資料!$A:$A, MATCH(359, 輔助計算!$F$2:$F$801, 0)+1), "")), INDEX(ERP資料!$B:$B, (MATCH(360, 輔助計算!$F$2:$F$801, 0)+1)), ""), "")</f>
        <v/>
      </c>
      <c r="B361" s="10">
        <f>IFERROR(IF(AND(IFERROR(INDEX(ERP資料!$A:$A, (MATCH(360, 輔助計算!$F$2:$F$801, 0)+1)), "")&lt;&gt;"", IFERROR(INDEX(ERP資料!$A:$A, (MATCH(360, 輔助計算!$F$2:$F$801, 0)+1)), "")&lt;&gt;IFERROR(INDEX(ERP資料!$A:$A, MATCH(359, 輔助計算!$F$2:$F$801, 0)+1), "")), IFERROR(INDEX(ERP資料!$A:$A, (MATCH(360, 輔助計算!$F$2:$F$801, 0)+1)), ""), ""), "")</f>
        <v/>
      </c>
      <c r="C361" s="10">
        <f>IFERROR(IF(AND(IFERROR(INDEX(ERP資料!$A:$A, (MATCH(360, 輔助計算!$F$2:$F$801, 0)+1)), "")&lt;&gt;"", IFERROR(INDEX(ERP資料!$A:$A, (MATCH(360, 輔助計算!$F$2:$F$801, 0)+1)), "")&lt;&gt;IFERROR(INDEX(ERP資料!$A:$A, MATCH(359, 輔助計算!$F$2:$F$801, 0)+1), "")), INDEX(ERP資料!$S:$S, (MATCH(360, 輔助計算!$F$2:$F$801, 0)+1)), ""), "")</f>
        <v/>
      </c>
      <c r="D361" s="10">
        <f>IFERROR(IF(INDEX(ERP資料!$E:$E, (MATCH(360, 輔助計算!$F$2:$F$801, 0)+1))="","",TRIM(INDEX(ERP資料!$E:$E, (MATCH(360, 輔助計算!$F$2:$F$801, 0)+1)))), "")</f>
        <v/>
      </c>
      <c r="E361" s="10">
        <f>IFERROR(IF(INDEX(ERP資料!$F:$F, (MATCH(360, 輔助計算!$F$2:$F$801, 0)+1))="","",INDEX(ERP資料!$F:$F, (MATCH(360, 輔助計算!$F$2:$F$801, 0)+1))), "")</f>
        <v/>
      </c>
      <c r="F361" s="10">
        <f>IFERROR(IF(INDEX(ERP資料!$G:$G, (MATCH(360, 輔助計算!$F$2:$F$801, 0)+1))="","",INDEX(ERP資料!$G:$G, (MATCH(360, 輔助計算!$F$2:$F$801, 0)+1))), "")</f>
        <v/>
      </c>
      <c r="G361" s="10">
        <f>IFERROR(IF(INDEX(ERP資料!$H:$H, (MATCH(360, 輔助計算!$F$2:$F$801, 0)+1))="","",INDEX(ERP資料!$H:$H, (MATCH(360, 輔助計算!$F$2:$F$801, 0)+1))), "")</f>
        <v/>
      </c>
      <c r="H361" s="10">
        <f>IFERROR(IF(INDEX(ERP資料!$O:$O, (MATCH(360, 輔助計算!$F$2:$F$801, 0)+1))="","",INDEX(ERP資料!$O:$O, (MATCH(360, 輔助計算!$F$2:$F$801, 0)+1))), "")</f>
        <v/>
      </c>
      <c r="I361" s="15">
        <f>IFERROR(IF(INDEX(輔助計算!$D:$D,(MATCH(360, 輔助計算!$F$2:$F$801, 0)+1))="","",INDEX(輔助計算!$D:$D,(MATCH(360, 輔助計算!$F$2:$F$801, 0)+1))*INDEX(ERP資料!$O:$O,(MATCH(360, 輔助計算!$F$2:$F$801, 0)+1))), "")</f>
        <v/>
      </c>
      <c r="J361" s="16" t="n"/>
      <c r="K361" s="15">
        <f>IFERROR(INDEX(輔助計算!$D:$D, (MATCH(360, 輔助計算!$F$2:$F$801, 0)+1)), "")</f>
        <v/>
      </c>
      <c r="L361" s="16">
        <f>IFERROR(IF(AND(IFERROR(VLOOKUP(LEFT(INDEX(ERP資料!$S:$S, (MATCH(360, 輔助計算!$F$2:$F$801, 0)+1)), 4), 100張客戶!$A:$A, 1, FALSE), "")&lt;&gt;"", OR(INDEX(ERP資料!$F:$F, (MATCH(360, 輔助計算!$F$2:$F$801, 0)+1))=270, INDEX(ERP資料!$F:$F, (MATCH(360, 輔助計算!$F$2:$F$801, 0)+1))=300)), "100張", ""), "")</f>
        <v/>
      </c>
      <c r="M361" s="17" t="n"/>
      <c r="N361" s="17">
        <f>IF($F361="","",$F361)</f>
        <v/>
      </c>
      <c r="O361" s="17">
        <f>IF($G361="","",$G361)</f>
        <v/>
      </c>
      <c r="P361" s="17">
        <f>IF($K361="","",$K361)</f>
        <v/>
      </c>
      <c r="Q361" s="16" t="n"/>
      <c r="R361" s="18" t="n"/>
      <c r="S361" s="16" t="n"/>
    </row>
    <row r="362">
      <c r="A362" s="14">
        <f>IFERROR(IF(AND(IFERROR(INDEX(ERP資料!$A:$A, (MATCH(361, 輔助計算!$F$2:$F$801, 0)+1)), "")&lt;&gt;"", IFERROR(INDEX(ERP資料!$A:$A, (MATCH(361, 輔助計算!$F$2:$F$801, 0)+1)), "")&lt;&gt;IFERROR(INDEX(ERP資料!$A:$A, MATCH(360, 輔助計算!$F$2:$F$801, 0)+1), "")), INDEX(ERP資料!$B:$B, (MATCH(361, 輔助計算!$F$2:$F$801, 0)+1)), ""), "")</f>
        <v/>
      </c>
      <c r="B362" s="10">
        <f>IFERROR(IF(AND(IFERROR(INDEX(ERP資料!$A:$A, (MATCH(361, 輔助計算!$F$2:$F$801, 0)+1)), "")&lt;&gt;"", IFERROR(INDEX(ERP資料!$A:$A, (MATCH(361, 輔助計算!$F$2:$F$801, 0)+1)), "")&lt;&gt;IFERROR(INDEX(ERP資料!$A:$A, MATCH(360, 輔助計算!$F$2:$F$801, 0)+1), "")), IFERROR(INDEX(ERP資料!$A:$A, (MATCH(361, 輔助計算!$F$2:$F$801, 0)+1)), ""), ""), "")</f>
        <v/>
      </c>
      <c r="C362" s="10">
        <f>IFERROR(IF(AND(IFERROR(INDEX(ERP資料!$A:$A, (MATCH(361, 輔助計算!$F$2:$F$801, 0)+1)), "")&lt;&gt;"", IFERROR(INDEX(ERP資料!$A:$A, (MATCH(361, 輔助計算!$F$2:$F$801, 0)+1)), "")&lt;&gt;IFERROR(INDEX(ERP資料!$A:$A, MATCH(360, 輔助計算!$F$2:$F$801, 0)+1), "")), INDEX(ERP資料!$S:$S, (MATCH(361, 輔助計算!$F$2:$F$801, 0)+1)), ""), "")</f>
        <v/>
      </c>
      <c r="D362" s="10">
        <f>IFERROR(IF(INDEX(ERP資料!$E:$E, (MATCH(361, 輔助計算!$F$2:$F$801, 0)+1))="","",TRIM(INDEX(ERP資料!$E:$E, (MATCH(361, 輔助計算!$F$2:$F$801, 0)+1)))), "")</f>
        <v/>
      </c>
      <c r="E362" s="10">
        <f>IFERROR(IF(INDEX(ERP資料!$F:$F, (MATCH(361, 輔助計算!$F$2:$F$801, 0)+1))="","",INDEX(ERP資料!$F:$F, (MATCH(361, 輔助計算!$F$2:$F$801, 0)+1))), "")</f>
        <v/>
      </c>
      <c r="F362" s="10">
        <f>IFERROR(IF(INDEX(ERP資料!$G:$G, (MATCH(361, 輔助計算!$F$2:$F$801, 0)+1))="","",INDEX(ERP資料!$G:$G, (MATCH(361, 輔助計算!$F$2:$F$801, 0)+1))), "")</f>
        <v/>
      </c>
      <c r="G362" s="10">
        <f>IFERROR(IF(INDEX(ERP資料!$H:$H, (MATCH(361, 輔助計算!$F$2:$F$801, 0)+1))="","",INDEX(ERP資料!$H:$H, (MATCH(361, 輔助計算!$F$2:$F$801, 0)+1))), "")</f>
        <v/>
      </c>
      <c r="H362" s="10">
        <f>IFERROR(IF(INDEX(ERP資料!$O:$O, (MATCH(361, 輔助計算!$F$2:$F$801, 0)+1))="","",INDEX(ERP資料!$O:$O, (MATCH(361, 輔助計算!$F$2:$F$801, 0)+1))), "")</f>
        <v/>
      </c>
      <c r="I362" s="15">
        <f>IFERROR(IF(INDEX(輔助計算!$D:$D,(MATCH(361, 輔助計算!$F$2:$F$801, 0)+1))="","",INDEX(輔助計算!$D:$D,(MATCH(361, 輔助計算!$F$2:$F$801, 0)+1))*INDEX(ERP資料!$O:$O,(MATCH(361, 輔助計算!$F$2:$F$801, 0)+1))), "")</f>
        <v/>
      </c>
      <c r="J362" s="16" t="n"/>
      <c r="K362" s="15">
        <f>IFERROR(INDEX(輔助計算!$D:$D, (MATCH(361, 輔助計算!$F$2:$F$801, 0)+1)), "")</f>
        <v/>
      </c>
      <c r="L362" s="16">
        <f>IFERROR(IF(AND(IFERROR(VLOOKUP(LEFT(INDEX(ERP資料!$S:$S, (MATCH(361, 輔助計算!$F$2:$F$801, 0)+1)), 4), 100張客戶!$A:$A, 1, FALSE), "")&lt;&gt;"", OR(INDEX(ERP資料!$F:$F, (MATCH(361, 輔助計算!$F$2:$F$801, 0)+1))=270, INDEX(ERP資料!$F:$F, (MATCH(361, 輔助計算!$F$2:$F$801, 0)+1))=300)), "100張", ""), "")</f>
        <v/>
      </c>
      <c r="M362" s="17" t="n"/>
      <c r="N362" s="17">
        <f>IF($F362="","",$F362)</f>
        <v/>
      </c>
      <c r="O362" s="17">
        <f>IF($G362="","",$G362)</f>
        <v/>
      </c>
      <c r="P362" s="17">
        <f>IF($K362="","",$K362)</f>
        <v/>
      </c>
      <c r="Q362" s="16" t="n"/>
      <c r="R362" s="18" t="n"/>
      <c r="S362" s="16" t="n"/>
    </row>
    <row r="363">
      <c r="A363" s="14">
        <f>IFERROR(IF(AND(IFERROR(INDEX(ERP資料!$A:$A, (MATCH(362, 輔助計算!$F$2:$F$801, 0)+1)), "")&lt;&gt;"", IFERROR(INDEX(ERP資料!$A:$A, (MATCH(362, 輔助計算!$F$2:$F$801, 0)+1)), "")&lt;&gt;IFERROR(INDEX(ERP資料!$A:$A, MATCH(361, 輔助計算!$F$2:$F$801, 0)+1), "")), INDEX(ERP資料!$B:$B, (MATCH(362, 輔助計算!$F$2:$F$801, 0)+1)), ""), "")</f>
        <v/>
      </c>
      <c r="B363" s="10">
        <f>IFERROR(IF(AND(IFERROR(INDEX(ERP資料!$A:$A, (MATCH(362, 輔助計算!$F$2:$F$801, 0)+1)), "")&lt;&gt;"", IFERROR(INDEX(ERP資料!$A:$A, (MATCH(362, 輔助計算!$F$2:$F$801, 0)+1)), "")&lt;&gt;IFERROR(INDEX(ERP資料!$A:$A, MATCH(361, 輔助計算!$F$2:$F$801, 0)+1), "")), IFERROR(INDEX(ERP資料!$A:$A, (MATCH(362, 輔助計算!$F$2:$F$801, 0)+1)), ""), ""), "")</f>
        <v/>
      </c>
      <c r="C363" s="10">
        <f>IFERROR(IF(AND(IFERROR(INDEX(ERP資料!$A:$A, (MATCH(362, 輔助計算!$F$2:$F$801, 0)+1)), "")&lt;&gt;"", IFERROR(INDEX(ERP資料!$A:$A, (MATCH(362, 輔助計算!$F$2:$F$801, 0)+1)), "")&lt;&gt;IFERROR(INDEX(ERP資料!$A:$A, MATCH(361, 輔助計算!$F$2:$F$801, 0)+1), "")), INDEX(ERP資料!$S:$S, (MATCH(362, 輔助計算!$F$2:$F$801, 0)+1)), ""), "")</f>
        <v/>
      </c>
      <c r="D363" s="10">
        <f>IFERROR(IF(INDEX(ERP資料!$E:$E, (MATCH(362, 輔助計算!$F$2:$F$801, 0)+1))="","",TRIM(INDEX(ERP資料!$E:$E, (MATCH(362, 輔助計算!$F$2:$F$801, 0)+1)))), "")</f>
        <v/>
      </c>
      <c r="E363" s="10">
        <f>IFERROR(IF(INDEX(ERP資料!$F:$F, (MATCH(362, 輔助計算!$F$2:$F$801, 0)+1))="","",INDEX(ERP資料!$F:$F, (MATCH(362, 輔助計算!$F$2:$F$801, 0)+1))), "")</f>
        <v/>
      </c>
      <c r="F363" s="10">
        <f>IFERROR(IF(INDEX(ERP資料!$G:$G, (MATCH(362, 輔助計算!$F$2:$F$801, 0)+1))="","",INDEX(ERP資料!$G:$G, (MATCH(362, 輔助計算!$F$2:$F$801, 0)+1))), "")</f>
        <v/>
      </c>
      <c r="G363" s="10">
        <f>IFERROR(IF(INDEX(ERP資料!$H:$H, (MATCH(362, 輔助計算!$F$2:$F$801, 0)+1))="","",INDEX(ERP資料!$H:$H, (MATCH(362, 輔助計算!$F$2:$F$801, 0)+1))), "")</f>
        <v/>
      </c>
      <c r="H363" s="10">
        <f>IFERROR(IF(INDEX(ERP資料!$O:$O, (MATCH(362, 輔助計算!$F$2:$F$801, 0)+1))="","",INDEX(ERP資料!$O:$O, (MATCH(362, 輔助計算!$F$2:$F$801, 0)+1))), "")</f>
        <v/>
      </c>
      <c r="I363" s="15">
        <f>IFERROR(IF(INDEX(輔助計算!$D:$D,(MATCH(362, 輔助計算!$F$2:$F$801, 0)+1))="","",INDEX(輔助計算!$D:$D,(MATCH(362, 輔助計算!$F$2:$F$801, 0)+1))*INDEX(ERP資料!$O:$O,(MATCH(362, 輔助計算!$F$2:$F$801, 0)+1))), "")</f>
        <v/>
      </c>
      <c r="J363" s="16" t="n"/>
      <c r="K363" s="15">
        <f>IFERROR(INDEX(輔助計算!$D:$D, (MATCH(362, 輔助計算!$F$2:$F$801, 0)+1)), "")</f>
        <v/>
      </c>
      <c r="L363" s="16">
        <f>IFERROR(IF(AND(IFERROR(VLOOKUP(LEFT(INDEX(ERP資料!$S:$S, (MATCH(362, 輔助計算!$F$2:$F$801, 0)+1)), 4), 100張客戶!$A:$A, 1, FALSE), "")&lt;&gt;"", OR(INDEX(ERP資料!$F:$F, (MATCH(362, 輔助計算!$F$2:$F$801, 0)+1))=270, INDEX(ERP資料!$F:$F, (MATCH(362, 輔助計算!$F$2:$F$801, 0)+1))=300)), "100張", ""), "")</f>
        <v/>
      </c>
      <c r="M363" s="17" t="n"/>
      <c r="N363" s="17">
        <f>IF($F363="","",$F363)</f>
        <v/>
      </c>
      <c r="O363" s="17">
        <f>IF($G363="","",$G363)</f>
        <v/>
      </c>
      <c r="P363" s="17">
        <f>IF($K363="","",$K363)</f>
        <v/>
      </c>
      <c r="Q363" s="16" t="n"/>
      <c r="R363" s="18" t="n"/>
      <c r="S363" s="16" t="n"/>
    </row>
    <row r="364">
      <c r="A364" s="14">
        <f>IFERROR(IF(AND(IFERROR(INDEX(ERP資料!$A:$A, (MATCH(363, 輔助計算!$F$2:$F$801, 0)+1)), "")&lt;&gt;"", IFERROR(INDEX(ERP資料!$A:$A, (MATCH(363, 輔助計算!$F$2:$F$801, 0)+1)), "")&lt;&gt;IFERROR(INDEX(ERP資料!$A:$A, MATCH(362, 輔助計算!$F$2:$F$801, 0)+1), "")), INDEX(ERP資料!$B:$B, (MATCH(363, 輔助計算!$F$2:$F$801, 0)+1)), ""), "")</f>
        <v/>
      </c>
      <c r="B364" s="10">
        <f>IFERROR(IF(AND(IFERROR(INDEX(ERP資料!$A:$A, (MATCH(363, 輔助計算!$F$2:$F$801, 0)+1)), "")&lt;&gt;"", IFERROR(INDEX(ERP資料!$A:$A, (MATCH(363, 輔助計算!$F$2:$F$801, 0)+1)), "")&lt;&gt;IFERROR(INDEX(ERP資料!$A:$A, MATCH(362, 輔助計算!$F$2:$F$801, 0)+1), "")), IFERROR(INDEX(ERP資料!$A:$A, (MATCH(363, 輔助計算!$F$2:$F$801, 0)+1)), ""), ""), "")</f>
        <v/>
      </c>
      <c r="C364" s="10">
        <f>IFERROR(IF(AND(IFERROR(INDEX(ERP資料!$A:$A, (MATCH(363, 輔助計算!$F$2:$F$801, 0)+1)), "")&lt;&gt;"", IFERROR(INDEX(ERP資料!$A:$A, (MATCH(363, 輔助計算!$F$2:$F$801, 0)+1)), "")&lt;&gt;IFERROR(INDEX(ERP資料!$A:$A, MATCH(362, 輔助計算!$F$2:$F$801, 0)+1), "")), INDEX(ERP資料!$S:$S, (MATCH(363, 輔助計算!$F$2:$F$801, 0)+1)), ""), "")</f>
        <v/>
      </c>
      <c r="D364" s="10">
        <f>IFERROR(IF(INDEX(ERP資料!$E:$E, (MATCH(363, 輔助計算!$F$2:$F$801, 0)+1))="","",TRIM(INDEX(ERP資料!$E:$E, (MATCH(363, 輔助計算!$F$2:$F$801, 0)+1)))), "")</f>
        <v/>
      </c>
      <c r="E364" s="10">
        <f>IFERROR(IF(INDEX(ERP資料!$F:$F, (MATCH(363, 輔助計算!$F$2:$F$801, 0)+1))="","",INDEX(ERP資料!$F:$F, (MATCH(363, 輔助計算!$F$2:$F$801, 0)+1))), "")</f>
        <v/>
      </c>
      <c r="F364" s="10">
        <f>IFERROR(IF(INDEX(ERP資料!$G:$G, (MATCH(363, 輔助計算!$F$2:$F$801, 0)+1))="","",INDEX(ERP資料!$G:$G, (MATCH(363, 輔助計算!$F$2:$F$801, 0)+1))), "")</f>
        <v/>
      </c>
      <c r="G364" s="10">
        <f>IFERROR(IF(INDEX(ERP資料!$H:$H, (MATCH(363, 輔助計算!$F$2:$F$801, 0)+1))="","",INDEX(ERP資料!$H:$H, (MATCH(363, 輔助計算!$F$2:$F$801, 0)+1))), "")</f>
        <v/>
      </c>
      <c r="H364" s="10">
        <f>IFERROR(IF(INDEX(ERP資料!$O:$O, (MATCH(363, 輔助計算!$F$2:$F$801, 0)+1))="","",INDEX(ERP資料!$O:$O, (MATCH(363, 輔助計算!$F$2:$F$801, 0)+1))), "")</f>
        <v/>
      </c>
      <c r="I364" s="15">
        <f>IFERROR(IF(INDEX(輔助計算!$D:$D,(MATCH(363, 輔助計算!$F$2:$F$801, 0)+1))="","",INDEX(輔助計算!$D:$D,(MATCH(363, 輔助計算!$F$2:$F$801, 0)+1))*INDEX(ERP資料!$O:$O,(MATCH(363, 輔助計算!$F$2:$F$801, 0)+1))), "")</f>
        <v/>
      </c>
      <c r="J364" s="16" t="n"/>
      <c r="K364" s="15">
        <f>IFERROR(INDEX(輔助計算!$D:$D, (MATCH(363, 輔助計算!$F$2:$F$801, 0)+1)), "")</f>
        <v/>
      </c>
      <c r="L364" s="16">
        <f>IFERROR(IF(AND(IFERROR(VLOOKUP(LEFT(INDEX(ERP資料!$S:$S, (MATCH(363, 輔助計算!$F$2:$F$801, 0)+1)), 4), 100張客戶!$A:$A, 1, FALSE), "")&lt;&gt;"", OR(INDEX(ERP資料!$F:$F, (MATCH(363, 輔助計算!$F$2:$F$801, 0)+1))=270, INDEX(ERP資料!$F:$F, (MATCH(363, 輔助計算!$F$2:$F$801, 0)+1))=300)), "100張", ""), "")</f>
        <v/>
      </c>
      <c r="M364" s="17" t="n"/>
      <c r="N364" s="17">
        <f>IF($F364="","",$F364)</f>
        <v/>
      </c>
      <c r="O364" s="17">
        <f>IF($G364="","",$G364)</f>
        <v/>
      </c>
      <c r="P364" s="17">
        <f>IF($K364="","",$K364)</f>
        <v/>
      </c>
      <c r="Q364" s="16" t="n"/>
      <c r="R364" s="18" t="n"/>
      <c r="S364" s="16" t="n"/>
    </row>
    <row r="365">
      <c r="A365" s="14">
        <f>IFERROR(IF(AND(IFERROR(INDEX(ERP資料!$A:$A, (MATCH(364, 輔助計算!$F$2:$F$801, 0)+1)), "")&lt;&gt;"", IFERROR(INDEX(ERP資料!$A:$A, (MATCH(364, 輔助計算!$F$2:$F$801, 0)+1)), "")&lt;&gt;IFERROR(INDEX(ERP資料!$A:$A, MATCH(363, 輔助計算!$F$2:$F$801, 0)+1), "")), INDEX(ERP資料!$B:$B, (MATCH(364, 輔助計算!$F$2:$F$801, 0)+1)), ""), "")</f>
        <v/>
      </c>
      <c r="B365" s="10">
        <f>IFERROR(IF(AND(IFERROR(INDEX(ERP資料!$A:$A, (MATCH(364, 輔助計算!$F$2:$F$801, 0)+1)), "")&lt;&gt;"", IFERROR(INDEX(ERP資料!$A:$A, (MATCH(364, 輔助計算!$F$2:$F$801, 0)+1)), "")&lt;&gt;IFERROR(INDEX(ERP資料!$A:$A, MATCH(363, 輔助計算!$F$2:$F$801, 0)+1), "")), IFERROR(INDEX(ERP資料!$A:$A, (MATCH(364, 輔助計算!$F$2:$F$801, 0)+1)), ""), ""), "")</f>
        <v/>
      </c>
      <c r="C365" s="10">
        <f>IFERROR(IF(AND(IFERROR(INDEX(ERP資料!$A:$A, (MATCH(364, 輔助計算!$F$2:$F$801, 0)+1)), "")&lt;&gt;"", IFERROR(INDEX(ERP資料!$A:$A, (MATCH(364, 輔助計算!$F$2:$F$801, 0)+1)), "")&lt;&gt;IFERROR(INDEX(ERP資料!$A:$A, MATCH(363, 輔助計算!$F$2:$F$801, 0)+1), "")), INDEX(ERP資料!$S:$S, (MATCH(364, 輔助計算!$F$2:$F$801, 0)+1)), ""), "")</f>
        <v/>
      </c>
      <c r="D365" s="10">
        <f>IFERROR(IF(INDEX(ERP資料!$E:$E, (MATCH(364, 輔助計算!$F$2:$F$801, 0)+1))="","",TRIM(INDEX(ERP資料!$E:$E, (MATCH(364, 輔助計算!$F$2:$F$801, 0)+1)))), "")</f>
        <v/>
      </c>
      <c r="E365" s="10">
        <f>IFERROR(IF(INDEX(ERP資料!$F:$F, (MATCH(364, 輔助計算!$F$2:$F$801, 0)+1))="","",INDEX(ERP資料!$F:$F, (MATCH(364, 輔助計算!$F$2:$F$801, 0)+1))), "")</f>
        <v/>
      </c>
      <c r="F365" s="10">
        <f>IFERROR(IF(INDEX(ERP資料!$G:$G, (MATCH(364, 輔助計算!$F$2:$F$801, 0)+1))="","",INDEX(ERP資料!$G:$G, (MATCH(364, 輔助計算!$F$2:$F$801, 0)+1))), "")</f>
        <v/>
      </c>
      <c r="G365" s="10">
        <f>IFERROR(IF(INDEX(ERP資料!$H:$H, (MATCH(364, 輔助計算!$F$2:$F$801, 0)+1))="","",INDEX(ERP資料!$H:$H, (MATCH(364, 輔助計算!$F$2:$F$801, 0)+1))), "")</f>
        <v/>
      </c>
      <c r="H365" s="10">
        <f>IFERROR(IF(INDEX(ERP資料!$O:$O, (MATCH(364, 輔助計算!$F$2:$F$801, 0)+1))="","",INDEX(ERP資料!$O:$O, (MATCH(364, 輔助計算!$F$2:$F$801, 0)+1))), "")</f>
        <v/>
      </c>
      <c r="I365" s="15">
        <f>IFERROR(IF(INDEX(輔助計算!$D:$D,(MATCH(364, 輔助計算!$F$2:$F$801, 0)+1))="","",INDEX(輔助計算!$D:$D,(MATCH(364, 輔助計算!$F$2:$F$801, 0)+1))*INDEX(ERP資料!$O:$O,(MATCH(364, 輔助計算!$F$2:$F$801, 0)+1))), "")</f>
        <v/>
      </c>
      <c r="J365" s="16" t="n"/>
      <c r="K365" s="15">
        <f>IFERROR(INDEX(輔助計算!$D:$D, (MATCH(364, 輔助計算!$F$2:$F$801, 0)+1)), "")</f>
        <v/>
      </c>
      <c r="L365" s="16">
        <f>IFERROR(IF(AND(IFERROR(VLOOKUP(LEFT(INDEX(ERP資料!$S:$S, (MATCH(364, 輔助計算!$F$2:$F$801, 0)+1)), 4), 100張客戶!$A:$A, 1, FALSE), "")&lt;&gt;"", OR(INDEX(ERP資料!$F:$F, (MATCH(364, 輔助計算!$F$2:$F$801, 0)+1))=270, INDEX(ERP資料!$F:$F, (MATCH(364, 輔助計算!$F$2:$F$801, 0)+1))=300)), "100張", ""), "")</f>
        <v/>
      </c>
      <c r="M365" s="17" t="n"/>
      <c r="N365" s="17">
        <f>IF($F365="","",$F365)</f>
        <v/>
      </c>
      <c r="O365" s="17">
        <f>IF($G365="","",$G365)</f>
        <v/>
      </c>
      <c r="P365" s="17">
        <f>IF($K365="","",$K365)</f>
        <v/>
      </c>
      <c r="Q365" s="16" t="n"/>
      <c r="R365" s="18" t="n"/>
      <c r="S365" s="16" t="n"/>
    </row>
    <row r="366">
      <c r="A366" s="14">
        <f>IFERROR(IF(AND(IFERROR(INDEX(ERP資料!$A:$A, (MATCH(365, 輔助計算!$F$2:$F$801, 0)+1)), "")&lt;&gt;"", IFERROR(INDEX(ERP資料!$A:$A, (MATCH(365, 輔助計算!$F$2:$F$801, 0)+1)), "")&lt;&gt;IFERROR(INDEX(ERP資料!$A:$A, MATCH(364, 輔助計算!$F$2:$F$801, 0)+1), "")), INDEX(ERP資料!$B:$B, (MATCH(365, 輔助計算!$F$2:$F$801, 0)+1)), ""), "")</f>
        <v/>
      </c>
      <c r="B366" s="10">
        <f>IFERROR(IF(AND(IFERROR(INDEX(ERP資料!$A:$A, (MATCH(365, 輔助計算!$F$2:$F$801, 0)+1)), "")&lt;&gt;"", IFERROR(INDEX(ERP資料!$A:$A, (MATCH(365, 輔助計算!$F$2:$F$801, 0)+1)), "")&lt;&gt;IFERROR(INDEX(ERP資料!$A:$A, MATCH(364, 輔助計算!$F$2:$F$801, 0)+1), "")), IFERROR(INDEX(ERP資料!$A:$A, (MATCH(365, 輔助計算!$F$2:$F$801, 0)+1)), ""), ""), "")</f>
        <v/>
      </c>
      <c r="C366" s="10">
        <f>IFERROR(IF(AND(IFERROR(INDEX(ERP資料!$A:$A, (MATCH(365, 輔助計算!$F$2:$F$801, 0)+1)), "")&lt;&gt;"", IFERROR(INDEX(ERP資料!$A:$A, (MATCH(365, 輔助計算!$F$2:$F$801, 0)+1)), "")&lt;&gt;IFERROR(INDEX(ERP資料!$A:$A, MATCH(364, 輔助計算!$F$2:$F$801, 0)+1), "")), INDEX(ERP資料!$S:$S, (MATCH(365, 輔助計算!$F$2:$F$801, 0)+1)), ""), "")</f>
        <v/>
      </c>
      <c r="D366" s="10">
        <f>IFERROR(IF(INDEX(ERP資料!$E:$E, (MATCH(365, 輔助計算!$F$2:$F$801, 0)+1))="","",TRIM(INDEX(ERP資料!$E:$E, (MATCH(365, 輔助計算!$F$2:$F$801, 0)+1)))), "")</f>
        <v/>
      </c>
      <c r="E366" s="10">
        <f>IFERROR(IF(INDEX(ERP資料!$F:$F, (MATCH(365, 輔助計算!$F$2:$F$801, 0)+1))="","",INDEX(ERP資料!$F:$F, (MATCH(365, 輔助計算!$F$2:$F$801, 0)+1))), "")</f>
        <v/>
      </c>
      <c r="F366" s="10">
        <f>IFERROR(IF(INDEX(ERP資料!$G:$G, (MATCH(365, 輔助計算!$F$2:$F$801, 0)+1))="","",INDEX(ERP資料!$G:$G, (MATCH(365, 輔助計算!$F$2:$F$801, 0)+1))), "")</f>
        <v/>
      </c>
      <c r="G366" s="10">
        <f>IFERROR(IF(INDEX(ERP資料!$H:$H, (MATCH(365, 輔助計算!$F$2:$F$801, 0)+1))="","",INDEX(ERP資料!$H:$H, (MATCH(365, 輔助計算!$F$2:$F$801, 0)+1))), "")</f>
        <v/>
      </c>
      <c r="H366" s="10">
        <f>IFERROR(IF(INDEX(ERP資料!$O:$O, (MATCH(365, 輔助計算!$F$2:$F$801, 0)+1))="","",INDEX(ERP資料!$O:$O, (MATCH(365, 輔助計算!$F$2:$F$801, 0)+1))), "")</f>
        <v/>
      </c>
      <c r="I366" s="15">
        <f>IFERROR(IF(INDEX(輔助計算!$D:$D,(MATCH(365, 輔助計算!$F$2:$F$801, 0)+1))="","",INDEX(輔助計算!$D:$D,(MATCH(365, 輔助計算!$F$2:$F$801, 0)+1))*INDEX(ERP資料!$O:$O,(MATCH(365, 輔助計算!$F$2:$F$801, 0)+1))), "")</f>
        <v/>
      </c>
      <c r="J366" s="16" t="n"/>
      <c r="K366" s="15">
        <f>IFERROR(INDEX(輔助計算!$D:$D, (MATCH(365, 輔助計算!$F$2:$F$801, 0)+1)), "")</f>
        <v/>
      </c>
      <c r="L366" s="16">
        <f>IFERROR(IF(AND(IFERROR(VLOOKUP(LEFT(INDEX(ERP資料!$S:$S, (MATCH(365, 輔助計算!$F$2:$F$801, 0)+1)), 4), 100張客戶!$A:$A, 1, FALSE), "")&lt;&gt;"", OR(INDEX(ERP資料!$F:$F, (MATCH(365, 輔助計算!$F$2:$F$801, 0)+1))=270, INDEX(ERP資料!$F:$F, (MATCH(365, 輔助計算!$F$2:$F$801, 0)+1))=300)), "100張", ""), "")</f>
        <v/>
      </c>
      <c r="M366" s="17" t="n"/>
      <c r="N366" s="17">
        <f>IF($F366="","",$F366)</f>
        <v/>
      </c>
      <c r="O366" s="17">
        <f>IF($G366="","",$G366)</f>
        <v/>
      </c>
      <c r="P366" s="17">
        <f>IF($K366="","",$K366)</f>
        <v/>
      </c>
      <c r="Q366" s="16" t="n"/>
      <c r="R366" s="18" t="n"/>
      <c r="S366" s="16" t="n"/>
    </row>
    <row r="367">
      <c r="A367" s="14">
        <f>IFERROR(IF(AND(IFERROR(INDEX(ERP資料!$A:$A, (MATCH(366, 輔助計算!$F$2:$F$801, 0)+1)), "")&lt;&gt;"", IFERROR(INDEX(ERP資料!$A:$A, (MATCH(366, 輔助計算!$F$2:$F$801, 0)+1)), "")&lt;&gt;IFERROR(INDEX(ERP資料!$A:$A, MATCH(365, 輔助計算!$F$2:$F$801, 0)+1), "")), INDEX(ERP資料!$B:$B, (MATCH(366, 輔助計算!$F$2:$F$801, 0)+1)), ""), "")</f>
        <v/>
      </c>
      <c r="B367" s="10">
        <f>IFERROR(IF(AND(IFERROR(INDEX(ERP資料!$A:$A, (MATCH(366, 輔助計算!$F$2:$F$801, 0)+1)), "")&lt;&gt;"", IFERROR(INDEX(ERP資料!$A:$A, (MATCH(366, 輔助計算!$F$2:$F$801, 0)+1)), "")&lt;&gt;IFERROR(INDEX(ERP資料!$A:$A, MATCH(365, 輔助計算!$F$2:$F$801, 0)+1), "")), IFERROR(INDEX(ERP資料!$A:$A, (MATCH(366, 輔助計算!$F$2:$F$801, 0)+1)), ""), ""), "")</f>
        <v/>
      </c>
      <c r="C367" s="10">
        <f>IFERROR(IF(AND(IFERROR(INDEX(ERP資料!$A:$A, (MATCH(366, 輔助計算!$F$2:$F$801, 0)+1)), "")&lt;&gt;"", IFERROR(INDEX(ERP資料!$A:$A, (MATCH(366, 輔助計算!$F$2:$F$801, 0)+1)), "")&lt;&gt;IFERROR(INDEX(ERP資料!$A:$A, MATCH(365, 輔助計算!$F$2:$F$801, 0)+1), "")), INDEX(ERP資料!$S:$S, (MATCH(366, 輔助計算!$F$2:$F$801, 0)+1)), ""), "")</f>
        <v/>
      </c>
      <c r="D367" s="10">
        <f>IFERROR(IF(INDEX(ERP資料!$E:$E, (MATCH(366, 輔助計算!$F$2:$F$801, 0)+1))="","",TRIM(INDEX(ERP資料!$E:$E, (MATCH(366, 輔助計算!$F$2:$F$801, 0)+1)))), "")</f>
        <v/>
      </c>
      <c r="E367" s="10">
        <f>IFERROR(IF(INDEX(ERP資料!$F:$F, (MATCH(366, 輔助計算!$F$2:$F$801, 0)+1))="","",INDEX(ERP資料!$F:$F, (MATCH(366, 輔助計算!$F$2:$F$801, 0)+1))), "")</f>
        <v/>
      </c>
      <c r="F367" s="10">
        <f>IFERROR(IF(INDEX(ERP資料!$G:$G, (MATCH(366, 輔助計算!$F$2:$F$801, 0)+1))="","",INDEX(ERP資料!$G:$G, (MATCH(366, 輔助計算!$F$2:$F$801, 0)+1))), "")</f>
        <v/>
      </c>
      <c r="G367" s="10">
        <f>IFERROR(IF(INDEX(ERP資料!$H:$H, (MATCH(366, 輔助計算!$F$2:$F$801, 0)+1))="","",INDEX(ERP資料!$H:$H, (MATCH(366, 輔助計算!$F$2:$F$801, 0)+1))), "")</f>
        <v/>
      </c>
      <c r="H367" s="10">
        <f>IFERROR(IF(INDEX(ERP資料!$O:$O, (MATCH(366, 輔助計算!$F$2:$F$801, 0)+1))="","",INDEX(ERP資料!$O:$O, (MATCH(366, 輔助計算!$F$2:$F$801, 0)+1))), "")</f>
        <v/>
      </c>
      <c r="I367" s="15">
        <f>IFERROR(IF(INDEX(輔助計算!$D:$D,(MATCH(366, 輔助計算!$F$2:$F$801, 0)+1))="","",INDEX(輔助計算!$D:$D,(MATCH(366, 輔助計算!$F$2:$F$801, 0)+1))*INDEX(ERP資料!$O:$O,(MATCH(366, 輔助計算!$F$2:$F$801, 0)+1))), "")</f>
        <v/>
      </c>
      <c r="J367" s="16" t="n"/>
      <c r="K367" s="15">
        <f>IFERROR(INDEX(輔助計算!$D:$D, (MATCH(366, 輔助計算!$F$2:$F$801, 0)+1)), "")</f>
        <v/>
      </c>
      <c r="L367" s="16">
        <f>IFERROR(IF(AND(IFERROR(VLOOKUP(LEFT(INDEX(ERP資料!$S:$S, (MATCH(366, 輔助計算!$F$2:$F$801, 0)+1)), 4), 100張客戶!$A:$A, 1, FALSE), "")&lt;&gt;"", OR(INDEX(ERP資料!$F:$F, (MATCH(366, 輔助計算!$F$2:$F$801, 0)+1))=270, INDEX(ERP資料!$F:$F, (MATCH(366, 輔助計算!$F$2:$F$801, 0)+1))=300)), "100張", ""), "")</f>
        <v/>
      </c>
      <c r="M367" s="17" t="n"/>
      <c r="N367" s="17">
        <f>IF($F367="","",$F367)</f>
        <v/>
      </c>
      <c r="O367" s="17">
        <f>IF($G367="","",$G367)</f>
        <v/>
      </c>
      <c r="P367" s="17">
        <f>IF($K367="","",$K367)</f>
        <v/>
      </c>
      <c r="Q367" s="16" t="n"/>
      <c r="R367" s="18" t="n"/>
      <c r="S367" s="16" t="n"/>
    </row>
    <row r="368">
      <c r="A368" s="14">
        <f>IFERROR(IF(AND(IFERROR(INDEX(ERP資料!$A:$A, (MATCH(367, 輔助計算!$F$2:$F$801, 0)+1)), "")&lt;&gt;"", IFERROR(INDEX(ERP資料!$A:$A, (MATCH(367, 輔助計算!$F$2:$F$801, 0)+1)), "")&lt;&gt;IFERROR(INDEX(ERP資料!$A:$A, MATCH(366, 輔助計算!$F$2:$F$801, 0)+1), "")), INDEX(ERP資料!$B:$B, (MATCH(367, 輔助計算!$F$2:$F$801, 0)+1)), ""), "")</f>
        <v/>
      </c>
      <c r="B368" s="10">
        <f>IFERROR(IF(AND(IFERROR(INDEX(ERP資料!$A:$A, (MATCH(367, 輔助計算!$F$2:$F$801, 0)+1)), "")&lt;&gt;"", IFERROR(INDEX(ERP資料!$A:$A, (MATCH(367, 輔助計算!$F$2:$F$801, 0)+1)), "")&lt;&gt;IFERROR(INDEX(ERP資料!$A:$A, MATCH(366, 輔助計算!$F$2:$F$801, 0)+1), "")), IFERROR(INDEX(ERP資料!$A:$A, (MATCH(367, 輔助計算!$F$2:$F$801, 0)+1)), ""), ""), "")</f>
        <v/>
      </c>
      <c r="C368" s="10">
        <f>IFERROR(IF(AND(IFERROR(INDEX(ERP資料!$A:$A, (MATCH(367, 輔助計算!$F$2:$F$801, 0)+1)), "")&lt;&gt;"", IFERROR(INDEX(ERP資料!$A:$A, (MATCH(367, 輔助計算!$F$2:$F$801, 0)+1)), "")&lt;&gt;IFERROR(INDEX(ERP資料!$A:$A, MATCH(366, 輔助計算!$F$2:$F$801, 0)+1), "")), INDEX(ERP資料!$S:$S, (MATCH(367, 輔助計算!$F$2:$F$801, 0)+1)), ""), "")</f>
        <v/>
      </c>
      <c r="D368" s="10">
        <f>IFERROR(IF(INDEX(ERP資料!$E:$E, (MATCH(367, 輔助計算!$F$2:$F$801, 0)+1))="","",TRIM(INDEX(ERP資料!$E:$E, (MATCH(367, 輔助計算!$F$2:$F$801, 0)+1)))), "")</f>
        <v/>
      </c>
      <c r="E368" s="10">
        <f>IFERROR(IF(INDEX(ERP資料!$F:$F, (MATCH(367, 輔助計算!$F$2:$F$801, 0)+1))="","",INDEX(ERP資料!$F:$F, (MATCH(367, 輔助計算!$F$2:$F$801, 0)+1))), "")</f>
        <v/>
      </c>
      <c r="F368" s="10">
        <f>IFERROR(IF(INDEX(ERP資料!$G:$G, (MATCH(367, 輔助計算!$F$2:$F$801, 0)+1))="","",INDEX(ERP資料!$G:$G, (MATCH(367, 輔助計算!$F$2:$F$801, 0)+1))), "")</f>
        <v/>
      </c>
      <c r="G368" s="10">
        <f>IFERROR(IF(INDEX(ERP資料!$H:$H, (MATCH(367, 輔助計算!$F$2:$F$801, 0)+1))="","",INDEX(ERP資料!$H:$H, (MATCH(367, 輔助計算!$F$2:$F$801, 0)+1))), "")</f>
        <v/>
      </c>
      <c r="H368" s="10">
        <f>IFERROR(IF(INDEX(ERP資料!$O:$O, (MATCH(367, 輔助計算!$F$2:$F$801, 0)+1))="","",INDEX(ERP資料!$O:$O, (MATCH(367, 輔助計算!$F$2:$F$801, 0)+1))), "")</f>
        <v/>
      </c>
      <c r="I368" s="15">
        <f>IFERROR(IF(INDEX(輔助計算!$D:$D,(MATCH(367, 輔助計算!$F$2:$F$801, 0)+1))="","",INDEX(輔助計算!$D:$D,(MATCH(367, 輔助計算!$F$2:$F$801, 0)+1))*INDEX(ERP資料!$O:$O,(MATCH(367, 輔助計算!$F$2:$F$801, 0)+1))), "")</f>
        <v/>
      </c>
      <c r="J368" s="16" t="n"/>
      <c r="K368" s="15">
        <f>IFERROR(INDEX(輔助計算!$D:$D, (MATCH(367, 輔助計算!$F$2:$F$801, 0)+1)), "")</f>
        <v/>
      </c>
      <c r="L368" s="16">
        <f>IFERROR(IF(AND(IFERROR(VLOOKUP(LEFT(INDEX(ERP資料!$S:$S, (MATCH(367, 輔助計算!$F$2:$F$801, 0)+1)), 4), 100張客戶!$A:$A, 1, FALSE), "")&lt;&gt;"", OR(INDEX(ERP資料!$F:$F, (MATCH(367, 輔助計算!$F$2:$F$801, 0)+1))=270, INDEX(ERP資料!$F:$F, (MATCH(367, 輔助計算!$F$2:$F$801, 0)+1))=300)), "100張", ""), "")</f>
        <v/>
      </c>
      <c r="M368" s="17" t="n"/>
      <c r="N368" s="17">
        <f>IF($F368="","",$F368)</f>
        <v/>
      </c>
      <c r="O368" s="17">
        <f>IF($G368="","",$G368)</f>
        <v/>
      </c>
      <c r="P368" s="17">
        <f>IF($K368="","",$K368)</f>
        <v/>
      </c>
      <c r="Q368" s="16" t="n"/>
      <c r="R368" s="18" t="n"/>
      <c r="S368" s="16" t="n"/>
    </row>
    <row r="369">
      <c r="A369" s="14">
        <f>IFERROR(IF(AND(IFERROR(INDEX(ERP資料!$A:$A, (MATCH(368, 輔助計算!$F$2:$F$801, 0)+1)), "")&lt;&gt;"", IFERROR(INDEX(ERP資料!$A:$A, (MATCH(368, 輔助計算!$F$2:$F$801, 0)+1)), "")&lt;&gt;IFERROR(INDEX(ERP資料!$A:$A, MATCH(367, 輔助計算!$F$2:$F$801, 0)+1), "")), INDEX(ERP資料!$B:$B, (MATCH(368, 輔助計算!$F$2:$F$801, 0)+1)), ""), "")</f>
        <v/>
      </c>
      <c r="B369" s="10">
        <f>IFERROR(IF(AND(IFERROR(INDEX(ERP資料!$A:$A, (MATCH(368, 輔助計算!$F$2:$F$801, 0)+1)), "")&lt;&gt;"", IFERROR(INDEX(ERP資料!$A:$A, (MATCH(368, 輔助計算!$F$2:$F$801, 0)+1)), "")&lt;&gt;IFERROR(INDEX(ERP資料!$A:$A, MATCH(367, 輔助計算!$F$2:$F$801, 0)+1), "")), IFERROR(INDEX(ERP資料!$A:$A, (MATCH(368, 輔助計算!$F$2:$F$801, 0)+1)), ""), ""), "")</f>
        <v/>
      </c>
      <c r="C369" s="10">
        <f>IFERROR(IF(AND(IFERROR(INDEX(ERP資料!$A:$A, (MATCH(368, 輔助計算!$F$2:$F$801, 0)+1)), "")&lt;&gt;"", IFERROR(INDEX(ERP資料!$A:$A, (MATCH(368, 輔助計算!$F$2:$F$801, 0)+1)), "")&lt;&gt;IFERROR(INDEX(ERP資料!$A:$A, MATCH(367, 輔助計算!$F$2:$F$801, 0)+1), "")), INDEX(ERP資料!$S:$S, (MATCH(368, 輔助計算!$F$2:$F$801, 0)+1)), ""), "")</f>
        <v/>
      </c>
      <c r="D369" s="10">
        <f>IFERROR(IF(INDEX(ERP資料!$E:$E, (MATCH(368, 輔助計算!$F$2:$F$801, 0)+1))="","",TRIM(INDEX(ERP資料!$E:$E, (MATCH(368, 輔助計算!$F$2:$F$801, 0)+1)))), "")</f>
        <v/>
      </c>
      <c r="E369" s="10">
        <f>IFERROR(IF(INDEX(ERP資料!$F:$F, (MATCH(368, 輔助計算!$F$2:$F$801, 0)+1))="","",INDEX(ERP資料!$F:$F, (MATCH(368, 輔助計算!$F$2:$F$801, 0)+1))), "")</f>
        <v/>
      </c>
      <c r="F369" s="10">
        <f>IFERROR(IF(INDEX(ERP資料!$G:$G, (MATCH(368, 輔助計算!$F$2:$F$801, 0)+1))="","",INDEX(ERP資料!$G:$G, (MATCH(368, 輔助計算!$F$2:$F$801, 0)+1))), "")</f>
        <v/>
      </c>
      <c r="G369" s="10">
        <f>IFERROR(IF(INDEX(ERP資料!$H:$H, (MATCH(368, 輔助計算!$F$2:$F$801, 0)+1))="","",INDEX(ERP資料!$H:$H, (MATCH(368, 輔助計算!$F$2:$F$801, 0)+1))), "")</f>
        <v/>
      </c>
      <c r="H369" s="10">
        <f>IFERROR(IF(INDEX(ERP資料!$O:$O, (MATCH(368, 輔助計算!$F$2:$F$801, 0)+1))="","",INDEX(ERP資料!$O:$O, (MATCH(368, 輔助計算!$F$2:$F$801, 0)+1))), "")</f>
        <v/>
      </c>
      <c r="I369" s="15">
        <f>IFERROR(IF(INDEX(輔助計算!$D:$D,(MATCH(368, 輔助計算!$F$2:$F$801, 0)+1))="","",INDEX(輔助計算!$D:$D,(MATCH(368, 輔助計算!$F$2:$F$801, 0)+1))*INDEX(ERP資料!$O:$O,(MATCH(368, 輔助計算!$F$2:$F$801, 0)+1))), "")</f>
        <v/>
      </c>
      <c r="J369" s="16" t="n"/>
      <c r="K369" s="15">
        <f>IFERROR(INDEX(輔助計算!$D:$D, (MATCH(368, 輔助計算!$F$2:$F$801, 0)+1)), "")</f>
        <v/>
      </c>
      <c r="L369" s="16">
        <f>IFERROR(IF(AND(IFERROR(VLOOKUP(LEFT(INDEX(ERP資料!$S:$S, (MATCH(368, 輔助計算!$F$2:$F$801, 0)+1)), 4), 100張客戶!$A:$A, 1, FALSE), "")&lt;&gt;"", OR(INDEX(ERP資料!$F:$F, (MATCH(368, 輔助計算!$F$2:$F$801, 0)+1))=270, INDEX(ERP資料!$F:$F, (MATCH(368, 輔助計算!$F$2:$F$801, 0)+1))=300)), "100張", ""), "")</f>
        <v/>
      </c>
      <c r="M369" s="17" t="n"/>
      <c r="N369" s="17">
        <f>IF($F369="","",$F369)</f>
        <v/>
      </c>
      <c r="O369" s="17">
        <f>IF($G369="","",$G369)</f>
        <v/>
      </c>
      <c r="P369" s="17">
        <f>IF($K369="","",$K369)</f>
        <v/>
      </c>
      <c r="Q369" s="16" t="n"/>
      <c r="R369" s="18" t="n"/>
      <c r="S369" s="16" t="n"/>
    </row>
    <row r="370">
      <c r="A370" s="14">
        <f>IFERROR(IF(AND(IFERROR(INDEX(ERP資料!$A:$A, (MATCH(369, 輔助計算!$F$2:$F$801, 0)+1)), "")&lt;&gt;"", IFERROR(INDEX(ERP資料!$A:$A, (MATCH(369, 輔助計算!$F$2:$F$801, 0)+1)), "")&lt;&gt;IFERROR(INDEX(ERP資料!$A:$A, MATCH(368, 輔助計算!$F$2:$F$801, 0)+1), "")), INDEX(ERP資料!$B:$B, (MATCH(369, 輔助計算!$F$2:$F$801, 0)+1)), ""), "")</f>
        <v/>
      </c>
      <c r="B370" s="10">
        <f>IFERROR(IF(AND(IFERROR(INDEX(ERP資料!$A:$A, (MATCH(369, 輔助計算!$F$2:$F$801, 0)+1)), "")&lt;&gt;"", IFERROR(INDEX(ERP資料!$A:$A, (MATCH(369, 輔助計算!$F$2:$F$801, 0)+1)), "")&lt;&gt;IFERROR(INDEX(ERP資料!$A:$A, MATCH(368, 輔助計算!$F$2:$F$801, 0)+1), "")), IFERROR(INDEX(ERP資料!$A:$A, (MATCH(369, 輔助計算!$F$2:$F$801, 0)+1)), ""), ""), "")</f>
        <v/>
      </c>
      <c r="C370" s="10">
        <f>IFERROR(IF(AND(IFERROR(INDEX(ERP資料!$A:$A, (MATCH(369, 輔助計算!$F$2:$F$801, 0)+1)), "")&lt;&gt;"", IFERROR(INDEX(ERP資料!$A:$A, (MATCH(369, 輔助計算!$F$2:$F$801, 0)+1)), "")&lt;&gt;IFERROR(INDEX(ERP資料!$A:$A, MATCH(368, 輔助計算!$F$2:$F$801, 0)+1), "")), INDEX(ERP資料!$S:$S, (MATCH(369, 輔助計算!$F$2:$F$801, 0)+1)), ""), "")</f>
        <v/>
      </c>
      <c r="D370" s="10">
        <f>IFERROR(IF(INDEX(ERP資料!$E:$E, (MATCH(369, 輔助計算!$F$2:$F$801, 0)+1))="","",TRIM(INDEX(ERP資料!$E:$E, (MATCH(369, 輔助計算!$F$2:$F$801, 0)+1)))), "")</f>
        <v/>
      </c>
      <c r="E370" s="10">
        <f>IFERROR(IF(INDEX(ERP資料!$F:$F, (MATCH(369, 輔助計算!$F$2:$F$801, 0)+1))="","",INDEX(ERP資料!$F:$F, (MATCH(369, 輔助計算!$F$2:$F$801, 0)+1))), "")</f>
        <v/>
      </c>
      <c r="F370" s="10">
        <f>IFERROR(IF(INDEX(ERP資料!$G:$G, (MATCH(369, 輔助計算!$F$2:$F$801, 0)+1))="","",INDEX(ERP資料!$G:$G, (MATCH(369, 輔助計算!$F$2:$F$801, 0)+1))), "")</f>
        <v/>
      </c>
      <c r="G370" s="10">
        <f>IFERROR(IF(INDEX(ERP資料!$H:$H, (MATCH(369, 輔助計算!$F$2:$F$801, 0)+1))="","",INDEX(ERP資料!$H:$H, (MATCH(369, 輔助計算!$F$2:$F$801, 0)+1))), "")</f>
        <v/>
      </c>
      <c r="H370" s="10">
        <f>IFERROR(IF(INDEX(ERP資料!$O:$O, (MATCH(369, 輔助計算!$F$2:$F$801, 0)+1))="","",INDEX(ERP資料!$O:$O, (MATCH(369, 輔助計算!$F$2:$F$801, 0)+1))), "")</f>
        <v/>
      </c>
      <c r="I370" s="15">
        <f>IFERROR(IF(INDEX(輔助計算!$D:$D,(MATCH(369, 輔助計算!$F$2:$F$801, 0)+1))="","",INDEX(輔助計算!$D:$D,(MATCH(369, 輔助計算!$F$2:$F$801, 0)+1))*INDEX(ERP資料!$O:$O,(MATCH(369, 輔助計算!$F$2:$F$801, 0)+1))), "")</f>
        <v/>
      </c>
      <c r="J370" s="16" t="n"/>
      <c r="K370" s="15">
        <f>IFERROR(INDEX(輔助計算!$D:$D, (MATCH(369, 輔助計算!$F$2:$F$801, 0)+1)), "")</f>
        <v/>
      </c>
      <c r="L370" s="16">
        <f>IFERROR(IF(AND(IFERROR(VLOOKUP(LEFT(INDEX(ERP資料!$S:$S, (MATCH(369, 輔助計算!$F$2:$F$801, 0)+1)), 4), 100張客戶!$A:$A, 1, FALSE), "")&lt;&gt;"", OR(INDEX(ERP資料!$F:$F, (MATCH(369, 輔助計算!$F$2:$F$801, 0)+1))=270, INDEX(ERP資料!$F:$F, (MATCH(369, 輔助計算!$F$2:$F$801, 0)+1))=300)), "100張", ""), "")</f>
        <v/>
      </c>
      <c r="M370" s="17" t="n"/>
      <c r="N370" s="17">
        <f>IF($F370="","",$F370)</f>
        <v/>
      </c>
      <c r="O370" s="17">
        <f>IF($G370="","",$G370)</f>
        <v/>
      </c>
      <c r="P370" s="17">
        <f>IF($K370="","",$K370)</f>
        <v/>
      </c>
      <c r="Q370" s="16" t="n"/>
      <c r="R370" s="18" t="n"/>
      <c r="S370" s="16" t="n"/>
    </row>
    <row r="371">
      <c r="A371" s="14">
        <f>IFERROR(IF(AND(IFERROR(INDEX(ERP資料!$A:$A, (MATCH(370, 輔助計算!$F$2:$F$801, 0)+1)), "")&lt;&gt;"", IFERROR(INDEX(ERP資料!$A:$A, (MATCH(370, 輔助計算!$F$2:$F$801, 0)+1)), "")&lt;&gt;IFERROR(INDEX(ERP資料!$A:$A, MATCH(369, 輔助計算!$F$2:$F$801, 0)+1), "")), INDEX(ERP資料!$B:$B, (MATCH(370, 輔助計算!$F$2:$F$801, 0)+1)), ""), "")</f>
        <v/>
      </c>
      <c r="B371" s="10">
        <f>IFERROR(IF(AND(IFERROR(INDEX(ERP資料!$A:$A, (MATCH(370, 輔助計算!$F$2:$F$801, 0)+1)), "")&lt;&gt;"", IFERROR(INDEX(ERP資料!$A:$A, (MATCH(370, 輔助計算!$F$2:$F$801, 0)+1)), "")&lt;&gt;IFERROR(INDEX(ERP資料!$A:$A, MATCH(369, 輔助計算!$F$2:$F$801, 0)+1), "")), IFERROR(INDEX(ERP資料!$A:$A, (MATCH(370, 輔助計算!$F$2:$F$801, 0)+1)), ""), ""), "")</f>
        <v/>
      </c>
      <c r="C371" s="10">
        <f>IFERROR(IF(AND(IFERROR(INDEX(ERP資料!$A:$A, (MATCH(370, 輔助計算!$F$2:$F$801, 0)+1)), "")&lt;&gt;"", IFERROR(INDEX(ERP資料!$A:$A, (MATCH(370, 輔助計算!$F$2:$F$801, 0)+1)), "")&lt;&gt;IFERROR(INDEX(ERP資料!$A:$A, MATCH(369, 輔助計算!$F$2:$F$801, 0)+1), "")), INDEX(ERP資料!$S:$S, (MATCH(370, 輔助計算!$F$2:$F$801, 0)+1)), ""), "")</f>
        <v/>
      </c>
      <c r="D371" s="10">
        <f>IFERROR(IF(INDEX(ERP資料!$E:$E, (MATCH(370, 輔助計算!$F$2:$F$801, 0)+1))="","",TRIM(INDEX(ERP資料!$E:$E, (MATCH(370, 輔助計算!$F$2:$F$801, 0)+1)))), "")</f>
        <v/>
      </c>
      <c r="E371" s="10">
        <f>IFERROR(IF(INDEX(ERP資料!$F:$F, (MATCH(370, 輔助計算!$F$2:$F$801, 0)+1))="","",INDEX(ERP資料!$F:$F, (MATCH(370, 輔助計算!$F$2:$F$801, 0)+1))), "")</f>
        <v/>
      </c>
      <c r="F371" s="10">
        <f>IFERROR(IF(INDEX(ERP資料!$G:$G, (MATCH(370, 輔助計算!$F$2:$F$801, 0)+1))="","",INDEX(ERP資料!$G:$G, (MATCH(370, 輔助計算!$F$2:$F$801, 0)+1))), "")</f>
        <v/>
      </c>
      <c r="G371" s="10">
        <f>IFERROR(IF(INDEX(ERP資料!$H:$H, (MATCH(370, 輔助計算!$F$2:$F$801, 0)+1))="","",INDEX(ERP資料!$H:$H, (MATCH(370, 輔助計算!$F$2:$F$801, 0)+1))), "")</f>
        <v/>
      </c>
      <c r="H371" s="10">
        <f>IFERROR(IF(INDEX(ERP資料!$O:$O, (MATCH(370, 輔助計算!$F$2:$F$801, 0)+1))="","",INDEX(ERP資料!$O:$O, (MATCH(370, 輔助計算!$F$2:$F$801, 0)+1))), "")</f>
        <v/>
      </c>
      <c r="I371" s="15">
        <f>IFERROR(IF(INDEX(輔助計算!$D:$D,(MATCH(370, 輔助計算!$F$2:$F$801, 0)+1))="","",INDEX(輔助計算!$D:$D,(MATCH(370, 輔助計算!$F$2:$F$801, 0)+1))*INDEX(ERP資料!$O:$O,(MATCH(370, 輔助計算!$F$2:$F$801, 0)+1))), "")</f>
        <v/>
      </c>
      <c r="J371" s="16" t="n"/>
      <c r="K371" s="15">
        <f>IFERROR(INDEX(輔助計算!$D:$D, (MATCH(370, 輔助計算!$F$2:$F$801, 0)+1)), "")</f>
        <v/>
      </c>
      <c r="L371" s="16">
        <f>IFERROR(IF(AND(IFERROR(VLOOKUP(LEFT(INDEX(ERP資料!$S:$S, (MATCH(370, 輔助計算!$F$2:$F$801, 0)+1)), 4), 100張客戶!$A:$A, 1, FALSE), "")&lt;&gt;"", OR(INDEX(ERP資料!$F:$F, (MATCH(370, 輔助計算!$F$2:$F$801, 0)+1))=270, INDEX(ERP資料!$F:$F, (MATCH(370, 輔助計算!$F$2:$F$801, 0)+1))=300)), "100張", ""), "")</f>
        <v/>
      </c>
      <c r="M371" s="17" t="n"/>
      <c r="N371" s="17">
        <f>IF($F371="","",$F371)</f>
        <v/>
      </c>
      <c r="O371" s="17">
        <f>IF($G371="","",$G371)</f>
        <v/>
      </c>
      <c r="P371" s="17">
        <f>IF($K371="","",$K371)</f>
        <v/>
      </c>
      <c r="Q371" s="16" t="n"/>
      <c r="R371" s="18" t="n"/>
      <c r="S371" s="16" t="n"/>
    </row>
    <row r="372">
      <c r="A372" s="14">
        <f>IFERROR(IF(AND(IFERROR(INDEX(ERP資料!$A:$A, (MATCH(371, 輔助計算!$F$2:$F$801, 0)+1)), "")&lt;&gt;"", IFERROR(INDEX(ERP資料!$A:$A, (MATCH(371, 輔助計算!$F$2:$F$801, 0)+1)), "")&lt;&gt;IFERROR(INDEX(ERP資料!$A:$A, MATCH(370, 輔助計算!$F$2:$F$801, 0)+1), "")), INDEX(ERP資料!$B:$B, (MATCH(371, 輔助計算!$F$2:$F$801, 0)+1)), ""), "")</f>
        <v/>
      </c>
      <c r="B372" s="10">
        <f>IFERROR(IF(AND(IFERROR(INDEX(ERP資料!$A:$A, (MATCH(371, 輔助計算!$F$2:$F$801, 0)+1)), "")&lt;&gt;"", IFERROR(INDEX(ERP資料!$A:$A, (MATCH(371, 輔助計算!$F$2:$F$801, 0)+1)), "")&lt;&gt;IFERROR(INDEX(ERP資料!$A:$A, MATCH(370, 輔助計算!$F$2:$F$801, 0)+1), "")), IFERROR(INDEX(ERP資料!$A:$A, (MATCH(371, 輔助計算!$F$2:$F$801, 0)+1)), ""), ""), "")</f>
        <v/>
      </c>
      <c r="C372" s="10">
        <f>IFERROR(IF(AND(IFERROR(INDEX(ERP資料!$A:$A, (MATCH(371, 輔助計算!$F$2:$F$801, 0)+1)), "")&lt;&gt;"", IFERROR(INDEX(ERP資料!$A:$A, (MATCH(371, 輔助計算!$F$2:$F$801, 0)+1)), "")&lt;&gt;IFERROR(INDEX(ERP資料!$A:$A, MATCH(370, 輔助計算!$F$2:$F$801, 0)+1), "")), INDEX(ERP資料!$S:$S, (MATCH(371, 輔助計算!$F$2:$F$801, 0)+1)), ""), "")</f>
        <v/>
      </c>
      <c r="D372" s="10">
        <f>IFERROR(IF(INDEX(ERP資料!$E:$E, (MATCH(371, 輔助計算!$F$2:$F$801, 0)+1))="","",TRIM(INDEX(ERP資料!$E:$E, (MATCH(371, 輔助計算!$F$2:$F$801, 0)+1)))), "")</f>
        <v/>
      </c>
      <c r="E372" s="10">
        <f>IFERROR(IF(INDEX(ERP資料!$F:$F, (MATCH(371, 輔助計算!$F$2:$F$801, 0)+1))="","",INDEX(ERP資料!$F:$F, (MATCH(371, 輔助計算!$F$2:$F$801, 0)+1))), "")</f>
        <v/>
      </c>
      <c r="F372" s="10">
        <f>IFERROR(IF(INDEX(ERP資料!$G:$G, (MATCH(371, 輔助計算!$F$2:$F$801, 0)+1))="","",INDEX(ERP資料!$G:$G, (MATCH(371, 輔助計算!$F$2:$F$801, 0)+1))), "")</f>
        <v/>
      </c>
      <c r="G372" s="10">
        <f>IFERROR(IF(INDEX(ERP資料!$H:$H, (MATCH(371, 輔助計算!$F$2:$F$801, 0)+1))="","",INDEX(ERP資料!$H:$H, (MATCH(371, 輔助計算!$F$2:$F$801, 0)+1))), "")</f>
        <v/>
      </c>
      <c r="H372" s="10">
        <f>IFERROR(IF(INDEX(ERP資料!$O:$O, (MATCH(371, 輔助計算!$F$2:$F$801, 0)+1))="","",INDEX(ERP資料!$O:$O, (MATCH(371, 輔助計算!$F$2:$F$801, 0)+1))), "")</f>
        <v/>
      </c>
      <c r="I372" s="15">
        <f>IFERROR(IF(INDEX(輔助計算!$D:$D,(MATCH(371, 輔助計算!$F$2:$F$801, 0)+1))="","",INDEX(輔助計算!$D:$D,(MATCH(371, 輔助計算!$F$2:$F$801, 0)+1))*INDEX(ERP資料!$O:$O,(MATCH(371, 輔助計算!$F$2:$F$801, 0)+1))), "")</f>
        <v/>
      </c>
      <c r="J372" s="16" t="n"/>
      <c r="K372" s="15">
        <f>IFERROR(INDEX(輔助計算!$D:$D, (MATCH(371, 輔助計算!$F$2:$F$801, 0)+1)), "")</f>
        <v/>
      </c>
      <c r="L372" s="16">
        <f>IFERROR(IF(AND(IFERROR(VLOOKUP(LEFT(INDEX(ERP資料!$S:$S, (MATCH(371, 輔助計算!$F$2:$F$801, 0)+1)), 4), 100張客戶!$A:$A, 1, FALSE), "")&lt;&gt;"", OR(INDEX(ERP資料!$F:$F, (MATCH(371, 輔助計算!$F$2:$F$801, 0)+1))=270, INDEX(ERP資料!$F:$F, (MATCH(371, 輔助計算!$F$2:$F$801, 0)+1))=300)), "100張", ""), "")</f>
        <v/>
      </c>
      <c r="M372" s="17" t="n"/>
      <c r="N372" s="17">
        <f>IF($F372="","",$F372)</f>
        <v/>
      </c>
      <c r="O372" s="17">
        <f>IF($G372="","",$G372)</f>
        <v/>
      </c>
      <c r="P372" s="17">
        <f>IF($K372="","",$K372)</f>
        <v/>
      </c>
      <c r="Q372" s="16" t="n"/>
      <c r="R372" s="18" t="n"/>
      <c r="S372" s="16" t="n"/>
    </row>
    <row r="373">
      <c r="A373" s="14">
        <f>IFERROR(IF(AND(IFERROR(INDEX(ERP資料!$A:$A, (MATCH(372, 輔助計算!$F$2:$F$801, 0)+1)), "")&lt;&gt;"", IFERROR(INDEX(ERP資料!$A:$A, (MATCH(372, 輔助計算!$F$2:$F$801, 0)+1)), "")&lt;&gt;IFERROR(INDEX(ERP資料!$A:$A, MATCH(371, 輔助計算!$F$2:$F$801, 0)+1), "")), INDEX(ERP資料!$B:$B, (MATCH(372, 輔助計算!$F$2:$F$801, 0)+1)), ""), "")</f>
        <v/>
      </c>
      <c r="B373" s="10">
        <f>IFERROR(IF(AND(IFERROR(INDEX(ERP資料!$A:$A, (MATCH(372, 輔助計算!$F$2:$F$801, 0)+1)), "")&lt;&gt;"", IFERROR(INDEX(ERP資料!$A:$A, (MATCH(372, 輔助計算!$F$2:$F$801, 0)+1)), "")&lt;&gt;IFERROR(INDEX(ERP資料!$A:$A, MATCH(371, 輔助計算!$F$2:$F$801, 0)+1), "")), IFERROR(INDEX(ERP資料!$A:$A, (MATCH(372, 輔助計算!$F$2:$F$801, 0)+1)), ""), ""), "")</f>
        <v/>
      </c>
      <c r="C373" s="10">
        <f>IFERROR(IF(AND(IFERROR(INDEX(ERP資料!$A:$A, (MATCH(372, 輔助計算!$F$2:$F$801, 0)+1)), "")&lt;&gt;"", IFERROR(INDEX(ERP資料!$A:$A, (MATCH(372, 輔助計算!$F$2:$F$801, 0)+1)), "")&lt;&gt;IFERROR(INDEX(ERP資料!$A:$A, MATCH(371, 輔助計算!$F$2:$F$801, 0)+1), "")), INDEX(ERP資料!$S:$S, (MATCH(372, 輔助計算!$F$2:$F$801, 0)+1)), ""), "")</f>
        <v/>
      </c>
      <c r="D373" s="10">
        <f>IFERROR(IF(INDEX(ERP資料!$E:$E, (MATCH(372, 輔助計算!$F$2:$F$801, 0)+1))="","",TRIM(INDEX(ERP資料!$E:$E, (MATCH(372, 輔助計算!$F$2:$F$801, 0)+1)))), "")</f>
        <v/>
      </c>
      <c r="E373" s="10">
        <f>IFERROR(IF(INDEX(ERP資料!$F:$F, (MATCH(372, 輔助計算!$F$2:$F$801, 0)+1))="","",INDEX(ERP資料!$F:$F, (MATCH(372, 輔助計算!$F$2:$F$801, 0)+1))), "")</f>
        <v/>
      </c>
      <c r="F373" s="10">
        <f>IFERROR(IF(INDEX(ERP資料!$G:$G, (MATCH(372, 輔助計算!$F$2:$F$801, 0)+1))="","",INDEX(ERP資料!$G:$G, (MATCH(372, 輔助計算!$F$2:$F$801, 0)+1))), "")</f>
        <v/>
      </c>
      <c r="G373" s="10">
        <f>IFERROR(IF(INDEX(ERP資料!$H:$H, (MATCH(372, 輔助計算!$F$2:$F$801, 0)+1))="","",INDEX(ERP資料!$H:$H, (MATCH(372, 輔助計算!$F$2:$F$801, 0)+1))), "")</f>
        <v/>
      </c>
      <c r="H373" s="10">
        <f>IFERROR(IF(INDEX(ERP資料!$O:$O, (MATCH(372, 輔助計算!$F$2:$F$801, 0)+1))="","",INDEX(ERP資料!$O:$O, (MATCH(372, 輔助計算!$F$2:$F$801, 0)+1))), "")</f>
        <v/>
      </c>
      <c r="I373" s="15">
        <f>IFERROR(IF(INDEX(輔助計算!$D:$D,(MATCH(372, 輔助計算!$F$2:$F$801, 0)+1))="","",INDEX(輔助計算!$D:$D,(MATCH(372, 輔助計算!$F$2:$F$801, 0)+1))*INDEX(ERP資料!$O:$O,(MATCH(372, 輔助計算!$F$2:$F$801, 0)+1))), "")</f>
        <v/>
      </c>
      <c r="J373" s="16" t="n"/>
      <c r="K373" s="15">
        <f>IFERROR(INDEX(輔助計算!$D:$D, (MATCH(372, 輔助計算!$F$2:$F$801, 0)+1)), "")</f>
        <v/>
      </c>
      <c r="L373" s="16">
        <f>IFERROR(IF(AND(IFERROR(VLOOKUP(LEFT(INDEX(ERP資料!$S:$S, (MATCH(372, 輔助計算!$F$2:$F$801, 0)+1)), 4), 100張客戶!$A:$A, 1, FALSE), "")&lt;&gt;"", OR(INDEX(ERP資料!$F:$F, (MATCH(372, 輔助計算!$F$2:$F$801, 0)+1))=270, INDEX(ERP資料!$F:$F, (MATCH(372, 輔助計算!$F$2:$F$801, 0)+1))=300)), "100張", ""), "")</f>
        <v/>
      </c>
      <c r="M373" s="17" t="n"/>
      <c r="N373" s="17">
        <f>IF($F373="","",$F373)</f>
        <v/>
      </c>
      <c r="O373" s="17">
        <f>IF($G373="","",$G373)</f>
        <v/>
      </c>
      <c r="P373" s="17">
        <f>IF($K373="","",$K373)</f>
        <v/>
      </c>
      <c r="Q373" s="16" t="n"/>
      <c r="R373" s="18" t="n"/>
      <c r="S373" s="16" t="n"/>
    </row>
    <row r="374">
      <c r="A374" s="14">
        <f>IFERROR(IF(AND(IFERROR(INDEX(ERP資料!$A:$A, (MATCH(373, 輔助計算!$F$2:$F$801, 0)+1)), "")&lt;&gt;"", IFERROR(INDEX(ERP資料!$A:$A, (MATCH(373, 輔助計算!$F$2:$F$801, 0)+1)), "")&lt;&gt;IFERROR(INDEX(ERP資料!$A:$A, MATCH(372, 輔助計算!$F$2:$F$801, 0)+1), "")), INDEX(ERP資料!$B:$B, (MATCH(373, 輔助計算!$F$2:$F$801, 0)+1)), ""), "")</f>
        <v/>
      </c>
      <c r="B374" s="10">
        <f>IFERROR(IF(AND(IFERROR(INDEX(ERP資料!$A:$A, (MATCH(373, 輔助計算!$F$2:$F$801, 0)+1)), "")&lt;&gt;"", IFERROR(INDEX(ERP資料!$A:$A, (MATCH(373, 輔助計算!$F$2:$F$801, 0)+1)), "")&lt;&gt;IFERROR(INDEX(ERP資料!$A:$A, MATCH(372, 輔助計算!$F$2:$F$801, 0)+1), "")), IFERROR(INDEX(ERP資料!$A:$A, (MATCH(373, 輔助計算!$F$2:$F$801, 0)+1)), ""), ""), "")</f>
        <v/>
      </c>
      <c r="C374" s="10">
        <f>IFERROR(IF(AND(IFERROR(INDEX(ERP資料!$A:$A, (MATCH(373, 輔助計算!$F$2:$F$801, 0)+1)), "")&lt;&gt;"", IFERROR(INDEX(ERP資料!$A:$A, (MATCH(373, 輔助計算!$F$2:$F$801, 0)+1)), "")&lt;&gt;IFERROR(INDEX(ERP資料!$A:$A, MATCH(372, 輔助計算!$F$2:$F$801, 0)+1), "")), INDEX(ERP資料!$S:$S, (MATCH(373, 輔助計算!$F$2:$F$801, 0)+1)), ""), "")</f>
        <v/>
      </c>
      <c r="D374" s="10">
        <f>IFERROR(IF(INDEX(ERP資料!$E:$E, (MATCH(373, 輔助計算!$F$2:$F$801, 0)+1))="","",TRIM(INDEX(ERP資料!$E:$E, (MATCH(373, 輔助計算!$F$2:$F$801, 0)+1)))), "")</f>
        <v/>
      </c>
      <c r="E374" s="10">
        <f>IFERROR(IF(INDEX(ERP資料!$F:$F, (MATCH(373, 輔助計算!$F$2:$F$801, 0)+1))="","",INDEX(ERP資料!$F:$F, (MATCH(373, 輔助計算!$F$2:$F$801, 0)+1))), "")</f>
        <v/>
      </c>
      <c r="F374" s="10">
        <f>IFERROR(IF(INDEX(ERP資料!$G:$G, (MATCH(373, 輔助計算!$F$2:$F$801, 0)+1))="","",INDEX(ERP資料!$G:$G, (MATCH(373, 輔助計算!$F$2:$F$801, 0)+1))), "")</f>
        <v/>
      </c>
      <c r="G374" s="10">
        <f>IFERROR(IF(INDEX(ERP資料!$H:$H, (MATCH(373, 輔助計算!$F$2:$F$801, 0)+1))="","",INDEX(ERP資料!$H:$H, (MATCH(373, 輔助計算!$F$2:$F$801, 0)+1))), "")</f>
        <v/>
      </c>
      <c r="H374" s="10">
        <f>IFERROR(IF(INDEX(ERP資料!$O:$O, (MATCH(373, 輔助計算!$F$2:$F$801, 0)+1))="","",INDEX(ERP資料!$O:$O, (MATCH(373, 輔助計算!$F$2:$F$801, 0)+1))), "")</f>
        <v/>
      </c>
      <c r="I374" s="15">
        <f>IFERROR(IF(INDEX(輔助計算!$D:$D,(MATCH(373, 輔助計算!$F$2:$F$801, 0)+1))="","",INDEX(輔助計算!$D:$D,(MATCH(373, 輔助計算!$F$2:$F$801, 0)+1))*INDEX(ERP資料!$O:$O,(MATCH(373, 輔助計算!$F$2:$F$801, 0)+1))), "")</f>
        <v/>
      </c>
      <c r="J374" s="16" t="n"/>
      <c r="K374" s="15">
        <f>IFERROR(INDEX(輔助計算!$D:$D, (MATCH(373, 輔助計算!$F$2:$F$801, 0)+1)), "")</f>
        <v/>
      </c>
      <c r="L374" s="16">
        <f>IFERROR(IF(AND(IFERROR(VLOOKUP(LEFT(INDEX(ERP資料!$S:$S, (MATCH(373, 輔助計算!$F$2:$F$801, 0)+1)), 4), 100張客戶!$A:$A, 1, FALSE), "")&lt;&gt;"", OR(INDEX(ERP資料!$F:$F, (MATCH(373, 輔助計算!$F$2:$F$801, 0)+1))=270, INDEX(ERP資料!$F:$F, (MATCH(373, 輔助計算!$F$2:$F$801, 0)+1))=300)), "100張", ""), "")</f>
        <v/>
      </c>
      <c r="M374" s="17" t="n"/>
      <c r="N374" s="17">
        <f>IF($F374="","",$F374)</f>
        <v/>
      </c>
      <c r="O374" s="17">
        <f>IF($G374="","",$G374)</f>
        <v/>
      </c>
      <c r="P374" s="17">
        <f>IF($K374="","",$K374)</f>
        <v/>
      </c>
      <c r="Q374" s="16" t="n"/>
      <c r="R374" s="18" t="n"/>
      <c r="S374" s="16" t="n"/>
    </row>
    <row r="375">
      <c r="A375" s="14">
        <f>IFERROR(IF(AND(IFERROR(INDEX(ERP資料!$A:$A, (MATCH(374, 輔助計算!$F$2:$F$801, 0)+1)), "")&lt;&gt;"", IFERROR(INDEX(ERP資料!$A:$A, (MATCH(374, 輔助計算!$F$2:$F$801, 0)+1)), "")&lt;&gt;IFERROR(INDEX(ERP資料!$A:$A, MATCH(373, 輔助計算!$F$2:$F$801, 0)+1), "")), INDEX(ERP資料!$B:$B, (MATCH(374, 輔助計算!$F$2:$F$801, 0)+1)), ""), "")</f>
        <v/>
      </c>
      <c r="B375" s="10">
        <f>IFERROR(IF(AND(IFERROR(INDEX(ERP資料!$A:$A, (MATCH(374, 輔助計算!$F$2:$F$801, 0)+1)), "")&lt;&gt;"", IFERROR(INDEX(ERP資料!$A:$A, (MATCH(374, 輔助計算!$F$2:$F$801, 0)+1)), "")&lt;&gt;IFERROR(INDEX(ERP資料!$A:$A, MATCH(373, 輔助計算!$F$2:$F$801, 0)+1), "")), IFERROR(INDEX(ERP資料!$A:$A, (MATCH(374, 輔助計算!$F$2:$F$801, 0)+1)), ""), ""), "")</f>
        <v/>
      </c>
      <c r="C375" s="10">
        <f>IFERROR(IF(AND(IFERROR(INDEX(ERP資料!$A:$A, (MATCH(374, 輔助計算!$F$2:$F$801, 0)+1)), "")&lt;&gt;"", IFERROR(INDEX(ERP資料!$A:$A, (MATCH(374, 輔助計算!$F$2:$F$801, 0)+1)), "")&lt;&gt;IFERROR(INDEX(ERP資料!$A:$A, MATCH(373, 輔助計算!$F$2:$F$801, 0)+1), "")), INDEX(ERP資料!$S:$S, (MATCH(374, 輔助計算!$F$2:$F$801, 0)+1)), ""), "")</f>
        <v/>
      </c>
      <c r="D375" s="10">
        <f>IFERROR(IF(INDEX(ERP資料!$E:$E, (MATCH(374, 輔助計算!$F$2:$F$801, 0)+1))="","",TRIM(INDEX(ERP資料!$E:$E, (MATCH(374, 輔助計算!$F$2:$F$801, 0)+1)))), "")</f>
        <v/>
      </c>
      <c r="E375" s="10">
        <f>IFERROR(IF(INDEX(ERP資料!$F:$F, (MATCH(374, 輔助計算!$F$2:$F$801, 0)+1))="","",INDEX(ERP資料!$F:$F, (MATCH(374, 輔助計算!$F$2:$F$801, 0)+1))), "")</f>
        <v/>
      </c>
      <c r="F375" s="10">
        <f>IFERROR(IF(INDEX(ERP資料!$G:$G, (MATCH(374, 輔助計算!$F$2:$F$801, 0)+1))="","",INDEX(ERP資料!$G:$G, (MATCH(374, 輔助計算!$F$2:$F$801, 0)+1))), "")</f>
        <v/>
      </c>
      <c r="G375" s="10">
        <f>IFERROR(IF(INDEX(ERP資料!$H:$H, (MATCH(374, 輔助計算!$F$2:$F$801, 0)+1))="","",INDEX(ERP資料!$H:$H, (MATCH(374, 輔助計算!$F$2:$F$801, 0)+1))), "")</f>
        <v/>
      </c>
      <c r="H375" s="10">
        <f>IFERROR(IF(INDEX(ERP資料!$O:$O, (MATCH(374, 輔助計算!$F$2:$F$801, 0)+1))="","",INDEX(ERP資料!$O:$O, (MATCH(374, 輔助計算!$F$2:$F$801, 0)+1))), "")</f>
        <v/>
      </c>
      <c r="I375" s="15">
        <f>IFERROR(IF(INDEX(輔助計算!$D:$D,(MATCH(374, 輔助計算!$F$2:$F$801, 0)+1))="","",INDEX(輔助計算!$D:$D,(MATCH(374, 輔助計算!$F$2:$F$801, 0)+1))*INDEX(ERP資料!$O:$O,(MATCH(374, 輔助計算!$F$2:$F$801, 0)+1))), "")</f>
        <v/>
      </c>
      <c r="J375" s="16" t="n"/>
      <c r="K375" s="15">
        <f>IFERROR(INDEX(輔助計算!$D:$D, (MATCH(374, 輔助計算!$F$2:$F$801, 0)+1)), "")</f>
        <v/>
      </c>
      <c r="L375" s="16">
        <f>IFERROR(IF(AND(IFERROR(VLOOKUP(LEFT(INDEX(ERP資料!$S:$S, (MATCH(374, 輔助計算!$F$2:$F$801, 0)+1)), 4), 100張客戶!$A:$A, 1, FALSE), "")&lt;&gt;"", OR(INDEX(ERP資料!$F:$F, (MATCH(374, 輔助計算!$F$2:$F$801, 0)+1))=270, INDEX(ERP資料!$F:$F, (MATCH(374, 輔助計算!$F$2:$F$801, 0)+1))=300)), "100張", ""), "")</f>
        <v/>
      </c>
      <c r="M375" s="17" t="n"/>
      <c r="N375" s="17">
        <f>IF($F375="","",$F375)</f>
        <v/>
      </c>
      <c r="O375" s="17">
        <f>IF($G375="","",$G375)</f>
        <v/>
      </c>
      <c r="P375" s="17">
        <f>IF($K375="","",$K375)</f>
        <v/>
      </c>
      <c r="Q375" s="16" t="n"/>
      <c r="R375" s="18" t="n"/>
      <c r="S375" s="16" t="n"/>
    </row>
    <row r="376">
      <c r="A376" s="14">
        <f>IFERROR(IF(AND(IFERROR(INDEX(ERP資料!$A:$A, (MATCH(375, 輔助計算!$F$2:$F$801, 0)+1)), "")&lt;&gt;"", IFERROR(INDEX(ERP資料!$A:$A, (MATCH(375, 輔助計算!$F$2:$F$801, 0)+1)), "")&lt;&gt;IFERROR(INDEX(ERP資料!$A:$A, MATCH(374, 輔助計算!$F$2:$F$801, 0)+1), "")), INDEX(ERP資料!$B:$B, (MATCH(375, 輔助計算!$F$2:$F$801, 0)+1)), ""), "")</f>
        <v/>
      </c>
      <c r="B376" s="10">
        <f>IFERROR(IF(AND(IFERROR(INDEX(ERP資料!$A:$A, (MATCH(375, 輔助計算!$F$2:$F$801, 0)+1)), "")&lt;&gt;"", IFERROR(INDEX(ERP資料!$A:$A, (MATCH(375, 輔助計算!$F$2:$F$801, 0)+1)), "")&lt;&gt;IFERROR(INDEX(ERP資料!$A:$A, MATCH(374, 輔助計算!$F$2:$F$801, 0)+1), "")), IFERROR(INDEX(ERP資料!$A:$A, (MATCH(375, 輔助計算!$F$2:$F$801, 0)+1)), ""), ""), "")</f>
        <v/>
      </c>
      <c r="C376" s="10">
        <f>IFERROR(IF(AND(IFERROR(INDEX(ERP資料!$A:$A, (MATCH(375, 輔助計算!$F$2:$F$801, 0)+1)), "")&lt;&gt;"", IFERROR(INDEX(ERP資料!$A:$A, (MATCH(375, 輔助計算!$F$2:$F$801, 0)+1)), "")&lt;&gt;IFERROR(INDEX(ERP資料!$A:$A, MATCH(374, 輔助計算!$F$2:$F$801, 0)+1), "")), INDEX(ERP資料!$S:$S, (MATCH(375, 輔助計算!$F$2:$F$801, 0)+1)), ""), "")</f>
        <v/>
      </c>
      <c r="D376" s="10">
        <f>IFERROR(IF(INDEX(ERP資料!$E:$E, (MATCH(375, 輔助計算!$F$2:$F$801, 0)+1))="","",TRIM(INDEX(ERP資料!$E:$E, (MATCH(375, 輔助計算!$F$2:$F$801, 0)+1)))), "")</f>
        <v/>
      </c>
      <c r="E376" s="10">
        <f>IFERROR(IF(INDEX(ERP資料!$F:$F, (MATCH(375, 輔助計算!$F$2:$F$801, 0)+1))="","",INDEX(ERP資料!$F:$F, (MATCH(375, 輔助計算!$F$2:$F$801, 0)+1))), "")</f>
        <v/>
      </c>
      <c r="F376" s="10">
        <f>IFERROR(IF(INDEX(ERP資料!$G:$G, (MATCH(375, 輔助計算!$F$2:$F$801, 0)+1))="","",INDEX(ERP資料!$G:$G, (MATCH(375, 輔助計算!$F$2:$F$801, 0)+1))), "")</f>
        <v/>
      </c>
      <c r="G376" s="10">
        <f>IFERROR(IF(INDEX(ERP資料!$H:$H, (MATCH(375, 輔助計算!$F$2:$F$801, 0)+1))="","",INDEX(ERP資料!$H:$H, (MATCH(375, 輔助計算!$F$2:$F$801, 0)+1))), "")</f>
        <v/>
      </c>
      <c r="H376" s="10">
        <f>IFERROR(IF(INDEX(ERP資料!$O:$O, (MATCH(375, 輔助計算!$F$2:$F$801, 0)+1))="","",INDEX(ERP資料!$O:$O, (MATCH(375, 輔助計算!$F$2:$F$801, 0)+1))), "")</f>
        <v/>
      </c>
      <c r="I376" s="15">
        <f>IFERROR(IF(INDEX(輔助計算!$D:$D,(MATCH(375, 輔助計算!$F$2:$F$801, 0)+1))="","",INDEX(輔助計算!$D:$D,(MATCH(375, 輔助計算!$F$2:$F$801, 0)+1))*INDEX(ERP資料!$O:$O,(MATCH(375, 輔助計算!$F$2:$F$801, 0)+1))), "")</f>
        <v/>
      </c>
      <c r="J376" s="16" t="n"/>
      <c r="K376" s="15">
        <f>IFERROR(INDEX(輔助計算!$D:$D, (MATCH(375, 輔助計算!$F$2:$F$801, 0)+1)), "")</f>
        <v/>
      </c>
      <c r="L376" s="16">
        <f>IFERROR(IF(AND(IFERROR(VLOOKUP(LEFT(INDEX(ERP資料!$S:$S, (MATCH(375, 輔助計算!$F$2:$F$801, 0)+1)), 4), 100張客戶!$A:$A, 1, FALSE), "")&lt;&gt;"", OR(INDEX(ERP資料!$F:$F, (MATCH(375, 輔助計算!$F$2:$F$801, 0)+1))=270, INDEX(ERP資料!$F:$F, (MATCH(375, 輔助計算!$F$2:$F$801, 0)+1))=300)), "100張", ""), "")</f>
        <v/>
      </c>
      <c r="M376" s="17" t="n"/>
      <c r="N376" s="17">
        <f>IF($F376="","",$F376)</f>
        <v/>
      </c>
      <c r="O376" s="17">
        <f>IF($G376="","",$G376)</f>
        <v/>
      </c>
      <c r="P376" s="17">
        <f>IF($K376="","",$K376)</f>
        <v/>
      </c>
      <c r="Q376" s="16" t="n"/>
      <c r="R376" s="18" t="n"/>
      <c r="S376" s="16" t="n"/>
    </row>
    <row r="377">
      <c r="A377" s="14">
        <f>IFERROR(IF(AND(IFERROR(INDEX(ERP資料!$A:$A, (MATCH(376, 輔助計算!$F$2:$F$801, 0)+1)), "")&lt;&gt;"", IFERROR(INDEX(ERP資料!$A:$A, (MATCH(376, 輔助計算!$F$2:$F$801, 0)+1)), "")&lt;&gt;IFERROR(INDEX(ERP資料!$A:$A, MATCH(375, 輔助計算!$F$2:$F$801, 0)+1), "")), INDEX(ERP資料!$B:$B, (MATCH(376, 輔助計算!$F$2:$F$801, 0)+1)), ""), "")</f>
        <v/>
      </c>
      <c r="B377" s="10">
        <f>IFERROR(IF(AND(IFERROR(INDEX(ERP資料!$A:$A, (MATCH(376, 輔助計算!$F$2:$F$801, 0)+1)), "")&lt;&gt;"", IFERROR(INDEX(ERP資料!$A:$A, (MATCH(376, 輔助計算!$F$2:$F$801, 0)+1)), "")&lt;&gt;IFERROR(INDEX(ERP資料!$A:$A, MATCH(375, 輔助計算!$F$2:$F$801, 0)+1), "")), IFERROR(INDEX(ERP資料!$A:$A, (MATCH(376, 輔助計算!$F$2:$F$801, 0)+1)), ""), ""), "")</f>
        <v/>
      </c>
      <c r="C377" s="10">
        <f>IFERROR(IF(AND(IFERROR(INDEX(ERP資料!$A:$A, (MATCH(376, 輔助計算!$F$2:$F$801, 0)+1)), "")&lt;&gt;"", IFERROR(INDEX(ERP資料!$A:$A, (MATCH(376, 輔助計算!$F$2:$F$801, 0)+1)), "")&lt;&gt;IFERROR(INDEX(ERP資料!$A:$A, MATCH(375, 輔助計算!$F$2:$F$801, 0)+1), "")), INDEX(ERP資料!$S:$S, (MATCH(376, 輔助計算!$F$2:$F$801, 0)+1)), ""), "")</f>
        <v/>
      </c>
      <c r="D377" s="10">
        <f>IFERROR(IF(INDEX(ERP資料!$E:$E, (MATCH(376, 輔助計算!$F$2:$F$801, 0)+1))="","",TRIM(INDEX(ERP資料!$E:$E, (MATCH(376, 輔助計算!$F$2:$F$801, 0)+1)))), "")</f>
        <v/>
      </c>
      <c r="E377" s="10">
        <f>IFERROR(IF(INDEX(ERP資料!$F:$F, (MATCH(376, 輔助計算!$F$2:$F$801, 0)+1))="","",INDEX(ERP資料!$F:$F, (MATCH(376, 輔助計算!$F$2:$F$801, 0)+1))), "")</f>
        <v/>
      </c>
      <c r="F377" s="10">
        <f>IFERROR(IF(INDEX(ERP資料!$G:$G, (MATCH(376, 輔助計算!$F$2:$F$801, 0)+1))="","",INDEX(ERP資料!$G:$G, (MATCH(376, 輔助計算!$F$2:$F$801, 0)+1))), "")</f>
        <v/>
      </c>
      <c r="G377" s="10">
        <f>IFERROR(IF(INDEX(ERP資料!$H:$H, (MATCH(376, 輔助計算!$F$2:$F$801, 0)+1))="","",INDEX(ERP資料!$H:$H, (MATCH(376, 輔助計算!$F$2:$F$801, 0)+1))), "")</f>
        <v/>
      </c>
      <c r="H377" s="10">
        <f>IFERROR(IF(INDEX(ERP資料!$O:$O, (MATCH(376, 輔助計算!$F$2:$F$801, 0)+1))="","",INDEX(ERP資料!$O:$O, (MATCH(376, 輔助計算!$F$2:$F$801, 0)+1))), "")</f>
        <v/>
      </c>
      <c r="I377" s="15">
        <f>IFERROR(IF(INDEX(輔助計算!$D:$D,(MATCH(376, 輔助計算!$F$2:$F$801, 0)+1))="","",INDEX(輔助計算!$D:$D,(MATCH(376, 輔助計算!$F$2:$F$801, 0)+1))*INDEX(ERP資料!$O:$O,(MATCH(376, 輔助計算!$F$2:$F$801, 0)+1))), "")</f>
        <v/>
      </c>
      <c r="J377" s="16" t="n"/>
      <c r="K377" s="15">
        <f>IFERROR(INDEX(輔助計算!$D:$D, (MATCH(376, 輔助計算!$F$2:$F$801, 0)+1)), "")</f>
        <v/>
      </c>
      <c r="L377" s="16">
        <f>IFERROR(IF(AND(IFERROR(VLOOKUP(LEFT(INDEX(ERP資料!$S:$S, (MATCH(376, 輔助計算!$F$2:$F$801, 0)+1)), 4), 100張客戶!$A:$A, 1, FALSE), "")&lt;&gt;"", OR(INDEX(ERP資料!$F:$F, (MATCH(376, 輔助計算!$F$2:$F$801, 0)+1))=270, INDEX(ERP資料!$F:$F, (MATCH(376, 輔助計算!$F$2:$F$801, 0)+1))=300)), "100張", ""), "")</f>
        <v/>
      </c>
      <c r="M377" s="17" t="n"/>
      <c r="N377" s="17">
        <f>IF($F377="","",$F377)</f>
        <v/>
      </c>
      <c r="O377" s="17">
        <f>IF($G377="","",$G377)</f>
        <v/>
      </c>
      <c r="P377" s="17">
        <f>IF($K377="","",$K377)</f>
        <v/>
      </c>
      <c r="Q377" s="16" t="n"/>
      <c r="R377" s="18" t="n"/>
      <c r="S377" s="16" t="n"/>
    </row>
    <row r="378">
      <c r="A378" s="14">
        <f>IFERROR(IF(AND(IFERROR(INDEX(ERP資料!$A:$A, (MATCH(377, 輔助計算!$F$2:$F$801, 0)+1)), "")&lt;&gt;"", IFERROR(INDEX(ERP資料!$A:$A, (MATCH(377, 輔助計算!$F$2:$F$801, 0)+1)), "")&lt;&gt;IFERROR(INDEX(ERP資料!$A:$A, MATCH(376, 輔助計算!$F$2:$F$801, 0)+1), "")), INDEX(ERP資料!$B:$B, (MATCH(377, 輔助計算!$F$2:$F$801, 0)+1)), ""), "")</f>
        <v/>
      </c>
      <c r="B378" s="10">
        <f>IFERROR(IF(AND(IFERROR(INDEX(ERP資料!$A:$A, (MATCH(377, 輔助計算!$F$2:$F$801, 0)+1)), "")&lt;&gt;"", IFERROR(INDEX(ERP資料!$A:$A, (MATCH(377, 輔助計算!$F$2:$F$801, 0)+1)), "")&lt;&gt;IFERROR(INDEX(ERP資料!$A:$A, MATCH(376, 輔助計算!$F$2:$F$801, 0)+1), "")), IFERROR(INDEX(ERP資料!$A:$A, (MATCH(377, 輔助計算!$F$2:$F$801, 0)+1)), ""), ""), "")</f>
        <v/>
      </c>
      <c r="C378" s="10">
        <f>IFERROR(IF(AND(IFERROR(INDEX(ERP資料!$A:$A, (MATCH(377, 輔助計算!$F$2:$F$801, 0)+1)), "")&lt;&gt;"", IFERROR(INDEX(ERP資料!$A:$A, (MATCH(377, 輔助計算!$F$2:$F$801, 0)+1)), "")&lt;&gt;IFERROR(INDEX(ERP資料!$A:$A, MATCH(376, 輔助計算!$F$2:$F$801, 0)+1), "")), INDEX(ERP資料!$S:$S, (MATCH(377, 輔助計算!$F$2:$F$801, 0)+1)), ""), "")</f>
        <v/>
      </c>
      <c r="D378" s="10">
        <f>IFERROR(IF(INDEX(ERP資料!$E:$E, (MATCH(377, 輔助計算!$F$2:$F$801, 0)+1))="","",TRIM(INDEX(ERP資料!$E:$E, (MATCH(377, 輔助計算!$F$2:$F$801, 0)+1)))), "")</f>
        <v/>
      </c>
      <c r="E378" s="10">
        <f>IFERROR(IF(INDEX(ERP資料!$F:$F, (MATCH(377, 輔助計算!$F$2:$F$801, 0)+1))="","",INDEX(ERP資料!$F:$F, (MATCH(377, 輔助計算!$F$2:$F$801, 0)+1))), "")</f>
        <v/>
      </c>
      <c r="F378" s="10">
        <f>IFERROR(IF(INDEX(ERP資料!$G:$G, (MATCH(377, 輔助計算!$F$2:$F$801, 0)+1))="","",INDEX(ERP資料!$G:$G, (MATCH(377, 輔助計算!$F$2:$F$801, 0)+1))), "")</f>
        <v/>
      </c>
      <c r="G378" s="10">
        <f>IFERROR(IF(INDEX(ERP資料!$H:$H, (MATCH(377, 輔助計算!$F$2:$F$801, 0)+1))="","",INDEX(ERP資料!$H:$H, (MATCH(377, 輔助計算!$F$2:$F$801, 0)+1))), "")</f>
        <v/>
      </c>
      <c r="H378" s="10">
        <f>IFERROR(IF(INDEX(ERP資料!$O:$O, (MATCH(377, 輔助計算!$F$2:$F$801, 0)+1))="","",INDEX(ERP資料!$O:$O, (MATCH(377, 輔助計算!$F$2:$F$801, 0)+1))), "")</f>
        <v/>
      </c>
      <c r="I378" s="15">
        <f>IFERROR(IF(INDEX(輔助計算!$D:$D,(MATCH(377, 輔助計算!$F$2:$F$801, 0)+1))="","",INDEX(輔助計算!$D:$D,(MATCH(377, 輔助計算!$F$2:$F$801, 0)+1))*INDEX(ERP資料!$O:$O,(MATCH(377, 輔助計算!$F$2:$F$801, 0)+1))), "")</f>
        <v/>
      </c>
      <c r="J378" s="16" t="n"/>
      <c r="K378" s="15">
        <f>IFERROR(INDEX(輔助計算!$D:$D, (MATCH(377, 輔助計算!$F$2:$F$801, 0)+1)), "")</f>
        <v/>
      </c>
      <c r="L378" s="16">
        <f>IFERROR(IF(AND(IFERROR(VLOOKUP(LEFT(INDEX(ERP資料!$S:$S, (MATCH(377, 輔助計算!$F$2:$F$801, 0)+1)), 4), 100張客戶!$A:$A, 1, FALSE), "")&lt;&gt;"", OR(INDEX(ERP資料!$F:$F, (MATCH(377, 輔助計算!$F$2:$F$801, 0)+1))=270, INDEX(ERP資料!$F:$F, (MATCH(377, 輔助計算!$F$2:$F$801, 0)+1))=300)), "100張", ""), "")</f>
        <v/>
      </c>
      <c r="M378" s="17" t="n"/>
      <c r="N378" s="17">
        <f>IF($F378="","",$F378)</f>
        <v/>
      </c>
      <c r="O378" s="17">
        <f>IF($G378="","",$G378)</f>
        <v/>
      </c>
      <c r="P378" s="17">
        <f>IF($K378="","",$K378)</f>
        <v/>
      </c>
      <c r="Q378" s="16" t="n"/>
      <c r="R378" s="18" t="n"/>
      <c r="S378" s="16" t="n"/>
    </row>
    <row r="379">
      <c r="A379" s="14">
        <f>IFERROR(IF(AND(IFERROR(INDEX(ERP資料!$A:$A, (MATCH(378, 輔助計算!$F$2:$F$801, 0)+1)), "")&lt;&gt;"", IFERROR(INDEX(ERP資料!$A:$A, (MATCH(378, 輔助計算!$F$2:$F$801, 0)+1)), "")&lt;&gt;IFERROR(INDEX(ERP資料!$A:$A, MATCH(377, 輔助計算!$F$2:$F$801, 0)+1), "")), INDEX(ERP資料!$B:$B, (MATCH(378, 輔助計算!$F$2:$F$801, 0)+1)), ""), "")</f>
        <v/>
      </c>
      <c r="B379" s="10">
        <f>IFERROR(IF(AND(IFERROR(INDEX(ERP資料!$A:$A, (MATCH(378, 輔助計算!$F$2:$F$801, 0)+1)), "")&lt;&gt;"", IFERROR(INDEX(ERP資料!$A:$A, (MATCH(378, 輔助計算!$F$2:$F$801, 0)+1)), "")&lt;&gt;IFERROR(INDEX(ERP資料!$A:$A, MATCH(377, 輔助計算!$F$2:$F$801, 0)+1), "")), IFERROR(INDEX(ERP資料!$A:$A, (MATCH(378, 輔助計算!$F$2:$F$801, 0)+1)), ""), ""), "")</f>
        <v/>
      </c>
      <c r="C379" s="10">
        <f>IFERROR(IF(AND(IFERROR(INDEX(ERP資料!$A:$A, (MATCH(378, 輔助計算!$F$2:$F$801, 0)+1)), "")&lt;&gt;"", IFERROR(INDEX(ERP資料!$A:$A, (MATCH(378, 輔助計算!$F$2:$F$801, 0)+1)), "")&lt;&gt;IFERROR(INDEX(ERP資料!$A:$A, MATCH(377, 輔助計算!$F$2:$F$801, 0)+1), "")), INDEX(ERP資料!$S:$S, (MATCH(378, 輔助計算!$F$2:$F$801, 0)+1)), ""), "")</f>
        <v/>
      </c>
      <c r="D379" s="10">
        <f>IFERROR(IF(INDEX(ERP資料!$E:$E, (MATCH(378, 輔助計算!$F$2:$F$801, 0)+1))="","",TRIM(INDEX(ERP資料!$E:$E, (MATCH(378, 輔助計算!$F$2:$F$801, 0)+1)))), "")</f>
        <v/>
      </c>
      <c r="E379" s="10">
        <f>IFERROR(IF(INDEX(ERP資料!$F:$F, (MATCH(378, 輔助計算!$F$2:$F$801, 0)+1))="","",INDEX(ERP資料!$F:$F, (MATCH(378, 輔助計算!$F$2:$F$801, 0)+1))), "")</f>
        <v/>
      </c>
      <c r="F379" s="10">
        <f>IFERROR(IF(INDEX(ERP資料!$G:$G, (MATCH(378, 輔助計算!$F$2:$F$801, 0)+1))="","",INDEX(ERP資料!$G:$G, (MATCH(378, 輔助計算!$F$2:$F$801, 0)+1))), "")</f>
        <v/>
      </c>
      <c r="G379" s="10">
        <f>IFERROR(IF(INDEX(ERP資料!$H:$H, (MATCH(378, 輔助計算!$F$2:$F$801, 0)+1))="","",INDEX(ERP資料!$H:$H, (MATCH(378, 輔助計算!$F$2:$F$801, 0)+1))), "")</f>
        <v/>
      </c>
      <c r="H379" s="10">
        <f>IFERROR(IF(INDEX(ERP資料!$O:$O, (MATCH(378, 輔助計算!$F$2:$F$801, 0)+1))="","",INDEX(ERP資料!$O:$O, (MATCH(378, 輔助計算!$F$2:$F$801, 0)+1))), "")</f>
        <v/>
      </c>
      <c r="I379" s="15">
        <f>IFERROR(IF(INDEX(輔助計算!$D:$D,(MATCH(378, 輔助計算!$F$2:$F$801, 0)+1))="","",INDEX(輔助計算!$D:$D,(MATCH(378, 輔助計算!$F$2:$F$801, 0)+1))*INDEX(ERP資料!$O:$O,(MATCH(378, 輔助計算!$F$2:$F$801, 0)+1))), "")</f>
        <v/>
      </c>
      <c r="J379" s="16" t="n"/>
      <c r="K379" s="15">
        <f>IFERROR(INDEX(輔助計算!$D:$D, (MATCH(378, 輔助計算!$F$2:$F$801, 0)+1)), "")</f>
        <v/>
      </c>
      <c r="L379" s="16">
        <f>IFERROR(IF(AND(IFERROR(VLOOKUP(LEFT(INDEX(ERP資料!$S:$S, (MATCH(378, 輔助計算!$F$2:$F$801, 0)+1)), 4), 100張客戶!$A:$A, 1, FALSE), "")&lt;&gt;"", OR(INDEX(ERP資料!$F:$F, (MATCH(378, 輔助計算!$F$2:$F$801, 0)+1))=270, INDEX(ERP資料!$F:$F, (MATCH(378, 輔助計算!$F$2:$F$801, 0)+1))=300)), "100張", ""), "")</f>
        <v/>
      </c>
      <c r="M379" s="17" t="n"/>
      <c r="N379" s="17">
        <f>IF($F379="","",$F379)</f>
        <v/>
      </c>
      <c r="O379" s="17">
        <f>IF($G379="","",$G379)</f>
        <v/>
      </c>
      <c r="P379" s="17">
        <f>IF($K379="","",$K379)</f>
        <v/>
      </c>
      <c r="Q379" s="16" t="n"/>
      <c r="R379" s="18" t="n"/>
      <c r="S379" s="16" t="n"/>
    </row>
    <row r="380">
      <c r="A380" s="14">
        <f>IFERROR(IF(AND(IFERROR(INDEX(ERP資料!$A:$A, (MATCH(379, 輔助計算!$F$2:$F$801, 0)+1)), "")&lt;&gt;"", IFERROR(INDEX(ERP資料!$A:$A, (MATCH(379, 輔助計算!$F$2:$F$801, 0)+1)), "")&lt;&gt;IFERROR(INDEX(ERP資料!$A:$A, MATCH(378, 輔助計算!$F$2:$F$801, 0)+1), "")), INDEX(ERP資料!$B:$B, (MATCH(379, 輔助計算!$F$2:$F$801, 0)+1)), ""), "")</f>
        <v/>
      </c>
      <c r="B380" s="10">
        <f>IFERROR(IF(AND(IFERROR(INDEX(ERP資料!$A:$A, (MATCH(379, 輔助計算!$F$2:$F$801, 0)+1)), "")&lt;&gt;"", IFERROR(INDEX(ERP資料!$A:$A, (MATCH(379, 輔助計算!$F$2:$F$801, 0)+1)), "")&lt;&gt;IFERROR(INDEX(ERP資料!$A:$A, MATCH(378, 輔助計算!$F$2:$F$801, 0)+1), "")), IFERROR(INDEX(ERP資料!$A:$A, (MATCH(379, 輔助計算!$F$2:$F$801, 0)+1)), ""), ""), "")</f>
        <v/>
      </c>
      <c r="C380" s="10">
        <f>IFERROR(IF(AND(IFERROR(INDEX(ERP資料!$A:$A, (MATCH(379, 輔助計算!$F$2:$F$801, 0)+1)), "")&lt;&gt;"", IFERROR(INDEX(ERP資料!$A:$A, (MATCH(379, 輔助計算!$F$2:$F$801, 0)+1)), "")&lt;&gt;IFERROR(INDEX(ERP資料!$A:$A, MATCH(378, 輔助計算!$F$2:$F$801, 0)+1), "")), INDEX(ERP資料!$S:$S, (MATCH(379, 輔助計算!$F$2:$F$801, 0)+1)), ""), "")</f>
        <v/>
      </c>
      <c r="D380" s="10">
        <f>IFERROR(IF(INDEX(ERP資料!$E:$E, (MATCH(379, 輔助計算!$F$2:$F$801, 0)+1))="","",TRIM(INDEX(ERP資料!$E:$E, (MATCH(379, 輔助計算!$F$2:$F$801, 0)+1)))), "")</f>
        <v/>
      </c>
      <c r="E380" s="10">
        <f>IFERROR(IF(INDEX(ERP資料!$F:$F, (MATCH(379, 輔助計算!$F$2:$F$801, 0)+1))="","",INDEX(ERP資料!$F:$F, (MATCH(379, 輔助計算!$F$2:$F$801, 0)+1))), "")</f>
        <v/>
      </c>
      <c r="F380" s="10">
        <f>IFERROR(IF(INDEX(ERP資料!$G:$G, (MATCH(379, 輔助計算!$F$2:$F$801, 0)+1))="","",INDEX(ERP資料!$G:$G, (MATCH(379, 輔助計算!$F$2:$F$801, 0)+1))), "")</f>
        <v/>
      </c>
      <c r="G380" s="10">
        <f>IFERROR(IF(INDEX(ERP資料!$H:$H, (MATCH(379, 輔助計算!$F$2:$F$801, 0)+1))="","",INDEX(ERP資料!$H:$H, (MATCH(379, 輔助計算!$F$2:$F$801, 0)+1))), "")</f>
        <v/>
      </c>
      <c r="H380" s="10">
        <f>IFERROR(IF(INDEX(ERP資料!$O:$O, (MATCH(379, 輔助計算!$F$2:$F$801, 0)+1))="","",INDEX(ERP資料!$O:$O, (MATCH(379, 輔助計算!$F$2:$F$801, 0)+1))), "")</f>
        <v/>
      </c>
      <c r="I380" s="15">
        <f>IFERROR(IF(INDEX(輔助計算!$D:$D,(MATCH(379, 輔助計算!$F$2:$F$801, 0)+1))="","",INDEX(輔助計算!$D:$D,(MATCH(379, 輔助計算!$F$2:$F$801, 0)+1))*INDEX(ERP資料!$O:$O,(MATCH(379, 輔助計算!$F$2:$F$801, 0)+1))), "")</f>
        <v/>
      </c>
      <c r="J380" s="16" t="n"/>
      <c r="K380" s="15">
        <f>IFERROR(INDEX(輔助計算!$D:$D, (MATCH(379, 輔助計算!$F$2:$F$801, 0)+1)), "")</f>
        <v/>
      </c>
      <c r="L380" s="16">
        <f>IFERROR(IF(AND(IFERROR(VLOOKUP(LEFT(INDEX(ERP資料!$S:$S, (MATCH(379, 輔助計算!$F$2:$F$801, 0)+1)), 4), 100張客戶!$A:$A, 1, FALSE), "")&lt;&gt;"", OR(INDEX(ERP資料!$F:$F, (MATCH(379, 輔助計算!$F$2:$F$801, 0)+1))=270, INDEX(ERP資料!$F:$F, (MATCH(379, 輔助計算!$F$2:$F$801, 0)+1))=300)), "100張", ""), "")</f>
        <v/>
      </c>
      <c r="M380" s="17" t="n"/>
      <c r="N380" s="17">
        <f>IF($F380="","",$F380)</f>
        <v/>
      </c>
      <c r="O380" s="17">
        <f>IF($G380="","",$G380)</f>
        <v/>
      </c>
      <c r="P380" s="17">
        <f>IF($K380="","",$K380)</f>
        <v/>
      </c>
      <c r="Q380" s="16" t="n"/>
      <c r="R380" s="18" t="n"/>
      <c r="S380" s="16" t="n"/>
    </row>
    <row r="381">
      <c r="A381" s="14">
        <f>IFERROR(IF(AND(IFERROR(INDEX(ERP資料!$A:$A, (MATCH(380, 輔助計算!$F$2:$F$801, 0)+1)), "")&lt;&gt;"", IFERROR(INDEX(ERP資料!$A:$A, (MATCH(380, 輔助計算!$F$2:$F$801, 0)+1)), "")&lt;&gt;IFERROR(INDEX(ERP資料!$A:$A, MATCH(379, 輔助計算!$F$2:$F$801, 0)+1), "")), INDEX(ERP資料!$B:$B, (MATCH(380, 輔助計算!$F$2:$F$801, 0)+1)), ""), "")</f>
        <v/>
      </c>
      <c r="B381" s="10">
        <f>IFERROR(IF(AND(IFERROR(INDEX(ERP資料!$A:$A, (MATCH(380, 輔助計算!$F$2:$F$801, 0)+1)), "")&lt;&gt;"", IFERROR(INDEX(ERP資料!$A:$A, (MATCH(380, 輔助計算!$F$2:$F$801, 0)+1)), "")&lt;&gt;IFERROR(INDEX(ERP資料!$A:$A, MATCH(379, 輔助計算!$F$2:$F$801, 0)+1), "")), IFERROR(INDEX(ERP資料!$A:$A, (MATCH(380, 輔助計算!$F$2:$F$801, 0)+1)), ""), ""), "")</f>
        <v/>
      </c>
      <c r="C381" s="10">
        <f>IFERROR(IF(AND(IFERROR(INDEX(ERP資料!$A:$A, (MATCH(380, 輔助計算!$F$2:$F$801, 0)+1)), "")&lt;&gt;"", IFERROR(INDEX(ERP資料!$A:$A, (MATCH(380, 輔助計算!$F$2:$F$801, 0)+1)), "")&lt;&gt;IFERROR(INDEX(ERP資料!$A:$A, MATCH(379, 輔助計算!$F$2:$F$801, 0)+1), "")), INDEX(ERP資料!$S:$S, (MATCH(380, 輔助計算!$F$2:$F$801, 0)+1)), ""), "")</f>
        <v/>
      </c>
      <c r="D381" s="10">
        <f>IFERROR(IF(INDEX(ERP資料!$E:$E, (MATCH(380, 輔助計算!$F$2:$F$801, 0)+1))="","",TRIM(INDEX(ERP資料!$E:$E, (MATCH(380, 輔助計算!$F$2:$F$801, 0)+1)))), "")</f>
        <v/>
      </c>
      <c r="E381" s="10">
        <f>IFERROR(IF(INDEX(ERP資料!$F:$F, (MATCH(380, 輔助計算!$F$2:$F$801, 0)+1))="","",INDEX(ERP資料!$F:$F, (MATCH(380, 輔助計算!$F$2:$F$801, 0)+1))), "")</f>
        <v/>
      </c>
      <c r="F381" s="10">
        <f>IFERROR(IF(INDEX(ERP資料!$G:$G, (MATCH(380, 輔助計算!$F$2:$F$801, 0)+1))="","",INDEX(ERP資料!$G:$G, (MATCH(380, 輔助計算!$F$2:$F$801, 0)+1))), "")</f>
        <v/>
      </c>
      <c r="G381" s="10">
        <f>IFERROR(IF(INDEX(ERP資料!$H:$H, (MATCH(380, 輔助計算!$F$2:$F$801, 0)+1))="","",INDEX(ERP資料!$H:$H, (MATCH(380, 輔助計算!$F$2:$F$801, 0)+1))), "")</f>
        <v/>
      </c>
      <c r="H381" s="10">
        <f>IFERROR(IF(INDEX(ERP資料!$O:$O, (MATCH(380, 輔助計算!$F$2:$F$801, 0)+1))="","",INDEX(ERP資料!$O:$O, (MATCH(380, 輔助計算!$F$2:$F$801, 0)+1))), "")</f>
        <v/>
      </c>
      <c r="I381" s="15">
        <f>IFERROR(IF(INDEX(輔助計算!$D:$D,(MATCH(380, 輔助計算!$F$2:$F$801, 0)+1))="","",INDEX(輔助計算!$D:$D,(MATCH(380, 輔助計算!$F$2:$F$801, 0)+1))*INDEX(ERP資料!$O:$O,(MATCH(380, 輔助計算!$F$2:$F$801, 0)+1))), "")</f>
        <v/>
      </c>
      <c r="J381" s="16" t="n"/>
      <c r="K381" s="15">
        <f>IFERROR(INDEX(輔助計算!$D:$D, (MATCH(380, 輔助計算!$F$2:$F$801, 0)+1)), "")</f>
        <v/>
      </c>
      <c r="L381" s="16">
        <f>IFERROR(IF(AND(IFERROR(VLOOKUP(LEFT(INDEX(ERP資料!$S:$S, (MATCH(380, 輔助計算!$F$2:$F$801, 0)+1)), 4), 100張客戶!$A:$A, 1, FALSE), "")&lt;&gt;"", OR(INDEX(ERP資料!$F:$F, (MATCH(380, 輔助計算!$F$2:$F$801, 0)+1))=270, INDEX(ERP資料!$F:$F, (MATCH(380, 輔助計算!$F$2:$F$801, 0)+1))=300)), "100張", ""), "")</f>
        <v/>
      </c>
      <c r="M381" s="17" t="n"/>
      <c r="N381" s="17">
        <f>IF($F381="","",$F381)</f>
        <v/>
      </c>
      <c r="O381" s="17">
        <f>IF($G381="","",$G381)</f>
        <v/>
      </c>
      <c r="P381" s="17">
        <f>IF($K381="","",$K381)</f>
        <v/>
      </c>
      <c r="Q381" s="16" t="n"/>
      <c r="R381" s="18" t="n"/>
      <c r="S381" s="16" t="n"/>
    </row>
    <row r="382">
      <c r="A382" s="14">
        <f>IFERROR(IF(AND(IFERROR(INDEX(ERP資料!$A:$A, (MATCH(381, 輔助計算!$F$2:$F$801, 0)+1)), "")&lt;&gt;"", IFERROR(INDEX(ERP資料!$A:$A, (MATCH(381, 輔助計算!$F$2:$F$801, 0)+1)), "")&lt;&gt;IFERROR(INDEX(ERP資料!$A:$A, MATCH(380, 輔助計算!$F$2:$F$801, 0)+1), "")), INDEX(ERP資料!$B:$B, (MATCH(381, 輔助計算!$F$2:$F$801, 0)+1)), ""), "")</f>
        <v/>
      </c>
      <c r="B382" s="10">
        <f>IFERROR(IF(AND(IFERROR(INDEX(ERP資料!$A:$A, (MATCH(381, 輔助計算!$F$2:$F$801, 0)+1)), "")&lt;&gt;"", IFERROR(INDEX(ERP資料!$A:$A, (MATCH(381, 輔助計算!$F$2:$F$801, 0)+1)), "")&lt;&gt;IFERROR(INDEX(ERP資料!$A:$A, MATCH(380, 輔助計算!$F$2:$F$801, 0)+1), "")), IFERROR(INDEX(ERP資料!$A:$A, (MATCH(381, 輔助計算!$F$2:$F$801, 0)+1)), ""), ""), "")</f>
        <v/>
      </c>
      <c r="C382" s="10">
        <f>IFERROR(IF(AND(IFERROR(INDEX(ERP資料!$A:$A, (MATCH(381, 輔助計算!$F$2:$F$801, 0)+1)), "")&lt;&gt;"", IFERROR(INDEX(ERP資料!$A:$A, (MATCH(381, 輔助計算!$F$2:$F$801, 0)+1)), "")&lt;&gt;IFERROR(INDEX(ERP資料!$A:$A, MATCH(380, 輔助計算!$F$2:$F$801, 0)+1), "")), INDEX(ERP資料!$S:$S, (MATCH(381, 輔助計算!$F$2:$F$801, 0)+1)), ""), "")</f>
        <v/>
      </c>
      <c r="D382" s="10">
        <f>IFERROR(IF(INDEX(ERP資料!$E:$E, (MATCH(381, 輔助計算!$F$2:$F$801, 0)+1))="","",TRIM(INDEX(ERP資料!$E:$E, (MATCH(381, 輔助計算!$F$2:$F$801, 0)+1)))), "")</f>
        <v/>
      </c>
      <c r="E382" s="10">
        <f>IFERROR(IF(INDEX(ERP資料!$F:$F, (MATCH(381, 輔助計算!$F$2:$F$801, 0)+1))="","",INDEX(ERP資料!$F:$F, (MATCH(381, 輔助計算!$F$2:$F$801, 0)+1))), "")</f>
        <v/>
      </c>
      <c r="F382" s="10">
        <f>IFERROR(IF(INDEX(ERP資料!$G:$G, (MATCH(381, 輔助計算!$F$2:$F$801, 0)+1))="","",INDEX(ERP資料!$G:$G, (MATCH(381, 輔助計算!$F$2:$F$801, 0)+1))), "")</f>
        <v/>
      </c>
      <c r="G382" s="10">
        <f>IFERROR(IF(INDEX(ERP資料!$H:$H, (MATCH(381, 輔助計算!$F$2:$F$801, 0)+1))="","",INDEX(ERP資料!$H:$H, (MATCH(381, 輔助計算!$F$2:$F$801, 0)+1))), "")</f>
        <v/>
      </c>
      <c r="H382" s="10">
        <f>IFERROR(IF(INDEX(ERP資料!$O:$O, (MATCH(381, 輔助計算!$F$2:$F$801, 0)+1))="","",INDEX(ERP資料!$O:$O, (MATCH(381, 輔助計算!$F$2:$F$801, 0)+1))), "")</f>
        <v/>
      </c>
      <c r="I382" s="15">
        <f>IFERROR(IF(INDEX(輔助計算!$D:$D,(MATCH(381, 輔助計算!$F$2:$F$801, 0)+1))="","",INDEX(輔助計算!$D:$D,(MATCH(381, 輔助計算!$F$2:$F$801, 0)+1))*INDEX(ERP資料!$O:$O,(MATCH(381, 輔助計算!$F$2:$F$801, 0)+1))), "")</f>
        <v/>
      </c>
      <c r="J382" s="16" t="n"/>
      <c r="K382" s="15">
        <f>IFERROR(INDEX(輔助計算!$D:$D, (MATCH(381, 輔助計算!$F$2:$F$801, 0)+1)), "")</f>
        <v/>
      </c>
      <c r="L382" s="16">
        <f>IFERROR(IF(AND(IFERROR(VLOOKUP(LEFT(INDEX(ERP資料!$S:$S, (MATCH(381, 輔助計算!$F$2:$F$801, 0)+1)), 4), 100張客戶!$A:$A, 1, FALSE), "")&lt;&gt;"", OR(INDEX(ERP資料!$F:$F, (MATCH(381, 輔助計算!$F$2:$F$801, 0)+1))=270, INDEX(ERP資料!$F:$F, (MATCH(381, 輔助計算!$F$2:$F$801, 0)+1))=300)), "100張", ""), "")</f>
        <v/>
      </c>
      <c r="M382" s="17" t="n"/>
      <c r="N382" s="17">
        <f>IF($F382="","",$F382)</f>
        <v/>
      </c>
      <c r="O382" s="17">
        <f>IF($G382="","",$G382)</f>
        <v/>
      </c>
      <c r="P382" s="17">
        <f>IF($K382="","",$K382)</f>
        <v/>
      </c>
      <c r="Q382" s="16" t="n"/>
      <c r="R382" s="18" t="n"/>
      <c r="S382" s="16" t="n"/>
    </row>
    <row r="383">
      <c r="A383" s="14">
        <f>IFERROR(IF(AND(IFERROR(INDEX(ERP資料!$A:$A, (MATCH(382, 輔助計算!$F$2:$F$801, 0)+1)), "")&lt;&gt;"", IFERROR(INDEX(ERP資料!$A:$A, (MATCH(382, 輔助計算!$F$2:$F$801, 0)+1)), "")&lt;&gt;IFERROR(INDEX(ERP資料!$A:$A, MATCH(381, 輔助計算!$F$2:$F$801, 0)+1), "")), INDEX(ERP資料!$B:$B, (MATCH(382, 輔助計算!$F$2:$F$801, 0)+1)), ""), "")</f>
        <v/>
      </c>
      <c r="B383" s="10">
        <f>IFERROR(IF(AND(IFERROR(INDEX(ERP資料!$A:$A, (MATCH(382, 輔助計算!$F$2:$F$801, 0)+1)), "")&lt;&gt;"", IFERROR(INDEX(ERP資料!$A:$A, (MATCH(382, 輔助計算!$F$2:$F$801, 0)+1)), "")&lt;&gt;IFERROR(INDEX(ERP資料!$A:$A, MATCH(381, 輔助計算!$F$2:$F$801, 0)+1), "")), IFERROR(INDEX(ERP資料!$A:$A, (MATCH(382, 輔助計算!$F$2:$F$801, 0)+1)), ""), ""), "")</f>
        <v/>
      </c>
      <c r="C383" s="10">
        <f>IFERROR(IF(AND(IFERROR(INDEX(ERP資料!$A:$A, (MATCH(382, 輔助計算!$F$2:$F$801, 0)+1)), "")&lt;&gt;"", IFERROR(INDEX(ERP資料!$A:$A, (MATCH(382, 輔助計算!$F$2:$F$801, 0)+1)), "")&lt;&gt;IFERROR(INDEX(ERP資料!$A:$A, MATCH(381, 輔助計算!$F$2:$F$801, 0)+1), "")), INDEX(ERP資料!$S:$S, (MATCH(382, 輔助計算!$F$2:$F$801, 0)+1)), ""), "")</f>
        <v/>
      </c>
      <c r="D383" s="10">
        <f>IFERROR(IF(INDEX(ERP資料!$E:$E, (MATCH(382, 輔助計算!$F$2:$F$801, 0)+1))="","",TRIM(INDEX(ERP資料!$E:$E, (MATCH(382, 輔助計算!$F$2:$F$801, 0)+1)))), "")</f>
        <v/>
      </c>
      <c r="E383" s="10">
        <f>IFERROR(IF(INDEX(ERP資料!$F:$F, (MATCH(382, 輔助計算!$F$2:$F$801, 0)+1))="","",INDEX(ERP資料!$F:$F, (MATCH(382, 輔助計算!$F$2:$F$801, 0)+1))), "")</f>
        <v/>
      </c>
      <c r="F383" s="10">
        <f>IFERROR(IF(INDEX(ERP資料!$G:$G, (MATCH(382, 輔助計算!$F$2:$F$801, 0)+1))="","",INDEX(ERP資料!$G:$G, (MATCH(382, 輔助計算!$F$2:$F$801, 0)+1))), "")</f>
        <v/>
      </c>
      <c r="G383" s="10">
        <f>IFERROR(IF(INDEX(ERP資料!$H:$H, (MATCH(382, 輔助計算!$F$2:$F$801, 0)+1))="","",INDEX(ERP資料!$H:$H, (MATCH(382, 輔助計算!$F$2:$F$801, 0)+1))), "")</f>
        <v/>
      </c>
      <c r="H383" s="10">
        <f>IFERROR(IF(INDEX(ERP資料!$O:$O, (MATCH(382, 輔助計算!$F$2:$F$801, 0)+1))="","",INDEX(ERP資料!$O:$O, (MATCH(382, 輔助計算!$F$2:$F$801, 0)+1))), "")</f>
        <v/>
      </c>
      <c r="I383" s="15">
        <f>IFERROR(IF(INDEX(輔助計算!$D:$D,(MATCH(382, 輔助計算!$F$2:$F$801, 0)+1))="","",INDEX(輔助計算!$D:$D,(MATCH(382, 輔助計算!$F$2:$F$801, 0)+1))*INDEX(ERP資料!$O:$O,(MATCH(382, 輔助計算!$F$2:$F$801, 0)+1))), "")</f>
        <v/>
      </c>
      <c r="J383" s="16" t="n"/>
      <c r="K383" s="15">
        <f>IFERROR(INDEX(輔助計算!$D:$D, (MATCH(382, 輔助計算!$F$2:$F$801, 0)+1)), "")</f>
        <v/>
      </c>
      <c r="L383" s="16">
        <f>IFERROR(IF(AND(IFERROR(VLOOKUP(LEFT(INDEX(ERP資料!$S:$S, (MATCH(382, 輔助計算!$F$2:$F$801, 0)+1)), 4), 100張客戶!$A:$A, 1, FALSE), "")&lt;&gt;"", OR(INDEX(ERP資料!$F:$F, (MATCH(382, 輔助計算!$F$2:$F$801, 0)+1))=270, INDEX(ERP資料!$F:$F, (MATCH(382, 輔助計算!$F$2:$F$801, 0)+1))=300)), "100張", ""), "")</f>
        <v/>
      </c>
      <c r="M383" s="17" t="n"/>
      <c r="N383" s="17">
        <f>IF($F383="","",$F383)</f>
        <v/>
      </c>
      <c r="O383" s="17">
        <f>IF($G383="","",$G383)</f>
        <v/>
      </c>
      <c r="P383" s="17">
        <f>IF($K383="","",$K383)</f>
        <v/>
      </c>
      <c r="Q383" s="16" t="n"/>
      <c r="R383" s="18" t="n"/>
      <c r="S383" s="16" t="n"/>
    </row>
    <row r="384">
      <c r="A384" s="14">
        <f>IFERROR(IF(AND(IFERROR(INDEX(ERP資料!$A:$A, (MATCH(383, 輔助計算!$F$2:$F$801, 0)+1)), "")&lt;&gt;"", IFERROR(INDEX(ERP資料!$A:$A, (MATCH(383, 輔助計算!$F$2:$F$801, 0)+1)), "")&lt;&gt;IFERROR(INDEX(ERP資料!$A:$A, MATCH(382, 輔助計算!$F$2:$F$801, 0)+1), "")), INDEX(ERP資料!$B:$B, (MATCH(383, 輔助計算!$F$2:$F$801, 0)+1)), ""), "")</f>
        <v/>
      </c>
      <c r="B384" s="10">
        <f>IFERROR(IF(AND(IFERROR(INDEX(ERP資料!$A:$A, (MATCH(383, 輔助計算!$F$2:$F$801, 0)+1)), "")&lt;&gt;"", IFERROR(INDEX(ERP資料!$A:$A, (MATCH(383, 輔助計算!$F$2:$F$801, 0)+1)), "")&lt;&gt;IFERROR(INDEX(ERP資料!$A:$A, MATCH(382, 輔助計算!$F$2:$F$801, 0)+1), "")), IFERROR(INDEX(ERP資料!$A:$A, (MATCH(383, 輔助計算!$F$2:$F$801, 0)+1)), ""), ""), "")</f>
        <v/>
      </c>
      <c r="C384" s="10">
        <f>IFERROR(IF(AND(IFERROR(INDEX(ERP資料!$A:$A, (MATCH(383, 輔助計算!$F$2:$F$801, 0)+1)), "")&lt;&gt;"", IFERROR(INDEX(ERP資料!$A:$A, (MATCH(383, 輔助計算!$F$2:$F$801, 0)+1)), "")&lt;&gt;IFERROR(INDEX(ERP資料!$A:$A, MATCH(382, 輔助計算!$F$2:$F$801, 0)+1), "")), INDEX(ERP資料!$S:$S, (MATCH(383, 輔助計算!$F$2:$F$801, 0)+1)), ""), "")</f>
        <v/>
      </c>
      <c r="D384" s="10">
        <f>IFERROR(IF(INDEX(ERP資料!$E:$E, (MATCH(383, 輔助計算!$F$2:$F$801, 0)+1))="","",TRIM(INDEX(ERP資料!$E:$E, (MATCH(383, 輔助計算!$F$2:$F$801, 0)+1)))), "")</f>
        <v/>
      </c>
      <c r="E384" s="10">
        <f>IFERROR(IF(INDEX(ERP資料!$F:$F, (MATCH(383, 輔助計算!$F$2:$F$801, 0)+1))="","",INDEX(ERP資料!$F:$F, (MATCH(383, 輔助計算!$F$2:$F$801, 0)+1))), "")</f>
        <v/>
      </c>
      <c r="F384" s="10">
        <f>IFERROR(IF(INDEX(ERP資料!$G:$G, (MATCH(383, 輔助計算!$F$2:$F$801, 0)+1))="","",INDEX(ERP資料!$G:$G, (MATCH(383, 輔助計算!$F$2:$F$801, 0)+1))), "")</f>
        <v/>
      </c>
      <c r="G384" s="10">
        <f>IFERROR(IF(INDEX(ERP資料!$H:$H, (MATCH(383, 輔助計算!$F$2:$F$801, 0)+1))="","",INDEX(ERP資料!$H:$H, (MATCH(383, 輔助計算!$F$2:$F$801, 0)+1))), "")</f>
        <v/>
      </c>
      <c r="H384" s="10">
        <f>IFERROR(IF(INDEX(ERP資料!$O:$O, (MATCH(383, 輔助計算!$F$2:$F$801, 0)+1))="","",INDEX(ERP資料!$O:$O, (MATCH(383, 輔助計算!$F$2:$F$801, 0)+1))), "")</f>
        <v/>
      </c>
      <c r="I384" s="15">
        <f>IFERROR(IF(INDEX(輔助計算!$D:$D,(MATCH(383, 輔助計算!$F$2:$F$801, 0)+1))="","",INDEX(輔助計算!$D:$D,(MATCH(383, 輔助計算!$F$2:$F$801, 0)+1))*INDEX(ERP資料!$O:$O,(MATCH(383, 輔助計算!$F$2:$F$801, 0)+1))), "")</f>
        <v/>
      </c>
      <c r="J384" s="16" t="n"/>
      <c r="K384" s="15">
        <f>IFERROR(INDEX(輔助計算!$D:$D, (MATCH(383, 輔助計算!$F$2:$F$801, 0)+1)), "")</f>
        <v/>
      </c>
      <c r="L384" s="16">
        <f>IFERROR(IF(AND(IFERROR(VLOOKUP(LEFT(INDEX(ERP資料!$S:$S, (MATCH(383, 輔助計算!$F$2:$F$801, 0)+1)), 4), 100張客戶!$A:$A, 1, FALSE), "")&lt;&gt;"", OR(INDEX(ERP資料!$F:$F, (MATCH(383, 輔助計算!$F$2:$F$801, 0)+1))=270, INDEX(ERP資料!$F:$F, (MATCH(383, 輔助計算!$F$2:$F$801, 0)+1))=300)), "100張", ""), "")</f>
        <v/>
      </c>
      <c r="M384" s="17" t="n"/>
      <c r="N384" s="17">
        <f>IF($F384="","",$F384)</f>
        <v/>
      </c>
      <c r="O384" s="17">
        <f>IF($G384="","",$G384)</f>
        <v/>
      </c>
      <c r="P384" s="17">
        <f>IF($K384="","",$K384)</f>
        <v/>
      </c>
      <c r="Q384" s="16" t="n"/>
      <c r="R384" s="18" t="n"/>
      <c r="S384" s="16" t="n"/>
    </row>
    <row r="385">
      <c r="A385" s="14">
        <f>IFERROR(IF(AND(IFERROR(INDEX(ERP資料!$A:$A, (MATCH(384, 輔助計算!$F$2:$F$801, 0)+1)), "")&lt;&gt;"", IFERROR(INDEX(ERP資料!$A:$A, (MATCH(384, 輔助計算!$F$2:$F$801, 0)+1)), "")&lt;&gt;IFERROR(INDEX(ERP資料!$A:$A, MATCH(383, 輔助計算!$F$2:$F$801, 0)+1), "")), INDEX(ERP資料!$B:$B, (MATCH(384, 輔助計算!$F$2:$F$801, 0)+1)), ""), "")</f>
        <v/>
      </c>
      <c r="B385" s="10">
        <f>IFERROR(IF(AND(IFERROR(INDEX(ERP資料!$A:$A, (MATCH(384, 輔助計算!$F$2:$F$801, 0)+1)), "")&lt;&gt;"", IFERROR(INDEX(ERP資料!$A:$A, (MATCH(384, 輔助計算!$F$2:$F$801, 0)+1)), "")&lt;&gt;IFERROR(INDEX(ERP資料!$A:$A, MATCH(383, 輔助計算!$F$2:$F$801, 0)+1), "")), IFERROR(INDEX(ERP資料!$A:$A, (MATCH(384, 輔助計算!$F$2:$F$801, 0)+1)), ""), ""), "")</f>
        <v/>
      </c>
      <c r="C385" s="10">
        <f>IFERROR(IF(AND(IFERROR(INDEX(ERP資料!$A:$A, (MATCH(384, 輔助計算!$F$2:$F$801, 0)+1)), "")&lt;&gt;"", IFERROR(INDEX(ERP資料!$A:$A, (MATCH(384, 輔助計算!$F$2:$F$801, 0)+1)), "")&lt;&gt;IFERROR(INDEX(ERP資料!$A:$A, MATCH(383, 輔助計算!$F$2:$F$801, 0)+1), "")), INDEX(ERP資料!$S:$S, (MATCH(384, 輔助計算!$F$2:$F$801, 0)+1)), ""), "")</f>
        <v/>
      </c>
      <c r="D385" s="10">
        <f>IFERROR(IF(INDEX(ERP資料!$E:$E, (MATCH(384, 輔助計算!$F$2:$F$801, 0)+1))="","",TRIM(INDEX(ERP資料!$E:$E, (MATCH(384, 輔助計算!$F$2:$F$801, 0)+1)))), "")</f>
        <v/>
      </c>
      <c r="E385" s="10">
        <f>IFERROR(IF(INDEX(ERP資料!$F:$F, (MATCH(384, 輔助計算!$F$2:$F$801, 0)+1))="","",INDEX(ERP資料!$F:$F, (MATCH(384, 輔助計算!$F$2:$F$801, 0)+1))), "")</f>
        <v/>
      </c>
      <c r="F385" s="10">
        <f>IFERROR(IF(INDEX(ERP資料!$G:$G, (MATCH(384, 輔助計算!$F$2:$F$801, 0)+1))="","",INDEX(ERP資料!$G:$G, (MATCH(384, 輔助計算!$F$2:$F$801, 0)+1))), "")</f>
        <v/>
      </c>
      <c r="G385" s="10">
        <f>IFERROR(IF(INDEX(ERP資料!$H:$H, (MATCH(384, 輔助計算!$F$2:$F$801, 0)+1))="","",INDEX(ERP資料!$H:$H, (MATCH(384, 輔助計算!$F$2:$F$801, 0)+1))), "")</f>
        <v/>
      </c>
      <c r="H385" s="10">
        <f>IFERROR(IF(INDEX(ERP資料!$O:$O, (MATCH(384, 輔助計算!$F$2:$F$801, 0)+1))="","",INDEX(ERP資料!$O:$O, (MATCH(384, 輔助計算!$F$2:$F$801, 0)+1))), "")</f>
        <v/>
      </c>
      <c r="I385" s="15">
        <f>IFERROR(IF(INDEX(輔助計算!$D:$D,(MATCH(384, 輔助計算!$F$2:$F$801, 0)+1))="","",INDEX(輔助計算!$D:$D,(MATCH(384, 輔助計算!$F$2:$F$801, 0)+1))*INDEX(ERP資料!$O:$O,(MATCH(384, 輔助計算!$F$2:$F$801, 0)+1))), "")</f>
        <v/>
      </c>
      <c r="J385" s="16" t="n"/>
      <c r="K385" s="15">
        <f>IFERROR(INDEX(輔助計算!$D:$D, (MATCH(384, 輔助計算!$F$2:$F$801, 0)+1)), "")</f>
        <v/>
      </c>
      <c r="L385" s="16">
        <f>IFERROR(IF(AND(IFERROR(VLOOKUP(LEFT(INDEX(ERP資料!$S:$S, (MATCH(384, 輔助計算!$F$2:$F$801, 0)+1)), 4), 100張客戶!$A:$A, 1, FALSE), "")&lt;&gt;"", OR(INDEX(ERP資料!$F:$F, (MATCH(384, 輔助計算!$F$2:$F$801, 0)+1))=270, INDEX(ERP資料!$F:$F, (MATCH(384, 輔助計算!$F$2:$F$801, 0)+1))=300)), "100張", ""), "")</f>
        <v/>
      </c>
      <c r="M385" s="17" t="n"/>
      <c r="N385" s="17">
        <f>IF($F385="","",$F385)</f>
        <v/>
      </c>
      <c r="O385" s="17">
        <f>IF($G385="","",$G385)</f>
        <v/>
      </c>
      <c r="P385" s="17">
        <f>IF($K385="","",$K385)</f>
        <v/>
      </c>
      <c r="Q385" s="16" t="n"/>
      <c r="R385" s="18" t="n"/>
      <c r="S385" s="16" t="n"/>
    </row>
    <row r="386">
      <c r="A386" s="14">
        <f>IFERROR(IF(AND(IFERROR(INDEX(ERP資料!$A:$A, (MATCH(385, 輔助計算!$F$2:$F$801, 0)+1)), "")&lt;&gt;"", IFERROR(INDEX(ERP資料!$A:$A, (MATCH(385, 輔助計算!$F$2:$F$801, 0)+1)), "")&lt;&gt;IFERROR(INDEX(ERP資料!$A:$A, MATCH(384, 輔助計算!$F$2:$F$801, 0)+1), "")), INDEX(ERP資料!$B:$B, (MATCH(385, 輔助計算!$F$2:$F$801, 0)+1)), ""), "")</f>
        <v/>
      </c>
      <c r="B386" s="10">
        <f>IFERROR(IF(AND(IFERROR(INDEX(ERP資料!$A:$A, (MATCH(385, 輔助計算!$F$2:$F$801, 0)+1)), "")&lt;&gt;"", IFERROR(INDEX(ERP資料!$A:$A, (MATCH(385, 輔助計算!$F$2:$F$801, 0)+1)), "")&lt;&gt;IFERROR(INDEX(ERP資料!$A:$A, MATCH(384, 輔助計算!$F$2:$F$801, 0)+1), "")), IFERROR(INDEX(ERP資料!$A:$A, (MATCH(385, 輔助計算!$F$2:$F$801, 0)+1)), ""), ""), "")</f>
        <v/>
      </c>
      <c r="C386" s="10">
        <f>IFERROR(IF(AND(IFERROR(INDEX(ERP資料!$A:$A, (MATCH(385, 輔助計算!$F$2:$F$801, 0)+1)), "")&lt;&gt;"", IFERROR(INDEX(ERP資料!$A:$A, (MATCH(385, 輔助計算!$F$2:$F$801, 0)+1)), "")&lt;&gt;IFERROR(INDEX(ERP資料!$A:$A, MATCH(384, 輔助計算!$F$2:$F$801, 0)+1), "")), INDEX(ERP資料!$S:$S, (MATCH(385, 輔助計算!$F$2:$F$801, 0)+1)), ""), "")</f>
        <v/>
      </c>
      <c r="D386" s="10">
        <f>IFERROR(IF(INDEX(ERP資料!$E:$E, (MATCH(385, 輔助計算!$F$2:$F$801, 0)+1))="","",TRIM(INDEX(ERP資料!$E:$E, (MATCH(385, 輔助計算!$F$2:$F$801, 0)+1)))), "")</f>
        <v/>
      </c>
      <c r="E386" s="10">
        <f>IFERROR(IF(INDEX(ERP資料!$F:$F, (MATCH(385, 輔助計算!$F$2:$F$801, 0)+1))="","",INDEX(ERP資料!$F:$F, (MATCH(385, 輔助計算!$F$2:$F$801, 0)+1))), "")</f>
        <v/>
      </c>
      <c r="F386" s="10">
        <f>IFERROR(IF(INDEX(ERP資料!$G:$G, (MATCH(385, 輔助計算!$F$2:$F$801, 0)+1))="","",INDEX(ERP資料!$G:$G, (MATCH(385, 輔助計算!$F$2:$F$801, 0)+1))), "")</f>
        <v/>
      </c>
      <c r="G386" s="10">
        <f>IFERROR(IF(INDEX(ERP資料!$H:$H, (MATCH(385, 輔助計算!$F$2:$F$801, 0)+1))="","",INDEX(ERP資料!$H:$H, (MATCH(385, 輔助計算!$F$2:$F$801, 0)+1))), "")</f>
        <v/>
      </c>
      <c r="H386" s="10">
        <f>IFERROR(IF(INDEX(ERP資料!$O:$O, (MATCH(385, 輔助計算!$F$2:$F$801, 0)+1))="","",INDEX(ERP資料!$O:$O, (MATCH(385, 輔助計算!$F$2:$F$801, 0)+1))), "")</f>
        <v/>
      </c>
      <c r="I386" s="15">
        <f>IFERROR(IF(INDEX(輔助計算!$D:$D,(MATCH(385, 輔助計算!$F$2:$F$801, 0)+1))="","",INDEX(輔助計算!$D:$D,(MATCH(385, 輔助計算!$F$2:$F$801, 0)+1))*INDEX(ERP資料!$O:$O,(MATCH(385, 輔助計算!$F$2:$F$801, 0)+1))), "")</f>
        <v/>
      </c>
      <c r="J386" s="16" t="n"/>
      <c r="K386" s="15">
        <f>IFERROR(INDEX(輔助計算!$D:$D, (MATCH(385, 輔助計算!$F$2:$F$801, 0)+1)), "")</f>
        <v/>
      </c>
      <c r="L386" s="16">
        <f>IFERROR(IF(AND(IFERROR(VLOOKUP(LEFT(INDEX(ERP資料!$S:$S, (MATCH(385, 輔助計算!$F$2:$F$801, 0)+1)), 4), 100張客戶!$A:$A, 1, FALSE), "")&lt;&gt;"", OR(INDEX(ERP資料!$F:$F, (MATCH(385, 輔助計算!$F$2:$F$801, 0)+1))=270, INDEX(ERP資料!$F:$F, (MATCH(385, 輔助計算!$F$2:$F$801, 0)+1))=300)), "100張", ""), "")</f>
        <v/>
      </c>
      <c r="M386" s="17" t="n"/>
      <c r="N386" s="17">
        <f>IF($F386="","",$F386)</f>
        <v/>
      </c>
      <c r="O386" s="17">
        <f>IF($G386="","",$G386)</f>
        <v/>
      </c>
      <c r="P386" s="17">
        <f>IF($K386="","",$K386)</f>
        <v/>
      </c>
      <c r="Q386" s="16" t="n"/>
      <c r="R386" s="18" t="n"/>
      <c r="S386" s="16" t="n"/>
    </row>
    <row r="387">
      <c r="A387" s="14">
        <f>IFERROR(IF(AND(IFERROR(INDEX(ERP資料!$A:$A, (MATCH(386, 輔助計算!$F$2:$F$801, 0)+1)), "")&lt;&gt;"", IFERROR(INDEX(ERP資料!$A:$A, (MATCH(386, 輔助計算!$F$2:$F$801, 0)+1)), "")&lt;&gt;IFERROR(INDEX(ERP資料!$A:$A, MATCH(385, 輔助計算!$F$2:$F$801, 0)+1), "")), INDEX(ERP資料!$B:$B, (MATCH(386, 輔助計算!$F$2:$F$801, 0)+1)), ""), "")</f>
        <v/>
      </c>
      <c r="B387" s="10">
        <f>IFERROR(IF(AND(IFERROR(INDEX(ERP資料!$A:$A, (MATCH(386, 輔助計算!$F$2:$F$801, 0)+1)), "")&lt;&gt;"", IFERROR(INDEX(ERP資料!$A:$A, (MATCH(386, 輔助計算!$F$2:$F$801, 0)+1)), "")&lt;&gt;IFERROR(INDEX(ERP資料!$A:$A, MATCH(385, 輔助計算!$F$2:$F$801, 0)+1), "")), IFERROR(INDEX(ERP資料!$A:$A, (MATCH(386, 輔助計算!$F$2:$F$801, 0)+1)), ""), ""), "")</f>
        <v/>
      </c>
      <c r="C387" s="10">
        <f>IFERROR(IF(AND(IFERROR(INDEX(ERP資料!$A:$A, (MATCH(386, 輔助計算!$F$2:$F$801, 0)+1)), "")&lt;&gt;"", IFERROR(INDEX(ERP資料!$A:$A, (MATCH(386, 輔助計算!$F$2:$F$801, 0)+1)), "")&lt;&gt;IFERROR(INDEX(ERP資料!$A:$A, MATCH(385, 輔助計算!$F$2:$F$801, 0)+1), "")), INDEX(ERP資料!$S:$S, (MATCH(386, 輔助計算!$F$2:$F$801, 0)+1)), ""), "")</f>
        <v/>
      </c>
      <c r="D387" s="10">
        <f>IFERROR(IF(INDEX(ERP資料!$E:$E, (MATCH(386, 輔助計算!$F$2:$F$801, 0)+1))="","",TRIM(INDEX(ERP資料!$E:$E, (MATCH(386, 輔助計算!$F$2:$F$801, 0)+1)))), "")</f>
        <v/>
      </c>
      <c r="E387" s="10">
        <f>IFERROR(IF(INDEX(ERP資料!$F:$F, (MATCH(386, 輔助計算!$F$2:$F$801, 0)+1))="","",INDEX(ERP資料!$F:$F, (MATCH(386, 輔助計算!$F$2:$F$801, 0)+1))), "")</f>
        <v/>
      </c>
      <c r="F387" s="10">
        <f>IFERROR(IF(INDEX(ERP資料!$G:$G, (MATCH(386, 輔助計算!$F$2:$F$801, 0)+1))="","",INDEX(ERP資料!$G:$G, (MATCH(386, 輔助計算!$F$2:$F$801, 0)+1))), "")</f>
        <v/>
      </c>
      <c r="G387" s="10">
        <f>IFERROR(IF(INDEX(ERP資料!$H:$H, (MATCH(386, 輔助計算!$F$2:$F$801, 0)+1))="","",INDEX(ERP資料!$H:$H, (MATCH(386, 輔助計算!$F$2:$F$801, 0)+1))), "")</f>
        <v/>
      </c>
      <c r="H387" s="10">
        <f>IFERROR(IF(INDEX(ERP資料!$O:$O, (MATCH(386, 輔助計算!$F$2:$F$801, 0)+1))="","",INDEX(ERP資料!$O:$O, (MATCH(386, 輔助計算!$F$2:$F$801, 0)+1))), "")</f>
        <v/>
      </c>
      <c r="I387" s="15">
        <f>IFERROR(IF(INDEX(輔助計算!$D:$D,(MATCH(386, 輔助計算!$F$2:$F$801, 0)+1))="","",INDEX(輔助計算!$D:$D,(MATCH(386, 輔助計算!$F$2:$F$801, 0)+1))*INDEX(ERP資料!$O:$O,(MATCH(386, 輔助計算!$F$2:$F$801, 0)+1))), "")</f>
        <v/>
      </c>
      <c r="J387" s="16" t="n"/>
      <c r="K387" s="15">
        <f>IFERROR(INDEX(輔助計算!$D:$D, (MATCH(386, 輔助計算!$F$2:$F$801, 0)+1)), "")</f>
        <v/>
      </c>
      <c r="L387" s="16">
        <f>IFERROR(IF(AND(IFERROR(VLOOKUP(LEFT(INDEX(ERP資料!$S:$S, (MATCH(386, 輔助計算!$F$2:$F$801, 0)+1)), 4), 100張客戶!$A:$A, 1, FALSE), "")&lt;&gt;"", OR(INDEX(ERP資料!$F:$F, (MATCH(386, 輔助計算!$F$2:$F$801, 0)+1))=270, INDEX(ERP資料!$F:$F, (MATCH(386, 輔助計算!$F$2:$F$801, 0)+1))=300)), "100張", ""), "")</f>
        <v/>
      </c>
      <c r="M387" s="17" t="n"/>
      <c r="N387" s="17">
        <f>IF($F387="","",$F387)</f>
        <v/>
      </c>
      <c r="O387" s="17">
        <f>IF($G387="","",$G387)</f>
        <v/>
      </c>
      <c r="P387" s="17">
        <f>IF($K387="","",$K387)</f>
        <v/>
      </c>
      <c r="Q387" s="16" t="n"/>
      <c r="R387" s="18" t="n"/>
      <c r="S387" s="16" t="n"/>
    </row>
    <row r="388">
      <c r="A388" s="14">
        <f>IFERROR(IF(AND(IFERROR(INDEX(ERP資料!$A:$A, (MATCH(387, 輔助計算!$F$2:$F$801, 0)+1)), "")&lt;&gt;"", IFERROR(INDEX(ERP資料!$A:$A, (MATCH(387, 輔助計算!$F$2:$F$801, 0)+1)), "")&lt;&gt;IFERROR(INDEX(ERP資料!$A:$A, MATCH(386, 輔助計算!$F$2:$F$801, 0)+1), "")), INDEX(ERP資料!$B:$B, (MATCH(387, 輔助計算!$F$2:$F$801, 0)+1)), ""), "")</f>
        <v/>
      </c>
      <c r="B388" s="10">
        <f>IFERROR(IF(AND(IFERROR(INDEX(ERP資料!$A:$A, (MATCH(387, 輔助計算!$F$2:$F$801, 0)+1)), "")&lt;&gt;"", IFERROR(INDEX(ERP資料!$A:$A, (MATCH(387, 輔助計算!$F$2:$F$801, 0)+1)), "")&lt;&gt;IFERROR(INDEX(ERP資料!$A:$A, MATCH(386, 輔助計算!$F$2:$F$801, 0)+1), "")), IFERROR(INDEX(ERP資料!$A:$A, (MATCH(387, 輔助計算!$F$2:$F$801, 0)+1)), ""), ""), "")</f>
        <v/>
      </c>
      <c r="C388" s="10">
        <f>IFERROR(IF(AND(IFERROR(INDEX(ERP資料!$A:$A, (MATCH(387, 輔助計算!$F$2:$F$801, 0)+1)), "")&lt;&gt;"", IFERROR(INDEX(ERP資料!$A:$A, (MATCH(387, 輔助計算!$F$2:$F$801, 0)+1)), "")&lt;&gt;IFERROR(INDEX(ERP資料!$A:$A, MATCH(386, 輔助計算!$F$2:$F$801, 0)+1), "")), INDEX(ERP資料!$S:$S, (MATCH(387, 輔助計算!$F$2:$F$801, 0)+1)), ""), "")</f>
        <v/>
      </c>
      <c r="D388" s="10">
        <f>IFERROR(IF(INDEX(ERP資料!$E:$E, (MATCH(387, 輔助計算!$F$2:$F$801, 0)+1))="","",TRIM(INDEX(ERP資料!$E:$E, (MATCH(387, 輔助計算!$F$2:$F$801, 0)+1)))), "")</f>
        <v/>
      </c>
      <c r="E388" s="10">
        <f>IFERROR(IF(INDEX(ERP資料!$F:$F, (MATCH(387, 輔助計算!$F$2:$F$801, 0)+1))="","",INDEX(ERP資料!$F:$F, (MATCH(387, 輔助計算!$F$2:$F$801, 0)+1))), "")</f>
        <v/>
      </c>
      <c r="F388" s="10">
        <f>IFERROR(IF(INDEX(ERP資料!$G:$G, (MATCH(387, 輔助計算!$F$2:$F$801, 0)+1))="","",INDEX(ERP資料!$G:$G, (MATCH(387, 輔助計算!$F$2:$F$801, 0)+1))), "")</f>
        <v/>
      </c>
      <c r="G388" s="10">
        <f>IFERROR(IF(INDEX(ERP資料!$H:$H, (MATCH(387, 輔助計算!$F$2:$F$801, 0)+1))="","",INDEX(ERP資料!$H:$H, (MATCH(387, 輔助計算!$F$2:$F$801, 0)+1))), "")</f>
        <v/>
      </c>
      <c r="H388" s="10">
        <f>IFERROR(IF(INDEX(ERP資料!$O:$O, (MATCH(387, 輔助計算!$F$2:$F$801, 0)+1))="","",INDEX(ERP資料!$O:$O, (MATCH(387, 輔助計算!$F$2:$F$801, 0)+1))), "")</f>
        <v/>
      </c>
      <c r="I388" s="15">
        <f>IFERROR(IF(INDEX(輔助計算!$D:$D,(MATCH(387, 輔助計算!$F$2:$F$801, 0)+1))="","",INDEX(輔助計算!$D:$D,(MATCH(387, 輔助計算!$F$2:$F$801, 0)+1))*INDEX(ERP資料!$O:$O,(MATCH(387, 輔助計算!$F$2:$F$801, 0)+1))), "")</f>
        <v/>
      </c>
      <c r="J388" s="16" t="n"/>
      <c r="K388" s="15">
        <f>IFERROR(INDEX(輔助計算!$D:$D, (MATCH(387, 輔助計算!$F$2:$F$801, 0)+1)), "")</f>
        <v/>
      </c>
      <c r="L388" s="16">
        <f>IFERROR(IF(AND(IFERROR(VLOOKUP(LEFT(INDEX(ERP資料!$S:$S, (MATCH(387, 輔助計算!$F$2:$F$801, 0)+1)), 4), 100張客戶!$A:$A, 1, FALSE), "")&lt;&gt;"", OR(INDEX(ERP資料!$F:$F, (MATCH(387, 輔助計算!$F$2:$F$801, 0)+1))=270, INDEX(ERP資料!$F:$F, (MATCH(387, 輔助計算!$F$2:$F$801, 0)+1))=300)), "100張", ""), "")</f>
        <v/>
      </c>
      <c r="M388" s="17" t="n"/>
      <c r="N388" s="17">
        <f>IF($F388="","",$F388)</f>
        <v/>
      </c>
      <c r="O388" s="17">
        <f>IF($G388="","",$G388)</f>
        <v/>
      </c>
      <c r="P388" s="17">
        <f>IF($K388="","",$K388)</f>
        <v/>
      </c>
      <c r="Q388" s="16" t="n"/>
      <c r="R388" s="18" t="n"/>
      <c r="S388" s="16" t="n"/>
    </row>
    <row r="389">
      <c r="A389" s="14">
        <f>IFERROR(IF(AND(IFERROR(INDEX(ERP資料!$A:$A, (MATCH(388, 輔助計算!$F$2:$F$801, 0)+1)), "")&lt;&gt;"", IFERROR(INDEX(ERP資料!$A:$A, (MATCH(388, 輔助計算!$F$2:$F$801, 0)+1)), "")&lt;&gt;IFERROR(INDEX(ERP資料!$A:$A, MATCH(387, 輔助計算!$F$2:$F$801, 0)+1), "")), INDEX(ERP資料!$B:$B, (MATCH(388, 輔助計算!$F$2:$F$801, 0)+1)), ""), "")</f>
        <v/>
      </c>
      <c r="B389" s="10">
        <f>IFERROR(IF(AND(IFERROR(INDEX(ERP資料!$A:$A, (MATCH(388, 輔助計算!$F$2:$F$801, 0)+1)), "")&lt;&gt;"", IFERROR(INDEX(ERP資料!$A:$A, (MATCH(388, 輔助計算!$F$2:$F$801, 0)+1)), "")&lt;&gt;IFERROR(INDEX(ERP資料!$A:$A, MATCH(387, 輔助計算!$F$2:$F$801, 0)+1), "")), IFERROR(INDEX(ERP資料!$A:$A, (MATCH(388, 輔助計算!$F$2:$F$801, 0)+1)), ""), ""), "")</f>
        <v/>
      </c>
      <c r="C389" s="10">
        <f>IFERROR(IF(AND(IFERROR(INDEX(ERP資料!$A:$A, (MATCH(388, 輔助計算!$F$2:$F$801, 0)+1)), "")&lt;&gt;"", IFERROR(INDEX(ERP資料!$A:$A, (MATCH(388, 輔助計算!$F$2:$F$801, 0)+1)), "")&lt;&gt;IFERROR(INDEX(ERP資料!$A:$A, MATCH(387, 輔助計算!$F$2:$F$801, 0)+1), "")), INDEX(ERP資料!$S:$S, (MATCH(388, 輔助計算!$F$2:$F$801, 0)+1)), ""), "")</f>
        <v/>
      </c>
      <c r="D389" s="10">
        <f>IFERROR(IF(INDEX(ERP資料!$E:$E, (MATCH(388, 輔助計算!$F$2:$F$801, 0)+1))="","",TRIM(INDEX(ERP資料!$E:$E, (MATCH(388, 輔助計算!$F$2:$F$801, 0)+1)))), "")</f>
        <v/>
      </c>
      <c r="E389" s="10">
        <f>IFERROR(IF(INDEX(ERP資料!$F:$F, (MATCH(388, 輔助計算!$F$2:$F$801, 0)+1))="","",INDEX(ERP資料!$F:$F, (MATCH(388, 輔助計算!$F$2:$F$801, 0)+1))), "")</f>
        <v/>
      </c>
      <c r="F389" s="10">
        <f>IFERROR(IF(INDEX(ERP資料!$G:$G, (MATCH(388, 輔助計算!$F$2:$F$801, 0)+1))="","",INDEX(ERP資料!$G:$G, (MATCH(388, 輔助計算!$F$2:$F$801, 0)+1))), "")</f>
        <v/>
      </c>
      <c r="G389" s="10">
        <f>IFERROR(IF(INDEX(ERP資料!$H:$H, (MATCH(388, 輔助計算!$F$2:$F$801, 0)+1))="","",INDEX(ERP資料!$H:$H, (MATCH(388, 輔助計算!$F$2:$F$801, 0)+1))), "")</f>
        <v/>
      </c>
      <c r="H389" s="10">
        <f>IFERROR(IF(INDEX(ERP資料!$O:$O, (MATCH(388, 輔助計算!$F$2:$F$801, 0)+1))="","",INDEX(ERP資料!$O:$O, (MATCH(388, 輔助計算!$F$2:$F$801, 0)+1))), "")</f>
        <v/>
      </c>
      <c r="I389" s="15">
        <f>IFERROR(IF(INDEX(輔助計算!$D:$D,(MATCH(388, 輔助計算!$F$2:$F$801, 0)+1))="","",INDEX(輔助計算!$D:$D,(MATCH(388, 輔助計算!$F$2:$F$801, 0)+1))*INDEX(ERP資料!$O:$O,(MATCH(388, 輔助計算!$F$2:$F$801, 0)+1))), "")</f>
        <v/>
      </c>
      <c r="J389" s="16" t="n"/>
      <c r="K389" s="15">
        <f>IFERROR(INDEX(輔助計算!$D:$D, (MATCH(388, 輔助計算!$F$2:$F$801, 0)+1)), "")</f>
        <v/>
      </c>
      <c r="L389" s="16">
        <f>IFERROR(IF(AND(IFERROR(VLOOKUP(LEFT(INDEX(ERP資料!$S:$S, (MATCH(388, 輔助計算!$F$2:$F$801, 0)+1)), 4), 100張客戶!$A:$A, 1, FALSE), "")&lt;&gt;"", OR(INDEX(ERP資料!$F:$F, (MATCH(388, 輔助計算!$F$2:$F$801, 0)+1))=270, INDEX(ERP資料!$F:$F, (MATCH(388, 輔助計算!$F$2:$F$801, 0)+1))=300)), "100張", ""), "")</f>
        <v/>
      </c>
      <c r="M389" s="17" t="n"/>
      <c r="N389" s="17">
        <f>IF($F389="","",$F389)</f>
        <v/>
      </c>
      <c r="O389" s="17">
        <f>IF($G389="","",$G389)</f>
        <v/>
      </c>
      <c r="P389" s="17">
        <f>IF($K389="","",$K389)</f>
        <v/>
      </c>
      <c r="Q389" s="16" t="n"/>
      <c r="R389" s="18" t="n"/>
      <c r="S389" s="16" t="n"/>
    </row>
    <row r="390">
      <c r="A390" s="14">
        <f>IFERROR(IF(AND(IFERROR(INDEX(ERP資料!$A:$A, (MATCH(389, 輔助計算!$F$2:$F$801, 0)+1)), "")&lt;&gt;"", IFERROR(INDEX(ERP資料!$A:$A, (MATCH(389, 輔助計算!$F$2:$F$801, 0)+1)), "")&lt;&gt;IFERROR(INDEX(ERP資料!$A:$A, MATCH(388, 輔助計算!$F$2:$F$801, 0)+1), "")), INDEX(ERP資料!$B:$B, (MATCH(389, 輔助計算!$F$2:$F$801, 0)+1)), ""), "")</f>
        <v/>
      </c>
      <c r="B390" s="10">
        <f>IFERROR(IF(AND(IFERROR(INDEX(ERP資料!$A:$A, (MATCH(389, 輔助計算!$F$2:$F$801, 0)+1)), "")&lt;&gt;"", IFERROR(INDEX(ERP資料!$A:$A, (MATCH(389, 輔助計算!$F$2:$F$801, 0)+1)), "")&lt;&gt;IFERROR(INDEX(ERP資料!$A:$A, MATCH(388, 輔助計算!$F$2:$F$801, 0)+1), "")), IFERROR(INDEX(ERP資料!$A:$A, (MATCH(389, 輔助計算!$F$2:$F$801, 0)+1)), ""), ""), "")</f>
        <v/>
      </c>
      <c r="C390" s="10">
        <f>IFERROR(IF(AND(IFERROR(INDEX(ERP資料!$A:$A, (MATCH(389, 輔助計算!$F$2:$F$801, 0)+1)), "")&lt;&gt;"", IFERROR(INDEX(ERP資料!$A:$A, (MATCH(389, 輔助計算!$F$2:$F$801, 0)+1)), "")&lt;&gt;IFERROR(INDEX(ERP資料!$A:$A, MATCH(388, 輔助計算!$F$2:$F$801, 0)+1), "")), INDEX(ERP資料!$S:$S, (MATCH(389, 輔助計算!$F$2:$F$801, 0)+1)), ""), "")</f>
        <v/>
      </c>
      <c r="D390" s="10">
        <f>IFERROR(IF(INDEX(ERP資料!$E:$E, (MATCH(389, 輔助計算!$F$2:$F$801, 0)+1))="","",TRIM(INDEX(ERP資料!$E:$E, (MATCH(389, 輔助計算!$F$2:$F$801, 0)+1)))), "")</f>
        <v/>
      </c>
      <c r="E390" s="10">
        <f>IFERROR(IF(INDEX(ERP資料!$F:$F, (MATCH(389, 輔助計算!$F$2:$F$801, 0)+1))="","",INDEX(ERP資料!$F:$F, (MATCH(389, 輔助計算!$F$2:$F$801, 0)+1))), "")</f>
        <v/>
      </c>
      <c r="F390" s="10">
        <f>IFERROR(IF(INDEX(ERP資料!$G:$G, (MATCH(389, 輔助計算!$F$2:$F$801, 0)+1))="","",INDEX(ERP資料!$G:$G, (MATCH(389, 輔助計算!$F$2:$F$801, 0)+1))), "")</f>
        <v/>
      </c>
      <c r="G390" s="10">
        <f>IFERROR(IF(INDEX(ERP資料!$H:$H, (MATCH(389, 輔助計算!$F$2:$F$801, 0)+1))="","",INDEX(ERP資料!$H:$H, (MATCH(389, 輔助計算!$F$2:$F$801, 0)+1))), "")</f>
        <v/>
      </c>
      <c r="H390" s="10">
        <f>IFERROR(IF(INDEX(ERP資料!$O:$O, (MATCH(389, 輔助計算!$F$2:$F$801, 0)+1))="","",INDEX(ERP資料!$O:$O, (MATCH(389, 輔助計算!$F$2:$F$801, 0)+1))), "")</f>
        <v/>
      </c>
      <c r="I390" s="15">
        <f>IFERROR(IF(INDEX(輔助計算!$D:$D,(MATCH(389, 輔助計算!$F$2:$F$801, 0)+1))="","",INDEX(輔助計算!$D:$D,(MATCH(389, 輔助計算!$F$2:$F$801, 0)+1))*INDEX(ERP資料!$O:$O,(MATCH(389, 輔助計算!$F$2:$F$801, 0)+1))), "")</f>
        <v/>
      </c>
      <c r="J390" s="16" t="n"/>
      <c r="K390" s="15">
        <f>IFERROR(INDEX(輔助計算!$D:$D, (MATCH(389, 輔助計算!$F$2:$F$801, 0)+1)), "")</f>
        <v/>
      </c>
      <c r="L390" s="16">
        <f>IFERROR(IF(AND(IFERROR(VLOOKUP(LEFT(INDEX(ERP資料!$S:$S, (MATCH(389, 輔助計算!$F$2:$F$801, 0)+1)), 4), 100張客戶!$A:$A, 1, FALSE), "")&lt;&gt;"", OR(INDEX(ERP資料!$F:$F, (MATCH(389, 輔助計算!$F$2:$F$801, 0)+1))=270, INDEX(ERP資料!$F:$F, (MATCH(389, 輔助計算!$F$2:$F$801, 0)+1))=300)), "100張", ""), "")</f>
        <v/>
      </c>
      <c r="M390" s="17" t="n"/>
      <c r="N390" s="17">
        <f>IF($F390="","",$F390)</f>
        <v/>
      </c>
      <c r="O390" s="17">
        <f>IF($G390="","",$G390)</f>
        <v/>
      </c>
      <c r="P390" s="17">
        <f>IF($K390="","",$K390)</f>
        <v/>
      </c>
      <c r="Q390" s="16" t="n"/>
      <c r="R390" s="18" t="n"/>
      <c r="S390" s="16" t="n"/>
    </row>
    <row r="391">
      <c r="A391" s="14">
        <f>IFERROR(IF(AND(IFERROR(INDEX(ERP資料!$A:$A, (MATCH(390, 輔助計算!$F$2:$F$801, 0)+1)), "")&lt;&gt;"", IFERROR(INDEX(ERP資料!$A:$A, (MATCH(390, 輔助計算!$F$2:$F$801, 0)+1)), "")&lt;&gt;IFERROR(INDEX(ERP資料!$A:$A, MATCH(389, 輔助計算!$F$2:$F$801, 0)+1), "")), INDEX(ERP資料!$B:$B, (MATCH(390, 輔助計算!$F$2:$F$801, 0)+1)), ""), "")</f>
        <v/>
      </c>
      <c r="B391" s="10">
        <f>IFERROR(IF(AND(IFERROR(INDEX(ERP資料!$A:$A, (MATCH(390, 輔助計算!$F$2:$F$801, 0)+1)), "")&lt;&gt;"", IFERROR(INDEX(ERP資料!$A:$A, (MATCH(390, 輔助計算!$F$2:$F$801, 0)+1)), "")&lt;&gt;IFERROR(INDEX(ERP資料!$A:$A, MATCH(389, 輔助計算!$F$2:$F$801, 0)+1), "")), IFERROR(INDEX(ERP資料!$A:$A, (MATCH(390, 輔助計算!$F$2:$F$801, 0)+1)), ""), ""), "")</f>
        <v/>
      </c>
      <c r="C391" s="10">
        <f>IFERROR(IF(AND(IFERROR(INDEX(ERP資料!$A:$A, (MATCH(390, 輔助計算!$F$2:$F$801, 0)+1)), "")&lt;&gt;"", IFERROR(INDEX(ERP資料!$A:$A, (MATCH(390, 輔助計算!$F$2:$F$801, 0)+1)), "")&lt;&gt;IFERROR(INDEX(ERP資料!$A:$A, MATCH(389, 輔助計算!$F$2:$F$801, 0)+1), "")), INDEX(ERP資料!$S:$S, (MATCH(390, 輔助計算!$F$2:$F$801, 0)+1)), ""), "")</f>
        <v/>
      </c>
      <c r="D391" s="10">
        <f>IFERROR(IF(INDEX(ERP資料!$E:$E, (MATCH(390, 輔助計算!$F$2:$F$801, 0)+1))="","",TRIM(INDEX(ERP資料!$E:$E, (MATCH(390, 輔助計算!$F$2:$F$801, 0)+1)))), "")</f>
        <v/>
      </c>
      <c r="E391" s="10">
        <f>IFERROR(IF(INDEX(ERP資料!$F:$F, (MATCH(390, 輔助計算!$F$2:$F$801, 0)+1))="","",INDEX(ERP資料!$F:$F, (MATCH(390, 輔助計算!$F$2:$F$801, 0)+1))), "")</f>
        <v/>
      </c>
      <c r="F391" s="10">
        <f>IFERROR(IF(INDEX(ERP資料!$G:$G, (MATCH(390, 輔助計算!$F$2:$F$801, 0)+1))="","",INDEX(ERP資料!$G:$G, (MATCH(390, 輔助計算!$F$2:$F$801, 0)+1))), "")</f>
        <v/>
      </c>
      <c r="G391" s="10">
        <f>IFERROR(IF(INDEX(ERP資料!$H:$H, (MATCH(390, 輔助計算!$F$2:$F$801, 0)+1))="","",INDEX(ERP資料!$H:$H, (MATCH(390, 輔助計算!$F$2:$F$801, 0)+1))), "")</f>
        <v/>
      </c>
      <c r="H391" s="10">
        <f>IFERROR(IF(INDEX(ERP資料!$O:$O, (MATCH(390, 輔助計算!$F$2:$F$801, 0)+1))="","",INDEX(ERP資料!$O:$O, (MATCH(390, 輔助計算!$F$2:$F$801, 0)+1))), "")</f>
        <v/>
      </c>
      <c r="I391" s="15">
        <f>IFERROR(IF(INDEX(輔助計算!$D:$D,(MATCH(390, 輔助計算!$F$2:$F$801, 0)+1))="","",INDEX(輔助計算!$D:$D,(MATCH(390, 輔助計算!$F$2:$F$801, 0)+1))*INDEX(ERP資料!$O:$O,(MATCH(390, 輔助計算!$F$2:$F$801, 0)+1))), "")</f>
        <v/>
      </c>
      <c r="J391" s="16" t="n"/>
      <c r="K391" s="15">
        <f>IFERROR(INDEX(輔助計算!$D:$D, (MATCH(390, 輔助計算!$F$2:$F$801, 0)+1)), "")</f>
        <v/>
      </c>
      <c r="L391" s="16">
        <f>IFERROR(IF(AND(IFERROR(VLOOKUP(LEFT(INDEX(ERP資料!$S:$S, (MATCH(390, 輔助計算!$F$2:$F$801, 0)+1)), 4), 100張客戶!$A:$A, 1, FALSE), "")&lt;&gt;"", OR(INDEX(ERP資料!$F:$F, (MATCH(390, 輔助計算!$F$2:$F$801, 0)+1))=270, INDEX(ERP資料!$F:$F, (MATCH(390, 輔助計算!$F$2:$F$801, 0)+1))=300)), "100張", ""), "")</f>
        <v/>
      </c>
      <c r="M391" s="17" t="n"/>
      <c r="N391" s="17">
        <f>IF($F391="","",$F391)</f>
        <v/>
      </c>
      <c r="O391" s="17">
        <f>IF($G391="","",$G391)</f>
        <v/>
      </c>
      <c r="P391" s="17">
        <f>IF($K391="","",$K391)</f>
        <v/>
      </c>
      <c r="Q391" s="16" t="n"/>
      <c r="R391" s="18" t="n"/>
      <c r="S391" s="16" t="n"/>
    </row>
    <row r="392">
      <c r="A392" s="14">
        <f>IFERROR(IF(AND(IFERROR(INDEX(ERP資料!$A:$A, (MATCH(391, 輔助計算!$F$2:$F$801, 0)+1)), "")&lt;&gt;"", IFERROR(INDEX(ERP資料!$A:$A, (MATCH(391, 輔助計算!$F$2:$F$801, 0)+1)), "")&lt;&gt;IFERROR(INDEX(ERP資料!$A:$A, MATCH(390, 輔助計算!$F$2:$F$801, 0)+1), "")), INDEX(ERP資料!$B:$B, (MATCH(391, 輔助計算!$F$2:$F$801, 0)+1)), ""), "")</f>
        <v/>
      </c>
      <c r="B392" s="10">
        <f>IFERROR(IF(AND(IFERROR(INDEX(ERP資料!$A:$A, (MATCH(391, 輔助計算!$F$2:$F$801, 0)+1)), "")&lt;&gt;"", IFERROR(INDEX(ERP資料!$A:$A, (MATCH(391, 輔助計算!$F$2:$F$801, 0)+1)), "")&lt;&gt;IFERROR(INDEX(ERP資料!$A:$A, MATCH(390, 輔助計算!$F$2:$F$801, 0)+1), "")), IFERROR(INDEX(ERP資料!$A:$A, (MATCH(391, 輔助計算!$F$2:$F$801, 0)+1)), ""), ""), "")</f>
        <v/>
      </c>
      <c r="C392" s="10">
        <f>IFERROR(IF(AND(IFERROR(INDEX(ERP資料!$A:$A, (MATCH(391, 輔助計算!$F$2:$F$801, 0)+1)), "")&lt;&gt;"", IFERROR(INDEX(ERP資料!$A:$A, (MATCH(391, 輔助計算!$F$2:$F$801, 0)+1)), "")&lt;&gt;IFERROR(INDEX(ERP資料!$A:$A, MATCH(390, 輔助計算!$F$2:$F$801, 0)+1), "")), INDEX(ERP資料!$S:$S, (MATCH(391, 輔助計算!$F$2:$F$801, 0)+1)), ""), "")</f>
        <v/>
      </c>
      <c r="D392" s="10">
        <f>IFERROR(IF(INDEX(ERP資料!$E:$E, (MATCH(391, 輔助計算!$F$2:$F$801, 0)+1))="","",TRIM(INDEX(ERP資料!$E:$E, (MATCH(391, 輔助計算!$F$2:$F$801, 0)+1)))), "")</f>
        <v/>
      </c>
      <c r="E392" s="10">
        <f>IFERROR(IF(INDEX(ERP資料!$F:$F, (MATCH(391, 輔助計算!$F$2:$F$801, 0)+1))="","",INDEX(ERP資料!$F:$F, (MATCH(391, 輔助計算!$F$2:$F$801, 0)+1))), "")</f>
        <v/>
      </c>
      <c r="F392" s="10">
        <f>IFERROR(IF(INDEX(ERP資料!$G:$G, (MATCH(391, 輔助計算!$F$2:$F$801, 0)+1))="","",INDEX(ERP資料!$G:$G, (MATCH(391, 輔助計算!$F$2:$F$801, 0)+1))), "")</f>
        <v/>
      </c>
      <c r="G392" s="10">
        <f>IFERROR(IF(INDEX(ERP資料!$H:$H, (MATCH(391, 輔助計算!$F$2:$F$801, 0)+1))="","",INDEX(ERP資料!$H:$H, (MATCH(391, 輔助計算!$F$2:$F$801, 0)+1))), "")</f>
        <v/>
      </c>
      <c r="H392" s="10">
        <f>IFERROR(IF(INDEX(ERP資料!$O:$O, (MATCH(391, 輔助計算!$F$2:$F$801, 0)+1))="","",INDEX(ERP資料!$O:$O, (MATCH(391, 輔助計算!$F$2:$F$801, 0)+1))), "")</f>
        <v/>
      </c>
      <c r="I392" s="15">
        <f>IFERROR(IF(INDEX(輔助計算!$D:$D,(MATCH(391, 輔助計算!$F$2:$F$801, 0)+1))="","",INDEX(輔助計算!$D:$D,(MATCH(391, 輔助計算!$F$2:$F$801, 0)+1))*INDEX(ERP資料!$O:$O,(MATCH(391, 輔助計算!$F$2:$F$801, 0)+1))), "")</f>
        <v/>
      </c>
      <c r="J392" s="16" t="n"/>
      <c r="K392" s="15">
        <f>IFERROR(INDEX(輔助計算!$D:$D, (MATCH(391, 輔助計算!$F$2:$F$801, 0)+1)), "")</f>
        <v/>
      </c>
      <c r="L392" s="16">
        <f>IFERROR(IF(AND(IFERROR(VLOOKUP(LEFT(INDEX(ERP資料!$S:$S, (MATCH(391, 輔助計算!$F$2:$F$801, 0)+1)), 4), 100張客戶!$A:$A, 1, FALSE), "")&lt;&gt;"", OR(INDEX(ERP資料!$F:$F, (MATCH(391, 輔助計算!$F$2:$F$801, 0)+1))=270, INDEX(ERP資料!$F:$F, (MATCH(391, 輔助計算!$F$2:$F$801, 0)+1))=300)), "100張", ""), "")</f>
        <v/>
      </c>
      <c r="M392" s="17" t="n"/>
      <c r="N392" s="17">
        <f>IF($F392="","",$F392)</f>
        <v/>
      </c>
      <c r="O392" s="17">
        <f>IF($G392="","",$G392)</f>
        <v/>
      </c>
      <c r="P392" s="17">
        <f>IF($K392="","",$K392)</f>
        <v/>
      </c>
      <c r="Q392" s="16" t="n"/>
      <c r="R392" s="18" t="n"/>
      <c r="S392" s="16" t="n"/>
    </row>
    <row r="393">
      <c r="A393" s="14">
        <f>IFERROR(IF(AND(IFERROR(INDEX(ERP資料!$A:$A, (MATCH(392, 輔助計算!$F$2:$F$801, 0)+1)), "")&lt;&gt;"", IFERROR(INDEX(ERP資料!$A:$A, (MATCH(392, 輔助計算!$F$2:$F$801, 0)+1)), "")&lt;&gt;IFERROR(INDEX(ERP資料!$A:$A, MATCH(391, 輔助計算!$F$2:$F$801, 0)+1), "")), INDEX(ERP資料!$B:$B, (MATCH(392, 輔助計算!$F$2:$F$801, 0)+1)), ""), "")</f>
        <v/>
      </c>
      <c r="B393" s="10">
        <f>IFERROR(IF(AND(IFERROR(INDEX(ERP資料!$A:$A, (MATCH(392, 輔助計算!$F$2:$F$801, 0)+1)), "")&lt;&gt;"", IFERROR(INDEX(ERP資料!$A:$A, (MATCH(392, 輔助計算!$F$2:$F$801, 0)+1)), "")&lt;&gt;IFERROR(INDEX(ERP資料!$A:$A, MATCH(391, 輔助計算!$F$2:$F$801, 0)+1), "")), IFERROR(INDEX(ERP資料!$A:$A, (MATCH(392, 輔助計算!$F$2:$F$801, 0)+1)), ""), ""), "")</f>
        <v/>
      </c>
      <c r="C393" s="10">
        <f>IFERROR(IF(AND(IFERROR(INDEX(ERP資料!$A:$A, (MATCH(392, 輔助計算!$F$2:$F$801, 0)+1)), "")&lt;&gt;"", IFERROR(INDEX(ERP資料!$A:$A, (MATCH(392, 輔助計算!$F$2:$F$801, 0)+1)), "")&lt;&gt;IFERROR(INDEX(ERP資料!$A:$A, MATCH(391, 輔助計算!$F$2:$F$801, 0)+1), "")), INDEX(ERP資料!$S:$S, (MATCH(392, 輔助計算!$F$2:$F$801, 0)+1)), ""), "")</f>
        <v/>
      </c>
      <c r="D393" s="10">
        <f>IFERROR(IF(INDEX(ERP資料!$E:$E, (MATCH(392, 輔助計算!$F$2:$F$801, 0)+1))="","",TRIM(INDEX(ERP資料!$E:$E, (MATCH(392, 輔助計算!$F$2:$F$801, 0)+1)))), "")</f>
        <v/>
      </c>
      <c r="E393" s="10">
        <f>IFERROR(IF(INDEX(ERP資料!$F:$F, (MATCH(392, 輔助計算!$F$2:$F$801, 0)+1))="","",INDEX(ERP資料!$F:$F, (MATCH(392, 輔助計算!$F$2:$F$801, 0)+1))), "")</f>
        <v/>
      </c>
      <c r="F393" s="10">
        <f>IFERROR(IF(INDEX(ERP資料!$G:$G, (MATCH(392, 輔助計算!$F$2:$F$801, 0)+1))="","",INDEX(ERP資料!$G:$G, (MATCH(392, 輔助計算!$F$2:$F$801, 0)+1))), "")</f>
        <v/>
      </c>
      <c r="G393" s="10">
        <f>IFERROR(IF(INDEX(ERP資料!$H:$H, (MATCH(392, 輔助計算!$F$2:$F$801, 0)+1))="","",INDEX(ERP資料!$H:$H, (MATCH(392, 輔助計算!$F$2:$F$801, 0)+1))), "")</f>
        <v/>
      </c>
      <c r="H393" s="10">
        <f>IFERROR(IF(INDEX(ERP資料!$O:$O, (MATCH(392, 輔助計算!$F$2:$F$801, 0)+1))="","",INDEX(ERP資料!$O:$O, (MATCH(392, 輔助計算!$F$2:$F$801, 0)+1))), "")</f>
        <v/>
      </c>
      <c r="I393" s="15">
        <f>IFERROR(IF(INDEX(輔助計算!$D:$D,(MATCH(392, 輔助計算!$F$2:$F$801, 0)+1))="","",INDEX(輔助計算!$D:$D,(MATCH(392, 輔助計算!$F$2:$F$801, 0)+1))*INDEX(ERP資料!$O:$O,(MATCH(392, 輔助計算!$F$2:$F$801, 0)+1))), "")</f>
        <v/>
      </c>
      <c r="J393" s="16" t="n"/>
      <c r="K393" s="15">
        <f>IFERROR(INDEX(輔助計算!$D:$D, (MATCH(392, 輔助計算!$F$2:$F$801, 0)+1)), "")</f>
        <v/>
      </c>
      <c r="L393" s="16">
        <f>IFERROR(IF(AND(IFERROR(VLOOKUP(LEFT(INDEX(ERP資料!$S:$S, (MATCH(392, 輔助計算!$F$2:$F$801, 0)+1)), 4), 100張客戶!$A:$A, 1, FALSE), "")&lt;&gt;"", OR(INDEX(ERP資料!$F:$F, (MATCH(392, 輔助計算!$F$2:$F$801, 0)+1))=270, INDEX(ERP資料!$F:$F, (MATCH(392, 輔助計算!$F$2:$F$801, 0)+1))=300)), "100張", ""), "")</f>
        <v/>
      </c>
      <c r="M393" s="17" t="n"/>
      <c r="N393" s="17">
        <f>IF($F393="","",$F393)</f>
        <v/>
      </c>
      <c r="O393" s="17">
        <f>IF($G393="","",$G393)</f>
        <v/>
      </c>
      <c r="P393" s="17">
        <f>IF($K393="","",$K393)</f>
        <v/>
      </c>
      <c r="Q393" s="16" t="n"/>
      <c r="R393" s="18" t="n"/>
      <c r="S393" s="16" t="n"/>
    </row>
    <row r="394">
      <c r="A394" s="14">
        <f>IFERROR(IF(AND(IFERROR(INDEX(ERP資料!$A:$A, (MATCH(393, 輔助計算!$F$2:$F$801, 0)+1)), "")&lt;&gt;"", IFERROR(INDEX(ERP資料!$A:$A, (MATCH(393, 輔助計算!$F$2:$F$801, 0)+1)), "")&lt;&gt;IFERROR(INDEX(ERP資料!$A:$A, MATCH(392, 輔助計算!$F$2:$F$801, 0)+1), "")), INDEX(ERP資料!$B:$B, (MATCH(393, 輔助計算!$F$2:$F$801, 0)+1)), ""), "")</f>
        <v/>
      </c>
      <c r="B394" s="10">
        <f>IFERROR(IF(AND(IFERROR(INDEX(ERP資料!$A:$A, (MATCH(393, 輔助計算!$F$2:$F$801, 0)+1)), "")&lt;&gt;"", IFERROR(INDEX(ERP資料!$A:$A, (MATCH(393, 輔助計算!$F$2:$F$801, 0)+1)), "")&lt;&gt;IFERROR(INDEX(ERP資料!$A:$A, MATCH(392, 輔助計算!$F$2:$F$801, 0)+1), "")), IFERROR(INDEX(ERP資料!$A:$A, (MATCH(393, 輔助計算!$F$2:$F$801, 0)+1)), ""), ""), "")</f>
        <v/>
      </c>
      <c r="C394" s="10">
        <f>IFERROR(IF(AND(IFERROR(INDEX(ERP資料!$A:$A, (MATCH(393, 輔助計算!$F$2:$F$801, 0)+1)), "")&lt;&gt;"", IFERROR(INDEX(ERP資料!$A:$A, (MATCH(393, 輔助計算!$F$2:$F$801, 0)+1)), "")&lt;&gt;IFERROR(INDEX(ERP資料!$A:$A, MATCH(392, 輔助計算!$F$2:$F$801, 0)+1), "")), INDEX(ERP資料!$S:$S, (MATCH(393, 輔助計算!$F$2:$F$801, 0)+1)), ""), "")</f>
        <v/>
      </c>
      <c r="D394" s="10">
        <f>IFERROR(IF(INDEX(ERP資料!$E:$E, (MATCH(393, 輔助計算!$F$2:$F$801, 0)+1))="","",TRIM(INDEX(ERP資料!$E:$E, (MATCH(393, 輔助計算!$F$2:$F$801, 0)+1)))), "")</f>
        <v/>
      </c>
      <c r="E394" s="10">
        <f>IFERROR(IF(INDEX(ERP資料!$F:$F, (MATCH(393, 輔助計算!$F$2:$F$801, 0)+1))="","",INDEX(ERP資料!$F:$F, (MATCH(393, 輔助計算!$F$2:$F$801, 0)+1))), "")</f>
        <v/>
      </c>
      <c r="F394" s="10">
        <f>IFERROR(IF(INDEX(ERP資料!$G:$G, (MATCH(393, 輔助計算!$F$2:$F$801, 0)+1))="","",INDEX(ERP資料!$G:$G, (MATCH(393, 輔助計算!$F$2:$F$801, 0)+1))), "")</f>
        <v/>
      </c>
      <c r="G394" s="10">
        <f>IFERROR(IF(INDEX(ERP資料!$H:$H, (MATCH(393, 輔助計算!$F$2:$F$801, 0)+1))="","",INDEX(ERP資料!$H:$H, (MATCH(393, 輔助計算!$F$2:$F$801, 0)+1))), "")</f>
        <v/>
      </c>
      <c r="H394" s="10">
        <f>IFERROR(IF(INDEX(ERP資料!$O:$O, (MATCH(393, 輔助計算!$F$2:$F$801, 0)+1))="","",INDEX(ERP資料!$O:$O, (MATCH(393, 輔助計算!$F$2:$F$801, 0)+1))), "")</f>
        <v/>
      </c>
      <c r="I394" s="15">
        <f>IFERROR(IF(INDEX(輔助計算!$D:$D,(MATCH(393, 輔助計算!$F$2:$F$801, 0)+1))="","",INDEX(輔助計算!$D:$D,(MATCH(393, 輔助計算!$F$2:$F$801, 0)+1))*INDEX(ERP資料!$O:$O,(MATCH(393, 輔助計算!$F$2:$F$801, 0)+1))), "")</f>
        <v/>
      </c>
      <c r="J394" s="16" t="n"/>
      <c r="K394" s="15">
        <f>IFERROR(INDEX(輔助計算!$D:$D, (MATCH(393, 輔助計算!$F$2:$F$801, 0)+1)), "")</f>
        <v/>
      </c>
      <c r="L394" s="16">
        <f>IFERROR(IF(AND(IFERROR(VLOOKUP(LEFT(INDEX(ERP資料!$S:$S, (MATCH(393, 輔助計算!$F$2:$F$801, 0)+1)), 4), 100張客戶!$A:$A, 1, FALSE), "")&lt;&gt;"", OR(INDEX(ERP資料!$F:$F, (MATCH(393, 輔助計算!$F$2:$F$801, 0)+1))=270, INDEX(ERP資料!$F:$F, (MATCH(393, 輔助計算!$F$2:$F$801, 0)+1))=300)), "100張", ""), "")</f>
        <v/>
      </c>
      <c r="M394" s="17" t="n"/>
      <c r="N394" s="17">
        <f>IF($F394="","",$F394)</f>
        <v/>
      </c>
      <c r="O394" s="17">
        <f>IF($G394="","",$G394)</f>
        <v/>
      </c>
      <c r="P394" s="17">
        <f>IF($K394="","",$K394)</f>
        <v/>
      </c>
      <c r="Q394" s="16" t="n"/>
      <c r="R394" s="18" t="n"/>
      <c r="S394" s="16" t="n"/>
    </row>
    <row r="395">
      <c r="A395" s="14">
        <f>IFERROR(IF(AND(IFERROR(INDEX(ERP資料!$A:$A, (MATCH(394, 輔助計算!$F$2:$F$801, 0)+1)), "")&lt;&gt;"", IFERROR(INDEX(ERP資料!$A:$A, (MATCH(394, 輔助計算!$F$2:$F$801, 0)+1)), "")&lt;&gt;IFERROR(INDEX(ERP資料!$A:$A, MATCH(393, 輔助計算!$F$2:$F$801, 0)+1), "")), INDEX(ERP資料!$B:$B, (MATCH(394, 輔助計算!$F$2:$F$801, 0)+1)), ""), "")</f>
        <v/>
      </c>
      <c r="B395" s="10">
        <f>IFERROR(IF(AND(IFERROR(INDEX(ERP資料!$A:$A, (MATCH(394, 輔助計算!$F$2:$F$801, 0)+1)), "")&lt;&gt;"", IFERROR(INDEX(ERP資料!$A:$A, (MATCH(394, 輔助計算!$F$2:$F$801, 0)+1)), "")&lt;&gt;IFERROR(INDEX(ERP資料!$A:$A, MATCH(393, 輔助計算!$F$2:$F$801, 0)+1), "")), IFERROR(INDEX(ERP資料!$A:$A, (MATCH(394, 輔助計算!$F$2:$F$801, 0)+1)), ""), ""), "")</f>
        <v/>
      </c>
      <c r="C395" s="10">
        <f>IFERROR(IF(AND(IFERROR(INDEX(ERP資料!$A:$A, (MATCH(394, 輔助計算!$F$2:$F$801, 0)+1)), "")&lt;&gt;"", IFERROR(INDEX(ERP資料!$A:$A, (MATCH(394, 輔助計算!$F$2:$F$801, 0)+1)), "")&lt;&gt;IFERROR(INDEX(ERP資料!$A:$A, MATCH(393, 輔助計算!$F$2:$F$801, 0)+1), "")), INDEX(ERP資料!$S:$S, (MATCH(394, 輔助計算!$F$2:$F$801, 0)+1)), ""), "")</f>
        <v/>
      </c>
      <c r="D395" s="10">
        <f>IFERROR(IF(INDEX(ERP資料!$E:$E, (MATCH(394, 輔助計算!$F$2:$F$801, 0)+1))="","",TRIM(INDEX(ERP資料!$E:$E, (MATCH(394, 輔助計算!$F$2:$F$801, 0)+1)))), "")</f>
        <v/>
      </c>
      <c r="E395" s="10">
        <f>IFERROR(IF(INDEX(ERP資料!$F:$F, (MATCH(394, 輔助計算!$F$2:$F$801, 0)+1))="","",INDEX(ERP資料!$F:$F, (MATCH(394, 輔助計算!$F$2:$F$801, 0)+1))), "")</f>
        <v/>
      </c>
      <c r="F395" s="10">
        <f>IFERROR(IF(INDEX(ERP資料!$G:$G, (MATCH(394, 輔助計算!$F$2:$F$801, 0)+1))="","",INDEX(ERP資料!$G:$G, (MATCH(394, 輔助計算!$F$2:$F$801, 0)+1))), "")</f>
        <v/>
      </c>
      <c r="G395" s="10">
        <f>IFERROR(IF(INDEX(ERP資料!$H:$H, (MATCH(394, 輔助計算!$F$2:$F$801, 0)+1))="","",INDEX(ERP資料!$H:$H, (MATCH(394, 輔助計算!$F$2:$F$801, 0)+1))), "")</f>
        <v/>
      </c>
      <c r="H395" s="10">
        <f>IFERROR(IF(INDEX(ERP資料!$O:$O, (MATCH(394, 輔助計算!$F$2:$F$801, 0)+1))="","",INDEX(ERP資料!$O:$O, (MATCH(394, 輔助計算!$F$2:$F$801, 0)+1))), "")</f>
        <v/>
      </c>
      <c r="I395" s="15">
        <f>IFERROR(IF(INDEX(輔助計算!$D:$D,(MATCH(394, 輔助計算!$F$2:$F$801, 0)+1))="","",INDEX(輔助計算!$D:$D,(MATCH(394, 輔助計算!$F$2:$F$801, 0)+1))*INDEX(ERP資料!$O:$O,(MATCH(394, 輔助計算!$F$2:$F$801, 0)+1))), "")</f>
        <v/>
      </c>
      <c r="J395" s="16" t="n"/>
      <c r="K395" s="15">
        <f>IFERROR(INDEX(輔助計算!$D:$D, (MATCH(394, 輔助計算!$F$2:$F$801, 0)+1)), "")</f>
        <v/>
      </c>
      <c r="L395" s="16">
        <f>IFERROR(IF(AND(IFERROR(VLOOKUP(LEFT(INDEX(ERP資料!$S:$S, (MATCH(394, 輔助計算!$F$2:$F$801, 0)+1)), 4), 100張客戶!$A:$A, 1, FALSE), "")&lt;&gt;"", OR(INDEX(ERP資料!$F:$F, (MATCH(394, 輔助計算!$F$2:$F$801, 0)+1))=270, INDEX(ERP資料!$F:$F, (MATCH(394, 輔助計算!$F$2:$F$801, 0)+1))=300)), "100張", ""), "")</f>
        <v/>
      </c>
      <c r="M395" s="17" t="n"/>
      <c r="N395" s="17">
        <f>IF($F395="","",$F395)</f>
        <v/>
      </c>
      <c r="O395" s="17">
        <f>IF($G395="","",$G395)</f>
        <v/>
      </c>
      <c r="P395" s="17">
        <f>IF($K395="","",$K395)</f>
        <v/>
      </c>
      <c r="Q395" s="16" t="n"/>
      <c r="R395" s="18" t="n"/>
      <c r="S395" s="16" t="n"/>
    </row>
    <row r="396">
      <c r="A396" s="14">
        <f>IFERROR(IF(AND(IFERROR(INDEX(ERP資料!$A:$A, (MATCH(395, 輔助計算!$F$2:$F$801, 0)+1)), "")&lt;&gt;"", IFERROR(INDEX(ERP資料!$A:$A, (MATCH(395, 輔助計算!$F$2:$F$801, 0)+1)), "")&lt;&gt;IFERROR(INDEX(ERP資料!$A:$A, MATCH(394, 輔助計算!$F$2:$F$801, 0)+1), "")), INDEX(ERP資料!$B:$B, (MATCH(395, 輔助計算!$F$2:$F$801, 0)+1)), ""), "")</f>
        <v/>
      </c>
      <c r="B396" s="10">
        <f>IFERROR(IF(AND(IFERROR(INDEX(ERP資料!$A:$A, (MATCH(395, 輔助計算!$F$2:$F$801, 0)+1)), "")&lt;&gt;"", IFERROR(INDEX(ERP資料!$A:$A, (MATCH(395, 輔助計算!$F$2:$F$801, 0)+1)), "")&lt;&gt;IFERROR(INDEX(ERP資料!$A:$A, MATCH(394, 輔助計算!$F$2:$F$801, 0)+1), "")), IFERROR(INDEX(ERP資料!$A:$A, (MATCH(395, 輔助計算!$F$2:$F$801, 0)+1)), ""), ""), "")</f>
        <v/>
      </c>
      <c r="C396" s="10">
        <f>IFERROR(IF(AND(IFERROR(INDEX(ERP資料!$A:$A, (MATCH(395, 輔助計算!$F$2:$F$801, 0)+1)), "")&lt;&gt;"", IFERROR(INDEX(ERP資料!$A:$A, (MATCH(395, 輔助計算!$F$2:$F$801, 0)+1)), "")&lt;&gt;IFERROR(INDEX(ERP資料!$A:$A, MATCH(394, 輔助計算!$F$2:$F$801, 0)+1), "")), INDEX(ERP資料!$S:$S, (MATCH(395, 輔助計算!$F$2:$F$801, 0)+1)), ""), "")</f>
        <v/>
      </c>
      <c r="D396" s="10">
        <f>IFERROR(IF(INDEX(ERP資料!$E:$E, (MATCH(395, 輔助計算!$F$2:$F$801, 0)+1))="","",TRIM(INDEX(ERP資料!$E:$E, (MATCH(395, 輔助計算!$F$2:$F$801, 0)+1)))), "")</f>
        <v/>
      </c>
      <c r="E396" s="10">
        <f>IFERROR(IF(INDEX(ERP資料!$F:$F, (MATCH(395, 輔助計算!$F$2:$F$801, 0)+1))="","",INDEX(ERP資料!$F:$F, (MATCH(395, 輔助計算!$F$2:$F$801, 0)+1))), "")</f>
        <v/>
      </c>
      <c r="F396" s="10">
        <f>IFERROR(IF(INDEX(ERP資料!$G:$G, (MATCH(395, 輔助計算!$F$2:$F$801, 0)+1))="","",INDEX(ERP資料!$G:$G, (MATCH(395, 輔助計算!$F$2:$F$801, 0)+1))), "")</f>
        <v/>
      </c>
      <c r="G396" s="10">
        <f>IFERROR(IF(INDEX(ERP資料!$H:$H, (MATCH(395, 輔助計算!$F$2:$F$801, 0)+1))="","",INDEX(ERP資料!$H:$H, (MATCH(395, 輔助計算!$F$2:$F$801, 0)+1))), "")</f>
        <v/>
      </c>
      <c r="H396" s="10">
        <f>IFERROR(IF(INDEX(ERP資料!$O:$O, (MATCH(395, 輔助計算!$F$2:$F$801, 0)+1))="","",INDEX(ERP資料!$O:$O, (MATCH(395, 輔助計算!$F$2:$F$801, 0)+1))), "")</f>
        <v/>
      </c>
      <c r="I396" s="15">
        <f>IFERROR(IF(INDEX(輔助計算!$D:$D,(MATCH(395, 輔助計算!$F$2:$F$801, 0)+1))="","",INDEX(輔助計算!$D:$D,(MATCH(395, 輔助計算!$F$2:$F$801, 0)+1))*INDEX(ERP資料!$O:$O,(MATCH(395, 輔助計算!$F$2:$F$801, 0)+1))), "")</f>
        <v/>
      </c>
      <c r="J396" s="16" t="n"/>
      <c r="K396" s="15">
        <f>IFERROR(INDEX(輔助計算!$D:$D, (MATCH(395, 輔助計算!$F$2:$F$801, 0)+1)), "")</f>
        <v/>
      </c>
      <c r="L396" s="16">
        <f>IFERROR(IF(AND(IFERROR(VLOOKUP(LEFT(INDEX(ERP資料!$S:$S, (MATCH(395, 輔助計算!$F$2:$F$801, 0)+1)), 4), 100張客戶!$A:$A, 1, FALSE), "")&lt;&gt;"", OR(INDEX(ERP資料!$F:$F, (MATCH(395, 輔助計算!$F$2:$F$801, 0)+1))=270, INDEX(ERP資料!$F:$F, (MATCH(395, 輔助計算!$F$2:$F$801, 0)+1))=300)), "100張", ""), "")</f>
        <v/>
      </c>
      <c r="M396" s="17" t="n"/>
      <c r="N396" s="17">
        <f>IF($F396="","",$F396)</f>
        <v/>
      </c>
      <c r="O396" s="17">
        <f>IF($G396="","",$G396)</f>
        <v/>
      </c>
      <c r="P396" s="17">
        <f>IF($K396="","",$K396)</f>
        <v/>
      </c>
      <c r="Q396" s="16" t="n"/>
      <c r="R396" s="18" t="n"/>
      <c r="S396" s="16" t="n"/>
    </row>
    <row r="397">
      <c r="A397" s="14">
        <f>IFERROR(IF(AND(IFERROR(INDEX(ERP資料!$A:$A, (MATCH(396, 輔助計算!$F$2:$F$801, 0)+1)), "")&lt;&gt;"", IFERROR(INDEX(ERP資料!$A:$A, (MATCH(396, 輔助計算!$F$2:$F$801, 0)+1)), "")&lt;&gt;IFERROR(INDEX(ERP資料!$A:$A, MATCH(395, 輔助計算!$F$2:$F$801, 0)+1), "")), INDEX(ERP資料!$B:$B, (MATCH(396, 輔助計算!$F$2:$F$801, 0)+1)), ""), "")</f>
        <v/>
      </c>
      <c r="B397" s="10">
        <f>IFERROR(IF(AND(IFERROR(INDEX(ERP資料!$A:$A, (MATCH(396, 輔助計算!$F$2:$F$801, 0)+1)), "")&lt;&gt;"", IFERROR(INDEX(ERP資料!$A:$A, (MATCH(396, 輔助計算!$F$2:$F$801, 0)+1)), "")&lt;&gt;IFERROR(INDEX(ERP資料!$A:$A, MATCH(395, 輔助計算!$F$2:$F$801, 0)+1), "")), IFERROR(INDEX(ERP資料!$A:$A, (MATCH(396, 輔助計算!$F$2:$F$801, 0)+1)), ""), ""), "")</f>
        <v/>
      </c>
      <c r="C397" s="10">
        <f>IFERROR(IF(AND(IFERROR(INDEX(ERP資料!$A:$A, (MATCH(396, 輔助計算!$F$2:$F$801, 0)+1)), "")&lt;&gt;"", IFERROR(INDEX(ERP資料!$A:$A, (MATCH(396, 輔助計算!$F$2:$F$801, 0)+1)), "")&lt;&gt;IFERROR(INDEX(ERP資料!$A:$A, MATCH(395, 輔助計算!$F$2:$F$801, 0)+1), "")), INDEX(ERP資料!$S:$S, (MATCH(396, 輔助計算!$F$2:$F$801, 0)+1)), ""), "")</f>
        <v/>
      </c>
      <c r="D397" s="10">
        <f>IFERROR(IF(INDEX(ERP資料!$E:$E, (MATCH(396, 輔助計算!$F$2:$F$801, 0)+1))="","",TRIM(INDEX(ERP資料!$E:$E, (MATCH(396, 輔助計算!$F$2:$F$801, 0)+1)))), "")</f>
        <v/>
      </c>
      <c r="E397" s="10">
        <f>IFERROR(IF(INDEX(ERP資料!$F:$F, (MATCH(396, 輔助計算!$F$2:$F$801, 0)+1))="","",INDEX(ERP資料!$F:$F, (MATCH(396, 輔助計算!$F$2:$F$801, 0)+1))), "")</f>
        <v/>
      </c>
      <c r="F397" s="10">
        <f>IFERROR(IF(INDEX(ERP資料!$G:$G, (MATCH(396, 輔助計算!$F$2:$F$801, 0)+1))="","",INDEX(ERP資料!$G:$G, (MATCH(396, 輔助計算!$F$2:$F$801, 0)+1))), "")</f>
        <v/>
      </c>
      <c r="G397" s="10">
        <f>IFERROR(IF(INDEX(ERP資料!$H:$H, (MATCH(396, 輔助計算!$F$2:$F$801, 0)+1))="","",INDEX(ERP資料!$H:$H, (MATCH(396, 輔助計算!$F$2:$F$801, 0)+1))), "")</f>
        <v/>
      </c>
      <c r="H397" s="10">
        <f>IFERROR(IF(INDEX(ERP資料!$O:$O, (MATCH(396, 輔助計算!$F$2:$F$801, 0)+1))="","",INDEX(ERP資料!$O:$O, (MATCH(396, 輔助計算!$F$2:$F$801, 0)+1))), "")</f>
        <v/>
      </c>
      <c r="I397" s="15">
        <f>IFERROR(IF(INDEX(輔助計算!$D:$D,(MATCH(396, 輔助計算!$F$2:$F$801, 0)+1))="","",INDEX(輔助計算!$D:$D,(MATCH(396, 輔助計算!$F$2:$F$801, 0)+1))*INDEX(ERP資料!$O:$O,(MATCH(396, 輔助計算!$F$2:$F$801, 0)+1))), "")</f>
        <v/>
      </c>
      <c r="J397" s="16" t="n"/>
      <c r="K397" s="15">
        <f>IFERROR(INDEX(輔助計算!$D:$D, (MATCH(396, 輔助計算!$F$2:$F$801, 0)+1)), "")</f>
        <v/>
      </c>
      <c r="L397" s="16">
        <f>IFERROR(IF(AND(IFERROR(VLOOKUP(LEFT(INDEX(ERP資料!$S:$S, (MATCH(396, 輔助計算!$F$2:$F$801, 0)+1)), 4), 100張客戶!$A:$A, 1, FALSE), "")&lt;&gt;"", OR(INDEX(ERP資料!$F:$F, (MATCH(396, 輔助計算!$F$2:$F$801, 0)+1))=270, INDEX(ERP資料!$F:$F, (MATCH(396, 輔助計算!$F$2:$F$801, 0)+1))=300)), "100張", ""), "")</f>
        <v/>
      </c>
      <c r="M397" s="17" t="n"/>
      <c r="N397" s="17">
        <f>IF($F397="","",$F397)</f>
        <v/>
      </c>
      <c r="O397" s="17">
        <f>IF($G397="","",$G397)</f>
        <v/>
      </c>
      <c r="P397" s="17">
        <f>IF($K397="","",$K397)</f>
        <v/>
      </c>
      <c r="Q397" s="16" t="n"/>
      <c r="R397" s="18" t="n"/>
      <c r="S397" s="16" t="n"/>
    </row>
    <row r="398">
      <c r="A398" s="14">
        <f>IFERROR(IF(AND(IFERROR(INDEX(ERP資料!$A:$A, (MATCH(397, 輔助計算!$F$2:$F$801, 0)+1)), "")&lt;&gt;"", IFERROR(INDEX(ERP資料!$A:$A, (MATCH(397, 輔助計算!$F$2:$F$801, 0)+1)), "")&lt;&gt;IFERROR(INDEX(ERP資料!$A:$A, MATCH(396, 輔助計算!$F$2:$F$801, 0)+1), "")), INDEX(ERP資料!$B:$B, (MATCH(397, 輔助計算!$F$2:$F$801, 0)+1)), ""), "")</f>
        <v/>
      </c>
      <c r="B398" s="10">
        <f>IFERROR(IF(AND(IFERROR(INDEX(ERP資料!$A:$A, (MATCH(397, 輔助計算!$F$2:$F$801, 0)+1)), "")&lt;&gt;"", IFERROR(INDEX(ERP資料!$A:$A, (MATCH(397, 輔助計算!$F$2:$F$801, 0)+1)), "")&lt;&gt;IFERROR(INDEX(ERP資料!$A:$A, MATCH(396, 輔助計算!$F$2:$F$801, 0)+1), "")), IFERROR(INDEX(ERP資料!$A:$A, (MATCH(397, 輔助計算!$F$2:$F$801, 0)+1)), ""), ""), "")</f>
        <v/>
      </c>
      <c r="C398" s="10">
        <f>IFERROR(IF(AND(IFERROR(INDEX(ERP資料!$A:$A, (MATCH(397, 輔助計算!$F$2:$F$801, 0)+1)), "")&lt;&gt;"", IFERROR(INDEX(ERP資料!$A:$A, (MATCH(397, 輔助計算!$F$2:$F$801, 0)+1)), "")&lt;&gt;IFERROR(INDEX(ERP資料!$A:$A, MATCH(396, 輔助計算!$F$2:$F$801, 0)+1), "")), INDEX(ERP資料!$S:$S, (MATCH(397, 輔助計算!$F$2:$F$801, 0)+1)), ""), "")</f>
        <v/>
      </c>
      <c r="D398" s="10">
        <f>IFERROR(IF(INDEX(ERP資料!$E:$E, (MATCH(397, 輔助計算!$F$2:$F$801, 0)+1))="","",TRIM(INDEX(ERP資料!$E:$E, (MATCH(397, 輔助計算!$F$2:$F$801, 0)+1)))), "")</f>
        <v/>
      </c>
      <c r="E398" s="10">
        <f>IFERROR(IF(INDEX(ERP資料!$F:$F, (MATCH(397, 輔助計算!$F$2:$F$801, 0)+1))="","",INDEX(ERP資料!$F:$F, (MATCH(397, 輔助計算!$F$2:$F$801, 0)+1))), "")</f>
        <v/>
      </c>
      <c r="F398" s="10">
        <f>IFERROR(IF(INDEX(ERP資料!$G:$G, (MATCH(397, 輔助計算!$F$2:$F$801, 0)+1))="","",INDEX(ERP資料!$G:$G, (MATCH(397, 輔助計算!$F$2:$F$801, 0)+1))), "")</f>
        <v/>
      </c>
      <c r="G398" s="10">
        <f>IFERROR(IF(INDEX(ERP資料!$H:$H, (MATCH(397, 輔助計算!$F$2:$F$801, 0)+1))="","",INDEX(ERP資料!$H:$H, (MATCH(397, 輔助計算!$F$2:$F$801, 0)+1))), "")</f>
        <v/>
      </c>
      <c r="H398" s="10">
        <f>IFERROR(IF(INDEX(ERP資料!$O:$O, (MATCH(397, 輔助計算!$F$2:$F$801, 0)+1))="","",INDEX(ERP資料!$O:$O, (MATCH(397, 輔助計算!$F$2:$F$801, 0)+1))), "")</f>
        <v/>
      </c>
      <c r="I398" s="15">
        <f>IFERROR(IF(INDEX(輔助計算!$D:$D,(MATCH(397, 輔助計算!$F$2:$F$801, 0)+1))="","",INDEX(輔助計算!$D:$D,(MATCH(397, 輔助計算!$F$2:$F$801, 0)+1))*INDEX(ERP資料!$O:$O,(MATCH(397, 輔助計算!$F$2:$F$801, 0)+1))), "")</f>
        <v/>
      </c>
      <c r="J398" s="16" t="n"/>
      <c r="K398" s="15">
        <f>IFERROR(INDEX(輔助計算!$D:$D, (MATCH(397, 輔助計算!$F$2:$F$801, 0)+1)), "")</f>
        <v/>
      </c>
      <c r="L398" s="16">
        <f>IFERROR(IF(AND(IFERROR(VLOOKUP(LEFT(INDEX(ERP資料!$S:$S, (MATCH(397, 輔助計算!$F$2:$F$801, 0)+1)), 4), 100張客戶!$A:$A, 1, FALSE), "")&lt;&gt;"", OR(INDEX(ERP資料!$F:$F, (MATCH(397, 輔助計算!$F$2:$F$801, 0)+1))=270, INDEX(ERP資料!$F:$F, (MATCH(397, 輔助計算!$F$2:$F$801, 0)+1))=300)), "100張", ""), "")</f>
        <v/>
      </c>
      <c r="M398" s="17" t="n"/>
      <c r="N398" s="17">
        <f>IF($F398="","",$F398)</f>
        <v/>
      </c>
      <c r="O398" s="17">
        <f>IF($G398="","",$G398)</f>
        <v/>
      </c>
      <c r="P398" s="17">
        <f>IF($K398="","",$K398)</f>
        <v/>
      </c>
      <c r="Q398" s="16" t="n"/>
      <c r="R398" s="18" t="n"/>
      <c r="S398" s="16" t="n"/>
    </row>
    <row r="399">
      <c r="A399" s="14">
        <f>IFERROR(IF(AND(IFERROR(INDEX(ERP資料!$A:$A, (MATCH(398, 輔助計算!$F$2:$F$801, 0)+1)), "")&lt;&gt;"", IFERROR(INDEX(ERP資料!$A:$A, (MATCH(398, 輔助計算!$F$2:$F$801, 0)+1)), "")&lt;&gt;IFERROR(INDEX(ERP資料!$A:$A, MATCH(397, 輔助計算!$F$2:$F$801, 0)+1), "")), INDEX(ERP資料!$B:$B, (MATCH(398, 輔助計算!$F$2:$F$801, 0)+1)), ""), "")</f>
        <v/>
      </c>
      <c r="B399" s="10">
        <f>IFERROR(IF(AND(IFERROR(INDEX(ERP資料!$A:$A, (MATCH(398, 輔助計算!$F$2:$F$801, 0)+1)), "")&lt;&gt;"", IFERROR(INDEX(ERP資料!$A:$A, (MATCH(398, 輔助計算!$F$2:$F$801, 0)+1)), "")&lt;&gt;IFERROR(INDEX(ERP資料!$A:$A, MATCH(397, 輔助計算!$F$2:$F$801, 0)+1), "")), IFERROR(INDEX(ERP資料!$A:$A, (MATCH(398, 輔助計算!$F$2:$F$801, 0)+1)), ""), ""), "")</f>
        <v/>
      </c>
      <c r="C399" s="10">
        <f>IFERROR(IF(AND(IFERROR(INDEX(ERP資料!$A:$A, (MATCH(398, 輔助計算!$F$2:$F$801, 0)+1)), "")&lt;&gt;"", IFERROR(INDEX(ERP資料!$A:$A, (MATCH(398, 輔助計算!$F$2:$F$801, 0)+1)), "")&lt;&gt;IFERROR(INDEX(ERP資料!$A:$A, MATCH(397, 輔助計算!$F$2:$F$801, 0)+1), "")), INDEX(ERP資料!$S:$S, (MATCH(398, 輔助計算!$F$2:$F$801, 0)+1)), ""), "")</f>
        <v/>
      </c>
      <c r="D399" s="10">
        <f>IFERROR(IF(INDEX(ERP資料!$E:$E, (MATCH(398, 輔助計算!$F$2:$F$801, 0)+1))="","",TRIM(INDEX(ERP資料!$E:$E, (MATCH(398, 輔助計算!$F$2:$F$801, 0)+1)))), "")</f>
        <v/>
      </c>
      <c r="E399" s="10">
        <f>IFERROR(IF(INDEX(ERP資料!$F:$F, (MATCH(398, 輔助計算!$F$2:$F$801, 0)+1))="","",INDEX(ERP資料!$F:$F, (MATCH(398, 輔助計算!$F$2:$F$801, 0)+1))), "")</f>
        <v/>
      </c>
      <c r="F399" s="10">
        <f>IFERROR(IF(INDEX(ERP資料!$G:$G, (MATCH(398, 輔助計算!$F$2:$F$801, 0)+1))="","",INDEX(ERP資料!$G:$G, (MATCH(398, 輔助計算!$F$2:$F$801, 0)+1))), "")</f>
        <v/>
      </c>
      <c r="G399" s="10">
        <f>IFERROR(IF(INDEX(ERP資料!$H:$H, (MATCH(398, 輔助計算!$F$2:$F$801, 0)+1))="","",INDEX(ERP資料!$H:$H, (MATCH(398, 輔助計算!$F$2:$F$801, 0)+1))), "")</f>
        <v/>
      </c>
      <c r="H399" s="10">
        <f>IFERROR(IF(INDEX(ERP資料!$O:$O, (MATCH(398, 輔助計算!$F$2:$F$801, 0)+1))="","",INDEX(ERP資料!$O:$O, (MATCH(398, 輔助計算!$F$2:$F$801, 0)+1))), "")</f>
        <v/>
      </c>
      <c r="I399" s="15">
        <f>IFERROR(IF(INDEX(輔助計算!$D:$D,(MATCH(398, 輔助計算!$F$2:$F$801, 0)+1))="","",INDEX(輔助計算!$D:$D,(MATCH(398, 輔助計算!$F$2:$F$801, 0)+1))*INDEX(ERP資料!$O:$O,(MATCH(398, 輔助計算!$F$2:$F$801, 0)+1))), "")</f>
        <v/>
      </c>
      <c r="J399" s="16" t="n"/>
      <c r="K399" s="15">
        <f>IFERROR(INDEX(輔助計算!$D:$D, (MATCH(398, 輔助計算!$F$2:$F$801, 0)+1)), "")</f>
        <v/>
      </c>
      <c r="L399" s="16">
        <f>IFERROR(IF(AND(IFERROR(VLOOKUP(LEFT(INDEX(ERP資料!$S:$S, (MATCH(398, 輔助計算!$F$2:$F$801, 0)+1)), 4), 100張客戶!$A:$A, 1, FALSE), "")&lt;&gt;"", OR(INDEX(ERP資料!$F:$F, (MATCH(398, 輔助計算!$F$2:$F$801, 0)+1))=270, INDEX(ERP資料!$F:$F, (MATCH(398, 輔助計算!$F$2:$F$801, 0)+1))=300)), "100張", ""), "")</f>
        <v/>
      </c>
      <c r="M399" s="17" t="n"/>
      <c r="N399" s="17">
        <f>IF($F399="","",$F399)</f>
        <v/>
      </c>
      <c r="O399" s="17">
        <f>IF($G399="","",$G399)</f>
        <v/>
      </c>
      <c r="P399" s="17">
        <f>IF($K399="","",$K399)</f>
        <v/>
      </c>
      <c r="Q399" s="16" t="n"/>
      <c r="R399" s="18" t="n"/>
      <c r="S399" s="16" t="n"/>
    </row>
    <row r="400">
      <c r="A400" s="14">
        <f>IFERROR(IF(AND(IFERROR(INDEX(ERP資料!$A:$A, (MATCH(399, 輔助計算!$F$2:$F$801, 0)+1)), "")&lt;&gt;"", IFERROR(INDEX(ERP資料!$A:$A, (MATCH(399, 輔助計算!$F$2:$F$801, 0)+1)), "")&lt;&gt;IFERROR(INDEX(ERP資料!$A:$A, MATCH(398, 輔助計算!$F$2:$F$801, 0)+1), "")), INDEX(ERP資料!$B:$B, (MATCH(399, 輔助計算!$F$2:$F$801, 0)+1)), ""), "")</f>
        <v/>
      </c>
      <c r="B400" s="10">
        <f>IFERROR(IF(AND(IFERROR(INDEX(ERP資料!$A:$A, (MATCH(399, 輔助計算!$F$2:$F$801, 0)+1)), "")&lt;&gt;"", IFERROR(INDEX(ERP資料!$A:$A, (MATCH(399, 輔助計算!$F$2:$F$801, 0)+1)), "")&lt;&gt;IFERROR(INDEX(ERP資料!$A:$A, MATCH(398, 輔助計算!$F$2:$F$801, 0)+1), "")), IFERROR(INDEX(ERP資料!$A:$A, (MATCH(399, 輔助計算!$F$2:$F$801, 0)+1)), ""), ""), "")</f>
        <v/>
      </c>
      <c r="C400" s="10">
        <f>IFERROR(IF(AND(IFERROR(INDEX(ERP資料!$A:$A, (MATCH(399, 輔助計算!$F$2:$F$801, 0)+1)), "")&lt;&gt;"", IFERROR(INDEX(ERP資料!$A:$A, (MATCH(399, 輔助計算!$F$2:$F$801, 0)+1)), "")&lt;&gt;IFERROR(INDEX(ERP資料!$A:$A, MATCH(398, 輔助計算!$F$2:$F$801, 0)+1), "")), INDEX(ERP資料!$S:$S, (MATCH(399, 輔助計算!$F$2:$F$801, 0)+1)), ""), "")</f>
        <v/>
      </c>
      <c r="D400" s="10">
        <f>IFERROR(IF(INDEX(ERP資料!$E:$E, (MATCH(399, 輔助計算!$F$2:$F$801, 0)+1))="","",TRIM(INDEX(ERP資料!$E:$E, (MATCH(399, 輔助計算!$F$2:$F$801, 0)+1)))), "")</f>
        <v/>
      </c>
      <c r="E400" s="10">
        <f>IFERROR(IF(INDEX(ERP資料!$F:$F, (MATCH(399, 輔助計算!$F$2:$F$801, 0)+1))="","",INDEX(ERP資料!$F:$F, (MATCH(399, 輔助計算!$F$2:$F$801, 0)+1))), "")</f>
        <v/>
      </c>
      <c r="F400" s="10">
        <f>IFERROR(IF(INDEX(ERP資料!$G:$G, (MATCH(399, 輔助計算!$F$2:$F$801, 0)+1))="","",INDEX(ERP資料!$G:$G, (MATCH(399, 輔助計算!$F$2:$F$801, 0)+1))), "")</f>
        <v/>
      </c>
      <c r="G400" s="10">
        <f>IFERROR(IF(INDEX(ERP資料!$H:$H, (MATCH(399, 輔助計算!$F$2:$F$801, 0)+1))="","",INDEX(ERP資料!$H:$H, (MATCH(399, 輔助計算!$F$2:$F$801, 0)+1))), "")</f>
        <v/>
      </c>
      <c r="H400" s="10">
        <f>IFERROR(IF(INDEX(ERP資料!$O:$O, (MATCH(399, 輔助計算!$F$2:$F$801, 0)+1))="","",INDEX(ERP資料!$O:$O, (MATCH(399, 輔助計算!$F$2:$F$801, 0)+1))), "")</f>
        <v/>
      </c>
      <c r="I400" s="15">
        <f>IFERROR(IF(INDEX(輔助計算!$D:$D,(MATCH(399, 輔助計算!$F$2:$F$801, 0)+1))="","",INDEX(輔助計算!$D:$D,(MATCH(399, 輔助計算!$F$2:$F$801, 0)+1))*INDEX(ERP資料!$O:$O,(MATCH(399, 輔助計算!$F$2:$F$801, 0)+1))), "")</f>
        <v/>
      </c>
      <c r="J400" s="16" t="n"/>
      <c r="K400" s="15">
        <f>IFERROR(INDEX(輔助計算!$D:$D, (MATCH(399, 輔助計算!$F$2:$F$801, 0)+1)), "")</f>
        <v/>
      </c>
      <c r="L400" s="16">
        <f>IFERROR(IF(AND(IFERROR(VLOOKUP(LEFT(INDEX(ERP資料!$S:$S, (MATCH(399, 輔助計算!$F$2:$F$801, 0)+1)), 4), 100張客戶!$A:$A, 1, FALSE), "")&lt;&gt;"", OR(INDEX(ERP資料!$F:$F, (MATCH(399, 輔助計算!$F$2:$F$801, 0)+1))=270, INDEX(ERP資料!$F:$F, (MATCH(399, 輔助計算!$F$2:$F$801, 0)+1))=300)), "100張", ""), "")</f>
        <v/>
      </c>
      <c r="M400" s="17" t="n"/>
      <c r="N400" s="17">
        <f>IF($F400="","",$F400)</f>
        <v/>
      </c>
      <c r="O400" s="17">
        <f>IF($G400="","",$G400)</f>
        <v/>
      </c>
      <c r="P400" s="17">
        <f>IF($K400="","",$K400)</f>
        <v/>
      </c>
      <c r="Q400" s="16" t="n"/>
      <c r="R400" s="18" t="n"/>
      <c r="S400" s="16" t="n"/>
    </row>
    <row r="401">
      <c r="A401" s="14">
        <f>IFERROR(IF(AND(IFERROR(INDEX(ERP資料!$A:$A, (MATCH(400, 輔助計算!$F$2:$F$801, 0)+1)), "")&lt;&gt;"", IFERROR(INDEX(ERP資料!$A:$A, (MATCH(400, 輔助計算!$F$2:$F$801, 0)+1)), "")&lt;&gt;IFERROR(INDEX(ERP資料!$A:$A, MATCH(399, 輔助計算!$F$2:$F$801, 0)+1), "")), INDEX(ERP資料!$B:$B, (MATCH(400, 輔助計算!$F$2:$F$801, 0)+1)), ""), "")</f>
        <v/>
      </c>
      <c r="B401" s="10">
        <f>IFERROR(IF(AND(IFERROR(INDEX(ERP資料!$A:$A, (MATCH(400, 輔助計算!$F$2:$F$801, 0)+1)), "")&lt;&gt;"", IFERROR(INDEX(ERP資料!$A:$A, (MATCH(400, 輔助計算!$F$2:$F$801, 0)+1)), "")&lt;&gt;IFERROR(INDEX(ERP資料!$A:$A, MATCH(399, 輔助計算!$F$2:$F$801, 0)+1), "")), IFERROR(INDEX(ERP資料!$A:$A, (MATCH(400, 輔助計算!$F$2:$F$801, 0)+1)), ""), ""), "")</f>
        <v/>
      </c>
      <c r="C401" s="10">
        <f>IFERROR(IF(AND(IFERROR(INDEX(ERP資料!$A:$A, (MATCH(400, 輔助計算!$F$2:$F$801, 0)+1)), "")&lt;&gt;"", IFERROR(INDEX(ERP資料!$A:$A, (MATCH(400, 輔助計算!$F$2:$F$801, 0)+1)), "")&lt;&gt;IFERROR(INDEX(ERP資料!$A:$A, MATCH(399, 輔助計算!$F$2:$F$801, 0)+1), "")), INDEX(ERP資料!$S:$S, (MATCH(400, 輔助計算!$F$2:$F$801, 0)+1)), ""), "")</f>
        <v/>
      </c>
      <c r="D401" s="10">
        <f>IFERROR(IF(INDEX(ERP資料!$E:$E, (MATCH(400, 輔助計算!$F$2:$F$801, 0)+1))="","",TRIM(INDEX(ERP資料!$E:$E, (MATCH(400, 輔助計算!$F$2:$F$801, 0)+1)))), "")</f>
        <v/>
      </c>
      <c r="E401" s="10">
        <f>IFERROR(IF(INDEX(ERP資料!$F:$F, (MATCH(400, 輔助計算!$F$2:$F$801, 0)+1))="","",INDEX(ERP資料!$F:$F, (MATCH(400, 輔助計算!$F$2:$F$801, 0)+1))), "")</f>
        <v/>
      </c>
      <c r="F401" s="10">
        <f>IFERROR(IF(INDEX(ERP資料!$G:$G, (MATCH(400, 輔助計算!$F$2:$F$801, 0)+1))="","",INDEX(ERP資料!$G:$G, (MATCH(400, 輔助計算!$F$2:$F$801, 0)+1))), "")</f>
        <v/>
      </c>
      <c r="G401" s="10">
        <f>IFERROR(IF(INDEX(ERP資料!$H:$H, (MATCH(400, 輔助計算!$F$2:$F$801, 0)+1))="","",INDEX(ERP資料!$H:$H, (MATCH(400, 輔助計算!$F$2:$F$801, 0)+1))), "")</f>
        <v/>
      </c>
      <c r="H401" s="10">
        <f>IFERROR(IF(INDEX(ERP資料!$O:$O, (MATCH(400, 輔助計算!$F$2:$F$801, 0)+1))="","",INDEX(ERP資料!$O:$O, (MATCH(400, 輔助計算!$F$2:$F$801, 0)+1))), "")</f>
        <v/>
      </c>
      <c r="I401" s="15">
        <f>IFERROR(IF(INDEX(輔助計算!$D:$D,(MATCH(400, 輔助計算!$F$2:$F$801, 0)+1))="","",INDEX(輔助計算!$D:$D,(MATCH(400, 輔助計算!$F$2:$F$801, 0)+1))*INDEX(ERP資料!$O:$O,(MATCH(400, 輔助計算!$F$2:$F$801, 0)+1))), "")</f>
        <v/>
      </c>
      <c r="J401" s="16" t="n"/>
      <c r="K401" s="15">
        <f>IFERROR(INDEX(輔助計算!$D:$D, (MATCH(400, 輔助計算!$F$2:$F$801, 0)+1)), "")</f>
        <v/>
      </c>
      <c r="L401" s="16">
        <f>IFERROR(IF(AND(IFERROR(VLOOKUP(LEFT(INDEX(ERP資料!$S:$S, (MATCH(400, 輔助計算!$F$2:$F$801, 0)+1)), 4), 100張客戶!$A:$A, 1, FALSE), "")&lt;&gt;"", OR(INDEX(ERP資料!$F:$F, (MATCH(400, 輔助計算!$F$2:$F$801, 0)+1))=270, INDEX(ERP資料!$F:$F, (MATCH(400, 輔助計算!$F$2:$F$801, 0)+1))=300)), "100張", ""), "")</f>
        <v/>
      </c>
      <c r="M401" s="17" t="n"/>
      <c r="N401" s="17">
        <f>IF($F401="","",$F401)</f>
        <v/>
      </c>
      <c r="O401" s="17">
        <f>IF($G401="","",$G401)</f>
        <v/>
      </c>
      <c r="P401" s="17">
        <f>IF($K401="","",$K401)</f>
        <v/>
      </c>
      <c r="Q401" s="16" t="n"/>
      <c r="R401" s="18" t="n"/>
      <c r="S401" s="16" t="n"/>
    </row>
    <row r="402">
      <c r="A402" s="14">
        <f>IFERROR(IF(AND(IFERROR(INDEX(ERP資料!$A:$A, (MATCH(401, 輔助計算!$F$2:$F$801, 0)+1)), "")&lt;&gt;"", IFERROR(INDEX(ERP資料!$A:$A, (MATCH(401, 輔助計算!$F$2:$F$801, 0)+1)), "")&lt;&gt;IFERROR(INDEX(ERP資料!$A:$A, MATCH(400, 輔助計算!$F$2:$F$801, 0)+1), "")), INDEX(ERP資料!$B:$B, (MATCH(401, 輔助計算!$F$2:$F$801, 0)+1)), ""), "")</f>
        <v/>
      </c>
      <c r="B402" s="10">
        <f>IFERROR(IF(AND(IFERROR(INDEX(ERP資料!$A:$A, (MATCH(401, 輔助計算!$F$2:$F$801, 0)+1)), "")&lt;&gt;"", IFERROR(INDEX(ERP資料!$A:$A, (MATCH(401, 輔助計算!$F$2:$F$801, 0)+1)), "")&lt;&gt;IFERROR(INDEX(ERP資料!$A:$A, MATCH(400, 輔助計算!$F$2:$F$801, 0)+1), "")), IFERROR(INDEX(ERP資料!$A:$A, (MATCH(401, 輔助計算!$F$2:$F$801, 0)+1)), ""), ""), "")</f>
        <v/>
      </c>
      <c r="C402" s="10">
        <f>IFERROR(IF(AND(IFERROR(INDEX(ERP資料!$A:$A, (MATCH(401, 輔助計算!$F$2:$F$801, 0)+1)), "")&lt;&gt;"", IFERROR(INDEX(ERP資料!$A:$A, (MATCH(401, 輔助計算!$F$2:$F$801, 0)+1)), "")&lt;&gt;IFERROR(INDEX(ERP資料!$A:$A, MATCH(400, 輔助計算!$F$2:$F$801, 0)+1), "")), INDEX(ERP資料!$S:$S, (MATCH(401, 輔助計算!$F$2:$F$801, 0)+1)), ""), "")</f>
        <v/>
      </c>
      <c r="D402" s="10">
        <f>IFERROR(IF(INDEX(ERP資料!$E:$E, (MATCH(401, 輔助計算!$F$2:$F$801, 0)+1))="","",TRIM(INDEX(ERP資料!$E:$E, (MATCH(401, 輔助計算!$F$2:$F$801, 0)+1)))), "")</f>
        <v/>
      </c>
      <c r="E402" s="10">
        <f>IFERROR(IF(INDEX(ERP資料!$F:$F, (MATCH(401, 輔助計算!$F$2:$F$801, 0)+1))="","",INDEX(ERP資料!$F:$F, (MATCH(401, 輔助計算!$F$2:$F$801, 0)+1))), "")</f>
        <v/>
      </c>
      <c r="F402" s="10">
        <f>IFERROR(IF(INDEX(ERP資料!$G:$G, (MATCH(401, 輔助計算!$F$2:$F$801, 0)+1))="","",INDEX(ERP資料!$G:$G, (MATCH(401, 輔助計算!$F$2:$F$801, 0)+1))), "")</f>
        <v/>
      </c>
      <c r="G402" s="10">
        <f>IFERROR(IF(INDEX(ERP資料!$H:$H, (MATCH(401, 輔助計算!$F$2:$F$801, 0)+1))="","",INDEX(ERP資料!$H:$H, (MATCH(401, 輔助計算!$F$2:$F$801, 0)+1))), "")</f>
        <v/>
      </c>
      <c r="H402" s="10">
        <f>IFERROR(IF(INDEX(ERP資料!$O:$O, (MATCH(401, 輔助計算!$F$2:$F$801, 0)+1))="","",INDEX(ERP資料!$O:$O, (MATCH(401, 輔助計算!$F$2:$F$801, 0)+1))), "")</f>
        <v/>
      </c>
      <c r="I402" s="15">
        <f>IFERROR(IF(INDEX(輔助計算!$D:$D,(MATCH(401, 輔助計算!$F$2:$F$801, 0)+1))="","",INDEX(輔助計算!$D:$D,(MATCH(401, 輔助計算!$F$2:$F$801, 0)+1))*INDEX(ERP資料!$O:$O,(MATCH(401, 輔助計算!$F$2:$F$801, 0)+1))), "")</f>
        <v/>
      </c>
      <c r="J402" s="16" t="n"/>
      <c r="K402" s="15">
        <f>IFERROR(INDEX(輔助計算!$D:$D, (MATCH(401, 輔助計算!$F$2:$F$801, 0)+1)), "")</f>
        <v/>
      </c>
      <c r="L402" s="16">
        <f>IFERROR(IF(AND(IFERROR(VLOOKUP(LEFT(INDEX(ERP資料!$S:$S, (MATCH(401, 輔助計算!$F$2:$F$801, 0)+1)), 4), 100張客戶!$A:$A, 1, FALSE), "")&lt;&gt;"", OR(INDEX(ERP資料!$F:$F, (MATCH(401, 輔助計算!$F$2:$F$801, 0)+1))=270, INDEX(ERP資料!$F:$F, (MATCH(401, 輔助計算!$F$2:$F$801, 0)+1))=300)), "100張", ""), "")</f>
        <v/>
      </c>
      <c r="M402" s="17" t="n"/>
      <c r="N402" s="17">
        <f>IF($F402="","",$F402)</f>
        <v/>
      </c>
      <c r="O402" s="17">
        <f>IF($G402="","",$G402)</f>
        <v/>
      </c>
      <c r="P402" s="17">
        <f>IF($K402="","",$K402)</f>
        <v/>
      </c>
      <c r="Q402" s="16" t="n"/>
      <c r="R402" s="18" t="n"/>
      <c r="S402" s="16" t="n"/>
    </row>
    <row r="403">
      <c r="A403" s="14">
        <f>IFERROR(IF(AND(IFERROR(INDEX(ERP資料!$A:$A, (MATCH(402, 輔助計算!$F$2:$F$801, 0)+1)), "")&lt;&gt;"", IFERROR(INDEX(ERP資料!$A:$A, (MATCH(402, 輔助計算!$F$2:$F$801, 0)+1)), "")&lt;&gt;IFERROR(INDEX(ERP資料!$A:$A, MATCH(401, 輔助計算!$F$2:$F$801, 0)+1), "")), INDEX(ERP資料!$B:$B, (MATCH(402, 輔助計算!$F$2:$F$801, 0)+1)), ""), "")</f>
        <v/>
      </c>
      <c r="B403" s="10">
        <f>IFERROR(IF(AND(IFERROR(INDEX(ERP資料!$A:$A, (MATCH(402, 輔助計算!$F$2:$F$801, 0)+1)), "")&lt;&gt;"", IFERROR(INDEX(ERP資料!$A:$A, (MATCH(402, 輔助計算!$F$2:$F$801, 0)+1)), "")&lt;&gt;IFERROR(INDEX(ERP資料!$A:$A, MATCH(401, 輔助計算!$F$2:$F$801, 0)+1), "")), IFERROR(INDEX(ERP資料!$A:$A, (MATCH(402, 輔助計算!$F$2:$F$801, 0)+1)), ""), ""), "")</f>
        <v/>
      </c>
      <c r="C403" s="10">
        <f>IFERROR(IF(AND(IFERROR(INDEX(ERP資料!$A:$A, (MATCH(402, 輔助計算!$F$2:$F$801, 0)+1)), "")&lt;&gt;"", IFERROR(INDEX(ERP資料!$A:$A, (MATCH(402, 輔助計算!$F$2:$F$801, 0)+1)), "")&lt;&gt;IFERROR(INDEX(ERP資料!$A:$A, MATCH(401, 輔助計算!$F$2:$F$801, 0)+1), "")), INDEX(ERP資料!$S:$S, (MATCH(402, 輔助計算!$F$2:$F$801, 0)+1)), ""), "")</f>
        <v/>
      </c>
      <c r="D403" s="10">
        <f>IFERROR(IF(INDEX(ERP資料!$E:$E, (MATCH(402, 輔助計算!$F$2:$F$801, 0)+1))="","",TRIM(INDEX(ERP資料!$E:$E, (MATCH(402, 輔助計算!$F$2:$F$801, 0)+1)))), "")</f>
        <v/>
      </c>
      <c r="E403" s="10">
        <f>IFERROR(IF(INDEX(ERP資料!$F:$F, (MATCH(402, 輔助計算!$F$2:$F$801, 0)+1))="","",INDEX(ERP資料!$F:$F, (MATCH(402, 輔助計算!$F$2:$F$801, 0)+1))), "")</f>
        <v/>
      </c>
      <c r="F403" s="10">
        <f>IFERROR(IF(INDEX(ERP資料!$G:$G, (MATCH(402, 輔助計算!$F$2:$F$801, 0)+1))="","",INDEX(ERP資料!$G:$G, (MATCH(402, 輔助計算!$F$2:$F$801, 0)+1))), "")</f>
        <v/>
      </c>
      <c r="G403" s="10">
        <f>IFERROR(IF(INDEX(ERP資料!$H:$H, (MATCH(402, 輔助計算!$F$2:$F$801, 0)+1))="","",INDEX(ERP資料!$H:$H, (MATCH(402, 輔助計算!$F$2:$F$801, 0)+1))), "")</f>
        <v/>
      </c>
      <c r="H403" s="10">
        <f>IFERROR(IF(INDEX(ERP資料!$O:$O, (MATCH(402, 輔助計算!$F$2:$F$801, 0)+1))="","",INDEX(ERP資料!$O:$O, (MATCH(402, 輔助計算!$F$2:$F$801, 0)+1))), "")</f>
        <v/>
      </c>
      <c r="I403" s="15">
        <f>IFERROR(IF(INDEX(輔助計算!$D:$D,(MATCH(402, 輔助計算!$F$2:$F$801, 0)+1))="","",INDEX(輔助計算!$D:$D,(MATCH(402, 輔助計算!$F$2:$F$801, 0)+1))*INDEX(ERP資料!$O:$O,(MATCH(402, 輔助計算!$F$2:$F$801, 0)+1))), "")</f>
        <v/>
      </c>
      <c r="J403" s="16" t="n"/>
      <c r="K403" s="15">
        <f>IFERROR(INDEX(輔助計算!$D:$D, (MATCH(402, 輔助計算!$F$2:$F$801, 0)+1)), "")</f>
        <v/>
      </c>
      <c r="L403" s="16">
        <f>IFERROR(IF(AND(IFERROR(VLOOKUP(LEFT(INDEX(ERP資料!$S:$S, (MATCH(402, 輔助計算!$F$2:$F$801, 0)+1)), 4), 100張客戶!$A:$A, 1, FALSE), "")&lt;&gt;"", OR(INDEX(ERP資料!$F:$F, (MATCH(402, 輔助計算!$F$2:$F$801, 0)+1))=270, INDEX(ERP資料!$F:$F, (MATCH(402, 輔助計算!$F$2:$F$801, 0)+1))=300)), "100張", ""), "")</f>
        <v/>
      </c>
      <c r="M403" s="17" t="n"/>
      <c r="N403" s="17">
        <f>IF($F403="","",$F403)</f>
        <v/>
      </c>
      <c r="O403" s="17">
        <f>IF($G403="","",$G403)</f>
        <v/>
      </c>
      <c r="P403" s="17">
        <f>IF($K403="","",$K403)</f>
        <v/>
      </c>
      <c r="Q403" s="16" t="n"/>
      <c r="R403" s="18" t="n"/>
      <c r="S403" s="16" t="n"/>
    </row>
    <row r="404">
      <c r="A404" s="14">
        <f>IFERROR(IF(AND(IFERROR(INDEX(ERP資料!$A:$A, (MATCH(403, 輔助計算!$F$2:$F$801, 0)+1)), "")&lt;&gt;"", IFERROR(INDEX(ERP資料!$A:$A, (MATCH(403, 輔助計算!$F$2:$F$801, 0)+1)), "")&lt;&gt;IFERROR(INDEX(ERP資料!$A:$A, MATCH(402, 輔助計算!$F$2:$F$801, 0)+1), "")), INDEX(ERP資料!$B:$B, (MATCH(403, 輔助計算!$F$2:$F$801, 0)+1)), ""), "")</f>
        <v/>
      </c>
      <c r="B404" s="10">
        <f>IFERROR(IF(AND(IFERROR(INDEX(ERP資料!$A:$A, (MATCH(403, 輔助計算!$F$2:$F$801, 0)+1)), "")&lt;&gt;"", IFERROR(INDEX(ERP資料!$A:$A, (MATCH(403, 輔助計算!$F$2:$F$801, 0)+1)), "")&lt;&gt;IFERROR(INDEX(ERP資料!$A:$A, MATCH(402, 輔助計算!$F$2:$F$801, 0)+1), "")), IFERROR(INDEX(ERP資料!$A:$A, (MATCH(403, 輔助計算!$F$2:$F$801, 0)+1)), ""), ""), "")</f>
        <v/>
      </c>
      <c r="C404" s="10">
        <f>IFERROR(IF(AND(IFERROR(INDEX(ERP資料!$A:$A, (MATCH(403, 輔助計算!$F$2:$F$801, 0)+1)), "")&lt;&gt;"", IFERROR(INDEX(ERP資料!$A:$A, (MATCH(403, 輔助計算!$F$2:$F$801, 0)+1)), "")&lt;&gt;IFERROR(INDEX(ERP資料!$A:$A, MATCH(402, 輔助計算!$F$2:$F$801, 0)+1), "")), INDEX(ERP資料!$S:$S, (MATCH(403, 輔助計算!$F$2:$F$801, 0)+1)), ""), "")</f>
        <v/>
      </c>
      <c r="D404" s="10">
        <f>IFERROR(IF(INDEX(ERP資料!$E:$E, (MATCH(403, 輔助計算!$F$2:$F$801, 0)+1))="","",TRIM(INDEX(ERP資料!$E:$E, (MATCH(403, 輔助計算!$F$2:$F$801, 0)+1)))), "")</f>
        <v/>
      </c>
      <c r="E404" s="10">
        <f>IFERROR(IF(INDEX(ERP資料!$F:$F, (MATCH(403, 輔助計算!$F$2:$F$801, 0)+1))="","",INDEX(ERP資料!$F:$F, (MATCH(403, 輔助計算!$F$2:$F$801, 0)+1))), "")</f>
        <v/>
      </c>
      <c r="F404" s="10">
        <f>IFERROR(IF(INDEX(ERP資料!$G:$G, (MATCH(403, 輔助計算!$F$2:$F$801, 0)+1))="","",INDEX(ERP資料!$G:$G, (MATCH(403, 輔助計算!$F$2:$F$801, 0)+1))), "")</f>
        <v/>
      </c>
      <c r="G404" s="10">
        <f>IFERROR(IF(INDEX(ERP資料!$H:$H, (MATCH(403, 輔助計算!$F$2:$F$801, 0)+1))="","",INDEX(ERP資料!$H:$H, (MATCH(403, 輔助計算!$F$2:$F$801, 0)+1))), "")</f>
        <v/>
      </c>
      <c r="H404" s="10">
        <f>IFERROR(IF(INDEX(ERP資料!$O:$O, (MATCH(403, 輔助計算!$F$2:$F$801, 0)+1))="","",INDEX(ERP資料!$O:$O, (MATCH(403, 輔助計算!$F$2:$F$801, 0)+1))), "")</f>
        <v/>
      </c>
      <c r="I404" s="15">
        <f>IFERROR(IF(INDEX(輔助計算!$D:$D,(MATCH(403, 輔助計算!$F$2:$F$801, 0)+1))="","",INDEX(輔助計算!$D:$D,(MATCH(403, 輔助計算!$F$2:$F$801, 0)+1))*INDEX(ERP資料!$O:$O,(MATCH(403, 輔助計算!$F$2:$F$801, 0)+1))), "")</f>
        <v/>
      </c>
      <c r="J404" s="16" t="n"/>
      <c r="K404" s="15">
        <f>IFERROR(INDEX(輔助計算!$D:$D, (MATCH(403, 輔助計算!$F$2:$F$801, 0)+1)), "")</f>
        <v/>
      </c>
      <c r="L404" s="16">
        <f>IFERROR(IF(AND(IFERROR(VLOOKUP(LEFT(INDEX(ERP資料!$S:$S, (MATCH(403, 輔助計算!$F$2:$F$801, 0)+1)), 4), 100張客戶!$A:$A, 1, FALSE), "")&lt;&gt;"", OR(INDEX(ERP資料!$F:$F, (MATCH(403, 輔助計算!$F$2:$F$801, 0)+1))=270, INDEX(ERP資料!$F:$F, (MATCH(403, 輔助計算!$F$2:$F$801, 0)+1))=300)), "100張", ""), "")</f>
        <v/>
      </c>
      <c r="M404" s="17" t="n"/>
      <c r="N404" s="17">
        <f>IF($F404="","",$F404)</f>
        <v/>
      </c>
      <c r="O404" s="17">
        <f>IF($G404="","",$G404)</f>
        <v/>
      </c>
      <c r="P404" s="17">
        <f>IF($K404="","",$K404)</f>
        <v/>
      </c>
      <c r="Q404" s="16" t="n"/>
      <c r="R404" s="18" t="n"/>
      <c r="S404" s="16" t="n"/>
    </row>
    <row r="405">
      <c r="A405" s="14">
        <f>IFERROR(IF(AND(IFERROR(INDEX(ERP資料!$A:$A, (MATCH(404, 輔助計算!$F$2:$F$801, 0)+1)), "")&lt;&gt;"", IFERROR(INDEX(ERP資料!$A:$A, (MATCH(404, 輔助計算!$F$2:$F$801, 0)+1)), "")&lt;&gt;IFERROR(INDEX(ERP資料!$A:$A, MATCH(403, 輔助計算!$F$2:$F$801, 0)+1), "")), INDEX(ERP資料!$B:$B, (MATCH(404, 輔助計算!$F$2:$F$801, 0)+1)), ""), "")</f>
        <v/>
      </c>
      <c r="B405" s="10">
        <f>IFERROR(IF(AND(IFERROR(INDEX(ERP資料!$A:$A, (MATCH(404, 輔助計算!$F$2:$F$801, 0)+1)), "")&lt;&gt;"", IFERROR(INDEX(ERP資料!$A:$A, (MATCH(404, 輔助計算!$F$2:$F$801, 0)+1)), "")&lt;&gt;IFERROR(INDEX(ERP資料!$A:$A, MATCH(403, 輔助計算!$F$2:$F$801, 0)+1), "")), IFERROR(INDEX(ERP資料!$A:$A, (MATCH(404, 輔助計算!$F$2:$F$801, 0)+1)), ""), ""), "")</f>
        <v/>
      </c>
      <c r="C405" s="10">
        <f>IFERROR(IF(AND(IFERROR(INDEX(ERP資料!$A:$A, (MATCH(404, 輔助計算!$F$2:$F$801, 0)+1)), "")&lt;&gt;"", IFERROR(INDEX(ERP資料!$A:$A, (MATCH(404, 輔助計算!$F$2:$F$801, 0)+1)), "")&lt;&gt;IFERROR(INDEX(ERP資料!$A:$A, MATCH(403, 輔助計算!$F$2:$F$801, 0)+1), "")), INDEX(ERP資料!$S:$S, (MATCH(404, 輔助計算!$F$2:$F$801, 0)+1)), ""), "")</f>
        <v/>
      </c>
      <c r="D405" s="10">
        <f>IFERROR(IF(INDEX(ERP資料!$E:$E, (MATCH(404, 輔助計算!$F$2:$F$801, 0)+1))="","",TRIM(INDEX(ERP資料!$E:$E, (MATCH(404, 輔助計算!$F$2:$F$801, 0)+1)))), "")</f>
        <v/>
      </c>
      <c r="E405" s="10">
        <f>IFERROR(IF(INDEX(ERP資料!$F:$F, (MATCH(404, 輔助計算!$F$2:$F$801, 0)+1))="","",INDEX(ERP資料!$F:$F, (MATCH(404, 輔助計算!$F$2:$F$801, 0)+1))), "")</f>
        <v/>
      </c>
      <c r="F405" s="10">
        <f>IFERROR(IF(INDEX(ERP資料!$G:$G, (MATCH(404, 輔助計算!$F$2:$F$801, 0)+1))="","",INDEX(ERP資料!$G:$G, (MATCH(404, 輔助計算!$F$2:$F$801, 0)+1))), "")</f>
        <v/>
      </c>
      <c r="G405" s="10">
        <f>IFERROR(IF(INDEX(ERP資料!$H:$H, (MATCH(404, 輔助計算!$F$2:$F$801, 0)+1))="","",INDEX(ERP資料!$H:$H, (MATCH(404, 輔助計算!$F$2:$F$801, 0)+1))), "")</f>
        <v/>
      </c>
      <c r="H405" s="10">
        <f>IFERROR(IF(INDEX(ERP資料!$O:$O, (MATCH(404, 輔助計算!$F$2:$F$801, 0)+1))="","",INDEX(ERP資料!$O:$O, (MATCH(404, 輔助計算!$F$2:$F$801, 0)+1))), "")</f>
        <v/>
      </c>
      <c r="I405" s="15">
        <f>IFERROR(IF(INDEX(輔助計算!$D:$D,(MATCH(404, 輔助計算!$F$2:$F$801, 0)+1))="","",INDEX(輔助計算!$D:$D,(MATCH(404, 輔助計算!$F$2:$F$801, 0)+1))*INDEX(ERP資料!$O:$O,(MATCH(404, 輔助計算!$F$2:$F$801, 0)+1))), "")</f>
        <v/>
      </c>
      <c r="J405" s="16" t="n"/>
      <c r="K405" s="15">
        <f>IFERROR(INDEX(輔助計算!$D:$D, (MATCH(404, 輔助計算!$F$2:$F$801, 0)+1)), "")</f>
        <v/>
      </c>
      <c r="L405" s="16">
        <f>IFERROR(IF(AND(IFERROR(VLOOKUP(LEFT(INDEX(ERP資料!$S:$S, (MATCH(404, 輔助計算!$F$2:$F$801, 0)+1)), 4), 100張客戶!$A:$A, 1, FALSE), "")&lt;&gt;"", OR(INDEX(ERP資料!$F:$F, (MATCH(404, 輔助計算!$F$2:$F$801, 0)+1))=270, INDEX(ERP資料!$F:$F, (MATCH(404, 輔助計算!$F$2:$F$801, 0)+1))=300)), "100張", ""), "")</f>
        <v/>
      </c>
      <c r="M405" s="17" t="n"/>
      <c r="N405" s="17">
        <f>IF($F405="","",$F405)</f>
        <v/>
      </c>
      <c r="O405" s="17">
        <f>IF($G405="","",$G405)</f>
        <v/>
      </c>
      <c r="P405" s="17">
        <f>IF($K405="","",$K405)</f>
        <v/>
      </c>
      <c r="Q405" s="16" t="n"/>
      <c r="R405" s="18" t="n"/>
      <c r="S405" s="16" t="n"/>
    </row>
    <row r="406">
      <c r="A406" s="14">
        <f>IFERROR(IF(AND(IFERROR(INDEX(ERP資料!$A:$A, (MATCH(405, 輔助計算!$F$2:$F$801, 0)+1)), "")&lt;&gt;"", IFERROR(INDEX(ERP資料!$A:$A, (MATCH(405, 輔助計算!$F$2:$F$801, 0)+1)), "")&lt;&gt;IFERROR(INDEX(ERP資料!$A:$A, MATCH(404, 輔助計算!$F$2:$F$801, 0)+1), "")), INDEX(ERP資料!$B:$B, (MATCH(405, 輔助計算!$F$2:$F$801, 0)+1)), ""), "")</f>
        <v/>
      </c>
      <c r="B406" s="10">
        <f>IFERROR(IF(AND(IFERROR(INDEX(ERP資料!$A:$A, (MATCH(405, 輔助計算!$F$2:$F$801, 0)+1)), "")&lt;&gt;"", IFERROR(INDEX(ERP資料!$A:$A, (MATCH(405, 輔助計算!$F$2:$F$801, 0)+1)), "")&lt;&gt;IFERROR(INDEX(ERP資料!$A:$A, MATCH(404, 輔助計算!$F$2:$F$801, 0)+1), "")), IFERROR(INDEX(ERP資料!$A:$A, (MATCH(405, 輔助計算!$F$2:$F$801, 0)+1)), ""), ""), "")</f>
        <v/>
      </c>
      <c r="C406" s="10">
        <f>IFERROR(IF(AND(IFERROR(INDEX(ERP資料!$A:$A, (MATCH(405, 輔助計算!$F$2:$F$801, 0)+1)), "")&lt;&gt;"", IFERROR(INDEX(ERP資料!$A:$A, (MATCH(405, 輔助計算!$F$2:$F$801, 0)+1)), "")&lt;&gt;IFERROR(INDEX(ERP資料!$A:$A, MATCH(404, 輔助計算!$F$2:$F$801, 0)+1), "")), INDEX(ERP資料!$S:$S, (MATCH(405, 輔助計算!$F$2:$F$801, 0)+1)), ""), "")</f>
        <v/>
      </c>
      <c r="D406" s="10">
        <f>IFERROR(IF(INDEX(ERP資料!$E:$E, (MATCH(405, 輔助計算!$F$2:$F$801, 0)+1))="","",TRIM(INDEX(ERP資料!$E:$E, (MATCH(405, 輔助計算!$F$2:$F$801, 0)+1)))), "")</f>
        <v/>
      </c>
      <c r="E406" s="10">
        <f>IFERROR(IF(INDEX(ERP資料!$F:$F, (MATCH(405, 輔助計算!$F$2:$F$801, 0)+1))="","",INDEX(ERP資料!$F:$F, (MATCH(405, 輔助計算!$F$2:$F$801, 0)+1))), "")</f>
        <v/>
      </c>
      <c r="F406" s="10">
        <f>IFERROR(IF(INDEX(ERP資料!$G:$G, (MATCH(405, 輔助計算!$F$2:$F$801, 0)+1))="","",INDEX(ERP資料!$G:$G, (MATCH(405, 輔助計算!$F$2:$F$801, 0)+1))), "")</f>
        <v/>
      </c>
      <c r="G406" s="10">
        <f>IFERROR(IF(INDEX(ERP資料!$H:$H, (MATCH(405, 輔助計算!$F$2:$F$801, 0)+1))="","",INDEX(ERP資料!$H:$H, (MATCH(405, 輔助計算!$F$2:$F$801, 0)+1))), "")</f>
        <v/>
      </c>
      <c r="H406" s="10">
        <f>IFERROR(IF(INDEX(ERP資料!$O:$O, (MATCH(405, 輔助計算!$F$2:$F$801, 0)+1))="","",INDEX(ERP資料!$O:$O, (MATCH(405, 輔助計算!$F$2:$F$801, 0)+1))), "")</f>
        <v/>
      </c>
      <c r="I406" s="15">
        <f>IFERROR(IF(INDEX(輔助計算!$D:$D,(MATCH(405, 輔助計算!$F$2:$F$801, 0)+1))="","",INDEX(輔助計算!$D:$D,(MATCH(405, 輔助計算!$F$2:$F$801, 0)+1))*INDEX(ERP資料!$O:$O,(MATCH(405, 輔助計算!$F$2:$F$801, 0)+1))), "")</f>
        <v/>
      </c>
      <c r="J406" s="16" t="n"/>
      <c r="K406" s="15">
        <f>IFERROR(INDEX(輔助計算!$D:$D, (MATCH(405, 輔助計算!$F$2:$F$801, 0)+1)), "")</f>
        <v/>
      </c>
      <c r="L406" s="16">
        <f>IFERROR(IF(AND(IFERROR(VLOOKUP(LEFT(INDEX(ERP資料!$S:$S, (MATCH(405, 輔助計算!$F$2:$F$801, 0)+1)), 4), 100張客戶!$A:$A, 1, FALSE), "")&lt;&gt;"", OR(INDEX(ERP資料!$F:$F, (MATCH(405, 輔助計算!$F$2:$F$801, 0)+1))=270, INDEX(ERP資料!$F:$F, (MATCH(405, 輔助計算!$F$2:$F$801, 0)+1))=300)), "100張", ""), "")</f>
        <v/>
      </c>
      <c r="M406" s="17" t="n"/>
      <c r="N406" s="17">
        <f>IF($F406="","",$F406)</f>
        <v/>
      </c>
      <c r="O406" s="17">
        <f>IF($G406="","",$G406)</f>
        <v/>
      </c>
      <c r="P406" s="17">
        <f>IF($K406="","",$K406)</f>
        <v/>
      </c>
      <c r="Q406" s="16" t="n"/>
      <c r="R406" s="18" t="n"/>
      <c r="S406" s="16" t="n"/>
    </row>
    <row r="407">
      <c r="A407" s="14">
        <f>IFERROR(IF(AND(IFERROR(INDEX(ERP資料!$A:$A, (MATCH(406, 輔助計算!$F$2:$F$801, 0)+1)), "")&lt;&gt;"", IFERROR(INDEX(ERP資料!$A:$A, (MATCH(406, 輔助計算!$F$2:$F$801, 0)+1)), "")&lt;&gt;IFERROR(INDEX(ERP資料!$A:$A, MATCH(405, 輔助計算!$F$2:$F$801, 0)+1), "")), INDEX(ERP資料!$B:$B, (MATCH(406, 輔助計算!$F$2:$F$801, 0)+1)), ""), "")</f>
        <v/>
      </c>
      <c r="B407" s="10">
        <f>IFERROR(IF(AND(IFERROR(INDEX(ERP資料!$A:$A, (MATCH(406, 輔助計算!$F$2:$F$801, 0)+1)), "")&lt;&gt;"", IFERROR(INDEX(ERP資料!$A:$A, (MATCH(406, 輔助計算!$F$2:$F$801, 0)+1)), "")&lt;&gt;IFERROR(INDEX(ERP資料!$A:$A, MATCH(405, 輔助計算!$F$2:$F$801, 0)+1), "")), IFERROR(INDEX(ERP資料!$A:$A, (MATCH(406, 輔助計算!$F$2:$F$801, 0)+1)), ""), ""), "")</f>
        <v/>
      </c>
      <c r="C407" s="10">
        <f>IFERROR(IF(AND(IFERROR(INDEX(ERP資料!$A:$A, (MATCH(406, 輔助計算!$F$2:$F$801, 0)+1)), "")&lt;&gt;"", IFERROR(INDEX(ERP資料!$A:$A, (MATCH(406, 輔助計算!$F$2:$F$801, 0)+1)), "")&lt;&gt;IFERROR(INDEX(ERP資料!$A:$A, MATCH(405, 輔助計算!$F$2:$F$801, 0)+1), "")), INDEX(ERP資料!$S:$S, (MATCH(406, 輔助計算!$F$2:$F$801, 0)+1)), ""), "")</f>
        <v/>
      </c>
      <c r="D407" s="10">
        <f>IFERROR(IF(INDEX(ERP資料!$E:$E, (MATCH(406, 輔助計算!$F$2:$F$801, 0)+1))="","",TRIM(INDEX(ERP資料!$E:$E, (MATCH(406, 輔助計算!$F$2:$F$801, 0)+1)))), "")</f>
        <v/>
      </c>
      <c r="E407" s="10">
        <f>IFERROR(IF(INDEX(ERP資料!$F:$F, (MATCH(406, 輔助計算!$F$2:$F$801, 0)+1))="","",INDEX(ERP資料!$F:$F, (MATCH(406, 輔助計算!$F$2:$F$801, 0)+1))), "")</f>
        <v/>
      </c>
      <c r="F407" s="10">
        <f>IFERROR(IF(INDEX(ERP資料!$G:$G, (MATCH(406, 輔助計算!$F$2:$F$801, 0)+1))="","",INDEX(ERP資料!$G:$G, (MATCH(406, 輔助計算!$F$2:$F$801, 0)+1))), "")</f>
        <v/>
      </c>
      <c r="G407" s="10">
        <f>IFERROR(IF(INDEX(ERP資料!$H:$H, (MATCH(406, 輔助計算!$F$2:$F$801, 0)+1))="","",INDEX(ERP資料!$H:$H, (MATCH(406, 輔助計算!$F$2:$F$801, 0)+1))), "")</f>
        <v/>
      </c>
      <c r="H407" s="10">
        <f>IFERROR(IF(INDEX(ERP資料!$O:$O, (MATCH(406, 輔助計算!$F$2:$F$801, 0)+1))="","",INDEX(ERP資料!$O:$O, (MATCH(406, 輔助計算!$F$2:$F$801, 0)+1))), "")</f>
        <v/>
      </c>
      <c r="I407" s="15">
        <f>IFERROR(IF(INDEX(輔助計算!$D:$D,(MATCH(406, 輔助計算!$F$2:$F$801, 0)+1))="","",INDEX(輔助計算!$D:$D,(MATCH(406, 輔助計算!$F$2:$F$801, 0)+1))*INDEX(ERP資料!$O:$O,(MATCH(406, 輔助計算!$F$2:$F$801, 0)+1))), "")</f>
        <v/>
      </c>
      <c r="J407" s="16" t="n"/>
      <c r="K407" s="15">
        <f>IFERROR(INDEX(輔助計算!$D:$D, (MATCH(406, 輔助計算!$F$2:$F$801, 0)+1)), "")</f>
        <v/>
      </c>
      <c r="L407" s="16">
        <f>IFERROR(IF(AND(IFERROR(VLOOKUP(LEFT(INDEX(ERP資料!$S:$S, (MATCH(406, 輔助計算!$F$2:$F$801, 0)+1)), 4), 100張客戶!$A:$A, 1, FALSE), "")&lt;&gt;"", OR(INDEX(ERP資料!$F:$F, (MATCH(406, 輔助計算!$F$2:$F$801, 0)+1))=270, INDEX(ERP資料!$F:$F, (MATCH(406, 輔助計算!$F$2:$F$801, 0)+1))=300)), "100張", ""), "")</f>
        <v/>
      </c>
      <c r="M407" s="17" t="n"/>
      <c r="N407" s="17">
        <f>IF($F407="","",$F407)</f>
        <v/>
      </c>
      <c r="O407" s="17">
        <f>IF($G407="","",$G407)</f>
        <v/>
      </c>
      <c r="P407" s="17">
        <f>IF($K407="","",$K407)</f>
        <v/>
      </c>
      <c r="Q407" s="16" t="n"/>
      <c r="R407" s="18" t="n"/>
      <c r="S407" s="16" t="n"/>
    </row>
    <row r="408">
      <c r="A408" s="14">
        <f>IFERROR(IF(AND(IFERROR(INDEX(ERP資料!$A:$A, (MATCH(407, 輔助計算!$F$2:$F$801, 0)+1)), "")&lt;&gt;"", IFERROR(INDEX(ERP資料!$A:$A, (MATCH(407, 輔助計算!$F$2:$F$801, 0)+1)), "")&lt;&gt;IFERROR(INDEX(ERP資料!$A:$A, MATCH(406, 輔助計算!$F$2:$F$801, 0)+1), "")), INDEX(ERP資料!$B:$B, (MATCH(407, 輔助計算!$F$2:$F$801, 0)+1)), ""), "")</f>
        <v/>
      </c>
      <c r="B408" s="10">
        <f>IFERROR(IF(AND(IFERROR(INDEX(ERP資料!$A:$A, (MATCH(407, 輔助計算!$F$2:$F$801, 0)+1)), "")&lt;&gt;"", IFERROR(INDEX(ERP資料!$A:$A, (MATCH(407, 輔助計算!$F$2:$F$801, 0)+1)), "")&lt;&gt;IFERROR(INDEX(ERP資料!$A:$A, MATCH(406, 輔助計算!$F$2:$F$801, 0)+1), "")), IFERROR(INDEX(ERP資料!$A:$A, (MATCH(407, 輔助計算!$F$2:$F$801, 0)+1)), ""), ""), "")</f>
        <v/>
      </c>
      <c r="C408" s="10">
        <f>IFERROR(IF(AND(IFERROR(INDEX(ERP資料!$A:$A, (MATCH(407, 輔助計算!$F$2:$F$801, 0)+1)), "")&lt;&gt;"", IFERROR(INDEX(ERP資料!$A:$A, (MATCH(407, 輔助計算!$F$2:$F$801, 0)+1)), "")&lt;&gt;IFERROR(INDEX(ERP資料!$A:$A, MATCH(406, 輔助計算!$F$2:$F$801, 0)+1), "")), INDEX(ERP資料!$S:$S, (MATCH(407, 輔助計算!$F$2:$F$801, 0)+1)), ""), "")</f>
        <v/>
      </c>
      <c r="D408" s="10">
        <f>IFERROR(IF(INDEX(ERP資料!$E:$E, (MATCH(407, 輔助計算!$F$2:$F$801, 0)+1))="","",TRIM(INDEX(ERP資料!$E:$E, (MATCH(407, 輔助計算!$F$2:$F$801, 0)+1)))), "")</f>
        <v/>
      </c>
      <c r="E408" s="10">
        <f>IFERROR(IF(INDEX(ERP資料!$F:$F, (MATCH(407, 輔助計算!$F$2:$F$801, 0)+1))="","",INDEX(ERP資料!$F:$F, (MATCH(407, 輔助計算!$F$2:$F$801, 0)+1))), "")</f>
        <v/>
      </c>
      <c r="F408" s="10">
        <f>IFERROR(IF(INDEX(ERP資料!$G:$G, (MATCH(407, 輔助計算!$F$2:$F$801, 0)+1))="","",INDEX(ERP資料!$G:$G, (MATCH(407, 輔助計算!$F$2:$F$801, 0)+1))), "")</f>
        <v/>
      </c>
      <c r="G408" s="10">
        <f>IFERROR(IF(INDEX(ERP資料!$H:$H, (MATCH(407, 輔助計算!$F$2:$F$801, 0)+1))="","",INDEX(ERP資料!$H:$H, (MATCH(407, 輔助計算!$F$2:$F$801, 0)+1))), "")</f>
        <v/>
      </c>
      <c r="H408" s="10">
        <f>IFERROR(IF(INDEX(ERP資料!$O:$O, (MATCH(407, 輔助計算!$F$2:$F$801, 0)+1))="","",INDEX(ERP資料!$O:$O, (MATCH(407, 輔助計算!$F$2:$F$801, 0)+1))), "")</f>
        <v/>
      </c>
      <c r="I408" s="15">
        <f>IFERROR(IF(INDEX(輔助計算!$D:$D,(MATCH(407, 輔助計算!$F$2:$F$801, 0)+1))="","",INDEX(輔助計算!$D:$D,(MATCH(407, 輔助計算!$F$2:$F$801, 0)+1))*INDEX(ERP資料!$O:$O,(MATCH(407, 輔助計算!$F$2:$F$801, 0)+1))), "")</f>
        <v/>
      </c>
      <c r="J408" s="16" t="n"/>
      <c r="K408" s="15">
        <f>IFERROR(INDEX(輔助計算!$D:$D, (MATCH(407, 輔助計算!$F$2:$F$801, 0)+1)), "")</f>
        <v/>
      </c>
      <c r="L408" s="16">
        <f>IFERROR(IF(AND(IFERROR(VLOOKUP(LEFT(INDEX(ERP資料!$S:$S, (MATCH(407, 輔助計算!$F$2:$F$801, 0)+1)), 4), 100張客戶!$A:$A, 1, FALSE), "")&lt;&gt;"", OR(INDEX(ERP資料!$F:$F, (MATCH(407, 輔助計算!$F$2:$F$801, 0)+1))=270, INDEX(ERP資料!$F:$F, (MATCH(407, 輔助計算!$F$2:$F$801, 0)+1))=300)), "100張", ""), "")</f>
        <v/>
      </c>
      <c r="M408" s="17" t="n"/>
      <c r="N408" s="17">
        <f>IF($F408="","",$F408)</f>
        <v/>
      </c>
      <c r="O408" s="17">
        <f>IF($G408="","",$G408)</f>
        <v/>
      </c>
      <c r="P408" s="17">
        <f>IF($K408="","",$K408)</f>
        <v/>
      </c>
      <c r="Q408" s="16" t="n"/>
      <c r="R408" s="18" t="n"/>
      <c r="S408" s="16" t="n"/>
    </row>
    <row r="409">
      <c r="A409" s="14">
        <f>IFERROR(IF(AND(IFERROR(INDEX(ERP資料!$A:$A, (MATCH(408, 輔助計算!$F$2:$F$801, 0)+1)), "")&lt;&gt;"", IFERROR(INDEX(ERP資料!$A:$A, (MATCH(408, 輔助計算!$F$2:$F$801, 0)+1)), "")&lt;&gt;IFERROR(INDEX(ERP資料!$A:$A, MATCH(407, 輔助計算!$F$2:$F$801, 0)+1), "")), INDEX(ERP資料!$B:$B, (MATCH(408, 輔助計算!$F$2:$F$801, 0)+1)), ""), "")</f>
        <v/>
      </c>
      <c r="B409" s="10">
        <f>IFERROR(IF(AND(IFERROR(INDEX(ERP資料!$A:$A, (MATCH(408, 輔助計算!$F$2:$F$801, 0)+1)), "")&lt;&gt;"", IFERROR(INDEX(ERP資料!$A:$A, (MATCH(408, 輔助計算!$F$2:$F$801, 0)+1)), "")&lt;&gt;IFERROR(INDEX(ERP資料!$A:$A, MATCH(407, 輔助計算!$F$2:$F$801, 0)+1), "")), IFERROR(INDEX(ERP資料!$A:$A, (MATCH(408, 輔助計算!$F$2:$F$801, 0)+1)), ""), ""), "")</f>
        <v/>
      </c>
      <c r="C409" s="10">
        <f>IFERROR(IF(AND(IFERROR(INDEX(ERP資料!$A:$A, (MATCH(408, 輔助計算!$F$2:$F$801, 0)+1)), "")&lt;&gt;"", IFERROR(INDEX(ERP資料!$A:$A, (MATCH(408, 輔助計算!$F$2:$F$801, 0)+1)), "")&lt;&gt;IFERROR(INDEX(ERP資料!$A:$A, MATCH(407, 輔助計算!$F$2:$F$801, 0)+1), "")), INDEX(ERP資料!$S:$S, (MATCH(408, 輔助計算!$F$2:$F$801, 0)+1)), ""), "")</f>
        <v/>
      </c>
      <c r="D409" s="10">
        <f>IFERROR(IF(INDEX(ERP資料!$E:$E, (MATCH(408, 輔助計算!$F$2:$F$801, 0)+1))="","",TRIM(INDEX(ERP資料!$E:$E, (MATCH(408, 輔助計算!$F$2:$F$801, 0)+1)))), "")</f>
        <v/>
      </c>
      <c r="E409" s="10">
        <f>IFERROR(IF(INDEX(ERP資料!$F:$F, (MATCH(408, 輔助計算!$F$2:$F$801, 0)+1))="","",INDEX(ERP資料!$F:$F, (MATCH(408, 輔助計算!$F$2:$F$801, 0)+1))), "")</f>
        <v/>
      </c>
      <c r="F409" s="10">
        <f>IFERROR(IF(INDEX(ERP資料!$G:$G, (MATCH(408, 輔助計算!$F$2:$F$801, 0)+1))="","",INDEX(ERP資料!$G:$G, (MATCH(408, 輔助計算!$F$2:$F$801, 0)+1))), "")</f>
        <v/>
      </c>
      <c r="G409" s="10">
        <f>IFERROR(IF(INDEX(ERP資料!$H:$H, (MATCH(408, 輔助計算!$F$2:$F$801, 0)+1))="","",INDEX(ERP資料!$H:$H, (MATCH(408, 輔助計算!$F$2:$F$801, 0)+1))), "")</f>
        <v/>
      </c>
      <c r="H409" s="10">
        <f>IFERROR(IF(INDEX(ERP資料!$O:$O, (MATCH(408, 輔助計算!$F$2:$F$801, 0)+1))="","",INDEX(ERP資料!$O:$O, (MATCH(408, 輔助計算!$F$2:$F$801, 0)+1))), "")</f>
        <v/>
      </c>
      <c r="I409" s="15">
        <f>IFERROR(IF(INDEX(輔助計算!$D:$D,(MATCH(408, 輔助計算!$F$2:$F$801, 0)+1))="","",INDEX(輔助計算!$D:$D,(MATCH(408, 輔助計算!$F$2:$F$801, 0)+1))*INDEX(ERP資料!$O:$O,(MATCH(408, 輔助計算!$F$2:$F$801, 0)+1))), "")</f>
        <v/>
      </c>
      <c r="J409" s="16" t="n"/>
      <c r="K409" s="15">
        <f>IFERROR(INDEX(輔助計算!$D:$D, (MATCH(408, 輔助計算!$F$2:$F$801, 0)+1)), "")</f>
        <v/>
      </c>
      <c r="L409" s="16">
        <f>IFERROR(IF(AND(IFERROR(VLOOKUP(LEFT(INDEX(ERP資料!$S:$S, (MATCH(408, 輔助計算!$F$2:$F$801, 0)+1)), 4), 100張客戶!$A:$A, 1, FALSE), "")&lt;&gt;"", OR(INDEX(ERP資料!$F:$F, (MATCH(408, 輔助計算!$F$2:$F$801, 0)+1))=270, INDEX(ERP資料!$F:$F, (MATCH(408, 輔助計算!$F$2:$F$801, 0)+1))=300)), "100張", ""), "")</f>
        <v/>
      </c>
      <c r="M409" s="17" t="n"/>
      <c r="N409" s="17">
        <f>IF($F409="","",$F409)</f>
        <v/>
      </c>
      <c r="O409" s="17">
        <f>IF($G409="","",$G409)</f>
        <v/>
      </c>
      <c r="P409" s="17">
        <f>IF($K409="","",$K409)</f>
        <v/>
      </c>
      <c r="Q409" s="16" t="n"/>
      <c r="R409" s="18" t="n"/>
      <c r="S409" s="16" t="n"/>
    </row>
    <row r="410">
      <c r="A410" s="14">
        <f>IFERROR(IF(AND(IFERROR(INDEX(ERP資料!$A:$A, (MATCH(409, 輔助計算!$F$2:$F$801, 0)+1)), "")&lt;&gt;"", IFERROR(INDEX(ERP資料!$A:$A, (MATCH(409, 輔助計算!$F$2:$F$801, 0)+1)), "")&lt;&gt;IFERROR(INDEX(ERP資料!$A:$A, MATCH(408, 輔助計算!$F$2:$F$801, 0)+1), "")), INDEX(ERP資料!$B:$B, (MATCH(409, 輔助計算!$F$2:$F$801, 0)+1)), ""), "")</f>
        <v/>
      </c>
      <c r="B410" s="10">
        <f>IFERROR(IF(AND(IFERROR(INDEX(ERP資料!$A:$A, (MATCH(409, 輔助計算!$F$2:$F$801, 0)+1)), "")&lt;&gt;"", IFERROR(INDEX(ERP資料!$A:$A, (MATCH(409, 輔助計算!$F$2:$F$801, 0)+1)), "")&lt;&gt;IFERROR(INDEX(ERP資料!$A:$A, MATCH(408, 輔助計算!$F$2:$F$801, 0)+1), "")), IFERROR(INDEX(ERP資料!$A:$A, (MATCH(409, 輔助計算!$F$2:$F$801, 0)+1)), ""), ""), "")</f>
        <v/>
      </c>
      <c r="C410" s="10">
        <f>IFERROR(IF(AND(IFERROR(INDEX(ERP資料!$A:$A, (MATCH(409, 輔助計算!$F$2:$F$801, 0)+1)), "")&lt;&gt;"", IFERROR(INDEX(ERP資料!$A:$A, (MATCH(409, 輔助計算!$F$2:$F$801, 0)+1)), "")&lt;&gt;IFERROR(INDEX(ERP資料!$A:$A, MATCH(408, 輔助計算!$F$2:$F$801, 0)+1), "")), INDEX(ERP資料!$S:$S, (MATCH(409, 輔助計算!$F$2:$F$801, 0)+1)), ""), "")</f>
        <v/>
      </c>
      <c r="D410" s="10">
        <f>IFERROR(IF(INDEX(ERP資料!$E:$E, (MATCH(409, 輔助計算!$F$2:$F$801, 0)+1))="","",TRIM(INDEX(ERP資料!$E:$E, (MATCH(409, 輔助計算!$F$2:$F$801, 0)+1)))), "")</f>
        <v/>
      </c>
      <c r="E410" s="10">
        <f>IFERROR(IF(INDEX(ERP資料!$F:$F, (MATCH(409, 輔助計算!$F$2:$F$801, 0)+1))="","",INDEX(ERP資料!$F:$F, (MATCH(409, 輔助計算!$F$2:$F$801, 0)+1))), "")</f>
        <v/>
      </c>
      <c r="F410" s="10">
        <f>IFERROR(IF(INDEX(ERP資料!$G:$G, (MATCH(409, 輔助計算!$F$2:$F$801, 0)+1))="","",INDEX(ERP資料!$G:$G, (MATCH(409, 輔助計算!$F$2:$F$801, 0)+1))), "")</f>
        <v/>
      </c>
      <c r="G410" s="10">
        <f>IFERROR(IF(INDEX(ERP資料!$H:$H, (MATCH(409, 輔助計算!$F$2:$F$801, 0)+1))="","",INDEX(ERP資料!$H:$H, (MATCH(409, 輔助計算!$F$2:$F$801, 0)+1))), "")</f>
        <v/>
      </c>
      <c r="H410" s="10">
        <f>IFERROR(IF(INDEX(ERP資料!$O:$O, (MATCH(409, 輔助計算!$F$2:$F$801, 0)+1))="","",INDEX(ERP資料!$O:$O, (MATCH(409, 輔助計算!$F$2:$F$801, 0)+1))), "")</f>
        <v/>
      </c>
      <c r="I410" s="15">
        <f>IFERROR(IF(INDEX(輔助計算!$D:$D,(MATCH(409, 輔助計算!$F$2:$F$801, 0)+1))="","",INDEX(輔助計算!$D:$D,(MATCH(409, 輔助計算!$F$2:$F$801, 0)+1))*INDEX(ERP資料!$O:$O,(MATCH(409, 輔助計算!$F$2:$F$801, 0)+1))), "")</f>
        <v/>
      </c>
      <c r="J410" s="16" t="n"/>
      <c r="K410" s="15">
        <f>IFERROR(INDEX(輔助計算!$D:$D, (MATCH(409, 輔助計算!$F$2:$F$801, 0)+1)), "")</f>
        <v/>
      </c>
      <c r="L410" s="16">
        <f>IFERROR(IF(AND(IFERROR(VLOOKUP(LEFT(INDEX(ERP資料!$S:$S, (MATCH(409, 輔助計算!$F$2:$F$801, 0)+1)), 4), 100張客戶!$A:$A, 1, FALSE), "")&lt;&gt;"", OR(INDEX(ERP資料!$F:$F, (MATCH(409, 輔助計算!$F$2:$F$801, 0)+1))=270, INDEX(ERP資料!$F:$F, (MATCH(409, 輔助計算!$F$2:$F$801, 0)+1))=300)), "100張", ""), "")</f>
        <v/>
      </c>
      <c r="M410" s="17" t="n"/>
      <c r="N410" s="17">
        <f>IF($F410="","",$F410)</f>
        <v/>
      </c>
      <c r="O410" s="17">
        <f>IF($G410="","",$G410)</f>
        <v/>
      </c>
      <c r="P410" s="17">
        <f>IF($K410="","",$K410)</f>
        <v/>
      </c>
      <c r="Q410" s="16" t="n"/>
      <c r="R410" s="18" t="n"/>
      <c r="S410" s="16" t="n"/>
    </row>
    <row r="411">
      <c r="A411" s="14">
        <f>IFERROR(IF(AND(IFERROR(INDEX(ERP資料!$A:$A, (MATCH(410, 輔助計算!$F$2:$F$801, 0)+1)), "")&lt;&gt;"", IFERROR(INDEX(ERP資料!$A:$A, (MATCH(410, 輔助計算!$F$2:$F$801, 0)+1)), "")&lt;&gt;IFERROR(INDEX(ERP資料!$A:$A, MATCH(409, 輔助計算!$F$2:$F$801, 0)+1), "")), INDEX(ERP資料!$B:$B, (MATCH(410, 輔助計算!$F$2:$F$801, 0)+1)), ""), "")</f>
        <v/>
      </c>
      <c r="B411" s="10">
        <f>IFERROR(IF(AND(IFERROR(INDEX(ERP資料!$A:$A, (MATCH(410, 輔助計算!$F$2:$F$801, 0)+1)), "")&lt;&gt;"", IFERROR(INDEX(ERP資料!$A:$A, (MATCH(410, 輔助計算!$F$2:$F$801, 0)+1)), "")&lt;&gt;IFERROR(INDEX(ERP資料!$A:$A, MATCH(409, 輔助計算!$F$2:$F$801, 0)+1), "")), IFERROR(INDEX(ERP資料!$A:$A, (MATCH(410, 輔助計算!$F$2:$F$801, 0)+1)), ""), ""), "")</f>
        <v/>
      </c>
      <c r="C411" s="10">
        <f>IFERROR(IF(AND(IFERROR(INDEX(ERP資料!$A:$A, (MATCH(410, 輔助計算!$F$2:$F$801, 0)+1)), "")&lt;&gt;"", IFERROR(INDEX(ERP資料!$A:$A, (MATCH(410, 輔助計算!$F$2:$F$801, 0)+1)), "")&lt;&gt;IFERROR(INDEX(ERP資料!$A:$A, MATCH(409, 輔助計算!$F$2:$F$801, 0)+1), "")), INDEX(ERP資料!$S:$S, (MATCH(410, 輔助計算!$F$2:$F$801, 0)+1)), ""), "")</f>
        <v/>
      </c>
      <c r="D411" s="10">
        <f>IFERROR(IF(INDEX(ERP資料!$E:$E, (MATCH(410, 輔助計算!$F$2:$F$801, 0)+1))="","",TRIM(INDEX(ERP資料!$E:$E, (MATCH(410, 輔助計算!$F$2:$F$801, 0)+1)))), "")</f>
        <v/>
      </c>
      <c r="E411" s="10">
        <f>IFERROR(IF(INDEX(ERP資料!$F:$F, (MATCH(410, 輔助計算!$F$2:$F$801, 0)+1))="","",INDEX(ERP資料!$F:$F, (MATCH(410, 輔助計算!$F$2:$F$801, 0)+1))), "")</f>
        <v/>
      </c>
      <c r="F411" s="10">
        <f>IFERROR(IF(INDEX(ERP資料!$G:$G, (MATCH(410, 輔助計算!$F$2:$F$801, 0)+1))="","",INDEX(ERP資料!$G:$G, (MATCH(410, 輔助計算!$F$2:$F$801, 0)+1))), "")</f>
        <v/>
      </c>
      <c r="G411" s="10">
        <f>IFERROR(IF(INDEX(ERP資料!$H:$H, (MATCH(410, 輔助計算!$F$2:$F$801, 0)+1))="","",INDEX(ERP資料!$H:$H, (MATCH(410, 輔助計算!$F$2:$F$801, 0)+1))), "")</f>
        <v/>
      </c>
      <c r="H411" s="10">
        <f>IFERROR(IF(INDEX(ERP資料!$O:$O, (MATCH(410, 輔助計算!$F$2:$F$801, 0)+1))="","",INDEX(ERP資料!$O:$O, (MATCH(410, 輔助計算!$F$2:$F$801, 0)+1))), "")</f>
        <v/>
      </c>
      <c r="I411" s="15">
        <f>IFERROR(IF(INDEX(輔助計算!$D:$D,(MATCH(410, 輔助計算!$F$2:$F$801, 0)+1))="","",INDEX(輔助計算!$D:$D,(MATCH(410, 輔助計算!$F$2:$F$801, 0)+1))*INDEX(ERP資料!$O:$O,(MATCH(410, 輔助計算!$F$2:$F$801, 0)+1))), "")</f>
        <v/>
      </c>
      <c r="J411" s="16" t="n"/>
      <c r="K411" s="15">
        <f>IFERROR(INDEX(輔助計算!$D:$D, (MATCH(410, 輔助計算!$F$2:$F$801, 0)+1)), "")</f>
        <v/>
      </c>
      <c r="L411" s="16">
        <f>IFERROR(IF(AND(IFERROR(VLOOKUP(LEFT(INDEX(ERP資料!$S:$S, (MATCH(410, 輔助計算!$F$2:$F$801, 0)+1)), 4), 100張客戶!$A:$A, 1, FALSE), "")&lt;&gt;"", OR(INDEX(ERP資料!$F:$F, (MATCH(410, 輔助計算!$F$2:$F$801, 0)+1))=270, INDEX(ERP資料!$F:$F, (MATCH(410, 輔助計算!$F$2:$F$801, 0)+1))=300)), "100張", ""), "")</f>
        <v/>
      </c>
      <c r="M411" s="17" t="n"/>
      <c r="N411" s="17">
        <f>IF($F411="","",$F411)</f>
        <v/>
      </c>
      <c r="O411" s="17">
        <f>IF($G411="","",$G411)</f>
        <v/>
      </c>
      <c r="P411" s="17">
        <f>IF($K411="","",$K411)</f>
        <v/>
      </c>
      <c r="Q411" s="16" t="n"/>
      <c r="R411" s="18" t="n"/>
      <c r="S411" s="16" t="n"/>
    </row>
    <row r="412">
      <c r="A412" s="14">
        <f>IFERROR(IF(AND(IFERROR(INDEX(ERP資料!$A:$A, (MATCH(411, 輔助計算!$F$2:$F$801, 0)+1)), "")&lt;&gt;"", IFERROR(INDEX(ERP資料!$A:$A, (MATCH(411, 輔助計算!$F$2:$F$801, 0)+1)), "")&lt;&gt;IFERROR(INDEX(ERP資料!$A:$A, MATCH(410, 輔助計算!$F$2:$F$801, 0)+1), "")), INDEX(ERP資料!$B:$B, (MATCH(411, 輔助計算!$F$2:$F$801, 0)+1)), ""), "")</f>
        <v/>
      </c>
      <c r="B412" s="10">
        <f>IFERROR(IF(AND(IFERROR(INDEX(ERP資料!$A:$A, (MATCH(411, 輔助計算!$F$2:$F$801, 0)+1)), "")&lt;&gt;"", IFERROR(INDEX(ERP資料!$A:$A, (MATCH(411, 輔助計算!$F$2:$F$801, 0)+1)), "")&lt;&gt;IFERROR(INDEX(ERP資料!$A:$A, MATCH(410, 輔助計算!$F$2:$F$801, 0)+1), "")), IFERROR(INDEX(ERP資料!$A:$A, (MATCH(411, 輔助計算!$F$2:$F$801, 0)+1)), ""), ""), "")</f>
        <v/>
      </c>
      <c r="C412" s="10">
        <f>IFERROR(IF(AND(IFERROR(INDEX(ERP資料!$A:$A, (MATCH(411, 輔助計算!$F$2:$F$801, 0)+1)), "")&lt;&gt;"", IFERROR(INDEX(ERP資料!$A:$A, (MATCH(411, 輔助計算!$F$2:$F$801, 0)+1)), "")&lt;&gt;IFERROR(INDEX(ERP資料!$A:$A, MATCH(410, 輔助計算!$F$2:$F$801, 0)+1), "")), INDEX(ERP資料!$S:$S, (MATCH(411, 輔助計算!$F$2:$F$801, 0)+1)), ""), "")</f>
        <v/>
      </c>
      <c r="D412" s="10">
        <f>IFERROR(IF(INDEX(ERP資料!$E:$E, (MATCH(411, 輔助計算!$F$2:$F$801, 0)+1))="","",TRIM(INDEX(ERP資料!$E:$E, (MATCH(411, 輔助計算!$F$2:$F$801, 0)+1)))), "")</f>
        <v/>
      </c>
      <c r="E412" s="10">
        <f>IFERROR(IF(INDEX(ERP資料!$F:$F, (MATCH(411, 輔助計算!$F$2:$F$801, 0)+1))="","",INDEX(ERP資料!$F:$F, (MATCH(411, 輔助計算!$F$2:$F$801, 0)+1))), "")</f>
        <v/>
      </c>
      <c r="F412" s="10">
        <f>IFERROR(IF(INDEX(ERP資料!$G:$G, (MATCH(411, 輔助計算!$F$2:$F$801, 0)+1))="","",INDEX(ERP資料!$G:$G, (MATCH(411, 輔助計算!$F$2:$F$801, 0)+1))), "")</f>
        <v/>
      </c>
      <c r="G412" s="10">
        <f>IFERROR(IF(INDEX(ERP資料!$H:$H, (MATCH(411, 輔助計算!$F$2:$F$801, 0)+1))="","",INDEX(ERP資料!$H:$H, (MATCH(411, 輔助計算!$F$2:$F$801, 0)+1))), "")</f>
        <v/>
      </c>
      <c r="H412" s="10">
        <f>IFERROR(IF(INDEX(ERP資料!$O:$O, (MATCH(411, 輔助計算!$F$2:$F$801, 0)+1))="","",INDEX(ERP資料!$O:$O, (MATCH(411, 輔助計算!$F$2:$F$801, 0)+1))), "")</f>
        <v/>
      </c>
      <c r="I412" s="15">
        <f>IFERROR(IF(INDEX(輔助計算!$D:$D,(MATCH(411, 輔助計算!$F$2:$F$801, 0)+1))="","",INDEX(輔助計算!$D:$D,(MATCH(411, 輔助計算!$F$2:$F$801, 0)+1))*INDEX(ERP資料!$O:$O,(MATCH(411, 輔助計算!$F$2:$F$801, 0)+1))), "")</f>
        <v/>
      </c>
      <c r="J412" s="16" t="n"/>
      <c r="K412" s="15">
        <f>IFERROR(INDEX(輔助計算!$D:$D, (MATCH(411, 輔助計算!$F$2:$F$801, 0)+1)), "")</f>
        <v/>
      </c>
      <c r="L412" s="16">
        <f>IFERROR(IF(AND(IFERROR(VLOOKUP(LEFT(INDEX(ERP資料!$S:$S, (MATCH(411, 輔助計算!$F$2:$F$801, 0)+1)), 4), 100張客戶!$A:$A, 1, FALSE), "")&lt;&gt;"", OR(INDEX(ERP資料!$F:$F, (MATCH(411, 輔助計算!$F$2:$F$801, 0)+1))=270, INDEX(ERP資料!$F:$F, (MATCH(411, 輔助計算!$F$2:$F$801, 0)+1))=300)), "100張", ""), "")</f>
        <v/>
      </c>
      <c r="M412" s="17" t="n"/>
      <c r="N412" s="17">
        <f>IF($F412="","",$F412)</f>
        <v/>
      </c>
      <c r="O412" s="17">
        <f>IF($G412="","",$G412)</f>
        <v/>
      </c>
      <c r="P412" s="17">
        <f>IF($K412="","",$K412)</f>
        <v/>
      </c>
      <c r="Q412" s="16" t="n"/>
      <c r="R412" s="18" t="n"/>
      <c r="S412" s="16" t="n"/>
    </row>
    <row r="413">
      <c r="A413" s="14">
        <f>IFERROR(IF(AND(IFERROR(INDEX(ERP資料!$A:$A, (MATCH(412, 輔助計算!$F$2:$F$801, 0)+1)), "")&lt;&gt;"", IFERROR(INDEX(ERP資料!$A:$A, (MATCH(412, 輔助計算!$F$2:$F$801, 0)+1)), "")&lt;&gt;IFERROR(INDEX(ERP資料!$A:$A, MATCH(411, 輔助計算!$F$2:$F$801, 0)+1), "")), INDEX(ERP資料!$B:$B, (MATCH(412, 輔助計算!$F$2:$F$801, 0)+1)), ""), "")</f>
        <v/>
      </c>
      <c r="B413" s="10">
        <f>IFERROR(IF(AND(IFERROR(INDEX(ERP資料!$A:$A, (MATCH(412, 輔助計算!$F$2:$F$801, 0)+1)), "")&lt;&gt;"", IFERROR(INDEX(ERP資料!$A:$A, (MATCH(412, 輔助計算!$F$2:$F$801, 0)+1)), "")&lt;&gt;IFERROR(INDEX(ERP資料!$A:$A, MATCH(411, 輔助計算!$F$2:$F$801, 0)+1), "")), IFERROR(INDEX(ERP資料!$A:$A, (MATCH(412, 輔助計算!$F$2:$F$801, 0)+1)), ""), ""), "")</f>
        <v/>
      </c>
      <c r="C413" s="10">
        <f>IFERROR(IF(AND(IFERROR(INDEX(ERP資料!$A:$A, (MATCH(412, 輔助計算!$F$2:$F$801, 0)+1)), "")&lt;&gt;"", IFERROR(INDEX(ERP資料!$A:$A, (MATCH(412, 輔助計算!$F$2:$F$801, 0)+1)), "")&lt;&gt;IFERROR(INDEX(ERP資料!$A:$A, MATCH(411, 輔助計算!$F$2:$F$801, 0)+1), "")), INDEX(ERP資料!$S:$S, (MATCH(412, 輔助計算!$F$2:$F$801, 0)+1)), ""), "")</f>
        <v/>
      </c>
      <c r="D413" s="10">
        <f>IFERROR(IF(INDEX(ERP資料!$E:$E, (MATCH(412, 輔助計算!$F$2:$F$801, 0)+1))="","",TRIM(INDEX(ERP資料!$E:$E, (MATCH(412, 輔助計算!$F$2:$F$801, 0)+1)))), "")</f>
        <v/>
      </c>
      <c r="E413" s="10">
        <f>IFERROR(IF(INDEX(ERP資料!$F:$F, (MATCH(412, 輔助計算!$F$2:$F$801, 0)+1))="","",INDEX(ERP資料!$F:$F, (MATCH(412, 輔助計算!$F$2:$F$801, 0)+1))), "")</f>
        <v/>
      </c>
      <c r="F413" s="10">
        <f>IFERROR(IF(INDEX(ERP資料!$G:$G, (MATCH(412, 輔助計算!$F$2:$F$801, 0)+1))="","",INDEX(ERP資料!$G:$G, (MATCH(412, 輔助計算!$F$2:$F$801, 0)+1))), "")</f>
        <v/>
      </c>
      <c r="G413" s="10">
        <f>IFERROR(IF(INDEX(ERP資料!$H:$H, (MATCH(412, 輔助計算!$F$2:$F$801, 0)+1))="","",INDEX(ERP資料!$H:$H, (MATCH(412, 輔助計算!$F$2:$F$801, 0)+1))), "")</f>
        <v/>
      </c>
      <c r="H413" s="10">
        <f>IFERROR(IF(INDEX(ERP資料!$O:$O, (MATCH(412, 輔助計算!$F$2:$F$801, 0)+1))="","",INDEX(ERP資料!$O:$O, (MATCH(412, 輔助計算!$F$2:$F$801, 0)+1))), "")</f>
        <v/>
      </c>
      <c r="I413" s="15">
        <f>IFERROR(IF(INDEX(輔助計算!$D:$D,(MATCH(412, 輔助計算!$F$2:$F$801, 0)+1))="","",INDEX(輔助計算!$D:$D,(MATCH(412, 輔助計算!$F$2:$F$801, 0)+1))*INDEX(ERP資料!$O:$O,(MATCH(412, 輔助計算!$F$2:$F$801, 0)+1))), "")</f>
        <v/>
      </c>
      <c r="J413" s="16" t="n"/>
      <c r="K413" s="15">
        <f>IFERROR(INDEX(輔助計算!$D:$D, (MATCH(412, 輔助計算!$F$2:$F$801, 0)+1)), "")</f>
        <v/>
      </c>
      <c r="L413" s="16">
        <f>IFERROR(IF(AND(IFERROR(VLOOKUP(LEFT(INDEX(ERP資料!$S:$S, (MATCH(412, 輔助計算!$F$2:$F$801, 0)+1)), 4), 100張客戶!$A:$A, 1, FALSE), "")&lt;&gt;"", OR(INDEX(ERP資料!$F:$F, (MATCH(412, 輔助計算!$F$2:$F$801, 0)+1))=270, INDEX(ERP資料!$F:$F, (MATCH(412, 輔助計算!$F$2:$F$801, 0)+1))=300)), "100張", ""), "")</f>
        <v/>
      </c>
      <c r="M413" s="17" t="n"/>
      <c r="N413" s="17">
        <f>IF($F413="","",$F413)</f>
        <v/>
      </c>
      <c r="O413" s="17">
        <f>IF($G413="","",$G413)</f>
        <v/>
      </c>
      <c r="P413" s="17">
        <f>IF($K413="","",$K413)</f>
        <v/>
      </c>
      <c r="Q413" s="16" t="n"/>
      <c r="R413" s="18" t="n"/>
      <c r="S413" s="16" t="n"/>
    </row>
    <row r="414">
      <c r="A414" s="14">
        <f>IFERROR(IF(AND(IFERROR(INDEX(ERP資料!$A:$A, (MATCH(413, 輔助計算!$F$2:$F$801, 0)+1)), "")&lt;&gt;"", IFERROR(INDEX(ERP資料!$A:$A, (MATCH(413, 輔助計算!$F$2:$F$801, 0)+1)), "")&lt;&gt;IFERROR(INDEX(ERP資料!$A:$A, MATCH(412, 輔助計算!$F$2:$F$801, 0)+1), "")), INDEX(ERP資料!$B:$B, (MATCH(413, 輔助計算!$F$2:$F$801, 0)+1)), ""), "")</f>
        <v/>
      </c>
      <c r="B414" s="10">
        <f>IFERROR(IF(AND(IFERROR(INDEX(ERP資料!$A:$A, (MATCH(413, 輔助計算!$F$2:$F$801, 0)+1)), "")&lt;&gt;"", IFERROR(INDEX(ERP資料!$A:$A, (MATCH(413, 輔助計算!$F$2:$F$801, 0)+1)), "")&lt;&gt;IFERROR(INDEX(ERP資料!$A:$A, MATCH(412, 輔助計算!$F$2:$F$801, 0)+1), "")), IFERROR(INDEX(ERP資料!$A:$A, (MATCH(413, 輔助計算!$F$2:$F$801, 0)+1)), ""), ""), "")</f>
        <v/>
      </c>
      <c r="C414" s="10">
        <f>IFERROR(IF(AND(IFERROR(INDEX(ERP資料!$A:$A, (MATCH(413, 輔助計算!$F$2:$F$801, 0)+1)), "")&lt;&gt;"", IFERROR(INDEX(ERP資料!$A:$A, (MATCH(413, 輔助計算!$F$2:$F$801, 0)+1)), "")&lt;&gt;IFERROR(INDEX(ERP資料!$A:$A, MATCH(412, 輔助計算!$F$2:$F$801, 0)+1), "")), INDEX(ERP資料!$S:$S, (MATCH(413, 輔助計算!$F$2:$F$801, 0)+1)), ""), "")</f>
        <v/>
      </c>
      <c r="D414" s="10">
        <f>IFERROR(IF(INDEX(ERP資料!$E:$E, (MATCH(413, 輔助計算!$F$2:$F$801, 0)+1))="","",TRIM(INDEX(ERP資料!$E:$E, (MATCH(413, 輔助計算!$F$2:$F$801, 0)+1)))), "")</f>
        <v/>
      </c>
      <c r="E414" s="10">
        <f>IFERROR(IF(INDEX(ERP資料!$F:$F, (MATCH(413, 輔助計算!$F$2:$F$801, 0)+1))="","",INDEX(ERP資料!$F:$F, (MATCH(413, 輔助計算!$F$2:$F$801, 0)+1))), "")</f>
        <v/>
      </c>
      <c r="F414" s="10">
        <f>IFERROR(IF(INDEX(ERP資料!$G:$G, (MATCH(413, 輔助計算!$F$2:$F$801, 0)+1))="","",INDEX(ERP資料!$G:$G, (MATCH(413, 輔助計算!$F$2:$F$801, 0)+1))), "")</f>
        <v/>
      </c>
      <c r="G414" s="10">
        <f>IFERROR(IF(INDEX(ERP資料!$H:$H, (MATCH(413, 輔助計算!$F$2:$F$801, 0)+1))="","",INDEX(ERP資料!$H:$H, (MATCH(413, 輔助計算!$F$2:$F$801, 0)+1))), "")</f>
        <v/>
      </c>
      <c r="H414" s="10">
        <f>IFERROR(IF(INDEX(ERP資料!$O:$O, (MATCH(413, 輔助計算!$F$2:$F$801, 0)+1))="","",INDEX(ERP資料!$O:$O, (MATCH(413, 輔助計算!$F$2:$F$801, 0)+1))), "")</f>
        <v/>
      </c>
      <c r="I414" s="15">
        <f>IFERROR(IF(INDEX(輔助計算!$D:$D,(MATCH(413, 輔助計算!$F$2:$F$801, 0)+1))="","",INDEX(輔助計算!$D:$D,(MATCH(413, 輔助計算!$F$2:$F$801, 0)+1))*INDEX(ERP資料!$O:$O,(MATCH(413, 輔助計算!$F$2:$F$801, 0)+1))), "")</f>
        <v/>
      </c>
      <c r="J414" s="16" t="n"/>
      <c r="K414" s="15">
        <f>IFERROR(INDEX(輔助計算!$D:$D, (MATCH(413, 輔助計算!$F$2:$F$801, 0)+1)), "")</f>
        <v/>
      </c>
      <c r="L414" s="16">
        <f>IFERROR(IF(AND(IFERROR(VLOOKUP(LEFT(INDEX(ERP資料!$S:$S, (MATCH(413, 輔助計算!$F$2:$F$801, 0)+1)), 4), 100張客戶!$A:$A, 1, FALSE), "")&lt;&gt;"", OR(INDEX(ERP資料!$F:$F, (MATCH(413, 輔助計算!$F$2:$F$801, 0)+1))=270, INDEX(ERP資料!$F:$F, (MATCH(413, 輔助計算!$F$2:$F$801, 0)+1))=300)), "100張", ""), "")</f>
        <v/>
      </c>
      <c r="M414" s="17" t="n"/>
      <c r="N414" s="17">
        <f>IF($F414="","",$F414)</f>
        <v/>
      </c>
      <c r="O414" s="17">
        <f>IF($G414="","",$G414)</f>
        <v/>
      </c>
      <c r="P414" s="17">
        <f>IF($K414="","",$K414)</f>
        <v/>
      </c>
      <c r="Q414" s="16" t="n"/>
      <c r="R414" s="18" t="n"/>
      <c r="S414" s="16" t="n"/>
    </row>
    <row r="415">
      <c r="A415" s="14">
        <f>IFERROR(IF(AND(IFERROR(INDEX(ERP資料!$A:$A, (MATCH(414, 輔助計算!$F$2:$F$801, 0)+1)), "")&lt;&gt;"", IFERROR(INDEX(ERP資料!$A:$A, (MATCH(414, 輔助計算!$F$2:$F$801, 0)+1)), "")&lt;&gt;IFERROR(INDEX(ERP資料!$A:$A, MATCH(413, 輔助計算!$F$2:$F$801, 0)+1), "")), INDEX(ERP資料!$B:$B, (MATCH(414, 輔助計算!$F$2:$F$801, 0)+1)), ""), "")</f>
        <v/>
      </c>
      <c r="B415" s="10">
        <f>IFERROR(IF(AND(IFERROR(INDEX(ERP資料!$A:$A, (MATCH(414, 輔助計算!$F$2:$F$801, 0)+1)), "")&lt;&gt;"", IFERROR(INDEX(ERP資料!$A:$A, (MATCH(414, 輔助計算!$F$2:$F$801, 0)+1)), "")&lt;&gt;IFERROR(INDEX(ERP資料!$A:$A, MATCH(413, 輔助計算!$F$2:$F$801, 0)+1), "")), IFERROR(INDEX(ERP資料!$A:$A, (MATCH(414, 輔助計算!$F$2:$F$801, 0)+1)), ""), ""), "")</f>
        <v/>
      </c>
      <c r="C415" s="10">
        <f>IFERROR(IF(AND(IFERROR(INDEX(ERP資料!$A:$A, (MATCH(414, 輔助計算!$F$2:$F$801, 0)+1)), "")&lt;&gt;"", IFERROR(INDEX(ERP資料!$A:$A, (MATCH(414, 輔助計算!$F$2:$F$801, 0)+1)), "")&lt;&gt;IFERROR(INDEX(ERP資料!$A:$A, MATCH(413, 輔助計算!$F$2:$F$801, 0)+1), "")), INDEX(ERP資料!$S:$S, (MATCH(414, 輔助計算!$F$2:$F$801, 0)+1)), ""), "")</f>
        <v/>
      </c>
      <c r="D415" s="10">
        <f>IFERROR(IF(INDEX(ERP資料!$E:$E, (MATCH(414, 輔助計算!$F$2:$F$801, 0)+1))="","",TRIM(INDEX(ERP資料!$E:$E, (MATCH(414, 輔助計算!$F$2:$F$801, 0)+1)))), "")</f>
        <v/>
      </c>
      <c r="E415" s="10">
        <f>IFERROR(IF(INDEX(ERP資料!$F:$F, (MATCH(414, 輔助計算!$F$2:$F$801, 0)+1))="","",INDEX(ERP資料!$F:$F, (MATCH(414, 輔助計算!$F$2:$F$801, 0)+1))), "")</f>
        <v/>
      </c>
      <c r="F415" s="10">
        <f>IFERROR(IF(INDEX(ERP資料!$G:$G, (MATCH(414, 輔助計算!$F$2:$F$801, 0)+1))="","",INDEX(ERP資料!$G:$G, (MATCH(414, 輔助計算!$F$2:$F$801, 0)+1))), "")</f>
        <v/>
      </c>
      <c r="G415" s="10">
        <f>IFERROR(IF(INDEX(ERP資料!$H:$H, (MATCH(414, 輔助計算!$F$2:$F$801, 0)+1))="","",INDEX(ERP資料!$H:$H, (MATCH(414, 輔助計算!$F$2:$F$801, 0)+1))), "")</f>
        <v/>
      </c>
      <c r="H415" s="10">
        <f>IFERROR(IF(INDEX(ERP資料!$O:$O, (MATCH(414, 輔助計算!$F$2:$F$801, 0)+1))="","",INDEX(ERP資料!$O:$O, (MATCH(414, 輔助計算!$F$2:$F$801, 0)+1))), "")</f>
        <v/>
      </c>
      <c r="I415" s="15">
        <f>IFERROR(IF(INDEX(輔助計算!$D:$D,(MATCH(414, 輔助計算!$F$2:$F$801, 0)+1))="","",INDEX(輔助計算!$D:$D,(MATCH(414, 輔助計算!$F$2:$F$801, 0)+1))*INDEX(ERP資料!$O:$O,(MATCH(414, 輔助計算!$F$2:$F$801, 0)+1))), "")</f>
        <v/>
      </c>
      <c r="J415" s="16" t="n"/>
      <c r="K415" s="15">
        <f>IFERROR(INDEX(輔助計算!$D:$D, (MATCH(414, 輔助計算!$F$2:$F$801, 0)+1)), "")</f>
        <v/>
      </c>
      <c r="L415" s="16">
        <f>IFERROR(IF(AND(IFERROR(VLOOKUP(LEFT(INDEX(ERP資料!$S:$S, (MATCH(414, 輔助計算!$F$2:$F$801, 0)+1)), 4), 100張客戶!$A:$A, 1, FALSE), "")&lt;&gt;"", OR(INDEX(ERP資料!$F:$F, (MATCH(414, 輔助計算!$F$2:$F$801, 0)+1))=270, INDEX(ERP資料!$F:$F, (MATCH(414, 輔助計算!$F$2:$F$801, 0)+1))=300)), "100張", ""), "")</f>
        <v/>
      </c>
      <c r="M415" s="17" t="n"/>
      <c r="N415" s="17">
        <f>IF($F415="","",$F415)</f>
        <v/>
      </c>
      <c r="O415" s="17">
        <f>IF($G415="","",$G415)</f>
        <v/>
      </c>
      <c r="P415" s="17">
        <f>IF($K415="","",$K415)</f>
        <v/>
      </c>
      <c r="Q415" s="16" t="n"/>
      <c r="R415" s="18" t="n"/>
      <c r="S415" s="16" t="n"/>
    </row>
    <row r="416">
      <c r="A416" s="14">
        <f>IFERROR(IF(AND(IFERROR(INDEX(ERP資料!$A:$A, (MATCH(415, 輔助計算!$F$2:$F$801, 0)+1)), "")&lt;&gt;"", IFERROR(INDEX(ERP資料!$A:$A, (MATCH(415, 輔助計算!$F$2:$F$801, 0)+1)), "")&lt;&gt;IFERROR(INDEX(ERP資料!$A:$A, MATCH(414, 輔助計算!$F$2:$F$801, 0)+1), "")), INDEX(ERP資料!$B:$B, (MATCH(415, 輔助計算!$F$2:$F$801, 0)+1)), ""), "")</f>
        <v/>
      </c>
      <c r="B416" s="10">
        <f>IFERROR(IF(AND(IFERROR(INDEX(ERP資料!$A:$A, (MATCH(415, 輔助計算!$F$2:$F$801, 0)+1)), "")&lt;&gt;"", IFERROR(INDEX(ERP資料!$A:$A, (MATCH(415, 輔助計算!$F$2:$F$801, 0)+1)), "")&lt;&gt;IFERROR(INDEX(ERP資料!$A:$A, MATCH(414, 輔助計算!$F$2:$F$801, 0)+1), "")), IFERROR(INDEX(ERP資料!$A:$A, (MATCH(415, 輔助計算!$F$2:$F$801, 0)+1)), ""), ""), "")</f>
        <v/>
      </c>
      <c r="C416" s="10">
        <f>IFERROR(IF(AND(IFERROR(INDEX(ERP資料!$A:$A, (MATCH(415, 輔助計算!$F$2:$F$801, 0)+1)), "")&lt;&gt;"", IFERROR(INDEX(ERP資料!$A:$A, (MATCH(415, 輔助計算!$F$2:$F$801, 0)+1)), "")&lt;&gt;IFERROR(INDEX(ERP資料!$A:$A, MATCH(414, 輔助計算!$F$2:$F$801, 0)+1), "")), INDEX(ERP資料!$S:$S, (MATCH(415, 輔助計算!$F$2:$F$801, 0)+1)), ""), "")</f>
        <v/>
      </c>
      <c r="D416" s="10">
        <f>IFERROR(IF(INDEX(ERP資料!$E:$E, (MATCH(415, 輔助計算!$F$2:$F$801, 0)+1))="","",TRIM(INDEX(ERP資料!$E:$E, (MATCH(415, 輔助計算!$F$2:$F$801, 0)+1)))), "")</f>
        <v/>
      </c>
      <c r="E416" s="10">
        <f>IFERROR(IF(INDEX(ERP資料!$F:$F, (MATCH(415, 輔助計算!$F$2:$F$801, 0)+1))="","",INDEX(ERP資料!$F:$F, (MATCH(415, 輔助計算!$F$2:$F$801, 0)+1))), "")</f>
        <v/>
      </c>
      <c r="F416" s="10">
        <f>IFERROR(IF(INDEX(ERP資料!$G:$G, (MATCH(415, 輔助計算!$F$2:$F$801, 0)+1))="","",INDEX(ERP資料!$G:$G, (MATCH(415, 輔助計算!$F$2:$F$801, 0)+1))), "")</f>
        <v/>
      </c>
      <c r="G416" s="10">
        <f>IFERROR(IF(INDEX(ERP資料!$H:$H, (MATCH(415, 輔助計算!$F$2:$F$801, 0)+1))="","",INDEX(ERP資料!$H:$H, (MATCH(415, 輔助計算!$F$2:$F$801, 0)+1))), "")</f>
        <v/>
      </c>
      <c r="H416" s="10">
        <f>IFERROR(IF(INDEX(ERP資料!$O:$O, (MATCH(415, 輔助計算!$F$2:$F$801, 0)+1))="","",INDEX(ERP資料!$O:$O, (MATCH(415, 輔助計算!$F$2:$F$801, 0)+1))), "")</f>
        <v/>
      </c>
      <c r="I416" s="15">
        <f>IFERROR(IF(INDEX(輔助計算!$D:$D,(MATCH(415, 輔助計算!$F$2:$F$801, 0)+1))="","",INDEX(輔助計算!$D:$D,(MATCH(415, 輔助計算!$F$2:$F$801, 0)+1))*INDEX(ERP資料!$O:$O,(MATCH(415, 輔助計算!$F$2:$F$801, 0)+1))), "")</f>
        <v/>
      </c>
      <c r="J416" s="16" t="n"/>
      <c r="K416" s="15">
        <f>IFERROR(INDEX(輔助計算!$D:$D, (MATCH(415, 輔助計算!$F$2:$F$801, 0)+1)), "")</f>
        <v/>
      </c>
      <c r="L416" s="16">
        <f>IFERROR(IF(AND(IFERROR(VLOOKUP(LEFT(INDEX(ERP資料!$S:$S, (MATCH(415, 輔助計算!$F$2:$F$801, 0)+1)), 4), 100張客戶!$A:$A, 1, FALSE), "")&lt;&gt;"", OR(INDEX(ERP資料!$F:$F, (MATCH(415, 輔助計算!$F$2:$F$801, 0)+1))=270, INDEX(ERP資料!$F:$F, (MATCH(415, 輔助計算!$F$2:$F$801, 0)+1))=300)), "100張", ""), "")</f>
        <v/>
      </c>
      <c r="M416" s="17" t="n"/>
      <c r="N416" s="17">
        <f>IF($F416="","",$F416)</f>
        <v/>
      </c>
      <c r="O416" s="17">
        <f>IF($G416="","",$G416)</f>
        <v/>
      </c>
      <c r="P416" s="17">
        <f>IF($K416="","",$K416)</f>
        <v/>
      </c>
      <c r="Q416" s="16" t="n"/>
      <c r="R416" s="18" t="n"/>
      <c r="S416" s="16" t="n"/>
    </row>
    <row r="417">
      <c r="A417" s="14">
        <f>IFERROR(IF(AND(IFERROR(INDEX(ERP資料!$A:$A, (MATCH(416, 輔助計算!$F$2:$F$801, 0)+1)), "")&lt;&gt;"", IFERROR(INDEX(ERP資料!$A:$A, (MATCH(416, 輔助計算!$F$2:$F$801, 0)+1)), "")&lt;&gt;IFERROR(INDEX(ERP資料!$A:$A, MATCH(415, 輔助計算!$F$2:$F$801, 0)+1), "")), INDEX(ERP資料!$B:$B, (MATCH(416, 輔助計算!$F$2:$F$801, 0)+1)), ""), "")</f>
        <v/>
      </c>
      <c r="B417" s="10">
        <f>IFERROR(IF(AND(IFERROR(INDEX(ERP資料!$A:$A, (MATCH(416, 輔助計算!$F$2:$F$801, 0)+1)), "")&lt;&gt;"", IFERROR(INDEX(ERP資料!$A:$A, (MATCH(416, 輔助計算!$F$2:$F$801, 0)+1)), "")&lt;&gt;IFERROR(INDEX(ERP資料!$A:$A, MATCH(415, 輔助計算!$F$2:$F$801, 0)+1), "")), IFERROR(INDEX(ERP資料!$A:$A, (MATCH(416, 輔助計算!$F$2:$F$801, 0)+1)), ""), ""), "")</f>
        <v/>
      </c>
      <c r="C417" s="10">
        <f>IFERROR(IF(AND(IFERROR(INDEX(ERP資料!$A:$A, (MATCH(416, 輔助計算!$F$2:$F$801, 0)+1)), "")&lt;&gt;"", IFERROR(INDEX(ERP資料!$A:$A, (MATCH(416, 輔助計算!$F$2:$F$801, 0)+1)), "")&lt;&gt;IFERROR(INDEX(ERP資料!$A:$A, MATCH(415, 輔助計算!$F$2:$F$801, 0)+1), "")), INDEX(ERP資料!$S:$S, (MATCH(416, 輔助計算!$F$2:$F$801, 0)+1)), ""), "")</f>
        <v/>
      </c>
      <c r="D417" s="10">
        <f>IFERROR(IF(INDEX(ERP資料!$E:$E, (MATCH(416, 輔助計算!$F$2:$F$801, 0)+1))="","",TRIM(INDEX(ERP資料!$E:$E, (MATCH(416, 輔助計算!$F$2:$F$801, 0)+1)))), "")</f>
        <v/>
      </c>
      <c r="E417" s="10">
        <f>IFERROR(IF(INDEX(ERP資料!$F:$F, (MATCH(416, 輔助計算!$F$2:$F$801, 0)+1))="","",INDEX(ERP資料!$F:$F, (MATCH(416, 輔助計算!$F$2:$F$801, 0)+1))), "")</f>
        <v/>
      </c>
      <c r="F417" s="10">
        <f>IFERROR(IF(INDEX(ERP資料!$G:$G, (MATCH(416, 輔助計算!$F$2:$F$801, 0)+1))="","",INDEX(ERP資料!$G:$G, (MATCH(416, 輔助計算!$F$2:$F$801, 0)+1))), "")</f>
        <v/>
      </c>
      <c r="G417" s="10">
        <f>IFERROR(IF(INDEX(ERP資料!$H:$H, (MATCH(416, 輔助計算!$F$2:$F$801, 0)+1))="","",INDEX(ERP資料!$H:$H, (MATCH(416, 輔助計算!$F$2:$F$801, 0)+1))), "")</f>
        <v/>
      </c>
      <c r="H417" s="10">
        <f>IFERROR(IF(INDEX(ERP資料!$O:$O, (MATCH(416, 輔助計算!$F$2:$F$801, 0)+1))="","",INDEX(ERP資料!$O:$O, (MATCH(416, 輔助計算!$F$2:$F$801, 0)+1))), "")</f>
        <v/>
      </c>
      <c r="I417" s="15">
        <f>IFERROR(IF(INDEX(輔助計算!$D:$D,(MATCH(416, 輔助計算!$F$2:$F$801, 0)+1))="","",INDEX(輔助計算!$D:$D,(MATCH(416, 輔助計算!$F$2:$F$801, 0)+1))*INDEX(ERP資料!$O:$O,(MATCH(416, 輔助計算!$F$2:$F$801, 0)+1))), "")</f>
        <v/>
      </c>
      <c r="J417" s="16" t="n"/>
      <c r="K417" s="15">
        <f>IFERROR(INDEX(輔助計算!$D:$D, (MATCH(416, 輔助計算!$F$2:$F$801, 0)+1)), "")</f>
        <v/>
      </c>
      <c r="L417" s="16">
        <f>IFERROR(IF(AND(IFERROR(VLOOKUP(LEFT(INDEX(ERP資料!$S:$S, (MATCH(416, 輔助計算!$F$2:$F$801, 0)+1)), 4), 100張客戶!$A:$A, 1, FALSE), "")&lt;&gt;"", OR(INDEX(ERP資料!$F:$F, (MATCH(416, 輔助計算!$F$2:$F$801, 0)+1))=270, INDEX(ERP資料!$F:$F, (MATCH(416, 輔助計算!$F$2:$F$801, 0)+1))=300)), "100張", ""), "")</f>
        <v/>
      </c>
      <c r="M417" s="17" t="n"/>
      <c r="N417" s="17">
        <f>IF($F417="","",$F417)</f>
        <v/>
      </c>
      <c r="O417" s="17">
        <f>IF($G417="","",$G417)</f>
        <v/>
      </c>
      <c r="P417" s="17">
        <f>IF($K417="","",$K417)</f>
        <v/>
      </c>
      <c r="Q417" s="16" t="n"/>
      <c r="R417" s="18" t="n"/>
      <c r="S417" s="16" t="n"/>
    </row>
    <row r="418">
      <c r="A418" s="14">
        <f>IFERROR(IF(AND(IFERROR(INDEX(ERP資料!$A:$A, (MATCH(417, 輔助計算!$F$2:$F$801, 0)+1)), "")&lt;&gt;"", IFERROR(INDEX(ERP資料!$A:$A, (MATCH(417, 輔助計算!$F$2:$F$801, 0)+1)), "")&lt;&gt;IFERROR(INDEX(ERP資料!$A:$A, MATCH(416, 輔助計算!$F$2:$F$801, 0)+1), "")), INDEX(ERP資料!$B:$B, (MATCH(417, 輔助計算!$F$2:$F$801, 0)+1)), ""), "")</f>
        <v/>
      </c>
      <c r="B418" s="10">
        <f>IFERROR(IF(AND(IFERROR(INDEX(ERP資料!$A:$A, (MATCH(417, 輔助計算!$F$2:$F$801, 0)+1)), "")&lt;&gt;"", IFERROR(INDEX(ERP資料!$A:$A, (MATCH(417, 輔助計算!$F$2:$F$801, 0)+1)), "")&lt;&gt;IFERROR(INDEX(ERP資料!$A:$A, MATCH(416, 輔助計算!$F$2:$F$801, 0)+1), "")), IFERROR(INDEX(ERP資料!$A:$A, (MATCH(417, 輔助計算!$F$2:$F$801, 0)+1)), ""), ""), "")</f>
        <v/>
      </c>
      <c r="C418" s="10">
        <f>IFERROR(IF(AND(IFERROR(INDEX(ERP資料!$A:$A, (MATCH(417, 輔助計算!$F$2:$F$801, 0)+1)), "")&lt;&gt;"", IFERROR(INDEX(ERP資料!$A:$A, (MATCH(417, 輔助計算!$F$2:$F$801, 0)+1)), "")&lt;&gt;IFERROR(INDEX(ERP資料!$A:$A, MATCH(416, 輔助計算!$F$2:$F$801, 0)+1), "")), INDEX(ERP資料!$S:$S, (MATCH(417, 輔助計算!$F$2:$F$801, 0)+1)), ""), "")</f>
        <v/>
      </c>
      <c r="D418" s="10">
        <f>IFERROR(IF(INDEX(ERP資料!$E:$E, (MATCH(417, 輔助計算!$F$2:$F$801, 0)+1))="","",TRIM(INDEX(ERP資料!$E:$E, (MATCH(417, 輔助計算!$F$2:$F$801, 0)+1)))), "")</f>
        <v/>
      </c>
      <c r="E418" s="10">
        <f>IFERROR(IF(INDEX(ERP資料!$F:$F, (MATCH(417, 輔助計算!$F$2:$F$801, 0)+1))="","",INDEX(ERP資料!$F:$F, (MATCH(417, 輔助計算!$F$2:$F$801, 0)+1))), "")</f>
        <v/>
      </c>
      <c r="F418" s="10">
        <f>IFERROR(IF(INDEX(ERP資料!$G:$G, (MATCH(417, 輔助計算!$F$2:$F$801, 0)+1))="","",INDEX(ERP資料!$G:$G, (MATCH(417, 輔助計算!$F$2:$F$801, 0)+1))), "")</f>
        <v/>
      </c>
      <c r="G418" s="10">
        <f>IFERROR(IF(INDEX(ERP資料!$H:$H, (MATCH(417, 輔助計算!$F$2:$F$801, 0)+1))="","",INDEX(ERP資料!$H:$H, (MATCH(417, 輔助計算!$F$2:$F$801, 0)+1))), "")</f>
        <v/>
      </c>
      <c r="H418" s="10">
        <f>IFERROR(IF(INDEX(ERP資料!$O:$O, (MATCH(417, 輔助計算!$F$2:$F$801, 0)+1))="","",INDEX(ERP資料!$O:$O, (MATCH(417, 輔助計算!$F$2:$F$801, 0)+1))), "")</f>
        <v/>
      </c>
      <c r="I418" s="15">
        <f>IFERROR(IF(INDEX(輔助計算!$D:$D,(MATCH(417, 輔助計算!$F$2:$F$801, 0)+1))="","",INDEX(輔助計算!$D:$D,(MATCH(417, 輔助計算!$F$2:$F$801, 0)+1))*INDEX(ERP資料!$O:$O,(MATCH(417, 輔助計算!$F$2:$F$801, 0)+1))), "")</f>
        <v/>
      </c>
      <c r="J418" s="16" t="n"/>
      <c r="K418" s="15">
        <f>IFERROR(INDEX(輔助計算!$D:$D, (MATCH(417, 輔助計算!$F$2:$F$801, 0)+1)), "")</f>
        <v/>
      </c>
      <c r="L418" s="16">
        <f>IFERROR(IF(AND(IFERROR(VLOOKUP(LEFT(INDEX(ERP資料!$S:$S, (MATCH(417, 輔助計算!$F$2:$F$801, 0)+1)), 4), 100張客戶!$A:$A, 1, FALSE), "")&lt;&gt;"", OR(INDEX(ERP資料!$F:$F, (MATCH(417, 輔助計算!$F$2:$F$801, 0)+1))=270, INDEX(ERP資料!$F:$F, (MATCH(417, 輔助計算!$F$2:$F$801, 0)+1))=300)), "100張", ""), "")</f>
        <v/>
      </c>
      <c r="M418" s="17" t="n"/>
      <c r="N418" s="17">
        <f>IF($F418="","",$F418)</f>
        <v/>
      </c>
      <c r="O418" s="17">
        <f>IF($G418="","",$G418)</f>
        <v/>
      </c>
      <c r="P418" s="17">
        <f>IF($K418="","",$K418)</f>
        <v/>
      </c>
      <c r="Q418" s="16" t="n"/>
      <c r="R418" s="18" t="n"/>
      <c r="S418" s="16" t="n"/>
    </row>
    <row r="419">
      <c r="A419" s="14">
        <f>IFERROR(IF(AND(IFERROR(INDEX(ERP資料!$A:$A, (MATCH(418, 輔助計算!$F$2:$F$801, 0)+1)), "")&lt;&gt;"", IFERROR(INDEX(ERP資料!$A:$A, (MATCH(418, 輔助計算!$F$2:$F$801, 0)+1)), "")&lt;&gt;IFERROR(INDEX(ERP資料!$A:$A, MATCH(417, 輔助計算!$F$2:$F$801, 0)+1), "")), INDEX(ERP資料!$B:$B, (MATCH(418, 輔助計算!$F$2:$F$801, 0)+1)), ""), "")</f>
        <v/>
      </c>
      <c r="B419" s="10">
        <f>IFERROR(IF(AND(IFERROR(INDEX(ERP資料!$A:$A, (MATCH(418, 輔助計算!$F$2:$F$801, 0)+1)), "")&lt;&gt;"", IFERROR(INDEX(ERP資料!$A:$A, (MATCH(418, 輔助計算!$F$2:$F$801, 0)+1)), "")&lt;&gt;IFERROR(INDEX(ERP資料!$A:$A, MATCH(417, 輔助計算!$F$2:$F$801, 0)+1), "")), IFERROR(INDEX(ERP資料!$A:$A, (MATCH(418, 輔助計算!$F$2:$F$801, 0)+1)), ""), ""), "")</f>
        <v/>
      </c>
      <c r="C419" s="10">
        <f>IFERROR(IF(AND(IFERROR(INDEX(ERP資料!$A:$A, (MATCH(418, 輔助計算!$F$2:$F$801, 0)+1)), "")&lt;&gt;"", IFERROR(INDEX(ERP資料!$A:$A, (MATCH(418, 輔助計算!$F$2:$F$801, 0)+1)), "")&lt;&gt;IFERROR(INDEX(ERP資料!$A:$A, MATCH(417, 輔助計算!$F$2:$F$801, 0)+1), "")), INDEX(ERP資料!$S:$S, (MATCH(418, 輔助計算!$F$2:$F$801, 0)+1)), ""), "")</f>
        <v/>
      </c>
      <c r="D419" s="10">
        <f>IFERROR(IF(INDEX(ERP資料!$E:$E, (MATCH(418, 輔助計算!$F$2:$F$801, 0)+1))="","",TRIM(INDEX(ERP資料!$E:$E, (MATCH(418, 輔助計算!$F$2:$F$801, 0)+1)))), "")</f>
        <v/>
      </c>
      <c r="E419" s="10">
        <f>IFERROR(IF(INDEX(ERP資料!$F:$F, (MATCH(418, 輔助計算!$F$2:$F$801, 0)+1))="","",INDEX(ERP資料!$F:$F, (MATCH(418, 輔助計算!$F$2:$F$801, 0)+1))), "")</f>
        <v/>
      </c>
      <c r="F419" s="10">
        <f>IFERROR(IF(INDEX(ERP資料!$G:$G, (MATCH(418, 輔助計算!$F$2:$F$801, 0)+1))="","",INDEX(ERP資料!$G:$G, (MATCH(418, 輔助計算!$F$2:$F$801, 0)+1))), "")</f>
        <v/>
      </c>
      <c r="G419" s="10">
        <f>IFERROR(IF(INDEX(ERP資料!$H:$H, (MATCH(418, 輔助計算!$F$2:$F$801, 0)+1))="","",INDEX(ERP資料!$H:$H, (MATCH(418, 輔助計算!$F$2:$F$801, 0)+1))), "")</f>
        <v/>
      </c>
      <c r="H419" s="10">
        <f>IFERROR(IF(INDEX(ERP資料!$O:$O, (MATCH(418, 輔助計算!$F$2:$F$801, 0)+1))="","",INDEX(ERP資料!$O:$O, (MATCH(418, 輔助計算!$F$2:$F$801, 0)+1))), "")</f>
        <v/>
      </c>
      <c r="I419" s="15">
        <f>IFERROR(IF(INDEX(輔助計算!$D:$D,(MATCH(418, 輔助計算!$F$2:$F$801, 0)+1))="","",INDEX(輔助計算!$D:$D,(MATCH(418, 輔助計算!$F$2:$F$801, 0)+1))*INDEX(ERP資料!$O:$O,(MATCH(418, 輔助計算!$F$2:$F$801, 0)+1))), "")</f>
        <v/>
      </c>
      <c r="J419" s="16" t="n"/>
      <c r="K419" s="15">
        <f>IFERROR(INDEX(輔助計算!$D:$D, (MATCH(418, 輔助計算!$F$2:$F$801, 0)+1)), "")</f>
        <v/>
      </c>
      <c r="L419" s="16">
        <f>IFERROR(IF(AND(IFERROR(VLOOKUP(LEFT(INDEX(ERP資料!$S:$S, (MATCH(418, 輔助計算!$F$2:$F$801, 0)+1)), 4), 100張客戶!$A:$A, 1, FALSE), "")&lt;&gt;"", OR(INDEX(ERP資料!$F:$F, (MATCH(418, 輔助計算!$F$2:$F$801, 0)+1))=270, INDEX(ERP資料!$F:$F, (MATCH(418, 輔助計算!$F$2:$F$801, 0)+1))=300)), "100張", ""), "")</f>
        <v/>
      </c>
      <c r="M419" s="17" t="n"/>
      <c r="N419" s="17">
        <f>IF($F419="","",$F419)</f>
        <v/>
      </c>
      <c r="O419" s="17">
        <f>IF($G419="","",$G419)</f>
        <v/>
      </c>
      <c r="P419" s="17">
        <f>IF($K419="","",$K419)</f>
        <v/>
      </c>
      <c r="Q419" s="16" t="n"/>
      <c r="R419" s="18" t="n"/>
      <c r="S419" s="16" t="n"/>
    </row>
    <row r="420">
      <c r="A420" s="14">
        <f>IFERROR(IF(AND(IFERROR(INDEX(ERP資料!$A:$A, (MATCH(419, 輔助計算!$F$2:$F$801, 0)+1)), "")&lt;&gt;"", IFERROR(INDEX(ERP資料!$A:$A, (MATCH(419, 輔助計算!$F$2:$F$801, 0)+1)), "")&lt;&gt;IFERROR(INDEX(ERP資料!$A:$A, MATCH(418, 輔助計算!$F$2:$F$801, 0)+1), "")), INDEX(ERP資料!$B:$B, (MATCH(419, 輔助計算!$F$2:$F$801, 0)+1)), ""), "")</f>
        <v/>
      </c>
      <c r="B420" s="10">
        <f>IFERROR(IF(AND(IFERROR(INDEX(ERP資料!$A:$A, (MATCH(419, 輔助計算!$F$2:$F$801, 0)+1)), "")&lt;&gt;"", IFERROR(INDEX(ERP資料!$A:$A, (MATCH(419, 輔助計算!$F$2:$F$801, 0)+1)), "")&lt;&gt;IFERROR(INDEX(ERP資料!$A:$A, MATCH(418, 輔助計算!$F$2:$F$801, 0)+1), "")), IFERROR(INDEX(ERP資料!$A:$A, (MATCH(419, 輔助計算!$F$2:$F$801, 0)+1)), ""), ""), "")</f>
        <v/>
      </c>
      <c r="C420" s="10">
        <f>IFERROR(IF(AND(IFERROR(INDEX(ERP資料!$A:$A, (MATCH(419, 輔助計算!$F$2:$F$801, 0)+1)), "")&lt;&gt;"", IFERROR(INDEX(ERP資料!$A:$A, (MATCH(419, 輔助計算!$F$2:$F$801, 0)+1)), "")&lt;&gt;IFERROR(INDEX(ERP資料!$A:$A, MATCH(418, 輔助計算!$F$2:$F$801, 0)+1), "")), INDEX(ERP資料!$S:$S, (MATCH(419, 輔助計算!$F$2:$F$801, 0)+1)), ""), "")</f>
        <v/>
      </c>
      <c r="D420" s="10">
        <f>IFERROR(IF(INDEX(ERP資料!$E:$E, (MATCH(419, 輔助計算!$F$2:$F$801, 0)+1))="","",TRIM(INDEX(ERP資料!$E:$E, (MATCH(419, 輔助計算!$F$2:$F$801, 0)+1)))), "")</f>
        <v/>
      </c>
      <c r="E420" s="10">
        <f>IFERROR(IF(INDEX(ERP資料!$F:$F, (MATCH(419, 輔助計算!$F$2:$F$801, 0)+1))="","",INDEX(ERP資料!$F:$F, (MATCH(419, 輔助計算!$F$2:$F$801, 0)+1))), "")</f>
        <v/>
      </c>
      <c r="F420" s="10">
        <f>IFERROR(IF(INDEX(ERP資料!$G:$G, (MATCH(419, 輔助計算!$F$2:$F$801, 0)+1))="","",INDEX(ERP資料!$G:$G, (MATCH(419, 輔助計算!$F$2:$F$801, 0)+1))), "")</f>
        <v/>
      </c>
      <c r="G420" s="10">
        <f>IFERROR(IF(INDEX(ERP資料!$H:$H, (MATCH(419, 輔助計算!$F$2:$F$801, 0)+1))="","",INDEX(ERP資料!$H:$H, (MATCH(419, 輔助計算!$F$2:$F$801, 0)+1))), "")</f>
        <v/>
      </c>
      <c r="H420" s="10">
        <f>IFERROR(IF(INDEX(ERP資料!$O:$O, (MATCH(419, 輔助計算!$F$2:$F$801, 0)+1))="","",INDEX(ERP資料!$O:$O, (MATCH(419, 輔助計算!$F$2:$F$801, 0)+1))), "")</f>
        <v/>
      </c>
      <c r="I420" s="15">
        <f>IFERROR(IF(INDEX(輔助計算!$D:$D,(MATCH(419, 輔助計算!$F$2:$F$801, 0)+1))="","",INDEX(輔助計算!$D:$D,(MATCH(419, 輔助計算!$F$2:$F$801, 0)+1))*INDEX(ERP資料!$O:$O,(MATCH(419, 輔助計算!$F$2:$F$801, 0)+1))), "")</f>
        <v/>
      </c>
      <c r="J420" s="16" t="n"/>
      <c r="K420" s="15">
        <f>IFERROR(INDEX(輔助計算!$D:$D, (MATCH(419, 輔助計算!$F$2:$F$801, 0)+1)), "")</f>
        <v/>
      </c>
      <c r="L420" s="16">
        <f>IFERROR(IF(AND(IFERROR(VLOOKUP(LEFT(INDEX(ERP資料!$S:$S, (MATCH(419, 輔助計算!$F$2:$F$801, 0)+1)), 4), 100張客戶!$A:$A, 1, FALSE), "")&lt;&gt;"", OR(INDEX(ERP資料!$F:$F, (MATCH(419, 輔助計算!$F$2:$F$801, 0)+1))=270, INDEX(ERP資料!$F:$F, (MATCH(419, 輔助計算!$F$2:$F$801, 0)+1))=300)), "100張", ""), "")</f>
        <v/>
      </c>
      <c r="M420" s="17" t="n"/>
      <c r="N420" s="17">
        <f>IF($F420="","",$F420)</f>
        <v/>
      </c>
      <c r="O420" s="17">
        <f>IF($G420="","",$G420)</f>
        <v/>
      </c>
      <c r="P420" s="17">
        <f>IF($K420="","",$K420)</f>
        <v/>
      </c>
      <c r="Q420" s="16" t="n"/>
      <c r="R420" s="18" t="n"/>
      <c r="S420" s="16" t="n"/>
    </row>
    <row r="421">
      <c r="A421" s="14">
        <f>IFERROR(IF(AND(IFERROR(INDEX(ERP資料!$A:$A, (MATCH(420, 輔助計算!$F$2:$F$801, 0)+1)), "")&lt;&gt;"", IFERROR(INDEX(ERP資料!$A:$A, (MATCH(420, 輔助計算!$F$2:$F$801, 0)+1)), "")&lt;&gt;IFERROR(INDEX(ERP資料!$A:$A, MATCH(419, 輔助計算!$F$2:$F$801, 0)+1), "")), INDEX(ERP資料!$B:$B, (MATCH(420, 輔助計算!$F$2:$F$801, 0)+1)), ""), "")</f>
        <v/>
      </c>
      <c r="B421" s="10">
        <f>IFERROR(IF(AND(IFERROR(INDEX(ERP資料!$A:$A, (MATCH(420, 輔助計算!$F$2:$F$801, 0)+1)), "")&lt;&gt;"", IFERROR(INDEX(ERP資料!$A:$A, (MATCH(420, 輔助計算!$F$2:$F$801, 0)+1)), "")&lt;&gt;IFERROR(INDEX(ERP資料!$A:$A, MATCH(419, 輔助計算!$F$2:$F$801, 0)+1), "")), IFERROR(INDEX(ERP資料!$A:$A, (MATCH(420, 輔助計算!$F$2:$F$801, 0)+1)), ""), ""), "")</f>
        <v/>
      </c>
      <c r="C421" s="10">
        <f>IFERROR(IF(AND(IFERROR(INDEX(ERP資料!$A:$A, (MATCH(420, 輔助計算!$F$2:$F$801, 0)+1)), "")&lt;&gt;"", IFERROR(INDEX(ERP資料!$A:$A, (MATCH(420, 輔助計算!$F$2:$F$801, 0)+1)), "")&lt;&gt;IFERROR(INDEX(ERP資料!$A:$A, MATCH(419, 輔助計算!$F$2:$F$801, 0)+1), "")), INDEX(ERP資料!$S:$S, (MATCH(420, 輔助計算!$F$2:$F$801, 0)+1)), ""), "")</f>
        <v/>
      </c>
      <c r="D421" s="10">
        <f>IFERROR(IF(INDEX(ERP資料!$E:$E, (MATCH(420, 輔助計算!$F$2:$F$801, 0)+1))="","",TRIM(INDEX(ERP資料!$E:$E, (MATCH(420, 輔助計算!$F$2:$F$801, 0)+1)))), "")</f>
        <v/>
      </c>
      <c r="E421" s="10">
        <f>IFERROR(IF(INDEX(ERP資料!$F:$F, (MATCH(420, 輔助計算!$F$2:$F$801, 0)+1))="","",INDEX(ERP資料!$F:$F, (MATCH(420, 輔助計算!$F$2:$F$801, 0)+1))), "")</f>
        <v/>
      </c>
      <c r="F421" s="10">
        <f>IFERROR(IF(INDEX(ERP資料!$G:$G, (MATCH(420, 輔助計算!$F$2:$F$801, 0)+1))="","",INDEX(ERP資料!$G:$G, (MATCH(420, 輔助計算!$F$2:$F$801, 0)+1))), "")</f>
        <v/>
      </c>
      <c r="G421" s="10">
        <f>IFERROR(IF(INDEX(ERP資料!$H:$H, (MATCH(420, 輔助計算!$F$2:$F$801, 0)+1))="","",INDEX(ERP資料!$H:$H, (MATCH(420, 輔助計算!$F$2:$F$801, 0)+1))), "")</f>
        <v/>
      </c>
      <c r="H421" s="10">
        <f>IFERROR(IF(INDEX(ERP資料!$O:$O, (MATCH(420, 輔助計算!$F$2:$F$801, 0)+1))="","",INDEX(ERP資料!$O:$O, (MATCH(420, 輔助計算!$F$2:$F$801, 0)+1))), "")</f>
        <v/>
      </c>
      <c r="I421" s="15">
        <f>IFERROR(IF(INDEX(輔助計算!$D:$D,(MATCH(420, 輔助計算!$F$2:$F$801, 0)+1))="","",INDEX(輔助計算!$D:$D,(MATCH(420, 輔助計算!$F$2:$F$801, 0)+1))*INDEX(ERP資料!$O:$O,(MATCH(420, 輔助計算!$F$2:$F$801, 0)+1))), "")</f>
        <v/>
      </c>
      <c r="J421" s="16" t="n"/>
      <c r="K421" s="15">
        <f>IFERROR(INDEX(輔助計算!$D:$D, (MATCH(420, 輔助計算!$F$2:$F$801, 0)+1)), "")</f>
        <v/>
      </c>
      <c r="L421" s="16">
        <f>IFERROR(IF(AND(IFERROR(VLOOKUP(LEFT(INDEX(ERP資料!$S:$S, (MATCH(420, 輔助計算!$F$2:$F$801, 0)+1)), 4), 100張客戶!$A:$A, 1, FALSE), "")&lt;&gt;"", OR(INDEX(ERP資料!$F:$F, (MATCH(420, 輔助計算!$F$2:$F$801, 0)+1))=270, INDEX(ERP資料!$F:$F, (MATCH(420, 輔助計算!$F$2:$F$801, 0)+1))=300)), "100張", ""), "")</f>
        <v/>
      </c>
      <c r="M421" s="17" t="n"/>
      <c r="N421" s="17">
        <f>IF($F421="","",$F421)</f>
        <v/>
      </c>
      <c r="O421" s="17">
        <f>IF($G421="","",$G421)</f>
        <v/>
      </c>
      <c r="P421" s="17">
        <f>IF($K421="","",$K421)</f>
        <v/>
      </c>
      <c r="Q421" s="16" t="n"/>
      <c r="R421" s="18" t="n"/>
      <c r="S421" s="16" t="n"/>
    </row>
    <row r="422">
      <c r="A422" s="14">
        <f>IFERROR(IF(AND(IFERROR(INDEX(ERP資料!$A:$A, (MATCH(421, 輔助計算!$F$2:$F$801, 0)+1)), "")&lt;&gt;"", IFERROR(INDEX(ERP資料!$A:$A, (MATCH(421, 輔助計算!$F$2:$F$801, 0)+1)), "")&lt;&gt;IFERROR(INDEX(ERP資料!$A:$A, MATCH(420, 輔助計算!$F$2:$F$801, 0)+1), "")), INDEX(ERP資料!$B:$B, (MATCH(421, 輔助計算!$F$2:$F$801, 0)+1)), ""), "")</f>
        <v/>
      </c>
      <c r="B422" s="10">
        <f>IFERROR(IF(AND(IFERROR(INDEX(ERP資料!$A:$A, (MATCH(421, 輔助計算!$F$2:$F$801, 0)+1)), "")&lt;&gt;"", IFERROR(INDEX(ERP資料!$A:$A, (MATCH(421, 輔助計算!$F$2:$F$801, 0)+1)), "")&lt;&gt;IFERROR(INDEX(ERP資料!$A:$A, MATCH(420, 輔助計算!$F$2:$F$801, 0)+1), "")), IFERROR(INDEX(ERP資料!$A:$A, (MATCH(421, 輔助計算!$F$2:$F$801, 0)+1)), ""), ""), "")</f>
        <v/>
      </c>
      <c r="C422" s="10">
        <f>IFERROR(IF(AND(IFERROR(INDEX(ERP資料!$A:$A, (MATCH(421, 輔助計算!$F$2:$F$801, 0)+1)), "")&lt;&gt;"", IFERROR(INDEX(ERP資料!$A:$A, (MATCH(421, 輔助計算!$F$2:$F$801, 0)+1)), "")&lt;&gt;IFERROR(INDEX(ERP資料!$A:$A, MATCH(420, 輔助計算!$F$2:$F$801, 0)+1), "")), INDEX(ERP資料!$S:$S, (MATCH(421, 輔助計算!$F$2:$F$801, 0)+1)), ""), "")</f>
        <v/>
      </c>
      <c r="D422" s="10">
        <f>IFERROR(IF(INDEX(ERP資料!$E:$E, (MATCH(421, 輔助計算!$F$2:$F$801, 0)+1))="","",TRIM(INDEX(ERP資料!$E:$E, (MATCH(421, 輔助計算!$F$2:$F$801, 0)+1)))), "")</f>
        <v/>
      </c>
      <c r="E422" s="10">
        <f>IFERROR(IF(INDEX(ERP資料!$F:$F, (MATCH(421, 輔助計算!$F$2:$F$801, 0)+1))="","",INDEX(ERP資料!$F:$F, (MATCH(421, 輔助計算!$F$2:$F$801, 0)+1))), "")</f>
        <v/>
      </c>
      <c r="F422" s="10">
        <f>IFERROR(IF(INDEX(ERP資料!$G:$G, (MATCH(421, 輔助計算!$F$2:$F$801, 0)+1))="","",INDEX(ERP資料!$G:$G, (MATCH(421, 輔助計算!$F$2:$F$801, 0)+1))), "")</f>
        <v/>
      </c>
      <c r="G422" s="10">
        <f>IFERROR(IF(INDEX(ERP資料!$H:$H, (MATCH(421, 輔助計算!$F$2:$F$801, 0)+1))="","",INDEX(ERP資料!$H:$H, (MATCH(421, 輔助計算!$F$2:$F$801, 0)+1))), "")</f>
        <v/>
      </c>
      <c r="H422" s="10">
        <f>IFERROR(IF(INDEX(ERP資料!$O:$O, (MATCH(421, 輔助計算!$F$2:$F$801, 0)+1))="","",INDEX(ERP資料!$O:$O, (MATCH(421, 輔助計算!$F$2:$F$801, 0)+1))), "")</f>
        <v/>
      </c>
      <c r="I422" s="15">
        <f>IFERROR(IF(INDEX(輔助計算!$D:$D,(MATCH(421, 輔助計算!$F$2:$F$801, 0)+1))="","",INDEX(輔助計算!$D:$D,(MATCH(421, 輔助計算!$F$2:$F$801, 0)+1))*INDEX(ERP資料!$O:$O,(MATCH(421, 輔助計算!$F$2:$F$801, 0)+1))), "")</f>
        <v/>
      </c>
      <c r="J422" s="16" t="n"/>
      <c r="K422" s="15">
        <f>IFERROR(INDEX(輔助計算!$D:$D, (MATCH(421, 輔助計算!$F$2:$F$801, 0)+1)), "")</f>
        <v/>
      </c>
      <c r="L422" s="16">
        <f>IFERROR(IF(AND(IFERROR(VLOOKUP(LEFT(INDEX(ERP資料!$S:$S, (MATCH(421, 輔助計算!$F$2:$F$801, 0)+1)), 4), 100張客戶!$A:$A, 1, FALSE), "")&lt;&gt;"", OR(INDEX(ERP資料!$F:$F, (MATCH(421, 輔助計算!$F$2:$F$801, 0)+1))=270, INDEX(ERP資料!$F:$F, (MATCH(421, 輔助計算!$F$2:$F$801, 0)+1))=300)), "100張", ""), "")</f>
        <v/>
      </c>
      <c r="M422" s="17" t="n"/>
      <c r="N422" s="17">
        <f>IF($F422="","",$F422)</f>
        <v/>
      </c>
      <c r="O422" s="17">
        <f>IF($G422="","",$G422)</f>
        <v/>
      </c>
      <c r="P422" s="17">
        <f>IF($K422="","",$K422)</f>
        <v/>
      </c>
      <c r="Q422" s="16" t="n"/>
      <c r="R422" s="18" t="n"/>
      <c r="S422" s="16" t="n"/>
    </row>
    <row r="423">
      <c r="A423" s="14">
        <f>IFERROR(IF(AND(IFERROR(INDEX(ERP資料!$A:$A, (MATCH(422, 輔助計算!$F$2:$F$801, 0)+1)), "")&lt;&gt;"", IFERROR(INDEX(ERP資料!$A:$A, (MATCH(422, 輔助計算!$F$2:$F$801, 0)+1)), "")&lt;&gt;IFERROR(INDEX(ERP資料!$A:$A, MATCH(421, 輔助計算!$F$2:$F$801, 0)+1), "")), INDEX(ERP資料!$B:$B, (MATCH(422, 輔助計算!$F$2:$F$801, 0)+1)), ""), "")</f>
        <v/>
      </c>
      <c r="B423" s="10">
        <f>IFERROR(IF(AND(IFERROR(INDEX(ERP資料!$A:$A, (MATCH(422, 輔助計算!$F$2:$F$801, 0)+1)), "")&lt;&gt;"", IFERROR(INDEX(ERP資料!$A:$A, (MATCH(422, 輔助計算!$F$2:$F$801, 0)+1)), "")&lt;&gt;IFERROR(INDEX(ERP資料!$A:$A, MATCH(421, 輔助計算!$F$2:$F$801, 0)+1), "")), IFERROR(INDEX(ERP資料!$A:$A, (MATCH(422, 輔助計算!$F$2:$F$801, 0)+1)), ""), ""), "")</f>
        <v/>
      </c>
      <c r="C423" s="10">
        <f>IFERROR(IF(AND(IFERROR(INDEX(ERP資料!$A:$A, (MATCH(422, 輔助計算!$F$2:$F$801, 0)+1)), "")&lt;&gt;"", IFERROR(INDEX(ERP資料!$A:$A, (MATCH(422, 輔助計算!$F$2:$F$801, 0)+1)), "")&lt;&gt;IFERROR(INDEX(ERP資料!$A:$A, MATCH(421, 輔助計算!$F$2:$F$801, 0)+1), "")), INDEX(ERP資料!$S:$S, (MATCH(422, 輔助計算!$F$2:$F$801, 0)+1)), ""), "")</f>
        <v/>
      </c>
      <c r="D423" s="10">
        <f>IFERROR(IF(INDEX(ERP資料!$E:$E, (MATCH(422, 輔助計算!$F$2:$F$801, 0)+1))="","",TRIM(INDEX(ERP資料!$E:$E, (MATCH(422, 輔助計算!$F$2:$F$801, 0)+1)))), "")</f>
        <v/>
      </c>
      <c r="E423" s="10">
        <f>IFERROR(IF(INDEX(ERP資料!$F:$F, (MATCH(422, 輔助計算!$F$2:$F$801, 0)+1))="","",INDEX(ERP資料!$F:$F, (MATCH(422, 輔助計算!$F$2:$F$801, 0)+1))), "")</f>
        <v/>
      </c>
      <c r="F423" s="10">
        <f>IFERROR(IF(INDEX(ERP資料!$G:$G, (MATCH(422, 輔助計算!$F$2:$F$801, 0)+1))="","",INDEX(ERP資料!$G:$G, (MATCH(422, 輔助計算!$F$2:$F$801, 0)+1))), "")</f>
        <v/>
      </c>
      <c r="G423" s="10">
        <f>IFERROR(IF(INDEX(ERP資料!$H:$H, (MATCH(422, 輔助計算!$F$2:$F$801, 0)+1))="","",INDEX(ERP資料!$H:$H, (MATCH(422, 輔助計算!$F$2:$F$801, 0)+1))), "")</f>
        <v/>
      </c>
      <c r="H423" s="10">
        <f>IFERROR(IF(INDEX(ERP資料!$O:$O, (MATCH(422, 輔助計算!$F$2:$F$801, 0)+1))="","",INDEX(ERP資料!$O:$O, (MATCH(422, 輔助計算!$F$2:$F$801, 0)+1))), "")</f>
        <v/>
      </c>
      <c r="I423" s="15">
        <f>IFERROR(IF(INDEX(輔助計算!$D:$D,(MATCH(422, 輔助計算!$F$2:$F$801, 0)+1))="","",INDEX(輔助計算!$D:$D,(MATCH(422, 輔助計算!$F$2:$F$801, 0)+1))*INDEX(ERP資料!$O:$O,(MATCH(422, 輔助計算!$F$2:$F$801, 0)+1))), "")</f>
        <v/>
      </c>
      <c r="J423" s="16" t="n"/>
      <c r="K423" s="15">
        <f>IFERROR(INDEX(輔助計算!$D:$D, (MATCH(422, 輔助計算!$F$2:$F$801, 0)+1)), "")</f>
        <v/>
      </c>
      <c r="L423" s="16">
        <f>IFERROR(IF(AND(IFERROR(VLOOKUP(LEFT(INDEX(ERP資料!$S:$S, (MATCH(422, 輔助計算!$F$2:$F$801, 0)+1)), 4), 100張客戶!$A:$A, 1, FALSE), "")&lt;&gt;"", OR(INDEX(ERP資料!$F:$F, (MATCH(422, 輔助計算!$F$2:$F$801, 0)+1))=270, INDEX(ERP資料!$F:$F, (MATCH(422, 輔助計算!$F$2:$F$801, 0)+1))=300)), "100張", ""), "")</f>
        <v/>
      </c>
      <c r="M423" s="17" t="n"/>
      <c r="N423" s="17">
        <f>IF($F423="","",$F423)</f>
        <v/>
      </c>
      <c r="O423" s="17">
        <f>IF($G423="","",$G423)</f>
        <v/>
      </c>
      <c r="P423" s="17">
        <f>IF($K423="","",$K423)</f>
        <v/>
      </c>
      <c r="Q423" s="16" t="n"/>
      <c r="R423" s="18" t="n"/>
      <c r="S423" s="16" t="n"/>
    </row>
    <row r="424">
      <c r="A424" s="14">
        <f>IFERROR(IF(AND(IFERROR(INDEX(ERP資料!$A:$A, (MATCH(423, 輔助計算!$F$2:$F$801, 0)+1)), "")&lt;&gt;"", IFERROR(INDEX(ERP資料!$A:$A, (MATCH(423, 輔助計算!$F$2:$F$801, 0)+1)), "")&lt;&gt;IFERROR(INDEX(ERP資料!$A:$A, MATCH(422, 輔助計算!$F$2:$F$801, 0)+1), "")), INDEX(ERP資料!$B:$B, (MATCH(423, 輔助計算!$F$2:$F$801, 0)+1)), ""), "")</f>
        <v/>
      </c>
      <c r="B424" s="10">
        <f>IFERROR(IF(AND(IFERROR(INDEX(ERP資料!$A:$A, (MATCH(423, 輔助計算!$F$2:$F$801, 0)+1)), "")&lt;&gt;"", IFERROR(INDEX(ERP資料!$A:$A, (MATCH(423, 輔助計算!$F$2:$F$801, 0)+1)), "")&lt;&gt;IFERROR(INDEX(ERP資料!$A:$A, MATCH(422, 輔助計算!$F$2:$F$801, 0)+1), "")), IFERROR(INDEX(ERP資料!$A:$A, (MATCH(423, 輔助計算!$F$2:$F$801, 0)+1)), ""), ""), "")</f>
        <v/>
      </c>
      <c r="C424" s="10">
        <f>IFERROR(IF(AND(IFERROR(INDEX(ERP資料!$A:$A, (MATCH(423, 輔助計算!$F$2:$F$801, 0)+1)), "")&lt;&gt;"", IFERROR(INDEX(ERP資料!$A:$A, (MATCH(423, 輔助計算!$F$2:$F$801, 0)+1)), "")&lt;&gt;IFERROR(INDEX(ERP資料!$A:$A, MATCH(422, 輔助計算!$F$2:$F$801, 0)+1), "")), INDEX(ERP資料!$S:$S, (MATCH(423, 輔助計算!$F$2:$F$801, 0)+1)), ""), "")</f>
        <v/>
      </c>
      <c r="D424" s="10">
        <f>IFERROR(IF(INDEX(ERP資料!$E:$E, (MATCH(423, 輔助計算!$F$2:$F$801, 0)+1))="","",TRIM(INDEX(ERP資料!$E:$E, (MATCH(423, 輔助計算!$F$2:$F$801, 0)+1)))), "")</f>
        <v/>
      </c>
      <c r="E424" s="10">
        <f>IFERROR(IF(INDEX(ERP資料!$F:$F, (MATCH(423, 輔助計算!$F$2:$F$801, 0)+1))="","",INDEX(ERP資料!$F:$F, (MATCH(423, 輔助計算!$F$2:$F$801, 0)+1))), "")</f>
        <v/>
      </c>
      <c r="F424" s="10">
        <f>IFERROR(IF(INDEX(ERP資料!$G:$G, (MATCH(423, 輔助計算!$F$2:$F$801, 0)+1))="","",INDEX(ERP資料!$G:$G, (MATCH(423, 輔助計算!$F$2:$F$801, 0)+1))), "")</f>
        <v/>
      </c>
      <c r="G424" s="10">
        <f>IFERROR(IF(INDEX(ERP資料!$H:$H, (MATCH(423, 輔助計算!$F$2:$F$801, 0)+1))="","",INDEX(ERP資料!$H:$H, (MATCH(423, 輔助計算!$F$2:$F$801, 0)+1))), "")</f>
        <v/>
      </c>
      <c r="H424" s="10">
        <f>IFERROR(IF(INDEX(ERP資料!$O:$O, (MATCH(423, 輔助計算!$F$2:$F$801, 0)+1))="","",INDEX(ERP資料!$O:$O, (MATCH(423, 輔助計算!$F$2:$F$801, 0)+1))), "")</f>
        <v/>
      </c>
      <c r="I424" s="15">
        <f>IFERROR(IF(INDEX(輔助計算!$D:$D,(MATCH(423, 輔助計算!$F$2:$F$801, 0)+1))="","",INDEX(輔助計算!$D:$D,(MATCH(423, 輔助計算!$F$2:$F$801, 0)+1))*INDEX(ERP資料!$O:$O,(MATCH(423, 輔助計算!$F$2:$F$801, 0)+1))), "")</f>
        <v/>
      </c>
      <c r="J424" s="16" t="n"/>
      <c r="K424" s="15">
        <f>IFERROR(INDEX(輔助計算!$D:$D, (MATCH(423, 輔助計算!$F$2:$F$801, 0)+1)), "")</f>
        <v/>
      </c>
      <c r="L424" s="16">
        <f>IFERROR(IF(AND(IFERROR(VLOOKUP(LEFT(INDEX(ERP資料!$S:$S, (MATCH(423, 輔助計算!$F$2:$F$801, 0)+1)), 4), 100張客戶!$A:$A, 1, FALSE), "")&lt;&gt;"", OR(INDEX(ERP資料!$F:$F, (MATCH(423, 輔助計算!$F$2:$F$801, 0)+1))=270, INDEX(ERP資料!$F:$F, (MATCH(423, 輔助計算!$F$2:$F$801, 0)+1))=300)), "100張", ""), "")</f>
        <v/>
      </c>
      <c r="M424" s="17" t="n"/>
      <c r="N424" s="17">
        <f>IF($F424="","",$F424)</f>
        <v/>
      </c>
      <c r="O424" s="17">
        <f>IF($G424="","",$G424)</f>
        <v/>
      </c>
      <c r="P424" s="17">
        <f>IF($K424="","",$K424)</f>
        <v/>
      </c>
      <c r="Q424" s="16" t="n"/>
      <c r="R424" s="18" t="n"/>
      <c r="S424" s="16" t="n"/>
    </row>
    <row r="425">
      <c r="A425" s="14">
        <f>IFERROR(IF(AND(IFERROR(INDEX(ERP資料!$A:$A, (MATCH(424, 輔助計算!$F$2:$F$801, 0)+1)), "")&lt;&gt;"", IFERROR(INDEX(ERP資料!$A:$A, (MATCH(424, 輔助計算!$F$2:$F$801, 0)+1)), "")&lt;&gt;IFERROR(INDEX(ERP資料!$A:$A, MATCH(423, 輔助計算!$F$2:$F$801, 0)+1), "")), INDEX(ERP資料!$B:$B, (MATCH(424, 輔助計算!$F$2:$F$801, 0)+1)), ""), "")</f>
        <v/>
      </c>
      <c r="B425" s="10">
        <f>IFERROR(IF(AND(IFERROR(INDEX(ERP資料!$A:$A, (MATCH(424, 輔助計算!$F$2:$F$801, 0)+1)), "")&lt;&gt;"", IFERROR(INDEX(ERP資料!$A:$A, (MATCH(424, 輔助計算!$F$2:$F$801, 0)+1)), "")&lt;&gt;IFERROR(INDEX(ERP資料!$A:$A, MATCH(423, 輔助計算!$F$2:$F$801, 0)+1), "")), IFERROR(INDEX(ERP資料!$A:$A, (MATCH(424, 輔助計算!$F$2:$F$801, 0)+1)), ""), ""), "")</f>
        <v/>
      </c>
      <c r="C425" s="10">
        <f>IFERROR(IF(AND(IFERROR(INDEX(ERP資料!$A:$A, (MATCH(424, 輔助計算!$F$2:$F$801, 0)+1)), "")&lt;&gt;"", IFERROR(INDEX(ERP資料!$A:$A, (MATCH(424, 輔助計算!$F$2:$F$801, 0)+1)), "")&lt;&gt;IFERROR(INDEX(ERP資料!$A:$A, MATCH(423, 輔助計算!$F$2:$F$801, 0)+1), "")), INDEX(ERP資料!$S:$S, (MATCH(424, 輔助計算!$F$2:$F$801, 0)+1)), ""), "")</f>
        <v/>
      </c>
      <c r="D425" s="10">
        <f>IFERROR(IF(INDEX(ERP資料!$E:$E, (MATCH(424, 輔助計算!$F$2:$F$801, 0)+1))="","",TRIM(INDEX(ERP資料!$E:$E, (MATCH(424, 輔助計算!$F$2:$F$801, 0)+1)))), "")</f>
        <v/>
      </c>
      <c r="E425" s="10">
        <f>IFERROR(IF(INDEX(ERP資料!$F:$F, (MATCH(424, 輔助計算!$F$2:$F$801, 0)+1))="","",INDEX(ERP資料!$F:$F, (MATCH(424, 輔助計算!$F$2:$F$801, 0)+1))), "")</f>
        <v/>
      </c>
      <c r="F425" s="10">
        <f>IFERROR(IF(INDEX(ERP資料!$G:$G, (MATCH(424, 輔助計算!$F$2:$F$801, 0)+1))="","",INDEX(ERP資料!$G:$G, (MATCH(424, 輔助計算!$F$2:$F$801, 0)+1))), "")</f>
        <v/>
      </c>
      <c r="G425" s="10">
        <f>IFERROR(IF(INDEX(ERP資料!$H:$H, (MATCH(424, 輔助計算!$F$2:$F$801, 0)+1))="","",INDEX(ERP資料!$H:$H, (MATCH(424, 輔助計算!$F$2:$F$801, 0)+1))), "")</f>
        <v/>
      </c>
      <c r="H425" s="10">
        <f>IFERROR(IF(INDEX(ERP資料!$O:$O, (MATCH(424, 輔助計算!$F$2:$F$801, 0)+1))="","",INDEX(ERP資料!$O:$O, (MATCH(424, 輔助計算!$F$2:$F$801, 0)+1))), "")</f>
        <v/>
      </c>
      <c r="I425" s="15">
        <f>IFERROR(IF(INDEX(輔助計算!$D:$D,(MATCH(424, 輔助計算!$F$2:$F$801, 0)+1))="","",INDEX(輔助計算!$D:$D,(MATCH(424, 輔助計算!$F$2:$F$801, 0)+1))*INDEX(ERP資料!$O:$O,(MATCH(424, 輔助計算!$F$2:$F$801, 0)+1))), "")</f>
        <v/>
      </c>
      <c r="J425" s="16" t="n"/>
      <c r="K425" s="15">
        <f>IFERROR(INDEX(輔助計算!$D:$D, (MATCH(424, 輔助計算!$F$2:$F$801, 0)+1)), "")</f>
        <v/>
      </c>
      <c r="L425" s="16">
        <f>IFERROR(IF(AND(IFERROR(VLOOKUP(LEFT(INDEX(ERP資料!$S:$S, (MATCH(424, 輔助計算!$F$2:$F$801, 0)+1)), 4), 100張客戶!$A:$A, 1, FALSE), "")&lt;&gt;"", OR(INDEX(ERP資料!$F:$F, (MATCH(424, 輔助計算!$F$2:$F$801, 0)+1))=270, INDEX(ERP資料!$F:$F, (MATCH(424, 輔助計算!$F$2:$F$801, 0)+1))=300)), "100張", ""), "")</f>
        <v/>
      </c>
      <c r="M425" s="17" t="n"/>
      <c r="N425" s="17">
        <f>IF($F425="","",$F425)</f>
        <v/>
      </c>
      <c r="O425" s="17">
        <f>IF($G425="","",$G425)</f>
        <v/>
      </c>
      <c r="P425" s="17">
        <f>IF($K425="","",$K425)</f>
        <v/>
      </c>
      <c r="Q425" s="16" t="n"/>
      <c r="R425" s="18" t="n"/>
      <c r="S425" s="16" t="n"/>
    </row>
    <row r="426">
      <c r="A426" s="14">
        <f>IFERROR(IF(AND(IFERROR(INDEX(ERP資料!$A:$A, (MATCH(425, 輔助計算!$F$2:$F$801, 0)+1)), "")&lt;&gt;"", IFERROR(INDEX(ERP資料!$A:$A, (MATCH(425, 輔助計算!$F$2:$F$801, 0)+1)), "")&lt;&gt;IFERROR(INDEX(ERP資料!$A:$A, MATCH(424, 輔助計算!$F$2:$F$801, 0)+1), "")), INDEX(ERP資料!$B:$B, (MATCH(425, 輔助計算!$F$2:$F$801, 0)+1)), ""), "")</f>
        <v/>
      </c>
      <c r="B426" s="10">
        <f>IFERROR(IF(AND(IFERROR(INDEX(ERP資料!$A:$A, (MATCH(425, 輔助計算!$F$2:$F$801, 0)+1)), "")&lt;&gt;"", IFERROR(INDEX(ERP資料!$A:$A, (MATCH(425, 輔助計算!$F$2:$F$801, 0)+1)), "")&lt;&gt;IFERROR(INDEX(ERP資料!$A:$A, MATCH(424, 輔助計算!$F$2:$F$801, 0)+1), "")), IFERROR(INDEX(ERP資料!$A:$A, (MATCH(425, 輔助計算!$F$2:$F$801, 0)+1)), ""), ""), "")</f>
        <v/>
      </c>
      <c r="C426" s="10">
        <f>IFERROR(IF(AND(IFERROR(INDEX(ERP資料!$A:$A, (MATCH(425, 輔助計算!$F$2:$F$801, 0)+1)), "")&lt;&gt;"", IFERROR(INDEX(ERP資料!$A:$A, (MATCH(425, 輔助計算!$F$2:$F$801, 0)+1)), "")&lt;&gt;IFERROR(INDEX(ERP資料!$A:$A, MATCH(424, 輔助計算!$F$2:$F$801, 0)+1), "")), INDEX(ERP資料!$S:$S, (MATCH(425, 輔助計算!$F$2:$F$801, 0)+1)), ""), "")</f>
        <v/>
      </c>
      <c r="D426" s="10">
        <f>IFERROR(IF(INDEX(ERP資料!$E:$E, (MATCH(425, 輔助計算!$F$2:$F$801, 0)+1))="","",TRIM(INDEX(ERP資料!$E:$E, (MATCH(425, 輔助計算!$F$2:$F$801, 0)+1)))), "")</f>
        <v/>
      </c>
      <c r="E426" s="10">
        <f>IFERROR(IF(INDEX(ERP資料!$F:$F, (MATCH(425, 輔助計算!$F$2:$F$801, 0)+1))="","",INDEX(ERP資料!$F:$F, (MATCH(425, 輔助計算!$F$2:$F$801, 0)+1))), "")</f>
        <v/>
      </c>
      <c r="F426" s="10">
        <f>IFERROR(IF(INDEX(ERP資料!$G:$G, (MATCH(425, 輔助計算!$F$2:$F$801, 0)+1))="","",INDEX(ERP資料!$G:$G, (MATCH(425, 輔助計算!$F$2:$F$801, 0)+1))), "")</f>
        <v/>
      </c>
      <c r="G426" s="10">
        <f>IFERROR(IF(INDEX(ERP資料!$H:$H, (MATCH(425, 輔助計算!$F$2:$F$801, 0)+1))="","",INDEX(ERP資料!$H:$H, (MATCH(425, 輔助計算!$F$2:$F$801, 0)+1))), "")</f>
        <v/>
      </c>
      <c r="H426" s="10">
        <f>IFERROR(IF(INDEX(ERP資料!$O:$O, (MATCH(425, 輔助計算!$F$2:$F$801, 0)+1))="","",INDEX(ERP資料!$O:$O, (MATCH(425, 輔助計算!$F$2:$F$801, 0)+1))), "")</f>
        <v/>
      </c>
      <c r="I426" s="15">
        <f>IFERROR(IF(INDEX(輔助計算!$D:$D,(MATCH(425, 輔助計算!$F$2:$F$801, 0)+1))="","",INDEX(輔助計算!$D:$D,(MATCH(425, 輔助計算!$F$2:$F$801, 0)+1))*INDEX(ERP資料!$O:$O,(MATCH(425, 輔助計算!$F$2:$F$801, 0)+1))), "")</f>
        <v/>
      </c>
      <c r="J426" s="16" t="n"/>
      <c r="K426" s="15">
        <f>IFERROR(INDEX(輔助計算!$D:$D, (MATCH(425, 輔助計算!$F$2:$F$801, 0)+1)), "")</f>
        <v/>
      </c>
      <c r="L426" s="16">
        <f>IFERROR(IF(AND(IFERROR(VLOOKUP(LEFT(INDEX(ERP資料!$S:$S, (MATCH(425, 輔助計算!$F$2:$F$801, 0)+1)), 4), 100張客戶!$A:$A, 1, FALSE), "")&lt;&gt;"", OR(INDEX(ERP資料!$F:$F, (MATCH(425, 輔助計算!$F$2:$F$801, 0)+1))=270, INDEX(ERP資料!$F:$F, (MATCH(425, 輔助計算!$F$2:$F$801, 0)+1))=300)), "100張", ""), "")</f>
        <v/>
      </c>
      <c r="M426" s="17" t="n"/>
      <c r="N426" s="17">
        <f>IF($F426="","",$F426)</f>
        <v/>
      </c>
      <c r="O426" s="17">
        <f>IF($G426="","",$G426)</f>
        <v/>
      </c>
      <c r="P426" s="17">
        <f>IF($K426="","",$K426)</f>
        <v/>
      </c>
      <c r="Q426" s="16" t="n"/>
      <c r="R426" s="18" t="n"/>
      <c r="S426" s="16" t="n"/>
    </row>
    <row r="427">
      <c r="A427" s="14">
        <f>IFERROR(IF(AND(IFERROR(INDEX(ERP資料!$A:$A, (MATCH(426, 輔助計算!$F$2:$F$801, 0)+1)), "")&lt;&gt;"", IFERROR(INDEX(ERP資料!$A:$A, (MATCH(426, 輔助計算!$F$2:$F$801, 0)+1)), "")&lt;&gt;IFERROR(INDEX(ERP資料!$A:$A, MATCH(425, 輔助計算!$F$2:$F$801, 0)+1), "")), INDEX(ERP資料!$B:$B, (MATCH(426, 輔助計算!$F$2:$F$801, 0)+1)), ""), "")</f>
        <v/>
      </c>
      <c r="B427" s="10">
        <f>IFERROR(IF(AND(IFERROR(INDEX(ERP資料!$A:$A, (MATCH(426, 輔助計算!$F$2:$F$801, 0)+1)), "")&lt;&gt;"", IFERROR(INDEX(ERP資料!$A:$A, (MATCH(426, 輔助計算!$F$2:$F$801, 0)+1)), "")&lt;&gt;IFERROR(INDEX(ERP資料!$A:$A, MATCH(425, 輔助計算!$F$2:$F$801, 0)+1), "")), IFERROR(INDEX(ERP資料!$A:$A, (MATCH(426, 輔助計算!$F$2:$F$801, 0)+1)), ""), ""), "")</f>
        <v/>
      </c>
      <c r="C427" s="10">
        <f>IFERROR(IF(AND(IFERROR(INDEX(ERP資料!$A:$A, (MATCH(426, 輔助計算!$F$2:$F$801, 0)+1)), "")&lt;&gt;"", IFERROR(INDEX(ERP資料!$A:$A, (MATCH(426, 輔助計算!$F$2:$F$801, 0)+1)), "")&lt;&gt;IFERROR(INDEX(ERP資料!$A:$A, MATCH(425, 輔助計算!$F$2:$F$801, 0)+1), "")), INDEX(ERP資料!$S:$S, (MATCH(426, 輔助計算!$F$2:$F$801, 0)+1)), ""), "")</f>
        <v/>
      </c>
      <c r="D427" s="10">
        <f>IFERROR(IF(INDEX(ERP資料!$E:$E, (MATCH(426, 輔助計算!$F$2:$F$801, 0)+1))="","",TRIM(INDEX(ERP資料!$E:$E, (MATCH(426, 輔助計算!$F$2:$F$801, 0)+1)))), "")</f>
        <v/>
      </c>
      <c r="E427" s="10">
        <f>IFERROR(IF(INDEX(ERP資料!$F:$F, (MATCH(426, 輔助計算!$F$2:$F$801, 0)+1))="","",INDEX(ERP資料!$F:$F, (MATCH(426, 輔助計算!$F$2:$F$801, 0)+1))), "")</f>
        <v/>
      </c>
      <c r="F427" s="10">
        <f>IFERROR(IF(INDEX(ERP資料!$G:$G, (MATCH(426, 輔助計算!$F$2:$F$801, 0)+1))="","",INDEX(ERP資料!$G:$G, (MATCH(426, 輔助計算!$F$2:$F$801, 0)+1))), "")</f>
        <v/>
      </c>
      <c r="G427" s="10">
        <f>IFERROR(IF(INDEX(ERP資料!$H:$H, (MATCH(426, 輔助計算!$F$2:$F$801, 0)+1))="","",INDEX(ERP資料!$H:$H, (MATCH(426, 輔助計算!$F$2:$F$801, 0)+1))), "")</f>
        <v/>
      </c>
      <c r="H427" s="10">
        <f>IFERROR(IF(INDEX(ERP資料!$O:$O, (MATCH(426, 輔助計算!$F$2:$F$801, 0)+1))="","",INDEX(ERP資料!$O:$O, (MATCH(426, 輔助計算!$F$2:$F$801, 0)+1))), "")</f>
        <v/>
      </c>
      <c r="I427" s="15">
        <f>IFERROR(IF(INDEX(輔助計算!$D:$D,(MATCH(426, 輔助計算!$F$2:$F$801, 0)+1))="","",INDEX(輔助計算!$D:$D,(MATCH(426, 輔助計算!$F$2:$F$801, 0)+1))*INDEX(ERP資料!$O:$O,(MATCH(426, 輔助計算!$F$2:$F$801, 0)+1))), "")</f>
        <v/>
      </c>
      <c r="J427" s="16" t="n"/>
      <c r="K427" s="15">
        <f>IFERROR(INDEX(輔助計算!$D:$D, (MATCH(426, 輔助計算!$F$2:$F$801, 0)+1)), "")</f>
        <v/>
      </c>
      <c r="L427" s="16">
        <f>IFERROR(IF(AND(IFERROR(VLOOKUP(LEFT(INDEX(ERP資料!$S:$S, (MATCH(426, 輔助計算!$F$2:$F$801, 0)+1)), 4), 100張客戶!$A:$A, 1, FALSE), "")&lt;&gt;"", OR(INDEX(ERP資料!$F:$F, (MATCH(426, 輔助計算!$F$2:$F$801, 0)+1))=270, INDEX(ERP資料!$F:$F, (MATCH(426, 輔助計算!$F$2:$F$801, 0)+1))=300)), "100張", ""), "")</f>
        <v/>
      </c>
      <c r="M427" s="17" t="n"/>
      <c r="N427" s="17">
        <f>IF($F427="","",$F427)</f>
        <v/>
      </c>
      <c r="O427" s="17">
        <f>IF($G427="","",$G427)</f>
        <v/>
      </c>
      <c r="P427" s="17">
        <f>IF($K427="","",$K427)</f>
        <v/>
      </c>
      <c r="Q427" s="16" t="n"/>
      <c r="R427" s="18" t="n"/>
      <c r="S427" s="16" t="n"/>
    </row>
    <row r="428">
      <c r="A428" s="14">
        <f>IFERROR(IF(AND(IFERROR(INDEX(ERP資料!$A:$A, (MATCH(427, 輔助計算!$F$2:$F$801, 0)+1)), "")&lt;&gt;"", IFERROR(INDEX(ERP資料!$A:$A, (MATCH(427, 輔助計算!$F$2:$F$801, 0)+1)), "")&lt;&gt;IFERROR(INDEX(ERP資料!$A:$A, MATCH(426, 輔助計算!$F$2:$F$801, 0)+1), "")), INDEX(ERP資料!$B:$B, (MATCH(427, 輔助計算!$F$2:$F$801, 0)+1)), ""), "")</f>
        <v/>
      </c>
      <c r="B428" s="10">
        <f>IFERROR(IF(AND(IFERROR(INDEX(ERP資料!$A:$A, (MATCH(427, 輔助計算!$F$2:$F$801, 0)+1)), "")&lt;&gt;"", IFERROR(INDEX(ERP資料!$A:$A, (MATCH(427, 輔助計算!$F$2:$F$801, 0)+1)), "")&lt;&gt;IFERROR(INDEX(ERP資料!$A:$A, MATCH(426, 輔助計算!$F$2:$F$801, 0)+1), "")), IFERROR(INDEX(ERP資料!$A:$A, (MATCH(427, 輔助計算!$F$2:$F$801, 0)+1)), ""), ""), "")</f>
        <v/>
      </c>
      <c r="C428" s="10">
        <f>IFERROR(IF(AND(IFERROR(INDEX(ERP資料!$A:$A, (MATCH(427, 輔助計算!$F$2:$F$801, 0)+1)), "")&lt;&gt;"", IFERROR(INDEX(ERP資料!$A:$A, (MATCH(427, 輔助計算!$F$2:$F$801, 0)+1)), "")&lt;&gt;IFERROR(INDEX(ERP資料!$A:$A, MATCH(426, 輔助計算!$F$2:$F$801, 0)+1), "")), INDEX(ERP資料!$S:$S, (MATCH(427, 輔助計算!$F$2:$F$801, 0)+1)), ""), "")</f>
        <v/>
      </c>
      <c r="D428" s="10">
        <f>IFERROR(IF(INDEX(ERP資料!$E:$E, (MATCH(427, 輔助計算!$F$2:$F$801, 0)+1))="","",TRIM(INDEX(ERP資料!$E:$E, (MATCH(427, 輔助計算!$F$2:$F$801, 0)+1)))), "")</f>
        <v/>
      </c>
      <c r="E428" s="10">
        <f>IFERROR(IF(INDEX(ERP資料!$F:$F, (MATCH(427, 輔助計算!$F$2:$F$801, 0)+1))="","",INDEX(ERP資料!$F:$F, (MATCH(427, 輔助計算!$F$2:$F$801, 0)+1))), "")</f>
        <v/>
      </c>
      <c r="F428" s="10">
        <f>IFERROR(IF(INDEX(ERP資料!$G:$G, (MATCH(427, 輔助計算!$F$2:$F$801, 0)+1))="","",INDEX(ERP資料!$G:$G, (MATCH(427, 輔助計算!$F$2:$F$801, 0)+1))), "")</f>
        <v/>
      </c>
      <c r="G428" s="10">
        <f>IFERROR(IF(INDEX(ERP資料!$H:$H, (MATCH(427, 輔助計算!$F$2:$F$801, 0)+1))="","",INDEX(ERP資料!$H:$H, (MATCH(427, 輔助計算!$F$2:$F$801, 0)+1))), "")</f>
        <v/>
      </c>
      <c r="H428" s="10">
        <f>IFERROR(IF(INDEX(ERP資料!$O:$O, (MATCH(427, 輔助計算!$F$2:$F$801, 0)+1))="","",INDEX(ERP資料!$O:$O, (MATCH(427, 輔助計算!$F$2:$F$801, 0)+1))), "")</f>
        <v/>
      </c>
      <c r="I428" s="15">
        <f>IFERROR(IF(INDEX(輔助計算!$D:$D,(MATCH(427, 輔助計算!$F$2:$F$801, 0)+1))="","",INDEX(輔助計算!$D:$D,(MATCH(427, 輔助計算!$F$2:$F$801, 0)+1))*INDEX(ERP資料!$O:$O,(MATCH(427, 輔助計算!$F$2:$F$801, 0)+1))), "")</f>
        <v/>
      </c>
      <c r="J428" s="16" t="n"/>
      <c r="K428" s="15">
        <f>IFERROR(INDEX(輔助計算!$D:$D, (MATCH(427, 輔助計算!$F$2:$F$801, 0)+1)), "")</f>
        <v/>
      </c>
      <c r="L428" s="16">
        <f>IFERROR(IF(AND(IFERROR(VLOOKUP(LEFT(INDEX(ERP資料!$S:$S, (MATCH(427, 輔助計算!$F$2:$F$801, 0)+1)), 4), 100張客戶!$A:$A, 1, FALSE), "")&lt;&gt;"", OR(INDEX(ERP資料!$F:$F, (MATCH(427, 輔助計算!$F$2:$F$801, 0)+1))=270, INDEX(ERP資料!$F:$F, (MATCH(427, 輔助計算!$F$2:$F$801, 0)+1))=300)), "100張", ""), "")</f>
        <v/>
      </c>
      <c r="M428" s="17" t="n"/>
      <c r="N428" s="17">
        <f>IF($F428="","",$F428)</f>
        <v/>
      </c>
      <c r="O428" s="17">
        <f>IF($G428="","",$G428)</f>
        <v/>
      </c>
      <c r="P428" s="17">
        <f>IF($K428="","",$K428)</f>
        <v/>
      </c>
      <c r="Q428" s="16" t="n"/>
      <c r="R428" s="18" t="n"/>
      <c r="S428" s="16" t="n"/>
    </row>
    <row r="429">
      <c r="A429" s="14">
        <f>IFERROR(IF(AND(IFERROR(INDEX(ERP資料!$A:$A, (MATCH(428, 輔助計算!$F$2:$F$801, 0)+1)), "")&lt;&gt;"", IFERROR(INDEX(ERP資料!$A:$A, (MATCH(428, 輔助計算!$F$2:$F$801, 0)+1)), "")&lt;&gt;IFERROR(INDEX(ERP資料!$A:$A, MATCH(427, 輔助計算!$F$2:$F$801, 0)+1), "")), INDEX(ERP資料!$B:$B, (MATCH(428, 輔助計算!$F$2:$F$801, 0)+1)), ""), "")</f>
        <v/>
      </c>
      <c r="B429" s="10">
        <f>IFERROR(IF(AND(IFERROR(INDEX(ERP資料!$A:$A, (MATCH(428, 輔助計算!$F$2:$F$801, 0)+1)), "")&lt;&gt;"", IFERROR(INDEX(ERP資料!$A:$A, (MATCH(428, 輔助計算!$F$2:$F$801, 0)+1)), "")&lt;&gt;IFERROR(INDEX(ERP資料!$A:$A, MATCH(427, 輔助計算!$F$2:$F$801, 0)+1), "")), IFERROR(INDEX(ERP資料!$A:$A, (MATCH(428, 輔助計算!$F$2:$F$801, 0)+1)), ""), ""), "")</f>
        <v/>
      </c>
      <c r="C429" s="10">
        <f>IFERROR(IF(AND(IFERROR(INDEX(ERP資料!$A:$A, (MATCH(428, 輔助計算!$F$2:$F$801, 0)+1)), "")&lt;&gt;"", IFERROR(INDEX(ERP資料!$A:$A, (MATCH(428, 輔助計算!$F$2:$F$801, 0)+1)), "")&lt;&gt;IFERROR(INDEX(ERP資料!$A:$A, MATCH(427, 輔助計算!$F$2:$F$801, 0)+1), "")), INDEX(ERP資料!$S:$S, (MATCH(428, 輔助計算!$F$2:$F$801, 0)+1)), ""), "")</f>
        <v/>
      </c>
      <c r="D429" s="10">
        <f>IFERROR(IF(INDEX(ERP資料!$E:$E, (MATCH(428, 輔助計算!$F$2:$F$801, 0)+1))="","",TRIM(INDEX(ERP資料!$E:$E, (MATCH(428, 輔助計算!$F$2:$F$801, 0)+1)))), "")</f>
        <v/>
      </c>
      <c r="E429" s="10">
        <f>IFERROR(IF(INDEX(ERP資料!$F:$F, (MATCH(428, 輔助計算!$F$2:$F$801, 0)+1))="","",INDEX(ERP資料!$F:$F, (MATCH(428, 輔助計算!$F$2:$F$801, 0)+1))), "")</f>
        <v/>
      </c>
      <c r="F429" s="10">
        <f>IFERROR(IF(INDEX(ERP資料!$G:$G, (MATCH(428, 輔助計算!$F$2:$F$801, 0)+1))="","",INDEX(ERP資料!$G:$G, (MATCH(428, 輔助計算!$F$2:$F$801, 0)+1))), "")</f>
        <v/>
      </c>
      <c r="G429" s="10">
        <f>IFERROR(IF(INDEX(ERP資料!$H:$H, (MATCH(428, 輔助計算!$F$2:$F$801, 0)+1))="","",INDEX(ERP資料!$H:$H, (MATCH(428, 輔助計算!$F$2:$F$801, 0)+1))), "")</f>
        <v/>
      </c>
      <c r="H429" s="10">
        <f>IFERROR(IF(INDEX(ERP資料!$O:$O, (MATCH(428, 輔助計算!$F$2:$F$801, 0)+1))="","",INDEX(ERP資料!$O:$O, (MATCH(428, 輔助計算!$F$2:$F$801, 0)+1))), "")</f>
        <v/>
      </c>
      <c r="I429" s="15">
        <f>IFERROR(IF(INDEX(輔助計算!$D:$D,(MATCH(428, 輔助計算!$F$2:$F$801, 0)+1))="","",INDEX(輔助計算!$D:$D,(MATCH(428, 輔助計算!$F$2:$F$801, 0)+1))*INDEX(ERP資料!$O:$O,(MATCH(428, 輔助計算!$F$2:$F$801, 0)+1))), "")</f>
        <v/>
      </c>
      <c r="J429" s="16" t="n"/>
      <c r="K429" s="15">
        <f>IFERROR(INDEX(輔助計算!$D:$D, (MATCH(428, 輔助計算!$F$2:$F$801, 0)+1)), "")</f>
        <v/>
      </c>
      <c r="L429" s="16">
        <f>IFERROR(IF(AND(IFERROR(VLOOKUP(LEFT(INDEX(ERP資料!$S:$S, (MATCH(428, 輔助計算!$F$2:$F$801, 0)+1)), 4), 100張客戶!$A:$A, 1, FALSE), "")&lt;&gt;"", OR(INDEX(ERP資料!$F:$F, (MATCH(428, 輔助計算!$F$2:$F$801, 0)+1))=270, INDEX(ERP資料!$F:$F, (MATCH(428, 輔助計算!$F$2:$F$801, 0)+1))=300)), "100張", ""), "")</f>
        <v/>
      </c>
      <c r="M429" s="17" t="n"/>
      <c r="N429" s="17">
        <f>IF($F429="","",$F429)</f>
        <v/>
      </c>
      <c r="O429" s="17">
        <f>IF($G429="","",$G429)</f>
        <v/>
      </c>
      <c r="P429" s="17">
        <f>IF($K429="","",$K429)</f>
        <v/>
      </c>
      <c r="Q429" s="16" t="n"/>
      <c r="R429" s="18" t="n"/>
      <c r="S429" s="16" t="n"/>
    </row>
    <row r="430">
      <c r="A430" s="14">
        <f>IFERROR(IF(AND(IFERROR(INDEX(ERP資料!$A:$A, (MATCH(429, 輔助計算!$F$2:$F$801, 0)+1)), "")&lt;&gt;"", IFERROR(INDEX(ERP資料!$A:$A, (MATCH(429, 輔助計算!$F$2:$F$801, 0)+1)), "")&lt;&gt;IFERROR(INDEX(ERP資料!$A:$A, MATCH(428, 輔助計算!$F$2:$F$801, 0)+1), "")), INDEX(ERP資料!$B:$B, (MATCH(429, 輔助計算!$F$2:$F$801, 0)+1)), ""), "")</f>
        <v/>
      </c>
      <c r="B430" s="10">
        <f>IFERROR(IF(AND(IFERROR(INDEX(ERP資料!$A:$A, (MATCH(429, 輔助計算!$F$2:$F$801, 0)+1)), "")&lt;&gt;"", IFERROR(INDEX(ERP資料!$A:$A, (MATCH(429, 輔助計算!$F$2:$F$801, 0)+1)), "")&lt;&gt;IFERROR(INDEX(ERP資料!$A:$A, MATCH(428, 輔助計算!$F$2:$F$801, 0)+1), "")), IFERROR(INDEX(ERP資料!$A:$A, (MATCH(429, 輔助計算!$F$2:$F$801, 0)+1)), ""), ""), "")</f>
        <v/>
      </c>
      <c r="C430" s="10">
        <f>IFERROR(IF(AND(IFERROR(INDEX(ERP資料!$A:$A, (MATCH(429, 輔助計算!$F$2:$F$801, 0)+1)), "")&lt;&gt;"", IFERROR(INDEX(ERP資料!$A:$A, (MATCH(429, 輔助計算!$F$2:$F$801, 0)+1)), "")&lt;&gt;IFERROR(INDEX(ERP資料!$A:$A, MATCH(428, 輔助計算!$F$2:$F$801, 0)+1), "")), INDEX(ERP資料!$S:$S, (MATCH(429, 輔助計算!$F$2:$F$801, 0)+1)), ""), "")</f>
        <v/>
      </c>
      <c r="D430" s="10">
        <f>IFERROR(IF(INDEX(ERP資料!$E:$E, (MATCH(429, 輔助計算!$F$2:$F$801, 0)+1))="","",TRIM(INDEX(ERP資料!$E:$E, (MATCH(429, 輔助計算!$F$2:$F$801, 0)+1)))), "")</f>
        <v/>
      </c>
      <c r="E430" s="10">
        <f>IFERROR(IF(INDEX(ERP資料!$F:$F, (MATCH(429, 輔助計算!$F$2:$F$801, 0)+1))="","",INDEX(ERP資料!$F:$F, (MATCH(429, 輔助計算!$F$2:$F$801, 0)+1))), "")</f>
        <v/>
      </c>
      <c r="F430" s="10">
        <f>IFERROR(IF(INDEX(ERP資料!$G:$G, (MATCH(429, 輔助計算!$F$2:$F$801, 0)+1))="","",INDEX(ERP資料!$G:$G, (MATCH(429, 輔助計算!$F$2:$F$801, 0)+1))), "")</f>
        <v/>
      </c>
      <c r="G430" s="10">
        <f>IFERROR(IF(INDEX(ERP資料!$H:$H, (MATCH(429, 輔助計算!$F$2:$F$801, 0)+1))="","",INDEX(ERP資料!$H:$H, (MATCH(429, 輔助計算!$F$2:$F$801, 0)+1))), "")</f>
        <v/>
      </c>
      <c r="H430" s="10">
        <f>IFERROR(IF(INDEX(ERP資料!$O:$O, (MATCH(429, 輔助計算!$F$2:$F$801, 0)+1))="","",INDEX(ERP資料!$O:$O, (MATCH(429, 輔助計算!$F$2:$F$801, 0)+1))), "")</f>
        <v/>
      </c>
      <c r="I430" s="15">
        <f>IFERROR(IF(INDEX(輔助計算!$D:$D,(MATCH(429, 輔助計算!$F$2:$F$801, 0)+1))="","",INDEX(輔助計算!$D:$D,(MATCH(429, 輔助計算!$F$2:$F$801, 0)+1))*INDEX(ERP資料!$O:$O,(MATCH(429, 輔助計算!$F$2:$F$801, 0)+1))), "")</f>
        <v/>
      </c>
      <c r="J430" s="16" t="n"/>
      <c r="K430" s="15">
        <f>IFERROR(INDEX(輔助計算!$D:$D, (MATCH(429, 輔助計算!$F$2:$F$801, 0)+1)), "")</f>
        <v/>
      </c>
      <c r="L430" s="16">
        <f>IFERROR(IF(AND(IFERROR(VLOOKUP(LEFT(INDEX(ERP資料!$S:$S, (MATCH(429, 輔助計算!$F$2:$F$801, 0)+1)), 4), 100張客戶!$A:$A, 1, FALSE), "")&lt;&gt;"", OR(INDEX(ERP資料!$F:$F, (MATCH(429, 輔助計算!$F$2:$F$801, 0)+1))=270, INDEX(ERP資料!$F:$F, (MATCH(429, 輔助計算!$F$2:$F$801, 0)+1))=300)), "100張", ""), "")</f>
        <v/>
      </c>
      <c r="M430" s="17" t="n"/>
      <c r="N430" s="17">
        <f>IF($F430="","",$F430)</f>
        <v/>
      </c>
      <c r="O430" s="17">
        <f>IF($G430="","",$G430)</f>
        <v/>
      </c>
      <c r="P430" s="17">
        <f>IF($K430="","",$K430)</f>
        <v/>
      </c>
      <c r="Q430" s="16" t="n"/>
      <c r="R430" s="18" t="n"/>
      <c r="S430" s="16" t="n"/>
    </row>
    <row r="431">
      <c r="A431" s="14">
        <f>IFERROR(IF(AND(IFERROR(INDEX(ERP資料!$A:$A, (MATCH(430, 輔助計算!$F$2:$F$801, 0)+1)), "")&lt;&gt;"", IFERROR(INDEX(ERP資料!$A:$A, (MATCH(430, 輔助計算!$F$2:$F$801, 0)+1)), "")&lt;&gt;IFERROR(INDEX(ERP資料!$A:$A, MATCH(429, 輔助計算!$F$2:$F$801, 0)+1), "")), INDEX(ERP資料!$B:$B, (MATCH(430, 輔助計算!$F$2:$F$801, 0)+1)), ""), "")</f>
        <v/>
      </c>
      <c r="B431" s="10">
        <f>IFERROR(IF(AND(IFERROR(INDEX(ERP資料!$A:$A, (MATCH(430, 輔助計算!$F$2:$F$801, 0)+1)), "")&lt;&gt;"", IFERROR(INDEX(ERP資料!$A:$A, (MATCH(430, 輔助計算!$F$2:$F$801, 0)+1)), "")&lt;&gt;IFERROR(INDEX(ERP資料!$A:$A, MATCH(429, 輔助計算!$F$2:$F$801, 0)+1), "")), IFERROR(INDEX(ERP資料!$A:$A, (MATCH(430, 輔助計算!$F$2:$F$801, 0)+1)), ""), ""), "")</f>
        <v/>
      </c>
      <c r="C431" s="10">
        <f>IFERROR(IF(AND(IFERROR(INDEX(ERP資料!$A:$A, (MATCH(430, 輔助計算!$F$2:$F$801, 0)+1)), "")&lt;&gt;"", IFERROR(INDEX(ERP資料!$A:$A, (MATCH(430, 輔助計算!$F$2:$F$801, 0)+1)), "")&lt;&gt;IFERROR(INDEX(ERP資料!$A:$A, MATCH(429, 輔助計算!$F$2:$F$801, 0)+1), "")), INDEX(ERP資料!$S:$S, (MATCH(430, 輔助計算!$F$2:$F$801, 0)+1)), ""), "")</f>
        <v/>
      </c>
      <c r="D431" s="10">
        <f>IFERROR(IF(INDEX(ERP資料!$E:$E, (MATCH(430, 輔助計算!$F$2:$F$801, 0)+1))="","",TRIM(INDEX(ERP資料!$E:$E, (MATCH(430, 輔助計算!$F$2:$F$801, 0)+1)))), "")</f>
        <v/>
      </c>
      <c r="E431" s="10">
        <f>IFERROR(IF(INDEX(ERP資料!$F:$F, (MATCH(430, 輔助計算!$F$2:$F$801, 0)+1))="","",INDEX(ERP資料!$F:$F, (MATCH(430, 輔助計算!$F$2:$F$801, 0)+1))), "")</f>
        <v/>
      </c>
      <c r="F431" s="10">
        <f>IFERROR(IF(INDEX(ERP資料!$G:$G, (MATCH(430, 輔助計算!$F$2:$F$801, 0)+1))="","",INDEX(ERP資料!$G:$G, (MATCH(430, 輔助計算!$F$2:$F$801, 0)+1))), "")</f>
        <v/>
      </c>
      <c r="G431" s="10">
        <f>IFERROR(IF(INDEX(ERP資料!$H:$H, (MATCH(430, 輔助計算!$F$2:$F$801, 0)+1))="","",INDEX(ERP資料!$H:$H, (MATCH(430, 輔助計算!$F$2:$F$801, 0)+1))), "")</f>
        <v/>
      </c>
      <c r="H431" s="10">
        <f>IFERROR(IF(INDEX(ERP資料!$O:$O, (MATCH(430, 輔助計算!$F$2:$F$801, 0)+1))="","",INDEX(ERP資料!$O:$O, (MATCH(430, 輔助計算!$F$2:$F$801, 0)+1))), "")</f>
        <v/>
      </c>
      <c r="I431" s="15">
        <f>IFERROR(IF(INDEX(輔助計算!$D:$D,(MATCH(430, 輔助計算!$F$2:$F$801, 0)+1))="","",INDEX(輔助計算!$D:$D,(MATCH(430, 輔助計算!$F$2:$F$801, 0)+1))*INDEX(ERP資料!$O:$O,(MATCH(430, 輔助計算!$F$2:$F$801, 0)+1))), "")</f>
        <v/>
      </c>
      <c r="J431" s="16" t="n"/>
      <c r="K431" s="15">
        <f>IFERROR(INDEX(輔助計算!$D:$D, (MATCH(430, 輔助計算!$F$2:$F$801, 0)+1)), "")</f>
        <v/>
      </c>
      <c r="L431" s="16">
        <f>IFERROR(IF(AND(IFERROR(VLOOKUP(LEFT(INDEX(ERP資料!$S:$S, (MATCH(430, 輔助計算!$F$2:$F$801, 0)+1)), 4), 100張客戶!$A:$A, 1, FALSE), "")&lt;&gt;"", OR(INDEX(ERP資料!$F:$F, (MATCH(430, 輔助計算!$F$2:$F$801, 0)+1))=270, INDEX(ERP資料!$F:$F, (MATCH(430, 輔助計算!$F$2:$F$801, 0)+1))=300)), "100張", ""), "")</f>
        <v/>
      </c>
      <c r="M431" s="17" t="n"/>
      <c r="N431" s="17">
        <f>IF($F431="","",$F431)</f>
        <v/>
      </c>
      <c r="O431" s="17">
        <f>IF($G431="","",$G431)</f>
        <v/>
      </c>
      <c r="P431" s="17">
        <f>IF($K431="","",$K431)</f>
        <v/>
      </c>
      <c r="Q431" s="16" t="n"/>
      <c r="R431" s="18" t="n"/>
      <c r="S431" s="16" t="n"/>
    </row>
    <row r="432">
      <c r="A432" s="14">
        <f>IFERROR(IF(AND(IFERROR(INDEX(ERP資料!$A:$A, (MATCH(431, 輔助計算!$F$2:$F$801, 0)+1)), "")&lt;&gt;"", IFERROR(INDEX(ERP資料!$A:$A, (MATCH(431, 輔助計算!$F$2:$F$801, 0)+1)), "")&lt;&gt;IFERROR(INDEX(ERP資料!$A:$A, MATCH(430, 輔助計算!$F$2:$F$801, 0)+1), "")), INDEX(ERP資料!$B:$B, (MATCH(431, 輔助計算!$F$2:$F$801, 0)+1)), ""), "")</f>
        <v/>
      </c>
      <c r="B432" s="10">
        <f>IFERROR(IF(AND(IFERROR(INDEX(ERP資料!$A:$A, (MATCH(431, 輔助計算!$F$2:$F$801, 0)+1)), "")&lt;&gt;"", IFERROR(INDEX(ERP資料!$A:$A, (MATCH(431, 輔助計算!$F$2:$F$801, 0)+1)), "")&lt;&gt;IFERROR(INDEX(ERP資料!$A:$A, MATCH(430, 輔助計算!$F$2:$F$801, 0)+1), "")), IFERROR(INDEX(ERP資料!$A:$A, (MATCH(431, 輔助計算!$F$2:$F$801, 0)+1)), ""), ""), "")</f>
        <v/>
      </c>
      <c r="C432" s="10">
        <f>IFERROR(IF(AND(IFERROR(INDEX(ERP資料!$A:$A, (MATCH(431, 輔助計算!$F$2:$F$801, 0)+1)), "")&lt;&gt;"", IFERROR(INDEX(ERP資料!$A:$A, (MATCH(431, 輔助計算!$F$2:$F$801, 0)+1)), "")&lt;&gt;IFERROR(INDEX(ERP資料!$A:$A, MATCH(430, 輔助計算!$F$2:$F$801, 0)+1), "")), INDEX(ERP資料!$S:$S, (MATCH(431, 輔助計算!$F$2:$F$801, 0)+1)), ""), "")</f>
        <v/>
      </c>
      <c r="D432" s="10">
        <f>IFERROR(IF(INDEX(ERP資料!$E:$E, (MATCH(431, 輔助計算!$F$2:$F$801, 0)+1))="","",TRIM(INDEX(ERP資料!$E:$E, (MATCH(431, 輔助計算!$F$2:$F$801, 0)+1)))), "")</f>
        <v/>
      </c>
      <c r="E432" s="10">
        <f>IFERROR(IF(INDEX(ERP資料!$F:$F, (MATCH(431, 輔助計算!$F$2:$F$801, 0)+1))="","",INDEX(ERP資料!$F:$F, (MATCH(431, 輔助計算!$F$2:$F$801, 0)+1))), "")</f>
        <v/>
      </c>
      <c r="F432" s="10">
        <f>IFERROR(IF(INDEX(ERP資料!$G:$G, (MATCH(431, 輔助計算!$F$2:$F$801, 0)+1))="","",INDEX(ERP資料!$G:$G, (MATCH(431, 輔助計算!$F$2:$F$801, 0)+1))), "")</f>
        <v/>
      </c>
      <c r="G432" s="10">
        <f>IFERROR(IF(INDEX(ERP資料!$H:$H, (MATCH(431, 輔助計算!$F$2:$F$801, 0)+1))="","",INDEX(ERP資料!$H:$H, (MATCH(431, 輔助計算!$F$2:$F$801, 0)+1))), "")</f>
        <v/>
      </c>
      <c r="H432" s="10">
        <f>IFERROR(IF(INDEX(ERP資料!$O:$O, (MATCH(431, 輔助計算!$F$2:$F$801, 0)+1))="","",INDEX(ERP資料!$O:$O, (MATCH(431, 輔助計算!$F$2:$F$801, 0)+1))), "")</f>
        <v/>
      </c>
      <c r="I432" s="15">
        <f>IFERROR(IF(INDEX(輔助計算!$D:$D,(MATCH(431, 輔助計算!$F$2:$F$801, 0)+1))="","",INDEX(輔助計算!$D:$D,(MATCH(431, 輔助計算!$F$2:$F$801, 0)+1))*INDEX(ERP資料!$O:$O,(MATCH(431, 輔助計算!$F$2:$F$801, 0)+1))), "")</f>
        <v/>
      </c>
      <c r="J432" s="16" t="n"/>
      <c r="K432" s="15">
        <f>IFERROR(INDEX(輔助計算!$D:$D, (MATCH(431, 輔助計算!$F$2:$F$801, 0)+1)), "")</f>
        <v/>
      </c>
      <c r="L432" s="16">
        <f>IFERROR(IF(AND(IFERROR(VLOOKUP(LEFT(INDEX(ERP資料!$S:$S, (MATCH(431, 輔助計算!$F$2:$F$801, 0)+1)), 4), 100張客戶!$A:$A, 1, FALSE), "")&lt;&gt;"", OR(INDEX(ERP資料!$F:$F, (MATCH(431, 輔助計算!$F$2:$F$801, 0)+1))=270, INDEX(ERP資料!$F:$F, (MATCH(431, 輔助計算!$F$2:$F$801, 0)+1))=300)), "100張", ""), "")</f>
        <v/>
      </c>
      <c r="M432" s="17" t="n"/>
      <c r="N432" s="17">
        <f>IF($F432="","",$F432)</f>
        <v/>
      </c>
      <c r="O432" s="17">
        <f>IF($G432="","",$G432)</f>
        <v/>
      </c>
      <c r="P432" s="17">
        <f>IF($K432="","",$K432)</f>
        <v/>
      </c>
      <c r="Q432" s="16" t="n"/>
      <c r="R432" s="18" t="n"/>
      <c r="S432" s="16" t="n"/>
    </row>
    <row r="433">
      <c r="A433" s="14">
        <f>IFERROR(IF(AND(IFERROR(INDEX(ERP資料!$A:$A, (MATCH(432, 輔助計算!$F$2:$F$801, 0)+1)), "")&lt;&gt;"", IFERROR(INDEX(ERP資料!$A:$A, (MATCH(432, 輔助計算!$F$2:$F$801, 0)+1)), "")&lt;&gt;IFERROR(INDEX(ERP資料!$A:$A, MATCH(431, 輔助計算!$F$2:$F$801, 0)+1), "")), INDEX(ERP資料!$B:$B, (MATCH(432, 輔助計算!$F$2:$F$801, 0)+1)), ""), "")</f>
        <v/>
      </c>
      <c r="B433" s="10">
        <f>IFERROR(IF(AND(IFERROR(INDEX(ERP資料!$A:$A, (MATCH(432, 輔助計算!$F$2:$F$801, 0)+1)), "")&lt;&gt;"", IFERROR(INDEX(ERP資料!$A:$A, (MATCH(432, 輔助計算!$F$2:$F$801, 0)+1)), "")&lt;&gt;IFERROR(INDEX(ERP資料!$A:$A, MATCH(431, 輔助計算!$F$2:$F$801, 0)+1), "")), IFERROR(INDEX(ERP資料!$A:$A, (MATCH(432, 輔助計算!$F$2:$F$801, 0)+1)), ""), ""), "")</f>
        <v/>
      </c>
      <c r="C433" s="10">
        <f>IFERROR(IF(AND(IFERROR(INDEX(ERP資料!$A:$A, (MATCH(432, 輔助計算!$F$2:$F$801, 0)+1)), "")&lt;&gt;"", IFERROR(INDEX(ERP資料!$A:$A, (MATCH(432, 輔助計算!$F$2:$F$801, 0)+1)), "")&lt;&gt;IFERROR(INDEX(ERP資料!$A:$A, MATCH(431, 輔助計算!$F$2:$F$801, 0)+1), "")), INDEX(ERP資料!$S:$S, (MATCH(432, 輔助計算!$F$2:$F$801, 0)+1)), ""), "")</f>
        <v/>
      </c>
      <c r="D433" s="10">
        <f>IFERROR(IF(INDEX(ERP資料!$E:$E, (MATCH(432, 輔助計算!$F$2:$F$801, 0)+1))="","",TRIM(INDEX(ERP資料!$E:$E, (MATCH(432, 輔助計算!$F$2:$F$801, 0)+1)))), "")</f>
        <v/>
      </c>
      <c r="E433" s="10">
        <f>IFERROR(IF(INDEX(ERP資料!$F:$F, (MATCH(432, 輔助計算!$F$2:$F$801, 0)+1))="","",INDEX(ERP資料!$F:$F, (MATCH(432, 輔助計算!$F$2:$F$801, 0)+1))), "")</f>
        <v/>
      </c>
      <c r="F433" s="10">
        <f>IFERROR(IF(INDEX(ERP資料!$G:$G, (MATCH(432, 輔助計算!$F$2:$F$801, 0)+1))="","",INDEX(ERP資料!$G:$G, (MATCH(432, 輔助計算!$F$2:$F$801, 0)+1))), "")</f>
        <v/>
      </c>
      <c r="G433" s="10">
        <f>IFERROR(IF(INDEX(ERP資料!$H:$H, (MATCH(432, 輔助計算!$F$2:$F$801, 0)+1))="","",INDEX(ERP資料!$H:$H, (MATCH(432, 輔助計算!$F$2:$F$801, 0)+1))), "")</f>
        <v/>
      </c>
      <c r="H433" s="10">
        <f>IFERROR(IF(INDEX(ERP資料!$O:$O, (MATCH(432, 輔助計算!$F$2:$F$801, 0)+1))="","",INDEX(ERP資料!$O:$O, (MATCH(432, 輔助計算!$F$2:$F$801, 0)+1))), "")</f>
        <v/>
      </c>
      <c r="I433" s="15">
        <f>IFERROR(IF(INDEX(輔助計算!$D:$D,(MATCH(432, 輔助計算!$F$2:$F$801, 0)+1))="","",INDEX(輔助計算!$D:$D,(MATCH(432, 輔助計算!$F$2:$F$801, 0)+1))*INDEX(ERP資料!$O:$O,(MATCH(432, 輔助計算!$F$2:$F$801, 0)+1))), "")</f>
        <v/>
      </c>
      <c r="J433" s="16" t="n"/>
      <c r="K433" s="15">
        <f>IFERROR(INDEX(輔助計算!$D:$D, (MATCH(432, 輔助計算!$F$2:$F$801, 0)+1)), "")</f>
        <v/>
      </c>
      <c r="L433" s="16">
        <f>IFERROR(IF(AND(IFERROR(VLOOKUP(LEFT(INDEX(ERP資料!$S:$S, (MATCH(432, 輔助計算!$F$2:$F$801, 0)+1)), 4), 100張客戶!$A:$A, 1, FALSE), "")&lt;&gt;"", OR(INDEX(ERP資料!$F:$F, (MATCH(432, 輔助計算!$F$2:$F$801, 0)+1))=270, INDEX(ERP資料!$F:$F, (MATCH(432, 輔助計算!$F$2:$F$801, 0)+1))=300)), "100張", ""), "")</f>
        <v/>
      </c>
      <c r="M433" s="17" t="n"/>
      <c r="N433" s="17">
        <f>IF($F433="","",$F433)</f>
        <v/>
      </c>
      <c r="O433" s="17">
        <f>IF($G433="","",$G433)</f>
        <v/>
      </c>
      <c r="P433" s="17">
        <f>IF($K433="","",$K433)</f>
        <v/>
      </c>
      <c r="Q433" s="16" t="n"/>
      <c r="R433" s="18" t="n"/>
      <c r="S433" s="16" t="n"/>
    </row>
    <row r="434">
      <c r="A434" s="14">
        <f>IFERROR(IF(AND(IFERROR(INDEX(ERP資料!$A:$A, (MATCH(433, 輔助計算!$F$2:$F$801, 0)+1)), "")&lt;&gt;"", IFERROR(INDEX(ERP資料!$A:$A, (MATCH(433, 輔助計算!$F$2:$F$801, 0)+1)), "")&lt;&gt;IFERROR(INDEX(ERP資料!$A:$A, MATCH(432, 輔助計算!$F$2:$F$801, 0)+1), "")), INDEX(ERP資料!$B:$B, (MATCH(433, 輔助計算!$F$2:$F$801, 0)+1)), ""), "")</f>
        <v/>
      </c>
      <c r="B434" s="10">
        <f>IFERROR(IF(AND(IFERROR(INDEX(ERP資料!$A:$A, (MATCH(433, 輔助計算!$F$2:$F$801, 0)+1)), "")&lt;&gt;"", IFERROR(INDEX(ERP資料!$A:$A, (MATCH(433, 輔助計算!$F$2:$F$801, 0)+1)), "")&lt;&gt;IFERROR(INDEX(ERP資料!$A:$A, MATCH(432, 輔助計算!$F$2:$F$801, 0)+1), "")), IFERROR(INDEX(ERP資料!$A:$A, (MATCH(433, 輔助計算!$F$2:$F$801, 0)+1)), ""), ""), "")</f>
        <v/>
      </c>
      <c r="C434" s="10">
        <f>IFERROR(IF(AND(IFERROR(INDEX(ERP資料!$A:$A, (MATCH(433, 輔助計算!$F$2:$F$801, 0)+1)), "")&lt;&gt;"", IFERROR(INDEX(ERP資料!$A:$A, (MATCH(433, 輔助計算!$F$2:$F$801, 0)+1)), "")&lt;&gt;IFERROR(INDEX(ERP資料!$A:$A, MATCH(432, 輔助計算!$F$2:$F$801, 0)+1), "")), INDEX(ERP資料!$S:$S, (MATCH(433, 輔助計算!$F$2:$F$801, 0)+1)), ""), "")</f>
        <v/>
      </c>
      <c r="D434" s="10">
        <f>IFERROR(IF(INDEX(ERP資料!$E:$E, (MATCH(433, 輔助計算!$F$2:$F$801, 0)+1))="","",TRIM(INDEX(ERP資料!$E:$E, (MATCH(433, 輔助計算!$F$2:$F$801, 0)+1)))), "")</f>
        <v/>
      </c>
      <c r="E434" s="10">
        <f>IFERROR(IF(INDEX(ERP資料!$F:$F, (MATCH(433, 輔助計算!$F$2:$F$801, 0)+1))="","",INDEX(ERP資料!$F:$F, (MATCH(433, 輔助計算!$F$2:$F$801, 0)+1))), "")</f>
        <v/>
      </c>
      <c r="F434" s="10">
        <f>IFERROR(IF(INDEX(ERP資料!$G:$G, (MATCH(433, 輔助計算!$F$2:$F$801, 0)+1))="","",INDEX(ERP資料!$G:$G, (MATCH(433, 輔助計算!$F$2:$F$801, 0)+1))), "")</f>
        <v/>
      </c>
      <c r="G434" s="10">
        <f>IFERROR(IF(INDEX(ERP資料!$H:$H, (MATCH(433, 輔助計算!$F$2:$F$801, 0)+1))="","",INDEX(ERP資料!$H:$H, (MATCH(433, 輔助計算!$F$2:$F$801, 0)+1))), "")</f>
        <v/>
      </c>
      <c r="H434" s="10">
        <f>IFERROR(IF(INDEX(ERP資料!$O:$O, (MATCH(433, 輔助計算!$F$2:$F$801, 0)+1))="","",INDEX(ERP資料!$O:$O, (MATCH(433, 輔助計算!$F$2:$F$801, 0)+1))), "")</f>
        <v/>
      </c>
      <c r="I434" s="15">
        <f>IFERROR(IF(INDEX(輔助計算!$D:$D,(MATCH(433, 輔助計算!$F$2:$F$801, 0)+1))="","",INDEX(輔助計算!$D:$D,(MATCH(433, 輔助計算!$F$2:$F$801, 0)+1))*INDEX(ERP資料!$O:$O,(MATCH(433, 輔助計算!$F$2:$F$801, 0)+1))), "")</f>
        <v/>
      </c>
      <c r="J434" s="16" t="n"/>
      <c r="K434" s="15">
        <f>IFERROR(INDEX(輔助計算!$D:$D, (MATCH(433, 輔助計算!$F$2:$F$801, 0)+1)), "")</f>
        <v/>
      </c>
      <c r="L434" s="16">
        <f>IFERROR(IF(AND(IFERROR(VLOOKUP(LEFT(INDEX(ERP資料!$S:$S, (MATCH(433, 輔助計算!$F$2:$F$801, 0)+1)), 4), 100張客戶!$A:$A, 1, FALSE), "")&lt;&gt;"", OR(INDEX(ERP資料!$F:$F, (MATCH(433, 輔助計算!$F$2:$F$801, 0)+1))=270, INDEX(ERP資料!$F:$F, (MATCH(433, 輔助計算!$F$2:$F$801, 0)+1))=300)), "100張", ""), "")</f>
        <v/>
      </c>
      <c r="M434" s="17" t="n"/>
      <c r="N434" s="17">
        <f>IF($F434="","",$F434)</f>
        <v/>
      </c>
      <c r="O434" s="17">
        <f>IF($G434="","",$G434)</f>
        <v/>
      </c>
      <c r="P434" s="17">
        <f>IF($K434="","",$K434)</f>
        <v/>
      </c>
      <c r="Q434" s="16" t="n"/>
      <c r="R434" s="18" t="n"/>
      <c r="S434" s="16" t="n"/>
    </row>
    <row r="435">
      <c r="A435" s="14">
        <f>IFERROR(IF(AND(IFERROR(INDEX(ERP資料!$A:$A, (MATCH(434, 輔助計算!$F$2:$F$801, 0)+1)), "")&lt;&gt;"", IFERROR(INDEX(ERP資料!$A:$A, (MATCH(434, 輔助計算!$F$2:$F$801, 0)+1)), "")&lt;&gt;IFERROR(INDEX(ERP資料!$A:$A, MATCH(433, 輔助計算!$F$2:$F$801, 0)+1), "")), INDEX(ERP資料!$B:$B, (MATCH(434, 輔助計算!$F$2:$F$801, 0)+1)), ""), "")</f>
        <v/>
      </c>
      <c r="B435" s="10">
        <f>IFERROR(IF(AND(IFERROR(INDEX(ERP資料!$A:$A, (MATCH(434, 輔助計算!$F$2:$F$801, 0)+1)), "")&lt;&gt;"", IFERROR(INDEX(ERP資料!$A:$A, (MATCH(434, 輔助計算!$F$2:$F$801, 0)+1)), "")&lt;&gt;IFERROR(INDEX(ERP資料!$A:$A, MATCH(433, 輔助計算!$F$2:$F$801, 0)+1), "")), IFERROR(INDEX(ERP資料!$A:$A, (MATCH(434, 輔助計算!$F$2:$F$801, 0)+1)), ""), ""), "")</f>
        <v/>
      </c>
      <c r="C435" s="10">
        <f>IFERROR(IF(AND(IFERROR(INDEX(ERP資料!$A:$A, (MATCH(434, 輔助計算!$F$2:$F$801, 0)+1)), "")&lt;&gt;"", IFERROR(INDEX(ERP資料!$A:$A, (MATCH(434, 輔助計算!$F$2:$F$801, 0)+1)), "")&lt;&gt;IFERROR(INDEX(ERP資料!$A:$A, MATCH(433, 輔助計算!$F$2:$F$801, 0)+1), "")), INDEX(ERP資料!$S:$S, (MATCH(434, 輔助計算!$F$2:$F$801, 0)+1)), ""), "")</f>
        <v/>
      </c>
      <c r="D435" s="10">
        <f>IFERROR(IF(INDEX(ERP資料!$E:$E, (MATCH(434, 輔助計算!$F$2:$F$801, 0)+1))="","",TRIM(INDEX(ERP資料!$E:$E, (MATCH(434, 輔助計算!$F$2:$F$801, 0)+1)))), "")</f>
        <v/>
      </c>
      <c r="E435" s="10">
        <f>IFERROR(IF(INDEX(ERP資料!$F:$F, (MATCH(434, 輔助計算!$F$2:$F$801, 0)+1))="","",INDEX(ERP資料!$F:$F, (MATCH(434, 輔助計算!$F$2:$F$801, 0)+1))), "")</f>
        <v/>
      </c>
      <c r="F435" s="10">
        <f>IFERROR(IF(INDEX(ERP資料!$G:$G, (MATCH(434, 輔助計算!$F$2:$F$801, 0)+1))="","",INDEX(ERP資料!$G:$G, (MATCH(434, 輔助計算!$F$2:$F$801, 0)+1))), "")</f>
        <v/>
      </c>
      <c r="G435" s="10">
        <f>IFERROR(IF(INDEX(ERP資料!$H:$H, (MATCH(434, 輔助計算!$F$2:$F$801, 0)+1))="","",INDEX(ERP資料!$H:$H, (MATCH(434, 輔助計算!$F$2:$F$801, 0)+1))), "")</f>
        <v/>
      </c>
      <c r="H435" s="10">
        <f>IFERROR(IF(INDEX(ERP資料!$O:$O, (MATCH(434, 輔助計算!$F$2:$F$801, 0)+1))="","",INDEX(ERP資料!$O:$O, (MATCH(434, 輔助計算!$F$2:$F$801, 0)+1))), "")</f>
        <v/>
      </c>
      <c r="I435" s="15">
        <f>IFERROR(IF(INDEX(輔助計算!$D:$D,(MATCH(434, 輔助計算!$F$2:$F$801, 0)+1))="","",INDEX(輔助計算!$D:$D,(MATCH(434, 輔助計算!$F$2:$F$801, 0)+1))*INDEX(ERP資料!$O:$O,(MATCH(434, 輔助計算!$F$2:$F$801, 0)+1))), "")</f>
        <v/>
      </c>
      <c r="J435" s="16" t="n"/>
      <c r="K435" s="15">
        <f>IFERROR(INDEX(輔助計算!$D:$D, (MATCH(434, 輔助計算!$F$2:$F$801, 0)+1)), "")</f>
        <v/>
      </c>
      <c r="L435" s="16">
        <f>IFERROR(IF(AND(IFERROR(VLOOKUP(LEFT(INDEX(ERP資料!$S:$S, (MATCH(434, 輔助計算!$F$2:$F$801, 0)+1)), 4), 100張客戶!$A:$A, 1, FALSE), "")&lt;&gt;"", OR(INDEX(ERP資料!$F:$F, (MATCH(434, 輔助計算!$F$2:$F$801, 0)+1))=270, INDEX(ERP資料!$F:$F, (MATCH(434, 輔助計算!$F$2:$F$801, 0)+1))=300)), "100張", ""), "")</f>
        <v/>
      </c>
      <c r="M435" s="17" t="n"/>
      <c r="N435" s="17">
        <f>IF($F435="","",$F435)</f>
        <v/>
      </c>
      <c r="O435" s="17">
        <f>IF($G435="","",$G435)</f>
        <v/>
      </c>
      <c r="P435" s="17">
        <f>IF($K435="","",$K435)</f>
        <v/>
      </c>
      <c r="Q435" s="16" t="n"/>
      <c r="R435" s="18" t="n"/>
      <c r="S435" s="16" t="n"/>
    </row>
    <row r="436">
      <c r="A436" s="14">
        <f>IFERROR(IF(AND(IFERROR(INDEX(ERP資料!$A:$A, (MATCH(435, 輔助計算!$F$2:$F$801, 0)+1)), "")&lt;&gt;"", IFERROR(INDEX(ERP資料!$A:$A, (MATCH(435, 輔助計算!$F$2:$F$801, 0)+1)), "")&lt;&gt;IFERROR(INDEX(ERP資料!$A:$A, MATCH(434, 輔助計算!$F$2:$F$801, 0)+1), "")), INDEX(ERP資料!$B:$B, (MATCH(435, 輔助計算!$F$2:$F$801, 0)+1)), ""), "")</f>
        <v/>
      </c>
      <c r="B436" s="10">
        <f>IFERROR(IF(AND(IFERROR(INDEX(ERP資料!$A:$A, (MATCH(435, 輔助計算!$F$2:$F$801, 0)+1)), "")&lt;&gt;"", IFERROR(INDEX(ERP資料!$A:$A, (MATCH(435, 輔助計算!$F$2:$F$801, 0)+1)), "")&lt;&gt;IFERROR(INDEX(ERP資料!$A:$A, MATCH(434, 輔助計算!$F$2:$F$801, 0)+1), "")), IFERROR(INDEX(ERP資料!$A:$A, (MATCH(435, 輔助計算!$F$2:$F$801, 0)+1)), ""), ""), "")</f>
        <v/>
      </c>
      <c r="C436" s="10">
        <f>IFERROR(IF(AND(IFERROR(INDEX(ERP資料!$A:$A, (MATCH(435, 輔助計算!$F$2:$F$801, 0)+1)), "")&lt;&gt;"", IFERROR(INDEX(ERP資料!$A:$A, (MATCH(435, 輔助計算!$F$2:$F$801, 0)+1)), "")&lt;&gt;IFERROR(INDEX(ERP資料!$A:$A, MATCH(434, 輔助計算!$F$2:$F$801, 0)+1), "")), INDEX(ERP資料!$S:$S, (MATCH(435, 輔助計算!$F$2:$F$801, 0)+1)), ""), "")</f>
        <v/>
      </c>
      <c r="D436" s="10">
        <f>IFERROR(IF(INDEX(ERP資料!$E:$E, (MATCH(435, 輔助計算!$F$2:$F$801, 0)+1))="","",TRIM(INDEX(ERP資料!$E:$E, (MATCH(435, 輔助計算!$F$2:$F$801, 0)+1)))), "")</f>
        <v/>
      </c>
      <c r="E436" s="10">
        <f>IFERROR(IF(INDEX(ERP資料!$F:$F, (MATCH(435, 輔助計算!$F$2:$F$801, 0)+1))="","",INDEX(ERP資料!$F:$F, (MATCH(435, 輔助計算!$F$2:$F$801, 0)+1))), "")</f>
        <v/>
      </c>
      <c r="F436" s="10">
        <f>IFERROR(IF(INDEX(ERP資料!$G:$G, (MATCH(435, 輔助計算!$F$2:$F$801, 0)+1))="","",INDEX(ERP資料!$G:$G, (MATCH(435, 輔助計算!$F$2:$F$801, 0)+1))), "")</f>
        <v/>
      </c>
      <c r="G436" s="10">
        <f>IFERROR(IF(INDEX(ERP資料!$H:$H, (MATCH(435, 輔助計算!$F$2:$F$801, 0)+1))="","",INDEX(ERP資料!$H:$H, (MATCH(435, 輔助計算!$F$2:$F$801, 0)+1))), "")</f>
        <v/>
      </c>
      <c r="H436" s="10">
        <f>IFERROR(IF(INDEX(ERP資料!$O:$O, (MATCH(435, 輔助計算!$F$2:$F$801, 0)+1))="","",INDEX(ERP資料!$O:$O, (MATCH(435, 輔助計算!$F$2:$F$801, 0)+1))), "")</f>
        <v/>
      </c>
      <c r="I436" s="15">
        <f>IFERROR(IF(INDEX(輔助計算!$D:$D,(MATCH(435, 輔助計算!$F$2:$F$801, 0)+1))="","",INDEX(輔助計算!$D:$D,(MATCH(435, 輔助計算!$F$2:$F$801, 0)+1))*INDEX(ERP資料!$O:$O,(MATCH(435, 輔助計算!$F$2:$F$801, 0)+1))), "")</f>
        <v/>
      </c>
      <c r="J436" s="16" t="n"/>
      <c r="K436" s="15">
        <f>IFERROR(INDEX(輔助計算!$D:$D, (MATCH(435, 輔助計算!$F$2:$F$801, 0)+1)), "")</f>
        <v/>
      </c>
      <c r="L436" s="16">
        <f>IFERROR(IF(AND(IFERROR(VLOOKUP(LEFT(INDEX(ERP資料!$S:$S, (MATCH(435, 輔助計算!$F$2:$F$801, 0)+1)), 4), 100張客戶!$A:$A, 1, FALSE), "")&lt;&gt;"", OR(INDEX(ERP資料!$F:$F, (MATCH(435, 輔助計算!$F$2:$F$801, 0)+1))=270, INDEX(ERP資料!$F:$F, (MATCH(435, 輔助計算!$F$2:$F$801, 0)+1))=300)), "100張", ""), "")</f>
        <v/>
      </c>
      <c r="M436" s="17" t="n"/>
      <c r="N436" s="17">
        <f>IF($F436="","",$F436)</f>
        <v/>
      </c>
      <c r="O436" s="17">
        <f>IF($G436="","",$G436)</f>
        <v/>
      </c>
      <c r="P436" s="17">
        <f>IF($K436="","",$K436)</f>
        <v/>
      </c>
      <c r="Q436" s="16" t="n"/>
      <c r="R436" s="18" t="n"/>
      <c r="S436" s="16" t="n"/>
    </row>
    <row r="437">
      <c r="A437" s="14">
        <f>IFERROR(IF(AND(IFERROR(INDEX(ERP資料!$A:$A, (MATCH(436, 輔助計算!$F$2:$F$801, 0)+1)), "")&lt;&gt;"", IFERROR(INDEX(ERP資料!$A:$A, (MATCH(436, 輔助計算!$F$2:$F$801, 0)+1)), "")&lt;&gt;IFERROR(INDEX(ERP資料!$A:$A, MATCH(435, 輔助計算!$F$2:$F$801, 0)+1), "")), INDEX(ERP資料!$B:$B, (MATCH(436, 輔助計算!$F$2:$F$801, 0)+1)), ""), "")</f>
        <v/>
      </c>
      <c r="B437" s="10">
        <f>IFERROR(IF(AND(IFERROR(INDEX(ERP資料!$A:$A, (MATCH(436, 輔助計算!$F$2:$F$801, 0)+1)), "")&lt;&gt;"", IFERROR(INDEX(ERP資料!$A:$A, (MATCH(436, 輔助計算!$F$2:$F$801, 0)+1)), "")&lt;&gt;IFERROR(INDEX(ERP資料!$A:$A, MATCH(435, 輔助計算!$F$2:$F$801, 0)+1), "")), IFERROR(INDEX(ERP資料!$A:$A, (MATCH(436, 輔助計算!$F$2:$F$801, 0)+1)), ""), ""), "")</f>
        <v/>
      </c>
      <c r="C437" s="10">
        <f>IFERROR(IF(AND(IFERROR(INDEX(ERP資料!$A:$A, (MATCH(436, 輔助計算!$F$2:$F$801, 0)+1)), "")&lt;&gt;"", IFERROR(INDEX(ERP資料!$A:$A, (MATCH(436, 輔助計算!$F$2:$F$801, 0)+1)), "")&lt;&gt;IFERROR(INDEX(ERP資料!$A:$A, MATCH(435, 輔助計算!$F$2:$F$801, 0)+1), "")), INDEX(ERP資料!$S:$S, (MATCH(436, 輔助計算!$F$2:$F$801, 0)+1)), ""), "")</f>
        <v/>
      </c>
      <c r="D437" s="10">
        <f>IFERROR(IF(INDEX(ERP資料!$E:$E, (MATCH(436, 輔助計算!$F$2:$F$801, 0)+1))="","",TRIM(INDEX(ERP資料!$E:$E, (MATCH(436, 輔助計算!$F$2:$F$801, 0)+1)))), "")</f>
        <v/>
      </c>
      <c r="E437" s="10">
        <f>IFERROR(IF(INDEX(ERP資料!$F:$F, (MATCH(436, 輔助計算!$F$2:$F$801, 0)+1))="","",INDEX(ERP資料!$F:$F, (MATCH(436, 輔助計算!$F$2:$F$801, 0)+1))), "")</f>
        <v/>
      </c>
      <c r="F437" s="10">
        <f>IFERROR(IF(INDEX(ERP資料!$G:$G, (MATCH(436, 輔助計算!$F$2:$F$801, 0)+1))="","",INDEX(ERP資料!$G:$G, (MATCH(436, 輔助計算!$F$2:$F$801, 0)+1))), "")</f>
        <v/>
      </c>
      <c r="G437" s="10">
        <f>IFERROR(IF(INDEX(ERP資料!$H:$H, (MATCH(436, 輔助計算!$F$2:$F$801, 0)+1))="","",INDEX(ERP資料!$H:$H, (MATCH(436, 輔助計算!$F$2:$F$801, 0)+1))), "")</f>
        <v/>
      </c>
      <c r="H437" s="10">
        <f>IFERROR(IF(INDEX(ERP資料!$O:$O, (MATCH(436, 輔助計算!$F$2:$F$801, 0)+1))="","",INDEX(ERP資料!$O:$O, (MATCH(436, 輔助計算!$F$2:$F$801, 0)+1))), "")</f>
        <v/>
      </c>
      <c r="I437" s="15">
        <f>IFERROR(IF(INDEX(輔助計算!$D:$D,(MATCH(436, 輔助計算!$F$2:$F$801, 0)+1))="","",INDEX(輔助計算!$D:$D,(MATCH(436, 輔助計算!$F$2:$F$801, 0)+1))*INDEX(ERP資料!$O:$O,(MATCH(436, 輔助計算!$F$2:$F$801, 0)+1))), "")</f>
        <v/>
      </c>
      <c r="J437" s="16" t="n"/>
      <c r="K437" s="15">
        <f>IFERROR(INDEX(輔助計算!$D:$D, (MATCH(436, 輔助計算!$F$2:$F$801, 0)+1)), "")</f>
        <v/>
      </c>
      <c r="L437" s="16">
        <f>IFERROR(IF(AND(IFERROR(VLOOKUP(LEFT(INDEX(ERP資料!$S:$S, (MATCH(436, 輔助計算!$F$2:$F$801, 0)+1)), 4), 100張客戶!$A:$A, 1, FALSE), "")&lt;&gt;"", OR(INDEX(ERP資料!$F:$F, (MATCH(436, 輔助計算!$F$2:$F$801, 0)+1))=270, INDEX(ERP資料!$F:$F, (MATCH(436, 輔助計算!$F$2:$F$801, 0)+1))=300)), "100張", ""), "")</f>
        <v/>
      </c>
      <c r="M437" s="17" t="n"/>
      <c r="N437" s="17">
        <f>IF($F437="","",$F437)</f>
        <v/>
      </c>
      <c r="O437" s="17">
        <f>IF($G437="","",$G437)</f>
        <v/>
      </c>
      <c r="P437" s="17">
        <f>IF($K437="","",$K437)</f>
        <v/>
      </c>
      <c r="Q437" s="16" t="n"/>
      <c r="R437" s="18" t="n"/>
      <c r="S437" s="16" t="n"/>
    </row>
    <row r="438">
      <c r="A438" s="14">
        <f>IFERROR(IF(AND(IFERROR(INDEX(ERP資料!$A:$A, (MATCH(437, 輔助計算!$F$2:$F$801, 0)+1)), "")&lt;&gt;"", IFERROR(INDEX(ERP資料!$A:$A, (MATCH(437, 輔助計算!$F$2:$F$801, 0)+1)), "")&lt;&gt;IFERROR(INDEX(ERP資料!$A:$A, MATCH(436, 輔助計算!$F$2:$F$801, 0)+1), "")), INDEX(ERP資料!$B:$B, (MATCH(437, 輔助計算!$F$2:$F$801, 0)+1)), ""), "")</f>
        <v/>
      </c>
      <c r="B438" s="10">
        <f>IFERROR(IF(AND(IFERROR(INDEX(ERP資料!$A:$A, (MATCH(437, 輔助計算!$F$2:$F$801, 0)+1)), "")&lt;&gt;"", IFERROR(INDEX(ERP資料!$A:$A, (MATCH(437, 輔助計算!$F$2:$F$801, 0)+1)), "")&lt;&gt;IFERROR(INDEX(ERP資料!$A:$A, MATCH(436, 輔助計算!$F$2:$F$801, 0)+1), "")), IFERROR(INDEX(ERP資料!$A:$A, (MATCH(437, 輔助計算!$F$2:$F$801, 0)+1)), ""), ""), "")</f>
        <v/>
      </c>
      <c r="C438" s="10">
        <f>IFERROR(IF(AND(IFERROR(INDEX(ERP資料!$A:$A, (MATCH(437, 輔助計算!$F$2:$F$801, 0)+1)), "")&lt;&gt;"", IFERROR(INDEX(ERP資料!$A:$A, (MATCH(437, 輔助計算!$F$2:$F$801, 0)+1)), "")&lt;&gt;IFERROR(INDEX(ERP資料!$A:$A, MATCH(436, 輔助計算!$F$2:$F$801, 0)+1), "")), INDEX(ERP資料!$S:$S, (MATCH(437, 輔助計算!$F$2:$F$801, 0)+1)), ""), "")</f>
        <v/>
      </c>
      <c r="D438" s="10">
        <f>IFERROR(IF(INDEX(ERP資料!$E:$E, (MATCH(437, 輔助計算!$F$2:$F$801, 0)+1))="","",TRIM(INDEX(ERP資料!$E:$E, (MATCH(437, 輔助計算!$F$2:$F$801, 0)+1)))), "")</f>
        <v/>
      </c>
      <c r="E438" s="10">
        <f>IFERROR(IF(INDEX(ERP資料!$F:$F, (MATCH(437, 輔助計算!$F$2:$F$801, 0)+1))="","",INDEX(ERP資料!$F:$F, (MATCH(437, 輔助計算!$F$2:$F$801, 0)+1))), "")</f>
        <v/>
      </c>
      <c r="F438" s="10">
        <f>IFERROR(IF(INDEX(ERP資料!$G:$G, (MATCH(437, 輔助計算!$F$2:$F$801, 0)+1))="","",INDEX(ERP資料!$G:$G, (MATCH(437, 輔助計算!$F$2:$F$801, 0)+1))), "")</f>
        <v/>
      </c>
      <c r="G438" s="10">
        <f>IFERROR(IF(INDEX(ERP資料!$H:$H, (MATCH(437, 輔助計算!$F$2:$F$801, 0)+1))="","",INDEX(ERP資料!$H:$H, (MATCH(437, 輔助計算!$F$2:$F$801, 0)+1))), "")</f>
        <v/>
      </c>
      <c r="H438" s="10">
        <f>IFERROR(IF(INDEX(ERP資料!$O:$O, (MATCH(437, 輔助計算!$F$2:$F$801, 0)+1))="","",INDEX(ERP資料!$O:$O, (MATCH(437, 輔助計算!$F$2:$F$801, 0)+1))), "")</f>
        <v/>
      </c>
      <c r="I438" s="15">
        <f>IFERROR(IF(INDEX(輔助計算!$D:$D,(MATCH(437, 輔助計算!$F$2:$F$801, 0)+1))="","",INDEX(輔助計算!$D:$D,(MATCH(437, 輔助計算!$F$2:$F$801, 0)+1))*INDEX(ERP資料!$O:$O,(MATCH(437, 輔助計算!$F$2:$F$801, 0)+1))), "")</f>
        <v/>
      </c>
      <c r="J438" s="16" t="n"/>
      <c r="K438" s="15">
        <f>IFERROR(INDEX(輔助計算!$D:$D, (MATCH(437, 輔助計算!$F$2:$F$801, 0)+1)), "")</f>
        <v/>
      </c>
      <c r="L438" s="16">
        <f>IFERROR(IF(AND(IFERROR(VLOOKUP(LEFT(INDEX(ERP資料!$S:$S, (MATCH(437, 輔助計算!$F$2:$F$801, 0)+1)), 4), 100張客戶!$A:$A, 1, FALSE), "")&lt;&gt;"", OR(INDEX(ERP資料!$F:$F, (MATCH(437, 輔助計算!$F$2:$F$801, 0)+1))=270, INDEX(ERP資料!$F:$F, (MATCH(437, 輔助計算!$F$2:$F$801, 0)+1))=300)), "100張", ""), "")</f>
        <v/>
      </c>
      <c r="M438" s="17" t="n"/>
      <c r="N438" s="17">
        <f>IF($F438="","",$F438)</f>
        <v/>
      </c>
      <c r="O438" s="17">
        <f>IF($G438="","",$G438)</f>
        <v/>
      </c>
      <c r="P438" s="17">
        <f>IF($K438="","",$K438)</f>
        <v/>
      </c>
      <c r="Q438" s="16" t="n"/>
      <c r="R438" s="18" t="n"/>
      <c r="S438" s="16" t="n"/>
    </row>
    <row r="439">
      <c r="A439" s="14">
        <f>IFERROR(IF(AND(IFERROR(INDEX(ERP資料!$A:$A, (MATCH(438, 輔助計算!$F$2:$F$801, 0)+1)), "")&lt;&gt;"", IFERROR(INDEX(ERP資料!$A:$A, (MATCH(438, 輔助計算!$F$2:$F$801, 0)+1)), "")&lt;&gt;IFERROR(INDEX(ERP資料!$A:$A, MATCH(437, 輔助計算!$F$2:$F$801, 0)+1), "")), INDEX(ERP資料!$B:$B, (MATCH(438, 輔助計算!$F$2:$F$801, 0)+1)), ""), "")</f>
        <v/>
      </c>
      <c r="B439" s="10">
        <f>IFERROR(IF(AND(IFERROR(INDEX(ERP資料!$A:$A, (MATCH(438, 輔助計算!$F$2:$F$801, 0)+1)), "")&lt;&gt;"", IFERROR(INDEX(ERP資料!$A:$A, (MATCH(438, 輔助計算!$F$2:$F$801, 0)+1)), "")&lt;&gt;IFERROR(INDEX(ERP資料!$A:$A, MATCH(437, 輔助計算!$F$2:$F$801, 0)+1), "")), IFERROR(INDEX(ERP資料!$A:$A, (MATCH(438, 輔助計算!$F$2:$F$801, 0)+1)), ""), ""), "")</f>
        <v/>
      </c>
      <c r="C439" s="10">
        <f>IFERROR(IF(AND(IFERROR(INDEX(ERP資料!$A:$A, (MATCH(438, 輔助計算!$F$2:$F$801, 0)+1)), "")&lt;&gt;"", IFERROR(INDEX(ERP資料!$A:$A, (MATCH(438, 輔助計算!$F$2:$F$801, 0)+1)), "")&lt;&gt;IFERROR(INDEX(ERP資料!$A:$A, MATCH(437, 輔助計算!$F$2:$F$801, 0)+1), "")), INDEX(ERP資料!$S:$S, (MATCH(438, 輔助計算!$F$2:$F$801, 0)+1)), ""), "")</f>
        <v/>
      </c>
      <c r="D439" s="10">
        <f>IFERROR(IF(INDEX(ERP資料!$E:$E, (MATCH(438, 輔助計算!$F$2:$F$801, 0)+1))="","",TRIM(INDEX(ERP資料!$E:$E, (MATCH(438, 輔助計算!$F$2:$F$801, 0)+1)))), "")</f>
        <v/>
      </c>
      <c r="E439" s="10">
        <f>IFERROR(IF(INDEX(ERP資料!$F:$F, (MATCH(438, 輔助計算!$F$2:$F$801, 0)+1))="","",INDEX(ERP資料!$F:$F, (MATCH(438, 輔助計算!$F$2:$F$801, 0)+1))), "")</f>
        <v/>
      </c>
      <c r="F439" s="10">
        <f>IFERROR(IF(INDEX(ERP資料!$G:$G, (MATCH(438, 輔助計算!$F$2:$F$801, 0)+1))="","",INDEX(ERP資料!$G:$G, (MATCH(438, 輔助計算!$F$2:$F$801, 0)+1))), "")</f>
        <v/>
      </c>
      <c r="G439" s="10">
        <f>IFERROR(IF(INDEX(ERP資料!$H:$H, (MATCH(438, 輔助計算!$F$2:$F$801, 0)+1))="","",INDEX(ERP資料!$H:$H, (MATCH(438, 輔助計算!$F$2:$F$801, 0)+1))), "")</f>
        <v/>
      </c>
      <c r="H439" s="10">
        <f>IFERROR(IF(INDEX(ERP資料!$O:$O, (MATCH(438, 輔助計算!$F$2:$F$801, 0)+1))="","",INDEX(ERP資料!$O:$O, (MATCH(438, 輔助計算!$F$2:$F$801, 0)+1))), "")</f>
        <v/>
      </c>
      <c r="I439" s="15">
        <f>IFERROR(IF(INDEX(輔助計算!$D:$D,(MATCH(438, 輔助計算!$F$2:$F$801, 0)+1))="","",INDEX(輔助計算!$D:$D,(MATCH(438, 輔助計算!$F$2:$F$801, 0)+1))*INDEX(ERP資料!$O:$O,(MATCH(438, 輔助計算!$F$2:$F$801, 0)+1))), "")</f>
        <v/>
      </c>
      <c r="J439" s="16" t="n"/>
      <c r="K439" s="15">
        <f>IFERROR(INDEX(輔助計算!$D:$D, (MATCH(438, 輔助計算!$F$2:$F$801, 0)+1)), "")</f>
        <v/>
      </c>
      <c r="L439" s="16">
        <f>IFERROR(IF(AND(IFERROR(VLOOKUP(LEFT(INDEX(ERP資料!$S:$S, (MATCH(438, 輔助計算!$F$2:$F$801, 0)+1)), 4), 100張客戶!$A:$A, 1, FALSE), "")&lt;&gt;"", OR(INDEX(ERP資料!$F:$F, (MATCH(438, 輔助計算!$F$2:$F$801, 0)+1))=270, INDEX(ERP資料!$F:$F, (MATCH(438, 輔助計算!$F$2:$F$801, 0)+1))=300)), "100張", ""), "")</f>
        <v/>
      </c>
      <c r="M439" s="17" t="n"/>
      <c r="N439" s="17">
        <f>IF($F439="","",$F439)</f>
        <v/>
      </c>
      <c r="O439" s="17">
        <f>IF($G439="","",$G439)</f>
        <v/>
      </c>
      <c r="P439" s="17">
        <f>IF($K439="","",$K439)</f>
        <v/>
      </c>
      <c r="Q439" s="16" t="n"/>
      <c r="R439" s="18" t="n"/>
      <c r="S439" s="16" t="n"/>
    </row>
    <row r="440">
      <c r="A440" s="14">
        <f>IFERROR(IF(AND(IFERROR(INDEX(ERP資料!$A:$A, (MATCH(439, 輔助計算!$F$2:$F$801, 0)+1)), "")&lt;&gt;"", IFERROR(INDEX(ERP資料!$A:$A, (MATCH(439, 輔助計算!$F$2:$F$801, 0)+1)), "")&lt;&gt;IFERROR(INDEX(ERP資料!$A:$A, MATCH(438, 輔助計算!$F$2:$F$801, 0)+1), "")), INDEX(ERP資料!$B:$B, (MATCH(439, 輔助計算!$F$2:$F$801, 0)+1)), ""), "")</f>
        <v/>
      </c>
      <c r="B440" s="10">
        <f>IFERROR(IF(AND(IFERROR(INDEX(ERP資料!$A:$A, (MATCH(439, 輔助計算!$F$2:$F$801, 0)+1)), "")&lt;&gt;"", IFERROR(INDEX(ERP資料!$A:$A, (MATCH(439, 輔助計算!$F$2:$F$801, 0)+1)), "")&lt;&gt;IFERROR(INDEX(ERP資料!$A:$A, MATCH(438, 輔助計算!$F$2:$F$801, 0)+1), "")), IFERROR(INDEX(ERP資料!$A:$A, (MATCH(439, 輔助計算!$F$2:$F$801, 0)+1)), ""), ""), "")</f>
        <v/>
      </c>
      <c r="C440" s="10">
        <f>IFERROR(IF(AND(IFERROR(INDEX(ERP資料!$A:$A, (MATCH(439, 輔助計算!$F$2:$F$801, 0)+1)), "")&lt;&gt;"", IFERROR(INDEX(ERP資料!$A:$A, (MATCH(439, 輔助計算!$F$2:$F$801, 0)+1)), "")&lt;&gt;IFERROR(INDEX(ERP資料!$A:$A, MATCH(438, 輔助計算!$F$2:$F$801, 0)+1), "")), INDEX(ERP資料!$S:$S, (MATCH(439, 輔助計算!$F$2:$F$801, 0)+1)), ""), "")</f>
        <v/>
      </c>
      <c r="D440" s="10">
        <f>IFERROR(IF(INDEX(ERP資料!$E:$E, (MATCH(439, 輔助計算!$F$2:$F$801, 0)+1))="","",TRIM(INDEX(ERP資料!$E:$E, (MATCH(439, 輔助計算!$F$2:$F$801, 0)+1)))), "")</f>
        <v/>
      </c>
      <c r="E440" s="10">
        <f>IFERROR(IF(INDEX(ERP資料!$F:$F, (MATCH(439, 輔助計算!$F$2:$F$801, 0)+1))="","",INDEX(ERP資料!$F:$F, (MATCH(439, 輔助計算!$F$2:$F$801, 0)+1))), "")</f>
        <v/>
      </c>
      <c r="F440" s="10">
        <f>IFERROR(IF(INDEX(ERP資料!$G:$G, (MATCH(439, 輔助計算!$F$2:$F$801, 0)+1))="","",INDEX(ERP資料!$G:$G, (MATCH(439, 輔助計算!$F$2:$F$801, 0)+1))), "")</f>
        <v/>
      </c>
      <c r="G440" s="10">
        <f>IFERROR(IF(INDEX(ERP資料!$H:$H, (MATCH(439, 輔助計算!$F$2:$F$801, 0)+1))="","",INDEX(ERP資料!$H:$H, (MATCH(439, 輔助計算!$F$2:$F$801, 0)+1))), "")</f>
        <v/>
      </c>
      <c r="H440" s="10">
        <f>IFERROR(IF(INDEX(ERP資料!$O:$O, (MATCH(439, 輔助計算!$F$2:$F$801, 0)+1))="","",INDEX(ERP資料!$O:$O, (MATCH(439, 輔助計算!$F$2:$F$801, 0)+1))), "")</f>
        <v/>
      </c>
      <c r="I440" s="15">
        <f>IFERROR(IF(INDEX(輔助計算!$D:$D,(MATCH(439, 輔助計算!$F$2:$F$801, 0)+1))="","",INDEX(輔助計算!$D:$D,(MATCH(439, 輔助計算!$F$2:$F$801, 0)+1))*INDEX(ERP資料!$O:$O,(MATCH(439, 輔助計算!$F$2:$F$801, 0)+1))), "")</f>
        <v/>
      </c>
      <c r="J440" s="16" t="n"/>
      <c r="K440" s="15">
        <f>IFERROR(INDEX(輔助計算!$D:$D, (MATCH(439, 輔助計算!$F$2:$F$801, 0)+1)), "")</f>
        <v/>
      </c>
      <c r="L440" s="16">
        <f>IFERROR(IF(AND(IFERROR(VLOOKUP(LEFT(INDEX(ERP資料!$S:$S, (MATCH(439, 輔助計算!$F$2:$F$801, 0)+1)), 4), 100張客戶!$A:$A, 1, FALSE), "")&lt;&gt;"", OR(INDEX(ERP資料!$F:$F, (MATCH(439, 輔助計算!$F$2:$F$801, 0)+1))=270, INDEX(ERP資料!$F:$F, (MATCH(439, 輔助計算!$F$2:$F$801, 0)+1))=300)), "100張", ""), "")</f>
        <v/>
      </c>
      <c r="M440" s="17" t="n"/>
      <c r="N440" s="17">
        <f>IF($F440="","",$F440)</f>
        <v/>
      </c>
      <c r="O440" s="17">
        <f>IF($G440="","",$G440)</f>
        <v/>
      </c>
      <c r="P440" s="17">
        <f>IF($K440="","",$K440)</f>
        <v/>
      </c>
      <c r="Q440" s="16" t="n"/>
      <c r="R440" s="18" t="n"/>
      <c r="S440" s="16" t="n"/>
    </row>
    <row r="441">
      <c r="A441" s="14">
        <f>IFERROR(IF(AND(IFERROR(INDEX(ERP資料!$A:$A, (MATCH(440, 輔助計算!$F$2:$F$801, 0)+1)), "")&lt;&gt;"", IFERROR(INDEX(ERP資料!$A:$A, (MATCH(440, 輔助計算!$F$2:$F$801, 0)+1)), "")&lt;&gt;IFERROR(INDEX(ERP資料!$A:$A, MATCH(439, 輔助計算!$F$2:$F$801, 0)+1), "")), INDEX(ERP資料!$B:$B, (MATCH(440, 輔助計算!$F$2:$F$801, 0)+1)), ""), "")</f>
        <v/>
      </c>
      <c r="B441" s="10">
        <f>IFERROR(IF(AND(IFERROR(INDEX(ERP資料!$A:$A, (MATCH(440, 輔助計算!$F$2:$F$801, 0)+1)), "")&lt;&gt;"", IFERROR(INDEX(ERP資料!$A:$A, (MATCH(440, 輔助計算!$F$2:$F$801, 0)+1)), "")&lt;&gt;IFERROR(INDEX(ERP資料!$A:$A, MATCH(439, 輔助計算!$F$2:$F$801, 0)+1), "")), IFERROR(INDEX(ERP資料!$A:$A, (MATCH(440, 輔助計算!$F$2:$F$801, 0)+1)), ""), ""), "")</f>
        <v/>
      </c>
      <c r="C441" s="10">
        <f>IFERROR(IF(AND(IFERROR(INDEX(ERP資料!$A:$A, (MATCH(440, 輔助計算!$F$2:$F$801, 0)+1)), "")&lt;&gt;"", IFERROR(INDEX(ERP資料!$A:$A, (MATCH(440, 輔助計算!$F$2:$F$801, 0)+1)), "")&lt;&gt;IFERROR(INDEX(ERP資料!$A:$A, MATCH(439, 輔助計算!$F$2:$F$801, 0)+1), "")), INDEX(ERP資料!$S:$S, (MATCH(440, 輔助計算!$F$2:$F$801, 0)+1)), ""), "")</f>
        <v/>
      </c>
      <c r="D441" s="10">
        <f>IFERROR(IF(INDEX(ERP資料!$E:$E, (MATCH(440, 輔助計算!$F$2:$F$801, 0)+1))="","",TRIM(INDEX(ERP資料!$E:$E, (MATCH(440, 輔助計算!$F$2:$F$801, 0)+1)))), "")</f>
        <v/>
      </c>
      <c r="E441" s="10">
        <f>IFERROR(IF(INDEX(ERP資料!$F:$F, (MATCH(440, 輔助計算!$F$2:$F$801, 0)+1))="","",INDEX(ERP資料!$F:$F, (MATCH(440, 輔助計算!$F$2:$F$801, 0)+1))), "")</f>
        <v/>
      </c>
      <c r="F441" s="10">
        <f>IFERROR(IF(INDEX(ERP資料!$G:$G, (MATCH(440, 輔助計算!$F$2:$F$801, 0)+1))="","",INDEX(ERP資料!$G:$G, (MATCH(440, 輔助計算!$F$2:$F$801, 0)+1))), "")</f>
        <v/>
      </c>
      <c r="G441" s="10">
        <f>IFERROR(IF(INDEX(ERP資料!$H:$H, (MATCH(440, 輔助計算!$F$2:$F$801, 0)+1))="","",INDEX(ERP資料!$H:$H, (MATCH(440, 輔助計算!$F$2:$F$801, 0)+1))), "")</f>
        <v/>
      </c>
      <c r="H441" s="10">
        <f>IFERROR(IF(INDEX(ERP資料!$O:$O, (MATCH(440, 輔助計算!$F$2:$F$801, 0)+1))="","",INDEX(ERP資料!$O:$O, (MATCH(440, 輔助計算!$F$2:$F$801, 0)+1))), "")</f>
        <v/>
      </c>
      <c r="I441" s="15">
        <f>IFERROR(IF(INDEX(輔助計算!$D:$D,(MATCH(440, 輔助計算!$F$2:$F$801, 0)+1))="","",INDEX(輔助計算!$D:$D,(MATCH(440, 輔助計算!$F$2:$F$801, 0)+1))*INDEX(ERP資料!$O:$O,(MATCH(440, 輔助計算!$F$2:$F$801, 0)+1))), "")</f>
        <v/>
      </c>
      <c r="J441" s="16" t="n"/>
      <c r="K441" s="15">
        <f>IFERROR(INDEX(輔助計算!$D:$D, (MATCH(440, 輔助計算!$F$2:$F$801, 0)+1)), "")</f>
        <v/>
      </c>
      <c r="L441" s="16">
        <f>IFERROR(IF(AND(IFERROR(VLOOKUP(LEFT(INDEX(ERP資料!$S:$S, (MATCH(440, 輔助計算!$F$2:$F$801, 0)+1)), 4), 100張客戶!$A:$A, 1, FALSE), "")&lt;&gt;"", OR(INDEX(ERP資料!$F:$F, (MATCH(440, 輔助計算!$F$2:$F$801, 0)+1))=270, INDEX(ERP資料!$F:$F, (MATCH(440, 輔助計算!$F$2:$F$801, 0)+1))=300)), "100張", ""), "")</f>
        <v/>
      </c>
      <c r="M441" s="17" t="n"/>
      <c r="N441" s="17">
        <f>IF($F441="","",$F441)</f>
        <v/>
      </c>
      <c r="O441" s="17">
        <f>IF($G441="","",$G441)</f>
        <v/>
      </c>
      <c r="P441" s="17">
        <f>IF($K441="","",$K441)</f>
        <v/>
      </c>
      <c r="Q441" s="16" t="n"/>
      <c r="R441" s="18" t="n"/>
      <c r="S441" s="16" t="n"/>
    </row>
    <row r="442">
      <c r="A442" s="14">
        <f>IFERROR(IF(AND(IFERROR(INDEX(ERP資料!$A:$A, (MATCH(441, 輔助計算!$F$2:$F$801, 0)+1)), "")&lt;&gt;"", IFERROR(INDEX(ERP資料!$A:$A, (MATCH(441, 輔助計算!$F$2:$F$801, 0)+1)), "")&lt;&gt;IFERROR(INDEX(ERP資料!$A:$A, MATCH(440, 輔助計算!$F$2:$F$801, 0)+1), "")), INDEX(ERP資料!$B:$B, (MATCH(441, 輔助計算!$F$2:$F$801, 0)+1)), ""), "")</f>
        <v/>
      </c>
      <c r="B442" s="10">
        <f>IFERROR(IF(AND(IFERROR(INDEX(ERP資料!$A:$A, (MATCH(441, 輔助計算!$F$2:$F$801, 0)+1)), "")&lt;&gt;"", IFERROR(INDEX(ERP資料!$A:$A, (MATCH(441, 輔助計算!$F$2:$F$801, 0)+1)), "")&lt;&gt;IFERROR(INDEX(ERP資料!$A:$A, MATCH(440, 輔助計算!$F$2:$F$801, 0)+1), "")), IFERROR(INDEX(ERP資料!$A:$A, (MATCH(441, 輔助計算!$F$2:$F$801, 0)+1)), ""), ""), "")</f>
        <v/>
      </c>
      <c r="C442" s="10">
        <f>IFERROR(IF(AND(IFERROR(INDEX(ERP資料!$A:$A, (MATCH(441, 輔助計算!$F$2:$F$801, 0)+1)), "")&lt;&gt;"", IFERROR(INDEX(ERP資料!$A:$A, (MATCH(441, 輔助計算!$F$2:$F$801, 0)+1)), "")&lt;&gt;IFERROR(INDEX(ERP資料!$A:$A, MATCH(440, 輔助計算!$F$2:$F$801, 0)+1), "")), INDEX(ERP資料!$S:$S, (MATCH(441, 輔助計算!$F$2:$F$801, 0)+1)), ""), "")</f>
        <v/>
      </c>
      <c r="D442" s="10">
        <f>IFERROR(IF(INDEX(ERP資料!$E:$E, (MATCH(441, 輔助計算!$F$2:$F$801, 0)+1))="","",TRIM(INDEX(ERP資料!$E:$E, (MATCH(441, 輔助計算!$F$2:$F$801, 0)+1)))), "")</f>
        <v/>
      </c>
      <c r="E442" s="10">
        <f>IFERROR(IF(INDEX(ERP資料!$F:$F, (MATCH(441, 輔助計算!$F$2:$F$801, 0)+1))="","",INDEX(ERP資料!$F:$F, (MATCH(441, 輔助計算!$F$2:$F$801, 0)+1))), "")</f>
        <v/>
      </c>
      <c r="F442" s="10">
        <f>IFERROR(IF(INDEX(ERP資料!$G:$G, (MATCH(441, 輔助計算!$F$2:$F$801, 0)+1))="","",INDEX(ERP資料!$G:$G, (MATCH(441, 輔助計算!$F$2:$F$801, 0)+1))), "")</f>
        <v/>
      </c>
      <c r="G442" s="10">
        <f>IFERROR(IF(INDEX(ERP資料!$H:$H, (MATCH(441, 輔助計算!$F$2:$F$801, 0)+1))="","",INDEX(ERP資料!$H:$H, (MATCH(441, 輔助計算!$F$2:$F$801, 0)+1))), "")</f>
        <v/>
      </c>
      <c r="H442" s="10">
        <f>IFERROR(IF(INDEX(ERP資料!$O:$O, (MATCH(441, 輔助計算!$F$2:$F$801, 0)+1))="","",INDEX(ERP資料!$O:$O, (MATCH(441, 輔助計算!$F$2:$F$801, 0)+1))), "")</f>
        <v/>
      </c>
      <c r="I442" s="15">
        <f>IFERROR(IF(INDEX(輔助計算!$D:$D,(MATCH(441, 輔助計算!$F$2:$F$801, 0)+1))="","",INDEX(輔助計算!$D:$D,(MATCH(441, 輔助計算!$F$2:$F$801, 0)+1))*INDEX(ERP資料!$O:$O,(MATCH(441, 輔助計算!$F$2:$F$801, 0)+1))), "")</f>
        <v/>
      </c>
      <c r="J442" s="16" t="n"/>
      <c r="K442" s="15">
        <f>IFERROR(INDEX(輔助計算!$D:$D, (MATCH(441, 輔助計算!$F$2:$F$801, 0)+1)), "")</f>
        <v/>
      </c>
      <c r="L442" s="16">
        <f>IFERROR(IF(AND(IFERROR(VLOOKUP(LEFT(INDEX(ERP資料!$S:$S, (MATCH(441, 輔助計算!$F$2:$F$801, 0)+1)), 4), 100張客戶!$A:$A, 1, FALSE), "")&lt;&gt;"", OR(INDEX(ERP資料!$F:$F, (MATCH(441, 輔助計算!$F$2:$F$801, 0)+1))=270, INDEX(ERP資料!$F:$F, (MATCH(441, 輔助計算!$F$2:$F$801, 0)+1))=300)), "100張", ""), "")</f>
        <v/>
      </c>
      <c r="M442" s="17" t="n"/>
      <c r="N442" s="17">
        <f>IF($F442="","",$F442)</f>
        <v/>
      </c>
      <c r="O442" s="17">
        <f>IF($G442="","",$G442)</f>
        <v/>
      </c>
      <c r="P442" s="17">
        <f>IF($K442="","",$K442)</f>
        <v/>
      </c>
      <c r="Q442" s="16" t="n"/>
      <c r="R442" s="18" t="n"/>
      <c r="S442" s="16" t="n"/>
    </row>
    <row r="443">
      <c r="A443" s="14">
        <f>IFERROR(IF(AND(IFERROR(INDEX(ERP資料!$A:$A, (MATCH(442, 輔助計算!$F$2:$F$801, 0)+1)), "")&lt;&gt;"", IFERROR(INDEX(ERP資料!$A:$A, (MATCH(442, 輔助計算!$F$2:$F$801, 0)+1)), "")&lt;&gt;IFERROR(INDEX(ERP資料!$A:$A, MATCH(441, 輔助計算!$F$2:$F$801, 0)+1), "")), INDEX(ERP資料!$B:$B, (MATCH(442, 輔助計算!$F$2:$F$801, 0)+1)), ""), "")</f>
        <v/>
      </c>
      <c r="B443" s="10">
        <f>IFERROR(IF(AND(IFERROR(INDEX(ERP資料!$A:$A, (MATCH(442, 輔助計算!$F$2:$F$801, 0)+1)), "")&lt;&gt;"", IFERROR(INDEX(ERP資料!$A:$A, (MATCH(442, 輔助計算!$F$2:$F$801, 0)+1)), "")&lt;&gt;IFERROR(INDEX(ERP資料!$A:$A, MATCH(441, 輔助計算!$F$2:$F$801, 0)+1), "")), IFERROR(INDEX(ERP資料!$A:$A, (MATCH(442, 輔助計算!$F$2:$F$801, 0)+1)), ""), ""), "")</f>
        <v/>
      </c>
      <c r="C443" s="10">
        <f>IFERROR(IF(AND(IFERROR(INDEX(ERP資料!$A:$A, (MATCH(442, 輔助計算!$F$2:$F$801, 0)+1)), "")&lt;&gt;"", IFERROR(INDEX(ERP資料!$A:$A, (MATCH(442, 輔助計算!$F$2:$F$801, 0)+1)), "")&lt;&gt;IFERROR(INDEX(ERP資料!$A:$A, MATCH(441, 輔助計算!$F$2:$F$801, 0)+1), "")), INDEX(ERP資料!$S:$S, (MATCH(442, 輔助計算!$F$2:$F$801, 0)+1)), ""), "")</f>
        <v/>
      </c>
      <c r="D443" s="10">
        <f>IFERROR(IF(INDEX(ERP資料!$E:$E, (MATCH(442, 輔助計算!$F$2:$F$801, 0)+1))="","",TRIM(INDEX(ERP資料!$E:$E, (MATCH(442, 輔助計算!$F$2:$F$801, 0)+1)))), "")</f>
        <v/>
      </c>
      <c r="E443" s="10">
        <f>IFERROR(IF(INDEX(ERP資料!$F:$F, (MATCH(442, 輔助計算!$F$2:$F$801, 0)+1))="","",INDEX(ERP資料!$F:$F, (MATCH(442, 輔助計算!$F$2:$F$801, 0)+1))), "")</f>
        <v/>
      </c>
      <c r="F443" s="10">
        <f>IFERROR(IF(INDEX(ERP資料!$G:$G, (MATCH(442, 輔助計算!$F$2:$F$801, 0)+1))="","",INDEX(ERP資料!$G:$G, (MATCH(442, 輔助計算!$F$2:$F$801, 0)+1))), "")</f>
        <v/>
      </c>
      <c r="G443" s="10">
        <f>IFERROR(IF(INDEX(ERP資料!$H:$H, (MATCH(442, 輔助計算!$F$2:$F$801, 0)+1))="","",INDEX(ERP資料!$H:$H, (MATCH(442, 輔助計算!$F$2:$F$801, 0)+1))), "")</f>
        <v/>
      </c>
      <c r="H443" s="10">
        <f>IFERROR(IF(INDEX(ERP資料!$O:$O, (MATCH(442, 輔助計算!$F$2:$F$801, 0)+1))="","",INDEX(ERP資料!$O:$O, (MATCH(442, 輔助計算!$F$2:$F$801, 0)+1))), "")</f>
        <v/>
      </c>
      <c r="I443" s="15">
        <f>IFERROR(IF(INDEX(輔助計算!$D:$D,(MATCH(442, 輔助計算!$F$2:$F$801, 0)+1))="","",INDEX(輔助計算!$D:$D,(MATCH(442, 輔助計算!$F$2:$F$801, 0)+1))*INDEX(ERP資料!$O:$O,(MATCH(442, 輔助計算!$F$2:$F$801, 0)+1))), "")</f>
        <v/>
      </c>
      <c r="J443" s="16" t="n"/>
      <c r="K443" s="15">
        <f>IFERROR(INDEX(輔助計算!$D:$D, (MATCH(442, 輔助計算!$F$2:$F$801, 0)+1)), "")</f>
        <v/>
      </c>
      <c r="L443" s="16">
        <f>IFERROR(IF(AND(IFERROR(VLOOKUP(LEFT(INDEX(ERP資料!$S:$S, (MATCH(442, 輔助計算!$F$2:$F$801, 0)+1)), 4), 100張客戶!$A:$A, 1, FALSE), "")&lt;&gt;"", OR(INDEX(ERP資料!$F:$F, (MATCH(442, 輔助計算!$F$2:$F$801, 0)+1))=270, INDEX(ERP資料!$F:$F, (MATCH(442, 輔助計算!$F$2:$F$801, 0)+1))=300)), "100張", ""), "")</f>
        <v/>
      </c>
      <c r="M443" s="17" t="n"/>
      <c r="N443" s="17">
        <f>IF($F443="","",$F443)</f>
        <v/>
      </c>
      <c r="O443" s="17">
        <f>IF($G443="","",$G443)</f>
        <v/>
      </c>
      <c r="P443" s="17">
        <f>IF($K443="","",$K443)</f>
        <v/>
      </c>
      <c r="Q443" s="16" t="n"/>
      <c r="R443" s="18" t="n"/>
      <c r="S443" s="16" t="n"/>
    </row>
    <row r="444">
      <c r="A444" s="14">
        <f>IFERROR(IF(AND(IFERROR(INDEX(ERP資料!$A:$A, (MATCH(443, 輔助計算!$F$2:$F$801, 0)+1)), "")&lt;&gt;"", IFERROR(INDEX(ERP資料!$A:$A, (MATCH(443, 輔助計算!$F$2:$F$801, 0)+1)), "")&lt;&gt;IFERROR(INDEX(ERP資料!$A:$A, MATCH(442, 輔助計算!$F$2:$F$801, 0)+1), "")), INDEX(ERP資料!$B:$B, (MATCH(443, 輔助計算!$F$2:$F$801, 0)+1)), ""), "")</f>
        <v/>
      </c>
      <c r="B444" s="10">
        <f>IFERROR(IF(AND(IFERROR(INDEX(ERP資料!$A:$A, (MATCH(443, 輔助計算!$F$2:$F$801, 0)+1)), "")&lt;&gt;"", IFERROR(INDEX(ERP資料!$A:$A, (MATCH(443, 輔助計算!$F$2:$F$801, 0)+1)), "")&lt;&gt;IFERROR(INDEX(ERP資料!$A:$A, MATCH(442, 輔助計算!$F$2:$F$801, 0)+1), "")), IFERROR(INDEX(ERP資料!$A:$A, (MATCH(443, 輔助計算!$F$2:$F$801, 0)+1)), ""), ""), "")</f>
        <v/>
      </c>
      <c r="C444" s="10">
        <f>IFERROR(IF(AND(IFERROR(INDEX(ERP資料!$A:$A, (MATCH(443, 輔助計算!$F$2:$F$801, 0)+1)), "")&lt;&gt;"", IFERROR(INDEX(ERP資料!$A:$A, (MATCH(443, 輔助計算!$F$2:$F$801, 0)+1)), "")&lt;&gt;IFERROR(INDEX(ERP資料!$A:$A, MATCH(442, 輔助計算!$F$2:$F$801, 0)+1), "")), INDEX(ERP資料!$S:$S, (MATCH(443, 輔助計算!$F$2:$F$801, 0)+1)), ""), "")</f>
        <v/>
      </c>
      <c r="D444" s="10">
        <f>IFERROR(IF(INDEX(ERP資料!$E:$E, (MATCH(443, 輔助計算!$F$2:$F$801, 0)+1))="","",TRIM(INDEX(ERP資料!$E:$E, (MATCH(443, 輔助計算!$F$2:$F$801, 0)+1)))), "")</f>
        <v/>
      </c>
      <c r="E444" s="10">
        <f>IFERROR(IF(INDEX(ERP資料!$F:$F, (MATCH(443, 輔助計算!$F$2:$F$801, 0)+1))="","",INDEX(ERP資料!$F:$F, (MATCH(443, 輔助計算!$F$2:$F$801, 0)+1))), "")</f>
        <v/>
      </c>
      <c r="F444" s="10">
        <f>IFERROR(IF(INDEX(ERP資料!$G:$G, (MATCH(443, 輔助計算!$F$2:$F$801, 0)+1))="","",INDEX(ERP資料!$G:$G, (MATCH(443, 輔助計算!$F$2:$F$801, 0)+1))), "")</f>
        <v/>
      </c>
      <c r="G444" s="10">
        <f>IFERROR(IF(INDEX(ERP資料!$H:$H, (MATCH(443, 輔助計算!$F$2:$F$801, 0)+1))="","",INDEX(ERP資料!$H:$H, (MATCH(443, 輔助計算!$F$2:$F$801, 0)+1))), "")</f>
        <v/>
      </c>
      <c r="H444" s="10">
        <f>IFERROR(IF(INDEX(ERP資料!$O:$O, (MATCH(443, 輔助計算!$F$2:$F$801, 0)+1))="","",INDEX(ERP資料!$O:$O, (MATCH(443, 輔助計算!$F$2:$F$801, 0)+1))), "")</f>
        <v/>
      </c>
      <c r="I444" s="15">
        <f>IFERROR(IF(INDEX(輔助計算!$D:$D,(MATCH(443, 輔助計算!$F$2:$F$801, 0)+1))="","",INDEX(輔助計算!$D:$D,(MATCH(443, 輔助計算!$F$2:$F$801, 0)+1))*INDEX(ERP資料!$O:$O,(MATCH(443, 輔助計算!$F$2:$F$801, 0)+1))), "")</f>
        <v/>
      </c>
      <c r="J444" s="16" t="n"/>
      <c r="K444" s="15">
        <f>IFERROR(INDEX(輔助計算!$D:$D, (MATCH(443, 輔助計算!$F$2:$F$801, 0)+1)), "")</f>
        <v/>
      </c>
      <c r="L444" s="16">
        <f>IFERROR(IF(AND(IFERROR(VLOOKUP(LEFT(INDEX(ERP資料!$S:$S, (MATCH(443, 輔助計算!$F$2:$F$801, 0)+1)), 4), 100張客戶!$A:$A, 1, FALSE), "")&lt;&gt;"", OR(INDEX(ERP資料!$F:$F, (MATCH(443, 輔助計算!$F$2:$F$801, 0)+1))=270, INDEX(ERP資料!$F:$F, (MATCH(443, 輔助計算!$F$2:$F$801, 0)+1))=300)), "100張", ""), "")</f>
        <v/>
      </c>
      <c r="M444" s="17" t="n"/>
      <c r="N444" s="17">
        <f>IF($F444="","",$F444)</f>
        <v/>
      </c>
      <c r="O444" s="17">
        <f>IF($G444="","",$G444)</f>
        <v/>
      </c>
      <c r="P444" s="17">
        <f>IF($K444="","",$K444)</f>
        <v/>
      </c>
      <c r="Q444" s="16" t="n"/>
      <c r="R444" s="18" t="n"/>
      <c r="S444" s="16" t="n"/>
    </row>
    <row r="445">
      <c r="A445" s="14">
        <f>IFERROR(IF(AND(IFERROR(INDEX(ERP資料!$A:$A, (MATCH(444, 輔助計算!$F$2:$F$801, 0)+1)), "")&lt;&gt;"", IFERROR(INDEX(ERP資料!$A:$A, (MATCH(444, 輔助計算!$F$2:$F$801, 0)+1)), "")&lt;&gt;IFERROR(INDEX(ERP資料!$A:$A, MATCH(443, 輔助計算!$F$2:$F$801, 0)+1), "")), INDEX(ERP資料!$B:$B, (MATCH(444, 輔助計算!$F$2:$F$801, 0)+1)), ""), "")</f>
        <v/>
      </c>
      <c r="B445" s="10">
        <f>IFERROR(IF(AND(IFERROR(INDEX(ERP資料!$A:$A, (MATCH(444, 輔助計算!$F$2:$F$801, 0)+1)), "")&lt;&gt;"", IFERROR(INDEX(ERP資料!$A:$A, (MATCH(444, 輔助計算!$F$2:$F$801, 0)+1)), "")&lt;&gt;IFERROR(INDEX(ERP資料!$A:$A, MATCH(443, 輔助計算!$F$2:$F$801, 0)+1), "")), IFERROR(INDEX(ERP資料!$A:$A, (MATCH(444, 輔助計算!$F$2:$F$801, 0)+1)), ""), ""), "")</f>
        <v/>
      </c>
      <c r="C445" s="10">
        <f>IFERROR(IF(AND(IFERROR(INDEX(ERP資料!$A:$A, (MATCH(444, 輔助計算!$F$2:$F$801, 0)+1)), "")&lt;&gt;"", IFERROR(INDEX(ERP資料!$A:$A, (MATCH(444, 輔助計算!$F$2:$F$801, 0)+1)), "")&lt;&gt;IFERROR(INDEX(ERP資料!$A:$A, MATCH(443, 輔助計算!$F$2:$F$801, 0)+1), "")), INDEX(ERP資料!$S:$S, (MATCH(444, 輔助計算!$F$2:$F$801, 0)+1)), ""), "")</f>
        <v/>
      </c>
      <c r="D445" s="10">
        <f>IFERROR(IF(INDEX(ERP資料!$E:$E, (MATCH(444, 輔助計算!$F$2:$F$801, 0)+1))="","",TRIM(INDEX(ERP資料!$E:$E, (MATCH(444, 輔助計算!$F$2:$F$801, 0)+1)))), "")</f>
        <v/>
      </c>
      <c r="E445" s="10">
        <f>IFERROR(IF(INDEX(ERP資料!$F:$F, (MATCH(444, 輔助計算!$F$2:$F$801, 0)+1))="","",INDEX(ERP資料!$F:$F, (MATCH(444, 輔助計算!$F$2:$F$801, 0)+1))), "")</f>
        <v/>
      </c>
      <c r="F445" s="10">
        <f>IFERROR(IF(INDEX(ERP資料!$G:$G, (MATCH(444, 輔助計算!$F$2:$F$801, 0)+1))="","",INDEX(ERP資料!$G:$G, (MATCH(444, 輔助計算!$F$2:$F$801, 0)+1))), "")</f>
        <v/>
      </c>
      <c r="G445" s="10">
        <f>IFERROR(IF(INDEX(ERP資料!$H:$H, (MATCH(444, 輔助計算!$F$2:$F$801, 0)+1))="","",INDEX(ERP資料!$H:$H, (MATCH(444, 輔助計算!$F$2:$F$801, 0)+1))), "")</f>
        <v/>
      </c>
      <c r="H445" s="10">
        <f>IFERROR(IF(INDEX(ERP資料!$O:$O, (MATCH(444, 輔助計算!$F$2:$F$801, 0)+1))="","",INDEX(ERP資料!$O:$O, (MATCH(444, 輔助計算!$F$2:$F$801, 0)+1))), "")</f>
        <v/>
      </c>
      <c r="I445" s="15">
        <f>IFERROR(IF(INDEX(輔助計算!$D:$D,(MATCH(444, 輔助計算!$F$2:$F$801, 0)+1))="","",INDEX(輔助計算!$D:$D,(MATCH(444, 輔助計算!$F$2:$F$801, 0)+1))*INDEX(ERP資料!$O:$O,(MATCH(444, 輔助計算!$F$2:$F$801, 0)+1))), "")</f>
        <v/>
      </c>
      <c r="J445" s="16" t="n"/>
      <c r="K445" s="15">
        <f>IFERROR(INDEX(輔助計算!$D:$D, (MATCH(444, 輔助計算!$F$2:$F$801, 0)+1)), "")</f>
        <v/>
      </c>
      <c r="L445" s="16">
        <f>IFERROR(IF(AND(IFERROR(VLOOKUP(LEFT(INDEX(ERP資料!$S:$S, (MATCH(444, 輔助計算!$F$2:$F$801, 0)+1)), 4), 100張客戶!$A:$A, 1, FALSE), "")&lt;&gt;"", OR(INDEX(ERP資料!$F:$F, (MATCH(444, 輔助計算!$F$2:$F$801, 0)+1))=270, INDEX(ERP資料!$F:$F, (MATCH(444, 輔助計算!$F$2:$F$801, 0)+1))=300)), "100張", ""), "")</f>
        <v/>
      </c>
      <c r="M445" s="17" t="n"/>
      <c r="N445" s="17">
        <f>IF($F445="","",$F445)</f>
        <v/>
      </c>
      <c r="O445" s="17">
        <f>IF($G445="","",$G445)</f>
        <v/>
      </c>
      <c r="P445" s="17">
        <f>IF($K445="","",$K445)</f>
        <v/>
      </c>
      <c r="Q445" s="16" t="n"/>
      <c r="R445" s="18" t="n"/>
      <c r="S445" s="16" t="n"/>
    </row>
    <row r="446">
      <c r="A446" s="14">
        <f>IFERROR(IF(AND(IFERROR(INDEX(ERP資料!$A:$A, (MATCH(445, 輔助計算!$F$2:$F$801, 0)+1)), "")&lt;&gt;"", IFERROR(INDEX(ERP資料!$A:$A, (MATCH(445, 輔助計算!$F$2:$F$801, 0)+1)), "")&lt;&gt;IFERROR(INDEX(ERP資料!$A:$A, MATCH(444, 輔助計算!$F$2:$F$801, 0)+1), "")), INDEX(ERP資料!$B:$B, (MATCH(445, 輔助計算!$F$2:$F$801, 0)+1)), ""), "")</f>
        <v/>
      </c>
      <c r="B446" s="10">
        <f>IFERROR(IF(AND(IFERROR(INDEX(ERP資料!$A:$A, (MATCH(445, 輔助計算!$F$2:$F$801, 0)+1)), "")&lt;&gt;"", IFERROR(INDEX(ERP資料!$A:$A, (MATCH(445, 輔助計算!$F$2:$F$801, 0)+1)), "")&lt;&gt;IFERROR(INDEX(ERP資料!$A:$A, MATCH(444, 輔助計算!$F$2:$F$801, 0)+1), "")), IFERROR(INDEX(ERP資料!$A:$A, (MATCH(445, 輔助計算!$F$2:$F$801, 0)+1)), ""), ""), "")</f>
        <v/>
      </c>
      <c r="C446" s="10">
        <f>IFERROR(IF(AND(IFERROR(INDEX(ERP資料!$A:$A, (MATCH(445, 輔助計算!$F$2:$F$801, 0)+1)), "")&lt;&gt;"", IFERROR(INDEX(ERP資料!$A:$A, (MATCH(445, 輔助計算!$F$2:$F$801, 0)+1)), "")&lt;&gt;IFERROR(INDEX(ERP資料!$A:$A, MATCH(444, 輔助計算!$F$2:$F$801, 0)+1), "")), INDEX(ERP資料!$S:$S, (MATCH(445, 輔助計算!$F$2:$F$801, 0)+1)), ""), "")</f>
        <v/>
      </c>
      <c r="D446" s="10">
        <f>IFERROR(IF(INDEX(ERP資料!$E:$E, (MATCH(445, 輔助計算!$F$2:$F$801, 0)+1))="","",TRIM(INDEX(ERP資料!$E:$E, (MATCH(445, 輔助計算!$F$2:$F$801, 0)+1)))), "")</f>
        <v/>
      </c>
      <c r="E446" s="10">
        <f>IFERROR(IF(INDEX(ERP資料!$F:$F, (MATCH(445, 輔助計算!$F$2:$F$801, 0)+1))="","",INDEX(ERP資料!$F:$F, (MATCH(445, 輔助計算!$F$2:$F$801, 0)+1))), "")</f>
        <v/>
      </c>
      <c r="F446" s="10">
        <f>IFERROR(IF(INDEX(ERP資料!$G:$G, (MATCH(445, 輔助計算!$F$2:$F$801, 0)+1))="","",INDEX(ERP資料!$G:$G, (MATCH(445, 輔助計算!$F$2:$F$801, 0)+1))), "")</f>
        <v/>
      </c>
      <c r="G446" s="10">
        <f>IFERROR(IF(INDEX(ERP資料!$H:$H, (MATCH(445, 輔助計算!$F$2:$F$801, 0)+1))="","",INDEX(ERP資料!$H:$H, (MATCH(445, 輔助計算!$F$2:$F$801, 0)+1))), "")</f>
        <v/>
      </c>
      <c r="H446" s="10">
        <f>IFERROR(IF(INDEX(ERP資料!$O:$O, (MATCH(445, 輔助計算!$F$2:$F$801, 0)+1))="","",INDEX(ERP資料!$O:$O, (MATCH(445, 輔助計算!$F$2:$F$801, 0)+1))), "")</f>
        <v/>
      </c>
      <c r="I446" s="15">
        <f>IFERROR(IF(INDEX(輔助計算!$D:$D,(MATCH(445, 輔助計算!$F$2:$F$801, 0)+1))="","",INDEX(輔助計算!$D:$D,(MATCH(445, 輔助計算!$F$2:$F$801, 0)+1))*INDEX(ERP資料!$O:$O,(MATCH(445, 輔助計算!$F$2:$F$801, 0)+1))), "")</f>
        <v/>
      </c>
      <c r="J446" s="16" t="n"/>
      <c r="K446" s="15">
        <f>IFERROR(INDEX(輔助計算!$D:$D, (MATCH(445, 輔助計算!$F$2:$F$801, 0)+1)), "")</f>
        <v/>
      </c>
      <c r="L446" s="16">
        <f>IFERROR(IF(AND(IFERROR(VLOOKUP(LEFT(INDEX(ERP資料!$S:$S, (MATCH(445, 輔助計算!$F$2:$F$801, 0)+1)), 4), 100張客戶!$A:$A, 1, FALSE), "")&lt;&gt;"", OR(INDEX(ERP資料!$F:$F, (MATCH(445, 輔助計算!$F$2:$F$801, 0)+1))=270, INDEX(ERP資料!$F:$F, (MATCH(445, 輔助計算!$F$2:$F$801, 0)+1))=300)), "100張", ""), "")</f>
        <v/>
      </c>
      <c r="M446" s="17" t="n"/>
      <c r="N446" s="17">
        <f>IF($F446="","",$F446)</f>
        <v/>
      </c>
      <c r="O446" s="17">
        <f>IF($G446="","",$G446)</f>
        <v/>
      </c>
      <c r="P446" s="17">
        <f>IF($K446="","",$K446)</f>
        <v/>
      </c>
      <c r="Q446" s="16" t="n"/>
      <c r="R446" s="18" t="n"/>
      <c r="S446" s="16" t="n"/>
    </row>
    <row r="447">
      <c r="A447" s="14">
        <f>IFERROR(IF(AND(IFERROR(INDEX(ERP資料!$A:$A, (MATCH(446, 輔助計算!$F$2:$F$801, 0)+1)), "")&lt;&gt;"", IFERROR(INDEX(ERP資料!$A:$A, (MATCH(446, 輔助計算!$F$2:$F$801, 0)+1)), "")&lt;&gt;IFERROR(INDEX(ERP資料!$A:$A, MATCH(445, 輔助計算!$F$2:$F$801, 0)+1), "")), INDEX(ERP資料!$B:$B, (MATCH(446, 輔助計算!$F$2:$F$801, 0)+1)), ""), "")</f>
        <v/>
      </c>
      <c r="B447" s="10">
        <f>IFERROR(IF(AND(IFERROR(INDEX(ERP資料!$A:$A, (MATCH(446, 輔助計算!$F$2:$F$801, 0)+1)), "")&lt;&gt;"", IFERROR(INDEX(ERP資料!$A:$A, (MATCH(446, 輔助計算!$F$2:$F$801, 0)+1)), "")&lt;&gt;IFERROR(INDEX(ERP資料!$A:$A, MATCH(445, 輔助計算!$F$2:$F$801, 0)+1), "")), IFERROR(INDEX(ERP資料!$A:$A, (MATCH(446, 輔助計算!$F$2:$F$801, 0)+1)), ""), ""), "")</f>
        <v/>
      </c>
      <c r="C447" s="10">
        <f>IFERROR(IF(AND(IFERROR(INDEX(ERP資料!$A:$A, (MATCH(446, 輔助計算!$F$2:$F$801, 0)+1)), "")&lt;&gt;"", IFERROR(INDEX(ERP資料!$A:$A, (MATCH(446, 輔助計算!$F$2:$F$801, 0)+1)), "")&lt;&gt;IFERROR(INDEX(ERP資料!$A:$A, MATCH(445, 輔助計算!$F$2:$F$801, 0)+1), "")), INDEX(ERP資料!$S:$S, (MATCH(446, 輔助計算!$F$2:$F$801, 0)+1)), ""), "")</f>
        <v/>
      </c>
      <c r="D447" s="10">
        <f>IFERROR(IF(INDEX(ERP資料!$E:$E, (MATCH(446, 輔助計算!$F$2:$F$801, 0)+1))="","",TRIM(INDEX(ERP資料!$E:$E, (MATCH(446, 輔助計算!$F$2:$F$801, 0)+1)))), "")</f>
        <v/>
      </c>
      <c r="E447" s="10">
        <f>IFERROR(IF(INDEX(ERP資料!$F:$F, (MATCH(446, 輔助計算!$F$2:$F$801, 0)+1))="","",INDEX(ERP資料!$F:$F, (MATCH(446, 輔助計算!$F$2:$F$801, 0)+1))), "")</f>
        <v/>
      </c>
      <c r="F447" s="10">
        <f>IFERROR(IF(INDEX(ERP資料!$G:$G, (MATCH(446, 輔助計算!$F$2:$F$801, 0)+1))="","",INDEX(ERP資料!$G:$G, (MATCH(446, 輔助計算!$F$2:$F$801, 0)+1))), "")</f>
        <v/>
      </c>
      <c r="G447" s="10">
        <f>IFERROR(IF(INDEX(ERP資料!$H:$H, (MATCH(446, 輔助計算!$F$2:$F$801, 0)+1))="","",INDEX(ERP資料!$H:$H, (MATCH(446, 輔助計算!$F$2:$F$801, 0)+1))), "")</f>
        <v/>
      </c>
      <c r="H447" s="10">
        <f>IFERROR(IF(INDEX(ERP資料!$O:$O, (MATCH(446, 輔助計算!$F$2:$F$801, 0)+1))="","",INDEX(ERP資料!$O:$O, (MATCH(446, 輔助計算!$F$2:$F$801, 0)+1))), "")</f>
        <v/>
      </c>
      <c r="I447" s="15">
        <f>IFERROR(IF(INDEX(輔助計算!$D:$D,(MATCH(446, 輔助計算!$F$2:$F$801, 0)+1))="","",INDEX(輔助計算!$D:$D,(MATCH(446, 輔助計算!$F$2:$F$801, 0)+1))*INDEX(ERP資料!$O:$O,(MATCH(446, 輔助計算!$F$2:$F$801, 0)+1))), "")</f>
        <v/>
      </c>
      <c r="J447" s="16" t="n"/>
      <c r="K447" s="15">
        <f>IFERROR(INDEX(輔助計算!$D:$D, (MATCH(446, 輔助計算!$F$2:$F$801, 0)+1)), "")</f>
        <v/>
      </c>
      <c r="L447" s="16">
        <f>IFERROR(IF(AND(IFERROR(VLOOKUP(LEFT(INDEX(ERP資料!$S:$S, (MATCH(446, 輔助計算!$F$2:$F$801, 0)+1)), 4), 100張客戶!$A:$A, 1, FALSE), "")&lt;&gt;"", OR(INDEX(ERP資料!$F:$F, (MATCH(446, 輔助計算!$F$2:$F$801, 0)+1))=270, INDEX(ERP資料!$F:$F, (MATCH(446, 輔助計算!$F$2:$F$801, 0)+1))=300)), "100張", ""), "")</f>
        <v/>
      </c>
      <c r="M447" s="17" t="n"/>
      <c r="N447" s="17">
        <f>IF($F447="","",$F447)</f>
        <v/>
      </c>
      <c r="O447" s="17">
        <f>IF($G447="","",$G447)</f>
        <v/>
      </c>
      <c r="P447" s="17">
        <f>IF($K447="","",$K447)</f>
        <v/>
      </c>
      <c r="Q447" s="16" t="n"/>
      <c r="R447" s="18" t="n"/>
      <c r="S447" s="16" t="n"/>
    </row>
    <row r="448">
      <c r="A448" s="14">
        <f>IFERROR(IF(AND(IFERROR(INDEX(ERP資料!$A:$A, (MATCH(447, 輔助計算!$F$2:$F$801, 0)+1)), "")&lt;&gt;"", IFERROR(INDEX(ERP資料!$A:$A, (MATCH(447, 輔助計算!$F$2:$F$801, 0)+1)), "")&lt;&gt;IFERROR(INDEX(ERP資料!$A:$A, MATCH(446, 輔助計算!$F$2:$F$801, 0)+1), "")), INDEX(ERP資料!$B:$B, (MATCH(447, 輔助計算!$F$2:$F$801, 0)+1)), ""), "")</f>
        <v/>
      </c>
      <c r="B448" s="10">
        <f>IFERROR(IF(AND(IFERROR(INDEX(ERP資料!$A:$A, (MATCH(447, 輔助計算!$F$2:$F$801, 0)+1)), "")&lt;&gt;"", IFERROR(INDEX(ERP資料!$A:$A, (MATCH(447, 輔助計算!$F$2:$F$801, 0)+1)), "")&lt;&gt;IFERROR(INDEX(ERP資料!$A:$A, MATCH(446, 輔助計算!$F$2:$F$801, 0)+1), "")), IFERROR(INDEX(ERP資料!$A:$A, (MATCH(447, 輔助計算!$F$2:$F$801, 0)+1)), ""), ""), "")</f>
        <v/>
      </c>
      <c r="C448" s="10">
        <f>IFERROR(IF(AND(IFERROR(INDEX(ERP資料!$A:$A, (MATCH(447, 輔助計算!$F$2:$F$801, 0)+1)), "")&lt;&gt;"", IFERROR(INDEX(ERP資料!$A:$A, (MATCH(447, 輔助計算!$F$2:$F$801, 0)+1)), "")&lt;&gt;IFERROR(INDEX(ERP資料!$A:$A, MATCH(446, 輔助計算!$F$2:$F$801, 0)+1), "")), INDEX(ERP資料!$S:$S, (MATCH(447, 輔助計算!$F$2:$F$801, 0)+1)), ""), "")</f>
        <v/>
      </c>
      <c r="D448" s="10">
        <f>IFERROR(IF(INDEX(ERP資料!$E:$E, (MATCH(447, 輔助計算!$F$2:$F$801, 0)+1))="","",TRIM(INDEX(ERP資料!$E:$E, (MATCH(447, 輔助計算!$F$2:$F$801, 0)+1)))), "")</f>
        <v/>
      </c>
      <c r="E448" s="10">
        <f>IFERROR(IF(INDEX(ERP資料!$F:$F, (MATCH(447, 輔助計算!$F$2:$F$801, 0)+1))="","",INDEX(ERP資料!$F:$F, (MATCH(447, 輔助計算!$F$2:$F$801, 0)+1))), "")</f>
        <v/>
      </c>
      <c r="F448" s="10">
        <f>IFERROR(IF(INDEX(ERP資料!$G:$G, (MATCH(447, 輔助計算!$F$2:$F$801, 0)+1))="","",INDEX(ERP資料!$G:$G, (MATCH(447, 輔助計算!$F$2:$F$801, 0)+1))), "")</f>
        <v/>
      </c>
      <c r="G448" s="10">
        <f>IFERROR(IF(INDEX(ERP資料!$H:$H, (MATCH(447, 輔助計算!$F$2:$F$801, 0)+1))="","",INDEX(ERP資料!$H:$H, (MATCH(447, 輔助計算!$F$2:$F$801, 0)+1))), "")</f>
        <v/>
      </c>
      <c r="H448" s="10">
        <f>IFERROR(IF(INDEX(ERP資料!$O:$O, (MATCH(447, 輔助計算!$F$2:$F$801, 0)+1))="","",INDEX(ERP資料!$O:$O, (MATCH(447, 輔助計算!$F$2:$F$801, 0)+1))), "")</f>
        <v/>
      </c>
      <c r="I448" s="15">
        <f>IFERROR(IF(INDEX(輔助計算!$D:$D,(MATCH(447, 輔助計算!$F$2:$F$801, 0)+1))="","",INDEX(輔助計算!$D:$D,(MATCH(447, 輔助計算!$F$2:$F$801, 0)+1))*INDEX(ERP資料!$O:$O,(MATCH(447, 輔助計算!$F$2:$F$801, 0)+1))), "")</f>
        <v/>
      </c>
      <c r="J448" s="16" t="n"/>
      <c r="K448" s="15">
        <f>IFERROR(INDEX(輔助計算!$D:$D, (MATCH(447, 輔助計算!$F$2:$F$801, 0)+1)), "")</f>
        <v/>
      </c>
      <c r="L448" s="16">
        <f>IFERROR(IF(AND(IFERROR(VLOOKUP(LEFT(INDEX(ERP資料!$S:$S, (MATCH(447, 輔助計算!$F$2:$F$801, 0)+1)), 4), 100張客戶!$A:$A, 1, FALSE), "")&lt;&gt;"", OR(INDEX(ERP資料!$F:$F, (MATCH(447, 輔助計算!$F$2:$F$801, 0)+1))=270, INDEX(ERP資料!$F:$F, (MATCH(447, 輔助計算!$F$2:$F$801, 0)+1))=300)), "100張", ""), "")</f>
        <v/>
      </c>
      <c r="M448" s="17" t="n"/>
      <c r="N448" s="17">
        <f>IF($F448="","",$F448)</f>
        <v/>
      </c>
      <c r="O448" s="17">
        <f>IF($G448="","",$G448)</f>
        <v/>
      </c>
      <c r="P448" s="17">
        <f>IF($K448="","",$K448)</f>
        <v/>
      </c>
      <c r="Q448" s="16" t="n"/>
      <c r="R448" s="18" t="n"/>
      <c r="S448" s="16" t="n"/>
    </row>
    <row r="449">
      <c r="A449" s="14">
        <f>IFERROR(IF(AND(IFERROR(INDEX(ERP資料!$A:$A, (MATCH(448, 輔助計算!$F$2:$F$801, 0)+1)), "")&lt;&gt;"", IFERROR(INDEX(ERP資料!$A:$A, (MATCH(448, 輔助計算!$F$2:$F$801, 0)+1)), "")&lt;&gt;IFERROR(INDEX(ERP資料!$A:$A, MATCH(447, 輔助計算!$F$2:$F$801, 0)+1), "")), INDEX(ERP資料!$B:$B, (MATCH(448, 輔助計算!$F$2:$F$801, 0)+1)), ""), "")</f>
        <v/>
      </c>
      <c r="B449" s="10">
        <f>IFERROR(IF(AND(IFERROR(INDEX(ERP資料!$A:$A, (MATCH(448, 輔助計算!$F$2:$F$801, 0)+1)), "")&lt;&gt;"", IFERROR(INDEX(ERP資料!$A:$A, (MATCH(448, 輔助計算!$F$2:$F$801, 0)+1)), "")&lt;&gt;IFERROR(INDEX(ERP資料!$A:$A, MATCH(447, 輔助計算!$F$2:$F$801, 0)+1), "")), IFERROR(INDEX(ERP資料!$A:$A, (MATCH(448, 輔助計算!$F$2:$F$801, 0)+1)), ""), ""), "")</f>
        <v/>
      </c>
      <c r="C449" s="10">
        <f>IFERROR(IF(AND(IFERROR(INDEX(ERP資料!$A:$A, (MATCH(448, 輔助計算!$F$2:$F$801, 0)+1)), "")&lt;&gt;"", IFERROR(INDEX(ERP資料!$A:$A, (MATCH(448, 輔助計算!$F$2:$F$801, 0)+1)), "")&lt;&gt;IFERROR(INDEX(ERP資料!$A:$A, MATCH(447, 輔助計算!$F$2:$F$801, 0)+1), "")), INDEX(ERP資料!$S:$S, (MATCH(448, 輔助計算!$F$2:$F$801, 0)+1)), ""), "")</f>
        <v/>
      </c>
      <c r="D449" s="10">
        <f>IFERROR(IF(INDEX(ERP資料!$E:$E, (MATCH(448, 輔助計算!$F$2:$F$801, 0)+1))="","",TRIM(INDEX(ERP資料!$E:$E, (MATCH(448, 輔助計算!$F$2:$F$801, 0)+1)))), "")</f>
        <v/>
      </c>
      <c r="E449" s="10">
        <f>IFERROR(IF(INDEX(ERP資料!$F:$F, (MATCH(448, 輔助計算!$F$2:$F$801, 0)+1))="","",INDEX(ERP資料!$F:$F, (MATCH(448, 輔助計算!$F$2:$F$801, 0)+1))), "")</f>
        <v/>
      </c>
      <c r="F449" s="10">
        <f>IFERROR(IF(INDEX(ERP資料!$G:$G, (MATCH(448, 輔助計算!$F$2:$F$801, 0)+1))="","",INDEX(ERP資料!$G:$G, (MATCH(448, 輔助計算!$F$2:$F$801, 0)+1))), "")</f>
        <v/>
      </c>
      <c r="G449" s="10">
        <f>IFERROR(IF(INDEX(ERP資料!$H:$H, (MATCH(448, 輔助計算!$F$2:$F$801, 0)+1))="","",INDEX(ERP資料!$H:$H, (MATCH(448, 輔助計算!$F$2:$F$801, 0)+1))), "")</f>
        <v/>
      </c>
      <c r="H449" s="10">
        <f>IFERROR(IF(INDEX(ERP資料!$O:$O, (MATCH(448, 輔助計算!$F$2:$F$801, 0)+1))="","",INDEX(ERP資料!$O:$O, (MATCH(448, 輔助計算!$F$2:$F$801, 0)+1))), "")</f>
        <v/>
      </c>
      <c r="I449" s="15">
        <f>IFERROR(IF(INDEX(輔助計算!$D:$D,(MATCH(448, 輔助計算!$F$2:$F$801, 0)+1))="","",INDEX(輔助計算!$D:$D,(MATCH(448, 輔助計算!$F$2:$F$801, 0)+1))*INDEX(ERP資料!$O:$O,(MATCH(448, 輔助計算!$F$2:$F$801, 0)+1))), "")</f>
        <v/>
      </c>
      <c r="J449" s="16" t="n"/>
      <c r="K449" s="15">
        <f>IFERROR(INDEX(輔助計算!$D:$D, (MATCH(448, 輔助計算!$F$2:$F$801, 0)+1)), "")</f>
        <v/>
      </c>
      <c r="L449" s="16">
        <f>IFERROR(IF(AND(IFERROR(VLOOKUP(LEFT(INDEX(ERP資料!$S:$S, (MATCH(448, 輔助計算!$F$2:$F$801, 0)+1)), 4), 100張客戶!$A:$A, 1, FALSE), "")&lt;&gt;"", OR(INDEX(ERP資料!$F:$F, (MATCH(448, 輔助計算!$F$2:$F$801, 0)+1))=270, INDEX(ERP資料!$F:$F, (MATCH(448, 輔助計算!$F$2:$F$801, 0)+1))=300)), "100張", ""), "")</f>
        <v/>
      </c>
      <c r="M449" s="17" t="n"/>
      <c r="N449" s="17">
        <f>IF($F449="","",$F449)</f>
        <v/>
      </c>
      <c r="O449" s="17">
        <f>IF($G449="","",$G449)</f>
        <v/>
      </c>
      <c r="P449" s="17">
        <f>IF($K449="","",$K449)</f>
        <v/>
      </c>
      <c r="Q449" s="16" t="n"/>
      <c r="R449" s="18" t="n"/>
      <c r="S449" s="16" t="n"/>
    </row>
    <row r="450">
      <c r="A450" s="14">
        <f>IFERROR(IF(AND(IFERROR(INDEX(ERP資料!$A:$A, (MATCH(449, 輔助計算!$F$2:$F$801, 0)+1)), "")&lt;&gt;"", IFERROR(INDEX(ERP資料!$A:$A, (MATCH(449, 輔助計算!$F$2:$F$801, 0)+1)), "")&lt;&gt;IFERROR(INDEX(ERP資料!$A:$A, MATCH(448, 輔助計算!$F$2:$F$801, 0)+1), "")), INDEX(ERP資料!$B:$B, (MATCH(449, 輔助計算!$F$2:$F$801, 0)+1)), ""), "")</f>
        <v/>
      </c>
      <c r="B450" s="10">
        <f>IFERROR(IF(AND(IFERROR(INDEX(ERP資料!$A:$A, (MATCH(449, 輔助計算!$F$2:$F$801, 0)+1)), "")&lt;&gt;"", IFERROR(INDEX(ERP資料!$A:$A, (MATCH(449, 輔助計算!$F$2:$F$801, 0)+1)), "")&lt;&gt;IFERROR(INDEX(ERP資料!$A:$A, MATCH(448, 輔助計算!$F$2:$F$801, 0)+1), "")), IFERROR(INDEX(ERP資料!$A:$A, (MATCH(449, 輔助計算!$F$2:$F$801, 0)+1)), ""), ""), "")</f>
        <v/>
      </c>
      <c r="C450" s="10">
        <f>IFERROR(IF(AND(IFERROR(INDEX(ERP資料!$A:$A, (MATCH(449, 輔助計算!$F$2:$F$801, 0)+1)), "")&lt;&gt;"", IFERROR(INDEX(ERP資料!$A:$A, (MATCH(449, 輔助計算!$F$2:$F$801, 0)+1)), "")&lt;&gt;IFERROR(INDEX(ERP資料!$A:$A, MATCH(448, 輔助計算!$F$2:$F$801, 0)+1), "")), INDEX(ERP資料!$S:$S, (MATCH(449, 輔助計算!$F$2:$F$801, 0)+1)), ""), "")</f>
        <v/>
      </c>
      <c r="D450" s="10">
        <f>IFERROR(IF(INDEX(ERP資料!$E:$E, (MATCH(449, 輔助計算!$F$2:$F$801, 0)+1))="","",TRIM(INDEX(ERP資料!$E:$E, (MATCH(449, 輔助計算!$F$2:$F$801, 0)+1)))), "")</f>
        <v/>
      </c>
      <c r="E450" s="10">
        <f>IFERROR(IF(INDEX(ERP資料!$F:$F, (MATCH(449, 輔助計算!$F$2:$F$801, 0)+1))="","",INDEX(ERP資料!$F:$F, (MATCH(449, 輔助計算!$F$2:$F$801, 0)+1))), "")</f>
        <v/>
      </c>
      <c r="F450" s="10">
        <f>IFERROR(IF(INDEX(ERP資料!$G:$G, (MATCH(449, 輔助計算!$F$2:$F$801, 0)+1))="","",INDEX(ERP資料!$G:$G, (MATCH(449, 輔助計算!$F$2:$F$801, 0)+1))), "")</f>
        <v/>
      </c>
      <c r="G450" s="10">
        <f>IFERROR(IF(INDEX(ERP資料!$H:$H, (MATCH(449, 輔助計算!$F$2:$F$801, 0)+1))="","",INDEX(ERP資料!$H:$H, (MATCH(449, 輔助計算!$F$2:$F$801, 0)+1))), "")</f>
        <v/>
      </c>
      <c r="H450" s="10">
        <f>IFERROR(IF(INDEX(ERP資料!$O:$O, (MATCH(449, 輔助計算!$F$2:$F$801, 0)+1))="","",INDEX(ERP資料!$O:$O, (MATCH(449, 輔助計算!$F$2:$F$801, 0)+1))), "")</f>
        <v/>
      </c>
      <c r="I450" s="15">
        <f>IFERROR(IF(INDEX(輔助計算!$D:$D,(MATCH(449, 輔助計算!$F$2:$F$801, 0)+1))="","",INDEX(輔助計算!$D:$D,(MATCH(449, 輔助計算!$F$2:$F$801, 0)+1))*INDEX(ERP資料!$O:$O,(MATCH(449, 輔助計算!$F$2:$F$801, 0)+1))), "")</f>
        <v/>
      </c>
      <c r="J450" s="16" t="n"/>
      <c r="K450" s="15">
        <f>IFERROR(INDEX(輔助計算!$D:$D, (MATCH(449, 輔助計算!$F$2:$F$801, 0)+1)), "")</f>
        <v/>
      </c>
      <c r="L450" s="16">
        <f>IFERROR(IF(AND(IFERROR(VLOOKUP(LEFT(INDEX(ERP資料!$S:$S, (MATCH(449, 輔助計算!$F$2:$F$801, 0)+1)), 4), 100張客戶!$A:$A, 1, FALSE), "")&lt;&gt;"", OR(INDEX(ERP資料!$F:$F, (MATCH(449, 輔助計算!$F$2:$F$801, 0)+1))=270, INDEX(ERP資料!$F:$F, (MATCH(449, 輔助計算!$F$2:$F$801, 0)+1))=300)), "100張", ""), "")</f>
        <v/>
      </c>
      <c r="M450" s="17" t="n"/>
      <c r="N450" s="17">
        <f>IF($F450="","",$F450)</f>
        <v/>
      </c>
      <c r="O450" s="17">
        <f>IF($G450="","",$G450)</f>
        <v/>
      </c>
      <c r="P450" s="17">
        <f>IF($K450="","",$K450)</f>
        <v/>
      </c>
      <c r="Q450" s="16" t="n"/>
      <c r="R450" s="18" t="n"/>
      <c r="S450" s="16" t="n"/>
    </row>
    <row r="451">
      <c r="A451" s="14">
        <f>IFERROR(IF(AND(IFERROR(INDEX(ERP資料!$A:$A, (MATCH(450, 輔助計算!$F$2:$F$801, 0)+1)), "")&lt;&gt;"", IFERROR(INDEX(ERP資料!$A:$A, (MATCH(450, 輔助計算!$F$2:$F$801, 0)+1)), "")&lt;&gt;IFERROR(INDEX(ERP資料!$A:$A, MATCH(449, 輔助計算!$F$2:$F$801, 0)+1), "")), INDEX(ERP資料!$B:$B, (MATCH(450, 輔助計算!$F$2:$F$801, 0)+1)), ""), "")</f>
        <v/>
      </c>
      <c r="B451" s="10">
        <f>IFERROR(IF(AND(IFERROR(INDEX(ERP資料!$A:$A, (MATCH(450, 輔助計算!$F$2:$F$801, 0)+1)), "")&lt;&gt;"", IFERROR(INDEX(ERP資料!$A:$A, (MATCH(450, 輔助計算!$F$2:$F$801, 0)+1)), "")&lt;&gt;IFERROR(INDEX(ERP資料!$A:$A, MATCH(449, 輔助計算!$F$2:$F$801, 0)+1), "")), IFERROR(INDEX(ERP資料!$A:$A, (MATCH(450, 輔助計算!$F$2:$F$801, 0)+1)), ""), ""), "")</f>
        <v/>
      </c>
      <c r="C451" s="10">
        <f>IFERROR(IF(AND(IFERROR(INDEX(ERP資料!$A:$A, (MATCH(450, 輔助計算!$F$2:$F$801, 0)+1)), "")&lt;&gt;"", IFERROR(INDEX(ERP資料!$A:$A, (MATCH(450, 輔助計算!$F$2:$F$801, 0)+1)), "")&lt;&gt;IFERROR(INDEX(ERP資料!$A:$A, MATCH(449, 輔助計算!$F$2:$F$801, 0)+1), "")), INDEX(ERP資料!$S:$S, (MATCH(450, 輔助計算!$F$2:$F$801, 0)+1)), ""), "")</f>
        <v/>
      </c>
      <c r="D451" s="10">
        <f>IFERROR(IF(INDEX(ERP資料!$E:$E, (MATCH(450, 輔助計算!$F$2:$F$801, 0)+1))="","",TRIM(INDEX(ERP資料!$E:$E, (MATCH(450, 輔助計算!$F$2:$F$801, 0)+1)))), "")</f>
        <v/>
      </c>
      <c r="E451" s="10">
        <f>IFERROR(IF(INDEX(ERP資料!$F:$F, (MATCH(450, 輔助計算!$F$2:$F$801, 0)+1))="","",INDEX(ERP資料!$F:$F, (MATCH(450, 輔助計算!$F$2:$F$801, 0)+1))), "")</f>
        <v/>
      </c>
      <c r="F451" s="10">
        <f>IFERROR(IF(INDEX(ERP資料!$G:$G, (MATCH(450, 輔助計算!$F$2:$F$801, 0)+1))="","",INDEX(ERP資料!$G:$G, (MATCH(450, 輔助計算!$F$2:$F$801, 0)+1))), "")</f>
        <v/>
      </c>
      <c r="G451" s="10">
        <f>IFERROR(IF(INDEX(ERP資料!$H:$H, (MATCH(450, 輔助計算!$F$2:$F$801, 0)+1))="","",INDEX(ERP資料!$H:$H, (MATCH(450, 輔助計算!$F$2:$F$801, 0)+1))), "")</f>
        <v/>
      </c>
      <c r="H451" s="10">
        <f>IFERROR(IF(INDEX(ERP資料!$O:$O, (MATCH(450, 輔助計算!$F$2:$F$801, 0)+1))="","",INDEX(ERP資料!$O:$O, (MATCH(450, 輔助計算!$F$2:$F$801, 0)+1))), "")</f>
        <v/>
      </c>
      <c r="I451" s="15">
        <f>IFERROR(IF(INDEX(輔助計算!$D:$D,(MATCH(450, 輔助計算!$F$2:$F$801, 0)+1))="","",INDEX(輔助計算!$D:$D,(MATCH(450, 輔助計算!$F$2:$F$801, 0)+1))*INDEX(ERP資料!$O:$O,(MATCH(450, 輔助計算!$F$2:$F$801, 0)+1))), "")</f>
        <v/>
      </c>
      <c r="J451" s="16" t="n"/>
      <c r="K451" s="15">
        <f>IFERROR(INDEX(輔助計算!$D:$D, (MATCH(450, 輔助計算!$F$2:$F$801, 0)+1)), "")</f>
        <v/>
      </c>
      <c r="L451" s="16">
        <f>IFERROR(IF(AND(IFERROR(VLOOKUP(LEFT(INDEX(ERP資料!$S:$S, (MATCH(450, 輔助計算!$F$2:$F$801, 0)+1)), 4), 100張客戶!$A:$A, 1, FALSE), "")&lt;&gt;"", OR(INDEX(ERP資料!$F:$F, (MATCH(450, 輔助計算!$F$2:$F$801, 0)+1))=270, INDEX(ERP資料!$F:$F, (MATCH(450, 輔助計算!$F$2:$F$801, 0)+1))=300)), "100張", ""), "")</f>
        <v/>
      </c>
      <c r="M451" s="17" t="n"/>
      <c r="N451" s="17">
        <f>IF($F451="","",$F451)</f>
        <v/>
      </c>
      <c r="O451" s="17">
        <f>IF($G451="","",$G451)</f>
        <v/>
      </c>
      <c r="P451" s="17">
        <f>IF($K451="","",$K451)</f>
        <v/>
      </c>
      <c r="Q451" s="16" t="n"/>
      <c r="R451" s="18" t="n"/>
      <c r="S451" s="16" t="n"/>
    </row>
    <row r="452">
      <c r="A452" s="14">
        <f>IFERROR(IF(AND(IFERROR(INDEX(ERP資料!$A:$A, (MATCH(451, 輔助計算!$F$2:$F$801, 0)+1)), "")&lt;&gt;"", IFERROR(INDEX(ERP資料!$A:$A, (MATCH(451, 輔助計算!$F$2:$F$801, 0)+1)), "")&lt;&gt;IFERROR(INDEX(ERP資料!$A:$A, MATCH(450, 輔助計算!$F$2:$F$801, 0)+1), "")), INDEX(ERP資料!$B:$B, (MATCH(451, 輔助計算!$F$2:$F$801, 0)+1)), ""), "")</f>
        <v/>
      </c>
      <c r="B452" s="10">
        <f>IFERROR(IF(AND(IFERROR(INDEX(ERP資料!$A:$A, (MATCH(451, 輔助計算!$F$2:$F$801, 0)+1)), "")&lt;&gt;"", IFERROR(INDEX(ERP資料!$A:$A, (MATCH(451, 輔助計算!$F$2:$F$801, 0)+1)), "")&lt;&gt;IFERROR(INDEX(ERP資料!$A:$A, MATCH(450, 輔助計算!$F$2:$F$801, 0)+1), "")), IFERROR(INDEX(ERP資料!$A:$A, (MATCH(451, 輔助計算!$F$2:$F$801, 0)+1)), ""), ""), "")</f>
        <v/>
      </c>
      <c r="C452" s="10">
        <f>IFERROR(IF(AND(IFERROR(INDEX(ERP資料!$A:$A, (MATCH(451, 輔助計算!$F$2:$F$801, 0)+1)), "")&lt;&gt;"", IFERROR(INDEX(ERP資料!$A:$A, (MATCH(451, 輔助計算!$F$2:$F$801, 0)+1)), "")&lt;&gt;IFERROR(INDEX(ERP資料!$A:$A, MATCH(450, 輔助計算!$F$2:$F$801, 0)+1), "")), INDEX(ERP資料!$S:$S, (MATCH(451, 輔助計算!$F$2:$F$801, 0)+1)), ""), "")</f>
        <v/>
      </c>
      <c r="D452" s="10">
        <f>IFERROR(IF(INDEX(ERP資料!$E:$E, (MATCH(451, 輔助計算!$F$2:$F$801, 0)+1))="","",TRIM(INDEX(ERP資料!$E:$E, (MATCH(451, 輔助計算!$F$2:$F$801, 0)+1)))), "")</f>
        <v/>
      </c>
      <c r="E452" s="10">
        <f>IFERROR(IF(INDEX(ERP資料!$F:$F, (MATCH(451, 輔助計算!$F$2:$F$801, 0)+1))="","",INDEX(ERP資料!$F:$F, (MATCH(451, 輔助計算!$F$2:$F$801, 0)+1))), "")</f>
        <v/>
      </c>
      <c r="F452" s="10">
        <f>IFERROR(IF(INDEX(ERP資料!$G:$G, (MATCH(451, 輔助計算!$F$2:$F$801, 0)+1))="","",INDEX(ERP資料!$G:$G, (MATCH(451, 輔助計算!$F$2:$F$801, 0)+1))), "")</f>
        <v/>
      </c>
      <c r="G452" s="10">
        <f>IFERROR(IF(INDEX(ERP資料!$H:$H, (MATCH(451, 輔助計算!$F$2:$F$801, 0)+1))="","",INDEX(ERP資料!$H:$H, (MATCH(451, 輔助計算!$F$2:$F$801, 0)+1))), "")</f>
        <v/>
      </c>
      <c r="H452" s="10">
        <f>IFERROR(IF(INDEX(ERP資料!$O:$O, (MATCH(451, 輔助計算!$F$2:$F$801, 0)+1))="","",INDEX(ERP資料!$O:$O, (MATCH(451, 輔助計算!$F$2:$F$801, 0)+1))), "")</f>
        <v/>
      </c>
      <c r="I452" s="15">
        <f>IFERROR(IF(INDEX(輔助計算!$D:$D,(MATCH(451, 輔助計算!$F$2:$F$801, 0)+1))="","",INDEX(輔助計算!$D:$D,(MATCH(451, 輔助計算!$F$2:$F$801, 0)+1))*INDEX(ERP資料!$O:$O,(MATCH(451, 輔助計算!$F$2:$F$801, 0)+1))), "")</f>
        <v/>
      </c>
      <c r="J452" s="16" t="n"/>
      <c r="K452" s="15">
        <f>IFERROR(INDEX(輔助計算!$D:$D, (MATCH(451, 輔助計算!$F$2:$F$801, 0)+1)), "")</f>
        <v/>
      </c>
      <c r="L452" s="16">
        <f>IFERROR(IF(AND(IFERROR(VLOOKUP(LEFT(INDEX(ERP資料!$S:$S, (MATCH(451, 輔助計算!$F$2:$F$801, 0)+1)), 4), 100張客戶!$A:$A, 1, FALSE), "")&lt;&gt;"", OR(INDEX(ERP資料!$F:$F, (MATCH(451, 輔助計算!$F$2:$F$801, 0)+1))=270, INDEX(ERP資料!$F:$F, (MATCH(451, 輔助計算!$F$2:$F$801, 0)+1))=300)), "100張", ""), "")</f>
        <v/>
      </c>
      <c r="M452" s="17" t="n"/>
      <c r="N452" s="17">
        <f>IF($F452="","",$F452)</f>
        <v/>
      </c>
      <c r="O452" s="17">
        <f>IF($G452="","",$G452)</f>
        <v/>
      </c>
      <c r="P452" s="17">
        <f>IF($K452="","",$K452)</f>
        <v/>
      </c>
      <c r="Q452" s="16" t="n"/>
      <c r="R452" s="18" t="n"/>
      <c r="S452" s="16" t="n"/>
    </row>
    <row r="453">
      <c r="A453" s="14">
        <f>IFERROR(IF(AND(IFERROR(INDEX(ERP資料!$A:$A, (MATCH(452, 輔助計算!$F$2:$F$801, 0)+1)), "")&lt;&gt;"", IFERROR(INDEX(ERP資料!$A:$A, (MATCH(452, 輔助計算!$F$2:$F$801, 0)+1)), "")&lt;&gt;IFERROR(INDEX(ERP資料!$A:$A, MATCH(451, 輔助計算!$F$2:$F$801, 0)+1), "")), INDEX(ERP資料!$B:$B, (MATCH(452, 輔助計算!$F$2:$F$801, 0)+1)), ""), "")</f>
        <v/>
      </c>
      <c r="B453" s="10">
        <f>IFERROR(IF(AND(IFERROR(INDEX(ERP資料!$A:$A, (MATCH(452, 輔助計算!$F$2:$F$801, 0)+1)), "")&lt;&gt;"", IFERROR(INDEX(ERP資料!$A:$A, (MATCH(452, 輔助計算!$F$2:$F$801, 0)+1)), "")&lt;&gt;IFERROR(INDEX(ERP資料!$A:$A, MATCH(451, 輔助計算!$F$2:$F$801, 0)+1), "")), IFERROR(INDEX(ERP資料!$A:$A, (MATCH(452, 輔助計算!$F$2:$F$801, 0)+1)), ""), ""), "")</f>
        <v/>
      </c>
      <c r="C453" s="10">
        <f>IFERROR(IF(AND(IFERROR(INDEX(ERP資料!$A:$A, (MATCH(452, 輔助計算!$F$2:$F$801, 0)+1)), "")&lt;&gt;"", IFERROR(INDEX(ERP資料!$A:$A, (MATCH(452, 輔助計算!$F$2:$F$801, 0)+1)), "")&lt;&gt;IFERROR(INDEX(ERP資料!$A:$A, MATCH(451, 輔助計算!$F$2:$F$801, 0)+1), "")), INDEX(ERP資料!$S:$S, (MATCH(452, 輔助計算!$F$2:$F$801, 0)+1)), ""), "")</f>
        <v/>
      </c>
      <c r="D453" s="10">
        <f>IFERROR(IF(INDEX(ERP資料!$E:$E, (MATCH(452, 輔助計算!$F$2:$F$801, 0)+1))="","",TRIM(INDEX(ERP資料!$E:$E, (MATCH(452, 輔助計算!$F$2:$F$801, 0)+1)))), "")</f>
        <v/>
      </c>
      <c r="E453" s="10">
        <f>IFERROR(IF(INDEX(ERP資料!$F:$F, (MATCH(452, 輔助計算!$F$2:$F$801, 0)+1))="","",INDEX(ERP資料!$F:$F, (MATCH(452, 輔助計算!$F$2:$F$801, 0)+1))), "")</f>
        <v/>
      </c>
      <c r="F453" s="10">
        <f>IFERROR(IF(INDEX(ERP資料!$G:$G, (MATCH(452, 輔助計算!$F$2:$F$801, 0)+1))="","",INDEX(ERP資料!$G:$G, (MATCH(452, 輔助計算!$F$2:$F$801, 0)+1))), "")</f>
        <v/>
      </c>
      <c r="G453" s="10">
        <f>IFERROR(IF(INDEX(ERP資料!$H:$H, (MATCH(452, 輔助計算!$F$2:$F$801, 0)+1))="","",INDEX(ERP資料!$H:$H, (MATCH(452, 輔助計算!$F$2:$F$801, 0)+1))), "")</f>
        <v/>
      </c>
      <c r="H453" s="10">
        <f>IFERROR(IF(INDEX(ERP資料!$O:$O, (MATCH(452, 輔助計算!$F$2:$F$801, 0)+1))="","",INDEX(ERP資料!$O:$O, (MATCH(452, 輔助計算!$F$2:$F$801, 0)+1))), "")</f>
        <v/>
      </c>
      <c r="I453" s="15">
        <f>IFERROR(IF(INDEX(輔助計算!$D:$D,(MATCH(452, 輔助計算!$F$2:$F$801, 0)+1))="","",INDEX(輔助計算!$D:$D,(MATCH(452, 輔助計算!$F$2:$F$801, 0)+1))*INDEX(ERP資料!$O:$O,(MATCH(452, 輔助計算!$F$2:$F$801, 0)+1))), "")</f>
        <v/>
      </c>
      <c r="J453" s="16" t="n"/>
      <c r="K453" s="15">
        <f>IFERROR(INDEX(輔助計算!$D:$D, (MATCH(452, 輔助計算!$F$2:$F$801, 0)+1)), "")</f>
        <v/>
      </c>
      <c r="L453" s="16">
        <f>IFERROR(IF(AND(IFERROR(VLOOKUP(LEFT(INDEX(ERP資料!$S:$S, (MATCH(452, 輔助計算!$F$2:$F$801, 0)+1)), 4), 100張客戶!$A:$A, 1, FALSE), "")&lt;&gt;"", OR(INDEX(ERP資料!$F:$F, (MATCH(452, 輔助計算!$F$2:$F$801, 0)+1))=270, INDEX(ERP資料!$F:$F, (MATCH(452, 輔助計算!$F$2:$F$801, 0)+1))=300)), "100張", ""), "")</f>
        <v/>
      </c>
      <c r="M453" s="17" t="n"/>
      <c r="N453" s="17">
        <f>IF($F453="","",$F453)</f>
        <v/>
      </c>
      <c r="O453" s="17">
        <f>IF($G453="","",$G453)</f>
        <v/>
      </c>
      <c r="P453" s="17">
        <f>IF($K453="","",$K453)</f>
        <v/>
      </c>
      <c r="Q453" s="16" t="n"/>
      <c r="R453" s="18" t="n"/>
      <c r="S453" s="16" t="n"/>
    </row>
    <row r="454">
      <c r="A454" s="14">
        <f>IFERROR(IF(AND(IFERROR(INDEX(ERP資料!$A:$A, (MATCH(453, 輔助計算!$F$2:$F$801, 0)+1)), "")&lt;&gt;"", IFERROR(INDEX(ERP資料!$A:$A, (MATCH(453, 輔助計算!$F$2:$F$801, 0)+1)), "")&lt;&gt;IFERROR(INDEX(ERP資料!$A:$A, MATCH(452, 輔助計算!$F$2:$F$801, 0)+1), "")), INDEX(ERP資料!$B:$B, (MATCH(453, 輔助計算!$F$2:$F$801, 0)+1)), ""), "")</f>
        <v/>
      </c>
      <c r="B454" s="10">
        <f>IFERROR(IF(AND(IFERROR(INDEX(ERP資料!$A:$A, (MATCH(453, 輔助計算!$F$2:$F$801, 0)+1)), "")&lt;&gt;"", IFERROR(INDEX(ERP資料!$A:$A, (MATCH(453, 輔助計算!$F$2:$F$801, 0)+1)), "")&lt;&gt;IFERROR(INDEX(ERP資料!$A:$A, MATCH(452, 輔助計算!$F$2:$F$801, 0)+1), "")), IFERROR(INDEX(ERP資料!$A:$A, (MATCH(453, 輔助計算!$F$2:$F$801, 0)+1)), ""), ""), "")</f>
        <v/>
      </c>
      <c r="C454" s="10">
        <f>IFERROR(IF(AND(IFERROR(INDEX(ERP資料!$A:$A, (MATCH(453, 輔助計算!$F$2:$F$801, 0)+1)), "")&lt;&gt;"", IFERROR(INDEX(ERP資料!$A:$A, (MATCH(453, 輔助計算!$F$2:$F$801, 0)+1)), "")&lt;&gt;IFERROR(INDEX(ERP資料!$A:$A, MATCH(452, 輔助計算!$F$2:$F$801, 0)+1), "")), INDEX(ERP資料!$S:$S, (MATCH(453, 輔助計算!$F$2:$F$801, 0)+1)), ""), "")</f>
        <v/>
      </c>
      <c r="D454" s="10">
        <f>IFERROR(IF(INDEX(ERP資料!$E:$E, (MATCH(453, 輔助計算!$F$2:$F$801, 0)+1))="","",TRIM(INDEX(ERP資料!$E:$E, (MATCH(453, 輔助計算!$F$2:$F$801, 0)+1)))), "")</f>
        <v/>
      </c>
      <c r="E454" s="10">
        <f>IFERROR(IF(INDEX(ERP資料!$F:$F, (MATCH(453, 輔助計算!$F$2:$F$801, 0)+1))="","",INDEX(ERP資料!$F:$F, (MATCH(453, 輔助計算!$F$2:$F$801, 0)+1))), "")</f>
        <v/>
      </c>
      <c r="F454" s="10">
        <f>IFERROR(IF(INDEX(ERP資料!$G:$G, (MATCH(453, 輔助計算!$F$2:$F$801, 0)+1))="","",INDEX(ERP資料!$G:$G, (MATCH(453, 輔助計算!$F$2:$F$801, 0)+1))), "")</f>
        <v/>
      </c>
      <c r="G454" s="10">
        <f>IFERROR(IF(INDEX(ERP資料!$H:$H, (MATCH(453, 輔助計算!$F$2:$F$801, 0)+1))="","",INDEX(ERP資料!$H:$H, (MATCH(453, 輔助計算!$F$2:$F$801, 0)+1))), "")</f>
        <v/>
      </c>
      <c r="H454" s="10">
        <f>IFERROR(IF(INDEX(ERP資料!$O:$O, (MATCH(453, 輔助計算!$F$2:$F$801, 0)+1))="","",INDEX(ERP資料!$O:$O, (MATCH(453, 輔助計算!$F$2:$F$801, 0)+1))), "")</f>
        <v/>
      </c>
      <c r="I454" s="15">
        <f>IFERROR(IF(INDEX(輔助計算!$D:$D,(MATCH(453, 輔助計算!$F$2:$F$801, 0)+1))="","",INDEX(輔助計算!$D:$D,(MATCH(453, 輔助計算!$F$2:$F$801, 0)+1))*INDEX(ERP資料!$O:$O,(MATCH(453, 輔助計算!$F$2:$F$801, 0)+1))), "")</f>
        <v/>
      </c>
      <c r="J454" s="16" t="n"/>
      <c r="K454" s="15">
        <f>IFERROR(INDEX(輔助計算!$D:$D, (MATCH(453, 輔助計算!$F$2:$F$801, 0)+1)), "")</f>
        <v/>
      </c>
      <c r="L454" s="16">
        <f>IFERROR(IF(AND(IFERROR(VLOOKUP(LEFT(INDEX(ERP資料!$S:$S, (MATCH(453, 輔助計算!$F$2:$F$801, 0)+1)), 4), 100張客戶!$A:$A, 1, FALSE), "")&lt;&gt;"", OR(INDEX(ERP資料!$F:$F, (MATCH(453, 輔助計算!$F$2:$F$801, 0)+1))=270, INDEX(ERP資料!$F:$F, (MATCH(453, 輔助計算!$F$2:$F$801, 0)+1))=300)), "100張", ""), "")</f>
        <v/>
      </c>
      <c r="M454" s="17" t="n"/>
      <c r="N454" s="17">
        <f>IF($F454="","",$F454)</f>
        <v/>
      </c>
      <c r="O454" s="17">
        <f>IF($G454="","",$G454)</f>
        <v/>
      </c>
      <c r="P454" s="17">
        <f>IF($K454="","",$K454)</f>
        <v/>
      </c>
      <c r="Q454" s="16" t="n"/>
      <c r="R454" s="18" t="n"/>
      <c r="S454" s="16" t="n"/>
    </row>
    <row r="455">
      <c r="A455" s="14">
        <f>IFERROR(IF(AND(IFERROR(INDEX(ERP資料!$A:$A, (MATCH(454, 輔助計算!$F$2:$F$801, 0)+1)), "")&lt;&gt;"", IFERROR(INDEX(ERP資料!$A:$A, (MATCH(454, 輔助計算!$F$2:$F$801, 0)+1)), "")&lt;&gt;IFERROR(INDEX(ERP資料!$A:$A, MATCH(453, 輔助計算!$F$2:$F$801, 0)+1), "")), INDEX(ERP資料!$B:$B, (MATCH(454, 輔助計算!$F$2:$F$801, 0)+1)), ""), "")</f>
        <v/>
      </c>
      <c r="B455" s="10">
        <f>IFERROR(IF(AND(IFERROR(INDEX(ERP資料!$A:$A, (MATCH(454, 輔助計算!$F$2:$F$801, 0)+1)), "")&lt;&gt;"", IFERROR(INDEX(ERP資料!$A:$A, (MATCH(454, 輔助計算!$F$2:$F$801, 0)+1)), "")&lt;&gt;IFERROR(INDEX(ERP資料!$A:$A, MATCH(453, 輔助計算!$F$2:$F$801, 0)+1), "")), IFERROR(INDEX(ERP資料!$A:$A, (MATCH(454, 輔助計算!$F$2:$F$801, 0)+1)), ""), ""), "")</f>
        <v/>
      </c>
      <c r="C455" s="10">
        <f>IFERROR(IF(AND(IFERROR(INDEX(ERP資料!$A:$A, (MATCH(454, 輔助計算!$F$2:$F$801, 0)+1)), "")&lt;&gt;"", IFERROR(INDEX(ERP資料!$A:$A, (MATCH(454, 輔助計算!$F$2:$F$801, 0)+1)), "")&lt;&gt;IFERROR(INDEX(ERP資料!$A:$A, MATCH(453, 輔助計算!$F$2:$F$801, 0)+1), "")), INDEX(ERP資料!$S:$S, (MATCH(454, 輔助計算!$F$2:$F$801, 0)+1)), ""), "")</f>
        <v/>
      </c>
      <c r="D455" s="10">
        <f>IFERROR(IF(INDEX(ERP資料!$E:$E, (MATCH(454, 輔助計算!$F$2:$F$801, 0)+1))="","",TRIM(INDEX(ERP資料!$E:$E, (MATCH(454, 輔助計算!$F$2:$F$801, 0)+1)))), "")</f>
        <v/>
      </c>
      <c r="E455" s="10">
        <f>IFERROR(IF(INDEX(ERP資料!$F:$F, (MATCH(454, 輔助計算!$F$2:$F$801, 0)+1))="","",INDEX(ERP資料!$F:$F, (MATCH(454, 輔助計算!$F$2:$F$801, 0)+1))), "")</f>
        <v/>
      </c>
      <c r="F455" s="10">
        <f>IFERROR(IF(INDEX(ERP資料!$G:$G, (MATCH(454, 輔助計算!$F$2:$F$801, 0)+1))="","",INDEX(ERP資料!$G:$G, (MATCH(454, 輔助計算!$F$2:$F$801, 0)+1))), "")</f>
        <v/>
      </c>
      <c r="G455" s="10">
        <f>IFERROR(IF(INDEX(ERP資料!$H:$H, (MATCH(454, 輔助計算!$F$2:$F$801, 0)+1))="","",INDEX(ERP資料!$H:$H, (MATCH(454, 輔助計算!$F$2:$F$801, 0)+1))), "")</f>
        <v/>
      </c>
      <c r="H455" s="10">
        <f>IFERROR(IF(INDEX(ERP資料!$O:$O, (MATCH(454, 輔助計算!$F$2:$F$801, 0)+1))="","",INDEX(ERP資料!$O:$O, (MATCH(454, 輔助計算!$F$2:$F$801, 0)+1))), "")</f>
        <v/>
      </c>
      <c r="I455" s="15">
        <f>IFERROR(IF(INDEX(輔助計算!$D:$D,(MATCH(454, 輔助計算!$F$2:$F$801, 0)+1))="","",INDEX(輔助計算!$D:$D,(MATCH(454, 輔助計算!$F$2:$F$801, 0)+1))*INDEX(ERP資料!$O:$O,(MATCH(454, 輔助計算!$F$2:$F$801, 0)+1))), "")</f>
        <v/>
      </c>
      <c r="J455" s="16" t="n"/>
      <c r="K455" s="15">
        <f>IFERROR(INDEX(輔助計算!$D:$D, (MATCH(454, 輔助計算!$F$2:$F$801, 0)+1)), "")</f>
        <v/>
      </c>
      <c r="L455" s="16">
        <f>IFERROR(IF(AND(IFERROR(VLOOKUP(LEFT(INDEX(ERP資料!$S:$S, (MATCH(454, 輔助計算!$F$2:$F$801, 0)+1)), 4), 100張客戶!$A:$A, 1, FALSE), "")&lt;&gt;"", OR(INDEX(ERP資料!$F:$F, (MATCH(454, 輔助計算!$F$2:$F$801, 0)+1))=270, INDEX(ERP資料!$F:$F, (MATCH(454, 輔助計算!$F$2:$F$801, 0)+1))=300)), "100張", ""), "")</f>
        <v/>
      </c>
      <c r="M455" s="17" t="n"/>
      <c r="N455" s="17">
        <f>IF($F455="","",$F455)</f>
        <v/>
      </c>
      <c r="O455" s="17">
        <f>IF($G455="","",$G455)</f>
        <v/>
      </c>
      <c r="P455" s="17">
        <f>IF($K455="","",$K455)</f>
        <v/>
      </c>
      <c r="Q455" s="16" t="n"/>
      <c r="R455" s="18" t="n"/>
      <c r="S455" s="16" t="n"/>
    </row>
    <row r="456">
      <c r="A456" s="14">
        <f>IFERROR(IF(AND(IFERROR(INDEX(ERP資料!$A:$A, (MATCH(455, 輔助計算!$F$2:$F$801, 0)+1)), "")&lt;&gt;"", IFERROR(INDEX(ERP資料!$A:$A, (MATCH(455, 輔助計算!$F$2:$F$801, 0)+1)), "")&lt;&gt;IFERROR(INDEX(ERP資料!$A:$A, MATCH(454, 輔助計算!$F$2:$F$801, 0)+1), "")), INDEX(ERP資料!$B:$B, (MATCH(455, 輔助計算!$F$2:$F$801, 0)+1)), ""), "")</f>
        <v/>
      </c>
      <c r="B456" s="10">
        <f>IFERROR(IF(AND(IFERROR(INDEX(ERP資料!$A:$A, (MATCH(455, 輔助計算!$F$2:$F$801, 0)+1)), "")&lt;&gt;"", IFERROR(INDEX(ERP資料!$A:$A, (MATCH(455, 輔助計算!$F$2:$F$801, 0)+1)), "")&lt;&gt;IFERROR(INDEX(ERP資料!$A:$A, MATCH(454, 輔助計算!$F$2:$F$801, 0)+1), "")), IFERROR(INDEX(ERP資料!$A:$A, (MATCH(455, 輔助計算!$F$2:$F$801, 0)+1)), ""), ""), "")</f>
        <v/>
      </c>
      <c r="C456" s="10">
        <f>IFERROR(IF(AND(IFERROR(INDEX(ERP資料!$A:$A, (MATCH(455, 輔助計算!$F$2:$F$801, 0)+1)), "")&lt;&gt;"", IFERROR(INDEX(ERP資料!$A:$A, (MATCH(455, 輔助計算!$F$2:$F$801, 0)+1)), "")&lt;&gt;IFERROR(INDEX(ERP資料!$A:$A, MATCH(454, 輔助計算!$F$2:$F$801, 0)+1), "")), INDEX(ERP資料!$S:$S, (MATCH(455, 輔助計算!$F$2:$F$801, 0)+1)), ""), "")</f>
        <v/>
      </c>
      <c r="D456" s="10">
        <f>IFERROR(IF(INDEX(ERP資料!$E:$E, (MATCH(455, 輔助計算!$F$2:$F$801, 0)+1))="","",TRIM(INDEX(ERP資料!$E:$E, (MATCH(455, 輔助計算!$F$2:$F$801, 0)+1)))), "")</f>
        <v/>
      </c>
      <c r="E456" s="10">
        <f>IFERROR(IF(INDEX(ERP資料!$F:$F, (MATCH(455, 輔助計算!$F$2:$F$801, 0)+1))="","",INDEX(ERP資料!$F:$F, (MATCH(455, 輔助計算!$F$2:$F$801, 0)+1))), "")</f>
        <v/>
      </c>
      <c r="F456" s="10">
        <f>IFERROR(IF(INDEX(ERP資料!$G:$G, (MATCH(455, 輔助計算!$F$2:$F$801, 0)+1))="","",INDEX(ERP資料!$G:$G, (MATCH(455, 輔助計算!$F$2:$F$801, 0)+1))), "")</f>
        <v/>
      </c>
      <c r="G456" s="10">
        <f>IFERROR(IF(INDEX(ERP資料!$H:$H, (MATCH(455, 輔助計算!$F$2:$F$801, 0)+1))="","",INDEX(ERP資料!$H:$H, (MATCH(455, 輔助計算!$F$2:$F$801, 0)+1))), "")</f>
        <v/>
      </c>
      <c r="H456" s="10">
        <f>IFERROR(IF(INDEX(ERP資料!$O:$O, (MATCH(455, 輔助計算!$F$2:$F$801, 0)+1))="","",INDEX(ERP資料!$O:$O, (MATCH(455, 輔助計算!$F$2:$F$801, 0)+1))), "")</f>
        <v/>
      </c>
      <c r="I456" s="15">
        <f>IFERROR(IF(INDEX(輔助計算!$D:$D,(MATCH(455, 輔助計算!$F$2:$F$801, 0)+1))="","",INDEX(輔助計算!$D:$D,(MATCH(455, 輔助計算!$F$2:$F$801, 0)+1))*INDEX(ERP資料!$O:$O,(MATCH(455, 輔助計算!$F$2:$F$801, 0)+1))), "")</f>
        <v/>
      </c>
      <c r="J456" s="16" t="n"/>
      <c r="K456" s="15">
        <f>IFERROR(INDEX(輔助計算!$D:$D, (MATCH(455, 輔助計算!$F$2:$F$801, 0)+1)), "")</f>
        <v/>
      </c>
      <c r="L456" s="16">
        <f>IFERROR(IF(AND(IFERROR(VLOOKUP(LEFT(INDEX(ERP資料!$S:$S, (MATCH(455, 輔助計算!$F$2:$F$801, 0)+1)), 4), 100張客戶!$A:$A, 1, FALSE), "")&lt;&gt;"", OR(INDEX(ERP資料!$F:$F, (MATCH(455, 輔助計算!$F$2:$F$801, 0)+1))=270, INDEX(ERP資料!$F:$F, (MATCH(455, 輔助計算!$F$2:$F$801, 0)+1))=300)), "100張", ""), "")</f>
        <v/>
      </c>
      <c r="M456" s="17" t="n"/>
      <c r="N456" s="17">
        <f>IF($F456="","",$F456)</f>
        <v/>
      </c>
      <c r="O456" s="17">
        <f>IF($G456="","",$G456)</f>
        <v/>
      </c>
      <c r="P456" s="17">
        <f>IF($K456="","",$K456)</f>
        <v/>
      </c>
      <c r="Q456" s="16" t="n"/>
      <c r="R456" s="18" t="n"/>
      <c r="S456" s="16" t="n"/>
    </row>
    <row r="457">
      <c r="A457" s="14">
        <f>IFERROR(IF(AND(IFERROR(INDEX(ERP資料!$A:$A, (MATCH(456, 輔助計算!$F$2:$F$801, 0)+1)), "")&lt;&gt;"", IFERROR(INDEX(ERP資料!$A:$A, (MATCH(456, 輔助計算!$F$2:$F$801, 0)+1)), "")&lt;&gt;IFERROR(INDEX(ERP資料!$A:$A, MATCH(455, 輔助計算!$F$2:$F$801, 0)+1), "")), INDEX(ERP資料!$B:$B, (MATCH(456, 輔助計算!$F$2:$F$801, 0)+1)), ""), "")</f>
        <v/>
      </c>
      <c r="B457" s="10">
        <f>IFERROR(IF(AND(IFERROR(INDEX(ERP資料!$A:$A, (MATCH(456, 輔助計算!$F$2:$F$801, 0)+1)), "")&lt;&gt;"", IFERROR(INDEX(ERP資料!$A:$A, (MATCH(456, 輔助計算!$F$2:$F$801, 0)+1)), "")&lt;&gt;IFERROR(INDEX(ERP資料!$A:$A, MATCH(455, 輔助計算!$F$2:$F$801, 0)+1), "")), IFERROR(INDEX(ERP資料!$A:$A, (MATCH(456, 輔助計算!$F$2:$F$801, 0)+1)), ""), ""), "")</f>
        <v/>
      </c>
      <c r="C457" s="10">
        <f>IFERROR(IF(AND(IFERROR(INDEX(ERP資料!$A:$A, (MATCH(456, 輔助計算!$F$2:$F$801, 0)+1)), "")&lt;&gt;"", IFERROR(INDEX(ERP資料!$A:$A, (MATCH(456, 輔助計算!$F$2:$F$801, 0)+1)), "")&lt;&gt;IFERROR(INDEX(ERP資料!$A:$A, MATCH(455, 輔助計算!$F$2:$F$801, 0)+1), "")), INDEX(ERP資料!$S:$S, (MATCH(456, 輔助計算!$F$2:$F$801, 0)+1)), ""), "")</f>
        <v/>
      </c>
      <c r="D457" s="10">
        <f>IFERROR(IF(INDEX(ERP資料!$E:$E, (MATCH(456, 輔助計算!$F$2:$F$801, 0)+1))="","",TRIM(INDEX(ERP資料!$E:$E, (MATCH(456, 輔助計算!$F$2:$F$801, 0)+1)))), "")</f>
        <v/>
      </c>
      <c r="E457" s="10">
        <f>IFERROR(IF(INDEX(ERP資料!$F:$F, (MATCH(456, 輔助計算!$F$2:$F$801, 0)+1))="","",INDEX(ERP資料!$F:$F, (MATCH(456, 輔助計算!$F$2:$F$801, 0)+1))), "")</f>
        <v/>
      </c>
      <c r="F457" s="10">
        <f>IFERROR(IF(INDEX(ERP資料!$G:$G, (MATCH(456, 輔助計算!$F$2:$F$801, 0)+1))="","",INDEX(ERP資料!$G:$G, (MATCH(456, 輔助計算!$F$2:$F$801, 0)+1))), "")</f>
        <v/>
      </c>
      <c r="G457" s="10">
        <f>IFERROR(IF(INDEX(ERP資料!$H:$H, (MATCH(456, 輔助計算!$F$2:$F$801, 0)+1))="","",INDEX(ERP資料!$H:$H, (MATCH(456, 輔助計算!$F$2:$F$801, 0)+1))), "")</f>
        <v/>
      </c>
      <c r="H457" s="10">
        <f>IFERROR(IF(INDEX(ERP資料!$O:$O, (MATCH(456, 輔助計算!$F$2:$F$801, 0)+1))="","",INDEX(ERP資料!$O:$O, (MATCH(456, 輔助計算!$F$2:$F$801, 0)+1))), "")</f>
        <v/>
      </c>
      <c r="I457" s="15">
        <f>IFERROR(IF(INDEX(輔助計算!$D:$D,(MATCH(456, 輔助計算!$F$2:$F$801, 0)+1))="","",INDEX(輔助計算!$D:$D,(MATCH(456, 輔助計算!$F$2:$F$801, 0)+1))*INDEX(ERP資料!$O:$O,(MATCH(456, 輔助計算!$F$2:$F$801, 0)+1))), "")</f>
        <v/>
      </c>
      <c r="J457" s="16" t="n"/>
      <c r="K457" s="15">
        <f>IFERROR(INDEX(輔助計算!$D:$D, (MATCH(456, 輔助計算!$F$2:$F$801, 0)+1)), "")</f>
        <v/>
      </c>
      <c r="L457" s="16">
        <f>IFERROR(IF(AND(IFERROR(VLOOKUP(LEFT(INDEX(ERP資料!$S:$S, (MATCH(456, 輔助計算!$F$2:$F$801, 0)+1)), 4), 100張客戶!$A:$A, 1, FALSE), "")&lt;&gt;"", OR(INDEX(ERP資料!$F:$F, (MATCH(456, 輔助計算!$F$2:$F$801, 0)+1))=270, INDEX(ERP資料!$F:$F, (MATCH(456, 輔助計算!$F$2:$F$801, 0)+1))=300)), "100張", ""), "")</f>
        <v/>
      </c>
      <c r="M457" s="17" t="n"/>
      <c r="N457" s="17">
        <f>IF($F457="","",$F457)</f>
        <v/>
      </c>
      <c r="O457" s="17">
        <f>IF($G457="","",$G457)</f>
        <v/>
      </c>
      <c r="P457" s="17">
        <f>IF($K457="","",$K457)</f>
        <v/>
      </c>
      <c r="Q457" s="16" t="n"/>
      <c r="R457" s="18" t="n"/>
      <c r="S457" s="16" t="n"/>
    </row>
    <row r="458">
      <c r="A458" s="14">
        <f>IFERROR(IF(AND(IFERROR(INDEX(ERP資料!$A:$A, (MATCH(457, 輔助計算!$F$2:$F$801, 0)+1)), "")&lt;&gt;"", IFERROR(INDEX(ERP資料!$A:$A, (MATCH(457, 輔助計算!$F$2:$F$801, 0)+1)), "")&lt;&gt;IFERROR(INDEX(ERP資料!$A:$A, MATCH(456, 輔助計算!$F$2:$F$801, 0)+1), "")), INDEX(ERP資料!$B:$B, (MATCH(457, 輔助計算!$F$2:$F$801, 0)+1)), ""), "")</f>
        <v/>
      </c>
      <c r="B458" s="10">
        <f>IFERROR(IF(AND(IFERROR(INDEX(ERP資料!$A:$A, (MATCH(457, 輔助計算!$F$2:$F$801, 0)+1)), "")&lt;&gt;"", IFERROR(INDEX(ERP資料!$A:$A, (MATCH(457, 輔助計算!$F$2:$F$801, 0)+1)), "")&lt;&gt;IFERROR(INDEX(ERP資料!$A:$A, MATCH(456, 輔助計算!$F$2:$F$801, 0)+1), "")), IFERROR(INDEX(ERP資料!$A:$A, (MATCH(457, 輔助計算!$F$2:$F$801, 0)+1)), ""), ""), "")</f>
        <v/>
      </c>
      <c r="C458" s="10">
        <f>IFERROR(IF(AND(IFERROR(INDEX(ERP資料!$A:$A, (MATCH(457, 輔助計算!$F$2:$F$801, 0)+1)), "")&lt;&gt;"", IFERROR(INDEX(ERP資料!$A:$A, (MATCH(457, 輔助計算!$F$2:$F$801, 0)+1)), "")&lt;&gt;IFERROR(INDEX(ERP資料!$A:$A, MATCH(456, 輔助計算!$F$2:$F$801, 0)+1), "")), INDEX(ERP資料!$S:$S, (MATCH(457, 輔助計算!$F$2:$F$801, 0)+1)), ""), "")</f>
        <v/>
      </c>
      <c r="D458" s="10">
        <f>IFERROR(IF(INDEX(ERP資料!$E:$E, (MATCH(457, 輔助計算!$F$2:$F$801, 0)+1))="","",TRIM(INDEX(ERP資料!$E:$E, (MATCH(457, 輔助計算!$F$2:$F$801, 0)+1)))), "")</f>
        <v/>
      </c>
      <c r="E458" s="10">
        <f>IFERROR(IF(INDEX(ERP資料!$F:$F, (MATCH(457, 輔助計算!$F$2:$F$801, 0)+1))="","",INDEX(ERP資料!$F:$F, (MATCH(457, 輔助計算!$F$2:$F$801, 0)+1))), "")</f>
        <v/>
      </c>
      <c r="F458" s="10">
        <f>IFERROR(IF(INDEX(ERP資料!$G:$G, (MATCH(457, 輔助計算!$F$2:$F$801, 0)+1))="","",INDEX(ERP資料!$G:$G, (MATCH(457, 輔助計算!$F$2:$F$801, 0)+1))), "")</f>
        <v/>
      </c>
      <c r="G458" s="10">
        <f>IFERROR(IF(INDEX(ERP資料!$H:$H, (MATCH(457, 輔助計算!$F$2:$F$801, 0)+1))="","",INDEX(ERP資料!$H:$H, (MATCH(457, 輔助計算!$F$2:$F$801, 0)+1))), "")</f>
        <v/>
      </c>
      <c r="H458" s="10">
        <f>IFERROR(IF(INDEX(ERP資料!$O:$O, (MATCH(457, 輔助計算!$F$2:$F$801, 0)+1))="","",INDEX(ERP資料!$O:$O, (MATCH(457, 輔助計算!$F$2:$F$801, 0)+1))), "")</f>
        <v/>
      </c>
      <c r="I458" s="15">
        <f>IFERROR(IF(INDEX(輔助計算!$D:$D,(MATCH(457, 輔助計算!$F$2:$F$801, 0)+1))="","",INDEX(輔助計算!$D:$D,(MATCH(457, 輔助計算!$F$2:$F$801, 0)+1))*INDEX(ERP資料!$O:$O,(MATCH(457, 輔助計算!$F$2:$F$801, 0)+1))), "")</f>
        <v/>
      </c>
      <c r="J458" s="16" t="n"/>
      <c r="K458" s="15">
        <f>IFERROR(INDEX(輔助計算!$D:$D, (MATCH(457, 輔助計算!$F$2:$F$801, 0)+1)), "")</f>
        <v/>
      </c>
      <c r="L458" s="16">
        <f>IFERROR(IF(AND(IFERROR(VLOOKUP(LEFT(INDEX(ERP資料!$S:$S, (MATCH(457, 輔助計算!$F$2:$F$801, 0)+1)), 4), 100張客戶!$A:$A, 1, FALSE), "")&lt;&gt;"", OR(INDEX(ERP資料!$F:$F, (MATCH(457, 輔助計算!$F$2:$F$801, 0)+1))=270, INDEX(ERP資料!$F:$F, (MATCH(457, 輔助計算!$F$2:$F$801, 0)+1))=300)), "100張", ""), "")</f>
        <v/>
      </c>
      <c r="M458" s="17" t="n"/>
      <c r="N458" s="17">
        <f>IF($F458="","",$F458)</f>
        <v/>
      </c>
      <c r="O458" s="17">
        <f>IF($G458="","",$G458)</f>
        <v/>
      </c>
      <c r="P458" s="17">
        <f>IF($K458="","",$K458)</f>
        <v/>
      </c>
      <c r="Q458" s="16" t="n"/>
      <c r="R458" s="18" t="n"/>
      <c r="S458" s="16" t="n"/>
    </row>
    <row r="459">
      <c r="A459" s="14">
        <f>IFERROR(IF(AND(IFERROR(INDEX(ERP資料!$A:$A, (MATCH(458, 輔助計算!$F$2:$F$801, 0)+1)), "")&lt;&gt;"", IFERROR(INDEX(ERP資料!$A:$A, (MATCH(458, 輔助計算!$F$2:$F$801, 0)+1)), "")&lt;&gt;IFERROR(INDEX(ERP資料!$A:$A, MATCH(457, 輔助計算!$F$2:$F$801, 0)+1), "")), INDEX(ERP資料!$B:$B, (MATCH(458, 輔助計算!$F$2:$F$801, 0)+1)), ""), "")</f>
        <v/>
      </c>
      <c r="B459" s="10">
        <f>IFERROR(IF(AND(IFERROR(INDEX(ERP資料!$A:$A, (MATCH(458, 輔助計算!$F$2:$F$801, 0)+1)), "")&lt;&gt;"", IFERROR(INDEX(ERP資料!$A:$A, (MATCH(458, 輔助計算!$F$2:$F$801, 0)+1)), "")&lt;&gt;IFERROR(INDEX(ERP資料!$A:$A, MATCH(457, 輔助計算!$F$2:$F$801, 0)+1), "")), IFERROR(INDEX(ERP資料!$A:$A, (MATCH(458, 輔助計算!$F$2:$F$801, 0)+1)), ""), ""), "")</f>
        <v/>
      </c>
      <c r="C459" s="10">
        <f>IFERROR(IF(AND(IFERROR(INDEX(ERP資料!$A:$A, (MATCH(458, 輔助計算!$F$2:$F$801, 0)+1)), "")&lt;&gt;"", IFERROR(INDEX(ERP資料!$A:$A, (MATCH(458, 輔助計算!$F$2:$F$801, 0)+1)), "")&lt;&gt;IFERROR(INDEX(ERP資料!$A:$A, MATCH(457, 輔助計算!$F$2:$F$801, 0)+1), "")), INDEX(ERP資料!$S:$S, (MATCH(458, 輔助計算!$F$2:$F$801, 0)+1)), ""), "")</f>
        <v/>
      </c>
      <c r="D459" s="10">
        <f>IFERROR(IF(INDEX(ERP資料!$E:$E, (MATCH(458, 輔助計算!$F$2:$F$801, 0)+1))="","",TRIM(INDEX(ERP資料!$E:$E, (MATCH(458, 輔助計算!$F$2:$F$801, 0)+1)))), "")</f>
        <v/>
      </c>
      <c r="E459" s="10">
        <f>IFERROR(IF(INDEX(ERP資料!$F:$F, (MATCH(458, 輔助計算!$F$2:$F$801, 0)+1))="","",INDEX(ERP資料!$F:$F, (MATCH(458, 輔助計算!$F$2:$F$801, 0)+1))), "")</f>
        <v/>
      </c>
      <c r="F459" s="10">
        <f>IFERROR(IF(INDEX(ERP資料!$G:$G, (MATCH(458, 輔助計算!$F$2:$F$801, 0)+1))="","",INDEX(ERP資料!$G:$G, (MATCH(458, 輔助計算!$F$2:$F$801, 0)+1))), "")</f>
        <v/>
      </c>
      <c r="G459" s="10">
        <f>IFERROR(IF(INDEX(ERP資料!$H:$H, (MATCH(458, 輔助計算!$F$2:$F$801, 0)+1))="","",INDEX(ERP資料!$H:$H, (MATCH(458, 輔助計算!$F$2:$F$801, 0)+1))), "")</f>
        <v/>
      </c>
      <c r="H459" s="10">
        <f>IFERROR(IF(INDEX(ERP資料!$O:$O, (MATCH(458, 輔助計算!$F$2:$F$801, 0)+1))="","",INDEX(ERP資料!$O:$O, (MATCH(458, 輔助計算!$F$2:$F$801, 0)+1))), "")</f>
        <v/>
      </c>
      <c r="I459" s="15">
        <f>IFERROR(IF(INDEX(輔助計算!$D:$D,(MATCH(458, 輔助計算!$F$2:$F$801, 0)+1))="","",INDEX(輔助計算!$D:$D,(MATCH(458, 輔助計算!$F$2:$F$801, 0)+1))*INDEX(ERP資料!$O:$O,(MATCH(458, 輔助計算!$F$2:$F$801, 0)+1))), "")</f>
        <v/>
      </c>
      <c r="J459" s="16" t="n"/>
      <c r="K459" s="15">
        <f>IFERROR(INDEX(輔助計算!$D:$D, (MATCH(458, 輔助計算!$F$2:$F$801, 0)+1)), "")</f>
        <v/>
      </c>
      <c r="L459" s="16">
        <f>IFERROR(IF(AND(IFERROR(VLOOKUP(LEFT(INDEX(ERP資料!$S:$S, (MATCH(458, 輔助計算!$F$2:$F$801, 0)+1)), 4), 100張客戶!$A:$A, 1, FALSE), "")&lt;&gt;"", OR(INDEX(ERP資料!$F:$F, (MATCH(458, 輔助計算!$F$2:$F$801, 0)+1))=270, INDEX(ERP資料!$F:$F, (MATCH(458, 輔助計算!$F$2:$F$801, 0)+1))=300)), "100張", ""), "")</f>
        <v/>
      </c>
      <c r="M459" s="17" t="n"/>
      <c r="N459" s="17">
        <f>IF($F459="","",$F459)</f>
        <v/>
      </c>
      <c r="O459" s="17">
        <f>IF($G459="","",$G459)</f>
        <v/>
      </c>
      <c r="P459" s="17">
        <f>IF($K459="","",$K459)</f>
        <v/>
      </c>
      <c r="Q459" s="16" t="n"/>
      <c r="R459" s="18" t="n"/>
      <c r="S459" s="16" t="n"/>
    </row>
    <row r="460">
      <c r="A460" s="14">
        <f>IFERROR(IF(AND(IFERROR(INDEX(ERP資料!$A:$A, (MATCH(459, 輔助計算!$F$2:$F$801, 0)+1)), "")&lt;&gt;"", IFERROR(INDEX(ERP資料!$A:$A, (MATCH(459, 輔助計算!$F$2:$F$801, 0)+1)), "")&lt;&gt;IFERROR(INDEX(ERP資料!$A:$A, MATCH(458, 輔助計算!$F$2:$F$801, 0)+1), "")), INDEX(ERP資料!$B:$B, (MATCH(459, 輔助計算!$F$2:$F$801, 0)+1)), ""), "")</f>
        <v/>
      </c>
      <c r="B460" s="10">
        <f>IFERROR(IF(AND(IFERROR(INDEX(ERP資料!$A:$A, (MATCH(459, 輔助計算!$F$2:$F$801, 0)+1)), "")&lt;&gt;"", IFERROR(INDEX(ERP資料!$A:$A, (MATCH(459, 輔助計算!$F$2:$F$801, 0)+1)), "")&lt;&gt;IFERROR(INDEX(ERP資料!$A:$A, MATCH(458, 輔助計算!$F$2:$F$801, 0)+1), "")), IFERROR(INDEX(ERP資料!$A:$A, (MATCH(459, 輔助計算!$F$2:$F$801, 0)+1)), ""), ""), "")</f>
        <v/>
      </c>
      <c r="C460" s="10">
        <f>IFERROR(IF(AND(IFERROR(INDEX(ERP資料!$A:$A, (MATCH(459, 輔助計算!$F$2:$F$801, 0)+1)), "")&lt;&gt;"", IFERROR(INDEX(ERP資料!$A:$A, (MATCH(459, 輔助計算!$F$2:$F$801, 0)+1)), "")&lt;&gt;IFERROR(INDEX(ERP資料!$A:$A, MATCH(458, 輔助計算!$F$2:$F$801, 0)+1), "")), INDEX(ERP資料!$S:$S, (MATCH(459, 輔助計算!$F$2:$F$801, 0)+1)), ""), "")</f>
        <v/>
      </c>
      <c r="D460" s="10">
        <f>IFERROR(IF(INDEX(ERP資料!$E:$E, (MATCH(459, 輔助計算!$F$2:$F$801, 0)+1))="","",TRIM(INDEX(ERP資料!$E:$E, (MATCH(459, 輔助計算!$F$2:$F$801, 0)+1)))), "")</f>
        <v/>
      </c>
      <c r="E460" s="10">
        <f>IFERROR(IF(INDEX(ERP資料!$F:$F, (MATCH(459, 輔助計算!$F$2:$F$801, 0)+1))="","",INDEX(ERP資料!$F:$F, (MATCH(459, 輔助計算!$F$2:$F$801, 0)+1))), "")</f>
        <v/>
      </c>
      <c r="F460" s="10">
        <f>IFERROR(IF(INDEX(ERP資料!$G:$G, (MATCH(459, 輔助計算!$F$2:$F$801, 0)+1))="","",INDEX(ERP資料!$G:$G, (MATCH(459, 輔助計算!$F$2:$F$801, 0)+1))), "")</f>
        <v/>
      </c>
      <c r="G460" s="10">
        <f>IFERROR(IF(INDEX(ERP資料!$H:$H, (MATCH(459, 輔助計算!$F$2:$F$801, 0)+1))="","",INDEX(ERP資料!$H:$H, (MATCH(459, 輔助計算!$F$2:$F$801, 0)+1))), "")</f>
        <v/>
      </c>
      <c r="H460" s="10">
        <f>IFERROR(IF(INDEX(ERP資料!$O:$O, (MATCH(459, 輔助計算!$F$2:$F$801, 0)+1))="","",INDEX(ERP資料!$O:$O, (MATCH(459, 輔助計算!$F$2:$F$801, 0)+1))), "")</f>
        <v/>
      </c>
      <c r="I460" s="15">
        <f>IFERROR(IF(INDEX(輔助計算!$D:$D,(MATCH(459, 輔助計算!$F$2:$F$801, 0)+1))="","",INDEX(輔助計算!$D:$D,(MATCH(459, 輔助計算!$F$2:$F$801, 0)+1))*INDEX(ERP資料!$O:$O,(MATCH(459, 輔助計算!$F$2:$F$801, 0)+1))), "")</f>
        <v/>
      </c>
      <c r="J460" s="16" t="n"/>
      <c r="K460" s="15">
        <f>IFERROR(INDEX(輔助計算!$D:$D, (MATCH(459, 輔助計算!$F$2:$F$801, 0)+1)), "")</f>
        <v/>
      </c>
      <c r="L460" s="16">
        <f>IFERROR(IF(AND(IFERROR(VLOOKUP(LEFT(INDEX(ERP資料!$S:$S, (MATCH(459, 輔助計算!$F$2:$F$801, 0)+1)), 4), 100張客戶!$A:$A, 1, FALSE), "")&lt;&gt;"", OR(INDEX(ERP資料!$F:$F, (MATCH(459, 輔助計算!$F$2:$F$801, 0)+1))=270, INDEX(ERP資料!$F:$F, (MATCH(459, 輔助計算!$F$2:$F$801, 0)+1))=300)), "100張", ""), "")</f>
        <v/>
      </c>
      <c r="M460" s="17" t="n"/>
      <c r="N460" s="17">
        <f>IF($F460="","",$F460)</f>
        <v/>
      </c>
      <c r="O460" s="17">
        <f>IF($G460="","",$G460)</f>
        <v/>
      </c>
      <c r="P460" s="17">
        <f>IF($K460="","",$K460)</f>
        <v/>
      </c>
      <c r="Q460" s="16" t="n"/>
      <c r="R460" s="18" t="n"/>
      <c r="S460" s="16" t="n"/>
    </row>
    <row r="461">
      <c r="A461" s="14">
        <f>IFERROR(IF(AND(IFERROR(INDEX(ERP資料!$A:$A, (MATCH(460, 輔助計算!$F$2:$F$801, 0)+1)), "")&lt;&gt;"", IFERROR(INDEX(ERP資料!$A:$A, (MATCH(460, 輔助計算!$F$2:$F$801, 0)+1)), "")&lt;&gt;IFERROR(INDEX(ERP資料!$A:$A, MATCH(459, 輔助計算!$F$2:$F$801, 0)+1), "")), INDEX(ERP資料!$B:$B, (MATCH(460, 輔助計算!$F$2:$F$801, 0)+1)), ""), "")</f>
        <v/>
      </c>
      <c r="B461" s="10">
        <f>IFERROR(IF(AND(IFERROR(INDEX(ERP資料!$A:$A, (MATCH(460, 輔助計算!$F$2:$F$801, 0)+1)), "")&lt;&gt;"", IFERROR(INDEX(ERP資料!$A:$A, (MATCH(460, 輔助計算!$F$2:$F$801, 0)+1)), "")&lt;&gt;IFERROR(INDEX(ERP資料!$A:$A, MATCH(459, 輔助計算!$F$2:$F$801, 0)+1), "")), IFERROR(INDEX(ERP資料!$A:$A, (MATCH(460, 輔助計算!$F$2:$F$801, 0)+1)), ""), ""), "")</f>
        <v/>
      </c>
      <c r="C461" s="10">
        <f>IFERROR(IF(AND(IFERROR(INDEX(ERP資料!$A:$A, (MATCH(460, 輔助計算!$F$2:$F$801, 0)+1)), "")&lt;&gt;"", IFERROR(INDEX(ERP資料!$A:$A, (MATCH(460, 輔助計算!$F$2:$F$801, 0)+1)), "")&lt;&gt;IFERROR(INDEX(ERP資料!$A:$A, MATCH(459, 輔助計算!$F$2:$F$801, 0)+1), "")), INDEX(ERP資料!$S:$S, (MATCH(460, 輔助計算!$F$2:$F$801, 0)+1)), ""), "")</f>
        <v/>
      </c>
      <c r="D461" s="10">
        <f>IFERROR(IF(INDEX(ERP資料!$E:$E, (MATCH(460, 輔助計算!$F$2:$F$801, 0)+1))="","",TRIM(INDEX(ERP資料!$E:$E, (MATCH(460, 輔助計算!$F$2:$F$801, 0)+1)))), "")</f>
        <v/>
      </c>
      <c r="E461" s="10">
        <f>IFERROR(IF(INDEX(ERP資料!$F:$F, (MATCH(460, 輔助計算!$F$2:$F$801, 0)+1))="","",INDEX(ERP資料!$F:$F, (MATCH(460, 輔助計算!$F$2:$F$801, 0)+1))), "")</f>
        <v/>
      </c>
      <c r="F461" s="10">
        <f>IFERROR(IF(INDEX(ERP資料!$G:$G, (MATCH(460, 輔助計算!$F$2:$F$801, 0)+1))="","",INDEX(ERP資料!$G:$G, (MATCH(460, 輔助計算!$F$2:$F$801, 0)+1))), "")</f>
        <v/>
      </c>
      <c r="G461" s="10">
        <f>IFERROR(IF(INDEX(ERP資料!$H:$H, (MATCH(460, 輔助計算!$F$2:$F$801, 0)+1))="","",INDEX(ERP資料!$H:$H, (MATCH(460, 輔助計算!$F$2:$F$801, 0)+1))), "")</f>
        <v/>
      </c>
      <c r="H461" s="10">
        <f>IFERROR(IF(INDEX(ERP資料!$O:$O, (MATCH(460, 輔助計算!$F$2:$F$801, 0)+1))="","",INDEX(ERP資料!$O:$O, (MATCH(460, 輔助計算!$F$2:$F$801, 0)+1))), "")</f>
        <v/>
      </c>
      <c r="I461" s="15">
        <f>IFERROR(IF(INDEX(輔助計算!$D:$D,(MATCH(460, 輔助計算!$F$2:$F$801, 0)+1))="","",INDEX(輔助計算!$D:$D,(MATCH(460, 輔助計算!$F$2:$F$801, 0)+1))*INDEX(ERP資料!$O:$O,(MATCH(460, 輔助計算!$F$2:$F$801, 0)+1))), "")</f>
        <v/>
      </c>
      <c r="J461" s="16" t="n"/>
      <c r="K461" s="15">
        <f>IFERROR(INDEX(輔助計算!$D:$D, (MATCH(460, 輔助計算!$F$2:$F$801, 0)+1)), "")</f>
        <v/>
      </c>
      <c r="L461" s="16">
        <f>IFERROR(IF(AND(IFERROR(VLOOKUP(LEFT(INDEX(ERP資料!$S:$S, (MATCH(460, 輔助計算!$F$2:$F$801, 0)+1)), 4), 100張客戶!$A:$A, 1, FALSE), "")&lt;&gt;"", OR(INDEX(ERP資料!$F:$F, (MATCH(460, 輔助計算!$F$2:$F$801, 0)+1))=270, INDEX(ERP資料!$F:$F, (MATCH(460, 輔助計算!$F$2:$F$801, 0)+1))=300)), "100張", ""), "")</f>
        <v/>
      </c>
      <c r="M461" s="17" t="n"/>
      <c r="N461" s="17">
        <f>IF($F461="","",$F461)</f>
        <v/>
      </c>
      <c r="O461" s="17">
        <f>IF($G461="","",$G461)</f>
        <v/>
      </c>
      <c r="P461" s="17">
        <f>IF($K461="","",$K461)</f>
        <v/>
      </c>
      <c r="Q461" s="16" t="n"/>
      <c r="R461" s="18" t="n"/>
      <c r="S461" s="16" t="n"/>
    </row>
    <row r="462">
      <c r="A462" s="14">
        <f>IFERROR(IF(AND(IFERROR(INDEX(ERP資料!$A:$A, (MATCH(461, 輔助計算!$F$2:$F$801, 0)+1)), "")&lt;&gt;"", IFERROR(INDEX(ERP資料!$A:$A, (MATCH(461, 輔助計算!$F$2:$F$801, 0)+1)), "")&lt;&gt;IFERROR(INDEX(ERP資料!$A:$A, MATCH(460, 輔助計算!$F$2:$F$801, 0)+1), "")), INDEX(ERP資料!$B:$B, (MATCH(461, 輔助計算!$F$2:$F$801, 0)+1)), ""), "")</f>
        <v/>
      </c>
      <c r="B462" s="10">
        <f>IFERROR(IF(AND(IFERROR(INDEX(ERP資料!$A:$A, (MATCH(461, 輔助計算!$F$2:$F$801, 0)+1)), "")&lt;&gt;"", IFERROR(INDEX(ERP資料!$A:$A, (MATCH(461, 輔助計算!$F$2:$F$801, 0)+1)), "")&lt;&gt;IFERROR(INDEX(ERP資料!$A:$A, MATCH(460, 輔助計算!$F$2:$F$801, 0)+1), "")), IFERROR(INDEX(ERP資料!$A:$A, (MATCH(461, 輔助計算!$F$2:$F$801, 0)+1)), ""), ""), "")</f>
        <v/>
      </c>
      <c r="C462" s="10">
        <f>IFERROR(IF(AND(IFERROR(INDEX(ERP資料!$A:$A, (MATCH(461, 輔助計算!$F$2:$F$801, 0)+1)), "")&lt;&gt;"", IFERROR(INDEX(ERP資料!$A:$A, (MATCH(461, 輔助計算!$F$2:$F$801, 0)+1)), "")&lt;&gt;IFERROR(INDEX(ERP資料!$A:$A, MATCH(460, 輔助計算!$F$2:$F$801, 0)+1), "")), INDEX(ERP資料!$S:$S, (MATCH(461, 輔助計算!$F$2:$F$801, 0)+1)), ""), "")</f>
        <v/>
      </c>
      <c r="D462" s="10">
        <f>IFERROR(IF(INDEX(ERP資料!$E:$E, (MATCH(461, 輔助計算!$F$2:$F$801, 0)+1))="","",TRIM(INDEX(ERP資料!$E:$E, (MATCH(461, 輔助計算!$F$2:$F$801, 0)+1)))), "")</f>
        <v/>
      </c>
      <c r="E462" s="10">
        <f>IFERROR(IF(INDEX(ERP資料!$F:$F, (MATCH(461, 輔助計算!$F$2:$F$801, 0)+1))="","",INDEX(ERP資料!$F:$F, (MATCH(461, 輔助計算!$F$2:$F$801, 0)+1))), "")</f>
        <v/>
      </c>
      <c r="F462" s="10">
        <f>IFERROR(IF(INDEX(ERP資料!$G:$G, (MATCH(461, 輔助計算!$F$2:$F$801, 0)+1))="","",INDEX(ERP資料!$G:$G, (MATCH(461, 輔助計算!$F$2:$F$801, 0)+1))), "")</f>
        <v/>
      </c>
      <c r="G462" s="10">
        <f>IFERROR(IF(INDEX(ERP資料!$H:$H, (MATCH(461, 輔助計算!$F$2:$F$801, 0)+1))="","",INDEX(ERP資料!$H:$H, (MATCH(461, 輔助計算!$F$2:$F$801, 0)+1))), "")</f>
        <v/>
      </c>
      <c r="H462" s="10">
        <f>IFERROR(IF(INDEX(ERP資料!$O:$O, (MATCH(461, 輔助計算!$F$2:$F$801, 0)+1))="","",INDEX(ERP資料!$O:$O, (MATCH(461, 輔助計算!$F$2:$F$801, 0)+1))), "")</f>
        <v/>
      </c>
      <c r="I462" s="15">
        <f>IFERROR(IF(INDEX(輔助計算!$D:$D,(MATCH(461, 輔助計算!$F$2:$F$801, 0)+1))="","",INDEX(輔助計算!$D:$D,(MATCH(461, 輔助計算!$F$2:$F$801, 0)+1))*INDEX(ERP資料!$O:$O,(MATCH(461, 輔助計算!$F$2:$F$801, 0)+1))), "")</f>
        <v/>
      </c>
      <c r="J462" s="16" t="n"/>
      <c r="K462" s="15">
        <f>IFERROR(INDEX(輔助計算!$D:$D, (MATCH(461, 輔助計算!$F$2:$F$801, 0)+1)), "")</f>
        <v/>
      </c>
      <c r="L462" s="16">
        <f>IFERROR(IF(AND(IFERROR(VLOOKUP(LEFT(INDEX(ERP資料!$S:$S, (MATCH(461, 輔助計算!$F$2:$F$801, 0)+1)), 4), 100張客戶!$A:$A, 1, FALSE), "")&lt;&gt;"", OR(INDEX(ERP資料!$F:$F, (MATCH(461, 輔助計算!$F$2:$F$801, 0)+1))=270, INDEX(ERP資料!$F:$F, (MATCH(461, 輔助計算!$F$2:$F$801, 0)+1))=300)), "100張", ""), "")</f>
        <v/>
      </c>
      <c r="M462" s="17" t="n"/>
      <c r="N462" s="17">
        <f>IF($F462="","",$F462)</f>
        <v/>
      </c>
      <c r="O462" s="17">
        <f>IF($G462="","",$G462)</f>
        <v/>
      </c>
      <c r="P462" s="17">
        <f>IF($K462="","",$K462)</f>
        <v/>
      </c>
      <c r="Q462" s="16" t="n"/>
      <c r="R462" s="18" t="n"/>
      <c r="S462" s="16" t="n"/>
    </row>
    <row r="463">
      <c r="A463" s="14">
        <f>IFERROR(IF(AND(IFERROR(INDEX(ERP資料!$A:$A, (MATCH(462, 輔助計算!$F$2:$F$801, 0)+1)), "")&lt;&gt;"", IFERROR(INDEX(ERP資料!$A:$A, (MATCH(462, 輔助計算!$F$2:$F$801, 0)+1)), "")&lt;&gt;IFERROR(INDEX(ERP資料!$A:$A, MATCH(461, 輔助計算!$F$2:$F$801, 0)+1), "")), INDEX(ERP資料!$B:$B, (MATCH(462, 輔助計算!$F$2:$F$801, 0)+1)), ""), "")</f>
        <v/>
      </c>
      <c r="B463" s="10">
        <f>IFERROR(IF(AND(IFERROR(INDEX(ERP資料!$A:$A, (MATCH(462, 輔助計算!$F$2:$F$801, 0)+1)), "")&lt;&gt;"", IFERROR(INDEX(ERP資料!$A:$A, (MATCH(462, 輔助計算!$F$2:$F$801, 0)+1)), "")&lt;&gt;IFERROR(INDEX(ERP資料!$A:$A, MATCH(461, 輔助計算!$F$2:$F$801, 0)+1), "")), IFERROR(INDEX(ERP資料!$A:$A, (MATCH(462, 輔助計算!$F$2:$F$801, 0)+1)), ""), ""), "")</f>
        <v/>
      </c>
      <c r="C463" s="10">
        <f>IFERROR(IF(AND(IFERROR(INDEX(ERP資料!$A:$A, (MATCH(462, 輔助計算!$F$2:$F$801, 0)+1)), "")&lt;&gt;"", IFERROR(INDEX(ERP資料!$A:$A, (MATCH(462, 輔助計算!$F$2:$F$801, 0)+1)), "")&lt;&gt;IFERROR(INDEX(ERP資料!$A:$A, MATCH(461, 輔助計算!$F$2:$F$801, 0)+1), "")), INDEX(ERP資料!$S:$S, (MATCH(462, 輔助計算!$F$2:$F$801, 0)+1)), ""), "")</f>
        <v/>
      </c>
      <c r="D463" s="10">
        <f>IFERROR(IF(INDEX(ERP資料!$E:$E, (MATCH(462, 輔助計算!$F$2:$F$801, 0)+1))="","",TRIM(INDEX(ERP資料!$E:$E, (MATCH(462, 輔助計算!$F$2:$F$801, 0)+1)))), "")</f>
        <v/>
      </c>
      <c r="E463" s="10">
        <f>IFERROR(IF(INDEX(ERP資料!$F:$F, (MATCH(462, 輔助計算!$F$2:$F$801, 0)+1))="","",INDEX(ERP資料!$F:$F, (MATCH(462, 輔助計算!$F$2:$F$801, 0)+1))), "")</f>
        <v/>
      </c>
      <c r="F463" s="10">
        <f>IFERROR(IF(INDEX(ERP資料!$G:$G, (MATCH(462, 輔助計算!$F$2:$F$801, 0)+1))="","",INDEX(ERP資料!$G:$G, (MATCH(462, 輔助計算!$F$2:$F$801, 0)+1))), "")</f>
        <v/>
      </c>
      <c r="G463" s="10">
        <f>IFERROR(IF(INDEX(ERP資料!$H:$H, (MATCH(462, 輔助計算!$F$2:$F$801, 0)+1))="","",INDEX(ERP資料!$H:$H, (MATCH(462, 輔助計算!$F$2:$F$801, 0)+1))), "")</f>
        <v/>
      </c>
      <c r="H463" s="10">
        <f>IFERROR(IF(INDEX(ERP資料!$O:$O, (MATCH(462, 輔助計算!$F$2:$F$801, 0)+1))="","",INDEX(ERP資料!$O:$O, (MATCH(462, 輔助計算!$F$2:$F$801, 0)+1))), "")</f>
        <v/>
      </c>
      <c r="I463" s="15">
        <f>IFERROR(IF(INDEX(輔助計算!$D:$D,(MATCH(462, 輔助計算!$F$2:$F$801, 0)+1))="","",INDEX(輔助計算!$D:$D,(MATCH(462, 輔助計算!$F$2:$F$801, 0)+1))*INDEX(ERP資料!$O:$O,(MATCH(462, 輔助計算!$F$2:$F$801, 0)+1))), "")</f>
        <v/>
      </c>
      <c r="J463" s="16" t="n"/>
      <c r="K463" s="15">
        <f>IFERROR(INDEX(輔助計算!$D:$D, (MATCH(462, 輔助計算!$F$2:$F$801, 0)+1)), "")</f>
        <v/>
      </c>
      <c r="L463" s="16">
        <f>IFERROR(IF(AND(IFERROR(VLOOKUP(LEFT(INDEX(ERP資料!$S:$S, (MATCH(462, 輔助計算!$F$2:$F$801, 0)+1)), 4), 100張客戶!$A:$A, 1, FALSE), "")&lt;&gt;"", OR(INDEX(ERP資料!$F:$F, (MATCH(462, 輔助計算!$F$2:$F$801, 0)+1))=270, INDEX(ERP資料!$F:$F, (MATCH(462, 輔助計算!$F$2:$F$801, 0)+1))=300)), "100張", ""), "")</f>
        <v/>
      </c>
      <c r="M463" s="17" t="n"/>
      <c r="N463" s="17">
        <f>IF($F463="","",$F463)</f>
        <v/>
      </c>
      <c r="O463" s="17">
        <f>IF($G463="","",$G463)</f>
        <v/>
      </c>
      <c r="P463" s="17">
        <f>IF($K463="","",$K463)</f>
        <v/>
      </c>
      <c r="Q463" s="16" t="n"/>
      <c r="R463" s="18" t="n"/>
      <c r="S463" s="16" t="n"/>
    </row>
    <row r="464">
      <c r="A464" s="14">
        <f>IFERROR(IF(AND(IFERROR(INDEX(ERP資料!$A:$A, (MATCH(463, 輔助計算!$F$2:$F$801, 0)+1)), "")&lt;&gt;"", IFERROR(INDEX(ERP資料!$A:$A, (MATCH(463, 輔助計算!$F$2:$F$801, 0)+1)), "")&lt;&gt;IFERROR(INDEX(ERP資料!$A:$A, MATCH(462, 輔助計算!$F$2:$F$801, 0)+1), "")), INDEX(ERP資料!$B:$B, (MATCH(463, 輔助計算!$F$2:$F$801, 0)+1)), ""), "")</f>
        <v/>
      </c>
      <c r="B464" s="10">
        <f>IFERROR(IF(AND(IFERROR(INDEX(ERP資料!$A:$A, (MATCH(463, 輔助計算!$F$2:$F$801, 0)+1)), "")&lt;&gt;"", IFERROR(INDEX(ERP資料!$A:$A, (MATCH(463, 輔助計算!$F$2:$F$801, 0)+1)), "")&lt;&gt;IFERROR(INDEX(ERP資料!$A:$A, MATCH(462, 輔助計算!$F$2:$F$801, 0)+1), "")), IFERROR(INDEX(ERP資料!$A:$A, (MATCH(463, 輔助計算!$F$2:$F$801, 0)+1)), ""), ""), "")</f>
        <v/>
      </c>
      <c r="C464" s="10">
        <f>IFERROR(IF(AND(IFERROR(INDEX(ERP資料!$A:$A, (MATCH(463, 輔助計算!$F$2:$F$801, 0)+1)), "")&lt;&gt;"", IFERROR(INDEX(ERP資料!$A:$A, (MATCH(463, 輔助計算!$F$2:$F$801, 0)+1)), "")&lt;&gt;IFERROR(INDEX(ERP資料!$A:$A, MATCH(462, 輔助計算!$F$2:$F$801, 0)+1), "")), INDEX(ERP資料!$S:$S, (MATCH(463, 輔助計算!$F$2:$F$801, 0)+1)), ""), "")</f>
        <v/>
      </c>
      <c r="D464" s="10">
        <f>IFERROR(IF(INDEX(ERP資料!$E:$E, (MATCH(463, 輔助計算!$F$2:$F$801, 0)+1))="","",TRIM(INDEX(ERP資料!$E:$E, (MATCH(463, 輔助計算!$F$2:$F$801, 0)+1)))), "")</f>
        <v/>
      </c>
      <c r="E464" s="10">
        <f>IFERROR(IF(INDEX(ERP資料!$F:$F, (MATCH(463, 輔助計算!$F$2:$F$801, 0)+1))="","",INDEX(ERP資料!$F:$F, (MATCH(463, 輔助計算!$F$2:$F$801, 0)+1))), "")</f>
        <v/>
      </c>
      <c r="F464" s="10">
        <f>IFERROR(IF(INDEX(ERP資料!$G:$G, (MATCH(463, 輔助計算!$F$2:$F$801, 0)+1))="","",INDEX(ERP資料!$G:$G, (MATCH(463, 輔助計算!$F$2:$F$801, 0)+1))), "")</f>
        <v/>
      </c>
      <c r="G464" s="10">
        <f>IFERROR(IF(INDEX(ERP資料!$H:$H, (MATCH(463, 輔助計算!$F$2:$F$801, 0)+1))="","",INDEX(ERP資料!$H:$H, (MATCH(463, 輔助計算!$F$2:$F$801, 0)+1))), "")</f>
        <v/>
      </c>
      <c r="H464" s="10">
        <f>IFERROR(IF(INDEX(ERP資料!$O:$O, (MATCH(463, 輔助計算!$F$2:$F$801, 0)+1))="","",INDEX(ERP資料!$O:$O, (MATCH(463, 輔助計算!$F$2:$F$801, 0)+1))), "")</f>
        <v/>
      </c>
      <c r="I464" s="15">
        <f>IFERROR(IF(INDEX(輔助計算!$D:$D,(MATCH(463, 輔助計算!$F$2:$F$801, 0)+1))="","",INDEX(輔助計算!$D:$D,(MATCH(463, 輔助計算!$F$2:$F$801, 0)+1))*INDEX(ERP資料!$O:$O,(MATCH(463, 輔助計算!$F$2:$F$801, 0)+1))), "")</f>
        <v/>
      </c>
      <c r="J464" s="16" t="n"/>
      <c r="K464" s="15">
        <f>IFERROR(INDEX(輔助計算!$D:$D, (MATCH(463, 輔助計算!$F$2:$F$801, 0)+1)), "")</f>
        <v/>
      </c>
      <c r="L464" s="16">
        <f>IFERROR(IF(AND(IFERROR(VLOOKUP(LEFT(INDEX(ERP資料!$S:$S, (MATCH(463, 輔助計算!$F$2:$F$801, 0)+1)), 4), 100張客戶!$A:$A, 1, FALSE), "")&lt;&gt;"", OR(INDEX(ERP資料!$F:$F, (MATCH(463, 輔助計算!$F$2:$F$801, 0)+1))=270, INDEX(ERP資料!$F:$F, (MATCH(463, 輔助計算!$F$2:$F$801, 0)+1))=300)), "100張", ""), "")</f>
        <v/>
      </c>
      <c r="M464" s="17" t="n"/>
      <c r="N464" s="17">
        <f>IF($F464="","",$F464)</f>
        <v/>
      </c>
      <c r="O464" s="17">
        <f>IF($G464="","",$G464)</f>
        <v/>
      </c>
      <c r="P464" s="17">
        <f>IF($K464="","",$K464)</f>
        <v/>
      </c>
      <c r="Q464" s="16" t="n"/>
      <c r="R464" s="18" t="n"/>
      <c r="S464" s="16" t="n"/>
    </row>
    <row r="465">
      <c r="A465" s="14">
        <f>IFERROR(IF(AND(IFERROR(INDEX(ERP資料!$A:$A, (MATCH(464, 輔助計算!$F$2:$F$801, 0)+1)), "")&lt;&gt;"", IFERROR(INDEX(ERP資料!$A:$A, (MATCH(464, 輔助計算!$F$2:$F$801, 0)+1)), "")&lt;&gt;IFERROR(INDEX(ERP資料!$A:$A, MATCH(463, 輔助計算!$F$2:$F$801, 0)+1), "")), INDEX(ERP資料!$B:$B, (MATCH(464, 輔助計算!$F$2:$F$801, 0)+1)), ""), "")</f>
        <v/>
      </c>
      <c r="B465" s="10">
        <f>IFERROR(IF(AND(IFERROR(INDEX(ERP資料!$A:$A, (MATCH(464, 輔助計算!$F$2:$F$801, 0)+1)), "")&lt;&gt;"", IFERROR(INDEX(ERP資料!$A:$A, (MATCH(464, 輔助計算!$F$2:$F$801, 0)+1)), "")&lt;&gt;IFERROR(INDEX(ERP資料!$A:$A, MATCH(463, 輔助計算!$F$2:$F$801, 0)+1), "")), IFERROR(INDEX(ERP資料!$A:$A, (MATCH(464, 輔助計算!$F$2:$F$801, 0)+1)), ""), ""), "")</f>
        <v/>
      </c>
      <c r="C465" s="10">
        <f>IFERROR(IF(AND(IFERROR(INDEX(ERP資料!$A:$A, (MATCH(464, 輔助計算!$F$2:$F$801, 0)+1)), "")&lt;&gt;"", IFERROR(INDEX(ERP資料!$A:$A, (MATCH(464, 輔助計算!$F$2:$F$801, 0)+1)), "")&lt;&gt;IFERROR(INDEX(ERP資料!$A:$A, MATCH(463, 輔助計算!$F$2:$F$801, 0)+1), "")), INDEX(ERP資料!$S:$S, (MATCH(464, 輔助計算!$F$2:$F$801, 0)+1)), ""), "")</f>
        <v/>
      </c>
      <c r="D465" s="10">
        <f>IFERROR(IF(INDEX(ERP資料!$E:$E, (MATCH(464, 輔助計算!$F$2:$F$801, 0)+1))="","",TRIM(INDEX(ERP資料!$E:$E, (MATCH(464, 輔助計算!$F$2:$F$801, 0)+1)))), "")</f>
        <v/>
      </c>
      <c r="E465" s="10">
        <f>IFERROR(IF(INDEX(ERP資料!$F:$F, (MATCH(464, 輔助計算!$F$2:$F$801, 0)+1))="","",INDEX(ERP資料!$F:$F, (MATCH(464, 輔助計算!$F$2:$F$801, 0)+1))), "")</f>
        <v/>
      </c>
      <c r="F465" s="10">
        <f>IFERROR(IF(INDEX(ERP資料!$G:$G, (MATCH(464, 輔助計算!$F$2:$F$801, 0)+1))="","",INDEX(ERP資料!$G:$G, (MATCH(464, 輔助計算!$F$2:$F$801, 0)+1))), "")</f>
        <v/>
      </c>
      <c r="G465" s="10">
        <f>IFERROR(IF(INDEX(ERP資料!$H:$H, (MATCH(464, 輔助計算!$F$2:$F$801, 0)+1))="","",INDEX(ERP資料!$H:$H, (MATCH(464, 輔助計算!$F$2:$F$801, 0)+1))), "")</f>
        <v/>
      </c>
      <c r="H465" s="10">
        <f>IFERROR(IF(INDEX(ERP資料!$O:$O, (MATCH(464, 輔助計算!$F$2:$F$801, 0)+1))="","",INDEX(ERP資料!$O:$O, (MATCH(464, 輔助計算!$F$2:$F$801, 0)+1))), "")</f>
        <v/>
      </c>
      <c r="I465" s="15">
        <f>IFERROR(IF(INDEX(輔助計算!$D:$D,(MATCH(464, 輔助計算!$F$2:$F$801, 0)+1))="","",INDEX(輔助計算!$D:$D,(MATCH(464, 輔助計算!$F$2:$F$801, 0)+1))*INDEX(ERP資料!$O:$O,(MATCH(464, 輔助計算!$F$2:$F$801, 0)+1))), "")</f>
        <v/>
      </c>
      <c r="J465" s="16" t="n"/>
      <c r="K465" s="15">
        <f>IFERROR(INDEX(輔助計算!$D:$D, (MATCH(464, 輔助計算!$F$2:$F$801, 0)+1)), "")</f>
        <v/>
      </c>
      <c r="L465" s="16">
        <f>IFERROR(IF(AND(IFERROR(VLOOKUP(LEFT(INDEX(ERP資料!$S:$S, (MATCH(464, 輔助計算!$F$2:$F$801, 0)+1)), 4), 100張客戶!$A:$A, 1, FALSE), "")&lt;&gt;"", OR(INDEX(ERP資料!$F:$F, (MATCH(464, 輔助計算!$F$2:$F$801, 0)+1))=270, INDEX(ERP資料!$F:$F, (MATCH(464, 輔助計算!$F$2:$F$801, 0)+1))=300)), "100張", ""), "")</f>
        <v/>
      </c>
      <c r="M465" s="17" t="n"/>
      <c r="N465" s="17">
        <f>IF($F465="","",$F465)</f>
        <v/>
      </c>
      <c r="O465" s="17">
        <f>IF($G465="","",$G465)</f>
        <v/>
      </c>
      <c r="P465" s="17">
        <f>IF($K465="","",$K465)</f>
        <v/>
      </c>
      <c r="Q465" s="16" t="n"/>
      <c r="R465" s="18" t="n"/>
      <c r="S465" s="16" t="n"/>
    </row>
    <row r="466">
      <c r="A466" s="14">
        <f>IFERROR(IF(AND(IFERROR(INDEX(ERP資料!$A:$A, (MATCH(465, 輔助計算!$F$2:$F$801, 0)+1)), "")&lt;&gt;"", IFERROR(INDEX(ERP資料!$A:$A, (MATCH(465, 輔助計算!$F$2:$F$801, 0)+1)), "")&lt;&gt;IFERROR(INDEX(ERP資料!$A:$A, MATCH(464, 輔助計算!$F$2:$F$801, 0)+1), "")), INDEX(ERP資料!$B:$B, (MATCH(465, 輔助計算!$F$2:$F$801, 0)+1)), ""), "")</f>
        <v/>
      </c>
      <c r="B466" s="10">
        <f>IFERROR(IF(AND(IFERROR(INDEX(ERP資料!$A:$A, (MATCH(465, 輔助計算!$F$2:$F$801, 0)+1)), "")&lt;&gt;"", IFERROR(INDEX(ERP資料!$A:$A, (MATCH(465, 輔助計算!$F$2:$F$801, 0)+1)), "")&lt;&gt;IFERROR(INDEX(ERP資料!$A:$A, MATCH(464, 輔助計算!$F$2:$F$801, 0)+1), "")), IFERROR(INDEX(ERP資料!$A:$A, (MATCH(465, 輔助計算!$F$2:$F$801, 0)+1)), ""), ""), "")</f>
        <v/>
      </c>
      <c r="C466" s="10">
        <f>IFERROR(IF(AND(IFERROR(INDEX(ERP資料!$A:$A, (MATCH(465, 輔助計算!$F$2:$F$801, 0)+1)), "")&lt;&gt;"", IFERROR(INDEX(ERP資料!$A:$A, (MATCH(465, 輔助計算!$F$2:$F$801, 0)+1)), "")&lt;&gt;IFERROR(INDEX(ERP資料!$A:$A, MATCH(464, 輔助計算!$F$2:$F$801, 0)+1), "")), INDEX(ERP資料!$S:$S, (MATCH(465, 輔助計算!$F$2:$F$801, 0)+1)), ""), "")</f>
        <v/>
      </c>
      <c r="D466" s="10">
        <f>IFERROR(IF(INDEX(ERP資料!$E:$E, (MATCH(465, 輔助計算!$F$2:$F$801, 0)+1))="","",TRIM(INDEX(ERP資料!$E:$E, (MATCH(465, 輔助計算!$F$2:$F$801, 0)+1)))), "")</f>
        <v/>
      </c>
      <c r="E466" s="10">
        <f>IFERROR(IF(INDEX(ERP資料!$F:$F, (MATCH(465, 輔助計算!$F$2:$F$801, 0)+1))="","",INDEX(ERP資料!$F:$F, (MATCH(465, 輔助計算!$F$2:$F$801, 0)+1))), "")</f>
        <v/>
      </c>
      <c r="F466" s="10">
        <f>IFERROR(IF(INDEX(ERP資料!$G:$G, (MATCH(465, 輔助計算!$F$2:$F$801, 0)+1))="","",INDEX(ERP資料!$G:$G, (MATCH(465, 輔助計算!$F$2:$F$801, 0)+1))), "")</f>
        <v/>
      </c>
      <c r="G466" s="10">
        <f>IFERROR(IF(INDEX(ERP資料!$H:$H, (MATCH(465, 輔助計算!$F$2:$F$801, 0)+1))="","",INDEX(ERP資料!$H:$H, (MATCH(465, 輔助計算!$F$2:$F$801, 0)+1))), "")</f>
        <v/>
      </c>
      <c r="H466" s="10">
        <f>IFERROR(IF(INDEX(ERP資料!$O:$O, (MATCH(465, 輔助計算!$F$2:$F$801, 0)+1))="","",INDEX(ERP資料!$O:$O, (MATCH(465, 輔助計算!$F$2:$F$801, 0)+1))), "")</f>
        <v/>
      </c>
      <c r="I466" s="15">
        <f>IFERROR(IF(INDEX(輔助計算!$D:$D,(MATCH(465, 輔助計算!$F$2:$F$801, 0)+1))="","",INDEX(輔助計算!$D:$D,(MATCH(465, 輔助計算!$F$2:$F$801, 0)+1))*INDEX(ERP資料!$O:$O,(MATCH(465, 輔助計算!$F$2:$F$801, 0)+1))), "")</f>
        <v/>
      </c>
      <c r="J466" s="16" t="n"/>
      <c r="K466" s="15">
        <f>IFERROR(INDEX(輔助計算!$D:$D, (MATCH(465, 輔助計算!$F$2:$F$801, 0)+1)), "")</f>
        <v/>
      </c>
      <c r="L466" s="16">
        <f>IFERROR(IF(AND(IFERROR(VLOOKUP(LEFT(INDEX(ERP資料!$S:$S, (MATCH(465, 輔助計算!$F$2:$F$801, 0)+1)), 4), 100張客戶!$A:$A, 1, FALSE), "")&lt;&gt;"", OR(INDEX(ERP資料!$F:$F, (MATCH(465, 輔助計算!$F$2:$F$801, 0)+1))=270, INDEX(ERP資料!$F:$F, (MATCH(465, 輔助計算!$F$2:$F$801, 0)+1))=300)), "100張", ""), "")</f>
        <v/>
      </c>
      <c r="M466" s="17" t="n"/>
      <c r="N466" s="17">
        <f>IF($F466="","",$F466)</f>
        <v/>
      </c>
      <c r="O466" s="17">
        <f>IF($G466="","",$G466)</f>
        <v/>
      </c>
      <c r="P466" s="17">
        <f>IF($K466="","",$K466)</f>
        <v/>
      </c>
      <c r="Q466" s="16" t="n"/>
      <c r="R466" s="18" t="n"/>
      <c r="S466" s="16" t="n"/>
    </row>
    <row r="467">
      <c r="A467" s="14">
        <f>IFERROR(IF(AND(IFERROR(INDEX(ERP資料!$A:$A, (MATCH(466, 輔助計算!$F$2:$F$801, 0)+1)), "")&lt;&gt;"", IFERROR(INDEX(ERP資料!$A:$A, (MATCH(466, 輔助計算!$F$2:$F$801, 0)+1)), "")&lt;&gt;IFERROR(INDEX(ERP資料!$A:$A, MATCH(465, 輔助計算!$F$2:$F$801, 0)+1), "")), INDEX(ERP資料!$B:$B, (MATCH(466, 輔助計算!$F$2:$F$801, 0)+1)), ""), "")</f>
        <v/>
      </c>
      <c r="B467" s="10">
        <f>IFERROR(IF(AND(IFERROR(INDEX(ERP資料!$A:$A, (MATCH(466, 輔助計算!$F$2:$F$801, 0)+1)), "")&lt;&gt;"", IFERROR(INDEX(ERP資料!$A:$A, (MATCH(466, 輔助計算!$F$2:$F$801, 0)+1)), "")&lt;&gt;IFERROR(INDEX(ERP資料!$A:$A, MATCH(465, 輔助計算!$F$2:$F$801, 0)+1), "")), IFERROR(INDEX(ERP資料!$A:$A, (MATCH(466, 輔助計算!$F$2:$F$801, 0)+1)), ""), ""), "")</f>
        <v/>
      </c>
      <c r="C467" s="10">
        <f>IFERROR(IF(AND(IFERROR(INDEX(ERP資料!$A:$A, (MATCH(466, 輔助計算!$F$2:$F$801, 0)+1)), "")&lt;&gt;"", IFERROR(INDEX(ERP資料!$A:$A, (MATCH(466, 輔助計算!$F$2:$F$801, 0)+1)), "")&lt;&gt;IFERROR(INDEX(ERP資料!$A:$A, MATCH(465, 輔助計算!$F$2:$F$801, 0)+1), "")), INDEX(ERP資料!$S:$S, (MATCH(466, 輔助計算!$F$2:$F$801, 0)+1)), ""), "")</f>
        <v/>
      </c>
      <c r="D467" s="10">
        <f>IFERROR(IF(INDEX(ERP資料!$E:$E, (MATCH(466, 輔助計算!$F$2:$F$801, 0)+1))="","",TRIM(INDEX(ERP資料!$E:$E, (MATCH(466, 輔助計算!$F$2:$F$801, 0)+1)))), "")</f>
        <v/>
      </c>
      <c r="E467" s="10">
        <f>IFERROR(IF(INDEX(ERP資料!$F:$F, (MATCH(466, 輔助計算!$F$2:$F$801, 0)+1))="","",INDEX(ERP資料!$F:$F, (MATCH(466, 輔助計算!$F$2:$F$801, 0)+1))), "")</f>
        <v/>
      </c>
      <c r="F467" s="10">
        <f>IFERROR(IF(INDEX(ERP資料!$G:$G, (MATCH(466, 輔助計算!$F$2:$F$801, 0)+1))="","",INDEX(ERP資料!$G:$G, (MATCH(466, 輔助計算!$F$2:$F$801, 0)+1))), "")</f>
        <v/>
      </c>
      <c r="G467" s="10">
        <f>IFERROR(IF(INDEX(ERP資料!$H:$H, (MATCH(466, 輔助計算!$F$2:$F$801, 0)+1))="","",INDEX(ERP資料!$H:$H, (MATCH(466, 輔助計算!$F$2:$F$801, 0)+1))), "")</f>
        <v/>
      </c>
      <c r="H467" s="10">
        <f>IFERROR(IF(INDEX(ERP資料!$O:$O, (MATCH(466, 輔助計算!$F$2:$F$801, 0)+1))="","",INDEX(ERP資料!$O:$O, (MATCH(466, 輔助計算!$F$2:$F$801, 0)+1))), "")</f>
        <v/>
      </c>
      <c r="I467" s="15">
        <f>IFERROR(IF(INDEX(輔助計算!$D:$D,(MATCH(466, 輔助計算!$F$2:$F$801, 0)+1))="","",INDEX(輔助計算!$D:$D,(MATCH(466, 輔助計算!$F$2:$F$801, 0)+1))*INDEX(ERP資料!$O:$O,(MATCH(466, 輔助計算!$F$2:$F$801, 0)+1))), "")</f>
        <v/>
      </c>
      <c r="J467" s="16" t="n"/>
      <c r="K467" s="15">
        <f>IFERROR(INDEX(輔助計算!$D:$D, (MATCH(466, 輔助計算!$F$2:$F$801, 0)+1)), "")</f>
        <v/>
      </c>
      <c r="L467" s="16">
        <f>IFERROR(IF(AND(IFERROR(VLOOKUP(LEFT(INDEX(ERP資料!$S:$S, (MATCH(466, 輔助計算!$F$2:$F$801, 0)+1)), 4), 100張客戶!$A:$A, 1, FALSE), "")&lt;&gt;"", OR(INDEX(ERP資料!$F:$F, (MATCH(466, 輔助計算!$F$2:$F$801, 0)+1))=270, INDEX(ERP資料!$F:$F, (MATCH(466, 輔助計算!$F$2:$F$801, 0)+1))=300)), "100張", ""), "")</f>
        <v/>
      </c>
      <c r="M467" s="17" t="n"/>
      <c r="N467" s="17">
        <f>IF($F467="","",$F467)</f>
        <v/>
      </c>
      <c r="O467" s="17">
        <f>IF($G467="","",$G467)</f>
        <v/>
      </c>
      <c r="P467" s="17">
        <f>IF($K467="","",$K467)</f>
        <v/>
      </c>
      <c r="Q467" s="16" t="n"/>
      <c r="R467" s="18" t="n"/>
      <c r="S467" s="16" t="n"/>
    </row>
    <row r="468">
      <c r="A468" s="14">
        <f>IFERROR(IF(AND(IFERROR(INDEX(ERP資料!$A:$A, (MATCH(467, 輔助計算!$F$2:$F$801, 0)+1)), "")&lt;&gt;"", IFERROR(INDEX(ERP資料!$A:$A, (MATCH(467, 輔助計算!$F$2:$F$801, 0)+1)), "")&lt;&gt;IFERROR(INDEX(ERP資料!$A:$A, MATCH(466, 輔助計算!$F$2:$F$801, 0)+1), "")), INDEX(ERP資料!$B:$B, (MATCH(467, 輔助計算!$F$2:$F$801, 0)+1)), ""), "")</f>
        <v/>
      </c>
      <c r="B468" s="10">
        <f>IFERROR(IF(AND(IFERROR(INDEX(ERP資料!$A:$A, (MATCH(467, 輔助計算!$F$2:$F$801, 0)+1)), "")&lt;&gt;"", IFERROR(INDEX(ERP資料!$A:$A, (MATCH(467, 輔助計算!$F$2:$F$801, 0)+1)), "")&lt;&gt;IFERROR(INDEX(ERP資料!$A:$A, MATCH(466, 輔助計算!$F$2:$F$801, 0)+1), "")), IFERROR(INDEX(ERP資料!$A:$A, (MATCH(467, 輔助計算!$F$2:$F$801, 0)+1)), ""), ""), "")</f>
        <v/>
      </c>
      <c r="C468" s="10">
        <f>IFERROR(IF(AND(IFERROR(INDEX(ERP資料!$A:$A, (MATCH(467, 輔助計算!$F$2:$F$801, 0)+1)), "")&lt;&gt;"", IFERROR(INDEX(ERP資料!$A:$A, (MATCH(467, 輔助計算!$F$2:$F$801, 0)+1)), "")&lt;&gt;IFERROR(INDEX(ERP資料!$A:$A, MATCH(466, 輔助計算!$F$2:$F$801, 0)+1), "")), INDEX(ERP資料!$S:$S, (MATCH(467, 輔助計算!$F$2:$F$801, 0)+1)), ""), "")</f>
        <v/>
      </c>
      <c r="D468" s="10">
        <f>IFERROR(IF(INDEX(ERP資料!$E:$E, (MATCH(467, 輔助計算!$F$2:$F$801, 0)+1))="","",TRIM(INDEX(ERP資料!$E:$E, (MATCH(467, 輔助計算!$F$2:$F$801, 0)+1)))), "")</f>
        <v/>
      </c>
      <c r="E468" s="10">
        <f>IFERROR(IF(INDEX(ERP資料!$F:$F, (MATCH(467, 輔助計算!$F$2:$F$801, 0)+1))="","",INDEX(ERP資料!$F:$F, (MATCH(467, 輔助計算!$F$2:$F$801, 0)+1))), "")</f>
        <v/>
      </c>
      <c r="F468" s="10">
        <f>IFERROR(IF(INDEX(ERP資料!$G:$G, (MATCH(467, 輔助計算!$F$2:$F$801, 0)+1))="","",INDEX(ERP資料!$G:$G, (MATCH(467, 輔助計算!$F$2:$F$801, 0)+1))), "")</f>
        <v/>
      </c>
      <c r="G468" s="10">
        <f>IFERROR(IF(INDEX(ERP資料!$H:$H, (MATCH(467, 輔助計算!$F$2:$F$801, 0)+1))="","",INDEX(ERP資料!$H:$H, (MATCH(467, 輔助計算!$F$2:$F$801, 0)+1))), "")</f>
        <v/>
      </c>
      <c r="H468" s="10">
        <f>IFERROR(IF(INDEX(ERP資料!$O:$O, (MATCH(467, 輔助計算!$F$2:$F$801, 0)+1))="","",INDEX(ERP資料!$O:$O, (MATCH(467, 輔助計算!$F$2:$F$801, 0)+1))), "")</f>
        <v/>
      </c>
      <c r="I468" s="15">
        <f>IFERROR(IF(INDEX(輔助計算!$D:$D,(MATCH(467, 輔助計算!$F$2:$F$801, 0)+1))="","",INDEX(輔助計算!$D:$D,(MATCH(467, 輔助計算!$F$2:$F$801, 0)+1))*INDEX(ERP資料!$O:$O,(MATCH(467, 輔助計算!$F$2:$F$801, 0)+1))), "")</f>
        <v/>
      </c>
      <c r="J468" s="16" t="n"/>
      <c r="K468" s="15">
        <f>IFERROR(INDEX(輔助計算!$D:$D, (MATCH(467, 輔助計算!$F$2:$F$801, 0)+1)), "")</f>
        <v/>
      </c>
      <c r="L468" s="16">
        <f>IFERROR(IF(AND(IFERROR(VLOOKUP(LEFT(INDEX(ERP資料!$S:$S, (MATCH(467, 輔助計算!$F$2:$F$801, 0)+1)), 4), 100張客戶!$A:$A, 1, FALSE), "")&lt;&gt;"", OR(INDEX(ERP資料!$F:$F, (MATCH(467, 輔助計算!$F$2:$F$801, 0)+1))=270, INDEX(ERP資料!$F:$F, (MATCH(467, 輔助計算!$F$2:$F$801, 0)+1))=300)), "100張", ""), "")</f>
        <v/>
      </c>
      <c r="M468" s="17" t="n"/>
      <c r="N468" s="17">
        <f>IF($F468="","",$F468)</f>
        <v/>
      </c>
      <c r="O468" s="17">
        <f>IF($G468="","",$G468)</f>
        <v/>
      </c>
      <c r="P468" s="17">
        <f>IF($K468="","",$K468)</f>
        <v/>
      </c>
      <c r="Q468" s="16" t="n"/>
      <c r="R468" s="18" t="n"/>
      <c r="S468" s="16" t="n"/>
    </row>
    <row r="469">
      <c r="A469" s="14">
        <f>IFERROR(IF(AND(IFERROR(INDEX(ERP資料!$A:$A, (MATCH(468, 輔助計算!$F$2:$F$801, 0)+1)), "")&lt;&gt;"", IFERROR(INDEX(ERP資料!$A:$A, (MATCH(468, 輔助計算!$F$2:$F$801, 0)+1)), "")&lt;&gt;IFERROR(INDEX(ERP資料!$A:$A, MATCH(467, 輔助計算!$F$2:$F$801, 0)+1), "")), INDEX(ERP資料!$B:$B, (MATCH(468, 輔助計算!$F$2:$F$801, 0)+1)), ""), "")</f>
        <v/>
      </c>
      <c r="B469" s="10">
        <f>IFERROR(IF(AND(IFERROR(INDEX(ERP資料!$A:$A, (MATCH(468, 輔助計算!$F$2:$F$801, 0)+1)), "")&lt;&gt;"", IFERROR(INDEX(ERP資料!$A:$A, (MATCH(468, 輔助計算!$F$2:$F$801, 0)+1)), "")&lt;&gt;IFERROR(INDEX(ERP資料!$A:$A, MATCH(467, 輔助計算!$F$2:$F$801, 0)+1), "")), IFERROR(INDEX(ERP資料!$A:$A, (MATCH(468, 輔助計算!$F$2:$F$801, 0)+1)), ""), ""), "")</f>
        <v/>
      </c>
      <c r="C469" s="10">
        <f>IFERROR(IF(AND(IFERROR(INDEX(ERP資料!$A:$A, (MATCH(468, 輔助計算!$F$2:$F$801, 0)+1)), "")&lt;&gt;"", IFERROR(INDEX(ERP資料!$A:$A, (MATCH(468, 輔助計算!$F$2:$F$801, 0)+1)), "")&lt;&gt;IFERROR(INDEX(ERP資料!$A:$A, MATCH(467, 輔助計算!$F$2:$F$801, 0)+1), "")), INDEX(ERP資料!$S:$S, (MATCH(468, 輔助計算!$F$2:$F$801, 0)+1)), ""), "")</f>
        <v/>
      </c>
      <c r="D469" s="10">
        <f>IFERROR(IF(INDEX(ERP資料!$E:$E, (MATCH(468, 輔助計算!$F$2:$F$801, 0)+1))="","",TRIM(INDEX(ERP資料!$E:$E, (MATCH(468, 輔助計算!$F$2:$F$801, 0)+1)))), "")</f>
        <v/>
      </c>
      <c r="E469" s="10">
        <f>IFERROR(IF(INDEX(ERP資料!$F:$F, (MATCH(468, 輔助計算!$F$2:$F$801, 0)+1))="","",INDEX(ERP資料!$F:$F, (MATCH(468, 輔助計算!$F$2:$F$801, 0)+1))), "")</f>
        <v/>
      </c>
      <c r="F469" s="10">
        <f>IFERROR(IF(INDEX(ERP資料!$G:$G, (MATCH(468, 輔助計算!$F$2:$F$801, 0)+1))="","",INDEX(ERP資料!$G:$G, (MATCH(468, 輔助計算!$F$2:$F$801, 0)+1))), "")</f>
        <v/>
      </c>
      <c r="G469" s="10">
        <f>IFERROR(IF(INDEX(ERP資料!$H:$H, (MATCH(468, 輔助計算!$F$2:$F$801, 0)+1))="","",INDEX(ERP資料!$H:$H, (MATCH(468, 輔助計算!$F$2:$F$801, 0)+1))), "")</f>
        <v/>
      </c>
      <c r="H469" s="10">
        <f>IFERROR(IF(INDEX(ERP資料!$O:$O, (MATCH(468, 輔助計算!$F$2:$F$801, 0)+1))="","",INDEX(ERP資料!$O:$O, (MATCH(468, 輔助計算!$F$2:$F$801, 0)+1))), "")</f>
        <v/>
      </c>
      <c r="I469" s="15">
        <f>IFERROR(IF(INDEX(輔助計算!$D:$D,(MATCH(468, 輔助計算!$F$2:$F$801, 0)+1))="","",INDEX(輔助計算!$D:$D,(MATCH(468, 輔助計算!$F$2:$F$801, 0)+1))*INDEX(ERP資料!$O:$O,(MATCH(468, 輔助計算!$F$2:$F$801, 0)+1))), "")</f>
        <v/>
      </c>
      <c r="J469" s="16" t="n"/>
      <c r="K469" s="15">
        <f>IFERROR(INDEX(輔助計算!$D:$D, (MATCH(468, 輔助計算!$F$2:$F$801, 0)+1)), "")</f>
        <v/>
      </c>
      <c r="L469" s="16">
        <f>IFERROR(IF(AND(IFERROR(VLOOKUP(LEFT(INDEX(ERP資料!$S:$S, (MATCH(468, 輔助計算!$F$2:$F$801, 0)+1)), 4), 100張客戶!$A:$A, 1, FALSE), "")&lt;&gt;"", OR(INDEX(ERP資料!$F:$F, (MATCH(468, 輔助計算!$F$2:$F$801, 0)+1))=270, INDEX(ERP資料!$F:$F, (MATCH(468, 輔助計算!$F$2:$F$801, 0)+1))=300)), "100張", ""), "")</f>
        <v/>
      </c>
      <c r="M469" s="17" t="n"/>
      <c r="N469" s="17">
        <f>IF($F469="","",$F469)</f>
        <v/>
      </c>
      <c r="O469" s="17">
        <f>IF($G469="","",$G469)</f>
        <v/>
      </c>
      <c r="P469" s="17">
        <f>IF($K469="","",$K469)</f>
        <v/>
      </c>
      <c r="Q469" s="16" t="n"/>
      <c r="R469" s="18" t="n"/>
      <c r="S469" s="16" t="n"/>
    </row>
    <row r="470">
      <c r="A470" s="14">
        <f>IFERROR(IF(AND(IFERROR(INDEX(ERP資料!$A:$A, (MATCH(469, 輔助計算!$F$2:$F$801, 0)+1)), "")&lt;&gt;"", IFERROR(INDEX(ERP資料!$A:$A, (MATCH(469, 輔助計算!$F$2:$F$801, 0)+1)), "")&lt;&gt;IFERROR(INDEX(ERP資料!$A:$A, MATCH(468, 輔助計算!$F$2:$F$801, 0)+1), "")), INDEX(ERP資料!$B:$B, (MATCH(469, 輔助計算!$F$2:$F$801, 0)+1)), ""), "")</f>
        <v/>
      </c>
      <c r="B470" s="10">
        <f>IFERROR(IF(AND(IFERROR(INDEX(ERP資料!$A:$A, (MATCH(469, 輔助計算!$F$2:$F$801, 0)+1)), "")&lt;&gt;"", IFERROR(INDEX(ERP資料!$A:$A, (MATCH(469, 輔助計算!$F$2:$F$801, 0)+1)), "")&lt;&gt;IFERROR(INDEX(ERP資料!$A:$A, MATCH(468, 輔助計算!$F$2:$F$801, 0)+1), "")), IFERROR(INDEX(ERP資料!$A:$A, (MATCH(469, 輔助計算!$F$2:$F$801, 0)+1)), ""), ""), "")</f>
        <v/>
      </c>
      <c r="C470" s="10">
        <f>IFERROR(IF(AND(IFERROR(INDEX(ERP資料!$A:$A, (MATCH(469, 輔助計算!$F$2:$F$801, 0)+1)), "")&lt;&gt;"", IFERROR(INDEX(ERP資料!$A:$A, (MATCH(469, 輔助計算!$F$2:$F$801, 0)+1)), "")&lt;&gt;IFERROR(INDEX(ERP資料!$A:$A, MATCH(468, 輔助計算!$F$2:$F$801, 0)+1), "")), INDEX(ERP資料!$S:$S, (MATCH(469, 輔助計算!$F$2:$F$801, 0)+1)), ""), "")</f>
        <v/>
      </c>
      <c r="D470" s="10">
        <f>IFERROR(IF(INDEX(ERP資料!$E:$E, (MATCH(469, 輔助計算!$F$2:$F$801, 0)+1))="","",TRIM(INDEX(ERP資料!$E:$E, (MATCH(469, 輔助計算!$F$2:$F$801, 0)+1)))), "")</f>
        <v/>
      </c>
      <c r="E470" s="10">
        <f>IFERROR(IF(INDEX(ERP資料!$F:$F, (MATCH(469, 輔助計算!$F$2:$F$801, 0)+1))="","",INDEX(ERP資料!$F:$F, (MATCH(469, 輔助計算!$F$2:$F$801, 0)+1))), "")</f>
        <v/>
      </c>
      <c r="F470" s="10">
        <f>IFERROR(IF(INDEX(ERP資料!$G:$G, (MATCH(469, 輔助計算!$F$2:$F$801, 0)+1))="","",INDEX(ERP資料!$G:$G, (MATCH(469, 輔助計算!$F$2:$F$801, 0)+1))), "")</f>
        <v/>
      </c>
      <c r="G470" s="10">
        <f>IFERROR(IF(INDEX(ERP資料!$H:$H, (MATCH(469, 輔助計算!$F$2:$F$801, 0)+1))="","",INDEX(ERP資料!$H:$H, (MATCH(469, 輔助計算!$F$2:$F$801, 0)+1))), "")</f>
        <v/>
      </c>
      <c r="H470" s="10">
        <f>IFERROR(IF(INDEX(ERP資料!$O:$O, (MATCH(469, 輔助計算!$F$2:$F$801, 0)+1))="","",INDEX(ERP資料!$O:$O, (MATCH(469, 輔助計算!$F$2:$F$801, 0)+1))), "")</f>
        <v/>
      </c>
      <c r="I470" s="15">
        <f>IFERROR(IF(INDEX(輔助計算!$D:$D,(MATCH(469, 輔助計算!$F$2:$F$801, 0)+1))="","",INDEX(輔助計算!$D:$D,(MATCH(469, 輔助計算!$F$2:$F$801, 0)+1))*INDEX(ERP資料!$O:$O,(MATCH(469, 輔助計算!$F$2:$F$801, 0)+1))), "")</f>
        <v/>
      </c>
      <c r="J470" s="16" t="n"/>
      <c r="K470" s="15">
        <f>IFERROR(INDEX(輔助計算!$D:$D, (MATCH(469, 輔助計算!$F$2:$F$801, 0)+1)), "")</f>
        <v/>
      </c>
      <c r="L470" s="16">
        <f>IFERROR(IF(AND(IFERROR(VLOOKUP(LEFT(INDEX(ERP資料!$S:$S, (MATCH(469, 輔助計算!$F$2:$F$801, 0)+1)), 4), 100張客戶!$A:$A, 1, FALSE), "")&lt;&gt;"", OR(INDEX(ERP資料!$F:$F, (MATCH(469, 輔助計算!$F$2:$F$801, 0)+1))=270, INDEX(ERP資料!$F:$F, (MATCH(469, 輔助計算!$F$2:$F$801, 0)+1))=300)), "100張", ""), "")</f>
        <v/>
      </c>
      <c r="M470" s="17" t="n"/>
      <c r="N470" s="17">
        <f>IF($F470="","",$F470)</f>
        <v/>
      </c>
      <c r="O470" s="17">
        <f>IF($G470="","",$G470)</f>
        <v/>
      </c>
      <c r="P470" s="17">
        <f>IF($K470="","",$K470)</f>
        <v/>
      </c>
      <c r="Q470" s="16" t="n"/>
      <c r="R470" s="18" t="n"/>
      <c r="S470" s="16" t="n"/>
    </row>
    <row r="471">
      <c r="A471" s="14">
        <f>IFERROR(IF(AND(IFERROR(INDEX(ERP資料!$A:$A, (MATCH(470, 輔助計算!$F$2:$F$801, 0)+1)), "")&lt;&gt;"", IFERROR(INDEX(ERP資料!$A:$A, (MATCH(470, 輔助計算!$F$2:$F$801, 0)+1)), "")&lt;&gt;IFERROR(INDEX(ERP資料!$A:$A, MATCH(469, 輔助計算!$F$2:$F$801, 0)+1), "")), INDEX(ERP資料!$B:$B, (MATCH(470, 輔助計算!$F$2:$F$801, 0)+1)), ""), "")</f>
        <v/>
      </c>
      <c r="B471" s="10">
        <f>IFERROR(IF(AND(IFERROR(INDEX(ERP資料!$A:$A, (MATCH(470, 輔助計算!$F$2:$F$801, 0)+1)), "")&lt;&gt;"", IFERROR(INDEX(ERP資料!$A:$A, (MATCH(470, 輔助計算!$F$2:$F$801, 0)+1)), "")&lt;&gt;IFERROR(INDEX(ERP資料!$A:$A, MATCH(469, 輔助計算!$F$2:$F$801, 0)+1), "")), IFERROR(INDEX(ERP資料!$A:$A, (MATCH(470, 輔助計算!$F$2:$F$801, 0)+1)), ""), ""), "")</f>
        <v/>
      </c>
      <c r="C471" s="10">
        <f>IFERROR(IF(AND(IFERROR(INDEX(ERP資料!$A:$A, (MATCH(470, 輔助計算!$F$2:$F$801, 0)+1)), "")&lt;&gt;"", IFERROR(INDEX(ERP資料!$A:$A, (MATCH(470, 輔助計算!$F$2:$F$801, 0)+1)), "")&lt;&gt;IFERROR(INDEX(ERP資料!$A:$A, MATCH(469, 輔助計算!$F$2:$F$801, 0)+1), "")), INDEX(ERP資料!$S:$S, (MATCH(470, 輔助計算!$F$2:$F$801, 0)+1)), ""), "")</f>
        <v/>
      </c>
      <c r="D471" s="10">
        <f>IFERROR(IF(INDEX(ERP資料!$E:$E, (MATCH(470, 輔助計算!$F$2:$F$801, 0)+1))="","",TRIM(INDEX(ERP資料!$E:$E, (MATCH(470, 輔助計算!$F$2:$F$801, 0)+1)))), "")</f>
        <v/>
      </c>
      <c r="E471" s="10">
        <f>IFERROR(IF(INDEX(ERP資料!$F:$F, (MATCH(470, 輔助計算!$F$2:$F$801, 0)+1))="","",INDEX(ERP資料!$F:$F, (MATCH(470, 輔助計算!$F$2:$F$801, 0)+1))), "")</f>
        <v/>
      </c>
      <c r="F471" s="10">
        <f>IFERROR(IF(INDEX(ERP資料!$G:$G, (MATCH(470, 輔助計算!$F$2:$F$801, 0)+1))="","",INDEX(ERP資料!$G:$G, (MATCH(470, 輔助計算!$F$2:$F$801, 0)+1))), "")</f>
        <v/>
      </c>
      <c r="G471" s="10">
        <f>IFERROR(IF(INDEX(ERP資料!$H:$H, (MATCH(470, 輔助計算!$F$2:$F$801, 0)+1))="","",INDEX(ERP資料!$H:$H, (MATCH(470, 輔助計算!$F$2:$F$801, 0)+1))), "")</f>
        <v/>
      </c>
      <c r="H471" s="10">
        <f>IFERROR(IF(INDEX(ERP資料!$O:$O, (MATCH(470, 輔助計算!$F$2:$F$801, 0)+1))="","",INDEX(ERP資料!$O:$O, (MATCH(470, 輔助計算!$F$2:$F$801, 0)+1))), "")</f>
        <v/>
      </c>
      <c r="I471" s="15">
        <f>IFERROR(IF(INDEX(輔助計算!$D:$D,(MATCH(470, 輔助計算!$F$2:$F$801, 0)+1))="","",INDEX(輔助計算!$D:$D,(MATCH(470, 輔助計算!$F$2:$F$801, 0)+1))*INDEX(ERP資料!$O:$O,(MATCH(470, 輔助計算!$F$2:$F$801, 0)+1))), "")</f>
        <v/>
      </c>
      <c r="J471" s="16" t="n"/>
      <c r="K471" s="15">
        <f>IFERROR(INDEX(輔助計算!$D:$D, (MATCH(470, 輔助計算!$F$2:$F$801, 0)+1)), "")</f>
        <v/>
      </c>
      <c r="L471" s="16">
        <f>IFERROR(IF(AND(IFERROR(VLOOKUP(LEFT(INDEX(ERP資料!$S:$S, (MATCH(470, 輔助計算!$F$2:$F$801, 0)+1)), 4), 100張客戶!$A:$A, 1, FALSE), "")&lt;&gt;"", OR(INDEX(ERP資料!$F:$F, (MATCH(470, 輔助計算!$F$2:$F$801, 0)+1))=270, INDEX(ERP資料!$F:$F, (MATCH(470, 輔助計算!$F$2:$F$801, 0)+1))=300)), "100張", ""), "")</f>
        <v/>
      </c>
      <c r="M471" s="17" t="n"/>
      <c r="N471" s="17">
        <f>IF($F471="","",$F471)</f>
        <v/>
      </c>
      <c r="O471" s="17">
        <f>IF($G471="","",$G471)</f>
        <v/>
      </c>
      <c r="P471" s="17">
        <f>IF($K471="","",$K471)</f>
        <v/>
      </c>
      <c r="Q471" s="16" t="n"/>
      <c r="R471" s="18" t="n"/>
      <c r="S471" s="16" t="n"/>
    </row>
    <row r="472">
      <c r="A472" s="14">
        <f>IFERROR(IF(AND(IFERROR(INDEX(ERP資料!$A:$A, (MATCH(471, 輔助計算!$F$2:$F$801, 0)+1)), "")&lt;&gt;"", IFERROR(INDEX(ERP資料!$A:$A, (MATCH(471, 輔助計算!$F$2:$F$801, 0)+1)), "")&lt;&gt;IFERROR(INDEX(ERP資料!$A:$A, MATCH(470, 輔助計算!$F$2:$F$801, 0)+1), "")), INDEX(ERP資料!$B:$B, (MATCH(471, 輔助計算!$F$2:$F$801, 0)+1)), ""), "")</f>
        <v/>
      </c>
      <c r="B472" s="10">
        <f>IFERROR(IF(AND(IFERROR(INDEX(ERP資料!$A:$A, (MATCH(471, 輔助計算!$F$2:$F$801, 0)+1)), "")&lt;&gt;"", IFERROR(INDEX(ERP資料!$A:$A, (MATCH(471, 輔助計算!$F$2:$F$801, 0)+1)), "")&lt;&gt;IFERROR(INDEX(ERP資料!$A:$A, MATCH(470, 輔助計算!$F$2:$F$801, 0)+1), "")), IFERROR(INDEX(ERP資料!$A:$A, (MATCH(471, 輔助計算!$F$2:$F$801, 0)+1)), ""), ""), "")</f>
        <v/>
      </c>
      <c r="C472" s="10">
        <f>IFERROR(IF(AND(IFERROR(INDEX(ERP資料!$A:$A, (MATCH(471, 輔助計算!$F$2:$F$801, 0)+1)), "")&lt;&gt;"", IFERROR(INDEX(ERP資料!$A:$A, (MATCH(471, 輔助計算!$F$2:$F$801, 0)+1)), "")&lt;&gt;IFERROR(INDEX(ERP資料!$A:$A, MATCH(470, 輔助計算!$F$2:$F$801, 0)+1), "")), INDEX(ERP資料!$S:$S, (MATCH(471, 輔助計算!$F$2:$F$801, 0)+1)), ""), "")</f>
        <v/>
      </c>
      <c r="D472" s="10">
        <f>IFERROR(IF(INDEX(ERP資料!$E:$E, (MATCH(471, 輔助計算!$F$2:$F$801, 0)+1))="","",TRIM(INDEX(ERP資料!$E:$E, (MATCH(471, 輔助計算!$F$2:$F$801, 0)+1)))), "")</f>
        <v/>
      </c>
      <c r="E472" s="10">
        <f>IFERROR(IF(INDEX(ERP資料!$F:$F, (MATCH(471, 輔助計算!$F$2:$F$801, 0)+1))="","",INDEX(ERP資料!$F:$F, (MATCH(471, 輔助計算!$F$2:$F$801, 0)+1))), "")</f>
        <v/>
      </c>
      <c r="F472" s="10">
        <f>IFERROR(IF(INDEX(ERP資料!$G:$G, (MATCH(471, 輔助計算!$F$2:$F$801, 0)+1))="","",INDEX(ERP資料!$G:$G, (MATCH(471, 輔助計算!$F$2:$F$801, 0)+1))), "")</f>
        <v/>
      </c>
      <c r="G472" s="10">
        <f>IFERROR(IF(INDEX(ERP資料!$H:$H, (MATCH(471, 輔助計算!$F$2:$F$801, 0)+1))="","",INDEX(ERP資料!$H:$H, (MATCH(471, 輔助計算!$F$2:$F$801, 0)+1))), "")</f>
        <v/>
      </c>
      <c r="H472" s="10">
        <f>IFERROR(IF(INDEX(ERP資料!$O:$O, (MATCH(471, 輔助計算!$F$2:$F$801, 0)+1))="","",INDEX(ERP資料!$O:$O, (MATCH(471, 輔助計算!$F$2:$F$801, 0)+1))), "")</f>
        <v/>
      </c>
      <c r="I472" s="15">
        <f>IFERROR(IF(INDEX(輔助計算!$D:$D,(MATCH(471, 輔助計算!$F$2:$F$801, 0)+1))="","",INDEX(輔助計算!$D:$D,(MATCH(471, 輔助計算!$F$2:$F$801, 0)+1))*INDEX(ERP資料!$O:$O,(MATCH(471, 輔助計算!$F$2:$F$801, 0)+1))), "")</f>
        <v/>
      </c>
      <c r="J472" s="16" t="n"/>
      <c r="K472" s="15">
        <f>IFERROR(INDEX(輔助計算!$D:$D, (MATCH(471, 輔助計算!$F$2:$F$801, 0)+1)), "")</f>
        <v/>
      </c>
      <c r="L472" s="16">
        <f>IFERROR(IF(AND(IFERROR(VLOOKUP(LEFT(INDEX(ERP資料!$S:$S, (MATCH(471, 輔助計算!$F$2:$F$801, 0)+1)), 4), 100張客戶!$A:$A, 1, FALSE), "")&lt;&gt;"", OR(INDEX(ERP資料!$F:$F, (MATCH(471, 輔助計算!$F$2:$F$801, 0)+1))=270, INDEX(ERP資料!$F:$F, (MATCH(471, 輔助計算!$F$2:$F$801, 0)+1))=300)), "100張", ""), "")</f>
        <v/>
      </c>
      <c r="M472" s="17" t="n"/>
      <c r="N472" s="17">
        <f>IF($F472="","",$F472)</f>
        <v/>
      </c>
      <c r="O472" s="17">
        <f>IF($G472="","",$G472)</f>
        <v/>
      </c>
      <c r="P472" s="17">
        <f>IF($K472="","",$K472)</f>
        <v/>
      </c>
      <c r="Q472" s="16" t="n"/>
      <c r="R472" s="18" t="n"/>
      <c r="S472" s="16" t="n"/>
    </row>
    <row r="473">
      <c r="A473" s="14">
        <f>IFERROR(IF(AND(IFERROR(INDEX(ERP資料!$A:$A, (MATCH(472, 輔助計算!$F$2:$F$801, 0)+1)), "")&lt;&gt;"", IFERROR(INDEX(ERP資料!$A:$A, (MATCH(472, 輔助計算!$F$2:$F$801, 0)+1)), "")&lt;&gt;IFERROR(INDEX(ERP資料!$A:$A, MATCH(471, 輔助計算!$F$2:$F$801, 0)+1), "")), INDEX(ERP資料!$B:$B, (MATCH(472, 輔助計算!$F$2:$F$801, 0)+1)), ""), "")</f>
        <v/>
      </c>
      <c r="B473" s="10">
        <f>IFERROR(IF(AND(IFERROR(INDEX(ERP資料!$A:$A, (MATCH(472, 輔助計算!$F$2:$F$801, 0)+1)), "")&lt;&gt;"", IFERROR(INDEX(ERP資料!$A:$A, (MATCH(472, 輔助計算!$F$2:$F$801, 0)+1)), "")&lt;&gt;IFERROR(INDEX(ERP資料!$A:$A, MATCH(471, 輔助計算!$F$2:$F$801, 0)+1), "")), IFERROR(INDEX(ERP資料!$A:$A, (MATCH(472, 輔助計算!$F$2:$F$801, 0)+1)), ""), ""), "")</f>
        <v/>
      </c>
      <c r="C473" s="10">
        <f>IFERROR(IF(AND(IFERROR(INDEX(ERP資料!$A:$A, (MATCH(472, 輔助計算!$F$2:$F$801, 0)+1)), "")&lt;&gt;"", IFERROR(INDEX(ERP資料!$A:$A, (MATCH(472, 輔助計算!$F$2:$F$801, 0)+1)), "")&lt;&gt;IFERROR(INDEX(ERP資料!$A:$A, MATCH(471, 輔助計算!$F$2:$F$801, 0)+1), "")), INDEX(ERP資料!$S:$S, (MATCH(472, 輔助計算!$F$2:$F$801, 0)+1)), ""), "")</f>
        <v/>
      </c>
      <c r="D473" s="10">
        <f>IFERROR(IF(INDEX(ERP資料!$E:$E, (MATCH(472, 輔助計算!$F$2:$F$801, 0)+1))="","",TRIM(INDEX(ERP資料!$E:$E, (MATCH(472, 輔助計算!$F$2:$F$801, 0)+1)))), "")</f>
        <v/>
      </c>
      <c r="E473" s="10">
        <f>IFERROR(IF(INDEX(ERP資料!$F:$F, (MATCH(472, 輔助計算!$F$2:$F$801, 0)+1))="","",INDEX(ERP資料!$F:$F, (MATCH(472, 輔助計算!$F$2:$F$801, 0)+1))), "")</f>
        <v/>
      </c>
      <c r="F473" s="10">
        <f>IFERROR(IF(INDEX(ERP資料!$G:$G, (MATCH(472, 輔助計算!$F$2:$F$801, 0)+1))="","",INDEX(ERP資料!$G:$G, (MATCH(472, 輔助計算!$F$2:$F$801, 0)+1))), "")</f>
        <v/>
      </c>
      <c r="G473" s="10">
        <f>IFERROR(IF(INDEX(ERP資料!$H:$H, (MATCH(472, 輔助計算!$F$2:$F$801, 0)+1))="","",INDEX(ERP資料!$H:$H, (MATCH(472, 輔助計算!$F$2:$F$801, 0)+1))), "")</f>
        <v/>
      </c>
      <c r="H473" s="10">
        <f>IFERROR(IF(INDEX(ERP資料!$O:$O, (MATCH(472, 輔助計算!$F$2:$F$801, 0)+1))="","",INDEX(ERP資料!$O:$O, (MATCH(472, 輔助計算!$F$2:$F$801, 0)+1))), "")</f>
        <v/>
      </c>
      <c r="I473" s="15">
        <f>IFERROR(IF(INDEX(輔助計算!$D:$D,(MATCH(472, 輔助計算!$F$2:$F$801, 0)+1))="","",INDEX(輔助計算!$D:$D,(MATCH(472, 輔助計算!$F$2:$F$801, 0)+1))*INDEX(ERP資料!$O:$O,(MATCH(472, 輔助計算!$F$2:$F$801, 0)+1))), "")</f>
        <v/>
      </c>
      <c r="J473" s="16" t="n"/>
      <c r="K473" s="15">
        <f>IFERROR(INDEX(輔助計算!$D:$D, (MATCH(472, 輔助計算!$F$2:$F$801, 0)+1)), "")</f>
        <v/>
      </c>
      <c r="L473" s="16">
        <f>IFERROR(IF(AND(IFERROR(VLOOKUP(LEFT(INDEX(ERP資料!$S:$S, (MATCH(472, 輔助計算!$F$2:$F$801, 0)+1)), 4), 100張客戶!$A:$A, 1, FALSE), "")&lt;&gt;"", OR(INDEX(ERP資料!$F:$F, (MATCH(472, 輔助計算!$F$2:$F$801, 0)+1))=270, INDEX(ERP資料!$F:$F, (MATCH(472, 輔助計算!$F$2:$F$801, 0)+1))=300)), "100張", ""), "")</f>
        <v/>
      </c>
      <c r="M473" s="17" t="n"/>
      <c r="N473" s="17">
        <f>IF($F473="","",$F473)</f>
        <v/>
      </c>
      <c r="O473" s="17">
        <f>IF($G473="","",$G473)</f>
        <v/>
      </c>
      <c r="P473" s="17">
        <f>IF($K473="","",$K473)</f>
        <v/>
      </c>
      <c r="Q473" s="16" t="n"/>
      <c r="R473" s="18" t="n"/>
      <c r="S473" s="16" t="n"/>
    </row>
    <row r="474">
      <c r="A474" s="14">
        <f>IFERROR(IF(AND(IFERROR(INDEX(ERP資料!$A:$A, (MATCH(473, 輔助計算!$F$2:$F$801, 0)+1)), "")&lt;&gt;"", IFERROR(INDEX(ERP資料!$A:$A, (MATCH(473, 輔助計算!$F$2:$F$801, 0)+1)), "")&lt;&gt;IFERROR(INDEX(ERP資料!$A:$A, MATCH(472, 輔助計算!$F$2:$F$801, 0)+1), "")), INDEX(ERP資料!$B:$B, (MATCH(473, 輔助計算!$F$2:$F$801, 0)+1)), ""), "")</f>
        <v/>
      </c>
      <c r="B474" s="10">
        <f>IFERROR(IF(AND(IFERROR(INDEX(ERP資料!$A:$A, (MATCH(473, 輔助計算!$F$2:$F$801, 0)+1)), "")&lt;&gt;"", IFERROR(INDEX(ERP資料!$A:$A, (MATCH(473, 輔助計算!$F$2:$F$801, 0)+1)), "")&lt;&gt;IFERROR(INDEX(ERP資料!$A:$A, MATCH(472, 輔助計算!$F$2:$F$801, 0)+1), "")), IFERROR(INDEX(ERP資料!$A:$A, (MATCH(473, 輔助計算!$F$2:$F$801, 0)+1)), ""), ""), "")</f>
        <v/>
      </c>
      <c r="C474" s="10">
        <f>IFERROR(IF(AND(IFERROR(INDEX(ERP資料!$A:$A, (MATCH(473, 輔助計算!$F$2:$F$801, 0)+1)), "")&lt;&gt;"", IFERROR(INDEX(ERP資料!$A:$A, (MATCH(473, 輔助計算!$F$2:$F$801, 0)+1)), "")&lt;&gt;IFERROR(INDEX(ERP資料!$A:$A, MATCH(472, 輔助計算!$F$2:$F$801, 0)+1), "")), INDEX(ERP資料!$S:$S, (MATCH(473, 輔助計算!$F$2:$F$801, 0)+1)), ""), "")</f>
        <v/>
      </c>
      <c r="D474" s="10">
        <f>IFERROR(IF(INDEX(ERP資料!$E:$E, (MATCH(473, 輔助計算!$F$2:$F$801, 0)+1))="","",TRIM(INDEX(ERP資料!$E:$E, (MATCH(473, 輔助計算!$F$2:$F$801, 0)+1)))), "")</f>
        <v/>
      </c>
      <c r="E474" s="10">
        <f>IFERROR(IF(INDEX(ERP資料!$F:$F, (MATCH(473, 輔助計算!$F$2:$F$801, 0)+1))="","",INDEX(ERP資料!$F:$F, (MATCH(473, 輔助計算!$F$2:$F$801, 0)+1))), "")</f>
        <v/>
      </c>
      <c r="F474" s="10">
        <f>IFERROR(IF(INDEX(ERP資料!$G:$G, (MATCH(473, 輔助計算!$F$2:$F$801, 0)+1))="","",INDEX(ERP資料!$G:$G, (MATCH(473, 輔助計算!$F$2:$F$801, 0)+1))), "")</f>
        <v/>
      </c>
      <c r="G474" s="10">
        <f>IFERROR(IF(INDEX(ERP資料!$H:$H, (MATCH(473, 輔助計算!$F$2:$F$801, 0)+1))="","",INDEX(ERP資料!$H:$H, (MATCH(473, 輔助計算!$F$2:$F$801, 0)+1))), "")</f>
        <v/>
      </c>
      <c r="H474" s="10">
        <f>IFERROR(IF(INDEX(ERP資料!$O:$O, (MATCH(473, 輔助計算!$F$2:$F$801, 0)+1))="","",INDEX(ERP資料!$O:$O, (MATCH(473, 輔助計算!$F$2:$F$801, 0)+1))), "")</f>
        <v/>
      </c>
      <c r="I474" s="15">
        <f>IFERROR(IF(INDEX(輔助計算!$D:$D,(MATCH(473, 輔助計算!$F$2:$F$801, 0)+1))="","",INDEX(輔助計算!$D:$D,(MATCH(473, 輔助計算!$F$2:$F$801, 0)+1))*INDEX(ERP資料!$O:$O,(MATCH(473, 輔助計算!$F$2:$F$801, 0)+1))), "")</f>
        <v/>
      </c>
      <c r="J474" s="16" t="n"/>
      <c r="K474" s="15">
        <f>IFERROR(INDEX(輔助計算!$D:$D, (MATCH(473, 輔助計算!$F$2:$F$801, 0)+1)), "")</f>
        <v/>
      </c>
      <c r="L474" s="16">
        <f>IFERROR(IF(AND(IFERROR(VLOOKUP(LEFT(INDEX(ERP資料!$S:$S, (MATCH(473, 輔助計算!$F$2:$F$801, 0)+1)), 4), 100張客戶!$A:$A, 1, FALSE), "")&lt;&gt;"", OR(INDEX(ERP資料!$F:$F, (MATCH(473, 輔助計算!$F$2:$F$801, 0)+1))=270, INDEX(ERP資料!$F:$F, (MATCH(473, 輔助計算!$F$2:$F$801, 0)+1))=300)), "100張", ""), "")</f>
        <v/>
      </c>
      <c r="M474" s="17" t="n"/>
      <c r="N474" s="17">
        <f>IF($F474="","",$F474)</f>
        <v/>
      </c>
      <c r="O474" s="17">
        <f>IF($G474="","",$G474)</f>
        <v/>
      </c>
      <c r="P474" s="17">
        <f>IF($K474="","",$K474)</f>
        <v/>
      </c>
      <c r="Q474" s="16" t="n"/>
      <c r="R474" s="18" t="n"/>
      <c r="S474" s="16" t="n"/>
    </row>
    <row r="475">
      <c r="A475" s="14">
        <f>IFERROR(IF(AND(IFERROR(INDEX(ERP資料!$A:$A, (MATCH(474, 輔助計算!$F$2:$F$801, 0)+1)), "")&lt;&gt;"", IFERROR(INDEX(ERP資料!$A:$A, (MATCH(474, 輔助計算!$F$2:$F$801, 0)+1)), "")&lt;&gt;IFERROR(INDEX(ERP資料!$A:$A, MATCH(473, 輔助計算!$F$2:$F$801, 0)+1), "")), INDEX(ERP資料!$B:$B, (MATCH(474, 輔助計算!$F$2:$F$801, 0)+1)), ""), "")</f>
        <v/>
      </c>
      <c r="B475" s="10">
        <f>IFERROR(IF(AND(IFERROR(INDEX(ERP資料!$A:$A, (MATCH(474, 輔助計算!$F$2:$F$801, 0)+1)), "")&lt;&gt;"", IFERROR(INDEX(ERP資料!$A:$A, (MATCH(474, 輔助計算!$F$2:$F$801, 0)+1)), "")&lt;&gt;IFERROR(INDEX(ERP資料!$A:$A, MATCH(473, 輔助計算!$F$2:$F$801, 0)+1), "")), IFERROR(INDEX(ERP資料!$A:$A, (MATCH(474, 輔助計算!$F$2:$F$801, 0)+1)), ""), ""), "")</f>
        <v/>
      </c>
      <c r="C475" s="10">
        <f>IFERROR(IF(AND(IFERROR(INDEX(ERP資料!$A:$A, (MATCH(474, 輔助計算!$F$2:$F$801, 0)+1)), "")&lt;&gt;"", IFERROR(INDEX(ERP資料!$A:$A, (MATCH(474, 輔助計算!$F$2:$F$801, 0)+1)), "")&lt;&gt;IFERROR(INDEX(ERP資料!$A:$A, MATCH(473, 輔助計算!$F$2:$F$801, 0)+1), "")), INDEX(ERP資料!$S:$S, (MATCH(474, 輔助計算!$F$2:$F$801, 0)+1)), ""), "")</f>
        <v/>
      </c>
      <c r="D475" s="10">
        <f>IFERROR(IF(INDEX(ERP資料!$E:$E, (MATCH(474, 輔助計算!$F$2:$F$801, 0)+1))="","",TRIM(INDEX(ERP資料!$E:$E, (MATCH(474, 輔助計算!$F$2:$F$801, 0)+1)))), "")</f>
        <v/>
      </c>
      <c r="E475" s="10">
        <f>IFERROR(IF(INDEX(ERP資料!$F:$F, (MATCH(474, 輔助計算!$F$2:$F$801, 0)+1))="","",INDEX(ERP資料!$F:$F, (MATCH(474, 輔助計算!$F$2:$F$801, 0)+1))), "")</f>
        <v/>
      </c>
      <c r="F475" s="10">
        <f>IFERROR(IF(INDEX(ERP資料!$G:$G, (MATCH(474, 輔助計算!$F$2:$F$801, 0)+1))="","",INDEX(ERP資料!$G:$G, (MATCH(474, 輔助計算!$F$2:$F$801, 0)+1))), "")</f>
        <v/>
      </c>
      <c r="G475" s="10">
        <f>IFERROR(IF(INDEX(ERP資料!$H:$H, (MATCH(474, 輔助計算!$F$2:$F$801, 0)+1))="","",INDEX(ERP資料!$H:$H, (MATCH(474, 輔助計算!$F$2:$F$801, 0)+1))), "")</f>
        <v/>
      </c>
      <c r="H475" s="10">
        <f>IFERROR(IF(INDEX(ERP資料!$O:$O, (MATCH(474, 輔助計算!$F$2:$F$801, 0)+1))="","",INDEX(ERP資料!$O:$O, (MATCH(474, 輔助計算!$F$2:$F$801, 0)+1))), "")</f>
        <v/>
      </c>
      <c r="I475" s="15">
        <f>IFERROR(IF(INDEX(輔助計算!$D:$D,(MATCH(474, 輔助計算!$F$2:$F$801, 0)+1))="","",INDEX(輔助計算!$D:$D,(MATCH(474, 輔助計算!$F$2:$F$801, 0)+1))*INDEX(ERP資料!$O:$O,(MATCH(474, 輔助計算!$F$2:$F$801, 0)+1))), "")</f>
        <v/>
      </c>
      <c r="J475" s="16" t="n"/>
      <c r="K475" s="15">
        <f>IFERROR(INDEX(輔助計算!$D:$D, (MATCH(474, 輔助計算!$F$2:$F$801, 0)+1)), "")</f>
        <v/>
      </c>
      <c r="L475" s="16">
        <f>IFERROR(IF(AND(IFERROR(VLOOKUP(LEFT(INDEX(ERP資料!$S:$S, (MATCH(474, 輔助計算!$F$2:$F$801, 0)+1)), 4), 100張客戶!$A:$A, 1, FALSE), "")&lt;&gt;"", OR(INDEX(ERP資料!$F:$F, (MATCH(474, 輔助計算!$F$2:$F$801, 0)+1))=270, INDEX(ERP資料!$F:$F, (MATCH(474, 輔助計算!$F$2:$F$801, 0)+1))=300)), "100張", ""), "")</f>
        <v/>
      </c>
      <c r="M475" s="17" t="n"/>
      <c r="N475" s="17">
        <f>IF($F475="","",$F475)</f>
        <v/>
      </c>
      <c r="O475" s="17">
        <f>IF($G475="","",$G475)</f>
        <v/>
      </c>
      <c r="P475" s="17">
        <f>IF($K475="","",$K475)</f>
        <v/>
      </c>
      <c r="Q475" s="16" t="n"/>
      <c r="R475" s="18" t="n"/>
      <c r="S475" s="16" t="n"/>
    </row>
    <row r="476">
      <c r="A476" s="14">
        <f>IFERROR(IF(AND(IFERROR(INDEX(ERP資料!$A:$A, (MATCH(475, 輔助計算!$F$2:$F$801, 0)+1)), "")&lt;&gt;"", IFERROR(INDEX(ERP資料!$A:$A, (MATCH(475, 輔助計算!$F$2:$F$801, 0)+1)), "")&lt;&gt;IFERROR(INDEX(ERP資料!$A:$A, MATCH(474, 輔助計算!$F$2:$F$801, 0)+1), "")), INDEX(ERP資料!$B:$B, (MATCH(475, 輔助計算!$F$2:$F$801, 0)+1)), ""), "")</f>
        <v/>
      </c>
      <c r="B476" s="10">
        <f>IFERROR(IF(AND(IFERROR(INDEX(ERP資料!$A:$A, (MATCH(475, 輔助計算!$F$2:$F$801, 0)+1)), "")&lt;&gt;"", IFERROR(INDEX(ERP資料!$A:$A, (MATCH(475, 輔助計算!$F$2:$F$801, 0)+1)), "")&lt;&gt;IFERROR(INDEX(ERP資料!$A:$A, MATCH(474, 輔助計算!$F$2:$F$801, 0)+1), "")), IFERROR(INDEX(ERP資料!$A:$A, (MATCH(475, 輔助計算!$F$2:$F$801, 0)+1)), ""), ""), "")</f>
        <v/>
      </c>
      <c r="C476" s="10">
        <f>IFERROR(IF(AND(IFERROR(INDEX(ERP資料!$A:$A, (MATCH(475, 輔助計算!$F$2:$F$801, 0)+1)), "")&lt;&gt;"", IFERROR(INDEX(ERP資料!$A:$A, (MATCH(475, 輔助計算!$F$2:$F$801, 0)+1)), "")&lt;&gt;IFERROR(INDEX(ERP資料!$A:$A, MATCH(474, 輔助計算!$F$2:$F$801, 0)+1), "")), INDEX(ERP資料!$S:$S, (MATCH(475, 輔助計算!$F$2:$F$801, 0)+1)), ""), "")</f>
        <v/>
      </c>
      <c r="D476" s="10">
        <f>IFERROR(IF(INDEX(ERP資料!$E:$E, (MATCH(475, 輔助計算!$F$2:$F$801, 0)+1))="","",TRIM(INDEX(ERP資料!$E:$E, (MATCH(475, 輔助計算!$F$2:$F$801, 0)+1)))), "")</f>
        <v/>
      </c>
      <c r="E476" s="10">
        <f>IFERROR(IF(INDEX(ERP資料!$F:$F, (MATCH(475, 輔助計算!$F$2:$F$801, 0)+1))="","",INDEX(ERP資料!$F:$F, (MATCH(475, 輔助計算!$F$2:$F$801, 0)+1))), "")</f>
        <v/>
      </c>
      <c r="F476" s="10">
        <f>IFERROR(IF(INDEX(ERP資料!$G:$G, (MATCH(475, 輔助計算!$F$2:$F$801, 0)+1))="","",INDEX(ERP資料!$G:$G, (MATCH(475, 輔助計算!$F$2:$F$801, 0)+1))), "")</f>
        <v/>
      </c>
      <c r="G476" s="10">
        <f>IFERROR(IF(INDEX(ERP資料!$H:$H, (MATCH(475, 輔助計算!$F$2:$F$801, 0)+1))="","",INDEX(ERP資料!$H:$H, (MATCH(475, 輔助計算!$F$2:$F$801, 0)+1))), "")</f>
        <v/>
      </c>
      <c r="H476" s="10">
        <f>IFERROR(IF(INDEX(ERP資料!$O:$O, (MATCH(475, 輔助計算!$F$2:$F$801, 0)+1))="","",INDEX(ERP資料!$O:$O, (MATCH(475, 輔助計算!$F$2:$F$801, 0)+1))), "")</f>
        <v/>
      </c>
      <c r="I476" s="15">
        <f>IFERROR(IF(INDEX(輔助計算!$D:$D,(MATCH(475, 輔助計算!$F$2:$F$801, 0)+1))="","",INDEX(輔助計算!$D:$D,(MATCH(475, 輔助計算!$F$2:$F$801, 0)+1))*INDEX(ERP資料!$O:$O,(MATCH(475, 輔助計算!$F$2:$F$801, 0)+1))), "")</f>
        <v/>
      </c>
      <c r="J476" s="16" t="n"/>
      <c r="K476" s="15">
        <f>IFERROR(INDEX(輔助計算!$D:$D, (MATCH(475, 輔助計算!$F$2:$F$801, 0)+1)), "")</f>
        <v/>
      </c>
      <c r="L476" s="16">
        <f>IFERROR(IF(AND(IFERROR(VLOOKUP(LEFT(INDEX(ERP資料!$S:$S, (MATCH(475, 輔助計算!$F$2:$F$801, 0)+1)), 4), 100張客戶!$A:$A, 1, FALSE), "")&lt;&gt;"", OR(INDEX(ERP資料!$F:$F, (MATCH(475, 輔助計算!$F$2:$F$801, 0)+1))=270, INDEX(ERP資料!$F:$F, (MATCH(475, 輔助計算!$F$2:$F$801, 0)+1))=300)), "100張", ""), "")</f>
        <v/>
      </c>
      <c r="M476" s="17" t="n"/>
      <c r="N476" s="17">
        <f>IF($F476="","",$F476)</f>
        <v/>
      </c>
      <c r="O476" s="17">
        <f>IF($G476="","",$G476)</f>
        <v/>
      </c>
      <c r="P476" s="17">
        <f>IF($K476="","",$K476)</f>
        <v/>
      </c>
      <c r="Q476" s="16" t="n"/>
      <c r="R476" s="18" t="n"/>
      <c r="S476" s="16" t="n"/>
    </row>
    <row r="477">
      <c r="A477" s="14">
        <f>IFERROR(IF(AND(IFERROR(INDEX(ERP資料!$A:$A, (MATCH(476, 輔助計算!$F$2:$F$801, 0)+1)), "")&lt;&gt;"", IFERROR(INDEX(ERP資料!$A:$A, (MATCH(476, 輔助計算!$F$2:$F$801, 0)+1)), "")&lt;&gt;IFERROR(INDEX(ERP資料!$A:$A, MATCH(475, 輔助計算!$F$2:$F$801, 0)+1), "")), INDEX(ERP資料!$B:$B, (MATCH(476, 輔助計算!$F$2:$F$801, 0)+1)), ""), "")</f>
        <v/>
      </c>
      <c r="B477" s="10">
        <f>IFERROR(IF(AND(IFERROR(INDEX(ERP資料!$A:$A, (MATCH(476, 輔助計算!$F$2:$F$801, 0)+1)), "")&lt;&gt;"", IFERROR(INDEX(ERP資料!$A:$A, (MATCH(476, 輔助計算!$F$2:$F$801, 0)+1)), "")&lt;&gt;IFERROR(INDEX(ERP資料!$A:$A, MATCH(475, 輔助計算!$F$2:$F$801, 0)+1), "")), IFERROR(INDEX(ERP資料!$A:$A, (MATCH(476, 輔助計算!$F$2:$F$801, 0)+1)), ""), ""), "")</f>
        <v/>
      </c>
      <c r="C477" s="10">
        <f>IFERROR(IF(AND(IFERROR(INDEX(ERP資料!$A:$A, (MATCH(476, 輔助計算!$F$2:$F$801, 0)+1)), "")&lt;&gt;"", IFERROR(INDEX(ERP資料!$A:$A, (MATCH(476, 輔助計算!$F$2:$F$801, 0)+1)), "")&lt;&gt;IFERROR(INDEX(ERP資料!$A:$A, MATCH(475, 輔助計算!$F$2:$F$801, 0)+1), "")), INDEX(ERP資料!$S:$S, (MATCH(476, 輔助計算!$F$2:$F$801, 0)+1)), ""), "")</f>
        <v/>
      </c>
      <c r="D477" s="10">
        <f>IFERROR(IF(INDEX(ERP資料!$E:$E, (MATCH(476, 輔助計算!$F$2:$F$801, 0)+1))="","",TRIM(INDEX(ERP資料!$E:$E, (MATCH(476, 輔助計算!$F$2:$F$801, 0)+1)))), "")</f>
        <v/>
      </c>
      <c r="E477" s="10">
        <f>IFERROR(IF(INDEX(ERP資料!$F:$F, (MATCH(476, 輔助計算!$F$2:$F$801, 0)+1))="","",INDEX(ERP資料!$F:$F, (MATCH(476, 輔助計算!$F$2:$F$801, 0)+1))), "")</f>
        <v/>
      </c>
      <c r="F477" s="10">
        <f>IFERROR(IF(INDEX(ERP資料!$G:$G, (MATCH(476, 輔助計算!$F$2:$F$801, 0)+1))="","",INDEX(ERP資料!$G:$G, (MATCH(476, 輔助計算!$F$2:$F$801, 0)+1))), "")</f>
        <v/>
      </c>
      <c r="G477" s="10">
        <f>IFERROR(IF(INDEX(ERP資料!$H:$H, (MATCH(476, 輔助計算!$F$2:$F$801, 0)+1))="","",INDEX(ERP資料!$H:$H, (MATCH(476, 輔助計算!$F$2:$F$801, 0)+1))), "")</f>
        <v/>
      </c>
      <c r="H477" s="10">
        <f>IFERROR(IF(INDEX(ERP資料!$O:$O, (MATCH(476, 輔助計算!$F$2:$F$801, 0)+1))="","",INDEX(ERP資料!$O:$O, (MATCH(476, 輔助計算!$F$2:$F$801, 0)+1))), "")</f>
        <v/>
      </c>
      <c r="I477" s="15">
        <f>IFERROR(IF(INDEX(輔助計算!$D:$D,(MATCH(476, 輔助計算!$F$2:$F$801, 0)+1))="","",INDEX(輔助計算!$D:$D,(MATCH(476, 輔助計算!$F$2:$F$801, 0)+1))*INDEX(ERP資料!$O:$O,(MATCH(476, 輔助計算!$F$2:$F$801, 0)+1))), "")</f>
        <v/>
      </c>
      <c r="J477" s="16" t="n"/>
      <c r="K477" s="15">
        <f>IFERROR(INDEX(輔助計算!$D:$D, (MATCH(476, 輔助計算!$F$2:$F$801, 0)+1)), "")</f>
        <v/>
      </c>
      <c r="L477" s="16">
        <f>IFERROR(IF(AND(IFERROR(VLOOKUP(LEFT(INDEX(ERP資料!$S:$S, (MATCH(476, 輔助計算!$F$2:$F$801, 0)+1)), 4), 100張客戶!$A:$A, 1, FALSE), "")&lt;&gt;"", OR(INDEX(ERP資料!$F:$F, (MATCH(476, 輔助計算!$F$2:$F$801, 0)+1))=270, INDEX(ERP資料!$F:$F, (MATCH(476, 輔助計算!$F$2:$F$801, 0)+1))=300)), "100張", ""), "")</f>
        <v/>
      </c>
      <c r="M477" s="17" t="n"/>
      <c r="N477" s="17">
        <f>IF($F477="","",$F477)</f>
        <v/>
      </c>
      <c r="O477" s="17">
        <f>IF($G477="","",$G477)</f>
        <v/>
      </c>
      <c r="P477" s="17">
        <f>IF($K477="","",$K477)</f>
        <v/>
      </c>
      <c r="Q477" s="16" t="n"/>
      <c r="R477" s="18" t="n"/>
      <c r="S477" s="16" t="n"/>
    </row>
    <row r="478">
      <c r="A478" s="14">
        <f>IFERROR(IF(AND(IFERROR(INDEX(ERP資料!$A:$A, (MATCH(477, 輔助計算!$F$2:$F$801, 0)+1)), "")&lt;&gt;"", IFERROR(INDEX(ERP資料!$A:$A, (MATCH(477, 輔助計算!$F$2:$F$801, 0)+1)), "")&lt;&gt;IFERROR(INDEX(ERP資料!$A:$A, MATCH(476, 輔助計算!$F$2:$F$801, 0)+1), "")), INDEX(ERP資料!$B:$B, (MATCH(477, 輔助計算!$F$2:$F$801, 0)+1)), ""), "")</f>
        <v/>
      </c>
      <c r="B478" s="10">
        <f>IFERROR(IF(AND(IFERROR(INDEX(ERP資料!$A:$A, (MATCH(477, 輔助計算!$F$2:$F$801, 0)+1)), "")&lt;&gt;"", IFERROR(INDEX(ERP資料!$A:$A, (MATCH(477, 輔助計算!$F$2:$F$801, 0)+1)), "")&lt;&gt;IFERROR(INDEX(ERP資料!$A:$A, MATCH(476, 輔助計算!$F$2:$F$801, 0)+1), "")), IFERROR(INDEX(ERP資料!$A:$A, (MATCH(477, 輔助計算!$F$2:$F$801, 0)+1)), ""), ""), "")</f>
        <v/>
      </c>
      <c r="C478" s="10">
        <f>IFERROR(IF(AND(IFERROR(INDEX(ERP資料!$A:$A, (MATCH(477, 輔助計算!$F$2:$F$801, 0)+1)), "")&lt;&gt;"", IFERROR(INDEX(ERP資料!$A:$A, (MATCH(477, 輔助計算!$F$2:$F$801, 0)+1)), "")&lt;&gt;IFERROR(INDEX(ERP資料!$A:$A, MATCH(476, 輔助計算!$F$2:$F$801, 0)+1), "")), INDEX(ERP資料!$S:$S, (MATCH(477, 輔助計算!$F$2:$F$801, 0)+1)), ""), "")</f>
        <v/>
      </c>
      <c r="D478" s="10">
        <f>IFERROR(IF(INDEX(ERP資料!$E:$E, (MATCH(477, 輔助計算!$F$2:$F$801, 0)+1))="","",TRIM(INDEX(ERP資料!$E:$E, (MATCH(477, 輔助計算!$F$2:$F$801, 0)+1)))), "")</f>
        <v/>
      </c>
      <c r="E478" s="10">
        <f>IFERROR(IF(INDEX(ERP資料!$F:$F, (MATCH(477, 輔助計算!$F$2:$F$801, 0)+1))="","",INDEX(ERP資料!$F:$F, (MATCH(477, 輔助計算!$F$2:$F$801, 0)+1))), "")</f>
        <v/>
      </c>
      <c r="F478" s="10">
        <f>IFERROR(IF(INDEX(ERP資料!$G:$G, (MATCH(477, 輔助計算!$F$2:$F$801, 0)+1))="","",INDEX(ERP資料!$G:$G, (MATCH(477, 輔助計算!$F$2:$F$801, 0)+1))), "")</f>
        <v/>
      </c>
      <c r="G478" s="10">
        <f>IFERROR(IF(INDEX(ERP資料!$H:$H, (MATCH(477, 輔助計算!$F$2:$F$801, 0)+1))="","",INDEX(ERP資料!$H:$H, (MATCH(477, 輔助計算!$F$2:$F$801, 0)+1))), "")</f>
        <v/>
      </c>
      <c r="H478" s="10">
        <f>IFERROR(IF(INDEX(ERP資料!$O:$O, (MATCH(477, 輔助計算!$F$2:$F$801, 0)+1))="","",INDEX(ERP資料!$O:$O, (MATCH(477, 輔助計算!$F$2:$F$801, 0)+1))), "")</f>
        <v/>
      </c>
      <c r="I478" s="15">
        <f>IFERROR(IF(INDEX(輔助計算!$D:$D,(MATCH(477, 輔助計算!$F$2:$F$801, 0)+1))="","",INDEX(輔助計算!$D:$D,(MATCH(477, 輔助計算!$F$2:$F$801, 0)+1))*INDEX(ERP資料!$O:$O,(MATCH(477, 輔助計算!$F$2:$F$801, 0)+1))), "")</f>
        <v/>
      </c>
      <c r="J478" s="16" t="n"/>
      <c r="K478" s="15">
        <f>IFERROR(INDEX(輔助計算!$D:$D, (MATCH(477, 輔助計算!$F$2:$F$801, 0)+1)), "")</f>
        <v/>
      </c>
      <c r="L478" s="16">
        <f>IFERROR(IF(AND(IFERROR(VLOOKUP(LEFT(INDEX(ERP資料!$S:$S, (MATCH(477, 輔助計算!$F$2:$F$801, 0)+1)), 4), 100張客戶!$A:$A, 1, FALSE), "")&lt;&gt;"", OR(INDEX(ERP資料!$F:$F, (MATCH(477, 輔助計算!$F$2:$F$801, 0)+1))=270, INDEX(ERP資料!$F:$F, (MATCH(477, 輔助計算!$F$2:$F$801, 0)+1))=300)), "100張", ""), "")</f>
        <v/>
      </c>
      <c r="M478" s="17" t="n"/>
      <c r="N478" s="17">
        <f>IF($F478="","",$F478)</f>
        <v/>
      </c>
      <c r="O478" s="17">
        <f>IF($G478="","",$G478)</f>
        <v/>
      </c>
      <c r="P478" s="17">
        <f>IF($K478="","",$K478)</f>
        <v/>
      </c>
      <c r="Q478" s="16" t="n"/>
      <c r="R478" s="18" t="n"/>
      <c r="S478" s="16" t="n"/>
    </row>
    <row r="479">
      <c r="A479" s="14">
        <f>IFERROR(IF(AND(IFERROR(INDEX(ERP資料!$A:$A, (MATCH(478, 輔助計算!$F$2:$F$801, 0)+1)), "")&lt;&gt;"", IFERROR(INDEX(ERP資料!$A:$A, (MATCH(478, 輔助計算!$F$2:$F$801, 0)+1)), "")&lt;&gt;IFERROR(INDEX(ERP資料!$A:$A, MATCH(477, 輔助計算!$F$2:$F$801, 0)+1), "")), INDEX(ERP資料!$B:$B, (MATCH(478, 輔助計算!$F$2:$F$801, 0)+1)), ""), "")</f>
        <v/>
      </c>
      <c r="B479" s="10">
        <f>IFERROR(IF(AND(IFERROR(INDEX(ERP資料!$A:$A, (MATCH(478, 輔助計算!$F$2:$F$801, 0)+1)), "")&lt;&gt;"", IFERROR(INDEX(ERP資料!$A:$A, (MATCH(478, 輔助計算!$F$2:$F$801, 0)+1)), "")&lt;&gt;IFERROR(INDEX(ERP資料!$A:$A, MATCH(477, 輔助計算!$F$2:$F$801, 0)+1), "")), IFERROR(INDEX(ERP資料!$A:$A, (MATCH(478, 輔助計算!$F$2:$F$801, 0)+1)), ""), ""), "")</f>
        <v/>
      </c>
      <c r="C479" s="10">
        <f>IFERROR(IF(AND(IFERROR(INDEX(ERP資料!$A:$A, (MATCH(478, 輔助計算!$F$2:$F$801, 0)+1)), "")&lt;&gt;"", IFERROR(INDEX(ERP資料!$A:$A, (MATCH(478, 輔助計算!$F$2:$F$801, 0)+1)), "")&lt;&gt;IFERROR(INDEX(ERP資料!$A:$A, MATCH(477, 輔助計算!$F$2:$F$801, 0)+1), "")), INDEX(ERP資料!$S:$S, (MATCH(478, 輔助計算!$F$2:$F$801, 0)+1)), ""), "")</f>
        <v/>
      </c>
      <c r="D479" s="10">
        <f>IFERROR(IF(INDEX(ERP資料!$E:$E, (MATCH(478, 輔助計算!$F$2:$F$801, 0)+1))="","",TRIM(INDEX(ERP資料!$E:$E, (MATCH(478, 輔助計算!$F$2:$F$801, 0)+1)))), "")</f>
        <v/>
      </c>
      <c r="E479" s="10">
        <f>IFERROR(IF(INDEX(ERP資料!$F:$F, (MATCH(478, 輔助計算!$F$2:$F$801, 0)+1))="","",INDEX(ERP資料!$F:$F, (MATCH(478, 輔助計算!$F$2:$F$801, 0)+1))), "")</f>
        <v/>
      </c>
      <c r="F479" s="10">
        <f>IFERROR(IF(INDEX(ERP資料!$G:$G, (MATCH(478, 輔助計算!$F$2:$F$801, 0)+1))="","",INDEX(ERP資料!$G:$G, (MATCH(478, 輔助計算!$F$2:$F$801, 0)+1))), "")</f>
        <v/>
      </c>
      <c r="G479" s="10">
        <f>IFERROR(IF(INDEX(ERP資料!$H:$H, (MATCH(478, 輔助計算!$F$2:$F$801, 0)+1))="","",INDEX(ERP資料!$H:$H, (MATCH(478, 輔助計算!$F$2:$F$801, 0)+1))), "")</f>
        <v/>
      </c>
      <c r="H479" s="10">
        <f>IFERROR(IF(INDEX(ERP資料!$O:$O, (MATCH(478, 輔助計算!$F$2:$F$801, 0)+1))="","",INDEX(ERP資料!$O:$O, (MATCH(478, 輔助計算!$F$2:$F$801, 0)+1))), "")</f>
        <v/>
      </c>
      <c r="I479" s="15">
        <f>IFERROR(IF(INDEX(輔助計算!$D:$D,(MATCH(478, 輔助計算!$F$2:$F$801, 0)+1))="","",INDEX(輔助計算!$D:$D,(MATCH(478, 輔助計算!$F$2:$F$801, 0)+1))*INDEX(ERP資料!$O:$O,(MATCH(478, 輔助計算!$F$2:$F$801, 0)+1))), "")</f>
        <v/>
      </c>
      <c r="J479" s="16" t="n"/>
      <c r="K479" s="15">
        <f>IFERROR(INDEX(輔助計算!$D:$D, (MATCH(478, 輔助計算!$F$2:$F$801, 0)+1)), "")</f>
        <v/>
      </c>
      <c r="L479" s="16">
        <f>IFERROR(IF(AND(IFERROR(VLOOKUP(LEFT(INDEX(ERP資料!$S:$S, (MATCH(478, 輔助計算!$F$2:$F$801, 0)+1)), 4), 100張客戶!$A:$A, 1, FALSE), "")&lt;&gt;"", OR(INDEX(ERP資料!$F:$F, (MATCH(478, 輔助計算!$F$2:$F$801, 0)+1))=270, INDEX(ERP資料!$F:$F, (MATCH(478, 輔助計算!$F$2:$F$801, 0)+1))=300)), "100張", ""), "")</f>
        <v/>
      </c>
      <c r="M479" s="17" t="n"/>
      <c r="N479" s="17">
        <f>IF($F479="","",$F479)</f>
        <v/>
      </c>
      <c r="O479" s="17">
        <f>IF($G479="","",$G479)</f>
        <v/>
      </c>
      <c r="P479" s="17">
        <f>IF($K479="","",$K479)</f>
        <v/>
      </c>
      <c r="Q479" s="16" t="n"/>
      <c r="R479" s="18" t="n"/>
      <c r="S479" s="16" t="n"/>
    </row>
    <row r="480">
      <c r="A480" s="14">
        <f>IFERROR(IF(AND(IFERROR(INDEX(ERP資料!$A:$A, (MATCH(479, 輔助計算!$F$2:$F$801, 0)+1)), "")&lt;&gt;"", IFERROR(INDEX(ERP資料!$A:$A, (MATCH(479, 輔助計算!$F$2:$F$801, 0)+1)), "")&lt;&gt;IFERROR(INDEX(ERP資料!$A:$A, MATCH(478, 輔助計算!$F$2:$F$801, 0)+1), "")), INDEX(ERP資料!$B:$B, (MATCH(479, 輔助計算!$F$2:$F$801, 0)+1)), ""), "")</f>
        <v/>
      </c>
      <c r="B480" s="10">
        <f>IFERROR(IF(AND(IFERROR(INDEX(ERP資料!$A:$A, (MATCH(479, 輔助計算!$F$2:$F$801, 0)+1)), "")&lt;&gt;"", IFERROR(INDEX(ERP資料!$A:$A, (MATCH(479, 輔助計算!$F$2:$F$801, 0)+1)), "")&lt;&gt;IFERROR(INDEX(ERP資料!$A:$A, MATCH(478, 輔助計算!$F$2:$F$801, 0)+1), "")), IFERROR(INDEX(ERP資料!$A:$A, (MATCH(479, 輔助計算!$F$2:$F$801, 0)+1)), ""), ""), "")</f>
        <v/>
      </c>
      <c r="C480" s="10">
        <f>IFERROR(IF(AND(IFERROR(INDEX(ERP資料!$A:$A, (MATCH(479, 輔助計算!$F$2:$F$801, 0)+1)), "")&lt;&gt;"", IFERROR(INDEX(ERP資料!$A:$A, (MATCH(479, 輔助計算!$F$2:$F$801, 0)+1)), "")&lt;&gt;IFERROR(INDEX(ERP資料!$A:$A, MATCH(478, 輔助計算!$F$2:$F$801, 0)+1), "")), INDEX(ERP資料!$S:$S, (MATCH(479, 輔助計算!$F$2:$F$801, 0)+1)), ""), "")</f>
        <v/>
      </c>
      <c r="D480" s="10">
        <f>IFERROR(IF(INDEX(ERP資料!$E:$E, (MATCH(479, 輔助計算!$F$2:$F$801, 0)+1))="","",TRIM(INDEX(ERP資料!$E:$E, (MATCH(479, 輔助計算!$F$2:$F$801, 0)+1)))), "")</f>
        <v/>
      </c>
      <c r="E480" s="10">
        <f>IFERROR(IF(INDEX(ERP資料!$F:$F, (MATCH(479, 輔助計算!$F$2:$F$801, 0)+1))="","",INDEX(ERP資料!$F:$F, (MATCH(479, 輔助計算!$F$2:$F$801, 0)+1))), "")</f>
        <v/>
      </c>
      <c r="F480" s="10">
        <f>IFERROR(IF(INDEX(ERP資料!$G:$G, (MATCH(479, 輔助計算!$F$2:$F$801, 0)+1))="","",INDEX(ERP資料!$G:$G, (MATCH(479, 輔助計算!$F$2:$F$801, 0)+1))), "")</f>
        <v/>
      </c>
      <c r="G480" s="10">
        <f>IFERROR(IF(INDEX(ERP資料!$H:$H, (MATCH(479, 輔助計算!$F$2:$F$801, 0)+1))="","",INDEX(ERP資料!$H:$H, (MATCH(479, 輔助計算!$F$2:$F$801, 0)+1))), "")</f>
        <v/>
      </c>
      <c r="H480" s="10">
        <f>IFERROR(IF(INDEX(ERP資料!$O:$O, (MATCH(479, 輔助計算!$F$2:$F$801, 0)+1))="","",INDEX(ERP資料!$O:$O, (MATCH(479, 輔助計算!$F$2:$F$801, 0)+1))), "")</f>
        <v/>
      </c>
      <c r="I480" s="15">
        <f>IFERROR(IF(INDEX(輔助計算!$D:$D,(MATCH(479, 輔助計算!$F$2:$F$801, 0)+1))="","",INDEX(輔助計算!$D:$D,(MATCH(479, 輔助計算!$F$2:$F$801, 0)+1))*INDEX(ERP資料!$O:$O,(MATCH(479, 輔助計算!$F$2:$F$801, 0)+1))), "")</f>
        <v/>
      </c>
      <c r="J480" s="16" t="n"/>
      <c r="K480" s="15">
        <f>IFERROR(INDEX(輔助計算!$D:$D, (MATCH(479, 輔助計算!$F$2:$F$801, 0)+1)), "")</f>
        <v/>
      </c>
      <c r="L480" s="16">
        <f>IFERROR(IF(AND(IFERROR(VLOOKUP(LEFT(INDEX(ERP資料!$S:$S, (MATCH(479, 輔助計算!$F$2:$F$801, 0)+1)), 4), 100張客戶!$A:$A, 1, FALSE), "")&lt;&gt;"", OR(INDEX(ERP資料!$F:$F, (MATCH(479, 輔助計算!$F$2:$F$801, 0)+1))=270, INDEX(ERP資料!$F:$F, (MATCH(479, 輔助計算!$F$2:$F$801, 0)+1))=300)), "100張", ""), "")</f>
        <v/>
      </c>
      <c r="M480" s="17" t="n"/>
      <c r="N480" s="17">
        <f>IF($F480="","",$F480)</f>
        <v/>
      </c>
      <c r="O480" s="17">
        <f>IF($G480="","",$G480)</f>
        <v/>
      </c>
      <c r="P480" s="17">
        <f>IF($K480="","",$K480)</f>
        <v/>
      </c>
      <c r="Q480" s="16" t="n"/>
      <c r="R480" s="18" t="n"/>
      <c r="S480" s="16" t="n"/>
    </row>
    <row r="481">
      <c r="A481" s="14">
        <f>IFERROR(IF(AND(IFERROR(INDEX(ERP資料!$A:$A, (MATCH(480, 輔助計算!$F$2:$F$801, 0)+1)), "")&lt;&gt;"", IFERROR(INDEX(ERP資料!$A:$A, (MATCH(480, 輔助計算!$F$2:$F$801, 0)+1)), "")&lt;&gt;IFERROR(INDEX(ERP資料!$A:$A, MATCH(479, 輔助計算!$F$2:$F$801, 0)+1), "")), INDEX(ERP資料!$B:$B, (MATCH(480, 輔助計算!$F$2:$F$801, 0)+1)), ""), "")</f>
        <v/>
      </c>
      <c r="B481" s="10">
        <f>IFERROR(IF(AND(IFERROR(INDEX(ERP資料!$A:$A, (MATCH(480, 輔助計算!$F$2:$F$801, 0)+1)), "")&lt;&gt;"", IFERROR(INDEX(ERP資料!$A:$A, (MATCH(480, 輔助計算!$F$2:$F$801, 0)+1)), "")&lt;&gt;IFERROR(INDEX(ERP資料!$A:$A, MATCH(479, 輔助計算!$F$2:$F$801, 0)+1), "")), IFERROR(INDEX(ERP資料!$A:$A, (MATCH(480, 輔助計算!$F$2:$F$801, 0)+1)), ""), ""), "")</f>
        <v/>
      </c>
      <c r="C481" s="10">
        <f>IFERROR(IF(AND(IFERROR(INDEX(ERP資料!$A:$A, (MATCH(480, 輔助計算!$F$2:$F$801, 0)+1)), "")&lt;&gt;"", IFERROR(INDEX(ERP資料!$A:$A, (MATCH(480, 輔助計算!$F$2:$F$801, 0)+1)), "")&lt;&gt;IFERROR(INDEX(ERP資料!$A:$A, MATCH(479, 輔助計算!$F$2:$F$801, 0)+1), "")), INDEX(ERP資料!$S:$S, (MATCH(480, 輔助計算!$F$2:$F$801, 0)+1)), ""), "")</f>
        <v/>
      </c>
      <c r="D481" s="10">
        <f>IFERROR(IF(INDEX(ERP資料!$E:$E, (MATCH(480, 輔助計算!$F$2:$F$801, 0)+1))="","",TRIM(INDEX(ERP資料!$E:$E, (MATCH(480, 輔助計算!$F$2:$F$801, 0)+1)))), "")</f>
        <v/>
      </c>
      <c r="E481" s="10">
        <f>IFERROR(IF(INDEX(ERP資料!$F:$F, (MATCH(480, 輔助計算!$F$2:$F$801, 0)+1))="","",INDEX(ERP資料!$F:$F, (MATCH(480, 輔助計算!$F$2:$F$801, 0)+1))), "")</f>
        <v/>
      </c>
      <c r="F481" s="10">
        <f>IFERROR(IF(INDEX(ERP資料!$G:$G, (MATCH(480, 輔助計算!$F$2:$F$801, 0)+1))="","",INDEX(ERP資料!$G:$G, (MATCH(480, 輔助計算!$F$2:$F$801, 0)+1))), "")</f>
        <v/>
      </c>
      <c r="G481" s="10">
        <f>IFERROR(IF(INDEX(ERP資料!$H:$H, (MATCH(480, 輔助計算!$F$2:$F$801, 0)+1))="","",INDEX(ERP資料!$H:$H, (MATCH(480, 輔助計算!$F$2:$F$801, 0)+1))), "")</f>
        <v/>
      </c>
      <c r="H481" s="10">
        <f>IFERROR(IF(INDEX(ERP資料!$O:$O, (MATCH(480, 輔助計算!$F$2:$F$801, 0)+1))="","",INDEX(ERP資料!$O:$O, (MATCH(480, 輔助計算!$F$2:$F$801, 0)+1))), "")</f>
        <v/>
      </c>
      <c r="I481" s="15">
        <f>IFERROR(IF(INDEX(輔助計算!$D:$D,(MATCH(480, 輔助計算!$F$2:$F$801, 0)+1))="","",INDEX(輔助計算!$D:$D,(MATCH(480, 輔助計算!$F$2:$F$801, 0)+1))*INDEX(ERP資料!$O:$O,(MATCH(480, 輔助計算!$F$2:$F$801, 0)+1))), "")</f>
        <v/>
      </c>
      <c r="J481" s="16" t="n"/>
      <c r="K481" s="15">
        <f>IFERROR(INDEX(輔助計算!$D:$D, (MATCH(480, 輔助計算!$F$2:$F$801, 0)+1)), "")</f>
        <v/>
      </c>
      <c r="L481" s="16">
        <f>IFERROR(IF(AND(IFERROR(VLOOKUP(LEFT(INDEX(ERP資料!$S:$S, (MATCH(480, 輔助計算!$F$2:$F$801, 0)+1)), 4), 100張客戶!$A:$A, 1, FALSE), "")&lt;&gt;"", OR(INDEX(ERP資料!$F:$F, (MATCH(480, 輔助計算!$F$2:$F$801, 0)+1))=270, INDEX(ERP資料!$F:$F, (MATCH(480, 輔助計算!$F$2:$F$801, 0)+1))=300)), "100張", ""), "")</f>
        <v/>
      </c>
      <c r="M481" s="17" t="n"/>
      <c r="N481" s="17">
        <f>IF($F481="","",$F481)</f>
        <v/>
      </c>
      <c r="O481" s="17">
        <f>IF($G481="","",$G481)</f>
        <v/>
      </c>
      <c r="P481" s="17">
        <f>IF($K481="","",$K481)</f>
        <v/>
      </c>
      <c r="Q481" s="16" t="n"/>
      <c r="R481" s="18" t="n"/>
      <c r="S481" s="16" t="n"/>
    </row>
    <row r="482">
      <c r="A482" s="14">
        <f>IFERROR(IF(AND(IFERROR(INDEX(ERP資料!$A:$A, (MATCH(481, 輔助計算!$F$2:$F$801, 0)+1)), "")&lt;&gt;"", IFERROR(INDEX(ERP資料!$A:$A, (MATCH(481, 輔助計算!$F$2:$F$801, 0)+1)), "")&lt;&gt;IFERROR(INDEX(ERP資料!$A:$A, MATCH(480, 輔助計算!$F$2:$F$801, 0)+1), "")), INDEX(ERP資料!$B:$B, (MATCH(481, 輔助計算!$F$2:$F$801, 0)+1)), ""), "")</f>
        <v/>
      </c>
      <c r="B482" s="10">
        <f>IFERROR(IF(AND(IFERROR(INDEX(ERP資料!$A:$A, (MATCH(481, 輔助計算!$F$2:$F$801, 0)+1)), "")&lt;&gt;"", IFERROR(INDEX(ERP資料!$A:$A, (MATCH(481, 輔助計算!$F$2:$F$801, 0)+1)), "")&lt;&gt;IFERROR(INDEX(ERP資料!$A:$A, MATCH(480, 輔助計算!$F$2:$F$801, 0)+1), "")), IFERROR(INDEX(ERP資料!$A:$A, (MATCH(481, 輔助計算!$F$2:$F$801, 0)+1)), ""), ""), "")</f>
        <v/>
      </c>
      <c r="C482" s="10">
        <f>IFERROR(IF(AND(IFERROR(INDEX(ERP資料!$A:$A, (MATCH(481, 輔助計算!$F$2:$F$801, 0)+1)), "")&lt;&gt;"", IFERROR(INDEX(ERP資料!$A:$A, (MATCH(481, 輔助計算!$F$2:$F$801, 0)+1)), "")&lt;&gt;IFERROR(INDEX(ERP資料!$A:$A, MATCH(480, 輔助計算!$F$2:$F$801, 0)+1), "")), INDEX(ERP資料!$S:$S, (MATCH(481, 輔助計算!$F$2:$F$801, 0)+1)), ""), "")</f>
        <v/>
      </c>
      <c r="D482" s="10">
        <f>IFERROR(IF(INDEX(ERP資料!$E:$E, (MATCH(481, 輔助計算!$F$2:$F$801, 0)+1))="","",TRIM(INDEX(ERP資料!$E:$E, (MATCH(481, 輔助計算!$F$2:$F$801, 0)+1)))), "")</f>
        <v/>
      </c>
      <c r="E482" s="10">
        <f>IFERROR(IF(INDEX(ERP資料!$F:$F, (MATCH(481, 輔助計算!$F$2:$F$801, 0)+1))="","",INDEX(ERP資料!$F:$F, (MATCH(481, 輔助計算!$F$2:$F$801, 0)+1))), "")</f>
        <v/>
      </c>
      <c r="F482" s="10">
        <f>IFERROR(IF(INDEX(ERP資料!$G:$G, (MATCH(481, 輔助計算!$F$2:$F$801, 0)+1))="","",INDEX(ERP資料!$G:$G, (MATCH(481, 輔助計算!$F$2:$F$801, 0)+1))), "")</f>
        <v/>
      </c>
      <c r="G482" s="10">
        <f>IFERROR(IF(INDEX(ERP資料!$H:$H, (MATCH(481, 輔助計算!$F$2:$F$801, 0)+1))="","",INDEX(ERP資料!$H:$H, (MATCH(481, 輔助計算!$F$2:$F$801, 0)+1))), "")</f>
        <v/>
      </c>
      <c r="H482" s="10">
        <f>IFERROR(IF(INDEX(ERP資料!$O:$O, (MATCH(481, 輔助計算!$F$2:$F$801, 0)+1))="","",INDEX(ERP資料!$O:$O, (MATCH(481, 輔助計算!$F$2:$F$801, 0)+1))), "")</f>
        <v/>
      </c>
      <c r="I482" s="15">
        <f>IFERROR(IF(INDEX(輔助計算!$D:$D,(MATCH(481, 輔助計算!$F$2:$F$801, 0)+1))="","",INDEX(輔助計算!$D:$D,(MATCH(481, 輔助計算!$F$2:$F$801, 0)+1))*INDEX(ERP資料!$O:$O,(MATCH(481, 輔助計算!$F$2:$F$801, 0)+1))), "")</f>
        <v/>
      </c>
      <c r="J482" s="16" t="n"/>
      <c r="K482" s="15">
        <f>IFERROR(INDEX(輔助計算!$D:$D, (MATCH(481, 輔助計算!$F$2:$F$801, 0)+1)), "")</f>
        <v/>
      </c>
      <c r="L482" s="16">
        <f>IFERROR(IF(AND(IFERROR(VLOOKUP(LEFT(INDEX(ERP資料!$S:$S, (MATCH(481, 輔助計算!$F$2:$F$801, 0)+1)), 4), 100張客戶!$A:$A, 1, FALSE), "")&lt;&gt;"", OR(INDEX(ERP資料!$F:$F, (MATCH(481, 輔助計算!$F$2:$F$801, 0)+1))=270, INDEX(ERP資料!$F:$F, (MATCH(481, 輔助計算!$F$2:$F$801, 0)+1))=300)), "100張", ""), "")</f>
        <v/>
      </c>
      <c r="M482" s="17" t="n"/>
      <c r="N482" s="17">
        <f>IF($F482="","",$F482)</f>
        <v/>
      </c>
      <c r="O482" s="17">
        <f>IF($G482="","",$G482)</f>
        <v/>
      </c>
      <c r="P482" s="17">
        <f>IF($K482="","",$K482)</f>
        <v/>
      </c>
      <c r="Q482" s="16" t="n"/>
      <c r="R482" s="18" t="n"/>
      <c r="S482" s="16" t="n"/>
    </row>
    <row r="483">
      <c r="A483" s="14">
        <f>IFERROR(IF(AND(IFERROR(INDEX(ERP資料!$A:$A, (MATCH(482, 輔助計算!$F$2:$F$801, 0)+1)), "")&lt;&gt;"", IFERROR(INDEX(ERP資料!$A:$A, (MATCH(482, 輔助計算!$F$2:$F$801, 0)+1)), "")&lt;&gt;IFERROR(INDEX(ERP資料!$A:$A, MATCH(481, 輔助計算!$F$2:$F$801, 0)+1), "")), INDEX(ERP資料!$B:$B, (MATCH(482, 輔助計算!$F$2:$F$801, 0)+1)), ""), "")</f>
        <v/>
      </c>
      <c r="B483" s="10">
        <f>IFERROR(IF(AND(IFERROR(INDEX(ERP資料!$A:$A, (MATCH(482, 輔助計算!$F$2:$F$801, 0)+1)), "")&lt;&gt;"", IFERROR(INDEX(ERP資料!$A:$A, (MATCH(482, 輔助計算!$F$2:$F$801, 0)+1)), "")&lt;&gt;IFERROR(INDEX(ERP資料!$A:$A, MATCH(481, 輔助計算!$F$2:$F$801, 0)+1), "")), IFERROR(INDEX(ERP資料!$A:$A, (MATCH(482, 輔助計算!$F$2:$F$801, 0)+1)), ""), ""), "")</f>
        <v/>
      </c>
      <c r="C483" s="10">
        <f>IFERROR(IF(AND(IFERROR(INDEX(ERP資料!$A:$A, (MATCH(482, 輔助計算!$F$2:$F$801, 0)+1)), "")&lt;&gt;"", IFERROR(INDEX(ERP資料!$A:$A, (MATCH(482, 輔助計算!$F$2:$F$801, 0)+1)), "")&lt;&gt;IFERROR(INDEX(ERP資料!$A:$A, MATCH(481, 輔助計算!$F$2:$F$801, 0)+1), "")), INDEX(ERP資料!$S:$S, (MATCH(482, 輔助計算!$F$2:$F$801, 0)+1)), ""), "")</f>
        <v/>
      </c>
      <c r="D483" s="10">
        <f>IFERROR(IF(INDEX(ERP資料!$E:$E, (MATCH(482, 輔助計算!$F$2:$F$801, 0)+1))="","",TRIM(INDEX(ERP資料!$E:$E, (MATCH(482, 輔助計算!$F$2:$F$801, 0)+1)))), "")</f>
        <v/>
      </c>
      <c r="E483" s="10">
        <f>IFERROR(IF(INDEX(ERP資料!$F:$F, (MATCH(482, 輔助計算!$F$2:$F$801, 0)+1))="","",INDEX(ERP資料!$F:$F, (MATCH(482, 輔助計算!$F$2:$F$801, 0)+1))), "")</f>
        <v/>
      </c>
      <c r="F483" s="10">
        <f>IFERROR(IF(INDEX(ERP資料!$G:$G, (MATCH(482, 輔助計算!$F$2:$F$801, 0)+1))="","",INDEX(ERP資料!$G:$G, (MATCH(482, 輔助計算!$F$2:$F$801, 0)+1))), "")</f>
        <v/>
      </c>
      <c r="G483" s="10">
        <f>IFERROR(IF(INDEX(ERP資料!$H:$H, (MATCH(482, 輔助計算!$F$2:$F$801, 0)+1))="","",INDEX(ERP資料!$H:$H, (MATCH(482, 輔助計算!$F$2:$F$801, 0)+1))), "")</f>
        <v/>
      </c>
      <c r="H483" s="10">
        <f>IFERROR(IF(INDEX(ERP資料!$O:$O, (MATCH(482, 輔助計算!$F$2:$F$801, 0)+1))="","",INDEX(ERP資料!$O:$O, (MATCH(482, 輔助計算!$F$2:$F$801, 0)+1))), "")</f>
        <v/>
      </c>
      <c r="I483" s="15">
        <f>IFERROR(IF(INDEX(輔助計算!$D:$D,(MATCH(482, 輔助計算!$F$2:$F$801, 0)+1))="","",INDEX(輔助計算!$D:$D,(MATCH(482, 輔助計算!$F$2:$F$801, 0)+1))*INDEX(ERP資料!$O:$O,(MATCH(482, 輔助計算!$F$2:$F$801, 0)+1))), "")</f>
        <v/>
      </c>
      <c r="J483" s="16" t="n"/>
      <c r="K483" s="15">
        <f>IFERROR(INDEX(輔助計算!$D:$D, (MATCH(482, 輔助計算!$F$2:$F$801, 0)+1)), "")</f>
        <v/>
      </c>
      <c r="L483" s="16">
        <f>IFERROR(IF(AND(IFERROR(VLOOKUP(LEFT(INDEX(ERP資料!$S:$S, (MATCH(482, 輔助計算!$F$2:$F$801, 0)+1)), 4), 100張客戶!$A:$A, 1, FALSE), "")&lt;&gt;"", OR(INDEX(ERP資料!$F:$F, (MATCH(482, 輔助計算!$F$2:$F$801, 0)+1))=270, INDEX(ERP資料!$F:$F, (MATCH(482, 輔助計算!$F$2:$F$801, 0)+1))=300)), "100張", ""), "")</f>
        <v/>
      </c>
      <c r="M483" s="17" t="n"/>
      <c r="N483" s="17">
        <f>IF($F483="","",$F483)</f>
        <v/>
      </c>
      <c r="O483" s="17">
        <f>IF($G483="","",$G483)</f>
        <v/>
      </c>
      <c r="P483" s="17">
        <f>IF($K483="","",$K483)</f>
        <v/>
      </c>
      <c r="Q483" s="16" t="n"/>
      <c r="R483" s="18" t="n"/>
      <c r="S483" s="16" t="n"/>
    </row>
    <row r="484">
      <c r="A484" s="14">
        <f>IFERROR(IF(AND(IFERROR(INDEX(ERP資料!$A:$A, (MATCH(483, 輔助計算!$F$2:$F$801, 0)+1)), "")&lt;&gt;"", IFERROR(INDEX(ERP資料!$A:$A, (MATCH(483, 輔助計算!$F$2:$F$801, 0)+1)), "")&lt;&gt;IFERROR(INDEX(ERP資料!$A:$A, MATCH(482, 輔助計算!$F$2:$F$801, 0)+1), "")), INDEX(ERP資料!$B:$B, (MATCH(483, 輔助計算!$F$2:$F$801, 0)+1)), ""), "")</f>
        <v/>
      </c>
      <c r="B484" s="10">
        <f>IFERROR(IF(AND(IFERROR(INDEX(ERP資料!$A:$A, (MATCH(483, 輔助計算!$F$2:$F$801, 0)+1)), "")&lt;&gt;"", IFERROR(INDEX(ERP資料!$A:$A, (MATCH(483, 輔助計算!$F$2:$F$801, 0)+1)), "")&lt;&gt;IFERROR(INDEX(ERP資料!$A:$A, MATCH(482, 輔助計算!$F$2:$F$801, 0)+1), "")), IFERROR(INDEX(ERP資料!$A:$A, (MATCH(483, 輔助計算!$F$2:$F$801, 0)+1)), ""), ""), "")</f>
        <v/>
      </c>
      <c r="C484" s="10">
        <f>IFERROR(IF(AND(IFERROR(INDEX(ERP資料!$A:$A, (MATCH(483, 輔助計算!$F$2:$F$801, 0)+1)), "")&lt;&gt;"", IFERROR(INDEX(ERP資料!$A:$A, (MATCH(483, 輔助計算!$F$2:$F$801, 0)+1)), "")&lt;&gt;IFERROR(INDEX(ERP資料!$A:$A, MATCH(482, 輔助計算!$F$2:$F$801, 0)+1), "")), INDEX(ERP資料!$S:$S, (MATCH(483, 輔助計算!$F$2:$F$801, 0)+1)), ""), "")</f>
        <v/>
      </c>
      <c r="D484" s="10">
        <f>IFERROR(IF(INDEX(ERP資料!$E:$E, (MATCH(483, 輔助計算!$F$2:$F$801, 0)+1))="","",TRIM(INDEX(ERP資料!$E:$E, (MATCH(483, 輔助計算!$F$2:$F$801, 0)+1)))), "")</f>
        <v/>
      </c>
      <c r="E484" s="10">
        <f>IFERROR(IF(INDEX(ERP資料!$F:$F, (MATCH(483, 輔助計算!$F$2:$F$801, 0)+1))="","",INDEX(ERP資料!$F:$F, (MATCH(483, 輔助計算!$F$2:$F$801, 0)+1))), "")</f>
        <v/>
      </c>
      <c r="F484" s="10">
        <f>IFERROR(IF(INDEX(ERP資料!$G:$G, (MATCH(483, 輔助計算!$F$2:$F$801, 0)+1))="","",INDEX(ERP資料!$G:$G, (MATCH(483, 輔助計算!$F$2:$F$801, 0)+1))), "")</f>
        <v/>
      </c>
      <c r="G484" s="10">
        <f>IFERROR(IF(INDEX(ERP資料!$H:$H, (MATCH(483, 輔助計算!$F$2:$F$801, 0)+1))="","",INDEX(ERP資料!$H:$H, (MATCH(483, 輔助計算!$F$2:$F$801, 0)+1))), "")</f>
        <v/>
      </c>
      <c r="H484" s="10">
        <f>IFERROR(IF(INDEX(ERP資料!$O:$O, (MATCH(483, 輔助計算!$F$2:$F$801, 0)+1))="","",INDEX(ERP資料!$O:$O, (MATCH(483, 輔助計算!$F$2:$F$801, 0)+1))), "")</f>
        <v/>
      </c>
      <c r="I484" s="15">
        <f>IFERROR(IF(INDEX(輔助計算!$D:$D,(MATCH(483, 輔助計算!$F$2:$F$801, 0)+1))="","",INDEX(輔助計算!$D:$D,(MATCH(483, 輔助計算!$F$2:$F$801, 0)+1))*INDEX(ERP資料!$O:$O,(MATCH(483, 輔助計算!$F$2:$F$801, 0)+1))), "")</f>
        <v/>
      </c>
      <c r="J484" s="16" t="n"/>
      <c r="K484" s="15">
        <f>IFERROR(INDEX(輔助計算!$D:$D, (MATCH(483, 輔助計算!$F$2:$F$801, 0)+1)), "")</f>
        <v/>
      </c>
      <c r="L484" s="16">
        <f>IFERROR(IF(AND(IFERROR(VLOOKUP(LEFT(INDEX(ERP資料!$S:$S, (MATCH(483, 輔助計算!$F$2:$F$801, 0)+1)), 4), 100張客戶!$A:$A, 1, FALSE), "")&lt;&gt;"", OR(INDEX(ERP資料!$F:$F, (MATCH(483, 輔助計算!$F$2:$F$801, 0)+1))=270, INDEX(ERP資料!$F:$F, (MATCH(483, 輔助計算!$F$2:$F$801, 0)+1))=300)), "100張", ""), "")</f>
        <v/>
      </c>
      <c r="M484" s="17" t="n"/>
      <c r="N484" s="17">
        <f>IF($F484="","",$F484)</f>
        <v/>
      </c>
      <c r="O484" s="17">
        <f>IF($G484="","",$G484)</f>
        <v/>
      </c>
      <c r="P484" s="17">
        <f>IF($K484="","",$K484)</f>
        <v/>
      </c>
      <c r="Q484" s="16" t="n"/>
      <c r="R484" s="18" t="n"/>
      <c r="S484" s="16" t="n"/>
    </row>
    <row r="485">
      <c r="A485" s="14">
        <f>IFERROR(IF(AND(IFERROR(INDEX(ERP資料!$A:$A, (MATCH(484, 輔助計算!$F$2:$F$801, 0)+1)), "")&lt;&gt;"", IFERROR(INDEX(ERP資料!$A:$A, (MATCH(484, 輔助計算!$F$2:$F$801, 0)+1)), "")&lt;&gt;IFERROR(INDEX(ERP資料!$A:$A, MATCH(483, 輔助計算!$F$2:$F$801, 0)+1), "")), INDEX(ERP資料!$B:$B, (MATCH(484, 輔助計算!$F$2:$F$801, 0)+1)), ""), "")</f>
        <v/>
      </c>
      <c r="B485" s="10">
        <f>IFERROR(IF(AND(IFERROR(INDEX(ERP資料!$A:$A, (MATCH(484, 輔助計算!$F$2:$F$801, 0)+1)), "")&lt;&gt;"", IFERROR(INDEX(ERP資料!$A:$A, (MATCH(484, 輔助計算!$F$2:$F$801, 0)+1)), "")&lt;&gt;IFERROR(INDEX(ERP資料!$A:$A, MATCH(483, 輔助計算!$F$2:$F$801, 0)+1), "")), IFERROR(INDEX(ERP資料!$A:$A, (MATCH(484, 輔助計算!$F$2:$F$801, 0)+1)), ""), ""), "")</f>
        <v/>
      </c>
      <c r="C485" s="10">
        <f>IFERROR(IF(AND(IFERROR(INDEX(ERP資料!$A:$A, (MATCH(484, 輔助計算!$F$2:$F$801, 0)+1)), "")&lt;&gt;"", IFERROR(INDEX(ERP資料!$A:$A, (MATCH(484, 輔助計算!$F$2:$F$801, 0)+1)), "")&lt;&gt;IFERROR(INDEX(ERP資料!$A:$A, MATCH(483, 輔助計算!$F$2:$F$801, 0)+1), "")), INDEX(ERP資料!$S:$S, (MATCH(484, 輔助計算!$F$2:$F$801, 0)+1)), ""), "")</f>
        <v/>
      </c>
      <c r="D485" s="10">
        <f>IFERROR(IF(INDEX(ERP資料!$E:$E, (MATCH(484, 輔助計算!$F$2:$F$801, 0)+1))="","",TRIM(INDEX(ERP資料!$E:$E, (MATCH(484, 輔助計算!$F$2:$F$801, 0)+1)))), "")</f>
        <v/>
      </c>
      <c r="E485" s="10">
        <f>IFERROR(IF(INDEX(ERP資料!$F:$F, (MATCH(484, 輔助計算!$F$2:$F$801, 0)+1))="","",INDEX(ERP資料!$F:$F, (MATCH(484, 輔助計算!$F$2:$F$801, 0)+1))), "")</f>
        <v/>
      </c>
      <c r="F485" s="10">
        <f>IFERROR(IF(INDEX(ERP資料!$G:$G, (MATCH(484, 輔助計算!$F$2:$F$801, 0)+1))="","",INDEX(ERP資料!$G:$G, (MATCH(484, 輔助計算!$F$2:$F$801, 0)+1))), "")</f>
        <v/>
      </c>
      <c r="G485" s="10">
        <f>IFERROR(IF(INDEX(ERP資料!$H:$H, (MATCH(484, 輔助計算!$F$2:$F$801, 0)+1))="","",INDEX(ERP資料!$H:$H, (MATCH(484, 輔助計算!$F$2:$F$801, 0)+1))), "")</f>
        <v/>
      </c>
      <c r="H485" s="10">
        <f>IFERROR(IF(INDEX(ERP資料!$O:$O, (MATCH(484, 輔助計算!$F$2:$F$801, 0)+1))="","",INDEX(ERP資料!$O:$O, (MATCH(484, 輔助計算!$F$2:$F$801, 0)+1))), "")</f>
        <v/>
      </c>
      <c r="I485" s="15">
        <f>IFERROR(IF(INDEX(輔助計算!$D:$D,(MATCH(484, 輔助計算!$F$2:$F$801, 0)+1))="","",INDEX(輔助計算!$D:$D,(MATCH(484, 輔助計算!$F$2:$F$801, 0)+1))*INDEX(ERP資料!$O:$O,(MATCH(484, 輔助計算!$F$2:$F$801, 0)+1))), "")</f>
        <v/>
      </c>
      <c r="J485" s="16" t="n"/>
      <c r="K485" s="15">
        <f>IFERROR(INDEX(輔助計算!$D:$D, (MATCH(484, 輔助計算!$F$2:$F$801, 0)+1)), "")</f>
        <v/>
      </c>
      <c r="L485" s="16">
        <f>IFERROR(IF(AND(IFERROR(VLOOKUP(LEFT(INDEX(ERP資料!$S:$S, (MATCH(484, 輔助計算!$F$2:$F$801, 0)+1)), 4), 100張客戶!$A:$A, 1, FALSE), "")&lt;&gt;"", OR(INDEX(ERP資料!$F:$F, (MATCH(484, 輔助計算!$F$2:$F$801, 0)+1))=270, INDEX(ERP資料!$F:$F, (MATCH(484, 輔助計算!$F$2:$F$801, 0)+1))=300)), "100張", ""), "")</f>
        <v/>
      </c>
      <c r="M485" s="17" t="n"/>
      <c r="N485" s="17">
        <f>IF($F485="","",$F485)</f>
        <v/>
      </c>
      <c r="O485" s="17">
        <f>IF($G485="","",$G485)</f>
        <v/>
      </c>
      <c r="P485" s="17">
        <f>IF($K485="","",$K485)</f>
        <v/>
      </c>
      <c r="Q485" s="16" t="n"/>
      <c r="R485" s="18" t="n"/>
      <c r="S485" s="16" t="n"/>
    </row>
    <row r="486">
      <c r="A486" s="14">
        <f>IFERROR(IF(AND(IFERROR(INDEX(ERP資料!$A:$A, (MATCH(485, 輔助計算!$F$2:$F$801, 0)+1)), "")&lt;&gt;"", IFERROR(INDEX(ERP資料!$A:$A, (MATCH(485, 輔助計算!$F$2:$F$801, 0)+1)), "")&lt;&gt;IFERROR(INDEX(ERP資料!$A:$A, MATCH(484, 輔助計算!$F$2:$F$801, 0)+1), "")), INDEX(ERP資料!$B:$B, (MATCH(485, 輔助計算!$F$2:$F$801, 0)+1)), ""), "")</f>
        <v/>
      </c>
      <c r="B486" s="10">
        <f>IFERROR(IF(AND(IFERROR(INDEX(ERP資料!$A:$A, (MATCH(485, 輔助計算!$F$2:$F$801, 0)+1)), "")&lt;&gt;"", IFERROR(INDEX(ERP資料!$A:$A, (MATCH(485, 輔助計算!$F$2:$F$801, 0)+1)), "")&lt;&gt;IFERROR(INDEX(ERP資料!$A:$A, MATCH(484, 輔助計算!$F$2:$F$801, 0)+1), "")), IFERROR(INDEX(ERP資料!$A:$A, (MATCH(485, 輔助計算!$F$2:$F$801, 0)+1)), ""), ""), "")</f>
        <v/>
      </c>
      <c r="C486" s="10">
        <f>IFERROR(IF(AND(IFERROR(INDEX(ERP資料!$A:$A, (MATCH(485, 輔助計算!$F$2:$F$801, 0)+1)), "")&lt;&gt;"", IFERROR(INDEX(ERP資料!$A:$A, (MATCH(485, 輔助計算!$F$2:$F$801, 0)+1)), "")&lt;&gt;IFERROR(INDEX(ERP資料!$A:$A, MATCH(484, 輔助計算!$F$2:$F$801, 0)+1), "")), INDEX(ERP資料!$S:$S, (MATCH(485, 輔助計算!$F$2:$F$801, 0)+1)), ""), "")</f>
        <v/>
      </c>
      <c r="D486" s="10">
        <f>IFERROR(IF(INDEX(ERP資料!$E:$E, (MATCH(485, 輔助計算!$F$2:$F$801, 0)+1))="","",TRIM(INDEX(ERP資料!$E:$E, (MATCH(485, 輔助計算!$F$2:$F$801, 0)+1)))), "")</f>
        <v/>
      </c>
      <c r="E486" s="10">
        <f>IFERROR(IF(INDEX(ERP資料!$F:$F, (MATCH(485, 輔助計算!$F$2:$F$801, 0)+1))="","",INDEX(ERP資料!$F:$F, (MATCH(485, 輔助計算!$F$2:$F$801, 0)+1))), "")</f>
        <v/>
      </c>
      <c r="F486" s="10">
        <f>IFERROR(IF(INDEX(ERP資料!$G:$G, (MATCH(485, 輔助計算!$F$2:$F$801, 0)+1))="","",INDEX(ERP資料!$G:$G, (MATCH(485, 輔助計算!$F$2:$F$801, 0)+1))), "")</f>
        <v/>
      </c>
      <c r="G486" s="10">
        <f>IFERROR(IF(INDEX(ERP資料!$H:$H, (MATCH(485, 輔助計算!$F$2:$F$801, 0)+1))="","",INDEX(ERP資料!$H:$H, (MATCH(485, 輔助計算!$F$2:$F$801, 0)+1))), "")</f>
        <v/>
      </c>
      <c r="H486" s="10">
        <f>IFERROR(IF(INDEX(ERP資料!$O:$O, (MATCH(485, 輔助計算!$F$2:$F$801, 0)+1))="","",INDEX(ERP資料!$O:$O, (MATCH(485, 輔助計算!$F$2:$F$801, 0)+1))), "")</f>
        <v/>
      </c>
      <c r="I486" s="15">
        <f>IFERROR(IF(INDEX(輔助計算!$D:$D,(MATCH(485, 輔助計算!$F$2:$F$801, 0)+1))="","",INDEX(輔助計算!$D:$D,(MATCH(485, 輔助計算!$F$2:$F$801, 0)+1))*INDEX(ERP資料!$O:$O,(MATCH(485, 輔助計算!$F$2:$F$801, 0)+1))), "")</f>
        <v/>
      </c>
      <c r="J486" s="16" t="n"/>
      <c r="K486" s="15">
        <f>IFERROR(INDEX(輔助計算!$D:$D, (MATCH(485, 輔助計算!$F$2:$F$801, 0)+1)), "")</f>
        <v/>
      </c>
      <c r="L486" s="16">
        <f>IFERROR(IF(AND(IFERROR(VLOOKUP(LEFT(INDEX(ERP資料!$S:$S, (MATCH(485, 輔助計算!$F$2:$F$801, 0)+1)), 4), 100張客戶!$A:$A, 1, FALSE), "")&lt;&gt;"", OR(INDEX(ERP資料!$F:$F, (MATCH(485, 輔助計算!$F$2:$F$801, 0)+1))=270, INDEX(ERP資料!$F:$F, (MATCH(485, 輔助計算!$F$2:$F$801, 0)+1))=300)), "100張", ""), "")</f>
        <v/>
      </c>
      <c r="M486" s="17" t="n"/>
      <c r="N486" s="17">
        <f>IF($F486="","",$F486)</f>
        <v/>
      </c>
      <c r="O486" s="17">
        <f>IF($G486="","",$G486)</f>
        <v/>
      </c>
      <c r="P486" s="17">
        <f>IF($K486="","",$K486)</f>
        <v/>
      </c>
      <c r="Q486" s="16" t="n"/>
      <c r="R486" s="18" t="n"/>
      <c r="S486" s="16" t="n"/>
    </row>
    <row r="487">
      <c r="A487" s="14">
        <f>IFERROR(IF(AND(IFERROR(INDEX(ERP資料!$A:$A, (MATCH(486, 輔助計算!$F$2:$F$801, 0)+1)), "")&lt;&gt;"", IFERROR(INDEX(ERP資料!$A:$A, (MATCH(486, 輔助計算!$F$2:$F$801, 0)+1)), "")&lt;&gt;IFERROR(INDEX(ERP資料!$A:$A, MATCH(485, 輔助計算!$F$2:$F$801, 0)+1), "")), INDEX(ERP資料!$B:$B, (MATCH(486, 輔助計算!$F$2:$F$801, 0)+1)), ""), "")</f>
        <v/>
      </c>
      <c r="B487" s="10">
        <f>IFERROR(IF(AND(IFERROR(INDEX(ERP資料!$A:$A, (MATCH(486, 輔助計算!$F$2:$F$801, 0)+1)), "")&lt;&gt;"", IFERROR(INDEX(ERP資料!$A:$A, (MATCH(486, 輔助計算!$F$2:$F$801, 0)+1)), "")&lt;&gt;IFERROR(INDEX(ERP資料!$A:$A, MATCH(485, 輔助計算!$F$2:$F$801, 0)+1), "")), IFERROR(INDEX(ERP資料!$A:$A, (MATCH(486, 輔助計算!$F$2:$F$801, 0)+1)), ""), ""), "")</f>
        <v/>
      </c>
      <c r="C487" s="10">
        <f>IFERROR(IF(AND(IFERROR(INDEX(ERP資料!$A:$A, (MATCH(486, 輔助計算!$F$2:$F$801, 0)+1)), "")&lt;&gt;"", IFERROR(INDEX(ERP資料!$A:$A, (MATCH(486, 輔助計算!$F$2:$F$801, 0)+1)), "")&lt;&gt;IFERROR(INDEX(ERP資料!$A:$A, MATCH(485, 輔助計算!$F$2:$F$801, 0)+1), "")), INDEX(ERP資料!$S:$S, (MATCH(486, 輔助計算!$F$2:$F$801, 0)+1)), ""), "")</f>
        <v/>
      </c>
      <c r="D487" s="10">
        <f>IFERROR(IF(INDEX(ERP資料!$E:$E, (MATCH(486, 輔助計算!$F$2:$F$801, 0)+1))="","",TRIM(INDEX(ERP資料!$E:$E, (MATCH(486, 輔助計算!$F$2:$F$801, 0)+1)))), "")</f>
        <v/>
      </c>
      <c r="E487" s="10">
        <f>IFERROR(IF(INDEX(ERP資料!$F:$F, (MATCH(486, 輔助計算!$F$2:$F$801, 0)+1))="","",INDEX(ERP資料!$F:$F, (MATCH(486, 輔助計算!$F$2:$F$801, 0)+1))), "")</f>
        <v/>
      </c>
      <c r="F487" s="10">
        <f>IFERROR(IF(INDEX(ERP資料!$G:$G, (MATCH(486, 輔助計算!$F$2:$F$801, 0)+1))="","",INDEX(ERP資料!$G:$G, (MATCH(486, 輔助計算!$F$2:$F$801, 0)+1))), "")</f>
        <v/>
      </c>
      <c r="G487" s="10">
        <f>IFERROR(IF(INDEX(ERP資料!$H:$H, (MATCH(486, 輔助計算!$F$2:$F$801, 0)+1))="","",INDEX(ERP資料!$H:$H, (MATCH(486, 輔助計算!$F$2:$F$801, 0)+1))), "")</f>
        <v/>
      </c>
      <c r="H487" s="10">
        <f>IFERROR(IF(INDEX(ERP資料!$O:$O, (MATCH(486, 輔助計算!$F$2:$F$801, 0)+1))="","",INDEX(ERP資料!$O:$O, (MATCH(486, 輔助計算!$F$2:$F$801, 0)+1))), "")</f>
        <v/>
      </c>
      <c r="I487" s="15">
        <f>IFERROR(IF(INDEX(輔助計算!$D:$D,(MATCH(486, 輔助計算!$F$2:$F$801, 0)+1))="","",INDEX(輔助計算!$D:$D,(MATCH(486, 輔助計算!$F$2:$F$801, 0)+1))*INDEX(ERP資料!$O:$O,(MATCH(486, 輔助計算!$F$2:$F$801, 0)+1))), "")</f>
        <v/>
      </c>
      <c r="J487" s="16" t="n"/>
      <c r="K487" s="15">
        <f>IFERROR(INDEX(輔助計算!$D:$D, (MATCH(486, 輔助計算!$F$2:$F$801, 0)+1)), "")</f>
        <v/>
      </c>
      <c r="L487" s="16">
        <f>IFERROR(IF(AND(IFERROR(VLOOKUP(LEFT(INDEX(ERP資料!$S:$S, (MATCH(486, 輔助計算!$F$2:$F$801, 0)+1)), 4), 100張客戶!$A:$A, 1, FALSE), "")&lt;&gt;"", OR(INDEX(ERP資料!$F:$F, (MATCH(486, 輔助計算!$F$2:$F$801, 0)+1))=270, INDEX(ERP資料!$F:$F, (MATCH(486, 輔助計算!$F$2:$F$801, 0)+1))=300)), "100張", ""), "")</f>
        <v/>
      </c>
      <c r="M487" s="17" t="n"/>
      <c r="N487" s="17">
        <f>IF($F487="","",$F487)</f>
        <v/>
      </c>
      <c r="O487" s="17">
        <f>IF($G487="","",$G487)</f>
        <v/>
      </c>
      <c r="P487" s="17">
        <f>IF($K487="","",$K487)</f>
        <v/>
      </c>
      <c r="Q487" s="16" t="n"/>
      <c r="R487" s="18" t="n"/>
      <c r="S487" s="16" t="n"/>
    </row>
    <row r="488">
      <c r="A488" s="14">
        <f>IFERROR(IF(AND(IFERROR(INDEX(ERP資料!$A:$A, (MATCH(487, 輔助計算!$F$2:$F$801, 0)+1)), "")&lt;&gt;"", IFERROR(INDEX(ERP資料!$A:$A, (MATCH(487, 輔助計算!$F$2:$F$801, 0)+1)), "")&lt;&gt;IFERROR(INDEX(ERP資料!$A:$A, MATCH(486, 輔助計算!$F$2:$F$801, 0)+1), "")), INDEX(ERP資料!$B:$B, (MATCH(487, 輔助計算!$F$2:$F$801, 0)+1)), ""), "")</f>
        <v/>
      </c>
      <c r="B488" s="10">
        <f>IFERROR(IF(AND(IFERROR(INDEX(ERP資料!$A:$A, (MATCH(487, 輔助計算!$F$2:$F$801, 0)+1)), "")&lt;&gt;"", IFERROR(INDEX(ERP資料!$A:$A, (MATCH(487, 輔助計算!$F$2:$F$801, 0)+1)), "")&lt;&gt;IFERROR(INDEX(ERP資料!$A:$A, MATCH(486, 輔助計算!$F$2:$F$801, 0)+1), "")), IFERROR(INDEX(ERP資料!$A:$A, (MATCH(487, 輔助計算!$F$2:$F$801, 0)+1)), ""), ""), "")</f>
        <v/>
      </c>
      <c r="C488" s="10">
        <f>IFERROR(IF(AND(IFERROR(INDEX(ERP資料!$A:$A, (MATCH(487, 輔助計算!$F$2:$F$801, 0)+1)), "")&lt;&gt;"", IFERROR(INDEX(ERP資料!$A:$A, (MATCH(487, 輔助計算!$F$2:$F$801, 0)+1)), "")&lt;&gt;IFERROR(INDEX(ERP資料!$A:$A, MATCH(486, 輔助計算!$F$2:$F$801, 0)+1), "")), INDEX(ERP資料!$S:$S, (MATCH(487, 輔助計算!$F$2:$F$801, 0)+1)), ""), "")</f>
        <v/>
      </c>
      <c r="D488" s="10">
        <f>IFERROR(IF(INDEX(ERP資料!$E:$E, (MATCH(487, 輔助計算!$F$2:$F$801, 0)+1))="","",TRIM(INDEX(ERP資料!$E:$E, (MATCH(487, 輔助計算!$F$2:$F$801, 0)+1)))), "")</f>
        <v/>
      </c>
      <c r="E488" s="10">
        <f>IFERROR(IF(INDEX(ERP資料!$F:$F, (MATCH(487, 輔助計算!$F$2:$F$801, 0)+1))="","",INDEX(ERP資料!$F:$F, (MATCH(487, 輔助計算!$F$2:$F$801, 0)+1))), "")</f>
        <v/>
      </c>
      <c r="F488" s="10">
        <f>IFERROR(IF(INDEX(ERP資料!$G:$G, (MATCH(487, 輔助計算!$F$2:$F$801, 0)+1))="","",INDEX(ERP資料!$G:$G, (MATCH(487, 輔助計算!$F$2:$F$801, 0)+1))), "")</f>
        <v/>
      </c>
      <c r="G488" s="10">
        <f>IFERROR(IF(INDEX(ERP資料!$H:$H, (MATCH(487, 輔助計算!$F$2:$F$801, 0)+1))="","",INDEX(ERP資料!$H:$H, (MATCH(487, 輔助計算!$F$2:$F$801, 0)+1))), "")</f>
        <v/>
      </c>
      <c r="H488" s="10">
        <f>IFERROR(IF(INDEX(ERP資料!$O:$O, (MATCH(487, 輔助計算!$F$2:$F$801, 0)+1))="","",INDEX(ERP資料!$O:$O, (MATCH(487, 輔助計算!$F$2:$F$801, 0)+1))), "")</f>
        <v/>
      </c>
      <c r="I488" s="15">
        <f>IFERROR(IF(INDEX(輔助計算!$D:$D,(MATCH(487, 輔助計算!$F$2:$F$801, 0)+1))="","",INDEX(輔助計算!$D:$D,(MATCH(487, 輔助計算!$F$2:$F$801, 0)+1))*INDEX(ERP資料!$O:$O,(MATCH(487, 輔助計算!$F$2:$F$801, 0)+1))), "")</f>
        <v/>
      </c>
      <c r="J488" s="16" t="n"/>
      <c r="K488" s="15">
        <f>IFERROR(INDEX(輔助計算!$D:$D, (MATCH(487, 輔助計算!$F$2:$F$801, 0)+1)), "")</f>
        <v/>
      </c>
      <c r="L488" s="16">
        <f>IFERROR(IF(AND(IFERROR(VLOOKUP(LEFT(INDEX(ERP資料!$S:$S, (MATCH(487, 輔助計算!$F$2:$F$801, 0)+1)), 4), 100張客戶!$A:$A, 1, FALSE), "")&lt;&gt;"", OR(INDEX(ERP資料!$F:$F, (MATCH(487, 輔助計算!$F$2:$F$801, 0)+1))=270, INDEX(ERP資料!$F:$F, (MATCH(487, 輔助計算!$F$2:$F$801, 0)+1))=300)), "100張", ""), "")</f>
        <v/>
      </c>
      <c r="M488" s="17" t="n"/>
      <c r="N488" s="17">
        <f>IF($F488="","",$F488)</f>
        <v/>
      </c>
      <c r="O488" s="17">
        <f>IF($G488="","",$G488)</f>
        <v/>
      </c>
      <c r="P488" s="17">
        <f>IF($K488="","",$K488)</f>
        <v/>
      </c>
      <c r="Q488" s="16" t="n"/>
      <c r="R488" s="18" t="n"/>
      <c r="S488" s="16" t="n"/>
    </row>
    <row r="489">
      <c r="A489" s="14">
        <f>IFERROR(IF(AND(IFERROR(INDEX(ERP資料!$A:$A, (MATCH(488, 輔助計算!$F$2:$F$801, 0)+1)), "")&lt;&gt;"", IFERROR(INDEX(ERP資料!$A:$A, (MATCH(488, 輔助計算!$F$2:$F$801, 0)+1)), "")&lt;&gt;IFERROR(INDEX(ERP資料!$A:$A, MATCH(487, 輔助計算!$F$2:$F$801, 0)+1), "")), INDEX(ERP資料!$B:$B, (MATCH(488, 輔助計算!$F$2:$F$801, 0)+1)), ""), "")</f>
        <v/>
      </c>
      <c r="B489" s="10">
        <f>IFERROR(IF(AND(IFERROR(INDEX(ERP資料!$A:$A, (MATCH(488, 輔助計算!$F$2:$F$801, 0)+1)), "")&lt;&gt;"", IFERROR(INDEX(ERP資料!$A:$A, (MATCH(488, 輔助計算!$F$2:$F$801, 0)+1)), "")&lt;&gt;IFERROR(INDEX(ERP資料!$A:$A, MATCH(487, 輔助計算!$F$2:$F$801, 0)+1), "")), IFERROR(INDEX(ERP資料!$A:$A, (MATCH(488, 輔助計算!$F$2:$F$801, 0)+1)), ""), ""), "")</f>
        <v/>
      </c>
      <c r="C489" s="10">
        <f>IFERROR(IF(AND(IFERROR(INDEX(ERP資料!$A:$A, (MATCH(488, 輔助計算!$F$2:$F$801, 0)+1)), "")&lt;&gt;"", IFERROR(INDEX(ERP資料!$A:$A, (MATCH(488, 輔助計算!$F$2:$F$801, 0)+1)), "")&lt;&gt;IFERROR(INDEX(ERP資料!$A:$A, MATCH(487, 輔助計算!$F$2:$F$801, 0)+1), "")), INDEX(ERP資料!$S:$S, (MATCH(488, 輔助計算!$F$2:$F$801, 0)+1)), ""), "")</f>
        <v/>
      </c>
      <c r="D489" s="10">
        <f>IFERROR(IF(INDEX(ERP資料!$E:$E, (MATCH(488, 輔助計算!$F$2:$F$801, 0)+1))="","",TRIM(INDEX(ERP資料!$E:$E, (MATCH(488, 輔助計算!$F$2:$F$801, 0)+1)))), "")</f>
        <v/>
      </c>
      <c r="E489" s="10">
        <f>IFERROR(IF(INDEX(ERP資料!$F:$F, (MATCH(488, 輔助計算!$F$2:$F$801, 0)+1))="","",INDEX(ERP資料!$F:$F, (MATCH(488, 輔助計算!$F$2:$F$801, 0)+1))), "")</f>
        <v/>
      </c>
      <c r="F489" s="10">
        <f>IFERROR(IF(INDEX(ERP資料!$G:$G, (MATCH(488, 輔助計算!$F$2:$F$801, 0)+1))="","",INDEX(ERP資料!$G:$G, (MATCH(488, 輔助計算!$F$2:$F$801, 0)+1))), "")</f>
        <v/>
      </c>
      <c r="G489" s="10">
        <f>IFERROR(IF(INDEX(ERP資料!$H:$H, (MATCH(488, 輔助計算!$F$2:$F$801, 0)+1))="","",INDEX(ERP資料!$H:$H, (MATCH(488, 輔助計算!$F$2:$F$801, 0)+1))), "")</f>
        <v/>
      </c>
      <c r="H489" s="10">
        <f>IFERROR(IF(INDEX(ERP資料!$O:$O, (MATCH(488, 輔助計算!$F$2:$F$801, 0)+1))="","",INDEX(ERP資料!$O:$O, (MATCH(488, 輔助計算!$F$2:$F$801, 0)+1))), "")</f>
        <v/>
      </c>
      <c r="I489" s="15">
        <f>IFERROR(IF(INDEX(輔助計算!$D:$D,(MATCH(488, 輔助計算!$F$2:$F$801, 0)+1))="","",INDEX(輔助計算!$D:$D,(MATCH(488, 輔助計算!$F$2:$F$801, 0)+1))*INDEX(ERP資料!$O:$O,(MATCH(488, 輔助計算!$F$2:$F$801, 0)+1))), "")</f>
        <v/>
      </c>
      <c r="J489" s="16" t="n"/>
      <c r="K489" s="15">
        <f>IFERROR(INDEX(輔助計算!$D:$D, (MATCH(488, 輔助計算!$F$2:$F$801, 0)+1)), "")</f>
        <v/>
      </c>
      <c r="L489" s="16">
        <f>IFERROR(IF(AND(IFERROR(VLOOKUP(LEFT(INDEX(ERP資料!$S:$S, (MATCH(488, 輔助計算!$F$2:$F$801, 0)+1)), 4), 100張客戶!$A:$A, 1, FALSE), "")&lt;&gt;"", OR(INDEX(ERP資料!$F:$F, (MATCH(488, 輔助計算!$F$2:$F$801, 0)+1))=270, INDEX(ERP資料!$F:$F, (MATCH(488, 輔助計算!$F$2:$F$801, 0)+1))=300)), "100張", ""), "")</f>
        <v/>
      </c>
      <c r="M489" s="17" t="n"/>
      <c r="N489" s="17">
        <f>IF($F489="","",$F489)</f>
        <v/>
      </c>
      <c r="O489" s="17">
        <f>IF($G489="","",$G489)</f>
        <v/>
      </c>
      <c r="P489" s="17">
        <f>IF($K489="","",$K489)</f>
        <v/>
      </c>
      <c r="Q489" s="16" t="n"/>
      <c r="R489" s="18" t="n"/>
      <c r="S489" s="16" t="n"/>
    </row>
    <row r="490">
      <c r="A490" s="14">
        <f>IFERROR(IF(AND(IFERROR(INDEX(ERP資料!$A:$A, (MATCH(489, 輔助計算!$F$2:$F$801, 0)+1)), "")&lt;&gt;"", IFERROR(INDEX(ERP資料!$A:$A, (MATCH(489, 輔助計算!$F$2:$F$801, 0)+1)), "")&lt;&gt;IFERROR(INDEX(ERP資料!$A:$A, MATCH(488, 輔助計算!$F$2:$F$801, 0)+1), "")), INDEX(ERP資料!$B:$B, (MATCH(489, 輔助計算!$F$2:$F$801, 0)+1)), ""), "")</f>
        <v/>
      </c>
      <c r="B490" s="10">
        <f>IFERROR(IF(AND(IFERROR(INDEX(ERP資料!$A:$A, (MATCH(489, 輔助計算!$F$2:$F$801, 0)+1)), "")&lt;&gt;"", IFERROR(INDEX(ERP資料!$A:$A, (MATCH(489, 輔助計算!$F$2:$F$801, 0)+1)), "")&lt;&gt;IFERROR(INDEX(ERP資料!$A:$A, MATCH(488, 輔助計算!$F$2:$F$801, 0)+1), "")), IFERROR(INDEX(ERP資料!$A:$A, (MATCH(489, 輔助計算!$F$2:$F$801, 0)+1)), ""), ""), "")</f>
        <v/>
      </c>
      <c r="C490" s="10">
        <f>IFERROR(IF(AND(IFERROR(INDEX(ERP資料!$A:$A, (MATCH(489, 輔助計算!$F$2:$F$801, 0)+1)), "")&lt;&gt;"", IFERROR(INDEX(ERP資料!$A:$A, (MATCH(489, 輔助計算!$F$2:$F$801, 0)+1)), "")&lt;&gt;IFERROR(INDEX(ERP資料!$A:$A, MATCH(488, 輔助計算!$F$2:$F$801, 0)+1), "")), INDEX(ERP資料!$S:$S, (MATCH(489, 輔助計算!$F$2:$F$801, 0)+1)), ""), "")</f>
        <v/>
      </c>
      <c r="D490" s="10">
        <f>IFERROR(IF(INDEX(ERP資料!$E:$E, (MATCH(489, 輔助計算!$F$2:$F$801, 0)+1))="","",TRIM(INDEX(ERP資料!$E:$E, (MATCH(489, 輔助計算!$F$2:$F$801, 0)+1)))), "")</f>
        <v/>
      </c>
      <c r="E490" s="10">
        <f>IFERROR(IF(INDEX(ERP資料!$F:$F, (MATCH(489, 輔助計算!$F$2:$F$801, 0)+1))="","",INDEX(ERP資料!$F:$F, (MATCH(489, 輔助計算!$F$2:$F$801, 0)+1))), "")</f>
        <v/>
      </c>
      <c r="F490" s="10">
        <f>IFERROR(IF(INDEX(ERP資料!$G:$G, (MATCH(489, 輔助計算!$F$2:$F$801, 0)+1))="","",INDEX(ERP資料!$G:$G, (MATCH(489, 輔助計算!$F$2:$F$801, 0)+1))), "")</f>
        <v/>
      </c>
      <c r="G490" s="10">
        <f>IFERROR(IF(INDEX(ERP資料!$H:$H, (MATCH(489, 輔助計算!$F$2:$F$801, 0)+1))="","",INDEX(ERP資料!$H:$H, (MATCH(489, 輔助計算!$F$2:$F$801, 0)+1))), "")</f>
        <v/>
      </c>
      <c r="H490" s="10">
        <f>IFERROR(IF(INDEX(ERP資料!$O:$O, (MATCH(489, 輔助計算!$F$2:$F$801, 0)+1))="","",INDEX(ERP資料!$O:$O, (MATCH(489, 輔助計算!$F$2:$F$801, 0)+1))), "")</f>
        <v/>
      </c>
      <c r="I490" s="15">
        <f>IFERROR(IF(INDEX(輔助計算!$D:$D,(MATCH(489, 輔助計算!$F$2:$F$801, 0)+1))="","",INDEX(輔助計算!$D:$D,(MATCH(489, 輔助計算!$F$2:$F$801, 0)+1))*INDEX(ERP資料!$O:$O,(MATCH(489, 輔助計算!$F$2:$F$801, 0)+1))), "")</f>
        <v/>
      </c>
      <c r="J490" s="16" t="n"/>
      <c r="K490" s="15">
        <f>IFERROR(INDEX(輔助計算!$D:$D, (MATCH(489, 輔助計算!$F$2:$F$801, 0)+1)), "")</f>
        <v/>
      </c>
      <c r="L490" s="16">
        <f>IFERROR(IF(AND(IFERROR(VLOOKUP(LEFT(INDEX(ERP資料!$S:$S, (MATCH(489, 輔助計算!$F$2:$F$801, 0)+1)), 4), 100張客戶!$A:$A, 1, FALSE), "")&lt;&gt;"", OR(INDEX(ERP資料!$F:$F, (MATCH(489, 輔助計算!$F$2:$F$801, 0)+1))=270, INDEX(ERP資料!$F:$F, (MATCH(489, 輔助計算!$F$2:$F$801, 0)+1))=300)), "100張", ""), "")</f>
        <v/>
      </c>
      <c r="M490" s="17" t="n"/>
      <c r="N490" s="17">
        <f>IF($F490="","",$F490)</f>
        <v/>
      </c>
      <c r="O490" s="17">
        <f>IF($G490="","",$G490)</f>
        <v/>
      </c>
      <c r="P490" s="17">
        <f>IF($K490="","",$K490)</f>
        <v/>
      </c>
      <c r="Q490" s="16" t="n"/>
      <c r="R490" s="18" t="n"/>
      <c r="S490" s="16" t="n"/>
    </row>
    <row r="491">
      <c r="A491" s="14">
        <f>IFERROR(IF(AND(IFERROR(INDEX(ERP資料!$A:$A, (MATCH(490, 輔助計算!$F$2:$F$801, 0)+1)), "")&lt;&gt;"", IFERROR(INDEX(ERP資料!$A:$A, (MATCH(490, 輔助計算!$F$2:$F$801, 0)+1)), "")&lt;&gt;IFERROR(INDEX(ERP資料!$A:$A, MATCH(489, 輔助計算!$F$2:$F$801, 0)+1), "")), INDEX(ERP資料!$B:$B, (MATCH(490, 輔助計算!$F$2:$F$801, 0)+1)), ""), "")</f>
        <v/>
      </c>
      <c r="B491" s="10">
        <f>IFERROR(IF(AND(IFERROR(INDEX(ERP資料!$A:$A, (MATCH(490, 輔助計算!$F$2:$F$801, 0)+1)), "")&lt;&gt;"", IFERROR(INDEX(ERP資料!$A:$A, (MATCH(490, 輔助計算!$F$2:$F$801, 0)+1)), "")&lt;&gt;IFERROR(INDEX(ERP資料!$A:$A, MATCH(489, 輔助計算!$F$2:$F$801, 0)+1), "")), IFERROR(INDEX(ERP資料!$A:$A, (MATCH(490, 輔助計算!$F$2:$F$801, 0)+1)), ""), ""), "")</f>
        <v/>
      </c>
      <c r="C491" s="10">
        <f>IFERROR(IF(AND(IFERROR(INDEX(ERP資料!$A:$A, (MATCH(490, 輔助計算!$F$2:$F$801, 0)+1)), "")&lt;&gt;"", IFERROR(INDEX(ERP資料!$A:$A, (MATCH(490, 輔助計算!$F$2:$F$801, 0)+1)), "")&lt;&gt;IFERROR(INDEX(ERP資料!$A:$A, MATCH(489, 輔助計算!$F$2:$F$801, 0)+1), "")), INDEX(ERP資料!$S:$S, (MATCH(490, 輔助計算!$F$2:$F$801, 0)+1)), ""), "")</f>
        <v/>
      </c>
      <c r="D491" s="10">
        <f>IFERROR(IF(INDEX(ERP資料!$E:$E, (MATCH(490, 輔助計算!$F$2:$F$801, 0)+1))="","",TRIM(INDEX(ERP資料!$E:$E, (MATCH(490, 輔助計算!$F$2:$F$801, 0)+1)))), "")</f>
        <v/>
      </c>
      <c r="E491" s="10">
        <f>IFERROR(IF(INDEX(ERP資料!$F:$F, (MATCH(490, 輔助計算!$F$2:$F$801, 0)+1))="","",INDEX(ERP資料!$F:$F, (MATCH(490, 輔助計算!$F$2:$F$801, 0)+1))), "")</f>
        <v/>
      </c>
      <c r="F491" s="10">
        <f>IFERROR(IF(INDEX(ERP資料!$G:$G, (MATCH(490, 輔助計算!$F$2:$F$801, 0)+1))="","",INDEX(ERP資料!$G:$G, (MATCH(490, 輔助計算!$F$2:$F$801, 0)+1))), "")</f>
        <v/>
      </c>
      <c r="G491" s="10">
        <f>IFERROR(IF(INDEX(ERP資料!$H:$H, (MATCH(490, 輔助計算!$F$2:$F$801, 0)+1))="","",INDEX(ERP資料!$H:$H, (MATCH(490, 輔助計算!$F$2:$F$801, 0)+1))), "")</f>
        <v/>
      </c>
      <c r="H491" s="10">
        <f>IFERROR(IF(INDEX(ERP資料!$O:$O, (MATCH(490, 輔助計算!$F$2:$F$801, 0)+1))="","",INDEX(ERP資料!$O:$O, (MATCH(490, 輔助計算!$F$2:$F$801, 0)+1))), "")</f>
        <v/>
      </c>
      <c r="I491" s="15">
        <f>IFERROR(IF(INDEX(輔助計算!$D:$D,(MATCH(490, 輔助計算!$F$2:$F$801, 0)+1))="","",INDEX(輔助計算!$D:$D,(MATCH(490, 輔助計算!$F$2:$F$801, 0)+1))*INDEX(ERP資料!$O:$O,(MATCH(490, 輔助計算!$F$2:$F$801, 0)+1))), "")</f>
        <v/>
      </c>
      <c r="J491" s="16" t="n"/>
      <c r="K491" s="15">
        <f>IFERROR(INDEX(輔助計算!$D:$D, (MATCH(490, 輔助計算!$F$2:$F$801, 0)+1)), "")</f>
        <v/>
      </c>
      <c r="L491" s="16">
        <f>IFERROR(IF(AND(IFERROR(VLOOKUP(LEFT(INDEX(ERP資料!$S:$S, (MATCH(490, 輔助計算!$F$2:$F$801, 0)+1)), 4), 100張客戶!$A:$A, 1, FALSE), "")&lt;&gt;"", OR(INDEX(ERP資料!$F:$F, (MATCH(490, 輔助計算!$F$2:$F$801, 0)+1))=270, INDEX(ERP資料!$F:$F, (MATCH(490, 輔助計算!$F$2:$F$801, 0)+1))=300)), "100張", ""), "")</f>
        <v/>
      </c>
      <c r="M491" s="17" t="n"/>
      <c r="N491" s="17">
        <f>IF($F491="","",$F491)</f>
        <v/>
      </c>
      <c r="O491" s="17">
        <f>IF($G491="","",$G491)</f>
        <v/>
      </c>
      <c r="P491" s="17">
        <f>IF($K491="","",$K491)</f>
        <v/>
      </c>
      <c r="Q491" s="16" t="n"/>
      <c r="R491" s="18" t="n"/>
      <c r="S491" s="16" t="n"/>
    </row>
    <row r="492">
      <c r="A492" s="14">
        <f>IFERROR(IF(AND(IFERROR(INDEX(ERP資料!$A:$A, (MATCH(491, 輔助計算!$F$2:$F$801, 0)+1)), "")&lt;&gt;"", IFERROR(INDEX(ERP資料!$A:$A, (MATCH(491, 輔助計算!$F$2:$F$801, 0)+1)), "")&lt;&gt;IFERROR(INDEX(ERP資料!$A:$A, MATCH(490, 輔助計算!$F$2:$F$801, 0)+1), "")), INDEX(ERP資料!$B:$B, (MATCH(491, 輔助計算!$F$2:$F$801, 0)+1)), ""), "")</f>
        <v/>
      </c>
      <c r="B492" s="10">
        <f>IFERROR(IF(AND(IFERROR(INDEX(ERP資料!$A:$A, (MATCH(491, 輔助計算!$F$2:$F$801, 0)+1)), "")&lt;&gt;"", IFERROR(INDEX(ERP資料!$A:$A, (MATCH(491, 輔助計算!$F$2:$F$801, 0)+1)), "")&lt;&gt;IFERROR(INDEX(ERP資料!$A:$A, MATCH(490, 輔助計算!$F$2:$F$801, 0)+1), "")), IFERROR(INDEX(ERP資料!$A:$A, (MATCH(491, 輔助計算!$F$2:$F$801, 0)+1)), ""), ""), "")</f>
        <v/>
      </c>
      <c r="C492" s="10">
        <f>IFERROR(IF(AND(IFERROR(INDEX(ERP資料!$A:$A, (MATCH(491, 輔助計算!$F$2:$F$801, 0)+1)), "")&lt;&gt;"", IFERROR(INDEX(ERP資料!$A:$A, (MATCH(491, 輔助計算!$F$2:$F$801, 0)+1)), "")&lt;&gt;IFERROR(INDEX(ERP資料!$A:$A, MATCH(490, 輔助計算!$F$2:$F$801, 0)+1), "")), INDEX(ERP資料!$S:$S, (MATCH(491, 輔助計算!$F$2:$F$801, 0)+1)), ""), "")</f>
        <v/>
      </c>
      <c r="D492" s="10">
        <f>IFERROR(IF(INDEX(ERP資料!$E:$E, (MATCH(491, 輔助計算!$F$2:$F$801, 0)+1))="","",TRIM(INDEX(ERP資料!$E:$E, (MATCH(491, 輔助計算!$F$2:$F$801, 0)+1)))), "")</f>
        <v/>
      </c>
      <c r="E492" s="10">
        <f>IFERROR(IF(INDEX(ERP資料!$F:$F, (MATCH(491, 輔助計算!$F$2:$F$801, 0)+1))="","",INDEX(ERP資料!$F:$F, (MATCH(491, 輔助計算!$F$2:$F$801, 0)+1))), "")</f>
        <v/>
      </c>
      <c r="F492" s="10">
        <f>IFERROR(IF(INDEX(ERP資料!$G:$G, (MATCH(491, 輔助計算!$F$2:$F$801, 0)+1))="","",INDEX(ERP資料!$G:$G, (MATCH(491, 輔助計算!$F$2:$F$801, 0)+1))), "")</f>
        <v/>
      </c>
      <c r="G492" s="10">
        <f>IFERROR(IF(INDEX(ERP資料!$H:$H, (MATCH(491, 輔助計算!$F$2:$F$801, 0)+1))="","",INDEX(ERP資料!$H:$H, (MATCH(491, 輔助計算!$F$2:$F$801, 0)+1))), "")</f>
        <v/>
      </c>
      <c r="H492" s="10">
        <f>IFERROR(IF(INDEX(ERP資料!$O:$O, (MATCH(491, 輔助計算!$F$2:$F$801, 0)+1))="","",INDEX(ERP資料!$O:$O, (MATCH(491, 輔助計算!$F$2:$F$801, 0)+1))), "")</f>
        <v/>
      </c>
      <c r="I492" s="15">
        <f>IFERROR(IF(INDEX(輔助計算!$D:$D,(MATCH(491, 輔助計算!$F$2:$F$801, 0)+1))="","",INDEX(輔助計算!$D:$D,(MATCH(491, 輔助計算!$F$2:$F$801, 0)+1))*INDEX(ERP資料!$O:$O,(MATCH(491, 輔助計算!$F$2:$F$801, 0)+1))), "")</f>
        <v/>
      </c>
      <c r="J492" s="16" t="n"/>
      <c r="K492" s="15">
        <f>IFERROR(INDEX(輔助計算!$D:$D, (MATCH(491, 輔助計算!$F$2:$F$801, 0)+1)), "")</f>
        <v/>
      </c>
      <c r="L492" s="16">
        <f>IFERROR(IF(AND(IFERROR(VLOOKUP(LEFT(INDEX(ERP資料!$S:$S, (MATCH(491, 輔助計算!$F$2:$F$801, 0)+1)), 4), 100張客戶!$A:$A, 1, FALSE), "")&lt;&gt;"", OR(INDEX(ERP資料!$F:$F, (MATCH(491, 輔助計算!$F$2:$F$801, 0)+1))=270, INDEX(ERP資料!$F:$F, (MATCH(491, 輔助計算!$F$2:$F$801, 0)+1))=300)), "100張", ""), "")</f>
        <v/>
      </c>
      <c r="M492" s="17" t="n"/>
      <c r="N492" s="17">
        <f>IF($F492="","",$F492)</f>
        <v/>
      </c>
      <c r="O492" s="17">
        <f>IF($G492="","",$G492)</f>
        <v/>
      </c>
      <c r="P492" s="17">
        <f>IF($K492="","",$K492)</f>
        <v/>
      </c>
      <c r="Q492" s="16" t="n"/>
      <c r="R492" s="18" t="n"/>
      <c r="S492" s="16" t="n"/>
    </row>
    <row r="493">
      <c r="A493" s="14">
        <f>IFERROR(IF(AND(IFERROR(INDEX(ERP資料!$A:$A, (MATCH(492, 輔助計算!$F$2:$F$801, 0)+1)), "")&lt;&gt;"", IFERROR(INDEX(ERP資料!$A:$A, (MATCH(492, 輔助計算!$F$2:$F$801, 0)+1)), "")&lt;&gt;IFERROR(INDEX(ERP資料!$A:$A, MATCH(491, 輔助計算!$F$2:$F$801, 0)+1), "")), INDEX(ERP資料!$B:$B, (MATCH(492, 輔助計算!$F$2:$F$801, 0)+1)), ""), "")</f>
        <v/>
      </c>
      <c r="B493" s="10">
        <f>IFERROR(IF(AND(IFERROR(INDEX(ERP資料!$A:$A, (MATCH(492, 輔助計算!$F$2:$F$801, 0)+1)), "")&lt;&gt;"", IFERROR(INDEX(ERP資料!$A:$A, (MATCH(492, 輔助計算!$F$2:$F$801, 0)+1)), "")&lt;&gt;IFERROR(INDEX(ERP資料!$A:$A, MATCH(491, 輔助計算!$F$2:$F$801, 0)+1), "")), IFERROR(INDEX(ERP資料!$A:$A, (MATCH(492, 輔助計算!$F$2:$F$801, 0)+1)), ""), ""), "")</f>
        <v/>
      </c>
      <c r="C493" s="10">
        <f>IFERROR(IF(AND(IFERROR(INDEX(ERP資料!$A:$A, (MATCH(492, 輔助計算!$F$2:$F$801, 0)+1)), "")&lt;&gt;"", IFERROR(INDEX(ERP資料!$A:$A, (MATCH(492, 輔助計算!$F$2:$F$801, 0)+1)), "")&lt;&gt;IFERROR(INDEX(ERP資料!$A:$A, MATCH(491, 輔助計算!$F$2:$F$801, 0)+1), "")), INDEX(ERP資料!$S:$S, (MATCH(492, 輔助計算!$F$2:$F$801, 0)+1)), ""), "")</f>
        <v/>
      </c>
      <c r="D493" s="10">
        <f>IFERROR(IF(INDEX(ERP資料!$E:$E, (MATCH(492, 輔助計算!$F$2:$F$801, 0)+1))="","",TRIM(INDEX(ERP資料!$E:$E, (MATCH(492, 輔助計算!$F$2:$F$801, 0)+1)))), "")</f>
        <v/>
      </c>
      <c r="E493" s="10">
        <f>IFERROR(IF(INDEX(ERP資料!$F:$F, (MATCH(492, 輔助計算!$F$2:$F$801, 0)+1))="","",INDEX(ERP資料!$F:$F, (MATCH(492, 輔助計算!$F$2:$F$801, 0)+1))), "")</f>
        <v/>
      </c>
      <c r="F493" s="10">
        <f>IFERROR(IF(INDEX(ERP資料!$G:$G, (MATCH(492, 輔助計算!$F$2:$F$801, 0)+1))="","",INDEX(ERP資料!$G:$G, (MATCH(492, 輔助計算!$F$2:$F$801, 0)+1))), "")</f>
        <v/>
      </c>
      <c r="G493" s="10">
        <f>IFERROR(IF(INDEX(ERP資料!$H:$H, (MATCH(492, 輔助計算!$F$2:$F$801, 0)+1))="","",INDEX(ERP資料!$H:$H, (MATCH(492, 輔助計算!$F$2:$F$801, 0)+1))), "")</f>
        <v/>
      </c>
      <c r="H493" s="10">
        <f>IFERROR(IF(INDEX(ERP資料!$O:$O, (MATCH(492, 輔助計算!$F$2:$F$801, 0)+1))="","",INDEX(ERP資料!$O:$O, (MATCH(492, 輔助計算!$F$2:$F$801, 0)+1))), "")</f>
        <v/>
      </c>
      <c r="I493" s="15">
        <f>IFERROR(IF(INDEX(輔助計算!$D:$D,(MATCH(492, 輔助計算!$F$2:$F$801, 0)+1))="","",INDEX(輔助計算!$D:$D,(MATCH(492, 輔助計算!$F$2:$F$801, 0)+1))*INDEX(ERP資料!$O:$O,(MATCH(492, 輔助計算!$F$2:$F$801, 0)+1))), "")</f>
        <v/>
      </c>
      <c r="J493" s="16" t="n"/>
      <c r="K493" s="15">
        <f>IFERROR(INDEX(輔助計算!$D:$D, (MATCH(492, 輔助計算!$F$2:$F$801, 0)+1)), "")</f>
        <v/>
      </c>
      <c r="L493" s="16">
        <f>IFERROR(IF(AND(IFERROR(VLOOKUP(LEFT(INDEX(ERP資料!$S:$S, (MATCH(492, 輔助計算!$F$2:$F$801, 0)+1)), 4), 100張客戶!$A:$A, 1, FALSE), "")&lt;&gt;"", OR(INDEX(ERP資料!$F:$F, (MATCH(492, 輔助計算!$F$2:$F$801, 0)+1))=270, INDEX(ERP資料!$F:$F, (MATCH(492, 輔助計算!$F$2:$F$801, 0)+1))=300)), "100張", ""), "")</f>
        <v/>
      </c>
      <c r="M493" s="17" t="n"/>
      <c r="N493" s="17">
        <f>IF($F493="","",$F493)</f>
        <v/>
      </c>
      <c r="O493" s="17">
        <f>IF($G493="","",$G493)</f>
        <v/>
      </c>
      <c r="P493" s="17">
        <f>IF($K493="","",$K493)</f>
        <v/>
      </c>
      <c r="Q493" s="16" t="n"/>
      <c r="R493" s="18" t="n"/>
      <c r="S493" s="16" t="n"/>
    </row>
    <row r="494">
      <c r="A494" s="14">
        <f>IFERROR(IF(AND(IFERROR(INDEX(ERP資料!$A:$A, (MATCH(493, 輔助計算!$F$2:$F$801, 0)+1)), "")&lt;&gt;"", IFERROR(INDEX(ERP資料!$A:$A, (MATCH(493, 輔助計算!$F$2:$F$801, 0)+1)), "")&lt;&gt;IFERROR(INDEX(ERP資料!$A:$A, MATCH(492, 輔助計算!$F$2:$F$801, 0)+1), "")), INDEX(ERP資料!$B:$B, (MATCH(493, 輔助計算!$F$2:$F$801, 0)+1)), ""), "")</f>
        <v/>
      </c>
      <c r="B494" s="10">
        <f>IFERROR(IF(AND(IFERROR(INDEX(ERP資料!$A:$A, (MATCH(493, 輔助計算!$F$2:$F$801, 0)+1)), "")&lt;&gt;"", IFERROR(INDEX(ERP資料!$A:$A, (MATCH(493, 輔助計算!$F$2:$F$801, 0)+1)), "")&lt;&gt;IFERROR(INDEX(ERP資料!$A:$A, MATCH(492, 輔助計算!$F$2:$F$801, 0)+1), "")), IFERROR(INDEX(ERP資料!$A:$A, (MATCH(493, 輔助計算!$F$2:$F$801, 0)+1)), ""), ""), "")</f>
        <v/>
      </c>
      <c r="C494" s="10">
        <f>IFERROR(IF(AND(IFERROR(INDEX(ERP資料!$A:$A, (MATCH(493, 輔助計算!$F$2:$F$801, 0)+1)), "")&lt;&gt;"", IFERROR(INDEX(ERP資料!$A:$A, (MATCH(493, 輔助計算!$F$2:$F$801, 0)+1)), "")&lt;&gt;IFERROR(INDEX(ERP資料!$A:$A, MATCH(492, 輔助計算!$F$2:$F$801, 0)+1), "")), INDEX(ERP資料!$S:$S, (MATCH(493, 輔助計算!$F$2:$F$801, 0)+1)), ""), "")</f>
        <v/>
      </c>
      <c r="D494" s="10">
        <f>IFERROR(IF(INDEX(ERP資料!$E:$E, (MATCH(493, 輔助計算!$F$2:$F$801, 0)+1))="","",TRIM(INDEX(ERP資料!$E:$E, (MATCH(493, 輔助計算!$F$2:$F$801, 0)+1)))), "")</f>
        <v/>
      </c>
      <c r="E494" s="10">
        <f>IFERROR(IF(INDEX(ERP資料!$F:$F, (MATCH(493, 輔助計算!$F$2:$F$801, 0)+1))="","",INDEX(ERP資料!$F:$F, (MATCH(493, 輔助計算!$F$2:$F$801, 0)+1))), "")</f>
        <v/>
      </c>
      <c r="F494" s="10">
        <f>IFERROR(IF(INDEX(ERP資料!$G:$G, (MATCH(493, 輔助計算!$F$2:$F$801, 0)+1))="","",INDEX(ERP資料!$G:$G, (MATCH(493, 輔助計算!$F$2:$F$801, 0)+1))), "")</f>
        <v/>
      </c>
      <c r="G494" s="10">
        <f>IFERROR(IF(INDEX(ERP資料!$H:$H, (MATCH(493, 輔助計算!$F$2:$F$801, 0)+1))="","",INDEX(ERP資料!$H:$H, (MATCH(493, 輔助計算!$F$2:$F$801, 0)+1))), "")</f>
        <v/>
      </c>
      <c r="H494" s="10">
        <f>IFERROR(IF(INDEX(ERP資料!$O:$O, (MATCH(493, 輔助計算!$F$2:$F$801, 0)+1))="","",INDEX(ERP資料!$O:$O, (MATCH(493, 輔助計算!$F$2:$F$801, 0)+1))), "")</f>
        <v/>
      </c>
      <c r="I494" s="15">
        <f>IFERROR(IF(INDEX(輔助計算!$D:$D,(MATCH(493, 輔助計算!$F$2:$F$801, 0)+1))="","",INDEX(輔助計算!$D:$D,(MATCH(493, 輔助計算!$F$2:$F$801, 0)+1))*INDEX(ERP資料!$O:$O,(MATCH(493, 輔助計算!$F$2:$F$801, 0)+1))), "")</f>
        <v/>
      </c>
      <c r="J494" s="16" t="n"/>
      <c r="K494" s="15">
        <f>IFERROR(INDEX(輔助計算!$D:$D, (MATCH(493, 輔助計算!$F$2:$F$801, 0)+1)), "")</f>
        <v/>
      </c>
      <c r="L494" s="16">
        <f>IFERROR(IF(AND(IFERROR(VLOOKUP(LEFT(INDEX(ERP資料!$S:$S, (MATCH(493, 輔助計算!$F$2:$F$801, 0)+1)), 4), 100張客戶!$A:$A, 1, FALSE), "")&lt;&gt;"", OR(INDEX(ERP資料!$F:$F, (MATCH(493, 輔助計算!$F$2:$F$801, 0)+1))=270, INDEX(ERP資料!$F:$F, (MATCH(493, 輔助計算!$F$2:$F$801, 0)+1))=300)), "100張", ""), "")</f>
        <v/>
      </c>
      <c r="M494" s="17" t="n"/>
      <c r="N494" s="17">
        <f>IF($F494="","",$F494)</f>
        <v/>
      </c>
      <c r="O494" s="17">
        <f>IF($G494="","",$G494)</f>
        <v/>
      </c>
      <c r="P494" s="17">
        <f>IF($K494="","",$K494)</f>
        <v/>
      </c>
      <c r="Q494" s="16" t="n"/>
      <c r="R494" s="18" t="n"/>
      <c r="S494" s="16" t="n"/>
    </row>
    <row r="495">
      <c r="A495" s="14">
        <f>IFERROR(IF(AND(IFERROR(INDEX(ERP資料!$A:$A, (MATCH(494, 輔助計算!$F$2:$F$801, 0)+1)), "")&lt;&gt;"", IFERROR(INDEX(ERP資料!$A:$A, (MATCH(494, 輔助計算!$F$2:$F$801, 0)+1)), "")&lt;&gt;IFERROR(INDEX(ERP資料!$A:$A, MATCH(493, 輔助計算!$F$2:$F$801, 0)+1), "")), INDEX(ERP資料!$B:$B, (MATCH(494, 輔助計算!$F$2:$F$801, 0)+1)), ""), "")</f>
        <v/>
      </c>
      <c r="B495" s="10">
        <f>IFERROR(IF(AND(IFERROR(INDEX(ERP資料!$A:$A, (MATCH(494, 輔助計算!$F$2:$F$801, 0)+1)), "")&lt;&gt;"", IFERROR(INDEX(ERP資料!$A:$A, (MATCH(494, 輔助計算!$F$2:$F$801, 0)+1)), "")&lt;&gt;IFERROR(INDEX(ERP資料!$A:$A, MATCH(493, 輔助計算!$F$2:$F$801, 0)+1), "")), IFERROR(INDEX(ERP資料!$A:$A, (MATCH(494, 輔助計算!$F$2:$F$801, 0)+1)), ""), ""), "")</f>
        <v/>
      </c>
      <c r="C495" s="10">
        <f>IFERROR(IF(AND(IFERROR(INDEX(ERP資料!$A:$A, (MATCH(494, 輔助計算!$F$2:$F$801, 0)+1)), "")&lt;&gt;"", IFERROR(INDEX(ERP資料!$A:$A, (MATCH(494, 輔助計算!$F$2:$F$801, 0)+1)), "")&lt;&gt;IFERROR(INDEX(ERP資料!$A:$A, MATCH(493, 輔助計算!$F$2:$F$801, 0)+1), "")), INDEX(ERP資料!$S:$S, (MATCH(494, 輔助計算!$F$2:$F$801, 0)+1)), ""), "")</f>
        <v/>
      </c>
      <c r="D495" s="10">
        <f>IFERROR(IF(INDEX(ERP資料!$E:$E, (MATCH(494, 輔助計算!$F$2:$F$801, 0)+1))="","",TRIM(INDEX(ERP資料!$E:$E, (MATCH(494, 輔助計算!$F$2:$F$801, 0)+1)))), "")</f>
        <v/>
      </c>
      <c r="E495" s="10">
        <f>IFERROR(IF(INDEX(ERP資料!$F:$F, (MATCH(494, 輔助計算!$F$2:$F$801, 0)+1))="","",INDEX(ERP資料!$F:$F, (MATCH(494, 輔助計算!$F$2:$F$801, 0)+1))), "")</f>
        <v/>
      </c>
      <c r="F495" s="10">
        <f>IFERROR(IF(INDEX(ERP資料!$G:$G, (MATCH(494, 輔助計算!$F$2:$F$801, 0)+1))="","",INDEX(ERP資料!$G:$G, (MATCH(494, 輔助計算!$F$2:$F$801, 0)+1))), "")</f>
        <v/>
      </c>
      <c r="G495" s="10">
        <f>IFERROR(IF(INDEX(ERP資料!$H:$H, (MATCH(494, 輔助計算!$F$2:$F$801, 0)+1))="","",INDEX(ERP資料!$H:$H, (MATCH(494, 輔助計算!$F$2:$F$801, 0)+1))), "")</f>
        <v/>
      </c>
      <c r="H495" s="10">
        <f>IFERROR(IF(INDEX(ERP資料!$O:$O, (MATCH(494, 輔助計算!$F$2:$F$801, 0)+1))="","",INDEX(ERP資料!$O:$O, (MATCH(494, 輔助計算!$F$2:$F$801, 0)+1))), "")</f>
        <v/>
      </c>
      <c r="I495" s="15">
        <f>IFERROR(IF(INDEX(輔助計算!$D:$D,(MATCH(494, 輔助計算!$F$2:$F$801, 0)+1))="","",INDEX(輔助計算!$D:$D,(MATCH(494, 輔助計算!$F$2:$F$801, 0)+1))*INDEX(ERP資料!$O:$O,(MATCH(494, 輔助計算!$F$2:$F$801, 0)+1))), "")</f>
        <v/>
      </c>
      <c r="J495" s="16" t="n"/>
      <c r="K495" s="15">
        <f>IFERROR(INDEX(輔助計算!$D:$D, (MATCH(494, 輔助計算!$F$2:$F$801, 0)+1)), "")</f>
        <v/>
      </c>
      <c r="L495" s="16">
        <f>IFERROR(IF(AND(IFERROR(VLOOKUP(LEFT(INDEX(ERP資料!$S:$S, (MATCH(494, 輔助計算!$F$2:$F$801, 0)+1)), 4), 100張客戶!$A:$A, 1, FALSE), "")&lt;&gt;"", OR(INDEX(ERP資料!$F:$F, (MATCH(494, 輔助計算!$F$2:$F$801, 0)+1))=270, INDEX(ERP資料!$F:$F, (MATCH(494, 輔助計算!$F$2:$F$801, 0)+1))=300)), "100張", ""), "")</f>
        <v/>
      </c>
      <c r="M495" s="17" t="n"/>
      <c r="N495" s="17">
        <f>IF($F495="","",$F495)</f>
        <v/>
      </c>
      <c r="O495" s="17">
        <f>IF($G495="","",$G495)</f>
        <v/>
      </c>
      <c r="P495" s="17">
        <f>IF($K495="","",$K495)</f>
        <v/>
      </c>
      <c r="Q495" s="16" t="n"/>
      <c r="R495" s="18" t="n"/>
      <c r="S495" s="16" t="n"/>
    </row>
    <row r="496">
      <c r="A496" s="14">
        <f>IFERROR(IF(AND(IFERROR(INDEX(ERP資料!$A:$A, (MATCH(495, 輔助計算!$F$2:$F$801, 0)+1)), "")&lt;&gt;"", IFERROR(INDEX(ERP資料!$A:$A, (MATCH(495, 輔助計算!$F$2:$F$801, 0)+1)), "")&lt;&gt;IFERROR(INDEX(ERP資料!$A:$A, MATCH(494, 輔助計算!$F$2:$F$801, 0)+1), "")), INDEX(ERP資料!$B:$B, (MATCH(495, 輔助計算!$F$2:$F$801, 0)+1)), ""), "")</f>
        <v/>
      </c>
      <c r="B496" s="10">
        <f>IFERROR(IF(AND(IFERROR(INDEX(ERP資料!$A:$A, (MATCH(495, 輔助計算!$F$2:$F$801, 0)+1)), "")&lt;&gt;"", IFERROR(INDEX(ERP資料!$A:$A, (MATCH(495, 輔助計算!$F$2:$F$801, 0)+1)), "")&lt;&gt;IFERROR(INDEX(ERP資料!$A:$A, MATCH(494, 輔助計算!$F$2:$F$801, 0)+1), "")), IFERROR(INDEX(ERP資料!$A:$A, (MATCH(495, 輔助計算!$F$2:$F$801, 0)+1)), ""), ""), "")</f>
        <v/>
      </c>
      <c r="C496" s="10">
        <f>IFERROR(IF(AND(IFERROR(INDEX(ERP資料!$A:$A, (MATCH(495, 輔助計算!$F$2:$F$801, 0)+1)), "")&lt;&gt;"", IFERROR(INDEX(ERP資料!$A:$A, (MATCH(495, 輔助計算!$F$2:$F$801, 0)+1)), "")&lt;&gt;IFERROR(INDEX(ERP資料!$A:$A, MATCH(494, 輔助計算!$F$2:$F$801, 0)+1), "")), INDEX(ERP資料!$S:$S, (MATCH(495, 輔助計算!$F$2:$F$801, 0)+1)), ""), "")</f>
        <v/>
      </c>
      <c r="D496" s="10">
        <f>IFERROR(IF(INDEX(ERP資料!$E:$E, (MATCH(495, 輔助計算!$F$2:$F$801, 0)+1))="","",TRIM(INDEX(ERP資料!$E:$E, (MATCH(495, 輔助計算!$F$2:$F$801, 0)+1)))), "")</f>
        <v/>
      </c>
      <c r="E496" s="10">
        <f>IFERROR(IF(INDEX(ERP資料!$F:$F, (MATCH(495, 輔助計算!$F$2:$F$801, 0)+1))="","",INDEX(ERP資料!$F:$F, (MATCH(495, 輔助計算!$F$2:$F$801, 0)+1))), "")</f>
        <v/>
      </c>
      <c r="F496" s="10">
        <f>IFERROR(IF(INDEX(ERP資料!$G:$G, (MATCH(495, 輔助計算!$F$2:$F$801, 0)+1))="","",INDEX(ERP資料!$G:$G, (MATCH(495, 輔助計算!$F$2:$F$801, 0)+1))), "")</f>
        <v/>
      </c>
      <c r="G496" s="10">
        <f>IFERROR(IF(INDEX(ERP資料!$H:$H, (MATCH(495, 輔助計算!$F$2:$F$801, 0)+1))="","",INDEX(ERP資料!$H:$H, (MATCH(495, 輔助計算!$F$2:$F$801, 0)+1))), "")</f>
        <v/>
      </c>
      <c r="H496" s="10">
        <f>IFERROR(IF(INDEX(ERP資料!$O:$O, (MATCH(495, 輔助計算!$F$2:$F$801, 0)+1))="","",INDEX(ERP資料!$O:$O, (MATCH(495, 輔助計算!$F$2:$F$801, 0)+1))), "")</f>
        <v/>
      </c>
      <c r="I496" s="15">
        <f>IFERROR(IF(INDEX(輔助計算!$D:$D,(MATCH(495, 輔助計算!$F$2:$F$801, 0)+1))="","",INDEX(輔助計算!$D:$D,(MATCH(495, 輔助計算!$F$2:$F$801, 0)+1))*INDEX(ERP資料!$O:$O,(MATCH(495, 輔助計算!$F$2:$F$801, 0)+1))), "")</f>
        <v/>
      </c>
      <c r="J496" s="16" t="n"/>
      <c r="K496" s="15">
        <f>IFERROR(INDEX(輔助計算!$D:$D, (MATCH(495, 輔助計算!$F$2:$F$801, 0)+1)), "")</f>
        <v/>
      </c>
      <c r="L496" s="16">
        <f>IFERROR(IF(AND(IFERROR(VLOOKUP(LEFT(INDEX(ERP資料!$S:$S, (MATCH(495, 輔助計算!$F$2:$F$801, 0)+1)), 4), 100張客戶!$A:$A, 1, FALSE), "")&lt;&gt;"", OR(INDEX(ERP資料!$F:$F, (MATCH(495, 輔助計算!$F$2:$F$801, 0)+1))=270, INDEX(ERP資料!$F:$F, (MATCH(495, 輔助計算!$F$2:$F$801, 0)+1))=300)), "100張", ""), "")</f>
        <v/>
      </c>
      <c r="M496" s="17" t="n"/>
      <c r="N496" s="17">
        <f>IF($F496="","",$F496)</f>
        <v/>
      </c>
      <c r="O496" s="17">
        <f>IF($G496="","",$G496)</f>
        <v/>
      </c>
      <c r="P496" s="17">
        <f>IF($K496="","",$K496)</f>
        <v/>
      </c>
      <c r="Q496" s="16" t="n"/>
      <c r="R496" s="18" t="n"/>
      <c r="S496" s="16" t="n"/>
    </row>
    <row r="497">
      <c r="A497" s="14">
        <f>IFERROR(IF(AND(IFERROR(INDEX(ERP資料!$A:$A, (MATCH(496, 輔助計算!$F$2:$F$801, 0)+1)), "")&lt;&gt;"", IFERROR(INDEX(ERP資料!$A:$A, (MATCH(496, 輔助計算!$F$2:$F$801, 0)+1)), "")&lt;&gt;IFERROR(INDEX(ERP資料!$A:$A, MATCH(495, 輔助計算!$F$2:$F$801, 0)+1), "")), INDEX(ERP資料!$B:$B, (MATCH(496, 輔助計算!$F$2:$F$801, 0)+1)), ""), "")</f>
        <v/>
      </c>
      <c r="B497" s="10">
        <f>IFERROR(IF(AND(IFERROR(INDEX(ERP資料!$A:$A, (MATCH(496, 輔助計算!$F$2:$F$801, 0)+1)), "")&lt;&gt;"", IFERROR(INDEX(ERP資料!$A:$A, (MATCH(496, 輔助計算!$F$2:$F$801, 0)+1)), "")&lt;&gt;IFERROR(INDEX(ERP資料!$A:$A, MATCH(495, 輔助計算!$F$2:$F$801, 0)+1), "")), IFERROR(INDEX(ERP資料!$A:$A, (MATCH(496, 輔助計算!$F$2:$F$801, 0)+1)), ""), ""), "")</f>
        <v/>
      </c>
      <c r="C497" s="10">
        <f>IFERROR(IF(AND(IFERROR(INDEX(ERP資料!$A:$A, (MATCH(496, 輔助計算!$F$2:$F$801, 0)+1)), "")&lt;&gt;"", IFERROR(INDEX(ERP資料!$A:$A, (MATCH(496, 輔助計算!$F$2:$F$801, 0)+1)), "")&lt;&gt;IFERROR(INDEX(ERP資料!$A:$A, MATCH(495, 輔助計算!$F$2:$F$801, 0)+1), "")), INDEX(ERP資料!$S:$S, (MATCH(496, 輔助計算!$F$2:$F$801, 0)+1)), ""), "")</f>
        <v/>
      </c>
      <c r="D497" s="10">
        <f>IFERROR(IF(INDEX(ERP資料!$E:$E, (MATCH(496, 輔助計算!$F$2:$F$801, 0)+1))="","",TRIM(INDEX(ERP資料!$E:$E, (MATCH(496, 輔助計算!$F$2:$F$801, 0)+1)))), "")</f>
        <v/>
      </c>
      <c r="E497" s="10">
        <f>IFERROR(IF(INDEX(ERP資料!$F:$F, (MATCH(496, 輔助計算!$F$2:$F$801, 0)+1))="","",INDEX(ERP資料!$F:$F, (MATCH(496, 輔助計算!$F$2:$F$801, 0)+1))), "")</f>
        <v/>
      </c>
      <c r="F497" s="10">
        <f>IFERROR(IF(INDEX(ERP資料!$G:$G, (MATCH(496, 輔助計算!$F$2:$F$801, 0)+1))="","",INDEX(ERP資料!$G:$G, (MATCH(496, 輔助計算!$F$2:$F$801, 0)+1))), "")</f>
        <v/>
      </c>
      <c r="G497" s="10">
        <f>IFERROR(IF(INDEX(ERP資料!$H:$H, (MATCH(496, 輔助計算!$F$2:$F$801, 0)+1))="","",INDEX(ERP資料!$H:$H, (MATCH(496, 輔助計算!$F$2:$F$801, 0)+1))), "")</f>
        <v/>
      </c>
      <c r="H497" s="10">
        <f>IFERROR(IF(INDEX(ERP資料!$O:$O, (MATCH(496, 輔助計算!$F$2:$F$801, 0)+1))="","",INDEX(ERP資料!$O:$O, (MATCH(496, 輔助計算!$F$2:$F$801, 0)+1))), "")</f>
        <v/>
      </c>
      <c r="I497" s="15">
        <f>IFERROR(IF(INDEX(輔助計算!$D:$D,(MATCH(496, 輔助計算!$F$2:$F$801, 0)+1))="","",INDEX(輔助計算!$D:$D,(MATCH(496, 輔助計算!$F$2:$F$801, 0)+1))*INDEX(ERP資料!$O:$O,(MATCH(496, 輔助計算!$F$2:$F$801, 0)+1))), "")</f>
        <v/>
      </c>
      <c r="J497" s="16" t="n"/>
      <c r="K497" s="15">
        <f>IFERROR(INDEX(輔助計算!$D:$D, (MATCH(496, 輔助計算!$F$2:$F$801, 0)+1)), "")</f>
        <v/>
      </c>
      <c r="L497" s="16">
        <f>IFERROR(IF(AND(IFERROR(VLOOKUP(LEFT(INDEX(ERP資料!$S:$S, (MATCH(496, 輔助計算!$F$2:$F$801, 0)+1)), 4), 100張客戶!$A:$A, 1, FALSE), "")&lt;&gt;"", OR(INDEX(ERP資料!$F:$F, (MATCH(496, 輔助計算!$F$2:$F$801, 0)+1))=270, INDEX(ERP資料!$F:$F, (MATCH(496, 輔助計算!$F$2:$F$801, 0)+1))=300)), "100張", ""), "")</f>
        <v/>
      </c>
      <c r="M497" s="17" t="n"/>
      <c r="N497" s="17">
        <f>IF($F497="","",$F497)</f>
        <v/>
      </c>
      <c r="O497" s="17">
        <f>IF($G497="","",$G497)</f>
        <v/>
      </c>
      <c r="P497" s="17">
        <f>IF($K497="","",$K497)</f>
        <v/>
      </c>
      <c r="Q497" s="16" t="n"/>
      <c r="R497" s="18" t="n"/>
      <c r="S497" s="16" t="n"/>
    </row>
    <row r="498">
      <c r="A498" s="14">
        <f>IFERROR(IF(AND(IFERROR(INDEX(ERP資料!$A:$A, (MATCH(497, 輔助計算!$F$2:$F$801, 0)+1)), "")&lt;&gt;"", IFERROR(INDEX(ERP資料!$A:$A, (MATCH(497, 輔助計算!$F$2:$F$801, 0)+1)), "")&lt;&gt;IFERROR(INDEX(ERP資料!$A:$A, MATCH(496, 輔助計算!$F$2:$F$801, 0)+1), "")), INDEX(ERP資料!$B:$B, (MATCH(497, 輔助計算!$F$2:$F$801, 0)+1)), ""), "")</f>
        <v/>
      </c>
      <c r="B498" s="10">
        <f>IFERROR(IF(AND(IFERROR(INDEX(ERP資料!$A:$A, (MATCH(497, 輔助計算!$F$2:$F$801, 0)+1)), "")&lt;&gt;"", IFERROR(INDEX(ERP資料!$A:$A, (MATCH(497, 輔助計算!$F$2:$F$801, 0)+1)), "")&lt;&gt;IFERROR(INDEX(ERP資料!$A:$A, MATCH(496, 輔助計算!$F$2:$F$801, 0)+1), "")), IFERROR(INDEX(ERP資料!$A:$A, (MATCH(497, 輔助計算!$F$2:$F$801, 0)+1)), ""), ""), "")</f>
        <v/>
      </c>
      <c r="C498" s="10">
        <f>IFERROR(IF(AND(IFERROR(INDEX(ERP資料!$A:$A, (MATCH(497, 輔助計算!$F$2:$F$801, 0)+1)), "")&lt;&gt;"", IFERROR(INDEX(ERP資料!$A:$A, (MATCH(497, 輔助計算!$F$2:$F$801, 0)+1)), "")&lt;&gt;IFERROR(INDEX(ERP資料!$A:$A, MATCH(496, 輔助計算!$F$2:$F$801, 0)+1), "")), INDEX(ERP資料!$S:$S, (MATCH(497, 輔助計算!$F$2:$F$801, 0)+1)), ""), "")</f>
        <v/>
      </c>
      <c r="D498" s="10">
        <f>IFERROR(IF(INDEX(ERP資料!$E:$E, (MATCH(497, 輔助計算!$F$2:$F$801, 0)+1))="","",TRIM(INDEX(ERP資料!$E:$E, (MATCH(497, 輔助計算!$F$2:$F$801, 0)+1)))), "")</f>
        <v/>
      </c>
      <c r="E498" s="10">
        <f>IFERROR(IF(INDEX(ERP資料!$F:$F, (MATCH(497, 輔助計算!$F$2:$F$801, 0)+1))="","",INDEX(ERP資料!$F:$F, (MATCH(497, 輔助計算!$F$2:$F$801, 0)+1))), "")</f>
        <v/>
      </c>
      <c r="F498" s="10">
        <f>IFERROR(IF(INDEX(ERP資料!$G:$G, (MATCH(497, 輔助計算!$F$2:$F$801, 0)+1))="","",INDEX(ERP資料!$G:$G, (MATCH(497, 輔助計算!$F$2:$F$801, 0)+1))), "")</f>
        <v/>
      </c>
      <c r="G498" s="10">
        <f>IFERROR(IF(INDEX(ERP資料!$H:$H, (MATCH(497, 輔助計算!$F$2:$F$801, 0)+1))="","",INDEX(ERP資料!$H:$H, (MATCH(497, 輔助計算!$F$2:$F$801, 0)+1))), "")</f>
        <v/>
      </c>
      <c r="H498" s="10">
        <f>IFERROR(IF(INDEX(ERP資料!$O:$O, (MATCH(497, 輔助計算!$F$2:$F$801, 0)+1))="","",INDEX(ERP資料!$O:$O, (MATCH(497, 輔助計算!$F$2:$F$801, 0)+1))), "")</f>
        <v/>
      </c>
      <c r="I498" s="15">
        <f>IFERROR(IF(INDEX(輔助計算!$D:$D,(MATCH(497, 輔助計算!$F$2:$F$801, 0)+1))="","",INDEX(輔助計算!$D:$D,(MATCH(497, 輔助計算!$F$2:$F$801, 0)+1))*INDEX(ERP資料!$O:$O,(MATCH(497, 輔助計算!$F$2:$F$801, 0)+1))), "")</f>
        <v/>
      </c>
      <c r="J498" s="16" t="n"/>
      <c r="K498" s="15">
        <f>IFERROR(INDEX(輔助計算!$D:$D, (MATCH(497, 輔助計算!$F$2:$F$801, 0)+1)), "")</f>
        <v/>
      </c>
      <c r="L498" s="16">
        <f>IFERROR(IF(AND(IFERROR(VLOOKUP(LEFT(INDEX(ERP資料!$S:$S, (MATCH(497, 輔助計算!$F$2:$F$801, 0)+1)), 4), 100張客戶!$A:$A, 1, FALSE), "")&lt;&gt;"", OR(INDEX(ERP資料!$F:$F, (MATCH(497, 輔助計算!$F$2:$F$801, 0)+1))=270, INDEX(ERP資料!$F:$F, (MATCH(497, 輔助計算!$F$2:$F$801, 0)+1))=300)), "100張", ""), "")</f>
        <v/>
      </c>
      <c r="M498" s="17" t="n"/>
      <c r="N498" s="17">
        <f>IF($F498="","",$F498)</f>
        <v/>
      </c>
      <c r="O498" s="17">
        <f>IF($G498="","",$G498)</f>
        <v/>
      </c>
      <c r="P498" s="17">
        <f>IF($K498="","",$K498)</f>
        <v/>
      </c>
      <c r="Q498" s="16" t="n"/>
      <c r="R498" s="18" t="n"/>
      <c r="S498" s="16" t="n"/>
    </row>
    <row r="499">
      <c r="A499" s="14">
        <f>IFERROR(IF(AND(IFERROR(INDEX(ERP資料!$A:$A, (MATCH(498, 輔助計算!$F$2:$F$801, 0)+1)), "")&lt;&gt;"", IFERROR(INDEX(ERP資料!$A:$A, (MATCH(498, 輔助計算!$F$2:$F$801, 0)+1)), "")&lt;&gt;IFERROR(INDEX(ERP資料!$A:$A, MATCH(497, 輔助計算!$F$2:$F$801, 0)+1), "")), INDEX(ERP資料!$B:$B, (MATCH(498, 輔助計算!$F$2:$F$801, 0)+1)), ""), "")</f>
        <v/>
      </c>
      <c r="B499" s="10">
        <f>IFERROR(IF(AND(IFERROR(INDEX(ERP資料!$A:$A, (MATCH(498, 輔助計算!$F$2:$F$801, 0)+1)), "")&lt;&gt;"", IFERROR(INDEX(ERP資料!$A:$A, (MATCH(498, 輔助計算!$F$2:$F$801, 0)+1)), "")&lt;&gt;IFERROR(INDEX(ERP資料!$A:$A, MATCH(497, 輔助計算!$F$2:$F$801, 0)+1), "")), IFERROR(INDEX(ERP資料!$A:$A, (MATCH(498, 輔助計算!$F$2:$F$801, 0)+1)), ""), ""), "")</f>
        <v/>
      </c>
      <c r="C499" s="10">
        <f>IFERROR(IF(AND(IFERROR(INDEX(ERP資料!$A:$A, (MATCH(498, 輔助計算!$F$2:$F$801, 0)+1)), "")&lt;&gt;"", IFERROR(INDEX(ERP資料!$A:$A, (MATCH(498, 輔助計算!$F$2:$F$801, 0)+1)), "")&lt;&gt;IFERROR(INDEX(ERP資料!$A:$A, MATCH(497, 輔助計算!$F$2:$F$801, 0)+1), "")), INDEX(ERP資料!$S:$S, (MATCH(498, 輔助計算!$F$2:$F$801, 0)+1)), ""), "")</f>
        <v/>
      </c>
      <c r="D499" s="10">
        <f>IFERROR(IF(INDEX(ERP資料!$E:$E, (MATCH(498, 輔助計算!$F$2:$F$801, 0)+1))="","",TRIM(INDEX(ERP資料!$E:$E, (MATCH(498, 輔助計算!$F$2:$F$801, 0)+1)))), "")</f>
        <v/>
      </c>
      <c r="E499" s="10">
        <f>IFERROR(IF(INDEX(ERP資料!$F:$F, (MATCH(498, 輔助計算!$F$2:$F$801, 0)+1))="","",INDEX(ERP資料!$F:$F, (MATCH(498, 輔助計算!$F$2:$F$801, 0)+1))), "")</f>
        <v/>
      </c>
      <c r="F499" s="10">
        <f>IFERROR(IF(INDEX(ERP資料!$G:$G, (MATCH(498, 輔助計算!$F$2:$F$801, 0)+1))="","",INDEX(ERP資料!$G:$G, (MATCH(498, 輔助計算!$F$2:$F$801, 0)+1))), "")</f>
        <v/>
      </c>
      <c r="G499" s="10">
        <f>IFERROR(IF(INDEX(ERP資料!$H:$H, (MATCH(498, 輔助計算!$F$2:$F$801, 0)+1))="","",INDEX(ERP資料!$H:$H, (MATCH(498, 輔助計算!$F$2:$F$801, 0)+1))), "")</f>
        <v/>
      </c>
      <c r="H499" s="10">
        <f>IFERROR(IF(INDEX(ERP資料!$O:$O, (MATCH(498, 輔助計算!$F$2:$F$801, 0)+1))="","",INDEX(ERP資料!$O:$O, (MATCH(498, 輔助計算!$F$2:$F$801, 0)+1))), "")</f>
        <v/>
      </c>
      <c r="I499" s="15">
        <f>IFERROR(IF(INDEX(輔助計算!$D:$D,(MATCH(498, 輔助計算!$F$2:$F$801, 0)+1))="","",INDEX(輔助計算!$D:$D,(MATCH(498, 輔助計算!$F$2:$F$801, 0)+1))*INDEX(ERP資料!$O:$O,(MATCH(498, 輔助計算!$F$2:$F$801, 0)+1))), "")</f>
        <v/>
      </c>
      <c r="J499" s="16" t="n"/>
      <c r="K499" s="15">
        <f>IFERROR(INDEX(輔助計算!$D:$D, (MATCH(498, 輔助計算!$F$2:$F$801, 0)+1)), "")</f>
        <v/>
      </c>
      <c r="L499" s="16">
        <f>IFERROR(IF(AND(IFERROR(VLOOKUP(LEFT(INDEX(ERP資料!$S:$S, (MATCH(498, 輔助計算!$F$2:$F$801, 0)+1)), 4), 100張客戶!$A:$A, 1, FALSE), "")&lt;&gt;"", OR(INDEX(ERP資料!$F:$F, (MATCH(498, 輔助計算!$F$2:$F$801, 0)+1))=270, INDEX(ERP資料!$F:$F, (MATCH(498, 輔助計算!$F$2:$F$801, 0)+1))=300)), "100張", ""), "")</f>
        <v/>
      </c>
      <c r="M499" s="17" t="n"/>
      <c r="N499" s="17">
        <f>IF($F499="","",$F499)</f>
        <v/>
      </c>
      <c r="O499" s="17">
        <f>IF($G499="","",$G499)</f>
        <v/>
      </c>
      <c r="P499" s="17">
        <f>IF($K499="","",$K499)</f>
        <v/>
      </c>
      <c r="Q499" s="16" t="n"/>
      <c r="R499" s="18" t="n"/>
      <c r="S499" s="16" t="n"/>
    </row>
    <row r="500">
      <c r="A500" s="14">
        <f>IFERROR(IF(AND(IFERROR(INDEX(ERP資料!$A:$A, (MATCH(499, 輔助計算!$F$2:$F$801, 0)+1)), "")&lt;&gt;"", IFERROR(INDEX(ERP資料!$A:$A, (MATCH(499, 輔助計算!$F$2:$F$801, 0)+1)), "")&lt;&gt;IFERROR(INDEX(ERP資料!$A:$A, MATCH(498, 輔助計算!$F$2:$F$801, 0)+1), "")), INDEX(ERP資料!$B:$B, (MATCH(499, 輔助計算!$F$2:$F$801, 0)+1)), ""), "")</f>
        <v/>
      </c>
      <c r="B500" s="10">
        <f>IFERROR(IF(AND(IFERROR(INDEX(ERP資料!$A:$A, (MATCH(499, 輔助計算!$F$2:$F$801, 0)+1)), "")&lt;&gt;"", IFERROR(INDEX(ERP資料!$A:$A, (MATCH(499, 輔助計算!$F$2:$F$801, 0)+1)), "")&lt;&gt;IFERROR(INDEX(ERP資料!$A:$A, MATCH(498, 輔助計算!$F$2:$F$801, 0)+1), "")), IFERROR(INDEX(ERP資料!$A:$A, (MATCH(499, 輔助計算!$F$2:$F$801, 0)+1)), ""), ""), "")</f>
        <v/>
      </c>
      <c r="C500" s="10">
        <f>IFERROR(IF(AND(IFERROR(INDEX(ERP資料!$A:$A, (MATCH(499, 輔助計算!$F$2:$F$801, 0)+1)), "")&lt;&gt;"", IFERROR(INDEX(ERP資料!$A:$A, (MATCH(499, 輔助計算!$F$2:$F$801, 0)+1)), "")&lt;&gt;IFERROR(INDEX(ERP資料!$A:$A, MATCH(498, 輔助計算!$F$2:$F$801, 0)+1), "")), INDEX(ERP資料!$S:$S, (MATCH(499, 輔助計算!$F$2:$F$801, 0)+1)), ""), "")</f>
        <v/>
      </c>
      <c r="D500" s="10">
        <f>IFERROR(IF(INDEX(ERP資料!$E:$E, (MATCH(499, 輔助計算!$F$2:$F$801, 0)+1))="","",TRIM(INDEX(ERP資料!$E:$E, (MATCH(499, 輔助計算!$F$2:$F$801, 0)+1)))), "")</f>
        <v/>
      </c>
      <c r="E500" s="10">
        <f>IFERROR(IF(INDEX(ERP資料!$F:$F, (MATCH(499, 輔助計算!$F$2:$F$801, 0)+1))="","",INDEX(ERP資料!$F:$F, (MATCH(499, 輔助計算!$F$2:$F$801, 0)+1))), "")</f>
        <v/>
      </c>
      <c r="F500" s="10">
        <f>IFERROR(IF(INDEX(ERP資料!$G:$G, (MATCH(499, 輔助計算!$F$2:$F$801, 0)+1))="","",INDEX(ERP資料!$G:$G, (MATCH(499, 輔助計算!$F$2:$F$801, 0)+1))), "")</f>
        <v/>
      </c>
      <c r="G500" s="10">
        <f>IFERROR(IF(INDEX(ERP資料!$H:$H, (MATCH(499, 輔助計算!$F$2:$F$801, 0)+1))="","",INDEX(ERP資料!$H:$H, (MATCH(499, 輔助計算!$F$2:$F$801, 0)+1))), "")</f>
        <v/>
      </c>
      <c r="H500" s="10">
        <f>IFERROR(IF(INDEX(ERP資料!$O:$O, (MATCH(499, 輔助計算!$F$2:$F$801, 0)+1))="","",INDEX(ERP資料!$O:$O, (MATCH(499, 輔助計算!$F$2:$F$801, 0)+1))), "")</f>
        <v/>
      </c>
      <c r="I500" s="15">
        <f>IFERROR(IF(INDEX(輔助計算!$D:$D,(MATCH(499, 輔助計算!$F$2:$F$801, 0)+1))="","",INDEX(輔助計算!$D:$D,(MATCH(499, 輔助計算!$F$2:$F$801, 0)+1))*INDEX(ERP資料!$O:$O,(MATCH(499, 輔助計算!$F$2:$F$801, 0)+1))), "")</f>
        <v/>
      </c>
      <c r="J500" s="16" t="n"/>
      <c r="K500" s="15">
        <f>IFERROR(INDEX(輔助計算!$D:$D, (MATCH(499, 輔助計算!$F$2:$F$801, 0)+1)), "")</f>
        <v/>
      </c>
      <c r="L500" s="16">
        <f>IFERROR(IF(AND(IFERROR(VLOOKUP(LEFT(INDEX(ERP資料!$S:$S, (MATCH(499, 輔助計算!$F$2:$F$801, 0)+1)), 4), 100張客戶!$A:$A, 1, FALSE), "")&lt;&gt;"", OR(INDEX(ERP資料!$F:$F, (MATCH(499, 輔助計算!$F$2:$F$801, 0)+1))=270, INDEX(ERP資料!$F:$F, (MATCH(499, 輔助計算!$F$2:$F$801, 0)+1))=300)), "100張", ""), "")</f>
        <v/>
      </c>
      <c r="M500" s="17" t="n"/>
      <c r="N500" s="17">
        <f>IF($F500="","",$F500)</f>
        <v/>
      </c>
      <c r="O500" s="17">
        <f>IF($G500="","",$G500)</f>
        <v/>
      </c>
      <c r="P500" s="17">
        <f>IF($K500="","",$K500)</f>
        <v/>
      </c>
      <c r="Q500" s="16" t="n"/>
      <c r="R500" s="18" t="n"/>
      <c r="S500" s="16" t="n"/>
    </row>
    <row r="501">
      <c r="A501" s="14">
        <f>IFERROR(IF(AND(IFERROR(INDEX(ERP資料!$A:$A, (MATCH(500, 輔助計算!$F$2:$F$801, 0)+1)), "")&lt;&gt;"", IFERROR(INDEX(ERP資料!$A:$A, (MATCH(500, 輔助計算!$F$2:$F$801, 0)+1)), "")&lt;&gt;IFERROR(INDEX(ERP資料!$A:$A, MATCH(499, 輔助計算!$F$2:$F$801, 0)+1), "")), INDEX(ERP資料!$B:$B, (MATCH(500, 輔助計算!$F$2:$F$801, 0)+1)), ""), "")</f>
        <v/>
      </c>
      <c r="B501" s="10">
        <f>IFERROR(IF(AND(IFERROR(INDEX(ERP資料!$A:$A, (MATCH(500, 輔助計算!$F$2:$F$801, 0)+1)), "")&lt;&gt;"", IFERROR(INDEX(ERP資料!$A:$A, (MATCH(500, 輔助計算!$F$2:$F$801, 0)+1)), "")&lt;&gt;IFERROR(INDEX(ERP資料!$A:$A, MATCH(499, 輔助計算!$F$2:$F$801, 0)+1), "")), IFERROR(INDEX(ERP資料!$A:$A, (MATCH(500, 輔助計算!$F$2:$F$801, 0)+1)), ""), ""), "")</f>
        <v/>
      </c>
      <c r="C501" s="10">
        <f>IFERROR(IF(AND(IFERROR(INDEX(ERP資料!$A:$A, (MATCH(500, 輔助計算!$F$2:$F$801, 0)+1)), "")&lt;&gt;"", IFERROR(INDEX(ERP資料!$A:$A, (MATCH(500, 輔助計算!$F$2:$F$801, 0)+1)), "")&lt;&gt;IFERROR(INDEX(ERP資料!$A:$A, MATCH(499, 輔助計算!$F$2:$F$801, 0)+1), "")), INDEX(ERP資料!$S:$S, (MATCH(500, 輔助計算!$F$2:$F$801, 0)+1)), ""), "")</f>
        <v/>
      </c>
      <c r="D501" s="10">
        <f>IFERROR(IF(INDEX(ERP資料!$E:$E, (MATCH(500, 輔助計算!$F$2:$F$801, 0)+1))="","",TRIM(INDEX(ERP資料!$E:$E, (MATCH(500, 輔助計算!$F$2:$F$801, 0)+1)))), "")</f>
        <v/>
      </c>
      <c r="E501" s="10">
        <f>IFERROR(IF(INDEX(ERP資料!$F:$F, (MATCH(500, 輔助計算!$F$2:$F$801, 0)+1))="","",INDEX(ERP資料!$F:$F, (MATCH(500, 輔助計算!$F$2:$F$801, 0)+1))), "")</f>
        <v/>
      </c>
      <c r="F501" s="10">
        <f>IFERROR(IF(INDEX(ERP資料!$G:$G, (MATCH(500, 輔助計算!$F$2:$F$801, 0)+1))="","",INDEX(ERP資料!$G:$G, (MATCH(500, 輔助計算!$F$2:$F$801, 0)+1))), "")</f>
        <v/>
      </c>
      <c r="G501" s="10">
        <f>IFERROR(IF(INDEX(ERP資料!$H:$H, (MATCH(500, 輔助計算!$F$2:$F$801, 0)+1))="","",INDEX(ERP資料!$H:$H, (MATCH(500, 輔助計算!$F$2:$F$801, 0)+1))), "")</f>
        <v/>
      </c>
      <c r="H501" s="10">
        <f>IFERROR(IF(INDEX(ERP資料!$O:$O, (MATCH(500, 輔助計算!$F$2:$F$801, 0)+1))="","",INDEX(ERP資料!$O:$O, (MATCH(500, 輔助計算!$F$2:$F$801, 0)+1))), "")</f>
        <v/>
      </c>
      <c r="I501" s="15">
        <f>IFERROR(IF(INDEX(輔助計算!$D:$D,(MATCH(500, 輔助計算!$F$2:$F$801, 0)+1))="","",INDEX(輔助計算!$D:$D,(MATCH(500, 輔助計算!$F$2:$F$801, 0)+1))*INDEX(ERP資料!$O:$O,(MATCH(500, 輔助計算!$F$2:$F$801, 0)+1))), "")</f>
        <v/>
      </c>
      <c r="J501" s="16" t="n"/>
      <c r="K501" s="15">
        <f>IFERROR(INDEX(輔助計算!$D:$D, (MATCH(500, 輔助計算!$F$2:$F$801, 0)+1)), "")</f>
        <v/>
      </c>
      <c r="L501" s="16">
        <f>IFERROR(IF(AND(IFERROR(VLOOKUP(LEFT(INDEX(ERP資料!$S:$S, (MATCH(500, 輔助計算!$F$2:$F$801, 0)+1)), 4), 100張客戶!$A:$A, 1, FALSE), "")&lt;&gt;"", OR(INDEX(ERP資料!$F:$F, (MATCH(500, 輔助計算!$F$2:$F$801, 0)+1))=270, INDEX(ERP資料!$F:$F, (MATCH(500, 輔助計算!$F$2:$F$801, 0)+1))=300)), "100張", ""), "")</f>
        <v/>
      </c>
      <c r="M501" s="17" t="n"/>
      <c r="N501" s="17">
        <f>IF($F501="","",$F501)</f>
        <v/>
      </c>
      <c r="O501" s="17">
        <f>IF($G501="","",$G501)</f>
        <v/>
      </c>
      <c r="P501" s="17">
        <f>IF($K501="","",$K501)</f>
        <v/>
      </c>
      <c r="Q501" s="16" t="n"/>
      <c r="R501" s="18" t="n"/>
      <c r="S501" s="16" t="n"/>
    </row>
    <row r="502">
      <c r="A502" s="14">
        <f>IFERROR(IF(AND(IFERROR(INDEX(ERP資料!$A:$A, (MATCH(501, 輔助計算!$F$2:$F$801, 0)+1)), "")&lt;&gt;"", IFERROR(INDEX(ERP資料!$A:$A, (MATCH(501, 輔助計算!$F$2:$F$801, 0)+1)), "")&lt;&gt;IFERROR(INDEX(ERP資料!$A:$A, MATCH(500, 輔助計算!$F$2:$F$801, 0)+1), "")), INDEX(ERP資料!$B:$B, (MATCH(501, 輔助計算!$F$2:$F$801, 0)+1)), ""), "")</f>
        <v/>
      </c>
      <c r="B502" s="10">
        <f>IFERROR(IF(AND(IFERROR(INDEX(ERP資料!$A:$A, (MATCH(501, 輔助計算!$F$2:$F$801, 0)+1)), "")&lt;&gt;"", IFERROR(INDEX(ERP資料!$A:$A, (MATCH(501, 輔助計算!$F$2:$F$801, 0)+1)), "")&lt;&gt;IFERROR(INDEX(ERP資料!$A:$A, MATCH(500, 輔助計算!$F$2:$F$801, 0)+1), "")), IFERROR(INDEX(ERP資料!$A:$A, (MATCH(501, 輔助計算!$F$2:$F$801, 0)+1)), ""), ""), "")</f>
        <v/>
      </c>
      <c r="C502" s="10">
        <f>IFERROR(IF(AND(IFERROR(INDEX(ERP資料!$A:$A, (MATCH(501, 輔助計算!$F$2:$F$801, 0)+1)), "")&lt;&gt;"", IFERROR(INDEX(ERP資料!$A:$A, (MATCH(501, 輔助計算!$F$2:$F$801, 0)+1)), "")&lt;&gt;IFERROR(INDEX(ERP資料!$A:$A, MATCH(500, 輔助計算!$F$2:$F$801, 0)+1), "")), INDEX(ERP資料!$S:$S, (MATCH(501, 輔助計算!$F$2:$F$801, 0)+1)), ""), "")</f>
        <v/>
      </c>
      <c r="D502" s="10">
        <f>IFERROR(IF(INDEX(ERP資料!$E:$E, (MATCH(501, 輔助計算!$F$2:$F$801, 0)+1))="","",TRIM(INDEX(ERP資料!$E:$E, (MATCH(501, 輔助計算!$F$2:$F$801, 0)+1)))), "")</f>
        <v/>
      </c>
      <c r="E502" s="10">
        <f>IFERROR(IF(INDEX(ERP資料!$F:$F, (MATCH(501, 輔助計算!$F$2:$F$801, 0)+1))="","",INDEX(ERP資料!$F:$F, (MATCH(501, 輔助計算!$F$2:$F$801, 0)+1))), "")</f>
        <v/>
      </c>
      <c r="F502" s="10">
        <f>IFERROR(IF(INDEX(ERP資料!$G:$G, (MATCH(501, 輔助計算!$F$2:$F$801, 0)+1))="","",INDEX(ERP資料!$G:$G, (MATCH(501, 輔助計算!$F$2:$F$801, 0)+1))), "")</f>
        <v/>
      </c>
      <c r="G502" s="10">
        <f>IFERROR(IF(INDEX(ERP資料!$H:$H, (MATCH(501, 輔助計算!$F$2:$F$801, 0)+1))="","",INDEX(ERP資料!$H:$H, (MATCH(501, 輔助計算!$F$2:$F$801, 0)+1))), "")</f>
        <v/>
      </c>
      <c r="H502" s="10">
        <f>IFERROR(IF(INDEX(ERP資料!$O:$O, (MATCH(501, 輔助計算!$F$2:$F$801, 0)+1))="","",INDEX(ERP資料!$O:$O, (MATCH(501, 輔助計算!$F$2:$F$801, 0)+1))), "")</f>
        <v/>
      </c>
      <c r="I502" s="15">
        <f>IFERROR(IF(INDEX(輔助計算!$D:$D,(MATCH(501, 輔助計算!$F$2:$F$801, 0)+1))="","",INDEX(輔助計算!$D:$D,(MATCH(501, 輔助計算!$F$2:$F$801, 0)+1))*INDEX(ERP資料!$O:$O,(MATCH(501, 輔助計算!$F$2:$F$801, 0)+1))), "")</f>
        <v/>
      </c>
      <c r="J502" s="16" t="n"/>
      <c r="K502" s="15">
        <f>IFERROR(INDEX(輔助計算!$D:$D, (MATCH(501, 輔助計算!$F$2:$F$801, 0)+1)), "")</f>
        <v/>
      </c>
      <c r="L502" s="16">
        <f>IFERROR(IF(AND(IFERROR(VLOOKUP(LEFT(INDEX(ERP資料!$S:$S, (MATCH(501, 輔助計算!$F$2:$F$801, 0)+1)), 4), 100張客戶!$A:$A, 1, FALSE), "")&lt;&gt;"", OR(INDEX(ERP資料!$F:$F, (MATCH(501, 輔助計算!$F$2:$F$801, 0)+1))=270, INDEX(ERP資料!$F:$F, (MATCH(501, 輔助計算!$F$2:$F$801, 0)+1))=300)), "100張", ""), "")</f>
        <v/>
      </c>
      <c r="M502" s="17" t="n"/>
      <c r="N502" s="17">
        <f>IF($F502="","",$F502)</f>
        <v/>
      </c>
      <c r="O502" s="17">
        <f>IF($G502="","",$G502)</f>
        <v/>
      </c>
      <c r="P502" s="17">
        <f>IF($K502="","",$K502)</f>
        <v/>
      </c>
      <c r="Q502" s="16" t="n"/>
      <c r="R502" s="18" t="n"/>
      <c r="S502" s="16" t="n"/>
    </row>
    <row r="503">
      <c r="A503" s="14">
        <f>IFERROR(IF(AND(IFERROR(INDEX(ERP資料!$A:$A, (MATCH(502, 輔助計算!$F$2:$F$801, 0)+1)), "")&lt;&gt;"", IFERROR(INDEX(ERP資料!$A:$A, (MATCH(502, 輔助計算!$F$2:$F$801, 0)+1)), "")&lt;&gt;IFERROR(INDEX(ERP資料!$A:$A, MATCH(501, 輔助計算!$F$2:$F$801, 0)+1), "")), INDEX(ERP資料!$B:$B, (MATCH(502, 輔助計算!$F$2:$F$801, 0)+1)), ""), "")</f>
        <v/>
      </c>
      <c r="B503" s="10">
        <f>IFERROR(IF(AND(IFERROR(INDEX(ERP資料!$A:$A, (MATCH(502, 輔助計算!$F$2:$F$801, 0)+1)), "")&lt;&gt;"", IFERROR(INDEX(ERP資料!$A:$A, (MATCH(502, 輔助計算!$F$2:$F$801, 0)+1)), "")&lt;&gt;IFERROR(INDEX(ERP資料!$A:$A, MATCH(501, 輔助計算!$F$2:$F$801, 0)+1), "")), IFERROR(INDEX(ERP資料!$A:$A, (MATCH(502, 輔助計算!$F$2:$F$801, 0)+1)), ""), ""), "")</f>
        <v/>
      </c>
      <c r="C503" s="10">
        <f>IFERROR(IF(AND(IFERROR(INDEX(ERP資料!$A:$A, (MATCH(502, 輔助計算!$F$2:$F$801, 0)+1)), "")&lt;&gt;"", IFERROR(INDEX(ERP資料!$A:$A, (MATCH(502, 輔助計算!$F$2:$F$801, 0)+1)), "")&lt;&gt;IFERROR(INDEX(ERP資料!$A:$A, MATCH(501, 輔助計算!$F$2:$F$801, 0)+1), "")), INDEX(ERP資料!$S:$S, (MATCH(502, 輔助計算!$F$2:$F$801, 0)+1)), ""), "")</f>
        <v/>
      </c>
      <c r="D503" s="10">
        <f>IFERROR(IF(INDEX(ERP資料!$E:$E, (MATCH(502, 輔助計算!$F$2:$F$801, 0)+1))="","",TRIM(INDEX(ERP資料!$E:$E, (MATCH(502, 輔助計算!$F$2:$F$801, 0)+1)))), "")</f>
        <v/>
      </c>
      <c r="E503" s="10">
        <f>IFERROR(IF(INDEX(ERP資料!$F:$F, (MATCH(502, 輔助計算!$F$2:$F$801, 0)+1))="","",INDEX(ERP資料!$F:$F, (MATCH(502, 輔助計算!$F$2:$F$801, 0)+1))), "")</f>
        <v/>
      </c>
      <c r="F503" s="10">
        <f>IFERROR(IF(INDEX(ERP資料!$G:$G, (MATCH(502, 輔助計算!$F$2:$F$801, 0)+1))="","",INDEX(ERP資料!$G:$G, (MATCH(502, 輔助計算!$F$2:$F$801, 0)+1))), "")</f>
        <v/>
      </c>
      <c r="G503" s="10">
        <f>IFERROR(IF(INDEX(ERP資料!$H:$H, (MATCH(502, 輔助計算!$F$2:$F$801, 0)+1))="","",INDEX(ERP資料!$H:$H, (MATCH(502, 輔助計算!$F$2:$F$801, 0)+1))), "")</f>
        <v/>
      </c>
      <c r="H503" s="10">
        <f>IFERROR(IF(INDEX(ERP資料!$O:$O, (MATCH(502, 輔助計算!$F$2:$F$801, 0)+1))="","",INDEX(ERP資料!$O:$O, (MATCH(502, 輔助計算!$F$2:$F$801, 0)+1))), "")</f>
        <v/>
      </c>
      <c r="I503" s="15">
        <f>IFERROR(IF(INDEX(輔助計算!$D:$D,(MATCH(502, 輔助計算!$F$2:$F$801, 0)+1))="","",INDEX(輔助計算!$D:$D,(MATCH(502, 輔助計算!$F$2:$F$801, 0)+1))*INDEX(ERP資料!$O:$O,(MATCH(502, 輔助計算!$F$2:$F$801, 0)+1))), "")</f>
        <v/>
      </c>
      <c r="J503" s="16" t="n"/>
      <c r="K503" s="15">
        <f>IFERROR(INDEX(輔助計算!$D:$D, (MATCH(502, 輔助計算!$F$2:$F$801, 0)+1)), "")</f>
        <v/>
      </c>
      <c r="L503" s="16">
        <f>IFERROR(IF(AND(IFERROR(VLOOKUP(LEFT(INDEX(ERP資料!$S:$S, (MATCH(502, 輔助計算!$F$2:$F$801, 0)+1)), 4), 100張客戶!$A:$A, 1, FALSE), "")&lt;&gt;"", OR(INDEX(ERP資料!$F:$F, (MATCH(502, 輔助計算!$F$2:$F$801, 0)+1))=270, INDEX(ERP資料!$F:$F, (MATCH(502, 輔助計算!$F$2:$F$801, 0)+1))=300)), "100張", ""), "")</f>
        <v/>
      </c>
      <c r="M503" s="17" t="n"/>
      <c r="N503" s="17">
        <f>IF($F503="","",$F503)</f>
        <v/>
      </c>
      <c r="O503" s="17">
        <f>IF($G503="","",$G503)</f>
        <v/>
      </c>
      <c r="P503" s="17">
        <f>IF($K503="","",$K503)</f>
        <v/>
      </c>
      <c r="Q503" s="16" t="n"/>
      <c r="R503" s="18" t="n"/>
      <c r="S503" s="16" t="n"/>
    </row>
    <row r="504">
      <c r="A504" s="14">
        <f>IFERROR(IF(AND(IFERROR(INDEX(ERP資料!$A:$A, (MATCH(503, 輔助計算!$F$2:$F$801, 0)+1)), "")&lt;&gt;"", IFERROR(INDEX(ERP資料!$A:$A, (MATCH(503, 輔助計算!$F$2:$F$801, 0)+1)), "")&lt;&gt;IFERROR(INDEX(ERP資料!$A:$A, MATCH(502, 輔助計算!$F$2:$F$801, 0)+1), "")), INDEX(ERP資料!$B:$B, (MATCH(503, 輔助計算!$F$2:$F$801, 0)+1)), ""), "")</f>
        <v/>
      </c>
      <c r="B504" s="10">
        <f>IFERROR(IF(AND(IFERROR(INDEX(ERP資料!$A:$A, (MATCH(503, 輔助計算!$F$2:$F$801, 0)+1)), "")&lt;&gt;"", IFERROR(INDEX(ERP資料!$A:$A, (MATCH(503, 輔助計算!$F$2:$F$801, 0)+1)), "")&lt;&gt;IFERROR(INDEX(ERP資料!$A:$A, MATCH(502, 輔助計算!$F$2:$F$801, 0)+1), "")), IFERROR(INDEX(ERP資料!$A:$A, (MATCH(503, 輔助計算!$F$2:$F$801, 0)+1)), ""), ""), "")</f>
        <v/>
      </c>
      <c r="C504" s="10">
        <f>IFERROR(IF(AND(IFERROR(INDEX(ERP資料!$A:$A, (MATCH(503, 輔助計算!$F$2:$F$801, 0)+1)), "")&lt;&gt;"", IFERROR(INDEX(ERP資料!$A:$A, (MATCH(503, 輔助計算!$F$2:$F$801, 0)+1)), "")&lt;&gt;IFERROR(INDEX(ERP資料!$A:$A, MATCH(502, 輔助計算!$F$2:$F$801, 0)+1), "")), INDEX(ERP資料!$S:$S, (MATCH(503, 輔助計算!$F$2:$F$801, 0)+1)), ""), "")</f>
        <v/>
      </c>
      <c r="D504" s="10">
        <f>IFERROR(IF(INDEX(ERP資料!$E:$E, (MATCH(503, 輔助計算!$F$2:$F$801, 0)+1))="","",TRIM(INDEX(ERP資料!$E:$E, (MATCH(503, 輔助計算!$F$2:$F$801, 0)+1)))), "")</f>
        <v/>
      </c>
      <c r="E504" s="10">
        <f>IFERROR(IF(INDEX(ERP資料!$F:$F, (MATCH(503, 輔助計算!$F$2:$F$801, 0)+1))="","",INDEX(ERP資料!$F:$F, (MATCH(503, 輔助計算!$F$2:$F$801, 0)+1))), "")</f>
        <v/>
      </c>
      <c r="F504" s="10">
        <f>IFERROR(IF(INDEX(ERP資料!$G:$G, (MATCH(503, 輔助計算!$F$2:$F$801, 0)+1))="","",INDEX(ERP資料!$G:$G, (MATCH(503, 輔助計算!$F$2:$F$801, 0)+1))), "")</f>
        <v/>
      </c>
      <c r="G504" s="10">
        <f>IFERROR(IF(INDEX(ERP資料!$H:$H, (MATCH(503, 輔助計算!$F$2:$F$801, 0)+1))="","",INDEX(ERP資料!$H:$H, (MATCH(503, 輔助計算!$F$2:$F$801, 0)+1))), "")</f>
        <v/>
      </c>
      <c r="H504" s="10">
        <f>IFERROR(IF(INDEX(ERP資料!$O:$O, (MATCH(503, 輔助計算!$F$2:$F$801, 0)+1))="","",INDEX(ERP資料!$O:$O, (MATCH(503, 輔助計算!$F$2:$F$801, 0)+1))), "")</f>
        <v/>
      </c>
      <c r="I504" s="15">
        <f>IFERROR(IF(INDEX(輔助計算!$D:$D,(MATCH(503, 輔助計算!$F$2:$F$801, 0)+1))="","",INDEX(輔助計算!$D:$D,(MATCH(503, 輔助計算!$F$2:$F$801, 0)+1))*INDEX(ERP資料!$O:$O,(MATCH(503, 輔助計算!$F$2:$F$801, 0)+1))), "")</f>
        <v/>
      </c>
      <c r="J504" s="16" t="n"/>
      <c r="K504" s="15">
        <f>IFERROR(INDEX(輔助計算!$D:$D, (MATCH(503, 輔助計算!$F$2:$F$801, 0)+1)), "")</f>
        <v/>
      </c>
      <c r="L504" s="16">
        <f>IFERROR(IF(AND(IFERROR(VLOOKUP(LEFT(INDEX(ERP資料!$S:$S, (MATCH(503, 輔助計算!$F$2:$F$801, 0)+1)), 4), 100張客戶!$A:$A, 1, FALSE), "")&lt;&gt;"", OR(INDEX(ERP資料!$F:$F, (MATCH(503, 輔助計算!$F$2:$F$801, 0)+1))=270, INDEX(ERP資料!$F:$F, (MATCH(503, 輔助計算!$F$2:$F$801, 0)+1))=300)), "100張", ""), "")</f>
        <v/>
      </c>
      <c r="M504" s="17" t="n"/>
      <c r="N504" s="17">
        <f>IF($F504="","",$F504)</f>
        <v/>
      </c>
      <c r="O504" s="17">
        <f>IF($G504="","",$G504)</f>
        <v/>
      </c>
      <c r="P504" s="17">
        <f>IF($K504="","",$K504)</f>
        <v/>
      </c>
      <c r="Q504" s="16" t="n"/>
      <c r="R504" s="18" t="n"/>
      <c r="S504" s="16" t="n"/>
    </row>
    <row r="505">
      <c r="A505" s="14">
        <f>IFERROR(IF(AND(IFERROR(INDEX(ERP資料!$A:$A, (MATCH(504, 輔助計算!$F$2:$F$801, 0)+1)), "")&lt;&gt;"", IFERROR(INDEX(ERP資料!$A:$A, (MATCH(504, 輔助計算!$F$2:$F$801, 0)+1)), "")&lt;&gt;IFERROR(INDEX(ERP資料!$A:$A, MATCH(503, 輔助計算!$F$2:$F$801, 0)+1), "")), INDEX(ERP資料!$B:$B, (MATCH(504, 輔助計算!$F$2:$F$801, 0)+1)), ""), "")</f>
        <v/>
      </c>
      <c r="B505" s="10">
        <f>IFERROR(IF(AND(IFERROR(INDEX(ERP資料!$A:$A, (MATCH(504, 輔助計算!$F$2:$F$801, 0)+1)), "")&lt;&gt;"", IFERROR(INDEX(ERP資料!$A:$A, (MATCH(504, 輔助計算!$F$2:$F$801, 0)+1)), "")&lt;&gt;IFERROR(INDEX(ERP資料!$A:$A, MATCH(503, 輔助計算!$F$2:$F$801, 0)+1), "")), IFERROR(INDEX(ERP資料!$A:$A, (MATCH(504, 輔助計算!$F$2:$F$801, 0)+1)), ""), ""), "")</f>
        <v/>
      </c>
      <c r="C505" s="10">
        <f>IFERROR(IF(AND(IFERROR(INDEX(ERP資料!$A:$A, (MATCH(504, 輔助計算!$F$2:$F$801, 0)+1)), "")&lt;&gt;"", IFERROR(INDEX(ERP資料!$A:$A, (MATCH(504, 輔助計算!$F$2:$F$801, 0)+1)), "")&lt;&gt;IFERROR(INDEX(ERP資料!$A:$A, MATCH(503, 輔助計算!$F$2:$F$801, 0)+1), "")), INDEX(ERP資料!$S:$S, (MATCH(504, 輔助計算!$F$2:$F$801, 0)+1)), ""), "")</f>
        <v/>
      </c>
      <c r="D505" s="10">
        <f>IFERROR(IF(INDEX(ERP資料!$E:$E, (MATCH(504, 輔助計算!$F$2:$F$801, 0)+1))="","",TRIM(INDEX(ERP資料!$E:$E, (MATCH(504, 輔助計算!$F$2:$F$801, 0)+1)))), "")</f>
        <v/>
      </c>
      <c r="E505" s="10">
        <f>IFERROR(IF(INDEX(ERP資料!$F:$F, (MATCH(504, 輔助計算!$F$2:$F$801, 0)+1))="","",INDEX(ERP資料!$F:$F, (MATCH(504, 輔助計算!$F$2:$F$801, 0)+1))), "")</f>
        <v/>
      </c>
      <c r="F505" s="10">
        <f>IFERROR(IF(INDEX(ERP資料!$G:$G, (MATCH(504, 輔助計算!$F$2:$F$801, 0)+1))="","",INDEX(ERP資料!$G:$G, (MATCH(504, 輔助計算!$F$2:$F$801, 0)+1))), "")</f>
        <v/>
      </c>
      <c r="G505" s="10">
        <f>IFERROR(IF(INDEX(ERP資料!$H:$H, (MATCH(504, 輔助計算!$F$2:$F$801, 0)+1))="","",INDEX(ERP資料!$H:$H, (MATCH(504, 輔助計算!$F$2:$F$801, 0)+1))), "")</f>
        <v/>
      </c>
      <c r="H505" s="10">
        <f>IFERROR(IF(INDEX(ERP資料!$O:$O, (MATCH(504, 輔助計算!$F$2:$F$801, 0)+1))="","",INDEX(ERP資料!$O:$O, (MATCH(504, 輔助計算!$F$2:$F$801, 0)+1))), "")</f>
        <v/>
      </c>
      <c r="I505" s="15">
        <f>IFERROR(IF(INDEX(輔助計算!$D:$D,(MATCH(504, 輔助計算!$F$2:$F$801, 0)+1))="","",INDEX(輔助計算!$D:$D,(MATCH(504, 輔助計算!$F$2:$F$801, 0)+1))*INDEX(ERP資料!$O:$O,(MATCH(504, 輔助計算!$F$2:$F$801, 0)+1))), "")</f>
        <v/>
      </c>
      <c r="J505" s="16" t="n"/>
      <c r="K505" s="15">
        <f>IFERROR(INDEX(輔助計算!$D:$D, (MATCH(504, 輔助計算!$F$2:$F$801, 0)+1)), "")</f>
        <v/>
      </c>
      <c r="L505" s="16">
        <f>IFERROR(IF(AND(IFERROR(VLOOKUP(LEFT(INDEX(ERP資料!$S:$S, (MATCH(504, 輔助計算!$F$2:$F$801, 0)+1)), 4), 100張客戶!$A:$A, 1, FALSE), "")&lt;&gt;"", OR(INDEX(ERP資料!$F:$F, (MATCH(504, 輔助計算!$F$2:$F$801, 0)+1))=270, INDEX(ERP資料!$F:$F, (MATCH(504, 輔助計算!$F$2:$F$801, 0)+1))=300)), "100張", ""), "")</f>
        <v/>
      </c>
      <c r="M505" s="17" t="n"/>
      <c r="N505" s="17">
        <f>IF($F505="","",$F505)</f>
        <v/>
      </c>
      <c r="O505" s="17">
        <f>IF($G505="","",$G505)</f>
        <v/>
      </c>
      <c r="P505" s="17">
        <f>IF($K505="","",$K505)</f>
        <v/>
      </c>
      <c r="Q505" s="16" t="n"/>
      <c r="R505" s="18" t="n"/>
      <c r="S505" s="16" t="n"/>
    </row>
    <row r="506">
      <c r="A506" s="14">
        <f>IFERROR(IF(AND(IFERROR(INDEX(ERP資料!$A:$A, (MATCH(505, 輔助計算!$F$2:$F$801, 0)+1)), "")&lt;&gt;"", IFERROR(INDEX(ERP資料!$A:$A, (MATCH(505, 輔助計算!$F$2:$F$801, 0)+1)), "")&lt;&gt;IFERROR(INDEX(ERP資料!$A:$A, MATCH(504, 輔助計算!$F$2:$F$801, 0)+1), "")), INDEX(ERP資料!$B:$B, (MATCH(505, 輔助計算!$F$2:$F$801, 0)+1)), ""), "")</f>
        <v/>
      </c>
      <c r="B506" s="10">
        <f>IFERROR(IF(AND(IFERROR(INDEX(ERP資料!$A:$A, (MATCH(505, 輔助計算!$F$2:$F$801, 0)+1)), "")&lt;&gt;"", IFERROR(INDEX(ERP資料!$A:$A, (MATCH(505, 輔助計算!$F$2:$F$801, 0)+1)), "")&lt;&gt;IFERROR(INDEX(ERP資料!$A:$A, MATCH(504, 輔助計算!$F$2:$F$801, 0)+1), "")), IFERROR(INDEX(ERP資料!$A:$A, (MATCH(505, 輔助計算!$F$2:$F$801, 0)+1)), ""), ""), "")</f>
        <v/>
      </c>
      <c r="C506" s="10">
        <f>IFERROR(IF(AND(IFERROR(INDEX(ERP資料!$A:$A, (MATCH(505, 輔助計算!$F$2:$F$801, 0)+1)), "")&lt;&gt;"", IFERROR(INDEX(ERP資料!$A:$A, (MATCH(505, 輔助計算!$F$2:$F$801, 0)+1)), "")&lt;&gt;IFERROR(INDEX(ERP資料!$A:$A, MATCH(504, 輔助計算!$F$2:$F$801, 0)+1), "")), INDEX(ERP資料!$S:$S, (MATCH(505, 輔助計算!$F$2:$F$801, 0)+1)), ""), "")</f>
        <v/>
      </c>
      <c r="D506" s="10">
        <f>IFERROR(IF(INDEX(ERP資料!$E:$E, (MATCH(505, 輔助計算!$F$2:$F$801, 0)+1))="","",TRIM(INDEX(ERP資料!$E:$E, (MATCH(505, 輔助計算!$F$2:$F$801, 0)+1)))), "")</f>
        <v/>
      </c>
      <c r="E506" s="10">
        <f>IFERROR(IF(INDEX(ERP資料!$F:$F, (MATCH(505, 輔助計算!$F$2:$F$801, 0)+1))="","",INDEX(ERP資料!$F:$F, (MATCH(505, 輔助計算!$F$2:$F$801, 0)+1))), "")</f>
        <v/>
      </c>
      <c r="F506" s="10">
        <f>IFERROR(IF(INDEX(ERP資料!$G:$G, (MATCH(505, 輔助計算!$F$2:$F$801, 0)+1))="","",INDEX(ERP資料!$G:$G, (MATCH(505, 輔助計算!$F$2:$F$801, 0)+1))), "")</f>
        <v/>
      </c>
      <c r="G506" s="10">
        <f>IFERROR(IF(INDEX(ERP資料!$H:$H, (MATCH(505, 輔助計算!$F$2:$F$801, 0)+1))="","",INDEX(ERP資料!$H:$H, (MATCH(505, 輔助計算!$F$2:$F$801, 0)+1))), "")</f>
        <v/>
      </c>
      <c r="H506" s="10">
        <f>IFERROR(IF(INDEX(ERP資料!$O:$O, (MATCH(505, 輔助計算!$F$2:$F$801, 0)+1))="","",INDEX(ERP資料!$O:$O, (MATCH(505, 輔助計算!$F$2:$F$801, 0)+1))), "")</f>
        <v/>
      </c>
      <c r="I506" s="15">
        <f>IFERROR(IF(INDEX(輔助計算!$D:$D,(MATCH(505, 輔助計算!$F$2:$F$801, 0)+1))="","",INDEX(輔助計算!$D:$D,(MATCH(505, 輔助計算!$F$2:$F$801, 0)+1))*INDEX(ERP資料!$O:$O,(MATCH(505, 輔助計算!$F$2:$F$801, 0)+1))), "")</f>
        <v/>
      </c>
      <c r="J506" s="16" t="n"/>
      <c r="K506" s="15">
        <f>IFERROR(INDEX(輔助計算!$D:$D, (MATCH(505, 輔助計算!$F$2:$F$801, 0)+1)), "")</f>
        <v/>
      </c>
      <c r="L506" s="16">
        <f>IFERROR(IF(AND(IFERROR(VLOOKUP(LEFT(INDEX(ERP資料!$S:$S, (MATCH(505, 輔助計算!$F$2:$F$801, 0)+1)), 4), 100張客戶!$A:$A, 1, FALSE), "")&lt;&gt;"", OR(INDEX(ERP資料!$F:$F, (MATCH(505, 輔助計算!$F$2:$F$801, 0)+1))=270, INDEX(ERP資料!$F:$F, (MATCH(505, 輔助計算!$F$2:$F$801, 0)+1))=300)), "100張", ""), "")</f>
        <v/>
      </c>
      <c r="M506" s="17" t="n"/>
      <c r="N506" s="17">
        <f>IF($F506="","",$F506)</f>
        <v/>
      </c>
      <c r="O506" s="17">
        <f>IF($G506="","",$G506)</f>
        <v/>
      </c>
      <c r="P506" s="17">
        <f>IF($K506="","",$K506)</f>
        <v/>
      </c>
      <c r="Q506" s="16" t="n"/>
      <c r="R506" s="18" t="n"/>
      <c r="S506" s="16" t="n"/>
    </row>
    <row r="507">
      <c r="A507" s="14">
        <f>IFERROR(IF(AND(IFERROR(INDEX(ERP資料!$A:$A, (MATCH(506, 輔助計算!$F$2:$F$801, 0)+1)), "")&lt;&gt;"", IFERROR(INDEX(ERP資料!$A:$A, (MATCH(506, 輔助計算!$F$2:$F$801, 0)+1)), "")&lt;&gt;IFERROR(INDEX(ERP資料!$A:$A, MATCH(505, 輔助計算!$F$2:$F$801, 0)+1), "")), INDEX(ERP資料!$B:$B, (MATCH(506, 輔助計算!$F$2:$F$801, 0)+1)), ""), "")</f>
        <v/>
      </c>
      <c r="B507" s="10">
        <f>IFERROR(IF(AND(IFERROR(INDEX(ERP資料!$A:$A, (MATCH(506, 輔助計算!$F$2:$F$801, 0)+1)), "")&lt;&gt;"", IFERROR(INDEX(ERP資料!$A:$A, (MATCH(506, 輔助計算!$F$2:$F$801, 0)+1)), "")&lt;&gt;IFERROR(INDEX(ERP資料!$A:$A, MATCH(505, 輔助計算!$F$2:$F$801, 0)+1), "")), IFERROR(INDEX(ERP資料!$A:$A, (MATCH(506, 輔助計算!$F$2:$F$801, 0)+1)), ""), ""), "")</f>
        <v/>
      </c>
      <c r="C507" s="10">
        <f>IFERROR(IF(AND(IFERROR(INDEX(ERP資料!$A:$A, (MATCH(506, 輔助計算!$F$2:$F$801, 0)+1)), "")&lt;&gt;"", IFERROR(INDEX(ERP資料!$A:$A, (MATCH(506, 輔助計算!$F$2:$F$801, 0)+1)), "")&lt;&gt;IFERROR(INDEX(ERP資料!$A:$A, MATCH(505, 輔助計算!$F$2:$F$801, 0)+1), "")), INDEX(ERP資料!$S:$S, (MATCH(506, 輔助計算!$F$2:$F$801, 0)+1)), ""), "")</f>
        <v/>
      </c>
      <c r="D507" s="10">
        <f>IFERROR(IF(INDEX(ERP資料!$E:$E, (MATCH(506, 輔助計算!$F$2:$F$801, 0)+1))="","",TRIM(INDEX(ERP資料!$E:$E, (MATCH(506, 輔助計算!$F$2:$F$801, 0)+1)))), "")</f>
        <v/>
      </c>
      <c r="E507" s="10">
        <f>IFERROR(IF(INDEX(ERP資料!$F:$F, (MATCH(506, 輔助計算!$F$2:$F$801, 0)+1))="","",INDEX(ERP資料!$F:$F, (MATCH(506, 輔助計算!$F$2:$F$801, 0)+1))), "")</f>
        <v/>
      </c>
      <c r="F507" s="10">
        <f>IFERROR(IF(INDEX(ERP資料!$G:$G, (MATCH(506, 輔助計算!$F$2:$F$801, 0)+1))="","",INDEX(ERP資料!$G:$G, (MATCH(506, 輔助計算!$F$2:$F$801, 0)+1))), "")</f>
        <v/>
      </c>
      <c r="G507" s="10">
        <f>IFERROR(IF(INDEX(ERP資料!$H:$H, (MATCH(506, 輔助計算!$F$2:$F$801, 0)+1))="","",INDEX(ERP資料!$H:$H, (MATCH(506, 輔助計算!$F$2:$F$801, 0)+1))), "")</f>
        <v/>
      </c>
      <c r="H507" s="10">
        <f>IFERROR(IF(INDEX(ERP資料!$O:$O, (MATCH(506, 輔助計算!$F$2:$F$801, 0)+1))="","",INDEX(ERP資料!$O:$O, (MATCH(506, 輔助計算!$F$2:$F$801, 0)+1))), "")</f>
        <v/>
      </c>
      <c r="I507" s="15">
        <f>IFERROR(IF(INDEX(輔助計算!$D:$D,(MATCH(506, 輔助計算!$F$2:$F$801, 0)+1))="","",INDEX(輔助計算!$D:$D,(MATCH(506, 輔助計算!$F$2:$F$801, 0)+1))*INDEX(ERP資料!$O:$O,(MATCH(506, 輔助計算!$F$2:$F$801, 0)+1))), "")</f>
        <v/>
      </c>
      <c r="J507" s="16" t="n"/>
      <c r="K507" s="15">
        <f>IFERROR(INDEX(輔助計算!$D:$D, (MATCH(506, 輔助計算!$F$2:$F$801, 0)+1)), "")</f>
        <v/>
      </c>
      <c r="L507" s="16">
        <f>IFERROR(IF(AND(IFERROR(VLOOKUP(LEFT(INDEX(ERP資料!$S:$S, (MATCH(506, 輔助計算!$F$2:$F$801, 0)+1)), 4), 100張客戶!$A:$A, 1, FALSE), "")&lt;&gt;"", OR(INDEX(ERP資料!$F:$F, (MATCH(506, 輔助計算!$F$2:$F$801, 0)+1))=270, INDEX(ERP資料!$F:$F, (MATCH(506, 輔助計算!$F$2:$F$801, 0)+1))=300)), "100張", ""), "")</f>
        <v/>
      </c>
      <c r="M507" s="17" t="n"/>
      <c r="N507" s="17">
        <f>IF($F507="","",$F507)</f>
        <v/>
      </c>
      <c r="O507" s="17">
        <f>IF($G507="","",$G507)</f>
        <v/>
      </c>
      <c r="P507" s="17">
        <f>IF($K507="","",$K507)</f>
        <v/>
      </c>
      <c r="Q507" s="16" t="n"/>
      <c r="R507" s="18" t="n"/>
      <c r="S507" s="16" t="n"/>
    </row>
    <row r="508">
      <c r="A508" s="14">
        <f>IFERROR(IF(AND(IFERROR(INDEX(ERP資料!$A:$A, (MATCH(507, 輔助計算!$F$2:$F$801, 0)+1)), "")&lt;&gt;"", IFERROR(INDEX(ERP資料!$A:$A, (MATCH(507, 輔助計算!$F$2:$F$801, 0)+1)), "")&lt;&gt;IFERROR(INDEX(ERP資料!$A:$A, MATCH(506, 輔助計算!$F$2:$F$801, 0)+1), "")), INDEX(ERP資料!$B:$B, (MATCH(507, 輔助計算!$F$2:$F$801, 0)+1)), ""), "")</f>
        <v/>
      </c>
      <c r="B508" s="10">
        <f>IFERROR(IF(AND(IFERROR(INDEX(ERP資料!$A:$A, (MATCH(507, 輔助計算!$F$2:$F$801, 0)+1)), "")&lt;&gt;"", IFERROR(INDEX(ERP資料!$A:$A, (MATCH(507, 輔助計算!$F$2:$F$801, 0)+1)), "")&lt;&gt;IFERROR(INDEX(ERP資料!$A:$A, MATCH(506, 輔助計算!$F$2:$F$801, 0)+1), "")), IFERROR(INDEX(ERP資料!$A:$A, (MATCH(507, 輔助計算!$F$2:$F$801, 0)+1)), ""), ""), "")</f>
        <v/>
      </c>
      <c r="C508" s="10">
        <f>IFERROR(IF(AND(IFERROR(INDEX(ERP資料!$A:$A, (MATCH(507, 輔助計算!$F$2:$F$801, 0)+1)), "")&lt;&gt;"", IFERROR(INDEX(ERP資料!$A:$A, (MATCH(507, 輔助計算!$F$2:$F$801, 0)+1)), "")&lt;&gt;IFERROR(INDEX(ERP資料!$A:$A, MATCH(506, 輔助計算!$F$2:$F$801, 0)+1), "")), INDEX(ERP資料!$S:$S, (MATCH(507, 輔助計算!$F$2:$F$801, 0)+1)), ""), "")</f>
        <v/>
      </c>
      <c r="D508" s="10">
        <f>IFERROR(IF(INDEX(ERP資料!$E:$E, (MATCH(507, 輔助計算!$F$2:$F$801, 0)+1))="","",TRIM(INDEX(ERP資料!$E:$E, (MATCH(507, 輔助計算!$F$2:$F$801, 0)+1)))), "")</f>
        <v/>
      </c>
      <c r="E508" s="10">
        <f>IFERROR(IF(INDEX(ERP資料!$F:$F, (MATCH(507, 輔助計算!$F$2:$F$801, 0)+1))="","",INDEX(ERP資料!$F:$F, (MATCH(507, 輔助計算!$F$2:$F$801, 0)+1))), "")</f>
        <v/>
      </c>
      <c r="F508" s="10">
        <f>IFERROR(IF(INDEX(ERP資料!$G:$G, (MATCH(507, 輔助計算!$F$2:$F$801, 0)+1))="","",INDEX(ERP資料!$G:$G, (MATCH(507, 輔助計算!$F$2:$F$801, 0)+1))), "")</f>
        <v/>
      </c>
      <c r="G508" s="10">
        <f>IFERROR(IF(INDEX(ERP資料!$H:$H, (MATCH(507, 輔助計算!$F$2:$F$801, 0)+1))="","",INDEX(ERP資料!$H:$H, (MATCH(507, 輔助計算!$F$2:$F$801, 0)+1))), "")</f>
        <v/>
      </c>
      <c r="H508" s="10">
        <f>IFERROR(IF(INDEX(ERP資料!$O:$O, (MATCH(507, 輔助計算!$F$2:$F$801, 0)+1))="","",INDEX(ERP資料!$O:$O, (MATCH(507, 輔助計算!$F$2:$F$801, 0)+1))), "")</f>
        <v/>
      </c>
      <c r="I508" s="15">
        <f>IFERROR(IF(INDEX(輔助計算!$D:$D,(MATCH(507, 輔助計算!$F$2:$F$801, 0)+1))="","",INDEX(輔助計算!$D:$D,(MATCH(507, 輔助計算!$F$2:$F$801, 0)+1))*INDEX(ERP資料!$O:$O,(MATCH(507, 輔助計算!$F$2:$F$801, 0)+1))), "")</f>
        <v/>
      </c>
      <c r="J508" s="16" t="n"/>
      <c r="K508" s="15">
        <f>IFERROR(INDEX(輔助計算!$D:$D, (MATCH(507, 輔助計算!$F$2:$F$801, 0)+1)), "")</f>
        <v/>
      </c>
      <c r="L508" s="16">
        <f>IFERROR(IF(AND(IFERROR(VLOOKUP(LEFT(INDEX(ERP資料!$S:$S, (MATCH(507, 輔助計算!$F$2:$F$801, 0)+1)), 4), 100張客戶!$A:$A, 1, FALSE), "")&lt;&gt;"", OR(INDEX(ERP資料!$F:$F, (MATCH(507, 輔助計算!$F$2:$F$801, 0)+1))=270, INDEX(ERP資料!$F:$F, (MATCH(507, 輔助計算!$F$2:$F$801, 0)+1))=300)), "100張", ""), "")</f>
        <v/>
      </c>
      <c r="M508" s="17" t="n"/>
      <c r="N508" s="17">
        <f>IF($F508="","",$F508)</f>
        <v/>
      </c>
      <c r="O508" s="17">
        <f>IF($G508="","",$G508)</f>
        <v/>
      </c>
      <c r="P508" s="17">
        <f>IF($K508="","",$K508)</f>
        <v/>
      </c>
      <c r="Q508" s="16" t="n"/>
      <c r="R508" s="18" t="n"/>
      <c r="S508" s="16" t="n"/>
    </row>
    <row r="509">
      <c r="A509" s="14">
        <f>IFERROR(IF(AND(IFERROR(INDEX(ERP資料!$A:$A, (MATCH(508, 輔助計算!$F$2:$F$801, 0)+1)), "")&lt;&gt;"", IFERROR(INDEX(ERP資料!$A:$A, (MATCH(508, 輔助計算!$F$2:$F$801, 0)+1)), "")&lt;&gt;IFERROR(INDEX(ERP資料!$A:$A, MATCH(507, 輔助計算!$F$2:$F$801, 0)+1), "")), INDEX(ERP資料!$B:$B, (MATCH(508, 輔助計算!$F$2:$F$801, 0)+1)), ""), "")</f>
        <v/>
      </c>
      <c r="B509" s="10">
        <f>IFERROR(IF(AND(IFERROR(INDEX(ERP資料!$A:$A, (MATCH(508, 輔助計算!$F$2:$F$801, 0)+1)), "")&lt;&gt;"", IFERROR(INDEX(ERP資料!$A:$A, (MATCH(508, 輔助計算!$F$2:$F$801, 0)+1)), "")&lt;&gt;IFERROR(INDEX(ERP資料!$A:$A, MATCH(507, 輔助計算!$F$2:$F$801, 0)+1), "")), IFERROR(INDEX(ERP資料!$A:$A, (MATCH(508, 輔助計算!$F$2:$F$801, 0)+1)), ""), ""), "")</f>
        <v/>
      </c>
      <c r="C509" s="10">
        <f>IFERROR(IF(AND(IFERROR(INDEX(ERP資料!$A:$A, (MATCH(508, 輔助計算!$F$2:$F$801, 0)+1)), "")&lt;&gt;"", IFERROR(INDEX(ERP資料!$A:$A, (MATCH(508, 輔助計算!$F$2:$F$801, 0)+1)), "")&lt;&gt;IFERROR(INDEX(ERP資料!$A:$A, MATCH(507, 輔助計算!$F$2:$F$801, 0)+1), "")), INDEX(ERP資料!$S:$S, (MATCH(508, 輔助計算!$F$2:$F$801, 0)+1)), ""), "")</f>
        <v/>
      </c>
      <c r="D509" s="10">
        <f>IFERROR(IF(INDEX(ERP資料!$E:$E, (MATCH(508, 輔助計算!$F$2:$F$801, 0)+1))="","",TRIM(INDEX(ERP資料!$E:$E, (MATCH(508, 輔助計算!$F$2:$F$801, 0)+1)))), "")</f>
        <v/>
      </c>
      <c r="E509" s="10">
        <f>IFERROR(IF(INDEX(ERP資料!$F:$F, (MATCH(508, 輔助計算!$F$2:$F$801, 0)+1))="","",INDEX(ERP資料!$F:$F, (MATCH(508, 輔助計算!$F$2:$F$801, 0)+1))), "")</f>
        <v/>
      </c>
      <c r="F509" s="10">
        <f>IFERROR(IF(INDEX(ERP資料!$G:$G, (MATCH(508, 輔助計算!$F$2:$F$801, 0)+1))="","",INDEX(ERP資料!$G:$G, (MATCH(508, 輔助計算!$F$2:$F$801, 0)+1))), "")</f>
        <v/>
      </c>
      <c r="G509" s="10">
        <f>IFERROR(IF(INDEX(ERP資料!$H:$H, (MATCH(508, 輔助計算!$F$2:$F$801, 0)+1))="","",INDEX(ERP資料!$H:$H, (MATCH(508, 輔助計算!$F$2:$F$801, 0)+1))), "")</f>
        <v/>
      </c>
      <c r="H509" s="10">
        <f>IFERROR(IF(INDEX(ERP資料!$O:$O, (MATCH(508, 輔助計算!$F$2:$F$801, 0)+1))="","",INDEX(ERP資料!$O:$O, (MATCH(508, 輔助計算!$F$2:$F$801, 0)+1))), "")</f>
        <v/>
      </c>
      <c r="I509" s="15">
        <f>IFERROR(IF(INDEX(輔助計算!$D:$D,(MATCH(508, 輔助計算!$F$2:$F$801, 0)+1))="","",INDEX(輔助計算!$D:$D,(MATCH(508, 輔助計算!$F$2:$F$801, 0)+1))*INDEX(ERP資料!$O:$O,(MATCH(508, 輔助計算!$F$2:$F$801, 0)+1))), "")</f>
        <v/>
      </c>
      <c r="J509" s="16" t="n"/>
      <c r="K509" s="15">
        <f>IFERROR(INDEX(輔助計算!$D:$D, (MATCH(508, 輔助計算!$F$2:$F$801, 0)+1)), "")</f>
        <v/>
      </c>
      <c r="L509" s="16">
        <f>IFERROR(IF(AND(IFERROR(VLOOKUP(LEFT(INDEX(ERP資料!$S:$S, (MATCH(508, 輔助計算!$F$2:$F$801, 0)+1)), 4), 100張客戶!$A:$A, 1, FALSE), "")&lt;&gt;"", OR(INDEX(ERP資料!$F:$F, (MATCH(508, 輔助計算!$F$2:$F$801, 0)+1))=270, INDEX(ERP資料!$F:$F, (MATCH(508, 輔助計算!$F$2:$F$801, 0)+1))=300)), "100張", ""), "")</f>
        <v/>
      </c>
      <c r="M509" s="17" t="n"/>
      <c r="N509" s="17">
        <f>IF($F509="","",$F509)</f>
        <v/>
      </c>
      <c r="O509" s="17">
        <f>IF($G509="","",$G509)</f>
        <v/>
      </c>
      <c r="P509" s="17">
        <f>IF($K509="","",$K509)</f>
        <v/>
      </c>
      <c r="Q509" s="16" t="n"/>
      <c r="R509" s="18" t="n"/>
      <c r="S509" s="16" t="n"/>
    </row>
    <row r="510">
      <c r="A510" s="14">
        <f>IFERROR(IF(AND(IFERROR(INDEX(ERP資料!$A:$A, (MATCH(509, 輔助計算!$F$2:$F$801, 0)+1)), "")&lt;&gt;"", IFERROR(INDEX(ERP資料!$A:$A, (MATCH(509, 輔助計算!$F$2:$F$801, 0)+1)), "")&lt;&gt;IFERROR(INDEX(ERP資料!$A:$A, MATCH(508, 輔助計算!$F$2:$F$801, 0)+1), "")), INDEX(ERP資料!$B:$B, (MATCH(509, 輔助計算!$F$2:$F$801, 0)+1)), ""), "")</f>
        <v/>
      </c>
      <c r="B510" s="10">
        <f>IFERROR(IF(AND(IFERROR(INDEX(ERP資料!$A:$A, (MATCH(509, 輔助計算!$F$2:$F$801, 0)+1)), "")&lt;&gt;"", IFERROR(INDEX(ERP資料!$A:$A, (MATCH(509, 輔助計算!$F$2:$F$801, 0)+1)), "")&lt;&gt;IFERROR(INDEX(ERP資料!$A:$A, MATCH(508, 輔助計算!$F$2:$F$801, 0)+1), "")), IFERROR(INDEX(ERP資料!$A:$A, (MATCH(509, 輔助計算!$F$2:$F$801, 0)+1)), ""), ""), "")</f>
        <v/>
      </c>
      <c r="C510" s="10">
        <f>IFERROR(IF(AND(IFERROR(INDEX(ERP資料!$A:$A, (MATCH(509, 輔助計算!$F$2:$F$801, 0)+1)), "")&lt;&gt;"", IFERROR(INDEX(ERP資料!$A:$A, (MATCH(509, 輔助計算!$F$2:$F$801, 0)+1)), "")&lt;&gt;IFERROR(INDEX(ERP資料!$A:$A, MATCH(508, 輔助計算!$F$2:$F$801, 0)+1), "")), INDEX(ERP資料!$S:$S, (MATCH(509, 輔助計算!$F$2:$F$801, 0)+1)), ""), "")</f>
        <v/>
      </c>
      <c r="D510" s="10">
        <f>IFERROR(IF(INDEX(ERP資料!$E:$E, (MATCH(509, 輔助計算!$F$2:$F$801, 0)+1))="","",TRIM(INDEX(ERP資料!$E:$E, (MATCH(509, 輔助計算!$F$2:$F$801, 0)+1)))), "")</f>
        <v/>
      </c>
      <c r="E510" s="10">
        <f>IFERROR(IF(INDEX(ERP資料!$F:$F, (MATCH(509, 輔助計算!$F$2:$F$801, 0)+1))="","",INDEX(ERP資料!$F:$F, (MATCH(509, 輔助計算!$F$2:$F$801, 0)+1))), "")</f>
        <v/>
      </c>
      <c r="F510" s="10">
        <f>IFERROR(IF(INDEX(ERP資料!$G:$G, (MATCH(509, 輔助計算!$F$2:$F$801, 0)+1))="","",INDEX(ERP資料!$G:$G, (MATCH(509, 輔助計算!$F$2:$F$801, 0)+1))), "")</f>
        <v/>
      </c>
      <c r="G510" s="10">
        <f>IFERROR(IF(INDEX(ERP資料!$H:$H, (MATCH(509, 輔助計算!$F$2:$F$801, 0)+1))="","",INDEX(ERP資料!$H:$H, (MATCH(509, 輔助計算!$F$2:$F$801, 0)+1))), "")</f>
        <v/>
      </c>
      <c r="H510" s="10">
        <f>IFERROR(IF(INDEX(ERP資料!$O:$O, (MATCH(509, 輔助計算!$F$2:$F$801, 0)+1))="","",INDEX(ERP資料!$O:$O, (MATCH(509, 輔助計算!$F$2:$F$801, 0)+1))), "")</f>
        <v/>
      </c>
      <c r="I510" s="15">
        <f>IFERROR(IF(INDEX(輔助計算!$D:$D,(MATCH(509, 輔助計算!$F$2:$F$801, 0)+1))="","",INDEX(輔助計算!$D:$D,(MATCH(509, 輔助計算!$F$2:$F$801, 0)+1))*INDEX(ERP資料!$O:$O,(MATCH(509, 輔助計算!$F$2:$F$801, 0)+1))), "")</f>
        <v/>
      </c>
      <c r="J510" s="16" t="n"/>
      <c r="K510" s="15">
        <f>IFERROR(INDEX(輔助計算!$D:$D, (MATCH(509, 輔助計算!$F$2:$F$801, 0)+1)), "")</f>
        <v/>
      </c>
      <c r="L510" s="16">
        <f>IFERROR(IF(AND(IFERROR(VLOOKUP(LEFT(INDEX(ERP資料!$S:$S, (MATCH(509, 輔助計算!$F$2:$F$801, 0)+1)), 4), 100張客戶!$A:$A, 1, FALSE), "")&lt;&gt;"", OR(INDEX(ERP資料!$F:$F, (MATCH(509, 輔助計算!$F$2:$F$801, 0)+1))=270, INDEX(ERP資料!$F:$F, (MATCH(509, 輔助計算!$F$2:$F$801, 0)+1))=300)), "100張", ""), "")</f>
        <v/>
      </c>
      <c r="M510" s="17" t="n"/>
      <c r="N510" s="17">
        <f>IF($F510="","",$F510)</f>
        <v/>
      </c>
      <c r="O510" s="17">
        <f>IF($G510="","",$G510)</f>
        <v/>
      </c>
      <c r="P510" s="17">
        <f>IF($K510="","",$K510)</f>
        <v/>
      </c>
      <c r="Q510" s="16" t="n"/>
      <c r="R510" s="18" t="n"/>
      <c r="S510" s="16" t="n"/>
    </row>
    <row r="511">
      <c r="A511" s="14">
        <f>IFERROR(IF(AND(IFERROR(INDEX(ERP資料!$A:$A, (MATCH(510, 輔助計算!$F$2:$F$801, 0)+1)), "")&lt;&gt;"", IFERROR(INDEX(ERP資料!$A:$A, (MATCH(510, 輔助計算!$F$2:$F$801, 0)+1)), "")&lt;&gt;IFERROR(INDEX(ERP資料!$A:$A, MATCH(509, 輔助計算!$F$2:$F$801, 0)+1), "")), INDEX(ERP資料!$B:$B, (MATCH(510, 輔助計算!$F$2:$F$801, 0)+1)), ""), "")</f>
        <v/>
      </c>
      <c r="B511" s="10">
        <f>IFERROR(IF(AND(IFERROR(INDEX(ERP資料!$A:$A, (MATCH(510, 輔助計算!$F$2:$F$801, 0)+1)), "")&lt;&gt;"", IFERROR(INDEX(ERP資料!$A:$A, (MATCH(510, 輔助計算!$F$2:$F$801, 0)+1)), "")&lt;&gt;IFERROR(INDEX(ERP資料!$A:$A, MATCH(509, 輔助計算!$F$2:$F$801, 0)+1), "")), IFERROR(INDEX(ERP資料!$A:$A, (MATCH(510, 輔助計算!$F$2:$F$801, 0)+1)), ""), ""), "")</f>
        <v/>
      </c>
      <c r="C511" s="10">
        <f>IFERROR(IF(AND(IFERROR(INDEX(ERP資料!$A:$A, (MATCH(510, 輔助計算!$F$2:$F$801, 0)+1)), "")&lt;&gt;"", IFERROR(INDEX(ERP資料!$A:$A, (MATCH(510, 輔助計算!$F$2:$F$801, 0)+1)), "")&lt;&gt;IFERROR(INDEX(ERP資料!$A:$A, MATCH(509, 輔助計算!$F$2:$F$801, 0)+1), "")), INDEX(ERP資料!$S:$S, (MATCH(510, 輔助計算!$F$2:$F$801, 0)+1)), ""), "")</f>
        <v/>
      </c>
      <c r="D511" s="10">
        <f>IFERROR(IF(INDEX(ERP資料!$E:$E, (MATCH(510, 輔助計算!$F$2:$F$801, 0)+1))="","",TRIM(INDEX(ERP資料!$E:$E, (MATCH(510, 輔助計算!$F$2:$F$801, 0)+1)))), "")</f>
        <v/>
      </c>
      <c r="E511" s="10">
        <f>IFERROR(IF(INDEX(ERP資料!$F:$F, (MATCH(510, 輔助計算!$F$2:$F$801, 0)+1))="","",INDEX(ERP資料!$F:$F, (MATCH(510, 輔助計算!$F$2:$F$801, 0)+1))), "")</f>
        <v/>
      </c>
      <c r="F511" s="10">
        <f>IFERROR(IF(INDEX(ERP資料!$G:$G, (MATCH(510, 輔助計算!$F$2:$F$801, 0)+1))="","",INDEX(ERP資料!$G:$G, (MATCH(510, 輔助計算!$F$2:$F$801, 0)+1))), "")</f>
        <v/>
      </c>
      <c r="G511" s="10">
        <f>IFERROR(IF(INDEX(ERP資料!$H:$H, (MATCH(510, 輔助計算!$F$2:$F$801, 0)+1))="","",INDEX(ERP資料!$H:$H, (MATCH(510, 輔助計算!$F$2:$F$801, 0)+1))), "")</f>
        <v/>
      </c>
      <c r="H511" s="10">
        <f>IFERROR(IF(INDEX(ERP資料!$O:$O, (MATCH(510, 輔助計算!$F$2:$F$801, 0)+1))="","",INDEX(ERP資料!$O:$O, (MATCH(510, 輔助計算!$F$2:$F$801, 0)+1))), "")</f>
        <v/>
      </c>
      <c r="I511" s="15">
        <f>IFERROR(IF(INDEX(輔助計算!$D:$D,(MATCH(510, 輔助計算!$F$2:$F$801, 0)+1))="","",INDEX(輔助計算!$D:$D,(MATCH(510, 輔助計算!$F$2:$F$801, 0)+1))*INDEX(ERP資料!$O:$O,(MATCH(510, 輔助計算!$F$2:$F$801, 0)+1))), "")</f>
        <v/>
      </c>
      <c r="J511" s="16" t="n"/>
      <c r="K511" s="15">
        <f>IFERROR(INDEX(輔助計算!$D:$D, (MATCH(510, 輔助計算!$F$2:$F$801, 0)+1)), "")</f>
        <v/>
      </c>
      <c r="L511" s="16">
        <f>IFERROR(IF(AND(IFERROR(VLOOKUP(LEFT(INDEX(ERP資料!$S:$S, (MATCH(510, 輔助計算!$F$2:$F$801, 0)+1)), 4), 100張客戶!$A:$A, 1, FALSE), "")&lt;&gt;"", OR(INDEX(ERP資料!$F:$F, (MATCH(510, 輔助計算!$F$2:$F$801, 0)+1))=270, INDEX(ERP資料!$F:$F, (MATCH(510, 輔助計算!$F$2:$F$801, 0)+1))=300)), "100張", ""), "")</f>
        <v/>
      </c>
      <c r="M511" s="17" t="n"/>
      <c r="N511" s="17">
        <f>IF($F511="","",$F511)</f>
        <v/>
      </c>
      <c r="O511" s="17">
        <f>IF($G511="","",$G511)</f>
        <v/>
      </c>
      <c r="P511" s="17">
        <f>IF($K511="","",$K511)</f>
        <v/>
      </c>
      <c r="Q511" s="16" t="n"/>
      <c r="R511" s="18" t="n"/>
      <c r="S511" s="16" t="n"/>
    </row>
    <row r="512">
      <c r="A512" s="14">
        <f>IFERROR(IF(AND(IFERROR(INDEX(ERP資料!$A:$A, (MATCH(511, 輔助計算!$F$2:$F$801, 0)+1)), "")&lt;&gt;"", IFERROR(INDEX(ERP資料!$A:$A, (MATCH(511, 輔助計算!$F$2:$F$801, 0)+1)), "")&lt;&gt;IFERROR(INDEX(ERP資料!$A:$A, MATCH(510, 輔助計算!$F$2:$F$801, 0)+1), "")), INDEX(ERP資料!$B:$B, (MATCH(511, 輔助計算!$F$2:$F$801, 0)+1)), ""), "")</f>
        <v/>
      </c>
      <c r="B512" s="10">
        <f>IFERROR(IF(AND(IFERROR(INDEX(ERP資料!$A:$A, (MATCH(511, 輔助計算!$F$2:$F$801, 0)+1)), "")&lt;&gt;"", IFERROR(INDEX(ERP資料!$A:$A, (MATCH(511, 輔助計算!$F$2:$F$801, 0)+1)), "")&lt;&gt;IFERROR(INDEX(ERP資料!$A:$A, MATCH(510, 輔助計算!$F$2:$F$801, 0)+1), "")), IFERROR(INDEX(ERP資料!$A:$A, (MATCH(511, 輔助計算!$F$2:$F$801, 0)+1)), ""), ""), "")</f>
        <v/>
      </c>
      <c r="C512" s="10">
        <f>IFERROR(IF(AND(IFERROR(INDEX(ERP資料!$A:$A, (MATCH(511, 輔助計算!$F$2:$F$801, 0)+1)), "")&lt;&gt;"", IFERROR(INDEX(ERP資料!$A:$A, (MATCH(511, 輔助計算!$F$2:$F$801, 0)+1)), "")&lt;&gt;IFERROR(INDEX(ERP資料!$A:$A, MATCH(510, 輔助計算!$F$2:$F$801, 0)+1), "")), INDEX(ERP資料!$S:$S, (MATCH(511, 輔助計算!$F$2:$F$801, 0)+1)), ""), "")</f>
        <v/>
      </c>
      <c r="D512" s="10">
        <f>IFERROR(IF(INDEX(ERP資料!$E:$E, (MATCH(511, 輔助計算!$F$2:$F$801, 0)+1))="","",TRIM(INDEX(ERP資料!$E:$E, (MATCH(511, 輔助計算!$F$2:$F$801, 0)+1)))), "")</f>
        <v/>
      </c>
      <c r="E512" s="10">
        <f>IFERROR(IF(INDEX(ERP資料!$F:$F, (MATCH(511, 輔助計算!$F$2:$F$801, 0)+1))="","",INDEX(ERP資料!$F:$F, (MATCH(511, 輔助計算!$F$2:$F$801, 0)+1))), "")</f>
        <v/>
      </c>
      <c r="F512" s="10">
        <f>IFERROR(IF(INDEX(ERP資料!$G:$G, (MATCH(511, 輔助計算!$F$2:$F$801, 0)+1))="","",INDEX(ERP資料!$G:$G, (MATCH(511, 輔助計算!$F$2:$F$801, 0)+1))), "")</f>
        <v/>
      </c>
      <c r="G512" s="10">
        <f>IFERROR(IF(INDEX(ERP資料!$H:$H, (MATCH(511, 輔助計算!$F$2:$F$801, 0)+1))="","",INDEX(ERP資料!$H:$H, (MATCH(511, 輔助計算!$F$2:$F$801, 0)+1))), "")</f>
        <v/>
      </c>
      <c r="H512" s="10">
        <f>IFERROR(IF(INDEX(ERP資料!$O:$O, (MATCH(511, 輔助計算!$F$2:$F$801, 0)+1))="","",INDEX(ERP資料!$O:$O, (MATCH(511, 輔助計算!$F$2:$F$801, 0)+1))), "")</f>
        <v/>
      </c>
      <c r="I512" s="15">
        <f>IFERROR(IF(INDEX(輔助計算!$D:$D,(MATCH(511, 輔助計算!$F$2:$F$801, 0)+1))="","",INDEX(輔助計算!$D:$D,(MATCH(511, 輔助計算!$F$2:$F$801, 0)+1))*INDEX(ERP資料!$O:$O,(MATCH(511, 輔助計算!$F$2:$F$801, 0)+1))), "")</f>
        <v/>
      </c>
      <c r="J512" s="16" t="n"/>
      <c r="K512" s="15">
        <f>IFERROR(INDEX(輔助計算!$D:$D, (MATCH(511, 輔助計算!$F$2:$F$801, 0)+1)), "")</f>
        <v/>
      </c>
      <c r="L512" s="16">
        <f>IFERROR(IF(AND(IFERROR(VLOOKUP(LEFT(INDEX(ERP資料!$S:$S, (MATCH(511, 輔助計算!$F$2:$F$801, 0)+1)), 4), 100張客戶!$A:$A, 1, FALSE), "")&lt;&gt;"", OR(INDEX(ERP資料!$F:$F, (MATCH(511, 輔助計算!$F$2:$F$801, 0)+1))=270, INDEX(ERP資料!$F:$F, (MATCH(511, 輔助計算!$F$2:$F$801, 0)+1))=300)), "100張", ""), "")</f>
        <v/>
      </c>
      <c r="M512" s="17" t="n"/>
      <c r="N512" s="17">
        <f>IF($F512="","",$F512)</f>
        <v/>
      </c>
      <c r="O512" s="17">
        <f>IF($G512="","",$G512)</f>
        <v/>
      </c>
      <c r="P512" s="17">
        <f>IF($K512="","",$K512)</f>
        <v/>
      </c>
      <c r="Q512" s="16" t="n"/>
      <c r="R512" s="18" t="n"/>
      <c r="S512" s="16" t="n"/>
    </row>
    <row r="513">
      <c r="A513" s="14">
        <f>IFERROR(IF(AND(IFERROR(INDEX(ERP資料!$A:$A, (MATCH(512, 輔助計算!$F$2:$F$801, 0)+1)), "")&lt;&gt;"", IFERROR(INDEX(ERP資料!$A:$A, (MATCH(512, 輔助計算!$F$2:$F$801, 0)+1)), "")&lt;&gt;IFERROR(INDEX(ERP資料!$A:$A, MATCH(511, 輔助計算!$F$2:$F$801, 0)+1), "")), INDEX(ERP資料!$B:$B, (MATCH(512, 輔助計算!$F$2:$F$801, 0)+1)), ""), "")</f>
        <v/>
      </c>
      <c r="B513" s="10">
        <f>IFERROR(IF(AND(IFERROR(INDEX(ERP資料!$A:$A, (MATCH(512, 輔助計算!$F$2:$F$801, 0)+1)), "")&lt;&gt;"", IFERROR(INDEX(ERP資料!$A:$A, (MATCH(512, 輔助計算!$F$2:$F$801, 0)+1)), "")&lt;&gt;IFERROR(INDEX(ERP資料!$A:$A, MATCH(511, 輔助計算!$F$2:$F$801, 0)+1), "")), IFERROR(INDEX(ERP資料!$A:$A, (MATCH(512, 輔助計算!$F$2:$F$801, 0)+1)), ""), ""), "")</f>
        <v/>
      </c>
      <c r="C513" s="10">
        <f>IFERROR(IF(AND(IFERROR(INDEX(ERP資料!$A:$A, (MATCH(512, 輔助計算!$F$2:$F$801, 0)+1)), "")&lt;&gt;"", IFERROR(INDEX(ERP資料!$A:$A, (MATCH(512, 輔助計算!$F$2:$F$801, 0)+1)), "")&lt;&gt;IFERROR(INDEX(ERP資料!$A:$A, MATCH(511, 輔助計算!$F$2:$F$801, 0)+1), "")), INDEX(ERP資料!$S:$S, (MATCH(512, 輔助計算!$F$2:$F$801, 0)+1)), ""), "")</f>
        <v/>
      </c>
      <c r="D513" s="10">
        <f>IFERROR(IF(INDEX(ERP資料!$E:$E, (MATCH(512, 輔助計算!$F$2:$F$801, 0)+1))="","",TRIM(INDEX(ERP資料!$E:$E, (MATCH(512, 輔助計算!$F$2:$F$801, 0)+1)))), "")</f>
        <v/>
      </c>
      <c r="E513" s="10">
        <f>IFERROR(IF(INDEX(ERP資料!$F:$F, (MATCH(512, 輔助計算!$F$2:$F$801, 0)+1))="","",INDEX(ERP資料!$F:$F, (MATCH(512, 輔助計算!$F$2:$F$801, 0)+1))), "")</f>
        <v/>
      </c>
      <c r="F513" s="10">
        <f>IFERROR(IF(INDEX(ERP資料!$G:$G, (MATCH(512, 輔助計算!$F$2:$F$801, 0)+1))="","",INDEX(ERP資料!$G:$G, (MATCH(512, 輔助計算!$F$2:$F$801, 0)+1))), "")</f>
        <v/>
      </c>
      <c r="G513" s="10">
        <f>IFERROR(IF(INDEX(ERP資料!$H:$H, (MATCH(512, 輔助計算!$F$2:$F$801, 0)+1))="","",INDEX(ERP資料!$H:$H, (MATCH(512, 輔助計算!$F$2:$F$801, 0)+1))), "")</f>
        <v/>
      </c>
      <c r="H513" s="10">
        <f>IFERROR(IF(INDEX(ERP資料!$O:$O, (MATCH(512, 輔助計算!$F$2:$F$801, 0)+1))="","",INDEX(ERP資料!$O:$O, (MATCH(512, 輔助計算!$F$2:$F$801, 0)+1))), "")</f>
        <v/>
      </c>
      <c r="I513" s="15">
        <f>IFERROR(IF(INDEX(輔助計算!$D:$D,(MATCH(512, 輔助計算!$F$2:$F$801, 0)+1))="","",INDEX(輔助計算!$D:$D,(MATCH(512, 輔助計算!$F$2:$F$801, 0)+1))*INDEX(ERP資料!$O:$O,(MATCH(512, 輔助計算!$F$2:$F$801, 0)+1))), "")</f>
        <v/>
      </c>
      <c r="J513" s="16" t="n"/>
      <c r="K513" s="15">
        <f>IFERROR(INDEX(輔助計算!$D:$D, (MATCH(512, 輔助計算!$F$2:$F$801, 0)+1)), "")</f>
        <v/>
      </c>
      <c r="L513" s="16">
        <f>IFERROR(IF(AND(IFERROR(VLOOKUP(LEFT(INDEX(ERP資料!$S:$S, (MATCH(512, 輔助計算!$F$2:$F$801, 0)+1)), 4), 100張客戶!$A:$A, 1, FALSE), "")&lt;&gt;"", OR(INDEX(ERP資料!$F:$F, (MATCH(512, 輔助計算!$F$2:$F$801, 0)+1))=270, INDEX(ERP資料!$F:$F, (MATCH(512, 輔助計算!$F$2:$F$801, 0)+1))=300)), "100張", ""), "")</f>
        <v/>
      </c>
      <c r="M513" s="17" t="n"/>
      <c r="N513" s="17">
        <f>IF($F513="","",$F513)</f>
        <v/>
      </c>
      <c r="O513" s="17">
        <f>IF($G513="","",$G513)</f>
        <v/>
      </c>
      <c r="P513" s="17">
        <f>IF($K513="","",$K513)</f>
        <v/>
      </c>
      <c r="Q513" s="16" t="n"/>
      <c r="R513" s="18" t="n"/>
      <c r="S513" s="16" t="n"/>
    </row>
    <row r="514">
      <c r="A514" s="14">
        <f>IFERROR(IF(AND(IFERROR(INDEX(ERP資料!$A:$A, (MATCH(513, 輔助計算!$F$2:$F$801, 0)+1)), "")&lt;&gt;"", IFERROR(INDEX(ERP資料!$A:$A, (MATCH(513, 輔助計算!$F$2:$F$801, 0)+1)), "")&lt;&gt;IFERROR(INDEX(ERP資料!$A:$A, MATCH(512, 輔助計算!$F$2:$F$801, 0)+1), "")), INDEX(ERP資料!$B:$B, (MATCH(513, 輔助計算!$F$2:$F$801, 0)+1)), ""), "")</f>
        <v/>
      </c>
      <c r="B514" s="10">
        <f>IFERROR(IF(AND(IFERROR(INDEX(ERP資料!$A:$A, (MATCH(513, 輔助計算!$F$2:$F$801, 0)+1)), "")&lt;&gt;"", IFERROR(INDEX(ERP資料!$A:$A, (MATCH(513, 輔助計算!$F$2:$F$801, 0)+1)), "")&lt;&gt;IFERROR(INDEX(ERP資料!$A:$A, MATCH(512, 輔助計算!$F$2:$F$801, 0)+1), "")), IFERROR(INDEX(ERP資料!$A:$A, (MATCH(513, 輔助計算!$F$2:$F$801, 0)+1)), ""), ""), "")</f>
        <v/>
      </c>
      <c r="C514" s="10">
        <f>IFERROR(IF(AND(IFERROR(INDEX(ERP資料!$A:$A, (MATCH(513, 輔助計算!$F$2:$F$801, 0)+1)), "")&lt;&gt;"", IFERROR(INDEX(ERP資料!$A:$A, (MATCH(513, 輔助計算!$F$2:$F$801, 0)+1)), "")&lt;&gt;IFERROR(INDEX(ERP資料!$A:$A, MATCH(512, 輔助計算!$F$2:$F$801, 0)+1), "")), INDEX(ERP資料!$S:$S, (MATCH(513, 輔助計算!$F$2:$F$801, 0)+1)), ""), "")</f>
        <v/>
      </c>
      <c r="D514" s="10">
        <f>IFERROR(IF(INDEX(ERP資料!$E:$E, (MATCH(513, 輔助計算!$F$2:$F$801, 0)+1))="","",TRIM(INDEX(ERP資料!$E:$E, (MATCH(513, 輔助計算!$F$2:$F$801, 0)+1)))), "")</f>
        <v/>
      </c>
      <c r="E514" s="10">
        <f>IFERROR(IF(INDEX(ERP資料!$F:$F, (MATCH(513, 輔助計算!$F$2:$F$801, 0)+1))="","",INDEX(ERP資料!$F:$F, (MATCH(513, 輔助計算!$F$2:$F$801, 0)+1))), "")</f>
        <v/>
      </c>
      <c r="F514" s="10">
        <f>IFERROR(IF(INDEX(ERP資料!$G:$G, (MATCH(513, 輔助計算!$F$2:$F$801, 0)+1))="","",INDEX(ERP資料!$G:$G, (MATCH(513, 輔助計算!$F$2:$F$801, 0)+1))), "")</f>
        <v/>
      </c>
      <c r="G514" s="10">
        <f>IFERROR(IF(INDEX(ERP資料!$H:$H, (MATCH(513, 輔助計算!$F$2:$F$801, 0)+1))="","",INDEX(ERP資料!$H:$H, (MATCH(513, 輔助計算!$F$2:$F$801, 0)+1))), "")</f>
        <v/>
      </c>
      <c r="H514" s="10">
        <f>IFERROR(IF(INDEX(ERP資料!$O:$O, (MATCH(513, 輔助計算!$F$2:$F$801, 0)+1))="","",INDEX(ERP資料!$O:$O, (MATCH(513, 輔助計算!$F$2:$F$801, 0)+1))), "")</f>
        <v/>
      </c>
      <c r="I514" s="15">
        <f>IFERROR(IF(INDEX(輔助計算!$D:$D,(MATCH(513, 輔助計算!$F$2:$F$801, 0)+1))="","",INDEX(輔助計算!$D:$D,(MATCH(513, 輔助計算!$F$2:$F$801, 0)+1))*INDEX(ERP資料!$O:$O,(MATCH(513, 輔助計算!$F$2:$F$801, 0)+1))), "")</f>
        <v/>
      </c>
      <c r="J514" s="16" t="n"/>
      <c r="K514" s="15">
        <f>IFERROR(INDEX(輔助計算!$D:$D, (MATCH(513, 輔助計算!$F$2:$F$801, 0)+1)), "")</f>
        <v/>
      </c>
      <c r="L514" s="16">
        <f>IFERROR(IF(AND(IFERROR(VLOOKUP(LEFT(INDEX(ERP資料!$S:$S, (MATCH(513, 輔助計算!$F$2:$F$801, 0)+1)), 4), 100張客戶!$A:$A, 1, FALSE), "")&lt;&gt;"", OR(INDEX(ERP資料!$F:$F, (MATCH(513, 輔助計算!$F$2:$F$801, 0)+1))=270, INDEX(ERP資料!$F:$F, (MATCH(513, 輔助計算!$F$2:$F$801, 0)+1))=300)), "100張", ""), "")</f>
        <v/>
      </c>
      <c r="M514" s="17" t="n"/>
      <c r="N514" s="17">
        <f>IF($F514="","",$F514)</f>
        <v/>
      </c>
      <c r="O514" s="17">
        <f>IF($G514="","",$G514)</f>
        <v/>
      </c>
      <c r="P514" s="17">
        <f>IF($K514="","",$K514)</f>
        <v/>
      </c>
      <c r="Q514" s="16" t="n"/>
      <c r="R514" s="18" t="n"/>
      <c r="S514" s="16" t="n"/>
    </row>
    <row r="515">
      <c r="A515" s="14">
        <f>IFERROR(IF(AND(IFERROR(INDEX(ERP資料!$A:$A, (MATCH(514, 輔助計算!$F$2:$F$801, 0)+1)), "")&lt;&gt;"", IFERROR(INDEX(ERP資料!$A:$A, (MATCH(514, 輔助計算!$F$2:$F$801, 0)+1)), "")&lt;&gt;IFERROR(INDEX(ERP資料!$A:$A, MATCH(513, 輔助計算!$F$2:$F$801, 0)+1), "")), INDEX(ERP資料!$B:$B, (MATCH(514, 輔助計算!$F$2:$F$801, 0)+1)), ""), "")</f>
        <v/>
      </c>
      <c r="B515" s="10">
        <f>IFERROR(IF(AND(IFERROR(INDEX(ERP資料!$A:$A, (MATCH(514, 輔助計算!$F$2:$F$801, 0)+1)), "")&lt;&gt;"", IFERROR(INDEX(ERP資料!$A:$A, (MATCH(514, 輔助計算!$F$2:$F$801, 0)+1)), "")&lt;&gt;IFERROR(INDEX(ERP資料!$A:$A, MATCH(513, 輔助計算!$F$2:$F$801, 0)+1), "")), IFERROR(INDEX(ERP資料!$A:$A, (MATCH(514, 輔助計算!$F$2:$F$801, 0)+1)), ""), ""), "")</f>
        <v/>
      </c>
      <c r="C515" s="10">
        <f>IFERROR(IF(AND(IFERROR(INDEX(ERP資料!$A:$A, (MATCH(514, 輔助計算!$F$2:$F$801, 0)+1)), "")&lt;&gt;"", IFERROR(INDEX(ERP資料!$A:$A, (MATCH(514, 輔助計算!$F$2:$F$801, 0)+1)), "")&lt;&gt;IFERROR(INDEX(ERP資料!$A:$A, MATCH(513, 輔助計算!$F$2:$F$801, 0)+1), "")), INDEX(ERP資料!$S:$S, (MATCH(514, 輔助計算!$F$2:$F$801, 0)+1)), ""), "")</f>
        <v/>
      </c>
      <c r="D515" s="10">
        <f>IFERROR(IF(INDEX(ERP資料!$E:$E, (MATCH(514, 輔助計算!$F$2:$F$801, 0)+1))="","",TRIM(INDEX(ERP資料!$E:$E, (MATCH(514, 輔助計算!$F$2:$F$801, 0)+1)))), "")</f>
        <v/>
      </c>
      <c r="E515" s="10">
        <f>IFERROR(IF(INDEX(ERP資料!$F:$F, (MATCH(514, 輔助計算!$F$2:$F$801, 0)+1))="","",INDEX(ERP資料!$F:$F, (MATCH(514, 輔助計算!$F$2:$F$801, 0)+1))), "")</f>
        <v/>
      </c>
      <c r="F515" s="10">
        <f>IFERROR(IF(INDEX(ERP資料!$G:$G, (MATCH(514, 輔助計算!$F$2:$F$801, 0)+1))="","",INDEX(ERP資料!$G:$G, (MATCH(514, 輔助計算!$F$2:$F$801, 0)+1))), "")</f>
        <v/>
      </c>
      <c r="G515" s="10">
        <f>IFERROR(IF(INDEX(ERP資料!$H:$H, (MATCH(514, 輔助計算!$F$2:$F$801, 0)+1))="","",INDEX(ERP資料!$H:$H, (MATCH(514, 輔助計算!$F$2:$F$801, 0)+1))), "")</f>
        <v/>
      </c>
      <c r="H515" s="10">
        <f>IFERROR(IF(INDEX(ERP資料!$O:$O, (MATCH(514, 輔助計算!$F$2:$F$801, 0)+1))="","",INDEX(ERP資料!$O:$O, (MATCH(514, 輔助計算!$F$2:$F$801, 0)+1))), "")</f>
        <v/>
      </c>
      <c r="I515" s="15">
        <f>IFERROR(IF(INDEX(輔助計算!$D:$D,(MATCH(514, 輔助計算!$F$2:$F$801, 0)+1))="","",INDEX(輔助計算!$D:$D,(MATCH(514, 輔助計算!$F$2:$F$801, 0)+1))*INDEX(ERP資料!$O:$O,(MATCH(514, 輔助計算!$F$2:$F$801, 0)+1))), "")</f>
        <v/>
      </c>
      <c r="J515" s="16" t="n"/>
      <c r="K515" s="15">
        <f>IFERROR(INDEX(輔助計算!$D:$D, (MATCH(514, 輔助計算!$F$2:$F$801, 0)+1)), "")</f>
        <v/>
      </c>
      <c r="L515" s="16">
        <f>IFERROR(IF(AND(IFERROR(VLOOKUP(LEFT(INDEX(ERP資料!$S:$S, (MATCH(514, 輔助計算!$F$2:$F$801, 0)+1)), 4), 100張客戶!$A:$A, 1, FALSE), "")&lt;&gt;"", OR(INDEX(ERP資料!$F:$F, (MATCH(514, 輔助計算!$F$2:$F$801, 0)+1))=270, INDEX(ERP資料!$F:$F, (MATCH(514, 輔助計算!$F$2:$F$801, 0)+1))=300)), "100張", ""), "")</f>
        <v/>
      </c>
      <c r="M515" s="17" t="n"/>
      <c r="N515" s="17">
        <f>IF($F515="","",$F515)</f>
        <v/>
      </c>
      <c r="O515" s="17">
        <f>IF($G515="","",$G515)</f>
        <v/>
      </c>
      <c r="P515" s="17">
        <f>IF($K515="","",$K515)</f>
        <v/>
      </c>
      <c r="Q515" s="16" t="n"/>
      <c r="R515" s="18" t="n"/>
      <c r="S515" s="16" t="n"/>
    </row>
    <row r="516">
      <c r="A516" s="14">
        <f>IFERROR(IF(AND(IFERROR(INDEX(ERP資料!$A:$A, (MATCH(515, 輔助計算!$F$2:$F$801, 0)+1)), "")&lt;&gt;"", IFERROR(INDEX(ERP資料!$A:$A, (MATCH(515, 輔助計算!$F$2:$F$801, 0)+1)), "")&lt;&gt;IFERROR(INDEX(ERP資料!$A:$A, MATCH(514, 輔助計算!$F$2:$F$801, 0)+1), "")), INDEX(ERP資料!$B:$B, (MATCH(515, 輔助計算!$F$2:$F$801, 0)+1)), ""), "")</f>
        <v/>
      </c>
      <c r="B516" s="10">
        <f>IFERROR(IF(AND(IFERROR(INDEX(ERP資料!$A:$A, (MATCH(515, 輔助計算!$F$2:$F$801, 0)+1)), "")&lt;&gt;"", IFERROR(INDEX(ERP資料!$A:$A, (MATCH(515, 輔助計算!$F$2:$F$801, 0)+1)), "")&lt;&gt;IFERROR(INDEX(ERP資料!$A:$A, MATCH(514, 輔助計算!$F$2:$F$801, 0)+1), "")), IFERROR(INDEX(ERP資料!$A:$A, (MATCH(515, 輔助計算!$F$2:$F$801, 0)+1)), ""), ""), "")</f>
        <v/>
      </c>
      <c r="C516" s="10">
        <f>IFERROR(IF(AND(IFERROR(INDEX(ERP資料!$A:$A, (MATCH(515, 輔助計算!$F$2:$F$801, 0)+1)), "")&lt;&gt;"", IFERROR(INDEX(ERP資料!$A:$A, (MATCH(515, 輔助計算!$F$2:$F$801, 0)+1)), "")&lt;&gt;IFERROR(INDEX(ERP資料!$A:$A, MATCH(514, 輔助計算!$F$2:$F$801, 0)+1), "")), INDEX(ERP資料!$S:$S, (MATCH(515, 輔助計算!$F$2:$F$801, 0)+1)), ""), "")</f>
        <v/>
      </c>
      <c r="D516" s="10">
        <f>IFERROR(IF(INDEX(ERP資料!$E:$E, (MATCH(515, 輔助計算!$F$2:$F$801, 0)+1))="","",TRIM(INDEX(ERP資料!$E:$E, (MATCH(515, 輔助計算!$F$2:$F$801, 0)+1)))), "")</f>
        <v/>
      </c>
      <c r="E516" s="10">
        <f>IFERROR(IF(INDEX(ERP資料!$F:$F, (MATCH(515, 輔助計算!$F$2:$F$801, 0)+1))="","",INDEX(ERP資料!$F:$F, (MATCH(515, 輔助計算!$F$2:$F$801, 0)+1))), "")</f>
        <v/>
      </c>
      <c r="F516" s="10">
        <f>IFERROR(IF(INDEX(ERP資料!$G:$G, (MATCH(515, 輔助計算!$F$2:$F$801, 0)+1))="","",INDEX(ERP資料!$G:$G, (MATCH(515, 輔助計算!$F$2:$F$801, 0)+1))), "")</f>
        <v/>
      </c>
      <c r="G516" s="10">
        <f>IFERROR(IF(INDEX(ERP資料!$H:$H, (MATCH(515, 輔助計算!$F$2:$F$801, 0)+1))="","",INDEX(ERP資料!$H:$H, (MATCH(515, 輔助計算!$F$2:$F$801, 0)+1))), "")</f>
        <v/>
      </c>
      <c r="H516" s="10">
        <f>IFERROR(IF(INDEX(ERP資料!$O:$O, (MATCH(515, 輔助計算!$F$2:$F$801, 0)+1))="","",INDEX(ERP資料!$O:$O, (MATCH(515, 輔助計算!$F$2:$F$801, 0)+1))), "")</f>
        <v/>
      </c>
      <c r="I516" s="15">
        <f>IFERROR(IF(INDEX(輔助計算!$D:$D,(MATCH(515, 輔助計算!$F$2:$F$801, 0)+1))="","",INDEX(輔助計算!$D:$D,(MATCH(515, 輔助計算!$F$2:$F$801, 0)+1))*INDEX(ERP資料!$O:$O,(MATCH(515, 輔助計算!$F$2:$F$801, 0)+1))), "")</f>
        <v/>
      </c>
      <c r="J516" s="16" t="n"/>
      <c r="K516" s="15">
        <f>IFERROR(INDEX(輔助計算!$D:$D, (MATCH(515, 輔助計算!$F$2:$F$801, 0)+1)), "")</f>
        <v/>
      </c>
      <c r="L516" s="16">
        <f>IFERROR(IF(AND(IFERROR(VLOOKUP(LEFT(INDEX(ERP資料!$S:$S, (MATCH(515, 輔助計算!$F$2:$F$801, 0)+1)), 4), 100張客戶!$A:$A, 1, FALSE), "")&lt;&gt;"", OR(INDEX(ERP資料!$F:$F, (MATCH(515, 輔助計算!$F$2:$F$801, 0)+1))=270, INDEX(ERP資料!$F:$F, (MATCH(515, 輔助計算!$F$2:$F$801, 0)+1))=300)), "100張", ""), "")</f>
        <v/>
      </c>
      <c r="M516" s="17" t="n"/>
      <c r="N516" s="17">
        <f>IF($F516="","",$F516)</f>
        <v/>
      </c>
      <c r="O516" s="17">
        <f>IF($G516="","",$G516)</f>
        <v/>
      </c>
      <c r="P516" s="17">
        <f>IF($K516="","",$K516)</f>
        <v/>
      </c>
      <c r="Q516" s="16" t="n"/>
      <c r="R516" s="18" t="n"/>
      <c r="S516" s="16" t="n"/>
    </row>
    <row r="517">
      <c r="A517" s="14">
        <f>IFERROR(IF(AND(IFERROR(INDEX(ERP資料!$A:$A, (MATCH(516, 輔助計算!$F$2:$F$801, 0)+1)), "")&lt;&gt;"", IFERROR(INDEX(ERP資料!$A:$A, (MATCH(516, 輔助計算!$F$2:$F$801, 0)+1)), "")&lt;&gt;IFERROR(INDEX(ERP資料!$A:$A, MATCH(515, 輔助計算!$F$2:$F$801, 0)+1), "")), INDEX(ERP資料!$B:$B, (MATCH(516, 輔助計算!$F$2:$F$801, 0)+1)), ""), "")</f>
        <v/>
      </c>
      <c r="B517" s="10">
        <f>IFERROR(IF(AND(IFERROR(INDEX(ERP資料!$A:$A, (MATCH(516, 輔助計算!$F$2:$F$801, 0)+1)), "")&lt;&gt;"", IFERROR(INDEX(ERP資料!$A:$A, (MATCH(516, 輔助計算!$F$2:$F$801, 0)+1)), "")&lt;&gt;IFERROR(INDEX(ERP資料!$A:$A, MATCH(515, 輔助計算!$F$2:$F$801, 0)+1), "")), IFERROR(INDEX(ERP資料!$A:$A, (MATCH(516, 輔助計算!$F$2:$F$801, 0)+1)), ""), ""), "")</f>
        <v/>
      </c>
      <c r="C517" s="10">
        <f>IFERROR(IF(AND(IFERROR(INDEX(ERP資料!$A:$A, (MATCH(516, 輔助計算!$F$2:$F$801, 0)+1)), "")&lt;&gt;"", IFERROR(INDEX(ERP資料!$A:$A, (MATCH(516, 輔助計算!$F$2:$F$801, 0)+1)), "")&lt;&gt;IFERROR(INDEX(ERP資料!$A:$A, MATCH(515, 輔助計算!$F$2:$F$801, 0)+1), "")), INDEX(ERP資料!$S:$S, (MATCH(516, 輔助計算!$F$2:$F$801, 0)+1)), ""), "")</f>
        <v/>
      </c>
      <c r="D517" s="10">
        <f>IFERROR(IF(INDEX(ERP資料!$E:$E, (MATCH(516, 輔助計算!$F$2:$F$801, 0)+1))="","",TRIM(INDEX(ERP資料!$E:$E, (MATCH(516, 輔助計算!$F$2:$F$801, 0)+1)))), "")</f>
        <v/>
      </c>
      <c r="E517" s="10">
        <f>IFERROR(IF(INDEX(ERP資料!$F:$F, (MATCH(516, 輔助計算!$F$2:$F$801, 0)+1))="","",INDEX(ERP資料!$F:$F, (MATCH(516, 輔助計算!$F$2:$F$801, 0)+1))), "")</f>
        <v/>
      </c>
      <c r="F517" s="10">
        <f>IFERROR(IF(INDEX(ERP資料!$G:$G, (MATCH(516, 輔助計算!$F$2:$F$801, 0)+1))="","",INDEX(ERP資料!$G:$G, (MATCH(516, 輔助計算!$F$2:$F$801, 0)+1))), "")</f>
        <v/>
      </c>
      <c r="G517" s="10">
        <f>IFERROR(IF(INDEX(ERP資料!$H:$H, (MATCH(516, 輔助計算!$F$2:$F$801, 0)+1))="","",INDEX(ERP資料!$H:$H, (MATCH(516, 輔助計算!$F$2:$F$801, 0)+1))), "")</f>
        <v/>
      </c>
      <c r="H517" s="10">
        <f>IFERROR(IF(INDEX(ERP資料!$O:$O, (MATCH(516, 輔助計算!$F$2:$F$801, 0)+1))="","",INDEX(ERP資料!$O:$O, (MATCH(516, 輔助計算!$F$2:$F$801, 0)+1))), "")</f>
        <v/>
      </c>
      <c r="I517" s="15">
        <f>IFERROR(IF(INDEX(輔助計算!$D:$D,(MATCH(516, 輔助計算!$F$2:$F$801, 0)+1))="","",INDEX(輔助計算!$D:$D,(MATCH(516, 輔助計算!$F$2:$F$801, 0)+1))*INDEX(ERP資料!$O:$O,(MATCH(516, 輔助計算!$F$2:$F$801, 0)+1))), "")</f>
        <v/>
      </c>
      <c r="J517" s="16" t="n"/>
      <c r="K517" s="15">
        <f>IFERROR(INDEX(輔助計算!$D:$D, (MATCH(516, 輔助計算!$F$2:$F$801, 0)+1)), "")</f>
        <v/>
      </c>
      <c r="L517" s="16">
        <f>IFERROR(IF(AND(IFERROR(VLOOKUP(LEFT(INDEX(ERP資料!$S:$S, (MATCH(516, 輔助計算!$F$2:$F$801, 0)+1)), 4), 100張客戶!$A:$A, 1, FALSE), "")&lt;&gt;"", OR(INDEX(ERP資料!$F:$F, (MATCH(516, 輔助計算!$F$2:$F$801, 0)+1))=270, INDEX(ERP資料!$F:$F, (MATCH(516, 輔助計算!$F$2:$F$801, 0)+1))=300)), "100張", ""), "")</f>
        <v/>
      </c>
      <c r="M517" s="17" t="n"/>
      <c r="N517" s="17">
        <f>IF($F517="","",$F517)</f>
        <v/>
      </c>
      <c r="O517" s="17">
        <f>IF($G517="","",$G517)</f>
        <v/>
      </c>
      <c r="P517" s="17">
        <f>IF($K517="","",$K517)</f>
        <v/>
      </c>
      <c r="Q517" s="16" t="n"/>
      <c r="R517" s="18" t="n"/>
      <c r="S517" s="16" t="n"/>
    </row>
    <row r="518">
      <c r="A518" s="14">
        <f>IFERROR(IF(AND(IFERROR(INDEX(ERP資料!$A:$A, (MATCH(517, 輔助計算!$F$2:$F$801, 0)+1)), "")&lt;&gt;"", IFERROR(INDEX(ERP資料!$A:$A, (MATCH(517, 輔助計算!$F$2:$F$801, 0)+1)), "")&lt;&gt;IFERROR(INDEX(ERP資料!$A:$A, MATCH(516, 輔助計算!$F$2:$F$801, 0)+1), "")), INDEX(ERP資料!$B:$B, (MATCH(517, 輔助計算!$F$2:$F$801, 0)+1)), ""), "")</f>
        <v/>
      </c>
      <c r="B518" s="10">
        <f>IFERROR(IF(AND(IFERROR(INDEX(ERP資料!$A:$A, (MATCH(517, 輔助計算!$F$2:$F$801, 0)+1)), "")&lt;&gt;"", IFERROR(INDEX(ERP資料!$A:$A, (MATCH(517, 輔助計算!$F$2:$F$801, 0)+1)), "")&lt;&gt;IFERROR(INDEX(ERP資料!$A:$A, MATCH(516, 輔助計算!$F$2:$F$801, 0)+1), "")), IFERROR(INDEX(ERP資料!$A:$A, (MATCH(517, 輔助計算!$F$2:$F$801, 0)+1)), ""), ""), "")</f>
        <v/>
      </c>
      <c r="C518" s="10">
        <f>IFERROR(IF(AND(IFERROR(INDEX(ERP資料!$A:$A, (MATCH(517, 輔助計算!$F$2:$F$801, 0)+1)), "")&lt;&gt;"", IFERROR(INDEX(ERP資料!$A:$A, (MATCH(517, 輔助計算!$F$2:$F$801, 0)+1)), "")&lt;&gt;IFERROR(INDEX(ERP資料!$A:$A, MATCH(516, 輔助計算!$F$2:$F$801, 0)+1), "")), INDEX(ERP資料!$S:$S, (MATCH(517, 輔助計算!$F$2:$F$801, 0)+1)), ""), "")</f>
        <v/>
      </c>
      <c r="D518" s="10">
        <f>IFERROR(IF(INDEX(ERP資料!$E:$E, (MATCH(517, 輔助計算!$F$2:$F$801, 0)+1))="","",TRIM(INDEX(ERP資料!$E:$E, (MATCH(517, 輔助計算!$F$2:$F$801, 0)+1)))), "")</f>
        <v/>
      </c>
      <c r="E518" s="10">
        <f>IFERROR(IF(INDEX(ERP資料!$F:$F, (MATCH(517, 輔助計算!$F$2:$F$801, 0)+1))="","",INDEX(ERP資料!$F:$F, (MATCH(517, 輔助計算!$F$2:$F$801, 0)+1))), "")</f>
        <v/>
      </c>
      <c r="F518" s="10">
        <f>IFERROR(IF(INDEX(ERP資料!$G:$G, (MATCH(517, 輔助計算!$F$2:$F$801, 0)+1))="","",INDEX(ERP資料!$G:$G, (MATCH(517, 輔助計算!$F$2:$F$801, 0)+1))), "")</f>
        <v/>
      </c>
      <c r="G518" s="10">
        <f>IFERROR(IF(INDEX(ERP資料!$H:$H, (MATCH(517, 輔助計算!$F$2:$F$801, 0)+1))="","",INDEX(ERP資料!$H:$H, (MATCH(517, 輔助計算!$F$2:$F$801, 0)+1))), "")</f>
        <v/>
      </c>
      <c r="H518" s="10">
        <f>IFERROR(IF(INDEX(ERP資料!$O:$O, (MATCH(517, 輔助計算!$F$2:$F$801, 0)+1))="","",INDEX(ERP資料!$O:$O, (MATCH(517, 輔助計算!$F$2:$F$801, 0)+1))), "")</f>
        <v/>
      </c>
      <c r="I518" s="15">
        <f>IFERROR(IF(INDEX(輔助計算!$D:$D,(MATCH(517, 輔助計算!$F$2:$F$801, 0)+1))="","",INDEX(輔助計算!$D:$D,(MATCH(517, 輔助計算!$F$2:$F$801, 0)+1))*INDEX(ERP資料!$O:$O,(MATCH(517, 輔助計算!$F$2:$F$801, 0)+1))), "")</f>
        <v/>
      </c>
      <c r="J518" s="16" t="n"/>
      <c r="K518" s="15">
        <f>IFERROR(INDEX(輔助計算!$D:$D, (MATCH(517, 輔助計算!$F$2:$F$801, 0)+1)), "")</f>
        <v/>
      </c>
      <c r="L518" s="16">
        <f>IFERROR(IF(AND(IFERROR(VLOOKUP(LEFT(INDEX(ERP資料!$S:$S, (MATCH(517, 輔助計算!$F$2:$F$801, 0)+1)), 4), 100張客戶!$A:$A, 1, FALSE), "")&lt;&gt;"", OR(INDEX(ERP資料!$F:$F, (MATCH(517, 輔助計算!$F$2:$F$801, 0)+1))=270, INDEX(ERP資料!$F:$F, (MATCH(517, 輔助計算!$F$2:$F$801, 0)+1))=300)), "100張", ""), "")</f>
        <v/>
      </c>
      <c r="M518" s="17" t="n"/>
      <c r="N518" s="17">
        <f>IF($F518="","",$F518)</f>
        <v/>
      </c>
      <c r="O518" s="17">
        <f>IF($G518="","",$G518)</f>
        <v/>
      </c>
      <c r="P518" s="17">
        <f>IF($K518="","",$K518)</f>
        <v/>
      </c>
      <c r="Q518" s="16" t="n"/>
      <c r="R518" s="18" t="n"/>
      <c r="S518" s="16" t="n"/>
    </row>
    <row r="519">
      <c r="A519" s="14">
        <f>IFERROR(IF(AND(IFERROR(INDEX(ERP資料!$A:$A, (MATCH(518, 輔助計算!$F$2:$F$801, 0)+1)), "")&lt;&gt;"", IFERROR(INDEX(ERP資料!$A:$A, (MATCH(518, 輔助計算!$F$2:$F$801, 0)+1)), "")&lt;&gt;IFERROR(INDEX(ERP資料!$A:$A, MATCH(517, 輔助計算!$F$2:$F$801, 0)+1), "")), INDEX(ERP資料!$B:$B, (MATCH(518, 輔助計算!$F$2:$F$801, 0)+1)), ""), "")</f>
        <v/>
      </c>
      <c r="B519" s="10">
        <f>IFERROR(IF(AND(IFERROR(INDEX(ERP資料!$A:$A, (MATCH(518, 輔助計算!$F$2:$F$801, 0)+1)), "")&lt;&gt;"", IFERROR(INDEX(ERP資料!$A:$A, (MATCH(518, 輔助計算!$F$2:$F$801, 0)+1)), "")&lt;&gt;IFERROR(INDEX(ERP資料!$A:$A, MATCH(517, 輔助計算!$F$2:$F$801, 0)+1), "")), IFERROR(INDEX(ERP資料!$A:$A, (MATCH(518, 輔助計算!$F$2:$F$801, 0)+1)), ""), ""), "")</f>
        <v/>
      </c>
      <c r="C519" s="10">
        <f>IFERROR(IF(AND(IFERROR(INDEX(ERP資料!$A:$A, (MATCH(518, 輔助計算!$F$2:$F$801, 0)+1)), "")&lt;&gt;"", IFERROR(INDEX(ERP資料!$A:$A, (MATCH(518, 輔助計算!$F$2:$F$801, 0)+1)), "")&lt;&gt;IFERROR(INDEX(ERP資料!$A:$A, MATCH(517, 輔助計算!$F$2:$F$801, 0)+1), "")), INDEX(ERP資料!$S:$S, (MATCH(518, 輔助計算!$F$2:$F$801, 0)+1)), ""), "")</f>
        <v/>
      </c>
      <c r="D519" s="10">
        <f>IFERROR(IF(INDEX(ERP資料!$E:$E, (MATCH(518, 輔助計算!$F$2:$F$801, 0)+1))="","",TRIM(INDEX(ERP資料!$E:$E, (MATCH(518, 輔助計算!$F$2:$F$801, 0)+1)))), "")</f>
        <v/>
      </c>
      <c r="E519" s="10">
        <f>IFERROR(IF(INDEX(ERP資料!$F:$F, (MATCH(518, 輔助計算!$F$2:$F$801, 0)+1))="","",INDEX(ERP資料!$F:$F, (MATCH(518, 輔助計算!$F$2:$F$801, 0)+1))), "")</f>
        <v/>
      </c>
      <c r="F519" s="10">
        <f>IFERROR(IF(INDEX(ERP資料!$G:$G, (MATCH(518, 輔助計算!$F$2:$F$801, 0)+1))="","",INDEX(ERP資料!$G:$G, (MATCH(518, 輔助計算!$F$2:$F$801, 0)+1))), "")</f>
        <v/>
      </c>
      <c r="G519" s="10">
        <f>IFERROR(IF(INDEX(ERP資料!$H:$H, (MATCH(518, 輔助計算!$F$2:$F$801, 0)+1))="","",INDEX(ERP資料!$H:$H, (MATCH(518, 輔助計算!$F$2:$F$801, 0)+1))), "")</f>
        <v/>
      </c>
      <c r="H519" s="10">
        <f>IFERROR(IF(INDEX(ERP資料!$O:$O, (MATCH(518, 輔助計算!$F$2:$F$801, 0)+1))="","",INDEX(ERP資料!$O:$O, (MATCH(518, 輔助計算!$F$2:$F$801, 0)+1))), "")</f>
        <v/>
      </c>
      <c r="I519" s="15">
        <f>IFERROR(IF(INDEX(輔助計算!$D:$D,(MATCH(518, 輔助計算!$F$2:$F$801, 0)+1))="","",INDEX(輔助計算!$D:$D,(MATCH(518, 輔助計算!$F$2:$F$801, 0)+1))*INDEX(ERP資料!$O:$O,(MATCH(518, 輔助計算!$F$2:$F$801, 0)+1))), "")</f>
        <v/>
      </c>
      <c r="J519" s="16" t="n"/>
      <c r="K519" s="15">
        <f>IFERROR(INDEX(輔助計算!$D:$D, (MATCH(518, 輔助計算!$F$2:$F$801, 0)+1)), "")</f>
        <v/>
      </c>
      <c r="L519" s="16">
        <f>IFERROR(IF(AND(IFERROR(VLOOKUP(LEFT(INDEX(ERP資料!$S:$S, (MATCH(518, 輔助計算!$F$2:$F$801, 0)+1)), 4), 100張客戶!$A:$A, 1, FALSE), "")&lt;&gt;"", OR(INDEX(ERP資料!$F:$F, (MATCH(518, 輔助計算!$F$2:$F$801, 0)+1))=270, INDEX(ERP資料!$F:$F, (MATCH(518, 輔助計算!$F$2:$F$801, 0)+1))=300)), "100張", ""), "")</f>
        <v/>
      </c>
      <c r="M519" s="17" t="n"/>
      <c r="N519" s="17">
        <f>IF($F519="","",$F519)</f>
        <v/>
      </c>
      <c r="O519" s="17">
        <f>IF($G519="","",$G519)</f>
        <v/>
      </c>
      <c r="P519" s="17">
        <f>IF($K519="","",$K519)</f>
        <v/>
      </c>
      <c r="Q519" s="16" t="n"/>
      <c r="R519" s="18" t="n"/>
      <c r="S519" s="16" t="n"/>
    </row>
    <row r="520">
      <c r="A520" s="14">
        <f>IFERROR(IF(AND(IFERROR(INDEX(ERP資料!$A:$A, (MATCH(519, 輔助計算!$F$2:$F$801, 0)+1)), "")&lt;&gt;"", IFERROR(INDEX(ERP資料!$A:$A, (MATCH(519, 輔助計算!$F$2:$F$801, 0)+1)), "")&lt;&gt;IFERROR(INDEX(ERP資料!$A:$A, MATCH(518, 輔助計算!$F$2:$F$801, 0)+1), "")), INDEX(ERP資料!$B:$B, (MATCH(519, 輔助計算!$F$2:$F$801, 0)+1)), ""), "")</f>
        <v/>
      </c>
      <c r="B520" s="10">
        <f>IFERROR(IF(AND(IFERROR(INDEX(ERP資料!$A:$A, (MATCH(519, 輔助計算!$F$2:$F$801, 0)+1)), "")&lt;&gt;"", IFERROR(INDEX(ERP資料!$A:$A, (MATCH(519, 輔助計算!$F$2:$F$801, 0)+1)), "")&lt;&gt;IFERROR(INDEX(ERP資料!$A:$A, MATCH(518, 輔助計算!$F$2:$F$801, 0)+1), "")), IFERROR(INDEX(ERP資料!$A:$A, (MATCH(519, 輔助計算!$F$2:$F$801, 0)+1)), ""), ""), "")</f>
        <v/>
      </c>
      <c r="C520" s="10">
        <f>IFERROR(IF(AND(IFERROR(INDEX(ERP資料!$A:$A, (MATCH(519, 輔助計算!$F$2:$F$801, 0)+1)), "")&lt;&gt;"", IFERROR(INDEX(ERP資料!$A:$A, (MATCH(519, 輔助計算!$F$2:$F$801, 0)+1)), "")&lt;&gt;IFERROR(INDEX(ERP資料!$A:$A, MATCH(518, 輔助計算!$F$2:$F$801, 0)+1), "")), INDEX(ERP資料!$S:$S, (MATCH(519, 輔助計算!$F$2:$F$801, 0)+1)), ""), "")</f>
        <v/>
      </c>
      <c r="D520" s="10">
        <f>IFERROR(IF(INDEX(ERP資料!$E:$E, (MATCH(519, 輔助計算!$F$2:$F$801, 0)+1))="","",TRIM(INDEX(ERP資料!$E:$E, (MATCH(519, 輔助計算!$F$2:$F$801, 0)+1)))), "")</f>
        <v/>
      </c>
      <c r="E520" s="10">
        <f>IFERROR(IF(INDEX(ERP資料!$F:$F, (MATCH(519, 輔助計算!$F$2:$F$801, 0)+1))="","",INDEX(ERP資料!$F:$F, (MATCH(519, 輔助計算!$F$2:$F$801, 0)+1))), "")</f>
        <v/>
      </c>
      <c r="F520" s="10">
        <f>IFERROR(IF(INDEX(ERP資料!$G:$G, (MATCH(519, 輔助計算!$F$2:$F$801, 0)+1))="","",INDEX(ERP資料!$G:$G, (MATCH(519, 輔助計算!$F$2:$F$801, 0)+1))), "")</f>
        <v/>
      </c>
      <c r="G520" s="10">
        <f>IFERROR(IF(INDEX(ERP資料!$H:$H, (MATCH(519, 輔助計算!$F$2:$F$801, 0)+1))="","",INDEX(ERP資料!$H:$H, (MATCH(519, 輔助計算!$F$2:$F$801, 0)+1))), "")</f>
        <v/>
      </c>
      <c r="H520" s="10">
        <f>IFERROR(IF(INDEX(ERP資料!$O:$O, (MATCH(519, 輔助計算!$F$2:$F$801, 0)+1))="","",INDEX(ERP資料!$O:$O, (MATCH(519, 輔助計算!$F$2:$F$801, 0)+1))), "")</f>
        <v/>
      </c>
      <c r="I520" s="15">
        <f>IFERROR(IF(INDEX(輔助計算!$D:$D,(MATCH(519, 輔助計算!$F$2:$F$801, 0)+1))="","",INDEX(輔助計算!$D:$D,(MATCH(519, 輔助計算!$F$2:$F$801, 0)+1))*INDEX(ERP資料!$O:$O,(MATCH(519, 輔助計算!$F$2:$F$801, 0)+1))), "")</f>
        <v/>
      </c>
      <c r="J520" s="16" t="n"/>
      <c r="K520" s="15">
        <f>IFERROR(INDEX(輔助計算!$D:$D, (MATCH(519, 輔助計算!$F$2:$F$801, 0)+1)), "")</f>
        <v/>
      </c>
      <c r="L520" s="16">
        <f>IFERROR(IF(AND(IFERROR(VLOOKUP(LEFT(INDEX(ERP資料!$S:$S, (MATCH(519, 輔助計算!$F$2:$F$801, 0)+1)), 4), 100張客戶!$A:$A, 1, FALSE), "")&lt;&gt;"", OR(INDEX(ERP資料!$F:$F, (MATCH(519, 輔助計算!$F$2:$F$801, 0)+1))=270, INDEX(ERP資料!$F:$F, (MATCH(519, 輔助計算!$F$2:$F$801, 0)+1))=300)), "100張", ""), "")</f>
        <v/>
      </c>
      <c r="M520" s="17" t="n"/>
      <c r="N520" s="17">
        <f>IF($F520="","",$F520)</f>
        <v/>
      </c>
      <c r="O520" s="17">
        <f>IF($G520="","",$G520)</f>
        <v/>
      </c>
      <c r="P520" s="17">
        <f>IF($K520="","",$K520)</f>
        <v/>
      </c>
      <c r="Q520" s="16" t="n"/>
      <c r="R520" s="18" t="n"/>
      <c r="S520" s="16" t="n"/>
    </row>
    <row r="521">
      <c r="A521" s="14">
        <f>IFERROR(IF(AND(IFERROR(INDEX(ERP資料!$A:$A, (MATCH(520, 輔助計算!$F$2:$F$801, 0)+1)), "")&lt;&gt;"", IFERROR(INDEX(ERP資料!$A:$A, (MATCH(520, 輔助計算!$F$2:$F$801, 0)+1)), "")&lt;&gt;IFERROR(INDEX(ERP資料!$A:$A, MATCH(519, 輔助計算!$F$2:$F$801, 0)+1), "")), INDEX(ERP資料!$B:$B, (MATCH(520, 輔助計算!$F$2:$F$801, 0)+1)), ""), "")</f>
        <v/>
      </c>
      <c r="B521" s="10">
        <f>IFERROR(IF(AND(IFERROR(INDEX(ERP資料!$A:$A, (MATCH(520, 輔助計算!$F$2:$F$801, 0)+1)), "")&lt;&gt;"", IFERROR(INDEX(ERP資料!$A:$A, (MATCH(520, 輔助計算!$F$2:$F$801, 0)+1)), "")&lt;&gt;IFERROR(INDEX(ERP資料!$A:$A, MATCH(519, 輔助計算!$F$2:$F$801, 0)+1), "")), IFERROR(INDEX(ERP資料!$A:$A, (MATCH(520, 輔助計算!$F$2:$F$801, 0)+1)), ""), ""), "")</f>
        <v/>
      </c>
      <c r="C521" s="10">
        <f>IFERROR(IF(AND(IFERROR(INDEX(ERP資料!$A:$A, (MATCH(520, 輔助計算!$F$2:$F$801, 0)+1)), "")&lt;&gt;"", IFERROR(INDEX(ERP資料!$A:$A, (MATCH(520, 輔助計算!$F$2:$F$801, 0)+1)), "")&lt;&gt;IFERROR(INDEX(ERP資料!$A:$A, MATCH(519, 輔助計算!$F$2:$F$801, 0)+1), "")), INDEX(ERP資料!$S:$S, (MATCH(520, 輔助計算!$F$2:$F$801, 0)+1)), ""), "")</f>
        <v/>
      </c>
      <c r="D521" s="10">
        <f>IFERROR(IF(INDEX(ERP資料!$E:$E, (MATCH(520, 輔助計算!$F$2:$F$801, 0)+1))="","",TRIM(INDEX(ERP資料!$E:$E, (MATCH(520, 輔助計算!$F$2:$F$801, 0)+1)))), "")</f>
        <v/>
      </c>
      <c r="E521" s="10">
        <f>IFERROR(IF(INDEX(ERP資料!$F:$F, (MATCH(520, 輔助計算!$F$2:$F$801, 0)+1))="","",INDEX(ERP資料!$F:$F, (MATCH(520, 輔助計算!$F$2:$F$801, 0)+1))), "")</f>
        <v/>
      </c>
      <c r="F521" s="10">
        <f>IFERROR(IF(INDEX(ERP資料!$G:$G, (MATCH(520, 輔助計算!$F$2:$F$801, 0)+1))="","",INDEX(ERP資料!$G:$G, (MATCH(520, 輔助計算!$F$2:$F$801, 0)+1))), "")</f>
        <v/>
      </c>
      <c r="G521" s="10">
        <f>IFERROR(IF(INDEX(ERP資料!$H:$H, (MATCH(520, 輔助計算!$F$2:$F$801, 0)+1))="","",INDEX(ERP資料!$H:$H, (MATCH(520, 輔助計算!$F$2:$F$801, 0)+1))), "")</f>
        <v/>
      </c>
      <c r="H521" s="10">
        <f>IFERROR(IF(INDEX(ERP資料!$O:$O, (MATCH(520, 輔助計算!$F$2:$F$801, 0)+1))="","",INDEX(ERP資料!$O:$O, (MATCH(520, 輔助計算!$F$2:$F$801, 0)+1))), "")</f>
        <v/>
      </c>
      <c r="I521" s="15">
        <f>IFERROR(IF(INDEX(輔助計算!$D:$D,(MATCH(520, 輔助計算!$F$2:$F$801, 0)+1))="","",INDEX(輔助計算!$D:$D,(MATCH(520, 輔助計算!$F$2:$F$801, 0)+1))*INDEX(ERP資料!$O:$O,(MATCH(520, 輔助計算!$F$2:$F$801, 0)+1))), "")</f>
        <v/>
      </c>
      <c r="J521" s="16" t="n"/>
      <c r="K521" s="15">
        <f>IFERROR(INDEX(輔助計算!$D:$D, (MATCH(520, 輔助計算!$F$2:$F$801, 0)+1)), "")</f>
        <v/>
      </c>
      <c r="L521" s="16">
        <f>IFERROR(IF(AND(IFERROR(VLOOKUP(LEFT(INDEX(ERP資料!$S:$S, (MATCH(520, 輔助計算!$F$2:$F$801, 0)+1)), 4), 100張客戶!$A:$A, 1, FALSE), "")&lt;&gt;"", OR(INDEX(ERP資料!$F:$F, (MATCH(520, 輔助計算!$F$2:$F$801, 0)+1))=270, INDEX(ERP資料!$F:$F, (MATCH(520, 輔助計算!$F$2:$F$801, 0)+1))=300)), "100張", ""), "")</f>
        <v/>
      </c>
      <c r="M521" s="17" t="n"/>
      <c r="N521" s="17">
        <f>IF($F521="","",$F521)</f>
        <v/>
      </c>
      <c r="O521" s="17">
        <f>IF($G521="","",$G521)</f>
        <v/>
      </c>
      <c r="P521" s="17">
        <f>IF($K521="","",$K521)</f>
        <v/>
      </c>
      <c r="Q521" s="16" t="n"/>
      <c r="R521" s="18" t="n"/>
      <c r="S521" s="16" t="n"/>
    </row>
    <row r="522">
      <c r="A522" s="14">
        <f>IFERROR(IF(AND(IFERROR(INDEX(ERP資料!$A:$A, (MATCH(521, 輔助計算!$F$2:$F$801, 0)+1)), "")&lt;&gt;"", IFERROR(INDEX(ERP資料!$A:$A, (MATCH(521, 輔助計算!$F$2:$F$801, 0)+1)), "")&lt;&gt;IFERROR(INDEX(ERP資料!$A:$A, MATCH(520, 輔助計算!$F$2:$F$801, 0)+1), "")), INDEX(ERP資料!$B:$B, (MATCH(521, 輔助計算!$F$2:$F$801, 0)+1)), ""), "")</f>
        <v/>
      </c>
      <c r="B522" s="10">
        <f>IFERROR(IF(AND(IFERROR(INDEX(ERP資料!$A:$A, (MATCH(521, 輔助計算!$F$2:$F$801, 0)+1)), "")&lt;&gt;"", IFERROR(INDEX(ERP資料!$A:$A, (MATCH(521, 輔助計算!$F$2:$F$801, 0)+1)), "")&lt;&gt;IFERROR(INDEX(ERP資料!$A:$A, MATCH(520, 輔助計算!$F$2:$F$801, 0)+1), "")), IFERROR(INDEX(ERP資料!$A:$A, (MATCH(521, 輔助計算!$F$2:$F$801, 0)+1)), ""), ""), "")</f>
        <v/>
      </c>
      <c r="C522" s="10">
        <f>IFERROR(IF(AND(IFERROR(INDEX(ERP資料!$A:$A, (MATCH(521, 輔助計算!$F$2:$F$801, 0)+1)), "")&lt;&gt;"", IFERROR(INDEX(ERP資料!$A:$A, (MATCH(521, 輔助計算!$F$2:$F$801, 0)+1)), "")&lt;&gt;IFERROR(INDEX(ERP資料!$A:$A, MATCH(520, 輔助計算!$F$2:$F$801, 0)+1), "")), INDEX(ERP資料!$S:$S, (MATCH(521, 輔助計算!$F$2:$F$801, 0)+1)), ""), "")</f>
        <v/>
      </c>
      <c r="D522" s="10">
        <f>IFERROR(IF(INDEX(ERP資料!$E:$E, (MATCH(521, 輔助計算!$F$2:$F$801, 0)+1))="","",TRIM(INDEX(ERP資料!$E:$E, (MATCH(521, 輔助計算!$F$2:$F$801, 0)+1)))), "")</f>
        <v/>
      </c>
      <c r="E522" s="10">
        <f>IFERROR(IF(INDEX(ERP資料!$F:$F, (MATCH(521, 輔助計算!$F$2:$F$801, 0)+1))="","",INDEX(ERP資料!$F:$F, (MATCH(521, 輔助計算!$F$2:$F$801, 0)+1))), "")</f>
        <v/>
      </c>
      <c r="F522" s="10">
        <f>IFERROR(IF(INDEX(ERP資料!$G:$G, (MATCH(521, 輔助計算!$F$2:$F$801, 0)+1))="","",INDEX(ERP資料!$G:$G, (MATCH(521, 輔助計算!$F$2:$F$801, 0)+1))), "")</f>
        <v/>
      </c>
      <c r="G522" s="10">
        <f>IFERROR(IF(INDEX(ERP資料!$H:$H, (MATCH(521, 輔助計算!$F$2:$F$801, 0)+1))="","",INDEX(ERP資料!$H:$H, (MATCH(521, 輔助計算!$F$2:$F$801, 0)+1))), "")</f>
        <v/>
      </c>
      <c r="H522" s="10">
        <f>IFERROR(IF(INDEX(ERP資料!$O:$O, (MATCH(521, 輔助計算!$F$2:$F$801, 0)+1))="","",INDEX(ERP資料!$O:$O, (MATCH(521, 輔助計算!$F$2:$F$801, 0)+1))), "")</f>
        <v/>
      </c>
      <c r="I522" s="15">
        <f>IFERROR(IF(INDEX(輔助計算!$D:$D,(MATCH(521, 輔助計算!$F$2:$F$801, 0)+1))="","",INDEX(輔助計算!$D:$D,(MATCH(521, 輔助計算!$F$2:$F$801, 0)+1))*INDEX(ERP資料!$O:$O,(MATCH(521, 輔助計算!$F$2:$F$801, 0)+1))), "")</f>
        <v/>
      </c>
      <c r="J522" s="16" t="n"/>
      <c r="K522" s="15">
        <f>IFERROR(INDEX(輔助計算!$D:$D, (MATCH(521, 輔助計算!$F$2:$F$801, 0)+1)), "")</f>
        <v/>
      </c>
      <c r="L522" s="16">
        <f>IFERROR(IF(AND(IFERROR(VLOOKUP(LEFT(INDEX(ERP資料!$S:$S, (MATCH(521, 輔助計算!$F$2:$F$801, 0)+1)), 4), 100張客戶!$A:$A, 1, FALSE), "")&lt;&gt;"", OR(INDEX(ERP資料!$F:$F, (MATCH(521, 輔助計算!$F$2:$F$801, 0)+1))=270, INDEX(ERP資料!$F:$F, (MATCH(521, 輔助計算!$F$2:$F$801, 0)+1))=300)), "100張", ""), "")</f>
        <v/>
      </c>
      <c r="M522" s="17" t="n"/>
      <c r="N522" s="17">
        <f>IF($F522="","",$F522)</f>
        <v/>
      </c>
      <c r="O522" s="17">
        <f>IF($G522="","",$G522)</f>
        <v/>
      </c>
      <c r="P522" s="17">
        <f>IF($K522="","",$K522)</f>
        <v/>
      </c>
      <c r="Q522" s="16" t="n"/>
      <c r="R522" s="18" t="n"/>
      <c r="S522" s="16" t="n"/>
    </row>
    <row r="523">
      <c r="A523" s="14">
        <f>IFERROR(IF(AND(IFERROR(INDEX(ERP資料!$A:$A, (MATCH(522, 輔助計算!$F$2:$F$801, 0)+1)), "")&lt;&gt;"", IFERROR(INDEX(ERP資料!$A:$A, (MATCH(522, 輔助計算!$F$2:$F$801, 0)+1)), "")&lt;&gt;IFERROR(INDEX(ERP資料!$A:$A, MATCH(521, 輔助計算!$F$2:$F$801, 0)+1), "")), INDEX(ERP資料!$B:$B, (MATCH(522, 輔助計算!$F$2:$F$801, 0)+1)), ""), "")</f>
        <v/>
      </c>
      <c r="B523" s="10">
        <f>IFERROR(IF(AND(IFERROR(INDEX(ERP資料!$A:$A, (MATCH(522, 輔助計算!$F$2:$F$801, 0)+1)), "")&lt;&gt;"", IFERROR(INDEX(ERP資料!$A:$A, (MATCH(522, 輔助計算!$F$2:$F$801, 0)+1)), "")&lt;&gt;IFERROR(INDEX(ERP資料!$A:$A, MATCH(521, 輔助計算!$F$2:$F$801, 0)+1), "")), IFERROR(INDEX(ERP資料!$A:$A, (MATCH(522, 輔助計算!$F$2:$F$801, 0)+1)), ""), ""), "")</f>
        <v/>
      </c>
      <c r="C523" s="10">
        <f>IFERROR(IF(AND(IFERROR(INDEX(ERP資料!$A:$A, (MATCH(522, 輔助計算!$F$2:$F$801, 0)+1)), "")&lt;&gt;"", IFERROR(INDEX(ERP資料!$A:$A, (MATCH(522, 輔助計算!$F$2:$F$801, 0)+1)), "")&lt;&gt;IFERROR(INDEX(ERP資料!$A:$A, MATCH(521, 輔助計算!$F$2:$F$801, 0)+1), "")), INDEX(ERP資料!$S:$S, (MATCH(522, 輔助計算!$F$2:$F$801, 0)+1)), ""), "")</f>
        <v/>
      </c>
      <c r="D523" s="10">
        <f>IFERROR(IF(INDEX(ERP資料!$E:$E, (MATCH(522, 輔助計算!$F$2:$F$801, 0)+1))="","",TRIM(INDEX(ERP資料!$E:$E, (MATCH(522, 輔助計算!$F$2:$F$801, 0)+1)))), "")</f>
        <v/>
      </c>
      <c r="E523" s="10">
        <f>IFERROR(IF(INDEX(ERP資料!$F:$F, (MATCH(522, 輔助計算!$F$2:$F$801, 0)+1))="","",INDEX(ERP資料!$F:$F, (MATCH(522, 輔助計算!$F$2:$F$801, 0)+1))), "")</f>
        <v/>
      </c>
      <c r="F523" s="10">
        <f>IFERROR(IF(INDEX(ERP資料!$G:$G, (MATCH(522, 輔助計算!$F$2:$F$801, 0)+1))="","",INDEX(ERP資料!$G:$G, (MATCH(522, 輔助計算!$F$2:$F$801, 0)+1))), "")</f>
        <v/>
      </c>
      <c r="G523" s="10">
        <f>IFERROR(IF(INDEX(ERP資料!$H:$H, (MATCH(522, 輔助計算!$F$2:$F$801, 0)+1))="","",INDEX(ERP資料!$H:$H, (MATCH(522, 輔助計算!$F$2:$F$801, 0)+1))), "")</f>
        <v/>
      </c>
      <c r="H523" s="10">
        <f>IFERROR(IF(INDEX(ERP資料!$O:$O, (MATCH(522, 輔助計算!$F$2:$F$801, 0)+1))="","",INDEX(ERP資料!$O:$O, (MATCH(522, 輔助計算!$F$2:$F$801, 0)+1))), "")</f>
        <v/>
      </c>
      <c r="I523" s="15">
        <f>IFERROR(IF(INDEX(輔助計算!$D:$D,(MATCH(522, 輔助計算!$F$2:$F$801, 0)+1))="","",INDEX(輔助計算!$D:$D,(MATCH(522, 輔助計算!$F$2:$F$801, 0)+1))*INDEX(ERP資料!$O:$O,(MATCH(522, 輔助計算!$F$2:$F$801, 0)+1))), "")</f>
        <v/>
      </c>
      <c r="J523" s="16" t="n"/>
      <c r="K523" s="15">
        <f>IFERROR(INDEX(輔助計算!$D:$D, (MATCH(522, 輔助計算!$F$2:$F$801, 0)+1)), "")</f>
        <v/>
      </c>
      <c r="L523" s="16">
        <f>IFERROR(IF(AND(IFERROR(VLOOKUP(LEFT(INDEX(ERP資料!$S:$S, (MATCH(522, 輔助計算!$F$2:$F$801, 0)+1)), 4), 100張客戶!$A:$A, 1, FALSE), "")&lt;&gt;"", OR(INDEX(ERP資料!$F:$F, (MATCH(522, 輔助計算!$F$2:$F$801, 0)+1))=270, INDEX(ERP資料!$F:$F, (MATCH(522, 輔助計算!$F$2:$F$801, 0)+1))=300)), "100張", ""), "")</f>
        <v/>
      </c>
      <c r="M523" s="17" t="n"/>
      <c r="N523" s="17">
        <f>IF($F523="","",$F523)</f>
        <v/>
      </c>
      <c r="O523" s="17">
        <f>IF($G523="","",$G523)</f>
        <v/>
      </c>
      <c r="P523" s="17">
        <f>IF($K523="","",$K523)</f>
        <v/>
      </c>
      <c r="Q523" s="16" t="n"/>
      <c r="R523" s="18" t="n"/>
      <c r="S523" s="16" t="n"/>
    </row>
    <row r="524">
      <c r="A524" s="14">
        <f>IFERROR(IF(AND(IFERROR(INDEX(ERP資料!$A:$A, (MATCH(523, 輔助計算!$F$2:$F$801, 0)+1)), "")&lt;&gt;"", IFERROR(INDEX(ERP資料!$A:$A, (MATCH(523, 輔助計算!$F$2:$F$801, 0)+1)), "")&lt;&gt;IFERROR(INDEX(ERP資料!$A:$A, MATCH(522, 輔助計算!$F$2:$F$801, 0)+1), "")), INDEX(ERP資料!$B:$B, (MATCH(523, 輔助計算!$F$2:$F$801, 0)+1)), ""), "")</f>
        <v/>
      </c>
      <c r="B524" s="10">
        <f>IFERROR(IF(AND(IFERROR(INDEX(ERP資料!$A:$A, (MATCH(523, 輔助計算!$F$2:$F$801, 0)+1)), "")&lt;&gt;"", IFERROR(INDEX(ERP資料!$A:$A, (MATCH(523, 輔助計算!$F$2:$F$801, 0)+1)), "")&lt;&gt;IFERROR(INDEX(ERP資料!$A:$A, MATCH(522, 輔助計算!$F$2:$F$801, 0)+1), "")), IFERROR(INDEX(ERP資料!$A:$A, (MATCH(523, 輔助計算!$F$2:$F$801, 0)+1)), ""), ""), "")</f>
        <v/>
      </c>
      <c r="C524" s="10">
        <f>IFERROR(IF(AND(IFERROR(INDEX(ERP資料!$A:$A, (MATCH(523, 輔助計算!$F$2:$F$801, 0)+1)), "")&lt;&gt;"", IFERROR(INDEX(ERP資料!$A:$A, (MATCH(523, 輔助計算!$F$2:$F$801, 0)+1)), "")&lt;&gt;IFERROR(INDEX(ERP資料!$A:$A, MATCH(522, 輔助計算!$F$2:$F$801, 0)+1), "")), INDEX(ERP資料!$S:$S, (MATCH(523, 輔助計算!$F$2:$F$801, 0)+1)), ""), "")</f>
        <v/>
      </c>
      <c r="D524" s="10">
        <f>IFERROR(IF(INDEX(ERP資料!$E:$E, (MATCH(523, 輔助計算!$F$2:$F$801, 0)+1))="","",TRIM(INDEX(ERP資料!$E:$E, (MATCH(523, 輔助計算!$F$2:$F$801, 0)+1)))), "")</f>
        <v/>
      </c>
      <c r="E524" s="10">
        <f>IFERROR(IF(INDEX(ERP資料!$F:$F, (MATCH(523, 輔助計算!$F$2:$F$801, 0)+1))="","",INDEX(ERP資料!$F:$F, (MATCH(523, 輔助計算!$F$2:$F$801, 0)+1))), "")</f>
        <v/>
      </c>
      <c r="F524" s="10">
        <f>IFERROR(IF(INDEX(ERP資料!$G:$G, (MATCH(523, 輔助計算!$F$2:$F$801, 0)+1))="","",INDEX(ERP資料!$G:$G, (MATCH(523, 輔助計算!$F$2:$F$801, 0)+1))), "")</f>
        <v/>
      </c>
      <c r="G524" s="10">
        <f>IFERROR(IF(INDEX(ERP資料!$H:$H, (MATCH(523, 輔助計算!$F$2:$F$801, 0)+1))="","",INDEX(ERP資料!$H:$H, (MATCH(523, 輔助計算!$F$2:$F$801, 0)+1))), "")</f>
        <v/>
      </c>
      <c r="H524" s="10">
        <f>IFERROR(IF(INDEX(ERP資料!$O:$O, (MATCH(523, 輔助計算!$F$2:$F$801, 0)+1))="","",INDEX(ERP資料!$O:$O, (MATCH(523, 輔助計算!$F$2:$F$801, 0)+1))), "")</f>
        <v/>
      </c>
      <c r="I524" s="15">
        <f>IFERROR(IF(INDEX(輔助計算!$D:$D,(MATCH(523, 輔助計算!$F$2:$F$801, 0)+1))="","",INDEX(輔助計算!$D:$D,(MATCH(523, 輔助計算!$F$2:$F$801, 0)+1))*INDEX(ERP資料!$O:$O,(MATCH(523, 輔助計算!$F$2:$F$801, 0)+1))), "")</f>
        <v/>
      </c>
      <c r="J524" s="16" t="n"/>
      <c r="K524" s="15">
        <f>IFERROR(INDEX(輔助計算!$D:$D, (MATCH(523, 輔助計算!$F$2:$F$801, 0)+1)), "")</f>
        <v/>
      </c>
      <c r="L524" s="16">
        <f>IFERROR(IF(AND(IFERROR(VLOOKUP(LEFT(INDEX(ERP資料!$S:$S, (MATCH(523, 輔助計算!$F$2:$F$801, 0)+1)), 4), 100張客戶!$A:$A, 1, FALSE), "")&lt;&gt;"", OR(INDEX(ERP資料!$F:$F, (MATCH(523, 輔助計算!$F$2:$F$801, 0)+1))=270, INDEX(ERP資料!$F:$F, (MATCH(523, 輔助計算!$F$2:$F$801, 0)+1))=300)), "100張", ""), "")</f>
        <v/>
      </c>
      <c r="M524" s="17" t="n"/>
      <c r="N524" s="17">
        <f>IF($F524="","",$F524)</f>
        <v/>
      </c>
      <c r="O524" s="17">
        <f>IF($G524="","",$G524)</f>
        <v/>
      </c>
      <c r="P524" s="17">
        <f>IF($K524="","",$K524)</f>
        <v/>
      </c>
      <c r="Q524" s="16" t="n"/>
      <c r="R524" s="18" t="n"/>
      <c r="S524" s="16" t="n"/>
    </row>
    <row r="525">
      <c r="A525" s="14">
        <f>IFERROR(IF(AND(IFERROR(INDEX(ERP資料!$A:$A, (MATCH(524, 輔助計算!$F$2:$F$801, 0)+1)), "")&lt;&gt;"", IFERROR(INDEX(ERP資料!$A:$A, (MATCH(524, 輔助計算!$F$2:$F$801, 0)+1)), "")&lt;&gt;IFERROR(INDEX(ERP資料!$A:$A, MATCH(523, 輔助計算!$F$2:$F$801, 0)+1), "")), INDEX(ERP資料!$B:$B, (MATCH(524, 輔助計算!$F$2:$F$801, 0)+1)), ""), "")</f>
        <v/>
      </c>
      <c r="B525" s="10">
        <f>IFERROR(IF(AND(IFERROR(INDEX(ERP資料!$A:$A, (MATCH(524, 輔助計算!$F$2:$F$801, 0)+1)), "")&lt;&gt;"", IFERROR(INDEX(ERP資料!$A:$A, (MATCH(524, 輔助計算!$F$2:$F$801, 0)+1)), "")&lt;&gt;IFERROR(INDEX(ERP資料!$A:$A, MATCH(523, 輔助計算!$F$2:$F$801, 0)+1), "")), IFERROR(INDEX(ERP資料!$A:$A, (MATCH(524, 輔助計算!$F$2:$F$801, 0)+1)), ""), ""), "")</f>
        <v/>
      </c>
      <c r="C525" s="10">
        <f>IFERROR(IF(AND(IFERROR(INDEX(ERP資料!$A:$A, (MATCH(524, 輔助計算!$F$2:$F$801, 0)+1)), "")&lt;&gt;"", IFERROR(INDEX(ERP資料!$A:$A, (MATCH(524, 輔助計算!$F$2:$F$801, 0)+1)), "")&lt;&gt;IFERROR(INDEX(ERP資料!$A:$A, MATCH(523, 輔助計算!$F$2:$F$801, 0)+1), "")), INDEX(ERP資料!$S:$S, (MATCH(524, 輔助計算!$F$2:$F$801, 0)+1)), ""), "")</f>
        <v/>
      </c>
      <c r="D525" s="10">
        <f>IFERROR(IF(INDEX(ERP資料!$E:$E, (MATCH(524, 輔助計算!$F$2:$F$801, 0)+1))="","",TRIM(INDEX(ERP資料!$E:$E, (MATCH(524, 輔助計算!$F$2:$F$801, 0)+1)))), "")</f>
        <v/>
      </c>
      <c r="E525" s="10">
        <f>IFERROR(IF(INDEX(ERP資料!$F:$F, (MATCH(524, 輔助計算!$F$2:$F$801, 0)+1))="","",INDEX(ERP資料!$F:$F, (MATCH(524, 輔助計算!$F$2:$F$801, 0)+1))), "")</f>
        <v/>
      </c>
      <c r="F525" s="10">
        <f>IFERROR(IF(INDEX(ERP資料!$G:$G, (MATCH(524, 輔助計算!$F$2:$F$801, 0)+1))="","",INDEX(ERP資料!$G:$G, (MATCH(524, 輔助計算!$F$2:$F$801, 0)+1))), "")</f>
        <v/>
      </c>
      <c r="G525" s="10">
        <f>IFERROR(IF(INDEX(ERP資料!$H:$H, (MATCH(524, 輔助計算!$F$2:$F$801, 0)+1))="","",INDEX(ERP資料!$H:$H, (MATCH(524, 輔助計算!$F$2:$F$801, 0)+1))), "")</f>
        <v/>
      </c>
      <c r="H525" s="10">
        <f>IFERROR(IF(INDEX(ERP資料!$O:$O, (MATCH(524, 輔助計算!$F$2:$F$801, 0)+1))="","",INDEX(ERP資料!$O:$O, (MATCH(524, 輔助計算!$F$2:$F$801, 0)+1))), "")</f>
        <v/>
      </c>
      <c r="I525" s="15">
        <f>IFERROR(IF(INDEX(輔助計算!$D:$D,(MATCH(524, 輔助計算!$F$2:$F$801, 0)+1))="","",INDEX(輔助計算!$D:$D,(MATCH(524, 輔助計算!$F$2:$F$801, 0)+1))*INDEX(ERP資料!$O:$O,(MATCH(524, 輔助計算!$F$2:$F$801, 0)+1))), "")</f>
        <v/>
      </c>
      <c r="J525" s="16" t="n"/>
      <c r="K525" s="15">
        <f>IFERROR(INDEX(輔助計算!$D:$D, (MATCH(524, 輔助計算!$F$2:$F$801, 0)+1)), "")</f>
        <v/>
      </c>
      <c r="L525" s="16">
        <f>IFERROR(IF(AND(IFERROR(VLOOKUP(LEFT(INDEX(ERP資料!$S:$S, (MATCH(524, 輔助計算!$F$2:$F$801, 0)+1)), 4), 100張客戶!$A:$A, 1, FALSE), "")&lt;&gt;"", OR(INDEX(ERP資料!$F:$F, (MATCH(524, 輔助計算!$F$2:$F$801, 0)+1))=270, INDEX(ERP資料!$F:$F, (MATCH(524, 輔助計算!$F$2:$F$801, 0)+1))=300)), "100張", ""), "")</f>
        <v/>
      </c>
      <c r="M525" s="17" t="n"/>
      <c r="N525" s="17">
        <f>IF($F525="","",$F525)</f>
        <v/>
      </c>
      <c r="O525" s="17">
        <f>IF($G525="","",$G525)</f>
        <v/>
      </c>
      <c r="P525" s="17">
        <f>IF($K525="","",$K525)</f>
        <v/>
      </c>
      <c r="Q525" s="16" t="n"/>
      <c r="R525" s="18" t="n"/>
      <c r="S525" s="16" t="n"/>
    </row>
    <row r="526">
      <c r="A526" s="14">
        <f>IFERROR(IF(AND(IFERROR(INDEX(ERP資料!$A:$A, (MATCH(525, 輔助計算!$F$2:$F$801, 0)+1)), "")&lt;&gt;"", IFERROR(INDEX(ERP資料!$A:$A, (MATCH(525, 輔助計算!$F$2:$F$801, 0)+1)), "")&lt;&gt;IFERROR(INDEX(ERP資料!$A:$A, MATCH(524, 輔助計算!$F$2:$F$801, 0)+1), "")), INDEX(ERP資料!$B:$B, (MATCH(525, 輔助計算!$F$2:$F$801, 0)+1)), ""), "")</f>
        <v/>
      </c>
      <c r="B526" s="10">
        <f>IFERROR(IF(AND(IFERROR(INDEX(ERP資料!$A:$A, (MATCH(525, 輔助計算!$F$2:$F$801, 0)+1)), "")&lt;&gt;"", IFERROR(INDEX(ERP資料!$A:$A, (MATCH(525, 輔助計算!$F$2:$F$801, 0)+1)), "")&lt;&gt;IFERROR(INDEX(ERP資料!$A:$A, MATCH(524, 輔助計算!$F$2:$F$801, 0)+1), "")), IFERROR(INDEX(ERP資料!$A:$A, (MATCH(525, 輔助計算!$F$2:$F$801, 0)+1)), ""), ""), "")</f>
        <v/>
      </c>
      <c r="C526" s="10">
        <f>IFERROR(IF(AND(IFERROR(INDEX(ERP資料!$A:$A, (MATCH(525, 輔助計算!$F$2:$F$801, 0)+1)), "")&lt;&gt;"", IFERROR(INDEX(ERP資料!$A:$A, (MATCH(525, 輔助計算!$F$2:$F$801, 0)+1)), "")&lt;&gt;IFERROR(INDEX(ERP資料!$A:$A, MATCH(524, 輔助計算!$F$2:$F$801, 0)+1), "")), INDEX(ERP資料!$S:$S, (MATCH(525, 輔助計算!$F$2:$F$801, 0)+1)), ""), "")</f>
        <v/>
      </c>
      <c r="D526" s="10">
        <f>IFERROR(IF(INDEX(ERP資料!$E:$E, (MATCH(525, 輔助計算!$F$2:$F$801, 0)+1))="","",TRIM(INDEX(ERP資料!$E:$E, (MATCH(525, 輔助計算!$F$2:$F$801, 0)+1)))), "")</f>
        <v/>
      </c>
      <c r="E526" s="10">
        <f>IFERROR(IF(INDEX(ERP資料!$F:$F, (MATCH(525, 輔助計算!$F$2:$F$801, 0)+1))="","",INDEX(ERP資料!$F:$F, (MATCH(525, 輔助計算!$F$2:$F$801, 0)+1))), "")</f>
        <v/>
      </c>
      <c r="F526" s="10">
        <f>IFERROR(IF(INDEX(ERP資料!$G:$G, (MATCH(525, 輔助計算!$F$2:$F$801, 0)+1))="","",INDEX(ERP資料!$G:$G, (MATCH(525, 輔助計算!$F$2:$F$801, 0)+1))), "")</f>
        <v/>
      </c>
      <c r="G526" s="10">
        <f>IFERROR(IF(INDEX(ERP資料!$H:$H, (MATCH(525, 輔助計算!$F$2:$F$801, 0)+1))="","",INDEX(ERP資料!$H:$H, (MATCH(525, 輔助計算!$F$2:$F$801, 0)+1))), "")</f>
        <v/>
      </c>
      <c r="H526" s="10">
        <f>IFERROR(IF(INDEX(ERP資料!$O:$O, (MATCH(525, 輔助計算!$F$2:$F$801, 0)+1))="","",INDEX(ERP資料!$O:$O, (MATCH(525, 輔助計算!$F$2:$F$801, 0)+1))), "")</f>
        <v/>
      </c>
      <c r="I526" s="15">
        <f>IFERROR(IF(INDEX(輔助計算!$D:$D,(MATCH(525, 輔助計算!$F$2:$F$801, 0)+1))="","",INDEX(輔助計算!$D:$D,(MATCH(525, 輔助計算!$F$2:$F$801, 0)+1))*INDEX(ERP資料!$O:$O,(MATCH(525, 輔助計算!$F$2:$F$801, 0)+1))), "")</f>
        <v/>
      </c>
      <c r="J526" s="16" t="n"/>
      <c r="K526" s="15">
        <f>IFERROR(INDEX(輔助計算!$D:$D, (MATCH(525, 輔助計算!$F$2:$F$801, 0)+1)), "")</f>
        <v/>
      </c>
      <c r="L526" s="16">
        <f>IFERROR(IF(AND(IFERROR(VLOOKUP(LEFT(INDEX(ERP資料!$S:$S, (MATCH(525, 輔助計算!$F$2:$F$801, 0)+1)), 4), 100張客戶!$A:$A, 1, FALSE), "")&lt;&gt;"", OR(INDEX(ERP資料!$F:$F, (MATCH(525, 輔助計算!$F$2:$F$801, 0)+1))=270, INDEX(ERP資料!$F:$F, (MATCH(525, 輔助計算!$F$2:$F$801, 0)+1))=300)), "100張", ""), "")</f>
        <v/>
      </c>
      <c r="M526" s="17" t="n"/>
      <c r="N526" s="17">
        <f>IF($F526="","",$F526)</f>
        <v/>
      </c>
      <c r="O526" s="17">
        <f>IF($G526="","",$G526)</f>
        <v/>
      </c>
      <c r="P526" s="17">
        <f>IF($K526="","",$K526)</f>
        <v/>
      </c>
      <c r="Q526" s="16" t="n"/>
      <c r="R526" s="18" t="n"/>
      <c r="S526" s="16" t="n"/>
    </row>
    <row r="527">
      <c r="A527" s="14">
        <f>IFERROR(IF(AND(IFERROR(INDEX(ERP資料!$A:$A, (MATCH(526, 輔助計算!$F$2:$F$801, 0)+1)), "")&lt;&gt;"", IFERROR(INDEX(ERP資料!$A:$A, (MATCH(526, 輔助計算!$F$2:$F$801, 0)+1)), "")&lt;&gt;IFERROR(INDEX(ERP資料!$A:$A, MATCH(525, 輔助計算!$F$2:$F$801, 0)+1), "")), INDEX(ERP資料!$B:$B, (MATCH(526, 輔助計算!$F$2:$F$801, 0)+1)), ""), "")</f>
        <v/>
      </c>
      <c r="B527" s="10">
        <f>IFERROR(IF(AND(IFERROR(INDEX(ERP資料!$A:$A, (MATCH(526, 輔助計算!$F$2:$F$801, 0)+1)), "")&lt;&gt;"", IFERROR(INDEX(ERP資料!$A:$A, (MATCH(526, 輔助計算!$F$2:$F$801, 0)+1)), "")&lt;&gt;IFERROR(INDEX(ERP資料!$A:$A, MATCH(525, 輔助計算!$F$2:$F$801, 0)+1), "")), IFERROR(INDEX(ERP資料!$A:$A, (MATCH(526, 輔助計算!$F$2:$F$801, 0)+1)), ""), ""), "")</f>
        <v/>
      </c>
      <c r="C527" s="10">
        <f>IFERROR(IF(AND(IFERROR(INDEX(ERP資料!$A:$A, (MATCH(526, 輔助計算!$F$2:$F$801, 0)+1)), "")&lt;&gt;"", IFERROR(INDEX(ERP資料!$A:$A, (MATCH(526, 輔助計算!$F$2:$F$801, 0)+1)), "")&lt;&gt;IFERROR(INDEX(ERP資料!$A:$A, MATCH(525, 輔助計算!$F$2:$F$801, 0)+1), "")), INDEX(ERP資料!$S:$S, (MATCH(526, 輔助計算!$F$2:$F$801, 0)+1)), ""), "")</f>
        <v/>
      </c>
      <c r="D527" s="10">
        <f>IFERROR(IF(INDEX(ERP資料!$E:$E, (MATCH(526, 輔助計算!$F$2:$F$801, 0)+1))="","",TRIM(INDEX(ERP資料!$E:$E, (MATCH(526, 輔助計算!$F$2:$F$801, 0)+1)))), "")</f>
        <v/>
      </c>
      <c r="E527" s="10">
        <f>IFERROR(IF(INDEX(ERP資料!$F:$F, (MATCH(526, 輔助計算!$F$2:$F$801, 0)+1))="","",INDEX(ERP資料!$F:$F, (MATCH(526, 輔助計算!$F$2:$F$801, 0)+1))), "")</f>
        <v/>
      </c>
      <c r="F527" s="10">
        <f>IFERROR(IF(INDEX(ERP資料!$G:$G, (MATCH(526, 輔助計算!$F$2:$F$801, 0)+1))="","",INDEX(ERP資料!$G:$G, (MATCH(526, 輔助計算!$F$2:$F$801, 0)+1))), "")</f>
        <v/>
      </c>
      <c r="G527" s="10">
        <f>IFERROR(IF(INDEX(ERP資料!$H:$H, (MATCH(526, 輔助計算!$F$2:$F$801, 0)+1))="","",INDEX(ERP資料!$H:$H, (MATCH(526, 輔助計算!$F$2:$F$801, 0)+1))), "")</f>
        <v/>
      </c>
      <c r="H527" s="10">
        <f>IFERROR(IF(INDEX(ERP資料!$O:$O, (MATCH(526, 輔助計算!$F$2:$F$801, 0)+1))="","",INDEX(ERP資料!$O:$O, (MATCH(526, 輔助計算!$F$2:$F$801, 0)+1))), "")</f>
        <v/>
      </c>
      <c r="I527" s="15">
        <f>IFERROR(IF(INDEX(輔助計算!$D:$D,(MATCH(526, 輔助計算!$F$2:$F$801, 0)+1))="","",INDEX(輔助計算!$D:$D,(MATCH(526, 輔助計算!$F$2:$F$801, 0)+1))*INDEX(ERP資料!$O:$O,(MATCH(526, 輔助計算!$F$2:$F$801, 0)+1))), "")</f>
        <v/>
      </c>
      <c r="J527" s="16" t="n"/>
      <c r="K527" s="15">
        <f>IFERROR(INDEX(輔助計算!$D:$D, (MATCH(526, 輔助計算!$F$2:$F$801, 0)+1)), "")</f>
        <v/>
      </c>
      <c r="L527" s="16">
        <f>IFERROR(IF(AND(IFERROR(VLOOKUP(LEFT(INDEX(ERP資料!$S:$S, (MATCH(526, 輔助計算!$F$2:$F$801, 0)+1)), 4), 100張客戶!$A:$A, 1, FALSE), "")&lt;&gt;"", OR(INDEX(ERP資料!$F:$F, (MATCH(526, 輔助計算!$F$2:$F$801, 0)+1))=270, INDEX(ERP資料!$F:$F, (MATCH(526, 輔助計算!$F$2:$F$801, 0)+1))=300)), "100張", ""), "")</f>
        <v/>
      </c>
      <c r="M527" s="17" t="n"/>
      <c r="N527" s="17">
        <f>IF($F527="","",$F527)</f>
        <v/>
      </c>
      <c r="O527" s="17">
        <f>IF($G527="","",$G527)</f>
        <v/>
      </c>
      <c r="P527" s="17">
        <f>IF($K527="","",$K527)</f>
        <v/>
      </c>
      <c r="Q527" s="16" t="n"/>
      <c r="R527" s="18" t="n"/>
      <c r="S527" s="16" t="n"/>
    </row>
    <row r="528">
      <c r="A528" s="14">
        <f>IFERROR(IF(AND(IFERROR(INDEX(ERP資料!$A:$A, (MATCH(527, 輔助計算!$F$2:$F$801, 0)+1)), "")&lt;&gt;"", IFERROR(INDEX(ERP資料!$A:$A, (MATCH(527, 輔助計算!$F$2:$F$801, 0)+1)), "")&lt;&gt;IFERROR(INDEX(ERP資料!$A:$A, MATCH(526, 輔助計算!$F$2:$F$801, 0)+1), "")), INDEX(ERP資料!$B:$B, (MATCH(527, 輔助計算!$F$2:$F$801, 0)+1)), ""), "")</f>
        <v/>
      </c>
      <c r="B528" s="10">
        <f>IFERROR(IF(AND(IFERROR(INDEX(ERP資料!$A:$A, (MATCH(527, 輔助計算!$F$2:$F$801, 0)+1)), "")&lt;&gt;"", IFERROR(INDEX(ERP資料!$A:$A, (MATCH(527, 輔助計算!$F$2:$F$801, 0)+1)), "")&lt;&gt;IFERROR(INDEX(ERP資料!$A:$A, MATCH(526, 輔助計算!$F$2:$F$801, 0)+1), "")), IFERROR(INDEX(ERP資料!$A:$A, (MATCH(527, 輔助計算!$F$2:$F$801, 0)+1)), ""), ""), "")</f>
        <v/>
      </c>
      <c r="C528" s="10">
        <f>IFERROR(IF(AND(IFERROR(INDEX(ERP資料!$A:$A, (MATCH(527, 輔助計算!$F$2:$F$801, 0)+1)), "")&lt;&gt;"", IFERROR(INDEX(ERP資料!$A:$A, (MATCH(527, 輔助計算!$F$2:$F$801, 0)+1)), "")&lt;&gt;IFERROR(INDEX(ERP資料!$A:$A, MATCH(526, 輔助計算!$F$2:$F$801, 0)+1), "")), INDEX(ERP資料!$S:$S, (MATCH(527, 輔助計算!$F$2:$F$801, 0)+1)), ""), "")</f>
        <v/>
      </c>
      <c r="D528" s="10">
        <f>IFERROR(IF(INDEX(ERP資料!$E:$E, (MATCH(527, 輔助計算!$F$2:$F$801, 0)+1))="","",TRIM(INDEX(ERP資料!$E:$E, (MATCH(527, 輔助計算!$F$2:$F$801, 0)+1)))), "")</f>
        <v/>
      </c>
      <c r="E528" s="10">
        <f>IFERROR(IF(INDEX(ERP資料!$F:$F, (MATCH(527, 輔助計算!$F$2:$F$801, 0)+1))="","",INDEX(ERP資料!$F:$F, (MATCH(527, 輔助計算!$F$2:$F$801, 0)+1))), "")</f>
        <v/>
      </c>
      <c r="F528" s="10">
        <f>IFERROR(IF(INDEX(ERP資料!$G:$G, (MATCH(527, 輔助計算!$F$2:$F$801, 0)+1))="","",INDEX(ERP資料!$G:$G, (MATCH(527, 輔助計算!$F$2:$F$801, 0)+1))), "")</f>
        <v/>
      </c>
      <c r="G528" s="10">
        <f>IFERROR(IF(INDEX(ERP資料!$H:$H, (MATCH(527, 輔助計算!$F$2:$F$801, 0)+1))="","",INDEX(ERP資料!$H:$H, (MATCH(527, 輔助計算!$F$2:$F$801, 0)+1))), "")</f>
        <v/>
      </c>
      <c r="H528" s="10">
        <f>IFERROR(IF(INDEX(ERP資料!$O:$O, (MATCH(527, 輔助計算!$F$2:$F$801, 0)+1))="","",INDEX(ERP資料!$O:$O, (MATCH(527, 輔助計算!$F$2:$F$801, 0)+1))), "")</f>
        <v/>
      </c>
      <c r="I528" s="15">
        <f>IFERROR(IF(INDEX(輔助計算!$D:$D,(MATCH(527, 輔助計算!$F$2:$F$801, 0)+1))="","",INDEX(輔助計算!$D:$D,(MATCH(527, 輔助計算!$F$2:$F$801, 0)+1))*INDEX(ERP資料!$O:$O,(MATCH(527, 輔助計算!$F$2:$F$801, 0)+1))), "")</f>
        <v/>
      </c>
      <c r="J528" s="16" t="n"/>
      <c r="K528" s="15">
        <f>IFERROR(INDEX(輔助計算!$D:$D, (MATCH(527, 輔助計算!$F$2:$F$801, 0)+1)), "")</f>
        <v/>
      </c>
      <c r="L528" s="16">
        <f>IFERROR(IF(AND(IFERROR(VLOOKUP(LEFT(INDEX(ERP資料!$S:$S, (MATCH(527, 輔助計算!$F$2:$F$801, 0)+1)), 4), 100張客戶!$A:$A, 1, FALSE), "")&lt;&gt;"", OR(INDEX(ERP資料!$F:$F, (MATCH(527, 輔助計算!$F$2:$F$801, 0)+1))=270, INDEX(ERP資料!$F:$F, (MATCH(527, 輔助計算!$F$2:$F$801, 0)+1))=300)), "100張", ""), "")</f>
        <v/>
      </c>
      <c r="M528" s="17" t="n"/>
      <c r="N528" s="17">
        <f>IF($F528="","",$F528)</f>
        <v/>
      </c>
      <c r="O528" s="17">
        <f>IF($G528="","",$G528)</f>
        <v/>
      </c>
      <c r="P528" s="17">
        <f>IF($K528="","",$K528)</f>
        <v/>
      </c>
      <c r="Q528" s="16" t="n"/>
      <c r="R528" s="18" t="n"/>
      <c r="S528" s="16" t="n"/>
    </row>
    <row r="529">
      <c r="A529" s="14">
        <f>IFERROR(IF(AND(IFERROR(INDEX(ERP資料!$A:$A, (MATCH(528, 輔助計算!$F$2:$F$801, 0)+1)), "")&lt;&gt;"", IFERROR(INDEX(ERP資料!$A:$A, (MATCH(528, 輔助計算!$F$2:$F$801, 0)+1)), "")&lt;&gt;IFERROR(INDEX(ERP資料!$A:$A, MATCH(527, 輔助計算!$F$2:$F$801, 0)+1), "")), INDEX(ERP資料!$B:$B, (MATCH(528, 輔助計算!$F$2:$F$801, 0)+1)), ""), "")</f>
        <v/>
      </c>
      <c r="B529" s="10">
        <f>IFERROR(IF(AND(IFERROR(INDEX(ERP資料!$A:$A, (MATCH(528, 輔助計算!$F$2:$F$801, 0)+1)), "")&lt;&gt;"", IFERROR(INDEX(ERP資料!$A:$A, (MATCH(528, 輔助計算!$F$2:$F$801, 0)+1)), "")&lt;&gt;IFERROR(INDEX(ERP資料!$A:$A, MATCH(527, 輔助計算!$F$2:$F$801, 0)+1), "")), IFERROR(INDEX(ERP資料!$A:$A, (MATCH(528, 輔助計算!$F$2:$F$801, 0)+1)), ""), ""), "")</f>
        <v/>
      </c>
      <c r="C529" s="10">
        <f>IFERROR(IF(AND(IFERROR(INDEX(ERP資料!$A:$A, (MATCH(528, 輔助計算!$F$2:$F$801, 0)+1)), "")&lt;&gt;"", IFERROR(INDEX(ERP資料!$A:$A, (MATCH(528, 輔助計算!$F$2:$F$801, 0)+1)), "")&lt;&gt;IFERROR(INDEX(ERP資料!$A:$A, MATCH(527, 輔助計算!$F$2:$F$801, 0)+1), "")), INDEX(ERP資料!$S:$S, (MATCH(528, 輔助計算!$F$2:$F$801, 0)+1)), ""), "")</f>
        <v/>
      </c>
      <c r="D529" s="10">
        <f>IFERROR(IF(INDEX(ERP資料!$E:$E, (MATCH(528, 輔助計算!$F$2:$F$801, 0)+1))="","",TRIM(INDEX(ERP資料!$E:$E, (MATCH(528, 輔助計算!$F$2:$F$801, 0)+1)))), "")</f>
        <v/>
      </c>
      <c r="E529" s="10">
        <f>IFERROR(IF(INDEX(ERP資料!$F:$F, (MATCH(528, 輔助計算!$F$2:$F$801, 0)+1))="","",INDEX(ERP資料!$F:$F, (MATCH(528, 輔助計算!$F$2:$F$801, 0)+1))), "")</f>
        <v/>
      </c>
      <c r="F529" s="10">
        <f>IFERROR(IF(INDEX(ERP資料!$G:$G, (MATCH(528, 輔助計算!$F$2:$F$801, 0)+1))="","",INDEX(ERP資料!$G:$G, (MATCH(528, 輔助計算!$F$2:$F$801, 0)+1))), "")</f>
        <v/>
      </c>
      <c r="G529" s="10">
        <f>IFERROR(IF(INDEX(ERP資料!$H:$H, (MATCH(528, 輔助計算!$F$2:$F$801, 0)+1))="","",INDEX(ERP資料!$H:$H, (MATCH(528, 輔助計算!$F$2:$F$801, 0)+1))), "")</f>
        <v/>
      </c>
      <c r="H529" s="10">
        <f>IFERROR(IF(INDEX(ERP資料!$O:$O, (MATCH(528, 輔助計算!$F$2:$F$801, 0)+1))="","",INDEX(ERP資料!$O:$O, (MATCH(528, 輔助計算!$F$2:$F$801, 0)+1))), "")</f>
        <v/>
      </c>
      <c r="I529" s="15">
        <f>IFERROR(IF(INDEX(輔助計算!$D:$D,(MATCH(528, 輔助計算!$F$2:$F$801, 0)+1))="","",INDEX(輔助計算!$D:$D,(MATCH(528, 輔助計算!$F$2:$F$801, 0)+1))*INDEX(ERP資料!$O:$O,(MATCH(528, 輔助計算!$F$2:$F$801, 0)+1))), "")</f>
        <v/>
      </c>
      <c r="J529" s="16" t="n"/>
      <c r="K529" s="15">
        <f>IFERROR(INDEX(輔助計算!$D:$D, (MATCH(528, 輔助計算!$F$2:$F$801, 0)+1)), "")</f>
        <v/>
      </c>
      <c r="L529" s="16">
        <f>IFERROR(IF(AND(IFERROR(VLOOKUP(LEFT(INDEX(ERP資料!$S:$S, (MATCH(528, 輔助計算!$F$2:$F$801, 0)+1)), 4), 100張客戶!$A:$A, 1, FALSE), "")&lt;&gt;"", OR(INDEX(ERP資料!$F:$F, (MATCH(528, 輔助計算!$F$2:$F$801, 0)+1))=270, INDEX(ERP資料!$F:$F, (MATCH(528, 輔助計算!$F$2:$F$801, 0)+1))=300)), "100張", ""), "")</f>
        <v/>
      </c>
      <c r="M529" s="17" t="n"/>
      <c r="N529" s="17">
        <f>IF($F529="","",$F529)</f>
        <v/>
      </c>
      <c r="O529" s="17">
        <f>IF($G529="","",$G529)</f>
        <v/>
      </c>
      <c r="P529" s="17">
        <f>IF($K529="","",$K529)</f>
        <v/>
      </c>
      <c r="Q529" s="16" t="n"/>
      <c r="R529" s="18" t="n"/>
      <c r="S529" s="16" t="n"/>
    </row>
    <row r="530">
      <c r="A530" s="14">
        <f>IFERROR(IF(AND(IFERROR(INDEX(ERP資料!$A:$A, (MATCH(529, 輔助計算!$F$2:$F$801, 0)+1)), "")&lt;&gt;"", IFERROR(INDEX(ERP資料!$A:$A, (MATCH(529, 輔助計算!$F$2:$F$801, 0)+1)), "")&lt;&gt;IFERROR(INDEX(ERP資料!$A:$A, MATCH(528, 輔助計算!$F$2:$F$801, 0)+1), "")), INDEX(ERP資料!$B:$B, (MATCH(529, 輔助計算!$F$2:$F$801, 0)+1)), ""), "")</f>
        <v/>
      </c>
      <c r="B530" s="10">
        <f>IFERROR(IF(AND(IFERROR(INDEX(ERP資料!$A:$A, (MATCH(529, 輔助計算!$F$2:$F$801, 0)+1)), "")&lt;&gt;"", IFERROR(INDEX(ERP資料!$A:$A, (MATCH(529, 輔助計算!$F$2:$F$801, 0)+1)), "")&lt;&gt;IFERROR(INDEX(ERP資料!$A:$A, MATCH(528, 輔助計算!$F$2:$F$801, 0)+1), "")), IFERROR(INDEX(ERP資料!$A:$A, (MATCH(529, 輔助計算!$F$2:$F$801, 0)+1)), ""), ""), "")</f>
        <v/>
      </c>
      <c r="C530" s="10">
        <f>IFERROR(IF(AND(IFERROR(INDEX(ERP資料!$A:$A, (MATCH(529, 輔助計算!$F$2:$F$801, 0)+1)), "")&lt;&gt;"", IFERROR(INDEX(ERP資料!$A:$A, (MATCH(529, 輔助計算!$F$2:$F$801, 0)+1)), "")&lt;&gt;IFERROR(INDEX(ERP資料!$A:$A, MATCH(528, 輔助計算!$F$2:$F$801, 0)+1), "")), INDEX(ERP資料!$S:$S, (MATCH(529, 輔助計算!$F$2:$F$801, 0)+1)), ""), "")</f>
        <v/>
      </c>
      <c r="D530" s="10">
        <f>IFERROR(IF(INDEX(ERP資料!$E:$E, (MATCH(529, 輔助計算!$F$2:$F$801, 0)+1))="","",TRIM(INDEX(ERP資料!$E:$E, (MATCH(529, 輔助計算!$F$2:$F$801, 0)+1)))), "")</f>
        <v/>
      </c>
      <c r="E530" s="10">
        <f>IFERROR(IF(INDEX(ERP資料!$F:$F, (MATCH(529, 輔助計算!$F$2:$F$801, 0)+1))="","",INDEX(ERP資料!$F:$F, (MATCH(529, 輔助計算!$F$2:$F$801, 0)+1))), "")</f>
        <v/>
      </c>
      <c r="F530" s="10">
        <f>IFERROR(IF(INDEX(ERP資料!$G:$G, (MATCH(529, 輔助計算!$F$2:$F$801, 0)+1))="","",INDEX(ERP資料!$G:$G, (MATCH(529, 輔助計算!$F$2:$F$801, 0)+1))), "")</f>
        <v/>
      </c>
      <c r="G530" s="10">
        <f>IFERROR(IF(INDEX(ERP資料!$H:$H, (MATCH(529, 輔助計算!$F$2:$F$801, 0)+1))="","",INDEX(ERP資料!$H:$H, (MATCH(529, 輔助計算!$F$2:$F$801, 0)+1))), "")</f>
        <v/>
      </c>
      <c r="H530" s="10">
        <f>IFERROR(IF(INDEX(ERP資料!$O:$O, (MATCH(529, 輔助計算!$F$2:$F$801, 0)+1))="","",INDEX(ERP資料!$O:$O, (MATCH(529, 輔助計算!$F$2:$F$801, 0)+1))), "")</f>
        <v/>
      </c>
      <c r="I530" s="15">
        <f>IFERROR(IF(INDEX(輔助計算!$D:$D,(MATCH(529, 輔助計算!$F$2:$F$801, 0)+1))="","",INDEX(輔助計算!$D:$D,(MATCH(529, 輔助計算!$F$2:$F$801, 0)+1))*INDEX(ERP資料!$O:$O,(MATCH(529, 輔助計算!$F$2:$F$801, 0)+1))), "")</f>
        <v/>
      </c>
      <c r="J530" s="16" t="n"/>
      <c r="K530" s="15">
        <f>IFERROR(INDEX(輔助計算!$D:$D, (MATCH(529, 輔助計算!$F$2:$F$801, 0)+1)), "")</f>
        <v/>
      </c>
      <c r="L530" s="16">
        <f>IFERROR(IF(AND(IFERROR(VLOOKUP(LEFT(INDEX(ERP資料!$S:$S, (MATCH(529, 輔助計算!$F$2:$F$801, 0)+1)), 4), 100張客戶!$A:$A, 1, FALSE), "")&lt;&gt;"", OR(INDEX(ERP資料!$F:$F, (MATCH(529, 輔助計算!$F$2:$F$801, 0)+1))=270, INDEX(ERP資料!$F:$F, (MATCH(529, 輔助計算!$F$2:$F$801, 0)+1))=300)), "100張", ""), "")</f>
        <v/>
      </c>
      <c r="M530" s="17" t="n"/>
      <c r="N530" s="17">
        <f>IF($F530="","",$F530)</f>
        <v/>
      </c>
      <c r="O530" s="17">
        <f>IF($G530="","",$G530)</f>
        <v/>
      </c>
      <c r="P530" s="17">
        <f>IF($K530="","",$K530)</f>
        <v/>
      </c>
      <c r="Q530" s="16" t="n"/>
      <c r="R530" s="18" t="n"/>
      <c r="S530" s="16" t="n"/>
    </row>
    <row r="531">
      <c r="A531" s="14">
        <f>IFERROR(IF(AND(IFERROR(INDEX(ERP資料!$A:$A, (MATCH(530, 輔助計算!$F$2:$F$801, 0)+1)), "")&lt;&gt;"", IFERROR(INDEX(ERP資料!$A:$A, (MATCH(530, 輔助計算!$F$2:$F$801, 0)+1)), "")&lt;&gt;IFERROR(INDEX(ERP資料!$A:$A, MATCH(529, 輔助計算!$F$2:$F$801, 0)+1), "")), INDEX(ERP資料!$B:$B, (MATCH(530, 輔助計算!$F$2:$F$801, 0)+1)), ""), "")</f>
        <v/>
      </c>
      <c r="B531" s="10">
        <f>IFERROR(IF(AND(IFERROR(INDEX(ERP資料!$A:$A, (MATCH(530, 輔助計算!$F$2:$F$801, 0)+1)), "")&lt;&gt;"", IFERROR(INDEX(ERP資料!$A:$A, (MATCH(530, 輔助計算!$F$2:$F$801, 0)+1)), "")&lt;&gt;IFERROR(INDEX(ERP資料!$A:$A, MATCH(529, 輔助計算!$F$2:$F$801, 0)+1), "")), IFERROR(INDEX(ERP資料!$A:$A, (MATCH(530, 輔助計算!$F$2:$F$801, 0)+1)), ""), ""), "")</f>
        <v/>
      </c>
      <c r="C531" s="10">
        <f>IFERROR(IF(AND(IFERROR(INDEX(ERP資料!$A:$A, (MATCH(530, 輔助計算!$F$2:$F$801, 0)+1)), "")&lt;&gt;"", IFERROR(INDEX(ERP資料!$A:$A, (MATCH(530, 輔助計算!$F$2:$F$801, 0)+1)), "")&lt;&gt;IFERROR(INDEX(ERP資料!$A:$A, MATCH(529, 輔助計算!$F$2:$F$801, 0)+1), "")), INDEX(ERP資料!$S:$S, (MATCH(530, 輔助計算!$F$2:$F$801, 0)+1)), ""), "")</f>
        <v/>
      </c>
      <c r="D531" s="10">
        <f>IFERROR(IF(INDEX(ERP資料!$E:$E, (MATCH(530, 輔助計算!$F$2:$F$801, 0)+1))="","",TRIM(INDEX(ERP資料!$E:$E, (MATCH(530, 輔助計算!$F$2:$F$801, 0)+1)))), "")</f>
        <v/>
      </c>
      <c r="E531" s="10">
        <f>IFERROR(IF(INDEX(ERP資料!$F:$F, (MATCH(530, 輔助計算!$F$2:$F$801, 0)+1))="","",INDEX(ERP資料!$F:$F, (MATCH(530, 輔助計算!$F$2:$F$801, 0)+1))), "")</f>
        <v/>
      </c>
      <c r="F531" s="10">
        <f>IFERROR(IF(INDEX(ERP資料!$G:$G, (MATCH(530, 輔助計算!$F$2:$F$801, 0)+1))="","",INDEX(ERP資料!$G:$G, (MATCH(530, 輔助計算!$F$2:$F$801, 0)+1))), "")</f>
        <v/>
      </c>
      <c r="G531" s="10">
        <f>IFERROR(IF(INDEX(ERP資料!$H:$H, (MATCH(530, 輔助計算!$F$2:$F$801, 0)+1))="","",INDEX(ERP資料!$H:$H, (MATCH(530, 輔助計算!$F$2:$F$801, 0)+1))), "")</f>
        <v/>
      </c>
      <c r="H531" s="10">
        <f>IFERROR(IF(INDEX(ERP資料!$O:$O, (MATCH(530, 輔助計算!$F$2:$F$801, 0)+1))="","",INDEX(ERP資料!$O:$O, (MATCH(530, 輔助計算!$F$2:$F$801, 0)+1))), "")</f>
        <v/>
      </c>
      <c r="I531" s="15">
        <f>IFERROR(IF(INDEX(輔助計算!$D:$D,(MATCH(530, 輔助計算!$F$2:$F$801, 0)+1))="","",INDEX(輔助計算!$D:$D,(MATCH(530, 輔助計算!$F$2:$F$801, 0)+1))*INDEX(ERP資料!$O:$O,(MATCH(530, 輔助計算!$F$2:$F$801, 0)+1))), "")</f>
        <v/>
      </c>
      <c r="J531" s="16" t="n"/>
      <c r="K531" s="15">
        <f>IFERROR(INDEX(輔助計算!$D:$D, (MATCH(530, 輔助計算!$F$2:$F$801, 0)+1)), "")</f>
        <v/>
      </c>
      <c r="L531" s="16">
        <f>IFERROR(IF(AND(IFERROR(VLOOKUP(LEFT(INDEX(ERP資料!$S:$S, (MATCH(530, 輔助計算!$F$2:$F$801, 0)+1)), 4), 100張客戶!$A:$A, 1, FALSE), "")&lt;&gt;"", OR(INDEX(ERP資料!$F:$F, (MATCH(530, 輔助計算!$F$2:$F$801, 0)+1))=270, INDEX(ERP資料!$F:$F, (MATCH(530, 輔助計算!$F$2:$F$801, 0)+1))=300)), "100張", ""), "")</f>
        <v/>
      </c>
      <c r="M531" s="17" t="n"/>
      <c r="N531" s="17">
        <f>IF($F531="","",$F531)</f>
        <v/>
      </c>
      <c r="O531" s="17">
        <f>IF($G531="","",$G531)</f>
        <v/>
      </c>
      <c r="P531" s="17">
        <f>IF($K531="","",$K531)</f>
        <v/>
      </c>
      <c r="Q531" s="16" t="n"/>
      <c r="R531" s="18" t="n"/>
      <c r="S531" s="16" t="n"/>
    </row>
    <row r="532">
      <c r="A532" s="14">
        <f>IFERROR(IF(AND(IFERROR(INDEX(ERP資料!$A:$A, (MATCH(531, 輔助計算!$F$2:$F$801, 0)+1)), "")&lt;&gt;"", IFERROR(INDEX(ERP資料!$A:$A, (MATCH(531, 輔助計算!$F$2:$F$801, 0)+1)), "")&lt;&gt;IFERROR(INDEX(ERP資料!$A:$A, MATCH(530, 輔助計算!$F$2:$F$801, 0)+1), "")), INDEX(ERP資料!$B:$B, (MATCH(531, 輔助計算!$F$2:$F$801, 0)+1)), ""), "")</f>
        <v/>
      </c>
      <c r="B532" s="10">
        <f>IFERROR(IF(AND(IFERROR(INDEX(ERP資料!$A:$A, (MATCH(531, 輔助計算!$F$2:$F$801, 0)+1)), "")&lt;&gt;"", IFERROR(INDEX(ERP資料!$A:$A, (MATCH(531, 輔助計算!$F$2:$F$801, 0)+1)), "")&lt;&gt;IFERROR(INDEX(ERP資料!$A:$A, MATCH(530, 輔助計算!$F$2:$F$801, 0)+1), "")), IFERROR(INDEX(ERP資料!$A:$A, (MATCH(531, 輔助計算!$F$2:$F$801, 0)+1)), ""), ""), "")</f>
        <v/>
      </c>
      <c r="C532" s="10">
        <f>IFERROR(IF(AND(IFERROR(INDEX(ERP資料!$A:$A, (MATCH(531, 輔助計算!$F$2:$F$801, 0)+1)), "")&lt;&gt;"", IFERROR(INDEX(ERP資料!$A:$A, (MATCH(531, 輔助計算!$F$2:$F$801, 0)+1)), "")&lt;&gt;IFERROR(INDEX(ERP資料!$A:$A, MATCH(530, 輔助計算!$F$2:$F$801, 0)+1), "")), INDEX(ERP資料!$S:$S, (MATCH(531, 輔助計算!$F$2:$F$801, 0)+1)), ""), "")</f>
        <v/>
      </c>
      <c r="D532" s="10">
        <f>IFERROR(IF(INDEX(ERP資料!$E:$E, (MATCH(531, 輔助計算!$F$2:$F$801, 0)+1))="","",TRIM(INDEX(ERP資料!$E:$E, (MATCH(531, 輔助計算!$F$2:$F$801, 0)+1)))), "")</f>
        <v/>
      </c>
      <c r="E532" s="10">
        <f>IFERROR(IF(INDEX(ERP資料!$F:$F, (MATCH(531, 輔助計算!$F$2:$F$801, 0)+1))="","",INDEX(ERP資料!$F:$F, (MATCH(531, 輔助計算!$F$2:$F$801, 0)+1))), "")</f>
        <v/>
      </c>
      <c r="F532" s="10">
        <f>IFERROR(IF(INDEX(ERP資料!$G:$G, (MATCH(531, 輔助計算!$F$2:$F$801, 0)+1))="","",INDEX(ERP資料!$G:$G, (MATCH(531, 輔助計算!$F$2:$F$801, 0)+1))), "")</f>
        <v/>
      </c>
      <c r="G532" s="10">
        <f>IFERROR(IF(INDEX(ERP資料!$H:$H, (MATCH(531, 輔助計算!$F$2:$F$801, 0)+1))="","",INDEX(ERP資料!$H:$H, (MATCH(531, 輔助計算!$F$2:$F$801, 0)+1))), "")</f>
        <v/>
      </c>
      <c r="H532" s="10">
        <f>IFERROR(IF(INDEX(ERP資料!$O:$O, (MATCH(531, 輔助計算!$F$2:$F$801, 0)+1))="","",INDEX(ERP資料!$O:$O, (MATCH(531, 輔助計算!$F$2:$F$801, 0)+1))), "")</f>
        <v/>
      </c>
      <c r="I532" s="15">
        <f>IFERROR(IF(INDEX(輔助計算!$D:$D,(MATCH(531, 輔助計算!$F$2:$F$801, 0)+1))="","",INDEX(輔助計算!$D:$D,(MATCH(531, 輔助計算!$F$2:$F$801, 0)+1))*INDEX(ERP資料!$O:$O,(MATCH(531, 輔助計算!$F$2:$F$801, 0)+1))), "")</f>
        <v/>
      </c>
      <c r="J532" s="16" t="n"/>
      <c r="K532" s="15">
        <f>IFERROR(INDEX(輔助計算!$D:$D, (MATCH(531, 輔助計算!$F$2:$F$801, 0)+1)), "")</f>
        <v/>
      </c>
      <c r="L532" s="16">
        <f>IFERROR(IF(AND(IFERROR(VLOOKUP(LEFT(INDEX(ERP資料!$S:$S, (MATCH(531, 輔助計算!$F$2:$F$801, 0)+1)), 4), 100張客戶!$A:$A, 1, FALSE), "")&lt;&gt;"", OR(INDEX(ERP資料!$F:$F, (MATCH(531, 輔助計算!$F$2:$F$801, 0)+1))=270, INDEX(ERP資料!$F:$F, (MATCH(531, 輔助計算!$F$2:$F$801, 0)+1))=300)), "100張", ""), "")</f>
        <v/>
      </c>
      <c r="M532" s="17" t="n"/>
      <c r="N532" s="17">
        <f>IF($F532="","",$F532)</f>
        <v/>
      </c>
      <c r="O532" s="17">
        <f>IF($G532="","",$G532)</f>
        <v/>
      </c>
      <c r="P532" s="17">
        <f>IF($K532="","",$K532)</f>
        <v/>
      </c>
      <c r="Q532" s="16" t="n"/>
      <c r="R532" s="18" t="n"/>
      <c r="S532" s="16" t="n"/>
    </row>
    <row r="533">
      <c r="A533" s="14">
        <f>IFERROR(IF(AND(IFERROR(INDEX(ERP資料!$A:$A, (MATCH(532, 輔助計算!$F$2:$F$801, 0)+1)), "")&lt;&gt;"", IFERROR(INDEX(ERP資料!$A:$A, (MATCH(532, 輔助計算!$F$2:$F$801, 0)+1)), "")&lt;&gt;IFERROR(INDEX(ERP資料!$A:$A, MATCH(531, 輔助計算!$F$2:$F$801, 0)+1), "")), INDEX(ERP資料!$B:$B, (MATCH(532, 輔助計算!$F$2:$F$801, 0)+1)), ""), "")</f>
        <v/>
      </c>
      <c r="B533" s="10">
        <f>IFERROR(IF(AND(IFERROR(INDEX(ERP資料!$A:$A, (MATCH(532, 輔助計算!$F$2:$F$801, 0)+1)), "")&lt;&gt;"", IFERROR(INDEX(ERP資料!$A:$A, (MATCH(532, 輔助計算!$F$2:$F$801, 0)+1)), "")&lt;&gt;IFERROR(INDEX(ERP資料!$A:$A, MATCH(531, 輔助計算!$F$2:$F$801, 0)+1), "")), IFERROR(INDEX(ERP資料!$A:$A, (MATCH(532, 輔助計算!$F$2:$F$801, 0)+1)), ""), ""), "")</f>
        <v/>
      </c>
      <c r="C533" s="10">
        <f>IFERROR(IF(AND(IFERROR(INDEX(ERP資料!$A:$A, (MATCH(532, 輔助計算!$F$2:$F$801, 0)+1)), "")&lt;&gt;"", IFERROR(INDEX(ERP資料!$A:$A, (MATCH(532, 輔助計算!$F$2:$F$801, 0)+1)), "")&lt;&gt;IFERROR(INDEX(ERP資料!$A:$A, MATCH(531, 輔助計算!$F$2:$F$801, 0)+1), "")), INDEX(ERP資料!$S:$S, (MATCH(532, 輔助計算!$F$2:$F$801, 0)+1)), ""), "")</f>
        <v/>
      </c>
      <c r="D533" s="10">
        <f>IFERROR(IF(INDEX(ERP資料!$E:$E, (MATCH(532, 輔助計算!$F$2:$F$801, 0)+1))="","",TRIM(INDEX(ERP資料!$E:$E, (MATCH(532, 輔助計算!$F$2:$F$801, 0)+1)))), "")</f>
        <v/>
      </c>
      <c r="E533" s="10">
        <f>IFERROR(IF(INDEX(ERP資料!$F:$F, (MATCH(532, 輔助計算!$F$2:$F$801, 0)+1))="","",INDEX(ERP資料!$F:$F, (MATCH(532, 輔助計算!$F$2:$F$801, 0)+1))), "")</f>
        <v/>
      </c>
      <c r="F533" s="10">
        <f>IFERROR(IF(INDEX(ERP資料!$G:$G, (MATCH(532, 輔助計算!$F$2:$F$801, 0)+1))="","",INDEX(ERP資料!$G:$G, (MATCH(532, 輔助計算!$F$2:$F$801, 0)+1))), "")</f>
        <v/>
      </c>
      <c r="G533" s="10">
        <f>IFERROR(IF(INDEX(ERP資料!$H:$H, (MATCH(532, 輔助計算!$F$2:$F$801, 0)+1))="","",INDEX(ERP資料!$H:$H, (MATCH(532, 輔助計算!$F$2:$F$801, 0)+1))), "")</f>
        <v/>
      </c>
      <c r="H533" s="10">
        <f>IFERROR(IF(INDEX(ERP資料!$O:$O, (MATCH(532, 輔助計算!$F$2:$F$801, 0)+1))="","",INDEX(ERP資料!$O:$O, (MATCH(532, 輔助計算!$F$2:$F$801, 0)+1))), "")</f>
        <v/>
      </c>
      <c r="I533" s="15">
        <f>IFERROR(IF(INDEX(輔助計算!$D:$D,(MATCH(532, 輔助計算!$F$2:$F$801, 0)+1))="","",INDEX(輔助計算!$D:$D,(MATCH(532, 輔助計算!$F$2:$F$801, 0)+1))*INDEX(ERP資料!$O:$O,(MATCH(532, 輔助計算!$F$2:$F$801, 0)+1))), "")</f>
        <v/>
      </c>
      <c r="J533" s="16" t="n"/>
      <c r="K533" s="15">
        <f>IFERROR(INDEX(輔助計算!$D:$D, (MATCH(532, 輔助計算!$F$2:$F$801, 0)+1)), "")</f>
        <v/>
      </c>
      <c r="L533" s="16">
        <f>IFERROR(IF(AND(IFERROR(VLOOKUP(LEFT(INDEX(ERP資料!$S:$S, (MATCH(532, 輔助計算!$F$2:$F$801, 0)+1)), 4), 100張客戶!$A:$A, 1, FALSE), "")&lt;&gt;"", OR(INDEX(ERP資料!$F:$F, (MATCH(532, 輔助計算!$F$2:$F$801, 0)+1))=270, INDEX(ERP資料!$F:$F, (MATCH(532, 輔助計算!$F$2:$F$801, 0)+1))=300)), "100張", ""), "")</f>
        <v/>
      </c>
      <c r="M533" s="17" t="n"/>
      <c r="N533" s="17">
        <f>IF($F533="","",$F533)</f>
        <v/>
      </c>
      <c r="O533" s="17">
        <f>IF($G533="","",$G533)</f>
        <v/>
      </c>
      <c r="P533" s="17">
        <f>IF($K533="","",$K533)</f>
        <v/>
      </c>
      <c r="Q533" s="16" t="n"/>
      <c r="R533" s="18" t="n"/>
      <c r="S533" s="16" t="n"/>
    </row>
    <row r="534">
      <c r="A534" s="14">
        <f>IFERROR(IF(AND(IFERROR(INDEX(ERP資料!$A:$A, (MATCH(533, 輔助計算!$F$2:$F$801, 0)+1)), "")&lt;&gt;"", IFERROR(INDEX(ERP資料!$A:$A, (MATCH(533, 輔助計算!$F$2:$F$801, 0)+1)), "")&lt;&gt;IFERROR(INDEX(ERP資料!$A:$A, MATCH(532, 輔助計算!$F$2:$F$801, 0)+1), "")), INDEX(ERP資料!$B:$B, (MATCH(533, 輔助計算!$F$2:$F$801, 0)+1)), ""), "")</f>
        <v/>
      </c>
      <c r="B534" s="10">
        <f>IFERROR(IF(AND(IFERROR(INDEX(ERP資料!$A:$A, (MATCH(533, 輔助計算!$F$2:$F$801, 0)+1)), "")&lt;&gt;"", IFERROR(INDEX(ERP資料!$A:$A, (MATCH(533, 輔助計算!$F$2:$F$801, 0)+1)), "")&lt;&gt;IFERROR(INDEX(ERP資料!$A:$A, MATCH(532, 輔助計算!$F$2:$F$801, 0)+1), "")), IFERROR(INDEX(ERP資料!$A:$A, (MATCH(533, 輔助計算!$F$2:$F$801, 0)+1)), ""), ""), "")</f>
        <v/>
      </c>
      <c r="C534" s="10">
        <f>IFERROR(IF(AND(IFERROR(INDEX(ERP資料!$A:$A, (MATCH(533, 輔助計算!$F$2:$F$801, 0)+1)), "")&lt;&gt;"", IFERROR(INDEX(ERP資料!$A:$A, (MATCH(533, 輔助計算!$F$2:$F$801, 0)+1)), "")&lt;&gt;IFERROR(INDEX(ERP資料!$A:$A, MATCH(532, 輔助計算!$F$2:$F$801, 0)+1), "")), INDEX(ERP資料!$S:$S, (MATCH(533, 輔助計算!$F$2:$F$801, 0)+1)), ""), "")</f>
        <v/>
      </c>
      <c r="D534" s="10">
        <f>IFERROR(IF(INDEX(ERP資料!$E:$E, (MATCH(533, 輔助計算!$F$2:$F$801, 0)+1))="","",TRIM(INDEX(ERP資料!$E:$E, (MATCH(533, 輔助計算!$F$2:$F$801, 0)+1)))), "")</f>
        <v/>
      </c>
      <c r="E534" s="10">
        <f>IFERROR(IF(INDEX(ERP資料!$F:$F, (MATCH(533, 輔助計算!$F$2:$F$801, 0)+1))="","",INDEX(ERP資料!$F:$F, (MATCH(533, 輔助計算!$F$2:$F$801, 0)+1))), "")</f>
        <v/>
      </c>
      <c r="F534" s="10">
        <f>IFERROR(IF(INDEX(ERP資料!$G:$G, (MATCH(533, 輔助計算!$F$2:$F$801, 0)+1))="","",INDEX(ERP資料!$G:$G, (MATCH(533, 輔助計算!$F$2:$F$801, 0)+1))), "")</f>
        <v/>
      </c>
      <c r="G534" s="10">
        <f>IFERROR(IF(INDEX(ERP資料!$H:$H, (MATCH(533, 輔助計算!$F$2:$F$801, 0)+1))="","",INDEX(ERP資料!$H:$H, (MATCH(533, 輔助計算!$F$2:$F$801, 0)+1))), "")</f>
        <v/>
      </c>
      <c r="H534" s="10">
        <f>IFERROR(IF(INDEX(ERP資料!$O:$O, (MATCH(533, 輔助計算!$F$2:$F$801, 0)+1))="","",INDEX(ERP資料!$O:$O, (MATCH(533, 輔助計算!$F$2:$F$801, 0)+1))), "")</f>
        <v/>
      </c>
      <c r="I534" s="15">
        <f>IFERROR(IF(INDEX(輔助計算!$D:$D,(MATCH(533, 輔助計算!$F$2:$F$801, 0)+1))="","",INDEX(輔助計算!$D:$D,(MATCH(533, 輔助計算!$F$2:$F$801, 0)+1))*INDEX(ERP資料!$O:$O,(MATCH(533, 輔助計算!$F$2:$F$801, 0)+1))), "")</f>
        <v/>
      </c>
      <c r="J534" s="16" t="n"/>
      <c r="K534" s="15">
        <f>IFERROR(INDEX(輔助計算!$D:$D, (MATCH(533, 輔助計算!$F$2:$F$801, 0)+1)), "")</f>
        <v/>
      </c>
      <c r="L534" s="16">
        <f>IFERROR(IF(AND(IFERROR(VLOOKUP(LEFT(INDEX(ERP資料!$S:$S, (MATCH(533, 輔助計算!$F$2:$F$801, 0)+1)), 4), 100張客戶!$A:$A, 1, FALSE), "")&lt;&gt;"", OR(INDEX(ERP資料!$F:$F, (MATCH(533, 輔助計算!$F$2:$F$801, 0)+1))=270, INDEX(ERP資料!$F:$F, (MATCH(533, 輔助計算!$F$2:$F$801, 0)+1))=300)), "100張", ""), "")</f>
        <v/>
      </c>
      <c r="M534" s="17" t="n"/>
      <c r="N534" s="17">
        <f>IF($F534="","",$F534)</f>
        <v/>
      </c>
      <c r="O534" s="17">
        <f>IF($G534="","",$G534)</f>
        <v/>
      </c>
      <c r="P534" s="17">
        <f>IF($K534="","",$K534)</f>
        <v/>
      </c>
      <c r="Q534" s="16" t="n"/>
      <c r="R534" s="18" t="n"/>
      <c r="S534" s="16" t="n"/>
    </row>
    <row r="535">
      <c r="A535" s="14">
        <f>IFERROR(IF(AND(IFERROR(INDEX(ERP資料!$A:$A, (MATCH(534, 輔助計算!$F$2:$F$801, 0)+1)), "")&lt;&gt;"", IFERROR(INDEX(ERP資料!$A:$A, (MATCH(534, 輔助計算!$F$2:$F$801, 0)+1)), "")&lt;&gt;IFERROR(INDEX(ERP資料!$A:$A, MATCH(533, 輔助計算!$F$2:$F$801, 0)+1), "")), INDEX(ERP資料!$B:$B, (MATCH(534, 輔助計算!$F$2:$F$801, 0)+1)), ""), "")</f>
        <v/>
      </c>
      <c r="B535" s="10">
        <f>IFERROR(IF(AND(IFERROR(INDEX(ERP資料!$A:$A, (MATCH(534, 輔助計算!$F$2:$F$801, 0)+1)), "")&lt;&gt;"", IFERROR(INDEX(ERP資料!$A:$A, (MATCH(534, 輔助計算!$F$2:$F$801, 0)+1)), "")&lt;&gt;IFERROR(INDEX(ERP資料!$A:$A, MATCH(533, 輔助計算!$F$2:$F$801, 0)+1), "")), IFERROR(INDEX(ERP資料!$A:$A, (MATCH(534, 輔助計算!$F$2:$F$801, 0)+1)), ""), ""), "")</f>
        <v/>
      </c>
      <c r="C535" s="10">
        <f>IFERROR(IF(AND(IFERROR(INDEX(ERP資料!$A:$A, (MATCH(534, 輔助計算!$F$2:$F$801, 0)+1)), "")&lt;&gt;"", IFERROR(INDEX(ERP資料!$A:$A, (MATCH(534, 輔助計算!$F$2:$F$801, 0)+1)), "")&lt;&gt;IFERROR(INDEX(ERP資料!$A:$A, MATCH(533, 輔助計算!$F$2:$F$801, 0)+1), "")), INDEX(ERP資料!$S:$S, (MATCH(534, 輔助計算!$F$2:$F$801, 0)+1)), ""), "")</f>
        <v/>
      </c>
      <c r="D535" s="10">
        <f>IFERROR(IF(INDEX(ERP資料!$E:$E, (MATCH(534, 輔助計算!$F$2:$F$801, 0)+1))="","",TRIM(INDEX(ERP資料!$E:$E, (MATCH(534, 輔助計算!$F$2:$F$801, 0)+1)))), "")</f>
        <v/>
      </c>
      <c r="E535" s="10">
        <f>IFERROR(IF(INDEX(ERP資料!$F:$F, (MATCH(534, 輔助計算!$F$2:$F$801, 0)+1))="","",INDEX(ERP資料!$F:$F, (MATCH(534, 輔助計算!$F$2:$F$801, 0)+1))), "")</f>
        <v/>
      </c>
      <c r="F535" s="10">
        <f>IFERROR(IF(INDEX(ERP資料!$G:$G, (MATCH(534, 輔助計算!$F$2:$F$801, 0)+1))="","",INDEX(ERP資料!$G:$G, (MATCH(534, 輔助計算!$F$2:$F$801, 0)+1))), "")</f>
        <v/>
      </c>
      <c r="G535" s="10">
        <f>IFERROR(IF(INDEX(ERP資料!$H:$H, (MATCH(534, 輔助計算!$F$2:$F$801, 0)+1))="","",INDEX(ERP資料!$H:$H, (MATCH(534, 輔助計算!$F$2:$F$801, 0)+1))), "")</f>
        <v/>
      </c>
      <c r="H535" s="10">
        <f>IFERROR(IF(INDEX(ERP資料!$O:$O, (MATCH(534, 輔助計算!$F$2:$F$801, 0)+1))="","",INDEX(ERP資料!$O:$O, (MATCH(534, 輔助計算!$F$2:$F$801, 0)+1))), "")</f>
        <v/>
      </c>
      <c r="I535" s="15">
        <f>IFERROR(IF(INDEX(輔助計算!$D:$D,(MATCH(534, 輔助計算!$F$2:$F$801, 0)+1))="","",INDEX(輔助計算!$D:$D,(MATCH(534, 輔助計算!$F$2:$F$801, 0)+1))*INDEX(ERP資料!$O:$O,(MATCH(534, 輔助計算!$F$2:$F$801, 0)+1))), "")</f>
        <v/>
      </c>
      <c r="J535" s="16" t="n"/>
      <c r="K535" s="15">
        <f>IFERROR(INDEX(輔助計算!$D:$D, (MATCH(534, 輔助計算!$F$2:$F$801, 0)+1)), "")</f>
        <v/>
      </c>
      <c r="L535" s="16">
        <f>IFERROR(IF(AND(IFERROR(VLOOKUP(LEFT(INDEX(ERP資料!$S:$S, (MATCH(534, 輔助計算!$F$2:$F$801, 0)+1)), 4), 100張客戶!$A:$A, 1, FALSE), "")&lt;&gt;"", OR(INDEX(ERP資料!$F:$F, (MATCH(534, 輔助計算!$F$2:$F$801, 0)+1))=270, INDEX(ERP資料!$F:$F, (MATCH(534, 輔助計算!$F$2:$F$801, 0)+1))=300)), "100張", ""), "")</f>
        <v/>
      </c>
      <c r="M535" s="17" t="n"/>
      <c r="N535" s="17">
        <f>IF($F535="","",$F535)</f>
        <v/>
      </c>
      <c r="O535" s="17">
        <f>IF($G535="","",$G535)</f>
        <v/>
      </c>
      <c r="P535" s="17">
        <f>IF($K535="","",$K535)</f>
        <v/>
      </c>
      <c r="Q535" s="16" t="n"/>
      <c r="R535" s="18" t="n"/>
      <c r="S535" s="16" t="n"/>
    </row>
    <row r="536">
      <c r="A536" s="14">
        <f>IFERROR(IF(AND(IFERROR(INDEX(ERP資料!$A:$A, (MATCH(535, 輔助計算!$F$2:$F$801, 0)+1)), "")&lt;&gt;"", IFERROR(INDEX(ERP資料!$A:$A, (MATCH(535, 輔助計算!$F$2:$F$801, 0)+1)), "")&lt;&gt;IFERROR(INDEX(ERP資料!$A:$A, MATCH(534, 輔助計算!$F$2:$F$801, 0)+1), "")), INDEX(ERP資料!$B:$B, (MATCH(535, 輔助計算!$F$2:$F$801, 0)+1)), ""), "")</f>
        <v/>
      </c>
      <c r="B536" s="10">
        <f>IFERROR(IF(AND(IFERROR(INDEX(ERP資料!$A:$A, (MATCH(535, 輔助計算!$F$2:$F$801, 0)+1)), "")&lt;&gt;"", IFERROR(INDEX(ERP資料!$A:$A, (MATCH(535, 輔助計算!$F$2:$F$801, 0)+1)), "")&lt;&gt;IFERROR(INDEX(ERP資料!$A:$A, MATCH(534, 輔助計算!$F$2:$F$801, 0)+1), "")), IFERROR(INDEX(ERP資料!$A:$A, (MATCH(535, 輔助計算!$F$2:$F$801, 0)+1)), ""), ""), "")</f>
        <v/>
      </c>
      <c r="C536" s="10">
        <f>IFERROR(IF(AND(IFERROR(INDEX(ERP資料!$A:$A, (MATCH(535, 輔助計算!$F$2:$F$801, 0)+1)), "")&lt;&gt;"", IFERROR(INDEX(ERP資料!$A:$A, (MATCH(535, 輔助計算!$F$2:$F$801, 0)+1)), "")&lt;&gt;IFERROR(INDEX(ERP資料!$A:$A, MATCH(534, 輔助計算!$F$2:$F$801, 0)+1), "")), INDEX(ERP資料!$S:$S, (MATCH(535, 輔助計算!$F$2:$F$801, 0)+1)), ""), "")</f>
        <v/>
      </c>
      <c r="D536" s="10">
        <f>IFERROR(IF(INDEX(ERP資料!$E:$E, (MATCH(535, 輔助計算!$F$2:$F$801, 0)+1))="","",TRIM(INDEX(ERP資料!$E:$E, (MATCH(535, 輔助計算!$F$2:$F$801, 0)+1)))), "")</f>
        <v/>
      </c>
      <c r="E536" s="10">
        <f>IFERROR(IF(INDEX(ERP資料!$F:$F, (MATCH(535, 輔助計算!$F$2:$F$801, 0)+1))="","",INDEX(ERP資料!$F:$F, (MATCH(535, 輔助計算!$F$2:$F$801, 0)+1))), "")</f>
        <v/>
      </c>
      <c r="F536" s="10">
        <f>IFERROR(IF(INDEX(ERP資料!$G:$G, (MATCH(535, 輔助計算!$F$2:$F$801, 0)+1))="","",INDEX(ERP資料!$G:$G, (MATCH(535, 輔助計算!$F$2:$F$801, 0)+1))), "")</f>
        <v/>
      </c>
      <c r="G536" s="10">
        <f>IFERROR(IF(INDEX(ERP資料!$H:$H, (MATCH(535, 輔助計算!$F$2:$F$801, 0)+1))="","",INDEX(ERP資料!$H:$H, (MATCH(535, 輔助計算!$F$2:$F$801, 0)+1))), "")</f>
        <v/>
      </c>
      <c r="H536" s="10">
        <f>IFERROR(IF(INDEX(ERP資料!$O:$O, (MATCH(535, 輔助計算!$F$2:$F$801, 0)+1))="","",INDEX(ERP資料!$O:$O, (MATCH(535, 輔助計算!$F$2:$F$801, 0)+1))), "")</f>
        <v/>
      </c>
      <c r="I536" s="15">
        <f>IFERROR(IF(INDEX(輔助計算!$D:$D,(MATCH(535, 輔助計算!$F$2:$F$801, 0)+1))="","",INDEX(輔助計算!$D:$D,(MATCH(535, 輔助計算!$F$2:$F$801, 0)+1))*INDEX(ERP資料!$O:$O,(MATCH(535, 輔助計算!$F$2:$F$801, 0)+1))), "")</f>
        <v/>
      </c>
      <c r="J536" s="16" t="n"/>
      <c r="K536" s="15">
        <f>IFERROR(INDEX(輔助計算!$D:$D, (MATCH(535, 輔助計算!$F$2:$F$801, 0)+1)), "")</f>
        <v/>
      </c>
      <c r="L536" s="16">
        <f>IFERROR(IF(AND(IFERROR(VLOOKUP(LEFT(INDEX(ERP資料!$S:$S, (MATCH(535, 輔助計算!$F$2:$F$801, 0)+1)), 4), 100張客戶!$A:$A, 1, FALSE), "")&lt;&gt;"", OR(INDEX(ERP資料!$F:$F, (MATCH(535, 輔助計算!$F$2:$F$801, 0)+1))=270, INDEX(ERP資料!$F:$F, (MATCH(535, 輔助計算!$F$2:$F$801, 0)+1))=300)), "100張", ""), "")</f>
        <v/>
      </c>
      <c r="M536" s="17" t="n"/>
      <c r="N536" s="17">
        <f>IF($F536="","",$F536)</f>
        <v/>
      </c>
      <c r="O536" s="17">
        <f>IF($G536="","",$G536)</f>
        <v/>
      </c>
      <c r="P536" s="17">
        <f>IF($K536="","",$K536)</f>
        <v/>
      </c>
      <c r="Q536" s="16" t="n"/>
      <c r="R536" s="18" t="n"/>
      <c r="S536" s="16" t="n"/>
    </row>
    <row r="537">
      <c r="A537" s="14">
        <f>IFERROR(IF(AND(IFERROR(INDEX(ERP資料!$A:$A, (MATCH(536, 輔助計算!$F$2:$F$801, 0)+1)), "")&lt;&gt;"", IFERROR(INDEX(ERP資料!$A:$A, (MATCH(536, 輔助計算!$F$2:$F$801, 0)+1)), "")&lt;&gt;IFERROR(INDEX(ERP資料!$A:$A, MATCH(535, 輔助計算!$F$2:$F$801, 0)+1), "")), INDEX(ERP資料!$B:$B, (MATCH(536, 輔助計算!$F$2:$F$801, 0)+1)), ""), "")</f>
        <v/>
      </c>
      <c r="B537" s="10">
        <f>IFERROR(IF(AND(IFERROR(INDEX(ERP資料!$A:$A, (MATCH(536, 輔助計算!$F$2:$F$801, 0)+1)), "")&lt;&gt;"", IFERROR(INDEX(ERP資料!$A:$A, (MATCH(536, 輔助計算!$F$2:$F$801, 0)+1)), "")&lt;&gt;IFERROR(INDEX(ERP資料!$A:$A, MATCH(535, 輔助計算!$F$2:$F$801, 0)+1), "")), IFERROR(INDEX(ERP資料!$A:$A, (MATCH(536, 輔助計算!$F$2:$F$801, 0)+1)), ""), ""), "")</f>
        <v/>
      </c>
      <c r="C537" s="10">
        <f>IFERROR(IF(AND(IFERROR(INDEX(ERP資料!$A:$A, (MATCH(536, 輔助計算!$F$2:$F$801, 0)+1)), "")&lt;&gt;"", IFERROR(INDEX(ERP資料!$A:$A, (MATCH(536, 輔助計算!$F$2:$F$801, 0)+1)), "")&lt;&gt;IFERROR(INDEX(ERP資料!$A:$A, MATCH(535, 輔助計算!$F$2:$F$801, 0)+1), "")), INDEX(ERP資料!$S:$S, (MATCH(536, 輔助計算!$F$2:$F$801, 0)+1)), ""), "")</f>
        <v/>
      </c>
      <c r="D537" s="10">
        <f>IFERROR(IF(INDEX(ERP資料!$E:$E, (MATCH(536, 輔助計算!$F$2:$F$801, 0)+1))="","",TRIM(INDEX(ERP資料!$E:$E, (MATCH(536, 輔助計算!$F$2:$F$801, 0)+1)))), "")</f>
        <v/>
      </c>
      <c r="E537" s="10">
        <f>IFERROR(IF(INDEX(ERP資料!$F:$F, (MATCH(536, 輔助計算!$F$2:$F$801, 0)+1))="","",INDEX(ERP資料!$F:$F, (MATCH(536, 輔助計算!$F$2:$F$801, 0)+1))), "")</f>
        <v/>
      </c>
      <c r="F537" s="10">
        <f>IFERROR(IF(INDEX(ERP資料!$G:$G, (MATCH(536, 輔助計算!$F$2:$F$801, 0)+1))="","",INDEX(ERP資料!$G:$G, (MATCH(536, 輔助計算!$F$2:$F$801, 0)+1))), "")</f>
        <v/>
      </c>
      <c r="G537" s="10">
        <f>IFERROR(IF(INDEX(ERP資料!$H:$H, (MATCH(536, 輔助計算!$F$2:$F$801, 0)+1))="","",INDEX(ERP資料!$H:$H, (MATCH(536, 輔助計算!$F$2:$F$801, 0)+1))), "")</f>
        <v/>
      </c>
      <c r="H537" s="10">
        <f>IFERROR(IF(INDEX(ERP資料!$O:$O, (MATCH(536, 輔助計算!$F$2:$F$801, 0)+1))="","",INDEX(ERP資料!$O:$O, (MATCH(536, 輔助計算!$F$2:$F$801, 0)+1))), "")</f>
        <v/>
      </c>
      <c r="I537" s="15">
        <f>IFERROR(IF(INDEX(輔助計算!$D:$D,(MATCH(536, 輔助計算!$F$2:$F$801, 0)+1))="","",INDEX(輔助計算!$D:$D,(MATCH(536, 輔助計算!$F$2:$F$801, 0)+1))*INDEX(ERP資料!$O:$O,(MATCH(536, 輔助計算!$F$2:$F$801, 0)+1))), "")</f>
        <v/>
      </c>
      <c r="J537" s="16" t="n"/>
      <c r="K537" s="15">
        <f>IFERROR(INDEX(輔助計算!$D:$D, (MATCH(536, 輔助計算!$F$2:$F$801, 0)+1)), "")</f>
        <v/>
      </c>
      <c r="L537" s="16">
        <f>IFERROR(IF(AND(IFERROR(VLOOKUP(LEFT(INDEX(ERP資料!$S:$S, (MATCH(536, 輔助計算!$F$2:$F$801, 0)+1)), 4), 100張客戶!$A:$A, 1, FALSE), "")&lt;&gt;"", OR(INDEX(ERP資料!$F:$F, (MATCH(536, 輔助計算!$F$2:$F$801, 0)+1))=270, INDEX(ERP資料!$F:$F, (MATCH(536, 輔助計算!$F$2:$F$801, 0)+1))=300)), "100張", ""), "")</f>
        <v/>
      </c>
      <c r="M537" s="17" t="n"/>
      <c r="N537" s="17">
        <f>IF($F537="","",$F537)</f>
        <v/>
      </c>
      <c r="O537" s="17">
        <f>IF($G537="","",$G537)</f>
        <v/>
      </c>
      <c r="P537" s="17">
        <f>IF($K537="","",$K537)</f>
        <v/>
      </c>
      <c r="Q537" s="16" t="n"/>
      <c r="R537" s="18" t="n"/>
      <c r="S537" s="16" t="n"/>
    </row>
    <row r="538">
      <c r="A538" s="14">
        <f>IFERROR(IF(AND(IFERROR(INDEX(ERP資料!$A:$A, (MATCH(537, 輔助計算!$F$2:$F$801, 0)+1)), "")&lt;&gt;"", IFERROR(INDEX(ERP資料!$A:$A, (MATCH(537, 輔助計算!$F$2:$F$801, 0)+1)), "")&lt;&gt;IFERROR(INDEX(ERP資料!$A:$A, MATCH(536, 輔助計算!$F$2:$F$801, 0)+1), "")), INDEX(ERP資料!$B:$B, (MATCH(537, 輔助計算!$F$2:$F$801, 0)+1)), ""), "")</f>
        <v/>
      </c>
      <c r="B538" s="10">
        <f>IFERROR(IF(AND(IFERROR(INDEX(ERP資料!$A:$A, (MATCH(537, 輔助計算!$F$2:$F$801, 0)+1)), "")&lt;&gt;"", IFERROR(INDEX(ERP資料!$A:$A, (MATCH(537, 輔助計算!$F$2:$F$801, 0)+1)), "")&lt;&gt;IFERROR(INDEX(ERP資料!$A:$A, MATCH(536, 輔助計算!$F$2:$F$801, 0)+1), "")), IFERROR(INDEX(ERP資料!$A:$A, (MATCH(537, 輔助計算!$F$2:$F$801, 0)+1)), ""), ""), "")</f>
        <v/>
      </c>
      <c r="C538" s="10">
        <f>IFERROR(IF(AND(IFERROR(INDEX(ERP資料!$A:$A, (MATCH(537, 輔助計算!$F$2:$F$801, 0)+1)), "")&lt;&gt;"", IFERROR(INDEX(ERP資料!$A:$A, (MATCH(537, 輔助計算!$F$2:$F$801, 0)+1)), "")&lt;&gt;IFERROR(INDEX(ERP資料!$A:$A, MATCH(536, 輔助計算!$F$2:$F$801, 0)+1), "")), INDEX(ERP資料!$S:$S, (MATCH(537, 輔助計算!$F$2:$F$801, 0)+1)), ""), "")</f>
        <v/>
      </c>
      <c r="D538" s="10">
        <f>IFERROR(IF(INDEX(ERP資料!$E:$E, (MATCH(537, 輔助計算!$F$2:$F$801, 0)+1))="","",TRIM(INDEX(ERP資料!$E:$E, (MATCH(537, 輔助計算!$F$2:$F$801, 0)+1)))), "")</f>
        <v/>
      </c>
      <c r="E538" s="10">
        <f>IFERROR(IF(INDEX(ERP資料!$F:$F, (MATCH(537, 輔助計算!$F$2:$F$801, 0)+1))="","",INDEX(ERP資料!$F:$F, (MATCH(537, 輔助計算!$F$2:$F$801, 0)+1))), "")</f>
        <v/>
      </c>
      <c r="F538" s="10">
        <f>IFERROR(IF(INDEX(ERP資料!$G:$G, (MATCH(537, 輔助計算!$F$2:$F$801, 0)+1))="","",INDEX(ERP資料!$G:$G, (MATCH(537, 輔助計算!$F$2:$F$801, 0)+1))), "")</f>
        <v/>
      </c>
      <c r="G538" s="10">
        <f>IFERROR(IF(INDEX(ERP資料!$H:$H, (MATCH(537, 輔助計算!$F$2:$F$801, 0)+1))="","",INDEX(ERP資料!$H:$H, (MATCH(537, 輔助計算!$F$2:$F$801, 0)+1))), "")</f>
        <v/>
      </c>
      <c r="H538" s="10">
        <f>IFERROR(IF(INDEX(ERP資料!$O:$O, (MATCH(537, 輔助計算!$F$2:$F$801, 0)+1))="","",INDEX(ERP資料!$O:$O, (MATCH(537, 輔助計算!$F$2:$F$801, 0)+1))), "")</f>
        <v/>
      </c>
      <c r="I538" s="15">
        <f>IFERROR(IF(INDEX(輔助計算!$D:$D,(MATCH(537, 輔助計算!$F$2:$F$801, 0)+1))="","",INDEX(輔助計算!$D:$D,(MATCH(537, 輔助計算!$F$2:$F$801, 0)+1))*INDEX(ERP資料!$O:$O,(MATCH(537, 輔助計算!$F$2:$F$801, 0)+1))), "")</f>
        <v/>
      </c>
      <c r="J538" s="16" t="n"/>
      <c r="K538" s="15">
        <f>IFERROR(INDEX(輔助計算!$D:$D, (MATCH(537, 輔助計算!$F$2:$F$801, 0)+1)), "")</f>
        <v/>
      </c>
      <c r="L538" s="16">
        <f>IFERROR(IF(AND(IFERROR(VLOOKUP(LEFT(INDEX(ERP資料!$S:$S, (MATCH(537, 輔助計算!$F$2:$F$801, 0)+1)), 4), 100張客戶!$A:$A, 1, FALSE), "")&lt;&gt;"", OR(INDEX(ERP資料!$F:$F, (MATCH(537, 輔助計算!$F$2:$F$801, 0)+1))=270, INDEX(ERP資料!$F:$F, (MATCH(537, 輔助計算!$F$2:$F$801, 0)+1))=300)), "100張", ""), "")</f>
        <v/>
      </c>
      <c r="M538" s="17" t="n"/>
      <c r="N538" s="17">
        <f>IF($F538="","",$F538)</f>
        <v/>
      </c>
      <c r="O538" s="17">
        <f>IF($G538="","",$G538)</f>
        <v/>
      </c>
      <c r="P538" s="17">
        <f>IF($K538="","",$K538)</f>
        <v/>
      </c>
      <c r="Q538" s="16" t="n"/>
      <c r="R538" s="18" t="n"/>
      <c r="S538" s="16" t="n"/>
    </row>
    <row r="539">
      <c r="A539" s="14">
        <f>IFERROR(IF(AND(IFERROR(INDEX(ERP資料!$A:$A, (MATCH(538, 輔助計算!$F$2:$F$801, 0)+1)), "")&lt;&gt;"", IFERROR(INDEX(ERP資料!$A:$A, (MATCH(538, 輔助計算!$F$2:$F$801, 0)+1)), "")&lt;&gt;IFERROR(INDEX(ERP資料!$A:$A, MATCH(537, 輔助計算!$F$2:$F$801, 0)+1), "")), INDEX(ERP資料!$B:$B, (MATCH(538, 輔助計算!$F$2:$F$801, 0)+1)), ""), "")</f>
        <v/>
      </c>
      <c r="B539" s="10">
        <f>IFERROR(IF(AND(IFERROR(INDEX(ERP資料!$A:$A, (MATCH(538, 輔助計算!$F$2:$F$801, 0)+1)), "")&lt;&gt;"", IFERROR(INDEX(ERP資料!$A:$A, (MATCH(538, 輔助計算!$F$2:$F$801, 0)+1)), "")&lt;&gt;IFERROR(INDEX(ERP資料!$A:$A, MATCH(537, 輔助計算!$F$2:$F$801, 0)+1), "")), IFERROR(INDEX(ERP資料!$A:$A, (MATCH(538, 輔助計算!$F$2:$F$801, 0)+1)), ""), ""), "")</f>
        <v/>
      </c>
      <c r="C539" s="10">
        <f>IFERROR(IF(AND(IFERROR(INDEX(ERP資料!$A:$A, (MATCH(538, 輔助計算!$F$2:$F$801, 0)+1)), "")&lt;&gt;"", IFERROR(INDEX(ERP資料!$A:$A, (MATCH(538, 輔助計算!$F$2:$F$801, 0)+1)), "")&lt;&gt;IFERROR(INDEX(ERP資料!$A:$A, MATCH(537, 輔助計算!$F$2:$F$801, 0)+1), "")), INDEX(ERP資料!$S:$S, (MATCH(538, 輔助計算!$F$2:$F$801, 0)+1)), ""), "")</f>
        <v/>
      </c>
      <c r="D539" s="10">
        <f>IFERROR(IF(INDEX(ERP資料!$E:$E, (MATCH(538, 輔助計算!$F$2:$F$801, 0)+1))="","",TRIM(INDEX(ERP資料!$E:$E, (MATCH(538, 輔助計算!$F$2:$F$801, 0)+1)))), "")</f>
        <v/>
      </c>
      <c r="E539" s="10">
        <f>IFERROR(IF(INDEX(ERP資料!$F:$F, (MATCH(538, 輔助計算!$F$2:$F$801, 0)+1))="","",INDEX(ERP資料!$F:$F, (MATCH(538, 輔助計算!$F$2:$F$801, 0)+1))), "")</f>
        <v/>
      </c>
      <c r="F539" s="10">
        <f>IFERROR(IF(INDEX(ERP資料!$G:$G, (MATCH(538, 輔助計算!$F$2:$F$801, 0)+1))="","",INDEX(ERP資料!$G:$G, (MATCH(538, 輔助計算!$F$2:$F$801, 0)+1))), "")</f>
        <v/>
      </c>
      <c r="G539" s="10">
        <f>IFERROR(IF(INDEX(ERP資料!$H:$H, (MATCH(538, 輔助計算!$F$2:$F$801, 0)+1))="","",INDEX(ERP資料!$H:$H, (MATCH(538, 輔助計算!$F$2:$F$801, 0)+1))), "")</f>
        <v/>
      </c>
      <c r="H539" s="10">
        <f>IFERROR(IF(INDEX(ERP資料!$O:$O, (MATCH(538, 輔助計算!$F$2:$F$801, 0)+1))="","",INDEX(ERP資料!$O:$O, (MATCH(538, 輔助計算!$F$2:$F$801, 0)+1))), "")</f>
        <v/>
      </c>
      <c r="I539" s="15">
        <f>IFERROR(IF(INDEX(輔助計算!$D:$D,(MATCH(538, 輔助計算!$F$2:$F$801, 0)+1))="","",INDEX(輔助計算!$D:$D,(MATCH(538, 輔助計算!$F$2:$F$801, 0)+1))*INDEX(ERP資料!$O:$O,(MATCH(538, 輔助計算!$F$2:$F$801, 0)+1))), "")</f>
        <v/>
      </c>
      <c r="J539" s="16" t="n"/>
      <c r="K539" s="15">
        <f>IFERROR(INDEX(輔助計算!$D:$D, (MATCH(538, 輔助計算!$F$2:$F$801, 0)+1)), "")</f>
        <v/>
      </c>
      <c r="L539" s="16">
        <f>IFERROR(IF(AND(IFERROR(VLOOKUP(LEFT(INDEX(ERP資料!$S:$S, (MATCH(538, 輔助計算!$F$2:$F$801, 0)+1)), 4), 100張客戶!$A:$A, 1, FALSE), "")&lt;&gt;"", OR(INDEX(ERP資料!$F:$F, (MATCH(538, 輔助計算!$F$2:$F$801, 0)+1))=270, INDEX(ERP資料!$F:$F, (MATCH(538, 輔助計算!$F$2:$F$801, 0)+1))=300)), "100張", ""), "")</f>
        <v/>
      </c>
      <c r="M539" s="17" t="n"/>
      <c r="N539" s="17">
        <f>IF($F539="","",$F539)</f>
        <v/>
      </c>
      <c r="O539" s="17">
        <f>IF($G539="","",$G539)</f>
        <v/>
      </c>
      <c r="P539" s="17">
        <f>IF($K539="","",$K539)</f>
        <v/>
      </c>
      <c r="Q539" s="16" t="n"/>
      <c r="R539" s="18" t="n"/>
      <c r="S539" s="16" t="n"/>
    </row>
    <row r="540">
      <c r="A540" s="14">
        <f>IFERROR(IF(AND(IFERROR(INDEX(ERP資料!$A:$A, (MATCH(539, 輔助計算!$F$2:$F$801, 0)+1)), "")&lt;&gt;"", IFERROR(INDEX(ERP資料!$A:$A, (MATCH(539, 輔助計算!$F$2:$F$801, 0)+1)), "")&lt;&gt;IFERROR(INDEX(ERP資料!$A:$A, MATCH(538, 輔助計算!$F$2:$F$801, 0)+1), "")), INDEX(ERP資料!$B:$B, (MATCH(539, 輔助計算!$F$2:$F$801, 0)+1)), ""), "")</f>
        <v/>
      </c>
      <c r="B540" s="10">
        <f>IFERROR(IF(AND(IFERROR(INDEX(ERP資料!$A:$A, (MATCH(539, 輔助計算!$F$2:$F$801, 0)+1)), "")&lt;&gt;"", IFERROR(INDEX(ERP資料!$A:$A, (MATCH(539, 輔助計算!$F$2:$F$801, 0)+1)), "")&lt;&gt;IFERROR(INDEX(ERP資料!$A:$A, MATCH(538, 輔助計算!$F$2:$F$801, 0)+1), "")), IFERROR(INDEX(ERP資料!$A:$A, (MATCH(539, 輔助計算!$F$2:$F$801, 0)+1)), ""), ""), "")</f>
        <v/>
      </c>
      <c r="C540" s="10">
        <f>IFERROR(IF(AND(IFERROR(INDEX(ERP資料!$A:$A, (MATCH(539, 輔助計算!$F$2:$F$801, 0)+1)), "")&lt;&gt;"", IFERROR(INDEX(ERP資料!$A:$A, (MATCH(539, 輔助計算!$F$2:$F$801, 0)+1)), "")&lt;&gt;IFERROR(INDEX(ERP資料!$A:$A, MATCH(538, 輔助計算!$F$2:$F$801, 0)+1), "")), INDEX(ERP資料!$S:$S, (MATCH(539, 輔助計算!$F$2:$F$801, 0)+1)), ""), "")</f>
        <v/>
      </c>
      <c r="D540" s="10">
        <f>IFERROR(IF(INDEX(ERP資料!$E:$E, (MATCH(539, 輔助計算!$F$2:$F$801, 0)+1))="","",TRIM(INDEX(ERP資料!$E:$E, (MATCH(539, 輔助計算!$F$2:$F$801, 0)+1)))), "")</f>
        <v/>
      </c>
      <c r="E540" s="10">
        <f>IFERROR(IF(INDEX(ERP資料!$F:$F, (MATCH(539, 輔助計算!$F$2:$F$801, 0)+1))="","",INDEX(ERP資料!$F:$F, (MATCH(539, 輔助計算!$F$2:$F$801, 0)+1))), "")</f>
        <v/>
      </c>
      <c r="F540" s="10">
        <f>IFERROR(IF(INDEX(ERP資料!$G:$G, (MATCH(539, 輔助計算!$F$2:$F$801, 0)+1))="","",INDEX(ERP資料!$G:$G, (MATCH(539, 輔助計算!$F$2:$F$801, 0)+1))), "")</f>
        <v/>
      </c>
      <c r="G540" s="10">
        <f>IFERROR(IF(INDEX(ERP資料!$H:$H, (MATCH(539, 輔助計算!$F$2:$F$801, 0)+1))="","",INDEX(ERP資料!$H:$H, (MATCH(539, 輔助計算!$F$2:$F$801, 0)+1))), "")</f>
        <v/>
      </c>
      <c r="H540" s="10">
        <f>IFERROR(IF(INDEX(ERP資料!$O:$O, (MATCH(539, 輔助計算!$F$2:$F$801, 0)+1))="","",INDEX(ERP資料!$O:$O, (MATCH(539, 輔助計算!$F$2:$F$801, 0)+1))), "")</f>
        <v/>
      </c>
      <c r="I540" s="15">
        <f>IFERROR(IF(INDEX(輔助計算!$D:$D,(MATCH(539, 輔助計算!$F$2:$F$801, 0)+1))="","",INDEX(輔助計算!$D:$D,(MATCH(539, 輔助計算!$F$2:$F$801, 0)+1))*INDEX(ERP資料!$O:$O,(MATCH(539, 輔助計算!$F$2:$F$801, 0)+1))), "")</f>
        <v/>
      </c>
      <c r="J540" s="16" t="n"/>
      <c r="K540" s="15">
        <f>IFERROR(INDEX(輔助計算!$D:$D, (MATCH(539, 輔助計算!$F$2:$F$801, 0)+1)), "")</f>
        <v/>
      </c>
      <c r="L540" s="16">
        <f>IFERROR(IF(AND(IFERROR(VLOOKUP(LEFT(INDEX(ERP資料!$S:$S, (MATCH(539, 輔助計算!$F$2:$F$801, 0)+1)), 4), 100張客戶!$A:$A, 1, FALSE), "")&lt;&gt;"", OR(INDEX(ERP資料!$F:$F, (MATCH(539, 輔助計算!$F$2:$F$801, 0)+1))=270, INDEX(ERP資料!$F:$F, (MATCH(539, 輔助計算!$F$2:$F$801, 0)+1))=300)), "100張", ""), "")</f>
        <v/>
      </c>
      <c r="M540" s="17" t="n"/>
      <c r="N540" s="17">
        <f>IF($F540="","",$F540)</f>
        <v/>
      </c>
      <c r="O540" s="17">
        <f>IF($G540="","",$G540)</f>
        <v/>
      </c>
      <c r="P540" s="17">
        <f>IF($K540="","",$K540)</f>
        <v/>
      </c>
      <c r="Q540" s="16" t="n"/>
      <c r="R540" s="18" t="n"/>
      <c r="S540" s="16" t="n"/>
    </row>
    <row r="541">
      <c r="A541" s="14">
        <f>IFERROR(IF(AND(IFERROR(INDEX(ERP資料!$A:$A, (MATCH(540, 輔助計算!$F$2:$F$801, 0)+1)), "")&lt;&gt;"", IFERROR(INDEX(ERP資料!$A:$A, (MATCH(540, 輔助計算!$F$2:$F$801, 0)+1)), "")&lt;&gt;IFERROR(INDEX(ERP資料!$A:$A, MATCH(539, 輔助計算!$F$2:$F$801, 0)+1), "")), INDEX(ERP資料!$B:$B, (MATCH(540, 輔助計算!$F$2:$F$801, 0)+1)), ""), "")</f>
        <v/>
      </c>
      <c r="B541" s="10">
        <f>IFERROR(IF(AND(IFERROR(INDEX(ERP資料!$A:$A, (MATCH(540, 輔助計算!$F$2:$F$801, 0)+1)), "")&lt;&gt;"", IFERROR(INDEX(ERP資料!$A:$A, (MATCH(540, 輔助計算!$F$2:$F$801, 0)+1)), "")&lt;&gt;IFERROR(INDEX(ERP資料!$A:$A, MATCH(539, 輔助計算!$F$2:$F$801, 0)+1), "")), IFERROR(INDEX(ERP資料!$A:$A, (MATCH(540, 輔助計算!$F$2:$F$801, 0)+1)), ""), ""), "")</f>
        <v/>
      </c>
      <c r="C541" s="10">
        <f>IFERROR(IF(AND(IFERROR(INDEX(ERP資料!$A:$A, (MATCH(540, 輔助計算!$F$2:$F$801, 0)+1)), "")&lt;&gt;"", IFERROR(INDEX(ERP資料!$A:$A, (MATCH(540, 輔助計算!$F$2:$F$801, 0)+1)), "")&lt;&gt;IFERROR(INDEX(ERP資料!$A:$A, MATCH(539, 輔助計算!$F$2:$F$801, 0)+1), "")), INDEX(ERP資料!$S:$S, (MATCH(540, 輔助計算!$F$2:$F$801, 0)+1)), ""), "")</f>
        <v/>
      </c>
      <c r="D541" s="10">
        <f>IFERROR(IF(INDEX(ERP資料!$E:$E, (MATCH(540, 輔助計算!$F$2:$F$801, 0)+1))="","",TRIM(INDEX(ERP資料!$E:$E, (MATCH(540, 輔助計算!$F$2:$F$801, 0)+1)))), "")</f>
        <v/>
      </c>
      <c r="E541" s="10">
        <f>IFERROR(IF(INDEX(ERP資料!$F:$F, (MATCH(540, 輔助計算!$F$2:$F$801, 0)+1))="","",INDEX(ERP資料!$F:$F, (MATCH(540, 輔助計算!$F$2:$F$801, 0)+1))), "")</f>
        <v/>
      </c>
      <c r="F541" s="10">
        <f>IFERROR(IF(INDEX(ERP資料!$G:$G, (MATCH(540, 輔助計算!$F$2:$F$801, 0)+1))="","",INDEX(ERP資料!$G:$G, (MATCH(540, 輔助計算!$F$2:$F$801, 0)+1))), "")</f>
        <v/>
      </c>
      <c r="G541" s="10">
        <f>IFERROR(IF(INDEX(ERP資料!$H:$H, (MATCH(540, 輔助計算!$F$2:$F$801, 0)+1))="","",INDEX(ERP資料!$H:$H, (MATCH(540, 輔助計算!$F$2:$F$801, 0)+1))), "")</f>
        <v/>
      </c>
      <c r="H541" s="10">
        <f>IFERROR(IF(INDEX(ERP資料!$O:$O, (MATCH(540, 輔助計算!$F$2:$F$801, 0)+1))="","",INDEX(ERP資料!$O:$O, (MATCH(540, 輔助計算!$F$2:$F$801, 0)+1))), "")</f>
        <v/>
      </c>
      <c r="I541" s="15">
        <f>IFERROR(IF(INDEX(輔助計算!$D:$D,(MATCH(540, 輔助計算!$F$2:$F$801, 0)+1))="","",INDEX(輔助計算!$D:$D,(MATCH(540, 輔助計算!$F$2:$F$801, 0)+1))*INDEX(ERP資料!$O:$O,(MATCH(540, 輔助計算!$F$2:$F$801, 0)+1))), "")</f>
        <v/>
      </c>
      <c r="J541" s="16" t="n"/>
      <c r="K541" s="15">
        <f>IFERROR(INDEX(輔助計算!$D:$D, (MATCH(540, 輔助計算!$F$2:$F$801, 0)+1)), "")</f>
        <v/>
      </c>
      <c r="L541" s="16">
        <f>IFERROR(IF(AND(IFERROR(VLOOKUP(LEFT(INDEX(ERP資料!$S:$S, (MATCH(540, 輔助計算!$F$2:$F$801, 0)+1)), 4), 100張客戶!$A:$A, 1, FALSE), "")&lt;&gt;"", OR(INDEX(ERP資料!$F:$F, (MATCH(540, 輔助計算!$F$2:$F$801, 0)+1))=270, INDEX(ERP資料!$F:$F, (MATCH(540, 輔助計算!$F$2:$F$801, 0)+1))=300)), "100張", ""), "")</f>
        <v/>
      </c>
      <c r="M541" s="17" t="n"/>
      <c r="N541" s="17">
        <f>IF($F541="","",$F541)</f>
        <v/>
      </c>
      <c r="O541" s="17">
        <f>IF($G541="","",$G541)</f>
        <v/>
      </c>
      <c r="P541" s="17">
        <f>IF($K541="","",$K541)</f>
        <v/>
      </c>
      <c r="Q541" s="16" t="n"/>
      <c r="R541" s="18" t="n"/>
      <c r="S541" s="16" t="n"/>
    </row>
    <row r="542">
      <c r="A542" s="14">
        <f>IFERROR(IF(AND(IFERROR(INDEX(ERP資料!$A:$A, (MATCH(541, 輔助計算!$F$2:$F$801, 0)+1)), "")&lt;&gt;"", IFERROR(INDEX(ERP資料!$A:$A, (MATCH(541, 輔助計算!$F$2:$F$801, 0)+1)), "")&lt;&gt;IFERROR(INDEX(ERP資料!$A:$A, MATCH(540, 輔助計算!$F$2:$F$801, 0)+1), "")), INDEX(ERP資料!$B:$B, (MATCH(541, 輔助計算!$F$2:$F$801, 0)+1)), ""), "")</f>
        <v/>
      </c>
      <c r="B542" s="10">
        <f>IFERROR(IF(AND(IFERROR(INDEX(ERP資料!$A:$A, (MATCH(541, 輔助計算!$F$2:$F$801, 0)+1)), "")&lt;&gt;"", IFERROR(INDEX(ERP資料!$A:$A, (MATCH(541, 輔助計算!$F$2:$F$801, 0)+1)), "")&lt;&gt;IFERROR(INDEX(ERP資料!$A:$A, MATCH(540, 輔助計算!$F$2:$F$801, 0)+1), "")), IFERROR(INDEX(ERP資料!$A:$A, (MATCH(541, 輔助計算!$F$2:$F$801, 0)+1)), ""), ""), "")</f>
        <v/>
      </c>
      <c r="C542" s="10">
        <f>IFERROR(IF(AND(IFERROR(INDEX(ERP資料!$A:$A, (MATCH(541, 輔助計算!$F$2:$F$801, 0)+1)), "")&lt;&gt;"", IFERROR(INDEX(ERP資料!$A:$A, (MATCH(541, 輔助計算!$F$2:$F$801, 0)+1)), "")&lt;&gt;IFERROR(INDEX(ERP資料!$A:$A, MATCH(540, 輔助計算!$F$2:$F$801, 0)+1), "")), INDEX(ERP資料!$S:$S, (MATCH(541, 輔助計算!$F$2:$F$801, 0)+1)), ""), "")</f>
        <v/>
      </c>
      <c r="D542" s="10">
        <f>IFERROR(IF(INDEX(ERP資料!$E:$E, (MATCH(541, 輔助計算!$F$2:$F$801, 0)+1))="","",TRIM(INDEX(ERP資料!$E:$E, (MATCH(541, 輔助計算!$F$2:$F$801, 0)+1)))), "")</f>
        <v/>
      </c>
      <c r="E542" s="10">
        <f>IFERROR(IF(INDEX(ERP資料!$F:$F, (MATCH(541, 輔助計算!$F$2:$F$801, 0)+1))="","",INDEX(ERP資料!$F:$F, (MATCH(541, 輔助計算!$F$2:$F$801, 0)+1))), "")</f>
        <v/>
      </c>
      <c r="F542" s="10">
        <f>IFERROR(IF(INDEX(ERP資料!$G:$G, (MATCH(541, 輔助計算!$F$2:$F$801, 0)+1))="","",INDEX(ERP資料!$G:$G, (MATCH(541, 輔助計算!$F$2:$F$801, 0)+1))), "")</f>
        <v/>
      </c>
      <c r="G542" s="10">
        <f>IFERROR(IF(INDEX(ERP資料!$H:$H, (MATCH(541, 輔助計算!$F$2:$F$801, 0)+1))="","",INDEX(ERP資料!$H:$H, (MATCH(541, 輔助計算!$F$2:$F$801, 0)+1))), "")</f>
        <v/>
      </c>
      <c r="H542" s="10">
        <f>IFERROR(IF(INDEX(ERP資料!$O:$O, (MATCH(541, 輔助計算!$F$2:$F$801, 0)+1))="","",INDEX(ERP資料!$O:$O, (MATCH(541, 輔助計算!$F$2:$F$801, 0)+1))), "")</f>
        <v/>
      </c>
      <c r="I542" s="15">
        <f>IFERROR(IF(INDEX(輔助計算!$D:$D,(MATCH(541, 輔助計算!$F$2:$F$801, 0)+1))="","",INDEX(輔助計算!$D:$D,(MATCH(541, 輔助計算!$F$2:$F$801, 0)+1))*INDEX(ERP資料!$O:$O,(MATCH(541, 輔助計算!$F$2:$F$801, 0)+1))), "")</f>
        <v/>
      </c>
      <c r="J542" s="16" t="n"/>
      <c r="K542" s="15">
        <f>IFERROR(INDEX(輔助計算!$D:$D, (MATCH(541, 輔助計算!$F$2:$F$801, 0)+1)), "")</f>
        <v/>
      </c>
      <c r="L542" s="16">
        <f>IFERROR(IF(AND(IFERROR(VLOOKUP(LEFT(INDEX(ERP資料!$S:$S, (MATCH(541, 輔助計算!$F$2:$F$801, 0)+1)), 4), 100張客戶!$A:$A, 1, FALSE), "")&lt;&gt;"", OR(INDEX(ERP資料!$F:$F, (MATCH(541, 輔助計算!$F$2:$F$801, 0)+1))=270, INDEX(ERP資料!$F:$F, (MATCH(541, 輔助計算!$F$2:$F$801, 0)+1))=300)), "100張", ""), "")</f>
        <v/>
      </c>
      <c r="M542" s="17" t="n"/>
      <c r="N542" s="17">
        <f>IF($F542="","",$F542)</f>
        <v/>
      </c>
      <c r="O542" s="17">
        <f>IF($G542="","",$G542)</f>
        <v/>
      </c>
      <c r="P542" s="17">
        <f>IF($K542="","",$K542)</f>
        <v/>
      </c>
      <c r="Q542" s="16" t="n"/>
      <c r="R542" s="18" t="n"/>
      <c r="S542" s="16" t="n"/>
    </row>
    <row r="543">
      <c r="A543" s="14">
        <f>IFERROR(IF(AND(IFERROR(INDEX(ERP資料!$A:$A, (MATCH(542, 輔助計算!$F$2:$F$801, 0)+1)), "")&lt;&gt;"", IFERROR(INDEX(ERP資料!$A:$A, (MATCH(542, 輔助計算!$F$2:$F$801, 0)+1)), "")&lt;&gt;IFERROR(INDEX(ERP資料!$A:$A, MATCH(541, 輔助計算!$F$2:$F$801, 0)+1), "")), INDEX(ERP資料!$B:$B, (MATCH(542, 輔助計算!$F$2:$F$801, 0)+1)), ""), "")</f>
        <v/>
      </c>
      <c r="B543" s="10">
        <f>IFERROR(IF(AND(IFERROR(INDEX(ERP資料!$A:$A, (MATCH(542, 輔助計算!$F$2:$F$801, 0)+1)), "")&lt;&gt;"", IFERROR(INDEX(ERP資料!$A:$A, (MATCH(542, 輔助計算!$F$2:$F$801, 0)+1)), "")&lt;&gt;IFERROR(INDEX(ERP資料!$A:$A, MATCH(541, 輔助計算!$F$2:$F$801, 0)+1), "")), IFERROR(INDEX(ERP資料!$A:$A, (MATCH(542, 輔助計算!$F$2:$F$801, 0)+1)), ""), ""), "")</f>
        <v/>
      </c>
      <c r="C543" s="10">
        <f>IFERROR(IF(AND(IFERROR(INDEX(ERP資料!$A:$A, (MATCH(542, 輔助計算!$F$2:$F$801, 0)+1)), "")&lt;&gt;"", IFERROR(INDEX(ERP資料!$A:$A, (MATCH(542, 輔助計算!$F$2:$F$801, 0)+1)), "")&lt;&gt;IFERROR(INDEX(ERP資料!$A:$A, MATCH(541, 輔助計算!$F$2:$F$801, 0)+1), "")), INDEX(ERP資料!$S:$S, (MATCH(542, 輔助計算!$F$2:$F$801, 0)+1)), ""), "")</f>
        <v/>
      </c>
      <c r="D543" s="10">
        <f>IFERROR(IF(INDEX(ERP資料!$E:$E, (MATCH(542, 輔助計算!$F$2:$F$801, 0)+1))="","",TRIM(INDEX(ERP資料!$E:$E, (MATCH(542, 輔助計算!$F$2:$F$801, 0)+1)))), "")</f>
        <v/>
      </c>
      <c r="E543" s="10">
        <f>IFERROR(IF(INDEX(ERP資料!$F:$F, (MATCH(542, 輔助計算!$F$2:$F$801, 0)+1))="","",INDEX(ERP資料!$F:$F, (MATCH(542, 輔助計算!$F$2:$F$801, 0)+1))), "")</f>
        <v/>
      </c>
      <c r="F543" s="10">
        <f>IFERROR(IF(INDEX(ERP資料!$G:$G, (MATCH(542, 輔助計算!$F$2:$F$801, 0)+1))="","",INDEX(ERP資料!$G:$G, (MATCH(542, 輔助計算!$F$2:$F$801, 0)+1))), "")</f>
        <v/>
      </c>
      <c r="G543" s="10">
        <f>IFERROR(IF(INDEX(ERP資料!$H:$H, (MATCH(542, 輔助計算!$F$2:$F$801, 0)+1))="","",INDEX(ERP資料!$H:$H, (MATCH(542, 輔助計算!$F$2:$F$801, 0)+1))), "")</f>
        <v/>
      </c>
      <c r="H543" s="10">
        <f>IFERROR(IF(INDEX(ERP資料!$O:$O, (MATCH(542, 輔助計算!$F$2:$F$801, 0)+1))="","",INDEX(ERP資料!$O:$O, (MATCH(542, 輔助計算!$F$2:$F$801, 0)+1))), "")</f>
        <v/>
      </c>
      <c r="I543" s="15">
        <f>IFERROR(IF(INDEX(輔助計算!$D:$D,(MATCH(542, 輔助計算!$F$2:$F$801, 0)+1))="","",INDEX(輔助計算!$D:$D,(MATCH(542, 輔助計算!$F$2:$F$801, 0)+1))*INDEX(ERP資料!$O:$O,(MATCH(542, 輔助計算!$F$2:$F$801, 0)+1))), "")</f>
        <v/>
      </c>
      <c r="J543" s="16" t="n"/>
      <c r="K543" s="15">
        <f>IFERROR(INDEX(輔助計算!$D:$D, (MATCH(542, 輔助計算!$F$2:$F$801, 0)+1)), "")</f>
        <v/>
      </c>
      <c r="L543" s="16">
        <f>IFERROR(IF(AND(IFERROR(VLOOKUP(LEFT(INDEX(ERP資料!$S:$S, (MATCH(542, 輔助計算!$F$2:$F$801, 0)+1)), 4), 100張客戶!$A:$A, 1, FALSE), "")&lt;&gt;"", OR(INDEX(ERP資料!$F:$F, (MATCH(542, 輔助計算!$F$2:$F$801, 0)+1))=270, INDEX(ERP資料!$F:$F, (MATCH(542, 輔助計算!$F$2:$F$801, 0)+1))=300)), "100張", ""), "")</f>
        <v/>
      </c>
      <c r="M543" s="17" t="n"/>
      <c r="N543" s="17">
        <f>IF($F543="","",$F543)</f>
        <v/>
      </c>
      <c r="O543" s="17">
        <f>IF($G543="","",$G543)</f>
        <v/>
      </c>
      <c r="P543" s="17">
        <f>IF($K543="","",$K543)</f>
        <v/>
      </c>
      <c r="Q543" s="16" t="n"/>
      <c r="R543" s="18" t="n"/>
      <c r="S543" s="16" t="n"/>
    </row>
    <row r="544">
      <c r="A544" s="14">
        <f>IFERROR(IF(AND(IFERROR(INDEX(ERP資料!$A:$A, (MATCH(543, 輔助計算!$F$2:$F$801, 0)+1)), "")&lt;&gt;"", IFERROR(INDEX(ERP資料!$A:$A, (MATCH(543, 輔助計算!$F$2:$F$801, 0)+1)), "")&lt;&gt;IFERROR(INDEX(ERP資料!$A:$A, MATCH(542, 輔助計算!$F$2:$F$801, 0)+1), "")), INDEX(ERP資料!$B:$B, (MATCH(543, 輔助計算!$F$2:$F$801, 0)+1)), ""), "")</f>
        <v/>
      </c>
      <c r="B544" s="10">
        <f>IFERROR(IF(AND(IFERROR(INDEX(ERP資料!$A:$A, (MATCH(543, 輔助計算!$F$2:$F$801, 0)+1)), "")&lt;&gt;"", IFERROR(INDEX(ERP資料!$A:$A, (MATCH(543, 輔助計算!$F$2:$F$801, 0)+1)), "")&lt;&gt;IFERROR(INDEX(ERP資料!$A:$A, MATCH(542, 輔助計算!$F$2:$F$801, 0)+1), "")), IFERROR(INDEX(ERP資料!$A:$A, (MATCH(543, 輔助計算!$F$2:$F$801, 0)+1)), ""), ""), "")</f>
        <v/>
      </c>
      <c r="C544" s="10">
        <f>IFERROR(IF(AND(IFERROR(INDEX(ERP資料!$A:$A, (MATCH(543, 輔助計算!$F$2:$F$801, 0)+1)), "")&lt;&gt;"", IFERROR(INDEX(ERP資料!$A:$A, (MATCH(543, 輔助計算!$F$2:$F$801, 0)+1)), "")&lt;&gt;IFERROR(INDEX(ERP資料!$A:$A, MATCH(542, 輔助計算!$F$2:$F$801, 0)+1), "")), INDEX(ERP資料!$S:$S, (MATCH(543, 輔助計算!$F$2:$F$801, 0)+1)), ""), "")</f>
        <v/>
      </c>
      <c r="D544" s="10">
        <f>IFERROR(IF(INDEX(ERP資料!$E:$E, (MATCH(543, 輔助計算!$F$2:$F$801, 0)+1))="","",TRIM(INDEX(ERP資料!$E:$E, (MATCH(543, 輔助計算!$F$2:$F$801, 0)+1)))), "")</f>
        <v/>
      </c>
      <c r="E544" s="10">
        <f>IFERROR(IF(INDEX(ERP資料!$F:$F, (MATCH(543, 輔助計算!$F$2:$F$801, 0)+1))="","",INDEX(ERP資料!$F:$F, (MATCH(543, 輔助計算!$F$2:$F$801, 0)+1))), "")</f>
        <v/>
      </c>
      <c r="F544" s="10">
        <f>IFERROR(IF(INDEX(ERP資料!$G:$G, (MATCH(543, 輔助計算!$F$2:$F$801, 0)+1))="","",INDEX(ERP資料!$G:$G, (MATCH(543, 輔助計算!$F$2:$F$801, 0)+1))), "")</f>
        <v/>
      </c>
      <c r="G544" s="10">
        <f>IFERROR(IF(INDEX(ERP資料!$H:$H, (MATCH(543, 輔助計算!$F$2:$F$801, 0)+1))="","",INDEX(ERP資料!$H:$H, (MATCH(543, 輔助計算!$F$2:$F$801, 0)+1))), "")</f>
        <v/>
      </c>
      <c r="H544" s="10">
        <f>IFERROR(IF(INDEX(ERP資料!$O:$O, (MATCH(543, 輔助計算!$F$2:$F$801, 0)+1))="","",INDEX(ERP資料!$O:$O, (MATCH(543, 輔助計算!$F$2:$F$801, 0)+1))), "")</f>
        <v/>
      </c>
      <c r="I544" s="15">
        <f>IFERROR(IF(INDEX(輔助計算!$D:$D,(MATCH(543, 輔助計算!$F$2:$F$801, 0)+1))="","",INDEX(輔助計算!$D:$D,(MATCH(543, 輔助計算!$F$2:$F$801, 0)+1))*INDEX(ERP資料!$O:$O,(MATCH(543, 輔助計算!$F$2:$F$801, 0)+1))), "")</f>
        <v/>
      </c>
      <c r="J544" s="16" t="n"/>
      <c r="K544" s="15">
        <f>IFERROR(INDEX(輔助計算!$D:$D, (MATCH(543, 輔助計算!$F$2:$F$801, 0)+1)), "")</f>
        <v/>
      </c>
      <c r="L544" s="16">
        <f>IFERROR(IF(AND(IFERROR(VLOOKUP(LEFT(INDEX(ERP資料!$S:$S, (MATCH(543, 輔助計算!$F$2:$F$801, 0)+1)), 4), 100張客戶!$A:$A, 1, FALSE), "")&lt;&gt;"", OR(INDEX(ERP資料!$F:$F, (MATCH(543, 輔助計算!$F$2:$F$801, 0)+1))=270, INDEX(ERP資料!$F:$F, (MATCH(543, 輔助計算!$F$2:$F$801, 0)+1))=300)), "100張", ""), "")</f>
        <v/>
      </c>
      <c r="M544" s="17" t="n"/>
      <c r="N544" s="17">
        <f>IF($F544="","",$F544)</f>
        <v/>
      </c>
      <c r="O544" s="17">
        <f>IF($G544="","",$G544)</f>
        <v/>
      </c>
      <c r="P544" s="17">
        <f>IF($K544="","",$K544)</f>
        <v/>
      </c>
      <c r="Q544" s="16" t="n"/>
      <c r="R544" s="18" t="n"/>
      <c r="S544" s="16" t="n"/>
    </row>
    <row r="545">
      <c r="A545" s="14">
        <f>IFERROR(IF(AND(IFERROR(INDEX(ERP資料!$A:$A, (MATCH(544, 輔助計算!$F$2:$F$801, 0)+1)), "")&lt;&gt;"", IFERROR(INDEX(ERP資料!$A:$A, (MATCH(544, 輔助計算!$F$2:$F$801, 0)+1)), "")&lt;&gt;IFERROR(INDEX(ERP資料!$A:$A, MATCH(543, 輔助計算!$F$2:$F$801, 0)+1), "")), INDEX(ERP資料!$B:$B, (MATCH(544, 輔助計算!$F$2:$F$801, 0)+1)), ""), "")</f>
        <v/>
      </c>
      <c r="B545" s="10">
        <f>IFERROR(IF(AND(IFERROR(INDEX(ERP資料!$A:$A, (MATCH(544, 輔助計算!$F$2:$F$801, 0)+1)), "")&lt;&gt;"", IFERROR(INDEX(ERP資料!$A:$A, (MATCH(544, 輔助計算!$F$2:$F$801, 0)+1)), "")&lt;&gt;IFERROR(INDEX(ERP資料!$A:$A, MATCH(543, 輔助計算!$F$2:$F$801, 0)+1), "")), IFERROR(INDEX(ERP資料!$A:$A, (MATCH(544, 輔助計算!$F$2:$F$801, 0)+1)), ""), ""), "")</f>
        <v/>
      </c>
      <c r="C545" s="10">
        <f>IFERROR(IF(AND(IFERROR(INDEX(ERP資料!$A:$A, (MATCH(544, 輔助計算!$F$2:$F$801, 0)+1)), "")&lt;&gt;"", IFERROR(INDEX(ERP資料!$A:$A, (MATCH(544, 輔助計算!$F$2:$F$801, 0)+1)), "")&lt;&gt;IFERROR(INDEX(ERP資料!$A:$A, MATCH(543, 輔助計算!$F$2:$F$801, 0)+1), "")), INDEX(ERP資料!$S:$S, (MATCH(544, 輔助計算!$F$2:$F$801, 0)+1)), ""), "")</f>
        <v/>
      </c>
      <c r="D545" s="10">
        <f>IFERROR(IF(INDEX(ERP資料!$E:$E, (MATCH(544, 輔助計算!$F$2:$F$801, 0)+1))="","",TRIM(INDEX(ERP資料!$E:$E, (MATCH(544, 輔助計算!$F$2:$F$801, 0)+1)))), "")</f>
        <v/>
      </c>
      <c r="E545" s="10">
        <f>IFERROR(IF(INDEX(ERP資料!$F:$F, (MATCH(544, 輔助計算!$F$2:$F$801, 0)+1))="","",INDEX(ERP資料!$F:$F, (MATCH(544, 輔助計算!$F$2:$F$801, 0)+1))), "")</f>
        <v/>
      </c>
      <c r="F545" s="10">
        <f>IFERROR(IF(INDEX(ERP資料!$G:$G, (MATCH(544, 輔助計算!$F$2:$F$801, 0)+1))="","",INDEX(ERP資料!$G:$G, (MATCH(544, 輔助計算!$F$2:$F$801, 0)+1))), "")</f>
        <v/>
      </c>
      <c r="G545" s="10">
        <f>IFERROR(IF(INDEX(ERP資料!$H:$H, (MATCH(544, 輔助計算!$F$2:$F$801, 0)+1))="","",INDEX(ERP資料!$H:$H, (MATCH(544, 輔助計算!$F$2:$F$801, 0)+1))), "")</f>
        <v/>
      </c>
      <c r="H545" s="10">
        <f>IFERROR(IF(INDEX(ERP資料!$O:$O, (MATCH(544, 輔助計算!$F$2:$F$801, 0)+1))="","",INDEX(ERP資料!$O:$O, (MATCH(544, 輔助計算!$F$2:$F$801, 0)+1))), "")</f>
        <v/>
      </c>
      <c r="I545" s="15">
        <f>IFERROR(IF(INDEX(輔助計算!$D:$D,(MATCH(544, 輔助計算!$F$2:$F$801, 0)+1))="","",INDEX(輔助計算!$D:$D,(MATCH(544, 輔助計算!$F$2:$F$801, 0)+1))*INDEX(ERP資料!$O:$O,(MATCH(544, 輔助計算!$F$2:$F$801, 0)+1))), "")</f>
        <v/>
      </c>
      <c r="J545" s="16" t="n"/>
      <c r="K545" s="15">
        <f>IFERROR(INDEX(輔助計算!$D:$D, (MATCH(544, 輔助計算!$F$2:$F$801, 0)+1)), "")</f>
        <v/>
      </c>
      <c r="L545" s="16">
        <f>IFERROR(IF(AND(IFERROR(VLOOKUP(LEFT(INDEX(ERP資料!$S:$S, (MATCH(544, 輔助計算!$F$2:$F$801, 0)+1)), 4), 100張客戶!$A:$A, 1, FALSE), "")&lt;&gt;"", OR(INDEX(ERP資料!$F:$F, (MATCH(544, 輔助計算!$F$2:$F$801, 0)+1))=270, INDEX(ERP資料!$F:$F, (MATCH(544, 輔助計算!$F$2:$F$801, 0)+1))=300)), "100張", ""), "")</f>
        <v/>
      </c>
      <c r="M545" s="17" t="n"/>
      <c r="N545" s="17">
        <f>IF($F545="","",$F545)</f>
        <v/>
      </c>
      <c r="O545" s="17">
        <f>IF($G545="","",$G545)</f>
        <v/>
      </c>
      <c r="P545" s="17">
        <f>IF($K545="","",$K545)</f>
        <v/>
      </c>
      <c r="Q545" s="16" t="n"/>
      <c r="R545" s="18" t="n"/>
      <c r="S545" s="16" t="n"/>
    </row>
    <row r="546">
      <c r="A546" s="14">
        <f>IFERROR(IF(AND(IFERROR(INDEX(ERP資料!$A:$A, (MATCH(545, 輔助計算!$F$2:$F$801, 0)+1)), "")&lt;&gt;"", IFERROR(INDEX(ERP資料!$A:$A, (MATCH(545, 輔助計算!$F$2:$F$801, 0)+1)), "")&lt;&gt;IFERROR(INDEX(ERP資料!$A:$A, MATCH(544, 輔助計算!$F$2:$F$801, 0)+1), "")), INDEX(ERP資料!$B:$B, (MATCH(545, 輔助計算!$F$2:$F$801, 0)+1)), ""), "")</f>
        <v/>
      </c>
      <c r="B546" s="10">
        <f>IFERROR(IF(AND(IFERROR(INDEX(ERP資料!$A:$A, (MATCH(545, 輔助計算!$F$2:$F$801, 0)+1)), "")&lt;&gt;"", IFERROR(INDEX(ERP資料!$A:$A, (MATCH(545, 輔助計算!$F$2:$F$801, 0)+1)), "")&lt;&gt;IFERROR(INDEX(ERP資料!$A:$A, MATCH(544, 輔助計算!$F$2:$F$801, 0)+1), "")), IFERROR(INDEX(ERP資料!$A:$A, (MATCH(545, 輔助計算!$F$2:$F$801, 0)+1)), ""), ""), "")</f>
        <v/>
      </c>
      <c r="C546" s="10">
        <f>IFERROR(IF(AND(IFERROR(INDEX(ERP資料!$A:$A, (MATCH(545, 輔助計算!$F$2:$F$801, 0)+1)), "")&lt;&gt;"", IFERROR(INDEX(ERP資料!$A:$A, (MATCH(545, 輔助計算!$F$2:$F$801, 0)+1)), "")&lt;&gt;IFERROR(INDEX(ERP資料!$A:$A, MATCH(544, 輔助計算!$F$2:$F$801, 0)+1), "")), INDEX(ERP資料!$S:$S, (MATCH(545, 輔助計算!$F$2:$F$801, 0)+1)), ""), "")</f>
        <v/>
      </c>
      <c r="D546" s="10">
        <f>IFERROR(IF(INDEX(ERP資料!$E:$E, (MATCH(545, 輔助計算!$F$2:$F$801, 0)+1))="","",TRIM(INDEX(ERP資料!$E:$E, (MATCH(545, 輔助計算!$F$2:$F$801, 0)+1)))), "")</f>
        <v/>
      </c>
      <c r="E546" s="10">
        <f>IFERROR(IF(INDEX(ERP資料!$F:$F, (MATCH(545, 輔助計算!$F$2:$F$801, 0)+1))="","",INDEX(ERP資料!$F:$F, (MATCH(545, 輔助計算!$F$2:$F$801, 0)+1))), "")</f>
        <v/>
      </c>
      <c r="F546" s="10">
        <f>IFERROR(IF(INDEX(ERP資料!$G:$G, (MATCH(545, 輔助計算!$F$2:$F$801, 0)+1))="","",INDEX(ERP資料!$G:$G, (MATCH(545, 輔助計算!$F$2:$F$801, 0)+1))), "")</f>
        <v/>
      </c>
      <c r="G546" s="10">
        <f>IFERROR(IF(INDEX(ERP資料!$H:$H, (MATCH(545, 輔助計算!$F$2:$F$801, 0)+1))="","",INDEX(ERP資料!$H:$H, (MATCH(545, 輔助計算!$F$2:$F$801, 0)+1))), "")</f>
        <v/>
      </c>
      <c r="H546" s="10">
        <f>IFERROR(IF(INDEX(ERP資料!$O:$O, (MATCH(545, 輔助計算!$F$2:$F$801, 0)+1))="","",INDEX(ERP資料!$O:$O, (MATCH(545, 輔助計算!$F$2:$F$801, 0)+1))), "")</f>
        <v/>
      </c>
      <c r="I546" s="15">
        <f>IFERROR(IF(INDEX(輔助計算!$D:$D,(MATCH(545, 輔助計算!$F$2:$F$801, 0)+1))="","",INDEX(輔助計算!$D:$D,(MATCH(545, 輔助計算!$F$2:$F$801, 0)+1))*INDEX(ERP資料!$O:$O,(MATCH(545, 輔助計算!$F$2:$F$801, 0)+1))), "")</f>
        <v/>
      </c>
      <c r="J546" s="16" t="n"/>
      <c r="K546" s="15">
        <f>IFERROR(INDEX(輔助計算!$D:$D, (MATCH(545, 輔助計算!$F$2:$F$801, 0)+1)), "")</f>
        <v/>
      </c>
      <c r="L546" s="16">
        <f>IFERROR(IF(AND(IFERROR(VLOOKUP(LEFT(INDEX(ERP資料!$S:$S, (MATCH(545, 輔助計算!$F$2:$F$801, 0)+1)), 4), 100張客戶!$A:$A, 1, FALSE), "")&lt;&gt;"", OR(INDEX(ERP資料!$F:$F, (MATCH(545, 輔助計算!$F$2:$F$801, 0)+1))=270, INDEX(ERP資料!$F:$F, (MATCH(545, 輔助計算!$F$2:$F$801, 0)+1))=300)), "100張", ""), "")</f>
        <v/>
      </c>
      <c r="M546" s="17" t="n"/>
      <c r="N546" s="17">
        <f>IF($F546="","",$F546)</f>
        <v/>
      </c>
      <c r="O546" s="17">
        <f>IF($G546="","",$G546)</f>
        <v/>
      </c>
      <c r="P546" s="17">
        <f>IF($K546="","",$K546)</f>
        <v/>
      </c>
      <c r="Q546" s="16" t="n"/>
      <c r="R546" s="18" t="n"/>
      <c r="S546" s="16" t="n"/>
    </row>
    <row r="547">
      <c r="A547" s="14">
        <f>IFERROR(IF(AND(IFERROR(INDEX(ERP資料!$A:$A, (MATCH(546, 輔助計算!$F$2:$F$801, 0)+1)), "")&lt;&gt;"", IFERROR(INDEX(ERP資料!$A:$A, (MATCH(546, 輔助計算!$F$2:$F$801, 0)+1)), "")&lt;&gt;IFERROR(INDEX(ERP資料!$A:$A, MATCH(545, 輔助計算!$F$2:$F$801, 0)+1), "")), INDEX(ERP資料!$B:$B, (MATCH(546, 輔助計算!$F$2:$F$801, 0)+1)), ""), "")</f>
        <v/>
      </c>
      <c r="B547" s="10">
        <f>IFERROR(IF(AND(IFERROR(INDEX(ERP資料!$A:$A, (MATCH(546, 輔助計算!$F$2:$F$801, 0)+1)), "")&lt;&gt;"", IFERROR(INDEX(ERP資料!$A:$A, (MATCH(546, 輔助計算!$F$2:$F$801, 0)+1)), "")&lt;&gt;IFERROR(INDEX(ERP資料!$A:$A, MATCH(545, 輔助計算!$F$2:$F$801, 0)+1), "")), IFERROR(INDEX(ERP資料!$A:$A, (MATCH(546, 輔助計算!$F$2:$F$801, 0)+1)), ""), ""), "")</f>
        <v/>
      </c>
      <c r="C547" s="10">
        <f>IFERROR(IF(AND(IFERROR(INDEX(ERP資料!$A:$A, (MATCH(546, 輔助計算!$F$2:$F$801, 0)+1)), "")&lt;&gt;"", IFERROR(INDEX(ERP資料!$A:$A, (MATCH(546, 輔助計算!$F$2:$F$801, 0)+1)), "")&lt;&gt;IFERROR(INDEX(ERP資料!$A:$A, MATCH(545, 輔助計算!$F$2:$F$801, 0)+1), "")), INDEX(ERP資料!$S:$S, (MATCH(546, 輔助計算!$F$2:$F$801, 0)+1)), ""), "")</f>
        <v/>
      </c>
      <c r="D547" s="10">
        <f>IFERROR(IF(INDEX(ERP資料!$E:$E, (MATCH(546, 輔助計算!$F$2:$F$801, 0)+1))="","",TRIM(INDEX(ERP資料!$E:$E, (MATCH(546, 輔助計算!$F$2:$F$801, 0)+1)))), "")</f>
        <v/>
      </c>
      <c r="E547" s="10">
        <f>IFERROR(IF(INDEX(ERP資料!$F:$F, (MATCH(546, 輔助計算!$F$2:$F$801, 0)+1))="","",INDEX(ERP資料!$F:$F, (MATCH(546, 輔助計算!$F$2:$F$801, 0)+1))), "")</f>
        <v/>
      </c>
      <c r="F547" s="10">
        <f>IFERROR(IF(INDEX(ERP資料!$G:$G, (MATCH(546, 輔助計算!$F$2:$F$801, 0)+1))="","",INDEX(ERP資料!$G:$G, (MATCH(546, 輔助計算!$F$2:$F$801, 0)+1))), "")</f>
        <v/>
      </c>
      <c r="G547" s="10">
        <f>IFERROR(IF(INDEX(ERP資料!$H:$H, (MATCH(546, 輔助計算!$F$2:$F$801, 0)+1))="","",INDEX(ERP資料!$H:$H, (MATCH(546, 輔助計算!$F$2:$F$801, 0)+1))), "")</f>
        <v/>
      </c>
      <c r="H547" s="10">
        <f>IFERROR(IF(INDEX(ERP資料!$O:$O, (MATCH(546, 輔助計算!$F$2:$F$801, 0)+1))="","",INDEX(ERP資料!$O:$O, (MATCH(546, 輔助計算!$F$2:$F$801, 0)+1))), "")</f>
        <v/>
      </c>
      <c r="I547" s="15">
        <f>IFERROR(IF(INDEX(輔助計算!$D:$D,(MATCH(546, 輔助計算!$F$2:$F$801, 0)+1))="","",INDEX(輔助計算!$D:$D,(MATCH(546, 輔助計算!$F$2:$F$801, 0)+1))*INDEX(ERP資料!$O:$O,(MATCH(546, 輔助計算!$F$2:$F$801, 0)+1))), "")</f>
        <v/>
      </c>
      <c r="J547" s="16" t="n"/>
      <c r="K547" s="15">
        <f>IFERROR(INDEX(輔助計算!$D:$D, (MATCH(546, 輔助計算!$F$2:$F$801, 0)+1)), "")</f>
        <v/>
      </c>
      <c r="L547" s="16">
        <f>IFERROR(IF(AND(IFERROR(VLOOKUP(LEFT(INDEX(ERP資料!$S:$S, (MATCH(546, 輔助計算!$F$2:$F$801, 0)+1)), 4), 100張客戶!$A:$A, 1, FALSE), "")&lt;&gt;"", OR(INDEX(ERP資料!$F:$F, (MATCH(546, 輔助計算!$F$2:$F$801, 0)+1))=270, INDEX(ERP資料!$F:$F, (MATCH(546, 輔助計算!$F$2:$F$801, 0)+1))=300)), "100張", ""), "")</f>
        <v/>
      </c>
      <c r="M547" s="17" t="n"/>
      <c r="N547" s="17">
        <f>IF($F547="","",$F547)</f>
        <v/>
      </c>
      <c r="O547" s="17">
        <f>IF($G547="","",$G547)</f>
        <v/>
      </c>
      <c r="P547" s="17">
        <f>IF($K547="","",$K547)</f>
        <v/>
      </c>
      <c r="Q547" s="16" t="n"/>
      <c r="R547" s="18" t="n"/>
      <c r="S547" s="16" t="n"/>
    </row>
    <row r="548">
      <c r="A548" s="14">
        <f>IFERROR(IF(AND(IFERROR(INDEX(ERP資料!$A:$A, (MATCH(547, 輔助計算!$F$2:$F$801, 0)+1)), "")&lt;&gt;"", IFERROR(INDEX(ERP資料!$A:$A, (MATCH(547, 輔助計算!$F$2:$F$801, 0)+1)), "")&lt;&gt;IFERROR(INDEX(ERP資料!$A:$A, MATCH(546, 輔助計算!$F$2:$F$801, 0)+1), "")), INDEX(ERP資料!$B:$B, (MATCH(547, 輔助計算!$F$2:$F$801, 0)+1)), ""), "")</f>
        <v/>
      </c>
      <c r="B548" s="10">
        <f>IFERROR(IF(AND(IFERROR(INDEX(ERP資料!$A:$A, (MATCH(547, 輔助計算!$F$2:$F$801, 0)+1)), "")&lt;&gt;"", IFERROR(INDEX(ERP資料!$A:$A, (MATCH(547, 輔助計算!$F$2:$F$801, 0)+1)), "")&lt;&gt;IFERROR(INDEX(ERP資料!$A:$A, MATCH(546, 輔助計算!$F$2:$F$801, 0)+1), "")), IFERROR(INDEX(ERP資料!$A:$A, (MATCH(547, 輔助計算!$F$2:$F$801, 0)+1)), ""), ""), "")</f>
        <v/>
      </c>
      <c r="C548" s="10">
        <f>IFERROR(IF(AND(IFERROR(INDEX(ERP資料!$A:$A, (MATCH(547, 輔助計算!$F$2:$F$801, 0)+1)), "")&lt;&gt;"", IFERROR(INDEX(ERP資料!$A:$A, (MATCH(547, 輔助計算!$F$2:$F$801, 0)+1)), "")&lt;&gt;IFERROR(INDEX(ERP資料!$A:$A, MATCH(546, 輔助計算!$F$2:$F$801, 0)+1), "")), INDEX(ERP資料!$S:$S, (MATCH(547, 輔助計算!$F$2:$F$801, 0)+1)), ""), "")</f>
        <v/>
      </c>
      <c r="D548" s="10">
        <f>IFERROR(IF(INDEX(ERP資料!$E:$E, (MATCH(547, 輔助計算!$F$2:$F$801, 0)+1))="","",TRIM(INDEX(ERP資料!$E:$E, (MATCH(547, 輔助計算!$F$2:$F$801, 0)+1)))), "")</f>
        <v/>
      </c>
      <c r="E548" s="10">
        <f>IFERROR(IF(INDEX(ERP資料!$F:$F, (MATCH(547, 輔助計算!$F$2:$F$801, 0)+1))="","",INDEX(ERP資料!$F:$F, (MATCH(547, 輔助計算!$F$2:$F$801, 0)+1))), "")</f>
        <v/>
      </c>
      <c r="F548" s="10">
        <f>IFERROR(IF(INDEX(ERP資料!$G:$G, (MATCH(547, 輔助計算!$F$2:$F$801, 0)+1))="","",INDEX(ERP資料!$G:$G, (MATCH(547, 輔助計算!$F$2:$F$801, 0)+1))), "")</f>
        <v/>
      </c>
      <c r="G548" s="10">
        <f>IFERROR(IF(INDEX(ERP資料!$H:$H, (MATCH(547, 輔助計算!$F$2:$F$801, 0)+1))="","",INDEX(ERP資料!$H:$H, (MATCH(547, 輔助計算!$F$2:$F$801, 0)+1))), "")</f>
        <v/>
      </c>
      <c r="H548" s="10">
        <f>IFERROR(IF(INDEX(ERP資料!$O:$O, (MATCH(547, 輔助計算!$F$2:$F$801, 0)+1))="","",INDEX(ERP資料!$O:$O, (MATCH(547, 輔助計算!$F$2:$F$801, 0)+1))), "")</f>
        <v/>
      </c>
      <c r="I548" s="15">
        <f>IFERROR(IF(INDEX(輔助計算!$D:$D,(MATCH(547, 輔助計算!$F$2:$F$801, 0)+1))="","",INDEX(輔助計算!$D:$D,(MATCH(547, 輔助計算!$F$2:$F$801, 0)+1))*INDEX(ERP資料!$O:$O,(MATCH(547, 輔助計算!$F$2:$F$801, 0)+1))), "")</f>
        <v/>
      </c>
      <c r="J548" s="16" t="n"/>
      <c r="K548" s="15">
        <f>IFERROR(INDEX(輔助計算!$D:$D, (MATCH(547, 輔助計算!$F$2:$F$801, 0)+1)), "")</f>
        <v/>
      </c>
      <c r="L548" s="16">
        <f>IFERROR(IF(AND(IFERROR(VLOOKUP(LEFT(INDEX(ERP資料!$S:$S, (MATCH(547, 輔助計算!$F$2:$F$801, 0)+1)), 4), 100張客戶!$A:$A, 1, FALSE), "")&lt;&gt;"", OR(INDEX(ERP資料!$F:$F, (MATCH(547, 輔助計算!$F$2:$F$801, 0)+1))=270, INDEX(ERP資料!$F:$F, (MATCH(547, 輔助計算!$F$2:$F$801, 0)+1))=300)), "100張", ""), "")</f>
        <v/>
      </c>
      <c r="M548" s="17" t="n"/>
      <c r="N548" s="17">
        <f>IF($F548="","",$F548)</f>
        <v/>
      </c>
      <c r="O548" s="17">
        <f>IF($G548="","",$G548)</f>
        <v/>
      </c>
      <c r="P548" s="17">
        <f>IF($K548="","",$K548)</f>
        <v/>
      </c>
      <c r="Q548" s="16" t="n"/>
      <c r="R548" s="18" t="n"/>
      <c r="S548" s="16" t="n"/>
    </row>
    <row r="549">
      <c r="A549" s="14">
        <f>IFERROR(IF(AND(IFERROR(INDEX(ERP資料!$A:$A, (MATCH(548, 輔助計算!$F$2:$F$801, 0)+1)), "")&lt;&gt;"", IFERROR(INDEX(ERP資料!$A:$A, (MATCH(548, 輔助計算!$F$2:$F$801, 0)+1)), "")&lt;&gt;IFERROR(INDEX(ERP資料!$A:$A, MATCH(547, 輔助計算!$F$2:$F$801, 0)+1), "")), INDEX(ERP資料!$B:$B, (MATCH(548, 輔助計算!$F$2:$F$801, 0)+1)), ""), "")</f>
        <v/>
      </c>
      <c r="B549" s="10">
        <f>IFERROR(IF(AND(IFERROR(INDEX(ERP資料!$A:$A, (MATCH(548, 輔助計算!$F$2:$F$801, 0)+1)), "")&lt;&gt;"", IFERROR(INDEX(ERP資料!$A:$A, (MATCH(548, 輔助計算!$F$2:$F$801, 0)+1)), "")&lt;&gt;IFERROR(INDEX(ERP資料!$A:$A, MATCH(547, 輔助計算!$F$2:$F$801, 0)+1), "")), IFERROR(INDEX(ERP資料!$A:$A, (MATCH(548, 輔助計算!$F$2:$F$801, 0)+1)), ""), ""), "")</f>
        <v/>
      </c>
      <c r="C549" s="10">
        <f>IFERROR(IF(AND(IFERROR(INDEX(ERP資料!$A:$A, (MATCH(548, 輔助計算!$F$2:$F$801, 0)+1)), "")&lt;&gt;"", IFERROR(INDEX(ERP資料!$A:$A, (MATCH(548, 輔助計算!$F$2:$F$801, 0)+1)), "")&lt;&gt;IFERROR(INDEX(ERP資料!$A:$A, MATCH(547, 輔助計算!$F$2:$F$801, 0)+1), "")), INDEX(ERP資料!$S:$S, (MATCH(548, 輔助計算!$F$2:$F$801, 0)+1)), ""), "")</f>
        <v/>
      </c>
      <c r="D549" s="10">
        <f>IFERROR(IF(INDEX(ERP資料!$E:$E, (MATCH(548, 輔助計算!$F$2:$F$801, 0)+1))="","",TRIM(INDEX(ERP資料!$E:$E, (MATCH(548, 輔助計算!$F$2:$F$801, 0)+1)))), "")</f>
        <v/>
      </c>
      <c r="E549" s="10">
        <f>IFERROR(IF(INDEX(ERP資料!$F:$F, (MATCH(548, 輔助計算!$F$2:$F$801, 0)+1))="","",INDEX(ERP資料!$F:$F, (MATCH(548, 輔助計算!$F$2:$F$801, 0)+1))), "")</f>
        <v/>
      </c>
      <c r="F549" s="10">
        <f>IFERROR(IF(INDEX(ERP資料!$G:$G, (MATCH(548, 輔助計算!$F$2:$F$801, 0)+1))="","",INDEX(ERP資料!$G:$G, (MATCH(548, 輔助計算!$F$2:$F$801, 0)+1))), "")</f>
        <v/>
      </c>
      <c r="G549" s="10">
        <f>IFERROR(IF(INDEX(ERP資料!$H:$H, (MATCH(548, 輔助計算!$F$2:$F$801, 0)+1))="","",INDEX(ERP資料!$H:$H, (MATCH(548, 輔助計算!$F$2:$F$801, 0)+1))), "")</f>
        <v/>
      </c>
      <c r="H549" s="10">
        <f>IFERROR(IF(INDEX(ERP資料!$O:$O, (MATCH(548, 輔助計算!$F$2:$F$801, 0)+1))="","",INDEX(ERP資料!$O:$O, (MATCH(548, 輔助計算!$F$2:$F$801, 0)+1))), "")</f>
        <v/>
      </c>
      <c r="I549" s="15">
        <f>IFERROR(IF(INDEX(輔助計算!$D:$D,(MATCH(548, 輔助計算!$F$2:$F$801, 0)+1))="","",INDEX(輔助計算!$D:$D,(MATCH(548, 輔助計算!$F$2:$F$801, 0)+1))*INDEX(ERP資料!$O:$O,(MATCH(548, 輔助計算!$F$2:$F$801, 0)+1))), "")</f>
        <v/>
      </c>
      <c r="J549" s="16" t="n"/>
      <c r="K549" s="15">
        <f>IFERROR(INDEX(輔助計算!$D:$D, (MATCH(548, 輔助計算!$F$2:$F$801, 0)+1)), "")</f>
        <v/>
      </c>
      <c r="L549" s="16">
        <f>IFERROR(IF(AND(IFERROR(VLOOKUP(LEFT(INDEX(ERP資料!$S:$S, (MATCH(548, 輔助計算!$F$2:$F$801, 0)+1)), 4), 100張客戶!$A:$A, 1, FALSE), "")&lt;&gt;"", OR(INDEX(ERP資料!$F:$F, (MATCH(548, 輔助計算!$F$2:$F$801, 0)+1))=270, INDEX(ERP資料!$F:$F, (MATCH(548, 輔助計算!$F$2:$F$801, 0)+1))=300)), "100張", ""), "")</f>
        <v/>
      </c>
      <c r="M549" s="17" t="n"/>
      <c r="N549" s="17">
        <f>IF($F549="","",$F549)</f>
        <v/>
      </c>
      <c r="O549" s="17">
        <f>IF($G549="","",$G549)</f>
        <v/>
      </c>
      <c r="P549" s="17">
        <f>IF($K549="","",$K549)</f>
        <v/>
      </c>
      <c r="Q549" s="16" t="n"/>
      <c r="R549" s="18" t="n"/>
      <c r="S549" s="16" t="n"/>
    </row>
    <row r="550">
      <c r="A550" s="14">
        <f>IFERROR(IF(AND(IFERROR(INDEX(ERP資料!$A:$A, (MATCH(549, 輔助計算!$F$2:$F$801, 0)+1)), "")&lt;&gt;"", IFERROR(INDEX(ERP資料!$A:$A, (MATCH(549, 輔助計算!$F$2:$F$801, 0)+1)), "")&lt;&gt;IFERROR(INDEX(ERP資料!$A:$A, MATCH(548, 輔助計算!$F$2:$F$801, 0)+1), "")), INDEX(ERP資料!$B:$B, (MATCH(549, 輔助計算!$F$2:$F$801, 0)+1)), ""), "")</f>
        <v/>
      </c>
      <c r="B550" s="10">
        <f>IFERROR(IF(AND(IFERROR(INDEX(ERP資料!$A:$A, (MATCH(549, 輔助計算!$F$2:$F$801, 0)+1)), "")&lt;&gt;"", IFERROR(INDEX(ERP資料!$A:$A, (MATCH(549, 輔助計算!$F$2:$F$801, 0)+1)), "")&lt;&gt;IFERROR(INDEX(ERP資料!$A:$A, MATCH(548, 輔助計算!$F$2:$F$801, 0)+1), "")), IFERROR(INDEX(ERP資料!$A:$A, (MATCH(549, 輔助計算!$F$2:$F$801, 0)+1)), ""), ""), "")</f>
        <v/>
      </c>
      <c r="C550" s="10">
        <f>IFERROR(IF(AND(IFERROR(INDEX(ERP資料!$A:$A, (MATCH(549, 輔助計算!$F$2:$F$801, 0)+1)), "")&lt;&gt;"", IFERROR(INDEX(ERP資料!$A:$A, (MATCH(549, 輔助計算!$F$2:$F$801, 0)+1)), "")&lt;&gt;IFERROR(INDEX(ERP資料!$A:$A, MATCH(548, 輔助計算!$F$2:$F$801, 0)+1), "")), INDEX(ERP資料!$S:$S, (MATCH(549, 輔助計算!$F$2:$F$801, 0)+1)), ""), "")</f>
        <v/>
      </c>
      <c r="D550" s="10">
        <f>IFERROR(IF(INDEX(ERP資料!$E:$E, (MATCH(549, 輔助計算!$F$2:$F$801, 0)+1))="","",TRIM(INDEX(ERP資料!$E:$E, (MATCH(549, 輔助計算!$F$2:$F$801, 0)+1)))), "")</f>
        <v/>
      </c>
      <c r="E550" s="10">
        <f>IFERROR(IF(INDEX(ERP資料!$F:$F, (MATCH(549, 輔助計算!$F$2:$F$801, 0)+1))="","",INDEX(ERP資料!$F:$F, (MATCH(549, 輔助計算!$F$2:$F$801, 0)+1))), "")</f>
        <v/>
      </c>
      <c r="F550" s="10">
        <f>IFERROR(IF(INDEX(ERP資料!$G:$G, (MATCH(549, 輔助計算!$F$2:$F$801, 0)+1))="","",INDEX(ERP資料!$G:$G, (MATCH(549, 輔助計算!$F$2:$F$801, 0)+1))), "")</f>
        <v/>
      </c>
      <c r="G550" s="10">
        <f>IFERROR(IF(INDEX(ERP資料!$H:$H, (MATCH(549, 輔助計算!$F$2:$F$801, 0)+1))="","",INDEX(ERP資料!$H:$H, (MATCH(549, 輔助計算!$F$2:$F$801, 0)+1))), "")</f>
        <v/>
      </c>
      <c r="H550" s="10">
        <f>IFERROR(IF(INDEX(ERP資料!$O:$O, (MATCH(549, 輔助計算!$F$2:$F$801, 0)+1))="","",INDEX(ERP資料!$O:$O, (MATCH(549, 輔助計算!$F$2:$F$801, 0)+1))), "")</f>
        <v/>
      </c>
      <c r="I550" s="15">
        <f>IFERROR(IF(INDEX(輔助計算!$D:$D,(MATCH(549, 輔助計算!$F$2:$F$801, 0)+1))="","",INDEX(輔助計算!$D:$D,(MATCH(549, 輔助計算!$F$2:$F$801, 0)+1))*INDEX(ERP資料!$O:$O,(MATCH(549, 輔助計算!$F$2:$F$801, 0)+1))), "")</f>
        <v/>
      </c>
      <c r="J550" s="16" t="n"/>
      <c r="K550" s="15">
        <f>IFERROR(INDEX(輔助計算!$D:$D, (MATCH(549, 輔助計算!$F$2:$F$801, 0)+1)), "")</f>
        <v/>
      </c>
      <c r="L550" s="16">
        <f>IFERROR(IF(AND(IFERROR(VLOOKUP(LEFT(INDEX(ERP資料!$S:$S, (MATCH(549, 輔助計算!$F$2:$F$801, 0)+1)), 4), 100張客戶!$A:$A, 1, FALSE), "")&lt;&gt;"", OR(INDEX(ERP資料!$F:$F, (MATCH(549, 輔助計算!$F$2:$F$801, 0)+1))=270, INDEX(ERP資料!$F:$F, (MATCH(549, 輔助計算!$F$2:$F$801, 0)+1))=300)), "100張", ""), "")</f>
        <v/>
      </c>
      <c r="M550" s="17" t="n"/>
      <c r="N550" s="17">
        <f>IF($F550="","",$F550)</f>
        <v/>
      </c>
      <c r="O550" s="17">
        <f>IF($G550="","",$G550)</f>
        <v/>
      </c>
      <c r="P550" s="17">
        <f>IF($K550="","",$K550)</f>
        <v/>
      </c>
      <c r="Q550" s="16" t="n"/>
      <c r="R550" s="18" t="n"/>
      <c r="S550" s="16" t="n"/>
    </row>
    <row r="551">
      <c r="A551" s="14">
        <f>IFERROR(IF(AND(IFERROR(INDEX(ERP資料!$A:$A, (MATCH(550, 輔助計算!$F$2:$F$801, 0)+1)), "")&lt;&gt;"", IFERROR(INDEX(ERP資料!$A:$A, (MATCH(550, 輔助計算!$F$2:$F$801, 0)+1)), "")&lt;&gt;IFERROR(INDEX(ERP資料!$A:$A, MATCH(549, 輔助計算!$F$2:$F$801, 0)+1), "")), INDEX(ERP資料!$B:$B, (MATCH(550, 輔助計算!$F$2:$F$801, 0)+1)), ""), "")</f>
        <v/>
      </c>
      <c r="B551" s="10">
        <f>IFERROR(IF(AND(IFERROR(INDEX(ERP資料!$A:$A, (MATCH(550, 輔助計算!$F$2:$F$801, 0)+1)), "")&lt;&gt;"", IFERROR(INDEX(ERP資料!$A:$A, (MATCH(550, 輔助計算!$F$2:$F$801, 0)+1)), "")&lt;&gt;IFERROR(INDEX(ERP資料!$A:$A, MATCH(549, 輔助計算!$F$2:$F$801, 0)+1), "")), IFERROR(INDEX(ERP資料!$A:$A, (MATCH(550, 輔助計算!$F$2:$F$801, 0)+1)), ""), ""), "")</f>
        <v/>
      </c>
      <c r="C551" s="10">
        <f>IFERROR(IF(AND(IFERROR(INDEX(ERP資料!$A:$A, (MATCH(550, 輔助計算!$F$2:$F$801, 0)+1)), "")&lt;&gt;"", IFERROR(INDEX(ERP資料!$A:$A, (MATCH(550, 輔助計算!$F$2:$F$801, 0)+1)), "")&lt;&gt;IFERROR(INDEX(ERP資料!$A:$A, MATCH(549, 輔助計算!$F$2:$F$801, 0)+1), "")), INDEX(ERP資料!$S:$S, (MATCH(550, 輔助計算!$F$2:$F$801, 0)+1)), ""), "")</f>
        <v/>
      </c>
      <c r="D551" s="10">
        <f>IFERROR(IF(INDEX(ERP資料!$E:$E, (MATCH(550, 輔助計算!$F$2:$F$801, 0)+1))="","",TRIM(INDEX(ERP資料!$E:$E, (MATCH(550, 輔助計算!$F$2:$F$801, 0)+1)))), "")</f>
        <v/>
      </c>
      <c r="E551" s="10">
        <f>IFERROR(IF(INDEX(ERP資料!$F:$F, (MATCH(550, 輔助計算!$F$2:$F$801, 0)+1))="","",INDEX(ERP資料!$F:$F, (MATCH(550, 輔助計算!$F$2:$F$801, 0)+1))), "")</f>
        <v/>
      </c>
      <c r="F551" s="10">
        <f>IFERROR(IF(INDEX(ERP資料!$G:$G, (MATCH(550, 輔助計算!$F$2:$F$801, 0)+1))="","",INDEX(ERP資料!$G:$G, (MATCH(550, 輔助計算!$F$2:$F$801, 0)+1))), "")</f>
        <v/>
      </c>
      <c r="G551" s="10">
        <f>IFERROR(IF(INDEX(ERP資料!$H:$H, (MATCH(550, 輔助計算!$F$2:$F$801, 0)+1))="","",INDEX(ERP資料!$H:$H, (MATCH(550, 輔助計算!$F$2:$F$801, 0)+1))), "")</f>
        <v/>
      </c>
      <c r="H551" s="10">
        <f>IFERROR(IF(INDEX(ERP資料!$O:$O, (MATCH(550, 輔助計算!$F$2:$F$801, 0)+1))="","",INDEX(ERP資料!$O:$O, (MATCH(550, 輔助計算!$F$2:$F$801, 0)+1))), "")</f>
        <v/>
      </c>
      <c r="I551" s="15">
        <f>IFERROR(IF(INDEX(輔助計算!$D:$D,(MATCH(550, 輔助計算!$F$2:$F$801, 0)+1))="","",INDEX(輔助計算!$D:$D,(MATCH(550, 輔助計算!$F$2:$F$801, 0)+1))*INDEX(ERP資料!$O:$O,(MATCH(550, 輔助計算!$F$2:$F$801, 0)+1))), "")</f>
        <v/>
      </c>
      <c r="J551" s="16" t="n"/>
      <c r="K551" s="15">
        <f>IFERROR(INDEX(輔助計算!$D:$D, (MATCH(550, 輔助計算!$F$2:$F$801, 0)+1)), "")</f>
        <v/>
      </c>
      <c r="L551" s="16">
        <f>IFERROR(IF(AND(IFERROR(VLOOKUP(LEFT(INDEX(ERP資料!$S:$S, (MATCH(550, 輔助計算!$F$2:$F$801, 0)+1)), 4), 100張客戶!$A:$A, 1, FALSE), "")&lt;&gt;"", OR(INDEX(ERP資料!$F:$F, (MATCH(550, 輔助計算!$F$2:$F$801, 0)+1))=270, INDEX(ERP資料!$F:$F, (MATCH(550, 輔助計算!$F$2:$F$801, 0)+1))=300)), "100張", ""), "")</f>
        <v/>
      </c>
      <c r="M551" s="17" t="n"/>
      <c r="N551" s="17">
        <f>IF($F551="","",$F551)</f>
        <v/>
      </c>
      <c r="O551" s="17">
        <f>IF($G551="","",$G551)</f>
        <v/>
      </c>
      <c r="P551" s="17">
        <f>IF($K551="","",$K551)</f>
        <v/>
      </c>
      <c r="Q551" s="16" t="n"/>
      <c r="R551" s="18" t="n"/>
      <c r="S551" s="16" t="n"/>
    </row>
    <row r="552">
      <c r="A552" s="14">
        <f>IFERROR(IF(AND(IFERROR(INDEX(ERP資料!$A:$A, (MATCH(551, 輔助計算!$F$2:$F$801, 0)+1)), "")&lt;&gt;"", IFERROR(INDEX(ERP資料!$A:$A, (MATCH(551, 輔助計算!$F$2:$F$801, 0)+1)), "")&lt;&gt;IFERROR(INDEX(ERP資料!$A:$A, MATCH(550, 輔助計算!$F$2:$F$801, 0)+1), "")), INDEX(ERP資料!$B:$B, (MATCH(551, 輔助計算!$F$2:$F$801, 0)+1)), ""), "")</f>
        <v/>
      </c>
      <c r="B552" s="10">
        <f>IFERROR(IF(AND(IFERROR(INDEX(ERP資料!$A:$A, (MATCH(551, 輔助計算!$F$2:$F$801, 0)+1)), "")&lt;&gt;"", IFERROR(INDEX(ERP資料!$A:$A, (MATCH(551, 輔助計算!$F$2:$F$801, 0)+1)), "")&lt;&gt;IFERROR(INDEX(ERP資料!$A:$A, MATCH(550, 輔助計算!$F$2:$F$801, 0)+1), "")), IFERROR(INDEX(ERP資料!$A:$A, (MATCH(551, 輔助計算!$F$2:$F$801, 0)+1)), ""), ""), "")</f>
        <v/>
      </c>
      <c r="C552" s="10">
        <f>IFERROR(IF(AND(IFERROR(INDEX(ERP資料!$A:$A, (MATCH(551, 輔助計算!$F$2:$F$801, 0)+1)), "")&lt;&gt;"", IFERROR(INDEX(ERP資料!$A:$A, (MATCH(551, 輔助計算!$F$2:$F$801, 0)+1)), "")&lt;&gt;IFERROR(INDEX(ERP資料!$A:$A, MATCH(550, 輔助計算!$F$2:$F$801, 0)+1), "")), INDEX(ERP資料!$S:$S, (MATCH(551, 輔助計算!$F$2:$F$801, 0)+1)), ""), "")</f>
        <v/>
      </c>
      <c r="D552" s="10">
        <f>IFERROR(IF(INDEX(ERP資料!$E:$E, (MATCH(551, 輔助計算!$F$2:$F$801, 0)+1))="","",TRIM(INDEX(ERP資料!$E:$E, (MATCH(551, 輔助計算!$F$2:$F$801, 0)+1)))), "")</f>
        <v/>
      </c>
      <c r="E552" s="10">
        <f>IFERROR(IF(INDEX(ERP資料!$F:$F, (MATCH(551, 輔助計算!$F$2:$F$801, 0)+1))="","",INDEX(ERP資料!$F:$F, (MATCH(551, 輔助計算!$F$2:$F$801, 0)+1))), "")</f>
        <v/>
      </c>
      <c r="F552" s="10">
        <f>IFERROR(IF(INDEX(ERP資料!$G:$G, (MATCH(551, 輔助計算!$F$2:$F$801, 0)+1))="","",INDEX(ERP資料!$G:$G, (MATCH(551, 輔助計算!$F$2:$F$801, 0)+1))), "")</f>
        <v/>
      </c>
      <c r="G552" s="10">
        <f>IFERROR(IF(INDEX(ERP資料!$H:$H, (MATCH(551, 輔助計算!$F$2:$F$801, 0)+1))="","",INDEX(ERP資料!$H:$H, (MATCH(551, 輔助計算!$F$2:$F$801, 0)+1))), "")</f>
        <v/>
      </c>
      <c r="H552" s="10">
        <f>IFERROR(IF(INDEX(ERP資料!$O:$O, (MATCH(551, 輔助計算!$F$2:$F$801, 0)+1))="","",INDEX(ERP資料!$O:$O, (MATCH(551, 輔助計算!$F$2:$F$801, 0)+1))), "")</f>
        <v/>
      </c>
      <c r="I552" s="15">
        <f>IFERROR(IF(INDEX(輔助計算!$D:$D,(MATCH(551, 輔助計算!$F$2:$F$801, 0)+1))="","",INDEX(輔助計算!$D:$D,(MATCH(551, 輔助計算!$F$2:$F$801, 0)+1))*INDEX(ERP資料!$O:$O,(MATCH(551, 輔助計算!$F$2:$F$801, 0)+1))), "")</f>
        <v/>
      </c>
      <c r="J552" s="16" t="n"/>
      <c r="K552" s="15">
        <f>IFERROR(INDEX(輔助計算!$D:$D, (MATCH(551, 輔助計算!$F$2:$F$801, 0)+1)), "")</f>
        <v/>
      </c>
      <c r="L552" s="16">
        <f>IFERROR(IF(AND(IFERROR(VLOOKUP(LEFT(INDEX(ERP資料!$S:$S, (MATCH(551, 輔助計算!$F$2:$F$801, 0)+1)), 4), 100張客戶!$A:$A, 1, FALSE), "")&lt;&gt;"", OR(INDEX(ERP資料!$F:$F, (MATCH(551, 輔助計算!$F$2:$F$801, 0)+1))=270, INDEX(ERP資料!$F:$F, (MATCH(551, 輔助計算!$F$2:$F$801, 0)+1))=300)), "100張", ""), "")</f>
        <v/>
      </c>
      <c r="M552" s="17" t="n"/>
      <c r="N552" s="17">
        <f>IF($F552="","",$F552)</f>
        <v/>
      </c>
      <c r="O552" s="17">
        <f>IF($G552="","",$G552)</f>
        <v/>
      </c>
      <c r="P552" s="17">
        <f>IF($K552="","",$K552)</f>
        <v/>
      </c>
      <c r="Q552" s="16" t="n"/>
      <c r="R552" s="18" t="n"/>
      <c r="S552" s="16" t="n"/>
    </row>
    <row r="553">
      <c r="A553" s="14">
        <f>IFERROR(IF(AND(IFERROR(INDEX(ERP資料!$A:$A, (MATCH(552, 輔助計算!$F$2:$F$801, 0)+1)), "")&lt;&gt;"", IFERROR(INDEX(ERP資料!$A:$A, (MATCH(552, 輔助計算!$F$2:$F$801, 0)+1)), "")&lt;&gt;IFERROR(INDEX(ERP資料!$A:$A, MATCH(551, 輔助計算!$F$2:$F$801, 0)+1), "")), INDEX(ERP資料!$B:$B, (MATCH(552, 輔助計算!$F$2:$F$801, 0)+1)), ""), "")</f>
        <v/>
      </c>
      <c r="B553" s="10">
        <f>IFERROR(IF(AND(IFERROR(INDEX(ERP資料!$A:$A, (MATCH(552, 輔助計算!$F$2:$F$801, 0)+1)), "")&lt;&gt;"", IFERROR(INDEX(ERP資料!$A:$A, (MATCH(552, 輔助計算!$F$2:$F$801, 0)+1)), "")&lt;&gt;IFERROR(INDEX(ERP資料!$A:$A, MATCH(551, 輔助計算!$F$2:$F$801, 0)+1), "")), IFERROR(INDEX(ERP資料!$A:$A, (MATCH(552, 輔助計算!$F$2:$F$801, 0)+1)), ""), ""), "")</f>
        <v/>
      </c>
      <c r="C553" s="10">
        <f>IFERROR(IF(AND(IFERROR(INDEX(ERP資料!$A:$A, (MATCH(552, 輔助計算!$F$2:$F$801, 0)+1)), "")&lt;&gt;"", IFERROR(INDEX(ERP資料!$A:$A, (MATCH(552, 輔助計算!$F$2:$F$801, 0)+1)), "")&lt;&gt;IFERROR(INDEX(ERP資料!$A:$A, MATCH(551, 輔助計算!$F$2:$F$801, 0)+1), "")), INDEX(ERP資料!$S:$S, (MATCH(552, 輔助計算!$F$2:$F$801, 0)+1)), ""), "")</f>
        <v/>
      </c>
      <c r="D553" s="10">
        <f>IFERROR(IF(INDEX(ERP資料!$E:$E, (MATCH(552, 輔助計算!$F$2:$F$801, 0)+1))="","",TRIM(INDEX(ERP資料!$E:$E, (MATCH(552, 輔助計算!$F$2:$F$801, 0)+1)))), "")</f>
        <v/>
      </c>
      <c r="E553" s="10">
        <f>IFERROR(IF(INDEX(ERP資料!$F:$F, (MATCH(552, 輔助計算!$F$2:$F$801, 0)+1))="","",INDEX(ERP資料!$F:$F, (MATCH(552, 輔助計算!$F$2:$F$801, 0)+1))), "")</f>
        <v/>
      </c>
      <c r="F553" s="10">
        <f>IFERROR(IF(INDEX(ERP資料!$G:$G, (MATCH(552, 輔助計算!$F$2:$F$801, 0)+1))="","",INDEX(ERP資料!$G:$G, (MATCH(552, 輔助計算!$F$2:$F$801, 0)+1))), "")</f>
        <v/>
      </c>
      <c r="G553" s="10">
        <f>IFERROR(IF(INDEX(ERP資料!$H:$H, (MATCH(552, 輔助計算!$F$2:$F$801, 0)+1))="","",INDEX(ERP資料!$H:$H, (MATCH(552, 輔助計算!$F$2:$F$801, 0)+1))), "")</f>
        <v/>
      </c>
      <c r="H553" s="10">
        <f>IFERROR(IF(INDEX(ERP資料!$O:$O, (MATCH(552, 輔助計算!$F$2:$F$801, 0)+1))="","",INDEX(ERP資料!$O:$O, (MATCH(552, 輔助計算!$F$2:$F$801, 0)+1))), "")</f>
        <v/>
      </c>
      <c r="I553" s="15">
        <f>IFERROR(IF(INDEX(輔助計算!$D:$D,(MATCH(552, 輔助計算!$F$2:$F$801, 0)+1))="","",INDEX(輔助計算!$D:$D,(MATCH(552, 輔助計算!$F$2:$F$801, 0)+1))*INDEX(ERP資料!$O:$O,(MATCH(552, 輔助計算!$F$2:$F$801, 0)+1))), "")</f>
        <v/>
      </c>
      <c r="J553" s="16" t="n"/>
      <c r="K553" s="15">
        <f>IFERROR(INDEX(輔助計算!$D:$D, (MATCH(552, 輔助計算!$F$2:$F$801, 0)+1)), "")</f>
        <v/>
      </c>
      <c r="L553" s="16">
        <f>IFERROR(IF(AND(IFERROR(VLOOKUP(LEFT(INDEX(ERP資料!$S:$S, (MATCH(552, 輔助計算!$F$2:$F$801, 0)+1)), 4), 100張客戶!$A:$A, 1, FALSE), "")&lt;&gt;"", OR(INDEX(ERP資料!$F:$F, (MATCH(552, 輔助計算!$F$2:$F$801, 0)+1))=270, INDEX(ERP資料!$F:$F, (MATCH(552, 輔助計算!$F$2:$F$801, 0)+1))=300)), "100張", ""), "")</f>
        <v/>
      </c>
      <c r="M553" s="17" t="n"/>
      <c r="N553" s="17">
        <f>IF($F553="","",$F553)</f>
        <v/>
      </c>
      <c r="O553" s="17">
        <f>IF($G553="","",$G553)</f>
        <v/>
      </c>
      <c r="P553" s="17">
        <f>IF($K553="","",$K553)</f>
        <v/>
      </c>
      <c r="Q553" s="16" t="n"/>
      <c r="R553" s="18" t="n"/>
      <c r="S553" s="16" t="n"/>
    </row>
    <row r="554">
      <c r="A554" s="14">
        <f>IFERROR(IF(AND(IFERROR(INDEX(ERP資料!$A:$A, (MATCH(553, 輔助計算!$F$2:$F$801, 0)+1)), "")&lt;&gt;"", IFERROR(INDEX(ERP資料!$A:$A, (MATCH(553, 輔助計算!$F$2:$F$801, 0)+1)), "")&lt;&gt;IFERROR(INDEX(ERP資料!$A:$A, MATCH(552, 輔助計算!$F$2:$F$801, 0)+1), "")), INDEX(ERP資料!$B:$B, (MATCH(553, 輔助計算!$F$2:$F$801, 0)+1)), ""), "")</f>
        <v/>
      </c>
      <c r="B554" s="10">
        <f>IFERROR(IF(AND(IFERROR(INDEX(ERP資料!$A:$A, (MATCH(553, 輔助計算!$F$2:$F$801, 0)+1)), "")&lt;&gt;"", IFERROR(INDEX(ERP資料!$A:$A, (MATCH(553, 輔助計算!$F$2:$F$801, 0)+1)), "")&lt;&gt;IFERROR(INDEX(ERP資料!$A:$A, MATCH(552, 輔助計算!$F$2:$F$801, 0)+1), "")), IFERROR(INDEX(ERP資料!$A:$A, (MATCH(553, 輔助計算!$F$2:$F$801, 0)+1)), ""), ""), "")</f>
        <v/>
      </c>
      <c r="C554" s="10">
        <f>IFERROR(IF(AND(IFERROR(INDEX(ERP資料!$A:$A, (MATCH(553, 輔助計算!$F$2:$F$801, 0)+1)), "")&lt;&gt;"", IFERROR(INDEX(ERP資料!$A:$A, (MATCH(553, 輔助計算!$F$2:$F$801, 0)+1)), "")&lt;&gt;IFERROR(INDEX(ERP資料!$A:$A, MATCH(552, 輔助計算!$F$2:$F$801, 0)+1), "")), INDEX(ERP資料!$S:$S, (MATCH(553, 輔助計算!$F$2:$F$801, 0)+1)), ""), "")</f>
        <v/>
      </c>
      <c r="D554" s="10">
        <f>IFERROR(IF(INDEX(ERP資料!$E:$E, (MATCH(553, 輔助計算!$F$2:$F$801, 0)+1))="","",TRIM(INDEX(ERP資料!$E:$E, (MATCH(553, 輔助計算!$F$2:$F$801, 0)+1)))), "")</f>
        <v/>
      </c>
      <c r="E554" s="10">
        <f>IFERROR(IF(INDEX(ERP資料!$F:$F, (MATCH(553, 輔助計算!$F$2:$F$801, 0)+1))="","",INDEX(ERP資料!$F:$F, (MATCH(553, 輔助計算!$F$2:$F$801, 0)+1))), "")</f>
        <v/>
      </c>
      <c r="F554" s="10">
        <f>IFERROR(IF(INDEX(ERP資料!$G:$G, (MATCH(553, 輔助計算!$F$2:$F$801, 0)+1))="","",INDEX(ERP資料!$G:$G, (MATCH(553, 輔助計算!$F$2:$F$801, 0)+1))), "")</f>
        <v/>
      </c>
      <c r="G554" s="10">
        <f>IFERROR(IF(INDEX(ERP資料!$H:$H, (MATCH(553, 輔助計算!$F$2:$F$801, 0)+1))="","",INDEX(ERP資料!$H:$H, (MATCH(553, 輔助計算!$F$2:$F$801, 0)+1))), "")</f>
        <v/>
      </c>
      <c r="H554" s="10">
        <f>IFERROR(IF(INDEX(ERP資料!$O:$O, (MATCH(553, 輔助計算!$F$2:$F$801, 0)+1))="","",INDEX(ERP資料!$O:$O, (MATCH(553, 輔助計算!$F$2:$F$801, 0)+1))), "")</f>
        <v/>
      </c>
      <c r="I554" s="15">
        <f>IFERROR(IF(INDEX(輔助計算!$D:$D,(MATCH(553, 輔助計算!$F$2:$F$801, 0)+1))="","",INDEX(輔助計算!$D:$D,(MATCH(553, 輔助計算!$F$2:$F$801, 0)+1))*INDEX(ERP資料!$O:$O,(MATCH(553, 輔助計算!$F$2:$F$801, 0)+1))), "")</f>
        <v/>
      </c>
      <c r="J554" s="16" t="n"/>
      <c r="K554" s="15">
        <f>IFERROR(INDEX(輔助計算!$D:$D, (MATCH(553, 輔助計算!$F$2:$F$801, 0)+1)), "")</f>
        <v/>
      </c>
      <c r="L554" s="16">
        <f>IFERROR(IF(AND(IFERROR(VLOOKUP(LEFT(INDEX(ERP資料!$S:$S, (MATCH(553, 輔助計算!$F$2:$F$801, 0)+1)), 4), 100張客戶!$A:$A, 1, FALSE), "")&lt;&gt;"", OR(INDEX(ERP資料!$F:$F, (MATCH(553, 輔助計算!$F$2:$F$801, 0)+1))=270, INDEX(ERP資料!$F:$F, (MATCH(553, 輔助計算!$F$2:$F$801, 0)+1))=300)), "100張", ""), "")</f>
        <v/>
      </c>
      <c r="M554" s="17" t="n"/>
      <c r="N554" s="17">
        <f>IF($F554="","",$F554)</f>
        <v/>
      </c>
      <c r="O554" s="17">
        <f>IF($G554="","",$G554)</f>
        <v/>
      </c>
      <c r="P554" s="17">
        <f>IF($K554="","",$K554)</f>
        <v/>
      </c>
      <c r="Q554" s="16" t="n"/>
      <c r="R554" s="18" t="n"/>
      <c r="S554" s="16" t="n"/>
    </row>
    <row r="555">
      <c r="A555" s="14">
        <f>IFERROR(IF(AND(IFERROR(INDEX(ERP資料!$A:$A, (MATCH(554, 輔助計算!$F$2:$F$801, 0)+1)), "")&lt;&gt;"", IFERROR(INDEX(ERP資料!$A:$A, (MATCH(554, 輔助計算!$F$2:$F$801, 0)+1)), "")&lt;&gt;IFERROR(INDEX(ERP資料!$A:$A, MATCH(553, 輔助計算!$F$2:$F$801, 0)+1), "")), INDEX(ERP資料!$B:$B, (MATCH(554, 輔助計算!$F$2:$F$801, 0)+1)), ""), "")</f>
        <v/>
      </c>
      <c r="B555" s="10">
        <f>IFERROR(IF(AND(IFERROR(INDEX(ERP資料!$A:$A, (MATCH(554, 輔助計算!$F$2:$F$801, 0)+1)), "")&lt;&gt;"", IFERROR(INDEX(ERP資料!$A:$A, (MATCH(554, 輔助計算!$F$2:$F$801, 0)+1)), "")&lt;&gt;IFERROR(INDEX(ERP資料!$A:$A, MATCH(553, 輔助計算!$F$2:$F$801, 0)+1), "")), IFERROR(INDEX(ERP資料!$A:$A, (MATCH(554, 輔助計算!$F$2:$F$801, 0)+1)), ""), ""), "")</f>
        <v/>
      </c>
      <c r="C555" s="10">
        <f>IFERROR(IF(AND(IFERROR(INDEX(ERP資料!$A:$A, (MATCH(554, 輔助計算!$F$2:$F$801, 0)+1)), "")&lt;&gt;"", IFERROR(INDEX(ERP資料!$A:$A, (MATCH(554, 輔助計算!$F$2:$F$801, 0)+1)), "")&lt;&gt;IFERROR(INDEX(ERP資料!$A:$A, MATCH(553, 輔助計算!$F$2:$F$801, 0)+1), "")), INDEX(ERP資料!$S:$S, (MATCH(554, 輔助計算!$F$2:$F$801, 0)+1)), ""), "")</f>
        <v/>
      </c>
      <c r="D555" s="10">
        <f>IFERROR(IF(INDEX(ERP資料!$E:$E, (MATCH(554, 輔助計算!$F$2:$F$801, 0)+1))="","",TRIM(INDEX(ERP資料!$E:$E, (MATCH(554, 輔助計算!$F$2:$F$801, 0)+1)))), "")</f>
        <v/>
      </c>
      <c r="E555" s="10">
        <f>IFERROR(IF(INDEX(ERP資料!$F:$F, (MATCH(554, 輔助計算!$F$2:$F$801, 0)+1))="","",INDEX(ERP資料!$F:$F, (MATCH(554, 輔助計算!$F$2:$F$801, 0)+1))), "")</f>
        <v/>
      </c>
      <c r="F555" s="10">
        <f>IFERROR(IF(INDEX(ERP資料!$G:$G, (MATCH(554, 輔助計算!$F$2:$F$801, 0)+1))="","",INDEX(ERP資料!$G:$G, (MATCH(554, 輔助計算!$F$2:$F$801, 0)+1))), "")</f>
        <v/>
      </c>
      <c r="G555" s="10">
        <f>IFERROR(IF(INDEX(ERP資料!$H:$H, (MATCH(554, 輔助計算!$F$2:$F$801, 0)+1))="","",INDEX(ERP資料!$H:$H, (MATCH(554, 輔助計算!$F$2:$F$801, 0)+1))), "")</f>
        <v/>
      </c>
      <c r="H555" s="10">
        <f>IFERROR(IF(INDEX(ERP資料!$O:$O, (MATCH(554, 輔助計算!$F$2:$F$801, 0)+1))="","",INDEX(ERP資料!$O:$O, (MATCH(554, 輔助計算!$F$2:$F$801, 0)+1))), "")</f>
        <v/>
      </c>
      <c r="I555" s="15">
        <f>IFERROR(IF(INDEX(輔助計算!$D:$D,(MATCH(554, 輔助計算!$F$2:$F$801, 0)+1))="","",INDEX(輔助計算!$D:$D,(MATCH(554, 輔助計算!$F$2:$F$801, 0)+1))*INDEX(ERP資料!$O:$O,(MATCH(554, 輔助計算!$F$2:$F$801, 0)+1))), "")</f>
        <v/>
      </c>
      <c r="J555" s="16" t="n"/>
      <c r="K555" s="15">
        <f>IFERROR(INDEX(輔助計算!$D:$D, (MATCH(554, 輔助計算!$F$2:$F$801, 0)+1)), "")</f>
        <v/>
      </c>
      <c r="L555" s="16">
        <f>IFERROR(IF(AND(IFERROR(VLOOKUP(LEFT(INDEX(ERP資料!$S:$S, (MATCH(554, 輔助計算!$F$2:$F$801, 0)+1)), 4), 100張客戶!$A:$A, 1, FALSE), "")&lt;&gt;"", OR(INDEX(ERP資料!$F:$F, (MATCH(554, 輔助計算!$F$2:$F$801, 0)+1))=270, INDEX(ERP資料!$F:$F, (MATCH(554, 輔助計算!$F$2:$F$801, 0)+1))=300)), "100張", ""), "")</f>
        <v/>
      </c>
      <c r="M555" s="17" t="n"/>
      <c r="N555" s="17">
        <f>IF($F555="","",$F555)</f>
        <v/>
      </c>
      <c r="O555" s="17">
        <f>IF($G555="","",$G555)</f>
        <v/>
      </c>
      <c r="P555" s="17">
        <f>IF($K555="","",$K555)</f>
        <v/>
      </c>
      <c r="Q555" s="16" t="n"/>
      <c r="R555" s="18" t="n"/>
      <c r="S555" s="16" t="n"/>
    </row>
    <row r="556">
      <c r="A556" s="14">
        <f>IFERROR(IF(AND(IFERROR(INDEX(ERP資料!$A:$A, (MATCH(555, 輔助計算!$F$2:$F$801, 0)+1)), "")&lt;&gt;"", IFERROR(INDEX(ERP資料!$A:$A, (MATCH(555, 輔助計算!$F$2:$F$801, 0)+1)), "")&lt;&gt;IFERROR(INDEX(ERP資料!$A:$A, MATCH(554, 輔助計算!$F$2:$F$801, 0)+1), "")), INDEX(ERP資料!$B:$B, (MATCH(555, 輔助計算!$F$2:$F$801, 0)+1)), ""), "")</f>
        <v/>
      </c>
      <c r="B556" s="10">
        <f>IFERROR(IF(AND(IFERROR(INDEX(ERP資料!$A:$A, (MATCH(555, 輔助計算!$F$2:$F$801, 0)+1)), "")&lt;&gt;"", IFERROR(INDEX(ERP資料!$A:$A, (MATCH(555, 輔助計算!$F$2:$F$801, 0)+1)), "")&lt;&gt;IFERROR(INDEX(ERP資料!$A:$A, MATCH(554, 輔助計算!$F$2:$F$801, 0)+1), "")), IFERROR(INDEX(ERP資料!$A:$A, (MATCH(555, 輔助計算!$F$2:$F$801, 0)+1)), ""), ""), "")</f>
        <v/>
      </c>
      <c r="C556" s="10">
        <f>IFERROR(IF(AND(IFERROR(INDEX(ERP資料!$A:$A, (MATCH(555, 輔助計算!$F$2:$F$801, 0)+1)), "")&lt;&gt;"", IFERROR(INDEX(ERP資料!$A:$A, (MATCH(555, 輔助計算!$F$2:$F$801, 0)+1)), "")&lt;&gt;IFERROR(INDEX(ERP資料!$A:$A, MATCH(554, 輔助計算!$F$2:$F$801, 0)+1), "")), INDEX(ERP資料!$S:$S, (MATCH(555, 輔助計算!$F$2:$F$801, 0)+1)), ""), "")</f>
        <v/>
      </c>
      <c r="D556" s="10">
        <f>IFERROR(IF(INDEX(ERP資料!$E:$E, (MATCH(555, 輔助計算!$F$2:$F$801, 0)+1))="","",TRIM(INDEX(ERP資料!$E:$E, (MATCH(555, 輔助計算!$F$2:$F$801, 0)+1)))), "")</f>
        <v/>
      </c>
      <c r="E556" s="10">
        <f>IFERROR(IF(INDEX(ERP資料!$F:$F, (MATCH(555, 輔助計算!$F$2:$F$801, 0)+1))="","",INDEX(ERP資料!$F:$F, (MATCH(555, 輔助計算!$F$2:$F$801, 0)+1))), "")</f>
        <v/>
      </c>
      <c r="F556" s="10">
        <f>IFERROR(IF(INDEX(ERP資料!$G:$G, (MATCH(555, 輔助計算!$F$2:$F$801, 0)+1))="","",INDEX(ERP資料!$G:$G, (MATCH(555, 輔助計算!$F$2:$F$801, 0)+1))), "")</f>
        <v/>
      </c>
      <c r="G556" s="10">
        <f>IFERROR(IF(INDEX(ERP資料!$H:$H, (MATCH(555, 輔助計算!$F$2:$F$801, 0)+1))="","",INDEX(ERP資料!$H:$H, (MATCH(555, 輔助計算!$F$2:$F$801, 0)+1))), "")</f>
        <v/>
      </c>
      <c r="H556" s="10">
        <f>IFERROR(IF(INDEX(ERP資料!$O:$O, (MATCH(555, 輔助計算!$F$2:$F$801, 0)+1))="","",INDEX(ERP資料!$O:$O, (MATCH(555, 輔助計算!$F$2:$F$801, 0)+1))), "")</f>
        <v/>
      </c>
      <c r="I556" s="15">
        <f>IFERROR(IF(INDEX(輔助計算!$D:$D,(MATCH(555, 輔助計算!$F$2:$F$801, 0)+1))="","",INDEX(輔助計算!$D:$D,(MATCH(555, 輔助計算!$F$2:$F$801, 0)+1))*INDEX(ERP資料!$O:$O,(MATCH(555, 輔助計算!$F$2:$F$801, 0)+1))), "")</f>
        <v/>
      </c>
      <c r="J556" s="16" t="n"/>
      <c r="K556" s="15">
        <f>IFERROR(INDEX(輔助計算!$D:$D, (MATCH(555, 輔助計算!$F$2:$F$801, 0)+1)), "")</f>
        <v/>
      </c>
      <c r="L556" s="16">
        <f>IFERROR(IF(AND(IFERROR(VLOOKUP(LEFT(INDEX(ERP資料!$S:$S, (MATCH(555, 輔助計算!$F$2:$F$801, 0)+1)), 4), 100張客戶!$A:$A, 1, FALSE), "")&lt;&gt;"", OR(INDEX(ERP資料!$F:$F, (MATCH(555, 輔助計算!$F$2:$F$801, 0)+1))=270, INDEX(ERP資料!$F:$F, (MATCH(555, 輔助計算!$F$2:$F$801, 0)+1))=300)), "100張", ""), "")</f>
        <v/>
      </c>
      <c r="M556" s="17" t="n"/>
      <c r="N556" s="17">
        <f>IF($F556="","",$F556)</f>
        <v/>
      </c>
      <c r="O556" s="17">
        <f>IF($G556="","",$G556)</f>
        <v/>
      </c>
      <c r="P556" s="17">
        <f>IF($K556="","",$K556)</f>
        <v/>
      </c>
      <c r="Q556" s="16" t="n"/>
      <c r="R556" s="18" t="n"/>
      <c r="S556" s="16" t="n"/>
    </row>
    <row r="557">
      <c r="A557" s="14">
        <f>IFERROR(IF(AND(IFERROR(INDEX(ERP資料!$A:$A, (MATCH(556, 輔助計算!$F$2:$F$801, 0)+1)), "")&lt;&gt;"", IFERROR(INDEX(ERP資料!$A:$A, (MATCH(556, 輔助計算!$F$2:$F$801, 0)+1)), "")&lt;&gt;IFERROR(INDEX(ERP資料!$A:$A, MATCH(555, 輔助計算!$F$2:$F$801, 0)+1), "")), INDEX(ERP資料!$B:$B, (MATCH(556, 輔助計算!$F$2:$F$801, 0)+1)), ""), "")</f>
        <v/>
      </c>
      <c r="B557" s="10">
        <f>IFERROR(IF(AND(IFERROR(INDEX(ERP資料!$A:$A, (MATCH(556, 輔助計算!$F$2:$F$801, 0)+1)), "")&lt;&gt;"", IFERROR(INDEX(ERP資料!$A:$A, (MATCH(556, 輔助計算!$F$2:$F$801, 0)+1)), "")&lt;&gt;IFERROR(INDEX(ERP資料!$A:$A, MATCH(555, 輔助計算!$F$2:$F$801, 0)+1), "")), IFERROR(INDEX(ERP資料!$A:$A, (MATCH(556, 輔助計算!$F$2:$F$801, 0)+1)), ""), ""), "")</f>
        <v/>
      </c>
      <c r="C557" s="10">
        <f>IFERROR(IF(AND(IFERROR(INDEX(ERP資料!$A:$A, (MATCH(556, 輔助計算!$F$2:$F$801, 0)+1)), "")&lt;&gt;"", IFERROR(INDEX(ERP資料!$A:$A, (MATCH(556, 輔助計算!$F$2:$F$801, 0)+1)), "")&lt;&gt;IFERROR(INDEX(ERP資料!$A:$A, MATCH(555, 輔助計算!$F$2:$F$801, 0)+1), "")), INDEX(ERP資料!$S:$S, (MATCH(556, 輔助計算!$F$2:$F$801, 0)+1)), ""), "")</f>
        <v/>
      </c>
      <c r="D557" s="10">
        <f>IFERROR(IF(INDEX(ERP資料!$E:$E, (MATCH(556, 輔助計算!$F$2:$F$801, 0)+1))="","",TRIM(INDEX(ERP資料!$E:$E, (MATCH(556, 輔助計算!$F$2:$F$801, 0)+1)))), "")</f>
        <v/>
      </c>
      <c r="E557" s="10">
        <f>IFERROR(IF(INDEX(ERP資料!$F:$F, (MATCH(556, 輔助計算!$F$2:$F$801, 0)+1))="","",INDEX(ERP資料!$F:$F, (MATCH(556, 輔助計算!$F$2:$F$801, 0)+1))), "")</f>
        <v/>
      </c>
      <c r="F557" s="10">
        <f>IFERROR(IF(INDEX(ERP資料!$G:$G, (MATCH(556, 輔助計算!$F$2:$F$801, 0)+1))="","",INDEX(ERP資料!$G:$G, (MATCH(556, 輔助計算!$F$2:$F$801, 0)+1))), "")</f>
        <v/>
      </c>
      <c r="G557" s="10">
        <f>IFERROR(IF(INDEX(ERP資料!$H:$H, (MATCH(556, 輔助計算!$F$2:$F$801, 0)+1))="","",INDEX(ERP資料!$H:$H, (MATCH(556, 輔助計算!$F$2:$F$801, 0)+1))), "")</f>
        <v/>
      </c>
      <c r="H557" s="10">
        <f>IFERROR(IF(INDEX(ERP資料!$O:$O, (MATCH(556, 輔助計算!$F$2:$F$801, 0)+1))="","",INDEX(ERP資料!$O:$O, (MATCH(556, 輔助計算!$F$2:$F$801, 0)+1))), "")</f>
        <v/>
      </c>
      <c r="I557" s="15">
        <f>IFERROR(IF(INDEX(輔助計算!$D:$D,(MATCH(556, 輔助計算!$F$2:$F$801, 0)+1))="","",INDEX(輔助計算!$D:$D,(MATCH(556, 輔助計算!$F$2:$F$801, 0)+1))*INDEX(ERP資料!$O:$O,(MATCH(556, 輔助計算!$F$2:$F$801, 0)+1))), "")</f>
        <v/>
      </c>
      <c r="J557" s="16" t="n"/>
      <c r="K557" s="15">
        <f>IFERROR(INDEX(輔助計算!$D:$D, (MATCH(556, 輔助計算!$F$2:$F$801, 0)+1)), "")</f>
        <v/>
      </c>
      <c r="L557" s="16">
        <f>IFERROR(IF(AND(IFERROR(VLOOKUP(LEFT(INDEX(ERP資料!$S:$S, (MATCH(556, 輔助計算!$F$2:$F$801, 0)+1)), 4), 100張客戶!$A:$A, 1, FALSE), "")&lt;&gt;"", OR(INDEX(ERP資料!$F:$F, (MATCH(556, 輔助計算!$F$2:$F$801, 0)+1))=270, INDEX(ERP資料!$F:$F, (MATCH(556, 輔助計算!$F$2:$F$801, 0)+1))=300)), "100張", ""), "")</f>
        <v/>
      </c>
      <c r="M557" s="17" t="n"/>
      <c r="N557" s="17">
        <f>IF($F557="","",$F557)</f>
        <v/>
      </c>
      <c r="O557" s="17">
        <f>IF($G557="","",$G557)</f>
        <v/>
      </c>
      <c r="P557" s="17">
        <f>IF($K557="","",$K557)</f>
        <v/>
      </c>
      <c r="Q557" s="16" t="n"/>
      <c r="R557" s="18" t="n"/>
      <c r="S557" s="16" t="n"/>
    </row>
    <row r="558">
      <c r="A558" s="14">
        <f>IFERROR(IF(AND(IFERROR(INDEX(ERP資料!$A:$A, (MATCH(557, 輔助計算!$F$2:$F$801, 0)+1)), "")&lt;&gt;"", IFERROR(INDEX(ERP資料!$A:$A, (MATCH(557, 輔助計算!$F$2:$F$801, 0)+1)), "")&lt;&gt;IFERROR(INDEX(ERP資料!$A:$A, MATCH(556, 輔助計算!$F$2:$F$801, 0)+1), "")), INDEX(ERP資料!$B:$B, (MATCH(557, 輔助計算!$F$2:$F$801, 0)+1)), ""), "")</f>
        <v/>
      </c>
      <c r="B558" s="10">
        <f>IFERROR(IF(AND(IFERROR(INDEX(ERP資料!$A:$A, (MATCH(557, 輔助計算!$F$2:$F$801, 0)+1)), "")&lt;&gt;"", IFERROR(INDEX(ERP資料!$A:$A, (MATCH(557, 輔助計算!$F$2:$F$801, 0)+1)), "")&lt;&gt;IFERROR(INDEX(ERP資料!$A:$A, MATCH(556, 輔助計算!$F$2:$F$801, 0)+1), "")), IFERROR(INDEX(ERP資料!$A:$A, (MATCH(557, 輔助計算!$F$2:$F$801, 0)+1)), ""), ""), "")</f>
        <v/>
      </c>
      <c r="C558" s="10">
        <f>IFERROR(IF(AND(IFERROR(INDEX(ERP資料!$A:$A, (MATCH(557, 輔助計算!$F$2:$F$801, 0)+1)), "")&lt;&gt;"", IFERROR(INDEX(ERP資料!$A:$A, (MATCH(557, 輔助計算!$F$2:$F$801, 0)+1)), "")&lt;&gt;IFERROR(INDEX(ERP資料!$A:$A, MATCH(556, 輔助計算!$F$2:$F$801, 0)+1), "")), INDEX(ERP資料!$S:$S, (MATCH(557, 輔助計算!$F$2:$F$801, 0)+1)), ""), "")</f>
        <v/>
      </c>
      <c r="D558" s="10">
        <f>IFERROR(IF(INDEX(ERP資料!$E:$E, (MATCH(557, 輔助計算!$F$2:$F$801, 0)+1))="","",TRIM(INDEX(ERP資料!$E:$E, (MATCH(557, 輔助計算!$F$2:$F$801, 0)+1)))), "")</f>
        <v/>
      </c>
      <c r="E558" s="10">
        <f>IFERROR(IF(INDEX(ERP資料!$F:$F, (MATCH(557, 輔助計算!$F$2:$F$801, 0)+1))="","",INDEX(ERP資料!$F:$F, (MATCH(557, 輔助計算!$F$2:$F$801, 0)+1))), "")</f>
        <v/>
      </c>
      <c r="F558" s="10">
        <f>IFERROR(IF(INDEX(ERP資料!$G:$G, (MATCH(557, 輔助計算!$F$2:$F$801, 0)+1))="","",INDEX(ERP資料!$G:$G, (MATCH(557, 輔助計算!$F$2:$F$801, 0)+1))), "")</f>
        <v/>
      </c>
      <c r="G558" s="10">
        <f>IFERROR(IF(INDEX(ERP資料!$H:$H, (MATCH(557, 輔助計算!$F$2:$F$801, 0)+1))="","",INDEX(ERP資料!$H:$H, (MATCH(557, 輔助計算!$F$2:$F$801, 0)+1))), "")</f>
        <v/>
      </c>
      <c r="H558" s="10">
        <f>IFERROR(IF(INDEX(ERP資料!$O:$O, (MATCH(557, 輔助計算!$F$2:$F$801, 0)+1))="","",INDEX(ERP資料!$O:$O, (MATCH(557, 輔助計算!$F$2:$F$801, 0)+1))), "")</f>
        <v/>
      </c>
      <c r="I558" s="15">
        <f>IFERROR(IF(INDEX(輔助計算!$D:$D,(MATCH(557, 輔助計算!$F$2:$F$801, 0)+1))="","",INDEX(輔助計算!$D:$D,(MATCH(557, 輔助計算!$F$2:$F$801, 0)+1))*INDEX(ERP資料!$O:$O,(MATCH(557, 輔助計算!$F$2:$F$801, 0)+1))), "")</f>
        <v/>
      </c>
      <c r="J558" s="16" t="n"/>
      <c r="K558" s="15">
        <f>IFERROR(INDEX(輔助計算!$D:$D, (MATCH(557, 輔助計算!$F$2:$F$801, 0)+1)), "")</f>
        <v/>
      </c>
      <c r="L558" s="16">
        <f>IFERROR(IF(AND(IFERROR(VLOOKUP(LEFT(INDEX(ERP資料!$S:$S, (MATCH(557, 輔助計算!$F$2:$F$801, 0)+1)), 4), 100張客戶!$A:$A, 1, FALSE), "")&lt;&gt;"", OR(INDEX(ERP資料!$F:$F, (MATCH(557, 輔助計算!$F$2:$F$801, 0)+1))=270, INDEX(ERP資料!$F:$F, (MATCH(557, 輔助計算!$F$2:$F$801, 0)+1))=300)), "100張", ""), "")</f>
        <v/>
      </c>
      <c r="M558" s="17" t="n"/>
      <c r="N558" s="17">
        <f>IF($F558="","",$F558)</f>
        <v/>
      </c>
      <c r="O558" s="17">
        <f>IF($G558="","",$G558)</f>
        <v/>
      </c>
      <c r="P558" s="17">
        <f>IF($K558="","",$K558)</f>
        <v/>
      </c>
      <c r="Q558" s="16" t="n"/>
      <c r="R558" s="18" t="n"/>
      <c r="S558" s="16" t="n"/>
    </row>
    <row r="559">
      <c r="A559" s="14">
        <f>IFERROR(IF(AND(IFERROR(INDEX(ERP資料!$A:$A, (MATCH(558, 輔助計算!$F$2:$F$801, 0)+1)), "")&lt;&gt;"", IFERROR(INDEX(ERP資料!$A:$A, (MATCH(558, 輔助計算!$F$2:$F$801, 0)+1)), "")&lt;&gt;IFERROR(INDEX(ERP資料!$A:$A, MATCH(557, 輔助計算!$F$2:$F$801, 0)+1), "")), INDEX(ERP資料!$B:$B, (MATCH(558, 輔助計算!$F$2:$F$801, 0)+1)), ""), "")</f>
        <v/>
      </c>
      <c r="B559" s="10">
        <f>IFERROR(IF(AND(IFERROR(INDEX(ERP資料!$A:$A, (MATCH(558, 輔助計算!$F$2:$F$801, 0)+1)), "")&lt;&gt;"", IFERROR(INDEX(ERP資料!$A:$A, (MATCH(558, 輔助計算!$F$2:$F$801, 0)+1)), "")&lt;&gt;IFERROR(INDEX(ERP資料!$A:$A, MATCH(557, 輔助計算!$F$2:$F$801, 0)+1), "")), IFERROR(INDEX(ERP資料!$A:$A, (MATCH(558, 輔助計算!$F$2:$F$801, 0)+1)), ""), ""), "")</f>
        <v/>
      </c>
      <c r="C559" s="10">
        <f>IFERROR(IF(AND(IFERROR(INDEX(ERP資料!$A:$A, (MATCH(558, 輔助計算!$F$2:$F$801, 0)+1)), "")&lt;&gt;"", IFERROR(INDEX(ERP資料!$A:$A, (MATCH(558, 輔助計算!$F$2:$F$801, 0)+1)), "")&lt;&gt;IFERROR(INDEX(ERP資料!$A:$A, MATCH(557, 輔助計算!$F$2:$F$801, 0)+1), "")), INDEX(ERP資料!$S:$S, (MATCH(558, 輔助計算!$F$2:$F$801, 0)+1)), ""), "")</f>
        <v/>
      </c>
      <c r="D559" s="10">
        <f>IFERROR(IF(INDEX(ERP資料!$E:$E, (MATCH(558, 輔助計算!$F$2:$F$801, 0)+1))="","",TRIM(INDEX(ERP資料!$E:$E, (MATCH(558, 輔助計算!$F$2:$F$801, 0)+1)))), "")</f>
        <v/>
      </c>
      <c r="E559" s="10">
        <f>IFERROR(IF(INDEX(ERP資料!$F:$F, (MATCH(558, 輔助計算!$F$2:$F$801, 0)+1))="","",INDEX(ERP資料!$F:$F, (MATCH(558, 輔助計算!$F$2:$F$801, 0)+1))), "")</f>
        <v/>
      </c>
      <c r="F559" s="10">
        <f>IFERROR(IF(INDEX(ERP資料!$G:$G, (MATCH(558, 輔助計算!$F$2:$F$801, 0)+1))="","",INDEX(ERP資料!$G:$G, (MATCH(558, 輔助計算!$F$2:$F$801, 0)+1))), "")</f>
        <v/>
      </c>
      <c r="G559" s="10">
        <f>IFERROR(IF(INDEX(ERP資料!$H:$H, (MATCH(558, 輔助計算!$F$2:$F$801, 0)+1))="","",INDEX(ERP資料!$H:$H, (MATCH(558, 輔助計算!$F$2:$F$801, 0)+1))), "")</f>
        <v/>
      </c>
      <c r="H559" s="10">
        <f>IFERROR(IF(INDEX(ERP資料!$O:$O, (MATCH(558, 輔助計算!$F$2:$F$801, 0)+1))="","",INDEX(ERP資料!$O:$O, (MATCH(558, 輔助計算!$F$2:$F$801, 0)+1))), "")</f>
        <v/>
      </c>
      <c r="I559" s="15">
        <f>IFERROR(IF(INDEX(輔助計算!$D:$D,(MATCH(558, 輔助計算!$F$2:$F$801, 0)+1))="","",INDEX(輔助計算!$D:$D,(MATCH(558, 輔助計算!$F$2:$F$801, 0)+1))*INDEX(ERP資料!$O:$O,(MATCH(558, 輔助計算!$F$2:$F$801, 0)+1))), "")</f>
        <v/>
      </c>
      <c r="J559" s="16" t="n"/>
      <c r="K559" s="15">
        <f>IFERROR(INDEX(輔助計算!$D:$D, (MATCH(558, 輔助計算!$F$2:$F$801, 0)+1)), "")</f>
        <v/>
      </c>
      <c r="L559" s="16">
        <f>IFERROR(IF(AND(IFERROR(VLOOKUP(LEFT(INDEX(ERP資料!$S:$S, (MATCH(558, 輔助計算!$F$2:$F$801, 0)+1)), 4), 100張客戶!$A:$A, 1, FALSE), "")&lt;&gt;"", OR(INDEX(ERP資料!$F:$F, (MATCH(558, 輔助計算!$F$2:$F$801, 0)+1))=270, INDEX(ERP資料!$F:$F, (MATCH(558, 輔助計算!$F$2:$F$801, 0)+1))=300)), "100張", ""), "")</f>
        <v/>
      </c>
      <c r="M559" s="17" t="n"/>
      <c r="N559" s="17">
        <f>IF($F559="","",$F559)</f>
        <v/>
      </c>
      <c r="O559" s="17">
        <f>IF($G559="","",$G559)</f>
        <v/>
      </c>
      <c r="P559" s="17">
        <f>IF($K559="","",$K559)</f>
        <v/>
      </c>
      <c r="Q559" s="16" t="n"/>
      <c r="R559" s="18" t="n"/>
      <c r="S559" s="16" t="n"/>
    </row>
    <row r="560">
      <c r="A560" s="14">
        <f>IFERROR(IF(AND(IFERROR(INDEX(ERP資料!$A:$A, (MATCH(559, 輔助計算!$F$2:$F$801, 0)+1)), "")&lt;&gt;"", IFERROR(INDEX(ERP資料!$A:$A, (MATCH(559, 輔助計算!$F$2:$F$801, 0)+1)), "")&lt;&gt;IFERROR(INDEX(ERP資料!$A:$A, MATCH(558, 輔助計算!$F$2:$F$801, 0)+1), "")), INDEX(ERP資料!$B:$B, (MATCH(559, 輔助計算!$F$2:$F$801, 0)+1)), ""), "")</f>
        <v/>
      </c>
      <c r="B560" s="10">
        <f>IFERROR(IF(AND(IFERROR(INDEX(ERP資料!$A:$A, (MATCH(559, 輔助計算!$F$2:$F$801, 0)+1)), "")&lt;&gt;"", IFERROR(INDEX(ERP資料!$A:$A, (MATCH(559, 輔助計算!$F$2:$F$801, 0)+1)), "")&lt;&gt;IFERROR(INDEX(ERP資料!$A:$A, MATCH(558, 輔助計算!$F$2:$F$801, 0)+1), "")), IFERROR(INDEX(ERP資料!$A:$A, (MATCH(559, 輔助計算!$F$2:$F$801, 0)+1)), ""), ""), "")</f>
        <v/>
      </c>
      <c r="C560" s="10">
        <f>IFERROR(IF(AND(IFERROR(INDEX(ERP資料!$A:$A, (MATCH(559, 輔助計算!$F$2:$F$801, 0)+1)), "")&lt;&gt;"", IFERROR(INDEX(ERP資料!$A:$A, (MATCH(559, 輔助計算!$F$2:$F$801, 0)+1)), "")&lt;&gt;IFERROR(INDEX(ERP資料!$A:$A, MATCH(558, 輔助計算!$F$2:$F$801, 0)+1), "")), INDEX(ERP資料!$S:$S, (MATCH(559, 輔助計算!$F$2:$F$801, 0)+1)), ""), "")</f>
        <v/>
      </c>
      <c r="D560" s="10">
        <f>IFERROR(IF(INDEX(ERP資料!$E:$E, (MATCH(559, 輔助計算!$F$2:$F$801, 0)+1))="","",TRIM(INDEX(ERP資料!$E:$E, (MATCH(559, 輔助計算!$F$2:$F$801, 0)+1)))), "")</f>
        <v/>
      </c>
      <c r="E560" s="10">
        <f>IFERROR(IF(INDEX(ERP資料!$F:$F, (MATCH(559, 輔助計算!$F$2:$F$801, 0)+1))="","",INDEX(ERP資料!$F:$F, (MATCH(559, 輔助計算!$F$2:$F$801, 0)+1))), "")</f>
        <v/>
      </c>
      <c r="F560" s="10">
        <f>IFERROR(IF(INDEX(ERP資料!$G:$G, (MATCH(559, 輔助計算!$F$2:$F$801, 0)+1))="","",INDEX(ERP資料!$G:$G, (MATCH(559, 輔助計算!$F$2:$F$801, 0)+1))), "")</f>
        <v/>
      </c>
      <c r="G560" s="10">
        <f>IFERROR(IF(INDEX(ERP資料!$H:$H, (MATCH(559, 輔助計算!$F$2:$F$801, 0)+1))="","",INDEX(ERP資料!$H:$H, (MATCH(559, 輔助計算!$F$2:$F$801, 0)+1))), "")</f>
        <v/>
      </c>
      <c r="H560" s="10">
        <f>IFERROR(IF(INDEX(ERP資料!$O:$O, (MATCH(559, 輔助計算!$F$2:$F$801, 0)+1))="","",INDEX(ERP資料!$O:$O, (MATCH(559, 輔助計算!$F$2:$F$801, 0)+1))), "")</f>
        <v/>
      </c>
      <c r="I560" s="15">
        <f>IFERROR(IF(INDEX(輔助計算!$D:$D,(MATCH(559, 輔助計算!$F$2:$F$801, 0)+1))="","",INDEX(輔助計算!$D:$D,(MATCH(559, 輔助計算!$F$2:$F$801, 0)+1))*INDEX(ERP資料!$O:$O,(MATCH(559, 輔助計算!$F$2:$F$801, 0)+1))), "")</f>
        <v/>
      </c>
      <c r="J560" s="16" t="n"/>
      <c r="K560" s="15">
        <f>IFERROR(INDEX(輔助計算!$D:$D, (MATCH(559, 輔助計算!$F$2:$F$801, 0)+1)), "")</f>
        <v/>
      </c>
      <c r="L560" s="16">
        <f>IFERROR(IF(AND(IFERROR(VLOOKUP(LEFT(INDEX(ERP資料!$S:$S, (MATCH(559, 輔助計算!$F$2:$F$801, 0)+1)), 4), 100張客戶!$A:$A, 1, FALSE), "")&lt;&gt;"", OR(INDEX(ERP資料!$F:$F, (MATCH(559, 輔助計算!$F$2:$F$801, 0)+1))=270, INDEX(ERP資料!$F:$F, (MATCH(559, 輔助計算!$F$2:$F$801, 0)+1))=300)), "100張", ""), "")</f>
        <v/>
      </c>
      <c r="M560" s="17" t="n"/>
      <c r="N560" s="17">
        <f>IF($F560="","",$F560)</f>
        <v/>
      </c>
      <c r="O560" s="17">
        <f>IF($G560="","",$G560)</f>
        <v/>
      </c>
      <c r="P560" s="17">
        <f>IF($K560="","",$K560)</f>
        <v/>
      </c>
      <c r="Q560" s="16" t="n"/>
      <c r="R560" s="18" t="n"/>
      <c r="S560" s="16" t="n"/>
    </row>
    <row r="561">
      <c r="A561" s="14">
        <f>IFERROR(IF(AND(IFERROR(INDEX(ERP資料!$A:$A, (MATCH(560, 輔助計算!$F$2:$F$801, 0)+1)), "")&lt;&gt;"", IFERROR(INDEX(ERP資料!$A:$A, (MATCH(560, 輔助計算!$F$2:$F$801, 0)+1)), "")&lt;&gt;IFERROR(INDEX(ERP資料!$A:$A, MATCH(559, 輔助計算!$F$2:$F$801, 0)+1), "")), INDEX(ERP資料!$B:$B, (MATCH(560, 輔助計算!$F$2:$F$801, 0)+1)), ""), "")</f>
        <v/>
      </c>
      <c r="B561" s="10">
        <f>IFERROR(IF(AND(IFERROR(INDEX(ERP資料!$A:$A, (MATCH(560, 輔助計算!$F$2:$F$801, 0)+1)), "")&lt;&gt;"", IFERROR(INDEX(ERP資料!$A:$A, (MATCH(560, 輔助計算!$F$2:$F$801, 0)+1)), "")&lt;&gt;IFERROR(INDEX(ERP資料!$A:$A, MATCH(559, 輔助計算!$F$2:$F$801, 0)+1), "")), IFERROR(INDEX(ERP資料!$A:$A, (MATCH(560, 輔助計算!$F$2:$F$801, 0)+1)), ""), ""), "")</f>
        <v/>
      </c>
      <c r="C561" s="10">
        <f>IFERROR(IF(AND(IFERROR(INDEX(ERP資料!$A:$A, (MATCH(560, 輔助計算!$F$2:$F$801, 0)+1)), "")&lt;&gt;"", IFERROR(INDEX(ERP資料!$A:$A, (MATCH(560, 輔助計算!$F$2:$F$801, 0)+1)), "")&lt;&gt;IFERROR(INDEX(ERP資料!$A:$A, MATCH(559, 輔助計算!$F$2:$F$801, 0)+1), "")), INDEX(ERP資料!$S:$S, (MATCH(560, 輔助計算!$F$2:$F$801, 0)+1)), ""), "")</f>
        <v/>
      </c>
      <c r="D561" s="10">
        <f>IFERROR(IF(INDEX(ERP資料!$E:$E, (MATCH(560, 輔助計算!$F$2:$F$801, 0)+1))="","",TRIM(INDEX(ERP資料!$E:$E, (MATCH(560, 輔助計算!$F$2:$F$801, 0)+1)))), "")</f>
        <v/>
      </c>
      <c r="E561" s="10">
        <f>IFERROR(IF(INDEX(ERP資料!$F:$F, (MATCH(560, 輔助計算!$F$2:$F$801, 0)+1))="","",INDEX(ERP資料!$F:$F, (MATCH(560, 輔助計算!$F$2:$F$801, 0)+1))), "")</f>
        <v/>
      </c>
      <c r="F561" s="10">
        <f>IFERROR(IF(INDEX(ERP資料!$G:$G, (MATCH(560, 輔助計算!$F$2:$F$801, 0)+1))="","",INDEX(ERP資料!$G:$G, (MATCH(560, 輔助計算!$F$2:$F$801, 0)+1))), "")</f>
        <v/>
      </c>
      <c r="G561" s="10">
        <f>IFERROR(IF(INDEX(ERP資料!$H:$H, (MATCH(560, 輔助計算!$F$2:$F$801, 0)+1))="","",INDEX(ERP資料!$H:$H, (MATCH(560, 輔助計算!$F$2:$F$801, 0)+1))), "")</f>
        <v/>
      </c>
      <c r="H561" s="10">
        <f>IFERROR(IF(INDEX(ERP資料!$O:$O, (MATCH(560, 輔助計算!$F$2:$F$801, 0)+1))="","",INDEX(ERP資料!$O:$O, (MATCH(560, 輔助計算!$F$2:$F$801, 0)+1))), "")</f>
        <v/>
      </c>
      <c r="I561" s="15">
        <f>IFERROR(IF(INDEX(輔助計算!$D:$D,(MATCH(560, 輔助計算!$F$2:$F$801, 0)+1))="","",INDEX(輔助計算!$D:$D,(MATCH(560, 輔助計算!$F$2:$F$801, 0)+1))*INDEX(ERP資料!$O:$O,(MATCH(560, 輔助計算!$F$2:$F$801, 0)+1))), "")</f>
        <v/>
      </c>
      <c r="J561" s="16" t="n"/>
      <c r="K561" s="15">
        <f>IFERROR(INDEX(輔助計算!$D:$D, (MATCH(560, 輔助計算!$F$2:$F$801, 0)+1)), "")</f>
        <v/>
      </c>
      <c r="L561" s="16">
        <f>IFERROR(IF(AND(IFERROR(VLOOKUP(LEFT(INDEX(ERP資料!$S:$S, (MATCH(560, 輔助計算!$F$2:$F$801, 0)+1)), 4), 100張客戶!$A:$A, 1, FALSE), "")&lt;&gt;"", OR(INDEX(ERP資料!$F:$F, (MATCH(560, 輔助計算!$F$2:$F$801, 0)+1))=270, INDEX(ERP資料!$F:$F, (MATCH(560, 輔助計算!$F$2:$F$801, 0)+1))=300)), "100張", ""), "")</f>
        <v/>
      </c>
      <c r="M561" s="17" t="n"/>
      <c r="N561" s="17">
        <f>IF($F561="","",$F561)</f>
        <v/>
      </c>
      <c r="O561" s="17">
        <f>IF($G561="","",$G561)</f>
        <v/>
      </c>
      <c r="P561" s="17">
        <f>IF($K561="","",$K561)</f>
        <v/>
      </c>
      <c r="Q561" s="16" t="n"/>
      <c r="R561" s="18" t="n"/>
      <c r="S561" s="16" t="n"/>
    </row>
    <row r="562">
      <c r="A562" s="14">
        <f>IFERROR(IF(AND(IFERROR(INDEX(ERP資料!$A:$A, (MATCH(561, 輔助計算!$F$2:$F$801, 0)+1)), "")&lt;&gt;"", IFERROR(INDEX(ERP資料!$A:$A, (MATCH(561, 輔助計算!$F$2:$F$801, 0)+1)), "")&lt;&gt;IFERROR(INDEX(ERP資料!$A:$A, MATCH(560, 輔助計算!$F$2:$F$801, 0)+1), "")), INDEX(ERP資料!$B:$B, (MATCH(561, 輔助計算!$F$2:$F$801, 0)+1)), ""), "")</f>
        <v/>
      </c>
      <c r="B562" s="10">
        <f>IFERROR(IF(AND(IFERROR(INDEX(ERP資料!$A:$A, (MATCH(561, 輔助計算!$F$2:$F$801, 0)+1)), "")&lt;&gt;"", IFERROR(INDEX(ERP資料!$A:$A, (MATCH(561, 輔助計算!$F$2:$F$801, 0)+1)), "")&lt;&gt;IFERROR(INDEX(ERP資料!$A:$A, MATCH(560, 輔助計算!$F$2:$F$801, 0)+1), "")), IFERROR(INDEX(ERP資料!$A:$A, (MATCH(561, 輔助計算!$F$2:$F$801, 0)+1)), ""), ""), "")</f>
        <v/>
      </c>
      <c r="C562" s="10">
        <f>IFERROR(IF(AND(IFERROR(INDEX(ERP資料!$A:$A, (MATCH(561, 輔助計算!$F$2:$F$801, 0)+1)), "")&lt;&gt;"", IFERROR(INDEX(ERP資料!$A:$A, (MATCH(561, 輔助計算!$F$2:$F$801, 0)+1)), "")&lt;&gt;IFERROR(INDEX(ERP資料!$A:$A, MATCH(560, 輔助計算!$F$2:$F$801, 0)+1), "")), INDEX(ERP資料!$S:$S, (MATCH(561, 輔助計算!$F$2:$F$801, 0)+1)), ""), "")</f>
        <v/>
      </c>
      <c r="D562" s="10">
        <f>IFERROR(IF(INDEX(ERP資料!$E:$E, (MATCH(561, 輔助計算!$F$2:$F$801, 0)+1))="","",TRIM(INDEX(ERP資料!$E:$E, (MATCH(561, 輔助計算!$F$2:$F$801, 0)+1)))), "")</f>
        <v/>
      </c>
      <c r="E562" s="10">
        <f>IFERROR(IF(INDEX(ERP資料!$F:$F, (MATCH(561, 輔助計算!$F$2:$F$801, 0)+1))="","",INDEX(ERP資料!$F:$F, (MATCH(561, 輔助計算!$F$2:$F$801, 0)+1))), "")</f>
        <v/>
      </c>
      <c r="F562" s="10">
        <f>IFERROR(IF(INDEX(ERP資料!$G:$G, (MATCH(561, 輔助計算!$F$2:$F$801, 0)+1))="","",INDEX(ERP資料!$G:$G, (MATCH(561, 輔助計算!$F$2:$F$801, 0)+1))), "")</f>
        <v/>
      </c>
      <c r="G562" s="10">
        <f>IFERROR(IF(INDEX(ERP資料!$H:$H, (MATCH(561, 輔助計算!$F$2:$F$801, 0)+1))="","",INDEX(ERP資料!$H:$H, (MATCH(561, 輔助計算!$F$2:$F$801, 0)+1))), "")</f>
        <v/>
      </c>
      <c r="H562" s="10">
        <f>IFERROR(IF(INDEX(ERP資料!$O:$O, (MATCH(561, 輔助計算!$F$2:$F$801, 0)+1))="","",INDEX(ERP資料!$O:$O, (MATCH(561, 輔助計算!$F$2:$F$801, 0)+1))), "")</f>
        <v/>
      </c>
      <c r="I562" s="15">
        <f>IFERROR(IF(INDEX(輔助計算!$D:$D,(MATCH(561, 輔助計算!$F$2:$F$801, 0)+1))="","",INDEX(輔助計算!$D:$D,(MATCH(561, 輔助計算!$F$2:$F$801, 0)+1))*INDEX(ERP資料!$O:$O,(MATCH(561, 輔助計算!$F$2:$F$801, 0)+1))), "")</f>
        <v/>
      </c>
      <c r="J562" s="16" t="n"/>
      <c r="K562" s="15">
        <f>IFERROR(INDEX(輔助計算!$D:$D, (MATCH(561, 輔助計算!$F$2:$F$801, 0)+1)), "")</f>
        <v/>
      </c>
      <c r="L562" s="16">
        <f>IFERROR(IF(AND(IFERROR(VLOOKUP(LEFT(INDEX(ERP資料!$S:$S, (MATCH(561, 輔助計算!$F$2:$F$801, 0)+1)), 4), 100張客戶!$A:$A, 1, FALSE), "")&lt;&gt;"", OR(INDEX(ERP資料!$F:$F, (MATCH(561, 輔助計算!$F$2:$F$801, 0)+1))=270, INDEX(ERP資料!$F:$F, (MATCH(561, 輔助計算!$F$2:$F$801, 0)+1))=300)), "100張", ""), "")</f>
        <v/>
      </c>
      <c r="M562" s="17" t="n"/>
      <c r="N562" s="17">
        <f>IF($F562="","",$F562)</f>
        <v/>
      </c>
      <c r="O562" s="17">
        <f>IF($G562="","",$G562)</f>
        <v/>
      </c>
      <c r="P562" s="17">
        <f>IF($K562="","",$K562)</f>
        <v/>
      </c>
      <c r="Q562" s="16" t="n"/>
      <c r="R562" s="18" t="n"/>
      <c r="S562" s="16" t="n"/>
    </row>
    <row r="563">
      <c r="A563" s="14">
        <f>IFERROR(IF(AND(IFERROR(INDEX(ERP資料!$A:$A, (MATCH(562, 輔助計算!$F$2:$F$801, 0)+1)), "")&lt;&gt;"", IFERROR(INDEX(ERP資料!$A:$A, (MATCH(562, 輔助計算!$F$2:$F$801, 0)+1)), "")&lt;&gt;IFERROR(INDEX(ERP資料!$A:$A, MATCH(561, 輔助計算!$F$2:$F$801, 0)+1), "")), INDEX(ERP資料!$B:$B, (MATCH(562, 輔助計算!$F$2:$F$801, 0)+1)), ""), "")</f>
        <v/>
      </c>
      <c r="B563" s="10">
        <f>IFERROR(IF(AND(IFERROR(INDEX(ERP資料!$A:$A, (MATCH(562, 輔助計算!$F$2:$F$801, 0)+1)), "")&lt;&gt;"", IFERROR(INDEX(ERP資料!$A:$A, (MATCH(562, 輔助計算!$F$2:$F$801, 0)+1)), "")&lt;&gt;IFERROR(INDEX(ERP資料!$A:$A, MATCH(561, 輔助計算!$F$2:$F$801, 0)+1), "")), IFERROR(INDEX(ERP資料!$A:$A, (MATCH(562, 輔助計算!$F$2:$F$801, 0)+1)), ""), ""), "")</f>
        <v/>
      </c>
      <c r="C563" s="10">
        <f>IFERROR(IF(AND(IFERROR(INDEX(ERP資料!$A:$A, (MATCH(562, 輔助計算!$F$2:$F$801, 0)+1)), "")&lt;&gt;"", IFERROR(INDEX(ERP資料!$A:$A, (MATCH(562, 輔助計算!$F$2:$F$801, 0)+1)), "")&lt;&gt;IFERROR(INDEX(ERP資料!$A:$A, MATCH(561, 輔助計算!$F$2:$F$801, 0)+1), "")), INDEX(ERP資料!$S:$S, (MATCH(562, 輔助計算!$F$2:$F$801, 0)+1)), ""), "")</f>
        <v/>
      </c>
      <c r="D563" s="10">
        <f>IFERROR(IF(INDEX(ERP資料!$E:$E, (MATCH(562, 輔助計算!$F$2:$F$801, 0)+1))="","",TRIM(INDEX(ERP資料!$E:$E, (MATCH(562, 輔助計算!$F$2:$F$801, 0)+1)))), "")</f>
        <v/>
      </c>
      <c r="E563" s="10">
        <f>IFERROR(IF(INDEX(ERP資料!$F:$F, (MATCH(562, 輔助計算!$F$2:$F$801, 0)+1))="","",INDEX(ERP資料!$F:$F, (MATCH(562, 輔助計算!$F$2:$F$801, 0)+1))), "")</f>
        <v/>
      </c>
      <c r="F563" s="10">
        <f>IFERROR(IF(INDEX(ERP資料!$G:$G, (MATCH(562, 輔助計算!$F$2:$F$801, 0)+1))="","",INDEX(ERP資料!$G:$G, (MATCH(562, 輔助計算!$F$2:$F$801, 0)+1))), "")</f>
        <v/>
      </c>
      <c r="G563" s="10">
        <f>IFERROR(IF(INDEX(ERP資料!$H:$H, (MATCH(562, 輔助計算!$F$2:$F$801, 0)+1))="","",INDEX(ERP資料!$H:$H, (MATCH(562, 輔助計算!$F$2:$F$801, 0)+1))), "")</f>
        <v/>
      </c>
      <c r="H563" s="10">
        <f>IFERROR(IF(INDEX(ERP資料!$O:$O, (MATCH(562, 輔助計算!$F$2:$F$801, 0)+1))="","",INDEX(ERP資料!$O:$O, (MATCH(562, 輔助計算!$F$2:$F$801, 0)+1))), "")</f>
        <v/>
      </c>
      <c r="I563" s="15">
        <f>IFERROR(IF(INDEX(輔助計算!$D:$D,(MATCH(562, 輔助計算!$F$2:$F$801, 0)+1))="","",INDEX(輔助計算!$D:$D,(MATCH(562, 輔助計算!$F$2:$F$801, 0)+1))*INDEX(ERP資料!$O:$O,(MATCH(562, 輔助計算!$F$2:$F$801, 0)+1))), "")</f>
        <v/>
      </c>
      <c r="J563" s="16" t="n"/>
      <c r="K563" s="15">
        <f>IFERROR(INDEX(輔助計算!$D:$D, (MATCH(562, 輔助計算!$F$2:$F$801, 0)+1)), "")</f>
        <v/>
      </c>
      <c r="L563" s="16">
        <f>IFERROR(IF(AND(IFERROR(VLOOKUP(LEFT(INDEX(ERP資料!$S:$S, (MATCH(562, 輔助計算!$F$2:$F$801, 0)+1)), 4), 100張客戶!$A:$A, 1, FALSE), "")&lt;&gt;"", OR(INDEX(ERP資料!$F:$F, (MATCH(562, 輔助計算!$F$2:$F$801, 0)+1))=270, INDEX(ERP資料!$F:$F, (MATCH(562, 輔助計算!$F$2:$F$801, 0)+1))=300)), "100張", ""), "")</f>
        <v/>
      </c>
      <c r="M563" s="17" t="n"/>
      <c r="N563" s="17">
        <f>IF($F563="","",$F563)</f>
        <v/>
      </c>
      <c r="O563" s="17">
        <f>IF($G563="","",$G563)</f>
        <v/>
      </c>
      <c r="P563" s="17">
        <f>IF($K563="","",$K563)</f>
        <v/>
      </c>
      <c r="Q563" s="16" t="n"/>
      <c r="R563" s="18" t="n"/>
      <c r="S563" s="16" t="n"/>
    </row>
    <row r="564">
      <c r="A564" s="14">
        <f>IFERROR(IF(AND(IFERROR(INDEX(ERP資料!$A:$A, (MATCH(563, 輔助計算!$F$2:$F$801, 0)+1)), "")&lt;&gt;"", IFERROR(INDEX(ERP資料!$A:$A, (MATCH(563, 輔助計算!$F$2:$F$801, 0)+1)), "")&lt;&gt;IFERROR(INDEX(ERP資料!$A:$A, MATCH(562, 輔助計算!$F$2:$F$801, 0)+1), "")), INDEX(ERP資料!$B:$B, (MATCH(563, 輔助計算!$F$2:$F$801, 0)+1)), ""), "")</f>
        <v/>
      </c>
      <c r="B564" s="10">
        <f>IFERROR(IF(AND(IFERROR(INDEX(ERP資料!$A:$A, (MATCH(563, 輔助計算!$F$2:$F$801, 0)+1)), "")&lt;&gt;"", IFERROR(INDEX(ERP資料!$A:$A, (MATCH(563, 輔助計算!$F$2:$F$801, 0)+1)), "")&lt;&gt;IFERROR(INDEX(ERP資料!$A:$A, MATCH(562, 輔助計算!$F$2:$F$801, 0)+1), "")), IFERROR(INDEX(ERP資料!$A:$A, (MATCH(563, 輔助計算!$F$2:$F$801, 0)+1)), ""), ""), "")</f>
        <v/>
      </c>
      <c r="C564" s="10">
        <f>IFERROR(IF(AND(IFERROR(INDEX(ERP資料!$A:$A, (MATCH(563, 輔助計算!$F$2:$F$801, 0)+1)), "")&lt;&gt;"", IFERROR(INDEX(ERP資料!$A:$A, (MATCH(563, 輔助計算!$F$2:$F$801, 0)+1)), "")&lt;&gt;IFERROR(INDEX(ERP資料!$A:$A, MATCH(562, 輔助計算!$F$2:$F$801, 0)+1), "")), INDEX(ERP資料!$S:$S, (MATCH(563, 輔助計算!$F$2:$F$801, 0)+1)), ""), "")</f>
        <v/>
      </c>
      <c r="D564" s="10">
        <f>IFERROR(IF(INDEX(ERP資料!$E:$E, (MATCH(563, 輔助計算!$F$2:$F$801, 0)+1))="","",TRIM(INDEX(ERP資料!$E:$E, (MATCH(563, 輔助計算!$F$2:$F$801, 0)+1)))), "")</f>
        <v/>
      </c>
      <c r="E564" s="10">
        <f>IFERROR(IF(INDEX(ERP資料!$F:$F, (MATCH(563, 輔助計算!$F$2:$F$801, 0)+1))="","",INDEX(ERP資料!$F:$F, (MATCH(563, 輔助計算!$F$2:$F$801, 0)+1))), "")</f>
        <v/>
      </c>
      <c r="F564" s="10">
        <f>IFERROR(IF(INDEX(ERP資料!$G:$G, (MATCH(563, 輔助計算!$F$2:$F$801, 0)+1))="","",INDEX(ERP資料!$G:$G, (MATCH(563, 輔助計算!$F$2:$F$801, 0)+1))), "")</f>
        <v/>
      </c>
      <c r="G564" s="10">
        <f>IFERROR(IF(INDEX(ERP資料!$H:$H, (MATCH(563, 輔助計算!$F$2:$F$801, 0)+1))="","",INDEX(ERP資料!$H:$H, (MATCH(563, 輔助計算!$F$2:$F$801, 0)+1))), "")</f>
        <v/>
      </c>
      <c r="H564" s="10">
        <f>IFERROR(IF(INDEX(ERP資料!$O:$O, (MATCH(563, 輔助計算!$F$2:$F$801, 0)+1))="","",INDEX(ERP資料!$O:$O, (MATCH(563, 輔助計算!$F$2:$F$801, 0)+1))), "")</f>
        <v/>
      </c>
      <c r="I564" s="15">
        <f>IFERROR(IF(INDEX(輔助計算!$D:$D,(MATCH(563, 輔助計算!$F$2:$F$801, 0)+1))="","",INDEX(輔助計算!$D:$D,(MATCH(563, 輔助計算!$F$2:$F$801, 0)+1))*INDEX(ERP資料!$O:$O,(MATCH(563, 輔助計算!$F$2:$F$801, 0)+1))), "")</f>
        <v/>
      </c>
      <c r="J564" s="16" t="n"/>
      <c r="K564" s="15">
        <f>IFERROR(INDEX(輔助計算!$D:$D, (MATCH(563, 輔助計算!$F$2:$F$801, 0)+1)), "")</f>
        <v/>
      </c>
      <c r="L564" s="16">
        <f>IFERROR(IF(AND(IFERROR(VLOOKUP(LEFT(INDEX(ERP資料!$S:$S, (MATCH(563, 輔助計算!$F$2:$F$801, 0)+1)), 4), 100張客戶!$A:$A, 1, FALSE), "")&lt;&gt;"", OR(INDEX(ERP資料!$F:$F, (MATCH(563, 輔助計算!$F$2:$F$801, 0)+1))=270, INDEX(ERP資料!$F:$F, (MATCH(563, 輔助計算!$F$2:$F$801, 0)+1))=300)), "100張", ""), "")</f>
        <v/>
      </c>
      <c r="M564" s="17" t="n"/>
      <c r="N564" s="17">
        <f>IF($F564="","",$F564)</f>
        <v/>
      </c>
      <c r="O564" s="17">
        <f>IF($G564="","",$G564)</f>
        <v/>
      </c>
      <c r="P564" s="17">
        <f>IF($K564="","",$K564)</f>
        <v/>
      </c>
      <c r="Q564" s="16" t="n"/>
      <c r="R564" s="18" t="n"/>
      <c r="S564" s="16" t="n"/>
    </row>
    <row r="565">
      <c r="A565" s="14">
        <f>IFERROR(IF(AND(IFERROR(INDEX(ERP資料!$A:$A, (MATCH(564, 輔助計算!$F$2:$F$801, 0)+1)), "")&lt;&gt;"", IFERROR(INDEX(ERP資料!$A:$A, (MATCH(564, 輔助計算!$F$2:$F$801, 0)+1)), "")&lt;&gt;IFERROR(INDEX(ERP資料!$A:$A, MATCH(563, 輔助計算!$F$2:$F$801, 0)+1), "")), INDEX(ERP資料!$B:$B, (MATCH(564, 輔助計算!$F$2:$F$801, 0)+1)), ""), "")</f>
        <v/>
      </c>
      <c r="B565" s="10">
        <f>IFERROR(IF(AND(IFERROR(INDEX(ERP資料!$A:$A, (MATCH(564, 輔助計算!$F$2:$F$801, 0)+1)), "")&lt;&gt;"", IFERROR(INDEX(ERP資料!$A:$A, (MATCH(564, 輔助計算!$F$2:$F$801, 0)+1)), "")&lt;&gt;IFERROR(INDEX(ERP資料!$A:$A, MATCH(563, 輔助計算!$F$2:$F$801, 0)+1), "")), IFERROR(INDEX(ERP資料!$A:$A, (MATCH(564, 輔助計算!$F$2:$F$801, 0)+1)), ""), ""), "")</f>
        <v/>
      </c>
      <c r="C565" s="10">
        <f>IFERROR(IF(AND(IFERROR(INDEX(ERP資料!$A:$A, (MATCH(564, 輔助計算!$F$2:$F$801, 0)+1)), "")&lt;&gt;"", IFERROR(INDEX(ERP資料!$A:$A, (MATCH(564, 輔助計算!$F$2:$F$801, 0)+1)), "")&lt;&gt;IFERROR(INDEX(ERP資料!$A:$A, MATCH(563, 輔助計算!$F$2:$F$801, 0)+1), "")), INDEX(ERP資料!$S:$S, (MATCH(564, 輔助計算!$F$2:$F$801, 0)+1)), ""), "")</f>
        <v/>
      </c>
      <c r="D565" s="10">
        <f>IFERROR(IF(INDEX(ERP資料!$E:$E, (MATCH(564, 輔助計算!$F$2:$F$801, 0)+1))="","",TRIM(INDEX(ERP資料!$E:$E, (MATCH(564, 輔助計算!$F$2:$F$801, 0)+1)))), "")</f>
        <v/>
      </c>
      <c r="E565" s="10">
        <f>IFERROR(IF(INDEX(ERP資料!$F:$F, (MATCH(564, 輔助計算!$F$2:$F$801, 0)+1))="","",INDEX(ERP資料!$F:$F, (MATCH(564, 輔助計算!$F$2:$F$801, 0)+1))), "")</f>
        <v/>
      </c>
      <c r="F565" s="10">
        <f>IFERROR(IF(INDEX(ERP資料!$G:$G, (MATCH(564, 輔助計算!$F$2:$F$801, 0)+1))="","",INDEX(ERP資料!$G:$G, (MATCH(564, 輔助計算!$F$2:$F$801, 0)+1))), "")</f>
        <v/>
      </c>
      <c r="G565" s="10">
        <f>IFERROR(IF(INDEX(ERP資料!$H:$H, (MATCH(564, 輔助計算!$F$2:$F$801, 0)+1))="","",INDEX(ERP資料!$H:$H, (MATCH(564, 輔助計算!$F$2:$F$801, 0)+1))), "")</f>
        <v/>
      </c>
      <c r="H565" s="10">
        <f>IFERROR(IF(INDEX(ERP資料!$O:$O, (MATCH(564, 輔助計算!$F$2:$F$801, 0)+1))="","",INDEX(ERP資料!$O:$O, (MATCH(564, 輔助計算!$F$2:$F$801, 0)+1))), "")</f>
        <v/>
      </c>
      <c r="I565" s="15">
        <f>IFERROR(IF(INDEX(輔助計算!$D:$D,(MATCH(564, 輔助計算!$F$2:$F$801, 0)+1))="","",INDEX(輔助計算!$D:$D,(MATCH(564, 輔助計算!$F$2:$F$801, 0)+1))*INDEX(ERP資料!$O:$O,(MATCH(564, 輔助計算!$F$2:$F$801, 0)+1))), "")</f>
        <v/>
      </c>
      <c r="J565" s="16" t="n"/>
      <c r="K565" s="15">
        <f>IFERROR(INDEX(輔助計算!$D:$D, (MATCH(564, 輔助計算!$F$2:$F$801, 0)+1)), "")</f>
        <v/>
      </c>
      <c r="L565" s="16">
        <f>IFERROR(IF(AND(IFERROR(VLOOKUP(LEFT(INDEX(ERP資料!$S:$S, (MATCH(564, 輔助計算!$F$2:$F$801, 0)+1)), 4), 100張客戶!$A:$A, 1, FALSE), "")&lt;&gt;"", OR(INDEX(ERP資料!$F:$F, (MATCH(564, 輔助計算!$F$2:$F$801, 0)+1))=270, INDEX(ERP資料!$F:$F, (MATCH(564, 輔助計算!$F$2:$F$801, 0)+1))=300)), "100張", ""), "")</f>
        <v/>
      </c>
      <c r="M565" s="17" t="n"/>
      <c r="N565" s="17">
        <f>IF($F565="","",$F565)</f>
        <v/>
      </c>
      <c r="O565" s="17">
        <f>IF($G565="","",$G565)</f>
        <v/>
      </c>
      <c r="P565" s="17">
        <f>IF($K565="","",$K565)</f>
        <v/>
      </c>
      <c r="Q565" s="16" t="n"/>
      <c r="R565" s="18" t="n"/>
      <c r="S565" s="16" t="n"/>
    </row>
    <row r="566">
      <c r="A566" s="14">
        <f>IFERROR(IF(AND(IFERROR(INDEX(ERP資料!$A:$A, (MATCH(565, 輔助計算!$F$2:$F$801, 0)+1)), "")&lt;&gt;"", IFERROR(INDEX(ERP資料!$A:$A, (MATCH(565, 輔助計算!$F$2:$F$801, 0)+1)), "")&lt;&gt;IFERROR(INDEX(ERP資料!$A:$A, MATCH(564, 輔助計算!$F$2:$F$801, 0)+1), "")), INDEX(ERP資料!$B:$B, (MATCH(565, 輔助計算!$F$2:$F$801, 0)+1)), ""), "")</f>
        <v/>
      </c>
      <c r="B566" s="10">
        <f>IFERROR(IF(AND(IFERROR(INDEX(ERP資料!$A:$A, (MATCH(565, 輔助計算!$F$2:$F$801, 0)+1)), "")&lt;&gt;"", IFERROR(INDEX(ERP資料!$A:$A, (MATCH(565, 輔助計算!$F$2:$F$801, 0)+1)), "")&lt;&gt;IFERROR(INDEX(ERP資料!$A:$A, MATCH(564, 輔助計算!$F$2:$F$801, 0)+1), "")), IFERROR(INDEX(ERP資料!$A:$A, (MATCH(565, 輔助計算!$F$2:$F$801, 0)+1)), ""), ""), "")</f>
        <v/>
      </c>
      <c r="C566" s="10">
        <f>IFERROR(IF(AND(IFERROR(INDEX(ERP資料!$A:$A, (MATCH(565, 輔助計算!$F$2:$F$801, 0)+1)), "")&lt;&gt;"", IFERROR(INDEX(ERP資料!$A:$A, (MATCH(565, 輔助計算!$F$2:$F$801, 0)+1)), "")&lt;&gt;IFERROR(INDEX(ERP資料!$A:$A, MATCH(564, 輔助計算!$F$2:$F$801, 0)+1), "")), INDEX(ERP資料!$S:$S, (MATCH(565, 輔助計算!$F$2:$F$801, 0)+1)), ""), "")</f>
        <v/>
      </c>
      <c r="D566" s="10">
        <f>IFERROR(IF(INDEX(ERP資料!$E:$E, (MATCH(565, 輔助計算!$F$2:$F$801, 0)+1))="","",TRIM(INDEX(ERP資料!$E:$E, (MATCH(565, 輔助計算!$F$2:$F$801, 0)+1)))), "")</f>
        <v/>
      </c>
      <c r="E566" s="10">
        <f>IFERROR(IF(INDEX(ERP資料!$F:$F, (MATCH(565, 輔助計算!$F$2:$F$801, 0)+1))="","",INDEX(ERP資料!$F:$F, (MATCH(565, 輔助計算!$F$2:$F$801, 0)+1))), "")</f>
        <v/>
      </c>
      <c r="F566" s="10">
        <f>IFERROR(IF(INDEX(ERP資料!$G:$G, (MATCH(565, 輔助計算!$F$2:$F$801, 0)+1))="","",INDEX(ERP資料!$G:$G, (MATCH(565, 輔助計算!$F$2:$F$801, 0)+1))), "")</f>
        <v/>
      </c>
      <c r="G566" s="10">
        <f>IFERROR(IF(INDEX(ERP資料!$H:$H, (MATCH(565, 輔助計算!$F$2:$F$801, 0)+1))="","",INDEX(ERP資料!$H:$H, (MATCH(565, 輔助計算!$F$2:$F$801, 0)+1))), "")</f>
        <v/>
      </c>
      <c r="H566" s="10">
        <f>IFERROR(IF(INDEX(ERP資料!$O:$O, (MATCH(565, 輔助計算!$F$2:$F$801, 0)+1))="","",INDEX(ERP資料!$O:$O, (MATCH(565, 輔助計算!$F$2:$F$801, 0)+1))), "")</f>
        <v/>
      </c>
      <c r="I566" s="15">
        <f>IFERROR(IF(INDEX(輔助計算!$D:$D,(MATCH(565, 輔助計算!$F$2:$F$801, 0)+1))="","",INDEX(輔助計算!$D:$D,(MATCH(565, 輔助計算!$F$2:$F$801, 0)+1))*INDEX(ERP資料!$O:$O,(MATCH(565, 輔助計算!$F$2:$F$801, 0)+1))), "")</f>
        <v/>
      </c>
      <c r="J566" s="16" t="n"/>
      <c r="K566" s="15">
        <f>IFERROR(INDEX(輔助計算!$D:$D, (MATCH(565, 輔助計算!$F$2:$F$801, 0)+1)), "")</f>
        <v/>
      </c>
      <c r="L566" s="16">
        <f>IFERROR(IF(AND(IFERROR(VLOOKUP(LEFT(INDEX(ERP資料!$S:$S, (MATCH(565, 輔助計算!$F$2:$F$801, 0)+1)), 4), 100張客戶!$A:$A, 1, FALSE), "")&lt;&gt;"", OR(INDEX(ERP資料!$F:$F, (MATCH(565, 輔助計算!$F$2:$F$801, 0)+1))=270, INDEX(ERP資料!$F:$F, (MATCH(565, 輔助計算!$F$2:$F$801, 0)+1))=300)), "100張", ""), "")</f>
        <v/>
      </c>
      <c r="M566" s="17" t="n"/>
      <c r="N566" s="17">
        <f>IF($F566="","",$F566)</f>
        <v/>
      </c>
      <c r="O566" s="17">
        <f>IF($G566="","",$G566)</f>
        <v/>
      </c>
      <c r="P566" s="17">
        <f>IF($K566="","",$K566)</f>
        <v/>
      </c>
      <c r="Q566" s="16" t="n"/>
      <c r="R566" s="18" t="n"/>
      <c r="S566" s="16" t="n"/>
    </row>
    <row r="567">
      <c r="A567" s="14">
        <f>IFERROR(IF(AND(IFERROR(INDEX(ERP資料!$A:$A, (MATCH(566, 輔助計算!$F$2:$F$801, 0)+1)), "")&lt;&gt;"", IFERROR(INDEX(ERP資料!$A:$A, (MATCH(566, 輔助計算!$F$2:$F$801, 0)+1)), "")&lt;&gt;IFERROR(INDEX(ERP資料!$A:$A, MATCH(565, 輔助計算!$F$2:$F$801, 0)+1), "")), INDEX(ERP資料!$B:$B, (MATCH(566, 輔助計算!$F$2:$F$801, 0)+1)), ""), "")</f>
        <v/>
      </c>
      <c r="B567" s="10">
        <f>IFERROR(IF(AND(IFERROR(INDEX(ERP資料!$A:$A, (MATCH(566, 輔助計算!$F$2:$F$801, 0)+1)), "")&lt;&gt;"", IFERROR(INDEX(ERP資料!$A:$A, (MATCH(566, 輔助計算!$F$2:$F$801, 0)+1)), "")&lt;&gt;IFERROR(INDEX(ERP資料!$A:$A, MATCH(565, 輔助計算!$F$2:$F$801, 0)+1), "")), IFERROR(INDEX(ERP資料!$A:$A, (MATCH(566, 輔助計算!$F$2:$F$801, 0)+1)), ""), ""), "")</f>
        <v/>
      </c>
      <c r="C567" s="10">
        <f>IFERROR(IF(AND(IFERROR(INDEX(ERP資料!$A:$A, (MATCH(566, 輔助計算!$F$2:$F$801, 0)+1)), "")&lt;&gt;"", IFERROR(INDEX(ERP資料!$A:$A, (MATCH(566, 輔助計算!$F$2:$F$801, 0)+1)), "")&lt;&gt;IFERROR(INDEX(ERP資料!$A:$A, MATCH(565, 輔助計算!$F$2:$F$801, 0)+1), "")), INDEX(ERP資料!$S:$S, (MATCH(566, 輔助計算!$F$2:$F$801, 0)+1)), ""), "")</f>
        <v/>
      </c>
      <c r="D567" s="10">
        <f>IFERROR(IF(INDEX(ERP資料!$E:$E, (MATCH(566, 輔助計算!$F$2:$F$801, 0)+1))="","",TRIM(INDEX(ERP資料!$E:$E, (MATCH(566, 輔助計算!$F$2:$F$801, 0)+1)))), "")</f>
        <v/>
      </c>
      <c r="E567" s="10">
        <f>IFERROR(IF(INDEX(ERP資料!$F:$F, (MATCH(566, 輔助計算!$F$2:$F$801, 0)+1))="","",INDEX(ERP資料!$F:$F, (MATCH(566, 輔助計算!$F$2:$F$801, 0)+1))), "")</f>
        <v/>
      </c>
      <c r="F567" s="10">
        <f>IFERROR(IF(INDEX(ERP資料!$G:$G, (MATCH(566, 輔助計算!$F$2:$F$801, 0)+1))="","",INDEX(ERP資料!$G:$G, (MATCH(566, 輔助計算!$F$2:$F$801, 0)+1))), "")</f>
        <v/>
      </c>
      <c r="G567" s="10">
        <f>IFERROR(IF(INDEX(ERP資料!$H:$H, (MATCH(566, 輔助計算!$F$2:$F$801, 0)+1))="","",INDEX(ERP資料!$H:$H, (MATCH(566, 輔助計算!$F$2:$F$801, 0)+1))), "")</f>
        <v/>
      </c>
      <c r="H567" s="10">
        <f>IFERROR(IF(INDEX(ERP資料!$O:$O, (MATCH(566, 輔助計算!$F$2:$F$801, 0)+1))="","",INDEX(ERP資料!$O:$O, (MATCH(566, 輔助計算!$F$2:$F$801, 0)+1))), "")</f>
        <v/>
      </c>
      <c r="I567" s="15">
        <f>IFERROR(IF(INDEX(輔助計算!$D:$D,(MATCH(566, 輔助計算!$F$2:$F$801, 0)+1))="","",INDEX(輔助計算!$D:$D,(MATCH(566, 輔助計算!$F$2:$F$801, 0)+1))*INDEX(ERP資料!$O:$O,(MATCH(566, 輔助計算!$F$2:$F$801, 0)+1))), "")</f>
        <v/>
      </c>
      <c r="J567" s="16" t="n"/>
      <c r="K567" s="15">
        <f>IFERROR(INDEX(輔助計算!$D:$D, (MATCH(566, 輔助計算!$F$2:$F$801, 0)+1)), "")</f>
        <v/>
      </c>
      <c r="L567" s="16">
        <f>IFERROR(IF(AND(IFERROR(VLOOKUP(LEFT(INDEX(ERP資料!$S:$S, (MATCH(566, 輔助計算!$F$2:$F$801, 0)+1)), 4), 100張客戶!$A:$A, 1, FALSE), "")&lt;&gt;"", OR(INDEX(ERP資料!$F:$F, (MATCH(566, 輔助計算!$F$2:$F$801, 0)+1))=270, INDEX(ERP資料!$F:$F, (MATCH(566, 輔助計算!$F$2:$F$801, 0)+1))=300)), "100張", ""), "")</f>
        <v/>
      </c>
      <c r="M567" s="17" t="n"/>
      <c r="N567" s="17">
        <f>IF($F567="","",$F567)</f>
        <v/>
      </c>
      <c r="O567" s="17">
        <f>IF($G567="","",$G567)</f>
        <v/>
      </c>
      <c r="P567" s="17">
        <f>IF($K567="","",$K567)</f>
        <v/>
      </c>
      <c r="Q567" s="16" t="n"/>
      <c r="R567" s="18" t="n"/>
      <c r="S567" s="16" t="n"/>
    </row>
    <row r="568">
      <c r="A568" s="14">
        <f>IFERROR(IF(AND(IFERROR(INDEX(ERP資料!$A:$A, (MATCH(567, 輔助計算!$F$2:$F$801, 0)+1)), "")&lt;&gt;"", IFERROR(INDEX(ERP資料!$A:$A, (MATCH(567, 輔助計算!$F$2:$F$801, 0)+1)), "")&lt;&gt;IFERROR(INDEX(ERP資料!$A:$A, MATCH(566, 輔助計算!$F$2:$F$801, 0)+1), "")), INDEX(ERP資料!$B:$B, (MATCH(567, 輔助計算!$F$2:$F$801, 0)+1)), ""), "")</f>
        <v/>
      </c>
      <c r="B568" s="10">
        <f>IFERROR(IF(AND(IFERROR(INDEX(ERP資料!$A:$A, (MATCH(567, 輔助計算!$F$2:$F$801, 0)+1)), "")&lt;&gt;"", IFERROR(INDEX(ERP資料!$A:$A, (MATCH(567, 輔助計算!$F$2:$F$801, 0)+1)), "")&lt;&gt;IFERROR(INDEX(ERP資料!$A:$A, MATCH(566, 輔助計算!$F$2:$F$801, 0)+1), "")), IFERROR(INDEX(ERP資料!$A:$A, (MATCH(567, 輔助計算!$F$2:$F$801, 0)+1)), ""), ""), "")</f>
        <v/>
      </c>
      <c r="C568" s="10">
        <f>IFERROR(IF(AND(IFERROR(INDEX(ERP資料!$A:$A, (MATCH(567, 輔助計算!$F$2:$F$801, 0)+1)), "")&lt;&gt;"", IFERROR(INDEX(ERP資料!$A:$A, (MATCH(567, 輔助計算!$F$2:$F$801, 0)+1)), "")&lt;&gt;IFERROR(INDEX(ERP資料!$A:$A, MATCH(566, 輔助計算!$F$2:$F$801, 0)+1), "")), INDEX(ERP資料!$S:$S, (MATCH(567, 輔助計算!$F$2:$F$801, 0)+1)), ""), "")</f>
        <v/>
      </c>
      <c r="D568" s="10">
        <f>IFERROR(IF(INDEX(ERP資料!$E:$E, (MATCH(567, 輔助計算!$F$2:$F$801, 0)+1))="","",TRIM(INDEX(ERP資料!$E:$E, (MATCH(567, 輔助計算!$F$2:$F$801, 0)+1)))), "")</f>
        <v/>
      </c>
      <c r="E568" s="10">
        <f>IFERROR(IF(INDEX(ERP資料!$F:$F, (MATCH(567, 輔助計算!$F$2:$F$801, 0)+1))="","",INDEX(ERP資料!$F:$F, (MATCH(567, 輔助計算!$F$2:$F$801, 0)+1))), "")</f>
        <v/>
      </c>
      <c r="F568" s="10">
        <f>IFERROR(IF(INDEX(ERP資料!$G:$G, (MATCH(567, 輔助計算!$F$2:$F$801, 0)+1))="","",INDEX(ERP資料!$G:$G, (MATCH(567, 輔助計算!$F$2:$F$801, 0)+1))), "")</f>
        <v/>
      </c>
      <c r="G568" s="10">
        <f>IFERROR(IF(INDEX(ERP資料!$H:$H, (MATCH(567, 輔助計算!$F$2:$F$801, 0)+1))="","",INDEX(ERP資料!$H:$H, (MATCH(567, 輔助計算!$F$2:$F$801, 0)+1))), "")</f>
        <v/>
      </c>
      <c r="H568" s="10">
        <f>IFERROR(IF(INDEX(ERP資料!$O:$O, (MATCH(567, 輔助計算!$F$2:$F$801, 0)+1))="","",INDEX(ERP資料!$O:$O, (MATCH(567, 輔助計算!$F$2:$F$801, 0)+1))), "")</f>
        <v/>
      </c>
      <c r="I568" s="15">
        <f>IFERROR(IF(INDEX(輔助計算!$D:$D,(MATCH(567, 輔助計算!$F$2:$F$801, 0)+1))="","",INDEX(輔助計算!$D:$D,(MATCH(567, 輔助計算!$F$2:$F$801, 0)+1))*INDEX(ERP資料!$O:$O,(MATCH(567, 輔助計算!$F$2:$F$801, 0)+1))), "")</f>
        <v/>
      </c>
      <c r="J568" s="16" t="n"/>
      <c r="K568" s="15">
        <f>IFERROR(INDEX(輔助計算!$D:$D, (MATCH(567, 輔助計算!$F$2:$F$801, 0)+1)), "")</f>
        <v/>
      </c>
      <c r="L568" s="16">
        <f>IFERROR(IF(AND(IFERROR(VLOOKUP(LEFT(INDEX(ERP資料!$S:$S, (MATCH(567, 輔助計算!$F$2:$F$801, 0)+1)), 4), 100張客戶!$A:$A, 1, FALSE), "")&lt;&gt;"", OR(INDEX(ERP資料!$F:$F, (MATCH(567, 輔助計算!$F$2:$F$801, 0)+1))=270, INDEX(ERP資料!$F:$F, (MATCH(567, 輔助計算!$F$2:$F$801, 0)+1))=300)), "100張", ""), "")</f>
        <v/>
      </c>
      <c r="M568" s="17" t="n"/>
      <c r="N568" s="17">
        <f>IF($F568="","",$F568)</f>
        <v/>
      </c>
      <c r="O568" s="17">
        <f>IF($G568="","",$G568)</f>
        <v/>
      </c>
      <c r="P568" s="17">
        <f>IF($K568="","",$K568)</f>
        <v/>
      </c>
      <c r="Q568" s="16" t="n"/>
      <c r="R568" s="18" t="n"/>
      <c r="S568" s="16" t="n"/>
    </row>
    <row r="569">
      <c r="A569" s="14">
        <f>IFERROR(IF(AND(IFERROR(INDEX(ERP資料!$A:$A, (MATCH(568, 輔助計算!$F$2:$F$801, 0)+1)), "")&lt;&gt;"", IFERROR(INDEX(ERP資料!$A:$A, (MATCH(568, 輔助計算!$F$2:$F$801, 0)+1)), "")&lt;&gt;IFERROR(INDEX(ERP資料!$A:$A, MATCH(567, 輔助計算!$F$2:$F$801, 0)+1), "")), INDEX(ERP資料!$B:$B, (MATCH(568, 輔助計算!$F$2:$F$801, 0)+1)), ""), "")</f>
        <v/>
      </c>
      <c r="B569" s="10">
        <f>IFERROR(IF(AND(IFERROR(INDEX(ERP資料!$A:$A, (MATCH(568, 輔助計算!$F$2:$F$801, 0)+1)), "")&lt;&gt;"", IFERROR(INDEX(ERP資料!$A:$A, (MATCH(568, 輔助計算!$F$2:$F$801, 0)+1)), "")&lt;&gt;IFERROR(INDEX(ERP資料!$A:$A, MATCH(567, 輔助計算!$F$2:$F$801, 0)+1), "")), IFERROR(INDEX(ERP資料!$A:$A, (MATCH(568, 輔助計算!$F$2:$F$801, 0)+1)), ""), ""), "")</f>
        <v/>
      </c>
      <c r="C569" s="10">
        <f>IFERROR(IF(AND(IFERROR(INDEX(ERP資料!$A:$A, (MATCH(568, 輔助計算!$F$2:$F$801, 0)+1)), "")&lt;&gt;"", IFERROR(INDEX(ERP資料!$A:$A, (MATCH(568, 輔助計算!$F$2:$F$801, 0)+1)), "")&lt;&gt;IFERROR(INDEX(ERP資料!$A:$A, MATCH(567, 輔助計算!$F$2:$F$801, 0)+1), "")), INDEX(ERP資料!$S:$S, (MATCH(568, 輔助計算!$F$2:$F$801, 0)+1)), ""), "")</f>
        <v/>
      </c>
      <c r="D569" s="10">
        <f>IFERROR(IF(INDEX(ERP資料!$E:$E, (MATCH(568, 輔助計算!$F$2:$F$801, 0)+1))="","",TRIM(INDEX(ERP資料!$E:$E, (MATCH(568, 輔助計算!$F$2:$F$801, 0)+1)))), "")</f>
        <v/>
      </c>
      <c r="E569" s="10">
        <f>IFERROR(IF(INDEX(ERP資料!$F:$F, (MATCH(568, 輔助計算!$F$2:$F$801, 0)+1))="","",INDEX(ERP資料!$F:$F, (MATCH(568, 輔助計算!$F$2:$F$801, 0)+1))), "")</f>
        <v/>
      </c>
      <c r="F569" s="10">
        <f>IFERROR(IF(INDEX(ERP資料!$G:$G, (MATCH(568, 輔助計算!$F$2:$F$801, 0)+1))="","",INDEX(ERP資料!$G:$G, (MATCH(568, 輔助計算!$F$2:$F$801, 0)+1))), "")</f>
        <v/>
      </c>
      <c r="G569" s="10">
        <f>IFERROR(IF(INDEX(ERP資料!$H:$H, (MATCH(568, 輔助計算!$F$2:$F$801, 0)+1))="","",INDEX(ERP資料!$H:$H, (MATCH(568, 輔助計算!$F$2:$F$801, 0)+1))), "")</f>
        <v/>
      </c>
      <c r="H569" s="10">
        <f>IFERROR(IF(INDEX(ERP資料!$O:$O, (MATCH(568, 輔助計算!$F$2:$F$801, 0)+1))="","",INDEX(ERP資料!$O:$O, (MATCH(568, 輔助計算!$F$2:$F$801, 0)+1))), "")</f>
        <v/>
      </c>
      <c r="I569" s="15">
        <f>IFERROR(IF(INDEX(輔助計算!$D:$D,(MATCH(568, 輔助計算!$F$2:$F$801, 0)+1))="","",INDEX(輔助計算!$D:$D,(MATCH(568, 輔助計算!$F$2:$F$801, 0)+1))*INDEX(ERP資料!$O:$O,(MATCH(568, 輔助計算!$F$2:$F$801, 0)+1))), "")</f>
        <v/>
      </c>
      <c r="J569" s="16" t="n"/>
      <c r="K569" s="15">
        <f>IFERROR(INDEX(輔助計算!$D:$D, (MATCH(568, 輔助計算!$F$2:$F$801, 0)+1)), "")</f>
        <v/>
      </c>
      <c r="L569" s="16">
        <f>IFERROR(IF(AND(IFERROR(VLOOKUP(LEFT(INDEX(ERP資料!$S:$S, (MATCH(568, 輔助計算!$F$2:$F$801, 0)+1)), 4), 100張客戶!$A:$A, 1, FALSE), "")&lt;&gt;"", OR(INDEX(ERP資料!$F:$F, (MATCH(568, 輔助計算!$F$2:$F$801, 0)+1))=270, INDEX(ERP資料!$F:$F, (MATCH(568, 輔助計算!$F$2:$F$801, 0)+1))=300)), "100張", ""), "")</f>
        <v/>
      </c>
      <c r="M569" s="17" t="n"/>
      <c r="N569" s="17">
        <f>IF($F569="","",$F569)</f>
        <v/>
      </c>
      <c r="O569" s="17">
        <f>IF($G569="","",$G569)</f>
        <v/>
      </c>
      <c r="P569" s="17">
        <f>IF($K569="","",$K569)</f>
        <v/>
      </c>
      <c r="Q569" s="16" t="n"/>
      <c r="R569" s="18" t="n"/>
      <c r="S569" s="16" t="n"/>
    </row>
    <row r="570">
      <c r="A570" s="14">
        <f>IFERROR(IF(AND(IFERROR(INDEX(ERP資料!$A:$A, (MATCH(569, 輔助計算!$F$2:$F$801, 0)+1)), "")&lt;&gt;"", IFERROR(INDEX(ERP資料!$A:$A, (MATCH(569, 輔助計算!$F$2:$F$801, 0)+1)), "")&lt;&gt;IFERROR(INDEX(ERP資料!$A:$A, MATCH(568, 輔助計算!$F$2:$F$801, 0)+1), "")), INDEX(ERP資料!$B:$B, (MATCH(569, 輔助計算!$F$2:$F$801, 0)+1)), ""), "")</f>
        <v/>
      </c>
      <c r="B570" s="10">
        <f>IFERROR(IF(AND(IFERROR(INDEX(ERP資料!$A:$A, (MATCH(569, 輔助計算!$F$2:$F$801, 0)+1)), "")&lt;&gt;"", IFERROR(INDEX(ERP資料!$A:$A, (MATCH(569, 輔助計算!$F$2:$F$801, 0)+1)), "")&lt;&gt;IFERROR(INDEX(ERP資料!$A:$A, MATCH(568, 輔助計算!$F$2:$F$801, 0)+1), "")), IFERROR(INDEX(ERP資料!$A:$A, (MATCH(569, 輔助計算!$F$2:$F$801, 0)+1)), ""), ""), "")</f>
        <v/>
      </c>
      <c r="C570" s="10">
        <f>IFERROR(IF(AND(IFERROR(INDEX(ERP資料!$A:$A, (MATCH(569, 輔助計算!$F$2:$F$801, 0)+1)), "")&lt;&gt;"", IFERROR(INDEX(ERP資料!$A:$A, (MATCH(569, 輔助計算!$F$2:$F$801, 0)+1)), "")&lt;&gt;IFERROR(INDEX(ERP資料!$A:$A, MATCH(568, 輔助計算!$F$2:$F$801, 0)+1), "")), INDEX(ERP資料!$S:$S, (MATCH(569, 輔助計算!$F$2:$F$801, 0)+1)), ""), "")</f>
        <v/>
      </c>
      <c r="D570" s="10">
        <f>IFERROR(IF(INDEX(ERP資料!$E:$E, (MATCH(569, 輔助計算!$F$2:$F$801, 0)+1))="","",TRIM(INDEX(ERP資料!$E:$E, (MATCH(569, 輔助計算!$F$2:$F$801, 0)+1)))), "")</f>
        <v/>
      </c>
      <c r="E570" s="10">
        <f>IFERROR(IF(INDEX(ERP資料!$F:$F, (MATCH(569, 輔助計算!$F$2:$F$801, 0)+1))="","",INDEX(ERP資料!$F:$F, (MATCH(569, 輔助計算!$F$2:$F$801, 0)+1))), "")</f>
        <v/>
      </c>
      <c r="F570" s="10">
        <f>IFERROR(IF(INDEX(ERP資料!$G:$G, (MATCH(569, 輔助計算!$F$2:$F$801, 0)+1))="","",INDEX(ERP資料!$G:$G, (MATCH(569, 輔助計算!$F$2:$F$801, 0)+1))), "")</f>
        <v/>
      </c>
      <c r="G570" s="10">
        <f>IFERROR(IF(INDEX(ERP資料!$H:$H, (MATCH(569, 輔助計算!$F$2:$F$801, 0)+1))="","",INDEX(ERP資料!$H:$H, (MATCH(569, 輔助計算!$F$2:$F$801, 0)+1))), "")</f>
        <v/>
      </c>
      <c r="H570" s="10">
        <f>IFERROR(IF(INDEX(ERP資料!$O:$O, (MATCH(569, 輔助計算!$F$2:$F$801, 0)+1))="","",INDEX(ERP資料!$O:$O, (MATCH(569, 輔助計算!$F$2:$F$801, 0)+1))), "")</f>
        <v/>
      </c>
      <c r="I570" s="15">
        <f>IFERROR(IF(INDEX(輔助計算!$D:$D,(MATCH(569, 輔助計算!$F$2:$F$801, 0)+1))="","",INDEX(輔助計算!$D:$D,(MATCH(569, 輔助計算!$F$2:$F$801, 0)+1))*INDEX(ERP資料!$O:$O,(MATCH(569, 輔助計算!$F$2:$F$801, 0)+1))), "")</f>
        <v/>
      </c>
      <c r="J570" s="16" t="n"/>
      <c r="K570" s="15">
        <f>IFERROR(INDEX(輔助計算!$D:$D, (MATCH(569, 輔助計算!$F$2:$F$801, 0)+1)), "")</f>
        <v/>
      </c>
      <c r="L570" s="16">
        <f>IFERROR(IF(AND(IFERROR(VLOOKUP(LEFT(INDEX(ERP資料!$S:$S, (MATCH(569, 輔助計算!$F$2:$F$801, 0)+1)), 4), 100張客戶!$A:$A, 1, FALSE), "")&lt;&gt;"", OR(INDEX(ERP資料!$F:$F, (MATCH(569, 輔助計算!$F$2:$F$801, 0)+1))=270, INDEX(ERP資料!$F:$F, (MATCH(569, 輔助計算!$F$2:$F$801, 0)+1))=300)), "100張", ""), "")</f>
        <v/>
      </c>
      <c r="M570" s="17" t="n"/>
      <c r="N570" s="17">
        <f>IF($F570="","",$F570)</f>
        <v/>
      </c>
      <c r="O570" s="17">
        <f>IF($G570="","",$G570)</f>
        <v/>
      </c>
      <c r="P570" s="17">
        <f>IF($K570="","",$K570)</f>
        <v/>
      </c>
      <c r="Q570" s="16" t="n"/>
      <c r="R570" s="18" t="n"/>
      <c r="S570" s="16" t="n"/>
    </row>
    <row r="571">
      <c r="A571" s="14">
        <f>IFERROR(IF(AND(IFERROR(INDEX(ERP資料!$A:$A, (MATCH(570, 輔助計算!$F$2:$F$801, 0)+1)), "")&lt;&gt;"", IFERROR(INDEX(ERP資料!$A:$A, (MATCH(570, 輔助計算!$F$2:$F$801, 0)+1)), "")&lt;&gt;IFERROR(INDEX(ERP資料!$A:$A, MATCH(569, 輔助計算!$F$2:$F$801, 0)+1), "")), INDEX(ERP資料!$B:$B, (MATCH(570, 輔助計算!$F$2:$F$801, 0)+1)), ""), "")</f>
        <v/>
      </c>
      <c r="B571" s="10">
        <f>IFERROR(IF(AND(IFERROR(INDEX(ERP資料!$A:$A, (MATCH(570, 輔助計算!$F$2:$F$801, 0)+1)), "")&lt;&gt;"", IFERROR(INDEX(ERP資料!$A:$A, (MATCH(570, 輔助計算!$F$2:$F$801, 0)+1)), "")&lt;&gt;IFERROR(INDEX(ERP資料!$A:$A, MATCH(569, 輔助計算!$F$2:$F$801, 0)+1), "")), IFERROR(INDEX(ERP資料!$A:$A, (MATCH(570, 輔助計算!$F$2:$F$801, 0)+1)), ""), ""), "")</f>
        <v/>
      </c>
      <c r="C571" s="10">
        <f>IFERROR(IF(AND(IFERROR(INDEX(ERP資料!$A:$A, (MATCH(570, 輔助計算!$F$2:$F$801, 0)+1)), "")&lt;&gt;"", IFERROR(INDEX(ERP資料!$A:$A, (MATCH(570, 輔助計算!$F$2:$F$801, 0)+1)), "")&lt;&gt;IFERROR(INDEX(ERP資料!$A:$A, MATCH(569, 輔助計算!$F$2:$F$801, 0)+1), "")), INDEX(ERP資料!$S:$S, (MATCH(570, 輔助計算!$F$2:$F$801, 0)+1)), ""), "")</f>
        <v/>
      </c>
      <c r="D571" s="10">
        <f>IFERROR(IF(INDEX(ERP資料!$E:$E, (MATCH(570, 輔助計算!$F$2:$F$801, 0)+1))="","",TRIM(INDEX(ERP資料!$E:$E, (MATCH(570, 輔助計算!$F$2:$F$801, 0)+1)))), "")</f>
        <v/>
      </c>
      <c r="E571" s="10">
        <f>IFERROR(IF(INDEX(ERP資料!$F:$F, (MATCH(570, 輔助計算!$F$2:$F$801, 0)+1))="","",INDEX(ERP資料!$F:$F, (MATCH(570, 輔助計算!$F$2:$F$801, 0)+1))), "")</f>
        <v/>
      </c>
      <c r="F571" s="10">
        <f>IFERROR(IF(INDEX(ERP資料!$G:$G, (MATCH(570, 輔助計算!$F$2:$F$801, 0)+1))="","",INDEX(ERP資料!$G:$G, (MATCH(570, 輔助計算!$F$2:$F$801, 0)+1))), "")</f>
        <v/>
      </c>
      <c r="G571" s="10">
        <f>IFERROR(IF(INDEX(ERP資料!$H:$H, (MATCH(570, 輔助計算!$F$2:$F$801, 0)+1))="","",INDEX(ERP資料!$H:$H, (MATCH(570, 輔助計算!$F$2:$F$801, 0)+1))), "")</f>
        <v/>
      </c>
      <c r="H571" s="10">
        <f>IFERROR(IF(INDEX(ERP資料!$O:$O, (MATCH(570, 輔助計算!$F$2:$F$801, 0)+1))="","",INDEX(ERP資料!$O:$O, (MATCH(570, 輔助計算!$F$2:$F$801, 0)+1))), "")</f>
        <v/>
      </c>
      <c r="I571" s="15">
        <f>IFERROR(IF(INDEX(輔助計算!$D:$D,(MATCH(570, 輔助計算!$F$2:$F$801, 0)+1))="","",INDEX(輔助計算!$D:$D,(MATCH(570, 輔助計算!$F$2:$F$801, 0)+1))*INDEX(ERP資料!$O:$O,(MATCH(570, 輔助計算!$F$2:$F$801, 0)+1))), "")</f>
        <v/>
      </c>
      <c r="J571" s="16" t="n"/>
      <c r="K571" s="15">
        <f>IFERROR(INDEX(輔助計算!$D:$D, (MATCH(570, 輔助計算!$F$2:$F$801, 0)+1)), "")</f>
        <v/>
      </c>
      <c r="L571" s="16">
        <f>IFERROR(IF(AND(IFERROR(VLOOKUP(LEFT(INDEX(ERP資料!$S:$S, (MATCH(570, 輔助計算!$F$2:$F$801, 0)+1)), 4), 100張客戶!$A:$A, 1, FALSE), "")&lt;&gt;"", OR(INDEX(ERP資料!$F:$F, (MATCH(570, 輔助計算!$F$2:$F$801, 0)+1))=270, INDEX(ERP資料!$F:$F, (MATCH(570, 輔助計算!$F$2:$F$801, 0)+1))=300)), "100張", ""), "")</f>
        <v/>
      </c>
      <c r="M571" s="17" t="n"/>
      <c r="N571" s="17">
        <f>IF($F571="","",$F571)</f>
        <v/>
      </c>
      <c r="O571" s="17">
        <f>IF($G571="","",$G571)</f>
        <v/>
      </c>
      <c r="P571" s="17">
        <f>IF($K571="","",$K571)</f>
        <v/>
      </c>
      <c r="Q571" s="16" t="n"/>
      <c r="R571" s="18" t="n"/>
      <c r="S571" s="16" t="n"/>
    </row>
    <row r="572">
      <c r="A572" s="14">
        <f>IFERROR(IF(AND(IFERROR(INDEX(ERP資料!$A:$A, (MATCH(571, 輔助計算!$F$2:$F$801, 0)+1)), "")&lt;&gt;"", IFERROR(INDEX(ERP資料!$A:$A, (MATCH(571, 輔助計算!$F$2:$F$801, 0)+1)), "")&lt;&gt;IFERROR(INDEX(ERP資料!$A:$A, MATCH(570, 輔助計算!$F$2:$F$801, 0)+1), "")), INDEX(ERP資料!$B:$B, (MATCH(571, 輔助計算!$F$2:$F$801, 0)+1)), ""), "")</f>
        <v/>
      </c>
      <c r="B572" s="10">
        <f>IFERROR(IF(AND(IFERROR(INDEX(ERP資料!$A:$A, (MATCH(571, 輔助計算!$F$2:$F$801, 0)+1)), "")&lt;&gt;"", IFERROR(INDEX(ERP資料!$A:$A, (MATCH(571, 輔助計算!$F$2:$F$801, 0)+1)), "")&lt;&gt;IFERROR(INDEX(ERP資料!$A:$A, MATCH(570, 輔助計算!$F$2:$F$801, 0)+1), "")), IFERROR(INDEX(ERP資料!$A:$A, (MATCH(571, 輔助計算!$F$2:$F$801, 0)+1)), ""), ""), "")</f>
        <v/>
      </c>
      <c r="C572" s="10">
        <f>IFERROR(IF(AND(IFERROR(INDEX(ERP資料!$A:$A, (MATCH(571, 輔助計算!$F$2:$F$801, 0)+1)), "")&lt;&gt;"", IFERROR(INDEX(ERP資料!$A:$A, (MATCH(571, 輔助計算!$F$2:$F$801, 0)+1)), "")&lt;&gt;IFERROR(INDEX(ERP資料!$A:$A, MATCH(570, 輔助計算!$F$2:$F$801, 0)+1), "")), INDEX(ERP資料!$S:$S, (MATCH(571, 輔助計算!$F$2:$F$801, 0)+1)), ""), "")</f>
        <v/>
      </c>
      <c r="D572" s="10">
        <f>IFERROR(IF(INDEX(ERP資料!$E:$E, (MATCH(571, 輔助計算!$F$2:$F$801, 0)+1))="","",TRIM(INDEX(ERP資料!$E:$E, (MATCH(571, 輔助計算!$F$2:$F$801, 0)+1)))), "")</f>
        <v/>
      </c>
      <c r="E572" s="10">
        <f>IFERROR(IF(INDEX(ERP資料!$F:$F, (MATCH(571, 輔助計算!$F$2:$F$801, 0)+1))="","",INDEX(ERP資料!$F:$F, (MATCH(571, 輔助計算!$F$2:$F$801, 0)+1))), "")</f>
        <v/>
      </c>
      <c r="F572" s="10">
        <f>IFERROR(IF(INDEX(ERP資料!$G:$G, (MATCH(571, 輔助計算!$F$2:$F$801, 0)+1))="","",INDEX(ERP資料!$G:$G, (MATCH(571, 輔助計算!$F$2:$F$801, 0)+1))), "")</f>
        <v/>
      </c>
      <c r="G572" s="10">
        <f>IFERROR(IF(INDEX(ERP資料!$H:$H, (MATCH(571, 輔助計算!$F$2:$F$801, 0)+1))="","",INDEX(ERP資料!$H:$H, (MATCH(571, 輔助計算!$F$2:$F$801, 0)+1))), "")</f>
        <v/>
      </c>
      <c r="H572" s="10">
        <f>IFERROR(IF(INDEX(ERP資料!$O:$O, (MATCH(571, 輔助計算!$F$2:$F$801, 0)+1))="","",INDEX(ERP資料!$O:$O, (MATCH(571, 輔助計算!$F$2:$F$801, 0)+1))), "")</f>
        <v/>
      </c>
      <c r="I572" s="15">
        <f>IFERROR(IF(INDEX(輔助計算!$D:$D,(MATCH(571, 輔助計算!$F$2:$F$801, 0)+1))="","",INDEX(輔助計算!$D:$D,(MATCH(571, 輔助計算!$F$2:$F$801, 0)+1))*INDEX(ERP資料!$O:$O,(MATCH(571, 輔助計算!$F$2:$F$801, 0)+1))), "")</f>
        <v/>
      </c>
      <c r="J572" s="16" t="n"/>
      <c r="K572" s="15">
        <f>IFERROR(INDEX(輔助計算!$D:$D, (MATCH(571, 輔助計算!$F$2:$F$801, 0)+1)), "")</f>
        <v/>
      </c>
      <c r="L572" s="16">
        <f>IFERROR(IF(AND(IFERROR(VLOOKUP(LEFT(INDEX(ERP資料!$S:$S, (MATCH(571, 輔助計算!$F$2:$F$801, 0)+1)), 4), 100張客戶!$A:$A, 1, FALSE), "")&lt;&gt;"", OR(INDEX(ERP資料!$F:$F, (MATCH(571, 輔助計算!$F$2:$F$801, 0)+1))=270, INDEX(ERP資料!$F:$F, (MATCH(571, 輔助計算!$F$2:$F$801, 0)+1))=300)), "100張", ""), "")</f>
        <v/>
      </c>
      <c r="M572" s="17" t="n"/>
      <c r="N572" s="17">
        <f>IF($F572="","",$F572)</f>
        <v/>
      </c>
      <c r="O572" s="17">
        <f>IF($G572="","",$G572)</f>
        <v/>
      </c>
      <c r="P572" s="17">
        <f>IF($K572="","",$K572)</f>
        <v/>
      </c>
      <c r="Q572" s="16" t="n"/>
      <c r="R572" s="18" t="n"/>
      <c r="S572" s="16" t="n"/>
    </row>
    <row r="573">
      <c r="A573" s="14">
        <f>IFERROR(IF(AND(IFERROR(INDEX(ERP資料!$A:$A, (MATCH(572, 輔助計算!$F$2:$F$801, 0)+1)), "")&lt;&gt;"", IFERROR(INDEX(ERP資料!$A:$A, (MATCH(572, 輔助計算!$F$2:$F$801, 0)+1)), "")&lt;&gt;IFERROR(INDEX(ERP資料!$A:$A, MATCH(571, 輔助計算!$F$2:$F$801, 0)+1), "")), INDEX(ERP資料!$B:$B, (MATCH(572, 輔助計算!$F$2:$F$801, 0)+1)), ""), "")</f>
        <v/>
      </c>
      <c r="B573" s="10">
        <f>IFERROR(IF(AND(IFERROR(INDEX(ERP資料!$A:$A, (MATCH(572, 輔助計算!$F$2:$F$801, 0)+1)), "")&lt;&gt;"", IFERROR(INDEX(ERP資料!$A:$A, (MATCH(572, 輔助計算!$F$2:$F$801, 0)+1)), "")&lt;&gt;IFERROR(INDEX(ERP資料!$A:$A, MATCH(571, 輔助計算!$F$2:$F$801, 0)+1), "")), IFERROR(INDEX(ERP資料!$A:$A, (MATCH(572, 輔助計算!$F$2:$F$801, 0)+1)), ""), ""), "")</f>
        <v/>
      </c>
      <c r="C573" s="10">
        <f>IFERROR(IF(AND(IFERROR(INDEX(ERP資料!$A:$A, (MATCH(572, 輔助計算!$F$2:$F$801, 0)+1)), "")&lt;&gt;"", IFERROR(INDEX(ERP資料!$A:$A, (MATCH(572, 輔助計算!$F$2:$F$801, 0)+1)), "")&lt;&gt;IFERROR(INDEX(ERP資料!$A:$A, MATCH(571, 輔助計算!$F$2:$F$801, 0)+1), "")), INDEX(ERP資料!$S:$S, (MATCH(572, 輔助計算!$F$2:$F$801, 0)+1)), ""), "")</f>
        <v/>
      </c>
      <c r="D573" s="10">
        <f>IFERROR(IF(INDEX(ERP資料!$E:$E, (MATCH(572, 輔助計算!$F$2:$F$801, 0)+1))="","",TRIM(INDEX(ERP資料!$E:$E, (MATCH(572, 輔助計算!$F$2:$F$801, 0)+1)))), "")</f>
        <v/>
      </c>
      <c r="E573" s="10">
        <f>IFERROR(IF(INDEX(ERP資料!$F:$F, (MATCH(572, 輔助計算!$F$2:$F$801, 0)+1))="","",INDEX(ERP資料!$F:$F, (MATCH(572, 輔助計算!$F$2:$F$801, 0)+1))), "")</f>
        <v/>
      </c>
      <c r="F573" s="10">
        <f>IFERROR(IF(INDEX(ERP資料!$G:$G, (MATCH(572, 輔助計算!$F$2:$F$801, 0)+1))="","",INDEX(ERP資料!$G:$G, (MATCH(572, 輔助計算!$F$2:$F$801, 0)+1))), "")</f>
        <v/>
      </c>
      <c r="G573" s="10">
        <f>IFERROR(IF(INDEX(ERP資料!$H:$H, (MATCH(572, 輔助計算!$F$2:$F$801, 0)+1))="","",INDEX(ERP資料!$H:$H, (MATCH(572, 輔助計算!$F$2:$F$801, 0)+1))), "")</f>
        <v/>
      </c>
      <c r="H573" s="10">
        <f>IFERROR(IF(INDEX(ERP資料!$O:$O, (MATCH(572, 輔助計算!$F$2:$F$801, 0)+1))="","",INDEX(ERP資料!$O:$O, (MATCH(572, 輔助計算!$F$2:$F$801, 0)+1))), "")</f>
        <v/>
      </c>
      <c r="I573" s="15">
        <f>IFERROR(IF(INDEX(輔助計算!$D:$D,(MATCH(572, 輔助計算!$F$2:$F$801, 0)+1))="","",INDEX(輔助計算!$D:$D,(MATCH(572, 輔助計算!$F$2:$F$801, 0)+1))*INDEX(ERP資料!$O:$O,(MATCH(572, 輔助計算!$F$2:$F$801, 0)+1))), "")</f>
        <v/>
      </c>
      <c r="J573" s="16" t="n"/>
      <c r="K573" s="15">
        <f>IFERROR(INDEX(輔助計算!$D:$D, (MATCH(572, 輔助計算!$F$2:$F$801, 0)+1)), "")</f>
        <v/>
      </c>
      <c r="L573" s="16">
        <f>IFERROR(IF(AND(IFERROR(VLOOKUP(LEFT(INDEX(ERP資料!$S:$S, (MATCH(572, 輔助計算!$F$2:$F$801, 0)+1)), 4), 100張客戶!$A:$A, 1, FALSE), "")&lt;&gt;"", OR(INDEX(ERP資料!$F:$F, (MATCH(572, 輔助計算!$F$2:$F$801, 0)+1))=270, INDEX(ERP資料!$F:$F, (MATCH(572, 輔助計算!$F$2:$F$801, 0)+1))=300)), "100張", ""), "")</f>
        <v/>
      </c>
      <c r="M573" s="17" t="n"/>
      <c r="N573" s="17">
        <f>IF($F573="","",$F573)</f>
        <v/>
      </c>
      <c r="O573" s="17">
        <f>IF($G573="","",$G573)</f>
        <v/>
      </c>
      <c r="P573" s="17">
        <f>IF($K573="","",$K573)</f>
        <v/>
      </c>
      <c r="Q573" s="16" t="n"/>
      <c r="R573" s="18" t="n"/>
      <c r="S573" s="16" t="n"/>
    </row>
    <row r="574">
      <c r="A574" s="14">
        <f>IFERROR(IF(AND(IFERROR(INDEX(ERP資料!$A:$A, (MATCH(573, 輔助計算!$F$2:$F$801, 0)+1)), "")&lt;&gt;"", IFERROR(INDEX(ERP資料!$A:$A, (MATCH(573, 輔助計算!$F$2:$F$801, 0)+1)), "")&lt;&gt;IFERROR(INDEX(ERP資料!$A:$A, MATCH(572, 輔助計算!$F$2:$F$801, 0)+1), "")), INDEX(ERP資料!$B:$B, (MATCH(573, 輔助計算!$F$2:$F$801, 0)+1)), ""), "")</f>
        <v/>
      </c>
      <c r="B574" s="10">
        <f>IFERROR(IF(AND(IFERROR(INDEX(ERP資料!$A:$A, (MATCH(573, 輔助計算!$F$2:$F$801, 0)+1)), "")&lt;&gt;"", IFERROR(INDEX(ERP資料!$A:$A, (MATCH(573, 輔助計算!$F$2:$F$801, 0)+1)), "")&lt;&gt;IFERROR(INDEX(ERP資料!$A:$A, MATCH(572, 輔助計算!$F$2:$F$801, 0)+1), "")), IFERROR(INDEX(ERP資料!$A:$A, (MATCH(573, 輔助計算!$F$2:$F$801, 0)+1)), ""), ""), "")</f>
        <v/>
      </c>
      <c r="C574" s="10">
        <f>IFERROR(IF(AND(IFERROR(INDEX(ERP資料!$A:$A, (MATCH(573, 輔助計算!$F$2:$F$801, 0)+1)), "")&lt;&gt;"", IFERROR(INDEX(ERP資料!$A:$A, (MATCH(573, 輔助計算!$F$2:$F$801, 0)+1)), "")&lt;&gt;IFERROR(INDEX(ERP資料!$A:$A, MATCH(572, 輔助計算!$F$2:$F$801, 0)+1), "")), INDEX(ERP資料!$S:$S, (MATCH(573, 輔助計算!$F$2:$F$801, 0)+1)), ""), "")</f>
        <v/>
      </c>
      <c r="D574" s="10">
        <f>IFERROR(IF(INDEX(ERP資料!$E:$E, (MATCH(573, 輔助計算!$F$2:$F$801, 0)+1))="","",TRIM(INDEX(ERP資料!$E:$E, (MATCH(573, 輔助計算!$F$2:$F$801, 0)+1)))), "")</f>
        <v/>
      </c>
      <c r="E574" s="10">
        <f>IFERROR(IF(INDEX(ERP資料!$F:$F, (MATCH(573, 輔助計算!$F$2:$F$801, 0)+1))="","",INDEX(ERP資料!$F:$F, (MATCH(573, 輔助計算!$F$2:$F$801, 0)+1))), "")</f>
        <v/>
      </c>
      <c r="F574" s="10">
        <f>IFERROR(IF(INDEX(ERP資料!$G:$G, (MATCH(573, 輔助計算!$F$2:$F$801, 0)+1))="","",INDEX(ERP資料!$G:$G, (MATCH(573, 輔助計算!$F$2:$F$801, 0)+1))), "")</f>
        <v/>
      </c>
      <c r="G574" s="10">
        <f>IFERROR(IF(INDEX(ERP資料!$H:$H, (MATCH(573, 輔助計算!$F$2:$F$801, 0)+1))="","",INDEX(ERP資料!$H:$H, (MATCH(573, 輔助計算!$F$2:$F$801, 0)+1))), "")</f>
        <v/>
      </c>
      <c r="H574" s="10">
        <f>IFERROR(IF(INDEX(ERP資料!$O:$O, (MATCH(573, 輔助計算!$F$2:$F$801, 0)+1))="","",INDEX(ERP資料!$O:$O, (MATCH(573, 輔助計算!$F$2:$F$801, 0)+1))), "")</f>
        <v/>
      </c>
      <c r="I574" s="15">
        <f>IFERROR(IF(INDEX(輔助計算!$D:$D,(MATCH(573, 輔助計算!$F$2:$F$801, 0)+1))="","",INDEX(輔助計算!$D:$D,(MATCH(573, 輔助計算!$F$2:$F$801, 0)+1))*INDEX(ERP資料!$O:$O,(MATCH(573, 輔助計算!$F$2:$F$801, 0)+1))), "")</f>
        <v/>
      </c>
      <c r="J574" s="16" t="n"/>
      <c r="K574" s="15">
        <f>IFERROR(INDEX(輔助計算!$D:$D, (MATCH(573, 輔助計算!$F$2:$F$801, 0)+1)), "")</f>
        <v/>
      </c>
      <c r="L574" s="16">
        <f>IFERROR(IF(AND(IFERROR(VLOOKUP(LEFT(INDEX(ERP資料!$S:$S, (MATCH(573, 輔助計算!$F$2:$F$801, 0)+1)), 4), 100張客戶!$A:$A, 1, FALSE), "")&lt;&gt;"", OR(INDEX(ERP資料!$F:$F, (MATCH(573, 輔助計算!$F$2:$F$801, 0)+1))=270, INDEX(ERP資料!$F:$F, (MATCH(573, 輔助計算!$F$2:$F$801, 0)+1))=300)), "100張", ""), "")</f>
        <v/>
      </c>
      <c r="M574" s="17" t="n"/>
      <c r="N574" s="17">
        <f>IF($F574="","",$F574)</f>
        <v/>
      </c>
      <c r="O574" s="17">
        <f>IF($G574="","",$G574)</f>
        <v/>
      </c>
      <c r="P574" s="17">
        <f>IF($K574="","",$K574)</f>
        <v/>
      </c>
      <c r="Q574" s="16" t="n"/>
      <c r="R574" s="18" t="n"/>
      <c r="S574" s="16" t="n"/>
    </row>
    <row r="575">
      <c r="A575" s="14">
        <f>IFERROR(IF(AND(IFERROR(INDEX(ERP資料!$A:$A, (MATCH(574, 輔助計算!$F$2:$F$801, 0)+1)), "")&lt;&gt;"", IFERROR(INDEX(ERP資料!$A:$A, (MATCH(574, 輔助計算!$F$2:$F$801, 0)+1)), "")&lt;&gt;IFERROR(INDEX(ERP資料!$A:$A, MATCH(573, 輔助計算!$F$2:$F$801, 0)+1), "")), INDEX(ERP資料!$B:$B, (MATCH(574, 輔助計算!$F$2:$F$801, 0)+1)), ""), "")</f>
        <v/>
      </c>
      <c r="B575" s="10">
        <f>IFERROR(IF(AND(IFERROR(INDEX(ERP資料!$A:$A, (MATCH(574, 輔助計算!$F$2:$F$801, 0)+1)), "")&lt;&gt;"", IFERROR(INDEX(ERP資料!$A:$A, (MATCH(574, 輔助計算!$F$2:$F$801, 0)+1)), "")&lt;&gt;IFERROR(INDEX(ERP資料!$A:$A, MATCH(573, 輔助計算!$F$2:$F$801, 0)+1), "")), IFERROR(INDEX(ERP資料!$A:$A, (MATCH(574, 輔助計算!$F$2:$F$801, 0)+1)), ""), ""), "")</f>
        <v/>
      </c>
      <c r="C575" s="10">
        <f>IFERROR(IF(AND(IFERROR(INDEX(ERP資料!$A:$A, (MATCH(574, 輔助計算!$F$2:$F$801, 0)+1)), "")&lt;&gt;"", IFERROR(INDEX(ERP資料!$A:$A, (MATCH(574, 輔助計算!$F$2:$F$801, 0)+1)), "")&lt;&gt;IFERROR(INDEX(ERP資料!$A:$A, MATCH(573, 輔助計算!$F$2:$F$801, 0)+1), "")), INDEX(ERP資料!$S:$S, (MATCH(574, 輔助計算!$F$2:$F$801, 0)+1)), ""), "")</f>
        <v/>
      </c>
      <c r="D575" s="10">
        <f>IFERROR(IF(INDEX(ERP資料!$E:$E, (MATCH(574, 輔助計算!$F$2:$F$801, 0)+1))="","",TRIM(INDEX(ERP資料!$E:$E, (MATCH(574, 輔助計算!$F$2:$F$801, 0)+1)))), "")</f>
        <v/>
      </c>
      <c r="E575" s="10">
        <f>IFERROR(IF(INDEX(ERP資料!$F:$F, (MATCH(574, 輔助計算!$F$2:$F$801, 0)+1))="","",INDEX(ERP資料!$F:$F, (MATCH(574, 輔助計算!$F$2:$F$801, 0)+1))), "")</f>
        <v/>
      </c>
      <c r="F575" s="10">
        <f>IFERROR(IF(INDEX(ERP資料!$G:$G, (MATCH(574, 輔助計算!$F$2:$F$801, 0)+1))="","",INDEX(ERP資料!$G:$G, (MATCH(574, 輔助計算!$F$2:$F$801, 0)+1))), "")</f>
        <v/>
      </c>
      <c r="G575" s="10">
        <f>IFERROR(IF(INDEX(ERP資料!$H:$H, (MATCH(574, 輔助計算!$F$2:$F$801, 0)+1))="","",INDEX(ERP資料!$H:$H, (MATCH(574, 輔助計算!$F$2:$F$801, 0)+1))), "")</f>
        <v/>
      </c>
      <c r="H575" s="10">
        <f>IFERROR(IF(INDEX(ERP資料!$O:$O, (MATCH(574, 輔助計算!$F$2:$F$801, 0)+1))="","",INDEX(ERP資料!$O:$O, (MATCH(574, 輔助計算!$F$2:$F$801, 0)+1))), "")</f>
        <v/>
      </c>
      <c r="I575" s="15">
        <f>IFERROR(IF(INDEX(輔助計算!$D:$D,(MATCH(574, 輔助計算!$F$2:$F$801, 0)+1))="","",INDEX(輔助計算!$D:$D,(MATCH(574, 輔助計算!$F$2:$F$801, 0)+1))*INDEX(ERP資料!$O:$O,(MATCH(574, 輔助計算!$F$2:$F$801, 0)+1))), "")</f>
        <v/>
      </c>
      <c r="J575" s="16" t="n"/>
      <c r="K575" s="15">
        <f>IFERROR(INDEX(輔助計算!$D:$D, (MATCH(574, 輔助計算!$F$2:$F$801, 0)+1)), "")</f>
        <v/>
      </c>
      <c r="L575" s="16">
        <f>IFERROR(IF(AND(IFERROR(VLOOKUP(LEFT(INDEX(ERP資料!$S:$S, (MATCH(574, 輔助計算!$F$2:$F$801, 0)+1)), 4), 100張客戶!$A:$A, 1, FALSE), "")&lt;&gt;"", OR(INDEX(ERP資料!$F:$F, (MATCH(574, 輔助計算!$F$2:$F$801, 0)+1))=270, INDEX(ERP資料!$F:$F, (MATCH(574, 輔助計算!$F$2:$F$801, 0)+1))=300)), "100張", ""), "")</f>
        <v/>
      </c>
      <c r="M575" s="17" t="n"/>
      <c r="N575" s="17">
        <f>IF($F575="","",$F575)</f>
        <v/>
      </c>
      <c r="O575" s="17">
        <f>IF($G575="","",$G575)</f>
        <v/>
      </c>
      <c r="P575" s="17">
        <f>IF($K575="","",$K575)</f>
        <v/>
      </c>
      <c r="Q575" s="16" t="n"/>
      <c r="R575" s="18" t="n"/>
      <c r="S575" s="16" t="n"/>
    </row>
    <row r="576">
      <c r="A576" s="14">
        <f>IFERROR(IF(AND(IFERROR(INDEX(ERP資料!$A:$A, (MATCH(575, 輔助計算!$F$2:$F$801, 0)+1)), "")&lt;&gt;"", IFERROR(INDEX(ERP資料!$A:$A, (MATCH(575, 輔助計算!$F$2:$F$801, 0)+1)), "")&lt;&gt;IFERROR(INDEX(ERP資料!$A:$A, MATCH(574, 輔助計算!$F$2:$F$801, 0)+1), "")), INDEX(ERP資料!$B:$B, (MATCH(575, 輔助計算!$F$2:$F$801, 0)+1)), ""), "")</f>
        <v/>
      </c>
      <c r="B576" s="10">
        <f>IFERROR(IF(AND(IFERROR(INDEX(ERP資料!$A:$A, (MATCH(575, 輔助計算!$F$2:$F$801, 0)+1)), "")&lt;&gt;"", IFERROR(INDEX(ERP資料!$A:$A, (MATCH(575, 輔助計算!$F$2:$F$801, 0)+1)), "")&lt;&gt;IFERROR(INDEX(ERP資料!$A:$A, MATCH(574, 輔助計算!$F$2:$F$801, 0)+1), "")), IFERROR(INDEX(ERP資料!$A:$A, (MATCH(575, 輔助計算!$F$2:$F$801, 0)+1)), ""), ""), "")</f>
        <v/>
      </c>
      <c r="C576" s="10">
        <f>IFERROR(IF(AND(IFERROR(INDEX(ERP資料!$A:$A, (MATCH(575, 輔助計算!$F$2:$F$801, 0)+1)), "")&lt;&gt;"", IFERROR(INDEX(ERP資料!$A:$A, (MATCH(575, 輔助計算!$F$2:$F$801, 0)+1)), "")&lt;&gt;IFERROR(INDEX(ERP資料!$A:$A, MATCH(574, 輔助計算!$F$2:$F$801, 0)+1), "")), INDEX(ERP資料!$S:$S, (MATCH(575, 輔助計算!$F$2:$F$801, 0)+1)), ""), "")</f>
        <v/>
      </c>
      <c r="D576" s="10">
        <f>IFERROR(IF(INDEX(ERP資料!$E:$E, (MATCH(575, 輔助計算!$F$2:$F$801, 0)+1))="","",TRIM(INDEX(ERP資料!$E:$E, (MATCH(575, 輔助計算!$F$2:$F$801, 0)+1)))), "")</f>
        <v/>
      </c>
      <c r="E576" s="10">
        <f>IFERROR(IF(INDEX(ERP資料!$F:$F, (MATCH(575, 輔助計算!$F$2:$F$801, 0)+1))="","",INDEX(ERP資料!$F:$F, (MATCH(575, 輔助計算!$F$2:$F$801, 0)+1))), "")</f>
        <v/>
      </c>
      <c r="F576" s="10">
        <f>IFERROR(IF(INDEX(ERP資料!$G:$G, (MATCH(575, 輔助計算!$F$2:$F$801, 0)+1))="","",INDEX(ERP資料!$G:$G, (MATCH(575, 輔助計算!$F$2:$F$801, 0)+1))), "")</f>
        <v/>
      </c>
      <c r="G576" s="10">
        <f>IFERROR(IF(INDEX(ERP資料!$H:$H, (MATCH(575, 輔助計算!$F$2:$F$801, 0)+1))="","",INDEX(ERP資料!$H:$H, (MATCH(575, 輔助計算!$F$2:$F$801, 0)+1))), "")</f>
        <v/>
      </c>
      <c r="H576" s="10">
        <f>IFERROR(IF(INDEX(ERP資料!$O:$O, (MATCH(575, 輔助計算!$F$2:$F$801, 0)+1))="","",INDEX(ERP資料!$O:$O, (MATCH(575, 輔助計算!$F$2:$F$801, 0)+1))), "")</f>
        <v/>
      </c>
      <c r="I576" s="15">
        <f>IFERROR(IF(INDEX(輔助計算!$D:$D,(MATCH(575, 輔助計算!$F$2:$F$801, 0)+1))="","",INDEX(輔助計算!$D:$D,(MATCH(575, 輔助計算!$F$2:$F$801, 0)+1))*INDEX(ERP資料!$O:$O,(MATCH(575, 輔助計算!$F$2:$F$801, 0)+1))), "")</f>
        <v/>
      </c>
      <c r="J576" s="16" t="n"/>
      <c r="K576" s="15">
        <f>IFERROR(INDEX(輔助計算!$D:$D, (MATCH(575, 輔助計算!$F$2:$F$801, 0)+1)), "")</f>
        <v/>
      </c>
      <c r="L576" s="16">
        <f>IFERROR(IF(AND(IFERROR(VLOOKUP(LEFT(INDEX(ERP資料!$S:$S, (MATCH(575, 輔助計算!$F$2:$F$801, 0)+1)), 4), 100張客戶!$A:$A, 1, FALSE), "")&lt;&gt;"", OR(INDEX(ERP資料!$F:$F, (MATCH(575, 輔助計算!$F$2:$F$801, 0)+1))=270, INDEX(ERP資料!$F:$F, (MATCH(575, 輔助計算!$F$2:$F$801, 0)+1))=300)), "100張", ""), "")</f>
        <v/>
      </c>
      <c r="M576" s="17" t="n"/>
      <c r="N576" s="17">
        <f>IF($F576="","",$F576)</f>
        <v/>
      </c>
      <c r="O576" s="17">
        <f>IF($G576="","",$G576)</f>
        <v/>
      </c>
      <c r="P576" s="17">
        <f>IF($K576="","",$K576)</f>
        <v/>
      </c>
      <c r="Q576" s="16" t="n"/>
      <c r="R576" s="18" t="n"/>
      <c r="S576" s="16" t="n"/>
    </row>
    <row r="577">
      <c r="A577" s="14">
        <f>IFERROR(IF(AND(IFERROR(INDEX(ERP資料!$A:$A, (MATCH(576, 輔助計算!$F$2:$F$801, 0)+1)), "")&lt;&gt;"", IFERROR(INDEX(ERP資料!$A:$A, (MATCH(576, 輔助計算!$F$2:$F$801, 0)+1)), "")&lt;&gt;IFERROR(INDEX(ERP資料!$A:$A, MATCH(575, 輔助計算!$F$2:$F$801, 0)+1), "")), INDEX(ERP資料!$B:$B, (MATCH(576, 輔助計算!$F$2:$F$801, 0)+1)), ""), "")</f>
        <v/>
      </c>
      <c r="B577" s="10">
        <f>IFERROR(IF(AND(IFERROR(INDEX(ERP資料!$A:$A, (MATCH(576, 輔助計算!$F$2:$F$801, 0)+1)), "")&lt;&gt;"", IFERROR(INDEX(ERP資料!$A:$A, (MATCH(576, 輔助計算!$F$2:$F$801, 0)+1)), "")&lt;&gt;IFERROR(INDEX(ERP資料!$A:$A, MATCH(575, 輔助計算!$F$2:$F$801, 0)+1), "")), IFERROR(INDEX(ERP資料!$A:$A, (MATCH(576, 輔助計算!$F$2:$F$801, 0)+1)), ""), ""), "")</f>
        <v/>
      </c>
      <c r="C577" s="10">
        <f>IFERROR(IF(AND(IFERROR(INDEX(ERP資料!$A:$A, (MATCH(576, 輔助計算!$F$2:$F$801, 0)+1)), "")&lt;&gt;"", IFERROR(INDEX(ERP資料!$A:$A, (MATCH(576, 輔助計算!$F$2:$F$801, 0)+1)), "")&lt;&gt;IFERROR(INDEX(ERP資料!$A:$A, MATCH(575, 輔助計算!$F$2:$F$801, 0)+1), "")), INDEX(ERP資料!$S:$S, (MATCH(576, 輔助計算!$F$2:$F$801, 0)+1)), ""), "")</f>
        <v/>
      </c>
      <c r="D577" s="10">
        <f>IFERROR(IF(INDEX(ERP資料!$E:$E, (MATCH(576, 輔助計算!$F$2:$F$801, 0)+1))="","",TRIM(INDEX(ERP資料!$E:$E, (MATCH(576, 輔助計算!$F$2:$F$801, 0)+1)))), "")</f>
        <v/>
      </c>
      <c r="E577" s="10">
        <f>IFERROR(IF(INDEX(ERP資料!$F:$F, (MATCH(576, 輔助計算!$F$2:$F$801, 0)+1))="","",INDEX(ERP資料!$F:$F, (MATCH(576, 輔助計算!$F$2:$F$801, 0)+1))), "")</f>
        <v/>
      </c>
      <c r="F577" s="10">
        <f>IFERROR(IF(INDEX(ERP資料!$G:$G, (MATCH(576, 輔助計算!$F$2:$F$801, 0)+1))="","",INDEX(ERP資料!$G:$G, (MATCH(576, 輔助計算!$F$2:$F$801, 0)+1))), "")</f>
        <v/>
      </c>
      <c r="G577" s="10">
        <f>IFERROR(IF(INDEX(ERP資料!$H:$H, (MATCH(576, 輔助計算!$F$2:$F$801, 0)+1))="","",INDEX(ERP資料!$H:$H, (MATCH(576, 輔助計算!$F$2:$F$801, 0)+1))), "")</f>
        <v/>
      </c>
      <c r="H577" s="10">
        <f>IFERROR(IF(INDEX(ERP資料!$O:$O, (MATCH(576, 輔助計算!$F$2:$F$801, 0)+1))="","",INDEX(ERP資料!$O:$O, (MATCH(576, 輔助計算!$F$2:$F$801, 0)+1))), "")</f>
        <v/>
      </c>
      <c r="I577" s="15">
        <f>IFERROR(IF(INDEX(輔助計算!$D:$D,(MATCH(576, 輔助計算!$F$2:$F$801, 0)+1))="","",INDEX(輔助計算!$D:$D,(MATCH(576, 輔助計算!$F$2:$F$801, 0)+1))*INDEX(ERP資料!$O:$O,(MATCH(576, 輔助計算!$F$2:$F$801, 0)+1))), "")</f>
        <v/>
      </c>
      <c r="J577" s="16" t="n"/>
      <c r="K577" s="15">
        <f>IFERROR(INDEX(輔助計算!$D:$D, (MATCH(576, 輔助計算!$F$2:$F$801, 0)+1)), "")</f>
        <v/>
      </c>
      <c r="L577" s="16">
        <f>IFERROR(IF(AND(IFERROR(VLOOKUP(LEFT(INDEX(ERP資料!$S:$S, (MATCH(576, 輔助計算!$F$2:$F$801, 0)+1)), 4), 100張客戶!$A:$A, 1, FALSE), "")&lt;&gt;"", OR(INDEX(ERP資料!$F:$F, (MATCH(576, 輔助計算!$F$2:$F$801, 0)+1))=270, INDEX(ERP資料!$F:$F, (MATCH(576, 輔助計算!$F$2:$F$801, 0)+1))=300)), "100張", ""), "")</f>
        <v/>
      </c>
      <c r="M577" s="17" t="n"/>
      <c r="N577" s="17">
        <f>IF($F577="","",$F577)</f>
        <v/>
      </c>
      <c r="O577" s="17">
        <f>IF($G577="","",$G577)</f>
        <v/>
      </c>
      <c r="P577" s="17">
        <f>IF($K577="","",$K577)</f>
        <v/>
      </c>
      <c r="Q577" s="16" t="n"/>
      <c r="R577" s="18" t="n"/>
      <c r="S577" s="16" t="n"/>
    </row>
    <row r="578">
      <c r="A578" s="14">
        <f>IFERROR(IF(AND(IFERROR(INDEX(ERP資料!$A:$A, (MATCH(577, 輔助計算!$F$2:$F$801, 0)+1)), "")&lt;&gt;"", IFERROR(INDEX(ERP資料!$A:$A, (MATCH(577, 輔助計算!$F$2:$F$801, 0)+1)), "")&lt;&gt;IFERROR(INDEX(ERP資料!$A:$A, MATCH(576, 輔助計算!$F$2:$F$801, 0)+1), "")), INDEX(ERP資料!$B:$B, (MATCH(577, 輔助計算!$F$2:$F$801, 0)+1)), ""), "")</f>
        <v/>
      </c>
      <c r="B578" s="10">
        <f>IFERROR(IF(AND(IFERROR(INDEX(ERP資料!$A:$A, (MATCH(577, 輔助計算!$F$2:$F$801, 0)+1)), "")&lt;&gt;"", IFERROR(INDEX(ERP資料!$A:$A, (MATCH(577, 輔助計算!$F$2:$F$801, 0)+1)), "")&lt;&gt;IFERROR(INDEX(ERP資料!$A:$A, MATCH(576, 輔助計算!$F$2:$F$801, 0)+1), "")), IFERROR(INDEX(ERP資料!$A:$A, (MATCH(577, 輔助計算!$F$2:$F$801, 0)+1)), ""), ""), "")</f>
        <v/>
      </c>
      <c r="C578" s="10">
        <f>IFERROR(IF(AND(IFERROR(INDEX(ERP資料!$A:$A, (MATCH(577, 輔助計算!$F$2:$F$801, 0)+1)), "")&lt;&gt;"", IFERROR(INDEX(ERP資料!$A:$A, (MATCH(577, 輔助計算!$F$2:$F$801, 0)+1)), "")&lt;&gt;IFERROR(INDEX(ERP資料!$A:$A, MATCH(576, 輔助計算!$F$2:$F$801, 0)+1), "")), INDEX(ERP資料!$S:$S, (MATCH(577, 輔助計算!$F$2:$F$801, 0)+1)), ""), "")</f>
        <v/>
      </c>
      <c r="D578" s="10">
        <f>IFERROR(IF(INDEX(ERP資料!$E:$E, (MATCH(577, 輔助計算!$F$2:$F$801, 0)+1))="","",TRIM(INDEX(ERP資料!$E:$E, (MATCH(577, 輔助計算!$F$2:$F$801, 0)+1)))), "")</f>
        <v/>
      </c>
      <c r="E578" s="10">
        <f>IFERROR(IF(INDEX(ERP資料!$F:$F, (MATCH(577, 輔助計算!$F$2:$F$801, 0)+1))="","",INDEX(ERP資料!$F:$F, (MATCH(577, 輔助計算!$F$2:$F$801, 0)+1))), "")</f>
        <v/>
      </c>
      <c r="F578" s="10">
        <f>IFERROR(IF(INDEX(ERP資料!$G:$G, (MATCH(577, 輔助計算!$F$2:$F$801, 0)+1))="","",INDEX(ERP資料!$G:$G, (MATCH(577, 輔助計算!$F$2:$F$801, 0)+1))), "")</f>
        <v/>
      </c>
      <c r="G578" s="10">
        <f>IFERROR(IF(INDEX(ERP資料!$H:$H, (MATCH(577, 輔助計算!$F$2:$F$801, 0)+1))="","",INDEX(ERP資料!$H:$H, (MATCH(577, 輔助計算!$F$2:$F$801, 0)+1))), "")</f>
        <v/>
      </c>
      <c r="H578" s="10">
        <f>IFERROR(IF(INDEX(ERP資料!$O:$O, (MATCH(577, 輔助計算!$F$2:$F$801, 0)+1))="","",INDEX(ERP資料!$O:$O, (MATCH(577, 輔助計算!$F$2:$F$801, 0)+1))), "")</f>
        <v/>
      </c>
      <c r="I578" s="15">
        <f>IFERROR(IF(INDEX(輔助計算!$D:$D,(MATCH(577, 輔助計算!$F$2:$F$801, 0)+1))="","",INDEX(輔助計算!$D:$D,(MATCH(577, 輔助計算!$F$2:$F$801, 0)+1))*INDEX(ERP資料!$O:$O,(MATCH(577, 輔助計算!$F$2:$F$801, 0)+1))), "")</f>
        <v/>
      </c>
      <c r="J578" s="16" t="n"/>
      <c r="K578" s="15">
        <f>IFERROR(INDEX(輔助計算!$D:$D, (MATCH(577, 輔助計算!$F$2:$F$801, 0)+1)), "")</f>
        <v/>
      </c>
      <c r="L578" s="16">
        <f>IFERROR(IF(AND(IFERROR(VLOOKUP(LEFT(INDEX(ERP資料!$S:$S, (MATCH(577, 輔助計算!$F$2:$F$801, 0)+1)), 4), 100張客戶!$A:$A, 1, FALSE), "")&lt;&gt;"", OR(INDEX(ERP資料!$F:$F, (MATCH(577, 輔助計算!$F$2:$F$801, 0)+1))=270, INDEX(ERP資料!$F:$F, (MATCH(577, 輔助計算!$F$2:$F$801, 0)+1))=300)), "100張", ""), "")</f>
        <v/>
      </c>
      <c r="M578" s="17" t="n"/>
      <c r="N578" s="17">
        <f>IF($F578="","",$F578)</f>
        <v/>
      </c>
      <c r="O578" s="17">
        <f>IF($G578="","",$G578)</f>
        <v/>
      </c>
      <c r="P578" s="17">
        <f>IF($K578="","",$K578)</f>
        <v/>
      </c>
      <c r="Q578" s="16" t="n"/>
      <c r="R578" s="18" t="n"/>
      <c r="S578" s="16" t="n"/>
    </row>
    <row r="579">
      <c r="A579" s="14">
        <f>IFERROR(IF(AND(IFERROR(INDEX(ERP資料!$A:$A, (MATCH(578, 輔助計算!$F$2:$F$801, 0)+1)), "")&lt;&gt;"", IFERROR(INDEX(ERP資料!$A:$A, (MATCH(578, 輔助計算!$F$2:$F$801, 0)+1)), "")&lt;&gt;IFERROR(INDEX(ERP資料!$A:$A, MATCH(577, 輔助計算!$F$2:$F$801, 0)+1), "")), INDEX(ERP資料!$B:$B, (MATCH(578, 輔助計算!$F$2:$F$801, 0)+1)), ""), "")</f>
        <v/>
      </c>
      <c r="B579" s="10">
        <f>IFERROR(IF(AND(IFERROR(INDEX(ERP資料!$A:$A, (MATCH(578, 輔助計算!$F$2:$F$801, 0)+1)), "")&lt;&gt;"", IFERROR(INDEX(ERP資料!$A:$A, (MATCH(578, 輔助計算!$F$2:$F$801, 0)+1)), "")&lt;&gt;IFERROR(INDEX(ERP資料!$A:$A, MATCH(577, 輔助計算!$F$2:$F$801, 0)+1), "")), IFERROR(INDEX(ERP資料!$A:$A, (MATCH(578, 輔助計算!$F$2:$F$801, 0)+1)), ""), ""), "")</f>
        <v/>
      </c>
      <c r="C579" s="10">
        <f>IFERROR(IF(AND(IFERROR(INDEX(ERP資料!$A:$A, (MATCH(578, 輔助計算!$F$2:$F$801, 0)+1)), "")&lt;&gt;"", IFERROR(INDEX(ERP資料!$A:$A, (MATCH(578, 輔助計算!$F$2:$F$801, 0)+1)), "")&lt;&gt;IFERROR(INDEX(ERP資料!$A:$A, MATCH(577, 輔助計算!$F$2:$F$801, 0)+1), "")), INDEX(ERP資料!$S:$S, (MATCH(578, 輔助計算!$F$2:$F$801, 0)+1)), ""), "")</f>
        <v/>
      </c>
      <c r="D579" s="10">
        <f>IFERROR(IF(INDEX(ERP資料!$E:$E, (MATCH(578, 輔助計算!$F$2:$F$801, 0)+1))="","",TRIM(INDEX(ERP資料!$E:$E, (MATCH(578, 輔助計算!$F$2:$F$801, 0)+1)))), "")</f>
        <v/>
      </c>
      <c r="E579" s="10">
        <f>IFERROR(IF(INDEX(ERP資料!$F:$F, (MATCH(578, 輔助計算!$F$2:$F$801, 0)+1))="","",INDEX(ERP資料!$F:$F, (MATCH(578, 輔助計算!$F$2:$F$801, 0)+1))), "")</f>
        <v/>
      </c>
      <c r="F579" s="10">
        <f>IFERROR(IF(INDEX(ERP資料!$G:$G, (MATCH(578, 輔助計算!$F$2:$F$801, 0)+1))="","",INDEX(ERP資料!$G:$G, (MATCH(578, 輔助計算!$F$2:$F$801, 0)+1))), "")</f>
        <v/>
      </c>
      <c r="G579" s="10">
        <f>IFERROR(IF(INDEX(ERP資料!$H:$H, (MATCH(578, 輔助計算!$F$2:$F$801, 0)+1))="","",INDEX(ERP資料!$H:$H, (MATCH(578, 輔助計算!$F$2:$F$801, 0)+1))), "")</f>
        <v/>
      </c>
      <c r="H579" s="10">
        <f>IFERROR(IF(INDEX(ERP資料!$O:$O, (MATCH(578, 輔助計算!$F$2:$F$801, 0)+1))="","",INDEX(ERP資料!$O:$O, (MATCH(578, 輔助計算!$F$2:$F$801, 0)+1))), "")</f>
        <v/>
      </c>
      <c r="I579" s="15">
        <f>IFERROR(IF(INDEX(輔助計算!$D:$D,(MATCH(578, 輔助計算!$F$2:$F$801, 0)+1))="","",INDEX(輔助計算!$D:$D,(MATCH(578, 輔助計算!$F$2:$F$801, 0)+1))*INDEX(ERP資料!$O:$O,(MATCH(578, 輔助計算!$F$2:$F$801, 0)+1))), "")</f>
        <v/>
      </c>
      <c r="J579" s="16" t="n"/>
      <c r="K579" s="15">
        <f>IFERROR(INDEX(輔助計算!$D:$D, (MATCH(578, 輔助計算!$F$2:$F$801, 0)+1)), "")</f>
        <v/>
      </c>
      <c r="L579" s="16">
        <f>IFERROR(IF(AND(IFERROR(VLOOKUP(LEFT(INDEX(ERP資料!$S:$S, (MATCH(578, 輔助計算!$F$2:$F$801, 0)+1)), 4), 100張客戶!$A:$A, 1, FALSE), "")&lt;&gt;"", OR(INDEX(ERP資料!$F:$F, (MATCH(578, 輔助計算!$F$2:$F$801, 0)+1))=270, INDEX(ERP資料!$F:$F, (MATCH(578, 輔助計算!$F$2:$F$801, 0)+1))=300)), "100張", ""), "")</f>
        <v/>
      </c>
      <c r="M579" s="17" t="n"/>
      <c r="N579" s="17">
        <f>IF($F579="","",$F579)</f>
        <v/>
      </c>
      <c r="O579" s="17">
        <f>IF($G579="","",$G579)</f>
        <v/>
      </c>
      <c r="P579" s="17">
        <f>IF($K579="","",$K579)</f>
        <v/>
      </c>
      <c r="Q579" s="16" t="n"/>
      <c r="R579" s="18" t="n"/>
      <c r="S579" s="16" t="n"/>
    </row>
    <row r="580">
      <c r="A580" s="14">
        <f>IFERROR(IF(AND(IFERROR(INDEX(ERP資料!$A:$A, (MATCH(579, 輔助計算!$F$2:$F$801, 0)+1)), "")&lt;&gt;"", IFERROR(INDEX(ERP資料!$A:$A, (MATCH(579, 輔助計算!$F$2:$F$801, 0)+1)), "")&lt;&gt;IFERROR(INDEX(ERP資料!$A:$A, MATCH(578, 輔助計算!$F$2:$F$801, 0)+1), "")), INDEX(ERP資料!$B:$B, (MATCH(579, 輔助計算!$F$2:$F$801, 0)+1)), ""), "")</f>
        <v/>
      </c>
      <c r="B580" s="10">
        <f>IFERROR(IF(AND(IFERROR(INDEX(ERP資料!$A:$A, (MATCH(579, 輔助計算!$F$2:$F$801, 0)+1)), "")&lt;&gt;"", IFERROR(INDEX(ERP資料!$A:$A, (MATCH(579, 輔助計算!$F$2:$F$801, 0)+1)), "")&lt;&gt;IFERROR(INDEX(ERP資料!$A:$A, MATCH(578, 輔助計算!$F$2:$F$801, 0)+1), "")), IFERROR(INDEX(ERP資料!$A:$A, (MATCH(579, 輔助計算!$F$2:$F$801, 0)+1)), ""), ""), "")</f>
        <v/>
      </c>
      <c r="C580" s="10">
        <f>IFERROR(IF(AND(IFERROR(INDEX(ERP資料!$A:$A, (MATCH(579, 輔助計算!$F$2:$F$801, 0)+1)), "")&lt;&gt;"", IFERROR(INDEX(ERP資料!$A:$A, (MATCH(579, 輔助計算!$F$2:$F$801, 0)+1)), "")&lt;&gt;IFERROR(INDEX(ERP資料!$A:$A, MATCH(578, 輔助計算!$F$2:$F$801, 0)+1), "")), INDEX(ERP資料!$S:$S, (MATCH(579, 輔助計算!$F$2:$F$801, 0)+1)), ""), "")</f>
        <v/>
      </c>
      <c r="D580" s="10">
        <f>IFERROR(IF(INDEX(ERP資料!$E:$E, (MATCH(579, 輔助計算!$F$2:$F$801, 0)+1))="","",TRIM(INDEX(ERP資料!$E:$E, (MATCH(579, 輔助計算!$F$2:$F$801, 0)+1)))), "")</f>
        <v/>
      </c>
      <c r="E580" s="10">
        <f>IFERROR(IF(INDEX(ERP資料!$F:$F, (MATCH(579, 輔助計算!$F$2:$F$801, 0)+1))="","",INDEX(ERP資料!$F:$F, (MATCH(579, 輔助計算!$F$2:$F$801, 0)+1))), "")</f>
        <v/>
      </c>
      <c r="F580" s="10">
        <f>IFERROR(IF(INDEX(ERP資料!$G:$G, (MATCH(579, 輔助計算!$F$2:$F$801, 0)+1))="","",INDEX(ERP資料!$G:$G, (MATCH(579, 輔助計算!$F$2:$F$801, 0)+1))), "")</f>
        <v/>
      </c>
      <c r="G580" s="10">
        <f>IFERROR(IF(INDEX(ERP資料!$H:$H, (MATCH(579, 輔助計算!$F$2:$F$801, 0)+1))="","",INDEX(ERP資料!$H:$H, (MATCH(579, 輔助計算!$F$2:$F$801, 0)+1))), "")</f>
        <v/>
      </c>
      <c r="H580" s="10">
        <f>IFERROR(IF(INDEX(ERP資料!$O:$O, (MATCH(579, 輔助計算!$F$2:$F$801, 0)+1))="","",INDEX(ERP資料!$O:$O, (MATCH(579, 輔助計算!$F$2:$F$801, 0)+1))), "")</f>
        <v/>
      </c>
      <c r="I580" s="15">
        <f>IFERROR(IF(INDEX(輔助計算!$D:$D,(MATCH(579, 輔助計算!$F$2:$F$801, 0)+1))="","",INDEX(輔助計算!$D:$D,(MATCH(579, 輔助計算!$F$2:$F$801, 0)+1))*INDEX(ERP資料!$O:$O,(MATCH(579, 輔助計算!$F$2:$F$801, 0)+1))), "")</f>
        <v/>
      </c>
      <c r="J580" s="16" t="n"/>
      <c r="K580" s="15">
        <f>IFERROR(INDEX(輔助計算!$D:$D, (MATCH(579, 輔助計算!$F$2:$F$801, 0)+1)), "")</f>
        <v/>
      </c>
      <c r="L580" s="16">
        <f>IFERROR(IF(AND(IFERROR(VLOOKUP(LEFT(INDEX(ERP資料!$S:$S, (MATCH(579, 輔助計算!$F$2:$F$801, 0)+1)), 4), 100張客戶!$A:$A, 1, FALSE), "")&lt;&gt;"", OR(INDEX(ERP資料!$F:$F, (MATCH(579, 輔助計算!$F$2:$F$801, 0)+1))=270, INDEX(ERP資料!$F:$F, (MATCH(579, 輔助計算!$F$2:$F$801, 0)+1))=300)), "100張", ""), "")</f>
        <v/>
      </c>
      <c r="M580" s="17" t="n"/>
      <c r="N580" s="17">
        <f>IF($F580="","",$F580)</f>
        <v/>
      </c>
      <c r="O580" s="17">
        <f>IF($G580="","",$G580)</f>
        <v/>
      </c>
      <c r="P580" s="17">
        <f>IF($K580="","",$K580)</f>
        <v/>
      </c>
      <c r="Q580" s="16" t="n"/>
      <c r="R580" s="18" t="n"/>
      <c r="S580" s="16" t="n"/>
    </row>
    <row r="581">
      <c r="A581" s="14">
        <f>IFERROR(IF(AND(IFERROR(INDEX(ERP資料!$A:$A, (MATCH(580, 輔助計算!$F$2:$F$801, 0)+1)), "")&lt;&gt;"", IFERROR(INDEX(ERP資料!$A:$A, (MATCH(580, 輔助計算!$F$2:$F$801, 0)+1)), "")&lt;&gt;IFERROR(INDEX(ERP資料!$A:$A, MATCH(579, 輔助計算!$F$2:$F$801, 0)+1), "")), INDEX(ERP資料!$B:$B, (MATCH(580, 輔助計算!$F$2:$F$801, 0)+1)), ""), "")</f>
        <v/>
      </c>
      <c r="B581" s="10">
        <f>IFERROR(IF(AND(IFERROR(INDEX(ERP資料!$A:$A, (MATCH(580, 輔助計算!$F$2:$F$801, 0)+1)), "")&lt;&gt;"", IFERROR(INDEX(ERP資料!$A:$A, (MATCH(580, 輔助計算!$F$2:$F$801, 0)+1)), "")&lt;&gt;IFERROR(INDEX(ERP資料!$A:$A, MATCH(579, 輔助計算!$F$2:$F$801, 0)+1), "")), IFERROR(INDEX(ERP資料!$A:$A, (MATCH(580, 輔助計算!$F$2:$F$801, 0)+1)), ""), ""), "")</f>
        <v/>
      </c>
      <c r="C581" s="10">
        <f>IFERROR(IF(AND(IFERROR(INDEX(ERP資料!$A:$A, (MATCH(580, 輔助計算!$F$2:$F$801, 0)+1)), "")&lt;&gt;"", IFERROR(INDEX(ERP資料!$A:$A, (MATCH(580, 輔助計算!$F$2:$F$801, 0)+1)), "")&lt;&gt;IFERROR(INDEX(ERP資料!$A:$A, MATCH(579, 輔助計算!$F$2:$F$801, 0)+1), "")), INDEX(ERP資料!$S:$S, (MATCH(580, 輔助計算!$F$2:$F$801, 0)+1)), ""), "")</f>
        <v/>
      </c>
      <c r="D581" s="10">
        <f>IFERROR(IF(INDEX(ERP資料!$E:$E, (MATCH(580, 輔助計算!$F$2:$F$801, 0)+1))="","",TRIM(INDEX(ERP資料!$E:$E, (MATCH(580, 輔助計算!$F$2:$F$801, 0)+1)))), "")</f>
        <v/>
      </c>
      <c r="E581" s="10">
        <f>IFERROR(IF(INDEX(ERP資料!$F:$F, (MATCH(580, 輔助計算!$F$2:$F$801, 0)+1))="","",INDEX(ERP資料!$F:$F, (MATCH(580, 輔助計算!$F$2:$F$801, 0)+1))), "")</f>
        <v/>
      </c>
      <c r="F581" s="10">
        <f>IFERROR(IF(INDEX(ERP資料!$G:$G, (MATCH(580, 輔助計算!$F$2:$F$801, 0)+1))="","",INDEX(ERP資料!$G:$G, (MATCH(580, 輔助計算!$F$2:$F$801, 0)+1))), "")</f>
        <v/>
      </c>
      <c r="G581" s="10">
        <f>IFERROR(IF(INDEX(ERP資料!$H:$H, (MATCH(580, 輔助計算!$F$2:$F$801, 0)+1))="","",INDEX(ERP資料!$H:$H, (MATCH(580, 輔助計算!$F$2:$F$801, 0)+1))), "")</f>
        <v/>
      </c>
      <c r="H581" s="10">
        <f>IFERROR(IF(INDEX(ERP資料!$O:$O, (MATCH(580, 輔助計算!$F$2:$F$801, 0)+1))="","",INDEX(ERP資料!$O:$O, (MATCH(580, 輔助計算!$F$2:$F$801, 0)+1))), "")</f>
        <v/>
      </c>
      <c r="I581" s="15">
        <f>IFERROR(IF(INDEX(輔助計算!$D:$D,(MATCH(580, 輔助計算!$F$2:$F$801, 0)+1))="","",INDEX(輔助計算!$D:$D,(MATCH(580, 輔助計算!$F$2:$F$801, 0)+1))*INDEX(ERP資料!$O:$O,(MATCH(580, 輔助計算!$F$2:$F$801, 0)+1))), "")</f>
        <v/>
      </c>
      <c r="J581" s="16" t="n"/>
      <c r="K581" s="15">
        <f>IFERROR(INDEX(輔助計算!$D:$D, (MATCH(580, 輔助計算!$F$2:$F$801, 0)+1)), "")</f>
        <v/>
      </c>
      <c r="L581" s="16">
        <f>IFERROR(IF(AND(IFERROR(VLOOKUP(LEFT(INDEX(ERP資料!$S:$S, (MATCH(580, 輔助計算!$F$2:$F$801, 0)+1)), 4), 100張客戶!$A:$A, 1, FALSE), "")&lt;&gt;"", OR(INDEX(ERP資料!$F:$F, (MATCH(580, 輔助計算!$F$2:$F$801, 0)+1))=270, INDEX(ERP資料!$F:$F, (MATCH(580, 輔助計算!$F$2:$F$801, 0)+1))=300)), "100張", ""), "")</f>
        <v/>
      </c>
      <c r="M581" s="17" t="n"/>
      <c r="N581" s="17">
        <f>IF($F581="","",$F581)</f>
        <v/>
      </c>
      <c r="O581" s="17">
        <f>IF($G581="","",$G581)</f>
        <v/>
      </c>
      <c r="P581" s="17">
        <f>IF($K581="","",$K581)</f>
        <v/>
      </c>
      <c r="Q581" s="16" t="n"/>
      <c r="R581" s="18" t="n"/>
      <c r="S581" s="16" t="n"/>
    </row>
    <row r="582">
      <c r="A582" s="14">
        <f>IFERROR(IF(AND(IFERROR(INDEX(ERP資料!$A:$A, (MATCH(581, 輔助計算!$F$2:$F$801, 0)+1)), "")&lt;&gt;"", IFERROR(INDEX(ERP資料!$A:$A, (MATCH(581, 輔助計算!$F$2:$F$801, 0)+1)), "")&lt;&gt;IFERROR(INDEX(ERP資料!$A:$A, MATCH(580, 輔助計算!$F$2:$F$801, 0)+1), "")), INDEX(ERP資料!$B:$B, (MATCH(581, 輔助計算!$F$2:$F$801, 0)+1)), ""), "")</f>
        <v/>
      </c>
      <c r="B582" s="10">
        <f>IFERROR(IF(AND(IFERROR(INDEX(ERP資料!$A:$A, (MATCH(581, 輔助計算!$F$2:$F$801, 0)+1)), "")&lt;&gt;"", IFERROR(INDEX(ERP資料!$A:$A, (MATCH(581, 輔助計算!$F$2:$F$801, 0)+1)), "")&lt;&gt;IFERROR(INDEX(ERP資料!$A:$A, MATCH(580, 輔助計算!$F$2:$F$801, 0)+1), "")), IFERROR(INDEX(ERP資料!$A:$A, (MATCH(581, 輔助計算!$F$2:$F$801, 0)+1)), ""), ""), "")</f>
        <v/>
      </c>
      <c r="C582" s="10">
        <f>IFERROR(IF(AND(IFERROR(INDEX(ERP資料!$A:$A, (MATCH(581, 輔助計算!$F$2:$F$801, 0)+1)), "")&lt;&gt;"", IFERROR(INDEX(ERP資料!$A:$A, (MATCH(581, 輔助計算!$F$2:$F$801, 0)+1)), "")&lt;&gt;IFERROR(INDEX(ERP資料!$A:$A, MATCH(580, 輔助計算!$F$2:$F$801, 0)+1), "")), INDEX(ERP資料!$S:$S, (MATCH(581, 輔助計算!$F$2:$F$801, 0)+1)), ""), "")</f>
        <v/>
      </c>
      <c r="D582" s="10">
        <f>IFERROR(IF(INDEX(ERP資料!$E:$E, (MATCH(581, 輔助計算!$F$2:$F$801, 0)+1))="","",TRIM(INDEX(ERP資料!$E:$E, (MATCH(581, 輔助計算!$F$2:$F$801, 0)+1)))), "")</f>
        <v/>
      </c>
      <c r="E582" s="10">
        <f>IFERROR(IF(INDEX(ERP資料!$F:$F, (MATCH(581, 輔助計算!$F$2:$F$801, 0)+1))="","",INDEX(ERP資料!$F:$F, (MATCH(581, 輔助計算!$F$2:$F$801, 0)+1))), "")</f>
        <v/>
      </c>
      <c r="F582" s="10">
        <f>IFERROR(IF(INDEX(ERP資料!$G:$G, (MATCH(581, 輔助計算!$F$2:$F$801, 0)+1))="","",INDEX(ERP資料!$G:$G, (MATCH(581, 輔助計算!$F$2:$F$801, 0)+1))), "")</f>
        <v/>
      </c>
      <c r="G582" s="10">
        <f>IFERROR(IF(INDEX(ERP資料!$H:$H, (MATCH(581, 輔助計算!$F$2:$F$801, 0)+1))="","",INDEX(ERP資料!$H:$H, (MATCH(581, 輔助計算!$F$2:$F$801, 0)+1))), "")</f>
        <v/>
      </c>
      <c r="H582" s="10">
        <f>IFERROR(IF(INDEX(ERP資料!$O:$O, (MATCH(581, 輔助計算!$F$2:$F$801, 0)+1))="","",INDEX(ERP資料!$O:$O, (MATCH(581, 輔助計算!$F$2:$F$801, 0)+1))), "")</f>
        <v/>
      </c>
      <c r="I582" s="15">
        <f>IFERROR(IF(INDEX(輔助計算!$D:$D,(MATCH(581, 輔助計算!$F$2:$F$801, 0)+1))="","",INDEX(輔助計算!$D:$D,(MATCH(581, 輔助計算!$F$2:$F$801, 0)+1))*INDEX(ERP資料!$O:$O,(MATCH(581, 輔助計算!$F$2:$F$801, 0)+1))), "")</f>
        <v/>
      </c>
      <c r="J582" s="16" t="n"/>
      <c r="K582" s="15">
        <f>IFERROR(INDEX(輔助計算!$D:$D, (MATCH(581, 輔助計算!$F$2:$F$801, 0)+1)), "")</f>
        <v/>
      </c>
      <c r="L582" s="16">
        <f>IFERROR(IF(AND(IFERROR(VLOOKUP(LEFT(INDEX(ERP資料!$S:$S, (MATCH(581, 輔助計算!$F$2:$F$801, 0)+1)), 4), 100張客戶!$A:$A, 1, FALSE), "")&lt;&gt;"", OR(INDEX(ERP資料!$F:$F, (MATCH(581, 輔助計算!$F$2:$F$801, 0)+1))=270, INDEX(ERP資料!$F:$F, (MATCH(581, 輔助計算!$F$2:$F$801, 0)+1))=300)), "100張", ""), "")</f>
        <v/>
      </c>
      <c r="M582" s="17" t="n"/>
      <c r="N582" s="17">
        <f>IF($F582="","",$F582)</f>
        <v/>
      </c>
      <c r="O582" s="17">
        <f>IF($G582="","",$G582)</f>
        <v/>
      </c>
      <c r="P582" s="17">
        <f>IF($K582="","",$K582)</f>
        <v/>
      </c>
      <c r="Q582" s="16" t="n"/>
      <c r="R582" s="18" t="n"/>
      <c r="S582" s="16" t="n"/>
    </row>
    <row r="583">
      <c r="A583" s="14">
        <f>IFERROR(IF(AND(IFERROR(INDEX(ERP資料!$A:$A, (MATCH(582, 輔助計算!$F$2:$F$801, 0)+1)), "")&lt;&gt;"", IFERROR(INDEX(ERP資料!$A:$A, (MATCH(582, 輔助計算!$F$2:$F$801, 0)+1)), "")&lt;&gt;IFERROR(INDEX(ERP資料!$A:$A, MATCH(581, 輔助計算!$F$2:$F$801, 0)+1), "")), INDEX(ERP資料!$B:$B, (MATCH(582, 輔助計算!$F$2:$F$801, 0)+1)), ""), "")</f>
        <v/>
      </c>
      <c r="B583" s="10">
        <f>IFERROR(IF(AND(IFERROR(INDEX(ERP資料!$A:$A, (MATCH(582, 輔助計算!$F$2:$F$801, 0)+1)), "")&lt;&gt;"", IFERROR(INDEX(ERP資料!$A:$A, (MATCH(582, 輔助計算!$F$2:$F$801, 0)+1)), "")&lt;&gt;IFERROR(INDEX(ERP資料!$A:$A, MATCH(581, 輔助計算!$F$2:$F$801, 0)+1), "")), IFERROR(INDEX(ERP資料!$A:$A, (MATCH(582, 輔助計算!$F$2:$F$801, 0)+1)), ""), ""), "")</f>
        <v/>
      </c>
      <c r="C583" s="10">
        <f>IFERROR(IF(AND(IFERROR(INDEX(ERP資料!$A:$A, (MATCH(582, 輔助計算!$F$2:$F$801, 0)+1)), "")&lt;&gt;"", IFERROR(INDEX(ERP資料!$A:$A, (MATCH(582, 輔助計算!$F$2:$F$801, 0)+1)), "")&lt;&gt;IFERROR(INDEX(ERP資料!$A:$A, MATCH(581, 輔助計算!$F$2:$F$801, 0)+1), "")), INDEX(ERP資料!$S:$S, (MATCH(582, 輔助計算!$F$2:$F$801, 0)+1)), ""), "")</f>
        <v/>
      </c>
      <c r="D583" s="10">
        <f>IFERROR(IF(INDEX(ERP資料!$E:$E, (MATCH(582, 輔助計算!$F$2:$F$801, 0)+1))="","",TRIM(INDEX(ERP資料!$E:$E, (MATCH(582, 輔助計算!$F$2:$F$801, 0)+1)))), "")</f>
        <v/>
      </c>
      <c r="E583" s="10">
        <f>IFERROR(IF(INDEX(ERP資料!$F:$F, (MATCH(582, 輔助計算!$F$2:$F$801, 0)+1))="","",INDEX(ERP資料!$F:$F, (MATCH(582, 輔助計算!$F$2:$F$801, 0)+1))), "")</f>
        <v/>
      </c>
      <c r="F583" s="10">
        <f>IFERROR(IF(INDEX(ERP資料!$G:$G, (MATCH(582, 輔助計算!$F$2:$F$801, 0)+1))="","",INDEX(ERP資料!$G:$G, (MATCH(582, 輔助計算!$F$2:$F$801, 0)+1))), "")</f>
        <v/>
      </c>
      <c r="G583" s="10">
        <f>IFERROR(IF(INDEX(ERP資料!$H:$H, (MATCH(582, 輔助計算!$F$2:$F$801, 0)+1))="","",INDEX(ERP資料!$H:$H, (MATCH(582, 輔助計算!$F$2:$F$801, 0)+1))), "")</f>
        <v/>
      </c>
      <c r="H583" s="10">
        <f>IFERROR(IF(INDEX(ERP資料!$O:$O, (MATCH(582, 輔助計算!$F$2:$F$801, 0)+1))="","",INDEX(ERP資料!$O:$O, (MATCH(582, 輔助計算!$F$2:$F$801, 0)+1))), "")</f>
        <v/>
      </c>
      <c r="I583" s="15">
        <f>IFERROR(IF(INDEX(輔助計算!$D:$D,(MATCH(582, 輔助計算!$F$2:$F$801, 0)+1))="","",INDEX(輔助計算!$D:$D,(MATCH(582, 輔助計算!$F$2:$F$801, 0)+1))*INDEX(ERP資料!$O:$O,(MATCH(582, 輔助計算!$F$2:$F$801, 0)+1))), "")</f>
        <v/>
      </c>
      <c r="J583" s="16" t="n"/>
      <c r="K583" s="15">
        <f>IFERROR(INDEX(輔助計算!$D:$D, (MATCH(582, 輔助計算!$F$2:$F$801, 0)+1)), "")</f>
        <v/>
      </c>
      <c r="L583" s="16">
        <f>IFERROR(IF(AND(IFERROR(VLOOKUP(LEFT(INDEX(ERP資料!$S:$S, (MATCH(582, 輔助計算!$F$2:$F$801, 0)+1)), 4), 100張客戶!$A:$A, 1, FALSE), "")&lt;&gt;"", OR(INDEX(ERP資料!$F:$F, (MATCH(582, 輔助計算!$F$2:$F$801, 0)+1))=270, INDEX(ERP資料!$F:$F, (MATCH(582, 輔助計算!$F$2:$F$801, 0)+1))=300)), "100張", ""), "")</f>
        <v/>
      </c>
      <c r="M583" s="17" t="n"/>
      <c r="N583" s="17">
        <f>IF($F583="","",$F583)</f>
        <v/>
      </c>
      <c r="O583" s="17">
        <f>IF($G583="","",$G583)</f>
        <v/>
      </c>
      <c r="P583" s="17">
        <f>IF($K583="","",$K583)</f>
        <v/>
      </c>
      <c r="Q583" s="16" t="n"/>
      <c r="R583" s="18" t="n"/>
      <c r="S583" s="16" t="n"/>
    </row>
    <row r="584">
      <c r="A584" s="14">
        <f>IFERROR(IF(AND(IFERROR(INDEX(ERP資料!$A:$A, (MATCH(583, 輔助計算!$F$2:$F$801, 0)+1)), "")&lt;&gt;"", IFERROR(INDEX(ERP資料!$A:$A, (MATCH(583, 輔助計算!$F$2:$F$801, 0)+1)), "")&lt;&gt;IFERROR(INDEX(ERP資料!$A:$A, MATCH(582, 輔助計算!$F$2:$F$801, 0)+1), "")), INDEX(ERP資料!$B:$B, (MATCH(583, 輔助計算!$F$2:$F$801, 0)+1)), ""), "")</f>
        <v/>
      </c>
      <c r="B584" s="10">
        <f>IFERROR(IF(AND(IFERROR(INDEX(ERP資料!$A:$A, (MATCH(583, 輔助計算!$F$2:$F$801, 0)+1)), "")&lt;&gt;"", IFERROR(INDEX(ERP資料!$A:$A, (MATCH(583, 輔助計算!$F$2:$F$801, 0)+1)), "")&lt;&gt;IFERROR(INDEX(ERP資料!$A:$A, MATCH(582, 輔助計算!$F$2:$F$801, 0)+1), "")), IFERROR(INDEX(ERP資料!$A:$A, (MATCH(583, 輔助計算!$F$2:$F$801, 0)+1)), ""), ""), "")</f>
        <v/>
      </c>
      <c r="C584" s="10">
        <f>IFERROR(IF(AND(IFERROR(INDEX(ERP資料!$A:$A, (MATCH(583, 輔助計算!$F$2:$F$801, 0)+1)), "")&lt;&gt;"", IFERROR(INDEX(ERP資料!$A:$A, (MATCH(583, 輔助計算!$F$2:$F$801, 0)+1)), "")&lt;&gt;IFERROR(INDEX(ERP資料!$A:$A, MATCH(582, 輔助計算!$F$2:$F$801, 0)+1), "")), INDEX(ERP資料!$S:$S, (MATCH(583, 輔助計算!$F$2:$F$801, 0)+1)), ""), "")</f>
        <v/>
      </c>
      <c r="D584" s="10">
        <f>IFERROR(IF(INDEX(ERP資料!$E:$E, (MATCH(583, 輔助計算!$F$2:$F$801, 0)+1))="","",TRIM(INDEX(ERP資料!$E:$E, (MATCH(583, 輔助計算!$F$2:$F$801, 0)+1)))), "")</f>
        <v/>
      </c>
      <c r="E584" s="10">
        <f>IFERROR(IF(INDEX(ERP資料!$F:$F, (MATCH(583, 輔助計算!$F$2:$F$801, 0)+1))="","",INDEX(ERP資料!$F:$F, (MATCH(583, 輔助計算!$F$2:$F$801, 0)+1))), "")</f>
        <v/>
      </c>
      <c r="F584" s="10">
        <f>IFERROR(IF(INDEX(ERP資料!$G:$G, (MATCH(583, 輔助計算!$F$2:$F$801, 0)+1))="","",INDEX(ERP資料!$G:$G, (MATCH(583, 輔助計算!$F$2:$F$801, 0)+1))), "")</f>
        <v/>
      </c>
      <c r="G584" s="10">
        <f>IFERROR(IF(INDEX(ERP資料!$H:$H, (MATCH(583, 輔助計算!$F$2:$F$801, 0)+1))="","",INDEX(ERP資料!$H:$H, (MATCH(583, 輔助計算!$F$2:$F$801, 0)+1))), "")</f>
        <v/>
      </c>
      <c r="H584" s="10">
        <f>IFERROR(IF(INDEX(ERP資料!$O:$O, (MATCH(583, 輔助計算!$F$2:$F$801, 0)+1))="","",INDEX(ERP資料!$O:$O, (MATCH(583, 輔助計算!$F$2:$F$801, 0)+1))), "")</f>
        <v/>
      </c>
      <c r="I584" s="15">
        <f>IFERROR(IF(INDEX(輔助計算!$D:$D,(MATCH(583, 輔助計算!$F$2:$F$801, 0)+1))="","",INDEX(輔助計算!$D:$D,(MATCH(583, 輔助計算!$F$2:$F$801, 0)+1))*INDEX(ERP資料!$O:$O,(MATCH(583, 輔助計算!$F$2:$F$801, 0)+1))), "")</f>
        <v/>
      </c>
      <c r="J584" s="16" t="n"/>
      <c r="K584" s="15">
        <f>IFERROR(INDEX(輔助計算!$D:$D, (MATCH(583, 輔助計算!$F$2:$F$801, 0)+1)), "")</f>
        <v/>
      </c>
      <c r="L584" s="16">
        <f>IFERROR(IF(AND(IFERROR(VLOOKUP(LEFT(INDEX(ERP資料!$S:$S, (MATCH(583, 輔助計算!$F$2:$F$801, 0)+1)), 4), 100張客戶!$A:$A, 1, FALSE), "")&lt;&gt;"", OR(INDEX(ERP資料!$F:$F, (MATCH(583, 輔助計算!$F$2:$F$801, 0)+1))=270, INDEX(ERP資料!$F:$F, (MATCH(583, 輔助計算!$F$2:$F$801, 0)+1))=300)), "100張", ""), "")</f>
        <v/>
      </c>
      <c r="M584" s="17" t="n"/>
      <c r="N584" s="17">
        <f>IF($F584="","",$F584)</f>
        <v/>
      </c>
      <c r="O584" s="17">
        <f>IF($G584="","",$G584)</f>
        <v/>
      </c>
      <c r="P584" s="17">
        <f>IF($K584="","",$K584)</f>
        <v/>
      </c>
      <c r="Q584" s="16" t="n"/>
      <c r="R584" s="18" t="n"/>
      <c r="S584" s="16" t="n"/>
    </row>
    <row r="585">
      <c r="A585" s="14">
        <f>IFERROR(IF(AND(IFERROR(INDEX(ERP資料!$A:$A, (MATCH(584, 輔助計算!$F$2:$F$801, 0)+1)), "")&lt;&gt;"", IFERROR(INDEX(ERP資料!$A:$A, (MATCH(584, 輔助計算!$F$2:$F$801, 0)+1)), "")&lt;&gt;IFERROR(INDEX(ERP資料!$A:$A, MATCH(583, 輔助計算!$F$2:$F$801, 0)+1), "")), INDEX(ERP資料!$B:$B, (MATCH(584, 輔助計算!$F$2:$F$801, 0)+1)), ""), "")</f>
        <v/>
      </c>
      <c r="B585" s="10">
        <f>IFERROR(IF(AND(IFERROR(INDEX(ERP資料!$A:$A, (MATCH(584, 輔助計算!$F$2:$F$801, 0)+1)), "")&lt;&gt;"", IFERROR(INDEX(ERP資料!$A:$A, (MATCH(584, 輔助計算!$F$2:$F$801, 0)+1)), "")&lt;&gt;IFERROR(INDEX(ERP資料!$A:$A, MATCH(583, 輔助計算!$F$2:$F$801, 0)+1), "")), IFERROR(INDEX(ERP資料!$A:$A, (MATCH(584, 輔助計算!$F$2:$F$801, 0)+1)), ""), ""), "")</f>
        <v/>
      </c>
      <c r="C585" s="10">
        <f>IFERROR(IF(AND(IFERROR(INDEX(ERP資料!$A:$A, (MATCH(584, 輔助計算!$F$2:$F$801, 0)+1)), "")&lt;&gt;"", IFERROR(INDEX(ERP資料!$A:$A, (MATCH(584, 輔助計算!$F$2:$F$801, 0)+1)), "")&lt;&gt;IFERROR(INDEX(ERP資料!$A:$A, MATCH(583, 輔助計算!$F$2:$F$801, 0)+1), "")), INDEX(ERP資料!$S:$S, (MATCH(584, 輔助計算!$F$2:$F$801, 0)+1)), ""), "")</f>
        <v/>
      </c>
      <c r="D585" s="10">
        <f>IFERROR(IF(INDEX(ERP資料!$E:$E, (MATCH(584, 輔助計算!$F$2:$F$801, 0)+1))="","",TRIM(INDEX(ERP資料!$E:$E, (MATCH(584, 輔助計算!$F$2:$F$801, 0)+1)))), "")</f>
        <v/>
      </c>
      <c r="E585" s="10">
        <f>IFERROR(IF(INDEX(ERP資料!$F:$F, (MATCH(584, 輔助計算!$F$2:$F$801, 0)+1))="","",INDEX(ERP資料!$F:$F, (MATCH(584, 輔助計算!$F$2:$F$801, 0)+1))), "")</f>
        <v/>
      </c>
      <c r="F585" s="10">
        <f>IFERROR(IF(INDEX(ERP資料!$G:$G, (MATCH(584, 輔助計算!$F$2:$F$801, 0)+1))="","",INDEX(ERP資料!$G:$G, (MATCH(584, 輔助計算!$F$2:$F$801, 0)+1))), "")</f>
        <v/>
      </c>
      <c r="G585" s="10">
        <f>IFERROR(IF(INDEX(ERP資料!$H:$H, (MATCH(584, 輔助計算!$F$2:$F$801, 0)+1))="","",INDEX(ERP資料!$H:$H, (MATCH(584, 輔助計算!$F$2:$F$801, 0)+1))), "")</f>
        <v/>
      </c>
      <c r="H585" s="10">
        <f>IFERROR(IF(INDEX(ERP資料!$O:$O, (MATCH(584, 輔助計算!$F$2:$F$801, 0)+1))="","",INDEX(ERP資料!$O:$O, (MATCH(584, 輔助計算!$F$2:$F$801, 0)+1))), "")</f>
        <v/>
      </c>
      <c r="I585" s="15">
        <f>IFERROR(IF(INDEX(輔助計算!$D:$D,(MATCH(584, 輔助計算!$F$2:$F$801, 0)+1))="","",INDEX(輔助計算!$D:$D,(MATCH(584, 輔助計算!$F$2:$F$801, 0)+1))*INDEX(ERP資料!$O:$O,(MATCH(584, 輔助計算!$F$2:$F$801, 0)+1))), "")</f>
        <v/>
      </c>
      <c r="J585" s="16" t="n"/>
      <c r="K585" s="15">
        <f>IFERROR(INDEX(輔助計算!$D:$D, (MATCH(584, 輔助計算!$F$2:$F$801, 0)+1)), "")</f>
        <v/>
      </c>
      <c r="L585" s="16">
        <f>IFERROR(IF(AND(IFERROR(VLOOKUP(LEFT(INDEX(ERP資料!$S:$S, (MATCH(584, 輔助計算!$F$2:$F$801, 0)+1)), 4), 100張客戶!$A:$A, 1, FALSE), "")&lt;&gt;"", OR(INDEX(ERP資料!$F:$F, (MATCH(584, 輔助計算!$F$2:$F$801, 0)+1))=270, INDEX(ERP資料!$F:$F, (MATCH(584, 輔助計算!$F$2:$F$801, 0)+1))=300)), "100張", ""), "")</f>
        <v/>
      </c>
      <c r="M585" s="17" t="n"/>
      <c r="N585" s="17">
        <f>IF($F585="","",$F585)</f>
        <v/>
      </c>
      <c r="O585" s="17">
        <f>IF($G585="","",$G585)</f>
        <v/>
      </c>
      <c r="P585" s="17">
        <f>IF($K585="","",$K585)</f>
        <v/>
      </c>
      <c r="Q585" s="16" t="n"/>
      <c r="R585" s="18" t="n"/>
      <c r="S585" s="16" t="n"/>
    </row>
    <row r="586">
      <c r="A586" s="14">
        <f>IFERROR(IF(AND(IFERROR(INDEX(ERP資料!$A:$A, (MATCH(585, 輔助計算!$F$2:$F$801, 0)+1)), "")&lt;&gt;"", IFERROR(INDEX(ERP資料!$A:$A, (MATCH(585, 輔助計算!$F$2:$F$801, 0)+1)), "")&lt;&gt;IFERROR(INDEX(ERP資料!$A:$A, MATCH(584, 輔助計算!$F$2:$F$801, 0)+1), "")), INDEX(ERP資料!$B:$B, (MATCH(585, 輔助計算!$F$2:$F$801, 0)+1)), ""), "")</f>
        <v/>
      </c>
      <c r="B586" s="10">
        <f>IFERROR(IF(AND(IFERROR(INDEX(ERP資料!$A:$A, (MATCH(585, 輔助計算!$F$2:$F$801, 0)+1)), "")&lt;&gt;"", IFERROR(INDEX(ERP資料!$A:$A, (MATCH(585, 輔助計算!$F$2:$F$801, 0)+1)), "")&lt;&gt;IFERROR(INDEX(ERP資料!$A:$A, MATCH(584, 輔助計算!$F$2:$F$801, 0)+1), "")), IFERROR(INDEX(ERP資料!$A:$A, (MATCH(585, 輔助計算!$F$2:$F$801, 0)+1)), ""), ""), "")</f>
        <v/>
      </c>
      <c r="C586" s="10">
        <f>IFERROR(IF(AND(IFERROR(INDEX(ERP資料!$A:$A, (MATCH(585, 輔助計算!$F$2:$F$801, 0)+1)), "")&lt;&gt;"", IFERROR(INDEX(ERP資料!$A:$A, (MATCH(585, 輔助計算!$F$2:$F$801, 0)+1)), "")&lt;&gt;IFERROR(INDEX(ERP資料!$A:$A, MATCH(584, 輔助計算!$F$2:$F$801, 0)+1), "")), INDEX(ERP資料!$S:$S, (MATCH(585, 輔助計算!$F$2:$F$801, 0)+1)), ""), "")</f>
        <v/>
      </c>
      <c r="D586" s="10">
        <f>IFERROR(IF(INDEX(ERP資料!$E:$E, (MATCH(585, 輔助計算!$F$2:$F$801, 0)+1))="","",TRIM(INDEX(ERP資料!$E:$E, (MATCH(585, 輔助計算!$F$2:$F$801, 0)+1)))), "")</f>
        <v/>
      </c>
      <c r="E586" s="10">
        <f>IFERROR(IF(INDEX(ERP資料!$F:$F, (MATCH(585, 輔助計算!$F$2:$F$801, 0)+1))="","",INDEX(ERP資料!$F:$F, (MATCH(585, 輔助計算!$F$2:$F$801, 0)+1))), "")</f>
        <v/>
      </c>
      <c r="F586" s="10">
        <f>IFERROR(IF(INDEX(ERP資料!$G:$G, (MATCH(585, 輔助計算!$F$2:$F$801, 0)+1))="","",INDEX(ERP資料!$G:$G, (MATCH(585, 輔助計算!$F$2:$F$801, 0)+1))), "")</f>
        <v/>
      </c>
      <c r="G586" s="10">
        <f>IFERROR(IF(INDEX(ERP資料!$H:$H, (MATCH(585, 輔助計算!$F$2:$F$801, 0)+1))="","",INDEX(ERP資料!$H:$H, (MATCH(585, 輔助計算!$F$2:$F$801, 0)+1))), "")</f>
        <v/>
      </c>
      <c r="H586" s="10">
        <f>IFERROR(IF(INDEX(ERP資料!$O:$O, (MATCH(585, 輔助計算!$F$2:$F$801, 0)+1))="","",INDEX(ERP資料!$O:$O, (MATCH(585, 輔助計算!$F$2:$F$801, 0)+1))), "")</f>
        <v/>
      </c>
      <c r="I586" s="15">
        <f>IFERROR(IF(INDEX(輔助計算!$D:$D,(MATCH(585, 輔助計算!$F$2:$F$801, 0)+1))="","",INDEX(輔助計算!$D:$D,(MATCH(585, 輔助計算!$F$2:$F$801, 0)+1))*INDEX(ERP資料!$O:$O,(MATCH(585, 輔助計算!$F$2:$F$801, 0)+1))), "")</f>
        <v/>
      </c>
      <c r="J586" s="16" t="n"/>
      <c r="K586" s="15">
        <f>IFERROR(INDEX(輔助計算!$D:$D, (MATCH(585, 輔助計算!$F$2:$F$801, 0)+1)), "")</f>
        <v/>
      </c>
      <c r="L586" s="16">
        <f>IFERROR(IF(AND(IFERROR(VLOOKUP(LEFT(INDEX(ERP資料!$S:$S, (MATCH(585, 輔助計算!$F$2:$F$801, 0)+1)), 4), 100張客戶!$A:$A, 1, FALSE), "")&lt;&gt;"", OR(INDEX(ERP資料!$F:$F, (MATCH(585, 輔助計算!$F$2:$F$801, 0)+1))=270, INDEX(ERP資料!$F:$F, (MATCH(585, 輔助計算!$F$2:$F$801, 0)+1))=300)), "100張", ""), "")</f>
        <v/>
      </c>
      <c r="M586" s="17" t="n"/>
      <c r="N586" s="17">
        <f>IF($F586="","",$F586)</f>
        <v/>
      </c>
      <c r="O586" s="17">
        <f>IF($G586="","",$G586)</f>
        <v/>
      </c>
      <c r="P586" s="17">
        <f>IF($K586="","",$K586)</f>
        <v/>
      </c>
      <c r="Q586" s="16" t="n"/>
      <c r="R586" s="18" t="n"/>
      <c r="S586" s="16" t="n"/>
    </row>
    <row r="587">
      <c r="A587" s="14">
        <f>IFERROR(IF(AND(IFERROR(INDEX(ERP資料!$A:$A, (MATCH(586, 輔助計算!$F$2:$F$801, 0)+1)), "")&lt;&gt;"", IFERROR(INDEX(ERP資料!$A:$A, (MATCH(586, 輔助計算!$F$2:$F$801, 0)+1)), "")&lt;&gt;IFERROR(INDEX(ERP資料!$A:$A, MATCH(585, 輔助計算!$F$2:$F$801, 0)+1), "")), INDEX(ERP資料!$B:$B, (MATCH(586, 輔助計算!$F$2:$F$801, 0)+1)), ""), "")</f>
        <v/>
      </c>
      <c r="B587" s="10">
        <f>IFERROR(IF(AND(IFERROR(INDEX(ERP資料!$A:$A, (MATCH(586, 輔助計算!$F$2:$F$801, 0)+1)), "")&lt;&gt;"", IFERROR(INDEX(ERP資料!$A:$A, (MATCH(586, 輔助計算!$F$2:$F$801, 0)+1)), "")&lt;&gt;IFERROR(INDEX(ERP資料!$A:$A, MATCH(585, 輔助計算!$F$2:$F$801, 0)+1), "")), IFERROR(INDEX(ERP資料!$A:$A, (MATCH(586, 輔助計算!$F$2:$F$801, 0)+1)), ""), ""), "")</f>
        <v/>
      </c>
      <c r="C587" s="10">
        <f>IFERROR(IF(AND(IFERROR(INDEX(ERP資料!$A:$A, (MATCH(586, 輔助計算!$F$2:$F$801, 0)+1)), "")&lt;&gt;"", IFERROR(INDEX(ERP資料!$A:$A, (MATCH(586, 輔助計算!$F$2:$F$801, 0)+1)), "")&lt;&gt;IFERROR(INDEX(ERP資料!$A:$A, MATCH(585, 輔助計算!$F$2:$F$801, 0)+1), "")), INDEX(ERP資料!$S:$S, (MATCH(586, 輔助計算!$F$2:$F$801, 0)+1)), ""), "")</f>
        <v/>
      </c>
      <c r="D587" s="10">
        <f>IFERROR(IF(INDEX(ERP資料!$E:$E, (MATCH(586, 輔助計算!$F$2:$F$801, 0)+1))="","",TRIM(INDEX(ERP資料!$E:$E, (MATCH(586, 輔助計算!$F$2:$F$801, 0)+1)))), "")</f>
        <v/>
      </c>
      <c r="E587" s="10">
        <f>IFERROR(IF(INDEX(ERP資料!$F:$F, (MATCH(586, 輔助計算!$F$2:$F$801, 0)+1))="","",INDEX(ERP資料!$F:$F, (MATCH(586, 輔助計算!$F$2:$F$801, 0)+1))), "")</f>
        <v/>
      </c>
      <c r="F587" s="10">
        <f>IFERROR(IF(INDEX(ERP資料!$G:$G, (MATCH(586, 輔助計算!$F$2:$F$801, 0)+1))="","",INDEX(ERP資料!$G:$G, (MATCH(586, 輔助計算!$F$2:$F$801, 0)+1))), "")</f>
        <v/>
      </c>
      <c r="G587" s="10">
        <f>IFERROR(IF(INDEX(ERP資料!$H:$H, (MATCH(586, 輔助計算!$F$2:$F$801, 0)+1))="","",INDEX(ERP資料!$H:$H, (MATCH(586, 輔助計算!$F$2:$F$801, 0)+1))), "")</f>
        <v/>
      </c>
      <c r="H587" s="10">
        <f>IFERROR(IF(INDEX(ERP資料!$O:$O, (MATCH(586, 輔助計算!$F$2:$F$801, 0)+1))="","",INDEX(ERP資料!$O:$O, (MATCH(586, 輔助計算!$F$2:$F$801, 0)+1))), "")</f>
        <v/>
      </c>
      <c r="I587" s="15">
        <f>IFERROR(IF(INDEX(輔助計算!$D:$D,(MATCH(586, 輔助計算!$F$2:$F$801, 0)+1))="","",INDEX(輔助計算!$D:$D,(MATCH(586, 輔助計算!$F$2:$F$801, 0)+1))*INDEX(ERP資料!$O:$O,(MATCH(586, 輔助計算!$F$2:$F$801, 0)+1))), "")</f>
        <v/>
      </c>
      <c r="J587" s="16" t="n"/>
      <c r="K587" s="15">
        <f>IFERROR(INDEX(輔助計算!$D:$D, (MATCH(586, 輔助計算!$F$2:$F$801, 0)+1)), "")</f>
        <v/>
      </c>
      <c r="L587" s="16">
        <f>IFERROR(IF(AND(IFERROR(VLOOKUP(LEFT(INDEX(ERP資料!$S:$S, (MATCH(586, 輔助計算!$F$2:$F$801, 0)+1)), 4), 100張客戶!$A:$A, 1, FALSE), "")&lt;&gt;"", OR(INDEX(ERP資料!$F:$F, (MATCH(586, 輔助計算!$F$2:$F$801, 0)+1))=270, INDEX(ERP資料!$F:$F, (MATCH(586, 輔助計算!$F$2:$F$801, 0)+1))=300)), "100張", ""), "")</f>
        <v/>
      </c>
      <c r="M587" s="17" t="n"/>
      <c r="N587" s="17">
        <f>IF($F587="","",$F587)</f>
        <v/>
      </c>
      <c r="O587" s="17">
        <f>IF($G587="","",$G587)</f>
        <v/>
      </c>
      <c r="P587" s="17">
        <f>IF($K587="","",$K587)</f>
        <v/>
      </c>
      <c r="Q587" s="16" t="n"/>
      <c r="R587" s="18" t="n"/>
      <c r="S587" s="16" t="n"/>
    </row>
    <row r="588">
      <c r="A588" s="14">
        <f>IFERROR(IF(AND(IFERROR(INDEX(ERP資料!$A:$A, (MATCH(587, 輔助計算!$F$2:$F$801, 0)+1)), "")&lt;&gt;"", IFERROR(INDEX(ERP資料!$A:$A, (MATCH(587, 輔助計算!$F$2:$F$801, 0)+1)), "")&lt;&gt;IFERROR(INDEX(ERP資料!$A:$A, MATCH(586, 輔助計算!$F$2:$F$801, 0)+1), "")), INDEX(ERP資料!$B:$B, (MATCH(587, 輔助計算!$F$2:$F$801, 0)+1)), ""), "")</f>
        <v/>
      </c>
      <c r="B588" s="10">
        <f>IFERROR(IF(AND(IFERROR(INDEX(ERP資料!$A:$A, (MATCH(587, 輔助計算!$F$2:$F$801, 0)+1)), "")&lt;&gt;"", IFERROR(INDEX(ERP資料!$A:$A, (MATCH(587, 輔助計算!$F$2:$F$801, 0)+1)), "")&lt;&gt;IFERROR(INDEX(ERP資料!$A:$A, MATCH(586, 輔助計算!$F$2:$F$801, 0)+1), "")), IFERROR(INDEX(ERP資料!$A:$A, (MATCH(587, 輔助計算!$F$2:$F$801, 0)+1)), ""), ""), "")</f>
        <v/>
      </c>
      <c r="C588" s="10">
        <f>IFERROR(IF(AND(IFERROR(INDEX(ERP資料!$A:$A, (MATCH(587, 輔助計算!$F$2:$F$801, 0)+1)), "")&lt;&gt;"", IFERROR(INDEX(ERP資料!$A:$A, (MATCH(587, 輔助計算!$F$2:$F$801, 0)+1)), "")&lt;&gt;IFERROR(INDEX(ERP資料!$A:$A, MATCH(586, 輔助計算!$F$2:$F$801, 0)+1), "")), INDEX(ERP資料!$S:$S, (MATCH(587, 輔助計算!$F$2:$F$801, 0)+1)), ""), "")</f>
        <v/>
      </c>
      <c r="D588" s="10">
        <f>IFERROR(IF(INDEX(ERP資料!$E:$E, (MATCH(587, 輔助計算!$F$2:$F$801, 0)+1))="","",TRIM(INDEX(ERP資料!$E:$E, (MATCH(587, 輔助計算!$F$2:$F$801, 0)+1)))), "")</f>
        <v/>
      </c>
      <c r="E588" s="10">
        <f>IFERROR(IF(INDEX(ERP資料!$F:$F, (MATCH(587, 輔助計算!$F$2:$F$801, 0)+1))="","",INDEX(ERP資料!$F:$F, (MATCH(587, 輔助計算!$F$2:$F$801, 0)+1))), "")</f>
        <v/>
      </c>
      <c r="F588" s="10">
        <f>IFERROR(IF(INDEX(ERP資料!$G:$G, (MATCH(587, 輔助計算!$F$2:$F$801, 0)+1))="","",INDEX(ERP資料!$G:$G, (MATCH(587, 輔助計算!$F$2:$F$801, 0)+1))), "")</f>
        <v/>
      </c>
      <c r="G588" s="10">
        <f>IFERROR(IF(INDEX(ERP資料!$H:$H, (MATCH(587, 輔助計算!$F$2:$F$801, 0)+1))="","",INDEX(ERP資料!$H:$H, (MATCH(587, 輔助計算!$F$2:$F$801, 0)+1))), "")</f>
        <v/>
      </c>
      <c r="H588" s="10">
        <f>IFERROR(IF(INDEX(ERP資料!$O:$O, (MATCH(587, 輔助計算!$F$2:$F$801, 0)+1))="","",INDEX(ERP資料!$O:$O, (MATCH(587, 輔助計算!$F$2:$F$801, 0)+1))), "")</f>
        <v/>
      </c>
      <c r="I588" s="15">
        <f>IFERROR(IF(INDEX(輔助計算!$D:$D,(MATCH(587, 輔助計算!$F$2:$F$801, 0)+1))="","",INDEX(輔助計算!$D:$D,(MATCH(587, 輔助計算!$F$2:$F$801, 0)+1))*INDEX(ERP資料!$O:$O,(MATCH(587, 輔助計算!$F$2:$F$801, 0)+1))), "")</f>
        <v/>
      </c>
      <c r="J588" s="16" t="n"/>
      <c r="K588" s="15">
        <f>IFERROR(INDEX(輔助計算!$D:$D, (MATCH(587, 輔助計算!$F$2:$F$801, 0)+1)), "")</f>
        <v/>
      </c>
      <c r="L588" s="16">
        <f>IFERROR(IF(AND(IFERROR(VLOOKUP(LEFT(INDEX(ERP資料!$S:$S, (MATCH(587, 輔助計算!$F$2:$F$801, 0)+1)), 4), 100張客戶!$A:$A, 1, FALSE), "")&lt;&gt;"", OR(INDEX(ERP資料!$F:$F, (MATCH(587, 輔助計算!$F$2:$F$801, 0)+1))=270, INDEX(ERP資料!$F:$F, (MATCH(587, 輔助計算!$F$2:$F$801, 0)+1))=300)), "100張", ""), "")</f>
        <v/>
      </c>
      <c r="M588" s="17" t="n"/>
      <c r="N588" s="17">
        <f>IF($F588="","",$F588)</f>
        <v/>
      </c>
      <c r="O588" s="17">
        <f>IF($G588="","",$G588)</f>
        <v/>
      </c>
      <c r="P588" s="17">
        <f>IF($K588="","",$K588)</f>
        <v/>
      </c>
      <c r="Q588" s="16" t="n"/>
      <c r="R588" s="18" t="n"/>
      <c r="S588" s="16" t="n"/>
    </row>
    <row r="589">
      <c r="A589" s="14">
        <f>IFERROR(IF(AND(IFERROR(INDEX(ERP資料!$A:$A, (MATCH(588, 輔助計算!$F$2:$F$801, 0)+1)), "")&lt;&gt;"", IFERROR(INDEX(ERP資料!$A:$A, (MATCH(588, 輔助計算!$F$2:$F$801, 0)+1)), "")&lt;&gt;IFERROR(INDEX(ERP資料!$A:$A, MATCH(587, 輔助計算!$F$2:$F$801, 0)+1), "")), INDEX(ERP資料!$B:$B, (MATCH(588, 輔助計算!$F$2:$F$801, 0)+1)), ""), "")</f>
        <v/>
      </c>
      <c r="B589" s="10">
        <f>IFERROR(IF(AND(IFERROR(INDEX(ERP資料!$A:$A, (MATCH(588, 輔助計算!$F$2:$F$801, 0)+1)), "")&lt;&gt;"", IFERROR(INDEX(ERP資料!$A:$A, (MATCH(588, 輔助計算!$F$2:$F$801, 0)+1)), "")&lt;&gt;IFERROR(INDEX(ERP資料!$A:$A, MATCH(587, 輔助計算!$F$2:$F$801, 0)+1), "")), IFERROR(INDEX(ERP資料!$A:$A, (MATCH(588, 輔助計算!$F$2:$F$801, 0)+1)), ""), ""), "")</f>
        <v/>
      </c>
      <c r="C589" s="10">
        <f>IFERROR(IF(AND(IFERROR(INDEX(ERP資料!$A:$A, (MATCH(588, 輔助計算!$F$2:$F$801, 0)+1)), "")&lt;&gt;"", IFERROR(INDEX(ERP資料!$A:$A, (MATCH(588, 輔助計算!$F$2:$F$801, 0)+1)), "")&lt;&gt;IFERROR(INDEX(ERP資料!$A:$A, MATCH(587, 輔助計算!$F$2:$F$801, 0)+1), "")), INDEX(ERP資料!$S:$S, (MATCH(588, 輔助計算!$F$2:$F$801, 0)+1)), ""), "")</f>
        <v/>
      </c>
      <c r="D589" s="10">
        <f>IFERROR(IF(INDEX(ERP資料!$E:$E, (MATCH(588, 輔助計算!$F$2:$F$801, 0)+1))="","",TRIM(INDEX(ERP資料!$E:$E, (MATCH(588, 輔助計算!$F$2:$F$801, 0)+1)))), "")</f>
        <v/>
      </c>
      <c r="E589" s="10">
        <f>IFERROR(IF(INDEX(ERP資料!$F:$F, (MATCH(588, 輔助計算!$F$2:$F$801, 0)+1))="","",INDEX(ERP資料!$F:$F, (MATCH(588, 輔助計算!$F$2:$F$801, 0)+1))), "")</f>
        <v/>
      </c>
      <c r="F589" s="10">
        <f>IFERROR(IF(INDEX(ERP資料!$G:$G, (MATCH(588, 輔助計算!$F$2:$F$801, 0)+1))="","",INDEX(ERP資料!$G:$G, (MATCH(588, 輔助計算!$F$2:$F$801, 0)+1))), "")</f>
        <v/>
      </c>
      <c r="G589" s="10">
        <f>IFERROR(IF(INDEX(ERP資料!$H:$H, (MATCH(588, 輔助計算!$F$2:$F$801, 0)+1))="","",INDEX(ERP資料!$H:$H, (MATCH(588, 輔助計算!$F$2:$F$801, 0)+1))), "")</f>
        <v/>
      </c>
      <c r="H589" s="10">
        <f>IFERROR(IF(INDEX(ERP資料!$O:$O, (MATCH(588, 輔助計算!$F$2:$F$801, 0)+1))="","",INDEX(ERP資料!$O:$O, (MATCH(588, 輔助計算!$F$2:$F$801, 0)+1))), "")</f>
        <v/>
      </c>
      <c r="I589" s="15">
        <f>IFERROR(IF(INDEX(輔助計算!$D:$D,(MATCH(588, 輔助計算!$F$2:$F$801, 0)+1))="","",INDEX(輔助計算!$D:$D,(MATCH(588, 輔助計算!$F$2:$F$801, 0)+1))*INDEX(ERP資料!$O:$O,(MATCH(588, 輔助計算!$F$2:$F$801, 0)+1))), "")</f>
        <v/>
      </c>
      <c r="J589" s="16" t="n"/>
      <c r="K589" s="15">
        <f>IFERROR(INDEX(輔助計算!$D:$D, (MATCH(588, 輔助計算!$F$2:$F$801, 0)+1)), "")</f>
        <v/>
      </c>
      <c r="L589" s="16">
        <f>IFERROR(IF(AND(IFERROR(VLOOKUP(LEFT(INDEX(ERP資料!$S:$S, (MATCH(588, 輔助計算!$F$2:$F$801, 0)+1)), 4), 100張客戶!$A:$A, 1, FALSE), "")&lt;&gt;"", OR(INDEX(ERP資料!$F:$F, (MATCH(588, 輔助計算!$F$2:$F$801, 0)+1))=270, INDEX(ERP資料!$F:$F, (MATCH(588, 輔助計算!$F$2:$F$801, 0)+1))=300)), "100張", ""), "")</f>
        <v/>
      </c>
      <c r="M589" s="17" t="n"/>
      <c r="N589" s="17">
        <f>IF($F589="","",$F589)</f>
        <v/>
      </c>
      <c r="O589" s="17">
        <f>IF($G589="","",$G589)</f>
        <v/>
      </c>
      <c r="P589" s="17">
        <f>IF($K589="","",$K589)</f>
        <v/>
      </c>
      <c r="Q589" s="16" t="n"/>
      <c r="R589" s="18" t="n"/>
      <c r="S589" s="16" t="n"/>
    </row>
    <row r="590">
      <c r="A590" s="14">
        <f>IFERROR(IF(AND(IFERROR(INDEX(ERP資料!$A:$A, (MATCH(589, 輔助計算!$F$2:$F$801, 0)+1)), "")&lt;&gt;"", IFERROR(INDEX(ERP資料!$A:$A, (MATCH(589, 輔助計算!$F$2:$F$801, 0)+1)), "")&lt;&gt;IFERROR(INDEX(ERP資料!$A:$A, MATCH(588, 輔助計算!$F$2:$F$801, 0)+1), "")), INDEX(ERP資料!$B:$B, (MATCH(589, 輔助計算!$F$2:$F$801, 0)+1)), ""), "")</f>
        <v/>
      </c>
      <c r="B590" s="10">
        <f>IFERROR(IF(AND(IFERROR(INDEX(ERP資料!$A:$A, (MATCH(589, 輔助計算!$F$2:$F$801, 0)+1)), "")&lt;&gt;"", IFERROR(INDEX(ERP資料!$A:$A, (MATCH(589, 輔助計算!$F$2:$F$801, 0)+1)), "")&lt;&gt;IFERROR(INDEX(ERP資料!$A:$A, MATCH(588, 輔助計算!$F$2:$F$801, 0)+1), "")), IFERROR(INDEX(ERP資料!$A:$A, (MATCH(589, 輔助計算!$F$2:$F$801, 0)+1)), ""), ""), "")</f>
        <v/>
      </c>
      <c r="C590" s="10">
        <f>IFERROR(IF(AND(IFERROR(INDEX(ERP資料!$A:$A, (MATCH(589, 輔助計算!$F$2:$F$801, 0)+1)), "")&lt;&gt;"", IFERROR(INDEX(ERP資料!$A:$A, (MATCH(589, 輔助計算!$F$2:$F$801, 0)+1)), "")&lt;&gt;IFERROR(INDEX(ERP資料!$A:$A, MATCH(588, 輔助計算!$F$2:$F$801, 0)+1), "")), INDEX(ERP資料!$S:$S, (MATCH(589, 輔助計算!$F$2:$F$801, 0)+1)), ""), "")</f>
        <v/>
      </c>
      <c r="D590" s="10">
        <f>IFERROR(IF(INDEX(ERP資料!$E:$E, (MATCH(589, 輔助計算!$F$2:$F$801, 0)+1))="","",TRIM(INDEX(ERP資料!$E:$E, (MATCH(589, 輔助計算!$F$2:$F$801, 0)+1)))), "")</f>
        <v/>
      </c>
      <c r="E590" s="10">
        <f>IFERROR(IF(INDEX(ERP資料!$F:$F, (MATCH(589, 輔助計算!$F$2:$F$801, 0)+1))="","",INDEX(ERP資料!$F:$F, (MATCH(589, 輔助計算!$F$2:$F$801, 0)+1))), "")</f>
        <v/>
      </c>
      <c r="F590" s="10">
        <f>IFERROR(IF(INDEX(ERP資料!$G:$G, (MATCH(589, 輔助計算!$F$2:$F$801, 0)+1))="","",INDEX(ERP資料!$G:$G, (MATCH(589, 輔助計算!$F$2:$F$801, 0)+1))), "")</f>
        <v/>
      </c>
      <c r="G590" s="10">
        <f>IFERROR(IF(INDEX(ERP資料!$H:$H, (MATCH(589, 輔助計算!$F$2:$F$801, 0)+1))="","",INDEX(ERP資料!$H:$H, (MATCH(589, 輔助計算!$F$2:$F$801, 0)+1))), "")</f>
        <v/>
      </c>
      <c r="H590" s="10">
        <f>IFERROR(IF(INDEX(ERP資料!$O:$O, (MATCH(589, 輔助計算!$F$2:$F$801, 0)+1))="","",INDEX(ERP資料!$O:$O, (MATCH(589, 輔助計算!$F$2:$F$801, 0)+1))), "")</f>
        <v/>
      </c>
      <c r="I590" s="15">
        <f>IFERROR(IF(INDEX(輔助計算!$D:$D,(MATCH(589, 輔助計算!$F$2:$F$801, 0)+1))="","",INDEX(輔助計算!$D:$D,(MATCH(589, 輔助計算!$F$2:$F$801, 0)+1))*INDEX(ERP資料!$O:$O,(MATCH(589, 輔助計算!$F$2:$F$801, 0)+1))), "")</f>
        <v/>
      </c>
      <c r="J590" s="16" t="n"/>
      <c r="K590" s="15">
        <f>IFERROR(INDEX(輔助計算!$D:$D, (MATCH(589, 輔助計算!$F$2:$F$801, 0)+1)), "")</f>
        <v/>
      </c>
      <c r="L590" s="16">
        <f>IFERROR(IF(AND(IFERROR(VLOOKUP(LEFT(INDEX(ERP資料!$S:$S, (MATCH(589, 輔助計算!$F$2:$F$801, 0)+1)), 4), 100張客戶!$A:$A, 1, FALSE), "")&lt;&gt;"", OR(INDEX(ERP資料!$F:$F, (MATCH(589, 輔助計算!$F$2:$F$801, 0)+1))=270, INDEX(ERP資料!$F:$F, (MATCH(589, 輔助計算!$F$2:$F$801, 0)+1))=300)), "100張", ""), "")</f>
        <v/>
      </c>
      <c r="M590" s="17" t="n"/>
      <c r="N590" s="17">
        <f>IF($F590="","",$F590)</f>
        <v/>
      </c>
      <c r="O590" s="17">
        <f>IF($G590="","",$G590)</f>
        <v/>
      </c>
      <c r="P590" s="17">
        <f>IF($K590="","",$K590)</f>
        <v/>
      </c>
      <c r="Q590" s="16" t="n"/>
      <c r="R590" s="18" t="n"/>
      <c r="S590" s="16" t="n"/>
    </row>
    <row r="591">
      <c r="A591" s="14">
        <f>IFERROR(IF(AND(IFERROR(INDEX(ERP資料!$A:$A, (MATCH(590, 輔助計算!$F$2:$F$801, 0)+1)), "")&lt;&gt;"", IFERROR(INDEX(ERP資料!$A:$A, (MATCH(590, 輔助計算!$F$2:$F$801, 0)+1)), "")&lt;&gt;IFERROR(INDEX(ERP資料!$A:$A, MATCH(589, 輔助計算!$F$2:$F$801, 0)+1), "")), INDEX(ERP資料!$B:$B, (MATCH(590, 輔助計算!$F$2:$F$801, 0)+1)), ""), "")</f>
        <v/>
      </c>
      <c r="B591" s="10">
        <f>IFERROR(IF(AND(IFERROR(INDEX(ERP資料!$A:$A, (MATCH(590, 輔助計算!$F$2:$F$801, 0)+1)), "")&lt;&gt;"", IFERROR(INDEX(ERP資料!$A:$A, (MATCH(590, 輔助計算!$F$2:$F$801, 0)+1)), "")&lt;&gt;IFERROR(INDEX(ERP資料!$A:$A, MATCH(589, 輔助計算!$F$2:$F$801, 0)+1), "")), IFERROR(INDEX(ERP資料!$A:$A, (MATCH(590, 輔助計算!$F$2:$F$801, 0)+1)), ""), ""), "")</f>
        <v/>
      </c>
      <c r="C591" s="10">
        <f>IFERROR(IF(AND(IFERROR(INDEX(ERP資料!$A:$A, (MATCH(590, 輔助計算!$F$2:$F$801, 0)+1)), "")&lt;&gt;"", IFERROR(INDEX(ERP資料!$A:$A, (MATCH(590, 輔助計算!$F$2:$F$801, 0)+1)), "")&lt;&gt;IFERROR(INDEX(ERP資料!$A:$A, MATCH(589, 輔助計算!$F$2:$F$801, 0)+1), "")), INDEX(ERP資料!$S:$S, (MATCH(590, 輔助計算!$F$2:$F$801, 0)+1)), ""), "")</f>
        <v/>
      </c>
      <c r="D591" s="10">
        <f>IFERROR(IF(INDEX(ERP資料!$E:$E, (MATCH(590, 輔助計算!$F$2:$F$801, 0)+1))="","",TRIM(INDEX(ERP資料!$E:$E, (MATCH(590, 輔助計算!$F$2:$F$801, 0)+1)))), "")</f>
        <v/>
      </c>
      <c r="E591" s="10">
        <f>IFERROR(IF(INDEX(ERP資料!$F:$F, (MATCH(590, 輔助計算!$F$2:$F$801, 0)+1))="","",INDEX(ERP資料!$F:$F, (MATCH(590, 輔助計算!$F$2:$F$801, 0)+1))), "")</f>
        <v/>
      </c>
      <c r="F591" s="10">
        <f>IFERROR(IF(INDEX(ERP資料!$G:$G, (MATCH(590, 輔助計算!$F$2:$F$801, 0)+1))="","",INDEX(ERP資料!$G:$G, (MATCH(590, 輔助計算!$F$2:$F$801, 0)+1))), "")</f>
        <v/>
      </c>
      <c r="G591" s="10">
        <f>IFERROR(IF(INDEX(ERP資料!$H:$H, (MATCH(590, 輔助計算!$F$2:$F$801, 0)+1))="","",INDEX(ERP資料!$H:$H, (MATCH(590, 輔助計算!$F$2:$F$801, 0)+1))), "")</f>
        <v/>
      </c>
      <c r="H591" s="10">
        <f>IFERROR(IF(INDEX(ERP資料!$O:$O, (MATCH(590, 輔助計算!$F$2:$F$801, 0)+1))="","",INDEX(ERP資料!$O:$O, (MATCH(590, 輔助計算!$F$2:$F$801, 0)+1))), "")</f>
        <v/>
      </c>
      <c r="I591" s="15">
        <f>IFERROR(IF(INDEX(輔助計算!$D:$D,(MATCH(590, 輔助計算!$F$2:$F$801, 0)+1))="","",INDEX(輔助計算!$D:$D,(MATCH(590, 輔助計算!$F$2:$F$801, 0)+1))*INDEX(ERP資料!$O:$O,(MATCH(590, 輔助計算!$F$2:$F$801, 0)+1))), "")</f>
        <v/>
      </c>
      <c r="J591" s="16" t="n"/>
      <c r="K591" s="15">
        <f>IFERROR(INDEX(輔助計算!$D:$D, (MATCH(590, 輔助計算!$F$2:$F$801, 0)+1)), "")</f>
        <v/>
      </c>
      <c r="L591" s="16">
        <f>IFERROR(IF(AND(IFERROR(VLOOKUP(LEFT(INDEX(ERP資料!$S:$S, (MATCH(590, 輔助計算!$F$2:$F$801, 0)+1)), 4), 100張客戶!$A:$A, 1, FALSE), "")&lt;&gt;"", OR(INDEX(ERP資料!$F:$F, (MATCH(590, 輔助計算!$F$2:$F$801, 0)+1))=270, INDEX(ERP資料!$F:$F, (MATCH(590, 輔助計算!$F$2:$F$801, 0)+1))=300)), "100張", ""), "")</f>
        <v/>
      </c>
      <c r="M591" s="17" t="n"/>
      <c r="N591" s="17">
        <f>IF($F591="","",$F591)</f>
        <v/>
      </c>
      <c r="O591" s="17">
        <f>IF($G591="","",$G591)</f>
        <v/>
      </c>
      <c r="P591" s="17">
        <f>IF($K591="","",$K591)</f>
        <v/>
      </c>
      <c r="Q591" s="16" t="n"/>
      <c r="R591" s="18" t="n"/>
      <c r="S591" s="16" t="n"/>
    </row>
    <row r="592">
      <c r="A592" s="14">
        <f>IFERROR(IF(AND(IFERROR(INDEX(ERP資料!$A:$A, (MATCH(591, 輔助計算!$F$2:$F$801, 0)+1)), "")&lt;&gt;"", IFERROR(INDEX(ERP資料!$A:$A, (MATCH(591, 輔助計算!$F$2:$F$801, 0)+1)), "")&lt;&gt;IFERROR(INDEX(ERP資料!$A:$A, MATCH(590, 輔助計算!$F$2:$F$801, 0)+1), "")), INDEX(ERP資料!$B:$B, (MATCH(591, 輔助計算!$F$2:$F$801, 0)+1)), ""), "")</f>
        <v/>
      </c>
      <c r="B592" s="10">
        <f>IFERROR(IF(AND(IFERROR(INDEX(ERP資料!$A:$A, (MATCH(591, 輔助計算!$F$2:$F$801, 0)+1)), "")&lt;&gt;"", IFERROR(INDEX(ERP資料!$A:$A, (MATCH(591, 輔助計算!$F$2:$F$801, 0)+1)), "")&lt;&gt;IFERROR(INDEX(ERP資料!$A:$A, MATCH(590, 輔助計算!$F$2:$F$801, 0)+1), "")), IFERROR(INDEX(ERP資料!$A:$A, (MATCH(591, 輔助計算!$F$2:$F$801, 0)+1)), ""), ""), "")</f>
        <v/>
      </c>
      <c r="C592" s="10">
        <f>IFERROR(IF(AND(IFERROR(INDEX(ERP資料!$A:$A, (MATCH(591, 輔助計算!$F$2:$F$801, 0)+1)), "")&lt;&gt;"", IFERROR(INDEX(ERP資料!$A:$A, (MATCH(591, 輔助計算!$F$2:$F$801, 0)+1)), "")&lt;&gt;IFERROR(INDEX(ERP資料!$A:$A, MATCH(590, 輔助計算!$F$2:$F$801, 0)+1), "")), INDEX(ERP資料!$S:$S, (MATCH(591, 輔助計算!$F$2:$F$801, 0)+1)), ""), "")</f>
        <v/>
      </c>
      <c r="D592" s="10">
        <f>IFERROR(IF(INDEX(ERP資料!$E:$E, (MATCH(591, 輔助計算!$F$2:$F$801, 0)+1))="","",TRIM(INDEX(ERP資料!$E:$E, (MATCH(591, 輔助計算!$F$2:$F$801, 0)+1)))), "")</f>
        <v/>
      </c>
      <c r="E592" s="10">
        <f>IFERROR(IF(INDEX(ERP資料!$F:$F, (MATCH(591, 輔助計算!$F$2:$F$801, 0)+1))="","",INDEX(ERP資料!$F:$F, (MATCH(591, 輔助計算!$F$2:$F$801, 0)+1))), "")</f>
        <v/>
      </c>
      <c r="F592" s="10">
        <f>IFERROR(IF(INDEX(ERP資料!$G:$G, (MATCH(591, 輔助計算!$F$2:$F$801, 0)+1))="","",INDEX(ERP資料!$G:$G, (MATCH(591, 輔助計算!$F$2:$F$801, 0)+1))), "")</f>
        <v/>
      </c>
      <c r="G592" s="10">
        <f>IFERROR(IF(INDEX(ERP資料!$H:$H, (MATCH(591, 輔助計算!$F$2:$F$801, 0)+1))="","",INDEX(ERP資料!$H:$H, (MATCH(591, 輔助計算!$F$2:$F$801, 0)+1))), "")</f>
        <v/>
      </c>
      <c r="H592" s="10">
        <f>IFERROR(IF(INDEX(ERP資料!$O:$O, (MATCH(591, 輔助計算!$F$2:$F$801, 0)+1))="","",INDEX(ERP資料!$O:$O, (MATCH(591, 輔助計算!$F$2:$F$801, 0)+1))), "")</f>
        <v/>
      </c>
      <c r="I592" s="15">
        <f>IFERROR(IF(INDEX(輔助計算!$D:$D,(MATCH(591, 輔助計算!$F$2:$F$801, 0)+1))="","",INDEX(輔助計算!$D:$D,(MATCH(591, 輔助計算!$F$2:$F$801, 0)+1))*INDEX(ERP資料!$O:$O,(MATCH(591, 輔助計算!$F$2:$F$801, 0)+1))), "")</f>
        <v/>
      </c>
      <c r="J592" s="16" t="n"/>
      <c r="K592" s="15">
        <f>IFERROR(INDEX(輔助計算!$D:$D, (MATCH(591, 輔助計算!$F$2:$F$801, 0)+1)), "")</f>
        <v/>
      </c>
      <c r="L592" s="16">
        <f>IFERROR(IF(AND(IFERROR(VLOOKUP(LEFT(INDEX(ERP資料!$S:$S, (MATCH(591, 輔助計算!$F$2:$F$801, 0)+1)), 4), 100張客戶!$A:$A, 1, FALSE), "")&lt;&gt;"", OR(INDEX(ERP資料!$F:$F, (MATCH(591, 輔助計算!$F$2:$F$801, 0)+1))=270, INDEX(ERP資料!$F:$F, (MATCH(591, 輔助計算!$F$2:$F$801, 0)+1))=300)), "100張", ""), "")</f>
        <v/>
      </c>
      <c r="M592" s="17" t="n"/>
      <c r="N592" s="17">
        <f>IF($F592="","",$F592)</f>
        <v/>
      </c>
      <c r="O592" s="17">
        <f>IF($G592="","",$G592)</f>
        <v/>
      </c>
      <c r="P592" s="17">
        <f>IF($K592="","",$K592)</f>
        <v/>
      </c>
      <c r="Q592" s="16" t="n"/>
      <c r="R592" s="18" t="n"/>
      <c r="S592" s="16" t="n"/>
    </row>
    <row r="593">
      <c r="A593" s="14">
        <f>IFERROR(IF(AND(IFERROR(INDEX(ERP資料!$A:$A, (MATCH(592, 輔助計算!$F$2:$F$801, 0)+1)), "")&lt;&gt;"", IFERROR(INDEX(ERP資料!$A:$A, (MATCH(592, 輔助計算!$F$2:$F$801, 0)+1)), "")&lt;&gt;IFERROR(INDEX(ERP資料!$A:$A, MATCH(591, 輔助計算!$F$2:$F$801, 0)+1), "")), INDEX(ERP資料!$B:$B, (MATCH(592, 輔助計算!$F$2:$F$801, 0)+1)), ""), "")</f>
        <v/>
      </c>
      <c r="B593" s="10">
        <f>IFERROR(IF(AND(IFERROR(INDEX(ERP資料!$A:$A, (MATCH(592, 輔助計算!$F$2:$F$801, 0)+1)), "")&lt;&gt;"", IFERROR(INDEX(ERP資料!$A:$A, (MATCH(592, 輔助計算!$F$2:$F$801, 0)+1)), "")&lt;&gt;IFERROR(INDEX(ERP資料!$A:$A, MATCH(591, 輔助計算!$F$2:$F$801, 0)+1), "")), IFERROR(INDEX(ERP資料!$A:$A, (MATCH(592, 輔助計算!$F$2:$F$801, 0)+1)), ""), ""), "")</f>
        <v/>
      </c>
      <c r="C593" s="10">
        <f>IFERROR(IF(AND(IFERROR(INDEX(ERP資料!$A:$A, (MATCH(592, 輔助計算!$F$2:$F$801, 0)+1)), "")&lt;&gt;"", IFERROR(INDEX(ERP資料!$A:$A, (MATCH(592, 輔助計算!$F$2:$F$801, 0)+1)), "")&lt;&gt;IFERROR(INDEX(ERP資料!$A:$A, MATCH(591, 輔助計算!$F$2:$F$801, 0)+1), "")), INDEX(ERP資料!$S:$S, (MATCH(592, 輔助計算!$F$2:$F$801, 0)+1)), ""), "")</f>
        <v/>
      </c>
      <c r="D593" s="10">
        <f>IFERROR(IF(INDEX(ERP資料!$E:$E, (MATCH(592, 輔助計算!$F$2:$F$801, 0)+1))="","",TRIM(INDEX(ERP資料!$E:$E, (MATCH(592, 輔助計算!$F$2:$F$801, 0)+1)))), "")</f>
        <v/>
      </c>
      <c r="E593" s="10">
        <f>IFERROR(IF(INDEX(ERP資料!$F:$F, (MATCH(592, 輔助計算!$F$2:$F$801, 0)+1))="","",INDEX(ERP資料!$F:$F, (MATCH(592, 輔助計算!$F$2:$F$801, 0)+1))), "")</f>
        <v/>
      </c>
      <c r="F593" s="10">
        <f>IFERROR(IF(INDEX(ERP資料!$G:$G, (MATCH(592, 輔助計算!$F$2:$F$801, 0)+1))="","",INDEX(ERP資料!$G:$G, (MATCH(592, 輔助計算!$F$2:$F$801, 0)+1))), "")</f>
        <v/>
      </c>
      <c r="G593" s="10">
        <f>IFERROR(IF(INDEX(ERP資料!$H:$H, (MATCH(592, 輔助計算!$F$2:$F$801, 0)+1))="","",INDEX(ERP資料!$H:$H, (MATCH(592, 輔助計算!$F$2:$F$801, 0)+1))), "")</f>
        <v/>
      </c>
      <c r="H593" s="10">
        <f>IFERROR(IF(INDEX(ERP資料!$O:$O, (MATCH(592, 輔助計算!$F$2:$F$801, 0)+1))="","",INDEX(ERP資料!$O:$O, (MATCH(592, 輔助計算!$F$2:$F$801, 0)+1))), "")</f>
        <v/>
      </c>
      <c r="I593" s="15">
        <f>IFERROR(IF(INDEX(輔助計算!$D:$D,(MATCH(592, 輔助計算!$F$2:$F$801, 0)+1))="","",INDEX(輔助計算!$D:$D,(MATCH(592, 輔助計算!$F$2:$F$801, 0)+1))*INDEX(ERP資料!$O:$O,(MATCH(592, 輔助計算!$F$2:$F$801, 0)+1))), "")</f>
        <v/>
      </c>
      <c r="J593" s="16" t="n"/>
      <c r="K593" s="15">
        <f>IFERROR(INDEX(輔助計算!$D:$D, (MATCH(592, 輔助計算!$F$2:$F$801, 0)+1)), "")</f>
        <v/>
      </c>
      <c r="L593" s="16">
        <f>IFERROR(IF(AND(IFERROR(VLOOKUP(LEFT(INDEX(ERP資料!$S:$S, (MATCH(592, 輔助計算!$F$2:$F$801, 0)+1)), 4), 100張客戶!$A:$A, 1, FALSE), "")&lt;&gt;"", OR(INDEX(ERP資料!$F:$F, (MATCH(592, 輔助計算!$F$2:$F$801, 0)+1))=270, INDEX(ERP資料!$F:$F, (MATCH(592, 輔助計算!$F$2:$F$801, 0)+1))=300)), "100張", ""), "")</f>
        <v/>
      </c>
      <c r="M593" s="17" t="n"/>
      <c r="N593" s="17">
        <f>IF($F593="","",$F593)</f>
        <v/>
      </c>
      <c r="O593" s="17">
        <f>IF($G593="","",$G593)</f>
        <v/>
      </c>
      <c r="P593" s="17">
        <f>IF($K593="","",$K593)</f>
        <v/>
      </c>
      <c r="Q593" s="16" t="n"/>
      <c r="R593" s="18" t="n"/>
      <c r="S593" s="16" t="n"/>
    </row>
    <row r="594">
      <c r="A594" s="14">
        <f>IFERROR(IF(AND(IFERROR(INDEX(ERP資料!$A:$A, (MATCH(593, 輔助計算!$F$2:$F$801, 0)+1)), "")&lt;&gt;"", IFERROR(INDEX(ERP資料!$A:$A, (MATCH(593, 輔助計算!$F$2:$F$801, 0)+1)), "")&lt;&gt;IFERROR(INDEX(ERP資料!$A:$A, MATCH(592, 輔助計算!$F$2:$F$801, 0)+1), "")), INDEX(ERP資料!$B:$B, (MATCH(593, 輔助計算!$F$2:$F$801, 0)+1)), ""), "")</f>
        <v/>
      </c>
      <c r="B594" s="10">
        <f>IFERROR(IF(AND(IFERROR(INDEX(ERP資料!$A:$A, (MATCH(593, 輔助計算!$F$2:$F$801, 0)+1)), "")&lt;&gt;"", IFERROR(INDEX(ERP資料!$A:$A, (MATCH(593, 輔助計算!$F$2:$F$801, 0)+1)), "")&lt;&gt;IFERROR(INDEX(ERP資料!$A:$A, MATCH(592, 輔助計算!$F$2:$F$801, 0)+1), "")), IFERROR(INDEX(ERP資料!$A:$A, (MATCH(593, 輔助計算!$F$2:$F$801, 0)+1)), ""), ""), "")</f>
        <v/>
      </c>
      <c r="C594" s="10">
        <f>IFERROR(IF(AND(IFERROR(INDEX(ERP資料!$A:$A, (MATCH(593, 輔助計算!$F$2:$F$801, 0)+1)), "")&lt;&gt;"", IFERROR(INDEX(ERP資料!$A:$A, (MATCH(593, 輔助計算!$F$2:$F$801, 0)+1)), "")&lt;&gt;IFERROR(INDEX(ERP資料!$A:$A, MATCH(592, 輔助計算!$F$2:$F$801, 0)+1), "")), INDEX(ERP資料!$S:$S, (MATCH(593, 輔助計算!$F$2:$F$801, 0)+1)), ""), "")</f>
        <v/>
      </c>
      <c r="D594" s="10">
        <f>IFERROR(IF(INDEX(ERP資料!$E:$E, (MATCH(593, 輔助計算!$F$2:$F$801, 0)+1))="","",TRIM(INDEX(ERP資料!$E:$E, (MATCH(593, 輔助計算!$F$2:$F$801, 0)+1)))), "")</f>
        <v/>
      </c>
      <c r="E594" s="10">
        <f>IFERROR(IF(INDEX(ERP資料!$F:$F, (MATCH(593, 輔助計算!$F$2:$F$801, 0)+1))="","",INDEX(ERP資料!$F:$F, (MATCH(593, 輔助計算!$F$2:$F$801, 0)+1))), "")</f>
        <v/>
      </c>
      <c r="F594" s="10">
        <f>IFERROR(IF(INDEX(ERP資料!$G:$G, (MATCH(593, 輔助計算!$F$2:$F$801, 0)+1))="","",INDEX(ERP資料!$G:$G, (MATCH(593, 輔助計算!$F$2:$F$801, 0)+1))), "")</f>
        <v/>
      </c>
      <c r="G594" s="10">
        <f>IFERROR(IF(INDEX(ERP資料!$H:$H, (MATCH(593, 輔助計算!$F$2:$F$801, 0)+1))="","",INDEX(ERP資料!$H:$H, (MATCH(593, 輔助計算!$F$2:$F$801, 0)+1))), "")</f>
        <v/>
      </c>
      <c r="H594" s="10">
        <f>IFERROR(IF(INDEX(ERP資料!$O:$O, (MATCH(593, 輔助計算!$F$2:$F$801, 0)+1))="","",INDEX(ERP資料!$O:$O, (MATCH(593, 輔助計算!$F$2:$F$801, 0)+1))), "")</f>
        <v/>
      </c>
      <c r="I594" s="15">
        <f>IFERROR(IF(INDEX(輔助計算!$D:$D,(MATCH(593, 輔助計算!$F$2:$F$801, 0)+1))="","",INDEX(輔助計算!$D:$D,(MATCH(593, 輔助計算!$F$2:$F$801, 0)+1))*INDEX(ERP資料!$O:$O,(MATCH(593, 輔助計算!$F$2:$F$801, 0)+1))), "")</f>
        <v/>
      </c>
      <c r="J594" s="16" t="n"/>
      <c r="K594" s="15">
        <f>IFERROR(INDEX(輔助計算!$D:$D, (MATCH(593, 輔助計算!$F$2:$F$801, 0)+1)), "")</f>
        <v/>
      </c>
      <c r="L594" s="16">
        <f>IFERROR(IF(AND(IFERROR(VLOOKUP(LEFT(INDEX(ERP資料!$S:$S, (MATCH(593, 輔助計算!$F$2:$F$801, 0)+1)), 4), 100張客戶!$A:$A, 1, FALSE), "")&lt;&gt;"", OR(INDEX(ERP資料!$F:$F, (MATCH(593, 輔助計算!$F$2:$F$801, 0)+1))=270, INDEX(ERP資料!$F:$F, (MATCH(593, 輔助計算!$F$2:$F$801, 0)+1))=300)), "100張", ""), "")</f>
        <v/>
      </c>
      <c r="M594" s="17" t="n"/>
      <c r="N594" s="17">
        <f>IF($F594="","",$F594)</f>
        <v/>
      </c>
      <c r="O594" s="17">
        <f>IF($G594="","",$G594)</f>
        <v/>
      </c>
      <c r="P594" s="17">
        <f>IF($K594="","",$K594)</f>
        <v/>
      </c>
      <c r="Q594" s="16" t="n"/>
      <c r="R594" s="18" t="n"/>
      <c r="S594" s="16" t="n"/>
    </row>
    <row r="595">
      <c r="A595" s="14">
        <f>IFERROR(IF(AND(IFERROR(INDEX(ERP資料!$A:$A, (MATCH(594, 輔助計算!$F$2:$F$801, 0)+1)), "")&lt;&gt;"", IFERROR(INDEX(ERP資料!$A:$A, (MATCH(594, 輔助計算!$F$2:$F$801, 0)+1)), "")&lt;&gt;IFERROR(INDEX(ERP資料!$A:$A, MATCH(593, 輔助計算!$F$2:$F$801, 0)+1), "")), INDEX(ERP資料!$B:$B, (MATCH(594, 輔助計算!$F$2:$F$801, 0)+1)), ""), "")</f>
        <v/>
      </c>
      <c r="B595" s="10">
        <f>IFERROR(IF(AND(IFERROR(INDEX(ERP資料!$A:$A, (MATCH(594, 輔助計算!$F$2:$F$801, 0)+1)), "")&lt;&gt;"", IFERROR(INDEX(ERP資料!$A:$A, (MATCH(594, 輔助計算!$F$2:$F$801, 0)+1)), "")&lt;&gt;IFERROR(INDEX(ERP資料!$A:$A, MATCH(593, 輔助計算!$F$2:$F$801, 0)+1), "")), IFERROR(INDEX(ERP資料!$A:$A, (MATCH(594, 輔助計算!$F$2:$F$801, 0)+1)), ""), ""), "")</f>
        <v/>
      </c>
      <c r="C595" s="10">
        <f>IFERROR(IF(AND(IFERROR(INDEX(ERP資料!$A:$A, (MATCH(594, 輔助計算!$F$2:$F$801, 0)+1)), "")&lt;&gt;"", IFERROR(INDEX(ERP資料!$A:$A, (MATCH(594, 輔助計算!$F$2:$F$801, 0)+1)), "")&lt;&gt;IFERROR(INDEX(ERP資料!$A:$A, MATCH(593, 輔助計算!$F$2:$F$801, 0)+1), "")), INDEX(ERP資料!$S:$S, (MATCH(594, 輔助計算!$F$2:$F$801, 0)+1)), ""), "")</f>
        <v/>
      </c>
      <c r="D595" s="10">
        <f>IFERROR(IF(INDEX(ERP資料!$E:$E, (MATCH(594, 輔助計算!$F$2:$F$801, 0)+1))="","",TRIM(INDEX(ERP資料!$E:$E, (MATCH(594, 輔助計算!$F$2:$F$801, 0)+1)))), "")</f>
        <v/>
      </c>
      <c r="E595" s="10">
        <f>IFERROR(IF(INDEX(ERP資料!$F:$F, (MATCH(594, 輔助計算!$F$2:$F$801, 0)+1))="","",INDEX(ERP資料!$F:$F, (MATCH(594, 輔助計算!$F$2:$F$801, 0)+1))), "")</f>
        <v/>
      </c>
      <c r="F595" s="10">
        <f>IFERROR(IF(INDEX(ERP資料!$G:$G, (MATCH(594, 輔助計算!$F$2:$F$801, 0)+1))="","",INDEX(ERP資料!$G:$G, (MATCH(594, 輔助計算!$F$2:$F$801, 0)+1))), "")</f>
        <v/>
      </c>
      <c r="G595" s="10">
        <f>IFERROR(IF(INDEX(ERP資料!$H:$H, (MATCH(594, 輔助計算!$F$2:$F$801, 0)+1))="","",INDEX(ERP資料!$H:$H, (MATCH(594, 輔助計算!$F$2:$F$801, 0)+1))), "")</f>
        <v/>
      </c>
      <c r="H595" s="10">
        <f>IFERROR(IF(INDEX(ERP資料!$O:$O, (MATCH(594, 輔助計算!$F$2:$F$801, 0)+1))="","",INDEX(ERP資料!$O:$O, (MATCH(594, 輔助計算!$F$2:$F$801, 0)+1))), "")</f>
        <v/>
      </c>
      <c r="I595" s="15">
        <f>IFERROR(IF(INDEX(輔助計算!$D:$D,(MATCH(594, 輔助計算!$F$2:$F$801, 0)+1))="","",INDEX(輔助計算!$D:$D,(MATCH(594, 輔助計算!$F$2:$F$801, 0)+1))*INDEX(ERP資料!$O:$O,(MATCH(594, 輔助計算!$F$2:$F$801, 0)+1))), "")</f>
        <v/>
      </c>
      <c r="J595" s="16" t="n"/>
      <c r="K595" s="15">
        <f>IFERROR(INDEX(輔助計算!$D:$D, (MATCH(594, 輔助計算!$F$2:$F$801, 0)+1)), "")</f>
        <v/>
      </c>
      <c r="L595" s="16">
        <f>IFERROR(IF(AND(IFERROR(VLOOKUP(LEFT(INDEX(ERP資料!$S:$S, (MATCH(594, 輔助計算!$F$2:$F$801, 0)+1)), 4), 100張客戶!$A:$A, 1, FALSE), "")&lt;&gt;"", OR(INDEX(ERP資料!$F:$F, (MATCH(594, 輔助計算!$F$2:$F$801, 0)+1))=270, INDEX(ERP資料!$F:$F, (MATCH(594, 輔助計算!$F$2:$F$801, 0)+1))=300)), "100張", ""), "")</f>
        <v/>
      </c>
      <c r="M595" s="17" t="n"/>
      <c r="N595" s="17">
        <f>IF($F595="","",$F595)</f>
        <v/>
      </c>
      <c r="O595" s="17">
        <f>IF($G595="","",$G595)</f>
        <v/>
      </c>
      <c r="P595" s="17">
        <f>IF($K595="","",$K595)</f>
        <v/>
      </c>
      <c r="Q595" s="16" t="n"/>
      <c r="R595" s="18" t="n"/>
      <c r="S595" s="16" t="n"/>
    </row>
    <row r="596">
      <c r="A596" s="14">
        <f>IFERROR(IF(AND(IFERROR(INDEX(ERP資料!$A:$A, (MATCH(595, 輔助計算!$F$2:$F$801, 0)+1)), "")&lt;&gt;"", IFERROR(INDEX(ERP資料!$A:$A, (MATCH(595, 輔助計算!$F$2:$F$801, 0)+1)), "")&lt;&gt;IFERROR(INDEX(ERP資料!$A:$A, MATCH(594, 輔助計算!$F$2:$F$801, 0)+1), "")), INDEX(ERP資料!$B:$B, (MATCH(595, 輔助計算!$F$2:$F$801, 0)+1)), ""), "")</f>
        <v/>
      </c>
      <c r="B596" s="10">
        <f>IFERROR(IF(AND(IFERROR(INDEX(ERP資料!$A:$A, (MATCH(595, 輔助計算!$F$2:$F$801, 0)+1)), "")&lt;&gt;"", IFERROR(INDEX(ERP資料!$A:$A, (MATCH(595, 輔助計算!$F$2:$F$801, 0)+1)), "")&lt;&gt;IFERROR(INDEX(ERP資料!$A:$A, MATCH(594, 輔助計算!$F$2:$F$801, 0)+1), "")), IFERROR(INDEX(ERP資料!$A:$A, (MATCH(595, 輔助計算!$F$2:$F$801, 0)+1)), ""), ""), "")</f>
        <v/>
      </c>
      <c r="C596" s="10">
        <f>IFERROR(IF(AND(IFERROR(INDEX(ERP資料!$A:$A, (MATCH(595, 輔助計算!$F$2:$F$801, 0)+1)), "")&lt;&gt;"", IFERROR(INDEX(ERP資料!$A:$A, (MATCH(595, 輔助計算!$F$2:$F$801, 0)+1)), "")&lt;&gt;IFERROR(INDEX(ERP資料!$A:$A, MATCH(594, 輔助計算!$F$2:$F$801, 0)+1), "")), INDEX(ERP資料!$S:$S, (MATCH(595, 輔助計算!$F$2:$F$801, 0)+1)), ""), "")</f>
        <v/>
      </c>
      <c r="D596" s="10">
        <f>IFERROR(IF(INDEX(ERP資料!$E:$E, (MATCH(595, 輔助計算!$F$2:$F$801, 0)+1))="","",TRIM(INDEX(ERP資料!$E:$E, (MATCH(595, 輔助計算!$F$2:$F$801, 0)+1)))), "")</f>
        <v/>
      </c>
      <c r="E596" s="10">
        <f>IFERROR(IF(INDEX(ERP資料!$F:$F, (MATCH(595, 輔助計算!$F$2:$F$801, 0)+1))="","",INDEX(ERP資料!$F:$F, (MATCH(595, 輔助計算!$F$2:$F$801, 0)+1))), "")</f>
        <v/>
      </c>
      <c r="F596" s="10">
        <f>IFERROR(IF(INDEX(ERP資料!$G:$G, (MATCH(595, 輔助計算!$F$2:$F$801, 0)+1))="","",INDEX(ERP資料!$G:$G, (MATCH(595, 輔助計算!$F$2:$F$801, 0)+1))), "")</f>
        <v/>
      </c>
      <c r="G596" s="10">
        <f>IFERROR(IF(INDEX(ERP資料!$H:$H, (MATCH(595, 輔助計算!$F$2:$F$801, 0)+1))="","",INDEX(ERP資料!$H:$H, (MATCH(595, 輔助計算!$F$2:$F$801, 0)+1))), "")</f>
        <v/>
      </c>
      <c r="H596" s="10">
        <f>IFERROR(IF(INDEX(ERP資料!$O:$O, (MATCH(595, 輔助計算!$F$2:$F$801, 0)+1))="","",INDEX(ERP資料!$O:$O, (MATCH(595, 輔助計算!$F$2:$F$801, 0)+1))), "")</f>
        <v/>
      </c>
      <c r="I596" s="15">
        <f>IFERROR(IF(INDEX(輔助計算!$D:$D,(MATCH(595, 輔助計算!$F$2:$F$801, 0)+1))="","",INDEX(輔助計算!$D:$D,(MATCH(595, 輔助計算!$F$2:$F$801, 0)+1))*INDEX(ERP資料!$O:$O,(MATCH(595, 輔助計算!$F$2:$F$801, 0)+1))), "")</f>
        <v/>
      </c>
      <c r="J596" s="16" t="n"/>
      <c r="K596" s="15">
        <f>IFERROR(INDEX(輔助計算!$D:$D, (MATCH(595, 輔助計算!$F$2:$F$801, 0)+1)), "")</f>
        <v/>
      </c>
      <c r="L596" s="16">
        <f>IFERROR(IF(AND(IFERROR(VLOOKUP(LEFT(INDEX(ERP資料!$S:$S, (MATCH(595, 輔助計算!$F$2:$F$801, 0)+1)), 4), 100張客戶!$A:$A, 1, FALSE), "")&lt;&gt;"", OR(INDEX(ERP資料!$F:$F, (MATCH(595, 輔助計算!$F$2:$F$801, 0)+1))=270, INDEX(ERP資料!$F:$F, (MATCH(595, 輔助計算!$F$2:$F$801, 0)+1))=300)), "100張", ""), "")</f>
        <v/>
      </c>
      <c r="M596" s="17" t="n"/>
      <c r="N596" s="17">
        <f>IF($F596="","",$F596)</f>
        <v/>
      </c>
      <c r="O596" s="17">
        <f>IF($G596="","",$G596)</f>
        <v/>
      </c>
      <c r="P596" s="17">
        <f>IF($K596="","",$K596)</f>
        <v/>
      </c>
      <c r="Q596" s="16" t="n"/>
      <c r="R596" s="18" t="n"/>
      <c r="S596" s="16" t="n"/>
    </row>
    <row r="597">
      <c r="A597" s="14">
        <f>IFERROR(IF(AND(IFERROR(INDEX(ERP資料!$A:$A, (MATCH(596, 輔助計算!$F$2:$F$801, 0)+1)), "")&lt;&gt;"", IFERROR(INDEX(ERP資料!$A:$A, (MATCH(596, 輔助計算!$F$2:$F$801, 0)+1)), "")&lt;&gt;IFERROR(INDEX(ERP資料!$A:$A, MATCH(595, 輔助計算!$F$2:$F$801, 0)+1), "")), INDEX(ERP資料!$B:$B, (MATCH(596, 輔助計算!$F$2:$F$801, 0)+1)), ""), "")</f>
        <v/>
      </c>
      <c r="B597" s="10">
        <f>IFERROR(IF(AND(IFERROR(INDEX(ERP資料!$A:$A, (MATCH(596, 輔助計算!$F$2:$F$801, 0)+1)), "")&lt;&gt;"", IFERROR(INDEX(ERP資料!$A:$A, (MATCH(596, 輔助計算!$F$2:$F$801, 0)+1)), "")&lt;&gt;IFERROR(INDEX(ERP資料!$A:$A, MATCH(595, 輔助計算!$F$2:$F$801, 0)+1), "")), IFERROR(INDEX(ERP資料!$A:$A, (MATCH(596, 輔助計算!$F$2:$F$801, 0)+1)), ""), ""), "")</f>
        <v/>
      </c>
      <c r="C597" s="10">
        <f>IFERROR(IF(AND(IFERROR(INDEX(ERP資料!$A:$A, (MATCH(596, 輔助計算!$F$2:$F$801, 0)+1)), "")&lt;&gt;"", IFERROR(INDEX(ERP資料!$A:$A, (MATCH(596, 輔助計算!$F$2:$F$801, 0)+1)), "")&lt;&gt;IFERROR(INDEX(ERP資料!$A:$A, MATCH(595, 輔助計算!$F$2:$F$801, 0)+1), "")), INDEX(ERP資料!$S:$S, (MATCH(596, 輔助計算!$F$2:$F$801, 0)+1)), ""), "")</f>
        <v/>
      </c>
      <c r="D597" s="10">
        <f>IFERROR(IF(INDEX(ERP資料!$E:$E, (MATCH(596, 輔助計算!$F$2:$F$801, 0)+1))="","",TRIM(INDEX(ERP資料!$E:$E, (MATCH(596, 輔助計算!$F$2:$F$801, 0)+1)))), "")</f>
        <v/>
      </c>
      <c r="E597" s="10">
        <f>IFERROR(IF(INDEX(ERP資料!$F:$F, (MATCH(596, 輔助計算!$F$2:$F$801, 0)+1))="","",INDEX(ERP資料!$F:$F, (MATCH(596, 輔助計算!$F$2:$F$801, 0)+1))), "")</f>
        <v/>
      </c>
      <c r="F597" s="10">
        <f>IFERROR(IF(INDEX(ERP資料!$G:$G, (MATCH(596, 輔助計算!$F$2:$F$801, 0)+1))="","",INDEX(ERP資料!$G:$G, (MATCH(596, 輔助計算!$F$2:$F$801, 0)+1))), "")</f>
        <v/>
      </c>
      <c r="G597" s="10">
        <f>IFERROR(IF(INDEX(ERP資料!$H:$H, (MATCH(596, 輔助計算!$F$2:$F$801, 0)+1))="","",INDEX(ERP資料!$H:$H, (MATCH(596, 輔助計算!$F$2:$F$801, 0)+1))), "")</f>
        <v/>
      </c>
      <c r="H597" s="10">
        <f>IFERROR(IF(INDEX(ERP資料!$O:$O, (MATCH(596, 輔助計算!$F$2:$F$801, 0)+1))="","",INDEX(ERP資料!$O:$O, (MATCH(596, 輔助計算!$F$2:$F$801, 0)+1))), "")</f>
        <v/>
      </c>
      <c r="I597" s="15">
        <f>IFERROR(IF(INDEX(輔助計算!$D:$D,(MATCH(596, 輔助計算!$F$2:$F$801, 0)+1))="","",INDEX(輔助計算!$D:$D,(MATCH(596, 輔助計算!$F$2:$F$801, 0)+1))*INDEX(ERP資料!$O:$O,(MATCH(596, 輔助計算!$F$2:$F$801, 0)+1))), "")</f>
        <v/>
      </c>
      <c r="J597" s="16" t="n"/>
      <c r="K597" s="15">
        <f>IFERROR(INDEX(輔助計算!$D:$D, (MATCH(596, 輔助計算!$F$2:$F$801, 0)+1)), "")</f>
        <v/>
      </c>
      <c r="L597" s="16">
        <f>IFERROR(IF(AND(IFERROR(VLOOKUP(LEFT(INDEX(ERP資料!$S:$S, (MATCH(596, 輔助計算!$F$2:$F$801, 0)+1)), 4), 100張客戶!$A:$A, 1, FALSE), "")&lt;&gt;"", OR(INDEX(ERP資料!$F:$F, (MATCH(596, 輔助計算!$F$2:$F$801, 0)+1))=270, INDEX(ERP資料!$F:$F, (MATCH(596, 輔助計算!$F$2:$F$801, 0)+1))=300)), "100張", ""), "")</f>
        <v/>
      </c>
      <c r="M597" s="17" t="n"/>
      <c r="N597" s="17">
        <f>IF($F597="","",$F597)</f>
        <v/>
      </c>
      <c r="O597" s="17">
        <f>IF($G597="","",$G597)</f>
        <v/>
      </c>
      <c r="P597" s="17">
        <f>IF($K597="","",$K597)</f>
        <v/>
      </c>
      <c r="Q597" s="16" t="n"/>
      <c r="R597" s="18" t="n"/>
      <c r="S597" s="16" t="n"/>
    </row>
    <row r="598">
      <c r="A598" s="14">
        <f>IFERROR(IF(AND(IFERROR(INDEX(ERP資料!$A:$A, (MATCH(597, 輔助計算!$F$2:$F$801, 0)+1)), "")&lt;&gt;"", IFERROR(INDEX(ERP資料!$A:$A, (MATCH(597, 輔助計算!$F$2:$F$801, 0)+1)), "")&lt;&gt;IFERROR(INDEX(ERP資料!$A:$A, MATCH(596, 輔助計算!$F$2:$F$801, 0)+1), "")), INDEX(ERP資料!$B:$B, (MATCH(597, 輔助計算!$F$2:$F$801, 0)+1)), ""), "")</f>
        <v/>
      </c>
      <c r="B598" s="10">
        <f>IFERROR(IF(AND(IFERROR(INDEX(ERP資料!$A:$A, (MATCH(597, 輔助計算!$F$2:$F$801, 0)+1)), "")&lt;&gt;"", IFERROR(INDEX(ERP資料!$A:$A, (MATCH(597, 輔助計算!$F$2:$F$801, 0)+1)), "")&lt;&gt;IFERROR(INDEX(ERP資料!$A:$A, MATCH(596, 輔助計算!$F$2:$F$801, 0)+1), "")), IFERROR(INDEX(ERP資料!$A:$A, (MATCH(597, 輔助計算!$F$2:$F$801, 0)+1)), ""), ""), "")</f>
        <v/>
      </c>
      <c r="C598" s="10">
        <f>IFERROR(IF(AND(IFERROR(INDEX(ERP資料!$A:$A, (MATCH(597, 輔助計算!$F$2:$F$801, 0)+1)), "")&lt;&gt;"", IFERROR(INDEX(ERP資料!$A:$A, (MATCH(597, 輔助計算!$F$2:$F$801, 0)+1)), "")&lt;&gt;IFERROR(INDEX(ERP資料!$A:$A, MATCH(596, 輔助計算!$F$2:$F$801, 0)+1), "")), INDEX(ERP資料!$S:$S, (MATCH(597, 輔助計算!$F$2:$F$801, 0)+1)), ""), "")</f>
        <v/>
      </c>
      <c r="D598" s="10">
        <f>IFERROR(IF(INDEX(ERP資料!$E:$E, (MATCH(597, 輔助計算!$F$2:$F$801, 0)+1))="","",TRIM(INDEX(ERP資料!$E:$E, (MATCH(597, 輔助計算!$F$2:$F$801, 0)+1)))), "")</f>
        <v/>
      </c>
      <c r="E598" s="10">
        <f>IFERROR(IF(INDEX(ERP資料!$F:$F, (MATCH(597, 輔助計算!$F$2:$F$801, 0)+1))="","",INDEX(ERP資料!$F:$F, (MATCH(597, 輔助計算!$F$2:$F$801, 0)+1))), "")</f>
        <v/>
      </c>
      <c r="F598" s="10">
        <f>IFERROR(IF(INDEX(ERP資料!$G:$G, (MATCH(597, 輔助計算!$F$2:$F$801, 0)+1))="","",INDEX(ERP資料!$G:$G, (MATCH(597, 輔助計算!$F$2:$F$801, 0)+1))), "")</f>
        <v/>
      </c>
      <c r="G598" s="10">
        <f>IFERROR(IF(INDEX(ERP資料!$H:$H, (MATCH(597, 輔助計算!$F$2:$F$801, 0)+1))="","",INDEX(ERP資料!$H:$H, (MATCH(597, 輔助計算!$F$2:$F$801, 0)+1))), "")</f>
        <v/>
      </c>
      <c r="H598" s="10">
        <f>IFERROR(IF(INDEX(ERP資料!$O:$O, (MATCH(597, 輔助計算!$F$2:$F$801, 0)+1))="","",INDEX(ERP資料!$O:$O, (MATCH(597, 輔助計算!$F$2:$F$801, 0)+1))), "")</f>
        <v/>
      </c>
      <c r="I598" s="15">
        <f>IFERROR(IF(INDEX(輔助計算!$D:$D,(MATCH(597, 輔助計算!$F$2:$F$801, 0)+1))="","",INDEX(輔助計算!$D:$D,(MATCH(597, 輔助計算!$F$2:$F$801, 0)+1))*INDEX(ERP資料!$O:$O,(MATCH(597, 輔助計算!$F$2:$F$801, 0)+1))), "")</f>
        <v/>
      </c>
      <c r="J598" s="16" t="n"/>
      <c r="K598" s="15">
        <f>IFERROR(INDEX(輔助計算!$D:$D, (MATCH(597, 輔助計算!$F$2:$F$801, 0)+1)), "")</f>
        <v/>
      </c>
      <c r="L598" s="16">
        <f>IFERROR(IF(AND(IFERROR(VLOOKUP(LEFT(INDEX(ERP資料!$S:$S, (MATCH(597, 輔助計算!$F$2:$F$801, 0)+1)), 4), 100張客戶!$A:$A, 1, FALSE), "")&lt;&gt;"", OR(INDEX(ERP資料!$F:$F, (MATCH(597, 輔助計算!$F$2:$F$801, 0)+1))=270, INDEX(ERP資料!$F:$F, (MATCH(597, 輔助計算!$F$2:$F$801, 0)+1))=300)), "100張", ""), "")</f>
        <v/>
      </c>
      <c r="M598" s="17" t="n"/>
      <c r="N598" s="17">
        <f>IF($F598="","",$F598)</f>
        <v/>
      </c>
      <c r="O598" s="17">
        <f>IF($G598="","",$G598)</f>
        <v/>
      </c>
      <c r="P598" s="17">
        <f>IF($K598="","",$K598)</f>
        <v/>
      </c>
      <c r="Q598" s="16" t="n"/>
      <c r="R598" s="18" t="n"/>
      <c r="S598" s="16" t="n"/>
    </row>
    <row r="599">
      <c r="A599" s="14">
        <f>IFERROR(IF(AND(IFERROR(INDEX(ERP資料!$A:$A, (MATCH(598, 輔助計算!$F$2:$F$801, 0)+1)), "")&lt;&gt;"", IFERROR(INDEX(ERP資料!$A:$A, (MATCH(598, 輔助計算!$F$2:$F$801, 0)+1)), "")&lt;&gt;IFERROR(INDEX(ERP資料!$A:$A, MATCH(597, 輔助計算!$F$2:$F$801, 0)+1), "")), INDEX(ERP資料!$B:$B, (MATCH(598, 輔助計算!$F$2:$F$801, 0)+1)), ""), "")</f>
        <v/>
      </c>
      <c r="B599" s="10">
        <f>IFERROR(IF(AND(IFERROR(INDEX(ERP資料!$A:$A, (MATCH(598, 輔助計算!$F$2:$F$801, 0)+1)), "")&lt;&gt;"", IFERROR(INDEX(ERP資料!$A:$A, (MATCH(598, 輔助計算!$F$2:$F$801, 0)+1)), "")&lt;&gt;IFERROR(INDEX(ERP資料!$A:$A, MATCH(597, 輔助計算!$F$2:$F$801, 0)+1), "")), IFERROR(INDEX(ERP資料!$A:$A, (MATCH(598, 輔助計算!$F$2:$F$801, 0)+1)), ""), ""), "")</f>
        <v/>
      </c>
      <c r="C599" s="10">
        <f>IFERROR(IF(AND(IFERROR(INDEX(ERP資料!$A:$A, (MATCH(598, 輔助計算!$F$2:$F$801, 0)+1)), "")&lt;&gt;"", IFERROR(INDEX(ERP資料!$A:$A, (MATCH(598, 輔助計算!$F$2:$F$801, 0)+1)), "")&lt;&gt;IFERROR(INDEX(ERP資料!$A:$A, MATCH(597, 輔助計算!$F$2:$F$801, 0)+1), "")), INDEX(ERP資料!$S:$S, (MATCH(598, 輔助計算!$F$2:$F$801, 0)+1)), ""), "")</f>
        <v/>
      </c>
      <c r="D599" s="10">
        <f>IFERROR(IF(INDEX(ERP資料!$E:$E, (MATCH(598, 輔助計算!$F$2:$F$801, 0)+1))="","",TRIM(INDEX(ERP資料!$E:$E, (MATCH(598, 輔助計算!$F$2:$F$801, 0)+1)))), "")</f>
        <v/>
      </c>
      <c r="E599" s="10">
        <f>IFERROR(IF(INDEX(ERP資料!$F:$F, (MATCH(598, 輔助計算!$F$2:$F$801, 0)+1))="","",INDEX(ERP資料!$F:$F, (MATCH(598, 輔助計算!$F$2:$F$801, 0)+1))), "")</f>
        <v/>
      </c>
      <c r="F599" s="10">
        <f>IFERROR(IF(INDEX(ERP資料!$G:$G, (MATCH(598, 輔助計算!$F$2:$F$801, 0)+1))="","",INDEX(ERP資料!$G:$G, (MATCH(598, 輔助計算!$F$2:$F$801, 0)+1))), "")</f>
        <v/>
      </c>
      <c r="G599" s="10">
        <f>IFERROR(IF(INDEX(ERP資料!$H:$H, (MATCH(598, 輔助計算!$F$2:$F$801, 0)+1))="","",INDEX(ERP資料!$H:$H, (MATCH(598, 輔助計算!$F$2:$F$801, 0)+1))), "")</f>
        <v/>
      </c>
      <c r="H599" s="10">
        <f>IFERROR(IF(INDEX(ERP資料!$O:$O, (MATCH(598, 輔助計算!$F$2:$F$801, 0)+1))="","",INDEX(ERP資料!$O:$O, (MATCH(598, 輔助計算!$F$2:$F$801, 0)+1))), "")</f>
        <v/>
      </c>
      <c r="I599" s="15">
        <f>IFERROR(IF(INDEX(輔助計算!$D:$D,(MATCH(598, 輔助計算!$F$2:$F$801, 0)+1))="","",INDEX(輔助計算!$D:$D,(MATCH(598, 輔助計算!$F$2:$F$801, 0)+1))*INDEX(ERP資料!$O:$O,(MATCH(598, 輔助計算!$F$2:$F$801, 0)+1))), "")</f>
        <v/>
      </c>
      <c r="J599" s="16" t="n"/>
      <c r="K599" s="15">
        <f>IFERROR(INDEX(輔助計算!$D:$D, (MATCH(598, 輔助計算!$F$2:$F$801, 0)+1)), "")</f>
        <v/>
      </c>
      <c r="L599" s="16">
        <f>IFERROR(IF(AND(IFERROR(VLOOKUP(LEFT(INDEX(ERP資料!$S:$S, (MATCH(598, 輔助計算!$F$2:$F$801, 0)+1)), 4), 100張客戶!$A:$A, 1, FALSE), "")&lt;&gt;"", OR(INDEX(ERP資料!$F:$F, (MATCH(598, 輔助計算!$F$2:$F$801, 0)+1))=270, INDEX(ERP資料!$F:$F, (MATCH(598, 輔助計算!$F$2:$F$801, 0)+1))=300)), "100張", ""), "")</f>
        <v/>
      </c>
      <c r="M599" s="17" t="n"/>
      <c r="N599" s="17">
        <f>IF($F599="","",$F599)</f>
        <v/>
      </c>
      <c r="O599" s="17">
        <f>IF($G599="","",$G599)</f>
        <v/>
      </c>
      <c r="P599" s="17">
        <f>IF($K599="","",$K599)</f>
        <v/>
      </c>
      <c r="Q599" s="16" t="n"/>
      <c r="R599" s="18" t="n"/>
      <c r="S599" s="16" t="n"/>
    </row>
    <row r="600">
      <c r="A600" s="14">
        <f>IFERROR(IF(AND(IFERROR(INDEX(ERP資料!$A:$A, (MATCH(599, 輔助計算!$F$2:$F$801, 0)+1)), "")&lt;&gt;"", IFERROR(INDEX(ERP資料!$A:$A, (MATCH(599, 輔助計算!$F$2:$F$801, 0)+1)), "")&lt;&gt;IFERROR(INDEX(ERP資料!$A:$A, MATCH(598, 輔助計算!$F$2:$F$801, 0)+1), "")), INDEX(ERP資料!$B:$B, (MATCH(599, 輔助計算!$F$2:$F$801, 0)+1)), ""), "")</f>
        <v/>
      </c>
      <c r="B600" s="10">
        <f>IFERROR(IF(AND(IFERROR(INDEX(ERP資料!$A:$A, (MATCH(599, 輔助計算!$F$2:$F$801, 0)+1)), "")&lt;&gt;"", IFERROR(INDEX(ERP資料!$A:$A, (MATCH(599, 輔助計算!$F$2:$F$801, 0)+1)), "")&lt;&gt;IFERROR(INDEX(ERP資料!$A:$A, MATCH(598, 輔助計算!$F$2:$F$801, 0)+1), "")), IFERROR(INDEX(ERP資料!$A:$A, (MATCH(599, 輔助計算!$F$2:$F$801, 0)+1)), ""), ""), "")</f>
        <v/>
      </c>
      <c r="C600" s="10">
        <f>IFERROR(IF(AND(IFERROR(INDEX(ERP資料!$A:$A, (MATCH(599, 輔助計算!$F$2:$F$801, 0)+1)), "")&lt;&gt;"", IFERROR(INDEX(ERP資料!$A:$A, (MATCH(599, 輔助計算!$F$2:$F$801, 0)+1)), "")&lt;&gt;IFERROR(INDEX(ERP資料!$A:$A, MATCH(598, 輔助計算!$F$2:$F$801, 0)+1), "")), INDEX(ERP資料!$S:$S, (MATCH(599, 輔助計算!$F$2:$F$801, 0)+1)), ""), "")</f>
        <v/>
      </c>
      <c r="D600" s="10">
        <f>IFERROR(IF(INDEX(ERP資料!$E:$E, (MATCH(599, 輔助計算!$F$2:$F$801, 0)+1))="","",TRIM(INDEX(ERP資料!$E:$E, (MATCH(599, 輔助計算!$F$2:$F$801, 0)+1)))), "")</f>
        <v/>
      </c>
      <c r="E600" s="10">
        <f>IFERROR(IF(INDEX(ERP資料!$F:$F, (MATCH(599, 輔助計算!$F$2:$F$801, 0)+1))="","",INDEX(ERP資料!$F:$F, (MATCH(599, 輔助計算!$F$2:$F$801, 0)+1))), "")</f>
        <v/>
      </c>
      <c r="F600" s="10">
        <f>IFERROR(IF(INDEX(ERP資料!$G:$G, (MATCH(599, 輔助計算!$F$2:$F$801, 0)+1))="","",INDEX(ERP資料!$G:$G, (MATCH(599, 輔助計算!$F$2:$F$801, 0)+1))), "")</f>
        <v/>
      </c>
      <c r="G600" s="10">
        <f>IFERROR(IF(INDEX(ERP資料!$H:$H, (MATCH(599, 輔助計算!$F$2:$F$801, 0)+1))="","",INDEX(ERP資料!$H:$H, (MATCH(599, 輔助計算!$F$2:$F$801, 0)+1))), "")</f>
        <v/>
      </c>
      <c r="H600" s="10">
        <f>IFERROR(IF(INDEX(ERP資料!$O:$O, (MATCH(599, 輔助計算!$F$2:$F$801, 0)+1))="","",INDEX(ERP資料!$O:$O, (MATCH(599, 輔助計算!$F$2:$F$801, 0)+1))), "")</f>
        <v/>
      </c>
      <c r="I600" s="15">
        <f>IFERROR(IF(INDEX(輔助計算!$D:$D,(MATCH(599, 輔助計算!$F$2:$F$801, 0)+1))="","",INDEX(輔助計算!$D:$D,(MATCH(599, 輔助計算!$F$2:$F$801, 0)+1))*INDEX(ERP資料!$O:$O,(MATCH(599, 輔助計算!$F$2:$F$801, 0)+1))), "")</f>
        <v/>
      </c>
      <c r="J600" s="16" t="n"/>
      <c r="K600" s="15">
        <f>IFERROR(INDEX(輔助計算!$D:$D, (MATCH(599, 輔助計算!$F$2:$F$801, 0)+1)), "")</f>
        <v/>
      </c>
      <c r="L600" s="16">
        <f>IFERROR(IF(AND(IFERROR(VLOOKUP(LEFT(INDEX(ERP資料!$S:$S, (MATCH(599, 輔助計算!$F$2:$F$801, 0)+1)), 4), 100張客戶!$A:$A, 1, FALSE), "")&lt;&gt;"", OR(INDEX(ERP資料!$F:$F, (MATCH(599, 輔助計算!$F$2:$F$801, 0)+1))=270, INDEX(ERP資料!$F:$F, (MATCH(599, 輔助計算!$F$2:$F$801, 0)+1))=300)), "100張", ""), "")</f>
        <v/>
      </c>
      <c r="M600" s="17" t="n"/>
      <c r="N600" s="17">
        <f>IF($F600="","",$F600)</f>
        <v/>
      </c>
      <c r="O600" s="17">
        <f>IF($G600="","",$G600)</f>
        <v/>
      </c>
      <c r="P600" s="17">
        <f>IF($K600="","",$K600)</f>
        <v/>
      </c>
      <c r="Q600" s="16" t="n"/>
      <c r="R600" s="18" t="n"/>
      <c r="S600" s="16" t="n"/>
    </row>
    <row r="601">
      <c r="A601" s="14">
        <f>IFERROR(IF(AND(IFERROR(INDEX(ERP資料!$A:$A, (MATCH(600, 輔助計算!$F$2:$F$801, 0)+1)), "")&lt;&gt;"", IFERROR(INDEX(ERP資料!$A:$A, (MATCH(600, 輔助計算!$F$2:$F$801, 0)+1)), "")&lt;&gt;IFERROR(INDEX(ERP資料!$A:$A, MATCH(599, 輔助計算!$F$2:$F$801, 0)+1), "")), INDEX(ERP資料!$B:$B, (MATCH(600, 輔助計算!$F$2:$F$801, 0)+1)), ""), "")</f>
        <v/>
      </c>
      <c r="B601" s="10">
        <f>IFERROR(IF(AND(IFERROR(INDEX(ERP資料!$A:$A, (MATCH(600, 輔助計算!$F$2:$F$801, 0)+1)), "")&lt;&gt;"", IFERROR(INDEX(ERP資料!$A:$A, (MATCH(600, 輔助計算!$F$2:$F$801, 0)+1)), "")&lt;&gt;IFERROR(INDEX(ERP資料!$A:$A, MATCH(599, 輔助計算!$F$2:$F$801, 0)+1), "")), IFERROR(INDEX(ERP資料!$A:$A, (MATCH(600, 輔助計算!$F$2:$F$801, 0)+1)), ""), ""), "")</f>
        <v/>
      </c>
      <c r="C601" s="10">
        <f>IFERROR(IF(AND(IFERROR(INDEX(ERP資料!$A:$A, (MATCH(600, 輔助計算!$F$2:$F$801, 0)+1)), "")&lt;&gt;"", IFERROR(INDEX(ERP資料!$A:$A, (MATCH(600, 輔助計算!$F$2:$F$801, 0)+1)), "")&lt;&gt;IFERROR(INDEX(ERP資料!$A:$A, MATCH(599, 輔助計算!$F$2:$F$801, 0)+1), "")), INDEX(ERP資料!$S:$S, (MATCH(600, 輔助計算!$F$2:$F$801, 0)+1)), ""), "")</f>
        <v/>
      </c>
      <c r="D601" s="10">
        <f>IFERROR(IF(INDEX(ERP資料!$E:$E, (MATCH(600, 輔助計算!$F$2:$F$801, 0)+1))="","",TRIM(INDEX(ERP資料!$E:$E, (MATCH(600, 輔助計算!$F$2:$F$801, 0)+1)))), "")</f>
        <v/>
      </c>
      <c r="E601" s="10">
        <f>IFERROR(IF(INDEX(ERP資料!$F:$F, (MATCH(600, 輔助計算!$F$2:$F$801, 0)+1))="","",INDEX(ERP資料!$F:$F, (MATCH(600, 輔助計算!$F$2:$F$801, 0)+1))), "")</f>
        <v/>
      </c>
      <c r="F601" s="10">
        <f>IFERROR(IF(INDEX(ERP資料!$G:$G, (MATCH(600, 輔助計算!$F$2:$F$801, 0)+1))="","",INDEX(ERP資料!$G:$G, (MATCH(600, 輔助計算!$F$2:$F$801, 0)+1))), "")</f>
        <v/>
      </c>
      <c r="G601" s="10">
        <f>IFERROR(IF(INDEX(ERP資料!$H:$H, (MATCH(600, 輔助計算!$F$2:$F$801, 0)+1))="","",INDEX(ERP資料!$H:$H, (MATCH(600, 輔助計算!$F$2:$F$801, 0)+1))), "")</f>
        <v/>
      </c>
      <c r="H601" s="10">
        <f>IFERROR(IF(INDEX(ERP資料!$O:$O, (MATCH(600, 輔助計算!$F$2:$F$801, 0)+1))="","",INDEX(ERP資料!$O:$O, (MATCH(600, 輔助計算!$F$2:$F$801, 0)+1))), "")</f>
        <v/>
      </c>
      <c r="I601" s="15">
        <f>IFERROR(IF(INDEX(輔助計算!$D:$D,(MATCH(600, 輔助計算!$F$2:$F$801, 0)+1))="","",INDEX(輔助計算!$D:$D,(MATCH(600, 輔助計算!$F$2:$F$801, 0)+1))*INDEX(ERP資料!$O:$O,(MATCH(600, 輔助計算!$F$2:$F$801, 0)+1))), "")</f>
        <v/>
      </c>
      <c r="J601" s="16" t="n"/>
      <c r="K601" s="15">
        <f>IFERROR(INDEX(輔助計算!$D:$D, (MATCH(600, 輔助計算!$F$2:$F$801, 0)+1)), "")</f>
        <v/>
      </c>
      <c r="L601" s="16">
        <f>IFERROR(IF(AND(IFERROR(VLOOKUP(LEFT(INDEX(ERP資料!$S:$S, (MATCH(600, 輔助計算!$F$2:$F$801, 0)+1)), 4), 100張客戶!$A:$A, 1, FALSE), "")&lt;&gt;"", OR(INDEX(ERP資料!$F:$F, (MATCH(600, 輔助計算!$F$2:$F$801, 0)+1))=270, INDEX(ERP資料!$F:$F, (MATCH(600, 輔助計算!$F$2:$F$801, 0)+1))=300)), "100張", ""), "")</f>
        <v/>
      </c>
      <c r="M601" s="17" t="n"/>
      <c r="N601" s="17">
        <f>IF($F601="","",$F601)</f>
        <v/>
      </c>
      <c r="O601" s="17">
        <f>IF($G601="","",$G601)</f>
        <v/>
      </c>
      <c r="P601" s="17">
        <f>IF($K601="","",$K601)</f>
        <v/>
      </c>
      <c r="Q601" s="16" t="n"/>
      <c r="R601" s="18" t="n"/>
      <c r="S601" s="16" t="n"/>
    </row>
    <row r="602">
      <c r="A602" s="14">
        <f>IFERROR(IF(AND(IFERROR(INDEX(ERP資料!$A:$A, (MATCH(601, 輔助計算!$F$2:$F$801, 0)+1)), "")&lt;&gt;"", IFERROR(INDEX(ERP資料!$A:$A, (MATCH(601, 輔助計算!$F$2:$F$801, 0)+1)), "")&lt;&gt;IFERROR(INDEX(ERP資料!$A:$A, MATCH(600, 輔助計算!$F$2:$F$801, 0)+1), "")), INDEX(ERP資料!$B:$B, (MATCH(601, 輔助計算!$F$2:$F$801, 0)+1)), ""), "")</f>
        <v/>
      </c>
      <c r="B602" s="10">
        <f>IFERROR(IF(AND(IFERROR(INDEX(ERP資料!$A:$A, (MATCH(601, 輔助計算!$F$2:$F$801, 0)+1)), "")&lt;&gt;"", IFERROR(INDEX(ERP資料!$A:$A, (MATCH(601, 輔助計算!$F$2:$F$801, 0)+1)), "")&lt;&gt;IFERROR(INDEX(ERP資料!$A:$A, MATCH(600, 輔助計算!$F$2:$F$801, 0)+1), "")), IFERROR(INDEX(ERP資料!$A:$A, (MATCH(601, 輔助計算!$F$2:$F$801, 0)+1)), ""), ""), "")</f>
        <v/>
      </c>
      <c r="C602" s="10">
        <f>IFERROR(IF(AND(IFERROR(INDEX(ERP資料!$A:$A, (MATCH(601, 輔助計算!$F$2:$F$801, 0)+1)), "")&lt;&gt;"", IFERROR(INDEX(ERP資料!$A:$A, (MATCH(601, 輔助計算!$F$2:$F$801, 0)+1)), "")&lt;&gt;IFERROR(INDEX(ERP資料!$A:$A, MATCH(600, 輔助計算!$F$2:$F$801, 0)+1), "")), INDEX(ERP資料!$S:$S, (MATCH(601, 輔助計算!$F$2:$F$801, 0)+1)), ""), "")</f>
        <v/>
      </c>
      <c r="D602" s="10">
        <f>IFERROR(IF(INDEX(ERP資料!$E:$E, (MATCH(601, 輔助計算!$F$2:$F$801, 0)+1))="","",TRIM(INDEX(ERP資料!$E:$E, (MATCH(601, 輔助計算!$F$2:$F$801, 0)+1)))), "")</f>
        <v/>
      </c>
      <c r="E602" s="10">
        <f>IFERROR(IF(INDEX(ERP資料!$F:$F, (MATCH(601, 輔助計算!$F$2:$F$801, 0)+1))="","",INDEX(ERP資料!$F:$F, (MATCH(601, 輔助計算!$F$2:$F$801, 0)+1))), "")</f>
        <v/>
      </c>
      <c r="F602" s="10">
        <f>IFERROR(IF(INDEX(ERP資料!$G:$G, (MATCH(601, 輔助計算!$F$2:$F$801, 0)+1))="","",INDEX(ERP資料!$G:$G, (MATCH(601, 輔助計算!$F$2:$F$801, 0)+1))), "")</f>
        <v/>
      </c>
      <c r="G602" s="10">
        <f>IFERROR(IF(INDEX(ERP資料!$H:$H, (MATCH(601, 輔助計算!$F$2:$F$801, 0)+1))="","",INDEX(ERP資料!$H:$H, (MATCH(601, 輔助計算!$F$2:$F$801, 0)+1))), "")</f>
        <v/>
      </c>
      <c r="H602" s="10">
        <f>IFERROR(IF(INDEX(ERP資料!$O:$O, (MATCH(601, 輔助計算!$F$2:$F$801, 0)+1))="","",INDEX(ERP資料!$O:$O, (MATCH(601, 輔助計算!$F$2:$F$801, 0)+1))), "")</f>
        <v/>
      </c>
      <c r="I602" s="15">
        <f>IFERROR(IF(INDEX(輔助計算!$D:$D,(MATCH(601, 輔助計算!$F$2:$F$801, 0)+1))="","",INDEX(輔助計算!$D:$D,(MATCH(601, 輔助計算!$F$2:$F$801, 0)+1))*INDEX(ERP資料!$O:$O,(MATCH(601, 輔助計算!$F$2:$F$801, 0)+1))), "")</f>
        <v/>
      </c>
      <c r="J602" s="16" t="n"/>
      <c r="K602" s="15">
        <f>IFERROR(INDEX(輔助計算!$D:$D, (MATCH(601, 輔助計算!$F$2:$F$801, 0)+1)), "")</f>
        <v/>
      </c>
      <c r="L602" s="16">
        <f>IFERROR(IF(AND(IFERROR(VLOOKUP(LEFT(INDEX(ERP資料!$S:$S, (MATCH(601, 輔助計算!$F$2:$F$801, 0)+1)), 4), 100張客戶!$A:$A, 1, FALSE), "")&lt;&gt;"", OR(INDEX(ERP資料!$F:$F, (MATCH(601, 輔助計算!$F$2:$F$801, 0)+1))=270, INDEX(ERP資料!$F:$F, (MATCH(601, 輔助計算!$F$2:$F$801, 0)+1))=300)), "100張", ""), "")</f>
        <v/>
      </c>
      <c r="M602" s="17" t="n"/>
      <c r="N602" s="17">
        <f>IF($F602="","",$F602)</f>
        <v/>
      </c>
      <c r="O602" s="17">
        <f>IF($G602="","",$G602)</f>
        <v/>
      </c>
      <c r="P602" s="17">
        <f>IF($K602="","",$K602)</f>
        <v/>
      </c>
      <c r="Q602" s="16" t="n"/>
      <c r="R602" s="18" t="n"/>
      <c r="S602" s="16" t="n"/>
    </row>
    <row r="603">
      <c r="A603" s="14">
        <f>IFERROR(IF(AND(IFERROR(INDEX(ERP資料!$A:$A, (MATCH(602, 輔助計算!$F$2:$F$801, 0)+1)), "")&lt;&gt;"", IFERROR(INDEX(ERP資料!$A:$A, (MATCH(602, 輔助計算!$F$2:$F$801, 0)+1)), "")&lt;&gt;IFERROR(INDEX(ERP資料!$A:$A, MATCH(601, 輔助計算!$F$2:$F$801, 0)+1), "")), INDEX(ERP資料!$B:$B, (MATCH(602, 輔助計算!$F$2:$F$801, 0)+1)), ""), "")</f>
        <v/>
      </c>
      <c r="B603" s="10">
        <f>IFERROR(IF(AND(IFERROR(INDEX(ERP資料!$A:$A, (MATCH(602, 輔助計算!$F$2:$F$801, 0)+1)), "")&lt;&gt;"", IFERROR(INDEX(ERP資料!$A:$A, (MATCH(602, 輔助計算!$F$2:$F$801, 0)+1)), "")&lt;&gt;IFERROR(INDEX(ERP資料!$A:$A, MATCH(601, 輔助計算!$F$2:$F$801, 0)+1), "")), IFERROR(INDEX(ERP資料!$A:$A, (MATCH(602, 輔助計算!$F$2:$F$801, 0)+1)), ""), ""), "")</f>
        <v/>
      </c>
      <c r="C603" s="10">
        <f>IFERROR(IF(AND(IFERROR(INDEX(ERP資料!$A:$A, (MATCH(602, 輔助計算!$F$2:$F$801, 0)+1)), "")&lt;&gt;"", IFERROR(INDEX(ERP資料!$A:$A, (MATCH(602, 輔助計算!$F$2:$F$801, 0)+1)), "")&lt;&gt;IFERROR(INDEX(ERP資料!$A:$A, MATCH(601, 輔助計算!$F$2:$F$801, 0)+1), "")), INDEX(ERP資料!$S:$S, (MATCH(602, 輔助計算!$F$2:$F$801, 0)+1)), ""), "")</f>
        <v/>
      </c>
      <c r="D603" s="10">
        <f>IFERROR(IF(INDEX(ERP資料!$E:$E, (MATCH(602, 輔助計算!$F$2:$F$801, 0)+1))="","",TRIM(INDEX(ERP資料!$E:$E, (MATCH(602, 輔助計算!$F$2:$F$801, 0)+1)))), "")</f>
        <v/>
      </c>
      <c r="E603" s="10">
        <f>IFERROR(IF(INDEX(ERP資料!$F:$F, (MATCH(602, 輔助計算!$F$2:$F$801, 0)+1))="","",INDEX(ERP資料!$F:$F, (MATCH(602, 輔助計算!$F$2:$F$801, 0)+1))), "")</f>
        <v/>
      </c>
      <c r="F603" s="10">
        <f>IFERROR(IF(INDEX(ERP資料!$G:$G, (MATCH(602, 輔助計算!$F$2:$F$801, 0)+1))="","",INDEX(ERP資料!$G:$G, (MATCH(602, 輔助計算!$F$2:$F$801, 0)+1))), "")</f>
        <v/>
      </c>
      <c r="G603" s="10">
        <f>IFERROR(IF(INDEX(ERP資料!$H:$H, (MATCH(602, 輔助計算!$F$2:$F$801, 0)+1))="","",INDEX(ERP資料!$H:$H, (MATCH(602, 輔助計算!$F$2:$F$801, 0)+1))), "")</f>
        <v/>
      </c>
      <c r="H603" s="10">
        <f>IFERROR(IF(INDEX(ERP資料!$O:$O, (MATCH(602, 輔助計算!$F$2:$F$801, 0)+1))="","",INDEX(ERP資料!$O:$O, (MATCH(602, 輔助計算!$F$2:$F$801, 0)+1))), "")</f>
        <v/>
      </c>
      <c r="I603" s="15">
        <f>IFERROR(IF(INDEX(輔助計算!$D:$D,(MATCH(602, 輔助計算!$F$2:$F$801, 0)+1))="","",INDEX(輔助計算!$D:$D,(MATCH(602, 輔助計算!$F$2:$F$801, 0)+1))*INDEX(ERP資料!$O:$O,(MATCH(602, 輔助計算!$F$2:$F$801, 0)+1))), "")</f>
        <v/>
      </c>
      <c r="J603" s="16" t="n"/>
      <c r="K603" s="15">
        <f>IFERROR(INDEX(輔助計算!$D:$D, (MATCH(602, 輔助計算!$F$2:$F$801, 0)+1)), "")</f>
        <v/>
      </c>
      <c r="L603" s="16">
        <f>IFERROR(IF(AND(IFERROR(VLOOKUP(LEFT(INDEX(ERP資料!$S:$S, (MATCH(602, 輔助計算!$F$2:$F$801, 0)+1)), 4), 100張客戶!$A:$A, 1, FALSE), "")&lt;&gt;"", OR(INDEX(ERP資料!$F:$F, (MATCH(602, 輔助計算!$F$2:$F$801, 0)+1))=270, INDEX(ERP資料!$F:$F, (MATCH(602, 輔助計算!$F$2:$F$801, 0)+1))=300)), "100張", ""), "")</f>
        <v/>
      </c>
      <c r="M603" s="17" t="n"/>
      <c r="N603" s="17">
        <f>IF($F603="","",$F603)</f>
        <v/>
      </c>
      <c r="O603" s="17">
        <f>IF($G603="","",$G603)</f>
        <v/>
      </c>
      <c r="P603" s="17">
        <f>IF($K603="","",$K603)</f>
        <v/>
      </c>
      <c r="Q603" s="16" t="n"/>
      <c r="R603" s="18" t="n"/>
      <c r="S603" s="16" t="n"/>
    </row>
    <row r="604">
      <c r="A604" s="14">
        <f>IFERROR(IF(AND(IFERROR(INDEX(ERP資料!$A:$A, (MATCH(603, 輔助計算!$F$2:$F$801, 0)+1)), "")&lt;&gt;"", IFERROR(INDEX(ERP資料!$A:$A, (MATCH(603, 輔助計算!$F$2:$F$801, 0)+1)), "")&lt;&gt;IFERROR(INDEX(ERP資料!$A:$A, MATCH(602, 輔助計算!$F$2:$F$801, 0)+1), "")), INDEX(ERP資料!$B:$B, (MATCH(603, 輔助計算!$F$2:$F$801, 0)+1)), ""), "")</f>
        <v/>
      </c>
      <c r="B604" s="10">
        <f>IFERROR(IF(AND(IFERROR(INDEX(ERP資料!$A:$A, (MATCH(603, 輔助計算!$F$2:$F$801, 0)+1)), "")&lt;&gt;"", IFERROR(INDEX(ERP資料!$A:$A, (MATCH(603, 輔助計算!$F$2:$F$801, 0)+1)), "")&lt;&gt;IFERROR(INDEX(ERP資料!$A:$A, MATCH(602, 輔助計算!$F$2:$F$801, 0)+1), "")), IFERROR(INDEX(ERP資料!$A:$A, (MATCH(603, 輔助計算!$F$2:$F$801, 0)+1)), ""), ""), "")</f>
        <v/>
      </c>
      <c r="C604" s="10">
        <f>IFERROR(IF(AND(IFERROR(INDEX(ERP資料!$A:$A, (MATCH(603, 輔助計算!$F$2:$F$801, 0)+1)), "")&lt;&gt;"", IFERROR(INDEX(ERP資料!$A:$A, (MATCH(603, 輔助計算!$F$2:$F$801, 0)+1)), "")&lt;&gt;IFERROR(INDEX(ERP資料!$A:$A, MATCH(602, 輔助計算!$F$2:$F$801, 0)+1), "")), INDEX(ERP資料!$S:$S, (MATCH(603, 輔助計算!$F$2:$F$801, 0)+1)), ""), "")</f>
        <v/>
      </c>
      <c r="D604" s="10">
        <f>IFERROR(IF(INDEX(ERP資料!$E:$E, (MATCH(603, 輔助計算!$F$2:$F$801, 0)+1))="","",TRIM(INDEX(ERP資料!$E:$E, (MATCH(603, 輔助計算!$F$2:$F$801, 0)+1)))), "")</f>
        <v/>
      </c>
      <c r="E604" s="10">
        <f>IFERROR(IF(INDEX(ERP資料!$F:$F, (MATCH(603, 輔助計算!$F$2:$F$801, 0)+1))="","",INDEX(ERP資料!$F:$F, (MATCH(603, 輔助計算!$F$2:$F$801, 0)+1))), "")</f>
        <v/>
      </c>
      <c r="F604" s="10">
        <f>IFERROR(IF(INDEX(ERP資料!$G:$G, (MATCH(603, 輔助計算!$F$2:$F$801, 0)+1))="","",INDEX(ERP資料!$G:$G, (MATCH(603, 輔助計算!$F$2:$F$801, 0)+1))), "")</f>
        <v/>
      </c>
      <c r="G604" s="10">
        <f>IFERROR(IF(INDEX(ERP資料!$H:$H, (MATCH(603, 輔助計算!$F$2:$F$801, 0)+1))="","",INDEX(ERP資料!$H:$H, (MATCH(603, 輔助計算!$F$2:$F$801, 0)+1))), "")</f>
        <v/>
      </c>
      <c r="H604" s="10">
        <f>IFERROR(IF(INDEX(ERP資料!$O:$O, (MATCH(603, 輔助計算!$F$2:$F$801, 0)+1))="","",INDEX(ERP資料!$O:$O, (MATCH(603, 輔助計算!$F$2:$F$801, 0)+1))), "")</f>
        <v/>
      </c>
      <c r="I604" s="15">
        <f>IFERROR(IF(INDEX(輔助計算!$D:$D,(MATCH(603, 輔助計算!$F$2:$F$801, 0)+1))="","",INDEX(輔助計算!$D:$D,(MATCH(603, 輔助計算!$F$2:$F$801, 0)+1))*INDEX(ERP資料!$O:$O,(MATCH(603, 輔助計算!$F$2:$F$801, 0)+1))), "")</f>
        <v/>
      </c>
      <c r="J604" s="16" t="n"/>
      <c r="K604" s="15">
        <f>IFERROR(INDEX(輔助計算!$D:$D, (MATCH(603, 輔助計算!$F$2:$F$801, 0)+1)), "")</f>
        <v/>
      </c>
      <c r="L604" s="16">
        <f>IFERROR(IF(AND(IFERROR(VLOOKUP(LEFT(INDEX(ERP資料!$S:$S, (MATCH(603, 輔助計算!$F$2:$F$801, 0)+1)), 4), 100張客戶!$A:$A, 1, FALSE), "")&lt;&gt;"", OR(INDEX(ERP資料!$F:$F, (MATCH(603, 輔助計算!$F$2:$F$801, 0)+1))=270, INDEX(ERP資料!$F:$F, (MATCH(603, 輔助計算!$F$2:$F$801, 0)+1))=300)), "100張", ""), "")</f>
        <v/>
      </c>
      <c r="M604" s="17" t="n"/>
      <c r="N604" s="17">
        <f>IF($F604="","",$F604)</f>
        <v/>
      </c>
      <c r="O604" s="17">
        <f>IF($G604="","",$G604)</f>
        <v/>
      </c>
      <c r="P604" s="17">
        <f>IF($K604="","",$K604)</f>
        <v/>
      </c>
      <c r="Q604" s="16" t="n"/>
      <c r="R604" s="18" t="n"/>
      <c r="S604" s="16" t="n"/>
    </row>
    <row r="605">
      <c r="A605" s="14">
        <f>IFERROR(IF(AND(IFERROR(INDEX(ERP資料!$A:$A, (MATCH(604, 輔助計算!$F$2:$F$801, 0)+1)), "")&lt;&gt;"", IFERROR(INDEX(ERP資料!$A:$A, (MATCH(604, 輔助計算!$F$2:$F$801, 0)+1)), "")&lt;&gt;IFERROR(INDEX(ERP資料!$A:$A, MATCH(603, 輔助計算!$F$2:$F$801, 0)+1), "")), INDEX(ERP資料!$B:$B, (MATCH(604, 輔助計算!$F$2:$F$801, 0)+1)), ""), "")</f>
        <v/>
      </c>
      <c r="B605" s="10">
        <f>IFERROR(IF(AND(IFERROR(INDEX(ERP資料!$A:$A, (MATCH(604, 輔助計算!$F$2:$F$801, 0)+1)), "")&lt;&gt;"", IFERROR(INDEX(ERP資料!$A:$A, (MATCH(604, 輔助計算!$F$2:$F$801, 0)+1)), "")&lt;&gt;IFERROR(INDEX(ERP資料!$A:$A, MATCH(603, 輔助計算!$F$2:$F$801, 0)+1), "")), IFERROR(INDEX(ERP資料!$A:$A, (MATCH(604, 輔助計算!$F$2:$F$801, 0)+1)), ""), ""), "")</f>
        <v/>
      </c>
      <c r="C605" s="10">
        <f>IFERROR(IF(AND(IFERROR(INDEX(ERP資料!$A:$A, (MATCH(604, 輔助計算!$F$2:$F$801, 0)+1)), "")&lt;&gt;"", IFERROR(INDEX(ERP資料!$A:$A, (MATCH(604, 輔助計算!$F$2:$F$801, 0)+1)), "")&lt;&gt;IFERROR(INDEX(ERP資料!$A:$A, MATCH(603, 輔助計算!$F$2:$F$801, 0)+1), "")), INDEX(ERP資料!$S:$S, (MATCH(604, 輔助計算!$F$2:$F$801, 0)+1)), ""), "")</f>
        <v/>
      </c>
      <c r="D605" s="10">
        <f>IFERROR(IF(INDEX(ERP資料!$E:$E, (MATCH(604, 輔助計算!$F$2:$F$801, 0)+1))="","",TRIM(INDEX(ERP資料!$E:$E, (MATCH(604, 輔助計算!$F$2:$F$801, 0)+1)))), "")</f>
        <v/>
      </c>
      <c r="E605" s="10">
        <f>IFERROR(IF(INDEX(ERP資料!$F:$F, (MATCH(604, 輔助計算!$F$2:$F$801, 0)+1))="","",INDEX(ERP資料!$F:$F, (MATCH(604, 輔助計算!$F$2:$F$801, 0)+1))), "")</f>
        <v/>
      </c>
      <c r="F605" s="10">
        <f>IFERROR(IF(INDEX(ERP資料!$G:$G, (MATCH(604, 輔助計算!$F$2:$F$801, 0)+1))="","",INDEX(ERP資料!$G:$G, (MATCH(604, 輔助計算!$F$2:$F$801, 0)+1))), "")</f>
        <v/>
      </c>
      <c r="G605" s="10">
        <f>IFERROR(IF(INDEX(ERP資料!$H:$H, (MATCH(604, 輔助計算!$F$2:$F$801, 0)+1))="","",INDEX(ERP資料!$H:$H, (MATCH(604, 輔助計算!$F$2:$F$801, 0)+1))), "")</f>
        <v/>
      </c>
      <c r="H605" s="10">
        <f>IFERROR(IF(INDEX(ERP資料!$O:$O, (MATCH(604, 輔助計算!$F$2:$F$801, 0)+1))="","",INDEX(ERP資料!$O:$O, (MATCH(604, 輔助計算!$F$2:$F$801, 0)+1))), "")</f>
        <v/>
      </c>
      <c r="I605" s="15">
        <f>IFERROR(IF(INDEX(輔助計算!$D:$D,(MATCH(604, 輔助計算!$F$2:$F$801, 0)+1))="","",INDEX(輔助計算!$D:$D,(MATCH(604, 輔助計算!$F$2:$F$801, 0)+1))*INDEX(ERP資料!$O:$O,(MATCH(604, 輔助計算!$F$2:$F$801, 0)+1))), "")</f>
        <v/>
      </c>
      <c r="J605" s="16" t="n"/>
      <c r="K605" s="15">
        <f>IFERROR(INDEX(輔助計算!$D:$D, (MATCH(604, 輔助計算!$F$2:$F$801, 0)+1)), "")</f>
        <v/>
      </c>
      <c r="L605" s="16">
        <f>IFERROR(IF(AND(IFERROR(VLOOKUP(LEFT(INDEX(ERP資料!$S:$S, (MATCH(604, 輔助計算!$F$2:$F$801, 0)+1)), 4), 100張客戶!$A:$A, 1, FALSE), "")&lt;&gt;"", OR(INDEX(ERP資料!$F:$F, (MATCH(604, 輔助計算!$F$2:$F$801, 0)+1))=270, INDEX(ERP資料!$F:$F, (MATCH(604, 輔助計算!$F$2:$F$801, 0)+1))=300)), "100張", ""), "")</f>
        <v/>
      </c>
      <c r="M605" s="17" t="n"/>
      <c r="N605" s="17">
        <f>IF($F605="","",$F605)</f>
        <v/>
      </c>
      <c r="O605" s="17">
        <f>IF($G605="","",$G605)</f>
        <v/>
      </c>
      <c r="P605" s="17">
        <f>IF($K605="","",$K605)</f>
        <v/>
      </c>
      <c r="Q605" s="16" t="n"/>
      <c r="R605" s="18" t="n"/>
      <c r="S605" s="16" t="n"/>
    </row>
    <row r="606">
      <c r="A606" s="14">
        <f>IFERROR(IF(AND(IFERROR(INDEX(ERP資料!$A:$A, (MATCH(605, 輔助計算!$F$2:$F$801, 0)+1)), "")&lt;&gt;"", IFERROR(INDEX(ERP資料!$A:$A, (MATCH(605, 輔助計算!$F$2:$F$801, 0)+1)), "")&lt;&gt;IFERROR(INDEX(ERP資料!$A:$A, MATCH(604, 輔助計算!$F$2:$F$801, 0)+1), "")), INDEX(ERP資料!$B:$B, (MATCH(605, 輔助計算!$F$2:$F$801, 0)+1)), ""), "")</f>
        <v/>
      </c>
      <c r="B606" s="10">
        <f>IFERROR(IF(AND(IFERROR(INDEX(ERP資料!$A:$A, (MATCH(605, 輔助計算!$F$2:$F$801, 0)+1)), "")&lt;&gt;"", IFERROR(INDEX(ERP資料!$A:$A, (MATCH(605, 輔助計算!$F$2:$F$801, 0)+1)), "")&lt;&gt;IFERROR(INDEX(ERP資料!$A:$A, MATCH(604, 輔助計算!$F$2:$F$801, 0)+1), "")), IFERROR(INDEX(ERP資料!$A:$A, (MATCH(605, 輔助計算!$F$2:$F$801, 0)+1)), ""), ""), "")</f>
        <v/>
      </c>
      <c r="C606" s="10">
        <f>IFERROR(IF(AND(IFERROR(INDEX(ERP資料!$A:$A, (MATCH(605, 輔助計算!$F$2:$F$801, 0)+1)), "")&lt;&gt;"", IFERROR(INDEX(ERP資料!$A:$A, (MATCH(605, 輔助計算!$F$2:$F$801, 0)+1)), "")&lt;&gt;IFERROR(INDEX(ERP資料!$A:$A, MATCH(604, 輔助計算!$F$2:$F$801, 0)+1), "")), INDEX(ERP資料!$S:$S, (MATCH(605, 輔助計算!$F$2:$F$801, 0)+1)), ""), "")</f>
        <v/>
      </c>
      <c r="D606" s="10">
        <f>IFERROR(IF(INDEX(ERP資料!$E:$E, (MATCH(605, 輔助計算!$F$2:$F$801, 0)+1))="","",TRIM(INDEX(ERP資料!$E:$E, (MATCH(605, 輔助計算!$F$2:$F$801, 0)+1)))), "")</f>
        <v/>
      </c>
      <c r="E606" s="10">
        <f>IFERROR(IF(INDEX(ERP資料!$F:$F, (MATCH(605, 輔助計算!$F$2:$F$801, 0)+1))="","",INDEX(ERP資料!$F:$F, (MATCH(605, 輔助計算!$F$2:$F$801, 0)+1))), "")</f>
        <v/>
      </c>
      <c r="F606" s="10">
        <f>IFERROR(IF(INDEX(ERP資料!$G:$G, (MATCH(605, 輔助計算!$F$2:$F$801, 0)+1))="","",INDEX(ERP資料!$G:$G, (MATCH(605, 輔助計算!$F$2:$F$801, 0)+1))), "")</f>
        <v/>
      </c>
      <c r="G606" s="10">
        <f>IFERROR(IF(INDEX(ERP資料!$H:$H, (MATCH(605, 輔助計算!$F$2:$F$801, 0)+1))="","",INDEX(ERP資料!$H:$H, (MATCH(605, 輔助計算!$F$2:$F$801, 0)+1))), "")</f>
        <v/>
      </c>
      <c r="H606" s="10">
        <f>IFERROR(IF(INDEX(ERP資料!$O:$O, (MATCH(605, 輔助計算!$F$2:$F$801, 0)+1))="","",INDEX(ERP資料!$O:$O, (MATCH(605, 輔助計算!$F$2:$F$801, 0)+1))), "")</f>
        <v/>
      </c>
      <c r="I606" s="15">
        <f>IFERROR(IF(INDEX(輔助計算!$D:$D,(MATCH(605, 輔助計算!$F$2:$F$801, 0)+1))="","",INDEX(輔助計算!$D:$D,(MATCH(605, 輔助計算!$F$2:$F$801, 0)+1))*INDEX(ERP資料!$O:$O,(MATCH(605, 輔助計算!$F$2:$F$801, 0)+1))), "")</f>
        <v/>
      </c>
      <c r="J606" s="16" t="n"/>
      <c r="K606" s="15">
        <f>IFERROR(INDEX(輔助計算!$D:$D, (MATCH(605, 輔助計算!$F$2:$F$801, 0)+1)), "")</f>
        <v/>
      </c>
      <c r="L606" s="16">
        <f>IFERROR(IF(AND(IFERROR(VLOOKUP(LEFT(INDEX(ERP資料!$S:$S, (MATCH(605, 輔助計算!$F$2:$F$801, 0)+1)), 4), 100張客戶!$A:$A, 1, FALSE), "")&lt;&gt;"", OR(INDEX(ERP資料!$F:$F, (MATCH(605, 輔助計算!$F$2:$F$801, 0)+1))=270, INDEX(ERP資料!$F:$F, (MATCH(605, 輔助計算!$F$2:$F$801, 0)+1))=300)), "100張", ""), "")</f>
        <v/>
      </c>
      <c r="M606" s="17" t="n"/>
      <c r="N606" s="17">
        <f>IF($F606="","",$F606)</f>
        <v/>
      </c>
      <c r="O606" s="17">
        <f>IF($G606="","",$G606)</f>
        <v/>
      </c>
      <c r="P606" s="17">
        <f>IF($K606="","",$K606)</f>
        <v/>
      </c>
      <c r="Q606" s="16" t="n"/>
      <c r="R606" s="18" t="n"/>
      <c r="S606" s="16" t="n"/>
    </row>
    <row r="607">
      <c r="A607" s="14">
        <f>IFERROR(IF(AND(IFERROR(INDEX(ERP資料!$A:$A, (MATCH(606, 輔助計算!$F$2:$F$801, 0)+1)), "")&lt;&gt;"", IFERROR(INDEX(ERP資料!$A:$A, (MATCH(606, 輔助計算!$F$2:$F$801, 0)+1)), "")&lt;&gt;IFERROR(INDEX(ERP資料!$A:$A, MATCH(605, 輔助計算!$F$2:$F$801, 0)+1), "")), INDEX(ERP資料!$B:$B, (MATCH(606, 輔助計算!$F$2:$F$801, 0)+1)), ""), "")</f>
        <v/>
      </c>
      <c r="B607" s="10">
        <f>IFERROR(IF(AND(IFERROR(INDEX(ERP資料!$A:$A, (MATCH(606, 輔助計算!$F$2:$F$801, 0)+1)), "")&lt;&gt;"", IFERROR(INDEX(ERP資料!$A:$A, (MATCH(606, 輔助計算!$F$2:$F$801, 0)+1)), "")&lt;&gt;IFERROR(INDEX(ERP資料!$A:$A, MATCH(605, 輔助計算!$F$2:$F$801, 0)+1), "")), IFERROR(INDEX(ERP資料!$A:$A, (MATCH(606, 輔助計算!$F$2:$F$801, 0)+1)), ""), ""), "")</f>
        <v/>
      </c>
      <c r="C607" s="10">
        <f>IFERROR(IF(AND(IFERROR(INDEX(ERP資料!$A:$A, (MATCH(606, 輔助計算!$F$2:$F$801, 0)+1)), "")&lt;&gt;"", IFERROR(INDEX(ERP資料!$A:$A, (MATCH(606, 輔助計算!$F$2:$F$801, 0)+1)), "")&lt;&gt;IFERROR(INDEX(ERP資料!$A:$A, MATCH(605, 輔助計算!$F$2:$F$801, 0)+1), "")), INDEX(ERP資料!$S:$S, (MATCH(606, 輔助計算!$F$2:$F$801, 0)+1)), ""), "")</f>
        <v/>
      </c>
      <c r="D607" s="10">
        <f>IFERROR(IF(INDEX(ERP資料!$E:$E, (MATCH(606, 輔助計算!$F$2:$F$801, 0)+1))="","",TRIM(INDEX(ERP資料!$E:$E, (MATCH(606, 輔助計算!$F$2:$F$801, 0)+1)))), "")</f>
        <v/>
      </c>
      <c r="E607" s="10">
        <f>IFERROR(IF(INDEX(ERP資料!$F:$F, (MATCH(606, 輔助計算!$F$2:$F$801, 0)+1))="","",INDEX(ERP資料!$F:$F, (MATCH(606, 輔助計算!$F$2:$F$801, 0)+1))), "")</f>
        <v/>
      </c>
      <c r="F607" s="10">
        <f>IFERROR(IF(INDEX(ERP資料!$G:$G, (MATCH(606, 輔助計算!$F$2:$F$801, 0)+1))="","",INDEX(ERP資料!$G:$G, (MATCH(606, 輔助計算!$F$2:$F$801, 0)+1))), "")</f>
        <v/>
      </c>
      <c r="G607" s="10">
        <f>IFERROR(IF(INDEX(ERP資料!$H:$H, (MATCH(606, 輔助計算!$F$2:$F$801, 0)+1))="","",INDEX(ERP資料!$H:$H, (MATCH(606, 輔助計算!$F$2:$F$801, 0)+1))), "")</f>
        <v/>
      </c>
      <c r="H607" s="10">
        <f>IFERROR(IF(INDEX(ERP資料!$O:$O, (MATCH(606, 輔助計算!$F$2:$F$801, 0)+1))="","",INDEX(ERP資料!$O:$O, (MATCH(606, 輔助計算!$F$2:$F$801, 0)+1))), "")</f>
        <v/>
      </c>
      <c r="I607" s="15">
        <f>IFERROR(IF(INDEX(輔助計算!$D:$D,(MATCH(606, 輔助計算!$F$2:$F$801, 0)+1))="","",INDEX(輔助計算!$D:$D,(MATCH(606, 輔助計算!$F$2:$F$801, 0)+1))*INDEX(ERP資料!$O:$O,(MATCH(606, 輔助計算!$F$2:$F$801, 0)+1))), "")</f>
        <v/>
      </c>
      <c r="J607" s="16" t="n"/>
      <c r="K607" s="15">
        <f>IFERROR(INDEX(輔助計算!$D:$D, (MATCH(606, 輔助計算!$F$2:$F$801, 0)+1)), "")</f>
        <v/>
      </c>
      <c r="L607" s="16">
        <f>IFERROR(IF(AND(IFERROR(VLOOKUP(LEFT(INDEX(ERP資料!$S:$S, (MATCH(606, 輔助計算!$F$2:$F$801, 0)+1)), 4), 100張客戶!$A:$A, 1, FALSE), "")&lt;&gt;"", OR(INDEX(ERP資料!$F:$F, (MATCH(606, 輔助計算!$F$2:$F$801, 0)+1))=270, INDEX(ERP資料!$F:$F, (MATCH(606, 輔助計算!$F$2:$F$801, 0)+1))=300)), "100張", ""), "")</f>
        <v/>
      </c>
      <c r="M607" s="17" t="n"/>
      <c r="N607" s="17">
        <f>IF($F607="","",$F607)</f>
        <v/>
      </c>
      <c r="O607" s="17">
        <f>IF($G607="","",$G607)</f>
        <v/>
      </c>
      <c r="P607" s="17">
        <f>IF($K607="","",$K607)</f>
        <v/>
      </c>
      <c r="Q607" s="16" t="n"/>
      <c r="R607" s="18" t="n"/>
      <c r="S607" s="16" t="n"/>
    </row>
    <row r="608">
      <c r="A608" s="14">
        <f>IFERROR(IF(AND(IFERROR(INDEX(ERP資料!$A:$A, (MATCH(607, 輔助計算!$F$2:$F$801, 0)+1)), "")&lt;&gt;"", IFERROR(INDEX(ERP資料!$A:$A, (MATCH(607, 輔助計算!$F$2:$F$801, 0)+1)), "")&lt;&gt;IFERROR(INDEX(ERP資料!$A:$A, MATCH(606, 輔助計算!$F$2:$F$801, 0)+1), "")), INDEX(ERP資料!$B:$B, (MATCH(607, 輔助計算!$F$2:$F$801, 0)+1)), ""), "")</f>
        <v/>
      </c>
      <c r="B608" s="10">
        <f>IFERROR(IF(AND(IFERROR(INDEX(ERP資料!$A:$A, (MATCH(607, 輔助計算!$F$2:$F$801, 0)+1)), "")&lt;&gt;"", IFERROR(INDEX(ERP資料!$A:$A, (MATCH(607, 輔助計算!$F$2:$F$801, 0)+1)), "")&lt;&gt;IFERROR(INDEX(ERP資料!$A:$A, MATCH(606, 輔助計算!$F$2:$F$801, 0)+1), "")), IFERROR(INDEX(ERP資料!$A:$A, (MATCH(607, 輔助計算!$F$2:$F$801, 0)+1)), ""), ""), "")</f>
        <v/>
      </c>
      <c r="C608" s="10">
        <f>IFERROR(IF(AND(IFERROR(INDEX(ERP資料!$A:$A, (MATCH(607, 輔助計算!$F$2:$F$801, 0)+1)), "")&lt;&gt;"", IFERROR(INDEX(ERP資料!$A:$A, (MATCH(607, 輔助計算!$F$2:$F$801, 0)+1)), "")&lt;&gt;IFERROR(INDEX(ERP資料!$A:$A, MATCH(606, 輔助計算!$F$2:$F$801, 0)+1), "")), INDEX(ERP資料!$S:$S, (MATCH(607, 輔助計算!$F$2:$F$801, 0)+1)), ""), "")</f>
        <v/>
      </c>
      <c r="D608" s="10">
        <f>IFERROR(IF(INDEX(ERP資料!$E:$E, (MATCH(607, 輔助計算!$F$2:$F$801, 0)+1))="","",TRIM(INDEX(ERP資料!$E:$E, (MATCH(607, 輔助計算!$F$2:$F$801, 0)+1)))), "")</f>
        <v/>
      </c>
      <c r="E608" s="10">
        <f>IFERROR(IF(INDEX(ERP資料!$F:$F, (MATCH(607, 輔助計算!$F$2:$F$801, 0)+1))="","",INDEX(ERP資料!$F:$F, (MATCH(607, 輔助計算!$F$2:$F$801, 0)+1))), "")</f>
        <v/>
      </c>
      <c r="F608" s="10">
        <f>IFERROR(IF(INDEX(ERP資料!$G:$G, (MATCH(607, 輔助計算!$F$2:$F$801, 0)+1))="","",INDEX(ERP資料!$G:$G, (MATCH(607, 輔助計算!$F$2:$F$801, 0)+1))), "")</f>
        <v/>
      </c>
      <c r="G608" s="10">
        <f>IFERROR(IF(INDEX(ERP資料!$H:$H, (MATCH(607, 輔助計算!$F$2:$F$801, 0)+1))="","",INDEX(ERP資料!$H:$H, (MATCH(607, 輔助計算!$F$2:$F$801, 0)+1))), "")</f>
        <v/>
      </c>
      <c r="H608" s="10">
        <f>IFERROR(IF(INDEX(ERP資料!$O:$O, (MATCH(607, 輔助計算!$F$2:$F$801, 0)+1))="","",INDEX(ERP資料!$O:$O, (MATCH(607, 輔助計算!$F$2:$F$801, 0)+1))), "")</f>
        <v/>
      </c>
      <c r="I608" s="15">
        <f>IFERROR(IF(INDEX(輔助計算!$D:$D,(MATCH(607, 輔助計算!$F$2:$F$801, 0)+1))="","",INDEX(輔助計算!$D:$D,(MATCH(607, 輔助計算!$F$2:$F$801, 0)+1))*INDEX(ERP資料!$O:$O,(MATCH(607, 輔助計算!$F$2:$F$801, 0)+1))), "")</f>
        <v/>
      </c>
      <c r="J608" s="16" t="n"/>
      <c r="K608" s="15">
        <f>IFERROR(INDEX(輔助計算!$D:$D, (MATCH(607, 輔助計算!$F$2:$F$801, 0)+1)), "")</f>
        <v/>
      </c>
      <c r="L608" s="16">
        <f>IFERROR(IF(AND(IFERROR(VLOOKUP(LEFT(INDEX(ERP資料!$S:$S, (MATCH(607, 輔助計算!$F$2:$F$801, 0)+1)), 4), 100張客戶!$A:$A, 1, FALSE), "")&lt;&gt;"", OR(INDEX(ERP資料!$F:$F, (MATCH(607, 輔助計算!$F$2:$F$801, 0)+1))=270, INDEX(ERP資料!$F:$F, (MATCH(607, 輔助計算!$F$2:$F$801, 0)+1))=300)), "100張", ""), "")</f>
        <v/>
      </c>
      <c r="M608" s="17" t="n"/>
      <c r="N608" s="17">
        <f>IF($F608="","",$F608)</f>
        <v/>
      </c>
      <c r="O608" s="17">
        <f>IF($G608="","",$G608)</f>
        <v/>
      </c>
      <c r="P608" s="17">
        <f>IF($K608="","",$K608)</f>
        <v/>
      </c>
      <c r="Q608" s="16" t="n"/>
      <c r="R608" s="18" t="n"/>
      <c r="S608" s="16" t="n"/>
    </row>
    <row r="609">
      <c r="A609" s="14">
        <f>IFERROR(IF(AND(IFERROR(INDEX(ERP資料!$A:$A, (MATCH(608, 輔助計算!$F$2:$F$801, 0)+1)), "")&lt;&gt;"", IFERROR(INDEX(ERP資料!$A:$A, (MATCH(608, 輔助計算!$F$2:$F$801, 0)+1)), "")&lt;&gt;IFERROR(INDEX(ERP資料!$A:$A, MATCH(607, 輔助計算!$F$2:$F$801, 0)+1), "")), INDEX(ERP資料!$B:$B, (MATCH(608, 輔助計算!$F$2:$F$801, 0)+1)), ""), "")</f>
        <v/>
      </c>
      <c r="B609" s="10">
        <f>IFERROR(IF(AND(IFERROR(INDEX(ERP資料!$A:$A, (MATCH(608, 輔助計算!$F$2:$F$801, 0)+1)), "")&lt;&gt;"", IFERROR(INDEX(ERP資料!$A:$A, (MATCH(608, 輔助計算!$F$2:$F$801, 0)+1)), "")&lt;&gt;IFERROR(INDEX(ERP資料!$A:$A, MATCH(607, 輔助計算!$F$2:$F$801, 0)+1), "")), IFERROR(INDEX(ERP資料!$A:$A, (MATCH(608, 輔助計算!$F$2:$F$801, 0)+1)), ""), ""), "")</f>
        <v/>
      </c>
      <c r="C609" s="10">
        <f>IFERROR(IF(AND(IFERROR(INDEX(ERP資料!$A:$A, (MATCH(608, 輔助計算!$F$2:$F$801, 0)+1)), "")&lt;&gt;"", IFERROR(INDEX(ERP資料!$A:$A, (MATCH(608, 輔助計算!$F$2:$F$801, 0)+1)), "")&lt;&gt;IFERROR(INDEX(ERP資料!$A:$A, MATCH(607, 輔助計算!$F$2:$F$801, 0)+1), "")), INDEX(ERP資料!$S:$S, (MATCH(608, 輔助計算!$F$2:$F$801, 0)+1)), ""), "")</f>
        <v/>
      </c>
      <c r="D609" s="10">
        <f>IFERROR(IF(INDEX(ERP資料!$E:$E, (MATCH(608, 輔助計算!$F$2:$F$801, 0)+1))="","",TRIM(INDEX(ERP資料!$E:$E, (MATCH(608, 輔助計算!$F$2:$F$801, 0)+1)))), "")</f>
        <v/>
      </c>
      <c r="E609" s="10">
        <f>IFERROR(IF(INDEX(ERP資料!$F:$F, (MATCH(608, 輔助計算!$F$2:$F$801, 0)+1))="","",INDEX(ERP資料!$F:$F, (MATCH(608, 輔助計算!$F$2:$F$801, 0)+1))), "")</f>
        <v/>
      </c>
      <c r="F609" s="10">
        <f>IFERROR(IF(INDEX(ERP資料!$G:$G, (MATCH(608, 輔助計算!$F$2:$F$801, 0)+1))="","",INDEX(ERP資料!$G:$G, (MATCH(608, 輔助計算!$F$2:$F$801, 0)+1))), "")</f>
        <v/>
      </c>
      <c r="G609" s="10">
        <f>IFERROR(IF(INDEX(ERP資料!$H:$H, (MATCH(608, 輔助計算!$F$2:$F$801, 0)+1))="","",INDEX(ERP資料!$H:$H, (MATCH(608, 輔助計算!$F$2:$F$801, 0)+1))), "")</f>
        <v/>
      </c>
      <c r="H609" s="10">
        <f>IFERROR(IF(INDEX(ERP資料!$O:$O, (MATCH(608, 輔助計算!$F$2:$F$801, 0)+1))="","",INDEX(ERP資料!$O:$O, (MATCH(608, 輔助計算!$F$2:$F$801, 0)+1))), "")</f>
        <v/>
      </c>
      <c r="I609" s="15">
        <f>IFERROR(IF(INDEX(輔助計算!$D:$D,(MATCH(608, 輔助計算!$F$2:$F$801, 0)+1))="","",INDEX(輔助計算!$D:$D,(MATCH(608, 輔助計算!$F$2:$F$801, 0)+1))*INDEX(ERP資料!$O:$O,(MATCH(608, 輔助計算!$F$2:$F$801, 0)+1))), "")</f>
        <v/>
      </c>
      <c r="J609" s="16" t="n"/>
      <c r="K609" s="15">
        <f>IFERROR(INDEX(輔助計算!$D:$D, (MATCH(608, 輔助計算!$F$2:$F$801, 0)+1)), "")</f>
        <v/>
      </c>
      <c r="L609" s="16">
        <f>IFERROR(IF(AND(IFERROR(VLOOKUP(LEFT(INDEX(ERP資料!$S:$S, (MATCH(608, 輔助計算!$F$2:$F$801, 0)+1)), 4), 100張客戶!$A:$A, 1, FALSE), "")&lt;&gt;"", OR(INDEX(ERP資料!$F:$F, (MATCH(608, 輔助計算!$F$2:$F$801, 0)+1))=270, INDEX(ERP資料!$F:$F, (MATCH(608, 輔助計算!$F$2:$F$801, 0)+1))=300)), "100張", ""), "")</f>
        <v/>
      </c>
      <c r="M609" s="17" t="n"/>
      <c r="N609" s="17">
        <f>IF($F609="","",$F609)</f>
        <v/>
      </c>
      <c r="O609" s="17">
        <f>IF($G609="","",$G609)</f>
        <v/>
      </c>
      <c r="P609" s="17">
        <f>IF($K609="","",$K609)</f>
        <v/>
      </c>
      <c r="Q609" s="16" t="n"/>
      <c r="R609" s="18" t="n"/>
      <c r="S609" s="16" t="n"/>
    </row>
    <row r="610">
      <c r="A610" s="14">
        <f>IFERROR(IF(AND(IFERROR(INDEX(ERP資料!$A:$A, (MATCH(609, 輔助計算!$F$2:$F$801, 0)+1)), "")&lt;&gt;"", IFERROR(INDEX(ERP資料!$A:$A, (MATCH(609, 輔助計算!$F$2:$F$801, 0)+1)), "")&lt;&gt;IFERROR(INDEX(ERP資料!$A:$A, MATCH(608, 輔助計算!$F$2:$F$801, 0)+1), "")), INDEX(ERP資料!$B:$B, (MATCH(609, 輔助計算!$F$2:$F$801, 0)+1)), ""), "")</f>
        <v/>
      </c>
      <c r="B610" s="10">
        <f>IFERROR(IF(AND(IFERROR(INDEX(ERP資料!$A:$A, (MATCH(609, 輔助計算!$F$2:$F$801, 0)+1)), "")&lt;&gt;"", IFERROR(INDEX(ERP資料!$A:$A, (MATCH(609, 輔助計算!$F$2:$F$801, 0)+1)), "")&lt;&gt;IFERROR(INDEX(ERP資料!$A:$A, MATCH(608, 輔助計算!$F$2:$F$801, 0)+1), "")), IFERROR(INDEX(ERP資料!$A:$A, (MATCH(609, 輔助計算!$F$2:$F$801, 0)+1)), ""), ""), "")</f>
        <v/>
      </c>
      <c r="C610" s="10">
        <f>IFERROR(IF(AND(IFERROR(INDEX(ERP資料!$A:$A, (MATCH(609, 輔助計算!$F$2:$F$801, 0)+1)), "")&lt;&gt;"", IFERROR(INDEX(ERP資料!$A:$A, (MATCH(609, 輔助計算!$F$2:$F$801, 0)+1)), "")&lt;&gt;IFERROR(INDEX(ERP資料!$A:$A, MATCH(608, 輔助計算!$F$2:$F$801, 0)+1), "")), INDEX(ERP資料!$S:$S, (MATCH(609, 輔助計算!$F$2:$F$801, 0)+1)), ""), "")</f>
        <v/>
      </c>
      <c r="D610" s="10">
        <f>IFERROR(IF(INDEX(ERP資料!$E:$E, (MATCH(609, 輔助計算!$F$2:$F$801, 0)+1))="","",TRIM(INDEX(ERP資料!$E:$E, (MATCH(609, 輔助計算!$F$2:$F$801, 0)+1)))), "")</f>
        <v/>
      </c>
      <c r="E610" s="10">
        <f>IFERROR(IF(INDEX(ERP資料!$F:$F, (MATCH(609, 輔助計算!$F$2:$F$801, 0)+1))="","",INDEX(ERP資料!$F:$F, (MATCH(609, 輔助計算!$F$2:$F$801, 0)+1))), "")</f>
        <v/>
      </c>
      <c r="F610" s="10">
        <f>IFERROR(IF(INDEX(ERP資料!$G:$G, (MATCH(609, 輔助計算!$F$2:$F$801, 0)+1))="","",INDEX(ERP資料!$G:$G, (MATCH(609, 輔助計算!$F$2:$F$801, 0)+1))), "")</f>
        <v/>
      </c>
      <c r="G610" s="10">
        <f>IFERROR(IF(INDEX(ERP資料!$H:$H, (MATCH(609, 輔助計算!$F$2:$F$801, 0)+1))="","",INDEX(ERP資料!$H:$H, (MATCH(609, 輔助計算!$F$2:$F$801, 0)+1))), "")</f>
        <v/>
      </c>
      <c r="H610" s="10">
        <f>IFERROR(IF(INDEX(ERP資料!$O:$O, (MATCH(609, 輔助計算!$F$2:$F$801, 0)+1))="","",INDEX(ERP資料!$O:$O, (MATCH(609, 輔助計算!$F$2:$F$801, 0)+1))), "")</f>
        <v/>
      </c>
      <c r="I610" s="15">
        <f>IFERROR(IF(INDEX(輔助計算!$D:$D,(MATCH(609, 輔助計算!$F$2:$F$801, 0)+1))="","",INDEX(輔助計算!$D:$D,(MATCH(609, 輔助計算!$F$2:$F$801, 0)+1))*INDEX(ERP資料!$O:$O,(MATCH(609, 輔助計算!$F$2:$F$801, 0)+1))), "")</f>
        <v/>
      </c>
      <c r="J610" s="16" t="n"/>
      <c r="K610" s="15">
        <f>IFERROR(INDEX(輔助計算!$D:$D, (MATCH(609, 輔助計算!$F$2:$F$801, 0)+1)), "")</f>
        <v/>
      </c>
      <c r="L610" s="16">
        <f>IFERROR(IF(AND(IFERROR(VLOOKUP(LEFT(INDEX(ERP資料!$S:$S, (MATCH(609, 輔助計算!$F$2:$F$801, 0)+1)), 4), 100張客戶!$A:$A, 1, FALSE), "")&lt;&gt;"", OR(INDEX(ERP資料!$F:$F, (MATCH(609, 輔助計算!$F$2:$F$801, 0)+1))=270, INDEX(ERP資料!$F:$F, (MATCH(609, 輔助計算!$F$2:$F$801, 0)+1))=300)), "100張", ""), "")</f>
        <v/>
      </c>
      <c r="M610" s="17" t="n"/>
      <c r="N610" s="17">
        <f>IF($F610="","",$F610)</f>
        <v/>
      </c>
      <c r="O610" s="17">
        <f>IF($G610="","",$G610)</f>
        <v/>
      </c>
      <c r="P610" s="17">
        <f>IF($K610="","",$K610)</f>
        <v/>
      </c>
      <c r="Q610" s="16" t="n"/>
      <c r="R610" s="18" t="n"/>
      <c r="S610" s="16" t="n"/>
    </row>
    <row r="611">
      <c r="A611" s="14">
        <f>IFERROR(IF(AND(IFERROR(INDEX(ERP資料!$A:$A, (MATCH(610, 輔助計算!$F$2:$F$801, 0)+1)), "")&lt;&gt;"", IFERROR(INDEX(ERP資料!$A:$A, (MATCH(610, 輔助計算!$F$2:$F$801, 0)+1)), "")&lt;&gt;IFERROR(INDEX(ERP資料!$A:$A, MATCH(609, 輔助計算!$F$2:$F$801, 0)+1), "")), INDEX(ERP資料!$B:$B, (MATCH(610, 輔助計算!$F$2:$F$801, 0)+1)), ""), "")</f>
        <v/>
      </c>
      <c r="B611" s="10">
        <f>IFERROR(IF(AND(IFERROR(INDEX(ERP資料!$A:$A, (MATCH(610, 輔助計算!$F$2:$F$801, 0)+1)), "")&lt;&gt;"", IFERROR(INDEX(ERP資料!$A:$A, (MATCH(610, 輔助計算!$F$2:$F$801, 0)+1)), "")&lt;&gt;IFERROR(INDEX(ERP資料!$A:$A, MATCH(609, 輔助計算!$F$2:$F$801, 0)+1), "")), IFERROR(INDEX(ERP資料!$A:$A, (MATCH(610, 輔助計算!$F$2:$F$801, 0)+1)), ""), ""), "")</f>
        <v/>
      </c>
      <c r="C611" s="10">
        <f>IFERROR(IF(AND(IFERROR(INDEX(ERP資料!$A:$A, (MATCH(610, 輔助計算!$F$2:$F$801, 0)+1)), "")&lt;&gt;"", IFERROR(INDEX(ERP資料!$A:$A, (MATCH(610, 輔助計算!$F$2:$F$801, 0)+1)), "")&lt;&gt;IFERROR(INDEX(ERP資料!$A:$A, MATCH(609, 輔助計算!$F$2:$F$801, 0)+1), "")), INDEX(ERP資料!$S:$S, (MATCH(610, 輔助計算!$F$2:$F$801, 0)+1)), ""), "")</f>
        <v/>
      </c>
      <c r="D611" s="10">
        <f>IFERROR(IF(INDEX(ERP資料!$E:$E, (MATCH(610, 輔助計算!$F$2:$F$801, 0)+1))="","",TRIM(INDEX(ERP資料!$E:$E, (MATCH(610, 輔助計算!$F$2:$F$801, 0)+1)))), "")</f>
        <v/>
      </c>
      <c r="E611" s="10">
        <f>IFERROR(IF(INDEX(ERP資料!$F:$F, (MATCH(610, 輔助計算!$F$2:$F$801, 0)+1))="","",INDEX(ERP資料!$F:$F, (MATCH(610, 輔助計算!$F$2:$F$801, 0)+1))), "")</f>
        <v/>
      </c>
      <c r="F611" s="10">
        <f>IFERROR(IF(INDEX(ERP資料!$G:$G, (MATCH(610, 輔助計算!$F$2:$F$801, 0)+1))="","",INDEX(ERP資料!$G:$G, (MATCH(610, 輔助計算!$F$2:$F$801, 0)+1))), "")</f>
        <v/>
      </c>
      <c r="G611" s="10">
        <f>IFERROR(IF(INDEX(ERP資料!$H:$H, (MATCH(610, 輔助計算!$F$2:$F$801, 0)+1))="","",INDEX(ERP資料!$H:$H, (MATCH(610, 輔助計算!$F$2:$F$801, 0)+1))), "")</f>
        <v/>
      </c>
      <c r="H611" s="10">
        <f>IFERROR(IF(INDEX(ERP資料!$O:$O, (MATCH(610, 輔助計算!$F$2:$F$801, 0)+1))="","",INDEX(ERP資料!$O:$O, (MATCH(610, 輔助計算!$F$2:$F$801, 0)+1))), "")</f>
        <v/>
      </c>
      <c r="I611" s="15">
        <f>IFERROR(IF(INDEX(輔助計算!$D:$D,(MATCH(610, 輔助計算!$F$2:$F$801, 0)+1))="","",INDEX(輔助計算!$D:$D,(MATCH(610, 輔助計算!$F$2:$F$801, 0)+1))*INDEX(ERP資料!$O:$O,(MATCH(610, 輔助計算!$F$2:$F$801, 0)+1))), "")</f>
        <v/>
      </c>
      <c r="J611" s="16" t="n"/>
      <c r="K611" s="15">
        <f>IFERROR(INDEX(輔助計算!$D:$D, (MATCH(610, 輔助計算!$F$2:$F$801, 0)+1)), "")</f>
        <v/>
      </c>
      <c r="L611" s="16">
        <f>IFERROR(IF(AND(IFERROR(VLOOKUP(LEFT(INDEX(ERP資料!$S:$S, (MATCH(610, 輔助計算!$F$2:$F$801, 0)+1)), 4), 100張客戶!$A:$A, 1, FALSE), "")&lt;&gt;"", OR(INDEX(ERP資料!$F:$F, (MATCH(610, 輔助計算!$F$2:$F$801, 0)+1))=270, INDEX(ERP資料!$F:$F, (MATCH(610, 輔助計算!$F$2:$F$801, 0)+1))=300)), "100張", ""), "")</f>
        <v/>
      </c>
      <c r="M611" s="17" t="n"/>
      <c r="N611" s="17">
        <f>IF($F611="","",$F611)</f>
        <v/>
      </c>
      <c r="O611" s="17">
        <f>IF($G611="","",$G611)</f>
        <v/>
      </c>
      <c r="P611" s="17">
        <f>IF($K611="","",$K611)</f>
        <v/>
      </c>
      <c r="Q611" s="16" t="n"/>
      <c r="R611" s="18" t="n"/>
      <c r="S611" s="16" t="n"/>
    </row>
    <row r="612">
      <c r="A612" s="14">
        <f>IFERROR(IF(AND(IFERROR(INDEX(ERP資料!$A:$A, (MATCH(611, 輔助計算!$F$2:$F$801, 0)+1)), "")&lt;&gt;"", IFERROR(INDEX(ERP資料!$A:$A, (MATCH(611, 輔助計算!$F$2:$F$801, 0)+1)), "")&lt;&gt;IFERROR(INDEX(ERP資料!$A:$A, MATCH(610, 輔助計算!$F$2:$F$801, 0)+1), "")), INDEX(ERP資料!$B:$B, (MATCH(611, 輔助計算!$F$2:$F$801, 0)+1)), ""), "")</f>
        <v/>
      </c>
      <c r="B612" s="10">
        <f>IFERROR(IF(AND(IFERROR(INDEX(ERP資料!$A:$A, (MATCH(611, 輔助計算!$F$2:$F$801, 0)+1)), "")&lt;&gt;"", IFERROR(INDEX(ERP資料!$A:$A, (MATCH(611, 輔助計算!$F$2:$F$801, 0)+1)), "")&lt;&gt;IFERROR(INDEX(ERP資料!$A:$A, MATCH(610, 輔助計算!$F$2:$F$801, 0)+1), "")), IFERROR(INDEX(ERP資料!$A:$A, (MATCH(611, 輔助計算!$F$2:$F$801, 0)+1)), ""), ""), "")</f>
        <v/>
      </c>
      <c r="C612" s="10">
        <f>IFERROR(IF(AND(IFERROR(INDEX(ERP資料!$A:$A, (MATCH(611, 輔助計算!$F$2:$F$801, 0)+1)), "")&lt;&gt;"", IFERROR(INDEX(ERP資料!$A:$A, (MATCH(611, 輔助計算!$F$2:$F$801, 0)+1)), "")&lt;&gt;IFERROR(INDEX(ERP資料!$A:$A, MATCH(610, 輔助計算!$F$2:$F$801, 0)+1), "")), INDEX(ERP資料!$S:$S, (MATCH(611, 輔助計算!$F$2:$F$801, 0)+1)), ""), "")</f>
        <v/>
      </c>
      <c r="D612" s="10">
        <f>IFERROR(IF(INDEX(ERP資料!$E:$E, (MATCH(611, 輔助計算!$F$2:$F$801, 0)+1))="","",TRIM(INDEX(ERP資料!$E:$E, (MATCH(611, 輔助計算!$F$2:$F$801, 0)+1)))), "")</f>
        <v/>
      </c>
      <c r="E612" s="10">
        <f>IFERROR(IF(INDEX(ERP資料!$F:$F, (MATCH(611, 輔助計算!$F$2:$F$801, 0)+1))="","",INDEX(ERP資料!$F:$F, (MATCH(611, 輔助計算!$F$2:$F$801, 0)+1))), "")</f>
        <v/>
      </c>
      <c r="F612" s="10">
        <f>IFERROR(IF(INDEX(ERP資料!$G:$G, (MATCH(611, 輔助計算!$F$2:$F$801, 0)+1))="","",INDEX(ERP資料!$G:$G, (MATCH(611, 輔助計算!$F$2:$F$801, 0)+1))), "")</f>
        <v/>
      </c>
      <c r="G612" s="10">
        <f>IFERROR(IF(INDEX(ERP資料!$H:$H, (MATCH(611, 輔助計算!$F$2:$F$801, 0)+1))="","",INDEX(ERP資料!$H:$H, (MATCH(611, 輔助計算!$F$2:$F$801, 0)+1))), "")</f>
        <v/>
      </c>
      <c r="H612" s="10">
        <f>IFERROR(IF(INDEX(ERP資料!$O:$O, (MATCH(611, 輔助計算!$F$2:$F$801, 0)+1))="","",INDEX(ERP資料!$O:$O, (MATCH(611, 輔助計算!$F$2:$F$801, 0)+1))), "")</f>
        <v/>
      </c>
      <c r="I612" s="15">
        <f>IFERROR(IF(INDEX(輔助計算!$D:$D,(MATCH(611, 輔助計算!$F$2:$F$801, 0)+1))="","",INDEX(輔助計算!$D:$D,(MATCH(611, 輔助計算!$F$2:$F$801, 0)+1))*INDEX(ERP資料!$O:$O,(MATCH(611, 輔助計算!$F$2:$F$801, 0)+1))), "")</f>
        <v/>
      </c>
      <c r="J612" s="16" t="n"/>
      <c r="K612" s="15">
        <f>IFERROR(INDEX(輔助計算!$D:$D, (MATCH(611, 輔助計算!$F$2:$F$801, 0)+1)), "")</f>
        <v/>
      </c>
      <c r="L612" s="16">
        <f>IFERROR(IF(AND(IFERROR(VLOOKUP(LEFT(INDEX(ERP資料!$S:$S, (MATCH(611, 輔助計算!$F$2:$F$801, 0)+1)), 4), 100張客戶!$A:$A, 1, FALSE), "")&lt;&gt;"", OR(INDEX(ERP資料!$F:$F, (MATCH(611, 輔助計算!$F$2:$F$801, 0)+1))=270, INDEX(ERP資料!$F:$F, (MATCH(611, 輔助計算!$F$2:$F$801, 0)+1))=300)), "100張", ""), "")</f>
        <v/>
      </c>
      <c r="M612" s="17" t="n"/>
      <c r="N612" s="17">
        <f>IF($F612="","",$F612)</f>
        <v/>
      </c>
      <c r="O612" s="17">
        <f>IF($G612="","",$G612)</f>
        <v/>
      </c>
      <c r="P612" s="17">
        <f>IF($K612="","",$K612)</f>
        <v/>
      </c>
      <c r="Q612" s="16" t="n"/>
      <c r="R612" s="18" t="n"/>
      <c r="S612" s="16" t="n"/>
    </row>
    <row r="613">
      <c r="A613" s="14">
        <f>IFERROR(IF(AND(IFERROR(INDEX(ERP資料!$A:$A, (MATCH(612, 輔助計算!$F$2:$F$801, 0)+1)), "")&lt;&gt;"", IFERROR(INDEX(ERP資料!$A:$A, (MATCH(612, 輔助計算!$F$2:$F$801, 0)+1)), "")&lt;&gt;IFERROR(INDEX(ERP資料!$A:$A, MATCH(611, 輔助計算!$F$2:$F$801, 0)+1), "")), INDEX(ERP資料!$B:$B, (MATCH(612, 輔助計算!$F$2:$F$801, 0)+1)), ""), "")</f>
        <v/>
      </c>
      <c r="B613" s="10">
        <f>IFERROR(IF(AND(IFERROR(INDEX(ERP資料!$A:$A, (MATCH(612, 輔助計算!$F$2:$F$801, 0)+1)), "")&lt;&gt;"", IFERROR(INDEX(ERP資料!$A:$A, (MATCH(612, 輔助計算!$F$2:$F$801, 0)+1)), "")&lt;&gt;IFERROR(INDEX(ERP資料!$A:$A, MATCH(611, 輔助計算!$F$2:$F$801, 0)+1), "")), IFERROR(INDEX(ERP資料!$A:$A, (MATCH(612, 輔助計算!$F$2:$F$801, 0)+1)), ""), ""), "")</f>
        <v/>
      </c>
      <c r="C613" s="10">
        <f>IFERROR(IF(AND(IFERROR(INDEX(ERP資料!$A:$A, (MATCH(612, 輔助計算!$F$2:$F$801, 0)+1)), "")&lt;&gt;"", IFERROR(INDEX(ERP資料!$A:$A, (MATCH(612, 輔助計算!$F$2:$F$801, 0)+1)), "")&lt;&gt;IFERROR(INDEX(ERP資料!$A:$A, MATCH(611, 輔助計算!$F$2:$F$801, 0)+1), "")), INDEX(ERP資料!$S:$S, (MATCH(612, 輔助計算!$F$2:$F$801, 0)+1)), ""), "")</f>
        <v/>
      </c>
      <c r="D613" s="10">
        <f>IFERROR(IF(INDEX(ERP資料!$E:$E, (MATCH(612, 輔助計算!$F$2:$F$801, 0)+1))="","",TRIM(INDEX(ERP資料!$E:$E, (MATCH(612, 輔助計算!$F$2:$F$801, 0)+1)))), "")</f>
        <v/>
      </c>
      <c r="E613" s="10">
        <f>IFERROR(IF(INDEX(ERP資料!$F:$F, (MATCH(612, 輔助計算!$F$2:$F$801, 0)+1))="","",INDEX(ERP資料!$F:$F, (MATCH(612, 輔助計算!$F$2:$F$801, 0)+1))), "")</f>
        <v/>
      </c>
      <c r="F613" s="10">
        <f>IFERROR(IF(INDEX(ERP資料!$G:$G, (MATCH(612, 輔助計算!$F$2:$F$801, 0)+1))="","",INDEX(ERP資料!$G:$G, (MATCH(612, 輔助計算!$F$2:$F$801, 0)+1))), "")</f>
        <v/>
      </c>
      <c r="G613" s="10">
        <f>IFERROR(IF(INDEX(ERP資料!$H:$H, (MATCH(612, 輔助計算!$F$2:$F$801, 0)+1))="","",INDEX(ERP資料!$H:$H, (MATCH(612, 輔助計算!$F$2:$F$801, 0)+1))), "")</f>
        <v/>
      </c>
      <c r="H613" s="10">
        <f>IFERROR(IF(INDEX(ERP資料!$O:$O, (MATCH(612, 輔助計算!$F$2:$F$801, 0)+1))="","",INDEX(ERP資料!$O:$O, (MATCH(612, 輔助計算!$F$2:$F$801, 0)+1))), "")</f>
        <v/>
      </c>
      <c r="I613" s="15">
        <f>IFERROR(IF(INDEX(輔助計算!$D:$D,(MATCH(612, 輔助計算!$F$2:$F$801, 0)+1))="","",INDEX(輔助計算!$D:$D,(MATCH(612, 輔助計算!$F$2:$F$801, 0)+1))*INDEX(ERP資料!$O:$O,(MATCH(612, 輔助計算!$F$2:$F$801, 0)+1))), "")</f>
        <v/>
      </c>
      <c r="J613" s="16" t="n"/>
      <c r="K613" s="15">
        <f>IFERROR(INDEX(輔助計算!$D:$D, (MATCH(612, 輔助計算!$F$2:$F$801, 0)+1)), "")</f>
        <v/>
      </c>
      <c r="L613" s="16">
        <f>IFERROR(IF(AND(IFERROR(VLOOKUP(LEFT(INDEX(ERP資料!$S:$S, (MATCH(612, 輔助計算!$F$2:$F$801, 0)+1)), 4), 100張客戶!$A:$A, 1, FALSE), "")&lt;&gt;"", OR(INDEX(ERP資料!$F:$F, (MATCH(612, 輔助計算!$F$2:$F$801, 0)+1))=270, INDEX(ERP資料!$F:$F, (MATCH(612, 輔助計算!$F$2:$F$801, 0)+1))=300)), "100張", ""), "")</f>
        <v/>
      </c>
      <c r="M613" s="17" t="n"/>
      <c r="N613" s="17">
        <f>IF($F613="","",$F613)</f>
        <v/>
      </c>
      <c r="O613" s="17">
        <f>IF($G613="","",$G613)</f>
        <v/>
      </c>
      <c r="P613" s="17">
        <f>IF($K613="","",$K613)</f>
        <v/>
      </c>
      <c r="Q613" s="16" t="n"/>
      <c r="R613" s="18" t="n"/>
      <c r="S613" s="16" t="n"/>
    </row>
    <row r="614">
      <c r="A614" s="14">
        <f>IFERROR(IF(AND(IFERROR(INDEX(ERP資料!$A:$A, (MATCH(613, 輔助計算!$F$2:$F$801, 0)+1)), "")&lt;&gt;"", IFERROR(INDEX(ERP資料!$A:$A, (MATCH(613, 輔助計算!$F$2:$F$801, 0)+1)), "")&lt;&gt;IFERROR(INDEX(ERP資料!$A:$A, MATCH(612, 輔助計算!$F$2:$F$801, 0)+1), "")), INDEX(ERP資料!$B:$B, (MATCH(613, 輔助計算!$F$2:$F$801, 0)+1)), ""), "")</f>
        <v/>
      </c>
      <c r="B614" s="10">
        <f>IFERROR(IF(AND(IFERROR(INDEX(ERP資料!$A:$A, (MATCH(613, 輔助計算!$F$2:$F$801, 0)+1)), "")&lt;&gt;"", IFERROR(INDEX(ERP資料!$A:$A, (MATCH(613, 輔助計算!$F$2:$F$801, 0)+1)), "")&lt;&gt;IFERROR(INDEX(ERP資料!$A:$A, MATCH(612, 輔助計算!$F$2:$F$801, 0)+1), "")), IFERROR(INDEX(ERP資料!$A:$A, (MATCH(613, 輔助計算!$F$2:$F$801, 0)+1)), ""), ""), "")</f>
        <v/>
      </c>
      <c r="C614" s="10">
        <f>IFERROR(IF(AND(IFERROR(INDEX(ERP資料!$A:$A, (MATCH(613, 輔助計算!$F$2:$F$801, 0)+1)), "")&lt;&gt;"", IFERROR(INDEX(ERP資料!$A:$A, (MATCH(613, 輔助計算!$F$2:$F$801, 0)+1)), "")&lt;&gt;IFERROR(INDEX(ERP資料!$A:$A, MATCH(612, 輔助計算!$F$2:$F$801, 0)+1), "")), INDEX(ERP資料!$S:$S, (MATCH(613, 輔助計算!$F$2:$F$801, 0)+1)), ""), "")</f>
        <v/>
      </c>
      <c r="D614" s="10">
        <f>IFERROR(IF(INDEX(ERP資料!$E:$E, (MATCH(613, 輔助計算!$F$2:$F$801, 0)+1))="","",TRIM(INDEX(ERP資料!$E:$E, (MATCH(613, 輔助計算!$F$2:$F$801, 0)+1)))), "")</f>
        <v/>
      </c>
      <c r="E614" s="10">
        <f>IFERROR(IF(INDEX(ERP資料!$F:$F, (MATCH(613, 輔助計算!$F$2:$F$801, 0)+1))="","",INDEX(ERP資料!$F:$F, (MATCH(613, 輔助計算!$F$2:$F$801, 0)+1))), "")</f>
        <v/>
      </c>
      <c r="F614" s="10">
        <f>IFERROR(IF(INDEX(ERP資料!$G:$G, (MATCH(613, 輔助計算!$F$2:$F$801, 0)+1))="","",INDEX(ERP資料!$G:$G, (MATCH(613, 輔助計算!$F$2:$F$801, 0)+1))), "")</f>
        <v/>
      </c>
      <c r="G614" s="10">
        <f>IFERROR(IF(INDEX(ERP資料!$H:$H, (MATCH(613, 輔助計算!$F$2:$F$801, 0)+1))="","",INDEX(ERP資料!$H:$H, (MATCH(613, 輔助計算!$F$2:$F$801, 0)+1))), "")</f>
        <v/>
      </c>
      <c r="H614" s="10">
        <f>IFERROR(IF(INDEX(ERP資料!$O:$O, (MATCH(613, 輔助計算!$F$2:$F$801, 0)+1))="","",INDEX(ERP資料!$O:$O, (MATCH(613, 輔助計算!$F$2:$F$801, 0)+1))), "")</f>
        <v/>
      </c>
      <c r="I614" s="15">
        <f>IFERROR(IF(INDEX(輔助計算!$D:$D,(MATCH(613, 輔助計算!$F$2:$F$801, 0)+1))="","",INDEX(輔助計算!$D:$D,(MATCH(613, 輔助計算!$F$2:$F$801, 0)+1))*INDEX(ERP資料!$O:$O,(MATCH(613, 輔助計算!$F$2:$F$801, 0)+1))), "")</f>
        <v/>
      </c>
      <c r="J614" s="16" t="n"/>
      <c r="K614" s="15">
        <f>IFERROR(INDEX(輔助計算!$D:$D, (MATCH(613, 輔助計算!$F$2:$F$801, 0)+1)), "")</f>
        <v/>
      </c>
      <c r="L614" s="16">
        <f>IFERROR(IF(AND(IFERROR(VLOOKUP(LEFT(INDEX(ERP資料!$S:$S, (MATCH(613, 輔助計算!$F$2:$F$801, 0)+1)), 4), 100張客戶!$A:$A, 1, FALSE), "")&lt;&gt;"", OR(INDEX(ERP資料!$F:$F, (MATCH(613, 輔助計算!$F$2:$F$801, 0)+1))=270, INDEX(ERP資料!$F:$F, (MATCH(613, 輔助計算!$F$2:$F$801, 0)+1))=300)), "100張", ""), "")</f>
        <v/>
      </c>
      <c r="M614" s="17" t="n"/>
      <c r="N614" s="17">
        <f>IF($F614="","",$F614)</f>
        <v/>
      </c>
      <c r="O614" s="17">
        <f>IF($G614="","",$G614)</f>
        <v/>
      </c>
      <c r="P614" s="17">
        <f>IF($K614="","",$K614)</f>
        <v/>
      </c>
      <c r="Q614" s="16" t="n"/>
      <c r="R614" s="18" t="n"/>
      <c r="S614" s="16" t="n"/>
    </row>
    <row r="615">
      <c r="A615" s="14">
        <f>IFERROR(IF(AND(IFERROR(INDEX(ERP資料!$A:$A, (MATCH(614, 輔助計算!$F$2:$F$801, 0)+1)), "")&lt;&gt;"", IFERROR(INDEX(ERP資料!$A:$A, (MATCH(614, 輔助計算!$F$2:$F$801, 0)+1)), "")&lt;&gt;IFERROR(INDEX(ERP資料!$A:$A, MATCH(613, 輔助計算!$F$2:$F$801, 0)+1), "")), INDEX(ERP資料!$B:$B, (MATCH(614, 輔助計算!$F$2:$F$801, 0)+1)), ""), "")</f>
        <v/>
      </c>
      <c r="B615" s="10">
        <f>IFERROR(IF(AND(IFERROR(INDEX(ERP資料!$A:$A, (MATCH(614, 輔助計算!$F$2:$F$801, 0)+1)), "")&lt;&gt;"", IFERROR(INDEX(ERP資料!$A:$A, (MATCH(614, 輔助計算!$F$2:$F$801, 0)+1)), "")&lt;&gt;IFERROR(INDEX(ERP資料!$A:$A, MATCH(613, 輔助計算!$F$2:$F$801, 0)+1), "")), IFERROR(INDEX(ERP資料!$A:$A, (MATCH(614, 輔助計算!$F$2:$F$801, 0)+1)), ""), ""), "")</f>
        <v/>
      </c>
      <c r="C615" s="10">
        <f>IFERROR(IF(AND(IFERROR(INDEX(ERP資料!$A:$A, (MATCH(614, 輔助計算!$F$2:$F$801, 0)+1)), "")&lt;&gt;"", IFERROR(INDEX(ERP資料!$A:$A, (MATCH(614, 輔助計算!$F$2:$F$801, 0)+1)), "")&lt;&gt;IFERROR(INDEX(ERP資料!$A:$A, MATCH(613, 輔助計算!$F$2:$F$801, 0)+1), "")), INDEX(ERP資料!$S:$S, (MATCH(614, 輔助計算!$F$2:$F$801, 0)+1)), ""), "")</f>
        <v/>
      </c>
      <c r="D615" s="10">
        <f>IFERROR(IF(INDEX(ERP資料!$E:$E, (MATCH(614, 輔助計算!$F$2:$F$801, 0)+1))="","",TRIM(INDEX(ERP資料!$E:$E, (MATCH(614, 輔助計算!$F$2:$F$801, 0)+1)))), "")</f>
        <v/>
      </c>
      <c r="E615" s="10">
        <f>IFERROR(IF(INDEX(ERP資料!$F:$F, (MATCH(614, 輔助計算!$F$2:$F$801, 0)+1))="","",INDEX(ERP資料!$F:$F, (MATCH(614, 輔助計算!$F$2:$F$801, 0)+1))), "")</f>
        <v/>
      </c>
      <c r="F615" s="10">
        <f>IFERROR(IF(INDEX(ERP資料!$G:$G, (MATCH(614, 輔助計算!$F$2:$F$801, 0)+1))="","",INDEX(ERP資料!$G:$G, (MATCH(614, 輔助計算!$F$2:$F$801, 0)+1))), "")</f>
        <v/>
      </c>
      <c r="G615" s="10">
        <f>IFERROR(IF(INDEX(ERP資料!$H:$H, (MATCH(614, 輔助計算!$F$2:$F$801, 0)+1))="","",INDEX(ERP資料!$H:$H, (MATCH(614, 輔助計算!$F$2:$F$801, 0)+1))), "")</f>
        <v/>
      </c>
      <c r="H615" s="10">
        <f>IFERROR(IF(INDEX(ERP資料!$O:$O, (MATCH(614, 輔助計算!$F$2:$F$801, 0)+1))="","",INDEX(ERP資料!$O:$O, (MATCH(614, 輔助計算!$F$2:$F$801, 0)+1))), "")</f>
        <v/>
      </c>
      <c r="I615" s="15">
        <f>IFERROR(IF(INDEX(輔助計算!$D:$D,(MATCH(614, 輔助計算!$F$2:$F$801, 0)+1))="","",INDEX(輔助計算!$D:$D,(MATCH(614, 輔助計算!$F$2:$F$801, 0)+1))*INDEX(ERP資料!$O:$O,(MATCH(614, 輔助計算!$F$2:$F$801, 0)+1))), "")</f>
        <v/>
      </c>
      <c r="J615" s="16" t="n"/>
      <c r="K615" s="15">
        <f>IFERROR(INDEX(輔助計算!$D:$D, (MATCH(614, 輔助計算!$F$2:$F$801, 0)+1)), "")</f>
        <v/>
      </c>
      <c r="L615" s="16">
        <f>IFERROR(IF(AND(IFERROR(VLOOKUP(LEFT(INDEX(ERP資料!$S:$S, (MATCH(614, 輔助計算!$F$2:$F$801, 0)+1)), 4), 100張客戶!$A:$A, 1, FALSE), "")&lt;&gt;"", OR(INDEX(ERP資料!$F:$F, (MATCH(614, 輔助計算!$F$2:$F$801, 0)+1))=270, INDEX(ERP資料!$F:$F, (MATCH(614, 輔助計算!$F$2:$F$801, 0)+1))=300)), "100張", ""), "")</f>
        <v/>
      </c>
      <c r="M615" s="17" t="n"/>
      <c r="N615" s="17">
        <f>IF($F615="","",$F615)</f>
        <v/>
      </c>
      <c r="O615" s="17">
        <f>IF($G615="","",$G615)</f>
        <v/>
      </c>
      <c r="P615" s="17">
        <f>IF($K615="","",$K615)</f>
        <v/>
      </c>
      <c r="Q615" s="16" t="n"/>
      <c r="R615" s="18" t="n"/>
      <c r="S615" s="16" t="n"/>
    </row>
    <row r="616">
      <c r="A616" s="14">
        <f>IFERROR(IF(AND(IFERROR(INDEX(ERP資料!$A:$A, (MATCH(615, 輔助計算!$F$2:$F$801, 0)+1)), "")&lt;&gt;"", IFERROR(INDEX(ERP資料!$A:$A, (MATCH(615, 輔助計算!$F$2:$F$801, 0)+1)), "")&lt;&gt;IFERROR(INDEX(ERP資料!$A:$A, MATCH(614, 輔助計算!$F$2:$F$801, 0)+1), "")), INDEX(ERP資料!$B:$B, (MATCH(615, 輔助計算!$F$2:$F$801, 0)+1)), ""), "")</f>
        <v/>
      </c>
      <c r="B616" s="10">
        <f>IFERROR(IF(AND(IFERROR(INDEX(ERP資料!$A:$A, (MATCH(615, 輔助計算!$F$2:$F$801, 0)+1)), "")&lt;&gt;"", IFERROR(INDEX(ERP資料!$A:$A, (MATCH(615, 輔助計算!$F$2:$F$801, 0)+1)), "")&lt;&gt;IFERROR(INDEX(ERP資料!$A:$A, MATCH(614, 輔助計算!$F$2:$F$801, 0)+1), "")), IFERROR(INDEX(ERP資料!$A:$A, (MATCH(615, 輔助計算!$F$2:$F$801, 0)+1)), ""), ""), "")</f>
        <v/>
      </c>
      <c r="C616" s="10">
        <f>IFERROR(IF(AND(IFERROR(INDEX(ERP資料!$A:$A, (MATCH(615, 輔助計算!$F$2:$F$801, 0)+1)), "")&lt;&gt;"", IFERROR(INDEX(ERP資料!$A:$A, (MATCH(615, 輔助計算!$F$2:$F$801, 0)+1)), "")&lt;&gt;IFERROR(INDEX(ERP資料!$A:$A, MATCH(614, 輔助計算!$F$2:$F$801, 0)+1), "")), INDEX(ERP資料!$S:$S, (MATCH(615, 輔助計算!$F$2:$F$801, 0)+1)), ""), "")</f>
        <v/>
      </c>
      <c r="D616" s="10">
        <f>IFERROR(IF(INDEX(ERP資料!$E:$E, (MATCH(615, 輔助計算!$F$2:$F$801, 0)+1))="","",TRIM(INDEX(ERP資料!$E:$E, (MATCH(615, 輔助計算!$F$2:$F$801, 0)+1)))), "")</f>
        <v/>
      </c>
      <c r="E616" s="10">
        <f>IFERROR(IF(INDEX(ERP資料!$F:$F, (MATCH(615, 輔助計算!$F$2:$F$801, 0)+1))="","",INDEX(ERP資料!$F:$F, (MATCH(615, 輔助計算!$F$2:$F$801, 0)+1))), "")</f>
        <v/>
      </c>
      <c r="F616" s="10">
        <f>IFERROR(IF(INDEX(ERP資料!$G:$G, (MATCH(615, 輔助計算!$F$2:$F$801, 0)+1))="","",INDEX(ERP資料!$G:$G, (MATCH(615, 輔助計算!$F$2:$F$801, 0)+1))), "")</f>
        <v/>
      </c>
      <c r="G616" s="10">
        <f>IFERROR(IF(INDEX(ERP資料!$H:$H, (MATCH(615, 輔助計算!$F$2:$F$801, 0)+1))="","",INDEX(ERP資料!$H:$H, (MATCH(615, 輔助計算!$F$2:$F$801, 0)+1))), "")</f>
        <v/>
      </c>
      <c r="H616" s="10">
        <f>IFERROR(IF(INDEX(ERP資料!$O:$O, (MATCH(615, 輔助計算!$F$2:$F$801, 0)+1))="","",INDEX(ERP資料!$O:$O, (MATCH(615, 輔助計算!$F$2:$F$801, 0)+1))), "")</f>
        <v/>
      </c>
      <c r="I616" s="15">
        <f>IFERROR(IF(INDEX(輔助計算!$D:$D,(MATCH(615, 輔助計算!$F$2:$F$801, 0)+1))="","",INDEX(輔助計算!$D:$D,(MATCH(615, 輔助計算!$F$2:$F$801, 0)+1))*INDEX(ERP資料!$O:$O,(MATCH(615, 輔助計算!$F$2:$F$801, 0)+1))), "")</f>
        <v/>
      </c>
      <c r="J616" s="16" t="n"/>
      <c r="K616" s="15">
        <f>IFERROR(INDEX(輔助計算!$D:$D, (MATCH(615, 輔助計算!$F$2:$F$801, 0)+1)), "")</f>
        <v/>
      </c>
      <c r="L616" s="16">
        <f>IFERROR(IF(AND(IFERROR(VLOOKUP(LEFT(INDEX(ERP資料!$S:$S, (MATCH(615, 輔助計算!$F$2:$F$801, 0)+1)), 4), 100張客戶!$A:$A, 1, FALSE), "")&lt;&gt;"", OR(INDEX(ERP資料!$F:$F, (MATCH(615, 輔助計算!$F$2:$F$801, 0)+1))=270, INDEX(ERP資料!$F:$F, (MATCH(615, 輔助計算!$F$2:$F$801, 0)+1))=300)), "100張", ""), "")</f>
        <v/>
      </c>
      <c r="M616" s="17" t="n"/>
      <c r="N616" s="17">
        <f>IF($F616="","",$F616)</f>
        <v/>
      </c>
      <c r="O616" s="17">
        <f>IF($G616="","",$G616)</f>
        <v/>
      </c>
      <c r="P616" s="17">
        <f>IF($K616="","",$K616)</f>
        <v/>
      </c>
      <c r="Q616" s="16" t="n"/>
      <c r="R616" s="18" t="n"/>
      <c r="S616" s="16" t="n"/>
    </row>
    <row r="617">
      <c r="A617" s="14">
        <f>IFERROR(IF(AND(IFERROR(INDEX(ERP資料!$A:$A, (MATCH(616, 輔助計算!$F$2:$F$801, 0)+1)), "")&lt;&gt;"", IFERROR(INDEX(ERP資料!$A:$A, (MATCH(616, 輔助計算!$F$2:$F$801, 0)+1)), "")&lt;&gt;IFERROR(INDEX(ERP資料!$A:$A, MATCH(615, 輔助計算!$F$2:$F$801, 0)+1), "")), INDEX(ERP資料!$B:$B, (MATCH(616, 輔助計算!$F$2:$F$801, 0)+1)), ""), "")</f>
        <v/>
      </c>
      <c r="B617" s="10">
        <f>IFERROR(IF(AND(IFERROR(INDEX(ERP資料!$A:$A, (MATCH(616, 輔助計算!$F$2:$F$801, 0)+1)), "")&lt;&gt;"", IFERROR(INDEX(ERP資料!$A:$A, (MATCH(616, 輔助計算!$F$2:$F$801, 0)+1)), "")&lt;&gt;IFERROR(INDEX(ERP資料!$A:$A, MATCH(615, 輔助計算!$F$2:$F$801, 0)+1), "")), IFERROR(INDEX(ERP資料!$A:$A, (MATCH(616, 輔助計算!$F$2:$F$801, 0)+1)), ""), ""), "")</f>
        <v/>
      </c>
      <c r="C617" s="10">
        <f>IFERROR(IF(AND(IFERROR(INDEX(ERP資料!$A:$A, (MATCH(616, 輔助計算!$F$2:$F$801, 0)+1)), "")&lt;&gt;"", IFERROR(INDEX(ERP資料!$A:$A, (MATCH(616, 輔助計算!$F$2:$F$801, 0)+1)), "")&lt;&gt;IFERROR(INDEX(ERP資料!$A:$A, MATCH(615, 輔助計算!$F$2:$F$801, 0)+1), "")), INDEX(ERP資料!$S:$S, (MATCH(616, 輔助計算!$F$2:$F$801, 0)+1)), ""), "")</f>
        <v/>
      </c>
      <c r="D617" s="10">
        <f>IFERROR(IF(INDEX(ERP資料!$E:$E, (MATCH(616, 輔助計算!$F$2:$F$801, 0)+1))="","",TRIM(INDEX(ERP資料!$E:$E, (MATCH(616, 輔助計算!$F$2:$F$801, 0)+1)))), "")</f>
        <v/>
      </c>
      <c r="E617" s="10">
        <f>IFERROR(IF(INDEX(ERP資料!$F:$F, (MATCH(616, 輔助計算!$F$2:$F$801, 0)+1))="","",INDEX(ERP資料!$F:$F, (MATCH(616, 輔助計算!$F$2:$F$801, 0)+1))), "")</f>
        <v/>
      </c>
      <c r="F617" s="10">
        <f>IFERROR(IF(INDEX(ERP資料!$G:$G, (MATCH(616, 輔助計算!$F$2:$F$801, 0)+1))="","",INDEX(ERP資料!$G:$G, (MATCH(616, 輔助計算!$F$2:$F$801, 0)+1))), "")</f>
        <v/>
      </c>
      <c r="G617" s="10">
        <f>IFERROR(IF(INDEX(ERP資料!$H:$H, (MATCH(616, 輔助計算!$F$2:$F$801, 0)+1))="","",INDEX(ERP資料!$H:$H, (MATCH(616, 輔助計算!$F$2:$F$801, 0)+1))), "")</f>
        <v/>
      </c>
      <c r="H617" s="10">
        <f>IFERROR(IF(INDEX(ERP資料!$O:$O, (MATCH(616, 輔助計算!$F$2:$F$801, 0)+1))="","",INDEX(ERP資料!$O:$O, (MATCH(616, 輔助計算!$F$2:$F$801, 0)+1))), "")</f>
        <v/>
      </c>
      <c r="I617" s="15">
        <f>IFERROR(IF(INDEX(輔助計算!$D:$D,(MATCH(616, 輔助計算!$F$2:$F$801, 0)+1))="","",INDEX(輔助計算!$D:$D,(MATCH(616, 輔助計算!$F$2:$F$801, 0)+1))*INDEX(ERP資料!$O:$O,(MATCH(616, 輔助計算!$F$2:$F$801, 0)+1))), "")</f>
        <v/>
      </c>
      <c r="J617" s="16" t="n"/>
      <c r="K617" s="15">
        <f>IFERROR(INDEX(輔助計算!$D:$D, (MATCH(616, 輔助計算!$F$2:$F$801, 0)+1)), "")</f>
        <v/>
      </c>
      <c r="L617" s="16">
        <f>IFERROR(IF(AND(IFERROR(VLOOKUP(LEFT(INDEX(ERP資料!$S:$S, (MATCH(616, 輔助計算!$F$2:$F$801, 0)+1)), 4), 100張客戶!$A:$A, 1, FALSE), "")&lt;&gt;"", OR(INDEX(ERP資料!$F:$F, (MATCH(616, 輔助計算!$F$2:$F$801, 0)+1))=270, INDEX(ERP資料!$F:$F, (MATCH(616, 輔助計算!$F$2:$F$801, 0)+1))=300)), "100張", ""), "")</f>
        <v/>
      </c>
      <c r="M617" s="17" t="n"/>
      <c r="N617" s="17">
        <f>IF($F617="","",$F617)</f>
        <v/>
      </c>
      <c r="O617" s="17">
        <f>IF($G617="","",$G617)</f>
        <v/>
      </c>
      <c r="P617" s="17">
        <f>IF($K617="","",$K617)</f>
        <v/>
      </c>
      <c r="Q617" s="16" t="n"/>
      <c r="R617" s="18" t="n"/>
      <c r="S617" s="16" t="n"/>
    </row>
    <row r="618">
      <c r="A618" s="14">
        <f>IFERROR(IF(AND(IFERROR(INDEX(ERP資料!$A:$A, (MATCH(617, 輔助計算!$F$2:$F$801, 0)+1)), "")&lt;&gt;"", IFERROR(INDEX(ERP資料!$A:$A, (MATCH(617, 輔助計算!$F$2:$F$801, 0)+1)), "")&lt;&gt;IFERROR(INDEX(ERP資料!$A:$A, MATCH(616, 輔助計算!$F$2:$F$801, 0)+1), "")), INDEX(ERP資料!$B:$B, (MATCH(617, 輔助計算!$F$2:$F$801, 0)+1)), ""), "")</f>
        <v/>
      </c>
      <c r="B618" s="10">
        <f>IFERROR(IF(AND(IFERROR(INDEX(ERP資料!$A:$A, (MATCH(617, 輔助計算!$F$2:$F$801, 0)+1)), "")&lt;&gt;"", IFERROR(INDEX(ERP資料!$A:$A, (MATCH(617, 輔助計算!$F$2:$F$801, 0)+1)), "")&lt;&gt;IFERROR(INDEX(ERP資料!$A:$A, MATCH(616, 輔助計算!$F$2:$F$801, 0)+1), "")), IFERROR(INDEX(ERP資料!$A:$A, (MATCH(617, 輔助計算!$F$2:$F$801, 0)+1)), ""), ""), "")</f>
        <v/>
      </c>
      <c r="C618" s="10">
        <f>IFERROR(IF(AND(IFERROR(INDEX(ERP資料!$A:$A, (MATCH(617, 輔助計算!$F$2:$F$801, 0)+1)), "")&lt;&gt;"", IFERROR(INDEX(ERP資料!$A:$A, (MATCH(617, 輔助計算!$F$2:$F$801, 0)+1)), "")&lt;&gt;IFERROR(INDEX(ERP資料!$A:$A, MATCH(616, 輔助計算!$F$2:$F$801, 0)+1), "")), INDEX(ERP資料!$S:$S, (MATCH(617, 輔助計算!$F$2:$F$801, 0)+1)), ""), "")</f>
        <v/>
      </c>
      <c r="D618" s="10">
        <f>IFERROR(IF(INDEX(ERP資料!$E:$E, (MATCH(617, 輔助計算!$F$2:$F$801, 0)+1))="","",TRIM(INDEX(ERP資料!$E:$E, (MATCH(617, 輔助計算!$F$2:$F$801, 0)+1)))), "")</f>
        <v/>
      </c>
      <c r="E618" s="10">
        <f>IFERROR(IF(INDEX(ERP資料!$F:$F, (MATCH(617, 輔助計算!$F$2:$F$801, 0)+1))="","",INDEX(ERP資料!$F:$F, (MATCH(617, 輔助計算!$F$2:$F$801, 0)+1))), "")</f>
        <v/>
      </c>
      <c r="F618" s="10">
        <f>IFERROR(IF(INDEX(ERP資料!$G:$G, (MATCH(617, 輔助計算!$F$2:$F$801, 0)+1))="","",INDEX(ERP資料!$G:$G, (MATCH(617, 輔助計算!$F$2:$F$801, 0)+1))), "")</f>
        <v/>
      </c>
      <c r="G618" s="10">
        <f>IFERROR(IF(INDEX(ERP資料!$H:$H, (MATCH(617, 輔助計算!$F$2:$F$801, 0)+1))="","",INDEX(ERP資料!$H:$H, (MATCH(617, 輔助計算!$F$2:$F$801, 0)+1))), "")</f>
        <v/>
      </c>
      <c r="H618" s="10">
        <f>IFERROR(IF(INDEX(ERP資料!$O:$O, (MATCH(617, 輔助計算!$F$2:$F$801, 0)+1))="","",INDEX(ERP資料!$O:$O, (MATCH(617, 輔助計算!$F$2:$F$801, 0)+1))), "")</f>
        <v/>
      </c>
      <c r="I618" s="15">
        <f>IFERROR(IF(INDEX(輔助計算!$D:$D,(MATCH(617, 輔助計算!$F$2:$F$801, 0)+1))="","",INDEX(輔助計算!$D:$D,(MATCH(617, 輔助計算!$F$2:$F$801, 0)+1))*INDEX(ERP資料!$O:$O,(MATCH(617, 輔助計算!$F$2:$F$801, 0)+1))), "")</f>
        <v/>
      </c>
      <c r="J618" s="16" t="n"/>
      <c r="K618" s="15">
        <f>IFERROR(INDEX(輔助計算!$D:$D, (MATCH(617, 輔助計算!$F$2:$F$801, 0)+1)), "")</f>
        <v/>
      </c>
      <c r="L618" s="16">
        <f>IFERROR(IF(AND(IFERROR(VLOOKUP(LEFT(INDEX(ERP資料!$S:$S, (MATCH(617, 輔助計算!$F$2:$F$801, 0)+1)), 4), 100張客戶!$A:$A, 1, FALSE), "")&lt;&gt;"", OR(INDEX(ERP資料!$F:$F, (MATCH(617, 輔助計算!$F$2:$F$801, 0)+1))=270, INDEX(ERP資料!$F:$F, (MATCH(617, 輔助計算!$F$2:$F$801, 0)+1))=300)), "100張", ""), "")</f>
        <v/>
      </c>
      <c r="M618" s="17" t="n"/>
      <c r="N618" s="17">
        <f>IF($F618="","",$F618)</f>
        <v/>
      </c>
      <c r="O618" s="17">
        <f>IF($G618="","",$G618)</f>
        <v/>
      </c>
      <c r="P618" s="17">
        <f>IF($K618="","",$K618)</f>
        <v/>
      </c>
      <c r="Q618" s="16" t="n"/>
      <c r="R618" s="18" t="n"/>
      <c r="S618" s="16" t="n"/>
    </row>
    <row r="619">
      <c r="A619" s="14">
        <f>IFERROR(IF(AND(IFERROR(INDEX(ERP資料!$A:$A, (MATCH(618, 輔助計算!$F$2:$F$801, 0)+1)), "")&lt;&gt;"", IFERROR(INDEX(ERP資料!$A:$A, (MATCH(618, 輔助計算!$F$2:$F$801, 0)+1)), "")&lt;&gt;IFERROR(INDEX(ERP資料!$A:$A, MATCH(617, 輔助計算!$F$2:$F$801, 0)+1), "")), INDEX(ERP資料!$B:$B, (MATCH(618, 輔助計算!$F$2:$F$801, 0)+1)), ""), "")</f>
        <v/>
      </c>
      <c r="B619" s="10">
        <f>IFERROR(IF(AND(IFERROR(INDEX(ERP資料!$A:$A, (MATCH(618, 輔助計算!$F$2:$F$801, 0)+1)), "")&lt;&gt;"", IFERROR(INDEX(ERP資料!$A:$A, (MATCH(618, 輔助計算!$F$2:$F$801, 0)+1)), "")&lt;&gt;IFERROR(INDEX(ERP資料!$A:$A, MATCH(617, 輔助計算!$F$2:$F$801, 0)+1), "")), IFERROR(INDEX(ERP資料!$A:$A, (MATCH(618, 輔助計算!$F$2:$F$801, 0)+1)), ""), ""), "")</f>
        <v/>
      </c>
      <c r="C619" s="10">
        <f>IFERROR(IF(AND(IFERROR(INDEX(ERP資料!$A:$A, (MATCH(618, 輔助計算!$F$2:$F$801, 0)+1)), "")&lt;&gt;"", IFERROR(INDEX(ERP資料!$A:$A, (MATCH(618, 輔助計算!$F$2:$F$801, 0)+1)), "")&lt;&gt;IFERROR(INDEX(ERP資料!$A:$A, MATCH(617, 輔助計算!$F$2:$F$801, 0)+1), "")), INDEX(ERP資料!$S:$S, (MATCH(618, 輔助計算!$F$2:$F$801, 0)+1)), ""), "")</f>
        <v/>
      </c>
      <c r="D619" s="10">
        <f>IFERROR(IF(INDEX(ERP資料!$E:$E, (MATCH(618, 輔助計算!$F$2:$F$801, 0)+1))="","",TRIM(INDEX(ERP資料!$E:$E, (MATCH(618, 輔助計算!$F$2:$F$801, 0)+1)))), "")</f>
        <v/>
      </c>
      <c r="E619" s="10">
        <f>IFERROR(IF(INDEX(ERP資料!$F:$F, (MATCH(618, 輔助計算!$F$2:$F$801, 0)+1))="","",INDEX(ERP資料!$F:$F, (MATCH(618, 輔助計算!$F$2:$F$801, 0)+1))), "")</f>
        <v/>
      </c>
      <c r="F619" s="10">
        <f>IFERROR(IF(INDEX(ERP資料!$G:$G, (MATCH(618, 輔助計算!$F$2:$F$801, 0)+1))="","",INDEX(ERP資料!$G:$G, (MATCH(618, 輔助計算!$F$2:$F$801, 0)+1))), "")</f>
        <v/>
      </c>
      <c r="G619" s="10">
        <f>IFERROR(IF(INDEX(ERP資料!$H:$H, (MATCH(618, 輔助計算!$F$2:$F$801, 0)+1))="","",INDEX(ERP資料!$H:$H, (MATCH(618, 輔助計算!$F$2:$F$801, 0)+1))), "")</f>
        <v/>
      </c>
      <c r="H619" s="10">
        <f>IFERROR(IF(INDEX(ERP資料!$O:$O, (MATCH(618, 輔助計算!$F$2:$F$801, 0)+1))="","",INDEX(ERP資料!$O:$O, (MATCH(618, 輔助計算!$F$2:$F$801, 0)+1))), "")</f>
        <v/>
      </c>
      <c r="I619" s="15">
        <f>IFERROR(IF(INDEX(輔助計算!$D:$D,(MATCH(618, 輔助計算!$F$2:$F$801, 0)+1))="","",INDEX(輔助計算!$D:$D,(MATCH(618, 輔助計算!$F$2:$F$801, 0)+1))*INDEX(ERP資料!$O:$O,(MATCH(618, 輔助計算!$F$2:$F$801, 0)+1))), "")</f>
        <v/>
      </c>
      <c r="J619" s="16" t="n"/>
      <c r="K619" s="15">
        <f>IFERROR(INDEX(輔助計算!$D:$D, (MATCH(618, 輔助計算!$F$2:$F$801, 0)+1)), "")</f>
        <v/>
      </c>
      <c r="L619" s="16">
        <f>IFERROR(IF(AND(IFERROR(VLOOKUP(LEFT(INDEX(ERP資料!$S:$S, (MATCH(618, 輔助計算!$F$2:$F$801, 0)+1)), 4), 100張客戶!$A:$A, 1, FALSE), "")&lt;&gt;"", OR(INDEX(ERP資料!$F:$F, (MATCH(618, 輔助計算!$F$2:$F$801, 0)+1))=270, INDEX(ERP資料!$F:$F, (MATCH(618, 輔助計算!$F$2:$F$801, 0)+1))=300)), "100張", ""), "")</f>
        <v/>
      </c>
      <c r="M619" s="17" t="n"/>
      <c r="N619" s="17">
        <f>IF($F619="","",$F619)</f>
        <v/>
      </c>
      <c r="O619" s="17">
        <f>IF($G619="","",$G619)</f>
        <v/>
      </c>
      <c r="P619" s="17">
        <f>IF($K619="","",$K619)</f>
        <v/>
      </c>
      <c r="Q619" s="16" t="n"/>
      <c r="R619" s="18" t="n"/>
      <c r="S619" s="16" t="n"/>
    </row>
    <row r="620">
      <c r="A620" s="14">
        <f>IFERROR(IF(AND(IFERROR(INDEX(ERP資料!$A:$A, (MATCH(619, 輔助計算!$F$2:$F$801, 0)+1)), "")&lt;&gt;"", IFERROR(INDEX(ERP資料!$A:$A, (MATCH(619, 輔助計算!$F$2:$F$801, 0)+1)), "")&lt;&gt;IFERROR(INDEX(ERP資料!$A:$A, MATCH(618, 輔助計算!$F$2:$F$801, 0)+1), "")), INDEX(ERP資料!$B:$B, (MATCH(619, 輔助計算!$F$2:$F$801, 0)+1)), ""), "")</f>
        <v/>
      </c>
      <c r="B620" s="10">
        <f>IFERROR(IF(AND(IFERROR(INDEX(ERP資料!$A:$A, (MATCH(619, 輔助計算!$F$2:$F$801, 0)+1)), "")&lt;&gt;"", IFERROR(INDEX(ERP資料!$A:$A, (MATCH(619, 輔助計算!$F$2:$F$801, 0)+1)), "")&lt;&gt;IFERROR(INDEX(ERP資料!$A:$A, MATCH(618, 輔助計算!$F$2:$F$801, 0)+1), "")), IFERROR(INDEX(ERP資料!$A:$A, (MATCH(619, 輔助計算!$F$2:$F$801, 0)+1)), ""), ""), "")</f>
        <v/>
      </c>
      <c r="C620" s="10">
        <f>IFERROR(IF(AND(IFERROR(INDEX(ERP資料!$A:$A, (MATCH(619, 輔助計算!$F$2:$F$801, 0)+1)), "")&lt;&gt;"", IFERROR(INDEX(ERP資料!$A:$A, (MATCH(619, 輔助計算!$F$2:$F$801, 0)+1)), "")&lt;&gt;IFERROR(INDEX(ERP資料!$A:$A, MATCH(618, 輔助計算!$F$2:$F$801, 0)+1), "")), INDEX(ERP資料!$S:$S, (MATCH(619, 輔助計算!$F$2:$F$801, 0)+1)), ""), "")</f>
        <v/>
      </c>
      <c r="D620" s="10">
        <f>IFERROR(IF(INDEX(ERP資料!$E:$E, (MATCH(619, 輔助計算!$F$2:$F$801, 0)+1))="","",TRIM(INDEX(ERP資料!$E:$E, (MATCH(619, 輔助計算!$F$2:$F$801, 0)+1)))), "")</f>
        <v/>
      </c>
      <c r="E620" s="10">
        <f>IFERROR(IF(INDEX(ERP資料!$F:$F, (MATCH(619, 輔助計算!$F$2:$F$801, 0)+1))="","",INDEX(ERP資料!$F:$F, (MATCH(619, 輔助計算!$F$2:$F$801, 0)+1))), "")</f>
        <v/>
      </c>
      <c r="F620" s="10">
        <f>IFERROR(IF(INDEX(ERP資料!$G:$G, (MATCH(619, 輔助計算!$F$2:$F$801, 0)+1))="","",INDEX(ERP資料!$G:$G, (MATCH(619, 輔助計算!$F$2:$F$801, 0)+1))), "")</f>
        <v/>
      </c>
      <c r="G620" s="10">
        <f>IFERROR(IF(INDEX(ERP資料!$H:$H, (MATCH(619, 輔助計算!$F$2:$F$801, 0)+1))="","",INDEX(ERP資料!$H:$H, (MATCH(619, 輔助計算!$F$2:$F$801, 0)+1))), "")</f>
        <v/>
      </c>
      <c r="H620" s="10">
        <f>IFERROR(IF(INDEX(ERP資料!$O:$O, (MATCH(619, 輔助計算!$F$2:$F$801, 0)+1))="","",INDEX(ERP資料!$O:$O, (MATCH(619, 輔助計算!$F$2:$F$801, 0)+1))), "")</f>
        <v/>
      </c>
      <c r="I620" s="15">
        <f>IFERROR(IF(INDEX(輔助計算!$D:$D,(MATCH(619, 輔助計算!$F$2:$F$801, 0)+1))="","",INDEX(輔助計算!$D:$D,(MATCH(619, 輔助計算!$F$2:$F$801, 0)+1))*INDEX(ERP資料!$O:$O,(MATCH(619, 輔助計算!$F$2:$F$801, 0)+1))), "")</f>
        <v/>
      </c>
      <c r="J620" s="16" t="n"/>
      <c r="K620" s="15">
        <f>IFERROR(INDEX(輔助計算!$D:$D, (MATCH(619, 輔助計算!$F$2:$F$801, 0)+1)), "")</f>
        <v/>
      </c>
      <c r="L620" s="16">
        <f>IFERROR(IF(AND(IFERROR(VLOOKUP(LEFT(INDEX(ERP資料!$S:$S, (MATCH(619, 輔助計算!$F$2:$F$801, 0)+1)), 4), 100張客戶!$A:$A, 1, FALSE), "")&lt;&gt;"", OR(INDEX(ERP資料!$F:$F, (MATCH(619, 輔助計算!$F$2:$F$801, 0)+1))=270, INDEX(ERP資料!$F:$F, (MATCH(619, 輔助計算!$F$2:$F$801, 0)+1))=300)), "100張", ""), "")</f>
        <v/>
      </c>
      <c r="M620" s="17" t="n"/>
      <c r="N620" s="17">
        <f>IF($F620="","",$F620)</f>
        <v/>
      </c>
      <c r="O620" s="17">
        <f>IF($G620="","",$G620)</f>
        <v/>
      </c>
      <c r="P620" s="17">
        <f>IF($K620="","",$K620)</f>
        <v/>
      </c>
      <c r="Q620" s="16" t="n"/>
      <c r="R620" s="18" t="n"/>
      <c r="S620" s="16" t="n"/>
    </row>
    <row r="621">
      <c r="A621" s="14">
        <f>IFERROR(IF(AND(IFERROR(INDEX(ERP資料!$A:$A, (MATCH(620, 輔助計算!$F$2:$F$801, 0)+1)), "")&lt;&gt;"", IFERROR(INDEX(ERP資料!$A:$A, (MATCH(620, 輔助計算!$F$2:$F$801, 0)+1)), "")&lt;&gt;IFERROR(INDEX(ERP資料!$A:$A, MATCH(619, 輔助計算!$F$2:$F$801, 0)+1), "")), INDEX(ERP資料!$B:$B, (MATCH(620, 輔助計算!$F$2:$F$801, 0)+1)), ""), "")</f>
        <v/>
      </c>
      <c r="B621" s="10">
        <f>IFERROR(IF(AND(IFERROR(INDEX(ERP資料!$A:$A, (MATCH(620, 輔助計算!$F$2:$F$801, 0)+1)), "")&lt;&gt;"", IFERROR(INDEX(ERP資料!$A:$A, (MATCH(620, 輔助計算!$F$2:$F$801, 0)+1)), "")&lt;&gt;IFERROR(INDEX(ERP資料!$A:$A, MATCH(619, 輔助計算!$F$2:$F$801, 0)+1), "")), IFERROR(INDEX(ERP資料!$A:$A, (MATCH(620, 輔助計算!$F$2:$F$801, 0)+1)), ""), ""), "")</f>
        <v/>
      </c>
      <c r="C621" s="10">
        <f>IFERROR(IF(AND(IFERROR(INDEX(ERP資料!$A:$A, (MATCH(620, 輔助計算!$F$2:$F$801, 0)+1)), "")&lt;&gt;"", IFERROR(INDEX(ERP資料!$A:$A, (MATCH(620, 輔助計算!$F$2:$F$801, 0)+1)), "")&lt;&gt;IFERROR(INDEX(ERP資料!$A:$A, MATCH(619, 輔助計算!$F$2:$F$801, 0)+1), "")), INDEX(ERP資料!$S:$S, (MATCH(620, 輔助計算!$F$2:$F$801, 0)+1)), ""), "")</f>
        <v/>
      </c>
      <c r="D621" s="10">
        <f>IFERROR(IF(INDEX(ERP資料!$E:$E, (MATCH(620, 輔助計算!$F$2:$F$801, 0)+1))="","",TRIM(INDEX(ERP資料!$E:$E, (MATCH(620, 輔助計算!$F$2:$F$801, 0)+1)))), "")</f>
        <v/>
      </c>
      <c r="E621" s="10">
        <f>IFERROR(IF(INDEX(ERP資料!$F:$F, (MATCH(620, 輔助計算!$F$2:$F$801, 0)+1))="","",INDEX(ERP資料!$F:$F, (MATCH(620, 輔助計算!$F$2:$F$801, 0)+1))), "")</f>
        <v/>
      </c>
      <c r="F621" s="10">
        <f>IFERROR(IF(INDEX(ERP資料!$G:$G, (MATCH(620, 輔助計算!$F$2:$F$801, 0)+1))="","",INDEX(ERP資料!$G:$G, (MATCH(620, 輔助計算!$F$2:$F$801, 0)+1))), "")</f>
        <v/>
      </c>
      <c r="G621" s="10">
        <f>IFERROR(IF(INDEX(ERP資料!$H:$H, (MATCH(620, 輔助計算!$F$2:$F$801, 0)+1))="","",INDEX(ERP資料!$H:$H, (MATCH(620, 輔助計算!$F$2:$F$801, 0)+1))), "")</f>
        <v/>
      </c>
      <c r="H621" s="10">
        <f>IFERROR(IF(INDEX(ERP資料!$O:$O, (MATCH(620, 輔助計算!$F$2:$F$801, 0)+1))="","",INDEX(ERP資料!$O:$O, (MATCH(620, 輔助計算!$F$2:$F$801, 0)+1))), "")</f>
        <v/>
      </c>
      <c r="I621" s="15">
        <f>IFERROR(IF(INDEX(輔助計算!$D:$D,(MATCH(620, 輔助計算!$F$2:$F$801, 0)+1))="","",INDEX(輔助計算!$D:$D,(MATCH(620, 輔助計算!$F$2:$F$801, 0)+1))*INDEX(ERP資料!$O:$O,(MATCH(620, 輔助計算!$F$2:$F$801, 0)+1))), "")</f>
        <v/>
      </c>
      <c r="J621" s="16" t="n"/>
      <c r="K621" s="15">
        <f>IFERROR(INDEX(輔助計算!$D:$D, (MATCH(620, 輔助計算!$F$2:$F$801, 0)+1)), "")</f>
        <v/>
      </c>
      <c r="L621" s="16">
        <f>IFERROR(IF(AND(IFERROR(VLOOKUP(LEFT(INDEX(ERP資料!$S:$S, (MATCH(620, 輔助計算!$F$2:$F$801, 0)+1)), 4), 100張客戶!$A:$A, 1, FALSE), "")&lt;&gt;"", OR(INDEX(ERP資料!$F:$F, (MATCH(620, 輔助計算!$F$2:$F$801, 0)+1))=270, INDEX(ERP資料!$F:$F, (MATCH(620, 輔助計算!$F$2:$F$801, 0)+1))=300)), "100張", ""), "")</f>
        <v/>
      </c>
      <c r="M621" s="17" t="n"/>
      <c r="N621" s="17">
        <f>IF($F621="","",$F621)</f>
        <v/>
      </c>
      <c r="O621" s="17">
        <f>IF($G621="","",$G621)</f>
        <v/>
      </c>
      <c r="P621" s="17">
        <f>IF($K621="","",$K621)</f>
        <v/>
      </c>
      <c r="Q621" s="16" t="n"/>
      <c r="R621" s="18" t="n"/>
      <c r="S621" s="16" t="n"/>
    </row>
    <row r="622">
      <c r="A622" s="14">
        <f>IFERROR(IF(AND(IFERROR(INDEX(ERP資料!$A:$A, (MATCH(621, 輔助計算!$F$2:$F$801, 0)+1)), "")&lt;&gt;"", IFERROR(INDEX(ERP資料!$A:$A, (MATCH(621, 輔助計算!$F$2:$F$801, 0)+1)), "")&lt;&gt;IFERROR(INDEX(ERP資料!$A:$A, MATCH(620, 輔助計算!$F$2:$F$801, 0)+1), "")), INDEX(ERP資料!$B:$B, (MATCH(621, 輔助計算!$F$2:$F$801, 0)+1)), ""), "")</f>
        <v/>
      </c>
      <c r="B622" s="10">
        <f>IFERROR(IF(AND(IFERROR(INDEX(ERP資料!$A:$A, (MATCH(621, 輔助計算!$F$2:$F$801, 0)+1)), "")&lt;&gt;"", IFERROR(INDEX(ERP資料!$A:$A, (MATCH(621, 輔助計算!$F$2:$F$801, 0)+1)), "")&lt;&gt;IFERROR(INDEX(ERP資料!$A:$A, MATCH(620, 輔助計算!$F$2:$F$801, 0)+1), "")), IFERROR(INDEX(ERP資料!$A:$A, (MATCH(621, 輔助計算!$F$2:$F$801, 0)+1)), ""), ""), "")</f>
        <v/>
      </c>
      <c r="C622" s="10">
        <f>IFERROR(IF(AND(IFERROR(INDEX(ERP資料!$A:$A, (MATCH(621, 輔助計算!$F$2:$F$801, 0)+1)), "")&lt;&gt;"", IFERROR(INDEX(ERP資料!$A:$A, (MATCH(621, 輔助計算!$F$2:$F$801, 0)+1)), "")&lt;&gt;IFERROR(INDEX(ERP資料!$A:$A, MATCH(620, 輔助計算!$F$2:$F$801, 0)+1), "")), INDEX(ERP資料!$S:$S, (MATCH(621, 輔助計算!$F$2:$F$801, 0)+1)), ""), "")</f>
        <v/>
      </c>
      <c r="D622" s="10">
        <f>IFERROR(IF(INDEX(ERP資料!$E:$E, (MATCH(621, 輔助計算!$F$2:$F$801, 0)+1))="","",TRIM(INDEX(ERP資料!$E:$E, (MATCH(621, 輔助計算!$F$2:$F$801, 0)+1)))), "")</f>
        <v/>
      </c>
      <c r="E622" s="10">
        <f>IFERROR(IF(INDEX(ERP資料!$F:$F, (MATCH(621, 輔助計算!$F$2:$F$801, 0)+1))="","",INDEX(ERP資料!$F:$F, (MATCH(621, 輔助計算!$F$2:$F$801, 0)+1))), "")</f>
        <v/>
      </c>
      <c r="F622" s="10">
        <f>IFERROR(IF(INDEX(ERP資料!$G:$G, (MATCH(621, 輔助計算!$F$2:$F$801, 0)+1))="","",INDEX(ERP資料!$G:$G, (MATCH(621, 輔助計算!$F$2:$F$801, 0)+1))), "")</f>
        <v/>
      </c>
      <c r="G622" s="10">
        <f>IFERROR(IF(INDEX(ERP資料!$H:$H, (MATCH(621, 輔助計算!$F$2:$F$801, 0)+1))="","",INDEX(ERP資料!$H:$H, (MATCH(621, 輔助計算!$F$2:$F$801, 0)+1))), "")</f>
        <v/>
      </c>
      <c r="H622" s="10">
        <f>IFERROR(IF(INDEX(ERP資料!$O:$O, (MATCH(621, 輔助計算!$F$2:$F$801, 0)+1))="","",INDEX(ERP資料!$O:$O, (MATCH(621, 輔助計算!$F$2:$F$801, 0)+1))), "")</f>
        <v/>
      </c>
      <c r="I622" s="15">
        <f>IFERROR(IF(INDEX(輔助計算!$D:$D,(MATCH(621, 輔助計算!$F$2:$F$801, 0)+1))="","",INDEX(輔助計算!$D:$D,(MATCH(621, 輔助計算!$F$2:$F$801, 0)+1))*INDEX(ERP資料!$O:$O,(MATCH(621, 輔助計算!$F$2:$F$801, 0)+1))), "")</f>
        <v/>
      </c>
      <c r="J622" s="16" t="n"/>
      <c r="K622" s="15">
        <f>IFERROR(INDEX(輔助計算!$D:$D, (MATCH(621, 輔助計算!$F$2:$F$801, 0)+1)), "")</f>
        <v/>
      </c>
      <c r="L622" s="16">
        <f>IFERROR(IF(AND(IFERROR(VLOOKUP(LEFT(INDEX(ERP資料!$S:$S, (MATCH(621, 輔助計算!$F$2:$F$801, 0)+1)), 4), 100張客戶!$A:$A, 1, FALSE), "")&lt;&gt;"", OR(INDEX(ERP資料!$F:$F, (MATCH(621, 輔助計算!$F$2:$F$801, 0)+1))=270, INDEX(ERP資料!$F:$F, (MATCH(621, 輔助計算!$F$2:$F$801, 0)+1))=300)), "100張", ""), "")</f>
        <v/>
      </c>
      <c r="M622" s="17" t="n"/>
      <c r="N622" s="17">
        <f>IF($F622="","",$F622)</f>
        <v/>
      </c>
      <c r="O622" s="17">
        <f>IF($G622="","",$G622)</f>
        <v/>
      </c>
      <c r="P622" s="17">
        <f>IF($K622="","",$K622)</f>
        <v/>
      </c>
      <c r="Q622" s="16" t="n"/>
      <c r="R622" s="18" t="n"/>
      <c r="S622" s="16" t="n"/>
    </row>
    <row r="623">
      <c r="A623" s="14">
        <f>IFERROR(IF(AND(IFERROR(INDEX(ERP資料!$A:$A, (MATCH(622, 輔助計算!$F$2:$F$801, 0)+1)), "")&lt;&gt;"", IFERROR(INDEX(ERP資料!$A:$A, (MATCH(622, 輔助計算!$F$2:$F$801, 0)+1)), "")&lt;&gt;IFERROR(INDEX(ERP資料!$A:$A, MATCH(621, 輔助計算!$F$2:$F$801, 0)+1), "")), INDEX(ERP資料!$B:$B, (MATCH(622, 輔助計算!$F$2:$F$801, 0)+1)), ""), "")</f>
        <v/>
      </c>
      <c r="B623" s="10">
        <f>IFERROR(IF(AND(IFERROR(INDEX(ERP資料!$A:$A, (MATCH(622, 輔助計算!$F$2:$F$801, 0)+1)), "")&lt;&gt;"", IFERROR(INDEX(ERP資料!$A:$A, (MATCH(622, 輔助計算!$F$2:$F$801, 0)+1)), "")&lt;&gt;IFERROR(INDEX(ERP資料!$A:$A, MATCH(621, 輔助計算!$F$2:$F$801, 0)+1), "")), IFERROR(INDEX(ERP資料!$A:$A, (MATCH(622, 輔助計算!$F$2:$F$801, 0)+1)), ""), ""), "")</f>
        <v/>
      </c>
      <c r="C623" s="10">
        <f>IFERROR(IF(AND(IFERROR(INDEX(ERP資料!$A:$A, (MATCH(622, 輔助計算!$F$2:$F$801, 0)+1)), "")&lt;&gt;"", IFERROR(INDEX(ERP資料!$A:$A, (MATCH(622, 輔助計算!$F$2:$F$801, 0)+1)), "")&lt;&gt;IFERROR(INDEX(ERP資料!$A:$A, MATCH(621, 輔助計算!$F$2:$F$801, 0)+1), "")), INDEX(ERP資料!$S:$S, (MATCH(622, 輔助計算!$F$2:$F$801, 0)+1)), ""), "")</f>
        <v/>
      </c>
      <c r="D623" s="10">
        <f>IFERROR(IF(INDEX(ERP資料!$E:$E, (MATCH(622, 輔助計算!$F$2:$F$801, 0)+1))="","",TRIM(INDEX(ERP資料!$E:$E, (MATCH(622, 輔助計算!$F$2:$F$801, 0)+1)))), "")</f>
        <v/>
      </c>
      <c r="E623" s="10">
        <f>IFERROR(IF(INDEX(ERP資料!$F:$F, (MATCH(622, 輔助計算!$F$2:$F$801, 0)+1))="","",INDEX(ERP資料!$F:$F, (MATCH(622, 輔助計算!$F$2:$F$801, 0)+1))), "")</f>
        <v/>
      </c>
      <c r="F623" s="10">
        <f>IFERROR(IF(INDEX(ERP資料!$G:$G, (MATCH(622, 輔助計算!$F$2:$F$801, 0)+1))="","",INDEX(ERP資料!$G:$G, (MATCH(622, 輔助計算!$F$2:$F$801, 0)+1))), "")</f>
        <v/>
      </c>
      <c r="G623" s="10">
        <f>IFERROR(IF(INDEX(ERP資料!$H:$H, (MATCH(622, 輔助計算!$F$2:$F$801, 0)+1))="","",INDEX(ERP資料!$H:$H, (MATCH(622, 輔助計算!$F$2:$F$801, 0)+1))), "")</f>
        <v/>
      </c>
      <c r="H623" s="10">
        <f>IFERROR(IF(INDEX(ERP資料!$O:$O, (MATCH(622, 輔助計算!$F$2:$F$801, 0)+1))="","",INDEX(ERP資料!$O:$O, (MATCH(622, 輔助計算!$F$2:$F$801, 0)+1))), "")</f>
        <v/>
      </c>
      <c r="I623" s="15">
        <f>IFERROR(IF(INDEX(輔助計算!$D:$D,(MATCH(622, 輔助計算!$F$2:$F$801, 0)+1))="","",INDEX(輔助計算!$D:$D,(MATCH(622, 輔助計算!$F$2:$F$801, 0)+1))*INDEX(ERP資料!$O:$O,(MATCH(622, 輔助計算!$F$2:$F$801, 0)+1))), "")</f>
        <v/>
      </c>
      <c r="J623" s="16" t="n"/>
      <c r="K623" s="15">
        <f>IFERROR(INDEX(輔助計算!$D:$D, (MATCH(622, 輔助計算!$F$2:$F$801, 0)+1)), "")</f>
        <v/>
      </c>
      <c r="L623" s="16">
        <f>IFERROR(IF(AND(IFERROR(VLOOKUP(LEFT(INDEX(ERP資料!$S:$S, (MATCH(622, 輔助計算!$F$2:$F$801, 0)+1)), 4), 100張客戶!$A:$A, 1, FALSE), "")&lt;&gt;"", OR(INDEX(ERP資料!$F:$F, (MATCH(622, 輔助計算!$F$2:$F$801, 0)+1))=270, INDEX(ERP資料!$F:$F, (MATCH(622, 輔助計算!$F$2:$F$801, 0)+1))=300)), "100張", ""), "")</f>
        <v/>
      </c>
      <c r="M623" s="17" t="n"/>
      <c r="N623" s="17">
        <f>IF($F623="","",$F623)</f>
        <v/>
      </c>
      <c r="O623" s="17">
        <f>IF($G623="","",$G623)</f>
        <v/>
      </c>
      <c r="P623" s="17">
        <f>IF($K623="","",$K623)</f>
        <v/>
      </c>
      <c r="Q623" s="16" t="n"/>
      <c r="R623" s="18" t="n"/>
      <c r="S623" s="16" t="n"/>
    </row>
    <row r="624">
      <c r="A624" s="14">
        <f>IFERROR(IF(AND(IFERROR(INDEX(ERP資料!$A:$A, (MATCH(623, 輔助計算!$F$2:$F$801, 0)+1)), "")&lt;&gt;"", IFERROR(INDEX(ERP資料!$A:$A, (MATCH(623, 輔助計算!$F$2:$F$801, 0)+1)), "")&lt;&gt;IFERROR(INDEX(ERP資料!$A:$A, MATCH(622, 輔助計算!$F$2:$F$801, 0)+1), "")), INDEX(ERP資料!$B:$B, (MATCH(623, 輔助計算!$F$2:$F$801, 0)+1)), ""), "")</f>
        <v/>
      </c>
      <c r="B624" s="10">
        <f>IFERROR(IF(AND(IFERROR(INDEX(ERP資料!$A:$A, (MATCH(623, 輔助計算!$F$2:$F$801, 0)+1)), "")&lt;&gt;"", IFERROR(INDEX(ERP資料!$A:$A, (MATCH(623, 輔助計算!$F$2:$F$801, 0)+1)), "")&lt;&gt;IFERROR(INDEX(ERP資料!$A:$A, MATCH(622, 輔助計算!$F$2:$F$801, 0)+1), "")), IFERROR(INDEX(ERP資料!$A:$A, (MATCH(623, 輔助計算!$F$2:$F$801, 0)+1)), ""), ""), "")</f>
        <v/>
      </c>
      <c r="C624" s="10">
        <f>IFERROR(IF(AND(IFERROR(INDEX(ERP資料!$A:$A, (MATCH(623, 輔助計算!$F$2:$F$801, 0)+1)), "")&lt;&gt;"", IFERROR(INDEX(ERP資料!$A:$A, (MATCH(623, 輔助計算!$F$2:$F$801, 0)+1)), "")&lt;&gt;IFERROR(INDEX(ERP資料!$A:$A, MATCH(622, 輔助計算!$F$2:$F$801, 0)+1), "")), INDEX(ERP資料!$S:$S, (MATCH(623, 輔助計算!$F$2:$F$801, 0)+1)), ""), "")</f>
        <v/>
      </c>
      <c r="D624" s="10">
        <f>IFERROR(IF(INDEX(ERP資料!$E:$E, (MATCH(623, 輔助計算!$F$2:$F$801, 0)+1))="","",TRIM(INDEX(ERP資料!$E:$E, (MATCH(623, 輔助計算!$F$2:$F$801, 0)+1)))), "")</f>
        <v/>
      </c>
      <c r="E624" s="10">
        <f>IFERROR(IF(INDEX(ERP資料!$F:$F, (MATCH(623, 輔助計算!$F$2:$F$801, 0)+1))="","",INDEX(ERP資料!$F:$F, (MATCH(623, 輔助計算!$F$2:$F$801, 0)+1))), "")</f>
        <v/>
      </c>
      <c r="F624" s="10">
        <f>IFERROR(IF(INDEX(ERP資料!$G:$G, (MATCH(623, 輔助計算!$F$2:$F$801, 0)+1))="","",INDEX(ERP資料!$G:$G, (MATCH(623, 輔助計算!$F$2:$F$801, 0)+1))), "")</f>
        <v/>
      </c>
      <c r="G624" s="10">
        <f>IFERROR(IF(INDEX(ERP資料!$H:$H, (MATCH(623, 輔助計算!$F$2:$F$801, 0)+1))="","",INDEX(ERP資料!$H:$H, (MATCH(623, 輔助計算!$F$2:$F$801, 0)+1))), "")</f>
        <v/>
      </c>
      <c r="H624" s="10">
        <f>IFERROR(IF(INDEX(ERP資料!$O:$O, (MATCH(623, 輔助計算!$F$2:$F$801, 0)+1))="","",INDEX(ERP資料!$O:$O, (MATCH(623, 輔助計算!$F$2:$F$801, 0)+1))), "")</f>
        <v/>
      </c>
      <c r="I624" s="15">
        <f>IFERROR(IF(INDEX(輔助計算!$D:$D,(MATCH(623, 輔助計算!$F$2:$F$801, 0)+1))="","",INDEX(輔助計算!$D:$D,(MATCH(623, 輔助計算!$F$2:$F$801, 0)+1))*INDEX(ERP資料!$O:$O,(MATCH(623, 輔助計算!$F$2:$F$801, 0)+1))), "")</f>
        <v/>
      </c>
      <c r="J624" s="16" t="n"/>
      <c r="K624" s="15">
        <f>IFERROR(INDEX(輔助計算!$D:$D, (MATCH(623, 輔助計算!$F$2:$F$801, 0)+1)), "")</f>
        <v/>
      </c>
      <c r="L624" s="16">
        <f>IFERROR(IF(AND(IFERROR(VLOOKUP(LEFT(INDEX(ERP資料!$S:$S, (MATCH(623, 輔助計算!$F$2:$F$801, 0)+1)), 4), 100張客戶!$A:$A, 1, FALSE), "")&lt;&gt;"", OR(INDEX(ERP資料!$F:$F, (MATCH(623, 輔助計算!$F$2:$F$801, 0)+1))=270, INDEX(ERP資料!$F:$F, (MATCH(623, 輔助計算!$F$2:$F$801, 0)+1))=300)), "100張", ""), "")</f>
        <v/>
      </c>
      <c r="M624" s="17" t="n"/>
      <c r="N624" s="17">
        <f>IF($F624="","",$F624)</f>
        <v/>
      </c>
      <c r="O624" s="17">
        <f>IF($G624="","",$G624)</f>
        <v/>
      </c>
      <c r="P624" s="17">
        <f>IF($K624="","",$K624)</f>
        <v/>
      </c>
      <c r="Q624" s="16" t="n"/>
      <c r="R624" s="18" t="n"/>
      <c r="S624" s="16" t="n"/>
    </row>
    <row r="625">
      <c r="A625" s="14">
        <f>IFERROR(IF(AND(IFERROR(INDEX(ERP資料!$A:$A, (MATCH(624, 輔助計算!$F$2:$F$801, 0)+1)), "")&lt;&gt;"", IFERROR(INDEX(ERP資料!$A:$A, (MATCH(624, 輔助計算!$F$2:$F$801, 0)+1)), "")&lt;&gt;IFERROR(INDEX(ERP資料!$A:$A, MATCH(623, 輔助計算!$F$2:$F$801, 0)+1), "")), INDEX(ERP資料!$B:$B, (MATCH(624, 輔助計算!$F$2:$F$801, 0)+1)), ""), "")</f>
        <v/>
      </c>
      <c r="B625" s="10">
        <f>IFERROR(IF(AND(IFERROR(INDEX(ERP資料!$A:$A, (MATCH(624, 輔助計算!$F$2:$F$801, 0)+1)), "")&lt;&gt;"", IFERROR(INDEX(ERP資料!$A:$A, (MATCH(624, 輔助計算!$F$2:$F$801, 0)+1)), "")&lt;&gt;IFERROR(INDEX(ERP資料!$A:$A, MATCH(623, 輔助計算!$F$2:$F$801, 0)+1), "")), IFERROR(INDEX(ERP資料!$A:$A, (MATCH(624, 輔助計算!$F$2:$F$801, 0)+1)), ""), ""), "")</f>
        <v/>
      </c>
      <c r="C625" s="10">
        <f>IFERROR(IF(AND(IFERROR(INDEX(ERP資料!$A:$A, (MATCH(624, 輔助計算!$F$2:$F$801, 0)+1)), "")&lt;&gt;"", IFERROR(INDEX(ERP資料!$A:$A, (MATCH(624, 輔助計算!$F$2:$F$801, 0)+1)), "")&lt;&gt;IFERROR(INDEX(ERP資料!$A:$A, MATCH(623, 輔助計算!$F$2:$F$801, 0)+1), "")), INDEX(ERP資料!$S:$S, (MATCH(624, 輔助計算!$F$2:$F$801, 0)+1)), ""), "")</f>
        <v/>
      </c>
      <c r="D625" s="10">
        <f>IFERROR(IF(INDEX(ERP資料!$E:$E, (MATCH(624, 輔助計算!$F$2:$F$801, 0)+1))="","",TRIM(INDEX(ERP資料!$E:$E, (MATCH(624, 輔助計算!$F$2:$F$801, 0)+1)))), "")</f>
        <v/>
      </c>
      <c r="E625" s="10">
        <f>IFERROR(IF(INDEX(ERP資料!$F:$F, (MATCH(624, 輔助計算!$F$2:$F$801, 0)+1))="","",INDEX(ERP資料!$F:$F, (MATCH(624, 輔助計算!$F$2:$F$801, 0)+1))), "")</f>
        <v/>
      </c>
      <c r="F625" s="10">
        <f>IFERROR(IF(INDEX(ERP資料!$G:$G, (MATCH(624, 輔助計算!$F$2:$F$801, 0)+1))="","",INDEX(ERP資料!$G:$G, (MATCH(624, 輔助計算!$F$2:$F$801, 0)+1))), "")</f>
        <v/>
      </c>
      <c r="G625" s="10">
        <f>IFERROR(IF(INDEX(ERP資料!$H:$H, (MATCH(624, 輔助計算!$F$2:$F$801, 0)+1))="","",INDEX(ERP資料!$H:$H, (MATCH(624, 輔助計算!$F$2:$F$801, 0)+1))), "")</f>
        <v/>
      </c>
      <c r="H625" s="10">
        <f>IFERROR(IF(INDEX(ERP資料!$O:$O, (MATCH(624, 輔助計算!$F$2:$F$801, 0)+1))="","",INDEX(ERP資料!$O:$O, (MATCH(624, 輔助計算!$F$2:$F$801, 0)+1))), "")</f>
        <v/>
      </c>
      <c r="I625" s="15">
        <f>IFERROR(IF(INDEX(輔助計算!$D:$D,(MATCH(624, 輔助計算!$F$2:$F$801, 0)+1))="","",INDEX(輔助計算!$D:$D,(MATCH(624, 輔助計算!$F$2:$F$801, 0)+1))*INDEX(ERP資料!$O:$O,(MATCH(624, 輔助計算!$F$2:$F$801, 0)+1))), "")</f>
        <v/>
      </c>
      <c r="J625" s="16" t="n"/>
      <c r="K625" s="15">
        <f>IFERROR(INDEX(輔助計算!$D:$D, (MATCH(624, 輔助計算!$F$2:$F$801, 0)+1)), "")</f>
        <v/>
      </c>
      <c r="L625" s="16">
        <f>IFERROR(IF(AND(IFERROR(VLOOKUP(LEFT(INDEX(ERP資料!$S:$S, (MATCH(624, 輔助計算!$F$2:$F$801, 0)+1)), 4), 100張客戶!$A:$A, 1, FALSE), "")&lt;&gt;"", OR(INDEX(ERP資料!$F:$F, (MATCH(624, 輔助計算!$F$2:$F$801, 0)+1))=270, INDEX(ERP資料!$F:$F, (MATCH(624, 輔助計算!$F$2:$F$801, 0)+1))=300)), "100張", ""), "")</f>
        <v/>
      </c>
      <c r="M625" s="17" t="n"/>
      <c r="N625" s="17">
        <f>IF($F625="","",$F625)</f>
        <v/>
      </c>
      <c r="O625" s="17">
        <f>IF($G625="","",$G625)</f>
        <v/>
      </c>
      <c r="P625" s="17">
        <f>IF($K625="","",$K625)</f>
        <v/>
      </c>
      <c r="Q625" s="16" t="n"/>
      <c r="R625" s="18" t="n"/>
      <c r="S625" s="16" t="n"/>
    </row>
    <row r="626">
      <c r="A626" s="14">
        <f>IFERROR(IF(AND(IFERROR(INDEX(ERP資料!$A:$A, (MATCH(625, 輔助計算!$F$2:$F$801, 0)+1)), "")&lt;&gt;"", IFERROR(INDEX(ERP資料!$A:$A, (MATCH(625, 輔助計算!$F$2:$F$801, 0)+1)), "")&lt;&gt;IFERROR(INDEX(ERP資料!$A:$A, MATCH(624, 輔助計算!$F$2:$F$801, 0)+1), "")), INDEX(ERP資料!$B:$B, (MATCH(625, 輔助計算!$F$2:$F$801, 0)+1)), ""), "")</f>
        <v/>
      </c>
      <c r="B626" s="10">
        <f>IFERROR(IF(AND(IFERROR(INDEX(ERP資料!$A:$A, (MATCH(625, 輔助計算!$F$2:$F$801, 0)+1)), "")&lt;&gt;"", IFERROR(INDEX(ERP資料!$A:$A, (MATCH(625, 輔助計算!$F$2:$F$801, 0)+1)), "")&lt;&gt;IFERROR(INDEX(ERP資料!$A:$A, MATCH(624, 輔助計算!$F$2:$F$801, 0)+1), "")), IFERROR(INDEX(ERP資料!$A:$A, (MATCH(625, 輔助計算!$F$2:$F$801, 0)+1)), ""), ""), "")</f>
        <v/>
      </c>
      <c r="C626" s="10">
        <f>IFERROR(IF(AND(IFERROR(INDEX(ERP資料!$A:$A, (MATCH(625, 輔助計算!$F$2:$F$801, 0)+1)), "")&lt;&gt;"", IFERROR(INDEX(ERP資料!$A:$A, (MATCH(625, 輔助計算!$F$2:$F$801, 0)+1)), "")&lt;&gt;IFERROR(INDEX(ERP資料!$A:$A, MATCH(624, 輔助計算!$F$2:$F$801, 0)+1), "")), INDEX(ERP資料!$S:$S, (MATCH(625, 輔助計算!$F$2:$F$801, 0)+1)), ""), "")</f>
        <v/>
      </c>
      <c r="D626" s="10">
        <f>IFERROR(IF(INDEX(ERP資料!$E:$E, (MATCH(625, 輔助計算!$F$2:$F$801, 0)+1))="","",TRIM(INDEX(ERP資料!$E:$E, (MATCH(625, 輔助計算!$F$2:$F$801, 0)+1)))), "")</f>
        <v/>
      </c>
      <c r="E626" s="10">
        <f>IFERROR(IF(INDEX(ERP資料!$F:$F, (MATCH(625, 輔助計算!$F$2:$F$801, 0)+1))="","",INDEX(ERP資料!$F:$F, (MATCH(625, 輔助計算!$F$2:$F$801, 0)+1))), "")</f>
        <v/>
      </c>
      <c r="F626" s="10">
        <f>IFERROR(IF(INDEX(ERP資料!$G:$G, (MATCH(625, 輔助計算!$F$2:$F$801, 0)+1))="","",INDEX(ERP資料!$G:$G, (MATCH(625, 輔助計算!$F$2:$F$801, 0)+1))), "")</f>
        <v/>
      </c>
      <c r="G626" s="10">
        <f>IFERROR(IF(INDEX(ERP資料!$H:$H, (MATCH(625, 輔助計算!$F$2:$F$801, 0)+1))="","",INDEX(ERP資料!$H:$H, (MATCH(625, 輔助計算!$F$2:$F$801, 0)+1))), "")</f>
        <v/>
      </c>
      <c r="H626" s="10">
        <f>IFERROR(IF(INDEX(ERP資料!$O:$O, (MATCH(625, 輔助計算!$F$2:$F$801, 0)+1))="","",INDEX(ERP資料!$O:$O, (MATCH(625, 輔助計算!$F$2:$F$801, 0)+1))), "")</f>
        <v/>
      </c>
      <c r="I626" s="15">
        <f>IFERROR(IF(INDEX(輔助計算!$D:$D,(MATCH(625, 輔助計算!$F$2:$F$801, 0)+1))="","",INDEX(輔助計算!$D:$D,(MATCH(625, 輔助計算!$F$2:$F$801, 0)+1))*INDEX(ERP資料!$O:$O,(MATCH(625, 輔助計算!$F$2:$F$801, 0)+1))), "")</f>
        <v/>
      </c>
      <c r="J626" s="16" t="n"/>
      <c r="K626" s="15">
        <f>IFERROR(INDEX(輔助計算!$D:$D, (MATCH(625, 輔助計算!$F$2:$F$801, 0)+1)), "")</f>
        <v/>
      </c>
      <c r="L626" s="16">
        <f>IFERROR(IF(AND(IFERROR(VLOOKUP(LEFT(INDEX(ERP資料!$S:$S, (MATCH(625, 輔助計算!$F$2:$F$801, 0)+1)), 4), 100張客戶!$A:$A, 1, FALSE), "")&lt;&gt;"", OR(INDEX(ERP資料!$F:$F, (MATCH(625, 輔助計算!$F$2:$F$801, 0)+1))=270, INDEX(ERP資料!$F:$F, (MATCH(625, 輔助計算!$F$2:$F$801, 0)+1))=300)), "100張", ""), "")</f>
        <v/>
      </c>
      <c r="M626" s="17" t="n"/>
      <c r="N626" s="17">
        <f>IF($F626="","",$F626)</f>
        <v/>
      </c>
      <c r="O626" s="17">
        <f>IF($G626="","",$G626)</f>
        <v/>
      </c>
      <c r="P626" s="17">
        <f>IF($K626="","",$K626)</f>
        <v/>
      </c>
      <c r="Q626" s="16" t="n"/>
      <c r="R626" s="18" t="n"/>
      <c r="S626" s="16" t="n"/>
    </row>
    <row r="627">
      <c r="A627" s="14">
        <f>IFERROR(IF(AND(IFERROR(INDEX(ERP資料!$A:$A, (MATCH(626, 輔助計算!$F$2:$F$801, 0)+1)), "")&lt;&gt;"", IFERROR(INDEX(ERP資料!$A:$A, (MATCH(626, 輔助計算!$F$2:$F$801, 0)+1)), "")&lt;&gt;IFERROR(INDEX(ERP資料!$A:$A, MATCH(625, 輔助計算!$F$2:$F$801, 0)+1), "")), INDEX(ERP資料!$B:$B, (MATCH(626, 輔助計算!$F$2:$F$801, 0)+1)), ""), "")</f>
        <v/>
      </c>
      <c r="B627" s="10">
        <f>IFERROR(IF(AND(IFERROR(INDEX(ERP資料!$A:$A, (MATCH(626, 輔助計算!$F$2:$F$801, 0)+1)), "")&lt;&gt;"", IFERROR(INDEX(ERP資料!$A:$A, (MATCH(626, 輔助計算!$F$2:$F$801, 0)+1)), "")&lt;&gt;IFERROR(INDEX(ERP資料!$A:$A, MATCH(625, 輔助計算!$F$2:$F$801, 0)+1), "")), IFERROR(INDEX(ERP資料!$A:$A, (MATCH(626, 輔助計算!$F$2:$F$801, 0)+1)), ""), ""), "")</f>
        <v/>
      </c>
      <c r="C627" s="10">
        <f>IFERROR(IF(AND(IFERROR(INDEX(ERP資料!$A:$A, (MATCH(626, 輔助計算!$F$2:$F$801, 0)+1)), "")&lt;&gt;"", IFERROR(INDEX(ERP資料!$A:$A, (MATCH(626, 輔助計算!$F$2:$F$801, 0)+1)), "")&lt;&gt;IFERROR(INDEX(ERP資料!$A:$A, MATCH(625, 輔助計算!$F$2:$F$801, 0)+1), "")), INDEX(ERP資料!$S:$S, (MATCH(626, 輔助計算!$F$2:$F$801, 0)+1)), ""), "")</f>
        <v/>
      </c>
      <c r="D627" s="10">
        <f>IFERROR(IF(INDEX(ERP資料!$E:$E, (MATCH(626, 輔助計算!$F$2:$F$801, 0)+1))="","",TRIM(INDEX(ERP資料!$E:$E, (MATCH(626, 輔助計算!$F$2:$F$801, 0)+1)))), "")</f>
        <v/>
      </c>
      <c r="E627" s="10">
        <f>IFERROR(IF(INDEX(ERP資料!$F:$F, (MATCH(626, 輔助計算!$F$2:$F$801, 0)+1))="","",INDEX(ERP資料!$F:$F, (MATCH(626, 輔助計算!$F$2:$F$801, 0)+1))), "")</f>
        <v/>
      </c>
      <c r="F627" s="10">
        <f>IFERROR(IF(INDEX(ERP資料!$G:$G, (MATCH(626, 輔助計算!$F$2:$F$801, 0)+1))="","",INDEX(ERP資料!$G:$G, (MATCH(626, 輔助計算!$F$2:$F$801, 0)+1))), "")</f>
        <v/>
      </c>
      <c r="G627" s="10">
        <f>IFERROR(IF(INDEX(ERP資料!$H:$H, (MATCH(626, 輔助計算!$F$2:$F$801, 0)+1))="","",INDEX(ERP資料!$H:$H, (MATCH(626, 輔助計算!$F$2:$F$801, 0)+1))), "")</f>
        <v/>
      </c>
      <c r="H627" s="10">
        <f>IFERROR(IF(INDEX(ERP資料!$O:$O, (MATCH(626, 輔助計算!$F$2:$F$801, 0)+1))="","",INDEX(ERP資料!$O:$O, (MATCH(626, 輔助計算!$F$2:$F$801, 0)+1))), "")</f>
        <v/>
      </c>
      <c r="I627" s="15">
        <f>IFERROR(IF(INDEX(輔助計算!$D:$D,(MATCH(626, 輔助計算!$F$2:$F$801, 0)+1))="","",INDEX(輔助計算!$D:$D,(MATCH(626, 輔助計算!$F$2:$F$801, 0)+1))*INDEX(ERP資料!$O:$O,(MATCH(626, 輔助計算!$F$2:$F$801, 0)+1))), "")</f>
        <v/>
      </c>
      <c r="J627" s="16" t="n"/>
      <c r="K627" s="15">
        <f>IFERROR(INDEX(輔助計算!$D:$D, (MATCH(626, 輔助計算!$F$2:$F$801, 0)+1)), "")</f>
        <v/>
      </c>
      <c r="L627" s="16">
        <f>IFERROR(IF(AND(IFERROR(VLOOKUP(LEFT(INDEX(ERP資料!$S:$S, (MATCH(626, 輔助計算!$F$2:$F$801, 0)+1)), 4), 100張客戶!$A:$A, 1, FALSE), "")&lt;&gt;"", OR(INDEX(ERP資料!$F:$F, (MATCH(626, 輔助計算!$F$2:$F$801, 0)+1))=270, INDEX(ERP資料!$F:$F, (MATCH(626, 輔助計算!$F$2:$F$801, 0)+1))=300)), "100張", ""), "")</f>
        <v/>
      </c>
      <c r="M627" s="17" t="n"/>
      <c r="N627" s="17">
        <f>IF($F627="","",$F627)</f>
        <v/>
      </c>
      <c r="O627" s="17">
        <f>IF($G627="","",$G627)</f>
        <v/>
      </c>
      <c r="P627" s="17">
        <f>IF($K627="","",$K627)</f>
        <v/>
      </c>
      <c r="Q627" s="16" t="n"/>
      <c r="R627" s="18" t="n"/>
      <c r="S627" s="16" t="n"/>
    </row>
    <row r="628">
      <c r="A628" s="14">
        <f>IFERROR(IF(AND(IFERROR(INDEX(ERP資料!$A:$A, (MATCH(627, 輔助計算!$F$2:$F$801, 0)+1)), "")&lt;&gt;"", IFERROR(INDEX(ERP資料!$A:$A, (MATCH(627, 輔助計算!$F$2:$F$801, 0)+1)), "")&lt;&gt;IFERROR(INDEX(ERP資料!$A:$A, MATCH(626, 輔助計算!$F$2:$F$801, 0)+1), "")), INDEX(ERP資料!$B:$B, (MATCH(627, 輔助計算!$F$2:$F$801, 0)+1)), ""), "")</f>
        <v/>
      </c>
      <c r="B628" s="10">
        <f>IFERROR(IF(AND(IFERROR(INDEX(ERP資料!$A:$A, (MATCH(627, 輔助計算!$F$2:$F$801, 0)+1)), "")&lt;&gt;"", IFERROR(INDEX(ERP資料!$A:$A, (MATCH(627, 輔助計算!$F$2:$F$801, 0)+1)), "")&lt;&gt;IFERROR(INDEX(ERP資料!$A:$A, MATCH(626, 輔助計算!$F$2:$F$801, 0)+1), "")), IFERROR(INDEX(ERP資料!$A:$A, (MATCH(627, 輔助計算!$F$2:$F$801, 0)+1)), ""), ""), "")</f>
        <v/>
      </c>
      <c r="C628" s="10">
        <f>IFERROR(IF(AND(IFERROR(INDEX(ERP資料!$A:$A, (MATCH(627, 輔助計算!$F$2:$F$801, 0)+1)), "")&lt;&gt;"", IFERROR(INDEX(ERP資料!$A:$A, (MATCH(627, 輔助計算!$F$2:$F$801, 0)+1)), "")&lt;&gt;IFERROR(INDEX(ERP資料!$A:$A, MATCH(626, 輔助計算!$F$2:$F$801, 0)+1), "")), INDEX(ERP資料!$S:$S, (MATCH(627, 輔助計算!$F$2:$F$801, 0)+1)), ""), "")</f>
        <v/>
      </c>
      <c r="D628" s="10">
        <f>IFERROR(IF(INDEX(ERP資料!$E:$E, (MATCH(627, 輔助計算!$F$2:$F$801, 0)+1))="","",TRIM(INDEX(ERP資料!$E:$E, (MATCH(627, 輔助計算!$F$2:$F$801, 0)+1)))), "")</f>
        <v/>
      </c>
      <c r="E628" s="10">
        <f>IFERROR(IF(INDEX(ERP資料!$F:$F, (MATCH(627, 輔助計算!$F$2:$F$801, 0)+1))="","",INDEX(ERP資料!$F:$F, (MATCH(627, 輔助計算!$F$2:$F$801, 0)+1))), "")</f>
        <v/>
      </c>
      <c r="F628" s="10">
        <f>IFERROR(IF(INDEX(ERP資料!$G:$G, (MATCH(627, 輔助計算!$F$2:$F$801, 0)+1))="","",INDEX(ERP資料!$G:$G, (MATCH(627, 輔助計算!$F$2:$F$801, 0)+1))), "")</f>
        <v/>
      </c>
      <c r="G628" s="10">
        <f>IFERROR(IF(INDEX(ERP資料!$H:$H, (MATCH(627, 輔助計算!$F$2:$F$801, 0)+1))="","",INDEX(ERP資料!$H:$H, (MATCH(627, 輔助計算!$F$2:$F$801, 0)+1))), "")</f>
        <v/>
      </c>
      <c r="H628" s="10">
        <f>IFERROR(IF(INDEX(ERP資料!$O:$O, (MATCH(627, 輔助計算!$F$2:$F$801, 0)+1))="","",INDEX(ERP資料!$O:$O, (MATCH(627, 輔助計算!$F$2:$F$801, 0)+1))), "")</f>
        <v/>
      </c>
      <c r="I628" s="15">
        <f>IFERROR(IF(INDEX(輔助計算!$D:$D,(MATCH(627, 輔助計算!$F$2:$F$801, 0)+1))="","",INDEX(輔助計算!$D:$D,(MATCH(627, 輔助計算!$F$2:$F$801, 0)+1))*INDEX(ERP資料!$O:$O,(MATCH(627, 輔助計算!$F$2:$F$801, 0)+1))), "")</f>
        <v/>
      </c>
      <c r="J628" s="16" t="n"/>
      <c r="K628" s="15">
        <f>IFERROR(INDEX(輔助計算!$D:$D, (MATCH(627, 輔助計算!$F$2:$F$801, 0)+1)), "")</f>
        <v/>
      </c>
      <c r="L628" s="16">
        <f>IFERROR(IF(AND(IFERROR(VLOOKUP(LEFT(INDEX(ERP資料!$S:$S, (MATCH(627, 輔助計算!$F$2:$F$801, 0)+1)), 4), 100張客戶!$A:$A, 1, FALSE), "")&lt;&gt;"", OR(INDEX(ERP資料!$F:$F, (MATCH(627, 輔助計算!$F$2:$F$801, 0)+1))=270, INDEX(ERP資料!$F:$F, (MATCH(627, 輔助計算!$F$2:$F$801, 0)+1))=300)), "100張", ""), "")</f>
        <v/>
      </c>
      <c r="M628" s="17" t="n"/>
      <c r="N628" s="17">
        <f>IF($F628="","",$F628)</f>
        <v/>
      </c>
      <c r="O628" s="17">
        <f>IF($G628="","",$G628)</f>
        <v/>
      </c>
      <c r="P628" s="17">
        <f>IF($K628="","",$K628)</f>
        <v/>
      </c>
      <c r="Q628" s="16" t="n"/>
      <c r="R628" s="18" t="n"/>
      <c r="S628" s="16" t="n"/>
    </row>
    <row r="629">
      <c r="A629" s="14">
        <f>IFERROR(IF(AND(IFERROR(INDEX(ERP資料!$A:$A, (MATCH(628, 輔助計算!$F$2:$F$801, 0)+1)), "")&lt;&gt;"", IFERROR(INDEX(ERP資料!$A:$A, (MATCH(628, 輔助計算!$F$2:$F$801, 0)+1)), "")&lt;&gt;IFERROR(INDEX(ERP資料!$A:$A, MATCH(627, 輔助計算!$F$2:$F$801, 0)+1), "")), INDEX(ERP資料!$B:$B, (MATCH(628, 輔助計算!$F$2:$F$801, 0)+1)), ""), "")</f>
        <v/>
      </c>
      <c r="B629" s="10">
        <f>IFERROR(IF(AND(IFERROR(INDEX(ERP資料!$A:$A, (MATCH(628, 輔助計算!$F$2:$F$801, 0)+1)), "")&lt;&gt;"", IFERROR(INDEX(ERP資料!$A:$A, (MATCH(628, 輔助計算!$F$2:$F$801, 0)+1)), "")&lt;&gt;IFERROR(INDEX(ERP資料!$A:$A, MATCH(627, 輔助計算!$F$2:$F$801, 0)+1), "")), IFERROR(INDEX(ERP資料!$A:$A, (MATCH(628, 輔助計算!$F$2:$F$801, 0)+1)), ""), ""), "")</f>
        <v/>
      </c>
      <c r="C629" s="10">
        <f>IFERROR(IF(AND(IFERROR(INDEX(ERP資料!$A:$A, (MATCH(628, 輔助計算!$F$2:$F$801, 0)+1)), "")&lt;&gt;"", IFERROR(INDEX(ERP資料!$A:$A, (MATCH(628, 輔助計算!$F$2:$F$801, 0)+1)), "")&lt;&gt;IFERROR(INDEX(ERP資料!$A:$A, MATCH(627, 輔助計算!$F$2:$F$801, 0)+1), "")), INDEX(ERP資料!$S:$S, (MATCH(628, 輔助計算!$F$2:$F$801, 0)+1)), ""), "")</f>
        <v/>
      </c>
      <c r="D629" s="10">
        <f>IFERROR(IF(INDEX(ERP資料!$E:$E, (MATCH(628, 輔助計算!$F$2:$F$801, 0)+1))="","",TRIM(INDEX(ERP資料!$E:$E, (MATCH(628, 輔助計算!$F$2:$F$801, 0)+1)))), "")</f>
        <v/>
      </c>
      <c r="E629" s="10">
        <f>IFERROR(IF(INDEX(ERP資料!$F:$F, (MATCH(628, 輔助計算!$F$2:$F$801, 0)+1))="","",INDEX(ERP資料!$F:$F, (MATCH(628, 輔助計算!$F$2:$F$801, 0)+1))), "")</f>
        <v/>
      </c>
      <c r="F629" s="10">
        <f>IFERROR(IF(INDEX(ERP資料!$G:$G, (MATCH(628, 輔助計算!$F$2:$F$801, 0)+1))="","",INDEX(ERP資料!$G:$G, (MATCH(628, 輔助計算!$F$2:$F$801, 0)+1))), "")</f>
        <v/>
      </c>
      <c r="G629" s="10">
        <f>IFERROR(IF(INDEX(ERP資料!$H:$H, (MATCH(628, 輔助計算!$F$2:$F$801, 0)+1))="","",INDEX(ERP資料!$H:$H, (MATCH(628, 輔助計算!$F$2:$F$801, 0)+1))), "")</f>
        <v/>
      </c>
      <c r="H629" s="10">
        <f>IFERROR(IF(INDEX(ERP資料!$O:$O, (MATCH(628, 輔助計算!$F$2:$F$801, 0)+1))="","",INDEX(ERP資料!$O:$O, (MATCH(628, 輔助計算!$F$2:$F$801, 0)+1))), "")</f>
        <v/>
      </c>
      <c r="I629" s="15">
        <f>IFERROR(IF(INDEX(輔助計算!$D:$D,(MATCH(628, 輔助計算!$F$2:$F$801, 0)+1))="","",INDEX(輔助計算!$D:$D,(MATCH(628, 輔助計算!$F$2:$F$801, 0)+1))*INDEX(ERP資料!$O:$O,(MATCH(628, 輔助計算!$F$2:$F$801, 0)+1))), "")</f>
        <v/>
      </c>
      <c r="J629" s="16" t="n"/>
      <c r="K629" s="15">
        <f>IFERROR(INDEX(輔助計算!$D:$D, (MATCH(628, 輔助計算!$F$2:$F$801, 0)+1)), "")</f>
        <v/>
      </c>
      <c r="L629" s="16">
        <f>IFERROR(IF(AND(IFERROR(VLOOKUP(LEFT(INDEX(ERP資料!$S:$S, (MATCH(628, 輔助計算!$F$2:$F$801, 0)+1)), 4), 100張客戶!$A:$A, 1, FALSE), "")&lt;&gt;"", OR(INDEX(ERP資料!$F:$F, (MATCH(628, 輔助計算!$F$2:$F$801, 0)+1))=270, INDEX(ERP資料!$F:$F, (MATCH(628, 輔助計算!$F$2:$F$801, 0)+1))=300)), "100張", ""), "")</f>
        <v/>
      </c>
      <c r="M629" s="17" t="n"/>
      <c r="N629" s="17">
        <f>IF($F629="","",$F629)</f>
        <v/>
      </c>
      <c r="O629" s="17">
        <f>IF($G629="","",$G629)</f>
        <v/>
      </c>
      <c r="P629" s="17">
        <f>IF($K629="","",$K629)</f>
        <v/>
      </c>
      <c r="Q629" s="16" t="n"/>
      <c r="R629" s="18" t="n"/>
      <c r="S629" s="16" t="n"/>
    </row>
    <row r="630">
      <c r="A630" s="14">
        <f>IFERROR(IF(AND(IFERROR(INDEX(ERP資料!$A:$A, (MATCH(629, 輔助計算!$F$2:$F$801, 0)+1)), "")&lt;&gt;"", IFERROR(INDEX(ERP資料!$A:$A, (MATCH(629, 輔助計算!$F$2:$F$801, 0)+1)), "")&lt;&gt;IFERROR(INDEX(ERP資料!$A:$A, MATCH(628, 輔助計算!$F$2:$F$801, 0)+1), "")), INDEX(ERP資料!$B:$B, (MATCH(629, 輔助計算!$F$2:$F$801, 0)+1)), ""), "")</f>
        <v/>
      </c>
      <c r="B630" s="10">
        <f>IFERROR(IF(AND(IFERROR(INDEX(ERP資料!$A:$A, (MATCH(629, 輔助計算!$F$2:$F$801, 0)+1)), "")&lt;&gt;"", IFERROR(INDEX(ERP資料!$A:$A, (MATCH(629, 輔助計算!$F$2:$F$801, 0)+1)), "")&lt;&gt;IFERROR(INDEX(ERP資料!$A:$A, MATCH(628, 輔助計算!$F$2:$F$801, 0)+1), "")), IFERROR(INDEX(ERP資料!$A:$A, (MATCH(629, 輔助計算!$F$2:$F$801, 0)+1)), ""), ""), "")</f>
        <v/>
      </c>
      <c r="C630" s="10">
        <f>IFERROR(IF(AND(IFERROR(INDEX(ERP資料!$A:$A, (MATCH(629, 輔助計算!$F$2:$F$801, 0)+1)), "")&lt;&gt;"", IFERROR(INDEX(ERP資料!$A:$A, (MATCH(629, 輔助計算!$F$2:$F$801, 0)+1)), "")&lt;&gt;IFERROR(INDEX(ERP資料!$A:$A, MATCH(628, 輔助計算!$F$2:$F$801, 0)+1), "")), INDEX(ERP資料!$S:$S, (MATCH(629, 輔助計算!$F$2:$F$801, 0)+1)), ""), "")</f>
        <v/>
      </c>
      <c r="D630" s="10">
        <f>IFERROR(IF(INDEX(ERP資料!$E:$E, (MATCH(629, 輔助計算!$F$2:$F$801, 0)+1))="","",TRIM(INDEX(ERP資料!$E:$E, (MATCH(629, 輔助計算!$F$2:$F$801, 0)+1)))), "")</f>
        <v/>
      </c>
      <c r="E630" s="10">
        <f>IFERROR(IF(INDEX(ERP資料!$F:$F, (MATCH(629, 輔助計算!$F$2:$F$801, 0)+1))="","",INDEX(ERP資料!$F:$F, (MATCH(629, 輔助計算!$F$2:$F$801, 0)+1))), "")</f>
        <v/>
      </c>
      <c r="F630" s="10">
        <f>IFERROR(IF(INDEX(ERP資料!$G:$G, (MATCH(629, 輔助計算!$F$2:$F$801, 0)+1))="","",INDEX(ERP資料!$G:$G, (MATCH(629, 輔助計算!$F$2:$F$801, 0)+1))), "")</f>
        <v/>
      </c>
      <c r="G630" s="10">
        <f>IFERROR(IF(INDEX(ERP資料!$H:$H, (MATCH(629, 輔助計算!$F$2:$F$801, 0)+1))="","",INDEX(ERP資料!$H:$H, (MATCH(629, 輔助計算!$F$2:$F$801, 0)+1))), "")</f>
        <v/>
      </c>
      <c r="H630" s="10">
        <f>IFERROR(IF(INDEX(ERP資料!$O:$O, (MATCH(629, 輔助計算!$F$2:$F$801, 0)+1))="","",INDEX(ERP資料!$O:$O, (MATCH(629, 輔助計算!$F$2:$F$801, 0)+1))), "")</f>
        <v/>
      </c>
      <c r="I630" s="15">
        <f>IFERROR(IF(INDEX(輔助計算!$D:$D,(MATCH(629, 輔助計算!$F$2:$F$801, 0)+1))="","",INDEX(輔助計算!$D:$D,(MATCH(629, 輔助計算!$F$2:$F$801, 0)+1))*INDEX(ERP資料!$O:$O,(MATCH(629, 輔助計算!$F$2:$F$801, 0)+1))), "")</f>
        <v/>
      </c>
      <c r="J630" s="16" t="n"/>
      <c r="K630" s="15">
        <f>IFERROR(INDEX(輔助計算!$D:$D, (MATCH(629, 輔助計算!$F$2:$F$801, 0)+1)), "")</f>
        <v/>
      </c>
      <c r="L630" s="16">
        <f>IFERROR(IF(AND(IFERROR(VLOOKUP(LEFT(INDEX(ERP資料!$S:$S, (MATCH(629, 輔助計算!$F$2:$F$801, 0)+1)), 4), 100張客戶!$A:$A, 1, FALSE), "")&lt;&gt;"", OR(INDEX(ERP資料!$F:$F, (MATCH(629, 輔助計算!$F$2:$F$801, 0)+1))=270, INDEX(ERP資料!$F:$F, (MATCH(629, 輔助計算!$F$2:$F$801, 0)+1))=300)), "100張", ""), "")</f>
        <v/>
      </c>
      <c r="M630" s="17" t="n"/>
      <c r="N630" s="17">
        <f>IF($F630="","",$F630)</f>
        <v/>
      </c>
      <c r="O630" s="17">
        <f>IF($G630="","",$G630)</f>
        <v/>
      </c>
      <c r="P630" s="17">
        <f>IF($K630="","",$K630)</f>
        <v/>
      </c>
      <c r="Q630" s="16" t="n"/>
      <c r="R630" s="18" t="n"/>
      <c r="S630" s="16" t="n"/>
    </row>
    <row r="631">
      <c r="A631" s="14">
        <f>IFERROR(IF(AND(IFERROR(INDEX(ERP資料!$A:$A, (MATCH(630, 輔助計算!$F$2:$F$801, 0)+1)), "")&lt;&gt;"", IFERROR(INDEX(ERP資料!$A:$A, (MATCH(630, 輔助計算!$F$2:$F$801, 0)+1)), "")&lt;&gt;IFERROR(INDEX(ERP資料!$A:$A, MATCH(629, 輔助計算!$F$2:$F$801, 0)+1), "")), INDEX(ERP資料!$B:$B, (MATCH(630, 輔助計算!$F$2:$F$801, 0)+1)), ""), "")</f>
        <v/>
      </c>
      <c r="B631" s="10">
        <f>IFERROR(IF(AND(IFERROR(INDEX(ERP資料!$A:$A, (MATCH(630, 輔助計算!$F$2:$F$801, 0)+1)), "")&lt;&gt;"", IFERROR(INDEX(ERP資料!$A:$A, (MATCH(630, 輔助計算!$F$2:$F$801, 0)+1)), "")&lt;&gt;IFERROR(INDEX(ERP資料!$A:$A, MATCH(629, 輔助計算!$F$2:$F$801, 0)+1), "")), IFERROR(INDEX(ERP資料!$A:$A, (MATCH(630, 輔助計算!$F$2:$F$801, 0)+1)), ""), ""), "")</f>
        <v/>
      </c>
      <c r="C631" s="10">
        <f>IFERROR(IF(AND(IFERROR(INDEX(ERP資料!$A:$A, (MATCH(630, 輔助計算!$F$2:$F$801, 0)+1)), "")&lt;&gt;"", IFERROR(INDEX(ERP資料!$A:$A, (MATCH(630, 輔助計算!$F$2:$F$801, 0)+1)), "")&lt;&gt;IFERROR(INDEX(ERP資料!$A:$A, MATCH(629, 輔助計算!$F$2:$F$801, 0)+1), "")), INDEX(ERP資料!$S:$S, (MATCH(630, 輔助計算!$F$2:$F$801, 0)+1)), ""), "")</f>
        <v/>
      </c>
      <c r="D631" s="10">
        <f>IFERROR(IF(INDEX(ERP資料!$E:$E, (MATCH(630, 輔助計算!$F$2:$F$801, 0)+1))="","",TRIM(INDEX(ERP資料!$E:$E, (MATCH(630, 輔助計算!$F$2:$F$801, 0)+1)))), "")</f>
        <v/>
      </c>
      <c r="E631" s="10">
        <f>IFERROR(IF(INDEX(ERP資料!$F:$F, (MATCH(630, 輔助計算!$F$2:$F$801, 0)+1))="","",INDEX(ERP資料!$F:$F, (MATCH(630, 輔助計算!$F$2:$F$801, 0)+1))), "")</f>
        <v/>
      </c>
      <c r="F631" s="10">
        <f>IFERROR(IF(INDEX(ERP資料!$G:$G, (MATCH(630, 輔助計算!$F$2:$F$801, 0)+1))="","",INDEX(ERP資料!$G:$G, (MATCH(630, 輔助計算!$F$2:$F$801, 0)+1))), "")</f>
        <v/>
      </c>
      <c r="G631" s="10">
        <f>IFERROR(IF(INDEX(ERP資料!$H:$H, (MATCH(630, 輔助計算!$F$2:$F$801, 0)+1))="","",INDEX(ERP資料!$H:$H, (MATCH(630, 輔助計算!$F$2:$F$801, 0)+1))), "")</f>
        <v/>
      </c>
      <c r="H631" s="10">
        <f>IFERROR(IF(INDEX(ERP資料!$O:$O, (MATCH(630, 輔助計算!$F$2:$F$801, 0)+1))="","",INDEX(ERP資料!$O:$O, (MATCH(630, 輔助計算!$F$2:$F$801, 0)+1))), "")</f>
        <v/>
      </c>
      <c r="I631" s="15">
        <f>IFERROR(IF(INDEX(輔助計算!$D:$D,(MATCH(630, 輔助計算!$F$2:$F$801, 0)+1))="","",INDEX(輔助計算!$D:$D,(MATCH(630, 輔助計算!$F$2:$F$801, 0)+1))*INDEX(ERP資料!$O:$O,(MATCH(630, 輔助計算!$F$2:$F$801, 0)+1))), "")</f>
        <v/>
      </c>
      <c r="J631" s="16" t="n"/>
      <c r="K631" s="15">
        <f>IFERROR(INDEX(輔助計算!$D:$D, (MATCH(630, 輔助計算!$F$2:$F$801, 0)+1)), "")</f>
        <v/>
      </c>
      <c r="L631" s="16">
        <f>IFERROR(IF(AND(IFERROR(VLOOKUP(LEFT(INDEX(ERP資料!$S:$S, (MATCH(630, 輔助計算!$F$2:$F$801, 0)+1)), 4), 100張客戶!$A:$A, 1, FALSE), "")&lt;&gt;"", OR(INDEX(ERP資料!$F:$F, (MATCH(630, 輔助計算!$F$2:$F$801, 0)+1))=270, INDEX(ERP資料!$F:$F, (MATCH(630, 輔助計算!$F$2:$F$801, 0)+1))=300)), "100張", ""), "")</f>
        <v/>
      </c>
      <c r="M631" s="17" t="n"/>
      <c r="N631" s="17">
        <f>IF($F631="","",$F631)</f>
        <v/>
      </c>
      <c r="O631" s="17">
        <f>IF($G631="","",$G631)</f>
        <v/>
      </c>
      <c r="P631" s="17">
        <f>IF($K631="","",$K631)</f>
        <v/>
      </c>
      <c r="Q631" s="16" t="n"/>
      <c r="R631" s="18" t="n"/>
      <c r="S631" s="16" t="n"/>
    </row>
    <row r="632">
      <c r="A632" s="14">
        <f>IFERROR(IF(AND(IFERROR(INDEX(ERP資料!$A:$A, (MATCH(631, 輔助計算!$F$2:$F$801, 0)+1)), "")&lt;&gt;"", IFERROR(INDEX(ERP資料!$A:$A, (MATCH(631, 輔助計算!$F$2:$F$801, 0)+1)), "")&lt;&gt;IFERROR(INDEX(ERP資料!$A:$A, MATCH(630, 輔助計算!$F$2:$F$801, 0)+1), "")), INDEX(ERP資料!$B:$B, (MATCH(631, 輔助計算!$F$2:$F$801, 0)+1)), ""), "")</f>
        <v/>
      </c>
      <c r="B632" s="10">
        <f>IFERROR(IF(AND(IFERROR(INDEX(ERP資料!$A:$A, (MATCH(631, 輔助計算!$F$2:$F$801, 0)+1)), "")&lt;&gt;"", IFERROR(INDEX(ERP資料!$A:$A, (MATCH(631, 輔助計算!$F$2:$F$801, 0)+1)), "")&lt;&gt;IFERROR(INDEX(ERP資料!$A:$A, MATCH(630, 輔助計算!$F$2:$F$801, 0)+1), "")), IFERROR(INDEX(ERP資料!$A:$A, (MATCH(631, 輔助計算!$F$2:$F$801, 0)+1)), ""), ""), "")</f>
        <v/>
      </c>
      <c r="C632" s="10">
        <f>IFERROR(IF(AND(IFERROR(INDEX(ERP資料!$A:$A, (MATCH(631, 輔助計算!$F$2:$F$801, 0)+1)), "")&lt;&gt;"", IFERROR(INDEX(ERP資料!$A:$A, (MATCH(631, 輔助計算!$F$2:$F$801, 0)+1)), "")&lt;&gt;IFERROR(INDEX(ERP資料!$A:$A, MATCH(630, 輔助計算!$F$2:$F$801, 0)+1), "")), INDEX(ERP資料!$S:$S, (MATCH(631, 輔助計算!$F$2:$F$801, 0)+1)), ""), "")</f>
        <v/>
      </c>
      <c r="D632" s="10">
        <f>IFERROR(IF(INDEX(ERP資料!$E:$E, (MATCH(631, 輔助計算!$F$2:$F$801, 0)+1))="","",TRIM(INDEX(ERP資料!$E:$E, (MATCH(631, 輔助計算!$F$2:$F$801, 0)+1)))), "")</f>
        <v/>
      </c>
      <c r="E632" s="10">
        <f>IFERROR(IF(INDEX(ERP資料!$F:$F, (MATCH(631, 輔助計算!$F$2:$F$801, 0)+1))="","",INDEX(ERP資料!$F:$F, (MATCH(631, 輔助計算!$F$2:$F$801, 0)+1))), "")</f>
        <v/>
      </c>
      <c r="F632" s="10">
        <f>IFERROR(IF(INDEX(ERP資料!$G:$G, (MATCH(631, 輔助計算!$F$2:$F$801, 0)+1))="","",INDEX(ERP資料!$G:$G, (MATCH(631, 輔助計算!$F$2:$F$801, 0)+1))), "")</f>
        <v/>
      </c>
      <c r="G632" s="10">
        <f>IFERROR(IF(INDEX(ERP資料!$H:$H, (MATCH(631, 輔助計算!$F$2:$F$801, 0)+1))="","",INDEX(ERP資料!$H:$H, (MATCH(631, 輔助計算!$F$2:$F$801, 0)+1))), "")</f>
        <v/>
      </c>
      <c r="H632" s="10">
        <f>IFERROR(IF(INDEX(ERP資料!$O:$O, (MATCH(631, 輔助計算!$F$2:$F$801, 0)+1))="","",INDEX(ERP資料!$O:$O, (MATCH(631, 輔助計算!$F$2:$F$801, 0)+1))), "")</f>
        <v/>
      </c>
      <c r="I632" s="15">
        <f>IFERROR(IF(INDEX(輔助計算!$D:$D,(MATCH(631, 輔助計算!$F$2:$F$801, 0)+1))="","",INDEX(輔助計算!$D:$D,(MATCH(631, 輔助計算!$F$2:$F$801, 0)+1))*INDEX(ERP資料!$O:$O,(MATCH(631, 輔助計算!$F$2:$F$801, 0)+1))), "")</f>
        <v/>
      </c>
      <c r="J632" s="16" t="n"/>
      <c r="K632" s="15">
        <f>IFERROR(INDEX(輔助計算!$D:$D, (MATCH(631, 輔助計算!$F$2:$F$801, 0)+1)), "")</f>
        <v/>
      </c>
      <c r="L632" s="16">
        <f>IFERROR(IF(AND(IFERROR(VLOOKUP(LEFT(INDEX(ERP資料!$S:$S, (MATCH(631, 輔助計算!$F$2:$F$801, 0)+1)), 4), 100張客戶!$A:$A, 1, FALSE), "")&lt;&gt;"", OR(INDEX(ERP資料!$F:$F, (MATCH(631, 輔助計算!$F$2:$F$801, 0)+1))=270, INDEX(ERP資料!$F:$F, (MATCH(631, 輔助計算!$F$2:$F$801, 0)+1))=300)), "100張", ""), "")</f>
        <v/>
      </c>
      <c r="M632" s="17" t="n"/>
      <c r="N632" s="17">
        <f>IF($F632="","",$F632)</f>
        <v/>
      </c>
      <c r="O632" s="17">
        <f>IF($G632="","",$G632)</f>
        <v/>
      </c>
      <c r="P632" s="17">
        <f>IF($K632="","",$K632)</f>
        <v/>
      </c>
      <c r="Q632" s="16" t="n"/>
      <c r="R632" s="18" t="n"/>
      <c r="S632" s="16" t="n"/>
    </row>
    <row r="633">
      <c r="A633" s="14">
        <f>IFERROR(IF(AND(IFERROR(INDEX(ERP資料!$A:$A, (MATCH(632, 輔助計算!$F$2:$F$801, 0)+1)), "")&lt;&gt;"", IFERROR(INDEX(ERP資料!$A:$A, (MATCH(632, 輔助計算!$F$2:$F$801, 0)+1)), "")&lt;&gt;IFERROR(INDEX(ERP資料!$A:$A, MATCH(631, 輔助計算!$F$2:$F$801, 0)+1), "")), INDEX(ERP資料!$B:$B, (MATCH(632, 輔助計算!$F$2:$F$801, 0)+1)), ""), "")</f>
        <v/>
      </c>
      <c r="B633" s="10">
        <f>IFERROR(IF(AND(IFERROR(INDEX(ERP資料!$A:$A, (MATCH(632, 輔助計算!$F$2:$F$801, 0)+1)), "")&lt;&gt;"", IFERROR(INDEX(ERP資料!$A:$A, (MATCH(632, 輔助計算!$F$2:$F$801, 0)+1)), "")&lt;&gt;IFERROR(INDEX(ERP資料!$A:$A, MATCH(631, 輔助計算!$F$2:$F$801, 0)+1), "")), IFERROR(INDEX(ERP資料!$A:$A, (MATCH(632, 輔助計算!$F$2:$F$801, 0)+1)), ""), ""), "")</f>
        <v/>
      </c>
      <c r="C633" s="10">
        <f>IFERROR(IF(AND(IFERROR(INDEX(ERP資料!$A:$A, (MATCH(632, 輔助計算!$F$2:$F$801, 0)+1)), "")&lt;&gt;"", IFERROR(INDEX(ERP資料!$A:$A, (MATCH(632, 輔助計算!$F$2:$F$801, 0)+1)), "")&lt;&gt;IFERROR(INDEX(ERP資料!$A:$A, MATCH(631, 輔助計算!$F$2:$F$801, 0)+1), "")), INDEX(ERP資料!$S:$S, (MATCH(632, 輔助計算!$F$2:$F$801, 0)+1)), ""), "")</f>
        <v/>
      </c>
      <c r="D633" s="10">
        <f>IFERROR(IF(INDEX(ERP資料!$E:$E, (MATCH(632, 輔助計算!$F$2:$F$801, 0)+1))="","",TRIM(INDEX(ERP資料!$E:$E, (MATCH(632, 輔助計算!$F$2:$F$801, 0)+1)))), "")</f>
        <v/>
      </c>
      <c r="E633" s="10">
        <f>IFERROR(IF(INDEX(ERP資料!$F:$F, (MATCH(632, 輔助計算!$F$2:$F$801, 0)+1))="","",INDEX(ERP資料!$F:$F, (MATCH(632, 輔助計算!$F$2:$F$801, 0)+1))), "")</f>
        <v/>
      </c>
      <c r="F633" s="10">
        <f>IFERROR(IF(INDEX(ERP資料!$G:$G, (MATCH(632, 輔助計算!$F$2:$F$801, 0)+1))="","",INDEX(ERP資料!$G:$G, (MATCH(632, 輔助計算!$F$2:$F$801, 0)+1))), "")</f>
        <v/>
      </c>
      <c r="G633" s="10">
        <f>IFERROR(IF(INDEX(ERP資料!$H:$H, (MATCH(632, 輔助計算!$F$2:$F$801, 0)+1))="","",INDEX(ERP資料!$H:$H, (MATCH(632, 輔助計算!$F$2:$F$801, 0)+1))), "")</f>
        <v/>
      </c>
      <c r="H633" s="10">
        <f>IFERROR(IF(INDEX(ERP資料!$O:$O, (MATCH(632, 輔助計算!$F$2:$F$801, 0)+1))="","",INDEX(ERP資料!$O:$O, (MATCH(632, 輔助計算!$F$2:$F$801, 0)+1))), "")</f>
        <v/>
      </c>
      <c r="I633" s="15">
        <f>IFERROR(IF(INDEX(輔助計算!$D:$D,(MATCH(632, 輔助計算!$F$2:$F$801, 0)+1))="","",INDEX(輔助計算!$D:$D,(MATCH(632, 輔助計算!$F$2:$F$801, 0)+1))*INDEX(ERP資料!$O:$O,(MATCH(632, 輔助計算!$F$2:$F$801, 0)+1))), "")</f>
        <v/>
      </c>
      <c r="J633" s="16" t="n"/>
      <c r="K633" s="15">
        <f>IFERROR(INDEX(輔助計算!$D:$D, (MATCH(632, 輔助計算!$F$2:$F$801, 0)+1)), "")</f>
        <v/>
      </c>
      <c r="L633" s="16">
        <f>IFERROR(IF(AND(IFERROR(VLOOKUP(LEFT(INDEX(ERP資料!$S:$S, (MATCH(632, 輔助計算!$F$2:$F$801, 0)+1)), 4), 100張客戶!$A:$A, 1, FALSE), "")&lt;&gt;"", OR(INDEX(ERP資料!$F:$F, (MATCH(632, 輔助計算!$F$2:$F$801, 0)+1))=270, INDEX(ERP資料!$F:$F, (MATCH(632, 輔助計算!$F$2:$F$801, 0)+1))=300)), "100張", ""), "")</f>
        <v/>
      </c>
      <c r="M633" s="17" t="n"/>
      <c r="N633" s="17">
        <f>IF($F633="","",$F633)</f>
        <v/>
      </c>
      <c r="O633" s="17">
        <f>IF($G633="","",$G633)</f>
        <v/>
      </c>
      <c r="P633" s="17">
        <f>IF($K633="","",$K633)</f>
        <v/>
      </c>
      <c r="Q633" s="16" t="n"/>
      <c r="R633" s="18" t="n"/>
      <c r="S633" s="16" t="n"/>
    </row>
    <row r="634">
      <c r="A634" s="14">
        <f>IFERROR(IF(AND(IFERROR(INDEX(ERP資料!$A:$A, (MATCH(633, 輔助計算!$F$2:$F$801, 0)+1)), "")&lt;&gt;"", IFERROR(INDEX(ERP資料!$A:$A, (MATCH(633, 輔助計算!$F$2:$F$801, 0)+1)), "")&lt;&gt;IFERROR(INDEX(ERP資料!$A:$A, MATCH(632, 輔助計算!$F$2:$F$801, 0)+1), "")), INDEX(ERP資料!$B:$B, (MATCH(633, 輔助計算!$F$2:$F$801, 0)+1)), ""), "")</f>
        <v/>
      </c>
      <c r="B634" s="10">
        <f>IFERROR(IF(AND(IFERROR(INDEX(ERP資料!$A:$A, (MATCH(633, 輔助計算!$F$2:$F$801, 0)+1)), "")&lt;&gt;"", IFERROR(INDEX(ERP資料!$A:$A, (MATCH(633, 輔助計算!$F$2:$F$801, 0)+1)), "")&lt;&gt;IFERROR(INDEX(ERP資料!$A:$A, MATCH(632, 輔助計算!$F$2:$F$801, 0)+1), "")), IFERROR(INDEX(ERP資料!$A:$A, (MATCH(633, 輔助計算!$F$2:$F$801, 0)+1)), ""), ""), "")</f>
        <v/>
      </c>
      <c r="C634" s="10">
        <f>IFERROR(IF(AND(IFERROR(INDEX(ERP資料!$A:$A, (MATCH(633, 輔助計算!$F$2:$F$801, 0)+1)), "")&lt;&gt;"", IFERROR(INDEX(ERP資料!$A:$A, (MATCH(633, 輔助計算!$F$2:$F$801, 0)+1)), "")&lt;&gt;IFERROR(INDEX(ERP資料!$A:$A, MATCH(632, 輔助計算!$F$2:$F$801, 0)+1), "")), INDEX(ERP資料!$S:$S, (MATCH(633, 輔助計算!$F$2:$F$801, 0)+1)), ""), "")</f>
        <v/>
      </c>
      <c r="D634" s="10">
        <f>IFERROR(IF(INDEX(ERP資料!$E:$E, (MATCH(633, 輔助計算!$F$2:$F$801, 0)+1))="","",TRIM(INDEX(ERP資料!$E:$E, (MATCH(633, 輔助計算!$F$2:$F$801, 0)+1)))), "")</f>
        <v/>
      </c>
      <c r="E634" s="10">
        <f>IFERROR(IF(INDEX(ERP資料!$F:$F, (MATCH(633, 輔助計算!$F$2:$F$801, 0)+1))="","",INDEX(ERP資料!$F:$F, (MATCH(633, 輔助計算!$F$2:$F$801, 0)+1))), "")</f>
        <v/>
      </c>
      <c r="F634" s="10">
        <f>IFERROR(IF(INDEX(ERP資料!$G:$G, (MATCH(633, 輔助計算!$F$2:$F$801, 0)+1))="","",INDEX(ERP資料!$G:$G, (MATCH(633, 輔助計算!$F$2:$F$801, 0)+1))), "")</f>
        <v/>
      </c>
      <c r="G634" s="10">
        <f>IFERROR(IF(INDEX(ERP資料!$H:$H, (MATCH(633, 輔助計算!$F$2:$F$801, 0)+1))="","",INDEX(ERP資料!$H:$H, (MATCH(633, 輔助計算!$F$2:$F$801, 0)+1))), "")</f>
        <v/>
      </c>
      <c r="H634" s="10">
        <f>IFERROR(IF(INDEX(ERP資料!$O:$O, (MATCH(633, 輔助計算!$F$2:$F$801, 0)+1))="","",INDEX(ERP資料!$O:$O, (MATCH(633, 輔助計算!$F$2:$F$801, 0)+1))), "")</f>
        <v/>
      </c>
      <c r="I634" s="15">
        <f>IFERROR(IF(INDEX(輔助計算!$D:$D,(MATCH(633, 輔助計算!$F$2:$F$801, 0)+1))="","",INDEX(輔助計算!$D:$D,(MATCH(633, 輔助計算!$F$2:$F$801, 0)+1))*INDEX(ERP資料!$O:$O,(MATCH(633, 輔助計算!$F$2:$F$801, 0)+1))), "")</f>
        <v/>
      </c>
      <c r="J634" s="16" t="n"/>
      <c r="K634" s="15">
        <f>IFERROR(INDEX(輔助計算!$D:$D, (MATCH(633, 輔助計算!$F$2:$F$801, 0)+1)), "")</f>
        <v/>
      </c>
      <c r="L634" s="16">
        <f>IFERROR(IF(AND(IFERROR(VLOOKUP(LEFT(INDEX(ERP資料!$S:$S, (MATCH(633, 輔助計算!$F$2:$F$801, 0)+1)), 4), 100張客戶!$A:$A, 1, FALSE), "")&lt;&gt;"", OR(INDEX(ERP資料!$F:$F, (MATCH(633, 輔助計算!$F$2:$F$801, 0)+1))=270, INDEX(ERP資料!$F:$F, (MATCH(633, 輔助計算!$F$2:$F$801, 0)+1))=300)), "100張", ""), "")</f>
        <v/>
      </c>
      <c r="M634" s="17" t="n"/>
      <c r="N634" s="17">
        <f>IF($F634="","",$F634)</f>
        <v/>
      </c>
      <c r="O634" s="17">
        <f>IF($G634="","",$G634)</f>
        <v/>
      </c>
      <c r="P634" s="17">
        <f>IF($K634="","",$K634)</f>
        <v/>
      </c>
      <c r="Q634" s="16" t="n"/>
      <c r="R634" s="18" t="n"/>
      <c r="S634" s="16" t="n"/>
    </row>
    <row r="635">
      <c r="A635" s="14">
        <f>IFERROR(IF(AND(IFERROR(INDEX(ERP資料!$A:$A, (MATCH(634, 輔助計算!$F$2:$F$801, 0)+1)), "")&lt;&gt;"", IFERROR(INDEX(ERP資料!$A:$A, (MATCH(634, 輔助計算!$F$2:$F$801, 0)+1)), "")&lt;&gt;IFERROR(INDEX(ERP資料!$A:$A, MATCH(633, 輔助計算!$F$2:$F$801, 0)+1), "")), INDEX(ERP資料!$B:$B, (MATCH(634, 輔助計算!$F$2:$F$801, 0)+1)), ""), "")</f>
        <v/>
      </c>
      <c r="B635" s="10">
        <f>IFERROR(IF(AND(IFERROR(INDEX(ERP資料!$A:$A, (MATCH(634, 輔助計算!$F$2:$F$801, 0)+1)), "")&lt;&gt;"", IFERROR(INDEX(ERP資料!$A:$A, (MATCH(634, 輔助計算!$F$2:$F$801, 0)+1)), "")&lt;&gt;IFERROR(INDEX(ERP資料!$A:$A, MATCH(633, 輔助計算!$F$2:$F$801, 0)+1), "")), IFERROR(INDEX(ERP資料!$A:$A, (MATCH(634, 輔助計算!$F$2:$F$801, 0)+1)), ""), ""), "")</f>
        <v/>
      </c>
      <c r="C635" s="10">
        <f>IFERROR(IF(AND(IFERROR(INDEX(ERP資料!$A:$A, (MATCH(634, 輔助計算!$F$2:$F$801, 0)+1)), "")&lt;&gt;"", IFERROR(INDEX(ERP資料!$A:$A, (MATCH(634, 輔助計算!$F$2:$F$801, 0)+1)), "")&lt;&gt;IFERROR(INDEX(ERP資料!$A:$A, MATCH(633, 輔助計算!$F$2:$F$801, 0)+1), "")), INDEX(ERP資料!$S:$S, (MATCH(634, 輔助計算!$F$2:$F$801, 0)+1)), ""), "")</f>
        <v/>
      </c>
      <c r="D635" s="10">
        <f>IFERROR(IF(INDEX(ERP資料!$E:$E, (MATCH(634, 輔助計算!$F$2:$F$801, 0)+1))="","",TRIM(INDEX(ERP資料!$E:$E, (MATCH(634, 輔助計算!$F$2:$F$801, 0)+1)))), "")</f>
        <v/>
      </c>
      <c r="E635" s="10">
        <f>IFERROR(IF(INDEX(ERP資料!$F:$F, (MATCH(634, 輔助計算!$F$2:$F$801, 0)+1))="","",INDEX(ERP資料!$F:$F, (MATCH(634, 輔助計算!$F$2:$F$801, 0)+1))), "")</f>
        <v/>
      </c>
      <c r="F635" s="10">
        <f>IFERROR(IF(INDEX(ERP資料!$G:$G, (MATCH(634, 輔助計算!$F$2:$F$801, 0)+1))="","",INDEX(ERP資料!$G:$G, (MATCH(634, 輔助計算!$F$2:$F$801, 0)+1))), "")</f>
        <v/>
      </c>
      <c r="G635" s="10">
        <f>IFERROR(IF(INDEX(ERP資料!$H:$H, (MATCH(634, 輔助計算!$F$2:$F$801, 0)+1))="","",INDEX(ERP資料!$H:$H, (MATCH(634, 輔助計算!$F$2:$F$801, 0)+1))), "")</f>
        <v/>
      </c>
      <c r="H635" s="10">
        <f>IFERROR(IF(INDEX(ERP資料!$O:$O, (MATCH(634, 輔助計算!$F$2:$F$801, 0)+1))="","",INDEX(ERP資料!$O:$O, (MATCH(634, 輔助計算!$F$2:$F$801, 0)+1))), "")</f>
        <v/>
      </c>
      <c r="I635" s="15">
        <f>IFERROR(IF(INDEX(輔助計算!$D:$D,(MATCH(634, 輔助計算!$F$2:$F$801, 0)+1))="","",INDEX(輔助計算!$D:$D,(MATCH(634, 輔助計算!$F$2:$F$801, 0)+1))*INDEX(ERP資料!$O:$O,(MATCH(634, 輔助計算!$F$2:$F$801, 0)+1))), "")</f>
        <v/>
      </c>
      <c r="J635" s="16" t="n"/>
      <c r="K635" s="15">
        <f>IFERROR(INDEX(輔助計算!$D:$D, (MATCH(634, 輔助計算!$F$2:$F$801, 0)+1)), "")</f>
        <v/>
      </c>
      <c r="L635" s="16">
        <f>IFERROR(IF(AND(IFERROR(VLOOKUP(LEFT(INDEX(ERP資料!$S:$S, (MATCH(634, 輔助計算!$F$2:$F$801, 0)+1)), 4), 100張客戶!$A:$A, 1, FALSE), "")&lt;&gt;"", OR(INDEX(ERP資料!$F:$F, (MATCH(634, 輔助計算!$F$2:$F$801, 0)+1))=270, INDEX(ERP資料!$F:$F, (MATCH(634, 輔助計算!$F$2:$F$801, 0)+1))=300)), "100張", ""), "")</f>
        <v/>
      </c>
      <c r="M635" s="17" t="n"/>
      <c r="N635" s="17">
        <f>IF($F635="","",$F635)</f>
        <v/>
      </c>
      <c r="O635" s="17">
        <f>IF($G635="","",$G635)</f>
        <v/>
      </c>
      <c r="P635" s="17">
        <f>IF($K635="","",$K635)</f>
        <v/>
      </c>
      <c r="Q635" s="16" t="n"/>
      <c r="R635" s="18" t="n"/>
      <c r="S635" s="16" t="n"/>
    </row>
    <row r="636">
      <c r="A636" s="14">
        <f>IFERROR(IF(AND(IFERROR(INDEX(ERP資料!$A:$A, (MATCH(635, 輔助計算!$F$2:$F$801, 0)+1)), "")&lt;&gt;"", IFERROR(INDEX(ERP資料!$A:$A, (MATCH(635, 輔助計算!$F$2:$F$801, 0)+1)), "")&lt;&gt;IFERROR(INDEX(ERP資料!$A:$A, MATCH(634, 輔助計算!$F$2:$F$801, 0)+1), "")), INDEX(ERP資料!$B:$B, (MATCH(635, 輔助計算!$F$2:$F$801, 0)+1)), ""), "")</f>
        <v/>
      </c>
      <c r="B636" s="10">
        <f>IFERROR(IF(AND(IFERROR(INDEX(ERP資料!$A:$A, (MATCH(635, 輔助計算!$F$2:$F$801, 0)+1)), "")&lt;&gt;"", IFERROR(INDEX(ERP資料!$A:$A, (MATCH(635, 輔助計算!$F$2:$F$801, 0)+1)), "")&lt;&gt;IFERROR(INDEX(ERP資料!$A:$A, MATCH(634, 輔助計算!$F$2:$F$801, 0)+1), "")), IFERROR(INDEX(ERP資料!$A:$A, (MATCH(635, 輔助計算!$F$2:$F$801, 0)+1)), ""), ""), "")</f>
        <v/>
      </c>
      <c r="C636" s="10">
        <f>IFERROR(IF(AND(IFERROR(INDEX(ERP資料!$A:$A, (MATCH(635, 輔助計算!$F$2:$F$801, 0)+1)), "")&lt;&gt;"", IFERROR(INDEX(ERP資料!$A:$A, (MATCH(635, 輔助計算!$F$2:$F$801, 0)+1)), "")&lt;&gt;IFERROR(INDEX(ERP資料!$A:$A, MATCH(634, 輔助計算!$F$2:$F$801, 0)+1), "")), INDEX(ERP資料!$S:$S, (MATCH(635, 輔助計算!$F$2:$F$801, 0)+1)), ""), "")</f>
        <v/>
      </c>
      <c r="D636" s="10">
        <f>IFERROR(IF(INDEX(ERP資料!$E:$E, (MATCH(635, 輔助計算!$F$2:$F$801, 0)+1))="","",TRIM(INDEX(ERP資料!$E:$E, (MATCH(635, 輔助計算!$F$2:$F$801, 0)+1)))), "")</f>
        <v/>
      </c>
      <c r="E636" s="10">
        <f>IFERROR(IF(INDEX(ERP資料!$F:$F, (MATCH(635, 輔助計算!$F$2:$F$801, 0)+1))="","",INDEX(ERP資料!$F:$F, (MATCH(635, 輔助計算!$F$2:$F$801, 0)+1))), "")</f>
        <v/>
      </c>
      <c r="F636" s="10">
        <f>IFERROR(IF(INDEX(ERP資料!$G:$G, (MATCH(635, 輔助計算!$F$2:$F$801, 0)+1))="","",INDEX(ERP資料!$G:$G, (MATCH(635, 輔助計算!$F$2:$F$801, 0)+1))), "")</f>
        <v/>
      </c>
      <c r="G636" s="10">
        <f>IFERROR(IF(INDEX(ERP資料!$H:$H, (MATCH(635, 輔助計算!$F$2:$F$801, 0)+1))="","",INDEX(ERP資料!$H:$H, (MATCH(635, 輔助計算!$F$2:$F$801, 0)+1))), "")</f>
        <v/>
      </c>
      <c r="H636" s="10">
        <f>IFERROR(IF(INDEX(ERP資料!$O:$O, (MATCH(635, 輔助計算!$F$2:$F$801, 0)+1))="","",INDEX(ERP資料!$O:$O, (MATCH(635, 輔助計算!$F$2:$F$801, 0)+1))), "")</f>
        <v/>
      </c>
      <c r="I636" s="15">
        <f>IFERROR(IF(INDEX(輔助計算!$D:$D,(MATCH(635, 輔助計算!$F$2:$F$801, 0)+1))="","",INDEX(輔助計算!$D:$D,(MATCH(635, 輔助計算!$F$2:$F$801, 0)+1))*INDEX(ERP資料!$O:$O,(MATCH(635, 輔助計算!$F$2:$F$801, 0)+1))), "")</f>
        <v/>
      </c>
      <c r="J636" s="16" t="n"/>
      <c r="K636" s="15">
        <f>IFERROR(INDEX(輔助計算!$D:$D, (MATCH(635, 輔助計算!$F$2:$F$801, 0)+1)), "")</f>
        <v/>
      </c>
      <c r="L636" s="16">
        <f>IFERROR(IF(AND(IFERROR(VLOOKUP(LEFT(INDEX(ERP資料!$S:$S, (MATCH(635, 輔助計算!$F$2:$F$801, 0)+1)), 4), 100張客戶!$A:$A, 1, FALSE), "")&lt;&gt;"", OR(INDEX(ERP資料!$F:$F, (MATCH(635, 輔助計算!$F$2:$F$801, 0)+1))=270, INDEX(ERP資料!$F:$F, (MATCH(635, 輔助計算!$F$2:$F$801, 0)+1))=300)), "100張", ""), "")</f>
        <v/>
      </c>
      <c r="M636" s="17" t="n"/>
      <c r="N636" s="17">
        <f>IF($F636="","",$F636)</f>
        <v/>
      </c>
      <c r="O636" s="17">
        <f>IF($G636="","",$G636)</f>
        <v/>
      </c>
      <c r="P636" s="17">
        <f>IF($K636="","",$K636)</f>
        <v/>
      </c>
      <c r="Q636" s="16" t="n"/>
      <c r="R636" s="18" t="n"/>
      <c r="S636" s="16" t="n"/>
    </row>
    <row r="637">
      <c r="A637" s="14">
        <f>IFERROR(IF(AND(IFERROR(INDEX(ERP資料!$A:$A, (MATCH(636, 輔助計算!$F$2:$F$801, 0)+1)), "")&lt;&gt;"", IFERROR(INDEX(ERP資料!$A:$A, (MATCH(636, 輔助計算!$F$2:$F$801, 0)+1)), "")&lt;&gt;IFERROR(INDEX(ERP資料!$A:$A, MATCH(635, 輔助計算!$F$2:$F$801, 0)+1), "")), INDEX(ERP資料!$B:$B, (MATCH(636, 輔助計算!$F$2:$F$801, 0)+1)), ""), "")</f>
        <v/>
      </c>
      <c r="B637" s="10">
        <f>IFERROR(IF(AND(IFERROR(INDEX(ERP資料!$A:$A, (MATCH(636, 輔助計算!$F$2:$F$801, 0)+1)), "")&lt;&gt;"", IFERROR(INDEX(ERP資料!$A:$A, (MATCH(636, 輔助計算!$F$2:$F$801, 0)+1)), "")&lt;&gt;IFERROR(INDEX(ERP資料!$A:$A, MATCH(635, 輔助計算!$F$2:$F$801, 0)+1), "")), IFERROR(INDEX(ERP資料!$A:$A, (MATCH(636, 輔助計算!$F$2:$F$801, 0)+1)), ""), ""), "")</f>
        <v/>
      </c>
      <c r="C637" s="10">
        <f>IFERROR(IF(AND(IFERROR(INDEX(ERP資料!$A:$A, (MATCH(636, 輔助計算!$F$2:$F$801, 0)+1)), "")&lt;&gt;"", IFERROR(INDEX(ERP資料!$A:$A, (MATCH(636, 輔助計算!$F$2:$F$801, 0)+1)), "")&lt;&gt;IFERROR(INDEX(ERP資料!$A:$A, MATCH(635, 輔助計算!$F$2:$F$801, 0)+1), "")), INDEX(ERP資料!$S:$S, (MATCH(636, 輔助計算!$F$2:$F$801, 0)+1)), ""), "")</f>
        <v/>
      </c>
      <c r="D637" s="10">
        <f>IFERROR(IF(INDEX(ERP資料!$E:$E, (MATCH(636, 輔助計算!$F$2:$F$801, 0)+1))="","",TRIM(INDEX(ERP資料!$E:$E, (MATCH(636, 輔助計算!$F$2:$F$801, 0)+1)))), "")</f>
        <v/>
      </c>
      <c r="E637" s="10">
        <f>IFERROR(IF(INDEX(ERP資料!$F:$F, (MATCH(636, 輔助計算!$F$2:$F$801, 0)+1))="","",INDEX(ERP資料!$F:$F, (MATCH(636, 輔助計算!$F$2:$F$801, 0)+1))), "")</f>
        <v/>
      </c>
      <c r="F637" s="10">
        <f>IFERROR(IF(INDEX(ERP資料!$G:$G, (MATCH(636, 輔助計算!$F$2:$F$801, 0)+1))="","",INDEX(ERP資料!$G:$G, (MATCH(636, 輔助計算!$F$2:$F$801, 0)+1))), "")</f>
        <v/>
      </c>
      <c r="G637" s="10">
        <f>IFERROR(IF(INDEX(ERP資料!$H:$H, (MATCH(636, 輔助計算!$F$2:$F$801, 0)+1))="","",INDEX(ERP資料!$H:$H, (MATCH(636, 輔助計算!$F$2:$F$801, 0)+1))), "")</f>
        <v/>
      </c>
      <c r="H637" s="10">
        <f>IFERROR(IF(INDEX(ERP資料!$O:$O, (MATCH(636, 輔助計算!$F$2:$F$801, 0)+1))="","",INDEX(ERP資料!$O:$O, (MATCH(636, 輔助計算!$F$2:$F$801, 0)+1))), "")</f>
        <v/>
      </c>
      <c r="I637" s="15">
        <f>IFERROR(IF(INDEX(輔助計算!$D:$D,(MATCH(636, 輔助計算!$F$2:$F$801, 0)+1))="","",INDEX(輔助計算!$D:$D,(MATCH(636, 輔助計算!$F$2:$F$801, 0)+1))*INDEX(ERP資料!$O:$O,(MATCH(636, 輔助計算!$F$2:$F$801, 0)+1))), "")</f>
        <v/>
      </c>
      <c r="J637" s="16" t="n"/>
      <c r="K637" s="15">
        <f>IFERROR(INDEX(輔助計算!$D:$D, (MATCH(636, 輔助計算!$F$2:$F$801, 0)+1)), "")</f>
        <v/>
      </c>
      <c r="L637" s="16">
        <f>IFERROR(IF(AND(IFERROR(VLOOKUP(LEFT(INDEX(ERP資料!$S:$S, (MATCH(636, 輔助計算!$F$2:$F$801, 0)+1)), 4), 100張客戶!$A:$A, 1, FALSE), "")&lt;&gt;"", OR(INDEX(ERP資料!$F:$F, (MATCH(636, 輔助計算!$F$2:$F$801, 0)+1))=270, INDEX(ERP資料!$F:$F, (MATCH(636, 輔助計算!$F$2:$F$801, 0)+1))=300)), "100張", ""), "")</f>
        <v/>
      </c>
      <c r="M637" s="17" t="n"/>
      <c r="N637" s="17">
        <f>IF($F637="","",$F637)</f>
        <v/>
      </c>
      <c r="O637" s="17">
        <f>IF($G637="","",$G637)</f>
        <v/>
      </c>
      <c r="P637" s="17">
        <f>IF($K637="","",$K637)</f>
        <v/>
      </c>
      <c r="Q637" s="16" t="n"/>
      <c r="R637" s="18" t="n"/>
      <c r="S637" s="16" t="n"/>
    </row>
    <row r="638">
      <c r="A638" s="14">
        <f>IFERROR(IF(AND(IFERROR(INDEX(ERP資料!$A:$A, (MATCH(637, 輔助計算!$F$2:$F$801, 0)+1)), "")&lt;&gt;"", IFERROR(INDEX(ERP資料!$A:$A, (MATCH(637, 輔助計算!$F$2:$F$801, 0)+1)), "")&lt;&gt;IFERROR(INDEX(ERP資料!$A:$A, MATCH(636, 輔助計算!$F$2:$F$801, 0)+1), "")), INDEX(ERP資料!$B:$B, (MATCH(637, 輔助計算!$F$2:$F$801, 0)+1)), ""), "")</f>
        <v/>
      </c>
      <c r="B638" s="10">
        <f>IFERROR(IF(AND(IFERROR(INDEX(ERP資料!$A:$A, (MATCH(637, 輔助計算!$F$2:$F$801, 0)+1)), "")&lt;&gt;"", IFERROR(INDEX(ERP資料!$A:$A, (MATCH(637, 輔助計算!$F$2:$F$801, 0)+1)), "")&lt;&gt;IFERROR(INDEX(ERP資料!$A:$A, MATCH(636, 輔助計算!$F$2:$F$801, 0)+1), "")), IFERROR(INDEX(ERP資料!$A:$A, (MATCH(637, 輔助計算!$F$2:$F$801, 0)+1)), ""), ""), "")</f>
        <v/>
      </c>
      <c r="C638" s="10">
        <f>IFERROR(IF(AND(IFERROR(INDEX(ERP資料!$A:$A, (MATCH(637, 輔助計算!$F$2:$F$801, 0)+1)), "")&lt;&gt;"", IFERROR(INDEX(ERP資料!$A:$A, (MATCH(637, 輔助計算!$F$2:$F$801, 0)+1)), "")&lt;&gt;IFERROR(INDEX(ERP資料!$A:$A, MATCH(636, 輔助計算!$F$2:$F$801, 0)+1), "")), INDEX(ERP資料!$S:$S, (MATCH(637, 輔助計算!$F$2:$F$801, 0)+1)), ""), "")</f>
        <v/>
      </c>
      <c r="D638" s="10">
        <f>IFERROR(IF(INDEX(ERP資料!$E:$E, (MATCH(637, 輔助計算!$F$2:$F$801, 0)+1))="","",TRIM(INDEX(ERP資料!$E:$E, (MATCH(637, 輔助計算!$F$2:$F$801, 0)+1)))), "")</f>
        <v/>
      </c>
      <c r="E638" s="10">
        <f>IFERROR(IF(INDEX(ERP資料!$F:$F, (MATCH(637, 輔助計算!$F$2:$F$801, 0)+1))="","",INDEX(ERP資料!$F:$F, (MATCH(637, 輔助計算!$F$2:$F$801, 0)+1))), "")</f>
        <v/>
      </c>
      <c r="F638" s="10">
        <f>IFERROR(IF(INDEX(ERP資料!$G:$G, (MATCH(637, 輔助計算!$F$2:$F$801, 0)+1))="","",INDEX(ERP資料!$G:$G, (MATCH(637, 輔助計算!$F$2:$F$801, 0)+1))), "")</f>
        <v/>
      </c>
      <c r="G638" s="10">
        <f>IFERROR(IF(INDEX(ERP資料!$H:$H, (MATCH(637, 輔助計算!$F$2:$F$801, 0)+1))="","",INDEX(ERP資料!$H:$H, (MATCH(637, 輔助計算!$F$2:$F$801, 0)+1))), "")</f>
        <v/>
      </c>
      <c r="H638" s="10">
        <f>IFERROR(IF(INDEX(ERP資料!$O:$O, (MATCH(637, 輔助計算!$F$2:$F$801, 0)+1))="","",INDEX(ERP資料!$O:$O, (MATCH(637, 輔助計算!$F$2:$F$801, 0)+1))), "")</f>
        <v/>
      </c>
      <c r="I638" s="15">
        <f>IFERROR(IF(INDEX(輔助計算!$D:$D,(MATCH(637, 輔助計算!$F$2:$F$801, 0)+1))="","",INDEX(輔助計算!$D:$D,(MATCH(637, 輔助計算!$F$2:$F$801, 0)+1))*INDEX(ERP資料!$O:$O,(MATCH(637, 輔助計算!$F$2:$F$801, 0)+1))), "")</f>
        <v/>
      </c>
      <c r="J638" s="16" t="n"/>
      <c r="K638" s="15">
        <f>IFERROR(INDEX(輔助計算!$D:$D, (MATCH(637, 輔助計算!$F$2:$F$801, 0)+1)), "")</f>
        <v/>
      </c>
      <c r="L638" s="16">
        <f>IFERROR(IF(AND(IFERROR(VLOOKUP(LEFT(INDEX(ERP資料!$S:$S, (MATCH(637, 輔助計算!$F$2:$F$801, 0)+1)), 4), 100張客戶!$A:$A, 1, FALSE), "")&lt;&gt;"", OR(INDEX(ERP資料!$F:$F, (MATCH(637, 輔助計算!$F$2:$F$801, 0)+1))=270, INDEX(ERP資料!$F:$F, (MATCH(637, 輔助計算!$F$2:$F$801, 0)+1))=300)), "100張", ""), "")</f>
        <v/>
      </c>
      <c r="M638" s="17" t="n"/>
      <c r="N638" s="17">
        <f>IF($F638="","",$F638)</f>
        <v/>
      </c>
      <c r="O638" s="17">
        <f>IF($G638="","",$G638)</f>
        <v/>
      </c>
      <c r="P638" s="17">
        <f>IF($K638="","",$K638)</f>
        <v/>
      </c>
      <c r="Q638" s="16" t="n"/>
      <c r="R638" s="18" t="n"/>
      <c r="S638" s="16" t="n"/>
    </row>
    <row r="639">
      <c r="A639" s="14">
        <f>IFERROR(IF(AND(IFERROR(INDEX(ERP資料!$A:$A, (MATCH(638, 輔助計算!$F$2:$F$801, 0)+1)), "")&lt;&gt;"", IFERROR(INDEX(ERP資料!$A:$A, (MATCH(638, 輔助計算!$F$2:$F$801, 0)+1)), "")&lt;&gt;IFERROR(INDEX(ERP資料!$A:$A, MATCH(637, 輔助計算!$F$2:$F$801, 0)+1), "")), INDEX(ERP資料!$B:$B, (MATCH(638, 輔助計算!$F$2:$F$801, 0)+1)), ""), "")</f>
        <v/>
      </c>
      <c r="B639" s="10">
        <f>IFERROR(IF(AND(IFERROR(INDEX(ERP資料!$A:$A, (MATCH(638, 輔助計算!$F$2:$F$801, 0)+1)), "")&lt;&gt;"", IFERROR(INDEX(ERP資料!$A:$A, (MATCH(638, 輔助計算!$F$2:$F$801, 0)+1)), "")&lt;&gt;IFERROR(INDEX(ERP資料!$A:$A, MATCH(637, 輔助計算!$F$2:$F$801, 0)+1), "")), IFERROR(INDEX(ERP資料!$A:$A, (MATCH(638, 輔助計算!$F$2:$F$801, 0)+1)), ""), ""), "")</f>
        <v/>
      </c>
      <c r="C639" s="10">
        <f>IFERROR(IF(AND(IFERROR(INDEX(ERP資料!$A:$A, (MATCH(638, 輔助計算!$F$2:$F$801, 0)+1)), "")&lt;&gt;"", IFERROR(INDEX(ERP資料!$A:$A, (MATCH(638, 輔助計算!$F$2:$F$801, 0)+1)), "")&lt;&gt;IFERROR(INDEX(ERP資料!$A:$A, MATCH(637, 輔助計算!$F$2:$F$801, 0)+1), "")), INDEX(ERP資料!$S:$S, (MATCH(638, 輔助計算!$F$2:$F$801, 0)+1)), ""), "")</f>
        <v/>
      </c>
      <c r="D639" s="10">
        <f>IFERROR(IF(INDEX(ERP資料!$E:$E, (MATCH(638, 輔助計算!$F$2:$F$801, 0)+1))="","",TRIM(INDEX(ERP資料!$E:$E, (MATCH(638, 輔助計算!$F$2:$F$801, 0)+1)))), "")</f>
        <v/>
      </c>
      <c r="E639" s="10">
        <f>IFERROR(IF(INDEX(ERP資料!$F:$F, (MATCH(638, 輔助計算!$F$2:$F$801, 0)+1))="","",INDEX(ERP資料!$F:$F, (MATCH(638, 輔助計算!$F$2:$F$801, 0)+1))), "")</f>
        <v/>
      </c>
      <c r="F639" s="10">
        <f>IFERROR(IF(INDEX(ERP資料!$G:$G, (MATCH(638, 輔助計算!$F$2:$F$801, 0)+1))="","",INDEX(ERP資料!$G:$G, (MATCH(638, 輔助計算!$F$2:$F$801, 0)+1))), "")</f>
        <v/>
      </c>
      <c r="G639" s="10">
        <f>IFERROR(IF(INDEX(ERP資料!$H:$H, (MATCH(638, 輔助計算!$F$2:$F$801, 0)+1))="","",INDEX(ERP資料!$H:$H, (MATCH(638, 輔助計算!$F$2:$F$801, 0)+1))), "")</f>
        <v/>
      </c>
      <c r="H639" s="10">
        <f>IFERROR(IF(INDEX(ERP資料!$O:$O, (MATCH(638, 輔助計算!$F$2:$F$801, 0)+1))="","",INDEX(ERP資料!$O:$O, (MATCH(638, 輔助計算!$F$2:$F$801, 0)+1))), "")</f>
        <v/>
      </c>
      <c r="I639" s="15">
        <f>IFERROR(IF(INDEX(輔助計算!$D:$D,(MATCH(638, 輔助計算!$F$2:$F$801, 0)+1))="","",INDEX(輔助計算!$D:$D,(MATCH(638, 輔助計算!$F$2:$F$801, 0)+1))*INDEX(ERP資料!$O:$O,(MATCH(638, 輔助計算!$F$2:$F$801, 0)+1))), "")</f>
        <v/>
      </c>
      <c r="J639" s="16" t="n"/>
      <c r="K639" s="15">
        <f>IFERROR(INDEX(輔助計算!$D:$D, (MATCH(638, 輔助計算!$F$2:$F$801, 0)+1)), "")</f>
        <v/>
      </c>
      <c r="L639" s="16">
        <f>IFERROR(IF(AND(IFERROR(VLOOKUP(LEFT(INDEX(ERP資料!$S:$S, (MATCH(638, 輔助計算!$F$2:$F$801, 0)+1)), 4), 100張客戶!$A:$A, 1, FALSE), "")&lt;&gt;"", OR(INDEX(ERP資料!$F:$F, (MATCH(638, 輔助計算!$F$2:$F$801, 0)+1))=270, INDEX(ERP資料!$F:$F, (MATCH(638, 輔助計算!$F$2:$F$801, 0)+1))=300)), "100張", ""), "")</f>
        <v/>
      </c>
      <c r="M639" s="17" t="n"/>
      <c r="N639" s="17">
        <f>IF($F639="","",$F639)</f>
        <v/>
      </c>
      <c r="O639" s="17">
        <f>IF($G639="","",$G639)</f>
        <v/>
      </c>
      <c r="P639" s="17">
        <f>IF($K639="","",$K639)</f>
        <v/>
      </c>
      <c r="Q639" s="16" t="n"/>
      <c r="R639" s="18" t="n"/>
      <c r="S639" s="16" t="n"/>
    </row>
    <row r="640">
      <c r="A640" s="14">
        <f>IFERROR(IF(AND(IFERROR(INDEX(ERP資料!$A:$A, (MATCH(639, 輔助計算!$F$2:$F$801, 0)+1)), "")&lt;&gt;"", IFERROR(INDEX(ERP資料!$A:$A, (MATCH(639, 輔助計算!$F$2:$F$801, 0)+1)), "")&lt;&gt;IFERROR(INDEX(ERP資料!$A:$A, MATCH(638, 輔助計算!$F$2:$F$801, 0)+1), "")), INDEX(ERP資料!$B:$B, (MATCH(639, 輔助計算!$F$2:$F$801, 0)+1)), ""), "")</f>
        <v/>
      </c>
      <c r="B640" s="10">
        <f>IFERROR(IF(AND(IFERROR(INDEX(ERP資料!$A:$A, (MATCH(639, 輔助計算!$F$2:$F$801, 0)+1)), "")&lt;&gt;"", IFERROR(INDEX(ERP資料!$A:$A, (MATCH(639, 輔助計算!$F$2:$F$801, 0)+1)), "")&lt;&gt;IFERROR(INDEX(ERP資料!$A:$A, MATCH(638, 輔助計算!$F$2:$F$801, 0)+1), "")), IFERROR(INDEX(ERP資料!$A:$A, (MATCH(639, 輔助計算!$F$2:$F$801, 0)+1)), ""), ""), "")</f>
        <v/>
      </c>
      <c r="C640" s="10">
        <f>IFERROR(IF(AND(IFERROR(INDEX(ERP資料!$A:$A, (MATCH(639, 輔助計算!$F$2:$F$801, 0)+1)), "")&lt;&gt;"", IFERROR(INDEX(ERP資料!$A:$A, (MATCH(639, 輔助計算!$F$2:$F$801, 0)+1)), "")&lt;&gt;IFERROR(INDEX(ERP資料!$A:$A, MATCH(638, 輔助計算!$F$2:$F$801, 0)+1), "")), INDEX(ERP資料!$S:$S, (MATCH(639, 輔助計算!$F$2:$F$801, 0)+1)), ""), "")</f>
        <v/>
      </c>
      <c r="D640" s="10">
        <f>IFERROR(IF(INDEX(ERP資料!$E:$E, (MATCH(639, 輔助計算!$F$2:$F$801, 0)+1))="","",TRIM(INDEX(ERP資料!$E:$E, (MATCH(639, 輔助計算!$F$2:$F$801, 0)+1)))), "")</f>
        <v/>
      </c>
      <c r="E640" s="10">
        <f>IFERROR(IF(INDEX(ERP資料!$F:$F, (MATCH(639, 輔助計算!$F$2:$F$801, 0)+1))="","",INDEX(ERP資料!$F:$F, (MATCH(639, 輔助計算!$F$2:$F$801, 0)+1))), "")</f>
        <v/>
      </c>
      <c r="F640" s="10">
        <f>IFERROR(IF(INDEX(ERP資料!$G:$G, (MATCH(639, 輔助計算!$F$2:$F$801, 0)+1))="","",INDEX(ERP資料!$G:$G, (MATCH(639, 輔助計算!$F$2:$F$801, 0)+1))), "")</f>
        <v/>
      </c>
      <c r="G640" s="10">
        <f>IFERROR(IF(INDEX(ERP資料!$H:$H, (MATCH(639, 輔助計算!$F$2:$F$801, 0)+1))="","",INDEX(ERP資料!$H:$H, (MATCH(639, 輔助計算!$F$2:$F$801, 0)+1))), "")</f>
        <v/>
      </c>
      <c r="H640" s="10">
        <f>IFERROR(IF(INDEX(ERP資料!$O:$O, (MATCH(639, 輔助計算!$F$2:$F$801, 0)+1))="","",INDEX(ERP資料!$O:$O, (MATCH(639, 輔助計算!$F$2:$F$801, 0)+1))), "")</f>
        <v/>
      </c>
      <c r="I640" s="15">
        <f>IFERROR(IF(INDEX(輔助計算!$D:$D,(MATCH(639, 輔助計算!$F$2:$F$801, 0)+1))="","",INDEX(輔助計算!$D:$D,(MATCH(639, 輔助計算!$F$2:$F$801, 0)+1))*INDEX(ERP資料!$O:$O,(MATCH(639, 輔助計算!$F$2:$F$801, 0)+1))), "")</f>
        <v/>
      </c>
      <c r="J640" s="16" t="n"/>
      <c r="K640" s="15">
        <f>IFERROR(INDEX(輔助計算!$D:$D, (MATCH(639, 輔助計算!$F$2:$F$801, 0)+1)), "")</f>
        <v/>
      </c>
      <c r="L640" s="16">
        <f>IFERROR(IF(AND(IFERROR(VLOOKUP(LEFT(INDEX(ERP資料!$S:$S, (MATCH(639, 輔助計算!$F$2:$F$801, 0)+1)), 4), 100張客戶!$A:$A, 1, FALSE), "")&lt;&gt;"", OR(INDEX(ERP資料!$F:$F, (MATCH(639, 輔助計算!$F$2:$F$801, 0)+1))=270, INDEX(ERP資料!$F:$F, (MATCH(639, 輔助計算!$F$2:$F$801, 0)+1))=300)), "100張", ""), "")</f>
        <v/>
      </c>
      <c r="M640" s="17" t="n"/>
      <c r="N640" s="17">
        <f>IF($F640="","",$F640)</f>
        <v/>
      </c>
      <c r="O640" s="17">
        <f>IF($G640="","",$G640)</f>
        <v/>
      </c>
      <c r="P640" s="17">
        <f>IF($K640="","",$K640)</f>
        <v/>
      </c>
      <c r="Q640" s="16" t="n"/>
      <c r="R640" s="18" t="n"/>
      <c r="S640" s="16" t="n"/>
    </row>
    <row r="641">
      <c r="A641" s="14">
        <f>IFERROR(IF(AND(IFERROR(INDEX(ERP資料!$A:$A, (MATCH(640, 輔助計算!$F$2:$F$801, 0)+1)), "")&lt;&gt;"", IFERROR(INDEX(ERP資料!$A:$A, (MATCH(640, 輔助計算!$F$2:$F$801, 0)+1)), "")&lt;&gt;IFERROR(INDEX(ERP資料!$A:$A, MATCH(639, 輔助計算!$F$2:$F$801, 0)+1), "")), INDEX(ERP資料!$B:$B, (MATCH(640, 輔助計算!$F$2:$F$801, 0)+1)), ""), "")</f>
        <v/>
      </c>
      <c r="B641" s="10">
        <f>IFERROR(IF(AND(IFERROR(INDEX(ERP資料!$A:$A, (MATCH(640, 輔助計算!$F$2:$F$801, 0)+1)), "")&lt;&gt;"", IFERROR(INDEX(ERP資料!$A:$A, (MATCH(640, 輔助計算!$F$2:$F$801, 0)+1)), "")&lt;&gt;IFERROR(INDEX(ERP資料!$A:$A, MATCH(639, 輔助計算!$F$2:$F$801, 0)+1), "")), IFERROR(INDEX(ERP資料!$A:$A, (MATCH(640, 輔助計算!$F$2:$F$801, 0)+1)), ""), ""), "")</f>
        <v/>
      </c>
      <c r="C641" s="10">
        <f>IFERROR(IF(AND(IFERROR(INDEX(ERP資料!$A:$A, (MATCH(640, 輔助計算!$F$2:$F$801, 0)+1)), "")&lt;&gt;"", IFERROR(INDEX(ERP資料!$A:$A, (MATCH(640, 輔助計算!$F$2:$F$801, 0)+1)), "")&lt;&gt;IFERROR(INDEX(ERP資料!$A:$A, MATCH(639, 輔助計算!$F$2:$F$801, 0)+1), "")), INDEX(ERP資料!$S:$S, (MATCH(640, 輔助計算!$F$2:$F$801, 0)+1)), ""), "")</f>
        <v/>
      </c>
      <c r="D641" s="10">
        <f>IFERROR(IF(INDEX(ERP資料!$E:$E, (MATCH(640, 輔助計算!$F$2:$F$801, 0)+1))="","",TRIM(INDEX(ERP資料!$E:$E, (MATCH(640, 輔助計算!$F$2:$F$801, 0)+1)))), "")</f>
        <v/>
      </c>
      <c r="E641" s="10">
        <f>IFERROR(IF(INDEX(ERP資料!$F:$F, (MATCH(640, 輔助計算!$F$2:$F$801, 0)+1))="","",INDEX(ERP資料!$F:$F, (MATCH(640, 輔助計算!$F$2:$F$801, 0)+1))), "")</f>
        <v/>
      </c>
      <c r="F641" s="10">
        <f>IFERROR(IF(INDEX(ERP資料!$G:$G, (MATCH(640, 輔助計算!$F$2:$F$801, 0)+1))="","",INDEX(ERP資料!$G:$G, (MATCH(640, 輔助計算!$F$2:$F$801, 0)+1))), "")</f>
        <v/>
      </c>
      <c r="G641" s="10">
        <f>IFERROR(IF(INDEX(ERP資料!$H:$H, (MATCH(640, 輔助計算!$F$2:$F$801, 0)+1))="","",INDEX(ERP資料!$H:$H, (MATCH(640, 輔助計算!$F$2:$F$801, 0)+1))), "")</f>
        <v/>
      </c>
      <c r="H641" s="10">
        <f>IFERROR(IF(INDEX(ERP資料!$O:$O, (MATCH(640, 輔助計算!$F$2:$F$801, 0)+1))="","",INDEX(ERP資料!$O:$O, (MATCH(640, 輔助計算!$F$2:$F$801, 0)+1))), "")</f>
        <v/>
      </c>
      <c r="I641" s="15">
        <f>IFERROR(IF(INDEX(輔助計算!$D:$D,(MATCH(640, 輔助計算!$F$2:$F$801, 0)+1))="","",INDEX(輔助計算!$D:$D,(MATCH(640, 輔助計算!$F$2:$F$801, 0)+1))*INDEX(ERP資料!$O:$O,(MATCH(640, 輔助計算!$F$2:$F$801, 0)+1))), "")</f>
        <v/>
      </c>
      <c r="J641" s="16" t="n"/>
      <c r="K641" s="15">
        <f>IFERROR(INDEX(輔助計算!$D:$D, (MATCH(640, 輔助計算!$F$2:$F$801, 0)+1)), "")</f>
        <v/>
      </c>
      <c r="L641" s="16">
        <f>IFERROR(IF(AND(IFERROR(VLOOKUP(LEFT(INDEX(ERP資料!$S:$S, (MATCH(640, 輔助計算!$F$2:$F$801, 0)+1)), 4), 100張客戶!$A:$A, 1, FALSE), "")&lt;&gt;"", OR(INDEX(ERP資料!$F:$F, (MATCH(640, 輔助計算!$F$2:$F$801, 0)+1))=270, INDEX(ERP資料!$F:$F, (MATCH(640, 輔助計算!$F$2:$F$801, 0)+1))=300)), "100張", ""), "")</f>
        <v/>
      </c>
      <c r="M641" s="17" t="n"/>
      <c r="N641" s="17">
        <f>IF($F641="","",$F641)</f>
        <v/>
      </c>
      <c r="O641" s="17">
        <f>IF($G641="","",$G641)</f>
        <v/>
      </c>
      <c r="P641" s="17">
        <f>IF($K641="","",$K641)</f>
        <v/>
      </c>
      <c r="Q641" s="16" t="n"/>
      <c r="R641" s="18" t="n"/>
      <c r="S641" s="16" t="n"/>
    </row>
    <row r="642">
      <c r="A642" s="14">
        <f>IFERROR(IF(AND(IFERROR(INDEX(ERP資料!$A:$A, (MATCH(641, 輔助計算!$F$2:$F$801, 0)+1)), "")&lt;&gt;"", IFERROR(INDEX(ERP資料!$A:$A, (MATCH(641, 輔助計算!$F$2:$F$801, 0)+1)), "")&lt;&gt;IFERROR(INDEX(ERP資料!$A:$A, MATCH(640, 輔助計算!$F$2:$F$801, 0)+1), "")), INDEX(ERP資料!$B:$B, (MATCH(641, 輔助計算!$F$2:$F$801, 0)+1)), ""), "")</f>
        <v/>
      </c>
      <c r="B642" s="10">
        <f>IFERROR(IF(AND(IFERROR(INDEX(ERP資料!$A:$A, (MATCH(641, 輔助計算!$F$2:$F$801, 0)+1)), "")&lt;&gt;"", IFERROR(INDEX(ERP資料!$A:$A, (MATCH(641, 輔助計算!$F$2:$F$801, 0)+1)), "")&lt;&gt;IFERROR(INDEX(ERP資料!$A:$A, MATCH(640, 輔助計算!$F$2:$F$801, 0)+1), "")), IFERROR(INDEX(ERP資料!$A:$A, (MATCH(641, 輔助計算!$F$2:$F$801, 0)+1)), ""), ""), "")</f>
        <v/>
      </c>
      <c r="C642" s="10">
        <f>IFERROR(IF(AND(IFERROR(INDEX(ERP資料!$A:$A, (MATCH(641, 輔助計算!$F$2:$F$801, 0)+1)), "")&lt;&gt;"", IFERROR(INDEX(ERP資料!$A:$A, (MATCH(641, 輔助計算!$F$2:$F$801, 0)+1)), "")&lt;&gt;IFERROR(INDEX(ERP資料!$A:$A, MATCH(640, 輔助計算!$F$2:$F$801, 0)+1), "")), INDEX(ERP資料!$S:$S, (MATCH(641, 輔助計算!$F$2:$F$801, 0)+1)), ""), "")</f>
        <v/>
      </c>
      <c r="D642" s="10">
        <f>IFERROR(IF(INDEX(ERP資料!$E:$E, (MATCH(641, 輔助計算!$F$2:$F$801, 0)+1))="","",TRIM(INDEX(ERP資料!$E:$E, (MATCH(641, 輔助計算!$F$2:$F$801, 0)+1)))), "")</f>
        <v/>
      </c>
      <c r="E642" s="10">
        <f>IFERROR(IF(INDEX(ERP資料!$F:$F, (MATCH(641, 輔助計算!$F$2:$F$801, 0)+1))="","",INDEX(ERP資料!$F:$F, (MATCH(641, 輔助計算!$F$2:$F$801, 0)+1))), "")</f>
        <v/>
      </c>
      <c r="F642" s="10">
        <f>IFERROR(IF(INDEX(ERP資料!$G:$G, (MATCH(641, 輔助計算!$F$2:$F$801, 0)+1))="","",INDEX(ERP資料!$G:$G, (MATCH(641, 輔助計算!$F$2:$F$801, 0)+1))), "")</f>
        <v/>
      </c>
      <c r="G642" s="10">
        <f>IFERROR(IF(INDEX(ERP資料!$H:$H, (MATCH(641, 輔助計算!$F$2:$F$801, 0)+1))="","",INDEX(ERP資料!$H:$H, (MATCH(641, 輔助計算!$F$2:$F$801, 0)+1))), "")</f>
        <v/>
      </c>
      <c r="H642" s="10">
        <f>IFERROR(IF(INDEX(ERP資料!$O:$O, (MATCH(641, 輔助計算!$F$2:$F$801, 0)+1))="","",INDEX(ERP資料!$O:$O, (MATCH(641, 輔助計算!$F$2:$F$801, 0)+1))), "")</f>
        <v/>
      </c>
      <c r="I642" s="15">
        <f>IFERROR(IF(INDEX(輔助計算!$D:$D,(MATCH(641, 輔助計算!$F$2:$F$801, 0)+1))="","",INDEX(輔助計算!$D:$D,(MATCH(641, 輔助計算!$F$2:$F$801, 0)+1))*INDEX(ERP資料!$O:$O,(MATCH(641, 輔助計算!$F$2:$F$801, 0)+1))), "")</f>
        <v/>
      </c>
      <c r="J642" s="16" t="n"/>
      <c r="K642" s="15">
        <f>IFERROR(INDEX(輔助計算!$D:$D, (MATCH(641, 輔助計算!$F$2:$F$801, 0)+1)), "")</f>
        <v/>
      </c>
      <c r="L642" s="16">
        <f>IFERROR(IF(AND(IFERROR(VLOOKUP(LEFT(INDEX(ERP資料!$S:$S, (MATCH(641, 輔助計算!$F$2:$F$801, 0)+1)), 4), 100張客戶!$A:$A, 1, FALSE), "")&lt;&gt;"", OR(INDEX(ERP資料!$F:$F, (MATCH(641, 輔助計算!$F$2:$F$801, 0)+1))=270, INDEX(ERP資料!$F:$F, (MATCH(641, 輔助計算!$F$2:$F$801, 0)+1))=300)), "100張", ""), "")</f>
        <v/>
      </c>
      <c r="M642" s="17" t="n"/>
      <c r="N642" s="17">
        <f>IF($F642="","",$F642)</f>
        <v/>
      </c>
      <c r="O642" s="17">
        <f>IF($G642="","",$G642)</f>
        <v/>
      </c>
      <c r="P642" s="17">
        <f>IF($K642="","",$K642)</f>
        <v/>
      </c>
      <c r="Q642" s="16" t="n"/>
      <c r="R642" s="18" t="n"/>
      <c r="S642" s="16" t="n"/>
    </row>
    <row r="643">
      <c r="A643" s="14">
        <f>IFERROR(IF(AND(IFERROR(INDEX(ERP資料!$A:$A, (MATCH(642, 輔助計算!$F$2:$F$801, 0)+1)), "")&lt;&gt;"", IFERROR(INDEX(ERP資料!$A:$A, (MATCH(642, 輔助計算!$F$2:$F$801, 0)+1)), "")&lt;&gt;IFERROR(INDEX(ERP資料!$A:$A, MATCH(641, 輔助計算!$F$2:$F$801, 0)+1), "")), INDEX(ERP資料!$B:$B, (MATCH(642, 輔助計算!$F$2:$F$801, 0)+1)), ""), "")</f>
        <v/>
      </c>
      <c r="B643" s="10">
        <f>IFERROR(IF(AND(IFERROR(INDEX(ERP資料!$A:$A, (MATCH(642, 輔助計算!$F$2:$F$801, 0)+1)), "")&lt;&gt;"", IFERROR(INDEX(ERP資料!$A:$A, (MATCH(642, 輔助計算!$F$2:$F$801, 0)+1)), "")&lt;&gt;IFERROR(INDEX(ERP資料!$A:$A, MATCH(641, 輔助計算!$F$2:$F$801, 0)+1), "")), IFERROR(INDEX(ERP資料!$A:$A, (MATCH(642, 輔助計算!$F$2:$F$801, 0)+1)), ""), ""), "")</f>
        <v/>
      </c>
      <c r="C643" s="10">
        <f>IFERROR(IF(AND(IFERROR(INDEX(ERP資料!$A:$A, (MATCH(642, 輔助計算!$F$2:$F$801, 0)+1)), "")&lt;&gt;"", IFERROR(INDEX(ERP資料!$A:$A, (MATCH(642, 輔助計算!$F$2:$F$801, 0)+1)), "")&lt;&gt;IFERROR(INDEX(ERP資料!$A:$A, MATCH(641, 輔助計算!$F$2:$F$801, 0)+1), "")), INDEX(ERP資料!$S:$S, (MATCH(642, 輔助計算!$F$2:$F$801, 0)+1)), ""), "")</f>
        <v/>
      </c>
      <c r="D643" s="10">
        <f>IFERROR(IF(INDEX(ERP資料!$E:$E, (MATCH(642, 輔助計算!$F$2:$F$801, 0)+1))="","",TRIM(INDEX(ERP資料!$E:$E, (MATCH(642, 輔助計算!$F$2:$F$801, 0)+1)))), "")</f>
        <v/>
      </c>
      <c r="E643" s="10">
        <f>IFERROR(IF(INDEX(ERP資料!$F:$F, (MATCH(642, 輔助計算!$F$2:$F$801, 0)+1))="","",INDEX(ERP資料!$F:$F, (MATCH(642, 輔助計算!$F$2:$F$801, 0)+1))), "")</f>
        <v/>
      </c>
      <c r="F643" s="10">
        <f>IFERROR(IF(INDEX(ERP資料!$G:$G, (MATCH(642, 輔助計算!$F$2:$F$801, 0)+1))="","",INDEX(ERP資料!$G:$G, (MATCH(642, 輔助計算!$F$2:$F$801, 0)+1))), "")</f>
        <v/>
      </c>
      <c r="G643" s="10">
        <f>IFERROR(IF(INDEX(ERP資料!$H:$H, (MATCH(642, 輔助計算!$F$2:$F$801, 0)+1))="","",INDEX(ERP資料!$H:$H, (MATCH(642, 輔助計算!$F$2:$F$801, 0)+1))), "")</f>
        <v/>
      </c>
      <c r="H643" s="10">
        <f>IFERROR(IF(INDEX(ERP資料!$O:$O, (MATCH(642, 輔助計算!$F$2:$F$801, 0)+1))="","",INDEX(ERP資料!$O:$O, (MATCH(642, 輔助計算!$F$2:$F$801, 0)+1))), "")</f>
        <v/>
      </c>
      <c r="I643" s="15">
        <f>IFERROR(IF(INDEX(輔助計算!$D:$D,(MATCH(642, 輔助計算!$F$2:$F$801, 0)+1))="","",INDEX(輔助計算!$D:$D,(MATCH(642, 輔助計算!$F$2:$F$801, 0)+1))*INDEX(ERP資料!$O:$O,(MATCH(642, 輔助計算!$F$2:$F$801, 0)+1))), "")</f>
        <v/>
      </c>
      <c r="J643" s="16" t="n"/>
      <c r="K643" s="15">
        <f>IFERROR(INDEX(輔助計算!$D:$D, (MATCH(642, 輔助計算!$F$2:$F$801, 0)+1)), "")</f>
        <v/>
      </c>
      <c r="L643" s="16">
        <f>IFERROR(IF(AND(IFERROR(VLOOKUP(LEFT(INDEX(ERP資料!$S:$S, (MATCH(642, 輔助計算!$F$2:$F$801, 0)+1)), 4), 100張客戶!$A:$A, 1, FALSE), "")&lt;&gt;"", OR(INDEX(ERP資料!$F:$F, (MATCH(642, 輔助計算!$F$2:$F$801, 0)+1))=270, INDEX(ERP資料!$F:$F, (MATCH(642, 輔助計算!$F$2:$F$801, 0)+1))=300)), "100張", ""), "")</f>
        <v/>
      </c>
      <c r="M643" s="17" t="n"/>
      <c r="N643" s="17">
        <f>IF($F643="","",$F643)</f>
        <v/>
      </c>
      <c r="O643" s="17">
        <f>IF($G643="","",$G643)</f>
        <v/>
      </c>
      <c r="P643" s="17">
        <f>IF($K643="","",$K643)</f>
        <v/>
      </c>
      <c r="Q643" s="16" t="n"/>
      <c r="R643" s="18" t="n"/>
      <c r="S643" s="16" t="n"/>
    </row>
    <row r="644">
      <c r="A644" s="14">
        <f>IFERROR(IF(AND(IFERROR(INDEX(ERP資料!$A:$A, (MATCH(643, 輔助計算!$F$2:$F$801, 0)+1)), "")&lt;&gt;"", IFERROR(INDEX(ERP資料!$A:$A, (MATCH(643, 輔助計算!$F$2:$F$801, 0)+1)), "")&lt;&gt;IFERROR(INDEX(ERP資料!$A:$A, MATCH(642, 輔助計算!$F$2:$F$801, 0)+1), "")), INDEX(ERP資料!$B:$B, (MATCH(643, 輔助計算!$F$2:$F$801, 0)+1)), ""), "")</f>
        <v/>
      </c>
      <c r="B644" s="10">
        <f>IFERROR(IF(AND(IFERROR(INDEX(ERP資料!$A:$A, (MATCH(643, 輔助計算!$F$2:$F$801, 0)+1)), "")&lt;&gt;"", IFERROR(INDEX(ERP資料!$A:$A, (MATCH(643, 輔助計算!$F$2:$F$801, 0)+1)), "")&lt;&gt;IFERROR(INDEX(ERP資料!$A:$A, MATCH(642, 輔助計算!$F$2:$F$801, 0)+1), "")), IFERROR(INDEX(ERP資料!$A:$A, (MATCH(643, 輔助計算!$F$2:$F$801, 0)+1)), ""), ""), "")</f>
        <v/>
      </c>
      <c r="C644" s="10">
        <f>IFERROR(IF(AND(IFERROR(INDEX(ERP資料!$A:$A, (MATCH(643, 輔助計算!$F$2:$F$801, 0)+1)), "")&lt;&gt;"", IFERROR(INDEX(ERP資料!$A:$A, (MATCH(643, 輔助計算!$F$2:$F$801, 0)+1)), "")&lt;&gt;IFERROR(INDEX(ERP資料!$A:$A, MATCH(642, 輔助計算!$F$2:$F$801, 0)+1), "")), INDEX(ERP資料!$S:$S, (MATCH(643, 輔助計算!$F$2:$F$801, 0)+1)), ""), "")</f>
        <v/>
      </c>
      <c r="D644" s="10">
        <f>IFERROR(IF(INDEX(ERP資料!$E:$E, (MATCH(643, 輔助計算!$F$2:$F$801, 0)+1))="","",TRIM(INDEX(ERP資料!$E:$E, (MATCH(643, 輔助計算!$F$2:$F$801, 0)+1)))), "")</f>
        <v/>
      </c>
      <c r="E644" s="10">
        <f>IFERROR(IF(INDEX(ERP資料!$F:$F, (MATCH(643, 輔助計算!$F$2:$F$801, 0)+1))="","",INDEX(ERP資料!$F:$F, (MATCH(643, 輔助計算!$F$2:$F$801, 0)+1))), "")</f>
        <v/>
      </c>
      <c r="F644" s="10">
        <f>IFERROR(IF(INDEX(ERP資料!$G:$G, (MATCH(643, 輔助計算!$F$2:$F$801, 0)+1))="","",INDEX(ERP資料!$G:$G, (MATCH(643, 輔助計算!$F$2:$F$801, 0)+1))), "")</f>
        <v/>
      </c>
      <c r="G644" s="10">
        <f>IFERROR(IF(INDEX(ERP資料!$H:$H, (MATCH(643, 輔助計算!$F$2:$F$801, 0)+1))="","",INDEX(ERP資料!$H:$H, (MATCH(643, 輔助計算!$F$2:$F$801, 0)+1))), "")</f>
        <v/>
      </c>
      <c r="H644" s="10">
        <f>IFERROR(IF(INDEX(ERP資料!$O:$O, (MATCH(643, 輔助計算!$F$2:$F$801, 0)+1))="","",INDEX(ERP資料!$O:$O, (MATCH(643, 輔助計算!$F$2:$F$801, 0)+1))), "")</f>
        <v/>
      </c>
      <c r="I644" s="15">
        <f>IFERROR(IF(INDEX(輔助計算!$D:$D,(MATCH(643, 輔助計算!$F$2:$F$801, 0)+1))="","",INDEX(輔助計算!$D:$D,(MATCH(643, 輔助計算!$F$2:$F$801, 0)+1))*INDEX(ERP資料!$O:$O,(MATCH(643, 輔助計算!$F$2:$F$801, 0)+1))), "")</f>
        <v/>
      </c>
      <c r="J644" s="16" t="n"/>
      <c r="K644" s="15">
        <f>IFERROR(INDEX(輔助計算!$D:$D, (MATCH(643, 輔助計算!$F$2:$F$801, 0)+1)), "")</f>
        <v/>
      </c>
      <c r="L644" s="16">
        <f>IFERROR(IF(AND(IFERROR(VLOOKUP(LEFT(INDEX(ERP資料!$S:$S, (MATCH(643, 輔助計算!$F$2:$F$801, 0)+1)), 4), 100張客戶!$A:$A, 1, FALSE), "")&lt;&gt;"", OR(INDEX(ERP資料!$F:$F, (MATCH(643, 輔助計算!$F$2:$F$801, 0)+1))=270, INDEX(ERP資料!$F:$F, (MATCH(643, 輔助計算!$F$2:$F$801, 0)+1))=300)), "100張", ""), "")</f>
        <v/>
      </c>
      <c r="M644" s="17" t="n"/>
      <c r="N644" s="17">
        <f>IF($F644="","",$F644)</f>
        <v/>
      </c>
      <c r="O644" s="17">
        <f>IF($G644="","",$G644)</f>
        <v/>
      </c>
      <c r="P644" s="17">
        <f>IF($K644="","",$K644)</f>
        <v/>
      </c>
      <c r="Q644" s="16" t="n"/>
      <c r="R644" s="18" t="n"/>
      <c r="S644" s="16" t="n"/>
    </row>
    <row r="645">
      <c r="A645" s="14">
        <f>IFERROR(IF(AND(IFERROR(INDEX(ERP資料!$A:$A, (MATCH(644, 輔助計算!$F$2:$F$801, 0)+1)), "")&lt;&gt;"", IFERROR(INDEX(ERP資料!$A:$A, (MATCH(644, 輔助計算!$F$2:$F$801, 0)+1)), "")&lt;&gt;IFERROR(INDEX(ERP資料!$A:$A, MATCH(643, 輔助計算!$F$2:$F$801, 0)+1), "")), INDEX(ERP資料!$B:$B, (MATCH(644, 輔助計算!$F$2:$F$801, 0)+1)), ""), "")</f>
        <v/>
      </c>
      <c r="B645" s="10">
        <f>IFERROR(IF(AND(IFERROR(INDEX(ERP資料!$A:$A, (MATCH(644, 輔助計算!$F$2:$F$801, 0)+1)), "")&lt;&gt;"", IFERROR(INDEX(ERP資料!$A:$A, (MATCH(644, 輔助計算!$F$2:$F$801, 0)+1)), "")&lt;&gt;IFERROR(INDEX(ERP資料!$A:$A, MATCH(643, 輔助計算!$F$2:$F$801, 0)+1), "")), IFERROR(INDEX(ERP資料!$A:$A, (MATCH(644, 輔助計算!$F$2:$F$801, 0)+1)), ""), ""), "")</f>
        <v/>
      </c>
      <c r="C645" s="10">
        <f>IFERROR(IF(AND(IFERROR(INDEX(ERP資料!$A:$A, (MATCH(644, 輔助計算!$F$2:$F$801, 0)+1)), "")&lt;&gt;"", IFERROR(INDEX(ERP資料!$A:$A, (MATCH(644, 輔助計算!$F$2:$F$801, 0)+1)), "")&lt;&gt;IFERROR(INDEX(ERP資料!$A:$A, MATCH(643, 輔助計算!$F$2:$F$801, 0)+1), "")), INDEX(ERP資料!$S:$S, (MATCH(644, 輔助計算!$F$2:$F$801, 0)+1)), ""), "")</f>
        <v/>
      </c>
      <c r="D645" s="10">
        <f>IFERROR(IF(INDEX(ERP資料!$E:$E, (MATCH(644, 輔助計算!$F$2:$F$801, 0)+1))="","",TRIM(INDEX(ERP資料!$E:$E, (MATCH(644, 輔助計算!$F$2:$F$801, 0)+1)))), "")</f>
        <v/>
      </c>
      <c r="E645" s="10">
        <f>IFERROR(IF(INDEX(ERP資料!$F:$F, (MATCH(644, 輔助計算!$F$2:$F$801, 0)+1))="","",INDEX(ERP資料!$F:$F, (MATCH(644, 輔助計算!$F$2:$F$801, 0)+1))), "")</f>
        <v/>
      </c>
      <c r="F645" s="10">
        <f>IFERROR(IF(INDEX(ERP資料!$G:$G, (MATCH(644, 輔助計算!$F$2:$F$801, 0)+1))="","",INDEX(ERP資料!$G:$G, (MATCH(644, 輔助計算!$F$2:$F$801, 0)+1))), "")</f>
        <v/>
      </c>
      <c r="G645" s="10">
        <f>IFERROR(IF(INDEX(ERP資料!$H:$H, (MATCH(644, 輔助計算!$F$2:$F$801, 0)+1))="","",INDEX(ERP資料!$H:$H, (MATCH(644, 輔助計算!$F$2:$F$801, 0)+1))), "")</f>
        <v/>
      </c>
      <c r="H645" s="10">
        <f>IFERROR(IF(INDEX(ERP資料!$O:$O, (MATCH(644, 輔助計算!$F$2:$F$801, 0)+1))="","",INDEX(ERP資料!$O:$O, (MATCH(644, 輔助計算!$F$2:$F$801, 0)+1))), "")</f>
        <v/>
      </c>
      <c r="I645" s="15">
        <f>IFERROR(IF(INDEX(輔助計算!$D:$D,(MATCH(644, 輔助計算!$F$2:$F$801, 0)+1))="","",INDEX(輔助計算!$D:$D,(MATCH(644, 輔助計算!$F$2:$F$801, 0)+1))*INDEX(ERP資料!$O:$O,(MATCH(644, 輔助計算!$F$2:$F$801, 0)+1))), "")</f>
        <v/>
      </c>
      <c r="J645" s="16" t="n"/>
      <c r="K645" s="15">
        <f>IFERROR(INDEX(輔助計算!$D:$D, (MATCH(644, 輔助計算!$F$2:$F$801, 0)+1)), "")</f>
        <v/>
      </c>
      <c r="L645" s="16">
        <f>IFERROR(IF(AND(IFERROR(VLOOKUP(LEFT(INDEX(ERP資料!$S:$S, (MATCH(644, 輔助計算!$F$2:$F$801, 0)+1)), 4), 100張客戶!$A:$A, 1, FALSE), "")&lt;&gt;"", OR(INDEX(ERP資料!$F:$F, (MATCH(644, 輔助計算!$F$2:$F$801, 0)+1))=270, INDEX(ERP資料!$F:$F, (MATCH(644, 輔助計算!$F$2:$F$801, 0)+1))=300)), "100張", ""), "")</f>
        <v/>
      </c>
      <c r="M645" s="17" t="n"/>
      <c r="N645" s="17">
        <f>IF($F645="","",$F645)</f>
        <v/>
      </c>
      <c r="O645" s="17">
        <f>IF($G645="","",$G645)</f>
        <v/>
      </c>
      <c r="P645" s="17">
        <f>IF($K645="","",$K645)</f>
        <v/>
      </c>
      <c r="Q645" s="16" t="n"/>
      <c r="R645" s="18" t="n"/>
      <c r="S645" s="16" t="n"/>
    </row>
    <row r="646">
      <c r="A646" s="14">
        <f>IFERROR(IF(AND(IFERROR(INDEX(ERP資料!$A:$A, (MATCH(645, 輔助計算!$F$2:$F$801, 0)+1)), "")&lt;&gt;"", IFERROR(INDEX(ERP資料!$A:$A, (MATCH(645, 輔助計算!$F$2:$F$801, 0)+1)), "")&lt;&gt;IFERROR(INDEX(ERP資料!$A:$A, MATCH(644, 輔助計算!$F$2:$F$801, 0)+1), "")), INDEX(ERP資料!$B:$B, (MATCH(645, 輔助計算!$F$2:$F$801, 0)+1)), ""), "")</f>
        <v/>
      </c>
      <c r="B646" s="10">
        <f>IFERROR(IF(AND(IFERROR(INDEX(ERP資料!$A:$A, (MATCH(645, 輔助計算!$F$2:$F$801, 0)+1)), "")&lt;&gt;"", IFERROR(INDEX(ERP資料!$A:$A, (MATCH(645, 輔助計算!$F$2:$F$801, 0)+1)), "")&lt;&gt;IFERROR(INDEX(ERP資料!$A:$A, MATCH(644, 輔助計算!$F$2:$F$801, 0)+1), "")), IFERROR(INDEX(ERP資料!$A:$A, (MATCH(645, 輔助計算!$F$2:$F$801, 0)+1)), ""), ""), "")</f>
        <v/>
      </c>
      <c r="C646" s="10">
        <f>IFERROR(IF(AND(IFERROR(INDEX(ERP資料!$A:$A, (MATCH(645, 輔助計算!$F$2:$F$801, 0)+1)), "")&lt;&gt;"", IFERROR(INDEX(ERP資料!$A:$A, (MATCH(645, 輔助計算!$F$2:$F$801, 0)+1)), "")&lt;&gt;IFERROR(INDEX(ERP資料!$A:$A, MATCH(644, 輔助計算!$F$2:$F$801, 0)+1), "")), INDEX(ERP資料!$S:$S, (MATCH(645, 輔助計算!$F$2:$F$801, 0)+1)), ""), "")</f>
        <v/>
      </c>
      <c r="D646" s="10">
        <f>IFERROR(IF(INDEX(ERP資料!$E:$E, (MATCH(645, 輔助計算!$F$2:$F$801, 0)+1))="","",TRIM(INDEX(ERP資料!$E:$E, (MATCH(645, 輔助計算!$F$2:$F$801, 0)+1)))), "")</f>
        <v/>
      </c>
      <c r="E646" s="10">
        <f>IFERROR(IF(INDEX(ERP資料!$F:$F, (MATCH(645, 輔助計算!$F$2:$F$801, 0)+1))="","",INDEX(ERP資料!$F:$F, (MATCH(645, 輔助計算!$F$2:$F$801, 0)+1))), "")</f>
        <v/>
      </c>
      <c r="F646" s="10">
        <f>IFERROR(IF(INDEX(ERP資料!$G:$G, (MATCH(645, 輔助計算!$F$2:$F$801, 0)+1))="","",INDEX(ERP資料!$G:$G, (MATCH(645, 輔助計算!$F$2:$F$801, 0)+1))), "")</f>
        <v/>
      </c>
      <c r="G646" s="10">
        <f>IFERROR(IF(INDEX(ERP資料!$H:$H, (MATCH(645, 輔助計算!$F$2:$F$801, 0)+1))="","",INDEX(ERP資料!$H:$H, (MATCH(645, 輔助計算!$F$2:$F$801, 0)+1))), "")</f>
        <v/>
      </c>
      <c r="H646" s="10">
        <f>IFERROR(IF(INDEX(ERP資料!$O:$O, (MATCH(645, 輔助計算!$F$2:$F$801, 0)+1))="","",INDEX(ERP資料!$O:$O, (MATCH(645, 輔助計算!$F$2:$F$801, 0)+1))), "")</f>
        <v/>
      </c>
      <c r="I646" s="15">
        <f>IFERROR(IF(INDEX(輔助計算!$D:$D,(MATCH(645, 輔助計算!$F$2:$F$801, 0)+1))="","",INDEX(輔助計算!$D:$D,(MATCH(645, 輔助計算!$F$2:$F$801, 0)+1))*INDEX(ERP資料!$O:$O,(MATCH(645, 輔助計算!$F$2:$F$801, 0)+1))), "")</f>
        <v/>
      </c>
      <c r="J646" s="16" t="n"/>
      <c r="K646" s="15">
        <f>IFERROR(INDEX(輔助計算!$D:$D, (MATCH(645, 輔助計算!$F$2:$F$801, 0)+1)), "")</f>
        <v/>
      </c>
      <c r="L646" s="16">
        <f>IFERROR(IF(AND(IFERROR(VLOOKUP(LEFT(INDEX(ERP資料!$S:$S, (MATCH(645, 輔助計算!$F$2:$F$801, 0)+1)), 4), 100張客戶!$A:$A, 1, FALSE), "")&lt;&gt;"", OR(INDEX(ERP資料!$F:$F, (MATCH(645, 輔助計算!$F$2:$F$801, 0)+1))=270, INDEX(ERP資料!$F:$F, (MATCH(645, 輔助計算!$F$2:$F$801, 0)+1))=300)), "100張", ""), "")</f>
        <v/>
      </c>
      <c r="M646" s="17" t="n"/>
      <c r="N646" s="17">
        <f>IF($F646="","",$F646)</f>
        <v/>
      </c>
      <c r="O646" s="17">
        <f>IF($G646="","",$G646)</f>
        <v/>
      </c>
      <c r="P646" s="17">
        <f>IF($K646="","",$K646)</f>
        <v/>
      </c>
      <c r="Q646" s="16" t="n"/>
      <c r="R646" s="18" t="n"/>
      <c r="S646" s="16" t="n"/>
    </row>
    <row r="647">
      <c r="A647" s="14">
        <f>IFERROR(IF(AND(IFERROR(INDEX(ERP資料!$A:$A, (MATCH(646, 輔助計算!$F$2:$F$801, 0)+1)), "")&lt;&gt;"", IFERROR(INDEX(ERP資料!$A:$A, (MATCH(646, 輔助計算!$F$2:$F$801, 0)+1)), "")&lt;&gt;IFERROR(INDEX(ERP資料!$A:$A, MATCH(645, 輔助計算!$F$2:$F$801, 0)+1), "")), INDEX(ERP資料!$B:$B, (MATCH(646, 輔助計算!$F$2:$F$801, 0)+1)), ""), "")</f>
        <v/>
      </c>
      <c r="B647" s="10">
        <f>IFERROR(IF(AND(IFERROR(INDEX(ERP資料!$A:$A, (MATCH(646, 輔助計算!$F$2:$F$801, 0)+1)), "")&lt;&gt;"", IFERROR(INDEX(ERP資料!$A:$A, (MATCH(646, 輔助計算!$F$2:$F$801, 0)+1)), "")&lt;&gt;IFERROR(INDEX(ERP資料!$A:$A, MATCH(645, 輔助計算!$F$2:$F$801, 0)+1), "")), IFERROR(INDEX(ERP資料!$A:$A, (MATCH(646, 輔助計算!$F$2:$F$801, 0)+1)), ""), ""), "")</f>
        <v/>
      </c>
      <c r="C647" s="10">
        <f>IFERROR(IF(AND(IFERROR(INDEX(ERP資料!$A:$A, (MATCH(646, 輔助計算!$F$2:$F$801, 0)+1)), "")&lt;&gt;"", IFERROR(INDEX(ERP資料!$A:$A, (MATCH(646, 輔助計算!$F$2:$F$801, 0)+1)), "")&lt;&gt;IFERROR(INDEX(ERP資料!$A:$A, MATCH(645, 輔助計算!$F$2:$F$801, 0)+1), "")), INDEX(ERP資料!$S:$S, (MATCH(646, 輔助計算!$F$2:$F$801, 0)+1)), ""), "")</f>
        <v/>
      </c>
      <c r="D647" s="10">
        <f>IFERROR(IF(INDEX(ERP資料!$E:$E, (MATCH(646, 輔助計算!$F$2:$F$801, 0)+1))="","",TRIM(INDEX(ERP資料!$E:$E, (MATCH(646, 輔助計算!$F$2:$F$801, 0)+1)))), "")</f>
        <v/>
      </c>
      <c r="E647" s="10">
        <f>IFERROR(IF(INDEX(ERP資料!$F:$F, (MATCH(646, 輔助計算!$F$2:$F$801, 0)+1))="","",INDEX(ERP資料!$F:$F, (MATCH(646, 輔助計算!$F$2:$F$801, 0)+1))), "")</f>
        <v/>
      </c>
      <c r="F647" s="10">
        <f>IFERROR(IF(INDEX(ERP資料!$G:$G, (MATCH(646, 輔助計算!$F$2:$F$801, 0)+1))="","",INDEX(ERP資料!$G:$G, (MATCH(646, 輔助計算!$F$2:$F$801, 0)+1))), "")</f>
        <v/>
      </c>
      <c r="G647" s="10">
        <f>IFERROR(IF(INDEX(ERP資料!$H:$H, (MATCH(646, 輔助計算!$F$2:$F$801, 0)+1))="","",INDEX(ERP資料!$H:$H, (MATCH(646, 輔助計算!$F$2:$F$801, 0)+1))), "")</f>
        <v/>
      </c>
      <c r="H647" s="10">
        <f>IFERROR(IF(INDEX(ERP資料!$O:$O, (MATCH(646, 輔助計算!$F$2:$F$801, 0)+1))="","",INDEX(ERP資料!$O:$O, (MATCH(646, 輔助計算!$F$2:$F$801, 0)+1))), "")</f>
        <v/>
      </c>
      <c r="I647" s="15">
        <f>IFERROR(IF(INDEX(輔助計算!$D:$D,(MATCH(646, 輔助計算!$F$2:$F$801, 0)+1))="","",INDEX(輔助計算!$D:$D,(MATCH(646, 輔助計算!$F$2:$F$801, 0)+1))*INDEX(ERP資料!$O:$O,(MATCH(646, 輔助計算!$F$2:$F$801, 0)+1))), "")</f>
        <v/>
      </c>
      <c r="J647" s="16" t="n"/>
      <c r="K647" s="15">
        <f>IFERROR(INDEX(輔助計算!$D:$D, (MATCH(646, 輔助計算!$F$2:$F$801, 0)+1)), "")</f>
        <v/>
      </c>
      <c r="L647" s="16">
        <f>IFERROR(IF(AND(IFERROR(VLOOKUP(LEFT(INDEX(ERP資料!$S:$S, (MATCH(646, 輔助計算!$F$2:$F$801, 0)+1)), 4), 100張客戶!$A:$A, 1, FALSE), "")&lt;&gt;"", OR(INDEX(ERP資料!$F:$F, (MATCH(646, 輔助計算!$F$2:$F$801, 0)+1))=270, INDEX(ERP資料!$F:$F, (MATCH(646, 輔助計算!$F$2:$F$801, 0)+1))=300)), "100張", ""), "")</f>
        <v/>
      </c>
      <c r="M647" s="17" t="n"/>
      <c r="N647" s="17">
        <f>IF($F647="","",$F647)</f>
        <v/>
      </c>
      <c r="O647" s="17">
        <f>IF($G647="","",$G647)</f>
        <v/>
      </c>
      <c r="P647" s="17">
        <f>IF($K647="","",$K647)</f>
        <v/>
      </c>
      <c r="Q647" s="16" t="n"/>
      <c r="R647" s="18" t="n"/>
      <c r="S647" s="16" t="n"/>
    </row>
    <row r="648">
      <c r="A648" s="14">
        <f>IFERROR(IF(AND(IFERROR(INDEX(ERP資料!$A:$A, (MATCH(647, 輔助計算!$F$2:$F$801, 0)+1)), "")&lt;&gt;"", IFERROR(INDEX(ERP資料!$A:$A, (MATCH(647, 輔助計算!$F$2:$F$801, 0)+1)), "")&lt;&gt;IFERROR(INDEX(ERP資料!$A:$A, MATCH(646, 輔助計算!$F$2:$F$801, 0)+1), "")), INDEX(ERP資料!$B:$B, (MATCH(647, 輔助計算!$F$2:$F$801, 0)+1)), ""), "")</f>
        <v/>
      </c>
      <c r="B648" s="10">
        <f>IFERROR(IF(AND(IFERROR(INDEX(ERP資料!$A:$A, (MATCH(647, 輔助計算!$F$2:$F$801, 0)+1)), "")&lt;&gt;"", IFERROR(INDEX(ERP資料!$A:$A, (MATCH(647, 輔助計算!$F$2:$F$801, 0)+1)), "")&lt;&gt;IFERROR(INDEX(ERP資料!$A:$A, MATCH(646, 輔助計算!$F$2:$F$801, 0)+1), "")), IFERROR(INDEX(ERP資料!$A:$A, (MATCH(647, 輔助計算!$F$2:$F$801, 0)+1)), ""), ""), "")</f>
        <v/>
      </c>
      <c r="C648" s="10">
        <f>IFERROR(IF(AND(IFERROR(INDEX(ERP資料!$A:$A, (MATCH(647, 輔助計算!$F$2:$F$801, 0)+1)), "")&lt;&gt;"", IFERROR(INDEX(ERP資料!$A:$A, (MATCH(647, 輔助計算!$F$2:$F$801, 0)+1)), "")&lt;&gt;IFERROR(INDEX(ERP資料!$A:$A, MATCH(646, 輔助計算!$F$2:$F$801, 0)+1), "")), INDEX(ERP資料!$S:$S, (MATCH(647, 輔助計算!$F$2:$F$801, 0)+1)), ""), "")</f>
        <v/>
      </c>
      <c r="D648" s="10">
        <f>IFERROR(IF(INDEX(ERP資料!$E:$E, (MATCH(647, 輔助計算!$F$2:$F$801, 0)+1))="","",TRIM(INDEX(ERP資料!$E:$E, (MATCH(647, 輔助計算!$F$2:$F$801, 0)+1)))), "")</f>
        <v/>
      </c>
      <c r="E648" s="10">
        <f>IFERROR(IF(INDEX(ERP資料!$F:$F, (MATCH(647, 輔助計算!$F$2:$F$801, 0)+1))="","",INDEX(ERP資料!$F:$F, (MATCH(647, 輔助計算!$F$2:$F$801, 0)+1))), "")</f>
        <v/>
      </c>
      <c r="F648" s="10">
        <f>IFERROR(IF(INDEX(ERP資料!$G:$G, (MATCH(647, 輔助計算!$F$2:$F$801, 0)+1))="","",INDEX(ERP資料!$G:$G, (MATCH(647, 輔助計算!$F$2:$F$801, 0)+1))), "")</f>
        <v/>
      </c>
      <c r="G648" s="10">
        <f>IFERROR(IF(INDEX(ERP資料!$H:$H, (MATCH(647, 輔助計算!$F$2:$F$801, 0)+1))="","",INDEX(ERP資料!$H:$H, (MATCH(647, 輔助計算!$F$2:$F$801, 0)+1))), "")</f>
        <v/>
      </c>
      <c r="H648" s="10">
        <f>IFERROR(IF(INDEX(ERP資料!$O:$O, (MATCH(647, 輔助計算!$F$2:$F$801, 0)+1))="","",INDEX(ERP資料!$O:$O, (MATCH(647, 輔助計算!$F$2:$F$801, 0)+1))), "")</f>
        <v/>
      </c>
      <c r="I648" s="15">
        <f>IFERROR(IF(INDEX(輔助計算!$D:$D,(MATCH(647, 輔助計算!$F$2:$F$801, 0)+1))="","",INDEX(輔助計算!$D:$D,(MATCH(647, 輔助計算!$F$2:$F$801, 0)+1))*INDEX(ERP資料!$O:$O,(MATCH(647, 輔助計算!$F$2:$F$801, 0)+1))), "")</f>
        <v/>
      </c>
      <c r="J648" s="16" t="n"/>
      <c r="K648" s="15">
        <f>IFERROR(INDEX(輔助計算!$D:$D, (MATCH(647, 輔助計算!$F$2:$F$801, 0)+1)), "")</f>
        <v/>
      </c>
      <c r="L648" s="16">
        <f>IFERROR(IF(AND(IFERROR(VLOOKUP(LEFT(INDEX(ERP資料!$S:$S, (MATCH(647, 輔助計算!$F$2:$F$801, 0)+1)), 4), 100張客戶!$A:$A, 1, FALSE), "")&lt;&gt;"", OR(INDEX(ERP資料!$F:$F, (MATCH(647, 輔助計算!$F$2:$F$801, 0)+1))=270, INDEX(ERP資料!$F:$F, (MATCH(647, 輔助計算!$F$2:$F$801, 0)+1))=300)), "100張", ""), "")</f>
        <v/>
      </c>
      <c r="M648" s="17" t="n"/>
      <c r="N648" s="17">
        <f>IF($F648="","",$F648)</f>
        <v/>
      </c>
      <c r="O648" s="17">
        <f>IF($G648="","",$G648)</f>
        <v/>
      </c>
      <c r="P648" s="17">
        <f>IF($K648="","",$K648)</f>
        <v/>
      </c>
      <c r="Q648" s="16" t="n"/>
      <c r="R648" s="18" t="n"/>
      <c r="S648" s="16" t="n"/>
    </row>
    <row r="649">
      <c r="A649" s="14">
        <f>IFERROR(IF(AND(IFERROR(INDEX(ERP資料!$A:$A, (MATCH(648, 輔助計算!$F$2:$F$801, 0)+1)), "")&lt;&gt;"", IFERROR(INDEX(ERP資料!$A:$A, (MATCH(648, 輔助計算!$F$2:$F$801, 0)+1)), "")&lt;&gt;IFERROR(INDEX(ERP資料!$A:$A, MATCH(647, 輔助計算!$F$2:$F$801, 0)+1), "")), INDEX(ERP資料!$B:$B, (MATCH(648, 輔助計算!$F$2:$F$801, 0)+1)), ""), "")</f>
        <v/>
      </c>
      <c r="B649" s="10">
        <f>IFERROR(IF(AND(IFERROR(INDEX(ERP資料!$A:$A, (MATCH(648, 輔助計算!$F$2:$F$801, 0)+1)), "")&lt;&gt;"", IFERROR(INDEX(ERP資料!$A:$A, (MATCH(648, 輔助計算!$F$2:$F$801, 0)+1)), "")&lt;&gt;IFERROR(INDEX(ERP資料!$A:$A, MATCH(647, 輔助計算!$F$2:$F$801, 0)+1), "")), IFERROR(INDEX(ERP資料!$A:$A, (MATCH(648, 輔助計算!$F$2:$F$801, 0)+1)), ""), ""), "")</f>
        <v/>
      </c>
      <c r="C649" s="10">
        <f>IFERROR(IF(AND(IFERROR(INDEX(ERP資料!$A:$A, (MATCH(648, 輔助計算!$F$2:$F$801, 0)+1)), "")&lt;&gt;"", IFERROR(INDEX(ERP資料!$A:$A, (MATCH(648, 輔助計算!$F$2:$F$801, 0)+1)), "")&lt;&gt;IFERROR(INDEX(ERP資料!$A:$A, MATCH(647, 輔助計算!$F$2:$F$801, 0)+1), "")), INDEX(ERP資料!$S:$S, (MATCH(648, 輔助計算!$F$2:$F$801, 0)+1)), ""), "")</f>
        <v/>
      </c>
      <c r="D649" s="10">
        <f>IFERROR(IF(INDEX(ERP資料!$E:$E, (MATCH(648, 輔助計算!$F$2:$F$801, 0)+1))="","",TRIM(INDEX(ERP資料!$E:$E, (MATCH(648, 輔助計算!$F$2:$F$801, 0)+1)))), "")</f>
        <v/>
      </c>
      <c r="E649" s="10">
        <f>IFERROR(IF(INDEX(ERP資料!$F:$F, (MATCH(648, 輔助計算!$F$2:$F$801, 0)+1))="","",INDEX(ERP資料!$F:$F, (MATCH(648, 輔助計算!$F$2:$F$801, 0)+1))), "")</f>
        <v/>
      </c>
      <c r="F649" s="10">
        <f>IFERROR(IF(INDEX(ERP資料!$G:$G, (MATCH(648, 輔助計算!$F$2:$F$801, 0)+1))="","",INDEX(ERP資料!$G:$G, (MATCH(648, 輔助計算!$F$2:$F$801, 0)+1))), "")</f>
        <v/>
      </c>
      <c r="G649" s="10">
        <f>IFERROR(IF(INDEX(ERP資料!$H:$H, (MATCH(648, 輔助計算!$F$2:$F$801, 0)+1))="","",INDEX(ERP資料!$H:$H, (MATCH(648, 輔助計算!$F$2:$F$801, 0)+1))), "")</f>
        <v/>
      </c>
      <c r="H649" s="10">
        <f>IFERROR(IF(INDEX(ERP資料!$O:$O, (MATCH(648, 輔助計算!$F$2:$F$801, 0)+1))="","",INDEX(ERP資料!$O:$O, (MATCH(648, 輔助計算!$F$2:$F$801, 0)+1))), "")</f>
        <v/>
      </c>
      <c r="I649" s="15">
        <f>IFERROR(IF(INDEX(輔助計算!$D:$D,(MATCH(648, 輔助計算!$F$2:$F$801, 0)+1))="","",INDEX(輔助計算!$D:$D,(MATCH(648, 輔助計算!$F$2:$F$801, 0)+1))*INDEX(ERP資料!$O:$O,(MATCH(648, 輔助計算!$F$2:$F$801, 0)+1))), "")</f>
        <v/>
      </c>
      <c r="J649" s="16" t="n"/>
      <c r="K649" s="15">
        <f>IFERROR(INDEX(輔助計算!$D:$D, (MATCH(648, 輔助計算!$F$2:$F$801, 0)+1)), "")</f>
        <v/>
      </c>
      <c r="L649" s="16">
        <f>IFERROR(IF(AND(IFERROR(VLOOKUP(LEFT(INDEX(ERP資料!$S:$S, (MATCH(648, 輔助計算!$F$2:$F$801, 0)+1)), 4), 100張客戶!$A:$A, 1, FALSE), "")&lt;&gt;"", OR(INDEX(ERP資料!$F:$F, (MATCH(648, 輔助計算!$F$2:$F$801, 0)+1))=270, INDEX(ERP資料!$F:$F, (MATCH(648, 輔助計算!$F$2:$F$801, 0)+1))=300)), "100張", ""), "")</f>
        <v/>
      </c>
      <c r="M649" s="17" t="n"/>
      <c r="N649" s="17">
        <f>IF($F649="","",$F649)</f>
        <v/>
      </c>
      <c r="O649" s="17">
        <f>IF($G649="","",$G649)</f>
        <v/>
      </c>
      <c r="P649" s="17">
        <f>IF($K649="","",$K649)</f>
        <v/>
      </c>
      <c r="Q649" s="16" t="n"/>
      <c r="R649" s="18" t="n"/>
      <c r="S649" s="16" t="n"/>
    </row>
    <row r="650">
      <c r="A650" s="14">
        <f>IFERROR(IF(AND(IFERROR(INDEX(ERP資料!$A:$A, (MATCH(649, 輔助計算!$F$2:$F$801, 0)+1)), "")&lt;&gt;"", IFERROR(INDEX(ERP資料!$A:$A, (MATCH(649, 輔助計算!$F$2:$F$801, 0)+1)), "")&lt;&gt;IFERROR(INDEX(ERP資料!$A:$A, MATCH(648, 輔助計算!$F$2:$F$801, 0)+1), "")), INDEX(ERP資料!$B:$B, (MATCH(649, 輔助計算!$F$2:$F$801, 0)+1)), ""), "")</f>
        <v/>
      </c>
      <c r="B650" s="10">
        <f>IFERROR(IF(AND(IFERROR(INDEX(ERP資料!$A:$A, (MATCH(649, 輔助計算!$F$2:$F$801, 0)+1)), "")&lt;&gt;"", IFERROR(INDEX(ERP資料!$A:$A, (MATCH(649, 輔助計算!$F$2:$F$801, 0)+1)), "")&lt;&gt;IFERROR(INDEX(ERP資料!$A:$A, MATCH(648, 輔助計算!$F$2:$F$801, 0)+1), "")), IFERROR(INDEX(ERP資料!$A:$A, (MATCH(649, 輔助計算!$F$2:$F$801, 0)+1)), ""), ""), "")</f>
        <v/>
      </c>
      <c r="C650" s="10">
        <f>IFERROR(IF(AND(IFERROR(INDEX(ERP資料!$A:$A, (MATCH(649, 輔助計算!$F$2:$F$801, 0)+1)), "")&lt;&gt;"", IFERROR(INDEX(ERP資料!$A:$A, (MATCH(649, 輔助計算!$F$2:$F$801, 0)+1)), "")&lt;&gt;IFERROR(INDEX(ERP資料!$A:$A, MATCH(648, 輔助計算!$F$2:$F$801, 0)+1), "")), INDEX(ERP資料!$S:$S, (MATCH(649, 輔助計算!$F$2:$F$801, 0)+1)), ""), "")</f>
        <v/>
      </c>
      <c r="D650" s="10">
        <f>IFERROR(IF(INDEX(ERP資料!$E:$E, (MATCH(649, 輔助計算!$F$2:$F$801, 0)+1))="","",TRIM(INDEX(ERP資料!$E:$E, (MATCH(649, 輔助計算!$F$2:$F$801, 0)+1)))), "")</f>
        <v/>
      </c>
      <c r="E650" s="10">
        <f>IFERROR(IF(INDEX(ERP資料!$F:$F, (MATCH(649, 輔助計算!$F$2:$F$801, 0)+1))="","",INDEX(ERP資料!$F:$F, (MATCH(649, 輔助計算!$F$2:$F$801, 0)+1))), "")</f>
        <v/>
      </c>
      <c r="F650" s="10">
        <f>IFERROR(IF(INDEX(ERP資料!$G:$G, (MATCH(649, 輔助計算!$F$2:$F$801, 0)+1))="","",INDEX(ERP資料!$G:$G, (MATCH(649, 輔助計算!$F$2:$F$801, 0)+1))), "")</f>
        <v/>
      </c>
      <c r="G650" s="10">
        <f>IFERROR(IF(INDEX(ERP資料!$H:$H, (MATCH(649, 輔助計算!$F$2:$F$801, 0)+1))="","",INDEX(ERP資料!$H:$H, (MATCH(649, 輔助計算!$F$2:$F$801, 0)+1))), "")</f>
        <v/>
      </c>
      <c r="H650" s="10">
        <f>IFERROR(IF(INDEX(ERP資料!$O:$O, (MATCH(649, 輔助計算!$F$2:$F$801, 0)+1))="","",INDEX(ERP資料!$O:$O, (MATCH(649, 輔助計算!$F$2:$F$801, 0)+1))), "")</f>
        <v/>
      </c>
      <c r="I650" s="15">
        <f>IFERROR(IF(INDEX(輔助計算!$D:$D,(MATCH(649, 輔助計算!$F$2:$F$801, 0)+1))="","",INDEX(輔助計算!$D:$D,(MATCH(649, 輔助計算!$F$2:$F$801, 0)+1))*INDEX(ERP資料!$O:$O,(MATCH(649, 輔助計算!$F$2:$F$801, 0)+1))), "")</f>
        <v/>
      </c>
      <c r="J650" s="16" t="n"/>
      <c r="K650" s="15">
        <f>IFERROR(INDEX(輔助計算!$D:$D, (MATCH(649, 輔助計算!$F$2:$F$801, 0)+1)), "")</f>
        <v/>
      </c>
      <c r="L650" s="16">
        <f>IFERROR(IF(AND(IFERROR(VLOOKUP(LEFT(INDEX(ERP資料!$S:$S, (MATCH(649, 輔助計算!$F$2:$F$801, 0)+1)), 4), 100張客戶!$A:$A, 1, FALSE), "")&lt;&gt;"", OR(INDEX(ERP資料!$F:$F, (MATCH(649, 輔助計算!$F$2:$F$801, 0)+1))=270, INDEX(ERP資料!$F:$F, (MATCH(649, 輔助計算!$F$2:$F$801, 0)+1))=300)), "100張", ""), "")</f>
        <v/>
      </c>
      <c r="M650" s="17" t="n"/>
      <c r="N650" s="17">
        <f>IF($F650="","",$F650)</f>
        <v/>
      </c>
      <c r="O650" s="17">
        <f>IF($G650="","",$G650)</f>
        <v/>
      </c>
      <c r="P650" s="17">
        <f>IF($K650="","",$K650)</f>
        <v/>
      </c>
      <c r="Q650" s="16" t="n"/>
      <c r="R650" s="18" t="n"/>
      <c r="S650" s="16" t="n"/>
    </row>
    <row r="651">
      <c r="A651" s="14">
        <f>IFERROR(IF(AND(IFERROR(INDEX(ERP資料!$A:$A, (MATCH(650, 輔助計算!$F$2:$F$801, 0)+1)), "")&lt;&gt;"", IFERROR(INDEX(ERP資料!$A:$A, (MATCH(650, 輔助計算!$F$2:$F$801, 0)+1)), "")&lt;&gt;IFERROR(INDEX(ERP資料!$A:$A, MATCH(649, 輔助計算!$F$2:$F$801, 0)+1), "")), INDEX(ERP資料!$B:$B, (MATCH(650, 輔助計算!$F$2:$F$801, 0)+1)), ""), "")</f>
        <v/>
      </c>
      <c r="B651" s="10">
        <f>IFERROR(IF(AND(IFERROR(INDEX(ERP資料!$A:$A, (MATCH(650, 輔助計算!$F$2:$F$801, 0)+1)), "")&lt;&gt;"", IFERROR(INDEX(ERP資料!$A:$A, (MATCH(650, 輔助計算!$F$2:$F$801, 0)+1)), "")&lt;&gt;IFERROR(INDEX(ERP資料!$A:$A, MATCH(649, 輔助計算!$F$2:$F$801, 0)+1), "")), IFERROR(INDEX(ERP資料!$A:$A, (MATCH(650, 輔助計算!$F$2:$F$801, 0)+1)), ""), ""), "")</f>
        <v/>
      </c>
      <c r="C651" s="10">
        <f>IFERROR(IF(AND(IFERROR(INDEX(ERP資料!$A:$A, (MATCH(650, 輔助計算!$F$2:$F$801, 0)+1)), "")&lt;&gt;"", IFERROR(INDEX(ERP資料!$A:$A, (MATCH(650, 輔助計算!$F$2:$F$801, 0)+1)), "")&lt;&gt;IFERROR(INDEX(ERP資料!$A:$A, MATCH(649, 輔助計算!$F$2:$F$801, 0)+1), "")), INDEX(ERP資料!$S:$S, (MATCH(650, 輔助計算!$F$2:$F$801, 0)+1)), ""), "")</f>
        <v/>
      </c>
      <c r="D651" s="10">
        <f>IFERROR(IF(INDEX(ERP資料!$E:$E, (MATCH(650, 輔助計算!$F$2:$F$801, 0)+1))="","",TRIM(INDEX(ERP資料!$E:$E, (MATCH(650, 輔助計算!$F$2:$F$801, 0)+1)))), "")</f>
        <v/>
      </c>
      <c r="E651" s="10">
        <f>IFERROR(IF(INDEX(ERP資料!$F:$F, (MATCH(650, 輔助計算!$F$2:$F$801, 0)+1))="","",INDEX(ERP資料!$F:$F, (MATCH(650, 輔助計算!$F$2:$F$801, 0)+1))), "")</f>
        <v/>
      </c>
      <c r="F651" s="10">
        <f>IFERROR(IF(INDEX(ERP資料!$G:$G, (MATCH(650, 輔助計算!$F$2:$F$801, 0)+1))="","",INDEX(ERP資料!$G:$G, (MATCH(650, 輔助計算!$F$2:$F$801, 0)+1))), "")</f>
        <v/>
      </c>
      <c r="G651" s="10">
        <f>IFERROR(IF(INDEX(ERP資料!$H:$H, (MATCH(650, 輔助計算!$F$2:$F$801, 0)+1))="","",INDEX(ERP資料!$H:$H, (MATCH(650, 輔助計算!$F$2:$F$801, 0)+1))), "")</f>
        <v/>
      </c>
      <c r="H651" s="10">
        <f>IFERROR(IF(INDEX(ERP資料!$O:$O, (MATCH(650, 輔助計算!$F$2:$F$801, 0)+1))="","",INDEX(ERP資料!$O:$O, (MATCH(650, 輔助計算!$F$2:$F$801, 0)+1))), "")</f>
        <v/>
      </c>
      <c r="I651" s="15">
        <f>IFERROR(IF(INDEX(輔助計算!$D:$D,(MATCH(650, 輔助計算!$F$2:$F$801, 0)+1))="","",INDEX(輔助計算!$D:$D,(MATCH(650, 輔助計算!$F$2:$F$801, 0)+1))*INDEX(ERP資料!$O:$O,(MATCH(650, 輔助計算!$F$2:$F$801, 0)+1))), "")</f>
        <v/>
      </c>
      <c r="J651" s="16" t="n"/>
      <c r="K651" s="15">
        <f>IFERROR(INDEX(輔助計算!$D:$D, (MATCH(650, 輔助計算!$F$2:$F$801, 0)+1)), "")</f>
        <v/>
      </c>
      <c r="L651" s="16">
        <f>IFERROR(IF(AND(IFERROR(VLOOKUP(LEFT(INDEX(ERP資料!$S:$S, (MATCH(650, 輔助計算!$F$2:$F$801, 0)+1)), 4), 100張客戶!$A:$A, 1, FALSE), "")&lt;&gt;"", OR(INDEX(ERP資料!$F:$F, (MATCH(650, 輔助計算!$F$2:$F$801, 0)+1))=270, INDEX(ERP資料!$F:$F, (MATCH(650, 輔助計算!$F$2:$F$801, 0)+1))=300)), "100張", ""), "")</f>
        <v/>
      </c>
      <c r="M651" s="17" t="n"/>
      <c r="N651" s="17">
        <f>IF($F651="","",$F651)</f>
        <v/>
      </c>
      <c r="O651" s="17">
        <f>IF($G651="","",$G651)</f>
        <v/>
      </c>
      <c r="P651" s="17">
        <f>IF($K651="","",$K651)</f>
        <v/>
      </c>
      <c r="Q651" s="16" t="n"/>
      <c r="R651" s="18" t="n"/>
      <c r="S651" s="16" t="n"/>
    </row>
    <row r="652">
      <c r="A652" s="14">
        <f>IFERROR(IF(AND(IFERROR(INDEX(ERP資料!$A:$A, (MATCH(651, 輔助計算!$F$2:$F$801, 0)+1)), "")&lt;&gt;"", IFERROR(INDEX(ERP資料!$A:$A, (MATCH(651, 輔助計算!$F$2:$F$801, 0)+1)), "")&lt;&gt;IFERROR(INDEX(ERP資料!$A:$A, MATCH(650, 輔助計算!$F$2:$F$801, 0)+1), "")), INDEX(ERP資料!$B:$B, (MATCH(651, 輔助計算!$F$2:$F$801, 0)+1)), ""), "")</f>
        <v/>
      </c>
      <c r="B652" s="10">
        <f>IFERROR(IF(AND(IFERROR(INDEX(ERP資料!$A:$A, (MATCH(651, 輔助計算!$F$2:$F$801, 0)+1)), "")&lt;&gt;"", IFERROR(INDEX(ERP資料!$A:$A, (MATCH(651, 輔助計算!$F$2:$F$801, 0)+1)), "")&lt;&gt;IFERROR(INDEX(ERP資料!$A:$A, MATCH(650, 輔助計算!$F$2:$F$801, 0)+1), "")), IFERROR(INDEX(ERP資料!$A:$A, (MATCH(651, 輔助計算!$F$2:$F$801, 0)+1)), ""), ""), "")</f>
        <v/>
      </c>
      <c r="C652" s="10">
        <f>IFERROR(IF(AND(IFERROR(INDEX(ERP資料!$A:$A, (MATCH(651, 輔助計算!$F$2:$F$801, 0)+1)), "")&lt;&gt;"", IFERROR(INDEX(ERP資料!$A:$A, (MATCH(651, 輔助計算!$F$2:$F$801, 0)+1)), "")&lt;&gt;IFERROR(INDEX(ERP資料!$A:$A, MATCH(650, 輔助計算!$F$2:$F$801, 0)+1), "")), INDEX(ERP資料!$S:$S, (MATCH(651, 輔助計算!$F$2:$F$801, 0)+1)), ""), "")</f>
        <v/>
      </c>
      <c r="D652" s="10">
        <f>IFERROR(IF(INDEX(ERP資料!$E:$E, (MATCH(651, 輔助計算!$F$2:$F$801, 0)+1))="","",TRIM(INDEX(ERP資料!$E:$E, (MATCH(651, 輔助計算!$F$2:$F$801, 0)+1)))), "")</f>
        <v/>
      </c>
      <c r="E652" s="10">
        <f>IFERROR(IF(INDEX(ERP資料!$F:$F, (MATCH(651, 輔助計算!$F$2:$F$801, 0)+1))="","",INDEX(ERP資料!$F:$F, (MATCH(651, 輔助計算!$F$2:$F$801, 0)+1))), "")</f>
        <v/>
      </c>
      <c r="F652" s="10">
        <f>IFERROR(IF(INDEX(ERP資料!$G:$G, (MATCH(651, 輔助計算!$F$2:$F$801, 0)+1))="","",INDEX(ERP資料!$G:$G, (MATCH(651, 輔助計算!$F$2:$F$801, 0)+1))), "")</f>
        <v/>
      </c>
      <c r="G652" s="10">
        <f>IFERROR(IF(INDEX(ERP資料!$H:$H, (MATCH(651, 輔助計算!$F$2:$F$801, 0)+1))="","",INDEX(ERP資料!$H:$H, (MATCH(651, 輔助計算!$F$2:$F$801, 0)+1))), "")</f>
        <v/>
      </c>
      <c r="H652" s="10">
        <f>IFERROR(IF(INDEX(ERP資料!$O:$O, (MATCH(651, 輔助計算!$F$2:$F$801, 0)+1))="","",INDEX(ERP資料!$O:$O, (MATCH(651, 輔助計算!$F$2:$F$801, 0)+1))), "")</f>
        <v/>
      </c>
      <c r="I652" s="15">
        <f>IFERROR(IF(INDEX(輔助計算!$D:$D,(MATCH(651, 輔助計算!$F$2:$F$801, 0)+1))="","",INDEX(輔助計算!$D:$D,(MATCH(651, 輔助計算!$F$2:$F$801, 0)+1))*INDEX(ERP資料!$O:$O,(MATCH(651, 輔助計算!$F$2:$F$801, 0)+1))), "")</f>
        <v/>
      </c>
      <c r="J652" s="16" t="n"/>
      <c r="K652" s="15">
        <f>IFERROR(INDEX(輔助計算!$D:$D, (MATCH(651, 輔助計算!$F$2:$F$801, 0)+1)), "")</f>
        <v/>
      </c>
      <c r="L652" s="16">
        <f>IFERROR(IF(AND(IFERROR(VLOOKUP(LEFT(INDEX(ERP資料!$S:$S, (MATCH(651, 輔助計算!$F$2:$F$801, 0)+1)), 4), 100張客戶!$A:$A, 1, FALSE), "")&lt;&gt;"", OR(INDEX(ERP資料!$F:$F, (MATCH(651, 輔助計算!$F$2:$F$801, 0)+1))=270, INDEX(ERP資料!$F:$F, (MATCH(651, 輔助計算!$F$2:$F$801, 0)+1))=300)), "100張", ""), "")</f>
        <v/>
      </c>
      <c r="M652" s="17" t="n"/>
      <c r="N652" s="17">
        <f>IF($F652="","",$F652)</f>
        <v/>
      </c>
      <c r="O652" s="17">
        <f>IF($G652="","",$G652)</f>
        <v/>
      </c>
      <c r="P652" s="17">
        <f>IF($K652="","",$K652)</f>
        <v/>
      </c>
      <c r="Q652" s="16" t="n"/>
      <c r="R652" s="18" t="n"/>
      <c r="S652" s="16" t="n"/>
    </row>
    <row r="653">
      <c r="A653" s="14">
        <f>IFERROR(IF(AND(IFERROR(INDEX(ERP資料!$A:$A, (MATCH(652, 輔助計算!$F$2:$F$801, 0)+1)), "")&lt;&gt;"", IFERROR(INDEX(ERP資料!$A:$A, (MATCH(652, 輔助計算!$F$2:$F$801, 0)+1)), "")&lt;&gt;IFERROR(INDEX(ERP資料!$A:$A, MATCH(651, 輔助計算!$F$2:$F$801, 0)+1), "")), INDEX(ERP資料!$B:$B, (MATCH(652, 輔助計算!$F$2:$F$801, 0)+1)), ""), "")</f>
        <v/>
      </c>
      <c r="B653" s="10">
        <f>IFERROR(IF(AND(IFERROR(INDEX(ERP資料!$A:$A, (MATCH(652, 輔助計算!$F$2:$F$801, 0)+1)), "")&lt;&gt;"", IFERROR(INDEX(ERP資料!$A:$A, (MATCH(652, 輔助計算!$F$2:$F$801, 0)+1)), "")&lt;&gt;IFERROR(INDEX(ERP資料!$A:$A, MATCH(651, 輔助計算!$F$2:$F$801, 0)+1), "")), IFERROR(INDEX(ERP資料!$A:$A, (MATCH(652, 輔助計算!$F$2:$F$801, 0)+1)), ""), ""), "")</f>
        <v/>
      </c>
      <c r="C653" s="10">
        <f>IFERROR(IF(AND(IFERROR(INDEX(ERP資料!$A:$A, (MATCH(652, 輔助計算!$F$2:$F$801, 0)+1)), "")&lt;&gt;"", IFERROR(INDEX(ERP資料!$A:$A, (MATCH(652, 輔助計算!$F$2:$F$801, 0)+1)), "")&lt;&gt;IFERROR(INDEX(ERP資料!$A:$A, MATCH(651, 輔助計算!$F$2:$F$801, 0)+1), "")), INDEX(ERP資料!$S:$S, (MATCH(652, 輔助計算!$F$2:$F$801, 0)+1)), ""), "")</f>
        <v/>
      </c>
      <c r="D653" s="10">
        <f>IFERROR(IF(INDEX(ERP資料!$E:$E, (MATCH(652, 輔助計算!$F$2:$F$801, 0)+1))="","",TRIM(INDEX(ERP資料!$E:$E, (MATCH(652, 輔助計算!$F$2:$F$801, 0)+1)))), "")</f>
        <v/>
      </c>
      <c r="E653" s="10">
        <f>IFERROR(IF(INDEX(ERP資料!$F:$F, (MATCH(652, 輔助計算!$F$2:$F$801, 0)+1))="","",INDEX(ERP資料!$F:$F, (MATCH(652, 輔助計算!$F$2:$F$801, 0)+1))), "")</f>
        <v/>
      </c>
      <c r="F653" s="10">
        <f>IFERROR(IF(INDEX(ERP資料!$G:$G, (MATCH(652, 輔助計算!$F$2:$F$801, 0)+1))="","",INDEX(ERP資料!$G:$G, (MATCH(652, 輔助計算!$F$2:$F$801, 0)+1))), "")</f>
        <v/>
      </c>
      <c r="G653" s="10">
        <f>IFERROR(IF(INDEX(ERP資料!$H:$H, (MATCH(652, 輔助計算!$F$2:$F$801, 0)+1))="","",INDEX(ERP資料!$H:$H, (MATCH(652, 輔助計算!$F$2:$F$801, 0)+1))), "")</f>
        <v/>
      </c>
      <c r="H653" s="10">
        <f>IFERROR(IF(INDEX(ERP資料!$O:$O, (MATCH(652, 輔助計算!$F$2:$F$801, 0)+1))="","",INDEX(ERP資料!$O:$O, (MATCH(652, 輔助計算!$F$2:$F$801, 0)+1))), "")</f>
        <v/>
      </c>
      <c r="I653" s="15">
        <f>IFERROR(IF(INDEX(輔助計算!$D:$D,(MATCH(652, 輔助計算!$F$2:$F$801, 0)+1))="","",INDEX(輔助計算!$D:$D,(MATCH(652, 輔助計算!$F$2:$F$801, 0)+1))*INDEX(ERP資料!$O:$O,(MATCH(652, 輔助計算!$F$2:$F$801, 0)+1))), "")</f>
        <v/>
      </c>
      <c r="J653" s="16" t="n"/>
      <c r="K653" s="15">
        <f>IFERROR(INDEX(輔助計算!$D:$D, (MATCH(652, 輔助計算!$F$2:$F$801, 0)+1)), "")</f>
        <v/>
      </c>
      <c r="L653" s="16">
        <f>IFERROR(IF(AND(IFERROR(VLOOKUP(LEFT(INDEX(ERP資料!$S:$S, (MATCH(652, 輔助計算!$F$2:$F$801, 0)+1)), 4), 100張客戶!$A:$A, 1, FALSE), "")&lt;&gt;"", OR(INDEX(ERP資料!$F:$F, (MATCH(652, 輔助計算!$F$2:$F$801, 0)+1))=270, INDEX(ERP資料!$F:$F, (MATCH(652, 輔助計算!$F$2:$F$801, 0)+1))=300)), "100張", ""), "")</f>
        <v/>
      </c>
      <c r="M653" s="17" t="n"/>
      <c r="N653" s="17">
        <f>IF($F653="","",$F653)</f>
        <v/>
      </c>
      <c r="O653" s="17">
        <f>IF($G653="","",$G653)</f>
        <v/>
      </c>
      <c r="P653" s="17">
        <f>IF($K653="","",$K653)</f>
        <v/>
      </c>
      <c r="Q653" s="16" t="n"/>
      <c r="R653" s="18" t="n"/>
      <c r="S653" s="16" t="n"/>
    </row>
    <row r="654">
      <c r="A654" s="14">
        <f>IFERROR(IF(AND(IFERROR(INDEX(ERP資料!$A:$A, (MATCH(653, 輔助計算!$F$2:$F$801, 0)+1)), "")&lt;&gt;"", IFERROR(INDEX(ERP資料!$A:$A, (MATCH(653, 輔助計算!$F$2:$F$801, 0)+1)), "")&lt;&gt;IFERROR(INDEX(ERP資料!$A:$A, MATCH(652, 輔助計算!$F$2:$F$801, 0)+1), "")), INDEX(ERP資料!$B:$B, (MATCH(653, 輔助計算!$F$2:$F$801, 0)+1)), ""), "")</f>
        <v/>
      </c>
      <c r="B654" s="10">
        <f>IFERROR(IF(AND(IFERROR(INDEX(ERP資料!$A:$A, (MATCH(653, 輔助計算!$F$2:$F$801, 0)+1)), "")&lt;&gt;"", IFERROR(INDEX(ERP資料!$A:$A, (MATCH(653, 輔助計算!$F$2:$F$801, 0)+1)), "")&lt;&gt;IFERROR(INDEX(ERP資料!$A:$A, MATCH(652, 輔助計算!$F$2:$F$801, 0)+1), "")), IFERROR(INDEX(ERP資料!$A:$A, (MATCH(653, 輔助計算!$F$2:$F$801, 0)+1)), ""), ""), "")</f>
        <v/>
      </c>
      <c r="C654" s="10">
        <f>IFERROR(IF(AND(IFERROR(INDEX(ERP資料!$A:$A, (MATCH(653, 輔助計算!$F$2:$F$801, 0)+1)), "")&lt;&gt;"", IFERROR(INDEX(ERP資料!$A:$A, (MATCH(653, 輔助計算!$F$2:$F$801, 0)+1)), "")&lt;&gt;IFERROR(INDEX(ERP資料!$A:$A, MATCH(652, 輔助計算!$F$2:$F$801, 0)+1), "")), INDEX(ERP資料!$S:$S, (MATCH(653, 輔助計算!$F$2:$F$801, 0)+1)), ""), "")</f>
        <v/>
      </c>
      <c r="D654" s="10">
        <f>IFERROR(IF(INDEX(ERP資料!$E:$E, (MATCH(653, 輔助計算!$F$2:$F$801, 0)+1))="","",TRIM(INDEX(ERP資料!$E:$E, (MATCH(653, 輔助計算!$F$2:$F$801, 0)+1)))), "")</f>
        <v/>
      </c>
      <c r="E654" s="10">
        <f>IFERROR(IF(INDEX(ERP資料!$F:$F, (MATCH(653, 輔助計算!$F$2:$F$801, 0)+1))="","",INDEX(ERP資料!$F:$F, (MATCH(653, 輔助計算!$F$2:$F$801, 0)+1))), "")</f>
        <v/>
      </c>
      <c r="F654" s="10">
        <f>IFERROR(IF(INDEX(ERP資料!$G:$G, (MATCH(653, 輔助計算!$F$2:$F$801, 0)+1))="","",INDEX(ERP資料!$G:$G, (MATCH(653, 輔助計算!$F$2:$F$801, 0)+1))), "")</f>
        <v/>
      </c>
      <c r="G654" s="10">
        <f>IFERROR(IF(INDEX(ERP資料!$H:$H, (MATCH(653, 輔助計算!$F$2:$F$801, 0)+1))="","",INDEX(ERP資料!$H:$H, (MATCH(653, 輔助計算!$F$2:$F$801, 0)+1))), "")</f>
        <v/>
      </c>
      <c r="H654" s="10">
        <f>IFERROR(IF(INDEX(ERP資料!$O:$O, (MATCH(653, 輔助計算!$F$2:$F$801, 0)+1))="","",INDEX(ERP資料!$O:$O, (MATCH(653, 輔助計算!$F$2:$F$801, 0)+1))), "")</f>
        <v/>
      </c>
      <c r="I654" s="15">
        <f>IFERROR(IF(INDEX(輔助計算!$D:$D,(MATCH(653, 輔助計算!$F$2:$F$801, 0)+1))="","",INDEX(輔助計算!$D:$D,(MATCH(653, 輔助計算!$F$2:$F$801, 0)+1))*INDEX(ERP資料!$O:$O,(MATCH(653, 輔助計算!$F$2:$F$801, 0)+1))), "")</f>
        <v/>
      </c>
      <c r="J654" s="16" t="n"/>
      <c r="K654" s="15">
        <f>IFERROR(INDEX(輔助計算!$D:$D, (MATCH(653, 輔助計算!$F$2:$F$801, 0)+1)), "")</f>
        <v/>
      </c>
      <c r="L654" s="16">
        <f>IFERROR(IF(AND(IFERROR(VLOOKUP(LEFT(INDEX(ERP資料!$S:$S, (MATCH(653, 輔助計算!$F$2:$F$801, 0)+1)), 4), 100張客戶!$A:$A, 1, FALSE), "")&lt;&gt;"", OR(INDEX(ERP資料!$F:$F, (MATCH(653, 輔助計算!$F$2:$F$801, 0)+1))=270, INDEX(ERP資料!$F:$F, (MATCH(653, 輔助計算!$F$2:$F$801, 0)+1))=300)), "100張", ""), "")</f>
        <v/>
      </c>
      <c r="M654" s="17" t="n"/>
      <c r="N654" s="17">
        <f>IF($F654="","",$F654)</f>
        <v/>
      </c>
      <c r="O654" s="17">
        <f>IF($G654="","",$G654)</f>
        <v/>
      </c>
      <c r="P654" s="17">
        <f>IF($K654="","",$K654)</f>
        <v/>
      </c>
      <c r="Q654" s="16" t="n"/>
      <c r="R654" s="18" t="n"/>
      <c r="S654" s="16" t="n"/>
    </row>
    <row r="655">
      <c r="A655" s="14">
        <f>IFERROR(IF(AND(IFERROR(INDEX(ERP資料!$A:$A, (MATCH(654, 輔助計算!$F$2:$F$801, 0)+1)), "")&lt;&gt;"", IFERROR(INDEX(ERP資料!$A:$A, (MATCH(654, 輔助計算!$F$2:$F$801, 0)+1)), "")&lt;&gt;IFERROR(INDEX(ERP資料!$A:$A, MATCH(653, 輔助計算!$F$2:$F$801, 0)+1), "")), INDEX(ERP資料!$B:$B, (MATCH(654, 輔助計算!$F$2:$F$801, 0)+1)), ""), "")</f>
        <v/>
      </c>
      <c r="B655" s="10">
        <f>IFERROR(IF(AND(IFERROR(INDEX(ERP資料!$A:$A, (MATCH(654, 輔助計算!$F$2:$F$801, 0)+1)), "")&lt;&gt;"", IFERROR(INDEX(ERP資料!$A:$A, (MATCH(654, 輔助計算!$F$2:$F$801, 0)+1)), "")&lt;&gt;IFERROR(INDEX(ERP資料!$A:$A, MATCH(653, 輔助計算!$F$2:$F$801, 0)+1), "")), IFERROR(INDEX(ERP資料!$A:$A, (MATCH(654, 輔助計算!$F$2:$F$801, 0)+1)), ""), ""), "")</f>
        <v/>
      </c>
      <c r="C655" s="10">
        <f>IFERROR(IF(AND(IFERROR(INDEX(ERP資料!$A:$A, (MATCH(654, 輔助計算!$F$2:$F$801, 0)+1)), "")&lt;&gt;"", IFERROR(INDEX(ERP資料!$A:$A, (MATCH(654, 輔助計算!$F$2:$F$801, 0)+1)), "")&lt;&gt;IFERROR(INDEX(ERP資料!$A:$A, MATCH(653, 輔助計算!$F$2:$F$801, 0)+1), "")), INDEX(ERP資料!$S:$S, (MATCH(654, 輔助計算!$F$2:$F$801, 0)+1)), ""), "")</f>
        <v/>
      </c>
      <c r="D655" s="10">
        <f>IFERROR(IF(INDEX(ERP資料!$E:$E, (MATCH(654, 輔助計算!$F$2:$F$801, 0)+1))="","",TRIM(INDEX(ERP資料!$E:$E, (MATCH(654, 輔助計算!$F$2:$F$801, 0)+1)))), "")</f>
        <v/>
      </c>
      <c r="E655" s="10">
        <f>IFERROR(IF(INDEX(ERP資料!$F:$F, (MATCH(654, 輔助計算!$F$2:$F$801, 0)+1))="","",INDEX(ERP資料!$F:$F, (MATCH(654, 輔助計算!$F$2:$F$801, 0)+1))), "")</f>
        <v/>
      </c>
      <c r="F655" s="10">
        <f>IFERROR(IF(INDEX(ERP資料!$G:$G, (MATCH(654, 輔助計算!$F$2:$F$801, 0)+1))="","",INDEX(ERP資料!$G:$G, (MATCH(654, 輔助計算!$F$2:$F$801, 0)+1))), "")</f>
        <v/>
      </c>
      <c r="G655" s="10">
        <f>IFERROR(IF(INDEX(ERP資料!$H:$H, (MATCH(654, 輔助計算!$F$2:$F$801, 0)+1))="","",INDEX(ERP資料!$H:$H, (MATCH(654, 輔助計算!$F$2:$F$801, 0)+1))), "")</f>
        <v/>
      </c>
      <c r="H655" s="10">
        <f>IFERROR(IF(INDEX(ERP資料!$O:$O, (MATCH(654, 輔助計算!$F$2:$F$801, 0)+1))="","",INDEX(ERP資料!$O:$O, (MATCH(654, 輔助計算!$F$2:$F$801, 0)+1))), "")</f>
        <v/>
      </c>
      <c r="I655" s="15">
        <f>IFERROR(IF(INDEX(輔助計算!$D:$D,(MATCH(654, 輔助計算!$F$2:$F$801, 0)+1))="","",INDEX(輔助計算!$D:$D,(MATCH(654, 輔助計算!$F$2:$F$801, 0)+1))*INDEX(ERP資料!$O:$O,(MATCH(654, 輔助計算!$F$2:$F$801, 0)+1))), "")</f>
        <v/>
      </c>
      <c r="J655" s="16" t="n"/>
      <c r="K655" s="15">
        <f>IFERROR(INDEX(輔助計算!$D:$D, (MATCH(654, 輔助計算!$F$2:$F$801, 0)+1)), "")</f>
        <v/>
      </c>
      <c r="L655" s="16">
        <f>IFERROR(IF(AND(IFERROR(VLOOKUP(LEFT(INDEX(ERP資料!$S:$S, (MATCH(654, 輔助計算!$F$2:$F$801, 0)+1)), 4), 100張客戶!$A:$A, 1, FALSE), "")&lt;&gt;"", OR(INDEX(ERP資料!$F:$F, (MATCH(654, 輔助計算!$F$2:$F$801, 0)+1))=270, INDEX(ERP資料!$F:$F, (MATCH(654, 輔助計算!$F$2:$F$801, 0)+1))=300)), "100張", ""), "")</f>
        <v/>
      </c>
      <c r="M655" s="17" t="n"/>
      <c r="N655" s="17">
        <f>IF($F655="","",$F655)</f>
        <v/>
      </c>
      <c r="O655" s="17">
        <f>IF($G655="","",$G655)</f>
        <v/>
      </c>
      <c r="P655" s="17">
        <f>IF($K655="","",$K655)</f>
        <v/>
      </c>
      <c r="Q655" s="16" t="n"/>
      <c r="R655" s="18" t="n"/>
      <c r="S655" s="16" t="n"/>
    </row>
    <row r="656">
      <c r="A656" s="14">
        <f>IFERROR(IF(AND(IFERROR(INDEX(ERP資料!$A:$A, (MATCH(655, 輔助計算!$F$2:$F$801, 0)+1)), "")&lt;&gt;"", IFERROR(INDEX(ERP資料!$A:$A, (MATCH(655, 輔助計算!$F$2:$F$801, 0)+1)), "")&lt;&gt;IFERROR(INDEX(ERP資料!$A:$A, MATCH(654, 輔助計算!$F$2:$F$801, 0)+1), "")), INDEX(ERP資料!$B:$B, (MATCH(655, 輔助計算!$F$2:$F$801, 0)+1)), ""), "")</f>
        <v/>
      </c>
      <c r="B656" s="10">
        <f>IFERROR(IF(AND(IFERROR(INDEX(ERP資料!$A:$A, (MATCH(655, 輔助計算!$F$2:$F$801, 0)+1)), "")&lt;&gt;"", IFERROR(INDEX(ERP資料!$A:$A, (MATCH(655, 輔助計算!$F$2:$F$801, 0)+1)), "")&lt;&gt;IFERROR(INDEX(ERP資料!$A:$A, MATCH(654, 輔助計算!$F$2:$F$801, 0)+1), "")), IFERROR(INDEX(ERP資料!$A:$A, (MATCH(655, 輔助計算!$F$2:$F$801, 0)+1)), ""), ""), "")</f>
        <v/>
      </c>
      <c r="C656" s="10">
        <f>IFERROR(IF(AND(IFERROR(INDEX(ERP資料!$A:$A, (MATCH(655, 輔助計算!$F$2:$F$801, 0)+1)), "")&lt;&gt;"", IFERROR(INDEX(ERP資料!$A:$A, (MATCH(655, 輔助計算!$F$2:$F$801, 0)+1)), "")&lt;&gt;IFERROR(INDEX(ERP資料!$A:$A, MATCH(654, 輔助計算!$F$2:$F$801, 0)+1), "")), INDEX(ERP資料!$S:$S, (MATCH(655, 輔助計算!$F$2:$F$801, 0)+1)), ""), "")</f>
        <v/>
      </c>
      <c r="D656" s="10">
        <f>IFERROR(IF(INDEX(ERP資料!$E:$E, (MATCH(655, 輔助計算!$F$2:$F$801, 0)+1))="","",TRIM(INDEX(ERP資料!$E:$E, (MATCH(655, 輔助計算!$F$2:$F$801, 0)+1)))), "")</f>
        <v/>
      </c>
      <c r="E656" s="10">
        <f>IFERROR(IF(INDEX(ERP資料!$F:$F, (MATCH(655, 輔助計算!$F$2:$F$801, 0)+1))="","",INDEX(ERP資料!$F:$F, (MATCH(655, 輔助計算!$F$2:$F$801, 0)+1))), "")</f>
        <v/>
      </c>
      <c r="F656" s="10">
        <f>IFERROR(IF(INDEX(ERP資料!$G:$G, (MATCH(655, 輔助計算!$F$2:$F$801, 0)+1))="","",INDEX(ERP資料!$G:$G, (MATCH(655, 輔助計算!$F$2:$F$801, 0)+1))), "")</f>
        <v/>
      </c>
      <c r="G656" s="10">
        <f>IFERROR(IF(INDEX(ERP資料!$H:$H, (MATCH(655, 輔助計算!$F$2:$F$801, 0)+1))="","",INDEX(ERP資料!$H:$H, (MATCH(655, 輔助計算!$F$2:$F$801, 0)+1))), "")</f>
        <v/>
      </c>
      <c r="H656" s="10">
        <f>IFERROR(IF(INDEX(ERP資料!$O:$O, (MATCH(655, 輔助計算!$F$2:$F$801, 0)+1))="","",INDEX(ERP資料!$O:$O, (MATCH(655, 輔助計算!$F$2:$F$801, 0)+1))), "")</f>
        <v/>
      </c>
      <c r="I656" s="15">
        <f>IFERROR(IF(INDEX(輔助計算!$D:$D,(MATCH(655, 輔助計算!$F$2:$F$801, 0)+1))="","",INDEX(輔助計算!$D:$D,(MATCH(655, 輔助計算!$F$2:$F$801, 0)+1))*INDEX(ERP資料!$O:$O,(MATCH(655, 輔助計算!$F$2:$F$801, 0)+1))), "")</f>
        <v/>
      </c>
      <c r="J656" s="16" t="n"/>
      <c r="K656" s="15">
        <f>IFERROR(INDEX(輔助計算!$D:$D, (MATCH(655, 輔助計算!$F$2:$F$801, 0)+1)), "")</f>
        <v/>
      </c>
      <c r="L656" s="16">
        <f>IFERROR(IF(AND(IFERROR(VLOOKUP(LEFT(INDEX(ERP資料!$S:$S, (MATCH(655, 輔助計算!$F$2:$F$801, 0)+1)), 4), 100張客戶!$A:$A, 1, FALSE), "")&lt;&gt;"", OR(INDEX(ERP資料!$F:$F, (MATCH(655, 輔助計算!$F$2:$F$801, 0)+1))=270, INDEX(ERP資料!$F:$F, (MATCH(655, 輔助計算!$F$2:$F$801, 0)+1))=300)), "100張", ""), "")</f>
        <v/>
      </c>
      <c r="M656" s="17" t="n"/>
      <c r="N656" s="17">
        <f>IF($F656="","",$F656)</f>
        <v/>
      </c>
      <c r="O656" s="17">
        <f>IF($G656="","",$G656)</f>
        <v/>
      </c>
      <c r="P656" s="17">
        <f>IF($K656="","",$K656)</f>
        <v/>
      </c>
      <c r="Q656" s="16" t="n"/>
      <c r="R656" s="18" t="n"/>
      <c r="S656" s="16" t="n"/>
    </row>
    <row r="657">
      <c r="A657" s="14">
        <f>IFERROR(IF(AND(IFERROR(INDEX(ERP資料!$A:$A, (MATCH(656, 輔助計算!$F$2:$F$801, 0)+1)), "")&lt;&gt;"", IFERROR(INDEX(ERP資料!$A:$A, (MATCH(656, 輔助計算!$F$2:$F$801, 0)+1)), "")&lt;&gt;IFERROR(INDEX(ERP資料!$A:$A, MATCH(655, 輔助計算!$F$2:$F$801, 0)+1), "")), INDEX(ERP資料!$B:$B, (MATCH(656, 輔助計算!$F$2:$F$801, 0)+1)), ""), "")</f>
        <v/>
      </c>
      <c r="B657" s="10">
        <f>IFERROR(IF(AND(IFERROR(INDEX(ERP資料!$A:$A, (MATCH(656, 輔助計算!$F$2:$F$801, 0)+1)), "")&lt;&gt;"", IFERROR(INDEX(ERP資料!$A:$A, (MATCH(656, 輔助計算!$F$2:$F$801, 0)+1)), "")&lt;&gt;IFERROR(INDEX(ERP資料!$A:$A, MATCH(655, 輔助計算!$F$2:$F$801, 0)+1), "")), IFERROR(INDEX(ERP資料!$A:$A, (MATCH(656, 輔助計算!$F$2:$F$801, 0)+1)), ""), ""), "")</f>
        <v/>
      </c>
      <c r="C657" s="10">
        <f>IFERROR(IF(AND(IFERROR(INDEX(ERP資料!$A:$A, (MATCH(656, 輔助計算!$F$2:$F$801, 0)+1)), "")&lt;&gt;"", IFERROR(INDEX(ERP資料!$A:$A, (MATCH(656, 輔助計算!$F$2:$F$801, 0)+1)), "")&lt;&gt;IFERROR(INDEX(ERP資料!$A:$A, MATCH(655, 輔助計算!$F$2:$F$801, 0)+1), "")), INDEX(ERP資料!$S:$S, (MATCH(656, 輔助計算!$F$2:$F$801, 0)+1)), ""), "")</f>
        <v/>
      </c>
      <c r="D657" s="10">
        <f>IFERROR(IF(INDEX(ERP資料!$E:$E, (MATCH(656, 輔助計算!$F$2:$F$801, 0)+1))="","",TRIM(INDEX(ERP資料!$E:$E, (MATCH(656, 輔助計算!$F$2:$F$801, 0)+1)))), "")</f>
        <v/>
      </c>
      <c r="E657" s="10">
        <f>IFERROR(IF(INDEX(ERP資料!$F:$F, (MATCH(656, 輔助計算!$F$2:$F$801, 0)+1))="","",INDEX(ERP資料!$F:$F, (MATCH(656, 輔助計算!$F$2:$F$801, 0)+1))), "")</f>
        <v/>
      </c>
      <c r="F657" s="10">
        <f>IFERROR(IF(INDEX(ERP資料!$G:$G, (MATCH(656, 輔助計算!$F$2:$F$801, 0)+1))="","",INDEX(ERP資料!$G:$G, (MATCH(656, 輔助計算!$F$2:$F$801, 0)+1))), "")</f>
        <v/>
      </c>
      <c r="G657" s="10">
        <f>IFERROR(IF(INDEX(ERP資料!$H:$H, (MATCH(656, 輔助計算!$F$2:$F$801, 0)+1))="","",INDEX(ERP資料!$H:$H, (MATCH(656, 輔助計算!$F$2:$F$801, 0)+1))), "")</f>
        <v/>
      </c>
      <c r="H657" s="10">
        <f>IFERROR(IF(INDEX(ERP資料!$O:$O, (MATCH(656, 輔助計算!$F$2:$F$801, 0)+1))="","",INDEX(ERP資料!$O:$O, (MATCH(656, 輔助計算!$F$2:$F$801, 0)+1))), "")</f>
        <v/>
      </c>
      <c r="I657" s="15">
        <f>IFERROR(IF(INDEX(輔助計算!$D:$D,(MATCH(656, 輔助計算!$F$2:$F$801, 0)+1))="","",INDEX(輔助計算!$D:$D,(MATCH(656, 輔助計算!$F$2:$F$801, 0)+1))*INDEX(ERP資料!$O:$O,(MATCH(656, 輔助計算!$F$2:$F$801, 0)+1))), "")</f>
        <v/>
      </c>
      <c r="J657" s="16" t="n"/>
      <c r="K657" s="15">
        <f>IFERROR(INDEX(輔助計算!$D:$D, (MATCH(656, 輔助計算!$F$2:$F$801, 0)+1)), "")</f>
        <v/>
      </c>
      <c r="L657" s="16">
        <f>IFERROR(IF(AND(IFERROR(VLOOKUP(LEFT(INDEX(ERP資料!$S:$S, (MATCH(656, 輔助計算!$F$2:$F$801, 0)+1)), 4), 100張客戶!$A:$A, 1, FALSE), "")&lt;&gt;"", OR(INDEX(ERP資料!$F:$F, (MATCH(656, 輔助計算!$F$2:$F$801, 0)+1))=270, INDEX(ERP資料!$F:$F, (MATCH(656, 輔助計算!$F$2:$F$801, 0)+1))=300)), "100張", ""), "")</f>
        <v/>
      </c>
      <c r="M657" s="17" t="n"/>
      <c r="N657" s="17">
        <f>IF($F657="","",$F657)</f>
        <v/>
      </c>
      <c r="O657" s="17">
        <f>IF($G657="","",$G657)</f>
        <v/>
      </c>
      <c r="P657" s="17">
        <f>IF($K657="","",$K657)</f>
        <v/>
      </c>
      <c r="Q657" s="16" t="n"/>
      <c r="R657" s="18" t="n"/>
      <c r="S657" s="16" t="n"/>
    </row>
    <row r="658">
      <c r="A658" s="14">
        <f>IFERROR(IF(AND(IFERROR(INDEX(ERP資料!$A:$A, (MATCH(657, 輔助計算!$F$2:$F$801, 0)+1)), "")&lt;&gt;"", IFERROR(INDEX(ERP資料!$A:$A, (MATCH(657, 輔助計算!$F$2:$F$801, 0)+1)), "")&lt;&gt;IFERROR(INDEX(ERP資料!$A:$A, MATCH(656, 輔助計算!$F$2:$F$801, 0)+1), "")), INDEX(ERP資料!$B:$B, (MATCH(657, 輔助計算!$F$2:$F$801, 0)+1)), ""), "")</f>
        <v/>
      </c>
      <c r="B658" s="10">
        <f>IFERROR(IF(AND(IFERROR(INDEX(ERP資料!$A:$A, (MATCH(657, 輔助計算!$F$2:$F$801, 0)+1)), "")&lt;&gt;"", IFERROR(INDEX(ERP資料!$A:$A, (MATCH(657, 輔助計算!$F$2:$F$801, 0)+1)), "")&lt;&gt;IFERROR(INDEX(ERP資料!$A:$A, MATCH(656, 輔助計算!$F$2:$F$801, 0)+1), "")), IFERROR(INDEX(ERP資料!$A:$A, (MATCH(657, 輔助計算!$F$2:$F$801, 0)+1)), ""), ""), "")</f>
        <v/>
      </c>
      <c r="C658" s="10">
        <f>IFERROR(IF(AND(IFERROR(INDEX(ERP資料!$A:$A, (MATCH(657, 輔助計算!$F$2:$F$801, 0)+1)), "")&lt;&gt;"", IFERROR(INDEX(ERP資料!$A:$A, (MATCH(657, 輔助計算!$F$2:$F$801, 0)+1)), "")&lt;&gt;IFERROR(INDEX(ERP資料!$A:$A, MATCH(656, 輔助計算!$F$2:$F$801, 0)+1), "")), INDEX(ERP資料!$S:$S, (MATCH(657, 輔助計算!$F$2:$F$801, 0)+1)), ""), "")</f>
        <v/>
      </c>
      <c r="D658" s="10">
        <f>IFERROR(IF(INDEX(ERP資料!$E:$E, (MATCH(657, 輔助計算!$F$2:$F$801, 0)+1))="","",TRIM(INDEX(ERP資料!$E:$E, (MATCH(657, 輔助計算!$F$2:$F$801, 0)+1)))), "")</f>
        <v/>
      </c>
      <c r="E658" s="10">
        <f>IFERROR(IF(INDEX(ERP資料!$F:$F, (MATCH(657, 輔助計算!$F$2:$F$801, 0)+1))="","",INDEX(ERP資料!$F:$F, (MATCH(657, 輔助計算!$F$2:$F$801, 0)+1))), "")</f>
        <v/>
      </c>
      <c r="F658" s="10">
        <f>IFERROR(IF(INDEX(ERP資料!$G:$G, (MATCH(657, 輔助計算!$F$2:$F$801, 0)+1))="","",INDEX(ERP資料!$G:$G, (MATCH(657, 輔助計算!$F$2:$F$801, 0)+1))), "")</f>
        <v/>
      </c>
      <c r="G658" s="10">
        <f>IFERROR(IF(INDEX(ERP資料!$H:$H, (MATCH(657, 輔助計算!$F$2:$F$801, 0)+1))="","",INDEX(ERP資料!$H:$H, (MATCH(657, 輔助計算!$F$2:$F$801, 0)+1))), "")</f>
        <v/>
      </c>
      <c r="H658" s="10">
        <f>IFERROR(IF(INDEX(ERP資料!$O:$O, (MATCH(657, 輔助計算!$F$2:$F$801, 0)+1))="","",INDEX(ERP資料!$O:$O, (MATCH(657, 輔助計算!$F$2:$F$801, 0)+1))), "")</f>
        <v/>
      </c>
      <c r="I658" s="15">
        <f>IFERROR(IF(INDEX(輔助計算!$D:$D,(MATCH(657, 輔助計算!$F$2:$F$801, 0)+1))="","",INDEX(輔助計算!$D:$D,(MATCH(657, 輔助計算!$F$2:$F$801, 0)+1))*INDEX(ERP資料!$O:$O,(MATCH(657, 輔助計算!$F$2:$F$801, 0)+1))), "")</f>
        <v/>
      </c>
      <c r="J658" s="16" t="n"/>
      <c r="K658" s="15">
        <f>IFERROR(INDEX(輔助計算!$D:$D, (MATCH(657, 輔助計算!$F$2:$F$801, 0)+1)), "")</f>
        <v/>
      </c>
      <c r="L658" s="16">
        <f>IFERROR(IF(AND(IFERROR(VLOOKUP(LEFT(INDEX(ERP資料!$S:$S, (MATCH(657, 輔助計算!$F$2:$F$801, 0)+1)), 4), 100張客戶!$A:$A, 1, FALSE), "")&lt;&gt;"", OR(INDEX(ERP資料!$F:$F, (MATCH(657, 輔助計算!$F$2:$F$801, 0)+1))=270, INDEX(ERP資料!$F:$F, (MATCH(657, 輔助計算!$F$2:$F$801, 0)+1))=300)), "100張", ""), "")</f>
        <v/>
      </c>
      <c r="M658" s="17" t="n"/>
      <c r="N658" s="17">
        <f>IF($F658="","",$F658)</f>
        <v/>
      </c>
      <c r="O658" s="17">
        <f>IF($G658="","",$G658)</f>
        <v/>
      </c>
      <c r="P658" s="17">
        <f>IF($K658="","",$K658)</f>
        <v/>
      </c>
      <c r="Q658" s="16" t="n"/>
      <c r="R658" s="18" t="n"/>
      <c r="S658" s="16" t="n"/>
    </row>
    <row r="659">
      <c r="A659" s="14">
        <f>IFERROR(IF(AND(IFERROR(INDEX(ERP資料!$A:$A, (MATCH(658, 輔助計算!$F$2:$F$801, 0)+1)), "")&lt;&gt;"", IFERROR(INDEX(ERP資料!$A:$A, (MATCH(658, 輔助計算!$F$2:$F$801, 0)+1)), "")&lt;&gt;IFERROR(INDEX(ERP資料!$A:$A, MATCH(657, 輔助計算!$F$2:$F$801, 0)+1), "")), INDEX(ERP資料!$B:$B, (MATCH(658, 輔助計算!$F$2:$F$801, 0)+1)), ""), "")</f>
        <v/>
      </c>
      <c r="B659" s="10">
        <f>IFERROR(IF(AND(IFERROR(INDEX(ERP資料!$A:$A, (MATCH(658, 輔助計算!$F$2:$F$801, 0)+1)), "")&lt;&gt;"", IFERROR(INDEX(ERP資料!$A:$A, (MATCH(658, 輔助計算!$F$2:$F$801, 0)+1)), "")&lt;&gt;IFERROR(INDEX(ERP資料!$A:$A, MATCH(657, 輔助計算!$F$2:$F$801, 0)+1), "")), IFERROR(INDEX(ERP資料!$A:$A, (MATCH(658, 輔助計算!$F$2:$F$801, 0)+1)), ""), ""), "")</f>
        <v/>
      </c>
      <c r="C659" s="10">
        <f>IFERROR(IF(AND(IFERROR(INDEX(ERP資料!$A:$A, (MATCH(658, 輔助計算!$F$2:$F$801, 0)+1)), "")&lt;&gt;"", IFERROR(INDEX(ERP資料!$A:$A, (MATCH(658, 輔助計算!$F$2:$F$801, 0)+1)), "")&lt;&gt;IFERROR(INDEX(ERP資料!$A:$A, MATCH(657, 輔助計算!$F$2:$F$801, 0)+1), "")), INDEX(ERP資料!$S:$S, (MATCH(658, 輔助計算!$F$2:$F$801, 0)+1)), ""), "")</f>
        <v/>
      </c>
      <c r="D659" s="10">
        <f>IFERROR(IF(INDEX(ERP資料!$E:$E, (MATCH(658, 輔助計算!$F$2:$F$801, 0)+1))="","",TRIM(INDEX(ERP資料!$E:$E, (MATCH(658, 輔助計算!$F$2:$F$801, 0)+1)))), "")</f>
        <v/>
      </c>
      <c r="E659" s="10">
        <f>IFERROR(IF(INDEX(ERP資料!$F:$F, (MATCH(658, 輔助計算!$F$2:$F$801, 0)+1))="","",INDEX(ERP資料!$F:$F, (MATCH(658, 輔助計算!$F$2:$F$801, 0)+1))), "")</f>
        <v/>
      </c>
      <c r="F659" s="10">
        <f>IFERROR(IF(INDEX(ERP資料!$G:$G, (MATCH(658, 輔助計算!$F$2:$F$801, 0)+1))="","",INDEX(ERP資料!$G:$G, (MATCH(658, 輔助計算!$F$2:$F$801, 0)+1))), "")</f>
        <v/>
      </c>
      <c r="G659" s="10">
        <f>IFERROR(IF(INDEX(ERP資料!$H:$H, (MATCH(658, 輔助計算!$F$2:$F$801, 0)+1))="","",INDEX(ERP資料!$H:$H, (MATCH(658, 輔助計算!$F$2:$F$801, 0)+1))), "")</f>
        <v/>
      </c>
      <c r="H659" s="10">
        <f>IFERROR(IF(INDEX(ERP資料!$O:$O, (MATCH(658, 輔助計算!$F$2:$F$801, 0)+1))="","",INDEX(ERP資料!$O:$O, (MATCH(658, 輔助計算!$F$2:$F$801, 0)+1))), "")</f>
        <v/>
      </c>
      <c r="I659" s="15">
        <f>IFERROR(IF(INDEX(輔助計算!$D:$D,(MATCH(658, 輔助計算!$F$2:$F$801, 0)+1))="","",INDEX(輔助計算!$D:$D,(MATCH(658, 輔助計算!$F$2:$F$801, 0)+1))*INDEX(ERP資料!$O:$O,(MATCH(658, 輔助計算!$F$2:$F$801, 0)+1))), "")</f>
        <v/>
      </c>
      <c r="J659" s="16" t="n"/>
      <c r="K659" s="15">
        <f>IFERROR(INDEX(輔助計算!$D:$D, (MATCH(658, 輔助計算!$F$2:$F$801, 0)+1)), "")</f>
        <v/>
      </c>
      <c r="L659" s="16">
        <f>IFERROR(IF(AND(IFERROR(VLOOKUP(LEFT(INDEX(ERP資料!$S:$S, (MATCH(658, 輔助計算!$F$2:$F$801, 0)+1)), 4), 100張客戶!$A:$A, 1, FALSE), "")&lt;&gt;"", OR(INDEX(ERP資料!$F:$F, (MATCH(658, 輔助計算!$F$2:$F$801, 0)+1))=270, INDEX(ERP資料!$F:$F, (MATCH(658, 輔助計算!$F$2:$F$801, 0)+1))=300)), "100張", ""), "")</f>
        <v/>
      </c>
      <c r="M659" s="17" t="n"/>
      <c r="N659" s="17">
        <f>IF($F659="","",$F659)</f>
        <v/>
      </c>
      <c r="O659" s="17">
        <f>IF($G659="","",$G659)</f>
        <v/>
      </c>
      <c r="P659" s="17">
        <f>IF($K659="","",$K659)</f>
        <v/>
      </c>
      <c r="Q659" s="16" t="n"/>
      <c r="R659" s="18" t="n"/>
      <c r="S659" s="16" t="n"/>
    </row>
    <row r="660">
      <c r="A660" s="14">
        <f>IFERROR(IF(AND(IFERROR(INDEX(ERP資料!$A:$A, (MATCH(659, 輔助計算!$F$2:$F$801, 0)+1)), "")&lt;&gt;"", IFERROR(INDEX(ERP資料!$A:$A, (MATCH(659, 輔助計算!$F$2:$F$801, 0)+1)), "")&lt;&gt;IFERROR(INDEX(ERP資料!$A:$A, MATCH(658, 輔助計算!$F$2:$F$801, 0)+1), "")), INDEX(ERP資料!$B:$B, (MATCH(659, 輔助計算!$F$2:$F$801, 0)+1)), ""), "")</f>
        <v/>
      </c>
      <c r="B660" s="10">
        <f>IFERROR(IF(AND(IFERROR(INDEX(ERP資料!$A:$A, (MATCH(659, 輔助計算!$F$2:$F$801, 0)+1)), "")&lt;&gt;"", IFERROR(INDEX(ERP資料!$A:$A, (MATCH(659, 輔助計算!$F$2:$F$801, 0)+1)), "")&lt;&gt;IFERROR(INDEX(ERP資料!$A:$A, MATCH(658, 輔助計算!$F$2:$F$801, 0)+1), "")), IFERROR(INDEX(ERP資料!$A:$A, (MATCH(659, 輔助計算!$F$2:$F$801, 0)+1)), ""), ""), "")</f>
        <v/>
      </c>
      <c r="C660" s="10">
        <f>IFERROR(IF(AND(IFERROR(INDEX(ERP資料!$A:$A, (MATCH(659, 輔助計算!$F$2:$F$801, 0)+1)), "")&lt;&gt;"", IFERROR(INDEX(ERP資料!$A:$A, (MATCH(659, 輔助計算!$F$2:$F$801, 0)+1)), "")&lt;&gt;IFERROR(INDEX(ERP資料!$A:$A, MATCH(658, 輔助計算!$F$2:$F$801, 0)+1), "")), INDEX(ERP資料!$S:$S, (MATCH(659, 輔助計算!$F$2:$F$801, 0)+1)), ""), "")</f>
        <v/>
      </c>
      <c r="D660" s="10">
        <f>IFERROR(IF(INDEX(ERP資料!$E:$E, (MATCH(659, 輔助計算!$F$2:$F$801, 0)+1))="","",TRIM(INDEX(ERP資料!$E:$E, (MATCH(659, 輔助計算!$F$2:$F$801, 0)+1)))), "")</f>
        <v/>
      </c>
      <c r="E660" s="10">
        <f>IFERROR(IF(INDEX(ERP資料!$F:$F, (MATCH(659, 輔助計算!$F$2:$F$801, 0)+1))="","",INDEX(ERP資料!$F:$F, (MATCH(659, 輔助計算!$F$2:$F$801, 0)+1))), "")</f>
        <v/>
      </c>
      <c r="F660" s="10">
        <f>IFERROR(IF(INDEX(ERP資料!$G:$G, (MATCH(659, 輔助計算!$F$2:$F$801, 0)+1))="","",INDEX(ERP資料!$G:$G, (MATCH(659, 輔助計算!$F$2:$F$801, 0)+1))), "")</f>
        <v/>
      </c>
      <c r="G660" s="10">
        <f>IFERROR(IF(INDEX(ERP資料!$H:$H, (MATCH(659, 輔助計算!$F$2:$F$801, 0)+1))="","",INDEX(ERP資料!$H:$H, (MATCH(659, 輔助計算!$F$2:$F$801, 0)+1))), "")</f>
        <v/>
      </c>
      <c r="H660" s="10">
        <f>IFERROR(IF(INDEX(ERP資料!$O:$O, (MATCH(659, 輔助計算!$F$2:$F$801, 0)+1))="","",INDEX(ERP資料!$O:$O, (MATCH(659, 輔助計算!$F$2:$F$801, 0)+1))), "")</f>
        <v/>
      </c>
      <c r="I660" s="15">
        <f>IFERROR(IF(INDEX(輔助計算!$D:$D,(MATCH(659, 輔助計算!$F$2:$F$801, 0)+1))="","",INDEX(輔助計算!$D:$D,(MATCH(659, 輔助計算!$F$2:$F$801, 0)+1))*INDEX(ERP資料!$O:$O,(MATCH(659, 輔助計算!$F$2:$F$801, 0)+1))), "")</f>
        <v/>
      </c>
      <c r="J660" s="16" t="n"/>
      <c r="K660" s="15">
        <f>IFERROR(INDEX(輔助計算!$D:$D, (MATCH(659, 輔助計算!$F$2:$F$801, 0)+1)), "")</f>
        <v/>
      </c>
      <c r="L660" s="16">
        <f>IFERROR(IF(AND(IFERROR(VLOOKUP(LEFT(INDEX(ERP資料!$S:$S, (MATCH(659, 輔助計算!$F$2:$F$801, 0)+1)), 4), 100張客戶!$A:$A, 1, FALSE), "")&lt;&gt;"", OR(INDEX(ERP資料!$F:$F, (MATCH(659, 輔助計算!$F$2:$F$801, 0)+1))=270, INDEX(ERP資料!$F:$F, (MATCH(659, 輔助計算!$F$2:$F$801, 0)+1))=300)), "100張", ""), "")</f>
        <v/>
      </c>
      <c r="M660" s="17" t="n"/>
      <c r="N660" s="17">
        <f>IF($F660="","",$F660)</f>
        <v/>
      </c>
      <c r="O660" s="17">
        <f>IF($G660="","",$G660)</f>
        <v/>
      </c>
      <c r="P660" s="17">
        <f>IF($K660="","",$K660)</f>
        <v/>
      </c>
      <c r="Q660" s="16" t="n"/>
      <c r="R660" s="18" t="n"/>
      <c r="S660" s="16" t="n"/>
    </row>
    <row r="661">
      <c r="A661" s="14">
        <f>IFERROR(IF(AND(IFERROR(INDEX(ERP資料!$A:$A, (MATCH(660, 輔助計算!$F$2:$F$801, 0)+1)), "")&lt;&gt;"", IFERROR(INDEX(ERP資料!$A:$A, (MATCH(660, 輔助計算!$F$2:$F$801, 0)+1)), "")&lt;&gt;IFERROR(INDEX(ERP資料!$A:$A, MATCH(659, 輔助計算!$F$2:$F$801, 0)+1), "")), INDEX(ERP資料!$B:$B, (MATCH(660, 輔助計算!$F$2:$F$801, 0)+1)), ""), "")</f>
        <v/>
      </c>
      <c r="B661" s="10">
        <f>IFERROR(IF(AND(IFERROR(INDEX(ERP資料!$A:$A, (MATCH(660, 輔助計算!$F$2:$F$801, 0)+1)), "")&lt;&gt;"", IFERROR(INDEX(ERP資料!$A:$A, (MATCH(660, 輔助計算!$F$2:$F$801, 0)+1)), "")&lt;&gt;IFERROR(INDEX(ERP資料!$A:$A, MATCH(659, 輔助計算!$F$2:$F$801, 0)+1), "")), IFERROR(INDEX(ERP資料!$A:$A, (MATCH(660, 輔助計算!$F$2:$F$801, 0)+1)), ""), ""), "")</f>
        <v/>
      </c>
      <c r="C661" s="10">
        <f>IFERROR(IF(AND(IFERROR(INDEX(ERP資料!$A:$A, (MATCH(660, 輔助計算!$F$2:$F$801, 0)+1)), "")&lt;&gt;"", IFERROR(INDEX(ERP資料!$A:$A, (MATCH(660, 輔助計算!$F$2:$F$801, 0)+1)), "")&lt;&gt;IFERROR(INDEX(ERP資料!$A:$A, MATCH(659, 輔助計算!$F$2:$F$801, 0)+1), "")), INDEX(ERP資料!$S:$S, (MATCH(660, 輔助計算!$F$2:$F$801, 0)+1)), ""), "")</f>
        <v/>
      </c>
      <c r="D661" s="10">
        <f>IFERROR(IF(INDEX(ERP資料!$E:$E, (MATCH(660, 輔助計算!$F$2:$F$801, 0)+1))="","",TRIM(INDEX(ERP資料!$E:$E, (MATCH(660, 輔助計算!$F$2:$F$801, 0)+1)))), "")</f>
        <v/>
      </c>
      <c r="E661" s="10">
        <f>IFERROR(IF(INDEX(ERP資料!$F:$F, (MATCH(660, 輔助計算!$F$2:$F$801, 0)+1))="","",INDEX(ERP資料!$F:$F, (MATCH(660, 輔助計算!$F$2:$F$801, 0)+1))), "")</f>
        <v/>
      </c>
      <c r="F661" s="10">
        <f>IFERROR(IF(INDEX(ERP資料!$G:$G, (MATCH(660, 輔助計算!$F$2:$F$801, 0)+1))="","",INDEX(ERP資料!$G:$G, (MATCH(660, 輔助計算!$F$2:$F$801, 0)+1))), "")</f>
        <v/>
      </c>
      <c r="G661" s="10">
        <f>IFERROR(IF(INDEX(ERP資料!$H:$H, (MATCH(660, 輔助計算!$F$2:$F$801, 0)+1))="","",INDEX(ERP資料!$H:$H, (MATCH(660, 輔助計算!$F$2:$F$801, 0)+1))), "")</f>
        <v/>
      </c>
      <c r="H661" s="10">
        <f>IFERROR(IF(INDEX(ERP資料!$O:$O, (MATCH(660, 輔助計算!$F$2:$F$801, 0)+1))="","",INDEX(ERP資料!$O:$O, (MATCH(660, 輔助計算!$F$2:$F$801, 0)+1))), "")</f>
        <v/>
      </c>
      <c r="I661" s="15">
        <f>IFERROR(IF(INDEX(輔助計算!$D:$D,(MATCH(660, 輔助計算!$F$2:$F$801, 0)+1))="","",INDEX(輔助計算!$D:$D,(MATCH(660, 輔助計算!$F$2:$F$801, 0)+1))*INDEX(ERP資料!$O:$O,(MATCH(660, 輔助計算!$F$2:$F$801, 0)+1))), "")</f>
        <v/>
      </c>
      <c r="J661" s="16" t="n"/>
      <c r="K661" s="15">
        <f>IFERROR(INDEX(輔助計算!$D:$D, (MATCH(660, 輔助計算!$F$2:$F$801, 0)+1)), "")</f>
        <v/>
      </c>
      <c r="L661" s="16">
        <f>IFERROR(IF(AND(IFERROR(VLOOKUP(LEFT(INDEX(ERP資料!$S:$S, (MATCH(660, 輔助計算!$F$2:$F$801, 0)+1)), 4), 100張客戶!$A:$A, 1, FALSE), "")&lt;&gt;"", OR(INDEX(ERP資料!$F:$F, (MATCH(660, 輔助計算!$F$2:$F$801, 0)+1))=270, INDEX(ERP資料!$F:$F, (MATCH(660, 輔助計算!$F$2:$F$801, 0)+1))=300)), "100張", ""), "")</f>
        <v/>
      </c>
      <c r="M661" s="17" t="n"/>
      <c r="N661" s="17">
        <f>IF($F661="","",$F661)</f>
        <v/>
      </c>
      <c r="O661" s="17">
        <f>IF($G661="","",$G661)</f>
        <v/>
      </c>
      <c r="P661" s="17">
        <f>IF($K661="","",$K661)</f>
        <v/>
      </c>
      <c r="Q661" s="16" t="n"/>
      <c r="R661" s="18" t="n"/>
      <c r="S661" s="16" t="n"/>
    </row>
    <row r="662">
      <c r="A662" s="14">
        <f>IFERROR(IF(AND(IFERROR(INDEX(ERP資料!$A:$A, (MATCH(661, 輔助計算!$F$2:$F$801, 0)+1)), "")&lt;&gt;"", IFERROR(INDEX(ERP資料!$A:$A, (MATCH(661, 輔助計算!$F$2:$F$801, 0)+1)), "")&lt;&gt;IFERROR(INDEX(ERP資料!$A:$A, MATCH(660, 輔助計算!$F$2:$F$801, 0)+1), "")), INDEX(ERP資料!$B:$B, (MATCH(661, 輔助計算!$F$2:$F$801, 0)+1)), ""), "")</f>
        <v/>
      </c>
      <c r="B662" s="10">
        <f>IFERROR(IF(AND(IFERROR(INDEX(ERP資料!$A:$A, (MATCH(661, 輔助計算!$F$2:$F$801, 0)+1)), "")&lt;&gt;"", IFERROR(INDEX(ERP資料!$A:$A, (MATCH(661, 輔助計算!$F$2:$F$801, 0)+1)), "")&lt;&gt;IFERROR(INDEX(ERP資料!$A:$A, MATCH(660, 輔助計算!$F$2:$F$801, 0)+1), "")), IFERROR(INDEX(ERP資料!$A:$A, (MATCH(661, 輔助計算!$F$2:$F$801, 0)+1)), ""), ""), "")</f>
        <v/>
      </c>
      <c r="C662" s="10">
        <f>IFERROR(IF(AND(IFERROR(INDEX(ERP資料!$A:$A, (MATCH(661, 輔助計算!$F$2:$F$801, 0)+1)), "")&lt;&gt;"", IFERROR(INDEX(ERP資料!$A:$A, (MATCH(661, 輔助計算!$F$2:$F$801, 0)+1)), "")&lt;&gt;IFERROR(INDEX(ERP資料!$A:$A, MATCH(660, 輔助計算!$F$2:$F$801, 0)+1), "")), INDEX(ERP資料!$S:$S, (MATCH(661, 輔助計算!$F$2:$F$801, 0)+1)), ""), "")</f>
        <v/>
      </c>
      <c r="D662" s="10">
        <f>IFERROR(IF(INDEX(ERP資料!$E:$E, (MATCH(661, 輔助計算!$F$2:$F$801, 0)+1))="","",TRIM(INDEX(ERP資料!$E:$E, (MATCH(661, 輔助計算!$F$2:$F$801, 0)+1)))), "")</f>
        <v/>
      </c>
      <c r="E662" s="10">
        <f>IFERROR(IF(INDEX(ERP資料!$F:$F, (MATCH(661, 輔助計算!$F$2:$F$801, 0)+1))="","",INDEX(ERP資料!$F:$F, (MATCH(661, 輔助計算!$F$2:$F$801, 0)+1))), "")</f>
        <v/>
      </c>
      <c r="F662" s="10">
        <f>IFERROR(IF(INDEX(ERP資料!$G:$G, (MATCH(661, 輔助計算!$F$2:$F$801, 0)+1))="","",INDEX(ERP資料!$G:$G, (MATCH(661, 輔助計算!$F$2:$F$801, 0)+1))), "")</f>
        <v/>
      </c>
      <c r="G662" s="10">
        <f>IFERROR(IF(INDEX(ERP資料!$H:$H, (MATCH(661, 輔助計算!$F$2:$F$801, 0)+1))="","",INDEX(ERP資料!$H:$H, (MATCH(661, 輔助計算!$F$2:$F$801, 0)+1))), "")</f>
        <v/>
      </c>
      <c r="H662" s="10">
        <f>IFERROR(IF(INDEX(ERP資料!$O:$O, (MATCH(661, 輔助計算!$F$2:$F$801, 0)+1))="","",INDEX(ERP資料!$O:$O, (MATCH(661, 輔助計算!$F$2:$F$801, 0)+1))), "")</f>
        <v/>
      </c>
      <c r="I662" s="15">
        <f>IFERROR(IF(INDEX(輔助計算!$D:$D,(MATCH(661, 輔助計算!$F$2:$F$801, 0)+1))="","",INDEX(輔助計算!$D:$D,(MATCH(661, 輔助計算!$F$2:$F$801, 0)+1))*INDEX(ERP資料!$O:$O,(MATCH(661, 輔助計算!$F$2:$F$801, 0)+1))), "")</f>
        <v/>
      </c>
      <c r="J662" s="16" t="n"/>
      <c r="K662" s="15">
        <f>IFERROR(INDEX(輔助計算!$D:$D, (MATCH(661, 輔助計算!$F$2:$F$801, 0)+1)), "")</f>
        <v/>
      </c>
      <c r="L662" s="16">
        <f>IFERROR(IF(AND(IFERROR(VLOOKUP(LEFT(INDEX(ERP資料!$S:$S, (MATCH(661, 輔助計算!$F$2:$F$801, 0)+1)), 4), 100張客戶!$A:$A, 1, FALSE), "")&lt;&gt;"", OR(INDEX(ERP資料!$F:$F, (MATCH(661, 輔助計算!$F$2:$F$801, 0)+1))=270, INDEX(ERP資料!$F:$F, (MATCH(661, 輔助計算!$F$2:$F$801, 0)+1))=300)), "100張", ""), "")</f>
        <v/>
      </c>
      <c r="M662" s="17" t="n"/>
      <c r="N662" s="17">
        <f>IF($F662="","",$F662)</f>
        <v/>
      </c>
      <c r="O662" s="17">
        <f>IF($G662="","",$G662)</f>
        <v/>
      </c>
      <c r="P662" s="17">
        <f>IF($K662="","",$K662)</f>
        <v/>
      </c>
      <c r="Q662" s="16" t="n"/>
      <c r="R662" s="18" t="n"/>
      <c r="S662" s="16" t="n"/>
    </row>
    <row r="663">
      <c r="A663" s="14">
        <f>IFERROR(IF(AND(IFERROR(INDEX(ERP資料!$A:$A, (MATCH(662, 輔助計算!$F$2:$F$801, 0)+1)), "")&lt;&gt;"", IFERROR(INDEX(ERP資料!$A:$A, (MATCH(662, 輔助計算!$F$2:$F$801, 0)+1)), "")&lt;&gt;IFERROR(INDEX(ERP資料!$A:$A, MATCH(661, 輔助計算!$F$2:$F$801, 0)+1), "")), INDEX(ERP資料!$B:$B, (MATCH(662, 輔助計算!$F$2:$F$801, 0)+1)), ""), "")</f>
        <v/>
      </c>
      <c r="B663" s="10">
        <f>IFERROR(IF(AND(IFERROR(INDEX(ERP資料!$A:$A, (MATCH(662, 輔助計算!$F$2:$F$801, 0)+1)), "")&lt;&gt;"", IFERROR(INDEX(ERP資料!$A:$A, (MATCH(662, 輔助計算!$F$2:$F$801, 0)+1)), "")&lt;&gt;IFERROR(INDEX(ERP資料!$A:$A, MATCH(661, 輔助計算!$F$2:$F$801, 0)+1), "")), IFERROR(INDEX(ERP資料!$A:$A, (MATCH(662, 輔助計算!$F$2:$F$801, 0)+1)), ""), ""), "")</f>
        <v/>
      </c>
      <c r="C663" s="10">
        <f>IFERROR(IF(AND(IFERROR(INDEX(ERP資料!$A:$A, (MATCH(662, 輔助計算!$F$2:$F$801, 0)+1)), "")&lt;&gt;"", IFERROR(INDEX(ERP資料!$A:$A, (MATCH(662, 輔助計算!$F$2:$F$801, 0)+1)), "")&lt;&gt;IFERROR(INDEX(ERP資料!$A:$A, MATCH(661, 輔助計算!$F$2:$F$801, 0)+1), "")), INDEX(ERP資料!$S:$S, (MATCH(662, 輔助計算!$F$2:$F$801, 0)+1)), ""), "")</f>
        <v/>
      </c>
      <c r="D663" s="10">
        <f>IFERROR(IF(INDEX(ERP資料!$E:$E, (MATCH(662, 輔助計算!$F$2:$F$801, 0)+1))="","",TRIM(INDEX(ERP資料!$E:$E, (MATCH(662, 輔助計算!$F$2:$F$801, 0)+1)))), "")</f>
        <v/>
      </c>
      <c r="E663" s="10">
        <f>IFERROR(IF(INDEX(ERP資料!$F:$F, (MATCH(662, 輔助計算!$F$2:$F$801, 0)+1))="","",INDEX(ERP資料!$F:$F, (MATCH(662, 輔助計算!$F$2:$F$801, 0)+1))), "")</f>
        <v/>
      </c>
      <c r="F663" s="10">
        <f>IFERROR(IF(INDEX(ERP資料!$G:$G, (MATCH(662, 輔助計算!$F$2:$F$801, 0)+1))="","",INDEX(ERP資料!$G:$G, (MATCH(662, 輔助計算!$F$2:$F$801, 0)+1))), "")</f>
        <v/>
      </c>
      <c r="G663" s="10">
        <f>IFERROR(IF(INDEX(ERP資料!$H:$H, (MATCH(662, 輔助計算!$F$2:$F$801, 0)+1))="","",INDEX(ERP資料!$H:$H, (MATCH(662, 輔助計算!$F$2:$F$801, 0)+1))), "")</f>
        <v/>
      </c>
      <c r="H663" s="10">
        <f>IFERROR(IF(INDEX(ERP資料!$O:$O, (MATCH(662, 輔助計算!$F$2:$F$801, 0)+1))="","",INDEX(ERP資料!$O:$O, (MATCH(662, 輔助計算!$F$2:$F$801, 0)+1))), "")</f>
        <v/>
      </c>
      <c r="I663" s="15">
        <f>IFERROR(IF(INDEX(輔助計算!$D:$D,(MATCH(662, 輔助計算!$F$2:$F$801, 0)+1))="","",INDEX(輔助計算!$D:$D,(MATCH(662, 輔助計算!$F$2:$F$801, 0)+1))*INDEX(ERP資料!$O:$O,(MATCH(662, 輔助計算!$F$2:$F$801, 0)+1))), "")</f>
        <v/>
      </c>
      <c r="J663" s="16" t="n"/>
      <c r="K663" s="15">
        <f>IFERROR(INDEX(輔助計算!$D:$D, (MATCH(662, 輔助計算!$F$2:$F$801, 0)+1)), "")</f>
        <v/>
      </c>
      <c r="L663" s="16">
        <f>IFERROR(IF(AND(IFERROR(VLOOKUP(LEFT(INDEX(ERP資料!$S:$S, (MATCH(662, 輔助計算!$F$2:$F$801, 0)+1)), 4), 100張客戶!$A:$A, 1, FALSE), "")&lt;&gt;"", OR(INDEX(ERP資料!$F:$F, (MATCH(662, 輔助計算!$F$2:$F$801, 0)+1))=270, INDEX(ERP資料!$F:$F, (MATCH(662, 輔助計算!$F$2:$F$801, 0)+1))=300)), "100張", ""), "")</f>
        <v/>
      </c>
      <c r="M663" s="17" t="n"/>
      <c r="N663" s="17">
        <f>IF($F663="","",$F663)</f>
        <v/>
      </c>
      <c r="O663" s="17">
        <f>IF($G663="","",$G663)</f>
        <v/>
      </c>
      <c r="P663" s="17">
        <f>IF($K663="","",$K663)</f>
        <v/>
      </c>
      <c r="Q663" s="16" t="n"/>
      <c r="R663" s="18" t="n"/>
      <c r="S663" s="16" t="n"/>
    </row>
    <row r="664">
      <c r="A664" s="14">
        <f>IFERROR(IF(AND(IFERROR(INDEX(ERP資料!$A:$A, (MATCH(663, 輔助計算!$F$2:$F$801, 0)+1)), "")&lt;&gt;"", IFERROR(INDEX(ERP資料!$A:$A, (MATCH(663, 輔助計算!$F$2:$F$801, 0)+1)), "")&lt;&gt;IFERROR(INDEX(ERP資料!$A:$A, MATCH(662, 輔助計算!$F$2:$F$801, 0)+1), "")), INDEX(ERP資料!$B:$B, (MATCH(663, 輔助計算!$F$2:$F$801, 0)+1)), ""), "")</f>
        <v/>
      </c>
      <c r="B664" s="10">
        <f>IFERROR(IF(AND(IFERROR(INDEX(ERP資料!$A:$A, (MATCH(663, 輔助計算!$F$2:$F$801, 0)+1)), "")&lt;&gt;"", IFERROR(INDEX(ERP資料!$A:$A, (MATCH(663, 輔助計算!$F$2:$F$801, 0)+1)), "")&lt;&gt;IFERROR(INDEX(ERP資料!$A:$A, MATCH(662, 輔助計算!$F$2:$F$801, 0)+1), "")), IFERROR(INDEX(ERP資料!$A:$A, (MATCH(663, 輔助計算!$F$2:$F$801, 0)+1)), ""), ""), "")</f>
        <v/>
      </c>
      <c r="C664" s="10">
        <f>IFERROR(IF(AND(IFERROR(INDEX(ERP資料!$A:$A, (MATCH(663, 輔助計算!$F$2:$F$801, 0)+1)), "")&lt;&gt;"", IFERROR(INDEX(ERP資料!$A:$A, (MATCH(663, 輔助計算!$F$2:$F$801, 0)+1)), "")&lt;&gt;IFERROR(INDEX(ERP資料!$A:$A, MATCH(662, 輔助計算!$F$2:$F$801, 0)+1), "")), INDEX(ERP資料!$S:$S, (MATCH(663, 輔助計算!$F$2:$F$801, 0)+1)), ""), "")</f>
        <v/>
      </c>
      <c r="D664" s="10">
        <f>IFERROR(IF(INDEX(ERP資料!$E:$E, (MATCH(663, 輔助計算!$F$2:$F$801, 0)+1))="","",TRIM(INDEX(ERP資料!$E:$E, (MATCH(663, 輔助計算!$F$2:$F$801, 0)+1)))), "")</f>
        <v/>
      </c>
      <c r="E664" s="10">
        <f>IFERROR(IF(INDEX(ERP資料!$F:$F, (MATCH(663, 輔助計算!$F$2:$F$801, 0)+1))="","",INDEX(ERP資料!$F:$F, (MATCH(663, 輔助計算!$F$2:$F$801, 0)+1))), "")</f>
        <v/>
      </c>
      <c r="F664" s="10">
        <f>IFERROR(IF(INDEX(ERP資料!$G:$G, (MATCH(663, 輔助計算!$F$2:$F$801, 0)+1))="","",INDEX(ERP資料!$G:$G, (MATCH(663, 輔助計算!$F$2:$F$801, 0)+1))), "")</f>
        <v/>
      </c>
      <c r="G664" s="10">
        <f>IFERROR(IF(INDEX(ERP資料!$H:$H, (MATCH(663, 輔助計算!$F$2:$F$801, 0)+1))="","",INDEX(ERP資料!$H:$H, (MATCH(663, 輔助計算!$F$2:$F$801, 0)+1))), "")</f>
        <v/>
      </c>
      <c r="H664" s="10">
        <f>IFERROR(IF(INDEX(ERP資料!$O:$O, (MATCH(663, 輔助計算!$F$2:$F$801, 0)+1))="","",INDEX(ERP資料!$O:$O, (MATCH(663, 輔助計算!$F$2:$F$801, 0)+1))), "")</f>
        <v/>
      </c>
      <c r="I664" s="15">
        <f>IFERROR(IF(INDEX(輔助計算!$D:$D,(MATCH(663, 輔助計算!$F$2:$F$801, 0)+1))="","",INDEX(輔助計算!$D:$D,(MATCH(663, 輔助計算!$F$2:$F$801, 0)+1))*INDEX(ERP資料!$O:$O,(MATCH(663, 輔助計算!$F$2:$F$801, 0)+1))), "")</f>
        <v/>
      </c>
      <c r="J664" s="16" t="n"/>
      <c r="K664" s="15">
        <f>IFERROR(INDEX(輔助計算!$D:$D, (MATCH(663, 輔助計算!$F$2:$F$801, 0)+1)), "")</f>
        <v/>
      </c>
      <c r="L664" s="16">
        <f>IFERROR(IF(AND(IFERROR(VLOOKUP(LEFT(INDEX(ERP資料!$S:$S, (MATCH(663, 輔助計算!$F$2:$F$801, 0)+1)), 4), 100張客戶!$A:$A, 1, FALSE), "")&lt;&gt;"", OR(INDEX(ERP資料!$F:$F, (MATCH(663, 輔助計算!$F$2:$F$801, 0)+1))=270, INDEX(ERP資料!$F:$F, (MATCH(663, 輔助計算!$F$2:$F$801, 0)+1))=300)), "100張", ""), "")</f>
        <v/>
      </c>
      <c r="M664" s="17" t="n"/>
      <c r="N664" s="17">
        <f>IF($F664="","",$F664)</f>
        <v/>
      </c>
      <c r="O664" s="17">
        <f>IF($G664="","",$G664)</f>
        <v/>
      </c>
      <c r="P664" s="17">
        <f>IF($K664="","",$K664)</f>
        <v/>
      </c>
      <c r="Q664" s="16" t="n"/>
      <c r="R664" s="18" t="n"/>
      <c r="S664" s="16" t="n"/>
    </row>
    <row r="665">
      <c r="A665" s="14">
        <f>IFERROR(IF(AND(IFERROR(INDEX(ERP資料!$A:$A, (MATCH(664, 輔助計算!$F$2:$F$801, 0)+1)), "")&lt;&gt;"", IFERROR(INDEX(ERP資料!$A:$A, (MATCH(664, 輔助計算!$F$2:$F$801, 0)+1)), "")&lt;&gt;IFERROR(INDEX(ERP資料!$A:$A, MATCH(663, 輔助計算!$F$2:$F$801, 0)+1), "")), INDEX(ERP資料!$B:$B, (MATCH(664, 輔助計算!$F$2:$F$801, 0)+1)), ""), "")</f>
        <v/>
      </c>
      <c r="B665" s="10">
        <f>IFERROR(IF(AND(IFERROR(INDEX(ERP資料!$A:$A, (MATCH(664, 輔助計算!$F$2:$F$801, 0)+1)), "")&lt;&gt;"", IFERROR(INDEX(ERP資料!$A:$A, (MATCH(664, 輔助計算!$F$2:$F$801, 0)+1)), "")&lt;&gt;IFERROR(INDEX(ERP資料!$A:$A, MATCH(663, 輔助計算!$F$2:$F$801, 0)+1), "")), IFERROR(INDEX(ERP資料!$A:$A, (MATCH(664, 輔助計算!$F$2:$F$801, 0)+1)), ""), ""), "")</f>
        <v/>
      </c>
      <c r="C665" s="10">
        <f>IFERROR(IF(AND(IFERROR(INDEX(ERP資料!$A:$A, (MATCH(664, 輔助計算!$F$2:$F$801, 0)+1)), "")&lt;&gt;"", IFERROR(INDEX(ERP資料!$A:$A, (MATCH(664, 輔助計算!$F$2:$F$801, 0)+1)), "")&lt;&gt;IFERROR(INDEX(ERP資料!$A:$A, MATCH(663, 輔助計算!$F$2:$F$801, 0)+1), "")), INDEX(ERP資料!$S:$S, (MATCH(664, 輔助計算!$F$2:$F$801, 0)+1)), ""), "")</f>
        <v/>
      </c>
      <c r="D665" s="10">
        <f>IFERROR(IF(INDEX(ERP資料!$E:$E, (MATCH(664, 輔助計算!$F$2:$F$801, 0)+1))="","",TRIM(INDEX(ERP資料!$E:$E, (MATCH(664, 輔助計算!$F$2:$F$801, 0)+1)))), "")</f>
        <v/>
      </c>
      <c r="E665" s="10">
        <f>IFERROR(IF(INDEX(ERP資料!$F:$F, (MATCH(664, 輔助計算!$F$2:$F$801, 0)+1))="","",INDEX(ERP資料!$F:$F, (MATCH(664, 輔助計算!$F$2:$F$801, 0)+1))), "")</f>
        <v/>
      </c>
      <c r="F665" s="10">
        <f>IFERROR(IF(INDEX(ERP資料!$G:$G, (MATCH(664, 輔助計算!$F$2:$F$801, 0)+1))="","",INDEX(ERP資料!$G:$G, (MATCH(664, 輔助計算!$F$2:$F$801, 0)+1))), "")</f>
        <v/>
      </c>
      <c r="G665" s="10">
        <f>IFERROR(IF(INDEX(ERP資料!$H:$H, (MATCH(664, 輔助計算!$F$2:$F$801, 0)+1))="","",INDEX(ERP資料!$H:$H, (MATCH(664, 輔助計算!$F$2:$F$801, 0)+1))), "")</f>
        <v/>
      </c>
      <c r="H665" s="10">
        <f>IFERROR(IF(INDEX(ERP資料!$O:$O, (MATCH(664, 輔助計算!$F$2:$F$801, 0)+1))="","",INDEX(ERP資料!$O:$O, (MATCH(664, 輔助計算!$F$2:$F$801, 0)+1))), "")</f>
        <v/>
      </c>
      <c r="I665" s="15">
        <f>IFERROR(IF(INDEX(輔助計算!$D:$D,(MATCH(664, 輔助計算!$F$2:$F$801, 0)+1))="","",INDEX(輔助計算!$D:$D,(MATCH(664, 輔助計算!$F$2:$F$801, 0)+1))*INDEX(ERP資料!$O:$O,(MATCH(664, 輔助計算!$F$2:$F$801, 0)+1))), "")</f>
        <v/>
      </c>
      <c r="J665" s="16" t="n"/>
      <c r="K665" s="15">
        <f>IFERROR(INDEX(輔助計算!$D:$D, (MATCH(664, 輔助計算!$F$2:$F$801, 0)+1)), "")</f>
        <v/>
      </c>
      <c r="L665" s="16">
        <f>IFERROR(IF(AND(IFERROR(VLOOKUP(LEFT(INDEX(ERP資料!$S:$S, (MATCH(664, 輔助計算!$F$2:$F$801, 0)+1)), 4), 100張客戶!$A:$A, 1, FALSE), "")&lt;&gt;"", OR(INDEX(ERP資料!$F:$F, (MATCH(664, 輔助計算!$F$2:$F$801, 0)+1))=270, INDEX(ERP資料!$F:$F, (MATCH(664, 輔助計算!$F$2:$F$801, 0)+1))=300)), "100張", ""), "")</f>
        <v/>
      </c>
      <c r="M665" s="17" t="n"/>
      <c r="N665" s="17">
        <f>IF($F665="","",$F665)</f>
        <v/>
      </c>
      <c r="O665" s="17">
        <f>IF($G665="","",$G665)</f>
        <v/>
      </c>
      <c r="P665" s="17">
        <f>IF($K665="","",$K665)</f>
        <v/>
      </c>
      <c r="Q665" s="16" t="n"/>
      <c r="R665" s="18" t="n"/>
      <c r="S665" s="16" t="n"/>
    </row>
    <row r="666">
      <c r="A666" s="14">
        <f>IFERROR(IF(AND(IFERROR(INDEX(ERP資料!$A:$A, (MATCH(665, 輔助計算!$F$2:$F$801, 0)+1)), "")&lt;&gt;"", IFERROR(INDEX(ERP資料!$A:$A, (MATCH(665, 輔助計算!$F$2:$F$801, 0)+1)), "")&lt;&gt;IFERROR(INDEX(ERP資料!$A:$A, MATCH(664, 輔助計算!$F$2:$F$801, 0)+1), "")), INDEX(ERP資料!$B:$B, (MATCH(665, 輔助計算!$F$2:$F$801, 0)+1)), ""), "")</f>
        <v/>
      </c>
      <c r="B666" s="10">
        <f>IFERROR(IF(AND(IFERROR(INDEX(ERP資料!$A:$A, (MATCH(665, 輔助計算!$F$2:$F$801, 0)+1)), "")&lt;&gt;"", IFERROR(INDEX(ERP資料!$A:$A, (MATCH(665, 輔助計算!$F$2:$F$801, 0)+1)), "")&lt;&gt;IFERROR(INDEX(ERP資料!$A:$A, MATCH(664, 輔助計算!$F$2:$F$801, 0)+1), "")), IFERROR(INDEX(ERP資料!$A:$A, (MATCH(665, 輔助計算!$F$2:$F$801, 0)+1)), ""), ""), "")</f>
        <v/>
      </c>
      <c r="C666" s="10">
        <f>IFERROR(IF(AND(IFERROR(INDEX(ERP資料!$A:$A, (MATCH(665, 輔助計算!$F$2:$F$801, 0)+1)), "")&lt;&gt;"", IFERROR(INDEX(ERP資料!$A:$A, (MATCH(665, 輔助計算!$F$2:$F$801, 0)+1)), "")&lt;&gt;IFERROR(INDEX(ERP資料!$A:$A, MATCH(664, 輔助計算!$F$2:$F$801, 0)+1), "")), INDEX(ERP資料!$S:$S, (MATCH(665, 輔助計算!$F$2:$F$801, 0)+1)), ""), "")</f>
        <v/>
      </c>
      <c r="D666" s="10">
        <f>IFERROR(IF(INDEX(ERP資料!$E:$E, (MATCH(665, 輔助計算!$F$2:$F$801, 0)+1))="","",TRIM(INDEX(ERP資料!$E:$E, (MATCH(665, 輔助計算!$F$2:$F$801, 0)+1)))), "")</f>
        <v/>
      </c>
      <c r="E666" s="10">
        <f>IFERROR(IF(INDEX(ERP資料!$F:$F, (MATCH(665, 輔助計算!$F$2:$F$801, 0)+1))="","",INDEX(ERP資料!$F:$F, (MATCH(665, 輔助計算!$F$2:$F$801, 0)+1))), "")</f>
        <v/>
      </c>
      <c r="F666" s="10">
        <f>IFERROR(IF(INDEX(ERP資料!$G:$G, (MATCH(665, 輔助計算!$F$2:$F$801, 0)+1))="","",INDEX(ERP資料!$G:$G, (MATCH(665, 輔助計算!$F$2:$F$801, 0)+1))), "")</f>
        <v/>
      </c>
      <c r="G666" s="10">
        <f>IFERROR(IF(INDEX(ERP資料!$H:$H, (MATCH(665, 輔助計算!$F$2:$F$801, 0)+1))="","",INDEX(ERP資料!$H:$H, (MATCH(665, 輔助計算!$F$2:$F$801, 0)+1))), "")</f>
        <v/>
      </c>
      <c r="H666" s="10">
        <f>IFERROR(IF(INDEX(ERP資料!$O:$O, (MATCH(665, 輔助計算!$F$2:$F$801, 0)+1))="","",INDEX(ERP資料!$O:$O, (MATCH(665, 輔助計算!$F$2:$F$801, 0)+1))), "")</f>
        <v/>
      </c>
      <c r="I666" s="15">
        <f>IFERROR(IF(INDEX(輔助計算!$D:$D,(MATCH(665, 輔助計算!$F$2:$F$801, 0)+1))="","",INDEX(輔助計算!$D:$D,(MATCH(665, 輔助計算!$F$2:$F$801, 0)+1))*INDEX(ERP資料!$O:$O,(MATCH(665, 輔助計算!$F$2:$F$801, 0)+1))), "")</f>
        <v/>
      </c>
      <c r="J666" s="16" t="n"/>
      <c r="K666" s="15">
        <f>IFERROR(INDEX(輔助計算!$D:$D, (MATCH(665, 輔助計算!$F$2:$F$801, 0)+1)), "")</f>
        <v/>
      </c>
      <c r="L666" s="16">
        <f>IFERROR(IF(AND(IFERROR(VLOOKUP(LEFT(INDEX(ERP資料!$S:$S, (MATCH(665, 輔助計算!$F$2:$F$801, 0)+1)), 4), 100張客戶!$A:$A, 1, FALSE), "")&lt;&gt;"", OR(INDEX(ERP資料!$F:$F, (MATCH(665, 輔助計算!$F$2:$F$801, 0)+1))=270, INDEX(ERP資料!$F:$F, (MATCH(665, 輔助計算!$F$2:$F$801, 0)+1))=300)), "100張", ""), "")</f>
        <v/>
      </c>
      <c r="M666" s="17" t="n"/>
      <c r="N666" s="17">
        <f>IF($F666="","",$F666)</f>
        <v/>
      </c>
      <c r="O666" s="17">
        <f>IF($G666="","",$G666)</f>
        <v/>
      </c>
      <c r="P666" s="17">
        <f>IF($K666="","",$K666)</f>
        <v/>
      </c>
      <c r="Q666" s="16" t="n"/>
      <c r="R666" s="18" t="n"/>
      <c r="S666" s="16" t="n"/>
    </row>
    <row r="667">
      <c r="A667" s="14">
        <f>IFERROR(IF(AND(IFERROR(INDEX(ERP資料!$A:$A, (MATCH(666, 輔助計算!$F$2:$F$801, 0)+1)), "")&lt;&gt;"", IFERROR(INDEX(ERP資料!$A:$A, (MATCH(666, 輔助計算!$F$2:$F$801, 0)+1)), "")&lt;&gt;IFERROR(INDEX(ERP資料!$A:$A, MATCH(665, 輔助計算!$F$2:$F$801, 0)+1), "")), INDEX(ERP資料!$B:$B, (MATCH(666, 輔助計算!$F$2:$F$801, 0)+1)), ""), "")</f>
        <v/>
      </c>
      <c r="B667" s="10">
        <f>IFERROR(IF(AND(IFERROR(INDEX(ERP資料!$A:$A, (MATCH(666, 輔助計算!$F$2:$F$801, 0)+1)), "")&lt;&gt;"", IFERROR(INDEX(ERP資料!$A:$A, (MATCH(666, 輔助計算!$F$2:$F$801, 0)+1)), "")&lt;&gt;IFERROR(INDEX(ERP資料!$A:$A, MATCH(665, 輔助計算!$F$2:$F$801, 0)+1), "")), IFERROR(INDEX(ERP資料!$A:$A, (MATCH(666, 輔助計算!$F$2:$F$801, 0)+1)), ""), ""), "")</f>
        <v/>
      </c>
      <c r="C667" s="10">
        <f>IFERROR(IF(AND(IFERROR(INDEX(ERP資料!$A:$A, (MATCH(666, 輔助計算!$F$2:$F$801, 0)+1)), "")&lt;&gt;"", IFERROR(INDEX(ERP資料!$A:$A, (MATCH(666, 輔助計算!$F$2:$F$801, 0)+1)), "")&lt;&gt;IFERROR(INDEX(ERP資料!$A:$A, MATCH(665, 輔助計算!$F$2:$F$801, 0)+1), "")), INDEX(ERP資料!$S:$S, (MATCH(666, 輔助計算!$F$2:$F$801, 0)+1)), ""), "")</f>
        <v/>
      </c>
      <c r="D667" s="10">
        <f>IFERROR(IF(INDEX(ERP資料!$E:$E, (MATCH(666, 輔助計算!$F$2:$F$801, 0)+1))="","",TRIM(INDEX(ERP資料!$E:$E, (MATCH(666, 輔助計算!$F$2:$F$801, 0)+1)))), "")</f>
        <v/>
      </c>
      <c r="E667" s="10">
        <f>IFERROR(IF(INDEX(ERP資料!$F:$F, (MATCH(666, 輔助計算!$F$2:$F$801, 0)+1))="","",INDEX(ERP資料!$F:$F, (MATCH(666, 輔助計算!$F$2:$F$801, 0)+1))), "")</f>
        <v/>
      </c>
      <c r="F667" s="10">
        <f>IFERROR(IF(INDEX(ERP資料!$G:$G, (MATCH(666, 輔助計算!$F$2:$F$801, 0)+1))="","",INDEX(ERP資料!$G:$G, (MATCH(666, 輔助計算!$F$2:$F$801, 0)+1))), "")</f>
        <v/>
      </c>
      <c r="G667" s="10">
        <f>IFERROR(IF(INDEX(ERP資料!$H:$H, (MATCH(666, 輔助計算!$F$2:$F$801, 0)+1))="","",INDEX(ERP資料!$H:$H, (MATCH(666, 輔助計算!$F$2:$F$801, 0)+1))), "")</f>
        <v/>
      </c>
      <c r="H667" s="10">
        <f>IFERROR(IF(INDEX(ERP資料!$O:$O, (MATCH(666, 輔助計算!$F$2:$F$801, 0)+1))="","",INDEX(ERP資料!$O:$O, (MATCH(666, 輔助計算!$F$2:$F$801, 0)+1))), "")</f>
        <v/>
      </c>
      <c r="I667" s="15">
        <f>IFERROR(IF(INDEX(輔助計算!$D:$D,(MATCH(666, 輔助計算!$F$2:$F$801, 0)+1))="","",INDEX(輔助計算!$D:$D,(MATCH(666, 輔助計算!$F$2:$F$801, 0)+1))*INDEX(ERP資料!$O:$O,(MATCH(666, 輔助計算!$F$2:$F$801, 0)+1))), "")</f>
        <v/>
      </c>
      <c r="J667" s="16" t="n"/>
      <c r="K667" s="15">
        <f>IFERROR(INDEX(輔助計算!$D:$D, (MATCH(666, 輔助計算!$F$2:$F$801, 0)+1)), "")</f>
        <v/>
      </c>
      <c r="L667" s="16">
        <f>IFERROR(IF(AND(IFERROR(VLOOKUP(LEFT(INDEX(ERP資料!$S:$S, (MATCH(666, 輔助計算!$F$2:$F$801, 0)+1)), 4), 100張客戶!$A:$A, 1, FALSE), "")&lt;&gt;"", OR(INDEX(ERP資料!$F:$F, (MATCH(666, 輔助計算!$F$2:$F$801, 0)+1))=270, INDEX(ERP資料!$F:$F, (MATCH(666, 輔助計算!$F$2:$F$801, 0)+1))=300)), "100張", ""), "")</f>
        <v/>
      </c>
      <c r="M667" s="17" t="n"/>
      <c r="N667" s="17">
        <f>IF($F667="","",$F667)</f>
        <v/>
      </c>
      <c r="O667" s="17">
        <f>IF($G667="","",$G667)</f>
        <v/>
      </c>
      <c r="P667" s="17">
        <f>IF($K667="","",$K667)</f>
        <v/>
      </c>
      <c r="Q667" s="16" t="n"/>
      <c r="R667" s="18" t="n"/>
      <c r="S667" s="16" t="n"/>
    </row>
    <row r="668">
      <c r="A668" s="14">
        <f>IFERROR(IF(AND(IFERROR(INDEX(ERP資料!$A:$A, (MATCH(667, 輔助計算!$F$2:$F$801, 0)+1)), "")&lt;&gt;"", IFERROR(INDEX(ERP資料!$A:$A, (MATCH(667, 輔助計算!$F$2:$F$801, 0)+1)), "")&lt;&gt;IFERROR(INDEX(ERP資料!$A:$A, MATCH(666, 輔助計算!$F$2:$F$801, 0)+1), "")), INDEX(ERP資料!$B:$B, (MATCH(667, 輔助計算!$F$2:$F$801, 0)+1)), ""), "")</f>
        <v/>
      </c>
      <c r="B668" s="10">
        <f>IFERROR(IF(AND(IFERROR(INDEX(ERP資料!$A:$A, (MATCH(667, 輔助計算!$F$2:$F$801, 0)+1)), "")&lt;&gt;"", IFERROR(INDEX(ERP資料!$A:$A, (MATCH(667, 輔助計算!$F$2:$F$801, 0)+1)), "")&lt;&gt;IFERROR(INDEX(ERP資料!$A:$A, MATCH(666, 輔助計算!$F$2:$F$801, 0)+1), "")), IFERROR(INDEX(ERP資料!$A:$A, (MATCH(667, 輔助計算!$F$2:$F$801, 0)+1)), ""), ""), "")</f>
        <v/>
      </c>
      <c r="C668" s="10">
        <f>IFERROR(IF(AND(IFERROR(INDEX(ERP資料!$A:$A, (MATCH(667, 輔助計算!$F$2:$F$801, 0)+1)), "")&lt;&gt;"", IFERROR(INDEX(ERP資料!$A:$A, (MATCH(667, 輔助計算!$F$2:$F$801, 0)+1)), "")&lt;&gt;IFERROR(INDEX(ERP資料!$A:$A, MATCH(666, 輔助計算!$F$2:$F$801, 0)+1), "")), INDEX(ERP資料!$S:$S, (MATCH(667, 輔助計算!$F$2:$F$801, 0)+1)), ""), "")</f>
        <v/>
      </c>
      <c r="D668" s="10">
        <f>IFERROR(IF(INDEX(ERP資料!$E:$E, (MATCH(667, 輔助計算!$F$2:$F$801, 0)+1))="","",TRIM(INDEX(ERP資料!$E:$E, (MATCH(667, 輔助計算!$F$2:$F$801, 0)+1)))), "")</f>
        <v/>
      </c>
      <c r="E668" s="10">
        <f>IFERROR(IF(INDEX(ERP資料!$F:$F, (MATCH(667, 輔助計算!$F$2:$F$801, 0)+1))="","",INDEX(ERP資料!$F:$F, (MATCH(667, 輔助計算!$F$2:$F$801, 0)+1))), "")</f>
        <v/>
      </c>
      <c r="F668" s="10">
        <f>IFERROR(IF(INDEX(ERP資料!$G:$G, (MATCH(667, 輔助計算!$F$2:$F$801, 0)+1))="","",INDEX(ERP資料!$G:$G, (MATCH(667, 輔助計算!$F$2:$F$801, 0)+1))), "")</f>
        <v/>
      </c>
      <c r="G668" s="10">
        <f>IFERROR(IF(INDEX(ERP資料!$H:$H, (MATCH(667, 輔助計算!$F$2:$F$801, 0)+1))="","",INDEX(ERP資料!$H:$H, (MATCH(667, 輔助計算!$F$2:$F$801, 0)+1))), "")</f>
        <v/>
      </c>
      <c r="H668" s="10">
        <f>IFERROR(IF(INDEX(ERP資料!$O:$O, (MATCH(667, 輔助計算!$F$2:$F$801, 0)+1))="","",INDEX(ERP資料!$O:$O, (MATCH(667, 輔助計算!$F$2:$F$801, 0)+1))), "")</f>
        <v/>
      </c>
      <c r="I668" s="15">
        <f>IFERROR(IF(INDEX(輔助計算!$D:$D,(MATCH(667, 輔助計算!$F$2:$F$801, 0)+1))="","",INDEX(輔助計算!$D:$D,(MATCH(667, 輔助計算!$F$2:$F$801, 0)+1))*INDEX(ERP資料!$O:$O,(MATCH(667, 輔助計算!$F$2:$F$801, 0)+1))), "")</f>
        <v/>
      </c>
      <c r="J668" s="16" t="n"/>
      <c r="K668" s="15">
        <f>IFERROR(INDEX(輔助計算!$D:$D, (MATCH(667, 輔助計算!$F$2:$F$801, 0)+1)), "")</f>
        <v/>
      </c>
      <c r="L668" s="16">
        <f>IFERROR(IF(AND(IFERROR(VLOOKUP(LEFT(INDEX(ERP資料!$S:$S, (MATCH(667, 輔助計算!$F$2:$F$801, 0)+1)), 4), 100張客戶!$A:$A, 1, FALSE), "")&lt;&gt;"", OR(INDEX(ERP資料!$F:$F, (MATCH(667, 輔助計算!$F$2:$F$801, 0)+1))=270, INDEX(ERP資料!$F:$F, (MATCH(667, 輔助計算!$F$2:$F$801, 0)+1))=300)), "100張", ""), "")</f>
        <v/>
      </c>
      <c r="M668" s="17" t="n"/>
      <c r="N668" s="17">
        <f>IF($F668="","",$F668)</f>
        <v/>
      </c>
      <c r="O668" s="17">
        <f>IF($G668="","",$G668)</f>
        <v/>
      </c>
      <c r="P668" s="17">
        <f>IF($K668="","",$K668)</f>
        <v/>
      </c>
      <c r="Q668" s="16" t="n"/>
      <c r="R668" s="18" t="n"/>
      <c r="S668" s="16" t="n"/>
    </row>
    <row r="669">
      <c r="A669" s="14">
        <f>IFERROR(IF(AND(IFERROR(INDEX(ERP資料!$A:$A, (MATCH(668, 輔助計算!$F$2:$F$801, 0)+1)), "")&lt;&gt;"", IFERROR(INDEX(ERP資料!$A:$A, (MATCH(668, 輔助計算!$F$2:$F$801, 0)+1)), "")&lt;&gt;IFERROR(INDEX(ERP資料!$A:$A, MATCH(667, 輔助計算!$F$2:$F$801, 0)+1), "")), INDEX(ERP資料!$B:$B, (MATCH(668, 輔助計算!$F$2:$F$801, 0)+1)), ""), "")</f>
        <v/>
      </c>
      <c r="B669" s="10">
        <f>IFERROR(IF(AND(IFERROR(INDEX(ERP資料!$A:$A, (MATCH(668, 輔助計算!$F$2:$F$801, 0)+1)), "")&lt;&gt;"", IFERROR(INDEX(ERP資料!$A:$A, (MATCH(668, 輔助計算!$F$2:$F$801, 0)+1)), "")&lt;&gt;IFERROR(INDEX(ERP資料!$A:$A, MATCH(667, 輔助計算!$F$2:$F$801, 0)+1), "")), IFERROR(INDEX(ERP資料!$A:$A, (MATCH(668, 輔助計算!$F$2:$F$801, 0)+1)), ""), ""), "")</f>
        <v/>
      </c>
      <c r="C669" s="10">
        <f>IFERROR(IF(AND(IFERROR(INDEX(ERP資料!$A:$A, (MATCH(668, 輔助計算!$F$2:$F$801, 0)+1)), "")&lt;&gt;"", IFERROR(INDEX(ERP資料!$A:$A, (MATCH(668, 輔助計算!$F$2:$F$801, 0)+1)), "")&lt;&gt;IFERROR(INDEX(ERP資料!$A:$A, MATCH(667, 輔助計算!$F$2:$F$801, 0)+1), "")), INDEX(ERP資料!$S:$S, (MATCH(668, 輔助計算!$F$2:$F$801, 0)+1)), ""), "")</f>
        <v/>
      </c>
      <c r="D669" s="10">
        <f>IFERROR(IF(INDEX(ERP資料!$E:$E, (MATCH(668, 輔助計算!$F$2:$F$801, 0)+1))="","",TRIM(INDEX(ERP資料!$E:$E, (MATCH(668, 輔助計算!$F$2:$F$801, 0)+1)))), "")</f>
        <v/>
      </c>
      <c r="E669" s="10">
        <f>IFERROR(IF(INDEX(ERP資料!$F:$F, (MATCH(668, 輔助計算!$F$2:$F$801, 0)+1))="","",INDEX(ERP資料!$F:$F, (MATCH(668, 輔助計算!$F$2:$F$801, 0)+1))), "")</f>
        <v/>
      </c>
      <c r="F669" s="10">
        <f>IFERROR(IF(INDEX(ERP資料!$G:$G, (MATCH(668, 輔助計算!$F$2:$F$801, 0)+1))="","",INDEX(ERP資料!$G:$G, (MATCH(668, 輔助計算!$F$2:$F$801, 0)+1))), "")</f>
        <v/>
      </c>
      <c r="G669" s="10">
        <f>IFERROR(IF(INDEX(ERP資料!$H:$H, (MATCH(668, 輔助計算!$F$2:$F$801, 0)+1))="","",INDEX(ERP資料!$H:$H, (MATCH(668, 輔助計算!$F$2:$F$801, 0)+1))), "")</f>
        <v/>
      </c>
      <c r="H669" s="10">
        <f>IFERROR(IF(INDEX(ERP資料!$O:$O, (MATCH(668, 輔助計算!$F$2:$F$801, 0)+1))="","",INDEX(ERP資料!$O:$O, (MATCH(668, 輔助計算!$F$2:$F$801, 0)+1))), "")</f>
        <v/>
      </c>
      <c r="I669" s="15">
        <f>IFERROR(IF(INDEX(輔助計算!$D:$D,(MATCH(668, 輔助計算!$F$2:$F$801, 0)+1))="","",INDEX(輔助計算!$D:$D,(MATCH(668, 輔助計算!$F$2:$F$801, 0)+1))*INDEX(ERP資料!$O:$O,(MATCH(668, 輔助計算!$F$2:$F$801, 0)+1))), "")</f>
        <v/>
      </c>
      <c r="J669" s="16" t="n"/>
      <c r="K669" s="15">
        <f>IFERROR(INDEX(輔助計算!$D:$D, (MATCH(668, 輔助計算!$F$2:$F$801, 0)+1)), "")</f>
        <v/>
      </c>
      <c r="L669" s="16">
        <f>IFERROR(IF(AND(IFERROR(VLOOKUP(LEFT(INDEX(ERP資料!$S:$S, (MATCH(668, 輔助計算!$F$2:$F$801, 0)+1)), 4), 100張客戶!$A:$A, 1, FALSE), "")&lt;&gt;"", OR(INDEX(ERP資料!$F:$F, (MATCH(668, 輔助計算!$F$2:$F$801, 0)+1))=270, INDEX(ERP資料!$F:$F, (MATCH(668, 輔助計算!$F$2:$F$801, 0)+1))=300)), "100張", ""), "")</f>
        <v/>
      </c>
      <c r="M669" s="17" t="n"/>
      <c r="N669" s="17">
        <f>IF($F669="","",$F669)</f>
        <v/>
      </c>
      <c r="O669" s="17">
        <f>IF($G669="","",$G669)</f>
        <v/>
      </c>
      <c r="P669" s="17">
        <f>IF($K669="","",$K669)</f>
        <v/>
      </c>
      <c r="Q669" s="16" t="n"/>
      <c r="R669" s="18" t="n"/>
      <c r="S669" s="16" t="n"/>
    </row>
    <row r="670">
      <c r="A670" s="14">
        <f>IFERROR(IF(AND(IFERROR(INDEX(ERP資料!$A:$A, (MATCH(669, 輔助計算!$F$2:$F$801, 0)+1)), "")&lt;&gt;"", IFERROR(INDEX(ERP資料!$A:$A, (MATCH(669, 輔助計算!$F$2:$F$801, 0)+1)), "")&lt;&gt;IFERROR(INDEX(ERP資料!$A:$A, MATCH(668, 輔助計算!$F$2:$F$801, 0)+1), "")), INDEX(ERP資料!$B:$B, (MATCH(669, 輔助計算!$F$2:$F$801, 0)+1)), ""), "")</f>
        <v/>
      </c>
      <c r="B670" s="10">
        <f>IFERROR(IF(AND(IFERROR(INDEX(ERP資料!$A:$A, (MATCH(669, 輔助計算!$F$2:$F$801, 0)+1)), "")&lt;&gt;"", IFERROR(INDEX(ERP資料!$A:$A, (MATCH(669, 輔助計算!$F$2:$F$801, 0)+1)), "")&lt;&gt;IFERROR(INDEX(ERP資料!$A:$A, MATCH(668, 輔助計算!$F$2:$F$801, 0)+1), "")), IFERROR(INDEX(ERP資料!$A:$A, (MATCH(669, 輔助計算!$F$2:$F$801, 0)+1)), ""), ""), "")</f>
        <v/>
      </c>
      <c r="C670" s="10">
        <f>IFERROR(IF(AND(IFERROR(INDEX(ERP資料!$A:$A, (MATCH(669, 輔助計算!$F$2:$F$801, 0)+1)), "")&lt;&gt;"", IFERROR(INDEX(ERP資料!$A:$A, (MATCH(669, 輔助計算!$F$2:$F$801, 0)+1)), "")&lt;&gt;IFERROR(INDEX(ERP資料!$A:$A, MATCH(668, 輔助計算!$F$2:$F$801, 0)+1), "")), INDEX(ERP資料!$S:$S, (MATCH(669, 輔助計算!$F$2:$F$801, 0)+1)), ""), "")</f>
        <v/>
      </c>
      <c r="D670" s="10">
        <f>IFERROR(IF(INDEX(ERP資料!$E:$E, (MATCH(669, 輔助計算!$F$2:$F$801, 0)+1))="","",TRIM(INDEX(ERP資料!$E:$E, (MATCH(669, 輔助計算!$F$2:$F$801, 0)+1)))), "")</f>
        <v/>
      </c>
      <c r="E670" s="10">
        <f>IFERROR(IF(INDEX(ERP資料!$F:$F, (MATCH(669, 輔助計算!$F$2:$F$801, 0)+1))="","",INDEX(ERP資料!$F:$F, (MATCH(669, 輔助計算!$F$2:$F$801, 0)+1))), "")</f>
        <v/>
      </c>
      <c r="F670" s="10">
        <f>IFERROR(IF(INDEX(ERP資料!$G:$G, (MATCH(669, 輔助計算!$F$2:$F$801, 0)+1))="","",INDEX(ERP資料!$G:$G, (MATCH(669, 輔助計算!$F$2:$F$801, 0)+1))), "")</f>
        <v/>
      </c>
      <c r="G670" s="10">
        <f>IFERROR(IF(INDEX(ERP資料!$H:$H, (MATCH(669, 輔助計算!$F$2:$F$801, 0)+1))="","",INDEX(ERP資料!$H:$H, (MATCH(669, 輔助計算!$F$2:$F$801, 0)+1))), "")</f>
        <v/>
      </c>
      <c r="H670" s="10">
        <f>IFERROR(IF(INDEX(ERP資料!$O:$O, (MATCH(669, 輔助計算!$F$2:$F$801, 0)+1))="","",INDEX(ERP資料!$O:$O, (MATCH(669, 輔助計算!$F$2:$F$801, 0)+1))), "")</f>
        <v/>
      </c>
      <c r="I670" s="15">
        <f>IFERROR(IF(INDEX(輔助計算!$D:$D,(MATCH(669, 輔助計算!$F$2:$F$801, 0)+1))="","",INDEX(輔助計算!$D:$D,(MATCH(669, 輔助計算!$F$2:$F$801, 0)+1))*INDEX(ERP資料!$O:$O,(MATCH(669, 輔助計算!$F$2:$F$801, 0)+1))), "")</f>
        <v/>
      </c>
      <c r="J670" s="16" t="n"/>
      <c r="K670" s="15">
        <f>IFERROR(INDEX(輔助計算!$D:$D, (MATCH(669, 輔助計算!$F$2:$F$801, 0)+1)), "")</f>
        <v/>
      </c>
      <c r="L670" s="16">
        <f>IFERROR(IF(AND(IFERROR(VLOOKUP(LEFT(INDEX(ERP資料!$S:$S, (MATCH(669, 輔助計算!$F$2:$F$801, 0)+1)), 4), 100張客戶!$A:$A, 1, FALSE), "")&lt;&gt;"", OR(INDEX(ERP資料!$F:$F, (MATCH(669, 輔助計算!$F$2:$F$801, 0)+1))=270, INDEX(ERP資料!$F:$F, (MATCH(669, 輔助計算!$F$2:$F$801, 0)+1))=300)), "100張", ""), "")</f>
        <v/>
      </c>
      <c r="M670" s="17" t="n"/>
      <c r="N670" s="17">
        <f>IF($F670="","",$F670)</f>
        <v/>
      </c>
      <c r="O670" s="17">
        <f>IF($G670="","",$G670)</f>
        <v/>
      </c>
      <c r="P670" s="17">
        <f>IF($K670="","",$K670)</f>
        <v/>
      </c>
      <c r="Q670" s="16" t="n"/>
      <c r="R670" s="18" t="n"/>
      <c r="S670" s="16" t="n"/>
    </row>
    <row r="671">
      <c r="A671" s="14">
        <f>IFERROR(IF(AND(IFERROR(INDEX(ERP資料!$A:$A, (MATCH(670, 輔助計算!$F$2:$F$801, 0)+1)), "")&lt;&gt;"", IFERROR(INDEX(ERP資料!$A:$A, (MATCH(670, 輔助計算!$F$2:$F$801, 0)+1)), "")&lt;&gt;IFERROR(INDEX(ERP資料!$A:$A, MATCH(669, 輔助計算!$F$2:$F$801, 0)+1), "")), INDEX(ERP資料!$B:$B, (MATCH(670, 輔助計算!$F$2:$F$801, 0)+1)), ""), "")</f>
        <v/>
      </c>
      <c r="B671" s="10">
        <f>IFERROR(IF(AND(IFERROR(INDEX(ERP資料!$A:$A, (MATCH(670, 輔助計算!$F$2:$F$801, 0)+1)), "")&lt;&gt;"", IFERROR(INDEX(ERP資料!$A:$A, (MATCH(670, 輔助計算!$F$2:$F$801, 0)+1)), "")&lt;&gt;IFERROR(INDEX(ERP資料!$A:$A, MATCH(669, 輔助計算!$F$2:$F$801, 0)+1), "")), IFERROR(INDEX(ERP資料!$A:$A, (MATCH(670, 輔助計算!$F$2:$F$801, 0)+1)), ""), ""), "")</f>
        <v/>
      </c>
      <c r="C671" s="10">
        <f>IFERROR(IF(AND(IFERROR(INDEX(ERP資料!$A:$A, (MATCH(670, 輔助計算!$F$2:$F$801, 0)+1)), "")&lt;&gt;"", IFERROR(INDEX(ERP資料!$A:$A, (MATCH(670, 輔助計算!$F$2:$F$801, 0)+1)), "")&lt;&gt;IFERROR(INDEX(ERP資料!$A:$A, MATCH(669, 輔助計算!$F$2:$F$801, 0)+1), "")), INDEX(ERP資料!$S:$S, (MATCH(670, 輔助計算!$F$2:$F$801, 0)+1)), ""), "")</f>
        <v/>
      </c>
      <c r="D671" s="10">
        <f>IFERROR(IF(INDEX(ERP資料!$E:$E, (MATCH(670, 輔助計算!$F$2:$F$801, 0)+1))="","",TRIM(INDEX(ERP資料!$E:$E, (MATCH(670, 輔助計算!$F$2:$F$801, 0)+1)))), "")</f>
        <v/>
      </c>
      <c r="E671" s="10">
        <f>IFERROR(IF(INDEX(ERP資料!$F:$F, (MATCH(670, 輔助計算!$F$2:$F$801, 0)+1))="","",INDEX(ERP資料!$F:$F, (MATCH(670, 輔助計算!$F$2:$F$801, 0)+1))), "")</f>
        <v/>
      </c>
      <c r="F671" s="10">
        <f>IFERROR(IF(INDEX(ERP資料!$G:$G, (MATCH(670, 輔助計算!$F$2:$F$801, 0)+1))="","",INDEX(ERP資料!$G:$G, (MATCH(670, 輔助計算!$F$2:$F$801, 0)+1))), "")</f>
        <v/>
      </c>
      <c r="G671" s="10">
        <f>IFERROR(IF(INDEX(ERP資料!$H:$H, (MATCH(670, 輔助計算!$F$2:$F$801, 0)+1))="","",INDEX(ERP資料!$H:$H, (MATCH(670, 輔助計算!$F$2:$F$801, 0)+1))), "")</f>
        <v/>
      </c>
      <c r="H671" s="10">
        <f>IFERROR(IF(INDEX(ERP資料!$O:$O, (MATCH(670, 輔助計算!$F$2:$F$801, 0)+1))="","",INDEX(ERP資料!$O:$O, (MATCH(670, 輔助計算!$F$2:$F$801, 0)+1))), "")</f>
        <v/>
      </c>
      <c r="I671" s="15">
        <f>IFERROR(IF(INDEX(輔助計算!$D:$D,(MATCH(670, 輔助計算!$F$2:$F$801, 0)+1))="","",INDEX(輔助計算!$D:$D,(MATCH(670, 輔助計算!$F$2:$F$801, 0)+1))*INDEX(ERP資料!$O:$O,(MATCH(670, 輔助計算!$F$2:$F$801, 0)+1))), "")</f>
        <v/>
      </c>
      <c r="J671" s="16" t="n"/>
      <c r="K671" s="15">
        <f>IFERROR(INDEX(輔助計算!$D:$D, (MATCH(670, 輔助計算!$F$2:$F$801, 0)+1)), "")</f>
        <v/>
      </c>
      <c r="L671" s="16">
        <f>IFERROR(IF(AND(IFERROR(VLOOKUP(LEFT(INDEX(ERP資料!$S:$S, (MATCH(670, 輔助計算!$F$2:$F$801, 0)+1)), 4), 100張客戶!$A:$A, 1, FALSE), "")&lt;&gt;"", OR(INDEX(ERP資料!$F:$F, (MATCH(670, 輔助計算!$F$2:$F$801, 0)+1))=270, INDEX(ERP資料!$F:$F, (MATCH(670, 輔助計算!$F$2:$F$801, 0)+1))=300)), "100張", ""), "")</f>
        <v/>
      </c>
      <c r="M671" s="17" t="n"/>
      <c r="N671" s="17">
        <f>IF($F671="","",$F671)</f>
        <v/>
      </c>
      <c r="O671" s="17">
        <f>IF($G671="","",$G671)</f>
        <v/>
      </c>
      <c r="P671" s="17">
        <f>IF($K671="","",$K671)</f>
        <v/>
      </c>
      <c r="Q671" s="16" t="n"/>
      <c r="R671" s="18" t="n"/>
      <c r="S671" s="16" t="n"/>
    </row>
    <row r="672">
      <c r="A672" s="14">
        <f>IFERROR(IF(AND(IFERROR(INDEX(ERP資料!$A:$A, (MATCH(671, 輔助計算!$F$2:$F$801, 0)+1)), "")&lt;&gt;"", IFERROR(INDEX(ERP資料!$A:$A, (MATCH(671, 輔助計算!$F$2:$F$801, 0)+1)), "")&lt;&gt;IFERROR(INDEX(ERP資料!$A:$A, MATCH(670, 輔助計算!$F$2:$F$801, 0)+1), "")), INDEX(ERP資料!$B:$B, (MATCH(671, 輔助計算!$F$2:$F$801, 0)+1)), ""), "")</f>
        <v/>
      </c>
      <c r="B672" s="10">
        <f>IFERROR(IF(AND(IFERROR(INDEX(ERP資料!$A:$A, (MATCH(671, 輔助計算!$F$2:$F$801, 0)+1)), "")&lt;&gt;"", IFERROR(INDEX(ERP資料!$A:$A, (MATCH(671, 輔助計算!$F$2:$F$801, 0)+1)), "")&lt;&gt;IFERROR(INDEX(ERP資料!$A:$A, MATCH(670, 輔助計算!$F$2:$F$801, 0)+1), "")), IFERROR(INDEX(ERP資料!$A:$A, (MATCH(671, 輔助計算!$F$2:$F$801, 0)+1)), ""), ""), "")</f>
        <v/>
      </c>
      <c r="C672" s="10">
        <f>IFERROR(IF(AND(IFERROR(INDEX(ERP資料!$A:$A, (MATCH(671, 輔助計算!$F$2:$F$801, 0)+1)), "")&lt;&gt;"", IFERROR(INDEX(ERP資料!$A:$A, (MATCH(671, 輔助計算!$F$2:$F$801, 0)+1)), "")&lt;&gt;IFERROR(INDEX(ERP資料!$A:$A, MATCH(670, 輔助計算!$F$2:$F$801, 0)+1), "")), INDEX(ERP資料!$S:$S, (MATCH(671, 輔助計算!$F$2:$F$801, 0)+1)), ""), "")</f>
        <v/>
      </c>
      <c r="D672" s="10">
        <f>IFERROR(IF(INDEX(ERP資料!$E:$E, (MATCH(671, 輔助計算!$F$2:$F$801, 0)+1))="","",TRIM(INDEX(ERP資料!$E:$E, (MATCH(671, 輔助計算!$F$2:$F$801, 0)+1)))), "")</f>
        <v/>
      </c>
      <c r="E672" s="10">
        <f>IFERROR(IF(INDEX(ERP資料!$F:$F, (MATCH(671, 輔助計算!$F$2:$F$801, 0)+1))="","",INDEX(ERP資料!$F:$F, (MATCH(671, 輔助計算!$F$2:$F$801, 0)+1))), "")</f>
        <v/>
      </c>
      <c r="F672" s="10">
        <f>IFERROR(IF(INDEX(ERP資料!$G:$G, (MATCH(671, 輔助計算!$F$2:$F$801, 0)+1))="","",INDEX(ERP資料!$G:$G, (MATCH(671, 輔助計算!$F$2:$F$801, 0)+1))), "")</f>
        <v/>
      </c>
      <c r="G672" s="10">
        <f>IFERROR(IF(INDEX(ERP資料!$H:$H, (MATCH(671, 輔助計算!$F$2:$F$801, 0)+1))="","",INDEX(ERP資料!$H:$H, (MATCH(671, 輔助計算!$F$2:$F$801, 0)+1))), "")</f>
        <v/>
      </c>
      <c r="H672" s="10">
        <f>IFERROR(IF(INDEX(ERP資料!$O:$O, (MATCH(671, 輔助計算!$F$2:$F$801, 0)+1))="","",INDEX(ERP資料!$O:$O, (MATCH(671, 輔助計算!$F$2:$F$801, 0)+1))), "")</f>
        <v/>
      </c>
      <c r="I672" s="15">
        <f>IFERROR(IF(INDEX(輔助計算!$D:$D,(MATCH(671, 輔助計算!$F$2:$F$801, 0)+1))="","",INDEX(輔助計算!$D:$D,(MATCH(671, 輔助計算!$F$2:$F$801, 0)+1))*INDEX(ERP資料!$O:$O,(MATCH(671, 輔助計算!$F$2:$F$801, 0)+1))), "")</f>
        <v/>
      </c>
      <c r="J672" s="16" t="n"/>
      <c r="K672" s="15">
        <f>IFERROR(INDEX(輔助計算!$D:$D, (MATCH(671, 輔助計算!$F$2:$F$801, 0)+1)), "")</f>
        <v/>
      </c>
      <c r="L672" s="16">
        <f>IFERROR(IF(AND(IFERROR(VLOOKUP(LEFT(INDEX(ERP資料!$S:$S, (MATCH(671, 輔助計算!$F$2:$F$801, 0)+1)), 4), 100張客戶!$A:$A, 1, FALSE), "")&lt;&gt;"", OR(INDEX(ERP資料!$F:$F, (MATCH(671, 輔助計算!$F$2:$F$801, 0)+1))=270, INDEX(ERP資料!$F:$F, (MATCH(671, 輔助計算!$F$2:$F$801, 0)+1))=300)), "100張", ""), "")</f>
        <v/>
      </c>
      <c r="M672" s="17" t="n"/>
      <c r="N672" s="17">
        <f>IF($F672="","",$F672)</f>
        <v/>
      </c>
      <c r="O672" s="17">
        <f>IF($G672="","",$G672)</f>
        <v/>
      </c>
      <c r="P672" s="17">
        <f>IF($K672="","",$K672)</f>
        <v/>
      </c>
      <c r="Q672" s="16" t="n"/>
      <c r="R672" s="18" t="n"/>
      <c r="S672" s="16" t="n"/>
    </row>
    <row r="673">
      <c r="A673" s="14">
        <f>IFERROR(IF(AND(IFERROR(INDEX(ERP資料!$A:$A, (MATCH(672, 輔助計算!$F$2:$F$801, 0)+1)), "")&lt;&gt;"", IFERROR(INDEX(ERP資料!$A:$A, (MATCH(672, 輔助計算!$F$2:$F$801, 0)+1)), "")&lt;&gt;IFERROR(INDEX(ERP資料!$A:$A, MATCH(671, 輔助計算!$F$2:$F$801, 0)+1), "")), INDEX(ERP資料!$B:$B, (MATCH(672, 輔助計算!$F$2:$F$801, 0)+1)), ""), "")</f>
        <v/>
      </c>
      <c r="B673" s="10">
        <f>IFERROR(IF(AND(IFERROR(INDEX(ERP資料!$A:$A, (MATCH(672, 輔助計算!$F$2:$F$801, 0)+1)), "")&lt;&gt;"", IFERROR(INDEX(ERP資料!$A:$A, (MATCH(672, 輔助計算!$F$2:$F$801, 0)+1)), "")&lt;&gt;IFERROR(INDEX(ERP資料!$A:$A, MATCH(671, 輔助計算!$F$2:$F$801, 0)+1), "")), IFERROR(INDEX(ERP資料!$A:$A, (MATCH(672, 輔助計算!$F$2:$F$801, 0)+1)), ""), ""), "")</f>
        <v/>
      </c>
      <c r="C673" s="10">
        <f>IFERROR(IF(AND(IFERROR(INDEX(ERP資料!$A:$A, (MATCH(672, 輔助計算!$F$2:$F$801, 0)+1)), "")&lt;&gt;"", IFERROR(INDEX(ERP資料!$A:$A, (MATCH(672, 輔助計算!$F$2:$F$801, 0)+1)), "")&lt;&gt;IFERROR(INDEX(ERP資料!$A:$A, MATCH(671, 輔助計算!$F$2:$F$801, 0)+1), "")), INDEX(ERP資料!$S:$S, (MATCH(672, 輔助計算!$F$2:$F$801, 0)+1)), ""), "")</f>
        <v/>
      </c>
      <c r="D673" s="10">
        <f>IFERROR(IF(INDEX(ERP資料!$E:$E, (MATCH(672, 輔助計算!$F$2:$F$801, 0)+1))="","",TRIM(INDEX(ERP資料!$E:$E, (MATCH(672, 輔助計算!$F$2:$F$801, 0)+1)))), "")</f>
        <v/>
      </c>
      <c r="E673" s="10">
        <f>IFERROR(IF(INDEX(ERP資料!$F:$F, (MATCH(672, 輔助計算!$F$2:$F$801, 0)+1))="","",INDEX(ERP資料!$F:$F, (MATCH(672, 輔助計算!$F$2:$F$801, 0)+1))), "")</f>
        <v/>
      </c>
      <c r="F673" s="10">
        <f>IFERROR(IF(INDEX(ERP資料!$G:$G, (MATCH(672, 輔助計算!$F$2:$F$801, 0)+1))="","",INDEX(ERP資料!$G:$G, (MATCH(672, 輔助計算!$F$2:$F$801, 0)+1))), "")</f>
        <v/>
      </c>
      <c r="G673" s="10">
        <f>IFERROR(IF(INDEX(ERP資料!$H:$H, (MATCH(672, 輔助計算!$F$2:$F$801, 0)+1))="","",INDEX(ERP資料!$H:$H, (MATCH(672, 輔助計算!$F$2:$F$801, 0)+1))), "")</f>
        <v/>
      </c>
      <c r="H673" s="10">
        <f>IFERROR(IF(INDEX(ERP資料!$O:$O, (MATCH(672, 輔助計算!$F$2:$F$801, 0)+1))="","",INDEX(ERP資料!$O:$O, (MATCH(672, 輔助計算!$F$2:$F$801, 0)+1))), "")</f>
        <v/>
      </c>
      <c r="I673" s="15">
        <f>IFERROR(IF(INDEX(輔助計算!$D:$D,(MATCH(672, 輔助計算!$F$2:$F$801, 0)+1))="","",INDEX(輔助計算!$D:$D,(MATCH(672, 輔助計算!$F$2:$F$801, 0)+1))*INDEX(ERP資料!$O:$O,(MATCH(672, 輔助計算!$F$2:$F$801, 0)+1))), "")</f>
        <v/>
      </c>
      <c r="J673" s="16" t="n"/>
      <c r="K673" s="15">
        <f>IFERROR(INDEX(輔助計算!$D:$D, (MATCH(672, 輔助計算!$F$2:$F$801, 0)+1)), "")</f>
        <v/>
      </c>
      <c r="L673" s="16">
        <f>IFERROR(IF(AND(IFERROR(VLOOKUP(LEFT(INDEX(ERP資料!$S:$S, (MATCH(672, 輔助計算!$F$2:$F$801, 0)+1)), 4), 100張客戶!$A:$A, 1, FALSE), "")&lt;&gt;"", OR(INDEX(ERP資料!$F:$F, (MATCH(672, 輔助計算!$F$2:$F$801, 0)+1))=270, INDEX(ERP資料!$F:$F, (MATCH(672, 輔助計算!$F$2:$F$801, 0)+1))=300)), "100張", ""), "")</f>
        <v/>
      </c>
      <c r="M673" s="17" t="n"/>
      <c r="N673" s="17">
        <f>IF($F673="","",$F673)</f>
        <v/>
      </c>
      <c r="O673" s="17">
        <f>IF($G673="","",$G673)</f>
        <v/>
      </c>
      <c r="P673" s="17">
        <f>IF($K673="","",$K673)</f>
        <v/>
      </c>
      <c r="Q673" s="16" t="n"/>
      <c r="R673" s="18" t="n"/>
      <c r="S673" s="16" t="n"/>
    </row>
    <row r="674">
      <c r="A674" s="14">
        <f>IFERROR(IF(AND(IFERROR(INDEX(ERP資料!$A:$A, (MATCH(673, 輔助計算!$F$2:$F$801, 0)+1)), "")&lt;&gt;"", IFERROR(INDEX(ERP資料!$A:$A, (MATCH(673, 輔助計算!$F$2:$F$801, 0)+1)), "")&lt;&gt;IFERROR(INDEX(ERP資料!$A:$A, MATCH(672, 輔助計算!$F$2:$F$801, 0)+1), "")), INDEX(ERP資料!$B:$B, (MATCH(673, 輔助計算!$F$2:$F$801, 0)+1)), ""), "")</f>
        <v/>
      </c>
      <c r="B674" s="10">
        <f>IFERROR(IF(AND(IFERROR(INDEX(ERP資料!$A:$A, (MATCH(673, 輔助計算!$F$2:$F$801, 0)+1)), "")&lt;&gt;"", IFERROR(INDEX(ERP資料!$A:$A, (MATCH(673, 輔助計算!$F$2:$F$801, 0)+1)), "")&lt;&gt;IFERROR(INDEX(ERP資料!$A:$A, MATCH(672, 輔助計算!$F$2:$F$801, 0)+1), "")), IFERROR(INDEX(ERP資料!$A:$A, (MATCH(673, 輔助計算!$F$2:$F$801, 0)+1)), ""), ""), "")</f>
        <v/>
      </c>
      <c r="C674" s="10">
        <f>IFERROR(IF(AND(IFERROR(INDEX(ERP資料!$A:$A, (MATCH(673, 輔助計算!$F$2:$F$801, 0)+1)), "")&lt;&gt;"", IFERROR(INDEX(ERP資料!$A:$A, (MATCH(673, 輔助計算!$F$2:$F$801, 0)+1)), "")&lt;&gt;IFERROR(INDEX(ERP資料!$A:$A, MATCH(672, 輔助計算!$F$2:$F$801, 0)+1), "")), INDEX(ERP資料!$S:$S, (MATCH(673, 輔助計算!$F$2:$F$801, 0)+1)), ""), "")</f>
        <v/>
      </c>
      <c r="D674" s="10">
        <f>IFERROR(IF(INDEX(ERP資料!$E:$E, (MATCH(673, 輔助計算!$F$2:$F$801, 0)+1))="","",TRIM(INDEX(ERP資料!$E:$E, (MATCH(673, 輔助計算!$F$2:$F$801, 0)+1)))), "")</f>
        <v/>
      </c>
      <c r="E674" s="10">
        <f>IFERROR(IF(INDEX(ERP資料!$F:$F, (MATCH(673, 輔助計算!$F$2:$F$801, 0)+1))="","",INDEX(ERP資料!$F:$F, (MATCH(673, 輔助計算!$F$2:$F$801, 0)+1))), "")</f>
        <v/>
      </c>
      <c r="F674" s="10">
        <f>IFERROR(IF(INDEX(ERP資料!$G:$G, (MATCH(673, 輔助計算!$F$2:$F$801, 0)+1))="","",INDEX(ERP資料!$G:$G, (MATCH(673, 輔助計算!$F$2:$F$801, 0)+1))), "")</f>
        <v/>
      </c>
      <c r="G674" s="10">
        <f>IFERROR(IF(INDEX(ERP資料!$H:$H, (MATCH(673, 輔助計算!$F$2:$F$801, 0)+1))="","",INDEX(ERP資料!$H:$H, (MATCH(673, 輔助計算!$F$2:$F$801, 0)+1))), "")</f>
        <v/>
      </c>
      <c r="H674" s="10">
        <f>IFERROR(IF(INDEX(ERP資料!$O:$O, (MATCH(673, 輔助計算!$F$2:$F$801, 0)+1))="","",INDEX(ERP資料!$O:$O, (MATCH(673, 輔助計算!$F$2:$F$801, 0)+1))), "")</f>
        <v/>
      </c>
      <c r="I674" s="15">
        <f>IFERROR(IF(INDEX(輔助計算!$D:$D,(MATCH(673, 輔助計算!$F$2:$F$801, 0)+1))="","",INDEX(輔助計算!$D:$D,(MATCH(673, 輔助計算!$F$2:$F$801, 0)+1))*INDEX(ERP資料!$O:$O,(MATCH(673, 輔助計算!$F$2:$F$801, 0)+1))), "")</f>
        <v/>
      </c>
      <c r="J674" s="16" t="n"/>
      <c r="K674" s="15">
        <f>IFERROR(INDEX(輔助計算!$D:$D, (MATCH(673, 輔助計算!$F$2:$F$801, 0)+1)), "")</f>
        <v/>
      </c>
      <c r="L674" s="16">
        <f>IFERROR(IF(AND(IFERROR(VLOOKUP(LEFT(INDEX(ERP資料!$S:$S, (MATCH(673, 輔助計算!$F$2:$F$801, 0)+1)), 4), 100張客戶!$A:$A, 1, FALSE), "")&lt;&gt;"", OR(INDEX(ERP資料!$F:$F, (MATCH(673, 輔助計算!$F$2:$F$801, 0)+1))=270, INDEX(ERP資料!$F:$F, (MATCH(673, 輔助計算!$F$2:$F$801, 0)+1))=300)), "100張", ""), "")</f>
        <v/>
      </c>
      <c r="M674" s="17" t="n"/>
      <c r="N674" s="17">
        <f>IF($F674="","",$F674)</f>
        <v/>
      </c>
      <c r="O674" s="17">
        <f>IF($G674="","",$G674)</f>
        <v/>
      </c>
      <c r="P674" s="17">
        <f>IF($K674="","",$K674)</f>
        <v/>
      </c>
      <c r="Q674" s="16" t="n"/>
      <c r="R674" s="18" t="n"/>
      <c r="S674" s="16" t="n"/>
    </row>
    <row r="675">
      <c r="A675" s="14">
        <f>IFERROR(IF(AND(IFERROR(INDEX(ERP資料!$A:$A, (MATCH(674, 輔助計算!$F$2:$F$801, 0)+1)), "")&lt;&gt;"", IFERROR(INDEX(ERP資料!$A:$A, (MATCH(674, 輔助計算!$F$2:$F$801, 0)+1)), "")&lt;&gt;IFERROR(INDEX(ERP資料!$A:$A, MATCH(673, 輔助計算!$F$2:$F$801, 0)+1), "")), INDEX(ERP資料!$B:$B, (MATCH(674, 輔助計算!$F$2:$F$801, 0)+1)), ""), "")</f>
        <v/>
      </c>
      <c r="B675" s="10">
        <f>IFERROR(IF(AND(IFERROR(INDEX(ERP資料!$A:$A, (MATCH(674, 輔助計算!$F$2:$F$801, 0)+1)), "")&lt;&gt;"", IFERROR(INDEX(ERP資料!$A:$A, (MATCH(674, 輔助計算!$F$2:$F$801, 0)+1)), "")&lt;&gt;IFERROR(INDEX(ERP資料!$A:$A, MATCH(673, 輔助計算!$F$2:$F$801, 0)+1), "")), IFERROR(INDEX(ERP資料!$A:$A, (MATCH(674, 輔助計算!$F$2:$F$801, 0)+1)), ""), ""), "")</f>
        <v/>
      </c>
      <c r="C675" s="10">
        <f>IFERROR(IF(AND(IFERROR(INDEX(ERP資料!$A:$A, (MATCH(674, 輔助計算!$F$2:$F$801, 0)+1)), "")&lt;&gt;"", IFERROR(INDEX(ERP資料!$A:$A, (MATCH(674, 輔助計算!$F$2:$F$801, 0)+1)), "")&lt;&gt;IFERROR(INDEX(ERP資料!$A:$A, MATCH(673, 輔助計算!$F$2:$F$801, 0)+1), "")), INDEX(ERP資料!$S:$S, (MATCH(674, 輔助計算!$F$2:$F$801, 0)+1)), ""), "")</f>
        <v/>
      </c>
      <c r="D675" s="10">
        <f>IFERROR(IF(INDEX(ERP資料!$E:$E, (MATCH(674, 輔助計算!$F$2:$F$801, 0)+1))="","",TRIM(INDEX(ERP資料!$E:$E, (MATCH(674, 輔助計算!$F$2:$F$801, 0)+1)))), "")</f>
        <v/>
      </c>
      <c r="E675" s="10">
        <f>IFERROR(IF(INDEX(ERP資料!$F:$F, (MATCH(674, 輔助計算!$F$2:$F$801, 0)+1))="","",INDEX(ERP資料!$F:$F, (MATCH(674, 輔助計算!$F$2:$F$801, 0)+1))), "")</f>
        <v/>
      </c>
      <c r="F675" s="10">
        <f>IFERROR(IF(INDEX(ERP資料!$G:$G, (MATCH(674, 輔助計算!$F$2:$F$801, 0)+1))="","",INDEX(ERP資料!$G:$G, (MATCH(674, 輔助計算!$F$2:$F$801, 0)+1))), "")</f>
        <v/>
      </c>
      <c r="G675" s="10">
        <f>IFERROR(IF(INDEX(ERP資料!$H:$H, (MATCH(674, 輔助計算!$F$2:$F$801, 0)+1))="","",INDEX(ERP資料!$H:$H, (MATCH(674, 輔助計算!$F$2:$F$801, 0)+1))), "")</f>
        <v/>
      </c>
      <c r="H675" s="10">
        <f>IFERROR(IF(INDEX(ERP資料!$O:$O, (MATCH(674, 輔助計算!$F$2:$F$801, 0)+1))="","",INDEX(ERP資料!$O:$O, (MATCH(674, 輔助計算!$F$2:$F$801, 0)+1))), "")</f>
        <v/>
      </c>
      <c r="I675" s="15">
        <f>IFERROR(IF(INDEX(輔助計算!$D:$D,(MATCH(674, 輔助計算!$F$2:$F$801, 0)+1))="","",INDEX(輔助計算!$D:$D,(MATCH(674, 輔助計算!$F$2:$F$801, 0)+1))*INDEX(ERP資料!$O:$O,(MATCH(674, 輔助計算!$F$2:$F$801, 0)+1))), "")</f>
        <v/>
      </c>
      <c r="J675" s="16" t="n"/>
      <c r="K675" s="15">
        <f>IFERROR(INDEX(輔助計算!$D:$D, (MATCH(674, 輔助計算!$F$2:$F$801, 0)+1)), "")</f>
        <v/>
      </c>
      <c r="L675" s="16">
        <f>IFERROR(IF(AND(IFERROR(VLOOKUP(LEFT(INDEX(ERP資料!$S:$S, (MATCH(674, 輔助計算!$F$2:$F$801, 0)+1)), 4), 100張客戶!$A:$A, 1, FALSE), "")&lt;&gt;"", OR(INDEX(ERP資料!$F:$F, (MATCH(674, 輔助計算!$F$2:$F$801, 0)+1))=270, INDEX(ERP資料!$F:$F, (MATCH(674, 輔助計算!$F$2:$F$801, 0)+1))=300)), "100張", ""), "")</f>
        <v/>
      </c>
      <c r="M675" s="17" t="n"/>
      <c r="N675" s="17">
        <f>IF($F675="","",$F675)</f>
        <v/>
      </c>
      <c r="O675" s="17">
        <f>IF($G675="","",$G675)</f>
        <v/>
      </c>
      <c r="P675" s="17">
        <f>IF($K675="","",$K675)</f>
        <v/>
      </c>
      <c r="Q675" s="16" t="n"/>
      <c r="R675" s="18" t="n"/>
      <c r="S675" s="16" t="n"/>
    </row>
    <row r="676">
      <c r="A676" s="14">
        <f>IFERROR(IF(AND(IFERROR(INDEX(ERP資料!$A:$A, (MATCH(675, 輔助計算!$F$2:$F$801, 0)+1)), "")&lt;&gt;"", IFERROR(INDEX(ERP資料!$A:$A, (MATCH(675, 輔助計算!$F$2:$F$801, 0)+1)), "")&lt;&gt;IFERROR(INDEX(ERP資料!$A:$A, MATCH(674, 輔助計算!$F$2:$F$801, 0)+1), "")), INDEX(ERP資料!$B:$B, (MATCH(675, 輔助計算!$F$2:$F$801, 0)+1)), ""), "")</f>
        <v/>
      </c>
      <c r="B676" s="10">
        <f>IFERROR(IF(AND(IFERROR(INDEX(ERP資料!$A:$A, (MATCH(675, 輔助計算!$F$2:$F$801, 0)+1)), "")&lt;&gt;"", IFERROR(INDEX(ERP資料!$A:$A, (MATCH(675, 輔助計算!$F$2:$F$801, 0)+1)), "")&lt;&gt;IFERROR(INDEX(ERP資料!$A:$A, MATCH(674, 輔助計算!$F$2:$F$801, 0)+1), "")), IFERROR(INDEX(ERP資料!$A:$A, (MATCH(675, 輔助計算!$F$2:$F$801, 0)+1)), ""), ""), "")</f>
        <v/>
      </c>
      <c r="C676" s="10">
        <f>IFERROR(IF(AND(IFERROR(INDEX(ERP資料!$A:$A, (MATCH(675, 輔助計算!$F$2:$F$801, 0)+1)), "")&lt;&gt;"", IFERROR(INDEX(ERP資料!$A:$A, (MATCH(675, 輔助計算!$F$2:$F$801, 0)+1)), "")&lt;&gt;IFERROR(INDEX(ERP資料!$A:$A, MATCH(674, 輔助計算!$F$2:$F$801, 0)+1), "")), INDEX(ERP資料!$S:$S, (MATCH(675, 輔助計算!$F$2:$F$801, 0)+1)), ""), "")</f>
        <v/>
      </c>
      <c r="D676" s="10">
        <f>IFERROR(IF(INDEX(ERP資料!$E:$E, (MATCH(675, 輔助計算!$F$2:$F$801, 0)+1))="","",TRIM(INDEX(ERP資料!$E:$E, (MATCH(675, 輔助計算!$F$2:$F$801, 0)+1)))), "")</f>
        <v/>
      </c>
      <c r="E676" s="10">
        <f>IFERROR(IF(INDEX(ERP資料!$F:$F, (MATCH(675, 輔助計算!$F$2:$F$801, 0)+1))="","",INDEX(ERP資料!$F:$F, (MATCH(675, 輔助計算!$F$2:$F$801, 0)+1))), "")</f>
        <v/>
      </c>
      <c r="F676" s="10">
        <f>IFERROR(IF(INDEX(ERP資料!$G:$G, (MATCH(675, 輔助計算!$F$2:$F$801, 0)+1))="","",INDEX(ERP資料!$G:$G, (MATCH(675, 輔助計算!$F$2:$F$801, 0)+1))), "")</f>
        <v/>
      </c>
      <c r="G676" s="10">
        <f>IFERROR(IF(INDEX(ERP資料!$H:$H, (MATCH(675, 輔助計算!$F$2:$F$801, 0)+1))="","",INDEX(ERP資料!$H:$H, (MATCH(675, 輔助計算!$F$2:$F$801, 0)+1))), "")</f>
        <v/>
      </c>
      <c r="H676" s="10">
        <f>IFERROR(IF(INDEX(ERP資料!$O:$O, (MATCH(675, 輔助計算!$F$2:$F$801, 0)+1))="","",INDEX(ERP資料!$O:$O, (MATCH(675, 輔助計算!$F$2:$F$801, 0)+1))), "")</f>
        <v/>
      </c>
      <c r="I676" s="15">
        <f>IFERROR(IF(INDEX(輔助計算!$D:$D,(MATCH(675, 輔助計算!$F$2:$F$801, 0)+1))="","",INDEX(輔助計算!$D:$D,(MATCH(675, 輔助計算!$F$2:$F$801, 0)+1))*INDEX(ERP資料!$O:$O,(MATCH(675, 輔助計算!$F$2:$F$801, 0)+1))), "")</f>
        <v/>
      </c>
      <c r="J676" s="16" t="n"/>
      <c r="K676" s="15">
        <f>IFERROR(INDEX(輔助計算!$D:$D, (MATCH(675, 輔助計算!$F$2:$F$801, 0)+1)), "")</f>
        <v/>
      </c>
      <c r="L676" s="16">
        <f>IFERROR(IF(AND(IFERROR(VLOOKUP(LEFT(INDEX(ERP資料!$S:$S, (MATCH(675, 輔助計算!$F$2:$F$801, 0)+1)), 4), 100張客戶!$A:$A, 1, FALSE), "")&lt;&gt;"", OR(INDEX(ERP資料!$F:$F, (MATCH(675, 輔助計算!$F$2:$F$801, 0)+1))=270, INDEX(ERP資料!$F:$F, (MATCH(675, 輔助計算!$F$2:$F$801, 0)+1))=300)), "100張", ""), "")</f>
        <v/>
      </c>
      <c r="M676" s="17" t="n"/>
      <c r="N676" s="17">
        <f>IF($F676="","",$F676)</f>
        <v/>
      </c>
      <c r="O676" s="17">
        <f>IF($G676="","",$G676)</f>
        <v/>
      </c>
      <c r="P676" s="17">
        <f>IF($K676="","",$K676)</f>
        <v/>
      </c>
      <c r="Q676" s="16" t="n"/>
      <c r="R676" s="18" t="n"/>
      <c r="S676" s="16" t="n"/>
    </row>
    <row r="677">
      <c r="A677" s="14">
        <f>IFERROR(IF(AND(IFERROR(INDEX(ERP資料!$A:$A, (MATCH(676, 輔助計算!$F$2:$F$801, 0)+1)), "")&lt;&gt;"", IFERROR(INDEX(ERP資料!$A:$A, (MATCH(676, 輔助計算!$F$2:$F$801, 0)+1)), "")&lt;&gt;IFERROR(INDEX(ERP資料!$A:$A, MATCH(675, 輔助計算!$F$2:$F$801, 0)+1), "")), INDEX(ERP資料!$B:$B, (MATCH(676, 輔助計算!$F$2:$F$801, 0)+1)), ""), "")</f>
        <v/>
      </c>
      <c r="B677" s="10">
        <f>IFERROR(IF(AND(IFERROR(INDEX(ERP資料!$A:$A, (MATCH(676, 輔助計算!$F$2:$F$801, 0)+1)), "")&lt;&gt;"", IFERROR(INDEX(ERP資料!$A:$A, (MATCH(676, 輔助計算!$F$2:$F$801, 0)+1)), "")&lt;&gt;IFERROR(INDEX(ERP資料!$A:$A, MATCH(675, 輔助計算!$F$2:$F$801, 0)+1), "")), IFERROR(INDEX(ERP資料!$A:$A, (MATCH(676, 輔助計算!$F$2:$F$801, 0)+1)), ""), ""), "")</f>
        <v/>
      </c>
      <c r="C677" s="10">
        <f>IFERROR(IF(AND(IFERROR(INDEX(ERP資料!$A:$A, (MATCH(676, 輔助計算!$F$2:$F$801, 0)+1)), "")&lt;&gt;"", IFERROR(INDEX(ERP資料!$A:$A, (MATCH(676, 輔助計算!$F$2:$F$801, 0)+1)), "")&lt;&gt;IFERROR(INDEX(ERP資料!$A:$A, MATCH(675, 輔助計算!$F$2:$F$801, 0)+1), "")), INDEX(ERP資料!$S:$S, (MATCH(676, 輔助計算!$F$2:$F$801, 0)+1)), ""), "")</f>
        <v/>
      </c>
      <c r="D677" s="10">
        <f>IFERROR(IF(INDEX(ERP資料!$E:$E, (MATCH(676, 輔助計算!$F$2:$F$801, 0)+1))="","",TRIM(INDEX(ERP資料!$E:$E, (MATCH(676, 輔助計算!$F$2:$F$801, 0)+1)))), "")</f>
        <v/>
      </c>
      <c r="E677" s="10">
        <f>IFERROR(IF(INDEX(ERP資料!$F:$F, (MATCH(676, 輔助計算!$F$2:$F$801, 0)+1))="","",INDEX(ERP資料!$F:$F, (MATCH(676, 輔助計算!$F$2:$F$801, 0)+1))), "")</f>
        <v/>
      </c>
      <c r="F677" s="10">
        <f>IFERROR(IF(INDEX(ERP資料!$G:$G, (MATCH(676, 輔助計算!$F$2:$F$801, 0)+1))="","",INDEX(ERP資料!$G:$G, (MATCH(676, 輔助計算!$F$2:$F$801, 0)+1))), "")</f>
        <v/>
      </c>
      <c r="G677" s="10">
        <f>IFERROR(IF(INDEX(ERP資料!$H:$H, (MATCH(676, 輔助計算!$F$2:$F$801, 0)+1))="","",INDEX(ERP資料!$H:$H, (MATCH(676, 輔助計算!$F$2:$F$801, 0)+1))), "")</f>
        <v/>
      </c>
      <c r="H677" s="10">
        <f>IFERROR(IF(INDEX(ERP資料!$O:$O, (MATCH(676, 輔助計算!$F$2:$F$801, 0)+1))="","",INDEX(ERP資料!$O:$O, (MATCH(676, 輔助計算!$F$2:$F$801, 0)+1))), "")</f>
        <v/>
      </c>
      <c r="I677" s="15">
        <f>IFERROR(IF(INDEX(輔助計算!$D:$D,(MATCH(676, 輔助計算!$F$2:$F$801, 0)+1))="","",INDEX(輔助計算!$D:$D,(MATCH(676, 輔助計算!$F$2:$F$801, 0)+1))*INDEX(ERP資料!$O:$O,(MATCH(676, 輔助計算!$F$2:$F$801, 0)+1))), "")</f>
        <v/>
      </c>
      <c r="J677" s="16" t="n"/>
      <c r="K677" s="15">
        <f>IFERROR(INDEX(輔助計算!$D:$D, (MATCH(676, 輔助計算!$F$2:$F$801, 0)+1)), "")</f>
        <v/>
      </c>
      <c r="L677" s="16">
        <f>IFERROR(IF(AND(IFERROR(VLOOKUP(LEFT(INDEX(ERP資料!$S:$S, (MATCH(676, 輔助計算!$F$2:$F$801, 0)+1)), 4), 100張客戶!$A:$A, 1, FALSE), "")&lt;&gt;"", OR(INDEX(ERP資料!$F:$F, (MATCH(676, 輔助計算!$F$2:$F$801, 0)+1))=270, INDEX(ERP資料!$F:$F, (MATCH(676, 輔助計算!$F$2:$F$801, 0)+1))=300)), "100張", ""), "")</f>
        <v/>
      </c>
      <c r="M677" s="17" t="n"/>
      <c r="N677" s="17">
        <f>IF($F677="","",$F677)</f>
        <v/>
      </c>
      <c r="O677" s="17">
        <f>IF($G677="","",$G677)</f>
        <v/>
      </c>
      <c r="P677" s="17">
        <f>IF($K677="","",$K677)</f>
        <v/>
      </c>
      <c r="Q677" s="16" t="n"/>
      <c r="R677" s="18" t="n"/>
      <c r="S677" s="16" t="n"/>
    </row>
    <row r="678">
      <c r="A678" s="14">
        <f>IFERROR(IF(AND(IFERROR(INDEX(ERP資料!$A:$A, (MATCH(677, 輔助計算!$F$2:$F$801, 0)+1)), "")&lt;&gt;"", IFERROR(INDEX(ERP資料!$A:$A, (MATCH(677, 輔助計算!$F$2:$F$801, 0)+1)), "")&lt;&gt;IFERROR(INDEX(ERP資料!$A:$A, MATCH(676, 輔助計算!$F$2:$F$801, 0)+1), "")), INDEX(ERP資料!$B:$B, (MATCH(677, 輔助計算!$F$2:$F$801, 0)+1)), ""), "")</f>
        <v/>
      </c>
      <c r="B678" s="10">
        <f>IFERROR(IF(AND(IFERROR(INDEX(ERP資料!$A:$A, (MATCH(677, 輔助計算!$F$2:$F$801, 0)+1)), "")&lt;&gt;"", IFERROR(INDEX(ERP資料!$A:$A, (MATCH(677, 輔助計算!$F$2:$F$801, 0)+1)), "")&lt;&gt;IFERROR(INDEX(ERP資料!$A:$A, MATCH(676, 輔助計算!$F$2:$F$801, 0)+1), "")), IFERROR(INDEX(ERP資料!$A:$A, (MATCH(677, 輔助計算!$F$2:$F$801, 0)+1)), ""), ""), "")</f>
        <v/>
      </c>
      <c r="C678" s="10">
        <f>IFERROR(IF(AND(IFERROR(INDEX(ERP資料!$A:$A, (MATCH(677, 輔助計算!$F$2:$F$801, 0)+1)), "")&lt;&gt;"", IFERROR(INDEX(ERP資料!$A:$A, (MATCH(677, 輔助計算!$F$2:$F$801, 0)+1)), "")&lt;&gt;IFERROR(INDEX(ERP資料!$A:$A, MATCH(676, 輔助計算!$F$2:$F$801, 0)+1), "")), INDEX(ERP資料!$S:$S, (MATCH(677, 輔助計算!$F$2:$F$801, 0)+1)), ""), "")</f>
        <v/>
      </c>
      <c r="D678" s="10">
        <f>IFERROR(IF(INDEX(ERP資料!$E:$E, (MATCH(677, 輔助計算!$F$2:$F$801, 0)+1))="","",TRIM(INDEX(ERP資料!$E:$E, (MATCH(677, 輔助計算!$F$2:$F$801, 0)+1)))), "")</f>
        <v/>
      </c>
      <c r="E678" s="10">
        <f>IFERROR(IF(INDEX(ERP資料!$F:$F, (MATCH(677, 輔助計算!$F$2:$F$801, 0)+1))="","",INDEX(ERP資料!$F:$F, (MATCH(677, 輔助計算!$F$2:$F$801, 0)+1))), "")</f>
        <v/>
      </c>
      <c r="F678" s="10">
        <f>IFERROR(IF(INDEX(ERP資料!$G:$G, (MATCH(677, 輔助計算!$F$2:$F$801, 0)+1))="","",INDEX(ERP資料!$G:$G, (MATCH(677, 輔助計算!$F$2:$F$801, 0)+1))), "")</f>
        <v/>
      </c>
      <c r="G678" s="10">
        <f>IFERROR(IF(INDEX(ERP資料!$H:$H, (MATCH(677, 輔助計算!$F$2:$F$801, 0)+1))="","",INDEX(ERP資料!$H:$H, (MATCH(677, 輔助計算!$F$2:$F$801, 0)+1))), "")</f>
        <v/>
      </c>
      <c r="H678" s="10">
        <f>IFERROR(IF(INDEX(ERP資料!$O:$O, (MATCH(677, 輔助計算!$F$2:$F$801, 0)+1))="","",INDEX(ERP資料!$O:$O, (MATCH(677, 輔助計算!$F$2:$F$801, 0)+1))), "")</f>
        <v/>
      </c>
      <c r="I678" s="15">
        <f>IFERROR(IF(INDEX(輔助計算!$D:$D,(MATCH(677, 輔助計算!$F$2:$F$801, 0)+1))="","",INDEX(輔助計算!$D:$D,(MATCH(677, 輔助計算!$F$2:$F$801, 0)+1))*INDEX(ERP資料!$O:$O,(MATCH(677, 輔助計算!$F$2:$F$801, 0)+1))), "")</f>
        <v/>
      </c>
      <c r="J678" s="16" t="n"/>
      <c r="K678" s="15">
        <f>IFERROR(INDEX(輔助計算!$D:$D, (MATCH(677, 輔助計算!$F$2:$F$801, 0)+1)), "")</f>
        <v/>
      </c>
      <c r="L678" s="16">
        <f>IFERROR(IF(AND(IFERROR(VLOOKUP(LEFT(INDEX(ERP資料!$S:$S, (MATCH(677, 輔助計算!$F$2:$F$801, 0)+1)), 4), 100張客戶!$A:$A, 1, FALSE), "")&lt;&gt;"", OR(INDEX(ERP資料!$F:$F, (MATCH(677, 輔助計算!$F$2:$F$801, 0)+1))=270, INDEX(ERP資料!$F:$F, (MATCH(677, 輔助計算!$F$2:$F$801, 0)+1))=300)), "100張", ""), "")</f>
        <v/>
      </c>
      <c r="M678" s="17" t="n"/>
      <c r="N678" s="17">
        <f>IF($F678="","",$F678)</f>
        <v/>
      </c>
      <c r="O678" s="17">
        <f>IF($G678="","",$G678)</f>
        <v/>
      </c>
      <c r="P678" s="17">
        <f>IF($K678="","",$K678)</f>
        <v/>
      </c>
      <c r="Q678" s="16" t="n"/>
      <c r="R678" s="18" t="n"/>
      <c r="S678" s="16" t="n"/>
    </row>
    <row r="679">
      <c r="A679" s="14">
        <f>IFERROR(IF(AND(IFERROR(INDEX(ERP資料!$A:$A, (MATCH(678, 輔助計算!$F$2:$F$801, 0)+1)), "")&lt;&gt;"", IFERROR(INDEX(ERP資料!$A:$A, (MATCH(678, 輔助計算!$F$2:$F$801, 0)+1)), "")&lt;&gt;IFERROR(INDEX(ERP資料!$A:$A, MATCH(677, 輔助計算!$F$2:$F$801, 0)+1), "")), INDEX(ERP資料!$B:$B, (MATCH(678, 輔助計算!$F$2:$F$801, 0)+1)), ""), "")</f>
        <v/>
      </c>
      <c r="B679" s="10">
        <f>IFERROR(IF(AND(IFERROR(INDEX(ERP資料!$A:$A, (MATCH(678, 輔助計算!$F$2:$F$801, 0)+1)), "")&lt;&gt;"", IFERROR(INDEX(ERP資料!$A:$A, (MATCH(678, 輔助計算!$F$2:$F$801, 0)+1)), "")&lt;&gt;IFERROR(INDEX(ERP資料!$A:$A, MATCH(677, 輔助計算!$F$2:$F$801, 0)+1), "")), IFERROR(INDEX(ERP資料!$A:$A, (MATCH(678, 輔助計算!$F$2:$F$801, 0)+1)), ""), ""), "")</f>
        <v/>
      </c>
      <c r="C679" s="10">
        <f>IFERROR(IF(AND(IFERROR(INDEX(ERP資料!$A:$A, (MATCH(678, 輔助計算!$F$2:$F$801, 0)+1)), "")&lt;&gt;"", IFERROR(INDEX(ERP資料!$A:$A, (MATCH(678, 輔助計算!$F$2:$F$801, 0)+1)), "")&lt;&gt;IFERROR(INDEX(ERP資料!$A:$A, MATCH(677, 輔助計算!$F$2:$F$801, 0)+1), "")), INDEX(ERP資料!$S:$S, (MATCH(678, 輔助計算!$F$2:$F$801, 0)+1)), ""), "")</f>
        <v/>
      </c>
      <c r="D679" s="10">
        <f>IFERROR(IF(INDEX(ERP資料!$E:$E, (MATCH(678, 輔助計算!$F$2:$F$801, 0)+1))="","",TRIM(INDEX(ERP資料!$E:$E, (MATCH(678, 輔助計算!$F$2:$F$801, 0)+1)))), "")</f>
        <v/>
      </c>
      <c r="E679" s="10">
        <f>IFERROR(IF(INDEX(ERP資料!$F:$F, (MATCH(678, 輔助計算!$F$2:$F$801, 0)+1))="","",INDEX(ERP資料!$F:$F, (MATCH(678, 輔助計算!$F$2:$F$801, 0)+1))), "")</f>
        <v/>
      </c>
      <c r="F679" s="10">
        <f>IFERROR(IF(INDEX(ERP資料!$G:$G, (MATCH(678, 輔助計算!$F$2:$F$801, 0)+1))="","",INDEX(ERP資料!$G:$G, (MATCH(678, 輔助計算!$F$2:$F$801, 0)+1))), "")</f>
        <v/>
      </c>
      <c r="G679" s="10">
        <f>IFERROR(IF(INDEX(ERP資料!$H:$H, (MATCH(678, 輔助計算!$F$2:$F$801, 0)+1))="","",INDEX(ERP資料!$H:$H, (MATCH(678, 輔助計算!$F$2:$F$801, 0)+1))), "")</f>
        <v/>
      </c>
      <c r="H679" s="10">
        <f>IFERROR(IF(INDEX(ERP資料!$O:$O, (MATCH(678, 輔助計算!$F$2:$F$801, 0)+1))="","",INDEX(ERP資料!$O:$O, (MATCH(678, 輔助計算!$F$2:$F$801, 0)+1))), "")</f>
        <v/>
      </c>
      <c r="I679" s="15">
        <f>IFERROR(IF(INDEX(輔助計算!$D:$D,(MATCH(678, 輔助計算!$F$2:$F$801, 0)+1))="","",INDEX(輔助計算!$D:$D,(MATCH(678, 輔助計算!$F$2:$F$801, 0)+1))*INDEX(ERP資料!$O:$O,(MATCH(678, 輔助計算!$F$2:$F$801, 0)+1))), "")</f>
        <v/>
      </c>
      <c r="J679" s="16" t="n"/>
      <c r="K679" s="15">
        <f>IFERROR(INDEX(輔助計算!$D:$D, (MATCH(678, 輔助計算!$F$2:$F$801, 0)+1)), "")</f>
        <v/>
      </c>
      <c r="L679" s="16">
        <f>IFERROR(IF(AND(IFERROR(VLOOKUP(LEFT(INDEX(ERP資料!$S:$S, (MATCH(678, 輔助計算!$F$2:$F$801, 0)+1)), 4), 100張客戶!$A:$A, 1, FALSE), "")&lt;&gt;"", OR(INDEX(ERP資料!$F:$F, (MATCH(678, 輔助計算!$F$2:$F$801, 0)+1))=270, INDEX(ERP資料!$F:$F, (MATCH(678, 輔助計算!$F$2:$F$801, 0)+1))=300)), "100張", ""), "")</f>
        <v/>
      </c>
      <c r="M679" s="17" t="n"/>
      <c r="N679" s="17">
        <f>IF($F679="","",$F679)</f>
        <v/>
      </c>
      <c r="O679" s="17">
        <f>IF($G679="","",$G679)</f>
        <v/>
      </c>
      <c r="P679" s="17">
        <f>IF($K679="","",$K679)</f>
        <v/>
      </c>
      <c r="Q679" s="16" t="n"/>
      <c r="R679" s="18" t="n"/>
      <c r="S679" s="16" t="n"/>
    </row>
    <row r="680">
      <c r="A680" s="14">
        <f>IFERROR(IF(AND(IFERROR(INDEX(ERP資料!$A:$A, (MATCH(679, 輔助計算!$F$2:$F$801, 0)+1)), "")&lt;&gt;"", IFERROR(INDEX(ERP資料!$A:$A, (MATCH(679, 輔助計算!$F$2:$F$801, 0)+1)), "")&lt;&gt;IFERROR(INDEX(ERP資料!$A:$A, MATCH(678, 輔助計算!$F$2:$F$801, 0)+1), "")), INDEX(ERP資料!$B:$B, (MATCH(679, 輔助計算!$F$2:$F$801, 0)+1)), ""), "")</f>
        <v/>
      </c>
      <c r="B680" s="10">
        <f>IFERROR(IF(AND(IFERROR(INDEX(ERP資料!$A:$A, (MATCH(679, 輔助計算!$F$2:$F$801, 0)+1)), "")&lt;&gt;"", IFERROR(INDEX(ERP資料!$A:$A, (MATCH(679, 輔助計算!$F$2:$F$801, 0)+1)), "")&lt;&gt;IFERROR(INDEX(ERP資料!$A:$A, MATCH(678, 輔助計算!$F$2:$F$801, 0)+1), "")), IFERROR(INDEX(ERP資料!$A:$A, (MATCH(679, 輔助計算!$F$2:$F$801, 0)+1)), ""), ""), "")</f>
        <v/>
      </c>
      <c r="C680" s="10">
        <f>IFERROR(IF(AND(IFERROR(INDEX(ERP資料!$A:$A, (MATCH(679, 輔助計算!$F$2:$F$801, 0)+1)), "")&lt;&gt;"", IFERROR(INDEX(ERP資料!$A:$A, (MATCH(679, 輔助計算!$F$2:$F$801, 0)+1)), "")&lt;&gt;IFERROR(INDEX(ERP資料!$A:$A, MATCH(678, 輔助計算!$F$2:$F$801, 0)+1), "")), INDEX(ERP資料!$S:$S, (MATCH(679, 輔助計算!$F$2:$F$801, 0)+1)), ""), "")</f>
        <v/>
      </c>
      <c r="D680" s="10">
        <f>IFERROR(IF(INDEX(ERP資料!$E:$E, (MATCH(679, 輔助計算!$F$2:$F$801, 0)+1))="","",TRIM(INDEX(ERP資料!$E:$E, (MATCH(679, 輔助計算!$F$2:$F$801, 0)+1)))), "")</f>
        <v/>
      </c>
      <c r="E680" s="10">
        <f>IFERROR(IF(INDEX(ERP資料!$F:$F, (MATCH(679, 輔助計算!$F$2:$F$801, 0)+1))="","",INDEX(ERP資料!$F:$F, (MATCH(679, 輔助計算!$F$2:$F$801, 0)+1))), "")</f>
        <v/>
      </c>
      <c r="F680" s="10">
        <f>IFERROR(IF(INDEX(ERP資料!$G:$G, (MATCH(679, 輔助計算!$F$2:$F$801, 0)+1))="","",INDEX(ERP資料!$G:$G, (MATCH(679, 輔助計算!$F$2:$F$801, 0)+1))), "")</f>
        <v/>
      </c>
      <c r="G680" s="10">
        <f>IFERROR(IF(INDEX(ERP資料!$H:$H, (MATCH(679, 輔助計算!$F$2:$F$801, 0)+1))="","",INDEX(ERP資料!$H:$H, (MATCH(679, 輔助計算!$F$2:$F$801, 0)+1))), "")</f>
        <v/>
      </c>
      <c r="H680" s="10">
        <f>IFERROR(IF(INDEX(ERP資料!$O:$O, (MATCH(679, 輔助計算!$F$2:$F$801, 0)+1))="","",INDEX(ERP資料!$O:$O, (MATCH(679, 輔助計算!$F$2:$F$801, 0)+1))), "")</f>
        <v/>
      </c>
      <c r="I680" s="15">
        <f>IFERROR(IF(INDEX(輔助計算!$D:$D,(MATCH(679, 輔助計算!$F$2:$F$801, 0)+1))="","",INDEX(輔助計算!$D:$D,(MATCH(679, 輔助計算!$F$2:$F$801, 0)+1))*INDEX(ERP資料!$O:$O,(MATCH(679, 輔助計算!$F$2:$F$801, 0)+1))), "")</f>
        <v/>
      </c>
      <c r="J680" s="16" t="n"/>
      <c r="K680" s="15">
        <f>IFERROR(INDEX(輔助計算!$D:$D, (MATCH(679, 輔助計算!$F$2:$F$801, 0)+1)), "")</f>
        <v/>
      </c>
      <c r="L680" s="16">
        <f>IFERROR(IF(AND(IFERROR(VLOOKUP(LEFT(INDEX(ERP資料!$S:$S, (MATCH(679, 輔助計算!$F$2:$F$801, 0)+1)), 4), 100張客戶!$A:$A, 1, FALSE), "")&lt;&gt;"", OR(INDEX(ERP資料!$F:$F, (MATCH(679, 輔助計算!$F$2:$F$801, 0)+1))=270, INDEX(ERP資料!$F:$F, (MATCH(679, 輔助計算!$F$2:$F$801, 0)+1))=300)), "100張", ""), "")</f>
        <v/>
      </c>
      <c r="M680" s="17" t="n"/>
      <c r="N680" s="17">
        <f>IF($F680="","",$F680)</f>
        <v/>
      </c>
      <c r="O680" s="17">
        <f>IF($G680="","",$G680)</f>
        <v/>
      </c>
      <c r="P680" s="17">
        <f>IF($K680="","",$K680)</f>
        <v/>
      </c>
      <c r="Q680" s="16" t="n"/>
      <c r="R680" s="18" t="n"/>
      <c r="S680" s="16" t="n"/>
    </row>
    <row r="681">
      <c r="A681" s="14">
        <f>IFERROR(IF(AND(IFERROR(INDEX(ERP資料!$A:$A, (MATCH(680, 輔助計算!$F$2:$F$801, 0)+1)), "")&lt;&gt;"", IFERROR(INDEX(ERP資料!$A:$A, (MATCH(680, 輔助計算!$F$2:$F$801, 0)+1)), "")&lt;&gt;IFERROR(INDEX(ERP資料!$A:$A, MATCH(679, 輔助計算!$F$2:$F$801, 0)+1), "")), INDEX(ERP資料!$B:$B, (MATCH(680, 輔助計算!$F$2:$F$801, 0)+1)), ""), "")</f>
        <v/>
      </c>
      <c r="B681" s="10">
        <f>IFERROR(IF(AND(IFERROR(INDEX(ERP資料!$A:$A, (MATCH(680, 輔助計算!$F$2:$F$801, 0)+1)), "")&lt;&gt;"", IFERROR(INDEX(ERP資料!$A:$A, (MATCH(680, 輔助計算!$F$2:$F$801, 0)+1)), "")&lt;&gt;IFERROR(INDEX(ERP資料!$A:$A, MATCH(679, 輔助計算!$F$2:$F$801, 0)+1), "")), IFERROR(INDEX(ERP資料!$A:$A, (MATCH(680, 輔助計算!$F$2:$F$801, 0)+1)), ""), ""), "")</f>
        <v/>
      </c>
      <c r="C681" s="10">
        <f>IFERROR(IF(AND(IFERROR(INDEX(ERP資料!$A:$A, (MATCH(680, 輔助計算!$F$2:$F$801, 0)+1)), "")&lt;&gt;"", IFERROR(INDEX(ERP資料!$A:$A, (MATCH(680, 輔助計算!$F$2:$F$801, 0)+1)), "")&lt;&gt;IFERROR(INDEX(ERP資料!$A:$A, MATCH(679, 輔助計算!$F$2:$F$801, 0)+1), "")), INDEX(ERP資料!$S:$S, (MATCH(680, 輔助計算!$F$2:$F$801, 0)+1)), ""), "")</f>
        <v/>
      </c>
      <c r="D681" s="10">
        <f>IFERROR(IF(INDEX(ERP資料!$E:$E, (MATCH(680, 輔助計算!$F$2:$F$801, 0)+1))="","",TRIM(INDEX(ERP資料!$E:$E, (MATCH(680, 輔助計算!$F$2:$F$801, 0)+1)))), "")</f>
        <v/>
      </c>
      <c r="E681" s="10">
        <f>IFERROR(IF(INDEX(ERP資料!$F:$F, (MATCH(680, 輔助計算!$F$2:$F$801, 0)+1))="","",INDEX(ERP資料!$F:$F, (MATCH(680, 輔助計算!$F$2:$F$801, 0)+1))), "")</f>
        <v/>
      </c>
      <c r="F681" s="10">
        <f>IFERROR(IF(INDEX(ERP資料!$G:$G, (MATCH(680, 輔助計算!$F$2:$F$801, 0)+1))="","",INDEX(ERP資料!$G:$G, (MATCH(680, 輔助計算!$F$2:$F$801, 0)+1))), "")</f>
        <v/>
      </c>
      <c r="G681" s="10">
        <f>IFERROR(IF(INDEX(ERP資料!$H:$H, (MATCH(680, 輔助計算!$F$2:$F$801, 0)+1))="","",INDEX(ERP資料!$H:$H, (MATCH(680, 輔助計算!$F$2:$F$801, 0)+1))), "")</f>
        <v/>
      </c>
      <c r="H681" s="10">
        <f>IFERROR(IF(INDEX(ERP資料!$O:$O, (MATCH(680, 輔助計算!$F$2:$F$801, 0)+1))="","",INDEX(ERP資料!$O:$O, (MATCH(680, 輔助計算!$F$2:$F$801, 0)+1))), "")</f>
        <v/>
      </c>
      <c r="I681" s="15">
        <f>IFERROR(IF(INDEX(輔助計算!$D:$D,(MATCH(680, 輔助計算!$F$2:$F$801, 0)+1))="","",INDEX(輔助計算!$D:$D,(MATCH(680, 輔助計算!$F$2:$F$801, 0)+1))*INDEX(ERP資料!$O:$O,(MATCH(680, 輔助計算!$F$2:$F$801, 0)+1))), "")</f>
        <v/>
      </c>
      <c r="J681" s="16" t="n"/>
      <c r="K681" s="15">
        <f>IFERROR(INDEX(輔助計算!$D:$D, (MATCH(680, 輔助計算!$F$2:$F$801, 0)+1)), "")</f>
        <v/>
      </c>
      <c r="L681" s="16">
        <f>IFERROR(IF(AND(IFERROR(VLOOKUP(LEFT(INDEX(ERP資料!$S:$S, (MATCH(680, 輔助計算!$F$2:$F$801, 0)+1)), 4), 100張客戶!$A:$A, 1, FALSE), "")&lt;&gt;"", OR(INDEX(ERP資料!$F:$F, (MATCH(680, 輔助計算!$F$2:$F$801, 0)+1))=270, INDEX(ERP資料!$F:$F, (MATCH(680, 輔助計算!$F$2:$F$801, 0)+1))=300)), "100張", ""), "")</f>
        <v/>
      </c>
      <c r="M681" s="17" t="n"/>
      <c r="N681" s="17">
        <f>IF($F681="","",$F681)</f>
        <v/>
      </c>
      <c r="O681" s="17">
        <f>IF($G681="","",$G681)</f>
        <v/>
      </c>
      <c r="P681" s="17">
        <f>IF($K681="","",$K681)</f>
        <v/>
      </c>
      <c r="Q681" s="16" t="n"/>
      <c r="R681" s="18" t="n"/>
      <c r="S681" s="16" t="n"/>
    </row>
    <row r="682">
      <c r="A682" s="14">
        <f>IFERROR(IF(AND(IFERROR(INDEX(ERP資料!$A:$A, (MATCH(681, 輔助計算!$F$2:$F$801, 0)+1)), "")&lt;&gt;"", IFERROR(INDEX(ERP資料!$A:$A, (MATCH(681, 輔助計算!$F$2:$F$801, 0)+1)), "")&lt;&gt;IFERROR(INDEX(ERP資料!$A:$A, MATCH(680, 輔助計算!$F$2:$F$801, 0)+1), "")), INDEX(ERP資料!$B:$B, (MATCH(681, 輔助計算!$F$2:$F$801, 0)+1)), ""), "")</f>
        <v/>
      </c>
      <c r="B682" s="10">
        <f>IFERROR(IF(AND(IFERROR(INDEX(ERP資料!$A:$A, (MATCH(681, 輔助計算!$F$2:$F$801, 0)+1)), "")&lt;&gt;"", IFERROR(INDEX(ERP資料!$A:$A, (MATCH(681, 輔助計算!$F$2:$F$801, 0)+1)), "")&lt;&gt;IFERROR(INDEX(ERP資料!$A:$A, MATCH(680, 輔助計算!$F$2:$F$801, 0)+1), "")), IFERROR(INDEX(ERP資料!$A:$A, (MATCH(681, 輔助計算!$F$2:$F$801, 0)+1)), ""), ""), "")</f>
        <v/>
      </c>
      <c r="C682" s="10">
        <f>IFERROR(IF(AND(IFERROR(INDEX(ERP資料!$A:$A, (MATCH(681, 輔助計算!$F$2:$F$801, 0)+1)), "")&lt;&gt;"", IFERROR(INDEX(ERP資料!$A:$A, (MATCH(681, 輔助計算!$F$2:$F$801, 0)+1)), "")&lt;&gt;IFERROR(INDEX(ERP資料!$A:$A, MATCH(680, 輔助計算!$F$2:$F$801, 0)+1), "")), INDEX(ERP資料!$S:$S, (MATCH(681, 輔助計算!$F$2:$F$801, 0)+1)), ""), "")</f>
        <v/>
      </c>
      <c r="D682" s="10">
        <f>IFERROR(IF(INDEX(ERP資料!$E:$E, (MATCH(681, 輔助計算!$F$2:$F$801, 0)+1))="","",TRIM(INDEX(ERP資料!$E:$E, (MATCH(681, 輔助計算!$F$2:$F$801, 0)+1)))), "")</f>
        <v/>
      </c>
      <c r="E682" s="10">
        <f>IFERROR(IF(INDEX(ERP資料!$F:$F, (MATCH(681, 輔助計算!$F$2:$F$801, 0)+1))="","",INDEX(ERP資料!$F:$F, (MATCH(681, 輔助計算!$F$2:$F$801, 0)+1))), "")</f>
        <v/>
      </c>
      <c r="F682" s="10">
        <f>IFERROR(IF(INDEX(ERP資料!$G:$G, (MATCH(681, 輔助計算!$F$2:$F$801, 0)+1))="","",INDEX(ERP資料!$G:$G, (MATCH(681, 輔助計算!$F$2:$F$801, 0)+1))), "")</f>
        <v/>
      </c>
      <c r="G682" s="10">
        <f>IFERROR(IF(INDEX(ERP資料!$H:$H, (MATCH(681, 輔助計算!$F$2:$F$801, 0)+1))="","",INDEX(ERP資料!$H:$H, (MATCH(681, 輔助計算!$F$2:$F$801, 0)+1))), "")</f>
        <v/>
      </c>
      <c r="H682" s="10">
        <f>IFERROR(IF(INDEX(ERP資料!$O:$O, (MATCH(681, 輔助計算!$F$2:$F$801, 0)+1))="","",INDEX(ERP資料!$O:$O, (MATCH(681, 輔助計算!$F$2:$F$801, 0)+1))), "")</f>
        <v/>
      </c>
      <c r="I682" s="15">
        <f>IFERROR(IF(INDEX(輔助計算!$D:$D,(MATCH(681, 輔助計算!$F$2:$F$801, 0)+1))="","",INDEX(輔助計算!$D:$D,(MATCH(681, 輔助計算!$F$2:$F$801, 0)+1))*INDEX(ERP資料!$O:$O,(MATCH(681, 輔助計算!$F$2:$F$801, 0)+1))), "")</f>
        <v/>
      </c>
      <c r="J682" s="16" t="n"/>
      <c r="K682" s="15">
        <f>IFERROR(INDEX(輔助計算!$D:$D, (MATCH(681, 輔助計算!$F$2:$F$801, 0)+1)), "")</f>
        <v/>
      </c>
      <c r="L682" s="16">
        <f>IFERROR(IF(AND(IFERROR(VLOOKUP(LEFT(INDEX(ERP資料!$S:$S, (MATCH(681, 輔助計算!$F$2:$F$801, 0)+1)), 4), 100張客戶!$A:$A, 1, FALSE), "")&lt;&gt;"", OR(INDEX(ERP資料!$F:$F, (MATCH(681, 輔助計算!$F$2:$F$801, 0)+1))=270, INDEX(ERP資料!$F:$F, (MATCH(681, 輔助計算!$F$2:$F$801, 0)+1))=300)), "100張", ""), "")</f>
        <v/>
      </c>
      <c r="M682" s="17" t="n"/>
      <c r="N682" s="17">
        <f>IF($F682="","",$F682)</f>
        <v/>
      </c>
      <c r="O682" s="17">
        <f>IF($G682="","",$G682)</f>
        <v/>
      </c>
      <c r="P682" s="17">
        <f>IF($K682="","",$K682)</f>
        <v/>
      </c>
      <c r="Q682" s="16" t="n"/>
      <c r="R682" s="18" t="n"/>
      <c r="S682" s="16" t="n"/>
    </row>
    <row r="683">
      <c r="A683" s="14">
        <f>IFERROR(IF(AND(IFERROR(INDEX(ERP資料!$A:$A, (MATCH(682, 輔助計算!$F$2:$F$801, 0)+1)), "")&lt;&gt;"", IFERROR(INDEX(ERP資料!$A:$A, (MATCH(682, 輔助計算!$F$2:$F$801, 0)+1)), "")&lt;&gt;IFERROR(INDEX(ERP資料!$A:$A, MATCH(681, 輔助計算!$F$2:$F$801, 0)+1), "")), INDEX(ERP資料!$B:$B, (MATCH(682, 輔助計算!$F$2:$F$801, 0)+1)), ""), "")</f>
        <v/>
      </c>
      <c r="B683" s="10">
        <f>IFERROR(IF(AND(IFERROR(INDEX(ERP資料!$A:$A, (MATCH(682, 輔助計算!$F$2:$F$801, 0)+1)), "")&lt;&gt;"", IFERROR(INDEX(ERP資料!$A:$A, (MATCH(682, 輔助計算!$F$2:$F$801, 0)+1)), "")&lt;&gt;IFERROR(INDEX(ERP資料!$A:$A, MATCH(681, 輔助計算!$F$2:$F$801, 0)+1), "")), IFERROR(INDEX(ERP資料!$A:$A, (MATCH(682, 輔助計算!$F$2:$F$801, 0)+1)), ""), ""), "")</f>
        <v/>
      </c>
      <c r="C683" s="10">
        <f>IFERROR(IF(AND(IFERROR(INDEX(ERP資料!$A:$A, (MATCH(682, 輔助計算!$F$2:$F$801, 0)+1)), "")&lt;&gt;"", IFERROR(INDEX(ERP資料!$A:$A, (MATCH(682, 輔助計算!$F$2:$F$801, 0)+1)), "")&lt;&gt;IFERROR(INDEX(ERP資料!$A:$A, MATCH(681, 輔助計算!$F$2:$F$801, 0)+1), "")), INDEX(ERP資料!$S:$S, (MATCH(682, 輔助計算!$F$2:$F$801, 0)+1)), ""), "")</f>
        <v/>
      </c>
      <c r="D683" s="10">
        <f>IFERROR(IF(INDEX(ERP資料!$E:$E, (MATCH(682, 輔助計算!$F$2:$F$801, 0)+1))="","",TRIM(INDEX(ERP資料!$E:$E, (MATCH(682, 輔助計算!$F$2:$F$801, 0)+1)))), "")</f>
        <v/>
      </c>
      <c r="E683" s="10">
        <f>IFERROR(IF(INDEX(ERP資料!$F:$F, (MATCH(682, 輔助計算!$F$2:$F$801, 0)+1))="","",INDEX(ERP資料!$F:$F, (MATCH(682, 輔助計算!$F$2:$F$801, 0)+1))), "")</f>
        <v/>
      </c>
      <c r="F683" s="10">
        <f>IFERROR(IF(INDEX(ERP資料!$G:$G, (MATCH(682, 輔助計算!$F$2:$F$801, 0)+1))="","",INDEX(ERP資料!$G:$G, (MATCH(682, 輔助計算!$F$2:$F$801, 0)+1))), "")</f>
        <v/>
      </c>
      <c r="G683" s="10">
        <f>IFERROR(IF(INDEX(ERP資料!$H:$H, (MATCH(682, 輔助計算!$F$2:$F$801, 0)+1))="","",INDEX(ERP資料!$H:$H, (MATCH(682, 輔助計算!$F$2:$F$801, 0)+1))), "")</f>
        <v/>
      </c>
      <c r="H683" s="10">
        <f>IFERROR(IF(INDEX(ERP資料!$O:$O, (MATCH(682, 輔助計算!$F$2:$F$801, 0)+1))="","",INDEX(ERP資料!$O:$O, (MATCH(682, 輔助計算!$F$2:$F$801, 0)+1))), "")</f>
        <v/>
      </c>
      <c r="I683" s="15">
        <f>IFERROR(IF(INDEX(輔助計算!$D:$D,(MATCH(682, 輔助計算!$F$2:$F$801, 0)+1))="","",INDEX(輔助計算!$D:$D,(MATCH(682, 輔助計算!$F$2:$F$801, 0)+1))*INDEX(ERP資料!$O:$O,(MATCH(682, 輔助計算!$F$2:$F$801, 0)+1))), "")</f>
        <v/>
      </c>
      <c r="J683" s="16" t="n"/>
      <c r="K683" s="15">
        <f>IFERROR(INDEX(輔助計算!$D:$D, (MATCH(682, 輔助計算!$F$2:$F$801, 0)+1)), "")</f>
        <v/>
      </c>
      <c r="L683" s="16">
        <f>IFERROR(IF(AND(IFERROR(VLOOKUP(LEFT(INDEX(ERP資料!$S:$S, (MATCH(682, 輔助計算!$F$2:$F$801, 0)+1)), 4), 100張客戶!$A:$A, 1, FALSE), "")&lt;&gt;"", OR(INDEX(ERP資料!$F:$F, (MATCH(682, 輔助計算!$F$2:$F$801, 0)+1))=270, INDEX(ERP資料!$F:$F, (MATCH(682, 輔助計算!$F$2:$F$801, 0)+1))=300)), "100張", ""), "")</f>
        <v/>
      </c>
      <c r="M683" s="17" t="n"/>
      <c r="N683" s="17">
        <f>IF($F683="","",$F683)</f>
        <v/>
      </c>
      <c r="O683" s="17">
        <f>IF($G683="","",$G683)</f>
        <v/>
      </c>
      <c r="P683" s="17">
        <f>IF($K683="","",$K683)</f>
        <v/>
      </c>
      <c r="Q683" s="16" t="n"/>
      <c r="R683" s="18" t="n"/>
      <c r="S683" s="16" t="n"/>
    </row>
    <row r="684">
      <c r="A684" s="14">
        <f>IFERROR(IF(AND(IFERROR(INDEX(ERP資料!$A:$A, (MATCH(683, 輔助計算!$F$2:$F$801, 0)+1)), "")&lt;&gt;"", IFERROR(INDEX(ERP資料!$A:$A, (MATCH(683, 輔助計算!$F$2:$F$801, 0)+1)), "")&lt;&gt;IFERROR(INDEX(ERP資料!$A:$A, MATCH(682, 輔助計算!$F$2:$F$801, 0)+1), "")), INDEX(ERP資料!$B:$B, (MATCH(683, 輔助計算!$F$2:$F$801, 0)+1)), ""), "")</f>
        <v/>
      </c>
      <c r="B684" s="10">
        <f>IFERROR(IF(AND(IFERROR(INDEX(ERP資料!$A:$A, (MATCH(683, 輔助計算!$F$2:$F$801, 0)+1)), "")&lt;&gt;"", IFERROR(INDEX(ERP資料!$A:$A, (MATCH(683, 輔助計算!$F$2:$F$801, 0)+1)), "")&lt;&gt;IFERROR(INDEX(ERP資料!$A:$A, MATCH(682, 輔助計算!$F$2:$F$801, 0)+1), "")), IFERROR(INDEX(ERP資料!$A:$A, (MATCH(683, 輔助計算!$F$2:$F$801, 0)+1)), ""), ""), "")</f>
        <v/>
      </c>
      <c r="C684" s="10">
        <f>IFERROR(IF(AND(IFERROR(INDEX(ERP資料!$A:$A, (MATCH(683, 輔助計算!$F$2:$F$801, 0)+1)), "")&lt;&gt;"", IFERROR(INDEX(ERP資料!$A:$A, (MATCH(683, 輔助計算!$F$2:$F$801, 0)+1)), "")&lt;&gt;IFERROR(INDEX(ERP資料!$A:$A, MATCH(682, 輔助計算!$F$2:$F$801, 0)+1), "")), INDEX(ERP資料!$S:$S, (MATCH(683, 輔助計算!$F$2:$F$801, 0)+1)), ""), "")</f>
        <v/>
      </c>
      <c r="D684" s="10">
        <f>IFERROR(IF(INDEX(ERP資料!$E:$E, (MATCH(683, 輔助計算!$F$2:$F$801, 0)+1))="","",TRIM(INDEX(ERP資料!$E:$E, (MATCH(683, 輔助計算!$F$2:$F$801, 0)+1)))), "")</f>
        <v/>
      </c>
      <c r="E684" s="10">
        <f>IFERROR(IF(INDEX(ERP資料!$F:$F, (MATCH(683, 輔助計算!$F$2:$F$801, 0)+1))="","",INDEX(ERP資料!$F:$F, (MATCH(683, 輔助計算!$F$2:$F$801, 0)+1))), "")</f>
        <v/>
      </c>
      <c r="F684" s="10">
        <f>IFERROR(IF(INDEX(ERP資料!$G:$G, (MATCH(683, 輔助計算!$F$2:$F$801, 0)+1))="","",INDEX(ERP資料!$G:$G, (MATCH(683, 輔助計算!$F$2:$F$801, 0)+1))), "")</f>
        <v/>
      </c>
      <c r="G684" s="10">
        <f>IFERROR(IF(INDEX(ERP資料!$H:$H, (MATCH(683, 輔助計算!$F$2:$F$801, 0)+1))="","",INDEX(ERP資料!$H:$H, (MATCH(683, 輔助計算!$F$2:$F$801, 0)+1))), "")</f>
        <v/>
      </c>
      <c r="H684" s="10">
        <f>IFERROR(IF(INDEX(ERP資料!$O:$O, (MATCH(683, 輔助計算!$F$2:$F$801, 0)+1))="","",INDEX(ERP資料!$O:$O, (MATCH(683, 輔助計算!$F$2:$F$801, 0)+1))), "")</f>
        <v/>
      </c>
      <c r="I684" s="15">
        <f>IFERROR(IF(INDEX(輔助計算!$D:$D,(MATCH(683, 輔助計算!$F$2:$F$801, 0)+1))="","",INDEX(輔助計算!$D:$D,(MATCH(683, 輔助計算!$F$2:$F$801, 0)+1))*INDEX(ERP資料!$O:$O,(MATCH(683, 輔助計算!$F$2:$F$801, 0)+1))), "")</f>
        <v/>
      </c>
      <c r="J684" s="16" t="n"/>
      <c r="K684" s="15">
        <f>IFERROR(INDEX(輔助計算!$D:$D, (MATCH(683, 輔助計算!$F$2:$F$801, 0)+1)), "")</f>
        <v/>
      </c>
      <c r="L684" s="16">
        <f>IFERROR(IF(AND(IFERROR(VLOOKUP(LEFT(INDEX(ERP資料!$S:$S, (MATCH(683, 輔助計算!$F$2:$F$801, 0)+1)), 4), 100張客戶!$A:$A, 1, FALSE), "")&lt;&gt;"", OR(INDEX(ERP資料!$F:$F, (MATCH(683, 輔助計算!$F$2:$F$801, 0)+1))=270, INDEX(ERP資料!$F:$F, (MATCH(683, 輔助計算!$F$2:$F$801, 0)+1))=300)), "100張", ""), "")</f>
        <v/>
      </c>
      <c r="M684" s="17" t="n"/>
      <c r="N684" s="17">
        <f>IF($F684="","",$F684)</f>
        <v/>
      </c>
      <c r="O684" s="17">
        <f>IF($G684="","",$G684)</f>
        <v/>
      </c>
      <c r="P684" s="17">
        <f>IF($K684="","",$K684)</f>
        <v/>
      </c>
      <c r="Q684" s="16" t="n"/>
      <c r="R684" s="18" t="n"/>
      <c r="S684" s="16" t="n"/>
    </row>
    <row r="685">
      <c r="A685" s="14">
        <f>IFERROR(IF(AND(IFERROR(INDEX(ERP資料!$A:$A, (MATCH(684, 輔助計算!$F$2:$F$801, 0)+1)), "")&lt;&gt;"", IFERROR(INDEX(ERP資料!$A:$A, (MATCH(684, 輔助計算!$F$2:$F$801, 0)+1)), "")&lt;&gt;IFERROR(INDEX(ERP資料!$A:$A, MATCH(683, 輔助計算!$F$2:$F$801, 0)+1), "")), INDEX(ERP資料!$B:$B, (MATCH(684, 輔助計算!$F$2:$F$801, 0)+1)), ""), "")</f>
        <v/>
      </c>
      <c r="B685" s="10">
        <f>IFERROR(IF(AND(IFERROR(INDEX(ERP資料!$A:$A, (MATCH(684, 輔助計算!$F$2:$F$801, 0)+1)), "")&lt;&gt;"", IFERROR(INDEX(ERP資料!$A:$A, (MATCH(684, 輔助計算!$F$2:$F$801, 0)+1)), "")&lt;&gt;IFERROR(INDEX(ERP資料!$A:$A, MATCH(683, 輔助計算!$F$2:$F$801, 0)+1), "")), IFERROR(INDEX(ERP資料!$A:$A, (MATCH(684, 輔助計算!$F$2:$F$801, 0)+1)), ""), ""), "")</f>
        <v/>
      </c>
      <c r="C685" s="10">
        <f>IFERROR(IF(AND(IFERROR(INDEX(ERP資料!$A:$A, (MATCH(684, 輔助計算!$F$2:$F$801, 0)+1)), "")&lt;&gt;"", IFERROR(INDEX(ERP資料!$A:$A, (MATCH(684, 輔助計算!$F$2:$F$801, 0)+1)), "")&lt;&gt;IFERROR(INDEX(ERP資料!$A:$A, MATCH(683, 輔助計算!$F$2:$F$801, 0)+1), "")), INDEX(ERP資料!$S:$S, (MATCH(684, 輔助計算!$F$2:$F$801, 0)+1)), ""), "")</f>
        <v/>
      </c>
      <c r="D685" s="10">
        <f>IFERROR(IF(INDEX(ERP資料!$E:$E, (MATCH(684, 輔助計算!$F$2:$F$801, 0)+1))="","",TRIM(INDEX(ERP資料!$E:$E, (MATCH(684, 輔助計算!$F$2:$F$801, 0)+1)))), "")</f>
        <v/>
      </c>
      <c r="E685" s="10">
        <f>IFERROR(IF(INDEX(ERP資料!$F:$F, (MATCH(684, 輔助計算!$F$2:$F$801, 0)+1))="","",INDEX(ERP資料!$F:$F, (MATCH(684, 輔助計算!$F$2:$F$801, 0)+1))), "")</f>
        <v/>
      </c>
      <c r="F685" s="10">
        <f>IFERROR(IF(INDEX(ERP資料!$G:$G, (MATCH(684, 輔助計算!$F$2:$F$801, 0)+1))="","",INDEX(ERP資料!$G:$G, (MATCH(684, 輔助計算!$F$2:$F$801, 0)+1))), "")</f>
        <v/>
      </c>
      <c r="G685" s="10">
        <f>IFERROR(IF(INDEX(ERP資料!$H:$H, (MATCH(684, 輔助計算!$F$2:$F$801, 0)+1))="","",INDEX(ERP資料!$H:$H, (MATCH(684, 輔助計算!$F$2:$F$801, 0)+1))), "")</f>
        <v/>
      </c>
      <c r="H685" s="10">
        <f>IFERROR(IF(INDEX(ERP資料!$O:$O, (MATCH(684, 輔助計算!$F$2:$F$801, 0)+1))="","",INDEX(ERP資料!$O:$O, (MATCH(684, 輔助計算!$F$2:$F$801, 0)+1))), "")</f>
        <v/>
      </c>
      <c r="I685" s="15">
        <f>IFERROR(IF(INDEX(輔助計算!$D:$D,(MATCH(684, 輔助計算!$F$2:$F$801, 0)+1))="","",INDEX(輔助計算!$D:$D,(MATCH(684, 輔助計算!$F$2:$F$801, 0)+1))*INDEX(ERP資料!$O:$O,(MATCH(684, 輔助計算!$F$2:$F$801, 0)+1))), "")</f>
        <v/>
      </c>
      <c r="J685" s="16" t="n"/>
      <c r="K685" s="15">
        <f>IFERROR(INDEX(輔助計算!$D:$D, (MATCH(684, 輔助計算!$F$2:$F$801, 0)+1)), "")</f>
        <v/>
      </c>
      <c r="L685" s="16">
        <f>IFERROR(IF(AND(IFERROR(VLOOKUP(LEFT(INDEX(ERP資料!$S:$S, (MATCH(684, 輔助計算!$F$2:$F$801, 0)+1)), 4), 100張客戶!$A:$A, 1, FALSE), "")&lt;&gt;"", OR(INDEX(ERP資料!$F:$F, (MATCH(684, 輔助計算!$F$2:$F$801, 0)+1))=270, INDEX(ERP資料!$F:$F, (MATCH(684, 輔助計算!$F$2:$F$801, 0)+1))=300)), "100張", ""), "")</f>
        <v/>
      </c>
      <c r="M685" s="17" t="n"/>
      <c r="N685" s="17">
        <f>IF($F685="","",$F685)</f>
        <v/>
      </c>
      <c r="O685" s="17">
        <f>IF($G685="","",$G685)</f>
        <v/>
      </c>
      <c r="P685" s="17">
        <f>IF($K685="","",$K685)</f>
        <v/>
      </c>
      <c r="Q685" s="16" t="n"/>
      <c r="R685" s="18" t="n"/>
      <c r="S685" s="16" t="n"/>
    </row>
    <row r="686">
      <c r="A686" s="14">
        <f>IFERROR(IF(AND(IFERROR(INDEX(ERP資料!$A:$A, (MATCH(685, 輔助計算!$F$2:$F$801, 0)+1)), "")&lt;&gt;"", IFERROR(INDEX(ERP資料!$A:$A, (MATCH(685, 輔助計算!$F$2:$F$801, 0)+1)), "")&lt;&gt;IFERROR(INDEX(ERP資料!$A:$A, MATCH(684, 輔助計算!$F$2:$F$801, 0)+1), "")), INDEX(ERP資料!$B:$B, (MATCH(685, 輔助計算!$F$2:$F$801, 0)+1)), ""), "")</f>
        <v/>
      </c>
      <c r="B686" s="10">
        <f>IFERROR(IF(AND(IFERROR(INDEX(ERP資料!$A:$A, (MATCH(685, 輔助計算!$F$2:$F$801, 0)+1)), "")&lt;&gt;"", IFERROR(INDEX(ERP資料!$A:$A, (MATCH(685, 輔助計算!$F$2:$F$801, 0)+1)), "")&lt;&gt;IFERROR(INDEX(ERP資料!$A:$A, MATCH(684, 輔助計算!$F$2:$F$801, 0)+1), "")), IFERROR(INDEX(ERP資料!$A:$A, (MATCH(685, 輔助計算!$F$2:$F$801, 0)+1)), ""), ""), "")</f>
        <v/>
      </c>
      <c r="C686" s="10">
        <f>IFERROR(IF(AND(IFERROR(INDEX(ERP資料!$A:$A, (MATCH(685, 輔助計算!$F$2:$F$801, 0)+1)), "")&lt;&gt;"", IFERROR(INDEX(ERP資料!$A:$A, (MATCH(685, 輔助計算!$F$2:$F$801, 0)+1)), "")&lt;&gt;IFERROR(INDEX(ERP資料!$A:$A, MATCH(684, 輔助計算!$F$2:$F$801, 0)+1), "")), INDEX(ERP資料!$S:$S, (MATCH(685, 輔助計算!$F$2:$F$801, 0)+1)), ""), "")</f>
        <v/>
      </c>
      <c r="D686" s="10">
        <f>IFERROR(IF(INDEX(ERP資料!$E:$E, (MATCH(685, 輔助計算!$F$2:$F$801, 0)+1))="","",TRIM(INDEX(ERP資料!$E:$E, (MATCH(685, 輔助計算!$F$2:$F$801, 0)+1)))), "")</f>
        <v/>
      </c>
      <c r="E686" s="10">
        <f>IFERROR(IF(INDEX(ERP資料!$F:$F, (MATCH(685, 輔助計算!$F$2:$F$801, 0)+1))="","",INDEX(ERP資料!$F:$F, (MATCH(685, 輔助計算!$F$2:$F$801, 0)+1))), "")</f>
        <v/>
      </c>
      <c r="F686" s="10">
        <f>IFERROR(IF(INDEX(ERP資料!$G:$G, (MATCH(685, 輔助計算!$F$2:$F$801, 0)+1))="","",INDEX(ERP資料!$G:$G, (MATCH(685, 輔助計算!$F$2:$F$801, 0)+1))), "")</f>
        <v/>
      </c>
      <c r="G686" s="10">
        <f>IFERROR(IF(INDEX(ERP資料!$H:$H, (MATCH(685, 輔助計算!$F$2:$F$801, 0)+1))="","",INDEX(ERP資料!$H:$H, (MATCH(685, 輔助計算!$F$2:$F$801, 0)+1))), "")</f>
        <v/>
      </c>
      <c r="H686" s="10">
        <f>IFERROR(IF(INDEX(ERP資料!$O:$O, (MATCH(685, 輔助計算!$F$2:$F$801, 0)+1))="","",INDEX(ERP資料!$O:$O, (MATCH(685, 輔助計算!$F$2:$F$801, 0)+1))), "")</f>
        <v/>
      </c>
      <c r="I686" s="15">
        <f>IFERROR(IF(INDEX(輔助計算!$D:$D,(MATCH(685, 輔助計算!$F$2:$F$801, 0)+1))="","",INDEX(輔助計算!$D:$D,(MATCH(685, 輔助計算!$F$2:$F$801, 0)+1))*INDEX(ERP資料!$O:$O,(MATCH(685, 輔助計算!$F$2:$F$801, 0)+1))), "")</f>
        <v/>
      </c>
      <c r="J686" s="16" t="n"/>
      <c r="K686" s="15">
        <f>IFERROR(INDEX(輔助計算!$D:$D, (MATCH(685, 輔助計算!$F$2:$F$801, 0)+1)), "")</f>
        <v/>
      </c>
      <c r="L686" s="16">
        <f>IFERROR(IF(AND(IFERROR(VLOOKUP(LEFT(INDEX(ERP資料!$S:$S, (MATCH(685, 輔助計算!$F$2:$F$801, 0)+1)), 4), 100張客戶!$A:$A, 1, FALSE), "")&lt;&gt;"", OR(INDEX(ERP資料!$F:$F, (MATCH(685, 輔助計算!$F$2:$F$801, 0)+1))=270, INDEX(ERP資料!$F:$F, (MATCH(685, 輔助計算!$F$2:$F$801, 0)+1))=300)), "100張", ""), "")</f>
        <v/>
      </c>
      <c r="M686" s="17" t="n"/>
      <c r="N686" s="17">
        <f>IF($F686="","",$F686)</f>
        <v/>
      </c>
      <c r="O686" s="17">
        <f>IF($G686="","",$G686)</f>
        <v/>
      </c>
      <c r="P686" s="17">
        <f>IF($K686="","",$K686)</f>
        <v/>
      </c>
      <c r="Q686" s="16" t="n"/>
      <c r="R686" s="18" t="n"/>
      <c r="S686" s="16" t="n"/>
    </row>
    <row r="687">
      <c r="A687" s="14">
        <f>IFERROR(IF(AND(IFERROR(INDEX(ERP資料!$A:$A, (MATCH(686, 輔助計算!$F$2:$F$801, 0)+1)), "")&lt;&gt;"", IFERROR(INDEX(ERP資料!$A:$A, (MATCH(686, 輔助計算!$F$2:$F$801, 0)+1)), "")&lt;&gt;IFERROR(INDEX(ERP資料!$A:$A, MATCH(685, 輔助計算!$F$2:$F$801, 0)+1), "")), INDEX(ERP資料!$B:$B, (MATCH(686, 輔助計算!$F$2:$F$801, 0)+1)), ""), "")</f>
        <v/>
      </c>
      <c r="B687" s="10">
        <f>IFERROR(IF(AND(IFERROR(INDEX(ERP資料!$A:$A, (MATCH(686, 輔助計算!$F$2:$F$801, 0)+1)), "")&lt;&gt;"", IFERROR(INDEX(ERP資料!$A:$A, (MATCH(686, 輔助計算!$F$2:$F$801, 0)+1)), "")&lt;&gt;IFERROR(INDEX(ERP資料!$A:$A, MATCH(685, 輔助計算!$F$2:$F$801, 0)+1), "")), IFERROR(INDEX(ERP資料!$A:$A, (MATCH(686, 輔助計算!$F$2:$F$801, 0)+1)), ""), ""), "")</f>
        <v/>
      </c>
      <c r="C687" s="10">
        <f>IFERROR(IF(AND(IFERROR(INDEX(ERP資料!$A:$A, (MATCH(686, 輔助計算!$F$2:$F$801, 0)+1)), "")&lt;&gt;"", IFERROR(INDEX(ERP資料!$A:$A, (MATCH(686, 輔助計算!$F$2:$F$801, 0)+1)), "")&lt;&gt;IFERROR(INDEX(ERP資料!$A:$A, MATCH(685, 輔助計算!$F$2:$F$801, 0)+1), "")), INDEX(ERP資料!$S:$S, (MATCH(686, 輔助計算!$F$2:$F$801, 0)+1)), ""), "")</f>
        <v/>
      </c>
      <c r="D687" s="10">
        <f>IFERROR(IF(INDEX(ERP資料!$E:$E, (MATCH(686, 輔助計算!$F$2:$F$801, 0)+1))="","",TRIM(INDEX(ERP資料!$E:$E, (MATCH(686, 輔助計算!$F$2:$F$801, 0)+1)))), "")</f>
        <v/>
      </c>
      <c r="E687" s="10">
        <f>IFERROR(IF(INDEX(ERP資料!$F:$F, (MATCH(686, 輔助計算!$F$2:$F$801, 0)+1))="","",INDEX(ERP資料!$F:$F, (MATCH(686, 輔助計算!$F$2:$F$801, 0)+1))), "")</f>
        <v/>
      </c>
      <c r="F687" s="10">
        <f>IFERROR(IF(INDEX(ERP資料!$G:$G, (MATCH(686, 輔助計算!$F$2:$F$801, 0)+1))="","",INDEX(ERP資料!$G:$G, (MATCH(686, 輔助計算!$F$2:$F$801, 0)+1))), "")</f>
        <v/>
      </c>
      <c r="G687" s="10">
        <f>IFERROR(IF(INDEX(ERP資料!$H:$H, (MATCH(686, 輔助計算!$F$2:$F$801, 0)+1))="","",INDEX(ERP資料!$H:$H, (MATCH(686, 輔助計算!$F$2:$F$801, 0)+1))), "")</f>
        <v/>
      </c>
      <c r="H687" s="10">
        <f>IFERROR(IF(INDEX(ERP資料!$O:$O, (MATCH(686, 輔助計算!$F$2:$F$801, 0)+1))="","",INDEX(ERP資料!$O:$O, (MATCH(686, 輔助計算!$F$2:$F$801, 0)+1))), "")</f>
        <v/>
      </c>
      <c r="I687" s="15">
        <f>IFERROR(IF(INDEX(輔助計算!$D:$D,(MATCH(686, 輔助計算!$F$2:$F$801, 0)+1))="","",INDEX(輔助計算!$D:$D,(MATCH(686, 輔助計算!$F$2:$F$801, 0)+1))*INDEX(ERP資料!$O:$O,(MATCH(686, 輔助計算!$F$2:$F$801, 0)+1))), "")</f>
        <v/>
      </c>
      <c r="J687" s="16" t="n"/>
      <c r="K687" s="15">
        <f>IFERROR(INDEX(輔助計算!$D:$D, (MATCH(686, 輔助計算!$F$2:$F$801, 0)+1)), "")</f>
        <v/>
      </c>
      <c r="L687" s="16">
        <f>IFERROR(IF(AND(IFERROR(VLOOKUP(LEFT(INDEX(ERP資料!$S:$S, (MATCH(686, 輔助計算!$F$2:$F$801, 0)+1)), 4), 100張客戶!$A:$A, 1, FALSE), "")&lt;&gt;"", OR(INDEX(ERP資料!$F:$F, (MATCH(686, 輔助計算!$F$2:$F$801, 0)+1))=270, INDEX(ERP資料!$F:$F, (MATCH(686, 輔助計算!$F$2:$F$801, 0)+1))=300)), "100張", ""), "")</f>
        <v/>
      </c>
      <c r="M687" s="17" t="n"/>
      <c r="N687" s="17">
        <f>IF($F687="","",$F687)</f>
        <v/>
      </c>
      <c r="O687" s="17">
        <f>IF($G687="","",$G687)</f>
        <v/>
      </c>
      <c r="P687" s="17">
        <f>IF($K687="","",$K687)</f>
        <v/>
      </c>
      <c r="Q687" s="16" t="n"/>
      <c r="R687" s="18" t="n"/>
      <c r="S687" s="16" t="n"/>
    </row>
    <row r="688">
      <c r="A688" s="14">
        <f>IFERROR(IF(AND(IFERROR(INDEX(ERP資料!$A:$A, (MATCH(687, 輔助計算!$F$2:$F$801, 0)+1)), "")&lt;&gt;"", IFERROR(INDEX(ERP資料!$A:$A, (MATCH(687, 輔助計算!$F$2:$F$801, 0)+1)), "")&lt;&gt;IFERROR(INDEX(ERP資料!$A:$A, MATCH(686, 輔助計算!$F$2:$F$801, 0)+1), "")), INDEX(ERP資料!$B:$B, (MATCH(687, 輔助計算!$F$2:$F$801, 0)+1)), ""), "")</f>
        <v/>
      </c>
      <c r="B688" s="10">
        <f>IFERROR(IF(AND(IFERROR(INDEX(ERP資料!$A:$A, (MATCH(687, 輔助計算!$F$2:$F$801, 0)+1)), "")&lt;&gt;"", IFERROR(INDEX(ERP資料!$A:$A, (MATCH(687, 輔助計算!$F$2:$F$801, 0)+1)), "")&lt;&gt;IFERROR(INDEX(ERP資料!$A:$A, MATCH(686, 輔助計算!$F$2:$F$801, 0)+1), "")), IFERROR(INDEX(ERP資料!$A:$A, (MATCH(687, 輔助計算!$F$2:$F$801, 0)+1)), ""), ""), "")</f>
        <v/>
      </c>
      <c r="C688" s="10">
        <f>IFERROR(IF(AND(IFERROR(INDEX(ERP資料!$A:$A, (MATCH(687, 輔助計算!$F$2:$F$801, 0)+1)), "")&lt;&gt;"", IFERROR(INDEX(ERP資料!$A:$A, (MATCH(687, 輔助計算!$F$2:$F$801, 0)+1)), "")&lt;&gt;IFERROR(INDEX(ERP資料!$A:$A, MATCH(686, 輔助計算!$F$2:$F$801, 0)+1), "")), INDEX(ERP資料!$S:$S, (MATCH(687, 輔助計算!$F$2:$F$801, 0)+1)), ""), "")</f>
        <v/>
      </c>
      <c r="D688" s="10">
        <f>IFERROR(IF(INDEX(ERP資料!$E:$E, (MATCH(687, 輔助計算!$F$2:$F$801, 0)+1))="","",TRIM(INDEX(ERP資料!$E:$E, (MATCH(687, 輔助計算!$F$2:$F$801, 0)+1)))), "")</f>
        <v/>
      </c>
      <c r="E688" s="10">
        <f>IFERROR(IF(INDEX(ERP資料!$F:$F, (MATCH(687, 輔助計算!$F$2:$F$801, 0)+1))="","",INDEX(ERP資料!$F:$F, (MATCH(687, 輔助計算!$F$2:$F$801, 0)+1))), "")</f>
        <v/>
      </c>
      <c r="F688" s="10">
        <f>IFERROR(IF(INDEX(ERP資料!$G:$G, (MATCH(687, 輔助計算!$F$2:$F$801, 0)+1))="","",INDEX(ERP資料!$G:$G, (MATCH(687, 輔助計算!$F$2:$F$801, 0)+1))), "")</f>
        <v/>
      </c>
      <c r="G688" s="10">
        <f>IFERROR(IF(INDEX(ERP資料!$H:$H, (MATCH(687, 輔助計算!$F$2:$F$801, 0)+1))="","",INDEX(ERP資料!$H:$H, (MATCH(687, 輔助計算!$F$2:$F$801, 0)+1))), "")</f>
        <v/>
      </c>
      <c r="H688" s="10">
        <f>IFERROR(IF(INDEX(ERP資料!$O:$O, (MATCH(687, 輔助計算!$F$2:$F$801, 0)+1))="","",INDEX(ERP資料!$O:$O, (MATCH(687, 輔助計算!$F$2:$F$801, 0)+1))), "")</f>
        <v/>
      </c>
      <c r="I688" s="15">
        <f>IFERROR(IF(INDEX(輔助計算!$D:$D,(MATCH(687, 輔助計算!$F$2:$F$801, 0)+1))="","",INDEX(輔助計算!$D:$D,(MATCH(687, 輔助計算!$F$2:$F$801, 0)+1))*INDEX(ERP資料!$O:$O,(MATCH(687, 輔助計算!$F$2:$F$801, 0)+1))), "")</f>
        <v/>
      </c>
      <c r="J688" s="16" t="n"/>
      <c r="K688" s="15">
        <f>IFERROR(INDEX(輔助計算!$D:$D, (MATCH(687, 輔助計算!$F$2:$F$801, 0)+1)), "")</f>
        <v/>
      </c>
      <c r="L688" s="16">
        <f>IFERROR(IF(AND(IFERROR(VLOOKUP(LEFT(INDEX(ERP資料!$S:$S, (MATCH(687, 輔助計算!$F$2:$F$801, 0)+1)), 4), 100張客戶!$A:$A, 1, FALSE), "")&lt;&gt;"", OR(INDEX(ERP資料!$F:$F, (MATCH(687, 輔助計算!$F$2:$F$801, 0)+1))=270, INDEX(ERP資料!$F:$F, (MATCH(687, 輔助計算!$F$2:$F$801, 0)+1))=300)), "100張", ""), "")</f>
        <v/>
      </c>
      <c r="M688" s="17" t="n"/>
      <c r="N688" s="17">
        <f>IF($F688="","",$F688)</f>
        <v/>
      </c>
      <c r="O688" s="17">
        <f>IF($G688="","",$G688)</f>
        <v/>
      </c>
      <c r="P688" s="17">
        <f>IF($K688="","",$K688)</f>
        <v/>
      </c>
      <c r="Q688" s="16" t="n"/>
      <c r="R688" s="18" t="n"/>
      <c r="S688" s="16" t="n"/>
    </row>
    <row r="689">
      <c r="A689" s="14">
        <f>IFERROR(IF(AND(IFERROR(INDEX(ERP資料!$A:$A, (MATCH(688, 輔助計算!$F$2:$F$801, 0)+1)), "")&lt;&gt;"", IFERROR(INDEX(ERP資料!$A:$A, (MATCH(688, 輔助計算!$F$2:$F$801, 0)+1)), "")&lt;&gt;IFERROR(INDEX(ERP資料!$A:$A, MATCH(687, 輔助計算!$F$2:$F$801, 0)+1), "")), INDEX(ERP資料!$B:$B, (MATCH(688, 輔助計算!$F$2:$F$801, 0)+1)), ""), "")</f>
        <v/>
      </c>
      <c r="B689" s="10">
        <f>IFERROR(IF(AND(IFERROR(INDEX(ERP資料!$A:$A, (MATCH(688, 輔助計算!$F$2:$F$801, 0)+1)), "")&lt;&gt;"", IFERROR(INDEX(ERP資料!$A:$A, (MATCH(688, 輔助計算!$F$2:$F$801, 0)+1)), "")&lt;&gt;IFERROR(INDEX(ERP資料!$A:$A, MATCH(687, 輔助計算!$F$2:$F$801, 0)+1), "")), IFERROR(INDEX(ERP資料!$A:$A, (MATCH(688, 輔助計算!$F$2:$F$801, 0)+1)), ""), ""), "")</f>
        <v/>
      </c>
      <c r="C689" s="10">
        <f>IFERROR(IF(AND(IFERROR(INDEX(ERP資料!$A:$A, (MATCH(688, 輔助計算!$F$2:$F$801, 0)+1)), "")&lt;&gt;"", IFERROR(INDEX(ERP資料!$A:$A, (MATCH(688, 輔助計算!$F$2:$F$801, 0)+1)), "")&lt;&gt;IFERROR(INDEX(ERP資料!$A:$A, MATCH(687, 輔助計算!$F$2:$F$801, 0)+1), "")), INDEX(ERP資料!$S:$S, (MATCH(688, 輔助計算!$F$2:$F$801, 0)+1)), ""), "")</f>
        <v/>
      </c>
      <c r="D689" s="10">
        <f>IFERROR(IF(INDEX(ERP資料!$E:$E, (MATCH(688, 輔助計算!$F$2:$F$801, 0)+1))="","",TRIM(INDEX(ERP資料!$E:$E, (MATCH(688, 輔助計算!$F$2:$F$801, 0)+1)))), "")</f>
        <v/>
      </c>
      <c r="E689" s="10">
        <f>IFERROR(IF(INDEX(ERP資料!$F:$F, (MATCH(688, 輔助計算!$F$2:$F$801, 0)+1))="","",INDEX(ERP資料!$F:$F, (MATCH(688, 輔助計算!$F$2:$F$801, 0)+1))), "")</f>
        <v/>
      </c>
      <c r="F689" s="10">
        <f>IFERROR(IF(INDEX(ERP資料!$G:$G, (MATCH(688, 輔助計算!$F$2:$F$801, 0)+1))="","",INDEX(ERP資料!$G:$G, (MATCH(688, 輔助計算!$F$2:$F$801, 0)+1))), "")</f>
        <v/>
      </c>
      <c r="G689" s="10">
        <f>IFERROR(IF(INDEX(ERP資料!$H:$H, (MATCH(688, 輔助計算!$F$2:$F$801, 0)+1))="","",INDEX(ERP資料!$H:$H, (MATCH(688, 輔助計算!$F$2:$F$801, 0)+1))), "")</f>
        <v/>
      </c>
      <c r="H689" s="10">
        <f>IFERROR(IF(INDEX(ERP資料!$O:$O, (MATCH(688, 輔助計算!$F$2:$F$801, 0)+1))="","",INDEX(ERP資料!$O:$O, (MATCH(688, 輔助計算!$F$2:$F$801, 0)+1))), "")</f>
        <v/>
      </c>
      <c r="I689" s="15">
        <f>IFERROR(IF(INDEX(輔助計算!$D:$D,(MATCH(688, 輔助計算!$F$2:$F$801, 0)+1))="","",INDEX(輔助計算!$D:$D,(MATCH(688, 輔助計算!$F$2:$F$801, 0)+1))*INDEX(ERP資料!$O:$O,(MATCH(688, 輔助計算!$F$2:$F$801, 0)+1))), "")</f>
        <v/>
      </c>
      <c r="J689" s="16" t="n"/>
      <c r="K689" s="15">
        <f>IFERROR(INDEX(輔助計算!$D:$D, (MATCH(688, 輔助計算!$F$2:$F$801, 0)+1)), "")</f>
        <v/>
      </c>
      <c r="L689" s="16">
        <f>IFERROR(IF(AND(IFERROR(VLOOKUP(LEFT(INDEX(ERP資料!$S:$S, (MATCH(688, 輔助計算!$F$2:$F$801, 0)+1)), 4), 100張客戶!$A:$A, 1, FALSE), "")&lt;&gt;"", OR(INDEX(ERP資料!$F:$F, (MATCH(688, 輔助計算!$F$2:$F$801, 0)+1))=270, INDEX(ERP資料!$F:$F, (MATCH(688, 輔助計算!$F$2:$F$801, 0)+1))=300)), "100張", ""), "")</f>
        <v/>
      </c>
      <c r="M689" s="17" t="n"/>
      <c r="N689" s="17">
        <f>IF($F689="","",$F689)</f>
        <v/>
      </c>
      <c r="O689" s="17">
        <f>IF($G689="","",$G689)</f>
        <v/>
      </c>
      <c r="P689" s="17">
        <f>IF($K689="","",$K689)</f>
        <v/>
      </c>
      <c r="Q689" s="16" t="n"/>
      <c r="R689" s="18" t="n"/>
      <c r="S689" s="16" t="n"/>
    </row>
    <row r="690">
      <c r="A690" s="14">
        <f>IFERROR(IF(AND(IFERROR(INDEX(ERP資料!$A:$A, (MATCH(689, 輔助計算!$F$2:$F$801, 0)+1)), "")&lt;&gt;"", IFERROR(INDEX(ERP資料!$A:$A, (MATCH(689, 輔助計算!$F$2:$F$801, 0)+1)), "")&lt;&gt;IFERROR(INDEX(ERP資料!$A:$A, MATCH(688, 輔助計算!$F$2:$F$801, 0)+1), "")), INDEX(ERP資料!$B:$B, (MATCH(689, 輔助計算!$F$2:$F$801, 0)+1)), ""), "")</f>
        <v/>
      </c>
      <c r="B690" s="10">
        <f>IFERROR(IF(AND(IFERROR(INDEX(ERP資料!$A:$A, (MATCH(689, 輔助計算!$F$2:$F$801, 0)+1)), "")&lt;&gt;"", IFERROR(INDEX(ERP資料!$A:$A, (MATCH(689, 輔助計算!$F$2:$F$801, 0)+1)), "")&lt;&gt;IFERROR(INDEX(ERP資料!$A:$A, MATCH(688, 輔助計算!$F$2:$F$801, 0)+1), "")), IFERROR(INDEX(ERP資料!$A:$A, (MATCH(689, 輔助計算!$F$2:$F$801, 0)+1)), ""), ""), "")</f>
        <v/>
      </c>
      <c r="C690" s="10">
        <f>IFERROR(IF(AND(IFERROR(INDEX(ERP資料!$A:$A, (MATCH(689, 輔助計算!$F$2:$F$801, 0)+1)), "")&lt;&gt;"", IFERROR(INDEX(ERP資料!$A:$A, (MATCH(689, 輔助計算!$F$2:$F$801, 0)+1)), "")&lt;&gt;IFERROR(INDEX(ERP資料!$A:$A, MATCH(688, 輔助計算!$F$2:$F$801, 0)+1), "")), INDEX(ERP資料!$S:$S, (MATCH(689, 輔助計算!$F$2:$F$801, 0)+1)), ""), "")</f>
        <v/>
      </c>
      <c r="D690" s="10">
        <f>IFERROR(IF(INDEX(ERP資料!$E:$E, (MATCH(689, 輔助計算!$F$2:$F$801, 0)+1))="","",TRIM(INDEX(ERP資料!$E:$E, (MATCH(689, 輔助計算!$F$2:$F$801, 0)+1)))), "")</f>
        <v/>
      </c>
      <c r="E690" s="10">
        <f>IFERROR(IF(INDEX(ERP資料!$F:$F, (MATCH(689, 輔助計算!$F$2:$F$801, 0)+1))="","",INDEX(ERP資料!$F:$F, (MATCH(689, 輔助計算!$F$2:$F$801, 0)+1))), "")</f>
        <v/>
      </c>
      <c r="F690" s="10">
        <f>IFERROR(IF(INDEX(ERP資料!$G:$G, (MATCH(689, 輔助計算!$F$2:$F$801, 0)+1))="","",INDEX(ERP資料!$G:$G, (MATCH(689, 輔助計算!$F$2:$F$801, 0)+1))), "")</f>
        <v/>
      </c>
      <c r="G690" s="10">
        <f>IFERROR(IF(INDEX(ERP資料!$H:$H, (MATCH(689, 輔助計算!$F$2:$F$801, 0)+1))="","",INDEX(ERP資料!$H:$H, (MATCH(689, 輔助計算!$F$2:$F$801, 0)+1))), "")</f>
        <v/>
      </c>
      <c r="H690" s="10">
        <f>IFERROR(IF(INDEX(ERP資料!$O:$O, (MATCH(689, 輔助計算!$F$2:$F$801, 0)+1))="","",INDEX(ERP資料!$O:$O, (MATCH(689, 輔助計算!$F$2:$F$801, 0)+1))), "")</f>
        <v/>
      </c>
      <c r="I690" s="15">
        <f>IFERROR(IF(INDEX(輔助計算!$D:$D,(MATCH(689, 輔助計算!$F$2:$F$801, 0)+1))="","",INDEX(輔助計算!$D:$D,(MATCH(689, 輔助計算!$F$2:$F$801, 0)+1))*INDEX(ERP資料!$O:$O,(MATCH(689, 輔助計算!$F$2:$F$801, 0)+1))), "")</f>
        <v/>
      </c>
      <c r="J690" s="16" t="n"/>
      <c r="K690" s="15">
        <f>IFERROR(INDEX(輔助計算!$D:$D, (MATCH(689, 輔助計算!$F$2:$F$801, 0)+1)), "")</f>
        <v/>
      </c>
      <c r="L690" s="16">
        <f>IFERROR(IF(AND(IFERROR(VLOOKUP(LEFT(INDEX(ERP資料!$S:$S, (MATCH(689, 輔助計算!$F$2:$F$801, 0)+1)), 4), 100張客戶!$A:$A, 1, FALSE), "")&lt;&gt;"", OR(INDEX(ERP資料!$F:$F, (MATCH(689, 輔助計算!$F$2:$F$801, 0)+1))=270, INDEX(ERP資料!$F:$F, (MATCH(689, 輔助計算!$F$2:$F$801, 0)+1))=300)), "100張", ""), "")</f>
        <v/>
      </c>
      <c r="M690" s="17" t="n"/>
      <c r="N690" s="17">
        <f>IF($F690="","",$F690)</f>
        <v/>
      </c>
      <c r="O690" s="17">
        <f>IF($G690="","",$G690)</f>
        <v/>
      </c>
      <c r="P690" s="17">
        <f>IF($K690="","",$K690)</f>
        <v/>
      </c>
      <c r="Q690" s="16" t="n"/>
      <c r="R690" s="18" t="n"/>
      <c r="S690" s="16" t="n"/>
    </row>
    <row r="691">
      <c r="A691" s="14">
        <f>IFERROR(IF(AND(IFERROR(INDEX(ERP資料!$A:$A, (MATCH(690, 輔助計算!$F$2:$F$801, 0)+1)), "")&lt;&gt;"", IFERROR(INDEX(ERP資料!$A:$A, (MATCH(690, 輔助計算!$F$2:$F$801, 0)+1)), "")&lt;&gt;IFERROR(INDEX(ERP資料!$A:$A, MATCH(689, 輔助計算!$F$2:$F$801, 0)+1), "")), INDEX(ERP資料!$B:$B, (MATCH(690, 輔助計算!$F$2:$F$801, 0)+1)), ""), "")</f>
        <v/>
      </c>
      <c r="B691" s="10">
        <f>IFERROR(IF(AND(IFERROR(INDEX(ERP資料!$A:$A, (MATCH(690, 輔助計算!$F$2:$F$801, 0)+1)), "")&lt;&gt;"", IFERROR(INDEX(ERP資料!$A:$A, (MATCH(690, 輔助計算!$F$2:$F$801, 0)+1)), "")&lt;&gt;IFERROR(INDEX(ERP資料!$A:$A, MATCH(689, 輔助計算!$F$2:$F$801, 0)+1), "")), IFERROR(INDEX(ERP資料!$A:$A, (MATCH(690, 輔助計算!$F$2:$F$801, 0)+1)), ""), ""), "")</f>
        <v/>
      </c>
      <c r="C691" s="10">
        <f>IFERROR(IF(AND(IFERROR(INDEX(ERP資料!$A:$A, (MATCH(690, 輔助計算!$F$2:$F$801, 0)+1)), "")&lt;&gt;"", IFERROR(INDEX(ERP資料!$A:$A, (MATCH(690, 輔助計算!$F$2:$F$801, 0)+1)), "")&lt;&gt;IFERROR(INDEX(ERP資料!$A:$A, MATCH(689, 輔助計算!$F$2:$F$801, 0)+1), "")), INDEX(ERP資料!$S:$S, (MATCH(690, 輔助計算!$F$2:$F$801, 0)+1)), ""), "")</f>
        <v/>
      </c>
      <c r="D691" s="10">
        <f>IFERROR(IF(INDEX(ERP資料!$E:$E, (MATCH(690, 輔助計算!$F$2:$F$801, 0)+1))="","",TRIM(INDEX(ERP資料!$E:$E, (MATCH(690, 輔助計算!$F$2:$F$801, 0)+1)))), "")</f>
        <v/>
      </c>
      <c r="E691" s="10">
        <f>IFERROR(IF(INDEX(ERP資料!$F:$F, (MATCH(690, 輔助計算!$F$2:$F$801, 0)+1))="","",INDEX(ERP資料!$F:$F, (MATCH(690, 輔助計算!$F$2:$F$801, 0)+1))), "")</f>
        <v/>
      </c>
      <c r="F691" s="10">
        <f>IFERROR(IF(INDEX(ERP資料!$G:$G, (MATCH(690, 輔助計算!$F$2:$F$801, 0)+1))="","",INDEX(ERP資料!$G:$G, (MATCH(690, 輔助計算!$F$2:$F$801, 0)+1))), "")</f>
        <v/>
      </c>
      <c r="G691" s="10">
        <f>IFERROR(IF(INDEX(ERP資料!$H:$H, (MATCH(690, 輔助計算!$F$2:$F$801, 0)+1))="","",INDEX(ERP資料!$H:$H, (MATCH(690, 輔助計算!$F$2:$F$801, 0)+1))), "")</f>
        <v/>
      </c>
      <c r="H691" s="10">
        <f>IFERROR(IF(INDEX(ERP資料!$O:$O, (MATCH(690, 輔助計算!$F$2:$F$801, 0)+1))="","",INDEX(ERP資料!$O:$O, (MATCH(690, 輔助計算!$F$2:$F$801, 0)+1))), "")</f>
        <v/>
      </c>
      <c r="I691" s="15">
        <f>IFERROR(IF(INDEX(輔助計算!$D:$D,(MATCH(690, 輔助計算!$F$2:$F$801, 0)+1))="","",INDEX(輔助計算!$D:$D,(MATCH(690, 輔助計算!$F$2:$F$801, 0)+1))*INDEX(ERP資料!$O:$O,(MATCH(690, 輔助計算!$F$2:$F$801, 0)+1))), "")</f>
        <v/>
      </c>
      <c r="J691" s="16" t="n"/>
      <c r="K691" s="15">
        <f>IFERROR(INDEX(輔助計算!$D:$D, (MATCH(690, 輔助計算!$F$2:$F$801, 0)+1)), "")</f>
        <v/>
      </c>
      <c r="L691" s="16">
        <f>IFERROR(IF(AND(IFERROR(VLOOKUP(LEFT(INDEX(ERP資料!$S:$S, (MATCH(690, 輔助計算!$F$2:$F$801, 0)+1)), 4), 100張客戶!$A:$A, 1, FALSE), "")&lt;&gt;"", OR(INDEX(ERP資料!$F:$F, (MATCH(690, 輔助計算!$F$2:$F$801, 0)+1))=270, INDEX(ERP資料!$F:$F, (MATCH(690, 輔助計算!$F$2:$F$801, 0)+1))=300)), "100張", ""), "")</f>
        <v/>
      </c>
      <c r="M691" s="17" t="n"/>
      <c r="N691" s="17">
        <f>IF($F691="","",$F691)</f>
        <v/>
      </c>
      <c r="O691" s="17">
        <f>IF($G691="","",$G691)</f>
        <v/>
      </c>
      <c r="P691" s="17">
        <f>IF($K691="","",$K691)</f>
        <v/>
      </c>
      <c r="Q691" s="16" t="n"/>
      <c r="R691" s="18" t="n"/>
      <c r="S691" s="16" t="n"/>
    </row>
    <row r="692">
      <c r="A692" s="14">
        <f>IFERROR(IF(AND(IFERROR(INDEX(ERP資料!$A:$A, (MATCH(691, 輔助計算!$F$2:$F$801, 0)+1)), "")&lt;&gt;"", IFERROR(INDEX(ERP資料!$A:$A, (MATCH(691, 輔助計算!$F$2:$F$801, 0)+1)), "")&lt;&gt;IFERROR(INDEX(ERP資料!$A:$A, MATCH(690, 輔助計算!$F$2:$F$801, 0)+1), "")), INDEX(ERP資料!$B:$B, (MATCH(691, 輔助計算!$F$2:$F$801, 0)+1)), ""), "")</f>
        <v/>
      </c>
      <c r="B692" s="10">
        <f>IFERROR(IF(AND(IFERROR(INDEX(ERP資料!$A:$A, (MATCH(691, 輔助計算!$F$2:$F$801, 0)+1)), "")&lt;&gt;"", IFERROR(INDEX(ERP資料!$A:$A, (MATCH(691, 輔助計算!$F$2:$F$801, 0)+1)), "")&lt;&gt;IFERROR(INDEX(ERP資料!$A:$A, MATCH(690, 輔助計算!$F$2:$F$801, 0)+1), "")), IFERROR(INDEX(ERP資料!$A:$A, (MATCH(691, 輔助計算!$F$2:$F$801, 0)+1)), ""), ""), "")</f>
        <v/>
      </c>
      <c r="C692" s="10">
        <f>IFERROR(IF(AND(IFERROR(INDEX(ERP資料!$A:$A, (MATCH(691, 輔助計算!$F$2:$F$801, 0)+1)), "")&lt;&gt;"", IFERROR(INDEX(ERP資料!$A:$A, (MATCH(691, 輔助計算!$F$2:$F$801, 0)+1)), "")&lt;&gt;IFERROR(INDEX(ERP資料!$A:$A, MATCH(690, 輔助計算!$F$2:$F$801, 0)+1), "")), INDEX(ERP資料!$S:$S, (MATCH(691, 輔助計算!$F$2:$F$801, 0)+1)), ""), "")</f>
        <v/>
      </c>
      <c r="D692" s="10">
        <f>IFERROR(IF(INDEX(ERP資料!$E:$E, (MATCH(691, 輔助計算!$F$2:$F$801, 0)+1))="","",TRIM(INDEX(ERP資料!$E:$E, (MATCH(691, 輔助計算!$F$2:$F$801, 0)+1)))), "")</f>
        <v/>
      </c>
      <c r="E692" s="10">
        <f>IFERROR(IF(INDEX(ERP資料!$F:$F, (MATCH(691, 輔助計算!$F$2:$F$801, 0)+1))="","",INDEX(ERP資料!$F:$F, (MATCH(691, 輔助計算!$F$2:$F$801, 0)+1))), "")</f>
        <v/>
      </c>
      <c r="F692" s="10">
        <f>IFERROR(IF(INDEX(ERP資料!$G:$G, (MATCH(691, 輔助計算!$F$2:$F$801, 0)+1))="","",INDEX(ERP資料!$G:$G, (MATCH(691, 輔助計算!$F$2:$F$801, 0)+1))), "")</f>
        <v/>
      </c>
      <c r="G692" s="10">
        <f>IFERROR(IF(INDEX(ERP資料!$H:$H, (MATCH(691, 輔助計算!$F$2:$F$801, 0)+1))="","",INDEX(ERP資料!$H:$H, (MATCH(691, 輔助計算!$F$2:$F$801, 0)+1))), "")</f>
        <v/>
      </c>
      <c r="H692" s="10">
        <f>IFERROR(IF(INDEX(ERP資料!$O:$O, (MATCH(691, 輔助計算!$F$2:$F$801, 0)+1))="","",INDEX(ERP資料!$O:$O, (MATCH(691, 輔助計算!$F$2:$F$801, 0)+1))), "")</f>
        <v/>
      </c>
      <c r="I692" s="15">
        <f>IFERROR(IF(INDEX(輔助計算!$D:$D,(MATCH(691, 輔助計算!$F$2:$F$801, 0)+1))="","",INDEX(輔助計算!$D:$D,(MATCH(691, 輔助計算!$F$2:$F$801, 0)+1))*INDEX(ERP資料!$O:$O,(MATCH(691, 輔助計算!$F$2:$F$801, 0)+1))), "")</f>
        <v/>
      </c>
      <c r="J692" s="16" t="n"/>
      <c r="K692" s="15">
        <f>IFERROR(INDEX(輔助計算!$D:$D, (MATCH(691, 輔助計算!$F$2:$F$801, 0)+1)), "")</f>
        <v/>
      </c>
      <c r="L692" s="16">
        <f>IFERROR(IF(AND(IFERROR(VLOOKUP(LEFT(INDEX(ERP資料!$S:$S, (MATCH(691, 輔助計算!$F$2:$F$801, 0)+1)), 4), 100張客戶!$A:$A, 1, FALSE), "")&lt;&gt;"", OR(INDEX(ERP資料!$F:$F, (MATCH(691, 輔助計算!$F$2:$F$801, 0)+1))=270, INDEX(ERP資料!$F:$F, (MATCH(691, 輔助計算!$F$2:$F$801, 0)+1))=300)), "100張", ""), "")</f>
        <v/>
      </c>
      <c r="M692" s="17" t="n"/>
      <c r="N692" s="17">
        <f>IF($F692="","",$F692)</f>
        <v/>
      </c>
      <c r="O692" s="17">
        <f>IF($G692="","",$G692)</f>
        <v/>
      </c>
      <c r="P692" s="17">
        <f>IF($K692="","",$K692)</f>
        <v/>
      </c>
      <c r="Q692" s="16" t="n"/>
      <c r="R692" s="18" t="n"/>
      <c r="S692" s="16" t="n"/>
    </row>
    <row r="693">
      <c r="A693" s="14">
        <f>IFERROR(IF(AND(IFERROR(INDEX(ERP資料!$A:$A, (MATCH(692, 輔助計算!$F$2:$F$801, 0)+1)), "")&lt;&gt;"", IFERROR(INDEX(ERP資料!$A:$A, (MATCH(692, 輔助計算!$F$2:$F$801, 0)+1)), "")&lt;&gt;IFERROR(INDEX(ERP資料!$A:$A, MATCH(691, 輔助計算!$F$2:$F$801, 0)+1), "")), INDEX(ERP資料!$B:$B, (MATCH(692, 輔助計算!$F$2:$F$801, 0)+1)), ""), "")</f>
        <v/>
      </c>
      <c r="B693" s="10">
        <f>IFERROR(IF(AND(IFERROR(INDEX(ERP資料!$A:$A, (MATCH(692, 輔助計算!$F$2:$F$801, 0)+1)), "")&lt;&gt;"", IFERROR(INDEX(ERP資料!$A:$A, (MATCH(692, 輔助計算!$F$2:$F$801, 0)+1)), "")&lt;&gt;IFERROR(INDEX(ERP資料!$A:$A, MATCH(691, 輔助計算!$F$2:$F$801, 0)+1), "")), IFERROR(INDEX(ERP資料!$A:$A, (MATCH(692, 輔助計算!$F$2:$F$801, 0)+1)), ""), ""), "")</f>
        <v/>
      </c>
      <c r="C693" s="10">
        <f>IFERROR(IF(AND(IFERROR(INDEX(ERP資料!$A:$A, (MATCH(692, 輔助計算!$F$2:$F$801, 0)+1)), "")&lt;&gt;"", IFERROR(INDEX(ERP資料!$A:$A, (MATCH(692, 輔助計算!$F$2:$F$801, 0)+1)), "")&lt;&gt;IFERROR(INDEX(ERP資料!$A:$A, MATCH(691, 輔助計算!$F$2:$F$801, 0)+1), "")), INDEX(ERP資料!$S:$S, (MATCH(692, 輔助計算!$F$2:$F$801, 0)+1)), ""), "")</f>
        <v/>
      </c>
      <c r="D693" s="10">
        <f>IFERROR(IF(INDEX(ERP資料!$E:$E, (MATCH(692, 輔助計算!$F$2:$F$801, 0)+1))="","",TRIM(INDEX(ERP資料!$E:$E, (MATCH(692, 輔助計算!$F$2:$F$801, 0)+1)))), "")</f>
        <v/>
      </c>
      <c r="E693" s="10">
        <f>IFERROR(IF(INDEX(ERP資料!$F:$F, (MATCH(692, 輔助計算!$F$2:$F$801, 0)+1))="","",INDEX(ERP資料!$F:$F, (MATCH(692, 輔助計算!$F$2:$F$801, 0)+1))), "")</f>
        <v/>
      </c>
      <c r="F693" s="10">
        <f>IFERROR(IF(INDEX(ERP資料!$G:$G, (MATCH(692, 輔助計算!$F$2:$F$801, 0)+1))="","",INDEX(ERP資料!$G:$G, (MATCH(692, 輔助計算!$F$2:$F$801, 0)+1))), "")</f>
        <v/>
      </c>
      <c r="G693" s="10">
        <f>IFERROR(IF(INDEX(ERP資料!$H:$H, (MATCH(692, 輔助計算!$F$2:$F$801, 0)+1))="","",INDEX(ERP資料!$H:$H, (MATCH(692, 輔助計算!$F$2:$F$801, 0)+1))), "")</f>
        <v/>
      </c>
      <c r="H693" s="10">
        <f>IFERROR(IF(INDEX(ERP資料!$O:$O, (MATCH(692, 輔助計算!$F$2:$F$801, 0)+1))="","",INDEX(ERP資料!$O:$O, (MATCH(692, 輔助計算!$F$2:$F$801, 0)+1))), "")</f>
        <v/>
      </c>
      <c r="I693" s="15">
        <f>IFERROR(IF(INDEX(輔助計算!$D:$D,(MATCH(692, 輔助計算!$F$2:$F$801, 0)+1))="","",INDEX(輔助計算!$D:$D,(MATCH(692, 輔助計算!$F$2:$F$801, 0)+1))*INDEX(ERP資料!$O:$O,(MATCH(692, 輔助計算!$F$2:$F$801, 0)+1))), "")</f>
        <v/>
      </c>
      <c r="J693" s="16" t="n"/>
      <c r="K693" s="15">
        <f>IFERROR(INDEX(輔助計算!$D:$D, (MATCH(692, 輔助計算!$F$2:$F$801, 0)+1)), "")</f>
        <v/>
      </c>
      <c r="L693" s="16">
        <f>IFERROR(IF(AND(IFERROR(VLOOKUP(LEFT(INDEX(ERP資料!$S:$S, (MATCH(692, 輔助計算!$F$2:$F$801, 0)+1)), 4), 100張客戶!$A:$A, 1, FALSE), "")&lt;&gt;"", OR(INDEX(ERP資料!$F:$F, (MATCH(692, 輔助計算!$F$2:$F$801, 0)+1))=270, INDEX(ERP資料!$F:$F, (MATCH(692, 輔助計算!$F$2:$F$801, 0)+1))=300)), "100張", ""), "")</f>
        <v/>
      </c>
      <c r="M693" s="17" t="n"/>
      <c r="N693" s="17">
        <f>IF($F693="","",$F693)</f>
        <v/>
      </c>
      <c r="O693" s="17">
        <f>IF($G693="","",$G693)</f>
        <v/>
      </c>
      <c r="P693" s="17">
        <f>IF($K693="","",$K693)</f>
        <v/>
      </c>
      <c r="Q693" s="16" t="n"/>
      <c r="R693" s="18" t="n"/>
      <c r="S693" s="16" t="n"/>
    </row>
    <row r="694">
      <c r="A694" s="14">
        <f>IFERROR(IF(AND(IFERROR(INDEX(ERP資料!$A:$A, (MATCH(693, 輔助計算!$F$2:$F$801, 0)+1)), "")&lt;&gt;"", IFERROR(INDEX(ERP資料!$A:$A, (MATCH(693, 輔助計算!$F$2:$F$801, 0)+1)), "")&lt;&gt;IFERROR(INDEX(ERP資料!$A:$A, MATCH(692, 輔助計算!$F$2:$F$801, 0)+1), "")), INDEX(ERP資料!$B:$B, (MATCH(693, 輔助計算!$F$2:$F$801, 0)+1)), ""), "")</f>
        <v/>
      </c>
      <c r="B694" s="10">
        <f>IFERROR(IF(AND(IFERROR(INDEX(ERP資料!$A:$A, (MATCH(693, 輔助計算!$F$2:$F$801, 0)+1)), "")&lt;&gt;"", IFERROR(INDEX(ERP資料!$A:$A, (MATCH(693, 輔助計算!$F$2:$F$801, 0)+1)), "")&lt;&gt;IFERROR(INDEX(ERP資料!$A:$A, MATCH(692, 輔助計算!$F$2:$F$801, 0)+1), "")), IFERROR(INDEX(ERP資料!$A:$A, (MATCH(693, 輔助計算!$F$2:$F$801, 0)+1)), ""), ""), "")</f>
        <v/>
      </c>
      <c r="C694" s="10">
        <f>IFERROR(IF(AND(IFERROR(INDEX(ERP資料!$A:$A, (MATCH(693, 輔助計算!$F$2:$F$801, 0)+1)), "")&lt;&gt;"", IFERROR(INDEX(ERP資料!$A:$A, (MATCH(693, 輔助計算!$F$2:$F$801, 0)+1)), "")&lt;&gt;IFERROR(INDEX(ERP資料!$A:$A, MATCH(692, 輔助計算!$F$2:$F$801, 0)+1), "")), INDEX(ERP資料!$S:$S, (MATCH(693, 輔助計算!$F$2:$F$801, 0)+1)), ""), "")</f>
        <v/>
      </c>
      <c r="D694" s="10">
        <f>IFERROR(IF(INDEX(ERP資料!$E:$E, (MATCH(693, 輔助計算!$F$2:$F$801, 0)+1))="","",TRIM(INDEX(ERP資料!$E:$E, (MATCH(693, 輔助計算!$F$2:$F$801, 0)+1)))), "")</f>
        <v/>
      </c>
      <c r="E694" s="10">
        <f>IFERROR(IF(INDEX(ERP資料!$F:$F, (MATCH(693, 輔助計算!$F$2:$F$801, 0)+1))="","",INDEX(ERP資料!$F:$F, (MATCH(693, 輔助計算!$F$2:$F$801, 0)+1))), "")</f>
        <v/>
      </c>
      <c r="F694" s="10">
        <f>IFERROR(IF(INDEX(ERP資料!$G:$G, (MATCH(693, 輔助計算!$F$2:$F$801, 0)+1))="","",INDEX(ERP資料!$G:$G, (MATCH(693, 輔助計算!$F$2:$F$801, 0)+1))), "")</f>
        <v/>
      </c>
      <c r="G694" s="10">
        <f>IFERROR(IF(INDEX(ERP資料!$H:$H, (MATCH(693, 輔助計算!$F$2:$F$801, 0)+1))="","",INDEX(ERP資料!$H:$H, (MATCH(693, 輔助計算!$F$2:$F$801, 0)+1))), "")</f>
        <v/>
      </c>
      <c r="H694" s="10">
        <f>IFERROR(IF(INDEX(ERP資料!$O:$O, (MATCH(693, 輔助計算!$F$2:$F$801, 0)+1))="","",INDEX(ERP資料!$O:$O, (MATCH(693, 輔助計算!$F$2:$F$801, 0)+1))), "")</f>
        <v/>
      </c>
      <c r="I694" s="15">
        <f>IFERROR(IF(INDEX(輔助計算!$D:$D,(MATCH(693, 輔助計算!$F$2:$F$801, 0)+1))="","",INDEX(輔助計算!$D:$D,(MATCH(693, 輔助計算!$F$2:$F$801, 0)+1))*INDEX(ERP資料!$O:$O,(MATCH(693, 輔助計算!$F$2:$F$801, 0)+1))), "")</f>
        <v/>
      </c>
      <c r="J694" s="16" t="n"/>
      <c r="K694" s="15">
        <f>IFERROR(INDEX(輔助計算!$D:$D, (MATCH(693, 輔助計算!$F$2:$F$801, 0)+1)), "")</f>
        <v/>
      </c>
      <c r="L694" s="16">
        <f>IFERROR(IF(AND(IFERROR(VLOOKUP(LEFT(INDEX(ERP資料!$S:$S, (MATCH(693, 輔助計算!$F$2:$F$801, 0)+1)), 4), 100張客戶!$A:$A, 1, FALSE), "")&lt;&gt;"", OR(INDEX(ERP資料!$F:$F, (MATCH(693, 輔助計算!$F$2:$F$801, 0)+1))=270, INDEX(ERP資料!$F:$F, (MATCH(693, 輔助計算!$F$2:$F$801, 0)+1))=300)), "100張", ""), "")</f>
        <v/>
      </c>
      <c r="M694" s="17" t="n"/>
      <c r="N694" s="17">
        <f>IF($F694="","",$F694)</f>
        <v/>
      </c>
      <c r="O694" s="17">
        <f>IF($G694="","",$G694)</f>
        <v/>
      </c>
      <c r="P694" s="17">
        <f>IF($K694="","",$K694)</f>
        <v/>
      </c>
      <c r="Q694" s="16" t="n"/>
      <c r="R694" s="18" t="n"/>
      <c r="S694" s="16" t="n"/>
    </row>
    <row r="695">
      <c r="A695" s="14">
        <f>IFERROR(IF(AND(IFERROR(INDEX(ERP資料!$A:$A, (MATCH(694, 輔助計算!$F$2:$F$801, 0)+1)), "")&lt;&gt;"", IFERROR(INDEX(ERP資料!$A:$A, (MATCH(694, 輔助計算!$F$2:$F$801, 0)+1)), "")&lt;&gt;IFERROR(INDEX(ERP資料!$A:$A, MATCH(693, 輔助計算!$F$2:$F$801, 0)+1), "")), INDEX(ERP資料!$B:$B, (MATCH(694, 輔助計算!$F$2:$F$801, 0)+1)), ""), "")</f>
        <v/>
      </c>
      <c r="B695" s="10">
        <f>IFERROR(IF(AND(IFERROR(INDEX(ERP資料!$A:$A, (MATCH(694, 輔助計算!$F$2:$F$801, 0)+1)), "")&lt;&gt;"", IFERROR(INDEX(ERP資料!$A:$A, (MATCH(694, 輔助計算!$F$2:$F$801, 0)+1)), "")&lt;&gt;IFERROR(INDEX(ERP資料!$A:$A, MATCH(693, 輔助計算!$F$2:$F$801, 0)+1), "")), IFERROR(INDEX(ERP資料!$A:$A, (MATCH(694, 輔助計算!$F$2:$F$801, 0)+1)), ""), ""), "")</f>
        <v/>
      </c>
      <c r="C695" s="10">
        <f>IFERROR(IF(AND(IFERROR(INDEX(ERP資料!$A:$A, (MATCH(694, 輔助計算!$F$2:$F$801, 0)+1)), "")&lt;&gt;"", IFERROR(INDEX(ERP資料!$A:$A, (MATCH(694, 輔助計算!$F$2:$F$801, 0)+1)), "")&lt;&gt;IFERROR(INDEX(ERP資料!$A:$A, MATCH(693, 輔助計算!$F$2:$F$801, 0)+1), "")), INDEX(ERP資料!$S:$S, (MATCH(694, 輔助計算!$F$2:$F$801, 0)+1)), ""), "")</f>
        <v/>
      </c>
      <c r="D695" s="10">
        <f>IFERROR(IF(INDEX(ERP資料!$E:$E, (MATCH(694, 輔助計算!$F$2:$F$801, 0)+1))="","",TRIM(INDEX(ERP資料!$E:$E, (MATCH(694, 輔助計算!$F$2:$F$801, 0)+1)))), "")</f>
        <v/>
      </c>
      <c r="E695" s="10">
        <f>IFERROR(IF(INDEX(ERP資料!$F:$F, (MATCH(694, 輔助計算!$F$2:$F$801, 0)+1))="","",INDEX(ERP資料!$F:$F, (MATCH(694, 輔助計算!$F$2:$F$801, 0)+1))), "")</f>
        <v/>
      </c>
      <c r="F695" s="10">
        <f>IFERROR(IF(INDEX(ERP資料!$G:$G, (MATCH(694, 輔助計算!$F$2:$F$801, 0)+1))="","",INDEX(ERP資料!$G:$G, (MATCH(694, 輔助計算!$F$2:$F$801, 0)+1))), "")</f>
        <v/>
      </c>
      <c r="G695" s="10">
        <f>IFERROR(IF(INDEX(ERP資料!$H:$H, (MATCH(694, 輔助計算!$F$2:$F$801, 0)+1))="","",INDEX(ERP資料!$H:$H, (MATCH(694, 輔助計算!$F$2:$F$801, 0)+1))), "")</f>
        <v/>
      </c>
      <c r="H695" s="10">
        <f>IFERROR(IF(INDEX(ERP資料!$O:$O, (MATCH(694, 輔助計算!$F$2:$F$801, 0)+1))="","",INDEX(ERP資料!$O:$O, (MATCH(694, 輔助計算!$F$2:$F$801, 0)+1))), "")</f>
        <v/>
      </c>
      <c r="I695" s="15">
        <f>IFERROR(IF(INDEX(輔助計算!$D:$D,(MATCH(694, 輔助計算!$F$2:$F$801, 0)+1))="","",INDEX(輔助計算!$D:$D,(MATCH(694, 輔助計算!$F$2:$F$801, 0)+1))*INDEX(ERP資料!$O:$O,(MATCH(694, 輔助計算!$F$2:$F$801, 0)+1))), "")</f>
        <v/>
      </c>
      <c r="J695" s="16" t="n"/>
      <c r="K695" s="15">
        <f>IFERROR(INDEX(輔助計算!$D:$D, (MATCH(694, 輔助計算!$F$2:$F$801, 0)+1)), "")</f>
        <v/>
      </c>
      <c r="L695" s="16">
        <f>IFERROR(IF(AND(IFERROR(VLOOKUP(LEFT(INDEX(ERP資料!$S:$S, (MATCH(694, 輔助計算!$F$2:$F$801, 0)+1)), 4), 100張客戶!$A:$A, 1, FALSE), "")&lt;&gt;"", OR(INDEX(ERP資料!$F:$F, (MATCH(694, 輔助計算!$F$2:$F$801, 0)+1))=270, INDEX(ERP資料!$F:$F, (MATCH(694, 輔助計算!$F$2:$F$801, 0)+1))=300)), "100張", ""), "")</f>
        <v/>
      </c>
      <c r="M695" s="17" t="n"/>
      <c r="N695" s="17">
        <f>IF($F695="","",$F695)</f>
        <v/>
      </c>
      <c r="O695" s="17">
        <f>IF($G695="","",$G695)</f>
        <v/>
      </c>
      <c r="P695" s="17">
        <f>IF($K695="","",$K695)</f>
        <v/>
      </c>
      <c r="Q695" s="16" t="n"/>
      <c r="R695" s="18" t="n"/>
      <c r="S695" s="16" t="n"/>
    </row>
    <row r="696">
      <c r="A696" s="14">
        <f>IFERROR(IF(AND(IFERROR(INDEX(ERP資料!$A:$A, (MATCH(695, 輔助計算!$F$2:$F$801, 0)+1)), "")&lt;&gt;"", IFERROR(INDEX(ERP資料!$A:$A, (MATCH(695, 輔助計算!$F$2:$F$801, 0)+1)), "")&lt;&gt;IFERROR(INDEX(ERP資料!$A:$A, MATCH(694, 輔助計算!$F$2:$F$801, 0)+1), "")), INDEX(ERP資料!$B:$B, (MATCH(695, 輔助計算!$F$2:$F$801, 0)+1)), ""), "")</f>
        <v/>
      </c>
      <c r="B696" s="10">
        <f>IFERROR(IF(AND(IFERROR(INDEX(ERP資料!$A:$A, (MATCH(695, 輔助計算!$F$2:$F$801, 0)+1)), "")&lt;&gt;"", IFERROR(INDEX(ERP資料!$A:$A, (MATCH(695, 輔助計算!$F$2:$F$801, 0)+1)), "")&lt;&gt;IFERROR(INDEX(ERP資料!$A:$A, MATCH(694, 輔助計算!$F$2:$F$801, 0)+1), "")), IFERROR(INDEX(ERP資料!$A:$A, (MATCH(695, 輔助計算!$F$2:$F$801, 0)+1)), ""), ""), "")</f>
        <v/>
      </c>
      <c r="C696" s="10">
        <f>IFERROR(IF(AND(IFERROR(INDEX(ERP資料!$A:$A, (MATCH(695, 輔助計算!$F$2:$F$801, 0)+1)), "")&lt;&gt;"", IFERROR(INDEX(ERP資料!$A:$A, (MATCH(695, 輔助計算!$F$2:$F$801, 0)+1)), "")&lt;&gt;IFERROR(INDEX(ERP資料!$A:$A, MATCH(694, 輔助計算!$F$2:$F$801, 0)+1), "")), INDEX(ERP資料!$S:$S, (MATCH(695, 輔助計算!$F$2:$F$801, 0)+1)), ""), "")</f>
        <v/>
      </c>
      <c r="D696" s="10">
        <f>IFERROR(IF(INDEX(ERP資料!$E:$E, (MATCH(695, 輔助計算!$F$2:$F$801, 0)+1))="","",TRIM(INDEX(ERP資料!$E:$E, (MATCH(695, 輔助計算!$F$2:$F$801, 0)+1)))), "")</f>
        <v/>
      </c>
      <c r="E696" s="10">
        <f>IFERROR(IF(INDEX(ERP資料!$F:$F, (MATCH(695, 輔助計算!$F$2:$F$801, 0)+1))="","",INDEX(ERP資料!$F:$F, (MATCH(695, 輔助計算!$F$2:$F$801, 0)+1))), "")</f>
        <v/>
      </c>
      <c r="F696" s="10">
        <f>IFERROR(IF(INDEX(ERP資料!$G:$G, (MATCH(695, 輔助計算!$F$2:$F$801, 0)+1))="","",INDEX(ERP資料!$G:$G, (MATCH(695, 輔助計算!$F$2:$F$801, 0)+1))), "")</f>
        <v/>
      </c>
      <c r="G696" s="10">
        <f>IFERROR(IF(INDEX(ERP資料!$H:$H, (MATCH(695, 輔助計算!$F$2:$F$801, 0)+1))="","",INDEX(ERP資料!$H:$H, (MATCH(695, 輔助計算!$F$2:$F$801, 0)+1))), "")</f>
        <v/>
      </c>
      <c r="H696" s="10">
        <f>IFERROR(IF(INDEX(ERP資料!$O:$O, (MATCH(695, 輔助計算!$F$2:$F$801, 0)+1))="","",INDEX(ERP資料!$O:$O, (MATCH(695, 輔助計算!$F$2:$F$801, 0)+1))), "")</f>
        <v/>
      </c>
      <c r="I696" s="15">
        <f>IFERROR(IF(INDEX(輔助計算!$D:$D,(MATCH(695, 輔助計算!$F$2:$F$801, 0)+1))="","",INDEX(輔助計算!$D:$D,(MATCH(695, 輔助計算!$F$2:$F$801, 0)+1))*INDEX(ERP資料!$O:$O,(MATCH(695, 輔助計算!$F$2:$F$801, 0)+1))), "")</f>
        <v/>
      </c>
      <c r="J696" s="16" t="n"/>
      <c r="K696" s="15">
        <f>IFERROR(INDEX(輔助計算!$D:$D, (MATCH(695, 輔助計算!$F$2:$F$801, 0)+1)), "")</f>
        <v/>
      </c>
      <c r="L696" s="16">
        <f>IFERROR(IF(AND(IFERROR(VLOOKUP(LEFT(INDEX(ERP資料!$S:$S, (MATCH(695, 輔助計算!$F$2:$F$801, 0)+1)), 4), 100張客戶!$A:$A, 1, FALSE), "")&lt;&gt;"", OR(INDEX(ERP資料!$F:$F, (MATCH(695, 輔助計算!$F$2:$F$801, 0)+1))=270, INDEX(ERP資料!$F:$F, (MATCH(695, 輔助計算!$F$2:$F$801, 0)+1))=300)), "100張", ""), "")</f>
        <v/>
      </c>
      <c r="M696" s="17" t="n"/>
      <c r="N696" s="17">
        <f>IF($F696="","",$F696)</f>
        <v/>
      </c>
      <c r="O696" s="17">
        <f>IF($G696="","",$G696)</f>
        <v/>
      </c>
      <c r="P696" s="17">
        <f>IF($K696="","",$K696)</f>
        <v/>
      </c>
      <c r="Q696" s="16" t="n"/>
      <c r="R696" s="18" t="n"/>
      <c r="S696" s="16" t="n"/>
    </row>
    <row r="697">
      <c r="A697" s="14">
        <f>IFERROR(IF(AND(IFERROR(INDEX(ERP資料!$A:$A, (MATCH(696, 輔助計算!$F$2:$F$801, 0)+1)), "")&lt;&gt;"", IFERROR(INDEX(ERP資料!$A:$A, (MATCH(696, 輔助計算!$F$2:$F$801, 0)+1)), "")&lt;&gt;IFERROR(INDEX(ERP資料!$A:$A, MATCH(695, 輔助計算!$F$2:$F$801, 0)+1), "")), INDEX(ERP資料!$B:$B, (MATCH(696, 輔助計算!$F$2:$F$801, 0)+1)), ""), "")</f>
        <v/>
      </c>
      <c r="B697" s="10">
        <f>IFERROR(IF(AND(IFERROR(INDEX(ERP資料!$A:$A, (MATCH(696, 輔助計算!$F$2:$F$801, 0)+1)), "")&lt;&gt;"", IFERROR(INDEX(ERP資料!$A:$A, (MATCH(696, 輔助計算!$F$2:$F$801, 0)+1)), "")&lt;&gt;IFERROR(INDEX(ERP資料!$A:$A, MATCH(695, 輔助計算!$F$2:$F$801, 0)+1), "")), IFERROR(INDEX(ERP資料!$A:$A, (MATCH(696, 輔助計算!$F$2:$F$801, 0)+1)), ""), ""), "")</f>
        <v/>
      </c>
      <c r="C697" s="10">
        <f>IFERROR(IF(AND(IFERROR(INDEX(ERP資料!$A:$A, (MATCH(696, 輔助計算!$F$2:$F$801, 0)+1)), "")&lt;&gt;"", IFERROR(INDEX(ERP資料!$A:$A, (MATCH(696, 輔助計算!$F$2:$F$801, 0)+1)), "")&lt;&gt;IFERROR(INDEX(ERP資料!$A:$A, MATCH(695, 輔助計算!$F$2:$F$801, 0)+1), "")), INDEX(ERP資料!$S:$S, (MATCH(696, 輔助計算!$F$2:$F$801, 0)+1)), ""), "")</f>
        <v/>
      </c>
      <c r="D697" s="10">
        <f>IFERROR(IF(INDEX(ERP資料!$E:$E, (MATCH(696, 輔助計算!$F$2:$F$801, 0)+1))="","",TRIM(INDEX(ERP資料!$E:$E, (MATCH(696, 輔助計算!$F$2:$F$801, 0)+1)))), "")</f>
        <v/>
      </c>
      <c r="E697" s="10">
        <f>IFERROR(IF(INDEX(ERP資料!$F:$F, (MATCH(696, 輔助計算!$F$2:$F$801, 0)+1))="","",INDEX(ERP資料!$F:$F, (MATCH(696, 輔助計算!$F$2:$F$801, 0)+1))), "")</f>
        <v/>
      </c>
      <c r="F697" s="10">
        <f>IFERROR(IF(INDEX(ERP資料!$G:$G, (MATCH(696, 輔助計算!$F$2:$F$801, 0)+1))="","",INDEX(ERP資料!$G:$G, (MATCH(696, 輔助計算!$F$2:$F$801, 0)+1))), "")</f>
        <v/>
      </c>
      <c r="G697" s="10">
        <f>IFERROR(IF(INDEX(ERP資料!$H:$H, (MATCH(696, 輔助計算!$F$2:$F$801, 0)+1))="","",INDEX(ERP資料!$H:$H, (MATCH(696, 輔助計算!$F$2:$F$801, 0)+1))), "")</f>
        <v/>
      </c>
      <c r="H697" s="10">
        <f>IFERROR(IF(INDEX(ERP資料!$O:$O, (MATCH(696, 輔助計算!$F$2:$F$801, 0)+1))="","",INDEX(ERP資料!$O:$O, (MATCH(696, 輔助計算!$F$2:$F$801, 0)+1))), "")</f>
        <v/>
      </c>
      <c r="I697" s="15">
        <f>IFERROR(IF(INDEX(輔助計算!$D:$D,(MATCH(696, 輔助計算!$F$2:$F$801, 0)+1))="","",INDEX(輔助計算!$D:$D,(MATCH(696, 輔助計算!$F$2:$F$801, 0)+1))*INDEX(ERP資料!$O:$O,(MATCH(696, 輔助計算!$F$2:$F$801, 0)+1))), "")</f>
        <v/>
      </c>
      <c r="J697" s="16" t="n"/>
      <c r="K697" s="15">
        <f>IFERROR(INDEX(輔助計算!$D:$D, (MATCH(696, 輔助計算!$F$2:$F$801, 0)+1)), "")</f>
        <v/>
      </c>
      <c r="L697" s="16">
        <f>IFERROR(IF(AND(IFERROR(VLOOKUP(LEFT(INDEX(ERP資料!$S:$S, (MATCH(696, 輔助計算!$F$2:$F$801, 0)+1)), 4), 100張客戶!$A:$A, 1, FALSE), "")&lt;&gt;"", OR(INDEX(ERP資料!$F:$F, (MATCH(696, 輔助計算!$F$2:$F$801, 0)+1))=270, INDEX(ERP資料!$F:$F, (MATCH(696, 輔助計算!$F$2:$F$801, 0)+1))=300)), "100張", ""), "")</f>
        <v/>
      </c>
      <c r="M697" s="17" t="n"/>
      <c r="N697" s="17">
        <f>IF($F697="","",$F697)</f>
        <v/>
      </c>
      <c r="O697" s="17">
        <f>IF($G697="","",$G697)</f>
        <v/>
      </c>
      <c r="P697" s="17">
        <f>IF($K697="","",$K697)</f>
        <v/>
      </c>
      <c r="Q697" s="16" t="n"/>
      <c r="R697" s="18" t="n"/>
      <c r="S697" s="16" t="n"/>
    </row>
    <row r="698">
      <c r="A698" s="14">
        <f>IFERROR(IF(AND(IFERROR(INDEX(ERP資料!$A:$A, (MATCH(697, 輔助計算!$F$2:$F$801, 0)+1)), "")&lt;&gt;"", IFERROR(INDEX(ERP資料!$A:$A, (MATCH(697, 輔助計算!$F$2:$F$801, 0)+1)), "")&lt;&gt;IFERROR(INDEX(ERP資料!$A:$A, MATCH(696, 輔助計算!$F$2:$F$801, 0)+1), "")), INDEX(ERP資料!$B:$B, (MATCH(697, 輔助計算!$F$2:$F$801, 0)+1)), ""), "")</f>
        <v/>
      </c>
      <c r="B698" s="10">
        <f>IFERROR(IF(AND(IFERROR(INDEX(ERP資料!$A:$A, (MATCH(697, 輔助計算!$F$2:$F$801, 0)+1)), "")&lt;&gt;"", IFERROR(INDEX(ERP資料!$A:$A, (MATCH(697, 輔助計算!$F$2:$F$801, 0)+1)), "")&lt;&gt;IFERROR(INDEX(ERP資料!$A:$A, MATCH(696, 輔助計算!$F$2:$F$801, 0)+1), "")), IFERROR(INDEX(ERP資料!$A:$A, (MATCH(697, 輔助計算!$F$2:$F$801, 0)+1)), ""), ""), "")</f>
        <v/>
      </c>
      <c r="C698" s="10">
        <f>IFERROR(IF(AND(IFERROR(INDEX(ERP資料!$A:$A, (MATCH(697, 輔助計算!$F$2:$F$801, 0)+1)), "")&lt;&gt;"", IFERROR(INDEX(ERP資料!$A:$A, (MATCH(697, 輔助計算!$F$2:$F$801, 0)+1)), "")&lt;&gt;IFERROR(INDEX(ERP資料!$A:$A, MATCH(696, 輔助計算!$F$2:$F$801, 0)+1), "")), INDEX(ERP資料!$S:$S, (MATCH(697, 輔助計算!$F$2:$F$801, 0)+1)), ""), "")</f>
        <v/>
      </c>
      <c r="D698" s="10">
        <f>IFERROR(IF(INDEX(ERP資料!$E:$E, (MATCH(697, 輔助計算!$F$2:$F$801, 0)+1))="","",TRIM(INDEX(ERP資料!$E:$E, (MATCH(697, 輔助計算!$F$2:$F$801, 0)+1)))), "")</f>
        <v/>
      </c>
      <c r="E698" s="10">
        <f>IFERROR(IF(INDEX(ERP資料!$F:$F, (MATCH(697, 輔助計算!$F$2:$F$801, 0)+1))="","",INDEX(ERP資料!$F:$F, (MATCH(697, 輔助計算!$F$2:$F$801, 0)+1))), "")</f>
        <v/>
      </c>
      <c r="F698" s="10">
        <f>IFERROR(IF(INDEX(ERP資料!$G:$G, (MATCH(697, 輔助計算!$F$2:$F$801, 0)+1))="","",INDEX(ERP資料!$G:$G, (MATCH(697, 輔助計算!$F$2:$F$801, 0)+1))), "")</f>
        <v/>
      </c>
      <c r="G698" s="10">
        <f>IFERROR(IF(INDEX(ERP資料!$H:$H, (MATCH(697, 輔助計算!$F$2:$F$801, 0)+1))="","",INDEX(ERP資料!$H:$H, (MATCH(697, 輔助計算!$F$2:$F$801, 0)+1))), "")</f>
        <v/>
      </c>
      <c r="H698" s="10">
        <f>IFERROR(IF(INDEX(ERP資料!$O:$O, (MATCH(697, 輔助計算!$F$2:$F$801, 0)+1))="","",INDEX(ERP資料!$O:$O, (MATCH(697, 輔助計算!$F$2:$F$801, 0)+1))), "")</f>
        <v/>
      </c>
      <c r="I698" s="15">
        <f>IFERROR(IF(INDEX(輔助計算!$D:$D,(MATCH(697, 輔助計算!$F$2:$F$801, 0)+1))="","",INDEX(輔助計算!$D:$D,(MATCH(697, 輔助計算!$F$2:$F$801, 0)+1))*INDEX(ERP資料!$O:$O,(MATCH(697, 輔助計算!$F$2:$F$801, 0)+1))), "")</f>
        <v/>
      </c>
      <c r="J698" s="16" t="n"/>
      <c r="K698" s="15">
        <f>IFERROR(INDEX(輔助計算!$D:$D, (MATCH(697, 輔助計算!$F$2:$F$801, 0)+1)), "")</f>
        <v/>
      </c>
      <c r="L698" s="16">
        <f>IFERROR(IF(AND(IFERROR(VLOOKUP(LEFT(INDEX(ERP資料!$S:$S, (MATCH(697, 輔助計算!$F$2:$F$801, 0)+1)), 4), 100張客戶!$A:$A, 1, FALSE), "")&lt;&gt;"", OR(INDEX(ERP資料!$F:$F, (MATCH(697, 輔助計算!$F$2:$F$801, 0)+1))=270, INDEX(ERP資料!$F:$F, (MATCH(697, 輔助計算!$F$2:$F$801, 0)+1))=300)), "100張", ""), "")</f>
        <v/>
      </c>
      <c r="M698" s="17" t="n"/>
      <c r="N698" s="17">
        <f>IF($F698="","",$F698)</f>
        <v/>
      </c>
      <c r="O698" s="17">
        <f>IF($G698="","",$G698)</f>
        <v/>
      </c>
      <c r="P698" s="17">
        <f>IF($K698="","",$K698)</f>
        <v/>
      </c>
      <c r="Q698" s="16" t="n"/>
      <c r="R698" s="18" t="n"/>
      <c r="S698" s="16" t="n"/>
    </row>
    <row r="699">
      <c r="A699" s="14">
        <f>IFERROR(IF(AND(IFERROR(INDEX(ERP資料!$A:$A, (MATCH(698, 輔助計算!$F$2:$F$801, 0)+1)), "")&lt;&gt;"", IFERROR(INDEX(ERP資料!$A:$A, (MATCH(698, 輔助計算!$F$2:$F$801, 0)+1)), "")&lt;&gt;IFERROR(INDEX(ERP資料!$A:$A, MATCH(697, 輔助計算!$F$2:$F$801, 0)+1), "")), INDEX(ERP資料!$B:$B, (MATCH(698, 輔助計算!$F$2:$F$801, 0)+1)), ""), "")</f>
        <v/>
      </c>
      <c r="B699" s="10">
        <f>IFERROR(IF(AND(IFERROR(INDEX(ERP資料!$A:$A, (MATCH(698, 輔助計算!$F$2:$F$801, 0)+1)), "")&lt;&gt;"", IFERROR(INDEX(ERP資料!$A:$A, (MATCH(698, 輔助計算!$F$2:$F$801, 0)+1)), "")&lt;&gt;IFERROR(INDEX(ERP資料!$A:$A, MATCH(697, 輔助計算!$F$2:$F$801, 0)+1), "")), IFERROR(INDEX(ERP資料!$A:$A, (MATCH(698, 輔助計算!$F$2:$F$801, 0)+1)), ""), ""), "")</f>
        <v/>
      </c>
      <c r="C699" s="10">
        <f>IFERROR(IF(AND(IFERROR(INDEX(ERP資料!$A:$A, (MATCH(698, 輔助計算!$F$2:$F$801, 0)+1)), "")&lt;&gt;"", IFERROR(INDEX(ERP資料!$A:$A, (MATCH(698, 輔助計算!$F$2:$F$801, 0)+1)), "")&lt;&gt;IFERROR(INDEX(ERP資料!$A:$A, MATCH(697, 輔助計算!$F$2:$F$801, 0)+1), "")), INDEX(ERP資料!$S:$S, (MATCH(698, 輔助計算!$F$2:$F$801, 0)+1)), ""), "")</f>
        <v/>
      </c>
      <c r="D699" s="10">
        <f>IFERROR(IF(INDEX(ERP資料!$E:$E, (MATCH(698, 輔助計算!$F$2:$F$801, 0)+1))="","",TRIM(INDEX(ERP資料!$E:$E, (MATCH(698, 輔助計算!$F$2:$F$801, 0)+1)))), "")</f>
        <v/>
      </c>
      <c r="E699" s="10">
        <f>IFERROR(IF(INDEX(ERP資料!$F:$F, (MATCH(698, 輔助計算!$F$2:$F$801, 0)+1))="","",INDEX(ERP資料!$F:$F, (MATCH(698, 輔助計算!$F$2:$F$801, 0)+1))), "")</f>
        <v/>
      </c>
      <c r="F699" s="10">
        <f>IFERROR(IF(INDEX(ERP資料!$G:$G, (MATCH(698, 輔助計算!$F$2:$F$801, 0)+1))="","",INDEX(ERP資料!$G:$G, (MATCH(698, 輔助計算!$F$2:$F$801, 0)+1))), "")</f>
        <v/>
      </c>
      <c r="G699" s="10">
        <f>IFERROR(IF(INDEX(ERP資料!$H:$H, (MATCH(698, 輔助計算!$F$2:$F$801, 0)+1))="","",INDEX(ERP資料!$H:$H, (MATCH(698, 輔助計算!$F$2:$F$801, 0)+1))), "")</f>
        <v/>
      </c>
      <c r="H699" s="10">
        <f>IFERROR(IF(INDEX(ERP資料!$O:$O, (MATCH(698, 輔助計算!$F$2:$F$801, 0)+1))="","",INDEX(ERP資料!$O:$O, (MATCH(698, 輔助計算!$F$2:$F$801, 0)+1))), "")</f>
        <v/>
      </c>
      <c r="I699" s="15">
        <f>IFERROR(IF(INDEX(輔助計算!$D:$D,(MATCH(698, 輔助計算!$F$2:$F$801, 0)+1))="","",INDEX(輔助計算!$D:$D,(MATCH(698, 輔助計算!$F$2:$F$801, 0)+1))*INDEX(ERP資料!$O:$O,(MATCH(698, 輔助計算!$F$2:$F$801, 0)+1))), "")</f>
        <v/>
      </c>
      <c r="J699" s="16" t="n"/>
      <c r="K699" s="15">
        <f>IFERROR(INDEX(輔助計算!$D:$D, (MATCH(698, 輔助計算!$F$2:$F$801, 0)+1)), "")</f>
        <v/>
      </c>
      <c r="L699" s="16">
        <f>IFERROR(IF(AND(IFERROR(VLOOKUP(LEFT(INDEX(ERP資料!$S:$S, (MATCH(698, 輔助計算!$F$2:$F$801, 0)+1)), 4), 100張客戶!$A:$A, 1, FALSE), "")&lt;&gt;"", OR(INDEX(ERP資料!$F:$F, (MATCH(698, 輔助計算!$F$2:$F$801, 0)+1))=270, INDEX(ERP資料!$F:$F, (MATCH(698, 輔助計算!$F$2:$F$801, 0)+1))=300)), "100張", ""), "")</f>
        <v/>
      </c>
      <c r="M699" s="17" t="n"/>
      <c r="N699" s="17">
        <f>IF($F699="","",$F699)</f>
        <v/>
      </c>
      <c r="O699" s="17">
        <f>IF($G699="","",$G699)</f>
        <v/>
      </c>
      <c r="P699" s="17">
        <f>IF($K699="","",$K699)</f>
        <v/>
      </c>
      <c r="Q699" s="16" t="n"/>
      <c r="R699" s="18" t="n"/>
      <c r="S699" s="16" t="n"/>
    </row>
    <row r="700">
      <c r="A700" s="14">
        <f>IFERROR(IF(AND(IFERROR(INDEX(ERP資料!$A:$A, (MATCH(699, 輔助計算!$F$2:$F$801, 0)+1)), "")&lt;&gt;"", IFERROR(INDEX(ERP資料!$A:$A, (MATCH(699, 輔助計算!$F$2:$F$801, 0)+1)), "")&lt;&gt;IFERROR(INDEX(ERP資料!$A:$A, MATCH(698, 輔助計算!$F$2:$F$801, 0)+1), "")), INDEX(ERP資料!$B:$B, (MATCH(699, 輔助計算!$F$2:$F$801, 0)+1)), ""), "")</f>
        <v/>
      </c>
      <c r="B700" s="10">
        <f>IFERROR(IF(AND(IFERROR(INDEX(ERP資料!$A:$A, (MATCH(699, 輔助計算!$F$2:$F$801, 0)+1)), "")&lt;&gt;"", IFERROR(INDEX(ERP資料!$A:$A, (MATCH(699, 輔助計算!$F$2:$F$801, 0)+1)), "")&lt;&gt;IFERROR(INDEX(ERP資料!$A:$A, MATCH(698, 輔助計算!$F$2:$F$801, 0)+1), "")), IFERROR(INDEX(ERP資料!$A:$A, (MATCH(699, 輔助計算!$F$2:$F$801, 0)+1)), ""), ""), "")</f>
        <v/>
      </c>
      <c r="C700" s="10">
        <f>IFERROR(IF(AND(IFERROR(INDEX(ERP資料!$A:$A, (MATCH(699, 輔助計算!$F$2:$F$801, 0)+1)), "")&lt;&gt;"", IFERROR(INDEX(ERP資料!$A:$A, (MATCH(699, 輔助計算!$F$2:$F$801, 0)+1)), "")&lt;&gt;IFERROR(INDEX(ERP資料!$A:$A, MATCH(698, 輔助計算!$F$2:$F$801, 0)+1), "")), INDEX(ERP資料!$S:$S, (MATCH(699, 輔助計算!$F$2:$F$801, 0)+1)), ""), "")</f>
        <v/>
      </c>
      <c r="D700" s="10">
        <f>IFERROR(IF(INDEX(ERP資料!$E:$E, (MATCH(699, 輔助計算!$F$2:$F$801, 0)+1))="","",TRIM(INDEX(ERP資料!$E:$E, (MATCH(699, 輔助計算!$F$2:$F$801, 0)+1)))), "")</f>
        <v/>
      </c>
      <c r="E700" s="10">
        <f>IFERROR(IF(INDEX(ERP資料!$F:$F, (MATCH(699, 輔助計算!$F$2:$F$801, 0)+1))="","",INDEX(ERP資料!$F:$F, (MATCH(699, 輔助計算!$F$2:$F$801, 0)+1))), "")</f>
        <v/>
      </c>
      <c r="F700" s="10">
        <f>IFERROR(IF(INDEX(ERP資料!$G:$G, (MATCH(699, 輔助計算!$F$2:$F$801, 0)+1))="","",INDEX(ERP資料!$G:$G, (MATCH(699, 輔助計算!$F$2:$F$801, 0)+1))), "")</f>
        <v/>
      </c>
      <c r="G700" s="10">
        <f>IFERROR(IF(INDEX(ERP資料!$H:$H, (MATCH(699, 輔助計算!$F$2:$F$801, 0)+1))="","",INDEX(ERP資料!$H:$H, (MATCH(699, 輔助計算!$F$2:$F$801, 0)+1))), "")</f>
        <v/>
      </c>
      <c r="H700" s="10">
        <f>IFERROR(IF(INDEX(ERP資料!$O:$O, (MATCH(699, 輔助計算!$F$2:$F$801, 0)+1))="","",INDEX(ERP資料!$O:$O, (MATCH(699, 輔助計算!$F$2:$F$801, 0)+1))), "")</f>
        <v/>
      </c>
      <c r="I700" s="15">
        <f>IFERROR(IF(INDEX(輔助計算!$D:$D,(MATCH(699, 輔助計算!$F$2:$F$801, 0)+1))="","",INDEX(輔助計算!$D:$D,(MATCH(699, 輔助計算!$F$2:$F$801, 0)+1))*INDEX(ERP資料!$O:$O,(MATCH(699, 輔助計算!$F$2:$F$801, 0)+1))), "")</f>
        <v/>
      </c>
      <c r="J700" s="16" t="n"/>
      <c r="K700" s="15">
        <f>IFERROR(INDEX(輔助計算!$D:$D, (MATCH(699, 輔助計算!$F$2:$F$801, 0)+1)), "")</f>
        <v/>
      </c>
      <c r="L700" s="16">
        <f>IFERROR(IF(AND(IFERROR(VLOOKUP(LEFT(INDEX(ERP資料!$S:$S, (MATCH(699, 輔助計算!$F$2:$F$801, 0)+1)), 4), 100張客戶!$A:$A, 1, FALSE), "")&lt;&gt;"", OR(INDEX(ERP資料!$F:$F, (MATCH(699, 輔助計算!$F$2:$F$801, 0)+1))=270, INDEX(ERP資料!$F:$F, (MATCH(699, 輔助計算!$F$2:$F$801, 0)+1))=300)), "100張", ""), "")</f>
        <v/>
      </c>
      <c r="M700" s="17" t="n"/>
      <c r="N700" s="17">
        <f>IF($F700="","",$F700)</f>
        <v/>
      </c>
      <c r="O700" s="17">
        <f>IF($G700="","",$G700)</f>
        <v/>
      </c>
      <c r="P700" s="17">
        <f>IF($K700="","",$K700)</f>
        <v/>
      </c>
      <c r="Q700" s="16" t="n"/>
      <c r="R700" s="18" t="n"/>
      <c r="S700" s="16" t="n"/>
    </row>
    <row r="701">
      <c r="A701" s="14">
        <f>IFERROR(IF(AND(IFERROR(INDEX(ERP資料!$A:$A, (MATCH(700, 輔助計算!$F$2:$F$801, 0)+1)), "")&lt;&gt;"", IFERROR(INDEX(ERP資料!$A:$A, (MATCH(700, 輔助計算!$F$2:$F$801, 0)+1)), "")&lt;&gt;IFERROR(INDEX(ERP資料!$A:$A, MATCH(699, 輔助計算!$F$2:$F$801, 0)+1), "")), INDEX(ERP資料!$B:$B, (MATCH(700, 輔助計算!$F$2:$F$801, 0)+1)), ""), "")</f>
        <v/>
      </c>
      <c r="B701" s="10">
        <f>IFERROR(IF(AND(IFERROR(INDEX(ERP資料!$A:$A, (MATCH(700, 輔助計算!$F$2:$F$801, 0)+1)), "")&lt;&gt;"", IFERROR(INDEX(ERP資料!$A:$A, (MATCH(700, 輔助計算!$F$2:$F$801, 0)+1)), "")&lt;&gt;IFERROR(INDEX(ERP資料!$A:$A, MATCH(699, 輔助計算!$F$2:$F$801, 0)+1), "")), IFERROR(INDEX(ERP資料!$A:$A, (MATCH(700, 輔助計算!$F$2:$F$801, 0)+1)), ""), ""), "")</f>
        <v/>
      </c>
      <c r="C701" s="10">
        <f>IFERROR(IF(AND(IFERROR(INDEX(ERP資料!$A:$A, (MATCH(700, 輔助計算!$F$2:$F$801, 0)+1)), "")&lt;&gt;"", IFERROR(INDEX(ERP資料!$A:$A, (MATCH(700, 輔助計算!$F$2:$F$801, 0)+1)), "")&lt;&gt;IFERROR(INDEX(ERP資料!$A:$A, MATCH(699, 輔助計算!$F$2:$F$801, 0)+1), "")), INDEX(ERP資料!$S:$S, (MATCH(700, 輔助計算!$F$2:$F$801, 0)+1)), ""), "")</f>
        <v/>
      </c>
      <c r="D701" s="10">
        <f>IFERROR(IF(INDEX(ERP資料!$E:$E, (MATCH(700, 輔助計算!$F$2:$F$801, 0)+1))="","",TRIM(INDEX(ERP資料!$E:$E, (MATCH(700, 輔助計算!$F$2:$F$801, 0)+1)))), "")</f>
        <v/>
      </c>
      <c r="E701" s="10">
        <f>IFERROR(IF(INDEX(ERP資料!$F:$F, (MATCH(700, 輔助計算!$F$2:$F$801, 0)+1))="","",INDEX(ERP資料!$F:$F, (MATCH(700, 輔助計算!$F$2:$F$801, 0)+1))), "")</f>
        <v/>
      </c>
      <c r="F701" s="10">
        <f>IFERROR(IF(INDEX(ERP資料!$G:$G, (MATCH(700, 輔助計算!$F$2:$F$801, 0)+1))="","",INDEX(ERP資料!$G:$G, (MATCH(700, 輔助計算!$F$2:$F$801, 0)+1))), "")</f>
        <v/>
      </c>
      <c r="G701" s="10">
        <f>IFERROR(IF(INDEX(ERP資料!$H:$H, (MATCH(700, 輔助計算!$F$2:$F$801, 0)+1))="","",INDEX(ERP資料!$H:$H, (MATCH(700, 輔助計算!$F$2:$F$801, 0)+1))), "")</f>
        <v/>
      </c>
      <c r="H701" s="10">
        <f>IFERROR(IF(INDEX(ERP資料!$O:$O, (MATCH(700, 輔助計算!$F$2:$F$801, 0)+1))="","",INDEX(ERP資料!$O:$O, (MATCH(700, 輔助計算!$F$2:$F$801, 0)+1))), "")</f>
        <v/>
      </c>
      <c r="I701" s="15">
        <f>IFERROR(IF(INDEX(輔助計算!$D:$D,(MATCH(700, 輔助計算!$F$2:$F$801, 0)+1))="","",INDEX(輔助計算!$D:$D,(MATCH(700, 輔助計算!$F$2:$F$801, 0)+1))*INDEX(ERP資料!$O:$O,(MATCH(700, 輔助計算!$F$2:$F$801, 0)+1))), "")</f>
        <v/>
      </c>
      <c r="J701" s="16" t="n"/>
      <c r="K701" s="15">
        <f>IFERROR(INDEX(輔助計算!$D:$D, (MATCH(700, 輔助計算!$F$2:$F$801, 0)+1)), "")</f>
        <v/>
      </c>
      <c r="L701" s="16">
        <f>IFERROR(IF(AND(IFERROR(VLOOKUP(LEFT(INDEX(ERP資料!$S:$S, (MATCH(700, 輔助計算!$F$2:$F$801, 0)+1)), 4), 100張客戶!$A:$A, 1, FALSE), "")&lt;&gt;"", OR(INDEX(ERP資料!$F:$F, (MATCH(700, 輔助計算!$F$2:$F$801, 0)+1))=270, INDEX(ERP資料!$F:$F, (MATCH(700, 輔助計算!$F$2:$F$801, 0)+1))=300)), "100張", ""), "")</f>
        <v/>
      </c>
      <c r="M701" s="17" t="n"/>
      <c r="N701" s="17">
        <f>IF($F701="","",$F701)</f>
        <v/>
      </c>
      <c r="O701" s="17">
        <f>IF($G701="","",$G701)</f>
        <v/>
      </c>
      <c r="P701" s="17">
        <f>IF($K701="","",$K701)</f>
        <v/>
      </c>
      <c r="Q701" s="16" t="n"/>
      <c r="R701" s="18" t="n"/>
      <c r="S701" s="16" t="n"/>
    </row>
    <row r="702">
      <c r="A702" s="14">
        <f>IFERROR(IF(AND(IFERROR(INDEX(ERP資料!$A:$A, (MATCH(701, 輔助計算!$F$2:$F$801, 0)+1)), "")&lt;&gt;"", IFERROR(INDEX(ERP資料!$A:$A, (MATCH(701, 輔助計算!$F$2:$F$801, 0)+1)), "")&lt;&gt;IFERROR(INDEX(ERP資料!$A:$A, MATCH(700, 輔助計算!$F$2:$F$801, 0)+1), "")), INDEX(ERP資料!$B:$B, (MATCH(701, 輔助計算!$F$2:$F$801, 0)+1)), ""), "")</f>
        <v/>
      </c>
      <c r="B702" s="10">
        <f>IFERROR(IF(AND(IFERROR(INDEX(ERP資料!$A:$A, (MATCH(701, 輔助計算!$F$2:$F$801, 0)+1)), "")&lt;&gt;"", IFERROR(INDEX(ERP資料!$A:$A, (MATCH(701, 輔助計算!$F$2:$F$801, 0)+1)), "")&lt;&gt;IFERROR(INDEX(ERP資料!$A:$A, MATCH(700, 輔助計算!$F$2:$F$801, 0)+1), "")), IFERROR(INDEX(ERP資料!$A:$A, (MATCH(701, 輔助計算!$F$2:$F$801, 0)+1)), ""), ""), "")</f>
        <v/>
      </c>
      <c r="C702" s="10">
        <f>IFERROR(IF(AND(IFERROR(INDEX(ERP資料!$A:$A, (MATCH(701, 輔助計算!$F$2:$F$801, 0)+1)), "")&lt;&gt;"", IFERROR(INDEX(ERP資料!$A:$A, (MATCH(701, 輔助計算!$F$2:$F$801, 0)+1)), "")&lt;&gt;IFERROR(INDEX(ERP資料!$A:$A, MATCH(700, 輔助計算!$F$2:$F$801, 0)+1), "")), INDEX(ERP資料!$S:$S, (MATCH(701, 輔助計算!$F$2:$F$801, 0)+1)), ""), "")</f>
        <v/>
      </c>
      <c r="D702" s="10">
        <f>IFERROR(IF(INDEX(ERP資料!$E:$E, (MATCH(701, 輔助計算!$F$2:$F$801, 0)+1))="","",TRIM(INDEX(ERP資料!$E:$E, (MATCH(701, 輔助計算!$F$2:$F$801, 0)+1)))), "")</f>
        <v/>
      </c>
      <c r="E702" s="10">
        <f>IFERROR(IF(INDEX(ERP資料!$F:$F, (MATCH(701, 輔助計算!$F$2:$F$801, 0)+1))="","",INDEX(ERP資料!$F:$F, (MATCH(701, 輔助計算!$F$2:$F$801, 0)+1))), "")</f>
        <v/>
      </c>
      <c r="F702" s="10">
        <f>IFERROR(IF(INDEX(ERP資料!$G:$G, (MATCH(701, 輔助計算!$F$2:$F$801, 0)+1))="","",INDEX(ERP資料!$G:$G, (MATCH(701, 輔助計算!$F$2:$F$801, 0)+1))), "")</f>
        <v/>
      </c>
      <c r="G702" s="10">
        <f>IFERROR(IF(INDEX(ERP資料!$H:$H, (MATCH(701, 輔助計算!$F$2:$F$801, 0)+1))="","",INDEX(ERP資料!$H:$H, (MATCH(701, 輔助計算!$F$2:$F$801, 0)+1))), "")</f>
        <v/>
      </c>
      <c r="H702" s="10">
        <f>IFERROR(IF(INDEX(ERP資料!$O:$O, (MATCH(701, 輔助計算!$F$2:$F$801, 0)+1))="","",INDEX(ERP資料!$O:$O, (MATCH(701, 輔助計算!$F$2:$F$801, 0)+1))), "")</f>
        <v/>
      </c>
      <c r="I702" s="15">
        <f>IFERROR(IF(INDEX(輔助計算!$D:$D,(MATCH(701, 輔助計算!$F$2:$F$801, 0)+1))="","",INDEX(輔助計算!$D:$D,(MATCH(701, 輔助計算!$F$2:$F$801, 0)+1))*INDEX(ERP資料!$O:$O,(MATCH(701, 輔助計算!$F$2:$F$801, 0)+1))), "")</f>
        <v/>
      </c>
      <c r="J702" s="16" t="n"/>
      <c r="K702" s="15">
        <f>IFERROR(INDEX(輔助計算!$D:$D, (MATCH(701, 輔助計算!$F$2:$F$801, 0)+1)), "")</f>
        <v/>
      </c>
      <c r="L702" s="16">
        <f>IFERROR(IF(AND(IFERROR(VLOOKUP(LEFT(INDEX(ERP資料!$S:$S, (MATCH(701, 輔助計算!$F$2:$F$801, 0)+1)), 4), 100張客戶!$A:$A, 1, FALSE), "")&lt;&gt;"", OR(INDEX(ERP資料!$F:$F, (MATCH(701, 輔助計算!$F$2:$F$801, 0)+1))=270, INDEX(ERP資料!$F:$F, (MATCH(701, 輔助計算!$F$2:$F$801, 0)+1))=300)), "100張", ""), "")</f>
        <v/>
      </c>
      <c r="M702" s="17" t="n"/>
      <c r="N702" s="17">
        <f>IF($F702="","",$F702)</f>
        <v/>
      </c>
      <c r="O702" s="17">
        <f>IF($G702="","",$G702)</f>
        <v/>
      </c>
      <c r="P702" s="17">
        <f>IF($K702="","",$K702)</f>
        <v/>
      </c>
      <c r="Q702" s="16" t="n"/>
      <c r="R702" s="18" t="n"/>
      <c r="S702" s="16" t="n"/>
    </row>
    <row r="703">
      <c r="A703" s="14">
        <f>IFERROR(IF(AND(IFERROR(INDEX(ERP資料!$A:$A, (MATCH(702, 輔助計算!$F$2:$F$801, 0)+1)), "")&lt;&gt;"", IFERROR(INDEX(ERP資料!$A:$A, (MATCH(702, 輔助計算!$F$2:$F$801, 0)+1)), "")&lt;&gt;IFERROR(INDEX(ERP資料!$A:$A, MATCH(701, 輔助計算!$F$2:$F$801, 0)+1), "")), INDEX(ERP資料!$B:$B, (MATCH(702, 輔助計算!$F$2:$F$801, 0)+1)), ""), "")</f>
        <v/>
      </c>
      <c r="B703" s="10">
        <f>IFERROR(IF(AND(IFERROR(INDEX(ERP資料!$A:$A, (MATCH(702, 輔助計算!$F$2:$F$801, 0)+1)), "")&lt;&gt;"", IFERROR(INDEX(ERP資料!$A:$A, (MATCH(702, 輔助計算!$F$2:$F$801, 0)+1)), "")&lt;&gt;IFERROR(INDEX(ERP資料!$A:$A, MATCH(701, 輔助計算!$F$2:$F$801, 0)+1), "")), IFERROR(INDEX(ERP資料!$A:$A, (MATCH(702, 輔助計算!$F$2:$F$801, 0)+1)), ""), ""), "")</f>
        <v/>
      </c>
      <c r="C703" s="10">
        <f>IFERROR(IF(AND(IFERROR(INDEX(ERP資料!$A:$A, (MATCH(702, 輔助計算!$F$2:$F$801, 0)+1)), "")&lt;&gt;"", IFERROR(INDEX(ERP資料!$A:$A, (MATCH(702, 輔助計算!$F$2:$F$801, 0)+1)), "")&lt;&gt;IFERROR(INDEX(ERP資料!$A:$A, MATCH(701, 輔助計算!$F$2:$F$801, 0)+1), "")), INDEX(ERP資料!$S:$S, (MATCH(702, 輔助計算!$F$2:$F$801, 0)+1)), ""), "")</f>
        <v/>
      </c>
      <c r="D703" s="10">
        <f>IFERROR(IF(INDEX(ERP資料!$E:$E, (MATCH(702, 輔助計算!$F$2:$F$801, 0)+1))="","",TRIM(INDEX(ERP資料!$E:$E, (MATCH(702, 輔助計算!$F$2:$F$801, 0)+1)))), "")</f>
        <v/>
      </c>
      <c r="E703" s="10">
        <f>IFERROR(IF(INDEX(ERP資料!$F:$F, (MATCH(702, 輔助計算!$F$2:$F$801, 0)+1))="","",INDEX(ERP資料!$F:$F, (MATCH(702, 輔助計算!$F$2:$F$801, 0)+1))), "")</f>
        <v/>
      </c>
      <c r="F703" s="10">
        <f>IFERROR(IF(INDEX(ERP資料!$G:$G, (MATCH(702, 輔助計算!$F$2:$F$801, 0)+1))="","",INDEX(ERP資料!$G:$G, (MATCH(702, 輔助計算!$F$2:$F$801, 0)+1))), "")</f>
        <v/>
      </c>
      <c r="G703" s="10">
        <f>IFERROR(IF(INDEX(ERP資料!$H:$H, (MATCH(702, 輔助計算!$F$2:$F$801, 0)+1))="","",INDEX(ERP資料!$H:$H, (MATCH(702, 輔助計算!$F$2:$F$801, 0)+1))), "")</f>
        <v/>
      </c>
      <c r="H703" s="10">
        <f>IFERROR(IF(INDEX(ERP資料!$O:$O, (MATCH(702, 輔助計算!$F$2:$F$801, 0)+1))="","",INDEX(ERP資料!$O:$O, (MATCH(702, 輔助計算!$F$2:$F$801, 0)+1))), "")</f>
        <v/>
      </c>
      <c r="I703" s="15">
        <f>IFERROR(IF(INDEX(輔助計算!$D:$D,(MATCH(702, 輔助計算!$F$2:$F$801, 0)+1))="","",INDEX(輔助計算!$D:$D,(MATCH(702, 輔助計算!$F$2:$F$801, 0)+1))*INDEX(ERP資料!$O:$O,(MATCH(702, 輔助計算!$F$2:$F$801, 0)+1))), "")</f>
        <v/>
      </c>
      <c r="J703" s="16" t="n"/>
      <c r="K703" s="15">
        <f>IFERROR(INDEX(輔助計算!$D:$D, (MATCH(702, 輔助計算!$F$2:$F$801, 0)+1)), "")</f>
        <v/>
      </c>
      <c r="L703" s="16">
        <f>IFERROR(IF(AND(IFERROR(VLOOKUP(LEFT(INDEX(ERP資料!$S:$S, (MATCH(702, 輔助計算!$F$2:$F$801, 0)+1)), 4), 100張客戶!$A:$A, 1, FALSE), "")&lt;&gt;"", OR(INDEX(ERP資料!$F:$F, (MATCH(702, 輔助計算!$F$2:$F$801, 0)+1))=270, INDEX(ERP資料!$F:$F, (MATCH(702, 輔助計算!$F$2:$F$801, 0)+1))=300)), "100張", ""), "")</f>
        <v/>
      </c>
      <c r="M703" s="17" t="n"/>
      <c r="N703" s="17">
        <f>IF($F703="","",$F703)</f>
        <v/>
      </c>
      <c r="O703" s="17">
        <f>IF($G703="","",$G703)</f>
        <v/>
      </c>
      <c r="P703" s="17">
        <f>IF($K703="","",$K703)</f>
        <v/>
      </c>
      <c r="Q703" s="16" t="n"/>
      <c r="R703" s="18" t="n"/>
      <c r="S703" s="16" t="n"/>
    </row>
    <row r="704">
      <c r="A704" s="14">
        <f>IFERROR(IF(AND(IFERROR(INDEX(ERP資料!$A:$A, (MATCH(703, 輔助計算!$F$2:$F$801, 0)+1)), "")&lt;&gt;"", IFERROR(INDEX(ERP資料!$A:$A, (MATCH(703, 輔助計算!$F$2:$F$801, 0)+1)), "")&lt;&gt;IFERROR(INDEX(ERP資料!$A:$A, MATCH(702, 輔助計算!$F$2:$F$801, 0)+1), "")), INDEX(ERP資料!$B:$B, (MATCH(703, 輔助計算!$F$2:$F$801, 0)+1)), ""), "")</f>
        <v/>
      </c>
      <c r="B704" s="10">
        <f>IFERROR(IF(AND(IFERROR(INDEX(ERP資料!$A:$A, (MATCH(703, 輔助計算!$F$2:$F$801, 0)+1)), "")&lt;&gt;"", IFERROR(INDEX(ERP資料!$A:$A, (MATCH(703, 輔助計算!$F$2:$F$801, 0)+1)), "")&lt;&gt;IFERROR(INDEX(ERP資料!$A:$A, MATCH(702, 輔助計算!$F$2:$F$801, 0)+1), "")), IFERROR(INDEX(ERP資料!$A:$A, (MATCH(703, 輔助計算!$F$2:$F$801, 0)+1)), ""), ""), "")</f>
        <v/>
      </c>
      <c r="C704" s="10">
        <f>IFERROR(IF(AND(IFERROR(INDEX(ERP資料!$A:$A, (MATCH(703, 輔助計算!$F$2:$F$801, 0)+1)), "")&lt;&gt;"", IFERROR(INDEX(ERP資料!$A:$A, (MATCH(703, 輔助計算!$F$2:$F$801, 0)+1)), "")&lt;&gt;IFERROR(INDEX(ERP資料!$A:$A, MATCH(702, 輔助計算!$F$2:$F$801, 0)+1), "")), INDEX(ERP資料!$S:$S, (MATCH(703, 輔助計算!$F$2:$F$801, 0)+1)), ""), "")</f>
        <v/>
      </c>
      <c r="D704" s="10">
        <f>IFERROR(IF(INDEX(ERP資料!$E:$E, (MATCH(703, 輔助計算!$F$2:$F$801, 0)+1))="","",TRIM(INDEX(ERP資料!$E:$E, (MATCH(703, 輔助計算!$F$2:$F$801, 0)+1)))), "")</f>
        <v/>
      </c>
      <c r="E704" s="10">
        <f>IFERROR(IF(INDEX(ERP資料!$F:$F, (MATCH(703, 輔助計算!$F$2:$F$801, 0)+1))="","",INDEX(ERP資料!$F:$F, (MATCH(703, 輔助計算!$F$2:$F$801, 0)+1))), "")</f>
        <v/>
      </c>
      <c r="F704" s="10">
        <f>IFERROR(IF(INDEX(ERP資料!$G:$G, (MATCH(703, 輔助計算!$F$2:$F$801, 0)+1))="","",INDEX(ERP資料!$G:$G, (MATCH(703, 輔助計算!$F$2:$F$801, 0)+1))), "")</f>
        <v/>
      </c>
      <c r="G704" s="10">
        <f>IFERROR(IF(INDEX(ERP資料!$H:$H, (MATCH(703, 輔助計算!$F$2:$F$801, 0)+1))="","",INDEX(ERP資料!$H:$H, (MATCH(703, 輔助計算!$F$2:$F$801, 0)+1))), "")</f>
        <v/>
      </c>
      <c r="H704" s="10">
        <f>IFERROR(IF(INDEX(ERP資料!$O:$O, (MATCH(703, 輔助計算!$F$2:$F$801, 0)+1))="","",INDEX(ERP資料!$O:$O, (MATCH(703, 輔助計算!$F$2:$F$801, 0)+1))), "")</f>
        <v/>
      </c>
      <c r="I704" s="15">
        <f>IFERROR(IF(INDEX(輔助計算!$D:$D,(MATCH(703, 輔助計算!$F$2:$F$801, 0)+1))="","",INDEX(輔助計算!$D:$D,(MATCH(703, 輔助計算!$F$2:$F$801, 0)+1))*INDEX(ERP資料!$O:$O,(MATCH(703, 輔助計算!$F$2:$F$801, 0)+1))), "")</f>
        <v/>
      </c>
      <c r="J704" s="16" t="n"/>
      <c r="K704" s="15">
        <f>IFERROR(INDEX(輔助計算!$D:$D, (MATCH(703, 輔助計算!$F$2:$F$801, 0)+1)), "")</f>
        <v/>
      </c>
      <c r="L704" s="16">
        <f>IFERROR(IF(AND(IFERROR(VLOOKUP(LEFT(INDEX(ERP資料!$S:$S, (MATCH(703, 輔助計算!$F$2:$F$801, 0)+1)), 4), 100張客戶!$A:$A, 1, FALSE), "")&lt;&gt;"", OR(INDEX(ERP資料!$F:$F, (MATCH(703, 輔助計算!$F$2:$F$801, 0)+1))=270, INDEX(ERP資料!$F:$F, (MATCH(703, 輔助計算!$F$2:$F$801, 0)+1))=300)), "100張", ""), "")</f>
        <v/>
      </c>
      <c r="M704" s="17" t="n"/>
      <c r="N704" s="17">
        <f>IF($F704="","",$F704)</f>
        <v/>
      </c>
      <c r="O704" s="17">
        <f>IF($G704="","",$G704)</f>
        <v/>
      </c>
      <c r="P704" s="17">
        <f>IF($K704="","",$K704)</f>
        <v/>
      </c>
      <c r="Q704" s="16" t="n"/>
      <c r="R704" s="18" t="n"/>
      <c r="S704" s="16" t="n"/>
    </row>
    <row r="705">
      <c r="A705" s="14">
        <f>IFERROR(IF(AND(IFERROR(INDEX(ERP資料!$A:$A, (MATCH(704, 輔助計算!$F$2:$F$801, 0)+1)), "")&lt;&gt;"", IFERROR(INDEX(ERP資料!$A:$A, (MATCH(704, 輔助計算!$F$2:$F$801, 0)+1)), "")&lt;&gt;IFERROR(INDEX(ERP資料!$A:$A, MATCH(703, 輔助計算!$F$2:$F$801, 0)+1), "")), INDEX(ERP資料!$B:$B, (MATCH(704, 輔助計算!$F$2:$F$801, 0)+1)), ""), "")</f>
        <v/>
      </c>
      <c r="B705" s="10">
        <f>IFERROR(IF(AND(IFERROR(INDEX(ERP資料!$A:$A, (MATCH(704, 輔助計算!$F$2:$F$801, 0)+1)), "")&lt;&gt;"", IFERROR(INDEX(ERP資料!$A:$A, (MATCH(704, 輔助計算!$F$2:$F$801, 0)+1)), "")&lt;&gt;IFERROR(INDEX(ERP資料!$A:$A, MATCH(703, 輔助計算!$F$2:$F$801, 0)+1), "")), IFERROR(INDEX(ERP資料!$A:$A, (MATCH(704, 輔助計算!$F$2:$F$801, 0)+1)), ""), ""), "")</f>
        <v/>
      </c>
      <c r="C705" s="10">
        <f>IFERROR(IF(AND(IFERROR(INDEX(ERP資料!$A:$A, (MATCH(704, 輔助計算!$F$2:$F$801, 0)+1)), "")&lt;&gt;"", IFERROR(INDEX(ERP資料!$A:$A, (MATCH(704, 輔助計算!$F$2:$F$801, 0)+1)), "")&lt;&gt;IFERROR(INDEX(ERP資料!$A:$A, MATCH(703, 輔助計算!$F$2:$F$801, 0)+1), "")), INDEX(ERP資料!$S:$S, (MATCH(704, 輔助計算!$F$2:$F$801, 0)+1)), ""), "")</f>
        <v/>
      </c>
      <c r="D705" s="10">
        <f>IFERROR(IF(INDEX(ERP資料!$E:$E, (MATCH(704, 輔助計算!$F$2:$F$801, 0)+1))="","",TRIM(INDEX(ERP資料!$E:$E, (MATCH(704, 輔助計算!$F$2:$F$801, 0)+1)))), "")</f>
        <v/>
      </c>
      <c r="E705" s="10">
        <f>IFERROR(IF(INDEX(ERP資料!$F:$F, (MATCH(704, 輔助計算!$F$2:$F$801, 0)+1))="","",INDEX(ERP資料!$F:$F, (MATCH(704, 輔助計算!$F$2:$F$801, 0)+1))), "")</f>
        <v/>
      </c>
      <c r="F705" s="10">
        <f>IFERROR(IF(INDEX(ERP資料!$G:$G, (MATCH(704, 輔助計算!$F$2:$F$801, 0)+1))="","",INDEX(ERP資料!$G:$G, (MATCH(704, 輔助計算!$F$2:$F$801, 0)+1))), "")</f>
        <v/>
      </c>
      <c r="G705" s="10">
        <f>IFERROR(IF(INDEX(ERP資料!$H:$H, (MATCH(704, 輔助計算!$F$2:$F$801, 0)+1))="","",INDEX(ERP資料!$H:$H, (MATCH(704, 輔助計算!$F$2:$F$801, 0)+1))), "")</f>
        <v/>
      </c>
      <c r="H705" s="10">
        <f>IFERROR(IF(INDEX(ERP資料!$O:$O, (MATCH(704, 輔助計算!$F$2:$F$801, 0)+1))="","",INDEX(ERP資料!$O:$O, (MATCH(704, 輔助計算!$F$2:$F$801, 0)+1))), "")</f>
        <v/>
      </c>
      <c r="I705" s="15">
        <f>IFERROR(IF(INDEX(輔助計算!$D:$D,(MATCH(704, 輔助計算!$F$2:$F$801, 0)+1))="","",INDEX(輔助計算!$D:$D,(MATCH(704, 輔助計算!$F$2:$F$801, 0)+1))*INDEX(ERP資料!$O:$O,(MATCH(704, 輔助計算!$F$2:$F$801, 0)+1))), "")</f>
        <v/>
      </c>
      <c r="J705" s="16" t="n"/>
      <c r="K705" s="15">
        <f>IFERROR(INDEX(輔助計算!$D:$D, (MATCH(704, 輔助計算!$F$2:$F$801, 0)+1)), "")</f>
        <v/>
      </c>
      <c r="L705" s="16">
        <f>IFERROR(IF(AND(IFERROR(VLOOKUP(LEFT(INDEX(ERP資料!$S:$S, (MATCH(704, 輔助計算!$F$2:$F$801, 0)+1)), 4), 100張客戶!$A:$A, 1, FALSE), "")&lt;&gt;"", OR(INDEX(ERP資料!$F:$F, (MATCH(704, 輔助計算!$F$2:$F$801, 0)+1))=270, INDEX(ERP資料!$F:$F, (MATCH(704, 輔助計算!$F$2:$F$801, 0)+1))=300)), "100張", ""), "")</f>
        <v/>
      </c>
      <c r="M705" s="17" t="n"/>
      <c r="N705" s="17">
        <f>IF($F705="","",$F705)</f>
        <v/>
      </c>
      <c r="O705" s="17">
        <f>IF($G705="","",$G705)</f>
        <v/>
      </c>
      <c r="P705" s="17">
        <f>IF($K705="","",$K705)</f>
        <v/>
      </c>
      <c r="Q705" s="16" t="n"/>
      <c r="R705" s="18" t="n"/>
      <c r="S705" s="16" t="n"/>
    </row>
    <row r="706">
      <c r="A706" s="14">
        <f>IFERROR(IF(AND(IFERROR(INDEX(ERP資料!$A:$A, (MATCH(705, 輔助計算!$F$2:$F$801, 0)+1)), "")&lt;&gt;"", IFERROR(INDEX(ERP資料!$A:$A, (MATCH(705, 輔助計算!$F$2:$F$801, 0)+1)), "")&lt;&gt;IFERROR(INDEX(ERP資料!$A:$A, MATCH(704, 輔助計算!$F$2:$F$801, 0)+1), "")), INDEX(ERP資料!$B:$B, (MATCH(705, 輔助計算!$F$2:$F$801, 0)+1)), ""), "")</f>
        <v/>
      </c>
      <c r="B706" s="10">
        <f>IFERROR(IF(AND(IFERROR(INDEX(ERP資料!$A:$A, (MATCH(705, 輔助計算!$F$2:$F$801, 0)+1)), "")&lt;&gt;"", IFERROR(INDEX(ERP資料!$A:$A, (MATCH(705, 輔助計算!$F$2:$F$801, 0)+1)), "")&lt;&gt;IFERROR(INDEX(ERP資料!$A:$A, MATCH(704, 輔助計算!$F$2:$F$801, 0)+1), "")), IFERROR(INDEX(ERP資料!$A:$A, (MATCH(705, 輔助計算!$F$2:$F$801, 0)+1)), ""), ""), "")</f>
        <v/>
      </c>
      <c r="C706" s="10">
        <f>IFERROR(IF(AND(IFERROR(INDEX(ERP資料!$A:$A, (MATCH(705, 輔助計算!$F$2:$F$801, 0)+1)), "")&lt;&gt;"", IFERROR(INDEX(ERP資料!$A:$A, (MATCH(705, 輔助計算!$F$2:$F$801, 0)+1)), "")&lt;&gt;IFERROR(INDEX(ERP資料!$A:$A, MATCH(704, 輔助計算!$F$2:$F$801, 0)+1), "")), INDEX(ERP資料!$S:$S, (MATCH(705, 輔助計算!$F$2:$F$801, 0)+1)), ""), "")</f>
        <v/>
      </c>
      <c r="D706" s="10">
        <f>IFERROR(IF(INDEX(ERP資料!$E:$E, (MATCH(705, 輔助計算!$F$2:$F$801, 0)+1))="","",TRIM(INDEX(ERP資料!$E:$E, (MATCH(705, 輔助計算!$F$2:$F$801, 0)+1)))), "")</f>
        <v/>
      </c>
      <c r="E706" s="10">
        <f>IFERROR(IF(INDEX(ERP資料!$F:$F, (MATCH(705, 輔助計算!$F$2:$F$801, 0)+1))="","",INDEX(ERP資料!$F:$F, (MATCH(705, 輔助計算!$F$2:$F$801, 0)+1))), "")</f>
        <v/>
      </c>
      <c r="F706" s="10">
        <f>IFERROR(IF(INDEX(ERP資料!$G:$G, (MATCH(705, 輔助計算!$F$2:$F$801, 0)+1))="","",INDEX(ERP資料!$G:$G, (MATCH(705, 輔助計算!$F$2:$F$801, 0)+1))), "")</f>
        <v/>
      </c>
      <c r="G706" s="10">
        <f>IFERROR(IF(INDEX(ERP資料!$H:$H, (MATCH(705, 輔助計算!$F$2:$F$801, 0)+1))="","",INDEX(ERP資料!$H:$H, (MATCH(705, 輔助計算!$F$2:$F$801, 0)+1))), "")</f>
        <v/>
      </c>
      <c r="H706" s="10">
        <f>IFERROR(IF(INDEX(ERP資料!$O:$O, (MATCH(705, 輔助計算!$F$2:$F$801, 0)+1))="","",INDEX(ERP資料!$O:$O, (MATCH(705, 輔助計算!$F$2:$F$801, 0)+1))), "")</f>
        <v/>
      </c>
      <c r="I706" s="15">
        <f>IFERROR(IF(INDEX(輔助計算!$D:$D,(MATCH(705, 輔助計算!$F$2:$F$801, 0)+1))="","",INDEX(輔助計算!$D:$D,(MATCH(705, 輔助計算!$F$2:$F$801, 0)+1))*INDEX(ERP資料!$O:$O,(MATCH(705, 輔助計算!$F$2:$F$801, 0)+1))), "")</f>
        <v/>
      </c>
      <c r="J706" s="16" t="n"/>
      <c r="K706" s="15">
        <f>IFERROR(INDEX(輔助計算!$D:$D, (MATCH(705, 輔助計算!$F$2:$F$801, 0)+1)), "")</f>
        <v/>
      </c>
      <c r="L706" s="16">
        <f>IFERROR(IF(AND(IFERROR(VLOOKUP(LEFT(INDEX(ERP資料!$S:$S, (MATCH(705, 輔助計算!$F$2:$F$801, 0)+1)), 4), 100張客戶!$A:$A, 1, FALSE), "")&lt;&gt;"", OR(INDEX(ERP資料!$F:$F, (MATCH(705, 輔助計算!$F$2:$F$801, 0)+1))=270, INDEX(ERP資料!$F:$F, (MATCH(705, 輔助計算!$F$2:$F$801, 0)+1))=300)), "100張", ""), "")</f>
        <v/>
      </c>
      <c r="M706" s="17" t="n"/>
      <c r="N706" s="17">
        <f>IF($F706="","",$F706)</f>
        <v/>
      </c>
      <c r="O706" s="17">
        <f>IF($G706="","",$G706)</f>
        <v/>
      </c>
      <c r="P706" s="17">
        <f>IF($K706="","",$K706)</f>
        <v/>
      </c>
      <c r="Q706" s="16" t="n"/>
      <c r="R706" s="18" t="n"/>
      <c r="S706" s="16" t="n"/>
    </row>
    <row r="707">
      <c r="A707" s="14">
        <f>IFERROR(IF(AND(IFERROR(INDEX(ERP資料!$A:$A, (MATCH(706, 輔助計算!$F$2:$F$801, 0)+1)), "")&lt;&gt;"", IFERROR(INDEX(ERP資料!$A:$A, (MATCH(706, 輔助計算!$F$2:$F$801, 0)+1)), "")&lt;&gt;IFERROR(INDEX(ERP資料!$A:$A, MATCH(705, 輔助計算!$F$2:$F$801, 0)+1), "")), INDEX(ERP資料!$B:$B, (MATCH(706, 輔助計算!$F$2:$F$801, 0)+1)), ""), "")</f>
        <v/>
      </c>
      <c r="B707" s="10">
        <f>IFERROR(IF(AND(IFERROR(INDEX(ERP資料!$A:$A, (MATCH(706, 輔助計算!$F$2:$F$801, 0)+1)), "")&lt;&gt;"", IFERROR(INDEX(ERP資料!$A:$A, (MATCH(706, 輔助計算!$F$2:$F$801, 0)+1)), "")&lt;&gt;IFERROR(INDEX(ERP資料!$A:$A, MATCH(705, 輔助計算!$F$2:$F$801, 0)+1), "")), IFERROR(INDEX(ERP資料!$A:$A, (MATCH(706, 輔助計算!$F$2:$F$801, 0)+1)), ""), ""), "")</f>
        <v/>
      </c>
      <c r="C707" s="10">
        <f>IFERROR(IF(AND(IFERROR(INDEX(ERP資料!$A:$A, (MATCH(706, 輔助計算!$F$2:$F$801, 0)+1)), "")&lt;&gt;"", IFERROR(INDEX(ERP資料!$A:$A, (MATCH(706, 輔助計算!$F$2:$F$801, 0)+1)), "")&lt;&gt;IFERROR(INDEX(ERP資料!$A:$A, MATCH(705, 輔助計算!$F$2:$F$801, 0)+1), "")), INDEX(ERP資料!$S:$S, (MATCH(706, 輔助計算!$F$2:$F$801, 0)+1)), ""), "")</f>
        <v/>
      </c>
      <c r="D707" s="10">
        <f>IFERROR(IF(INDEX(ERP資料!$E:$E, (MATCH(706, 輔助計算!$F$2:$F$801, 0)+1))="","",TRIM(INDEX(ERP資料!$E:$E, (MATCH(706, 輔助計算!$F$2:$F$801, 0)+1)))), "")</f>
        <v/>
      </c>
      <c r="E707" s="10">
        <f>IFERROR(IF(INDEX(ERP資料!$F:$F, (MATCH(706, 輔助計算!$F$2:$F$801, 0)+1))="","",INDEX(ERP資料!$F:$F, (MATCH(706, 輔助計算!$F$2:$F$801, 0)+1))), "")</f>
        <v/>
      </c>
      <c r="F707" s="10">
        <f>IFERROR(IF(INDEX(ERP資料!$G:$G, (MATCH(706, 輔助計算!$F$2:$F$801, 0)+1))="","",INDEX(ERP資料!$G:$G, (MATCH(706, 輔助計算!$F$2:$F$801, 0)+1))), "")</f>
        <v/>
      </c>
      <c r="G707" s="10">
        <f>IFERROR(IF(INDEX(ERP資料!$H:$H, (MATCH(706, 輔助計算!$F$2:$F$801, 0)+1))="","",INDEX(ERP資料!$H:$H, (MATCH(706, 輔助計算!$F$2:$F$801, 0)+1))), "")</f>
        <v/>
      </c>
      <c r="H707" s="10">
        <f>IFERROR(IF(INDEX(ERP資料!$O:$O, (MATCH(706, 輔助計算!$F$2:$F$801, 0)+1))="","",INDEX(ERP資料!$O:$O, (MATCH(706, 輔助計算!$F$2:$F$801, 0)+1))), "")</f>
        <v/>
      </c>
      <c r="I707" s="15">
        <f>IFERROR(IF(INDEX(輔助計算!$D:$D,(MATCH(706, 輔助計算!$F$2:$F$801, 0)+1))="","",INDEX(輔助計算!$D:$D,(MATCH(706, 輔助計算!$F$2:$F$801, 0)+1))*INDEX(ERP資料!$O:$O,(MATCH(706, 輔助計算!$F$2:$F$801, 0)+1))), "")</f>
        <v/>
      </c>
      <c r="J707" s="16" t="n"/>
      <c r="K707" s="15">
        <f>IFERROR(INDEX(輔助計算!$D:$D, (MATCH(706, 輔助計算!$F$2:$F$801, 0)+1)), "")</f>
        <v/>
      </c>
      <c r="L707" s="16">
        <f>IFERROR(IF(AND(IFERROR(VLOOKUP(LEFT(INDEX(ERP資料!$S:$S, (MATCH(706, 輔助計算!$F$2:$F$801, 0)+1)), 4), 100張客戶!$A:$A, 1, FALSE), "")&lt;&gt;"", OR(INDEX(ERP資料!$F:$F, (MATCH(706, 輔助計算!$F$2:$F$801, 0)+1))=270, INDEX(ERP資料!$F:$F, (MATCH(706, 輔助計算!$F$2:$F$801, 0)+1))=300)), "100張", ""), "")</f>
        <v/>
      </c>
      <c r="M707" s="17" t="n"/>
      <c r="N707" s="17">
        <f>IF($F707="","",$F707)</f>
        <v/>
      </c>
      <c r="O707" s="17">
        <f>IF($G707="","",$G707)</f>
        <v/>
      </c>
      <c r="P707" s="17">
        <f>IF($K707="","",$K707)</f>
        <v/>
      </c>
      <c r="Q707" s="16" t="n"/>
      <c r="R707" s="18" t="n"/>
      <c r="S707" s="16" t="n"/>
    </row>
    <row r="708">
      <c r="A708" s="14">
        <f>IFERROR(IF(AND(IFERROR(INDEX(ERP資料!$A:$A, (MATCH(707, 輔助計算!$F$2:$F$801, 0)+1)), "")&lt;&gt;"", IFERROR(INDEX(ERP資料!$A:$A, (MATCH(707, 輔助計算!$F$2:$F$801, 0)+1)), "")&lt;&gt;IFERROR(INDEX(ERP資料!$A:$A, MATCH(706, 輔助計算!$F$2:$F$801, 0)+1), "")), INDEX(ERP資料!$B:$B, (MATCH(707, 輔助計算!$F$2:$F$801, 0)+1)), ""), "")</f>
        <v/>
      </c>
      <c r="B708" s="10">
        <f>IFERROR(IF(AND(IFERROR(INDEX(ERP資料!$A:$A, (MATCH(707, 輔助計算!$F$2:$F$801, 0)+1)), "")&lt;&gt;"", IFERROR(INDEX(ERP資料!$A:$A, (MATCH(707, 輔助計算!$F$2:$F$801, 0)+1)), "")&lt;&gt;IFERROR(INDEX(ERP資料!$A:$A, MATCH(706, 輔助計算!$F$2:$F$801, 0)+1), "")), IFERROR(INDEX(ERP資料!$A:$A, (MATCH(707, 輔助計算!$F$2:$F$801, 0)+1)), ""), ""), "")</f>
        <v/>
      </c>
      <c r="C708" s="10">
        <f>IFERROR(IF(AND(IFERROR(INDEX(ERP資料!$A:$A, (MATCH(707, 輔助計算!$F$2:$F$801, 0)+1)), "")&lt;&gt;"", IFERROR(INDEX(ERP資料!$A:$A, (MATCH(707, 輔助計算!$F$2:$F$801, 0)+1)), "")&lt;&gt;IFERROR(INDEX(ERP資料!$A:$A, MATCH(706, 輔助計算!$F$2:$F$801, 0)+1), "")), INDEX(ERP資料!$S:$S, (MATCH(707, 輔助計算!$F$2:$F$801, 0)+1)), ""), "")</f>
        <v/>
      </c>
      <c r="D708" s="10">
        <f>IFERROR(IF(INDEX(ERP資料!$E:$E, (MATCH(707, 輔助計算!$F$2:$F$801, 0)+1))="","",TRIM(INDEX(ERP資料!$E:$E, (MATCH(707, 輔助計算!$F$2:$F$801, 0)+1)))), "")</f>
        <v/>
      </c>
      <c r="E708" s="10">
        <f>IFERROR(IF(INDEX(ERP資料!$F:$F, (MATCH(707, 輔助計算!$F$2:$F$801, 0)+1))="","",INDEX(ERP資料!$F:$F, (MATCH(707, 輔助計算!$F$2:$F$801, 0)+1))), "")</f>
        <v/>
      </c>
      <c r="F708" s="10">
        <f>IFERROR(IF(INDEX(ERP資料!$G:$G, (MATCH(707, 輔助計算!$F$2:$F$801, 0)+1))="","",INDEX(ERP資料!$G:$G, (MATCH(707, 輔助計算!$F$2:$F$801, 0)+1))), "")</f>
        <v/>
      </c>
      <c r="G708" s="10">
        <f>IFERROR(IF(INDEX(ERP資料!$H:$H, (MATCH(707, 輔助計算!$F$2:$F$801, 0)+1))="","",INDEX(ERP資料!$H:$H, (MATCH(707, 輔助計算!$F$2:$F$801, 0)+1))), "")</f>
        <v/>
      </c>
      <c r="H708" s="10">
        <f>IFERROR(IF(INDEX(ERP資料!$O:$O, (MATCH(707, 輔助計算!$F$2:$F$801, 0)+1))="","",INDEX(ERP資料!$O:$O, (MATCH(707, 輔助計算!$F$2:$F$801, 0)+1))), "")</f>
        <v/>
      </c>
      <c r="I708" s="15">
        <f>IFERROR(IF(INDEX(輔助計算!$D:$D,(MATCH(707, 輔助計算!$F$2:$F$801, 0)+1))="","",INDEX(輔助計算!$D:$D,(MATCH(707, 輔助計算!$F$2:$F$801, 0)+1))*INDEX(ERP資料!$O:$O,(MATCH(707, 輔助計算!$F$2:$F$801, 0)+1))), "")</f>
        <v/>
      </c>
      <c r="J708" s="16" t="n"/>
      <c r="K708" s="15">
        <f>IFERROR(INDEX(輔助計算!$D:$D, (MATCH(707, 輔助計算!$F$2:$F$801, 0)+1)), "")</f>
        <v/>
      </c>
      <c r="L708" s="16">
        <f>IFERROR(IF(AND(IFERROR(VLOOKUP(LEFT(INDEX(ERP資料!$S:$S, (MATCH(707, 輔助計算!$F$2:$F$801, 0)+1)), 4), 100張客戶!$A:$A, 1, FALSE), "")&lt;&gt;"", OR(INDEX(ERP資料!$F:$F, (MATCH(707, 輔助計算!$F$2:$F$801, 0)+1))=270, INDEX(ERP資料!$F:$F, (MATCH(707, 輔助計算!$F$2:$F$801, 0)+1))=300)), "100張", ""), "")</f>
        <v/>
      </c>
      <c r="M708" s="17" t="n"/>
      <c r="N708" s="17">
        <f>IF($F708="","",$F708)</f>
        <v/>
      </c>
      <c r="O708" s="17">
        <f>IF($G708="","",$G708)</f>
        <v/>
      </c>
      <c r="P708" s="17">
        <f>IF($K708="","",$K708)</f>
        <v/>
      </c>
      <c r="Q708" s="16" t="n"/>
      <c r="R708" s="18" t="n"/>
      <c r="S708" s="16" t="n"/>
    </row>
    <row r="709">
      <c r="A709" s="14">
        <f>IFERROR(IF(AND(IFERROR(INDEX(ERP資料!$A:$A, (MATCH(708, 輔助計算!$F$2:$F$801, 0)+1)), "")&lt;&gt;"", IFERROR(INDEX(ERP資料!$A:$A, (MATCH(708, 輔助計算!$F$2:$F$801, 0)+1)), "")&lt;&gt;IFERROR(INDEX(ERP資料!$A:$A, MATCH(707, 輔助計算!$F$2:$F$801, 0)+1), "")), INDEX(ERP資料!$B:$B, (MATCH(708, 輔助計算!$F$2:$F$801, 0)+1)), ""), "")</f>
        <v/>
      </c>
      <c r="B709" s="10">
        <f>IFERROR(IF(AND(IFERROR(INDEX(ERP資料!$A:$A, (MATCH(708, 輔助計算!$F$2:$F$801, 0)+1)), "")&lt;&gt;"", IFERROR(INDEX(ERP資料!$A:$A, (MATCH(708, 輔助計算!$F$2:$F$801, 0)+1)), "")&lt;&gt;IFERROR(INDEX(ERP資料!$A:$A, MATCH(707, 輔助計算!$F$2:$F$801, 0)+1), "")), IFERROR(INDEX(ERP資料!$A:$A, (MATCH(708, 輔助計算!$F$2:$F$801, 0)+1)), ""), ""), "")</f>
        <v/>
      </c>
      <c r="C709" s="10">
        <f>IFERROR(IF(AND(IFERROR(INDEX(ERP資料!$A:$A, (MATCH(708, 輔助計算!$F$2:$F$801, 0)+1)), "")&lt;&gt;"", IFERROR(INDEX(ERP資料!$A:$A, (MATCH(708, 輔助計算!$F$2:$F$801, 0)+1)), "")&lt;&gt;IFERROR(INDEX(ERP資料!$A:$A, MATCH(707, 輔助計算!$F$2:$F$801, 0)+1), "")), INDEX(ERP資料!$S:$S, (MATCH(708, 輔助計算!$F$2:$F$801, 0)+1)), ""), "")</f>
        <v/>
      </c>
      <c r="D709" s="10">
        <f>IFERROR(IF(INDEX(ERP資料!$E:$E, (MATCH(708, 輔助計算!$F$2:$F$801, 0)+1))="","",TRIM(INDEX(ERP資料!$E:$E, (MATCH(708, 輔助計算!$F$2:$F$801, 0)+1)))), "")</f>
        <v/>
      </c>
      <c r="E709" s="10">
        <f>IFERROR(IF(INDEX(ERP資料!$F:$F, (MATCH(708, 輔助計算!$F$2:$F$801, 0)+1))="","",INDEX(ERP資料!$F:$F, (MATCH(708, 輔助計算!$F$2:$F$801, 0)+1))), "")</f>
        <v/>
      </c>
      <c r="F709" s="10">
        <f>IFERROR(IF(INDEX(ERP資料!$G:$G, (MATCH(708, 輔助計算!$F$2:$F$801, 0)+1))="","",INDEX(ERP資料!$G:$G, (MATCH(708, 輔助計算!$F$2:$F$801, 0)+1))), "")</f>
        <v/>
      </c>
      <c r="G709" s="10">
        <f>IFERROR(IF(INDEX(ERP資料!$H:$H, (MATCH(708, 輔助計算!$F$2:$F$801, 0)+1))="","",INDEX(ERP資料!$H:$H, (MATCH(708, 輔助計算!$F$2:$F$801, 0)+1))), "")</f>
        <v/>
      </c>
      <c r="H709" s="10">
        <f>IFERROR(IF(INDEX(ERP資料!$O:$O, (MATCH(708, 輔助計算!$F$2:$F$801, 0)+1))="","",INDEX(ERP資料!$O:$O, (MATCH(708, 輔助計算!$F$2:$F$801, 0)+1))), "")</f>
        <v/>
      </c>
      <c r="I709" s="15">
        <f>IFERROR(IF(INDEX(輔助計算!$D:$D,(MATCH(708, 輔助計算!$F$2:$F$801, 0)+1))="","",INDEX(輔助計算!$D:$D,(MATCH(708, 輔助計算!$F$2:$F$801, 0)+1))*INDEX(ERP資料!$O:$O,(MATCH(708, 輔助計算!$F$2:$F$801, 0)+1))), "")</f>
        <v/>
      </c>
      <c r="J709" s="16" t="n"/>
      <c r="K709" s="15">
        <f>IFERROR(INDEX(輔助計算!$D:$D, (MATCH(708, 輔助計算!$F$2:$F$801, 0)+1)), "")</f>
        <v/>
      </c>
      <c r="L709" s="16">
        <f>IFERROR(IF(AND(IFERROR(VLOOKUP(LEFT(INDEX(ERP資料!$S:$S, (MATCH(708, 輔助計算!$F$2:$F$801, 0)+1)), 4), 100張客戶!$A:$A, 1, FALSE), "")&lt;&gt;"", OR(INDEX(ERP資料!$F:$F, (MATCH(708, 輔助計算!$F$2:$F$801, 0)+1))=270, INDEX(ERP資料!$F:$F, (MATCH(708, 輔助計算!$F$2:$F$801, 0)+1))=300)), "100張", ""), "")</f>
        <v/>
      </c>
      <c r="M709" s="17" t="n"/>
      <c r="N709" s="17">
        <f>IF($F709="","",$F709)</f>
        <v/>
      </c>
      <c r="O709" s="17">
        <f>IF($G709="","",$G709)</f>
        <v/>
      </c>
      <c r="P709" s="17">
        <f>IF($K709="","",$K709)</f>
        <v/>
      </c>
      <c r="Q709" s="16" t="n"/>
      <c r="R709" s="18" t="n"/>
      <c r="S709" s="16" t="n"/>
    </row>
    <row r="710">
      <c r="A710" s="14">
        <f>IFERROR(IF(AND(IFERROR(INDEX(ERP資料!$A:$A, (MATCH(709, 輔助計算!$F$2:$F$801, 0)+1)), "")&lt;&gt;"", IFERROR(INDEX(ERP資料!$A:$A, (MATCH(709, 輔助計算!$F$2:$F$801, 0)+1)), "")&lt;&gt;IFERROR(INDEX(ERP資料!$A:$A, MATCH(708, 輔助計算!$F$2:$F$801, 0)+1), "")), INDEX(ERP資料!$B:$B, (MATCH(709, 輔助計算!$F$2:$F$801, 0)+1)), ""), "")</f>
        <v/>
      </c>
      <c r="B710" s="10">
        <f>IFERROR(IF(AND(IFERROR(INDEX(ERP資料!$A:$A, (MATCH(709, 輔助計算!$F$2:$F$801, 0)+1)), "")&lt;&gt;"", IFERROR(INDEX(ERP資料!$A:$A, (MATCH(709, 輔助計算!$F$2:$F$801, 0)+1)), "")&lt;&gt;IFERROR(INDEX(ERP資料!$A:$A, MATCH(708, 輔助計算!$F$2:$F$801, 0)+1), "")), IFERROR(INDEX(ERP資料!$A:$A, (MATCH(709, 輔助計算!$F$2:$F$801, 0)+1)), ""), ""), "")</f>
        <v/>
      </c>
      <c r="C710" s="10">
        <f>IFERROR(IF(AND(IFERROR(INDEX(ERP資料!$A:$A, (MATCH(709, 輔助計算!$F$2:$F$801, 0)+1)), "")&lt;&gt;"", IFERROR(INDEX(ERP資料!$A:$A, (MATCH(709, 輔助計算!$F$2:$F$801, 0)+1)), "")&lt;&gt;IFERROR(INDEX(ERP資料!$A:$A, MATCH(708, 輔助計算!$F$2:$F$801, 0)+1), "")), INDEX(ERP資料!$S:$S, (MATCH(709, 輔助計算!$F$2:$F$801, 0)+1)), ""), "")</f>
        <v/>
      </c>
      <c r="D710" s="10">
        <f>IFERROR(IF(INDEX(ERP資料!$E:$E, (MATCH(709, 輔助計算!$F$2:$F$801, 0)+1))="","",TRIM(INDEX(ERP資料!$E:$E, (MATCH(709, 輔助計算!$F$2:$F$801, 0)+1)))), "")</f>
        <v/>
      </c>
      <c r="E710" s="10">
        <f>IFERROR(IF(INDEX(ERP資料!$F:$F, (MATCH(709, 輔助計算!$F$2:$F$801, 0)+1))="","",INDEX(ERP資料!$F:$F, (MATCH(709, 輔助計算!$F$2:$F$801, 0)+1))), "")</f>
        <v/>
      </c>
      <c r="F710" s="10">
        <f>IFERROR(IF(INDEX(ERP資料!$G:$G, (MATCH(709, 輔助計算!$F$2:$F$801, 0)+1))="","",INDEX(ERP資料!$G:$G, (MATCH(709, 輔助計算!$F$2:$F$801, 0)+1))), "")</f>
        <v/>
      </c>
      <c r="G710" s="10">
        <f>IFERROR(IF(INDEX(ERP資料!$H:$H, (MATCH(709, 輔助計算!$F$2:$F$801, 0)+1))="","",INDEX(ERP資料!$H:$H, (MATCH(709, 輔助計算!$F$2:$F$801, 0)+1))), "")</f>
        <v/>
      </c>
      <c r="H710" s="10">
        <f>IFERROR(IF(INDEX(ERP資料!$O:$O, (MATCH(709, 輔助計算!$F$2:$F$801, 0)+1))="","",INDEX(ERP資料!$O:$O, (MATCH(709, 輔助計算!$F$2:$F$801, 0)+1))), "")</f>
        <v/>
      </c>
      <c r="I710" s="15">
        <f>IFERROR(IF(INDEX(輔助計算!$D:$D,(MATCH(709, 輔助計算!$F$2:$F$801, 0)+1))="","",INDEX(輔助計算!$D:$D,(MATCH(709, 輔助計算!$F$2:$F$801, 0)+1))*INDEX(ERP資料!$O:$O,(MATCH(709, 輔助計算!$F$2:$F$801, 0)+1))), "")</f>
        <v/>
      </c>
      <c r="J710" s="16" t="n"/>
      <c r="K710" s="15">
        <f>IFERROR(INDEX(輔助計算!$D:$D, (MATCH(709, 輔助計算!$F$2:$F$801, 0)+1)), "")</f>
        <v/>
      </c>
      <c r="L710" s="16">
        <f>IFERROR(IF(AND(IFERROR(VLOOKUP(LEFT(INDEX(ERP資料!$S:$S, (MATCH(709, 輔助計算!$F$2:$F$801, 0)+1)), 4), 100張客戶!$A:$A, 1, FALSE), "")&lt;&gt;"", OR(INDEX(ERP資料!$F:$F, (MATCH(709, 輔助計算!$F$2:$F$801, 0)+1))=270, INDEX(ERP資料!$F:$F, (MATCH(709, 輔助計算!$F$2:$F$801, 0)+1))=300)), "100張", ""), "")</f>
        <v/>
      </c>
      <c r="M710" s="17" t="n"/>
      <c r="N710" s="17">
        <f>IF($F710="","",$F710)</f>
        <v/>
      </c>
      <c r="O710" s="17">
        <f>IF($G710="","",$G710)</f>
        <v/>
      </c>
      <c r="P710" s="17">
        <f>IF($K710="","",$K710)</f>
        <v/>
      </c>
      <c r="Q710" s="16" t="n"/>
      <c r="R710" s="18" t="n"/>
      <c r="S710" s="16" t="n"/>
    </row>
    <row r="711">
      <c r="A711" s="14">
        <f>IFERROR(IF(AND(IFERROR(INDEX(ERP資料!$A:$A, (MATCH(710, 輔助計算!$F$2:$F$801, 0)+1)), "")&lt;&gt;"", IFERROR(INDEX(ERP資料!$A:$A, (MATCH(710, 輔助計算!$F$2:$F$801, 0)+1)), "")&lt;&gt;IFERROR(INDEX(ERP資料!$A:$A, MATCH(709, 輔助計算!$F$2:$F$801, 0)+1), "")), INDEX(ERP資料!$B:$B, (MATCH(710, 輔助計算!$F$2:$F$801, 0)+1)), ""), "")</f>
        <v/>
      </c>
      <c r="B711" s="10">
        <f>IFERROR(IF(AND(IFERROR(INDEX(ERP資料!$A:$A, (MATCH(710, 輔助計算!$F$2:$F$801, 0)+1)), "")&lt;&gt;"", IFERROR(INDEX(ERP資料!$A:$A, (MATCH(710, 輔助計算!$F$2:$F$801, 0)+1)), "")&lt;&gt;IFERROR(INDEX(ERP資料!$A:$A, MATCH(709, 輔助計算!$F$2:$F$801, 0)+1), "")), IFERROR(INDEX(ERP資料!$A:$A, (MATCH(710, 輔助計算!$F$2:$F$801, 0)+1)), ""), ""), "")</f>
        <v/>
      </c>
      <c r="C711" s="10">
        <f>IFERROR(IF(AND(IFERROR(INDEX(ERP資料!$A:$A, (MATCH(710, 輔助計算!$F$2:$F$801, 0)+1)), "")&lt;&gt;"", IFERROR(INDEX(ERP資料!$A:$A, (MATCH(710, 輔助計算!$F$2:$F$801, 0)+1)), "")&lt;&gt;IFERROR(INDEX(ERP資料!$A:$A, MATCH(709, 輔助計算!$F$2:$F$801, 0)+1), "")), INDEX(ERP資料!$S:$S, (MATCH(710, 輔助計算!$F$2:$F$801, 0)+1)), ""), "")</f>
        <v/>
      </c>
      <c r="D711" s="10">
        <f>IFERROR(IF(INDEX(ERP資料!$E:$E, (MATCH(710, 輔助計算!$F$2:$F$801, 0)+1))="","",TRIM(INDEX(ERP資料!$E:$E, (MATCH(710, 輔助計算!$F$2:$F$801, 0)+1)))), "")</f>
        <v/>
      </c>
      <c r="E711" s="10">
        <f>IFERROR(IF(INDEX(ERP資料!$F:$F, (MATCH(710, 輔助計算!$F$2:$F$801, 0)+1))="","",INDEX(ERP資料!$F:$F, (MATCH(710, 輔助計算!$F$2:$F$801, 0)+1))), "")</f>
        <v/>
      </c>
      <c r="F711" s="10">
        <f>IFERROR(IF(INDEX(ERP資料!$G:$G, (MATCH(710, 輔助計算!$F$2:$F$801, 0)+1))="","",INDEX(ERP資料!$G:$G, (MATCH(710, 輔助計算!$F$2:$F$801, 0)+1))), "")</f>
        <v/>
      </c>
      <c r="G711" s="10">
        <f>IFERROR(IF(INDEX(ERP資料!$H:$H, (MATCH(710, 輔助計算!$F$2:$F$801, 0)+1))="","",INDEX(ERP資料!$H:$H, (MATCH(710, 輔助計算!$F$2:$F$801, 0)+1))), "")</f>
        <v/>
      </c>
      <c r="H711" s="10">
        <f>IFERROR(IF(INDEX(ERP資料!$O:$O, (MATCH(710, 輔助計算!$F$2:$F$801, 0)+1))="","",INDEX(ERP資料!$O:$O, (MATCH(710, 輔助計算!$F$2:$F$801, 0)+1))), "")</f>
        <v/>
      </c>
      <c r="I711" s="15">
        <f>IFERROR(IF(INDEX(輔助計算!$D:$D,(MATCH(710, 輔助計算!$F$2:$F$801, 0)+1))="","",INDEX(輔助計算!$D:$D,(MATCH(710, 輔助計算!$F$2:$F$801, 0)+1))*INDEX(ERP資料!$O:$O,(MATCH(710, 輔助計算!$F$2:$F$801, 0)+1))), "")</f>
        <v/>
      </c>
      <c r="J711" s="16" t="n"/>
      <c r="K711" s="15">
        <f>IFERROR(INDEX(輔助計算!$D:$D, (MATCH(710, 輔助計算!$F$2:$F$801, 0)+1)), "")</f>
        <v/>
      </c>
      <c r="L711" s="16">
        <f>IFERROR(IF(AND(IFERROR(VLOOKUP(LEFT(INDEX(ERP資料!$S:$S, (MATCH(710, 輔助計算!$F$2:$F$801, 0)+1)), 4), 100張客戶!$A:$A, 1, FALSE), "")&lt;&gt;"", OR(INDEX(ERP資料!$F:$F, (MATCH(710, 輔助計算!$F$2:$F$801, 0)+1))=270, INDEX(ERP資料!$F:$F, (MATCH(710, 輔助計算!$F$2:$F$801, 0)+1))=300)), "100張", ""), "")</f>
        <v/>
      </c>
      <c r="M711" s="17" t="n"/>
      <c r="N711" s="17">
        <f>IF($F711="","",$F711)</f>
        <v/>
      </c>
      <c r="O711" s="17">
        <f>IF($G711="","",$G711)</f>
        <v/>
      </c>
      <c r="P711" s="17">
        <f>IF($K711="","",$K711)</f>
        <v/>
      </c>
      <c r="Q711" s="16" t="n"/>
      <c r="R711" s="18" t="n"/>
      <c r="S711" s="16" t="n"/>
    </row>
    <row r="712">
      <c r="A712" s="14">
        <f>IFERROR(IF(AND(IFERROR(INDEX(ERP資料!$A:$A, (MATCH(711, 輔助計算!$F$2:$F$801, 0)+1)), "")&lt;&gt;"", IFERROR(INDEX(ERP資料!$A:$A, (MATCH(711, 輔助計算!$F$2:$F$801, 0)+1)), "")&lt;&gt;IFERROR(INDEX(ERP資料!$A:$A, MATCH(710, 輔助計算!$F$2:$F$801, 0)+1), "")), INDEX(ERP資料!$B:$B, (MATCH(711, 輔助計算!$F$2:$F$801, 0)+1)), ""), "")</f>
        <v/>
      </c>
      <c r="B712" s="10">
        <f>IFERROR(IF(AND(IFERROR(INDEX(ERP資料!$A:$A, (MATCH(711, 輔助計算!$F$2:$F$801, 0)+1)), "")&lt;&gt;"", IFERROR(INDEX(ERP資料!$A:$A, (MATCH(711, 輔助計算!$F$2:$F$801, 0)+1)), "")&lt;&gt;IFERROR(INDEX(ERP資料!$A:$A, MATCH(710, 輔助計算!$F$2:$F$801, 0)+1), "")), IFERROR(INDEX(ERP資料!$A:$A, (MATCH(711, 輔助計算!$F$2:$F$801, 0)+1)), ""), ""), "")</f>
        <v/>
      </c>
      <c r="C712" s="10">
        <f>IFERROR(IF(AND(IFERROR(INDEX(ERP資料!$A:$A, (MATCH(711, 輔助計算!$F$2:$F$801, 0)+1)), "")&lt;&gt;"", IFERROR(INDEX(ERP資料!$A:$A, (MATCH(711, 輔助計算!$F$2:$F$801, 0)+1)), "")&lt;&gt;IFERROR(INDEX(ERP資料!$A:$A, MATCH(710, 輔助計算!$F$2:$F$801, 0)+1), "")), INDEX(ERP資料!$S:$S, (MATCH(711, 輔助計算!$F$2:$F$801, 0)+1)), ""), "")</f>
        <v/>
      </c>
      <c r="D712" s="10">
        <f>IFERROR(IF(INDEX(ERP資料!$E:$E, (MATCH(711, 輔助計算!$F$2:$F$801, 0)+1))="","",TRIM(INDEX(ERP資料!$E:$E, (MATCH(711, 輔助計算!$F$2:$F$801, 0)+1)))), "")</f>
        <v/>
      </c>
      <c r="E712" s="10">
        <f>IFERROR(IF(INDEX(ERP資料!$F:$F, (MATCH(711, 輔助計算!$F$2:$F$801, 0)+1))="","",INDEX(ERP資料!$F:$F, (MATCH(711, 輔助計算!$F$2:$F$801, 0)+1))), "")</f>
        <v/>
      </c>
      <c r="F712" s="10">
        <f>IFERROR(IF(INDEX(ERP資料!$G:$G, (MATCH(711, 輔助計算!$F$2:$F$801, 0)+1))="","",INDEX(ERP資料!$G:$G, (MATCH(711, 輔助計算!$F$2:$F$801, 0)+1))), "")</f>
        <v/>
      </c>
      <c r="G712" s="10">
        <f>IFERROR(IF(INDEX(ERP資料!$H:$H, (MATCH(711, 輔助計算!$F$2:$F$801, 0)+1))="","",INDEX(ERP資料!$H:$H, (MATCH(711, 輔助計算!$F$2:$F$801, 0)+1))), "")</f>
        <v/>
      </c>
      <c r="H712" s="10">
        <f>IFERROR(IF(INDEX(ERP資料!$O:$O, (MATCH(711, 輔助計算!$F$2:$F$801, 0)+1))="","",INDEX(ERP資料!$O:$O, (MATCH(711, 輔助計算!$F$2:$F$801, 0)+1))), "")</f>
        <v/>
      </c>
      <c r="I712" s="15">
        <f>IFERROR(IF(INDEX(輔助計算!$D:$D,(MATCH(711, 輔助計算!$F$2:$F$801, 0)+1))="","",INDEX(輔助計算!$D:$D,(MATCH(711, 輔助計算!$F$2:$F$801, 0)+1))*INDEX(ERP資料!$O:$O,(MATCH(711, 輔助計算!$F$2:$F$801, 0)+1))), "")</f>
        <v/>
      </c>
      <c r="J712" s="16" t="n"/>
      <c r="K712" s="15">
        <f>IFERROR(INDEX(輔助計算!$D:$D, (MATCH(711, 輔助計算!$F$2:$F$801, 0)+1)), "")</f>
        <v/>
      </c>
      <c r="L712" s="16">
        <f>IFERROR(IF(AND(IFERROR(VLOOKUP(LEFT(INDEX(ERP資料!$S:$S, (MATCH(711, 輔助計算!$F$2:$F$801, 0)+1)), 4), 100張客戶!$A:$A, 1, FALSE), "")&lt;&gt;"", OR(INDEX(ERP資料!$F:$F, (MATCH(711, 輔助計算!$F$2:$F$801, 0)+1))=270, INDEX(ERP資料!$F:$F, (MATCH(711, 輔助計算!$F$2:$F$801, 0)+1))=300)), "100張", ""), "")</f>
        <v/>
      </c>
      <c r="M712" s="17" t="n"/>
      <c r="N712" s="17">
        <f>IF($F712="","",$F712)</f>
        <v/>
      </c>
      <c r="O712" s="17">
        <f>IF($G712="","",$G712)</f>
        <v/>
      </c>
      <c r="P712" s="17">
        <f>IF($K712="","",$K712)</f>
        <v/>
      </c>
      <c r="Q712" s="16" t="n"/>
      <c r="R712" s="18" t="n"/>
      <c r="S712" s="16" t="n"/>
    </row>
    <row r="713">
      <c r="A713" s="14">
        <f>IFERROR(IF(AND(IFERROR(INDEX(ERP資料!$A:$A, (MATCH(712, 輔助計算!$F$2:$F$801, 0)+1)), "")&lt;&gt;"", IFERROR(INDEX(ERP資料!$A:$A, (MATCH(712, 輔助計算!$F$2:$F$801, 0)+1)), "")&lt;&gt;IFERROR(INDEX(ERP資料!$A:$A, MATCH(711, 輔助計算!$F$2:$F$801, 0)+1), "")), INDEX(ERP資料!$B:$B, (MATCH(712, 輔助計算!$F$2:$F$801, 0)+1)), ""), "")</f>
        <v/>
      </c>
      <c r="B713" s="10">
        <f>IFERROR(IF(AND(IFERROR(INDEX(ERP資料!$A:$A, (MATCH(712, 輔助計算!$F$2:$F$801, 0)+1)), "")&lt;&gt;"", IFERROR(INDEX(ERP資料!$A:$A, (MATCH(712, 輔助計算!$F$2:$F$801, 0)+1)), "")&lt;&gt;IFERROR(INDEX(ERP資料!$A:$A, MATCH(711, 輔助計算!$F$2:$F$801, 0)+1), "")), IFERROR(INDEX(ERP資料!$A:$A, (MATCH(712, 輔助計算!$F$2:$F$801, 0)+1)), ""), ""), "")</f>
        <v/>
      </c>
      <c r="C713" s="10">
        <f>IFERROR(IF(AND(IFERROR(INDEX(ERP資料!$A:$A, (MATCH(712, 輔助計算!$F$2:$F$801, 0)+1)), "")&lt;&gt;"", IFERROR(INDEX(ERP資料!$A:$A, (MATCH(712, 輔助計算!$F$2:$F$801, 0)+1)), "")&lt;&gt;IFERROR(INDEX(ERP資料!$A:$A, MATCH(711, 輔助計算!$F$2:$F$801, 0)+1), "")), INDEX(ERP資料!$S:$S, (MATCH(712, 輔助計算!$F$2:$F$801, 0)+1)), ""), "")</f>
        <v/>
      </c>
      <c r="D713" s="10">
        <f>IFERROR(IF(INDEX(ERP資料!$E:$E, (MATCH(712, 輔助計算!$F$2:$F$801, 0)+1))="","",TRIM(INDEX(ERP資料!$E:$E, (MATCH(712, 輔助計算!$F$2:$F$801, 0)+1)))), "")</f>
        <v/>
      </c>
      <c r="E713" s="10">
        <f>IFERROR(IF(INDEX(ERP資料!$F:$F, (MATCH(712, 輔助計算!$F$2:$F$801, 0)+1))="","",INDEX(ERP資料!$F:$F, (MATCH(712, 輔助計算!$F$2:$F$801, 0)+1))), "")</f>
        <v/>
      </c>
      <c r="F713" s="10">
        <f>IFERROR(IF(INDEX(ERP資料!$G:$G, (MATCH(712, 輔助計算!$F$2:$F$801, 0)+1))="","",INDEX(ERP資料!$G:$G, (MATCH(712, 輔助計算!$F$2:$F$801, 0)+1))), "")</f>
        <v/>
      </c>
      <c r="G713" s="10">
        <f>IFERROR(IF(INDEX(ERP資料!$H:$H, (MATCH(712, 輔助計算!$F$2:$F$801, 0)+1))="","",INDEX(ERP資料!$H:$H, (MATCH(712, 輔助計算!$F$2:$F$801, 0)+1))), "")</f>
        <v/>
      </c>
      <c r="H713" s="10">
        <f>IFERROR(IF(INDEX(ERP資料!$O:$O, (MATCH(712, 輔助計算!$F$2:$F$801, 0)+1))="","",INDEX(ERP資料!$O:$O, (MATCH(712, 輔助計算!$F$2:$F$801, 0)+1))), "")</f>
        <v/>
      </c>
      <c r="I713" s="15">
        <f>IFERROR(IF(INDEX(輔助計算!$D:$D,(MATCH(712, 輔助計算!$F$2:$F$801, 0)+1))="","",INDEX(輔助計算!$D:$D,(MATCH(712, 輔助計算!$F$2:$F$801, 0)+1))*INDEX(ERP資料!$O:$O,(MATCH(712, 輔助計算!$F$2:$F$801, 0)+1))), "")</f>
        <v/>
      </c>
      <c r="J713" s="16" t="n"/>
      <c r="K713" s="15">
        <f>IFERROR(INDEX(輔助計算!$D:$D, (MATCH(712, 輔助計算!$F$2:$F$801, 0)+1)), "")</f>
        <v/>
      </c>
      <c r="L713" s="16">
        <f>IFERROR(IF(AND(IFERROR(VLOOKUP(LEFT(INDEX(ERP資料!$S:$S, (MATCH(712, 輔助計算!$F$2:$F$801, 0)+1)), 4), 100張客戶!$A:$A, 1, FALSE), "")&lt;&gt;"", OR(INDEX(ERP資料!$F:$F, (MATCH(712, 輔助計算!$F$2:$F$801, 0)+1))=270, INDEX(ERP資料!$F:$F, (MATCH(712, 輔助計算!$F$2:$F$801, 0)+1))=300)), "100張", ""), "")</f>
        <v/>
      </c>
      <c r="M713" s="17" t="n"/>
      <c r="N713" s="17">
        <f>IF($F713="","",$F713)</f>
        <v/>
      </c>
      <c r="O713" s="17">
        <f>IF($G713="","",$G713)</f>
        <v/>
      </c>
      <c r="P713" s="17">
        <f>IF($K713="","",$K713)</f>
        <v/>
      </c>
      <c r="Q713" s="16" t="n"/>
      <c r="R713" s="18" t="n"/>
      <c r="S713" s="16" t="n"/>
    </row>
    <row r="714">
      <c r="A714" s="14">
        <f>IFERROR(IF(AND(IFERROR(INDEX(ERP資料!$A:$A, (MATCH(713, 輔助計算!$F$2:$F$801, 0)+1)), "")&lt;&gt;"", IFERROR(INDEX(ERP資料!$A:$A, (MATCH(713, 輔助計算!$F$2:$F$801, 0)+1)), "")&lt;&gt;IFERROR(INDEX(ERP資料!$A:$A, MATCH(712, 輔助計算!$F$2:$F$801, 0)+1), "")), INDEX(ERP資料!$B:$B, (MATCH(713, 輔助計算!$F$2:$F$801, 0)+1)), ""), "")</f>
        <v/>
      </c>
      <c r="B714" s="10">
        <f>IFERROR(IF(AND(IFERROR(INDEX(ERP資料!$A:$A, (MATCH(713, 輔助計算!$F$2:$F$801, 0)+1)), "")&lt;&gt;"", IFERROR(INDEX(ERP資料!$A:$A, (MATCH(713, 輔助計算!$F$2:$F$801, 0)+1)), "")&lt;&gt;IFERROR(INDEX(ERP資料!$A:$A, MATCH(712, 輔助計算!$F$2:$F$801, 0)+1), "")), IFERROR(INDEX(ERP資料!$A:$A, (MATCH(713, 輔助計算!$F$2:$F$801, 0)+1)), ""), ""), "")</f>
        <v/>
      </c>
      <c r="C714" s="10">
        <f>IFERROR(IF(AND(IFERROR(INDEX(ERP資料!$A:$A, (MATCH(713, 輔助計算!$F$2:$F$801, 0)+1)), "")&lt;&gt;"", IFERROR(INDEX(ERP資料!$A:$A, (MATCH(713, 輔助計算!$F$2:$F$801, 0)+1)), "")&lt;&gt;IFERROR(INDEX(ERP資料!$A:$A, MATCH(712, 輔助計算!$F$2:$F$801, 0)+1), "")), INDEX(ERP資料!$S:$S, (MATCH(713, 輔助計算!$F$2:$F$801, 0)+1)), ""), "")</f>
        <v/>
      </c>
      <c r="D714" s="10">
        <f>IFERROR(IF(INDEX(ERP資料!$E:$E, (MATCH(713, 輔助計算!$F$2:$F$801, 0)+1))="","",TRIM(INDEX(ERP資料!$E:$E, (MATCH(713, 輔助計算!$F$2:$F$801, 0)+1)))), "")</f>
        <v/>
      </c>
      <c r="E714" s="10">
        <f>IFERROR(IF(INDEX(ERP資料!$F:$F, (MATCH(713, 輔助計算!$F$2:$F$801, 0)+1))="","",INDEX(ERP資料!$F:$F, (MATCH(713, 輔助計算!$F$2:$F$801, 0)+1))), "")</f>
        <v/>
      </c>
      <c r="F714" s="10">
        <f>IFERROR(IF(INDEX(ERP資料!$G:$G, (MATCH(713, 輔助計算!$F$2:$F$801, 0)+1))="","",INDEX(ERP資料!$G:$G, (MATCH(713, 輔助計算!$F$2:$F$801, 0)+1))), "")</f>
        <v/>
      </c>
      <c r="G714" s="10">
        <f>IFERROR(IF(INDEX(ERP資料!$H:$H, (MATCH(713, 輔助計算!$F$2:$F$801, 0)+1))="","",INDEX(ERP資料!$H:$H, (MATCH(713, 輔助計算!$F$2:$F$801, 0)+1))), "")</f>
        <v/>
      </c>
      <c r="H714" s="10">
        <f>IFERROR(IF(INDEX(ERP資料!$O:$O, (MATCH(713, 輔助計算!$F$2:$F$801, 0)+1))="","",INDEX(ERP資料!$O:$O, (MATCH(713, 輔助計算!$F$2:$F$801, 0)+1))), "")</f>
        <v/>
      </c>
      <c r="I714" s="15">
        <f>IFERROR(IF(INDEX(輔助計算!$D:$D,(MATCH(713, 輔助計算!$F$2:$F$801, 0)+1))="","",INDEX(輔助計算!$D:$D,(MATCH(713, 輔助計算!$F$2:$F$801, 0)+1))*INDEX(ERP資料!$O:$O,(MATCH(713, 輔助計算!$F$2:$F$801, 0)+1))), "")</f>
        <v/>
      </c>
      <c r="J714" s="16" t="n"/>
      <c r="K714" s="15">
        <f>IFERROR(INDEX(輔助計算!$D:$D, (MATCH(713, 輔助計算!$F$2:$F$801, 0)+1)), "")</f>
        <v/>
      </c>
      <c r="L714" s="16">
        <f>IFERROR(IF(AND(IFERROR(VLOOKUP(LEFT(INDEX(ERP資料!$S:$S, (MATCH(713, 輔助計算!$F$2:$F$801, 0)+1)), 4), 100張客戶!$A:$A, 1, FALSE), "")&lt;&gt;"", OR(INDEX(ERP資料!$F:$F, (MATCH(713, 輔助計算!$F$2:$F$801, 0)+1))=270, INDEX(ERP資料!$F:$F, (MATCH(713, 輔助計算!$F$2:$F$801, 0)+1))=300)), "100張", ""), "")</f>
        <v/>
      </c>
      <c r="M714" s="17" t="n"/>
      <c r="N714" s="17">
        <f>IF($F714="","",$F714)</f>
        <v/>
      </c>
      <c r="O714" s="17">
        <f>IF($G714="","",$G714)</f>
        <v/>
      </c>
      <c r="P714" s="17">
        <f>IF($K714="","",$K714)</f>
        <v/>
      </c>
      <c r="Q714" s="16" t="n"/>
      <c r="R714" s="18" t="n"/>
      <c r="S714" s="16" t="n"/>
    </row>
    <row r="715">
      <c r="A715" s="14">
        <f>IFERROR(IF(AND(IFERROR(INDEX(ERP資料!$A:$A, (MATCH(714, 輔助計算!$F$2:$F$801, 0)+1)), "")&lt;&gt;"", IFERROR(INDEX(ERP資料!$A:$A, (MATCH(714, 輔助計算!$F$2:$F$801, 0)+1)), "")&lt;&gt;IFERROR(INDEX(ERP資料!$A:$A, MATCH(713, 輔助計算!$F$2:$F$801, 0)+1), "")), INDEX(ERP資料!$B:$B, (MATCH(714, 輔助計算!$F$2:$F$801, 0)+1)), ""), "")</f>
        <v/>
      </c>
      <c r="B715" s="10">
        <f>IFERROR(IF(AND(IFERROR(INDEX(ERP資料!$A:$A, (MATCH(714, 輔助計算!$F$2:$F$801, 0)+1)), "")&lt;&gt;"", IFERROR(INDEX(ERP資料!$A:$A, (MATCH(714, 輔助計算!$F$2:$F$801, 0)+1)), "")&lt;&gt;IFERROR(INDEX(ERP資料!$A:$A, MATCH(713, 輔助計算!$F$2:$F$801, 0)+1), "")), IFERROR(INDEX(ERP資料!$A:$A, (MATCH(714, 輔助計算!$F$2:$F$801, 0)+1)), ""), ""), "")</f>
        <v/>
      </c>
      <c r="C715" s="10">
        <f>IFERROR(IF(AND(IFERROR(INDEX(ERP資料!$A:$A, (MATCH(714, 輔助計算!$F$2:$F$801, 0)+1)), "")&lt;&gt;"", IFERROR(INDEX(ERP資料!$A:$A, (MATCH(714, 輔助計算!$F$2:$F$801, 0)+1)), "")&lt;&gt;IFERROR(INDEX(ERP資料!$A:$A, MATCH(713, 輔助計算!$F$2:$F$801, 0)+1), "")), INDEX(ERP資料!$S:$S, (MATCH(714, 輔助計算!$F$2:$F$801, 0)+1)), ""), "")</f>
        <v/>
      </c>
      <c r="D715" s="10">
        <f>IFERROR(IF(INDEX(ERP資料!$E:$E, (MATCH(714, 輔助計算!$F$2:$F$801, 0)+1))="","",TRIM(INDEX(ERP資料!$E:$E, (MATCH(714, 輔助計算!$F$2:$F$801, 0)+1)))), "")</f>
        <v/>
      </c>
      <c r="E715" s="10">
        <f>IFERROR(IF(INDEX(ERP資料!$F:$F, (MATCH(714, 輔助計算!$F$2:$F$801, 0)+1))="","",INDEX(ERP資料!$F:$F, (MATCH(714, 輔助計算!$F$2:$F$801, 0)+1))), "")</f>
        <v/>
      </c>
      <c r="F715" s="10">
        <f>IFERROR(IF(INDEX(ERP資料!$G:$G, (MATCH(714, 輔助計算!$F$2:$F$801, 0)+1))="","",INDEX(ERP資料!$G:$G, (MATCH(714, 輔助計算!$F$2:$F$801, 0)+1))), "")</f>
        <v/>
      </c>
      <c r="G715" s="10">
        <f>IFERROR(IF(INDEX(ERP資料!$H:$H, (MATCH(714, 輔助計算!$F$2:$F$801, 0)+1))="","",INDEX(ERP資料!$H:$H, (MATCH(714, 輔助計算!$F$2:$F$801, 0)+1))), "")</f>
        <v/>
      </c>
      <c r="H715" s="10">
        <f>IFERROR(IF(INDEX(ERP資料!$O:$O, (MATCH(714, 輔助計算!$F$2:$F$801, 0)+1))="","",INDEX(ERP資料!$O:$O, (MATCH(714, 輔助計算!$F$2:$F$801, 0)+1))), "")</f>
        <v/>
      </c>
      <c r="I715" s="15">
        <f>IFERROR(IF(INDEX(輔助計算!$D:$D,(MATCH(714, 輔助計算!$F$2:$F$801, 0)+1))="","",INDEX(輔助計算!$D:$D,(MATCH(714, 輔助計算!$F$2:$F$801, 0)+1))*INDEX(ERP資料!$O:$O,(MATCH(714, 輔助計算!$F$2:$F$801, 0)+1))), "")</f>
        <v/>
      </c>
      <c r="J715" s="16" t="n"/>
      <c r="K715" s="15">
        <f>IFERROR(INDEX(輔助計算!$D:$D, (MATCH(714, 輔助計算!$F$2:$F$801, 0)+1)), "")</f>
        <v/>
      </c>
      <c r="L715" s="16">
        <f>IFERROR(IF(AND(IFERROR(VLOOKUP(LEFT(INDEX(ERP資料!$S:$S, (MATCH(714, 輔助計算!$F$2:$F$801, 0)+1)), 4), 100張客戶!$A:$A, 1, FALSE), "")&lt;&gt;"", OR(INDEX(ERP資料!$F:$F, (MATCH(714, 輔助計算!$F$2:$F$801, 0)+1))=270, INDEX(ERP資料!$F:$F, (MATCH(714, 輔助計算!$F$2:$F$801, 0)+1))=300)), "100張", ""), "")</f>
        <v/>
      </c>
      <c r="M715" s="17" t="n"/>
      <c r="N715" s="17">
        <f>IF($F715="","",$F715)</f>
        <v/>
      </c>
      <c r="O715" s="17">
        <f>IF($G715="","",$G715)</f>
        <v/>
      </c>
      <c r="P715" s="17">
        <f>IF($K715="","",$K715)</f>
        <v/>
      </c>
      <c r="Q715" s="16" t="n"/>
      <c r="R715" s="18" t="n"/>
      <c r="S715" s="16" t="n"/>
    </row>
    <row r="716">
      <c r="A716" s="14">
        <f>IFERROR(IF(AND(IFERROR(INDEX(ERP資料!$A:$A, (MATCH(715, 輔助計算!$F$2:$F$801, 0)+1)), "")&lt;&gt;"", IFERROR(INDEX(ERP資料!$A:$A, (MATCH(715, 輔助計算!$F$2:$F$801, 0)+1)), "")&lt;&gt;IFERROR(INDEX(ERP資料!$A:$A, MATCH(714, 輔助計算!$F$2:$F$801, 0)+1), "")), INDEX(ERP資料!$B:$B, (MATCH(715, 輔助計算!$F$2:$F$801, 0)+1)), ""), "")</f>
        <v/>
      </c>
      <c r="B716" s="10">
        <f>IFERROR(IF(AND(IFERROR(INDEX(ERP資料!$A:$A, (MATCH(715, 輔助計算!$F$2:$F$801, 0)+1)), "")&lt;&gt;"", IFERROR(INDEX(ERP資料!$A:$A, (MATCH(715, 輔助計算!$F$2:$F$801, 0)+1)), "")&lt;&gt;IFERROR(INDEX(ERP資料!$A:$A, MATCH(714, 輔助計算!$F$2:$F$801, 0)+1), "")), IFERROR(INDEX(ERP資料!$A:$A, (MATCH(715, 輔助計算!$F$2:$F$801, 0)+1)), ""), ""), "")</f>
        <v/>
      </c>
      <c r="C716" s="10">
        <f>IFERROR(IF(AND(IFERROR(INDEX(ERP資料!$A:$A, (MATCH(715, 輔助計算!$F$2:$F$801, 0)+1)), "")&lt;&gt;"", IFERROR(INDEX(ERP資料!$A:$A, (MATCH(715, 輔助計算!$F$2:$F$801, 0)+1)), "")&lt;&gt;IFERROR(INDEX(ERP資料!$A:$A, MATCH(714, 輔助計算!$F$2:$F$801, 0)+1), "")), INDEX(ERP資料!$S:$S, (MATCH(715, 輔助計算!$F$2:$F$801, 0)+1)), ""), "")</f>
        <v/>
      </c>
      <c r="D716" s="10">
        <f>IFERROR(IF(INDEX(ERP資料!$E:$E, (MATCH(715, 輔助計算!$F$2:$F$801, 0)+1))="","",TRIM(INDEX(ERP資料!$E:$E, (MATCH(715, 輔助計算!$F$2:$F$801, 0)+1)))), "")</f>
        <v/>
      </c>
      <c r="E716" s="10">
        <f>IFERROR(IF(INDEX(ERP資料!$F:$F, (MATCH(715, 輔助計算!$F$2:$F$801, 0)+1))="","",INDEX(ERP資料!$F:$F, (MATCH(715, 輔助計算!$F$2:$F$801, 0)+1))), "")</f>
        <v/>
      </c>
      <c r="F716" s="10">
        <f>IFERROR(IF(INDEX(ERP資料!$G:$G, (MATCH(715, 輔助計算!$F$2:$F$801, 0)+1))="","",INDEX(ERP資料!$G:$G, (MATCH(715, 輔助計算!$F$2:$F$801, 0)+1))), "")</f>
        <v/>
      </c>
      <c r="G716" s="10">
        <f>IFERROR(IF(INDEX(ERP資料!$H:$H, (MATCH(715, 輔助計算!$F$2:$F$801, 0)+1))="","",INDEX(ERP資料!$H:$H, (MATCH(715, 輔助計算!$F$2:$F$801, 0)+1))), "")</f>
        <v/>
      </c>
      <c r="H716" s="10">
        <f>IFERROR(IF(INDEX(ERP資料!$O:$O, (MATCH(715, 輔助計算!$F$2:$F$801, 0)+1))="","",INDEX(ERP資料!$O:$O, (MATCH(715, 輔助計算!$F$2:$F$801, 0)+1))), "")</f>
        <v/>
      </c>
      <c r="I716" s="15">
        <f>IFERROR(IF(INDEX(輔助計算!$D:$D,(MATCH(715, 輔助計算!$F$2:$F$801, 0)+1))="","",INDEX(輔助計算!$D:$D,(MATCH(715, 輔助計算!$F$2:$F$801, 0)+1))*INDEX(ERP資料!$O:$O,(MATCH(715, 輔助計算!$F$2:$F$801, 0)+1))), "")</f>
        <v/>
      </c>
      <c r="J716" s="16" t="n"/>
      <c r="K716" s="15">
        <f>IFERROR(INDEX(輔助計算!$D:$D, (MATCH(715, 輔助計算!$F$2:$F$801, 0)+1)), "")</f>
        <v/>
      </c>
      <c r="L716" s="16">
        <f>IFERROR(IF(AND(IFERROR(VLOOKUP(LEFT(INDEX(ERP資料!$S:$S, (MATCH(715, 輔助計算!$F$2:$F$801, 0)+1)), 4), 100張客戶!$A:$A, 1, FALSE), "")&lt;&gt;"", OR(INDEX(ERP資料!$F:$F, (MATCH(715, 輔助計算!$F$2:$F$801, 0)+1))=270, INDEX(ERP資料!$F:$F, (MATCH(715, 輔助計算!$F$2:$F$801, 0)+1))=300)), "100張", ""), "")</f>
        <v/>
      </c>
      <c r="M716" s="17" t="n"/>
      <c r="N716" s="17">
        <f>IF($F716="","",$F716)</f>
        <v/>
      </c>
      <c r="O716" s="17">
        <f>IF($G716="","",$G716)</f>
        <v/>
      </c>
      <c r="P716" s="17">
        <f>IF($K716="","",$K716)</f>
        <v/>
      </c>
      <c r="Q716" s="16" t="n"/>
      <c r="R716" s="18" t="n"/>
      <c r="S716" s="16" t="n"/>
    </row>
    <row r="717">
      <c r="A717" s="14">
        <f>IFERROR(IF(AND(IFERROR(INDEX(ERP資料!$A:$A, (MATCH(716, 輔助計算!$F$2:$F$801, 0)+1)), "")&lt;&gt;"", IFERROR(INDEX(ERP資料!$A:$A, (MATCH(716, 輔助計算!$F$2:$F$801, 0)+1)), "")&lt;&gt;IFERROR(INDEX(ERP資料!$A:$A, MATCH(715, 輔助計算!$F$2:$F$801, 0)+1), "")), INDEX(ERP資料!$B:$B, (MATCH(716, 輔助計算!$F$2:$F$801, 0)+1)), ""), "")</f>
        <v/>
      </c>
      <c r="B717" s="10">
        <f>IFERROR(IF(AND(IFERROR(INDEX(ERP資料!$A:$A, (MATCH(716, 輔助計算!$F$2:$F$801, 0)+1)), "")&lt;&gt;"", IFERROR(INDEX(ERP資料!$A:$A, (MATCH(716, 輔助計算!$F$2:$F$801, 0)+1)), "")&lt;&gt;IFERROR(INDEX(ERP資料!$A:$A, MATCH(715, 輔助計算!$F$2:$F$801, 0)+1), "")), IFERROR(INDEX(ERP資料!$A:$A, (MATCH(716, 輔助計算!$F$2:$F$801, 0)+1)), ""), ""), "")</f>
        <v/>
      </c>
      <c r="C717" s="10">
        <f>IFERROR(IF(AND(IFERROR(INDEX(ERP資料!$A:$A, (MATCH(716, 輔助計算!$F$2:$F$801, 0)+1)), "")&lt;&gt;"", IFERROR(INDEX(ERP資料!$A:$A, (MATCH(716, 輔助計算!$F$2:$F$801, 0)+1)), "")&lt;&gt;IFERROR(INDEX(ERP資料!$A:$A, MATCH(715, 輔助計算!$F$2:$F$801, 0)+1), "")), INDEX(ERP資料!$S:$S, (MATCH(716, 輔助計算!$F$2:$F$801, 0)+1)), ""), "")</f>
        <v/>
      </c>
      <c r="D717" s="10">
        <f>IFERROR(IF(INDEX(ERP資料!$E:$E, (MATCH(716, 輔助計算!$F$2:$F$801, 0)+1))="","",TRIM(INDEX(ERP資料!$E:$E, (MATCH(716, 輔助計算!$F$2:$F$801, 0)+1)))), "")</f>
        <v/>
      </c>
      <c r="E717" s="10">
        <f>IFERROR(IF(INDEX(ERP資料!$F:$F, (MATCH(716, 輔助計算!$F$2:$F$801, 0)+1))="","",INDEX(ERP資料!$F:$F, (MATCH(716, 輔助計算!$F$2:$F$801, 0)+1))), "")</f>
        <v/>
      </c>
      <c r="F717" s="10">
        <f>IFERROR(IF(INDEX(ERP資料!$G:$G, (MATCH(716, 輔助計算!$F$2:$F$801, 0)+1))="","",INDEX(ERP資料!$G:$G, (MATCH(716, 輔助計算!$F$2:$F$801, 0)+1))), "")</f>
        <v/>
      </c>
      <c r="G717" s="10">
        <f>IFERROR(IF(INDEX(ERP資料!$H:$H, (MATCH(716, 輔助計算!$F$2:$F$801, 0)+1))="","",INDEX(ERP資料!$H:$H, (MATCH(716, 輔助計算!$F$2:$F$801, 0)+1))), "")</f>
        <v/>
      </c>
      <c r="H717" s="10">
        <f>IFERROR(IF(INDEX(ERP資料!$O:$O, (MATCH(716, 輔助計算!$F$2:$F$801, 0)+1))="","",INDEX(ERP資料!$O:$O, (MATCH(716, 輔助計算!$F$2:$F$801, 0)+1))), "")</f>
        <v/>
      </c>
      <c r="I717" s="15">
        <f>IFERROR(IF(INDEX(輔助計算!$D:$D,(MATCH(716, 輔助計算!$F$2:$F$801, 0)+1))="","",INDEX(輔助計算!$D:$D,(MATCH(716, 輔助計算!$F$2:$F$801, 0)+1))*INDEX(ERP資料!$O:$O,(MATCH(716, 輔助計算!$F$2:$F$801, 0)+1))), "")</f>
        <v/>
      </c>
      <c r="J717" s="16" t="n"/>
      <c r="K717" s="15">
        <f>IFERROR(INDEX(輔助計算!$D:$D, (MATCH(716, 輔助計算!$F$2:$F$801, 0)+1)), "")</f>
        <v/>
      </c>
      <c r="L717" s="16">
        <f>IFERROR(IF(AND(IFERROR(VLOOKUP(LEFT(INDEX(ERP資料!$S:$S, (MATCH(716, 輔助計算!$F$2:$F$801, 0)+1)), 4), 100張客戶!$A:$A, 1, FALSE), "")&lt;&gt;"", OR(INDEX(ERP資料!$F:$F, (MATCH(716, 輔助計算!$F$2:$F$801, 0)+1))=270, INDEX(ERP資料!$F:$F, (MATCH(716, 輔助計算!$F$2:$F$801, 0)+1))=300)), "100張", ""), "")</f>
        <v/>
      </c>
      <c r="M717" s="17" t="n"/>
      <c r="N717" s="17">
        <f>IF($F717="","",$F717)</f>
        <v/>
      </c>
      <c r="O717" s="17">
        <f>IF($G717="","",$G717)</f>
        <v/>
      </c>
      <c r="P717" s="17">
        <f>IF($K717="","",$K717)</f>
        <v/>
      </c>
      <c r="Q717" s="16" t="n"/>
      <c r="R717" s="18" t="n"/>
      <c r="S717" s="16" t="n"/>
    </row>
    <row r="718">
      <c r="A718" s="14">
        <f>IFERROR(IF(AND(IFERROR(INDEX(ERP資料!$A:$A, (MATCH(717, 輔助計算!$F$2:$F$801, 0)+1)), "")&lt;&gt;"", IFERROR(INDEX(ERP資料!$A:$A, (MATCH(717, 輔助計算!$F$2:$F$801, 0)+1)), "")&lt;&gt;IFERROR(INDEX(ERP資料!$A:$A, MATCH(716, 輔助計算!$F$2:$F$801, 0)+1), "")), INDEX(ERP資料!$B:$B, (MATCH(717, 輔助計算!$F$2:$F$801, 0)+1)), ""), "")</f>
        <v/>
      </c>
      <c r="B718" s="10">
        <f>IFERROR(IF(AND(IFERROR(INDEX(ERP資料!$A:$A, (MATCH(717, 輔助計算!$F$2:$F$801, 0)+1)), "")&lt;&gt;"", IFERROR(INDEX(ERP資料!$A:$A, (MATCH(717, 輔助計算!$F$2:$F$801, 0)+1)), "")&lt;&gt;IFERROR(INDEX(ERP資料!$A:$A, MATCH(716, 輔助計算!$F$2:$F$801, 0)+1), "")), IFERROR(INDEX(ERP資料!$A:$A, (MATCH(717, 輔助計算!$F$2:$F$801, 0)+1)), ""), ""), "")</f>
        <v/>
      </c>
      <c r="C718" s="10">
        <f>IFERROR(IF(AND(IFERROR(INDEX(ERP資料!$A:$A, (MATCH(717, 輔助計算!$F$2:$F$801, 0)+1)), "")&lt;&gt;"", IFERROR(INDEX(ERP資料!$A:$A, (MATCH(717, 輔助計算!$F$2:$F$801, 0)+1)), "")&lt;&gt;IFERROR(INDEX(ERP資料!$A:$A, MATCH(716, 輔助計算!$F$2:$F$801, 0)+1), "")), INDEX(ERP資料!$S:$S, (MATCH(717, 輔助計算!$F$2:$F$801, 0)+1)), ""), "")</f>
        <v/>
      </c>
      <c r="D718" s="10">
        <f>IFERROR(IF(INDEX(ERP資料!$E:$E, (MATCH(717, 輔助計算!$F$2:$F$801, 0)+1))="","",TRIM(INDEX(ERP資料!$E:$E, (MATCH(717, 輔助計算!$F$2:$F$801, 0)+1)))), "")</f>
        <v/>
      </c>
      <c r="E718" s="10">
        <f>IFERROR(IF(INDEX(ERP資料!$F:$F, (MATCH(717, 輔助計算!$F$2:$F$801, 0)+1))="","",INDEX(ERP資料!$F:$F, (MATCH(717, 輔助計算!$F$2:$F$801, 0)+1))), "")</f>
        <v/>
      </c>
      <c r="F718" s="10">
        <f>IFERROR(IF(INDEX(ERP資料!$G:$G, (MATCH(717, 輔助計算!$F$2:$F$801, 0)+1))="","",INDEX(ERP資料!$G:$G, (MATCH(717, 輔助計算!$F$2:$F$801, 0)+1))), "")</f>
        <v/>
      </c>
      <c r="G718" s="10">
        <f>IFERROR(IF(INDEX(ERP資料!$H:$H, (MATCH(717, 輔助計算!$F$2:$F$801, 0)+1))="","",INDEX(ERP資料!$H:$H, (MATCH(717, 輔助計算!$F$2:$F$801, 0)+1))), "")</f>
        <v/>
      </c>
      <c r="H718" s="10">
        <f>IFERROR(IF(INDEX(ERP資料!$O:$O, (MATCH(717, 輔助計算!$F$2:$F$801, 0)+1))="","",INDEX(ERP資料!$O:$O, (MATCH(717, 輔助計算!$F$2:$F$801, 0)+1))), "")</f>
        <v/>
      </c>
      <c r="I718" s="15">
        <f>IFERROR(IF(INDEX(輔助計算!$D:$D,(MATCH(717, 輔助計算!$F$2:$F$801, 0)+1))="","",INDEX(輔助計算!$D:$D,(MATCH(717, 輔助計算!$F$2:$F$801, 0)+1))*INDEX(ERP資料!$O:$O,(MATCH(717, 輔助計算!$F$2:$F$801, 0)+1))), "")</f>
        <v/>
      </c>
      <c r="J718" s="16" t="n"/>
      <c r="K718" s="15">
        <f>IFERROR(INDEX(輔助計算!$D:$D, (MATCH(717, 輔助計算!$F$2:$F$801, 0)+1)), "")</f>
        <v/>
      </c>
      <c r="L718" s="16">
        <f>IFERROR(IF(AND(IFERROR(VLOOKUP(LEFT(INDEX(ERP資料!$S:$S, (MATCH(717, 輔助計算!$F$2:$F$801, 0)+1)), 4), 100張客戶!$A:$A, 1, FALSE), "")&lt;&gt;"", OR(INDEX(ERP資料!$F:$F, (MATCH(717, 輔助計算!$F$2:$F$801, 0)+1))=270, INDEX(ERP資料!$F:$F, (MATCH(717, 輔助計算!$F$2:$F$801, 0)+1))=300)), "100張", ""), "")</f>
        <v/>
      </c>
      <c r="M718" s="17" t="n"/>
      <c r="N718" s="17">
        <f>IF($F718="","",$F718)</f>
        <v/>
      </c>
      <c r="O718" s="17">
        <f>IF($G718="","",$G718)</f>
        <v/>
      </c>
      <c r="P718" s="17">
        <f>IF($K718="","",$K718)</f>
        <v/>
      </c>
      <c r="Q718" s="16" t="n"/>
      <c r="R718" s="18" t="n"/>
      <c r="S718" s="16" t="n"/>
    </row>
    <row r="719">
      <c r="A719" s="14">
        <f>IFERROR(IF(AND(IFERROR(INDEX(ERP資料!$A:$A, (MATCH(718, 輔助計算!$F$2:$F$801, 0)+1)), "")&lt;&gt;"", IFERROR(INDEX(ERP資料!$A:$A, (MATCH(718, 輔助計算!$F$2:$F$801, 0)+1)), "")&lt;&gt;IFERROR(INDEX(ERP資料!$A:$A, MATCH(717, 輔助計算!$F$2:$F$801, 0)+1), "")), INDEX(ERP資料!$B:$B, (MATCH(718, 輔助計算!$F$2:$F$801, 0)+1)), ""), "")</f>
        <v/>
      </c>
      <c r="B719" s="10">
        <f>IFERROR(IF(AND(IFERROR(INDEX(ERP資料!$A:$A, (MATCH(718, 輔助計算!$F$2:$F$801, 0)+1)), "")&lt;&gt;"", IFERROR(INDEX(ERP資料!$A:$A, (MATCH(718, 輔助計算!$F$2:$F$801, 0)+1)), "")&lt;&gt;IFERROR(INDEX(ERP資料!$A:$A, MATCH(717, 輔助計算!$F$2:$F$801, 0)+1), "")), IFERROR(INDEX(ERP資料!$A:$A, (MATCH(718, 輔助計算!$F$2:$F$801, 0)+1)), ""), ""), "")</f>
        <v/>
      </c>
      <c r="C719" s="10">
        <f>IFERROR(IF(AND(IFERROR(INDEX(ERP資料!$A:$A, (MATCH(718, 輔助計算!$F$2:$F$801, 0)+1)), "")&lt;&gt;"", IFERROR(INDEX(ERP資料!$A:$A, (MATCH(718, 輔助計算!$F$2:$F$801, 0)+1)), "")&lt;&gt;IFERROR(INDEX(ERP資料!$A:$A, MATCH(717, 輔助計算!$F$2:$F$801, 0)+1), "")), INDEX(ERP資料!$S:$S, (MATCH(718, 輔助計算!$F$2:$F$801, 0)+1)), ""), "")</f>
        <v/>
      </c>
      <c r="D719" s="10">
        <f>IFERROR(IF(INDEX(ERP資料!$E:$E, (MATCH(718, 輔助計算!$F$2:$F$801, 0)+1))="","",TRIM(INDEX(ERP資料!$E:$E, (MATCH(718, 輔助計算!$F$2:$F$801, 0)+1)))), "")</f>
        <v/>
      </c>
      <c r="E719" s="10">
        <f>IFERROR(IF(INDEX(ERP資料!$F:$F, (MATCH(718, 輔助計算!$F$2:$F$801, 0)+1))="","",INDEX(ERP資料!$F:$F, (MATCH(718, 輔助計算!$F$2:$F$801, 0)+1))), "")</f>
        <v/>
      </c>
      <c r="F719" s="10">
        <f>IFERROR(IF(INDEX(ERP資料!$G:$G, (MATCH(718, 輔助計算!$F$2:$F$801, 0)+1))="","",INDEX(ERP資料!$G:$G, (MATCH(718, 輔助計算!$F$2:$F$801, 0)+1))), "")</f>
        <v/>
      </c>
      <c r="G719" s="10">
        <f>IFERROR(IF(INDEX(ERP資料!$H:$H, (MATCH(718, 輔助計算!$F$2:$F$801, 0)+1))="","",INDEX(ERP資料!$H:$H, (MATCH(718, 輔助計算!$F$2:$F$801, 0)+1))), "")</f>
        <v/>
      </c>
      <c r="H719" s="10">
        <f>IFERROR(IF(INDEX(ERP資料!$O:$O, (MATCH(718, 輔助計算!$F$2:$F$801, 0)+1))="","",INDEX(ERP資料!$O:$O, (MATCH(718, 輔助計算!$F$2:$F$801, 0)+1))), "")</f>
        <v/>
      </c>
      <c r="I719" s="15">
        <f>IFERROR(IF(INDEX(輔助計算!$D:$D,(MATCH(718, 輔助計算!$F$2:$F$801, 0)+1))="","",INDEX(輔助計算!$D:$D,(MATCH(718, 輔助計算!$F$2:$F$801, 0)+1))*INDEX(ERP資料!$O:$O,(MATCH(718, 輔助計算!$F$2:$F$801, 0)+1))), "")</f>
        <v/>
      </c>
      <c r="J719" s="16" t="n"/>
      <c r="K719" s="15">
        <f>IFERROR(INDEX(輔助計算!$D:$D, (MATCH(718, 輔助計算!$F$2:$F$801, 0)+1)), "")</f>
        <v/>
      </c>
      <c r="L719" s="16">
        <f>IFERROR(IF(AND(IFERROR(VLOOKUP(LEFT(INDEX(ERP資料!$S:$S, (MATCH(718, 輔助計算!$F$2:$F$801, 0)+1)), 4), 100張客戶!$A:$A, 1, FALSE), "")&lt;&gt;"", OR(INDEX(ERP資料!$F:$F, (MATCH(718, 輔助計算!$F$2:$F$801, 0)+1))=270, INDEX(ERP資料!$F:$F, (MATCH(718, 輔助計算!$F$2:$F$801, 0)+1))=300)), "100張", ""), "")</f>
        <v/>
      </c>
      <c r="M719" s="17" t="n"/>
      <c r="N719" s="17">
        <f>IF($F719="","",$F719)</f>
        <v/>
      </c>
      <c r="O719" s="17">
        <f>IF($G719="","",$G719)</f>
        <v/>
      </c>
      <c r="P719" s="17">
        <f>IF($K719="","",$K719)</f>
        <v/>
      </c>
      <c r="Q719" s="16" t="n"/>
      <c r="R719" s="18" t="n"/>
      <c r="S719" s="16" t="n"/>
    </row>
    <row r="720">
      <c r="A720" s="14">
        <f>IFERROR(IF(AND(IFERROR(INDEX(ERP資料!$A:$A, (MATCH(719, 輔助計算!$F$2:$F$801, 0)+1)), "")&lt;&gt;"", IFERROR(INDEX(ERP資料!$A:$A, (MATCH(719, 輔助計算!$F$2:$F$801, 0)+1)), "")&lt;&gt;IFERROR(INDEX(ERP資料!$A:$A, MATCH(718, 輔助計算!$F$2:$F$801, 0)+1), "")), INDEX(ERP資料!$B:$B, (MATCH(719, 輔助計算!$F$2:$F$801, 0)+1)), ""), "")</f>
        <v/>
      </c>
      <c r="B720" s="10">
        <f>IFERROR(IF(AND(IFERROR(INDEX(ERP資料!$A:$A, (MATCH(719, 輔助計算!$F$2:$F$801, 0)+1)), "")&lt;&gt;"", IFERROR(INDEX(ERP資料!$A:$A, (MATCH(719, 輔助計算!$F$2:$F$801, 0)+1)), "")&lt;&gt;IFERROR(INDEX(ERP資料!$A:$A, MATCH(718, 輔助計算!$F$2:$F$801, 0)+1), "")), IFERROR(INDEX(ERP資料!$A:$A, (MATCH(719, 輔助計算!$F$2:$F$801, 0)+1)), ""), ""), "")</f>
        <v/>
      </c>
      <c r="C720" s="10">
        <f>IFERROR(IF(AND(IFERROR(INDEX(ERP資料!$A:$A, (MATCH(719, 輔助計算!$F$2:$F$801, 0)+1)), "")&lt;&gt;"", IFERROR(INDEX(ERP資料!$A:$A, (MATCH(719, 輔助計算!$F$2:$F$801, 0)+1)), "")&lt;&gt;IFERROR(INDEX(ERP資料!$A:$A, MATCH(718, 輔助計算!$F$2:$F$801, 0)+1), "")), INDEX(ERP資料!$S:$S, (MATCH(719, 輔助計算!$F$2:$F$801, 0)+1)), ""), "")</f>
        <v/>
      </c>
      <c r="D720" s="10">
        <f>IFERROR(IF(INDEX(ERP資料!$E:$E, (MATCH(719, 輔助計算!$F$2:$F$801, 0)+1))="","",TRIM(INDEX(ERP資料!$E:$E, (MATCH(719, 輔助計算!$F$2:$F$801, 0)+1)))), "")</f>
        <v/>
      </c>
      <c r="E720" s="10">
        <f>IFERROR(IF(INDEX(ERP資料!$F:$F, (MATCH(719, 輔助計算!$F$2:$F$801, 0)+1))="","",INDEX(ERP資料!$F:$F, (MATCH(719, 輔助計算!$F$2:$F$801, 0)+1))), "")</f>
        <v/>
      </c>
      <c r="F720" s="10">
        <f>IFERROR(IF(INDEX(ERP資料!$G:$G, (MATCH(719, 輔助計算!$F$2:$F$801, 0)+1))="","",INDEX(ERP資料!$G:$G, (MATCH(719, 輔助計算!$F$2:$F$801, 0)+1))), "")</f>
        <v/>
      </c>
      <c r="G720" s="10">
        <f>IFERROR(IF(INDEX(ERP資料!$H:$H, (MATCH(719, 輔助計算!$F$2:$F$801, 0)+1))="","",INDEX(ERP資料!$H:$H, (MATCH(719, 輔助計算!$F$2:$F$801, 0)+1))), "")</f>
        <v/>
      </c>
      <c r="H720" s="10">
        <f>IFERROR(IF(INDEX(ERP資料!$O:$O, (MATCH(719, 輔助計算!$F$2:$F$801, 0)+1))="","",INDEX(ERP資料!$O:$O, (MATCH(719, 輔助計算!$F$2:$F$801, 0)+1))), "")</f>
        <v/>
      </c>
      <c r="I720" s="15">
        <f>IFERROR(IF(INDEX(輔助計算!$D:$D,(MATCH(719, 輔助計算!$F$2:$F$801, 0)+1))="","",INDEX(輔助計算!$D:$D,(MATCH(719, 輔助計算!$F$2:$F$801, 0)+1))*INDEX(ERP資料!$O:$O,(MATCH(719, 輔助計算!$F$2:$F$801, 0)+1))), "")</f>
        <v/>
      </c>
      <c r="J720" s="16" t="n"/>
      <c r="K720" s="15">
        <f>IFERROR(INDEX(輔助計算!$D:$D, (MATCH(719, 輔助計算!$F$2:$F$801, 0)+1)), "")</f>
        <v/>
      </c>
      <c r="L720" s="16">
        <f>IFERROR(IF(AND(IFERROR(VLOOKUP(LEFT(INDEX(ERP資料!$S:$S, (MATCH(719, 輔助計算!$F$2:$F$801, 0)+1)), 4), 100張客戶!$A:$A, 1, FALSE), "")&lt;&gt;"", OR(INDEX(ERP資料!$F:$F, (MATCH(719, 輔助計算!$F$2:$F$801, 0)+1))=270, INDEX(ERP資料!$F:$F, (MATCH(719, 輔助計算!$F$2:$F$801, 0)+1))=300)), "100張", ""), "")</f>
        <v/>
      </c>
      <c r="M720" s="17" t="n"/>
      <c r="N720" s="17">
        <f>IF($F720="","",$F720)</f>
        <v/>
      </c>
      <c r="O720" s="17">
        <f>IF($G720="","",$G720)</f>
        <v/>
      </c>
      <c r="P720" s="17">
        <f>IF($K720="","",$K720)</f>
        <v/>
      </c>
      <c r="Q720" s="16" t="n"/>
      <c r="R720" s="18" t="n"/>
      <c r="S720" s="16" t="n"/>
    </row>
    <row r="721">
      <c r="A721" s="14">
        <f>IFERROR(IF(AND(IFERROR(INDEX(ERP資料!$A:$A, (MATCH(720, 輔助計算!$F$2:$F$801, 0)+1)), "")&lt;&gt;"", IFERROR(INDEX(ERP資料!$A:$A, (MATCH(720, 輔助計算!$F$2:$F$801, 0)+1)), "")&lt;&gt;IFERROR(INDEX(ERP資料!$A:$A, MATCH(719, 輔助計算!$F$2:$F$801, 0)+1), "")), INDEX(ERP資料!$B:$B, (MATCH(720, 輔助計算!$F$2:$F$801, 0)+1)), ""), "")</f>
        <v/>
      </c>
      <c r="B721" s="10">
        <f>IFERROR(IF(AND(IFERROR(INDEX(ERP資料!$A:$A, (MATCH(720, 輔助計算!$F$2:$F$801, 0)+1)), "")&lt;&gt;"", IFERROR(INDEX(ERP資料!$A:$A, (MATCH(720, 輔助計算!$F$2:$F$801, 0)+1)), "")&lt;&gt;IFERROR(INDEX(ERP資料!$A:$A, MATCH(719, 輔助計算!$F$2:$F$801, 0)+1), "")), IFERROR(INDEX(ERP資料!$A:$A, (MATCH(720, 輔助計算!$F$2:$F$801, 0)+1)), ""), ""), "")</f>
        <v/>
      </c>
      <c r="C721" s="10">
        <f>IFERROR(IF(AND(IFERROR(INDEX(ERP資料!$A:$A, (MATCH(720, 輔助計算!$F$2:$F$801, 0)+1)), "")&lt;&gt;"", IFERROR(INDEX(ERP資料!$A:$A, (MATCH(720, 輔助計算!$F$2:$F$801, 0)+1)), "")&lt;&gt;IFERROR(INDEX(ERP資料!$A:$A, MATCH(719, 輔助計算!$F$2:$F$801, 0)+1), "")), INDEX(ERP資料!$S:$S, (MATCH(720, 輔助計算!$F$2:$F$801, 0)+1)), ""), "")</f>
        <v/>
      </c>
      <c r="D721" s="10">
        <f>IFERROR(IF(INDEX(ERP資料!$E:$E, (MATCH(720, 輔助計算!$F$2:$F$801, 0)+1))="","",TRIM(INDEX(ERP資料!$E:$E, (MATCH(720, 輔助計算!$F$2:$F$801, 0)+1)))), "")</f>
        <v/>
      </c>
      <c r="E721" s="10">
        <f>IFERROR(IF(INDEX(ERP資料!$F:$F, (MATCH(720, 輔助計算!$F$2:$F$801, 0)+1))="","",INDEX(ERP資料!$F:$F, (MATCH(720, 輔助計算!$F$2:$F$801, 0)+1))), "")</f>
        <v/>
      </c>
      <c r="F721" s="10">
        <f>IFERROR(IF(INDEX(ERP資料!$G:$G, (MATCH(720, 輔助計算!$F$2:$F$801, 0)+1))="","",INDEX(ERP資料!$G:$G, (MATCH(720, 輔助計算!$F$2:$F$801, 0)+1))), "")</f>
        <v/>
      </c>
      <c r="G721" s="10">
        <f>IFERROR(IF(INDEX(ERP資料!$H:$H, (MATCH(720, 輔助計算!$F$2:$F$801, 0)+1))="","",INDEX(ERP資料!$H:$H, (MATCH(720, 輔助計算!$F$2:$F$801, 0)+1))), "")</f>
        <v/>
      </c>
      <c r="H721" s="10">
        <f>IFERROR(IF(INDEX(ERP資料!$O:$O, (MATCH(720, 輔助計算!$F$2:$F$801, 0)+1))="","",INDEX(ERP資料!$O:$O, (MATCH(720, 輔助計算!$F$2:$F$801, 0)+1))), "")</f>
        <v/>
      </c>
      <c r="I721" s="15">
        <f>IFERROR(IF(INDEX(輔助計算!$D:$D,(MATCH(720, 輔助計算!$F$2:$F$801, 0)+1))="","",INDEX(輔助計算!$D:$D,(MATCH(720, 輔助計算!$F$2:$F$801, 0)+1))*INDEX(ERP資料!$O:$O,(MATCH(720, 輔助計算!$F$2:$F$801, 0)+1))), "")</f>
        <v/>
      </c>
      <c r="J721" s="16" t="n"/>
      <c r="K721" s="15">
        <f>IFERROR(INDEX(輔助計算!$D:$D, (MATCH(720, 輔助計算!$F$2:$F$801, 0)+1)), "")</f>
        <v/>
      </c>
      <c r="L721" s="16">
        <f>IFERROR(IF(AND(IFERROR(VLOOKUP(LEFT(INDEX(ERP資料!$S:$S, (MATCH(720, 輔助計算!$F$2:$F$801, 0)+1)), 4), 100張客戶!$A:$A, 1, FALSE), "")&lt;&gt;"", OR(INDEX(ERP資料!$F:$F, (MATCH(720, 輔助計算!$F$2:$F$801, 0)+1))=270, INDEX(ERP資料!$F:$F, (MATCH(720, 輔助計算!$F$2:$F$801, 0)+1))=300)), "100張", ""), "")</f>
        <v/>
      </c>
      <c r="M721" s="17" t="n"/>
      <c r="N721" s="17">
        <f>IF($F721="","",$F721)</f>
        <v/>
      </c>
      <c r="O721" s="17">
        <f>IF($G721="","",$G721)</f>
        <v/>
      </c>
      <c r="P721" s="17">
        <f>IF($K721="","",$K721)</f>
        <v/>
      </c>
      <c r="Q721" s="16" t="n"/>
      <c r="R721" s="18" t="n"/>
      <c r="S721" s="16" t="n"/>
    </row>
    <row r="722">
      <c r="A722" s="14">
        <f>IFERROR(IF(AND(IFERROR(INDEX(ERP資料!$A:$A, (MATCH(721, 輔助計算!$F$2:$F$801, 0)+1)), "")&lt;&gt;"", IFERROR(INDEX(ERP資料!$A:$A, (MATCH(721, 輔助計算!$F$2:$F$801, 0)+1)), "")&lt;&gt;IFERROR(INDEX(ERP資料!$A:$A, MATCH(720, 輔助計算!$F$2:$F$801, 0)+1), "")), INDEX(ERP資料!$B:$B, (MATCH(721, 輔助計算!$F$2:$F$801, 0)+1)), ""), "")</f>
        <v/>
      </c>
      <c r="B722" s="10">
        <f>IFERROR(IF(AND(IFERROR(INDEX(ERP資料!$A:$A, (MATCH(721, 輔助計算!$F$2:$F$801, 0)+1)), "")&lt;&gt;"", IFERROR(INDEX(ERP資料!$A:$A, (MATCH(721, 輔助計算!$F$2:$F$801, 0)+1)), "")&lt;&gt;IFERROR(INDEX(ERP資料!$A:$A, MATCH(720, 輔助計算!$F$2:$F$801, 0)+1), "")), IFERROR(INDEX(ERP資料!$A:$A, (MATCH(721, 輔助計算!$F$2:$F$801, 0)+1)), ""), ""), "")</f>
        <v/>
      </c>
      <c r="C722" s="10">
        <f>IFERROR(IF(AND(IFERROR(INDEX(ERP資料!$A:$A, (MATCH(721, 輔助計算!$F$2:$F$801, 0)+1)), "")&lt;&gt;"", IFERROR(INDEX(ERP資料!$A:$A, (MATCH(721, 輔助計算!$F$2:$F$801, 0)+1)), "")&lt;&gt;IFERROR(INDEX(ERP資料!$A:$A, MATCH(720, 輔助計算!$F$2:$F$801, 0)+1), "")), INDEX(ERP資料!$S:$S, (MATCH(721, 輔助計算!$F$2:$F$801, 0)+1)), ""), "")</f>
        <v/>
      </c>
      <c r="D722" s="10">
        <f>IFERROR(IF(INDEX(ERP資料!$E:$E, (MATCH(721, 輔助計算!$F$2:$F$801, 0)+1))="","",TRIM(INDEX(ERP資料!$E:$E, (MATCH(721, 輔助計算!$F$2:$F$801, 0)+1)))), "")</f>
        <v/>
      </c>
      <c r="E722" s="10">
        <f>IFERROR(IF(INDEX(ERP資料!$F:$F, (MATCH(721, 輔助計算!$F$2:$F$801, 0)+1))="","",INDEX(ERP資料!$F:$F, (MATCH(721, 輔助計算!$F$2:$F$801, 0)+1))), "")</f>
        <v/>
      </c>
      <c r="F722" s="10">
        <f>IFERROR(IF(INDEX(ERP資料!$G:$G, (MATCH(721, 輔助計算!$F$2:$F$801, 0)+1))="","",INDEX(ERP資料!$G:$G, (MATCH(721, 輔助計算!$F$2:$F$801, 0)+1))), "")</f>
        <v/>
      </c>
      <c r="G722" s="10">
        <f>IFERROR(IF(INDEX(ERP資料!$H:$H, (MATCH(721, 輔助計算!$F$2:$F$801, 0)+1))="","",INDEX(ERP資料!$H:$H, (MATCH(721, 輔助計算!$F$2:$F$801, 0)+1))), "")</f>
        <v/>
      </c>
      <c r="H722" s="10">
        <f>IFERROR(IF(INDEX(ERP資料!$O:$O, (MATCH(721, 輔助計算!$F$2:$F$801, 0)+1))="","",INDEX(ERP資料!$O:$O, (MATCH(721, 輔助計算!$F$2:$F$801, 0)+1))), "")</f>
        <v/>
      </c>
      <c r="I722" s="15">
        <f>IFERROR(IF(INDEX(輔助計算!$D:$D,(MATCH(721, 輔助計算!$F$2:$F$801, 0)+1))="","",INDEX(輔助計算!$D:$D,(MATCH(721, 輔助計算!$F$2:$F$801, 0)+1))*INDEX(ERP資料!$O:$O,(MATCH(721, 輔助計算!$F$2:$F$801, 0)+1))), "")</f>
        <v/>
      </c>
      <c r="J722" s="16" t="n"/>
      <c r="K722" s="15">
        <f>IFERROR(INDEX(輔助計算!$D:$D, (MATCH(721, 輔助計算!$F$2:$F$801, 0)+1)), "")</f>
        <v/>
      </c>
      <c r="L722" s="16">
        <f>IFERROR(IF(AND(IFERROR(VLOOKUP(LEFT(INDEX(ERP資料!$S:$S, (MATCH(721, 輔助計算!$F$2:$F$801, 0)+1)), 4), 100張客戶!$A:$A, 1, FALSE), "")&lt;&gt;"", OR(INDEX(ERP資料!$F:$F, (MATCH(721, 輔助計算!$F$2:$F$801, 0)+1))=270, INDEX(ERP資料!$F:$F, (MATCH(721, 輔助計算!$F$2:$F$801, 0)+1))=300)), "100張", ""), "")</f>
        <v/>
      </c>
      <c r="M722" s="17" t="n"/>
      <c r="N722" s="17">
        <f>IF($F722="","",$F722)</f>
        <v/>
      </c>
      <c r="O722" s="17">
        <f>IF($G722="","",$G722)</f>
        <v/>
      </c>
      <c r="P722" s="17">
        <f>IF($K722="","",$K722)</f>
        <v/>
      </c>
      <c r="Q722" s="16" t="n"/>
      <c r="R722" s="18" t="n"/>
      <c r="S722" s="16" t="n"/>
    </row>
    <row r="723">
      <c r="A723" s="14">
        <f>IFERROR(IF(AND(IFERROR(INDEX(ERP資料!$A:$A, (MATCH(722, 輔助計算!$F$2:$F$801, 0)+1)), "")&lt;&gt;"", IFERROR(INDEX(ERP資料!$A:$A, (MATCH(722, 輔助計算!$F$2:$F$801, 0)+1)), "")&lt;&gt;IFERROR(INDEX(ERP資料!$A:$A, MATCH(721, 輔助計算!$F$2:$F$801, 0)+1), "")), INDEX(ERP資料!$B:$B, (MATCH(722, 輔助計算!$F$2:$F$801, 0)+1)), ""), "")</f>
        <v/>
      </c>
      <c r="B723" s="10">
        <f>IFERROR(IF(AND(IFERROR(INDEX(ERP資料!$A:$A, (MATCH(722, 輔助計算!$F$2:$F$801, 0)+1)), "")&lt;&gt;"", IFERROR(INDEX(ERP資料!$A:$A, (MATCH(722, 輔助計算!$F$2:$F$801, 0)+1)), "")&lt;&gt;IFERROR(INDEX(ERP資料!$A:$A, MATCH(721, 輔助計算!$F$2:$F$801, 0)+1), "")), IFERROR(INDEX(ERP資料!$A:$A, (MATCH(722, 輔助計算!$F$2:$F$801, 0)+1)), ""), ""), "")</f>
        <v/>
      </c>
      <c r="C723" s="10">
        <f>IFERROR(IF(AND(IFERROR(INDEX(ERP資料!$A:$A, (MATCH(722, 輔助計算!$F$2:$F$801, 0)+1)), "")&lt;&gt;"", IFERROR(INDEX(ERP資料!$A:$A, (MATCH(722, 輔助計算!$F$2:$F$801, 0)+1)), "")&lt;&gt;IFERROR(INDEX(ERP資料!$A:$A, MATCH(721, 輔助計算!$F$2:$F$801, 0)+1), "")), INDEX(ERP資料!$S:$S, (MATCH(722, 輔助計算!$F$2:$F$801, 0)+1)), ""), "")</f>
        <v/>
      </c>
      <c r="D723" s="10">
        <f>IFERROR(IF(INDEX(ERP資料!$E:$E, (MATCH(722, 輔助計算!$F$2:$F$801, 0)+1))="","",TRIM(INDEX(ERP資料!$E:$E, (MATCH(722, 輔助計算!$F$2:$F$801, 0)+1)))), "")</f>
        <v/>
      </c>
      <c r="E723" s="10">
        <f>IFERROR(IF(INDEX(ERP資料!$F:$F, (MATCH(722, 輔助計算!$F$2:$F$801, 0)+1))="","",INDEX(ERP資料!$F:$F, (MATCH(722, 輔助計算!$F$2:$F$801, 0)+1))), "")</f>
        <v/>
      </c>
      <c r="F723" s="10">
        <f>IFERROR(IF(INDEX(ERP資料!$G:$G, (MATCH(722, 輔助計算!$F$2:$F$801, 0)+1))="","",INDEX(ERP資料!$G:$G, (MATCH(722, 輔助計算!$F$2:$F$801, 0)+1))), "")</f>
        <v/>
      </c>
      <c r="G723" s="10">
        <f>IFERROR(IF(INDEX(ERP資料!$H:$H, (MATCH(722, 輔助計算!$F$2:$F$801, 0)+1))="","",INDEX(ERP資料!$H:$H, (MATCH(722, 輔助計算!$F$2:$F$801, 0)+1))), "")</f>
        <v/>
      </c>
      <c r="H723" s="10">
        <f>IFERROR(IF(INDEX(ERP資料!$O:$O, (MATCH(722, 輔助計算!$F$2:$F$801, 0)+1))="","",INDEX(ERP資料!$O:$O, (MATCH(722, 輔助計算!$F$2:$F$801, 0)+1))), "")</f>
        <v/>
      </c>
      <c r="I723" s="15">
        <f>IFERROR(IF(INDEX(輔助計算!$D:$D,(MATCH(722, 輔助計算!$F$2:$F$801, 0)+1))="","",INDEX(輔助計算!$D:$D,(MATCH(722, 輔助計算!$F$2:$F$801, 0)+1))*INDEX(ERP資料!$O:$O,(MATCH(722, 輔助計算!$F$2:$F$801, 0)+1))), "")</f>
        <v/>
      </c>
      <c r="J723" s="16" t="n"/>
      <c r="K723" s="15">
        <f>IFERROR(INDEX(輔助計算!$D:$D, (MATCH(722, 輔助計算!$F$2:$F$801, 0)+1)), "")</f>
        <v/>
      </c>
      <c r="L723" s="16">
        <f>IFERROR(IF(AND(IFERROR(VLOOKUP(LEFT(INDEX(ERP資料!$S:$S, (MATCH(722, 輔助計算!$F$2:$F$801, 0)+1)), 4), 100張客戶!$A:$A, 1, FALSE), "")&lt;&gt;"", OR(INDEX(ERP資料!$F:$F, (MATCH(722, 輔助計算!$F$2:$F$801, 0)+1))=270, INDEX(ERP資料!$F:$F, (MATCH(722, 輔助計算!$F$2:$F$801, 0)+1))=300)), "100張", ""), "")</f>
        <v/>
      </c>
      <c r="M723" s="17" t="n"/>
      <c r="N723" s="17">
        <f>IF($F723="","",$F723)</f>
        <v/>
      </c>
      <c r="O723" s="17">
        <f>IF($G723="","",$G723)</f>
        <v/>
      </c>
      <c r="P723" s="17">
        <f>IF($K723="","",$K723)</f>
        <v/>
      </c>
      <c r="Q723" s="16" t="n"/>
      <c r="R723" s="18" t="n"/>
      <c r="S723" s="16" t="n"/>
    </row>
    <row r="724">
      <c r="A724" s="14">
        <f>IFERROR(IF(AND(IFERROR(INDEX(ERP資料!$A:$A, (MATCH(723, 輔助計算!$F$2:$F$801, 0)+1)), "")&lt;&gt;"", IFERROR(INDEX(ERP資料!$A:$A, (MATCH(723, 輔助計算!$F$2:$F$801, 0)+1)), "")&lt;&gt;IFERROR(INDEX(ERP資料!$A:$A, MATCH(722, 輔助計算!$F$2:$F$801, 0)+1), "")), INDEX(ERP資料!$B:$B, (MATCH(723, 輔助計算!$F$2:$F$801, 0)+1)), ""), "")</f>
        <v/>
      </c>
      <c r="B724" s="10">
        <f>IFERROR(IF(AND(IFERROR(INDEX(ERP資料!$A:$A, (MATCH(723, 輔助計算!$F$2:$F$801, 0)+1)), "")&lt;&gt;"", IFERROR(INDEX(ERP資料!$A:$A, (MATCH(723, 輔助計算!$F$2:$F$801, 0)+1)), "")&lt;&gt;IFERROR(INDEX(ERP資料!$A:$A, MATCH(722, 輔助計算!$F$2:$F$801, 0)+1), "")), IFERROR(INDEX(ERP資料!$A:$A, (MATCH(723, 輔助計算!$F$2:$F$801, 0)+1)), ""), ""), "")</f>
        <v/>
      </c>
      <c r="C724" s="10">
        <f>IFERROR(IF(AND(IFERROR(INDEX(ERP資料!$A:$A, (MATCH(723, 輔助計算!$F$2:$F$801, 0)+1)), "")&lt;&gt;"", IFERROR(INDEX(ERP資料!$A:$A, (MATCH(723, 輔助計算!$F$2:$F$801, 0)+1)), "")&lt;&gt;IFERROR(INDEX(ERP資料!$A:$A, MATCH(722, 輔助計算!$F$2:$F$801, 0)+1), "")), INDEX(ERP資料!$S:$S, (MATCH(723, 輔助計算!$F$2:$F$801, 0)+1)), ""), "")</f>
        <v/>
      </c>
      <c r="D724" s="10">
        <f>IFERROR(IF(INDEX(ERP資料!$E:$E, (MATCH(723, 輔助計算!$F$2:$F$801, 0)+1))="","",TRIM(INDEX(ERP資料!$E:$E, (MATCH(723, 輔助計算!$F$2:$F$801, 0)+1)))), "")</f>
        <v/>
      </c>
      <c r="E724" s="10">
        <f>IFERROR(IF(INDEX(ERP資料!$F:$F, (MATCH(723, 輔助計算!$F$2:$F$801, 0)+1))="","",INDEX(ERP資料!$F:$F, (MATCH(723, 輔助計算!$F$2:$F$801, 0)+1))), "")</f>
        <v/>
      </c>
      <c r="F724" s="10">
        <f>IFERROR(IF(INDEX(ERP資料!$G:$G, (MATCH(723, 輔助計算!$F$2:$F$801, 0)+1))="","",INDEX(ERP資料!$G:$G, (MATCH(723, 輔助計算!$F$2:$F$801, 0)+1))), "")</f>
        <v/>
      </c>
      <c r="G724" s="10">
        <f>IFERROR(IF(INDEX(ERP資料!$H:$H, (MATCH(723, 輔助計算!$F$2:$F$801, 0)+1))="","",INDEX(ERP資料!$H:$H, (MATCH(723, 輔助計算!$F$2:$F$801, 0)+1))), "")</f>
        <v/>
      </c>
      <c r="H724" s="10">
        <f>IFERROR(IF(INDEX(ERP資料!$O:$O, (MATCH(723, 輔助計算!$F$2:$F$801, 0)+1))="","",INDEX(ERP資料!$O:$O, (MATCH(723, 輔助計算!$F$2:$F$801, 0)+1))), "")</f>
        <v/>
      </c>
      <c r="I724" s="15">
        <f>IFERROR(IF(INDEX(輔助計算!$D:$D,(MATCH(723, 輔助計算!$F$2:$F$801, 0)+1))="","",INDEX(輔助計算!$D:$D,(MATCH(723, 輔助計算!$F$2:$F$801, 0)+1))*INDEX(ERP資料!$O:$O,(MATCH(723, 輔助計算!$F$2:$F$801, 0)+1))), "")</f>
        <v/>
      </c>
      <c r="J724" s="16" t="n"/>
      <c r="K724" s="15">
        <f>IFERROR(INDEX(輔助計算!$D:$D, (MATCH(723, 輔助計算!$F$2:$F$801, 0)+1)), "")</f>
        <v/>
      </c>
      <c r="L724" s="16">
        <f>IFERROR(IF(AND(IFERROR(VLOOKUP(LEFT(INDEX(ERP資料!$S:$S, (MATCH(723, 輔助計算!$F$2:$F$801, 0)+1)), 4), 100張客戶!$A:$A, 1, FALSE), "")&lt;&gt;"", OR(INDEX(ERP資料!$F:$F, (MATCH(723, 輔助計算!$F$2:$F$801, 0)+1))=270, INDEX(ERP資料!$F:$F, (MATCH(723, 輔助計算!$F$2:$F$801, 0)+1))=300)), "100張", ""), "")</f>
        <v/>
      </c>
      <c r="M724" s="17" t="n"/>
      <c r="N724" s="17">
        <f>IF($F724="","",$F724)</f>
        <v/>
      </c>
      <c r="O724" s="17">
        <f>IF($G724="","",$G724)</f>
        <v/>
      </c>
      <c r="P724" s="17">
        <f>IF($K724="","",$K724)</f>
        <v/>
      </c>
      <c r="Q724" s="16" t="n"/>
      <c r="R724" s="18" t="n"/>
      <c r="S724" s="16" t="n"/>
    </row>
    <row r="725">
      <c r="A725" s="14">
        <f>IFERROR(IF(AND(IFERROR(INDEX(ERP資料!$A:$A, (MATCH(724, 輔助計算!$F$2:$F$801, 0)+1)), "")&lt;&gt;"", IFERROR(INDEX(ERP資料!$A:$A, (MATCH(724, 輔助計算!$F$2:$F$801, 0)+1)), "")&lt;&gt;IFERROR(INDEX(ERP資料!$A:$A, MATCH(723, 輔助計算!$F$2:$F$801, 0)+1), "")), INDEX(ERP資料!$B:$B, (MATCH(724, 輔助計算!$F$2:$F$801, 0)+1)), ""), "")</f>
        <v/>
      </c>
      <c r="B725" s="10">
        <f>IFERROR(IF(AND(IFERROR(INDEX(ERP資料!$A:$A, (MATCH(724, 輔助計算!$F$2:$F$801, 0)+1)), "")&lt;&gt;"", IFERROR(INDEX(ERP資料!$A:$A, (MATCH(724, 輔助計算!$F$2:$F$801, 0)+1)), "")&lt;&gt;IFERROR(INDEX(ERP資料!$A:$A, MATCH(723, 輔助計算!$F$2:$F$801, 0)+1), "")), IFERROR(INDEX(ERP資料!$A:$A, (MATCH(724, 輔助計算!$F$2:$F$801, 0)+1)), ""), ""), "")</f>
        <v/>
      </c>
      <c r="C725" s="10">
        <f>IFERROR(IF(AND(IFERROR(INDEX(ERP資料!$A:$A, (MATCH(724, 輔助計算!$F$2:$F$801, 0)+1)), "")&lt;&gt;"", IFERROR(INDEX(ERP資料!$A:$A, (MATCH(724, 輔助計算!$F$2:$F$801, 0)+1)), "")&lt;&gt;IFERROR(INDEX(ERP資料!$A:$A, MATCH(723, 輔助計算!$F$2:$F$801, 0)+1), "")), INDEX(ERP資料!$S:$S, (MATCH(724, 輔助計算!$F$2:$F$801, 0)+1)), ""), "")</f>
        <v/>
      </c>
      <c r="D725" s="10">
        <f>IFERROR(IF(INDEX(ERP資料!$E:$E, (MATCH(724, 輔助計算!$F$2:$F$801, 0)+1))="","",TRIM(INDEX(ERP資料!$E:$E, (MATCH(724, 輔助計算!$F$2:$F$801, 0)+1)))), "")</f>
        <v/>
      </c>
      <c r="E725" s="10">
        <f>IFERROR(IF(INDEX(ERP資料!$F:$F, (MATCH(724, 輔助計算!$F$2:$F$801, 0)+1))="","",INDEX(ERP資料!$F:$F, (MATCH(724, 輔助計算!$F$2:$F$801, 0)+1))), "")</f>
        <v/>
      </c>
      <c r="F725" s="10">
        <f>IFERROR(IF(INDEX(ERP資料!$G:$G, (MATCH(724, 輔助計算!$F$2:$F$801, 0)+1))="","",INDEX(ERP資料!$G:$G, (MATCH(724, 輔助計算!$F$2:$F$801, 0)+1))), "")</f>
        <v/>
      </c>
      <c r="G725" s="10">
        <f>IFERROR(IF(INDEX(ERP資料!$H:$H, (MATCH(724, 輔助計算!$F$2:$F$801, 0)+1))="","",INDEX(ERP資料!$H:$H, (MATCH(724, 輔助計算!$F$2:$F$801, 0)+1))), "")</f>
        <v/>
      </c>
      <c r="H725" s="10">
        <f>IFERROR(IF(INDEX(ERP資料!$O:$O, (MATCH(724, 輔助計算!$F$2:$F$801, 0)+1))="","",INDEX(ERP資料!$O:$O, (MATCH(724, 輔助計算!$F$2:$F$801, 0)+1))), "")</f>
        <v/>
      </c>
      <c r="I725" s="15">
        <f>IFERROR(IF(INDEX(輔助計算!$D:$D,(MATCH(724, 輔助計算!$F$2:$F$801, 0)+1))="","",INDEX(輔助計算!$D:$D,(MATCH(724, 輔助計算!$F$2:$F$801, 0)+1))*INDEX(ERP資料!$O:$O,(MATCH(724, 輔助計算!$F$2:$F$801, 0)+1))), "")</f>
        <v/>
      </c>
      <c r="J725" s="16" t="n"/>
      <c r="K725" s="15">
        <f>IFERROR(INDEX(輔助計算!$D:$D, (MATCH(724, 輔助計算!$F$2:$F$801, 0)+1)), "")</f>
        <v/>
      </c>
      <c r="L725" s="16">
        <f>IFERROR(IF(AND(IFERROR(VLOOKUP(LEFT(INDEX(ERP資料!$S:$S, (MATCH(724, 輔助計算!$F$2:$F$801, 0)+1)), 4), 100張客戶!$A:$A, 1, FALSE), "")&lt;&gt;"", OR(INDEX(ERP資料!$F:$F, (MATCH(724, 輔助計算!$F$2:$F$801, 0)+1))=270, INDEX(ERP資料!$F:$F, (MATCH(724, 輔助計算!$F$2:$F$801, 0)+1))=300)), "100張", ""), "")</f>
        <v/>
      </c>
      <c r="M725" s="17" t="n"/>
      <c r="N725" s="17">
        <f>IF($F725="","",$F725)</f>
        <v/>
      </c>
      <c r="O725" s="17">
        <f>IF($G725="","",$G725)</f>
        <v/>
      </c>
      <c r="P725" s="17">
        <f>IF($K725="","",$K725)</f>
        <v/>
      </c>
      <c r="Q725" s="16" t="n"/>
      <c r="R725" s="18" t="n"/>
      <c r="S725" s="16" t="n"/>
    </row>
    <row r="726">
      <c r="A726" s="14">
        <f>IFERROR(IF(AND(IFERROR(INDEX(ERP資料!$A:$A, (MATCH(725, 輔助計算!$F$2:$F$801, 0)+1)), "")&lt;&gt;"", IFERROR(INDEX(ERP資料!$A:$A, (MATCH(725, 輔助計算!$F$2:$F$801, 0)+1)), "")&lt;&gt;IFERROR(INDEX(ERP資料!$A:$A, MATCH(724, 輔助計算!$F$2:$F$801, 0)+1), "")), INDEX(ERP資料!$B:$B, (MATCH(725, 輔助計算!$F$2:$F$801, 0)+1)), ""), "")</f>
        <v/>
      </c>
      <c r="B726" s="10">
        <f>IFERROR(IF(AND(IFERROR(INDEX(ERP資料!$A:$A, (MATCH(725, 輔助計算!$F$2:$F$801, 0)+1)), "")&lt;&gt;"", IFERROR(INDEX(ERP資料!$A:$A, (MATCH(725, 輔助計算!$F$2:$F$801, 0)+1)), "")&lt;&gt;IFERROR(INDEX(ERP資料!$A:$A, MATCH(724, 輔助計算!$F$2:$F$801, 0)+1), "")), IFERROR(INDEX(ERP資料!$A:$A, (MATCH(725, 輔助計算!$F$2:$F$801, 0)+1)), ""), ""), "")</f>
        <v/>
      </c>
      <c r="C726" s="10">
        <f>IFERROR(IF(AND(IFERROR(INDEX(ERP資料!$A:$A, (MATCH(725, 輔助計算!$F$2:$F$801, 0)+1)), "")&lt;&gt;"", IFERROR(INDEX(ERP資料!$A:$A, (MATCH(725, 輔助計算!$F$2:$F$801, 0)+1)), "")&lt;&gt;IFERROR(INDEX(ERP資料!$A:$A, MATCH(724, 輔助計算!$F$2:$F$801, 0)+1), "")), INDEX(ERP資料!$S:$S, (MATCH(725, 輔助計算!$F$2:$F$801, 0)+1)), ""), "")</f>
        <v/>
      </c>
      <c r="D726" s="10">
        <f>IFERROR(IF(INDEX(ERP資料!$E:$E, (MATCH(725, 輔助計算!$F$2:$F$801, 0)+1))="","",TRIM(INDEX(ERP資料!$E:$E, (MATCH(725, 輔助計算!$F$2:$F$801, 0)+1)))), "")</f>
        <v/>
      </c>
      <c r="E726" s="10">
        <f>IFERROR(IF(INDEX(ERP資料!$F:$F, (MATCH(725, 輔助計算!$F$2:$F$801, 0)+1))="","",INDEX(ERP資料!$F:$F, (MATCH(725, 輔助計算!$F$2:$F$801, 0)+1))), "")</f>
        <v/>
      </c>
      <c r="F726" s="10">
        <f>IFERROR(IF(INDEX(ERP資料!$G:$G, (MATCH(725, 輔助計算!$F$2:$F$801, 0)+1))="","",INDEX(ERP資料!$G:$G, (MATCH(725, 輔助計算!$F$2:$F$801, 0)+1))), "")</f>
        <v/>
      </c>
      <c r="G726" s="10">
        <f>IFERROR(IF(INDEX(ERP資料!$H:$H, (MATCH(725, 輔助計算!$F$2:$F$801, 0)+1))="","",INDEX(ERP資料!$H:$H, (MATCH(725, 輔助計算!$F$2:$F$801, 0)+1))), "")</f>
        <v/>
      </c>
      <c r="H726" s="10">
        <f>IFERROR(IF(INDEX(ERP資料!$O:$O, (MATCH(725, 輔助計算!$F$2:$F$801, 0)+1))="","",INDEX(ERP資料!$O:$O, (MATCH(725, 輔助計算!$F$2:$F$801, 0)+1))), "")</f>
        <v/>
      </c>
      <c r="I726" s="15">
        <f>IFERROR(IF(INDEX(輔助計算!$D:$D,(MATCH(725, 輔助計算!$F$2:$F$801, 0)+1))="","",INDEX(輔助計算!$D:$D,(MATCH(725, 輔助計算!$F$2:$F$801, 0)+1))*INDEX(ERP資料!$O:$O,(MATCH(725, 輔助計算!$F$2:$F$801, 0)+1))), "")</f>
        <v/>
      </c>
      <c r="J726" s="16" t="n"/>
      <c r="K726" s="15">
        <f>IFERROR(INDEX(輔助計算!$D:$D, (MATCH(725, 輔助計算!$F$2:$F$801, 0)+1)), "")</f>
        <v/>
      </c>
      <c r="L726" s="16">
        <f>IFERROR(IF(AND(IFERROR(VLOOKUP(LEFT(INDEX(ERP資料!$S:$S, (MATCH(725, 輔助計算!$F$2:$F$801, 0)+1)), 4), 100張客戶!$A:$A, 1, FALSE), "")&lt;&gt;"", OR(INDEX(ERP資料!$F:$F, (MATCH(725, 輔助計算!$F$2:$F$801, 0)+1))=270, INDEX(ERP資料!$F:$F, (MATCH(725, 輔助計算!$F$2:$F$801, 0)+1))=300)), "100張", ""), "")</f>
        <v/>
      </c>
      <c r="M726" s="17" t="n"/>
      <c r="N726" s="17">
        <f>IF($F726="","",$F726)</f>
        <v/>
      </c>
      <c r="O726" s="17">
        <f>IF($G726="","",$G726)</f>
        <v/>
      </c>
      <c r="P726" s="17">
        <f>IF($K726="","",$K726)</f>
        <v/>
      </c>
      <c r="Q726" s="16" t="n"/>
      <c r="R726" s="18" t="n"/>
      <c r="S726" s="16" t="n"/>
    </row>
    <row r="727">
      <c r="A727" s="14">
        <f>IFERROR(IF(AND(IFERROR(INDEX(ERP資料!$A:$A, (MATCH(726, 輔助計算!$F$2:$F$801, 0)+1)), "")&lt;&gt;"", IFERROR(INDEX(ERP資料!$A:$A, (MATCH(726, 輔助計算!$F$2:$F$801, 0)+1)), "")&lt;&gt;IFERROR(INDEX(ERP資料!$A:$A, MATCH(725, 輔助計算!$F$2:$F$801, 0)+1), "")), INDEX(ERP資料!$B:$B, (MATCH(726, 輔助計算!$F$2:$F$801, 0)+1)), ""), "")</f>
        <v/>
      </c>
      <c r="B727" s="10">
        <f>IFERROR(IF(AND(IFERROR(INDEX(ERP資料!$A:$A, (MATCH(726, 輔助計算!$F$2:$F$801, 0)+1)), "")&lt;&gt;"", IFERROR(INDEX(ERP資料!$A:$A, (MATCH(726, 輔助計算!$F$2:$F$801, 0)+1)), "")&lt;&gt;IFERROR(INDEX(ERP資料!$A:$A, MATCH(725, 輔助計算!$F$2:$F$801, 0)+1), "")), IFERROR(INDEX(ERP資料!$A:$A, (MATCH(726, 輔助計算!$F$2:$F$801, 0)+1)), ""), ""), "")</f>
        <v/>
      </c>
      <c r="C727" s="10">
        <f>IFERROR(IF(AND(IFERROR(INDEX(ERP資料!$A:$A, (MATCH(726, 輔助計算!$F$2:$F$801, 0)+1)), "")&lt;&gt;"", IFERROR(INDEX(ERP資料!$A:$A, (MATCH(726, 輔助計算!$F$2:$F$801, 0)+1)), "")&lt;&gt;IFERROR(INDEX(ERP資料!$A:$A, MATCH(725, 輔助計算!$F$2:$F$801, 0)+1), "")), INDEX(ERP資料!$S:$S, (MATCH(726, 輔助計算!$F$2:$F$801, 0)+1)), ""), "")</f>
        <v/>
      </c>
      <c r="D727" s="10">
        <f>IFERROR(IF(INDEX(ERP資料!$E:$E, (MATCH(726, 輔助計算!$F$2:$F$801, 0)+1))="","",TRIM(INDEX(ERP資料!$E:$E, (MATCH(726, 輔助計算!$F$2:$F$801, 0)+1)))), "")</f>
        <v/>
      </c>
      <c r="E727" s="10">
        <f>IFERROR(IF(INDEX(ERP資料!$F:$F, (MATCH(726, 輔助計算!$F$2:$F$801, 0)+1))="","",INDEX(ERP資料!$F:$F, (MATCH(726, 輔助計算!$F$2:$F$801, 0)+1))), "")</f>
        <v/>
      </c>
      <c r="F727" s="10">
        <f>IFERROR(IF(INDEX(ERP資料!$G:$G, (MATCH(726, 輔助計算!$F$2:$F$801, 0)+1))="","",INDEX(ERP資料!$G:$G, (MATCH(726, 輔助計算!$F$2:$F$801, 0)+1))), "")</f>
        <v/>
      </c>
      <c r="G727" s="10">
        <f>IFERROR(IF(INDEX(ERP資料!$H:$H, (MATCH(726, 輔助計算!$F$2:$F$801, 0)+1))="","",INDEX(ERP資料!$H:$H, (MATCH(726, 輔助計算!$F$2:$F$801, 0)+1))), "")</f>
        <v/>
      </c>
      <c r="H727" s="10">
        <f>IFERROR(IF(INDEX(ERP資料!$O:$O, (MATCH(726, 輔助計算!$F$2:$F$801, 0)+1))="","",INDEX(ERP資料!$O:$O, (MATCH(726, 輔助計算!$F$2:$F$801, 0)+1))), "")</f>
        <v/>
      </c>
      <c r="I727" s="15">
        <f>IFERROR(IF(INDEX(輔助計算!$D:$D,(MATCH(726, 輔助計算!$F$2:$F$801, 0)+1))="","",INDEX(輔助計算!$D:$D,(MATCH(726, 輔助計算!$F$2:$F$801, 0)+1))*INDEX(ERP資料!$O:$O,(MATCH(726, 輔助計算!$F$2:$F$801, 0)+1))), "")</f>
        <v/>
      </c>
      <c r="J727" s="16" t="n"/>
      <c r="K727" s="15">
        <f>IFERROR(INDEX(輔助計算!$D:$D, (MATCH(726, 輔助計算!$F$2:$F$801, 0)+1)), "")</f>
        <v/>
      </c>
      <c r="L727" s="16">
        <f>IFERROR(IF(AND(IFERROR(VLOOKUP(LEFT(INDEX(ERP資料!$S:$S, (MATCH(726, 輔助計算!$F$2:$F$801, 0)+1)), 4), 100張客戶!$A:$A, 1, FALSE), "")&lt;&gt;"", OR(INDEX(ERP資料!$F:$F, (MATCH(726, 輔助計算!$F$2:$F$801, 0)+1))=270, INDEX(ERP資料!$F:$F, (MATCH(726, 輔助計算!$F$2:$F$801, 0)+1))=300)), "100張", ""), "")</f>
        <v/>
      </c>
      <c r="M727" s="17" t="n"/>
      <c r="N727" s="17">
        <f>IF($F727="","",$F727)</f>
        <v/>
      </c>
      <c r="O727" s="17">
        <f>IF($G727="","",$G727)</f>
        <v/>
      </c>
      <c r="P727" s="17">
        <f>IF($K727="","",$K727)</f>
        <v/>
      </c>
      <c r="Q727" s="16" t="n"/>
      <c r="R727" s="18" t="n"/>
      <c r="S727" s="16" t="n"/>
    </row>
    <row r="728">
      <c r="A728" s="14">
        <f>IFERROR(IF(AND(IFERROR(INDEX(ERP資料!$A:$A, (MATCH(727, 輔助計算!$F$2:$F$801, 0)+1)), "")&lt;&gt;"", IFERROR(INDEX(ERP資料!$A:$A, (MATCH(727, 輔助計算!$F$2:$F$801, 0)+1)), "")&lt;&gt;IFERROR(INDEX(ERP資料!$A:$A, MATCH(726, 輔助計算!$F$2:$F$801, 0)+1), "")), INDEX(ERP資料!$B:$B, (MATCH(727, 輔助計算!$F$2:$F$801, 0)+1)), ""), "")</f>
        <v/>
      </c>
      <c r="B728" s="10">
        <f>IFERROR(IF(AND(IFERROR(INDEX(ERP資料!$A:$A, (MATCH(727, 輔助計算!$F$2:$F$801, 0)+1)), "")&lt;&gt;"", IFERROR(INDEX(ERP資料!$A:$A, (MATCH(727, 輔助計算!$F$2:$F$801, 0)+1)), "")&lt;&gt;IFERROR(INDEX(ERP資料!$A:$A, MATCH(726, 輔助計算!$F$2:$F$801, 0)+1), "")), IFERROR(INDEX(ERP資料!$A:$A, (MATCH(727, 輔助計算!$F$2:$F$801, 0)+1)), ""), ""), "")</f>
        <v/>
      </c>
      <c r="C728" s="10">
        <f>IFERROR(IF(AND(IFERROR(INDEX(ERP資料!$A:$A, (MATCH(727, 輔助計算!$F$2:$F$801, 0)+1)), "")&lt;&gt;"", IFERROR(INDEX(ERP資料!$A:$A, (MATCH(727, 輔助計算!$F$2:$F$801, 0)+1)), "")&lt;&gt;IFERROR(INDEX(ERP資料!$A:$A, MATCH(726, 輔助計算!$F$2:$F$801, 0)+1), "")), INDEX(ERP資料!$S:$S, (MATCH(727, 輔助計算!$F$2:$F$801, 0)+1)), ""), "")</f>
        <v/>
      </c>
      <c r="D728" s="10">
        <f>IFERROR(IF(INDEX(ERP資料!$E:$E, (MATCH(727, 輔助計算!$F$2:$F$801, 0)+1))="","",TRIM(INDEX(ERP資料!$E:$E, (MATCH(727, 輔助計算!$F$2:$F$801, 0)+1)))), "")</f>
        <v/>
      </c>
      <c r="E728" s="10">
        <f>IFERROR(IF(INDEX(ERP資料!$F:$F, (MATCH(727, 輔助計算!$F$2:$F$801, 0)+1))="","",INDEX(ERP資料!$F:$F, (MATCH(727, 輔助計算!$F$2:$F$801, 0)+1))), "")</f>
        <v/>
      </c>
      <c r="F728" s="10">
        <f>IFERROR(IF(INDEX(ERP資料!$G:$G, (MATCH(727, 輔助計算!$F$2:$F$801, 0)+1))="","",INDEX(ERP資料!$G:$G, (MATCH(727, 輔助計算!$F$2:$F$801, 0)+1))), "")</f>
        <v/>
      </c>
      <c r="G728" s="10">
        <f>IFERROR(IF(INDEX(ERP資料!$H:$H, (MATCH(727, 輔助計算!$F$2:$F$801, 0)+1))="","",INDEX(ERP資料!$H:$H, (MATCH(727, 輔助計算!$F$2:$F$801, 0)+1))), "")</f>
        <v/>
      </c>
      <c r="H728" s="10">
        <f>IFERROR(IF(INDEX(ERP資料!$O:$O, (MATCH(727, 輔助計算!$F$2:$F$801, 0)+1))="","",INDEX(ERP資料!$O:$O, (MATCH(727, 輔助計算!$F$2:$F$801, 0)+1))), "")</f>
        <v/>
      </c>
      <c r="I728" s="15">
        <f>IFERROR(IF(INDEX(輔助計算!$D:$D,(MATCH(727, 輔助計算!$F$2:$F$801, 0)+1))="","",INDEX(輔助計算!$D:$D,(MATCH(727, 輔助計算!$F$2:$F$801, 0)+1))*INDEX(ERP資料!$O:$O,(MATCH(727, 輔助計算!$F$2:$F$801, 0)+1))), "")</f>
        <v/>
      </c>
      <c r="J728" s="16" t="n"/>
      <c r="K728" s="15">
        <f>IFERROR(INDEX(輔助計算!$D:$D, (MATCH(727, 輔助計算!$F$2:$F$801, 0)+1)), "")</f>
        <v/>
      </c>
      <c r="L728" s="16">
        <f>IFERROR(IF(AND(IFERROR(VLOOKUP(LEFT(INDEX(ERP資料!$S:$S, (MATCH(727, 輔助計算!$F$2:$F$801, 0)+1)), 4), 100張客戶!$A:$A, 1, FALSE), "")&lt;&gt;"", OR(INDEX(ERP資料!$F:$F, (MATCH(727, 輔助計算!$F$2:$F$801, 0)+1))=270, INDEX(ERP資料!$F:$F, (MATCH(727, 輔助計算!$F$2:$F$801, 0)+1))=300)), "100張", ""), "")</f>
        <v/>
      </c>
      <c r="M728" s="17" t="n"/>
      <c r="N728" s="17">
        <f>IF($F728="","",$F728)</f>
        <v/>
      </c>
      <c r="O728" s="17">
        <f>IF($G728="","",$G728)</f>
        <v/>
      </c>
      <c r="P728" s="17">
        <f>IF($K728="","",$K728)</f>
        <v/>
      </c>
      <c r="Q728" s="16" t="n"/>
      <c r="R728" s="18" t="n"/>
      <c r="S728" s="16" t="n"/>
    </row>
    <row r="729">
      <c r="A729" s="14">
        <f>IFERROR(IF(AND(IFERROR(INDEX(ERP資料!$A:$A, (MATCH(728, 輔助計算!$F$2:$F$801, 0)+1)), "")&lt;&gt;"", IFERROR(INDEX(ERP資料!$A:$A, (MATCH(728, 輔助計算!$F$2:$F$801, 0)+1)), "")&lt;&gt;IFERROR(INDEX(ERP資料!$A:$A, MATCH(727, 輔助計算!$F$2:$F$801, 0)+1), "")), INDEX(ERP資料!$B:$B, (MATCH(728, 輔助計算!$F$2:$F$801, 0)+1)), ""), "")</f>
        <v/>
      </c>
      <c r="B729" s="10">
        <f>IFERROR(IF(AND(IFERROR(INDEX(ERP資料!$A:$A, (MATCH(728, 輔助計算!$F$2:$F$801, 0)+1)), "")&lt;&gt;"", IFERROR(INDEX(ERP資料!$A:$A, (MATCH(728, 輔助計算!$F$2:$F$801, 0)+1)), "")&lt;&gt;IFERROR(INDEX(ERP資料!$A:$A, MATCH(727, 輔助計算!$F$2:$F$801, 0)+1), "")), IFERROR(INDEX(ERP資料!$A:$A, (MATCH(728, 輔助計算!$F$2:$F$801, 0)+1)), ""), ""), "")</f>
        <v/>
      </c>
      <c r="C729" s="10">
        <f>IFERROR(IF(AND(IFERROR(INDEX(ERP資料!$A:$A, (MATCH(728, 輔助計算!$F$2:$F$801, 0)+1)), "")&lt;&gt;"", IFERROR(INDEX(ERP資料!$A:$A, (MATCH(728, 輔助計算!$F$2:$F$801, 0)+1)), "")&lt;&gt;IFERROR(INDEX(ERP資料!$A:$A, MATCH(727, 輔助計算!$F$2:$F$801, 0)+1), "")), INDEX(ERP資料!$S:$S, (MATCH(728, 輔助計算!$F$2:$F$801, 0)+1)), ""), "")</f>
        <v/>
      </c>
      <c r="D729" s="10">
        <f>IFERROR(IF(INDEX(ERP資料!$E:$E, (MATCH(728, 輔助計算!$F$2:$F$801, 0)+1))="","",TRIM(INDEX(ERP資料!$E:$E, (MATCH(728, 輔助計算!$F$2:$F$801, 0)+1)))), "")</f>
        <v/>
      </c>
      <c r="E729" s="10">
        <f>IFERROR(IF(INDEX(ERP資料!$F:$F, (MATCH(728, 輔助計算!$F$2:$F$801, 0)+1))="","",INDEX(ERP資料!$F:$F, (MATCH(728, 輔助計算!$F$2:$F$801, 0)+1))), "")</f>
        <v/>
      </c>
      <c r="F729" s="10">
        <f>IFERROR(IF(INDEX(ERP資料!$G:$G, (MATCH(728, 輔助計算!$F$2:$F$801, 0)+1))="","",INDEX(ERP資料!$G:$G, (MATCH(728, 輔助計算!$F$2:$F$801, 0)+1))), "")</f>
        <v/>
      </c>
      <c r="G729" s="10">
        <f>IFERROR(IF(INDEX(ERP資料!$H:$H, (MATCH(728, 輔助計算!$F$2:$F$801, 0)+1))="","",INDEX(ERP資料!$H:$H, (MATCH(728, 輔助計算!$F$2:$F$801, 0)+1))), "")</f>
        <v/>
      </c>
      <c r="H729" s="10">
        <f>IFERROR(IF(INDEX(ERP資料!$O:$O, (MATCH(728, 輔助計算!$F$2:$F$801, 0)+1))="","",INDEX(ERP資料!$O:$O, (MATCH(728, 輔助計算!$F$2:$F$801, 0)+1))), "")</f>
        <v/>
      </c>
      <c r="I729" s="15">
        <f>IFERROR(IF(INDEX(輔助計算!$D:$D,(MATCH(728, 輔助計算!$F$2:$F$801, 0)+1))="","",INDEX(輔助計算!$D:$D,(MATCH(728, 輔助計算!$F$2:$F$801, 0)+1))*INDEX(ERP資料!$O:$O,(MATCH(728, 輔助計算!$F$2:$F$801, 0)+1))), "")</f>
        <v/>
      </c>
      <c r="J729" s="16" t="n"/>
      <c r="K729" s="15">
        <f>IFERROR(INDEX(輔助計算!$D:$D, (MATCH(728, 輔助計算!$F$2:$F$801, 0)+1)), "")</f>
        <v/>
      </c>
      <c r="L729" s="16">
        <f>IFERROR(IF(AND(IFERROR(VLOOKUP(LEFT(INDEX(ERP資料!$S:$S, (MATCH(728, 輔助計算!$F$2:$F$801, 0)+1)), 4), 100張客戶!$A:$A, 1, FALSE), "")&lt;&gt;"", OR(INDEX(ERP資料!$F:$F, (MATCH(728, 輔助計算!$F$2:$F$801, 0)+1))=270, INDEX(ERP資料!$F:$F, (MATCH(728, 輔助計算!$F$2:$F$801, 0)+1))=300)), "100張", ""), "")</f>
        <v/>
      </c>
      <c r="M729" s="17" t="n"/>
      <c r="N729" s="17">
        <f>IF($F729="","",$F729)</f>
        <v/>
      </c>
      <c r="O729" s="17">
        <f>IF($G729="","",$G729)</f>
        <v/>
      </c>
      <c r="P729" s="17">
        <f>IF($K729="","",$K729)</f>
        <v/>
      </c>
      <c r="Q729" s="16" t="n"/>
      <c r="R729" s="18" t="n"/>
      <c r="S729" s="16" t="n"/>
    </row>
    <row r="730">
      <c r="A730" s="14">
        <f>IFERROR(IF(AND(IFERROR(INDEX(ERP資料!$A:$A, (MATCH(729, 輔助計算!$F$2:$F$801, 0)+1)), "")&lt;&gt;"", IFERROR(INDEX(ERP資料!$A:$A, (MATCH(729, 輔助計算!$F$2:$F$801, 0)+1)), "")&lt;&gt;IFERROR(INDEX(ERP資料!$A:$A, MATCH(728, 輔助計算!$F$2:$F$801, 0)+1), "")), INDEX(ERP資料!$B:$B, (MATCH(729, 輔助計算!$F$2:$F$801, 0)+1)), ""), "")</f>
        <v/>
      </c>
      <c r="B730" s="10">
        <f>IFERROR(IF(AND(IFERROR(INDEX(ERP資料!$A:$A, (MATCH(729, 輔助計算!$F$2:$F$801, 0)+1)), "")&lt;&gt;"", IFERROR(INDEX(ERP資料!$A:$A, (MATCH(729, 輔助計算!$F$2:$F$801, 0)+1)), "")&lt;&gt;IFERROR(INDEX(ERP資料!$A:$A, MATCH(728, 輔助計算!$F$2:$F$801, 0)+1), "")), IFERROR(INDEX(ERP資料!$A:$A, (MATCH(729, 輔助計算!$F$2:$F$801, 0)+1)), ""), ""), "")</f>
        <v/>
      </c>
      <c r="C730" s="10">
        <f>IFERROR(IF(AND(IFERROR(INDEX(ERP資料!$A:$A, (MATCH(729, 輔助計算!$F$2:$F$801, 0)+1)), "")&lt;&gt;"", IFERROR(INDEX(ERP資料!$A:$A, (MATCH(729, 輔助計算!$F$2:$F$801, 0)+1)), "")&lt;&gt;IFERROR(INDEX(ERP資料!$A:$A, MATCH(728, 輔助計算!$F$2:$F$801, 0)+1), "")), INDEX(ERP資料!$S:$S, (MATCH(729, 輔助計算!$F$2:$F$801, 0)+1)), ""), "")</f>
        <v/>
      </c>
      <c r="D730" s="10">
        <f>IFERROR(IF(INDEX(ERP資料!$E:$E, (MATCH(729, 輔助計算!$F$2:$F$801, 0)+1))="","",TRIM(INDEX(ERP資料!$E:$E, (MATCH(729, 輔助計算!$F$2:$F$801, 0)+1)))), "")</f>
        <v/>
      </c>
      <c r="E730" s="10">
        <f>IFERROR(IF(INDEX(ERP資料!$F:$F, (MATCH(729, 輔助計算!$F$2:$F$801, 0)+1))="","",INDEX(ERP資料!$F:$F, (MATCH(729, 輔助計算!$F$2:$F$801, 0)+1))), "")</f>
        <v/>
      </c>
      <c r="F730" s="10">
        <f>IFERROR(IF(INDEX(ERP資料!$G:$G, (MATCH(729, 輔助計算!$F$2:$F$801, 0)+1))="","",INDEX(ERP資料!$G:$G, (MATCH(729, 輔助計算!$F$2:$F$801, 0)+1))), "")</f>
        <v/>
      </c>
      <c r="G730" s="10">
        <f>IFERROR(IF(INDEX(ERP資料!$H:$H, (MATCH(729, 輔助計算!$F$2:$F$801, 0)+1))="","",INDEX(ERP資料!$H:$H, (MATCH(729, 輔助計算!$F$2:$F$801, 0)+1))), "")</f>
        <v/>
      </c>
      <c r="H730" s="10">
        <f>IFERROR(IF(INDEX(ERP資料!$O:$O, (MATCH(729, 輔助計算!$F$2:$F$801, 0)+1))="","",INDEX(ERP資料!$O:$O, (MATCH(729, 輔助計算!$F$2:$F$801, 0)+1))), "")</f>
        <v/>
      </c>
      <c r="I730" s="15">
        <f>IFERROR(IF(INDEX(輔助計算!$D:$D,(MATCH(729, 輔助計算!$F$2:$F$801, 0)+1))="","",INDEX(輔助計算!$D:$D,(MATCH(729, 輔助計算!$F$2:$F$801, 0)+1))*INDEX(ERP資料!$O:$O,(MATCH(729, 輔助計算!$F$2:$F$801, 0)+1))), "")</f>
        <v/>
      </c>
      <c r="J730" s="16" t="n"/>
      <c r="K730" s="15">
        <f>IFERROR(INDEX(輔助計算!$D:$D, (MATCH(729, 輔助計算!$F$2:$F$801, 0)+1)), "")</f>
        <v/>
      </c>
      <c r="L730" s="16">
        <f>IFERROR(IF(AND(IFERROR(VLOOKUP(LEFT(INDEX(ERP資料!$S:$S, (MATCH(729, 輔助計算!$F$2:$F$801, 0)+1)), 4), 100張客戶!$A:$A, 1, FALSE), "")&lt;&gt;"", OR(INDEX(ERP資料!$F:$F, (MATCH(729, 輔助計算!$F$2:$F$801, 0)+1))=270, INDEX(ERP資料!$F:$F, (MATCH(729, 輔助計算!$F$2:$F$801, 0)+1))=300)), "100張", ""), "")</f>
        <v/>
      </c>
      <c r="M730" s="17" t="n"/>
      <c r="N730" s="17">
        <f>IF($F730="","",$F730)</f>
        <v/>
      </c>
      <c r="O730" s="17">
        <f>IF($G730="","",$G730)</f>
        <v/>
      </c>
      <c r="P730" s="17">
        <f>IF($K730="","",$K730)</f>
        <v/>
      </c>
      <c r="Q730" s="16" t="n"/>
      <c r="R730" s="18" t="n"/>
      <c r="S730" s="16" t="n"/>
    </row>
    <row r="731">
      <c r="A731" s="14">
        <f>IFERROR(IF(AND(IFERROR(INDEX(ERP資料!$A:$A, (MATCH(730, 輔助計算!$F$2:$F$801, 0)+1)), "")&lt;&gt;"", IFERROR(INDEX(ERP資料!$A:$A, (MATCH(730, 輔助計算!$F$2:$F$801, 0)+1)), "")&lt;&gt;IFERROR(INDEX(ERP資料!$A:$A, MATCH(729, 輔助計算!$F$2:$F$801, 0)+1), "")), INDEX(ERP資料!$B:$B, (MATCH(730, 輔助計算!$F$2:$F$801, 0)+1)), ""), "")</f>
        <v/>
      </c>
      <c r="B731" s="10">
        <f>IFERROR(IF(AND(IFERROR(INDEX(ERP資料!$A:$A, (MATCH(730, 輔助計算!$F$2:$F$801, 0)+1)), "")&lt;&gt;"", IFERROR(INDEX(ERP資料!$A:$A, (MATCH(730, 輔助計算!$F$2:$F$801, 0)+1)), "")&lt;&gt;IFERROR(INDEX(ERP資料!$A:$A, MATCH(729, 輔助計算!$F$2:$F$801, 0)+1), "")), IFERROR(INDEX(ERP資料!$A:$A, (MATCH(730, 輔助計算!$F$2:$F$801, 0)+1)), ""), ""), "")</f>
        <v/>
      </c>
      <c r="C731" s="10">
        <f>IFERROR(IF(AND(IFERROR(INDEX(ERP資料!$A:$A, (MATCH(730, 輔助計算!$F$2:$F$801, 0)+1)), "")&lt;&gt;"", IFERROR(INDEX(ERP資料!$A:$A, (MATCH(730, 輔助計算!$F$2:$F$801, 0)+1)), "")&lt;&gt;IFERROR(INDEX(ERP資料!$A:$A, MATCH(729, 輔助計算!$F$2:$F$801, 0)+1), "")), INDEX(ERP資料!$S:$S, (MATCH(730, 輔助計算!$F$2:$F$801, 0)+1)), ""), "")</f>
        <v/>
      </c>
      <c r="D731" s="10">
        <f>IFERROR(IF(INDEX(ERP資料!$E:$E, (MATCH(730, 輔助計算!$F$2:$F$801, 0)+1))="","",TRIM(INDEX(ERP資料!$E:$E, (MATCH(730, 輔助計算!$F$2:$F$801, 0)+1)))), "")</f>
        <v/>
      </c>
      <c r="E731" s="10">
        <f>IFERROR(IF(INDEX(ERP資料!$F:$F, (MATCH(730, 輔助計算!$F$2:$F$801, 0)+1))="","",INDEX(ERP資料!$F:$F, (MATCH(730, 輔助計算!$F$2:$F$801, 0)+1))), "")</f>
        <v/>
      </c>
      <c r="F731" s="10">
        <f>IFERROR(IF(INDEX(ERP資料!$G:$G, (MATCH(730, 輔助計算!$F$2:$F$801, 0)+1))="","",INDEX(ERP資料!$G:$G, (MATCH(730, 輔助計算!$F$2:$F$801, 0)+1))), "")</f>
        <v/>
      </c>
      <c r="G731" s="10">
        <f>IFERROR(IF(INDEX(ERP資料!$H:$H, (MATCH(730, 輔助計算!$F$2:$F$801, 0)+1))="","",INDEX(ERP資料!$H:$H, (MATCH(730, 輔助計算!$F$2:$F$801, 0)+1))), "")</f>
        <v/>
      </c>
      <c r="H731" s="10">
        <f>IFERROR(IF(INDEX(ERP資料!$O:$O, (MATCH(730, 輔助計算!$F$2:$F$801, 0)+1))="","",INDEX(ERP資料!$O:$O, (MATCH(730, 輔助計算!$F$2:$F$801, 0)+1))), "")</f>
        <v/>
      </c>
      <c r="I731" s="15">
        <f>IFERROR(IF(INDEX(輔助計算!$D:$D,(MATCH(730, 輔助計算!$F$2:$F$801, 0)+1))="","",INDEX(輔助計算!$D:$D,(MATCH(730, 輔助計算!$F$2:$F$801, 0)+1))*INDEX(ERP資料!$O:$O,(MATCH(730, 輔助計算!$F$2:$F$801, 0)+1))), "")</f>
        <v/>
      </c>
      <c r="J731" s="16" t="n"/>
      <c r="K731" s="15">
        <f>IFERROR(INDEX(輔助計算!$D:$D, (MATCH(730, 輔助計算!$F$2:$F$801, 0)+1)), "")</f>
        <v/>
      </c>
      <c r="L731" s="16">
        <f>IFERROR(IF(AND(IFERROR(VLOOKUP(LEFT(INDEX(ERP資料!$S:$S, (MATCH(730, 輔助計算!$F$2:$F$801, 0)+1)), 4), 100張客戶!$A:$A, 1, FALSE), "")&lt;&gt;"", OR(INDEX(ERP資料!$F:$F, (MATCH(730, 輔助計算!$F$2:$F$801, 0)+1))=270, INDEX(ERP資料!$F:$F, (MATCH(730, 輔助計算!$F$2:$F$801, 0)+1))=300)), "100張", ""), "")</f>
        <v/>
      </c>
      <c r="M731" s="17" t="n"/>
      <c r="N731" s="17">
        <f>IF($F731="","",$F731)</f>
        <v/>
      </c>
      <c r="O731" s="17">
        <f>IF($G731="","",$G731)</f>
        <v/>
      </c>
      <c r="P731" s="17">
        <f>IF($K731="","",$K731)</f>
        <v/>
      </c>
      <c r="Q731" s="16" t="n"/>
      <c r="R731" s="18" t="n"/>
      <c r="S731" s="16" t="n"/>
    </row>
    <row r="732">
      <c r="A732" s="14">
        <f>IFERROR(IF(AND(IFERROR(INDEX(ERP資料!$A:$A, (MATCH(731, 輔助計算!$F$2:$F$801, 0)+1)), "")&lt;&gt;"", IFERROR(INDEX(ERP資料!$A:$A, (MATCH(731, 輔助計算!$F$2:$F$801, 0)+1)), "")&lt;&gt;IFERROR(INDEX(ERP資料!$A:$A, MATCH(730, 輔助計算!$F$2:$F$801, 0)+1), "")), INDEX(ERP資料!$B:$B, (MATCH(731, 輔助計算!$F$2:$F$801, 0)+1)), ""), "")</f>
        <v/>
      </c>
      <c r="B732" s="10">
        <f>IFERROR(IF(AND(IFERROR(INDEX(ERP資料!$A:$A, (MATCH(731, 輔助計算!$F$2:$F$801, 0)+1)), "")&lt;&gt;"", IFERROR(INDEX(ERP資料!$A:$A, (MATCH(731, 輔助計算!$F$2:$F$801, 0)+1)), "")&lt;&gt;IFERROR(INDEX(ERP資料!$A:$A, MATCH(730, 輔助計算!$F$2:$F$801, 0)+1), "")), IFERROR(INDEX(ERP資料!$A:$A, (MATCH(731, 輔助計算!$F$2:$F$801, 0)+1)), ""), ""), "")</f>
        <v/>
      </c>
      <c r="C732" s="10">
        <f>IFERROR(IF(AND(IFERROR(INDEX(ERP資料!$A:$A, (MATCH(731, 輔助計算!$F$2:$F$801, 0)+1)), "")&lt;&gt;"", IFERROR(INDEX(ERP資料!$A:$A, (MATCH(731, 輔助計算!$F$2:$F$801, 0)+1)), "")&lt;&gt;IFERROR(INDEX(ERP資料!$A:$A, MATCH(730, 輔助計算!$F$2:$F$801, 0)+1), "")), INDEX(ERP資料!$S:$S, (MATCH(731, 輔助計算!$F$2:$F$801, 0)+1)), ""), "")</f>
        <v/>
      </c>
      <c r="D732" s="10">
        <f>IFERROR(IF(INDEX(ERP資料!$E:$E, (MATCH(731, 輔助計算!$F$2:$F$801, 0)+1))="","",TRIM(INDEX(ERP資料!$E:$E, (MATCH(731, 輔助計算!$F$2:$F$801, 0)+1)))), "")</f>
        <v/>
      </c>
      <c r="E732" s="10">
        <f>IFERROR(IF(INDEX(ERP資料!$F:$F, (MATCH(731, 輔助計算!$F$2:$F$801, 0)+1))="","",INDEX(ERP資料!$F:$F, (MATCH(731, 輔助計算!$F$2:$F$801, 0)+1))), "")</f>
        <v/>
      </c>
      <c r="F732" s="10">
        <f>IFERROR(IF(INDEX(ERP資料!$G:$G, (MATCH(731, 輔助計算!$F$2:$F$801, 0)+1))="","",INDEX(ERP資料!$G:$G, (MATCH(731, 輔助計算!$F$2:$F$801, 0)+1))), "")</f>
        <v/>
      </c>
      <c r="G732" s="10">
        <f>IFERROR(IF(INDEX(ERP資料!$H:$H, (MATCH(731, 輔助計算!$F$2:$F$801, 0)+1))="","",INDEX(ERP資料!$H:$H, (MATCH(731, 輔助計算!$F$2:$F$801, 0)+1))), "")</f>
        <v/>
      </c>
      <c r="H732" s="10">
        <f>IFERROR(IF(INDEX(ERP資料!$O:$O, (MATCH(731, 輔助計算!$F$2:$F$801, 0)+1))="","",INDEX(ERP資料!$O:$O, (MATCH(731, 輔助計算!$F$2:$F$801, 0)+1))), "")</f>
        <v/>
      </c>
      <c r="I732" s="15">
        <f>IFERROR(IF(INDEX(輔助計算!$D:$D,(MATCH(731, 輔助計算!$F$2:$F$801, 0)+1))="","",INDEX(輔助計算!$D:$D,(MATCH(731, 輔助計算!$F$2:$F$801, 0)+1))*INDEX(ERP資料!$O:$O,(MATCH(731, 輔助計算!$F$2:$F$801, 0)+1))), "")</f>
        <v/>
      </c>
      <c r="J732" s="16" t="n"/>
      <c r="K732" s="15">
        <f>IFERROR(INDEX(輔助計算!$D:$D, (MATCH(731, 輔助計算!$F$2:$F$801, 0)+1)), "")</f>
        <v/>
      </c>
      <c r="L732" s="16">
        <f>IFERROR(IF(AND(IFERROR(VLOOKUP(LEFT(INDEX(ERP資料!$S:$S, (MATCH(731, 輔助計算!$F$2:$F$801, 0)+1)), 4), 100張客戶!$A:$A, 1, FALSE), "")&lt;&gt;"", OR(INDEX(ERP資料!$F:$F, (MATCH(731, 輔助計算!$F$2:$F$801, 0)+1))=270, INDEX(ERP資料!$F:$F, (MATCH(731, 輔助計算!$F$2:$F$801, 0)+1))=300)), "100張", ""), "")</f>
        <v/>
      </c>
      <c r="M732" s="17" t="n"/>
      <c r="N732" s="17">
        <f>IF($F732="","",$F732)</f>
        <v/>
      </c>
      <c r="O732" s="17">
        <f>IF($G732="","",$G732)</f>
        <v/>
      </c>
      <c r="P732" s="17">
        <f>IF($K732="","",$K732)</f>
        <v/>
      </c>
      <c r="Q732" s="16" t="n"/>
      <c r="R732" s="18" t="n"/>
      <c r="S732" s="16" t="n"/>
    </row>
    <row r="733">
      <c r="A733" s="14">
        <f>IFERROR(IF(AND(IFERROR(INDEX(ERP資料!$A:$A, (MATCH(732, 輔助計算!$F$2:$F$801, 0)+1)), "")&lt;&gt;"", IFERROR(INDEX(ERP資料!$A:$A, (MATCH(732, 輔助計算!$F$2:$F$801, 0)+1)), "")&lt;&gt;IFERROR(INDEX(ERP資料!$A:$A, MATCH(731, 輔助計算!$F$2:$F$801, 0)+1), "")), INDEX(ERP資料!$B:$B, (MATCH(732, 輔助計算!$F$2:$F$801, 0)+1)), ""), "")</f>
        <v/>
      </c>
      <c r="B733" s="10">
        <f>IFERROR(IF(AND(IFERROR(INDEX(ERP資料!$A:$A, (MATCH(732, 輔助計算!$F$2:$F$801, 0)+1)), "")&lt;&gt;"", IFERROR(INDEX(ERP資料!$A:$A, (MATCH(732, 輔助計算!$F$2:$F$801, 0)+1)), "")&lt;&gt;IFERROR(INDEX(ERP資料!$A:$A, MATCH(731, 輔助計算!$F$2:$F$801, 0)+1), "")), IFERROR(INDEX(ERP資料!$A:$A, (MATCH(732, 輔助計算!$F$2:$F$801, 0)+1)), ""), ""), "")</f>
        <v/>
      </c>
      <c r="C733" s="10">
        <f>IFERROR(IF(AND(IFERROR(INDEX(ERP資料!$A:$A, (MATCH(732, 輔助計算!$F$2:$F$801, 0)+1)), "")&lt;&gt;"", IFERROR(INDEX(ERP資料!$A:$A, (MATCH(732, 輔助計算!$F$2:$F$801, 0)+1)), "")&lt;&gt;IFERROR(INDEX(ERP資料!$A:$A, MATCH(731, 輔助計算!$F$2:$F$801, 0)+1), "")), INDEX(ERP資料!$S:$S, (MATCH(732, 輔助計算!$F$2:$F$801, 0)+1)), ""), "")</f>
        <v/>
      </c>
      <c r="D733" s="10">
        <f>IFERROR(IF(INDEX(ERP資料!$E:$E, (MATCH(732, 輔助計算!$F$2:$F$801, 0)+1))="","",TRIM(INDEX(ERP資料!$E:$E, (MATCH(732, 輔助計算!$F$2:$F$801, 0)+1)))), "")</f>
        <v/>
      </c>
      <c r="E733" s="10">
        <f>IFERROR(IF(INDEX(ERP資料!$F:$F, (MATCH(732, 輔助計算!$F$2:$F$801, 0)+1))="","",INDEX(ERP資料!$F:$F, (MATCH(732, 輔助計算!$F$2:$F$801, 0)+1))), "")</f>
        <v/>
      </c>
      <c r="F733" s="10">
        <f>IFERROR(IF(INDEX(ERP資料!$G:$G, (MATCH(732, 輔助計算!$F$2:$F$801, 0)+1))="","",INDEX(ERP資料!$G:$G, (MATCH(732, 輔助計算!$F$2:$F$801, 0)+1))), "")</f>
        <v/>
      </c>
      <c r="G733" s="10">
        <f>IFERROR(IF(INDEX(ERP資料!$H:$H, (MATCH(732, 輔助計算!$F$2:$F$801, 0)+1))="","",INDEX(ERP資料!$H:$H, (MATCH(732, 輔助計算!$F$2:$F$801, 0)+1))), "")</f>
        <v/>
      </c>
      <c r="H733" s="10">
        <f>IFERROR(IF(INDEX(ERP資料!$O:$O, (MATCH(732, 輔助計算!$F$2:$F$801, 0)+1))="","",INDEX(ERP資料!$O:$O, (MATCH(732, 輔助計算!$F$2:$F$801, 0)+1))), "")</f>
        <v/>
      </c>
      <c r="I733" s="15">
        <f>IFERROR(IF(INDEX(輔助計算!$D:$D,(MATCH(732, 輔助計算!$F$2:$F$801, 0)+1))="","",INDEX(輔助計算!$D:$D,(MATCH(732, 輔助計算!$F$2:$F$801, 0)+1))*INDEX(ERP資料!$O:$O,(MATCH(732, 輔助計算!$F$2:$F$801, 0)+1))), "")</f>
        <v/>
      </c>
      <c r="J733" s="16" t="n"/>
      <c r="K733" s="15">
        <f>IFERROR(INDEX(輔助計算!$D:$D, (MATCH(732, 輔助計算!$F$2:$F$801, 0)+1)), "")</f>
        <v/>
      </c>
      <c r="L733" s="16">
        <f>IFERROR(IF(AND(IFERROR(VLOOKUP(LEFT(INDEX(ERP資料!$S:$S, (MATCH(732, 輔助計算!$F$2:$F$801, 0)+1)), 4), 100張客戶!$A:$A, 1, FALSE), "")&lt;&gt;"", OR(INDEX(ERP資料!$F:$F, (MATCH(732, 輔助計算!$F$2:$F$801, 0)+1))=270, INDEX(ERP資料!$F:$F, (MATCH(732, 輔助計算!$F$2:$F$801, 0)+1))=300)), "100張", ""), "")</f>
        <v/>
      </c>
      <c r="M733" s="17" t="n"/>
      <c r="N733" s="17">
        <f>IF($F733="","",$F733)</f>
        <v/>
      </c>
      <c r="O733" s="17">
        <f>IF($G733="","",$G733)</f>
        <v/>
      </c>
      <c r="P733" s="17">
        <f>IF($K733="","",$K733)</f>
        <v/>
      </c>
      <c r="Q733" s="16" t="n"/>
      <c r="R733" s="18" t="n"/>
      <c r="S733" s="16" t="n"/>
    </row>
    <row r="734">
      <c r="A734" s="14">
        <f>IFERROR(IF(AND(IFERROR(INDEX(ERP資料!$A:$A, (MATCH(733, 輔助計算!$F$2:$F$801, 0)+1)), "")&lt;&gt;"", IFERROR(INDEX(ERP資料!$A:$A, (MATCH(733, 輔助計算!$F$2:$F$801, 0)+1)), "")&lt;&gt;IFERROR(INDEX(ERP資料!$A:$A, MATCH(732, 輔助計算!$F$2:$F$801, 0)+1), "")), INDEX(ERP資料!$B:$B, (MATCH(733, 輔助計算!$F$2:$F$801, 0)+1)), ""), "")</f>
        <v/>
      </c>
      <c r="B734" s="10">
        <f>IFERROR(IF(AND(IFERROR(INDEX(ERP資料!$A:$A, (MATCH(733, 輔助計算!$F$2:$F$801, 0)+1)), "")&lt;&gt;"", IFERROR(INDEX(ERP資料!$A:$A, (MATCH(733, 輔助計算!$F$2:$F$801, 0)+1)), "")&lt;&gt;IFERROR(INDEX(ERP資料!$A:$A, MATCH(732, 輔助計算!$F$2:$F$801, 0)+1), "")), IFERROR(INDEX(ERP資料!$A:$A, (MATCH(733, 輔助計算!$F$2:$F$801, 0)+1)), ""), ""), "")</f>
        <v/>
      </c>
      <c r="C734" s="10">
        <f>IFERROR(IF(AND(IFERROR(INDEX(ERP資料!$A:$A, (MATCH(733, 輔助計算!$F$2:$F$801, 0)+1)), "")&lt;&gt;"", IFERROR(INDEX(ERP資料!$A:$A, (MATCH(733, 輔助計算!$F$2:$F$801, 0)+1)), "")&lt;&gt;IFERROR(INDEX(ERP資料!$A:$A, MATCH(732, 輔助計算!$F$2:$F$801, 0)+1), "")), INDEX(ERP資料!$S:$S, (MATCH(733, 輔助計算!$F$2:$F$801, 0)+1)), ""), "")</f>
        <v/>
      </c>
      <c r="D734" s="10">
        <f>IFERROR(IF(INDEX(ERP資料!$E:$E, (MATCH(733, 輔助計算!$F$2:$F$801, 0)+1))="","",TRIM(INDEX(ERP資料!$E:$E, (MATCH(733, 輔助計算!$F$2:$F$801, 0)+1)))), "")</f>
        <v/>
      </c>
      <c r="E734" s="10">
        <f>IFERROR(IF(INDEX(ERP資料!$F:$F, (MATCH(733, 輔助計算!$F$2:$F$801, 0)+1))="","",INDEX(ERP資料!$F:$F, (MATCH(733, 輔助計算!$F$2:$F$801, 0)+1))), "")</f>
        <v/>
      </c>
      <c r="F734" s="10">
        <f>IFERROR(IF(INDEX(ERP資料!$G:$G, (MATCH(733, 輔助計算!$F$2:$F$801, 0)+1))="","",INDEX(ERP資料!$G:$G, (MATCH(733, 輔助計算!$F$2:$F$801, 0)+1))), "")</f>
        <v/>
      </c>
      <c r="G734" s="10">
        <f>IFERROR(IF(INDEX(ERP資料!$H:$H, (MATCH(733, 輔助計算!$F$2:$F$801, 0)+1))="","",INDEX(ERP資料!$H:$H, (MATCH(733, 輔助計算!$F$2:$F$801, 0)+1))), "")</f>
        <v/>
      </c>
      <c r="H734" s="10">
        <f>IFERROR(IF(INDEX(ERP資料!$O:$O, (MATCH(733, 輔助計算!$F$2:$F$801, 0)+1))="","",INDEX(ERP資料!$O:$O, (MATCH(733, 輔助計算!$F$2:$F$801, 0)+1))), "")</f>
        <v/>
      </c>
      <c r="I734" s="15">
        <f>IFERROR(IF(INDEX(輔助計算!$D:$D,(MATCH(733, 輔助計算!$F$2:$F$801, 0)+1))="","",INDEX(輔助計算!$D:$D,(MATCH(733, 輔助計算!$F$2:$F$801, 0)+1))*INDEX(ERP資料!$O:$O,(MATCH(733, 輔助計算!$F$2:$F$801, 0)+1))), "")</f>
        <v/>
      </c>
      <c r="J734" s="16" t="n"/>
      <c r="K734" s="15">
        <f>IFERROR(INDEX(輔助計算!$D:$D, (MATCH(733, 輔助計算!$F$2:$F$801, 0)+1)), "")</f>
        <v/>
      </c>
      <c r="L734" s="16">
        <f>IFERROR(IF(AND(IFERROR(VLOOKUP(LEFT(INDEX(ERP資料!$S:$S, (MATCH(733, 輔助計算!$F$2:$F$801, 0)+1)), 4), 100張客戶!$A:$A, 1, FALSE), "")&lt;&gt;"", OR(INDEX(ERP資料!$F:$F, (MATCH(733, 輔助計算!$F$2:$F$801, 0)+1))=270, INDEX(ERP資料!$F:$F, (MATCH(733, 輔助計算!$F$2:$F$801, 0)+1))=300)), "100張", ""), "")</f>
        <v/>
      </c>
      <c r="M734" s="17" t="n"/>
      <c r="N734" s="17">
        <f>IF($F734="","",$F734)</f>
        <v/>
      </c>
      <c r="O734" s="17">
        <f>IF($G734="","",$G734)</f>
        <v/>
      </c>
      <c r="P734" s="17">
        <f>IF($K734="","",$K734)</f>
        <v/>
      </c>
      <c r="Q734" s="16" t="n"/>
      <c r="R734" s="18" t="n"/>
      <c r="S734" s="16" t="n"/>
    </row>
    <row r="735">
      <c r="A735" s="14">
        <f>IFERROR(IF(AND(IFERROR(INDEX(ERP資料!$A:$A, (MATCH(734, 輔助計算!$F$2:$F$801, 0)+1)), "")&lt;&gt;"", IFERROR(INDEX(ERP資料!$A:$A, (MATCH(734, 輔助計算!$F$2:$F$801, 0)+1)), "")&lt;&gt;IFERROR(INDEX(ERP資料!$A:$A, MATCH(733, 輔助計算!$F$2:$F$801, 0)+1), "")), INDEX(ERP資料!$B:$B, (MATCH(734, 輔助計算!$F$2:$F$801, 0)+1)), ""), "")</f>
        <v/>
      </c>
      <c r="B735" s="10">
        <f>IFERROR(IF(AND(IFERROR(INDEX(ERP資料!$A:$A, (MATCH(734, 輔助計算!$F$2:$F$801, 0)+1)), "")&lt;&gt;"", IFERROR(INDEX(ERP資料!$A:$A, (MATCH(734, 輔助計算!$F$2:$F$801, 0)+1)), "")&lt;&gt;IFERROR(INDEX(ERP資料!$A:$A, MATCH(733, 輔助計算!$F$2:$F$801, 0)+1), "")), IFERROR(INDEX(ERP資料!$A:$A, (MATCH(734, 輔助計算!$F$2:$F$801, 0)+1)), ""), ""), "")</f>
        <v/>
      </c>
      <c r="C735" s="10">
        <f>IFERROR(IF(AND(IFERROR(INDEX(ERP資料!$A:$A, (MATCH(734, 輔助計算!$F$2:$F$801, 0)+1)), "")&lt;&gt;"", IFERROR(INDEX(ERP資料!$A:$A, (MATCH(734, 輔助計算!$F$2:$F$801, 0)+1)), "")&lt;&gt;IFERROR(INDEX(ERP資料!$A:$A, MATCH(733, 輔助計算!$F$2:$F$801, 0)+1), "")), INDEX(ERP資料!$S:$S, (MATCH(734, 輔助計算!$F$2:$F$801, 0)+1)), ""), "")</f>
        <v/>
      </c>
      <c r="D735" s="10">
        <f>IFERROR(IF(INDEX(ERP資料!$E:$E, (MATCH(734, 輔助計算!$F$2:$F$801, 0)+1))="","",TRIM(INDEX(ERP資料!$E:$E, (MATCH(734, 輔助計算!$F$2:$F$801, 0)+1)))), "")</f>
        <v/>
      </c>
      <c r="E735" s="10">
        <f>IFERROR(IF(INDEX(ERP資料!$F:$F, (MATCH(734, 輔助計算!$F$2:$F$801, 0)+1))="","",INDEX(ERP資料!$F:$F, (MATCH(734, 輔助計算!$F$2:$F$801, 0)+1))), "")</f>
        <v/>
      </c>
      <c r="F735" s="10">
        <f>IFERROR(IF(INDEX(ERP資料!$G:$G, (MATCH(734, 輔助計算!$F$2:$F$801, 0)+1))="","",INDEX(ERP資料!$G:$G, (MATCH(734, 輔助計算!$F$2:$F$801, 0)+1))), "")</f>
        <v/>
      </c>
      <c r="G735" s="10">
        <f>IFERROR(IF(INDEX(ERP資料!$H:$H, (MATCH(734, 輔助計算!$F$2:$F$801, 0)+1))="","",INDEX(ERP資料!$H:$H, (MATCH(734, 輔助計算!$F$2:$F$801, 0)+1))), "")</f>
        <v/>
      </c>
      <c r="H735" s="10">
        <f>IFERROR(IF(INDEX(ERP資料!$O:$O, (MATCH(734, 輔助計算!$F$2:$F$801, 0)+1))="","",INDEX(ERP資料!$O:$O, (MATCH(734, 輔助計算!$F$2:$F$801, 0)+1))), "")</f>
        <v/>
      </c>
      <c r="I735" s="15">
        <f>IFERROR(IF(INDEX(輔助計算!$D:$D,(MATCH(734, 輔助計算!$F$2:$F$801, 0)+1))="","",INDEX(輔助計算!$D:$D,(MATCH(734, 輔助計算!$F$2:$F$801, 0)+1))*INDEX(ERP資料!$O:$O,(MATCH(734, 輔助計算!$F$2:$F$801, 0)+1))), "")</f>
        <v/>
      </c>
      <c r="J735" s="16" t="n"/>
      <c r="K735" s="15">
        <f>IFERROR(INDEX(輔助計算!$D:$D, (MATCH(734, 輔助計算!$F$2:$F$801, 0)+1)), "")</f>
        <v/>
      </c>
      <c r="L735" s="16">
        <f>IFERROR(IF(AND(IFERROR(VLOOKUP(LEFT(INDEX(ERP資料!$S:$S, (MATCH(734, 輔助計算!$F$2:$F$801, 0)+1)), 4), 100張客戶!$A:$A, 1, FALSE), "")&lt;&gt;"", OR(INDEX(ERP資料!$F:$F, (MATCH(734, 輔助計算!$F$2:$F$801, 0)+1))=270, INDEX(ERP資料!$F:$F, (MATCH(734, 輔助計算!$F$2:$F$801, 0)+1))=300)), "100張", ""), "")</f>
        <v/>
      </c>
      <c r="M735" s="17" t="n"/>
      <c r="N735" s="17">
        <f>IF($F735="","",$F735)</f>
        <v/>
      </c>
      <c r="O735" s="17">
        <f>IF($G735="","",$G735)</f>
        <v/>
      </c>
      <c r="P735" s="17">
        <f>IF($K735="","",$K735)</f>
        <v/>
      </c>
      <c r="Q735" s="16" t="n"/>
      <c r="R735" s="18" t="n"/>
      <c r="S735" s="16" t="n"/>
    </row>
    <row r="736">
      <c r="A736" s="14">
        <f>IFERROR(IF(AND(IFERROR(INDEX(ERP資料!$A:$A, (MATCH(735, 輔助計算!$F$2:$F$801, 0)+1)), "")&lt;&gt;"", IFERROR(INDEX(ERP資料!$A:$A, (MATCH(735, 輔助計算!$F$2:$F$801, 0)+1)), "")&lt;&gt;IFERROR(INDEX(ERP資料!$A:$A, MATCH(734, 輔助計算!$F$2:$F$801, 0)+1), "")), INDEX(ERP資料!$B:$B, (MATCH(735, 輔助計算!$F$2:$F$801, 0)+1)), ""), "")</f>
        <v/>
      </c>
      <c r="B736" s="10">
        <f>IFERROR(IF(AND(IFERROR(INDEX(ERP資料!$A:$A, (MATCH(735, 輔助計算!$F$2:$F$801, 0)+1)), "")&lt;&gt;"", IFERROR(INDEX(ERP資料!$A:$A, (MATCH(735, 輔助計算!$F$2:$F$801, 0)+1)), "")&lt;&gt;IFERROR(INDEX(ERP資料!$A:$A, MATCH(734, 輔助計算!$F$2:$F$801, 0)+1), "")), IFERROR(INDEX(ERP資料!$A:$A, (MATCH(735, 輔助計算!$F$2:$F$801, 0)+1)), ""), ""), "")</f>
        <v/>
      </c>
      <c r="C736" s="10">
        <f>IFERROR(IF(AND(IFERROR(INDEX(ERP資料!$A:$A, (MATCH(735, 輔助計算!$F$2:$F$801, 0)+1)), "")&lt;&gt;"", IFERROR(INDEX(ERP資料!$A:$A, (MATCH(735, 輔助計算!$F$2:$F$801, 0)+1)), "")&lt;&gt;IFERROR(INDEX(ERP資料!$A:$A, MATCH(734, 輔助計算!$F$2:$F$801, 0)+1), "")), INDEX(ERP資料!$S:$S, (MATCH(735, 輔助計算!$F$2:$F$801, 0)+1)), ""), "")</f>
        <v/>
      </c>
      <c r="D736" s="10">
        <f>IFERROR(IF(INDEX(ERP資料!$E:$E, (MATCH(735, 輔助計算!$F$2:$F$801, 0)+1))="","",TRIM(INDEX(ERP資料!$E:$E, (MATCH(735, 輔助計算!$F$2:$F$801, 0)+1)))), "")</f>
        <v/>
      </c>
      <c r="E736" s="10">
        <f>IFERROR(IF(INDEX(ERP資料!$F:$F, (MATCH(735, 輔助計算!$F$2:$F$801, 0)+1))="","",INDEX(ERP資料!$F:$F, (MATCH(735, 輔助計算!$F$2:$F$801, 0)+1))), "")</f>
        <v/>
      </c>
      <c r="F736" s="10">
        <f>IFERROR(IF(INDEX(ERP資料!$G:$G, (MATCH(735, 輔助計算!$F$2:$F$801, 0)+1))="","",INDEX(ERP資料!$G:$G, (MATCH(735, 輔助計算!$F$2:$F$801, 0)+1))), "")</f>
        <v/>
      </c>
      <c r="G736" s="10">
        <f>IFERROR(IF(INDEX(ERP資料!$H:$H, (MATCH(735, 輔助計算!$F$2:$F$801, 0)+1))="","",INDEX(ERP資料!$H:$H, (MATCH(735, 輔助計算!$F$2:$F$801, 0)+1))), "")</f>
        <v/>
      </c>
      <c r="H736" s="10">
        <f>IFERROR(IF(INDEX(ERP資料!$O:$O, (MATCH(735, 輔助計算!$F$2:$F$801, 0)+1))="","",INDEX(ERP資料!$O:$O, (MATCH(735, 輔助計算!$F$2:$F$801, 0)+1))), "")</f>
        <v/>
      </c>
      <c r="I736" s="15">
        <f>IFERROR(IF(INDEX(輔助計算!$D:$D,(MATCH(735, 輔助計算!$F$2:$F$801, 0)+1))="","",INDEX(輔助計算!$D:$D,(MATCH(735, 輔助計算!$F$2:$F$801, 0)+1))*INDEX(ERP資料!$O:$O,(MATCH(735, 輔助計算!$F$2:$F$801, 0)+1))), "")</f>
        <v/>
      </c>
      <c r="J736" s="16" t="n"/>
      <c r="K736" s="15">
        <f>IFERROR(INDEX(輔助計算!$D:$D, (MATCH(735, 輔助計算!$F$2:$F$801, 0)+1)), "")</f>
        <v/>
      </c>
      <c r="L736" s="16">
        <f>IFERROR(IF(AND(IFERROR(VLOOKUP(LEFT(INDEX(ERP資料!$S:$S, (MATCH(735, 輔助計算!$F$2:$F$801, 0)+1)), 4), 100張客戶!$A:$A, 1, FALSE), "")&lt;&gt;"", OR(INDEX(ERP資料!$F:$F, (MATCH(735, 輔助計算!$F$2:$F$801, 0)+1))=270, INDEX(ERP資料!$F:$F, (MATCH(735, 輔助計算!$F$2:$F$801, 0)+1))=300)), "100張", ""), "")</f>
        <v/>
      </c>
      <c r="M736" s="17" t="n"/>
      <c r="N736" s="17">
        <f>IF($F736="","",$F736)</f>
        <v/>
      </c>
      <c r="O736" s="17">
        <f>IF($G736="","",$G736)</f>
        <v/>
      </c>
      <c r="P736" s="17">
        <f>IF($K736="","",$K736)</f>
        <v/>
      </c>
      <c r="Q736" s="16" t="n"/>
      <c r="R736" s="18" t="n"/>
      <c r="S736" s="16" t="n"/>
    </row>
    <row r="737">
      <c r="A737" s="14">
        <f>IFERROR(IF(AND(IFERROR(INDEX(ERP資料!$A:$A, (MATCH(736, 輔助計算!$F$2:$F$801, 0)+1)), "")&lt;&gt;"", IFERROR(INDEX(ERP資料!$A:$A, (MATCH(736, 輔助計算!$F$2:$F$801, 0)+1)), "")&lt;&gt;IFERROR(INDEX(ERP資料!$A:$A, MATCH(735, 輔助計算!$F$2:$F$801, 0)+1), "")), INDEX(ERP資料!$B:$B, (MATCH(736, 輔助計算!$F$2:$F$801, 0)+1)), ""), "")</f>
        <v/>
      </c>
      <c r="B737" s="10">
        <f>IFERROR(IF(AND(IFERROR(INDEX(ERP資料!$A:$A, (MATCH(736, 輔助計算!$F$2:$F$801, 0)+1)), "")&lt;&gt;"", IFERROR(INDEX(ERP資料!$A:$A, (MATCH(736, 輔助計算!$F$2:$F$801, 0)+1)), "")&lt;&gt;IFERROR(INDEX(ERP資料!$A:$A, MATCH(735, 輔助計算!$F$2:$F$801, 0)+1), "")), IFERROR(INDEX(ERP資料!$A:$A, (MATCH(736, 輔助計算!$F$2:$F$801, 0)+1)), ""), ""), "")</f>
        <v/>
      </c>
      <c r="C737" s="10">
        <f>IFERROR(IF(AND(IFERROR(INDEX(ERP資料!$A:$A, (MATCH(736, 輔助計算!$F$2:$F$801, 0)+1)), "")&lt;&gt;"", IFERROR(INDEX(ERP資料!$A:$A, (MATCH(736, 輔助計算!$F$2:$F$801, 0)+1)), "")&lt;&gt;IFERROR(INDEX(ERP資料!$A:$A, MATCH(735, 輔助計算!$F$2:$F$801, 0)+1), "")), INDEX(ERP資料!$S:$S, (MATCH(736, 輔助計算!$F$2:$F$801, 0)+1)), ""), "")</f>
        <v/>
      </c>
      <c r="D737" s="10">
        <f>IFERROR(IF(INDEX(ERP資料!$E:$E, (MATCH(736, 輔助計算!$F$2:$F$801, 0)+1))="","",TRIM(INDEX(ERP資料!$E:$E, (MATCH(736, 輔助計算!$F$2:$F$801, 0)+1)))), "")</f>
        <v/>
      </c>
      <c r="E737" s="10">
        <f>IFERROR(IF(INDEX(ERP資料!$F:$F, (MATCH(736, 輔助計算!$F$2:$F$801, 0)+1))="","",INDEX(ERP資料!$F:$F, (MATCH(736, 輔助計算!$F$2:$F$801, 0)+1))), "")</f>
        <v/>
      </c>
      <c r="F737" s="10">
        <f>IFERROR(IF(INDEX(ERP資料!$G:$G, (MATCH(736, 輔助計算!$F$2:$F$801, 0)+1))="","",INDEX(ERP資料!$G:$G, (MATCH(736, 輔助計算!$F$2:$F$801, 0)+1))), "")</f>
        <v/>
      </c>
      <c r="G737" s="10">
        <f>IFERROR(IF(INDEX(ERP資料!$H:$H, (MATCH(736, 輔助計算!$F$2:$F$801, 0)+1))="","",INDEX(ERP資料!$H:$H, (MATCH(736, 輔助計算!$F$2:$F$801, 0)+1))), "")</f>
        <v/>
      </c>
      <c r="H737" s="10">
        <f>IFERROR(IF(INDEX(ERP資料!$O:$O, (MATCH(736, 輔助計算!$F$2:$F$801, 0)+1))="","",INDEX(ERP資料!$O:$O, (MATCH(736, 輔助計算!$F$2:$F$801, 0)+1))), "")</f>
        <v/>
      </c>
      <c r="I737" s="15">
        <f>IFERROR(IF(INDEX(輔助計算!$D:$D,(MATCH(736, 輔助計算!$F$2:$F$801, 0)+1))="","",INDEX(輔助計算!$D:$D,(MATCH(736, 輔助計算!$F$2:$F$801, 0)+1))*INDEX(ERP資料!$O:$O,(MATCH(736, 輔助計算!$F$2:$F$801, 0)+1))), "")</f>
        <v/>
      </c>
      <c r="J737" s="16" t="n"/>
      <c r="K737" s="15">
        <f>IFERROR(INDEX(輔助計算!$D:$D, (MATCH(736, 輔助計算!$F$2:$F$801, 0)+1)), "")</f>
        <v/>
      </c>
      <c r="L737" s="16">
        <f>IFERROR(IF(AND(IFERROR(VLOOKUP(LEFT(INDEX(ERP資料!$S:$S, (MATCH(736, 輔助計算!$F$2:$F$801, 0)+1)), 4), 100張客戶!$A:$A, 1, FALSE), "")&lt;&gt;"", OR(INDEX(ERP資料!$F:$F, (MATCH(736, 輔助計算!$F$2:$F$801, 0)+1))=270, INDEX(ERP資料!$F:$F, (MATCH(736, 輔助計算!$F$2:$F$801, 0)+1))=300)), "100張", ""), "")</f>
        <v/>
      </c>
      <c r="M737" s="17" t="n"/>
      <c r="N737" s="17">
        <f>IF($F737="","",$F737)</f>
        <v/>
      </c>
      <c r="O737" s="17">
        <f>IF($G737="","",$G737)</f>
        <v/>
      </c>
      <c r="P737" s="17">
        <f>IF($K737="","",$K737)</f>
        <v/>
      </c>
      <c r="Q737" s="16" t="n"/>
      <c r="R737" s="18" t="n"/>
      <c r="S737" s="16" t="n"/>
    </row>
    <row r="738">
      <c r="A738" s="14">
        <f>IFERROR(IF(AND(IFERROR(INDEX(ERP資料!$A:$A, (MATCH(737, 輔助計算!$F$2:$F$801, 0)+1)), "")&lt;&gt;"", IFERROR(INDEX(ERP資料!$A:$A, (MATCH(737, 輔助計算!$F$2:$F$801, 0)+1)), "")&lt;&gt;IFERROR(INDEX(ERP資料!$A:$A, MATCH(736, 輔助計算!$F$2:$F$801, 0)+1), "")), INDEX(ERP資料!$B:$B, (MATCH(737, 輔助計算!$F$2:$F$801, 0)+1)), ""), "")</f>
        <v/>
      </c>
      <c r="B738" s="10">
        <f>IFERROR(IF(AND(IFERROR(INDEX(ERP資料!$A:$A, (MATCH(737, 輔助計算!$F$2:$F$801, 0)+1)), "")&lt;&gt;"", IFERROR(INDEX(ERP資料!$A:$A, (MATCH(737, 輔助計算!$F$2:$F$801, 0)+1)), "")&lt;&gt;IFERROR(INDEX(ERP資料!$A:$A, MATCH(736, 輔助計算!$F$2:$F$801, 0)+1), "")), IFERROR(INDEX(ERP資料!$A:$A, (MATCH(737, 輔助計算!$F$2:$F$801, 0)+1)), ""), ""), "")</f>
        <v/>
      </c>
      <c r="C738" s="10">
        <f>IFERROR(IF(AND(IFERROR(INDEX(ERP資料!$A:$A, (MATCH(737, 輔助計算!$F$2:$F$801, 0)+1)), "")&lt;&gt;"", IFERROR(INDEX(ERP資料!$A:$A, (MATCH(737, 輔助計算!$F$2:$F$801, 0)+1)), "")&lt;&gt;IFERROR(INDEX(ERP資料!$A:$A, MATCH(736, 輔助計算!$F$2:$F$801, 0)+1), "")), INDEX(ERP資料!$S:$S, (MATCH(737, 輔助計算!$F$2:$F$801, 0)+1)), ""), "")</f>
        <v/>
      </c>
      <c r="D738" s="10">
        <f>IFERROR(IF(INDEX(ERP資料!$E:$E, (MATCH(737, 輔助計算!$F$2:$F$801, 0)+1))="","",TRIM(INDEX(ERP資料!$E:$E, (MATCH(737, 輔助計算!$F$2:$F$801, 0)+1)))), "")</f>
        <v/>
      </c>
      <c r="E738" s="10">
        <f>IFERROR(IF(INDEX(ERP資料!$F:$F, (MATCH(737, 輔助計算!$F$2:$F$801, 0)+1))="","",INDEX(ERP資料!$F:$F, (MATCH(737, 輔助計算!$F$2:$F$801, 0)+1))), "")</f>
        <v/>
      </c>
      <c r="F738" s="10">
        <f>IFERROR(IF(INDEX(ERP資料!$G:$G, (MATCH(737, 輔助計算!$F$2:$F$801, 0)+1))="","",INDEX(ERP資料!$G:$G, (MATCH(737, 輔助計算!$F$2:$F$801, 0)+1))), "")</f>
        <v/>
      </c>
      <c r="G738" s="10">
        <f>IFERROR(IF(INDEX(ERP資料!$H:$H, (MATCH(737, 輔助計算!$F$2:$F$801, 0)+1))="","",INDEX(ERP資料!$H:$H, (MATCH(737, 輔助計算!$F$2:$F$801, 0)+1))), "")</f>
        <v/>
      </c>
      <c r="H738" s="10">
        <f>IFERROR(IF(INDEX(ERP資料!$O:$O, (MATCH(737, 輔助計算!$F$2:$F$801, 0)+1))="","",INDEX(ERP資料!$O:$O, (MATCH(737, 輔助計算!$F$2:$F$801, 0)+1))), "")</f>
        <v/>
      </c>
      <c r="I738" s="15">
        <f>IFERROR(IF(INDEX(輔助計算!$D:$D,(MATCH(737, 輔助計算!$F$2:$F$801, 0)+1))="","",INDEX(輔助計算!$D:$D,(MATCH(737, 輔助計算!$F$2:$F$801, 0)+1))*INDEX(ERP資料!$O:$O,(MATCH(737, 輔助計算!$F$2:$F$801, 0)+1))), "")</f>
        <v/>
      </c>
      <c r="J738" s="16" t="n"/>
      <c r="K738" s="15">
        <f>IFERROR(INDEX(輔助計算!$D:$D, (MATCH(737, 輔助計算!$F$2:$F$801, 0)+1)), "")</f>
        <v/>
      </c>
      <c r="L738" s="16">
        <f>IFERROR(IF(AND(IFERROR(VLOOKUP(LEFT(INDEX(ERP資料!$S:$S, (MATCH(737, 輔助計算!$F$2:$F$801, 0)+1)), 4), 100張客戶!$A:$A, 1, FALSE), "")&lt;&gt;"", OR(INDEX(ERP資料!$F:$F, (MATCH(737, 輔助計算!$F$2:$F$801, 0)+1))=270, INDEX(ERP資料!$F:$F, (MATCH(737, 輔助計算!$F$2:$F$801, 0)+1))=300)), "100張", ""), "")</f>
        <v/>
      </c>
      <c r="M738" s="17" t="n"/>
      <c r="N738" s="17">
        <f>IF($F738="","",$F738)</f>
        <v/>
      </c>
      <c r="O738" s="17">
        <f>IF($G738="","",$G738)</f>
        <v/>
      </c>
      <c r="P738" s="17">
        <f>IF($K738="","",$K738)</f>
        <v/>
      </c>
      <c r="Q738" s="16" t="n"/>
      <c r="R738" s="18" t="n"/>
      <c r="S738" s="16" t="n"/>
    </row>
    <row r="739">
      <c r="A739" s="14">
        <f>IFERROR(IF(AND(IFERROR(INDEX(ERP資料!$A:$A, (MATCH(738, 輔助計算!$F$2:$F$801, 0)+1)), "")&lt;&gt;"", IFERROR(INDEX(ERP資料!$A:$A, (MATCH(738, 輔助計算!$F$2:$F$801, 0)+1)), "")&lt;&gt;IFERROR(INDEX(ERP資料!$A:$A, MATCH(737, 輔助計算!$F$2:$F$801, 0)+1), "")), INDEX(ERP資料!$B:$B, (MATCH(738, 輔助計算!$F$2:$F$801, 0)+1)), ""), "")</f>
        <v/>
      </c>
      <c r="B739" s="10">
        <f>IFERROR(IF(AND(IFERROR(INDEX(ERP資料!$A:$A, (MATCH(738, 輔助計算!$F$2:$F$801, 0)+1)), "")&lt;&gt;"", IFERROR(INDEX(ERP資料!$A:$A, (MATCH(738, 輔助計算!$F$2:$F$801, 0)+1)), "")&lt;&gt;IFERROR(INDEX(ERP資料!$A:$A, MATCH(737, 輔助計算!$F$2:$F$801, 0)+1), "")), IFERROR(INDEX(ERP資料!$A:$A, (MATCH(738, 輔助計算!$F$2:$F$801, 0)+1)), ""), ""), "")</f>
        <v/>
      </c>
      <c r="C739" s="10">
        <f>IFERROR(IF(AND(IFERROR(INDEX(ERP資料!$A:$A, (MATCH(738, 輔助計算!$F$2:$F$801, 0)+1)), "")&lt;&gt;"", IFERROR(INDEX(ERP資料!$A:$A, (MATCH(738, 輔助計算!$F$2:$F$801, 0)+1)), "")&lt;&gt;IFERROR(INDEX(ERP資料!$A:$A, MATCH(737, 輔助計算!$F$2:$F$801, 0)+1), "")), INDEX(ERP資料!$S:$S, (MATCH(738, 輔助計算!$F$2:$F$801, 0)+1)), ""), "")</f>
        <v/>
      </c>
      <c r="D739" s="10">
        <f>IFERROR(IF(INDEX(ERP資料!$E:$E, (MATCH(738, 輔助計算!$F$2:$F$801, 0)+1))="","",TRIM(INDEX(ERP資料!$E:$E, (MATCH(738, 輔助計算!$F$2:$F$801, 0)+1)))), "")</f>
        <v/>
      </c>
      <c r="E739" s="10">
        <f>IFERROR(IF(INDEX(ERP資料!$F:$F, (MATCH(738, 輔助計算!$F$2:$F$801, 0)+1))="","",INDEX(ERP資料!$F:$F, (MATCH(738, 輔助計算!$F$2:$F$801, 0)+1))), "")</f>
        <v/>
      </c>
      <c r="F739" s="10">
        <f>IFERROR(IF(INDEX(ERP資料!$G:$G, (MATCH(738, 輔助計算!$F$2:$F$801, 0)+1))="","",INDEX(ERP資料!$G:$G, (MATCH(738, 輔助計算!$F$2:$F$801, 0)+1))), "")</f>
        <v/>
      </c>
      <c r="G739" s="10">
        <f>IFERROR(IF(INDEX(ERP資料!$H:$H, (MATCH(738, 輔助計算!$F$2:$F$801, 0)+1))="","",INDEX(ERP資料!$H:$H, (MATCH(738, 輔助計算!$F$2:$F$801, 0)+1))), "")</f>
        <v/>
      </c>
      <c r="H739" s="10">
        <f>IFERROR(IF(INDEX(ERP資料!$O:$O, (MATCH(738, 輔助計算!$F$2:$F$801, 0)+1))="","",INDEX(ERP資料!$O:$O, (MATCH(738, 輔助計算!$F$2:$F$801, 0)+1))), "")</f>
        <v/>
      </c>
      <c r="I739" s="15">
        <f>IFERROR(IF(INDEX(輔助計算!$D:$D,(MATCH(738, 輔助計算!$F$2:$F$801, 0)+1))="","",INDEX(輔助計算!$D:$D,(MATCH(738, 輔助計算!$F$2:$F$801, 0)+1))*INDEX(ERP資料!$O:$O,(MATCH(738, 輔助計算!$F$2:$F$801, 0)+1))), "")</f>
        <v/>
      </c>
      <c r="J739" s="16" t="n"/>
      <c r="K739" s="15">
        <f>IFERROR(INDEX(輔助計算!$D:$D, (MATCH(738, 輔助計算!$F$2:$F$801, 0)+1)), "")</f>
        <v/>
      </c>
      <c r="L739" s="16">
        <f>IFERROR(IF(AND(IFERROR(VLOOKUP(LEFT(INDEX(ERP資料!$S:$S, (MATCH(738, 輔助計算!$F$2:$F$801, 0)+1)), 4), 100張客戶!$A:$A, 1, FALSE), "")&lt;&gt;"", OR(INDEX(ERP資料!$F:$F, (MATCH(738, 輔助計算!$F$2:$F$801, 0)+1))=270, INDEX(ERP資料!$F:$F, (MATCH(738, 輔助計算!$F$2:$F$801, 0)+1))=300)), "100張", ""), "")</f>
        <v/>
      </c>
      <c r="M739" s="17" t="n"/>
      <c r="N739" s="17">
        <f>IF($F739="","",$F739)</f>
        <v/>
      </c>
      <c r="O739" s="17">
        <f>IF($G739="","",$G739)</f>
        <v/>
      </c>
      <c r="P739" s="17">
        <f>IF($K739="","",$K739)</f>
        <v/>
      </c>
      <c r="Q739" s="16" t="n"/>
      <c r="R739" s="18" t="n"/>
      <c r="S739" s="16" t="n"/>
    </row>
    <row r="740">
      <c r="A740" s="14">
        <f>IFERROR(IF(AND(IFERROR(INDEX(ERP資料!$A:$A, (MATCH(739, 輔助計算!$F$2:$F$801, 0)+1)), "")&lt;&gt;"", IFERROR(INDEX(ERP資料!$A:$A, (MATCH(739, 輔助計算!$F$2:$F$801, 0)+1)), "")&lt;&gt;IFERROR(INDEX(ERP資料!$A:$A, MATCH(738, 輔助計算!$F$2:$F$801, 0)+1), "")), INDEX(ERP資料!$B:$B, (MATCH(739, 輔助計算!$F$2:$F$801, 0)+1)), ""), "")</f>
        <v/>
      </c>
      <c r="B740" s="10">
        <f>IFERROR(IF(AND(IFERROR(INDEX(ERP資料!$A:$A, (MATCH(739, 輔助計算!$F$2:$F$801, 0)+1)), "")&lt;&gt;"", IFERROR(INDEX(ERP資料!$A:$A, (MATCH(739, 輔助計算!$F$2:$F$801, 0)+1)), "")&lt;&gt;IFERROR(INDEX(ERP資料!$A:$A, MATCH(738, 輔助計算!$F$2:$F$801, 0)+1), "")), IFERROR(INDEX(ERP資料!$A:$A, (MATCH(739, 輔助計算!$F$2:$F$801, 0)+1)), ""), ""), "")</f>
        <v/>
      </c>
      <c r="C740" s="10">
        <f>IFERROR(IF(AND(IFERROR(INDEX(ERP資料!$A:$A, (MATCH(739, 輔助計算!$F$2:$F$801, 0)+1)), "")&lt;&gt;"", IFERROR(INDEX(ERP資料!$A:$A, (MATCH(739, 輔助計算!$F$2:$F$801, 0)+1)), "")&lt;&gt;IFERROR(INDEX(ERP資料!$A:$A, MATCH(738, 輔助計算!$F$2:$F$801, 0)+1), "")), INDEX(ERP資料!$S:$S, (MATCH(739, 輔助計算!$F$2:$F$801, 0)+1)), ""), "")</f>
        <v/>
      </c>
      <c r="D740" s="10">
        <f>IFERROR(IF(INDEX(ERP資料!$E:$E, (MATCH(739, 輔助計算!$F$2:$F$801, 0)+1))="","",TRIM(INDEX(ERP資料!$E:$E, (MATCH(739, 輔助計算!$F$2:$F$801, 0)+1)))), "")</f>
        <v/>
      </c>
      <c r="E740" s="10">
        <f>IFERROR(IF(INDEX(ERP資料!$F:$F, (MATCH(739, 輔助計算!$F$2:$F$801, 0)+1))="","",INDEX(ERP資料!$F:$F, (MATCH(739, 輔助計算!$F$2:$F$801, 0)+1))), "")</f>
        <v/>
      </c>
      <c r="F740" s="10">
        <f>IFERROR(IF(INDEX(ERP資料!$G:$G, (MATCH(739, 輔助計算!$F$2:$F$801, 0)+1))="","",INDEX(ERP資料!$G:$G, (MATCH(739, 輔助計算!$F$2:$F$801, 0)+1))), "")</f>
        <v/>
      </c>
      <c r="G740" s="10">
        <f>IFERROR(IF(INDEX(ERP資料!$H:$H, (MATCH(739, 輔助計算!$F$2:$F$801, 0)+1))="","",INDEX(ERP資料!$H:$H, (MATCH(739, 輔助計算!$F$2:$F$801, 0)+1))), "")</f>
        <v/>
      </c>
      <c r="H740" s="10">
        <f>IFERROR(IF(INDEX(ERP資料!$O:$O, (MATCH(739, 輔助計算!$F$2:$F$801, 0)+1))="","",INDEX(ERP資料!$O:$O, (MATCH(739, 輔助計算!$F$2:$F$801, 0)+1))), "")</f>
        <v/>
      </c>
      <c r="I740" s="15">
        <f>IFERROR(IF(INDEX(輔助計算!$D:$D,(MATCH(739, 輔助計算!$F$2:$F$801, 0)+1))="","",INDEX(輔助計算!$D:$D,(MATCH(739, 輔助計算!$F$2:$F$801, 0)+1))*INDEX(ERP資料!$O:$O,(MATCH(739, 輔助計算!$F$2:$F$801, 0)+1))), "")</f>
        <v/>
      </c>
      <c r="J740" s="16" t="n"/>
      <c r="K740" s="15">
        <f>IFERROR(INDEX(輔助計算!$D:$D, (MATCH(739, 輔助計算!$F$2:$F$801, 0)+1)), "")</f>
        <v/>
      </c>
      <c r="L740" s="16">
        <f>IFERROR(IF(AND(IFERROR(VLOOKUP(LEFT(INDEX(ERP資料!$S:$S, (MATCH(739, 輔助計算!$F$2:$F$801, 0)+1)), 4), 100張客戶!$A:$A, 1, FALSE), "")&lt;&gt;"", OR(INDEX(ERP資料!$F:$F, (MATCH(739, 輔助計算!$F$2:$F$801, 0)+1))=270, INDEX(ERP資料!$F:$F, (MATCH(739, 輔助計算!$F$2:$F$801, 0)+1))=300)), "100張", ""), "")</f>
        <v/>
      </c>
      <c r="M740" s="17" t="n"/>
      <c r="N740" s="17">
        <f>IF($F740="","",$F740)</f>
        <v/>
      </c>
      <c r="O740" s="17">
        <f>IF($G740="","",$G740)</f>
        <v/>
      </c>
      <c r="P740" s="17">
        <f>IF($K740="","",$K740)</f>
        <v/>
      </c>
      <c r="Q740" s="16" t="n"/>
      <c r="R740" s="18" t="n"/>
      <c r="S740" s="16" t="n"/>
    </row>
    <row r="741">
      <c r="A741" s="14">
        <f>IFERROR(IF(AND(IFERROR(INDEX(ERP資料!$A:$A, (MATCH(740, 輔助計算!$F$2:$F$801, 0)+1)), "")&lt;&gt;"", IFERROR(INDEX(ERP資料!$A:$A, (MATCH(740, 輔助計算!$F$2:$F$801, 0)+1)), "")&lt;&gt;IFERROR(INDEX(ERP資料!$A:$A, MATCH(739, 輔助計算!$F$2:$F$801, 0)+1), "")), INDEX(ERP資料!$B:$B, (MATCH(740, 輔助計算!$F$2:$F$801, 0)+1)), ""), "")</f>
        <v/>
      </c>
      <c r="B741" s="10">
        <f>IFERROR(IF(AND(IFERROR(INDEX(ERP資料!$A:$A, (MATCH(740, 輔助計算!$F$2:$F$801, 0)+1)), "")&lt;&gt;"", IFERROR(INDEX(ERP資料!$A:$A, (MATCH(740, 輔助計算!$F$2:$F$801, 0)+1)), "")&lt;&gt;IFERROR(INDEX(ERP資料!$A:$A, MATCH(739, 輔助計算!$F$2:$F$801, 0)+1), "")), IFERROR(INDEX(ERP資料!$A:$A, (MATCH(740, 輔助計算!$F$2:$F$801, 0)+1)), ""), ""), "")</f>
        <v/>
      </c>
      <c r="C741" s="10">
        <f>IFERROR(IF(AND(IFERROR(INDEX(ERP資料!$A:$A, (MATCH(740, 輔助計算!$F$2:$F$801, 0)+1)), "")&lt;&gt;"", IFERROR(INDEX(ERP資料!$A:$A, (MATCH(740, 輔助計算!$F$2:$F$801, 0)+1)), "")&lt;&gt;IFERROR(INDEX(ERP資料!$A:$A, MATCH(739, 輔助計算!$F$2:$F$801, 0)+1), "")), INDEX(ERP資料!$S:$S, (MATCH(740, 輔助計算!$F$2:$F$801, 0)+1)), ""), "")</f>
        <v/>
      </c>
      <c r="D741" s="10">
        <f>IFERROR(IF(INDEX(ERP資料!$E:$E, (MATCH(740, 輔助計算!$F$2:$F$801, 0)+1))="","",TRIM(INDEX(ERP資料!$E:$E, (MATCH(740, 輔助計算!$F$2:$F$801, 0)+1)))), "")</f>
        <v/>
      </c>
      <c r="E741" s="10">
        <f>IFERROR(IF(INDEX(ERP資料!$F:$F, (MATCH(740, 輔助計算!$F$2:$F$801, 0)+1))="","",INDEX(ERP資料!$F:$F, (MATCH(740, 輔助計算!$F$2:$F$801, 0)+1))), "")</f>
        <v/>
      </c>
      <c r="F741" s="10">
        <f>IFERROR(IF(INDEX(ERP資料!$G:$G, (MATCH(740, 輔助計算!$F$2:$F$801, 0)+1))="","",INDEX(ERP資料!$G:$G, (MATCH(740, 輔助計算!$F$2:$F$801, 0)+1))), "")</f>
        <v/>
      </c>
      <c r="G741" s="10">
        <f>IFERROR(IF(INDEX(ERP資料!$H:$H, (MATCH(740, 輔助計算!$F$2:$F$801, 0)+1))="","",INDEX(ERP資料!$H:$H, (MATCH(740, 輔助計算!$F$2:$F$801, 0)+1))), "")</f>
        <v/>
      </c>
      <c r="H741" s="10">
        <f>IFERROR(IF(INDEX(ERP資料!$O:$O, (MATCH(740, 輔助計算!$F$2:$F$801, 0)+1))="","",INDEX(ERP資料!$O:$O, (MATCH(740, 輔助計算!$F$2:$F$801, 0)+1))), "")</f>
        <v/>
      </c>
      <c r="I741" s="15">
        <f>IFERROR(IF(INDEX(輔助計算!$D:$D,(MATCH(740, 輔助計算!$F$2:$F$801, 0)+1))="","",INDEX(輔助計算!$D:$D,(MATCH(740, 輔助計算!$F$2:$F$801, 0)+1))*INDEX(ERP資料!$O:$O,(MATCH(740, 輔助計算!$F$2:$F$801, 0)+1))), "")</f>
        <v/>
      </c>
      <c r="J741" s="16" t="n"/>
      <c r="K741" s="15">
        <f>IFERROR(INDEX(輔助計算!$D:$D, (MATCH(740, 輔助計算!$F$2:$F$801, 0)+1)), "")</f>
        <v/>
      </c>
      <c r="L741" s="16">
        <f>IFERROR(IF(AND(IFERROR(VLOOKUP(LEFT(INDEX(ERP資料!$S:$S, (MATCH(740, 輔助計算!$F$2:$F$801, 0)+1)), 4), 100張客戶!$A:$A, 1, FALSE), "")&lt;&gt;"", OR(INDEX(ERP資料!$F:$F, (MATCH(740, 輔助計算!$F$2:$F$801, 0)+1))=270, INDEX(ERP資料!$F:$F, (MATCH(740, 輔助計算!$F$2:$F$801, 0)+1))=300)), "100張", ""), "")</f>
        <v/>
      </c>
      <c r="M741" s="17" t="n"/>
      <c r="N741" s="17">
        <f>IF($F741="","",$F741)</f>
        <v/>
      </c>
      <c r="O741" s="17">
        <f>IF($G741="","",$G741)</f>
        <v/>
      </c>
      <c r="P741" s="17">
        <f>IF($K741="","",$K741)</f>
        <v/>
      </c>
      <c r="Q741" s="16" t="n"/>
      <c r="R741" s="18" t="n"/>
      <c r="S741" s="16" t="n"/>
    </row>
    <row r="742">
      <c r="A742" s="14">
        <f>IFERROR(IF(AND(IFERROR(INDEX(ERP資料!$A:$A, (MATCH(741, 輔助計算!$F$2:$F$801, 0)+1)), "")&lt;&gt;"", IFERROR(INDEX(ERP資料!$A:$A, (MATCH(741, 輔助計算!$F$2:$F$801, 0)+1)), "")&lt;&gt;IFERROR(INDEX(ERP資料!$A:$A, MATCH(740, 輔助計算!$F$2:$F$801, 0)+1), "")), INDEX(ERP資料!$B:$B, (MATCH(741, 輔助計算!$F$2:$F$801, 0)+1)), ""), "")</f>
        <v/>
      </c>
      <c r="B742" s="10">
        <f>IFERROR(IF(AND(IFERROR(INDEX(ERP資料!$A:$A, (MATCH(741, 輔助計算!$F$2:$F$801, 0)+1)), "")&lt;&gt;"", IFERROR(INDEX(ERP資料!$A:$A, (MATCH(741, 輔助計算!$F$2:$F$801, 0)+1)), "")&lt;&gt;IFERROR(INDEX(ERP資料!$A:$A, MATCH(740, 輔助計算!$F$2:$F$801, 0)+1), "")), IFERROR(INDEX(ERP資料!$A:$A, (MATCH(741, 輔助計算!$F$2:$F$801, 0)+1)), ""), ""), "")</f>
        <v/>
      </c>
      <c r="C742" s="10">
        <f>IFERROR(IF(AND(IFERROR(INDEX(ERP資料!$A:$A, (MATCH(741, 輔助計算!$F$2:$F$801, 0)+1)), "")&lt;&gt;"", IFERROR(INDEX(ERP資料!$A:$A, (MATCH(741, 輔助計算!$F$2:$F$801, 0)+1)), "")&lt;&gt;IFERROR(INDEX(ERP資料!$A:$A, MATCH(740, 輔助計算!$F$2:$F$801, 0)+1), "")), INDEX(ERP資料!$S:$S, (MATCH(741, 輔助計算!$F$2:$F$801, 0)+1)), ""), "")</f>
        <v/>
      </c>
      <c r="D742" s="10">
        <f>IFERROR(IF(INDEX(ERP資料!$E:$E, (MATCH(741, 輔助計算!$F$2:$F$801, 0)+1))="","",TRIM(INDEX(ERP資料!$E:$E, (MATCH(741, 輔助計算!$F$2:$F$801, 0)+1)))), "")</f>
        <v/>
      </c>
      <c r="E742" s="10">
        <f>IFERROR(IF(INDEX(ERP資料!$F:$F, (MATCH(741, 輔助計算!$F$2:$F$801, 0)+1))="","",INDEX(ERP資料!$F:$F, (MATCH(741, 輔助計算!$F$2:$F$801, 0)+1))), "")</f>
        <v/>
      </c>
      <c r="F742" s="10">
        <f>IFERROR(IF(INDEX(ERP資料!$G:$G, (MATCH(741, 輔助計算!$F$2:$F$801, 0)+1))="","",INDEX(ERP資料!$G:$G, (MATCH(741, 輔助計算!$F$2:$F$801, 0)+1))), "")</f>
        <v/>
      </c>
      <c r="G742" s="10">
        <f>IFERROR(IF(INDEX(ERP資料!$H:$H, (MATCH(741, 輔助計算!$F$2:$F$801, 0)+1))="","",INDEX(ERP資料!$H:$H, (MATCH(741, 輔助計算!$F$2:$F$801, 0)+1))), "")</f>
        <v/>
      </c>
      <c r="H742" s="10">
        <f>IFERROR(IF(INDEX(ERP資料!$O:$O, (MATCH(741, 輔助計算!$F$2:$F$801, 0)+1))="","",INDEX(ERP資料!$O:$O, (MATCH(741, 輔助計算!$F$2:$F$801, 0)+1))), "")</f>
        <v/>
      </c>
      <c r="I742" s="15">
        <f>IFERROR(IF(INDEX(輔助計算!$D:$D,(MATCH(741, 輔助計算!$F$2:$F$801, 0)+1))="","",INDEX(輔助計算!$D:$D,(MATCH(741, 輔助計算!$F$2:$F$801, 0)+1))*INDEX(ERP資料!$O:$O,(MATCH(741, 輔助計算!$F$2:$F$801, 0)+1))), "")</f>
        <v/>
      </c>
      <c r="J742" s="16" t="n"/>
      <c r="K742" s="15">
        <f>IFERROR(INDEX(輔助計算!$D:$D, (MATCH(741, 輔助計算!$F$2:$F$801, 0)+1)), "")</f>
        <v/>
      </c>
      <c r="L742" s="16">
        <f>IFERROR(IF(AND(IFERROR(VLOOKUP(LEFT(INDEX(ERP資料!$S:$S, (MATCH(741, 輔助計算!$F$2:$F$801, 0)+1)), 4), 100張客戶!$A:$A, 1, FALSE), "")&lt;&gt;"", OR(INDEX(ERP資料!$F:$F, (MATCH(741, 輔助計算!$F$2:$F$801, 0)+1))=270, INDEX(ERP資料!$F:$F, (MATCH(741, 輔助計算!$F$2:$F$801, 0)+1))=300)), "100張", ""), "")</f>
        <v/>
      </c>
      <c r="M742" s="17" t="n"/>
      <c r="N742" s="17">
        <f>IF($F742="","",$F742)</f>
        <v/>
      </c>
      <c r="O742" s="17">
        <f>IF($G742="","",$G742)</f>
        <v/>
      </c>
      <c r="P742" s="17">
        <f>IF($K742="","",$K742)</f>
        <v/>
      </c>
      <c r="Q742" s="16" t="n"/>
      <c r="R742" s="18" t="n"/>
      <c r="S742" s="16" t="n"/>
    </row>
    <row r="743">
      <c r="A743" s="14">
        <f>IFERROR(IF(AND(IFERROR(INDEX(ERP資料!$A:$A, (MATCH(742, 輔助計算!$F$2:$F$801, 0)+1)), "")&lt;&gt;"", IFERROR(INDEX(ERP資料!$A:$A, (MATCH(742, 輔助計算!$F$2:$F$801, 0)+1)), "")&lt;&gt;IFERROR(INDEX(ERP資料!$A:$A, MATCH(741, 輔助計算!$F$2:$F$801, 0)+1), "")), INDEX(ERP資料!$B:$B, (MATCH(742, 輔助計算!$F$2:$F$801, 0)+1)), ""), "")</f>
        <v/>
      </c>
      <c r="B743" s="10">
        <f>IFERROR(IF(AND(IFERROR(INDEX(ERP資料!$A:$A, (MATCH(742, 輔助計算!$F$2:$F$801, 0)+1)), "")&lt;&gt;"", IFERROR(INDEX(ERP資料!$A:$A, (MATCH(742, 輔助計算!$F$2:$F$801, 0)+1)), "")&lt;&gt;IFERROR(INDEX(ERP資料!$A:$A, MATCH(741, 輔助計算!$F$2:$F$801, 0)+1), "")), IFERROR(INDEX(ERP資料!$A:$A, (MATCH(742, 輔助計算!$F$2:$F$801, 0)+1)), ""), ""), "")</f>
        <v/>
      </c>
      <c r="C743" s="10">
        <f>IFERROR(IF(AND(IFERROR(INDEX(ERP資料!$A:$A, (MATCH(742, 輔助計算!$F$2:$F$801, 0)+1)), "")&lt;&gt;"", IFERROR(INDEX(ERP資料!$A:$A, (MATCH(742, 輔助計算!$F$2:$F$801, 0)+1)), "")&lt;&gt;IFERROR(INDEX(ERP資料!$A:$A, MATCH(741, 輔助計算!$F$2:$F$801, 0)+1), "")), INDEX(ERP資料!$S:$S, (MATCH(742, 輔助計算!$F$2:$F$801, 0)+1)), ""), "")</f>
        <v/>
      </c>
      <c r="D743" s="10">
        <f>IFERROR(IF(INDEX(ERP資料!$E:$E, (MATCH(742, 輔助計算!$F$2:$F$801, 0)+1))="","",TRIM(INDEX(ERP資料!$E:$E, (MATCH(742, 輔助計算!$F$2:$F$801, 0)+1)))), "")</f>
        <v/>
      </c>
      <c r="E743" s="10">
        <f>IFERROR(IF(INDEX(ERP資料!$F:$F, (MATCH(742, 輔助計算!$F$2:$F$801, 0)+1))="","",INDEX(ERP資料!$F:$F, (MATCH(742, 輔助計算!$F$2:$F$801, 0)+1))), "")</f>
        <v/>
      </c>
      <c r="F743" s="10">
        <f>IFERROR(IF(INDEX(ERP資料!$G:$G, (MATCH(742, 輔助計算!$F$2:$F$801, 0)+1))="","",INDEX(ERP資料!$G:$G, (MATCH(742, 輔助計算!$F$2:$F$801, 0)+1))), "")</f>
        <v/>
      </c>
      <c r="G743" s="10">
        <f>IFERROR(IF(INDEX(ERP資料!$H:$H, (MATCH(742, 輔助計算!$F$2:$F$801, 0)+1))="","",INDEX(ERP資料!$H:$H, (MATCH(742, 輔助計算!$F$2:$F$801, 0)+1))), "")</f>
        <v/>
      </c>
      <c r="H743" s="10">
        <f>IFERROR(IF(INDEX(ERP資料!$O:$O, (MATCH(742, 輔助計算!$F$2:$F$801, 0)+1))="","",INDEX(ERP資料!$O:$O, (MATCH(742, 輔助計算!$F$2:$F$801, 0)+1))), "")</f>
        <v/>
      </c>
      <c r="I743" s="15">
        <f>IFERROR(IF(INDEX(輔助計算!$D:$D,(MATCH(742, 輔助計算!$F$2:$F$801, 0)+1))="","",INDEX(輔助計算!$D:$D,(MATCH(742, 輔助計算!$F$2:$F$801, 0)+1))*INDEX(ERP資料!$O:$O,(MATCH(742, 輔助計算!$F$2:$F$801, 0)+1))), "")</f>
        <v/>
      </c>
      <c r="J743" s="16" t="n"/>
      <c r="K743" s="15">
        <f>IFERROR(INDEX(輔助計算!$D:$D, (MATCH(742, 輔助計算!$F$2:$F$801, 0)+1)), "")</f>
        <v/>
      </c>
      <c r="L743" s="16">
        <f>IFERROR(IF(AND(IFERROR(VLOOKUP(LEFT(INDEX(ERP資料!$S:$S, (MATCH(742, 輔助計算!$F$2:$F$801, 0)+1)), 4), 100張客戶!$A:$A, 1, FALSE), "")&lt;&gt;"", OR(INDEX(ERP資料!$F:$F, (MATCH(742, 輔助計算!$F$2:$F$801, 0)+1))=270, INDEX(ERP資料!$F:$F, (MATCH(742, 輔助計算!$F$2:$F$801, 0)+1))=300)), "100張", ""), "")</f>
        <v/>
      </c>
      <c r="M743" s="17" t="n"/>
      <c r="N743" s="17">
        <f>IF($F743="","",$F743)</f>
        <v/>
      </c>
      <c r="O743" s="17">
        <f>IF($G743="","",$G743)</f>
        <v/>
      </c>
      <c r="P743" s="17">
        <f>IF($K743="","",$K743)</f>
        <v/>
      </c>
      <c r="Q743" s="16" t="n"/>
      <c r="R743" s="18" t="n"/>
      <c r="S743" s="16" t="n"/>
    </row>
    <row r="744">
      <c r="A744" s="14">
        <f>IFERROR(IF(AND(IFERROR(INDEX(ERP資料!$A:$A, (MATCH(743, 輔助計算!$F$2:$F$801, 0)+1)), "")&lt;&gt;"", IFERROR(INDEX(ERP資料!$A:$A, (MATCH(743, 輔助計算!$F$2:$F$801, 0)+1)), "")&lt;&gt;IFERROR(INDEX(ERP資料!$A:$A, MATCH(742, 輔助計算!$F$2:$F$801, 0)+1), "")), INDEX(ERP資料!$B:$B, (MATCH(743, 輔助計算!$F$2:$F$801, 0)+1)), ""), "")</f>
        <v/>
      </c>
      <c r="B744" s="10">
        <f>IFERROR(IF(AND(IFERROR(INDEX(ERP資料!$A:$A, (MATCH(743, 輔助計算!$F$2:$F$801, 0)+1)), "")&lt;&gt;"", IFERROR(INDEX(ERP資料!$A:$A, (MATCH(743, 輔助計算!$F$2:$F$801, 0)+1)), "")&lt;&gt;IFERROR(INDEX(ERP資料!$A:$A, MATCH(742, 輔助計算!$F$2:$F$801, 0)+1), "")), IFERROR(INDEX(ERP資料!$A:$A, (MATCH(743, 輔助計算!$F$2:$F$801, 0)+1)), ""), ""), "")</f>
        <v/>
      </c>
      <c r="C744" s="10">
        <f>IFERROR(IF(AND(IFERROR(INDEX(ERP資料!$A:$A, (MATCH(743, 輔助計算!$F$2:$F$801, 0)+1)), "")&lt;&gt;"", IFERROR(INDEX(ERP資料!$A:$A, (MATCH(743, 輔助計算!$F$2:$F$801, 0)+1)), "")&lt;&gt;IFERROR(INDEX(ERP資料!$A:$A, MATCH(742, 輔助計算!$F$2:$F$801, 0)+1), "")), INDEX(ERP資料!$S:$S, (MATCH(743, 輔助計算!$F$2:$F$801, 0)+1)), ""), "")</f>
        <v/>
      </c>
      <c r="D744" s="10">
        <f>IFERROR(IF(INDEX(ERP資料!$E:$E, (MATCH(743, 輔助計算!$F$2:$F$801, 0)+1))="","",TRIM(INDEX(ERP資料!$E:$E, (MATCH(743, 輔助計算!$F$2:$F$801, 0)+1)))), "")</f>
        <v/>
      </c>
      <c r="E744" s="10">
        <f>IFERROR(IF(INDEX(ERP資料!$F:$F, (MATCH(743, 輔助計算!$F$2:$F$801, 0)+1))="","",INDEX(ERP資料!$F:$F, (MATCH(743, 輔助計算!$F$2:$F$801, 0)+1))), "")</f>
        <v/>
      </c>
      <c r="F744" s="10">
        <f>IFERROR(IF(INDEX(ERP資料!$G:$G, (MATCH(743, 輔助計算!$F$2:$F$801, 0)+1))="","",INDEX(ERP資料!$G:$G, (MATCH(743, 輔助計算!$F$2:$F$801, 0)+1))), "")</f>
        <v/>
      </c>
      <c r="G744" s="10">
        <f>IFERROR(IF(INDEX(ERP資料!$H:$H, (MATCH(743, 輔助計算!$F$2:$F$801, 0)+1))="","",INDEX(ERP資料!$H:$H, (MATCH(743, 輔助計算!$F$2:$F$801, 0)+1))), "")</f>
        <v/>
      </c>
      <c r="H744" s="10">
        <f>IFERROR(IF(INDEX(ERP資料!$O:$O, (MATCH(743, 輔助計算!$F$2:$F$801, 0)+1))="","",INDEX(ERP資料!$O:$O, (MATCH(743, 輔助計算!$F$2:$F$801, 0)+1))), "")</f>
        <v/>
      </c>
      <c r="I744" s="15">
        <f>IFERROR(IF(INDEX(輔助計算!$D:$D,(MATCH(743, 輔助計算!$F$2:$F$801, 0)+1))="","",INDEX(輔助計算!$D:$D,(MATCH(743, 輔助計算!$F$2:$F$801, 0)+1))*INDEX(ERP資料!$O:$O,(MATCH(743, 輔助計算!$F$2:$F$801, 0)+1))), "")</f>
        <v/>
      </c>
      <c r="J744" s="16" t="n"/>
      <c r="K744" s="15">
        <f>IFERROR(INDEX(輔助計算!$D:$D, (MATCH(743, 輔助計算!$F$2:$F$801, 0)+1)), "")</f>
        <v/>
      </c>
      <c r="L744" s="16">
        <f>IFERROR(IF(AND(IFERROR(VLOOKUP(LEFT(INDEX(ERP資料!$S:$S, (MATCH(743, 輔助計算!$F$2:$F$801, 0)+1)), 4), 100張客戶!$A:$A, 1, FALSE), "")&lt;&gt;"", OR(INDEX(ERP資料!$F:$F, (MATCH(743, 輔助計算!$F$2:$F$801, 0)+1))=270, INDEX(ERP資料!$F:$F, (MATCH(743, 輔助計算!$F$2:$F$801, 0)+1))=300)), "100張", ""), "")</f>
        <v/>
      </c>
      <c r="M744" s="17" t="n"/>
      <c r="N744" s="17">
        <f>IF($F744="","",$F744)</f>
        <v/>
      </c>
      <c r="O744" s="17">
        <f>IF($G744="","",$G744)</f>
        <v/>
      </c>
      <c r="P744" s="17">
        <f>IF($K744="","",$K744)</f>
        <v/>
      </c>
      <c r="Q744" s="16" t="n"/>
      <c r="R744" s="18" t="n"/>
      <c r="S744" s="16" t="n"/>
    </row>
    <row r="745">
      <c r="A745" s="14">
        <f>IFERROR(IF(AND(IFERROR(INDEX(ERP資料!$A:$A, (MATCH(744, 輔助計算!$F$2:$F$801, 0)+1)), "")&lt;&gt;"", IFERROR(INDEX(ERP資料!$A:$A, (MATCH(744, 輔助計算!$F$2:$F$801, 0)+1)), "")&lt;&gt;IFERROR(INDEX(ERP資料!$A:$A, MATCH(743, 輔助計算!$F$2:$F$801, 0)+1), "")), INDEX(ERP資料!$B:$B, (MATCH(744, 輔助計算!$F$2:$F$801, 0)+1)), ""), "")</f>
        <v/>
      </c>
      <c r="B745" s="10">
        <f>IFERROR(IF(AND(IFERROR(INDEX(ERP資料!$A:$A, (MATCH(744, 輔助計算!$F$2:$F$801, 0)+1)), "")&lt;&gt;"", IFERROR(INDEX(ERP資料!$A:$A, (MATCH(744, 輔助計算!$F$2:$F$801, 0)+1)), "")&lt;&gt;IFERROR(INDEX(ERP資料!$A:$A, MATCH(743, 輔助計算!$F$2:$F$801, 0)+1), "")), IFERROR(INDEX(ERP資料!$A:$A, (MATCH(744, 輔助計算!$F$2:$F$801, 0)+1)), ""), ""), "")</f>
        <v/>
      </c>
      <c r="C745" s="10">
        <f>IFERROR(IF(AND(IFERROR(INDEX(ERP資料!$A:$A, (MATCH(744, 輔助計算!$F$2:$F$801, 0)+1)), "")&lt;&gt;"", IFERROR(INDEX(ERP資料!$A:$A, (MATCH(744, 輔助計算!$F$2:$F$801, 0)+1)), "")&lt;&gt;IFERROR(INDEX(ERP資料!$A:$A, MATCH(743, 輔助計算!$F$2:$F$801, 0)+1), "")), INDEX(ERP資料!$S:$S, (MATCH(744, 輔助計算!$F$2:$F$801, 0)+1)), ""), "")</f>
        <v/>
      </c>
      <c r="D745" s="10">
        <f>IFERROR(IF(INDEX(ERP資料!$E:$E, (MATCH(744, 輔助計算!$F$2:$F$801, 0)+1))="","",TRIM(INDEX(ERP資料!$E:$E, (MATCH(744, 輔助計算!$F$2:$F$801, 0)+1)))), "")</f>
        <v/>
      </c>
      <c r="E745" s="10">
        <f>IFERROR(IF(INDEX(ERP資料!$F:$F, (MATCH(744, 輔助計算!$F$2:$F$801, 0)+1))="","",INDEX(ERP資料!$F:$F, (MATCH(744, 輔助計算!$F$2:$F$801, 0)+1))), "")</f>
        <v/>
      </c>
      <c r="F745" s="10">
        <f>IFERROR(IF(INDEX(ERP資料!$G:$G, (MATCH(744, 輔助計算!$F$2:$F$801, 0)+1))="","",INDEX(ERP資料!$G:$G, (MATCH(744, 輔助計算!$F$2:$F$801, 0)+1))), "")</f>
        <v/>
      </c>
      <c r="G745" s="10">
        <f>IFERROR(IF(INDEX(ERP資料!$H:$H, (MATCH(744, 輔助計算!$F$2:$F$801, 0)+1))="","",INDEX(ERP資料!$H:$H, (MATCH(744, 輔助計算!$F$2:$F$801, 0)+1))), "")</f>
        <v/>
      </c>
      <c r="H745" s="10">
        <f>IFERROR(IF(INDEX(ERP資料!$O:$O, (MATCH(744, 輔助計算!$F$2:$F$801, 0)+1))="","",INDEX(ERP資料!$O:$O, (MATCH(744, 輔助計算!$F$2:$F$801, 0)+1))), "")</f>
        <v/>
      </c>
      <c r="I745" s="15">
        <f>IFERROR(IF(INDEX(輔助計算!$D:$D,(MATCH(744, 輔助計算!$F$2:$F$801, 0)+1))="","",INDEX(輔助計算!$D:$D,(MATCH(744, 輔助計算!$F$2:$F$801, 0)+1))*INDEX(ERP資料!$O:$O,(MATCH(744, 輔助計算!$F$2:$F$801, 0)+1))), "")</f>
        <v/>
      </c>
      <c r="J745" s="16" t="n"/>
      <c r="K745" s="15">
        <f>IFERROR(INDEX(輔助計算!$D:$D, (MATCH(744, 輔助計算!$F$2:$F$801, 0)+1)), "")</f>
        <v/>
      </c>
      <c r="L745" s="16">
        <f>IFERROR(IF(AND(IFERROR(VLOOKUP(LEFT(INDEX(ERP資料!$S:$S, (MATCH(744, 輔助計算!$F$2:$F$801, 0)+1)), 4), 100張客戶!$A:$A, 1, FALSE), "")&lt;&gt;"", OR(INDEX(ERP資料!$F:$F, (MATCH(744, 輔助計算!$F$2:$F$801, 0)+1))=270, INDEX(ERP資料!$F:$F, (MATCH(744, 輔助計算!$F$2:$F$801, 0)+1))=300)), "100張", ""), "")</f>
        <v/>
      </c>
      <c r="M745" s="17" t="n"/>
      <c r="N745" s="17">
        <f>IF($F745="","",$F745)</f>
        <v/>
      </c>
      <c r="O745" s="17">
        <f>IF($G745="","",$G745)</f>
        <v/>
      </c>
      <c r="P745" s="17">
        <f>IF($K745="","",$K745)</f>
        <v/>
      </c>
      <c r="Q745" s="16" t="n"/>
      <c r="R745" s="18" t="n"/>
      <c r="S745" s="16" t="n"/>
    </row>
    <row r="746">
      <c r="A746" s="14">
        <f>IFERROR(IF(AND(IFERROR(INDEX(ERP資料!$A:$A, (MATCH(745, 輔助計算!$F$2:$F$801, 0)+1)), "")&lt;&gt;"", IFERROR(INDEX(ERP資料!$A:$A, (MATCH(745, 輔助計算!$F$2:$F$801, 0)+1)), "")&lt;&gt;IFERROR(INDEX(ERP資料!$A:$A, MATCH(744, 輔助計算!$F$2:$F$801, 0)+1), "")), INDEX(ERP資料!$B:$B, (MATCH(745, 輔助計算!$F$2:$F$801, 0)+1)), ""), "")</f>
        <v/>
      </c>
      <c r="B746" s="10">
        <f>IFERROR(IF(AND(IFERROR(INDEX(ERP資料!$A:$A, (MATCH(745, 輔助計算!$F$2:$F$801, 0)+1)), "")&lt;&gt;"", IFERROR(INDEX(ERP資料!$A:$A, (MATCH(745, 輔助計算!$F$2:$F$801, 0)+1)), "")&lt;&gt;IFERROR(INDEX(ERP資料!$A:$A, MATCH(744, 輔助計算!$F$2:$F$801, 0)+1), "")), IFERROR(INDEX(ERP資料!$A:$A, (MATCH(745, 輔助計算!$F$2:$F$801, 0)+1)), ""), ""), "")</f>
        <v/>
      </c>
      <c r="C746" s="10">
        <f>IFERROR(IF(AND(IFERROR(INDEX(ERP資料!$A:$A, (MATCH(745, 輔助計算!$F$2:$F$801, 0)+1)), "")&lt;&gt;"", IFERROR(INDEX(ERP資料!$A:$A, (MATCH(745, 輔助計算!$F$2:$F$801, 0)+1)), "")&lt;&gt;IFERROR(INDEX(ERP資料!$A:$A, MATCH(744, 輔助計算!$F$2:$F$801, 0)+1), "")), INDEX(ERP資料!$S:$S, (MATCH(745, 輔助計算!$F$2:$F$801, 0)+1)), ""), "")</f>
        <v/>
      </c>
      <c r="D746" s="10">
        <f>IFERROR(IF(INDEX(ERP資料!$E:$E, (MATCH(745, 輔助計算!$F$2:$F$801, 0)+1))="","",TRIM(INDEX(ERP資料!$E:$E, (MATCH(745, 輔助計算!$F$2:$F$801, 0)+1)))), "")</f>
        <v/>
      </c>
      <c r="E746" s="10">
        <f>IFERROR(IF(INDEX(ERP資料!$F:$F, (MATCH(745, 輔助計算!$F$2:$F$801, 0)+1))="","",INDEX(ERP資料!$F:$F, (MATCH(745, 輔助計算!$F$2:$F$801, 0)+1))), "")</f>
        <v/>
      </c>
      <c r="F746" s="10">
        <f>IFERROR(IF(INDEX(ERP資料!$G:$G, (MATCH(745, 輔助計算!$F$2:$F$801, 0)+1))="","",INDEX(ERP資料!$G:$G, (MATCH(745, 輔助計算!$F$2:$F$801, 0)+1))), "")</f>
        <v/>
      </c>
      <c r="G746" s="10">
        <f>IFERROR(IF(INDEX(ERP資料!$H:$H, (MATCH(745, 輔助計算!$F$2:$F$801, 0)+1))="","",INDEX(ERP資料!$H:$H, (MATCH(745, 輔助計算!$F$2:$F$801, 0)+1))), "")</f>
        <v/>
      </c>
      <c r="H746" s="10">
        <f>IFERROR(IF(INDEX(ERP資料!$O:$O, (MATCH(745, 輔助計算!$F$2:$F$801, 0)+1))="","",INDEX(ERP資料!$O:$O, (MATCH(745, 輔助計算!$F$2:$F$801, 0)+1))), "")</f>
        <v/>
      </c>
      <c r="I746" s="15">
        <f>IFERROR(IF(INDEX(輔助計算!$D:$D,(MATCH(745, 輔助計算!$F$2:$F$801, 0)+1))="","",INDEX(輔助計算!$D:$D,(MATCH(745, 輔助計算!$F$2:$F$801, 0)+1))*INDEX(ERP資料!$O:$O,(MATCH(745, 輔助計算!$F$2:$F$801, 0)+1))), "")</f>
        <v/>
      </c>
      <c r="J746" s="16" t="n"/>
      <c r="K746" s="15">
        <f>IFERROR(INDEX(輔助計算!$D:$D, (MATCH(745, 輔助計算!$F$2:$F$801, 0)+1)), "")</f>
        <v/>
      </c>
      <c r="L746" s="16">
        <f>IFERROR(IF(AND(IFERROR(VLOOKUP(LEFT(INDEX(ERP資料!$S:$S, (MATCH(745, 輔助計算!$F$2:$F$801, 0)+1)), 4), 100張客戶!$A:$A, 1, FALSE), "")&lt;&gt;"", OR(INDEX(ERP資料!$F:$F, (MATCH(745, 輔助計算!$F$2:$F$801, 0)+1))=270, INDEX(ERP資料!$F:$F, (MATCH(745, 輔助計算!$F$2:$F$801, 0)+1))=300)), "100張", ""), "")</f>
        <v/>
      </c>
      <c r="M746" s="17" t="n"/>
      <c r="N746" s="17">
        <f>IF($F746="","",$F746)</f>
        <v/>
      </c>
      <c r="O746" s="17">
        <f>IF($G746="","",$G746)</f>
        <v/>
      </c>
      <c r="P746" s="17">
        <f>IF($K746="","",$K746)</f>
        <v/>
      </c>
      <c r="Q746" s="16" t="n"/>
      <c r="R746" s="18" t="n"/>
      <c r="S746" s="16" t="n"/>
    </row>
    <row r="747">
      <c r="A747" s="14">
        <f>IFERROR(IF(AND(IFERROR(INDEX(ERP資料!$A:$A, (MATCH(746, 輔助計算!$F$2:$F$801, 0)+1)), "")&lt;&gt;"", IFERROR(INDEX(ERP資料!$A:$A, (MATCH(746, 輔助計算!$F$2:$F$801, 0)+1)), "")&lt;&gt;IFERROR(INDEX(ERP資料!$A:$A, MATCH(745, 輔助計算!$F$2:$F$801, 0)+1), "")), INDEX(ERP資料!$B:$B, (MATCH(746, 輔助計算!$F$2:$F$801, 0)+1)), ""), "")</f>
        <v/>
      </c>
      <c r="B747" s="10">
        <f>IFERROR(IF(AND(IFERROR(INDEX(ERP資料!$A:$A, (MATCH(746, 輔助計算!$F$2:$F$801, 0)+1)), "")&lt;&gt;"", IFERROR(INDEX(ERP資料!$A:$A, (MATCH(746, 輔助計算!$F$2:$F$801, 0)+1)), "")&lt;&gt;IFERROR(INDEX(ERP資料!$A:$A, MATCH(745, 輔助計算!$F$2:$F$801, 0)+1), "")), IFERROR(INDEX(ERP資料!$A:$A, (MATCH(746, 輔助計算!$F$2:$F$801, 0)+1)), ""), ""), "")</f>
        <v/>
      </c>
      <c r="C747" s="10">
        <f>IFERROR(IF(AND(IFERROR(INDEX(ERP資料!$A:$A, (MATCH(746, 輔助計算!$F$2:$F$801, 0)+1)), "")&lt;&gt;"", IFERROR(INDEX(ERP資料!$A:$A, (MATCH(746, 輔助計算!$F$2:$F$801, 0)+1)), "")&lt;&gt;IFERROR(INDEX(ERP資料!$A:$A, MATCH(745, 輔助計算!$F$2:$F$801, 0)+1), "")), INDEX(ERP資料!$S:$S, (MATCH(746, 輔助計算!$F$2:$F$801, 0)+1)), ""), "")</f>
        <v/>
      </c>
      <c r="D747" s="10">
        <f>IFERROR(IF(INDEX(ERP資料!$E:$E, (MATCH(746, 輔助計算!$F$2:$F$801, 0)+1))="","",TRIM(INDEX(ERP資料!$E:$E, (MATCH(746, 輔助計算!$F$2:$F$801, 0)+1)))), "")</f>
        <v/>
      </c>
      <c r="E747" s="10">
        <f>IFERROR(IF(INDEX(ERP資料!$F:$F, (MATCH(746, 輔助計算!$F$2:$F$801, 0)+1))="","",INDEX(ERP資料!$F:$F, (MATCH(746, 輔助計算!$F$2:$F$801, 0)+1))), "")</f>
        <v/>
      </c>
      <c r="F747" s="10">
        <f>IFERROR(IF(INDEX(ERP資料!$G:$G, (MATCH(746, 輔助計算!$F$2:$F$801, 0)+1))="","",INDEX(ERP資料!$G:$G, (MATCH(746, 輔助計算!$F$2:$F$801, 0)+1))), "")</f>
        <v/>
      </c>
      <c r="G747" s="10">
        <f>IFERROR(IF(INDEX(ERP資料!$H:$H, (MATCH(746, 輔助計算!$F$2:$F$801, 0)+1))="","",INDEX(ERP資料!$H:$H, (MATCH(746, 輔助計算!$F$2:$F$801, 0)+1))), "")</f>
        <v/>
      </c>
      <c r="H747" s="10">
        <f>IFERROR(IF(INDEX(ERP資料!$O:$O, (MATCH(746, 輔助計算!$F$2:$F$801, 0)+1))="","",INDEX(ERP資料!$O:$O, (MATCH(746, 輔助計算!$F$2:$F$801, 0)+1))), "")</f>
        <v/>
      </c>
      <c r="I747" s="15">
        <f>IFERROR(IF(INDEX(輔助計算!$D:$D,(MATCH(746, 輔助計算!$F$2:$F$801, 0)+1))="","",INDEX(輔助計算!$D:$D,(MATCH(746, 輔助計算!$F$2:$F$801, 0)+1))*INDEX(ERP資料!$O:$O,(MATCH(746, 輔助計算!$F$2:$F$801, 0)+1))), "")</f>
        <v/>
      </c>
      <c r="J747" s="16" t="n"/>
      <c r="K747" s="15">
        <f>IFERROR(INDEX(輔助計算!$D:$D, (MATCH(746, 輔助計算!$F$2:$F$801, 0)+1)), "")</f>
        <v/>
      </c>
      <c r="L747" s="16">
        <f>IFERROR(IF(AND(IFERROR(VLOOKUP(LEFT(INDEX(ERP資料!$S:$S, (MATCH(746, 輔助計算!$F$2:$F$801, 0)+1)), 4), 100張客戶!$A:$A, 1, FALSE), "")&lt;&gt;"", OR(INDEX(ERP資料!$F:$F, (MATCH(746, 輔助計算!$F$2:$F$801, 0)+1))=270, INDEX(ERP資料!$F:$F, (MATCH(746, 輔助計算!$F$2:$F$801, 0)+1))=300)), "100張", ""), "")</f>
        <v/>
      </c>
      <c r="M747" s="17" t="n"/>
      <c r="N747" s="17">
        <f>IF($F747="","",$F747)</f>
        <v/>
      </c>
      <c r="O747" s="17">
        <f>IF($G747="","",$G747)</f>
        <v/>
      </c>
      <c r="P747" s="17">
        <f>IF($K747="","",$K747)</f>
        <v/>
      </c>
      <c r="Q747" s="16" t="n"/>
      <c r="R747" s="18" t="n"/>
      <c r="S747" s="16" t="n"/>
    </row>
    <row r="748">
      <c r="A748" s="14">
        <f>IFERROR(IF(AND(IFERROR(INDEX(ERP資料!$A:$A, (MATCH(747, 輔助計算!$F$2:$F$801, 0)+1)), "")&lt;&gt;"", IFERROR(INDEX(ERP資料!$A:$A, (MATCH(747, 輔助計算!$F$2:$F$801, 0)+1)), "")&lt;&gt;IFERROR(INDEX(ERP資料!$A:$A, MATCH(746, 輔助計算!$F$2:$F$801, 0)+1), "")), INDEX(ERP資料!$B:$B, (MATCH(747, 輔助計算!$F$2:$F$801, 0)+1)), ""), "")</f>
        <v/>
      </c>
      <c r="B748" s="10">
        <f>IFERROR(IF(AND(IFERROR(INDEX(ERP資料!$A:$A, (MATCH(747, 輔助計算!$F$2:$F$801, 0)+1)), "")&lt;&gt;"", IFERROR(INDEX(ERP資料!$A:$A, (MATCH(747, 輔助計算!$F$2:$F$801, 0)+1)), "")&lt;&gt;IFERROR(INDEX(ERP資料!$A:$A, MATCH(746, 輔助計算!$F$2:$F$801, 0)+1), "")), IFERROR(INDEX(ERP資料!$A:$A, (MATCH(747, 輔助計算!$F$2:$F$801, 0)+1)), ""), ""), "")</f>
        <v/>
      </c>
      <c r="C748" s="10">
        <f>IFERROR(IF(AND(IFERROR(INDEX(ERP資料!$A:$A, (MATCH(747, 輔助計算!$F$2:$F$801, 0)+1)), "")&lt;&gt;"", IFERROR(INDEX(ERP資料!$A:$A, (MATCH(747, 輔助計算!$F$2:$F$801, 0)+1)), "")&lt;&gt;IFERROR(INDEX(ERP資料!$A:$A, MATCH(746, 輔助計算!$F$2:$F$801, 0)+1), "")), INDEX(ERP資料!$S:$S, (MATCH(747, 輔助計算!$F$2:$F$801, 0)+1)), ""), "")</f>
        <v/>
      </c>
      <c r="D748" s="10">
        <f>IFERROR(IF(INDEX(ERP資料!$E:$E, (MATCH(747, 輔助計算!$F$2:$F$801, 0)+1))="","",TRIM(INDEX(ERP資料!$E:$E, (MATCH(747, 輔助計算!$F$2:$F$801, 0)+1)))), "")</f>
        <v/>
      </c>
      <c r="E748" s="10">
        <f>IFERROR(IF(INDEX(ERP資料!$F:$F, (MATCH(747, 輔助計算!$F$2:$F$801, 0)+1))="","",INDEX(ERP資料!$F:$F, (MATCH(747, 輔助計算!$F$2:$F$801, 0)+1))), "")</f>
        <v/>
      </c>
      <c r="F748" s="10">
        <f>IFERROR(IF(INDEX(ERP資料!$G:$G, (MATCH(747, 輔助計算!$F$2:$F$801, 0)+1))="","",INDEX(ERP資料!$G:$G, (MATCH(747, 輔助計算!$F$2:$F$801, 0)+1))), "")</f>
        <v/>
      </c>
      <c r="G748" s="10">
        <f>IFERROR(IF(INDEX(ERP資料!$H:$H, (MATCH(747, 輔助計算!$F$2:$F$801, 0)+1))="","",INDEX(ERP資料!$H:$H, (MATCH(747, 輔助計算!$F$2:$F$801, 0)+1))), "")</f>
        <v/>
      </c>
      <c r="H748" s="10">
        <f>IFERROR(IF(INDEX(ERP資料!$O:$O, (MATCH(747, 輔助計算!$F$2:$F$801, 0)+1))="","",INDEX(ERP資料!$O:$O, (MATCH(747, 輔助計算!$F$2:$F$801, 0)+1))), "")</f>
        <v/>
      </c>
      <c r="I748" s="15">
        <f>IFERROR(IF(INDEX(輔助計算!$D:$D,(MATCH(747, 輔助計算!$F$2:$F$801, 0)+1))="","",INDEX(輔助計算!$D:$D,(MATCH(747, 輔助計算!$F$2:$F$801, 0)+1))*INDEX(ERP資料!$O:$O,(MATCH(747, 輔助計算!$F$2:$F$801, 0)+1))), "")</f>
        <v/>
      </c>
      <c r="J748" s="16" t="n"/>
      <c r="K748" s="15">
        <f>IFERROR(INDEX(輔助計算!$D:$D, (MATCH(747, 輔助計算!$F$2:$F$801, 0)+1)), "")</f>
        <v/>
      </c>
      <c r="L748" s="16">
        <f>IFERROR(IF(AND(IFERROR(VLOOKUP(LEFT(INDEX(ERP資料!$S:$S, (MATCH(747, 輔助計算!$F$2:$F$801, 0)+1)), 4), 100張客戶!$A:$A, 1, FALSE), "")&lt;&gt;"", OR(INDEX(ERP資料!$F:$F, (MATCH(747, 輔助計算!$F$2:$F$801, 0)+1))=270, INDEX(ERP資料!$F:$F, (MATCH(747, 輔助計算!$F$2:$F$801, 0)+1))=300)), "100張", ""), "")</f>
        <v/>
      </c>
      <c r="M748" s="17" t="n"/>
      <c r="N748" s="17">
        <f>IF($F748="","",$F748)</f>
        <v/>
      </c>
      <c r="O748" s="17">
        <f>IF($G748="","",$G748)</f>
        <v/>
      </c>
      <c r="P748" s="17">
        <f>IF($K748="","",$K748)</f>
        <v/>
      </c>
      <c r="Q748" s="16" t="n"/>
      <c r="R748" s="18" t="n"/>
      <c r="S748" s="16" t="n"/>
    </row>
    <row r="749">
      <c r="A749" s="14">
        <f>IFERROR(IF(AND(IFERROR(INDEX(ERP資料!$A:$A, (MATCH(748, 輔助計算!$F$2:$F$801, 0)+1)), "")&lt;&gt;"", IFERROR(INDEX(ERP資料!$A:$A, (MATCH(748, 輔助計算!$F$2:$F$801, 0)+1)), "")&lt;&gt;IFERROR(INDEX(ERP資料!$A:$A, MATCH(747, 輔助計算!$F$2:$F$801, 0)+1), "")), INDEX(ERP資料!$B:$B, (MATCH(748, 輔助計算!$F$2:$F$801, 0)+1)), ""), "")</f>
        <v/>
      </c>
      <c r="B749" s="10">
        <f>IFERROR(IF(AND(IFERROR(INDEX(ERP資料!$A:$A, (MATCH(748, 輔助計算!$F$2:$F$801, 0)+1)), "")&lt;&gt;"", IFERROR(INDEX(ERP資料!$A:$A, (MATCH(748, 輔助計算!$F$2:$F$801, 0)+1)), "")&lt;&gt;IFERROR(INDEX(ERP資料!$A:$A, MATCH(747, 輔助計算!$F$2:$F$801, 0)+1), "")), IFERROR(INDEX(ERP資料!$A:$A, (MATCH(748, 輔助計算!$F$2:$F$801, 0)+1)), ""), ""), "")</f>
        <v/>
      </c>
      <c r="C749" s="10">
        <f>IFERROR(IF(AND(IFERROR(INDEX(ERP資料!$A:$A, (MATCH(748, 輔助計算!$F$2:$F$801, 0)+1)), "")&lt;&gt;"", IFERROR(INDEX(ERP資料!$A:$A, (MATCH(748, 輔助計算!$F$2:$F$801, 0)+1)), "")&lt;&gt;IFERROR(INDEX(ERP資料!$A:$A, MATCH(747, 輔助計算!$F$2:$F$801, 0)+1), "")), INDEX(ERP資料!$S:$S, (MATCH(748, 輔助計算!$F$2:$F$801, 0)+1)), ""), "")</f>
        <v/>
      </c>
      <c r="D749" s="10">
        <f>IFERROR(IF(INDEX(ERP資料!$E:$E, (MATCH(748, 輔助計算!$F$2:$F$801, 0)+1))="","",TRIM(INDEX(ERP資料!$E:$E, (MATCH(748, 輔助計算!$F$2:$F$801, 0)+1)))), "")</f>
        <v/>
      </c>
      <c r="E749" s="10">
        <f>IFERROR(IF(INDEX(ERP資料!$F:$F, (MATCH(748, 輔助計算!$F$2:$F$801, 0)+1))="","",INDEX(ERP資料!$F:$F, (MATCH(748, 輔助計算!$F$2:$F$801, 0)+1))), "")</f>
        <v/>
      </c>
      <c r="F749" s="10">
        <f>IFERROR(IF(INDEX(ERP資料!$G:$G, (MATCH(748, 輔助計算!$F$2:$F$801, 0)+1))="","",INDEX(ERP資料!$G:$G, (MATCH(748, 輔助計算!$F$2:$F$801, 0)+1))), "")</f>
        <v/>
      </c>
      <c r="G749" s="10">
        <f>IFERROR(IF(INDEX(ERP資料!$H:$H, (MATCH(748, 輔助計算!$F$2:$F$801, 0)+1))="","",INDEX(ERP資料!$H:$H, (MATCH(748, 輔助計算!$F$2:$F$801, 0)+1))), "")</f>
        <v/>
      </c>
      <c r="H749" s="10">
        <f>IFERROR(IF(INDEX(ERP資料!$O:$O, (MATCH(748, 輔助計算!$F$2:$F$801, 0)+1))="","",INDEX(ERP資料!$O:$O, (MATCH(748, 輔助計算!$F$2:$F$801, 0)+1))), "")</f>
        <v/>
      </c>
      <c r="I749" s="15">
        <f>IFERROR(IF(INDEX(輔助計算!$D:$D,(MATCH(748, 輔助計算!$F$2:$F$801, 0)+1))="","",INDEX(輔助計算!$D:$D,(MATCH(748, 輔助計算!$F$2:$F$801, 0)+1))*INDEX(ERP資料!$O:$O,(MATCH(748, 輔助計算!$F$2:$F$801, 0)+1))), "")</f>
        <v/>
      </c>
      <c r="J749" s="16" t="n"/>
      <c r="K749" s="15">
        <f>IFERROR(INDEX(輔助計算!$D:$D, (MATCH(748, 輔助計算!$F$2:$F$801, 0)+1)), "")</f>
        <v/>
      </c>
      <c r="L749" s="16">
        <f>IFERROR(IF(AND(IFERROR(VLOOKUP(LEFT(INDEX(ERP資料!$S:$S, (MATCH(748, 輔助計算!$F$2:$F$801, 0)+1)), 4), 100張客戶!$A:$A, 1, FALSE), "")&lt;&gt;"", OR(INDEX(ERP資料!$F:$F, (MATCH(748, 輔助計算!$F$2:$F$801, 0)+1))=270, INDEX(ERP資料!$F:$F, (MATCH(748, 輔助計算!$F$2:$F$801, 0)+1))=300)), "100張", ""), "")</f>
        <v/>
      </c>
      <c r="M749" s="17" t="n"/>
      <c r="N749" s="17">
        <f>IF($F749="","",$F749)</f>
        <v/>
      </c>
      <c r="O749" s="17">
        <f>IF($G749="","",$G749)</f>
        <v/>
      </c>
      <c r="P749" s="17">
        <f>IF($K749="","",$K749)</f>
        <v/>
      </c>
      <c r="Q749" s="16" t="n"/>
      <c r="R749" s="18" t="n"/>
      <c r="S749" s="16" t="n"/>
    </row>
    <row r="750">
      <c r="A750" s="14">
        <f>IFERROR(IF(AND(IFERROR(INDEX(ERP資料!$A:$A, (MATCH(749, 輔助計算!$F$2:$F$801, 0)+1)), "")&lt;&gt;"", IFERROR(INDEX(ERP資料!$A:$A, (MATCH(749, 輔助計算!$F$2:$F$801, 0)+1)), "")&lt;&gt;IFERROR(INDEX(ERP資料!$A:$A, MATCH(748, 輔助計算!$F$2:$F$801, 0)+1), "")), INDEX(ERP資料!$B:$B, (MATCH(749, 輔助計算!$F$2:$F$801, 0)+1)), ""), "")</f>
        <v/>
      </c>
      <c r="B750" s="10">
        <f>IFERROR(IF(AND(IFERROR(INDEX(ERP資料!$A:$A, (MATCH(749, 輔助計算!$F$2:$F$801, 0)+1)), "")&lt;&gt;"", IFERROR(INDEX(ERP資料!$A:$A, (MATCH(749, 輔助計算!$F$2:$F$801, 0)+1)), "")&lt;&gt;IFERROR(INDEX(ERP資料!$A:$A, MATCH(748, 輔助計算!$F$2:$F$801, 0)+1), "")), IFERROR(INDEX(ERP資料!$A:$A, (MATCH(749, 輔助計算!$F$2:$F$801, 0)+1)), ""), ""), "")</f>
        <v/>
      </c>
      <c r="C750" s="10">
        <f>IFERROR(IF(AND(IFERROR(INDEX(ERP資料!$A:$A, (MATCH(749, 輔助計算!$F$2:$F$801, 0)+1)), "")&lt;&gt;"", IFERROR(INDEX(ERP資料!$A:$A, (MATCH(749, 輔助計算!$F$2:$F$801, 0)+1)), "")&lt;&gt;IFERROR(INDEX(ERP資料!$A:$A, MATCH(748, 輔助計算!$F$2:$F$801, 0)+1), "")), INDEX(ERP資料!$S:$S, (MATCH(749, 輔助計算!$F$2:$F$801, 0)+1)), ""), "")</f>
        <v/>
      </c>
      <c r="D750" s="10">
        <f>IFERROR(IF(INDEX(ERP資料!$E:$E, (MATCH(749, 輔助計算!$F$2:$F$801, 0)+1))="","",TRIM(INDEX(ERP資料!$E:$E, (MATCH(749, 輔助計算!$F$2:$F$801, 0)+1)))), "")</f>
        <v/>
      </c>
      <c r="E750" s="10">
        <f>IFERROR(IF(INDEX(ERP資料!$F:$F, (MATCH(749, 輔助計算!$F$2:$F$801, 0)+1))="","",INDEX(ERP資料!$F:$F, (MATCH(749, 輔助計算!$F$2:$F$801, 0)+1))), "")</f>
        <v/>
      </c>
      <c r="F750" s="10">
        <f>IFERROR(IF(INDEX(ERP資料!$G:$G, (MATCH(749, 輔助計算!$F$2:$F$801, 0)+1))="","",INDEX(ERP資料!$G:$G, (MATCH(749, 輔助計算!$F$2:$F$801, 0)+1))), "")</f>
        <v/>
      </c>
      <c r="G750" s="10">
        <f>IFERROR(IF(INDEX(ERP資料!$H:$H, (MATCH(749, 輔助計算!$F$2:$F$801, 0)+1))="","",INDEX(ERP資料!$H:$H, (MATCH(749, 輔助計算!$F$2:$F$801, 0)+1))), "")</f>
        <v/>
      </c>
      <c r="H750" s="10">
        <f>IFERROR(IF(INDEX(ERP資料!$O:$O, (MATCH(749, 輔助計算!$F$2:$F$801, 0)+1))="","",INDEX(ERP資料!$O:$O, (MATCH(749, 輔助計算!$F$2:$F$801, 0)+1))), "")</f>
        <v/>
      </c>
      <c r="I750" s="15">
        <f>IFERROR(IF(INDEX(輔助計算!$D:$D,(MATCH(749, 輔助計算!$F$2:$F$801, 0)+1))="","",INDEX(輔助計算!$D:$D,(MATCH(749, 輔助計算!$F$2:$F$801, 0)+1))*INDEX(ERP資料!$O:$O,(MATCH(749, 輔助計算!$F$2:$F$801, 0)+1))), "")</f>
        <v/>
      </c>
      <c r="J750" s="16" t="n"/>
      <c r="K750" s="15">
        <f>IFERROR(INDEX(輔助計算!$D:$D, (MATCH(749, 輔助計算!$F$2:$F$801, 0)+1)), "")</f>
        <v/>
      </c>
      <c r="L750" s="16">
        <f>IFERROR(IF(AND(IFERROR(VLOOKUP(LEFT(INDEX(ERP資料!$S:$S, (MATCH(749, 輔助計算!$F$2:$F$801, 0)+1)), 4), 100張客戶!$A:$A, 1, FALSE), "")&lt;&gt;"", OR(INDEX(ERP資料!$F:$F, (MATCH(749, 輔助計算!$F$2:$F$801, 0)+1))=270, INDEX(ERP資料!$F:$F, (MATCH(749, 輔助計算!$F$2:$F$801, 0)+1))=300)), "100張", ""), "")</f>
        <v/>
      </c>
      <c r="M750" s="17" t="n"/>
      <c r="N750" s="17">
        <f>IF($F750="","",$F750)</f>
        <v/>
      </c>
      <c r="O750" s="17">
        <f>IF($G750="","",$G750)</f>
        <v/>
      </c>
      <c r="P750" s="17">
        <f>IF($K750="","",$K750)</f>
        <v/>
      </c>
      <c r="Q750" s="16" t="n"/>
      <c r="R750" s="18" t="n"/>
      <c r="S750" s="16" t="n"/>
    </row>
    <row r="751">
      <c r="A751" s="14">
        <f>IFERROR(IF(AND(IFERROR(INDEX(ERP資料!$A:$A, (MATCH(750, 輔助計算!$F$2:$F$801, 0)+1)), "")&lt;&gt;"", IFERROR(INDEX(ERP資料!$A:$A, (MATCH(750, 輔助計算!$F$2:$F$801, 0)+1)), "")&lt;&gt;IFERROR(INDEX(ERP資料!$A:$A, MATCH(749, 輔助計算!$F$2:$F$801, 0)+1), "")), INDEX(ERP資料!$B:$B, (MATCH(750, 輔助計算!$F$2:$F$801, 0)+1)), ""), "")</f>
        <v/>
      </c>
      <c r="B751" s="10">
        <f>IFERROR(IF(AND(IFERROR(INDEX(ERP資料!$A:$A, (MATCH(750, 輔助計算!$F$2:$F$801, 0)+1)), "")&lt;&gt;"", IFERROR(INDEX(ERP資料!$A:$A, (MATCH(750, 輔助計算!$F$2:$F$801, 0)+1)), "")&lt;&gt;IFERROR(INDEX(ERP資料!$A:$A, MATCH(749, 輔助計算!$F$2:$F$801, 0)+1), "")), IFERROR(INDEX(ERP資料!$A:$A, (MATCH(750, 輔助計算!$F$2:$F$801, 0)+1)), ""), ""), "")</f>
        <v/>
      </c>
      <c r="C751" s="10">
        <f>IFERROR(IF(AND(IFERROR(INDEX(ERP資料!$A:$A, (MATCH(750, 輔助計算!$F$2:$F$801, 0)+1)), "")&lt;&gt;"", IFERROR(INDEX(ERP資料!$A:$A, (MATCH(750, 輔助計算!$F$2:$F$801, 0)+1)), "")&lt;&gt;IFERROR(INDEX(ERP資料!$A:$A, MATCH(749, 輔助計算!$F$2:$F$801, 0)+1), "")), INDEX(ERP資料!$S:$S, (MATCH(750, 輔助計算!$F$2:$F$801, 0)+1)), ""), "")</f>
        <v/>
      </c>
      <c r="D751" s="10">
        <f>IFERROR(IF(INDEX(ERP資料!$E:$E, (MATCH(750, 輔助計算!$F$2:$F$801, 0)+1))="","",TRIM(INDEX(ERP資料!$E:$E, (MATCH(750, 輔助計算!$F$2:$F$801, 0)+1)))), "")</f>
        <v/>
      </c>
      <c r="E751" s="10">
        <f>IFERROR(IF(INDEX(ERP資料!$F:$F, (MATCH(750, 輔助計算!$F$2:$F$801, 0)+1))="","",INDEX(ERP資料!$F:$F, (MATCH(750, 輔助計算!$F$2:$F$801, 0)+1))), "")</f>
        <v/>
      </c>
      <c r="F751" s="10">
        <f>IFERROR(IF(INDEX(ERP資料!$G:$G, (MATCH(750, 輔助計算!$F$2:$F$801, 0)+1))="","",INDEX(ERP資料!$G:$G, (MATCH(750, 輔助計算!$F$2:$F$801, 0)+1))), "")</f>
        <v/>
      </c>
      <c r="G751" s="10">
        <f>IFERROR(IF(INDEX(ERP資料!$H:$H, (MATCH(750, 輔助計算!$F$2:$F$801, 0)+1))="","",INDEX(ERP資料!$H:$H, (MATCH(750, 輔助計算!$F$2:$F$801, 0)+1))), "")</f>
        <v/>
      </c>
      <c r="H751" s="10">
        <f>IFERROR(IF(INDEX(ERP資料!$O:$O, (MATCH(750, 輔助計算!$F$2:$F$801, 0)+1))="","",INDEX(ERP資料!$O:$O, (MATCH(750, 輔助計算!$F$2:$F$801, 0)+1))), "")</f>
        <v/>
      </c>
      <c r="I751" s="15">
        <f>IFERROR(IF(INDEX(輔助計算!$D:$D,(MATCH(750, 輔助計算!$F$2:$F$801, 0)+1))="","",INDEX(輔助計算!$D:$D,(MATCH(750, 輔助計算!$F$2:$F$801, 0)+1))*INDEX(ERP資料!$O:$O,(MATCH(750, 輔助計算!$F$2:$F$801, 0)+1))), "")</f>
        <v/>
      </c>
      <c r="J751" s="16" t="n"/>
      <c r="K751" s="15">
        <f>IFERROR(INDEX(輔助計算!$D:$D, (MATCH(750, 輔助計算!$F$2:$F$801, 0)+1)), "")</f>
        <v/>
      </c>
      <c r="L751" s="16">
        <f>IFERROR(IF(AND(IFERROR(VLOOKUP(LEFT(INDEX(ERP資料!$S:$S, (MATCH(750, 輔助計算!$F$2:$F$801, 0)+1)), 4), 100張客戶!$A:$A, 1, FALSE), "")&lt;&gt;"", OR(INDEX(ERP資料!$F:$F, (MATCH(750, 輔助計算!$F$2:$F$801, 0)+1))=270, INDEX(ERP資料!$F:$F, (MATCH(750, 輔助計算!$F$2:$F$801, 0)+1))=300)), "100張", ""), "")</f>
        <v/>
      </c>
      <c r="M751" s="17" t="n"/>
      <c r="N751" s="17">
        <f>IF($F751="","",$F751)</f>
        <v/>
      </c>
      <c r="O751" s="17">
        <f>IF($G751="","",$G751)</f>
        <v/>
      </c>
      <c r="P751" s="17">
        <f>IF($K751="","",$K751)</f>
        <v/>
      </c>
      <c r="Q751" s="16" t="n"/>
      <c r="R751" s="18" t="n"/>
      <c r="S751" s="16" t="n"/>
    </row>
    <row r="752">
      <c r="A752" s="14">
        <f>IFERROR(IF(AND(IFERROR(INDEX(ERP資料!$A:$A, (MATCH(751, 輔助計算!$F$2:$F$801, 0)+1)), "")&lt;&gt;"", IFERROR(INDEX(ERP資料!$A:$A, (MATCH(751, 輔助計算!$F$2:$F$801, 0)+1)), "")&lt;&gt;IFERROR(INDEX(ERP資料!$A:$A, MATCH(750, 輔助計算!$F$2:$F$801, 0)+1), "")), INDEX(ERP資料!$B:$B, (MATCH(751, 輔助計算!$F$2:$F$801, 0)+1)), ""), "")</f>
        <v/>
      </c>
      <c r="B752" s="10">
        <f>IFERROR(IF(AND(IFERROR(INDEX(ERP資料!$A:$A, (MATCH(751, 輔助計算!$F$2:$F$801, 0)+1)), "")&lt;&gt;"", IFERROR(INDEX(ERP資料!$A:$A, (MATCH(751, 輔助計算!$F$2:$F$801, 0)+1)), "")&lt;&gt;IFERROR(INDEX(ERP資料!$A:$A, MATCH(750, 輔助計算!$F$2:$F$801, 0)+1), "")), IFERROR(INDEX(ERP資料!$A:$A, (MATCH(751, 輔助計算!$F$2:$F$801, 0)+1)), ""), ""), "")</f>
        <v/>
      </c>
      <c r="C752" s="10">
        <f>IFERROR(IF(AND(IFERROR(INDEX(ERP資料!$A:$A, (MATCH(751, 輔助計算!$F$2:$F$801, 0)+1)), "")&lt;&gt;"", IFERROR(INDEX(ERP資料!$A:$A, (MATCH(751, 輔助計算!$F$2:$F$801, 0)+1)), "")&lt;&gt;IFERROR(INDEX(ERP資料!$A:$A, MATCH(750, 輔助計算!$F$2:$F$801, 0)+1), "")), INDEX(ERP資料!$S:$S, (MATCH(751, 輔助計算!$F$2:$F$801, 0)+1)), ""), "")</f>
        <v/>
      </c>
      <c r="D752" s="10">
        <f>IFERROR(IF(INDEX(ERP資料!$E:$E, (MATCH(751, 輔助計算!$F$2:$F$801, 0)+1))="","",TRIM(INDEX(ERP資料!$E:$E, (MATCH(751, 輔助計算!$F$2:$F$801, 0)+1)))), "")</f>
        <v/>
      </c>
      <c r="E752" s="10">
        <f>IFERROR(IF(INDEX(ERP資料!$F:$F, (MATCH(751, 輔助計算!$F$2:$F$801, 0)+1))="","",INDEX(ERP資料!$F:$F, (MATCH(751, 輔助計算!$F$2:$F$801, 0)+1))), "")</f>
        <v/>
      </c>
      <c r="F752" s="10">
        <f>IFERROR(IF(INDEX(ERP資料!$G:$G, (MATCH(751, 輔助計算!$F$2:$F$801, 0)+1))="","",INDEX(ERP資料!$G:$G, (MATCH(751, 輔助計算!$F$2:$F$801, 0)+1))), "")</f>
        <v/>
      </c>
      <c r="G752" s="10">
        <f>IFERROR(IF(INDEX(ERP資料!$H:$H, (MATCH(751, 輔助計算!$F$2:$F$801, 0)+1))="","",INDEX(ERP資料!$H:$H, (MATCH(751, 輔助計算!$F$2:$F$801, 0)+1))), "")</f>
        <v/>
      </c>
      <c r="H752" s="10">
        <f>IFERROR(IF(INDEX(ERP資料!$O:$O, (MATCH(751, 輔助計算!$F$2:$F$801, 0)+1))="","",INDEX(ERP資料!$O:$O, (MATCH(751, 輔助計算!$F$2:$F$801, 0)+1))), "")</f>
        <v/>
      </c>
      <c r="I752" s="15">
        <f>IFERROR(IF(INDEX(輔助計算!$D:$D,(MATCH(751, 輔助計算!$F$2:$F$801, 0)+1))="","",INDEX(輔助計算!$D:$D,(MATCH(751, 輔助計算!$F$2:$F$801, 0)+1))*INDEX(ERP資料!$O:$O,(MATCH(751, 輔助計算!$F$2:$F$801, 0)+1))), "")</f>
        <v/>
      </c>
      <c r="J752" s="16" t="n"/>
      <c r="K752" s="15">
        <f>IFERROR(INDEX(輔助計算!$D:$D, (MATCH(751, 輔助計算!$F$2:$F$801, 0)+1)), "")</f>
        <v/>
      </c>
      <c r="L752" s="16">
        <f>IFERROR(IF(AND(IFERROR(VLOOKUP(LEFT(INDEX(ERP資料!$S:$S, (MATCH(751, 輔助計算!$F$2:$F$801, 0)+1)), 4), 100張客戶!$A:$A, 1, FALSE), "")&lt;&gt;"", OR(INDEX(ERP資料!$F:$F, (MATCH(751, 輔助計算!$F$2:$F$801, 0)+1))=270, INDEX(ERP資料!$F:$F, (MATCH(751, 輔助計算!$F$2:$F$801, 0)+1))=300)), "100張", ""), "")</f>
        <v/>
      </c>
      <c r="M752" s="17" t="n"/>
      <c r="N752" s="17">
        <f>IF($F752="","",$F752)</f>
        <v/>
      </c>
      <c r="O752" s="17">
        <f>IF($G752="","",$G752)</f>
        <v/>
      </c>
      <c r="P752" s="17">
        <f>IF($K752="","",$K752)</f>
        <v/>
      </c>
      <c r="Q752" s="16" t="n"/>
      <c r="R752" s="18" t="n"/>
      <c r="S752" s="16" t="n"/>
    </row>
    <row r="753">
      <c r="A753" s="14">
        <f>IFERROR(IF(AND(IFERROR(INDEX(ERP資料!$A:$A, (MATCH(752, 輔助計算!$F$2:$F$801, 0)+1)), "")&lt;&gt;"", IFERROR(INDEX(ERP資料!$A:$A, (MATCH(752, 輔助計算!$F$2:$F$801, 0)+1)), "")&lt;&gt;IFERROR(INDEX(ERP資料!$A:$A, MATCH(751, 輔助計算!$F$2:$F$801, 0)+1), "")), INDEX(ERP資料!$B:$B, (MATCH(752, 輔助計算!$F$2:$F$801, 0)+1)), ""), "")</f>
        <v/>
      </c>
      <c r="B753" s="10">
        <f>IFERROR(IF(AND(IFERROR(INDEX(ERP資料!$A:$A, (MATCH(752, 輔助計算!$F$2:$F$801, 0)+1)), "")&lt;&gt;"", IFERROR(INDEX(ERP資料!$A:$A, (MATCH(752, 輔助計算!$F$2:$F$801, 0)+1)), "")&lt;&gt;IFERROR(INDEX(ERP資料!$A:$A, MATCH(751, 輔助計算!$F$2:$F$801, 0)+1), "")), IFERROR(INDEX(ERP資料!$A:$A, (MATCH(752, 輔助計算!$F$2:$F$801, 0)+1)), ""), ""), "")</f>
        <v/>
      </c>
      <c r="C753" s="10">
        <f>IFERROR(IF(AND(IFERROR(INDEX(ERP資料!$A:$A, (MATCH(752, 輔助計算!$F$2:$F$801, 0)+1)), "")&lt;&gt;"", IFERROR(INDEX(ERP資料!$A:$A, (MATCH(752, 輔助計算!$F$2:$F$801, 0)+1)), "")&lt;&gt;IFERROR(INDEX(ERP資料!$A:$A, MATCH(751, 輔助計算!$F$2:$F$801, 0)+1), "")), INDEX(ERP資料!$S:$S, (MATCH(752, 輔助計算!$F$2:$F$801, 0)+1)), ""), "")</f>
        <v/>
      </c>
      <c r="D753" s="10">
        <f>IFERROR(IF(INDEX(ERP資料!$E:$E, (MATCH(752, 輔助計算!$F$2:$F$801, 0)+1))="","",TRIM(INDEX(ERP資料!$E:$E, (MATCH(752, 輔助計算!$F$2:$F$801, 0)+1)))), "")</f>
        <v/>
      </c>
      <c r="E753" s="10">
        <f>IFERROR(IF(INDEX(ERP資料!$F:$F, (MATCH(752, 輔助計算!$F$2:$F$801, 0)+1))="","",INDEX(ERP資料!$F:$F, (MATCH(752, 輔助計算!$F$2:$F$801, 0)+1))), "")</f>
        <v/>
      </c>
      <c r="F753" s="10">
        <f>IFERROR(IF(INDEX(ERP資料!$G:$G, (MATCH(752, 輔助計算!$F$2:$F$801, 0)+1))="","",INDEX(ERP資料!$G:$G, (MATCH(752, 輔助計算!$F$2:$F$801, 0)+1))), "")</f>
        <v/>
      </c>
      <c r="G753" s="10">
        <f>IFERROR(IF(INDEX(ERP資料!$H:$H, (MATCH(752, 輔助計算!$F$2:$F$801, 0)+1))="","",INDEX(ERP資料!$H:$H, (MATCH(752, 輔助計算!$F$2:$F$801, 0)+1))), "")</f>
        <v/>
      </c>
      <c r="H753" s="10">
        <f>IFERROR(IF(INDEX(ERP資料!$O:$O, (MATCH(752, 輔助計算!$F$2:$F$801, 0)+1))="","",INDEX(ERP資料!$O:$O, (MATCH(752, 輔助計算!$F$2:$F$801, 0)+1))), "")</f>
        <v/>
      </c>
      <c r="I753" s="15">
        <f>IFERROR(IF(INDEX(輔助計算!$D:$D,(MATCH(752, 輔助計算!$F$2:$F$801, 0)+1))="","",INDEX(輔助計算!$D:$D,(MATCH(752, 輔助計算!$F$2:$F$801, 0)+1))*INDEX(ERP資料!$O:$O,(MATCH(752, 輔助計算!$F$2:$F$801, 0)+1))), "")</f>
        <v/>
      </c>
      <c r="J753" s="16" t="n"/>
      <c r="K753" s="15">
        <f>IFERROR(INDEX(輔助計算!$D:$D, (MATCH(752, 輔助計算!$F$2:$F$801, 0)+1)), "")</f>
        <v/>
      </c>
      <c r="L753" s="16">
        <f>IFERROR(IF(AND(IFERROR(VLOOKUP(LEFT(INDEX(ERP資料!$S:$S, (MATCH(752, 輔助計算!$F$2:$F$801, 0)+1)), 4), 100張客戶!$A:$A, 1, FALSE), "")&lt;&gt;"", OR(INDEX(ERP資料!$F:$F, (MATCH(752, 輔助計算!$F$2:$F$801, 0)+1))=270, INDEX(ERP資料!$F:$F, (MATCH(752, 輔助計算!$F$2:$F$801, 0)+1))=300)), "100張", ""), "")</f>
        <v/>
      </c>
      <c r="M753" s="17" t="n"/>
      <c r="N753" s="17">
        <f>IF($F753="","",$F753)</f>
        <v/>
      </c>
      <c r="O753" s="17">
        <f>IF($G753="","",$G753)</f>
        <v/>
      </c>
      <c r="P753" s="17">
        <f>IF($K753="","",$K753)</f>
        <v/>
      </c>
      <c r="Q753" s="16" t="n"/>
      <c r="R753" s="18" t="n"/>
      <c r="S753" s="16" t="n"/>
    </row>
    <row r="754">
      <c r="A754" s="14">
        <f>IFERROR(IF(AND(IFERROR(INDEX(ERP資料!$A:$A, (MATCH(753, 輔助計算!$F$2:$F$801, 0)+1)), "")&lt;&gt;"", IFERROR(INDEX(ERP資料!$A:$A, (MATCH(753, 輔助計算!$F$2:$F$801, 0)+1)), "")&lt;&gt;IFERROR(INDEX(ERP資料!$A:$A, MATCH(752, 輔助計算!$F$2:$F$801, 0)+1), "")), INDEX(ERP資料!$B:$B, (MATCH(753, 輔助計算!$F$2:$F$801, 0)+1)), ""), "")</f>
        <v/>
      </c>
      <c r="B754" s="10">
        <f>IFERROR(IF(AND(IFERROR(INDEX(ERP資料!$A:$A, (MATCH(753, 輔助計算!$F$2:$F$801, 0)+1)), "")&lt;&gt;"", IFERROR(INDEX(ERP資料!$A:$A, (MATCH(753, 輔助計算!$F$2:$F$801, 0)+1)), "")&lt;&gt;IFERROR(INDEX(ERP資料!$A:$A, MATCH(752, 輔助計算!$F$2:$F$801, 0)+1), "")), IFERROR(INDEX(ERP資料!$A:$A, (MATCH(753, 輔助計算!$F$2:$F$801, 0)+1)), ""), ""), "")</f>
        <v/>
      </c>
      <c r="C754" s="10">
        <f>IFERROR(IF(AND(IFERROR(INDEX(ERP資料!$A:$A, (MATCH(753, 輔助計算!$F$2:$F$801, 0)+1)), "")&lt;&gt;"", IFERROR(INDEX(ERP資料!$A:$A, (MATCH(753, 輔助計算!$F$2:$F$801, 0)+1)), "")&lt;&gt;IFERROR(INDEX(ERP資料!$A:$A, MATCH(752, 輔助計算!$F$2:$F$801, 0)+1), "")), INDEX(ERP資料!$S:$S, (MATCH(753, 輔助計算!$F$2:$F$801, 0)+1)), ""), "")</f>
        <v/>
      </c>
      <c r="D754" s="10">
        <f>IFERROR(IF(INDEX(ERP資料!$E:$E, (MATCH(753, 輔助計算!$F$2:$F$801, 0)+1))="","",TRIM(INDEX(ERP資料!$E:$E, (MATCH(753, 輔助計算!$F$2:$F$801, 0)+1)))), "")</f>
        <v/>
      </c>
      <c r="E754" s="10">
        <f>IFERROR(IF(INDEX(ERP資料!$F:$F, (MATCH(753, 輔助計算!$F$2:$F$801, 0)+1))="","",INDEX(ERP資料!$F:$F, (MATCH(753, 輔助計算!$F$2:$F$801, 0)+1))), "")</f>
        <v/>
      </c>
      <c r="F754" s="10">
        <f>IFERROR(IF(INDEX(ERP資料!$G:$G, (MATCH(753, 輔助計算!$F$2:$F$801, 0)+1))="","",INDEX(ERP資料!$G:$G, (MATCH(753, 輔助計算!$F$2:$F$801, 0)+1))), "")</f>
        <v/>
      </c>
      <c r="G754" s="10">
        <f>IFERROR(IF(INDEX(ERP資料!$H:$H, (MATCH(753, 輔助計算!$F$2:$F$801, 0)+1))="","",INDEX(ERP資料!$H:$H, (MATCH(753, 輔助計算!$F$2:$F$801, 0)+1))), "")</f>
        <v/>
      </c>
      <c r="H754" s="10">
        <f>IFERROR(IF(INDEX(ERP資料!$O:$O, (MATCH(753, 輔助計算!$F$2:$F$801, 0)+1))="","",INDEX(ERP資料!$O:$O, (MATCH(753, 輔助計算!$F$2:$F$801, 0)+1))), "")</f>
        <v/>
      </c>
      <c r="I754" s="15">
        <f>IFERROR(IF(INDEX(輔助計算!$D:$D,(MATCH(753, 輔助計算!$F$2:$F$801, 0)+1))="","",INDEX(輔助計算!$D:$D,(MATCH(753, 輔助計算!$F$2:$F$801, 0)+1))*INDEX(ERP資料!$O:$O,(MATCH(753, 輔助計算!$F$2:$F$801, 0)+1))), "")</f>
        <v/>
      </c>
      <c r="J754" s="16" t="n"/>
      <c r="K754" s="15">
        <f>IFERROR(INDEX(輔助計算!$D:$D, (MATCH(753, 輔助計算!$F$2:$F$801, 0)+1)), "")</f>
        <v/>
      </c>
      <c r="L754" s="16">
        <f>IFERROR(IF(AND(IFERROR(VLOOKUP(LEFT(INDEX(ERP資料!$S:$S, (MATCH(753, 輔助計算!$F$2:$F$801, 0)+1)), 4), 100張客戶!$A:$A, 1, FALSE), "")&lt;&gt;"", OR(INDEX(ERP資料!$F:$F, (MATCH(753, 輔助計算!$F$2:$F$801, 0)+1))=270, INDEX(ERP資料!$F:$F, (MATCH(753, 輔助計算!$F$2:$F$801, 0)+1))=300)), "100張", ""), "")</f>
        <v/>
      </c>
      <c r="M754" s="17" t="n"/>
      <c r="N754" s="17">
        <f>IF($F754="","",$F754)</f>
        <v/>
      </c>
      <c r="O754" s="17">
        <f>IF($G754="","",$G754)</f>
        <v/>
      </c>
      <c r="P754" s="17">
        <f>IF($K754="","",$K754)</f>
        <v/>
      </c>
      <c r="Q754" s="16" t="n"/>
      <c r="R754" s="18" t="n"/>
      <c r="S754" s="16" t="n"/>
    </row>
    <row r="755">
      <c r="A755" s="14">
        <f>IFERROR(IF(AND(IFERROR(INDEX(ERP資料!$A:$A, (MATCH(754, 輔助計算!$F$2:$F$801, 0)+1)), "")&lt;&gt;"", IFERROR(INDEX(ERP資料!$A:$A, (MATCH(754, 輔助計算!$F$2:$F$801, 0)+1)), "")&lt;&gt;IFERROR(INDEX(ERP資料!$A:$A, MATCH(753, 輔助計算!$F$2:$F$801, 0)+1), "")), INDEX(ERP資料!$B:$B, (MATCH(754, 輔助計算!$F$2:$F$801, 0)+1)), ""), "")</f>
        <v/>
      </c>
      <c r="B755" s="10">
        <f>IFERROR(IF(AND(IFERROR(INDEX(ERP資料!$A:$A, (MATCH(754, 輔助計算!$F$2:$F$801, 0)+1)), "")&lt;&gt;"", IFERROR(INDEX(ERP資料!$A:$A, (MATCH(754, 輔助計算!$F$2:$F$801, 0)+1)), "")&lt;&gt;IFERROR(INDEX(ERP資料!$A:$A, MATCH(753, 輔助計算!$F$2:$F$801, 0)+1), "")), IFERROR(INDEX(ERP資料!$A:$A, (MATCH(754, 輔助計算!$F$2:$F$801, 0)+1)), ""), ""), "")</f>
        <v/>
      </c>
      <c r="C755" s="10">
        <f>IFERROR(IF(AND(IFERROR(INDEX(ERP資料!$A:$A, (MATCH(754, 輔助計算!$F$2:$F$801, 0)+1)), "")&lt;&gt;"", IFERROR(INDEX(ERP資料!$A:$A, (MATCH(754, 輔助計算!$F$2:$F$801, 0)+1)), "")&lt;&gt;IFERROR(INDEX(ERP資料!$A:$A, MATCH(753, 輔助計算!$F$2:$F$801, 0)+1), "")), INDEX(ERP資料!$S:$S, (MATCH(754, 輔助計算!$F$2:$F$801, 0)+1)), ""), "")</f>
        <v/>
      </c>
      <c r="D755" s="10">
        <f>IFERROR(IF(INDEX(ERP資料!$E:$E, (MATCH(754, 輔助計算!$F$2:$F$801, 0)+1))="","",TRIM(INDEX(ERP資料!$E:$E, (MATCH(754, 輔助計算!$F$2:$F$801, 0)+1)))), "")</f>
        <v/>
      </c>
      <c r="E755" s="10">
        <f>IFERROR(IF(INDEX(ERP資料!$F:$F, (MATCH(754, 輔助計算!$F$2:$F$801, 0)+1))="","",INDEX(ERP資料!$F:$F, (MATCH(754, 輔助計算!$F$2:$F$801, 0)+1))), "")</f>
        <v/>
      </c>
      <c r="F755" s="10">
        <f>IFERROR(IF(INDEX(ERP資料!$G:$G, (MATCH(754, 輔助計算!$F$2:$F$801, 0)+1))="","",INDEX(ERP資料!$G:$G, (MATCH(754, 輔助計算!$F$2:$F$801, 0)+1))), "")</f>
        <v/>
      </c>
      <c r="G755" s="10">
        <f>IFERROR(IF(INDEX(ERP資料!$H:$H, (MATCH(754, 輔助計算!$F$2:$F$801, 0)+1))="","",INDEX(ERP資料!$H:$H, (MATCH(754, 輔助計算!$F$2:$F$801, 0)+1))), "")</f>
        <v/>
      </c>
      <c r="H755" s="10">
        <f>IFERROR(IF(INDEX(ERP資料!$O:$O, (MATCH(754, 輔助計算!$F$2:$F$801, 0)+1))="","",INDEX(ERP資料!$O:$O, (MATCH(754, 輔助計算!$F$2:$F$801, 0)+1))), "")</f>
        <v/>
      </c>
      <c r="I755" s="15">
        <f>IFERROR(IF(INDEX(輔助計算!$D:$D,(MATCH(754, 輔助計算!$F$2:$F$801, 0)+1))="","",INDEX(輔助計算!$D:$D,(MATCH(754, 輔助計算!$F$2:$F$801, 0)+1))*INDEX(ERP資料!$O:$O,(MATCH(754, 輔助計算!$F$2:$F$801, 0)+1))), "")</f>
        <v/>
      </c>
      <c r="J755" s="16" t="n"/>
      <c r="K755" s="15">
        <f>IFERROR(INDEX(輔助計算!$D:$D, (MATCH(754, 輔助計算!$F$2:$F$801, 0)+1)), "")</f>
        <v/>
      </c>
      <c r="L755" s="16">
        <f>IFERROR(IF(AND(IFERROR(VLOOKUP(LEFT(INDEX(ERP資料!$S:$S, (MATCH(754, 輔助計算!$F$2:$F$801, 0)+1)), 4), 100張客戶!$A:$A, 1, FALSE), "")&lt;&gt;"", OR(INDEX(ERP資料!$F:$F, (MATCH(754, 輔助計算!$F$2:$F$801, 0)+1))=270, INDEX(ERP資料!$F:$F, (MATCH(754, 輔助計算!$F$2:$F$801, 0)+1))=300)), "100張", ""), "")</f>
        <v/>
      </c>
      <c r="M755" s="17" t="n"/>
      <c r="N755" s="17">
        <f>IF($F755="","",$F755)</f>
        <v/>
      </c>
      <c r="O755" s="17">
        <f>IF($G755="","",$G755)</f>
        <v/>
      </c>
      <c r="P755" s="17">
        <f>IF($K755="","",$K755)</f>
        <v/>
      </c>
      <c r="Q755" s="16" t="n"/>
      <c r="R755" s="18" t="n"/>
      <c r="S755" s="16" t="n"/>
    </row>
    <row r="756">
      <c r="A756" s="14">
        <f>IFERROR(IF(AND(IFERROR(INDEX(ERP資料!$A:$A, (MATCH(755, 輔助計算!$F$2:$F$801, 0)+1)), "")&lt;&gt;"", IFERROR(INDEX(ERP資料!$A:$A, (MATCH(755, 輔助計算!$F$2:$F$801, 0)+1)), "")&lt;&gt;IFERROR(INDEX(ERP資料!$A:$A, MATCH(754, 輔助計算!$F$2:$F$801, 0)+1), "")), INDEX(ERP資料!$B:$B, (MATCH(755, 輔助計算!$F$2:$F$801, 0)+1)), ""), "")</f>
        <v/>
      </c>
      <c r="B756" s="10">
        <f>IFERROR(IF(AND(IFERROR(INDEX(ERP資料!$A:$A, (MATCH(755, 輔助計算!$F$2:$F$801, 0)+1)), "")&lt;&gt;"", IFERROR(INDEX(ERP資料!$A:$A, (MATCH(755, 輔助計算!$F$2:$F$801, 0)+1)), "")&lt;&gt;IFERROR(INDEX(ERP資料!$A:$A, MATCH(754, 輔助計算!$F$2:$F$801, 0)+1), "")), IFERROR(INDEX(ERP資料!$A:$A, (MATCH(755, 輔助計算!$F$2:$F$801, 0)+1)), ""), ""), "")</f>
        <v/>
      </c>
      <c r="C756" s="10">
        <f>IFERROR(IF(AND(IFERROR(INDEX(ERP資料!$A:$A, (MATCH(755, 輔助計算!$F$2:$F$801, 0)+1)), "")&lt;&gt;"", IFERROR(INDEX(ERP資料!$A:$A, (MATCH(755, 輔助計算!$F$2:$F$801, 0)+1)), "")&lt;&gt;IFERROR(INDEX(ERP資料!$A:$A, MATCH(754, 輔助計算!$F$2:$F$801, 0)+1), "")), INDEX(ERP資料!$S:$S, (MATCH(755, 輔助計算!$F$2:$F$801, 0)+1)), ""), "")</f>
        <v/>
      </c>
      <c r="D756" s="10">
        <f>IFERROR(IF(INDEX(ERP資料!$E:$E, (MATCH(755, 輔助計算!$F$2:$F$801, 0)+1))="","",TRIM(INDEX(ERP資料!$E:$E, (MATCH(755, 輔助計算!$F$2:$F$801, 0)+1)))), "")</f>
        <v/>
      </c>
      <c r="E756" s="10">
        <f>IFERROR(IF(INDEX(ERP資料!$F:$F, (MATCH(755, 輔助計算!$F$2:$F$801, 0)+1))="","",INDEX(ERP資料!$F:$F, (MATCH(755, 輔助計算!$F$2:$F$801, 0)+1))), "")</f>
        <v/>
      </c>
      <c r="F756" s="10">
        <f>IFERROR(IF(INDEX(ERP資料!$G:$G, (MATCH(755, 輔助計算!$F$2:$F$801, 0)+1))="","",INDEX(ERP資料!$G:$G, (MATCH(755, 輔助計算!$F$2:$F$801, 0)+1))), "")</f>
        <v/>
      </c>
      <c r="G756" s="10">
        <f>IFERROR(IF(INDEX(ERP資料!$H:$H, (MATCH(755, 輔助計算!$F$2:$F$801, 0)+1))="","",INDEX(ERP資料!$H:$H, (MATCH(755, 輔助計算!$F$2:$F$801, 0)+1))), "")</f>
        <v/>
      </c>
      <c r="H756" s="10">
        <f>IFERROR(IF(INDEX(ERP資料!$O:$O, (MATCH(755, 輔助計算!$F$2:$F$801, 0)+1))="","",INDEX(ERP資料!$O:$O, (MATCH(755, 輔助計算!$F$2:$F$801, 0)+1))), "")</f>
        <v/>
      </c>
      <c r="I756" s="15">
        <f>IFERROR(IF(INDEX(輔助計算!$D:$D,(MATCH(755, 輔助計算!$F$2:$F$801, 0)+1))="","",INDEX(輔助計算!$D:$D,(MATCH(755, 輔助計算!$F$2:$F$801, 0)+1))*INDEX(ERP資料!$O:$O,(MATCH(755, 輔助計算!$F$2:$F$801, 0)+1))), "")</f>
        <v/>
      </c>
      <c r="J756" s="16" t="n"/>
      <c r="K756" s="15">
        <f>IFERROR(INDEX(輔助計算!$D:$D, (MATCH(755, 輔助計算!$F$2:$F$801, 0)+1)), "")</f>
        <v/>
      </c>
      <c r="L756" s="16">
        <f>IFERROR(IF(AND(IFERROR(VLOOKUP(LEFT(INDEX(ERP資料!$S:$S, (MATCH(755, 輔助計算!$F$2:$F$801, 0)+1)), 4), 100張客戶!$A:$A, 1, FALSE), "")&lt;&gt;"", OR(INDEX(ERP資料!$F:$F, (MATCH(755, 輔助計算!$F$2:$F$801, 0)+1))=270, INDEX(ERP資料!$F:$F, (MATCH(755, 輔助計算!$F$2:$F$801, 0)+1))=300)), "100張", ""), "")</f>
        <v/>
      </c>
      <c r="M756" s="17" t="n"/>
      <c r="N756" s="17">
        <f>IF($F756="","",$F756)</f>
        <v/>
      </c>
      <c r="O756" s="17">
        <f>IF($G756="","",$G756)</f>
        <v/>
      </c>
      <c r="P756" s="17">
        <f>IF($K756="","",$K756)</f>
        <v/>
      </c>
      <c r="Q756" s="16" t="n"/>
      <c r="R756" s="18" t="n"/>
      <c r="S756" s="16" t="n"/>
    </row>
    <row r="757">
      <c r="A757" s="14">
        <f>IFERROR(IF(AND(IFERROR(INDEX(ERP資料!$A:$A, (MATCH(756, 輔助計算!$F$2:$F$801, 0)+1)), "")&lt;&gt;"", IFERROR(INDEX(ERP資料!$A:$A, (MATCH(756, 輔助計算!$F$2:$F$801, 0)+1)), "")&lt;&gt;IFERROR(INDEX(ERP資料!$A:$A, MATCH(755, 輔助計算!$F$2:$F$801, 0)+1), "")), INDEX(ERP資料!$B:$B, (MATCH(756, 輔助計算!$F$2:$F$801, 0)+1)), ""), "")</f>
        <v/>
      </c>
      <c r="B757" s="10">
        <f>IFERROR(IF(AND(IFERROR(INDEX(ERP資料!$A:$A, (MATCH(756, 輔助計算!$F$2:$F$801, 0)+1)), "")&lt;&gt;"", IFERROR(INDEX(ERP資料!$A:$A, (MATCH(756, 輔助計算!$F$2:$F$801, 0)+1)), "")&lt;&gt;IFERROR(INDEX(ERP資料!$A:$A, MATCH(755, 輔助計算!$F$2:$F$801, 0)+1), "")), IFERROR(INDEX(ERP資料!$A:$A, (MATCH(756, 輔助計算!$F$2:$F$801, 0)+1)), ""), ""), "")</f>
        <v/>
      </c>
      <c r="C757" s="10">
        <f>IFERROR(IF(AND(IFERROR(INDEX(ERP資料!$A:$A, (MATCH(756, 輔助計算!$F$2:$F$801, 0)+1)), "")&lt;&gt;"", IFERROR(INDEX(ERP資料!$A:$A, (MATCH(756, 輔助計算!$F$2:$F$801, 0)+1)), "")&lt;&gt;IFERROR(INDEX(ERP資料!$A:$A, MATCH(755, 輔助計算!$F$2:$F$801, 0)+1), "")), INDEX(ERP資料!$S:$S, (MATCH(756, 輔助計算!$F$2:$F$801, 0)+1)), ""), "")</f>
        <v/>
      </c>
      <c r="D757" s="10">
        <f>IFERROR(IF(INDEX(ERP資料!$E:$E, (MATCH(756, 輔助計算!$F$2:$F$801, 0)+1))="","",TRIM(INDEX(ERP資料!$E:$E, (MATCH(756, 輔助計算!$F$2:$F$801, 0)+1)))), "")</f>
        <v/>
      </c>
      <c r="E757" s="10">
        <f>IFERROR(IF(INDEX(ERP資料!$F:$F, (MATCH(756, 輔助計算!$F$2:$F$801, 0)+1))="","",INDEX(ERP資料!$F:$F, (MATCH(756, 輔助計算!$F$2:$F$801, 0)+1))), "")</f>
        <v/>
      </c>
      <c r="F757" s="10">
        <f>IFERROR(IF(INDEX(ERP資料!$G:$G, (MATCH(756, 輔助計算!$F$2:$F$801, 0)+1))="","",INDEX(ERP資料!$G:$G, (MATCH(756, 輔助計算!$F$2:$F$801, 0)+1))), "")</f>
        <v/>
      </c>
      <c r="G757" s="10">
        <f>IFERROR(IF(INDEX(ERP資料!$H:$H, (MATCH(756, 輔助計算!$F$2:$F$801, 0)+1))="","",INDEX(ERP資料!$H:$H, (MATCH(756, 輔助計算!$F$2:$F$801, 0)+1))), "")</f>
        <v/>
      </c>
      <c r="H757" s="10">
        <f>IFERROR(IF(INDEX(ERP資料!$O:$O, (MATCH(756, 輔助計算!$F$2:$F$801, 0)+1))="","",INDEX(ERP資料!$O:$O, (MATCH(756, 輔助計算!$F$2:$F$801, 0)+1))), "")</f>
        <v/>
      </c>
      <c r="I757" s="15">
        <f>IFERROR(IF(INDEX(輔助計算!$D:$D,(MATCH(756, 輔助計算!$F$2:$F$801, 0)+1))="","",INDEX(輔助計算!$D:$D,(MATCH(756, 輔助計算!$F$2:$F$801, 0)+1))*INDEX(ERP資料!$O:$O,(MATCH(756, 輔助計算!$F$2:$F$801, 0)+1))), "")</f>
        <v/>
      </c>
      <c r="J757" s="16" t="n"/>
      <c r="K757" s="15">
        <f>IFERROR(INDEX(輔助計算!$D:$D, (MATCH(756, 輔助計算!$F$2:$F$801, 0)+1)), "")</f>
        <v/>
      </c>
      <c r="L757" s="16">
        <f>IFERROR(IF(AND(IFERROR(VLOOKUP(LEFT(INDEX(ERP資料!$S:$S, (MATCH(756, 輔助計算!$F$2:$F$801, 0)+1)), 4), 100張客戶!$A:$A, 1, FALSE), "")&lt;&gt;"", OR(INDEX(ERP資料!$F:$F, (MATCH(756, 輔助計算!$F$2:$F$801, 0)+1))=270, INDEX(ERP資料!$F:$F, (MATCH(756, 輔助計算!$F$2:$F$801, 0)+1))=300)), "100張", ""), "")</f>
        <v/>
      </c>
      <c r="M757" s="17" t="n"/>
      <c r="N757" s="17">
        <f>IF($F757="","",$F757)</f>
        <v/>
      </c>
      <c r="O757" s="17">
        <f>IF($G757="","",$G757)</f>
        <v/>
      </c>
      <c r="P757" s="17">
        <f>IF($K757="","",$K757)</f>
        <v/>
      </c>
      <c r="Q757" s="16" t="n"/>
      <c r="R757" s="18" t="n"/>
      <c r="S757" s="16" t="n"/>
    </row>
    <row r="758">
      <c r="A758" s="14">
        <f>IFERROR(IF(AND(IFERROR(INDEX(ERP資料!$A:$A, (MATCH(757, 輔助計算!$F$2:$F$801, 0)+1)), "")&lt;&gt;"", IFERROR(INDEX(ERP資料!$A:$A, (MATCH(757, 輔助計算!$F$2:$F$801, 0)+1)), "")&lt;&gt;IFERROR(INDEX(ERP資料!$A:$A, MATCH(756, 輔助計算!$F$2:$F$801, 0)+1), "")), INDEX(ERP資料!$B:$B, (MATCH(757, 輔助計算!$F$2:$F$801, 0)+1)), ""), "")</f>
        <v/>
      </c>
      <c r="B758" s="10">
        <f>IFERROR(IF(AND(IFERROR(INDEX(ERP資料!$A:$A, (MATCH(757, 輔助計算!$F$2:$F$801, 0)+1)), "")&lt;&gt;"", IFERROR(INDEX(ERP資料!$A:$A, (MATCH(757, 輔助計算!$F$2:$F$801, 0)+1)), "")&lt;&gt;IFERROR(INDEX(ERP資料!$A:$A, MATCH(756, 輔助計算!$F$2:$F$801, 0)+1), "")), IFERROR(INDEX(ERP資料!$A:$A, (MATCH(757, 輔助計算!$F$2:$F$801, 0)+1)), ""), ""), "")</f>
        <v/>
      </c>
      <c r="C758" s="10">
        <f>IFERROR(IF(AND(IFERROR(INDEX(ERP資料!$A:$A, (MATCH(757, 輔助計算!$F$2:$F$801, 0)+1)), "")&lt;&gt;"", IFERROR(INDEX(ERP資料!$A:$A, (MATCH(757, 輔助計算!$F$2:$F$801, 0)+1)), "")&lt;&gt;IFERROR(INDEX(ERP資料!$A:$A, MATCH(756, 輔助計算!$F$2:$F$801, 0)+1), "")), INDEX(ERP資料!$S:$S, (MATCH(757, 輔助計算!$F$2:$F$801, 0)+1)), ""), "")</f>
        <v/>
      </c>
      <c r="D758" s="10">
        <f>IFERROR(IF(INDEX(ERP資料!$E:$E, (MATCH(757, 輔助計算!$F$2:$F$801, 0)+1))="","",TRIM(INDEX(ERP資料!$E:$E, (MATCH(757, 輔助計算!$F$2:$F$801, 0)+1)))), "")</f>
        <v/>
      </c>
      <c r="E758" s="10">
        <f>IFERROR(IF(INDEX(ERP資料!$F:$F, (MATCH(757, 輔助計算!$F$2:$F$801, 0)+1))="","",INDEX(ERP資料!$F:$F, (MATCH(757, 輔助計算!$F$2:$F$801, 0)+1))), "")</f>
        <v/>
      </c>
      <c r="F758" s="10">
        <f>IFERROR(IF(INDEX(ERP資料!$G:$G, (MATCH(757, 輔助計算!$F$2:$F$801, 0)+1))="","",INDEX(ERP資料!$G:$G, (MATCH(757, 輔助計算!$F$2:$F$801, 0)+1))), "")</f>
        <v/>
      </c>
      <c r="G758" s="10">
        <f>IFERROR(IF(INDEX(ERP資料!$H:$H, (MATCH(757, 輔助計算!$F$2:$F$801, 0)+1))="","",INDEX(ERP資料!$H:$H, (MATCH(757, 輔助計算!$F$2:$F$801, 0)+1))), "")</f>
        <v/>
      </c>
      <c r="H758" s="10">
        <f>IFERROR(IF(INDEX(ERP資料!$O:$O, (MATCH(757, 輔助計算!$F$2:$F$801, 0)+1))="","",INDEX(ERP資料!$O:$O, (MATCH(757, 輔助計算!$F$2:$F$801, 0)+1))), "")</f>
        <v/>
      </c>
      <c r="I758" s="15">
        <f>IFERROR(IF(INDEX(輔助計算!$D:$D,(MATCH(757, 輔助計算!$F$2:$F$801, 0)+1))="","",INDEX(輔助計算!$D:$D,(MATCH(757, 輔助計算!$F$2:$F$801, 0)+1))*INDEX(ERP資料!$O:$O,(MATCH(757, 輔助計算!$F$2:$F$801, 0)+1))), "")</f>
        <v/>
      </c>
      <c r="J758" s="16" t="n"/>
      <c r="K758" s="15">
        <f>IFERROR(INDEX(輔助計算!$D:$D, (MATCH(757, 輔助計算!$F$2:$F$801, 0)+1)), "")</f>
        <v/>
      </c>
      <c r="L758" s="16">
        <f>IFERROR(IF(AND(IFERROR(VLOOKUP(LEFT(INDEX(ERP資料!$S:$S, (MATCH(757, 輔助計算!$F$2:$F$801, 0)+1)), 4), 100張客戶!$A:$A, 1, FALSE), "")&lt;&gt;"", OR(INDEX(ERP資料!$F:$F, (MATCH(757, 輔助計算!$F$2:$F$801, 0)+1))=270, INDEX(ERP資料!$F:$F, (MATCH(757, 輔助計算!$F$2:$F$801, 0)+1))=300)), "100張", ""), "")</f>
        <v/>
      </c>
      <c r="M758" s="17" t="n"/>
      <c r="N758" s="17">
        <f>IF($F758="","",$F758)</f>
        <v/>
      </c>
      <c r="O758" s="17">
        <f>IF($G758="","",$G758)</f>
        <v/>
      </c>
      <c r="P758" s="17">
        <f>IF($K758="","",$K758)</f>
        <v/>
      </c>
      <c r="Q758" s="16" t="n"/>
      <c r="R758" s="18" t="n"/>
      <c r="S758" s="16" t="n"/>
    </row>
    <row r="759">
      <c r="A759" s="14">
        <f>IFERROR(IF(AND(IFERROR(INDEX(ERP資料!$A:$A, (MATCH(758, 輔助計算!$F$2:$F$801, 0)+1)), "")&lt;&gt;"", IFERROR(INDEX(ERP資料!$A:$A, (MATCH(758, 輔助計算!$F$2:$F$801, 0)+1)), "")&lt;&gt;IFERROR(INDEX(ERP資料!$A:$A, MATCH(757, 輔助計算!$F$2:$F$801, 0)+1), "")), INDEX(ERP資料!$B:$B, (MATCH(758, 輔助計算!$F$2:$F$801, 0)+1)), ""), "")</f>
        <v/>
      </c>
      <c r="B759" s="10">
        <f>IFERROR(IF(AND(IFERROR(INDEX(ERP資料!$A:$A, (MATCH(758, 輔助計算!$F$2:$F$801, 0)+1)), "")&lt;&gt;"", IFERROR(INDEX(ERP資料!$A:$A, (MATCH(758, 輔助計算!$F$2:$F$801, 0)+1)), "")&lt;&gt;IFERROR(INDEX(ERP資料!$A:$A, MATCH(757, 輔助計算!$F$2:$F$801, 0)+1), "")), IFERROR(INDEX(ERP資料!$A:$A, (MATCH(758, 輔助計算!$F$2:$F$801, 0)+1)), ""), ""), "")</f>
        <v/>
      </c>
      <c r="C759" s="10">
        <f>IFERROR(IF(AND(IFERROR(INDEX(ERP資料!$A:$A, (MATCH(758, 輔助計算!$F$2:$F$801, 0)+1)), "")&lt;&gt;"", IFERROR(INDEX(ERP資料!$A:$A, (MATCH(758, 輔助計算!$F$2:$F$801, 0)+1)), "")&lt;&gt;IFERROR(INDEX(ERP資料!$A:$A, MATCH(757, 輔助計算!$F$2:$F$801, 0)+1), "")), INDEX(ERP資料!$S:$S, (MATCH(758, 輔助計算!$F$2:$F$801, 0)+1)), ""), "")</f>
        <v/>
      </c>
      <c r="D759" s="10">
        <f>IFERROR(IF(INDEX(ERP資料!$E:$E, (MATCH(758, 輔助計算!$F$2:$F$801, 0)+1))="","",TRIM(INDEX(ERP資料!$E:$E, (MATCH(758, 輔助計算!$F$2:$F$801, 0)+1)))), "")</f>
        <v/>
      </c>
      <c r="E759" s="10">
        <f>IFERROR(IF(INDEX(ERP資料!$F:$F, (MATCH(758, 輔助計算!$F$2:$F$801, 0)+1))="","",INDEX(ERP資料!$F:$F, (MATCH(758, 輔助計算!$F$2:$F$801, 0)+1))), "")</f>
        <v/>
      </c>
      <c r="F759" s="10">
        <f>IFERROR(IF(INDEX(ERP資料!$G:$G, (MATCH(758, 輔助計算!$F$2:$F$801, 0)+1))="","",INDEX(ERP資料!$G:$G, (MATCH(758, 輔助計算!$F$2:$F$801, 0)+1))), "")</f>
        <v/>
      </c>
      <c r="G759" s="10">
        <f>IFERROR(IF(INDEX(ERP資料!$H:$H, (MATCH(758, 輔助計算!$F$2:$F$801, 0)+1))="","",INDEX(ERP資料!$H:$H, (MATCH(758, 輔助計算!$F$2:$F$801, 0)+1))), "")</f>
        <v/>
      </c>
      <c r="H759" s="10">
        <f>IFERROR(IF(INDEX(ERP資料!$O:$O, (MATCH(758, 輔助計算!$F$2:$F$801, 0)+1))="","",INDEX(ERP資料!$O:$O, (MATCH(758, 輔助計算!$F$2:$F$801, 0)+1))), "")</f>
        <v/>
      </c>
      <c r="I759" s="15">
        <f>IFERROR(IF(INDEX(輔助計算!$D:$D,(MATCH(758, 輔助計算!$F$2:$F$801, 0)+1))="","",INDEX(輔助計算!$D:$D,(MATCH(758, 輔助計算!$F$2:$F$801, 0)+1))*INDEX(ERP資料!$O:$O,(MATCH(758, 輔助計算!$F$2:$F$801, 0)+1))), "")</f>
        <v/>
      </c>
      <c r="J759" s="16" t="n"/>
      <c r="K759" s="15">
        <f>IFERROR(INDEX(輔助計算!$D:$D, (MATCH(758, 輔助計算!$F$2:$F$801, 0)+1)), "")</f>
        <v/>
      </c>
      <c r="L759" s="16">
        <f>IFERROR(IF(AND(IFERROR(VLOOKUP(LEFT(INDEX(ERP資料!$S:$S, (MATCH(758, 輔助計算!$F$2:$F$801, 0)+1)), 4), 100張客戶!$A:$A, 1, FALSE), "")&lt;&gt;"", OR(INDEX(ERP資料!$F:$F, (MATCH(758, 輔助計算!$F$2:$F$801, 0)+1))=270, INDEX(ERP資料!$F:$F, (MATCH(758, 輔助計算!$F$2:$F$801, 0)+1))=300)), "100張", ""), "")</f>
        <v/>
      </c>
      <c r="M759" s="17" t="n"/>
      <c r="N759" s="17">
        <f>IF($F759="","",$F759)</f>
        <v/>
      </c>
      <c r="O759" s="17">
        <f>IF($G759="","",$G759)</f>
        <v/>
      </c>
      <c r="P759" s="17">
        <f>IF($K759="","",$K759)</f>
        <v/>
      </c>
      <c r="Q759" s="16" t="n"/>
      <c r="R759" s="18" t="n"/>
      <c r="S759" s="16" t="n"/>
    </row>
    <row r="760">
      <c r="A760" s="14">
        <f>IFERROR(IF(AND(IFERROR(INDEX(ERP資料!$A:$A, (MATCH(759, 輔助計算!$F$2:$F$801, 0)+1)), "")&lt;&gt;"", IFERROR(INDEX(ERP資料!$A:$A, (MATCH(759, 輔助計算!$F$2:$F$801, 0)+1)), "")&lt;&gt;IFERROR(INDEX(ERP資料!$A:$A, MATCH(758, 輔助計算!$F$2:$F$801, 0)+1), "")), INDEX(ERP資料!$B:$B, (MATCH(759, 輔助計算!$F$2:$F$801, 0)+1)), ""), "")</f>
        <v/>
      </c>
      <c r="B760" s="10">
        <f>IFERROR(IF(AND(IFERROR(INDEX(ERP資料!$A:$A, (MATCH(759, 輔助計算!$F$2:$F$801, 0)+1)), "")&lt;&gt;"", IFERROR(INDEX(ERP資料!$A:$A, (MATCH(759, 輔助計算!$F$2:$F$801, 0)+1)), "")&lt;&gt;IFERROR(INDEX(ERP資料!$A:$A, MATCH(758, 輔助計算!$F$2:$F$801, 0)+1), "")), IFERROR(INDEX(ERP資料!$A:$A, (MATCH(759, 輔助計算!$F$2:$F$801, 0)+1)), ""), ""), "")</f>
        <v/>
      </c>
      <c r="C760" s="10">
        <f>IFERROR(IF(AND(IFERROR(INDEX(ERP資料!$A:$A, (MATCH(759, 輔助計算!$F$2:$F$801, 0)+1)), "")&lt;&gt;"", IFERROR(INDEX(ERP資料!$A:$A, (MATCH(759, 輔助計算!$F$2:$F$801, 0)+1)), "")&lt;&gt;IFERROR(INDEX(ERP資料!$A:$A, MATCH(758, 輔助計算!$F$2:$F$801, 0)+1), "")), INDEX(ERP資料!$S:$S, (MATCH(759, 輔助計算!$F$2:$F$801, 0)+1)), ""), "")</f>
        <v/>
      </c>
      <c r="D760" s="10">
        <f>IFERROR(IF(INDEX(ERP資料!$E:$E, (MATCH(759, 輔助計算!$F$2:$F$801, 0)+1))="","",TRIM(INDEX(ERP資料!$E:$E, (MATCH(759, 輔助計算!$F$2:$F$801, 0)+1)))), "")</f>
        <v/>
      </c>
      <c r="E760" s="10">
        <f>IFERROR(IF(INDEX(ERP資料!$F:$F, (MATCH(759, 輔助計算!$F$2:$F$801, 0)+1))="","",INDEX(ERP資料!$F:$F, (MATCH(759, 輔助計算!$F$2:$F$801, 0)+1))), "")</f>
        <v/>
      </c>
      <c r="F760" s="10">
        <f>IFERROR(IF(INDEX(ERP資料!$G:$G, (MATCH(759, 輔助計算!$F$2:$F$801, 0)+1))="","",INDEX(ERP資料!$G:$G, (MATCH(759, 輔助計算!$F$2:$F$801, 0)+1))), "")</f>
        <v/>
      </c>
      <c r="G760" s="10">
        <f>IFERROR(IF(INDEX(ERP資料!$H:$H, (MATCH(759, 輔助計算!$F$2:$F$801, 0)+1))="","",INDEX(ERP資料!$H:$H, (MATCH(759, 輔助計算!$F$2:$F$801, 0)+1))), "")</f>
        <v/>
      </c>
      <c r="H760" s="10">
        <f>IFERROR(IF(INDEX(ERP資料!$O:$O, (MATCH(759, 輔助計算!$F$2:$F$801, 0)+1))="","",INDEX(ERP資料!$O:$O, (MATCH(759, 輔助計算!$F$2:$F$801, 0)+1))), "")</f>
        <v/>
      </c>
      <c r="I760" s="15">
        <f>IFERROR(IF(INDEX(輔助計算!$D:$D,(MATCH(759, 輔助計算!$F$2:$F$801, 0)+1))="","",INDEX(輔助計算!$D:$D,(MATCH(759, 輔助計算!$F$2:$F$801, 0)+1))*INDEX(ERP資料!$O:$O,(MATCH(759, 輔助計算!$F$2:$F$801, 0)+1))), "")</f>
        <v/>
      </c>
      <c r="J760" s="16" t="n"/>
      <c r="K760" s="15">
        <f>IFERROR(INDEX(輔助計算!$D:$D, (MATCH(759, 輔助計算!$F$2:$F$801, 0)+1)), "")</f>
        <v/>
      </c>
      <c r="L760" s="16">
        <f>IFERROR(IF(AND(IFERROR(VLOOKUP(LEFT(INDEX(ERP資料!$S:$S, (MATCH(759, 輔助計算!$F$2:$F$801, 0)+1)), 4), 100張客戶!$A:$A, 1, FALSE), "")&lt;&gt;"", OR(INDEX(ERP資料!$F:$F, (MATCH(759, 輔助計算!$F$2:$F$801, 0)+1))=270, INDEX(ERP資料!$F:$F, (MATCH(759, 輔助計算!$F$2:$F$801, 0)+1))=300)), "100張", ""), "")</f>
        <v/>
      </c>
      <c r="M760" s="17" t="n"/>
      <c r="N760" s="17">
        <f>IF($F760="","",$F760)</f>
        <v/>
      </c>
      <c r="O760" s="17">
        <f>IF($G760="","",$G760)</f>
        <v/>
      </c>
      <c r="P760" s="17">
        <f>IF($K760="","",$K760)</f>
        <v/>
      </c>
      <c r="Q760" s="16" t="n"/>
      <c r="R760" s="18" t="n"/>
      <c r="S760" s="16" t="n"/>
    </row>
    <row r="761">
      <c r="A761" s="14">
        <f>IFERROR(IF(AND(IFERROR(INDEX(ERP資料!$A:$A, (MATCH(760, 輔助計算!$F$2:$F$801, 0)+1)), "")&lt;&gt;"", IFERROR(INDEX(ERP資料!$A:$A, (MATCH(760, 輔助計算!$F$2:$F$801, 0)+1)), "")&lt;&gt;IFERROR(INDEX(ERP資料!$A:$A, MATCH(759, 輔助計算!$F$2:$F$801, 0)+1), "")), INDEX(ERP資料!$B:$B, (MATCH(760, 輔助計算!$F$2:$F$801, 0)+1)), ""), "")</f>
        <v/>
      </c>
      <c r="B761" s="10">
        <f>IFERROR(IF(AND(IFERROR(INDEX(ERP資料!$A:$A, (MATCH(760, 輔助計算!$F$2:$F$801, 0)+1)), "")&lt;&gt;"", IFERROR(INDEX(ERP資料!$A:$A, (MATCH(760, 輔助計算!$F$2:$F$801, 0)+1)), "")&lt;&gt;IFERROR(INDEX(ERP資料!$A:$A, MATCH(759, 輔助計算!$F$2:$F$801, 0)+1), "")), IFERROR(INDEX(ERP資料!$A:$A, (MATCH(760, 輔助計算!$F$2:$F$801, 0)+1)), ""), ""), "")</f>
        <v/>
      </c>
      <c r="C761" s="10">
        <f>IFERROR(IF(AND(IFERROR(INDEX(ERP資料!$A:$A, (MATCH(760, 輔助計算!$F$2:$F$801, 0)+1)), "")&lt;&gt;"", IFERROR(INDEX(ERP資料!$A:$A, (MATCH(760, 輔助計算!$F$2:$F$801, 0)+1)), "")&lt;&gt;IFERROR(INDEX(ERP資料!$A:$A, MATCH(759, 輔助計算!$F$2:$F$801, 0)+1), "")), INDEX(ERP資料!$S:$S, (MATCH(760, 輔助計算!$F$2:$F$801, 0)+1)), ""), "")</f>
        <v/>
      </c>
      <c r="D761" s="10">
        <f>IFERROR(IF(INDEX(ERP資料!$E:$E, (MATCH(760, 輔助計算!$F$2:$F$801, 0)+1))="","",TRIM(INDEX(ERP資料!$E:$E, (MATCH(760, 輔助計算!$F$2:$F$801, 0)+1)))), "")</f>
        <v/>
      </c>
      <c r="E761" s="10">
        <f>IFERROR(IF(INDEX(ERP資料!$F:$F, (MATCH(760, 輔助計算!$F$2:$F$801, 0)+1))="","",INDEX(ERP資料!$F:$F, (MATCH(760, 輔助計算!$F$2:$F$801, 0)+1))), "")</f>
        <v/>
      </c>
      <c r="F761" s="10">
        <f>IFERROR(IF(INDEX(ERP資料!$G:$G, (MATCH(760, 輔助計算!$F$2:$F$801, 0)+1))="","",INDEX(ERP資料!$G:$G, (MATCH(760, 輔助計算!$F$2:$F$801, 0)+1))), "")</f>
        <v/>
      </c>
      <c r="G761" s="10">
        <f>IFERROR(IF(INDEX(ERP資料!$H:$H, (MATCH(760, 輔助計算!$F$2:$F$801, 0)+1))="","",INDEX(ERP資料!$H:$H, (MATCH(760, 輔助計算!$F$2:$F$801, 0)+1))), "")</f>
        <v/>
      </c>
      <c r="H761" s="10">
        <f>IFERROR(IF(INDEX(ERP資料!$O:$O, (MATCH(760, 輔助計算!$F$2:$F$801, 0)+1))="","",INDEX(ERP資料!$O:$O, (MATCH(760, 輔助計算!$F$2:$F$801, 0)+1))), "")</f>
        <v/>
      </c>
      <c r="I761" s="15">
        <f>IFERROR(IF(INDEX(輔助計算!$D:$D,(MATCH(760, 輔助計算!$F$2:$F$801, 0)+1))="","",INDEX(輔助計算!$D:$D,(MATCH(760, 輔助計算!$F$2:$F$801, 0)+1))*INDEX(ERP資料!$O:$O,(MATCH(760, 輔助計算!$F$2:$F$801, 0)+1))), "")</f>
        <v/>
      </c>
      <c r="J761" s="16" t="n"/>
      <c r="K761" s="15">
        <f>IFERROR(INDEX(輔助計算!$D:$D, (MATCH(760, 輔助計算!$F$2:$F$801, 0)+1)), "")</f>
        <v/>
      </c>
      <c r="L761" s="16">
        <f>IFERROR(IF(AND(IFERROR(VLOOKUP(LEFT(INDEX(ERP資料!$S:$S, (MATCH(760, 輔助計算!$F$2:$F$801, 0)+1)), 4), 100張客戶!$A:$A, 1, FALSE), "")&lt;&gt;"", OR(INDEX(ERP資料!$F:$F, (MATCH(760, 輔助計算!$F$2:$F$801, 0)+1))=270, INDEX(ERP資料!$F:$F, (MATCH(760, 輔助計算!$F$2:$F$801, 0)+1))=300)), "100張", ""), "")</f>
        <v/>
      </c>
      <c r="M761" s="17" t="n"/>
      <c r="N761" s="17">
        <f>IF($F761="","",$F761)</f>
        <v/>
      </c>
      <c r="O761" s="17">
        <f>IF($G761="","",$G761)</f>
        <v/>
      </c>
      <c r="P761" s="17">
        <f>IF($K761="","",$K761)</f>
        <v/>
      </c>
      <c r="Q761" s="16" t="n"/>
      <c r="R761" s="18" t="n"/>
      <c r="S761" s="16" t="n"/>
    </row>
    <row r="762">
      <c r="A762" s="14">
        <f>IFERROR(IF(AND(IFERROR(INDEX(ERP資料!$A:$A, (MATCH(761, 輔助計算!$F$2:$F$801, 0)+1)), "")&lt;&gt;"", IFERROR(INDEX(ERP資料!$A:$A, (MATCH(761, 輔助計算!$F$2:$F$801, 0)+1)), "")&lt;&gt;IFERROR(INDEX(ERP資料!$A:$A, MATCH(760, 輔助計算!$F$2:$F$801, 0)+1), "")), INDEX(ERP資料!$B:$B, (MATCH(761, 輔助計算!$F$2:$F$801, 0)+1)), ""), "")</f>
        <v/>
      </c>
      <c r="B762" s="10">
        <f>IFERROR(IF(AND(IFERROR(INDEX(ERP資料!$A:$A, (MATCH(761, 輔助計算!$F$2:$F$801, 0)+1)), "")&lt;&gt;"", IFERROR(INDEX(ERP資料!$A:$A, (MATCH(761, 輔助計算!$F$2:$F$801, 0)+1)), "")&lt;&gt;IFERROR(INDEX(ERP資料!$A:$A, MATCH(760, 輔助計算!$F$2:$F$801, 0)+1), "")), IFERROR(INDEX(ERP資料!$A:$A, (MATCH(761, 輔助計算!$F$2:$F$801, 0)+1)), ""), ""), "")</f>
        <v/>
      </c>
      <c r="C762" s="10">
        <f>IFERROR(IF(AND(IFERROR(INDEX(ERP資料!$A:$A, (MATCH(761, 輔助計算!$F$2:$F$801, 0)+1)), "")&lt;&gt;"", IFERROR(INDEX(ERP資料!$A:$A, (MATCH(761, 輔助計算!$F$2:$F$801, 0)+1)), "")&lt;&gt;IFERROR(INDEX(ERP資料!$A:$A, MATCH(760, 輔助計算!$F$2:$F$801, 0)+1), "")), INDEX(ERP資料!$S:$S, (MATCH(761, 輔助計算!$F$2:$F$801, 0)+1)), ""), "")</f>
        <v/>
      </c>
      <c r="D762" s="10">
        <f>IFERROR(IF(INDEX(ERP資料!$E:$E, (MATCH(761, 輔助計算!$F$2:$F$801, 0)+1))="","",TRIM(INDEX(ERP資料!$E:$E, (MATCH(761, 輔助計算!$F$2:$F$801, 0)+1)))), "")</f>
        <v/>
      </c>
      <c r="E762" s="10">
        <f>IFERROR(IF(INDEX(ERP資料!$F:$F, (MATCH(761, 輔助計算!$F$2:$F$801, 0)+1))="","",INDEX(ERP資料!$F:$F, (MATCH(761, 輔助計算!$F$2:$F$801, 0)+1))), "")</f>
        <v/>
      </c>
      <c r="F762" s="10">
        <f>IFERROR(IF(INDEX(ERP資料!$G:$G, (MATCH(761, 輔助計算!$F$2:$F$801, 0)+1))="","",INDEX(ERP資料!$G:$G, (MATCH(761, 輔助計算!$F$2:$F$801, 0)+1))), "")</f>
        <v/>
      </c>
      <c r="G762" s="10">
        <f>IFERROR(IF(INDEX(ERP資料!$H:$H, (MATCH(761, 輔助計算!$F$2:$F$801, 0)+1))="","",INDEX(ERP資料!$H:$H, (MATCH(761, 輔助計算!$F$2:$F$801, 0)+1))), "")</f>
        <v/>
      </c>
      <c r="H762" s="10">
        <f>IFERROR(IF(INDEX(ERP資料!$O:$O, (MATCH(761, 輔助計算!$F$2:$F$801, 0)+1))="","",INDEX(ERP資料!$O:$O, (MATCH(761, 輔助計算!$F$2:$F$801, 0)+1))), "")</f>
        <v/>
      </c>
      <c r="I762" s="15">
        <f>IFERROR(IF(INDEX(輔助計算!$D:$D,(MATCH(761, 輔助計算!$F$2:$F$801, 0)+1))="","",INDEX(輔助計算!$D:$D,(MATCH(761, 輔助計算!$F$2:$F$801, 0)+1))*INDEX(ERP資料!$O:$O,(MATCH(761, 輔助計算!$F$2:$F$801, 0)+1))), "")</f>
        <v/>
      </c>
      <c r="J762" s="16" t="n"/>
      <c r="K762" s="15">
        <f>IFERROR(INDEX(輔助計算!$D:$D, (MATCH(761, 輔助計算!$F$2:$F$801, 0)+1)), "")</f>
        <v/>
      </c>
      <c r="L762" s="16">
        <f>IFERROR(IF(AND(IFERROR(VLOOKUP(LEFT(INDEX(ERP資料!$S:$S, (MATCH(761, 輔助計算!$F$2:$F$801, 0)+1)), 4), 100張客戶!$A:$A, 1, FALSE), "")&lt;&gt;"", OR(INDEX(ERP資料!$F:$F, (MATCH(761, 輔助計算!$F$2:$F$801, 0)+1))=270, INDEX(ERP資料!$F:$F, (MATCH(761, 輔助計算!$F$2:$F$801, 0)+1))=300)), "100張", ""), "")</f>
        <v/>
      </c>
      <c r="M762" s="17" t="n"/>
      <c r="N762" s="17">
        <f>IF($F762="","",$F762)</f>
        <v/>
      </c>
      <c r="O762" s="17">
        <f>IF($G762="","",$G762)</f>
        <v/>
      </c>
      <c r="P762" s="17">
        <f>IF($K762="","",$K762)</f>
        <v/>
      </c>
      <c r="Q762" s="16" t="n"/>
      <c r="R762" s="18" t="n"/>
      <c r="S762" s="16" t="n"/>
    </row>
    <row r="763">
      <c r="A763" s="14">
        <f>IFERROR(IF(AND(IFERROR(INDEX(ERP資料!$A:$A, (MATCH(762, 輔助計算!$F$2:$F$801, 0)+1)), "")&lt;&gt;"", IFERROR(INDEX(ERP資料!$A:$A, (MATCH(762, 輔助計算!$F$2:$F$801, 0)+1)), "")&lt;&gt;IFERROR(INDEX(ERP資料!$A:$A, MATCH(761, 輔助計算!$F$2:$F$801, 0)+1), "")), INDEX(ERP資料!$B:$B, (MATCH(762, 輔助計算!$F$2:$F$801, 0)+1)), ""), "")</f>
        <v/>
      </c>
      <c r="B763" s="10">
        <f>IFERROR(IF(AND(IFERROR(INDEX(ERP資料!$A:$A, (MATCH(762, 輔助計算!$F$2:$F$801, 0)+1)), "")&lt;&gt;"", IFERROR(INDEX(ERP資料!$A:$A, (MATCH(762, 輔助計算!$F$2:$F$801, 0)+1)), "")&lt;&gt;IFERROR(INDEX(ERP資料!$A:$A, MATCH(761, 輔助計算!$F$2:$F$801, 0)+1), "")), IFERROR(INDEX(ERP資料!$A:$A, (MATCH(762, 輔助計算!$F$2:$F$801, 0)+1)), ""), ""), "")</f>
        <v/>
      </c>
      <c r="C763" s="10">
        <f>IFERROR(IF(AND(IFERROR(INDEX(ERP資料!$A:$A, (MATCH(762, 輔助計算!$F$2:$F$801, 0)+1)), "")&lt;&gt;"", IFERROR(INDEX(ERP資料!$A:$A, (MATCH(762, 輔助計算!$F$2:$F$801, 0)+1)), "")&lt;&gt;IFERROR(INDEX(ERP資料!$A:$A, MATCH(761, 輔助計算!$F$2:$F$801, 0)+1), "")), INDEX(ERP資料!$S:$S, (MATCH(762, 輔助計算!$F$2:$F$801, 0)+1)), ""), "")</f>
        <v/>
      </c>
      <c r="D763" s="10">
        <f>IFERROR(IF(INDEX(ERP資料!$E:$E, (MATCH(762, 輔助計算!$F$2:$F$801, 0)+1))="","",TRIM(INDEX(ERP資料!$E:$E, (MATCH(762, 輔助計算!$F$2:$F$801, 0)+1)))), "")</f>
        <v/>
      </c>
      <c r="E763" s="10">
        <f>IFERROR(IF(INDEX(ERP資料!$F:$F, (MATCH(762, 輔助計算!$F$2:$F$801, 0)+1))="","",INDEX(ERP資料!$F:$F, (MATCH(762, 輔助計算!$F$2:$F$801, 0)+1))), "")</f>
        <v/>
      </c>
      <c r="F763" s="10">
        <f>IFERROR(IF(INDEX(ERP資料!$G:$G, (MATCH(762, 輔助計算!$F$2:$F$801, 0)+1))="","",INDEX(ERP資料!$G:$G, (MATCH(762, 輔助計算!$F$2:$F$801, 0)+1))), "")</f>
        <v/>
      </c>
      <c r="G763" s="10">
        <f>IFERROR(IF(INDEX(ERP資料!$H:$H, (MATCH(762, 輔助計算!$F$2:$F$801, 0)+1))="","",INDEX(ERP資料!$H:$H, (MATCH(762, 輔助計算!$F$2:$F$801, 0)+1))), "")</f>
        <v/>
      </c>
      <c r="H763" s="10">
        <f>IFERROR(IF(INDEX(ERP資料!$O:$O, (MATCH(762, 輔助計算!$F$2:$F$801, 0)+1))="","",INDEX(ERP資料!$O:$O, (MATCH(762, 輔助計算!$F$2:$F$801, 0)+1))), "")</f>
        <v/>
      </c>
      <c r="I763" s="15">
        <f>IFERROR(IF(INDEX(輔助計算!$D:$D,(MATCH(762, 輔助計算!$F$2:$F$801, 0)+1))="","",INDEX(輔助計算!$D:$D,(MATCH(762, 輔助計算!$F$2:$F$801, 0)+1))*INDEX(ERP資料!$O:$O,(MATCH(762, 輔助計算!$F$2:$F$801, 0)+1))), "")</f>
        <v/>
      </c>
      <c r="J763" s="16" t="n"/>
      <c r="K763" s="15">
        <f>IFERROR(INDEX(輔助計算!$D:$D, (MATCH(762, 輔助計算!$F$2:$F$801, 0)+1)), "")</f>
        <v/>
      </c>
      <c r="L763" s="16">
        <f>IFERROR(IF(AND(IFERROR(VLOOKUP(LEFT(INDEX(ERP資料!$S:$S, (MATCH(762, 輔助計算!$F$2:$F$801, 0)+1)), 4), 100張客戶!$A:$A, 1, FALSE), "")&lt;&gt;"", OR(INDEX(ERP資料!$F:$F, (MATCH(762, 輔助計算!$F$2:$F$801, 0)+1))=270, INDEX(ERP資料!$F:$F, (MATCH(762, 輔助計算!$F$2:$F$801, 0)+1))=300)), "100張", ""), "")</f>
        <v/>
      </c>
      <c r="M763" s="17" t="n"/>
      <c r="N763" s="17">
        <f>IF($F763="","",$F763)</f>
        <v/>
      </c>
      <c r="O763" s="17">
        <f>IF($G763="","",$G763)</f>
        <v/>
      </c>
      <c r="P763" s="17">
        <f>IF($K763="","",$K763)</f>
        <v/>
      </c>
      <c r="Q763" s="16" t="n"/>
      <c r="R763" s="18" t="n"/>
      <c r="S763" s="16" t="n"/>
    </row>
    <row r="764">
      <c r="A764" s="14">
        <f>IFERROR(IF(AND(IFERROR(INDEX(ERP資料!$A:$A, (MATCH(763, 輔助計算!$F$2:$F$801, 0)+1)), "")&lt;&gt;"", IFERROR(INDEX(ERP資料!$A:$A, (MATCH(763, 輔助計算!$F$2:$F$801, 0)+1)), "")&lt;&gt;IFERROR(INDEX(ERP資料!$A:$A, MATCH(762, 輔助計算!$F$2:$F$801, 0)+1), "")), INDEX(ERP資料!$B:$B, (MATCH(763, 輔助計算!$F$2:$F$801, 0)+1)), ""), "")</f>
        <v/>
      </c>
      <c r="B764" s="10">
        <f>IFERROR(IF(AND(IFERROR(INDEX(ERP資料!$A:$A, (MATCH(763, 輔助計算!$F$2:$F$801, 0)+1)), "")&lt;&gt;"", IFERROR(INDEX(ERP資料!$A:$A, (MATCH(763, 輔助計算!$F$2:$F$801, 0)+1)), "")&lt;&gt;IFERROR(INDEX(ERP資料!$A:$A, MATCH(762, 輔助計算!$F$2:$F$801, 0)+1), "")), IFERROR(INDEX(ERP資料!$A:$A, (MATCH(763, 輔助計算!$F$2:$F$801, 0)+1)), ""), ""), "")</f>
        <v/>
      </c>
      <c r="C764" s="10">
        <f>IFERROR(IF(AND(IFERROR(INDEX(ERP資料!$A:$A, (MATCH(763, 輔助計算!$F$2:$F$801, 0)+1)), "")&lt;&gt;"", IFERROR(INDEX(ERP資料!$A:$A, (MATCH(763, 輔助計算!$F$2:$F$801, 0)+1)), "")&lt;&gt;IFERROR(INDEX(ERP資料!$A:$A, MATCH(762, 輔助計算!$F$2:$F$801, 0)+1), "")), INDEX(ERP資料!$S:$S, (MATCH(763, 輔助計算!$F$2:$F$801, 0)+1)), ""), "")</f>
        <v/>
      </c>
      <c r="D764" s="10">
        <f>IFERROR(IF(INDEX(ERP資料!$E:$E, (MATCH(763, 輔助計算!$F$2:$F$801, 0)+1))="","",TRIM(INDEX(ERP資料!$E:$E, (MATCH(763, 輔助計算!$F$2:$F$801, 0)+1)))), "")</f>
        <v/>
      </c>
      <c r="E764" s="10">
        <f>IFERROR(IF(INDEX(ERP資料!$F:$F, (MATCH(763, 輔助計算!$F$2:$F$801, 0)+1))="","",INDEX(ERP資料!$F:$F, (MATCH(763, 輔助計算!$F$2:$F$801, 0)+1))), "")</f>
        <v/>
      </c>
      <c r="F764" s="10">
        <f>IFERROR(IF(INDEX(ERP資料!$G:$G, (MATCH(763, 輔助計算!$F$2:$F$801, 0)+1))="","",INDEX(ERP資料!$G:$G, (MATCH(763, 輔助計算!$F$2:$F$801, 0)+1))), "")</f>
        <v/>
      </c>
      <c r="G764" s="10">
        <f>IFERROR(IF(INDEX(ERP資料!$H:$H, (MATCH(763, 輔助計算!$F$2:$F$801, 0)+1))="","",INDEX(ERP資料!$H:$H, (MATCH(763, 輔助計算!$F$2:$F$801, 0)+1))), "")</f>
        <v/>
      </c>
      <c r="H764" s="10">
        <f>IFERROR(IF(INDEX(ERP資料!$O:$O, (MATCH(763, 輔助計算!$F$2:$F$801, 0)+1))="","",INDEX(ERP資料!$O:$O, (MATCH(763, 輔助計算!$F$2:$F$801, 0)+1))), "")</f>
        <v/>
      </c>
      <c r="I764" s="15">
        <f>IFERROR(IF(INDEX(輔助計算!$D:$D,(MATCH(763, 輔助計算!$F$2:$F$801, 0)+1))="","",INDEX(輔助計算!$D:$D,(MATCH(763, 輔助計算!$F$2:$F$801, 0)+1))*INDEX(ERP資料!$O:$O,(MATCH(763, 輔助計算!$F$2:$F$801, 0)+1))), "")</f>
        <v/>
      </c>
      <c r="J764" s="16" t="n"/>
      <c r="K764" s="15">
        <f>IFERROR(INDEX(輔助計算!$D:$D, (MATCH(763, 輔助計算!$F$2:$F$801, 0)+1)), "")</f>
        <v/>
      </c>
      <c r="L764" s="16">
        <f>IFERROR(IF(AND(IFERROR(VLOOKUP(LEFT(INDEX(ERP資料!$S:$S, (MATCH(763, 輔助計算!$F$2:$F$801, 0)+1)), 4), 100張客戶!$A:$A, 1, FALSE), "")&lt;&gt;"", OR(INDEX(ERP資料!$F:$F, (MATCH(763, 輔助計算!$F$2:$F$801, 0)+1))=270, INDEX(ERP資料!$F:$F, (MATCH(763, 輔助計算!$F$2:$F$801, 0)+1))=300)), "100張", ""), "")</f>
        <v/>
      </c>
      <c r="M764" s="17" t="n"/>
      <c r="N764" s="17">
        <f>IF($F764="","",$F764)</f>
        <v/>
      </c>
      <c r="O764" s="17">
        <f>IF($G764="","",$G764)</f>
        <v/>
      </c>
      <c r="P764" s="17">
        <f>IF($K764="","",$K764)</f>
        <v/>
      </c>
      <c r="Q764" s="16" t="n"/>
      <c r="R764" s="18" t="n"/>
      <c r="S764" s="16" t="n"/>
    </row>
    <row r="765">
      <c r="A765" s="14">
        <f>IFERROR(IF(AND(IFERROR(INDEX(ERP資料!$A:$A, (MATCH(764, 輔助計算!$F$2:$F$801, 0)+1)), "")&lt;&gt;"", IFERROR(INDEX(ERP資料!$A:$A, (MATCH(764, 輔助計算!$F$2:$F$801, 0)+1)), "")&lt;&gt;IFERROR(INDEX(ERP資料!$A:$A, MATCH(763, 輔助計算!$F$2:$F$801, 0)+1), "")), INDEX(ERP資料!$B:$B, (MATCH(764, 輔助計算!$F$2:$F$801, 0)+1)), ""), "")</f>
        <v/>
      </c>
      <c r="B765" s="10">
        <f>IFERROR(IF(AND(IFERROR(INDEX(ERP資料!$A:$A, (MATCH(764, 輔助計算!$F$2:$F$801, 0)+1)), "")&lt;&gt;"", IFERROR(INDEX(ERP資料!$A:$A, (MATCH(764, 輔助計算!$F$2:$F$801, 0)+1)), "")&lt;&gt;IFERROR(INDEX(ERP資料!$A:$A, MATCH(763, 輔助計算!$F$2:$F$801, 0)+1), "")), IFERROR(INDEX(ERP資料!$A:$A, (MATCH(764, 輔助計算!$F$2:$F$801, 0)+1)), ""), ""), "")</f>
        <v/>
      </c>
      <c r="C765" s="10">
        <f>IFERROR(IF(AND(IFERROR(INDEX(ERP資料!$A:$A, (MATCH(764, 輔助計算!$F$2:$F$801, 0)+1)), "")&lt;&gt;"", IFERROR(INDEX(ERP資料!$A:$A, (MATCH(764, 輔助計算!$F$2:$F$801, 0)+1)), "")&lt;&gt;IFERROR(INDEX(ERP資料!$A:$A, MATCH(763, 輔助計算!$F$2:$F$801, 0)+1), "")), INDEX(ERP資料!$S:$S, (MATCH(764, 輔助計算!$F$2:$F$801, 0)+1)), ""), "")</f>
        <v/>
      </c>
      <c r="D765" s="10">
        <f>IFERROR(IF(INDEX(ERP資料!$E:$E, (MATCH(764, 輔助計算!$F$2:$F$801, 0)+1))="","",TRIM(INDEX(ERP資料!$E:$E, (MATCH(764, 輔助計算!$F$2:$F$801, 0)+1)))), "")</f>
        <v/>
      </c>
      <c r="E765" s="10">
        <f>IFERROR(IF(INDEX(ERP資料!$F:$F, (MATCH(764, 輔助計算!$F$2:$F$801, 0)+1))="","",INDEX(ERP資料!$F:$F, (MATCH(764, 輔助計算!$F$2:$F$801, 0)+1))), "")</f>
        <v/>
      </c>
      <c r="F765" s="10">
        <f>IFERROR(IF(INDEX(ERP資料!$G:$G, (MATCH(764, 輔助計算!$F$2:$F$801, 0)+1))="","",INDEX(ERP資料!$G:$G, (MATCH(764, 輔助計算!$F$2:$F$801, 0)+1))), "")</f>
        <v/>
      </c>
      <c r="G765" s="10">
        <f>IFERROR(IF(INDEX(ERP資料!$H:$H, (MATCH(764, 輔助計算!$F$2:$F$801, 0)+1))="","",INDEX(ERP資料!$H:$H, (MATCH(764, 輔助計算!$F$2:$F$801, 0)+1))), "")</f>
        <v/>
      </c>
      <c r="H765" s="10">
        <f>IFERROR(IF(INDEX(ERP資料!$O:$O, (MATCH(764, 輔助計算!$F$2:$F$801, 0)+1))="","",INDEX(ERP資料!$O:$O, (MATCH(764, 輔助計算!$F$2:$F$801, 0)+1))), "")</f>
        <v/>
      </c>
      <c r="I765" s="15">
        <f>IFERROR(IF(INDEX(輔助計算!$D:$D,(MATCH(764, 輔助計算!$F$2:$F$801, 0)+1))="","",INDEX(輔助計算!$D:$D,(MATCH(764, 輔助計算!$F$2:$F$801, 0)+1))*INDEX(ERP資料!$O:$O,(MATCH(764, 輔助計算!$F$2:$F$801, 0)+1))), "")</f>
        <v/>
      </c>
      <c r="J765" s="16" t="n"/>
      <c r="K765" s="15">
        <f>IFERROR(INDEX(輔助計算!$D:$D, (MATCH(764, 輔助計算!$F$2:$F$801, 0)+1)), "")</f>
        <v/>
      </c>
      <c r="L765" s="16">
        <f>IFERROR(IF(AND(IFERROR(VLOOKUP(LEFT(INDEX(ERP資料!$S:$S, (MATCH(764, 輔助計算!$F$2:$F$801, 0)+1)), 4), 100張客戶!$A:$A, 1, FALSE), "")&lt;&gt;"", OR(INDEX(ERP資料!$F:$F, (MATCH(764, 輔助計算!$F$2:$F$801, 0)+1))=270, INDEX(ERP資料!$F:$F, (MATCH(764, 輔助計算!$F$2:$F$801, 0)+1))=300)), "100張", ""), "")</f>
        <v/>
      </c>
      <c r="M765" s="17" t="n"/>
      <c r="N765" s="17">
        <f>IF($F765="","",$F765)</f>
        <v/>
      </c>
      <c r="O765" s="17">
        <f>IF($G765="","",$G765)</f>
        <v/>
      </c>
      <c r="P765" s="17">
        <f>IF($K765="","",$K765)</f>
        <v/>
      </c>
      <c r="Q765" s="16" t="n"/>
      <c r="R765" s="18" t="n"/>
      <c r="S765" s="16" t="n"/>
    </row>
    <row r="766">
      <c r="A766" s="14">
        <f>IFERROR(IF(AND(IFERROR(INDEX(ERP資料!$A:$A, (MATCH(765, 輔助計算!$F$2:$F$801, 0)+1)), "")&lt;&gt;"", IFERROR(INDEX(ERP資料!$A:$A, (MATCH(765, 輔助計算!$F$2:$F$801, 0)+1)), "")&lt;&gt;IFERROR(INDEX(ERP資料!$A:$A, MATCH(764, 輔助計算!$F$2:$F$801, 0)+1), "")), INDEX(ERP資料!$B:$B, (MATCH(765, 輔助計算!$F$2:$F$801, 0)+1)), ""), "")</f>
        <v/>
      </c>
      <c r="B766" s="10">
        <f>IFERROR(IF(AND(IFERROR(INDEX(ERP資料!$A:$A, (MATCH(765, 輔助計算!$F$2:$F$801, 0)+1)), "")&lt;&gt;"", IFERROR(INDEX(ERP資料!$A:$A, (MATCH(765, 輔助計算!$F$2:$F$801, 0)+1)), "")&lt;&gt;IFERROR(INDEX(ERP資料!$A:$A, MATCH(764, 輔助計算!$F$2:$F$801, 0)+1), "")), IFERROR(INDEX(ERP資料!$A:$A, (MATCH(765, 輔助計算!$F$2:$F$801, 0)+1)), ""), ""), "")</f>
        <v/>
      </c>
      <c r="C766" s="10">
        <f>IFERROR(IF(AND(IFERROR(INDEX(ERP資料!$A:$A, (MATCH(765, 輔助計算!$F$2:$F$801, 0)+1)), "")&lt;&gt;"", IFERROR(INDEX(ERP資料!$A:$A, (MATCH(765, 輔助計算!$F$2:$F$801, 0)+1)), "")&lt;&gt;IFERROR(INDEX(ERP資料!$A:$A, MATCH(764, 輔助計算!$F$2:$F$801, 0)+1), "")), INDEX(ERP資料!$S:$S, (MATCH(765, 輔助計算!$F$2:$F$801, 0)+1)), ""), "")</f>
        <v/>
      </c>
      <c r="D766" s="10">
        <f>IFERROR(IF(INDEX(ERP資料!$E:$E, (MATCH(765, 輔助計算!$F$2:$F$801, 0)+1))="","",TRIM(INDEX(ERP資料!$E:$E, (MATCH(765, 輔助計算!$F$2:$F$801, 0)+1)))), "")</f>
        <v/>
      </c>
      <c r="E766" s="10">
        <f>IFERROR(IF(INDEX(ERP資料!$F:$F, (MATCH(765, 輔助計算!$F$2:$F$801, 0)+1))="","",INDEX(ERP資料!$F:$F, (MATCH(765, 輔助計算!$F$2:$F$801, 0)+1))), "")</f>
        <v/>
      </c>
      <c r="F766" s="10">
        <f>IFERROR(IF(INDEX(ERP資料!$G:$G, (MATCH(765, 輔助計算!$F$2:$F$801, 0)+1))="","",INDEX(ERP資料!$G:$G, (MATCH(765, 輔助計算!$F$2:$F$801, 0)+1))), "")</f>
        <v/>
      </c>
      <c r="G766" s="10">
        <f>IFERROR(IF(INDEX(ERP資料!$H:$H, (MATCH(765, 輔助計算!$F$2:$F$801, 0)+1))="","",INDEX(ERP資料!$H:$H, (MATCH(765, 輔助計算!$F$2:$F$801, 0)+1))), "")</f>
        <v/>
      </c>
      <c r="H766" s="10">
        <f>IFERROR(IF(INDEX(ERP資料!$O:$O, (MATCH(765, 輔助計算!$F$2:$F$801, 0)+1))="","",INDEX(ERP資料!$O:$O, (MATCH(765, 輔助計算!$F$2:$F$801, 0)+1))), "")</f>
        <v/>
      </c>
      <c r="I766" s="15">
        <f>IFERROR(IF(INDEX(輔助計算!$D:$D,(MATCH(765, 輔助計算!$F$2:$F$801, 0)+1))="","",INDEX(輔助計算!$D:$D,(MATCH(765, 輔助計算!$F$2:$F$801, 0)+1))*INDEX(ERP資料!$O:$O,(MATCH(765, 輔助計算!$F$2:$F$801, 0)+1))), "")</f>
        <v/>
      </c>
      <c r="J766" s="16" t="n"/>
      <c r="K766" s="15">
        <f>IFERROR(INDEX(輔助計算!$D:$D, (MATCH(765, 輔助計算!$F$2:$F$801, 0)+1)), "")</f>
        <v/>
      </c>
      <c r="L766" s="16">
        <f>IFERROR(IF(AND(IFERROR(VLOOKUP(LEFT(INDEX(ERP資料!$S:$S, (MATCH(765, 輔助計算!$F$2:$F$801, 0)+1)), 4), 100張客戶!$A:$A, 1, FALSE), "")&lt;&gt;"", OR(INDEX(ERP資料!$F:$F, (MATCH(765, 輔助計算!$F$2:$F$801, 0)+1))=270, INDEX(ERP資料!$F:$F, (MATCH(765, 輔助計算!$F$2:$F$801, 0)+1))=300)), "100張", ""), "")</f>
        <v/>
      </c>
      <c r="M766" s="17" t="n"/>
      <c r="N766" s="17">
        <f>IF($F766="","",$F766)</f>
        <v/>
      </c>
      <c r="O766" s="17">
        <f>IF($G766="","",$G766)</f>
        <v/>
      </c>
      <c r="P766" s="17">
        <f>IF($K766="","",$K766)</f>
        <v/>
      </c>
      <c r="Q766" s="16" t="n"/>
      <c r="R766" s="18" t="n"/>
      <c r="S766" s="16" t="n"/>
    </row>
    <row r="767">
      <c r="A767" s="14">
        <f>IFERROR(IF(AND(IFERROR(INDEX(ERP資料!$A:$A, (MATCH(766, 輔助計算!$F$2:$F$801, 0)+1)), "")&lt;&gt;"", IFERROR(INDEX(ERP資料!$A:$A, (MATCH(766, 輔助計算!$F$2:$F$801, 0)+1)), "")&lt;&gt;IFERROR(INDEX(ERP資料!$A:$A, MATCH(765, 輔助計算!$F$2:$F$801, 0)+1), "")), INDEX(ERP資料!$B:$B, (MATCH(766, 輔助計算!$F$2:$F$801, 0)+1)), ""), "")</f>
        <v/>
      </c>
      <c r="B767" s="10">
        <f>IFERROR(IF(AND(IFERROR(INDEX(ERP資料!$A:$A, (MATCH(766, 輔助計算!$F$2:$F$801, 0)+1)), "")&lt;&gt;"", IFERROR(INDEX(ERP資料!$A:$A, (MATCH(766, 輔助計算!$F$2:$F$801, 0)+1)), "")&lt;&gt;IFERROR(INDEX(ERP資料!$A:$A, MATCH(765, 輔助計算!$F$2:$F$801, 0)+1), "")), IFERROR(INDEX(ERP資料!$A:$A, (MATCH(766, 輔助計算!$F$2:$F$801, 0)+1)), ""), ""), "")</f>
        <v/>
      </c>
      <c r="C767" s="10">
        <f>IFERROR(IF(AND(IFERROR(INDEX(ERP資料!$A:$A, (MATCH(766, 輔助計算!$F$2:$F$801, 0)+1)), "")&lt;&gt;"", IFERROR(INDEX(ERP資料!$A:$A, (MATCH(766, 輔助計算!$F$2:$F$801, 0)+1)), "")&lt;&gt;IFERROR(INDEX(ERP資料!$A:$A, MATCH(765, 輔助計算!$F$2:$F$801, 0)+1), "")), INDEX(ERP資料!$S:$S, (MATCH(766, 輔助計算!$F$2:$F$801, 0)+1)), ""), "")</f>
        <v/>
      </c>
      <c r="D767" s="10">
        <f>IFERROR(IF(INDEX(ERP資料!$E:$E, (MATCH(766, 輔助計算!$F$2:$F$801, 0)+1))="","",TRIM(INDEX(ERP資料!$E:$E, (MATCH(766, 輔助計算!$F$2:$F$801, 0)+1)))), "")</f>
        <v/>
      </c>
      <c r="E767" s="10">
        <f>IFERROR(IF(INDEX(ERP資料!$F:$F, (MATCH(766, 輔助計算!$F$2:$F$801, 0)+1))="","",INDEX(ERP資料!$F:$F, (MATCH(766, 輔助計算!$F$2:$F$801, 0)+1))), "")</f>
        <v/>
      </c>
      <c r="F767" s="10">
        <f>IFERROR(IF(INDEX(ERP資料!$G:$G, (MATCH(766, 輔助計算!$F$2:$F$801, 0)+1))="","",INDEX(ERP資料!$G:$G, (MATCH(766, 輔助計算!$F$2:$F$801, 0)+1))), "")</f>
        <v/>
      </c>
      <c r="G767" s="10">
        <f>IFERROR(IF(INDEX(ERP資料!$H:$H, (MATCH(766, 輔助計算!$F$2:$F$801, 0)+1))="","",INDEX(ERP資料!$H:$H, (MATCH(766, 輔助計算!$F$2:$F$801, 0)+1))), "")</f>
        <v/>
      </c>
      <c r="H767" s="10">
        <f>IFERROR(IF(INDEX(ERP資料!$O:$O, (MATCH(766, 輔助計算!$F$2:$F$801, 0)+1))="","",INDEX(ERP資料!$O:$O, (MATCH(766, 輔助計算!$F$2:$F$801, 0)+1))), "")</f>
        <v/>
      </c>
      <c r="I767" s="15">
        <f>IFERROR(IF(INDEX(輔助計算!$D:$D,(MATCH(766, 輔助計算!$F$2:$F$801, 0)+1))="","",INDEX(輔助計算!$D:$D,(MATCH(766, 輔助計算!$F$2:$F$801, 0)+1))*INDEX(ERP資料!$O:$O,(MATCH(766, 輔助計算!$F$2:$F$801, 0)+1))), "")</f>
        <v/>
      </c>
      <c r="J767" s="16" t="n"/>
      <c r="K767" s="15">
        <f>IFERROR(INDEX(輔助計算!$D:$D, (MATCH(766, 輔助計算!$F$2:$F$801, 0)+1)), "")</f>
        <v/>
      </c>
      <c r="L767" s="16">
        <f>IFERROR(IF(AND(IFERROR(VLOOKUP(LEFT(INDEX(ERP資料!$S:$S, (MATCH(766, 輔助計算!$F$2:$F$801, 0)+1)), 4), 100張客戶!$A:$A, 1, FALSE), "")&lt;&gt;"", OR(INDEX(ERP資料!$F:$F, (MATCH(766, 輔助計算!$F$2:$F$801, 0)+1))=270, INDEX(ERP資料!$F:$F, (MATCH(766, 輔助計算!$F$2:$F$801, 0)+1))=300)), "100張", ""), "")</f>
        <v/>
      </c>
      <c r="M767" s="17" t="n"/>
      <c r="N767" s="17">
        <f>IF($F767="","",$F767)</f>
        <v/>
      </c>
      <c r="O767" s="17">
        <f>IF($G767="","",$G767)</f>
        <v/>
      </c>
      <c r="P767" s="17">
        <f>IF($K767="","",$K767)</f>
        <v/>
      </c>
      <c r="Q767" s="16" t="n"/>
      <c r="R767" s="18" t="n"/>
      <c r="S767" s="16" t="n"/>
    </row>
    <row r="768">
      <c r="A768" s="14">
        <f>IFERROR(IF(AND(IFERROR(INDEX(ERP資料!$A:$A, (MATCH(767, 輔助計算!$F$2:$F$801, 0)+1)), "")&lt;&gt;"", IFERROR(INDEX(ERP資料!$A:$A, (MATCH(767, 輔助計算!$F$2:$F$801, 0)+1)), "")&lt;&gt;IFERROR(INDEX(ERP資料!$A:$A, MATCH(766, 輔助計算!$F$2:$F$801, 0)+1), "")), INDEX(ERP資料!$B:$B, (MATCH(767, 輔助計算!$F$2:$F$801, 0)+1)), ""), "")</f>
        <v/>
      </c>
      <c r="B768" s="10">
        <f>IFERROR(IF(AND(IFERROR(INDEX(ERP資料!$A:$A, (MATCH(767, 輔助計算!$F$2:$F$801, 0)+1)), "")&lt;&gt;"", IFERROR(INDEX(ERP資料!$A:$A, (MATCH(767, 輔助計算!$F$2:$F$801, 0)+1)), "")&lt;&gt;IFERROR(INDEX(ERP資料!$A:$A, MATCH(766, 輔助計算!$F$2:$F$801, 0)+1), "")), IFERROR(INDEX(ERP資料!$A:$A, (MATCH(767, 輔助計算!$F$2:$F$801, 0)+1)), ""), ""), "")</f>
        <v/>
      </c>
      <c r="C768" s="10">
        <f>IFERROR(IF(AND(IFERROR(INDEX(ERP資料!$A:$A, (MATCH(767, 輔助計算!$F$2:$F$801, 0)+1)), "")&lt;&gt;"", IFERROR(INDEX(ERP資料!$A:$A, (MATCH(767, 輔助計算!$F$2:$F$801, 0)+1)), "")&lt;&gt;IFERROR(INDEX(ERP資料!$A:$A, MATCH(766, 輔助計算!$F$2:$F$801, 0)+1), "")), INDEX(ERP資料!$S:$S, (MATCH(767, 輔助計算!$F$2:$F$801, 0)+1)), ""), "")</f>
        <v/>
      </c>
      <c r="D768" s="10">
        <f>IFERROR(IF(INDEX(ERP資料!$E:$E, (MATCH(767, 輔助計算!$F$2:$F$801, 0)+1))="","",TRIM(INDEX(ERP資料!$E:$E, (MATCH(767, 輔助計算!$F$2:$F$801, 0)+1)))), "")</f>
        <v/>
      </c>
      <c r="E768" s="10">
        <f>IFERROR(IF(INDEX(ERP資料!$F:$F, (MATCH(767, 輔助計算!$F$2:$F$801, 0)+1))="","",INDEX(ERP資料!$F:$F, (MATCH(767, 輔助計算!$F$2:$F$801, 0)+1))), "")</f>
        <v/>
      </c>
      <c r="F768" s="10">
        <f>IFERROR(IF(INDEX(ERP資料!$G:$G, (MATCH(767, 輔助計算!$F$2:$F$801, 0)+1))="","",INDEX(ERP資料!$G:$G, (MATCH(767, 輔助計算!$F$2:$F$801, 0)+1))), "")</f>
        <v/>
      </c>
      <c r="G768" s="10">
        <f>IFERROR(IF(INDEX(ERP資料!$H:$H, (MATCH(767, 輔助計算!$F$2:$F$801, 0)+1))="","",INDEX(ERP資料!$H:$H, (MATCH(767, 輔助計算!$F$2:$F$801, 0)+1))), "")</f>
        <v/>
      </c>
      <c r="H768" s="10">
        <f>IFERROR(IF(INDEX(ERP資料!$O:$O, (MATCH(767, 輔助計算!$F$2:$F$801, 0)+1))="","",INDEX(ERP資料!$O:$O, (MATCH(767, 輔助計算!$F$2:$F$801, 0)+1))), "")</f>
        <v/>
      </c>
      <c r="I768" s="15">
        <f>IFERROR(IF(INDEX(輔助計算!$D:$D,(MATCH(767, 輔助計算!$F$2:$F$801, 0)+1))="","",INDEX(輔助計算!$D:$D,(MATCH(767, 輔助計算!$F$2:$F$801, 0)+1))*INDEX(ERP資料!$O:$O,(MATCH(767, 輔助計算!$F$2:$F$801, 0)+1))), "")</f>
        <v/>
      </c>
      <c r="J768" s="16" t="n"/>
      <c r="K768" s="15">
        <f>IFERROR(INDEX(輔助計算!$D:$D, (MATCH(767, 輔助計算!$F$2:$F$801, 0)+1)), "")</f>
        <v/>
      </c>
      <c r="L768" s="16">
        <f>IFERROR(IF(AND(IFERROR(VLOOKUP(LEFT(INDEX(ERP資料!$S:$S, (MATCH(767, 輔助計算!$F$2:$F$801, 0)+1)), 4), 100張客戶!$A:$A, 1, FALSE), "")&lt;&gt;"", OR(INDEX(ERP資料!$F:$F, (MATCH(767, 輔助計算!$F$2:$F$801, 0)+1))=270, INDEX(ERP資料!$F:$F, (MATCH(767, 輔助計算!$F$2:$F$801, 0)+1))=300)), "100張", ""), "")</f>
        <v/>
      </c>
      <c r="M768" s="17" t="n"/>
      <c r="N768" s="17">
        <f>IF($F768="","",$F768)</f>
        <v/>
      </c>
      <c r="O768" s="17">
        <f>IF($G768="","",$G768)</f>
        <v/>
      </c>
      <c r="P768" s="17">
        <f>IF($K768="","",$K768)</f>
        <v/>
      </c>
      <c r="Q768" s="16" t="n"/>
      <c r="R768" s="18" t="n"/>
      <c r="S768" s="16" t="n"/>
    </row>
    <row r="769">
      <c r="A769" s="14">
        <f>IFERROR(IF(AND(IFERROR(INDEX(ERP資料!$A:$A, (MATCH(768, 輔助計算!$F$2:$F$801, 0)+1)), "")&lt;&gt;"", IFERROR(INDEX(ERP資料!$A:$A, (MATCH(768, 輔助計算!$F$2:$F$801, 0)+1)), "")&lt;&gt;IFERROR(INDEX(ERP資料!$A:$A, MATCH(767, 輔助計算!$F$2:$F$801, 0)+1), "")), INDEX(ERP資料!$B:$B, (MATCH(768, 輔助計算!$F$2:$F$801, 0)+1)), ""), "")</f>
        <v/>
      </c>
      <c r="B769" s="10">
        <f>IFERROR(IF(AND(IFERROR(INDEX(ERP資料!$A:$A, (MATCH(768, 輔助計算!$F$2:$F$801, 0)+1)), "")&lt;&gt;"", IFERROR(INDEX(ERP資料!$A:$A, (MATCH(768, 輔助計算!$F$2:$F$801, 0)+1)), "")&lt;&gt;IFERROR(INDEX(ERP資料!$A:$A, MATCH(767, 輔助計算!$F$2:$F$801, 0)+1), "")), IFERROR(INDEX(ERP資料!$A:$A, (MATCH(768, 輔助計算!$F$2:$F$801, 0)+1)), ""), ""), "")</f>
        <v/>
      </c>
      <c r="C769" s="10">
        <f>IFERROR(IF(AND(IFERROR(INDEX(ERP資料!$A:$A, (MATCH(768, 輔助計算!$F$2:$F$801, 0)+1)), "")&lt;&gt;"", IFERROR(INDEX(ERP資料!$A:$A, (MATCH(768, 輔助計算!$F$2:$F$801, 0)+1)), "")&lt;&gt;IFERROR(INDEX(ERP資料!$A:$A, MATCH(767, 輔助計算!$F$2:$F$801, 0)+1), "")), INDEX(ERP資料!$S:$S, (MATCH(768, 輔助計算!$F$2:$F$801, 0)+1)), ""), "")</f>
        <v/>
      </c>
      <c r="D769" s="10">
        <f>IFERROR(IF(INDEX(ERP資料!$E:$E, (MATCH(768, 輔助計算!$F$2:$F$801, 0)+1))="","",TRIM(INDEX(ERP資料!$E:$E, (MATCH(768, 輔助計算!$F$2:$F$801, 0)+1)))), "")</f>
        <v/>
      </c>
      <c r="E769" s="10">
        <f>IFERROR(IF(INDEX(ERP資料!$F:$F, (MATCH(768, 輔助計算!$F$2:$F$801, 0)+1))="","",INDEX(ERP資料!$F:$F, (MATCH(768, 輔助計算!$F$2:$F$801, 0)+1))), "")</f>
        <v/>
      </c>
      <c r="F769" s="10">
        <f>IFERROR(IF(INDEX(ERP資料!$G:$G, (MATCH(768, 輔助計算!$F$2:$F$801, 0)+1))="","",INDEX(ERP資料!$G:$G, (MATCH(768, 輔助計算!$F$2:$F$801, 0)+1))), "")</f>
        <v/>
      </c>
      <c r="G769" s="10">
        <f>IFERROR(IF(INDEX(ERP資料!$H:$H, (MATCH(768, 輔助計算!$F$2:$F$801, 0)+1))="","",INDEX(ERP資料!$H:$H, (MATCH(768, 輔助計算!$F$2:$F$801, 0)+1))), "")</f>
        <v/>
      </c>
      <c r="H769" s="10">
        <f>IFERROR(IF(INDEX(ERP資料!$O:$O, (MATCH(768, 輔助計算!$F$2:$F$801, 0)+1))="","",INDEX(ERP資料!$O:$O, (MATCH(768, 輔助計算!$F$2:$F$801, 0)+1))), "")</f>
        <v/>
      </c>
      <c r="I769" s="15">
        <f>IFERROR(IF(INDEX(輔助計算!$D:$D,(MATCH(768, 輔助計算!$F$2:$F$801, 0)+1))="","",INDEX(輔助計算!$D:$D,(MATCH(768, 輔助計算!$F$2:$F$801, 0)+1))*INDEX(ERP資料!$O:$O,(MATCH(768, 輔助計算!$F$2:$F$801, 0)+1))), "")</f>
        <v/>
      </c>
      <c r="J769" s="16" t="n"/>
      <c r="K769" s="15">
        <f>IFERROR(INDEX(輔助計算!$D:$D, (MATCH(768, 輔助計算!$F$2:$F$801, 0)+1)), "")</f>
        <v/>
      </c>
      <c r="L769" s="16">
        <f>IFERROR(IF(AND(IFERROR(VLOOKUP(LEFT(INDEX(ERP資料!$S:$S, (MATCH(768, 輔助計算!$F$2:$F$801, 0)+1)), 4), 100張客戶!$A:$A, 1, FALSE), "")&lt;&gt;"", OR(INDEX(ERP資料!$F:$F, (MATCH(768, 輔助計算!$F$2:$F$801, 0)+1))=270, INDEX(ERP資料!$F:$F, (MATCH(768, 輔助計算!$F$2:$F$801, 0)+1))=300)), "100張", ""), "")</f>
        <v/>
      </c>
      <c r="M769" s="17" t="n"/>
      <c r="N769" s="17">
        <f>IF($F769="","",$F769)</f>
        <v/>
      </c>
      <c r="O769" s="17">
        <f>IF($G769="","",$G769)</f>
        <v/>
      </c>
      <c r="P769" s="17">
        <f>IF($K769="","",$K769)</f>
        <v/>
      </c>
      <c r="Q769" s="16" t="n"/>
      <c r="R769" s="18" t="n"/>
      <c r="S769" s="16" t="n"/>
    </row>
    <row r="770">
      <c r="A770" s="14">
        <f>IFERROR(IF(AND(IFERROR(INDEX(ERP資料!$A:$A, (MATCH(769, 輔助計算!$F$2:$F$801, 0)+1)), "")&lt;&gt;"", IFERROR(INDEX(ERP資料!$A:$A, (MATCH(769, 輔助計算!$F$2:$F$801, 0)+1)), "")&lt;&gt;IFERROR(INDEX(ERP資料!$A:$A, MATCH(768, 輔助計算!$F$2:$F$801, 0)+1), "")), INDEX(ERP資料!$B:$B, (MATCH(769, 輔助計算!$F$2:$F$801, 0)+1)), ""), "")</f>
        <v/>
      </c>
      <c r="B770" s="10">
        <f>IFERROR(IF(AND(IFERROR(INDEX(ERP資料!$A:$A, (MATCH(769, 輔助計算!$F$2:$F$801, 0)+1)), "")&lt;&gt;"", IFERROR(INDEX(ERP資料!$A:$A, (MATCH(769, 輔助計算!$F$2:$F$801, 0)+1)), "")&lt;&gt;IFERROR(INDEX(ERP資料!$A:$A, MATCH(768, 輔助計算!$F$2:$F$801, 0)+1), "")), IFERROR(INDEX(ERP資料!$A:$A, (MATCH(769, 輔助計算!$F$2:$F$801, 0)+1)), ""), ""), "")</f>
        <v/>
      </c>
      <c r="C770" s="10">
        <f>IFERROR(IF(AND(IFERROR(INDEX(ERP資料!$A:$A, (MATCH(769, 輔助計算!$F$2:$F$801, 0)+1)), "")&lt;&gt;"", IFERROR(INDEX(ERP資料!$A:$A, (MATCH(769, 輔助計算!$F$2:$F$801, 0)+1)), "")&lt;&gt;IFERROR(INDEX(ERP資料!$A:$A, MATCH(768, 輔助計算!$F$2:$F$801, 0)+1), "")), INDEX(ERP資料!$S:$S, (MATCH(769, 輔助計算!$F$2:$F$801, 0)+1)), ""), "")</f>
        <v/>
      </c>
      <c r="D770" s="10">
        <f>IFERROR(IF(INDEX(ERP資料!$E:$E, (MATCH(769, 輔助計算!$F$2:$F$801, 0)+1))="","",TRIM(INDEX(ERP資料!$E:$E, (MATCH(769, 輔助計算!$F$2:$F$801, 0)+1)))), "")</f>
        <v/>
      </c>
      <c r="E770" s="10">
        <f>IFERROR(IF(INDEX(ERP資料!$F:$F, (MATCH(769, 輔助計算!$F$2:$F$801, 0)+1))="","",INDEX(ERP資料!$F:$F, (MATCH(769, 輔助計算!$F$2:$F$801, 0)+1))), "")</f>
        <v/>
      </c>
      <c r="F770" s="10">
        <f>IFERROR(IF(INDEX(ERP資料!$G:$G, (MATCH(769, 輔助計算!$F$2:$F$801, 0)+1))="","",INDEX(ERP資料!$G:$G, (MATCH(769, 輔助計算!$F$2:$F$801, 0)+1))), "")</f>
        <v/>
      </c>
      <c r="G770" s="10">
        <f>IFERROR(IF(INDEX(ERP資料!$H:$H, (MATCH(769, 輔助計算!$F$2:$F$801, 0)+1))="","",INDEX(ERP資料!$H:$H, (MATCH(769, 輔助計算!$F$2:$F$801, 0)+1))), "")</f>
        <v/>
      </c>
      <c r="H770" s="10">
        <f>IFERROR(IF(INDEX(ERP資料!$O:$O, (MATCH(769, 輔助計算!$F$2:$F$801, 0)+1))="","",INDEX(ERP資料!$O:$O, (MATCH(769, 輔助計算!$F$2:$F$801, 0)+1))), "")</f>
        <v/>
      </c>
      <c r="I770" s="15">
        <f>IFERROR(IF(INDEX(輔助計算!$D:$D,(MATCH(769, 輔助計算!$F$2:$F$801, 0)+1))="","",INDEX(輔助計算!$D:$D,(MATCH(769, 輔助計算!$F$2:$F$801, 0)+1))*INDEX(ERP資料!$O:$O,(MATCH(769, 輔助計算!$F$2:$F$801, 0)+1))), "")</f>
        <v/>
      </c>
      <c r="J770" s="16" t="n"/>
      <c r="K770" s="15">
        <f>IFERROR(INDEX(輔助計算!$D:$D, (MATCH(769, 輔助計算!$F$2:$F$801, 0)+1)), "")</f>
        <v/>
      </c>
      <c r="L770" s="16">
        <f>IFERROR(IF(AND(IFERROR(VLOOKUP(LEFT(INDEX(ERP資料!$S:$S, (MATCH(769, 輔助計算!$F$2:$F$801, 0)+1)), 4), 100張客戶!$A:$A, 1, FALSE), "")&lt;&gt;"", OR(INDEX(ERP資料!$F:$F, (MATCH(769, 輔助計算!$F$2:$F$801, 0)+1))=270, INDEX(ERP資料!$F:$F, (MATCH(769, 輔助計算!$F$2:$F$801, 0)+1))=300)), "100張", ""), "")</f>
        <v/>
      </c>
      <c r="M770" s="17" t="n"/>
      <c r="N770" s="17">
        <f>IF($F770="","",$F770)</f>
        <v/>
      </c>
      <c r="O770" s="17">
        <f>IF($G770="","",$G770)</f>
        <v/>
      </c>
      <c r="P770" s="17">
        <f>IF($K770="","",$K770)</f>
        <v/>
      </c>
      <c r="Q770" s="16" t="n"/>
      <c r="R770" s="18" t="n"/>
      <c r="S770" s="16" t="n"/>
    </row>
    <row r="771">
      <c r="A771" s="14">
        <f>IFERROR(IF(AND(IFERROR(INDEX(ERP資料!$A:$A, (MATCH(770, 輔助計算!$F$2:$F$801, 0)+1)), "")&lt;&gt;"", IFERROR(INDEX(ERP資料!$A:$A, (MATCH(770, 輔助計算!$F$2:$F$801, 0)+1)), "")&lt;&gt;IFERROR(INDEX(ERP資料!$A:$A, MATCH(769, 輔助計算!$F$2:$F$801, 0)+1), "")), INDEX(ERP資料!$B:$B, (MATCH(770, 輔助計算!$F$2:$F$801, 0)+1)), ""), "")</f>
        <v/>
      </c>
      <c r="B771" s="10">
        <f>IFERROR(IF(AND(IFERROR(INDEX(ERP資料!$A:$A, (MATCH(770, 輔助計算!$F$2:$F$801, 0)+1)), "")&lt;&gt;"", IFERROR(INDEX(ERP資料!$A:$A, (MATCH(770, 輔助計算!$F$2:$F$801, 0)+1)), "")&lt;&gt;IFERROR(INDEX(ERP資料!$A:$A, MATCH(769, 輔助計算!$F$2:$F$801, 0)+1), "")), IFERROR(INDEX(ERP資料!$A:$A, (MATCH(770, 輔助計算!$F$2:$F$801, 0)+1)), ""), ""), "")</f>
        <v/>
      </c>
      <c r="C771" s="10">
        <f>IFERROR(IF(AND(IFERROR(INDEX(ERP資料!$A:$A, (MATCH(770, 輔助計算!$F$2:$F$801, 0)+1)), "")&lt;&gt;"", IFERROR(INDEX(ERP資料!$A:$A, (MATCH(770, 輔助計算!$F$2:$F$801, 0)+1)), "")&lt;&gt;IFERROR(INDEX(ERP資料!$A:$A, MATCH(769, 輔助計算!$F$2:$F$801, 0)+1), "")), INDEX(ERP資料!$S:$S, (MATCH(770, 輔助計算!$F$2:$F$801, 0)+1)), ""), "")</f>
        <v/>
      </c>
      <c r="D771" s="10">
        <f>IFERROR(IF(INDEX(ERP資料!$E:$E, (MATCH(770, 輔助計算!$F$2:$F$801, 0)+1))="","",TRIM(INDEX(ERP資料!$E:$E, (MATCH(770, 輔助計算!$F$2:$F$801, 0)+1)))), "")</f>
        <v/>
      </c>
      <c r="E771" s="10">
        <f>IFERROR(IF(INDEX(ERP資料!$F:$F, (MATCH(770, 輔助計算!$F$2:$F$801, 0)+1))="","",INDEX(ERP資料!$F:$F, (MATCH(770, 輔助計算!$F$2:$F$801, 0)+1))), "")</f>
        <v/>
      </c>
      <c r="F771" s="10">
        <f>IFERROR(IF(INDEX(ERP資料!$G:$G, (MATCH(770, 輔助計算!$F$2:$F$801, 0)+1))="","",INDEX(ERP資料!$G:$G, (MATCH(770, 輔助計算!$F$2:$F$801, 0)+1))), "")</f>
        <v/>
      </c>
      <c r="G771" s="10">
        <f>IFERROR(IF(INDEX(ERP資料!$H:$H, (MATCH(770, 輔助計算!$F$2:$F$801, 0)+1))="","",INDEX(ERP資料!$H:$H, (MATCH(770, 輔助計算!$F$2:$F$801, 0)+1))), "")</f>
        <v/>
      </c>
      <c r="H771" s="10">
        <f>IFERROR(IF(INDEX(ERP資料!$O:$O, (MATCH(770, 輔助計算!$F$2:$F$801, 0)+1))="","",INDEX(ERP資料!$O:$O, (MATCH(770, 輔助計算!$F$2:$F$801, 0)+1))), "")</f>
        <v/>
      </c>
      <c r="I771" s="15">
        <f>IFERROR(IF(INDEX(輔助計算!$D:$D,(MATCH(770, 輔助計算!$F$2:$F$801, 0)+1))="","",INDEX(輔助計算!$D:$D,(MATCH(770, 輔助計算!$F$2:$F$801, 0)+1))*INDEX(ERP資料!$O:$O,(MATCH(770, 輔助計算!$F$2:$F$801, 0)+1))), "")</f>
        <v/>
      </c>
      <c r="J771" s="16" t="n"/>
      <c r="K771" s="15">
        <f>IFERROR(INDEX(輔助計算!$D:$D, (MATCH(770, 輔助計算!$F$2:$F$801, 0)+1)), "")</f>
        <v/>
      </c>
      <c r="L771" s="16">
        <f>IFERROR(IF(AND(IFERROR(VLOOKUP(LEFT(INDEX(ERP資料!$S:$S, (MATCH(770, 輔助計算!$F$2:$F$801, 0)+1)), 4), 100張客戶!$A:$A, 1, FALSE), "")&lt;&gt;"", OR(INDEX(ERP資料!$F:$F, (MATCH(770, 輔助計算!$F$2:$F$801, 0)+1))=270, INDEX(ERP資料!$F:$F, (MATCH(770, 輔助計算!$F$2:$F$801, 0)+1))=300)), "100張", ""), "")</f>
        <v/>
      </c>
      <c r="M771" s="17" t="n"/>
      <c r="N771" s="17">
        <f>IF($F771="","",$F771)</f>
        <v/>
      </c>
      <c r="O771" s="17">
        <f>IF($G771="","",$G771)</f>
        <v/>
      </c>
      <c r="P771" s="17">
        <f>IF($K771="","",$K771)</f>
        <v/>
      </c>
      <c r="Q771" s="16" t="n"/>
      <c r="R771" s="18" t="n"/>
      <c r="S771" s="16" t="n"/>
    </row>
    <row r="772">
      <c r="A772" s="14">
        <f>IFERROR(IF(AND(IFERROR(INDEX(ERP資料!$A:$A, (MATCH(771, 輔助計算!$F$2:$F$801, 0)+1)), "")&lt;&gt;"", IFERROR(INDEX(ERP資料!$A:$A, (MATCH(771, 輔助計算!$F$2:$F$801, 0)+1)), "")&lt;&gt;IFERROR(INDEX(ERP資料!$A:$A, MATCH(770, 輔助計算!$F$2:$F$801, 0)+1), "")), INDEX(ERP資料!$B:$B, (MATCH(771, 輔助計算!$F$2:$F$801, 0)+1)), ""), "")</f>
        <v/>
      </c>
      <c r="B772" s="10">
        <f>IFERROR(IF(AND(IFERROR(INDEX(ERP資料!$A:$A, (MATCH(771, 輔助計算!$F$2:$F$801, 0)+1)), "")&lt;&gt;"", IFERROR(INDEX(ERP資料!$A:$A, (MATCH(771, 輔助計算!$F$2:$F$801, 0)+1)), "")&lt;&gt;IFERROR(INDEX(ERP資料!$A:$A, MATCH(770, 輔助計算!$F$2:$F$801, 0)+1), "")), IFERROR(INDEX(ERP資料!$A:$A, (MATCH(771, 輔助計算!$F$2:$F$801, 0)+1)), ""), ""), "")</f>
        <v/>
      </c>
      <c r="C772" s="10">
        <f>IFERROR(IF(AND(IFERROR(INDEX(ERP資料!$A:$A, (MATCH(771, 輔助計算!$F$2:$F$801, 0)+1)), "")&lt;&gt;"", IFERROR(INDEX(ERP資料!$A:$A, (MATCH(771, 輔助計算!$F$2:$F$801, 0)+1)), "")&lt;&gt;IFERROR(INDEX(ERP資料!$A:$A, MATCH(770, 輔助計算!$F$2:$F$801, 0)+1), "")), INDEX(ERP資料!$S:$S, (MATCH(771, 輔助計算!$F$2:$F$801, 0)+1)), ""), "")</f>
        <v/>
      </c>
      <c r="D772" s="10">
        <f>IFERROR(IF(INDEX(ERP資料!$E:$E, (MATCH(771, 輔助計算!$F$2:$F$801, 0)+1))="","",TRIM(INDEX(ERP資料!$E:$E, (MATCH(771, 輔助計算!$F$2:$F$801, 0)+1)))), "")</f>
        <v/>
      </c>
      <c r="E772" s="10">
        <f>IFERROR(IF(INDEX(ERP資料!$F:$F, (MATCH(771, 輔助計算!$F$2:$F$801, 0)+1))="","",INDEX(ERP資料!$F:$F, (MATCH(771, 輔助計算!$F$2:$F$801, 0)+1))), "")</f>
        <v/>
      </c>
      <c r="F772" s="10">
        <f>IFERROR(IF(INDEX(ERP資料!$G:$G, (MATCH(771, 輔助計算!$F$2:$F$801, 0)+1))="","",INDEX(ERP資料!$G:$G, (MATCH(771, 輔助計算!$F$2:$F$801, 0)+1))), "")</f>
        <v/>
      </c>
      <c r="G772" s="10">
        <f>IFERROR(IF(INDEX(ERP資料!$H:$H, (MATCH(771, 輔助計算!$F$2:$F$801, 0)+1))="","",INDEX(ERP資料!$H:$H, (MATCH(771, 輔助計算!$F$2:$F$801, 0)+1))), "")</f>
        <v/>
      </c>
      <c r="H772" s="10">
        <f>IFERROR(IF(INDEX(ERP資料!$O:$O, (MATCH(771, 輔助計算!$F$2:$F$801, 0)+1))="","",INDEX(ERP資料!$O:$O, (MATCH(771, 輔助計算!$F$2:$F$801, 0)+1))), "")</f>
        <v/>
      </c>
      <c r="I772" s="15">
        <f>IFERROR(IF(INDEX(輔助計算!$D:$D,(MATCH(771, 輔助計算!$F$2:$F$801, 0)+1))="","",INDEX(輔助計算!$D:$D,(MATCH(771, 輔助計算!$F$2:$F$801, 0)+1))*INDEX(ERP資料!$O:$O,(MATCH(771, 輔助計算!$F$2:$F$801, 0)+1))), "")</f>
        <v/>
      </c>
      <c r="J772" s="16" t="n"/>
      <c r="K772" s="15">
        <f>IFERROR(INDEX(輔助計算!$D:$D, (MATCH(771, 輔助計算!$F$2:$F$801, 0)+1)), "")</f>
        <v/>
      </c>
      <c r="L772" s="16">
        <f>IFERROR(IF(AND(IFERROR(VLOOKUP(LEFT(INDEX(ERP資料!$S:$S, (MATCH(771, 輔助計算!$F$2:$F$801, 0)+1)), 4), 100張客戶!$A:$A, 1, FALSE), "")&lt;&gt;"", OR(INDEX(ERP資料!$F:$F, (MATCH(771, 輔助計算!$F$2:$F$801, 0)+1))=270, INDEX(ERP資料!$F:$F, (MATCH(771, 輔助計算!$F$2:$F$801, 0)+1))=300)), "100張", ""), "")</f>
        <v/>
      </c>
      <c r="M772" s="17" t="n"/>
      <c r="N772" s="17">
        <f>IF($F772="","",$F772)</f>
        <v/>
      </c>
      <c r="O772" s="17">
        <f>IF($G772="","",$G772)</f>
        <v/>
      </c>
      <c r="P772" s="17">
        <f>IF($K772="","",$K772)</f>
        <v/>
      </c>
      <c r="Q772" s="16" t="n"/>
      <c r="R772" s="18" t="n"/>
      <c r="S772" s="16" t="n"/>
    </row>
    <row r="773">
      <c r="A773" s="14">
        <f>IFERROR(IF(AND(IFERROR(INDEX(ERP資料!$A:$A, (MATCH(772, 輔助計算!$F$2:$F$801, 0)+1)), "")&lt;&gt;"", IFERROR(INDEX(ERP資料!$A:$A, (MATCH(772, 輔助計算!$F$2:$F$801, 0)+1)), "")&lt;&gt;IFERROR(INDEX(ERP資料!$A:$A, MATCH(771, 輔助計算!$F$2:$F$801, 0)+1), "")), INDEX(ERP資料!$B:$B, (MATCH(772, 輔助計算!$F$2:$F$801, 0)+1)), ""), "")</f>
        <v/>
      </c>
      <c r="B773" s="10">
        <f>IFERROR(IF(AND(IFERROR(INDEX(ERP資料!$A:$A, (MATCH(772, 輔助計算!$F$2:$F$801, 0)+1)), "")&lt;&gt;"", IFERROR(INDEX(ERP資料!$A:$A, (MATCH(772, 輔助計算!$F$2:$F$801, 0)+1)), "")&lt;&gt;IFERROR(INDEX(ERP資料!$A:$A, MATCH(771, 輔助計算!$F$2:$F$801, 0)+1), "")), IFERROR(INDEX(ERP資料!$A:$A, (MATCH(772, 輔助計算!$F$2:$F$801, 0)+1)), ""), ""), "")</f>
        <v/>
      </c>
      <c r="C773" s="10">
        <f>IFERROR(IF(AND(IFERROR(INDEX(ERP資料!$A:$A, (MATCH(772, 輔助計算!$F$2:$F$801, 0)+1)), "")&lt;&gt;"", IFERROR(INDEX(ERP資料!$A:$A, (MATCH(772, 輔助計算!$F$2:$F$801, 0)+1)), "")&lt;&gt;IFERROR(INDEX(ERP資料!$A:$A, MATCH(771, 輔助計算!$F$2:$F$801, 0)+1), "")), INDEX(ERP資料!$S:$S, (MATCH(772, 輔助計算!$F$2:$F$801, 0)+1)), ""), "")</f>
        <v/>
      </c>
      <c r="D773" s="10">
        <f>IFERROR(IF(INDEX(ERP資料!$E:$E, (MATCH(772, 輔助計算!$F$2:$F$801, 0)+1))="","",TRIM(INDEX(ERP資料!$E:$E, (MATCH(772, 輔助計算!$F$2:$F$801, 0)+1)))), "")</f>
        <v/>
      </c>
      <c r="E773" s="10">
        <f>IFERROR(IF(INDEX(ERP資料!$F:$F, (MATCH(772, 輔助計算!$F$2:$F$801, 0)+1))="","",INDEX(ERP資料!$F:$F, (MATCH(772, 輔助計算!$F$2:$F$801, 0)+1))), "")</f>
        <v/>
      </c>
      <c r="F773" s="10">
        <f>IFERROR(IF(INDEX(ERP資料!$G:$G, (MATCH(772, 輔助計算!$F$2:$F$801, 0)+1))="","",INDEX(ERP資料!$G:$G, (MATCH(772, 輔助計算!$F$2:$F$801, 0)+1))), "")</f>
        <v/>
      </c>
      <c r="G773" s="10">
        <f>IFERROR(IF(INDEX(ERP資料!$H:$H, (MATCH(772, 輔助計算!$F$2:$F$801, 0)+1))="","",INDEX(ERP資料!$H:$H, (MATCH(772, 輔助計算!$F$2:$F$801, 0)+1))), "")</f>
        <v/>
      </c>
      <c r="H773" s="10">
        <f>IFERROR(IF(INDEX(ERP資料!$O:$O, (MATCH(772, 輔助計算!$F$2:$F$801, 0)+1))="","",INDEX(ERP資料!$O:$O, (MATCH(772, 輔助計算!$F$2:$F$801, 0)+1))), "")</f>
        <v/>
      </c>
      <c r="I773" s="15">
        <f>IFERROR(IF(INDEX(輔助計算!$D:$D,(MATCH(772, 輔助計算!$F$2:$F$801, 0)+1))="","",INDEX(輔助計算!$D:$D,(MATCH(772, 輔助計算!$F$2:$F$801, 0)+1))*INDEX(ERP資料!$O:$O,(MATCH(772, 輔助計算!$F$2:$F$801, 0)+1))), "")</f>
        <v/>
      </c>
      <c r="J773" s="16" t="n"/>
      <c r="K773" s="15">
        <f>IFERROR(INDEX(輔助計算!$D:$D, (MATCH(772, 輔助計算!$F$2:$F$801, 0)+1)), "")</f>
        <v/>
      </c>
      <c r="L773" s="16">
        <f>IFERROR(IF(AND(IFERROR(VLOOKUP(LEFT(INDEX(ERP資料!$S:$S, (MATCH(772, 輔助計算!$F$2:$F$801, 0)+1)), 4), 100張客戶!$A:$A, 1, FALSE), "")&lt;&gt;"", OR(INDEX(ERP資料!$F:$F, (MATCH(772, 輔助計算!$F$2:$F$801, 0)+1))=270, INDEX(ERP資料!$F:$F, (MATCH(772, 輔助計算!$F$2:$F$801, 0)+1))=300)), "100張", ""), "")</f>
        <v/>
      </c>
      <c r="M773" s="17" t="n"/>
      <c r="N773" s="17">
        <f>IF($F773="","",$F773)</f>
        <v/>
      </c>
      <c r="O773" s="17">
        <f>IF($G773="","",$G773)</f>
        <v/>
      </c>
      <c r="P773" s="17">
        <f>IF($K773="","",$K773)</f>
        <v/>
      </c>
      <c r="Q773" s="16" t="n"/>
      <c r="R773" s="18" t="n"/>
      <c r="S773" s="16" t="n"/>
    </row>
    <row r="774">
      <c r="A774" s="14">
        <f>IFERROR(IF(AND(IFERROR(INDEX(ERP資料!$A:$A, (MATCH(773, 輔助計算!$F$2:$F$801, 0)+1)), "")&lt;&gt;"", IFERROR(INDEX(ERP資料!$A:$A, (MATCH(773, 輔助計算!$F$2:$F$801, 0)+1)), "")&lt;&gt;IFERROR(INDEX(ERP資料!$A:$A, MATCH(772, 輔助計算!$F$2:$F$801, 0)+1), "")), INDEX(ERP資料!$B:$B, (MATCH(773, 輔助計算!$F$2:$F$801, 0)+1)), ""), "")</f>
        <v/>
      </c>
      <c r="B774" s="10">
        <f>IFERROR(IF(AND(IFERROR(INDEX(ERP資料!$A:$A, (MATCH(773, 輔助計算!$F$2:$F$801, 0)+1)), "")&lt;&gt;"", IFERROR(INDEX(ERP資料!$A:$A, (MATCH(773, 輔助計算!$F$2:$F$801, 0)+1)), "")&lt;&gt;IFERROR(INDEX(ERP資料!$A:$A, MATCH(772, 輔助計算!$F$2:$F$801, 0)+1), "")), IFERROR(INDEX(ERP資料!$A:$A, (MATCH(773, 輔助計算!$F$2:$F$801, 0)+1)), ""), ""), "")</f>
        <v/>
      </c>
      <c r="C774" s="10">
        <f>IFERROR(IF(AND(IFERROR(INDEX(ERP資料!$A:$A, (MATCH(773, 輔助計算!$F$2:$F$801, 0)+1)), "")&lt;&gt;"", IFERROR(INDEX(ERP資料!$A:$A, (MATCH(773, 輔助計算!$F$2:$F$801, 0)+1)), "")&lt;&gt;IFERROR(INDEX(ERP資料!$A:$A, MATCH(772, 輔助計算!$F$2:$F$801, 0)+1), "")), INDEX(ERP資料!$S:$S, (MATCH(773, 輔助計算!$F$2:$F$801, 0)+1)), ""), "")</f>
        <v/>
      </c>
      <c r="D774" s="10">
        <f>IFERROR(IF(INDEX(ERP資料!$E:$E, (MATCH(773, 輔助計算!$F$2:$F$801, 0)+1))="","",TRIM(INDEX(ERP資料!$E:$E, (MATCH(773, 輔助計算!$F$2:$F$801, 0)+1)))), "")</f>
        <v/>
      </c>
      <c r="E774" s="10">
        <f>IFERROR(IF(INDEX(ERP資料!$F:$F, (MATCH(773, 輔助計算!$F$2:$F$801, 0)+1))="","",INDEX(ERP資料!$F:$F, (MATCH(773, 輔助計算!$F$2:$F$801, 0)+1))), "")</f>
        <v/>
      </c>
      <c r="F774" s="10">
        <f>IFERROR(IF(INDEX(ERP資料!$G:$G, (MATCH(773, 輔助計算!$F$2:$F$801, 0)+1))="","",INDEX(ERP資料!$G:$G, (MATCH(773, 輔助計算!$F$2:$F$801, 0)+1))), "")</f>
        <v/>
      </c>
      <c r="G774" s="10">
        <f>IFERROR(IF(INDEX(ERP資料!$H:$H, (MATCH(773, 輔助計算!$F$2:$F$801, 0)+1))="","",INDEX(ERP資料!$H:$H, (MATCH(773, 輔助計算!$F$2:$F$801, 0)+1))), "")</f>
        <v/>
      </c>
      <c r="H774" s="10">
        <f>IFERROR(IF(INDEX(ERP資料!$O:$O, (MATCH(773, 輔助計算!$F$2:$F$801, 0)+1))="","",INDEX(ERP資料!$O:$O, (MATCH(773, 輔助計算!$F$2:$F$801, 0)+1))), "")</f>
        <v/>
      </c>
      <c r="I774" s="15">
        <f>IFERROR(IF(INDEX(輔助計算!$D:$D,(MATCH(773, 輔助計算!$F$2:$F$801, 0)+1))="","",INDEX(輔助計算!$D:$D,(MATCH(773, 輔助計算!$F$2:$F$801, 0)+1))*INDEX(ERP資料!$O:$O,(MATCH(773, 輔助計算!$F$2:$F$801, 0)+1))), "")</f>
        <v/>
      </c>
      <c r="J774" s="16" t="n"/>
      <c r="K774" s="15">
        <f>IFERROR(INDEX(輔助計算!$D:$D, (MATCH(773, 輔助計算!$F$2:$F$801, 0)+1)), "")</f>
        <v/>
      </c>
      <c r="L774" s="16">
        <f>IFERROR(IF(AND(IFERROR(VLOOKUP(LEFT(INDEX(ERP資料!$S:$S, (MATCH(773, 輔助計算!$F$2:$F$801, 0)+1)), 4), 100張客戶!$A:$A, 1, FALSE), "")&lt;&gt;"", OR(INDEX(ERP資料!$F:$F, (MATCH(773, 輔助計算!$F$2:$F$801, 0)+1))=270, INDEX(ERP資料!$F:$F, (MATCH(773, 輔助計算!$F$2:$F$801, 0)+1))=300)), "100張", ""), "")</f>
        <v/>
      </c>
      <c r="M774" s="17" t="n"/>
      <c r="N774" s="17">
        <f>IF($F774="","",$F774)</f>
        <v/>
      </c>
      <c r="O774" s="17">
        <f>IF($G774="","",$G774)</f>
        <v/>
      </c>
      <c r="P774" s="17">
        <f>IF($K774="","",$K774)</f>
        <v/>
      </c>
      <c r="Q774" s="16" t="n"/>
      <c r="R774" s="18" t="n"/>
      <c r="S774" s="16" t="n"/>
    </row>
    <row r="775">
      <c r="A775" s="14">
        <f>IFERROR(IF(AND(IFERROR(INDEX(ERP資料!$A:$A, (MATCH(774, 輔助計算!$F$2:$F$801, 0)+1)), "")&lt;&gt;"", IFERROR(INDEX(ERP資料!$A:$A, (MATCH(774, 輔助計算!$F$2:$F$801, 0)+1)), "")&lt;&gt;IFERROR(INDEX(ERP資料!$A:$A, MATCH(773, 輔助計算!$F$2:$F$801, 0)+1), "")), INDEX(ERP資料!$B:$B, (MATCH(774, 輔助計算!$F$2:$F$801, 0)+1)), ""), "")</f>
        <v/>
      </c>
      <c r="B775" s="10">
        <f>IFERROR(IF(AND(IFERROR(INDEX(ERP資料!$A:$A, (MATCH(774, 輔助計算!$F$2:$F$801, 0)+1)), "")&lt;&gt;"", IFERROR(INDEX(ERP資料!$A:$A, (MATCH(774, 輔助計算!$F$2:$F$801, 0)+1)), "")&lt;&gt;IFERROR(INDEX(ERP資料!$A:$A, MATCH(773, 輔助計算!$F$2:$F$801, 0)+1), "")), IFERROR(INDEX(ERP資料!$A:$A, (MATCH(774, 輔助計算!$F$2:$F$801, 0)+1)), ""), ""), "")</f>
        <v/>
      </c>
      <c r="C775" s="10">
        <f>IFERROR(IF(AND(IFERROR(INDEX(ERP資料!$A:$A, (MATCH(774, 輔助計算!$F$2:$F$801, 0)+1)), "")&lt;&gt;"", IFERROR(INDEX(ERP資料!$A:$A, (MATCH(774, 輔助計算!$F$2:$F$801, 0)+1)), "")&lt;&gt;IFERROR(INDEX(ERP資料!$A:$A, MATCH(773, 輔助計算!$F$2:$F$801, 0)+1), "")), INDEX(ERP資料!$S:$S, (MATCH(774, 輔助計算!$F$2:$F$801, 0)+1)), ""), "")</f>
        <v/>
      </c>
      <c r="D775" s="10">
        <f>IFERROR(IF(INDEX(ERP資料!$E:$E, (MATCH(774, 輔助計算!$F$2:$F$801, 0)+1))="","",TRIM(INDEX(ERP資料!$E:$E, (MATCH(774, 輔助計算!$F$2:$F$801, 0)+1)))), "")</f>
        <v/>
      </c>
      <c r="E775" s="10">
        <f>IFERROR(IF(INDEX(ERP資料!$F:$F, (MATCH(774, 輔助計算!$F$2:$F$801, 0)+1))="","",INDEX(ERP資料!$F:$F, (MATCH(774, 輔助計算!$F$2:$F$801, 0)+1))), "")</f>
        <v/>
      </c>
      <c r="F775" s="10">
        <f>IFERROR(IF(INDEX(ERP資料!$G:$G, (MATCH(774, 輔助計算!$F$2:$F$801, 0)+1))="","",INDEX(ERP資料!$G:$G, (MATCH(774, 輔助計算!$F$2:$F$801, 0)+1))), "")</f>
        <v/>
      </c>
      <c r="G775" s="10">
        <f>IFERROR(IF(INDEX(ERP資料!$H:$H, (MATCH(774, 輔助計算!$F$2:$F$801, 0)+1))="","",INDEX(ERP資料!$H:$H, (MATCH(774, 輔助計算!$F$2:$F$801, 0)+1))), "")</f>
        <v/>
      </c>
      <c r="H775" s="10">
        <f>IFERROR(IF(INDEX(ERP資料!$O:$O, (MATCH(774, 輔助計算!$F$2:$F$801, 0)+1))="","",INDEX(ERP資料!$O:$O, (MATCH(774, 輔助計算!$F$2:$F$801, 0)+1))), "")</f>
        <v/>
      </c>
      <c r="I775" s="15">
        <f>IFERROR(IF(INDEX(輔助計算!$D:$D,(MATCH(774, 輔助計算!$F$2:$F$801, 0)+1))="","",INDEX(輔助計算!$D:$D,(MATCH(774, 輔助計算!$F$2:$F$801, 0)+1))*INDEX(ERP資料!$O:$O,(MATCH(774, 輔助計算!$F$2:$F$801, 0)+1))), "")</f>
        <v/>
      </c>
      <c r="J775" s="16" t="n"/>
      <c r="K775" s="15">
        <f>IFERROR(INDEX(輔助計算!$D:$D, (MATCH(774, 輔助計算!$F$2:$F$801, 0)+1)), "")</f>
        <v/>
      </c>
      <c r="L775" s="16">
        <f>IFERROR(IF(AND(IFERROR(VLOOKUP(LEFT(INDEX(ERP資料!$S:$S, (MATCH(774, 輔助計算!$F$2:$F$801, 0)+1)), 4), 100張客戶!$A:$A, 1, FALSE), "")&lt;&gt;"", OR(INDEX(ERP資料!$F:$F, (MATCH(774, 輔助計算!$F$2:$F$801, 0)+1))=270, INDEX(ERP資料!$F:$F, (MATCH(774, 輔助計算!$F$2:$F$801, 0)+1))=300)), "100張", ""), "")</f>
        <v/>
      </c>
      <c r="M775" s="17" t="n"/>
      <c r="N775" s="17">
        <f>IF($F775="","",$F775)</f>
        <v/>
      </c>
      <c r="O775" s="17">
        <f>IF($G775="","",$G775)</f>
        <v/>
      </c>
      <c r="P775" s="17">
        <f>IF($K775="","",$K775)</f>
        <v/>
      </c>
      <c r="Q775" s="16" t="n"/>
      <c r="R775" s="18" t="n"/>
      <c r="S775" s="16" t="n"/>
    </row>
    <row r="776">
      <c r="A776" s="14">
        <f>IFERROR(IF(AND(IFERROR(INDEX(ERP資料!$A:$A, (MATCH(775, 輔助計算!$F$2:$F$801, 0)+1)), "")&lt;&gt;"", IFERROR(INDEX(ERP資料!$A:$A, (MATCH(775, 輔助計算!$F$2:$F$801, 0)+1)), "")&lt;&gt;IFERROR(INDEX(ERP資料!$A:$A, MATCH(774, 輔助計算!$F$2:$F$801, 0)+1), "")), INDEX(ERP資料!$B:$B, (MATCH(775, 輔助計算!$F$2:$F$801, 0)+1)), ""), "")</f>
        <v/>
      </c>
      <c r="B776" s="10">
        <f>IFERROR(IF(AND(IFERROR(INDEX(ERP資料!$A:$A, (MATCH(775, 輔助計算!$F$2:$F$801, 0)+1)), "")&lt;&gt;"", IFERROR(INDEX(ERP資料!$A:$A, (MATCH(775, 輔助計算!$F$2:$F$801, 0)+1)), "")&lt;&gt;IFERROR(INDEX(ERP資料!$A:$A, MATCH(774, 輔助計算!$F$2:$F$801, 0)+1), "")), IFERROR(INDEX(ERP資料!$A:$A, (MATCH(775, 輔助計算!$F$2:$F$801, 0)+1)), ""), ""), "")</f>
        <v/>
      </c>
      <c r="C776" s="10">
        <f>IFERROR(IF(AND(IFERROR(INDEX(ERP資料!$A:$A, (MATCH(775, 輔助計算!$F$2:$F$801, 0)+1)), "")&lt;&gt;"", IFERROR(INDEX(ERP資料!$A:$A, (MATCH(775, 輔助計算!$F$2:$F$801, 0)+1)), "")&lt;&gt;IFERROR(INDEX(ERP資料!$A:$A, MATCH(774, 輔助計算!$F$2:$F$801, 0)+1), "")), INDEX(ERP資料!$S:$S, (MATCH(775, 輔助計算!$F$2:$F$801, 0)+1)), ""), "")</f>
        <v/>
      </c>
      <c r="D776" s="10">
        <f>IFERROR(IF(INDEX(ERP資料!$E:$E, (MATCH(775, 輔助計算!$F$2:$F$801, 0)+1))="","",TRIM(INDEX(ERP資料!$E:$E, (MATCH(775, 輔助計算!$F$2:$F$801, 0)+1)))), "")</f>
        <v/>
      </c>
      <c r="E776" s="10">
        <f>IFERROR(IF(INDEX(ERP資料!$F:$F, (MATCH(775, 輔助計算!$F$2:$F$801, 0)+1))="","",INDEX(ERP資料!$F:$F, (MATCH(775, 輔助計算!$F$2:$F$801, 0)+1))), "")</f>
        <v/>
      </c>
      <c r="F776" s="10">
        <f>IFERROR(IF(INDEX(ERP資料!$G:$G, (MATCH(775, 輔助計算!$F$2:$F$801, 0)+1))="","",INDEX(ERP資料!$G:$G, (MATCH(775, 輔助計算!$F$2:$F$801, 0)+1))), "")</f>
        <v/>
      </c>
      <c r="G776" s="10">
        <f>IFERROR(IF(INDEX(ERP資料!$H:$H, (MATCH(775, 輔助計算!$F$2:$F$801, 0)+1))="","",INDEX(ERP資料!$H:$H, (MATCH(775, 輔助計算!$F$2:$F$801, 0)+1))), "")</f>
        <v/>
      </c>
      <c r="H776" s="10">
        <f>IFERROR(IF(INDEX(ERP資料!$O:$O, (MATCH(775, 輔助計算!$F$2:$F$801, 0)+1))="","",INDEX(ERP資料!$O:$O, (MATCH(775, 輔助計算!$F$2:$F$801, 0)+1))), "")</f>
        <v/>
      </c>
      <c r="I776" s="15">
        <f>IFERROR(IF(INDEX(輔助計算!$D:$D,(MATCH(775, 輔助計算!$F$2:$F$801, 0)+1))="","",INDEX(輔助計算!$D:$D,(MATCH(775, 輔助計算!$F$2:$F$801, 0)+1))*INDEX(ERP資料!$O:$O,(MATCH(775, 輔助計算!$F$2:$F$801, 0)+1))), "")</f>
        <v/>
      </c>
      <c r="J776" s="16" t="n"/>
      <c r="K776" s="15">
        <f>IFERROR(INDEX(輔助計算!$D:$D, (MATCH(775, 輔助計算!$F$2:$F$801, 0)+1)), "")</f>
        <v/>
      </c>
      <c r="L776" s="16">
        <f>IFERROR(IF(AND(IFERROR(VLOOKUP(LEFT(INDEX(ERP資料!$S:$S, (MATCH(775, 輔助計算!$F$2:$F$801, 0)+1)), 4), 100張客戶!$A:$A, 1, FALSE), "")&lt;&gt;"", OR(INDEX(ERP資料!$F:$F, (MATCH(775, 輔助計算!$F$2:$F$801, 0)+1))=270, INDEX(ERP資料!$F:$F, (MATCH(775, 輔助計算!$F$2:$F$801, 0)+1))=300)), "100張", ""), "")</f>
        <v/>
      </c>
      <c r="M776" s="17" t="n"/>
      <c r="N776" s="17">
        <f>IF($F776="","",$F776)</f>
        <v/>
      </c>
      <c r="O776" s="17">
        <f>IF($G776="","",$G776)</f>
        <v/>
      </c>
      <c r="P776" s="17">
        <f>IF($K776="","",$K776)</f>
        <v/>
      </c>
      <c r="Q776" s="16" t="n"/>
      <c r="R776" s="18" t="n"/>
      <c r="S776" s="16" t="n"/>
    </row>
    <row r="777">
      <c r="A777" s="14">
        <f>IFERROR(IF(AND(IFERROR(INDEX(ERP資料!$A:$A, (MATCH(776, 輔助計算!$F$2:$F$801, 0)+1)), "")&lt;&gt;"", IFERROR(INDEX(ERP資料!$A:$A, (MATCH(776, 輔助計算!$F$2:$F$801, 0)+1)), "")&lt;&gt;IFERROR(INDEX(ERP資料!$A:$A, MATCH(775, 輔助計算!$F$2:$F$801, 0)+1), "")), INDEX(ERP資料!$B:$B, (MATCH(776, 輔助計算!$F$2:$F$801, 0)+1)), ""), "")</f>
        <v/>
      </c>
      <c r="B777" s="10">
        <f>IFERROR(IF(AND(IFERROR(INDEX(ERP資料!$A:$A, (MATCH(776, 輔助計算!$F$2:$F$801, 0)+1)), "")&lt;&gt;"", IFERROR(INDEX(ERP資料!$A:$A, (MATCH(776, 輔助計算!$F$2:$F$801, 0)+1)), "")&lt;&gt;IFERROR(INDEX(ERP資料!$A:$A, MATCH(775, 輔助計算!$F$2:$F$801, 0)+1), "")), IFERROR(INDEX(ERP資料!$A:$A, (MATCH(776, 輔助計算!$F$2:$F$801, 0)+1)), ""), ""), "")</f>
        <v/>
      </c>
      <c r="C777" s="10">
        <f>IFERROR(IF(AND(IFERROR(INDEX(ERP資料!$A:$A, (MATCH(776, 輔助計算!$F$2:$F$801, 0)+1)), "")&lt;&gt;"", IFERROR(INDEX(ERP資料!$A:$A, (MATCH(776, 輔助計算!$F$2:$F$801, 0)+1)), "")&lt;&gt;IFERROR(INDEX(ERP資料!$A:$A, MATCH(775, 輔助計算!$F$2:$F$801, 0)+1), "")), INDEX(ERP資料!$S:$S, (MATCH(776, 輔助計算!$F$2:$F$801, 0)+1)), ""), "")</f>
        <v/>
      </c>
      <c r="D777" s="10">
        <f>IFERROR(IF(INDEX(ERP資料!$E:$E, (MATCH(776, 輔助計算!$F$2:$F$801, 0)+1))="","",TRIM(INDEX(ERP資料!$E:$E, (MATCH(776, 輔助計算!$F$2:$F$801, 0)+1)))), "")</f>
        <v/>
      </c>
      <c r="E777" s="10">
        <f>IFERROR(IF(INDEX(ERP資料!$F:$F, (MATCH(776, 輔助計算!$F$2:$F$801, 0)+1))="","",INDEX(ERP資料!$F:$F, (MATCH(776, 輔助計算!$F$2:$F$801, 0)+1))), "")</f>
        <v/>
      </c>
      <c r="F777" s="10">
        <f>IFERROR(IF(INDEX(ERP資料!$G:$G, (MATCH(776, 輔助計算!$F$2:$F$801, 0)+1))="","",INDEX(ERP資料!$G:$G, (MATCH(776, 輔助計算!$F$2:$F$801, 0)+1))), "")</f>
        <v/>
      </c>
      <c r="G777" s="10">
        <f>IFERROR(IF(INDEX(ERP資料!$H:$H, (MATCH(776, 輔助計算!$F$2:$F$801, 0)+1))="","",INDEX(ERP資料!$H:$H, (MATCH(776, 輔助計算!$F$2:$F$801, 0)+1))), "")</f>
        <v/>
      </c>
      <c r="H777" s="10">
        <f>IFERROR(IF(INDEX(ERP資料!$O:$O, (MATCH(776, 輔助計算!$F$2:$F$801, 0)+1))="","",INDEX(ERP資料!$O:$O, (MATCH(776, 輔助計算!$F$2:$F$801, 0)+1))), "")</f>
        <v/>
      </c>
      <c r="I777" s="15">
        <f>IFERROR(IF(INDEX(輔助計算!$D:$D,(MATCH(776, 輔助計算!$F$2:$F$801, 0)+1))="","",INDEX(輔助計算!$D:$D,(MATCH(776, 輔助計算!$F$2:$F$801, 0)+1))*INDEX(ERP資料!$O:$O,(MATCH(776, 輔助計算!$F$2:$F$801, 0)+1))), "")</f>
        <v/>
      </c>
      <c r="J777" s="16" t="n"/>
      <c r="K777" s="15">
        <f>IFERROR(INDEX(輔助計算!$D:$D, (MATCH(776, 輔助計算!$F$2:$F$801, 0)+1)), "")</f>
        <v/>
      </c>
      <c r="L777" s="16">
        <f>IFERROR(IF(AND(IFERROR(VLOOKUP(LEFT(INDEX(ERP資料!$S:$S, (MATCH(776, 輔助計算!$F$2:$F$801, 0)+1)), 4), 100張客戶!$A:$A, 1, FALSE), "")&lt;&gt;"", OR(INDEX(ERP資料!$F:$F, (MATCH(776, 輔助計算!$F$2:$F$801, 0)+1))=270, INDEX(ERP資料!$F:$F, (MATCH(776, 輔助計算!$F$2:$F$801, 0)+1))=300)), "100張", ""), "")</f>
        <v/>
      </c>
      <c r="M777" s="17" t="n"/>
      <c r="N777" s="17">
        <f>IF($F777="","",$F777)</f>
        <v/>
      </c>
      <c r="O777" s="17">
        <f>IF($G777="","",$G777)</f>
        <v/>
      </c>
      <c r="P777" s="17">
        <f>IF($K777="","",$K777)</f>
        <v/>
      </c>
      <c r="Q777" s="16" t="n"/>
      <c r="R777" s="18" t="n"/>
      <c r="S777" s="16" t="n"/>
    </row>
    <row r="778">
      <c r="A778" s="14">
        <f>IFERROR(IF(AND(IFERROR(INDEX(ERP資料!$A:$A, (MATCH(777, 輔助計算!$F$2:$F$801, 0)+1)), "")&lt;&gt;"", IFERROR(INDEX(ERP資料!$A:$A, (MATCH(777, 輔助計算!$F$2:$F$801, 0)+1)), "")&lt;&gt;IFERROR(INDEX(ERP資料!$A:$A, MATCH(776, 輔助計算!$F$2:$F$801, 0)+1), "")), INDEX(ERP資料!$B:$B, (MATCH(777, 輔助計算!$F$2:$F$801, 0)+1)), ""), "")</f>
        <v/>
      </c>
      <c r="B778" s="10">
        <f>IFERROR(IF(AND(IFERROR(INDEX(ERP資料!$A:$A, (MATCH(777, 輔助計算!$F$2:$F$801, 0)+1)), "")&lt;&gt;"", IFERROR(INDEX(ERP資料!$A:$A, (MATCH(777, 輔助計算!$F$2:$F$801, 0)+1)), "")&lt;&gt;IFERROR(INDEX(ERP資料!$A:$A, MATCH(776, 輔助計算!$F$2:$F$801, 0)+1), "")), IFERROR(INDEX(ERP資料!$A:$A, (MATCH(777, 輔助計算!$F$2:$F$801, 0)+1)), ""), ""), "")</f>
        <v/>
      </c>
      <c r="C778" s="10">
        <f>IFERROR(IF(AND(IFERROR(INDEX(ERP資料!$A:$A, (MATCH(777, 輔助計算!$F$2:$F$801, 0)+1)), "")&lt;&gt;"", IFERROR(INDEX(ERP資料!$A:$A, (MATCH(777, 輔助計算!$F$2:$F$801, 0)+1)), "")&lt;&gt;IFERROR(INDEX(ERP資料!$A:$A, MATCH(776, 輔助計算!$F$2:$F$801, 0)+1), "")), INDEX(ERP資料!$S:$S, (MATCH(777, 輔助計算!$F$2:$F$801, 0)+1)), ""), "")</f>
        <v/>
      </c>
      <c r="D778" s="10">
        <f>IFERROR(IF(INDEX(ERP資料!$E:$E, (MATCH(777, 輔助計算!$F$2:$F$801, 0)+1))="","",TRIM(INDEX(ERP資料!$E:$E, (MATCH(777, 輔助計算!$F$2:$F$801, 0)+1)))), "")</f>
        <v/>
      </c>
      <c r="E778" s="10">
        <f>IFERROR(IF(INDEX(ERP資料!$F:$F, (MATCH(777, 輔助計算!$F$2:$F$801, 0)+1))="","",INDEX(ERP資料!$F:$F, (MATCH(777, 輔助計算!$F$2:$F$801, 0)+1))), "")</f>
        <v/>
      </c>
      <c r="F778" s="10">
        <f>IFERROR(IF(INDEX(ERP資料!$G:$G, (MATCH(777, 輔助計算!$F$2:$F$801, 0)+1))="","",INDEX(ERP資料!$G:$G, (MATCH(777, 輔助計算!$F$2:$F$801, 0)+1))), "")</f>
        <v/>
      </c>
      <c r="G778" s="10">
        <f>IFERROR(IF(INDEX(ERP資料!$H:$H, (MATCH(777, 輔助計算!$F$2:$F$801, 0)+1))="","",INDEX(ERP資料!$H:$H, (MATCH(777, 輔助計算!$F$2:$F$801, 0)+1))), "")</f>
        <v/>
      </c>
      <c r="H778" s="10">
        <f>IFERROR(IF(INDEX(ERP資料!$O:$O, (MATCH(777, 輔助計算!$F$2:$F$801, 0)+1))="","",INDEX(ERP資料!$O:$O, (MATCH(777, 輔助計算!$F$2:$F$801, 0)+1))), "")</f>
        <v/>
      </c>
      <c r="I778" s="15">
        <f>IFERROR(IF(INDEX(輔助計算!$D:$D,(MATCH(777, 輔助計算!$F$2:$F$801, 0)+1))="","",INDEX(輔助計算!$D:$D,(MATCH(777, 輔助計算!$F$2:$F$801, 0)+1))*INDEX(ERP資料!$O:$O,(MATCH(777, 輔助計算!$F$2:$F$801, 0)+1))), "")</f>
        <v/>
      </c>
      <c r="J778" s="16" t="n"/>
      <c r="K778" s="15">
        <f>IFERROR(INDEX(輔助計算!$D:$D, (MATCH(777, 輔助計算!$F$2:$F$801, 0)+1)), "")</f>
        <v/>
      </c>
      <c r="L778" s="16">
        <f>IFERROR(IF(AND(IFERROR(VLOOKUP(LEFT(INDEX(ERP資料!$S:$S, (MATCH(777, 輔助計算!$F$2:$F$801, 0)+1)), 4), 100張客戶!$A:$A, 1, FALSE), "")&lt;&gt;"", OR(INDEX(ERP資料!$F:$F, (MATCH(777, 輔助計算!$F$2:$F$801, 0)+1))=270, INDEX(ERP資料!$F:$F, (MATCH(777, 輔助計算!$F$2:$F$801, 0)+1))=300)), "100張", ""), "")</f>
        <v/>
      </c>
      <c r="M778" s="17" t="n"/>
      <c r="N778" s="17">
        <f>IF($F778="","",$F778)</f>
        <v/>
      </c>
      <c r="O778" s="17">
        <f>IF($G778="","",$G778)</f>
        <v/>
      </c>
      <c r="P778" s="17">
        <f>IF($K778="","",$K778)</f>
        <v/>
      </c>
      <c r="Q778" s="16" t="n"/>
      <c r="R778" s="18" t="n"/>
      <c r="S778" s="16" t="n"/>
    </row>
    <row r="779">
      <c r="A779" s="14">
        <f>IFERROR(IF(AND(IFERROR(INDEX(ERP資料!$A:$A, (MATCH(778, 輔助計算!$F$2:$F$801, 0)+1)), "")&lt;&gt;"", IFERROR(INDEX(ERP資料!$A:$A, (MATCH(778, 輔助計算!$F$2:$F$801, 0)+1)), "")&lt;&gt;IFERROR(INDEX(ERP資料!$A:$A, MATCH(777, 輔助計算!$F$2:$F$801, 0)+1), "")), INDEX(ERP資料!$B:$B, (MATCH(778, 輔助計算!$F$2:$F$801, 0)+1)), ""), "")</f>
        <v/>
      </c>
      <c r="B779" s="10">
        <f>IFERROR(IF(AND(IFERROR(INDEX(ERP資料!$A:$A, (MATCH(778, 輔助計算!$F$2:$F$801, 0)+1)), "")&lt;&gt;"", IFERROR(INDEX(ERP資料!$A:$A, (MATCH(778, 輔助計算!$F$2:$F$801, 0)+1)), "")&lt;&gt;IFERROR(INDEX(ERP資料!$A:$A, MATCH(777, 輔助計算!$F$2:$F$801, 0)+1), "")), IFERROR(INDEX(ERP資料!$A:$A, (MATCH(778, 輔助計算!$F$2:$F$801, 0)+1)), ""), ""), "")</f>
        <v/>
      </c>
      <c r="C779" s="10">
        <f>IFERROR(IF(AND(IFERROR(INDEX(ERP資料!$A:$A, (MATCH(778, 輔助計算!$F$2:$F$801, 0)+1)), "")&lt;&gt;"", IFERROR(INDEX(ERP資料!$A:$A, (MATCH(778, 輔助計算!$F$2:$F$801, 0)+1)), "")&lt;&gt;IFERROR(INDEX(ERP資料!$A:$A, MATCH(777, 輔助計算!$F$2:$F$801, 0)+1), "")), INDEX(ERP資料!$S:$S, (MATCH(778, 輔助計算!$F$2:$F$801, 0)+1)), ""), "")</f>
        <v/>
      </c>
      <c r="D779" s="10">
        <f>IFERROR(IF(INDEX(ERP資料!$E:$E, (MATCH(778, 輔助計算!$F$2:$F$801, 0)+1))="","",TRIM(INDEX(ERP資料!$E:$E, (MATCH(778, 輔助計算!$F$2:$F$801, 0)+1)))), "")</f>
        <v/>
      </c>
      <c r="E779" s="10">
        <f>IFERROR(IF(INDEX(ERP資料!$F:$F, (MATCH(778, 輔助計算!$F$2:$F$801, 0)+1))="","",INDEX(ERP資料!$F:$F, (MATCH(778, 輔助計算!$F$2:$F$801, 0)+1))), "")</f>
        <v/>
      </c>
      <c r="F779" s="10">
        <f>IFERROR(IF(INDEX(ERP資料!$G:$G, (MATCH(778, 輔助計算!$F$2:$F$801, 0)+1))="","",INDEX(ERP資料!$G:$G, (MATCH(778, 輔助計算!$F$2:$F$801, 0)+1))), "")</f>
        <v/>
      </c>
      <c r="G779" s="10">
        <f>IFERROR(IF(INDEX(ERP資料!$H:$H, (MATCH(778, 輔助計算!$F$2:$F$801, 0)+1))="","",INDEX(ERP資料!$H:$H, (MATCH(778, 輔助計算!$F$2:$F$801, 0)+1))), "")</f>
        <v/>
      </c>
      <c r="H779" s="10">
        <f>IFERROR(IF(INDEX(ERP資料!$O:$O, (MATCH(778, 輔助計算!$F$2:$F$801, 0)+1))="","",INDEX(ERP資料!$O:$O, (MATCH(778, 輔助計算!$F$2:$F$801, 0)+1))), "")</f>
        <v/>
      </c>
      <c r="I779" s="15">
        <f>IFERROR(IF(INDEX(輔助計算!$D:$D,(MATCH(778, 輔助計算!$F$2:$F$801, 0)+1))="","",INDEX(輔助計算!$D:$D,(MATCH(778, 輔助計算!$F$2:$F$801, 0)+1))*INDEX(ERP資料!$O:$O,(MATCH(778, 輔助計算!$F$2:$F$801, 0)+1))), "")</f>
        <v/>
      </c>
      <c r="J779" s="16" t="n"/>
      <c r="K779" s="15">
        <f>IFERROR(INDEX(輔助計算!$D:$D, (MATCH(778, 輔助計算!$F$2:$F$801, 0)+1)), "")</f>
        <v/>
      </c>
      <c r="L779" s="16">
        <f>IFERROR(IF(AND(IFERROR(VLOOKUP(LEFT(INDEX(ERP資料!$S:$S, (MATCH(778, 輔助計算!$F$2:$F$801, 0)+1)), 4), 100張客戶!$A:$A, 1, FALSE), "")&lt;&gt;"", OR(INDEX(ERP資料!$F:$F, (MATCH(778, 輔助計算!$F$2:$F$801, 0)+1))=270, INDEX(ERP資料!$F:$F, (MATCH(778, 輔助計算!$F$2:$F$801, 0)+1))=300)), "100張", ""), "")</f>
        <v/>
      </c>
      <c r="M779" s="17" t="n"/>
      <c r="N779" s="17">
        <f>IF($F779="","",$F779)</f>
        <v/>
      </c>
      <c r="O779" s="17">
        <f>IF($G779="","",$G779)</f>
        <v/>
      </c>
      <c r="P779" s="17">
        <f>IF($K779="","",$K779)</f>
        <v/>
      </c>
      <c r="Q779" s="16" t="n"/>
      <c r="R779" s="18" t="n"/>
      <c r="S779" s="16" t="n"/>
    </row>
    <row r="780">
      <c r="A780" s="14">
        <f>IFERROR(IF(AND(IFERROR(INDEX(ERP資料!$A:$A, (MATCH(779, 輔助計算!$F$2:$F$801, 0)+1)), "")&lt;&gt;"", IFERROR(INDEX(ERP資料!$A:$A, (MATCH(779, 輔助計算!$F$2:$F$801, 0)+1)), "")&lt;&gt;IFERROR(INDEX(ERP資料!$A:$A, MATCH(778, 輔助計算!$F$2:$F$801, 0)+1), "")), INDEX(ERP資料!$B:$B, (MATCH(779, 輔助計算!$F$2:$F$801, 0)+1)), ""), "")</f>
        <v/>
      </c>
      <c r="B780" s="10">
        <f>IFERROR(IF(AND(IFERROR(INDEX(ERP資料!$A:$A, (MATCH(779, 輔助計算!$F$2:$F$801, 0)+1)), "")&lt;&gt;"", IFERROR(INDEX(ERP資料!$A:$A, (MATCH(779, 輔助計算!$F$2:$F$801, 0)+1)), "")&lt;&gt;IFERROR(INDEX(ERP資料!$A:$A, MATCH(778, 輔助計算!$F$2:$F$801, 0)+1), "")), IFERROR(INDEX(ERP資料!$A:$A, (MATCH(779, 輔助計算!$F$2:$F$801, 0)+1)), ""), ""), "")</f>
        <v/>
      </c>
      <c r="C780" s="10">
        <f>IFERROR(IF(AND(IFERROR(INDEX(ERP資料!$A:$A, (MATCH(779, 輔助計算!$F$2:$F$801, 0)+1)), "")&lt;&gt;"", IFERROR(INDEX(ERP資料!$A:$A, (MATCH(779, 輔助計算!$F$2:$F$801, 0)+1)), "")&lt;&gt;IFERROR(INDEX(ERP資料!$A:$A, MATCH(778, 輔助計算!$F$2:$F$801, 0)+1), "")), INDEX(ERP資料!$S:$S, (MATCH(779, 輔助計算!$F$2:$F$801, 0)+1)), ""), "")</f>
        <v/>
      </c>
      <c r="D780" s="10">
        <f>IFERROR(IF(INDEX(ERP資料!$E:$E, (MATCH(779, 輔助計算!$F$2:$F$801, 0)+1))="","",TRIM(INDEX(ERP資料!$E:$E, (MATCH(779, 輔助計算!$F$2:$F$801, 0)+1)))), "")</f>
        <v/>
      </c>
      <c r="E780" s="10">
        <f>IFERROR(IF(INDEX(ERP資料!$F:$F, (MATCH(779, 輔助計算!$F$2:$F$801, 0)+1))="","",INDEX(ERP資料!$F:$F, (MATCH(779, 輔助計算!$F$2:$F$801, 0)+1))), "")</f>
        <v/>
      </c>
      <c r="F780" s="10">
        <f>IFERROR(IF(INDEX(ERP資料!$G:$G, (MATCH(779, 輔助計算!$F$2:$F$801, 0)+1))="","",INDEX(ERP資料!$G:$G, (MATCH(779, 輔助計算!$F$2:$F$801, 0)+1))), "")</f>
        <v/>
      </c>
      <c r="G780" s="10">
        <f>IFERROR(IF(INDEX(ERP資料!$H:$H, (MATCH(779, 輔助計算!$F$2:$F$801, 0)+1))="","",INDEX(ERP資料!$H:$H, (MATCH(779, 輔助計算!$F$2:$F$801, 0)+1))), "")</f>
        <v/>
      </c>
      <c r="H780" s="10">
        <f>IFERROR(IF(INDEX(ERP資料!$O:$O, (MATCH(779, 輔助計算!$F$2:$F$801, 0)+1))="","",INDEX(ERP資料!$O:$O, (MATCH(779, 輔助計算!$F$2:$F$801, 0)+1))), "")</f>
        <v/>
      </c>
      <c r="I780" s="15">
        <f>IFERROR(IF(INDEX(輔助計算!$D:$D,(MATCH(779, 輔助計算!$F$2:$F$801, 0)+1))="","",INDEX(輔助計算!$D:$D,(MATCH(779, 輔助計算!$F$2:$F$801, 0)+1))*INDEX(ERP資料!$O:$O,(MATCH(779, 輔助計算!$F$2:$F$801, 0)+1))), "")</f>
        <v/>
      </c>
      <c r="J780" s="16" t="n"/>
      <c r="K780" s="15">
        <f>IFERROR(INDEX(輔助計算!$D:$D, (MATCH(779, 輔助計算!$F$2:$F$801, 0)+1)), "")</f>
        <v/>
      </c>
      <c r="L780" s="16">
        <f>IFERROR(IF(AND(IFERROR(VLOOKUP(LEFT(INDEX(ERP資料!$S:$S, (MATCH(779, 輔助計算!$F$2:$F$801, 0)+1)), 4), 100張客戶!$A:$A, 1, FALSE), "")&lt;&gt;"", OR(INDEX(ERP資料!$F:$F, (MATCH(779, 輔助計算!$F$2:$F$801, 0)+1))=270, INDEX(ERP資料!$F:$F, (MATCH(779, 輔助計算!$F$2:$F$801, 0)+1))=300)), "100張", ""), "")</f>
        <v/>
      </c>
      <c r="M780" s="17" t="n"/>
      <c r="N780" s="17">
        <f>IF($F780="","",$F780)</f>
        <v/>
      </c>
      <c r="O780" s="17">
        <f>IF($G780="","",$G780)</f>
        <v/>
      </c>
      <c r="P780" s="17">
        <f>IF($K780="","",$K780)</f>
        <v/>
      </c>
      <c r="Q780" s="16" t="n"/>
      <c r="R780" s="18" t="n"/>
      <c r="S780" s="16" t="n"/>
    </row>
    <row r="781">
      <c r="A781" s="14">
        <f>IFERROR(IF(AND(IFERROR(INDEX(ERP資料!$A:$A, (MATCH(780, 輔助計算!$F$2:$F$801, 0)+1)), "")&lt;&gt;"", IFERROR(INDEX(ERP資料!$A:$A, (MATCH(780, 輔助計算!$F$2:$F$801, 0)+1)), "")&lt;&gt;IFERROR(INDEX(ERP資料!$A:$A, MATCH(779, 輔助計算!$F$2:$F$801, 0)+1), "")), INDEX(ERP資料!$B:$B, (MATCH(780, 輔助計算!$F$2:$F$801, 0)+1)), ""), "")</f>
        <v/>
      </c>
      <c r="B781" s="10">
        <f>IFERROR(IF(AND(IFERROR(INDEX(ERP資料!$A:$A, (MATCH(780, 輔助計算!$F$2:$F$801, 0)+1)), "")&lt;&gt;"", IFERROR(INDEX(ERP資料!$A:$A, (MATCH(780, 輔助計算!$F$2:$F$801, 0)+1)), "")&lt;&gt;IFERROR(INDEX(ERP資料!$A:$A, MATCH(779, 輔助計算!$F$2:$F$801, 0)+1), "")), IFERROR(INDEX(ERP資料!$A:$A, (MATCH(780, 輔助計算!$F$2:$F$801, 0)+1)), ""), ""), "")</f>
        <v/>
      </c>
      <c r="C781" s="10">
        <f>IFERROR(IF(AND(IFERROR(INDEX(ERP資料!$A:$A, (MATCH(780, 輔助計算!$F$2:$F$801, 0)+1)), "")&lt;&gt;"", IFERROR(INDEX(ERP資料!$A:$A, (MATCH(780, 輔助計算!$F$2:$F$801, 0)+1)), "")&lt;&gt;IFERROR(INDEX(ERP資料!$A:$A, MATCH(779, 輔助計算!$F$2:$F$801, 0)+1), "")), INDEX(ERP資料!$S:$S, (MATCH(780, 輔助計算!$F$2:$F$801, 0)+1)), ""), "")</f>
        <v/>
      </c>
      <c r="D781" s="10">
        <f>IFERROR(IF(INDEX(ERP資料!$E:$E, (MATCH(780, 輔助計算!$F$2:$F$801, 0)+1))="","",TRIM(INDEX(ERP資料!$E:$E, (MATCH(780, 輔助計算!$F$2:$F$801, 0)+1)))), "")</f>
        <v/>
      </c>
      <c r="E781" s="10">
        <f>IFERROR(IF(INDEX(ERP資料!$F:$F, (MATCH(780, 輔助計算!$F$2:$F$801, 0)+1))="","",INDEX(ERP資料!$F:$F, (MATCH(780, 輔助計算!$F$2:$F$801, 0)+1))), "")</f>
        <v/>
      </c>
      <c r="F781" s="10">
        <f>IFERROR(IF(INDEX(ERP資料!$G:$G, (MATCH(780, 輔助計算!$F$2:$F$801, 0)+1))="","",INDEX(ERP資料!$G:$G, (MATCH(780, 輔助計算!$F$2:$F$801, 0)+1))), "")</f>
        <v/>
      </c>
      <c r="G781" s="10">
        <f>IFERROR(IF(INDEX(ERP資料!$H:$H, (MATCH(780, 輔助計算!$F$2:$F$801, 0)+1))="","",INDEX(ERP資料!$H:$H, (MATCH(780, 輔助計算!$F$2:$F$801, 0)+1))), "")</f>
        <v/>
      </c>
      <c r="H781" s="10">
        <f>IFERROR(IF(INDEX(ERP資料!$O:$O, (MATCH(780, 輔助計算!$F$2:$F$801, 0)+1))="","",INDEX(ERP資料!$O:$O, (MATCH(780, 輔助計算!$F$2:$F$801, 0)+1))), "")</f>
        <v/>
      </c>
      <c r="I781" s="15">
        <f>IFERROR(IF(INDEX(輔助計算!$D:$D,(MATCH(780, 輔助計算!$F$2:$F$801, 0)+1))="","",INDEX(輔助計算!$D:$D,(MATCH(780, 輔助計算!$F$2:$F$801, 0)+1))*INDEX(ERP資料!$O:$O,(MATCH(780, 輔助計算!$F$2:$F$801, 0)+1))), "")</f>
        <v/>
      </c>
      <c r="J781" s="16" t="n"/>
      <c r="K781" s="15">
        <f>IFERROR(INDEX(輔助計算!$D:$D, (MATCH(780, 輔助計算!$F$2:$F$801, 0)+1)), "")</f>
        <v/>
      </c>
      <c r="L781" s="16">
        <f>IFERROR(IF(AND(IFERROR(VLOOKUP(LEFT(INDEX(ERP資料!$S:$S, (MATCH(780, 輔助計算!$F$2:$F$801, 0)+1)), 4), 100張客戶!$A:$A, 1, FALSE), "")&lt;&gt;"", OR(INDEX(ERP資料!$F:$F, (MATCH(780, 輔助計算!$F$2:$F$801, 0)+1))=270, INDEX(ERP資料!$F:$F, (MATCH(780, 輔助計算!$F$2:$F$801, 0)+1))=300)), "100張", ""), "")</f>
        <v/>
      </c>
      <c r="M781" s="17" t="n"/>
      <c r="N781" s="17">
        <f>IF($F781="","",$F781)</f>
        <v/>
      </c>
      <c r="O781" s="17">
        <f>IF($G781="","",$G781)</f>
        <v/>
      </c>
      <c r="P781" s="17">
        <f>IF($K781="","",$K781)</f>
        <v/>
      </c>
      <c r="Q781" s="16" t="n"/>
      <c r="R781" s="18" t="n"/>
      <c r="S781" s="16" t="n"/>
    </row>
    <row r="782">
      <c r="A782" s="14">
        <f>IFERROR(IF(AND(IFERROR(INDEX(ERP資料!$A:$A, (MATCH(781, 輔助計算!$F$2:$F$801, 0)+1)), "")&lt;&gt;"", IFERROR(INDEX(ERP資料!$A:$A, (MATCH(781, 輔助計算!$F$2:$F$801, 0)+1)), "")&lt;&gt;IFERROR(INDEX(ERP資料!$A:$A, MATCH(780, 輔助計算!$F$2:$F$801, 0)+1), "")), INDEX(ERP資料!$B:$B, (MATCH(781, 輔助計算!$F$2:$F$801, 0)+1)), ""), "")</f>
        <v/>
      </c>
      <c r="B782" s="10">
        <f>IFERROR(IF(AND(IFERROR(INDEX(ERP資料!$A:$A, (MATCH(781, 輔助計算!$F$2:$F$801, 0)+1)), "")&lt;&gt;"", IFERROR(INDEX(ERP資料!$A:$A, (MATCH(781, 輔助計算!$F$2:$F$801, 0)+1)), "")&lt;&gt;IFERROR(INDEX(ERP資料!$A:$A, MATCH(780, 輔助計算!$F$2:$F$801, 0)+1), "")), IFERROR(INDEX(ERP資料!$A:$A, (MATCH(781, 輔助計算!$F$2:$F$801, 0)+1)), ""), ""), "")</f>
        <v/>
      </c>
      <c r="C782" s="10">
        <f>IFERROR(IF(AND(IFERROR(INDEX(ERP資料!$A:$A, (MATCH(781, 輔助計算!$F$2:$F$801, 0)+1)), "")&lt;&gt;"", IFERROR(INDEX(ERP資料!$A:$A, (MATCH(781, 輔助計算!$F$2:$F$801, 0)+1)), "")&lt;&gt;IFERROR(INDEX(ERP資料!$A:$A, MATCH(780, 輔助計算!$F$2:$F$801, 0)+1), "")), INDEX(ERP資料!$S:$S, (MATCH(781, 輔助計算!$F$2:$F$801, 0)+1)), ""), "")</f>
        <v/>
      </c>
      <c r="D782" s="10">
        <f>IFERROR(IF(INDEX(ERP資料!$E:$E, (MATCH(781, 輔助計算!$F$2:$F$801, 0)+1))="","",TRIM(INDEX(ERP資料!$E:$E, (MATCH(781, 輔助計算!$F$2:$F$801, 0)+1)))), "")</f>
        <v/>
      </c>
      <c r="E782" s="10">
        <f>IFERROR(IF(INDEX(ERP資料!$F:$F, (MATCH(781, 輔助計算!$F$2:$F$801, 0)+1))="","",INDEX(ERP資料!$F:$F, (MATCH(781, 輔助計算!$F$2:$F$801, 0)+1))), "")</f>
        <v/>
      </c>
      <c r="F782" s="10">
        <f>IFERROR(IF(INDEX(ERP資料!$G:$G, (MATCH(781, 輔助計算!$F$2:$F$801, 0)+1))="","",INDEX(ERP資料!$G:$G, (MATCH(781, 輔助計算!$F$2:$F$801, 0)+1))), "")</f>
        <v/>
      </c>
      <c r="G782" s="10">
        <f>IFERROR(IF(INDEX(ERP資料!$H:$H, (MATCH(781, 輔助計算!$F$2:$F$801, 0)+1))="","",INDEX(ERP資料!$H:$H, (MATCH(781, 輔助計算!$F$2:$F$801, 0)+1))), "")</f>
        <v/>
      </c>
      <c r="H782" s="10">
        <f>IFERROR(IF(INDEX(ERP資料!$O:$O, (MATCH(781, 輔助計算!$F$2:$F$801, 0)+1))="","",INDEX(ERP資料!$O:$O, (MATCH(781, 輔助計算!$F$2:$F$801, 0)+1))), "")</f>
        <v/>
      </c>
      <c r="I782" s="15">
        <f>IFERROR(IF(INDEX(輔助計算!$D:$D,(MATCH(781, 輔助計算!$F$2:$F$801, 0)+1))="","",INDEX(輔助計算!$D:$D,(MATCH(781, 輔助計算!$F$2:$F$801, 0)+1))*INDEX(ERP資料!$O:$O,(MATCH(781, 輔助計算!$F$2:$F$801, 0)+1))), "")</f>
        <v/>
      </c>
      <c r="J782" s="16" t="n"/>
      <c r="K782" s="15">
        <f>IFERROR(INDEX(輔助計算!$D:$D, (MATCH(781, 輔助計算!$F$2:$F$801, 0)+1)), "")</f>
        <v/>
      </c>
      <c r="L782" s="16">
        <f>IFERROR(IF(AND(IFERROR(VLOOKUP(LEFT(INDEX(ERP資料!$S:$S, (MATCH(781, 輔助計算!$F$2:$F$801, 0)+1)), 4), 100張客戶!$A:$A, 1, FALSE), "")&lt;&gt;"", OR(INDEX(ERP資料!$F:$F, (MATCH(781, 輔助計算!$F$2:$F$801, 0)+1))=270, INDEX(ERP資料!$F:$F, (MATCH(781, 輔助計算!$F$2:$F$801, 0)+1))=300)), "100張", ""), "")</f>
        <v/>
      </c>
      <c r="M782" s="17" t="n"/>
      <c r="N782" s="17">
        <f>IF($F782="","",$F782)</f>
        <v/>
      </c>
      <c r="O782" s="17">
        <f>IF($G782="","",$G782)</f>
        <v/>
      </c>
      <c r="P782" s="17">
        <f>IF($K782="","",$K782)</f>
        <v/>
      </c>
      <c r="Q782" s="16" t="n"/>
      <c r="R782" s="18" t="n"/>
      <c r="S782" s="16" t="n"/>
    </row>
    <row r="783">
      <c r="A783" s="14">
        <f>IFERROR(IF(AND(IFERROR(INDEX(ERP資料!$A:$A, (MATCH(782, 輔助計算!$F$2:$F$801, 0)+1)), "")&lt;&gt;"", IFERROR(INDEX(ERP資料!$A:$A, (MATCH(782, 輔助計算!$F$2:$F$801, 0)+1)), "")&lt;&gt;IFERROR(INDEX(ERP資料!$A:$A, MATCH(781, 輔助計算!$F$2:$F$801, 0)+1), "")), INDEX(ERP資料!$B:$B, (MATCH(782, 輔助計算!$F$2:$F$801, 0)+1)), ""), "")</f>
        <v/>
      </c>
      <c r="B783" s="10">
        <f>IFERROR(IF(AND(IFERROR(INDEX(ERP資料!$A:$A, (MATCH(782, 輔助計算!$F$2:$F$801, 0)+1)), "")&lt;&gt;"", IFERROR(INDEX(ERP資料!$A:$A, (MATCH(782, 輔助計算!$F$2:$F$801, 0)+1)), "")&lt;&gt;IFERROR(INDEX(ERP資料!$A:$A, MATCH(781, 輔助計算!$F$2:$F$801, 0)+1), "")), IFERROR(INDEX(ERP資料!$A:$A, (MATCH(782, 輔助計算!$F$2:$F$801, 0)+1)), ""), ""), "")</f>
        <v/>
      </c>
      <c r="C783" s="10">
        <f>IFERROR(IF(AND(IFERROR(INDEX(ERP資料!$A:$A, (MATCH(782, 輔助計算!$F$2:$F$801, 0)+1)), "")&lt;&gt;"", IFERROR(INDEX(ERP資料!$A:$A, (MATCH(782, 輔助計算!$F$2:$F$801, 0)+1)), "")&lt;&gt;IFERROR(INDEX(ERP資料!$A:$A, MATCH(781, 輔助計算!$F$2:$F$801, 0)+1), "")), INDEX(ERP資料!$S:$S, (MATCH(782, 輔助計算!$F$2:$F$801, 0)+1)), ""), "")</f>
        <v/>
      </c>
      <c r="D783" s="10">
        <f>IFERROR(IF(INDEX(ERP資料!$E:$E, (MATCH(782, 輔助計算!$F$2:$F$801, 0)+1))="","",TRIM(INDEX(ERP資料!$E:$E, (MATCH(782, 輔助計算!$F$2:$F$801, 0)+1)))), "")</f>
        <v/>
      </c>
      <c r="E783" s="10">
        <f>IFERROR(IF(INDEX(ERP資料!$F:$F, (MATCH(782, 輔助計算!$F$2:$F$801, 0)+1))="","",INDEX(ERP資料!$F:$F, (MATCH(782, 輔助計算!$F$2:$F$801, 0)+1))), "")</f>
        <v/>
      </c>
      <c r="F783" s="10">
        <f>IFERROR(IF(INDEX(ERP資料!$G:$G, (MATCH(782, 輔助計算!$F$2:$F$801, 0)+1))="","",INDEX(ERP資料!$G:$G, (MATCH(782, 輔助計算!$F$2:$F$801, 0)+1))), "")</f>
        <v/>
      </c>
      <c r="G783" s="10">
        <f>IFERROR(IF(INDEX(ERP資料!$H:$H, (MATCH(782, 輔助計算!$F$2:$F$801, 0)+1))="","",INDEX(ERP資料!$H:$H, (MATCH(782, 輔助計算!$F$2:$F$801, 0)+1))), "")</f>
        <v/>
      </c>
      <c r="H783" s="10">
        <f>IFERROR(IF(INDEX(ERP資料!$O:$O, (MATCH(782, 輔助計算!$F$2:$F$801, 0)+1))="","",INDEX(ERP資料!$O:$O, (MATCH(782, 輔助計算!$F$2:$F$801, 0)+1))), "")</f>
        <v/>
      </c>
      <c r="I783" s="15">
        <f>IFERROR(IF(INDEX(輔助計算!$D:$D,(MATCH(782, 輔助計算!$F$2:$F$801, 0)+1))="","",INDEX(輔助計算!$D:$D,(MATCH(782, 輔助計算!$F$2:$F$801, 0)+1))*INDEX(ERP資料!$O:$O,(MATCH(782, 輔助計算!$F$2:$F$801, 0)+1))), "")</f>
        <v/>
      </c>
      <c r="J783" s="16" t="n"/>
      <c r="K783" s="15">
        <f>IFERROR(INDEX(輔助計算!$D:$D, (MATCH(782, 輔助計算!$F$2:$F$801, 0)+1)), "")</f>
        <v/>
      </c>
      <c r="L783" s="16">
        <f>IFERROR(IF(AND(IFERROR(VLOOKUP(LEFT(INDEX(ERP資料!$S:$S, (MATCH(782, 輔助計算!$F$2:$F$801, 0)+1)), 4), 100張客戶!$A:$A, 1, FALSE), "")&lt;&gt;"", OR(INDEX(ERP資料!$F:$F, (MATCH(782, 輔助計算!$F$2:$F$801, 0)+1))=270, INDEX(ERP資料!$F:$F, (MATCH(782, 輔助計算!$F$2:$F$801, 0)+1))=300)), "100張", ""), "")</f>
        <v/>
      </c>
      <c r="M783" s="17" t="n"/>
      <c r="N783" s="17">
        <f>IF($F783="","",$F783)</f>
        <v/>
      </c>
      <c r="O783" s="17">
        <f>IF($G783="","",$G783)</f>
        <v/>
      </c>
      <c r="P783" s="17">
        <f>IF($K783="","",$K783)</f>
        <v/>
      </c>
      <c r="Q783" s="16" t="n"/>
      <c r="R783" s="18" t="n"/>
      <c r="S783" s="16" t="n"/>
    </row>
    <row r="784">
      <c r="A784" s="14">
        <f>IFERROR(IF(AND(IFERROR(INDEX(ERP資料!$A:$A, (MATCH(783, 輔助計算!$F$2:$F$801, 0)+1)), "")&lt;&gt;"", IFERROR(INDEX(ERP資料!$A:$A, (MATCH(783, 輔助計算!$F$2:$F$801, 0)+1)), "")&lt;&gt;IFERROR(INDEX(ERP資料!$A:$A, MATCH(782, 輔助計算!$F$2:$F$801, 0)+1), "")), INDEX(ERP資料!$B:$B, (MATCH(783, 輔助計算!$F$2:$F$801, 0)+1)), ""), "")</f>
        <v/>
      </c>
      <c r="B784" s="10">
        <f>IFERROR(IF(AND(IFERROR(INDEX(ERP資料!$A:$A, (MATCH(783, 輔助計算!$F$2:$F$801, 0)+1)), "")&lt;&gt;"", IFERROR(INDEX(ERP資料!$A:$A, (MATCH(783, 輔助計算!$F$2:$F$801, 0)+1)), "")&lt;&gt;IFERROR(INDEX(ERP資料!$A:$A, MATCH(782, 輔助計算!$F$2:$F$801, 0)+1), "")), IFERROR(INDEX(ERP資料!$A:$A, (MATCH(783, 輔助計算!$F$2:$F$801, 0)+1)), ""), ""), "")</f>
        <v/>
      </c>
      <c r="C784" s="10">
        <f>IFERROR(IF(AND(IFERROR(INDEX(ERP資料!$A:$A, (MATCH(783, 輔助計算!$F$2:$F$801, 0)+1)), "")&lt;&gt;"", IFERROR(INDEX(ERP資料!$A:$A, (MATCH(783, 輔助計算!$F$2:$F$801, 0)+1)), "")&lt;&gt;IFERROR(INDEX(ERP資料!$A:$A, MATCH(782, 輔助計算!$F$2:$F$801, 0)+1), "")), INDEX(ERP資料!$S:$S, (MATCH(783, 輔助計算!$F$2:$F$801, 0)+1)), ""), "")</f>
        <v/>
      </c>
      <c r="D784" s="10">
        <f>IFERROR(IF(INDEX(ERP資料!$E:$E, (MATCH(783, 輔助計算!$F$2:$F$801, 0)+1))="","",TRIM(INDEX(ERP資料!$E:$E, (MATCH(783, 輔助計算!$F$2:$F$801, 0)+1)))), "")</f>
        <v/>
      </c>
      <c r="E784" s="10">
        <f>IFERROR(IF(INDEX(ERP資料!$F:$F, (MATCH(783, 輔助計算!$F$2:$F$801, 0)+1))="","",INDEX(ERP資料!$F:$F, (MATCH(783, 輔助計算!$F$2:$F$801, 0)+1))), "")</f>
        <v/>
      </c>
      <c r="F784" s="10">
        <f>IFERROR(IF(INDEX(ERP資料!$G:$G, (MATCH(783, 輔助計算!$F$2:$F$801, 0)+1))="","",INDEX(ERP資料!$G:$G, (MATCH(783, 輔助計算!$F$2:$F$801, 0)+1))), "")</f>
        <v/>
      </c>
      <c r="G784" s="10">
        <f>IFERROR(IF(INDEX(ERP資料!$H:$H, (MATCH(783, 輔助計算!$F$2:$F$801, 0)+1))="","",INDEX(ERP資料!$H:$H, (MATCH(783, 輔助計算!$F$2:$F$801, 0)+1))), "")</f>
        <v/>
      </c>
      <c r="H784" s="10">
        <f>IFERROR(IF(INDEX(ERP資料!$O:$O, (MATCH(783, 輔助計算!$F$2:$F$801, 0)+1))="","",INDEX(ERP資料!$O:$O, (MATCH(783, 輔助計算!$F$2:$F$801, 0)+1))), "")</f>
        <v/>
      </c>
      <c r="I784" s="15">
        <f>IFERROR(IF(INDEX(輔助計算!$D:$D,(MATCH(783, 輔助計算!$F$2:$F$801, 0)+1))="","",INDEX(輔助計算!$D:$D,(MATCH(783, 輔助計算!$F$2:$F$801, 0)+1))*INDEX(ERP資料!$O:$O,(MATCH(783, 輔助計算!$F$2:$F$801, 0)+1))), "")</f>
        <v/>
      </c>
      <c r="J784" s="16" t="n"/>
      <c r="K784" s="15">
        <f>IFERROR(INDEX(輔助計算!$D:$D, (MATCH(783, 輔助計算!$F$2:$F$801, 0)+1)), "")</f>
        <v/>
      </c>
      <c r="L784" s="16">
        <f>IFERROR(IF(AND(IFERROR(VLOOKUP(LEFT(INDEX(ERP資料!$S:$S, (MATCH(783, 輔助計算!$F$2:$F$801, 0)+1)), 4), 100張客戶!$A:$A, 1, FALSE), "")&lt;&gt;"", OR(INDEX(ERP資料!$F:$F, (MATCH(783, 輔助計算!$F$2:$F$801, 0)+1))=270, INDEX(ERP資料!$F:$F, (MATCH(783, 輔助計算!$F$2:$F$801, 0)+1))=300)), "100張", ""), "")</f>
        <v/>
      </c>
      <c r="M784" s="17" t="n"/>
      <c r="N784" s="17">
        <f>IF($F784="","",$F784)</f>
        <v/>
      </c>
      <c r="O784" s="17">
        <f>IF($G784="","",$G784)</f>
        <v/>
      </c>
      <c r="P784" s="17">
        <f>IF($K784="","",$K784)</f>
        <v/>
      </c>
      <c r="Q784" s="16" t="n"/>
      <c r="R784" s="18" t="n"/>
      <c r="S784" s="16" t="n"/>
    </row>
    <row r="785">
      <c r="A785" s="14">
        <f>IFERROR(IF(AND(IFERROR(INDEX(ERP資料!$A:$A, (MATCH(784, 輔助計算!$F$2:$F$801, 0)+1)), "")&lt;&gt;"", IFERROR(INDEX(ERP資料!$A:$A, (MATCH(784, 輔助計算!$F$2:$F$801, 0)+1)), "")&lt;&gt;IFERROR(INDEX(ERP資料!$A:$A, MATCH(783, 輔助計算!$F$2:$F$801, 0)+1), "")), INDEX(ERP資料!$B:$B, (MATCH(784, 輔助計算!$F$2:$F$801, 0)+1)), ""), "")</f>
        <v/>
      </c>
      <c r="B785" s="10">
        <f>IFERROR(IF(AND(IFERROR(INDEX(ERP資料!$A:$A, (MATCH(784, 輔助計算!$F$2:$F$801, 0)+1)), "")&lt;&gt;"", IFERROR(INDEX(ERP資料!$A:$A, (MATCH(784, 輔助計算!$F$2:$F$801, 0)+1)), "")&lt;&gt;IFERROR(INDEX(ERP資料!$A:$A, MATCH(783, 輔助計算!$F$2:$F$801, 0)+1), "")), IFERROR(INDEX(ERP資料!$A:$A, (MATCH(784, 輔助計算!$F$2:$F$801, 0)+1)), ""), ""), "")</f>
        <v/>
      </c>
      <c r="C785" s="10">
        <f>IFERROR(IF(AND(IFERROR(INDEX(ERP資料!$A:$A, (MATCH(784, 輔助計算!$F$2:$F$801, 0)+1)), "")&lt;&gt;"", IFERROR(INDEX(ERP資料!$A:$A, (MATCH(784, 輔助計算!$F$2:$F$801, 0)+1)), "")&lt;&gt;IFERROR(INDEX(ERP資料!$A:$A, MATCH(783, 輔助計算!$F$2:$F$801, 0)+1), "")), INDEX(ERP資料!$S:$S, (MATCH(784, 輔助計算!$F$2:$F$801, 0)+1)), ""), "")</f>
        <v/>
      </c>
      <c r="D785" s="10">
        <f>IFERROR(IF(INDEX(ERP資料!$E:$E, (MATCH(784, 輔助計算!$F$2:$F$801, 0)+1))="","",TRIM(INDEX(ERP資料!$E:$E, (MATCH(784, 輔助計算!$F$2:$F$801, 0)+1)))), "")</f>
        <v/>
      </c>
      <c r="E785" s="10">
        <f>IFERROR(IF(INDEX(ERP資料!$F:$F, (MATCH(784, 輔助計算!$F$2:$F$801, 0)+1))="","",INDEX(ERP資料!$F:$F, (MATCH(784, 輔助計算!$F$2:$F$801, 0)+1))), "")</f>
        <v/>
      </c>
      <c r="F785" s="10">
        <f>IFERROR(IF(INDEX(ERP資料!$G:$G, (MATCH(784, 輔助計算!$F$2:$F$801, 0)+1))="","",INDEX(ERP資料!$G:$G, (MATCH(784, 輔助計算!$F$2:$F$801, 0)+1))), "")</f>
        <v/>
      </c>
      <c r="G785" s="10">
        <f>IFERROR(IF(INDEX(ERP資料!$H:$H, (MATCH(784, 輔助計算!$F$2:$F$801, 0)+1))="","",INDEX(ERP資料!$H:$H, (MATCH(784, 輔助計算!$F$2:$F$801, 0)+1))), "")</f>
        <v/>
      </c>
      <c r="H785" s="10">
        <f>IFERROR(IF(INDEX(ERP資料!$O:$O, (MATCH(784, 輔助計算!$F$2:$F$801, 0)+1))="","",INDEX(ERP資料!$O:$O, (MATCH(784, 輔助計算!$F$2:$F$801, 0)+1))), "")</f>
        <v/>
      </c>
      <c r="I785" s="15">
        <f>IFERROR(IF(INDEX(輔助計算!$D:$D,(MATCH(784, 輔助計算!$F$2:$F$801, 0)+1))="","",INDEX(輔助計算!$D:$D,(MATCH(784, 輔助計算!$F$2:$F$801, 0)+1))*INDEX(ERP資料!$O:$O,(MATCH(784, 輔助計算!$F$2:$F$801, 0)+1))), "")</f>
        <v/>
      </c>
      <c r="J785" s="16" t="n"/>
      <c r="K785" s="15">
        <f>IFERROR(INDEX(輔助計算!$D:$D, (MATCH(784, 輔助計算!$F$2:$F$801, 0)+1)), "")</f>
        <v/>
      </c>
      <c r="L785" s="16">
        <f>IFERROR(IF(AND(IFERROR(VLOOKUP(LEFT(INDEX(ERP資料!$S:$S, (MATCH(784, 輔助計算!$F$2:$F$801, 0)+1)), 4), 100張客戶!$A:$A, 1, FALSE), "")&lt;&gt;"", OR(INDEX(ERP資料!$F:$F, (MATCH(784, 輔助計算!$F$2:$F$801, 0)+1))=270, INDEX(ERP資料!$F:$F, (MATCH(784, 輔助計算!$F$2:$F$801, 0)+1))=300)), "100張", ""), "")</f>
        <v/>
      </c>
      <c r="M785" s="17" t="n"/>
      <c r="N785" s="17">
        <f>IF($F785="","",$F785)</f>
        <v/>
      </c>
      <c r="O785" s="17">
        <f>IF($G785="","",$G785)</f>
        <v/>
      </c>
      <c r="P785" s="17">
        <f>IF($K785="","",$K785)</f>
        <v/>
      </c>
      <c r="Q785" s="16" t="n"/>
      <c r="R785" s="18" t="n"/>
      <c r="S785" s="16" t="n"/>
    </row>
    <row r="786">
      <c r="A786" s="14">
        <f>IFERROR(IF(AND(IFERROR(INDEX(ERP資料!$A:$A, (MATCH(785, 輔助計算!$F$2:$F$801, 0)+1)), "")&lt;&gt;"", IFERROR(INDEX(ERP資料!$A:$A, (MATCH(785, 輔助計算!$F$2:$F$801, 0)+1)), "")&lt;&gt;IFERROR(INDEX(ERP資料!$A:$A, MATCH(784, 輔助計算!$F$2:$F$801, 0)+1), "")), INDEX(ERP資料!$B:$B, (MATCH(785, 輔助計算!$F$2:$F$801, 0)+1)), ""), "")</f>
        <v/>
      </c>
      <c r="B786" s="10">
        <f>IFERROR(IF(AND(IFERROR(INDEX(ERP資料!$A:$A, (MATCH(785, 輔助計算!$F$2:$F$801, 0)+1)), "")&lt;&gt;"", IFERROR(INDEX(ERP資料!$A:$A, (MATCH(785, 輔助計算!$F$2:$F$801, 0)+1)), "")&lt;&gt;IFERROR(INDEX(ERP資料!$A:$A, MATCH(784, 輔助計算!$F$2:$F$801, 0)+1), "")), IFERROR(INDEX(ERP資料!$A:$A, (MATCH(785, 輔助計算!$F$2:$F$801, 0)+1)), ""), ""), "")</f>
        <v/>
      </c>
      <c r="C786" s="10">
        <f>IFERROR(IF(AND(IFERROR(INDEX(ERP資料!$A:$A, (MATCH(785, 輔助計算!$F$2:$F$801, 0)+1)), "")&lt;&gt;"", IFERROR(INDEX(ERP資料!$A:$A, (MATCH(785, 輔助計算!$F$2:$F$801, 0)+1)), "")&lt;&gt;IFERROR(INDEX(ERP資料!$A:$A, MATCH(784, 輔助計算!$F$2:$F$801, 0)+1), "")), INDEX(ERP資料!$S:$S, (MATCH(785, 輔助計算!$F$2:$F$801, 0)+1)), ""), "")</f>
        <v/>
      </c>
      <c r="D786" s="10">
        <f>IFERROR(IF(INDEX(ERP資料!$E:$E, (MATCH(785, 輔助計算!$F$2:$F$801, 0)+1))="","",TRIM(INDEX(ERP資料!$E:$E, (MATCH(785, 輔助計算!$F$2:$F$801, 0)+1)))), "")</f>
        <v/>
      </c>
      <c r="E786" s="10">
        <f>IFERROR(IF(INDEX(ERP資料!$F:$F, (MATCH(785, 輔助計算!$F$2:$F$801, 0)+1))="","",INDEX(ERP資料!$F:$F, (MATCH(785, 輔助計算!$F$2:$F$801, 0)+1))), "")</f>
        <v/>
      </c>
      <c r="F786" s="10">
        <f>IFERROR(IF(INDEX(ERP資料!$G:$G, (MATCH(785, 輔助計算!$F$2:$F$801, 0)+1))="","",INDEX(ERP資料!$G:$G, (MATCH(785, 輔助計算!$F$2:$F$801, 0)+1))), "")</f>
        <v/>
      </c>
      <c r="G786" s="10">
        <f>IFERROR(IF(INDEX(ERP資料!$H:$H, (MATCH(785, 輔助計算!$F$2:$F$801, 0)+1))="","",INDEX(ERP資料!$H:$H, (MATCH(785, 輔助計算!$F$2:$F$801, 0)+1))), "")</f>
        <v/>
      </c>
      <c r="H786" s="10">
        <f>IFERROR(IF(INDEX(ERP資料!$O:$O, (MATCH(785, 輔助計算!$F$2:$F$801, 0)+1))="","",INDEX(ERP資料!$O:$O, (MATCH(785, 輔助計算!$F$2:$F$801, 0)+1))), "")</f>
        <v/>
      </c>
      <c r="I786" s="15">
        <f>IFERROR(IF(INDEX(輔助計算!$D:$D,(MATCH(785, 輔助計算!$F$2:$F$801, 0)+1))="","",INDEX(輔助計算!$D:$D,(MATCH(785, 輔助計算!$F$2:$F$801, 0)+1))*INDEX(ERP資料!$O:$O,(MATCH(785, 輔助計算!$F$2:$F$801, 0)+1))), "")</f>
        <v/>
      </c>
      <c r="J786" s="16" t="n"/>
      <c r="K786" s="15">
        <f>IFERROR(INDEX(輔助計算!$D:$D, (MATCH(785, 輔助計算!$F$2:$F$801, 0)+1)), "")</f>
        <v/>
      </c>
      <c r="L786" s="16">
        <f>IFERROR(IF(AND(IFERROR(VLOOKUP(LEFT(INDEX(ERP資料!$S:$S, (MATCH(785, 輔助計算!$F$2:$F$801, 0)+1)), 4), 100張客戶!$A:$A, 1, FALSE), "")&lt;&gt;"", OR(INDEX(ERP資料!$F:$F, (MATCH(785, 輔助計算!$F$2:$F$801, 0)+1))=270, INDEX(ERP資料!$F:$F, (MATCH(785, 輔助計算!$F$2:$F$801, 0)+1))=300)), "100張", ""), "")</f>
        <v/>
      </c>
      <c r="M786" s="17" t="n"/>
      <c r="N786" s="17">
        <f>IF($F786="","",$F786)</f>
        <v/>
      </c>
      <c r="O786" s="17">
        <f>IF($G786="","",$G786)</f>
        <v/>
      </c>
      <c r="P786" s="17">
        <f>IF($K786="","",$K786)</f>
        <v/>
      </c>
      <c r="Q786" s="16" t="n"/>
      <c r="R786" s="18" t="n"/>
      <c r="S786" s="16" t="n"/>
    </row>
    <row r="787">
      <c r="A787" s="14">
        <f>IFERROR(IF(AND(IFERROR(INDEX(ERP資料!$A:$A, (MATCH(786, 輔助計算!$F$2:$F$801, 0)+1)), "")&lt;&gt;"", IFERROR(INDEX(ERP資料!$A:$A, (MATCH(786, 輔助計算!$F$2:$F$801, 0)+1)), "")&lt;&gt;IFERROR(INDEX(ERP資料!$A:$A, MATCH(785, 輔助計算!$F$2:$F$801, 0)+1), "")), INDEX(ERP資料!$B:$B, (MATCH(786, 輔助計算!$F$2:$F$801, 0)+1)), ""), "")</f>
        <v/>
      </c>
      <c r="B787" s="10">
        <f>IFERROR(IF(AND(IFERROR(INDEX(ERP資料!$A:$A, (MATCH(786, 輔助計算!$F$2:$F$801, 0)+1)), "")&lt;&gt;"", IFERROR(INDEX(ERP資料!$A:$A, (MATCH(786, 輔助計算!$F$2:$F$801, 0)+1)), "")&lt;&gt;IFERROR(INDEX(ERP資料!$A:$A, MATCH(785, 輔助計算!$F$2:$F$801, 0)+1), "")), IFERROR(INDEX(ERP資料!$A:$A, (MATCH(786, 輔助計算!$F$2:$F$801, 0)+1)), ""), ""), "")</f>
        <v/>
      </c>
      <c r="C787" s="10">
        <f>IFERROR(IF(AND(IFERROR(INDEX(ERP資料!$A:$A, (MATCH(786, 輔助計算!$F$2:$F$801, 0)+1)), "")&lt;&gt;"", IFERROR(INDEX(ERP資料!$A:$A, (MATCH(786, 輔助計算!$F$2:$F$801, 0)+1)), "")&lt;&gt;IFERROR(INDEX(ERP資料!$A:$A, MATCH(785, 輔助計算!$F$2:$F$801, 0)+1), "")), INDEX(ERP資料!$S:$S, (MATCH(786, 輔助計算!$F$2:$F$801, 0)+1)), ""), "")</f>
        <v/>
      </c>
      <c r="D787" s="10">
        <f>IFERROR(IF(INDEX(ERP資料!$E:$E, (MATCH(786, 輔助計算!$F$2:$F$801, 0)+1))="","",TRIM(INDEX(ERP資料!$E:$E, (MATCH(786, 輔助計算!$F$2:$F$801, 0)+1)))), "")</f>
        <v/>
      </c>
      <c r="E787" s="10">
        <f>IFERROR(IF(INDEX(ERP資料!$F:$F, (MATCH(786, 輔助計算!$F$2:$F$801, 0)+1))="","",INDEX(ERP資料!$F:$F, (MATCH(786, 輔助計算!$F$2:$F$801, 0)+1))), "")</f>
        <v/>
      </c>
      <c r="F787" s="10">
        <f>IFERROR(IF(INDEX(ERP資料!$G:$G, (MATCH(786, 輔助計算!$F$2:$F$801, 0)+1))="","",INDEX(ERP資料!$G:$G, (MATCH(786, 輔助計算!$F$2:$F$801, 0)+1))), "")</f>
        <v/>
      </c>
      <c r="G787" s="10">
        <f>IFERROR(IF(INDEX(ERP資料!$H:$H, (MATCH(786, 輔助計算!$F$2:$F$801, 0)+1))="","",INDEX(ERP資料!$H:$H, (MATCH(786, 輔助計算!$F$2:$F$801, 0)+1))), "")</f>
        <v/>
      </c>
      <c r="H787" s="10">
        <f>IFERROR(IF(INDEX(ERP資料!$O:$O, (MATCH(786, 輔助計算!$F$2:$F$801, 0)+1))="","",INDEX(ERP資料!$O:$O, (MATCH(786, 輔助計算!$F$2:$F$801, 0)+1))), "")</f>
        <v/>
      </c>
      <c r="I787" s="15">
        <f>IFERROR(IF(INDEX(輔助計算!$D:$D,(MATCH(786, 輔助計算!$F$2:$F$801, 0)+1))="","",INDEX(輔助計算!$D:$D,(MATCH(786, 輔助計算!$F$2:$F$801, 0)+1))*INDEX(ERP資料!$O:$O,(MATCH(786, 輔助計算!$F$2:$F$801, 0)+1))), "")</f>
        <v/>
      </c>
      <c r="J787" s="16" t="n"/>
      <c r="K787" s="15">
        <f>IFERROR(INDEX(輔助計算!$D:$D, (MATCH(786, 輔助計算!$F$2:$F$801, 0)+1)), "")</f>
        <v/>
      </c>
      <c r="L787" s="16">
        <f>IFERROR(IF(AND(IFERROR(VLOOKUP(LEFT(INDEX(ERP資料!$S:$S, (MATCH(786, 輔助計算!$F$2:$F$801, 0)+1)), 4), 100張客戶!$A:$A, 1, FALSE), "")&lt;&gt;"", OR(INDEX(ERP資料!$F:$F, (MATCH(786, 輔助計算!$F$2:$F$801, 0)+1))=270, INDEX(ERP資料!$F:$F, (MATCH(786, 輔助計算!$F$2:$F$801, 0)+1))=300)), "100張", ""), "")</f>
        <v/>
      </c>
      <c r="M787" s="17" t="n"/>
      <c r="N787" s="17">
        <f>IF($F787="","",$F787)</f>
        <v/>
      </c>
      <c r="O787" s="17">
        <f>IF($G787="","",$G787)</f>
        <v/>
      </c>
      <c r="P787" s="17">
        <f>IF($K787="","",$K787)</f>
        <v/>
      </c>
      <c r="Q787" s="16" t="n"/>
      <c r="R787" s="18" t="n"/>
      <c r="S787" s="16" t="n"/>
    </row>
    <row r="788">
      <c r="A788" s="14">
        <f>IFERROR(IF(AND(IFERROR(INDEX(ERP資料!$A:$A, (MATCH(787, 輔助計算!$F$2:$F$801, 0)+1)), "")&lt;&gt;"", IFERROR(INDEX(ERP資料!$A:$A, (MATCH(787, 輔助計算!$F$2:$F$801, 0)+1)), "")&lt;&gt;IFERROR(INDEX(ERP資料!$A:$A, MATCH(786, 輔助計算!$F$2:$F$801, 0)+1), "")), INDEX(ERP資料!$B:$B, (MATCH(787, 輔助計算!$F$2:$F$801, 0)+1)), ""), "")</f>
        <v/>
      </c>
      <c r="B788" s="10">
        <f>IFERROR(IF(AND(IFERROR(INDEX(ERP資料!$A:$A, (MATCH(787, 輔助計算!$F$2:$F$801, 0)+1)), "")&lt;&gt;"", IFERROR(INDEX(ERP資料!$A:$A, (MATCH(787, 輔助計算!$F$2:$F$801, 0)+1)), "")&lt;&gt;IFERROR(INDEX(ERP資料!$A:$A, MATCH(786, 輔助計算!$F$2:$F$801, 0)+1), "")), IFERROR(INDEX(ERP資料!$A:$A, (MATCH(787, 輔助計算!$F$2:$F$801, 0)+1)), ""), ""), "")</f>
        <v/>
      </c>
      <c r="C788" s="10">
        <f>IFERROR(IF(AND(IFERROR(INDEX(ERP資料!$A:$A, (MATCH(787, 輔助計算!$F$2:$F$801, 0)+1)), "")&lt;&gt;"", IFERROR(INDEX(ERP資料!$A:$A, (MATCH(787, 輔助計算!$F$2:$F$801, 0)+1)), "")&lt;&gt;IFERROR(INDEX(ERP資料!$A:$A, MATCH(786, 輔助計算!$F$2:$F$801, 0)+1), "")), INDEX(ERP資料!$S:$S, (MATCH(787, 輔助計算!$F$2:$F$801, 0)+1)), ""), "")</f>
        <v/>
      </c>
      <c r="D788" s="10">
        <f>IFERROR(IF(INDEX(ERP資料!$E:$E, (MATCH(787, 輔助計算!$F$2:$F$801, 0)+1))="","",TRIM(INDEX(ERP資料!$E:$E, (MATCH(787, 輔助計算!$F$2:$F$801, 0)+1)))), "")</f>
        <v/>
      </c>
      <c r="E788" s="10">
        <f>IFERROR(IF(INDEX(ERP資料!$F:$F, (MATCH(787, 輔助計算!$F$2:$F$801, 0)+1))="","",INDEX(ERP資料!$F:$F, (MATCH(787, 輔助計算!$F$2:$F$801, 0)+1))), "")</f>
        <v/>
      </c>
      <c r="F788" s="10">
        <f>IFERROR(IF(INDEX(ERP資料!$G:$G, (MATCH(787, 輔助計算!$F$2:$F$801, 0)+1))="","",INDEX(ERP資料!$G:$G, (MATCH(787, 輔助計算!$F$2:$F$801, 0)+1))), "")</f>
        <v/>
      </c>
      <c r="G788" s="10">
        <f>IFERROR(IF(INDEX(ERP資料!$H:$H, (MATCH(787, 輔助計算!$F$2:$F$801, 0)+1))="","",INDEX(ERP資料!$H:$H, (MATCH(787, 輔助計算!$F$2:$F$801, 0)+1))), "")</f>
        <v/>
      </c>
      <c r="H788" s="10">
        <f>IFERROR(IF(INDEX(ERP資料!$O:$O, (MATCH(787, 輔助計算!$F$2:$F$801, 0)+1))="","",INDEX(ERP資料!$O:$O, (MATCH(787, 輔助計算!$F$2:$F$801, 0)+1))), "")</f>
        <v/>
      </c>
      <c r="I788" s="15">
        <f>IFERROR(IF(INDEX(輔助計算!$D:$D,(MATCH(787, 輔助計算!$F$2:$F$801, 0)+1))="","",INDEX(輔助計算!$D:$D,(MATCH(787, 輔助計算!$F$2:$F$801, 0)+1))*INDEX(ERP資料!$O:$O,(MATCH(787, 輔助計算!$F$2:$F$801, 0)+1))), "")</f>
        <v/>
      </c>
      <c r="J788" s="16" t="n"/>
      <c r="K788" s="15">
        <f>IFERROR(INDEX(輔助計算!$D:$D, (MATCH(787, 輔助計算!$F$2:$F$801, 0)+1)), "")</f>
        <v/>
      </c>
      <c r="L788" s="16">
        <f>IFERROR(IF(AND(IFERROR(VLOOKUP(LEFT(INDEX(ERP資料!$S:$S, (MATCH(787, 輔助計算!$F$2:$F$801, 0)+1)), 4), 100張客戶!$A:$A, 1, FALSE), "")&lt;&gt;"", OR(INDEX(ERP資料!$F:$F, (MATCH(787, 輔助計算!$F$2:$F$801, 0)+1))=270, INDEX(ERP資料!$F:$F, (MATCH(787, 輔助計算!$F$2:$F$801, 0)+1))=300)), "100張", ""), "")</f>
        <v/>
      </c>
      <c r="M788" s="17" t="n"/>
      <c r="N788" s="17">
        <f>IF($F788="","",$F788)</f>
        <v/>
      </c>
      <c r="O788" s="17">
        <f>IF($G788="","",$G788)</f>
        <v/>
      </c>
      <c r="P788" s="17">
        <f>IF($K788="","",$K788)</f>
        <v/>
      </c>
      <c r="Q788" s="16" t="n"/>
      <c r="R788" s="18" t="n"/>
      <c r="S788" s="16" t="n"/>
    </row>
    <row r="789">
      <c r="A789" s="14">
        <f>IFERROR(IF(AND(IFERROR(INDEX(ERP資料!$A:$A, (MATCH(788, 輔助計算!$F$2:$F$801, 0)+1)), "")&lt;&gt;"", IFERROR(INDEX(ERP資料!$A:$A, (MATCH(788, 輔助計算!$F$2:$F$801, 0)+1)), "")&lt;&gt;IFERROR(INDEX(ERP資料!$A:$A, MATCH(787, 輔助計算!$F$2:$F$801, 0)+1), "")), INDEX(ERP資料!$B:$B, (MATCH(788, 輔助計算!$F$2:$F$801, 0)+1)), ""), "")</f>
        <v/>
      </c>
      <c r="B789" s="10">
        <f>IFERROR(IF(AND(IFERROR(INDEX(ERP資料!$A:$A, (MATCH(788, 輔助計算!$F$2:$F$801, 0)+1)), "")&lt;&gt;"", IFERROR(INDEX(ERP資料!$A:$A, (MATCH(788, 輔助計算!$F$2:$F$801, 0)+1)), "")&lt;&gt;IFERROR(INDEX(ERP資料!$A:$A, MATCH(787, 輔助計算!$F$2:$F$801, 0)+1), "")), IFERROR(INDEX(ERP資料!$A:$A, (MATCH(788, 輔助計算!$F$2:$F$801, 0)+1)), ""), ""), "")</f>
        <v/>
      </c>
      <c r="C789" s="10">
        <f>IFERROR(IF(AND(IFERROR(INDEX(ERP資料!$A:$A, (MATCH(788, 輔助計算!$F$2:$F$801, 0)+1)), "")&lt;&gt;"", IFERROR(INDEX(ERP資料!$A:$A, (MATCH(788, 輔助計算!$F$2:$F$801, 0)+1)), "")&lt;&gt;IFERROR(INDEX(ERP資料!$A:$A, MATCH(787, 輔助計算!$F$2:$F$801, 0)+1), "")), INDEX(ERP資料!$S:$S, (MATCH(788, 輔助計算!$F$2:$F$801, 0)+1)), ""), "")</f>
        <v/>
      </c>
      <c r="D789" s="10">
        <f>IFERROR(IF(INDEX(ERP資料!$E:$E, (MATCH(788, 輔助計算!$F$2:$F$801, 0)+1))="","",TRIM(INDEX(ERP資料!$E:$E, (MATCH(788, 輔助計算!$F$2:$F$801, 0)+1)))), "")</f>
        <v/>
      </c>
      <c r="E789" s="10">
        <f>IFERROR(IF(INDEX(ERP資料!$F:$F, (MATCH(788, 輔助計算!$F$2:$F$801, 0)+1))="","",INDEX(ERP資料!$F:$F, (MATCH(788, 輔助計算!$F$2:$F$801, 0)+1))), "")</f>
        <v/>
      </c>
      <c r="F789" s="10">
        <f>IFERROR(IF(INDEX(ERP資料!$G:$G, (MATCH(788, 輔助計算!$F$2:$F$801, 0)+1))="","",INDEX(ERP資料!$G:$G, (MATCH(788, 輔助計算!$F$2:$F$801, 0)+1))), "")</f>
        <v/>
      </c>
      <c r="G789" s="10">
        <f>IFERROR(IF(INDEX(ERP資料!$H:$H, (MATCH(788, 輔助計算!$F$2:$F$801, 0)+1))="","",INDEX(ERP資料!$H:$H, (MATCH(788, 輔助計算!$F$2:$F$801, 0)+1))), "")</f>
        <v/>
      </c>
      <c r="H789" s="10">
        <f>IFERROR(IF(INDEX(ERP資料!$O:$O, (MATCH(788, 輔助計算!$F$2:$F$801, 0)+1))="","",INDEX(ERP資料!$O:$O, (MATCH(788, 輔助計算!$F$2:$F$801, 0)+1))), "")</f>
        <v/>
      </c>
      <c r="I789" s="15">
        <f>IFERROR(IF(INDEX(輔助計算!$D:$D,(MATCH(788, 輔助計算!$F$2:$F$801, 0)+1))="","",INDEX(輔助計算!$D:$D,(MATCH(788, 輔助計算!$F$2:$F$801, 0)+1))*INDEX(ERP資料!$O:$O,(MATCH(788, 輔助計算!$F$2:$F$801, 0)+1))), "")</f>
        <v/>
      </c>
      <c r="J789" s="16" t="n"/>
      <c r="K789" s="15">
        <f>IFERROR(INDEX(輔助計算!$D:$D, (MATCH(788, 輔助計算!$F$2:$F$801, 0)+1)), "")</f>
        <v/>
      </c>
      <c r="L789" s="16">
        <f>IFERROR(IF(AND(IFERROR(VLOOKUP(LEFT(INDEX(ERP資料!$S:$S, (MATCH(788, 輔助計算!$F$2:$F$801, 0)+1)), 4), 100張客戶!$A:$A, 1, FALSE), "")&lt;&gt;"", OR(INDEX(ERP資料!$F:$F, (MATCH(788, 輔助計算!$F$2:$F$801, 0)+1))=270, INDEX(ERP資料!$F:$F, (MATCH(788, 輔助計算!$F$2:$F$801, 0)+1))=300)), "100張", ""), "")</f>
        <v/>
      </c>
      <c r="M789" s="17" t="n"/>
      <c r="N789" s="17">
        <f>IF($F789="","",$F789)</f>
        <v/>
      </c>
      <c r="O789" s="17">
        <f>IF($G789="","",$G789)</f>
        <v/>
      </c>
      <c r="P789" s="17">
        <f>IF($K789="","",$K789)</f>
        <v/>
      </c>
      <c r="Q789" s="16" t="n"/>
      <c r="R789" s="18" t="n"/>
      <c r="S789" s="16" t="n"/>
    </row>
    <row r="790">
      <c r="A790" s="14">
        <f>IFERROR(IF(AND(IFERROR(INDEX(ERP資料!$A:$A, (MATCH(789, 輔助計算!$F$2:$F$801, 0)+1)), "")&lt;&gt;"", IFERROR(INDEX(ERP資料!$A:$A, (MATCH(789, 輔助計算!$F$2:$F$801, 0)+1)), "")&lt;&gt;IFERROR(INDEX(ERP資料!$A:$A, MATCH(788, 輔助計算!$F$2:$F$801, 0)+1), "")), INDEX(ERP資料!$B:$B, (MATCH(789, 輔助計算!$F$2:$F$801, 0)+1)), ""), "")</f>
        <v/>
      </c>
      <c r="B790" s="10">
        <f>IFERROR(IF(AND(IFERROR(INDEX(ERP資料!$A:$A, (MATCH(789, 輔助計算!$F$2:$F$801, 0)+1)), "")&lt;&gt;"", IFERROR(INDEX(ERP資料!$A:$A, (MATCH(789, 輔助計算!$F$2:$F$801, 0)+1)), "")&lt;&gt;IFERROR(INDEX(ERP資料!$A:$A, MATCH(788, 輔助計算!$F$2:$F$801, 0)+1), "")), IFERROR(INDEX(ERP資料!$A:$A, (MATCH(789, 輔助計算!$F$2:$F$801, 0)+1)), ""), ""), "")</f>
        <v/>
      </c>
      <c r="C790" s="10">
        <f>IFERROR(IF(AND(IFERROR(INDEX(ERP資料!$A:$A, (MATCH(789, 輔助計算!$F$2:$F$801, 0)+1)), "")&lt;&gt;"", IFERROR(INDEX(ERP資料!$A:$A, (MATCH(789, 輔助計算!$F$2:$F$801, 0)+1)), "")&lt;&gt;IFERROR(INDEX(ERP資料!$A:$A, MATCH(788, 輔助計算!$F$2:$F$801, 0)+1), "")), INDEX(ERP資料!$S:$S, (MATCH(789, 輔助計算!$F$2:$F$801, 0)+1)), ""), "")</f>
        <v/>
      </c>
      <c r="D790" s="10">
        <f>IFERROR(IF(INDEX(ERP資料!$E:$E, (MATCH(789, 輔助計算!$F$2:$F$801, 0)+1))="","",TRIM(INDEX(ERP資料!$E:$E, (MATCH(789, 輔助計算!$F$2:$F$801, 0)+1)))), "")</f>
        <v/>
      </c>
      <c r="E790" s="10">
        <f>IFERROR(IF(INDEX(ERP資料!$F:$F, (MATCH(789, 輔助計算!$F$2:$F$801, 0)+1))="","",INDEX(ERP資料!$F:$F, (MATCH(789, 輔助計算!$F$2:$F$801, 0)+1))), "")</f>
        <v/>
      </c>
      <c r="F790" s="10">
        <f>IFERROR(IF(INDEX(ERP資料!$G:$G, (MATCH(789, 輔助計算!$F$2:$F$801, 0)+1))="","",INDEX(ERP資料!$G:$G, (MATCH(789, 輔助計算!$F$2:$F$801, 0)+1))), "")</f>
        <v/>
      </c>
      <c r="G790" s="10">
        <f>IFERROR(IF(INDEX(ERP資料!$H:$H, (MATCH(789, 輔助計算!$F$2:$F$801, 0)+1))="","",INDEX(ERP資料!$H:$H, (MATCH(789, 輔助計算!$F$2:$F$801, 0)+1))), "")</f>
        <v/>
      </c>
      <c r="H790" s="10">
        <f>IFERROR(IF(INDEX(ERP資料!$O:$O, (MATCH(789, 輔助計算!$F$2:$F$801, 0)+1))="","",INDEX(ERP資料!$O:$O, (MATCH(789, 輔助計算!$F$2:$F$801, 0)+1))), "")</f>
        <v/>
      </c>
      <c r="I790" s="15">
        <f>IFERROR(IF(INDEX(輔助計算!$D:$D,(MATCH(789, 輔助計算!$F$2:$F$801, 0)+1))="","",INDEX(輔助計算!$D:$D,(MATCH(789, 輔助計算!$F$2:$F$801, 0)+1))*INDEX(ERP資料!$O:$O,(MATCH(789, 輔助計算!$F$2:$F$801, 0)+1))), "")</f>
        <v/>
      </c>
      <c r="J790" s="16" t="n"/>
      <c r="K790" s="15">
        <f>IFERROR(INDEX(輔助計算!$D:$D, (MATCH(789, 輔助計算!$F$2:$F$801, 0)+1)), "")</f>
        <v/>
      </c>
      <c r="L790" s="16">
        <f>IFERROR(IF(AND(IFERROR(VLOOKUP(LEFT(INDEX(ERP資料!$S:$S, (MATCH(789, 輔助計算!$F$2:$F$801, 0)+1)), 4), 100張客戶!$A:$A, 1, FALSE), "")&lt;&gt;"", OR(INDEX(ERP資料!$F:$F, (MATCH(789, 輔助計算!$F$2:$F$801, 0)+1))=270, INDEX(ERP資料!$F:$F, (MATCH(789, 輔助計算!$F$2:$F$801, 0)+1))=300)), "100張", ""), "")</f>
        <v/>
      </c>
      <c r="M790" s="17" t="n"/>
      <c r="N790" s="17">
        <f>IF($F790="","",$F790)</f>
        <v/>
      </c>
      <c r="O790" s="17">
        <f>IF($G790="","",$G790)</f>
        <v/>
      </c>
      <c r="P790" s="17">
        <f>IF($K790="","",$K790)</f>
        <v/>
      </c>
      <c r="Q790" s="16" t="n"/>
      <c r="R790" s="18" t="n"/>
      <c r="S790" s="16" t="n"/>
    </row>
    <row r="791">
      <c r="A791" s="14">
        <f>IFERROR(IF(AND(IFERROR(INDEX(ERP資料!$A:$A, (MATCH(790, 輔助計算!$F$2:$F$801, 0)+1)), "")&lt;&gt;"", IFERROR(INDEX(ERP資料!$A:$A, (MATCH(790, 輔助計算!$F$2:$F$801, 0)+1)), "")&lt;&gt;IFERROR(INDEX(ERP資料!$A:$A, MATCH(789, 輔助計算!$F$2:$F$801, 0)+1), "")), INDEX(ERP資料!$B:$B, (MATCH(790, 輔助計算!$F$2:$F$801, 0)+1)), ""), "")</f>
        <v/>
      </c>
      <c r="B791" s="10">
        <f>IFERROR(IF(AND(IFERROR(INDEX(ERP資料!$A:$A, (MATCH(790, 輔助計算!$F$2:$F$801, 0)+1)), "")&lt;&gt;"", IFERROR(INDEX(ERP資料!$A:$A, (MATCH(790, 輔助計算!$F$2:$F$801, 0)+1)), "")&lt;&gt;IFERROR(INDEX(ERP資料!$A:$A, MATCH(789, 輔助計算!$F$2:$F$801, 0)+1), "")), IFERROR(INDEX(ERP資料!$A:$A, (MATCH(790, 輔助計算!$F$2:$F$801, 0)+1)), ""), ""), "")</f>
        <v/>
      </c>
      <c r="C791" s="10">
        <f>IFERROR(IF(AND(IFERROR(INDEX(ERP資料!$A:$A, (MATCH(790, 輔助計算!$F$2:$F$801, 0)+1)), "")&lt;&gt;"", IFERROR(INDEX(ERP資料!$A:$A, (MATCH(790, 輔助計算!$F$2:$F$801, 0)+1)), "")&lt;&gt;IFERROR(INDEX(ERP資料!$A:$A, MATCH(789, 輔助計算!$F$2:$F$801, 0)+1), "")), INDEX(ERP資料!$S:$S, (MATCH(790, 輔助計算!$F$2:$F$801, 0)+1)), ""), "")</f>
        <v/>
      </c>
      <c r="D791" s="10">
        <f>IFERROR(IF(INDEX(ERP資料!$E:$E, (MATCH(790, 輔助計算!$F$2:$F$801, 0)+1))="","",TRIM(INDEX(ERP資料!$E:$E, (MATCH(790, 輔助計算!$F$2:$F$801, 0)+1)))), "")</f>
        <v/>
      </c>
      <c r="E791" s="10">
        <f>IFERROR(IF(INDEX(ERP資料!$F:$F, (MATCH(790, 輔助計算!$F$2:$F$801, 0)+1))="","",INDEX(ERP資料!$F:$F, (MATCH(790, 輔助計算!$F$2:$F$801, 0)+1))), "")</f>
        <v/>
      </c>
      <c r="F791" s="10">
        <f>IFERROR(IF(INDEX(ERP資料!$G:$G, (MATCH(790, 輔助計算!$F$2:$F$801, 0)+1))="","",INDEX(ERP資料!$G:$G, (MATCH(790, 輔助計算!$F$2:$F$801, 0)+1))), "")</f>
        <v/>
      </c>
      <c r="G791" s="10">
        <f>IFERROR(IF(INDEX(ERP資料!$H:$H, (MATCH(790, 輔助計算!$F$2:$F$801, 0)+1))="","",INDEX(ERP資料!$H:$H, (MATCH(790, 輔助計算!$F$2:$F$801, 0)+1))), "")</f>
        <v/>
      </c>
      <c r="H791" s="10">
        <f>IFERROR(IF(INDEX(ERP資料!$O:$O, (MATCH(790, 輔助計算!$F$2:$F$801, 0)+1))="","",INDEX(ERP資料!$O:$O, (MATCH(790, 輔助計算!$F$2:$F$801, 0)+1))), "")</f>
        <v/>
      </c>
      <c r="I791" s="15">
        <f>IFERROR(IF(INDEX(輔助計算!$D:$D,(MATCH(790, 輔助計算!$F$2:$F$801, 0)+1))="","",INDEX(輔助計算!$D:$D,(MATCH(790, 輔助計算!$F$2:$F$801, 0)+1))*INDEX(ERP資料!$O:$O,(MATCH(790, 輔助計算!$F$2:$F$801, 0)+1))), "")</f>
        <v/>
      </c>
      <c r="J791" s="16" t="n"/>
      <c r="K791" s="15">
        <f>IFERROR(INDEX(輔助計算!$D:$D, (MATCH(790, 輔助計算!$F$2:$F$801, 0)+1)), "")</f>
        <v/>
      </c>
      <c r="L791" s="16">
        <f>IFERROR(IF(AND(IFERROR(VLOOKUP(LEFT(INDEX(ERP資料!$S:$S, (MATCH(790, 輔助計算!$F$2:$F$801, 0)+1)), 4), 100張客戶!$A:$A, 1, FALSE), "")&lt;&gt;"", OR(INDEX(ERP資料!$F:$F, (MATCH(790, 輔助計算!$F$2:$F$801, 0)+1))=270, INDEX(ERP資料!$F:$F, (MATCH(790, 輔助計算!$F$2:$F$801, 0)+1))=300)), "100張", ""), "")</f>
        <v/>
      </c>
      <c r="M791" s="17" t="n"/>
      <c r="N791" s="17">
        <f>IF($F791="","",$F791)</f>
        <v/>
      </c>
      <c r="O791" s="17">
        <f>IF($G791="","",$G791)</f>
        <v/>
      </c>
      <c r="P791" s="17">
        <f>IF($K791="","",$K791)</f>
        <v/>
      </c>
      <c r="Q791" s="16" t="n"/>
      <c r="R791" s="18" t="n"/>
      <c r="S791" s="16" t="n"/>
    </row>
    <row r="792">
      <c r="A792" s="14">
        <f>IFERROR(IF(AND(IFERROR(INDEX(ERP資料!$A:$A, (MATCH(791, 輔助計算!$F$2:$F$801, 0)+1)), "")&lt;&gt;"", IFERROR(INDEX(ERP資料!$A:$A, (MATCH(791, 輔助計算!$F$2:$F$801, 0)+1)), "")&lt;&gt;IFERROR(INDEX(ERP資料!$A:$A, MATCH(790, 輔助計算!$F$2:$F$801, 0)+1), "")), INDEX(ERP資料!$B:$B, (MATCH(791, 輔助計算!$F$2:$F$801, 0)+1)), ""), "")</f>
        <v/>
      </c>
      <c r="B792" s="10">
        <f>IFERROR(IF(AND(IFERROR(INDEX(ERP資料!$A:$A, (MATCH(791, 輔助計算!$F$2:$F$801, 0)+1)), "")&lt;&gt;"", IFERROR(INDEX(ERP資料!$A:$A, (MATCH(791, 輔助計算!$F$2:$F$801, 0)+1)), "")&lt;&gt;IFERROR(INDEX(ERP資料!$A:$A, MATCH(790, 輔助計算!$F$2:$F$801, 0)+1), "")), IFERROR(INDEX(ERP資料!$A:$A, (MATCH(791, 輔助計算!$F$2:$F$801, 0)+1)), ""), ""), "")</f>
        <v/>
      </c>
      <c r="C792" s="10">
        <f>IFERROR(IF(AND(IFERROR(INDEX(ERP資料!$A:$A, (MATCH(791, 輔助計算!$F$2:$F$801, 0)+1)), "")&lt;&gt;"", IFERROR(INDEX(ERP資料!$A:$A, (MATCH(791, 輔助計算!$F$2:$F$801, 0)+1)), "")&lt;&gt;IFERROR(INDEX(ERP資料!$A:$A, MATCH(790, 輔助計算!$F$2:$F$801, 0)+1), "")), INDEX(ERP資料!$S:$S, (MATCH(791, 輔助計算!$F$2:$F$801, 0)+1)), ""), "")</f>
        <v/>
      </c>
      <c r="D792" s="10">
        <f>IFERROR(IF(INDEX(ERP資料!$E:$E, (MATCH(791, 輔助計算!$F$2:$F$801, 0)+1))="","",TRIM(INDEX(ERP資料!$E:$E, (MATCH(791, 輔助計算!$F$2:$F$801, 0)+1)))), "")</f>
        <v/>
      </c>
      <c r="E792" s="10">
        <f>IFERROR(IF(INDEX(ERP資料!$F:$F, (MATCH(791, 輔助計算!$F$2:$F$801, 0)+1))="","",INDEX(ERP資料!$F:$F, (MATCH(791, 輔助計算!$F$2:$F$801, 0)+1))), "")</f>
        <v/>
      </c>
      <c r="F792" s="10">
        <f>IFERROR(IF(INDEX(ERP資料!$G:$G, (MATCH(791, 輔助計算!$F$2:$F$801, 0)+1))="","",INDEX(ERP資料!$G:$G, (MATCH(791, 輔助計算!$F$2:$F$801, 0)+1))), "")</f>
        <v/>
      </c>
      <c r="G792" s="10">
        <f>IFERROR(IF(INDEX(ERP資料!$H:$H, (MATCH(791, 輔助計算!$F$2:$F$801, 0)+1))="","",INDEX(ERP資料!$H:$H, (MATCH(791, 輔助計算!$F$2:$F$801, 0)+1))), "")</f>
        <v/>
      </c>
      <c r="H792" s="10">
        <f>IFERROR(IF(INDEX(ERP資料!$O:$O, (MATCH(791, 輔助計算!$F$2:$F$801, 0)+1))="","",INDEX(ERP資料!$O:$O, (MATCH(791, 輔助計算!$F$2:$F$801, 0)+1))), "")</f>
        <v/>
      </c>
      <c r="I792" s="15">
        <f>IFERROR(IF(INDEX(輔助計算!$D:$D,(MATCH(791, 輔助計算!$F$2:$F$801, 0)+1))="","",INDEX(輔助計算!$D:$D,(MATCH(791, 輔助計算!$F$2:$F$801, 0)+1))*INDEX(ERP資料!$O:$O,(MATCH(791, 輔助計算!$F$2:$F$801, 0)+1))), "")</f>
        <v/>
      </c>
      <c r="J792" s="16" t="n"/>
      <c r="K792" s="15">
        <f>IFERROR(INDEX(輔助計算!$D:$D, (MATCH(791, 輔助計算!$F$2:$F$801, 0)+1)), "")</f>
        <v/>
      </c>
      <c r="L792" s="16">
        <f>IFERROR(IF(AND(IFERROR(VLOOKUP(LEFT(INDEX(ERP資料!$S:$S, (MATCH(791, 輔助計算!$F$2:$F$801, 0)+1)), 4), 100張客戶!$A:$A, 1, FALSE), "")&lt;&gt;"", OR(INDEX(ERP資料!$F:$F, (MATCH(791, 輔助計算!$F$2:$F$801, 0)+1))=270, INDEX(ERP資料!$F:$F, (MATCH(791, 輔助計算!$F$2:$F$801, 0)+1))=300)), "100張", ""), "")</f>
        <v/>
      </c>
      <c r="M792" s="17" t="n"/>
      <c r="N792" s="17">
        <f>IF($F792="","",$F792)</f>
        <v/>
      </c>
      <c r="O792" s="17">
        <f>IF($G792="","",$G792)</f>
        <v/>
      </c>
      <c r="P792" s="17">
        <f>IF($K792="","",$K792)</f>
        <v/>
      </c>
      <c r="Q792" s="16" t="n"/>
      <c r="R792" s="18" t="n"/>
      <c r="S792" s="16" t="n"/>
    </row>
    <row r="793">
      <c r="A793" s="14">
        <f>IFERROR(IF(AND(IFERROR(INDEX(ERP資料!$A:$A, (MATCH(792, 輔助計算!$F$2:$F$801, 0)+1)), "")&lt;&gt;"", IFERROR(INDEX(ERP資料!$A:$A, (MATCH(792, 輔助計算!$F$2:$F$801, 0)+1)), "")&lt;&gt;IFERROR(INDEX(ERP資料!$A:$A, MATCH(791, 輔助計算!$F$2:$F$801, 0)+1), "")), INDEX(ERP資料!$B:$B, (MATCH(792, 輔助計算!$F$2:$F$801, 0)+1)), ""), "")</f>
        <v/>
      </c>
      <c r="B793" s="10">
        <f>IFERROR(IF(AND(IFERROR(INDEX(ERP資料!$A:$A, (MATCH(792, 輔助計算!$F$2:$F$801, 0)+1)), "")&lt;&gt;"", IFERROR(INDEX(ERP資料!$A:$A, (MATCH(792, 輔助計算!$F$2:$F$801, 0)+1)), "")&lt;&gt;IFERROR(INDEX(ERP資料!$A:$A, MATCH(791, 輔助計算!$F$2:$F$801, 0)+1), "")), IFERROR(INDEX(ERP資料!$A:$A, (MATCH(792, 輔助計算!$F$2:$F$801, 0)+1)), ""), ""), "")</f>
        <v/>
      </c>
      <c r="C793" s="10">
        <f>IFERROR(IF(AND(IFERROR(INDEX(ERP資料!$A:$A, (MATCH(792, 輔助計算!$F$2:$F$801, 0)+1)), "")&lt;&gt;"", IFERROR(INDEX(ERP資料!$A:$A, (MATCH(792, 輔助計算!$F$2:$F$801, 0)+1)), "")&lt;&gt;IFERROR(INDEX(ERP資料!$A:$A, MATCH(791, 輔助計算!$F$2:$F$801, 0)+1), "")), INDEX(ERP資料!$S:$S, (MATCH(792, 輔助計算!$F$2:$F$801, 0)+1)), ""), "")</f>
        <v/>
      </c>
      <c r="D793" s="10">
        <f>IFERROR(IF(INDEX(ERP資料!$E:$E, (MATCH(792, 輔助計算!$F$2:$F$801, 0)+1))="","",TRIM(INDEX(ERP資料!$E:$E, (MATCH(792, 輔助計算!$F$2:$F$801, 0)+1)))), "")</f>
        <v/>
      </c>
      <c r="E793" s="10">
        <f>IFERROR(IF(INDEX(ERP資料!$F:$F, (MATCH(792, 輔助計算!$F$2:$F$801, 0)+1))="","",INDEX(ERP資料!$F:$F, (MATCH(792, 輔助計算!$F$2:$F$801, 0)+1))), "")</f>
        <v/>
      </c>
      <c r="F793" s="10">
        <f>IFERROR(IF(INDEX(ERP資料!$G:$G, (MATCH(792, 輔助計算!$F$2:$F$801, 0)+1))="","",INDEX(ERP資料!$G:$G, (MATCH(792, 輔助計算!$F$2:$F$801, 0)+1))), "")</f>
        <v/>
      </c>
      <c r="G793" s="10">
        <f>IFERROR(IF(INDEX(ERP資料!$H:$H, (MATCH(792, 輔助計算!$F$2:$F$801, 0)+1))="","",INDEX(ERP資料!$H:$H, (MATCH(792, 輔助計算!$F$2:$F$801, 0)+1))), "")</f>
        <v/>
      </c>
      <c r="H793" s="10">
        <f>IFERROR(IF(INDEX(ERP資料!$O:$O, (MATCH(792, 輔助計算!$F$2:$F$801, 0)+1))="","",INDEX(ERP資料!$O:$O, (MATCH(792, 輔助計算!$F$2:$F$801, 0)+1))), "")</f>
        <v/>
      </c>
      <c r="I793" s="15">
        <f>IFERROR(IF(INDEX(輔助計算!$D:$D,(MATCH(792, 輔助計算!$F$2:$F$801, 0)+1))="","",INDEX(輔助計算!$D:$D,(MATCH(792, 輔助計算!$F$2:$F$801, 0)+1))*INDEX(ERP資料!$O:$O,(MATCH(792, 輔助計算!$F$2:$F$801, 0)+1))), "")</f>
        <v/>
      </c>
      <c r="J793" s="16" t="n"/>
      <c r="K793" s="15">
        <f>IFERROR(INDEX(輔助計算!$D:$D, (MATCH(792, 輔助計算!$F$2:$F$801, 0)+1)), "")</f>
        <v/>
      </c>
      <c r="L793" s="16">
        <f>IFERROR(IF(AND(IFERROR(VLOOKUP(LEFT(INDEX(ERP資料!$S:$S, (MATCH(792, 輔助計算!$F$2:$F$801, 0)+1)), 4), 100張客戶!$A:$A, 1, FALSE), "")&lt;&gt;"", OR(INDEX(ERP資料!$F:$F, (MATCH(792, 輔助計算!$F$2:$F$801, 0)+1))=270, INDEX(ERP資料!$F:$F, (MATCH(792, 輔助計算!$F$2:$F$801, 0)+1))=300)), "100張", ""), "")</f>
        <v/>
      </c>
      <c r="M793" s="17" t="n"/>
      <c r="N793" s="17">
        <f>IF($F793="","",$F793)</f>
        <v/>
      </c>
      <c r="O793" s="17">
        <f>IF($G793="","",$G793)</f>
        <v/>
      </c>
      <c r="P793" s="17">
        <f>IF($K793="","",$K793)</f>
        <v/>
      </c>
      <c r="Q793" s="16" t="n"/>
      <c r="R793" s="18" t="n"/>
      <c r="S793" s="16" t="n"/>
    </row>
    <row r="794">
      <c r="A794" s="14">
        <f>IFERROR(IF(AND(IFERROR(INDEX(ERP資料!$A:$A, (MATCH(793, 輔助計算!$F$2:$F$801, 0)+1)), "")&lt;&gt;"", IFERROR(INDEX(ERP資料!$A:$A, (MATCH(793, 輔助計算!$F$2:$F$801, 0)+1)), "")&lt;&gt;IFERROR(INDEX(ERP資料!$A:$A, MATCH(792, 輔助計算!$F$2:$F$801, 0)+1), "")), INDEX(ERP資料!$B:$B, (MATCH(793, 輔助計算!$F$2:$F$801, 0)+1)), ""), "")</f>
        <v/>
      </c>
      <c r="B794" s="10">
        <f>IFERROR(IF(AND(IFERROR(INDEX(ERP資料!$A:$A, (MATCH(793, 輔助計算!$F$2:$F$801, 0)+1)), "")&lt;&gt;"", IFERROR(INDEX(ERP資料!$A:$A, (MATCH(793, 輔助計算!$F$2:$F$801, 0)+1)), "")&lt;&gt;IFERROR(INDEX(ERP資料!$A:$A, MATCH(792, 輔助計算!$F$2:$F$801, 0)+1), "")), IFERROR(INDEX(ERP資料!$A:$A, (MATCH(793, 輔助計算!$F$2:$F$801, 0)+1)), ""), ""), "")</f>
        <v/>
      </c>
      <c r="C794" s="10">
        <f>IFERROR(IF(AND(IFERROR(INDEX(ERP資料!$A:$A, (MATCH(793, 輔助計算!$F$2:$F$801, 0)+1)), "")&lt;&gt;"", IFERROR(INDEX(ERP資料!$A:$A, (MATCH(793, 輔助計算!$F$2:$F$801, 0)+1)), "")&lt;&gt;IFERROR(INDEX(ERP資料!$A:$A, MATCH(792, 輔助計算!$F$2:$F$801, 0)+1), "")), INDEX(ERP資料!$S:$S, (MATCH(793, 輔助計算!$F$2:$F$801, 0)+1)), ""), "")</f>
        <v/>
      </c>
      <c r="D794" s="10">
        <f>IFERROR(IF(INDEX(ERP資料!$E:$E, (MATCH(793, 輔助計算!$F$2:$F$801, 0)+1))="","",TRIM(INDEX(ERP資料!$E:$E, (MATCH(793, 輔助計算!$F$2:$F$801, 0)+1)))), "")</f>
        <v/>
      </c>
      <c r="E794" s="10">
        <f>IFERROR(IF(INDEX(ERP資料!$F:$F, (MATCH(793, 輔助計算!$F$2:$F$801, 0)+1))="","",INDEX(ERP資料!$F:$F, (MATCH(793, 輔助計算!$F$2:$F$801, 0)+1))), "")</f>
        <v/>
      </c>
      <c r="F794" s="10">
        <f>IFERROR(IF(INDEX(ERP資料!$G:$G, (MATCH(793, 輔助計算!$F$2:$F$801, 0)+1))="","",INDEX(ERP資料!$G:$G, (MATCH(793, 輔助計算!$F$2:$F$801, 0)+1))), "")</f>
        <v/>
      </c>
      <c r="G794" s="10">
        <f>IFERROR(IF(INDEX(ERP資料!$H:$H, (MATCH(793, 輔助計算!$F$2:$F$801, 0)+1))="","",INDEX(ERP資料!$H:$H, (MATCH(793, 輔助計算!$F$2:$F$801, 0)+1))), "")</f>
        <v/>
      </c>
      <c r="H794" s="10">
        <f>IFERROR(IF(INDEX(ERP資料!$O:$O, (MATCH(793, 輔助計算!$F$2:$F$801, 0)+1))="","",INDEX(ERP資料!$O:$O, (MATCH(793, 輔助計算!$F$2:$F$801, 0)+1))), "")</f>
        <v/>
      </c>
      <c r="I794" s="15">
        <f>IFERROR(IF(INDEX(輔助計算!$D:$D,(MATCH(793, 輔助計算!$F$2:$F$801, 0)+1))="","",INDEX(輔助計算!$D:$D,(MATCH(793, 輔助計算!$F$2:$F$801, 0)+1))*INDEX(ERP資料!$O:$O,(MATCH(793, 輔助計算!$F$2:$F$801, 0)+1))), "")</f>
        <v/>
      </c>
      <c r="J794" s="16" t="n"/>
      <c r="K794" s="15">
        <f>IFERROR(INDEX(輔助計算!$D:$D, (MATCH(793, 輔助計算!$F$2:$F$801, 0)+1)), "")</f>
        <v/>
      </c>
      <c r="L794" s="16">
        <f>IFERROR(IF(AND(IFERROR(VLOOKUP(LEFT(INDEX(ERP資料!$S:$S, (MATCH(793, 輔助計算!$F$2:$F$801, 0)+1)), 4), 100張客戶!$A:$A, 1, FALSE), "")&lt;&gt;"", OR(INDEX(ERP資料!$F:$F, (MATCH(793, 輔助計算!$F$2:$F$801, 0)+1))=270, INDEX(ERP資料!$F:$F, (MATCH(793, 輔助計算!$F$2:$F$801, 0)+1))=300)), "100張", ""), "")</f>
        <v/>
      </c>
      <c r="M794" s="17" t="n"/>
      <c r="N794" s="17">
        <f>IF($F794="","",$F794)</f>
        <v/>
      </c>
      <c r="O794" s="17">
        <f>IF($G794="","",$G794)</f>
        <v/>
      </c>
      <c r="P794" s="17">
        <f>IF($K794="","",$K794)</f>
        <v/>
      </c>
      <c r="Q794" s="16" t="n"/>
      <c r="R794" s="18" t="n"/>
      <c r="S794" s="16" t="n"/>
    </row>
    <row r="795">
      <c r="A795" s="14">
        <f>IFERROR(IF(AND(IFERROR(INDEX(ERP資料!$A:$A, (MATCH(794, 輔助計算!$F$2:$F$801, 0)+1)), "")&lt;&gt;"", IFERROR(INDEX(ERP資料!$A:$A, (MATCH(794, 輔助計算!$F$2:$F$801, 0)+1)), "")&lt;&gt;IFERROR(INDEX(ERP資料!$A:$A, MATCH(793, 輔助計算!$F$2:$F$801, 0)+1), "")), INDEX(ERP資料!$B:$B, (MATCH(794, 輔助計算!$F$2:$F$801, 0)+1)), ""), "")</f>
        <v/>
      </c>
      <c r="B795" s="10">
        <f>IFERROR(IF(AND(IFERROR(INDEX(ERP資料!$A:$A, (MATCH(794, 輔助計算!$F$2:$F$801, 0)+1)), "")&lt;&gt;"", IFERROR(INDEX(ERP資料!$A:$A, (MATCH(794, 輔助計算!$F$2:$F$801, 0)+1)), "")&lt;&gt;IFERROR(INDEX(ERP資料!$A:$A, MATCH(793, 輔助計算!$F$2:$F$801, 0)+1), "")), IFERROR(INDEX(ERP資料!$A:$A, (MATCH(794, 輔助計算!$F$2:$F$801, 0)+1)), ""), ""), "")</f>
        <v/>
      </c>
      <c r="C795" s="10">
        <f>IFERROR(IF(AND(IFERROR(INDEX(ERP資料!$A:$A, (MATCH(794, 輔助計算!$F$2:$F$801, 0)+1)), "")&lt;&gt;"", IFERROR(INDEX(ERP資料!$A:$A, (MATCH(794, 輔助計算!$F$2:$F$801, 0)+1)), "")&lt;&gt;IFERROR(INDEX(ERP資料!$A:$A, MATCH(793, 輔助計算!$F$2:$F$801, 0)+1), "")), INDEX(ERP資料!$S:$S, (MATCH(794, 輔助計算!$F$2:$F$801, 0)+1)), ""), "")</f>
        <v/>
      </c>
      <c r="D795" s="10">
        <f>IFERROR(IF(INDEX(ERP資料!$E:$E, (MATCH(794, 輔助計算!$F$2:$F$801, 0)+1))="","",TRIM(INDEX(ERP資料!$E:$E, (MATCH(794, 輔助計算!$F$2:$F$801, 0)+1)))), "")</f>
        <v/>
      </c>
      <c r="E795" s="10">
        <f>IFERROR(IF(INDEX(ERP資料!$F:$F, (MATCH(794, 輔助計算!$F$2:$F$801, 0)+1))="","",INDEX(ERP資料!$F:$F, (MATCH(794, 輔助計算!$F$2:$F$801, 0)+1))), "")</f>
        <v/>
      </c>
      <c r="F795" s="10">
        <f>IFERROR(IF(INDEX(ERP資料!$G:$G, (MATCH(794, 輔助計算!$F$2:$F$801, 0)+1))="","",INDEX(ERP資料!$G:$G, (MATCH(794, 輔助計算!$F$2:$F$801, 0)+1))), "")</f>
        <v/>
      </c>
      <c r="G795" s="10">
        <f>IFERROR(IF(INDEX(ERP資料!$H:$H, (MATCH(794, 輔助計算!$F$2:$F$801, 0)+1))="","",INDEX(ERP資料!$H:$H, (MATCH(794, 輔助計算!$F$2:$F$801, 0)+1))), "")</f>
        <v/>
      </c>
      <c r="H795" s="10">
        <f>IFERROR(IF(INDEX(ERP資料!$O:$O, (MATCH(794, 輔助計算!$F$2:$F$801, 0)+1))="","",INDEX(ERP資料!$O:$O, (MATCH(794, 輔助計算!$F$2:$F$801, 0)+1))), "")</f>
        <v/>
      </c>
      <c r="I795" s="15">
        <f>IFERROR(IF(INDEX(輔助計算!$D:$D,(MATCH(794, 輔助計算!$F$2:$F$801, 0)+1))="","",INDEX(輔助計算!$D:$D,(MATCH(794, 輔助計算!$F$2:$F$801, 0)+1))*INDEX(ERP資料!$O:$O,(MATCH(794, 輔助計算!$F$2:$F$801, 0)+1))), "")</f>
        <v/>
      </c>
      <c r="J795" s="16" t="n"/>
      <c r="K795" s="15">
        <f>IFERROR(INDEX(輔助計算!$D:$D, (MATCH(794, 輔助計算!$F$2:$F$801, 0)+1)), "")</f>
        <v/>
      </c>
      <c r="L795" s="16">
        <f>IFERROR(IF(AND(IFERROR(VLOOKUP(LEFT(INDEX(ERP資料!$S:$S, (MATCH(794, 輔助計算!$F$2:$F$801, 0)+1)), 4), 100張客戶!$A:$A, 1, FALSE), "")&lt;&gt;"", OR(INDEX(ERP資料!$F:$F, (MATCH(794, 輔助計算!$F$2:$F$801, 0)+1))=270, INDEX(ERP資料!$F:$F, (MATCH(794, 輔助計算!$F$2:$F$801, 0)+1))=300)), "100張", ""), "")</f>
        <v/>
      </c>
      <c r="M795" s="17" t="n"/>
      <c r="N795" s="17">
        <f>IF($F795="","",$F795)</f>
        <v/>
      </c>
      <c r="O795" s="17">
        <f>IF($G795="","",$G795)</f>
        <v/>
      </c>
      <c r="P795" s="17">
        <f>IF($K795="","",$K795)</f>
        <v/>
      </c>
      <c r="Q795" s="16" t="n"/>
      <c r="R795" s="18" t="n"/>
      <c r="S795" s="16" t="n"/>
    </row>
    <row r="796">
      <c r="A796" s="14">
        <f>IFERROR(IF(AND(IFERROR(INDEX(ERP資料!$A:$A, (MATCH(795, 輔助計算!$F$2:$F$801, 0)+1)), "")&lt;&gt;"", IFERROR(INDEX(ERP資料!$A:$A, (MATCH(795, 輔助計算!$F$2:$F$801, 0)+1)), "")&lt;&gt;IFERROR(INDEX(ERP資料!$A:$A, MATCH(794, 輔助計算!$F$2:$F$801, 0)+1), "")), INDEX(ERP資料!$B:$B, (MATCH(795, 輔助計算!$F$2:$F$801, 0)+1)), ""), "")</f>
        <v/>
      </c>
      <c r="B796" s="10">
        <f>IFERROR(IF(AND(IFERROR(INDEX(ERP資料!$A:$A, (MATCH(795, 輔助計算!$F$2:$F$801, 0)+1)), "")&lt;&gt;"", IFERROR(INDEX(ERP資料!$A:$A, (MATCH(795, 輔助計算!$F$2:$F$801, 0)+1)), "")&lt;&gt;IFERROR(INDEX(ERP資料!$A:$A, MATCH(794, 輔助計算!$F$2:$F$801, 0)+1), "")), IFERROR(INDEX(ERP資料!$A:$A, (MATCH(795, 輔助計算!$F$2:$F$801, 0)+1)), ""), ""), "")</f>
        <v/>
      </c>
      <c r="C796" s="10">
        <f>IFERROR(IF(AND(IFERROR(INDEX(ERP資料!$A:$A, (MATCH(795, 輔助計算!$F$2:$F$801, 0)+1)), "")&lt;&gt;"", IFERROR(INDEX(ERP資料!$A:$A, (MATCH(795, 輔助計算!$F$2:$F$801, 0)+1)), "")&lt;&gt;IFERROR(INDEX(ERP資料!$A:$A, MATCH(794, 輔助計算!$F$2:$F$801, 0)+1), "")), INDEX(ERP資料!$S:$S, (MATCH(795, 輔助計算!$F$2:$F$801, 0)+1)), ""), "")</f>
        <v/>
      </c>
      <c r="D796" s="10">
        <f>IFERROR(IF(INDEX(ERP資料!$E:$E, (MATCH(795, 輔助計算!$F$2:$F$801, 0)+1))="","",TRIM(INDEX(ERP資料!$E:$E, (MATCH(795, 輔助計算!$F$2:$F$801, 0)+1)))), "")</f>
        <v/>
      </c>
      <c r="E796" s="10">
        <f>IFERROR(IF(INDEX(ERP資料!$F:$F, (MATCH(795, 輔助計算!$F$2:$F$801, 0)+1))="","",INDEX(ERP資料!$F:$F, (MATCH(795, 輔助計算!$F$2:$F$801, 0)+1))), "")</f>
        <v/>
      </c>
      <c r="F796" s="10">
        <f>IFERROR(IF(INDEX(ERP資料!$G:$G, (MATCH(795, 輔助計算!$F$2:$F$801, 0)+1))="","",INDEX(ERP資料!$G:$G, (MATCH(795, 輔助計算!$F$2:$F$801, 0)+1))), "")</f>
        <v/>
      </c>
      <c r="G796" s="10">
        <f>IFERROR(IF(INDEX(ERP資料!$H:$H, (MATCH(795, 輔助計算!$F$2:$F$801, 0)+1))="","",INDEX(ERP資料!$H:$H, (MATCH(795, 輔助計算!$F$2:$F$801, 0)+1))), "")</f>
        <v/>
      </c>
      <c r="H796" s="10">
        <f>IFERROR(IF(INDEX(ERP資料!$O:$O, (MATCH(795, 輔助計算!$F$2:$F$801, 0)+1))="","",INDEX(ERP資料!$O:$O, (MATCH(795, 輔助計算!$F$2:$F$801, 0)+1))), "")</f>
        <v/>
      </c>
      <c r="I796" s="15">
        <f>IFERROR(IF(INDEX(輔助計算!$D:$D,(MATCH(795, 輔助計算!$F$2:$F$801, 0)+1))="","",INDEX(輔助計算!$D:$D,(MATCH(795, 輔助計算!$F$2:$F$801, 0)+1))*INDEX(ERP資料!$O:$O,(MATCH(795, 輔助計算!$F$2:$F$801, 0)+1))), "")</f>
        <v/>
      </c>
      <c r="J796" s="16" t="n"/>
      <c r="K796" s="15">
        <f>IFERROR(INDEX(輔助計算!$D:$D, (MATCH(795, 輔助計算!$F$2:$F$801, 0)+1)), "")</f>
        <v/>
      </c>
      <c r="L796" s="16">
        <f>IFERROR(IF(AND(IFERROR(VLOOKUP(LEFT(INDEX(ERP資料!$S:$S, (MATCH(795, 輔助計算!$F$2:$F$801, 0)+1)), 4), 100張客戶!$A:$A, 1, FALSE), "")&lt;&gt;"", OR(INDEX(ERP資料!$F:$F, (MATCH(795, 輔助計算!$F$2:$F$801, 0)+1))=270, INDEX(ERP資料!$F:$F, (MATCH(795, 輔助計算!$F$2:$F$801, 0)+1))=300)), "100張", ""), "")</f>
        <v/>
      </c>
      <c r="M796" s="17" t="n"/>
      <c r="N796" s="17">
        <f>IF($F796="","",$F796)</f>
        <v/>
      </c>
      <c r="O796" s="17">
        <f>IF($G796="","",$G796)</f>
        <v/>
      </c>
      <c r="P796" s="17">
        <f>IF($K796="","",$K796)</f>
        <v/>
      </c>
      <c r="Q796" s="16" t="n"/>
      <c r="R796" s="18" t="n"/>
      <c r="S796" s="16" t="n"/>
    </row>
    <row r="797">
      <c r="A797" s="14">
        <f>IFERROR(IF(AND(IFERROR(INDEX(ERP資料!$A:$A, (MATCH(796, 輔助計算!$F$2:$F$801, 0)+1)), "")&lt;&gt;"", IFERROR(INDEX(ERP資料!$A:$A, (MATCH(796, 輔助計算!$F$2:$F$801, 0)+1)), "")&lt;&gt;IFERROR(INDEX(ERP資料!$A:$A, MATCH(795, 輔助計算!$F$2:$F$801, 0)+1), "")), INDEX(ERP資料!$B:$B, (MATCH(796, 輔助計算!$F$2:$F$801, 0)+1)), ""), "")</f>
        <v/>
      </c>
      <c r="B797" s="10">
        <f>IFERROR(IF(AND(IFERROR(INDEX(ERP資料!$A:$A, (MATCH(796, 輔助計算!$F$2:$F$801, 0)+1)), "")&lt;&gt;"", IFERROR(INDEX(ERP資料!$A:$A, (MATCH(796, 輔助計算!$F$2:$F$801, 0)+1)), "")&lt;&gt;IFERROR(INDEX(ERP資料!$A:$A, MATCH(795, 輔助計算!$F$2:$F$801, 0)+1), "")), IFERROR(INDEX(ERP資料!$A:$A, (MATCH(796, 輔助計算!$F$2:$F$801, 0)+1)), ""), ""), "")</f>
        <v/>
      </c>
      <c r="C797" s="10">
        <f>IFERROR(IF(AND(IFERROR(INDEX(ERP資料!$A:$A, (MATCH(796, 輔助計算!$F$2:$F$801, 0)+1)), "")&lt;&gt;"", IFERROR(INDEX(ERP資料!$A:$A, (MATCH(796, 輔助計算!$F$2:$F$801, 0)+1)), "")&lt;&gt;IFERROR(INDEX(ERP資料!$A:$A, MATCH(795, 輔助計算!$F$2:$F$801, 0)+1), "")), INDEX(ERP資料!$S:$S, (MATCH(796, 輔助計算!$F$2:$F$801, 0)+1)), ""), "")</f>
        <v/>
      </c>
      <c r="D797" s="10">
        <f>IFERROR(IF(INDEX(ERP資料!$E:$E, (MATCH(796, 輔助計算!$F$2:$F$801, 0)+1))="","",TRIM(INDEX(ERP資料!$E:$E, (MATCH(796, 輔助計算!$F$2:$F$801, 0)+1)))), "")</f>
        <v/>
      </c>
      <c r="E797" s="10">
        <f>IFERROR(IF(INDEX(ERP資料!$F:$F, (MATCH(796, 輔助計算!$F$2:$F$801, 0)+1))="","",INDEX(ERP資料!$F:$F, (MATCH(796, 輔助計算!$F$2:$F$801, 0)+1))), "")</f>
        <v/>
      </c>
      <c r="F797" s="10">
        <f>IFERROR(IF(INDEX(ERP資料!$G:$G, (MATCH(796, 輔助計算!$F$2:$F$801, 0)+1))="","",INDEX(ERP資料!$G:$G, (MATCH(796, 輔助計算!$F$2:$F$801, 0)+1))), "")</f>
        <v/>
      </c>
      <c r="G797" s="10">
        <f>IFERROR(IF(INDEX(ERP資料!$H:$H, (MATCH(796, 輔助計算!$F$2:$F$801, 0)+1))="","",INDEX(ERP資料!$H:$H, (MATCH(796, 輔助計算!$F$2:$F$801, 0)+1))), "")</f>
        <v/>
      </c>
      <c r="H797" s="10">
        <f>IFERROR(IF(INDEX(ERP資料!$O:$O, (MATCH(796, 輔助計算!$F$2:$F$801, 0)+1))="","",INDEX(ERP資料!$O:$O, (MATCH(796, 輔助計算!$F$2:$F$801, 0)+1))), "")</f>
        <v/>
      </c>
      <c r="I797" s="15">
        <f>IFERROR(IF(INDEX(輔助計算!$D:$D,(MATCH(796, 輔助計算!$F$2:$F$801, 0)+1))="","",INDEX(輔助計算!$D:$D,(MATCH(796, 輔助計算!$F$2:$F$801, 0)+1))*INDEX(ERP資料!$O:$O,(MATCH(796, 輔助計算!$F$2:$F$801, 0)+1))), "")</f>
        <v/>
      </c>
      <c r="J797" s="16" t="n"/>
      <c r="K797" s="15">
        <f>IFERROR(INDEX(輔助計算!$D:$D, (MATCH(796, 輔助計算!$F$2:$F$801, 0)+1)), "")</f>
        <v/>
      </c>
      <c r="L797" s="16">
        <f>IFERROR(IF(AND(IFERROR(VLOOKUP(LEFT(INDEX(ERP資料!$S:$S, (MATCH(796, 輔助計算!$F$2:$F$801, 0)+1)), 4), 100張客戶!$A:$A, 1, FALSE), "")&lt;&gt;"", OR(INDEX(ERP資料!$F:$F, (MATCH(796, 輔助計算!$F$2:$F$801, 0)+1))=270, INDEX(ERP資料!$F:$F, (MATCH(796, 輔助計算!$F$2:$F$801, 0)+1))=300)), "100張", ""), "")</f>
        <v/>
      </c>
      <c r="M797" s="17" t="n"/>
      <c r="N797" s="17">
        <f>IF($F797="","",$F797)</f>
        <v/>
      </c>
      <c r="O797" s="17">
        <f>IF($G797="","",$G797)</f>
        <v/>
      </c>
      <c r="P797" s="17">
        <f>IF($K797="","",$K797)</f>
        <v/>
      </c>
      <c r="Q797" s="16" t="n"/>
      <c r="R797" s="18" t="n"/>
      <c r="S797" s="16" t="n"/>
    </row>
    <row r="798">
      <c r="A798" s="14">
        <f>IFERROR(IF(AND(IFERROR(INDEX(ERP資料!$A:$A, (MATCH(797, 輔助計算!$F$2:$F$801, 0)+1)), "")&lt;&gt;"", IFERROR(INDEX(ERP資料!$A:$A, (MATCH(797, 輔助計算!$F$2:$F$801, 0)+1)), "")&lt;&gt;IFERROR(INDEX(ERP資料!$A:$A, MATCH(796, 輔助計算!$F$2:$F$801, 0)+1), "")), INDEX(ERP資料!$B:$B, (MATCH(797, 輔助計算!$F$2:$F$801, 0)+1)), ""), "")</f>
        <v/>
      </c>
      <c r="B798" s="10">
        <f>IFERROR(IF(AND(IFERROR(INDEX(ERP資料!$A:$A, (MATCH(797, 輔助計算!$F$2:$F$801, 0)+1)), "")&lt;&gt;"", IFERROR(INDEX(ERP資料!$A:$A, (MATCH(797, 輔助計算!$F$2:$F$801, 0)+1)), "")&lt;&gt;IFERROR(INDEX(ERP資料!$A:$A, MATCH(796, 輔助計算!$F$2:$F$801, 0)+1), "")), IFERROR(INDEX(ERP資料!$A:$A, (MATCH(797, 輔助計算!$F$2:$F$801, 0)+1)), ""), ""), "")</f>
        <v/>
      </c>
      <c r="C798" s="10">
        <f>IFERROR(IF(AND(IFERROR(INDEX(ERP資料!$A:$A, (MATCH(797, 輔助計算!$F$2:$F$801, 0)+1)), "")&lt;&gt;"", IFERROR(INDEX(ERP資料!$A:$A, (MATCH(797, 輔助計算!$F$2:$F$801, 0)+1)), "")&lt;&gt;IFERROR(INDEX(ERP資料!$A:$A, MATCH(796, 輔助計算!$F$2:$F$801, 0)+1), "")), INDEX(ERP資料!$S:$S, (MATCH(797, 輔助計算!$F$2:$F$801, 0)+1)), ""), "")</f>
        <v/>
      </c>
      <c r="D798" s="10">
        <f>IFERROR(IF(INDEX(ERP資料!$E:$E, (MATCH(797, 輔助計算!$F$2:$F$801, 0)+1))="","",TRIM(INDEX(ERP資料!$E:$E, (MATCH(797, 輔助計算!$F$2:$F$801, 0)+1)))), "")</f>
        <v/>
      </c>
      <c r="E798" s="10">
        <f>IFERROR(IF(INDEX(ERP資料!$F:$F, (MATCH(797, 輔助計算!$F$2:$F$801, 0)+1))="","",INDEX(ERP資料!$F:$F, (MATCH(797, 輔助計算!$F$2:$F$801, 0)+1))), "")</f>
        <v/>
      </c>
      <c r="F798" s="10">
        <f>IFERROR(IF(INDEX(ERP資料!$G:$G, (MATCH(797, 輔助計算!$F$2:$F$801, 0)+1))="","",INDEX(ERP資料!$G:$G, (MATCH(797, 輔助計算!$F$2:$F$801, 0)+1))), "")</f>
        <v/>
      </c>
      <c r="G798" s="10">
        <f>IFERROR(IF(INDEX(ERP資料!$H:$H, (MATCH(797, 輔助計算!$F$2:$F$801, 0)+1))="","",INDEX(ERP資料!$H:$H, (MATCH(797, 輔助計算!$F$2:$F$801, 0)+1))), "")</f>
        <v/>
      </c>
      <c r="H798" s="10">
        <f>IFERROR(IF(INDEX(ERP資料!$O:$O, (MATCH(797, 輔助計算!$F$2:$F$801, 0)+1))="","",INDEX(ERP資料!$O:$O, (MATCH(797, 輔助計算!$F$2:$F$801, 0)+1))), "")</f>
        <v/>
      </c>
      <c r="I798" s="15">
        <f>IFERROR(IF(INDEX(輔助計算!$D:$D,(MATCH(797, 輔助計算!$F$2:$F$801, 0)+1))="","",INDEX(輔助計算!$D:$D,(MATCH(797, 輔助計算!$F$2:$F$801, 0)+1))*INDEX(ERP資料!$O:$O,(MATCH(797, 輔助計算!$F$2:$F$801, 0)+1))), "")</f>
        <v/>
      </c>
      <c r="J798" s="16" t="n"/>
      <c r="K798" s="15">
        <f>IFERROR(INDEX(輔助計算!$D:$D, (MATCH(797, 輔助計算!$F$2:$F$801, 0)+1)), "")</f>
        <v/>
      </c>
      <c r="L798" s="16">
        <f>IFERROR(IF(AND(IFERROR(VLOOKUP(LEFT(INDEX(ERP資料!$S:$S, (MATCH(797, 輔助計算!$F$2:$F$801, 0)+1)), 4), 100張客戶!$A:$A, 1, FALSE), "")&lt;&gt;"", OR(INDEX(ERP資料!$F:$F, (MATCH(797, 輔助計算!$F$2:$F$801, 0)+1))=270, INDEX(ERP資料!$F:$F, (MATCH(797, 輔助計算!$F$2:$F$801, 0)+1))=300)), "100張", ""), "")</f>
        <v/>
      </c>
      <c r="M798" s="17" t="n"/>
      <c r="N798" s="17">
        <f>IF($F798="","",$F798)</f>
        <v/>
      </c>
      <c r="O798" s="17">
        <f>IF($G798="","",$G798)</f>
        <v/>
      </c>
      <c r="P798" s="17">
        <f>IF($K798="","",$K798)</f>
        <v/>
      </c>
      <c r="Q798" s="16" t="n"/>
      <c r="R798" s="18" t="n"/>
      <c r="S798" s="16" t="n"/>
    </row>
    <row r="799">
      <c r="A799" s="14">
        <f>IFERROR(IF(AND(IFERROR(INDEX(ERP資料!$A:$A, (MATCH(798, 輔助計算!$F$2:$F$801, 0)+1)), "")&lt;&gt;"", IFERROR(INDEX(ERP資料!$A:$A, (MATCH(798, 輔助計算!$F$2:$F$801, 0)+1)), "")&lt;&gt;IFERROR(INDEX(ERP資料!$A:$A, MATCH(797, 輔助計算!$F$2:$F$801, 0)+1), "")), INDEX(ERP資料!$B:$B, (MATCH(798, 輔助計算!$F$2:$F$801, 0)+1)), ""), "")</f>
        <v/>
      </c>
      <c r="B799" s="10">
        <f>IFERROR(IF(AND(IFERROR(INDEX(ERP資料!$A:$A, (MATCH(798, 輔助計算!$F$2:$F$801, 0)+1)), "")&lt;&gt;"", IFERROR(INDEX(ERP資料!$A:$A, (MATCH(798, 輔助計算!$F$2:$F$801, 0)+1)), "")&lt;&gt;IFERROR(INDEX(ERP資料!$A:$A, MATCH(797, 輔助計算!$F$2:$F$801, 0)+1), "")), IFERROR(INDEX(ERP資料!$A:$A, (MATCH(798, 輔助計算!$F$2:$F$801, 0)+1)), ""), ""), "")</f>
        <v/>
      </c>
      <c r="C799" s="10">
        <f>IFERROR(IF(AND(IFERROR(INDEX(ERP資料!$A:$A, (MATCH(798, 輔助計算!$F$2:$F$801, 0)+1)), "")&lt;&gt;"", IFERROR(INDEX(ERP資料!$A:$A, (MATCH(798, 輔助計算!$F$2:$F$801, 0)+1)), "")&lt;&gt;IFERROR(INDEX(ERP資料!$A:$A, MATCH(797, 輔助計算!$F$2:$F$801, 0)+1), "")), INDEX(ERP資料!$S:$S, (MATCH(798, 輔助計算!$F$2:$F$801, 0)+1)), ""), "")</f>
        <v/>
      </c>
      <c r="D799" s="10">
        <f>IFERROR(IF(INDEX(ERP資料!$E:$E, (MATCH(798, 輔助計算!$F$2:$F$801, 0)+1))="","",TRIM(INDEX(ERP資料!$E:$E, (MATCH(798, 輔助計算!$F$2:$F$801, 0)+1)))), "")</f>
        <v/>
      </c>
      <c r="E799" s="10">
        <f>IFERROR(IF(INDEX(ERP資料!$F:$F, (MATCH(798, 輔助計算!$F$2:$F$801, 0)+1))="","",INDEX(ERP資料!$F:$F, (MATCH(798, 輔助計算!$F$2:$F$801, 0)+1))), "")</f>
        <v/>
      </c>
      <c r="F799" s="10">
        <f>IFERROR(IF(INDEX(ERP資料!$G:$G, (MATCH(798, 輔助計算!$F$2:$F$801, 0)+1))="","",INDEX(ERP資料!$G:$G, (MATCH(798, 輔助計算!$F$2:$F$801, 0)+1))), "")</f>
        <v/>
      </c>
      <c r="G799" s="10">
        <f>IFERROR(IF(INDEX(ERP資料!$H:$H, (MATCH(798, 輔助計算!$F$2:$F$801, 0)+1))="","",INDEX(ERP資料!$H:$H, (MATCH(798, 輔助計算!$F$2:$F$801, 0)+1))), "")</f>
        <v/>
      </c>
      <c r="H799" s="10">
        <f>IFERROR(IF(INDEX(ERP資料!$O:$O, (MATCH(798, 輔助計算!$F$2:$F$801, 0)+1))="","",INDEX(ERP資料!$O:$O, (MATCH(798, 輔助計算!$F$2:$F$801, 0)+1))), "")</f>
        <v/>
      </c>
      <c r="I799" s="15">
        <f>IFERROR(IF(INDEX(輔助計算!$D:$D,(MATCH(798, 輔助計算!$F$2:$F$801, 0)+1))="","",INDEX(輔助計算!$D:$D,(MATCH(798, 輔助計算!$F$2:$F$801, 0)+1))*INDEX(ERP資料!$O:$O,(MATCH(798, 輔助計算!$F$2:$F$801, 0)+1))), "")</f>
        <v/>
      </c>
      <c r="J799" s="16" t="n"/>
      <c r="K799" s="15">
        <f>IFERROR(INDEX(輔助計算!$D:$D, (MATCH(798, 輔助計算!$F$2:$F$801, 0)+1)), "")</f>
        <v/>
      </c>
      <c r="L799" s="16">
        <f>IFERROR(IF(AND(IFERROR(VLOOKUP(LEFT(INDEX(ERP資料!$S:$S, (MATCH(798, 輔助計算!$F$2:$F$801, 0)+1)), 4), 100張客戶!$A:$A, 1, FALSE), "")&lt;&gt;"", OR(INDEX(ERP資料!$F:$F, (MATCH(798, 輔助計算!$F$2:$F$801, 0)+1))=270, INDEX(ERP資料!$F:$F, (MATCH(798, 輔助計算!$F$2:$F$801, 0)+1))=300)), "100張", ""), "")</f>
        <v/>
      </c>
      <c r="M799" s="17" t="n"/>
      <c r="N799" s="17">
        <f>IF($F799="","",$F799)</f>
        <v/>
      </c>
      <c r="O799" s="17">
        <f>IF($G799="","",$G799)</f>
        <v/>
      </c>
      <c r="P799" s="17">
        <f>IF($K799="","",$K799)</f>
        <v/>
      </c>
      <c r="Q799" s="16" t="n"/>
      <c r="R799" s="18" t="n"/>
      <c r="S799" s="16" t="n"/>
    </row>
    <row r="800">
      <c r="A800" s="14">
        <f>IFERROR(IF(AND(IFERROR(INDEX(ERP資料!$A:$A, (MATCH(799, 輔助計算!$F$2:$F$801, 0)+1)), "")&lt;&gt;"", IFERROR(INDEX(ERP資料!$A:$A, (MATCH(799, 輔助計算!$F$2:$F$801, 0)+1)), "")&lt;&gt;IFERROR(INDEX(ERP資料!$A:$A, MATCH(798, 輔助計算!$F$2:$F$801, 0)+1), "")), INDEX(ERP資料!$B:$B, (MATCH(799, 輔助計算!$F$2:$F$801, 0)+1)), ""), "")</f>
        <v/>
      </c>
      <c r="B800" s="10">
        <f>IFERROR(IF(AND(IFERROR(INDEX(ERP資料!$A:$A, (MATCH(799, 輔助計算!$F$2:$F$801, 0)+1)), "")&lt;&gt;"", IFERROR(INDEX(ERP資料!$A:$A, (MATCH(799, 輔助計算!$F$2:$F$801, 0)+1)), "")&lt;&gt;IFERROR(INDEX(ERP資料!$A:$A, MATCH(798, 輔助計算!$F$2:$F$801, 0)+1), "")), IFERROR(INDEX(ERP資料!$A:$A, (MATCH(799, 輔助計算!$F$2:$F$801, 0)+1)), ""), ""), "")</f>
        <v/>
      </c>
      <c r="C800" s="10">
        <f>IFERROR(IF(AND(IFERROR(INDEX(ERP資料!$A:$A, (MATCH(799, 輔助計算!$F$2:$F$801, 0)+1)), "")&lt;&gt;"", IFERROR(INDEX(ERP資料!$A:$A, (MATCH(799, 輔助計算!$F$2:$F$801, 0)+1)), "")&lt;&gt;IFERROR(INDEX(ERP資料!$A:$A, MATCH(798, 輔助計算!$F$2:$F$801, 0)+1), "")), INDEX(ERP資料!$S:$S, (MATCH(799, 輔助計算!$F$2:$F$801, 0)+1)), ""), "")</f>
        <v/>
      </c>
      <c r="D800" s="10">
        <f>IFERROR(IF(INDEX(ERP資料!$E:$E, (MATCH(799, 輔助計算!$F$2:$F$801, 0)+1))="","",TRIM(INDEX(ERP資料!$E:$E, (MATCH(799, 輔助計算!$F$2:$F$801, 0)+1)))), "")</f>
        <v/>
      </c>
      <c r="E800" s="10">
        <f>IFERROR(IF(INDEX(ERP資料!$F:$F, (MATCH(799, 輔助計算!$F$2:$F$801, 0)+1))="","",INDEX(ERP資料!$F:$F, (MATCH(799, 輔助計算!$F$2:$F$801, 0)+1))), "")</f>
        <v/>
      </c>
      <c r="F800" s="10">
        <f>IFERROR(IF(INDEX(ERP資料!$G:$G, (MATCH(799, 輔助計算!$F$2:$F$801, 0)+1))="","",INDEX(ERP資料!$G:$G, (MATCH(799, 輔助計算!$F$2:$F$801, 0)+1))), "")</f>
        <v/>
      </c>
      <c r="G800" s="10">
        <f>IFERROR(IF(INDEX(ERP資料!$H:$H, (MATCH(799, 輔助計算!$F$2:$F$801, 0)+1))="","",INDEX(ERP資料!$H:$H, (MATCH(799, 輔助計算!$F$2:$F$801, 0)+1))), "")</f>
        <v/>
      </c>
      <c r="H800" s="10">
        <f>IFERROR(IF(INDEX(ERP資料!$O:$O, (MATCH(799, 輔助計算!$F$2:$F$801, 0)+1))="","",INDEX(ERP資料!$O:$O, (MATCH(799, 輔助計算!$F$2:$F$801, 0)+1))), "")</f>
        <v/>
      </c>
      <c r="I800" s="15">
        <f>IFERROR(IF(INDEX(輔助計算!$D:$D,(MATCH(799, 輔助計算!$F$2:$F$801, 0)+1))="","",INDEX(輔助計算!$D:$D,(MATCH(799, 輔助計算!$F$2:$F$801, 0)+1))*INDEX(ERP資料!$O:$O,(MATCH(799, 輔助計算!$F$2:$F$801, 0)+1))), "")</f>
        <v/>
      </c>
      <c r="J800" s="16" t="n"/>
      <c r="K800" s="15">
        <f>IFERROR(INDEX(輔助計算!$D:$D, (MATCH(799, 輔助計算!$F$2:$F$801, 0)+1)), "")</f>
        <v/>
      </c>
      <c r="L800" s="16">
        <f>IFERROR(IF(AND(IFERROR(VLOOKUP(LEFT(INDEX(ERP資料!$S:$S, (MATCH(799, 輔助計算!$F$2:$F$801, 0)+1)), 4), 100張客戶!$A:$A, 1, FALSE), "")&lt;&gt;"", OR(INDEX(ERP資料!$F:$F, (MATCH(799, 輔助計算!$F$2:$F$801, 0)+1))=270, INDEX(ERP資料!$F:$F, (MATCH(799, 輔助計算!$F$2:$F$801, 0)+1))=300)), "100張", ""), "")</f>
        <v/>
      </c>
      <c r="M800" s="17" t="n"/>
      <c r="N800" s="17">
        <f>IF($F800="","",$F800)</f>
        <v/>
      </c>
      <c r="O800" s="17">
        <f>IF($G800="","",$G800)</f>
        <v/>
      </c>
      <c r="P800" s="17">
        <f>IF($K800="","",$K800)</f>
        <v/>
      </c>
      <c r="Q800" s="16" t="n"/>
      <c r="R800" s="18" t="n"/>
      <c r="S800" s="16" t="n"/>
    </row>
    <row r="801">
      <c r="A801" s="14">
        <f>IFERROR(IF(AND(IFERROR(INDEX(ERP資料!$A:$A, (MATCH(800, 輔助計算!$F$2:$F$801, 0)+1)), "")&lt;&gt;"", IFERROR(INDEX(ERP資料!$A:$A, (MATCH(800, 輔助計算!$F$2:$F$801, 0)+1)), "")&lt;&gt;IFERROR(INDEX(ERP資料!$A:$A, MATCH(799, 輔助計算!$F$2:$F$801, 0)+1), "")), INDEX(ERP資料!$B:$B, (MATCH(800, 輔助計算!$F$2:$F$801, 0)+1)), ""), "")</f>
        <v/>
      </c>
      <c r="B801" s="10">
        <f>IFERROR(IF(AND(IFERROR(INDEX(ERP資料!$A:$A, (MATCH(800, 輔助計算!$F$2:$F$801, 0)+1)), "")&lt;&gt;"", IFERROR(INDEX(ERP資料!$A:$A, (MATCH(800, 輔助計算!$F$2:$F$801, 0)+1)), "")&lt;&gt;IFERROR(INDEX(ERP資料!$A:$A, MATCH(799, 輔助計算!$F$2:$F$801, 0)+1), "")), IFERROR(INDEX(ERP資料!$A:$A, (MATCH(800, 輔助計算!$F$2:$F$801, 0)+1)), ""), ""), "")</f>
        <v/>
      </c>
      <c r="C801" s="10">
        <f>IFERROR(IF(AND(IFERROR(INDEX(ERP資料!$A:$A, (MATCH(800, 輔助計算!$F$2:$F$801, 0)+1)), "")&lt;&gt;"", IFERROR(INDEX(ERP資料!$A:$A, (MATCH(800, 輔助計算!$F$2:$F$801, 0)+1)), "")&lt;&gt;IFERROR(INDEX(ERP資料!$A:$A, MATCH(799, 輔助計算!$F$2:$F$801, 0)+1), "")), INDEX(ERP資料!$S:$S, (MATCH(800, 輔助計算!$F$2:$F$801, 0)+1)), ""), "")</f>
        <v/>
      </c>
      <c r="D801" s="10">
        <f>IFERROR(IF(INDEX(ERP資料!$E:$E, (MATCH(800, 輔助計算!$F$2:$F$801, 0)+1))="","",TRIM(INDEX(ERP資料!$E:$E, (MATCH(800, 輔助計算!$F$2:$F$801, 0)+1)))), "")</f>
        <v/>
      </c>
      <c r="E801" s="10">
        <f>IFERROR(IF(INDEX(ERP資料!$F:$F, (MATCH(800, 輔助計算!$F$2:$F$801, 0)+1))="","",INDEX(ERP資料!$F:$F, (MATCH(800, 輔助計算!$F$2:$F$801, 0)+1))), "")</f>
        <v/>
      </c>
      <c r="F801" s="10">
        <f>IFERROR(IF(INDEX(ERP資料!$G:$G, (MATCH(800, 輔助計算!$F$2:$F$801, 0)+1))="","",INDEX(ERP資料!$G:$G, (MATCH(800, 輔助計算!$F$2:$F$801, 0)+1))), "")</f>
        <v/>
      </c>
      <c r="G801" s="10">
        <f>IFERROR(IF(INDEX(ERP資料!$H:$H, (MATCH(800, 輔助計算!$F$2:$F$801, 0)+1))="","",INDEX(ERP資料!$H:$H, (MATCH(800, 輔助計算!$F$2:$F$801, 0)+1))), "")</f>
        <v/>
      </c>
      <c r="H801" s="10">
        <f>IFERROR(IF(INDEX(ERP資料!$O:$O, (MATCH(800, 輔助計算!$F$2:$F$801, 0)+1))="","",INDEX(ERP資料!$O:$O, (MATCH(800, 輔助計算!$F$2:$F$801, 0)+1))), "")</f>
        <v/>
      </c>
      <c r="I801" s="15">
        <f>IFERROR(IF(INDEX(輔助計算!$D:$D,(MATCH(800, 輔助計算!$F$2:$F$801, 0)+1))="","",INDEX(輔助計算!$D:$D,(MATCH(800, 輔助計算!$F$2:$F$801, 0)+1))*INDEX(ERP資料!$O:$O,(MATCH(800, 輔助計算!$F$2:$F$801, 0)+1))), "")</f>
        <v/>
      </c>
      <c r="J801" s="16" t="n"/>
      <c r="K801" s="15">
        <f>IFERROR(INDEX(輔助計算!$D:$D, (MATCH(800, 輔助計算!$F$2:$F$801, 0)+1)), "")</f>
        <v/>
      </c>
      <c r="L801" s="16">
        <f>IFERROR(IF(AND(IFERROR(VLOOKUP(LEFT(INDEX(ERP資料!$S:$S, (MATCH(800, 輔助計算!$F$2:$F$801, 0)+1)), 4), 100張客戶!$A:$A, 1, FALSE), "")&lt;&gt;"", OR(INDEX(ERP資料!$F:$F, (MATCH(800, 輔助計算!$F$2:$F$801, 0)+1))=270, INDEX(ERP資料!$F:$F, (MATCH(800, 輔助計算!$F$2:$F$801, 0)+1))=300)), "100張", ""), "")</f>
        <v/>
      </c>
      <c r="M801" s="17" t="n"/>
      <c r="N801" s="17">
        <f>IF($F801="","",$F801)</f>
        <v/>
      </c>
      <c r="O801" s="17">
        <f>IF($G801="","",$G801)</f>
        <v/>
      </c>
      <c r="P801" s="17">
        <f>IF($K801="","",$K801)</f>
        <v/>
      </c>
      <c r="Q801" s="16" t="n"/>
      <c r="R801" s="18" t="n"/>
      <c r="S801" s="16" t="n"/>
    </row>
    <row r="802">
      <c r="A802" s="14">
        <f>IFERROR(IF(AND(IFERROR(INDEX(ERP資料!$A:$A, (MATCH(801, 輔助計算!$F$2:$F$801, 0)+1)), "")&lt;&gt;"", IFERROR(INDEX(ERP資料!$A:$A, (MATCH(801, 輔助計算!$F$2:$F$801, 0)+1)), "")&lt;&gt;IFERROR(INDEX(ERP資料!$A:$A, MATCH(800, 輔助計算!$F$2:$F$801, 0)+1), "")), INDEX(ERP資料!$B:$B, (MATCH(801, 輔助計算!$F$2:$F$801, 0)+1)), ""), "")</f>
        <v/>
      </c>
      <c r="B802" s="10">
        <f>IFERROR(IF(AND(IFERROR(INDEX(ERP資料!$A:$A, (MATCH(801, 輔助計算!$F$2:$F$801, 0)+1)), "")&lt;&gt;"", IFERROR(INDEX(ERP資料!$A:$A, (MATCH(801, 輔助計算!$F$2:$F$801, 0)+1)), "")&lt;&gt;IFERROR(INDEX(ERP資料!$A:$A, MATCH(800, 輔助計算!$F$2:$F$801, 0)+1), "")), IFERROR(INDEX(ERP資料!$A:$A, (MATCH(801, 輔助計算!$F$2:$F$801, 0)+1)), ""), ""), "")</f>
        <v/>
      </c>
      <c r="C802" s="10">
        <f>IFERROR(IF(AND(IFERROR(INDEX(ERP資料!$A:$A, (MATCH(801, 輔助計算!$F$2:$F$801, 0)+1)), "")&lt;&gt;"", IFERROR(INDEX(ERP資料!$A:$A, (MATCH(801, 輔助計算!$F$2:$F$801, 0)+1)), "")&lt;&gt;IFERROR(INDEX(ERP資料!$A:$A, MATCH(800, 輔助計算!$F$2:$F$801, 0)+1), "")), INDEX(ERP資料!$S:$S, (MATCH(801, 輔助計算!$F$2:$F$801, 0)+1)), ""), "")</f>
        <v/>
      </c>
      <c r="D802" s="10">
        <f>IFERROR(IF(INDEX(ERP資料!$E:$E, (MATCH(801, 輔助計算!$F$2:$F$801, 0)+1))="","",TRIM(INDEX(ERP資料!$E:$E, (MATCH(801, 輔助計算!$F$2:$F$801, 0)+1)))), "")</f>
        <v/>
      </c>
      <c r="E802" s="10">
        <f>IFERROR(IF(INDEX(ERP資料!$F:$F, (MATCH(801, 輔助計算!$F$2:$F$801, 0)+1))="","",INDEX(ERP資料!$F:$F, (MATCH(801, 輔助計算!$F$2:$F$801, 0)+1))), "")</f>
        <v/>
      </c>
      <c r="F802" s="10">
        <f>IFERROR(IF(INDEX(ERP資料!$G:$G, (MATCH(801, 輔助計算!$F$2:$F$801, 0)+1))="","",INDEX(ERP資料!$G:$G, (MATCH(801, 輔助計算!$F$2:$F$801, 0)+1))), "")</f>
        <v/>
      </c>
      <c r="G802" s="10">
        <f>IFERROR(IF(INDEX(ERP資料!$H:$H, (MATCH(801, 輔助計算!$F$2:$F$801, 0)+1))="","",INDEX(ERP資料!$H:$H, (MATCH(801, 輔助計算!$F$2:$F$801, 0)+1))), "")</f>
        <v/>
      </c>
      <c r="H802" s="10">
        <f>IFERROR(IF(INDEX(ERP資料!$O:$O, (MATCH(801, 輔助計算!$F$2:$F$801, 0)+1))="","",INDEX(ERP資料!$O:$O, (MATCH(801, 輔助計算!$F$2:$F$801, 0)+1))), "")</f>
        <v/>
      </c>
      <c r="I802" s="15">
        <f>IFERROR(IF(INDEX(輔助計算!$D:$D,(MATCH(801, 輔助計算!$F$2:$F$801, 0)+1))="","",INDEX(輔助計算!$D:$D,(MATCH(801, 輔助計算!$F$2:$F$801, 0)+1))*INDEX(ERP資料!$O:$O,(MATCH(801, 輔助計算!$F$2:$F$801, 0)+1))), "")</f>
        <v/>
      </c>
      <c r="J802" s="16" t="n"/>
      <c r="K802" s="15">
        <f>IFERROR(INDEX(輔助計算!$D:$D, (MATCH(801, 輔助計算!$F$2:$F$801, 0)+1)), "")</f>
        <v/>
      </c>
      <c r="L802" s="16">
        <f>IFERROR(IF(AND(IFERROR(VLOOKUP(LEFT(INDEX(ERP資料!$S:$S, (MATCH(801, 輔助計算!$F$2:$F$801, 0)+1)), 4), 100張客戶!$A:$A, 1, FALSE), "")&lt;&gt;"", OR(INDEX(ERP資料!$F:$F, (MATCH(801, 輔助計算!$F$2:$F$801, 0)+1))=270, INDEX(ERP資料!$F:$F, (MATCH(801, 輔助計算!$F$2:$F$801, 0)+1))=300)), "100張", ""), "")</f>
        <v/>
      </c>
      <c r="M802" s="17" t="n"/>
      <c r="N802" s="17">
        <f>IF($F802="","",$F802)</f>
        <v/>
      </c>
      <c r="O802" s="17">
        <f>IF($G802="","",$G802)</f>
        <v/>
      </c>
      <c r="P802" s="17">
        <f>IF($K802="","",$K802)</f>
        <v/>
      </c>
      <c r="Q802" s="16" t="n"/>
      <c r="R802" s="18" t="n"/>
      <c r="S802" s="16" t="n"/>
    </row>
    <row r="803">
      <c r="A803" s="14">
        <f>IFERROR(IF(AND(IFERROR(INDEX(ERP資料!$A:$A, (MATCH(802, 輔助計算!$F$2:$F$801, 0)+1)), "")&lt;&gt;"", IFERROR(INDEX(ERP資料!$A:$A, (MATCH(802, 輔助計算!$F$2:$F$801, 0)+1)), "")&lt;&gt;IFERROR(INDEX(ERP資料!$A:$A, MATCH(801, 輔助計算!$F$2:$F$801, 0)+1), "")), INDEX(ERP資料!$B:$B, (MATCH(802, 輔助計算!$F$2:$F$801, 0)+1)), ""), "")</f>
        <v/>
      </c>
      <c r="B803" s="10">
        <f>IFERROR(IF(AND(IFERROR(INDEX(ERP資料!$A:$A, (MATCH(802, 輔助計算!$F$2:$F$801, 0)+1)), "")&lt;&gt;"", IFERROR(INDEX(ERP資料!$A:$A, (MATCH(802, 輔助計算!$F$2:$F$801, 0)+1)), "")&lt;&gt;IFERROR(INDEX(ERP資料!$A:$A, MATCH(801, 輔助計算!$F$2:$F$801, 0)+1), "")), IFERROR(INDEX(ERP資料!$A:$A, (MATCH(802, 輔助計算!$F$2:$F$801, 0)+1)), ""), ""), "")</f>
        <v/>
      </c>
      <c r="C803" s="10">
        <f>IFERROR(IF(AND(IFERROR(INDEX(ERP資料!$A:$A, (MATCH(802, 輔助計算!$F$2:$F$801, 0)+1)), "")&lt;&gt;"", IFERROR(INDEX(ERP資料!$A:$A, (MATCH(802, 輔助計算!$F$2:$F$801, 0)+1)), "")&lt;&gt;IFERROR(INDEX(ERP資料!$A:$A, MATCH(801, 輔助計算!$F$2:$F$801, 0)+1), "")), INDEX(ERP資料!$S:$S, (MATCH(802, 輔助計算!$F$2:$F$801, 0)+1)), ""), "")</f>
        <v/>
      </c>
      <c r="D803" s="10">
        <f>IFERROR(IF(INDEX(ERP資料!$E:$E, (MATCH(802, 輔助計算!$F$2:$F$801, 0)+1))="","",TRIM(INDEX(ERP資料!$E:$E, (MATCH(802, 輔助計算!$F$2:$F$801, 0)+1)))), "")</f>
        <v/>
      </c>
      <c r="E803" s="10">
        <f>IFERROR(IF(INDEX(ERP資料!$F:$F, (MATCH(802, 輔助計算!$F$2:$F$801, 0)+1))="","",INDEX(ERP資料!$F:$F, (MATCH(802, 輔助計算!$F$2:$F$801, 0)+1))), "")</f>
        <v/>
      </c>
      <c r="F803" s="10">
        <f>IFERROR(IF(INDEX(ERP資料!$G:$G, (MATCH(802, 輔助計算!$F$2:$F$801, 0)+1))="","",INDEX(ERP資料!$G:$G, (MATCH(802, 輔助計算!$F$2:$F$801, 0)+1))), "")</f>
        <v/>
      </c>
      <c r="G803" s="10">
        <f>IFERROR(IF(INDEX(ERP資料!$H:$H, (MATCH(802, 輔助計算!$F$2:$F$801, 0)+1))="","",INDEX(ERP資料!$H:$H, (MATCH(802, 輔助計算!$F$2:$F$801, 0)+1))), "")</f>
        <v/>
      </c>
      <c r="H803" s="10">
        <f>IFERROR(IF(INDEX(ERP資料!$O:$O, (MATCH(802, 輔助計算!$F$2:$F$801, 0)+1))="","",INDEX(ERP資料!$O:$O, (MATCH(802, 輔助計算!$F$2:$F$801, 0)+1))), "")</f>
        <v/>
      </c>
      <c r="I803" s="15">
        <f>IFERROR(IF(INDEX(輔助計算!$D:$D,(MATCH(802, 輔助計算!$F$2:$F$801, 0)+1))="","",INDEX(輔助計算!$D:$D,(MATCH(802, 輔助計算!$F$2:$F$801, 0)+1))*INDEX(ERP資料!$O:$O,(MATCH(802, 輔助計算!$F$2:$F$801, 0)+1))), "")</f>
        <v/>
      </c>
      <c r="J803" s="16" t="n"/>
      <c r="K803" s="15">
        <f>IFERROR(INDEX(輔助計算!$D:$D, (MATCH(802, 輔助計算!$F$2:$F$801, 0)+1)), "")</f>
        <v/>
      </c>
      <c r="L803" s="16">
        <f>IFERROR(IF(AND(IFERROR(VLOOKUP(LEFT(INDEX(ERP資料!$S:$S, (MATCH(802, 輔助計算!$F$2:$F$801, 0)+1)), 4), 100張客戶!$A:$A, 1, FALSE), "")&lt;&gt;"", OR(INDEX(ERP資料!$F:$F, (MATCH(802, 輔助計算!$F$2:$F$801, 0)+1))=270, INDEX(ERP資料!$F:$F, (MATCH(802, 輔助計算!$F$2:$F$801, 0)+1))=300)), "100張", ""), "")</f>
        <v/>
      </c>
      <c r="M803" s="17" t="n"/>
      <c r="N803" s="17">
        <f>IF($F803="","",$F803)</f>
        <v/>
      </c>
      <c r="O803" s="17">
        <f>IF($G803="","",$G803)</f>
        <v/>
      </c>
      <c r="P803" s="17">
        <f>IF($K803="","",$K803)</f>
        <v/>
      </c>
      <c r="Q803" s="16" t="n"/>
      <c r="R803" s="18" t="n"/>
      <c r="S803" s="16" t="n"/>
    </row>
    <row r="804">
      <c r="A804" s="14">
        <f>IFERROR(IF(AND(IFERROR(INDEX(ERP資料!$A:$A, (MATCH(803, 輔助計算!$F$2:$F$801, 0)+1)), "")&lt;&gt;"", IFERROR(INDEX(ERP資料!$A:$A, (MATCH(803, 輔助計算!$F$2:$F$801, 0)+1)), "")&lt;&gt;IFERROR(INDEX(ERP資料!$A:$A, MATCH(802, 輔助計算!$F$2:$F$801, 0)+1), "")), INDEX(ERP資料!$B:$B, (MATCH(803, 輔助計算!$F$2:$F$801, 0)+1)), ""), "")</f>
        <v/>
      </c>
      <c r="B804" s="10">
        <f>IFERROR(IF(AND(IFERROR(INDEX(ERP資料!$A:$A, (MATCH(803, 輔助計算!$F$2:$F$801, 0)+1)), "")&lt;&gt;"", IFERROR(INDEX(ERP資料!$A:$A, (MATCH(803, 輔助計算!$F$2:$F$801, 0)+1)), "")&lt;&gt;IFERROR(INDEX(ERP資料!$A:$A, MATCH(802, 輔助計算!$F$2:$F$801, 0)+1), "")), IFERROR(INDEX(ERP資料!$A:$A, (MATCH(803, 輔助計算!$F$2:$F$801, 0)+1)), ""), ""), "")</f>
        <v/>
      </c>
      <c r="C804" s="10">
        <f>IFERROR(IF(AND(IFERROR(INDEX(ERP資料!$A:$A, (MATCH(803, 輔助計算!$F$2:$F$801, 0)+1)), "")&lt;&gt;"", IFERROR(INDEX(ERP資料!$A:$A, (MATCH(803, 輔助計算!$F$2:$F$801, 0)+1)), "")&lt;&gt;IFERROR(INDEX(ERP資料!$A:$A, MATCH(802, 輔助計算!$F$2:$F$801, 0)+1), "")), INDEX(ERP資料!$S:$S, (MATCH(803, 輔助計算!$F$2:$F$801, 0)+1)), ""), "")</f>
        <v/>
      </c>
      <c r="D804" s="10">
        <f>IFERROR(IF(INDEX(ERP資料!$E:$E, (MATCH(803, 輔助計算!$F$2:$F$801, 0)+1))="","",TRIM(INDEX(ERP資料!$E:$E, (MATCH(803, 輔助計算!$F$2:$F$801, 0)+1)))), "")</f>
        <v/>
      </c>
      <c r="E804" s="10">
        <f>IFERROR(IF(INDEX(ERP資料!$F:$F, (MATCH(803, 輔助計算!$F$2:$F$801, 0)+1))="","",INDEX(ERP資料!$F:$F, (MATCH(803, 輔助計算!$F$2:$F$801, 0)+1))), "")</f>
        <v/>
      </c>
      <c r="F804" s="10">
        <f>IFERROR(IF(INDEX(ERP資料!$G:$G, (MATCH(803, 輔助計算!$F$2:$F$801, 0)+1))="","",INDEX(ERP資料!$G:$G, (MATCH(803, 輔助計算!$F$2:$F$801, 0)+1))), "")</f>
        <v/>
      </c>
      <c r="G804" s="10">
        <f>IFERROR(IF(INDEX(ERP資料!$H:$H, (MATCH(803, 輔助計算!$F$2:$F$801, 0)+1))="","",INDEX(ERP資料!$H:$H, (MATCH(803, 輔助計算!$F$2:$F$801, 0)+1))), "")</f>
        <v/>
      </c>
      <c r="H804" s="10">
        <f>IFERROR(IF(INDEX(ERP資料!$O:$O, (MATCH(803, 輔助計算!$F$2:$F$801, 0)+1))="","",INDEX(ERP資料!$O:$O, (MATCH(803, 輔助計算!$F$2:$F$801, 0)+1))), "")</f>
        <v/>
      </c>
      <c r="I804" s="15">
        <f>IFERROR(IF(INDEX(輔助計算!$D:$D,(MATCH(803, 輔助計算!$F$2:$F$801, 0)+1))="","",INDEX(輔助計算!$D:$D,(MATCH(803, 輔助計算!$F$2:$F$801, 0)+1))*INDEX(ERP資料!$O:$O,(MATCH(803, 輔助計算!$F$2:$F$801, 0)+1))), "")</f>
        <v/>
      </c>
      <c r="J804" s="16" t="n"/>
      <c r="K804" s="15">
        <f>IFERROR(INDEX(輔助計算!$D:$D, (MATCH(803, 輔助計算!$F$2:$F$801, 0)+1)), "")</f>
        <v/>
      </c>
      <c r="L804" s="16">
        <f>IFERROR(IF(AND(IFERROR(VLOOKUP(LEFT(INDEX(ERP資料!$S:$S, (MATCH(803, 輔助計算!$F$2:$F$801, 0)+1)), 4), 100張客戶!$A:$A, 1, FALSE), "")&lt;&gt;"", OR(INDEX(ERP資料!$F:$F, (MATCH(803, 輔助計算!$F$2:$F$801, 0)+1))=270, INDEX(ERP資料!$F:$F, (MATCH(803, 輔助計算!$F$2:$F$801, 0)+1))=300)), "100張", ""), "")</f>
        <v/>
      </c>
      <c r="M804" s="17" t="n"/>
      <c r="N804" s="17">
        <f>IF($F804="","",$F804)</f>
        <v/>
      </c>
      <c r="O804" s="17">
        <f>IF($G804="","",$G804)</f>
        <v/>
      </c>
      <c r="P804" s="17">
        <f>IF($K804="","",$K804)</f>
        <v/>
      </c>
      <c r="Q804" s="16" t="n"/>
      <c r="R804" s="18" t="n"/>
      <c r="S804" s="16" t="n"/>
    </row>
    <row r="805">
      <c r="A805" s="14">
        <f>IFERROR(IF(AND(IFERROR(INDEX(ERP資料!$A:$A, (MATCH(804, 輔助計算!$F$2:$F$801, 0)+1)), "")&lt;&gt;"", IFERROR(INDEX(ERP資料!$A:$A, (MATCH(804, 輔助計算!$F$2:$F$801, 0)+1)), "")&lt;&gt;IFERROR(INDEX(ERP資料!$A:$A, MATCH(803, 輔助計算!$F$2:$F$801, 0)+1), "")), INDEX(ERP資料!$B:$B, (MATCH(804, 輔助計算!$F$2:$F$801, 0)+1)), ""), "")</f>
        <v/>
      </c>
      <c r="B805" s="10">
        <f>IFERROR(IF(AND(IFERROR(INDEX(ERP資料!$A:$A, (MATCH(804, 輔助計算!$F$2:$F$801, 0)+1)), "")&lt;&gt;"", IFERROR(INDEX(ERP資料!$A:$A, (MATCH(804, 輔助計算!$F$2:$F$801, 0)+1)), "")&lt;&gt;IFERROR(INDEX(ERP資料!$A:$A, MATCH(803, 輔助計算!$F$2:$F$801, 0)+1), "")), IFERROR(INDEX(ERP資料!$A:$A, (MATCH(804, 輔助計算!$F$2:$F$801, 0)+1)), ""), ""), "")</f>
        <v/>
      </c>
      <c r="C805" s="10">
        <f>IFERROR(IF(AND(IFERROR(INDEX(ERP資料!$A:$A, (MATCH(804, 輔助計算!$F$2:$F$801, 0)+1)), "")&lt;&gt;"", IFERROR(INDEX(ERP資料!$A:$A, (MATCH(804, 輔助計算!$F$2:$F$801, 0)+1)), "")&lt;&gt;IFERROR(INDEX(ERP資料!$A:$A, MATCH(803, 輔助計算!$F$2:$F$801, 0)+1), "")), INDEX(ERP資料!$S:$S, (MATCH(804, 輔助計算!$F$2:$F$801, 0)+1)), ""), "")</f>
        <v/>
      </c>
      <c r="D805" s="10">
        <f>IFERROR(IF(INDEX(ERP資料!$E:$E, (MATCH(804, 輔助計算!$F$2:$F$801, 0)+1))="","",TRIM(INDEX(ERP資料!$E:$E, (MATCH(804, 輔助計算!$F$2:$F$801, 0)+1)))), "")</f>
        <v/>
      </c>
      <c r="E805" s="10">
        <f>IFERROR(IF(INDEX(ERP資料!$F:$F, (MATCH(804, 輔助計算!$F$2:$F$801, 0)+1))="","",INDEX(ERP資料!$F:$F, (MATCH(804, 輔助計算!$F$2:$F$801, 0)+1))), "")</f>
        <v/>
      </c>
      <c r="F805" s="10">
        <f>IFERROR(IF(INDEX(ERP資料!$G:$G, (MATCH(804, 輔助計算!$F$2:$F$801, 0)+1))="","",INDEX(ERP資料!$G:$G, (MATCH(804, 輔助計算!$F$2:$F$801, 0)+1))), "")</f>
        <v/>
      </c>
      <c r="G805" s="10">
        <f>IFERROR(IF(INDEX(ERP資料!$H:$H, (MATCH(804, 輔助計算!$F$2:$F$801, 0)+1))="","",INDEX(ERP資料!$H:$H, (MATCH(804, 輔助計算!$F$2:$F$801, 0)+1))), "")</f>
        <v/>
      </c>
      <c r="H805" s="10">
        <f>IFERROR(IF(INDEX(ERP資料!$O:$O, (MATCH(804, 輔助計算!$F$2:$F$801, 0)+1))="","",INDEX(ERP資料!$O:$O, (MATCH(804, 輔助計算!$F$2:$F$801, 0)+1))), "")</f>
        <v/>
      </c>
      <c r="I805" s="15">
        <f>IFERROR(IF(INDEX(輔助計算!$D:$D,(MATCH(804, 輔助計算!$F$2:$F$801, 0)+1))="","",INDEX(輔助計算!$D:$D,(MATCH(804, 輔助計算!$F$2:$F$801, 0)+1))*INDEX(ERP資料!$O:$O,(MATCH(804, 輔助計算!$F$2:$F$801, 0)+1))), "")</f>
        <v/>
      </c>
      <c r="J805" s="16" t="n"/>
      <c r="K805" s="15">
        <f>IFERROR(INDEX(輔助計算!$D:$D, (MATCH(804, 輔助計算!$F$2:$F$801, 0)+1)), "")</f>
        <v/>
      </c>
      <c r="L805" s="16">
        <f>IFERROR(IF(AND(IFERROR(VLOOKUP(LEFT(INDEX(ERP資料!$S:$S, (MATCH(804, 輔助計算!$F$2:$F$801, 0)+1)), 4), 100張客戶!$A:$A, 1, FALSE), "")&lt;&gt;"", OR(INDEX(ERP資料!$F:$F, (MATCH(804, 輔助計算!$F$2:$F$801, 0)+1))=270, INDEX(ERP資料!$F:$F, (MATCH(804, 輔助計算!$F$2:$F$801, 0)+1))=300)), "100張", ""), "")</f>
        <v/>
      </c>
      <c r="M805" s="17" t="n"/>
      <c r="N805" s="17">
        <f>IF($F805="","",$F805)</f>
        <v/>
      </c>
      <c r="O805" s="17">
        <f>IF($G805="","",$G805)</f>
        <v/>
      </c>
      <c r="P805" s="17">
        <f>IF($K805="","",$K805)</f>
        <v/>
      </c>
      <c r="Q805" s="16" t="n"/>
      <c r="R805" s="18" t="n"/>
      <c r="S805" s="16" t="n"/>
    </row>
    <row r="806">
      <c r="A806" s="14">
        <f>IFERROR(IF(AND(IFERROR(INDEX(ERP資料!$A:$A, (MATCH(805, 輔助計算!$F$2:$F$801, 0)+1)), "")&lt;&gt;"", IFERROR(INDEX(ERP資料!$A:$A, (MATCH(805, 輔助計算!$F$2:$F$801, 0)+1)), "")&lt;&gt;IFERROR(INDEX(ERP資料!$A:$A, MATCH(804, 輔助計算!$F$2:$F$801, 0)+1), "")), INDEX(ERP資料!$B:$B, (MATCH(805, 輔助計算!$F$2:$F$801, 0)+1)), ""), "")</f>
        <v/>
      </c>
      <c r="B806" s="10">
        <f>IFERROR(IF(AND(IFERROR(INDEX(ERP資料!$A:$A, (MATCH(805, 輔助計算!$F$2:$F$801, 0)+1)), "")&lt;&gt;"", IFERROR(INDEX(ERP資料!$A:$A, (MATCH(805, 輔助計算!$F$2:$F$801, 0)+1)), "")&lt;&gt;IFERROR(INDEX(ERP資料!$A:$A, MATCH(804, 輔助計算!$F$2:$F$801, 0)+1), "")), IFERROR(INDEX(ERP資料!$A:$A, (MATCH(805, 輔助計算!$F$2:$F$801, 0)+1)), ""), ""), "")</f>
        <v/>
      </c>
      <c r="C806" s="10">
        <f>IFERROR(IF(AND(IFERROR(INDEX(ERP資料!$A:$A, (MATCH(805, 輔助計算!$F$2:$F$801, 0)+1)), "")&lt;&gt;"", IFERROR(INDEX(ERP資料!$A:$A, (MATCH(805, 輔助計算!$F$2:$F$801, 0)+1)), "")&lt;&gt;IFERROR(INDEX(ERP資料!$A:$A, MATCH(804, 輔助計算!$F$2:$F$801, 0)+1), "")), INDEX(ERP資料!$S:$S, (MATCH(805, 輔助計算!$F$2:$F$801, 0)+1)), ""), "")</f>
        <v/>
      </c>
      <c r="D806" s="10">
        <f>IFERROR(IF(INDEX(ERP資料!$E:$E, (MATCH(805, 輔助計算!$F$2:$F$801, 0)+1))="","",TRIM(INDEX(ERP資料!$E:$E, (MATCH(805, 輔助計算!$F$2:$F$801, 0)+1)))), "")</f>
        <v/>
      </c>
      <c r="E806" s="10">
        <f>IFERROR(IF(INDEX(ERP資料!$F:$F, (MATCH(805, 輔助計算!$F$2:$F$801, 0)+1))="","",INDEX(ERP資料!$F:$F, (MATCH(805, 輔助計算!$F$2:$F$801, 0)+1))), "")</f>
        <v/>
      </c>
      <c r="F806" s="10">
        <f>IFERROR(IF(INDEX(ERP資料!$G:$G, (MATCH(805, 輔助計算!$F$2:$F$801, 0)+1))="","",INDEX(ERP資料!$G:$G, (MATCH(805, 輔助計算!$F$2:$F$801, 0)+1))), "")</f>
        <v/>
      </c>
      <c r="G806" s="10">
        <f>IFERROR(IF(INDEX(ERP資料!$H:$H, (MATCH(805, 輔助計算!$F$2:$F$801, 0)+1))="","",INDEX(ERP資料!$H:$H, (MATCH(805, 輔助計算!$F$2:$F$801, 0)+1))), "")</f>
        <v/>
      </c>
      <c r="H806" s="10">
        <f>IFERROR(IF(INDEX(ERP資料!$O:$O, (MATCH(805, 輔助計算!$F$2:$F$801, 0)+1))="","",INDEX(ERP資料!$O:$O, (MATCH(805, 輔助計算!$F$2:$F$801, 0)+1))), "")</f>
        <v/>
      </c>
      <c r="I806" s="15">
        <f>IFERROR(IF(INDEX(輔助計算!$D:$D,(MATCH(805, 輔助計算!$F$2:$F$801, 0)+1))="","",INDEX(輔助計算!$D:$D,(MATCH(805, 輔助計算!$F$2:$F$801, 0)+1))*INDEX(ERP資料!$O:$O,(MATCH(805, 輔助計算!$F$2:$F$801, 0)+1))), "")</f>
        <v/>
      </c>
      <c r="J806" s="16" t="n"/>
      <c r="K806" s="15">
        <f>IFERROR(INDEX(輔助計算!$D:$D, (MATCH(805, 輔助計算!$F$2:$F$801, 0)+1)), "")</f>
        <v/>
      </c>
      <c r="L806" s="16">
        <f>IFERROR(IF(AND(IFERROR(VLOOKUP(LEFT(INDEX(ERP資料!$S:$S, (MATCH(805, 輔助計算!$F$2:$F$801, 0)+1)), 4), 100張客戶!$A:$A, 1, FALSE), "")&lt;&gt;"", OR(INDEX(ERP資料!$F:$F, (MATCH(805, 輔助計算!$F$2:$F$801, 0)+1))=270, INDEX(ERP資料!$F:$F, (MATCH(805, 輔助計算!$F$2:$F$801, 0)+1))=300)), "100張", ""), "")</f>
        <v/>
      </c>
      <c r="M806" s="17" t="n"/>
      <c r="N806" s="17">
        <f>IF($F806="","",$F806)</f>
        <v/>
      </c>
      <c r="O806" s="17">
        <f>IF($G806="","",$G806)</f>
        <v/>
      </c>
      <c r="P806" s="17">
        <f>IF($K806="","",$K806)</f>
        <v/>
      </c>
      <c r="Q806" s="16" t="n"/>
      <c r="R806" s="18" t="n"/>
      <c r="S806" s="16" t="n"/>
    </row>
    <row r="807">
      <c r="A807" s="14">
        <f>IFERROR(IF(AND(IFERROR(INDEX(ERP資料!$A:$A, (MATCH(806, 輔助計算!$F$2:$F$801, 0)+1)), "")&lt;&gt;"", IFERROR(INDEX(ERP資料!$A:$A, (MATCH(806, 輔助計算!$F$2:$F$801, 0)+1)), "")&lt;&gt;IFERROR(INDEX(ERP資料!$A:$A, MATCH(805, 輔助計算!$F$2:$F$801, 0)+1), "")), INDEX(ERP資料!$B:$B, (MATCH(806, 輔助計算!$F$2:$F$801, 0)+1)), ""), "")</f>
        <v/>
      </c>
      <c r="B807" s="10">
        <f>IFERROR(IF(AND(IFERROR(INDEX(ERP資料!$A:$A, (MATCH(806, 輔助計算!$F$2:$F$801, 0)+1)), "")&lt;&gt;"", IFERROR(INDEX(ERP資料!$A:$A, (MATCH(806, 輔助計算!$F$2:$F$801, 0)+1)), "")&lt;&gt;IFERROR(INDEX(ERP資料!$A:$A, MATCH(805, 輔助計算!$F$2:$F$801, 0)+1), "")), IFERROR(INDEX(ERP資料!$A:$A, (MATCH(806, 輔助計算!$F$2:$F$801, 0)+1)), ""), ""), "")</f>
        <v/>
      </c>
      <c r="C807" s="10">
        <f>IFERROR(IF(AND(IFERROR(INDEX(ERP資料!$A:$A, (MATCH(806, 輔助計算!$F$2:$F$801, 0)+1)), "")&lt;&gt;"", IFERROR(INDEX(ERP資料!$A:$A, (MATCH(806, 輔助計算!$F$2:$F$801, 0)+1)), "")&lt;&gt;IFERROR(INDEX(ERP資料!$A:$A, MATCH(805, 輔助計算!$F$2:$F$801, 0)+1), "")), INDEX(ERP資料!$S:$S, (MATCH(806, 輔助計算!$F$2:$F$801, 0)+1)), ""), "")</f>
        <v/>
      </c>
      <c r="D807" s="10">
        <f>IFERROR(IF(INDEX(ERP資料!$E:$E, (MATCH(806, 輔助計算!$F$2:$F$801, 0)+1))="","",TRIM(INDEX(ERP資料!$E:$E, (MATCH(806, 輔助計算!$F$2:$F$801, 0)+1)))), "")</f>
        <v/>
      </c>
      <c r="E807" s="10">
        <f>IFERROR(IF(INDEX(ERP資料!$F:$F, (MATCH(806, 輔助計算!$F$2:$F$801, 0)+1))="","",INDEX(ERP資料!$F:$F, (MATCH(806, 輔助計算!$F$2:$F$801, 0)+1))), "")</f>
        <v/>
      </c>
      <c r="F807" s="10">
        <f>IFERROR(IF(INDEX(ERP資料!$G:$G, (MATCH(806, 輔助計算!$F$2:$F$801, 0)+1))="","",INDEX(ERP資料!$G:$G, (MATCH(806, 輔助計算!$F$2:$F$801, 0)+1))), "")</f>
        <v/>
      </c>
      <c r="G807" s="10">
        <f>IFERROR(IF(INDEX(ERP資料!$H:$H, (MATCH(806, 輔助計算!$F$2:$F$801, 0)+1))="","",INDEX(ERP資料!$H:$H, (MATCH(806, 輔助計算!$F$2:$F$801, 0)+1))), "")</f>
        <v/>
      </c>
      <c r="H807" s="10">
        <f>IFERROR(IF(INDEX(ERP資料!$O:$O, (MATCH(806, 輔助計算!$F$2:$F$801, 0)+1))="","",INDEX(ERP資料!$O:$O, (MATCH(806, 輔助計算!$F$2:$F$801, 0)+1))), "")</f>
        <v/>
      </c>
      <c r="I807" s="15">
        <f>IFERROR(IF(INDEX(輔助計算!$D:$D,(MATCH(806, 輔助計算!$F$2:$F$801, 0)+1))="","",INDEX(輔助計算!$D:$D,(MATCH(806, 輔助計算!$F$2:$F$801, 0)+1))*INDEX(ERP資料!$O:$O,(MATCH(806, 輔助計算!$F$2:$F$801, 0)+1))), "")</f>
        <v/>
      </c>
      <c r="J807" s="16" t="n"/>
      <c r="K807" s="15">
        <f>IFERROR(INDEX(輔助計算!$D:$D, (MATCH(806, 輔助計算!$F$2:$F$801, 0)+1)), "")</f>
        <v/>
      </c>
      <c r="L807" s="16">
        <f>IFERROR(IF(AND(IFERROR(VLOOKUP(LEFT(INDEX(ERP資料!$S:$S, (MATCH(806, 輔助計算!$F$2:$F$801, 0)+1)), 4), 100張客戶!$A:$A, 1, FALSE), "")&lt;&gt;"", OR(INDEX(ERP資料!$F:$F, (MATCH(806, 輔助計算!$F$2:$F$801, 0)+1))=270, INDEX(ERP資料!$F:$F, (MATCH(806, 輔助計算!$F$2:$F$801, 0)+1))=300)), "100張", ""), "")</f>
        <v/>
      </c>
      <c r="M807" s="17" t="n"/>
      <c r="N807" s="17">
        <f>IF($F807="","",$F807)</f>
        <v/>
      </c>
      <c r="O807" s="17">
        <f>IF($G807="","",$G807)</f>
        <v/>
      </c>
      <c r="P807" s="17">
        <f>IF($K807="","",$K807)</f>
        <v/>
      </c>
      <c r="Q807" s="16" t="n"/>
      <c r="R807" s="18" t="n"/>
      <c r="S807" s="16" t="n"/>
    </row>
    <row r="808">
      <c r="A808" s="14">
        <f>IFERROR(IF(AND(IFERROR(INDEX(ERP資料!$A:$A, (MATCH(807, 輔助計算!$F$2:$F$801, 0)+1)), "")&lt;&gt;"", IFERROR(INDEX(ERP資料!$A:$A, (MATCH(807, 輔助計算!$F$2:$F$801, 0)+1)), "")&lt;&gt;IFERROR(INDEX(ERP資料!$A:$A, MATCH(806, 輔助計算!$F$2:$F$801, 0)+1), "")), INDEX(ERP資料!$B:$B, (MATCH(807, 輔助計算!$F$2:$F$801, 0)+1)), ""), "")</f>
        <v/>
      </c>
      <c r="B808" s="10">
        <f>IFERROR(IF(AND(IFERROR(INDEX(ERP資料!$A:$A, (MATCH(807, 輔助計算!$F$2:$F$801, 0)+1)), "")&lt;&gt;"", IFERROR(INDEX(ERP資料!$A:$A, (MATCH(807, 輔助計算!$F$2:$F$801, 0)+1)), "")&lt;&gt;IFERROR(INDEX(ERP資料!$A:$A, MATCH(806, 輔助計算!$F$2:$F$801, 0)+1), "")), IFERROR(INDEX(ERP資料!$A:$A, (MATCH(807, 輔助計算!$F$2:$F$801, 0)+1)), ""), ""), "")</f>
        <v/>
      </c>
      <c r="C808" s="10">
        <f>IFERROR(IF(AND(IFERROR(INDEX(ERP資料!$A:$A, (MATCH(807, 輔助計算!$F$2:$F$801, 0)+1)), "")&lt;&gt;"", IFERROR(INDEX(ERP資料!$A:$A, (MATCH(807, 輔助計算!$F$2:$F$801, 0)+1)), "")&lt;&gt;IFERROR(INDEX(ERP資料!$A:$A, MATCH(806, 輔助計算!$F$2:$F$801, 0)+1), "")), INDEX(ERP資料!$S:$S, (MATCH(807, 輔助計算!$F$2:$F$801, 0)+1)), ""), "")</f>
        <v/>
      </c>
      <c r="D808" s="10">
        <f>IFERROR(IF(INDEX(ERP資料!$E:$E, (MATCH(807, 輔助計算!$F$2:$F$801, 0)+1))="","",TRIM(INDEX(ERP資料!$E:$E, (MATCH(807, 輔助計算!$F$2:$F$801, 0)+1)))), "")</f>
        <v/>
      </c>
      <c r="E808" s="10">
        <f>IFERROR(IF(INDEX(ERP資料!$F:$F, (MATCH(807, 輔助計算!$F$2:$F$801, 0)+1))="","",INDEX(ERP資料!$F:$F, (MATCH(807, 輔助計算!$F$2:$F$801, 0)+1))), "")</f>
        <v/>
      </c>
      <c r="F808" s="10">
        <f>IFERROR(IF(INDEX(ERP資料!$G:$G, (MATCH(807, 輔助計算!$F$2:$F$801, 0)+1))="","",INDEX(ERP資料!$G:$G, (MATCH(807, 輔助計算!$F$2:$F$801, 0)+1))), "")</f>
        <v/>
      </c>
      <c r="G808" s="10">
        <f>IFERROR(IF(INDEX(ERP資料!$H:$H, (MATCH(807, 輔助計算!$F$2:$F$801, 0)+1))="","",INDEX(ERP資料!$H:$H, (MATCH(807, 輔助計算!$F$2:$F$801, 0)+1))), "")</f>
        <v/>
      </c>
      <c r="H808" s="10">
        <f>IFERROR(IF(INDEX(ERP資料!$O:$O, (MATCH(807, 輔助計算!$F$2:$F$801, 0)+1))="","",INDEX(ERP資料!$O:$O, (MATCH(807, 輔助計算!$F$2:$F$801, 0)+1))), "")</f>
        <v/>
      </c>
      <c r="I808" s="15">
        <f>IFERROR(IF(INDEX(輔助計算!$D:$D,(MATCH(807, 輔助計算!$F$2:$F$801, 0)+1))="","",INDEX(輔助計算!$D:$D,(MATCH(807, 輔助計算!$F$2:$F$801, 0)+1))*INDEX(ERP資料!$O:$O,(MATCH(807, 輔助計算!$F$2:$F$801, 0)+1))), "")</f>
        <v/>
      </c>
      <c r="J808" s="16" t="n"/>
      <c r="K808" s="15">
        <f>IFERROR(INDEX(輔助計算!$D:$D, (MATCH(807, 輔助計算!$F$2:$F$801, 0)+1)), "")</f>
        <v/>
      </c>
      <c r="L808" s="16">
        <f>IFERROR(IF(AND(IFERROR(VLOOKUP(LEFT(INDEX(ERP資料!$S:$S, (MATCH(807, 輔助計算!$F$2:$F$801, 0)+1)), 4), 100張客戶!$A:$A, 1, FALSE), "")&lt;&gt;"", OR(INDEX(ERP資料!$F:$F, (MATCH(807, 輔助計算!$F$2:$F$801, 0)+1))=270, INDEX(ERP資料!$F:$F, (MATCH(807, 輔助計算!$F$2:$F$801, 0)+1))=300)), "100張", ""), "")</f>
        <v/>
      </c>
      <c r="M808" s="17" t="n"/>
      <c r="N808" s="17">
        <f>IF($F808="","",$F808)</f>
        <v/>
      </c>
      <c r="O808" s="17">
        <f>IF($G808="","",$G808)</f>
        <v/>
      </c>
      <c r="P808" s="17">
        <f>IF($K808="","",$K808)</f>
        <v/>
      </c>
      <c r="Q808" s="16" t="n"/>
      <c r="R808" s="18" t="n"/>
      <c r="S808" s="16" t="n"/>
    </row>
    <row r="809">
      <c r="A809" s="14">
        <f>IFERROR(IF(AND(IFERROR(INDEX(ERP資料!$A:$A, (MATCH(808, 輔助計算!$F$2:$F$801, 0)+1)), "")&lt;&gt;"", IFERROR(INDEX(ERP資料!$A:$A, (MATCH(808, 輔助計算!$F$2:$F$801, 0)+1)), "")&lt;&gt;IFERROR(INDEX(ERP資料!$A:$A, MATCH(807, 輔助計算!$F$2:$F$801, 0)+1), "")), INDEX(ERP資料!$B:$B, (MATCH(808, 輔助計算!$F$2:$F$801, 0)+1)), ""), "")</f>
        <v/>
      </c>
      <c r="B809" s="10">
        <f>IFERROR(IF(AND(IFERROR(INDEX(ERP資料!$A:$A, (MATCH(808, 輔助計算!$F$2:$F$801, 0)+1)), "")&lt;&gt;"", IFERROR(INDEX(ERP資料!$A:$A, (MATCH(808, 輔助計算!$F$2:$F$801, 0)+1)), "")&lt;&gt;IFERROR(INDEX(ERP資料!$A:$A, MATCH(807, 輔助計算!$F$2:$F$801, 0)+1), "")), IFERROR(INDEX(ERP資料!$A:$A, (MATCH(808, 輔助計算!$F$2:$F$801, 0)+1)), ""), ""), "")</f>
        <v/>
      </c>
      <c r="C809" s="10">
        <f>IFERROR(IF(AND(IFERROR(INDEX(ERP資料!$A:$A, (MATCH(808, 輔助計算!$F$2:$F$801, 0)+1)), "")&lt;&gt;"", IFERROR(INDEX(ERP資料!$A:$A, (MATCH(808, 輔助計算!$F$2:$F$801, 0)+1)), "")&lt;&gt;IFERROR(INDEX(ERP資料!$A:$A, MATCH(807, 輔助計算!$F$2:$F$801, 0)+1), "")), INDEX(ERP資料!$S:$S, (MATCH(808, 輔助計算!$F$2:$F$801, 0)+1)), ""), "")</f>
        <v/>
      </c>
      <c r="D809" s="10">
        <f>IFERROR(IF(INDEX(ERP資料!$E:$E, (MATCH(808, 輔助計算!$F$2:$F$801, 0)+1))="","",TRIM(INDEX(ERP資料!$E:$E, (MATCH(808, 輔助計算!$F$2:$F$801, 0)+1)))), "")</f>
        <v/>
      </c>
      <c r="E809" s="10">
        <f>IFERROR(IF(INDEX(ERP資料!$F:$F, (MATCH(808, 輔助計算!$F$2:$F$801, 0)+1))="","",INDEX(ERP資料!$F:$F, (MATCH(808, 輔助計算!$F$2:$F$801, 0)+1))), "")</f>
        <v/>
      </c>
      <c r="F809" s="10">
        <f>IFERROR(IF(INDEX(ERP資料!$G:$G, (MATCH(808, 輔助計算!$F$2:$F$801, 0)+1))="","",INDEX(ERP資料!$G:$G, (MATCH(808, 輔助計算!$F$2:$F$801, 0)+1))), "")</f>
        <v/>
      </c>
      <c r="G809" s="10">
        <f>IFERROR(IF(INDEX(ERP資料!$H:$H, (MATCH(808, 輔助計算!$F$2:$F$801, 0)+1))="","",INDEX(ERP資料!$H:$H, (MATCH(808, 輔助計算!$F$2:$F$801, 0)+1))), "")</f>
        <v/>
      </c>
      <c r="H809" s="10">
        <f>IFERROR(IF(INDEX(ERP資料!$O:$O, (MATCH(808, 輔助計算!$F$2:$F$801, 0)+1))="","",INDEX(ERP資料!$O:$O, (MATCH(808, 輔助計算!$F$2:$F$801, 0)+1))), "")</f>
        <v/>
      </c>
      <c r="I809" s="15">
        <f>IFERROR(IF(INDEX(輔助計算!$D:$D,(MATCH(808, 輔助計算!$F$2:$F$801, 0)+1))="","",INDEX(輔助計算!$D:$D,(MATCH(808, 輔助計算!$F$2:$F$801, 0)+1))*INDEX(ERP資料!$O:$O,(MATCH(808, 輔助計算!$F$2:$F$801, 0)+1))), "")</f>
        <v/>
      </c>
      <c r="J809" s="16" t="n"/>
      <c r="K809" s="15">
        <f>IFERROR(INDEX(輔助計算!$D:$D, (MATCH(808, 輔助計算!$F$2:$F$801, 0)+1)), "")</f>
        <v/>
      </c>
      <c r="L809" s="16">
        <f>IFERROR(IF(AND(IFERROR(VLOOKUP(LEFT(INDEX(ERP資料!$S:$S, (MATCH(808, 輔助計算!$F$2:$F$801, 0)+1)), 4), 100張客戶!$A:$A, 1, FALSE), "")&lt;&gt;"", OR(INDEX(ERP資料!$F:$F, (MATCH(808, 輔助計算!$F$2:$F$801, 0)+1))=270, INDEX(ERP資料!$F:$F, (MATCH(808, 輔助計算!$F$2:$F$801, 0)+1))=300)), "100張", ""), "")</f>
        <v/>
      </c>
      <c r="M809" s="17" t="n"/>
      <c r="N809" s="17">
        <f>IF($F809="","",$F809)</f>
        <v/>
      </c>
      <c r="O809" s="17">
        <f>IF($G809="","",$G809)</f>
        <v/>
      </c>
      <c r="P809" s="17">
        <f>IF($K809="","",$K809)</f>
        <v/>
      </c>
      <c r="Q809" s="16" t="n"/>
      <c r="R809" s="18" t="n"/>
      <c r="S809" s="16" t="n"/>
    </row>
    <row r="810">
      <c r="A810" s="14">
        <f>IFERROR(IF(AND(IFERROR(INDEX(ERP資料!$A:$A, (MATCH(809, 輔助計算!$F$2:$F$801, 0)+1)), "")&lt;&gt;"", IFERROR(INDEX(ERP資料!$A:$A, (MATCH(809, 輔助計算!$F$2:$F$801, 0)+1)), "")&lt;&gt;IFERROR(INDEX(ERP資料!$A:$A, MATCH(808, 輔助計算!$F$2:$F$801, 0)+1), "")), INDEX(ERP資料!$B:$B, (MATCH(809, 輔助計算!$F$2:$F$801, 0)+1)), ""), "")</f>
        <v/>
      </c>
      <c r="B810" s="10">
        <f>IFERROR(IF(AND(IFERROR(INDEX(ERP資料!$A:$A, (MATCH(809, 輔助計算!$F$2:$F$801, 0)+1)), "")&lt;&gt;"", IFERROR(INDEX(ERP資料!$A:$A, (MATCH(809, 輔助計算!$F$2:$F$801, 0)+1)), "")&lt;&gt;IFERROR(INDEX(ERP資料!$A:$A, MATCH(808, 輔助計算!$F$2:$F$801, 0)+1), "")), IFERROR(INDEX(ERP資料!$A:$A, (MATCH(809, 輔助計算!$F$2:$F$801, 0)+1)), ""), ""), "")</f>
        <v/>
      </c>
      <c r="C810" s="10">
        <f>IFERROR(IF(AND(IFERROR(INDEX(ERP資料!$A:$A, (MATCH(809, 輔助計算!$F$2:$F$801, 0)+1)), "")&lt;&gt;"", IFERROR(INDEX(ERP資料!$A:$A, (MATCH(809, 輔助計算!$F$2:$F$801, 0)+1)), "")&lt;&gt;IFERROR(INDEX(ERP資料!$A:$A, MATCH(808, 輔助計算!$F$2:$F$801, 0)+1), "")), INDEX(ERP資料!$S:$S, (MATCH(809, 輔助計算!$F$2:$F$801, 0)+1)), ""), "")</f>
        <v/>
      </c>
      <c r="D810" s="10">
        <f>IFERROR(IF(INDEX(ERP資料!$E:$E, (MATCH(809, 輔助計算!$F$2:$F$801, 0)+1))="","",TRIM(INDEX(ERP資料!$E:$E, (MATCH(809, 輔助計算!$F$2:$F$801, 0)+1)))), "")</f>
        <v/>
      </c>
      <c r="E810" s="10">
        <f>IFERROR(IF(INDEX(ERP資料!$F:$F, (MATCH(809, 輔助計算!$F$2:$F$801, 0)+1))="","",INDEX(ERP資料!$F:$F, (MATCH(809, 輔助計算!$F$2:$F$801, 0)+1))), "")</f>
        <v/>
      </c>
      <c r="F810" s="10">
        <f>IFERROR(IF(INDEX(ERP資料!$G:$G, (MATCH(809, 輔助計算!$F$2:$F$801, 0)+1))="","",INDEX(ERP資料!$G:$G, (MATCH(809, 輔助計算!$F$2:$F$801, 0)+1))), "")</f>
        <v/>
      </c>
      <c r="G810" s="10">
        <f>IFERROR(IF(INDEX(ERP資料!$H:$H, (MATCH(809, 輔助計算!$F$2:$F$801, 0)+1))="","",INDEX(ERP資料!$H:$H, (MATCH(809, 輔助計算!$F$2:$F$801, 0)+1))), "")</f>
        <v/>
      </c>
      <c r="H810" s="10">
        <f>IFERROR(IF(INDEX(ERP資料!$O:$O, (MATCH(809, 輔助計算!$F$2:$F$801, 0)+1))="","",INDEX(ERP資料!$O:$O, (MATCH(809, 輔助計算!$F$2:$F$801, 0)+1))), "")</f>
        <v/>
      </c>
      <c r="I810" s="15">
        <f>IFERROR(IF(INDEX(輔助計算!$D:$D,(MATCH(809, 輔助計算!$F$2:$F$801, 0)+1))="","",INDEX(輔助計算!$D:$D,(MATCH(809, 輔助計算!$F$2:$F$801, 0)+1))*INDEX(ERP資料!$O:$O,(MATCH(809, 輔助計算!$F$2:$F$801, 0)+1))), "")</f>
        <v/>
      </c>
      <c r="J810" s="16" t="n"/>
      <c r="K810" s="15">
        <f>IFERROR(INDEX(輔助計算!$D:$D, (MATCH(809, 輔助計算!$F$2:$F$801, 0)+1)), "")</f>
        <v/>
      </c>
      <c r="L810" s="16">
        <f>IFERROR(IF(AND(IFERROR(VLOOKUP(LEFT(INDEX(ERP資料!$S:$S, (MATCH(809, 輔助計算!$F$2:$F$801, 0)+1)), 4), 100張客戶!$A:$A, 1, FALSE), "")&lt;&gt;"", OR(INDEX(ERP資料!$F:$F, (MATCH(809, 輔助計算!$F$2:$F$801, 0)+1))=270, INDEX(ERP資料!$F:$F, (MATCH(809, 輔助計算!$F$2:$F$801, 0)+1))=300)), "100張", ""), "")</f>
        <v/>
      </c>
      <c r="M810" s="17" t="n"/>
      <c r="N810" s="17">
        <f>IF($F810="","",$F810)</f>
        <v/>
      </c>
      <c r="O810" s="17">
        <f>IF($G810="","",$G810)</f>
        <v/>
      </c>
      <c r="P810" s="17">
        <f>IF($K810="","",$K810)</f>
        <v/>
      </c>
      <c r="Q810" s="16" t="n"/>
      <c r="R810" s="18" t="n"/>
      <c r="S810" s="16" t="n"/>
    </row>
    <row r="811">
      <c r="A811" s="14">
        <f>IFERROR(IF(AND(IFERROR(INDEX(ERP資料!$A:$A, (MATCH(810, 輔助計算!$F$2:$F$801, 0)+1)), "")&lt;&gt;"", IFERROR(INDEX(ERP資料!$A:$A, (MATCH(810, 輔助計算!$F$2:$F$801, 0)+1)), "")&lt;&gt;IFERROR(INDEX(ERP資料!$A:$A, MATCH(809, 輔助計算!$F$2:$F$801, 0)+1), "")), INDEX(ERP資料!$B:$B, (MATCH(810, 輔助計算!$F$2:$F$801, 0)+1)), ""), "")</f>
        <v/>
      </c>
      <c r="B811" s="10">
        <f>IFERROR(IF(AND(IFERROR(INDEX(ERP資料!$A:$A, (MATCH(810, 輔助計算!$F$2:$F$801, 0)+1)), "")&lt;&gt;"", IFERROR(INDEX(ERP資料!$A:$A, (MATCH(810, 輔助計算!$F$2:$F$801, 0)+1)), "")&lt;&gt;IFERROR(INDEX(ERP資料!$A:$A, MATCH(809, 輔助計算!$F$2:$F$801, 0)+1), "")), IFERROR(INDEX(ERP資料!$A:$A, (MATCH(810, 輔助計算!$F$2:$F$801, 0)+1)), ""), ""), "")</f>
        <v/>
      </c>
      <c r="C811" s="10">
        <f>IFERROR(IF(AND(IFERROR(INDEX(ERP資料!$A:$A, (MATCH(810, 輔助計算!$F$2:$F$801, 0)+1)), "")&lt;&gt;"", IFERROR(INDEX(ERP資料!$A:$A, (MATCH(810, 輔助計算!$F$2:$F$801, 0)+1)), "")&lt;&gt;IFERROR(INDEX(ERP資料!$A:$A, MATCH(809, 輔助計算!$F$2:$F$801, 0)+1), "")), INDEX(ERP資料!$S:$S, (MATCH(810, 輔助計算!$F$2:$F$801, 0)+1)), ""), "")</f>
        <v/>
      </c>
      <c r="D811" s="10">
        <f>IFERROR(IF(INDEX(ERP資料!$E:$E, (MATCH(810, 輔助計算!$F$2:$F$801, 0)+1))="","",TRIM(INDEX(ERP資料!$E:$E, (MATCH(810, 輔助計算!$F$2:$F$801, 0)+1)))), "")</f>
        <v/>
      </c>
      <c r="E811" s="10">
        <f>IFERROR(IF(INDEX(ERP資料!$F:$F, (MATCH(810, 輔助計算!$F$2:$F$801, 0)+1))="","",INDEX(ERP資料!$F:$F, (MATCH(810, 輔助計算!$F$2:$F$801, 0)+1))), "")</f>
        <v/>
      </c>
      <c r="F811" s="10">
        <f>IFERROR(IF(INDEX(ERP資料!$G:$G, (MATCH(810, 輔助計算!$F$2:$F$801, 0)+1))="","",INDEX(ERP資料!$G:$G, (MATCH(810, 輔助計算!$F$2:$F$801, 0)+1))), "")</f>
        <v/>
      </c>
      <c r="G811" s="10">
        <f>IFERROR(IF(INDEX(ERP資料!$H:$H, (MATCH(810, 輔助計算!$F$2:$F$801, 0)+1))="","",INDEX(ERP資料!$H:$H, (MATCH(810, 輔助計算!$F$2:$F$801, 0)+1))), "")</f>
        <v/>
      </c>
      <c r="H811" s="10">
        <f>IFERROR(IF(INDEX(ERP資料!$O:$O, (MATCH(810, 輔助計算!$F$2:$F$801, 0)+1))="","",INDEX(ERP資料!$O:$O, (MATCH(810, 輔助計算!$F$2:$F$801, 0)+1))), "")</f>
        <v/>
      </c>
      <c r="I811" s="15">
        <f>IFERROR(IF(INDEX(輔助計算!$D:$D,(MATCH(810, 輔助計算!$F$2:$F$801, 0)+1))="","",INDEX(輔助計算!$D:$D,(MATCH(810, 輔助計算!$F$2:$F$801, 0)+1))*INDEX(ERP資料!$O:$O,(MATCH(810, 輔助計算!$F$2:$F$801, 0)+1))), "")</f>
        <v/>
      </c>
      <c r="J811" s="16" t="n"/>
      <c r="K811" s="15">
        <f>IFERROR(INDEX(輔助計算!$D:$D, (MATCH(810, 輔助計算!$F$2:$F$801, 0)+1)), "")</f>
        <v/>
      </c>
      <c r="L811" s="16">
        <f>IFERROR(IF(AND(IFERROR(VLOOKUP(LEFT(INDEX(ERP資料!$S:$S, (MATCH(810, 輔助計算!$F$2:$F$801, 0)+1)), 4), 100張客戶!$A:$A, 1, FALSE), "")&lt;&gt;"", OR(INDEX(ERP資料!$F:$F, (MATCH(810, 輔助計算!$F$2:$F$801, 0)+1))=270, INDEX(ERP資料!$F:$F, (MATCH(810, 輔助計算!$F$2:$F$801, 0)+1))=300)), "100張", ""), "")</f>
        <v/>
      </c>
      <c r="M811" s="17" t="n"/>
      <c r="N811" s="17">
        <f>IF($F811="","",$F811)</f>
        <v/>
      </c>
      <c r="O811" s="17">
        <f>IF($G811="","",$G811)</f>
        <v/>
      </c>
      <c r="P811" s="17">
        <f>IF($K811="","",$K811)</f>
        <v/>
      </c>
      <c r="Q811" s="16" t="n"/>
      <c r="R811" s="18" t="n"/>
      <c r="S811" s="16" t="n"/>
    </row>
    <row r="812">
      <c r="A812" s="14">
        <f>IFERROR(IF(AND(IFERROR(INDEX(ERP資料!$A:$A, (MATCH(811, 輔助計算!$F$2:$F$801, 0)+1)), "")&lt;&gt;"", IFERROR(INDEX(ERP資料!$A:$A, (MATCH(811, 輔助計算!$F$2:$F$801, 0)+1)), "")&lt;&gt;IFERROR(INDEX(ERP資料!$A:$A, MATCH(810, 輔助計算!$F$2:$F$801, 0)+1), "")), INDEX(ERP資料!$B:$B, (MATCH(811, 輔助計算!$F$2:$F$801, 0)+1)), ""), "")</f>
        <v/>
      </c>
      <c r="B812" s="10">
        <f>IFERROR(IF(AND(IFERROR(INDEX(ERP資料!$A:$A, (MATCH(811, 輔助計算!$F$2:$F$801, 0)+1)), "")&lt;&gt;"", IFERROR(INDEX(ERP資料!$A:$A, (MATCH(811, 輔助計算!$F$2:$F$801, 0)+1)), "")&lt;&gt;IFERROR(INDEX(ERP資料!$A:$A, MATCH(810, 輔助計算!$F$2:$F$801, 0)+1), "")), IFERROR(INDEX(ERP資料!$A:$A, (MATCH(811, 輔助計算!$F$2:$F$801, 0)+1)), ""), ""), "")</f>
        <v/>
      </c>
      <c r="C812" s="10">
        <f>IFERROR(IF(AND(IFERROR(INDEX(ERP資料!$A:$A, (MATCH(811, 輔助計算!$F$2:$F$801, 0)+1)), "")&lt;&gt;"", IFERROR(INDEX(ERP資料!$A:$A, (MATCH(811, 輔助計算!$F$2:$F$801, 0)+1)), "")&lt;&gt;IFERROR(INDEX(ERP資料!$A:$A, MATCH(810, 輔助計算!$F$2:$F$801, 0)+1), "")), INDEX(ERP資料!$S:$S, (MATCH(811, 輔助計算!$F$2:$F$801, 0)+1)), ""), "")</f>
        <v/>
      </c>
      <c r="D812" s="10">
        <f>IFERROR(IF(INDEX(ERP資料!$E:$E, (MATCH(811, 輔助計算!$F$2:$F$801, 0)+1))="","",TRIM(INDEX(ERP資料!$E:$E, (MATCH(811, 輔助計算!$F$2:$F$801, 0)+1)))), "")</f>
        <v/>
      </c>
      <c r="E812" s="10">
        <f>IFERROR(IF(INDEX(ERP資料!$F:$F, (MATCH(811, 輔助計算!$F$2:$F$801, 0)+1))="","",INDEX(ERP資料!$F:$F, (MATCH(811, 輔助計算!$F$2:$F$801, 0)+1))), "")</f>
        <v/>
      </c>
      <c r="F812" s="10">
        <f>IFERROR(IF(INDEX(ERP資料!$G:$G, (MATCH(811, 輔助計算!$F$2:$F$801, 0)+1))="","",INDEX(ERP資料!$G:$G, (MATCH(811, 輔助計算!$F$2:$F$801, 0)+1))), "")</f>
        <v/>
      </c>
      <c r="G812" s="10">
        <f>IFERROR(IF(INDEX(ERP資料!$H:$H, (MATCH(811, 輔助計算!$F$2:$F$801, 0)+1))="","",INDEX(ERP資料!$H:$H, (MATCH(811, 輔助計算!$F$2:$F$801, 0)+1))), "")</f>
        <v/>
      </c>
      <c r="H812" s="10">
        <f>IFERROR(IF(INDEX(ERP資料!$O:$O, (MATCH(811, 輔助計算!$F$2:$F$801, 0)+1))="","",INDEX(ERP資料!$O:$O, (MATCH(811, 輔助計算!$F$2:$F$801, 0)+1))), "")</f>
        <v/>
      </c>
      <c r="I812" s="15">
        <f>IFERROR(IF(INDEX(輔助計算!$D:$D,(MATCH(811, 輔助計算!$F$2:$F$801, 0)+1))="","",INDEX(輔助計算!$D:$D,(MATCH(811, 輔助計算!$F$2:$F$801, 0)+1))*INDEX(ERP資料!$O:$O,(MATCH(811, 輔助計算!$F$2:$F$801, 0)+1))), "")</f>
        <v/>
      </c>
      <c r="J812" s="16" t="n"/>
      <c r="K812" s="15">
        <f>IFERROR(INDEX(輔助計算!$D:$D, (MATCH(811, 輔助計算!$F$2:$F$801, 0)+1)), "")</f>
        <v/>
      </c>
      <c r="L812" s="16">
        <f>IFERROR(IF(AND(IFERROR(VLOOKUP(LEFT(INDEX(ERP資料!$S:$S, (MATCH(811, 輔助計算!$F$2:$F$801, 0)+1)), 4), 100張客戶!$A:$A, 1, FALSE), "")&lt;&gt;"", OR(INDEX(ERP資料!$F:$F, (MATCH(811, 輔助計算!$F$2:$F$801, 0)+1))=270, INDEX(ERP資料!$F:$F, (MATCH(811, 輔助計算!$F$2:$F$801, 0)+1))=300)), "100張", ""), "")</f>
        <v/>
      </c>
      <c r="M812" s="17" t="n"/>
      <c r="N812" s="17">
        <f>IF($F812="","",$F812)</f>
        <v/>
      </c>
      <c r="O812" s="17">
        <f>IF($G812="","",$G812)</f>
        <v/>
      </c>
      <c r="P812" s="17">
        <f>IF($K812="","",$K812)</f>
        <v/>
      </c>
      <c r="Q812" s="16" t="n"/>
      <c r="R812" s="18" t="n"/>
      <c r="S812" s="16" t="n"/>
    </row>
    <row r="813">
      <c r="A813" s="14">
        <f>IFERROR(IF(AND(IFERROR(INDEX(ERP資料!$A:$A, (MATCH(812, 輔助計算!$F$2:$F$801, 0)+1)), "")&lt;&gt;"", IFERROR(INDEX(ERP資料!$A:$A, (MATCH(812, 輔助計算!$F$2:$F$801, 0)+1)), "")&lt;&gt;IFERROR(INDEX(ERP資料!$A:$A, MATCH(811, 輔助計算!$F$2:$F$801, 0)+1), "")), INDEX(ERP資料!$B:$B, (MATCH(812, 輔助計算!$F$2:$F$801, 0)+1)), ""), "")</f>
        <v/>
      </c>
      <c r="B813" s="10">
        <f>IFERROR(IF(AND(IFERROR(INDEX(ERP資料!$A:$A, (MATCH(812, 輔助計算!$F$2:$F$801, 0)+1)), "")&lt;&gt;"", IFERROR(INDEX(ERP資料!$A:$A, (MATCH(812, 輔助計算!$F$2:$F$801, 0)+1)), "")&lt;&gt;IFERROR(INDEX(ERP資料!$A:$A, MATCH(811, 輔助計算!$F$2:$F$801, 0)+1), "")), IFERROR(INDEX(ERP資料!$A:$A, (MATCH(812, 輔助計算!$F$2:$F$801, 0)+1)), ""), ""), "")</f>
        <v/>
      </c>
      <c r="C813" s="10">
        <f>IFERROR(IF(AND(IFERROR(INDEX(ERP資料!$A:$A, (MATCH(812, 輔助計算!$F$2:$F$801, 0)+1)), "")&lt;&gt;"", IFERROR(INDEX(ERP資料!$A:$A, (MATCH(812, 輔助計算!$F$2:$F$801, 0)+1)), "")&lt;&gt;IFERROR(INDEX(ERP資料!$A:$A, MATCH(811, 輔助計算!$F$2:$F$801, 0)+1), "")), INDEX(ERP資料!$S:$S, (MATCH(812, 輔助計算!$F$2:$F$801, 0)+1)), ""), "")</f>
        <v/>
      </c>
      <c r="D813" s="10">
        <f>IFERROR(IF(INDEX(ERP資料!$E:$E, (MATCH(812, 輔助計算!$F$2:$F$801, 0)+1))="","",TRIM(INDEX(ERP資料!$E:$E, (MATCH(812, 輔助計算!$F$2:$F$801, 0)+1)))), "")</f>
        <v/>
      </c>
      <c r="E813" s="10">
        <f>IFERROR(IF(INDEX(ERP資料!$F:$F, (MATCH(812, 輔助計算!$F$2:$F$801, 0)+1))="","",INDEX(ERP資料!$F:$F, (MATCH(812, 輔助計算!$F$2:$F$801, 0)+1))), "")</f>
        <v/>
      </c>
      <c r="F813" s="10">
        <f>IFERROR(IF(INDEX(ERP資料!$G:$G, (MATCH(812, 輔助計算!$F$2:$F$801, 0)+1))="","",INDEX(ERP資料!$G:$G, (MATCH(812, 輔助計算!$F$2:$F$801, 0)+1))), "")</f>
        <v/>
      </c>
      <c r="G813" s="10">
        <f>IFERROR(IF(INDEX(ERP資料!$H:$H, (MATCH(812, 輔助計算!$F$2:$F$801, 0)+1))="","",INDEX(ERP資料!$H:$H, (MATCH(812, 輔助計算!$F$2:$F$801, 0)+1))), "")</f>
        <v/>
      </c>
      <c r="H813" s="10">
        <f>IFERROR(IF(INDEX(ERP資料!$O:$O, (MATCH(812, 輔助計算!$F$2:$F$801, 0)+1))="","",INDEX(ERP資料!$O:$O, (MATCH(812, 輔助計算!$F$2:$F$801, 0)+1))), "")</f>
        <v/>
      </c>
      <c r="I813" s="15">
        <f>IFERROR(IF(INDEX(輔助計算!$D:$D,(MATCH(812, 輔助計算!$F$2:$F$801, 0)+1))="","",INDEX(輔助計算!$D:$D,(MATCH(812, 輔助計算!$F$2:$F$801, 0)+1))*INDEX(ERP資料!$O:$O,(MATCH(812, 輔助計算!$F$2:$F$801, 0)+1))), "")</f>
        <v/>
      </c>
      <c r="J813" s="16" t="n"/>
      <c r="K813" s="15">
        <f>IFERROR(INDEX(輔助計算!$D:$D, (MATCH(812, 輔助計算!$F$2:$F$801, 0)+1)), "")</f>
        <v/>
      </c>
      <c r="L813" s="16">
        <f>IFERROR(IF(AND(IFERROR(VLOOKUP(LEFT(INDEX(ERP資料!$S:$S, (MATCH(812, 輔助計算!$F$2:$F$801, 0)+1)), 4), 100張客戶!$A:$A, 1, FALSE), "")&lt;&gt;"", OR(INDEX(ERP資料!$F:$F, (MATCH(812, 輔助計算!$F$2:$F$801, 0)+1))=270, INDEX(ERP資料!$F:$F, (MATCH(812, 輔助計算!$F$2:$F$801, 0)+1))=300)), "100張", ""), "")</f>
        <v/>
      </c>
      <c r="M813" s="17" t="n"/>
      <c r="N813" s="17">
        <f>IF($F813="","",$F813)</f>
        <v/>
      </c>
      <c r="O813" s="17">
        <f>IF($G813="","",$G813)</f>
        <v/>
      </c>
      <c r="P813" s="17">
        <f>IF($K813="","",$K813)</f>
        <v/>
      </c>
      <c r="Q813" s="16" t="n"/>
      <c r="R813" s="18" t="n"/>
      <c r="S813" s="16" t="n"/>
    </row>
    <row r="814">
      <c r="A814" s="14">
        <f>IFERROR(IF(AND(IFERROR(INDEX(ERP資料!$A:$A, (MATCH(813, 輔助計算!$F$2:$F$801, 0)+1)), "")&lt;&gt;"", IFERROR(INDEX(ERP資料!$A:$A, (MATCH(813, 輔助計算!$F$2:$F$801, 0)+1)), "")&lt;&gt;IFERROR(INDEX(ERP資料!$A:$A, MATCH(812, 輔助計算!$F$2:$F$801, 0)+1), "")), INDEX(ERP資料!$B:$B, (MATCH(813, 輔助計算!$F$2:$F$801, 0)+1)), ""), "")</f>
        <v/>
      </c>
      <c r="B814" s="10">
        <f>IFERROR(IF(AND(IFERROR(INDEX(ERP資料!$A:$A, (MATCH(813, 輔助計算!$F$2:$F$801, 0)+1)), "")&lt;&gt;"", IFERROR(INDEX(ERP資料!$A:$A, (MATCH(813, 輔助計算!$F$2:$F$801, 0)+1)), "")&lt;&gt;IFERROR(INDEX(ERP資料!$A:$A, MATCH(812, 輔助計算!$F$2:$F$801, 0)+1), "")), IFERROR(INDEX(ERP資料!$A:$A, (MATCH(813, 輔助計算!$F$2:$F$801, 0)+1)), ""), ""), "")</f>
        <v/>
      </c>
      <c r="C814" s="10">
        <f>IFERROR(IF(AND(IFERROR(INDEX(ERP資料!$A:$A, (MATCH(813, 輔助計算!$F$2:$F$801, 0)+1)), "")&lt;&gt;"", IFERROR(INDEX(ERP資料!$A:$A, (MATCH(813, 輔助計算!$F$2:$F$801, 0)+1)), "")&lt;&gt;IFERROR(INDEX(ERP資料!$A:$A, MATCH(812, 輔助計算!$F$2:$F$801, 0)+1), "")), INDEX(ERP資料!$S:$S, (MATCH(813, 輔助計算!$F$2:$F$801, 0)+1)), ""), "")</f>
        <v/>
      </c>
      <c r="D814" s="10">
        <f>IFERROR(IF(INDEX(ERP資料!$E:$E, (MATCH(813, 輔助計算!$F$2:$F$801, 0)+1))="","",TRIM(INDEX(ERP資料!$E:$E, (MATCH(813, 輔助計算!$F$2:$F$801, 0)+1)))), "")</f>
        <v/>
      </c>
      <c r="E814" s="10">
        <f>IFERROR(IF(INDEX(ERP資料!$F:$F, (MATCH(813, 輔助計算!$F$2:$F$801, 0)+1))="","",INDEX(ERP資料!$F:$F, (MATCH(813, 輔助計算!$F$2:$F$801, 0)+1))), "")</f>
        <v/>
      </c>
      <c r="F814" s="10">
        <f>IFERROR(IF(INDEX(ERP資料!$G:$G, (MATCH(813, 輔助計算!$F$2:$F$801, 0)+1))="","",INDEX(ERP資料!$G:$G, (MATCH(813, 輔助計算!$F$2:$F$801, 0)+1))), "")</f>
        <v/>
      </c>
      <c r="G814" s="10">
        <f>IFERROR(IF(INDEX(ERP資料!$H:$H, (MATCH(813, 輔助計算!$F$2:$F$801, 0)+1))="","",INDEX(ERP資料!$H:$H, (MATCH(813, 輔助計算!$F$2:$F$801, 0)+1))), "")</f>
        <v/>
      </c>
      <c r="H814" s="10">
        <f>IFERROR(IF(INDEX(ERP資料!$O:$O, (MATCH(813, 輔助計算!$F$2:$F$801, 0)+1))="","",INDEX(ERP資料!$O:$O, (MATCH(813, 輔助計算!$F$2:$F$801, 0)+1))), "")</f>
        <v/>
      </c>
      <c r="I814" s="15">
        <f>IFERROR(IF(INDEX(輔助計算!$D:$D,(MATCH(813, 輔助計算!$F$2:$F$801, 0)+1))="","",INDEX(輔助計算!$D:$D,(MATCH(813, 輔助計算!$F$2:$F$801, 0)+1))*INDEX(ERP資料!$O:$O,(MATCH(813, 輔助計算!$F$2:$F$801, 0)+1))), "")</f>
        <v/>
      </c>
      <c r="J814" s="16" t="n"/>
      <c r="K814" s="15">
        <f>IFERROR(INDEX(輔助計算!$D:$D, (MATCH(813, 輔助計算!$F$2:$F$801, 0)+1)), "")</f>
        <v/>
      </c>
      <c r="L814" s="16">
        <f>IFERROR(IF(AND(IFERROR(VLOOKUP(LEFT(INDEX(ERP資料!$S:$S, (MATCH(813, 輔助計算!$F$2:$F$801, 0)+1)), 4), 100張客戶!$A:$A, 1, FALSE), "")&lt;&gt;"", OR(INDEX(ERP資料!$F:$F, (MATCH(813, 輔助計算!$F$2:$F$801, 0)+1))=270, INDEX(ERP資料!$F:$F, (MATCH(813, 輔助計算!$F$2:$F$801, 0)+1))=300)), "100張", ""), "")</f>
        <v/>
      </c>
      <c r="M814" s="17" t="n"/>
      <c r="N814" s="17">
        <f>IF($F814="","",$F814)</f>
        <v/>
      </c>
      <c r="O814" s="17">
        <f>IF($G814="","",$G814)</f>
        <v/>
      </c>
      <c r="P814" s="17">
        <f>IF($K814="","",$K814)</f>
        <v/>
      </c>
      <c r="Q814" s="16" t="n"/>
      <c r="R814" s="18" t="n"/>
      <c r="S814" s="16" t="n"/>
    </row>
    <row r="815">
      <c r="A815" s="14">
        <f>IFERROR(IF(AND(IFERROR(INDEX(ERP資料!$A:$A, (MATCH(814, 輔助計算!$F$2:$F$801, 0)+1)), "")&lt;&gt;"", IFERROR(INDEX(ERP資料!$A:$A, (MATCH(814, 輔助計算!$F$2:$F$801, 0)+1)), "")&lt;&gt;IFERROR(INDEX(ERP資料!$A:$A, MATCH(813, 輔助計算!$F$2:$F$801, 0)+1), "")), INDEX(ERP資料!$B:$B, (MATCH(814, 輔助計算!$F$2:$F$801, 0)+1)), ""), "")</f>
        <v/>
      </c>
      <c r="B815" s="10">
        <f>IFERROR(IF(AND(IFERROR(INDEX(ERP資料!$A:$A, (MATCH(814, 輔助計算!$F$2:$F$801, 0)+1)), "")&lt;&gt;"", IFERROR(INDEX(ERP資料!$A:$A, (MATCH(814, 輔助計算!$F$2:$F$801, 0)+1)), "")&lt;&gt;IFERROR(INDEX(ERP資料!$A:$A, MATCH(813, 輔助計算!$F$2:$F$801, 0)+1), "")), IFERROR(INDEX(ERP資料!$A:$A, (MATCH(814, 輔助計算!$F$2:$F$801, 0)+1)), ""), ""), "")</f>
        <v/>
      </c>
      <c r="C815" s="10">
        <f>IFERROR(IF(AND(IFERROR(INDEX(ERP資料!$A:$A, (MATCH(814, 輔助計算!$F$2:$F$801, 0)+1)), "")&lt;&gt;"", IFERROR(INDEX(ERP資料!$A:$A, (MATCH(814, 輔助計算!$F$2:$F$801, 0)+1)), "")&lt;&gt;IFERROR(INDEX(ERP資料!$A:$A, MATCH(813, 輔助計算!$F$2:$F$801, 0)+1), "")), INDEX(ERP資料!$S:$S, (MATCH(814, 輔助計算!$F$2:$F$801, 0)+1)), ""), "")</f>
        <v/>
      </c>
      <c r="D815" s="10">
        <f>IFERROR(IF(INDEX(ERP資料!$E:$E, (MATCH(814, 輔助計算!$F$2:$F$801, 0)+1))="","",TRIM(INDEX(ERP資料!$E:$E, (MATCH(814, 輔助計算!$F$2:$F$801, 0)+1)))), "")</f>
        <v/>
      </c>
      <c r="E815" s="10">
        <f>IFERROR(IF(INDEX(ERP資料!$F:$F, (MATCH(814, 輔助計算!$F$2:$F$801, 0)+1))="","",INDEX(ERP資料!$F:$F, (MATCH(814, 輔助計算!$F$2:$F$801, 0)+1))), "")</f>
        <v/>
      </c>
      <c r="F815" s="10">
        <f>IFERROR(IF(INDEX(ERP資料!$G:$G, (MATCH(814, 輔助計算!$F$2:$F$801, 0)+1))="","",INDEX(ERP資料!$G:$G, (MATCH(814, 輔助計算!$F$2:$F$801, 0)+1))), "")</f>
        <v/>
      </c>
      <c r="G815" s="10">
        <f>IFERROR(IF(INDEX(ERP資料!$H:$H, (MATCH(814, 輔助計算!$F$2:$F$801, 0)+1))="","",INDEX(ERP資料!$H:$H, (MATCH(814, 輔助計算!$F$2:$F$801, 0)+1))), "")</f>
        <v/>
      </c>
      <c r="H815" s="10">
        <f>IFERROR(IF(INDEX(ERP資料!$O:$O, (MATCH(814, 輔助計算!$F$2:$F$801, 0)+1))="","",INDEX(ERP資料!$O:$O, (MATCH(814, 輔助計算!$F$2:$F$801, 0)+1))), "")</f>
        <v/>
      </c>
      <c r="I815" s="15">
        <f>IFERROR(IF(INDEX(輔助計算!$D:$D,(MATCH(814, 輔助計算!$F$2:$F$801, 0)+1))="","",INDEX(輔助計算!$D:$D,(MATCH(814, 輔助計算!$F$2:$F$801, 0)+1))*INDEX(ERP資料!$O:$O,(MATCH(814, 輔助計算!$F$2:$F$801, 0)+1))), "")</f>
        <v/>
      </c>
      <c r="J815" s="16" t="n"/>
      <c r="K815" s="15">
        <f>IFERROR(INDEX(輔助計算!$D:$D, (MATCH(814, 輔助計算!$F$2:$F$801, 0)+1)), "")</f>
        <v/>
      </c>
      <c r="L815" s="16">
        <f>IFERROR(IF(AND(IFERROR(VLOOKUP(LEFT(INDEX(ERP資料!$S:$S, (MATCH(814, 輔助計算!$F$2:$F$801, 0)+1)), 4), 100張客戶!$A:$A, 1, FALSE), "")&lt;&gt;"", OR(INDEX(ERP資料!$F:$F, (MATCH(814, 輔助計算!$F$2:$F$801, 0)+1))=270, INDEX(ERP資料!$F:$F, (MATCH(814, 輔助計算!$F$2:$F$801, 0)+1))=300)), "100張", ""), "")</f>
        <v/>
      </c>
      <c r="M815" s="17" t="n"/>
      <c r="N815" s="17">
        <f>IF($F815="","",$F815)</f>
        <v/>
      </c>
      <c r="O815" s="17">
        <f>IF($G815="","",$G815)</f>
        <v/>
      </c>
      <c r="P815" s="17">
        <f>IF($K815="","",$K815)</f>
        <v/>
      </c>
      <c r="Q815" s="16" t="n"/>
      <c r="R815" s="18" t="n"/>
      <c r="S815" s="16" t="n"/>
    </row>
    <row r="816">
      <c r="A816" s="14">
        <f>IFERROR(IF(AND(IFERROR(INDEX(ERP資料!$A:$A, (MATCH(815, 輔助計算!$F$2:$F$801, 0)+1)), "")&lt;&gt;"", IFERROR(INDEX(ERP資料!$A:$A, (MATCH(815, 輔助計算!$F$2:$F$801, 0)+1)), "")&lt;&gt;IFERROR(INDEX(ERP資料!$A:$A, MATCH(814, 輔助計算!$F$2:$F$801, 0)+1), "")), INDEX(ERP資料!$B:$B, (MATCH(815, 輔助計算!$F$2:$F$801, 0)+1)), ""), "")</f>
        <v/>
      </c>
      <c r="B816" s="10">
        <f>IFERROR(IF(AND(IFERROR(INDEX(ERP資料!$A:$A, (MATCH(815, 輔助計算!$F$2:$F$801, 0)+1)), "")&lt;&gt;"", IFERROR(INDEX(ERP資料!$A:$A, (MATCH(815, 輔助計算!$F$2:$F$801, 0)+1)), "")&lt;&gt;IFERROR(INDEX(ERP資料!$A:$A, MATCH(814, 輔助計算!$F$2:$F$801, 0)+1), "")), IFERROR(INDEX(ERP資料!$A:$A, (MATCH(815, 輔助計算!$F$2:$F$801, 0)+1)), ""), ""), "")</f>
        <v/>
      </c>
      <c r="C816" s="10">
        <f>IFERROR(IF(AND(IFERROR(INDEX(ERP資料!$A:$A, (MATCH(815, 輔助計算!$F$2:$F$801, 0)+1)), "")&lt;&gt;"", IFERROR(INDEX(ERP資料!$A:$A, (MATCH(815, 輔助計算!$F$2:$F$801, 0)+1)), "")&lt;&gt;IFERROR(INDEX(ERP資料!$A:$A, MATCH(814, 輔助計算!$F$2:$F$801, 0)+1), "")), INDEX(ERP資料!$S:$S, (MATCH(815, 輔助計算!$F$2:$F$801, 0)+1)), ""), "")</f>
        <v/>
      </c>
      <c r="D816" s="10">
        <f>IFERROR(IF(INDEX(ERP資料!$E:$E, (MATCH(815, 輔助計算!$F$2:$F$801, 0)+1))="","",TRIM(INDEX(ERP資料!$E:$E, (MATCH(815, 輔助計算!$F$2:$F$801, 0)+1)))), "")</f>
        <v/>
      </c>
      <c r="E816" s="10">
        <f>IFERROR(IF(INDEX(ERP資料!$F:$F, (MATCH(815, 輔助計算!$F$2:$F$801, 0)+1))="","",INDEX(ERP資料!$F:$F, (MATCH(815, 輔助計算!$F$2:$F$801, 0)+1))), "")</f>
        <v/>
      </c>
      <c r="F816" s="10">
        <f>IFERROR(IF(INDEX(ERP資料!$G:$G, (MATCH(815, 輔助計算!$F$2:$F$801, 0)+1))="","",INDEX(ERP資料!$G:$G, (MATCH(815, 輔助計算!$F$2:$F$801, 0)+1))), "")</f>
        <v/>
      </c>
      <c r="G816" s="10">
        <f>IFERROR(IF(INDEX(ERP資料!$H:$H, (MATCH(815, 輔助計算!$F$2:$F$801, 0)+1))="","",INDEX(ERP資料!$H:$H, (MATCH(815, 輔助計算!$F$2:$F$801, 0)+1))), "")</f>
        <v/>
      </c>
      <c r="H816" s="10">
        <f>IFERROR(IF(INDEX(ERP資料!$O:$O, (MATCH(815, 輔助計算!$F$2:$F$801, 0)+1))="","",INDEX(ERP資料!$O:$O, (MATCH(815, 輔助計算!$F$2:$F$801, 0)+1))), "")</f>
        <v/>
      </c>
      <c r="I816" s="15">
        <f>IFERROR(IF(INDEX(輔助計算!$D:$D,(MATCH(815, 輔助計算!$F$2:$F$801, 0)+1))="","",INDEX(輔助計算!$D:$D,(MATCH(815, 輔助計算!$F$2:$F$801, 0)+1))*INDEX(ERP資料!$O:$O,(MATCH(815, 輔助計算!$F$2:$F$801, 0)+1))), "")</f>
        <v/>
      </c>
      <c r="J816" s="16" t="n"/>
      <c r="K816" s="15">
        <f>IFERROR(INDEX(輔助計算!$D:$D, (MATCH(815, 輔助計算!$F$2:$F$801, 0)+1)), "")</f>
        <v/>
      </c>
      <c r="L816" s="16">
        <f>IFERROR(IF(AND(IFERROR(VLOOKUP(LEFT(INDEX(ERP資料!$S:$S, (MATCH(815, 輔助計算!$F$2:$F$801, 0)+1)), 4), 100張客戶!$A:$A, 1, FALSE), "")&lt;&gt;"", OR(INDEX(ERP資料!$F:$F, (MATCH(815, 輔助計算!$F$2:$F$801, 0)+1))=270, INDEX(ERP資料!$F:$F, (MATCH(815, 輔助計算!$F$2:$F$801, 0)+1))=300)), "100張", ""), "")</f>
        <v/>
      </c>
      <c r="M816" s="17" t="n"/>
      <c r="N816" s="17">
        <f>IF($F816="","",$F816)</f>
        <v/>
      </c>
      <c r="O816" s="17">
        <f>IF($G816="","",$G816)</f>
        <v/>
      </c>
      <c r="P816" s="17">
        <f>IF($K816="","",$K816)</f>
        <v/>
      </c>
      <c r="Q816" s="16" t="n"/>
      <c r="R816" s="18" t="n"/>
      <c r="S816" s="16" t="n"/>
    </row>
    <row r="817">
      <c r="A817" s="14">
        <f>IFERROR(IF(AND(IFERROR(INDEX(ERP資料!$A:$A, (MATCH(816, 輔助計算!$F$2:$F$801, 0)+1)), "")&lt;&gt;"", IFERROR(INDEX(ERP資料!$A:$A, (MATCH(816, 輔助計算!$F$2:$F$801, 0)+1)), "")&lt;&gt;IFERROR(INDEX(ERP資料!$A:$A, MATCH(815, 輔助計算!$F$2:$F$801, 0)+1), "")), INDEX(ERP資料!$B:$B, (MATCH(816, 輔助計算!$F$2:$F$801, 0)+1)), ""), "")</f>
        <v/>
      </c>
      <c r="B817" s="10">
        <f>IFERROR(IF(AND(IFERROR(INDEX(ERP資料!$A:$A, (MATCH(816, 輔助計算!$F$2:$F$801, 0)+1)), "")&lt;&gt;"", IFERROR(INDEX(ERP資料!$A:$A, (MATCH(816, 輔助計算!$F$2:$F$801, 0)+1)), "")&lt;&gt;IFERROR(INDEX(ERP資料!$A:$A, MATCH(815, 輔助計算!$F$2:$F$801, 0)+1), "")), IFERROR(INDEX(ERP資料!$A:$A, (MATCH(816, 輔助計算!$F$2:$F$801, 0)+1)), ""), ""), "")</f>
        <v/>
      </c>
      <c r="C817" s="10">
        <f>IFERROR(IF(AND(IFERROR(INDEX(ERP資料!$A:$A, (MATCH(816, 輔助計算!$F$2:$F$801, 0)+1)), "")&lt;&gt;"", IFERROR(INDEX(ERP資料!$A:$A, (MATCH(816, 輔助計算!$F$2:$F$801, 0)+1)), "")&lt;&gt;IFERROR(INDEX(ERP資料!$A:$A, MATCH(815, 輔助計算!$F$2:$F$801, 0)+1), "")), INDEX(ERP資料!$S:$S, (MATCH(816, 輔助計算!$F$2:$F$801, 0)+1)), ""), "")</f>
        <v/>
      </c>
      <c r="D817" s="10">
        <f>IFERROR(IF(INDEX(ERP資料!$E:$E, (MATCH(816, 輔助計算!$F$2:$F$801, 0)+1))="","",TRIM(INDEX(ERP資料!$E:$E, (MATCH(816, 輔助計算!$F$2:$F$801, 0)+1)))), "")</f>
        <v/>
      </c>
      <c r="E817" s="10">
        <f>IFERROR(IF(INDEX(ERP資料!$F:$F, (MATCH(816, 輔助計算!$F$2:$F$801, 0)+1))="","",INDEX(ERP資料!$F:$F, (MATCH(816, 輔助計算!$F$2:$F$801, 0)+1))), "")</f>
        <v/>
      </c>
      <c r="F817" s="10">
        <f>IFERROR(IF(INDEX(ERP資料!$G:$G, (MATCH(816, 輔助計算!$F$2:$F$801, 0)+1))="","",INDEX(ERP資料!$G:$G, (MATCH(816, 輔助計算!$F$2:$F$801, 0)+1))), "")</f>
        <v/>
      </c>
      <c r="G817" s="10">
        <f>IFERROR(IF(INDEX(ERP資料!$H:$H, (MATCH(816, 輔助計算!$F$2:$F$801, 0)+1))="","",INDEX(ERP資料!$H:$H, (MATCH(816, 輔助計算!$F$2:$F$801, 0)+1))), "")</f>
        <v/>
      </c>
      <c r="H817" s="10">
        <f>IFERROR(IF(INDEX(ERP資料!$O:$O, (MATCH(816, 輔助計算!$F$2:$F$801, 0)+1))="","",INDEX(ERP資料!$O:$O, (MATCH(816, 輔助計算!$F$2:$F$801, 0)+1))), "")</f>
        <v/>
      </c>
      <c r="I817" s="15">
        <f>IFERROR(IF(INDEX(輔助計算!$D:$D,(MATCH(816, 輔助計算!$F$2:$F$801, 0)+1))="","",INDEX(輔助計算!$D:$D,(MATCH(816, 輔助計算!$F$2:$F$801, 0)+1))*INDEX(ERP資料!$O:$O,(MATCH(816, 輔助計算!$F$2:$F$801, 0)+1))), "")</f>
        <v/>
      </c>
      <c r="J817" s="16" t="n"/>
      <c r="K817" s="15">
        <f>IFERROR(INDEX(輔助計算!$D:$D, (MATCH(816, 輔助計算!$F$2:$F$801, 0)+1)), "")</f>
        <v/>
      </c>
      <c r="L817" s="16">
        <f>IFERROR(IF(AND(IFERROR(VLOOKUP(LEFT(INDEX(ERP資料!$S:$S, (MATCH(816, 輔助計算!$F$2:$F$801, 0)+1)), 4), 100張客戶!$A:$A, 1, FALSE), "")&lt;&gt;"", OR(INDEX(ERP資料!$F:$F, (MATCH(816, 輔助計算!$F$2:$F$801, 0)+1))=270, INDEX(ERP資料!$F:$F, (MATCH(816, 輔助計算!$F$2:$F$801, 0)+1))=300)), "100張", ""), "")</f>
        <v/>
      </c>
      <c r="M817" s="17" t="n"/>
      <c r="N817" s="17">
        <f>IF($F817="","",$F817)</f>
        <v/>
      </c>
      <c r="O817" s="17">
        <f>IF($G817="","",$G817)</f>
        <v/>
      </c>
      <c r="P817" s="17">
        <f>IF($K817="","",$K817)</f>
        <v/>
      </c>
      <c r="Q817" s="16" t="n"/>
      <c r="R817" s="18" t="n"/>
      <c r="S817" s="16" t="n"/>
    </row>
    <row r="818">
      <c r="A818" s="14">
        <f>IFERROR(IF(AND(IFERROR(INDEX(ERP資料!$A:$A, (MATCH(817, 輔助計算!$F$2:$F$801, 0)+1)), "")&lt;&gt;"", IFERROR(INDEX(ERP資料!$A:$A, (MATCH(817, 輔助計算!$F$2:$F$801, 0)+1)), "")&lt;&gt;IFERROR(INDEX(ERP資料!$A:$A, MATCH(816, 輔助計算!$F$2:$F$801, 0)+1), "")), INDEX(ERP資料!$B:$B, (MATCH(817, 輔助計算!$F$2:$F$801, 0)+1)), ""), "")</f>
        <v/>
      </c>
      <c r="B818" s="10">
        <f>IFERROR(IF(AND(IFERROR(INDEX(ERP資料!$A:$A, (MATCH(817, 輔助計算!$F$2:$F$801, 0)+1)), "")&lt;&gt;"", IFERROR(INDEX(ERP資料!$A:$A, (MATCH(817, 輔助計算!$F$2:$F$801, 0)+1)), "")&lt;&gt;IFERROR(INDEX(ERP資料!$A:$A, MATCH(816, 輔助計算!$F$2:$F$801, 0)+1), "")), IFERROR(INDEX(ERP資料!$A:$A, (MATCH(817, 輔助計算!$F$2:$F$801, 0)+1)), ""), ""), "")</f>
        <v/>
      </c>
      <c r="C818" s="10">
        <f>IFERROR(IF(AND(IFERROR(INDEX(ERP資料!$A:$A, (MATCH(817, 輔助計算!$F$2:$F$801, 0)+1)), "")&lt;&gt;"", IFERROR(INDEX(ERP資料!$A:$A, (MATCH(817, 輔助計算!$F$2:$F$801, 0)+1)), "")&lt;&gt;IFERROR(INDEX(ERP資料!$A:$A, MATCH(816, 輔助計算!$F$2:$F$801, 0)+1), "")), INDEX(ERP資料!$S:$S, (MATCH(817, 輔助計算!$F$2:$F$801, 0)+1)), ""), "")</f>
        <v/>
      </c>
      <c r="D818" s="10">
        <f>IFERROR(IF(INDEX(ERP資料!$E:$E, (MATCH(817, 輔助計算!$F$2:$F$801, 0)+1))="","",TRIM(INDEX(ERP資料!$E:$E, (MATCH(817, 輔助計算!$F$2:$F$801, 0)+1)))), "")</f>
        <v/>
      </c>
      <c r="E818" s="10">
        <f>IFERROR(IF(INDEX(ERP資料!$F:$F, (MATCH(817, 輔助計算!$F$2:$F$801, 0)+1))="","",INDEX(ERP資料!$F:$F, (MATCH(817, 輔助計算!$F$2:$F$801, 0)+1))), "")</f>
        <v/>
      </c>
      <c r="F818" s="10">
        <f>IFERROR(IF(INDEX(ERP資料!$G:$G, (MATCH(817, 輔助計算!$F$2:$F$801, 0)+1))="","",INDEX(ERP資料!$G:$G, (MATCH(817, 輔助計算!$F$2:$F$801, 0)+1))), "")</f>
        <v/>
      </c>
      <c r="G818" s="10">
        <f>IFERROR(IF(INDEX(ERP資料!$H:$H, (MATCH(817, 輔助計算!$F$2:$F$801, 0)+1))="","",INDEX(ERP資料!$H:$H, (MATCH(817, 輔助計算!$F$2:$F$801, 0)+1))), "")</f>
        <v/>
      </c>
      <c r="H818" s="10">
        <f>IFERROR(IF(INDEX(ERP資料!$O:$O, (MATCH(817, 輔助計算!$F$2:$F$801, 0)+1))="","",INDEX(ERP資料!$O:$O, (MATCH(817, 輔助計算!$F$2:$F$801, 0)+1))), "")</f>
        <v/>
      </c>
      <c r="I818" s="15">
        <f>IFERROR(IF(INDEX(輔助計算!$D:$D,(MATCH(817, 輔助計算!$F$2:$F$801, 0)+1))="","",INDEX(輔助計算!$D:$D,(MATCH(817, 輔助計算!$F$2:$F$801, 0)+1))*INDEX(ERP資料!$O:$O,(MATCH(817, 輔助計算!$F$2:$F$801, 0)+1))), "")</f>
        <v/>
      </c>
      <c r="J818" s="16" t="n"/>
      <c r="K818" s="15">
        <f>IFERROR(INDEX(輔助計算!$D:$D, (MATCH(817, 輔助計算!$F$2:$F$801, 0)+1)), "")</f>
        <v/>
      </c>
      <c r="L818" s="16">
        <f>IFERROR(IF(AND(IFERROR(VLOOKUP(LEFT(INDEX(ERP資料!$S:$S, (MATCH(817, 輔助計算!$F$2:$F$801, 0)+1)), 4), 100張客戶!$A:$A, 1, FALSE), "")&lt;&gt;"", OR(INDEX(ERP資料!$F:$F, (MATCH(817, 輔助計算!$F$2:$F$801, 0)+1))=270, INDEX(ERP資料!$F:$F, (MATCH(817, 輔助計算!$F$2:$F$801, 0)+1))=300)), "100張", ""), "")</f>
        <v/>
      </c>
      <c r="M818" s="17" t="n"/>
      <c r="N818" s="17">
        <f>IF($F818="","",$F818)</f>
        <v/>
      </c>
      <c r="O818" s="17">
        <f>IF($G818="","",$G818)</f>
        <v/>
      </c>
      <c r="P818" s="17">
        <f>IF($K818="","",$K818)</f>
        <v/>
      </c>
      <c r="Q818" s="16" t="n"/>
      <c r="R818" s="18" t="n"/>
      <c r="S818" s="16" t="n"/>
    </row>
    <row r="819">
      <c r="A819" s="14">
        <f>IFERROR(IF(AND(IFERROR(INDEX(ERP資料!$A:$A, (MATCH(818, 輔助計算!$F$2:$F$801, 0)+1)), "")&lt;&gt;"", IFERROR(INDEX(ERP資料!$A:$A, (MATCH(818, 輔助計算!$F$2:$F$801, 0)+1)), "")&lt;&gt;IFERROR(INDEX(ERP資料!$A:$A, MATCH(817, 輔助計算!$F$2:$F$801, 0)+1), "")), INDEX(ERP資料!$B:$B, (MATCH(818, 輔助計算!$F$2:$F$801, 0)+1)), ""), "")</f>
        <v/>
      </c>
      <c r="B819" s="10">
        <f>IFERROR(IF(AND(IFERROR(INDEX(ERP資料!$A:$A, (MATCH(818, 輔助計算!$F$2:$F$801, 0)+1)), "")&lt;&gt;"", IFERROR(INDEX(ERP資料!$A:$A, (MATCH(818, 輔助計算!$F$2:$F$801, 0)+1)), "")&lt;&gt;IFERROR(INDEX(ERP資料!$A:$A, MATCH(817, 輔助計算!$F$2:$F$801, 0)+1), "")), IFERROR(INDEX(ERP資料!$A:$A, (MATCH(818, 輔助計算!$F$2:$F$801, 0)+1)), ""), ""), "")</f>
        <v/>
      </c>
      <c r="C819" s="10">
        <f>IFERROR(IF(AND(IFERROR(INDEX(ERP資料!$A:$A, (MATCH(818, 輔助計算!$F$2:$F$801, 0)+1)), "")&lt;&gt;"", IFERROR(INDEX(ERP資料!$A:$A, (MATCH(818, 輔助計算!$F$2:$F$801, 0)+1)), "")&lt;&gt;IFERROR(INDEX(ERP資料!$A:$A, MATCH(817, 輔助計算!$F$2:$F$801, 0)+1), "")), INDEX(ERP資料!$S:$S, (MATCH(818, 輔助計算!$F$2:$F$801, 0)+1)), ""), "")</f>
        <v/>
      </c>
      <c r="D819" s="10">
        <f>IFERROR(IF(INDEX(ERP資料!$E:$E, (MATCH(818, 輔助計算!$F$2:$F$801, 0)+1))="","",TRIM(INDEX(ERP資料!$E:$E, (MATCH(818, 輔助計算!$F$2:$F$801, 0)+1)))), "")</f>
        <v/>
      </c>
      <c r="E819" s="10">
        <f>IFERROR(IF(INDEX(ERP資料!$F:$F, (MATCH(818, 輔助計算!$F$2:$F$801, 0)+1))="","",INDEX(ERP資料!$F:$F, (MATCH(818, 輔助計算!$F$2:$F$801, 0)+1))), "")</f>
        <v/>
      </c>
      <c r="F819" s="10">
        <f>IFERROR(IF(INDEX(ERP資料!$G:$G, (MATCH(818, 輔助計算!$F$2:$F$801, 0)+1))="","",INDEX(ERP資料!$G:$G, (MATCH(818, 輔助計算!$F$2:$F$801, 0)+1))), "")</f>
        <v/>
      </c>
      <c r="G819" s="10">
        <f>IFERROR(IF(INDEX(ERP資料!$H:$H, (MATCH(818, 輔助計算!$F$2:$F$801, 0)+1))="","",INDEX(ERP資料!$H:$H, (MATCH(818, 輔助計算!$F$2:$F$801, 0)+1))), "")</f>
        <v/>
      </c>
      <c r="H819" s="10">
        <f>IFERROR(IF(INDEX(ERP資料!$O:$O, (MATCH(818, 輔助計算!$F$2:$F$801, 0)+1))="","",INDEX(ERP資料!$O:$O, (MATCH(818, 輔助計算!$F$2:$F$801, 0)+1))), "")</f>
        <v/>
      </c>
      <c r="I819" s="15">
        <f>IFERROR(IF(INDEX(輔助計算!$D:$D,(MATCH(818, 輔助計算!$F$2:$F$801, 0)+1))="","",INDEX(輔助計算!$D:$D,(MATCH(818, 輔助計算!$F$2:$F$801, 0)+1))*INDEX(ERP資料!$O:$O,(MATCH(818, 輔助計算!$F$2:$F$801, 0)+1))), "")</f>
        <v/>
      </c>
      <c r="J819" s="16" t="n"/>
      <c r="K819" s="15">
        <f>IFERROR(INDEX(輔助計算!$D:$D, (MATCH(818, 輔助計算!$F$2:$F$801, 0)+1)), "")</f>
        <v/>
      </c>
      <c r="L819" s="16">
        <f>IFERROR(IF(AND(IFERROR(VLOOKUP(LEFT(INDEX(ERP資料!$S:$S, (MATCH(818, 輔助計算!$F$2:$F$801, 0)+1)), 4), 100張客戶!$A:$A, 1, FALSE), "")&lt;&gt;"", OR(INDEX(ERP資料!$F:$F, (MATCH(818, 輔助計算!$F$2:$F$801, 0)+1))=270, INDEX(ERP資料!$F:$F, (MATCH(818, 輔助計算!$F$2:$F$801, 0)+1))=300)), "100張", ""), "")</f>
        <v/>
      </c>
      <c r="M819" s="17" t="n"/>
      <c r="N819" s="17">
        <f>IF($F819="","",$F819)</f>
        <v/>
      </c>
      <c r="O819" s="17">
        <f>IF($G819="","",$G819)</f>
        <v/>
      </c>
      <c r="P819" s="17">
        <f>IF($K819="","",$K819)</f>
        <v/>
      </c>
      <c r="Q819" s="16" t="n"/>
      <c r="R819" s="18" t="n"/>
      <c r="S819" s="16" t="n"/>
    </row>
    <row r="820">
      <c r="A820" s="14">
        <f>IFERROR(IF(AND(IFERROR(INDEX(ERP資料!$A:$A, (MATCH(819, 輔助計算!$F$2:$F$801, 0)+1)), "")&lt;&gt;"", IFERROR(INDEX(ERP資料!$A:$A, (MATCH(819, 輔助計算!$F$2:$F$801, 0)+1)), "")&lt;&gt;IFERROR(INDEX(ERP資料!$A:$A, MATCH(818, 輔助計算!$F$2:$F$801, 0)+1), "")), INDEX(ERP資料!$B:$B, (MATCH(819, 輔助計算!$F$2:$F$801, 0)+1)), ""), "")</f>
        <v/>
      </c>
      <c r="B820" s="10">
        <f>IFERROR(IF(AND(IFERROR(INDEX(ERP資料!$A:$A, (MATCH(819, 輔助計算!$F$2:$F$801, 0)+1)), "")&lt;&gt;"", IFERROR(INDEX(ERP資料!$A:$A, (MATCH(819, 輔助計算!$F$2:$F$801, 0)+1)), "")&lt;&gt;IFERROR(INDEX(ERP資料!$A:$A, MATCH(818, 輔助計算!$F$2:$F$801, 0)+1), "")), IFERROR(INDEX(ERP資料!$A:$A, (MATCH(819, 輔助計算!$F$2:$F$801, 0)+1)), ""), ""), "")</f>
        <v/>
      </c>
      <c r="C820" s="10">
        <f>IFERROR(IF(AND(IFERROR(INDEX(ERP資料!$A:$A, (MATCH(819, 輔助計算!$F$2:$F$801, 0)+1)), "")&lt;&gt;"", IFERROR(INDEX(ERP資料!$A:$A, (MATCH(819, 輔助計算!$F$2:$F$801, 0)+1)), "")&lt;&gt;IFERROR(INDEX(ERP資料!$A:$A, MATCH(818, 輔助計算!$F$2:$F$801, 0)+1), "")), INDEX(ERP資料!$S:$S, (MATCH(819, 輔助計算!$F$2:$F$801, 0)+1)), ""), "")</f>
        <v/>
      </c>
      <c r="D820" s="10">
        <f>IFERROR(IF(INDEX(ERP資料!$E:$E, (MATCH(819, 輔助計算!$F$2:$F$801, 0)+1))="","",TRIM(INDEX(ERP資料!$E:$E, (MATCH(819, 輔助計算!$F$2:$F$801, 0)+1)))), "")</f>
        <v/>
      </c>
      <c r="E820" s="10">
        <f>IFERROR(IF(INDEX(ERP資料!$F:$F, (MATCH(819, 輔助計算!$F$2:$F$801, 0)+1))="","",INDEX(ERP資料!$F:$F, (MATCH(819, 輔助計算!$F$2:$F$801, 0)+1))), "")</f>
        <v/>
      </c>
      <c r="F820" s="10">
        <f>IFERROR(IF(INDEX(ERP資料!$G:$G, (MATCH(819, 輔助計算!$F$2:$F$801, 0)+1))="","",INDEX(ERP資料!$G:$G, (MATCH(819, 輔助計算!$F$2:$F$801, 0)+1))), "")</f>
        <v/>
      </c>
      <c r="G820" s="10">
        <f>IFERROR(IF(INDEX(ERP資料!$H:$H, (MATCH(819, 輔助計算!$F$2:$F$801, 0)+1))="","",INDEX(ERP資料!$H:$H, (MATCH(819, 輔助計算!$F$2:$F$801, 0)+1))), "")</f>
        <v/>
      </c>
      <c r="H820" s="10">
        <f>IFERROR(IF(INDEX(ERP資料!$O:$O, (MATCH(819, 輔助計算!$F$2:$F$801, 0)+1))="","",INDEX(ERP資料!$O:$O, (MATCH(819, 輔助計算!$F$2:$F$801, 0)+1))), "")</f>
        <v/>
      </c>
      <c r="I820" s="15">
        <f>IFERROR(IF(INDEX(輔助計算!$D:$D,(MATCH(819, 輔助計算!$F$2:$F$801, 0)+1))="","",INDEX(輔助計算!$D:$D,(MATCH(819, 輔助計算!$F$2:$F$801, 0)+1))*INDEX(ERP資料!$O:$O,(MATCH(819, 輔助計算!$F$2:$F$801, 0)+1))), "")</f>
        <v/>
      </c>
      <c r="J820" s="16" t="n"/>
      <c r="K820" s="15">
        <f>IFERROR(INDEX(輔助計算!$D:$D, (MATCH(819, 輔助計算!$F$2:$F$801, 0)+1)), "")</f>
        <v/>
      </c>
      <c r="L820" s="16">
        <f>IFERROR(IF(AND(IFERROR(VLOOKUP(LEFT(INDEX(ERP資料!$S:$S, (MATCH(819, 輔助計算!$F$2:$F$801, 0)+1)), 4), 100張客戶!$A:$A, 1, FALSE), "")&lt;&gt;"", OR(INDEX(ERP資料!$F:$F, (MATCH(819, 輔助計算!$F$2:$F$801, 0)+1))=270, INDEX(ERP資料!$F:$F, (MATCH(819, 輔助計算!$F$2:$F$801, 0)+1))=300)), "100張", ""), "")</f>
        <v/>
      </c>
      <c r="M820" s="17" t="n"/>
      <c r="N820" s="17">
        <f>IF($F820="","",$F820)</f>
        <v/>
      </c>
      <c r="O820" s="17">
        <f>IF($G820="","",$G820)</f>
        <v/>
      </c>
      <c r="P820" s="17">
        <f>IF($K820="","",$K820)</f>
        <v/>
      </c>
      <c r="Q820" s="16" t="n"/>
      <c r="R820" s="18" t="n"/>
      <c r="S820" s="16" t="n"/>
    </row>
    <row r="821">
      <c r="A821" s="14">
        <f>IFERROR(IF(AND(IFERROR(INDEX(ERP資料!$A:$A, (MATCH(820, 輔助計算!$F$2:$F$801, 0)+1)), "")&lt;&gt;"", IFERROR(INDEX(ERP資料!$A:$A, (MATCH(820, 輔助計算!$F$2:$F$801, 0)+1)), "")&lt;&gt;IFERROR(INDEX(ERP資料!$A:$A, MATCH(819, 輔助計算!$F$2:$F$801, 0)+1), "")), INDEX(ERP資料!$B:$B, (MATCH(820, 輔助計算!$F$2:$F$801, 0)+1)), ""), "")</f>
        <v/>
      </c>
      <c r="B821" s="10">
        <f>IFERROR(IF(AND(IFERROR(INDEX(ERP資料!$A:$A, (MATCH(820, 輔助計算!$F$2:$F$801, 0)+1)), "")&lt;&gt;"", IFERROR(INDEX(ERP資料!$A:$A, (MATCH(820, 輔助計算!$F$2:$F$801, 0)+1)), "")&lt;&gt;IFERROR(INDEX(ERP資料!$A:$A, MATCH(819, 輔助計算!$F$2:$F$801, 0)+1), "")), IFERROR(INDEX(ERP資料!$A:$A, (MATCH(820, 輔助計算!$F$2:$F$801, 0)+1)), ""), ""), "")</f>
        <v/>
      </c>
      <c r="C821" s="10">
        <f>IFERROR(IF(AND(IFERROR(INDEX(ERP資料!$A:$A, (MATCH(820, 輔助計算!$F$2:$F$801, 0)+1)), "")&lt;&gt;"", IFERROR(INDEX(ERP資料!$A:$A, (MATCH(820, 輔助計算!$F$2:$F$801, 0)+1)), "")&lt;&gt;IFERROR(INDEX(ERP資料!$A:$A, MATCH(819, 輔助計算!$F$2:$F$801, 0)+1), "")), INDEX(ERP資料!$S:$S, (MATCH(820, 輔助計算!$F$2:$F$801, 0)+1)), ""), "")</f>
        <v/>
      </c>
      <c r="D821" s="10">
        <f>IFERROR(IF(INDEX(ERP資料!$E:$E, (MATCH(820, 輔助計算!$F$2:$F$801, 0)+1))="","",TRIM(INDEX(ERP資料!$E:$E, (MATCH(820, 輔助計算!$F$2:$F$801, 0)+1)))), "")</f>
        <v/>
      </c>
      <c r="E821" s="10">
        <f>IFERROR(IF(INDEX(ERP資料!$F:$F, (MATCH(820, 輔助計算!$F$2:$F$801, 0)+1))="","",INDEX(ERP資料!$F:$F, (MATCH(820, 輔助計算!$F$2:$F$801, 0)+1))), "")</f>
        <v/>
      </c>
      <c r="F821" s="10">
        <f>IFERROR(IF(INDEX(ERP資料!$G:$G, (MATCH(820, 輔助計算!$F$2:$F$801, 0)+1))="","",INDEX(ERP資料!$G:$G, (MATCH(820, 輔助計算!$F$2:$F$801, 0)+1))), "")</f>
        <v/>
      </c>
      <c r="G821" s="10">
        <f>IFERROR(IF(INDEX(ERP資料!$H:$H, (MATCH(820, 輔助計算!$F$2:$F$801, 0)+1))="","",INDEX(ERP資料!$H:$H, (MATCH(820, 輔助計算!$F$2:$F$801, 0)+1))), "")</f>
        <v/>
      </c>
      <c r="H821" s="10">
        <f>IFERROR(IF(INDEX(ERP資料!$O:$O, (MATCH(820, 輔助計算!$F$2:$F$801, 0)+1))="","",INDEX(ERP資料!$O:$O, (MATCH(820, 輔助計算!$F$2:$F$801, 0)+1))), "")</f>
        <v/>
      </c>
      <c r="I821" s="15">
        <f>IFERROR(IF(INDEX(輔助計算!$D:$D,(MATCH(820, 輔助計算!$F$2:$F$801, 0)+1))="","",INDEX(輔助計算!$D:$D,(MATCH(820, 輔助計算!$F$2:$F$801, 0)+1))*INDEX(ERP資料!$O:$O,(MATCH(820, 輔助計算!$F$2:$F$801, 0)+1))), "")</f>
        <v/>
      </c>
      <c r="J821" s="16" t="n"/>
      <c r="K821" s="15">
        <f>IFERROR(INDEX(輔助計算!$D:$D, (MATCH(820, 輔助計算!$F$2:$F$801, 0)+1)), "")</f>
        <v/>
      </c>
      <c r="L821" s="16">
        <f>IFERROR(IF(AND(IFERROR(VLOOKUP(LEFT(INDEX(ERP資料!$S:$S, (MATCH(820, 輔助計算!$F$2:$F$801, 0)+1)), 4), 100張客戶!$A:$A, 1, FALSE), "")&lt;&gt;"", OR(INDEX(ERP資料!$F:$F, (MATCH(820, 輔助計算!$F$2:$F$801, 0)+1))=270, INDEX(ERP資料!$F:$F, (MATCH(820, 輔助計算!$F$2:$F$801, 0)+1))=300)), "100張", ""), "")</f>
        <v/>
      </c>
      <c r="M821" s="17" t="n"/>
      <c r="N821" s="17">
        <f>IF($F821="","",$F821)</f>
        <v/>
      </c>
      <c r="O821" s="17">
        <f>IF($G821="","",$G821)</f>
        <v/>
      </c>
      <c r="P821" s="17">
        <f>IF($K821="","",$K821)</f>
        <v/>
      </c>
      <c r="Q821" s="16" t="n"/>
      <c r="R821" s="18" t="n"/>
      <c r="S821" s="16" t="n"/>
    </row>
    <row r="822">
      <c r="A822" s="14">
        <f>IFERROR(IF(AND(IFERROR(INDEX(ERP資料!$A:$A, (MATCH(821, 輔助計算!$F$2:$F$801, 0)+1)), "")&lt;&gt;"", IFERROR(INDEX(ERP資料!$A:$A, (MATCH(821, 輔助計算!$F$2:$F$801, 0)+1)), "")&lt;&gt;IFERROR(INDEX(ERP資料!$A:$A, MATCH(820, 輔助計算!$F$2:$F$801, 0)+1), "")), INDEX(ERP資料!$B:$B, (MATCH(821, 輔助計算!$F$2:$F$801, 0)+1)), ""), "")</f>
        <v/>
      </c>
      <c r="B822" s="10">
        <f>IFERROR(IF(AND(IFERROR(INDEX(ERP資料!$A:$A, (MATCH(821, 輔助計算!$F$2:$F$801, 0)+1)), "")&lt;&gt;"", IFERROR(INDEX(ERP資料!$A:$A, (MATCH(821, 輔助計算!$F$2:$F$801, 0)+1)), "")&lt;&gt;IFERROR(INDEX(ERP資料!$A:$A, MATCH(820, 輔助計算!$F$2:$F$801, 0)+1), "")), IFERROR(INDEX(ERP資料!$A:$A, (MATCH(821, 輔助計算!$F$2:$F$801, 0)+1)), ""), ""), "")</f>
        <v/>
      </c>
      <c r="C822" s="10">
        <f>IFERROR(IF(AND(IFERROR(INDEX(ERP資料!$A:$A, (MATCH(821, 輔助計算!$F$2:$F$801, 0)+1)), "")&lt;&gt;"", IFERROR(INDEX(ERP資料!$A:$A, (MATCH(821, 輔助計算!$F$2:$F$801, 0)+1)), "")&lt;&gt;IFERROR(INDEX(ERP資料!$A:$A, MATCH(820, 輔助計算!$F$2:$F$801, 0)+1), "")), INDEX(ERP資料!$S:$S, (MATCH(821, 輔助計算!$F$2:$F$801, 0)+1)), ""), "")</f>
        <v/>
      </c>
      <c r="D822" s="10">
        <f>IFERROR(IF(INDEX(ERP資料!$E:$E, (MATCH(821, 輔助計算!$F$2:$F$801, 0)+1))="","",TRIM(INDEX(ERP資料!$E:$E, (MATCH(821, 輔助計算!$F$2:$F$801, 0)+1)))), "")</f>
        <v/>
      </c>
      <c r="E822" s="10">
        <f>IFERROR(IF(INDEX(ERP資料!$F:$F, (MATCH(821, 輔助計算!$F$2:$F$801, 0)+1))="","",INDEX(ERP資料!$F:$F, (MATCH(821, 輔助計算!$F$2:$F$801, 0)+1))), "")</f>
        <v/>
      </c>
      <c r="F822" s="10">
        <f>IFERROR(IF(INDEX(ERP資料!$G:$G, (MATCH(821, 輔助計算!$F$2:$F$801, 0)+1))="","",INDEX(ERP資料!$G:$G, (MATCH(821, 輔助計算!$F$2:$F$801, 0)+1))), "")</f>
        <v/>
      </c>
      <c r="G822" s="10">
        <f>IFERROR(IF(INDEX(ERP資料!$H:$H, (MATCH(821, 輔助計算!$F$2:$F$801, 0)+1))="","",INDEX(ERP資料!$H:$H, (MATCH(821, 輔助計算!$F$2:$F$801, 0)+1))), "")</f>
        <v/>
      </c>
      <c r="H822" s="10">
        <f>IFERROR(IF(INDEX(ERP資料!$O:$O, (MATCH(821, 輔助計算!$F$2:$F$801, 0)+1))="","",INDEX(ERP資料!$O:$O, (MATCH(821, 輔助計算!$F$2:$F$801, 0)+1))), "")</f>
        <v/>
      </c>
      <c r="I822" s="15">
        <f>IFERROR(IF(INDEX(輔助計算!$D:$D,(MATCH(821, 輔助計算!$F$2:$F$801, 0)+1))="","",INDEX(輔助計算!$D:$D,(MATCH(821, 輔助計算!$F$2:$F$801, 0)+1))*INDEX(ERP資料!$O:$O,(MATCH(821, 輔助計算!$F$2:$F$801, 0)+1))), "")</f>
        <v/>
      </c>
      <c r="J822" s="16" t="n"/>
      <c r="K822" s="15">
        <f>IFERROR(INDEX(輔助計算!$D:$D, (MATCH(821, 輔助計算!$F$2:$F$801, 0)+1)), "")</f>
        <v/>
      </c>
      <c r="L822" s="16">
        <f>IFERROR(IF(AND(IFERROR(VLOOKUP(LEFT(INDEX(ERP資料!$S:$S, (MATCH(821, 輔助計算!$F$2:$F$801, 0)+1)), 4), 100張客戶!$A:$A, 1, FALSE), "")&lt;&gt;"", OR(INDEX(ERP資料!$F:$F, (MATCH(821, 輔助計算!$F$2:$F$801, 0)+1))=270, INDEX(ERP資料!$F:$F, (MATCH(821, 輔助計算!$F$2:$F$801, 0)+1))=300)), "100張", ""), "")</f>
        <v/>
      </c>
      <c r="M822" s="17" t="n"/>
      <c r="N822" s="17">
        <f>IF($F822="","",$F822)</f>
        <v/>
      </c>
      <c r="O822" s="17">
        <f>IF($G822="","",$G822)</f>
        <v/>
      </c>
      <c r="P822" s="17">
        <f>IF($K822="","",$K822)</f>
        <v/>
      </c>
      <c r="Q822" s="16" t="n"/>
      <c r="R822" s="18" t="n"/>
      <c r="S822" s="16" t="n"/>
    </row>
    <row r="823">
      <c r="A823" s="14">
        <f>IFERROR(IF(AND(IFERROR(INDEX(ERP資料!$A:$A, (MATCH(822, 輔助計算!$F$2:$F$801, 0)+1)), "")&lt;&gt;"", IFERROR(INDEX(ERP資料!$A:$A, (MATCH(822, 輔助計算!$F$2:$F$801, 0)+1)), "")&lt;&gt;IFERROR(INDEX(ERP資料!$A:$A, MATCH(821, 輔助計算!$F$2:$F$801, 0)+1), "")), INDEX(ERP資料!$B:$B, (MATCH(822, 輔助計算!$F$2:$F$801, 0)+1)), ""), "")</f>
        <v/>
      </c>
      <c r="B823" s="10">
        <f>IFERROR(IF(AND(IFERROR(INDEX(ERP資料!$A:$A, (MATCH(822, 輔助計算!$F$2:$F$801, 0)+1)), "")&lt;&gt;"", IFERROR(INDEX(ERP資料!$A:$A, (MATCH(822, 輔助計算!$F$2:$F$801, 0)+1)), "")&lt;&gt;IFERROR(INDEX(ERP資料!$A:$A, MATCH(821, 輔助計算!$F$2:$F$801, 0)+1), "")), IFERROR(INDEX(ERP資料!$A:$A, (MATCH(822, 輔助計算!$F$2:$F$801, 0)+1)), ""), ""), "")</f>
        <v/>
      </c>
      <c r="C823" s="10">
        <f>IFERROR(IF(AND(IFERROR(INDEX(ERP資料!$A:$A, (MATCH(822, 輔助計算!$F$2:$F$801, 0)+1)), "")&lt;&gt;"", IFERROR(INDEX(ERP資料!$A:$A, (MATCH(822, 輔助計算!$F$2:$F$801, 0)+1)), "")&lt;&gt;IFERROR(INDEX(ERP資料!$A:$A, MATCH(821, 輔助計算!$F$2:$F$801, 0)+1), "")), INDEX(ERP資料!$S:$S, (MATCH(822, 輔助計算!$F$2:$F$801, 0)+1)), ""), "")</f>
        <v/>
      </c>
      <c r="D823" s="10">
        <f>IFERROR(IF(INDEX(ERP資料!$E:$E, (MATCH(822, 輔助計算!$F$2:$F$801, 0)+1))="","",TRIM(INDEX(ERP資料!$E:$E, (MATCH(822, 輔助計算!$F$2:$F$801, 0)+1)))), "")</f>
        <v/>
      </c>
      <c r="E823" s="10">
        <f>IFERROR(IF(INDEX(ERP資料!$F:$F, (MATCH(822, 輔助計算!$F$2:$F$801, 0)+1))="","",INDEX(ERP資料!$F:$F, (MATCH(822, 輔助計算!$F$2:$F$801, 0)+1))), "")</f>
        <v/>
      </c>
      <c r="F823" s="10">
        <f>IFERROR(IF(INDEX(ERP資料!$G:$G, (MATCH(822, 輔助計算!$F$2:$F$801, 0)+1))="","",INDEX(ERP資料!$G:$G, (MATCH(822, 輔助計算!$F$2:$F$801, 0)+1))), "")</f>
        <v/>
      </c>
      <c r="G823" s="10">
        <f>IFERROR(IF(INDEX(ERP資料!$H:$H, (MATCH(822, 輔助計算!$F$2:$F$801, 0)+1))="","",INDEX(ERP資料!$H:$H, (MATCH(822, 輔助計算!$F$2:$F$801, 0)+1))), "")</f>
        <v/>
      </c>
      <c r="H823" s="10">
        <f>IFERROR(IF(INDEX(ERP資料!$O:$O, (MATCH(822, 輔助計算!$F$2:$F$801, 0)+1))="","",INDEX(ERP資料!$O:$O, (MATCH(822, 輔助計算!$F$2:$F$801, 0)+1))), "")</f>
        <v/>
      </c>
      <c r="I823" s="15">
        <f>IFERROR(IF(INDEX(輔助計算!$D:$D,(MATCH(822, 輔助計算!$F$2:$F$801, 0)+1))="","",INDEX(輔助計算!$D:$D,(MATCH(822, 輔助計算!$F$2:$F$801, 0)+1))*INDEX(ERP資料!$O:$O,(MATCH(822, 輔助計算!$F$2:$F$801, 0)+1))), "")</f>
        <v/>
      </c>
      <c r="J823" s="16" t="n"/>
      <c r="K823" s="15">
        <f>IFERROR(INDEX(輔助計算!$D:$D, (MATCH(822, 輔助計算!$F$2:$F$801, 0)+1)), "")</f>
        <v/>
      </c>
      <c r="L823" s="16">
        <f>IFERROR(IF(AND(IFERROR(VLOOKUP(LEFT(INDEX(ERP資料!$S:$S, (MATCH(822, 輔助計算!$F$2:$F$801, 0)+1)), 4), 100張客戶!$A:$A, 1, FALSE), "")&lt;&gt;"", OR(INDEX(ERP資料!$F:$F, (MATCH(822, 輔助計算!$F$2:$F$801, 0)+1))=270, INDEX(ERP資料!$F:$F, (MATCH(822, 輔助計算!$F$2:$F$801, 0)+1))=300)), "100張", ""), "")</f>
        <v/>
      </c>
      <c r="M823" s="17" t="n"/>
      <c r="N823" s="17">
        <f>IF($F823="","",$F823)</f>
        <v/>
      </c>
      <c r="O823" s="17">
        <f>IF($G823="","",$G823)</f>
        <v/>
      </c>
      <c r="P823" s="17">
        <f>IF($K823="","",$K823)</f>
        <v/>
      </c>
      <c r="Q823" s="16" t="n"/>
      <c r="R823" s="18" t="n"/>
      <c r="S823" s="16" t="n"/>
    </row>
    <row r="824">
      <c r="A824" s="14">
        <f>IFERROR(IF(AND(IFERROR(INDEX(ERP資料!$A:$A, (MATCH(823, 輔助計算!$F$2:$F$801, 0)+1)), "")&lt;&gt;"", IFERROR(INDEX(ERP資料!$A:$A, (MATCH(823, 輔助計算!$F$2:$F$801, 0)+1)), "")&lt;&gt;IFERROR(INDEX(ERP資料!$A:$A, MATCH(822, 輔助計算!$F$2:$F$801, 0)+1), "")), INDEX(ERP資料!$B:$B, (MATCH(823, 輔助計算!$F$2:$F$801, 0)+1)), ""), "")</f>
        <v/>
      </c>
      <c r="B824" s="10">
        <f>IFERROR(IF(AND(IFERROR(INDEX(ERP資料!$A:$A, (MATCH(823, 輔助計算!$F$2:$F$801, 0)+1)), "")&lt;&gt;"", IFERROR(INDEX(ERP資料!$A:$A, (MATCH(823, 輔助計算!$F$2:$F$801, 0)+1)), "")&lt;&gt;IFERROR(INDEX(ERP資料!$A:$A, MATCH(822, 輔助計算!$F$2:$F$801, 0)+1), "")), IFERROR(INDEX(ERP資料!$A:$A, (MATCH(823, 輔助計算!$F$2:$F$801, 0)+1)), ""), ""), "")</f>
        <v/>
      </c>
      <c r="C824" s="10">
        <f>IFERROR(IF(AND(IFERROR(INDEX(ERP資料!$A:$A, (MATCH(823, 輔助計算!$F$2:$F$801, 0)+1)), "")&lt;&gt;"", IFERROR(INDEX(ERP資料!$A:$A, (MATCH(823, 輔助計算!$F$2:$F$801, 0)+1)), "")&lt;&gt;IFERROR(INDEX(ERP資料!$A:$A, MATCH(822, 輔助計算!$F$2:$F$801, 0)+1), "")), INDEX(ERP資料!$S:$S, (MATCH(823, 輔助計算!$F$2:$F$801, 0)+1)), ""), "")</f>
        <v/>
      </c>
      <c r="D824" s="10">
        <f>IFERROR(IF(INDEX(ERP資料!$E:$E, (MATCH(823, 輔助計算!$F$2:$F$801, 0)+1))="","",TRIM(INDEX(ERP資料!$E:$E, (MATCH(823, 輔助計算!$F$2:$F$801, 0)+1)))), "")</f>
        <v/>
      </c>
      <c r="E824" s="10">
        <f>IFERROR(IF(INDEX(ERP資料!$F:$F, (MATCH(823, 輔助計算!$F$2:$F$801, 0)+1))="","",INDEX(ERP資料!$F:$F, (MATCH(823, 輔助計算!$F$2:$F$801, 0)+1))), "")</f>
        <v/>
      </c>
      <c r="F824" s="10">
        <f>IFERROR(IF(INDEX(ERP資料!$G:$G, (MATCH(823, 輔助計算!$F$2:$F$801, 0)+1))="","",INDEX(ERP資料!$G:$G, (MATCH(823, 輔助計算!$F$2:$F$801, 0)+1))), "")</f>
        <v/>
      </c>
      <c r="G824" s="10">
        <f>IFERROR(IF(INDEX(ERP資料!$H:$H, (MATCH(823, 輔助計算!$F$2:$F$801, 0)+1))="","",INDEX(ERP資料!$H:$H, (MATCH(823, 輔助計算!$F$2:$F$801, 0)+1))), "")</f>
        <v/>
      </c>
      <c r="H824" s="10">
        <f>IFERROR(IF(INDEX(ERP資料!$O:$O, (MATCH(823, 輔助計算!$F$2:$F$801, 0)+1))="","",INDEX(ERP資料!$O:$O, (MATCH(823, 輔助計算!$F$2:$F$801, 0)+1))), "")</f>
        <v/>
      </c>
      <c r="I824" s="15">
        <f>IFERROR(IF(INDEX(輔助計算!$D:$D,(MATCH(823, 輔助計算!$F$2:$F$801, 0)+1))="","",INDEX(輔助計算!$D:$D,(MATCH(823, 輔助計算!$F$2:$F$801, 0)+1))*INDEX(ERP資料!$O:$O,(MATCH(823, 輔助計算!$F$2:$F$801, 0)+1))), "")</f>
        <v/>
      </c>
      <c r="J824" s="16" t="n"/>
      <c r="K824" s="15">
        <f>IFERROR(INDEX(輔助計算!$D:$D, (MATCH(823, 輔助計算!$F$2:$F$801, 0)+1)), "")</f>
        <v/>
      </c>
      <c r="L824" s="16">
        <f>IFERROR(IF(AND(IFERROR(VLOOKUP(LEFT(INDEX(ERP資料!$S:$S, (MATCH(823, 輔助計算!$F$2:$F$801, 0)+1)), 4), 100張客戶!$A:$A, 1, FALSE), "")&lt;&gt;"", OR(INDEX(ERP資料!$F:$F, (MATCH(823, 輔助計算!$F$2:$F$801, 0)+1))=270, INDEX(ERP資料!$F:$F, (MATCH(823, 輔助計算!$F$2:$F$801, 0)+1))=300)), "100張", ""), "")</f>
        <v/>
      </c>
      <c r="M824" s="17" t="n"/>
      <c r="N824" s="17">
        <f>IF($F824="","",$F824)</f>
        <v/>
      </c>
      <c r="O824" s="17">
        <f>IF($G824="","",$G824)</f>
        <v/>
      </c>
      <c r="P824" s="17">
        <f>IF($K824="","",$K824)</f>
        <v/>
      </c>
      <c r="Q824" s="16" t="n"/>
      <c r="R824" s="18" t="n"/>
      <c r="S824" s="16" t="n"/>
    </row>
    <row r="825">
      <c r="A825" s="14">
        <f>IFERROR(IF(AND(IFERROR(INDEX(ERP資料!$A:$A, (MATCH(824, 輔助計算!$F$2:$F$801, 0)+1)), "")&lt;&gt;"", IFERROR(INDEX(ERP資料!$A:$A, (MATCH(824, 輔助計算!$F$2:$F$801, 0)+1)), "")&lt;&gt;IFERROR(INDEX(ERP資料!$A:$A, MATCH(823, 輔助計算!$F$2:$F$801, 0)+1), "")), INDEX(ERP資料!$B:$B, (MATCH(824, 輔助計算!$F$2:$F$801, 0)+1)), ""), "")</f>
        <v/>
      </c>
      <c r="B825" s="10">
        <f>IFERROR(IF(AND(IFERROR(INDEX(ERP資料!$A:$A, (MATCH(824, 輔助計算!$F$2:$F$801, 0)+1)), "")&lt;&gt;"", IFERROR(INDEX(ERP資料!$A:$A, (MATCH(824, 輔助計算!$F$2:$F$801, 0)+1)), "")&lt;&gt;IFERROR(INDEX(ERP資料!$A:$A, MATCH(823, 輔助計算!$F$2:$F$801, 0)+1), "")), IFERROR(INDEX(ERP資料!$A:$A, (MATCH(824, 輔助計算!$F$2:$F$801, 0)+1)), ""), ""), "")</f>
        <v/>
      </c>
      <c r="C825" s="10">
        <f>IFERROR(IF(AND(IFERROR(INDEX(ERP資料!$A:$A, (MATCH(824, 輔助計算!$F$2:$F$801, 0)+1)), "")&lt;&gt;"", IFERROR(INDEX(ERP資料!$A:$A, (MATCH(824, 輔助計算!$F$2:$F$801, 0)+1)), "")&lt;&gt;IFERROR(INDEX(ERP資料!$A:$A, MATCH(823, 輔助計算!$F$2:$F$801, 0)+1), "")), INDEX(ERP資料!$S:$S, (MATCH(824, 輔助計算!$F$2:$F$801, 0)+1)), ""), "")</f>
        <v/>
      </c>
      <c r="D825" s="10">
        <f>IFERROR(IF(INDEX(ERP資料!$E:$E, (MATCH(824, 輔助計算!$F$2:$F$801, 0)+1))="","",TRIM(INDEX(ERP資料!$E:$E, (MATCH(824, 輔助計算!$F$2:$F$801, 0)+1)))), "")</f>
        <v/>
      </c>
      <c r="E825" s="10">
        <f>IFERROR(IF(INDEX(ERP資料!$F:$F, (MATCH(824, 輔助計算!$F$2:$F$801, 0)+1))="","",INDEX(ERP資料!$F:$F, (MATCH(824, 輔助計算!$F$2:$F$801, 0)+1))), "")</f>
        <v/>
      </c>
      <c r="F825" s="10">
        <f>IFERROR(IF(INDEX(ERP資料!$G:$G, (MATCH(824, 輔助計算!$F$2:$F$801, 0)+1))="","",INDEX(ERP資料!$G:$G, (MATCH(824, 輔助計算!$F$2:$F$801, 0)+1))), "")</f>
        <v/>
      </c>
      <c r="G825" s="10">
        <f>IFERROR(IF(INDEX(ERP資料!$H:$H, (MATCH(824, 輔助計算!$F$2:$F$801, 0)+1))="","",INDEX(ERP資料!$H:$H, (MATCH(824, 輔助計算!$F$2:$F$801, 0)+1))), "")</f>
        <v/>
      </c>
      <c r="H825" s="10">
        <f>IFERROR(IF(INDEX(ERP資料!$O:$O, (MATCH(824, 輔助計算!$F$2:$F$801, 0)+1))="","",INDEX(ERP資料!$O:$O, (MATCH(824, 輔助計算!$F$2:$F$801, 0)+1))), "")</f>
        <v/>
      </c>
      <c r="I825" s="15">
        <f>IFERROR(IF(INDEX(輔助計算!$D:$D,(MATCH(824, 輔助計算!$F$2:$F$801, 0)+1))="","",INDEX(輔助計算!$D:$D,(MATCH(824, 輔助計算!$F$2:$F$801, 0)+1))*INDEX(ERP資料!$O:$O,(MATCH(824, 輔助計算!$F$2:$F$801, 0)+1))), "")</f>
        <v/>
      </c>
      <c r="J825" s="16" t="n"/>
      <c r="K825" s="15">
        <f>IFERROR(INDEX(輔助計算!$D:$D, (MATCH(824, 輔助計算!$F$2:$F$801, 0)+1)), "")</f>
        <v/>
      </c>
      <c r="L825" s="16">
        <f>IFERROR(IF(AND(IFERROR(VLOOKUP(LEFT(INDEX(ERP資料!$S:$S, (MATCH(824, 輔助計算!$F$2:$F$801, 0)+1)), 4), 100張客戶!$A:$A, 1, FALSE), "")&lt;&gt;"", OR(INDEX(ERP資料!$F:$F, (MATCH(824, 輔助計算!$F$2:$F$801, 0)+1))=270, INDEX(ERP資料!$F:$F, (MATCH(824, 輔助計算!$F$2:$F$801, 0)+1))=300)), "100張", ""), "")</f>
        <v/>
      </c>
      <c r="M825" s="17" t="n"/>
      <c r="N825" s="17">
        <f>IF($F825="","",$F825)</f>
        <v/>
      </c>
      <c r="O825" s="17">
        <f>IF($G825="","",$G825)</f>
        <v/>
      </c>
      <c r="P825" s="17">
        <f>IF($K825="","",$K825)</f>
        <v/>
      </c>
      <c r="Q825" s="16" t="n"/>
      <c r="R825" s="18" t="n"/>
      <c r="S825" s="16" t="n"/>
    </row>
    <row r="826">
      <c r="A826" s="14">
        <f>IFERROR(IF(AND(IFERROR(INDEX(ERP資料!$A:$A, (MATCH(825, 輔助計算!$F$2:$F$801, 0)+1)), "")&lt;&gt;"", IFERROR(INDEX(ERP資料!$A:$A, (MATCH(825, 輔助計算!$F$2:$F$801, 0)+1)), "")&lt;&gt;IFERROR(INDEX(ERP資料!$A:$A, MATCH(824, 輔助計算!$F$2:$F$801, 0)+1), "")), INDEX(ERP資料!$B:$B, (MATCH(825, 輔助計算!$F$2:$F$801, 0)+1)), ""), "")</f>
        <v/>
      </c>
      <c r="B826" s="10">
        <f>IFERROR(IF(AND(IFERROR(INDEX(ERP資料!$A:$A, (MATCH(825, 輔助計算!$F$2:$F$801, 0)+1)), "")&lt;&gt;"", IFERROR(INDEX(ERP資料!$A:$A, (MATCH(825, 輔助計算!$F$2:$F$801, 0)+1)), "")&lt;&gt;IFERROR(INDEX(ERP資料!$A:$A, MATCH(824, 輔助計算!$F$2:$F$801, 0)+1), "")), IFERROR(INDEX(ERP資料!$A:$A, (MATCH(825, 輔助計算!$F$2:$F$801, 0)+1)), ""), ""), "")</f>
        <v/>
      </c>
      <c r="C826" s="10">
        <f>IFERROR(IF(AND(IFERROR(INDEX(ERP資料!$A:$A, (MATCH(825, 輔助計算!$F$2:$F$801, 0)+1)), "")&lt;&gt;"", IFERROR(INDEX(ERP資料!$A:$A, (MATCH(825, 輔助計算!$F$2:$F$801, 0)+1)), "")&lt;&gt;IFERROR(INDEX(ERP資料!$A:$A, MATCH(824, 輔助計算!$F$2:$F$801, 0)+1), "")), INDEX(ERP資料!$S:$S, (MATCH(825, 輔助計算!$F$2:$F$801, 0)+1)), ""), "")</f>
        <v/>
      </c>
      <c r="D826" s="10">
        <f>IFERROR(IF(INDEX(ERP資料!$E:$E, (MATCH(825, 輔助計算!$F$2:$F$801, 0)+1))="","",TRIM(INDEX(ERP資料!$E:$E, (MATCH(825, 輔助計算!$F$2:$F$801, 0)+1)))), "")</f>
        <v/>
      </c>
      <c r="E826" s="10">
        <f>IFERROR(IF(INDEX(ERP資料!$F:$F, (MATCH(825, 輔助計算!$F$2:$F$801, 0)+1))="","",INDEX(ERP資料!$F:$F, (MATCH(825, 輔助計算!$F$2:$F$801, 0)+1))), "")</f>
        <v/>
      </c>
      <c r="F826" s="10">
        <f>IFERROR(IF(INDEX(ERP資料!$G:$G, (MATCH(825, 輔助計算!$F$2:$F$801, 0)+1))="","",INDEX(ERP資料!$G:$G, (MATCH(825, 輔助計算!$F$2:$F$801, 0)+1))), "")</f>
        <v/>
      </c>
      <c r="G826" s="10">
        <f>IFERROR(IF(INDEX(ERP資料!$H:$H, (MATCH(825, 輔助計算!$F$2:$F$801, 0)+1))="","",INDEX(ERP資料!$H:$H, (MATCH(825, 輔助計算!$F$2:$F$801, 0)+1))), "")</f>
        <v/>
      </c>
      <c r="H826" s="10">
        <f>IFERROR(IF(INDEX(ERP資料!$O:$O, (MATCH(825, 輔助計算!$F$2:$F$801, 0)+1))="","",INDEX(ERP資料!$O:$O, (MATCH(825, 輔助計算!$F$2:$F$801, 0)+1))), "")</f>
        <v/>
      </c>
      <c r="I826" s="15">
        <f>IFERROR(IF(INDEX(輔助計算!$D:$D,(MATCH(825, 輔助計算!$F$2:$F$801, 0)+1))="","",INDEX(輔助計算!$D:$D,(MATCH(825, 輔助計算!$F$2:$F$801, 0)+1))*INDEX(ERP資料!$O:$O,(MATCH(825, 輔助計算!$F$2:$F$801, 0)+1))), "")</f>
        <v/>
      </c>
      <c r="J826" s="16" t="n"/>
      <c r="K826" s="15">
        <f>IFERROR(INDEX(輔助計算!$D:$D, (MATCH(825, 輔助計算!$F$2:$F$801, 0)+1)), "")</f>
        <v/>
      </c>
      <c r="L826" s="16">
        <f>IFERROR(IF(AND(IFERROR(VLOOKUP(LEFT(INDEX(ERP資料!$S:$S, (MATCH(825, 輔助計算!$F$2:$F$801, 0)+1)), 4), 100張客戶!$A:$A, 1, FALSE), "")&lt;&gt;"", OR(INDEX(ERP資料!$F:$F, (MATCH(825, 輔助計算!$F$2:$F$801, 0)+1))=270, INDEX(ERP資料!$F:$F, (MATCH(825, 輔助計算!$F$2:$F$801, 0)+1))=300)), "100張", ""), "")</f>
        <v/>
      </c>
      <c r="M826" s="17" t="n"/>
      <c r="N826" s="17">
        <f>IF($F826="","",$F826)</f>
        <v/>
      </c>
      <c r="O826" s="17">
        <f>IF($G826="","",$G826)</f>
        <v/>
      </c>
      <c r="P826" s="17">
        <f>IF($K826="","",$K826)</f>
        <v/>
      </c>
      <c r="Q826" s="16" t="n"/>
      <c r="R826" s="18" t="n"/>
      <c r="S826" s="16" t="n"/>
    </row>
    <row r="827">
      <c r="A827" s="14">
        <f>IFERROR(IF(AND(IFERROR(INDEX(ERP資料!$A:$A, (MATCH(826, 輔助計算!$F$2:$F$801, 0)+1)), "")&lt;&gt;"", IFERROR(INDEX(ERP資料!$A:$A, (MATCH(826, 輔助計算!$F$2:$F$801, 0)+1)), "")&lt;&gt;IFERROR(INDEX(ERP資料!$A:$A, MATCH(825, 輔助計算!$F$2:$F$801, 0)+1), "")), INDEX(ERP資料!$B:$B, (MATCH(826, 輔助計算!$F$2:$F$801, 0)+1)), ""), "")</f>
        <v/>
      </c>
      <c r="B827" s="10">
        <f>IFERROR(IF(AND(IFERROR(INDEX(ERP資料!$A:$A, (MATCH(826, 輔助計算!$F$2:$F$801, 0)+1)), "")&lt;&gt;"", IFERROR(INDEX(ERP資料!$A:$A, (MATCH(826, 輔助計算!$F$2:$F$801, 0)+1)), "")&lt;&gt;IFERROR(INDEX(ERP資料!$A:$A, MATCH(825, 輔助計算!$F$2:$F$801, 0)+1), "")), IFERROR(INDEX(ERP資料!$A:$A, (MATCH(826, 輔助計算!$F$2:$F$801, 0)+1)), ""), ""), "")</f>
        <v/>
      </c>
      <c r="C827" s="10">
        <f>IFERROR(IF(AND(IFERROR(INDEX(ERP資料!$A:$A, (MATCH(826, 輔助計算!$F$2:$F$801, 0)+1)), "")&lt;&gt;"", IFERROR(INDEX(ERP資料!$A:$A, (MATCH(826, 輔助計算!$F$2:$F$801, 0)+1)), "")&lt;&gt;IFERROR(INDEX(ERP資料!$A:$A, MATCH(825, 輔助計算!$F$2:$F$801, 0)+1), "")), INDEX(ERP資料!$S:$S, (MATCH(826, 輔助計算!$F$2:$F$801, 0)+1)), ""), "")</f>
        <v/>
      </c>
      <c r="D827" s="10">
        <f>IFERROR(IF(INDEX(ERP資料!$E:$E, (MATCH(826, 輔助計算!$F$2:$F$801, 0)+1))="","",TRIM(INDEX(ERP資料!$E:$E, (MATCH(826, 輔助計算!$F$2:$F$801, 0)+1)))), "")</f>
        <v/>
      </c>
      <c r="E827" s="10">
        <f>IFERROR(IF(INDEX(ERP資料!$F:$F, (MATCH(826, 輔助計算!$F$2:$F$801, 0)+1))="","",INDEX(ERP資料!$F:$F, (MATCH(826, 輔助計算!$F$2:$F$801, 0)+1))), "")</f>
        <v/>
      </c>
      <c r="F827" s="10">
        <f>IFERROR(IF(INDEX(ERP資料!$G:$G, (MATCH(826, 輔助計算!$F$2:$F$801, 0)+1))="","",INDEX(ERP資料!$G:$G, (MATCH(826, 輔助計算!$F$2:$F$801, 0)+1))), "")</f>
        <v/>
      </c>
      <c r="G827" s="10">
        <f>IFERROR(IF(INDEX(ERP資料!$H:$H, (MATCH(826, 輔助計算!$F$2:$F$801, 0)+1))="","",INDEX(ERP資料!$H:$H, (MATCH(826, 輔助計算!$F$2:$F$801, 0)+1))), "")</f>
        <v/>
      </c>
      <c r="H827" s="10">
        <f>IFERROR(IF(INDEX(ERP資料!$O:$O, (MATCH(826, 輔助計算!$F$2:$F$801, 0)+1))="","",INDEX(ERP資料!$O:$O, (MATCH(826, 輔助計算!$F$2:$F$801, 0)+1))), "")</f>
        <v/>
      </c>
      <c r="I827" s="15">
        <f>IFERROR(IF(INDEX(輔助計算!$D:$D,(MATCH(826, 輔助計算!$F$2:$F$801, 0)+1))="","",INDEX(輔助計算!$D:$D,(MATCH(826, 輔助計算!$F$2:$F$801, 0)+1))*INDEX(ERP資料!$O:$O,(MATCH(826, 輔助計算!$F$2:$F$801, 0)+1))), "")</f>
        <v/>
      </c>
      <c r="J827" s="16" t="n"/>
      <c r="K827" s="15">
        <f>IFERROR(INDEX(輔助計算!$D:$D, (MATCH(826, 輔助計算!$F$2:$F$801, 0)+1)), "")</f>
        <v/>
      </c>
      <c r="L827" s="16">
        <f>IFERROR(IF(AND(IFERROR(VLOOKUP(LEFT(INDEX(ERP資料!$S:$S, (MATCH(826, 輔助計算!$F$2:$F$801, 0)+1)), 4), 100張客戶!$A:$A, 1, FALSE), "")&lt;&gt;"", OR(INDEX(ERP資料!$F:$F, (MATCH(826, 輔助計算!$F$2:$F$801, 0)+1))=270, INDEX(ERP資料!$F:$F, (MATCH(826, 輔助計算!$F$2:$F$801, 0)+1))=300)), "100張", ""), "")</f>
        <v/>
      </c>
      <c r="M827" s="17" t="n"/>
      <c r="N827" s="17">
        <f>IF($F827="","",$F827)</f>
        <v/>
      </c>
      <c r="O827" s="17">
        <f>IF($G827="","",$G827)</f>
        <v/>
      </c>
      <c r="P827" s="17">
        <f>IF($K827="","",$K827)</f>
        <v/>
      </c>
      <c r="Q827" s="16" t="n"/>
      <c r="R827" s="18" t="n"/>
      <c r="S827" s="16" t="n"/>
    </row>
    <row r="828">
      <c r="A828" s="14">
        <f>IFERROR(IF(AND(IFERROR(INDEX(ERP資料!$A:$A, (MATCH(827, 輔助計算!$F$2:$F$801, 0)+1)), "")&lt;&gt;"", IFERROR(INDEX(ERP資料!$A:$A, (MATCH(827, 輔助計算!$F$2:$F$801, 0)+1)), "")&lt;&gt;IFERROR(INDEX(ERP資料!$A:$A, MATCH(826, 輔助計算!$F$2:$F$801, 0)+1), "")), INDEX(ERP資料!$B:$B, (MATCH(827, 輔助計算!$F$2:$F$801, 0)+1)), ""), "")</f>
        <v/>
      </c>
      <c r="B828" s="10">
        <f>IFERROR(IF(AND(IFERROR(INDEX(ERP資料!$A:$A, (MATCH(827, 輔助計算!$F$2:$F$801, 0)+1)), "")&lt;&gt;"", IFERROR(INDEX(ERP資料!$A:$A, (MATCH(827, 輔助計算!$F$2:$F$801, 0)+1)), "")&lt;&gt;IFERROR(INDEX(ERP資料!$A:$A, MATCH(826, 輔助計算!$F$2:$F$801, 0)+1), "")), IFERROR(INDEX(ERP資料!$A:$A, (MATCH(827, 輔助計算!$F$2:$F$801, 0)+1)), ""), ""), "")</f>
        <v/>
      </c>
      <c r="C828" s="10">
        <f>IFERROR(IF(AND(IFERROR(INDEX(ERP資料!$A:$A, (MATCH(827, 輔助計算!$F$2:$F$801, 0)+1)), "")&lt;&gt;"", IFERROR(INDEX(ERP資料!$A:$A, (MATCH(827, 輔助計算!$F$2:$F$801, 0)+1)), "")&lt;&gt;IFERROR(INDEX(ERP資料!$A:$A, MATCH(826, 輔助計算!$F$2:$F$801, 0)+1), "")), INDEX(ERP資料!$S:$S, (MATCH(827, 輔助計算!$F$2:$F$801, 0)+1)), ""), "")</f>
        <v/>
      </c>
      <c r="D828" s="10">
        <f>IFERROR(IF(INDEX(ERP資料!$E:$E, (MATCH(827, 輔助計算!$F$2:$F$801, 0)+1))="","",TRIM(INDEX(ERP資料!$E:$E, (MATCH(827, 輔助計算!$F$2:$F$801, 0)+1)))), "")</f>
        <v/>
      </c>
      <c r="E828" s="10">
        <f>IFERROR(IF(INDEX(ERP資料!$F:$F, (MATCH(827, 輔助計算!$F$2:$F$801, 0)+1))="","",INDEX(ERP資料!$F:$F, (MATCH(827, 輔助計算!$F$2:$F$801, 0)+1))), "")</f>
        <v/>
      </c>
      <c r="F828" s="10">
        <f>IFERROR(IF(INDEX(ERP資料!$G:$G, (MATCH(827, 輔助計算!$F$2:$F$801, 0)+1))="","",INDEX(ERP資料!$G:$G, (MATCH(827, 輔助計算!$F$2:$F$801, 0)+1))), "")</f>
        <v/>
      </c>
      <c r="G828" s="10">
        <f>IFERROR(IF(INDEX(ERP資料!$H:$H, (MATCH(827, 輔助計算!$F$2:$F$801, 0)+1))="","",INDEX(ERP資料!$H:$H, (MATCH(827, 輔助計算!$F$2:$F$801, 0)+1))), "")</f>
        <v/>
      </c>
      <c r="H828" s="10">
        <f>IFERROR(IF(INDEX(ERP資料!$O:$O, (MATCH(827, 輔助計算!$F$2:$F$801, 0)+1))="","",INDEX(ERP資料!$O:$O, (MATCH(827, 輔助計算!$F$2:$F$801, 0)+1))), "")</f>
        <v/>
      </c>
      <c r="I828" s="15">
        <f>IFERROR(IF(INDEX(輔助計算!$D:$D,(MATCH(827, 輔助計算!$F$2:$F$801, 0)+1))="","",INDEX(輔助計算!$D:$D,(MATCH(827, 輔助計算!$F$2:$F$801, 0)+1))*INDEX(ERP資料!$O:$O,(MATCH(827, 輔助計算!$F$2:$F$801, 0)+1))), "")</f>
        <v/>
      </c>
      <c r="J828" s="16" t="n"/>
      <c r="K828" s="15">
        <f>IFERROR(INDEX(輔助計算!$D:$D, (MATCH(827, 輔助計算!$F$2:$F$801, 0)+1)), "")</f>
        <v/>
      </c>
      <c r="L828" s="16">
        <f>IFERROR(IF(AND(IFERROR(VLOOKUP(LEFT(INDEX(ERP資料!$S:$S, (MATCH(827, 輔助計算!$F$2:$F$801, 0)+1)), 4), 100張客戶!$A:$A, 1, FALSE), "")&lt;&gt;"", OR(INDEX(ERP資料!$F:$F, (MATCH(827, 輔助計算!$F$2:$F$801, 0)+1))=270, INDEX(ERP資料!$F:$F, (MATCH(827, 輔助計算!$F$2:$F$801, 0)+1))=300)), "100張", ""), "")</f>
        <v/>
      </c>
      <c r="M828" s="17" t="n"/>
      <c r="N828" s="17">
        <f>IF($F828="","",$F828)</f>
        <v/>
      </c>
      <c r="O828" s="17">
        <f>IF($G828="","",$G828)</f>
        <v/>
      </c>
      <c r="P828" s="17">
        <f>IF($K828="","",$K828)</f>
        <v/>
      </c>
      <c r="Q828" s="16" t="n"/>
      <c r="R828" s="18" t="n"/>
      <c r="S828" s="16" t="n"/>
    </row>
    <row r="829">
      <c r="A829" s="14">
        <f>IFERROR(IF(AND(IFERROR(INDEX(ERP資料!$A:$A, (MATCH(828, 輔助計算!$F$2:$F$801, 0)+1)), "")&lt;&gt;"", IFERROR(INDEX(ERP資料!$A:$A, (MATCH(828, 輔助計算!$F$2:$F$801, 0)+1)), "")&lt;&gt;IFERROR(INDEX(ERP資料!$A:$A, MATCH(827, 輔助計算!$F$2:$F$801, 0)+1), "")), INDEX(ERP資料!$B:$B, (MATCH(828, 輔助計算!$F$2:$F$801, 0)+1)), ""), "")</f>
        <v/>
      </c>
      <c r="B829" s="10">
        <f>IFERROR(IF(AND(IFERROR(INDEX(ERP資料!$A:$A, (MATCH(828, 輔助計算!$F$2:$F$801, 0)+1)), "")&lt;&gt;"", IFERROR(INDEX(ERP資料!$A:$A, (MATCH(828, 輔助計算!$F$2:$F$801, 0)+1)), "")&lt;&gt;IFERROR(INDEX(ERP資料!$A:$A, MATCH(827, 輔助計算!$F$2:$F$801, 0)+1), "")), IFERROR(INDEX(ERP資料!$A:$A, (MATCH(828, 輔助計算!$F$2:$F$801, 0)+1)), ""), ""), "")</f>
        <v/>
      </c>
      <c r="C829" s="10">
        <f>IFERROR(IF(AND(IFERROR(INDEX(ERP資料!$A:$A, (MATCH(828, 輔助計算!$F$2:$F$801, 0)+1)), "")&lt;&gt;"", IFERROR(INDEX(ERP資料!$A:$A, (MATCH(828, 輔助計算!$F$2:$F$801, 0)+1)), "")&lt;&gt;IFERROR(INDEX(ERP資料!$A:$A, MATCH(827, 輔助計算!$F$2:$F$801, 0)+1), "")), INDEX(ERP資料!$S:$S, (MATCH(828, 輔助計算!$F$2:$F$801, 0)+1)), ""), "")</f>
        <v/>
      </c>
      <c r="D829" s="10">
        <f>IFERROR(IF(INDEX(ERP資料!$E:$E, (MATCH(828, 輔助計算!$F$2:$F$801, 0)+1))="","",TRIM(INDEX(ERP資料!$E:$E, (MATCH(828, 輔助計算!$F$2:$F$801, 0)+1)))), "")</f>
        <v/>
      </c>
      <c r="E829" s="10">
        <f>IFERROR(IF(INDEX(ERP資料!$F:$F, (MATCH(828, 輔助計算!$F$2:$F$801, 0)+1))="","",INDEX(ERP資料!$F:$F, (MATCH(828, 輔助計算!$F$2:$F$801, 0)+1))), "")</f>
        <v/>
      </c>
      <c r="F829" s="10">
        <f>IFERROR(IF(INDEX(ERP資料!$G:$G, (MATCH(828, 輔助計算!$F$2:$F$801, 0)+1))="","",INDEX(ERP資料!$G:$G, (MATCH(828, 輔助計算!$F$2:$F$801, 0)+1))), "")</f>
        <v/>
      </c>
      <c r="G829" s="10">
        <f>IFERROR(IF(INDEX(ERP資料!$H:$H, (MATCH(828, 輔助計算!$F$2:$F$801, 0)+1))="","",INDEX(ERP資料!$H:$H, (MATCH(828, 輔助計算!$F$2:$F$801, 0)+1))), "")</f>
        <v/>
      </c>
      <c r="H829" s="10">
        <f>IFERROR(IF(INDEX(ERP資料!$O:$O, (MATCH(828, 輔助計算!$F$2:$F$801, 0)+1))="","",INDEX(ERP資料!$O:$O, (MATCH(828, 輔助計算!$F$2:$F$801, 0)+1))), "")</f>
        <v/>
      </c>
      <c r="I829" s="15">
        <f>IFERROR(IF(INDEX(輔助計算!$D:$D,(MATCH(828, 輔助計算!$F$2:$F$801, 0)+1))="","",INDEX(輔助計算!$D:$D,(MATCH(828, 輔助計算!$F$2:$F$801, 0)+1))*INDEX(ERP資料!$O:$O,(MATCH(828, 輔助計算!$F$2:$F$801, 0)+1))), "")</f>
        <v/>
      </c>
      <c r="J829" s="16" t="n"/>
      <c r="K829" s="15">
        <f>IFERROR(INDEX(輔助計算!$D:$D, (MATCH(828, 輔助計算!$F$2:$F$801, 0)+1)), "")</f>
        <v/>
      </c>
      <c r="L829" s="16">
        <f>IFERROR(IF(AND(IFERROR(VLOOKUP(LEFT(INDEX(ERP資料!$S:$S, (MATCH(828, 輔助計算!$F$2:$F$801, 0)+1)), 4), 100張客戶!$A:$A, 1, FALSE), "")&lt;&gt;"", OR(INDEX(ERP資料!$F:$F, (MATCH(828, 輔助計算!$F$2:$F$801, 0)+1))=270, INDEX(ERP資料!$F:$F, (MATCH(828, 輔助計算!$F$2:$F$801, 0)+1))=300)), "100張", ""), "")</f>
        <v/>
      </c>
      <c r="M829" s="17" t="n"/>
      <c r="N829" s="17">
        <f>IF($F829="","",$F829)</f>
        <v/>
      </c>
      <c r="O829" s="17">
        <f>IF($G829="","",$G829)</f>
        <v/>
      </c>
      <c r="P829" s="17">
        <f>IF($K829="","",$K829)</f>
        <v/>
      </c>
      <c r="Q829" s="16" t="n"/>
      <c r="R829" s="18" t="n"/>
      <c r="S829" s="16" t="n"/>
    </row>
    <row r="830">
      <c r="A830" s="14">
        <f>IFERROR(IF(AND(IFERROR(INDEX(ERP資料!$A:$A, (MATCH(829, 輔助計算!$F$2:$F$801, 0)+1)), "")&lt;&gt;"", IFERROR(INDEX(ERP資料!$A:$A, (MATCH(829, 輔助計算!$F$2:$F$801, 0)+1)), "")&lt;&gt;IFERROR(INDEX(ERP資料!$A:$A, MATCH(828, 輔助計算!$F$2:$F$801, 0)+1), "")), INDEX(ERP資料!$B:$B, (MATCH(829, 輔助計算!$F$2:$F$801, 0)+1)), ""), "")</f>
        <v/>
      </c>
      <c r="B830" s="10">
        <f>IFERROR(IF(AND(IFERROR(INDEX(ERP資料!$A:$A, (MATCH(829, 輔助計算!$F$2:$F$801, 0)+1)), "")&lt;&gt;"", IFERROR(INDEX(ERP資料!$A:$A, (MATCH(829, 輔助計算!$F$2:$F$801, 0)+1)), "")&lt;&gt;IFERROR(INDEX(ERP資料!$A:$A, MATCH(828, 輔助計算!$F$2:$F$801, 0)+1), "")), IFERROR(INDEX(ERP資料!$A:$A, (MATCH(829, 輔助計算!$F$2:$F$801, 0)+1)), ""), ""), "")</f>
        <v/>
      </c>
      <c r="C830" s="10">
        <f>IFERROR(IF(AND(IFERROR(INDEX(ERP資料!$A:$A, (MATCH(829, 輔助計算!$F$2:$F$801, 0)+1)), "")&lt;&gt;"", IFERROR(INDEX(ERP資料!$A:$A, (MATCH(829, 輔助計算!$F$2:$F$801, 0)+1)), "")&lt;&gt;IFERROR(INDEX(ERP資料!$A:$A, MATCH(828, 輔助計算!$F$2:$F$801, 0)+1), "")), INDEX(ERP資料!$S:$S, (MATCH(829, 輔助計算!$F$2:$F$801, 0)+1)), ""), "")</f>
        <v/>
      </c>
      <c r="D830" s="10">
        <f>IFERROR(IF(INDEX(ERP資料!$E:$E, (MATCH(829, 輔助計算!$F$2:$F$801, 0)+1))="","",TRIM(INDEX(ERP資料!$E:$E, (MATCH(829, 輔助計算!$F$2:$F$801, 0)+1)))), "")</f>
        <v/>
      </c>
      <c r="E830" s="10">
        <f>IFERROR(IF(INDEX(ERP資料!$F:$F, (MATCH(829, 輔助計算!$F$2:$F$801, 0)+1))="","",INDEX(ERP資料!$F:$F, (MATCH(829, 輔助計算!$F$2:$F$801, 0)+1))), "")</f>
        <v/>
      </c>
      <c r="F830" s="10">
        <f>IFERROR(IF(INDEX(ERP資料!$G:$G, (MATCH(829, 輔助計算!$F$2:$F$801, 0)+1))="","",INDEX(ERP資料!$G:$G, (MATCH(829, 輔助計算!$F$2:$F$801, 0)+1))), "")</f>
        <v/>
      </c>
      <c r="G830" s="10">
        <f>IFERROR(IF(INDEX(ERP資料!$H:$H, (MATCH(829, 輔助計算!$F$2:$F$801, 0)+1))="","",INDEX(ERP資料!$H:$H, (MATCH(829, 輔助計算!$F$2:$F$801, 0)+1))), "")</f>
        <v/>
      </c>
      <c r="H830" s="10">
        <f>IFERROR(IF(INDEX(ERP資料!$O:$O, (MATCH(829, 輔助計算!$F$2:$F$801, 0)+1))="","",INDEX(ERP資料!$O:$O, (MATCH(829, 輔助計算!$F$2:$F$801, 0)+1))), "")</f>
        <v/>
      </c>
      <c r="I830" s="15">
        <f>IFERROR(IF(INDEX(輔助計算!$D:$D,(MATCH(829, 輔助計算!$F$2:$F$801, 0)+1))="","",INDEX(輔助計算!$D:$D,(MATCH(829, 輔助計算!$F$2:$F$801, 0)+1))*INDEX(ERP資料!$O:$O,(MATCH(829, 輔助計算!$F$2:$F$801, 0)+1))), "")</f>
        <v/>
      </c>
      <c r="J830" s="16" t="n"/>
      <c r="K830" s="15">
        <f>IFERROR(INDEX(輔助計算!$D:$D, (MATCH(829, 輔助計算!$F$2:$F$801, 0)+1)), "")</f>
        <v/>
      </c>
      <c r="L830" s="16">
        <f>IFERROR(IF(AND(IFERROR(VLOOKUP(LEFT(INDEX(ERP資料!$S:$S, (MATCH(829, 輔助計算!$F$2:$F$801, 0)+1)), 4), 100張客戶!$A:$A, 1, FALSE), "")&lt;&gt;"", OR(INDEX(ERP資料!$F:$F, (MATCH(829, 輔助計算!$F$2:$F$801, 0)+1))=270, INDEX(ERP資料!$F:$F, (MATCH(829, 輔助計算!$F$2:$F$801, 0)+1))=300)), "100張", ""), "")</f>
        <v/>
      </c>
      <c r="M830" s="17" t="n"/>
      <c r="N830" s="17">
        <f>IF($F830="","",$F830)</f>
        <v/>
      </c>
      <c r="O830" s="17">
        <f>IF($G830="","",$G830)</f>
        <v/>
      </c>
      <c r="P830" s="17">
        <f>IF($K830="","",$K830)</f>
        <v/>
      </c>
      <c r="Q830" s="16" t="n"/>
      <c r="R830" s="18" t="n"/>
      <c r="S830" s="16" t="n"/>
    </row>
    <row r="831">
      <c r="A831" s="14">
        <f>IFERROR(IF(AND(IFERROR(INDEX(ERP資料!$A:$A, (MATCH(830, 輔助計算!$F$2:$F$801, 0)+1)), "")&lt;&gt;"", IFERROR(INDEX(ERP資料!$A:$A, (MATCH(830, 輔助計算!$F$2:$F$801, 0)+1)), "")&lt;&gt;IFERROR(INDEX(ERP資料!$A:$A, MATCH(829, 輔助計算!$F$2:$F$801, 0)+1), "")), INDEX(ERP資料!$B:$B, (MATCH(830, 輔助計算!$F$2:$F$801, 0)+1)), ""), "")</f>
        <v/>
      </c>
      <c r="B831" s="10">
        <f>IFERROR(IF(AND(IFERROR(INDEX(ERP資料!$A:$A, (MATCH(830, 輔助計算!$F$2:$F$801, 0)+1)), "")&lt;&gt;"", IFERROR(INDEX(ERP資料!$A:$A, (MATCH(830, 輔助計算!$F$2:$F$801, 0)+1)), "")&lt;&gt;IFERROR(INDEX(ERP資料!$A:$A, MATCH(829, 輔助計算!$F$2:$F$801, 0)+1), "")), IFERROR(INDEX(ERP資料!$A:$A, (MATCH(830, 輔助計算!$F$2:$F$801, 0)+1)), ""), ""), "")</f>
        <v/>
      </c>
      <c r="C831" s="10">
        <f>IFERROR(IF(AND(IFERROR(INDEX(ERP資料!$A:$A, (MATCH(830, 輔助計算!$F$2:$F$801, 0)+1)), "")&lt;&gt;"", IFERROR(INDEX(ERP資料!$A:$A, (MATCH(830, 輔助計算!$F$2:$F$801, 0)+1)), "")&lt;&gt;IFERROR(INDEX(ERP資料!$A:$A, MATCH(829, 輔助計算!$F$2:$F$801, 0)+1), "")), INDEX(ERP資料!$S:$S, (MATCH(830, 輔助計算!$F$2:$F$801, 0)+1)), ""), "")</f>
        <v/>
      </c>
      <c r="D831" s="10">
        <f>IFERROR(IF(INDEX(ERP資料!$E:$E, (MATCH(830, 輔助計算!$F$2:$F$801, 0)+1))="","",TRIM(INDEX(ERP資料!$E:$E, (MATCH(830, 輔助計算!$F$2:$F$801, 0)+1)))), "")</f>
        <v/>
      </c>
      <c r="E831" s="10">
        <f>IFERROR(IF(INDEX(ERP資料!$F:$F, (MATCH(830, 輔助計算!$F$2:$F$801, 0)+1))="","",INDEX(ERP資料!$F:$F, (MATCH(830, 輔助計算!$F$2:$F$801, 0)+1))), "")</f>
        <v/>
      </c>
      <c r="F831" s="10">
        <f>IFERROR(IF(INDEX(ERP資料!$G:$G, (MATCH(830, 輔助計算!$F$2:$F$801, 0)+1))="","",INDEX(ERP資料!$G:$G, (MATCH(830, 輔助計算!$F$2:$F$801, 0)+1))), "")</f>
        <v/>
      </c>
      <c r="G831" s="10">
        <f>IFERROR(IF(INDEX(ERP資料!$H:$H, (MATCH(830, 輔助計算!$F$2:$F$801, 0)+1))="","",INDEX(ERP資料!$H:$H, (MATCH(830, 輔助計算!$F$2:$F$801, 0)+1))), "")</f>
        <v/>
      </c>
      <c r="H831" s="10">
        <f>IFERROR(IF(INDEX(ERP資料!$O:$O, (MATCH(830, 輔助計算!$F$2:$F$801, 0)+1))="","",INDEX(ERP資料!$O:$O, (MATCH(830, 輔助計算!$F$2:$F$801, 0)+1))), "")</f>
        <v/>
      </c>
      <c r="I831" s="15">
        <f>IFERROR(IF(INDEX(輔助計算!$D:$D,(MATCH(830, 輔助計算!$F$2:$F$801, 0)+1))="","",INDEX(輔助計算!$D:$D,(MATCH(830, 輔助計算!$F$2:$F$801, 0)+1))*INDEX(ERP資料!$O:$O,(MATCH(830, 輔助計算!$F$2:$F$801, 0)+1))), "")</f>
        <v/>
      </c>
      <c r="J831" s="16" t="n"/>
      <c r="K831" s="15">
        <f>IFERROR(INDEX(輔助計算!$D:$D, (MATCH(830, 輔助計算!$F$2:$F$801, 0)+1)), "")</f>
        <v/>
      </c>
      <c r="L831" s="16">
        <f>IFERROR(IF(AND(IFERROR(VLOOKUP(LEFT(INDEX(ERP資料!$S:$S, (MATCH(830, 輔助計算!$F$2:$F$801, 0)+1)), 4), 100張客戶!$A:$A, 1, FALSE), "")&lt;&gt;"", OR(INDEX(ERP資料!$F:$F, (MATCH(830, 輔助計算!$F$2:$F$801, 0)+1))=270, INDEX(ERP資料!$F:$F, (MATCH(830, 輔助計算!$F$2:$F$801, 0)+1))=300)), "100張", ""), "")</f>
        <v/>
      </c>
      <c r="M831" s="17" t="n"/>
      <c r="N831" s="17">
        <f>IF($F831="","",$F831)</f>
        <v/>
      </c>
      <c r="O831" s="17">
        <f>IF($G831="","",$G831)</f>
        <v/>
      </c>
      <c r="P831" s="17">
        <f>IF($K831="","",$K831)</f>
        <v/>
      </c>
      <c r="Q831" s="16" t="n"/>
      <c r="R831" s="18" t="n"/>
      <c r="S831" s="16" t="n"/>
    </row>
    <row r="832">
      <c r="A832" s="14">
        <f>IFERROR(IF(AND(IFERROR(INDEX(ERP資料!$A:$A, (MATCH(831, 輔助計算!$F$2:$F$801, 0)+1)), "")&lt;&gt;"", IFERROR(INDEX(ERP資料!$A:$A, (MATCH(831, 輔助計算!$F$2:$F$801, 0)+1)), "")&lt;&gt;IFERROR(INDEX(ERP資料!$A:$A, MATCH(830, 輔助計算!$F$2:$F$801, 0)+1), "")), INDEX(ERP資料!$B:$B, (MATCH(831, 輔助計算!$F$2:$F$801, 0)+1)), ""), "")</f>
        <v/>
      </c>
      <c r="B832" s="10">
        <f>IFERROR(IF(AND(IFERROR(INDEX(ERP資料!$A:$A, (MATCH(831, 輔助計算!$F$2:$F$801, 0)+1)), "")&lt;&gt;"", IFERROR(INDEX(ERP資料!$A:$A, (MATCH(831, 輔助計算!$F$2:$F$801, 0)+1)), "")&lt;&gt;IFERROR(INDEX(ERP資料!$A:$A, MATCH(830, 輔助計算!$F$2:$F$801, 0)+1), "")), IFERROR(INDEX(ERP資料!$A:$A, (MATCH(831, 輔助計算!$F$2:$F$801, 0)+1)), ""), ""), "")</f>
        <v/>
      </c>
      <c r="C832" s="10">
        <f>IFERROR(IF(AND(IFERROR(INDEX(ERP資料!$A:$A, (MATCH(831, 輔助計算!$F$2:$F$801, 0)+1)), "")&lt;&gt;"", IFERROR(INDEX(ERP資料!$A:$A, (MATCH(831, 輔助計算!$F$2:$F$801, 0)+1)), "")&lt;&gt;IFERROR(INDEX(ERP資料!$A:$A, MATCH(830, 輔助計算!$F$2:$F$801, 0)+1), "")), INDEX(ERP資料!$S:$S, (MATCH(831, 輔助計算!$F$2:$F$801, 0)+1)), ""), "")</f>
        <v/>
      </c>
      <c r="D832" s="10">
        <f>IFERROR(IF(INDEX(ERP資料!$E:$E, (MATCH(831, 輔助計算!$F$2:$F$801, 0)+1))="","",TRIM(INDEX(ERP資料!$E:$E, (MATCH(831, 輔助計算!$F$2:$F$801, 0)+1)))), "")</f>
        <v/>
      </c>
      <c r="E832" s="10">
        <f>IFERROR(IF(INDEX(ERP資料!$F:$F, (MATCH(831, 輔助計算!$F$2:$F$801, 0)+1))="","",INDEX(ERP資料!$F:$F, (MATCH(831, 輔助計算!$F$2:$F$801, 0)+1))), "")</f>
        <v/>
      </c>
      <c r="F832" s="10">
        <f>IFERROR(IF(INDEX(ERP資料!$G:$G, (MATCH(831, 輔助計算!$F$2:$F$801, 0)+1))="","",INDEX(ERP資料!$G:$G, (MATCH(831, 輔助計算!$F$2:$F$801, 0)+1))), "")</f>
        <v/>
      </c>
      <c r="G832" s="10">
        <f>IFERROR(IF(INDEX(ERP資料!$H:$H, (MATCH(831, 輔助計算!$F$2:$F$801, 0)+1))="","",INDEX(ERP資料!$H:$H, (MATCH(831, 輔助計算!$F$2:$F$801, 0)+1))), "")</f>
        <v/>
      </c>
      <c r="H832" s="10">
        <f>IFERROR(IF(INDEX(ERP資料!$O:$O, (MATCH(831, 輔助計算!$F$2:$F$801, 0)+1))="","",INDEX(ERP資料!$O:$O, (MATCH(831, 輔助計算!$F$2:$F$801, 0)+1))), "")</f>
        <v/>
      </c>
      <c r="I832" s="15">
        <f>IFERROR(IF(INDEX(輔助計算!$D:$D,(MATCH(831, 輔助計算!$F$2:$F$801, 0)+1))="","",INDEX(輔助計算!$D:$D,(MATCH(831, 輔助計算!$F$2:$F$801, 0)+1))*INDEX(ERP資料!$O:$O,(MATCH(831, 輔助計算!$F$2:$F$801, 0)+1))), "")</f>
        <v/>
      </c>
      <c r="J832" s="16" t="n"/>
      <c r="K832" s="15">
        <f>IFERROR(INDEX(輔助計算!$D:$D, (MATCH(831, 輔助計算!$F$2:$F$801, 0)+1)), "")</f>
        <v/>
      </c>
      <c r="L832" s="16">
        <f>IFERROR(IF(AND(IFERROR(VLOOKUP(LEFT(INDEX(ERP資料!$S:$S, (MATCH(831, 輔助計算!$F$2:$F$801, 0)+1)), 4), 100張客戶!$A:$A, 1, FALSE), "")&lt;&gt;"", OR(INDEX(ERP資料!$F:$F, (MATCH(831, 輔助計算!$F$2:$F$801, 0)+1))=270, INDEX(ERP資料!$F:$F, (MATCH(831, 輔助計算!$F$2:$F$801, 0)+1))=300)), "100張", ""), "")</f>
        <v/>
      </c>
      <c r="M832" s="17" t="n"/>
      <c r="N832" s="17">
        <f>IF($F832="","",$F832)</f>
        <v/>
      </c>
      <c r="O832" s="17">
        <f>IF($G832="","",$G832)</f>
        <v/>
      </c>
      <c r="P832" s="17">
        <f>IF($K832="","",$K832)</f>
        <v/>
      </c>
      <c r="Q832" s="16" t="n"/>
      <c r="R832" s="18" t="n"/>
      <c r="S832" s="16" t="n"/>
    </row>
    <row r="833">
      <c r="A833" s="14">
        <f>IFERROR(IF(AND(IFERROR(INDEX(ERP資料!$A:$A, (MATCH(832, 輔助計算!$F$2:$F$801, 0)+1)), "")&lt;&gt;"", IFERROR(INDEX(ERP資料!$A:$A, (MATCH(832, 輔助計算!$F$2:$F$801, 0)+1)), "")&lt;&gt;IFERROR(INDEX(ERP資料!$A:$A, MATCH(831, 輔助計算!$F$2:$F$801, 0)+1), "")), INDEX(ERP資料!$B:$B, (MATCH(832, 輔助計算!$F$2:$F$801, 0)+1)), ""), "")</f>
        <v/>
      </c>
      <c r="B833" s="10">
        <f>IFERROR(IF(AND(IFERROR(INDEX(ERP資料!$A:$A, (MATCH(832, 輔助計算!$F$2:$F$801, 0)+1)), "")&lt;&gt;"", IFERROR(INDEX(ERP資料!$A:$A, (MATCH(832, 輔助計算!$F$2:$F$801, 0)+1)), "")&lt;&gt;IFERROR(INDEX(ERP資料!$A:$A, MATCH(831, 輔助計算!$F$2:$F$801, 0)+1), "")), IFERROR(INDEX(ERP資料!$A:$A, (MATCH(832, 輔助計算!$F$2:$F$801, 0)+1)), ""), ""), "")</f>
        <v/>
      </c>
      <c r="C833" s="10">
        <f>IFERROR(IF(AND(IFERROR(INDEX(ERP資料!$A:$A, (MATCH(832, 輔助計算!$F$2:$F$801, 0)+1)), "")&lt;&gt;"", IFERROR(INDEX(ERP資料!$A:$A, (MATCH(832, 輔助計算!$F$2:$F$801, 0)+1)), "")&lt;&gt;IFERROR(INDEX(ERP資料!$A:$A, MATCH(831, 輔助計算!$F$2:$F$801, 0)+1), "")), INDEX(ERP資料!$S:$S, (MATCH(832, 輔助計算!$F$2:$F$801, 0)+1)), ""), "")</f>
        <v/>
      </c>
      <c r="D833" s="10">
        <f>IFERROR(IF(INDEX(ERP資料!$E:$E, (MATCH(832, 輔助計算!$F$2:$F$801, 0)+1))="","",TRIM(INDEX(ERP資料!$E:$E, (MATCH(832, 輔助計算!$F$2:$F$801, 0)+1)))), "")</f>
        <v/>
      </c>
      <c r="E833" s="10">
        <f>IFERROR(IF(INDEX(ERP資料!$F:$F, (MATCH(832, 輔助計算!$F$2:$F$801, 0)+1))="","",INDEX(ERP資料!$F:$F, (MATCH(832, 輔助計算!$F$2:$F$801, 0)+1))), "")</f>
        <v/>
      </c>
      <c r="F833" s="10">
        <f>IFERROR(IF(INDEX(ERP資料!$G:$G, (MATCH(832, 輔助計算!$F$2:$F$801, 0)+1))="","",INDEX(ERP資料!$G:$G, (MATCH(832, 輔助計算!$F$2:$F$801, 0)+1))), "")</f>
        <v/>
      </c>
      <c r="G833" s="10">
        <f>IFERROR(IF(INDEX(ERP資料!$H:$H, (MATCH(832, 輔助計算!$F$2:$F$801, 0)+1))="","",INDEX(ERP資料!$H:$H, (MATCH(832, 輔助計算!$F$2:$F$801, 0)+1))), "")</f>
        <v/>
      </c>
      <c r="H833" s="10">
        <f>IFERROR(IF(INDEX(ERP資料!$O:$O, (MATCH(832, 輔助計算!$F$2:$F$801, 0)+1))="","",INDEX(ERP資料!$O:$O, (MATCH(832, 輔助計算!$F$2:$F$801, 0)+1))), "")</f>
        <v/>
      </c>
      <c r="I833" s="15">
        <f>IFERROR(IF(INDEX(輔助計算!$D:$D,(MATCH(832, 輔助計算!$F$2:$F$801, 0)+1))="","",INDEX(輔助計算!$D:$D,(MATCH(832, 輔助計算!$F$2:$F$801, 0)+1))*INDEX(ERP資料!$O:$O,(MATCH(832, 輔助計算!$F$2:$F$801, 0)+1))), "")</f>
        <v/>
      </c>
      <c r="J833" s="16" t="n"/>
      <c r="K833" s="15">
        <f>IFERROR(INDEX(輔助計算!$D:$D, (MATCH(832, 輔助計算!$F$2:$F$801, 0)+1)), "")</f>
        <v/>
      </c>
      <c r="L833" s="16">
        <f>IFERROR(IF(AND(IFERROR(VLOOKUP(LEFT(INDEX(ERP資料!$S:$S, (MATCH(832, 輔助計算!$F$2:$F$801, 0)+1)), 4), 100張客戶!$A:$A, 1, FALSE), "")&lt;&gt;"", OR(INDEX(ERP資料!$F:$F, (MATCH(832, 輔助計算!$F$2:$F$801, 0)+1))=270, INDEX(ERP資料!$F:$F, (MATCH(832, 輔助計算!$F$2:$F$801, 0)+1))=300)), "100張", ""), "")</f>
        <v/>
      </c>
      <c r="M833" s="17" t="n"/>
      <c r="N833" s="17">
        <f>IF($F833="","",$F833)</f>
        <v/>
      </c>
      <c r="O833" s="17">
        <f>IF($G833="","",$G833)</f>
        <v/>
      </c>
      <c r="P833" s="17">
        <f>IF($K833="","",$K833)</f>
        <v/>
      </c>
      <c r="Q833" s="16" t="n"/>
      <c r="R833" s="18" t="n"/>
      <c r="S833" s="16" t="n"/>
    </row>
    <row r="834">
      <c r="A834" s="14">
        <f>IFERROR(IF(AND(IFERROR(INDEX(ERP資料!$A:$A, (MATCH(833, 輔助計算!$F$2:$F$801, 0)+1)), "")&lt;&gt;"", IFERROR(INDEX(ERP資料!$A:$A, (MATCH(833, 輔助計算!$F$2:$F$801, 0)+1)), "")&lt;&gt;IFERROR(INDEX(ERP資料!$A:$A, MATCH(832, 輔助計算!$F$2:$F$801, 0)+1), "")), INDEX(ERP資料!$B:$B, (MATCH(833, 輔助計算!$F$2:$F$801, 0)+1)), ""), "")</f>
        <v/>
      </c>
      <c r="B834" s="10">
        <f>IFERROR(IF(AND(IFERROR(INDEX(ERP資料!$A:$A, (MATCH(833, 輔助計算!$F$2:$F$801, 0)+1)), "")&lt;&gt;"", IFERROR(INDEX(ERP資料!$A:$A, (MATCH(833, 輔助計算!$F$2:$F$801, 0)+1)), "")&lt;&gt;IFERROR(INDEX(ERP資料!$A:$A, MATCH(832, 輔助計算!$F$2:$F$801, 0)+1), "")), IFERROR(INDEX(ERP資料!$A:$A, (MATCH(833, 輔助計算!$F$2:$F$801, 0)+1)), ""), ""), "")</f>
        <v/>
      </c>
      <c r="C834" s="10">
        <f>IFERROR(IF(AND(IFERROR(INDEX(ERP資料!$A:$A, (MATCH(833, 輔助計算!$F$2:$F$801, 0)+1)), "")&lt;&gt;"", IFERROR(INDEX(ERP資料!$A:$A, (MATCH(833, 輔助計算!$F$2:$F$801, 0)+1)), "")&lt;&gt;IFERROR(INDEX(ERP資料!$A:$A, MATCH(832, 輔助計算!$F$2:$F$801, 0)+1), "")), INDEX(ERP資料!$S:$S, (MATCH(833, 輔助計算!$F$2:$F$801, 0)+1)), ""), "")</f>
        <v/>
      </c>
      <c r="D834" s="10">
        <f>IFERROR(IF(INDEX(ERP資料!$E:$E, (MATCH(833, 輔助計算!$F$2:$F$801, 0)+1))="","",TRIM(INDEX(ERP資料!$E:$E, (MATCH(833, 輔助計算!$F$2:$F$801, 0)+1)))), "")</f>
        <v/>
      </c>
      <c r="E834" s="10">
        <f>IFERROR(IF(INDEX(ERP資料!$F:$F, (MATCH(833, 輔助計算!$F$2:$F$801, 0)+1))="","",INDEX(ERP資料!$F:$F, (MATCH(833, 輔助計算!$F$2:$F$801, 0)+1))), "")</f>
        <v/>
      </c>
      <c r="F834" s="10">
        <f>IFERROR(IF(INDEX(ERP資料!$G:$G, (MATCH(833, 輔助計算!$F$2:$F$801, 0)+1))="","",INDEX(ERP資料!$G:$G, (MATCH(833, 輔助計算!$F$2:$F$801, 0)+1))), "")</f>
        <v/>
      </c>
      <c r="G834" s="10">
        <f>IFERROR(IF(INDEX(ERP資料!$H:$H, (MATCH(833, 輔助計算!$F$2:$F$801, 0)+1))="","",INDEX(ERP資料!$H:$H, (MATCH(833, 輔助計算!$F$2:$F$801, 0)+1))), "")</f>
        <v/>
      </c>
      <c r="H834" s="10">
        <f>IFERROR(IF(INDEX(ERP資料!$O:$O, (MATCH(833, 輔助計算!$F$2:$F$801, 0)+1))="","",INDEX(ERP資料!$O:$O, (MATCH(833, 輔助計算!$F$2:$F$801, 0)+1))), "")</f>
        <v/>
      </c>
      <c r="I834" s="15">
        <f>IFERROR(IF(INDEX(輔助計算!$D:$D,(MATCH(833, 輔助計算!$F$2:$F$801, 0)+1))="","",INDEX(輔助計算!$D:$D,(MATCH(833, 輔助計算!$F$2:$F$801, 0)+1))*INDEX(ERP資料!$O:$O,(MATCH(833, 輔助計算!$F$2:$F$801, 0)+1))), "")</f>
        <v/>
      </c>
      <c r="J834" s="16" t="n"/>
      <c r="K834" s="15">
        <f>IFERROR(INDEX(輔助計算!$D:$D, (MATCH(833, 輔助計算!$F$2:$F$801, 0)+1)), "")</f>
        <v/>
      </c>
      <c r="L834" s="16">
        <f>IFERROR(IF(AND(IFERROR(VLOOKUP(LEFT(INDEX(ERP資料!$S:$S, (MATCH(833, 輔助計算!$F$2:$F$801, 0)+1)), 4), 100張客戶!$A:$A, 1, FALSE), "")&lt;&gt;"", OR(INDEX(ERP資料!$F:$F, (MATCH(833, 輔助計算!$F$2:$F$801, 0)+1))=270, INDEX(ERP資料!$F:$F, (MATCH(833, 輔助計算!$F$2:$F$801, 0)+1))=300)), "100張", ""), "")</f>
        <v/>
      </c>
      <c r="M834" s="17" t="n"/>
      <c r="N834" s="17">
        <f>IF($F834="","",$F834)</f>
        <v/>
      </c>
      <c r="O834" s="17">
        <f>IF($G834="","",$G834)</f>
        <v/>
      </c>
      <c r="P834" s="17">
        <f>IF($K834="","",$K834)</f>
        <v/>
      </c>
      <c r="Q834" s="16" t="n"/>
      <c r="R834" s="18" t="n"/>
      <c r="S834" s="16" t="n"/>
    </row>
    <row r="835">
      <c r="A835" s="14">
        <f>IFERROR(IF(AND(IFERROR(INDEX(ERP資料!$A:$A, (MATCH(834, 輔助計算!$F$2:$F$801, 0)+1)), "")&lt;&gt;"", IFERROR(INDEX(ERP資料!$A:$A, (MATCH(834, 輔助計算!$F$2:$F$801, 0)+1)), "")&lt;&gt;IFERROR(INDEX(ERP資料!$A:$A, MATCH(833, 輔助計算!$F$2:$F$801, 0)+1), "")), INDEX(ERP資料!$B:$B, (MATCH(834, 輔助計算!$F$2:$F$801, 0)+1)), ""), "")</f>
        <v/>
      </c>
      <c r="B835" s="10">
        <f>IFERROR(IF(AND(IFERROR(INDEX(ERP資料!$A:$A, (MATCH(834, 輔助計算!$F$2:$F$801, 0)+1)), "")&lt;&gt;"", IFERROR(INDEX(ERP資料!$A:$A, (MATCH(834, 輔助計算!$F$2:$F$801, 0)+1)), "")&lt;&gt;IFERROR(INDEX(ERP資料!$A:$A, MATCH(833, 輔助計算!$F$2:$F$801, 0)+1), "")), IFERROR(INDEX(ERP資料!$A:$A, (MATCH(834, 輔助計算!$F$2:$F$801, 0)+1)), ""), ""), "")</f>
        <v/>
      </c>
      <c r="C835" s="10">
        <f>IFERROR(IF(AND(IFERROR(INDEX(ERP資料!$A:$A, (MATCH(834, 輔助計算!$F$2:$F$801, 0)+1)), "")&lt;&gt;"", IFERROR(INDEX(ERP資料!$A:$A, (MATCH(834, 輔助計算!$F$2:$F$801, 0)+1)), "")&lt;&gt;IFERROR(INDEX(ERP資料!$A:$A, MATCH(833, 輔助計算!$F$2:$F$801, 0)+1), "")), INDEX(ERP資料!$S:$S, (MATCH(834, 輔助計算!$F$2:$F$801, 0)+1)), ""), "")</f>
        <v/>
      </c>
      <c r="D835" s="10">
        <f>IFERROR(IF(INDEX(ERP資料!$E:$E, (MATCH(834, 輔助計算!$F$2:$F$801, 0)+1))="","",TRIM(INDEX(ERP資料!$E:$E, (MATCH(834, 輔助計算!$F$2:$F$801, 0)+1)))), "")</f>
        <v/>
      </c>
      <c r="E835" s="10">
        <f>IFERROR(IF(INDEX(ERP資料!$F:$F, (MATCH(834, 輔助計算!$F$2:$F$801, 0)+1))="","",INDEX(ERP資料!$F:$F, (MATCH(834, 輔助計算!$F$2:$F$801, 0)+1))), "")</f>
        <v/>
      </c>
      <c r="F835" s="10">
        <f>IFERROR(IF(INDEX(ERP資料!$G:$G, (MATCH(834, 輔助計算!$F$2:$F$801, 0)+1))="","",INDEX(ERP資料!$G:$G, (MATCH(834, 輔助計算!$F$2:$F$801, 0)+1))), "")</f>
        <v/>
      </c>
      <c r="G835" s="10">
        <f>IFERROR(IF(INDEX(ERP資料!$H:$H, (MATCH(834, 輔助計算!$F$2:$F$801, 0)+1))="","",INDEX(ERP資料!$H:$H, (MATCH(834, 輔助計算!$F$2:$F$801, 0)+1))), "")</f>
        <v/>
      </c>
      <c r="H835" s="10">
        <f>IFERROR(IF(INDEX(ERP資料!$O:$O, (MATCH(834, 輔助計算!$F$2:$F$801, 0)+1))="","",INDEX(ERP資料!$O:$O, (MATCH(834, 輔助計算!$F$2:$F$801, 0)+1))), "")</f>
        <v/>
      </c>
      <c r="I835" s="15">
        <f>IFERROR(IF(INDEX(輔助計算!$D:$D,(MATCH(834, 輔助計算!$F$2:$F$801, 0)+1))="","",INDEX(輔助計算!$D:$D,(MATCH(834, 輔助計算!$F$2:$F$801, 0)+1))*INDEX(ERP資料!$O:$O,(MATCH(834, 輔助計算!$F$2:$F$801, 0)+1))), "")</f>
        <v/>
      </c>
      <c r="J835" s="16" t="n"/>
      <c r="K835" s="15">
        <f>IFERROR(INDEX(輔助計算!$D:$D, (MATCH(834, 輔助計算!$F$2:$F$801, 0)+1)), "")</f>
        <v/>
      </c>
      <c r="L835" s="16">
        <f>IFERROR(IF(AND(IFERROR(VLOOKUP(LEFT(INDEX(ERP資料!$S:$S, (MATCH(834, 輔助計算!$F$2:$F$801, 0)+1)), 4), 100張客戶!$A:$A, 1, FALSE), "")&lt;&gt;"", OR(INDEX(ERP資料!$F:$F, (MATCH(834, 輔助計算!$F$2:$F$801, 0)+1))=270, INDEX(ERP資料!$F:$F, (MATCH(834, 輔助計算!$F$2:$F$801, 0)+1))=300)), "100張", ""), "")</f>
        <v/>
      </c>
      <c r="M835" s="17" t="n"/>
      <c r="N835" s="17">
        <f>IF($F835="","",$F835)</f>
        <v/>
      </c>
      <c r="O835" s="17">
        <f>IF($G835="","",$G835)</f>
        <v/>
      </c>
      <c r="P835" s="17">
        <f>IF($K835="","",$K835)</f>
        <v/>
      </c>
      <c r="Q835" s="16" t="n"/>
      <c r="R835" s="18" t="n"/>
      <c r="S835" s="16" t="n"/>
    </row>
    <row r="836">
      <c r="A836" s="14">
        <f>IFERROR(IF(AND(IFERROR(INDEX(ERP資料!$A:$A, (MATCH(835, 輔助計算!$F$2:$F$801, 0)+1)), "")&lt;&gt;"", IFERROR(INDEX(ERP資料!$A:$A, (MATCH(835, 輔助計算!$F$2:$F$801, 0)+1)), "")&lt;&gt;IFERROR(INDEX(ERP資料!$A:$A, MATCH(834, 輔助計算!$F$2:$F$801, 0)+1), "")), INDEX(ERP資料!$B:$B, (MATCH(835, 輔助計算!$F$2:$F$801, 0)+1)), ""), "")</f>
        <v/>
      </c>
      <c r="B836" s="10">
        <f>IFERROR(IF(AND(IFERROR(INDEX(ERP資料!$A:$A, (MATCH(835, 輔助計算!$F$2:$F$801, 0)+1)), "")&lt;&gt;"", IFERROR(INDEX(ERP資料!$A:$A, (MATCH(835, 輔助計算!$F$2:$F$801, 0)+1)), "")&lt;&gt;IFERROR(INDEX(ERP資料!$A:$A, MATCH(834, 輔助計算!$F$2:$F$801, 0)+1), "")), IFERROR(INDEX(ERP資料!$A:$A, (MATCH(835, 輔助計算!$F$2:$F$801, 0)+1)), ""), ""), "")</f>
        <v/>
      </c>
      <c r="C836" s="10">
        <f>IFERROR(IF(AND(IFERROR(INDEX(ERP資料!$A:$A, (MATCH(835, 輔助計算!$F$2:$F$801, 0)+1)), "")&lt;&gt;"", IFERROR(INDEX(ERP資料!$A:$A, (MATCH(835, 輔助計算!$F$2:$F$801, 0)+1)), "")&lt;&gt;IFERROR(INDEX(ERP資料!$A:$A, MATCH(834, 輔助計算!$F$2:$F$801, 0)+1), "")), INDEX(ERP資料!$S:$S, (MATCH(835, 輔助計算!$F$2:$F$801, 0)+1)), ""), "")</f>
        <v/>
      </c>
      <c r="D836" s="10">
        <f>IFERROR(IF(INDEX(ERP資料!$E:$E, (MATCH(835, 輔助計算!$F$2:$F$801, 0)+1))="","",TRIM(INDEX(ERP資料!$E:$E, (MATCH(835, 輔助計算!$F$2:$F$801, 0)+1)))), "")</f>
        <v/>
      </c>
      <c r="E836" s="10">
        <f>IFERROR(IF(INDEX(ERP資料!$F:$F, (MATCH(835, 輔助計算!$F$2:$F$801, 0)+1))="","",INDEX(ERP資料!$F:$F, (MATCH(835, 輔助計算!$F$2:$F$801, 0)+1))), "")</f>
        <v/>
      </c>
      <c r="F836" s="10">
        <f>IFERROR(IF(INDEX(ERP資料!$G:$G, (MATCH(835, 輔助計算!$F$2:$F$801, 0)+1))="","",INDEX(ERP資料!$G:$G, (MATCH(835, 輔助計算!$F$2:$F$801, 0)+1))), "")</f>
        <v/>
      </c>
      <c r="G836" s="10">
        <f>IFERROR(IF(INDEX(ERP資料!$H:$H, (MATCH(835, 輔助計算!$F$2:$F$801, 0)+1))="","",INDEX(ERP資料!$H:$H, (MATCH(835, 輔助計算!$F$2:$F$801, 0)+1))), "")</f>
        <v/>
      </c>
      <c r="H836" s="10">
        <f>IFERROR(IF(INDEX(ERP資料!$O:$O, (MATCH(835, 輔助計算!$F$2:$F$801, 0)+1))="","",INDEX(ERP資料!$O:$O, (MATCH(835, 輔助計算!$F$2:$F$801, 0)+1))), "")</f>
        <v/>
      </c>
      <c r="I836" s="15">
        <f>IFERROR(IF(INDEX(輔助計算!$D:$D,(MATCH(835, 輔助計算!$F$2:$F$801, 0)+1))="","",INDEX(輔助計算!$D:$D,(MATCH(835, 輔助計算!$F$2:$F$801, 0)+1))*INDEX(ERP資料!$O:$O,(MATCH(835, 輔助計算!$F$2:$F$801, 0)+1))), "")</f>
        <v/>
      </c>
      <c r="J836" s="16" t="n"/>
      <c r="K836" s="15">
        <f>IFERROR(INDEX(輔助計算!$D:$D, (MATCH(835, 輔助計算!$F$2:$F$801, 0)+1)), "")</f>
        <v/>
      </c>
      <c r="L836" s="16">
        <f>IFERROR(IF(AND(IFERROR(VLOOKUP(LEFT(INDEX(ERP資料!$S:$S, (MATCH(835, 輔助計算!$F$2:$F$801, 0)+1)), 4), 100張客戶!$A:$A, 1, FALSE), "")&lt;&gt;"", OR(INDEX(ERP資料!$F:$F, (MATCH(835, 輔助計算!$F$2:$F$801, 0)+1))=270, INDEX(ERP資料!$F:$F, (MATCH(835, 輔助計算!$F$2:$F$801, 0)+1))=300)), "100張", ""), "")</f>
        <v/>
      </c>
      <c r="M836" s="17" t="n"/>
      <c r="N836" s="17">
        <f>IF($F836="","",$F836)</f>
        <v/>
      </c>
      <c r="O836" s="17">
        <f>IF($G836="","",$G836)</f>
        <v/>
      </c>
      <c r="P836" s="17">
        <f>IF($K836="","",$K836)</f>
        <v/>
      </c>
      <c r="Q836" s="16" t="n"/>
      <c r="R836" s="18" t="n"/>
      <c r="S836" s="16" t="n"/>
    </row>
    <row r="837">
      <c r="A837" s="14">
        <f>IFERROR(IF(AND(IFERROR(INDEX(ERP資料!$A:$A, (MATCH(836, 輔助計算!$F$2:$F$801, 0)+1)), "")&lt;&gt;"", IFERROR(INDEX(ERP資料!$A:$A, (MATCH(836, 輔助計算!$F$2:$F$801, 0)+1)), "")&lt;&gt;IFERROR(INDEX(ERP資料!$A:$A, MATCH(835, 輔助計算!$F$2:$F$801, 0)+1), "")), INDEX(ERP資料!$B:$B, (MATCH(836, 輔助計算!$F$2:$F$801, 0)+1)), ""), "")</f>
        <v/>
      </c>
      <c r="B837" s="10">
        <f>IFERROR(IF(AND(IFERROR(INDEX(ERP資料!$A:$A, (MATCH(836, 輔助計算!$F$2:$F$801, 0)+1)), "")&lt;&gt;"", IFERROR(INDEX(ERP資料!$A:$A, (MATCH(836, 輔助計算!$F$2:$F$801, 0)+1)), "")&lt;&gt;IFERROR(INDEX(ERP資料!$A:$A, MATCH(835, 輔助計算!$F$2:$F$801, 0)+1), "")), IFERROR(INDEX(ERP資料!$A:$A, (MATCH(836, 輔助計算!$F$2:$F$801, 0)+1)), ""), ""), "")</f>
        <v/>
      </c>
      <c r="C837" s="10">
        <f>IFERROR(IF(AND(IFERROR(INDEX(ERP資料!$A:$A, (MATCH(836, 輔助計算!$F$2:$F$801, 0)+1)), "")&lt;&gt;"", IFERROR(INDEX(ERP資料!$A:$A, (MATCH(836, 輔助計算!$F$2:$F$801, 0)+1)), "")&lt;&gt;IFERROR(INDEX(ERP資料!$A:$A, MATCH(835, 輔助計算!$F$2:$F$801, 0)+1), "")), INDEX(ERP資料!$S:$S, (MATCH(836, 輔助計算!$F$2:$F$801, 0)+1)), ""), "")</f>
        <v/>
      </c>
      <c r="D837" s="10">
        <f>IFERROR(IF(INDEX(ERP資料!$E:$E, (MATCH(836, 輔助計算!$F$2:$F$801, 0)+1))="","",TRIM(INDEX(ERP資料!$E:$E, (MATCH(836, 輔助計算!$F$2:$F$801, 0)+1)))), "")</f>
        <v/>
      </c>
      <c r="E837" s="10">
        <f>IFERROR(IF(INDEX(ERP資料!$F:$F, (MATCH(836, 輔助計算!$F$2:$F$801, 0)+1))="","",INDEX(ERP資料!$F:$F, (MATCH(836, 輔助計算!$F$2:$F$801, 0)+1))), "")</f>
        <v/>
      </c>
      <c r="F837" s="10">
        <f>IFERROR(IF(INDEX(ERP資料!$G:$G, (MATCH(836, 輔助計算!$F$2:$F$801, 0)+1))="","",INDEX(ERP資料!$G:$G, (MATCH(836, 輔助計算!$F$2:$F$801, 0)+1))), "")</f>
        <v/>
      </c>
      <c r="G837" s="10">
        <f>IFERROR(IF(INDEX(ERP資料!$H:$H, (MATCH(836, 輔助計算!$F$2:$F$801, 0)+1))="","",INDEX(ERP資料!$H:$H, (MATCH(836, 輔助計算!$F$2:$F$801, 0)+1))), "")</f>
        <v/>
      </c>
      <c r="H837" s="10">
        <f>IFERROR(IF(INDEX(ERP資料!$O:$O, (MATCH(836, 輔助計算!$F$2:$F$801, 0)+1))="","",INDEX(ERP資料!$O:$O, (MATCH(836, 輔助計算!$F$2:$F$801, 0)+1))), "")</f>
        <v/>
      </c>
      <c r="I837" s="15">
        <f>IFERROR(IF(INDEX(輔助計算!$D:$D,(MATCH(836, 輔助計算!$F$2:$F$801, 0)+1))="","",INDEX(輔助計算!$D:$D,(MATCH(836, 輔助計算!$F$2:$F$801, 0)+1))*INDEX(ERP資料!$O:$O,(MATCH(836, 輔助計算!$F$2:$F$801, 0)+1))), "")</f>
        <v/>
      </c>
      <c r="J837" s="16" t="n"/>
      <c r="K837" s="15">
        <f>IFERROR(INDEX(輔助計算!$D:$D, (MATCH(836, 輔助計算!$F$2:$F$801, 0)+1)), "")</f>
        <v/>
      </c>
      <c r="L837" s="16">
        <f>IFERROR(IF(AND(IFERROR(VLOOKUP(LEFT(INDEX(ERP資料!$S:$S, (MATCH(836, 輔助計算!$F$2:$F$801, 0)+1)), 4), 100張客戶!$A:$A, 1, FALSE), "")&lt;&gt;"", OR(INDEX(ERP資料!$F:$F, (MATCH(836, 輔助計算!$F$2:$F$801, 0)+1))=270, INDEX(ERP資料!$F:$F, (MATCH(836, 輔助計算!$F$2:$F$801, 0)+1))=300)), "100張", ""), "")</f>
        <v/>
      </c>
      <c r="M837" s="17" t="n"/>
      <c r="N837" s="17">
        <f>IF($F837="","",$F837)</f>
        <v/>
      </c>
      <c r="O837" s="17">
        <f>IF($G837="","",$G837)</f>
        <v/>
      </c>
      <c r="P837" s="17">
        <f>IF($K837="","",$K837)</f>
        <v/>
      </c>
      <c r="Q837" s="16" t="n"/>
      <c r="R837" s="18" t="n"/>
      <c r="S837" s="16" t="n"/>
    </row>
    <row r="838">
      <c r="A838" s="14">
        <f>IFERROR(IF(AND(IFERROR(INDEX(ERP資料!$A:$A, (MATCH(837, 輔助計算!$F$2:$F$801, 0)+1)), "")&lt;&gt;"", IFERROR(INDEX(ERP資料!$A:$A, (MATCH(837, 輔助計算!$F$2:$F$801, 0)+1)), "")&lt;&gt;IFERROR(INDEX(ERP資料!$A:$A, MATCH(836, 輔助計算!$F$2:$F$801, 0)+1), "")), INDEX(ERP資料!$B:$B, (MATCH(837, 輔助計算!$F$2:$F$801, 0)+1)), ""), "")</f>
        <v/>
      </c>
      <c r="B838" s="10">
        <f>IFERROR(IF(AND(IFERROR(INDEX(ERP資料!$A:$A, (MATCH(837, 輔助計算!$F$2:$F$801, 0)+1)), "")&lt;&gt;"", IFERROR(INDEX(ERP資料!$A:$A, (MATCH(837, 輔助計算!$F$2:$F$801, 0)+1)), "")&lt;&gt;IFERROR(INDEX(ERP資料!$A:$A, MATCH(836, 輔助計算!$F$2:$F$801, 0)+1), "")), IFERROR(INDEX(ERP資料!$A:$A, (MATCH(837, 輔助計算!$F$2:$F$801, 0)+1)), ""), ""), "")</f>
        <v/>
      </c>
      <c r="C838" s="10">
        <f>IFERROR(IF(AND(IFERROR(INDEX(ERP資料!$A:$A, (MATCH(837, 輔助計算!$F$2:$F$801, 0)+1)), "")&lt;&gt;"", IFERROR(INDEX(ERP資料!$A:$A, (MATCH(837, 輔助計算!$F$2:$F$801, 0)+1)), "")&lt;&gt;IFERROR(INDEX(ERP資料!$A:$A, MATCH(836, 輔助計算!$F$2:$F$801, 0)+1), "")), INDEX(ERP資料!$S:$S, (MATCH(837, 輔助計算!$F$2:$F$801, 0)+1)), ""), "")</f>
        <v/>
      </c>
      <c r="D838" s="10">
        <f>IFERROR(IF(INDEX(ERP資料!$E:$E, (MATCH(837, 輔助計算!$F$2:$F$801, 0)+1))="","",TRIM(INDEX(ERP資料!$E:$E, (MATCH(837, 輔助計算!$F$2:$F$801, 0)+1)))), "")</f>
        <v/>
      </c>
      <c r="E838" s="10">
        <f>IFERROR(IF(INDEX(ERP資料!$F:$F, (MATCH(837, 輔助計算!$F$2:$F$801, 0)+1))="","",INDEX(ERP資料!$F:$F, (MATCH(837, 輔助計算!$F$2:$F$801, 0)+1))), "")</f>
        <v/>
      </c>
      <c r="F838" s="10">
        <f>IFERROR(IF(INDEX(ERP資料!$G:$G, (MATCH(837, 輔助計算!$F$2:$F$801, 0)+1))="","",INDEX(ERP資料!$G:$G, (MATCH(837, 輔助計算!$F$2:$F$801, 0)+1))), "")</f>
        <v/>
      </c>
      <c r="G838" s="10">
        <f>IFERROR(IF(INDEX(ERP資料!$H:$H, (MATCH(837, 輔助計算!$F$2:$F$801, 0)+1))="","",INDEX(ERP資料!$H:$H, (MATCH(837, 輔助計算!$F$2:$F$801, 0)+1))), "")</f>
        <v/>
      </c>
      <c r="H838" s="10">
        <f>IFERROR(IF(INDEX(ERP資料!$O:$O, (MATCH(837, 輔助計算!$F$2:$F$801, 0)+1))="","",INDEX(ERP資料!$O:$O, (MATCH(837, 輔助計算!$F$2:$F$801, 0)+1))), "")</f>
        <v/>
      </c>
      <c r="I838" s="15">
        <f>IFERROR(IF(INDEX(輔助計算!$D:$D,(MATCH(837, 輔助計算!$F$2:$F$801, 0)+1))="","",INDEX(輔助計算!$D:$D,(MATCH(837, 輔助計算!$F$2:$F$801, 0)+1))*INDEX(ERP資料!$O:$O,(MATCH(837, 輔助計算!$F$2:$F$801, 0)+1))), "")</f>
        <v/>
      </c>
      <c r="J838" s="16" t="n"/>
      <c r="K838" s="15">
        <f>IFERROR(INDEX(輔助計算!$D:$D, (MATCH(837, 輔助計算!$F$2:$F$801, 0)+1)), "")</f>
        <v/>
      </c>
      <c r="L838" s="16">
        <f>IFERROR(IF(AND(IFERROR(VLOOKUP(LEFT(INDEX(ERP資料!$S:$S, (MATCH(837, 輔助計算!$F$2:$F$801, 0)+1)), 4), 100張客戶!$A:$A, 1, FALSE), "")&lt;&gt;"", OR(INDEX(ERP資料!$F:$F, (MATCH(837, 輔助計算!$F$2:$F$801, 0)+1))=270, INDEX(ERP資料!$F:$F, (MATCH(837, 輔助計算!$F$2:$F$801, 0)+1))=300)), "100張", ""), "")</f>
        <v/>
      </c>
      <c r="M838" s="17" t="n"/>
      <c r="N838" s="17">
        <f>IF($F838="","",$F838)</f>
        <v/>
      </c>
      <c r="O838" s="17">
        <f>IF($G838="","",$G838)</f>
        <v/>
      </c>
      <c r="P838" s="17">
        <f>IF($K838="","",$K838)</f>
        <v/>
      </c>
      <c r="Q838" s="16" t="n"/>
      <c r="R838" s="18" t="n"/>
      <c r="S838" s="16" t="n"/>
    </row>
    <row r="839">
      <c r="A839" s="14">
        <f>IFERROR(IF(AND(IFERROR(INDEX(ERP資料!$A:$A, (MATCH(838, 輔助計算!$F$2:$F$801, 0)+1)), "")&lt;&gt;"", IFERROR(INDEX(ERP資料!$A:$A, (MATCH(838, 輔助計算!$F$2:$F$801, 0)+1)), "")&lt;&gt;IFERROR(INDEX(ERP資料!$A:$A, MATCH(837, 輔助計算!$F$2:$F$801, 0)+1), "")), INDEX(ERP資料!$B:$B, (MATCH(838, 輔助計算!$F$2:$F$801, 0)+1)), ""), "")</f>
        <v/>
      </c>
      <c r="B839" s="10">
        <f>IFERROR(IF(AND(IFERROR(INDEX(ERP資料!$A:$A, (MATCH(838, 輔助計算!$F$2:$F$801, 0)+1)), "")&lt;&gt;"", IFERROR(INDEX(ERP資料!$A:$A, (MATCH(838, 輔助計算!$F$2:$F$801, 0)+1)), "")&lt;&gt;IFERROR(INDEX(ERP資料!$A:$A, MATCH(837, 輔助計算!$F$2:$F$801, 0)+1), "")), IFERROR(INDEX(ERP資料!$A:$A, (MATCH(838, 輔助計算!$F$2:$F$801, 0)+1)), ""), ""), "")</f>
        <v/>
      </c>
      <c r="C839" s="10">
        <f>IFERROR(IF(AND(IFERROR(INDEX(ERP資料!$A:$A, (MATCH(838, 輔助計算!$F$2:$F$801, 0)+1)), "")&lt;&gt;"", IFERROR(INDEX(ERP資料!$A:$A, (MATCH(838, 輔助計算!$F$2:$F$801, 0)+1)), "")&lt;&gt;IFERROR(INDEX(ERP資料!$A:$A, MATCH(837, 輔助計算!$F$2:$F$801, 0)+1), "")), INDEX(ERP資料!$S:$S, (MATCH(838, 輔助計算!$F$2:$F$801, 0)+1)), ""), "")</f>
        <v/>
      </c>
      <c r="D839" s="10">
        <f>IFERROR(IF(INDEX(ERP資料!$E:$E, (MATCH(838, 輔助計算!$F$2:$F$801, 0)+1))="","",TRIM(INDEX(ERP資料!$E:$E, (MATCH(838, 輔助計算!$F$2:$F$801, 0)+1)))), "")</f>
        <v/>
      </c>
      <c r="E839" s="10">
        <f>IFERROR(IF(INDEX(ERP資料!$F:$F, (MATCH(838, 輔助計算!$F$2:$F$801, 0)+1))="","",INDEX(ERP資料!$F:$F, (MATCH(838, 輔助計算!$F$2:$F$801, 0)+1))), "")</f>
        <v/>
      </c>
      <c r="F839" s="10">
        <f>IFERROR(IF(INDEX(ERP資料!$G:$G, (MATCH(838, 輔助計算!$F$2:$F$801, 0)+1))="","",INDEX(ERP資料!$G:$G, (MATCH(838, 輔助計算!$F$2:$F$801, 0)+1))), "")</f>
        <v/>
      </c>
      <c r="G839" s="10">
        <f>IFERROR(IF(INDEX(ERP資料!$H:$H, (MATCH(838, 輔助計算!$F$2:$F$801, 0)+1))="","",INDEX(ERP資料!$H:$H, (MATCH(838, 輔助計算!$F$2:$F$801, 0)+1))), "")</f>
        <v/>
      </c>
      <c r="H839" s="10">
        <f>IFERROR(IF(INDEX(ERP資料!$O:$O, (MATCH(838, 輔助計算!$F$2:$F$801, 0)+1))="","",INDEX(ERP資料!$O:$O, (MATCH(838, 輔助計算!$F$2:$F$801, 0)+1))), "")</f>
        <v/>
      </c>
      <c r="I839" s="15">
        <f>IFERROR(IF(INDEX(輔助計算!$D:$D,(MATCH(838, 輔助計算!$F$2:$F$801, 0)+1))="","",INDEX(輔助計算!$D:$D,(MATCH(838, 輔助計算!$F$2:$F$801, 0)+1))*INDEX(ERP資料!$O:$O,(MATCH(838, 輔助計算!$F$2:$F$801, 0)+1))), "")</f>
        <v/>
      </c>
      <c r="J839" s="16" t="n"/>
      <c r="K839" s="15">
        <f>IFERROR(INDEX(輔助計算!$D:$D, (MATCH(838, 輔助計算!$F$2:$F$801, 0)+1)), "")</f>
        <v/>
      </c>
      <c r="L839" s="16">
        <f>IFERROR(IF(AND(IFERROR(VLOOKUP(LEFT(INDEX(ERP資料!$S:$S, (MATCH(838, 輔助計算!$F$2:$F$801, 0)+1)), 4), 100張客戶!$A:$A, 1, FALSE), "")&lt;&gt;"", OR(INDEX(ERP資料!$F:$F, (MATCH(838, 輔助計算!$F$2:$F$801, 0)+1))=270, INDEX(ERP資料!$F:$F, (MATCH(838, 輔助計算!$F$2:$F$801, 0)+1))=300)), "100張", ""), "")</f>
        <v/>
      </c>
      <c r="M839" s="17" t="n"/>
      <c r="N839" s="17">
        <f>IF($F839="","",$F839)</f>
        <v/>
      </c>
      <c r="O839" s="17">
        <f>IF($G839="","",$G839)</f>
        <v/>
      </c>
      <c r="P839" s="17">
        <f>IF($K839="","",$K839)</f>
        <v/>
      </c>
      <c r="Q839" s="16" t="n"/>
      <c r="R839" s="18" t="n"/>
      <c r="S839" s="16" t="n"/>
    </row>
    <row r="840">
      <c r="A840" s="14">
        <f>IFERROR(IF(AND(IFERROR(INDEX(ERP資料!$A:$A, (MATCH(839, 輔助計算!$F$2:$F$801, 0)+1)), "")&lt;&gt;"", IFERROR(INDEX(ERP資料!$A:$A, (MATCH(839, 輔助計算!$F$2:$F$801, 0)+1)), "")&lt;&gt;IFERROR(INDEX(ERP資料!$A:$A, MATCH(838, 輔助計算!$F$2:$F$801, 0)+1), "")), INDEX(ERP資料!$B:$B, (MATCH(839, 輔助計算!$F$2:$F$801, 0)+1)), ""), "")</f>
        <v/>
      </c>
      <c r="B840" s="10">
        <f>IFERROR(IF(AND(IFERROR(INDEX(ERP資料!$A:$A, (MATCH(839, 輔助計算!$F$2:$F$801, 0)+1)), "")&lt;&gt;"", IFERROR(INDEX(ERP資料!$A:$A, (MATCH(839, 輔助計算!$F$2:$F$801, 0)+1)), "")&lt;&gt;IFERROR(INDEX(ERP資料!$A:$A, MATCH(838, 輔助計算!$F$2:$F$801, 0)+1), "")), IFERROR(INDEX(ERP資料!$A:$A, (MATCH(839, 輔助計算!$F$2:$F$801, 0)+1)), ""), ""), "")</f>
        <v/>
      </c>
      <c r="C840" s="10">
        <f>IFERROR(IF(AND(IFERROR(INDEX(ERP資料!$A:$A, (MATCH(839, 輔助計算!$F$2:$F$801, 0)+1)), "")&lt;&gt;"", IFERROR(INDEX(ERP資料!$A:$A, (MATCH(839, 輔助計算!$F$2:$F$801, 0)+1)), "")&lt;&gt;IFERROR(INDEX(ERP資料!$A:$A, MATCH(838, 輔助計算!$F$2:$F$801, 0)+1), "")), INDEX(ERP資料!$S:$S, (MATCH(839, 輔助計算!$F$2:$F$801, 0)+1)), ""), "")</f>
        <v/>
      </c>
      <c r="D840" s="10">
        <f>IFERROR(IF(INDEX(ERP資料!$E:$E, (MATCH(839, 輔助計算!$F$2:$F$801, 0)+1))="","",TRIM(INDEX(ERP資料!$E:$E, (MATCH(839, 輔助計算!$F$2:$F$801, 0)+1)))), "")</f>
        <v/>
      </c>
      <c r="E840" s="10">
        <f>IFERROR(IF(INDEX(ERP資料!$F:$F, (MATCH(839, 輔助計算!$F$2:$F$801, 0)+1))="","",INDEX(ERP資料!$F:$F, (MATCH(839, 輔助計算!$F$2:$F$801, 0)+1))), "")</f>
        <v/>
      </c>
      <c r="F840" s="10">
        <f>IFERROR(IF(INDEX(ERP資料!$G:$G, (MATCH(839, 輔助計算!$F$2:$F$801, 0)+1))="","",INDEX(ERP資料!$G:$G, (MATCH(839, 輔助計算!$F$2:$F$801, 0)+1))), "")</f>
        <v/>
      </c>
      <c r="G840" s="10">
        <f>IFERROR(IF(INDEX(ERP資料!$H:$H, (MATCH(839, 輔助計算!$F$2:$F$801, 0)+1))="","",INDEX(ERP資料!$H:$H, (MATCH(839, 輔助計算!$F$2:$F$801, 0)+1))), "")</f>
        <v/>
      </c>
      <c r="H840" s="10">
        <f>IFERROR(IF(INDEX(ERP資料!$O:$O, (MATCH(839, 輔助計算!$F$2:$F$801, 0)+1))="","",INDEX(ERP資料!$O:$O, (MATCH(839, 輔助計算!$F$2:$F$801, 0)+1))), "")</f>
        <v/>
      </c>
      <c r="I840" s="15">
        <f>IFERROR(IF(INDEX(輔助計算!$D:$D,(MATCH(839, 輔助計算!$F$2:$F$801, 0)+1))="","",INDEX(輔助計算!$D:$D,(MATCH(839, 輔助計算!$F$2:$F$801, 0)+1))*INDEX(ERP資料!$O:$O,(MATCH(839, 輔助計算!$F$2:$F$801, 0)+1))), "")</f>
        <v/>
      </c>
      <c r="J840" s="16" t="n"/>
      <c r="K840" s="15">
        <f>IFERROR(INDEX(輔助計算!$D:$D, (MATCH(839, 輔助計算!$F$2:$F$801, 0)+1)), "")</f>
        <v/>
      </c>
      <c r="L840" s="16">
        <f>IFERROR(IF(AND(IFERROR(VLOOKUP(LEFT(INDEX(ERP資料!$S:$S, (MATCH(839, 輔助計算!$F$2:$F$801, 0)+1)), 4), 100張客戶!$A:$A, 1, FALSE), "")&lt;&gt;"", OR(INDEX(ERP資料!$F:$F, (MATCH(839, 輔助計算!$F$2:$F$801, 0)+1))=270, INDEX(ERP資料!$F:$F, (MATCH(839, 輔助計算!$F$2:$F$801, 0)+1))=300)), "100張", ""), "")</f>
        <v/>
      </c>
      <c r="M840" s="17" t="n"/>
      <c r="N840" s="17">
        <f>IF($F840="","",$F840)</f>
        <v/>
      </c>
      <c r="O840" s="17">
        <f>IF($G840="","",$G840)</f>
        <v/>
      </c>
      <c r="P840" s="17">
        <f>IF($K840="","",$K840)</f>
        <v/>
      </c>
      <c r="Q840" s="16" t="n"/>
      <c r="R840" s="18" t="n"/>
      <c r="S840" s="16" t="n"/>
    </row>
    <row r="841">
      <c r="A841" s="14">
        <f>IFERROR(IF(AND(IFERROR(INDEX(ERP資料!$A:$A, (MATCH(840, 輔助計算!$F$2:$F$801, 0)+1)), "")&lt;&gt;"", IFERROR(INDEX(ERP資料!$A:$A, (MATCH(840, 輔助計算!$F$2:$F$801, 0)+1)), "")&lt;&gt;IFERROR(INDEX(ERP資料!$A:$A, MATCH(839, 輔助計算!$F$2:$F$801, 0)+1), "")), INDEX(ERP資料!$B:$B, (MATCH(840, 輔助計算!$F$2:$F$801, 0)+1)), ""), "")</f>
        <v/>
      </c>
      <c r="B841" s="10">
        <f>IFERROR(IF(AND(IFERROR(INDEX(ERP資料!$A:$A, (MATCH(840, 輔助計算!$F$2:$F$801, 0)+1)), "")&lt;&gt;"", IFERROR(INDEX(ERP資料!$A:$A, (MATCH(840, 輔助計算!$F$2:$F$801, 0)+1)), "")&lt;&gt;IFERROR(INDEX(ERP資料!$A:$A, MATCH(839, 輔助計算!$F$2:$F$801, 0)+1), "")), IFERROR(INDEX(ERP資料!$A:$A, (MATCH(840, 輔助計算!$F$2:$F$801, 0)+1)), ""), ""), "")</f>
        <v/>
      </c>
      <c r="C841" s="10">
        <f>IFERROR(IF(AND(IFERROR(INDEX(ERP資料!$A:$A, (MATCH(840, 輔助計算!$F$2:$F$801, 0)+1)), "")&lt;&gt;"", IFERROR(INDEX(ERP資料!$A:$A, (MATCH(840, 輔助計算!$F$2:$F$801, 0)+1)), "")&lt;&gt;IFERROR(INDEX(ERP資料!$A:$A, MATCH(839, 輔助計算!$F$2:$F$801, 0)+1), "")), INDEX(ERP資料!$S:$S, (MATCH(840, 輔助計算!$F$2:$F$801, 0)+1)), ""), "")</f>
        <v/>
      </c>
      <c r="D841" s="10">
        <f>IFERROR(IF(INDEX(ERP資料!$E:$E, (MATCH(840, 輔助計算!$F$2:$F$801, 0)+1))="","",TRIM(INDEX(ERP資料!$E:$E, (MATCH(840, 輔助計算!$F$2:$F$801, 0)+1)))), "")</f>
        <v/>
      </c>
      <c r="E841" s="10">
        <f>IFERROR(IF(INDEX(ERP資料!$F:$F, (MATCH(840, 輔助計算!$F$2:$F$801, 0)+1))="","",INDEX(ERP資料!$F:$F, (MATCH(840, 輔助計算!$F$2:$F$801, 0)+1))), "")</f>
        <v/>
      </c>
      <c r="F841" s="10">
        <f>IFERROR(IF(INDEX(ERP資料!$G:$G, (MATCH(840, 輔助計算!$F$2:$F$801, 0)+1))="","",INDEX(ERP資料!$G:$G, (MATCH(840, 輔助計算!$F$2:$F$801, 0)+1))), "")</f>
        <v/>
      </c>
      <c r="G841" s="10">
        <f>IFERROR(IF(INDEX(ERP資料!$H:$H, (MATCH(840, 輔助計算!$F$2:$F$801, 0)+1))="","",INDEX(ERP資料!$H:$H, (MATCH(840, 輔助計算!$F$2:$F$801, 0)+1))), "")</f>
        <v/>
      </c>
      <c r="H841" s="10">
        <f>IFERROR(IF(INDEX(ERP資料!$O:$O, (MATCH(840, 輔助計算!$F$2:$F$801, 0)+1))="","",INDEX(ERP資料!$O:$O, (MATCH(840, 輔助計算!$F$2:$F$801, 0)+1))), "")</f>
        <v/>
      </c>
      <c r="I841" s="15">
        <f>IFERROR(IF(INDEX(輔助計算!$D:$D,(MATCH(840, 輔助計算!$F$2:$F$801, 0)+1))="","",INDEX(輔助計算!$D:$D,(MATCH(840, 輔助計算!$F$2:$F$801, 0)+1))*INDEX(ERP資料!$O:$O,(MATCH(840, 輔助計算!$F$2:$F$801, 0)+1))), "")</f>
        <v/>
      </c>
      <c r="J841" s="16" t="n"/>
      <c r="K841" s="15">
        <f>IFERROR(INDEX(輔助計算!$D:$D, (MATCH(840, 輔助計算!$F$2:$F$801, 0)+1)), "")</f>
        <v/>
      </c>
      <c r="L841" s="16">
        <f>IFERROR(IF(AND(IFERROR(VLOOKUP(LEFT(INDEX(ERP資料!$S:$S, (MATCH(840, 輔助計算!$F$2:$F$801, 0)+1)), 4), 100張客戶!$A:$A, 1, FALSE), "")&lt;&gt;"", OR(INDEX(ERP資料!$F:$F, (MATCH(840, 輔助計算!$F$2:$F$801, 0)+1))=270, INDEX(ERP資料!$F:$F, (MATCH(840, 輔助計算!$F$2:$F$801, 0)+1))=300)), "100張", ""), "")</f>
        <v/>
      </c>
      <c r="M841" s="17" t="n"/>
      <c r="N841" s="17">
        <f>IF($F841="","",$F841)</f>
        <v/>
      </c>
      <c r="O841" s="17">
        <f>IF($G841="","",$G841)</f>
        <v/>
      </c>
      <c r="P841" s="17">
        <f>IF($K841="","",$K841)</f>
        <v/>
      </c>
      <c r="Q841" s="16" t="n"/>
      <c r="R841" s="18" t="n"/>
      <c r="S841" s="16" t="n"/>
    </row>
    <row r="842">
      <c r="A842" s="14">
        <f>IFERROR(IF(AND(IFERROR(INDEX(ERP資料!$A:$A, (MATCH(841, 輔助計算!$F$2:$F$801, 0)+1)), "")&lt;&gt;"", IFERROR(INDEX(ERP資料!$A:$A, (MATCH(841, 輔助計算!$F$2:$F$801, 0)+1)), "")&lt;&gt;IFERROR(INDEX(ERP資料!$A:$A, MATCH(840, 輔助計算!$F$2:$F$801, 0)+1), "")), INDEX(ERP資料!$B:$B, (MATCH(841, 輔助計算!$F$2:$F$801, 0)+1)), ""), "")</f>
        <v/>
      </c>
      <c r="B842" s="10">
        <f>IFERROR(IF(AND(IFERROR(INDEX(ERP資料!$A:$A, (MATCH(841, 輔助計算!$F$2:$F$801, 0)+1)), "")&lt;&gt;"", IFERROR(INDEX(ERP資料!$A:$A, (MATCH(841, 輔助計算!$F$2:$F$801, 0)+1)), "")&lt;&gt;IFERROR(INDEX(ERP資料!$A:$A, MATCH(840, 輔助計算!$F$2:$F$801, 0)+1), "")), IFERROR(INDEX(ERP資料!$A:$A, (MATCH(841, 輔助計算!$F$2:$F$801, 0)+1)), ""), ""), "")</f>
        <v/>
      </c>
      <c r="C842" s="10">
        <f>IFERROR(IF(AND(IFERROR(INDEX(ERP資料!$A:$A, (MATCH(841, 輔助計算!$F$2:$F$801, 0)+1)), "")&lt;&gt;"", IFERROR(INDEX(ERP資料!$A:$A, (MATCH(841, 輔助計算!$F$2:$F$801, 0)+1)), "")&lt;&gt;IFERROR(INDEX(ERP資料!$A:$A, MATCH(840, 輔助計算!$F$2:$F$801, 0)+1), "")), INDEX(ERP資料!$S:$S, (MATCH(841, 輔助計算!$F$2:$F$801, 0)+1)), ""), "")</f>
        <v/>
      </c>
      <c r="D842" s="10">
        <f>IFERROR(IF(INDEX(ERP資料!$E:$E, (MATCH(841, 輔助計算!$F$2:$F$801, 0)+1))="","",TRIM(INDEX(ERP資料!$E:$E, (MATCH(841, 輔助計算!$F$2:$F$801, 0)+1)))), "")</f>
        <v/>
      </c>
      <c r="E842" s="10">
        <f>IFERROR(IF(INDEX(ERP資料!$F:$F, (MATCH(841, 輔助計算!$F$2:$F$801, 0)+1))="","",INDEX(ERP資料!$F:$F, (MATCH(841, 輔助計算!$F$2:$F$801, 0)+1))), "")</f>
        <v/>
      </c>
      <c r="F842" s="10">
        <f>IFERROR(IF(INDEX(ERP資料!$G:$G, (MATCH(841, 輔助計算!$F$2:$F$801, 0)+1))="","",INDEX(ERP資料!$G:$G, (MATCH(841, 輔助計算!$F$2:$F$801, 0)+1))), "")</f>
        <v/>
      </c>
      <c r="G842" s="10">
        <f>IFERROR(IF(INDEX(ERP資料!$H:$H, (MATCH(841, 輔助計算!$F$2:$F$801, 0)+1))="","",INDEX(ERP資料!$H:$H, (MATCH(841, 輔助計算!$F$2:$F$801, 0)+1))), "")</f>
        <v/>
      </c>
      <c r="H842" s="10">
        <f>IFERROR(IF(INDEX(ERP資料!$O:$O, (MATCH(841, 輔助計算!$F$2:$F$801, 0)+1))="","",INDEX(ERP資料!$O:$O, (MATCH(841, 輔助計算!$F$2:$F$801, 0)+1))), "")</f>
        <v/>
      </c>
      <c r="I842" s="15">
        <f>IFERROR(IF(INDEX(輔助計算!$D:$D,(MATCH(841, 輔助計算!$F$2:$F$801, 0)+1))="","",INDEX(輔助計算!$D:$D,(MATCH(841, 輔助計算!$F$2:$F$801, 0)+1))*INDEX(ERP資料!$O:$O,(MATCH(841, 輔助計算!$F$2:$F$801, 0)+1))), "")</f>
        <v/>
      </c>
      <c r="J842" s="16" t="n"/>
      <c r="K842" s="15">
        <f>IFERROR(INDEX(輔助計算!$D:$D, (MATCH(841, 輔助計算!$F$2:$F$801, 0)+1)), "")</f>
        <v/>
      </c>
      <c r="L842" s="16">
        <f>IFERROR(IF(AND(IFERROR(VLOOKUP(LEFT(INDEX(ERP資料!$S:$S, (MATCH(841, 輔助計算!$F$2:$F$801, 0)+1)), 4), 100張客戶!$A:$A, 1, FALSE), "")&lt;&gt;"", OR(INDEX(ERP資料!$F:$F, (MATCH(841, 輔助計算!$F$2:$F$801, 0)+1))=270, INDEX(ERP資料!$F:$F, (MATCH(841, 輔助計算!$F$2:$F$801, 0)+1))=300)), "100張", ""), "")</f>
        <v/>
      </c>
      <c r="M842" s="17" t="n"/>
      <c r="N842" s="17">
        <f>IF($F842="","",$F842)</f>
        <v/>
      </c>
      <c r="O842" s="17">
        <f>IF($G842="","",$G842)</f>
        <v/>
      </c>
      <c r="P842" s="17">
        <f>IF($K842="","",$K842)</f>
        <v/>
      </c>
      <c r="Q842" s="16" t="n"/>
      <c r="R842" s="18" t="n"/>
      <c r="S842" s="16" t="n"/>
    </row>
    <row r="843">
      <c r="A843" s="14">
        <f>IFERROR(IF(AND(IFERROR(INDEX(ERP資料!$A:$A, (MATCH(842, 輔助計算!$F$2:$F$801, 0)+1)), "")&lt;&gt;"", IFERROR(INDEX(ERP資料!$A:$A, (MATCH(842, 輔助計算!$F$2:$F$801, 0)+1)), "")&lt;&gt;IFERROR(INDEX(ERP資料!$A:$A, MATCH(841, 輔助計算!$F$2:$F$801, 0)+1), "")), INDEX(ERP資料!$B:$B, (MATCH(842, 輔助計算!$F$2:$F$801, 0)+1)), ""), "")</f>
        <v/>
      </c>
      <c r="B843" s="10">
        <f>IFERROR(IF(AND(IFERROR(INDEX(ERP資料!$A:$A, (MATCH(842, 輔助計算!$F$2:$F$801, 0)+1)), "")&lt;&gt;"", IFERROR(INDEX(ERP資料!$A:$A, (MATCH(842, 輔助計算!$F$2:$F$801, 0)+1)), "")&lt;&gt;IFERROR(INDEX(ERP資料!$A:$A, MATCH(841, 輔助計算!$F$2:$F$801, 0)+1), "")), IFERROR(INDEX(ERP資料!$A:$A, (MATCH(842, 輔助計算!$F$2:$F$801, 0)+1)), ""), ""), "")</f>
        <v/>
      </c>
      <c r="C843" s="10">
        <f>IFERROR(IF(AND(IFERROR(INDEX(ERP資料!$A:$A, (MATCH(842, 輔助計算!$F$2:$F$801, 0)+1)), "")&lt;&gt;"", IFERROR(INDEX(ERP資料!$A:$A, (MATCH(842, 輔助計算!$F$2:$F$801, 0)+1)), "")&lt;&gt;IFERROR(INDEX(ERP資料!$A:$A, MATCH(841, 輔助計算!$F$2:$F$801, 0)+1), "")), INDEX(ERP資料!$S:$S, (MATCH(842, 輔助計算!$F$2:$F$801, 0)+1)), ""), "")</f>
        <v/>
      </c>
      <c r="D843" s="10">
        <f>IFERROR(IF(INDEX(ERP資料!$E:$E, (MATCH(842, 輔助計算!$F$2:$F$801, 0)+1))="","",TRIM(INDEX(ERP資料!$E:$E, (MATCH(842, 輔助計算!$F$2:$F$801, 0)+1)))), "")</f>
        <v/>
      </c>
      <c r="E843" s="10">
        <f>IFERROR(IF(INDEX(ERP資料!$F:$F, (MATCH(842, 輔助計算!$F$2:$F$801, 0)+1))="","",INDEX(ERP資料!$F:$F, (MATCH(842, 輔助計算!$F$2:$F$801, 0)+1))), "")</f>
        <v/>
      </c>
      <c r="F843" s="10">
        <f>IFERROR(IF(INDEX(ERP資料!$G:$G, (MATCH(842, 輔助計算!$F$2:$F$801, 0)+1))="","",INDEX(ERP資料!$G:$G, (MATCH(842, 輔助計算!$F$2:$F$801, 0)+1))), "")</f>
        <v/>
      </c>
      <c r="G843" s="10">
        <f>IFERROR(IF(INDEX(ERP資料!$H:$H, (MATCH(842, 輔助計算!$F$2:$F$801, 0)+1))="","",INDEX(ERP資料!$H:$H, (MATCH(842, 輔助計算!$F$2:$F$801, 0)+1))), "")</f>
        <v/>
      </c>
      <c r="H843" s="10">
        <f>IFERROR(IF(INDEX(ERP資料!$O:$O, (MATCH(842, 輔助計算!$F$2:$F$801, 0)+1))="","",INDEX(ERP資料!$O:$O, (MATCH(842, 輔助計算!$F$2:$F$801, 0)+1))), "")</f>
        <v/>
      </c>
      <c r="I843" s="15">
        <f>IFERROR(IF(INDEX(輔助計算!$D:$D,(MATCH(842, 輔助計算!$F$2:$F$801, 0)+1))="","",INDEX(輔助計算!$D:$D,(MATCH(842, 輔助計算!$F$2:$F$801, 0)+1))*INDEX(ERP資料!$O:$O,(MATCH(842, 輔助計算!$F$2:$F$801, 0)+1))), "")</f>
        <v/>
      </c>
      <c r="J843" s="16" t="n"/>
      <c r="K843" s="15">
        <f>IFERROR(INDEX(輔助計算!$D:$D, (MATCH(842, 輔助計算!$F$2:$F$801, 0)+1)), "")</f>
        <v/>
      </c>
      <c r="L843" s="16">
        <f>IFERROR(IF(AND(IFERROR(VLOOKUP(LEFT(INDEX(ERP資料!$S:$S, (MATCH(842, 輔助計算!$F$2:$F$801, 0)+1)), 4), 100張客戶!$A:$A, 1, FALSE), "")&lt;&gt;"", OR(INDEX(ERP資料!$F:$F, (MATCH(842, 輔助計算!$F$2:$F$801, 0)+1))=270, INDEX(ERP資料!$F:$F, (MATCH(842, 輔助計算!$F$2:$F$801, 0)+1))=300)), "100張", ""), "")</f>
        <v/>
      </c>
      <c r="M843" s="17" t="n"/>
      <c r="N843" s="17">
        <f>IF($F843="","",$F843)</f>
        <v/>
      </c>
      <c r="O843" s="17">
        <f>IF($G843="","",$G843)</f>
        <v/>
      </c>
      <c r="P843" s="17">
        <f>IF($K843="","",$K843)</f>
        <v/>
      </c>
      <c r="Q843" s="16" t="n"/>
      <c r="R843" s="18" t="n"/>
      <c r="S843" s="16" t="n"/>
    </row>
    <row r="844">
      <c r="A844" s="14">
        <f>IFERROR(IF(AND(IFERROR(INDEX(ERP資料!$A:$A, (MATCH(843, 輔助計算!$F$2:$F$801, 0)+1)), "")&lt;&gt;"", IFERROR(INDEX(ERP資料!$A:$A, (MATCH(843, 輔助計算!$F$2:$F$801, 0)+1)), "")&lt;&gt;IFERROR(INDEX(ERP資料!$A:$A, MATCH(842, 輔助計算!$F$2:$F$801, 0)+1), "")), INDEX(ERP資料!$B:$B, (MATCH(843, 輔助計算!$F$2:$F$801, 0)+1)), ""), "")</f>
        <v/>
      </c>
      <c r="B844" s="10">
        <f>IFERROR(IF(AND(IFERROR(INDEX(ERP資料!$A:$A, (MATCH(843, 輔助計算!$F$2:$F$801, 0)+1)), "")&lt;&gt;"", IFERROR(INDEX(ERP資料!$A:$A, (MATCH(843, 輔助計算!$F$2:$F$801, 0)+1)), "")&lt;&gt;IFERROR(INDEX(ERP資料!$A:$A, MATCH(842, 輔助計算!$F$2:$F$801, 0)+1), "")), IFERROR(INDEX(ERP資料!$A:$A, (MATCH(843, 輔助計算!$F$2:$F$801, 0)+1)), ""), ""), "")</f>
        <v/>
      </c>
      <c r="C844" s="10">
        <f>IFERROR(IF(AND(IFERROR(INDEX(ERP資料!$A:$A, (MATCH(843, 輔助計算!$F$2:$F$801, 0)+1)), "")&lt;&gt;"", IFERROR(INDEX(ERP資料!$A:$A, (MATCH(843, 輔助計算!$F$2:$F$801, 0)+1)), "")&lt;&gt;IFERROR(INDEX(ERP資料!$A:$A, MATCH(842, 輔助計算!$F$2:$F$801, 0)+1), "")), INDEX(ERP資料!$S:$S, (MATCH(843, 輔助計算!$F$2:$F$801, 0)+1)), ""), "")</f>
        <v/>
      </c>
      <c r="D844" s="10">
        <f>IFERROR(IF(INDEX(ERP資料!$E:$E, (MATCH(843, 輔助計算!$F$2:$F$801, 0)+1))="","",TRIM(INDEX(ERP資料!$E:$E, (MATCH(843, 輔助計算!$F$2:$F$801, 0)+1)))), "")</f>
        <v/>
      </c>
      <c r="E844" s="10">
        <f>IFERROR(IF(INDEX(ERP資料!$F:$F, (MATCH(843, 輔助計算!$F$2:$F$801, 0)+1))="","",INDEX(ERP資料!$F:$F, (MATCH(843, 輔助計算!$F$2:$F$801, 0)+1))), "")</f>
        <v/>
      </c>
      <c r="F844" s="10">
        <f>IFERROR(IF(INDEX(ERP資料!$G:$G, (MATCH(843, 輔助計算!$F$2:$F$801, 0)+1))="","",INDEX(ERP資料!$G:$G, (MATCH(843, 輔助計算!$F$2:$F$801, 0)+1))), "")</f>
        <v/>
      </c>
      <c r="G844" s="10">
        <f>IFERROR(IF(INDEX(ERP資料!$H:$H, (MATCH(843, 輔助計算!$F$2:$F$801, 0)+1))="","",INDEX(ERP資料!$H:$H, (MATCH(843, 輔助計算!$F$2:$F$801, 0)+1))), "")</f>
        <v/>
      </c>
      <c r="H844" s="10">
        <f>IFERROR(IF(INDEX(ERP資料!$O:$O, (MATCH(843, 輔助計算!$F$2:$F$801, 0)+1))="","",INDEX(ERP資料!$O:$O, (MATCH(843, 輔助計算!$F$2:$F$801, 0)+1))), "")</f>
        <v/>
      </c>
      <c r="I844" s="15">
        <f>IFERROR(IF(INDEX(輔助計算!$D:$D,(MATCH(843, 輔助計算!$F$2:$F$801, 0)+1))="","",INDEX(輔助計算!$D:$D,(MATCH(843, 輔助計算!$F$2:$F$801, 0)+1))*INDEX(ERP資料!$O:$O,(MATCH(843, 輔助計算!$F$2:$F$801, 0)+1))), "")</f>
        <v/>
      </c>
      <c r="J844" s="16" t="n"/>
      <c r="K844" s="15">
        <f>IFERROR(INDEX(輔助計算!$D:$D, (MATCH(843, 輔助計算!$F$2:$F$801, 0)+1)), "")</f>
        <v/>
      </c>
      <c r="L844" s="16">
        <f>IFERROR(IF(AND(IFERROR(VLOOKUP(LEFT(INDEX(ERP資料!$S:$S, (MATCH(843, 輔助計算!$F$2:$F$801, 0)+1)), 4), 100張客戶!$A:$A, 1, FALSE), "")&lt;&gt;"", OR(INDEX(ERP資料!$F:$F, (MATCH(843, 輔助計算!$F$2:$F$801, 0)+1))=270, INDEX(ERP資料!$F:$F, (MATCH(843, 輔助計算!$F$2:$F$801, 0)+1))=300)), "100張", ""), "")</f>
        <v/>
      </c>
      <c r="M844" s="17" t="n"/>
      <c r="N844" s="17">
        <f>IF($F844="","",$F844)</f>
        <v/>
      </c>
      <c r="O844" s="17">
        <f>IF($G844="","",$G844)</f>
        <v/>
      </c>
      <c r="P844" s="17">
        <f>IF($K844="","",$K844)</f>
        <v/>
      </c>
      <c r="Q844" s="16" t="n"/>
      <c r="R844" s="18" t="n"/>
      <c r="S844" s="16" t="n"/>
    </row>
    <row r="845">
      <c r="A845" s="14">
        <f>IFERROR(IF(AND(IFERROR(INDEX(ERP資料!$A:$A, (MATCH(844, 輔助計算!$F$2:$F$801, 0)+1)), "")&lt;&gt;"", IFERROR(INDEX(ERP資料!$A:$A, (MATCH(844, 輔助計算!$F$2:$F$801, 0)+1)), "")&lt;&gt;IFERROR(INDEX(ERP資料!$A:$A, MATCH(843, 輔助計算!$F$2:$F$801, 0)+1), "")), INDEX(ERP資料!$B:$B, (MATCH(844, 輔助計算!$F$2:$F$801, 0)+1)), ""), "")</f>
        <v/>
      </c>
      <c r="B845" s="10">
        <f>IFERROR(IF(AND(IFERROR(INDEX(ERP資料!$A:$A, (MATCH(844, 輔助計算!$F$2:$F$801, 0)+1)), "")&lt;&gt;"", IFERROR(INDEX(ERP資料!$A:$A, (MATCH(844, 輔助計算!$F$2:$F$801, 0)+1)), "")&lt;&gt;IFERROR(INDEX(ERP資料!$A:$A, MATCH(843, 輔助計算!$F$2:$F$801, 0)+1), "")), IFERROR(INDEX(ERP資料!$A:$A, (MATCH(844, 輔助計算!$F$2:$F$801, 0)+1)), ""), ""), "")</f>
        <v/>
      </c>
      <c r="C845" s="10">
        <f>IFERROR(IF(AND(IFERROR(INDEX(ERP資料!$A:$A, (MATCH(844, 輔助計算!$F$2:$F$801, 0)+1)), "")&lt;&gt;"", IFERROR(INDEX(ERP資料!$A:$A, (MATCH(844, 輔助計算!$F$2:$F$801, 0)+1)), "")&lt;&gt;IFERROR(INDEX(ERP資料!$A:$A, MATCH(843, 輔助計算!$F$2:$F$801, 0)+1), "")), INDEX(ERP資料!$S:$S, (MATCH(844, 輔助計算!$F$2:$F$801, 0)+1)), ""), "")</f>
        <v/>
      </c>
      <c r="D845" s="10">
        <f>IFERROR(IF(INDEX(ERP資料!$E:$E, (MATCH(844, 輔助計算!$F$2:$F$801, 0)+1))="","",TRIM(INDEX(ERP資料!$E:$E, (MATCH(844, 輔助計算!$F$2:$F$801, 0)+1)))), "")</f>
        <v/>
      </c>
      <c r="E845" s="10">
        <f>IFERROR(IF(INDEX(ERP資料!$F:$F, (MATCH(844, 輔助計算!$F$2:$F$801, 0)+1))="","",INDEX(ERP資料!$F:$F, (MATCH(844, 輔助計算!$F$2:$F$801, 0)+1))), "")</f>
        <v/>
      </c>
      <c r="F845" s="10">
        <f>IFERROR(IF(INDEX(ERP資料!$G:$G, (MATCH(844, 輔助計算!$F$2:$F$801, 0)+1))="","",INDEX(ERP資料!$G:$G, (MATCH(844, 輔助計算!$F$2:$F$801, 0)+1))), "")</f>
        <v/>
      </c>
      <c r="G845" s="10">
        <f>IFERROR(IF(INDEX(ERP資料!$H:$H, (MATCH(844, 輔助計算!$F$2:$F$801, 0)+1))="","",INDEX(ERP資料!$H:$H, (MATCH(844, 輔助計算!$F$2:$F$801, 0)+1))), "")</f>
        <v/>
      </c>
      <c r="H845" s="10">
        <f>IFERROR(IF(INDEX(ERP資料!$O:$O, (MATCH(844, 輔助計算!$F$2:$F$801, 0)+1))="","",INDEX(ERP資料!$O:$O, (MATCH(844, 輔助計算!$F$2:$F$801, 0)+1))), "")</f>
        <v/>
      </c>
      <c r="I845" s="15">
        <f>IFERROR(IF(INDEX(輔助計算!$D:$D,(MATCH(844, 輔助計算!$F$2:$F$801, 0)+1))="","",INDEX(輔助計算!$D:$D,(MATCH(844, 輔助計算!$F$2:$F$801, 0)+1))*INDEX(ERP資料!$O:$O,(MATCH(844, 輔助計算!$F$2:$F$801, 0)+1))), "")</f>
        <v/>
      </c>
      <c r="J845" s="16" t="n"/>
      <c r="K845" s="15">
        <f>IFERROR(INDEX(輔助計算!$D:$D, (MATCH(844, 輔助計算!$F$2:$F$801, 0)+1)), "")</f>
        <v/>
      </c>
      <c r="L845" s="16">
        <f>IFERROR(IF(AND(IFERROR(VLOOKUP(LEFT(INDEX(ERP資料!$S:$S, (MATCH(844, 輔助計算!$F$2:$F$801, 0)+1)), 4), 100張客戶!$A:$A, 1, FALSE), "")&lt;&gt;"", OR(INDEX(ERP資料!$F:$F, (MATCH(844, 輔助計算!$F$2:$F$801, 0)+1))=270, INDEX(ERP資料!$F:$F, (MATCH(844, 輔助計算!$F$2:$F$801, 0)+1))=300)), "100張", ""), "")</f>
        <v/>
      </c>
      <c r="M845" s="17" t="n"/>
      <c r="N845" s="17">
        <f>IF($F845="","",$F845)</f>
        <v/>
      </c>
      <c r="O845" s="17">
        <f>IF($G845="","",$G845)</f>
        <v/>
      </c>
      <c r="P845" s="17">
        <f>IF($K845="","",$K845)</f>
        <v/>
      </c>
      <c r="Q845" s="16" t="n"/>
      <c r="R845" s="18" t="n"/>
      <c r="S845" s="16" t="n"/>
    </row>
    <row r="846">
      <c r="A846" s="14">
        <f>IFERROR(IF(AND(IFERROR(INDEX(ERP資料!$A:$A, (MATCH(845, 輔助計算!$F$2:$F$801, 0)+1)), "")&lt;&gt;"", IFERROR(INDEX(ERP資料!$A:$A, (MATCH(845, 輔助計算!$F$2:$F$801, 0)+1)), "")&lt;&gt;IFERROR(INDEX(ERP資料!$A:$A, MATCH(844, 輔助計算!$F$2:$F$801, 0)+1), "")), INDEX(ERP資料!$B:$B, (MATCH(845, 輔助計算!$F$2:$F$801, 0)+1)), ""), "")</f>
        <v/>
      </c>
      <c r="B846" s="10">
        <f>IFERROR(IF(AND(IFERROR(INDEX(ERP資料!$A:$A, (MATCH(845, 輔助計算!$F$2:$F$801, 0)+1)), "")&lt;&gt;"", IFERROR(INDEX(ERP資料!$A:$A, (MATCH(845, 輔助計算!$F$2:$F$801, 0)+1)), "")&lt;&gt;IFERROR(INDEX(ERP資料!$A:$A, MATCH(844, 輔助計算!$F$2:$F$801, 0)+1), "")), IFERROR(INDEX(ERP資料!$A:$A, (MATCH(845, 輔助計算!$F$2:$F$801, 0)+1)), ""), ""), "")</f>
        <v/>
      </c>
      <c r="C846" s="10">
        <f>IFERROR(IF(AND(IFERROR(INDEX(ERP資料!$A:$A, (MATCH(845, 輔助計算!$F$2:$F$801, 0)+1)), "")&lt;&gt;"", IFERROR(INDEX(ERP資料!$A:$A, (MATCH(845, 輔助計算!$F$2:$F$801, 0)+1)), "")&lt;&gt;IFERROR(INDEX(ERP資料!$A:$A, MATCH(844, 輔助計算!$F$2:$F$801, 0)+1), "")), INDEX(ERP資料!$S:$S, (MATCH(845, 輔助計算!$F$2:$F$801, 0)+1)), ""), "")</f>
        <v/>
      </c>
      <c r="D846" s="10">
        <f>IFERROR(IF(INDEX(ERP資料!$E:$E, (MATCH(845, 輔助計算!$F$2:$F$801, 0)+1))="","",TRIM(INDEX(ERP資料!$E:$E, (MATCH(845, 輔助計算!$F$2:$F$801, 0)+1)))), "")</f>
        <v/>
      </c>
      <c r="E846" s="10">
        <f>IFERROR(IF(INDEX(ERP資料!$F:$F, (MATCH(845, 輔助計算!$F$2:$F$801, 0)+1))="","",INDEX(ERP資料!$F:$F, (MATCH(845, 輔助計算!$F$2:$F$801, 0)+1))), "")</f>
        <v/>
      </c>
      <c r="F846" s="10">
        <f>IFERROR(IF(INDEX(ERP資料!$G:$G, (MATCH(845, 輔助計算!$F$2:$F$801, 0)+1))="","",INDEX(ERP資料!$G:$G, (MATCH(845, 輔助計算!$F$2:$F$801, 0)+1))), "")</f>
        <v/>
      </c>
      <c r="G846" s="10">
        <f>IFERROR(IF(INDEX(ERP資料!$H:$H, (MATCH(845, 輔助計算!$F$2:$F$801, 0)+1))="","",INDEX(ERP資料!$H:$H, (MATCH(845, 輔助計算!$F$2:$F$801, 0)+1))), "")</f>
        <v/>
      </c>
      <c r="H846" s="10">
        <f>IFERROR(IF(INDEX(ERP資料!$O:$O, (MATCH(845, 輔助計算!$F$2:$F$801, 0)+1))="","",INDEX(ERP資料!$O:$O, (MATCH(845, 輔助計算!$F$2:$F$801, 0)+1))), "")</f>
        <v/>
      </c>
      <c r="I846" s="15">
        <f>IFERROR(IF(INDEX(輔助計算!$D:$D,(MATCH(845, 輔助計算!$F$2:$F$801, 0)+1))="","",INDEX(輔助計算!$D:$D,(MATCH(845, 輔助計算!$F$2:$F$801, 0)+1))*INDEX(ERP資料!$O:$O,(MATCH(845, 輔助計算!$F$2:$F$801, 0)+1))), "")</f>
        <v/>
      </c>
      <c r="J846" s="16" t="n"/>
      <c r="K846" s="15">
        <f>IFERROR(INDEX(輔助計算!$D:$D, (MATCH(845, 輔助計算!$F$2:$F$801, 0)+1)), "")</f>
        <v/>
      </c>
      <c r="L846" s="16">
        <f>IFERROR(IF(AND(IFERROR(VLOOKUP(LEFT(INDEX(ERP資料!$S:$S, (MATCH(845, 輔助計算!$F$2:$F$801, 0)+1)), 4), 100張客戶!$A:$A, 1, FALSE), "")&lt;&gt;"", OR(INDEX(ERP資料!$F:$F, (MATCH(845, 輔助計算!$F$2:$F$801, 0)+1))=270, INDEX(ERP資料!$F:$F, (MATCH(845, 輔助計算!$F$2:$F$801, 0)+1))=300)), "100張", ""), "")</f>
        <v/>
      </c>
      <c r="M846" s="17" t="n"/>
      <c r="N846" s="17">
        <f>IF($F846="","",$F846)</f>
        <v/>
      </c>
      <c r="O846" s="17">
        <f>IF($G846="","",$G846)</f>
        <v/>
      </c>
      <c r="P846" s="17">
        <f>IF($K846="","",$K846)</f>
        <v/>
      </c>
      <c r="Q846" s="16" t="n"/>
      <c r="R846" s="18" t="n"/>
      <c r="S846" s="16" t="n"/>
    </row>
    <row r="847">
      <c r="A847" s="14">
        <f>IFERROR(IF(AND(IFERROR(INDEX(ERP資料!$A:$A, (MATCH(846, 輔助計算!$F$2:$F$801, 0)+1)), "")&lt;&gt;"", IFERROR(INDEX(ERP資料!$A:$A, (MATCH(846, 輔助計算!$F$2:$F$801, 0)+1)), "")&lt;&gt;IFERROR(INDEX(ERP資料!$A:$A, MATCH(845, 輔助計算!$F$2:$F$801, 0)+1), "")), INDEX(ERP資料!$B:$B, (MATCH(846, 輔助計算!$F$2:$F$801, 0)+1)), ""), "")</f>
        <v/>
      </c>
      <c r="B847" s="10">
        <f>IFERROR(IF(AND(IFERROR(INDEX(ERP資料!$A:$A, (MATCH(846, 輔助計算!$F$2:$F$801, 0)+1)), "")&lt;&gt;"", IFERROR(INDEX(ERP資料!$A:$A, (MATCH(846, 輔助計算!$F$2:$F$801, 0)+1)), "")&lt;&gt;IFERROR(INDEX(ERP資料!$A:$A, MATCH(845, 輔助計算!$F$2:$F$801, 0)+1), "")), IFERROR(INDEX(ERP資料!$A:$A, (MATCH(846, 輔助計算!$F$2:$F$801, 0)+1)), ""), ""), "")</f>
        <v/>
      </c>
      <c r="C847" s="10">
        <f>IFERROR(IF(AND(IFERROR(INDEX(ERP資料!$A:$A, (MATCH(846, 輔助計算!$F$2:$F$801, 0)+1)), "")&lt;&gt;"", IFERROR(INDEX(ERP資料!$A:$A, (MATCH(846, 輔助計算!$F$2:$F$801, 0)+1)), "")&lt;&gt;IFERROR(INDEX(ERP資料!$A:$A, MATCH(845, 輔助計算!$F$2:$F$801, 0)+1), "")), INDEX(ERP資料!$S:$S, (MATCH(846, 輔助計算!$F$2:$F$801, 0)+1)), ""), "")</f>
        <v/>
      </c>
      <c r="D847" s="10">
        <f>IFERROR(IF(INDEX(ERP資料!$E:$E, (MATCH(846, 輔助計算!$F$2:$F$801, 0)+1))="","",TRIM(INDEX(ERP資料!$E:$E, (MATCH(846, 輔助計算!$F$2:$F$801, 0)+1)))), "")</f>
        <v/>
      </c>
      <c r="E847" s="10">
        <f>IFERROR(IF(INDEX(ERP資料!$F:$F, (MATCH(846, 輔助計算!$F$2:$F$801, 0)+1))="","",INDEX(ERP資料!$F:$F, (MATCH(846, 輔助計算!$F$2:$F$801, 0)+1))), "")</f>
        <v/>
      </c>
      <c r="F847" s="10">
        <f>IFERROR(IF(INDEX(ERP資料!$G:$G, (MATCH(846, 輔助計算!$F$2:$F$801, 0)+1))="","",INDEX(ERP資料!$G:$G, (MATCH(846, 輔助計算!$F$2:$F$801, 0)+1))), "")</f>
        <v/>
      </c>
      <c r="G847" s="10">
        <f>IFERROR(IF(INDEX(ERP資料!$H:$H, (MATCH(846, 輔助計算!$F$2:$F$801, 0)+1))="","",INDEX(ERP資料!$H:$H, (MATCH(846, 輔助計算!$F$2:$F$801, 0)+1))), "")</f>
        <v/>
      </c>
      <c r="H847" s="10">
        <f>IFERROR(IF(INDEX(ERP資料!$O:$O, (MATCH(846, 輔助計算!$F$2:$F$801, 0)+1))="","",INDEX(ERP資料!$O:$O, (MATCH(846, 輔助計算!$F$2:$F$801, 0)+1))), "")</f>
        <v/>
      </c>
      <c r="I847" s="15">
        <f>IFERROR(IF(INDEX(輔助計算!$D:$D,(MATCH(846, 輔助計算!$F$2:$F$801, 0)+1))="","",INDEX(輔助計算!$D:$D,(MATCH(846, 輔助計算!$F$2:$F$801, 0)+1))*INDEX(ERP資料!$O:$O,(MATCH(846, 輔助計算!$F$2:$F$801, 0)+1))), "")</f>
        <v/>
      </c>
      <c r="J847" s="16" t="n"/>
      <c r="K847" s="15">
        <f>IFERROR(INDEX(輔助計算!$D:$D, (MATCH(846, 輔助計算!$F$2:$F$801, 0)+1)), "")</f>
        <v/>
      </c>
      <c r="L847" s="16">
        <f>IFERROR(IF(AND(IFERROR(VLOOKUP(LEFT(INDEX(ERP資料!$S:$S, (MATCH(846, 輔助計算!$F$2:$F$801, 0)+1)), 4), 100張客戶!$A:$A, 1, FALSE), "")&lt;&gt;"", OR(INDEX(ERP資料!$F:$F, (MATCH(846, 輔助計算!$F$2:$F$801, 0)+1))=270, INDEX(ERP資料!$F:$F, (MATCH(846, 輔助計算!$F$2:$F$801, 0)+1))=300)), "100張", ""), "")</f>
        <v/>
      </c>
      <c r="M847" s="17" t="n"/>
      <c r="N847" s="17">
        <f>IF($F847="","",$F847)</f>
        <v/>
      </c>
      <c r="O847" s="17">
        <f>IF($G847="","",$G847)</f>
        <v/>
      </c>
      <c r="P847" s="17">
        <f>IF($K847="","",$K847)</f>
        <v/>
      </c>
      <c r="Q847" s="16" t="n"/>
      <c r="R847" s="18" t="n"/>
      <c r="S847" s="16" t="n"/>
    </row>
    <row r="848">
      <c r="A848" s="14">
        <f>IFERROR(IF(AND(IFERROR(INDEX(ERP資料!$A:$A, (MATCH(847, 輔助計算!$F$2:$F$801, 0)+1)), "")&lt;&gt;"", IFERROR(INDEX(ERP資料!$A:$A, (MATCH(847, 輔助計算!$F$2:$F$801, 0)+1)), "")&lt;&gt;IFERROR(INDEX(ERP資料!$A:$A, MATCH(846, 輔助計算!$F$2:$F$801, 0)+1), "")), INDEX(ERP資料!$B:$B, (MATCH(847, 輔助計算!$F$2:$F$801, 0)+1)), ""), "")</f>
        <v/>
      </c>
      <c r="B848" s="10">
        <f>IFERROR(IF(AND(IFERROR(INDEX(ERP資料!$A:$A, (MATCH(847, 輔助計算!$F$2:$F$801, 0)+1)), "")&lt;&gt;"", IFERROR(INDEX(ERP資料!$A:$A, (MATCH(847, 輔助計算!$F$2:$F$801, 0)+1)), "")&lt;&gt;IFERROR(INDEX(ERP資料!$A:$A, MATCH(846, 輔助計算!$F$2:$F$801, 0)+1), "")), IFERROR(INDEX(ERP資料!$A:$A, (MATCH(847, 輔助計算!$F$2:$F$801, 0)+1)), ""), ""), "")</f>
        <v/>
      </c>
      <c r="C848" s="10">
        <f>IFERROR(IF(AND(IFERROR(INDEX(ERP資料!$A:$A, (MATCH(847, 輔助計算!$F$2:$F$801, 0)+1)), "")&lt;&gt;"", IFERROR(INDEX(ERP資料!$A:$A, (MATCH(847, 輔助計算!$F$2:$F$801, 0)+1)), "")&lt;&gt;IFERROR(INDEX(ERP資料!$A:$A, MATCH(846, 輔助計算!$F$2:$F$801, 0)+1), "")), INDEX(ERP資料!$S:$S, (MATCH(847, 輔助計算!$F$2:$F$801, 0)+1)), ""), "")</f>
        <v/>
      </c>
      <c r="D848" s="10">
        <f>IFERROR(IF(INDEX(ERP資料!$E:$E, (MATCH(847, 輔助計算!$F$2:$F$801, 0)+1))="","",TRIM(INDEX(ERP資料!$E:$E, (MATCH(847, 輔助計算!$F$2:$F$801, 0)+1)))), "")</f>
        <v/>
      </c>
      <c r="E848" s="10">
        <f>IFERROR(IF(INDEX(ERP資料!$F:$F, (MATCH(847, 輔助計算!$F$2:$F$801, 0)+1))="","",INDEX(ERP資料!$F:$F, (MATCH(847, 輔助計算!$F$2:$F$801, 0)+1))), "")</f>
        <v/>
      </c>
      <c r="F848" s="10">
        <f>IFERROR(IF(INDEX(ERP資料!$G:$G, (MATCH(847, 輔助計算!$F$2:$F$801, 0)+1))="","",INDEX(ERP資料!$G:$G, (MATCH(847, 輔助計算!$F$2:$F$801, 0)+1))), "")</f>
        <v/>
      </c>
      <c r="G848" s="10">
        <f>IFERROR(IF(INDEX(ERP資料!$H:$H, (MATCH(847, 輔助計算!$F$2:$F$801, 0)+1))="","",INDEX(ERP資料!$H:$H, (MATCH(847, 輔助計算!$F$2:$F$801, 0)+1))), "")</f>
        <v/>
      </c>
      <c r="H848" s="10">
        <f>IFERROR(IF(INDEX(ERP資料!$O:$O, (MATCH(847, 輔助計算!$F$2:$F$801, 0)+1))="","",INDEX(ERP資料!$O:$O, (MATCH(847, 輔助計算!$F$2:$F$801, 0)+1))), "")</f>
        <v/>
      </c>
      <c r="I848" s="15">
        <f>IFERROR(IF(INDEX(輔助計算!$D:$D,(MATCH(847, 輔助計算!$F$2:$F$801, 0)+1))="","",INDEX(輔助計算!$D:$D,(MATCH(847, 輔助計算!$F$2:$F$801, 0)+1))*INDEX(ERP資料!$O:$O,(MATCH(847, 輔助計算!$F$2:$F$801, 0)+1))), "")</f>
        <v/>
      </c>
      <c r="J848" s="16" t="n"/>
      <c r="K848" s="15">
        <f>IFERROR(INDEX(輔助計算!$D:$D, (MATCH(847, 輔助計算!$F$2:$F$801, 0)+1)), "")</f>
        <v/>
      </c>
      <c r="L848" s="16">
        <f>IFERROR(IF(AND(IFERROR(VLOOKUP(LEFT(INDEX(ERP資料!$S:$S, (MATCH(847, 輔助計算!$F$2:$F$801, 0)+1)), 4), 100張客戶!$A:$A, 1, FALSE), "")&lt;&gt;"", OR(INDEX(ERP資料!$F:$F, (MATCH(847, 輔助計算!$F$2:$F$801, 0)+1))=270, INDEX(ERP資料!$F:$F, (MATCH(847, 輔助計算!$F$2:$F$801, 0)+1))=300)), "100張", ""), "")</f>
        <v/>
      </c>
      <c r="M848" s="17" t="n"/>
      <c r="N848" s="17">
        <f>IF($F848="","",$F848)</f>
        <v/>
      </c>
      <c r="O848" s="17">
        <f>IF($G848="","",$G848)</f>
        <v/>
      </c>
      <c r="P848" s="17">
        <f>IF($K848="","",$K848)</f>
        <v/>
      </c>
      <c r="Q848" s="16" t="n"/>
      <c r="R848" s="18" t="n"/>
      <c r="S848" s="16" t="n"/>
    </row>
    <row r="849">
      <c r="A849" s="14">
        <f>IFERROR(IF(AND(IFERROR(INDEX(ERP資料!$A:$A, (MATCH(848, 輔助計算!$F$2:$F$801, 0)+1)), "")&lt;&gt;"", IFERROR(INDEX(ERP資料!$A:$A, (MATCH(848, 輔助計算!$F$2:$F$801, 0)+1)), "")&lt;&gt;IFERROR(INDEX(ERP資料!$A:$A, MATCH(847, 輔助計算!$F$2:$F$801, 0)+1), "")), INDEX(ERP資料!$B:$B, (MATCH(848, 輔助計算!$F$2:$F$801, 0)+1)), ""), "")</f>
        <v/>
      </c>
      <c r="B849" s="10">
        <f>IFERROR(IF(AND(IFERROR(INDEX(ERP資料!$A:$A, (MATCH(848, 輔助計算!$F$2:$F$801, 0)+1)), "")&lt;&gt;"", IFERROR(INDEX(ERP資料!$A:$A, (MATCH(848, 輔助計算!$F$2:$F$801, 0)+1)), "")&lt;&gt;IFERROR(INDEX(ERP資料!$A:$A, MATCH(847, 輔助計算!$F$2:$F$801, 0)+1), "")), IFERROR(INDEX(ERP資料!$A:$A, (MATCH(848, 輔助計算!$F$2:$F$801, 0)+1)), ""), ""), "")</f>
        <v/>
      </c>
      <c r="C849" s="10">
        <f>IFERROR(IF(AND(IFERROR(INDEX(ERP資料!$A:$A, (MATCH(848, 輔助計算!$F$2:$F$801, 0)+1)), "")&lt;&gt;"", IFERROR(INDEX(ERP資料!$A:$A, (MATCH(848, 輔助計算!$F$2:$F$801, 0)+1)), "")&lt;&gt;IFERROR(INDEX(ERP資料!$A:$A, MATCH(847, 輔助計算!$F$2:$F$801, 0)+1), "")), INDEX(ERP資料!$S:$S, (MATCH(848, 輔助計算!$F$2:$F$801, 0)+1)), ""), "")</f>
        <v/>
      </c>
      <c r="D849" s="10">
        <f>IFERROR(IF(INDEX(ERP資料!$E:$E, (MATCH(848, 輔助計算!$F$2:$F$801, 0)+1))="","",TRIM(INDEX(ERP資料!$E:$E, (MATCH(848, 輔助計算!$F$2:$F$801, 0)+1)))), "")</f>
        <v/>
      </c>
      <c r="E849" s="10">
        <f>IFERROR(IF(INDEX(ERP資料!$F:$F, (MATCH(848, 輔助計算!$F$2:$F$801, 0)+1))="","",INDEX(ERP資料!$F:$F, (MATCH(848, 輔助計算!$F$2:$F$801, 0)+1))), "")</f>
        <v/>
      </c>
      <c r="F849" s="10">
        <f>IFERROR(IF(INDEX(ERP資料!$G:$G, (MATCH(848, 輔助計算!$F$2:$F$801, 0)+1))="","",INDEX(ERP資料!$G:$G, (MATCH(848, 輔助計算!$F$2:$F$801, 0)+1))), "")</f>
        <v/>
      </c>
      <c r="G849" s="10">
        <f>IFERROR(IF(INDEX(ERP資料!$H:$H, (MATCH(848, 輔助計算!$F$2:$F$801, 0)+1))="","",INDEX(ERP資料!$H:$H, (MATCH(848, 輔助計算!$F$2:$F$801, 0)+1))), "")</f>
        <v/>
      </c>
      <c r="H849" s="10">
        <f>IFERROR(IF(INDEX(ERP資料!$O:$O, (MATCH(848, 輔助計算!$F$2:$F$801, 0)+1))="","",INDEX(ERP資料!$O:$O, (MATCH(848, 輔助計算!$F$2:$F$801, 0)+1))), "")</f>
        <v/>
      </c>
      <c r="I849" s="15">
        <f>IFERROR(IF(INDEX(輔助計算!$D:$D,(MATCH(848, 輔助計算!$F$2:$F$801, 0)+1))="","",INDEX(輔助計算!$D:$D,(MATCH(848, 輔助計算!$F$2:$F$801, 0)+1))*INDEX(ERP資料!$O:$O,(MATCH(848, 輔助計算!$F$2:$F$801, 0)+1))), "")</f>
        <v/>
      </c>
      <c r="J849" s="16" t="n"/>
      <c r="K849" s="15">
        <f>IFERROR(INDEX(輔助計算!$D:$D, (MATCH(848, 輔助計算!$F$2:$F$801, 0)+1)), "")</f>
        <v/>
      </c>
      <c r="L849" s="16">
        <f>IFERROR(IF(AND(IFERROR(VLOOKUP(LEFT(INDEX(ERP資料!$S:$S, (MATCH(848, 輔助計算!$F$2:$F$801, 0)+1)), 4), 100張客戶!$A:$A, 1, FALSE), "")&lt;&gt;"", OR(INDEX(ERP資料!$F:$F, (MATCH(848, 輔助計算!$F$2:$F$801, 0)+1))=270, INDEX(ERP資料!$F:$F, (MATCH(848, 輔助計算!$F$2:$F$801, 0)+1))=300)), "100張", ""), "")</f>
        <v/>
      </c>
      <c r="M849" s="17" t="n"/>
      <c r="N849" s="17">
        <f>IF($F849="","",$F849)</f>
        <v/>
      </c>
      <c r="O849" s="17">
        <f>IF($G849="","",$G849)</f>
        <v/>
      </c>
      <c r="P849" s="17">
        <f>IF($K849="","",$K849)</f>
        <v/>
      </c>
      <c r="Q849" s="16" t="n"/>
      <c r="R849" s="18" t="n"/>
      <c r="S849" s="16" t="n"/>
    </row>
    <row r="850">
      <c r="A850" s="14">
        <f>IFERROR(IF(AND(IFERROR(INDEX(ERP資料!$A:$A, (MATCH(849, 輔助計算!$F$2:$F$801, 0)+1)), "")&lt;&gt;"", IFERROR(INDEX(ERP資料!$A:$A, (MATCH(849, 輔助計算!$F$2:$F$801, 0)+1)), "")&lt;&gt;IFERROR(INDEX(ERP資料!$A:$A, MATCH(848, 輔助計算!$F$2:$F$801, 0)+1), "")), INDEX(ERP資料!$B:$B, (MATCH(849, 輔助計算!$F$2:$F$801, 0)+1)), ""), "")</f>
        <v/>
      </c>
      <c r="B850" s="10">
        <f>IFERROR(IF(AND(IFERROR(INDEX(ERP資料!$A:$A, (MATCH(849, 輔助計算!$F$2:$F$801, 0)+1)), "")&lt;&gt;"", IFERROR(INDEX(ERP資料!$A:$A, (MATCH(849, 輔助計算!$F$2:$F$801, 0)+1)), "")&lt;&gt;IFERROR(INDEX(ERP資料!$A:$A, MATCH(848, 輔助計算!$F$2:$F$801, 0)+1), "")), IFERROR(INDEX(ERP資料!$A:$A, (MATCH(849, 輔助計算!$F$2:$F$801, 0)+1)), ""), ""), "")</f>
        <v/>
      </c>
      <c r="C850" s="10">
        <f>IFERROR(IF(AND(IFERROR(INDEX(ERP資料!$A:$A, (MATCH(849, 輔助計算!$F$2:$F$801, 0)+1)), "")&lt;&gt;"", IFERROR(INDEX(ERP資料!$A:$A, (MATCH(849, 輔助計算!$F$2:$F$801, 0)+1)), "")&lt;&gt;IFERROR(INDEX(ERP資料!$A:$A, MATCH(848, 輔助計算!$F$2:$F$801, 0)+1), "")), INDEX(ERP資料!$S:$S, (MATCH(849, 輔助計算!$F$2:$F$801, 0)+1)), ""), "")</f>
        <v/>
      </c>
      <c r="D850" s="10">
        <f>IFERROR(IF(INDEX(ERP資料!$E:$E, (MATCH(849, 輔助計算!$F$2:$F$801, 0)+1))="","",TRIM(INDEX(ERP資料!$E:$E, (MATCH(849, 輔助計算!$F$2:$F$801, 0)+1)))), "")</f>
        <v/>
      </c>
      <c r="E850" s="10">
        <f>IFERROR(IF(INDEX(ERP資料!$F:$F, (MATCH(849, 輔助計算!$F$2:$F$801, 0)+1))="","",INDEX(ERP資料!$F:$F, (MATCH(849, 輔助計算!$F$2:$F$801, 0)+1))), "")</f>
        <v/>
      </c>
      <c r="F850" s="10">
        <f>IFERROR(IF(INDEX(ERP資料!$G:$G, (MATCH(849, 輔助計算!$F$2:$F$801, 0)+1))="","",INDEX(ERP資料!$G:$G, (MATCH(849, 輔助計算!$F$2:$F$801, 0)+1))), "")</f>
        <v/>
      </c>
      <c r="G850" s="10">
        <f>IFERROR(IF(INDEX(ERP資料!$H:$H, (MATCH(849, 輔助計算!$F$2:$F$801, 0)+1))="","",INDEX(ERP資料!$H:$H, (MATCH(849, 輔助計算!$F$2:$F$801, 0)+1))), "")</f>
        <v/>
      </c>
      <c r="H850" s="10">
        <f>IFERROR(IF(INDEX(ERP資料!$O:$O, (MATCH(849, 輔助計算!$F$2:$F$801, 0)+1))="","",INDEX(ERP資料!$O:$O, (MATCH(849, 輔助計算!$F$2:$F$801, 0)+1))), "")</f>
        <v/>
      </c>
      <c r="I850" s="15">
        <f>IFERROR(IF(INDEX(輔助計算!$D:$D,(MATCH(849, 輔助計算!$F$2:$F$801, 0)+1))="","",INDEX(輔助計算!$D:$D,(MATCH(849, 輔助計算!$F$2:$F$801, 0)+1))*INDEX(ERP資料!$O:$O,(MATCH(849, 輔助計算!$F$2:$F$801, 0)+1))), "")</f>
        <v/>
      </c>
      <c r="J850" s="16" t="n"/>
      <c r="K850" s="15">
        <f>IFERROR(INDEX(輔助計算!$D:$D, (MATCH(849, 輔助計算!$F$2:$F$801, 0)+1)), "")</f>
        <v/>
      </c>
      <c r="L850" s="16">
        <f>IFERROR(IF(AND(IFERROR(VLOOKUP(LEFT(INDEX(ERP資料!$S:$S, (MATCH(849, 輔助計算!$F$2:$F$801, 0)+1)), 4), 100張客戶!$A:$A, 1, FALSE), "")&lt;&gt;"", OR(INDEX(ERP資料!$F:$F, (MATCH(849, 輔助計算!$F$2:$F$801, 0)+1))=270, INDEX(ERP資料!$F:$F, (MATCH(849, 輔助計算!$F$2:$F$801, 0)+1))=300)), "100張", ""), "")</f>
        <v/>
      </c>
      <c r="M850" s="17" t="n"/>
      <c r="N850" s="17">
        <f>IF($F850="","",$F850)</f>
        <v/>
      </c>
      <c r="O850" s="17">
        <f>IF($G850="","",$G850)</f>
        <v/>
      </c>
      <c r="P850" s="17">
        <f>IF($K850="","",$K850)</f>
        <v/>
      </c>
      <c r="Q850" s="16" t="n"/>
      <c r="R850" s="18" t="n"/>
      <c r="S850" s="16" t="n"/>
    </row>
    <row r="851">
      <c r="A851" s="14">
        <f>IFERROR(IF(AND(IFERROR(INDEX(ERP資料!$A:$A, (MATCH(850, 輔助計算!$F$2:$F$801, 0)+1)), "")&lt;&gt;"", IFERROR(INDEX(ERP資料!$A:$A, (MATCH(850, 輔助計算!$F$2:$F$801, 0)+1)), "")&lt;&gt;IFERROR(INDEX(ERP資料!$A:$A, MATCH(849, 輔助計算!$F$2:$F$801, 0)+1), "")), INDEX(ERP資料!$B:$B, (MATCH(850, 輔助計算!$F$2:$F$801, 0)+1)), ""), "")</f>
        <v/>
      </c>
      <c r="B851" s="10">
        <f>IFERROR(IF(AND(IFERROR(INDEX(ERP資料!$A:$A, (MATCH(850, 輔助計算!$F$2:$F$801, 0)+1)), "")&lt;&gt;"", IFERROR(INDEX(ERP資料!$A:$A, (MATCH(850, 輔助計算!$F$2:$F$801, 0)+1)), "")&lt;&gt;IFERROR(INDEX(ERP資料!$A:$A, MATCH(849, 輔助計算!$F$2:$F$801, 0)+1), "")), IFERROR(INDEX(ERP資料!$A:$A, (MATCH(850, 輔助計算!$F$2:$F$801, 0)+1)), ""), ""), "")</f>
        <v/>
      </c>
      <c r="C851" s="10">
        <f>IFERROR(IF(AND(IFERROR(INDEX(ERP資料!$A:$A, (MATCH(850, 輔助計算!$F$2:$F$801, 0)+1)), "")&lt;&gt;"", IFERROR(INDEX(ERP資料!$A:$A, (MATCH(850, 輔助計算!$F$2:$F$801, 0)+1)), "")&lt;&gt;IFERROR(INDEX(ERP資料!$A:$A, MATCH(849, 輔助計算!$F$2:$F$801, 0)+1), "")), INDEX(ERP資料!$S:$S, (MATCH(850, 輔助計算!$F$2:$F$801, 0)+1)), ""), "")</f>
        <v/>
      </c>
      <c r="D851" s="10">
        <f>IFERROR(IF(INDEX(ERP資料!$E:$E, (MATCH(850, 輔助計算!$F$2:$F$801, 0)+1))="","",TRIM(INDEX(ERP資料!$E:$E, (MATCH(850, 輔助計算!$F$2:$F$801, 0)+1)))), "")</f>
        <v/>
      </c>
      <c r="E851" s="10">
        <f>IFERROR(IF(INDEX(ERP資料!$F:$F, (MATCH(850, 輔助計算!$F$2:$F$801, 0)+1))="","",INDEX(ERP資料!$F:$F, (MATCH(850, 輔助計算!$F$2:$F$801, 0)+1))), "")</f>
        <v/>
      </c>
      <c r="F851" s="10">
        <f>IFERROR(IF(INDEX(ERP資料!$G:$G, (MATCH(850, 輔助計算!$F$2:$F$801, 0)+1))="","",INDEX(ERP資料!$G:$G, (MATCH(850, 輔助計算!$F$2:$F$801, 0)+1))), "")</f>
        <v/>
      </c>
      <c r="G851" s="10">
        <f>IFERROR(IF(INDEX(ERP資料!$H:$H, (MATCH(850, 輔助計算!$F$2:$F$801, 0)+1))="","",INDEX(ERP資料!$H:$H, (MATCH(850, 輔助計算!$F$2:$F$801, 0)+1))), "")</f>
        <v/>
      </c>
      <c r="H851" s="10">
        <f>IFERROR(IF(INDEX(ERP資料!$O:$O, (MATCH(850, 輔助計算!$F$2:$F$801, 0)+1))="","",INDEX(ERP資料!$O:$O, (MATCH(850, 輔助計算!$F$2:$F$801, 0)+1))), "")</f>
        <v/>
      </c>
      <c r="I851" s="15">
        <f>IFERROR(IF(INDEX(輔助計算!$D:$D,(MATCH(850, 輔助計算!$F$2:$F$801, 0)+1))="","",INDEX(輔助計算!$D:$D,(MATCH(850, 輔助計算!$F$2:$F$801, 0)+1))*INDEX(ERP資料!$O:$O,(MATCH(850, 輔助計算!$F$2:$F$801, 0)+1))), "")</f>
        <v/>
      </c>
      <c r="J851" s="16" t="n"/>
      <c r="K851" s="15">
        <f>IFERROR(INDEX(輔助計算!$D:$D, (MATCH(850, 輔助計算!$F$2:$F$801, 0)+1)), "")</f>
        <v/>
      </c>
      <c r="L851" s="16">
        <f>IFERROR(IF(AND(IFERROR(VLOOKUP(LEFT(INDEX(ERP資料!$S:$S, (MATCH(850, 輔助計算!$F$2:$F$801, 0)+1)), 4), 100張客戶!$A:$A, 1, FALSE), "")&lt;&gt;"", OR(INDEX(ERP資料!$F:$F, (MATCH(850, 輔助計算!$F$2:$F$801, 0)+1))=270, INDEX(ERP資料!$F:$F, (MATCH(850, 輔助計算!$F$2:$F$801, 0)+1))=300)), "100張", ""), "")</f>
        <v/>
      </c>
      <c r="M851" s="17" t="n"/>
      <c r="N851" s="17">
        <f>IF($F851="","",$F851)</f>
        <v/>
      </c>
      <c r="O851" s="17">
        <f>IF($G851="","",$G851)</f>
        <v/>
      </c>
      <c r="P851" s="17">
        <f>IF($K851="","",$K851)</f>
        <v/>
      </c>
      <c r="Q851" s="16" t="n"/>
      <c r="R851" s="18" t="n"/>
      <c r="S851" s="16" t="n"/>
    </row>
    <row r="852">
      <c r="A852" s="14">
        <f>IFERROR(IF(AND(IFERROR(INDEX(ERP資料!$A:$A, (MATCH(851, 輔助計算!$F$2:$F$801, 0)+1)), "")&lt;&gt;"", IFERROR(INDEX(ERP資料!$A:$A, (MATCH(851, 輔助計算!$F$2:$F$801, 0)+1)), "")&lt;&gt;IFERROR(INDEX(ERP資料!$A:$A, MATCH(850, 輔助計算!$F$2:$F$801, 0)+1), "")), INDEX(ERP資料!$B:$B, (MATCH(851, 輔助計算!$F$2:$F$801, 0)+1)), ""), "")</f>
        <v/>
      </c>
      <c r="B852" s="10">
        <f>IFERROR(IF(AND(IFERROR(INDEX(ERP資料!$A:$A, (MATCH(851, 輔助計算!$F$2:$F$801, 0)+1)), "")&lt;&gt;"", IFERROR(INDEX(ERP資料!$A:$A, (MATCH(851, 輔助計算!$F$2:$F$801, 0)+1)), "")&lt;&gt;IFERROR(INDEX(ERP資料!$A:$A, MATCH(850, 輔助計算!$F$2:$F$801, 0)+1), "")), IFERROR(INDEX(ERP資料!$A:$A, (MATCH(851, 輔助計算!$F$2:$F$801, 0)+1)), ""), ""), "")</f>
        <v/>
      </c>
      <c r="C852" s="10">
        <f>IFERROR(IF(AND(IFERROR(INDEX(ERP資料!$A:$A, (MATCH(851, 輔助計算!$F$2:$F$801, 0)+1)), "")&lt;&gt;"", IFERROR(INDEX(ERP資料!$A:$A, (MATCH(851, 輔助計算!$F$2:$F$801, 0)+1)), "")&lt;&gt;IFERROR(INDEX(ERP資料!$A:$A, MATCH(850, 輔助計算!$F$2:$F$801, 0)+1), "")), INDEX(ERP資料!$S:$S, (MATCH(851, 輔助計算!$F$2:$F$801, 0)+1)), ""), "")</f>
        <v/>
      </c>
      <c r="D852" s="10">
        <f>IFERROR(IF(INDEX(ERP資料!$E:$E, (MATCH(851, 輔助計算!$F$2:$F$801, 0)+1))="","",TRIM(INDEX(ERP資料!$E:$E, (MATCH(851, 輔助計算!$F$2:$F$801, 0)+1)))), "")</f>
        <v/>
      </c>
      <c r="E852" s="10">
        <f>IFERROR(IF(INDEX(ERP資料!$F:$F, (MATCH(851, 輔助計算!$F$2:$F$801, 0)+1))="","",INDEX(ERP資料!$F:$F, (MATCH(851, 輔助計算!$F$2:$F$801, 0)+1))), "")</f>
        <v/>
      </c>
      <c r="F852" s="10">
        <f>IFERROR(IF(INDEX(ERP資料!$G:$G, (MATCH(851, 輔助計算!$F$2:$F$801, 0)+1))="","",INDEX(ERP資料!$G:$G, (MATCH(851, 輔助計算!$F$2:$F$801, 0)+1))), "")</f>
        <v/>
      </c>
      <c r="G852" s="10">
        <f>IFERROR(IF(INDEX(ERP資料!$H:$H, (MATCH(851, 輔助計算!$F$2:$F$801, 0)+1))="","",INDEX(ERP資料!$H:$H, (MATCH(851, 輔助計算!$F$2:$F$801, 0)+1))), "")</f>
        <v/>
      </c>
      <c r="H852" s="10">
        <f>IFERROR(IF(INDEX(ERP資料!$O:$O, (MATCH(851, 輔助計算!$F$2:$F$801, 0)+1))="","",INDEX(ERP資料!$O:$O, (MATCH(851, 輔助計算!$F$2:$F$801, 0)+1))), "")</f>
        <v/>
      </c>
      <c r="I852" s="15">
        <f>IFERROR(IF(INDEX(輔助計算!$D:$D,(MATCH(851, 輔助計算!$F$2:$F$801, 0)+1))="","",INDEX(輔助計算!$D:$D,(MATCH(851, 輔助計算!$F$2:$F$801, 0)+1))*INDEX(ERP資料!$O:$O,(MATCH(851, 輔助計算!$F$2:$F$801, 0)+1))), "")</f>
        <v/>
      </c>
      <c r="J852" s="16" t="n"/>
      <c r="K852" s="15">
        <f>IFERROR(INDEX(輔助計算!$D:$D, (MATCH(851, 輔助計算!$F$2:$F$801, 0)+1)), "")</f>
        <v/>
      </c>
      <c r="L852" s="16">
        <f>IFERROR(IF(AND(IFERROR(VLOOKUP(LEFT(INDEX(ERP資料!$S:$S, (MATCH(851, 輔助計算!$F$2:$F$801, 0)+1)), 4), 100張客戶!$A:$A, 1, FALSE), "")&lt;&gt;"", OR(INDEX(ERP資料!$F:$F, (MATCH(851, 輔助計算!$F$2:$F$801, 0)+1))=270, INDEX(ERP資料!$F:$F, (MATCH(851, 輔助計算!$F$2:$F$801, 0)+1))=300)), "100張", ""), "")</f>
        <v/>
      </c>
      <c r="M852" s="17" t="n"/>
      <c r="N852" s="17">
        <f>IF($F852="","",$F852)</f>
        <v/>
      </c>
      <c r="O852" s="17">
        <f>IF($G852="","",$G852)</f>
        <v/>
      </c>
      <c r="P852" s="17">
        <f>IF($K852="","",$K852)</f>
        <v/>
      </c>
      <c r="Q852" s="16" t="n"/>
      <c r="R852" s="18" t="n"/>
      <c r="S852" s="16" t="n"/>
    </row>
    <row r="853">
      <c r="A853" s="14">
        <f>IFERROR(IF(AND(IFERROR(INDEX(ERP資料!$A:$A, (MATCH(852, 輔助計算!$F$2:$F$801, 0)+1)), "")&lt;&gt;"", IFERROR(INDEX(ERP資料!$A:$A, (MATCH(852, 輔助計算!$F$2:$F$801, 0)+1)), "")&lt;&gt;IFERROR(INDEX(ERP資料!$A:$A, MATCH(851, 輔助計算!$F$2:$F$801, 0)+1), "")), INDEX(ERP資料!$B:$B, (MATCH(852, 輔助計算!$F$2:$F$801, 0)+1)), ""), "")</f>
        <v/>
      </c>
      <c r="B853" s="10">
        <f>IFERROR(IF(AND(IFERROR(INDEX(ERP資料!$A:$A, (MATCH(852, 輔助計算!$F$2:$F$801, 0)+1)), "")&lt;&gt;"", IFERROR(INDEX(ERP資料!$A:$A, (MATCH(852, 輔助計算!$F$2:$F$801, 0)+1)), "")&lt;&gt;IFERROR(INDEX(ERP資料!$A:$A, MATCH(851, 輔助計算!$F$2:$F$801, 0)+1), "")), IFERROR(INDEX(ERP資料!$A:$A, (MATCH(852, 輔助計算!$F$2:$F$801, 0)+1)), ""), ""), "")</f>
        <v/>
      </c>
      <c r="C853" s="10">
        <f>IFERROR(IF(AND(IFERROR(INDEX(ERP資料!$A:$A, (MATCH(852, 輔助計算!$F$2:$F$801, 0)+1)), "")&lt;&gt;"", IFERROR(INDEX(ERP資料!$A:$A, (MATCH(852, 輔助計算!$F$2:$F$801, 0)+1)), "")&lt;&gt;IFERROR(INDEX(ERP資料!$A:$A, MATCH(851, 輔助計算!$F$2:$F$801, 0)+1), "")), INDEX(ERP資料!$S:$S, (MATCH(852, 輔助計算!$F$2:$F$801, 0)+1)), ""), "")</f>
        <v/>
      </c>
      <c r="D853" s="10">
        <f>IFERROR(IF(INDEX(ERP資料!$E:$E, (MATCH(852, 輔助計算!$F$2:$F$801, 0)+1))="","",TRIM(INDEX(ERP資料!$E:$E, (MATCH(852, 輔助計算!$F$2:$F$801, 0)+1)))), "")</f>
        <v/>
      </c>
      <c r="E853" s="10">
        <f>IFERROR(IF(INDEX(ERP資料!$F:$F, (MATCH(852, 輔助計算!$F$2:$F$801, 0)+1))="","",INDEX(ERP資料!$F:$F, (MATCH(852, 輔助計算!$F$2:$F$801, 0)+1))), "")</f>
        <v/>
      </c>
      <c r="F853" s="10">
        <f>IFERROR(IF(INDEX(ERP資料!$G:$G, (MATCH(852, 輔助計算!$F$2:$F$801, 0)+1))="","",INDEX(ERP資料!$G:$G, (MATCH(852, 輔助計算!$F$2:$F$801, 0)+1))), "")</f>
        <v/>
      </c>
      <c r="G853" s="10">
        <f>IFERROR(IF(INDEX(ERP資料!$H:$H, (MATCH(852, 輔助計算!$F$2:$F$801, 0)+1))="","",INDEX(ERP資料!$H:$H, (MATCH(852, 輔助計算!$F$2:$F$801, 0)+1))), "")</f>
        <v/>
      </c>
      <c r="H853" s="10">
        <f>IFERROR(IF(INDEX(ERP資料!$O:$O, (MATCH(852, 輔助計算!$F$2:$F$801, 0)+1))="","",INDEX(ERP資料!$O:$O, (MATCH(852, 輔助計算!$F$2:$F$801, 0)+1))), "")</f>
        <v/>
      </c>
      <c r="I853" s="15">
        <f>IFERROR(IF(INDEX(輔助計算!$D:$D,(MATCH(852, 輔助計算!$F$2:$F$801, 0)+1))="","",INDEX(輔助計算!$D:$D,(MATCH(852, 輔助計算!$F$2:$F$801, 0)+1))*INDEX(ERP資料!$O:$O,(MATCH(852, 輔助計算!$F$2:$F$801, 0)+1))), "")</f>
        <v/>
      </c>
      <c r="J853" s="16" t="n"/>
      <c r="K853" s="15">
        <f>IFERROR(INDEX(輔助計算!$D:$D, (MATCH(852, 輔助計算!$F$2:$F$801, 0)+1)), "")</f>
        <v/>
      </c>
      <c r="L853" s="16">
        <f>IFERROR(IF(AND(IFERROR(VLOOKUP(LEFT(INDEX(ERP資料!$S:$S, (MATCH(852, 輔助計算!$F$2:$F$801, 0)+1)), 4), 100張客戶!$A:$A, 1, FALSE), "")&lt;&gt;"", OR(INDEX(ERP資料!$F:$F, (MATCH(852, 輔助計算!$F$2:$F$801, 0)+1))=270, INDEX(ERP資料!$F:$F, (MATCH(852, 輔助計算!$F$2:$F$801, 0)+1))=300)), "100張", ""), "")</f>
        <v/>
      </c>
      <c r="M853" s="17" t="n"/>
      <c r="N853" s="17">
        <f>IF($F853="","",$F853)</f>
        <v/>
      </c>
      <c r="O853" s="17">
        <f>IF($G853="","",$G853)</f>
        <v/>
      </c>
      <c r="P853" s="17">
        <f>IF($K853="","",$K853)</f>
        <v/>
      </c>
      <c r="Q853" s="16" t="n"/>
      <c r="R853" s="18" t="n"/>
      <c r="S853" s="16" t="n"/>
    </row>
    <row r="854">
      <c r="A854" s="14">
        <f>IFERROR(IF(AND(IFERROR(INDEX(ERP資料!$A:$A, (MATCH(853, 輔助計算!$F$2:$F$801, 0)+1)), "")&lt;&gt;"", IFERROR(INDEX(ERP資料!$A:$A, (MATCH(853, 輔助計算!$F$2:$F$801, 0)+1)), "")&lt;&gt;IFERROR(INDEX(ERP資料!$A:$A, MATCH(852, 輔助計算!$F$2:$F$801, 0)+1), "")), INDEX(ERP資料!$B:$B, (MATCH(853, 輔助計算!$F$2:$F$801, 0)+1)), ""), "")</f>
        <v/>
      </c>
      <c r="B854" s="10">
        <f>IFERROR(IF(AND(IFERROR(INDEX(ERP資料!$A:$A, (MATCH(853, 輔助計算!$F$2:$F$801, 0)+1)), "")&lt;&gt;"", IFERROR(INDEX(ERP資料!$A:$A, (MATCH(853, 輔助計算!$F$2:$F$801, 0)+1)), "")&lt;&gt;IFERROR(INDEX(ERP資料!$A:$A, MATCH(852, 輔助計算!$F$2:$F$801, 0)+1), "")), IFERROR(INDEX(ERP資料!$A:$A, (MATCH(853, 輔助計算!$F$2:$F$801, 0)+1)), ""), ""), "")</f>
        <v/>
      </c>
      <c r="C854" s="10">
        <f>IFERROR(IF(AND(IFERROR(INDEX(ERP資料!$A:$A, (MATCH(853, 輔助計算!$F$2:$F$801, 0)+1)), "")&lt;&gt;"", IFERROR(INDEX(ERP資料!$A:$A, (MATCH(853, 輔助計算!$F$2:$F$801, 0)+1)), "")&lt;&gt;IFERROR(INDEX(ERP資料!$A:$A, MATCH(852, 輔助計算!$F$2:$F$801, 0)+1), "")), INDEX(ERP資料!$S:$S, (MATCH(853, 輔助計算!$F$2:$F$801, 0)+1)), ""), "")</f>
        <v/>
      </c>
      <c r="D854" s="10">
        <f>IFERROR(IF(INDEX(ERP資料!$E:$E, (MATCH(853, 輔助計算!$F$2:$F$801, 0)+1))="","",TRIM(INDEX(ERP資料!$E:$E, (MATCH(853, 輔助計算!$F$2:$F$801, 0)+1)))), "")</f>
        <v/>
      </c>
      <c r="E854" s="10">
        <f>IFERROR(IF(INDEX(ERP資料!$F:$F, (MATCH(853, 輔助計算!$F$2:$F$801, 0)+1))="","",INDEX(ERP資料!$F:$F, (MATCH(853, 輔助計算!$F$2:$F$801, 0)+1))), "")</f>
        <v/>
      </c>
      <c r="F854" s="10">
        <f>IFERROR(IF(INDEX(ERP資料!$G:$G, (MATCH(853, 輔助計算!$F$2:$F$801, 0)+1))="","",INDEX(ERP資料!$G:$G, (MATCH(853, 輔助計算!$F$2:$F$801, 0)+1))), "")</f>
        <v/>
      </c>
      <c r="G854" s="10">
        <f>IFERROR(IF(INDEX(ERP資料!$H:$H, (MATCH(853, 輔助計算!$F$2:$F$801, 0)+1))="","",INDEX(ERP資料!$H:$H, (MATCH(853, 輔助計算!$F$2:$F$801, 0)+1))), "")</f>
        <v/>
      </c>
      <c r="H854" s="10">
        <f>IFERROR(IF(INDEX(ERP資料!$O:$O, (MATCH(853, 輔助計算!$F$2:$F$801, 0)+1))="","",INDEX(ERP資料!$O:$O, (MATCH(853, 輔助計算!$F$2:$F$801, 0)+1))), "")</f>
        <v/>
      </c>
      <c r="I854" s="15">
        <f>IFERROR(IF(INDEX(輔助計算!$D:$D,(MATCH(853, 輔助計算!$F$2:$F$801, 0)+1))="","",INDEX(輔助計算!$D:$D,(MATCH(853, 輔助計算!$F$2:$F$801, 0)+1))*INDEX(ERP資料!$O:$O,(MATCH(853, 輔助計算!$F$2:$F$801, 0)+1))), "")</f>
        <v/>
      </c>
      <c r="J854" s="16" t="n"/>
      <c r="K854" s="15">
        <f>IFERROR(INDEX(輔助計算!$D:$D, (MATCH(853, 輔助計算!$F$2:$F$801, 0)+1)), "")</f>
        <v/>
      </c>
      <c r="L854" s="16">
        <f>IFERROR(IF(AND(IFERROR(VLOOKUP(LEFT(INDEX(ERP資料!$S:$S, (MATCH(853, 輔助計算!$F$2:$F$801, 0)+1)), 4), 100張客戶!$A:$A, 1, FALSE), "")&lt;&gt;"", OR(INDEX(ERP資料!$F:$F, (MATCH(853, 輔助計算!$F$2:$F$801, 0)+1))=270, INDEX(ERP資料!$F:$F, (MATCH(853, 輔助計算!$F$2:$F$801, 0)+1))=300)), "100張", ""), "")</f>
        <v/>
      </c>
      <c r="M854" s="17" t="n"/>
      <c r="N854" s="17">
        <f>IF($F854="","",$F854)</f>
        <v/>
      </c>
      <c r="O854" s="17">
        <f>IF($G854="","",$G854)</f>
        <v/>
      </c>
      <c r="P854" s="17">
        <f>IF($K854="","",$K854)</f>
        <v/>
      </c>
      <c r="Q854" s="16" t="n"/>
      <c r="R854" s="18" t="n"/>
      <c r="S854" s="16" t="n"/>
    </row>
    <row r="855">
      <c r="A855" s="14">
        <f>IFERROR(IF(AND(IFERROR(INDEX(ERP資料!$A:$A, (MATCH(854, 輔助計算!$F$2:$F$801, 0)+1)), "")&lt;&gt;"", IFERROR(INDEX(ERP資料!$A:$A, (MATCH(854, 輔助計算!$F$2:$F$801, 0)+1)), "")&lt;&gt;IFERROR(INDEX(ERP資料!$A:$A, MATCH(853, 輔助計算!$F$2:$F$801, 0)+1), "")), INDEX(ERP資料!$B:$B, (MATCH(854, 輔助計算!$F$2:$F$801, 0)+1)), ""), "")</f>
        <v/>
      </c>
      <c r="B855" s="10">
        <f>IFERROR(IF(AND(IFERROR(INDEX(ERP資料!$A:$A, (MATCH(854, 輔助計算!$F$2:$F$801, 0)+1)), "")&lt;&gt;"", IFERROR(INDEX(ERP資料!$A:$A, (MATCH(854, 輔助計算!$F$2:$F$801, 0)+1)), "")&lt;&gt;IFERROR(INDEX(ERP資料!$A:$A, MATCH(853, 輔助計算!$F$2:$F$801, 0)+1), "")), IFERROR(INDEX(ERP資料!$A:$A, (MATCH(854, 輔助計算!$F$2:$F$801, 0)+1)), ""), ""), "")</f>
        <v/>
      </c>
      <c r="C855" s="10">
        <f>IFERROR(IF(AND(IFERROR(INDEX(ERP資料!$A:$A, (MATCH(854, 輔助計算!$F$2:$F$801, 0)+1)), "")&lt;&gt;"", IFERROR(INDEX(ERP資料!$A:$A, (MATCH(854, 輔助計算!$F$2:$F$801, 0)+1)), "")&lt;&gt;IFERROR(INDEX(ERP資料!$A:$A, MATCH(853, 輔助計算!$F$2:$F$801, 0)+1), "")), INDEX(ERP資料!$S:$S, (MATCH(854, 輔助計算!$F$2:$F$801, 0)+1)), ""), "")</f>
        <v/>
      </c>
      <c r="D855" s="10">
        <f>IFERROR(IF(INDEX(ERP資料!$E:$E, (MATCH(854, 輔助計算!$F$2:$F$801, 0)+1))="","",TRIM(INDEX(ERP資料!$E:$E, (MATCH(854, 輔助計算!$F$2:$F$801, 0)+1)))), "")</f>
        <v/>
      </c>
      <c r="E855" s="10">
        <f>IFERROR(IF(INDEX(ERP資料!$F:$F, (MATCH(854, 輔助計算!$F$2:$F$801, 0)+1))="","",INDEX(ERP資料!$F:$F, (MATCH(854, 輔助計算!$F$2:$F$801, 0)+1))), "")</f>
        <v/>
      </c>
      <c r="F855" s="10">
        <f>IFERROR(IF(INDEX(ERP資料!$G:$G, (MATCH(854, 輔助計算!$F$2:$F$801, 0)+1))="","",INDEX(ERP資料!$G:$G, (MATCH(854, 輔助計算!$F$2:$F$801, 0)+1))), "")</f>
        <v/>
      </c>
      <c r="G855" s="10">
        <f>IFERROR(IF(INDEX(ERP資料!$H:$H, (MATCH(854, 輔助計算!$F$2:$F$801, 0)+1))="","",INDEX(ERP資料!$H:$H, (MATCH(854, 輔助計算!$F$2:$F$801, 0)+1))), "")</f>
        <v/>
      </c>
      <c r="H855" s="10">
        <f>IFERROR(IF(INDEX(ERP資料!$O:$O, (MATCH(854, 輔助計算!$F$2:$F$801, 0)+1))="","",INDEX(ERP資料!$O:$O, (MATCH(854, 輔助計算!$F$2:$F$801, 0)+1))), "")</f>
        <v/>
      </c>
      <c r="I855" s="15">
        <f>IFERROR(IF(INDEX(輔助計算!$D:$D,(MATCH(854, 輔助計算!$F$2:$F$801, 0)+1))="","",INDEX(輔助計算!$D:$D,(MATCH(854, 輔助計算!$F$2:$F$801, 0)+1))*INDEX(ERP資料!$O:$O,(MATCH(854, 輔助計算!$F$2:$F$801, 0)+1))), "")</f>
        <v/>
      </c>
      <c r="J855" s="16" t="n"/>
      <c r="K855" s="15">
        <f>IFERROR(INDEX(輔助計算!$D:$D, (MATCH(854, 輔助計算!$F$2:$F$801, 0)+1)), "")</f>
        <v/>
      </c>
      <c r="L855" s="16">
        <f>IFERROR(IF(AND(IFERROR(VLOOKUP(LEFT(INDEX(ERP資料!$S:$S, (MATCH(854, 輔助計算!$F$2:$F$801, 0)+1)), 4), 100張客戶!$A:$A, 1, FALSE), "")&lt;&gt;"", OR(INDEX(ERP資料!$F:$F, (MATCH(854, 輔助計算!$F$2:$F$801, 0)+1))=270, INDEX(ERP資料!$F:$F, (MATCH(854, 輔助計算!$F$2:$F$801, 0)+1))=300)), "100張", ""), "")</f>
        <v/>
      </c>
      <c r="M855" s="17" t="n"/>
      <c r="N855" s="17">
        <f>IF($F855="","",$F855)</f>
        <v/>
      </c>
      <c r="O855" s="17">
        <f>IF($G855="","",$G855)</f>
        <v/>
      </c>
      <c r="P855" s="17">
        <f>IF($K855="","",$K855)</f>
        <v/>
      </c>
      <c r="Q855" s="16" t="n"/>
      <c r="R855" s="18" t="n"/>
      <c r="S855" s="16" t="n"/>
    </row>
    <row r="856">
      <c r="A856" s="14">
        <f>IFERROR(IF(AND(IFERROR(INDEX(ERP資料!$A:$A, (MATCH(855, 輔助計算!$F$2:$F$801, 0)+1)), "")&lt;&gt;"", IFERROR(INDEX(ERP資料!$A:$A, (MATCH(855, 輔助計算!$F$2:$F$801, 0)+1)), "")&lt;&gt;IFERROR(INDEX(ERP資料!$A:$A, MATCH(854, 輔助計算!$F$2:$F$801, 0)+1), "")), INDEX(ERP資料!$B:$B, (MATCH(855, 輔助計算!$F$2:$F$801, 0)+1)), ""), "")</f>
        <v/>
      </c>
      <c r="B856" s="10">
        <f>IFERROR(IF(AND(IFERROR(INDEX(ERP資料!$A:$A, (MATCH(855, 輔助計算!$F$2:$F$801, 0)+1)), "")&lt;&gt;"", IFERROR(INDEX(ERP資料!$A:$A, (MATCH(855, 輔助計算!$F$2:$F$801, 0)+1)), "")&lt;&gt;IFERROR(INDEX(ERP資料!$A:$A, MATCH(854, 輔助計算!$F$2:$F$801, 0)+1), "")), IFERROR(INDEX(ERP資料!$A:$A, (MATCH(855, 輔助計算!$F$2:$F$801, 0)+1)), ""), ""), "")</f>
        <v/>
      </c>
      <c r="C856" s="10">
        <f>IFERROR(IF(AND(IFERROR(INDEX(ERP資料!$A:$A, (MATCH(855, 輔助計算!$F$2:$F$801, 0)+1)), "")&lt;&gt;"", IFERROR(INDEX(ERP資料!$A:$A, (MATCH(855, 輔助計算!$F$2:$F$801, 0)+1)), "")&lt;&gt;IFERROR(INDEX(ERP資料!$A:$A, MATCH(854, 輔助計算!$F$2:$F$801, 0)+1), "")), INDEX(ERP資料!$S:$S, (MATCH(855, 輔助計算!$F$2:$F$801, 0)+1)), ""), "")</f>
        <v/>
      </c>
      <c r="D856" s="10">
        <f>IFERROR(IF(INDEX(ERP資料!$E:$E, (MATCH(855, 輔助計算!$F$2:$F$801, 0)+1))="","",TRIM(INDEX(ERP資料!$E:$E, (MATCH(855, 輔助計算!$F$2:$F$801, 0)+1)))), "")</f>
        <v/>
      </c>
      <c r="E856" s="10">
        <f>IFERROR(IF(INDEX(ERP資料!$F:$F, (MATCH(855, 輔助計算!$F$2:$F$801, 0)+1))="","",INDEX(ERP資料!$F:$F, (MATCH(855, 輔助計算!$F$2:$F$801, 0)+1))), "")</f>
        <v/>
      </c>
      <c r="F856" s="10">
        <f>IFERROR(IF(INDEX(ERP資料!$G:$G, (MATCH(855, 輔助計算!$F$2:$F$801, 0)+1))="","",INDEX(ERP資料!$G:$G, (MATCH(855, 輔助計算!$F$2:$F$801, 0)+1))), "")</f>
        <v/>
      </c>
      <c r="G856" s="10">
        <f>IFERROR(IF(INDEX(ERP資料!$H:$H, (MATCH(855, 輔助計算!$F$2:$F$801, 0)+1))="","",INDEX(ERP資料!$H:$H, (MATCH(855, 輔助計算!$F$2:$F$801, 0)+1))), "")</f>
        <v/>
      </c>
      <c r="H856" s="10">
        <f>IFERROR(IF(INDEX(ERP資料!$O:$O, (MATCH(855, 輔助計算!$F$2:$F$801, 0)+1))="","",INDEX(ERP資料!$O:$O, (MATCH(855, 輔助計算!$F$2:$F$801, 0)+1))), "")</f>
        <v/>
      </c>
      <c r="I856" s="15">
        <f>IFERROR(IF(INDEX(輔助計算!$D:$D,(MATCH(855, 輔助計算!$F$2:$F$801, 0)+1))="","",INDEX(輔助計算!$D:$D,(MATCH(855, 輔助計算!$F$2:$F$801, 0)+1))*INDEX(ERP資料!$O:$O,(MATCH(855, 輔助計算!$F$2:$F$801, 0)+1))), "")</f>
        <v/>
      </c>
      <c r="J856" s="16" t="n"/>
      <c r="K856" s="15">
        <f>IFERROR(INDEX(輔助計算!$D:$D, (MATCH(855, 輔助計算!$F$2:$F$801, 0)+1)), "")</f>
        <v/>
      </c>
      <c r="L856" s="16">
        <f>IFERROR(IF(AND(IFERROR(VLOOKUP(LEFT(INDEX(ERP資料!$S:$S, (MATCH(855, 輔助計算!$F$2:$F$801, 0)+1)), 4), 100張客戶!$A:$A, 1, FALSE), "")&lt;&gt;"", OR(INDEX(ERP資料!$F:$F, (MATCH(855, 輔助計算!$F$2:$F$801, 0)+1))=270, INDEX(ERP資料!$F:$F, (MATCH(855, 輔助計算!$F$2:$F$801, 0)+1))=300)), "100張", ""), "")</f>
        <v/>
      </c>
      <c r="M856" s="17" t="n"/>
      <c r="N856" s="17">
        <f>IF($F856="","",$F856)</f>
        <v/>
      </c>
      <c r="O856" s="17">
        <f>IF($G856="","",$G856)</f>
        <v/>
      </c>
      <c r="P856" s="17">
        <f>IF($K856="","",$K856)</f>
        <v/>
      </c>
      <c r="Q856" s="16" t="n"/>
      <c r="R856" s="18" t="n"/>
      <c r="S856" s="16" t="n"/>
    </row>
    <row r="857">
      <c r="A857" s="14">
        <f>IFERROR(IF(AND(IFERROR(INDEX(ERP資料!$A:$A, (MATCH(856, 輔助計算!$F$2:$F$801, 0)+1)), "")&lt;&gt;"", IFERROR(INDEX(ERP資料!$A:$A, (MATCH(856, 輔助計算!$F$2:$F$801, 0)+1)), "")&lt;&gt;IFERROR(INDEX(ERP資料!$A:$A, MATCH(855, 輔助計算!$F$2:$F$801, 0)+1), "")), INDEX(ERP資料!$B:$B, (MATCH(856, 輔助計算!$F$2:$F$801, 0)+1)), ""), "")</f>
        <v/>
      </c>
      <c r="B857" s="10">
        <f>IFERROR(IF(AND(IFERROR(INDEX(ERP資料!$A:$A, (MATCH(856, 輔助計算!$F$2:$F$801, 0)+1)), "")&lt;&gt;"", IFERROR(INDEX(ERP資料!$A:$A, (MATCH(856, 輔助計算!$F$2:$F$801, 0)+1)), "")&lt;&gt;IFERROR(INDEX(ERP資料!$A:$A, MATCH(855, 輔助計算!$F$2:$F$801, 0)+1), "")), IFERROR(INDEX(ERP資料!$A:$A, (MATCH(856, 輔助計算!$F$2:$F$801, 0)+1)), ""), ""), "")</f>
        <v/>
      </c>
      <c r="C857" s="10">
        <f>IFERROR(IF(AND(IFERROR(INDEX(ERP資料!$A:$A, (MATCH(856, 輔助計算!$F$2:$F$801, 0)+1)), "")&lt;&gt;"", IFERROR(INDEX(ERP資料!$A:$A, (MATCH(856, 輔助計算!$F$2:$F$801, 0)+1)), "")&lt;&gt;IFERROR(INDEX(ERP資料!$A:$A, MATCH(855, 輔助計算!$F$2:$F$801, 0)+1), "")), INDEX(ERP資料!$S:$S, (MATCH(856, 輔助計算!$F$2:$F$801, 0)+1)), ""), "")</f>
        <v/>
      </c>
      <c r="D857" s="10">
        <f>IFERROR(IF(INDEX(ERP資料!$E:$E, (MATCH(856, 輔助計算!$F$2:$F$801, 0)+1))="","",TRIM(INDEX(ERP資料!$E:$E, (MATCH(856, 輔助計算!$F$2:$F$801, 0)+1)))), "")</f>
        <v/>
      </c>
      <c r="E857" s="10">
        <f>IFERROR(IF(INDEX(ERP資料!$F:$F, (MATCH(856, 輔助計算!$F$2:$F$801, 0)+1))="","",INDEX(ERP資料!$F:$F, (MATCH(856, 輔助計算!$F$2:$F$801, 0)+1))), "")</f>
        <v/>
      </c>
      <c r="F857" s="10">
        <f>IFERROR(IF(INDEX(ERP資料!$G:$G, (MATCH(856, 輔助計算!$F$2:$F$801, 0)+1))="","",INDEX(ERP資料!$G:$G, (MATCH(856, 輔助計算!$F$2:$F$801, 0)+1))), "")</f>
        <v/>
      </c>
      <c r="G857" s="10">
        <f>IFERROR(IF(INDEX(ERP資料!$H:$H, (MATCH(856, 輔助計算!$F$2:$F$801, 0)+1))="","",INDEX(ERP資料!$H:$H, (MATCH(856, 輔助計算!$F$2:$F$801, 0)+1))), "")</f>
        <v/>
      </c>
      <c r="H857" s="10">
        <f>IFERROR(IF(INDEX(ERP資料!$O:$O, (MATCH(856, 輔助計算!$F$2:$F$801, 0)+1))="","",INDEX(ERP資料!$O:$O, (MATCH(856, 輔助計算!$F$2:$F$801, 0)+1))), "")</f>
        <v/>
      </c>
      <c r="I857" s="15">
        <f>IFERROR(IF(INDEX(輔助計算!$D:$D,(MATCH(856, 輔助計算!$F$2:$F$801, 0)+1))="","",INDEX(輔助計算!$D:$D,(MATCH(856, 輔助計算!$F$2:$F$801, 0)+1))*INDEX(ERP資料!$O:$O,(MATCH(856, 輔助計算!$F$2:$F$801, 0)+1))), "")</f>
        <v/>
      </c>
      <c r="J857" s="16" t="n"/>
      <c r="K857" s="15">
        <f>IFERROR(INDEX(輔助計算!$D:$D, (MATCH(856, 輔助計算!$F$2:$F$801, 0)+1)), "")</f>
        <v/>
      </c>
      <c r="L857" s="16">
        <f>IFERROR(IF(AND(IFERROR(VLOOKUP(LEFT(INDEX(ERP資料!$S:$S, (MATCH(856, 輔助計算!$F$2:$F$801, 0)+1)), 4), 100張客戶!$A:$A, 1, FALSE), "")&lt;&gt;"", OR(INDEX(ERP資料!$F:$F, (MATCH(856, 輔助計算!$F$2:$F$801, 0)+1))=270, INDEX(ERP資料!$F:$F, (MATCH(856, 輔助計算!$F$2:$F$801, 0)+1))=300)), "100張", ""), "")</f>
        <v/>
      </c>
      <c r="M857" s="17" t="n"/>
      <c r="N857" s="17">
        <f>IF($F857="","",$F857)</f>
        <v/>
      </c>
      <c r="O857" s="17">
        <f>IF($G857="","",$G857)</f>
        <v/>
      </c>
      <c r="P857" s="17">
        <f>IF($K857="","",$K857)</f>
        <v/>
      </c>
      <c r="Q857" s="16" t="n"/>
      <c r="R857" s="18" t="n"/>
      <c r="S857" s="16" t="n"/>
    </row>
    <row r="858">
      <c r="A858" s="14">
        <f>IFERROR(IF(AND(IFERROR(INDEX(ERP資料!$A:$A, (MATCH(857, 輔助計算!$F$2:$F$801, 0)+1)), "")&lt;&gt;"", IFERROR(INDEX(ERP資料!$A:$A, (MATCH(857, 輔助計算!$F$2:$F$801, 0)+1)), "")&lt;&gt;IFERROR(INDEX(ERP資料!$A:$A, MATCH(856, 輔助計算!$F$2:$F$801, 0)+1), "")), INDEX(ERP資料!$B:$B, (MATCH(857, 輔助計算!$F$2:$F$801, 0)+1)), ""), "")</f>
        <v/>
      </c>
      <c r="B858" s="10">
        <f>IFERROR(IF(AND(IFERROR(INDEX(ERP資料!$A:$A, (MATCH(857, 輔助計算!$F$2:$F$801, 0)+1)), "")&lt;&gt;"", IFERROR(INDEX(ERP資料!$A:$A, (MATCH(857, 輔助計算!$F$2:$F$801, 0)+1)), "")&lt;&gt;IFERROR(INDEX(ERP資料!$A:$A, MATCH(856, 輔助計算!$F$2:$F$801, 0)+1), "")), IFERROR(INDEX(ERP資料!$A:$A, (MATCH(857, 輔助計算!$F$2:$F$801, 0)+1)), ""), ""), "")</f>
        <v/>
      </c>
      <c r="C858" s="10">
        <f>IFERROR(IF(AND(IFERROR(INDEX(ERP資料!$A:$A, (MATCH(857, 輔助計算!$F$2:$F$801, 0)+1)), "")&lt;&gt;"", IFERROR(INDEX(ERP資料!$A:$A, (MATCH(857, 輔助計算!$F$2:$F$801, 0)+1)), "")&lt;&gt;IFERROR(INDEX(ERP資料!$A:$A, MATCH(856, 輔助計算!$F$2:$F$801, 0)+1), "")), INDEX(ERP資料!$S:$S, (MATCH(857, 輔助計算!$F$2:$F$801, 0)+1)), ""), "")</f>
        <v/>
      </c>
      <c r="D858" s="10">
        <f>IFERROR(IF(INDEX(ERP資料!$E:$E, (MATCH(857, 輔助計算!$F$2:$F$801, 0)+1))="","",TRIM(INDEX(ERP資料!$E:$E, (MATCH(857, 輔助計算!$F$2:$F$801, 0)+1)))), "")</f>
        <v/>
      </c>
      <c r="E858" s="10">
        <f>IFERROR(IF(INDEX(ERP資料!$F:$F, (MATCH(857, 輔助計算!$F$2:$F$801, 0)+1))="","",INDEX(ERP資料!$F:$F, (MATCH(857, 輔助計算!$F$2:$F$801, 0)+1))), "")</f>
        <v/>
      </c>
      <c r="F858" s="10">
        <f>IFERROR(IF(INDEX(ERP資料!$G:$G, (MATCH(857, 輔助計算!$F$2:$F$801, 0)+1))="","",INDEX(ERP資料!$G:$G, (MATCH(857, 輔助計算!$F$2:$F$801, 0)+1))), "")</f>
        <v/>
      </c>
      <c r="G858" s="10">
        <f>IFERROR(IF(INDEX(ERP資料!$H:$H, (MATCH(857, 輔助計算!$F$2:$F$801, 0)+1))="","",INDEX(ERP資料!$H:$H, (MATCH(857, 輔助計算!$F$2:$F$801, 0)+1))), "")</f>
        <v/>
      </c>
      <c r="H858" s="10">
        <f>IFERROR(IF(INDEX(ERP資料!$O:$O, (MATCH(857, 輔助計算!$F$2:$F$801, 0)+1))="","",INDEX(ERP資料!$O:$O, (MATCH(857, 輔助計算!$F$2:$F$801, 0)+1))), "")</f>
        <v/>
      </c>
      <c r="I858" s="15">
        <f>IFERROR(IF(INDEX(輔助計算!$D:$D,(MATCH(857, 輔助計算!$F$2:$F$801, 0)+1))="","",INDEX(輔助計算!$D:$D,(MATCH(857, 輔助計算!$F$2:$F$801, 0)+1))*INDEX(ERP資料!$O:$O,(MATCH(857, 輔助計算!$F$2:$F$801, 0)+1))), "")</f>
        <v/>
      </c>
      <c r="J858" s="16" t="n"/>
      <c r="K858" s="15">
        <f>IFERROR(INDEX(輔助計算!$D:$D, (MATCH(857, 輔助計算!$F$2:$F$801, 0)+1)), "")</f>
        <v/>
      </c>
      <c r="L858" s="16">
        <f>IFERROR(IF(AND(IFERROR(VLOOKUP(LEFT(INDEX(ERP資料!$S:$S, (MATCH(857, 輔助計算!$F$2:$F$801, 0)+1)), 4), 100張客戶!$A:$A, 1, FALSE), "")&lt;&gt;"", OR(INDEX(ERP資料!$F:$F, (MATCH(857, 輔助計算!$F$2:$F$801, 0)+1))=270, INDEX(ERP資料!$F:$F, (MATCH(857, 輔助計算!$F$2:$F$801, 0)+1))=300)), "100張", ""), "")</f>
        <v/>
      </c>
      <c r="M858" s="17" t="n"/>
      <c r="N858" s="17">
        <f>IF($F858="","",$F858)</f>
        <v/>
      </c>
      <c r="O858" s="17">
        <f>IF($G858="","",$G858)</f>
        <v/>
      </c>
      <c r="P858" s="17">
        <f>IF($K858="","",$K858)</f>
        <v/>
      </c>
      <c r="Q858" s="16" t="n"/>
      <c r="R858" s="18" t="n"/>
      <c r="S858" s="16" t="n"/>
    </row>
    <row r="859">
      <c r="A859" s="14">
        <f>IFERROR(IF(AND(IFERROR(INDEX(ERP資料!$A:$A, (MATCH(858, 輔助計算!$F$2:$F$801, 0)+1)), "")&lt;&gt;"", IFERROR(INDEX(ERP資料!$A:$A, (MATCH(858, 輔助計算!$F$2:$F$801, 0)+1)), "")&lt;&gt;IFERROR(INDEX(ERP資料!$A:$A, MATCH(857, 輔助計算!$F$2:$F$801, 0)+1), "")), INDEX(ERP資料!$B:$B, (MATCH(858, 輔助計算!$F$2:$F$801, 0)+1)), ""), "")</f>
        <v/>
      </c>
      <c r="B859" s="10">
        <f>IFERROR(IF(AND(IFERROR(INDEX(ERP資料!$A:$A, (MATCH(858, 輔助計算!$F$2:$F$801, 0)+1)), "")&lt;&gt;"", IFERROR(INDEX(ERP資料!$A:$A, (MATCH(858, 輔助計算!$F$2:$F$801, 0)+1)), "")&lt;&gt;IFERROR(INDEX(ERP資料!$A:$A, MATCH(857, 輔助計算!$F$2:$F$801, 0)+1), "")), IFERROR(INDEX(ERP資料!$A:$A, (MATCH(858, 輔助計算!$F$2:$F$801, 0)+1)), ""), ""), "")</f>
        <v/>
      </c>
      <c r="C859" s="10">
        <f>IFERROR(IF(AND(IFERROR(INDEX(ERP資料!$A:$A, (MATCH(858, 輔助計算!$F$2:$F$801, 0)+1)), "")&lt;&gt;"", IFERROR(INDEX(ERP資料!$A:$A, (MATCH(858, 輔助計算!$F$2:$F$801, 0)+1)), "")&lt;&gt;IFERROR(INDEX(ERP資料!$A:$A, MATCH(857, 輔助計算!$F$2:$F$801, 0)+1), "")), INDEX(ERP資料!$S:$S, (MATCH(858, 輔助計算!$F$2:$F$801, 0)+1)), ""), "")</f>
        <v/>
      </c>
      <c r="D859" s="10">
        <f>IFERROR(IF(INDEX(ERP資料!$E:$E, (MATCH(858, 輔助計算!$F$2:$F$801, 0)+1))="","",TRIM(INDEX(ERP資料!$E:$E, (MATCH(858, 輔助計算!$F$2:$F$801, 0)+1)))), "")</f>
        <v/>
      </c>
      <c r="E859" s="10">
        <f>IFERROR(IF(INDEX(ERP資料!$F:$F, (MATCH(858, 輔助計算!$F$2:$F$801, 0)+1))="","",INDEX(ERP資料!$F:$F, (MATCH(858, 輔助計算!$F$2:$F$801, 0)+1))), "")</f>
        <v/>
      </c>
      <c r="F859" s="10">
        <f>IFERROR(IF(INDEX(ERP資料!$G:$G, (MATCH(858, 輔助計算!$F$2:$F$801, 0)+1))="","",INDEX(ERP資料!$G:$G, (MATCH(858, 輔助計算!$F$2:$F$801, 0)+1))), "")</f>
        <v/>
      </c>
      <c r="G859" s="10">
        <f>IFERROR(IF(INDEX(ERP資料!$H:$H, (MATCH(858, 輔助計算!$F$2:$F$801, 0)+1))="","",INDEX(ERP資料!$H:$H, (MATCH(858, 輔助計算!$F$2:$F$801, 0)+1))), "")</f>
        <v/>
      </c>
      <c r="H859" s="10">
        <f>IFERROR(IF(INDEX(ERP資料!$O:$O, (MATCH(858, 輔助計算!$F$2:$F$801, 0)+1))="","",INDEX(ERP資料!$O:$O, (MATCH(858, 輔助計算!$F$2:$F$801, 0)+1))), "")</f>
        <v/>
      </c>
      <c r="I859" s="15">
        <f>IFERROR(IF(INDEX(輔助計算!$D:$D,(MATCH(858, 輔助計算!$F$2:$F$801, 0)+1))="","",INDEX(輔助計算!$D:$D,(MATCH(858, 輔助計算!$F$2:$F$801, 0)+1))*INDEX(ERP資料!$O:$O,(MATCH(858, 輔助計算!$F$2:$F$801, 0)+1))), "")</f>
        <v/>
      </c>
      <c r="J859" s="16" t="n"/>
      <c r="K859" s="15">
        <f>IFERROR(INDEX(輔助計算!$D:$D, (MATCH(858, 輔助計算!$F$2:$F$801, 0)+1)), "")</f>
        <v/>
      </c>
      <c r="L859" s="16">
        <f>IFERROR(IF(AND(IFERROR(VLOOKUP(LEFT(INDEX(ERP資料!$S:$S, (MATCH(858, 輔助計算!$F$2:$F$801, 0)+1)), 4), 100張客戶!$A:$A, 1, FALSE), "")&lt;&gt;"", OR(INDEX(ERP資料!$F:$F, (MATCH(858, 輔助計算!$F$2:$F$801, 0)+1))=270, INDEX(ERP資料!$F:$F, (MATCH(858, 輔助計算!$F$2:$F$801, 0)+1))=300)), "100張", ""), "")</f>
        <v/>
      </c>
      <c r="M859" s="17" t="n"/>
      <c r="N859" s="17">
        <f>IF($F859="","",$F859)</f>
        <v/>
      </c>
      <c r="O859" s="17">
        <f>IF($G859="","",$G859)</f>
        <v/>
      </c>
      <c r="P859" s="17">
        <f>IF($K859="","",$K859)</f>
        <v/>
      </c>
      <c r="Q859" s="16" t="n"/>
      <c r="R859" s="18" t="n"/>
      <c r="S859" s="16" t="n"/>
    </row>
    <row r="860">
      <c r="A860" s="14">
        <f>IFERROR(IF(AND(IFERROR(INDEX(ERP資料!$A:$A, (MATCH(859, 輔助計算!$F$2:$F$801, 0)+1)), "")&lt;&gt;"", IFERROR(INDEX(ERP資料!$A:$A, (MATCH(859, 輔助計算!$F$2:$F$801, 0)+1)), "")&lt;&gt;IFERROR(INDEX(ERP資料!$A:$A, MATCH(858, 輔助計算!$F$2:$F$801, 0)+1), "")), INDEX(ERP資料!$B:$B, (MATCH(859, 輔助計算!$F$2:$F$801, 0)+1)), ""), "")</f>
        <v/>
      </c>
      <c r="B860" s="10">
        <f>IFERROR(IF(AND(IFERROR(INDEX(ERP資料!$A:$A, (MATCH(859, 輔助計算!$F$2:$F$801, 0)+1)), "")&lt;&gt;"", IFERROR(INDEX(ERP資料!$A:$A, (MATCH(859, 輔助計算!$F$2:$F$801, 0)+1)), "")&lt;&gt;IFERROR(INDEX(ERP資料!$A:$A, MATCH(858, 輔助計算!$F$2:$F$801, 0)+1), "")), IFERROR(INDEX(ERP資料!$A:$A, (MATCH(859, 輔助計算!$F$2:$F$801, 0)+1)), ""), ""), "")</f>
        <v/>
      </c>
      <c r="C860" s="10">
        <f>IFERROR(IF(AND(IFERROR(INDEX(ERP資料!$A:$A, (MATCH(859, 輔助計算!$F$2:$F$801, 0)+1)), "")&lt;&gt;"", IFERROR(INDEX(ERP資料!$A:$A, (MATCH(859, 輔助計算!$F$2:$F$801, 0)+1)), "")&lt;&gt;IFERROR(INDEX(ERP資料!$A:$A, MATCH(858, 輔助計算!$F$2:$F$801, 0)+1), "")), INDEX(ERP資料!$S:$S, (MATCH(859, 輔助計算!$F$2:$F$801, 0)+1)), ""), "")</f>
        <v/>
      </c>
      <c r="D860" s="10">
        <f>IFERROR(IF(INDEX(ERP資料!$E:$E, (MATCH(859, 輔助計算!$F$2:$F$801, 0)+1))="","",TRIM(INDEX(ERP資料!$E:$E, (MATCH(859, 輔助計算!$F$2:$F$801, 0)+1)))), "")</f>
        <v/>
      </c>
      <c r="E860" s="10">
        <f>IFERROR(IF(INDEX(ERP資料!$F:$F, (MATCH(859, 輔助計算!$F$2:$F$801, 0)+1))="","",INDEX(ERP資料!$F:$F, (MATCH(859, 輔助計算!$F$2:$F$801, 0)+1))), "")</f>
        <v/>
      </c>
      <c r="F860" s="10">
        <f>IFERROR(IF(INDEX(ERP資料!$G:$G, (MATCH(859, 輔助計算!$F$2:$F$801, 0)+1))="","",INDEX(ERP資料!$G:$G, (MATCH(859, 輔助計算!$F$2:$F$801, 0)+1))), "")</f>
        <v/>
      </c>
      <c r="G860" s="10">
        <f>IFERROR(IF(INDEX(ERP資料!$H:$H, (MATCH(859, 輔助計算!$F$2:$F$801, 0)+1))="","",INDEX(ERP資料!$H:$H, (MATCH(859, 輔助計算!$F$2:$F$801, 0)+1))), "")</f>
        <v/>
      </c>
      <c r="H860" s="10">
        <f>IFERROR(IF(INDEX(ERP資料!$O:$O, (MATCH(859, 輔助計算!$F$2:$F$801, 0)+1))="","",INDEX(ERP資料!$O:$O, (MATCH(859, 輔助計算!$F$2:$F$801, 0)+1))), "")</f>
        <v/>
      </c>
      <c r="I860" s="15">
        <f>IFERROR(IF(INDEX(輔助計算!$D:$D,(MATCH(859, 輔助計算!$F$2:$F$801, 0)+1))="","",INDEX(輔助計算!$D:$D,(MATCH(859, 輔助計算!$F$2:$F$801, 0)+1))*INDEX(ERP資料!$O:$O,(MATCH(859, 輔助計算!$F$2:$F$801, 0)+1))), "")</f>
        <v/>
      </c>
      <c r="J860" s="16" t="n"/>
      <c r="K860" s="15">
        <f>IFERROR(INDEX(輔助計算!$D:$D, (MATCH(859, 輔助計算!$F$2:$F$801, 0)+1)), "")</f>
        <v/>
      </c>
      <c r="L860" s="16">
        <f>IFERROR(IF(AND(IFERROR(VLOOKUP(LEFT(INDEX(ERP資料!$S:$S, (MATCH(859, 輔助計算!$F$2:$F$801, 0)+1)), 4), 100張客戶!$A:$A, 1, FALSE), "")&lt;&gt;"", OR(INDEX(ERP資料!$F:$F, (MATCH(859, 輔助計算!$F$2:$F$801, 0)+1))=270, INDEX(ERP資料!$F:$F, (MATCH(859, 輔助計算!$F$2:$F$801, 0)+1))=300)), "100張", ""), "")</f>
        <v/>
      </c>
      <c r="M860" s="17" t="n"/>
      <c r="N860" s="17">
        <f>IF($F860="","",$F860)</f>
        <v/>
      </c>
      <c r="O860" s="17">
        <f>IF($G860="","",$G860)</f>
        <v/>
      </c>
      <c r="P860" s="17">
        <f>IF($K860="","",$K860)</f>
        <v/>
      </c>
      <c r="Q860" s="16" t="n"/>
      <c r="R860" s="18" t="n"/>
      <c r="S860" s="16" t="n"/>
    </row>
    <row r="861">
      <c r="A861" s="14">
        <f>IFERROR(IF(AND(IFERROR(INDEX(ERP資料!$A:$A, (MATCH(860, 輔助計算!$F$2:$F$801, 0)+1)), "")&lt;&gt;"", IFERROR(INDEX(ERP資料!$A:$A, (MATCH(860, 輔助計算!$F$2:$F$801, 0)+1)), "")&lt;&gt;IFERROR(INDEX(ERP資料!$A:$A, MATCH(859, 輔助計算!$F$2:$F$801, 0)+1), "")), INDEX(ERP資料!$B:$B, (MATCH(860, 輔助計算!$F$2:$F$801, 0)+1)), ""), "")</f>
        <v/>
      </c>
      <c r="B861" s="10">
        <f>IFERROR(IF(AND(IFERROR(INDEX(ERP資料!$A:$A, (MATCH(860, 輔助計算!$F$2:$F$801, 0)+1)), "")&lt;&gt;"", IFERROR(INDEX(ERP資料!$A:$A, (MATCH(860, 輔助計算!$F$2:$F$801, 0)+1)), "")&lt;&gt;IFERROR(INDEX(ERP資料!$A:$A, MATCH(859, 輔助計算!$F$2:$F$801, 0)+1), "")), IFERROR(INDEX(ERP資料!$A:$A, (MATCH(860, 輔助計算!$F$2:$F$801, 0)+1)), ""), ""), "")</f>
        <v/>
      </c>
      <c r="C861" s="10">
        <f>IFERROR(IF(AND(IFERROR(INDEX(ERP資料!$A:$A, (MATCH(860, 輔助計算!$F$2:$F$801, 0)+1)), "")&lt;&gt;"", IFERROR(INDEX(ERP資料!$A:$A, (MATCH(860, 輔助計算!$F$2:$F$801, 0)+1)), "")&lt;&gt;IFERROR(INDEX(ERP資料!$A:$A, MATCH(859, 輔助計算!$F$2:$F$801, 0)+1), "")), INDEX(ERP資料!$S:$S, (MATCH(860, 輔助計算!$F$2:$F$801, 0)+1)), ""), "")</f>
        <v/>
      </c>
      <c r="D861" s="10">
        <f>IFERROR(IF(INDEX(ERP資料!$E:$E, (MATCH(860, 輔助計算!$F$2:$F$801, 0)+1))="","",TRIM(INDEX(ERP資料!$E:$E, (MATCH(860, 輔助計算!$F$2:$F$801, 0)+1)))), "")</f>
        <v/>
      </c>
      <c r="E861" s="10">
        <f>IFERROR(IF(INDEX(ERP資料!$F:$F, (MATCH(860, 輔助計算!$F$2:$F$801, 0)+1))="","",INDEX(ERP資料!$F:$F, (MATCH(860, 輔助計算!$F$2:$F$801, 0)+1))), "")</f>
        <v/>
      </c>
      <c r="F861" s="10">
        <f>IFERROR(IF(INDEX(ERP資料!$G:$G, (MATCH(860, 輔助計算!$F$2:$F$801, 0)+1))="","",INDEX(ERP資料!$G:$G, (MATCH(860, 輔助計算!$F$2:$F$801, 0)+1))), "")</f>
        <v/>
      </c>
      <c r="G861" s="10">
        <f>IFERROR(IF(INDEX(ERP資料!$H:$H, (MATCH(860, 輔助計算!$F$2:$F$801, 0)+1))="","",INDEX(ERP資料!$H:$H, (MATCH(860, 輔助計算!$F$2:$F$801, 0)+1))), "")</f>
        <v/>
      </c>
      <c r="H861" s="10">
        <f>IFERROR(IF(INDEX(ERP資料!$O:$O, (MATCH(860, 輔助計算!$F$2:$F$801, 0)+1))="","",INDEX(ERP資料!$O:$O, (MATCH(860, 輔助計算!$F$2:$F$801, 0)+1))), "")</f>
        <v/>
      </c>
      <c r="I861" s="15">
        <f>IFERROR(IF(INDEX(輔助計算!$D:$D,(MATCH(860, 輔助計算!$F$2:$F$801, 0)+1))="","",INDEX(輔助計算!$D:$D,(MATCH(860, 輔助計算!$F$2:$F$801, 0)+1))*INDEX(ERP資料!$O:$O,(MATCH(860, 輔助計算!$F$2:$F$801, 0)+1))), "")</f>
        <v/>
      </c>
      <c r="J861" s="16" t="n"/>
      <c r="K861" s="15">
        <f>IFERROR(INDEX(輔助計算!$D:$D, (MATCH(860, 輔助計算!$F$2:$F$801, 0)+1)), "")</f>
        <v/>
      </c>
      <c r="L861" s="16">
        <f>IFERROR(IF(AND(IFERROR(VLOOKUP(LEFT(INDEX(ERP資料!$S:$S, (MATCH(860, 輔助計算!$F$2:$F$801, 0)+1)), 4), 100張客戶!$A:$A, 1, FALSE), "")&lt;&gt;"", OR(INDEX(ERP資料!$F:$F, (MATCH(860, 輔助計算!$F$2:$F$801, 0)+1))=270, INDEX(ERP資料!$F:$F, (MATCH(860, 輔助計算!$F$2:$F$801, 0)+1))=300)), "100張", ""), "")</f>
        <v/>
      </c>
      <c r="M861" s="17" t="n"/>
      <c r="N861" s="17">
        <f>IF($F861="","",$F861)</f>
        <v/>
      </c>
      <c r="O861" s="17">
        <f>IF($G861="","",$G861)</f>
        <v/>
      </c>
      <c r="P861" s="17">
        <f>IF($K861="","",$K861)</f>
        <v/>
      </c>
      <c r="Q861" s="16" t="n"/>
      <c r="R861" s="18" t="n"/>
      <c r="S861" s="16" t="n"/>
    </row>
    <row r="862">
      <c r="A862" s="14">
        <f>IFERROR(IF(AND(IFERROR(INDEX(ERP資料!$A:$A, (MATCH(861, 輔助計算!$F$2:$F$801, 0)+1)), "")&lt;&gt;"", IFERROR(INDEX(ERP資料!$A:$A, (MATCH(861, 輔助計算!$F$2:$F$801, 0)+1)), "")&lt;&gt;IFERROR(INDEX(ERP資料!$A:$A, MATCH(860, 輔助計算!$F$2:$F$801, 0)+1), "")), INDEX(ERP資料!$B:$B, (MATCH(861, 輔助計算!$F$2:$F$801, 0)+1)), ""), "")</f>
        <v/>
      </c>
      <c r="B862" s="10">
        <f>IFERROR(IF(AND(IFERROR(INDEX(ERP資料!$A:$A, (MATCH(861, 輔助計算!$F$2:$F$801, 0)+1)), "")&lt;&gt;"", IFERROR(INDEX(ERP資料!$A:$A, (MATCH(861, 輔助計算!$F$2:$F$801, 0)+1)), "")&lt;&gt;IFERROR(INDEX(ERP資料!$A:$A, MATCH(860, 輔助計算!$F$2:$F$801, 0)+1), "")), IFERROR(INDEX(ERP資料!$A:$A, (MATCH(861, 輔助計算!$F$2:$F$801, 0)+1)), ""), ""), "")</f>
        <v/>
      </c>
      <c r="C862" s="10">
        <f>IFERROR(IF(AND(IFERROR(INDEX(ERP資料!$A:$A, (MATCH(861, 輔助計算!$F$2:$F$801, 0)+1)), "")&lt;&gt;"", IFERROR(INDEX(ERP資料!$A:$A, (MATCH(861, 輔助計算!$F$2:$F$801, 0)+1)), "")&lt;&gt;IFERROR(INDEX(ERP資料!$A:$A, MATCH(860, 輔助計算!$F$2:$F$801, 0)+1), "")), INDEX(ERP資料!$S:$S, (MATCH(861, 輔助計算!$F$2:$F$801, 0)+1)), ""), "")</f>
        <v/>
      </c>
      <c r="D862" s="10">
        <f>IFERROR(IF(INDEX(ERP資料!$E:$E, (MATCH(861, 輔助計算!$F$2:$F$801, 0)+1))="","",TRIM(INDEX(ERP資料!$E:$E, (MATCH(861, 輔助計算!$F$2:$F$801, 0)+1)))), "")</f>
        <v/>
      </c>
      <c r="E862" s="10">
        <f>IFERROR(IF(INDEX(ERP資料!$F:$F, (MATCH(861, 輔助計算!$F$2:$F$801, 0)+1))="","",INDEX(ERP資料!$F:$F, (MATCH(861, 輔助計算!$F$2:$F$801, 0)+1))), "")</f>
        <v/>
      </c>
      <c r="F862" s="10">
        <f>IFERROR(IF(INDEX(ERP資料!$G:$G, (MATCH(861, 輔助計算!$F$2:$F$801, 0)+1))="","",INDEX(ERP資料!$G:$G, (MATCH(861, 輔助計算!$F$2:$F$801, 0)+1))), "")</f>
        <v/>
      </c>
      <c r="G862" s="10">
        <f>IFERROR(IF(INDEX(ERP資料!$H:$H, (MATCH(861, 輔助計算!$F$2:$F$801, 0)+1))="","",INDEX(ERP資料!$H:$H, (MATCH(861, 輔助計算!$F$2:$F$801, 0)+1))), "")</f>
        <v/>
      </c>
      <c r="H862" s="10">
        <f>IFERROR(IF(INDEX(ERP資料!$O:$O, (MATCH(861, 輔助計算!$F$2:$F$801, 0)+1))="","",INDEX(ERP資料!$O:$O, (MATCH(861, 輔助計算!$F$2:$F$801, 0)+1))), "")</f>
        <v/>
      </c>
      <c r="I862" s="15">
        <f>IFERROR(IF(INDEX(輔助計算!$D:$D,(MATCH(861, 輔助計算!$F$2:$F$801, 0)+1))="","",INDEX(輔助計算!$D:$D,(MATCH(861, 輔助計算!$F$2:$F$801, 0)+1))*INDEX(ERP資料!$O:$O,(MATCH(861, 輔助計算!$F$2:$F$801, 0)+1))), "")</f>
        <v/>
      </c>
      <c r="J862" s="16" t="n"/>
      <c r="K862" s="15">
        <f>IFERROR(INDEX(輔助計算!$D:$D, (MATCH(861, 輔助計算!$F$2:$F$801, 0)+1)), "")</f>
        <v/>
      </c>
      <c r="L862" s="16">
        <f>IFERROR(IF(AND(IFERROR(VLOOKUP(LEFT(INDEX(ERP資料!$S:$S, (MATCH(861, 輔助計算!$F$2:$F$801, 0)+1)), 4), 100張客戶!$A:$A, 1, FALSE), "")&lt;&gt;"", OR(INDEX(ERP資料!$F:$F, (MATCH(861, 輔助計算!$F$2:$F$801, 0)+1))=270, INDEX(ERP資料!$F:$F, (MATCH(861, 輔助計算!$F$2:$F$801, 0)+1))=300)), "100張", ""), "")</f>
        <v/>
      </c>
      <c r="M862" s="17" t="n"/>
      <c r="N862" s="17">
        <f>IF($F862="","",$F862)</f>
        <v/>
      </c>
      <c r="O862" s="17">
        <f>IF($G862="","",$G862)</f>
        <v/>
      </c>
      <c r="P862" s="17">
        <f>IF($K862="","",$K862)</f>
        <v/>
      </c>
      <c r="Q862" s="16" t="n"/>
      <c r="R862" s="18" t="n"/>
      <c r="S862" s="16" t="n"/>
    </row>
    <row r="863">
      <c r="A863" s="14">
        <f>IFERROR(IF(AND(IFERROR(INDEX(ERP資料!$A:$A, (MATCH(862, 輔助計算!$F$2:$F$801, 0)+1)), "")&lt;&gt;"", IFERROR(INDEX(ERP資料!$A:$A, (MATCH(862, 輔助計算!$F$2:$F$801, 0)+1)), "")&lt;&gt;IFERROR(INDEX(ERP資料!$A:$A, MATCH(861, 輔助計算!$F$2:$F$801, 0)+1), "")), INDEX(ERP資料!$B:$B, (MATCH(862, 輔助計算!$F$2:$F$801, 0)+1)), ""), "")</f>
        <v/>
      </c>
      <c r="B863" s="10">
        <f>IFERROR(IF(AND(IFERROR(INDEX(ERP資料!$A:$A, (MATCH(862, 輔助計算!$F$2:$F$801, 0)+1)), "")&lt;&gt;"", IFERROR(INDEX(ERP資料!$A:$A, (MATCH(862, 輔助計算!$F$2:$F$801, 0)+1)), "")&lt;&gt;IFERROR(INDEX(ERP資料!$A:$A, MATCH(861, 輔助計算!$F$2:$F$801, 0)+1), "")), IFERROR(INDEX(ERP資料!$A:$A, (MATCH(862, 輔助計算!$F$2:$F$801, 0)+1)), ""), ""), "")</f>
        <v/>
      </c>
      <c r="C863" s="10">
        <f>IFERROR(IF(AND(IFERROR(INDEX(ERP資料!$A:$A, (MATCH(862, 輔助計算!$F$2:$F$801, 0)+1)), "")&lt;&gt;"", IFERROR(INDEX(ERP資料!$A:$A, (MATCH(862, 輔助計算!$F$2:$F$801, 0)+1)), "")&lt;&gt;IFERROR(INDEX(ERP資料!$A:$A, MATCH(861, 輔助計算!$F$2:$F$801, 0)+1), "")), INDEX(ERP資料!$S:$S, (MATCH(862, 輔助計算!$F$2:$F$801, 0)+1)), ""), "")</f>
        <v/>
      </c>
      <c r="D863" s="10">
        <f>IFERROR(IF(INDEX(ERP資料!$E:$E, (MATCH(862, 輔助計算!$F$2:$F$801, 0)+1))="","",TRIM(INDEX(ERP資料!$E:$E, (MATCH(862, 輔助計算!$F$2:$F$801, 0)+1)))), "")</f>
        <v/>
      </c>
      <c r="E863" s="10">
        <f>IFERROR(IF(INDEX(ERP資料!$F:$F, (MATCH(862, 輔助計算!$F$2:$F$801, 0)+1))="","",INDEX(ERP資料!$F:$F, (MATCH(862, 輔助計算!$F$2:$F$801, 0)+1))), "")</f>
        <v/>
      </c>
      <c r="F863" s="10">
        <f>IFERROR(IF(INDEX(ERP資料!$G:$G, (MATCH(862, 輔助計算!$F$2:$F$801, 0)+1))="","",INDEX(ERP資料!$G:$G, (MATCH(862, 輔助計算!$F$2:$F$801, 0)+1))), "")</f>
        <v/>
      </c>
      <c r="G863" s="10">
        <f>IFERROR(IF(INDEX(ERP資料!$H:$H, (MATCH(862, 輔助計算!$F$2:$F$801, 0)+1))="","",INDEX(ERP資料!$H:$H, (MATCH(862, 輔助計算!$F$2:$F$801, 0)+1))), "")</f>
        <v/>
      </c>
      <c r="H863" s="10">
        <f>IFERROR(IF(INDEX(ERP資料!$O:$O, (MATCH(862, 輔助計算!$F$2:$F$801, 0)+1))="","",INDEX(ERP資料!$O:$O, (MATCH(862, 輔助計算!$F$2:$F$801, 0)+1))), "")</f>
        <v/>
      </c>
      <c r="I863" s="15">
        <f>IFERROR(IF(INDEX(輔助計算!$D:$D,(MATCH(862, 輔助計算!$F$2:$F$801, 0)+1))="","",INDEX(輔助計算!$D:$D,(MATCH(862, 輔助計算!$F$2:$F$801, 0)+1))*INDEX(ERP資料!$O:$O,(MATCH(862, 輔助計算!$F$2:$F$801, 0)+1))), "")</f>
        <v/>
      </c>
      <c r="J863" s="16" t="n"/>
      <c r="K863" s="15">
        <f>IFERROR(INDEX(輔助計算!$D:$D, (MATCH(862, 輔助計算!$F$2:$F$801, 0)+1)), "")</f>
        <v/>
      </c>
      <c r="L863" s="16">
        <f>IFERROR(IF(AND(IFERROR(VLOOKUP(LEFT(INDEX(ERP資料!$S:$S, (MATCH(862, 輔助計算!$F$2:$F$801, 0)+1)), 4), 100張客戶!$A:$A, 1, FALSE), "")&lt;&gt;"", OR(INDEX(ERP資料!$F:$F, (MATCH(862, 輔助計算!$F$2:$F$801, 0)+1))=270, INDEX(ERP資料!$F:$F, (MATCH(862, 輔助計算!$F$2:$F$801, 0)+1))=300)), "100張", ""), "")</f>
        <v/>
      </c>
      <c r="M863" s="17" t="n"/>
      <c r="N863" s="17">
        <f>IF($F863="","",$F863)</f>
        <v/>
      </c>
      <c r="O863" s="17">
        <f>IF($G863="","",$G863)</f>
        <v/>
      </c>
      <c r="P863" s="17">
        <f>IF($K863="","",$K863)</f>
        <v/>
      </c>
      <c r="Q863" s="16" t="n"/>
      <c r="R863" s="18" t="n"/>
      <c r="S863" s="16" t="n"/>
    </row>
    <row r="864">
      <c r="A864" s="14">
        <f>IFERROR(IF(AND(IFERROR(INDEX(ERP資料!$A:$A, (MATCH(863, 輔助計算!$F$2:$F$801, 0)+1)), "")&lt;&gt;"", IFERROR(INDEX(ERP資料!$A:$A, (MATCH(863, 輔助計算!$F$2:$F$801, 0)+1)), "")&lt;&gt;IFERROR(INDEX(ERP資料!$A:$A, MATCH(862, 輔助計算!$F$2:$F$801, 0)+1), "")), INDEX(ERP資料!$B:$B, (MATCH(863, 輔助計算!$F$2:$F$801, 0)+1)), ""), "")</f>
        <v/>
      </c>
      <c r="B864" s="10">
        <f>IFERROR(IF(AND(IFERROR(INDEX(ERP資料!$A:$A, (MATCH(863, 輔助計算!$F$2:$F$801, 0)+1)), "")&lt;&gt;"", IFERROR(INDEX(ERP資料!$A:$A, (MATCH(863, 輔助計算!$F$2:$F$801, 0)+1)), "")&lt;&gt;IFERROR(INDEX(ERP資料!$A:$A, MATCH(862, 輔助計算!$F$2:$F$801, 0)+1), "")), IFERROR(INDEX(ERP資料!$A:$A, (MATCH(863, 輔助計算!$F$2:$F$801, 0)+1)), ""), ""), "")</f>
        <v/>
      </c>
      <c r="C864" s="10">
        <f>IFERROR(IF(AND(IFERROR(INDEX(ERP資料!$A:$A, (MATCH(863, 輔助計算!$F$2:$F$801, 0)+1)), "")&lt;&gt;"", IFERROR(INDEX(ERP資料!$A:$A, (MATCH(863, 輔助計算!$F$2:$F$801, 0)+1)), "")&lt;&gt;IFERROR(INDEX(ERP資料!$A:$A, MATCH(862, 輔助計算!$F$2:$F$801, 0)+1), "")), INDEX(ERP資料!$S:$S, (MATCH(863, 輔助計算!$F$2:$F$801, 0)+1)), ""), "")</f>
        <v/>
      </c>
      <c r="D864" s="10">
        <f>IFERROR(IF(INDEX(ERP資料!$E:$E, (MATCH(863, 輔助計算!$F$2:$F$801, 0)+1))="","",TRIM(INDEX(ERP資料!$E:$E, (MATCH(863, 輔助計算!$F$2:$F$801, 0)+1)))), "")</f>
        <v/>
      </c>
      <c r="E864" s="10">
        <f>IFERROR(IF(INDEX(ERP資料!$F:$F, (MATCH(863, 輔助計算!$F$2:$F$801, 0)+1))="","",INDEX(ERP資料!$F:$F, (MATCH(863, 輔助計算!$F$2:$F$801, 0)+1))), "")</f>
        <v/>
      </c>
      <c r="F864" s="10">
        <f>IFERROR(IF(INDEX(ERP資料!$G:$G, (MATCH(863, 輔助計算!$F$2:$F$801, 0)+1))="","",INDEX(ERP資料!$G:$G, (MATCH(863, 輔助計算!$F$2:$F$801, 0)+1))), "")</f>
        <v/>
      </c>
      <c r="G864" s="10">
        <f>IFERROR(IF(INDEX(ERP資料!$H:$H, (MATCH(863, 輔助計算!$F$2:$F$801, 0)+1))="","",INDEX(ERP資料!$H:$H, (MATCH(863, 輔助計算!$F$2:$F$801, 0)+1))), "")</f>
        <v/>
      </c>
      <c r="H864" s="10">
        <f>IFERROR(IF(INDEX(ERP資料!$O:$O, (MATCH(863, 輔助計算!$F$2:$F$801, 0)+1))="","",INDEX(ERP資料!$O:$O, (MATCH(863, 輔助計算!$F$2:$F$801, 0)+1))), "")</f>
        <v/>
      </c>
      <c r="I864" s="15">
        <f>IFERROR(IF(INDEX(輔助計算!$D:$D,(MATCH(863, 輔助計算!$F$2:$F$801, 0)+1))="","",INDEX(輔助計算!$D:$D,(MATCH(863, 輔助計算!$F$2:$F$801, 0)+1))*INDEX(ERP資料!$O:$O,(MATCH(863, 輔助計算!$F$2:$F$801, 0)+1))), "")</f>
        <v/>
      </c>
      <c r="J864" s="16" t="n"/>
      <c r="K864" s="15">
        <f>IFERROR(INDEX(輔助計算!$D:$D, (MATCH(863, 輔助計算!$F$2:$F$801, 0)+1)), "")</f>
        <v/>
      </c>
      <c r="L864" s="16">
        <f>IFERROR(IF(AND(IFERROR(VLOOKUP(LEFT(INDEX(ERP資料!$S:$S, (MATCH(863, 輔助計算!$F$2:$F$801, 0)+1)), 4), 100張客戶!$A:$A, 1, FALSE), "")&lt;&gt;"", OR(INDEX(ERP資料!$F:$F, (MATCH(863, 輔助計算!$F$2:$F$801, 0)+1))=270, INDEX(ERP資料!$F:$F, (MATCH(863, 輔助計算!$F$2:$F$801, 0)+1))=300)), "100張", ""), "")</f>
        <v/>
      </c>
      <c r="M864" s="17" t="n"/>
      <c r="N864" s="17">
        <f>IF($F864="","",$F864)</f>
        <v/>
      </c>
      <c r="O864" s="17">
        <f>IF($G864="","",$G864)</f>
        <v/>
      </c>
      <c r="P864" s="17">
        <f>IF($K864="","",$K864)</f>
        <v/>
      </c>
      <c r="Q864" s="16" t="n"/>
      <c r="R864" s="18" t="n"/>
      <c r="S864" s="16" t="n"/>
    </row>
    <row r="865">
      <c r="A865" s="14">
        <f>IFERROR(IF(AND(IFERROR(INDEX(ERP資料!$A:$A, (MATCH(864, 輔助計算!$F$2:$F$801, 0)+1)), "")&lt;&gt;"", IFERROR(INDEX(ERP資料!$A:$A, (MATCH(864, 輔助計算!$F$2:$F$801, 0)+1)), "")&lt;&gt;IFERROR(INDEX(ERP資料!$A:$A, MATCH(863, 輔助計算!$F$2:$F$801, 0)+1), "")), INDEX(ERP資料!$B:$B, (MATCH(864, 輔助計算!$F$2:$F$801, 0)+1)), ""), "")</f>
        <v/>
      </c>
      <c r="B865" s="10">
        <f>IFERROR(IF(AND(IFERROR(INDEX(ERP資料!$A:$A, (MATCH(864, 輔助計算!$F$2:$F$801, 0)+1)), "")&lt;&gt;"", IFERROR(INDEX(ERP資料!$A:$A, (MATCH(864, 輔助計算!$F$2:$F$801, 0)+1)), "")&lt;&gt;IFERROR(INDEX(ERP資料!$A:$A, MATCH(863, 輔助計算!$F$2:$F$801, 0)+1), "")), IFERROR(INDEX(ERP資料!$A:$A, (MATCH(864, 輔助計算!$F$2:$F$801, 0)+1)), ""), ""), "")</f>
        <v/>
      </c>
      <c r="C865" s="10">
        <f>IFERROR(IF(AND(IFERROR(INDEX(ERP資料!$A:$A, (MATCH(864, 輔助計算!$F$2:$F$801, 0)+1)), "")&lt;&gt;"", IFERROR(INDEX(ERP資料!$A:$A, (MATCH(864, 輔助計算!$F$2:$F$801, 0)+1)), "")&lt;&gt;IFERROR(INDEX(ERP資料!$A:$A, MATCH(863, 輔助計算!$F$2:$F$801, 0)+1), "")), INDEX(ERP資料!$S:$S, (MATCH(864, 輔助計算!$F$2:$F$801, 0)+1)), ""), "")</f>
        <v/>
      </c>
      <c r="D865" s="10">
        <f>IFERROR(IF(INDEX(ERP資料!$E:$E, (MATCH(864, 輔助計算!$F$2:$F$801, 0)+1))="","",TRIM(INDEX(ERP資料!$E:$E, (MATCH(864, 輔助計算!$F$2:$F$801, 0)+1)))), "")</f>
        <v/>
      </c>
      <c r="E865" s="10">
        <f>IFERROR(IF(INDEX(ERP資料!$F:$F, (MATCH(864, 輔助計算!$F$2:$F$801, 0)+1))="","",INDEX(ERP資料!$F:$F, (MATCH(864, 輔助計算!$F$2:$F$801, 0)+1))), "")</f>
        <v/>
      </c>
      <c r="F865" s="10">
        <f>IFERROR(IF(INDEX(ERP資料!$G:$G, (MATCH(864, 輔助計算!$F$2:$F$801, 0)+1))="","",INDEX(ERP資料!$G:$G, (MATCH(864, 輔助計算!$F$2:$F$801, 0)+1))), "")</f>
        <v/>
      </c>
      <c r="G865" s="10">
        <f>IFERROR(IF(INDEX(ERP資料!$H:$H, (MATCH(864, 輔助計算!$F$2:$F$801, 0)+1))="","",INDEX(ERP資料!$H:$H, (MATCH(864, 輔助計算!$F$2:$F$801, 0)+1))), "")</f>
        <v/>
      </c>
      <c r="H865" s="10">
        <f>IFERROR(IF(INDEX(ERP資料!$O:$O, (MATCH(864, 輔助計算!$F$2:$F$801, 0)+1))="","",INDEX(ERP資料!$O:$O, (MATCH(864, 輔助計算!$F$2:$F$801, 0)+1))), "")</f>
        <v/>
      </c>
      <c r="I865" s="15">
        <f>IFERROR(IF(INDEX(輔助計算!$D:$D,(MATCH(864, 輔助計算!$F$2:$F$801, 0)+1))="","",INDEX(輔助計算!$D:$D,(MATCH(864, 輔助計算!$F$2:$F$801, 0)+1))*INDEX(ERP資料!$O:$O,(MATCH(864, 輔助計算!$F$2:$F$801, 0)+1))), "")</f>
        <v/>
      </c>
      <c r="J865" s="16" t="n"/>
      <c r="K865" s="15">
        <f>IFERROR(INDEX(輔助計算!$D:$D, (MATCH(864, 輔助計算!$F$2:$F$801, 0)+1)), "")</f>
        <v/>
      </c>
      <c r="L865" s="16">
        <f>IFERROR(IF(AND(IFERROR(VLOOKUP(LEFT(INDEX(ERP資料!$S:$S, (MATCH(864, 輔助計算!$F$2:$F$801, 0)+1)), 4), 100張客戶!$A:$A, 1, FALSE), "")&lt;&gt;"", OR(INDEX(ERP資料!$F:$F, (MATCH(864, 輔助計算!$F$2:$F$801, 0)+1))=270, INDEX(ERP資料!$F:$F, (MATCH(864, 輔助計算!$F$2:$F$801, 0)+1))=300)), "100張", ""), "")</f>
        <v/>
      </c>
      <c r="M865" s="17" t="n"/>
      <c r="N865" s="17">
        <f>IF($F865="","",$F865)</f>
        <v/>
      </c>
      <c r="O865" s="17">
        <f>IF($G865="","",$G865)</f>
        <v/>
      </c>
      <c r="P865" s="17">
        <f>IF($K865="","",$K865)</f>
        <v/>
      </c>
      <c r="Q865" s="16" t="n"/>
      <c r="R865" s="18" t="n"/>
      <c r="S865" s="16" t="n"/>
    </row>
    <row r="866">
      <c r="A866" s="14">
        <f>IFERROR(IF(AND(IFERROR(INDEX(ERP資料!$A:$A, (MATCH(865, 輔助計算!$F$2:$F$801, 0)+1)), "")&lt;&gt;"", IFERROR(INDEX(ERP資料!$A:$A, (MATCH(865, 輔助計算!$F$2:$F$801, 0)+1)), "")&lt;&gt;IFERROR(INDEX(ERP資料!$A:$A, MATCH(864, 輔助計算!$F$2:$F$801, 0)+1), "")), INDEX(ERP資料!$B:$B, (MATCH(865, 輔助計算!$F$2:$F$801, 0)+1)), ""), "")</f>
        <v/>
      </c>
      <c r="B866" s="10">
        <f>IFERROR(IF(AND(IFERROR(INDEX(ERP資料!$A:$A, (MATCH(865, 輔助計算!$F$2:$F$801, 0)+1)), "")&lt;&gt;"", IFERROR(INDEX(ERP資料!$A:$A, (MATCH(865, 輔助計算!$F$2:$F$801, 0)+1)), "")&lt;&gt;IFERROR(INDEX(ERP資料!$A:$A, MATCH(864, 輔助計算!$F$2:$F$801, 0)+1), "")), IFERROR(INDEX(ERP資料!$A:$A, (MATCH(865, 輔助計算!$F$2:$F$801, 0)+1)), ""), ""), "")</f>
        <v/>
      </c>
      <c r="C866" s="10">
        <f>IFERROR(IF(AND(IFERROR(INDEX(ERP資料!$A:$A, (MATCH(865, 輔助計算!$F$2:$F$801, 0)+1)), "")&lt;&gt;"", IFERROR(INDEX(ERP資料!$A:$A, (MATCH(865, 輔助計算!$F$2:$F$801, 0)+1)), "")&lt;&gt;IFERROR(INDEX(ERP資料!$A:$A, MATCH(864, 輔助計算!$F$2:$F$801, 0)+1), "")), INDEX(ERP資料!$S:$S, (MATCH(865, 輔助計算!$F$2:$F$801, 0)+1)), ""), "")</f>
        <v/>
      </c>
      <c r="D866" s="10">
        <f>IFERROR(IF(INDEX(ERP資料!$E:$E, (MATCH(865, 輔助計算!$F$2:$F$801, 0)+1))="","",TRIM(INDEX(ERP資料!$E:$E, (MATCH(865, 輔助計算!$F$2:$F$801, 0)+1)))), "")</f>
        <v/>
      </c>
      <c r="E866" s="10">
        <f>IFERROR(IF(INDEX(ERP資料!$F:$F, (MATCH(865, 輔助計算!$F$2:$F$801, 0)+1))="","",INDEX(ERP資料!$F:$F, (MATCH(865, 輔助計算!$F$2:$F$801, 0)+1))), "")</f>
        <v/>
      </c>
      <c r="F866" s="10">
        <f>IFERROR(IF(INDEX(ERP資料!$G:$G, (MATCH(865, 輔助計算!$F$2:$F$801, 0)+1))="","",INDEX(ERP資料!$G:$G, (MATCH(865, 輔助計算!$F$2:$F$801, 0)+1))), "")</f>
        <v/>
      </c>
      <c r="G866" s="10">
        <f>IFERROR(IF(INDEX(ERP資料!$H:$H, (MATCH(865, 輔助計算!$F$2:$F$801, 0)+1))="","",INDEX(ERP資料!$H:$H, (MATCH(865, 輔助計算!$F$2:$F$801, 0)+1))), "")</f>
        <v/>
      </c>
      <c r="H866" s="10">
        <f>IFERROR(IF(INDEX(ERP資料!$O:$O, (MATCH(865, 輔助計算!$F$2:$F$801, 0)+1))="","",INDEX(ERP資料!$O:$O, (MATCH(865, 輔助計算!$F$2:$F$801, 0)+1))), "")</f>
        <v/>
      </c>
      <c r="I866" s="15">
        <f>IFERROR(IF(INDEX(輔助計算!$D:$D,(MATCH(865, 輔助計算!$F$2:$F$801, 0)+1))="","",INDEX(輔助計算!$D:$D,(MATCH(865, 輔助計算!$F$2:$F$801, 0)+1))*INDEX(ERP資料!$O:$O,(MATCH(865, 輔助計算!$F$2:$F$801, 0)+1))), "")</f>
        <v/>
      </c>
      <c r="J866" s="16" t="n"/>
      <c r="K866" s="15">
        <f>IFERROR(INDEX(輔助計算!$D:$D, (MATCH(865, 輔助計算!$F$2:$F$801, 0)+1)), "")</f>
        <v/>
      </c>
      <c r="L866" s="16">
        <f>IFERROR(IF(AND(IFERROR(VLOOKUP(LEFT(INDEX(ERP資料!$S:$S, (MATCH(865, 輔助計算!$F$2:$F$801, 0)+1)), 4), 100張客戶!$A:$A, 1, FALSE), "")&lt;&gt;"", OR(INDEX(ERP資料!$F:$F, (MATCH(865, 輔助計算!$F$2:$F$801, 0)+1))=270, INDEX(ERP資料!$F:$F, (MATCH(865, 輔助計算!$F$2:$F$801, 0)+1))=300)), "100張", ""), "")</f>
        <v/>
      </c>
      <c r="M866" s="17" t="n"/>
      <c r="N866" s="17">
        <f>IF($F866="","",$F866)</f>
        <v/>
      </c>
      <c r="O866" s="17">
        <f>IF($G866="","",$G866)</f>
        <v/>
      </c>
      <c r="P866" s="17">
        <f>IF($K866="","",$K866)</f>
        <v/>
      </c>
      <c r="Q866" s="16" t="n"/>
      <c r="R866" s="18" t="n"/>
      <c r="S866" s="16" t="n"/>
    </row>
    <row r="867">
      <c r="A867" s="14">
        <f>IFERROR(IF(AND(IFERROR(INDEX(ERP資料!$A:$A, (MATCH(866, 輔助計算!$F$2:$F$801, 0)+1)), "")&lt;&gt;"", IFERROR(INDEX(ERP資料!$A:$A, (MATCH(866, 輔助計算!$F$2:$F$801, 0)+1)), "")&lt;&gt;IFERROR(INDEX(ERP資料!$A:$A, MATCH(865, 輔助計算!$F$2:$F$801, 0)+1), "")), INDEX(ERP資料!$B:$B, (MATCH(866, 輔助計算!$F$2:$F$801, 0)+1)), ""), "")</f>
        <v/>
      </c>
      <c r="B867" s="10">
        <f>IFERROR(IF(AND(IFERROR(INDEX(ERP資料!$A:$A, (MATCH(866, 輔助計算!$F$2:$F$801, 0)+1)), "")&lt;&gt;"", IFERROR(INDEX(ERP資料!$A:$A, (MATCH(866, 輔助計算!$F$2:$F$801, 0)+1)), "")&lt;&gt;IFERROR(INDEX(ERP資料!$A:$A, MATCH(865, 輔助計算!$F$2:$F$801, 0)+1), "")), IFERROR(INDEX(ERP資料!$A:$A, (MATCH(866, 輔助計算!$F$2:$F$801, 0)+1)), ""), ""), "")</f>
        <v/>
      </c>
      <c r="C867" s="10">
        <f>IFERROR(IF(AND(IFERROR(INDEX(ERP資料!$A:$A, (MATCH(866, 輔助計算!$F$2:$F$801, 0)+1)), "")&lt;&gt;"", IFERROR(INDEX(ERP資料!$A:$A, (MATCH(866, 輔助計算!$F$2:$F$801, 0)+1)), "")&lt;&gt;IFERROR(INDEX(ERP資料!$A:$A, MATCH(865, 輔助計算!$F$2:$F$801, 0)+1), "")), INDEX(ERP資料!$S:$S, (MATCH(866, 輔助計算!$F$2:$F$801, 0)+1)), ""), "")</f>
        <v/>
      </c>
      <c r="D867" s="10">
        <f>IFERROR(IF(INDEX(ERP資料!$E:$E, (MATCH(866, 輔助計算!$F$2:$F$801, 0)+1))="","",TRIM(INDEX(ERP資料!$E:$E, (MATCH(866, 輔助計算!$F$2:$F$801, 0)+1)))), "")</f>
        <v/>
      </c>
      <c r="E867" s="10">
        <f>IFERROR(IF(INDEX(ERP資料!$F:$F, (MATCH(866, 輔助計算!$F$2:$F$801, 0)+1))="","",INDEX(ERP資料!$F:$F, (MATCH(866, 輔助計算!$F$2:$F$801, 0)+1))), "")</f>
        <v/>
      </c>
      <c r="F867" s="10">
        <f>IFERROR(IF(INDEX(ERP資料!$G:$G, (MATCH(866, 輔助計算!$F$2:$F$801, 0)+1))="","",INDEX(ERP資料!$G:$G, (MATCH(866, 輔助計算!$F$2:$F$801, 0)+1))), "")</f>
        <v/>
      </c>
      <c r="G867" s="10">
        <f>IFERROR(IF(INDEX(ERP資料!$H:$H, (MATCH(866, 輔助計算!$F$2:$F$801, 0)+1))="","",INDEX(ERP資料!$H:$H, (MATCH(866, 輔助計算!$F$2:$F$801, 0)+1))), "")</f>
        <v/>
      </c>
      <c r="H867" s="10">
        <f>IFERROR(IF(INDEX(ERP資料!$O:$O, (MATCH(866, 輔助計算!$F$2:$F$801, 0)+1))="","",INDEX(ERP資料!$O:$O, (MATCH(866, 輔助計算!$F$2:$F$801, 0)+1))), "")</f>
        <v/>
      </c>
      <c r="I867" s="15">
        <f>IFERROR(IF(INDEX(輔助計算!$D:$D,(MATCH(866, 輔助計算!$F$2:$F$801, 0)+1))="","",INDEX(輔助計算!$D:$D,(MATCH(866, 輔助計算!$F$2:$F$801, 0)+1))*INDEX(ERP資料!$O:$O,(MATCH(866, 輔助計算!$F$2:$F$801, 0)+1))), "")</f>
        <v/>
      </c>
      <c r="J867" s="16" t="n"/>
      <c r="K867" s="15">
        <f>IFERROR(INDEX(輔助計算!$D:$D, (MATCH(866, 輔助計算!$F$2:$F$801, 0)+1)), "")</f>
        <v/>
      </c>
      <c r="L867" s="16">
        <f>IFERROR(IF(AND(IFERROR(VLOOKUP(LEFT(INDEX(ERP資料!$S:$S, (MATCH(866, 輔助計算!$F$2:$F$801, 0)+1)), 4), 100張客戶!$A:$A, 1, FALSE), "")&lt;&gt;"", OR(INDEX(ERP資料!$F:$F, (MATCH(866, 輔助計算!$F$2:$F$801, 0)+1))=270, INDEX(ERP資料!$F:$F, (MATCH(866, 輔助計算!$F$2:$F$801, 0)+1))=300)), "100張", ""), "")</f>
        <v/>
      </c>
      <c r="M867" s="17" t="n"/>
      <c r="N867" s="17">
        <f>IF($F867="","",$F867)</f>
        <v/>
      </c>
      <c r="O867" s="17">
        <f>IF($G867="","",$G867)</f>
        <v/>
      </c>
      <c r="P867" s="17">
        <f>IF($K867="","",$K867)</f>
        <v/>
      </c>
      <c r="Q867" s="16" t="n"/>
      <c r="R867" s="18" t="n"/>
      <c r="S867" s="16" t="n"/>
    </row>
    <row r="868">
      <c r="A868" s="14">
        <f>IFERROR(IF(AND(IFERROR(INDEX(ERP資料!$A:$A, (MATCH(867, 輔助計算!$F$2:$F$801, 0)+1)), "")&lt;&gt;"", IFERROR(INDEX(ERP資料!$A:$A, (MATCH(867, 輔助計算!$F$2:$F$801, 0)+1)), "")&lt;&gt;IFERROR(INDEX(ERP資料!$A:$A, MATCH(866, 輔助計算!$F$2:$F$801, 0)+1), "")), INDEX(ERP資料!$B:$B, (MATCH(867, 輔助計算!$F$2:$F$801, 0)+1)), ""), "")</f>
        <v/>
      </c>
      <c r="B868" s="10">
        <f>IFERROR(IF(AND(IFERROR(INDEX(ERP資料!$A:$A, (MATCH(867, 輔助計算!$F$2:$F$801, 0)+1)), "")&lt;&gt;"", IFERROR(INDEX(ERP資料!$A:$A, (MATCH(867, 輔助計算!$F$2:$F$801, 0)+1)), "")&lt;&gt;IFERROR(INDEX(ERP資料!$A:$A, MATCH(866, 輔助計算!$F$2:$F$801, 0)+1), "")), IFERROR(INDEX(ERP資料!$A:$A, (MATCH(867, 輔助計算!$F$2:$F$801, 0)+1)), ""), ""), "")</f>
        <v/>
      </c>
      <c r="C868" s="10">
        <f>IFERROR(IF(AND(IFERROR(INDEX(ERP資料!$A:$A, (MATCH(867, 輔助計算!$F$2:$F$801, 0)+1)), "")&lt;&gt;"", IFERROR(INDEX(ERP資料!$A:$A, (MATCH(867, 輔助計算!$F$2:$F$801, 0)+1)), "")&lt;&gt;IFERROR(INDEX(ERP資料!$A:$A, MATCH(866, 輔助計算!$F$2:$F$801, 0)+1), "")), INDEX(ERP資料!$S:$S, (MATCH(867, 輔助計算!$F$2:$F$801, 0)+1)), ""), "")</f>
        <v/>
      </c>
      <c r="D868" s="10">
        <f>IFERROR(IF(INDEX(ERP資料!$E:$E, (MATCH(867, 輔助計算!$F$2:$F$801, 0)+1))="","",TRIM(INDEX(ERP資料!$E:$E, (MATCH(867, 輔助計算!$F$2:$F$801, 0)+1)))), "")</f>
        <v/>
      </c>
      <c r="E868" s="10">
        <f>IFERROR(IF(INDEX(ERP資料!$F:$F, (MATCH(867, 輔助計算!$F$2:$F$801, 0)+1))="","",INDEX(ERP資料!$F:$F, (MATCH(867, 輔助計算!$F$2:$F$801, 0)+1))), "")</f>
        <v/>
      </c>
      <c r="F868" s="10">
        <f>IFERROR(IF(INDEX(ERP資料!$G:$G, (MATCH(867, 輔助計算!$F$2:$F$801, 0)+1))="","",INDEX(ERP資料!$G:$G, (MATCH(867, 輔助計算!$F$2:$F$801, 0)+1))), "")</f>
        <v/>
      </c>
      <c r="G868" s="10">
        <f>IFERROR(IF(INDEX(ERP資料!$H:$H, (MATCH(867, 輔助計算!$F$2:$F$801, 0)+1))="","",INDEX(ERP資料!$H:$H, (MATCH(867, 輔助計算!$F$2:$F$801, 0)+1))), "")</f>
        <v/>
      </c>
      <c r="H868" s="10">
        <f>IFERROR(IF(INDEX(ERP資料!$O:$O, (MATCH(867, 輔助計算!$F$2:$F$801, 0)+1))="","",INDEX(ERP資料!$O:$O, (MATCH(867, 輔助計算!$F$2:$F$801, 0)+1))), "")</f>
        <v/>
      </c>
      <c r="I868" s="15">
        <f>IFERROR(IF(INDEX(輔助計算!$D:$D,(MATCH(867, 輔助計算!$F$2:$F$801, 0)+1))="","",INDEX(輔助計算!$D:$D,(MATCH(867, 輔助計算!$F$2:$F$801, 0)+1))*INDEX(ERP資料!$O:$O,(MATCH(867, 輔助計算!$F$2:$F$801, 0)+1))), "")</f>
        <v/>
      </c>
      <c r="J868" s="16" t="n"/>
      <c r="K868" s="15">
        <f>IFERROR(INDEX(輔助計算!$D:$D, (MATCH(867, 輔助計算!$F$2:$F$801, 0)+1)), "")</f>
        <v/>
      </c>
      <c r="L868" s="16">
        <f>IFERROR(IF(AND(IFERROR(VLOOKUP(LEFT(INDEX(ERP資料!$S:$S, (MATCH(867, 輔助計算!$F$2:$F$801, 0)+1)), 4), 100張客戶!$A:$A, 1, FALSE), "")&lt;&gt;"", OR(INDEX(ERP資料!$F:$F, (MATCH(867, 輔助計算!$F$2:$F$801, 0)+1))=270, INDEX(ERP資料!$F:$F, (MATCH(867, 輔助計算!$F$2:$F$801, 0)+1))=300)), "100張", ""), "")</f>
        <v/>
      </c>
      <c r="M868" s="17" t="n"/>
      <c r="N868" s="17">
        <f>IF($F868="","",$F868)</f>
        <v/>
      </c>
      <c r="O868" s="17">
        <f>IF($G868="","",$G868)</f>
        <v/>
      </c>
      <c r="P868" s="17">
        <f>IF($K868="","",$K868)</f>
        <v/>
      </c>
      <c r="Q868" s="16" t="n"/>
      <c r="R868" s="18" t="n"/>
      <c r="S868" s="16" t="n"/>
    </row>
    <row r="869">
      <c r="A869" s="14">
        <f>IFERROR(IF(AND(IFERROR(INDEX(ERP資料!$A:$A, (MATCH(868, 輔助計算!$F$2:$F$801, 0)+1)), "")&lt;&gt;"", IFERROR(INDEX(ERP資料!$A:$A, (MATCH(868, 輔助計算!$F$2:$F$801, 0)+1)), "")&lt;&gt;IFERROR(INDEX(ERP資料!$A:$A, MATCH(867, 輔助計算!$F$2:$F$801, 0)+1), "")), INDEX(ERP資料!$B:$B, (MATCH(868, 輔助計算!$F$2:$F$801, 0)+1)), ""), "")</f>
        <v/>
      </c>
      <c r="B869" s="10">
        <f>IFERROR(IF(AND(IFERROR(INDEX(ERP資料!$A:$A, (MATCH(868, 輔助計算!$F$2:$F$801, 0)+1)), "")&lt;&gt;"", IFERROR(INDEX(ERP資料!$A:$A, (MATCH(868, 輔助計算!$F$2:$F$801, 0)+1)), "")&lt;&gt;IFERROR(INDEX(ERP資料!$A:$A, MATCH(867, 輔助計算!$F$2:$F$801, 0)+1), "")), IFERROR(INDEX(ERP資料!$A:$A, (MATCH(868, 輔助計算!$F$2:$F$801, 0)+1)), ""), ""), "")</f>
        <v/>
      </c>
      <c r="C869" s="10">
        <f>IFERROR(IF(AND(IFERROR(INDEX(ERP資料!$A:$A, (MATCH(868, 輔助計算!$F$2:$F$801, 0)+1)), "")&lt;&gt;"", IFERROR(INDEX(ERP資料!$A:$A, (MATCH(868, 輔助計算!$F$2:$F$801, 0)+1)), "")&lt;&gt;IFERROR(INDEX(ERP資料!$A:$A, MATCH(867, 輔助計算!$F$2:$F$801, 0)+1), "")), INDEX(ERP資料!$S:$S, (MATCH(868, 輔助計算!$F$2:$F$801, 0)+1)), ""), "")</f>
        <v/>
      </c>
      <c r="D869" s="10">
        <f>IFERROR(IF(INDEX(ERP資料!$E:$E, (MATCH(868, 輔助計算!$F$2:$F$801, 0)+1))="","",TRIM(INDEX(ERP資料!$E:$E, (MATCH(868, 輔助計算!$F$2:$F$801, 0)+1)))), "")</f>
        <v/>
      </c>
      <c r="E869" s="10">
        <f>IFERROR(IF(INDEX(ERP資料!$F:$F, (MATCH(868, 輔助計算!$F$2:$F$801, 0)+1))="","",INDEX(ERP資料!$F:$F, (MATCH(868, 輔助計算!$F$2:$F$801, 0)+1))), "")</f>
        <v/>
      </c>
      <c r="F869" s="10">
        <f>IFERROR(IF(INDEX(ERP資料!$G:$G, (MATCH(868, 輔助計算!$F$2:$F$801, 0)+1))="","",INDEX(ERP資料!$G:$G, (MATCH(868, 輔助計算!$F$2:$F$801, 0)+1))), "")</f>
        <v/>
      </c>
      <c r="G869" s="10">
        <f>IFERROR(IF(INDEX(ERP資料!$H:$H, (MATCH(868, 輔助計算!$F$2:$F$801, 0)+1))="","",INDEX(ERP資料!$H:$H, (MATCH(868, 輔助計算!$F$2:$F$801, 0)+1))), "")</f>
        <v/>
      </c>
      <c r="H869" s="10">
        <f>IFERROR(IF(INDEX(ERP資料!$O:$O, (MATCH(868, 輔助計算!$F$2:$F$801, 0)+1))="","",INDEX(ERP資料!$O:$O, (MATCH(868, 輔助計算!$F$2:$F$801, 0)+1))), "")</f>
        <v/>
      </c>
      <c r="I869" s="15">
        <f>IFERROR(IF(INDEX(輔助計算!$D:$D,(MATCH(868, 輔助計算!$F$2:$F$801, 0)+1))="","",INDEX(輔助計算!$D:$D,(MATCH(868, 輔助計算!$F$2:$F$801, 0)+1))*INDEX(ERP資料!$O:$O,(MATCH(868, 輔助計算!$F$2:$F$801, 0)+1))), "")</f>
        <v/>
      </c>
      <c r="J869" s="16" t="n"/>
      <c r="K869" s="15">
        <f>IFERROR(INDEX(輔助計算!$D:$D, (MATCH(868, 輔助計算!$F$2:$F$801, 0)+1)), "")</f>
        <v/>
      </c>
      <c r="L869" s="16">
        <f>IFERROR(IF(AND(IFERROR(VLOOKUP(LEFT(INDEX(ERP資料!$S:$S, (MATCH(868, 輔助計算!$F$2:$F$801, 0)+1)), 4), 100張客戶!$A:$A, 1, FALSE), "")&lt;&gt;"", OR(INDEX(ERP資料!$F:$F, (MATCH(868, 輔助計算!$F$2:$F$801, 0)+1))=270, INDEX(ERP資料!$F:$F, (MATCH(868, 輔助計算!$F$2:$F$801, 0)+1))=300)), "100張", ""), "")</f>
        <v/>
      </c>
      <c r="M869" s="17" t="n"/>
      <c r="N869" s="17">
        <f>IF($F869="","",$F869)</f>
        <v/>
      </c>
      <c r="O869" s="17">
        <f>IF($G869="","",$G869)</f>
        <v/>
      </c>
      <c r="P869" s="17">
        <f>IF($K869="","",$K869)</f>
        <v/>
      </c>
      <c r="Q869" s="16" t="n"/>
      <c r="R869" s="18" t="n"/>
      <c r="S869" s="16" t="n"/>
    </row>
    <row r="870">
      <c r="A870" s="14">
        <f>IFERROR(IF(AND(IFERROR(INDEX(ERP資料!$A:$A, (MATCH(869, 輔助計算!$F$2:$F$801, 0)+1)), "")&lt;&gt;"", IFERROR(INDEX(ERP資料!$A:$A, (MATCH(869, 輔助計算!$F$2:$F$801, 0)+1)), "")&lt;&gt;IFERROR(INDEX(ERP資料!$A:$A, MATCH(868, 輔助計算!$F$2:$F$801, 0)+1), "")), INDEX(ERP資料!$B:$B, (MATCH(869, 輔助計算!$F$2:$F$801, 0)+1)), ""), "")</f>
        <v/>
      </c>
      <c r="B870" s="10">
        <f>IFERROR(IF(AND(IFERROR(INDEX(ERP資料!$A:$A, (MATCH(869, 輔助計算!$F$2:$F$801, 0)+1)), "")&lt;&gt;"", IFERROR(INDEX(ERP資料!$A:$A, (MATCH(869, 輔助計算!$F$2:$F$801, 0)+1)), "")&lt;&gt;IFERROR(INDEX(ERP資料!$A:$A, MATCH(868, 輔助計算!$F$2:$F$801, 0)+1), "")), IFERROR(INDEX(ERP資料!$A:$A, (MATCH(869, 輔助計算!$F$2:$F$801, 0)+1)), ""), ""), "")</f>
        <v/>
      </c>
      <c r="C870" s="10">
        <f>IFERROR(IF(AND(IFERROR(INDEX(ERP資料!$A:$A, (MATCH(869, 輔助計算!$F$2:$F$801, 0)+1)), "")&lt;&gt;"", IFERROR(INDEX(ERP資料!$A:$A, (MATCH(869, 輔助計算!$F$2:$F$801, 0)+1)), "")&lt;&gt;IFERROR(INDEX(ERP資料!$A:$A, MATCH(868, 輔助計算!$F$2:$F$801, 0)+1), "")), INDEX(ERP資料!$S:$S, (MATCH(869, 輔助計算!$F$2:$F$801, 0)+1)), ""), "")</f>
        <v/>
      </c>
      <c r="D870" s="10">
        <f>IFERROR(IF(INDEX(ERP資料!$E:$E, (MATCH(869, 輔助計算!$F$2:$F$801, 0)+1))="","",TRIM(INDEX(ERP資料!$E:$E, (MATCH(869, 輔助計算!$F$2:$F$801, 0)+1)))), "")</f>
        <v/>
      </c>
      <c r="E870" s="10">
        <f>IFERROR(IF(INDEX(ERP資料!$F:$F, (MATCH(869, 輔助計算!$F$2:$F$801, 0)+1))="","",INDEX(ERP資料!$F:$F, (MATCH(869, 輔助計算!$F$2:$F$801, 0)+1))), "")</f>
        <v/>
      </c>
      <c r="F870" s="10">
        <f>IFERROR(IF(INDEX(ERP資料!$G:$G, (MATCH(869, 輔助計算!$F$2:$F$801, 0)+1))="","",INDEX(ERP資料!$G:$G, (MATCH(869, 輔助計算!$F$2:$F$801, 0)+1))), "")</f>
        <v/>
      </c>
      <c r="G870" s="10">
        <f>IFERROR(IF(INDEX(ERP資料!$H:$H, (MATCH(869, 輔助計算!$F$2:$F$801, 0)+1))="","",INDEX(ERP資料!$H:$H, (MATCH(869, 輔助計算!$F$2:$F$801, 0)+1))), "")</f>
        <v/>
      </c>
      <c r="H870" s="10">
        <f>IFERROR(IF(INDEX(ERP資料!$O:$O, (MATCH(869, 輔助計算!$F$2:$F$801, 0)+1))="","",INDEX(ERP資料!$O:$O, (MATCH(869, 輔助計算!$F$2:$F$801, 0)+1))), "")</f>
        <v/>
      </c>
      <c r="I870" s="15">
        <f>IFERROR(IF(INDEX(輔助計算!$D:$D,(MATCH(869, 輔助計算!$F$2:$F$801, 0)+1))="","",INDEX(輔助計算!$D:$D,(MATCH(869, 輔助計算!$F$2:$F$801, 0)+1))*INDEX(ERP資料!$O:$O,(MATCH(869, 輔助計算!$F$2:$F$801, 0)+1))), "")</f>
        <v/>
      </c>
      <c r="J870" s="16" t="n"/>
      <c r="K870" s="15">
        <f>IFERROR(INDEX(輔助計算!$D:$D, (MATCH(869, 輔助計算!$F$2:$F$801, 0)+1)), "")</f>
        <v/>
      </c>
      <c r="L870" s="16">
        <f>IFERROR(IF(AND(IFERROR(VLOOKUP(LEFT(INDEX(ERP資料!$S:$S, (MATCH(869, 輔助計算!$F$2:$F$801, 0)+1)), 4), 100張客戶!$A:$A, 1, FALSE), "")&lt;&gt;"", OR(INDEX(ERP資料!$F:$F, (MATCH(869, 輔助計算!$F$2:$F$801, 0)+1))=270, INDEX(ERP資料!$F:$F, (MATCH(869, 輔助計算!$F$2:$F$801, 0)+1))=300)), "100張", ""), "")</f>
        <v/>
      </c>
      <c r="M870" s="17" t="n"/>
      <c r="N870" s="17">
        <f>IF($F870="","",$F870)</f>
        <v/>
      </c>
      <c r="O870" s="17">
        <f>IF($G870="","",$G870)</f>
        <v/>
      </c>
      <c r="P870" s="17">
        <f>IF($K870="","",$K870)</f>
        <v/>
      </c>
      <c r="Q870" s="16" t="n"/>
      <c r="R870" s="18" t="n"/>
      <c r="S870" s="16" t="n"/>
    </row>
    <row r="871">
      <c r="A871" s="14">
        <f>IFERROR(IF(AND(IFERROR(INDEX(ERP資料!$A:$A, (MATCH(870, 輔助計算!$F$2:$F$801, 0)+1)), "")&lt;&gt;"", IFERROR(INDEX(ERP資料!$A:$A, (MATCH(870, 輔助計算!$F$2:$F$801, 0)+1)), "")&lt;&gt;IFERROR(INDEX(ERP資料!$A:$A, MATCH(869, 輔助計算!$F$2:$F$801, 0)+1), "")), INDEX(ERP資料!$B:$B, (MATCH(870, 輔助計算!$F$2:$F$801, 0)+1)), ""), "")</f>
        <v/>
      </c>
      <c r="B871" s="10">
        <f>IFERROR(IF(AND(IFERROR(INDEX(ERP資料!$A:$A, (MATCH(870, 輔助計算!$F$2:$F$801, 0)+1)), "")&lt;&gt;"", IFERROR(INDEX(ERP資料!$A:$A, (MATCH(870, 輔助計算!$F$2:$F$801, 0)+1)), "")&lt;&gt;IFERROR(INDEX(ERP資料!$A:$A, MATCH(869, 輔助計算!$F$2:$F$801, 0)+1), "")), IFERROR(INDEX(ERP資料!$A:$A, (MATCH(870, 輔助計算!$F$2:$F$801, 0)+1)), ""), ""), "")</f>
        <v/>
      </c>
      <c r="C871" s="10">
        <f>IFERROR(IF(AND(IFERROR(INDEX(ERP資料!$A:$A, (MATCH(870, 輔助計算!$F$2:$F$801, 0)+1)), "")&lt;&gt;"", IFERROR(INDEX(ERP資料!$A:$A, (MATCH(870, 輔助計算!$F$2:$F$801, 0)+1)), "")&lt;&gt;IFERROR(INDEX(ERP資料!$A:$A, MATCH(869, 輔助計算!$F$2:$F$801, 0)+1), "")), INDEX(ERP資料!$S:$S, (MATCH(870, 輔助計算!$F$2:$F$801, 0)+1)), ""), "")</f>
        <v/>
      </c>
      <c r="D871" s="10">
        <f>IFERROR(IF(INDEX(ERP資料!$E:$E, (MATCH(870, 輔助計算!$F$2:$F$801, 0)+1))="","",TRIM(INDEX(ERP資料!$E:$E, (MATCH(870, 輔助計算!$F$2:$F$801, 0)+1)))), "")</f>
        <v/>
      </c>
      <c r="E871" s="10">
        <f>IFERROR(IF(INDEX(ERP資料!$F:$F, (MATCH(870, 輔助計算!$F$2:$F$801, 0)+1))="","",INDEX(ERP資料!$F:$F, (MATCH(870, 輔助計算!$F$2:$F$801, 0)+1))), "")</f>
        <v/>
      </c>
      <c r="F871" s="10">
        <f>IFERROR(IF(INDEX(ERP資料!$G:$G, (MATCH(870, 輔助計算!$F$2:$F$801, 0)+1))="","",INDEX(ERP資料!$G:$G, (MATCH(870, 輔助計算!$F$2:$F$801, 0)+1))), "")</f>
        <v/>
      </c>
      <c r="G871" s="10">
        <f>IFERROR(IF(INDEX(ERP資料!$H:$H, (MATCH(870, 輔助計算!$F$2:$F$801, 0)+1))="","",INDEX(ERP資料!$H:$H, (MATCH(870, 輔助計算!$F$2:$F$801, 0)+1))), "")</f>
        <v/>
      </c>
      <c r="H871" s="10">
        <f>IFERROR(IF(INDEX(ERP資料!$O:$O, (MATCH(870, 輔助計算!$F$2:$F$801, 0)+1))="","",INDEX(ERP資料!$O:$O, (MATCH(870, 輔助計算!$F$2:$F$801, 0)+1))), "")</f>
        <v/>
      </c>
      <c r="I871" s="15">
        <f>IFERROR(IF(INDEX(輔助計算!$D:$D,(MATCH(870, 輔助計算!$F$2:$F$801, 0)+1))="","",INDEX(輔助計算!$D:$D,(MATCH(870, 輔助計算!$F$2:$F$801, 0)+1))*INDEX(ERP資料!$O:$O,(MATCH(870, 輔助計算!$F$2:$F$801, 0)+1))), "")</f>
        <v/>
      </c>
      <c r="J871" s="16" t="n"/>
      <c r="K871" s="15">
        <f>IFERROR(INDEX(輔助計算!$D:$D, (MATCH(870, 輔助計算!$F$2:$F$801, 0)+1)), "")</f>
        <v/>
      </c>
      <c r="L871" s="16">
        <f>IFERROR(IF(AND(IFERROR(VLOOKUP(LEFT(INDEX(ERP資料!$S:$S, (MATCH(870, 輔助計算!$F$2:$F$801, 0)+1)), 4), 100張客戶!$A:$A, 1, FALSE), "")&lt;&gt;"", OR(INDEX(ERP資料!$F:$F, (MATCH(870, 輔助計算!$F$2:$F$801, 0)+1))=270, INDEX(ERP資料!$F:$F, (MATCH(870, 輔助計算!$F$2:$F$801, 0)+1))=300)), "100張", ""), "")</f>
        <v/>
      </c>
      <c r="M871" s="17" t="n"/>
      <c r="N871" s="17">
        <f>IF($F871="","",$F871)</f>
        <v/>
      </c>
      <c r="O871" s="17">
        <f>IF($G871="","",$G871)</f>
        <v/>
      </c>
      <c r="P871" s="17">
        <f>IF($K871="","",$K871)</f>
        <v/>
      </c>
      <c r="Q871" s="16" t="n"/>
      <c r="R871" s="18" t="n"/>
      <c r="S871" s="16" t="n"/>
    </row>
    <row r="872">
      <c r="A872" s="14">
        <f>IFERROR(IF(AND(IFERROR(INDEX(ERP資料!$A:$A, (MATCH(871, 輔助計算!$F$2:$F$801, 0)+1)), "")&lt;&gt;"", IFERROR(INDEX(ERP資料!$A:$A, (MATCH(871, 輔助計算!$F$2:$F$801, 0)+1)), "")&lt;&gt;IFERROR(INDEX(ERP資料!$A:$A, MATCH(870, 輔助計算!$F$2:$F$801, 0)+1), "")), INDEX(ERP資料!$B:$B, (MATCH(871, 輔助計算!$F$2:$F$801, 0)+1)), ""), "")</f>
        <v/>
      </c>
      <c r="B872" s="10">
        <f>IFERROR(IF(AND(IFERROR(INDEX(ERP資料!$A:$A, (MATCH(871, 輔助計算!$F$2:$F$801, 0)+1)), "")&lt;&gt;"", IFERROR(INDEX(ERP資料!$A:$A, (MATCH(871, 輔助計算!$F$2:$F$801, 0)+1)), "")&lt;&gt;IFERROR(INDEX(ERP資料!$A:$A, MATCH(870, 輔助計算!$F$2:$F$801, 0)+1), "")), IFERROR(INDEX(ERP資料!$A:$A, (MATCH(871, 輔助計算!$F$2:$F$801, 0)+1)), ""), ""), "")</f>
        <v/>
      </c>
      <c r="C872" s="10">
        <f>IFERROR(IF(AND(IFERROR(INDEX(ERP資料!$A:$A, (MATCH(871, 輔助計算!$F$2:$F$801, 0)+1)), "")&lt;&gt;"", IFERROR(INDEX(ERP資料!$A:$A, (MATCH(871, 輔助計算!$F$2:$F$801, 0)+1)), "")&lt;&gt;IFERROR(INDEX(ERP資料!$A:$A, MATCH(870, 輔助計算!$F$2:$F$801, 0)+1), "")), INDEX(ERP資料!$S:$S, (MATCH(871, 輔助計算!$F$2:$F$801, 0)+1)), ""), "")</f>
        <v/>
      </c>
      <c r="D872" s="10">
        <f>IFERROR(IF(INDEX(ERP資料!$E:$E, (MATCH(871, 輔助計算!$F$2:$F$801, 0)+1))="","",TRIM(INDEX(ERP資料!$E:$E, (MATCH(871, 輔助計算!$F$2:$F$801, 0)+1)))), "")</f>
        <v/>
      </c>
      <c r="E872" s="10">
        <f>IFERROR(IF(INDEX(ERP資料!$F:$F, (MATCH(871, 輔助計算!$F$2:$F$801, 0)+1))="","",INDEX(ERP資料!$F:$F, (MATCH(871, 輔助計算!$F$2:$F$801, 0)+1))), "")</f>
        <v/>
      </c>
      <c r="F872" s="10">
        <f>IFERROR(IF(INDEX(ERP資料!$G:$G, (MATCH(871, 輔助計算!$F$2:$F$801, 0)+1))="","",INDEX(ERP資料!$G:$G, (MATCH(871, 輔助計算!$F$2:$F$801, 0)+1))), "")</f>
        <v/>
      </c>
      <c r="G872" s="10">
        <f>IFERROR(IF(INDEX(ERP資料!$H:$H, (MATCH(871, 輔助計算!$F$2:$F$801, 0)+1))="","",INDEX(ERP資料!$H:$H, (MATCH(871, 輔助計算!$F$2:$F$801, 0)+1))), "")</f>
        <v/>
      </c>
      <c r="H872" s="10">
        <f>IFERROR(IF(INDEX(ERP資料!$O:$O, (MATCH(871, 輔助計算!$F$2:$F$801, 0)+1))="","",INDEX(ERP資料!$O:$O, (MATCH(871, 輔助計算!$F$2:$F$801, 0)+1))), "")</f>
        <v/>
      </c>
      <c r="I872" s="15">
        <f>IFERROR(IF(INDEX(輔助計算!$D:$D,(MATCH(871, 輔助計算!$F$2:$F$801, 0)+1))="","",INDEX(輔助計算!$D:$D,(MATCH(871, 輔助計算!$F$2:$F$801, 0)+1))*INDEX(ERP資料!$O:$O,(MATCH(871, 輔助計算!$F$2:$F$801, 0)+1))), "")</f>
        <v/>
      </c>
      <c r="J872" s="16" t="n"/>
      <c r="K872" s="15">
        <f>IFERROR(INDEX(輔助計算!$D:$D, (MATCH(871, 輔助計算!$F$2:$F$801, 0)+1)), "")</f>
        <v/>
      </c>
      <c r="L872" s="16">
        <f>IFERROR(IF(AND(IFERROR(VLOOKUP(LEFT(INDEX(ERP資料!$S:$S, (MATCH(871, 輔助計算!$F$2:$F$801, 0)+1)), 4), 100張客戶!$A:$A, 1, FALSE), "")&lt;&gt;"", OR(INDEX(ERP資料!$F:$F, (MATCH(871, 輔助計算!$F$2:$F$801, 0)+1))=270, INDEX(ERP資料!$F:$F, (MATCH(871, 輔助計算!$F$2:$F$801, 0)+1))=300)), "100張", ""), "")</f>
        <v/>
      </c>
      <c r="M872" s="17" t="n"/>
      <c r="N872" s="17">
        <f>IF($F872="","",$F872)</f>
        <v/>
      </c>
      <c r="O872" s="17">
        <f>IF($G872="","",$G872)</f>
        <v/>
      </c>
      <c r="P872" s="17">
        <f>IF($K872="","",$K872)</f>
        <v/>
      </c>
      <c r="Q872" s="16" t="n"/>
      <c r="R872" s="18" t="n"/>
      <c r="S872" s="16" t="n"/>
    </row>
    <row r="873">
      <c r="A873" s="14">
        <f>IFERROR(IF(AND(IFERROR(INDEX(ERP資料!$A:$A, (MATCH(872, 輔助計算!$F$2:$F$801, 0)+1)), "")&lt;&gt;"", IFERROR(INDEX(ERP資料!$A:$A, (MATCH(872, 輔助計算!$F$2:$F$801, 0)+1)), "")&lt;&gt;IFERROR(INDEX(ERP資料!$A:$A, MATCH(871, 輔助計算!$F$2:$F$801, 0)+1), "")), INDEX(ERP資料!$B:$B, (MATCH(872, 輔助計算!$F$2:$F$801, 0)+1)), ""), "")</f>
        <v/>
      </c>
      <c r="B873" s="10">
        <f>IFERROR(IF(AND(IFERROR(INDEX(ERP資料!$A:$A, (MATCH(872, 輔助計算!$F$2:$F$801, 0)+1)), "")&lt;&gt;"", IFERROR(INDEX(ERP資料!$A:$A, (MATCH(872, 輔助計算!$F$2:$F$801, 0)+1)), "")&lt;&gt;IFERROR(INDEX(ERP資料!$A:$A, MATCH(871, 輔助計算!$F$2:$F$801, 0)+1), "")), IFERROR(INDEX(ERP資料!$A:$A, (MATCH(872, 輔助計算!$F$2:$F$801, 0)+1)), ""), ""), "")</f>
        <v/>
      </c>
      <c r="C873" s="10">
        <f>IFERROR(IF(AND(IFERROR(INDEX(ERP資料!$A:$A, (MATCH(872, 輔助計算!$F$2:$F$801, 0)+1)), "")&lt;&gt;"", IFERROR(INDEX(ERP資料!$A:$A, (MATCH(872, 輔助計算!$F$2:$F$801, 0)+1)), "")&lt;&gt;IFERROR(INDEX(ERP資料!$A:$A, MATCH(871, 輔助計算!$F$2:$F$801, 0)+1), "")), INDEX(ERP資料!$S:$S, (MATCH(872, 輔助計算!$F$2:$F$801, 0)+1)), ""), "")</f>
        <v/>
      </c>
      <c r="D873" s="10">
        <f>IFERROR(IF(INDEX(ERP資料!$E:$E, (MATCH(872, 輔助計算!$F$2:$F$801, 0)+1))="","",TRIM(INDEX(ERP資料!$E:$E, (MATCH(872, 輔助計算!$F$2:$F$801, 0)+1)))), "")</f>
        <v/>
      </c>
      <c r="E873" s="10">
        <f>IFERROR(IF(INDEX(ERP資料!$F:$F, (MATCH(872, 輔助計算!$F$2:$F$801, 0)+1))="","",INDEX(ERP資料!$F:$F, (MATCH(872, 輔助計算!$F$2:$F$801, 0)+1))), "")</f>
        <v/>
      </c>
      <c r="F873" s="10">
        <f>IFERROR(IF(INDEX(ERP資料!$G:$G, (MATCH(872, 輔助計算!$F$2:$F$801, 0)+1))="","",INDEX(ERP資料!$G:$G, (MATCH(872, 輔助計算!$F$2:$F$801, 0)+1))), "")</f>
        <v/>
      </c>
      <c r="G873" s="10">
        <f>IFERROR(IF(INDEX(ERP資料!$H:$H, (MATCH(872, 輔助計算!$F$2:$F$801, 0)+1))="","",INDEX(ERP資料!$H:$H, (MATCH(872, 輔助計算!$F$2:$F$801, 0)+1))), "")</f>
        <v/>
      </c>
      <c r="H873" s="10">
        <f>IFERROR(IF(INDEX(ERP資料!$O:$O, (MATCH(872, 輔助計算!$F$2:$F$801, 0)+1))="","",INDEX(ERP資料!$O:$O, (MATCH(872, 輔助計算!$F$2:$F$801, 0)+1))), "")</f>
        <v/>
      </c>
      <c r="I873" s="15">
        <f>IFERROR(IF(INDEX(輔助計算!$D:$D,(MATCH(872, 輔助計算!$F$2:$F$801, 0)+1))="","",INDEX(輔助計算!$D:$D,(MATCH(872, 輔助計算!$F$2:$F$801, 0)+1))*INDEX(ERP資料!$O:$O,(MATCH(872, 輔助計算!$F$2:$F$801, 0)+1))), "")</f>
        <v/>
      </c>
      <c r="J873" s="16" t="n"/>
      <c r="K873" s="15">
        <f>IFERROR(INDEX(輔助計算!$D:$D, (MATCH(872, 輔助計算!$F$2:$F$801, 0)+1)), "")</f>
        <v/>
      </c>
      <c r="L873" s="16">
        <f>IFERROR(IF(AND(IFERROR(VLOOKUP(LEFT(INDEX(ERP資料!$S:$S, (MATCH(872, 輔助計算!$F$2:$F$801, 0)+1)), 4), 100張客戶!$A:$A, 1, FALSE), "")&lt;&gt;"", OR(INDEX(ERP資料!$F:$F, (MATCH(872, 輔助計算!$F$2:$F$801, 0)+1))=270, INDEX(ERP資料!$F:$F, (MATCH(872, 輔助計算!$F$2:$F$801, 0)+1))=300)), "100張", ""), "")</f>
        <v/>
      </c>
      <c r="M873" s="17" t="n"/>
      <c r="N873" s="17">
        <f>IF($F873="","",$F873)</f>
        <v/>
      </c>
      <c r="O873" s="17">
        <f>IF($G873="","",$G873)</f>
        <v/>
      </c>
      <c r="P873" s="17">
        <f>IF($K873="","",$K873)</f>
        <v/>
      </c>
      <c r="Q873" s="16" t="n"/>
      <c r="R873" s="18" t="n"/>
      <c r="S873" s="16" t="n"/>
    </row>
    <row r="874">
      <c r="A874" s="14">
        <f>IFERROR(IF(AND(IFERROR(INDEX(ERP資料!$A:$A, (MATCH(873, 輔助計算!$F$2:$F$801, 0)+1)), "")&lt;&gt;"", IFERROR(INDEX(ERP資料!$A:$A, (MATCH(873, 輔助計算!$F$2:$F$801, 0)+1)), "")&lt;&gt;IFERROR(INDEX(ERP資料!$A:$A, MATCH(872, 輔助計算!$F$2:$F$801, 0)+1), "")), INDEX(ERP資料!$B:$B, (MATCH(873, 輔助計算!$F$2:$F$801, 0)+1)), ""), "")</f>
        <v/>
      </c>
      <c r="B874" s="10">
        <f>IFERROR(IF(AND(IFERROR(INDEX(ERP資料!$A:$A, (MATCH(873, 輔助計算!$F$2:$F$801, 0)+1)), "")&lt;&gt;"", IFERROR(INDEX(ERP資料!$A:$A, (MATCH(873, 輔助計算!$F$2:$F$801, 0)+1)), "")&lt;&gt;IFERROR(INDEX(ERP資料!$A:$A, MATCH(872, 輔助計算!$F$2:$F$801, 0)+1), "")), IFERROR(INDEX(ERP資料!$A:$A, (MATCH(873, 輔助計算!$F$2:$F$801, 0)+1)), ""), ""), "")</f>
        <v/>
      </c>
      <c r="C874" s="10">
        <f>IFERROR(IF(AND(IFERROR(INDEX(ERP資料!$A:$A, (MATCH(873, 輔助計算!$F$2:$F$801, 0)+1)), "")&lt;&gt;"", IFERROR(INDEX(ERP資料!$A:$A, (MATCH(873, 輔助計算!$F$2:$F$801, 0)+1)), "")&lt;&gt;IFERROR(INDEX(ERP資料!$A:$A, MATCH(872, 輔助計算!$F$2:$F$801, 0)+1), "")), INDEX(ERP資料!$S:$S, (MATCH(873, 輔助計算!$F$2:$F$801, 0)+1)), ""), "")</f>
        <v/>
      </c>
      <c r="D874" s="10">
        <f>IFERROR(IF(INDEX(ERP資料!$E:$E, (MATCH(873, 輔助計算!$F$2:$F$801, 0)+1))="","",TRIM(INDEX(ERP資料!$E:$E, (MATCH(873, 輔助計算!$F$2:$F$801, 0)+1)))), "")</f>
        <v/>
      </c>
      <c r="E874" s="10">
        <f>IFERROR(IF(INDEX(ERP資料!$F:$F, (MATCH(873, 輔助計算!$F$2:$F$801, 0)+1))="","",INDEX(ERP資料!$F:$F, (MATCH(873, 輔助計算!$F$2:$F$801, 0)+1))), "")</f>
        <v/>
      </c>
      <c r="F874" s="10">
        <f>IFERROR(IF(INDEX(ERP資料!$G:$G, (MATCH(873, 輔助計算!$F$2:$F$801, 0)+1))="","",INDEX(ERP資料!$G:$G, (MATCH(873, 輔助計算!$F$2:$F$801, 0)+1))), "")</f>
        <v/>
      </c>
      <c r="G874" s="10">
        <f>IFERROR(IF(INDEX(ERP資料!$H:$H, (MATCH(873, 輔助計算!$F$2:$F$801, 0)+1))="","",INDEX(ERP資料!$H:$H, (MATCH(873, 輔助計算!$F$2:$F$801, 0)+1))), "")</f>
        <v/>
      </c>
      <c r="H874" s="10">
        <f>IFERROR(IF(INDEX(ERP資料!$O:$O, (MATCH(873, 輔助計算!$F$2:$F$801, 0)+1))="","",INDEX(ERP資料!$O:$O, (MATCH(873, 輔助計算!$F$2:$F$801, 0)+1))), "")</f>
        <v/>
      </c>
      <c r="I874" s="15">
        <f>IFERROR(IF(INDEX(輔助計算!$D:$D,(MATCH(873, 輔助計算!$F$2:$F$801, 0)+1))="","",INDEX(輔助計算!$D:$D,(MATCH(873, 輔助計算!$F$2:$F$801, 0)+1))*INDEX(ERP資料!$O:$O,(MATCH(873, 輔助計算!$F$2:$F$801, 0)+1))), "")</f>
        <v/>
      </c>
      <c r="J874" s="16" t="n"/>
      <c r="K874" s="15">
        <f>IFERROR(INDEX(輔助計算!$D:$D, (MATCH(873, 輔助計算!$F$2:$F$801, 0)+1)), "")</f>
        <v/>
      </c>
      <c r="L874" s="16">
        <f>IFERROR(IF(AND(IFERROR(VLOOKUP(LEFT(INDEX(ERP資料!$S:$S, (MATCH(873, 輔助計算!$F$2:$F$801, 0)+1)), 4), 100張客戶!$A:$A, 1, FALSE), "")&lt;&gt;"", OR(INDEX(ERP資料!$F:$F, (MATCH(873, 輔助計算!$F$2:$F$801, 0)+1))=270, INDEX(ERP資料!$F:$F, (MATCH(873, 輔助計算!$F$2:$F$801, 0)+1))=300)), "100張", ""), "")</f>
        <v/>
      </c>
      <c r="M874" s="17" t="n"/>
      <c r="N874" s="17">
        <f>IF($F874="","",$F874)</f>
        <v/>
      </c>
      <c r="O874" s="17">
        <f>IF($G874="","",$G874)</f>
        <v/>
      </c>
      <c r="P874" s="17">
        <f>IF($K874="","",$K874)</f>
        <v/>
      </c>
      <c r="Q874" s="16" t="n"/>
      <c r="R874" s="18" t="n"/>
      <c r="S874" s="16" t="n"/>
    </row>
    <row r="875">
      <c r="A875" s="14">
        <f>IFERROR(IF(AND(IFERROR(INDEX(ERP資料!$A:$A, (MATCH(874, 輔助計算!$F$2:$F$801, 0)+1)), "")&lt;&gt;"", IFERROR(INDEX(ERP資料!$A:$A, (MATCH(874, 輔助計算!$F$2:$F$801, 0)+1)), "")&lt;&gt;IFERROR(INDEX(ERP資料!$A:$A, MATCH(873, 輔助計算!$F$2:$F$801, 0)+1), "")), INDEX(ERP資料!$B:$B, (MATCH(874, 輔助計算!$F$2:$F$801, 0)+1)), ""), "")</f>
        <v/>
      </c>
      <c r="B875" s="10">
        <f>IFERROR(IF(AND(IFERROR(INDEX(ERP資料!$A:$A, (MATCH(874, 輔助計算!$F$2:$F$801, 0)+1)), "")&lt;&gt;"", IFERROR(INDEX(ERP資料!$A:$A, (MATCH(874, 輔助計算!$F$2:$F$801, 0)+1)), "")&lt;&gt;IFERROR(INDEX(ERP資料!$A:$A, MATCH(873, 輔助計算!$F$2:$F$801, 0)+1), "")), IFERROR(INDEX(ERP資料!$A:$A, (MATCH(874, 輔助計算!$F$2:$F$801, 0)+1)), ""), ""), "")</f>
        <v/>
      </c>
      <c r="C875" s="10">
        <f>IFERROR(IF(AND(IFERROR(INDEX(ERP資料!$A:$A, (MATCH(874, 輔助計算!$F$2:$F$801, 0)+1)), "")&lt;&gt;"", IFERROR(INDEX(ERP資料!$A:$A, (MATCH(874, 輔助計算!$F$2:$F$801, 0)+1)), "")&lt;&gt;IFERROR(INDEX(ERP資料!$A:$A, MATCH(873, 輔助計算!$F$2:$F$801, 0)+1), "")), INDEX(ERP資料!$S:$S, (MATCH(874, 輔助計算!$F$2:$F$801, 0)+1)), ""), "")</f>
        <v/>
      </c>
      <c r="D875" s="10">
        <f>IFERROR(IF(INDEX(ERP資料!$E:$E, (MATCH(874, 輔助計算!$F$2:$F$801, 0)+1))="","",TRIM(INDEX(ERP資料!$E:$E, (MATCH(874, 輔助計算!$F$2:$F$801, 0)+1)))), "")</f>
        <v/>
      </c>
      <c r="E875" s="10">
        <f>IFERROR(IF(INDEX(ERP資料!$F:$F, (MATCH(874, 輔助計算!$F$2:$F$801, 0)+1))="","",INDEX(ERP資料!$F:$F, (MATCH(874, 輔助計算!$F$2:$F$801, 0)+1))), "")</f>
        <v/>
      </c>
      <c r="F875" s="10">
        <f>IFERROR(IF(INDEX(ERP資料!$G:$G, (MATCH(874, 輔助計算!$F$2:$F$801, 0)+1))="","",INDEX(ERP資料!$G:$G, (MATCH(874, 輔助計算!$F$2:$F$801, 0)+1))), "")</f>
        <v/>
      </c>
      <c r="G875" s="10">
        <f>IFERROR(IF(INDEX(ERP資料!$H:$H, (MATCH(874, 輔助計算!$F$2:$F$801, 0)+1))="","",INDEX(ERP資料!$H:$H, (MATCH(874, 輔助計算!$F$2:$F$801, 0)+1))), "")</f>
        <v/>
      </c>
      <c r="H875" s="10">
        <f>IFERROR(IF(INDEX(ERP資料!$O:$O, (MATCH(874, 輔助計算!$F$2:$F$801, 0)+1))="","",INDEX(ERP資料!$O:$O, (MATCH(874, 輔助計算!$F$2:$F$801, 0)+1))), "")</f>
        <v/>
      </c>
      <c r="I875" s="15">
        <f>IFERROR(IF(INDEX(輔助計算!$D:$D,(MATCH(874, 輔助計算!$F$2:$F$801, 0)+1))="","",INDEX(輔助計算!$D:$D,(MATCH(874, 輔助計算!$F$2:$F$801, 0)+1))*INDEX(ERP資料!$O:$O,(MATCH(874, 輔助計算!$F$2:$F$801, 0)+1))), "")</f>
        <v/>
      </c>
      <c r="J875" s="16" t="n"/>
      <c r="K875" s="15">
        <f>IFERROR(INDEX(輔助計算!$D:$D, (MATCH(874, 輔助計算!$F$2:$F$801, 0)+1)), "")</f>
        <v/>
      </c>
      <c r="L875" s="16">
        <f>IFERROR(IF(AND(IFERROR(VLOOKUP(LEFT(INDEX(ERP資料!$S:$S, (MATCH(874, 輔助計算!$F$2:$F$801, 0)+1)), 4), 100張客戶!$A:$A, 1, FALSE), "")&lt;&gt;"", OR(INDEX(ERP資料!$F:$F, (MATCH(874, 輔助計算!$F$2:$F$801, 0)+1))=270, INDEX(ERP資料!$F:$F, (MATCH(874, 輔助計算!$F$2:$F$801, 0)+1))=300)), "100張", ""), "")</f>
        <v/>
      </c>
      <c r="M875" s="17" t="n"/>
      <c r="N875" s="17">
        <f>IF($F875="","",$F875)</f>
        <v/>
      </c>
      <c r="O875" s="17">
        <f>IF($G875="","",$G875)</f>
        <v/>
      </c>
      <c r="P875" s="17">
        <f>IF($K875="","",$K875)</f>
        <v/>
      </c>
      <c r="Q875" s="16" t="n"/>
      <c r="R875" s="18" t="n"/>
      <c r="S875" s="16" t="n"/>
    </row>
    <row r="876">
      <c r="A876" s="14">
        <f>IFERROR(IF(AND(IFERROR(INDEX(ERP資料!$A:$A, (MATCH(875, 輔助計算!$F$2:$F$801, 0)+1)), "")&lt;&gt;"", IFERROR(INDEX(ERP資料!$A:$A, (MATCH(875, 輔助計算!$F$2:$F$801, 0)+1)), "")&lt;&gt;IFERROR(INDEX(ERP資料!$A:$A, MATCH(874, 輔助計算!$F$2:$F$801, 0)+1), "")), INDEX(ERP資料!$B:$B, (MATCH(875, 輔助計算!$F$2:$F$801, 0)+1)), ""), "")</f>
        <v/>
      </c>
      <c r="B876" s="10">
        <f>IFERROR(IF(AND(IFERROR(INDEX(ERP資料!$A:$A, (MATCH(875, 輔助計算!$F$2:$F$801, 0)+1)), "")&lt;&gt;"", IFERROR(INDEX(ERP資料!$A:$A, (MATCH(875, 輔助計算!$F$2:$F$801, 0)+1)), "")&lt;&gt;IFERROR(INDEX(ERP資料!$A:$A, MATCH(874, 輔助計算!$F$2:$F$801, 0)+1), "")), IFERROR(INDEX(ERP資料!$A:$A, (MATCH(875, 輔助計算!$F$2:$F$801, 0)+1)), ""), ""), "")</f>
        <v/>
      </c>
      <c r="C876" s="10">
        <f>IFERROR(IF(AND(IFERROR(INDEX(ERP資料!$A:$A, (MATCH(875, 輔助計算!$F$2:$F$801, 0)+1)), "")&lt;&gt;"", IFERROR(INDEX(ERP資料!$A:$A, (MATCH(875, 輔助計算!$F$2:$F$801, 0)+1)), "")&lt;&gt;IFERROR(INDEX(ERP資料!$A:$A, MATCH(874, 輔助計算!$F$2:$F$801, 0)+1), "")), INDEX(ERP資料!$S:$S, (MATCH(875, 輔助計算!$F$2:$F$801, 0)+1)), ""), "")</f>
        <v/>
      </c>
      <c r="D876" s="10">
        <f>IFERROR(IF(INDEX(ERP資料!$E:$E, (MATCH(875, 輔助計算!$F$2:$F$801, 0)+1))="","",TRIM(INDEX(ERP資料!$E:$E, (MATCH(875, 輔助計算!$F$2:$F$801, 0)+1)))), "")</f>
        <v/>
      </c>
      <c r="E876" s="10">
        <f>IFERROR(IF(INDEX(ERP資料!$F:$F, (MATCH(875, 輔助計算!$F$2:$F$801, 0)+1))="","",INDEX(ERP資料!$F:$F, (MATCH(875, 輔助計算!$F$2:$F$801, 0)+1))), "")</f>
        <v/>
      </c>
      <c r="F876" s="10">
        <f>IFERROR(IF(INDEX(ERP資料!$G:$G, (MATCH(875, 輔助計算!$F$2:$F$801, 0)+1))="","",INDEX(ERP資料!$G:$G, (MATCH(875, 輔助計算!$F$2:$F$801, 0)+1))), "")</f>
        <v/>
      </c>
      <c r="G876" s="10">
        <f>IFERROR(IF(INDEX(ERP資料!$H:$H, (MATCH(875, 輔助計算!$F$2:$F$801, 0)+1))="","",INDEX(ERP資料!$H:$H, (MATCH(875, 輔助計算!$F$2:$F$801, 0)+1))), "")</f>
        <v/>
      </c>
      <c r="H876" s="10">
        <f>IFERROR(IF(INDEX(ERP資料!$O:$O, (MATCH(875, 輔助計算!$F$2:$F$801, 0)+1))="","",INDEX(ERP資料!$O:$O, (MATCH(875, 輔助計算!$F$2:$F$801, 0)+1))), "")</f>
        <v/>
      </c>
      <c r="I876" s="15">
        <f>IFERROR(IF(INDEX(輔助計算!$D:$D,(MATCH(875, 輔助計算!$F$2:$F$801, 0)+1))="","",INDEX(輔助計算!$D:$D,(MATCH(875, 輔助計算!$F$2:$F$801, 0)+1))*INDEX(ERP資料!$O:$O,(MATCH(875, 輔助計算!$F$2:$F$801, 0)+1))), "")</f>
        <v/>
      </c>
      <c r="J876" s="16" t="n"/>
      <c r="K876" s="15">
        <f>IFERROR(INDEX(輔助計算!$D:$D, (MATCH(875, 輔助計算!$F$2:$F$801, 0)+1)), "")</f>
        <v/>
      </c>
      <c r="L876" s="16">
        <f>IFERROR(IF(AND(IFERROR(VLOOKUP(LEFT(INDEX(ERP資料!$S:$S, (MATCH(875, 輔助計算!$F$2:$F$801, 0)+1)), 4), 100張客戶!$A:$A, 1, FALSE), "")&lt;&gt;"", OR(INDEX(ERP資料!$F:$F, (MATCH(875, 輔助計算!$F$2:$F$801, 0)+1))=270, INDEX(ERP資料!$F:$F, (MATCH(875, 輔助計算!$F$2:$F$801, 0)+1))=300)), "100張", ""), "")</f>
        <v/>
      </c>
      <c r="M876" s="17" t="n"/>
      <c r="N876" s="17">
        <f>IF($F876="","",$F876)</f>
        <v/>
      </c>
      <c r="O876" s="17">
        <f>IF($G876="","",$G876)</f>
        <v/>
      </c>
      <c r="P876" s="17">
        <f>IF($K876="","",$K876)</f>
        <v/>
      </c>
      <c r="Q876" s="16" t="n"/>
      <c r="R876" s="18" t="n"/>
      <c r="S876" s="16" t="n"/>
    </row>
    <row r="877">
      <c r="A877" s="14">
        <f>IFERROR(IF(AND(IFERROR(INDEX(ERP資料!$A:$A, (MATCH(876, 輔助計算!$F$2:$F$801, 0)+1)), "")&lt;&gt;"", IFERROR(INDEX(ERP資料!$A:$A, (MATCH(876, 輔助計算!$F$2:$F$801, 0)+1)), "")&lt;&gt;IFERROR(INDEX(ERP資料!$A:$A, MATCH(875, 輔助計算!$F$2:$F$801, 0)+1), "")), INDEX(ERP資料!$B:$B, (MATCH(876, 輔助計算!$F$2:$F$801, 0)+1)), ""), "")</f>
        <v/>
      </c>
      <c r="B877" s="10">
        <f>IFERROR(IF(AND(IFERROR(INDEX(ERP資料!$A:$A, (MATCH(876, 輔助計算!$F$2:$F$801, 0)+1)), "")&lt;&gt;"", IFERROR(INDEX(ERP資料!$A:$A, (MATCH(876, 輔助計算!$F$2:$F$801, 0)+1)), "")&lt;&gt;IFERROR(INDEX(ERP資料!$A:$A, MATCH(875, 輔助計算!$F$2:$F$801, 0)+1), "")), IFERROR(INDEX(ERP資料!$A:$A, (MATCH(876, 輔助計算!$F$2:$F$801, 0)+1)), ""), ""), "")</f>
        <v/>
      </c>
      <c r="C877" s="10">
        <f>IFERROR(IF(AND(IFERROR(INDEX(ERP資料!$A:$A, (MATCH(876, 輔助計算!$F$2:$F$801, 0)+1)), "")&lt;&gt;"", IFERROR(INDEX(ERP資料!$A:$A, (MATCH(876, 輔助計算!$F$2:$F$801, 0)+1)), "")&lt;&gt;IFERROR(INDEX(ERP資料!$A:$A, MATCH(875, 輔助計算!$F$2:$F$801, 0)+1), "")), INDEX(ERP資料!$S:$S, (MATCH(876, 輔助計算!$F$2:$F$801, 0)+1)), ""), "")</f>
        <v/>
      </c>
      <c r="D877" s="10">
        <f>IFERROR(IF(INDEX(ERP資料!$E:$E, (MATCH(876, 輔助計算!$F$2:$F$801, 0)+1))="","",TRIM(INDEX(ERP資料!$E:$E, (MATCH(876, 輔助計算!$F$2:$F$801, 0)+1)))), "")</f>
        <v/>
      </c>
      <c r="E877" s="10">
        <f>IFERROR(IF(INDEX(ERP資料!$F:$F, (MATCH(876, 輔助計算!$F$2:$F$801, 0)+1))="","",INDEX(ERP資料!$F:$F, (MATCH(876, 輔助計算!$F$2:$F$801, 0)+1))), "")</f>
        <v/>
      </c>
      <c r="F877" s="10">
        <f>IFERROR(IF(INDEX(ERP資料!$G:$G, (MATCH(876, 輔助計算!$F$2:$F$801, 0)+1))="","",INDEX(ERP資料!$G:$G, (MATCH(876, 輔助計算!$F$2:$F$801, 0)+1))), "")</f>
        <v/>
      </c>
      <c r="G877" s="10">
        <f>IFERROR(IF(INDEX(ERP資料!$H:$H, (MATCH(876, 輔助計算!$F$2:$F$801, 0)+1))="","",INDEX(ERP資料!$H:$H, (MATCH(876, 輔助計算!$F$2:$F$801, 0)+1))), "")</f>
        <v/>
      </c>
      <c r="H877" s="10">
        <f>IFERROR(IF(INDEX(ERP資料!$O:$O, (MATCH(876, 輔助計算!$F$2:$F$801, 0)+1))="","",INDEX(ERP資料!$O:$O, (MATCH(876, 輔助計算!$F$2:$F$801, 0)+1))), "")</f>
        <v/>
      </c>
      <c r="I877" s="15">
        <f>IFERROR(IF(INDEX(輔助計算!$D:$D,(MATCH(876, 輔助計算!$F$2:$F$801, 0)+1))="","",INDEX(輔助計算!$D:$D,(MATCH(876, 輔助計算!$F$2:$F$801, 0)+1))*INDEX(ERP資料!$O:$O,(MATCH(876, 輔助計算!$F$2:$F$801, 0)+1))), "")</f>
        <v/>
      </c>
      <c r="J877" s="16" t="n"/>
      <c r="K877" s="15">
        <f>IFERROR(INDEX(輔助計算!$D:$D, (MATCH(876, 輔助計算!$F$2:$F$801, 0)+1)), "")</f>
        <v/>
      </c>
      <c r="L877" s="16">
        <f>IFERROR(IF(AND(IFERROR(VLOOKUP(LEFT(INDEX(ERP資料!$S:$S, (MATCH(876, 輔助計算!$F$2:$F$801, 0)+1)), 4), 100張客戶!$A:$A, 1, FALSE), "")&lt;&gt;"", OR(INDEX(ERP資料!$F:$F, (MATCH(876, 輔助計算!$F$2:$F$801, 0)+1))=270, INDEX(ERP資料!$F:$F, (MATCH(876, 輔助計算!$F$2:$F$801, 0)+1))=300)), "100張", ""), "")</f>
        <v/>
      </c>
      <c r="M877" s="17" t="n"/>
      <c r="N877" s="17">
        <f>IF($F877="","",$F877)</f>
        <v/>
      </c>
      <c r="O877" s="17">
        <f>IF($G877="","",$G877)</f>
        <v/>
      </c>
      <c r="P877" s="17">
        <f>IF($K877="","",$K877)</f>
        <v/>
      </c>
      <c r="Q877" s="16" t="n"/>
      <c r="R877" s="18" t="n"/>
      <c r="S877" s="16" t="n"/>
    </row>
    <row r="878">
      <c r="A878" s="14">
        <f>IFERROR(IF(AND(IFERROR(INDEX(ERP資料!$A:$A, (MATCH(877, 輔助計算!$F$2:$F$801, 0)+1)), "")&lt;&gt;"", IFERROR(INDEX(ERP資料!$A:$A, (MATCH(877, 輔助計算!$F$2:$F$801, 0)+1)), "")&lt;&gt;IFERROR(INDEX(ERP資料!$A:$A, MATCH(876, 輔助計算!$F$2:$F$801, 0)+1), "")), INDEX(ERP資料!$B:$B, (MATCH(877, 輔助計算!$F$2:$F$801, 0)+1)), ""), "")</f>
        <v/>
      </c>
      <c r="B878" s="10">
        <f>IFERROR(IF(AND(IFERROR(INDEX(ERP資料!$A:$A, (MATCH(877, 輔助計算!$F$2:$F$801, 0)+1)), "")&lt;&gt;"", IFERROR(INDEX(ERP資料!$A:$A, (MATCH(877, 輔助計算!$F$2:$F$801, 0)+1)), "")&lt;&gt;IFERROR(INDEX(ERP資料!$A:$A, MATCH(876, 輔助計算!$F$2:$F$801, 0)+1), "")), IFERROR(INDEX(ERP資料!$A:$A, (MATCH(877, 輔助計算!$F$2:$F$801, 0)+1)), ""), ""), "")</f>
        <v/>
      </c>
      <c r="C878" s="10">
        <f>IFERROR(IF(AND(IFERROR(INDEX(ERP資料!$A:$A, (MATCH(877, 輔助計算!$F$2:$F$801, 0)+1)), "")&lt;&gt;"", IFERROR(INDEX(ERP資料!$A:$A, (MATCH(877, 輔助計算!$F$2:$F$801, 0)+1)), "")&lt;&gt;IFERROR(INDEX(ERP資料!$A:$A, MATCH(876, 輔助計算!$F$2:$F$801, 0)+1), "")), INDEX(ERP資料!$S:$S, (MATCH(877, 輔助計算!$F$2:$F$801, 0)+1)), ""), "")</f>
        <v/>
      </c>
      <c r="D878" s="10">
        <f>IFERROR(IF(INDEX(ERP資料!$E:$E, (MATCH(877, 輔助計算!$F$2:$F$801, 0)+1))="","",TRIM(INDEX(ERP資料!$E:$E, (MATCH(877, 輔助計算!$F$2:$F$801, 0)+1)))), "")</f>
        <v/>
      </c>
      <c r="E878" s="10">
        <f>IFERROR(IF(INDEX(ERP資料!$F:$F, (MATCH(877, 輔助計算!$F$2:$F$801, 0)+1))="","",INDEX(ERP資料!$F:$F, (MATCH(877, 輔助計算!$F$2:$F$801, 0)+1))), "")</f>
        <v/>
      </c>
      <c r="F878" s="10">
        <f>IFERROR(IF(INDEX(ERP資料!$G:$G, (MATCH(877, 輔助計算!$F$2:$F$801, 0)+1))="","",INDEX(ERP資料!$G:$G, (MATCH(877, 輔助計算!$F$2:$F$801, 0)+1))), "")</f>
        <v/>
      </c>
      <c r="G878" s="10">
        <f>IFERROR(IF(INDEX(ERP資料!$H:$H, (MATCH(877, 輔助計算!$F$2:$F$801, 0)+1))="","",INDEX(ERP資料!$H:$H, (MATCH(877, 輔助計算!$F$2:$F$801, 0)+1))), "")</f>
        <v/>
      </c>
      <c r="H878" s="10">
        <f>IFERROR(IF(INDEX(ERP資料!$O:$O, (MATCH(877, 輔助計算!$F$2:$F$801, 0)+1))="","",INDEX(ERP資料!$O:$O, (MATCH(877, 輔助計算!$F$2:$F$801, 0)+1))), "")</f>
        <v/>
      </c>
      <c r="I878" s="15">
        <f>IFERROR(IF(INDEX(輔助計算!$D:$D,(MATCH(877, 輔助計算!$F$2:$F$801, 0)+1))="","",INDEX(輔助計算!$D:$D,(MATCH(877, 輔助計算!$F$2:$F$801, 0)+1))*INDEX(ERP資料!$O:$O,(MATCH(877, 輔助計算!$F$2:$F$801, 0)+1))), "")</f>
        <v/>
      </c>
      <c r="J878" s="16" t="n"/>
      <c r="K878" s="15">
        <f>IFERROR(INDEX(輔助計算!$D:$D, (MATCH(877, 輔助計算!$F$2:$F$801, 0)+1)), "")</f>
        <v/>
      </c>
      <c r="L878" s="16">
        <f>IFERROR(IF(AND(IFERROR(VLOOKUP(LEFT(INDEX(ERP資料!$S:$S, (MATCH(877, 輔助計算!$F$2:$F$801, 0)+1)), 4), 100張客戶!$A:$A, 1, FALSE), "")&lt;&gt;"", OR(INDEX(ERP資料!$F:$F, (MATCH(877, 輔助計算!$F$2:$F$801, 0)+1))=270, INDEX(ERP資料!$F:$F, (MATCH(877, 輔助計算!$F$2:$F$801, 0)+1))=300)), "100張", ""), "")</f>
        <v/>
      </c>
      <c r="M878" s="17" t="n"/>
      <c r="N878" s="17">
        <f>IF($F878="","",$F878)</f>
        <v/>
      </c>
      <c r="O878" s="17">
        <f>IF($G878="","",$G878)</f>
        <v/>
      </c>
      <c r="P878" s="17">
        <f>IF($K878="","",$K878)</f>
        <v/>
      </c>
      <c r="Q878" s="16" t="n"/>
      <c r="R878" s="18" t="n"/>
      <c r="S878" s="16" t="n"/>
    </row>
    <row r="879">
      <c r="A879" s="14">
        <f>IFERROR(IF(AND(IFERROR(INDEX(ERP資料!$A:$A, (MATCH(878, 輔助計算!$F$2:$F$801, 0)+1)), "")&lt;&gt;"", IFERROR(INDEX(ERP資料!$A:$A, (MATCH(878, 輔助計算!$F$2:$F$801, 0)+1)), "")&lt;&gt;IFERROR(INDEX(ERP資料!$A:$A, MATCH(877, 輔助計算!$F$2:$F$801, 0)+1), "")), INDEX(ERP資料!$B:$B, (MATCH(878, 輔助計算!$F$2:$F$801, 0)+1)), ""), "")</f>
        <v/>
      </c>
      <c r="B879" s="10">
        <f>IFERROR(IF(AND(IFERROR(INDEX(ERP資料!$A:$A, (MATCH(878, 輔助計算!$F$2:$F$801, 0)+1)), "")&lt;&gt;"", IFERROR(INDEX(ERP資料!$A:$A, (MATCH(878, 輔助計算!$F$2:$F$801, 0)+1)), "")&lt;&gt;IFERROR(INDEX(ERP資料!$A:$A, MATCH(877, 輔助計算!$F$2:$F$801, 0)+1), "")), IFERROR(INDEX(ERP資料!$A:$A, (MATCH(878, 輔助計算!$F$2:$F$801, 0)+1)), ""), ""), "")</f>
        <v/>
      </c>
      <c r="C879" s="10">
        <f>IFERROR(IF(AND(IFERROR(INDEX(ERP資料!$A:$A, (MATCH(878, 輔助計算!$F$2:$F$801, 0)+1)), "")&lt;&gt;"", IFERROR(INDEX(ERP資料!$A:$A, (MATCH(878, 輔助計算!$F$2:$F$801, 0)+1)), "")&lt;&gt;IFERROR(INDEX(ERP資料!$A:$A, MATCH(877, 輔助計算!$F$2:$F$801, 0)+1), "")), INDEX(ERP資料!$S:$S, (MATCH(878, 輔助計算!$F$2:$F$801, 0)+1)), ""), "")</f>
        <v/>
      </c>
      <c r="D879" s="10">
        <f>IFERROR(IF(INDEX(ERP資料!$E:$E, (MATCH(878, 輔助計算!$F$2:$F$801, 0)+1))="","",TRIM(INDEX(ERP資料!$E:$E, (MATCH(878, 輔助計算!$F$2:$F$801, 0)+1)))), "")</f>
        <v/>
      </c>
      <c r="E879" s="10">
        <f>IFERROR(IF(INDEX(ERP資料!$F:$F, (MATCH(878, 輔助計算!$F$2:$F$801, 0)+1))="","",INDEX(ERP資料!$F:$F, (MATCH(878, 輔助計算!$F$2:$F$801, 0)+1))), "")</f>
        <v/>
      </c>
      <c r="F879" s="10">
        <f>IFERROR(IF(INDEX(ERP資料!$G:$G, (MATCH(878, 輔助計算!$F$2:$F$801, 0)+1))="","",INDEX(ERP資料!$G:$G, (MATCH(878, 輔助計算!$F$2:$F$801, 0)+1))), "")</f>
        <v/>
      </c>
      <c r="G879" s="10">
        <f>IFERROR(IF(INDEX(ERP資料!$H:$H, (MATCH(878, 輔助計算!$F$2:$F$801, 0)+1))="","",INDEX(ERP資料!$H:$H, (MATCH(878, 輔助計算!$F$2:$F$801, 0)+1))), "")</f>
        <v/>
      </c>
      <c r="H879" s="10">
        <f>IFERROR(IF(INDEX(ERP資料!$O:$O, (MATCH(878, 輔助計算!$F$2:$F$801, 0)+1))="","",INDEX(ERP資料!$O:$O, (MATCH(878, 輔助計算!$F$2:$F$801, 0)+1))), "")</f>
        <v/>
      </c>
      <c r="I879" s="15">
        <f>IFERROR(IF(INDEX(輔助計算!$D:$D,(MATCH(878, 輔助計算!$F$2:$F$801, 0)+1))="","",INDEX(輔助計算!$D:$D,(MATCH(878, 輔助計算!$F$2:$F$801, 0)+1))*INDEX(ERP資料!$O:$O,(MATCH(878, 輔助計算!$F$2:$F$801, 0)+1))), "")</f>
        <v/>
      </c>
      <c r="J879" s="16" t="n"/>
      <c r="K879" s="15">
        <f>IFERROR(INDEX(輔助計算!$D:$D, (MATCH(878, 輔助計算!$F$2:$F$801, 0)+1)), "")</f>
        <v/>
      </c>
      <c r="L879" s="16">
        <f>IFERROR(IF(AND(IFERROR(VLOOKUP(LEFT(INDEX(ERP資料!$S:$S, (MATCH(878, 輔助計算!$F$2:$F$801, 0)+1)), 4), 100張客戶!$A:$A, 1, FALSE), "")&lt;&gt;"", OR(INDEX(ERP資料!$F:$F, (MATCH(878, 輔助計算!$F$2:$F$801, 0)+1))=270, INDEX(ERP資料!$F:$F, (MATCH(878, 輔助計算!$F$2:$F$801, 0)+1))=300)), "100張", ""), "")</f>
        <v/>
      </c>
      <c r="M879" s="17" t="n"/>
      <c r="N879" s="17">
        <f>IF($F879="","",$F879)</f>
        <v/>
      </c>
      <c r="O879" s="17">
        <f>IF($G879="","",$G879)</f>
        <v/>
      </c>
      <c r="P879" s="17">
        <f>IF($K879="","",$K879)</f>
        <v/>
      </c>
      <c r="Q879" s="16" t="n"/>
      <c r="R879" s="18" t="n"/>
      <c r="S879" s="16" t="n"/>
    </row>
    <row r="880">
      <c r="A880" s="14">
        <f>IFERROR(IF(AND(IFERROR(INDEX(ERP資料!$A:$A, (MATCH(879, 輔助計算!$F$2:$F$801, 0)+1)), "")&lt;&gt;"", IFERROR(INDEX(ERP資料!$A:$A, (MATCH(879, 輔助計算!$F$2:$F$801, 0)+1)), "")&lt;&gt;IFERROR(INDEX(ERP資料!$A:$A, MATCH(878, 輔助計算!$F$2:$F$801, 0)+1), "")), INDEX(ERP資料!$B:$B, (MATCH(879, 輔助計算!$F$2:$F$801, 0)+1)), ""), "")</f>
        <v/>
      </c>
      <c r="B880" s="10">
        <f>IFERROR(IF(AND(IFERROR(INDEX(ERP資料!$A:$A, (MATCH(879, 輔助計算!$F$2:$F$801, 0)+1)), "")&lt;&gt;"", IFERROR(INDEX(ERP資料!$A:$A, (MATCH(879, 輔助計算!$F$2:$F$801, 0)+1)), "")&lt;&gt;IFERROR(INDEX(ERP資料!$A:$A, MATCH(878, 輔助計算!$F$2:$F$801, 0)+1), "")), IFERROR(INDEX(ERP資料!$A:$A, (MATCH(879, 輔助計算!$F$2:$F$801, 0)+1)), ""), ""), "")</f>
        <v/>
      </c>
      <c r="C880" s="10">
        <f>IFERROR(IF(AND(IFERROR(INDEX(ERP資料!$A:$A, (MATCH(879, 輔助計算!$F$2:$F$801, 0)+1)), "")&lt;&gt;"", IFERROR(INDEX(ERP資料!$A:$A, (MATCH(879, 輔助計算!$F$2:$F$801, 0)+1)), "")&lt;&gt;IFERROR(INDEX(ERP資料!$A:$A, MATCH(878, 輔助計算!$F$2:$F$801, 0)+1), "")), INDEX(ERP資料!$S:$S, (MATCH(879, 輔助計算!$F$2:$F$801, 0)+1)), ""), "")</f>
        <v/>
      </c>
      <c r="D880" s="10">
        <f>IFERROR(IF(INDEX(ERP資料!$E:$E, (MATCH(879, 輔助計算!$F$2:$F$801, 0)+1))="","",TRIM(INDEX(ERP資料!$E:$E, (MATCH(879, 輔助計算!$F$2:$F$801, 0)+1)))), "")</f>
        <v/>
      </c>
      <c r="E880" s="10">
        <f>IFERROR(IF(INDEX(ERP資料!$F:$F, (MATCH(879, 輔助計算!$F$2:$F$801, 0)+1))="","",INDEX(ERP資料!$F:$F, (MATCH(879, 輔助計算!$F$2:$F$801, 0)+1))), "")</f>
        <v/>
      </c>
      <c r="F880" s="10">
        <f>IFERROR(IF(INDEX(ERP資料!$G:$G, (MATCH(879, 輔助計算!$F$2:$F$801, 0)+1))="","",INDEX(ERP資料!$G:$G, (MATCH(879, 輔助計算!$F$2:$F$801, 0)+1))), "")</f>
        <v/>
      </c>
      <c r="G880" s="10">
        <f>IFERROR(IF(INDEX(ERP資料!$H:$H, (MATCH(879, 輔助計算!$F$2:$F$801, 0)+1))="","",INDEX(ERP資料!$H:$H, (MATCH(879, 輔助計算!$F$2:$F$801, 0)+1))), "")</f>
        <v/>
      </c>
      <c r="H880" s="10">
        <f>IFERROR(IF(INDEX(ERP資料!$O:$O, (MATCH(879, 輔助計算!$F$2:$F$801, 0)+1))="","",INDEX(ERP資料!$O:$O, (MATCH(879, 輔助計算!$F$2:$F$801, 0)+1))), "")</f>
        <v/>
      </c>
      <c r="I880" s="15">
        <f>IFERROR(IF(INDEX(輔助計算!$D:$D,(MATCH(879, 輔助計算!$F$2:$F$801, 0)+1))="","",INDEX(輔助計算!$D:$D,(MATCH(879, 輔助計算!$F$2:$F$801, 0)+1))*INDEX(ERP資料!$O:$O,(MATCH(879, 輔助計算!$F$2:$F$801, 0)+1))), "")</f>
        <v/>
      </c>
      <c r="J880" s="16" t="n"/>
      <c r="K880" s="15">
        <f>IFERROR(INDEX(輔助計算!$D:$D, (MATCH(879, 輔助計算!$F$2:$F$801, 0)+1)), "")</f>
        <v/>
      </c>
      <c r="L880" s="16">
        <f>IFERROR(IF(AND(IFERROR(VLOOKUP(LEFT(INDEX(ERP資料!$S:$S, (MATCH(879, 輔助計算!$F$2:$F$801, 0)+1)), 4), 100張客戶!$A:$A, 1, FALSE), "")&lt;&gt;"", OR(INDEX(ERP資料!$F:$F, (MATCH(879, 輔助計算!$F$2:$F$801, 0)+1))=270, INDEX(ERP資料!$F:$F, (MATCH(879, 輔助計算!$F$2:$F$801, 0)+1))=300)), "100張", ""), "")</f>
        <v/>
      </c>
      <c r="M880" s="17" t="n"/>
      <c r="N880" s="17">
        <f>IF($F880="","",$F880)</f>
        <v/>
      </c>
      <c r="O880" s="17">
        <f>IF($G880="","",$G880)</f>
        <v/>
      </c>
      <c r="P880" s="17">
        <f>IF($K880="","",$K880)</f>
        <v/>
      </c>
      <c r="Q880" s="16" t="n"/>
      <c r="R880" s="18" t="n"/>
      <c r="S880" s="16" t="n"/>
    </row>
    <row r="881">
      <c r="A881" s="14">
        <f>IFERROR(IF(AND(IFERROR(INDEX(ERP資料!$A:$A, (MATCH(880, 輔助計算!$F$2:$F$801, 0)+1)), "")&lt;&gt;"", IFERROR(INDEX(ERP資料!$A:$A, (MATCH(880, 輔助計算!$F$2:$F$801, 0)+1)), "")&lt;&gt;IFERROR(INDEX(ERP資料!$A:$A, MATCH(879, 輔助計算!$F$2:$F$801, 0)+1), "")), INDEX(ERP資料!$B:$B, (MATCH(880, 輔助計算!$F$2:$F$801, 0)+1)), ""), "")</f>
        <v/>
      </c>
      <c r="B881" s="10">
        <f>IFERROR(IF(AND(IFERROR(INDEX(ERP資料!$A:$A, (MATCH(880, 輔助計算!$F$2:$F$801, 0)+1)), "")&lt;&gt;"", IFERROR(INDEX(ERP資料!$A:$A, (MATCH(880, 輔助計算!$F$2:$F$801, 0)+1)), "")&lt;&gt;IFERROR(INDEX(ERP資料!$A:$A, MATCH(879, 輔助計算!$F$2:$F$801, 0)+1), "")), IFERROR(INDEX(ERP資料!$A:$A, (MATCH(880, 輔助計算!$F$2:$F$801, 0)+1)), ""), ""), "")</f>
        <v/>
      </c>
      <c r="C881" s="10">
        <f>IFERROR(IF(AND(IFERROR(INDEX(ERP資料!$A:$A, (MATCH(880, 輔助計算!$F$2:$F$801, 0)+1)), "")&lt;&gt;"", IFERROR(INDEX(ERP資料!$A:$A, (MATCH(880, 輔助計算!$F$2:$F$801, 0)+1)), "")&lt;&gt;IFERROR(INDEX(ERP資料!$A:$A, MATCH(879, 輔助計算!$F$2:$F$801, 0)+1), "")), INDEX(ERP資料!$S:$S, (MATCH(880, 輔助計算!$F$2:$F$801, 0)+1)), ""), "")</f>
        <v/>
      </c>
      <c r="D881" s="10">
        <f>IFERROR(IF(INDEX(ERP資料!$E:$E, (MATCH(880, 輔助計算!$F$2:$F$801, 0)+1))="","",TRIM(INDEX(ERP資料!$E:$E, (MATCH(880, 輔助計算!$F$2:$F$801, 0)+1)))), "")</f>
        <v/>
      </c>
      <c r="E881" s="10">
        <f>IFERROR(IF(INDEX(ERP資料!$F:$F, (MATCH(880, 輔助計算!$F$2:$F$801, 0)+1))="","",INDEX(ERP資料!$F:$F, (MATCH(880, 輔助計算!$F$2:$F$801, 0)+1))), "")</f>
        <v/>
      </c>
      <c r="F881" s="10">
        <f>IFERROR(IF(INDEX(ERP資料!$G:$G, (MATCH(880, 輔助計算!$F$2:$F$801, 0)+1))="","",INDEX(ERP資料!$G:$G, (MATCH(880, 輔助計算!$F$2:$F$801, 0)+1))), "")</f>
        <v/>
      </c>
      <c r="G881" s="10">
        <f>IFERROR(IF(INDEX(ERP資料!$H:$H, (MATCH(880, 輔助計算!$F$2:$F$801, 0)+1))="","",INDEX(ERP資料!$H:$H, (MATCH(880, 輔助計算!$F$2:$F$801, 0)+1))), "")</f>
        <v/>
      </c>
      <c r="H881" s="10">
        <f>IFERROR(IF(INDEX(ERP資料!$O:$O, (MATCH(880, 輔助計算!$F$2:$F$801, 0)+1))="","",INDEX(ERP資料!$O:$O, (MATCH(880, 輔助計算!$F$2:$F$801, 0)+1))), "")</f>
        <v/>
      </c>
      <c r="I881" s="15">
        <f>IFERROR(IF(INDEX(輔助計算!$D:$D,(MATCH(880, 輔助計算!$F$2:$F$801, 0)+1))="","",INDEX(輔助計算!$D:$D,(MATCH(880, 輔助計算!$F$2:$F$801, 0)+1))*INDEX(ERP資料!$O:$O,(MATCH(880, 輔助計算!$F$2:$F$801, 0)+1))), "")</f>
        <v/>
      </c>
      <c r="J881" s="16" t="n"/>
      <c r="K881" s="15">
        <f>IFERROR(INDEX(輔助計算!$D:$D, (MATCH(880, 輔助計算!$F$2:$F$801, 0)+1)), "")</f>
        <v/>
      </c>
      <c r="L881" s="16">
        <f>IFERROR(IF(AND(IFERROR(VLOOKUP(LEFT(INDEX(ERP資料!$S:$S, (MATCH(880, 輔助計算!$F$2:$F$801, 0)+1)), 4), 100張客戶!$A:$A, 1, FALSE), "")&lt;&gt;"", OR(INDEX(ERP資料!$F:$F, (MATCH(880, 輔助計算!$F$2:$F$801, 0)+1))=270, INDEX(ERP資料!$F:$F, (MATCH(880, 輔助計算!$F$2:$F$801, 0)+1))=300)), "100張", ""), "")</f>
        <v/>
      </c>
      <c r="M881" s="17" t="n"/>
      <c r="N881" s="17">
        <f>IF($F881="","",$F881)</f>
        <v/>
      </c>
      <c r="O881" s="17">
        <f>IF($G881="","",$G881)</f>
        <v/>
      </c>
      <c r="P881" s="17">
        <f>IF($K881="","",$K881)</f>
        <v/>
      </c>
      <c r="Q881" s="16" t="n"/>
      <c r="R881" s="18" t="n"/>
      <c r="S881" s="16" t="n"/>
    </row>
    <row r="882">
      <c r="A882" s="14">
        <f>IFERROR(IF(AND(IFERROR(INDEX(ERP資料!$A:$A, (MATCH(881, 輔助計算!$F$2:$F$801, 0)+1)), "")&lt;&gt;"", IFERROR(INDEX(ERP資料!$A:$A, (MATCH(881, 輔助計算!$F$2:$F$801, 0)+1)), "")&lt;&gt;IFERROR(INDEX(ERP資料!$A:$A, MATCH(880, 輔助計算!$F$2:$F$801, 0)+1), "")), INDEX(ERP資料!$B:$B, (MATCH(881, 輔助計算!$F$2:$F$801, 0)+1)), ""), "")</f>
        <v/>
      </c>
      <c r="B882" s="10">
        <f>IFERROR(IF(AND(IFERROR(INDEX(ERP資料!$A:$A, (MATCH(881, 輔助計算!$F$2:$F$801, 0)+1)), "")&lt;&gt;"", IFERROR(INDEX(ERP資料!$A:$A, (MATCH(881, 輔助計算!$F$2:$F$801, 0)+1)), "")&lt;&gt;IFERROR(INDEX(ERP資料!$A:$A, MATCH(880, 輔助計算!$F$2:$F$801, 0)+1), "")), IFERROR(INDEX(ERP資料!$A:$A, (MATCH(881, 輔助計算!$F$2:$F$801, 0)+1)), ""), ""), "")</f>
        <v/>
      </c>
      <c r="C882" s="10">
        <f>IFERROR(IF(AND(IFERROR(INDEX(ERP資料!$A:$A, (MATCH(881, 輔助計算!$F$2:$F$801, 0)+1)), "")&lt;&gt;"", IFERROR(INDEX(ERP資料!$A:$A, (MATCH(881, 輔助計算!$F$2:$F$801, 0)+1)), "")&lt;&gt;IFERROR(INDEX(ERP資料!$A:$A, MATCH(880, 輔助計算!$F$2:$F$801, 0)+1), "")), INDEX(ERP資料!$S:$S, (MATCH(881, 輔助計算!$F$2:$F$801, 0)+1)), ""), "")</f>
        <v/>
      </c>
      <c r="D882" s="10">
        <f>IFERROR(IF(INDEX(ERP資料!$E:$E, (MATCH(881, 輔助計算!$F$2:$F$801, 0)+1))="","",TRIM(INDEX(ERP資料!$E:$E, (MATCH(881, 輔助計算!$F$2:$F$801, 0)+1)))), "")</f>
        <v/>
      </c>
      <c r="E882" s="10">
        <f>IFERROR(IF(INDEX(ERP資料!$F:$F, (MATCH(881, 輔助計算!$F$2:$F$801, 0)+1))="","",INDEX(ERP資料!$F:$F, (MATCH(881, 輔助計算!$F$2:$F$801, 0)+1))), "")</f>
        <v/>
      </c>
      <c r="F882" s="10">
        <f>IFERROR(IF(INDEX(ERP資料!$G:$G, (MATCH(881, 輔助計算!$F$2:$F$801, 0)+1))="","",INDEX(ERP資料!$G:$G, (MATCH(881, 輔助計算!$F$2:$F$801, 0)+1))), "")</f>
        <v/>
      </c>
      <c r="G882" s="10">
        <f>IFERROR(IF(INDEX(ERP資料!$H:$H, (MATCH(881, 輔助計算!$F$2:$F$801, 0)+1))="","",INDEX(ERP資料!$H:$H, (MATCH(881, 輔助計算!$F$2:$F$801, 0)+1))), "")</f>
        <v/>
      </c>
      <c r="H882" s="10">
        <f>IFERROR(IF(INDEX(ERP資料!$O:$O, (MATCH(881, 輔助計算!$F$2:$F$801, 0)+1))="","",INDEX(ERP資料!$O:$O, (MATCH(881, 輔助計算!$F$2:$F$801, 0)+1))), "")</f>
        <v/>
      </c>
      <c r="I882" s="15">
        <f>IFERROR(IF(INDEX(輔助計算!$D:$D,(MATCH(881, 輔助計算!$F$2:$F$801, 0)+1))="","",INDEX(輔助計算!$D:$D,(MATCH(881, 輔助計算!$F$2:$F$801, 0)+1))*INDEX(ERP資料!$O:$O,(MATCH(881, 輔助計算!$F$2:$F$801, 0)+1))), "")</f>
        <v/>
      </c>
      <c r="J882" s="16" t="n"/>
      <c r="K882" s="15">
        <f>IFERROR(INDEX(輔助計算!$D:$D, (MATCH(881, 輔助計算!$F$2:$F$801, 0)+1)), "")</f>
        <v/>
      </c>
      <c r="L882" s="16">
        <f>IFERROR(IF(AND(IFERROR(VLOOKUP(LEFT(INDEX(ERP資料!$S:$S, (MATCH(881, 輔助計算!$F$2:$F$801, 0)+1)), 4), 100張客戶!$A:$A, 1, FALSE), "")&lt;&gt;"", OR(INDEX(ERP資料!$F:$F, (MATCH(881, 輔助計算!$F$2:$F$801, 0)+1))=270, INDEX(ERP資料!$F:$F, (MATCH(881, 輔助計算!$F$2:$F$801, 0)+1))=300)), "100張", ""), "")</f>
        <v/>
      </c>
      <c r="M882" s="17" t="n"/>
      <c r="N882" s="17">
        <f>IF($F882="","",$F882)</f>
        <v/>
      </c>
      <c r="O882" s="17">
        <f>IF($G882="","",$G882)</f>
        <v/>
      </c>
      <c r="P882" s="17">
        <f>IF($K882="","",$K882)</f>
        <v/>
      </c>
      <c r="Q882" s="16" t="n"/>
      <c r="R882" s="18" t="n"/>
      <c r="S882" s="16" t="n"/>
    </row>
    <row r="883">
      <c r="A883" s="14">
        <f>IFERROR(IF(AND(IFERROR(INDEX(ERP資料!$A:$A, (MATCH(882, 輔助計算!$F$2:$F$801, 0)+1)), "")&lt;&gt;"", IFERROR(INDEX(ERP資料!$A:$A, (MATCH(882, 輔助計算!$F$2:$F$801, 0)+1)), "")&lt;&gt;IFERROR(INDEX(ERP資料!$A:$A, MATCH(881, 輔助計算!$F$2:$F$801, 0)+1), "")), INDEX(ERP資料!$B:$B, (MATCH(882, 輔助計算!$F$2:$F$801, 0)+1)), ""), "")</f>
        <v/>
      </c>
      <c r="B883" s="10">
        <f>IFERROR(IF(AND(IFERROR(INDEX(ERP資料!$A:$A, (MATCH(882, 輔助計算!$F$2:$F$801, 0)+1)), "")&lt;&gt;"", IFERROR(INDEX(ERP資料!$A:$A, (MATCH(882, 輔助計算!$F$2:$F$801, 0)+1)), "")&lt;&gt;IFERROR(INDEX(ERP資料!$A:$A, MATCH(881, 輔助計算!$F$2:$F$801, 0)+1), "")), IFERROR(INDEX(ERP資料!$A:$A, (MATCH(882, 輔助計算!$F$2:$F$801, 0)+1)), ""), ""), "")</f>
        <v/>
      </c>
      <c r="C883" s="10">
        <f>IFERROR(IF(AND(IFERROR(INDEX(ERP資料!$A:$A, (MATCH(882, 輔助計算!$F$2:$F$801, 0)+1)), "")&lt;&gt;"", IFERROR(INDEX(ERP資料!$A:$A, (MATCH(882, 輔助計算!$F$2:$F$801, 0)+1)), "")&lt;&gt;IFERROR(INDEX(ERP資料!$A:$A, MATCH(881, 輔助計算!$F$2:$F$801, 0)+1), "")), INDEX(ERP資料!$S:$S, (MATCH(882, 輔助計算!$F$2:$F$801, 0)+1)), ""), "")</f>
        <v/>
      </c>
      <c r="D883" s="10">
        <f>IFERROR(IF(INDEX(ERP資料!$E:$E, (MATCH(882, 輔助計算!$F$2:$F$801, 0)+1))="","",TRIM(INDEX(ERP資料!$E:$E, (MATCH(882, 輔助計算!$F$2:$F$801, 0)+1)))), "")</f>
        <v/>
      </c>
      <c r="E883" s="10">
        <f>IFERROR(IF(INDEX(ERP資料!$F:$F, (MATCH(882, 輔助計算!$F$2:$F$801, 0)+1))="","",INDEX(ERP資料!$F:$F, (MATCH(882, 輔助計算!$F$2:$F$801, 0)+1))), "")</f>
        <v/>
      </c>
      <c r="F883" s="10">
        <f>IFERROR(IF(INDEX(ERP資料!$G:$G, (MATCH(882, 輔助計算!$F$2:$F$801, 0)+1))="","",INDEX(ERP資料!$G:$G, (MATCH(882, 輔助計算!$F$2:$F$801, 0)+1))), "")</f>
        <v/>
      </c>
      <c r="G883" s="10">
        <f>IFERROR(IF(INDEX(ERP資料!$H:$H, (MATCH(882, 輔助計算!$F$2:$F$801, 0)+1))="","",INDEX(ERP資料!$H:$H, (MATCH(882, 輔助計算!$F$2:$F$801, 0)+1))), "")</f>
        <v/>
      </c>
      <c r="H883" s="10">
        <f>IFERROR(IF(INDEX(ERP資料!$O:$O, (MATCH(882, 輔助計算!$F$2:$F$801, 0)+1))="","",INDEX(ERP資料!$O:$O, (MATCH(882, 輔助計算!$F$2:$F$801, 0)+1))), "")</f>
        <v/>
      </c>
      <c r="I883" s="15">
        <f>IFERROR(IF(INDEX(輔助計算!$D:$D,(MATCH(882, 輔助計算!$F$2:$F$801, 0)+1))="","",INDEX(輔助計算!$D:$D,(MATCH(882, 輔助計算!$F$2:$F$801, 0)+1))*INDEX(ERP資料!$O:$O,(MATCH(882, 輔助計算!$F$2:$F$801, 0)+1))), "")</f>
        <v/>
      </c>
      <c r="J883" s="16" t="n"/>
      <c r="K883" s="15">
        <f>IFERROR(INDEX(輔助計算!$D:$D, (MATCH(882, 輔助計算!$F$2:$F$801, 0)+1)), "")</f>
        <v/>
      </c>
      <c r="L883" s="16">
        <f>IFERROR(IF(AND(IFERROR(VLOOKUP(LEFT(INDEX(ERP資料!$S:$S, (MATCH(882, 輔助計算!$F$2:$F$801, 0)+1)), 4), 100張客戶!$A:$A, 1, FALSE), "")&lt;&gt;"", OR(INDEX(ERP資料!$F:$F, (MATCH(882, 輔助計算!$F$2:$F$801, 0)+1))=270, INDEX(ERP資料!$F:$F, (MATCH(882, 輔助計算!$F$2:$F$801, 0)+1))=300)), "100張", ""), "")</f>
        <v/>
      </c>
      <c r="M883" s="17" t="n"/>
      <c r="N883" s="17">
        <f>IF($F883="","",$F883)</f>
        <v/>
      </c>
      <c r="O883" s="17">
        <f>IF($G883="","",$G883)</f>
        <v/>
      </c>
      <c r="P883" s="17">
        <f>IF($K883="","",$K883)</f>
        <v/>
      </c>
      <c r="Q883" s="16" t="n"/>
      <c r="R883" s="18" t="n"/>
      <c r="S883" s="16" t="n"/>
    </row>
    <row r="884">
      <c r="A884" s="14">
        <f>IFERROR(IF(AND(IFERROR(INDEX(ERP資料!$A:$A, (MATCH(883, 輔助計算!$F$2:$F$801, 0)+1)), "")&lt;&gt;"", IFERROR(INDEX(ERP資料!$A:$A, (MATCH(883, 輔助計算!$F$2:$F$801, 0)+1)), "")&lt;&gt;IFERROR(INDEX(ERP資料!$A:$A, MATCH(882, 輔助計算!$F$2:$F$801, 0)+1), "")), INDEX(ERP資料!$B:$B, (MATCH(883, 輔助計算!$F$2:$F$801, 0)+1)), ""), "")</f>
        <v/>
      </c>
      <c r="B884" s="10">
        <f>IFERROR(IF(AND(IFERROR(INDEX(ERP資料!$A:$A, (MATCH(883, 輔助計算!$F$2:$F$801, 0)+1)), "")&lt;&gt;"", IFERROR(INDEX(ERP資料!$A:$A, (MATCH(883, 輔助計算!$F$2:$F$801, 0)+1)), "")&lt;&gt;IFERROR(INDEX(ERP資料!$A:$A, MATCH(882, 輔助計算!$F$2:$F$801, 0)+1), "")), IFERROR(INDEX(ERP資料!$A:$A, (MATCH(883, 輔助計算!$F$2:$F$801, 0)+1)), ""), ""), "")</f>
        <v/>
      </c>
      <c r="C884" s="10">
        <f>IFERROR(IF(AND(IFERROR(INDEX(ERP資料!$A:$A, (MATCH(883, 輔助計算!$F$2:$F$801, 0)+1)), "")&lt;&gt;"", IFERROR(INDEX(ERP資料!$A:$A, (MATCH(883, 輔助計算!$F$2:$F$801, 0)+1)), "")&lt;&gt;IFERROR(INDEX(ERP資料!$A:$A, MATCH(882, 輔助計算!$F$2:$F$801, 0)+1), "")), INDEX(ERP資料!$S:$S, (MATCH(883, 輔助計算!$F$2:$F$801, 0)+1)), ""), "")</f>
        <v/>
      </c>
      <c r="D884" s="10">
        <f>IFERROR(IF(INDEX(ERP資料!$E:$E, (MATCH(883, 輔助計算!$F$2:$F$801, 0)+1))="","",TRIM(INDEX(ERP資料!$E:$E, (MATCH(883, 輔助計算!$F$2:$F$801, 0)+1)))), "")</f>
        <v/>
      </c>
      <c r="E884" s="10">
        <f>IFERROR(IF(INDEX(ERP資料!$F:$F, (MATCH(883, 輔助計算!$F$2:$F$801, 0)+1))="","",INDEX(ERP資料!$F:$F, (MATCH(883, 輔助計算!$F$2:$F$801, 0)+1))), "")</f>
        <v/>
      </c>
      <c r="F884" s="10">
        <f>IFERROR(IF(INDEX(ERP資料!$G:$G, (MATCH(883, 輔助計算!$F$2:$F$801, 0)+1))="","",INDEX(ERP資料!$G:$G, (MATCH(883, 輔助計算!$F$2:$F$801, 0)+1))), "")</f>
        <v/>
      </c>
      <c r="G884" s="10">
        <f>IFERROR(IF(INDEX(ERP資料!$H:$H, (MATCH(883, 輔助計算!$F$2:$F$801, 0)+1))="","",INDEX(ERP資料!$H:$H, (MATCH(883, 輔助計算!$F$2:$F$801, 0)+1))), "")</f>
        <v/>
      </c>
      <c r="H884" s="10">
        <f>IFERROR(IF(INDEX(ERP資料!$O:$O, (MATCH(883, 輔助計算!$F$2:$F$801, 0)+1))="","",INDEX(ERP資料!$O:$O, (MATCH(883, 輔助計算!$F$2:$F$801, 0)+1))), "")</f>
        <v/>
      </c>
      <c r="I884" s="15">
        <f>IFERROR(IF(INDEX(輔助計算!$D:$D,(MATCH(883, 輔助計算!$F$2:$F$801, 0)+1))="","",INDEX(輔助計算!$D:$D,(MATCH(883, 輔助計算!$F$2:$F$801, 0)+1))*INDEX(ERP資料!$O:$O,(MATCH(883, 輔助計算!$F$2:$F$801, 0)+1))), "")</f>
        <v/>
      </c>
      <c r="J884" s="16" t="n"/>
      <c r="K884" s="15">
        <f>IFERROR(INDEX(輔助計算!$D:$D, (MATCH(883, 輔助計算!$F$2:$F$801, 0)+1)), "")</f>
        <v/>
      </c>
      <c r="L884" s="16">
        <f>IFERROR(IF(AND(IFERROR(VLOOKUP(LEFT(INDEX(ERP資料!$S:$S, (MATCH(883, 輔助計算!$F$2:$F$801, 0)+1)), 4), 100張客戶!$A:$A, 1, FALSE), "")&lt;&gt;"", OR(INDEX(ERP資料!$F:$F, (MATCH(883, 輔助計算!$F$2:$F$801, 0)+1))=270, INDEX(ERP資料!$F:$F, (MATCH(883, 輔助計算!$F$2:$F$801, 0)+1))=300)), "100張", ""), "")</f>
        <v/>
      </c>
      <c r="M884" s="17" t="n"/>
      <c r="N884" s="17">
        <f>IF($F884="","",$F884)</f>
        <v/>
      </c>
      <c r="O884" s="17">
        <f>IF($G884="","",$G884)</f>
        <v/>
      </c>
      <c r="P884" s="17">
        <f>IF($K884="","",$K884)</f>
        <v/>
      </c>
      <c r="Q884" s="16" t="n"/>
      <c r="R884" s="18" t="n"/>
      <c r="S884" s="16" t="n"/>
    </row>
    <row r="885">
      <c r="A885" s="14">
        <f>IFERROR(IF(AND(IFERROR(INDEX(ERP資料!$A:$A, (MATCH(884, 輔助計算!$F$2:$F$801, 0)+1)), "")&lt;&gt;"", IFERROR(INDEX(ERP資料!$A:$A, (MATCH(884, 輔助計算!$F$2:$F$801, 0)+1)), "")&lt;&gt;IFERROR(INDEX(ERP資料!$A:$A, MATCH(883, 輔助計算!$F$2:$F$801, 0)+1), "")), INDEX(ERP資料!$B:$B, (MATCH(884, 輔助計算!$F$2:$F$801, 0)+1)), ""), "")</f>
        <v/>
      </c>
      <c r="B885" s="10">
        <f>IFERROR(IF(AND(IFERROR(INDEX(ERP資料!$A:$A, (MATCH(884, 輔助計算!$F$2:$F$801, 0)+1)), "")&lt;&gt;"", IFERROR(INDEX(ERP資料!$A:$A, (MATCH(884, 輔助計算!$F$2:$F$801, 0)+1)), "")&lt;&gt;IFERROR(INDEX(ERP資料!$A:$A, MATCH(883, 輔助計算!$F$2:$F$801, 0)+1), "")), IFERROR(INDEX(ERP資料!$A:$A, (MATCH(884, 輔助計算!$F$2:$F$801, 0)+1)), ""), ""), "")</f>
        <v/>
      </c>
      <c r="C885" s="10">
        <f>IFERROR(IF(AND(IFERROR(INDEX(ERP資料!$A:$A, (MATCH(884, 輔助計算!$F$2:$F$801, 0)+1)), "")&lt;&gt;"", IFERROR(INDEX(ERP資料!$A:$A, (MATCH(884, 輔助計算!$F$2:$F$801, 0)+1)), "")&lt;&gt;IFERROR(INDEX(ERP資料!$A:$A, MATCH(883, 輔助計算!$F$2:$F$801, 0)+1), "")), INDEX(ERP資料!$S:$S, (MATCH(884, 輔助計算!$F$2:$F$801, 0)+1)), ""), "")</f>
        <v/>
      </c>
      <c r="D885" s="10">
        <f>IFERROR(IF(INDEX(ERP資料!$E:$E, (MATCH(884, 輔助計算!$F$2:$F$801, 0)+1))="","",TRIM(INDEX(ERP資料!$E:$E, (MATCH(884, 輔助計算!$F$2:$F$801, 0)+1)))), "")</f>
        <v/>
      </c>
      <c r="E885" s="10">
        <f>IFERROR(IF(INDEX(ERP資料!$F:$F, (MATCH(884, 輔助計算!$F$2:$F$801, 0)+1))="","",INDEX(ERP資料!$F:$F, (MATCH(884, 輔助計算!$F$2:$F$801, 0)+1))), "")</f>
        <v/>
      </c>
      <c r="F885" s="10">
        <f>IFERROR(IF(INDEX(ERP資料!$G:$G, (MATCH(884, 輔助計算!$F$2:$F$801, 0)+1))="","",INDEX(ERP資料!$G:$G, (MATCH(884, 輔助計算!$F$2:$F$801, 0)+1))), "")</f>
        <v/>
      </c>
      <c r="G885" s="10">
        <f>IFERROR(IF(INDEX(ERP資料!$H:$H, (MATCH(884, 輔助計算!$F$2:$F$801, 0)+1))="","",INDEX(ERP資料!$H:$H, (MATCH(884, 輔助計算!$F$2:$F$801, 0)+1))), "")</f>
        <v/>
      </c>
      <c r="H885" s="10">
        <f>IFERROR(IF(INDEX(ERP資料!$O:$O, (MATCH(884, 輔助計算!$F$2:$F$801, 0)+1))="","",INDEX(ERP資料!$O:$O, (MATCH(884, 輔助計算!$F$2:$F$801, 0)+1))), "")</f>
        <v/>
      </c>
      <c r="I885" s="15">
        <f>IFERROR(IF(INDEX(輔助計算!$D:$D,(MATCH(884, 輔助計算!$F$2:$F$801, 0)+1))="","",INDEX(輔助計算!$D:$D,(MATCH(884, 輔助計算!$F$2:$F$801, 0)+1))*INDEX(ERP資料!$O:$O,(MATCH(884, 輔助計算!$F$2:$F$801, 0)+1))), "")</f>
        <v/>
      </c>
      <c r="J885" s="16" t="n"/>
      <c r="K885" s="15">
        <f>IFERROR(INDEX(輔助計算!$D:$D, (MATCH(884, 輔助計算!$F$2:$F$801, 0)+1)), "")</f>
        <v/>
      </c>
      <c r="L885" s="16">
        <f>IFERROR(IF(AND(IFERROR(VLOOKUP(LEFT(INDEX(ERP資料!$S:$S, (MATCH(884, 輔助計算!$F$2:$F$801, 0)+1)), 4), 100張客戶!$A:$A, 1, FALSE), "")&lt;&gt;"", OR(INDEX(ERP資料!$F:$F, (MATCH(884, 輔助計算!$F$2:$F$801, 0)+1))=270, INDEX(ERP資料!$F:$F, (MATCH(884, 輔助計算!$F$2:$F$801, 0)+1))=300)), "100張", ""), "")</f>
        <v/>
      </c>
      <c r="M885" s="17" t="n"/>
      <c r="N885" s="17">
        <f>IF($F885="","",$F885)</f>
        <v/>
      </c>
      <c r="O885" s="17">
        <f>IF($G885="","",$G885)</f>
        <v/>
      </c>
      <c r="P885" s="17">
        <f>IF($K885="","",$K885)</f>
        <v/>
      </c>
      <c r="Q885" s="16" t="n"/>
      <c r="R885" s="18" t="n"/>
      <c r="S885" s="16" t="n"/>
    </row>
    <row r="886">
      <c r="A886" s="14">
        <f>IFERROR(IF(AND(IFERROR(INDEX(ERP資料!$A:$A, (MATCH(885, 輔助計算!$F$2:$F$801, 0)+1)), "")&lt;&gt;"", IFERROR(INDEX(ERP資料!$A:$A, (MATCH(885, 輔助計算!$F$2:$F$801, 0)+1)), "")&lt;&gt;IFERROR(INDEX(ERP資料!$A:$A, MATCH(884, 輔助計算!$F$2:$F$801, 0)+1), "")), INDEX(ERP資料!$B:$B, (MATCH(885, 輔助計算!$F$2:$F$801, 0)+1)), ""), "")</f>
        <v/>
      </c>
      <c r="B886" s="10">
        <f>IFERROR(IF(AND(IFERROR(INDEX(ERP資料!$A:$A, (MATCH(885, 輔助計算!$F$2:$F$801, 0)+1)), "")&lt;&gt;"", IFERROR(INDEX(ERP資料!$A:$A, (MATCH(885, 輔助計算!$F$2:$F$801, 0)+1)), "")&lt;&gt;IFERROR(INDEX(ERP資料!$A:$A, MATCH(884, 輔助計算!$F$2:$F$801, 0)+1), "")), IFERROR(INDEX(ERP資料!$A:$A, (MATCH(885, 輔助計算!$F$2:$F$801, 0)+1)), ""), ""), "")</f>
        <v/>
      </c>
      <c r="C886" s="10">
        <f>IFERROR(IF(AND(IFERROR(INDEX(ERP資料!$A:$A, (MATCH(885, 輔助計算!$F$2:$F$801, 0)+1)), "")&lt;&gt;"", IFERROR(INDEX(ERP資料!$A:$A, (MATCH(885, 輔助計算!$F$2:$F$801, 0)+1)), "")&lt;&gt;IFERROR(INDEX(ERP資料!$A:$A, MATCH(884, 輔助計算!$F$2:$F$801, 0)+1), "")), INDEX(ERP資料!$S:$S, (MATCH(885, 輔助計算!$F$2:$F$801, 0)+1)), ""), "")</f>
        <v/>
      </c>
      <c r="D886" s="10">
        <f>IFERROR(IF(INDEX(ERP資料!$E:$E, (MATCH(885, 輔助計算!$F$2:$F$801, 0)+1))="","",TRIM(INDEX(ERP資料!$E:$E, (MATCH(885, 輔助計算!$F$2:$F$801, 0)+1)))), "")</f>
        <v/>
      </c>
      <c r="E886" s="10">
        <f>IFERROR(IF(INDEX(ERP資料!$F:$F, (MATCH(885, 輔助計算!$F$2:$F$801, 0)+1))="","",INDEX(ERP資料!$F:$F, (MATCH(885, 輔助計算!$F$2:$F$801, 0)+1))), "")</f>
        <v/>
      </c>
      <c r="F886" s="10">
        <f>IFERROR(IF(INDEX(ERP資料!$G:$G, (MATCH(885, 輔助計算!$F$2:$F$801, 0)+1))="","",INDEX(ERP資料!$G:$G, (MATCH(885, 輔助計算!$F$2:$F$801, 0)+1))), "")</f>
        <v/>
      </c>
      <c r="G886" s="10">
        <f>IFERROR(IF(INDEX(ERP資料!$H:$H, (MATCH(885, 輔助計算!$F$2:$F$801, 0)+1))="","",INDEX(ERP資料!$H:$H, (MATCH(885, 輔助計算!$F$2:$F$801, 0)+1))), "")</f>
        <v/>
      </c>
      <c r="H886" s="10">
        <f>IFERROR(IF(INDEX(ERP資料!$O:$O, (MATCH(885, 輔助計算!$F$2:$F$801, 0)+1))="","",INDEX(ERP資料!$O:$O, (MATCH(885, 輔助計算!$F$2:$F$801, 0)+1))), "")</f>
        <v/>
      </c>
      <c r="I886" s="15">
        <f>IFERROR(IF(INDEX(輔助計算!$D:$D,(MATCH(885, 輔助計算!$F$2:$F$801, 0)+1))="","",INDEX(輔助計算!$D:$D,(MATCH(885, 輔助計算!$F$2:$F$801, 0)+1))*INDEX(ERP資料!$O:$O,(MATCH(885, 輔助計算!$F$2:$F$801, 0)+1))), "")</f>
        <v/>
      </c>
      <c r="J886" s="16" t="n"/>
      <c r="K886" s="15">
        <f>IFERROR(INDEX(輔助計算!$D:$D, (MATCH(885, 輔助計算!$F$2:$F$801, 0)+1)), "")</f>
        <v/>
      </c>
      <c r="L886" s="16">
        <f>IFERROR(IF(AND(IFERROR(VLOOKUP(LEFT(INDEX(ERP資料!$S:$S, (MATCH(885, 輔助計算!$F$2:$F$801, 0)+1)), 4), 100張客戶!$A:$A, 1, FALSE), "")&lt;&gt;"", OR(INDEX(ERP資料!$F:$F, (MATCH(885, 輔助計算!$F$2:$F$801, 0)+1))=270, INDEX(ERP資料!$F:$F, (MATCH(885, 輔助計算!$F$2:$F$801, 0)+1))=300)), "100張", ""), "")</f>
        <v/>
      </c>
      <c r="M886" s="17" t="n"/>
      <c r="N886" s="17">
        <f>IF($F886="","",$F886)</f>
        <v/>
      </c>
      <c r="O886" s="17">
        <f>IF($G886="","",$G886)</f>
        <v/>
      </c>
      <c r="P886" s="17">
        <f>IF($K886="","",$K886)</f>
        <v/>
      </c>
      <c r="Q886" s="16" t="n"/>
      <c r="R886" s="18" t="n"/>
      <c r="S886" s="16" t="n"/>
    </row>
    <row r="887">
      <c r="A887" s="14">
        <f>IFERROR(IF(AND(IFERROR(INDEX(ERP資料!$A:$A, (MATCH(886, 輔助計算!$F$2:$F$801, 0)+1)), "")&lt;&gt;"", IFERROR(INDEX(ERP資料!$A:$A, (MATCH(886, 輔助計算!$F$2:$F$801, 0)+1)), "")&lt;&gt;IFERROR(INDEX(ERP資料!$A:$A, MATCH(885, 輔助計算!$F$2:$F$801, 0)+1), "")), INDEX(ERP資料!$B:$B, (MATCH(886, 輔助計算!$F$2:$F$801, 0)+1)), ""), "")</f>
        <v/>
      </c>
      <c r="B887" s="10">
        <f>IFERROR(IF(AND(IFERROR(INDEX(ERP資料!$A:$A, (MATCH(886, 輔助計算!$F$2:$F$801, 0)+1)), "")&lt;&gt;"", IFERROR(INDEX(ERP資料!$A:$A, (MATCH(886, 輔助計算!$F$2:$F$801, 0)+1)), "")&lt;&gt;IFERROR(INDEX(ERP資料!$A:$A, MATCH(885, 輔助計算!$F$2:$F$801, 0)+1), "")), IFERROR(INDEX(ERP資料!$A:$A, (MATCH(886, 輔助計算!$F$2:$F$801, 0)+1)), ""), ""), "")</f>
        <v/>
      </c>
      <c r="C887" s="10">
        <f>IFERROR(IF(AND(IFERROR(INDEX(ERP資料!$A:$A, (MATCH(886, 輔助計算!$F$2:$F$801, 0)+1)), "")&lt;&gt;"", IFERROR(INDEX(ERP資料!$A:$A, (MATCH(886, 輔助計算!$F$2:$F$801, 0)+1)), "")&lt;&gt;IFERROR(INDEX(ERP資料!$A:$A, MATCH(885, 輔助計算!$F$2:$F$801, 0)+1), "")), INDEX(ERP資料!$S:$S, (MATCH(886, 輔助計算!$F$2:$F$801, 0)+1)), ""), "")</f>
        <v/>
      </c>
      <c r="D887" s="10">
        <f>IFERROR(IF(INDEX(ERP資料!$E:$E, (MATCH(886, 輔助計算!$F$2:$F$801, 0)+1))="","",TRIM(INDEX(ERP資料!$E:$E, (MATCH(886, 輔助計算!$F$2:$F$801, 0)+1)))), "")</f>
        <v/>
      </c>
      <c r="E887" s="10">
        <f>IFERROR(IF(INDEX(ERP資料!$F:$F, (MATCH(886, 輔助計算!$F$2:$F$801, 0)+1))="","",INDEX(ERP資料!$F:$F, (MATCH(886, 輔助計算!$F$2:$F$801, 0)+1))), "")</f>
        <v/>
      </c>
      <c r="F887" s="10">
        <f>IFERROR(IF(INDEX(ERP資料!$G:$G, (MATCH(886, 輔助計算!$F$2:$F$801, 0)+1))="","",INDEX(ERP資料!$G:$G, (MATCH(886, 輔助計算!$F$2:$F$801, 0)+1))), "")</f>
        <v/>
      </c>
      <c r="G887" s="10">
        <f>IFERROR(IF(INDEX(ERP資料!$H:$H, (MATCH(886, 輔助計算!$F$2:$F$801, 0)+1))="","",INDEX(ERP資料!$H:$H, (MATCH(886, 輔助計算!$F$2:$F$801, 0)+1))), "")</f>
        <v/>
      </c>
      <c r="H887" s="10">
        <f>IFERROR(IF(INDEX(ERP資料!$O:$O, (MATCH(886, 輔助計算!$F$2:$F$801, 0)+1))="","",INDEX(ERP資料!$O:$O, (MATCH(886, 輔助計算!$F$2:$F$801, 0)+1))), "")</f>
        <v/>
      </c>
      <c r="I887" s="15">
        <f>IFERROR(IF(INDEX(輔助計算!$D:$D,(MATCH(886, 輔助計算!$F$2:$F$801, 0)+1))="","",INDEX(輔助計算!$D:$D,(MATCH(886, 輔助計算!$F$2:$F$801, 0)+1))*INDEX(ERP資料!$O:$O,(MATCH(886, 輔助計算!$F$2:$F$801, 0)+1))), "")</f>
        <v/>
      </c>
      <c r="J887" s="16" t="n"/>
      <c r="K887" s="15">
        <f>IFERROR(INDEX(輔助計算!$D:$D, (MATCH(886, 輔助計算!$F$2:$F$801, 0)+1)), "")</f>
        <v/>
      </c>
      <c r="L887" s="16">
        <f>IFERROR(IF(AND(IFERROR(VLOOKUP(LEFT(INDEX(ERP資料!$S:$S, (MATCH(886, 輔助計算!$F$2:$F$801, 0)+1)), 4), 100張客戶!$A:$A, 1, FALSE), "")&lt;&gt;"", OR(INDEX(ERP資料!$F:$F, (MATCH(886, 輔助計算!$F$2:$F$801, 0)+1))=270, INDEX(ERP資料!$F:$F, (MATCH(886, 輔助計算!$F$2:$F$801, 0)+1))=300)), "100張", ""), "")</f>
        <v/>
      </c>
      <c r="M887" s="17" t="n"/>
      <c r="N887" s="17">
        <f>IF($F887="","",$F887)</f>
        <v/>
      </c>
      <c r="O887" s="17">
        <f>IF($G887="","",$G887)</f>
        <v/>
      </c>
      <c r="P887" s="17">
        <f>IF($K887="","",$K887)</f>
        <v/>
      </c>
      <c r="Q887" s="16" t="n"/>
      <c r="R887" s="18" t="n"/>
      <c r="S887" s="16" t="n"/>
    </row>
    <row r="888">
      <c r="A888" s="14">
        <f>IFERROR(IF(AND(IFERROR(INDEX(ERP資料!$A:$A, (MATCH(887, 輔助計算!$F$2:$F$801, 0)+1)), "")&lt;&gt;"", IFERROR(INDEX(ERP資料!$A:$A, (MATCH(887, 輔助計算!$F$2:$F$801, 0)+1)), "")&lt;&gt;IFERROR(INDEX(ERP資料!$A:$A, MATCH(886, 輔助計算!$F$2:$F$801, 0)+1), "")), INDEX(ERP資料!$B:$B, (MATCH(887, 輔助計算!$F$2:$F$801, 0)+1)), ""), "")</f>
        <v/>
      </c>
      <c r="B888" s="10">
        <f>IFERROR(IF(AND(IFERROR(INDEX(ERP資料!$A:$A, (MATCH(887, 輔助計算!$F$2:$F$801, 0)+1)), "")&lt;&gt;"", IFERROR(INDEX(ERP資料!$A:$A, (MATCH(887, 輔助計算!$F$2:$F$801, 0)+1)), "")&lt;&gt;IFERROR(INDEX(ERP資料!$A:$A, MATCH(886, 輔助計算!$F$2:$F$801, 0)+1), "")), IFERROR(INDEX(ERP資料!$A:$A, (MATCH(887, 輔助計算!$F$2:$F$801, 0)+1)), ""), ""), "")</f>
        <v/>
      </c>
      <c r="C888" s="10">
        <f>IFERROR(IF(AND(IFERROR(INDEX(ERP資料!$A:$A, (MATCH(887, 輔助計算!$F$2:$F$801, 0)+1)), "")&lt;&gt;"", IFERROR(INDEX(ERP資料!$A:$A, (MATCH(887, 輔助計算!$F$2:$F$801, 0)+1)), "")&lt;&gt;IFERROR(INDEX(ERP資料!$A:$A, MATCH(886, 輔助計算!$F$2:$F$801, 0)+1), "")), INDEX(ERP資料!$S:$S, (MATCH(887, 輔助計算!$F$2:$F$801, 0)+1)), ""), "")</f>
        <v/>
      </c>
      <c r="D888" s="10">
        <f>IFERROR(IF(INDEX(ERP資料!$E:$E, (MATCH(887, 輔助計算!$F$2:$F$801, 0)+1))="","",TRIM(INDEX(ERP資料!$E:$E, (MATCH(887, 輔助計算!$F$2:$F$801, 0)+1)))), "")</f>
        <v/>
      </c>
      <c r="E888" s="10">
        <f>IFERROR(IF(INDEX(ERP資料!$F:$F, (MATCH(887, 輔助計算!$F$2:$F$801, 0)+1))="","",INDEX(ERP資料!$F:$F, (MATCH(887, 輔助計算!$F$2:$F$801, 0)+1))), "")</f>
        <v/>
      </c>
      <c r="F888" s="10">
        <f>IFERROR(IF(INDEX(ERP資料!$G:$G, (MATCH(887, 輔助計算!$F$2:$F$801, 0)+1))="","",INDEX(ERP資料!$G:$G, (MATCH(887, 輔助計算!$F$2:$F$801, 0)+1))), "")</f>
        <v/>
      </c>
      <c r="G888" s="10">
        <f>IFERROR(IF(INDEX(ERP資料!$H:$H, (MATCH(887, 輔助計算!$F$2:$F$801, 0)+1))="","",INDEX(ERP資料!$H:$H, (MATCH(887, 輔助計算!$F$2:$F$801, 0)+1))), "")</f>
        <v/>
      </c>
      <c r="H888" s="10">
        <f>IFERROR(IF(INDEX(ERP資料!$O:$O, (MATCH(887, 輔助計算!$F$2:$F$801, 0)+1))="","",INDEX(ERP資料!$O:$O, (MATCH(887, 輔助計算!$F$2:$F$801, 0)+1))), "")</f>
        <v/>
      </c>
      <c r="I888" s="15">
        <f>IFERROR(IF(INDEX(輔助計算!$D:$D,(MATCH(887, 輔助計算!$F$2:$F$801, 0)+1))="","",INDEX(輔助計算!$D:$D,(MATCH(887, 輔助計算!$F$2:$F$801, 0)+1))*INDEX(ERP資料!$O:$O,(MATCH(887, 輔助計算!$F$2:$F$801, 0)+1))), "")</f>
        <v/>
      </c>
      <c r="J888" s="16" t="n"/>
      <c r="K888" s="15">
        <f>IFERROR(INDEX(輔助計算!$D:$D, (MATCH(887, 輔助計算!$F$2:$F$801, 0)+1)), "")</f>
        <v/>
      </c>
      <c r="L888" s="16">
        <f>IFERROR(IF(AND(IFERROR(VLOOKUP(LEFT(INDEX(ERP資料!$S:$S, (MATCH(887, 輔助計算!$F$2:$F$801, 0)+1)), 4), 100張客戶!$A:$A, 1, FALSE), "")&lt;&gt;"", OR(INDEX(ERP資料!$F:$F, (MATCH(887, 輔助計算!$F$2:$F$801, 0)+1))=270, INDEX(ERP資料!$F:$F, (MATCH(887, 輔助計算!$F$2:$F$801, 0)+1))=300)), "100張", ""), "")</f>
        <v/>
      </c>
      <c r="M888" s="17" t="n"/>
      <c r="N888" s="17">
        <f>IF($F888="","",$F888)</f>
        <v/>
      </c>
      <c r="O888" s="17">
        <f>IF($G888="","",$G888)</f>
        <v/>
      </c>
      <c r="P888" s="17">
        <f>IF($K888="","",$K888)</f>
        <v/>
      </c>
      <c r="Q888" s="16" t="n"/>
      <c r="R888" s="18" t="n"/>
      <c r="S888" s="16" t="n"/>
    </row>
    <row r="889">
      <c r="A889" s="14">
        <f>IFERROR(IF(AND(IFERROR(INDEX(ERP資料!$A:$A, (MATCH(888, 輔助計算!$F$2:$F$801, 0)+1)), "")&lt;&gt;"", IFERROR(INDEX(ERP資料!$A:$A, (MATCH(888, 輔助計算!$F$2:$F$801, 0)+1)), "")&lt;&gt;IFERROR(INDEX(ERP資料!$A:$A, MATCH(887, 輔助計算!$F$2:$F$801, 0)+1), "")), INDEX(ERP資料!$B:$B, (MATCH(888, 輔助計算!$F$2:$F$801, 0)+1)), ""), "")</f>
        <v/>
      </c>
      <c r="B889" s="10">
        <f>IFERROR(IF(AND(IFERROR(INDEX(ERP資料!$A:$A, (MATCH(888, 輔助計算!$F$2:$F$801, 0)+1)), "")&lt;&gt;"", IFERROR(INDEX(ERP資料!$A:$A, (MATCH(888, 輔助計算!$F$2:$F$801, 0)+1)), "")&lt;&gt;IFERROR(INDEX(ERP資料!$A:$A, MATCH(887, 輔助計算!$F$2:$F$801, 0)+1), "")), IFERROR(INDEX(ERP資料!$A:$A, (MATCH(888, 輔助計算!$F$2:$F$801, 0)+1)), ""), ""), "")</f>
        <v/>
      </c>
      <c r="C889" s="10">
        <f>IFERROR(IF(AND(IFERROR(INDEX(ERP資料!$A:$A, (MATCH(888, 輔助計算!$F$2:$F$801, 0)+1)), "")&lt;&gt;"", IFERROR(INDEX(ERP資料!$A:$A, (MATCH(888, 輔助計算!$F$2:$F$801, 0)+1)), "")&lt;&gt;IFERROR(INDEX(ERP資料!$A:$A, MATCH(887, 輔助計算!$F$2:$F$801, 0)+1), "")), INDEX(ERP資料!$S:$S, (MATCH(888, 輔助計算!$F$2:$F$801, 0)+1)), ""), "")</f>
        <v/>
      </c>
      <c r="D889" s="10">
        <f>IFERROR(IF(INDEX(ERP資料!$E:$E, (MATCH(888, 輔助計算!$F$2:$F$801, 0)+1))="","",TRIM(INDEX(ERP資料!$E:$E, (MATCH(888, 輔助計算!$F$2:$F$801, 0)+1)))), "")</f>
        <v/>
      </c>
      <c r="E889" s="10">
        <f>IFERROR(IF(INDEX(ERP資料!$F:$F, (MATCH(888, 輔助計算!$F$2:$F$801, 0)+1))="","",INDEX(ERP資料!$F:$F, (MATCH(888, 輔助計算!$F$2:$F$801, 0)+1))), "")</f>
        <v/>
      </c>
      <c r="F889" s="10">
        <f>IFERROR(IF(INDEX(ERP資料!$G:$G, (MATCH(888, 輔助計算!$F$2:$F$801, 0)+1))="","",INDEX(ERP資料!$G:$G, (MATCH(888, 輔助計算!$F$2:$F$801, 0)+1))), "")</f>
        <v/>
      </c>
      <c r="G889" s="10">
        <f>IFERROR(IF(INDEX(ERP資料!$H:$H, (MATCH(888, 輔助計算!$F$2:$F$801, 0)+1))="","",INDEX(ERP資料!$H:$H, (MATCH(888, 輔助計算!$F$2:$F$801, 0)+1))), "")</f>
        <v/>
      </c>
      <c r="H889" s="10">
        <f>IFERROR(IF(INDEX(ERP資料!$O:$O, (MATCH(888, 輔助計算!$F$2:$F$801, 0)+1))="","",INDEX(ERP資料!$O:$O, (MATCH(888, 輔助計算!$F$2:$F$801, 0)+1))), "")</f>
        <v/>
      </c>
      <c r="I889" s="15">
        <f>IFERROR(IF(INDEX(輔助計算!$D:$D,(MATCH(888, 輔助計算!$F$2:$F$801, 0)+1))="","",INDEX(輔助計算!$D:$D,(MATCH(888, 輔助計算!$F$2:$F$801, 0)+1))*INDEX(ERP資料!$O:$O,(MATCH(888, 輔助計算!$F$2:$F$801, 0)+1))), "")</f>
        <v/>
      </c>
      <c r="J889" s="16" t="n"/>
      <c r="K889" s="15">
        <f>IFERROR(INDEX(輔助計算!$D:$D, (MATCH(888, 輔助計算!$F$2:$F$801, 0)+1)), "")</f>
        <v/>
      </c>
      <c r="L889" s="16">
        <f>IFERROR(IF(AND(IFERROR(VLOOKUP(LEFT(INDEX(ERP資料!$S:$S, (MATCH(888, 輔助計算!$F$2:$F$801, 0)+1)), 4), 100張客戶!$A:$A, 1, FALSE), "")&lt;&gt;"", OR(INDEX(ERP資料!$F:$F, (MATCH(888, 輔助計算!$F$2:$F$801, 0)+1))=270, INDEX(ERP資料!$F:$F, (MATCH(888, 輔助計算!$F$2:$F$801, 0)+1))=300)), "100張", ""), "")</f>
        <v/>
      </c>
      <c r="M889" s="17" t="n"/>
      <c r="N889" s="17">
        <f>IF($F889="","",$F889)</f>
        <v/>
      </c>
      <c r="O889" s="17">
        <f>IF($G889="","",$G889)</f>
        <v/>
      </c>
      <c r="P889" s="17">
        <f>IF($K889="","",$K889)</f>
        <v/>
      </c>
      <c r="Q889" s="16" t="n"/>
      <c r="R889" s="18" t="n"/>
      <c r="S889" s="16" t="n"/>
    </row>
    <row r="890">
      <c r="A890" s="14">
        <f>IFERROR(IF(AND(IFERROR(INDEX(ERP資料!$A:$A, (MATCH(889, 輔助計算!$F$2:$F$801, 0)+1)), "")&lt;&gt;"", IFERROR(INDEX(ERP資料!$A:$A, (MATCH(889, 輔助計算!$F$2:$F$801, 0)+1)), "")&lt;&gt;IFERROR(INDEX(ERP資料!$A:$A, MATCH(888, 輔助計算!$F$2:$F$801, 0)+1), "")), INDEX(ERP資料!$B:$B, (MATCH(889, 輔助計算!$F$2:$F$801, 0)+1)), ""), "")</f>
        <v/>
      </c>
      <c r="B890" s="10">
        <f>IFERROR(IF(AND(IFERROR(INDEX(ERP資料!$A:$A, (MATCH(889, 輔助計算!$F$2:$F$801, 0)+1)), "")&lt;&gt;"", IFERROR(INDEX(ERP資料!$A:$A, (MATCH(889, 輔助計算!$F$2:$F$801, 0)+1)), "")&lt;&gt;IFERROR(INDEX(ERP資料!$A:$A, MATCH(888, 輔助計算!$F$2:$F$801, 0)+1), "")), IFERROR(INDEX(ERP資料!$A:$A, (MATCH(889, 輔助計算!$F$2:$F$801, 0)+1)), ""), ""), "")</f>
        <v/>
      </c>
      <c r="C890" s="10">
        <f>IFERROR(IF(AND(IFERROR(INDEX(ERP資料!$A:$A, (MATCH(889, 輔助計算!$F$2:$F$801, 0)+1)), "")&lt;&gt;"", IFERROR(INDEX(ERP資料!$A:$A, (MATCH(889, 輔助計算!$F$2:$F$801, 0)+1)), "")&lt;&gt;IFERROR(INDEX(ERP資料!$A:$A, MATCH(888, 輔助計算!$F$2:$F$801, 0)+1), "")), INDEX(ERP資料!$S:$S, (MATCH(889, 輔助計算!$F$2:$F$801, 0)+1)), ""), "")</f>
        <v/>
      </c>
      <c r="D890" s="10">
        <f>IFERROR(IF(INDEX(ERP資料!$E:$E, (MATCH(889, 輔助計算!$F$2:$F$801, 0)+1))="","",TRIM(INDEX(ERP資料!$E:$E, (MATCH(889, 輔助計算!$F$2:$F$801, 0)+1)))), "")</f>
        <v/>
      </c>
      <c r="E890" s="10">
        <f>IFERROR(IF(INDEX(ERP資料!$F:$F, (MATCH(889, 輔助計算!$F$2:$F$801, 0)+1))="","",INDEX(ERP資料!$F:$F, (MATCH(889, 輔助計算!$F$2:$F$801, 0)+1))), "")</f>
        <v/>
      </c>
      <c r="F890" s="10">
        <f>IFERROR(IF(INDEX(ERP資料!$G:$G, (MATCH(889, 輔助計算!$F$2:$F$801, 0)+1))="","",INDEX(ERP資料!$G:$G, (MATCH(889, 輔助計算!$F$2:$F$801, 0)+1))), "")</f>
        <v/>
      </c>
      <c r="G890" s="10">
        <f>IFERROR(IF(INDEX(ERP資料!$H:$H, (MATCH(889, 輔助計算!$F$2:$F$801, 0)+1))="","",INDEX(ERP資料!$H:$H, (MATCH(889, 輔助計算!$F$2:$F$801, 0)+1))), "")</f>
        <v/>
      </c>
      <c r="H890" s="10">
        <f>IFERROR(IF(INDEX(ERP資料!$O:$O, (MATCH(889, 輔助計算!$F$2:$F$801, 0)+1))="","",INDEX(ERP資料!$O:$O, (MATCH(889, 輔助計算!$F$2:$F$801, 0)+1))), "")</f>
        <v/>
      </c>
      <c r="I890" s="15">
        <f>IFERROR(IF(INDEX(輔助計算!$D:$D,(MATCH(889, 輔助計算!$F$2:$F$801, 0)+1))="","",INDEX(輔助計算!$D:$D,(MATCH(889, 輔助計算!$F$2:$F$801, 0)+1))*INDEX(ERP資料!$O:$O,(MATCH(889, 輔助計算!$F$2:$F$801, 0)+1))), "")</f>
        <v/>
      </c>
      <c r="J890" s="16" t="n"/>
      <c r="K890" s="15">
        <f>IFERROR(INDEX(輔助計算!$D:$D, (MATCH(889, 輔助計算!$F$2:$F$801, 0)+1)), "")</f>
        <v/>
      </c>
      <c r="L890" s="16">
        <f>IFERROR(IF(AND(IFERROR(VLOOKUP(LEFT(INDEX(ERP資料!$S:$S, (MATCH(889, 輔助計算!$F$2:$F$801, 0)+1)), 4), 100張客戶!$A:$A, 1, FALSE), "")&lt;&gt;"", OR(INDEX(ERP資料!$F:$F, (MATCH(889, 輔助計算!$F$2:$F$801, 0)+1))=270, INDEX(ERP資料!$F:$F, (MATCH(889, 輔助計算!$F$2:$F$801, 0)+1))=300)), "100張", ""), "")</f>
        <v/>
      </c>
      <c r="M890" s="17" t="n"/>
      <c r="N890" s="17">
        <f>IF($F890="","",$F890)</f>
        <v/>
      </c>
      <c r="O890" s="17">
        <f>IF($G890="","",$G890)</f>
        <v/>
      </c>
      <c r="P890" s="17">
        <f>IF($K890="","",$K890)</f>
        <v/>
      </c>
      <c r="Q890" s="16" t="n"/>
      <c r="R890" s="18" t="n"/>
      <c r="S890" s="16" t="n"/>
    </row>
    <row r="891">
      <c r="A891" s="14">
        <f>IFERROR(IF(AND(IFERROR(INDEX(ERP資料!$A:$A, (MATCH(890, 輔助計算!$F$2:$F$801, 0)+1)), "")&lt;&gt;"", IFERROR(INDEX(ERP資料!$A:$A, (MATCH(890, 輔助計算!$F$2:$F$801, 0)+1)), "")&lt;&gt;IFERROR(INDEX(ERP資料!$A:$A, MATCH(889, 輔助計算!$F$2:$F$801, 0)+1), "")), INDEX(ERP資料!$B:$B, (MATCH(890, 輔助計算!$F$2:$F$801, 0)+1)), ""), "")</f>
        <v/>
      </c>
      <c r="B891" s="10">
        <f>IFERROR(IF(AND(IFERROR(INDEX(ERP資料!$A:$A, (MATCH(890, 輔助計算!$F$2:$F$801, 0)+1)), "")&lt;&gt;"", IFERROR(INDEX(ERP資料!$A:$A, (MATCH(890, 輔助計算!$F$2:$F$801, 0)+1)), "")&lt;&gt;IFERROR(INDEX(ERP資料!$A:$A, MATCH(889, 輔助計算!$F$2:$F$801, 0)+1), "")), IFERROR(INDEX(ERP資料!$A:$A, (MATCH(890, 輔助計算!$F$2:$F$801, 0)+1)), ""), ""), "")</f>
        <v/>
      </c>
      <c r="C891" s="10">
        <f>IFERROR(IF(AND(IFERROR(INDEX(ERP資料!$A:$A, (MATCH(890, 輔助計算!$F$2:$F$801, 0)+1)), "")&lt;&gt;"", IFERROR(INDEX(ERP資料!$A:$A, (MATCH(890, 輔助計算!$F$2:$F$801, 0)+1)), "")&lt;&gt;IFERROR(INDEX(ERP資料!$A:$A, MATCH(889, 輔助計算!$F$2:$F$801, 0)+1), "")), INDEX(ERP資料!$S:$S, (MATCH(890, 輔助計算!$F$2:$F$801, 0)+1)), ""), "")</f>
        <v/>
      </c>
      <c r="D891" s="10">
        <f>IFERROR(IF(INDEX(ERP資料!$E:$E, (MATCH(890, 輔助計算!$F$2:$F$801, 0)+1))="","",TRIM(INDEX(ERP資料!$E:$E, (MATCH(890, 輔助計算!$F$2:$F$801, 0)+1)))), "")</f>
        <v/>
      </c>
      <c r="E891" s="10">
        <f>IFERROR(IF(INDEX(ERP資料!$F:$F, (MATCH(890, 輔助計算!$F$2:$F$801, 0)+1))="","",INDEX(ERP資料!$F:$F, (MATCH(890, 輔助計算!$F$2:$F$801, 0)+1))), "")</f>
        <v/>
      </c>
      <c r="F891" s="10">
        <f>IFERROR(IF(INDEX(ERP資料!$G:$G, (MATCH(890, 輔助計算!$F$2:$F$801, 0)+1))="","",INDEX(ERP資料!$G:$G, (MATCH(890, 輔助計算!$F$2:$F$801, 0)+1))), "")</f>
        <v/>
      </c>
      <c r="G891" s="10">
        <f>IFERROR(IF(INDEX(ERP資料!$H:$H, (MATCH(890, 輔助計算!$F$2:$F$801, 0)+1))="","",INDEX(ERP資料!$H:$H, (MATCH(890, 輔助計算!$F$2:$F$801, 0)+1))), "")</f>
        <v/>
      </c>
      <c r="H891" s="10">
        <f>IFERROR(IF(INDEX(ERP資料!$O:$O, (MATCH(890, 輔助計算!$F$2:$F$801, 0)+1))="","",INDEX(ERP資料!$O:$O, (MATCH(890, 輔助計算!$F$2:$F$801, 0)+1))), "")</f>
        <v/>
      </c>
      <c r="I891" s="15">
        <f>IFERROR(IF(INDEX(輔助計算!$D:$D,(MATCH(890, 輔助計算!$F$2:$F$801, 0)+1))="","",INDEX(輔助計算!$D:$D,(MATCH(890, 輔助計算!$F$2:$F$801, 0)+1))*INDEX(ERP資料!$O:$O,(MATCH(890, 輔助計算!$F$2:$F$801, 0)+1))), "")</f>
        <v/>
      </c>
      <c r="J891" s="16" t="n"/>
      <c r="K891" s="15">
        <f>IFERROR(INDEX(輔助計算!$D:$D, (MATCH(890, 輔助計算!$F$2:$F$801, 0)+1)), "")</f>
        <v/>
      </c>
      <c r="L891" s="16">
        <f>IFERROR(IF(AND(IFERROR(VLOOKUP(LEFT(INDEX(ERP資料!$S:$S, (MATCH(890, 輔助計算!$F$2:$F$801, 0)+1)), 4), 100張客戶!$A:$A, 1, FALSE), "")&lt;&gt;"", OR(INDEX(ERP資料!$F:$F, (MATCH(890, 輔助計算!$F$2:$F$801, 0)+1))=270, INDEX(ERP資料!$F:$F, (MATCH(890, 輔助計算!$F$2:$F$801, 0)+1))=300)), "100張", ""), "")</f>
        <v/>
      </c>
      <c r="M891" s="17" t="n"/>
      <c r="N891" s="17">
        <f>IF($F891="","",$F891)</f>
        <v/>
      </c>
      <c r="O891" s="17">
        <f>IF($G891="","",$G891)</f>
        <v/>
      </c>
      <c r="P891" s="17">
        <f>IF($K891="","",$K891)</f>
        <v/>
      </c>
      <c r="Q891" s="16" t="n"/>
      <c r="R891" s="18" t="n"/>
      <c r="S891" s="16" t="n"/>
    </row>
    <row r="892">
      <c r="A892" s="14">
        <f>IFERROR(IF(AND(IFERROR(INDEX(ERP資料!$A:$A, (MATCH(891, 輔助計算!$F$2:$F$801, 0)+1)), "")&lt;&gt;"", IFERROR(INDEX(ERP資料!$A:$A, (MATCH(891, 輔助計算!$F$2:$F$801, 0)+1)), "")&lt;&gt;IFERROR(INDEX(ERP資料!$A:$A, MATCH(890, 輔助計算!$F$2:$F$801, 0)+1), "")), INDEX(ERP資料!$B:$B, (MATCH(891, 輔助計算!$F$2:$F$801, 0)+1)), ""), "")</f>
        <v/>
      </c>
      <c r="B892" s="10">
        <f>IFERROR(IF(AND(IFERROR(INDEX(ERP資料!$A:$A, (MATCH(891, 輔助計算!$F$2:$F$801, 0)+1)), "")&lt;&gt;"", IFERROR(INDEX(ERP資料!$A:$A, (MATCH(891, 輔助計算!$F$2:$F$801, 0)+1)), "")&lt;&gt;IFERROR(INDEX(ERP資料!$A:$A, MATCH(890, 輔助計算!$F$2:$F$801, 0)+1), "")), IFERROR(INDEX(ERP資料!$A:$A, (MATCH(891, 輔助計算!$F$2:$F$801, 0)+1)), ""), ""), "")</f>
        <v/>
      </c>
      <c r="C892" s="10">
        <f>IFERROR(IF(AND(IFERROR(INDEX(ERP資料!$A:$A, (MATCH(891, 輔助計算!$F$2:$F$801, 0)+1)), "")&lt;&gt;"", IFERROR(INDEX(ERP資料!$A:$A, (MATCH(891, 輔助計算!$F$2:$F$801, 0)+1)), "")&lt;&gt;IFERROR(INDEX(ERP資料!$A:$A, MATCH(890, 輔助計算!$F$2:$F$801, 0)+1), "")), INDEX(ERP資料!$S:$S, (MATCH(891, 輔助計算!$F$2:$F$801, 0)+1)), ""), "")</f>
        <v/>
      </c>
      <c r="D892" s="10">
        <f>IFERROR(IF(INDEX(ERP資料!$E:$E, (MATCH(891, 輔助計算!$F$2:$F$801, 0)+1))="","",TRIM(INDEX(ERP資料!$E:$E, (MATCH(891, 輔助計算!$F$2:$F$801, 0)+1)))), "")</f>
        <v/>
      </c>
      <c r="E892" s="10">
        <f>IFERROR(IF(INDEX(ERP資料!$F:$F, (MATCH(891, 輔助計算!$F$2:$F$801, 0)+1))="","",INDEX(ERP資料!$F:$F, (MATCH(891, 輔助計算!$F$2:$F$801, 0)+1))), "")</f>
        <v/>
      </c>
      <c r="F892" s="10">
        <f>IFERROR(IF(INDEX(ERP資料!$G:$G, (MATCH(891, 輔助計算!$F$2:$F$801, 0)+1))="","",INDEX(ERP資料!$G:$G, (MATCH(891, 輔助計算!$F$2:$F$801, 0)+1))), "")</f>
        <v/>
      </c>
      <c r="G892" s="10">
        <f>IFERROR(IF(INDEX(ERP資料!$H:$H, (MATCH(891, 輔助計算!$F$2:$F$801, 0)+1))="","",INDEX(ERP資料!$H:$H, (MATCH(891, 輔助計算!$F$2:$F$801, 0)+1))), "")</f>
        <v/>
      </c>
      <c r="H892" s="10">
        <f>IFERROR(IF(INDEX(ERP資料!$O:$O, (MATCH(891, 輔助計算!$F$2:$F$801, 0)+1))="","",INDEX(ERP資料!$O:$O, (MATCH(891, 輔助計算!$F$2:$F$801, 0)+1))), "")</f>
        <v/>
      </c>
      <c r="I892" s="15">
        <f>IFERROR(IF(INDEX(輔助計算!$D:$D,(MATCH(891, 輔助計算!$F$2:$F$801, 0)+1))="","",INDEX(輔助計算!$D:$D,(MATCH(891, 輔助計算!$F$2:$F$801, 0)+1))*INDEX(ERP資料!$O:$O,(MATCH(891, 輔助計算!$F$2:$F$801, 0)+1))), "")</f>
        <v/>
      </c>
      <c r="J892" s="16" t="n"/>
      <c r="K892" s="15">
        <f>IFERROR(INDEX(輔助計算!$D:$D, (MATCH(891, 輔助計算!$F$2:$F$801, 0)+1)), "")</f>
        <v/>
      </c>
      <c r="L892" s="16">
        <f>IFERROR(IF(AND(IFERROR(VLOOKUP(LEFT(INDEX(ERP資料!$S:$S, (MATCH(891, 輔助計算!$F$2:$F$801, 0)+1)), 4), 100張客戶!$A:$A, 1, FALSE), "")&lt;&gt;"", OR(INDEX(ERP資料!$F:$F, (MATCH(891, 輔助計算!$F$2:$F$801, 0)+1))=270, INDEX(ERP資料!$F:$F, (MATCH(891, 輔助計算!$F$2:$F$801, 0)+1))=300)), "100張", ""), "")</f>
        <v/>
      </c>
      <c r="M892" s="17" t="n"/>
      <c r="N892" s="17">
        <f>IF($F892="","",$F892)</f>
        <v/>
      </c>
      <c r="O892" s="17">
        <f>IF($G892="","",$G892)</f>
        <v/>
      </c>
      <c r="P892" s="17">
        <f>IF($K892="","",$K892)</f>
        <v/>
      </c>
      <c r="Q892" s="16" t="n"/>
      <c r="R892" s="18" t="n"/>
      <c r="S892" s="16" t="n"/>
    </row>
    <row r="893">
      <c r="A893" s="14">
        <f>IFERROR(IF(AND(IFERROR(INDEX(ERP資料!$A:$A, (MATCH(892, 輔助計算!$F$2:$F$801, 0)+1)), "")&lt;&gt;"", IFERROR(INDEX(ERP資料!$A:$A, (MATCH(892, 輔助計算!$F$2:$F$801, 0)+1)), "")&lt;&gt;IFERROR(INDEX(ERP資料!$A:$A, MATCH(891, 輔助計算!$F$2:$F$801, 0)+1), "")), INDEX(ERP資料!$B:$B, (MATCH(892, 輔助計算!$F$2:$F$801, 0)+1)), ""), "")</f>
        <v/>
      </c>
      <c r="B893" s="10">
        <f>IFERROR(IF(AND(IFERROR(INDEX(ERP資料!$A:$A, (MATCH(892, 輔助計算!$F$2:$F$801, 0)+1)), "")&lt;&gt;"", IFERROR(INDEX(ERP資料!$A:$A, (MATCH(892, 輔助計算!$F$2:$F$801, 0)+1)), "")&lt;&gt;IFERROR(INDEX(ERP資料!$A:$A, MATCH(891, 輔助計算!$F$2:$F$801, 0)+1), "")), IFERROR(INDEX(ERP資料!$A:$A, (MATCH(892, 輔助計算!$F$2:$F$801, 0)+1)), ""), ""), "")</f>
        <v/>
      </c>
      <c r="C893" s="10">
        <f>IFERROR(IF(AND(IFERROR(INDEX(ERP資料!$A:$A, (MATCH(892, 輔助計算!$F$2:$F$801, 0)+1)), "")&lt;&gt;"", IFERROR(INDEX(ERP資料!$A:$A, (MATCH(892, 輔助計算!$F$2:$F$801, 0)+1)), "")&lt;&gt;IFERROR(INDEX(ERP資料!$A:$A, MATCH(891, 輔助計算!$F$2:$F$801, 0)+1), "")), INDEX(ERP資料!$S:$S, (MATCH(892, 輔助計算!$F$2:$F$801, 0)+1)), ""), "")</f>
        <v/>
      </c>
      <c r="D893" s="10">
        <f>IFERROR(IF(INDEX(ERP資料!$E:$E, (MATCH(892, 輔助計算!$F$2:$F$801, 0)+1))="","",TRIM(INDEX(ERP資料!$E:$E, (MATCH(892, 輔助計算!$F$2:$F$801, 0)+1)))), "")</f>
        <v/>
      </c>
      <c r="E893" s="10">
        <f>IFERROR(IF(INDEX(ERP資料!$F:$F, (MATCH(892, 輔助計算!$F$2:$F$801, 0)+1))="","",INDEX(ERP資料!$F:$F, (MATCH(892, 輔助計算!$F$2:$F$801, 0)+1))), "")</f>
        <v/>
      </c>
      <c r="F893" s="10">
        <f>IFERROR(IF(INDEX(ERP資料!$G:$G, (MATCH(892, 輔助計算!$F$2:$F$801, 0)+1))="","",INDEX(ERP資料!$G:$G, (MATCH(892, 輔助計算!$F$2:$F$801, 0)+1))), "")</f>
        <v/>
      </c>
      <c r="G893" s="10">
        <f>IFERROR(IF(INDEX(ERP資料!$H:$H, (MATCH(892, 輔助計算!$F$2:$F$801, 0)+1))="","",INDEX(ERP資料!$H:$H, (MATCH(892, 輔助計算!$F$2:$F$801, 0)+1))), "")</f>
        <v/>
      </c>
      <c r="H893" s="10">
        <f>IFERROR(IF(INDEX(ERP資料!$O:$O, (MATCH(892, 輔助計算!$F$2:$F$801, 0)+1))="","",INDEX(ERP資料!$O:$O, (MATCH(892, 輔助計算!$F$2:$F$801, 0)+1))), "")</f>
        <v/>
      </c>
      <c r="I893" s="15">
        <f>IFERROR(IF(INDEX(輔助計算!$D:$D,(MATCH(892, 輔助計算!$F$2:$F$801, 0)+1))="","",INDEX(輔助計算!$D:$D,(MATCH(892, 輔助計算!$F$2:$F$801, 0)+1))*INDEX(ERP資料!$O:$O,(MATCH(892, 輔助計算!$F$2:$F$801, 0)+1))), "")</f>
        <v/>
      </c>
      <c r="J893" s="16" t="n"/>
      <c r="K893" s="15">
        <f>IFERROR(INDEX(輔助計算!$D:$D, (MATCH(892, 輔助計算!$F$2:$F$801, 0)+1)), "")</f>
        <v/>
      </c>
      <c r="L893" s="16">
        <f>IFERROR(IF(AND(IFERROR(VLOOKUP(LEFT(INDEX(ERP資料!$S:$S, (MATCH(892, 輔助計算!$F$2:$F$801, 0)+1)), 4), 100張客戶!$A:$A, 1, FALSE), "")&lt;&gt;"", OR(INDEX(ERP資料!$F:$F, (MATCH(892, 輔助計算!$F$2:$F$801, 0)+1))=270, INDEX(ERP資料!$F:$F, (MATCH(892, 輔助計算!$F$2:$F$801, 0)+1))=300)), "100張", ""), "")</f>
        <v/>
      </c>
      <c r="M893" s="17" t="n"/>
      <c r="N893" s="17">
        <f>IF($F893="","",$F893)</f>
        <v/>
      </c>
      <c r="O893" s="17">
        <f>IF($G893="","",$G893)</f>
        <v/>
      </c>
      <c r="P893" s="17">
        <f>IF($K893="","",$K893)</f>
        <v/>
      </c>
      <c r="Q893" s="16" t="n"/>
      <c r="R893" s="18" t="n"/>
      <c r="S893" s="16" t="n"/>
    </row>
    <row r="894">
      <c r="A894" s="14">
        <f>IFERROR(IF(AND(IFERROR(INDEX(ERP資料!$A:$A, (MATCH(893, 輔助計算!$F$2:$F$801, 0)+1)), "")&lt;&gt;"", IFERROR(INDEX(ERP資料!$A:$A, (MATCH(893, 輔助計算!$F$2:$F$801, 0)+1)), "")&lt;&gt;IFERROR(INDEX(ERP資料!$A:$A, MATCH(892, 輔助計算!$F$2:$F$801, 0)+1), "")), INDEX(ERP資料!$B:$B, (MATCH(893, 輔助計算!$F$2:$F$801, 0)+1)), ""), "")</f>
        <v/>
      </c>
      <c r="B894" s="10">
        <f>IFERROR(IF(AND(IFERROR(INDEX(ERP資料!$A:$A, (MATCH(893, 輔助計算!$F$2:$F$801, 0)+1)), "")&lt;&gt;"", IFERROR(INDEX(ERP資料!$A:$A, (MATCH(893, 輔助計算!$F$2:$F$801, 0)+1)), "")&lt;&gt;IFERROR(INDEX(ERP資料!$A:$A, MATCH(892, 輔助計算!$F$2:$F$801, 0)+1), "")), IFERROR(INDEX(ERP資料!$A:$A, (MATCH(893, 輔助計算!$F$2:$F$801, 0)+1)), ""), ""), "")</f>
        <v/>
      </c>
      <c r="C894" s="10">
        <f>IFERROR(IF(AND(IFERROR(INDEX(ERP資料!$A:$A, (MATCH(893, 輔助計算!$F$2:$F$801, 0)+1)), "")&lt;&gt;"", IFERROR(INDEX(ERP資料!$A:$A, (MATCH(893, 輔助計算!$F$2:$F$801, 0)+1)), "")&lt;&gt;IFERROR(INDEX(ERP資料!$A:$A, MATCH(892, 輔助計算!$F$2:$F$801, 0)+1), "")), INDEX(ERP資料!$S:$S, (MATCH(893, 輔助計算!$F$2:$F$801, 0)+1)), ""), "")</f>
        <v/>
      </c>
      <c r="D894" s="10">
        <f>IFERROR(IF(INDEX(ERP資料!$E:$E, (MATCH(893, 輔助計算!$F$2:$F$801, 0)+1))="","",TRIM(INDEX(ERP資料!$E:$E, (MATCH(893, 輔助計算!$F$2:$F$801, 0)+1)))), "")</f>
        <v/>
      </c>
      <c r="E894" s="10">
        <f>IFERROR(IF(INDEX(ERP資料!$F:$F, (MATCH(893, 輔助計算!$F$2:$F$801, 0)+1))="","",INDEX(ERP資料!$F:$F, (MATCH(893, 輔助計算!$F$2:$F$801, 0)+1))), "")</f>
        <v/>
      </c>
      <c r="F894" s="10">
        <f>IFERROR(IF(INDEX(ERP資料!$G:$G, (MATCH(893, 輔助計算!$F$2:$F$801, 0)+1))="","",INDEX(ERP資料!$G:$G, (MATCH(893, 輔助計算!$F$2:$F$801, 0)+1))), "")</f>
        <v/>
      </c>
      <c r="G894" s="10">
        <f>IFERROR(IF(INDEX(ERP資料!$H:$H, (MATCH(893, 輔助計算!$F$2:$F$801, 0)+1))="","",INDEX(ERP資料!$H:$H, (MATCH(893, 輔助計算!$F$2:$F$801, 0)+1))), "")</f>
        <v/>
      </c>
      <c r="H894" s="10">
        <f>IFERROR(IF(INDEX(ERP資料!$O:$O, (MATCH(893, 輔助計算!$F$2:$F$801, 0)+1))="","",INDEX(ERP資料!$O:$O, (MATCH(893, 輔助計算!$F$2:$F$801, 0)+1))), "")</f>
        <v/>
      </c>
      <c r="I894" s="15">
        <f>IFERROR(IF(INDEX(輔助計算!$D:$D,(MATCH(893, 輔助計算!$F$2:$F$801, 0)+1))="","",INDEX(輔助計算!$D:$D,(MATCH(893, 輔助計算!$F$2:$F$801, 0)+1))*INDEX(ERP資料!$O:$O,(MATCH(893, 輔助計算!$F$2:$F$801, 0)+1))), "")</f>
        <v/>
      </c>
      <c r="J894" s="16" t="n"/>
      <c r="K894" s="15">
        <f>IFERROR(INDEX(輔助計算!$D:$D, (MATCH(893, 輔助計算!$F$2:$F$801, 0)+1)), "")</f>
        <v/>
      </c>
      <c r="L894" s="16">
        <f>IFERROR(IF(AND(IFERROR(VLOOKUP(LEFT(INDEX(ERP資料!$S:$S, (MATCH(893, 輔助計算!$F$2:$F$801, 0)+1)), 4), 100張客戶!$A:$A, 1, FALSE), "")&lt;&gt;"", OR(INDEX(ERP資料!$F:$F, (MATCH(893, 輔助計算!$F$2:$F$801, 0)+1))=270, INDEX(ERP資料!$F:$F, (MATCH(893, 輔助計算!$F$2:$F$801, 0)+1))=300)), "100張", ""), "")</f>
        <v/>
      </c>
      <c r="M894" s="17" t="n"/>
      <c r="N894" s="17">
        <f>IF($F894="","",$F894)</f>
        <v/>
      </c>
      <c r="O894" s="17">
        <f>IF($G894="","",$G894)</f>
        <v/>
      </c>
      <c r="P894" s="17">
        <f>IF($K894="","",$K894)</f>
        <v/>
      </c>
      <c r="Q894" s="16" t="n"/>
      <c r="R894" s="18" t="n"/>
      <c r="S894" s="16" t="n"/>
    </row>
    <row r="895">
      <c r="A895" s="14">
        <f>IFERROR(IF(AND(IFERROR(INDEX(ERP資料!$A:$A, (MATCH(894, 輔助計算!$F$2:$F$801, 0)+1)), "")&lt;&gt;"", IFERROR(INDEX(ERP資料!$A:$A, (MATCH(894, 輔助計算!$F$2:$F$801, 0)+1)), "")&lt;&gt;IFERROR(INDEX(ERP資料!$A:$A, MATCH(893, 輔助計算!$F$2:$F$801, 0)+1), "")), INDEX(ERP資料!$B:$B, (MATCH(894, 輔助計算!$F$2:$F$801, 0)+1)), ""), "")</f>
        <v/>
      </c>
      <c r="B895" s="10">
        <f>IFERROR(IF(AND(IFERROR(INDEX(ERP資料!$A:$A, (MATCH(894, 輔助計算!$F$2:$F$801, 0)+1)), "")&lt;&gt;"", IFERROR(INDEX(ERP資料!$A:$A, (MATCH(894, 輔助計算!$F$2:$F$801, 0)+1)), "")&lt;&gt;IFERROR(INDEX(ERP資料!$A:$A, MATCH(893, 輔助計算!$F$2:$F$801, 0)+1), "")), IFERROR(INDEX(ERP資料!$A:$A, (MATCH(894, 輔助計算!$F$2:$F$801, 0)+1)), ""), ""), "")</f>
        <v/>
      </c>
      <c r="C895" s="10">
        <f>IFERROR(IF(AND(IFERROR(INDEX(ERP資料!$A:$A, (MATCH(894, 輔助計算!$F$2:$F$801, 0)+1)), "")&lt;&gt;"", IFERROR(INDEX(ERP資料!$A:$A, (MATCH(894, 輔助計算!$F$2:$F$801, 0)+1)), "")&lt;&gt;IFERROR(INDEX(ERP資料!$A:$A, MATCH(893, 輔助計算!$F$2:$F$801, 0)+1), "")), INDEX(ERP資料!$S:$S, (MATCH(894, 輔助計算!$F$2:$F$801, 0)+1)), ""), "")</f>
        <v/>
      </c>
      <c r="D895" s="10">
        <f>IFERROR(IF(INDEX(ERP資料!$E:$E, (MATCH(894, 輔助計算!$F$2:$F$801, 0)+1))="","",TRIM(INDEX(ERP資料!$E:$E, (MATCH(894, 輔助計算!$F$2:$F$801, 0)+1)))), "")</f>
        <v/>
      </c>
      <c r="E895" s="10">
        <f>IFERROR(IF(INDEX(ERP資料!$F:$F, (MATCH(894, 輔助計算!$F$2:$F$801, 0)+1))="","",INDEX(ERP資料!$F:$F, (MATCH(894, 輔助計算!$F$2:$F$801, 0)+1))), "")</f>
        <v/>
      </c>
      <c r="F895" s="10">
        <f>IFERROR(IF(INDEX(ERP資料!$G:$G, (MATCH(894, 輔助計算!$F$2:$F$801, 0)+1))="","",INDEX(ERP資料!$G:$G, (MATCH(894, 輔助計算!$F$2:$F$801, 0)+1))), "")</f>
        <v/>
      </c>
      <c r="G895" s="10">
        <f>IFERROR(IF(INDEX(ERP資料!$H:$H, (MATCH(894, 輔助計算!$F$2:$F$801, 0)+1))="","",INDEX(ERP資料!$H:$H, (MATCH(894, 輔助計算!$F$2:$F$801, 0)+1))), "")</f>
        <v/>
      </c>
      <c r="H895" s="10">
        <f>IFERROR(IF(INDEX(ERP資料!$O:$O, (MATCH(894, 輔助計算!$F$2:$F$801, 0)+1))="","",INDEX(ERP資料!$O:$O, (MATCH(894, 輔助計算!$F$2:$F$801, 0)+1))), "")</f>
        <v/>
      </c>
      <c r="I895" s="15">
        <f>IFERROR(IF(INDEX(輔助計算!$D:$D,(MATCH(894, 輔助計算!$F$2:$F$801, 0)+1))="","",INDEX(輔助計算!$D:$D,(MATCH(894, 輔助計算!$F$2:$F$801, 0)+1))*INDEX(ERP資料!$O:$O,(MATCH(894, 輔助計算!$F$2:$F$801, 0)+1))), "")</f>
        <v/>
      </c>
      <c r="J895" s="16" t="n"/>
      <c r="K895" s="15">
        <f>IFERROR(INDEX(輔助計算!$D:$D, (MATCH(894, 輔助計算!$F$2:$F$801, 0)+1)), "")</f>
        <v/>
      </c>
      <c r="L895" s="16">
        <f>IFERROR(IF(AND(IFERROR(VLOOKUP(LEFT(INDEX(ERP資料!$S:$S, (MATCH(894, 輔助計算!$F$2:$F$801, 0)+1)), 4), 100張客戶!$A:$A, 1, FALSE), "")&lt;&gt;"", OR(INDEX(ERP資料!$F:$F, (MATCH(894, 輔助計算!$F$2:$F$801, 0)+1))=270, INDEX(ERP資料!$F:$F, (MATCH(894, 輔助計算!$F$2:$F$801, 0)+1))=300)), "100張", ""), "")</f>
        <v/>
      </c>
      <c r="M895" s="17" t="n"/>
      <c r="N895" s="17">
        <f>IF($F895="","",$F895)</f>
        <v/>
      </c>
      <c r="O895" s="17">
        <f>IF($G895="","",$G895)</f>
        <v/>
      </c>
      <c r="P895" s="17">
        <f>IF($K895="","",$K895)</f>
        <v/>
      </c>
      <c r="Q895" s="16" t="n"/>
      <c r="R895" s="18" t="n"/>
      <c r="S895" s="16" t="n"/>
    </row>
    <row r="896">
      <c r="A896" s="14">
        <f>IFERROR(IF(AND(IFERROR(INDEX(ERP資料!$A:$A, (MATCH(895, 輔助計算!$F$2:$F$801, 0)+1)), "")&lt;&gt;"", IFERROR(INDEX(ERP資料!$A:$A, (MATCH(895, 輔助計算!$F$2:$F$801, 0)+1)), "")&lt;&gt;IFERROR(INDEX(ERP資料!$A:$A, MATCH(894, 輔助計算!$F$2:$F$801, 0)+1), "")), INDEX(ERP資料!$B:$B, (MATCH(895, 輔助計算!$F$2:$F$801, 0)+1)), ""), "")</f>
        <v/>
      </c>
      <c r="B896" s="10">
        <f>IFERROR(IF(AND(IFERROR(INDEX(ERP資料!$A:$A, (MATCH(895, 輔助計算!$F$2:$F$801, 0)+1)), "")&lt;&gt;"", IFERROR(INDEX(ERP資料!$A:$A, (MATCH(895, 輔助計算!$F$2:$F$801, 0)+1)), "")&lt;&gt;IFERROR(INDEX(ERP資料!$A:$A, MATCH(894, 輔助計算!$F$2:$F$801, 0)+1), "")), IFERROR(INDEX(ERP資料!$A:$A, (MATCH(895, 輔助計算!$F$2:$F$801, 0)+1)), ""), ""), "")</f>
        <v/>
      </c>
      <c r="C896" s="10">
        <f>IFERROR(IF(AND(IFERROR(INDEX(ERP資料!$A:$A, (MATCH(895, 輔助計算!$F$2:$F$801, 0)+1)), "")&lt;&gt;"", IFERROR(INDEX(ERP資料!$A:$A, (MATCH(895, 輔助計算!$F$2:$F$801, 0)+1)), "")&lt;&gt;IFERROR(INDEX(ERP資料!$A:$A, MATCH(894, 輔助計算!$F$2:$F$801, 0)+1), "")), INDEX(ERP資料!$S:$S, (MATCH(895, 輔助計算!$F$2:$F$801, 0)+1)), ""), "")</f>
        <v/>
      </c>
      <c r="D896" s="10">
        <f>IFERROR(IF(INDEX(ERP資料!$E:$E, (MATCH(895, 輔助計算!$F$2:$F$801, 0)+1))="","",TRIM(INDEX(ERP資料!$E:$E, (MATCH(895, 輔助計算!$F$2:$F$801, 0)+1)))), "")</f>
        <v/>
      </c>
      <c r="E896" s="10">
        <f>IFERROR(IF(INDEX(ERP資料!$F:$F, (MATCH(895, 輔助計算!$F$2:$F$801, 0)+1))="","",INDEX(ERP資料!$F:$F, (MATCH(895, 輔助計算!$F$2:$F$801, 0)+1))), "")</f>
        <v/>
      </c>
      <c r="F896" s="10">
        <f>IFERROR(IF(INDEX(ERP資料!$G:$G, (MATCH(895, 輔助計算!$F$2:$F$801, 0)+1))="","",INDEX(ERP資料!$G:$G, (MATCH(895, 輔助計算!$F$2:$F$801, 0)+1))), "")</f>
        <v/>
      </c>
      <c r="G896" s="10">
        <f>IFERROR(IF(INDEX(ERP資料!$H:$H, (MATCH(895, 輔助計算!$F$2:$F$801, 0)+1))="","",INDEX(ERP資料!$H:$H, (MATCH(895, 輔助計算!$F$2:$F$801, 0)+1))), "")</f>
        <v/>
      </c>
      <c r="H896" s="10">
        <f>IFERROR(IF(INDEX(ERP資料!$O:$O, (MATCH(895, 輔助計算!$F$2:$F$801, 0)+1))="","",INDEX(ERP資料!$O:$O, (MATCH(895, 輔助計算!$F$2:$F$801, 0)+1))), "")</f>
        <v/>
      </c>
      <c r="I896" s="15">
        <f>IFERROR(IF(INDEX(輔助計算!$D:$D,(MATCH(895, 輔助計算!$F$2:$F$801, 0)+1))="","",INDEX(輔助計算!$D:$D,(MATCH(895, 輔助計算!$F$2:$F$801, 0)+1))*INDEX(ERP資料!$O:$O,(MATCH(895, 輔助計算!$F$2:$F$801, 0)+1))), "")</f>
        <v/>
      </c>
      <c r="J896" s="16" t="n"/>
      <c r="K896" s="15">
        <f>IFERROR(INDEX(輔助計算!$D:$D, (MATCH(895, 輔助計算!$F$2:$F$801, 0)+1)), "")</f>
        <v/>
      </c>
      <c r="L896" s="16">
        <f>IFERROR(IF(AND(IFERROR(VLOOKUP(LEFT(INDEX(ERP資料!$S:$S, (MATCH(895, 輔助計算!$F$2:$F$801, 0)+1)), 4), 100張客戶!$A:$A, 1, FALSE), "")&lt;&gt;"", OR(INDEX(ERP資料!$F:$F, (MATCH(895, 輔助計算!$F$2:$F$801, 0)+1))=270, INDEX(ERP資料!$F:$F, (MATCH(895, 輔助計算!$F$2:$F$801, 0)+1))=300)), "100張", ""), "")</f>
        <v/>
      </c>
      <c r="M896" s="17" t="n"/>
      <c r="N896" s="17">
        <f>IF($F896="","",$F896)</f>
        <v/>
      </c>
      <c r="O896" s="17">
        <f>IF($G896="","",$G896)</f>
        <v/>
      </c>
      <c r="P896" s="17">
        <f>IF($K896="","",$K896)</f>
        <v/>
      </c>
      <c r="Q896" s="16" t="n"/>
      <c r="R896" s="18" t="n"/>
      <c r="S896" s="16" t="n"/>
    </row>
    <row r="897">
      <c r="A897" s="14">
        <f>IFERROR(IF(AND(IFERROR(INDEX(ERP資料!$A:$A, (MATCH(896, 輔助計算!$F$2:$F$801, 0)+1)), "")&lt;&gt;"", IFERROR(INDEX(ERP資料!$A:$A, (MATCH(896, 輔助計算!$F$2:$F$801, 0)+1)), "")&lt;&gt;IFERROR(INDEX(ERP資料!$A:$A, MATCH(895, 輔助計算!$F$2:$F$801, 0)+1), "")), INDEX(ERP資料!$B:$B, (MATCH(896, 輔助計算!$F$2:$F$801, 0)+1)), ""), "")</f>
        <v/>
      </c>
      <c r="B897" s="10">
        <f>IFERROR(IF(AND(IFERROR(INDEX(ERP資料!$A:$A, (MATCH(896, 輔助計算!$F$2:$F$801, 0)+1)), "")&lt;&gt;"", IFERROR(INDEX(ERP資料!$A:$A, (MATCH(896, 輔助計算!$F$2:$F$801, 0)+1)), "")&lt;&gt;IFERROR(INDEX(ERP資料!$A:$A, MATCH(895, 輔助計算!$F$2:$F$801, 0)+1), "")), IFERROR(INDEX(ERP資料!$A:$A, (MATCH(896, 輔助計算!$F$2:$F$801, 0)+1)), ""), ""), "")</f>
        <v/>
      </c>
      <c r="C897" s="10">
        <f>IFERROR(IF(AND(IFERROR(INDEX(ERP資料!$A:$A, (MATCH(896, 輔助計算!$F$2:$F$801, 0)+1)), "")&lt;&gt;"", IFERROR(INDEX(ERP資料!$A:$A, (MATCH(896, 輔助計算!$F$2:$F$801, 0)+1)), "")&lt;&gt;IFERROR(INDEX(ERP資料!$A:$A, MATCH(895, 輔助計算!$F$2:$F$801, 0)+1), "")), INDEX(ERP資料!$S:$S, (MATCH(896, 輔助計算!$F$2:$F$801, 0)+1)), ""), "")</f>
        <v/>
      </c>
      <c r="D897" s="10">
        <f>IFERROR(IF(INDEX(ERP資料!$E:$E, (MATCH(896, 輔助計算!$F$2:$F$801, 0)+1))="","",TRIM(INDEX(ERP資料!$E:$E, (MATCH(896, 輔助計算!$F$2:$F$801, 0)+1)))), "")</f>
        <v/>
      </c>
      <c r="E897" s="10">
        <f>IFERROR(IF(INDEX(ERP資料!$F:$F, (MATCH(896, 輔助計算!$F$2:$F$801, 0)+1))="","",INDEX(ERP資料!$F:$F, (MATCH(896, 輔助計算!$F$2:$F$801, 0)+1))), "")</f>
        <v/>
      </c>
      <c r="F897" s="10">
        <f>IFERROR(IF(INDEX(ERP資料!$G:$G, (MATCH(896, 輔助計算!$F$2:$F$801, 0)+1))="","",INDEX(ERP資料!$G:$G, (MATCH(896, 輔助計算!$F$2:$F$801, 0)+1))), "")</f>
        <v/>
      </c>
      <c r="G897" s="10">
        <f>IFERROR(IF(INDEX(ERP資料!$H:$H, (MATCH(896, 輔助計算!$F$2:$F$801, 0)+1))="","",INDEX(ERP資料!$H:$H, (MATCH(896, 輔助計算!$F$2:$F$801, 0)+1))), "")</f>
        <v/>
      </c>
      <c r="H897" s="10">
        <f>IFERROR(IF(INDEX(ERP資料!$O:$O, (MATCH(896, 輔助計算!$F$2:$F$801, 0)+1))="","",INDEX(ERP資料!$O:$O, (MATCH(896, 輔助計算!$F$2:$F$801, 0)+1))), "")</f>
        <v/>
      </c>
      <c r="I897" s="15">
        <f>IFERROR(IF(INDEX(輔助計算!$D:$D,(MATCH(896, 輔助計算!$F$2:$F$801, 0)+1))="","",INDEX(輔助計算!$D:$D,(MATCH(896, 輔助計算!$F$2:$F$801, 0)+1))*INDEX(ERP資料!$O:$O,(MATCH(896, 輔助計算!$F$2:$F$801, 0)+1))), "")</f>
        <v/>
      </c>
      <c r="J897" s="16" t="n"/>
      <c r="K897" s="15">
        <f>IFERROR(INDEX(輔助計算!$D:$D, (MATCH(896, 輔助計算!$F$2:$F$801, 0)+1)), "")</f>
        <v/>
      </c>
      <c r="L897" s="16">
        <f>IFERROR(IF(AND(IFERROR(VLOOKUP(LEFT(INDEX(ERP資料!$S:$S, (MATCH(896, 輔助計算!$F$2:$F$801, 0)+1)), 4), 100張客戶!$A:$A, 1, FALSE), "")&lt;&gt;"", OR(INDEX(ERP資料!$F:$F, (MATCH(896, 輔助計算!$F$2:$F$801, 0)+1))=270, INDEX(ERP資料!$F:$F, (MATCH(896, 輔助計算!$F$2:$F$801, 0)+1))=300)), "100張", ""), "")</f>
        <v/>
      </c>
      <c r="M897" s="17" t="n"/>
      <c r="N897" s="17">
        <f>IF($F897="","",$F897)</f>
        <v/>
      </c>
      <c r="O897" s="17">
        <f>IF($G897="","",$G897)</f>
        <v/>
      </c>
      <c r="P897" s="17">
        <f>IF($K897="","",$K897)</f>
        <v/>
      </c>
      <c r="Q897" s="16" t="n"/>
      <c r="R897" s="18" t="n"/>
      <c r="S897" s="16" t="n"/>
    </row>
    <row r="898">
      <c r="A898" s="14">
        <f>IFERROR(IF(AND(IFERROR(INDEX(ERP資料!$A:$A, (MATCH(897, 輔助計算!$F$2:$F$801, 0)+1)), "")&lt;&gt;"", IFERROR(INDEX(ERP資料!$A:$A, (MATCH(897, 輔助計算!$F$2:$F$801, 0)+1)), "")&lt;&gt;IFERROR(INDEX(ERP資料!$A:$A, MATCH(896, 輔助計算!$F$2:$F$801, 0)+1), "")), INDEX(ERP資料!$B:$B, (MATCH(897, 輔助計算!$F$2:$F$801, 0)+1)), ""), "")</f>
        <v/>
      </c>
      <c r="B898" s="10">
        <f>IFERROR(IF(AND(IFERROR(INDEX(ERP資料!$A:$A, (MATCH(897, 輔助計算!$F$2:$F$801, 0)+1)), "")&lt;&gt;"", IFERROR(INDEX(ERP資料!$A:$A, (MATCH(897, 輔助計算!$F$2:$F$801, 0)+1)), "")&lt;&gt;IFERROR(INDEX(ERP資料!$A:$A, MATCH(896, 輔助計算!$F$2:$F$801, 0)+1), "")), IFERROR(INDEX(ERP資料!$A:$A, (MATCH(897, 輔助計算!$F$2:$F$801, 0)+1)), ""), ""), "")</f>
        <v/>
      </c>
      <c r="C898" s="10">
        <f>IFERROR(IF(AND(IFERROR(INDEX(ERP資料!$A:$A, (MATCH(897, 輔助計算!$F$2:$F$801, 0)+1)), "")&lt;&gt;"", IFERROR(INDEX(ERP資料!$A:$A, (MATCH(897, 輔助計算!$F$2:$F$801, 0)+1)), "")&lt;&gt;IFERROR(INDEX(ERP資料!$A:$A, MATCH(896, 輔助計算!$F$2:$F$801, 0)+1), "")), INDEX(ERP資料!$S:$S, (MATCH(897, 輔助計算!$F$2:$F$801, 0)+1)), ""), "")</f>
        <v/>
      </c>
      <c r="D898" s="10">
        <f>IFERROR(IF(INDEX(ERP資料!$E:$E, (MATCH(897, 輔助計算!$F$2:$F$801, 0)+1))="","",TRIM(INDEX(ERP資料!$E:$E, (MATCH(897, 輔助計算!$F$2:$F$801, 0)+1)))), "")</f>
        <v/>
      </c>
      <c r="E898" s="10">
        <f>IFERROR(IF(INDEX(ERP資料!$F:$F, (MATCH(897, 輔助計算!$F$2:$F$801, 0)+1))="","",INDEX(ERP資料!$F:$F, (MATCH(897, 輔助計算!$F$2:$F$801, 0)+1))), "")</f>
        <v/>
      </c>
      <c r="F898" s="10">
        <f>IFERROR(IF(INDEX(ERP資料!$G:$G, (MATCH(897, 輔助計算!$F$2:$F$801, 0)+1))="","",INDEX(ERP資料!$G:$G, (MATCH(897, 輔助計算!$F$2:$F$801, 0)+1))), "")</f>
        <v/>
      </c>
      <c r="G898" s="10">
        <f>IFERROR(IF(INDEX(ERP資料!$H:$H, (MATCH(897, 輔助計算!$F$2:$F$801, 0)+1))="","",INDEX(ERP資料!$H:$H, (MATCH(897, 輔助計算!$F$2:$F$801, 0)+1))), "")</f>
        <v/>
      </c>
      <c r="H898" s="10">
        <f>IFERROR(IF(INDEX(ERP資料!$O:$O, (MATCH(897, 輔助計算!$F$2:$F$801, 0)+1))="","",INDEX(ERP資料!$O:$O, (MATCH(897, 輔助計算!$F$2:$F$801, 0)+1))), "")</f>
        <v/>
      </c>
      <c r="I898" s="15">
        <f>IFERROR(IF(INDEX(輔助計算!$D:$D,(MATCH(897, 輔助計算!$F$2:$F$801, 0)+1))="","",INDEX(輔助計算!$D:$D,(MATCH(897, 輔助計算!$F$2:$F$801, 0)+1))*INDEX(ERP資料!$O:$O,(MATCH(897, 輔助計算!$F$2:$F$801, 0)+1))), "")</f>
        <v/>
      </c>
      <c r="J898" s="16" t="n"/>
      <c r="K898" s="15">
        <f>IFERROR(INDEX(輔助計算!$D:$D, (MATCH(897, 輔助計算!$F$2:$F$801, 0)+1)), "")</f>
        <v/>
      </c>
      <c r="L898" s="16">
        <f>IFERROR(IF(AND(IFERROR(VLOOKUP(LEFT(INDEX(ERP資料!$S:$S, (MATCH(897, 輔助計算!$F$2:$F$801, 0)+1)), 4), 100張客戶!$A:$A, 1, FALSE), "")&lt;&gt;"", OR(INDEX(ERP資料!$F:$F, (MATCH(897, 輔助計算!$F$2:$F$801, 0)+1))=270, INDEX(ERP資料!$F:$F, (MATCH(897, 輔助計算!$F$2:$F$801, 0)+1))=300)), "100張", ""), "")</f>
        <v/>
      </c>
      <c r="M898" s="17" t="n"/>
      <c r="N898" s="17">
        <f>IF($F898="","",$F898)</f>
        <v/>
      </c>
      <c r="O898" s="17">
        <f>IF($G898="","",$G898)</f>
        <v/>
      </c>
      <c r="P898" s="17">
        <f>IF($K898="","",$K898)</f>
        <v/>
      </c>
      <c r="Q898" s="16" t="n"/>
      <c r="R898" s="18" t="n"/>
      <c r="S898" s="16" t="n"/>
    </row>
    <row r="899">
      <c r="A899" s="14">
        <f>IFERROR(IF(AND(IFERROR(INDEX(ERP資料!$A:$A, (MATCH(898, 輔助計算!$F$2:$F$801, 0)+1)), "")&lt;&gt;"", IFERROR(INDEX(ERP資料!$A:$A, (MATCH(898, 輔助計算!$F$2:$F$801, 0)+1)), "")&lt;&gt;IFERROR(INDEX(ERP資料!$A:$A, MATCH(897, 輔助計算!$F$2:$F$801, 0)+1), "")), INDEX(ERP資料!$B:$B, (MATCH(898, 輔助計算!$F$2:$F$801, 0)+1)), ""), "")</f>
        <v/>
      </c>
      <c r="B899" s="10">
        <f>IFERROR(IF(AND(IFERROR(INDEX(ERP資料!$A:$A, (MATCH(898, 輔助計算!$F$2:$F$801, 0)+1)), "")&lt;&gt;"", IFERROR(INDEX(ERP資料!$A:$A, (MATCH(898, 輔助計算!$F$2:$F$801, 0)+1)), "")&lt;&gt;IFERROR(INDEX(ERP資料!$A:$A, MATCH(897, 輔助計算!$F$2:$F$801, 0)+1), "")), IFERROR(INDEX(ERP資料!$A:$A, (MATCH(898, 輔助計算!$F$2:$F$801, 0)+1)), ""), ""), "")</f>
        <v/>
      </c>
      <c r="C899" s="10">
        <f>IFERROR(IF(AND(IFERROR(INDEX(ERP資料!$A:$A, (MATCH(898, 輔助計算!$F$2:$F$801, 0)+1)), "")&lt;&gt;"", IFERROR(INDEX(ERP資料!$A:$A, (MATCH(898, 輔助計算!$F$2:$F$801, 0)+1)), "")&lt;&gt;IFERROR(INDEX(ERP資料!$A:$A, MATCH(897, 輔助計算!$F$2:$F$801, 0)+1), "")), INDEX(ERP資料!$S:$S, (MATCH(898, 輔助計算!$F$2:$F$801, 0)+1)), ""), "")</f>
        <v/>
      </c>
      <c r="D899" s="10">
        <f>IFERROR(IF(INDEX(ERP資料!$E:$E, (MATCH(898, 輔助計算!$F$2:$F$801, 0)+1))="","",TRIM(INDEX(ERP資料!$E:$E, (MATCH(898, 輔助計算!$F$2:$F$801, 0)+1)))), "")</f>
        <v/>
      </c>
      <c r="E899" s="10">
        <f>IFERROR(IF(INDEX(ERP資料!$F:$F, (MATCH(898, 輔助計算!$F$2:$F$801, 0)+1))="","",INDEX(ERP資料!$F:$F, (MATCH(898, 輔助計算!$F$2:$F$801, 0)+1))), "")</f>
        <v/>
      </c>
      <c r="F899" s="10">
        <f>IFERROR(IF(INDEX(ERP資料!$G:$G, (MATCH(898, 輔助計算!$F$2:$F$801, 0)+1))="","",INDEX(ERP資料!$G:$G, (MATCH(898, 輔助計算!$F$2:$F$801, 0)+1))), "")</f>
        <v/>
      </c>
      <c r="G899" s="10">
        <f>IFERROR(IF(INDEX(ERP資料!$H:$H, (MATCH(898, 輔助計算!$F$2:$F$801, 0)+1))="","",INDEX(ERP資料!$H:$H, (MATCH(898, 輔助計算!$F$2:$F$801, 0)+1))), "")</f>
        <v/>
      </c>
      <c r="H899" s="10">
        <f>IFERROR(IF(INDEX(ERP資料!$O:$O, (MATCH(898, 輔助計算!$F$2:$F$801, 0)+1))="","",INDEX(ERP資料!$O:$O, (MATCH(898, 輔助計算!$F$2:$F$801, 0)+1))), "")</f>
        <v/>
      </c>
      <c r="I899" s="15">
        <f>IFERROR(IF(INDEX(輔助計算!$D:$D,(MATCH(898, 輔助計算!$F$2:$F$801, 0)+1))="","",INDEX(輔助計算!$D:$D,(MATCH(898, 輔助計算!$F$2:$F$801, 0)+1))*INDEX(ERP資料!$O:$O,(MATCH(898, 輔助計算!$F$2:$F$801, 0)+1))), "")</f>
        <v/>
      </c>
      <c r="J899" s="16" t="n"/>
      <c r="K899" s="15">
        <f>IFERROR(INDEX(輔助計算!$D:$D, (MATCH(898, 輔助計算!$F$2:$F$801, 0)+1)), "")</f>
        <v/>
      </c>
      <c r="L899" s="16">
        <f>IFERROR(IF(AND(IFERROR(VLOOKUP(LEFT(INDEX(ERP資料!$S:$S, (MATCH(898, 輔助計算!$F$2:$F$801, 0)+1)), 4), 100張客戶!$A:$A, 1, FALSE), "")&lt;&gt;"", OR(INDEX(ERP資料!$F:$F, (MATCH(898, 輔助計算!$F$2:$F$801, 0)+1))=270, INDEX(ERP資料!$F:$F, (MATCH(898, 輔助計算!$F$2:$F$801, 0)+1))=300)), "100張", ""), "")</f>
        <v/>
      </c>
      <c r="M899" s="17" t="n"/>
      <c r="N899" s="17">
        <f>IF($F899="","",$F899)</f>
        <v/>
      </c>
      <c r="O899" s="17">
        <f>IF($G899="","",$G899)</f>
        <v/>
      </c>
      <c r="P899" s="17">
        <f>IF($K899="","",$K899)</f>
        <v/>
      </c>
      <c r="Q899" s="16" t="n"/>
      <c r="R899" s="18" t="n"/>
      <c r="S899" s="16" t="n"/>
    </row>
    <row r="900">
      <c r="A900" s="14">
        <f>IFERROR(IF(AND(IFERROR(INDEX(ERP資料!$A:$A, (MATCH(899, 輔助計算!$F$2:$F$801, 0)+1)), "")&lt;&gt;"", IFERROR(INDEX(ERP資料!$A:$A, (MATCH(899, 輔助計算!$F$2:$F$801, 0)+1)), "")&lt;&gt;IFERROR(INDEX(ERP資料!$A:$A, MATCH(898, 輔助計算!$F$2:$F$801, 0)+1), "")), INDEX(ERP資料!$B:$B, (MATCH(899, 輔助計算!$F$2:$F$801, 0)+1)), ""), "")</f>
        <v/>
      </c>
      <c r="B900" s="10">
        <f>IFERROR(IF(AND(IFERROR(INDEX(ERP資料!$A:$A, (MATCH(899, 輔助計算!$F$2:$F$801, 0)+1)), "")&lt;&gt;"", IFERROR(INDEX(ERP資料!$A:$A, (MATCH(899, 輔助計算!$F$2:$F$801, 0)+1)), "")&lt;&gt;IFERROR(INDEX(ERP資料!$A:$A, MATCH(898, 輔助計算!$F$2:$F$801, 0)+1), "")), IFERROR(INDEX(ERP資料!$A:$A, (MATCH(899, 輔助計算!$F$2:$F$801, 0)+1)), ""), ""), "")</f>
        <v/>
      </c>
      <c r="C900" s="10">
        <f>IFERROR(IF(AND(IFERROR(INDEX(ERP資料!$A:$A, (MATCH(899, 輔助計算!$F$2:$F$801, 0)+1)), "")&lt;&gt;"", IFERROR(INDEX(ERP資料!$A:$A, (MATCH(899, 輔助計算!$F$2:$F$801, 0)+1)), "")&lt;&gt;IFERROR(INDEX(ERP資料!$A:$A, MATCH(898, 輔助計算!$F$2:$F$801, 0)+1), "")), INDEX(ERP資料!$S:$S, (MATCH(899, 輔助計算!$F$2:$F$801, 0)+1)), ""), "")</f>
        <v/>
      </c>
      <c r="D900" s="10">
        <f>IFERROR(IF(INDEX(ERP資料!$E:$E, (MATCH(899, 輔助計算!$F$2:$F$801, 0)+1))="","",TRIM(INDEX(ERP資料!$E:$E, (MATCH(899, 輔助計算!$F$2:$F$801, 0)+1)))), "")</f>
        <v/>
      </c>
      <c r="E900" s="10">
        <f>IFERROR(IF(INDEX(ERP資料!$F:$F, (MATCH(899, 輔助計算!$F$2:$F$801, 0)+1))="","",INDEX(ERP資料!$F:$F, (MATCH(899, 輔助計算!$F$2:$F$801, 0)+1))), "")</f>
        <v/>
      </c>
      <c r="F900" s="10">
        <f>IFERROR(IF(INDEX(ERP資料!$G:$G, (MATCH(899, 輔助計算!$F$2:$F$801, 0)+1))="","",INDEX(ERP資料!$G:$G, (MATCH(899, 輔助計算!$F$2:$F$801, 0)+1))), "")</f>
        <v/>
      </c>
      <c r="G900" s="10">
        <f>IFERROR(IF(INDEX(ERP資料!$H:$H, (MATCH(899, 輔助計算!$F$2:$F$801, 0)+1))="","",INDEX(ERP資料!$H:$H, (MATCH(899, 輔助計算!$F$2:$F$801, 0)+1))), "")</f>
        <v/>
      </c>
      <c r="H900" s="10">
        <f>IFERROR(IF(INDEX(ERP資料!$O:$O, (MATCH(899, 輔助計算!$F$2:$F$801, 0)+1))="","",INDEX(ERP資料!$O:$O, (MATCH(899, 輔助計算!$F$2:$F$801, 0)+1))), "")</f>
        <v/>
      </c>
      <c r="I900" s="15">
        <f>IFERROR(IF(INDEX(輔助計算!$D:$D,(MATCH(899, 輔助計算!$F$2:$F$801, 0)+1))="","",INDEX(輔助計算!$D:$D,(MATCH(899, 輔助計算!$F$2:$F$801, 0)+1))*INDEX(ERP資料!$O:$O,(MATCH(899, 輔助計算!$F$2:$F$801, 0)+1))), "")</f>
        <v/>
      </c>
      <c r="J900" s="16" t="n"/>
      <c r="K900" s="15">
        <f>IFERROR(INDEX(輔助計算!$D:$D, (MATCH(899, 輔助計算!$F$2:$F$801, 0)+1)), "")</f>
        <v/>
      </c>
      <c r="L900" s="16">
        <f>IFERROR(IF(AND(IFERROR(VLOOKUP(LEFT(INDEX(ERP資料!$S:$S, (MATCH(899, 輔助計算!$F$2:$F$801, 0)+1)), 4), 100張客戶!$A:$A, 1, FALSE), "")&lt;&gt;"", OR(INDEX(ERP資料!$F:$F, (MATCH(899, 輔助計算!$F$2:$F$801, 0)+1))=270, INDEX(ERP資料!$F:$F, (MATCH(899, 輔助計算!$F$2:$F$801, 0)+1))=300)), "100張", ""), "")</f>
        <v/>
      </c>
      <c r="M900" s="17" t="n"/>
      <c r="N900" s="17">
        <f>IF($F900="","",$F900)</f>
        <v/>
      </c>
      <c r="O900" s="17">
        <f>IF($G900="","",$G900)</f>
        <v/>
      </c>
      <c r="P900" s="17">
        <f>IF($K900="","",$K900)</f>
        <v/>
      </c>
      <c r="Q900" s="16" t="n"/>
      <c r="R900" s="18" t="n"/>
      <c r="S900" s="16" t="n"/>
    </row>
    <row r="901">
      <c r="A901" s="14">
        <f>IFERROR(IF(AND(IFERROR(INDEX(ERP資料!$A:$A, (MATCH(900, 輔助計算!$F$2:$F$801, 0)+1)), "")&lt;&gt;"", IFERROR(INDEX(ERP資料!$A:$A, (MATCH(900, 輔助計算!$F$2:$F$801, 0)+1)), "")&lt;&gt;IFERROR(INDEX(ERP資料!$A:$A, MATCH(899, 輔助計算!$F$2:$F$801, 0)+1), "")), INDEX(ERP資料!$B:$B, (MATCH(900, 輔助計算!$F$2:$F$801, 0)+1)), ""), "")</f>
        <v/>
      </c>
      <c r="B901" s="10">
        <f>IFERROR(IF(AND(IFERROR(INDEX(ERP資料!$A:$A, (MATCH(900, 輔助計算!$F$2:$F$801, 0)+1)), "")&lt;&gt;"", IFERROR(INDEX(ERP資料!$A:$A, (MATCH(900, 輔助計算!$F$2:$F$801, 0)+1)), "")&lt;&gt;IFERROR(INDEX(ERP資料!$A:$A, MATCH(899, 輔助計算!$F$2:$F$801, 0)+1), "")), IFERROR(INDEX(ERP資料!$A:$A, (MATCH(900, 輔助計算!$F$2:$F$801, 0)+1)), ""), ""), "")</f>
        <v/>
      </c>
      <c r="C901" s="10">
        <f>IFERROR(IF(AND(IFERROR(INDEX(ERP資料!$A:$A, (MATCH(900, 輔助計算!$F$2:$F$801, 0)+1)), "")&lt;&gt;"", IFERROR(INDEX(ERP資料!$A:$A, (MATCH(900, 輔助計算!$F$2:$F$801, 0)+1)), "")&lt;&gt;IFERROR(INDEX(ERP資料!$A:$A, MATCH(899, 輔助計算!$F$2:$F$801, 0)+1), "")), INDEX(ERP資料!$S:$S, (MATCH(900, 輔助計算!$F$2:$F$801, 0)+1)), ""), "")</f>
        <v/>
      </c>
      <c r="D901" s="10">
        <f>IFERROR(IF(INDEX(ERP資料!$E:$E, (MATCH(900, 輔助計算!$F$2:$F$801, 0)+1))="","",TRIM(INDEX(ERP資料!$E:$E, (MATCH(900, 輔助計算!$F$2:$F$801, 0)+1)))), "")</f>
        <v/>
      </c>
      <c r="E901" s="10">
        <f>IFERROR(IF(INDEX(ERP資料!$F:$F, (MATCH(900, 輔助計算!$F$2:$F$801, 0)+1))="","",INDEX(ERP資料!$F:$F, (MATCH(900, 輔助計算!$F$2:$F$801, 0)+1))), "")</f>
        <v/>
      </c>
      <c r="F901" s="10">
        <f>IFERROR(IF(INDEX(ERP資料!$G:$G, (MATCH(900, 輔助計算!$F$2:$F$801, 0)+1))="","",INDEX(ERP資料!$G:$G, (MATCH(900, 輔助計算!$F$2:$F$801, 0)+1))), "")</f>
        <v/>
      </c>
      <c r="G901" s="10">
        <f>IFERROR(IF(INDEX(ERP資料!$H:$H, (MATCH(900, 輔助計算!$F$2:$F$801, 0)+1))="","",INDEX(ERP資料!$H:$H, (MATCH(900, 輔助計算!$F$2:$F$801, 0)+1))), "")</f>
        <v/>
      </c>
      <c r="H901" s="10">
        <f>IFERROR(IF(INDEX(ERP資料!$O:$O, (MATCH(900, 輔助計算!$F$2:$F$801, 0)+1))="","",INDEX(ERP資料!$O:$O, (MATCH(900, 輔助計算!$F$2:$F$801, 0)+1))), "")</f>
        <v/>
      </c>
      <c r="I901" s="15">
        <f>IFERROR(IF(INDEX(輔助計算!$D:$D,(MATCH(900, 輔助計算!$F$2:$F$801, 0)+1))="","",INDEX(輔助計算!$D:$D,(MATCH(900, 輔助計算!$F$2:$F$801, 0)+1))*INDEX(ERP資料!$O:$O,(MATCH(900, 輔助計算!$F$2:$F$801, 0)+1))), "")</f>
        <v/>
      </c>
      <c r="J901" s="16" t="n"/>
      <c r="K901" s="15">
        <f>IFERROR(INDEX(輔助計算!$D:$D, (MATCH(900, 輔助計算!$F$2:$F$801, 0)+1)), "")</f>
        <v/>
      </c>
      <c r="L901" s="16">
        <f>IFERROR(IF(AND(IFERROR(VLOOKUP(LEFT(INDEX(ERP資料!$S:$S, (MATCH(900, 輔助計算!$F$2:$F$801, 0)+1)), 4), 100張客戶!$A:$A, 1, FALSE), "")&lt;&gt;"", OR(INDEX(ERP資料!$F:$F, (MATCH(900, 輔助計算!$F$2:$F$801, 0)+1))=270, INDEX(ERP資料!$F:$F, (MATCH(900, 輔助計算!$F$2:$F$801, 0)+1))=300)), "100張", ""), "")</f>
        <v/>
      </c>
      <c r="M901" s="17" t="n"/>
      <c r="N901" s="17">
        <f>IF($F901="","",$F901)</f>
        <v/>
      </c>
      <c r="O901" s="17">
        <f>IF($G901="","",$G901)</f>
        <v/>
      </c>
      <c r="P901" s="17">
        <f>IF($K901="","",$K901)</f>
        <v/>
      </c>
      <c r="Q901" s="16" t="n"/>
      <c r="R901" s="18" t="n"/>
      <c r="S901" s="16" t="n"/>
    </row>
    <row r="902">
      <c r="A902" s="14">
        <f>IFERROR(IF(AND(IFERROR(INDEX(ERP資料!$A:$A, (MATCH(901, 輔助計算!$F$2:$F$801, 0)+1)), "")&lt;&gt;"", IFERROR(INDEX(ERP資料!$A:$A, (MATCH(901, 輔助計算!$F$2:$F$801, 0)+1)), "")&lt;&gt;IFERROR(INDEX(ERP資料!$A:$A, MATCH(900, 輔助計算!$F$2:$F$801, 0)+1), "")), INDEX(ERP資料!$B:$B, (MATCH(901, 輔助計算!$F$2:$F$801, 0)+1)), ""), "")</f>
        <v/>
      </c>
      <c r="B902" s="10">
        <f>IFERROR(IF(AND(IFERROR(INDEX(ERP資料!$A:$A, (MATCH(901, 輔助計算!$F$2:$F$801, 0)+1)), "")&lt;&gt;"", IFERROR(INDEX(ERP資料!$A:$A, (MATCH(901, 輔助計算!$F$2:$F$801, 0)+1)), "")&lt;&gt;IFERROR(INDEX(ERP資料!$A:$A, MATCH(900, 輔助計算!$F$2:$F$801, 0)+1), "")), IFERROR(INDEX(ERP資料!$A:$A, (MATCH(901, 輔助計算!$F$2:$F$801, 0)+1)), ""), ""), "")</f>
        <v/>
      </c>
      <c r="C902" s="10">
        <f>IFERROR(IF(AND(IFERROR(INDEX(ERP資料!$A:$A, (MATCH(901, 輔助計算!$F$2:$F$801, 0)+1)), "")&lt;&gt;"", IFERROR(INDEX(ERP資料!$A:$A, (MATCH(901, 輔助計算!$F$2:$F$801, 0)+1)), "")&lt;&gt;IFERROR(INDEX(ERP資料!$A:$A, MATCH(900, 輔助計算!$F$2:$F$801, 0)+1), "")), INDEX(ERP資料!$S:$S, (MATCH(901, 輔助計算!$F$2:$F$801, 0)+1)), ""), "")</f>
        <v/>
      </c>
      <c r="D902" s="10">
        <f>IFERROR(IF(INDEX(ERP資料!$E:$E, (MATCH(901, 輔助計算!$F$2:$F$801, 0)+1))="","",TRIM(INDEX(ERP資料!$E:$E, (MATCH(901, 輔助計算!$F$2:$F$801, 0)+1)))), "")</f>
        <v/>
      </c>
      <c r="E902" s="10">
        <f>IFERROR(IF(INDEX(ERP資料!$F:$F, (MATCH(901, 輔助計算!$F$2:$F$801, 0)+1))="","",INDEX(ERP資料!$F:$F, (MATCH(901, 輔助計算!$F$2:$F$801, 0)+1))), "")</f>
        <v/>
      </c>
      <c r="F902" s="10">
        <f>IFERROR(IF(INDEX(ERP資料!$G:$G, (MATCH(901, 輔助計算!$F$2:$F$801, 0)+1))="","",INDEX(ERP資料!$G:$G, (MATCH(901, 輔助計算!$F$2:$F$801, 0)+1))), "")</f>
        <v/>
      </c>
      <c r="G902" s="10">
        <f>IFERROR(IF(INDEX(ERP資料!$H:$H, (MATCH(901, 輔助計算!$F$2:$F$801, 0)+1))="","",INDEX(ERP資料!$H:$H, (MATCH(901, 輔助計算!$F$2:$F$801, 0)+1))), "")</f>
        <v/>
      </c>
      <c r="H902" s="10">
        <f>IFERROR(IF(INDEX(ERP資料!$O:$O, (MATCH(901, 輔助計算!$F$2:$F$801, 0)+1))="","",INDEX(ERP資料!$O:$O, (MATCH(901, 輔助計算!$F$2:$F$801, 0)+1))), "")</f>
        <v/>
      </c>
      <c r="I902" s="15">
        <f>IFERROR(IF(INDEX(輔助計算!$D:$D,(MATCH(901, 輔助計算!$F$2:$F$801, 0)+1))="","",INDEX(輔助計算!$D:$D,(MATCH(901, 輔助計算!$F$2:$F$801, 0)+1))*INDEX(ERP資料!$O:$O,(MATCH(901, 輔助計算!$F$2:$F$801, 0)+1))), "")</f>
        <v/>
      </c>
      <c r="J902" s="16" t="n"/>
      <c r="K902" s="15">
        <f>IFERROR(INDEX(輔助計算!$D:$D, (MATCH(901, 輔助計算!$F$2:$F$801, 0)+1)), "")</f>
        <v/>
      </c>
      <c r="L902" s="16">
        <f>IFERROR(IF(AND(IFERROR(VLOOKUP(LEFT(INDEX(ERP資料!$S:$S, (MATCH(901, 輔助計算!$F$2:$F$801, 0)+1)), 4), 100張客戶!$A:$A, 1, FALSE), "")&lt;&gt;"", OR(INDEX(ERP資料!$F:$F, (MATCH(901, 輔助計算!$F$2:$F$801, 0)+1))=270, INDEX(ERP資料!$F:$F, (MATCH(901, 輔助計算!$F$2:$F$801, 0)+1))=300)), "100張", ""), "")</f>
        <v/>
      </c>
      <c r="M902" s="17" t="n"/>
      <c r="N902" s="17">
        <f>IF($F902="","",$F902)</f>
        <v/>
      </c>
      <c r="O902" s="17">
        <f>IF($G902="","",$G902)</f>
        <v/>
      </c>
      <c r="P902" s="17">
        <f>IF($K902="","",$K902)</f>
        <v/>
      </c>
      <c r="Q902" s="16" t="n"/>
      <c r="R902" s="18" t="n"/>
      <c r="S902" s="16" t="n"/>
    </row>
    <row r="903">
      <c r="A903" s="14">
        <f>IFERROR(IF(AND(IFERROR(INDEX(ERP資料!$A:$A, (MATCH(902, 輔助計算!$F$2:$F$801, 0)+1)), "")&lt;&gt;"", IFERROR(INDEX(ERP資料!$A:$A, (MATCH(902, 輔助計算!$F$2:$F$801, 0)+1)), "")&lt;&gt;IFERROR(INDEX(ERP資料!$A:$A, MATCH(901, 輔助計算!$F$2:$F$801, 0)+1), "")), INDEX(ERP資料!$B:$B, (MATCH(902, 輔助計算!$F$2:$F$801, 0)+1)), ""), "")</f>
        <v/>
      </c>
      <c r="B903" s="10">
        <f>IFERROR(IF(AND(IFERROR(INDEX(ERP資料!$A:$A, (MATCH(902, 輔助計算!$F$2:$F$801, 0)+1)), "")&lt;&gt;"", IFERROR(INDEX(ERP資料!$A:$A, (MATCH(902, 輔助計算!$F$2:$F$801, 0)+1)), "")&lt;&gt;IFERROR(INDEX(ERP資料!$A:$A, MATCH(901, 輔助計算!$F$2:$F$801, 0)+1), "")), IFERROR(INDEX(ERP資料!$A:$A, (MATCH(902, 輔助計算!$F$2:$F$801, 0)+1)), ""), ""), "")</f>
        <v/>
      </c>
      <c r="C903" s="10">
        <f>IFERROR(IF(AND(IFERROR(INDEX(ERP資料!$A:$A, (MATCH(902, 輔助計算!$F$2:$F$801, 0)+1)), "")&lt;&gt;"", IFERROR(INDEX(ERP資料!$A:$A, (MATCH(902, 輔助計算!$F$2:$F$801, 0)+1)), "")&lt;&gt;IFERROR(INDEX(ERP資料!$A:$A, MATCH(901, 輔助計算!$F$2:$F$801, 0)+1), "")), INDEX(ERP資料!$S:$S, (MATCH(902, 輔助計算!$F$2:$F$801, 0)+1)), ""), "")</f>
        <v/>
      </c>
      <c r="D903" s="10">
        <f>IFERROR(IF(INDEX(ERP資料!$E:$E, (MATCH(902, 輔助計算!$F$2:$F$801, 0)+1))="","",TRIM(INDEX(ERP資料!$E:$E, (MATCH(902, 輔助計算!$F$2:$F$801, 0)+1)))), "")</f>
        <v/>
      </c>
      <c r="E903" s="10">
        <f>IFERROR(IF(INDEX(ERP資料!$F:$F, (MATCH(902, 輔助計算!$F$2:$F$801, 0)+1))="","",INDEX(ERP資料!$F:$F, (MATCH(902, 輔助計算!$F$2:$F$801, 0)+1))), "")</f>
        <v/>
      </c>
      <c r="F903" s="10">
        <f>IFERROR(IF(INDEX(ERP資料!$G:$G, (MATCH(902, 輔助計算!$F$2:$F$801, 0)+1))="","",INDEX(ERP資料!$G:$G, (MATCH(902, 輔助計算!$F$2:$F$801, 0)+1))), "")</f>
        <v/>
      </c>
      <c r="G903" s="10">
        <f>IFERROR(IF(INDEX(ERP資料!$H:$H, (MATCH(902, 輔助計算!$F$2:$F$801, 0)+1))="","",INDEX(ERP資料!$H:$H, (MATCH(902, 輔助計算!$F$2:$F$801, 0)+1))), "")</f>
        <v/>
      </c>
      <c r="H903" s="10">
        <f>IFERROR(IF(INDEX(ERP資料!$O:$O, (MATCH(902, 輔助計算!$F$2:$F$801, 0)+1))="","",INDEX(ERP資料!$O:$O, (MATCH(902, 輔助計算!$F$2:$F$801, 0)+1))), "")</f>
        <v/>
      </c>
      <c r="I903" s="15">
        <f>IFERROR(IF(INDEX(輔助計算!$D:$D,(MATCH(902, 輔助計算!$F$2:$F$801, 0)+1))="","",INDEX(輔助計算!$D:$D,(MATCH(902, 輔助計算!$F$2:$F$801, 0)+1))*INDEX(ERP資料!$O:$O,(MATCH(902, 輔助計算!$F$2:$F$801, 0)+1))), "")</f>
        <v/>
      </c>
      <c r="J903" s="16" t="n"/>
      <c r="K903" s="15">
        <f>IFERROR(INDEX(輔助計算!$D:$D, (MATCH(902, 輔助計算!$F$2:$F$801, 0)+1)), "")</f>
        <v/>
      </c>
      <c r="L903" s="16">
        <f>IFERROR(IF(AND(IFERROR(VLOOKUP(LEFT(INDEX(ERP資料!$S:$S, (MATCH(902, 輔助計算!$F$2:$F$801, 0)+1)), 4), 100張客戶!$A:$A, 1, FALSE), "")&lt;&gt;"", OR(INDEX(ERP資料!$F:$F, (MATCH(902, 輔助計算!$F$2:$F$801, 0)+1))=270, INDEX(ERP資料!$F:$F, (MATCH(902, 輔助計算!$F$2:$F$801, 0)+1))=300)), "100張", ""), "")</f>
        <v/>
      </c>
      <c r="M903" s="17" t="n"/>
      <c r="N903" s="17">
        <f>IF($F903="","",$F903)</f>
        <v/>
      </c>
      <c r="O903" s="17">
        <f>IF($G903="","",$G903)</f>
        <v/>
      </c>
      <c r="P903" s="17">
        <f>IF($K903="","",$K903)</f>
        <v/>
      </c>
      <c r="Q903" s="16" t="n"/>
      <c r="R903" s="18" t="n"/>
      <c r="S903" s="16" t="n"/>
    </row>
    <row r="904">
      <c r="A904" s="14">
        <f>IFERROR(IF(AND(IFERROR(INDEX(ERP資料!$A:$A, (MATCH(903, 輔助計算!$F$2:$F$801, 0)+1)), "")&lt;&gt;"", IFERROR(INDEX(ERP資料!$A:$A, (MATCH(903, 輔助計算!$F$2:$F$801, 0)+1)), "")&lt;&gt;IFERROR(INDEX(ERP資料!$A:$A, MATCH(902, 輔助計算!$F$2:$F$801, 0)+1), "")), INDEX(ERP資料!$B:$B, (MATCH(903, 輔助計算!$F$2:$F$801, 0)+1)), ""), "")</f>
        <v/>
      </c>
      <c r="B904" s="10">
        <f>IFERROR(IF(AND(IFERROR(INDEX(ERP資料!$A:$A, (MATCH(903, 輔助計算!$F$2:$F$801, 0)+1)), "")&lt;&gt;"", IFERROR(INDEX(ERP資料!$A:$A, (MATCH(903, 輔助計算!$F$2:$F$801, 0)+1)), "")&lt;&gt;IFERROR(INDEX(ERP資料!$A:$A, MATCH(902, 輔助計算!$F$2:$F$801, 0)+1), "")), IFERROR(INDEX(ERP資料!$A:$A, (MATCH(903, 輔助計算!$F$2:$F$801, 0)+1)), ""), ""), "")</f>
        <v/>
      </c>
      <c r="C904" s="10">
        <f>IFERROR(IF(AND(IFERROR(INDEX(ERP資料!$A:$A, (MATCH(903, 輔助計算!$F$2:$F$801, 0)+1)), "")&lt;&gt;"", IFERROR(INDEX(ERP資料!$A:$A, (MATCH(903, 輔助計算!$F$2:$F$801, 0)+1)), "")&lt;&gt;IFERROR(INDEX(ERP資料!$A:$A, MATCH(902, 輔助計算!$F$2:$F$801, 0)+1), "")), INDEX(ERP資料!$S:$S, (MATCH(903, 輔助計算!$F$2:$F$801, 0)+1)), ""), "")</f>
        <v/>
      </c>
      <c r="D904" s="10">
        <f>IFERROR(IF(INDEX(ERP資料!$E:$E, (MATCH(903, 輔助計算!$F$2:$F$801, 0)+1))="","",TRIM(INDEX(ERP資料!$E:$E, (MATCH(903, 輔助計算!$F$2:$F$801, 0)+1)))), "")</f>
        <v/>
      </c>
      <c r="E904" s="10">
        <f>IFERROR(IF(INDEX(ERP資料!$F:$F, (MATCH(903, 輔助計算!$F$2:$F$801, 0)+1))="","",INDEX(ERP資料!$F:$F, (MATCH(903, 輔助計算!$F$2:$F$801, 0)+1))), "")</f>
        <v/>
      </c>
      <c r="F904" s="10">
        <f>IFERROR(IF(INDEX(ERP資料!$G:$G, (MATCH(903, 輔助計算!$F$2:$F$801, 0)+1))="","",INDEX(ERP資料!$G:$G, (MATCH(903, 輔助計算!$F$2:$F$801, 0)+1))), "")</f>
        <v/>
      </c>
      <c r="G904" s="10">
        <f>IFERROR(IF(INDEX(ERP資料!$H:$H, (MATCH(903, 輔助計算!$F$2:$F$801, 0)+1))="","",INDEX(ERP資料!$H:$H, (MATCH(903, 輔助計算!$F$2:$F$801, 0)+1))), "")</f>
        <v/>
      </c>
      <c r="H904" s="10">
        <f>IFERROR(IF(INDEX(ERP資料!$O:$O, (MATCH(903, 輔助計算!$F$2:$F$801, 0)+1))="","",INDEX(ERP資料!$O:$O, (MATCH(903, 輔助計算!$F$2:$F$801, 0)+1))), "")</f>
        <v/>
      </c>
      <c r="I904" s="15">
        <f>IFERROR(IF(INDEX(輔助計算!$D:$D,(MATCH(903, 輔助計算!$F$2:$F$801, 0)+1))="","",INDEX(輔助計算!$D:$D,(MATCH(903, 輔助計算!$F$2:$F$801, 0)+1))*INDEX(ERP資料!$O:$O,(MATCH(903, 輔助計算!$F$2:$F$801, 0)+1))), "")</f>
        <v/>
      </c>
      <c r="J904" s="16" t="n"/>
      <c r="K904" s="15">
        <f>IFERROR(INDEX(輔助計算!$D:$D, (MATCH(903, 輔助計算!$F$2:$F$801, 0)+1)), "")</f>
        <v/>
      </c>
      <c r="L904" s="16">
        <f>IFERROR(IF(AND(IFERROR(VLOOKUP(LEFT(INDEX(ERP資料!$S:$S, (MATCH(903, 輔助計算!$F$2:$F$801, 0)+1)), 4), 100張客戶!$A:$A, 1, FALSE), "")&lt;&gt;"", OR(INDEX(ERP資料!$F:$F, (MATCH(903, 輔助計算!$F$2:$F$801, 0)+1))=270, INDEX(ERP資料!$F:$F, (MATCH(903, 輔助計算!$F$2:$F$801, 0)+1))=300)), "100張", ""), "")</f>
        <v/>
      </c>
      <c r="M904" s="17" t="n"/>
      <c r="N904" s="17">
        <f>IF($F904="","",$F904)</f>
        <v/>
      </c>
      <c r="O904" s="17">
        <f>IF($G904="","",$G904)</f>
        <v/>
      </c>
      <c r="P904" s="17">
        <f>IF($K904="","",$K904)</f>
        <v/>
      </c>
      <c r="Q904" s="16" t="n"/>
      <c r="R904" s="18" t="n"/>
      <c r="S904" s="16" t="n"/>
    </row>
    <row r="905">
      <c r="A905" s="14">
        <f>IFERROR(IF(AND(IFERROR(INDEX(ERP資料!$A:$A, (MATCH(904, 輔助計算!$F$2:$F$801, 0)+1)), "")&lt;&gt;"", IFERROR(INDEX(ERP資料!$A:$A, (MATCH(904, 輔助計算!$F$2:$F$801, 0)+1)), "")&lt;&gt;IFERROR(INDEX(ERP資料!$A:$A, MATCH(903, 輔助計算!$F$2:$F$801, 0)+1), "")), INDEX(ERP資料!$B:$B, (MATCH(904, 輔助計算!$F$2:$F$801, 0)+1)), ""), "")</f>
        <v/>
      </c>
      <c r="B905" s="10">
        <f>IFERROR(IF(AND(IFERROR(INDEX(ERP資料!$A:$A, (MATCH(904, 輔助計算!$F$2:$F$801, 0)+1)), "")&lt;&gt;"", IFERROR(INDEX(ERP資料!$A:$A, (MATCH(904, 輔助計算!$F$2:$F$801, 0)+1)), "")&lt;&gt;IFERROR(INDEX(ERP資料!$A:$A, MATCH(903, 輔助計算!$F$2:$F$801, 0)+1), "")), IFERROR(INDEX(ERP資料!$A:$A, (MATCH(904, 輔助計算!$F$2:$F$801, 0)+1)), ""), ""), "")</f>
        <v/>
      </c>
      <c r="C905" s="10">
        <f>IFERROR(IF(AND(IFERROR(INDEX(ERP資料!$A:$A, (MATCH(904, 輔助計算!$F$2:$F$801, 0)+1)), "")&lt;&gt;"", IFERROR(INDEX(ERP資料!$A:$A, (MATCH(904, 輔助計算!$F$2:$F$801, 0)+1)), "")&lt;&gt;IFERROR(INDEX(ERP資料!$A:$A, MATCH(903, 輔助計算!$F$2:$F$801, 0)+1), "")), INDEX(ERP資料!$S:$S, (MATCH(904, 輔助計算!$F$2:$F$801, 0)+1)), ""), "")</f>
        <v/>
      </c>
      <c r="D905" s="10">
        <f>IFERROR(IF(INDEX(ERP資料!$E:$E, (MATCH(904, 輔助計算!$F$2:$F$801, 0)+1))="","",TRIM(INDEX(ERP資料!$E:$E, (MATCH(904, 輔助計算!$F$2:$F$801, 0)+1)))), "")</f>
        <v/>
      </c>
      <c r="E905" s="10">
        <f>IFERROR(IF(INDEX(ERP資料!$F:$F, (MATCH(904, 輔助計算!$F$2:$F$801, 0)+1))="","",INDEX(ERP資料!$F:$F, (MATCH(904, 輔助計算!$F$2:$F$801, 0)+1))), "")</f>
        <v/>
      </c>
      <c r="F905" s="10">
        <f>IFERROR(IF(INDEX(ERP資料!$G:$G, (MATCH(904, 輔助計算!$F$2:$F$801, 0)+1))="","",INDEX(ERP資料!$G:$G, (MATCH(904, 輔助計算!$F$2:$F$801, 0)+1))), "")</f>
        <v/>
      </c>
      <c r="G905" s="10">
        <f>IFERROR(IF(INDEX(ERP資料!$H:$H, (MATCH(904, 輔助計算!$F$2:$F$801, 0)+1))="","",INDEX(ERP資料!$H:$H, (MATCH(904, 輔助計算!$F$2:$F$801, 0)+1))), "")</f>
        <v/>
      </c>
      <c r="H905" s="10">
        <f>IFERROR(IF(INDEX(ERP資料!$O:$O, (MATCH(904, 輔助計算!$F$2:$F$801, 0)+1))="","",INDEX(ERP資料!$O:$O, (MATCH(904, 輔助計算!$F$2:$F$801, 0)+1))), "")</f>
        <v/>
      </c>
      <c r="I905" s="15">
        <f>IFERROR(IF(INDEX(輔助計算!$D:$D,(MATCH(904, 輔助計算!$F$2:$F$801, 0)+1))="","",INDEX(輔助計算!$D:$D,(MATCH(904, 輔助計算!$F$2:$F$801, 0)+1))*INDEX(ERP資料!$O:$O,(MATCH(904, 輔助計算!$F$2:$F$801, 0)+1))), "")</f>
        <v/>
      </c>
      <c r="J905" s="16" t="n"/>
      <c r="K905" s="15">
        <f>IFERROR(INDEX(輔助計算!$D:$D, (MATCH(904, 輔助計算!$F$2:$F$801, 0)+1)), "")</f>
        <v/>
      </c>
      <c r="L905" s="16">
        <f>IFERROR(IF(AND(IFERROR(VLOOKUP(LEFT(INDEX(ERP資料!$S:$S, (MATCH(904, 輔助計算!$F$2:$F$801, 0)+1)), 4), 100張客戶!$A:$A, 1, FALSE), "")&lt;&gt;"", OR(INDEX(ERP資料!$F:$F, (MATCH(904, 輔助計算!$F$2:$F$801, 0)+1))=270, INDEX(ERP資料!$F:$F, (MATCH(904, 輔助計算!$F$2:$F$801, 0)+1))=300)), "100張", ""), "")</f>
        <v/>
      </c>
      <c r="M905" s="17" t="n"/>
      <c r="N905" s="17">
        <f>IF($F905="","",$F905)</f>
        <v/>
      </c>
      <c r="O905" s="17">
        <f>IF($G905="","",$G905)</f>
        <v/>
      </c>
      <c r="P905" s="17">
        <f>IF($K905="","",$K905)</f>
        <v/>
      </c>
      <c r="Q905" s="16" t="n"/>
      <c r="R905" s="18" t="n"/>
      <c r="S905" s="16" t="n"/>
    </row>
    <row r="906">
      <c r="A906" s="14">
        <f>IFERROR(IF(AND(IFERROR(INDEX(ERP資料!$A:$A, (MATCH(905, 輔助計算!$F$2:$F$801, 0)+1)), "")&lt;&gt;"", IFERROR(INDEX(ERP資料!$A:$A, (MATCH(905, 輔助計算!$F$2:$F$801, 0)+1)), "")&lt;&gt;IFERROR(INDEX(ERP資料!$A:$A, MATCH(904, 輔助計算!$F$2:$F$801, 0)+1), "")), INDEX(ERP資料!$B:$B, (MATCH(905, 輔助計算!$F$2:$F$801, 0)+1)), ""), "")</f>
        <v/>
      </c>
      <c r="B906" s="10">
        <f>IFERROR(IF(AND(IFERROR(INDEX(ERP資料!$A:$A, (MATCH(905, 輔助計算!$F$2:$F$801, 0)+1)), "")&lt;&gt;"", IFERROR(INDEX(ERP資料!$A:$A, (MATCH(905, 輔助計算!$F$2:$F$801, 0)+1)), "")&lt;&gt;IFERROR(INDEX(ERP資料!$A:$A, MATCH(904, 輔助計算!$F$2:$F$801, 0)+1), "")), IFERROR(INDEX(ERP資料!$A:$A, (MATCH(905, 輔助計算!$F$2:$F$801, 0)+1)), ""), ""), "")</f>
        <v/>
      </c>
      <c r="C906" s="10">
        <f>IFERROR(IF(AND(IFERROR(INDEX(ERP資料!$A:$A, (MATCH(905, 輔助計算!$F$2:$F$801, 0)+1)), "")&lt;&gt;"", IFERROR(INDEX(ERP資料!$A:$A, (MATCH(905, 輔助計算!$F$2:$F$801, 0)+1)), "")&lt;&gt;IFERROR(INDEX(ERP資料!$A:$A, MATCH(904, 輔助計算!$F$2:$F$801, 0)+1), "")), INDEX(ERP資料!$S:$S, (MATCH(905, 輔助計算!$F$2:$F$801, 0)+1)), ""), "")</f>
        <v/>
      </c>
      <c r="D906" s="10">
        <f>IFERROR(IF(INDEX(ERP資料!$E:$E, (MATCH(905, 輔助計算!$F$2:$F$801, 0)+1))="","",TRIM(INDEX(ERP資料!$E:$E, (MATCH(905, 輔助計算!$F$2:$F$801, 0)+1)))), "")</f>
        <v/>
      </c>
      <c r="E906" s="10">
        <f>IFERROR(IF(INDEX(ERP資料!$F:$F, (MATCH(905, 輔助計算!$F$2:$F$801, 0)+1))="","",INDEX(ERP資料!$F:$F, (MATCH(905, 輔助計算!$F$2:$F$801, 0)+1))), "")</f>
        <v/>
      </c>
      <c r="F906" s="10">
        <f>IFERROR(IF(INDEX(ERP資料!$G:$G, (MATCH(905, 輔助計算!$F$2:$F$801, 0)+1))="","",INDEX(ERP資料!$G:$G, (MATCH(905, 輔助計算!$F$2:$F$801, 0)+1))), "")</f>
        <v/>
      </c>
      <c r="G906" s="10">
        <f>IFERROR(IF(INDEX(ERP資料!$H:$H, (MATCH(905, 輔助計算!$F$2:$F$801, 0)+1))="","",INDEX(ERP資料!$H:$H, (MATCH(905, 輔助計算!$F$2:$F$801, 0)+1))), "")</f>
        <v/>
      </c>
      <c r="H906" s="10">
        <f>IFERROR(IF(INDEX(ERP資料!$O:$O, (MATCH(905, 輔助計算!$F$2:$F$801, 0)+1))="","",INDEX(ERP資料!$O:$O, (MATCH(905, 輔助計算!$F$2:$F$801, 0)+1))), "")</f>
        <v/>
      </c>
      <c r="I906" s="15">
        <f>IFERROR(IF(INDEX(輔助計算!$D:$D,(MATCH(905, 輔助計算!$F$2:$F$801, 0)+1))="","",INDEX(輔助計算!$D:$D,(MATCH(905, 輔助計算!$F$2:$F$801, 0)+1))*INDEX(ERP資料!$O:$O,(MATCH(905, 輔助計算!$F$2:$F$801, 0)+1))), "")</f>
        <v/>
      </c>
      <c r="J906" s="16" t="n"/>
      <c r="K906" s="15">
        <f>IFERROR(INDEX(輔助計算!$D:$D, (MATCH(905, 輔助計算!$F$2:$F$801, 0)+1)), "")</f>
        <v/>
      </c>
      <c r="L906" s="16">
        <f>IFERROR(IF(AND(IFERROR(VLOOKUP(LEFT(INDEX(ERP資料!$S:$S, (MATCH(905, 輔助計算!$F$2:$F$801, 0)+1)), 4), 100張客戶!$A:$A, 1, FALSE), "")&lt;&gt;"", OR(INDEX(ERP資料!$F:$F, (MATCH(905, 輔助計算!$F$2:$F$801, 0)+1))=270, INDEX(ERP資料!$F:$F, (MATCH(905, 輔助計算!$F$2:$F$801, 0)+1))=300)), "100張", ""), "")</f>
        <v/>
      </c>
      <c r="M906" s="17" t="n"/>
      <c r="N906" s="17">
        <f>IF($F906="","",$F906)</f>
        <v/>
      </c>
      <c r="O906" s="17">
        <f>IF($G906="","",$G906)</f>
        <v/>
      </c>
      <c r="P906" s="17">
        <f>IF($K906="","",$K906)</f>
        <v/>
      </c>
      <c r="Q906" s="16" t="n"/>
      <c r="R906" s="18" t="n"/>
      <c r="S906" s="16" t="n"/>
    </row>
    <row r="907">
      <c r="A907" s="14">
        <f>IFERROR(IF(AND(IFERROR(INDEX(ERP資料!$A:$A, (MATCH(906, 輔助計算!$F$2:$F$801, 0)+1)), "")&lt;&gt;"", IFERROR(INDEX(ERP資料!$A:$A, (MATCH(906, 輔助計算!$F$2:$F$801, 0)+1)), "")&lt;&gt;IFERROR(INDEX(ERP資料!$A:$A, MATCH(905, 輔助計算!$F$2:$F$801, 0)+1), "")), INDEX(ERP資料!$B:$B, (MATCH(906, 輔助計算!$F$2:$F$801, 0)+1)), ""), "")</f>
        <v/>
      </c>
      <c r="B907" s="10">
        <f>IFERROR(IF(AND(IFERROR(INDEX(ERP資料!$A:$A, (MATCH(906, 輔助計算!$F$2:$F$801, 0)+1)), "")&lt;&gt;"", IFERROR(INDEX(ERP資料!$A:$A, (MATCH(906, 輔助計算!$F$2:$F$801, 0)+1)), "")&lt;&gt;IFERROR(INDEX(ERP資料!$A:$A, MATCH(905, 輔助計算!$F$2:$F$801, 0)+1), "")), IFERROR(INDEX(ERP資料!$A:$A, (MATCH(906, 輔助計算!$F$2:$F$801, 0)+1)), ""), ""), "")</f>
        <v/>
      </c>
      <c r="C907" s="10">
        <f>IFERROR(IF(AND(IFERROR(INDEX(ERP資料!$A:$A, (MATCH(906, 輔助計算!$F$2:$F$801, 0)+1)), "")&lt;&gt;"", IFERROR(INDEX(ERP資料!$A:$A, (MATCH(906, 輔助計算!$F$2:$F$801, 0)+1)), "")&lt;&gt;IFERROR(INDEX(ERP資料!$A:$A, MATCH(905, 輔助計算!$F$2:$F$801, 0)+1), "")), INDEX(ERP資料!$S:$S, (MATCH(906, 輔助計算!$F$2:$F$801, 0)+1)), ""), "")</f>
        <v/>
      </c>
      <c r="D907" s="10">
        <f>IFERROR(IF(INDEX(ERP資料!$E:$E, (MATCH(906, 輔助計算!$F$2:$F$801, 0)+1))="","",TRIM(INDEX(ERP資料!$E:$E, (MATCH(906, 輔助計算!$F$2:$F$801, 0)+1)))), "")</f>
        <v/>
      </c>
      <c r="E907" s="10">
        <f>IFERROR(IF(INDEX(ERP資料!$F:$F, (MATCH(906, 輔助計算!$F$2:$F$801, 0)+1))="","",INDEX(ERP資料!$F:$F, (MATCH(906, 輔助計算!$F$2:$F$801, 0)+1))), "")</f>
        <v/>
      </c>
      <c r="F907" s="10">
        <f>IFERROR(IF(INDEX(ERP資料!$G:$G, (MATCH(906, 輔助計算!$F$2:$F$801, 0)+1))="","",INDEX(ERP資料!$G:$G, (MATCH(906, 輔助計算!$F$2:$F$801, 0)+1))), "")</f>
        <v/>
      </c>
      <c r="G907" s="10">
        <f>IFERROR(IF(INDEX(ERP資料!$H:$H, (MATCH(906, 輔助計算!$F$2:$F$801, 0)+1))="","",INDEX(ERP資料!$H:$H, (MATCH(906, 輔助計算!$F$2:$F$801, 0)+1))), "")</f>
        <v/>
      </c>
      <c r="H907" s="10">
        <f>IFERROR(IF(INDEX(ERP資料!$O:$O, (MATCH(906, 輔助計算!$F$2:$F$801, 0)+1))="","",INDEX(ERP資料!$O:$O, (MATCH(906, 輔助計算!$F$2:$F$801, 0)+1))), "")</f>
        <v/>
      </c>
      <c r="I907" s="15">
        <f>IFERROR(IF(INDEX(輔助計算!$D:$D,(MATCH(906, 輔助計算!$F$2:$F$801, 0)+1))="","",INDEX(輔助計算!$D:$D,(MATCH(906, 輔助計算!$F$2:$F$801, 0)+1))*INDEX(ERP資料!$O:$O,(MATCH(906, 輔助計算!$F$2:$F$801, 0)+1))), "")</f>
        <v/>
      </c>
      <c r="J907" s="16" t="n"/>
      <c r="K907" s="15">
        <f>IFERROR(INDEX(輔助計算!$D:$D, (MATCH(906, 輔助計算!$F$2:$F$801, 0)+1)), "")</f>
        <v/>
      </c>
      <c r="L907" s="16">
        <f>IFERROR(IF(AND(IFERROR(VLOOKUP(LEFT(INDEX(ERP資料!$S:$S, (MATCH(906, 輔助計算!$F$2:$F$801, 0)+1)), 4), 100張客戶!$A:$A, 1, FALSE), "")&lt;&gt;"", OR(INDEX(ERP資料!$F:$F, (MATCH(906, 輔助計算!$F$2:$F$801, 0)+1))=270, INDEX(ERP資料!$F:$F, (MATCH(906, 輔助計算!$F$2:$F$801, 0)+1))=300)), "100張", ""), "")</f>
        <v/>
      </c>
      <c r="M907" s="17" t="n"/>
      <c r="N907" s="17">
        <f>IF($F907="","",$F907)</f>
        <v/>
      </c>
      <c r="O907" s="17">
        <f>IF($G907="","",$G907)</f>
        <v/>
      </c>
      <c r="P907" s="17">
        <f>IF($K907="","",$K907)</f>
        <v/>
      </c>
      <c r="Q907" s="16" t="n"/>
      <c r="R907" s="18" t="n"/>
      <c r="S907" s="16" t="n"/>
    </row>
    <row r="908">
      <c r="A908" s="14">
        <f>IFERROR(IF(AND(IFERROR(INDEX(ERP資料!$A:$A, (MATCH(907, 輔助計算!$F$2:$F$801, 0)+1)), "")&lt;&gt;"", IFERROR(INDEX(ERP資料!$A:$A, (MATCH(907, 輔助計算!$F$2:$F$801, 0)+1)), "")&lt;&gt;IFERROR(INDEX(ERP資料!$A:$A, MATCH(906, 輔助計算!$F$2:$F$801, 0)+1), "")), INDEX(ERP資料!$B:$B, (MATCH(907, 輔助計算!$F$2:$F$801, 0)+1)), ""), "")</f>
        <v/>
      </c>
      <c r="B908" s="10">
        <f>IFERROR(IF(AND(IFERROR(INDEX(ERP資料!$A:$A, (MATCH(907, 輔助計算!$F$2:$F$801, 0)+1)), "")&lt;&gt;"", IFERROR(INDEX(ERP資料!$A:$A, (MATCH(907, 輔助計算!$F$2:$F$801, 0)+1)), "")&lt;&gt;IFERROR(INDEX(ERP資料!$A:$A, MATCH(906, 輔助計算!$F$2:$F$801, 0)+1), "")), IFERROR(INDEX(ERP資料!$A:$A, (MATCH(907, 輔助計算!$F$2:$F$801, 0)+1)), ""), ""), "")</f>
        <v/>
      </c>
      <c r="C908" s="10">
        <f>IFERROR(IF(AND(IFERROR(INDEX(ERP資料!$A:$A, (MATCH(907, 輔助計算!$F$2:$F$801, 0)+1)), "")&lt;&gt;"", IFERROR(INDEX(ERP資料!$A:$A, (MATCH(907, 輔助計算!$F$2:$F$801, 0)+1)), "")&lt;&gt;IFERROR(INDEX(ERP資料!$A:$A, MATCH(906, 輔助計算!$F$2:$F$801, 0)+1), "")), INDEX(ERP資料!$S:$S, (MATCH(907, 輔助計算!$F$2:$F$801, 0)+1)), ""), "")</f>
        <v/>
      </c>
      <c r="D908" s="10">
        <f>IFERROR(IF(INDEX(ERP資料!$E:$E, (MATCH(907, 輔助計算!$F$2:$F$801, 0)+1))="","",TRIM(INDEX(ERP資料!$E:$E, (MATCH(907, 輔助計算!$F$2:$F$801, 0)+1)))), "")</f>
        <v/>
      </c>
      <c r="E908" s="10">
        <f>IFERROR(IF(INDEX(ERP資料!$F:$F, (MATCH(907, 輔助計算!$F$2:$F$801, 0)+1))="","",INDEX(ERP資料!$F:$F, (MATCH(907, 輔助計算!$F$2:$F$801, 0)+1))), "")</f>
        <v/>
      </c>
      <c r="F908" s="10">
        <f>IFERROR(IF(INDEX(ERP資料!$G:$G, (MATCH(907, 輔助計算!$F$2:$F$801, 0)+1))="","",INDEX(ERP資料!$G:$G, (MATCH(907, 輔助計算!$F$2:$F$801, 0)+1))), "")</f>
        <v/>
      </c>
      <c r="G908" s="10">
        <f>IFERROR(IF(INDEX(ERP資料!$H:$H, (MATCH(907, 輔助計算!$F$2:$F$801, 0)+1))="","",INDEX(ERP資料!$H:$H, (MATCH(907, 輔助計算!$F$2:$F$801, 0)+1))), "")</f>
        <v/>
      </c>
      <c r="H908" s="10">
        <f>IFERROR(IF(INDEX(ERP資料!$O:$O, (MATCH(907, 輔助計算!$F$2:$F$801, 0)+1))="","",INDEX(ERP資料!$O:$O, (MATCH(907, 輔助計算!$F$2:$F$801, 0)+1))), "")</f>
        <v/>
      </c>
      <c r="I908" s="15">
        <f>IFERROR(IF(INDEX(輔助計算!$D:$D,(MATCH(907, 輔助計算!$F$2:$F$801, 0)+1))="","",INDEX(輔助計算!$D:$D,(MATCH(907, 輔助計算!$F$2:$F$801, 0)+1))*INDEX(ERP資料!$O:$O,(MATCH(907, 輔助計算!$F$2:$F$801, 0)+1))), "")</f>
        <v/>
      </c>
      <c r="J908" s="16" t="n"/>
      <c r="K908" s="15">
        <f>IFERROR(INDEX(輔助計算!$D:$D, (MATCH(907, 輔助計算!$F$2:$F$801, 0)+1)), "")</f>
        <v/>
      </c>
      <c r="L908" s="16">
        <f>IFERROR(IF(AND(IFERROR(VLOOKUP(LEFT(INDEX(ERP資料!$S:$S, (MATCH(907, 輔助計算!$F$2:$F$801, 0)+1)), 4), 100張客戶!$A:$A, 1, FALSE), "")&lt;&gt;"", OR(INDEX(ERP資料!$F:$F, (MATCH(907, 輔助計算!$F$2:$F$801, 0)+1))=270, INDEX(ERP資料!$F:$F, (MATCH(907, 輔助計算!$F$2:$F$801, 0)+1))=300)), "100張", ""), "")</f>
        <v/>
      </c>
      <c r="M908" s="17" t="n"/>
      <c r="N908" s="17">
        <f>IF($F908="","",$F908)</f>
        <v/>
      </c>
      <c r="O908" s="17">
        <f>IF($G908="","",$G908)</f>
        <v/>
      </c>
      <c r="P908" s="17">
        <f>IF($K908="","",$K908)</f>
        <v/>
      </c>
      <c r="Q908" s="16" t="n"/>
      <c r="R908" s="18" t="n"/>
      <c r="S908" s="16" t="n"/>
    </row>
    <row r="909">
      <c r="A909" s="14">
        <f>IFERROR(IF(AND(IFERROR(INDEX(ERP資料!$A:$A, (MATCH(908, 輔助計算!$F$2:$F$801, 0)+1)), "")&lt;&gt;"", IFERROR(INDEX(ERP資料!$A:$A, (MATCH(908, 輔助計算!$F$2:$F$801, 0)+1)), "")&lt;&gt;IFERROR(INDEX(ERP資料!$A:$A, MATCH(907, 輔助計算!$F$2:$F$801, 0)+1), "")), INDEX(ERP資料!$B:$B, (MATCH(908, 輔助計算!$F$2:$F$801, 0)+1)), ""), "")</f>
        <v/>
      </c>
      <c r="B909" s="10">
        <f>IFERROR(IF(AND(IFERROR(INDEX(ERP資料!$A:$A, (MATCH(908, 輔助計算!$F$2:$F$801, 0)+1)), "")&lt;&gt;"", IFERROR(INDEX(ERP資料!$A:$A, (MATCH(908, 輔助計算!$F$2:$F$801, 0)+1)), "")&lt;&gt;IFERROR(INDEX(ERP資料!$A:$A, MATCH(907, 輔助計算!$F$2:$F$801, 0)+1), "")), IFERROR(INDEX(ERP資料!$A:$A, (MATCH(908, 輔助計算!$F$2:$F$801, 0)+1)), ""), ""), "")</f>
        <v/>
      </c>
      <c r="C909" s="10">
        <f>IFERROR(IF(AND(IFERROR(INDEX(ERP資料!$A:$A, (MATCH(908, 輔助計算!$F$2:$F$801, 0)+1)), "")&lt;&gt;"", IFERROR(INDEX(ERP資料!$A:$A, (MATCH(908, 輔助計算!$F$2:$F$801, 0)+1)), "")&lt;&gt;IFERROR(INDEX(ERP資料!$A:$A, MATCH(907, 輔助計算!$F$2:$F$801, 0)+1), "")), INDEX(ERP資料!$S:$S, (MATCH(908, 輔助計算!$F$2:$F$801, 0)+1)), ""), "")</f>
        <v/>
      </c>
      <c r="D909" s="10">
        <f>IFERROR(IF(INDEX(ERP資料!$E:$E, (MATCH(908, 輔助計算!$F$2:$F$801, 0)+1))="","",TRIM(INDEX(ERP資料!$E:$E, (MATCH(908, 輔助計算!$F$2:$F$801, 0)+1)))), "")</f>
        <v/>
      </c>
      <c r="E909" s="10">
        <f>IFERROR(IF(INDEX(ERP資料!$F:$F, (MATCH(908, 輔助計算!$F$2:$F$801, 0)+1))="","",INDEX(ERP資料!$F:$F, (MATCH(908, 輔助計算!$F$2:$F$801, 0)+1))), "")</f>
        <v/>
      </c>
      <c r="F909" s="10">
        <f>IFERROR(IF(INDEX(ERP資料!$G:$G, (MATCH(908, 輔助計算!$F$2:$F$801, 0)+1))="","",INDEX(ERP資料!$G:$G, (MATCH(908, 輔助計算!$F$2:$F$801, 0)+1))), "")</f>
        <v/>
      </c>
      <c r="G909" s="10">
        <f>IFERROR(IF(INDEX(ERP資料!$H:$H, (MATCH(908, 輔助計算!$F$2:$F$801, 0)+1))="","",INDEX(ERP資料!$H:$H, (MATCH(908, 輔助計算!$F$2:$F$801, 0)+1))), "")</f>
        <v/>
      </c>
      <c r="H909" s="10">
        <f>IFERROR(IF(INDEX(ERP資料!$O:$O, (MATCH(908, 輔助計算!$F$2:$F$801, 0)+1))="","",INDEX(ERP資料!$O:$O, (MATCH(908, 輔助計算!$F$2:$F$801, 0)+1))), "")</f>
        <v/>
      </c>
      <c r="I909" s="15">
        <f>IFERROR(IF(INDEX(輔助計算!$D:$D,(MATCH(908, 輔助計算!$F$2:$F$801, 0)+1))="","",INDEX(輔助計算!$D:$D,(MATCH(908, 輔助計算!$F$2:$F$801, 0)+1))*INDEX(ERP資料!$O:$O,(MATCH(908, 輔助計算!$F$2:$F$801, 0)+1))), "")</f>
        <v/>
      </c>
      <c r="J909" s="16" t="n"/>
      <c r="K909" s="15">
        <f>IFERROR(INDEX(輔助計算!$D:$D, (MATCH(908, 輔助計算!$F$2:$F$801, 0)+1)), "")</f>
        <v/>
      </c>
      <c r="L909" s="16">
        <f>IFERROR(IF(AND(IFERROR(VLOOKUP(LEFT(INDEX(ERP資料!$S:$S, (MATCH(908, 輔助計算!$F$2:$F$801, 0)+1)), 4), 100張客戶!$A:$A, 1, FALSE), "")&lt;&gt;"", OR(INDEX(ERP資料!$F:$F, (MATCH(908, 輔助計算!$F$2:$F$801, 0)+1))=270, INDEX(ERP資料!$F:$F, (MATCH(908, 輔助計算!$F$2:$F$801, 0)+1))=300)), "100張", ""), "")</f>
        <v/>
      </c>
      <c r="M909" s="17" t="n"/>
      <c r="N909" s="17">
        <f>IF($F909="","",$F909)</f>
        <v/>
      </c>
      <c r="O909" s="17">
        <f>IF($G909="","",$G909)</f>
        <v/>
      </c>
      <c r="P909" s="17">
        <f>IF($K909="","",$K909)</f>
        <v/>
      </c>
      <c r="Q909" s="16" t="n"/>
      <c r="R909" s="18" t="n"/>
      <c r="S909" s="16" t="n"/>
    </row>
    <row r="910">
      <c r="A910" s="14">
        <f>IFERROR(IF(AND(IFERROR(INDEX(ERP資料!$A:$A, (MATCH(909, 輔助計算!$F$2:$F$801, 0)+1)), "")&lt;&gt;"", IFERROR(INDEX(ERP資料!$A:$A, (MATCH(909, 輔助計算!$F$2:$F$801, 0)+1)), "")&lt;&gt;IFERROR(INDEX(ERP資料!$A:$A, MATCH(908, 輔助計算!$F$2:$F$801, 0)+1), "")), INDEX(ERP資料!$B:$B, (MATCH(909, 輔助計算!$F$2:$F$801, 0)+1)), ""), "")</f>
        <v/>
      </c>
      <c r="B910" s="10">
        <f>IFERROR(IF(AND(IFERROR(INDEX(ERP資料!$A:$A, (MATCH(909, 輔助計算!$F$2:$F$801, 0)+1)), "")&lt;&gt;"", IFERROR(INDEX(ERP資料!$A:$A, (MATCH(909, 輔助計算!$F$2:$F$801, 0)+1)), "")&lt;&gt;IFERROR(INDEX(ERP資料!$A:$A, MATCH(908, 輔助計算!$F$2:$F$801, 0)+1), "")), IFERROR(INDEX(ERP資料!$A:$A, (MATCH(909, 輔助計算!$F$2:$F$801, 0)+1)), ""), ""), "")</f>
        <v/>
      </c>
      <c r="C910" s="10">
        <f>IFERROR(IF(AND(IFERROR(INDEX(ERP資料!$A:$A, (MATCH(909, 輔助計算!$F$2:$F$801, 0)+1)), "")&lt;&gt;"", IFERROR(INDEX(ERP資料!$A:$A, (MATCH(909, 輔助計算!$F$2:$F$801, 0)+1)), "")&lt;&gt;IFERROR(INDEX(ERP資料!$A:$A, MATCH(908, 輔助計算!$F$2:$F$801, 0)+1), "")), INDEX(ERP資料!$S:$S, (MATCH(909, 輔助計算!$F$2:$F$801, 0)+1)), ""), "")</f>
        <v/>
      </c>
      <c r="D910" s="10">
        <f>IFERROR(IF(INDEX(ERP資料!$E:$E, (MATCH(909, 輔助計算!$F$2:$F$801, 0)+1))="","",TRIM(INDEX(ERP資料!$E:$E, (MATCH(909, 輔助計算!$F$2:$F$801, 0)+1)))), "")</f>
        <v/>
      </c>
      <c r="E910" s="10">
        <f>IFERROR(IF(INDEX(ERP資料!$F:$F, (MATCH(909, 輔助計算!$F$2:$F$801, 0)+1))="","",INDEX(ERP資料!$F:$F, (MATCH(909, 輔助計算!$F$2:$F$801, 0)+1))), "")</f>
        <v/>
      </c>
      <c r="F910" s="10">
        <f>IFERROR(IF(INDEX(ERP資料!$G:$G, (MATCH(909, 輔助計算!$F$2:$F$801, 0)+1))="","",INDEX(ERP資料!$G:$G, (MATCH(909, 輔助計算!$F$2:$F$801, 0)+1))), "")</f>
        <v/>
      </c>
      <c r="G910" s="10">
        <f>IFERROR(IF(INDEX(ERP資料!$H:$H, (MATCH(909, 輔助計算!$F$2:$F$801, 0)+1))="","",INDEX(ERP資料!$H:$H, (MATCH(909, 輔助計算!$F$2:$F$801, 0)+1))), "")</f>
        <v/>
      </c>
      <c r="H910" s="10">
        <f>IFERROR(IF(INDEX(ERP資料!$O:$O, (MATCH(909, 輔助計算!$F$2:$F$801, 0)+1))="","",INDEX(ERP資料!$O:$O, (MATCH(909, 輔助計算!$F$2:$F$801, 0)+1))), "")</f>
        <v/>
      </c>
      <c r="I910" s="15">
        <f>IFERROR(IF(INDEX(輔助計算!$D:$D,(MATCH(909, 輔助計算!$F$2:$F$801, 0)+1))="","",INDEX(輔助計算!$D:$D,(MATCH(909, 輔助計算!$F$2:$F$801, 0)+1))*INDEX(ERP資料!$O:$O,(MATCH(909, 輔助計算!$F$2:$F$801, 0)+1))), "")</f>
        <v/>
      </c>
      <c r="J910" s="16" t="n"/>
      <c r="K910" s="15">
        <f>IFERROR(INDEX(輔助計算!$D:$D, (MATCH(909, 輔助計算!$F$2:$F$801, 0)+1)), "")</f>
        <v/>
      </c>
      <c r="L910" s="16">
        <f>IFERROR(IF(AND(IFERROR(VLOOKUP(LEFT(INDEX(ERP資料!$S:$S, (MATCH(909, 輔助計算!$F$2:$F$801, 0)+1)), 4), 100張客戶!$A:$A, 1, FALSE), "")&lt;&gt;"", OR(INDEX(ERP資料!$F:$F, (MATCH(909, 輔助計算!$F$2:$F$801, 0)+1))=270, INDEX(ERP資料!$F:$F, (MATCH(909, 輔助計算!$F$2:$F$801, 0)+1))=300)), "100張", ""), "")</f>
        <v/>
      </c>
      <c r="M910" s="17" t="n"/>
      <c r="N910" s="17">
        <f>IF($F910="","",$F910)</f>
        <v/>
      </c>
      <c r="O910" s="17">
        <f>IF($G910="","",$G910)</f>
        <v/>
      </c>
      <c r="P910" s="17">
        <f>IF($K910="","",$K910)</f>
        <v/>
      </c>
      <c r="Q910" s="16" t="n"/>
      <c r="R910" s="18" t="n"/>
      <c r="S910" s="16" t="n"/>
    </row>
    <row r="911">
      <c r="A911" s="14">
        <f>IFERROR(IF(AND(IFERROR(INDEX(ERP資料!$A:$A, (MATCH(910, 輔助計算!$F$2:$F$801, 0)+1)), "")&lt;&gt;"", IFERROR(INDEX(ERP資料!$A:$A, (MATCH(910, 輔助計算!$F$2:$F$801, 0)+1)), "")&lt;&gt;IFERROR(INDEX(ERP資料!$A:$A, MATCH(909, 輔助計算!$F$2:$F$801, 0)+1), "")), INDEX(ERP資料!$B:$B, (MATCH(910, 輔助計算!$F$2:$F$801, 0)+1)), ""), "")</f>
        <v/>
      </c>
      <c r="B911" s="10">
        <f>IFERROR(IF(AND(IFERROR(INDEX(ERP資料!$A:$A, (MATCH(910, 輔助計算!$F$2:$F$801, 0)+1)), "")&lt;&gt;"", IFERROR(INDEX(ERP資料!$A:$A, (MATCH(910, 輔助計算!$F$2:$F$801, 0)+1)), "")&lt;&gt;IFERROR(INDEX(ERP資料!$A:$A, MATCH(909, 輔助計算!$F$2:$F$801, 0)+1), "")), IFERROR(INDEX(ERP資料!$A:$A, (MATCH(910, 輔助計算!$F$2:$F$801, 0)+1)), ""), ""), "")</f>
        <v/>
      </c>
      <c r="C911" s="10">
        <f>IFERROR(IF(AND(IFERROR(INDEX(ERP資料!$A:$A, (MATCH(910, 輔助計算!$F$2:$F$801, 0)+1)), "")&lt;&gt;"", IFERROR(INDEX(ERP資料!$A:$A, (MATCH(910, 輔助計算!$F$2:$F$801, 0)+1)), "")&lt;&gt;IFERROR(INDEX(ERP資料!$A:$A, MATCH(909, 輔助計算!$F$2:$F$801, 0)+1), "")), INDEX(ERP資料!$S:$S, (MATCH(910, 輔助計算!$F$2:$F$801, 0)+1)), ""), "")</f>
        <v/>
      </c>
      <c r="D911" s="10">
        <f>IFERROR(IF(INDEX(ERP資料!$E:$E, (MATCH(910, 輔助計算!$F$2:$F$801, 0)+1))="","",TRIM(INDEX(ERP資料!$E:$E, (MATCH(910, 輔助計算!$F$2:$F$801, 0)+1)))), "")</f>
        <v/>
      </c>
      <c r="E911" s="10">
        <f>IFERROR(IF(INDEX(ERP資料!$F:$F, (MATCH(910, 輔助計算!$F$2:$F$801, 0)+1))="","",INDEX(ERP資料!$F:$F, (MATCH(910, 輔助計算!$F$2:$F$801, 0)+1))), "")</f>
        <v/>
      </c>
      <c r="F911" s="10">
        <f>IFERROR(IF(INDEX(ERP資料!$G:$G, (MATCH(910, 輔助計算!$F$2:$F$801, 0)+1))="","",INDEX(ERP資料!$G:$G, (MATCH(910, 輔助計算!$F$2:$F$801, 0)+1))), "")</f>
        <v/>
      </c>
      <c r="G911" s="10">
        <f>IFERROR(IF(INDEX(ERP資料!$H:$H, (MATCH(910, 輔助計算!$F$2:$F$801, 0)+1))="","",INDEX(ERP資料!$H:$H, (MATCH(910, 輔助計算!$F$2:$F$801, 0)+1))), "")</f>
        <v/>
      </c>
      <c r="H911" s="10">
        <f>IFERROR(IF(INDEX(ERP資料!$O:$O, (MATCH(910, 輔助計算!$F$2:$F$801, 0)+1))="","",INDEX(ERP資料!$O:$O, (MATCH(910, 輔助計算!$F$2:$F$801, 0)+1))), "")</f>
        <v/>
      </c>
      <c r="I911" s="15">
        <f>IFERROR(IF(INDEX(輔助計算!$D:$D,(MATCH(910, 輔助計算!$F$2:$F$801, 0)+1))="","",INDEX(輔助計算!$D:$D,(MATCH(910, 輔助計算!$F$2:$F$801, 0)+1))*INDEX(ERP資料!$O:$O,(MATCH(910, 輔助計算!$F$2:$F$801, 0)+1))), "")</f>
        <v/>
      </c>
      <c r="J911" s="16" t="n"/>
      <c r="K911" s="15">
        <f>IFERROR(INDEX(輔助計算!$D:$D, (MATCH(910, 輔助計算!$F$2:$F$801, 0)+1)), "")</f>
        <v/>
      </c>
      <c r="L911" s="16">
        <f>IFERROR(IF(AND(IFERROR(VLOOKUP(LEFT(INDEX(ERP資料!$S:$S, (MATCH(910, 輔助計算!$F$2:$F$801, 0)+1)), 4), 100張客戶!$A:$A, 1, FALSE), "")&lt;&gt;"", OR(INDEX(ERP資料!$F:$F, (MATCH(910, 輔助計算!$F$2:$F$801, 0)+1))=270, INDEX(ERP資料!$F:$F, (MATCH(910, 輔助計算!$F$2:$F$801, 0)+1))=300)), "100張", ""), "")</f>
        <v/>
      </c>
      <c r="M911" s="17" t="n"/>
      <c r="N911" s="17">
        <f>IF($F911="","",$F911)</f>
        <v/>
      </c>
      <c r="O911" s="17">
        <f>IF($G911="","",$G911)</f>
        <v/>
      </c>
      <c r="P911" s="17">
        <f>IF($K911="","",$K911)</f>
        <v/>
      </c>
      <c r="Q911" s="16" t="n"/>
      <c r="R911" s="18" t="n"/>
      <c r="S911" s="16" t="n"/>
    </row>
    <row r="912">
      <c r="A912" s="14">
        <f>IFERROR(IF(AND(IFERROR(INDEX(ERP資料!$A:$A, (MATCH(911, 輔助計算!$F$2:$F$801, 0)+1)), "")&lt;&gt;"", IFERROR(INDEX(ERP資料!$A:$A, (MATCH(911, 輔助計算!$F$2:$F$801, 0)+1)), "")&lt;&gt;IFERROR(INDEX(ERP資料!$A:$A, MATCH(910, 輔助計算!$F$2:$F$801, 0)+1), "")), INDEX(ERP資料!$B:$B, (MATCH(911, 輔助計算!$F$2:$F$801, 0)+1)), ""), "")</f>
        <v/>
      </c>
      <c r="B912" s="10">
        <f>IFERROR(IF(AND(IFERROR(INDEX(ERP資料!$A:$A, (MATCH(911, 輔助計算!$F$2:$F$801, 0)+1)), "")&lt;&gt;"", IFERROR(INDEX(ERP資料!$A:$A, (MATCH(911, 輔助計算!$F$2:$F$801, 0)+1)), "")&lt;&gt;IFERROR(INDEX(ERP資料!$A:$A, MATCH(910, 輔助計算!$F$2:$F$801, 0)+1), "")), IFERROR(INDEX(ERP資料!$A:$A, (MATCH(911, 輔助計算!$F$2:$F$801, 0)+1)), ""), ""), "")</f>
        <v/>
      </c>
      <c r="C912" s="10">
        <f>IFERROR(IF(AND(IFERROR(INDEX(ERP資料!$A:$A, (MATCH(911, 輔助計算!$F$2:$F$801, 0)+1)), "")&lt;&gt;"", IFERROR(INDEX(ERP資料!$A:$A, (MATCH(911, 輔助計算!$F$2:$F$801, 0)+1)), "")&lt;&gt;IFERROR(INDEX(ERP資料!$A:$A, MATCH(910, 輔助計算!$F$2:$F$801, 0)+1), "")), INDEX(ERP資料!$S:$S, (MATCH(911, 輔助計算!$F$2:$F$801, 0)+1)), ""), "")</f>
        <v/>
      </c>
      <c r="D912" s="10">
        <f>IFERROR(IF(INDEX(ERP資料!$E:$E, (MATCH(911, 輔助計算!$F$2:$F$801, 0)+1))="","",TRIM(INDEX(ERP資料!$E:$E, (MATCH(911, 輔助計算!$F$2:$F$801, 0)+1)))), "")</f>
        <v/>
      </c>
      <c r="E912" s="10">
        <f>IFERROR(IF(INDEX(ERP資料!$F:$F, (MATCH(911, 輔助計算!$F$2:$F$801, 0)+1))="","",INDEX(ERP資料!$F:$F, (MATCH(911, 輔助計算!$F$2:$F$801, 0)+1))), "")</f>
        <v/>
      </c>
      <c r="F912" s="10">
        <f>IFERROR(IF(INDEX(ERP資料!$G:$G, (MATCH(911, 輔助計算!$F$2:$F$801, 0)+1))="","",INDEX(ERP資料!$G:$G, (MATCH(911, 輔助計算!$F$2:$F$801, 0)+1))), "")</f>
        <v/>
      </c>
      <c r="G912" s="10">
        <f>IFERROR(IF(INDEX(ERP資料!$H:$H, (MATCH(911, 輔助計算!$F$2:$F$801, 0)+1))="","",INDEX(ERP資料!$H:$H, (MATCH(911, 輔助計算!$F$2:$F$801, 0)+1))), "")</f>
        <v/>
      </c>
      <c r="H912" s="10">
        <f>IFERROR(IF(INDEX(ERP資料!$O:$O, (MATCH(911, 輔助計算!$F$2:$F$801, 0)+1))="","",INDEX(ERP資料!$O:$O, (MATCH(911, 輔助計算!$F$2:$F$801, 0)+1))), "")</f>
        <v/>
      </c>
      <c r="I912" s="15">
        <f>IFERROR(IF(INDEX(輔助計算!$D:$D,(MATCH(911, 輔助計算!$F$2:$F$801, 0)+1))="","",INDEX(輔助計算!$D:$D,(MATCH(911, 輔助計算!$F$2:$F$801, 0)+1))*INDEX(ERP資料!$O:$O,(MATCH(911, 輔助計算!$F$2:$F$801, 0)+1))), "")</f>
        <v/>
      </c>
      <c r="J912" s="16" t="n"/>
      <c r="K912" s="15">
        <f>IFERROR(INDEX(輔助計算!$D:$D, (MATCH(911, 輔助計算!$F$2:$F$801, 0)+1)), "")</f>
        <v/>
      </c>
      <c r="L912" s="16">
        <f>IFERROR(IF(AND(IFERROR(VLOOKUP(LEFT(INDEX(ERP資料!$S:$S, (MATCH(911, 輔助計算!$F$2:$F$801, 0)+1)), 4), 100張客戶!$A:$A, 1, FALSE), "")&lt;&gt;"", OR(INDEX(ERP資料!$F:$F, (MATCH(911, 輔助計算!$F$2:$F$801, 0)+1))=270, INDEX(ERP資料!$F:$F, (MATCH(911, 輔助計算!$F$2:$F$801, 0)+1))=300)), "100張", ""), "")</f>
        <v/>
      </c>
      <c r="M912" s="17" t="n"/>
      <c r="N912" s="17">
        <f>IF($F912="","",$F912)</f>
        <v/>
      </c>
      <c r="O912" s="17">
        <f>IF($G912="","",$G912)</f>
        <v/>
      </c>
      <c r="P912" s="17">
        <f>IF($K912="","",$K912)</f>
        <v/>
      </c>
      <c r="Q912" s="16" t="n"/>
      <c r="R912" s="18" t="n"/>
      <c r="S912" s="16" t="n"/>
    </row>
    <row r="913">
      <c r="A913" s="14">
        <f>IFERROR(IF(AND(IFERROR(INDEX(ERP資料!$A:$A, (MATCH(912, 輔助計算!$F$2:$F$801, 0)+1)), "")&lt;&gt;"", IFERROR(INDEX(ERP資料!$A:$A, (MATCH(912, 輔助計算!$F$2:$F$801, 0)+1)), "")&lt;&gt;IFERROR(INDEX(ERP資料!$A:$A, MATCH(911, 輔助計算!$F$2:$F$801, 0)+1), "")), INDEX(ERP資料!$B:$B, (MATCH(912, 輔助計算!$F$2:$F$801, 0)+1)), ""), "")</f>
        <v/>
      </c>
      <c r="B913" s="10">
        <f>IFERROR(IF(AND(IFERROR(INDEX(ERP資料!$A:$A, (MATCH(912, 輔助計算!$F$2:$F$801, 0)+1)), "")&lt;&gt;"", IFERROR(INDEX(ERP資料!$A:$A, (MATCH(912, 輔助計算!$F$2:$F$801, 0)+1)), "")&lt;&gt;IFERROR(INDEX(ERP資料!$A:$A, MATCH(911, 輔助計算!$F$2:$F$801, 0)+1), "")), IFERROR(INDEX(ERP資料!$A:$A, (MATCH(912, 輔助計算!$F$2:$F$801, 0)+1)), ""), ""), "")</f>
        <v/>
      </c>
      <c r="C913" s="10">
        <f>IFERROR(IF(AND(IFERROR(INDEX(ERP資料!$A:$A, (MATCH(912, 輔助計算!$F$2:$F$801, 0)+1)), "")&lt;&gt;"", IFERROR(INDEX(ERP資料!$A:$A, (MATCH(912, 輔助計算!$F$2:$F$801, 0)+1)), "")&lt;&gt;IFERROR(INDEX(ERP資料!$A:$A, MATCH(911, 輔助計算!$F$2:$F$801, 0)+1), "")), INDEX(ERP資料!$S:$S, (MATCH(912, 輔助計算!$F$2:$F$801, 0)+1)), ""), "")</f>
        <v/>
      </c>
      <c r="D913" s="10">
        <f>IFERROR(IF(INDEX(ERP資料!$E:$E, (MATCH(912, 輔助計算!$F$2:$F$801, 0)+1))="","",TRIM(INDEX(ERP資料!$E:$E, (MATCH(912, 輔助計算!$F$2:$F$801, 0)+1)))), "")</f>
        <v/>
      </c>
      <c r="E913" s="10">
        <f>IFERROR(IF(INDEX(ERP資料!$F:$F, (MATCH(912, 輔助計算!$F$2:$F$801, 0)+1))="","",INDEX(ERP資料!$F:$F, (MATCH(912, 輔助計算!$F$2:$F$801, 0)+1))), "")</f>
        <v/>
      </c>
      <c r="F913" s="10">
        <f>IFERROR(IF(INDEX(ERP資料!$G:$G, (MATCH(912, 輔助計算!$F$2:$F$801, 0)+1))="","",INDEX(ERP資料!$G:$G, (MATCH(912, 輔助計算!$F$2:$F$801, 0)+1))), "")</f>
        <v/>
      </c>
      <c r="G913" s="10">
        <f>IFERROR(IF(INDEX(ERP資料!$H:$H, (MATCH(912, 輔助計算!$F$2:$F$801, 0)+1))="","",INDEX(ERP資料!$H:$H, (MATCH(912, 輔助計算!$F$2:$F$801, 0)+1))), "")</f>
        <v/>
      </c>
      <c r="H913" s="10">
        <f>IFERROR(IF(INDEX(ERP資料!$O:$O, (MATCH(912, 輔助計算!$F$2:$F$801, 0)+1))="","",INDEX(ERP資料!$O:$O, (MATCH(912, 輔助計算!$F$2:$F$801, 0)+1))), "")</f>
        <v/>
      </c>
      <c r="I913" s="15">
        <f>IFERROR(IF(INDEX(輔助計算!$D:$D,(MATCH(912, 輔助計算!$F$2:$F$801, 0)+1))="","",INDEX(輔助計算!$D:$D,(MATCH(912, 輔助計算!$F$2:$F$801, 0)+1))*INDEX(ERP資料!$O:$O,(MATCH(912, 輔助計算!$F$2:$F$801, 0)+1))), "")</f>
        <v/>
      </c>
      <c r="J913" s="16" t="n"/>
      <c r="K913" s="15">
        <f>IFERROR(INDEX(輔助計算!$D:$D, (MATCH(912, 輔助計算!$F$2:$F$801, 0)+1)), "")</f>
        <v/>
      </c>
      <c r="L913" s="16">
        <f>IFERROR(IF(AND(IFERROR(VLOOKUP(LEFT(INDEX(ERP資料!$S:$S, (MATCH(912, 輔助計算!$F$2:$F$801, 0)+1)), 4), 100張客戶!$A:$A, 1, FALSE), "")&lt;&gt;"", OR(INDEX(ERP資料!$F:$F, (MATCH(912, 輔助計算!$F$2:$F$801, 0)+1))=270, INDEX(ERP資料!$F:$F, (MATCH(912, 輔助計算!$F$2:$F$801, 0)+1))=300)), "100張", ""), "")</f>
        <v/>
      </c>
      <c r="M913" s="17" t="n"/>
      <c r="N913" s="17">
        <f>IF($F913="","",$F913)</f>
        <v/>
      </c>
      <c r="O913" s="17">
        <f>IF($G913="","",$G913)</f>
        <v/>
      </c>
      <c r="P913" s="17">
        <f>IF($K913="","",$K913)</f>
        <v/>
      </c>
      <c r="Q913" s="16" t="n"/>
      <c r="R913" s="18" t="n"/>
      <c r="S913" s="16" t="n"/>
    </row>
    <row r="914">
      <c r="A914" s="14">
        <f>IFERROR(IF(AND(IFERROR(INDEX(ERP資料!$A:$A, (MATCH(913, 輔助計算!$F$2:$F$801, 0)+1)), "")&lt;&gt;"", IFERROR(INDEX(ERP資料!$A:$A, (MATCH(913, 輔助計算!$F$2:$F$801, 0)+1)), "")&lt;&gt;IFERROR(INDEX(ERP資料!$A:$A, MATCH(912, 輔助計算!$F$2:$F$801, 0)+1), "")), INDEX(ERP資料!$B:$B, (MATCH(913, 輔助計算!$F$2:$F$801, 0)+1)), ""), "")</f>
        <v/>
      </c>
      <c r="B914" s="10">
        <f>IFERROR(IF(AND(IFERROR(INDEX(ERP資料!$A:$A, (MATCH(913, 輔助計算!$F$2:$F$801, 0)+1)), "")&lt;&gt;"", IFERROR(INDEX(ERP資料!$A:$A, (MATCH(913, 輔助計算!$F$2:$F$801, 0)+1)), "")&lt;&gt;IFERROR(INDEX(ERP資料!$A:$A, MATCH(912, 輔助計算!$F$2:$F$801, 0)+1), "")), IFERROR(INDEX(ERP資料!$A:$A, (MATCH(913, 輔助計算!$F$2:$F$801, 0)+1)), ""), ""), "")</f>
        <v/>
      </c>
      <c r="C914" s="10">
        <f>IFERROR(IF(AND(IFERROR(INDEX(ERP資料!$A:$A, (MATCH(913, 輔助計算!$F$2:$F$801, 0)+1)), "")&lt;&gt;"", IFERROR(INDEX(ERP資料!$A:$A, (MATCH(913, 輔助計算!$F$2:$F$801, 0)+1)), "")&lt;&gt;IFERROR(INDEX(ERP資料!$A:$A, MATCH(912, 輔助計算!$F$2:$F$801, 0)+1), "")), INDEX(ERP資料!$S:$S, (MATCH(913, 輔助計算!$F$2:$F$801, 0)+1)), ""), "")</f>
        <v/>
      </c>
      <c r="D914" s="10">
        <f>IFERROR(IF(INDEX(ERP資料!$E:$E, (MATCH(913, 輔助計算!$F$2:$F$801, 0)+1))="","",TRIM(INDEX(ERP資料!$E:$E, (MATCH(913, 輔助計算!$F$2:$F$801, 0)+1)))), "")</f>
        <v/>
      </c>
      <c r="E914" s="10">
        <f>IFERROR(IF(INDEX(ERP資料!$F:$F, (MATCH(913, 輔助計算!$F$2:$F$801, 0)+1))="","",INDEX(ERP資料!$F:$F, (MATCH(913, 輔助計算!$F$2:$F$801, 0)+1))), "")</f>
        <v/>
      </c>
      <c r="F914" s="10">
        <f>IFERROR(IF(INDEX(ERP資料!$G:$G, (MATCH(913, 輔助計算!$F$2:$F$801, 0)+1))="","",INDEX(ERP資料!$G:$G, (MATCH(913, 輔助計算!$F$2:$F$801, 0)+1))), "")</f>
        <v/>
      </c>
      <c r="G914" s="10">
        <f>IFERROR(IF(INDEX(ERP資料!$H:$H, (MATCH(913, 輔助計算!$F$2:$F$801, 0)+1))="","",INDEX(ERP資料!$H:$H, (MATCH(913, 輔助計算!$F$2:$F$801, 0)+1))), "")</f>
        <v/>
      </c>
      <c r="H914" s="10">
        <f>IFERROR(IF(INDEX(ERP資料!$O:$O, (MATCH(913, 輔助計算!$F$2:$F$801, 0)+1))="","",INDEX(ERP資料!$O:$O, (MATCH(913, 輔助計算!$F$2:$F$801, 0)+1))), "")</f>
        <v/>
      </c>
      <c r="I914" s="15">
        <f>IFERROR(IF(INDEX(輔助計算!$D:$D,(MATCH(913, 輔助計算!$F$2:$F$801, 0)+1))="","",INDEX(輔助計算!$D:$D,(MATCH(913, 輔助計算!$F$2:$F$801, 0)+1))*INDEX(ERP資料!$O:$O,(MATCH(913, 輔助計算!$F$2:$F$801, 0)+1))), "")</f>
        <v/>
      </c>
      <c r="J914" s="16" t="n"/>
      <c r="K914" s="15">
        <f>IFERROR(INDEX(輔助計算!$D:$D, (MATCH(913, 輔助計算!$F$2:$F$801, 0)+1)), "")</f>
        <v/>
      </c>
      <c r="L914" s="16">
        <f>IFERROR(IF(AND(IFERROR(VLOOKUP(LEFT(INDEX(ERP資料!$S:$S, (MATCH(913, 輔助計算!$F$2:$F$801, 0)+1)), 4), 100張客戶!$A:$A, 1, FALSE), "")&lt;&gt;"", OR(INDEX(ERP資料!$F:$F, (MATCH(913, 輔助計算!$F$2:$F$801, 0)+1))=270, INDEX(ERP資料!$F:$F, (MATCH(913, 輔助計算!$F$2:$F$801, 0)+1))=300)), "100張", ""), "")</f>
        <v/>
      </c>
      <c r="M914" s="17" t="n"/>
      <c r="N914" s="17">
        <f>IF($F914="","",$F914)</f>
        <v/>
      </c>
      <c r="O914" s="17">
        <f>IF($G914="","",$G914)</f>
        <v/>
      </c>
      <c r="P914" s="17">
        <f>IF($K914="","",$K914)</f>
        <v/>
      </c>
      <c r="Q914" s="16" t="n"/>
      <c r="R914" s="18" t="n"/>
      <c r="S914" s="16" t="n"/>
    </row>
    <row r="915">
      <c r="A915" s="14">
        <f>IFERROR(IF(AND(IFERROR(INDEX(ERP資料!$A:$A, (MATCH(914, 輔助計算!$F$2:$F$801, 0)+1)), "")&lt;&gt;"", IFERROR(INDEX(ERP資料!$A:$A, (MATCH(914, 輔助計算!$F$2:$F$801, 0)+1)), "")&lt;&gt;IFERROR(INDEX(ERP資料!$A:$A, MATCH(913, 輔助計算!$F$2:$F$801, 0)+1), "")), INDEX(ERP資料!$B:$B, (MATCH(914, 輔助計算!$F$2:$F$801, 0)+1)), ""), "")</f>
        <v/>
      </c>
      <c r="B915" s="10">
        <f>IFERROR(IF(AND(IFERROR(INDEX(ERP資料!$A:$A, (MATCH(914, 輔助計算!$F$2:$F$801, 0)+1)), "")&lt;&gt;"", IFERROR(INDEX(ERP資料!$A:$A, (MATCH(914, 輔助計算!$F$2:$F$801, 0)+1)), "")&lt;&gt;IFERROR(INDEX(ERP資料!$A:$A, MATCH(913, 輔助計算!$F$2:$F$801, 0)+1), "")), IFERROR(INDEX(ERP資料!$A:$A, (MATCH(914, 輔助計算!$F$2:$F$801, 0)+1)), ""), ""), "")</f>
        <v/>
      </c>
      <c r="C915" s="10">
        <f>IFERROR(IF(AND(IFERROR(INDEX(ERP資料!$A:$A, (MATCH(914, 輔助計算!$F$2:$F$801, 0)+1)), "")&lt;&gt;"", IFERROR(INDEX(ERP資料!$A:$A, (MATCH(914, 輔助計算!$F$2:$F$801, 0)+1)), "")&lt;&gt;IFERROR(INDEX(ERP資料!$A:$A, MATCH(913, 輔助計算!$F$2:$F$801, 0)+1), "")), INDEX(ERP資料!$S:$S, (MATCH(914, 輔助計算!$F$2:$F$801, 0)+1)), ""), "")</f>
        <v/>
      </c>
      <c r="D915" s="10">
        <f>IFERROR(IF(INDEX(ERP資料!$E:$E, (MATCH(914, 輔助計算!$F$2:$F$801, 0)+1))="","",TRIM(INDEX(ERP資料!$E:$E, (MATCH(914, 輔助計算!$F$2:$F$801, 0)+1)))), "")</f>
        <v/>
      </c>
      <c r="E915" s="10">
        <f>IFERROR(IF(INDEX(ERP資料!$F:$F, (MATCH(914, 輔助計算!$F$2:$F$801, 0)+1))="","",INDEX(ERP資料!$F:$F, (MATCH(914, 輔助計算!$F$2:$F$801, 0)+1))), "")</f>
        <v/>
      </c>
      <c r="F915" s="10">
        <f>IFERROR(IF(INDEX(ERP資料!$G:$G, (MATCH(914, 輔助計算!$F$2:$F$801, 0)+1))="","",INDEX(ERP資料!$G:$G, (MATCH(914, 輔助計算!$F$2:$F$801, 0)+1))), "")</f>
        <v/>
      </c>
      <c r="G915" s="10">
        <f>IFERROR(IF(INDEX(ERP資料!$H:$H, (MATCH(914, 輔助計算!$F$2:$F$801, 0)+1))="","",INDEX(ERP資料!$H:$H, (MATCH(914, 輔助計算!$F$2:$F$801, 0)+1))), "")</f>
        <v/>
      </c>
      <c r="H915" s="10">
        <f>IFERROR(IF(INDEX(ERP資料!$O:$O, (MATCH(914, 輔助計算!$F$2:$F$801, 0)+1))="","",INDEX(ERP資料!$O:$O, (MATCH(914, 輔助計算!$F$2:$F$801, 0)+1))), "")</f>
        <v/>
      </c>
      <c r="I915" s="15">
        <f>IFERROR(IF(INDEX(輔助計算!$D:$D,(MATCH(914, 輔助計算!$F$2:$F$801, 0)+1))="","",INDEX(輔助計算!$D:$D,(MATCH(914, 輔助計算!$F$2:$F$801, 0)+1))*INDEX(ERP資料!$O:$O,(MATCH(914, 輔助計算!$F$2:$F$801, 0)+1))), "")</f>
        <v/>
      </c>
      <c r="J915" s="16" t="n"/>
      <c r="K915" s="15">
        <f>IFERROR(INDEX(輔助計算!$D:$D, (MATCH(914, 輔助計算!$F$2:$F$801, 0)+1)), "")</f>
        <v/>
      </c>
      <c r="L915" s="16">
        <f>IFERROR(IF(AND(IFERROR(VLOOKUP(LEFT(INDEX(ERP資料!$S:$S, (MATCH(914, 輔助計算!$F$2:$F$801, 0)+1)), 4), 100張客戶!$A:$A, 1, FALSE), "")&lt;&gt;"", OR(INDEX(ERP資料!$F:$F, (MATCH(914, 輔助計算!$F$2:$F$801, 0)+1))=270, INDEX(ERP資料!$F:$F, (MATCH(914, 輔助計算!$F$2:$F$801, 0)+1))=300)), "100張", ""), "")</f>
        <v/>
      </c>
      <c r="M915" s="17" t="n"/>
      <c r="N915" s="17">
        <f>IF($F915="","",$F915)</f>
        <v/>
      </c>
      <c r="O915" s="17">
        <f>IF($G915="","",$G915)</f>
        <v/>
      </c>
      <c r="P915" s="17">
        <f>IF($K915="","",$K915)</f>
        <v/>
      </c>
      <c r="Q915" s="16" t="n"/>
      <c r="R915" s="18" t="n"/>
      <c r="S915" s="16" t="n"/>
    </row>
    <row r="916">
      <c r="A916" s="14">
        <f>IFERROR(IF(AND(IFERROR(INDEX(ERP資料!$A:$A, (MATCH(915, 輔助計算!$F$2:$F$801, 0)+1)), "")&lt;&gt;"", IFERROR(INDEX(ERP資料!$A:$A, (MATCH(915, 輔助計算!$F$2:$F$801, 0)+1)), "")&lt;&gt;IFERROR(INDEX(ERP資料!$A:$A, MATCH(914, 輔助計算!$F$2:$F$801, 0)+1), "")), INDEX(ERP資料!$B:$B, (MATCH(915, 輔助計算!$F$2:$F$801, 0)+1)), ""), "")</f>
        <v/>
      </c>
      <c r="B916" s="10">
        <f>IFERROR(IF(AND(IFERROR(INDEX(ERP資料!$A:$A, (MATCH(915, 輔助計算!$F$2:$F$801, 0)+1)), "")&lt;&gt;"", IFERROR(INDEX(ERP資料!$A:$A, (MATCH(915, 輔助計算!$F$2:$F$801, 0)+1)), "")&lt;&gt;IFERROR(INDEX(ERP資料!$A:$A, MATCH(914, 輔助計算!$F$2:$F$801, 0)+1), "")), IFERROR(INDEX(ERP資料!$A:$A, (MATCH(915, 輔助計算!$F$2:$F$801, 0)+1)), ""), ""), "")</f>
        <v/>
      </c>
      <c r="C916" s="10">
        <f>IFERROR(IF(AND(IFERROR(INDEX(ERP資料!$A:$A, (MATCH(915, 輔助計算!$F$2:$F$801, 0)+1)), "")&lt;&gt;"", IFERROR(INDEX(ERP資料!$A:$A, (MATCH(915, 輔助計算!$F$2:$F$801, 0)+1)), "")&lt;&gt;IFERROR(INDEX(ERP資料!$A:$A, MATCH(914, 輔助計算!$F$2:$F$801, 0)+1), "")), INDEX(ERP資料!$S:$S, (MATCH(915, 輔助計算!$F$2:$F$801, 0)+1)), ""), "")</f>
        <v/>
      </c>
      <c r="D916" s="10">
        <f>IFERROR(IF(INDEX(ERP資料!$E:$E, (MATCH(915, 輔助計算!$F$2:$F$801, 0)+1))="","",TRIM(INDEX(ERP資料!$E:$E, (MATCH(915, 輔助計算!$F$2:$F$801, 0)+1)))), "")</f>
        <v/>
      </c>
      <c r="E916" s="10">
        <f>IFERROR(IF(INDEX(ERP資料!$F:$F, (MATCH(915, 輔助計算!$F$2:$F$801, 0)+1))="","",INDEX(ERP資料!$F:$F, (MATCH(915, 輔助計算!$F$2:$F$801, 0)+1))), "")</f>
        <v/>
      </c>
      <c r="F916" s="10">
        <f>IFERROR(IF(INDEX(ERP資料!$G:$G, (MATCH(915, 輔助計算!$F$2:$F$801, 0)+1))="","",INDEX(ERP資料!$G:$G, (MATCH(915, 輔助計算!$F$2:$F$801, 0)+1))), "")</f>
        <v/>
      </c>
      <c r="G916" s="10">
        <f>IFERROR(IF(INDEX(ERP資料!$H:$H, (MATCH(915, 輔助計算!$F$2:$F$801, 0)+1))="","",INDEX(ERP資料!$H:$H, (MATCH(915, 輔助計算!$F$2:$F$801, 0)+1))), "")</f>
        <v/>
      </c>
      <c r="H916" s="10">
        <f>IFERROR(IF(INDEX(ERP資料!$O:$O, (MATCH(915, 輔助計算!$F$2:$F$801, 0)+1))="","",INDEX(ERP資料!$O:$O, (MATCH(915, 輔助計算!$F$2:$F$801, 0)+1))), "")</f>
        <v/>
      </c>
      <c r="I916" s="15">
        <f>IFERROR(IF(INDEX(輔助計算!$D:$D,(MATCH(915, 輔助計算!$F$2:$F$801, 0)+1))="","",INDEX(輔助計算!$D:$D,(MATCH(915, 輔助計算!$F$2:$F$801, 0)+1))*INDEX(ERP資料!$O:$O,(MATCH(915, 輔助計算!$F$2:$F$801, 0)+1))), "")</f>
        <v/>
      </c>
      <c r="J916" s="16" t="n"/>
      <c r="K916" s="15">
        <f>IFERROR(INDEX(輔助計算!$D:$D, (MATCH(915, 輔助計算!$F$2:$F$801, 0)+1)), "")</f>
        <v/>
      </c>
      <c r="L916" s="16">
        <f>IFERROR(IF(AND(IFERROR(VLOOKUP(LEFT(INDEX(ERP資料!$S:$S, (MATCH(915, 輔助計算!$F$2:$F$801, 0)+1)), 4), 100張客戶!$A:$A, 1, FALSE), "")&lt;&gt;"", OR(INDEX(ERP資料!$F:$F, (MATCH(915, 輔助計算!$F$2:$F$801, 0)+1))=270, INDEX(ERP資料!$F:$F, (MATCH(915, 輔助計算!$F$2:$F$801, 0)+1))=300)), "100張", ""), "")</f>
        <v/>
      </c>
      <c r="M916" s="17" t="n"/>
      <c r="N916" s="17">
        <f>IF($F916="","",$F916)</f>
        <v/>
      </c>
      <c r="O916" s="17">
        <f>IF($G916="","",$G916)</f>
        <v/>
      </c>
      <c r="P916" s="17">
        <f>IF($K916="","",$K916)</f>
        <v/>
      </c>
      <c r="Q916" s="16" t="n"/>
      <c r="R916" s="18" t="n"/>
      <c r="S916" s="16" t="n"/>
    </row>
    <row r="917">
      <c r="A917" s="14">
        <f>IFERROR(IF(AND(IFERROR(INDEX(ERP資料!$A:$A, (MATCH(916, 輔助計算!$F$2:$F$801, 0)+1)), "")&lt;&gt;"", IFERROR(INDEX(ERP資料!$A:$A, (MATCH(916, 輔助計算!$F$2:$F$801, 0)+1)), "")&lt;&gt;IFERROR(INDEX(ERP資料!$A:$A, MATCH(915, 輔助計算!$F$2:$F$801, 0)+1), "")), INDEX(ERP資料!$B:$B, (MATCH(916, 輔助計算!$F$2:$F$801, 0)+1)), ""), "")</f>
        <v/>
      </c>
      <c r="B917" s="10">
        <f>IFERROR(IF(AND(IFERROR(INDEX(ERP資料!$A:$A, (MATCH(916, 輔助計算!$F$2:$F$801, 0)+1)), "")&lt;&gt;"", IFERROR(INDEX(ERP資料!$A:$A, (MATCH(916, 輔助計算!$F$2:$F$801, 0)+1)), "")&lt;&gt;IFERROR(INDEX(ERP資料!$A:$A, MATCH(915, 輔助計算!$F$2:$F$801, 0)+1), "")), IFERROR(INDEX(ERP資料!$A:$A, (MATCH(916, 輔助計算!$F$2:$F$801, 0)+1)), ""), ""), "")</f>
        <v/>
      </c>
      <c r="C917" s="10">
        <f>IFERROR(IF(AND(IFERROR(INDEX(ERP資料!$A:$A, (MATCH(916, 輔助計算!$F$2:$F$801, 0)+1)), "")&lt;&gt;"", IFERROR(INDEX(ERP資料!$A:$A, (MATCH(916, 輔助計算!$F$2:$F$801, 0)+1)), "")&lt;&gt;IFERROR(INDEX(ERP資料!$A:$A, MATCH(915, 輔助計算!$F$2:$F$801, 0)+1), "")), INDEX(ERP資料!$S:$S, (MATCH(916, 輔助計算!$F$2:$F$801, 0)+1)), ""), "")</f>
        <v/>
      </c>
      <c r="D917" s="10">
        <f>IFERROR(IF(INDEX(ERP資料!$E:$E, (MATCH(916, 輔助計算!$F$2:$F$801, 0)+1))="","",TRIM(INDEX(ERP資料!$E:$E, (MATCH(916, 輔助計算!$F$2:$F$801, 0)+1)))), "")</f>
        <v/>
      </c>
      <c r="E917" s="10">
        <f>IFERROR(IF(INDEX(ERP資料!$F:$F, (MATCH(916, 輔助計算!$F$2:$F$801, 0)+1))="","",INDEX(ERP資料!$F:$F, (MATCH(916, 輔助計算!$F$2:$F$801, 0)+1))), "")</f>
        <v/>
      </c>
      <c r="F917" s="10">
        <f>IFERROR(IF(INDEX(ERP資料!$G:$G, (MATCH(916, 輔助計算!$F$2:$F$801, 0)+1))="","",INDEX(ERP資料!$G:$G, (MATCH(916, 輔助計算!$F$2:$F$801, 0)+1))), "")</f>
        <v/>
      </c>
      <c r="G917" s="10">
        <f>IFERROR(IF(INDEX(ERP資料!$H:$H, (MATCH(916, 輔助計算!$F$2:$F$801, 0)+1))="","",INDEX(ERP資料!$H:$H, (MATCH(916, 輔助計算!$F$2:$F$801, 0)+1))), "")</f>
        <v/>
      </c>
      <c r="H917" s="10">
        <f>IFERROR(IF(INDEX(ERP資料!$O:$O, (MATCH(916, 輔助計算!$F$2:$F$801, 0)+1))="","",INDEX(ERP資料!$O:$O, (MATCH(916, 輔助計算!$F$2:$F$801, 0)+1))), "")</f>
        <v/>
      </c>
      <c r="I917" s="15">
        <f>IFERROR(IF(INDEX(輔助計算!$D:$D,(MATCH(916, 輔助計算!$F$2:$F$801, 0)+1))="","",INDEX(輔助計算!$D:$D,(MATCH(916, 輔助計算!$F$2:$F$801, 0)+1))*INDEX(ERP資料!$O:$O,(MATCH(916, 輔助計算!$F$2:$F$801, 0)+1))), "")</f>
        <v/>
      </c>
      <c r="J917" s="16" t="n"/>
      <c r="K917" s="15">
        <f>IFERROR(INDEX(輔助計算!$D:$D, (MATCH(916, 輔助計算!$F$2:$F$801, 0)+1)), "")</f>
        <v/>
      </c>
      <c r="L917" s="16">
        <f>IFERROR(IF(AND(IFERROR(VLOOKUP(LEFT(INDEX(ERP資料!$S:$S, (MATCH(916, 輔助計算!$F$2:$F$801, 0)+1)), 4), 100張客戶!$A:$A, 1, FALSE), "")&lt;&gt;"", OR(INDEX(ERP資料!$F:$F, (MATCH(916, 輔助計算!$F$2:$F$801, 0)+1))=270, INDEX(ERP資料!$F:$F, (MATCH(916, 輔助計算!$F$2:$F$801, 0)+1))=300)), "100張", ""), "")</f>
        <v/>
      </c>
      <c r="M917" s="17" t="n"/>
      <c r="N917" s="17">
        <f>IF($F917="","",$F917)</f>
        <v/>
      </c>
      <c r="O917" s="17">
        <f>IF($G917="","",$G917)</f>
        <v/>
      </c>
      <c r="P917" s="17">
        <f>IF($K917="","",$K917)</f>
        <v/>
      </c>
      <c r="Q917" s="16" t="n"/>
      <c r="R917" s="18" t="n"/>
      <c r="S917" s="16" t="n"/>
    </row>
    <row r="918">
      <c r="A918" s="14">
        <f>IFERROR(IF(AND(IFERROR(INDEX(ERP資料!$A:$A, (MATCH(917, 輔助計算!$F$2:$F$801, 0)+1)), "")&lt;&gt;"", IFERROR(INDEX(ERP資料!$A:$A, (MATCH(917, 輔助計算!$F$2:$F$801, 0)+1)), "")&lt;&gt;IFERROR(INDEX(ERP資料!$A:$A, MATCH(916, 輔助計算!$F$2:$F$801, 0)+1), "")), INDEX(ERP資料!$B:$B, (MATCH(917, 輔助計算!$F$2:$F$801, 0)+1)), ""), "")</f>
        <v/>
      </c>
      <c r="B918" s="10">
        <f>IFERROR(IF(AND(IFERROR(INDEX(ERP資料!$A:$A, (MATCH(917, 輔助計算!$F$2:$F$801, 0)+1)), "")&lt;&gt;"", IFERROR(INDEX(ERP資料!$A:$A, (MATCH(917, 輔助計算!$F$2:$F$801, 0)+1)), "")&lt;&gt;IFERROR(INDEX(ERP資料!$A:$A, MATCH(916, 輔助計算!$F$2:$F$801, 0)+1), "")), IFERROR(INDEX(ERP資料!$A:$A, (MATCH(917, 輔助計算!$F$2:$F$801, 0)+1)), ""), ""), "")</f>
        <v/>
      </c>
      <c r="C918" s="10">
        <f>IFERROR(IF(AND(IFERROR(INDEX(ERP資料!$A:$A, (MATCH(917, 輔助計算!$F$2:$F$801, 0)+1)), "")&lt;&gt;"", IFERROR(INDEX(ERP資料!$A:$A, (MATCH(917, 輔助計算!$F$2:$F$801, 0)+1)), "")&lt;&gt;IFERROR(INDEX(ERP資料!$A:$A, MATCH(916, 輔助計算!$F$2:$F$801, 0)+1), "")), INDEX(ERP資料!$S:$S, (MATCH(917, 輔助計算!$F$2:$F$801, 0)+1)), ""), "")</f>
        <v/>
      </c>
      <c r="D918" s="10">
        <f>IFERROR(IF(INDEX(ERP資料!$E:$E, (MATCH(917, 輔助計算!$F$2:$F$801, 0)+1))="","",TRIM(INDEX(ERP資料!$E:$E, (MATCH(917, 輔助計算!$F$2:$F$801, 0)+1)))), "")</f>
        <v/>
      </c>
      <c r="E918" s="10">
        <f>IFERROR(IF(INDEX(ERP資料!$F:$F, (MATCH(917, 輔助計算!$F$2:$F$801, 0)+1))="","",INDEX(ERP資料!$F:$F, (MATCH(917, 輔助計算!$F$2:$F$801, 0)+1))), "")</f>
        <v/>
      </c>
      <c r="F918" s="10">
        <f>IFERROR(IF(INDEX(ERP資料!$G:$G, (MATCH(917, 輔助計算!$F$2:$F$801, 0)+1))="","",INDEX(ERP資料!$G:$G, (MATCH(917, 輔助計算!$F$2:$F$801, 0)+1))), "")</f>
        <v/>
      </c>
      <c r="G918" s="10">
        <f>IFERROR(IF(INDEX(ERP資料!$H:$H, (MATCH(917, 輔助計算!$F$2:$F$801, 0)+1))="","",INDEX(ERP資料!$H:$H, (MATCH(917, 輔助計算!$F$2:$F$801, 0)+1))), "")</f>
        <v/>
      </c>
      <c r="H918" s="10">
        <f>IFERROR(IF(INDEX(ERP資料!$O:$O, (MATCH(917, 輔助計算!$F$2:$F$801, 0)+1))="","",INDEX(ERP資料!$O:$O, (MATCH(917, 輔助計算!$F$2:$F$801, 0)+1))), "")</f>
        <v/>
      </c>
      <c r="I918" s="15">
        <f>IFERROR(IF(INDEX(輔助計算!$D:$D,(MATCH(917, 輔助計算!$F$2:$F$801, 0)+1))="","",INDEX(輔助計算!$D:$D,(MATCH(917, 輔助計算!$F$2:$F$801, 0)+1))*INDEX(ERP資料!$O:$O,(MATCH(917, 輔助計算!$F$2:$F$801, 0)+1))), "")</f>
        <v/>
      </c>
      <c r="J918" s="16" t="n"/>
      <c r="K918" s="15">
        <f>IFERROR(INDEX(輔助計算!$D:$D, (MATCH(917, 輔助計算!$F$2:$F$801, 0)+1)), "")</f>
        <v/>
      </c>
      <c r="L918" s="16">
        <f>IFERROR(IF(AND(IFERROR(VLOOKUP(LEFT(INDEX(ERP資料!$S:$S, (MATCH(917, 輔助計算!$F$2:$F$801, 0)+1)), 4), 100張客戶!$A:$A, 1, FALSE), "")&lt;&gt;"", OR(INDEX(ERP資料!$F:$F, (MATCH(917, 輔助計算!$F$2:$F$801, 0)+1))=270, INDEX(ERP資料!$F:$F, (MATCH(917, 輔助計算!$F$2:$F$801, 0)+1))=300)), "100張", ""), "")</f>
        <v/>
      </c>
      <c r="M918" s="17" t="n"/>
      <c r="N918" s="17">
        <f>IF($F918="","",$F918)</f>
        <v/>
      </c>
      <c r="O918" s="17">
        <f>IF($G918="","",$G918)</f>
        <v/>
      </c>
      <c r="P918" s="17">
        <f>IF($K918="","",$K918)</f>
        <v/>
      </c>
      <c r="Q918" s="16" t="n"/>
      <c r="R918" s="18" t="n"/>
      <c r="S918" s="16" t="n"/>
    </row>
    <row r="919">
      <c r="A919" s="14">
        <f>IFERROR(IF(AND(IFERROR(INDEX(ERP資料!$A:$A, (MATCH(918, 輔助計算!$F$2:$F$801, 0)+1)), "")&lt;&gt;"", IFERROR(INDEX(ERP資料!$A:$A, (MATCH(918, 輔助計算!$F$2:$F$801, 0)+1)), "")&lt;&gt;IFERROR(INDEX(ERP資料!$A:$A, MATCH(917, 輔助計算!$F$2:$F$801, 0)+1), "")), INDEX(ERP資料!$B:$B, (MATCH(918, 輔助計算!$F$2:$F$801, 0)+1)), ""), "")</f>
        <v/>
      </c>
      <c r="B919" s="10">
        <f>IFERROR(IF(AND(IFERROR(INDEX(ERP資料!$A:$A, (MATCH(918, 輔助計算!$F$2:$F$801, 0)+1)), "")&lt;&gt;"", IFERROR(INDEX(ERP資料!$A:$A, (MATCH(918, 輔助計算!$F$2:$F$801, 0)+1)), "")&lt;&gt;IFERROR(INDEX(ERP資料!$A:$A, MATCH(917, 輔助計算!$F$2:$F$801, 0)+1), "")), IFERROR(INDEX(ERP資料!$A:$A, (MATCH(918, 輔助計算!$F$2:$F$801, 0)+1)), ""), ""), "")</f>
        <v/>
      </c>
      <c r="C919" s="10">
        <f>IFERROR(IF(AND(IFERROR(INDEX(ERP資料!$A:$A, (MATCH(918, 輔助計算!$F$2:$F$801, 0)+1)), "")&lt;&gt;"", IFERROR(INDEX(ERP資料!$A:$A, (MATCH(918, 輔助計算!$F$2:$F$801, 0)+1)), "")&lt;&gt;IFERROR(INDEX(ERP資料!$A:$A, MATCH(917, 輔助計算!$F$2:$F$801, 0)+1), "")), INDEX(ERP資料!$S:$S, (MATCH(918, 輔助計算!$F$2:$F$801, 0)+1)), ""), "")</f>
        <v/>
      </c>
      <c r="D919" s="10">
        <f>IFERROR(IF(INDEX(ERP資料!$E:$E, (MATCH(918, 輔助計算!$F$2:$F$801, 0)+1))="","",TRIM(INDEX(ERP資料!$E:$E, (MATCH(918, 輔助計算!$F$2:$F$801, 0)+1)))), "")</f>
        <v/>
      </c>
      <c r="E919" s="10">
        <f>IFERROR(IF(INDEX(ERP資料!$F:$F, (MATCH(918, 輔助計算!$F$2:$F$801, 0)+1))="","",INDEX(ERP資料!$F:$F, (MATCH(918, 輔助計算!$F$2:$F$801, 0)+1))), "")</f>
        <v/>
      </c>
      <c r="F919" s="10">
        <f>IFERROR(IF(INDEX(ERP資料!$G:$G, (MATCH(918, 輔助計算!$F$2:$F$801, 0)+1))="","",INDEX(ERP資料!$G:$G, (MATCH(918, 輔助計算!$F$2:$F$801, 0)+1))), "")</f>
        <v/>
      </c>
      <c r="G919" s="10">
        <f>IFERROR(IF(INDEX(ERP資料!$H:$H, (MATCH(918, 輔助計算!$F$2:$F$801, 0)+1))="","",INDEX(ERP資料!$H:$H, (MATCH(918, 輔助計算!$F$2:$F$801, 0)+1))), "")</f>
        <v/>
      </c>
      <c r="H919" s="10">
        <f>IFERROR(IF(INDEX(ERP資料!$O:$O, (MATCH(918, 輔助計算!$F$2:$F$801, 0)+1))="","",INDEX(ERP資料!$O:$O, (MATCH(918, 輔助計算!$F$2:$F$801, 0)+1))), "")</f>
        <v/>
      </c>
      <c r="I919" s="15">
        <f>IFERROR(IF(INDEX(輔助計算!$D:$D,(MATCH(918, 輔助計算!$F$2:$F$801, 0)+1))="","",INDEX(輔助計算!$D:$D,(MATCH(918, 輔助計算!$F$2:$F$801, 0)+1))*INDEX(ERP資料!$O:$O,(MATCH(918, 輔助計算!$F$2:$F$801, 0)+1))), "")</f>
        <v/>
      </c>
      <c r="J919" s="16" t="n"/>
      <c r="K919" s="15">
        <f>IFERROR(INDEX(輔助計算!$D:$D, (MATCH(918, 輔助計算!$F$2:$F$801, 0)+1)), "")</f>
        <v/>
      </c>
      <c r="L919" s="16">
        <f>IFERROR(IF(AND(IFERROR(VLOOKUP(LEFT(INDEX(ERP資料!$S:$S, (MATCH(918, 輔助計算!$F$2:$F$801, 0)+1)), 4), 100張客戶!$A:$A, 1, FALSE), "")&lt;&gt;"", OR(INDEX(ERP資料!$F:$F, (MATCH(918, 輔助計算!$F$2:$F$801, 0)+1))=270, INDEX(ERP資料!$F:$F, (MATCH(918, 輔助計算!$F$2:$F$801, 0)+1))=300)), "100張", ""), "")</f>
        <v/>
      </c>
      <c r="M919" s="17" t="n"/>
      <c r="N919" s="17">
        <f>IF($F919="","",$F919)</f>
        <v/>
      </c>
      <c r="O919" s="17">
        <f>IF($G919="","",$G919)</f>
        <v/>
      </c>
      <c r="P919" s="17">
        <f>IF($K919="","",$K919)</f>
        <v/>
      </c>
      <c r="Q919" s="16" t="n"/>
      <c r="R919" s="18" t="n"/>
      <c r="S919" s="16" t="n"/>
    </row>
    <row r="920">
      <c r="A920" s="14">
        <f>IFERROR(IF(AND(IFERROR(INDEX(ERP資料!$A:$A, (MATCH(919, 輔助計算!$F$2:$F$801, 0)+1)), "")&lt;&gt;"", IFERROR(INDEX(ERP資料!$A:$A, (MATCH(919, 輔助計算!$F$2:$F$801, 0)+1)), "")&lt;&gt;IFERROR(INDEX(ERP資料!$A:$A, MATCH(918, 輔助計算!$F$2:$F$801, 0)+1), "")), INDEX(ERP資料!$B:$B, (MATCH(919, 輔助計算!$F$2:$F$801, 0)+1)), ""), "")</f>
        <v/>
      </c>
      <c r="B920" s="10">
        <f>IFERROR(IF(AND(IFERROR(INDEX(ERP資料!$A:$A, (MATCH(919, 輔助計算!$F$2:$F$801, 0)+1)), "")&lt;&gt;"", IFERROR(INDEX(ERP資料!$A:$A, (MATCH(919, 輔助計算!$F$2:$F$801, 0)+1)), "")&lt;&gt;IFERROR(INDEX(ERP資料!$A:$A, MATCH(918, 輔助計算!$F$2:$F$801, 0)+1), "")), IFERROR(INDEX(ERP資料!$A:$A, (MATCH(919, 輔助計算!$F$2:$F$801, 0)+1)), ""), ""), "")</f>
        <v/>
      </c>
      <c r="C920" s="10">
        <f>IFERROR(IF(AND(IFERROR(INDEX(ERP資料!$A:$A, (MATCH(919, 輔助計算!$F$2:$F$801, 0)+1)), "")&lt;&gt;"", IFERROR(INDEX(ERP資料!$A:$A, (MATCH(919, 輔助計算!$F$2:$F$801, 0)+1)), "")&lt;&gt;IFERROR(INDEX(ERP資料!$A:$A, MATCH(918, 輔助計算!$F$2:$F$801, 0)+1), "")), INDEX(ERP資料!$S:$S, (MATCH(919, 輔助計算!$F$2:$F$801, 0)+1)), ""), "")</f>
        <v/>
      </c>
      <c r="D920" s="10">
        <f>IFERROR(IF(INDEX(ERP資料!$E:$E, (MATCH(919, 輔助計算!$F$2:$F$801, 0)+1))="","",TRIM(INDEX(ERP資料!$E:$E, (MATCH(919, 輔助計算!$F$2:$F$801, 0)+1)))), "")</f>
        <v/>
      </c>
      <c r="E920" s="10">
        <f>IFERROR(IF(INDEX(ERP資料!$F:$F, (MATCH(919, 輔助計算!$F$2:$F$801, 0)+1))="","",INDEX(ERP資料!$F:$F, (MATCH(919, 輔助計算!$F$2:$F$801, 0)+1))), "")</f>
        <v/>
      </c>
      <c r="F920" s="10">
        <f>IFERROR(IF(INDEX(ERP資料!$G:$G, (MATCH(919, 輔助計算!$F$2:$F$801, 0)+1))="","",INDEX(ERP資料!$G:$G, (MATCH(919, 輔助計算!$F$2:$F$801, 0)+1))), "")</f>
        <v/>
      </c>
      <c r="G920" s="10">
        <f>IFERROR(IF(INDEX(ERP資料!$H:$H, (MATCH(919, 輔助計算!$F$2:$F$801, 0)+1))="","",INDEX(ERP資料!$H:$H, (MATCH(919, 輔助計算!$F$2:$F$801, 0)+1))), "")</f>
        <v/>
      </c>
      <c r="H920" s="10">
        <f>IFERROR(IF(INDEX(ERP資料!$O:$O, (MATCH(919, 輔助計算!$F$2:$F$801, 0)+1))="","",INDEX(ERP資料!$O:$O, (MATCH(919, 輔助計算!$F$2:$F$801, 0)+1))), "")</f>
        <v/>
      </c>
      <c r="I920" s="15">
        <f>IFERROR(IF(INDEX(輔助計算!$D:$D,(MATCH(919, 輔助計算!$F$2:$F$801, 0)+1))="","",INDEX(輔助計算!$D:$D,(MATCH(919, 輔助計算!$F$2:$F$801, 0)+1))*INDEX(ERP資料!$O:$O,(MATCH(919, 輔助計算!$F$2:$F$801, 0)+1))), "")</f>
        <v/>
      </c>
      <c r="J920" s="16" t="n"/>
      <c r="K920" s="15">
        <f>IFERROR(INDEX(輔助計算!$D:$D, (MATCH(919, 輔助計算!$F$2:$F$801, 0)+1)), "")</f>
        <v/>
      </c>
      <c r="L920" s="16">
        <f>IFERROR(IF(AND(IFERROR(VLOOKUP(LEFT(INDEX(ERP資料!$S:$S, (MATCH(919, 輔助計算!$F$2:$F$801, 0)+1)), 4), 100張客戶!$A:$A, 1, FALSE), "")&lt;&gt;"", OR(INDEX(ERP資料!$F:$F, (MATCH(919, 輔助計算!$F$2:$F$801, 0)+1))=270, INDEX(ERP資料!$F:$F, (MATCH(919, 輔助計算!$F$2:$F$801, 0)+1))=300)), "100張", ""), "")</f>
        <v/>
      </c>
      <c r="M920" s="17" t="n"/>
      <c r="N920" s="17">
        <f>IF($F920="","",$F920)</f>
        <v/>
      </c>
      <c r="O920" s="17">
        <f>IF($G920="","",$G920)</f>
        <v/>
      </c>
      <c r="P920" s="17">
        <f>IF($K920="","",$K920)</f>
        <v/>
      </c>
      <c r="Q920" s="16" t="n"/>
      <c r="R920" s="18" t="n"/>
      <c r="S920" s="16" t="n"/>
    </row>
    <row r="921">
      <c r="A921" s="14">
        <f>IFERROR(IF(AND(IFERROR(INDEX(ERP資料!$A:$A, (MATCH(920, 輔助計算!$F$2:$F$801, 0)+1)), "")&lt;&gt;"", IFERROR(INDEX(ERP資料!$A:$A, (MATCH(920, 輔助計算!$F$2:$F$801, 0)+1)), "")&lt;&gt;IFERROR(INDEX(ERP資料!$A:$A, MATCH(919, 輔助計算!$F$2:$F$801, 0)+1), "")), INDEX(ERP資料!$B:$B, (MATCH(920, 輔助計算!$F$2:$F$801, 0)+1)), ""), "")</f>
        <v/>
      </c>
      <c r="B921" s="10">
        <f>IFERROR(IF(AND(IFERROR(INDEX(ERP資料!$A:$A, (MATCH(920, 輔助計算!$F$2:$F$801, 0)+1)), "")&lt;&gt;"", IFERROR(INDEX(ERP資料!$A:$A, (MATCH(920, 輔助計算!$F$2:$F$801, 0)+1)), "")&lt;&gt;IFERROR(INDEX(ERP資料!$A:$A, MATCH(919, 輔助計算!$F$2:$F$801, 0)+1), "")), IFERROR(INDEX(ERP資料!$A:$A, (MATCH(920, 輔助計算!$F$2:$F$801, 0)+1)), ""), ""), "")</f>
        <v/>
      </c>
      <c r="C921" s="10">
        <f>IFERROR(IF(AND(IFERROR(INDEX(ERP資料!$A:$A, (MATCH(920, 輔助計算!$F$2:$F$801, 0)+1)), "")&lt;&gt;"", IFERROR(INDEX(ERP資料!$A:$A, (MATCH(920, 輔助計算!$F$2:$F$801, 0)+1)), "")&lt;&gt;IFERROR(INDEX(ERP資料!$A:$A, MATCH(919, 輔助計算!$F$2:$F$801, 0)+1), "")), INDEX(ERP資料!$S:$S, (MATCH(920, 輔助計算!$F$2:$F$801, 0)+1)), ""), "")</f>
        <v/>
      </c>
      <c r="D921" s="10">
        <f>IFERROR(IF(INDEX(ERP資料!$E:$E, (MATCH(920, 輔助計算!$F$2:$F$801, 0)+1))="","",TRIM(INDEX(ERP資料!$E:$E, (MATCH(920, 輔助計算!$F$2:$F$801, 0)+1)))), "")</f>
        <v/>
      </c>
      <c r="E921" s="10">
        <f>IFERROR(IF(INDEX(ERP資料!$F:$F, (MATCH(920, 輔助計算!$F$2:$F$801, 0)+1))="","",INDEX(ERP資料!$F:$F, (MATCH(920, 輔助計算!$F$2:$F$801, 0)+1))), "")</f>
        <v/>
      </c>
      <c r="F921" s="10">
        <f>IFERROR(IF(INDEX(ERP資料!$G:$G, (MATCH(920, 輔助計算!$F$2:$F$801, 0)+1))="","",INDEX(ERP資料!$G:$G, (MATCH(920, 輔助計算!$F$2:$F$801, 0)+1))), "")</f>
        <v/>
      </c>
      <c r="G921" s="10">
        <f>IFERROR(IF(INDEX(ERP資料!$H:$H, (MATCH(920, 輔助計算!$F$2:$F$801, 0)+1))="","",INDEX(ERP資料!$H:$H, (MATCH(920, 輔助計算!$F$2:$F$801, 0)+1))), "")</f>
        <v/>
      </c>
      <c r="H921" s="10">
        <f>IFERROR(IF(INDEX(ERP資料!$O:$O, (MATCH(920, 輔助計算!$F$2:$F$801, 0)+1))="","",INDEX(ERP資料!$O:$O, (MATCH(920, 輔助計算!$F$2:$F$801, 0)+1))), "")</f>
        <v/>
      </c>
      <c r="I921" s="15">
        <f>IFERROR(IF(INDEX(輔助計算!$D:$D,(MATCH(920, 輔助計算!$F$2:$F$801, 0)+1))="","",INDEX(輔助計算!$D:$D,(MATCH(920, 輔助計算!$F$2:$F$801, 0)+1))*INDEX(ERP資料!$O:$O,(MATCH(920, 輔助計算!$F$2:$F$801, 0)+1))), "")</f>
        <v/>
      </c>
      <c r="J921" s="16" t="n"/>
      <c r="K921" s="15">
        <f>IFERROR(INDEX(輔助計算!$D:$D, (MATCH(920, 輔助計算!$F$2:$F$801, 0)+1)), "")</f>
        <v/>
      </c>
      <c r="L921" s="16">
        <f>IFERROR(IF(AND(IFERROR(VLOOKUP(LEFT(INDEX(ERP資料!$S:$S, (MATCH(920, 輔助計算!$F$2:$F$801, 0)+1)), 4), 100張客戶!$A:$A, 1, FALSE), "")&lt;&gt;"", OR(INDEX(ERP資料!$F:$F, (MATCH(920, 輔助計算!$F$2:$F$801, 0)+1))=270, INDEX(ERP資料!$F:$F, (MATCH(920, 輔助計算!$F$2:$F$801, 0)+1))=300)), "100張", ""), "")</f>
        <v/>
      </c>
      <c r="M921" s="17" t="n"/>
      <c r="N921" s="17">
        <f>IF($F921="","",$F921)</f>
        <v/>
      </c>
      <c r="O921" s="17">
        <f>IF($G921="","",$G921)</f>
        <v/>
      </c>
      <c r="P921" s="17">
        <f>IF($K921="","",$K921)</f>
        <v/>
      </c>
      <c r="Q921" s="16" t="n"/>
      <c r="R921" s="18" t="n"/>
      <c r="S921" s="16" t="n"/>
    </row>
    <row r="922">
      <c r="A922" s="14">
        <f>IFERROR(IF(AND(IFERROR(INDEX(ERP資料!$A:$A, (MATCH(921, 輔助計算!$F$2:$F$801, 0)+1)), "")&lt;&gt;"", IFERROR(INDEX(ERP資料!$A:$A, (MATCH(921, 輔助計算!$F$2:$F$801, 0)+1)), "")&lt;&gt;IFERROR(INDEX(ERP資料!$A:$A, MATCH(920, 輔助計算!$F$2:$F$801, 0)+1), "")), INDEX(ERP資料!$B:$B, (MATCH(921, 輔助計算!$F$2:$F$801, 0)+1)), ""), "")</f>
        <v/>
      </c>
      <c r="B922" s="10">
        <f>IFERROR(IF(AND(IFERROR(INDEX(ERP資料!$A:$A, (MATCH(921, 輔助計算!$F$2:$F$801, 0)+1)), "")&lt;&gt;"", IFERROR(INDEX(ERP資料!$A:$A, (MATCH(921, 輔助計算!$F$2:$F$801, 0)+1)), "")&lt;&gt;IFERROR(INDEX(ERP資料!$A:$A, MATCH(920, 輔助計算!$F$2:$F$801, 0)+1), "")), IFERROR(INDEX(ERP資料!$A:$A, (MATCH(921, 輔助計算!$F$2:$F$801, 0)+1)), ""), ""), "")</f>
        <v/>
      </c>
      <c r="C922" s="10">
        <f>IFERROR(IF(AND(IFERROR(INDEX(ERP資料!$A:$A, (MATCH(921, 輔助計算!$F$2:$F$801, 0)+1)), "")&lt;&gt;"", IFERROR(INDEX(ERP資料!$A:$A, (MATCH(921, 輔助計算!$F$2:$F$801, 0)+1)), "")&lt;&gt;IFERROR(INDEX(ERP資料!$A:$A, MATCH(920, 輔助計算!$F$2:$F$801, 0)+1), "")), INDEX(ERP資料!$S:$S, (MATCH(921, 輔助計算!$F$2:$F$801, 0)+1)), ""), "")</f>
        <v/>
      </c>
      <c r="D922" s="10">
        <f>IFERROR(IF(INDEX(ERP資料!$E:$E, (MATCH(921, 輔助計算!$F$2:$F$801, 0)+1))="","",TRIM(INDEX(ERP資料!$E:$E, (MATCH(921, 輔助計算!$F$2:$F$801, 0)+1)))), "")</f>
        <v/>
      </c>
      <c r="E922" s="10">
        <f>IFERROR(IF(INDEX(ERP資料!$F:$F, (MATCH(921, 輔助計算!$F$2:$F$801, 0)+1))="","",INDEX(ERP資料!$F:$F, (MATCH(921, 輔助計算!$F$2:$F$801, 0)+1))), "")</f>
        <v/>
      </c>
      <c r="F922" s="10">
        <f>IFERROR(IF(INDEX(ERP資料!$G:$G, (MATCH(921, 輔助計算!$F$2:$F$801, 0)+1))="","",INDEX(ERP資料!$G:$G, (MATCH(921, 輔助計算!$F$2:$F$801, 0)+1))), "")</f>
        <v/>
      </c>
      <c r="G922" s="10">
        <f>IFERROR(IF(INDEX(ERP資料!$H:$H, (MATCH(921, 輔助計算!$F$2:$F$801, 0)+1))="","",INDEX(ERP資料!$H:$H, (MATCH(921, 輔助計算!$F$2:$F$801, 0)+1))), "")</f>
        <v/>
      </c>
      <c r="H922" s="10">
        <f>IFERROR(IF(INDEX(ERP資料!$O:$O, (MATCH(921, 輔助計算!$F$2:$F$801, 0)+1))="","",INDEX(ERP資料!$O:$O, (MATCH(921, 輔助計算!$F$2:$F$801, 0)+1))), "")</f>
        <v/>
      </c>
      <c r="I922" s="15">
        <f>IFERROR(IF(INDEX(輔助計算!$D:$D,(MATCH(921, 輔助計算!$F$2:$F$801, 0)+1))="","",INDEX(輔助計算!$D:$D,(MATCH(921, 輔助計算!$F$2:$F$801, 0)+1))*INDEX(ERP資料!$O:$O,(MATCH(921, 輔助計算!$F$2:$F$801, 0)+1))), "")</f>
        <v/>
      </c>
      <c r="J922" s="16" t="n"/>
      <c r="K922" s="15">
        <f>IFERROR(INDEX(輔助計算!$D:$D, (MATCH(921, 輔助計算!$F$2:$F$801, 0)+1)), "")</f>
        <v/>
      </c>
      <c r="L922" s="16">
        <f>IFERROR(IF(AND(IFERROR(VLOOKUP(LEFT(INDEX(ERP資料!$S:$S, (MATCH(921, 輔助計算!$F$2:$F$801, 0)+1)), 4), 100張客戶!$A:$A, 1, FALSE), "")&lt;&gt;"", OR(INDEX(ERP資料!$F:$F, (MATCH(921, 輔助計算!$F$2:$F$801, 0)+1))=270, INDEX(ERP資料!$F:$F, (MATCH(921, 輔助計算!$F$2:$F$801, 0)+1))=300)), "100張", ""), "")</f>
        <v/>
      </c>
      <c r="M922" s="17" t="n"/>
      <c r="N922" s="17">
        <f>IF($F922="","",$F922)</f>
        <v/>
      </c>
      <c r="O922" s="17">
        <f>IF($G922="","",$G922)</f>
        <v/>
      </c>
      <c r="P922" s="17">
        <f>IF($K922="","",$K922)</f>
        <v/>
      </c>
      <c r="Q922" s="16" t="n"/>
      <c r="R922" s="18" t="n"/>
      <c r="S922" s="16" t="n"/>
    </row>
    <row r="923">
      <c r="A923" s="14">
        <f>IFERROR(IF(AND(IFERROR(INDEX(ERP資料!$A:$A, (MATCH(922, 輔助計算!$F$2:$F$801, 0)+1)), "")&lt;&gt;"", IFERROR(INDEX(ERP資料!$A:$A, (MATCH(922, 輔助計算!$F$2:$F$801, 0)+1)), "")&lt;&gt;IFERROR(INDEX(ERP資料!$A:$A, MATCH(921, 輔助計算!$F$2:$F$801, 0)+1), "")), INDEX(ERP資料!$B:$B, (MATCH(922, 輔助計算!$F$2:$F$801, 0)+1)), ""), "")</f>
        <v/>
      </c>
      <c r="B923" s="10">
        <f>IFERROR(IF(AND(IFERROR(INDEX(ERP資料!$A:$A, (MATCH(922, 輔助計算!$F$2:$F$801, 0)+1)), "")&lt;&gt;"", IFERROR(INDEX(ERP資料!$A:$A, (MATCH(922, 輔助計算!$F$2:$F$801, 0)+1)), "")&lt;&gt;IFERROR(INDEX(ERP資料!$A:$A, MATCH(921, 輔助計算!$F$2:$F$801, 0)+1), "")), IFERROR(INDEX(ERP資料!$A:$A, (MATCH(922, 輔助計算!$F$2:$F$801, 0)+1)), ""), ""), "")</f>
        <v/>
      </c>
      <c r="C923" s="10">
        <f>IFERROR(IF(AND(IFERROR(INDEX(ERP資料!$A:$A, (MATCH(922, 輔助計算!$F$2:$F$801, 0)+1)), "")&lt;&gt;"", IFERROR(INDEX(ERP資料!$A:$A, (MATCH(922, 輔助計算!$F$2:$F$801, 0)+1)), "")&lt;&gt;IFERROR(INDEX(ERP資料!$A:$A, MATCH(921, 輔助計算!$F$2:$F$801, 0)+1), "")), INDEX(ERP資料!$S:$S, (MATCH(922, 輔助計算!$F$2:$F$801, 0)+1)), ""), "")</f>
        <v/>
      </c>
      <c r="D923" s="10">
        <f>IFERROR(IF(INDEX(ERP資料!$E:$E, (MATCH(922, 輔助計算!$F$2:$F$801, 0)+1))="","",TRIM(INDEX(ERP資料!$E:$E, (MATCH(922, 輔助計算!$F$2:$F$801, 0)+1)))), "")</f>
        <v/>
      </c>
      <c r="E923" s="10">
        <f>IFERROR(IF(INDEX(ERP資料!$F:$F, (MATCH(922, 輔助計算!$F$2:$F$801, 0)+1))="","",INDEX(ERP資料!$F:$F, (MATCH(922, 輔助計算!$F$2:$F$801, 0)+1))), "")</f>
        <v/>
      </c>
      <c r="F923" s="10">
        <f>IFERROR(IF(INDEX(ERP資料!$G:$G, (MATCH(922, 輔助計算!$F$2:$F$801, 0)+1))="","",INDEX(ERP資料!$G:$G, (MATCH(922, 輔助計算!$F$2:$F$801, 0)+1))), "")</f>
        <v/>
      </c>
      <c r="G923" s="10">
        <f>IFERROR(IF(INDEX(ERP資料!$H:$H, (MATCH(922, 輔助計算!$F$2:$F$801, 0)+1))="","",INDEX(ERP資料!$H:$H, (MATCH(922, 輔助計算!$F$2:$F$801, 0)+1))), "")</f>
        <v/>
      </c>
      <c r="H923" s="10">
        <f>IFERROR(IF(INDEX(ERP資料!$O:$O, (MATCH(922, 輔助計算!$F$2:$F$801, 0)+1))="","",INDEX(ERP資料!$O:$O, (MATCH(922, 輔助計算!$F$2:$F$801, 0)+1))), "")</f>
        <v/>
      </c>
      <c r="I923" s="15">
        <f>IFERROR(IF(INDEX(輔助計算!$D:$D,(MATCH(922, 輔助計算!$F$2:$F$801, 0)+1))="","",INDEX(輔助計算!$D:$D,(MATCH(922, 輔助計算!$F$2:$F$801, 0)+1))*INDEX(ERP資料!$O:$O,(MATCH(922, 輔助計算!$F$2:$F$801, 0)+1))), "")</f>
        <v/>
      </c>
      <c r="J923" s="16" t="n"/>
      <c r="K923" s="15">
        <f>IFERROR(INDEX(輔助計算!$D:$D, (MATCH(922, 輔助計算!$F$2:$F$801, 0)+1)), "")</f>
        <v/>
      </c>
      <c r="L923" s="16">
        <f>IFERROR(IF(AND(IFERROR(VLOOKUP(LEFT(INDEX(ERP資料!$S:$S, (MATCH(922, 輔助計算!$F$2:$F$801, 0)+1)), 4), 100張客戶!$A:$A, 1, FALSE), "")&lt;&gt;"", OR(INDEX(ERP資料!$F:$F, (MATCH(922, 輔助計算!$F$2:$F$801, 0)+1))=270, INDEX(ERP資料!$F:$F, (MATCH(922, 輔助計算!$F$2:$F$801, 0)+1))=300)), "100張", ""), "")</f>
        <v/>
      </c>
      <c r="M923" s="17" t="n"/>
      <c r="N923" s="17">
        <f>IF($F923="","",$F923)</f>
        <v/>
      </c>
      <c r="O923" s="17">
        <f>IF($G923="","",$G923)</f>
        <v/>
      </c>
      <c r="P923" s="17">
        <f>IF($K923="","",$K923)</f>
        <v/>
      </c>
      <c r="Q923" s="16" t="n"/>
      <c r="R923" s="18" t="n"/>
      <c r="S923" s="16" t="n"/>
    </row>
    <row r="924">
      <c r="A924" s="14">
        <f>IFERROR(IF(AND(IFERROR(INDEX(ERP資料!$A:$A, (MATCH(923, 輔助計算!$F$2:$F$801, 0)+1)), "")&lt;&gt;"", IFERROR(INDEX(ERP資料!$A:$A, (MATCH(923, 輔助計算!$F$2:$F$801, 0)+1)), "")&lt;&gt;IFERROR(INDEX(ERP資料!$A:$A, MATCH(922, 輔助計算!$F$2:$F$801, 0)+1), "")), INDEX(ERP資料!$B:$B, (MATCH(923, 輔助計算!$F$2:$F$801, 0)+1)), ""), "")</f>
        <v/>
      </c>
      <c r="B924" s="10">
        <f>IFERROR(IF(AND(IFERROR(INDEX(ERP資料!$A:$A, (MATCH(923, 輔助計算!$F$2:$F$801, 0)+1)), "")&lt;&gt;"", IFERROR(INDEX(ERP資料!$A:$A, (MATCH(923, 輔助計算!$F$2:$F$801, 0)+1)), "")&lt;&gt;IFERROR(INDEX(ERP資料!$A:$A, MATCH(922, 輔助計算!$F$2:$F$801, 0)+1), "")), IFERROR(INDEX(ERP資料!$A:$A, (MATCH(923, 輔助計算!$F$2:$F$801, 0)+1)), ""), ""), "")</f>
        <v/>
      </c>
      <c r="C924" s="10">
        <f>IFERROR(IF(AND(IFERROR(INDEX(ERP資料!$A:$A, (MATCH(923, 輔助計算!$F$2:$F$801, 0)+1)), "")&lt;&gt;"", IFERROR(INDEX(ERP資料!$A:$A, (MATCH(923, 輔助計算!$F$2:$F$801, 0)+1)), "")&lt;&gt;IFERROR(INDEX(ERP資料!$A:$A, MATCH(922, 輔助計算!$F$2:$F$801, 0)+1), "")), INDEX(ERP資料!$S:$S, (MATCH(923, 輔助計算!$F$2:$F$801, 0)+1)), ""), "")</f>
        <v/>
      </c>
      <c r="D924" s="10">
        <f>IFERROR(IF(INDEX(ERP資料!$E:$E, (MATCH(923, 輔助計算!$F$2:$F$801, 0)+1))="","",TRIM(INDEX(ERP資料!$E:$E, (MATCH(923, 輔助計算!$F$2:$F$801, 0)+1)))), "")</f>
        <v/>
      </c>
      <c r="E924" s="10">
        <f>IFERROR(IF(INDEX(ERP資料!$F:$F, (MATCH(923, 輔助計算!$F$2:$F$801, 0)+1))="","",INDEX(ERP資料!$F:$F, (MATCH(923, 輔助計算!$F$2:$F$801, 0)+1))), "")</f>
        <v/>
      </c>
      <c r="F924" s="10">
        <f>IFERROR(IF(INDEX(ERP資料!$G:$G, (MATCH(923, 輔助計算!$F$2:$F$801, 0)+1))="","",INDEX(ERP資料!$G:$G, (MATCH(923, 輔助計算!$F$2:$F$801, 0)+1))), "")</f>
        <v/>
      </c>
      <c r="G924" s="10">
        <f>IFERROR(IF(INDEX(ERP資料!$H:$H, (MATCH(923, 輔助計算!$F$2:$F$801, 0)+1))="","",INDEX(ERP資料!$H:$H, (MATCH(923, 輔助計算!$F$2:$F$801, 0)+1))), "")</f>
        <v/>
      </c>
      <c r="H924" s="10">
        <f>IFERROR(IF(INDEX(ERP資料!$O:$O, (MATCH(923, 輔助計算!$F$2:$F$801, 0)+1))="","",INDEX(ERP資料!$O:$O, (MATCH(923, 輔助計算!$F$2:$F$801, 0)+1))), "")</f>
        <v/>
      </c>
      <c r="I924" s="15">
        <f>IFERROR(IF(INDEX(輔助計算!$D:$D,(MATCH(923, 輔助計算!$F$2:$F$801, 0)+1))="","",INDEX(輔助計算!$D:$D,(MATCH(923, 輔助計算!$F$2:$F$801, 0)+1))*INDEX(ERP資料!$O:$O,(MATCH(923, 輔助計算!$F$2:$F$801, 0)+1))), "")</f>
        <v/>
      </c>
      <c r="J924" s="16" t="n"/>
      <c r="K924" s="15">
        <f>IFERROR(INDEX(輔助計算!$D:$D, (MATCH(923, 輔助計算!$F$2:$F$801, 0)+1)), "")</f>
        <v/>
      </c>
      <c r="L924" s="16">
        <f>IFERROR(IF(AND(IFERROR(VLOOKUP(LEFT(INDEX(ERP資料!$S:$S, (MATCH(923, 輔助計算!$F$2:$F$801, 0)+1)), 4), 100張客戶!$A:$A, 1, FALSE), "")&lt;&gt;"", OR(INDEX(ERP資料!$F:$F, (MATCH(923, 輔助計算!$F$2:$F$801, 0)+1))=270, INDEX(ERP資料!$F:$F, (MATCH(923, 輔助計算!$F$2:$F$801, 0)+1))=300)), "100張", ""), "")</f>
        <v/>
      </c>
      <c r="M924" s="17" t="n"/>
      <c r="N924" s="17">
        <f>IF($F924="","",$F924)</f>
        <v/>
      </c>
      <c r="O924" s="17">
        <f>IF($G924="","",$G924)</f>
        <v/>
      </c>
      <c r="P924" s="17">
        <f>IF($K924="","",$K924)</f>
        <v/>
      </c>
      <c r="Q924" s="16" t="n"/>
      <c r="R924" s="18" t="n"/>
      <c r="S924" s="16" t="n"/>
    </row>
    <row r="925">
      <c r="A925" s="14">
        <f>IFERROR(IF(AND(IFERROR(INDEX(ERP資料!$A:$A, (MATCH(924, 輔助計算!$F$2:$F$801, 0)+1)), "")&lt;&gt;"", IFERROR(INDEX(ERP資料!$A:$A, (MATCH(924, 輔助計算!$F$2:$F$801, 0)+1)), "")&lt;&gt;IFERROR(INDEX(ERP資料!$A:$A, MATCH(923, 輔助計算!$F$2:$F$801, 0)+1), "")), INDEX(ERP資料!$B:$B, (MATCH(924, 輔助計算!$F$2:$F$801, 0)+1)), ""), "")</f>
        <v/>
      </c>
      <c r="B925" s="10">
        <f>IFERROR(IF(AND(IFERROR(INDEX(ERP資料!$A:$A, (MATCH(924, 輔助計算!$F$2:$F$801, 0)+1)), "")&lt;&gt;"", IFERROR(INDEX(ERP資料!$A:$A, (MATCH(924, 輔助計算!$F$2:$F$801, 0)+1)), "")&lt;&gt;IFERROR(INDEX(ERP資料!$A:$A, MATCH(923, 輔助計算!$F$2:$F$801, 0)+1), "")), IFERROR(INDEX(ERP資料!$A:$A, (MATCH(924, 輔助計算!$F$2:$F$801, 0)+1)), ""), ""), "")</f>
        <v/>
      </c>
      <c r="C925" s="10">
        <f>IFERROR(IF(AND(IFERROR(INDEX(ERP資料!$A:$A, (MATCH(924, 輔助計算!$F$2:$F$801, 0)+1)), "")&lt;&gt;"", IFERROR(INDEX(ERP資料!$A:$A, (MATCH(924, 輔助計算!$F$2:$F$801, 0)+1)), "")&lt;&gt;IFERROR(INDEX(ERP資料!$A:$A, MATCH(923, 輔助計算!$F$2:$F$801, 0)+1), "")), INDEX(ERP資料!$S:$S, (MATCH(924, 輔助計算!$F$2:$F$801, 0)+1)), ""), "")</f>
        <v/>
      </c>
      <c r="D925" s="10">
        <f>IFERROR(IF(INDEX(ERP資料!$E:$E, (MATCH(924, 輔助計算!$F$2:$F$801, 0)+1))="","",TRIM(INDEX(ERP資料!$E:$E, (MATCH(924, 輔助計算!$F$2:$F$801, 0)+1)))), "")</f>
        <v/>
      </c>
      <c r="E925" s="10">
        <f>IFERROR(IF(INDEX(ERP資料!$F:$F, (MATCH(924, 輔助計算!$F$2:$F$801, 0)+1))="","",INDEX(ERP資料!$F:$F, (MATCH(924, 輔助計算!$F$2:$F$801, 0)+1))), "")</f>
        <v/>
      </c>
      <c r="F925" s="10">
        <f>IFERROR(IF(INDEX(ERP資料!$G:$G, (MATCH(924, 輔助計算!$F$2:$F$801, 0)+1))="","",INDEX(ERP資料!$G:$G, (MATCH(924, 輔助計算!$F$2:$F$801, 0)+1))), "")</f>
        <v/>
      </c>
      <c r="G925" s="10">
        <f>IFERROR(IF(INDEX(ERP資料!$H:$H, (MATCH(924, 輔助計算!$F$2:$F$801, 0)+1))="","",INDEX(ERP資料!$H:$H, (MATCH(924, 輔助計算!$F$2:$F$801, 0)+1))), "")</f>
        <v/>
      </c>
      <c r="H925" s="10">
        <f>IFERROR(IF(INDEX(ERP資料!$O:$O, (MATCH(924, 輔助計算!$F$2:$F$801, 0)+1))="","",INDEX(ERP資料!$O:$O, (MATCH(924, 輔助計算!$F$2:$F$801, 0)+1))), "")</f>
        <v/>
      </c>
      <c r="I925" s="15">
        <f>IFERROR(IF(INDEX(輔助計算!$D:$D,(MATCH(924, 輔助計算!$F$2:$F$801, 0)+1))="","",INDEX(輔助計算!$D:$D,(MATCH(924, 輔助計算!$F$2:$F$801, 0)+1))*INDEX(ERP資料!$O:$O,(MATCH(924, 輔助計算!$F$2:$F$801, 0)+1))), "")</f>
        <v/>
      </c>
      <c r="J925" s="16" t="n"/>
      <c r="K925" s="15">
        <f>IFERROR(INDEX(輔助計算!$D:$D, (MATCH(924, 輔助計算!$F$2:$F$801, 0)+1)), "")</f>
        <v/>
      </c>
      <c r="L925" s="16">
        <f>IFERROR(IF(AND(IFERROR(VLOOKUP(LEFT(INDEX(ERP資料!$S:$S, (MATCH(924, 輔助計算!$F$2:$F$801, 0)+1)), 4), 100張客戶!$A:$A, 1, FALSE), "")&lt;&gt;"", OR(INDEX(ERP資料!$F:$F, (MATCH(924, 輔助計算!$F$2:$F$801, 0)+1))=270, INDEX(ERP資料!$F:$F, (MATCH(924, 輔助計算!$F$2:$F$801, 0)+1))=300)), "100張", ""), "")</f>
        <v/>
      </c>
      <c r="M925" s="17" t="n"/>
      <c r="N925" s="17">
        <f>IF($F925="","",$F925)</f>
        <v/>
      </c>
      <c r="O925" s="17">
        <f>IF($G925="","",$G925)</f>
        <v/>
      </c>
      <c r="P925" s="17">
        <f>IF($K925="","",$K925)</f>
        <v/>
      </c>
      <c r="Q925" s="16" t="n"/>
      <c r="R925" s="18" t="n"/>
      <c r="S925" s="16" t="n"/>
    </row>
    <row r="926">
      <c r="A926" s="14">
        <f>IFERROR(IF(AND(IFERROR(INDEX(ERP資料!$A:$A, (MATCH(925, 輔助計算!$F$2:$F$801, 0)+1)), "")&lt;&gt;"", IFERROR(INDEX(ERP資料!$A:$A, (MATCH(925, 輔助計算!$F$2:$F$801, 0)+1)), "")&lt;&gt;IFERROR(INDEX(ERP資料!$A:$A, MATCH(924, 輔助計算!$F$2:$F$801, 0)+1), "")), INDEX(ERP資料!$B:$B, (MATCH(925, 輔助計算!$F$2:$F$801, 0)+1)), ""), "")</f>
        <v/>
      </c>
      <c r="B926" s="10">
        <f>IFERROR(IF(AND(IFERROR(INDEX(ERP資料!$A:$A, (MATCH(925, 輔助計算!$F$2:$F$801, 0)+1)), "")&lt;&gt;"", IFERROR(INDEX(ERP資料!$A:$A, (MATCH(925, 輔助計算!$F$2:$F$801, 0)+1)), "")&lt;&gt;IFERROR(INDEX(ERP資料!$A:$A, MATCH(924, 輔助計算!$F$2:$F$801, 0)+1), "")), IFERROR(INDEX(ERP資料!$A:$A, (MATCH(925, 輔助計算!$F$2:$F$801, 0)+1)), ""), ""), "")</f>
        <v/>
      </c>
      <c r="C926" s="10">
        <f>IFERROR(IF(AND(IFERROR(INDEX(ERP資料!$A:$A, (MATCH(925, 輔助計算!$F$2:$F$801, 0)+1)), "")&lt;&gt;"", IFERROR(INDEX(ERP資料!$A:$A, (MATCH(925, 輔助計算!$F$2:$F$801, 0)+1)), "")&lt;&gt;IFERROR(INDEX(ERP資料!$A:$A, MATCH(924, 輔助計算!$F$2:$F$801, 0)+1), "")), INDEX(ERP資料!$S:$S, (MATCH(925, 輔助計算!$F$2:$F$801, 0)+1)), ""), "")</f>
        <v/>
      </c>
      <c r="D926" s="10">
        <f>IFERROR(IF(INDEX(ERP資料!$E:$E, (MATCH(925, 輔助計算!$F$2:$F$801, 0)+1))="","",TRIM(INDEX(ERP資料!$E:$E, (MATCH(925, 輔助計算!$F$2:$F$801, 0)+1)))), "")</f>
        <v/>
      </c>
      <c r="E926" s="10">
        <f>IFERROR(IF(INDEX(ERP資料!$F:$F, (MATCH(925, 輔助計算!$F$2:$F$801, 0)+1))="","",INDEX(ERP資料!$F:$F, (MATCH(925, 輔助計算!$F$2:$F$801, 0)+1))), "")</f>
        <v/>
      </c>
      <c r="F926" s="10">
        <f>IFERROR(IF(INDEX(ERP資料!$G:$G, (MATCH(925, 輔助計算!$F$2:$F$801, 0)+1))="","",INDEX(ERP資料!$G:$G, (MATCH(925, 輔助計算!$F$2:$F$801, 0)+1))), "")</f>
        <v/>
      </c>
      <c r="G926" s="10">
        <f>IFERROR(IF(INDEX(ERP資料!$H:$H, (MATCH(925, 輔助計算!$F$2:$F$801, 0)+1))="","",INDEX(ERP資料!$H:$H, (MATCH(925, 輔助計算!$F$2:$F$801, 0)+1))), "")</f>
        <v/>
      </c>
      <c r="H926" s="10">
        <f>IFERROR(IF(INDEX(ERP資料!$O:$O, (MATCH(925, 輔助計算!$F$2:$F$801, 0)+1))="","",INDEX(ERP資料!$O:$O, (MATCH(925, 輔助計算!$F$2:$F$801, 0)+1))), "")</f>
        <v/>
      </c>
      <c r="I926" s="15">
        <f>IFERROR(IF(INDEX(輔助計算!$D:$D,(MATCH(925, 輔助計算!$F$2:$F$801, 0)+1))="","",INDEX(輔助計算!$D:$D,(MATCH(925, 輔助計算!$F$2:$F$801, 0)+1))*INDEX(ERP資料!$O:$O,(MATCH(925, 輔助計算!$F$2:$F$801, 0)+1))), "")</f>
        <v/>
      </c>
      <c r="J926" s="16" t="n"/>
      <c r="K926" s="15">
        <f>IFERROR(INDEX(輔助計算!$D:$D, (MATCH(925, 輔助計算!$F$2:$F$801, 0)+1)), "")</f>
        <v/>
      </c>
      <c r="L926" s="16">
        <f>IFERROR(IF(AND(IFERROR(VLOOKUP(LEFT(INDEX(ERP資料!$S:$S, (MATCH(925, 輔助計算!$F$2:$F$801, 0)+1)), 4), 100張客戶!$A:$A, 1, FALSE), "")&lt;&gt;"", OR(INDEX(ERP資料!$F:$F, (MATCH(925, 輔助計算!$F$2:$F$801, 0)+1))=270, INDEX(ERP資料!$F:$F, (MATCH(925, 輔助計算!$F$2:$F$801, 0)+1))=300)), "100張", ""), "")</f>
        <v/>
      </c>
      <c r="M926" s="17" t="n"/>
      <c r="N926" s="17">
        <f>IF($F926="","",$F926)</f>
        <v/>
      </c>
      <c r="O926" s="17">
        <f>IF($G926="","",$G926)</f>
        <v/>
      </c>
      <c r="P926" s="17">
        <f>IF($K926="","",$K926)</f>
        <v/>
      </c>
      <c r="Q926" s="16" t="n"/>
      <c r="R926" s="18" t="n"/>
      <c r="S926" s="16" t="n"/>
    </row>
    <row r="927">
      <c r="A927" s="14">
        <f>IFERROR(IF(AND(IFERROR(INDEX(ERP資料!$A:$A, (MATCH(926, 輔助計算!$F$2:$F$801, 0)+1)), "")&lt;&gt;"", IFERROR(INDEX(ERP資料!$A:$A, (MATCH(926, 輔助計算!$F$2:$F$801, 0)+1)), "")&lt;&gt;IFERROR(INDEX(ERP資料!$A:$A, MATCH(925, 輔助計算!$F$2:$F$801, 0)+1), "")), INDEX(ERP資料!$B:$B, (MATCH(926, 輔助計算!$F$2:$F$801, 0)+1)), ""), "")</f>
        <v/>
      </c>
      <c r="B927" s="10">
        <f>IFERROR(IF(AND(IFERROR(INDEX(ERP資料!$A:$A, (MATCH(926, 輔助計算!$F$2:$F$801, 0)+1)), "")&lt;&gt;"", IFERROR(INDEX(ERP資料!$A:$A, (MATCH(926, 輔助計算!$F$2:$F$801, 0)+1)), "")&lt;&gt;IFERROR(INDEX(ERP資料!$A:$A, MATCH(925, 輔助計算!$F$2:$F$801, 0)+1), "")), IFERROR(INDEX(ERP資料!$A:$A, (MATCH(926, 輔助計算!$F$2:$F$801, 0)+1)), ""), ""), "")</f>
        <v/>
      </c>
      <c r="C927" s="10">
        <f>IFERROR(IF(AND(IFERROR(INDEX(ERP資料!$A:$A, (MATCH(926, 輔助計算!$F$2:$F$801, 0)+1)), "")&lt;&gt;"", IFERROR(INDEX(ERP資料!$A:$A, (MATCH(926, 輔助計算!$F$2:$F$801, 0)+1)), "")&lt;&gt;IFERROR(INDEX(ERP資料!$A:$A, MATCH(925, 輔助計算!$F$2:$F$801, 0)+1), "")), INDEX(ERP資料!$S:$S, (MATCH(926, 輔助計算!$F$2:$F$801, 0)+1)), ""), "")</f>
        <v/>
      </c>
      <c r="D927" s="10">
        <f>IFERROR(IF(INDEX(ERP資料!$E:$E, (MATCH(926, 輔助計算!$F$2:$F$801, 0)+1))="","",TRIM(INDEX(ERP資料!$E:$E, (MATCH(926, 輔助計算!$F$2:$F$801, 0)+1)))), "")</f>
        <v/>
      </c>
      <c r="E927" s="10">
        <f>IFERROR(IF(INDEX(ERP資料!$F:$F, (MATCH(926, 輔助計算!$F$2:$F$801, 0)+1))="","",INDEX(ERP資料!$F:$F, (MATCH(926, 輔助計算!$F$2:$F$801, 0)+1))), "")</f>
        <v/>
      </c>
      <c r="F927" s="10">
        <f>IFERROR(IF(INDEX(ERP資料!$G:$G, (MATCH(926, 輔助計算!$F$2:$F$801, 0)+1))="","",INDEX(ERP資料!$G:$G, (MATCH(926, 輔助計算!$F$2:$F$801, 0)+1))), "")</f>
        <v/>
      </c>
      <c r="G927" s="10">
        <f>IFERROR(IF(INDEX(ERP資料!$H:$H, (MATCH(926, 輔助計算!$F$2:$F$801, 0)+1))="","",INDEX(ERP資料!$H:$H, (MATCH(926, 輔助計算!$F$2:$F$801, 0)+1))), "")</f>
        <v/>
      </c>
      <c r="H927" s="10">
        <f>IFERROR(IF(INDEX(ERP資料!$O:$O, (MATCH(926, 輔助計算!$F$2:$F$801, 0)+1))="","",INDEX(ERP資料!$O:$O, (MATCH(926, 輔助計算!$F$2:$F$801, 0)+1))), "")</f>
        <v/>
      </c>
      <c r="I927" s="15">
        <f>IFERROR(IF(INDEX(輔助計算!$D:$D,(MATCH(926, 輔助計算!$F$2:$F$801, 0)+1))="","",INDEX(輔助計算!$D:$D,(MATCH(926, 輔助計算!$F$2:$F$801, 0)+1))*INDEX(ERP資料!$O:$O,(MATCH(926, 輔助計算!$F$2:$F$801, 0)+1))), "")</f>
        <v/>
      </c>
      <c r="J927" s="16" t="n"/>
      <c r="K927" s="15">
        <f>IFERROR(INDEX(輔助計算!$D:$D, (MATCH(926, 輔助計算!$F$2:$F$801, 0)+1)), "")</f>
        <v/>
      </c>
      <c r="L927" s="16">
        <f>IFERROR(IF(AND(IFERROR(VLOOKUP(LEFT(INDEX(ERP資料!$S:$S, (MATCH(926, 輔助計算!$F$2:$F$801, 0)+1)), 4), 100張客戶!$A:$A, 1, FALSE), "")&lt;&gt;"", OR(INDEX(ERP資料!$F:$F, (MATCH(926, 輔助計算!$F$2:$F$801, 0)+1))=270, INDEX(ERP資料!$F:$F, (MATCH(926, 輔助計算!$F$2:$F$801, 0)+1))=300)), "100張", ""), "")</f>
        <v/>
      </c>
      <c r="M927" s="17" t="n"/>
      <c r="N927" s="17">
        <f>IF($F927="","",$F927)</f>
        <v/>
      </c>
      <c r="O927" s="17">
        <f>IF($G927="","",$G927)</f>
        <v/>
      </c>
      <c r="P927" s="17">
        <f>IF($K927="","",$K927)</f>
        <v/>
      </c>
      <c r="Q927" s="16" t="n"/>
      <c r="R927" s="18" t="n"/>
      <c r="S927" s="16" t="n"/>
    </row>
    <row r="928">
      <c r="A928" s="14">
        <f>IFERROR(IF(AND(IFERROR(INDEX(ERP資料!$A:$A, (MATCH(927, 輔助計算!$F$2:$F$801, 0)+1)), "")&lt;&gt;"", IFERROR(INDEX(ERP資料!$A:$A, (MATCH(927, 輔助計算!$F$2:$F$801, 0)+1)), "")&lt;&gt;IFERROR(INDEX(ERP資料!$A:$A, MATCH(926, 輔助計算!$F$2:$F$801, 0)+1), "")), INDEX(ERP資料!$B:$B, (MATCH(927, 輔助計算!$F$2:$F$801, 0)+1)), ""), "")</f>
        <v/>
      </c>
      <c r="B928" s="10">
        <f>IFERROR(IF(AND(IFERROR(INDEX(ERP資料!$A:$A, (MATCH(927, 輔助計算!$F$2:$F$801, 0)+1)), "")&lt;&gt;"", IFERROR(INDEX(ERP資料!$A:$A, (MATCH(927, 輔助計算!$F$2:$F$801, 0)+1)), "")&lt;&gt;IFERROR(INDEX(ERP資料!$A:$A, MATCH(926, 輔助計算!$F$2:$F$801, 0)+1), "")), IFERROR(INDEX(ERP資料!$A:$A, (MATCH(927, 輔助計算!$F$2:$F$801, 0)+1)), ""), ""), "")</f>
        <v/>
      </c>
      <c r="C928" s="10">
        <f>IFERROR(IF(AND(IFERROR(INDEX(ERP資料!$A:$A, (MATCH(927, 輔助計算!$F$2:$F$801, 0)+1)), "")&lt;&gt;"", IFERROR(INDEX(ERP資料!$A:$A, (MATCH(927, 輔助計算!$F$2:$F$801, 0)+1)), "")&lt;&gt;IFERROR(INDEX(ERP資料!$A:$A, MATCH(926, 輔助計算!$F$2:$F$801, 0)+1), "")), INDEX(ERP資料!$S:$S, (MATCH(927, 輔助計算!$F$2:$F$801, 0)+1)), ""), "")</f>
        <v/>
      </c>
      <c r="D928" s="10">
        <f>IFERROR(IF(INDEX(ERP資料!$E:$E, (MATCH(927, 輔助計算!$F$2:$F$801, 0)+1))="","",TRIM(INDEX(ERP資料!$E:$E, (MATCH(927, 輔助計算!$F$2:$F$801, 0)+1)))), "")</f>
        <v/>
      </c>
      <c r="E928" s="10">
        <f>IFERROR(IF(INDEX(ERP資料!$F:$F, (MATCH(927, 輔助計算!$F$2:$F$801, 0)+1))="","",INDEX(ERP資料!$F:$F, (MATCH(927, 輔助計算!$F$2:$F$801, 0)+1))), "")</f>
        <v/>
      </c>
      <c r="F928" s="10">
        <f>IFERROR(IF(INDEX(ERP資料!$G:$G, (MATCH(927, 輔助計算!$F$2:$F$801, 0)+1))="","",INDEX(ERP資料!$G:$G, (MATCH(927, 輔助計算!$F$2:$F$801, 0)+1))), "")</f>
        <v/>
      </c>
      <c r="G928" s="10">
        <f>IFERROR(IF(INDEX(ERP資料!$H:$H, (MATCH(927, 輔助計算!$F$2:$F$801, 0)+1))="","",INDEX(ERP資料!$H:$H, (MATCH(927, 輔助計算!$F$2:$F$801, 0)+1))), "")</f>
        <v/>
      </c>
      <c r="H928" s="10">
        <f>IFERROR(IF(INDEX(ERP資料!$O:$O, (MATCH(927, 輔助計算!$F$2:$F$801, 0)+1))="","",INDEX(ERP資料!$O:$O, (MATCH(927, 輔助計算!$F$2:$F$801, 0)+1))), "")</f>
        <v/>
      </c>
      <c r="I928" s="15">
        <f>IFERROR(IF(INDEX(輔助計算!$D:$D,(MATCH(927, 輔助計算!$F$2:$F$801, 0)+1))="","",INDEX(輔助計算!$D:$D,(MATCH(927, 輔助計算!$F$2:$F$801, 0)+1))*INDEX(ERP資料!$O:$O,(MATCH(927, 輔助計算!$F$2:$F$801, 0)+1))), "")</f>
        <v/>
      </c>
      <c r="J928" s="16" t="n"/>
      <c r="K928" s="15">
        <f>IFERROR(INDEX(輔助計算!$D:$D, (MATCH(927, 輔助計算!$F$2:$F$801, 0)+1)), "")</f>
        <v/>
      </c>
      <c r="L928" s="16">
        <f>IFERROR(IF(AND(IFERROR(VLOOKUP(LEFT(INDEX(ERP資料!$S:$S, (MATCH(927, 輔助計算!$F$2:$F$801, 0)+1)), 4), 100張客戶!$A:$A, 1, FALSE), "")&lt;&gt;"", OR(INDEX(ERP資料!$F:$F, (MATCH(927, 輔助計算!$F$2:$F$801, 0)+1))=270, INDEX(ERP資料!$F:$F, (MATCH(927, 輔助計算!$F$2:$F$801, 0)+1))=300)), "100張", ""), "")</f>
        <v/>
      </c>
      <c r="M928" s="17" t="n"/>
      <c r="N928" s="17">
        <f>IF($F928="","",$F928)</f>
        <v/>
      </c>
      <c r="O928" s="17">
        <f>IF($G928="","",$G928)</f>
        <v/>
      </c>
      <c r="P928" s="17">
        <f>IF($K928="","",$K928)</f>
        <v/>
      </c>
      <c r="Q928" s="16" t="n"/>
      <c r="R928" s="18" t="n"/>
      <c r="S928" s="16" t="n"/>
    </row>
    <row r="929">
      <c r="A929" s="14">
        <f>IFERROR(IF(AND(IFERROR(INDEX(ERP資料!$A:$A, (MATCH(928, 輔助計算!$F$2:$F$801, 0)+1)), "")&lt;&gt;"", IFERROR(INDEX(ERP資料!$A:$A, (MATCH(928, 輔助計算!$F$2:$F$801, 0)+1)), "")&lt;&gt;IFERROR(INDEX(ERP資料!$A:$A, MATCH(927, 輔助計算!$F$2:$F$801, 0)+1), "")), INDEX(ERP資料!$B:$B, (MATCH(928, 輔助計算!$F$2:$F$801, 0)+1)), ""), "")</f>
        <v/>
      </c>
      <c r="B929" s="10">
        <f>IFERROR(IF(AND(IFERROR(INDEX(ERP資料!$A:$A, (MATCH(928, 輔助計算!$F$2:$F$801, 0)+1)), "")&lt;&gt;"", IFERROR(INDEX(ERP資料!$A:$A, (MATCH(928, 輔助計算!$F$2:$F$801, 0)+1)), "")&lt;&gt;IFERROR(INDEX(ERP資料!$A:$A, MATCH(927, 輔助計算!$F$2:$F$801, 0)+1), "")), IFERROR(INDEX(ERP資料!$A:$A, (MATCH(928, 輔助計算!$F$2:$F$801, 0)+1)), ""), ""), "")</f>
        <v/>
      </c>
      <c r="C929" s="10">
        <f>IFERROR(IF(AND(IFERROR(INDEX(ERP資料!$A:$A, (MATCH(928, 輔助計算!$F$2:$F$801, 0)+1)), "")&lt;&gt;"", IFERROR(INDEX(ERP資料!$A:$A, (MATCH(928, 輔助計算!$F$2:$F$801, 0)+1)), "")&lt;&gt;IFERROR(INDEX(ERP資料!$A:$A, MATCH(927, 輔助計算!$F$2:$F$801, 0)+1), "")), INDEX(ERP資料!$S:$S, (MATCH(928, 輔助計算!$F$2:$F$801, 0)+1)), ""), "")</f>
        <v/>
      </c>
      <c r="D929" s="10">
        <f>IFERROR(IF(INDEX(ERP資料!$E:$E, (MATCH(928, 輔助計算!$F$2:$F$801, 0)+1))="","",TRIM(INDEX(ERP資料!$E:$E, (MATCH(928, 輔助計算!$F$2:$F$801, 0)+1)))), "")</f>
        <v/>
      </c>
      <c r="E929" s="10">
        <f>IFERROR(IF(INDEX(ERP資料!$F:$F, (MATCH(928, 輔助計算!$F$2:$F$801, 0)+1))="","",INDEX(ERP資料!$F:$F, (MATCH(928, 輔助計算!$F$2:$F$801, 0)+1))), "")</f>
        <v/>
      </c>
      <c r="F929" s="10">
        <f>IFERROR(IF(INDEX(ERP資料!$G:$G, (MATCH(928, 輔助計算!$F$2:$F$801, 0)+1))="","",INDEX(ERP資料!$G:$G, (MATCH(928, 輔助計算!$F$2:$F$801, 0)+1))), "")</f>
        <v/>
      </c>
      <c r="G929" s="10">
        <f>IFERROR(IF(INDEX(ERP資料!$H:$H, (MATCH(928, 輔助計算!$F$2:$F$801, 0)+1))="","",INDEX(ERP資料!$H:$H, (MATCH(928, 輔助計算!$F$2:$F$801, 0)+1))), "")</f>
        <v/>
      </c>
      <c r="H929" s="10">
        <f>IFERROR(IF(INDEX(ERP資料!$O:$O, (MATCH(928, 輔助計算!$F$2:$F$801, 0)+1))="","",INDEX(ERP資料!$O:$O, (MATCH(928, 輔助計算!$F$2:$F$801, 0)+1))), "")</f>
        <v/>
      </c>
      <c r="I929" s="15">
        <f>IFERROR(IF(INDEX(輔助計算!$D:$D,(MATCH(928, 輔助計算!$F$2:$F$801, 0)+1))="","",INDEX(輔助計算!$D:$D,(MATCH(928, 輔助計算!$F$2:$F$801, 0)+1))*INDEX(ERP資料!$O:$O,(MATCH(928, 輔助計算!$F$2:$F$801, 0)+1))), "")</f>
        <v/>
      </c>
      <c r="J929" s="16" t="n"/>
      <c r="K929" s="15">
        <f>IFERROR(INDEX(輔助計算!$D:$D, (MATCH(928, 輔助計算!$F$2:$F$801, 0)+1)), "")</f>
        <v/>
      </c>
      <c r="L929" s="16">
        <f>IFERROR(IF(AND(IFERROR(VLOOKUP(LEFT(INDEX(ERP資料!$S:$S, (MATCH(928, 輔助計算!$F$2:$F$801, 0)+1)), 4), 100張客戶!$A:$A, 1, FALSE), "")&lt;&gt;"", OR(INDEX(ERP資料!$F:$F, (MATCH(928, 輔助計算!$F$2:$F$801, 0)+1))=270, INDEX(ERP資料!$F:$F, (MATCH(928, 輔助計算!$F$2:$F$801, 0)+1))=300)), "100張", ""), "")</f>
        <v/>
      </c>
      <c r="M929" s="17" t="n"/>
      <c r="N929" s="17">
        <f>IF($F929="","",$F929)</f>
        <v/>
      </c>
      <c r="O929" s="17">
        <f>IF($G929="","",$G929)</f>
        <v/>
      </c>
      <c r="P929" s="17">
        <f>IF($K929="","",$K929)</f>
        <v/>
      </c>
      <c r="Q929" s="16" t="n"/>
      <c r="R929" s="18" t="n"/>
      <c r="S929" s="16" t="n"/>
    </row>
    <row r="930">
      <c r="A930" s="14">
        <f>IFERROR(IF(AND(IFERROR(INDEX(ERP資料!$A:$A, (MATCH(929, 輔助計算!$F$2:$F$801, 0)+1)), "")&lt;&gt;"", IFERROR(INDEX(ERP資料!$A:$A, (MATCH(929, 輔助計算!$F$2:$F$801, 0)+1)), "")&lt;&gt;IFERROR(INDEX(ERP資料!$A:$A, MATCH(928, 輔助計算!$F$2:$F$801, 0)+1), "")), INDEX(ERP資料!$B:$B, (MATCH(929, 輔助計算!$F$2:$F$801, 0)+1)), ""), "")</f>
        <v/>
      </c>
      <c r="B930" s="10">
        <f>IFERROR(IF(AND(IFERROR(INDEX(ERP資料!$A:$A, (MATCH(929, 輔助計算!$F$2:$F$801, 0)+1)), "")&lt;&gt;"", IFERROR(INDEX(ERP資料!$A:$A, (MATCH(929, 輔助計算!$F$2:$F$801, 0)+1)), "")&lt;&gt;IFERROR(INDEX(ERP資料!$A:$A, MATCH(928, 輔助計算!$F$2:$F$801, 0)+1), "")), IFERROR(INDEX(ERP資料!$A:$A, (MATCH(929, 輔助計算!$F$2:$F$801, 0)+1)), ""), ""), "")</f>
        <v/>
      </c>
      <c r="C930" s="10">
        <f>IFERROR(IF(AND(IFERROR(INDEX(ERP資料!$A:$A, (MATCH(929, 輔助計算!$F$2:$F$801, 0)+1)), "")&lt;&gt;"", IFERROR(INDEX(ERP資料!$A:$A, (MATCH(929, 輔助計算!$F$2:$F$801, 0)+1)), "")&lt;&gt;IFERROR(INDEX(ERP資料!$A:$A, MATCH(928, 輔助計算!$F$2:$F$801, 0)+1), "")), INDEX(ERP資料!$S:$S, (MATCH(929, 輔助計算!$F$2:$F$801, 0)+1)), ""), "")</f>
        <v/>
      </c>
      <c r="D930" s="10">
        <f>IFERROR(IF(INDEX(ERP資料!$E:$E, (MATCH(929, 輔助計算!$F$2:$F$801, 0)+1))="","",TRIM(INDEX(ERP資料!$E:$E, (MATCH(929, 輔助計算!$F$2:$F$801, 0)+1)))), "")</f>
        <v/>
      </c>
      <c r="E930" s="10">
        <f>IFERROR(IF(INDEX(ERP資料!$F:$F, (MATCH(929, 輔助計算!$F$2:$F$801, 0)+1))="","",INDEX(ERP資料!$F:$F, (MATCH(929, 輔助計算!$F$2:$F$801, 0)+1))), "")</f>
        <v/>
      </c>
      <c r="F930" s="10">
        <f>IFERROR(IF(INDEX(ERP資料!$G:$G, (MATCH(929, 輔助計算!$F$2:$F$801, 0)+1))="","",INDEX(ERP資料!$G:$G, (MATCH(929, 輔助計算!$F$2:$F$801, 0)+1))), "")</f>
        <v/>
      </c>
      <c r="G930" s="10">
        <f>IFERROR(IF(INDEX(ERP資料!$H:$H, (MATCH(929, 輔助計算!$F$2:$F$801, 0)+1))="","",INDEX(ERP資料!$H:$H, (MATCH(929, 輔助計算!$F$2:$F$801, 0)+1))), "")</f>
        <v/>
      </c>
      <c r="H930" s="10">
        <f>IFERROR(IF(INDEX(ERP資料!$O:$O, (MATCH(929, 輔助計算!$F$2:$F$801, 0)+1))="","",INDEX(ERP資料!$O:$O, (MATCH(929, 輔助計算!$F$2:$F$801, 0)+1))), "")</f>
        <v/>
      </c>
      <c r="I930" s="15">
        <f>IFERROR(IF(INDEX(輔助計算!$D:$D,(MATCH(929, 輔助計算!$F$2:$F$801, 0)+1))="","",INDEX(輔助計算!$D:$D,(MATCH(929, 輔助計算!$F$2:$F$801, 0)+1))*INDEX(ERP資料!$O:$O,(MATCH(929, 輔助計算!$F$2:$F$801, 0)+1))), "")</f>
        <v/>
      </c>
      <c r="J930" s="16" t="n"/>
      <c r="K930" s="15">
        <f>IFERROR(INDEX(輔助計算!$D:$D, (MATCH(929, 輔助計算!$F$2:$F$801, 0)+1)), "")</f>
        <v/>
      </c>
      <c r="L930" s="16">
        <f>IFERROR(IF(AND(IFERROR(VLOOKUP(LEFT(INDEX(ERP資料!$S:$S, (MATCH(929, 輔助計算!$F$2:$F$801, 0)+1)), 4), 100張客戶!$A:$A, 1, FALSE), "")&lt;&gt;"", OR(INDEX(ERP資料!$F:$F, (MATCH(929, 輔助計算!$F$2:$F$801, 0)+1))=270, INDEX(ERP資料!$F:$F, (MATCH(929, 輔助計算!$F$2:$F$801, 0)+1))=300)), "100張", ""), "")</f>
        <v/>
      </c>
      <c r="M930" s="17" t="n"/>
      <c r="N930" s="17">
        <f>IF($F930="","",$F930)</f>
        <v/>
      </c>
      <c r="O930" s="17">
        <f>IF($G930="","",$G930)</f>
        <v/>
      </c>
      <c r="P930" s="17">
        <f>IF($K930="","",$K930)</f>
        <v/>
      </c>
      <c r="Q930" s="16" t="n"/>
      <c r="R930" s="18" t="n"/>
      <c r="S930" s="16" t="n"/>
    </row>
    <row r="931">
      <c r="A931" s="14">
        <f>IFERROR(IF(AND(IFERROR(INDEX(ERP資料!$A:$A, (MATCH(930, 輔助計算!$F$2:$F$801, 0)+1)), "")&lt;&gt;"", IFERROR(INDEX(ERP資料!$A:$A, (MATCH(930, 輔助計算!$F$2:$F$801, 0)+1)), "")&lt;&gt;IFERROR(INDEX(ERP資料!$A:$A, MATCH(929, 輔助計算!$F$2:$F$801, 0)+1), "")), INDEX(ERP資料!$B:$B, (MATCH(930, 輔助計算!$F$2:$F$801, 0)+1)), ""), "")</f>
        <v/>
      </c>
      <c r="B931" s="10">
        <f>IFERROR(IF(AND(IFERROR(INDEX(ERP資料!$A:$A, (MATCH(930, 輔助計算!$F$2:$F$801, 0)+1)), "")&lt;&gt;"", IFERROR(INDEX(ERP資料!$A:$A, (MATCH(930, 輔助計算!$F$2:$F$801, 0)+1)), "")&lt;&gt;IFERROR(INDEX(ERP資料!$A:$A, MATCH(929, 輔助計算!$F$2:$F$801, 0)+1), "")), IFERROR(INDEX(ERP資料!$A:$A, (MATCH(930, 輔助計算!$F$2:$F$801, 0)+1)), ""), ""), "")</f>
        <v/>
      </c>
      <c r="C931" s="10">
        <f>IFERROR(IF(AND(IFERROR(INDEX(ERP資料!$A:$A, (MATCH(930, 輔助計算!$F$2:$F$801, 0)+1)), "")&lt;&gt;"", IFERROR(INDEX(ERP資料!$A:$A, (MATCH(930, 輔助計算!$F$2:$F$801, 0)+1)), "")&lt;&gt;IFERROR(INDEX(ERP資料!$A:$A, MATCH(929, 輔助計算!$F$2:$F$801, 0)+1), "")), INDEX(ERP資料!$S:$S, (MATCH(930, 輔助計算!$F$2:$F$801, 0)+1)), ""), "")</f>
        <v/>
      </c>
      <c r="D931" s="10">
        <f>IFERROR(IF(INDEX(ERP資料!$E:$E, (MATCH(930, 輔助計算!$F$2:$F$801, 0)+1))="","",TRIM(INDEX(ERP資料!$E:$E, (MATCH(930, 輔助計算!$F$2:$F$801, 0)+1)))), "")</f>
        <v/>
      </c>
      <c r="E931" s="10">
        <f>IFERROR(IF(INDEX(ERP資料!$F:$F, (MATCH(930, 輔助計算!$F$2:$F$801, 0)+1))="","",INDEX(ERP資料!$F:$F, (MATCH(930, 輔助計算!$F$2:$F$801, 0)+1))), "")</f>
        <v/>
      </c>
      <c r="F931" s="10">
        <f>IFERROR(IF(INDEX(ERP資料!$G:$G, (MATCH(930, 輔助計算!$F$2:$F$801, 0)+1))="","",INDEX(ERP資料!$G:$G, (MATCH(930, 輔助計算!$F$2:$F$801, 0)+1))), "")</f>
        <v/>
      </c>
      <c r="G931" s="10">
        <f>IFERROR(IF(INDEX(ERP資料!$H:$H, (MATCH(930, 輔助計算!$F$2:$F$801, 0)+1))="","",INDEX(ERP資料!$H:$H, (MATCH(930, 輔助計算!$F$2:$F$801, 0)+1))), "")</f>
        <v/>
      </c>
      <c r="H931" s="10">
        <f>IFERROR(IF(INDEX(ERP資料!$O:$O, (MATCH(930, 輔助計算!$F$2:$F$801, 0)+1))="","",INDEX(ERP資料!$O:$O, (MATCH(930, 輔助計算!$F$2:$F$801, 0)+1))), "")</f>
        <v/>
      </c>
      <c r="I931" s="15">
        <f>IFERROR(IF(INDEX(輔助計算!$D:$D,(MATCH(930, 輔助計算!$F$2:$F$801, 0)+1))="","",INDEX(輔助計算!$D:$D,(MATCH(930, 輔助計算!$F$2:$F$801, 0)+1))*INDEX(ERP資料!$O:$O,(MATCH(930, 輔助計算!$F$2:$F$801, 0)+1))), "")</f>
        <v/>
      </c>
      <c r="J931" s="16" t="n"/>
      <c r="K931" s="15">
        <f>IFERROR(INDEX(輔助計算!$D:$D, (MATCH(930, 輔助計算!$F$2:$F$801, 0)+1)), "")</f>
        <v/>
      </c>
      <c r="L931" s="16">
        <f>IFERROR(IF(AND(IFERROR(VLOOKUP(LEFT(INDEX(ERP資料!$S:$S, (MATCH(930, 輔助計算!$F$2:$F$801, 0)+1)), 4), 100張客戶!$A:$A, 1, FALSE), "")&lt;&gt;"", OR(INDEX(ERP資料!$F:$F, (MATCH(930, 輔助計算!$F$2:$F$801, 0)+1))=270, INDEX(ERP資料!$F:$F, (MATCH(930, 輔助計算!$F$2:$F$801, 0)+1))=300)), "100張", ""), "")</f>
        <v/>
      </c>
      <c r="M931" s="17" t="n"/>
      <c r="N931" s="17">
        <f>IF($F931="","",$F931)</f>
        <v/>
      </c>
      <c r="O931" s="17">
        <f>IF($G931="","",$G931)</f>
        <v/>
      </c>
      <c r="P931" s="17">
        <f>IF($K931="","",$K931)</f>
        <v/>
      </c>
      <c r="Q931" s="16" t="n"/>
      <c r="R931" s="18" t="n"/>
      <c r="S931" s="16" t="n"/>
    </row>
    <row r="932">
      <c r="A932" s="14">
        <f>IFERROR(IF(AND(IFERROR(INDEX(ERP資料!$A:$A, (MATCH(931, 輔助計算!$F$2:$F$801, 0)+1)), "")&lt;&gt;"", IFERROR(INDEX(ERP資料!$A:$A, (MATCH(931, 輔助計算!$F$2:$F$801, 0)+1)), "")&lt;&gt;IFERROR(INDEX(ERP資料!$A:$A, MATCH(930, 輔助計算!$F$2:$F$801, 0)+1), "")), INDEX(ERP資料!$B:$B, (MATCH(931, 輔助計算!$F$2:$F$801, 0)+1)), ""), "")</f>
        <v/>
      </c>
      <c r="B932" s="10">
        <f>IFERROR(IF(AND(IFERROR(INDEX(ERP資料!$A:$A, (MATCH(931, 輔助計算!$F$2:$F$801, 0)+1)), "")&lt;&gt;"", IFERROR(INDEX(ERP資料!$A:$A, (MATCH(931, 輔助計算!$F$2:$F$801, 0)+1)), "")&lt;&gt;IFERROR(INDEX(ERP資料!$A:$A, MATCH(930, 輔助計算!$F$2:$F$801, 0)+1), "")), IFERROR(INDEX(ERP資料!$A:$A, (MATCH(931, 輔助計算!$F$2:$F$801, 0)+1)), ""), ""), "")</f>
        <v/>
      </c>
      <c r="C932" s="10">
        <f>IFERROR(IF(AND(IFERROR(INDEX(ERP資料!$A:$A, (MATCH(931, 輔助計算!$F$2:$F$801, 0)+1)), "")&lt;&gt;"", IFERROR(INDEX(ERP資料!$A:$A, (MATCH(931, 輔助計算!$F$2:$F$801, 0)+1)), "")&lt;&gt;IFERROR(INDEX(ERP資料!$A:$A, MATCH(930, 輔助計算!$F$2:$F$801, 0)+1), "")), INDEX(ERP資料!$S:$S, (MATCH(931, 輔助計算!$F$2:$F$801, 0)+1)), ""), "")</f>
        <v/>
      </c>
      <c r="D932" s="10">
        <f>IFERROR(IF(INDEX(ERP資料!$E:$E, (MATCH(931, 輔助計算!$F$2:$F$801, 0)+1))="","",TRIM(INDEX(ERP資料!$E:$E, (MATCH(931, 輔助計算!$F$2:$F$801, 0)+1)))), "")</f>
        <v/>
      </c>
      <c r="E932" s="10">
        <f>IFERROR(IF(INDEX(ERP資料!$F:$F, (MATCH(931, 輔助計算!$F$2:$F$801, 0)+1))="","",INDEX(ERP資料!$F:$F, (MATCH(931, 輔助計算!$F$2:$F$801, 0)+1))), "")</f>
        <v/>
      </c>
      <c r="F932" s="10">
        <f>IFERROR(IF(INDEX(ERP資料!$G:$G, (MATCH(931, 輔助計算!$F$2:$F$801, 0)+1))="","",INDEX(ERP資料!$G:$G, (MATCH(931, 輔助計算!$F$2:$F$801, 0)+1))), "")</f>
        <v/>
      </c>
      <c r="G932" s="10">
        <f>IFERROR(IF(INDEX(ERP資料!$H:$H, (MATCH(931, 輔助計算!$F$2:$F$801, 0)+1))="","",INDEX(ERP資料!$H:$H, (MATCH(931, 輔助計算!$F$2:$F$801, 0)+1))), "")</f>
        <v/>
      </c>
      <c r="H932" s="10">
        <f>IFERROR(IF(INDEX(ERP資料!$O:$O, (MATCH(931, 輔助計算!$F$2:$F$801, 0)+1))="","",INDEX(ERP資料!$O:$O, (MATCH(931, 輔助計算!$F$2:$F$801, 0)+1))), "")</f>
        <v/>
      </c>
      <c r="I932" s="15">
        <f>IFERROR(IF(INDEX(輔助計算!$D:$D,(MATCH(931, 輔助計算!$F$2:$F$801, 0)+1))="","",INDEX(輔助計算!$D:$D,(MATCH(931, 輔助計算!$F$2:$F$801, 0)+1))*INDEX(ERP資料!$O:$O,(MATCH(931, 輔助計算!$F$2:$F$801, 0)+1))), "")</f>
        <v/>
      </c>
      <c r="J932" s="16" t="n"/>
      <c r="K932" s="15">
        <f>IFERROR(INDEX(輔助計算!$D:$D, (MATCH(931, 輔助計算!$F$2:$F$801, 0)+1)), "")</f>
        <v/>
      </c>
      <c r="L932" s="16">
        <f>IFERROR(IF(AND(IFERROR(VLOOKUP(LEFT(INDEX(ERP資料!$S:$S, (MATCH(931, 輔助計算!$F$2:$F$801, 0)+1)), 4), 100張客戶!$A:$A, 1, FALSE), "")&lt;&gt;"", OR(INDEX(ERP資料!$F:$F, (MATCH(931, 輔助計算!$F$2:$F$801, 0)+1))=270, INDEX(ERP資料!$F:$F, (MATCH(931, 輔助計算!$F$2:$F$801, 0)+1))=300)), "100張", ""), "")</f>
        <v/>
      </c>
      <c r="M932" s="17" t="n"/>
      <c r="N932" s="17">
        <f>IF($F932="","",$F932)</f>
        <v/>
      </c>
      <c r="O932" s="17">
        <f>IF($G932="","",$G932)</f>
        <v/>
      </c>
      <c r="P932" s="17">
        <f>IF($K932="","",$K932)</f>
        <v/>
      </c>
      <c r="Q932" s="16" t="n"/>
      <c r="R932" s="18" t="n"/>
      <c r="S932" s="16" t="n"/>
    </row>
    <row r="933">
      <c r="A933" s="14">
        <f>IFERROR(IF(AND(IFERROR(INDEX(ERP資料!$A:$A, (MATCH(932, 輔助計算!$F$2:$F$801, 0)+1)), "")&lt;&gt;"", IFERROR(INDEX(ERP資料!$A:$A, (MATCH(932, 輔助計算!$F$2:$F$801, 0)+1)), "")&lt;&gt;IFERROR(INDEX(ERP資料!$A:$A, MATCH(931, 輔助計算!$F$2:$F$801, 0)+1), "")), INDEX(ERP資料!$B:$B, (MATCH(932, 輔助計算!$F$2:$F$801, 0)+1)), ""), "")</f>
        <v/>
      </c>
      <c r="B933" s="10">
        <f>IFERROR(IF(AND(IFERROR(INDEX(ERP資料!$A:$A, (MATCH(932, 輔助計算!$F$2:$F$801, 0)+1)), "")&lt;&gt;"", IFERROR(INDEX(ERP資料!$A:$A, (MATCH(932, 輔助計算!$F$2:$F$801, 0)+1)), "")&lt;&gt;IFERROR(INDEX(ERP資料!$A:$A, MATCH(931, 輔助計算!$F$2:$F$801, 0)+1), "")), IFERROR(INDEX(ERP資料!$A:$A, (MATCH(932, 輔助計算!$F$2:$F$801, 0)+1)), ""), ""), "")</f>
        <v/>
      </c>
      <c r="C933" s="10">
        <f>IFERROR(IF(AND(IFERROR(INDEX(ERP資料!$A:$A, (MATCH(932, 輔助計算!$F$2:$F$801, 0)+1)), "")&lt;&gt;"", IFERROR(INDEX(ERP資料!$A:$A, (MATCH(932, 輔助計算!$F$2:$F$801, 0)+1)), "")&lt;&gt;IFERROR(INDEX(ERP資料!$A:$A, MATCH(931, 輔助計算!$F$2:$F$801, 0)+1), "")), INDEX(ERP資料!$S:$S, (MATCH(932, 輔助計算!$F$2:$F$801, 0)+1)), ""), "")</f>
        <v/>
      </c>
      <c r="D933" s="10">
        <f>IFERROR(IF(INDEX(ERP資料!$E:$E, (MATCH(932, 輔助計算!$F$2:$F$801, 0)+1))="","",TRIM(INDEX(ERP資料!$E:$E, (MATCH(932, 輔助計算!$F$2:$F$801, 0)+1)))), "")</f>
        <v/>
      </c>
      <c r="E933" s="10">
        <f>IFERROR(IF(INDEX(ERP資料!$F:$F, (MATCH(932, 輔助計算!$F$2:$F$801, 0)+1))="","",INDEX(ERP資料!$F:$F, (MATCH(932, 輔助計算!$F$2:$F$801, 0)+1))), "")</f>
        <v/>
      </c>
      <c r="F933" s="10">
        <f>IFERROR(IF(INDEX(ERP資料!$G:$G, (MATCH(932, 輔助計算!$F$2:$F$801, 0)+1))="","",INDEX(ERP資料!$G:$G, (MATCH(932, 輔助計算!$F$2:$F$801, 0)+1))), "")</f>
        <v/>
      </c>
      <c r="G933" s="10">
        <f>IFERROR(IF(INDEX(ERP資料!$H:$H, (MATCH(932, 輔助計算!$F$2:$F$801, 0)+1))="","",INDEX(ERP資料!$H:$H, (MATCH(932, 輔助計算!$F$2:$F$801, 0)+1))), "")</f>
        <v/>
      </c>
      <c r="H933" s="10">
        <f>IFERROR(IF(INDEX(ERP資料!$O:$O, (MATCH(932, 輔助計算!$F$2:$F$801, 0)+1))="","",INDEX(ERP資料!$O:$O, (MATCH(932, 輔助計算!$F$2:$F$801, 0)+1))), "")</f>
        <v/>
      </c>
      <c r="I933" s="15">
        <f>IFERROR(IF(INDEX(輔助計算!$D:$D,(MATCH(932, 輔助計算!$F$2:$F$801, 0)+1))="","",INDEX(輔助計算!$D:$D,(MATCH(932, 輔助計算!$F$2:$F$801, 0)+1))*INDEX(ERP資料!$O:$O,(MATCH(932, 輔助計算!$F$2:$F$801, 0)+1))), "")</f>
        <v/>
      </c>
      <c r="J933" s="16" t="n"/>
      <c r="K933" s="15">
        <f>IFERROR(INDEX(輔助計算!$D:$D, (MATCH(932, 輔助計算!$F$2:$F$801, 0)+1)), "")</f>
        <v/>
      </c>
      <c r="L933" s="16">
        <f>IFERROR(IF(AND(IFERROR(VLOOKUP(LEFT(INDEX(ERP資料!$S:$S, (MATCH(932, 輔助計算!$F$2:$F$801, 0)+1)), 4), 100張客戶!$A:$A, 1, FALSE), "")&lt;&gt;"", OR(INDEX(ERP資料!$F:$F, (MATCH(932, 輔助計算!$F$2:$F$801, 0)+1))=270, INDEX(ERP資料!$F:$F, (MATCH(932, 輔助計算!$F$2:$F$801, 0)+1))=300)), "100張", ""), "")</f>
        <v/>
      </c>
      <c r="M933" s="17" t="n"/>
      <c r="N933" s="17">
        <f>IF($F933="","",$F933)</f>
        <v/>
      </c>
      <c r="O933" s="17">
        <f>IF($G933="","",$G933)</f>
        <v/>
      </c>
      <c r="P933" s="17">
        <f>IF($K933="","",$K933)</f>
        <v/>
      </c>
      <c r="Q933" s="16" t="n"/>
      <c r="R933" s="18" t="n"/>
      <c r="S933" s="16" t="n"/>
    </row>
    <row r="934">
      <c r="A934" s="14">
        <f>IFERROR(IF(AND(IFERROR(INDEX(ERP資料!$A:$A, (MATCH(933, 輔助計算!$F$2:$F$801, 0)+1)), "")&lt;&gt;"", IFERROR(INDEX(ERP資料!$A:$A, (MATCH(933, 輔助計算!$F$2:$F$801, 0)+1)), "")&lt;&gt;IFERROR(INDEX(ERP資料!$A:$A, MATCH(932, 輔助計算!$F$2:$F$801, 0)+1), "")), INDEX(ERP資料!$B:$B, (MATCH(933, 輔助計算!$F$2:$F$801, 0)+1)), ""), "")</f>
        <v/>
      </c>
      <c r="B934" s="10">
        <f>IFERROR(IF(AND(IFERROR(INDEX(ERP資料!$A:$A, (MATCH(933, 輔助計算!$F$2:$F$801, 0)+1)), "")&lt;&gt;"", IFERROR(INDEX(ERP資料!$A:$A, (MATCH(933, 輔助計算!$F$2:$F$801, 0)+1)), "")&lt;&gt;IFERROR(INDEX(ERP資料!$A:$A, MATCH(932, 輔助計算!$F$2:$F$801, 0)+1), "")), IFERROR(INDEX(ERP資料!$A:$A, (MATCH(933, 輔助計算!$F$2:$F$801, 0)+1)), ""), ""), "")</f>
        <v/>
      </c>
      <c r="C934" s="10">
        <f>IFERROR(IF(AND(IFERROR(INDEX(ERP資料!$A:$A, (MATCH(933, 輔助計算!$F$2:$F$801, 0)+1)), "")&lt;&gt;"", IFERROR(INDEX(ERP資料!$A:$A, (MATCH(933, 輔助計算!$F$2:$F$801, 0)+1)), "")&lt;&gt;IFERROR(INDEX(ERP資料!$A:$A, MATCH(932, 輔助計算!$F$2:$F$801, 0)+1), "")), INDEX(ERP資料!$S:$S, (MATCH(933, 輔助計算!$F$2:$F$801, 0)+1)), ""), "")</f>
        <v/>
      </c>
      <c r="D934" s="10">
        <f>IFERROR(IF(INDEX(ERP資料!$E:$E, (MATCH(933, 輔助計算!$F$2:$F$801, 0)+1))="","",TRIM(INDEX(ERP資料!$E:$E, (MATCH(933, 輔助計算!$F$2:$F$801, 0)+1)))), "")</f>
        <v/>
      </c>
      <c r="E934" s="10">
        <f>IFERROR(IF(INDEX(ERP資料!$F:$F, (MATCH(933, 輔助計算!$F$2:$F$801, 0)+1))="","",INDEX(ERP資料!$F:$F, (MATCH(933, 輔助計算!$F$2:$F$801, 0)+1))), "")</f>
        <v/>
      </c>
      <c r="F934" s="10">
        <f>IFERROR(IF(INDEX(ERP資料!$G:$G, (MATCH(933, 輔助計算!$F$2:$F$801, 0)+1))="","",INDEX(ERP資料!$G:$G, (MATCH(933, 輔助計算!$F$2:$F$801, 0)+1))), "")</f>
        <v/>
      </c>
      <c r="G934" s="10">
        <f>IFERROR(IF(INDEX(ERP資料!$H:$H, (MATCH(933, 輔助計算!$F$2:$F$801, 0)+1))="","",INDEX(ERP資料!$H:$H, (MATCH(933, 輔助計算!$F$2:$F$801, 0)+1))), "")</f>
        <v/>
      </c>
      <c r="H934" s="10">
        <f>IFERROR(IF(INDEX(ERP資料!$O:$O, (MATCH(933, 輔助計算!$F$2:$F$801, 0)+1))="","",INDEX(ERP資料!$O:$O, (MATCH(933, 輔助計算!$F$2:$F$801, 0)+1))), "")</f>
        <v/>
      </c>
      <c r="I934" s="15">
        <f>IFERROR(IF(INDEX(輔助計算!$D:$D,(MATCH(933, 輔助計算!$F$2:$F$801, 0)+1))="","",INDEX(輔助計算!$D:$D,(MATCH(933, 輔助計算!$F$2:$F$801, 0)+1))*INDEX(ERP資料!$O:$O,(MATCH(933, 輔助計算!$F$2:$F$801, 0)+1))), "")</f>
        <v/>
      </c>
      <c r="J934" s="16" t="n"/>
      <c r="K934" s="15">
        <f>IFERROR(INDEX(輔助計算!$D:$D, (MATCH(933, 輔助計算!$F$2:$F$801, 0)+1)), "")</f>
        <v/>
      </c>
      <c r="L934" s="16">
        <f>IFERROR(IF(AND(IFERROR(VLOOKUP(LEFT(INDEX(ERP資料!$S:$S, (MATCH(933, 輔助計算!$F$2:$F$801, 0)+1)), 4), 100張客戶!$A:$A, 1, FALSE), "")&lt;&gt;"", OR(INDEX(ERP資料!$F:$F, (MATCH(933, 輔助計算!$F$2:$F$801, 0)+1))=270, INDEX(ERP資料!$F:$F, (MATCH(933, 輔助計算!$F$2:$F$801, 0)+1))=300)), "100張", ""), "")</f>
        <v/>
      </c>
      <c r="M934" s="17" t="n"/>
      <c r="N934" s="17">
        <f>IF($F934="","",$F934)</f>
        <v/>
      </c>
      <c r="O934" s="17">
        <f>IF($G934="","",$G934)</f>
        <v/>
      </c>
      <c r="P934" s="17">
        <f>IF($K934="","",$K934)</f>
        <v/>
      </c>
      <c r="Q934" s="16" t="n"/>
      <c r="R934" s="18" t="n"/>
      <c r="S934" s="16" t="n"/>
    </row>
    <row r="935">
      <c r="A935" s="14">
        <f>IFERROR(IF(AND(IFERROR(INDEX(ERP資料!$A:$A, (MATCH(934, 輔助計算!$F$2:$F$801, 0)+1)), "")&lt;&gt;"", IFERROR(INDEX(ERP資料!$A:$A, (MATCH(934, 輔助計算!$F$2:$F$801, 0)+1)), "")&lt;&gt;IFERROR(INDEX(ERP資料!$A:$A, MATCH(933, 輔助計算!$F$2:$F$801, 0)+1), "")), INDEX(ERP資料!$B:$B, (MATCH(934, 輔助計算!$F$2:$F$801, 0)+1)), ""), "")</f>
        <v/>
      </c>
      <c r="B935" s="10">
        <f>IFERROR(IF(AND(IFERROR(INDEX(ERP資料!$A:$A, (MATCH(934, 輔助計算!$F$2:$F$801, 0)+1)), "")&lt;&gt;"", IFERROR(INDEX(ERP資料!$A:$A, (MATCH(934, 輔助計算!$F$2:$F$801, 0)+1)), "")&lt;&gt;IFERROR(INDEX(ERP資料!$A:$A, MATCH(933, 輔助計算!$F$2:$F$801, 0)+1), "")), IFERROR(INDEX(ERP資料!$A:$A, (MATCH(934, 輔助計算!$F$2:$F$801, 0)+1)), ""), ""), "")</f>
        <v/>
      </c>
      <c r="C935" s="10">
        <f>IFERROR(IF(AND(IFERROR(INDEX(ERP資料!$A:$A, (MATCH(934, 輔助計算!$F$2:$F$801, 0)+1)), "")&lt;&gt;"", IFERROR(INDEX(ERP資料!$A:$A, (MATCH(934, 輔助計算!$F$2:$F$801, 0)+1)), "")&lt;&gt;IFERROR(INDEX(ERP資料!$A:$A, MATCH(933, 輔助計算!$F$2:$F$801, 0)+1), "")), INDEX(ERP資料!$S:$S, (MATCH(934, 輔助計算!$F$2:$F$801, 0)+1)), ""), "")</f>
        <v/>
      </c>
      <c r="D935" s="10">
        <f>IFERROR(IF(INDEX(ERP資料!$E:$E, (MATCH(934, 輔助計算!$F$2:$F$801, 0)+1))="","",TRIM(INDEX(ERP資料!$E:$E, (MATCH(934, 輔助計算!$F$2:$F$801, 0)+1)))), "")</f>
        <v/>
      </c>
      <c r="E935" s="10">
        <f>IFERROR(IF(INDEX(ERP資料!$F:$F, (MATCH(934, 輔助計算!$F$2:$F$801, 0)+1))="","",INDEX(ERP資料!$F:$F, (MATCH(934, 輔助計算!$F$2:$F$801, 0)+1))), "")</f>
        <v/>
      </c>
      <c r="F935" s="10">
        <f>IFERROR(IF(INDEX(ERP資料!$G:$G, (MATCH(934, 輔助計算!$F$2:$F$801, 0)+1))="","",INDEX(ERP資料!$G:$G, (MATCH(934, 輔助計算!$F$2:$F$801, 0)+1))), "")</f>
        <v/>
      </c>
      <c r="G935" s="10">
        <f>IFERROR(IF(INDEX(ERP資料!$H:$H, (MATCH(934, 輔助計算!$F$2:$F$801, 0)+1))="","",INDEX(ERP資料!$H:$H, (MATCH(934, 輔助計算!$F$2:$F$801, 0)+1))), "")</f>
        <v/>
      </c>
      <c r="H935" s="10">
        <f>IFERROR(IF(INDEX(ERP資料!$O:$O, (MATCH(934, 輔助計算!$F$2:$F$801, 0)+1))="","",INDEX(ERP資料!$O:$O, (MATCH(934, 輔助計算!$F$2:$F$801, 0)+1))), "")</f>
        <v/>
      </c>
      <c r="I935" s="15">
        <f>IFERROR(IF(INDEX(輔助計算!$D:$D,(MATCH(934, 輔助計算!$F$2:$F$801, 0)+1))="","",INDEX(輔助計算!$D:$D,(MATCH(934, 輔助計算!$F$2:$F$801, 0)+1))*INDEX(ERP資料!$O:$O,(MATCH(934, 輔助計算!$F$2:$F$801, 0)+1))), "")</f>
        <v/>
      </c>
      <c r="J935" s="16" t="n"/>
      <c r="K935" s="15">
        <f>IFERROR(INDEX(輔助計算!$D:$D, (MATCH(934, 輔助計算!$F$2:$F$801, 0)+1)), "")</f>
        <v/>
      </c>
      <c r="L935" s="16">
        <f>IFERROR(IF(AND(IFERROR(VLOOKUP(LEFT(INDEX(ERP資料!$S:$S, (MATCH(934, 輔助計算!$F$2:$F$801, 0)+1)), 4), 100張客戶!$A:$A, 1, FALSE), "")&lt;&gt;"", OR(INDEX(ERP資料!$F:$F, (MATCH(934, 輔助計算!$F$2:$F$801, 0)+1))=270, INDEX(ERP資料!$F:$F, (MATCH(934, 輔助計算!$F$2:$F$801, 0)+1))=300)), "100張", ""), "")</f>
        <v/>
      </c>
      <c r="M935" s="17" t="n"/>
      <c r="N935" s="17">
        <f>IF($F935="","",$F935)</f>
        <v/>
      </c>
      <c r="O935" s="17">
        <f>IF($G935="","",$G935)</f>
        <v/>
      </c>
      <c r="P935" s="17">
        <f>IF($K935="","",$K935)</f>
        <v/>
      </c>
      <c r="Q935" s="16" t="n"/>
      <c r="R935" s="18" t="n"/>
      <c r="S935" s="16" t="n"/>
    </row>
    <row r="936">
      <c r="A936" s="14">
        <f>IFERROR(IF(AND(IFERROR(INDEX(ERP資料!$A:$A, (MATCH(935, 輔助計算!$F$2:$F$801, 0)+1)), "")&lt;&gt;"", IFERROR(INDEX(ERP資料!$A:$A, (MATCH(935, 輔助計算!$F$2:$F$801, 0)+1)), "")&lt;&gt;IFERROR(INDEX(ERP資料!$A:$A, MATCH(934, 輔助計算!$F$2:$F$801, 0)+1), "")), INDEX(ERP資料!$B:$B, (MATCH(935, 輔助計算!$F$2:$F$801, 0)+1)), ""), "")</f>
        <v/>
      </c>
      <c r="B936" s="10">
        <f>IFERROR(IF(AND(IFERROR(INDEX(ERP資料!$A:$A, (MATCH(935, 輔助計算!$F$2:$F$801, 0)+1)), "")&lt;&gt;"", IFERROR(INDEX(ERP資料!$A:$A, (MATCH(935, 輔助計算!$F$2:$F$801, 0)+1)), "")&lt;&gt;IFERROR(INDEX(ERP資料!$A:$A, MATCH(934, 輔助計算!$F$2:$F$801, 0)+1), "")), IFERROR(INDEX(ERP資料!$A:$A, (MATCH(935, 輔助計算!$F$2:$F$801, 0)+1)), ""), ""), "")</f>
        <v/>
      </c>
      <c r="C936" s="10">
        <f>IFERROR(IF(AND(IFERROR(INDEX(ERP資料!$A:$A, (MATCH(935, 輔助計算!$F$2:$F$801, 0)+1)), "")&lt;&gt;"", IFERROR(INDEX(ERP資料!$A:$A, (MATCH(935, 輔助計算!$F$2:$F$801, 0)+1)), "")&lt;&gt;IFERROR(INDEX(ERP資料!$A:$A, MATCH(934, 輔助計算!$F$2:$F$801, 0)+1), "")), INDEX(ERP資料!$S:$S, (MATCH(935, 輔助計算!$F$2:$F$801, 0)+1)), ""), "")</f>
        <v/>
      </c>
      <c r="D936" s="10">
        <f>IFERROR(IF(INDEX(ERP資料!$E:$E, (MATCH(935, 輔助計算!$F$2:$F$801, 0)+1))="","",TRIM(INDEX(ERP資料!$E:$E, (MATCH(935, 輔助計算!$F$2:$F$801, 0)+1)))), "")</f>
        <v/>
      </c>
      <c r="E936" s="10">
        <f>IFERROR(IF(INDEX(ERP資料!$F:$F, (MATCH(935, 輔助計算!$F$2:$F$801, 0)+1))="","",INDEX(ERP資料!$F:$F, (MATCH(935, 輔助計算!$F$2:$F$801, 0)+1))), "")</f>
        <v/>
      </c>
      <c r="F936" s="10">
        <f>IFERROR(IF(INDEX(ERP資料!$G:$G, (MATCH(935, 輔助計算!$F$2:$F$801, 0)+1))="","",INDEX(ERP資料!$G:$G, (MATCH(935, 輔助計算!$F$2:$F$801, 0)+1))), "")</f>
        <v/>
      </c>
      <c r="G936" s="10">
        <f>IFERROR(IF(INDEX(ERP資料!$H:$H, (MATCH(935, 輔助計算!$F$2:$F$801, 0)+1))="","",INDEX(ERP資料!$H:$H, (MATCH(935, 輔助計算!$F$2:$F$801, 0)+1))), "")</f>
        <v/>
      </c>
      <c r="H936" s="10">
        <f>IFERROR(IF(INDEX(ERP資料!$O:$O, (MATCH(935, 輔助計算!$F$2:$F$801, 0)+1))="","",INDEX(ERP資料!$O:$O, (MATCH(935, 輔助計算!$F$2:$F$801, 0)+1))), "")</f>
        <v/>
      </c>
      <c r="I936" s="15">
        <f>IFERROR(IF(INDEX(輔助計算!$D:$D,(MATCH(935, 輔助計算!$F$2:$F$801, 0)+1))="","",INDEX(輔助計算!$D:$D,(MATCH(935, 輔助計算!$F$2:$F$801, 0)+1))*INDEX(ERP資料!$O:$O,(MATCH(935, 輔助計算!$F$2:$F$801, 0)+1))), "")</f>
        <v/>
      </c>
      <c r="J936" s="16" t="n"/>
      <c r="K936" s="15">
        <f>IFERROR(INDEX(輔助計算!$D:$D, (MATCH(935, 輔助計算!$F$2:$F$801, 0)+1)), "")</f>
        <v/>
      </c>
      <c r="L936" s="16">
        <f>IFERROR(IF(AND(IFERROR(VLOOKUP(LEFT(INDEX(ERP資料!$S:$S, (MATCH(935, 輔助計算!$F$2:$F$801, 0)+1)), 4), 100張客戶!$A:$A, 1, FALSE), "")&lt;&gt;"", OR(INDEX(ERP資料!$F:$F, (MATCH(935, 輔助計算!$F$2:$F$801, 0)+1))=270, INDEX(ERP資料!$F:$F, (MATCH(935, 輔助計算!$F$2:$F$801, 0)+1))=300)), "100張", ""), "")</f>
        <v/>
      </c>
      <c r="M936" s="17" t="n"/>
      <c r="N936" s="17">
        <f>IF($F936="","",$F936)</f>
        <v/>
      </c>
      <c r="O936" s="17">
        <f>IF($G936="","",$G936)</f>
        <v/>
      </c>
      <c r="P936" s="17">
        <f>IF($K936="","",$K936)</f>
        <v/>
      </c>
      <c r="Q936" s="16" t="n"/>
      <c r="R936" s="18" t="n"/>
      <c r="S936" s="16" t="n"/>
    </row>
    <row r="937">
      <c r="A937" s="14">
        <f>IFERROR(IF(AND(IFERROR(INDEX(ERP資料!$A:$A, (MATCH(936, 輔助計算!$F$2:$F$801, 0)+1)), "")&lt;&gt;"", IFERROR(INDEX(ERP資料!$A:$A, (MATCH(936, 輔助計算!$F$2:$F$801, 0)+1)), "")&lt;&gt;IFERROR(INDEX(ERP資料!$A:$A, MATCH(935, 輔助計算!$F$2:$F$801, 0)+1), "")), INDEX(ERP資料!$B:$B, (MATCH(936, 輔助計算!$F$2:$F$801, 0)+1)), ""), "")</f>
        <v/>
      </c>
      <c r="B937" s="10">
        <f>IFERROR(IF(AND(IFERROR(INDEX(ERP資料!$A:$A, (MATCH(936, 輔助計算!$F$2:$F$801, 0)+1)), "")&lt;&gt;"", IFERROR(INDEX(ERP資料!$A:$A, (MATCH(936, 輔助計算!$F$2:$F$801, 0)+1)), "")&lt;&gt;IFERROR(INDEX(ERP資料!$A:$A, MATCH(935, 輔助計算!$F$2:$F$801, 0)+1), "")), IFERROR(INDEX(ERP資料!$A:$A, (MATCH(936, 輔助計算!$F$2:$F$801, 0)+1)), ""), ""), "")</f>
        <v/>
      </c>
      <c r="C937" s="10">
        <f>IFERROR(IF(AND(IFERROR(INDEX(ERP資料!$A:$A, (MATCH(936, 輔助計算!$F$2:$F$801, 0)+1)), "")&lt;&gt;"", IFERROR(INDEX(ERP資料!$A:$A, (MATCH(936, 輔助計算!$F$2:$F$801, 0)+1)), "")&lt;&gt;IFERROR(INDEX(ERP資料!$A:$A, MATCH(935, 輔助計算!$F$2:$F$801, 0)+1), "")), INDEX(ERP資料!$S:$S, (MATCH(936, 輔助計算!$F$2:$F$801, 0)+1)), ""), "")</f>
        <v/>
      </c>
      <c r="D937" s="10">
        <f>IFERROR(IF(INDEX(ERP資料!$E:$E, (MATCH(936, 輔助計算!$F$2:$F$801, 0)+1))="","",TRIM(INDEX(ERP資料!$E:$E, (MATCH(936, 輔助計算!$F$2:$F$801, 0)+1)))), "")</f>
        <v/>
      </c>
      <c r="E937" s="10">
        <f>IFERROR(IF(INDEX(ERP資料!$F:$F, (MATCH(936, 輔助計算!$F$2:$F$801, 0)+1))="","",INDEX(ERP資料!$F:$F, (MATCH(936, 輔助計算!$F$2:$F$801, 0)+1))), "")</f>
        <v/>
      </c>
      <c r="F937" s="10">
        <f>IFERROR(IF(INDEX(ERP資料!$G:$G, (MATCH(936, 輔助計算!$F$2:$F$801, 0)+1))="","",INDEX(ERP資料!$G:$G, (MATCH(936, 輔助計算!$F$2:$F$801, 0)+1))), "")</f>
        <v/>
      </c>
      <c r="G937" s="10">
        <f>IFERROR(IF(INDEX(ERP資料!$H:$H, (MATCH(936, 輔助計算!$F$2:$F$801, 0)+1))="","",INDEX(ERP資料!$H:$H, (MATCH(936, 輔助計算!$F$2:$F$801, 0)+1))), "")</f>
        <v/>
      </c>
      <c r="H937" s="10">
        <f>IFERROR(IF(INDEX(ERP資料!$O:$O, (MATCH(936, 輔助計算!$F$2:$F$801, 0)+1))="","",INDEX(ERP資料!$O:$O, (MATCH(936, 輔助計算!$F$2:$F$801, 0)+1))), "")</f>
        <v/>
      </c>
      <c r="I937" s="15">
        <f>IFERROR(IF(INDEX(輔助計算!$D:$D,(MATCH(936, 輔助計算!$F$2:$F$801, 0)+1))="","",INDEX(輔助計算!$D:$D,(MATCH(936, 輔助計算!$F$2:$F$801, 0)+1))*INDEX(ERP資料!$O:$O,(MATCH(936, 輔助計算!$F$2:$F$801, 0)+1))), "")</f>
        <v/>
      </c>
      <c r="J937" s="16" t="n"/>
      <c r="K937" s="15">
        <f>IFERROR(INDEX(輔助計算!$D:$D, (MATCH(936, 輔助計算!$F$2:$F$801, 0)+1)), "")</f>
        <v/>
      </c>
      <c r="L937" s="16">
        <f>IFERROR(IF(AND(IFERROR(VLOOKUP(LEFT(INDEX(ERP資料!$S:$S, (MATCH(936, 輔助計算!$F$2:$F$801, 0)+1)), 4), 100張客戶!$A:$A, 1, FALSE), "")&lt;&gt;"", OR(INDEX(ERP資料!$F:$F, (MATCH(936, 輔助計算!$F$2:$F$801, 0)+1))=270, INDEX(ERP資料!$F:$F, (MATCH(936, 輔助計算!$F$2:$F$801, 0)+1))=300)), "100張", ""), "")</f>
        <v/>
      </c>
      <c r="M937" s="17" t="n"/>
      <c r="N937" s="17">
        <f>IF($F937="","",$F937)</f>
        <v/>
      </c>
      <c r="O937" s="17">
        <f>IF($G937="","",$G937)</f>
        <v/>
      </c>
      <c r="P937" s="17">
        <f>IF($K937="","",$K937)</f>
        <v/>
      </c>
      <c r="Q937" s="16" t="n"/>
      <c r="R937" s="18" t="n"/>
      <c r="S937" s="16" t="n"/>
    </row>
    <row r="938">
      <c r="A938" s="14">
        <f>IFERROR(IF(AND(IFERROR(INDEX(ERP資料!$A:$A, (MATCH(937, 輔助計算!$F$2:$F$801, 0)+1)), "")&lt;&gt;"", IFERROR(INDEX(ERP資料!$A:$A, (MATCH(937, 輔助計算!$F$2:$F$801, 0)+1)), "")&lt;&gt;IFERROR(INDEX(ERP資料!$A:$A, MATCH(936, 輔助計算!$F$2:$F$801, 0)+1), "")), INDEX(ERP資料!$B:$B, (MATCH(937, 輔助計算!$F$2:$F$801, 0)+1)), ""), "")</f>
        <v/>
      </c>
      <c r="B938" s="10">
        <f>IFERROR(IF(AND(IFERROR(INDEX(ERP資料!$A:$A, (MATCH(937, 輔助計算!$F$2:$F$801, 0)+1)), "")&lt;&gt;"", IFERROR(INDEX(ERP資料!$A:$A, (MATCH(937, 輔助計算!$F$2:$F$801, 0)+1)), "")&lt;&gt;IFERROR(INDEX(ERP資料!$A:$A, MATCH(936, 輔助計算!$F$2:$F$801, 0)+1), "")), IFERROR(INDEX(ERP資料!$A:$A, (MATCH(937, 輔助計算!$F$2:$F$801, 0)+1)), ""), ""), "")</f>
        <v/>
      </c>
      <c r="C938" s="10">
        <f>IFERROR(IF(AND(IFERROR(INDEX(ERP資料!$A:$A, (MATCH(937, 輔助計算!$F$2:$F$801, 0)+1)), "")&lt;&gt;"", IFERROR(INDEX(ERP資料!$A:$A, (MATCH(937, 輔助計算!$F$2:$F$801, 0)+1)), "")&lt;&gt;IFERROR(INDEX(ERP資料!$A:$A, MATCH(936, 輔助計算!$F$2:$F$801, 0)+1), "")), INDEX(ERP資料!$S:$S, (MATCH(937, 輔助計算!$F$2:$F$801, 0)+1)), ""), "")</f>
        <v/>
      </c>
      <c r="D938" s="10">
        <f>IFERROR(IF(INDEX(ERP資料!$E:$E, (MATCH(937, 輔助計算!$F$2:$F$801, 0)+1))="","",TRIM(INDEX(ERP資料!$E:$E, (MATCH(937, 輔助計算!$F$2:$F$801, 0)+1)))), "")</f>
        <v/>
      </c>
      <c r="E938" s="10">
        <f>IFERROR(IF(INDEX(ERP資料!$F:$F, (MATCH(937, 輔助計算!$F$2:$F$801, 0)+1))="","",INDEX(ERP資料!$F:$F, (MATCH(937, 輔助計算!$F$2:$F$801, 0)+1))), "")</f>
        <v/>
      </c>
      <c r="F938" s="10">
        <f>IFERROR(IF(INDEX(ERP資料!$G:$G, (MATCH(937, 輔助計算!$F$2:$F$801, 0)+1))="","",INDEX(ERP資料!$G:$G, (MATCH(937, 輔助計算!$F$2:$F$801, 0)+1))), "")</f>
        <v/>
      </c>
      <c r="G938" s="10">
        <f>IFERROR(IF(INDEX(ERP資料!$H:$H, (MATCH(937, 輔助計算!$F$2:$F$801, 0)+1))="","",INDEX(ERP資料!$H:$H, (MATCH(937, 輔助計算!$F$2:$F$801, 0)+1))), "")</f>
        <v/>
      </c>
      <c r="H938" s="10">
        <f>IFERROR(IF(INDEX(ERP資料!$O:$O, (MATCH(937, 輔助計算!$F$2:$F$801, 0)+1))="","",INDEX(ERP資料!$O:$O, (MATCH(937, 輔助計算!$F$2:$F$801, 0)+1))), "")</f>
        <v/>
      </c>
      <c r="I938" s="15">
        <f>IFERROR(IF(INDEX(輔助計算!$D:$D,(MATCH(937, 輔助計算!$F$2:$F$801, 0)+1))="","",INDEX(輔助計算!$D:$D,(MATCH(937, 輔助計算!$F$2:$F$801, 0)+1))*INDEX(ERP資料!$O:$O,(MATCH(937, 輔助計算!$F$2:$F$801, 0)+1))), "")</f>
        <v/>
      </c>
      <c r="J938" s="16" t="n"/>
      <c r="K938" s="15">
        <f>IFERROR(INDEX(輔助計算!$D:$D, (MATCH(937, 輔助計算!$F$2:$F$801, 0)+1)), "")</f>
        <v/>
      </c>
      <c r="L938" s="16">
        <f>IFERROR(IF(AND(IFERROR(VLOOKUP(LEFT(INDEX(ERP資料!$S:$S, (MATCH(937, 輔助計算!$F$2:$F$801, 0)+1)), 4), 100張客戶!$A:$A, 1, FALSE), "")&lt;&gt;"", OR(INDEX(ERP資料!$F:$F, (MATCH(937, 輔助計算!$F$2:$F$801, 0)+1))=270, INDEX(ERP資料!$F:$F, (MATCH(937, 輔助計算!$F$2:$F$801, 0)+1))=300)), "100張", ""), "")</f>
        <v/>
      </c>
      <c r="M938" s="17" t="n"/>
      <c r="N938" s="17">
        <f>IF($F938="","",$F938)</f>
        <v/>
      </c>
      <c r="O938" s="17">
        <f>IF($G938="","",$G938)</f>
        <v/>
      </c>
      <c r="P938" s="17">
        <f>IF($K938="","",$K938)</f>
        <v/>
      </c>
      <c r="Q938" s="16" t="n"/>
      <c r="R938" s="18" t="n"/>
      <c r="S938" s="16" t="n"/>
    </row>
    <row r="939">
      <c r="A939" s="14">
        <f>IFERROR(IF(AND(IFERROR(INDEX(ERP資料!$A:$A, (MATCH(938, 輔助計算!$F$2:$F$801, 0)+1)), "")&lt;&gt;"", IFERROR(INDEX(ERP資料!$A:$A, (MATCH(938, 輔助計算!$F$2:$F$801, 0)+1)), "")&lt;&gt;IFERROR(INDEX(ERP資料!$A:$A, MATCH(937, 輔助計算!$F$2:$F$801, 0)+1), "")), INDEX(ERP資料!$B:$B, (MATCH(938, 輔助計算!$F$2:$F$801, 0)+1)), ""), "")</f>
        <v/>
      </c>
      <c r="B939" s="10">
        <f>IFERROR(IF(AND(IFERROR(INDEX(ERP資料!$A:$A, (MATCH(938, 輔助計算!$F$2:$F$801, 0)+1)), "")&lt;&gt;"", IFERROR(INDEX(ERP資料!$A:$A, (MATCH(938, 輔助計算!$F$2:$F$801, 0)+1)), "")&lt;&gt;IFERROR(INDEX(ERP資料!$A:$A, MATCH(937, 輔助計算!$F$2:$F$801, 0)+1), "")), IFERROR(INDEX(ERP資料!$A:$A, (MATCH(938, 輔助計算!$F$2:$F$801, 0)+1)), ""), ""), "")</f>
        <v/>
      </c>
      <c r="C939" s="10">
        <f>IFERROR(IF(AND(IFERROR(INDEX(ERP資料!$A:$A, (MATCH(938, 輔助計算!$F$2:$F$801, 0)+1)), "")&lt;&gt;"", IFERROR(INDEX(ERP資料!$A:$A, (MATCH(938, 輔助計算!$F$2:$F$801, 0)+1)), "")&lt;&gt;IFERROR(INDEX(ERP資料!$A:$A, MATCH(937, 輔助計算!$F$2:$F$801, 0)+1), "")), INDEX(ERP資料!$S:$S, (MATCH(938, 輔助計算!$F$2:$F$801, 0)+1)), ""), "")</f>
        <v/>
      </c>
      <c r="D939" s="10">
        <f>IFERROR(IF(INDEX(ERP資料!$E:$E, (MATCH(938, 輔助計算!$F$2:$F$801, 0)+1))="","",TRIM(INDEX(ERP資料!$E:$E, (MATCH(938, 輔助計算!$F$2:$F$801, 0)+1)))), "")</f>
        <v/>
      </c>
      <c r="E939" s="10">
        <f>IFERROR(IF(INDEX(ERP資料!$F:$F, (MATCH(938, 輔助計算!$F$2:$F$801, 0)+1))="","",INDEX(ERP資料!$F:$F, (MATCH(938, 輔助計算!$F$2:$F$801, 0)+1))), "")</f>
        <v/>
      </c>
      <c r="F939" s="10">
        <f>IFERROR(IF(INDEX(ERP資料!$G:$G, (MATCH(938, 輔助計算!$F$2:$F$801, 0)+1))="","",INDEX(ERP資料!$G:$G, (MATCH(938, 輔助計算!$F$2:$F$801, 0)+1))), "")</f>
        <v/>
      </c>
      <c r="G939" s="10">
        <f>IFERROR(IF(INDEX(ERP資料!$H:$H, (MATCH(938, 輔助計算!$F$2:$F$801, 0)+1))="","",INDEX(ERP資料!$H:$H, (MATCH(938, 輔助計算!$F$2:$F$801, 0)+1))), "")</f>
        <v/>
      </c>
      <c r="H939" s="10">
        <f>IFERROR(IF(INDEX(ERP資料!$O:$O, (MATCH(938, 輔助計算!$F$2:$F$801, 0)+1))="","",INDEX(ERP資料!$O:$O, (MATCH(938, 輔助計算!$F$2:$F$801, 0)+1))), "")</f>
        <v/>
      </c>
      <c r="I939" s="15">
        <f>IFERROR(IF(INDEX(輔助計算!$D:$D,(MATCH(938, 輔助計算!$F$2:$F$801, 0)+1))="","",INDEX(輔助計算!$D:$D,(MATCH(938, 輔助計算!$F$2:$F$801, 0)+1))*INDEX(ERP資料!$O:$O,(MATCH(938, 輔助計算!$F$2:$F$801, 0)+1))), "")</f>
        <v/>
      </c>
      <c r="J939" s="16" t="n"/>
      <c r="K939" s="15">
        <f>IFERROR(INDEX(輔助計算!$D:$D, (MATCH(938, 輔助計算!$F$2:$F$801, 0)+1)), "")</f>
        <v/>
      </c>
      <c r="L939" s="16">
        <f>IFERROR(IF(AND(IFERROR(VLOOKUP(LEFT(INDEX(ERP資料!$S:$S, (MATCH(938, 輔助計算!$F$2:$F$801, 0)+1)), 4), 100張客戶!$A:$A, 1, FALSE), "")&lt;&gt;"", OR(INDEX(ERP資料!$F:$F, (MATCH(938, 輔助計算!$F$2:$F$801, 0)+1))=270, INDEX(ERP資料!$F:$F, (MATCH(938, 輔助計算!$F$2:$F$801, 0)+1))=300)), "100張", ""), "")</f>
        <v/>
      </c>
      <c r="M939" s="17" t="n"/>
      <c r="N939" s="17">
        <f>IF($F939="","",$F939)</f>
        <v/>
      </c>
      <c r="O939" s="17">
        <f>IF($G939="","",$G939)</f>
        <v/>
      </c>
      <c r="P939" s="17">
        <f>IF($K939="","",$K939)</f>
        <v/>
      </c>
      <c r="Q939" s="16" t="n"/>
      <c r="R939" s="18" t="n"/>
      <c r="S939" s="16" t="n"/>
    </row>
    <row r="940">
      <c r="A940" s="14">
        <f>IFERROR(IF(AND(IFERROR(INDEX(ERP資料!$A:$A, (MATCH(939, 輔助計算!$F$2:$F$801, 0)+1)), "")&lt;&gt;"", IFERROR(INDEX(ERP資料!$A:$A, (MATCH(939, 輔助計算!$F$2:$F$801, 0)+1)), "")&lt;&gt;IFERROR(INDEX(ERP資料!$A:$A, MATCH(938, 輔助計算!$F$2:$F$801, 0)+1), "")), INDEX(ERP資料!$B:$B, (MATCH(939, 輔助計算!$F$2:$F$801, 0)+1)), ""), "")</f>
        <v/>
      </c>
      <c r="B940" s="10">
        <f>IFERROR(IF(AND(IFERROR(INDEX(ERP資料!$A:$A, (MATCH(939, 輔助計算!$F$2:$F$801, 0)+1)), "")&lt;&gt;"", IFERROR(INDEX(ERP資料!$A:$A, (MATCH(939, 輔助計算!$F$2:$F$801, 0)+1)), "")&lt;&gt;IFERROR(INDEX(ERP資料!$A:$A, MATCH(938, 輔助計算!$F$2:$F$801, 0)+1), "")), IFERROR(INDEX(ERP資料!$A:$A, (MATCH(939, 輔助計算!$F$2:$F$801, 0)+1)), ""), ""), "")</f>
        <v/>
      </c>
      <c r="C940" s="10">
        <f>IFERROR(IF(AND(IFERROR(INDEX(ERP資料!$A:$A, (MATCH(939, 輔助計算!$F$2:$F$801, 0)+1)), "")&lt;&gt;"", IFERROR(INDEX(ERP資料!$A:$A, (MATCH(939, 輔助計算!$F$2:$F$801, 0)+1)), "")&lt;&gt;IFERROR(INDEX(ERP資料!$A:$A, MATCH(938, 輔助計算!$F$2:$F$801, 0)+1), "")), INDEX(ERP資料!$S:$S, (MATCH(939, 輔助計算!$F$2:$F$801, 0)+1)), ""), "")</f>
        <v/>
      </c>
      <c r="D940" s="10">
        <f>IFERROR(IF(INDEX(ERP資料!$E:$E, (MATCH(939, 輔助計算!$F$2:$F$801, 0)+1))="","",TRIM(INDEX(ERP資料!$E:$E, (MATCH(939, 輔助計算!$F$2:$F$801, 0)+1)))), "")</f>
        <v/>
      </c>
      <c r="E940" s="10">
        <f>IFERROR(IF(INDEX(ERP資料!$F:$F, (MATCH(939, 輔助計算!$F$2:$F$801, 0)+1))="","",INDEX(ERP資料!$F:$F, (MATCH(939, 輔助計算!$F$2:$F$801, 0)+1))), "")</f>
        <v/>
      </c>
      <c r="F940" s="10">
        <f>IFERROR(IF(INDEX(ERP資料!$G:$G, (MATCH(939, 輔助計算!$F$2:$F$801, 0)+1))="","",INDEX(ERP資料!$G:$G, (MATCH(939, 輔助計算!$F$2:$F$801, 0)+1))), "")</f>
        <v/>
      </c>
      <c r="G940" s="10">
        <f>IFERROR(IF(INDEX(ERP資料!$H:$H, (MATCH(939, 輔助計算!$F$2:$F$801, 0)+1))="","",INDEX(ERP資料!$H:$H, (MATCH(939, 輔助計算!$F$2:$F$801, 0)+1))), "")</f>
        <v/>
      </c>
      <c r="H940" s="10">
        <f>IFERROR(IF(INDEX(ERP資料!$O:$O, (MATCH(939, 輔助計算!$F$2:$F$801, 0)+1))="","",INDEX(ERP資料!$O:$O, (MATCH(939, 輔助計算!$F$2:$F$801, 0)+1))), "")</f>
        <v/>
      </c>
      <c r="I940" s="15">
        <f>IFERROR(IF(INDEX(輔助計算!$D:$D,(MATCH(939, 輔助計算!$F$2:$F$801, 0)+1))="","",INDEX(輔助計算!$D:$D,(MATCH(939, 輔助計算!$F$2:$F$801, 0)+1))*INDEX(ERP資料!$O:$O,(MATCH(939, 輔助計算!$F$2:$F$801, 0)+1))), "")</f>
        <v/>
      </c>
      <c r="J940" s="16" t="n"/>
      <c r="K940" s="15">
        <f>IFERROR(INDEX(輔助計算!$D:$D, (MATCH(939, 輔助計算!$F$2:$F$801, 0)+1)), "")</f>
        <v/>
      </c>
      <c r="L940" s="16">
        <f>IFERROR(IF(AND(IFERROR(VLOOKUP(LEFT(INDEX(ERP資料!$S:$S, (MATCH(939, 輔助計算!$F$2:$F$801, 0)+1)), 4), 100張客戶!$A:$A, 1, FALSE), "")&lt;&gt;"", OR(INDEX(ERP資料!$F:$F, (MATCH(939, 輔助計算!$F$2:$F$801, 0)+1))=270, INDEX(ERP資料!$F:$F, (MATCH(939, 輔助計算!$F$2:$F$801, 0)+1))=300)), "100張", ""), "")</f>
        <v/>
      </c>
      <c r="M940" s="17" t="n"/>
      <c r="N940" s="17">
        <f>IF($F940="","",$F940)</f>
        <v/>
      </c>
      <c r="O940" s="17">
        <f>IF($G940="","",$G940)</f>
        <v/>
      </c>
      <c r="P940" s="17">
        <f>IF($K940="","",$K940)</f>
        <v/>
      </c>
      <c r="Q940" s="16" t="n"/>
      <c r="R940" s="18" t="n"/>
      <c r="S940" s="16" t="n"/>
    </row>
    <row r="941">
      <c r="A941" s="14">
        <f>IFERROR(IF(AND(IFERROR(INDEX(ERP資料!$A:$A, (MATCH(940, 輔助計算!$F$2:$F$801, 0)+1)), "")&lt;&gt;"", IFERROR(INDEX(ERP資料!$A:$A, (MATCH(940, 輔助計算!$F$2:$F$801, 0)+1)), "")&lt;&gt;IFERROR(INDEX(ERP資料!$A:$A, MATCH(939, 輔助計算!$F$2:$F$801, 0)+1), "")), INDEX(ERP資料!$B:$B, (MATCH(940, 輔助計算!$F$2:$F$801, 0)+1)), ""), "")</f>
        <v/>
      </c>
      <c r="B941" s="10">
        <f>IFERROR(IF(AND(IFERROR(INDEX(ERP資料!$A:$A, (MATCH(940, 輔助計算!$F$2:$F$801, 0)+1)), "")&lt;&gt;"", IFERROR(INDEX(ERP資料!$A:$A, (MATCH(940, 輔助計算!$F$2:$F$801, 0)+1)), "")&lt;&gt;IFERROR(INDEX(ERP資料!$A:$A, MATCH(939, 輔助計算!$F$2:$F$801, 0)+1), "")), IFERROR(INDEX(ERP資料!$A:$A, (MATCH(940, 輔助計算!$F$2:$F$801, 0)+1)), ""), ""), "")</f>
        <v/>
      </c>
      <c r="C941" s="10">
        <f>IFERROR(IF(AND(IFERROR(INDEX(ERP資料!$A:$A, (MATCH(940, 輔助計算!$F$2:$F$801, 0)+1)), "")&lt;&gt;"", IFERROR(INDEX(ERP資料!$A:$A, (MATCH(940, 輔助計算!$F$2:$F$801, 0)+1)), "")&lt;&gt;IFERROR(INDEX(ERP資料!$A:$A, MATCH(939, 輔助計算!$F$2:$F$801, 0)+1), "")), INDEX(ERP資料!$S:$S, (MATCH(940, 輔助計算!$F$2:$F$801, 0)+1)), ""), "")</f>
        <v/>
      </c>
      <c r="D941" s="10">
        <f>IFERROR(IF(INDEX(ERP資料!$E:$E, (MATCH(940, 輔助計算!$F$2:$F$801, 0)+1))="","",TRIM(INDEX(ERP資料!$E:$E, (MATCH(940, 輔助計算!$F$2:$F$801, 0)+1)))), "")</f>
        <v/>
      </c>
      <c r="E941" s="10">
        <f>IFERROR(IF(INDEX(ERP資料!$F:$F, (MATCH(940, 輔助計算!$F$2:$F$801, 0)+1))="","",INDEX(ERP資料!$F:$F, (MATCH(940, 輔助計算!$F$2:$F$801, 0)+1))), "")</f>
        <v/>
      </c>
      <c r="F941" s="10">
        <f>IFERROR(IF(INDEX(ERP資料!$G:$G, (MATCH(940, 輔助計算!$F$2:$F$801, 0)+1))="","",INDEX(ERP資料!$G:$G, (MATCH(940, 輔助計算!$F$2:$F$801, 0)+1))), "")</f>
        <v/>
      </c>
      <c r="G941" s="10">
        <f>IFERROR(IF(INDEX(ERP資料!$H:$H, (MATCH(940, 輔助計算!$F$2:$F$801, 0)+1))="","",INDEX(ERP資料!$H:$H, (MATCH(940, 輔助計算!$F$2:$F$801, 0)+1))), "")</f>
        <v/>
      </c>
      <c r="H941" s="10">
        <f>IFERROR(IF(INDEX(ERP資料!$O:$O, (MATCH(940, 輔助計算!$F$2:$F$801, 0)+1))="","",INDEX(ERP資料!$O:$O, (MATCH(940, 輔助計算!$F$2:$F$801, 0)+1))), "")</f>
        <v/>
      </c>
      <c r="I941" s="15">
        <f>IFERROR(IF(INDEX(輔助計算!$D:$D,(MATCH(940, 輔助計算!$F$2:$F$801, 0)+1))="","",INDEX(輔助計算!$D:$D,(MATCH(940, 輔助計算!$F$2:$F$801, 0)+1))*INDEX(ERP資料!$O:$O,(MATCH(940, 輔助計算!$F$2:$F$801, 0)+1))), "")</f>
        <v/>
      </c>
      <c r="J941" s="16" t="n"/>
      <c r="K941" s="15">
        <f>IFERROR(INDEX(輔助計算!$D:$D, (MATCH(940, 輔助計算!$F$2:$F$801, 0)+1)), "")</f>
        <v/>
      </c>
      <c r="L941" s="16">
        <f>IFERROR(IF(AND(IFERROR(VLOOKUP(LEFT(INDEX(ERP資料!$S:$S, (MATCH(940, 輔助計算!$F$2:$F$801, 0)+1)), 4), 100張客戶!$A:$A, 1, FALSE), "")&lt;&gt;"", OR(INDEX(ERP資料!$F:$F, (MATCH(940, 輔助計算!$F$2:$F$801, 0)+1))=270, INDEX(ERP資料!$F:$F, (MATCH(940, 輔助計算!$F$2:$F$801, 0)+1))=300)), "100張", ""), "")</f>
        <v/>
      </c>
      <c r="M941" s="17" t="n"/>
      <c r="N941" s="17">
        <f>IF($F941="","",$F941)</f>
        <v/>
      </c>
      <c r="O941" s="17">
        <f>IF($G941="","",$G941)</f>
        <v/>
      </c>
      <c r="P941" s="17">
        <f>IF($K941="","",$K941)</f>
        <v/>
      </c>
      <c r="Q941" s="16" t="n"/>
      <c r="R941" s="18" t="n"/>
      <c r="S941" s="16" t="n"/>
    </row>
    <row r="942">
      <c r="A942" s="14">
        <f>IFERROR(IF(AND(IFERROR(INDEX(ERP資料!$A:$A, (MATCH(941, 輔助計算!$F$2:$F$801, 0)+1)), "")&lt;&gt;"", IFERROR(INDEX(ERP資料!$A:$A, (MATCH(941, 輔助計算!$F$2:$F$801, 0)+1)), "")&lt;&gt;IFERROR(INDEX(ERP資料!$A:$A, MATCH(940, 輔助計算!$F$2:$F$801, 0)+1), "")), INDEX(ERP資料!$B:$B, (MATCH(941, 輔助計算!$F$2:$F$801, 0)+1)), ""), "")</f>
        <v/>
      </c>
      <c r="B942" s="10">
        <f>IFERROR(IF(AND(IFERROR(INDEX(ERP資料!$A:$A, (MATCH(941, 輔助計算!$F$2:$F$801, 0)+1)), "")&lt;&gt;"", IFERROR(INDEX(ERP資料!$A:$A, (MATCH(941, 輔助計算!$F$2:$F$801, 0)+1)), "")&lt;&gt;IFERROR(INDEX(ERP資料!$A:$A, MATCH(940, 輔助計算!$F$2:$F$801, 0)+1), "")), IFERROR(INDEX(ERP資料!$A:$A, (MATCH(941, 輔助計算!$F$2:$F$801, 0)+1)), ""), ""), "")</f>
        <v/>
      </c>
      <c r="C942" s="10">
        <f>IFERROR(IF(AND(IFERROR(INDEX(ERP資料!$A:$A, (MATCH(941, 輔助計算!$F$2:$F$801, 0)+1)), "")&lt;&gt;"", IFERROR(INDEX(ERP資料!$A:$A, (MATCH(941, 輔助計算!$F$2:$F$801, 0)+1)), "")&lt;&gt;IFERROR(INDEX(ERP資料!$A:$A, MATCH(940, 輔助計算!$F$2:$F$801, 0)+1), "")), INDEX(ERP資料!$S:$S, (MATCH(941, 輔助計算!$F$2:$F$801, 0)+1)), ""), "")</f>
        <v/>
      </c>
      <c r="D942" s="10">
        <f>IFERROR(IF(INDEX(ERP資料!$E:$E, (MATCH(941, 輔助計算!$F$2:$F$801, 0)+1))="","",TRIM(INDEX(ERP資料!$E:$E, (MATCH(941, 輔助計算!$F$2:$F$801, 0)+1)))), "")</f>
        <v/>
      </c>
      <c r="E942" s="10">
        <f>IFERROR(IF(INDEX(ERP資料!$F:$F, (MATCH(941, 輔助計算!$F$2:$F$801, 0)+1))="","",INDEX(ERP資料!$F:$F, (MATCH(941, 輔助計算!$F$2:$F$801, 0)+1))), "")</f>
        <v/>
      </c>
      <c r="F942" s="10">
        <f>IFERROR(IF(INDEX(ERP資料!$G:$G, (MATCH(941, 輔助計算!$F$2:$F$801, 0)+1))="","",INDEX(ERP資料!$G:$G, (MATCH(941, 輔助計算!$F$2:$F$801, 0)+1))), "")</f>
        <v/>
      </c>
      <c r="G942" s="10">
        <f>IFERROR(IF(INDEX(ERP資料!$H:$H, (MATCH(941, 輔助計算!$F$2:$F$801, 0)+1))="","",INDEX(ERP資料!$H:$H, (MATCH(941, 輔助計算!$F$2:$F$801, 0)+1))), "")</f>
        <v/>
      </c>
      <c r="H942" s="10">
        <f>IFERROR(IF(INDEX(ERP資料!$O:$O, (MATCH(941, 輔助計算!$F$2:$F$801, 0)+1))="","",INDEX(ERP資料!$O:$O, (MATCH(941, 輔助計算!$F$2:$F$801, 0)+1))), "")</f>
        <v/>
      </c>
      <c r="I942" s="15">
        <f>IFERROR(IF(INDEX(輔助計算!$D:$D,(MATCH(941, 輔助計算!$F$2:$F$801, 0)+1))="","",INDEX(輔助計算!$D:$D,(MATCH(941, 輔助計算!$F$2:$F$801, 0)+1))*INDEX(ERP資料!$O:$O,(MATCH(941, 輔助計算!$F$2:$F$801, 0)+1))), "")</f>
        <v/>
      </c>
      <c r="J942" s="16" t="n"/>
      <c r="K942" s="15">
        <f>IFERROR(INDEX(輔助計算!$D:$D, (MATCH(941, 輔助計算!$F$2:$F$801, 0)+1)), "")</f>
        <v/>
      </c>
      <c r="L942" s="16">
        <f>IFERROR(IF(AND(IFERROR(VLOOKUP(LEFT(INDEX(ERP資料!$S:$S, (MATCH(941, 輔助計算!$F$2:$F$801, 0)+1)), 4), 100張客戶!$A:$A, 1, FALSE), "")&lt;&gt;"", OR(INDEX(ERP資料!$F:$F, (MATCH(941, 輔助計算!$F$2:$F$801, 0)+1))=270, INDEX(ERP資料!$F:$F, (MATCH(941, 輔助計算!$F$2:$F$801, 0)+1))=300)), "100張", ""), "")</f>
        <v/>
      </c>
      <c r="M942" s="17" t="n"/>
      <c r="N942" s="17">
        <f>IF($F942="","",$F942)</f>
        <v/>
      </c>
      <c r="O942" s="17">
        <f>IF($G942="","",$G942)</f>
        <v/>
      </c>
      <c r="P942" s="17">
        <f>IF($K942="","",$K942)</f>
        <v/>
      </c>
      <c r="Q942" s="16" t="n"/>
      <c r="R942" s="18" t="n"/>
      <c r="S942" s="16" t="n"/>
    </row>
    <row r="943">
      <c r="A943" s="14">
        <f>IFERROR(IF(AND(IFERROR(INDEX(ERP資料!$A:$A, (MATCH(942, 輔助計算!$F$2:$F$801, 0)+1)), "")&lt;&gt;"", IFERROR(INDEX(ERP資料!$A:$A, (MATCH(942, 輔助計算!$F$2:$F$801, 0)+1)), "")&lt;&gt;IFERROR(INDEX(ERP資料!$A:$A, MATCH(941, 輔助計算!$F$2:$F$801, 0)+1), "")), INDEX(ERP資料!$B:$B, (MATCH(942, 輔助計算!$F$2:$F$801, 0)+1)), ""), "")</f>
        <v/>
      </c>
      <c r="B943" s="10">
        <f>IFERROR(IF(AND(IFERROR(INDEX(ERP資料!$A:$A, (MATCH(942, 輔助計算!$F$2:$F$801, 0)+1)), "")&lt;&gt;"", IFERROR(INDEX(ERP資料!$A:$A, (MATCH(942, 輔助計算!$F$2:$F$801, 0)+1)), "")&lt;&gt;IFERROR(INDEX(ERP資料!$A:$A, MATCH(941, 輔助計算!$F$2:$F$801, 0)+1), "")), IFERROR(INDEX(ERP資料!$A:$A, (MATCH(942, 輔助計算!$F$2:$F$801, 0)+1)), ""), ""), "")</f>
        <v/>
      </c>
      <c r="C943" s="10">
        <f>IFERROR(IF(AND(IFERROR(INDEX(ERP資料!$A:$A, (MATCH(942, 輔助計算!$F$2:$F$801, 0)+1)), "")&lt;&gt;"", IFERROR(INDEX(ERP資料!$A:$A, (MATCH(942, 輔助計算!$F$2:$F$801, 0)+1)), "")&lt;&gt;IFERROR(INDEX(ERP資料!$A:$A, MATCH(941, 輔助計算!$F$2:$F$801, 0)+1), "")), INDEX(ERP資料!$S:$S, (MATCH(942, 輔助計算!$F$2:$F$801, 0)+1)), ""), "")</f>
        <v/>
      </c>
      <c r="D943" s="10">
        <f>IFERROR(IF(INDEX(ERP資料!$E:$E, (MATCH(942, 輔助計算!$F$2:$F$801, 0)+1))="","",TRIM(INDEX(ERP資料!$E:$E, (MATCH(942, 輔助計算!$F$2:$F$801, 0)+1)))), "")</f>
        <v/>
      </c>
      <c r="E943" s="10">
        <f>IFERROR(IF(INDEX(ERP資料!$F:$F, (MATCH(942, 輔助計算!$F$2:$F$801, 0)+1))="","",INDEX(ERP資料!$F:$F, (MATCH(942, 輔助計算!$F$2:$F$801, 0)+1))), "")</f>
        <v/>
      </c>
      <c r="F943" s="10">
        <f>IFERROR(IF(INDEX(ERP資料!$G:$G, (MATCH(942, 輔助計算!$F$2:$F$801, 0)+1))="","",INDEX(ERP資料!$G:$G, (MATCH(942, 輔助計算!$F$2:$F$801, 0)+1))), "")</f>
        <v/>
      </c>
      <c r="G943" s="10">
        <f>IFERROR(IF(INDEX(ERP資料!$H:$H, (MATCH(942, 輔助計算!$F$2:$F$801, 0)+1))="","",INDEX(ERP資料!$H:$H, (MATCH(942, 輔助計算!$F$2:$F$801, 0)+1))), "")</f>
        <v/>
      </c>
      <c r="H943" s="10">
        <f>IFERROR(IF(INDEX(ERP資料!$O:$O, (MATCH(942, 輔助計算!$F$2:$F$801, 0)+1))="","",INDEX(ERP資料!$O:$O, (MATCH(942, 輔助計算!$F$2:$F$801, 0)+1))), "")</f>
        <v/>
      </c>
      <c r="I943" s="15">
        <f>IFERROR(IF(INDEX(輔助計算!$D:$D,(MATCH(942, 輔助計算!$F$2:$F$801, 0)+1))="","",INDEX(輔助計算!$D:$D,(MATCH(942, 輔助計算!$F$2:$F$801, 0)+1))*INDEX(ERP資料!$O:$O,(MATCH(942, 輔助計算!$F$2:$F$801, 0)+1))), "")</f>
        <v/>
      </c>
      <c r="J943" s="16" t="n"/>
      <c r="K943" s="15">
        <f>IFERROR(INDEX(輔助計算!$D:$D, (MATCH(942, 輔助計算!$F$2:$F$801, 0)+1)), "")</f>
        <v/>
      </c>
      <c r="L943" s="16">
        <f>IFERROR(IF(AND(IFERROR(VLOOKUP(LEFT(INDEX(ERP資料!$S:$S, (MATCH(942, 輔助計算!$F$2:$F$801, 0)+1)), 4), 100張客戶!$A:$A, 1, FALSE), "")&lt;&gt;"", OR(INDEX(ERP資料!$F:$F, (MATCH(942, 輔助計算!$F$2:$F$801, 0)+1))=270, INDEX(ERP資料!$F:$F, (MATCH(942, 輔助計算!$F$2:$F$801, 0)+1))=300)), "100張", ""), "")</f>
        <v/>
      </c>
      <c r="M943" s="17" t="n"/>
      <c r="N943" s="17">
        <f>IF($F943="","",$F943)</f>
        <v/>
      </c>
      <c r="O943" s="17">
        <f>IF($G943="","",$G943)</f>
        <v/>
      </c>
      <c r="P943" s="17">
        <f>IF($K943="","",$K943)</f>
        <v/>
      </c>
      <c r="Q943" s="16" t="n"/>
      <c r="R943" s="18" t="n"/>
      <c r="S943" s="16" t="n"/>
    </row>
    <row r="944">
      <c r="A944" s="14">
        <f>IFERROR(IF(AND(IFERROR(INDEX(ERP資料!$A:$A, (MATCH(943, 輔助計算!$F$2:$F$801, 0)+1)), "")&lt;&gt;"", IFERROR(INDEX(ERP資料!$A:$A, (MATCH(943, 輔助計算!$F$2:$F$801, 0)+1)), "")&lt;&gt;IFERROR(INDEX(ERP資料!$A:$A, MATCH(942, 輔助計算!$F$2:$F$801, 0)+1), "")), INDEX(ERP資料!$B:$B, (MATCH(943, 輔助計算!$F$2:$F$801, 0)+1)), ""), "")</f>
        <v/>
      </c>
      <c r="B944" s="10">
        <f>IFERROR(IF(AND(IFERROR(INDEX(ERP資料!$A:$A, (MATCH(943, 輔助計算!$F$2:$F$801, 0)+1)), "")&lt;&gt;"", IFERROR(INDEX(ERP資料!$A:$A, (MATCH(943, 輔助計算!$F$2:$F$801, 0)+1)), "")&lt;&gt;IFERROR(INDEX(ERP資料!$A:$A, MATCH(942, 輔助計算!$F$2:$F$801, 0)+1), "")), IFERROR(INDEX(ERP資料!$A:$A, (MATCH(943, 輔助計算!$F$2:$F$801, 0)+1)), ""), ""), "")</f>
        <v/>
      </c>
      <c r="C944" s="10">
        <f>IFERROR(IF(AND(IFERROR(INDEX(ERP資料!$A:$A, (MATCH(943, 輔助計算!$F$2:$F$801, 0)+1)), "")&lt;&gt;"", IFERROR(INDEX(ERP資料!$A:$A, (MATCH(943, 輔助計算!$F$2:$F$801, 0)+1)), "")&lt;&gt;IFERROR(INDEX(ERP資料!$A:$A, MATCH(942, 輔助計算!$F$2:$F$801, 0)+1), "")), INDEX(ERP資料!$S:$S, (MATCH(943, 輔助計算!$F$2:$F$801, 0)+1)), ""), "")</f>
        <v/>
      </c>
      <c r="D944" s="10">
        <f>IFERROR(IF(INDEX(ERP資料!$E:$E, (MATCH(943, 輔助計算!$F$2:$F$801, 0)+1))="","",TRIM(INDEX(ERP資料!$E:$E, (MATCH(943, 輔助計算!$F$2:$F$801, 0)+1)))), "")</f>
        <v/>
      </c>
      <c r="E944" s="10">
        <f>IFERROR(IF(INDEX(ERP資料!$F:$F, (MATCH(943, 輔助計算!$F$2:$F$801, 0)+1))="","",INDEX(ERP資料!$F:$F, (MATCH(943, 輔助計算!$F$2:$F$801, 0)+1))), "")</f>
        <v/>
      </c>
      <c r="F944" s="10">
        <f>IFERROR(IF(INDEX(ERP資料!$G:$G, (MATCH(943, 輔助計算!$F$2:$F$801, 0)+1))="","",INDEX(ERP資料!$G:$G, (MATCH(943, 輔助計算!$F$2:$F$801, 0)+1))), "")</f>
        <v/>
      </c>
      <c r="G944" s="10">
        <f>IFERROR(IF(INDEX(ERP資料!$H:$H, (MATCH(943, 輔助計算!$F$2:$F$801, 0)+1))="","",INDEX(ERP資料!$H:$H, (MATCH(943, 輔助計算!$F$2:$F$801, 0)+1))), "")</f>
        <v/>
      </c>
      <c r="H944" s="10">
        <f>IFERROR(IF(INDEX(ERP資料!$O:$O, (MATCH(943, 輔助計算!$F$2:$F$801, 0)+1))="","",INDEX(ERP資料!$O:$O, (MATCH(943, 輔助計算!$F$2:$F$801, 0)+1))), "")</f>
        <v/>
      </c>
      <c r="I944" s="15">
        <f>IFERROR(IF(INDEX(輔助計算!$D:$D,(MATCH(943, 輔助計算!$F$2:$F$801, 0)+1))="","",INDEX(輔助計算!$D:$D,(MATCH(943, 輔助計算!$F$2:$F$801, 0)+1))*INDEX(ERP資料!$O:$O,(MATCH(943, 輔助計算!$F$2:$F$801, 0)+1))), "")</f>
        <v/>
      </c>
      <c r="J944" s="16" t="n"/>
      <c r="K944" s="15">
        <f>IFERROR(INDEX(輔助計算!$D:$D, (MATCH(943, 輔助計算!$F$2:$F$801, 0)+1)), "")</f>
        <v/>
      </c>
      <c r="L944" s="16">
        <f>IFERROR(IF(AND(IFERROR(VLOOKUP(LEFT(INDEX(ERP資料!$S:$S, (MATCH(943, 輔助計算!$F$2:$F$801, 0)+1)), 4), 100張客戶!$A:$A, 1, FALSE), "")&lt;&gt;"", OR(INDEX(ERP資料!$F:$F, (MATCH(943, 輔助計算!$F$2:$F$801, 0)+1))=270, INDEX(ERP資料!$F:$F, (MATCH(943, 輔助計算!$F$2:$F$801, 0)+1))=300)), "100張", ""), "")</f>
        <v/>
      </c>
      <c r="M944" s="17" t="n"/>
      <c r="N944" s="17">
        <f>IF($F944="","",$F944)</f>
        <v/>
      </c>
      <c r="O944" s="17">
        <f>IF($G944="","",$G944)</f>
        <v/>
      </c>
      <c r="P944" s="17">
        <f>IF($K944="","",$K944)</f>
        <v/>
      </c>
      <c r="Q944" s="16" t="n"/>
      <c r="R944" s="18" t="n"/>
      <c r="S944" s="16" t="n"/>
    </row>
    <row r="945">
      <c r="A945" s="14">
        <f>IFERROR(IF(AND(IFERROR(INDEX(ERP資料!$A:$A, (MATCH(944, 輔助計算!$F$2:$F$801, 0)+1)), "")&lt;&gt;"", IFERROR(INDEX(ERP資料!$A:$A, (MATCH(944, 輔助計算!$F$2:$F$801, 0)+1)), "")&lt;&gt;IFERROR(INDEX(ERP資料!$A:$A, MATCH(943, 輔助計算!$F$2:$F$801, 0)+1), "")), INDEX(ERP資料!$B:$B, (MATCH(944, 輔助計算!$F$2:$F$801, 0)+1)), ""), "")</f>
        <v/>
      </c>
      <c r="B945" s="10">
        <f>IFERROR(IF(AND(IFERROR(INDEX(ERP資料!$A:$A, (MATCH(944, 輔助計算!$F$2:$F$801, 0)+1)), "")&lt;&gt;"", IFERROR(INDEX(ERP資料!$A:$A, (MATCH(944, 輔助計算!$F$2:$F$801, 0)+1)), "")&lt;&gt;IFERROR(INDEX(ERP資料!$A:$A, MATCH(943, 輔助計算!$F$2:$F$801, 0)+1), "")), IFERROR(INDEX(ERP資料!$A:$A, (MATCH(944, 輔助計算!$F$2:$F$801, 0)+1)), ""), ""), "")</f>
        <v/>
      </c>
      <c r="C945" s="10">
        <f>IFERROR(IF(AND(IFERROR(INDEX(ERP資料!$A:$A, (MATCH(944, 輔助計算!$F$2:$F$801, 0)+1)), "")&lt;&gt;"", IFERROR(INDEX(ERP資料!$A:$A, (MATCH(944, 輔助計算!$F$2:$F$801, 0)+1)), "")&lt;&gt;IFERROR(INDEX(ERP資料!$A:$A, MATCH(943, 輔助計算!$F$2:$F$801, 0)+1), "")), INDEX(ERP資料!$S:$S, (MATCH(944, 輔助計算!$F$2:$F$801, 0)+1)), ""), "")</f>
        <v/>
      </c>
      <c r="D945" s="10">
        <f>IFERROR(IF(INDEX(ERP資料!$E:$E, (MATCH(944, 輔助計算!$F$2:$F$801, 0)+1))="","",TRIM(INDEX(ERP資料!$E:$E, (MATCH(944, 輔助計算!$F$2:$F$801, 0)+1)))), "")</f>
        <v/>
      </c>
      <c r="E945" s="10">
        <f>IFERROR(IF(INDEX(ERP資料!$F:$F, (MATCH(944, 輔助計算!$F$2:$F$801, 0)+1))="","",INDEX(ERP資料!$F:$F, (MATCH(944, 輔助計算!$F$2:$F$801, 0)+1))), "")</f>
        <v/>
      </c>
      <c r="F945" s="10">
        <f>IFERROR(IF(INDEX(ERP資料!$G:$G, (MATCH(944, 輔助計算!$F$2:$F$801, 0)+1))="","",INDEX(ERP資料!$G:$G, (MATCH(944, 輔助計算!$F$2:$F$801, 0)+1))), "")</f>
        <v/>
      </c>
      <c r="G945" s="10">
        <f>IFERROR(IF(INDEX(ERP資料!$H:$H, (MATCH(944, 輔助計算!$F$2:$F$801, 0)+1))="","",INDEX(ERP資料!$H:$H, (MATCH(944, 輔助計算!$F$2:$F$801, 0)+1))), "")</f>
        <v/>
      </c>
      <c r="H945" s="10">
        <f>IFERROR(IF(INDEX(ERP資料!$O:$O, (MATCH(944, 輔助計算!$F$2:$F$801, 0)+1))="","",INDEX(ERP資料!$O:$O, (MATCH(944, 輔助計算!$F$2:$F$801, 0)+1))), "")</f>
        <v/>
      </c>
      <c r="I945" s="15">
        <f>IFERROR(IF(INDEX(輔助計算!$D:$D,(MATCH(944, 輔助計算!$F$2:$F$801, 0)+1))="","",INDEX(輔助計算!$D:$D,(MATCH(944, 輔助計算!$F$2:$F$801, 0)+1))*INDEX(ERP資料!$O:$O,(MATCH(944, 輔助計算!$F$2:$F$801, 0)+1))), "")</f>
        <v/>
      </c>
      <c r="J945" s="16" t="n"/>
      <c r="K945" s="15">
        <f>IFERROR(INDEX(輔助計算!$D:$D, (MATCH(944, 輔助計算!$F$2:$F$801, 0)+1)), "")</f>
        <v/>
      </c>
      <c r="L945" s="16">
        <f>IFERROR(IF(AND(IFERROR(VLOOKUP(LEFT(INDEX(ERP資料!$S:$S, (MATCH(944, 輔助計算!$F$2:$F$801, 0)+1)), 4), 100張客戶!$A:$A, 1, FALSE), "")&lt;&gt;"", OR(INDEX(ERP資料!$F:$F, (MATCH(944, 輔助計算!$F$2:$F$801, 0)+1))=270, INDEX(ERP資料!$F:$F, (MATCH(944, 輔助計算!$F$2:$F$801, 0)+1))=300)), "100張", ""), "")</f>
        <v/>
      </c>
      <c r="M945" s="17" t="n"/>
      <c r="N945" s="17">
        <f>IF($F945="","",$F945)</f>
        <v/>
      </c>
      <c r="O945" s="17">
        <f>IF($G945="","",$G945)</f>
        <v/>
      </c>
      <c r="P945" s="17">
        <f>IF($K945="","",$K945)</f>
        <v/>
      </c>
      <c r="Q945" s="16" t="n"/>
      <c r="R945" s="18" t="n"/>
      <c r="S945" s="16" t="n"/>
    </row>
    <row r="946">
      <c r="A946" s="14">
        <f>IFERROR(IF(AND(IFERROR(INDEX(ERP資料!$A:$A, (MATCH(945, 輔助計算!$F$2:$F$801, 0)+1)), "")&lt;&gt;"", IFERROR(INDEX(ERP資料!$A:$A, (MATCH(945, 輔助計算!$F$2:$F$801, 0)+1)), "")&lt;&gt;IFERROR(INDEX(ERP資料!$A:$A, MATCH(944, 輔助計算!$F$2:$F$801, 0)+1), "")), INDEX(ERP資料!$B:$B, (MATCH(945, 輔助計算!$F$2:$F$801, 0)+1)), ""), "")</f>
        <v/>
      </c>
      <c r="B946" s="10">
        <f>IFERROR(IF(AND(IFERROR(INDEX(ERP資料!$A:$A, (MATCH(945, 輔助計算!$F$2:$F$801, 0)+1)), "")&lt;&gt;"", IFERROR(INDEX(ERP資料!$A:$A, (MATCH(945, 輔助計算!$F$2:$F$801, 0)+1)), "")&lt;&gt;IFERROR(INDEX(ERP資料!$A:$A, MATCH(944, 輔助計算!$F$2:$F$801, 0)+1), "")), IFERROR(INDEX(ERP資料!$A:$A, (MATCH(945, 輔助計算!$F$2:$F$801, 0)+1)), ""), ""), "")</f>
        <v/>
      </c>
      <c r="C946" s="10">
        <f>IFERROR(IF(AND(IFERROR(INDEX(ERP資料!$A:$A, (MATCH(945, 輔助計算!$F$2:$F$801, 0)+1)), "")&lt;&gt;"", IFERROR(INDEX(ERP資料!$A:$A, (MATCH(945, 輔助計算!$F$2:$F$801, 0)+1)), "")&lt;&gt;IFERROR(INDEX(ERP資料!$A:$A, MATCH(944, 輔助計算!$F$2:$F$801, 0)+1), "")), INDEX(ERP資料!$S:$S, (MATCH(945, 輔助計算!$F$2:$F$801, 0)+1)), ""), "")</f>
        <v/>
      </c>
      <c r="D946" s="10">
        <f>IFERROR(IF(INDEX(ERP資料!$E:$E, (MATCH(945, 輔助計算!$F$2:$F$801, 0)+1))="","",TRIM(INDEX(ERP資料!$E:$E, (MATCH(945, 輔助計算!$F$2:$F$801, 0)+1)))), "")</f>
        <v/>
      </c>
      <c r="E946" s="10">
        <f>IFERROR(IF(INDEX(ERP資料!$F:$F, (MATCH(945, 輔助計算!$F$2:$F$801, 0)+1))="","",INDEX(ERP資料!$F:$F, (MATCH(945, 輔助計算!$F$2:$F$801, 0)+1))), "")</f>
        <v/>
      </c>
      <c r="F946" s="10">
        <f>IFERROR(IF(INDEX(ERP資料!$G:$G, (MATCH(945, 輔助計算!$F$2:$F$801, 0)+1))="","",INDEX(ERP資料!$G:$G, (MATCH(945, 輔助計算!$F$2:$F$801, 0)+1))), "")</f>
        <v/>
      </c>
      <c r="G946" s="10">
        <f>IFERROR(IF(INDEX(ERP資料!$H:$H, (MATCH(945, 輔助計算!$F$2:$F$801, 0)+1))="","",INDEX(ERP資料!$H:$H, (MATCH(945, 輔助計算!$F$2:$F$801, 0)+1))), "")</f>
        <v/>
      </c>
      <c r="H946" s="10">
        <f>IFERROR(IF(INDEX(ERP資料!$O:$O, (MATCH(945, 輔助計算!$F$2:$F$801, 0)+1))="","",INDEX(ERP資料!$O:$O, (MATCH(945, 輔助計算!$F$2:$F$801, 0)+1))), "")</f>
        <v/>
      </c>
      <c r="I946" s="15">
        <f>IFERROR(IF(INDEX(輔助計算!$D:$D,(MATCH(945, 輔助計算!$F$2:$F$801, 0)+1))="","",INDEX(輔助計算!$D:$D,(MATCH(945, 輔助計算!$F$2:$F$801, 0)+1))*INDEX(ERP資料!$O:$O,(MATCH(945, 輔助計算!$F$2:$F$801, 0)+1))), "")</f>
        <v/>
      </c>
      <c r="J946" s="16" t="n"/>
      <c r="K946" s="15">
        <f>IFERROR(INDEX(輔助計算!$D:$D, (MATCH(945, 輔助計算!$F$2:$F$801, 0)+1)), "")</f>
        <v/>
      </c>
      <c r="L946" s="16">
        <f>IFERROR(IF(AND(IFERROR(VLOOKUP(LEFT(INDEX(ERP資料!$S:$S, (MATCH(945, 輔助計算!$F$2:$F$801, 0)+1)), 4), 100張客戶!$A:$A, 1, FALSE), "")&lt;&gt;"", OR(INDEX(ERP資料!$F:$F, (MATCH(945, 輔助計算!$F$2:$F$801, 0)+1))=270, INDEX(ERP資料!$F:$F, (MATCH(945, 輔助計算!$F$2:$F$801, 0)+1))=300)), "100張", ""), "")</f>
        <v/>
      </c>
      <c r="M946" s="17" t="n"/>
      <c r="N946" s="17">
        <f>IF($F946="","",$F946)</f>
        <v/>
      </c>
      <c r="O946" s="17">
        <f>IF($G946="","",$G946)</f>
        <v/>
      </c>
      <c r="P946" s="17">
        <f>IF($K946="","",$K946)</f>
        <v/>
      </c>
      <c r="Q946" s="16" t="n"/>
      <c r="R946" s="18" t="n"/>
      <c r="S946" s="16" t="n"/>
    </row>
    <row r="947">
      <c r="A947" s="14">
        <f>IFERROR(IF(AND(IFERROR(INDEX(ERP資料!$A:$A, (MATCH(946, 輔助計算!$F$2:$F$801, 0)+1)), "")&lt;&gt;"", IFERROR(INDEX(ERP資料!$A:$A, (MATCH(946, 輔助計算!$F$2:$F$801, 0)+1)), "")&lt;&gt;IFERROR(INDEX(ERP資料!$A:$A, MATCH(945, 輔助計算!$F$2:$F$801, 0)+1), "")), INDEX(ERP資料!$B:$B, (MATCH(946, 輔助計算!$F$2:$F$801, 0)+1)), ""), "")</f>
        <v/>
      </c>
      <c r="B947" s="10">
        <f>IFERROR(IF(AND(IFERROR(INDEX(ERP資料!$A:$A, (MATCH(946, 輔助計算!$F$2:$F$801, 0)+1)), "")&lt;&gt;"", IFERROR(INDEX(ERP資料!$A:$A, (MATCH(946, 輔助計算!$F$2:$F$801, 0)+1)), "")&lt;&gt;IFERROR(INDEX(ERP資料!$A:$A, MATCH(945, 輔助計算!$F$2:$F$801, 0)+1), "")), IFERROR(INDEX(ERP資料!$A:$A, (MATCH(946, 輔助計算!$F$2:$F$801, 0)+1)), ""), ""), "")</f>
        <v/>
      </c>
      <c r="C947" s="10">
        <f>IFERROR(IF(AND(IFERROR(INDEX(ERP資料!$A:$A, (MATCH(946, 輔助計算!$F$2:$F$801, 0)+1)), "")&lt;&gt;"", IFERROR(INDEX(ERP資料!$A:$A, (MATCH(946, 輔助計算!$F$2:$F$801, 0)+1)), "")&lt;&gt;IFERROR(INDEX(ERP資料!$A:$A, MATCH(945, 輔助計算!$F$2:$F$801, 0)+1), "")), INDEX(ERP資料!$S:$S, (MATCH(946, 輔助計算!$F$2:$F$801, 0)+1)), ""), "")</f>
        <v/>
      </c>
      <c r="D947" s="10">
        <f>IFERROR(IF(INDEX(ERP資料!$E:$E, (MATCH(946, 輔助計算!$F$2:$F$801, 0)+1))="","",TRIM(INDEX(ERP資料!$E:$E, (MATCH(946, 輔助計算!$F$2:$F$801, 0)+1)))), "")</f>
        <v/>
      </c>
      <c r="E947" s="10">
        <f>IFERROR(IF(INDEX(ERP資料!$F:$F, (MATCH(946, 輔助計算!$F$2:$F$801, 0)+1))="","",INDEX(ERP資料!$F:$F, (MATCH(946, 輔助計算!$F$2:$F$801, 0)+1))), "")</f>
        <v/>
      </c>
      <c r="F947" s="10">
        <f>IFERROR(IF(INDEX(ERP資料!$G:$G, (MATCH(946, 輔助計算!$F$2:$F$801, 0)+1))="","",INDEX(ERP資料!$G:$G, (MATCH(946, 輔助計算!$F$2:$F$801, 0)+1))), "")</f>
        <v/>
      </c>
      <c r="G947" s="10">
        <f>IFERROR(IF(INDEX(ERP資料!$H:$H, (MATCH(946, 輔助計算!$F$2:$F$801, 0)+1))="","",INDEX(ERP資料!$H:$H, (MATCH(946, 輔助計算!$F$2:$F$801, 0)+1))), "")</f>
        <v/>
      </c>
      <c r="H947" s="10">
        <f>IFERROR(IF(INDEX(ERP資料!$O:$O, (MATCH(946, 輔助計算!$F$2:$F$801, 0)+1))="","",INDEX(ERP資料!$O:$O, (MATCH(946, 輔助計算!$F$2:$F$801, 0)+1))), "")</f>
        <v/>
      </c>
      <c r="I947" s="15">
        <f>IFERROR(IF(INDEX(輔助計算!$D:$D,(MATCH(946, 輔助計算!$F$2:$F$801, 0)+1))="","",INDEX(輔助計算!$D:$D,(MATCH(946, 輔助計算!$F$2:$F$801, 0)+1))*INDEX(ERP資料!$O:$O,(MATCH(946, 輔助計算!$F$2:$F$801, 0)+1))), "")</f>
        <v/>
      </c>
      <c r="J947" s="16" t="n"/>
      <c r="K947" s="15">
        <f>IFERROR(INDEX(輔助計算!$D:$D, (MATCH(946, 輔助計算!$F$2:$F$801, 0)+1)), "")</f>
        <v/>
      </c>
      <c r="L947" s="16">
        <f>IFERROR(IF(AND(IFERROR(VLOOKUP(LEFT(INDEX(ERP資料!$S:$S, (MATCH(946, 輔助計算!$F$2:$F$801, 0)+1)), 4), 100張客戶!$A:$A, 1, FALSE), "")&lt;&gt;"", OR(INDEX(ERP資料!$F:$F, (MATCH(946, 輔助計算!$F$2:$F$801, 0)+1))=270, INDEX(ERP資料!$F:$F, (MATCH(946, 輔助計算!$F$2:$F$801, 0)+1))=300)), "100張", ""), "")</f>
        <v/>
      </c>
      <c r="M947" s="17" t="n"/>
      <c r="N947" s="17">
        <f>IF($F947="","",$F947)</f>
        <v/>
      </c>
      <c r="O947" s="17">
        <f>IF($G947="","",$G947)</f>
        <v/>
      </c>
      <c r="P947" s="17">
        <f>IF($K947="","",$K947)</f>
        <v/>
      </c>
      <c r="Q947" s="16" t="n"/>
      <c r="R947" s="18" t="n"/>
      <c r="S947" s="16" t="n"/>
    </row>
    <row r="948">
      <c r="A948" s="14">
        <f>IFERROR(IF(AND(IFERROR(INDEX(ERP資料!$A:$A, (MATCH(947, 輔助計算!$F$2:$F$801, 0)+1)), "")&lt;&gt;"", IFERROR(INDEX(ERP資料!$A:$A, (MATCH(947, 輔助計算!$F$2:$F$801, 0)+1)), "")&lt;&gt;IFERROR(INDEX(ERP資料!$A:$A, MATCH(946, 輔助計算!$F$2:$F$801, 0)+1), "")), INDEX(ERP資料!$B:$B, (MATCH(947, 輔助計算!$F$2:$F$801, 0)+1)), ""), "")</f>
        <v/>
      </c>
      <c r="B948" s="10">
        <f>IFERROR(IF(AND(IFERROR(INDEX(ERP資料!$A:$A, (MATCH(947, 輔助計算!$F$2:$F$801, 0)+1)), "")&lt;&gt;"", IFERROR(INDEX(ERP資料!$A:$A, (MATCH(947, 輔助計算!$F$2:$F$801, 0)+1)), "")&lt;&gt;IFERROR(INDEX(ERP資料!$A:$A, MATCH(946, 輔助計算!$F$2:$F$801, 0)+1), "")), IFERROR(INDEX(ERP資料!$A:$A, (MATCH(947, 輔助計算!$F$2:$F$801, 0)+1)), ""), ""), "")</f>
        <v/>
      </c>
      <c r="C948" s="10">
        <f>IFERROR(IF(AND(IFERROR(INDEX(ERP資料!$A:$A, (MATCH(947, 輔助計算!$F$2:$F$801, 0)+1)), "")&lt;&gt;"", IFERROR(INDEX(ERP資料!$A:$A, (MATCH(947, 輔助計算!$F$2:$F$801, 0)+1)), "")&lt;&gt;IFERROR(INDEX(ERP資料!$A:$A, MATCH(946, 輔助計算!$F$2:$F$801, 0)+1), "")), INDEX(ERP資料!$S:$S, (MATCH(947, 輔助計算!$F$2:$F$801, 0)+1)), ""), "")</f>
        <v/>
      </c>
      <c r="D948" s="10">
        <f>IFERROR(IF(INDEX(ERP資料!$E:$E, (MATCH(947, 輔助計算!$F$2:$F$801, 0)+1))="","",TRIM(INDEX(ERP資料!$E:$E, (MATCH(947, 輔助計算!$F$2:$F$801, 0)+1)))), "")</f>
        <v/>
      </c>
      <c r="E948" s="10">
        <f>IFERROR(IF(INDEX(ERP資料!$F:$F, (MATCH(947, 輔助計算!$F$2:$F$801, 0)+1))="","",INDEX(ERP資料!$F:$F, (MATCH(947, 輔助計算!$F$2:$F$801, 0)+1))), "")</f>
        <v/>
      </c>
      <c r="F948" s="10">
        <f>IFERROR(IF(INDEX(ERP資料!$G:$G, (MATCH(947, 輔助計算!$F$2:$F$801, 0)+1))="","",INDEX(ERP資料!$G:$G, (MATCH(947, 輔助計算!$F$2:$F$801, 0)+1))), "")</f>
        <v/>
      </c>
      <c r="G948" s="10">
        <f>IFERROR(IF(INDEX(ERP資料!$H:$H, (MATCH(947, 輔助計算!$F$2:$F$801, 0)+1))="","",INDEX(ERP資料!$H:$H, (MATCH(947, 輔助計算!$F$2:$F$801, 0)+1))), "")</f>
        <v/>
      </c>
      <c r="H948" s="10">
        <f>IFERROR(IF(INDEX(ERP資料!$O:$O, (MATCH(947, 輔助計算!$F$2:$F$801, 0)+1))="","",INDEX(ERP資料!$O:$O, (MATCH(947, 輔助計算!$F$2:$F$801, 0)+1))), "")</f>
        <v/>
      </c>
      <c r="I948" s="15">
        <f>IFERROR(IF(INDEX(輔助計算!$D:$D,(MATCH(947, 輔助計算!$F$2:$F$801, 0)+1))="","",INDEX(輔助計算!$D:$D,(MATCH(947, 輔助計算!$F$2:$F$801, 0)+1))*INDEX(ERP資料!$O:$O,(MATCH(947, 輔助計算!$F$2:$F$801, 0)+1))), "")</f>
        <v/>
      </c>
      <c r="J948" s="16" t="n"/>
      <c r="K948" s="15">
        <f>IFERROR(INDEX(輔助計算!$D:$D, (MATCH(947, 輔助計算!$F$2:$F$801, 0)+1)), "")</f>
        <v/>
      </c>
      <c r="L948" s="16">
        <f>IFERROR(IF(AND(IFERROR(VLOOKUP(LEFT(INDEX(ERP資料!$S:$S, (MATCH(947, 輔助計算!$F$2:$F$801, 0)+1)), 4), 100張客戶!$A:$A, 1, FALSE), "")&lt;&gt;"", OR(INDEX(ERP資料!$F:$F, (MATCH(947, 輔助計算!$F$2:$F$801, 0)+1))=270, INDEX(ERP資料!$F:$F, (MATCH(947, 輔助計算!$F$2:$F$801, 0)+1))=300)), "100張", ""), "")</f>
        <v/>
      </c>
      <c r="M948" s="17" t="n"/>
      <c r="N948" s="17">
        <f>IF($F948="","",$F948)</f>
        <v/>
      </c>
      <c r="O948" s="17">
        <f>IF($G948="","",$G948)</f>
        <v/>
      </c>
      <c r="P948" s="17">
        <f>IF($K948="","",$K948)</f>
        <v/>
      </c>
      <c r="Q948" s="16" t="n"/>
      <c r="R948" s="18" t="n"/>
      <c r="S948" s="16" t="n"/>
    </row>
    <row r="949">
      <c r="A949" s="14">
        <f>IFERROR(IF(AND(IFERROR(INDEX(ERP資料!$A:$A, (MATCH(948, 輔助計算!$F$2:$F$801, 0)+1)), "")&lt;&gt;"", IFERROR(INDEX(ERP資料!$A:$A, (MATCH(948, 輔助計算!$F$2:$F$801, 0)+1)), "")&lt;&gt;IFERROR(INDEX(ERP資料!$A:$A, MATCH(947, 輔助計算!$F$2:$F$801, 0)+1), "")), INDEX(ERP資料!$B:$B, (MATCH(948, 輔助計算!$F$2:$F$801, 0)+1)), ""), "")</f>
        <v/>
      </c>
      <c r="B949" s="10">
        <f>IFERROR(IF(AND(IFERROR(INDEX(ERP資料!$A:$A, (MATCH(948, 輔助計算!$F$2:$F$801, 0)+1)), "")&lt;&gt;"", IFERROR(INDEX(ERP資料!$A:$A, (MATCH(948, 輔助計算!$F$2:$F$801, 0)+1)), "")&lt;&gt;IFERROR(INDEX(ERP資料!$A:$A, MATCH(947, 輔助計算!$F$2:$F$801, 0)+1), "")), IFERROR(INDEX(ERP資料!$A:$A, (MATCH(948, 輔助計算!$F$2:$F$801, 0)+1)), ""), ""), "")</f>
        <v/>
      </c>
      <c r="C949" s="10">
        <f>IFERROR(IF(AND(IFERROR(INDEX(ERP資料!$A:$A, (MATCH(948, 輔助計算!$F$2:$F$801, 0)+1)), "")&lt;&gt;"", IFERROR(INDEX(ERP資料!$A:$A, (MATCH(948, 輔助計算!$F$2:$F$801, 0)+1)), "")&lt;&gt;IFERROR(INDEX(ERP資料!$A:$A, MATCH(947, 輔助計算!$F$2:$F$801, 0)+1), "")), INDEX(ERP資料!$S:$S, (MATCH(948, 輔助計算!$F$2:$F$801, 0)+1)), ""), "")</f>
        <v/>
      </c>
      <c r="D949" s="10">
        <f>IFERROR(IF(INDEX(ERP資料!$E:$E, (MATCH(948, 輔助計算!$F$2:$F$801, 0)+1))="","",TRIM(INDEX(ERP資料!$E:$E, (MATCH(948, 輔助計算!$F$2:$F$801, 0)+1)))), "")</f>
        <v/>
      </c>
      <c r="E949" s="10">
        <f>IFERROR(IF(INDEX(ERP資料!$F:$F, (MATCH(948, 輔助計算!$F$2:$F$801, 0)+1))="","",INDEX(ERP資料!$F:$F, (MATCH(948, 輔助計算!$F$2:$F$801, 0)+1))), "")</f>
        <v/>
      </c>
      <c r="F949" s="10">
        <f>IFERROR(IF(INDEX(ERP資料!$G:$G, (MATCH(948, 輔助計算!$F$2:$F$801, 0)+1))="","",INDEX(ERP資料!$G:$G, (MATCH(948, 輔助計算!$F$2:$F$801, 0)+1))), "")</f>
        <v/>
      </c>
      <c r="G949" s="10">
        <f>IFERROR(IF(INDEX(ERP資料!$H:$H, (MATCH(948, 輔助計算!$F$2:$F$801, 0)+1))="","",INDEX(ERP資料!$H:$H, (MATCH(948, 輔助計算!$F$2:$F$801, 0)+1))), "")</f>
        <v/>
      </c>
      <c r="H949" s="10">
        <f>IFERROR(IF(INDEX(ERP資料!$O:$O, (MATCH(948, 輔助計算!$F$2:$F$801, 0)+1))="","",INDEX(ERP資料!$O:$O, (MATCH(948, 輔助計算!$F$2:$F$801, 0)+1))), "")</f>
        <v/>
      </c>
      <c r="I949" s="15">
        <f>IFERROR(IF(INDEX(輔助計算!$D:$D,(MATCH(948, 輔助計算!$F$2:$F$801, 0)+1))="","",INDEX(輔助計算!$D:$D,(MATCH(948, 輔助計算!$F$2:$F$801, 0)+1))*INDEX(ERP資料!$O:$O,(MATCH(948, 輔助計算!$F$2:$F$801, 0)+1))), "")</f>
        <v/>
      </c>
      <c r="J949" s="16" t="n"/>
      <c r="K949" s="15">
        <f>IFERROR(INDEX(輔助計算!$D:$D, (MATCH(948, 輔助計算!$F$2:$F$801, 0)+1)), "")</f>
        <v/>
      </c>
      <c r="L949" s="16">
        <f>IFERROR(IF(AND(IFERROR(VLOOKUP(LEFT(INDEX(ERP資料!$S:$S, (MATCH(948, 輔助計算!$F$2:$F$801, 0)+1)), 4), 100張客戶!$A:$A, 1, FALSE), "")&lt;&gt;"", OR(INDEX(ERP資料!$F:$F, (MATCH(948, 輔助計算!$F$2:$F$801, 0)+1))=270, INDEX(ERP資料!$F:$F, (MATCH(948, 輔助計算!$F$2:$F$801, 0)+1))=300)), "100張", ""), "")</f>
        <v/>
      </c>
      <c r="M949" s="17" t="n"/>
      <c r="N949" s="17">
        <f>IF($F949="","",$F949)</f>
        <v/>
      </c>
      <c r="O949" s="17">
        <f>IF($G949="","",$G949)</f>
        <v/>
      </c>
      <c r="P949" s="17">
        <f>IF($K949="","",$K949)</f>
        <v/>
      </c>
      <c r="Q949" s="16" t="n"/>
      <c r="R949" s="18" t="n"/>
      <c r="S949" s="16" t="n"/>
    </row>
    <row r="950">
      <c r="A950" s="14">
        <f>IFERROR(IF(AND(IFERROR(INDEX(ERP資料!$A:$A, (MATCH(949, 輔助計算!$F$2:$F$801, 0)+1)), "")&lt;&gt;"", IFERROR(INDEX(ERP資料!$A:$A, (MATCH(949, 輔助計算!$F$2:$F$801, 0)+1)), "")&lt;&gt;IFERROR(INDEX(ERP資料!$A:$A, MATCH(948, 輔助計算!$F$2:$F$801, 0)+1), "")), INDEX(ERP資料!$B:$B, (MATCH(949, 輔助計算!$F$2:$F$801, 0)+1)), ""), "")</f>
        <v/>
      </c>
      <c r="B950" s="10">
        <f>IFERROR(IF(AND(IFERROR(INDEX(ERP資料!$A:$A, (MATCH(949, 輔助計算!$F$2:$F$801, 0)+1)), "")&lt;&gt;"", IFERROR(INDEX(ERP資料!$A:$A, (MATCH(949, 輔助計算!$F$2:$F$801, 0)+1)), "")&lt;&gt;IFERROR(INDEX(ERP資料!$A:$A, MATCH(948, 輔助計算!$F$2:$F$801, 0)+1), "")), IFERROR(INDEX(ERP資料!$A:$A, (MATCH(949, 輔助計算!$F$2:$F$801, 0)+1)), ""), ""), "")</f>
        <v/>
      </c>
      <c r="C950" s="10">
        <f>IFERROR(IF(AND(IFERROR(INDEX(ERP資料!$A:$A, (MATCH(949, 輔助計算!$F$2:$F$801, 0)+1)), "")&lt;&gt;"", IFERROR(INDEX(ERP資料!$A:$A, (MATCH(949, 輔助計算!$F$2:$F$801, 0)+1)), "")&lt;&gt;IFERROR(INDEX(ERP資料!$A:$A, MATCH(948, 輔助計算!$F$2:$F$801, 0)+1), "")), INDEX(ERP資料!$S:$S, (MATCH(949, 輔助計算!$F$2:$F$801, 0)+1)), ""), "")</f>
        <v/>
      </c>
      <c r="D950" s="10">
        <f>IFERROR(IF(INDEX(ERP資料!$E:$E, (MATCH(949, 輔助計算!$F$2:$F$801, 0)+1))="","",TRIM(INDEX(ERP資料!$E:$E, (MATCH(949, 輔助計算!$F$2:$F$801, 0)+1)))), "")</f>
        <v/>
      </c>
      <c r="E950" s="10">
        <f>IFERROR(IF(INDEX(ERP資料!$F:$F, (MATCH(949, 輔助計算!$F$2:$F$801, 0)+1))="","",INDEX(ERP資料!$F:$F, (MATCH(949, 輔助計算!$F$2:$F$801, 0)+1))), "")</f>
        <v/>
      </c>
      <c r="F950" s="10">
        <f>IFERROR(IF(INDEX(ERP資料!$G:$G, (MATCH(949, 輔助計算!$F$2:$F$801, 0)+1))="","",INDEX(ERP資料!$G:$G, (MATCH(949, 輔助計算!$F$2:$F$801, 0)+1))), "")</f>
        <v/>
      </c>
      <c r="G950" s="10">
        <f>IFERROR(IF(INDEX(ERP資料!$H:$H, (MATCH(949, 輔助計算!$F$2:$F$801, 0)+1))="","",INDEX(ERP資料!$H:$H, (MATCH(949, 輔助計算!$F$2:$F$801, 0)+1))), "")</f>
        <v/>
      </c>
      <c r="H950" s="10">
        <f>IFERROR(IF(INDEX(ERP資料!$O:$O, (MATCH(949, 輔助計算!$F$2:$F$801, 0)+1))="","",INDEX(ERP資料!$O:$O, (MATCH(949, 輔助計算!$F$2:$F$801, 0)+1))), "")</f>
        <v/>
      </c>
      <c r="I950" s="15">
        <f>IFERROR(IF(INDEX(輔助計算!$D:$D,(MATCH(949, 輔助計算!$F$2:$F$801, 0)+1))="","",INDEX(輔助計算!$D:$D,(MATCH(949, 輔助計算!$F$2:$F$801, 0)+1))*INDEX(ERP資料!$O:$O,(MATCH(949, 輔助計算!$F$2:$F$801, 0)+1))), "")</f>
        <v/>
      </c>
      <c r="J950" s="16" t="n"/>
      <c r="K950" s="15">
        <f>IFERROR(INDEX(輔助計算!$D:$D, (MATCH(949, 輔助計算!$F$2:$F$801, 0)+1)), "")</f>
        <v/>
      </c>
      <c r="L950" s="16">
        <f>IFERROR(IF(AND(IFERROR(VLOOKUP(LEFT(INDEX(ERP資料!$S:$S, (MATCH(949, 輔助計算!$F$2:$F$801, 0)+1)), 4), 100張客戶!$A:$A, 1, FALSE), "")&lt;&gt;"", OR(INDEX(ERP資料!$F:$F, (MATCH(949, 輔助計算!$F$2:$F$801, 0)+1))=270, INDEX(ERP資料!$F:$F, (MATCH(949, 輔助計算!$F$2:$F$801, 0)+1))=300)), "100張", ""), "")</f>
        <v/>
      </c>
      <c r="M950" s="17" t="n"/>
      <c r="N950" s="17">
        <f>IF($F950="","",$F950)</f>
        <v/>
      </c>
      <c r="O950" s="17">
        <f>IF($G950="","",$G950)</f>
        <v/>
      </c>
      <c r="P950" s="17">
        <f>IF($K950="","",$K950)</f>
        <v/>
      </c>
      <c r="Q950" s="16" t="n"/>
      <c r="R950" s="18" t="n"/>
      <c r="S950" s="16" t="n"/>
    </row>
    <row r="951">
      <c r="A951" s="14">
        <f>IFERROR(IF(AND(IFERROR(INDEX(ERP資料!$A:$A, (MATCH(950, 輔助計算!$F$2:$F$801, 0)+1)), "")&lt;&gt;"", IFERROR(INDEX(ERP資料!$A:$A, (MATCH(950, 輔助計算!$F$2:$F$801, 0)+1)), "")&lt;&gt;IFERROR(INDEX(ERP資料!$A:$A, MATCH(949, 輔助計算!$F$2:$F$801, 0)+1), "")), INDEX(ERP資料!$B:$B, (MATCH(950, 輔助計算!$F$2:$F$801, 0)+1)), ""), "")</f>
        <v/>
      </c>
      <c r="B951" s="10">
        <f>IFERROR(IF(AND(IFERROR(INDEX(ERP資料!$A:$A, (MATCH(950, 輔助計算!$F$2:$F$801, 0)+1)), "")&lt;&gt;"", IFERROR(INDEX(ERP資料!$A:$A, (MATCH(950, 輔助計算!$F$2:$F$801, 0)+1)), "")&lt;&gt;IFERROR(INDEX(ERP資料!$A:$A, MATCH(949, 輔助計算!$F$2:$F$801, 0)+1), "")), IFERROR(INDEX(ERP資料!$A:$A, (MATCH(950, 輔助計算!$F$2:$F$801, 0)+1)), ""), ""), "")</f>
        <v/>
      </c>
      <c r="C951" s="10">
        <f>IFERROR(IF(AND(IFERROR(INDEX(ERP資料!$A:$A, (MATCH(950, 輔助計算!$F$2:$F$801, 0)+1)), "")&lt;&gt;"", IFERROR(INDEX(ERP資料!$A:$A, (MATCH(950, 輔助計算!$F$2:$F$801, 0)+1)), "")&lt;&gt;IFERROR(INDEX(ERP資料!$A:$A, MATCH(949, 輔助計算!$F$2:$F$801, 0)+1), "")), INDEX(ERP資料!$S:$S, (MATCH(950, 輔助計算!$F$2:$F$801, 0)+1)), ""), "")</f>
        <v/>
      </c>
      <c r="D951" s="10">
        <f>IFERROR(IF(INDEX(ERP資料!$E:$E, (MATCH(950, 輔助計算!$F$2:$F$801, 0)+1))="","",TRIM(INDEX(ERP資料!$E:$E, (MATCH(950, 輔助計算!$F$2:$F$801, 0)+1)))), "")</f>
        <v/>
      </c>
      <c r="E951" s="10">
        <f>IFERROR(IF(INDEX(ERP資料!$F:$F, (MATCH(950, 輔助計算!$F$2:$F$801, 0)+1))="","",INDEX(ERP資料!$F:$F, (MATCH(950, 輔助計算!$F$2:$F$801, 0)+1))), "")</f>
        <v/>
      </c>
      <c r="F951" s="10">
        <f>IFERROR(IF(INDEX(ERP資料!$G:$G, (MATCH(950, 輔助計算!$F$2:$F$801, 0)+1))="","",INDEX(ERP資料!$G:$G, (MATCH(950, 輔助計算!$F$2:$F$801, 0)+1))), "")</f>
        <v/>
      </c>
      <c r="G951" s="10">
        <f>IFERROR(IF(INDEX(ERP資料!$H:$H, (MATCH(950, 輔助計算!$F$2:$F$801, 0)+1))="","",INDEX(ERP資料!$H:$H, (MATCH(950, 輔助計算!$F$2:$F$801, 0)+1))), "")</f>
        <v/>
      </c>
      <c r="H951" s="10">
        <f>IFERROR(IF(INDEX(ERP資料!$O:$O, (MATCH(950, 輔助計算!$F$2:$F$801, 0)+1))="","",INDEX(ERP資料!$O:$O, (MATCH(950, 輔助計算!$F$2:$F$801, 0)+1))), "")</f>
        <v/>
      </c>
      <c r="I951" s="15">
        <f>IFERROR(IF(INDEX(輔助計算!$D:$D,(MATCH(950, 輔助計算!$F$2:$F$801, 0)+1))="","",INDEX(輔助計算!$D:$D,(MATCH(950, 輔助計算!$F$2:$F$801, 0)+1))*INDEX(ERP資料!$O:$O,(MATCH(950, 輔助計算!$F$2:$F$801, 0)+1))), "")</f>
        <v/>
      </c>
      <c r="J951" s="16" t="n"/>
      <c r="K951" s="15">
        <f>IFERROR(INDEX(輔助計算!$D:$D, (MATCH(950, 輔助計算!$F$2:$F$801, 0)+1)), "")</f>
        <v/>
      </c>
      <c r="L951" s="16">
        <f>IFERROR(IF(AND(IFERROR(VLOOKUP(LEFT(INDEX(ERP資料!$S:$S, (MATCH(950, 輔助計算!$F$2:$F$801, 0)+1)), 4), 100張客戶!$A:$A, 1, FALSE), "")&lt;&gt;"", OR(INDEX(ERP資料!$F:$F, (MATCH(950, 輔助計算!$F$2:$F$801, 0)+1))=270, INDEX(ERP資料!$F:$F, (MATCH(950, 輔助計算!$F$2:$F$801, 0)+1))=300)), "100張", ""), "")</f>
        <v/>
      </c>
      <c r="M951" s="17" t="n"/>
      <c r="N951" s="17">
        <f>IF($F951="","",$F951)</f>
        <v/>
      </c>
      <c r="O951" s="17">
        <f>IF($G951="","",$G951)</f>
        <v/>
      </c>
      <c r="P951" s="17">
        <f>IF($K951="","",$K951)</f>
        <v/>
      </c>
      <c r="Q951" s="16" t="n"/>
      <c r="R951" s="18" t="n"/>
      <c r="S951" s="16" t="n"/>
    </row>
    <row r="952">
      <c r="A952" s="14">
        <f>IFERROR(IF(AND(IFERROR(INDEX(ERP資料!$A:$A, (MATCH(951, 輔助計算!$F$2:$F$801, 0)+1)), "")&lt;&gt;"", IFERROR(INDEX(ERP資料!$A:$A, (MATCH(951, 輔助計算!$F$2:$F$801, 0)+1)), "")&lt;&gt;IFERROR(INDEX(ERP資料!$A:$A, MATCH(950, 輔助計算!$F$2:$F$801, 0)+1), "")), INDEX(ERP資料!$B:$B, (MATCH(951, 輔助計算!$F$2:$F$801, 0)+1)), ""), "")</f>
        <v/>
      </c>
      <c r="B952" s="10">
        <f>IFERROR(IF(AND(IFERROR(INDEX(ERP資料!$A:$A, (MATCH(951, 輔助計算!$F$2:$F$801, 0)+1)), "")&lt;&gt;"", IFERROR(INDEX(ERP資料!$A:$A, (MATCH(951, 輔助計算!$F$2:$F$801, 0)+1)), "")&lt;&gt;IFERROR(INDEX(ERP資料!$A:$A, MATCH(950, 輔助計算!$F$2:$F$801, 0)+1), "")), IFERROR(INDEX(ERP資料!$A:$A, (MATCH(951, 輔助計算!$F$2:$F$801, 0)+1)), ""), ""), "")</f>
        <v/>
      </c>
      <c r="C952" s="10">
        <f>IFERROR(IF(AND(IFERROR(INDEX(ERP資料!$A:$A, (MATCH(951, 輔助計算!$F$2:$F$801, 0)+1)), "")&lt;&gt;"", IFERROR(INDEX(ERP資料!$A:$A, (MATCH(951, 輔助計算!$F$2:$F$801, 0)+1)), "")&lt;&gt;IFERROR(INDEX(ERP資料!$A:$A, MATCH(950, 輔助計算!$F$2:$F$801, 0)+1), "")), INDEX(ERP資料!$S:$S, (MATCH(951, 輔助計算!$F$2:$F$801, 0)+1)), ""), "")</f>
        <v/>
      </c>
      <c r="D952" s="10">
        <f>IFERROR(IF(INDEX(ERP資料!$E:$E, (MATCH(951, 輔助計算!$F$2:$F$801, 0)+1))="","",TRIM(INDEX(ERP資料!$E:$E, (MATCH(951, 輔助計算!$F$2:$F$801, 0)+1)))), "")</f>
        <v/>
      </c>
      <c r="E952" s="10">
        <f>IFERROR(IF(INDEX(ERP資料!$F:$F, (MATCH(951, 輔助計算!$F$2:$F$801, 0)+1))="","",INDEX(ERP資料!$F:$F, (MATCH(951, 輔助計算!$F$2:$F$801, 0)+1))), "")</f>
        <v/>
      </c>
      <c r="F952" s="10">
        <f>IFERROR(IF(INDEX(ERP資料!$G:$G, (MATCH(951, 輔助計算!$F$2:$F$801, 0)+1))="","",INDEX(ERP資料!$G:$G, (MATCH(951, 輔助計算!$F$2:$F$801, 0)+1))), "")</f>
        <v/>
      </c>
      <c r="G952" s="10">
        <f>IFERROR(IF(INDEX(ERP資料!$H:$H, (MATCH(951, 輔助計算!$F$2:$F$801, 0)+1))="","",INDEX(ERP資料!$H:$H, (MATCH(951, 輔助計算!$F$2:$F$801, 0)+1))), "")</f>
        <v/>
      </c>
      <c r="H952" s="10">
        <f>IFERROR(IF(INDEX(ERP資料!$O:$O, (MATCH(951, 輔助計算!$F$2:$F$801, 0)+1))="","",INDEX(ERP資料!$O:$O, (MATCH(951, 輔助計算!$F$2:$F$801, 0)+1))), "")</f>
        <v/>
      </c>
      <c r="I952" s="15">
        <f>IFERROR(IF(INDEX(輔助計算!$D:$D,(MATCH(951, 輔助計算!$F$2:$F$801, 0)+1))="","",INDEX(輔助計算!$D:$D,(MATCH(951, 輔助計算!$F$2:$F$801, 0)+1))*INDEX(ERP資料!$O:$O,(MATCH(951, 輔助計算!$F$2:$F$801, 0)+1))), "")</f>
        <v/>
      </c>
      <c r="J952" s="16" t="n"/>
      <c r="K952" s="15">
        <f>IFERROR(INDEX(輔助計算!$D:$D, (MATCH(951, 輔助計算!$F$2:$F$801, 0)+1)), "")</f>
        <v/>
      </c>
      <c r="L952" s="16">
        <f>IFERROR(IF(AND(IFERROR(VLOOKUP(LEFT(INDEX(ERP資料!$S:$S, (MATCH(951, 輔助計算!$F$2:$F$801, 0)+1)), 4), 100張客戶!$A:$A, 1, FALSE), "")&lt;&gt;"", OR(INDEX(ERP資料!$F:$F, (MATCH(951, 輔助計算!$F$2:$F$801, 0)+1))=270, INDEX(ERP資料!$F:$F, (MATCH(951, 輔助計算!$F$2:$F$801, 0)+1))=300)), "100張", ""), "")</f>
        <v/>
      </c>
      <c r="M952" s="17" t="n"/>
      <c r="N952" s="17">
        <f>IF($F952="","",$F952)</f>
        <v/>
      </c>
      <c r="O952" s="17">
        <f>IF($G952="","",$G952)</f>
        <v/>
      </c>
      <c r="P952" s="17">
        <f>IF($K952="","",$K952)</f>
        <v/>
      </c>
      <c r="Q952" s="16" t="n"/>
      <c r="R952" s="18" t="n"/>
      <c r="S952" s="16" t="n"/>
    </row>
    <row r="953">
      <c r="A953" s="14">
        <f>IFERROR(IF(AND(IFERROR(INDEX(ERP資料!$A:$A, (MATCH(952, 輔助計算!$F$2:$F$801, 0)+1)), "")&lt;&gt;"", IFERROR(INDEX(ERP資料!$A:$A, (MATCH(952, 輔助計算!$F$2:$F$801, 0)+1)), "")&lt;&gt;IFERROR(INDEX(ERP資料!$A:$A, MATCH(951, 輔助計算!$F$2:$F$801, 0)+1), "")), INDEX(ERP資料!$B:$B, (MATCH(952, 輔助計算!$F$2:$F$801, 0)+1)), ""), "")</f>
        <v/>
      </c>
      <c r="B953" s="10">
        <f>IFERROR(IF(AND(IFERROR(INDEX(ERP資料!$A:$A, (MATCH(952, 輔助計算!$F$2:$F$801, 0)+1)), "")&lt;&gt;"", IFERROR(INDEX(ERP資料!$A:$A, (MATCH(952, 輔助計算!$F$2:$F$801, 0)+1)), "")&lt;&gt;IFERROR(INDEX(ERP資料!$A:$A, MATCH(951, 輔助計算!$F$2:$F$801, 0)+1), "")), IFERROR(INDEX(ERP資料!$A:$A, (MATCH(952, 輔助計算!$F$2:$F$801, 0)+1)), ""), ""), "")</f>
        <v/>
      </c>
      <c r="C953" s="10">
        <f>IFERROR(IF(AND(IFERROR(INDEX(ERP資料!$A:$A, (MATCH(952, 輔助計算!$F$2:$F$801, 0)+1)), "")&lt;&gt;"", IFERROR(INDEX(ERP資料!$A:$A, (MATCH(952, 輔助計算!$F$2:$F$801, 0)+1)), "")&lt;&gt;IFERROR(INDEX(ERP資料!$A:$A, MATCH(951, 輔助計算!$F$2:$F$801, 0)+1), "")), INDEX(ERP資料!$S:$S, (MATCH(952, 輔助計算!$F$2:$F$801, 0)+1)), ""), "")</f>
        <v/>
      </c>
      <c r="D953" s="10">
        <f>IFERROR(IF(INDEX(ERP資料!$E:$E, (MATCH(952, 輔助計算!$F$2:$F$801, 0)+1))="","",TRIM(INDEX(ERP資料!$E:$E, (MATCH(952, 輔助計算!$F$2:$F$801, 0)+1)))), "")</f>
        <v/>
      </c>
      <c r="E953" s="10">
        <f>IFERROR(IF(INDEX(ERP資料!$F:$F, (MATCH(952, 輔助計算!$F$2:$F$801, 0)+1))="","",INDEX(ERP資料!$F:$F, (MATCH(952, 輔助計算!$F$2:$F$801, 0)+1))), "")</f>
        <v/>
      </c>
      <c r="F953" s="10">
        <f>IFERROR(IF(INDEX(ERP資料!$G:$G, (MATCH(952, 輔助計算!$F$2:$F$801, 0)+1))="","",INDEX(ERP資料!$G:$G, (MATCH(952, 輔助計算!$F$2:$F$801, 0)+1))), "")</f>
        <v/>
      </c>
      <c r="G953" s="10">
        <f>IFERROR(IF(INDEX(ERP資料!$H:$H, (MATCH(952, 輔助計算!$F$2:$F$801, 0)+1))="","",INDEX(ERP資料!$H:$H, (MATCH(952, 輔助計算!$F$2:$F$801, 0)+1))), "")</f>
        <v/>
      </c>
      <c r="H953" s="10">
        <f>IFERROR(IF(INDEX(ERP資料!$O:$O, (MATCH(952, 輔助計算!$F$2:$F$801, 0)+1))="","",INDEX(ERP資料!$O:$O, (MATCH(952, 輔助計算!$F$2:$F$801, 0)+1))), "")</f>
        <v/>
      </c>
      <c r="I953" s="15">
        <f>IFERROR(IF(INDEX(輔助計算!$D:$D,(MATCH(952, 輔助計算!$F$2:$F$801, 0)+1))="","",INDEX(輔助計算!$D:$D,(MATCH(952, 輔助計算!$F$2:$F$801, 0)+1))*INDEX(ERP資料!$O:$O,(MATCH(952, 輔助計算!$F$2:$F$801, 0)+1))), "")</f>
        <v/>
      </c>
      <c r="J953" s="16" t="n"/>
      <c r="K953" s="15">
        <f>IFERROR(INDEX(輔助計算!$D:$D, (MATCH(952, 輔助計算!$F$2:$F$801, 0)+1)), "")</f>
        <v/>
      </c>
      <c r="L953" s="16">
        <f>IFERROR(IF(AND(IFERROR(VLOOKUP(LEFT(INDEX(ERP資料!$S:$S, (MATCH(952, 輔助計算!$F$2:$F$801, 0)+1)), 4), 100張客戶!$A:$A, 1, FALSE), "")&lt;&gt;"", OR(INDEX(ERP資料!$F:$F, (MATCH(952, 輔助計算!$F$2:$F$801, 0)+1))=270, INDEX(ERP資料!$F:$F, (MATCH(952, 輔助計算!$F$2:$F$801, 0)+1))=300)), "100張", ""), "")</f>
        <v/>
      </c>
      <c r="M953" s="17" t="n"/>
      <c r="N953" s="17">
        <f>IF($F953="","",$F953)</f>
        <v/>
      </c>
      <c r="O953" s="17">
        <f>IF($G953="","",$G953)</f>
        <v/>
      </c>
      <c r="P953" s="17">
        <f>IF($K953="","",$K953)</f>
        <v/>
      </c>
      <c r="Q953" s="16" t="n"/>
      <c r="R953" s="18" t="n"/>
      <c r="S953" s="16" t="n"/>
    </row>
    <row r="954">
      <c r="A954" s="14">
        <f>IFERROR(IF(AND(IFERROR(INDEX(ERP資料!$A:$A, (MATCH(953, 輔助計算!$F$2:$F$801, 0)+1)), "")&lt;&gt;"", IFERROR(INDEX(ERP資料!$A:$A, (MATCH(953, 輔助計算!$F$2:$F$801, 0)+1)), "")&lt;&gt;IFERROR(INDEX(ERP資料!$A:$A, MATCH(952, 輔助計算!$F$2:$F$801, 0)+1), "")), INDEX(ERP資料!$B:$B, (MATCH(953, 輔助計算!$F$2:$F$801, 0)+1)), ""), "")</f>
        <v/>
      </c>
      <c r="B954" s="10">
        <f>IFERROR(IF(AND(IFERROR(INDEX(ERP資料!$A:$A, (MATCH(953, 輔助計算!$F$2:$F$801, 0)+1)), "")&lt;&gt;"", IFERROR(INDEX(ERP資料!$A:$A, (MATCH(953, 輔助計算!$F$2:$F$801, 0)+1)), "")&lt;&gt;IFERROR(INDEX(ERP資料!$A:$A, MATCH(952, 輔助計算!$F$2:$F$801, 0)+1), "")), IFERROR(INDEX(ERP資料!$A:$A, (MATCH(953, 輔助計算!$F$2:$F$801, 0)+1)), ""), ""), "")</f>
        <v/>
      </c>
      <c r="C954" s="10">
        <f>IFERROR(IF(AND(IFERROR(INDEX(ERP資料!$A:$A, (MATCH(953, 輔助計算!$F$2:$F$801, 0)+1)), "")&lt;&gt;"", IFERROR(INDEX(ERP資料!$A:$A, (MATCH(953, 輔助計算!$F$2:$F$801, 0)+1)), "")&lt;&gt;IFERROR(INDEX(ERP資料!$A:$A, MATCH(952, 輔助計算!$F$2:$F$801, 0)+1), "")), INDEX(ERP資料!$S:$S, (MATCH(953, 輔助計算!$F$2:$F$801, 0)+1)), ""), "")</f>
        <v/>
      </c>
      <c r="D954" s="10">
        <f>IFERROR(IF(INDEX(ERP資料!$E:$E, (MATCH(953, 輔助計算!$F$2:$F$801, 0)+1))="","",TRIM(INDEX(ERP資料!$E:$E, (MATCH(953, 輔助計算!$F$2:$F$801, 0)+1)))), "")</f>
        <v/>
      </c>
      <c r="E954" s="10">
        <f>IFERROR(IF(INDEX(ERP資料!$F:$F, (MATCH(953, 輔助計算!$F$2:$F$801, 0)+1))="","",INDEX(ERP資料!$F:$F, (MATCH(953, 輔助計算!$F$2:$F$801, 0)+1))), "")</f>
        <v/>
      </c>
      <c r="F954" s="10">
        <f>IFERROR(IF(INDEX(ERP資料!$G:$G, (MATCH(953, 輔助計算!$F$2:$F$801, 0)+1))="","",INDEX(ERP資料!$G:$G, (MATCH(953, 輔助計算!$F$2:$F$801, 0)+1))), "")</f>
        <v/>
      </c>
      <c r="G954" s="10">
        <f>IFERROR(IF(INDEX(ERP資料!$H:$H, (MATCH(953, 輔助計算!$F$2:$F$801, 0)+1))="","",INDEX(ERP資料!$H:$H, (MATCH(953, 輔助計算!$F$2:$F$801, 0)+1))), "")</f>
        <v/>
      </c>
      <c r="H954" s="10">
        <f>IFERROR(IF(INDEX(ERP資料!$O:$O, (MATCH(953, 輔助計算!$F$2:$F$801, 0)+1))="","",INDEX(ERP資料!$O:$O, (MATCH(953, 輔助計算!$F$2:$F$801, 0)+1))), "")</f>
        <v/>
      </c>
      <c r="I954" s="15">
        <f>IFERROR(IF(INDEX(輔助計算!$D:$D,(MATCH(953, 輔助計算!$F$2:$F$801, 0)+1))="","",INDEX(輔助計算!$D:$D,(MATCH(953, 輔助計算!$F$2:$F$801, 0)+1))*INDEX(ERP資料!$O:$O,(MATCH(953, 輔助計算!$F$2:$F$801, 0)+1))), "")</f>
        <v/>
      </c>
      <c r="J954" s="16" t="n"/>
      <c r="K954" s="15">
        <f>IFERROR(INDEX(輔助計算!$D:$D, (MATCH(953, 輔助計算!$F$2:$F$801, 0)+1)), "")</f>
        <v/>
      </c>
      <c r="L954" s="16">
        <f>IFERROR(IF(AND(IFERROR(VLOOKUP(LEFT(INDEX(ERP資料!$S:$S, (MATCH(953, 輔助計算!$F$2:$F$801, 0)+1)), 4), 100張客戶!$A:$A, 1, FALSE), "")&lt;&gt;"", OR(INDEX(ERP資料!$F:$F, (MATCH(953, 輔助計算!$F$2:$F$801, 0)+1))=270, INDEX(ERP資料!$F:$F, (MATCH(953, 輔助計算!$F$2:$F$801, 0)+1))=300)), "100張", ""), "")</f>
        <v/>
      </c>
      <c r="M954" s="17" t="n"/>
      <c r="N954" s="17">
        <f>IF($F954="","",$F954)</f>
        <v/>
      </c>
      <c r="O954" s="17">
        <f>IF($G954="","",$G954)</f>
        <v/>
      </c>
      <c r="P954" s="17">
        <f>IF($K954="","",$K954)</f>
        <v/>
      </c>
      <c r="Q954" s="16" t="n"/>
      <c r="R954" s="18" t="n"/>
      <c r="S954" s="16" t="n"/>
    </row>
    <row r="955">
      <c r="A955" s="14">
        <f>IFERROR(IF(AND(IFERROR(INDEX(ERP資料!$A:$A, (MATCH(954, 輔助計算!$F$2:$F$801, 0)+1)), "")&lt;&gt;"", IFERROR(INDEX(ERP資料!$A:$A, (MATCH(954, 輔助計算!$F$2:$F$801, 0)+1)), "")&lt;&gt;IFERROR(INDEX(ERP資料!$A:$A, MATCH(953, 輔助計算!$F$2:$F$801, 0)+1), "")), INDEX(ERP資料!$B:$B, (MATCH(954, 輔助計算!$F$2:$F$801, 0)+1)), ""), "")</f>
        <v/>
      </c>
      <c r="B955" s="10">
        <f>IFERROR(IF(AND(IFERROR(INDEX(ERP資料!$A:$A, (MATCH(954, 輔助計算!$F$2:$F$801, 0)+1)), "")&lt;&gt;"", IFERROR(INDEX(ERP資料!$A:$A, (MATCH(954, 輔助計算!$F$2:$F$801, 0)+1)), "")&lt;&gt;IFERROR(INDEX(ERP資料!$A:$A, MATCH(953, 輔助計算!$F$2:$F$801, 0)+1), "")), IFERROR(INDEX(ERP資料!$A:$A, (MATCH(954, 輔助計算!$F$2:$F$801, 0)+1)), ""), ""), "")</f>
        <v/>
      </c>
      <c r="C955" s="10">
        <f>IFERROR(IF(AND(IFERROR(INDEX(ERP資料!$A:$A, (MATCH(954, 輔助計算!$F$2:$F$801, 0)+1)), "")&lt;&gt;"", IFERROR(INDEX(ERP資料!$A:$A, (MATCH(954, 輔助計算!$F$2:$F$801, 0)+1)), "")&lt;&gt;IFERROR(INDEX(ERP資料!$A:$A, MATCH(953, 輔助計算!$F$2:$F$801, 0)+1), "")), INDEX(ERP資料!$S:$S, (MATCH(954, 輔助計算!$F$2:$F$801, 0)+1)), ""), "")</f>
        <v/>
      </c>
      <c r="D955" s="10">
        <f>IFERROR(IF(INDEX(ERP資料!$E:$E, (MATCH(954, 輔助計算!$F$2:$F$801, 0)+1))="","",TRIM(INDEX(ERP資料!$E:$E, (MATCH(954, 輔助計算!$F$2:$F$801, 0)+1)))), "")</f>
        <v/>
      </c>
      <c r="E955" s="10">
        <f>IFERROR(IF(INDEX(ERP資料!$F:$F, (MATCH(954, 輔助計算!$F$2:$F$801, 0)+1))="","",INDEX(ERP資料!$F:$F, (MATCH(954, 輔助計算!$F$2:$F$801, 0)+1))), "")</f>
        <v/>
      </c>
      <c r="F955" s="10">
        <f>IFERROR(IF(INDEX(ERP資料!$G:$G, (MATCH(954, 輔助計算!$F$2:$F$801, 0)+1))="","",INDEX(ERP資料!$G:$G, (MATCH(954, 輔助計算!$F$2:$F$801, 0)+1))), "")</f>
        <v/>
      </c>
      <c r="G955" s="10">
        <f>IFERROR(IF(INDEX(ERP資料!$H:$H, (MATCH(954, 輔助計算!$F$2:$F$801, 0)+1))="","",INDEX(ERP資料!$H:$H, (MATCH(954, 輔助計算!$F$2:$F$801, 0)+1))), "")</f>
        <v/>
      </c>
      <c r="H955" s="10">
        <f>IFERROR(IF(INDEX(ERP資料!$O:$O, (MATCH(954, 輔助計算!$F$2:$F$801, 0)+1))="","",INDEX(ERP資料!$O:$O, (MATCH(954, 輔助計算!$F$2:$F$801, 0)+1))), "")</f>
        <v/>
      </c>
      <c r="I955" s="15">
        <f>IFERROR(IF(INDEX(輔助計算!$D:$D,(MATCH(954, 輔助計算!$F$2:$F$801, 0)+1))="","",INDEX(輔助計算!$D:$D,(MATCH(954, 輔助計算!$F$2:$F$801, 0)+1))*INDEX(ERP資料!$O:$O,(MATCH(954, 輔助計算!$F$2:$F$801, 0)+1))), "")</f>
        <v/>
      </c>
      <c r="J955" s="16" t="n"/>
      <c r="K955" s="15">
        <f>IFERROR(INDEX(輔助計算!$D:$D, (MATCH(954, 輔助計算!$F$2:$F$801, 0)+1)), "")</f>
        <v/>
      </c>
      <c r="L955" s="16">
        <f>IFERROR(IF(AND(IFERROR(VLOOKUP(LEFT(INDEX(ERP資料!$S:$S, (MATCH(954, 輔助計算!$F$2:$F$801, 0)+1)), 4), 100張客戶!$A:$A, 1, FALSE), "")&lt;&gt;"", OR(INDEX(ERP資料!$F:$F, (MATCH(954, 輔助計算!$F$2:$F$801, 0)+1))=270, INDEX(ERP資料!$F:$F, (MATCH(954, 輔助計算!$F$2:$F$801, 0)+1))=300)), "100張", ""), "")</f>
        <v/>
      </c>
      <c r="M955" s="17" t="n"/>
      <c r="N955" s="17">
        <f>IF($F955="","",$F955)</f>
        <v/>
      </c>
      <c r="O955" s="17">
        <f>IF($G955="","",$G955)</f>
        <v/>
      </c>
      <c r="P955" s="17">
        <f>IF($K955="","",$K955)</f>
        <v/>
      </c>
      <c r="Q955" s="16" t="n"/>
      <c r="R955" s="18" t="n"/>
      <c r="S955" s="16" t="n"/>
    </row>
    <row r="956">
      <c r="A956" s="14">
        <f>IFERROR(IF(AND(IFERROR(INDEX(ERP資料!$A:$A, (MATCH(955, 輔助計算!$F$2:$F$801, 0)+1)), "")&lt;&gt;"", IFERROR(INDEX(ERP資料!$A:$A, (MATCH(955, 輔助計算!$F$2:$F$801, 0)+1)), "")&lt;&gt;IFERROR(INDEX(ERP資料!$A:$A, MATCH(954, 輔助計算!$F$2:$F$801, 0)+1), "")), INDEX(ERP資料!$B:$B, (MATCH(955, 輔助計算!$F$2:$F$801, 0)+1)), ""), "")</f>
        <v/>
      </c>
      <c r="B956" s="10">
        <f>IFERROR(IF(AND(IFERROR(INDEX(ERP資料!$A:$A, (MATCH(955, 輔助計算!$F$2:$F$801, 0)+1)), "")&lt;&gt;"", IFERROR(INDEX(ERP資料!$A:$A, (MATCH(955, 輔助計算!$F$2:$F$801, 0)+1)), "")&lt;&gt;IFERROR(INDEX(ERP資料!$A:$A, MATCH(954, 輔助計算!$F$2:$F$801, 0)+1), "")), IFERROR(INDEX(ERP資料!$A:$A, (MATCH(955, 輔助計算!$F$2:$F$801, 0)+1)), ""), ""), "")</f>
        <v/>
      </c>
      <c r="C956" s="10">
        <f>IFERROR(IF(AND(IFERROR(INDEX(ERP資料!$A:$A, (MATCH(955, 輔助計算!$F$2:$F$801, 0)+1)), "")&lt;&gt;"", IFERROR(INDEX(ERP資料!$A:$A, (MATCH(955, 輔助計算!$F$2:$F$801, 0)+1)), "")&lt;&gt;IFERROR(INDEX(ERP資料!$A:$A, MATCH(954, 輔助計算!$F$2:$F$801, 0)+1), "")), INDEX(ERP資料!$S:$S, (MATCH(955, 輔助計算!$F$2:$F$801, 0)+1)), ""), "")</f>
        <v/>
      </c>
      <c r="D956" s="10">
        <f>IFERROR(IF(INDEX(ERP資料!$E:$E, (MATCH(955, 輔助計算!$F$2:$F$801, 0)+1))="","",TRIM(INDEX(ERP資料!$E:$E, (MATCH(955, 輔助計算!$F$2:$F$801, 0)+1)))), "")</f>
        <v/>
      </c>
      <c r="E956" s="10">
        <f>IFERROR(IF(INDEX(ERP資料!$F:$F, (MATCH(955, 輔助計算!$F$2:$F$801, 0)+1))="","",INDEX(ERP資料!$F:$F, (MATCH(955, 輔助計算!$F$2:$F$801, 0)+1))), "")</f>
        <v/>
      </c>
      <c r="F956" s="10">
        <f>IFERROR(IF(INDEX(ERP資料!$G:$G, (MATCH(955, 輔助計算!$F$2:$F$801, 0)+1))="","",INDEX(ERP資料!$G:$G, (MATCH(955, 輔助計算!$F$2:$F$801, 0)+1))), "")</f>
        <v/>
      </c>
      <c r="G956" s="10">
        <f>IFERROR(IF(INDEX(ERP資料!$H:$H, (MATCH(955, 輔助計算!$F$2:$F$801, 0)+1))="","",INDEX(ERP資料!$H:$H, (MATCH(955, 輔助計算!$F$2:$F$801, 0)+1))), "")</f>
        <v/>
      </c>
      <c r="H956" s="10">
        <f>IFERROR(IF(INDEX(ERP資料!$O:$O, (MATCH(955, 輔助計算!$F$2:$F$801, 0)+1))="","",INDEX(ERP資料!$O:$O, (MATCH(955, 輔助計算!$F$2:$F$801, 0)+1))), "")</f>
        <v/>
      </c>
      <c r="I956" s="15">
        <f>IFERROR(IF(INDEX(輔助計算!$D:$D,(MATCH(955, 輔助計算!$F$2:$F$801, 0)+1))="","",INDEX(輔助計算!$D:$D,(MATCH(955, 輔助計算!$F$2:$F$801, 0)+1))*INDEX(ERP資料!$O:$O,(MATCH(955, 輔助計算!$F$2:$F$801, 0)+1))), "")</f>
        <v/>
      </c>
      <c r="J956" s="16" t="n"/>
      <c r="K956" s="15">
        <f>IFERROR(INDEX(輔助計算!$D:$D, (MATCH(955, 輔助計算!$F$2:$F$801, 0)+1)), "")</f>
        <v/>
      </c>
      <c r="L956" s="16">
        <f>IFERROR(IF(AND(IFERROR(VLOOKUP(LEFT(INDEX(ERP資料!$S:$S, (MATCH(955, 輔助計算!$F$2:$F$801, 0)+1)), 4), 100張客戶!$A:$A, 1, FALSE), "")&lt;&gt;"", OR(INDEX(ERP資料!$F:$F, (MATCH(955, 輔助計算!$F$2:$F$801, 0)+1))=270, INDEX(ERP資料!$F:$F, (MATCH(955, 輔助計算!$F$2:$F$801, 0)+1))=300)), "100張", ""), "")</f>
        <v/>
      </c>
      <c r="M956" s="17" t="n"/>
      <c r="N956" s="17">
        <f>IF($F956="","",$F956)</f>
        <v/>
      </c>
      <c r="O956" s="17">
        <f>IF($G956="","",$G956)</f>
        <v/>
      </c>
      <c r="P956" s="17">
        <f>IF($K956="","",$K956)</f>
        <v/>
      </c>
      <c r="Q956" s="16" t="n"/>
      <c r="R956" s="18" t="n"/>
      <c r="S956" s="16" t="n"/>
    </row>
    <row r="957">
      <c r="A957" s="14">
        <f>IFERROR(IF(AND(IFERROR(INDEX(ERP資料!$A:$A, (MATCH(956, 輔助計算!$F$2:$F$801, 0)+1)), "")&lt;&gt;"", IFERROR(INDEX(ERP資料!$A:$A, (MATCH(956, 輔助計算!$F$2:$F$801, 0)+1)), "")&lt;&gt;IFERROR(INDEX(ERP資料!$A:$A, MATCH(955, 輔助計算!$F$2:$F$801, 0)+1), "")), INDEX(ERP資料!$B:$B, (MATCH(956, 輔助計算!$F$2:$F$801, 0)+1)), ""), "")</f>
        <v/>
      </c>
      <c r="B957" s="10">
        <f>IFERROR(IF(AND(IFERROR(INDEX(ERP資料!$A:$A, (MATCH(956, 輔助計算!$F$2:$F$801, 0)+1)), "")&lt;&gt;"", IFERROR(INDEX(ERP資料!$A:$A, (MATCH(956, 輔助計算!$F$2:$F$801, 0)+1)), "")&lt;&gt;IFERROR(INDEX(ERP資料!$A:$A, MATCH(955, 輔助計算!$F$2:$F$801, 0)+1), "")), IFERROR(INDEX(ERP資料!$A:$A, (MATCH(956, 輔助計算!$F$2:$F$801, 0)+1)), ""), ""), "")</f>
        <v/>
      </c>
      <c r="C957" s="10">
        <f>IFERROR(IF(AND(IFERROR(INDEX(ERP資料!$A:$A, (MATCH(956, 輔助計算!$F$2:$F$801, 0)+1)), "")&lt;&gt;"", IFERROR(INDEX(ERP資料!$A:$A, (MATCH(956, 輔助計算!$F$2:$F$801, 0)+1)), "")&lt;&gt;IFERROR(INDEX(ERP資料!$A:$A, MATCH(955, 輔助計算!$F$2:$F$801, 0)+1), "")), INDEX(ERP資料!$S:$S, (MATCH(956, 輔助計算!$F$2:$F$801, 0)+1)), ""), "")</f>
        <v/>
      </c>
      <c r="D957" s="10">
        <f>IFERROR(IF(INDEX(ERP資料!$E:$E, (MATCH(956, 輔助計算!$F$2:$F$801, 0)+1))="","",TRIM(INDEX(ERP資料!$E:$E, (MATCH(956, 輔助計算!$F$2:$F$801, 0)+1)))), "")</f>
        <v/>
      </c>
      <c r="E957" s="10">
        <f>IFERROR(IF(INDEX(ERP資料!$F:$F, (MATCH(956, 輔助計算!$F$2:$F$801, 0)+1))="","",INDEX(ERP資料!$F:$F, (MATCH(956, 輔助計算!$F$2:$F$801, 0)+1))), "")</f>
        <v/>
      </c>
      <c r="F957" s="10">
        <f>IFERROR(IF(INDEX(ERP資料!$G:$G, (MATCH(956, 輔助計算!$F$2:$F$801, 0)+1))="","",INDEX(ERP資料!$G:$G, (MATCH(956, 輔助計算!$F$2:$F$801, 0)+1))), "")</f>
        <v/>
      </c>
      <c r="G957" s="10">
        <f>IFERROR(IF(INDEX(ERP資料!$H:$H, (MATCH(956, 輔助計算!$F$2:$F$801, 0)+1))="","",INDEX(ERP資料!$H:$H, (MATCH(956, 輔助計算!$F$2:$F$801, 0)+1))), "")</f>
        <v/>
      </c>
      <c r="H957" s="10">
        <f>IFERROR(IF(INDEX(ERP資料!$O:$O, (MATCH(956, 輔助計算!$F$2:$F$801, 0)+1))="","",INDEX(ERP資料!$O:$O, (MATCH(956, 輔助計算!$F$2:$F$801, 0)+1))), "")</f>
        <v/>
      </c>
      <c r="I957" s="15">
        <f>IFERROR(IF(INDEX(輔助計算!$D:$D,(MATCH(956, 輔助計算!$F$2:$F$801, 0)+1))="","",INDEX(輔助計算!$D:$D,(MATCH(956, 輔助計算!$F$2:$F$801, 0)+1))*INDEX(ERP資料!$O:$O,(MATCH(956, 輔助計算!$F$2:$F$801, 0)+1))), "")</f>
        <v/>
      </c>
      <c r="J957" s="16" t="n"/>
      <c r="K957" s="15">
        <f>IFERROR(INDEX(輔助計算!$D:$D, (MATCH(956, 輔助計算!$F$2:$F$801, 0)+1)), "")</f>
        <v/>
      </c>
      <c r="L957" s="16">
        <f>IFERROR(IF(AND(IFERROR(VLOOKUP(LEFT(INDEX(ERP資料!$S:$S, (MATCH(956, 輔助計算!$F$2:$F$801, 0)+1)), 4), 100張客戶!$A:$A, 1, FALSE), "")&lt;&gt;"", OR(INDEX(ERP資料!$F:$F, (MATCH(956, 輔助計算!$F$2:$F$801, 0)+1))=270, INDEX(ERP資料!$F:$F, (MATCH(956, 輔助計算!$F$2:$F$801, 0)+1))=300)), "100張", ""), "")</f>
        <v/>
      </c>
      <c r="M957" s="17" t="n"/>
      <c r="N957" s="17">
        <f>IF($F957="","",$F957)</f>
        <v/>
      </c>
      <c r="O957" s="17">
        <f>IF($G957="","",$G957)</f>
        <v/>
      </c>
      <c r="P957" s="17">
        <f>IF($K957="","",$K957)</f>
        <v/>
      </c>
      <c r="Q957" s="16" t="n"/>
      <c r="R957" s="18" t="n"/>
      <c r="S957" s="16" t="n"/>
    </row>
    <row r="958">
      <c r="A958" s="14">
        <f>IFERROR(IF(AND(IFERROR(INDEX(ERP資料!$A:$A, (MATCH(957, 輔助計算!$F$2:$F$801, 0)+1)), "")&lt;&gt;"", IFERROR(INDEX(ERP資料!$A:$A, (MATCH(957, 輔助計算!$F$2:$F$801, 0)+1)), "")&lt;&gt;IFERROR(INDEX(ERP資料!$A:$A, MATCH(956, 輔助計算!$F$2:$F$801, 0)+1), "")), INDEX(ERP資料!$B:$B, (MATCH(957, 輔助計算!$F$2:$F$801, 0)+1)), ""), "")</f>
        <v/>
      </c>
      <c r="B958" s="10">
        <f>IFERROR(IF(AND(IFERROR(INDEX(ERP資料!$A:$A, (MATCH(957, 輔助計算!$F$2:$F$801, 0)+1)), "")&lt;&gt;"", IFERROR(INDEX(ERP資料!$A:$A, (MATCH(957, 輔助計算!$F$2:$F$801, 0)+1)), "")&lt;&gt;IFERROR(INDEX(ERP資料!$A:$A, MATCH(956, 輔助計算!$F$2:$F$801, 0)+1), "")), IFERROR(INDEX(ERP資料!$A:$A, (MATCH(957, 輔助計算!$F$2:$F$801, 0)+1)), ""), ""), "")</f>
        <v/>
      </c>
      <c r="C958" s="10">
        <f>IFERROR(IF(AND(IFERROR(INDEX(ERP資料!$A:$A, (MATCH(957, 輔助計算!$F$2:$F$801, 0)+1)), "")&lt;&gt;"", IFERROR(INDEX(ERP資料!$A:$A, (MATCH(957, 輔助計算!$F$2:$F$801, 0)+1)), "")&lt;&gt;IFERROR(INDEX(ERP資料!$A:$A, MATCH(956, 輔助計算!$F$2:$F$801, 0)+1), "")), INDEX(ERP資料!$S:$S, (MATCH(957, 輔助計算!$F$2:$F$801, 0)+1)), ""), "")</f>
        <v/>
      </c>
      <c r="D958" s="10">
        <f>IFERROR(IF(INDEX(ERP資料!$E:$E, (MATCH(957, 輔助計算!$F$2:$F$801, 0)+1))="","",TRIM(INDEX(ERP資料!$E:$E, (MATCH(957, 輔助計算!$F$2:$F$801, 0)+1)))), "")</f>
        <v/>
      </c>
      <c r="E958" s="10">
        <f>IFERROR(IF(INDEX(ERP資料!$F:$F, (MATCH(957, 輔助計算!$F$2:$F$801, 0)+1))="","",INDEX(ERP資料!$F:$F, (MATCH(957, 輔助計算!$F$2:$F$801, 0)+1))), "")</f>
        <v/>
      </c>
      <c r="F958" s="10">
        <f>IFERROR(IF(INDEX(ERP資料!$G:$G, (MATCH(957, 輔助計算!$F$2:$F$801, 0)+1))="","",INDEX(ERP資料!$G:$G, (MATCH(957, 輔助計算!$F$2:$F$801, 0)+1))), "")</f>
        <v/>
      </c>
      <c r="G958" s="10">
        <f>IFERROR(IF(INDEX(ERP資料!$H:$H, (MATCH(957, 輔助計算!$F$2:$F$801, 0)+1))="","",INDEX(ERP資料!$H:$H, (MATCH(957, 輔助計算!$F$2:$F$801, 0)+1))), "")</f>
        <v/>
      </c>
      <c r="H958" s="10">
        <f>IFERROR(IF(INDEX(ERP資料!$O:$O, (MATCH(957, 輔助計算!$F$2:$F$801, 0)+1))="","",INDEX(ERP資料!$O:$O, (MATCH(957, 輔助計算!$F$2:$F$801, 0)+1))), "")</f>
        <v/>
      </c>
      <c r="I958" s="15">
        <f>IFERROR(IF(INDEX(輔助計算!$D:$D,(MATCH(957, 輔助計算!$F$2:$F$801, 0)+1))="","",INDEX(輔助計算!$D:$D,(MATCH(957, 輔助計算!$F$2:$F$801, 0)+1))*INDEX(ERP資料!$O:$O,(MATCH(957, 輔助計算!$F$2:$F$801, 0)+1))), "")</f>
        <v/>
      </c>
      <c r="J958" s="16" t="n"/>
      <c r="K958" s="15">
        <f>IFERROR(INDEX(輔助計算!$D:$D, (MATCH(957, 輔助計算!$F$2:$F$801, 0)+1)), "")</f>
        <v/>
      </c>
      <c r="L958" s="16">
        <f>IFERROR(IF(AND(IFERROR(VLOOKUP(LEFT(INDEX(ERP資料!$S:$S, (MATCH(957, 輔助計算!$F$2:$F$801, 0)+1)), 4), 100張客戶!$A:$A, 1, FALSE), "")&lt;&gt;"", OR(INDEX(ERP資料!$F:$F, (MATCH(957, 輔助計算!$F$2:$F$801, 0)+1))=270, INDEX(ERP資料!$F:$F, (MATCH(957, 輔助計算!$F$2:$F$801, 0)+1))=300)), "100張", ""), "")</f>
        <v/>
      </c>
      <c r="M958" s="17" t="n"/>
      <c r="N958" s="17">
        <f>IF($F958="","",$F958)</f>
        <v/>
      </c>
      <c r="O958" s="17">
        <f>IF($G958="","",$G958)</f>
        <v/>
      </c>
      <c r="P958" s="17">
        <f>IF($K958="","",$K958)</f>
        <v/>
      </c>
      <c r="Q958" s="16" t="n"/>
      <c r="R958" s="18" t="n"/>
      <c r="S958" s="16" t="n"/>
    </row>
    <row r="959">
      <c r="A959" s="14">
        <f>IFERROR(IF(AND(IFERROR(INDEX(ERP資料!$A:$A, (MATCH(958, 輔助計算!$F$2:$F$801, 0)+1)), "")&lt;&gt;"", IFERROR(INDEX(ERP資料!$A:$A, (MATCH(958, 輔助計算!$F$2:$F$801, 0)+1)), "")&lt;&gt;IFERROR(INDEX(ERP資料!$A:$A, MATCH(957, 輔助計算!$F$2:$F$801, 0)+1), "")), INDEX(ERP資料!$B:$B, (MATCH(958, 輔助計算!$F$2:$F$801, 0)+1)), ""), "")</f>
        <v/>
      </c>
      <c r="B959" s="10">
        <f>IFERROR(IF(AND(IFERROR(INDEX(ERP資料!$A:$A, (MATCH(958, 輔助計算!$F$2:$F$801, 0)+1)), "")&lt;&gt;"", IFERROR(INDEX(ERP資料!$A:$A, (MATCH(958, 輔助計算!$F$2:$F$801, 0)+1)), "")&lt;&gt;IFERROR(INDEX(ERP資料!$A:$A, MATCH(957, 輔助計算!$F$2:$F$801, 0)+1), "")), IFERROR(INDEX(ERP資料!$A:$A, (MATCH(958, 輔助計算!$F$2:$F$801, 0)+1)), ""), ""), "")</f>
        <v/>
      </c>
      <c r="C959" s="10">
        <f>IFERROR(IF(AND(IFERROR(INDEX(ERP資料!$A:$A, (MATCH(958, 輔助計算!$F$2:$F$801, 0)+1)), "")&lt;&gt;"", IFERROR(INDEX(ERP資料!$A:$A, (MATCH(958, 輔助計算!$F$2:$F$801, 0)+1)), "")&lt;&gt;IFERROR(INDEX(ERP資料!$A:$A, MATCH(957, 輔助計算!$F$2:$F$801, 0)+1), "")), INDEX(ERP資料!$S:$S, (MATCH(958, 輔助計算!$F$2:$F$801, 0)+1)), ""), "")</f>
        <v/>
      </c>
      <c r="D959" s="10">
        <f>IFERROR(IF(INDEX(ERP資料!$E:$E, (MATCH(958, 輔助計算!$F$2:$F$801, 0)+1))="","",TRIM(INDEX(ERP資料!$E:$E, (MATCH(958, 輔助計算!$F$2:$F$801, 0)+1)))), "")</f>
        <v/>
      </c>
      <c r="E959" s="10">
        <f>IFERROR(IF(INDEX(ERP資料!$F:$F, (MATCH(958, 輔助計算!$F$2:$F$801, 0)+1))="","",INDEX(ERP資料!$F:$F, (MATCH(958, 輔助計算!$F$2:$F$801, 0)+1))), "")</f>
        <v/>
      </c>
      <c r="F959" s="10">
        <f>IFERROR(IF(INDEX(ERP資料!$G:$G, (MATCH(958, 輔助計算!$F$2:$F$801, 0)+1))="","",INDEX(ERP資料!$G:$G, (MATCH(958, 輔助計算!$F$2:$F$801, 0)+1))), "")</f>
        <v/>
      </c>
      <c r="G959" s="10">
        <f>IFERROR(IF(INDEX(ERP資料!$H:$H, (MATCH(958, 輔助計算!$F$2:$F$801, 0)+1))="","",INDEX(ERP資料!$H:$H, (MATCH(958, 輔助計算!$F$2:$F$801, 0)+1))), "")</f>
        <v/>
      </c>
      <c r="H959" s="10">
        <f>IFERROR(IF(INDEX(ERP資料!$O:$O, (MATCH(958, 輔助計算!$F$2:$F$801, 0)+1))="","",INDEX(ERP資料!$O:$O, (MATCH(958, 輔助計算!$F$2:$F$801, 0)+1))), "")</f>
        <v/>
      </c>
      <c r="I959" s="15">
        <f>IFERROR(IF(INDEX(輔助計算!$D:$D,(MATCH(958, 輔助計算!$F$2:$F$801, 0)+1))="","",INDEX(輔助計算!$D:$D,(MATCH(958, 輔助計算!$F$2:$F$801, 0)+1))*INDEX(ERP資料!$O:$O,(MATCH(958, 輔助計算!$F$2:$F$801, 0)+1))), "")</f>
        <v/>
      </c>
      <c r="J959" s="16" t="n"/>
      <c r="K959" s="15">
        <f>IFERROR(INDEX(輔助計算!$D:$D, (MATCH(958, 輔助計算!$F$2:$F$801, 0)+1)), "")</f>
        <v/>
      </c>
      <c r="L959" s="16">
        <f>IFERROR(IF(AND(IFERROR(VLOOKUP(LEFT(INDEX(ERP資料!$S:$S, (MATCH(958, 輔助計算!$F$2:$F$801, 0)+1)), 4), 100張客戶!$A:$A, 1, FALSE), "")&lt;&gt;"", OR(INDEX(ERP資料!$F:$F, (MATCH(958, 輔助計算!$F$2:$F$801, 0)+1))=270, INDEX(ERP資料!$F:$F, (MATCH(958, 輔助計算!$F$2:$F$801, 0)+1))=300)), "100張", ""), "")</f>
        <v/>
      </c>
      <c r="M959" s="17" t="n"/>
      <c r="N959" s="17">
        <f>IF($F959="","",$F959)</f>
        <v/>
      </c>
      <c r="O959" s="17">
        <f>IF($G959="","",$G959)</f>
        <v/>
      </c>
      <c r="P959" s="17">
        <f>IF($K959="","",$K959)</f>
        <v/>
      </c>
      <c r="Q959" s="16" t="n"/>
      <c r="R959" s="18" t="n"/>
      <c r="S959" s="16" t="n"/>
    </row>
    <row r="960">
      <c r="A960" s="14">
        <f>IFERROR(IF(AND(IFERROR(INDEX(ERP資料!$A:$A, (MATCH(959, 輔助計算!$F$2:$F$801, 0)+1)), "")&lt;&gt;"", IFERROR(INDEX(ERP資料!$A:$A, (MATCH(959, 輔助計算!$F$2:$F$801, 0)+1)), "")&lt;&gt;IFERROR(INDEX(ERP資料!$A:$A, MATCH(958, 輔助計算!$F$2:$F$801, 0)+1), "")), INDEX(ERP資料!$B:$B, (MATCH(959, 輔助計算!$F$2:$F$801, 0)+1)), ""), "")</f>
        <v/>
      </c>
      <c r="B960" s="10">
        <f>IFERROR(IF(AND(IFERROR(INDEX(ERP資料!$A:$A, (MATCH(959, 輔助計算!$F$2:$F$801, 0)+1)), "")&lt;&gt;"", IFERROR(INDEX(ERP資料!$A:$A, (MATCH(959, 輔助計算!$F$2:$F$801, 0)+1)), "")&lt;&gt;IFERROR(INDEX(ERP資料!$A:$A, MATCH(958, 輔助計算!$F$2:$F$801, 0)+1), "")), IFERROR(INDEX(ERP資料!$A:$A, (MATCH(959, 輔助計算!$F$2:$F$801, 0)+1)), ""), ""), "")</f>
        <v/>
      </c>
      <c r="C960" s="10">
        <f>IFERROR(IF(AND(IFERROR(INDEX(ERP資料!$A:$A, (MATCH(959, 輔助計算!$F$2:$F$801, 0)+1)), "")&lt;&gt;"", IFERROR(INDEX(ERP資料!$A:$A, (MATCH(959, 輔助計算!$F$2:$F$801, 0)+1)), "")&lt;&gt;IFERROR(INDEX(ERP資料!$A:$A, MATCH(958, 輔助計算!$F$2:$F$801, 0)+1), "")), INDEX(ERP資料!$S:$S, (MATCH(959, 輔助計算!$F$2:$F$801, 0)+1)), ""), "")</f>
        <v/>
      </c>
      <c r="D960" s="10">
        <f>IFERROR(IF(INDEX(ERP資料!$E:$E, (MATCH(959, 輔助計算!$F$2:$F$801, 0)+1))="","",TRIM(INDEX(ERP資料!$E:$E, (MATCH(959, 輔助計算!$F$2:$F$801, 0)+1)))), "")</f>
        <v/>
      </c>
      <c r="E960" s="10">
        <f>IFERROR(IF(INDEX(ERP資料!$F:$F, (MATCH(959, 輔助計算!$F$2:$F$801, 0)+1))="","",INDEX(ERP資料!$F:$F, (MATCH(959, 輔助計算!$F$2:$F$801, 0)+1))), "")</f>
        <v/>
      </c>
      <c r="F960" s="10">
        <f>IFERROR(IF(INDEX(ERP資料!$G:$G, (MATCH(959, 輔助計算!$F$2:$F$801, 0)+1))="","",INDEX(ERP資料!$G:$G, (MATCH(959, 輔助計算!$F$2:$F$801, 0)+1))), "")</f>
        <v/>
      </c>
      <c r="G960" s="10">
        <f>IFERROR(IF(INDEX(ERP資料!$H:$H, (MATCH(959, 輔助計算!$F$2:$F$801, 0)+1))="","",INDEX(ERP資料!$H:$H, (MATCH(959, 輔助計算!$F$2:$F$801, 0)+1))), "")</f>
        <v/>
      </c>
      <c r="H960" s="10">
        <f>IFERROR(IF(INDEX(ERP資料!$O:$O, (MATCH(959, 輔助計算!$F$2:$F$801, 0)+1))="","",INDEX(ERP資料!$O:$O, (MATCH(959, 輔助計算!$F$2:$F$801, 0)+1))), "")</f>
        <v/>
      </c>
      <c r="I960" s="15">
        <f>IFERROR(IF(INDEX(輔助計算!$D:$D,(MATCH(959, 輔助計算!$F$2:$F$801, 0)+1))="","",INDEX(輔助計算!$D:$D,(MATCH(959, 輔助計算!$F$2:$F$801, 0)+1))*INDEX(ERP資料!$O:$O,(MATCH(959, 輔助計算!$F$2:$F$801, 0)+1))), "")</f>
        <v/>
      </c>
      <c r="J960" s="16" t="n"/>
      <c r="K960" s="15">
        <f>IFERROR(INDEX(輔助計算!$D:$D, (MATCH(959, 輔助計算!$F$2:$F$801, 0)+1)), "")</f>
        <v/>
      </c>
      <c r="L960" s="16">
        <f>IFERROR(IF(AND(IFERROR(VLOOKUP(LEFT(INDEX(ERP資料!$S:$S, (MATCH(959, 輔助計算!$F$2:$F$801, 0)+1)), 4), 100張客戶!$A:$A, 1, FALSE), "")&lt;&gt;"", OR(INDEX(ERP資料!$F:$F, (MATCH(959, 輔助計算!$F$2:$F$801, 0)+1))=270, INDEX(ERP資料!$F:$F, (MATCH(959, 輔助計算!$F$2:$F$801, 0)+1))=300)), "100張", ""), "")</f>
        <v/>
      </c>
      <c r="M960" s="17" t="n"/>
      <c r="N960" s="17">
        <f>IF($F960="","",$F960)</f>
        <v/>
      </c>
      <c r="O960" s="17">
        <f>IF($G960="","",$G960)</f>
        <v/>
      </c>
      <c r="P960" s="17">
        <f>IF($K960="","",$K960)</f>
        <v/>
      </c>
      <c r="Q960" s="16" t="n"/>
      <c r="R960" s="18" t="n"/>
      <c r="S960" s="16" t="n"/>
    </row>
    <row r="961">
      <c r="A961" s="14">
        <f>IFERROR(IF(AND(IFERROR(INDEX(ERP資料!$A:$A, (MATCH(960, 輔助計算!$F$2:$F$801, 0)+1)), "")&lt;&gt;"", IFERROR(INDEX(ERP資料!$A:$A, (MATCH(960, 輔助計算!$F$2:$F$801, 0)+1)), "")&lt;&gt;IFERROR(INDEX(ERP資料!$A:$A, MATCH(959, 輔助計算!$F$2:$F$801, 0)+1), "")), INDEX(ERP資料!$B:$B, (MATCH(960, 輔助計算!$F$2:$F$801, 0)+1)), ""), "")</f>
        <v/>
      </c>
      <c r="B961" s="10">
        <f>IFERROR(IF(AND(IFERROR(INDEX(ERP資料!$A:$A, (MATCH(960, 輔助計算!$F$2:$F$801, 0)+1)), "")&lt;&gt;"", IFERROR(INDEX(ERP資料!$A:$A, (MATCH(960, 輔助計算!$F$2:$F$801, 0)+1)), "")&lt;&gt;IFERROR(INDEX(ERP資料!$A:$A, MATCH(959, 輔助計算!$F$2:$F$801, 0)+1), "")), IFERROR(INDEX(ERP資料!$A:$A, (MATCH(960, 輔助計算!$F$2:$F$801, 0)+1)), ""), ""), "")</f>
        <v/>
      </c>
      <c r="C961" s="10">
        <f>IFERROR(IF(AND(IFERROR(INDEX(ERP資料!$A:$A, (MATCH(960, 輔助計算!$F$2:$F$801, 0)+1)), "")&lt;&gt;"", IFERROR(INDEX(ERP資料!$A:$A, (MATCH(960, 輔助計算!$F$2:$F$801, 0)+1)), "")&lt;&gt;IFERROR(INDEX(ERP資料!$A:$A, MATCH(959, 輔助計算!$F$2:$F$801, 0)+1), "")), INDEX(ERP資料!$S:$S, (MATCH(960, 輔助計算!$F$2:$F$801, 0)+1)), ""), "")</f>
        <v/>
      </c>
      <c r="D961" s="10">
        <f>IFERROR(IF(INDEX(ERP資料!$E:$E, (MATCH(960, 輔助計算!$F$2:$F$801, 0)+1))="","",TRIM(INDEX(ERP資料!$E:$E, (MATCH(960, 輔助計算!$F$2:$F$801, 0)+1)))), "")</f>
        <v/>
      </c>
      <c r="E961" s="10">
        <f>IFERROR(IF(INDEX(ERP資料!$F:$F, (MATCH(960, 輔助計算!$F$2:$F$801, 0)+1))="","",INDEX(ERP資料!$F:$F, (MATCH(960, 輔助計算!$F$2:$F$801, 0)+1))), "")</f>
        <v/>
      </c>
      <c r="F961" s="10">
        <f>IFERROR(IF(INDEX(ERP資料!$G:$G, (MATCH(960, 輔助計算!$F$2:$F$801, 0)+1))="","",INDEX(ERP資料!$G:$G, (MATCH(960, 輔助計算!$F$2:$F$801, 0)+1))), "")</f>
        <v/>
      </c>
      <c r="G961" s="10">
        <f>IFERROR(IF(INDEX(ERP資料!$H:$H, (MATCH(960, 輔助計算!$F$2:$F$801, 0)+1))="","",INDEX(ERP資料!$H:$H, (MATCH(960, 輔助計算!$F$2:$F$801, 0)+1))), "")</f>
        <v/>
      </c>
      <c r="H961" s="10">
        <f>IFERROR(IF(INDEX(ERP資料!$O:$O, (MATCH(960, 輔助計算!$F$2:$F$801, 0)+1))="","",INDEX(ERP資料!$O:$O, (MATCH(960, 輔助計算!$F$2:$F$801, 0)+1))), "")</f>
        <v/>
      </c>
      <c r="I961" s="15">
        <f>IFERROR(IF(INDEX(輔助計算!$D:$D,(MATCH(960, 輔助計算!$F$2:$F$801, 0)+1))="","",INDEX(輔助計算!$D:$D,(MATCH(960, 輔助計算!$F$2:$F$801, 0)+1))*INDEX(ERP資料!$O:$O,(MATCH(960, 輔助計算!$F$2:$F$801, 0)+1))), "")</f>
        <v/>
      </c>
      <c r="J961" s="16" t="n"/>
      <c r="K961" s="15">
        <f>IFERROR(INDEX(輔助計算!$D:$D, (MATCH(960, 輔助計算!$F$2:$F$801, 0)+1)), "")</f>
        <v/>
      </c>
      <c r="L961" s="16">
        <f>IFERROR(IF(AND(IFERROR(VLOOKUP(LEFT(INDEX(ERP資料!$S:$S, (MATCH(960, 輔助計算!$F$2:$F$801, 0)+1)), 4), 100張客戶!$A:$A, 1, FALSE), "")&lt;&gt;"", OR(INDEX(ERP資料!$F:$F, (MATCH(960, 輔助計算!$F$2:$F$801, 0)+1))=270, INDEX(ERP資料!$F:$F, (MATCH(960, 輔助計算!$F$2:$F$801, 0)+1))=300)), "100張", ""), "")</f>
        <v/>
      </c>
      <c r="M961" s="17" t="n"/>
      <c r="N961" s="17">
        <f>IF($F961="","",$F961)</f>
        <v/>
      </c>
      <c r="O961" s="17">
        <f>IF($G961="","",$G961)</f>
        <v/>
      </c>
      <c r="P961" s="17">
        <f>IF($K961="","",$K961)</f>
        <v/>
      </c>
      <c r="Q961" s="16" t="n"/>
      <c r="R961" s="18" t="n"/>
      <c r="S961" s="16" t="n"/>
    </row>
    <row r="962">
      <c r="A962" s="14">
        <f>IFERROR(IF(AND(IFERROR(INDEX(ERP資料!$A:$A, (MATCH(961, 輔助計算!$F$2:$F$801, 0)+1)), "")&lt;&gt;"", IFERROR(INDEX(ERP資料!$A:$A, (MATCH(961, 輔助計算!$F$2:$F$801, 0)+1)), "")&lt;&gt;IFERROR(INDEX(ERP資料!$A:$A, MATCH(960, 輔助計算!$F$2:$F$801, 0)+1), "")), INDEX(ERP資料!$B:$B, (MATCH(961, 輔助計算!$F$2:$F$801, 0)+1)), ""), "")</f>
        <v/>
      </c>
      <c r="B962" s="10">
        <f>IFERROR(IF(AND(IFERROR(INDEX(ERP資料!$A:$A, (MATCH(961, 輔助計算!$F$2:$F$801, 0)+1)), "")&lt;&gt;"", IFERROR(INDEX(ERP資料!$A:$A, (MATCH(961, 輔助計算!$F$2:$F$801, 0)+1)), "")&lt;&gt;IFERROR(INDEX(ERP資料!$A:$A, MATCH(960, 輔助計算!$F$2:$F$801, 0)+1), "")), IFERROR(INDEX(ERP資料!$A:$A, (MATCH(961, 輔助計算!$F$2:$F$801, 0)+1)), ""), ""), "")</f>
        <v/>
      </c>
      <c r="C962" s="10">
        <f>IFERROR(IF(AND(IFERROR(INDEX(ERP資料!$A:$A, (MATCH(961, 輔助計算!$F$2:$F$801, 0)+1)), "")&lt;&gt;"", IFERROR(INDEX(ERP資料!$A:$A, (MATCH(961, 輔助計算!$F$2:$F$801, 0)+1)), "")&lt;&gt;IFERROR(INDEX(ERP資料!$A:$A, MATCH(960, 輔助計算!$F$2:$F$801, 0)+1), "")), INDEX(ERP資料!$S:$S, (MATCH(961, 輔助計算!$F$2:$F$801, 0)+1)), ""), "")</f>
        <v/>
      </c>
      <c r="D962" s="10">
        <f>IFERROR(IF(INDEX(ERP資料!$E:$E, (MATCH(961, 輔助計算!$F$2:$F$801, 0)+1))="","",TRIM(INDEX(ERP資料!$E:$E, (MATCH(961, 輔助計算!$F$2:$F$801, 0)+1)))), "")</f>
        <v/>
      </c>
      <c r="E962" s="10">
        <f>IFERROR(IF(INDEX(ERP資料!$F:$F, (MATCH(961, 輔助計算!$F$2:$F$801, 0)+1))="","",INDEX(ERP資料!$F:$F, (MATCH(961, 輔助計算!$F$2:$F$801, 0)+1))), "")</f>
        <v/>
      </c>
      <c r="F962" s="10">
        <f>IFERROR(IF(INDEX(ERP資料!$G:$G, (MATCH(961, 輔助計算!$F$2:$F$801, 0)+1))="","",INDEX(ERP資料!$G:$G, (MATCH(961, 輔助計算!$F$2:$F$801, 0)+1))), "")</f>
        <v/>
      </c>
      <c r="G962" s="10">
        <f>IFERROR(IF(INDEX(ERP資料!$H:$H, (MATCH(961, 輔助計算!$F$2:$F$801, 0)+1))="","",INDEX(ERP資料!$H:$H, (MATCH(961, 輔助計算!$F$2:$F$801, 0)+1))), "")</f>
        <v/>
      </c>
      <c r="H962" s="10">
        <f>IFERROR(IF(INDEX(ERP資料!$O:$O, (MATCH(961, 輔助計算!$F$2:$F$801, 0)+1))="","",INDEX(ERP資料!$O:$O, (MATCH(961, 輔助計算!$F$2:$F$801, 0)+1))), "")</f>
        <v/>
      </c>
      <c r="I962" s="15">
        <f>IFERROR(IF(INDEX(輔助計算!$D:$D,(MATCH(961, 輔助計算!$F$2:$F$801, 0)+1))="","",INDEX(輔助計算!$D:$D,(MATCH(961, 輔助計算!$F$2:$F$801, 0)+1))*INDEX(ERP資料!$O:$O,(MATCH(961, 輔助計算!$F$2:$F$801, 0)+1))), "")</f>
        <v/>
      </c>
      <c r="J962" s="16" t="n"/>
      <c r="K962" s="15">
        <f>IFERROR(INDEX(輔助計算!$D:$D, (MATCH(961, 輔助計算!$F$2:$F$801, 0)+1)), "")</f>
        <v/>
      </c>
      <c r="L962" s="16">
        <f>IFERROR(IF(AND(IFERROR(VLOOKUP(LEFT(INDEX(ERP資料!$S:$S, (MATCH(961, 輔助計算!$F$2:$F$801, 0)+1)), 4), 100張客戶!$A:$A, 1, FALSE), "")&lt;&gt;"", OR(INDEX(ERP資料!$F:$F, (MATCH(961, 輔助計算!$F$2:$F$801, 0)+1))=270, INDEX(ERP資料!$F:$F, (MATCH(961, 輔助計算!$F$2:$F$801, 0)+1))=300)), "100張", ""), "")</f>
        <v/>
      </c>
      <c r="M962" s="17" t="n"/>
      <c r="N962" s="17">
        <f>IF($F962="","",$F962)</f>
        <v/>
      </c>
      <c r="O962" s="17">
        <f>IF($G962="","",$G962)</f>
        <v/>
      </c>
      <c r="P962" s="17">
        <f>IF($K962="","",$K962)</f>
        <v/>
      </c>
      <c r="Q962" s="16" t="n"/>
      <c r="R962" s="18" t="n"/>
      <c r="S962" s="16" t="n"/>
    </row>
    <row r="963">
      <c r="A963" s="14">
        <f>IFERROR(IF(AND(IFERROR(INDEX(ERP資料!$A:$A, (MATCH(962, 輔助計算!$F$2:$F$801, 0)+1)), "")&lt;&gt;"", IFERROR(INDEX(ERP資料!$A:$A, (MATCH(962, 輔助計算!$F$2:$F$801, 0)+1)), "")&lt;&gt;IFERROR(INDEX(ERP資料!$A:$A, MATCH(961, 輔助計算!$F$2:$F$801, 0)+1), "")), INDEX(ERP資料!$B:$B, (MATCH(962, 輔助計算!$F$2:$F$801, 0)+1)), ""), "")</f>
        <v/>
      </c>
      <c r="B963" s="10">
        <f>IFERROR(IF(AND(IFERROR(INDEX(ERP資料!$A:$A, (MATCH(962, 輔助計算!$F$2:$F$801, 0)+1)), "")&lt;&gt;"", IFERROR(INDEX(ERP資料!$A:$A, (MATCH(962, 輔助計算!$F$2:$F$801, 0)+1)), "")&lt;&gt;IFERROR(INDEX(ERP資料!$A:$A, MATCH(961, 輔助計算!$F$2:$F$801, 0)+1), "")), IFERROR(INDEX(ERP資料!$A:$A, (MATCH(962, 輔助計算!$F$2:$F$801, 0)+1)), ""), ""), "")</f>
        <v/>
      </c>
      <c r="C963" s="10">
        <f>IFERROR(IF(AND(IFERROR(INDEX(ERP資料!$A:$A, (MATCH(962, 輔助計算!$F$2:$F$801, 0)+1)), "")&lt;&gt;"", IFERROR(INDEX(ERP資料!$A:$A, (MATCH(962, 輔助計算!$F$2:$F$801, 0)+1)), "")&lt;&gt;IFERROR(INDEX(ERP資料!$A:$A, MATCH(961, 輔助計算!$F$2:$F$801, 0)+1), "")), INDEX(ERP資料!$S:$S, (MATCH(962, 輔助計算!$F$2:$F$801, 0)+1)), ""), "")</f>
        <v/>
      </c>
      <c r="D963" s="10">
        <f>IFERROR(IF(INDEX(ERP資料!$E:$E, (MATCH(962, 輔助計算!$F$2:$F$801, 0)+1))="","",TRIM(INDEX(ERP資料!$E:$E, (MATCH(962, 輔助計算!$F$2:$F$801, 0)+1)))), "")</f>
        <v/>
      </c>
      <c r="E963" s="10">
        <f>IFERROR(IF(INDEX(ERP資料!$F:$F, (MATCH(962, 輔助計算!$F$2:$F$801, 0)+1))="","",INDEX(ERP資料!$F:$F, (MATCH(962, 輔助計算!$F$2:$F$801, 0)+1))), "")</f>
        <v/>
      </c>
      <c r="F963" s="10">
        <f>IFERROR(IF(INDEX(ERP資料!$G:$G, (MATCH(962, 輔助計算!$F$2:$F$801, 0)+1))="","",INDEX(ERP資料!$G:$G, (MATCH(962, 輔助計算!$F$2:$F$801, 0)+1))), "")</f>
        <v/>
      </c>
      <c r="G963" s="10">
        <f>IFERROR(IF(INDEX(ERP資料!$H:$H, (MATCH(962, 輔助計算!$F$2:$F$801, 0)+1))="","",INDEX(ERP資料!$H:$H, (MATCH(962, 輔助計算!$F$2:$F$801, 0)+1))), "")</f>
        <v/>
      </c>
      <c r="H963" s="10">
        <f>IFERROR(IF(INDEX(ERP資料!$O:$O, (MATCH(962, 輔助計算!$F$2:$F$801, 0)+1))="","",INDEX(ERP資料!$O:$O, (MATCH(962, 輔助計算!$F$2:$F$801, 0)+1))), "")</f>
        <v/>
      </c>
      <c r="I963" s="15">
        <f>IFERROR(IF(INDEX(輔助計算!$D:$D,(MATCH(962, 輔助計算!$F$2:$F$801, 0)+1))="","",INDEX(輔助計算!$D:$D,(MATCH(962, 輔助計算!$F$2:$F$801, 0)+1))*INDEX(ERP資料!$O:$O,(MATCH(962, 輔助計算!$F$2:$F$801, 0)+1))), "")</f>
        <v/>
      </c>
      <c r="J963" s="16" t="n"/>
      <c r="K963" s="15">
        <f>IFERROR(INDEX(輔助計算!$D:$D, (MATCH(962, 輔助計算!$F$2:$F$801, 0)+1)), "")</f>
        <v/>
      </c>
      <c r="L963" s="16">
        <f>IFERROR(IF(AND(IFERROR(VLOOKUP(LEFT(INDEX(ERP資料!$S:$S, (MATCH(962, 輔助計算!$F$2:$F$801, 0)+1)), 4), 100張客戶!$A:$A, 1, FALSE), "")&lt;&gt;"", OR(INDEX(ERP資料!$F:$F, (MATCH(962, 輔助計算!$F$2:$F$801, 0)+1))=270, INDEX(ERP資料!$F:$F, (MATCH(962, 輔助計算!$F$2:$F$801, 0)+1))=300)), "100張", ""), "")</f>
        <v/>
      </c>
      <c r="M963" s="17" t="n"/>
      <c r="N963" s="17">
        <f>IF($F963="","",$F963)</f>
        <v/>
      </c>
      <c r="O963" s="17">
        <f>IF($G963="","",$G963)</f>
        <v/>
      </c>
      <c r="P963" s="17">
        <f>IF($K963="","",$K963)</f>
        <v/>
      </c>
      <c r="Q963" s="16" t="n"/>
      <c r="R963" s="18" t="n"/>
      <c r="S963" s="16" t="n"/>
    </row>
    <row r="964">
      <c r="A964" s="14">
        <f>IFERROR(IF(AND(IFERROR(INDEX(ERP資料!$A:$A, (MATCH(963, 輔助計算!$F$2:$F$801, 0)+1)), "")&lt;&gt;"", IFERROR(INDEX(ERP資料!$A:$A, (MATCH(963, 輔助計算!$F$2:$F$801, 0)+1)), "")&lt;&gt;IFERROR(INDEX(ERP資料!$A:$A, MATCH(962, 輔助計算!$F$2:$F$801, 0)+1), "")), INDEX(ERP資料!$B:$B, (MATCH(963, 輔助計算!$F$2:$F$801, 0)+1)), ""), "")</f>
        <v/>
      </c>
      <c r="B964" s="10">
        <f>IFERROR(IF(AND(IFERROR(INDEX(ERP資料!$A:$A, (MATCH(963, 輔助計算!$F$2:$F$801, 0)+1)), "")&lt;&gt;"", IFERROR(INDEX(ERP資料!$A:$A, (MATCH(963, 輔助計算!$F$2:$F$801, 0)+1)), "")&lt;&gt;IFERROR(INDEX(ERP資料!$A:$A, MATCH(962, 輔助計算!$F$2:$F$801, 0)+1), "")), IFERROR(INDEX(ERP資料!$A:$A, (MATCH(963, 輔助計算!$F$2:$F$801, 0)+1)), ""), ""), "")</f>
        <v/>
      </c>
      <c r="C964" s="10">
        <f>IFERROR(IF(AND(IFERROR(INDEX(ERP資料!$A:$A, (MATCH(963, 輔助計算!$F$2:$F$801, 0)+1)), "")&lt;&gt;"", IFERROR(INDEX(ERP資料!$A:$A, (MATCH(963, 輔助計算!$F$2:$F$801, 0)+1)), "")&lt;&gt;IFERROR(INDEX(ERP資料!$A:$A, MATCH(962, 輔助計算!$F$2:$F$801, 0)+1), "")), INDEX(ERP資料!$S:$S, (MATCH(963, 輔助計算!$F$2:$F$801, 0)+1)), ""), "")</f>
        <v/>
      </c>
      <c r="D964" s="10">
        <f>IFERROR(IF(INDEX(ERP資料!$E:$E, (MATCH(963, 輔助計算!$F$2:$F$801, 0)+1))="","",TRIM(INDEX(ERP資料!$E:$E, (MATCH(963, 輔助計算!$F$2:$F$801, 0)+1)))), "")</f>
        <v/>
      </c>
      <c r="E964" s="10">
        <f>IFERROR(IF(INDEX(ERP資料!$F:$F, (MATCH(963, 輔助計算!$F$2:$F$801, 0)+1))="","",INDEX(ERP資料!$F:$F, (MATCH(963, 輔助計算!$F$2:$F$801, 0)+1))), "")</f>
        <v/>
      </c>
      <c r="F964" s="10">
        <f>IFERROR(IF(INDEX(ERP資料!$G:$G, (MATCH(963, 輔助計算!$F$2:$F$801, 0)+1))="","",INDEX(ERP資料!$G:$G, (MATCH(963, 輔助計算!$F$2:$F$801, 0)+1))), "")</f>
        <v/>
      </c>
      <c r="G964" s="10">
        <f>IFERROR(IF(INDEX(ERP資料!$H:$H, (MATCH(963, 輔助計算!$F$2:$F$801, 0)+1))="","",INDEX(ERP資料!$H:$H, (MATCH(963, 輔助計算!$F$2:$F$801, 0)+1))), "")</f>
        <v/>
      </c>
      <c r="H964" s="10">
        <f>IFERROR(IF(INDEX(ERP資料!$O:$O, (MATCH(963, 輔助計算!$F$2:$F$801, 0)+1))="","",INDEX(ERP資料!$O:$O, (MATCH(963, 輔助計算!$F$2:$F$801, 0)+1))), "")</f>
        <v/>
      </c>
      <c r="I964" s="15">
        <f>IFERROR(IF(INDEX(輔助計算!$D:$D,(MATCH(963, 輔助計算!$F$2:$F$801, 0)+1))="","",INDEX(輔助計算!$D:$D,(MATCH(963, 輔助計算!$F$2:$F$801, 0)+1))*INDEX(ERP資料!$O:$O,(MATCH(963, 輔助計算!$F$2:$F$801, 0)+1))), "")</f>
        <v/>
      </c>
      <c r="J964" s="16" t="n"/>
      <c r="K964" s="15">
        <f>IFERROR(INDEX(輔助計算!$D:$D, (MATCH(963, 輔助計算!$F$2:$F$801, 0)+1)), "")</f>
        <v/>
      </c>
      <c r="L964" s="16">
        <f>IFERROR(IF(AND(IFERROR(VLOOKUP(LEFT(INDEX(ERP資料!$S:$S, (MATCH(963, 輔助計算!$F$2:$F$801, 0)+1)), 4), 100張客戶!$A:$A, 1, FALSE), "")&lt;&gt;"", OR(INDEX(ERP資料!$F:$F, (MATCH(963, 輔助計算!$F$2:$F$801, 0)+1))=270, INDEX(ERP資料!$F:$F, (MATCH(963, 輔助計算!$F$2:$F$801, 0)+1))=300)), "100張", ""), "")</f>
        <v/>
      </c>
      <c r="M964" s="17" t="n"/>
      <c r="N964" s="17">
        <f>IF($F964="","",$F964)</f>
        <v/>
      </c>
      <c r="O964" s="17">
        <f>IF($G964="","",$G964)</f>
        <v/>
      </c>
      <c r="P964" s="17">
        <f>IF($K964="","",$K964)</f>
        <v/>
      </c>
      <c r="Q964" s="16" t="n"/>
      <c r="R964" s="18" t="n"/>
      <c r="S964" s="16" t="n"/>
    </row>
    <row r="965">
      <c r="A965" s="14">
        <f>IFERROR(IF(AND(IFERROR(INDEX(ERP資料!$A:$A, (MATCH(964, 輔助計算!$F$2:$F$801, 0)+1)), "")&lt;&gt;"", IFERROR(INDEX(ERP資料!$A:$A, (MATCH(964, 輔助計算!$F$2:$F$801, 0)+1)), "")&lt;&gt;IFERROR(INDEX(ERP資料!$A:$A, MATCH(963, 輔助計算!$F$2:$F$801, 0)+1), "")), INDEX(ERP資料!$B:$B, (MATCH(964, 輔助計算!$F$2:$F$801, 0)+1)), ""), "")</f>
        <v/>
      </c>
      <c r="B965" s="10">
        <f>IFERROR(IF(AND(IFERROR(INDEX(ERP資料!$A:$A, (MATCH(964, 輔助計算!$F$2:$F$801, 0)+1)), "")&lt;&gt;"", IFERROR(INDEX(ERP資料!$A:$A, (MATCH(964, 輔助計算!$F$2:$F$801, 0)+1)), "")&lt;&gt;IFERROR(INDEX(ERP資料!$A:$A, MATCH(963, 輔助計算!$F$2:$F$801, 0)+1), "")), IFERROR(INDEX(ERP資料!$A:$A, (MATCH(964, 輔助計算!$F$2:$F$801, 0)+1)), ""), ""), "")</f>
        <v/>
      </c>
      <c r="C965" s="10">
        <f>IFERROR(IF(AND(IFERROR(INDEX(ERP資料!$A:$A, (MATCH(964, 輔助計算!$F$2:$F$801, 0)+1)), "")&lt;&gt;"", IFERROR(INDEX(ERP資料!$A:$A, (MATCH(964, 輔助計算!$F$2:$F$801, 0)+1)), "")&lt;&gt;IFERROR(INDEX(ERP資料!$A:$A, MATCH(963, 輔助計算!$F$2:$F$801, 0)+1), "")), INDEX(ERP資料!$S:$S, (MATCH(964, 輔助計算!$F$2:$F$801, 0)+1)), ""), "")</f>
        <v/>
      </c>
      <c r="D965" s="10">
        <f>IFERROR(IF(INDEX(ERP資料!$E:$E, (MATCH(964, 輔助計算!$F$2:$F$801, 0)+1))="","",TRIM(INDEX(ERP資料!$E:$E, (MATCH(964, 輔助計算!$F$2:$F$801, 0)+1)))), "")</f>
        <v/>
      </c>
      <c r="E965" s="10">
        <f>IFERROR(IF(INDEX(ERP資料!$F:$F, (MATCH(964, 輔助計算!$F$2:$F$801, 0)+1))="","",INDEX(ERP資料!$F:$F, (MATCH(964, 輔助計算!$F$2:$F$801, 0)+1))), "")</f>
        <v/>
      </c>
      <c r="F965" s="10">
        <f>IFERROR(IF(INDEX(ERP資料!$G:$G, (MATCH(964, 輔助計算!$F$2:$F$801, 0)+1))="","",INDEX(ERP資料!$G:$G, (MATCH(964, 輔助計算!$F$2:$F$801, 0)+1))), "")</f>
        <v/>
      </c>
      <c r="G965" s="10">
        <f>IFERROR(IF(INDEX(ERP資料!$H:$H, (MATCH(964, 輔助計算!$F$2:$F$801, 0)+1))="","",INDEX(ERP資料!$H:$H, (MATCH(964, 輔助計算!$F$2:$F$801, 0)+1))), "")</f>
        <v/>
      </c>
      <c r="H965" s="10">
        <f>IFERROR(IF(INDEX(ERP資料!$O:$O, (MATCH(964, 輔助計算!$F$2:$F$801, 0)+1))="","",INDEX(ERP資料!$O:$O, (MATCH(964, 輔助計算!$F$2:$F$801, 0)+1))), "")</f>
        <v/>
      </c>
      <c r="I965" s="15">
        <f>IFERROR(IF(INDEX(輔助計算!$D:$D,(MATCH(964, 輔助計算!$F$2:$F$801, 0)+1))="","",INDEX(輔助計算!$D:$D,(MATCH(964, 輔助計算!$F$2:$F$801, 0)+1))*INDEX(ERP資料!$O:$O,(MATCH(964, 輔助計算!$F$2:$F$801, 0)+1))), "")</f>
        <v/>
      </c>
      <c r="J965" s="16" t="n"/>
      <c r="K965" s="15">
        <f>IFERROR(INDEX(輔助計算!$D:$D, (MATCH(964, 輔助計算!$F$2:$F$801, 0)+1)), "")</f>
        <v/>
      </c>
      <c r="L965" s="16">
        <f>IFERROR(IF(AND(IFERROR(VLOOKUP(LEFT(INDEX(ERP資料!$S:$S, (MATCH(964, 輔助計算!$F$2:$F$801, 0)+1)), 4), 100張客戶!$A:$A, 1, FALSE), "")&lt;&gt;"", OR(INDEX(ERP資料!$F:$F, (MATCH(964, 輔助計算!$F$2:$F$801, 0)+1))=270, INDEX(ERP資料!$F:$F, (MATCH(964, 輔助計算!$F$2:$F$801, 0)+1))=300)), "100張", ""), "")</f>
        <v/>
      </c>
      <c r="M965" s="17" t="n"/>
      <c r="N965" s="17">
        <f>IF($F965="","",$F965)</f>
        <v/>
      </c>
      <c r="O965" s="17">
        <f>IF($G965="","",$G965)</f>
        <v/>
      </c>
      <c r="P965" s="17">
        <f>IF($K965="","",$K965)</f>
        <v/>
      </c>
      <c r="Q965" s="16" t="n"/>
      <c r="R965" s="18" t="n"/>
      <c r="S965" s="16" t="n"/>
    </row>
    <row r="966">
      <c r="A966" s="14">
        <f>IFERROR(IF(AND(IFERROR(INDEX(ERP資料!$A:$A, (MATCH(965, 輔助計算!$F$2:$F$801, 0)+1)), "")&lt;&gt;"", IFERROR(INDEX(ERP資料!$A:$A, (MATCH(965, 輔助計算!$F$2:$F$801, 0)+1)), "")&lt;&gt;IFERROR(INDEX(ERP資料!$A:$A, MATCH(964, 輔助計算!$F$2:$F$801, 0)+1), "")), INDEX(ERP資料!$B:$B, (MATCH(965, 輔助計算!$F$2:$F$801, 0)+1)), ""), "")</f>
        <v/>
      </c>
      <c r="B966" s="10">
        <f>IFERROR(IF(AND(IFERROR(INDEX(ERP資料!$A:$A, (MATCH(965, 輔助計算!$F$2:$F$801, 0)+1)), "")&lt;&gt;"", IFERROR(INDEX(ERP資料!$A:$A, (MATCH(965, 輔助計算!$F$2:$F$801, 0)+1)), "")&lt;&gt;IFERROR(INDEX(ERP資料!$A:$A, MATCH(964, 輔助計算!$F$2:$F$801, 0)+1), "")), IFERROR(INDEX(ERP資料!$A:$A, (MATCH(965, 輔助計算!$F$2:$F$801, 0)+1)), ""), ""), "")</f>
        <v/>
      </c>
      <c r="C966" s="10">
        <f>IFERROR(IF(AND(IFERROR(INDEX(ERP資料!$A:$A, (MATCH(965, 輔助計算!$F$2:$F$801, 0)+1)), "")&lt;&gt;"", IFERROR(INDEX(ERP資料!$A:$A, (MATCH(965, 輔助計算!$F$2:$F$801, 0)+1)), "")&lt;&gt;IFERROR(INDEX(ERP資料!$A:$A, MATCH(964, 輔助計算!$F$2:$F$801, 0)+1), "")), INDEX(ERP資料!$S:$S, (MATCH(965, 輔助計算!$F$2:$F$801, 0)+1)), ""), "")</f>
        <v/>
      </c>
      <c r="D966" s="10">
        <f>IFERROR(IF(INDEX(ERP資料!$E:$E, (MATCH(965, 輔助計算!$F$2:$F$801, 0)+1))="","",TRIM(INDEX(ERP資料!$E:$E, (MATCH(965, 輔助計算!$F$2:$F$801, 0)+1)))), "")</f>
        <v/>
      </c>
      <c r="E966" s="10">
        <f>IFERROR(IF(INDEX(ERP資料!$F:$F, (MATCH(965, 輔助計算!$F$2:$F$801, 0)+1))="","",INDEX(ERP資料!$F:$F, (MATCH(965, 輔助計算!$F$2:$F$801, 0)+1))), "")</f>
        <v/>
      </c>
      <c r="F966" s="10">
        <f>IFERROR(IF(INDEX(ERP資料!$G:$G, (MATCH(965, 輔助計算!$F$2:$F$801, 0)+1))="","",INDEX(ERP資料!$G:$G, (MATCH(965, 輔助計算!$F$2:$F$801, 0)+1))), "")</f>
        <v/>
      </c>
      <c r="G966" s="10">
        <f>IFERROR(IF(INDEX(ERP資料!$H:$H, (MATCH(965, 輔助計算!$F$2:$F$801, 0)+1))="","",INDEX(ERP資料!$H:$H, (MATCH(965, 輔助計算!$F$2:$F$801, 0)+1))), "")</f>
        <v/>
      </c>
      <c r="H966" s="10">
        <f>IFERROR(IF(INDEX(ERP資料!$O:$O, (MATCH(965, 輔助計算!$F$2:$F$801, 0)+1))="","",INDEX(ERP資料!$O:$O, (MATCH(965, 輔助計算!$F$2:$F$801, 0)+1))), "")</f>
        <v/>
      </c>
      <c r="I966" s="15">
        <f>IFERROR(IF(INDEX(輔助計算!$D:$D,(MATCH(965, 輔助計算!$F$2:$F$801, 0)+1))="","",INDEX(輔助計算!$D:$D,(MATCH(965, 輔助計算!$F$2:$F$801, 0)+1))*INDEX(ERP資料!$O:$O,(MATCH(965, 輔助計算!$F$2:$F$801, 0)+1))), "")</f>
        <v/>
      </c>
      <c r="J966" s="16" t="n"/>
      <c r="K966" s="15">
        <f>IFERROR(INDEX(輔助計算!$D:$D, (MATCH(965, 輔助計算!$F$2:$F$801, 0)+1)), "")</f>
        <v/>
      </c>
      <c r="L966" s="16">
        <f>IFERROR(IF(AND(IFERROR(VLOOKUP(LEFT(INDEX(ERP資料!$S:$S, (MATCH(965, 輔助計算!$F$2:$F$801, 0)+1)), 4), 100張客戶!$A:$A, 1, FALSE), "")&lt;&gt;"", OR(INDEX(ERP資料!$F:$F, (MATCH(965, 輔助計算!$F$2:$F$801, 0)+1))=270, INDEX(ERP資料!$F:$F, (MATCH(965, 輔助計算!$F$2:$F$801, 0)+1))=300)), "100張", ""), "")</f>
        <v/>
      </c>
      <c r="M966" s="17" t="n"/>
      <c r="N966" s="17">
        <f>IF($F966="","",$F966)</f>
        <v/>
      </c>
      <c r="O966" s="17">
        <f>IF($G966="","",$G966)</f>
        <v/>
      </c>
      <c r="P966" s="17">
        <f>IF($K966="","",$K966)</f>
        <v/>
      </c>
      <c r="Q966" s="16" t="n"/>
      <c r="R966" s="18" t="n"/>
      <c r="S966" s="16" t="n"/>
    </row>
    <row r="967">
      <c r="A967" s="14">
        <f>IFERROR(IF(AND(IFERROR(INDEX(ERP資料!$A:$A, (MATCH(966, 輔助計算!$F$2:$F$801, 0)+1)), "")&lt;&gt;"", IFERROR(INDEX(ERP資料!$A:$A, (MATCH(966, 輔助計算!$F$2:$F$801, 0)+1)), "")&lt;&gt;IFERROR(INDEX(ERP資料!$A:$A, MATCH(965, 輔助計算!$F$2:$F$801, 0)+1), "")), INDEX(ERP資料!$B:$B, (MATCH(966, 輔助計算!$F$2:$F$801, 0)+1)), ""), "")</f>
        <v/>
      </c>
      <c r="B967" s="10">
        <f>IFERROR(IF(AND(IFERROR(INDEX(ERP資料!$A:$A, (MATCH(966, 輔助計算!$F$2:$F$801, 0)+1)), "")&lt;&gt;"", IFERROR(INDEX(ERP資料!$A:$A, (MATCH(966, 輔助計算!$F$2:$F$801, 0)+1)), "")&lt;&gt;IFERROR(INDEX(ERP資料!$A:$A, MATCH(965, 輔助計算!$F$2:$F$801, 0)+1), "")), IFERROR(INDEX(ERP資料!$A:$A, (MATCH(966, 輔助計算!$F$2:$F$801, 0)+1)), ""), ""), "")</f>
        <v/>
      </c>
      <c r="C967" s="10">
        <f>IFERROR(IF(AND(IFERROR(INDEX(ERP資料!$A:$A, (MATCH(966, 輔助計算!$F$2:$F$801, 0)+1)), "")&lt;&gt;"", IFERROR(INDEX(ERP資料!$A:$A, (MATCH(966, 輔助計算!$F$2:$F$801, 0)+1)), "")&lt;&gt;IFERROR(INDEX(ERP資料!$A:$A, MATCH(965, 輔助計算!$F$2:$F$801, 0)+1), "")), INDEX(ERP資料!$S:$S, (MATCH(966, 輔助計算!$F$2:$F$801, 0)+1)), ""), "")</f>
        <v/>
      </c>
      <c r="D967" s="10">
        <f>IFERROR(IF(INDEX(ERP資料!$E:$E, (MATCH(966, 輔助計算!$F$2:$F$801, 0)+1))="","",TRIM(INDEX(ERP資料!$E:$E, (MATCH(966, 輔助計算!$F$2:$F$801, 0)+1)))), "")</f>
        <v/>
      </c>
      <c r="E967" s="10">
        <f>IFERROR(IF(INDEX(ERP資料!$F:$F, (MATCH(966, 輔助計算!$F$2:$F$801, 0)+1))="","",INDEX(ERP資料!$F:$F, (MATCH(966, 輔助計算!$F$2:$F$801, 0)+1))), "")</f>
        <v/>
      </c>
      <c r="F967" s="10">
        <f>IFERROR(IF(INDEX(ERP資料!$G:$G, (MATCH(966, 輔助計算!$F$2:$F$801, 0)+1))="","",INDEX(ERP資料!$G:$G, (MATCH(966, 輔助計算!$F$2:$F$801, 0)+1))), "")</f>
        <v/>
      </c>
      <c r="G967" s="10">
        <f>IFERROR(IF(INDEX(ERP資料!$H:$H, (MATCH(966, 輔助計算!$F$2:$F$801, 0)+1))="","",INDEX(ERP資料!$H:$H, (MATCH(966, 輔助計算!$F$2:$F$801, 0)+1))), "")</f>
        <v/>
      </c>
      <c r="H967" s="10">
        <f>IFERROR(IF(INDEX(ERP資料!$O:$O, (MATCH(966, 輔助計算!$F$2:$F$801, 0)+1))="","",INDEX(ERP資料!$O:$O, (MATCH(966, 輔助計算!$F$2:$F$801, 0)+1))), "")</f>
        <v/>
      </c>
      <c r="I967" s="15">
        <f>IFERROR(IF(INDEX(輔助計算!$D:$D,(MATCH(966, 輔助計算!$F$2:$F$801, 0)+1))="","",INDEX(輔助計算!$D:$D,(MATCH(966, 輔助計算!$F$2:$F$801, 0)+1))*INDEX(ERP資料!$O:$O,(MATCH(966, 輔助計算!$F$2:$F$801, 0)+1))), "")</f>
        <v/>
      </c>
      <c r="J967" s="16" t="n"/>
      <c r="K967" s="15">
        <f>IFERROR(INDEX(輔助計算!$D:$D, (MATCH(966, 輔助計算!$F$2:$F$801, 0)+1)), "")</f>
        <v/>
      </c>
      <c r="L967" s="16">
        <f>IFERROR(IF(AND(IFERROR(VLOOKUP(LEFT(INDEX(ERP資料!$S:$S, (MATCH(966, 輔助計算!$F$2:$F$801, 0)+1)), 4), 100張客戶!$A:$A, 1, FALSE), "")&lt;&gt;"", OR(INDEX(ERP資料!$F:$F, (MATCH(966, 輔助計算!$F$2:$F$801, 0)+1))=270, INDEX(ERP資料!$F:$F, (MATCH(966, 輔助計算!$F$2:$F$801, 0)+1))=300)), "100張", ""), "")</f>
        <v/>
      </c>
      <c r="M967" s="17" t="n"/>
      <c r="N967" s="17">
        <f>IF($F967="","",$F967)</f>
        <v/>
      </c>
      <c r="O967" s="17">
        <f>IF($G967="","",$G967)</f>
        <v/>
      </c>
      <c r="P967" s="17">
        <f>IF($K967="","",$K967)</f>
        <v/>
      </c>
      <c r="Q967" s="16" t="n"/>
      <c r="R967" s="18" t="n"/>
      <c r="S967" s="16" t="n"/>
    </row>
    <row r="968">
      <c r="A968" s="14">
        <f>IFERROR(IF(AND(IFERROR(INDEX(ERP資料!$A:$A, (MATCH(967, 輔助計算!$F$2:$F$801, 0)+1)), "")&lt;&gt;"", IFERROR(INDEX(ERP資料!$A:$A, (MATCH(967, 輔助計算!$F$2:$F$801, 0)+1)), "")&lt;&gt;IFERROR(INDEX(ERP資料!$A:$A, MATCH(966, 輔助計算!$F$2:$F$801, 0)+1), "")), INDEX(ERP資料!$B:$B, (MATCH(967, 輔助計算!$F$2:$F$801, 0)+1)), ""), "")</f>
        <v/>
      </c>
      <c r="B968" s="10">
        <f>IFERROR(IF(AND(IFERROR(INDEX(ERP資料!$A:$A, (MATCH(967, 輔助計算!$F$2:$F$801, 0)+1)), "")&lt;&gt;"", IFERROR(INDEX(ERP資料!$A:$A, (MATCH(967, 輔助計算!$F$2:$F$801, 0)+1)), "")&lt;&gt;IFERROR(INDEX(ERP資料!$A:$A, MATCH(966, 輔助計算!$F$2:$F$801, 0)+1), "")), IFERROR(INDEX(ERP資料!$A:$A, (MATCH(967, 輔助計算!$F$2:$F$801, 0)+1)), ""), ""), "")</f>
        <v/>
      </c>
      <c r="C968" s="10">
        <f>IFERROR(IF(AND(IFERROR(INDEX(ERP資料!$A:$A, (MATCH(967, 輔助計算!$F$2:$F$801, 0)+1)), "")&lt;&gt;"", IFERROR(INDEX(ERP資料!$A:$A, (MATCH(967, 輔助計算!$F$2:$F$801, 0)+1)), "")&lt;&gt;IFERROR(INDEX(ERP資料!$A:$A, MATCH(966, 輔助計算!$F$2:$F$801, 0)+1), "")), INDEX(ERP資料!$S:$S, (MATCH(967, 輔助計算!$F$2:$F$801, 0)+1)), ""), "")</f>
        <v/>
      </c>
      <c r="D968" s="10">
        <f>IFERROR(IF(INDEX(ERP資料!$E:$E, (MATCH(967, 輔助計算!$F$2:$F$801, 0)+1))="","",TRIM(INDEX(ERP資料!$E:$E, (MATCH(967, 輔助計算!$F$2:$F$801, 0)+1)))), "")</f>
        <v/>
      </c>
      <c r="E968" s="10">
        <f>IFERROR(IF(INDEX(ERP資料!$F:$F, (MATCH(967, 輔助計算!$F$2:$F$801, 0)+1))="","",INDEX(ERP資料!$F:$F, (MATCH(967, 輔助計算!$F$2:$F$801, 0)+1))), "")</f>
        <v/>
      </c>
      <c r="F968" s="10">
        <f>IFERROR(IF(INDEX(ERP資料!$G:$G, (MATCH(967, 輔助計算!$F$2:$F$801, 0)+1))="","",INDEX(ERP資料!$G:$G, (MATCH(967, 輔助計算!$F$2:$F$801, 0)+1))), "")</f>
        <v/>
      </c>
      <c r="G968" s="10">
        <f>IFERROR(IF(INDEX(ERP資料!$H:$H, (MATCH(967, 輔助計算!$F$2:$F$801, 0)+1))="","",INDEX(ERP資料!$H:$H, (MATCH(967, 輔助計算!$F$2:$F$801, 0)+1))), "")</f>
        <v/>
      </c>
      <c r="H968" s="10">
        <f>IFERROR(IF(INDEX(ERP資料!$O:$O, (MATCH(967, 輔助計算!$F$2:$F$801, 0)+1))="","",INDEX(ERP資料!$O:$O, (MATCH(967, 輔助計算!$F$2:$F$801, 0)+1))), "")</f>
        <v/>
      </c>
      <c r="I968" s="15">
        <f>IFERROR(IF(INDEX(輔助計算!$D:$D,(MATCH(967, 輔助計算!$F$2:$F$801, 0)+1))="","",INDEX(輔助計算!$D:$D,(MATCH(967, 輔助計算!$F$2:$F$801, 0)+1))*INDEX(ERP資料!$O:$O,(MATCH(967, 輔助計算!$F$2:$F$801, 0)+1))), "")</f>
        <v/>
      </c>
      <c r="J968" s="16" t="n"/>
      <c r="K968" s="15">
        <f>IFERROR(INDEX(輔助計算!$D:$D, (MATCH(967, 輔助計算!$F$2:$F$801, 0)+1)), "")</f>
        <v/>
      </c>
      <c r="L968" s="16">
        <f>IFERROR(IF(AND(IFERROR(VLOOKUP(LEFT(INDEX(ERP資料!$S:$S, (MATCH(967, 輔助計算!$F$2:$F$801, 0)+1)), 4), 100張客戶!$A:$A, 1, FALSE), "")&lt;&gt;"", OR(INDEX(ERP資料!$F:$F, (MATCH(967, 輔助計算!$F$2:$F$801, 0)+1))=270, INDEX(ERP資料!$F:$F, (MATCH(967, 輔助計算!$F$2:$F$801, 0)+1))=300)), "100張", ""), "")</f>
        <v/>
      </c>
      <c r="M968" s="17" t="n"/>
      <c r="N968" s="17">
        <f>IF($F968="","",$F968)</f>
        <v/>
      </c>
      <c r="O968" s="17">
        <f>IF($G968="","",$G968)</f>
        <v/>
      </c>
      <c r="P968" s="17">
        <f>IF($K968="","",$K968)</f>
        <v/>
      </c>
      <c r="Q968" s="16" t="n"/>
      <c r="R968" s="18" t="n"/>
      <c r="S968" s="16" t="n"/>
    </row>
    <row r="969">
      <c r="A969" s="14">
        <f>IFERROR(IF(AND(IFERROR(INDEX(ERP資料!$A:$A, (MATCH(968, 輔助計算!$F$2:$F$801, 0)+1)), "")&lt;&gt;"", IFERROR(INDEX(ERP資料!$A:$A, (MATCH(968, 輔助計算!$F$2:$F$801, 0)+1)), "")&lt;&gt;IFERROR(INDEX(ERP資料!$A:$A, MATCH(967, 輔助計算!$F$2:$F$801, 0)+1), "")), INDEX(ERP資料!$B:$B, (MATCH(968, 輔助計算!$F$2:$F$801, 0)+1)), ""), "")</f>
        <v/>
      </c>
      <c r="B969" s="10">
        <f>IFERROR(IF(AND(IFERROR(INDEX(ERP資料!$A:$A, (MATCH(968, 輔助計算!$F$2:$F$801, 0)+1)), "")&lt;&gt;"", IFERROR(INDEX(ERP資料!$A:$A, (MATCH(968, 輔助計算!$F$2:$F$801, 0)+1)), "")&lt;&gt;IFERROR(INDEX(ERP資料!$A:$A, MATCH(967, 輔助計算!$F$2:$F$801, 0)+1), "")), IFERROR(INDEX(ERP資料!$A:$A, (MATCH(968, 輔助計算!$F$2:$F$801, 0)+1)), ""), ""), "")</f>
        <v/>
      </c>
      <c r="C969" s="10">
        <f>IFERROR(IF(AND(IFERROR(INDEX(ERP資料!$A:$A, (MATCH(968, 輔助計算!$F$2:$F$801, 0)+1)), "")&lt;&gt;"", IFERROR(INDEX(ERP資料!$A:$A, (MATCH(968, 輔助計算!$F$2:$F$801, 0)+1)), "")&lt;&gt;IFERROR(INDEX(ERP資料!$A:$A, MATCH(967, 輔助計算!$F$2:$F$801, 0)+1), "")), INDEX(ERP資料!$S:$S, (MATCH(968, 輔助計算!$F$2:$F$801, 0)+1)), ""), "")</f>
        <v/>
      </c>
      <c r="D969" s="10">
        <f>IFERROR(IF(INDEX(ERP資料!$E:$E, (MATCH(968, 輔助計算!$F$2:$F$801, 0)+1))="","",TRIM(INDEX(ERP資料!$E:$E, (MATCH(968, 輔助計算!$F$2:$F$801, 0)+1)))), "")</f>
        <v/>
      </c>
      <c r="E969" s="10">
        <f>IFERROR(IF(INDEX(ERP資料!$F:$F, (MATCH(968, 輔助計算!$F$2:$F$801, 0)+1))="","",INDEX(ERP資料!$F:$F, (MATCH(968, 輔助計算!$F$2:$F$801, 0)+1))), "")</f>
        <v/>
      </c>
      <c r="F969" s="10">
        <f>IFERROR(IF(INDEX(ERP資料!$G:$G, (MATCH(968, 輔助計算!$F$2:$F$801, 0)+1))="","",INDEX(ERP資料!$G:$G, (MATCH(968, 輔助計算!$F$2:$F$801, 0)+1))), "")</f>
        <v/>
      </c>
      <c r="G969" s="10">
        <f>IFERROR(IF(INDEX(ERP資料!$H:$H, (MATCH(968, 輔助計算!$F$2:$F$801, 0)+1))="","",INDEX(ERP資料!$H:$H, (MATCH(968, 輔助計算!$F$2:$F$801, 0)+1))), "")</f>
        <v/>
      </c>
      <c r="H969" s="10">
        <f>IFERROR(IF(INDEX(ERP資料!$O:$O, (MATCH(968, 輔助計算!$F$2:$F$801, 0)+1))="","",INDEX(ERP資料!$O:$O, (MATCH(968, 輔助計算!$F$2:$F$801, 0)+1))), "")</f>
        <v/>
      </c>
      <c r="I969" s="15">
        <f>IFERROR(IF(INDEX(輔助計算!$D:$D,(MATCH(968, 輔助計算!$F$2:$F$801, 0)+1))="","",INDEX(輔助計算!$D:$D,(MATCH(968, 輔助計算!$F$2:$F$801, 0)+1))*INDEX(ERP資料!$O:$O,(MATCH(968, 輔助計算!$F$2:$F$801, 0)+1))), "")</f>
        <v/>
      </c>
      <c r="J969" s="16" t="n"/>
      <c r="K969" s="15">
        <f>IFERROR(INDEX(輔助計算!$D:$D, (MATCH(968, 輔助計算!$F$2:$F$801, 0)+1)), "")</f>
        <v/>
      </c>
      <c r="L969" s="16">
        <f>IFERROR(IF(AND(IFERROR(VLOOKUP(LEFT(INDEX(ERP資料!$S:$S, (MATCH(968, 輔助計算!$F$2:$F$801, 0)+1)), 4), 100張客戶!$A:$A, 1, FALSE), "")&lt;&gt;"", OR(INDEX(ERP資料!$F:$F, (MATCH(968, 輔助計算!$F$2:$F$801, 0)+1))=270, INDEX(ERP資料!$F:$F, (MATCH(968, 輔助計算!$F$2:$F$801, 0)+1))=300)), "100張", ""), "")</f>
        <v/>
      </c>
      <c r="M969" s="17" t="n"/>
      <c r="N969" s="17">
        <f>IF($F969="","",$F969)</f>
        <v/>
      </c>
      <c r="O969" s="17">
        <f>IF($G969="","",$G969)</f>
        <v/>
      </c>
      <c r="P969" s="17">
        <f>IF($K969="","",$K969)</f>
        <v/>
      </c>
      <c r="Q969" s="16" t="n"/>
      <c r="R969" s="18" t="n"/>
      <c r="S969" s="16" t="n"/>
    </row>
    <row r="970">
      <c r="A970" s="14">
        <f>IFERROR(IF(AND(IFERROR(INDEX(ERP資料!$A:$A, (MATCH(969, 輔助計算!$F$2:$F$801, 0)+1)), "")&lt;&gt;"", IFERROR(INDEX(ERP資料!$A:$A, (MATCH(969, 輔助計算!$F$2:$F$801, 0)+1)), "")&lt;&gt;IFERROR(INDEX(ERP資料!$A:$A, MATCH(968, 輔助計算!$F$2:$F$801, 0)+1), "")), INDEX(ERP資料!$B:$B, (MATCH(969, 輔助計算!$F$2:$F$801, 0)+1)), ""), "")</f>
        <v/>
      </c>
      <c r="B970" s="10">
        <f>IFERROR(IF(AND(IFERROR(INDEX(ERP資料!$A:$A, (MATCH(969, 輔助計算!$F$2:$F$801, 0)+1)), "")&lt;&gt;"", IFERROR(INDEX(ERP資料!$A:$A, (MATCH(969, 輔助計算!$F$2:$F$801, 0)+1)), "")&lt;&gt;IFERROR(INDEX(ERP資料!$A:$A, MATCH(968, 輔助計算!$F$2:$F$801, 0)+1), "")), IFERROR(INDEX(ERP資料!$A:$A, (MATCH(969, 輔助計算!$F$2:$F$801, 0)+1)), ""), ""), "")</f>
        <v/>
      </c>
      <c r="C970" s="10">
        <f>IFERROR(IF(AND(IFERROR(INDEX(ERP資料!$A:$A, (MATCH(969, 輔助計算!$F$2:$F$801, 0)+1)), "")&lt;&gt;"", IFERROR(INDEX(ERP資料!$A:$A, (MATCH(969, 輔助計算!$F$2:$F$801, 0)+1)), "")&lt;&gt;IFERROR(INDEX(ERP資料!$A:$A, MATCH(968, 輔助計算!$F$2:$F$801, 0)+1), "")), INDEX(ERP資料!$S:$S, (MATCH(969, 輔助計算!$F$2:$F$801, 0)+1)), ""), "")</f>
        <v/>
      </c>
      <c r="D970" s="10">
        <f>IFERROR(IF(INDEX(ERP資料!$E:$E, (MATCH(969, 輔助計算!$F$2:$F$801, 0)+1))="","",TRIM(INDEX(ERP資料!$E:$E, (MATCH(969, 輔助計算!$F$2:$F$801, 0)+1)))), "")</f>
        <v/>
      </c>
      <c r="E970" s="10">
        <f>IFERROR(IF(INDEX(ERP資料!$F:$F, (MATCH(969, 輔助計算!$F$2:$F$801, 0)+1))="","",INDEX(ERP資料!$F:$F, (MATCH(969, 輔助計算!$F$2:$F$801, 0)+1))), "")</f>
        <v/>
      </c>
      <c r="F970" s="10">
        <f>IFERROR(IF(INDEX(ERP資料!$G:$G, (MATCH(969, 輔助計算!$F$2:$F$801, 0)+1))="","",INDEX(ERP資料!$G:$G, (MATCH(969, 輔助計算!$F$2:$F$801, 0)+1))), "")</f>
        <v/>
      </c>
      <c r="G970" s="10">
        <f>IFERROR(IF(INDEX(ERP資料!$H:$H, (MATCH(969, 輔助計算!$F$2:$F$801, 0)+1))="","",INDEX(ERP資料!$H:$H, (MATCH(969, 輔助計算!$F$2:$F$801, 0)+1))), "")</f>
        <v/>
      </c>
      <c r="H970" s="10">
        <f>IFERROR(IF(INDEX(ERP資料!$O:$O, (MATCH(969, 輔助計算!$F$2:$F$801, 0)+1))="","",INDEX(ERP資料!$O:$O, (MATCH(969, 輔助計算!$F$2:$F$801, 0)+1))), "")</f>
        <v/>
      </c>
      <c r="I970" s="15">
        <f>IFERROR(IF(INDEX(輔助計算!$D:$D,(MATCH(969, 輔助計算!$F$2:$F$801, 0)+1))="","",INDEX(輔助計算!$D:$D,(MATCH(969, 輔助計算!$F$2:$F$801, 0)+1))*INDEX(ERP資料!$O:$O,(MATCH(969, 輔助計算!$F$2:$F$801, 0)+1))), "")</f>
        <v/>
      </c>
      <c r="J970" s="16" t="n"/>
      <c r="K970" s="15">
        <f>IFERROR(INDEX(輔助計算!$D:$D, (MATCH(969, 輔助計算!$F$2:$F$801, 0)+1)), "")</f>
        <v/>
      </c>
      <c r="L970" s="16">
        <f>IFERROR(IF(AND(IFERROR(VLOOKUP(LEFT(INDEX(ERP資料!$S:$S, (MATCH(969, 輔助計算!$F$2:$F$801, 0)+1)), 4), 100張客戶!$A:$A, 1, FALSE), "")&lt;&gt;"", OR(INDEX(ERP資料!$F:$F, (MATCH(969, 輔助計算!$F$2:$F$801, 0)+1))=270, INDEX(ERP資料!$F:$F, (MATCH(969, 輔助計算!$F$2:$F$801, 0)+1))=300)), "100張", ""), "")</f>
        <v/>
      </c>
      <c r="M970" s="17" t="n"/>
      <c r="N970" s="17">
        <f>IF($F970="","",$F970)</f>
        <v/>
      </c>
      <c r="O970" s="17">
        <f>IF($G970="","",$G970)</f>
        <v/>
      </c>
      <c r="P970" s="17">
        <f>IF($K970="","",$K970)</f>
        <v/>
      </c>
      <c r="Q970" s="16" t="n"/>
      <c r="R970" s="18" t="n"/>
      <c r="S970" s="16" t="n"/>
    </row>
    <row r="971">
      <c r="A971" s="14">
        <f>IFERROR(IF(AND(IFERROR(INDEX(ERP資料!$A:$A, (MATCH(970, 輔助計算!$F$2:$F$801, 0)+1)), "")&lt;&gt;"", IFERROR(INDEX(ERP資料!$A:$A, (MATCH(970, 輔助計算!$F$2:$F$801, 0)+1)), "")&lt;&gt;IFERROR(INDEX(ERP資料!$A:$A, MATCH(969, 輔助計算!$F$2:$F$801, 0)+1), "")), INDEX(ERP資料!$B:$B, (MATCH(970, 輔助計算!$F$2:$F$801, 0)+1)), ""), "")</f>
        <v/>
      </c>
      <c r="B971" s="10">
        <f>IFERROR(IF(AND(IFERROR(INDEX(ERP資料!$A:$A, (MATCH(970, 輔助計算!$F$2:$F$801, 0)+1)), "")&lt;&gt;"", IFERROR(INDEX(ERP資料!$A:$A, (MATCH(970, 輔助計算!$F$2:$F$801, 0)+1)), "")&lt;&gt;IFERROR(INDEX(ERP資料!$A:$A, MATCH(969, 輔助計算!$F$2:$F$801, 0)+1), "")), IFERROR(INDEX(ERP資料!$A:$A, (MATCH(970, 輔助計算!$F$2:$F$801, 0)+1)), ""), ""), "")</f>
        <v/>
      </c>
      <c r="C971" s="10">
        <f>IFERROR(IF(AND(IFERROR(INDEX(ERP資料!$A:$A, (MATCH(970, 輔助計算!$F$2:$F$801, 0)+1)), "")&lt;&gt;"", IFERROR(INDEX(ERP資料!$A:$A, (MATCH(970, 輔助計算!$F$2:$F$801, 0)+1)), "")&lt;&gt;IFERROR(INDEX(ERP資料!$A:$A, MATCH(969, 輔助計算!$F$2:$F$801, 0)+1), "")), INDEX(ERP資料!$S:$S, (MATCH(970, 輔助計算!$F$2:$F$801, 0)+1)), ""), "")</f>
        <v/>
      </c>
      <c r="D971" s="10">
        <f>IFERROR(IF(INDEX(ERP資料!$E:$E, (MATCH(970, 輔助計算!$F$2:$F$801, 0)+1))="","",TRIM(INDEX(ERP資料!$E:$E, (MATCH(970, 輔助計算!$F$2:$F$801, 0)+1)))), "")</f>
        <v/>
      </c>
      <c r="E971" s="10">
        <f>IFERROR(IF(INDEX(ERP資料!$F:$F, (MATCH(970, 輔助計算!$F$2:$F$801, 0)+1))="","",INDEX(ERP資料!$F:$F, (MATCH(970, 輔助計算!$F$2:$F$801, 0)+1))), "")</f>
        <v/>
      </c>
      <c r="F971" s="10">
        <f>IFERROR(IF(INDEX(ERP資料!$G:$G, (MATCH(970, 輔助計算!$F$2:$F$801, 0)+1))="","",INDEX(ERP資料!$G:$G, (MATCH(970, 輔助計算!$F$2:$F$801, 0)+1))), "")</f>
        <v/>
      </c>
      <c r="G971" s="10">
        <f>IFERROR(IF(INDEX(ERP資料!$H:$H, (MATCH(970, 輔助計算!$F$2:$F$801, 0)+1))="","",INDEX(ERP資料!$H:$H, (MATCH(970, 輔助計算!$F$2:$F$801, 0)+1))), "")</f>
        <v/>
      </c>
      <c r="H971" s="10">
        <f>IFERROR(IF(INDEX(ERP資料!$O:$O, (MATCH(970, 輔助計算!$F$2:$F$801, 0)+1))="","",INDEX(ERP資料!$O:$O, (MATCH(970, 輔助計算!$F$2:$F$801, 0)+1))), "")</f>
        <v/>
      </c>
      <c r="I971" s="15">
        <f>IFERROR(IF(INDEX(輔助計算!$D:$D,(MATCH(970, 輔助計算!$F$2:$F$801, 0)+1))="","",INDEX(輔助計算!$D:$D,(MATCH(970, 輔助計算!$F$2:$F$801, 0)+1))*INDEX(ERP資料!$O:$O,(MATCH(970, 輔助計算!$F$2:$F$801, 0)+1))), "")</f>
        <v/>
      </c>
      <c r="J971" s="16" t="n"/>
      <c r="K971" s="15">
        <f>IFERROR(INDEX(輔助計算!$D:$D, (MATCH(970, 輔助計算!$F$2:$F$801, 0)+1)), "")</f>
        <v/>
      </c>
      <c r="L971" s="16">
        <f>IFERROR(IF(AND(IFERROR(VLOOKUP(LEFT(INDEX(ERP資料!$S:$S, (MATCH(970, 輔助計算!$F$2:$F$801, 0)+1)), 4), 100張客戶!$A:$A, 1, FALSE), "")&lt;&gt;"", OR(INDEX(ERP資料!$F:$F, (MATCH(970, 輔助計算!$F$2:$F$801, 0)+1))=270, INDEX(ERP資料!$F:$F, (MATCH(970, 輔助計算!$F$2:$F$801, 0)+1))=300)), "100張", ""), "")</f>
        <v/>
      </c>
      <c r="M971" s="17" t="n"/>
      <c r="N971" s="17">
        <f>IF($F971="","",$F971)</f>
        <v/>
      </c>
      <c r="O971" s="17">
        <f>IF($G971="","",$G971)</f>
        <v/>
      </c>
      <c r="P971" s="17">
        <f>IF($K971="","",$K971)</f>
        <v/>
      </c>
      <c r="Q971" s="16" t="n"/>
      <c r="R971" s="18" t="n"/>
      <c r="S971" s="16" t="n"/>
    </row>
    <row r="972">
      <c r="A972" s="14">
        <f>IFERROR(IF(AND(IFERROR(INDEX(ERP資料!$A:$A, (MATCH(971, 輔助計算!$F$2:$F$801, 0)+1)), "")&lt;&gt;"", IFERROR(INDEX(ERP資料!$A:$A, (MATCH(971, 輔助計算!$F$2:$F$801, 0)+1)), "")&lt;&gt;IFERROR(INDEX(ERP資料!$A:$A, MATCH(970, 輔助計算!$F$2:$F$801, 0)+1), "")), INDEX(ERP資料!$B:$B, (MATCH(971, 輔助計算!$F$2:$F$801, 0)+1)), ""), "")</f>
        <v/>
      </c>
      <c r="B972" s="10">
        <f>IFERROR(IF(AND(IFERROR(INDEX(ERP資料!$A:$A, (MATCH(971, 輔助計算!$F$2:$F$801, 0)+1)), "")&lt;&gt;"", IFERROR(INDEX(ERP資料!$A:$A, (MATCH(971, 輔助計算!$F$2:$F$801, 0)+1)), "")&lt;&gt;IFERROR(INDEX(ERP資料!$A:$A, MATCH(970, 輔助計算!$F$2:$F$801, 0)+1), "")), IFERROR(INDEX(ERP資料!$A:$A, (MATCH(971, 輔助計算!$F$2:$F$801, 0)+1)), ""), ""), "")</f>
        <v/>
      </c>
      <c r="C972" s="10">
        <f>IFERROR(IF(AND(IFERROR(INDEX(ERP資料!$A:$A, (MATCH(971, 輔助計算!$F$2:$F$801, 0)+1)), "")&lt;&gt;"", IFERROR(INDEX(ERP資料!$A:$A, (MATCH(971, 輔助計算!$F$2:$F$801, 0)+1)), "")&lt;&gt;IFERROR(INDEX(ERP資料!$A:$A, MATCH(970, 輔助計算!$F$2:$F$801, 0)+1), "")), INDEX(ERP資料!$S:$S, (MATCH(971, 輔助計算!$F$2:$F$801, 0)+1)), ""), "")</f>
        <v/>
      </c>
      <c r="D972" s="10">
        <f>IFERROR(IF(INDEX(ERP資料!$E:$E, (MATCH(971, 輔助計算!$F$2:$F$801, 0)+1))="","",TRIM(INDEX(ERP資料!$E:$E, (MATCH(971, 輔助計算!$F$2:$F$801, 0)+1)))), "")</f>
        <v/>
      </c>
      <c r="E972" s="10">
        <f>IFERROR(IF(INDEX(ERP資料!$F:$F, (MATCH(971, 輔助計算!$F$2:$F$801, 0)+1))="","",INDEX(ERP資料!$F:$F, (MATCH(971, 輔助計算!$F$2:$F$801, 0)+1))), "")</f>
        <v/>
      </c>
      <c r="F972" s="10">
        <f>IFERROR(IF(INDEX(ERP資料!$G:$G, (MATCH(971, 輔助計算!$F$2:$F$801, 0)+1))="","",INDEX(ERP資料!$G:$G, (MATCH(971, 輔助計算!$F$2:$F$801, 0)+1))), "")</f>
        <v/>
      </c>
      <c r="G972" s="10">
        <f>IFERROR(IF(INDEX(ERP資料!$H:$H, (MATCH(971, 輔助計算!$F$2:$F$801, 0)+1))="","",INDEX(ERP資料!$H:$H, (MATCH(971, 輔助計算!$F$2:$F$801, 0)+1))), "")</f>
        <v/>
      </c>
      <c r="H972" s="10">
        <f>IFERROR(IF(INDEX(ERP資料!$O:$O, (MATCH(971, 輔助計算!$F$2:$F$801, 0)+1))="","",INDEX(ERP資料!$O:$O, (MATCH(971, 輔助計算!$F$2:$F$801, 0)+1))), "")</f>
        <v/>
      </c>
      <c r="I972" s="15">
        <f>IFERROR(IF(INDEX(輔助計算!$D:$D,(MATCH(971, 輔助計算!$F$2:$F$801, 0)+1))="","",INDEX(輔助計算!$D:$D,(MATCH(971, 輔助計算!$F$2:$F$801, 0)+1))*INDEX(ERP資料!$O:$O,(MATCH(971, 輔助計算!$F$2:$F$801, 0)+1))), "")</f>
        <v/>
      </c>
      <c r="J972" s="16" t="n"/>
      <c r="K972" s="15">
        <f>IFERROR(INDEX(輔助計算!$D:$D, (MATCH(971, 輔助計算!$F$2:$F$801, 0)+1)), "")</f>
        <v/>
      </c>
      <c r="L972" s="16">
        <f>IFERROR(IF(AND(IFERROR(VLOOKUP(LEFT(INDEX(ERP資料!$S:$S, (MATCH(971, 輔助計算!$F$2:$F$801, 0)+1)), 4), 100張客戶!$A:$A, 1, FALSE), "")&lt;&gt;"", OR(INDEX(ERP資料!$F:$F, (MATCH(971, 輔助計算!$F$2:$F$801, 0)+1))=270, INDEX(ERP資料!$F:$F, (MATCH(971, 輔助計算!$F$2:$F$801, 0)+1))=300)), "100張", ""), "")</f>
        <v/>
      </c>
      <c r="M972" s="17" t="n"/>
      <c r="N972" s="17">
        <f>IF($F972="","",$F972)</f>
        <v/>
      </c>
      <c r="O972" s="17">
        <f>IF($G972="","",$G972)</f>
        <v/>
      </c>
      <c r="P972" s="17">
        <f>IF($K972="","",$K972)</f>
        <v/>
      </c>
      <c r="Q972" s="16" t="n"/>
      <c r="R972" s="18" t="n"/>
      <c r="S972" s="16" t="n"/>
    </row>
    <row r="973">
      <c r="A973" s="14">
        <f>IFERROR(IF(AND(IFERROR(INDEX(ERP資料!$A:$A, (MATCH(972, 輔助計算!$F$2:$F$801, 0)+1)), "")&lt;&gt;"", IFERROR(INDEX(ERP資料!$A:$A, (MATCH(972, 輔助計算!$F$2:$F$801, 0)+1)), "")&lt;&gt;IFERROR(INDEX(ERP資料!$A:$A, MATCH(971, 輔助計算!$F$2:$F$801, 0)+1), "")), INDEX(ERP資料!$B:$B, (MATCH(972, 輔助計算!$F$2:$F$801, 0)+1)), ""), "")</f>
        <v/>
      </c>
      <c r="B973" s="10">
        <f>IFERROR(IF(AND(IFERROR(INDEX(ERP資料!$A:$A, (MATCH(972, 輔助計算!$F$2:$F$801, 0)+1)), "")&lt;&gt;"", IFERROR(INDEX(ERP資料!$A:$A, (MATCH(972, 輔助計算!$F$2:$F$801, 0)+1)), "")&lt;&gt;IFERROR(INDEX(ERP資料!$A:$A, MATCH(971, 輔助計算!$F$2:$F$801, 0)+1), "")), IFERROR(INDEX(ERP資料!$A:$A, (MATCH(972, 輔助計算!$F$2:$F$801, 0)+1)), ""), ""), "")</f>
        <v/>
      </c>
      <c r="C973" s="10">
        <f>IFERROR(IF(AND(IFERROR(INDEX(ERP資料!$A:$A, (MATCH(972, 輔助計算!$F$2:$F$801, 0)+1)), "")&lt;&gt;"", IFERROR(INDEX(ERP資料!$A:$A, (MATCH(972, 輔助計算!$F$2:$F$801, 0)+1)), "")&lt;&gt;IFERROR(INDEX(ERP資料!$A:$A, MATCH(971, 輔助計算!$F$2:$F$801, 0)+1), "")), INDEX(ERP資料!$S:$S, (MATCH(972, 輔助計算!$F$2:$F$801, 0)+1)), ""), "")</f>
        <v/>
      </c>
      <c r="D973" s="10">
        <f>IFERROR(IF(INDEX(ERP資料!$E:$E, (MATCH(972, 輔助計算!$F$2:$F$801, 0)+1))="","",TRIM(INDEX(ERP資料!$E:$E, (MATCH(972, 輔助計算!$F$2:$F$801, 0)+1)))), "")</f>
        <v/>
      </c>
      <c r="E973" s="10">
        <f>IFERROR(IF(INDEX(ERP資料!$F:$F, (MATCH(972, 輔助計算!$F$2:$F$801, 0)+1))="","",INDEX(ERP資料!$F:$F, (MATCH(972, 輔助計算!$F$2:$F$801, 0)+1))), "")</f>
        <v/>
      </c>
      <c r="F973" s="10">
        <f>IFERROR(IF(INDEX(ERP資料!$G:$G, (MATCH(972, 輔助計算!$F$2:$F$801, 0)+1))="","",INDEX(ERP資料!$G:$G, (MATCH(972, 輔助計算!$F$2:$F$801, 0)+1))), "")</f>
        <v/>
      </c>
      <c r="G973" s="10">
        <f>IFERROR(IF(INDEX(ERP資料!$H:$H, (MATCH(972, 輔助計算!$F$2:$F$801, 0)+1))="","",INDEX(ERP資料!$H:$H, (MATCH(972, 輔助計算!$F$2:$F$801, 0)+1))), "")</f>
        <v/>
      </c>
      <c r="H973" s="10">
        <f>IFERROR(IF(INDEX(ERP資料!$O:$O, (MATCH(972, 輔助計算!$F$2:$F$801, 0)+1))="","",INDEX(ERP資料!$O:$O, (MATCH(972, 輔助計算!$F$2:$F$801, 0)+1))), "")</f>
        <v/>
      </c>
      <c r="I973" s="15">
        <f>IFERROR(IF(INDEX(輔助計算!$D:$D,(MATCH(972, 輔助計算!$F$2:$F$801, 0)+1))="","",INDEX(輔助計算!$D:$D,(MATCH(972, 輔助計算!$F$2:$F$801, 0)+1))*INDEX(ERP資料!$O:$O,(MATCH(972, 輔助計算!$F$2:$F$801, 0)+1))), "")</f>
        <v/>
      </c>
      <c r="J973" s="16" t="n"/>
      <c r="K973" s="15">
        <f>IFERROR(INDEX(輔助計算!$D:$D, (MATCH(972, 輔助計算!$F$2:$F$801, 0)+1)), "")</f>
        <v/>
      </c>
      <c r="L973" s="16">
        <f>IFERROR(IF(AND(IFERROR(VLOOKUP(LEFT(INDEX(ERP資料!$S:$S, (MATCH(972, 輔助計算!$F$2:$F$801, 0)+1)), 4), 100張客戶!$A:$A, 1, FALSE), "")&lt;&gt;"", OR(INDEX(ERP資料!$F:$F, (MATCH(972, 輔助計算!$F$2:$F$801, 0)+1))=270, INDEX(ERP資料!$F:$F, (MATCH(972, 輔助計算!$F$2:$F$801, 0)+1))=300)), "100張", ""), "")</f>
        <v/>
      </c>
      <c r="M973" s="17" t="n"/>
      <c r="N973" s="17">
        <f>IF($F973="","",$F973)</f>
        <v/>
      </c>
      <c r="O973" s="17">
        <f>IF($G973="","",$G973)</f>
        <v/>
      </c>
      <c r="P973" s="17">
        <f>IF($K973="","",$K973)</f>
        <v/>
      </c>
      <c r="Q973" s="16" t="n"/>
      <c r="R973" s="18" t="n"/>
      <c r="S973" s="16" t="n"/>
    </row>
    <row r="974">
      <c r="A974" s="14">
        <f>IFERROR(IF(AND(IFERROR(INDEX(ERP資料!$A:$A, (MATCH(973, 輔助計算!$F$2:$F$801, 0)+1)), "")&lt;&gt;"", IFERROR(INDEX(ERP資料!$A:$A, (MATCH(973, 輔助計算!$F$2:$F$801, 0)+1)), "")&lt;&gt;IFERROR(INDEX(ERP資料!$A:$A, MATCH(972, 輔助計算!$F$2:$F$801, 0)+1), "")), INDEX(ERP資料!$B:$B, (MATCH(973, 輔助計算!$F$2:$F$801, 0)+1)), ""), "")</f>
        <v/>
      </c>
      <c r="B974" s="10">
        <f>IFERROR(IF(AND(IFERROR(INDEX(ERP資料!$A:$A, (MATCH(973, 輔助計算!$F$2:$F$801, 0)+1)), "")&lt;&gt;"", IFERROR(INDEX(ERP資料!$A:$A, (MATCH(973, 輔助計算!$F$2:$F$801, 0)+1)), "")&lt;&gt;IFERROR(INDEX(ERP資料!$A:$A, MATCH(972, 輔助計算!$F$2:$F$801, 0)+1), "")), IFERROR(INDEX(ERP資料!$A:$A, (MATCH(973, 輔助計算!$F$2:$F$801, 0)+1)), ""), ""), "")</f>
        <v/>
      </c>
      <c r="C974" s="10">
        <f>IFERROR(IF(AND(IFERROR(INDEX(ERP資料!$A:$A, (MATCH(973, 輔助計算!$F$2:$F$801, 0)+1)), "")&lt;&gt;"", IFERROR(INDEX(ERP資料!$A:$A, (MATCH(973, 輔助計算!$F$2:$F$801, 0)+1)), "")&lt;&gt;IFERROR(INDEX(ERP資料!$A:$A, MATCH(972, 輔助計算!$F$2:$F$801, 0)+1), "")), INDEX(ERP資料!$S:$S, (MATCH(973, 輔助計算!$F$2:$F$801, 0)+1)), ""), "")</f>
        <v/>
      </c>
      <c r="D974" s="10">
        <f>IFERROR(IF(INDEX(ERP資料!$E:$E, (MATCH(973, 輔助計算!$F$2:$F$801, 0)+1))="","",TRIM(INDEX(ERP資料!$E:$E, (MATCH(973, 輔助計算!$F$2:$F$801, 0)+1)))), "")</f>
        <v/>
      </c>
      <c r="E974" s="10">
        <f>IFERROR(IF(INDEX(ERP資料!$F:$F, (MATCH(973, 輔助計算!$F$2:$F$801, 0)+1))="","",INDEX(ERP資料!$F:$F, (MATCH(973, 輔助計算!$F$2:$F$801, 0)+1))), "")</f>
        <v/>
      </c>
      <c r="F974" s="10">
        <f>IFERROR(IF(INDEX(ERP資料!$G:$G, (MATCH(973, 輔助計算!$F$2:$F$801, 0)+1))="","",INDEX(ERP資料!$G:$G, (MATCH(973, 輔助計算!$F$2:$F$801, 0)+1))), "")</f>
        <v/>
      </c>
      <c r="G974" s="10">
        <f>IFERROR(IF(INDEX(ERP資料!$H:$H, (MATCH(973, 輔助計算!$F$2:$F$801, 0)+1))="","",INDEX(ERP資料!$H:$H, (MATCH(973, 輔助計算!$F$2:$F$801, 0)+1))), "")</f>
        <v/>
      </c>
      <c r="H974" s="10">
        <f>IFERROR(IF(INDEX(ERP資料!$O:$O, (MATCH(973, 輔助計算!$F$2:$F$801, 0)+1))="","",INDEX(ERP資料!$O:$O, (MATCH(973, 輔助計算!$F$2:$F$801, 0)+1))), "")</f>
        <v/>
      </c>
      <c r="I974" s="15">
        <f>IFERROR(IF(INDEX(輔助計算!$D:$D,(MATCH(973, 輔助計算!$F$2:$F$801, 0)+1))="","",INDEX(輔助計算!$D:$D,(MATCH(973, 輔助計算!$F$2:$F$801, 0)+1))*INDEX(ERP資料!$O:$O,(MATCH(973, 輔助計算!$F$2:$F$801, 0)+1))), "")</f>
        <v/>
      </c>
      <c r="J974" s="16" t="n"/>
      <c r="K974" s="15">
        <f>IFERROR(INDEX(輔助計算!$D:$D, (MATCH(973, 輔助計算!$F$2:$F$801, 0)+1)), "")</f>
        <v/>
      </c>
      <c r="L974" s="16">
        <f>IFERROR(IF(AND(IFERROR(VLOOKUP(LEFT(INDEX(ERP資料!$S:$S, (MATCH(973, 輔助計算!$F$2:$F$801, 0)+1)), 4), 100張客戶!$A:$A, 1, FALSE), "")&lt;&gt;"", OR(INDEX(ERP資料!$F:$F, (MATCH(973, 輔助計算!$F$2:$F$801, 0)+1))=270, INDEX(ERP資料!$F:$F, (MATCH(973, 輔助計算!$F$2:$F$801, 0)+1))=300)), "100張", ""), "")</f>
        <v/>
      </c>
      <c r="M974" s="17" t="n"/>
      <c r="N974" s="17">
        <f>IF($F974="","",$F974)</f>
        <v/>
      </c>
      <c r="O974" s="17">
        <f>IF($G974="","",$G974)</f>
        <v/>
      </c>
      <c r="P974" s="17">
        <f>IF($K974="","",$K974)</f>
        <v/>
      </c>
      <c r="Q974" s="16" t="n"/>
      <c r="R974" s="18" t="n"/>
      <c r="S974" s="16" t="n"/>
    </row>
    <row r="975">
      <c r="A975" s="14">
        <f>IFERROR(IF(AND(IFERROR(INDEX(ERP資料!$A:$A, (MATCH(974, 輔助計算!$F$2:$F$801, 0)+1)), "")&lt;&gt;"", IFERROR(INDEX(ERP資料!$A:$A, (MATCH(974, 輔助計算!$F$2:$F$801, 0)+1)), "")&lt;&gt;IFERROR(INDEX(ERP資料!$A:$A, MATCH(973, 輔助計算!$F$2:$F$801, 0)+1), "")), INDEX(ERP資料!$B:$B, (MATCH(974, 輔助計算!$F$2:$F$801, 0)+1)), ""), "")</f>
        <v/>
      </c>
      <c r="B975" s="10">
        <f>IFERROR(IF(AND(IFERROR(INDEX(ERP資料!$A:$A, (MATCH(974, 輔助計算!$F$2:$F$801, 0)+1)), "")&lt;&gt;"", IFERROR(INDEX(ERP資料!$A:$A, (MATCH(974, 輔助計算!$F$2:$F$801, 0)+1)), "")&lt;&gt;IFERROR(INDEX(ERP資料!$A:$A, MATCH(973, 輔助計算!$F$2:$F$801, 0)+1), "")), IFERROR(INDEX(ERP資料!$A:$A, (MATCH(974, 輔助計算!$F$2:$F$801, 0)+1)), ""), ""), "")</f>
        <v/>
      </c>
      <c r="C975" s="10">
        <f>IFERROR(IF(AND(IFERROR(INDEX(ERP資料!$A:$A, (MATCH(974, 輔助計算!$F$2:$F$801, 0)+1)), "")&lt;&gt;"", IFERROR(INDEX(ERP資料!$A:$A, (MATCH(974, 輔助計算!$F$2:$F$801, 0)+1)), "")&lt;&gt;IFERROR(INDEX(ERP資料!$A:$A, MATCH(973, 輔助計算!$F$2:$F$801, 0)+1), "")), INDEX(ERP資料!$S:$S, (MATCH(974, 輔助計算!$F$2:$F$801, 0)+1)), ""), "")</f>
        <v/>
      </c>
      <c r="D975" s="10">
        <f>IFERROR(IF(INDEX(ERP資料!$E:$E, (MATCH(974, 輔助計算!$F$2:$F$801, 0)+1))="","",TRIM(INDEX(ERP資料!$E:$E, (MATCH(974, 輔助計算!$F$2:$F$801, 0)+1)))), "")</f>
        <v/>
      </c>
      <c r="E975" s="10">
        <f>IFERROR(IF(INDEX(ERP資料!$F:$F, (MATCH(974, 輔助計算!$F$2:$F$801, 0)+1))="","",INDEX(ERP資料!$F:$F, (MATCH(974, 輔助計算!$F$2:$F$801, 0)+1))), "")</f>
        <v/>
      </c>
      <c r="F975" s="10">
        <f>IFERROR(IF(INDEX(ERP資料!$G:$G, (MATCH(974, 輔助計算!$F$2:$F$801, 0)+1))="","",INDEX(ERP資料!$G:$G, (MATCH(974, 輔助計算!$F$2:$F$801, 0)+1))), "")</f>
        <v/>
      </c>
      <c r="G975" s="10">
        <f>IFERROR(IF(INDEX(ERP資料!$H:$H, (MATCH(974, 輔助計算!$F$2:$F$801, 0)+1))="","",INDEX(ERP資料!$H:$H, (MATCH(974, 輔助計算!$F$2:$F$801, 0)+1))), "")</f>
        <v/>
      </c>
      <c r="H975" s="10">
        <f>IFERROR(IF(INDEX(ERP資料!$O:$O, (MATCH(974, 輔助計算!$F$2:$F$801, 0)+1))="","",INDEX(ERP資料!$O:$O, (MATCH(974, 輔助計算!$F$2:$F$801, 0)+1))), "")</f>
        <v/>
      </c>
      <c r="I975" s="15">
        <f>IFERROR(IF(INDEX(輔助計算!$D:$D,(MATCH(974, 輔助計算!$F$2:$F$801, 0)+1))="","",INDEX(輔助計算!$D:$D,(MATCH(974, 輔助計算!$F$2:$F$801, 0)+1))*INDEX(ERP資料!$O:$O,(MATCH(974, 輔助計算!$F$2:$F$801, 0)+1))), "")</f>
        <v/>
      </c>
      <c r="J975" s="16" t="n"/>
      <c r="K975" s="15">
        <f>IFERROR(INDEX(輔助計算!$D:$D, (MATCH(974, 輔助計算!$F$2:$F$801, 0)+1)), "")</f>
        <v/>
      </c>
      <c r="L975" s="16">
        <f>IFERROR(IF(AND(IFERROR(VLOOKUP(LEFT(INDEX(ERP資料!$S:$S, (MATCH(974, 輔助計算!$F$2:$F$801, 0)+1)), 4), 100張客戶!$A:$A, 1, FALSE), "")&lt;&gt;"", OR(INDEX(ERP資料!$F:$F, (MATCH(974, 輔助計算!$F$2:$F$801, 0)+1))=270, INDEX(ERP資料!$F:$F, (MATCH(974, 輔助計算!$F$2:$F$801, 0)+1))=300)), "100張", ""), "")</f>
        <v/>
      </c>
      <c r="M975" s="17" t="n"/>
      <c r="N975" s="17">
        <f>IF($F975="","",$F975)</f>
        <v/>
      </c>
      <c r="O975" s="17">
        <f>IF($G975="","",$G975)</f>
        <v/>
      </c>
      <c r="P975" s="17">
        <f>IF($K975="","",$K975)</f>
        <v/>
      </c>
      <c r="Q975" s="16" t="n"/>
      <c r="R975" s="18" t="n"/>
      <c r="S975" s="16" t="n"/>
    </row>
    <row r="976">
      <c r="A976" s="14">
        <f>IFERROR(IF(AND(IFERROR(INDEX(ERP資料!$A:$A, (MATCH(975, 輔助計算!$F$2:$F$801, 0)+1)), "")&lt;&gt;"", IFERROR(INDEX(ERP資料!$A:$A, (MATCH(975, 輔助計算!$F$2:$F$801, 0)+1)), "")&lt;&gt;IFERROR(INDEX(ERP資料!$A:$A, MATCH(974, 輔助計算!$F$2:$F$801, 0)+1), "")), INDEX(ERP資料!$B:$B, (MATCH(975, 輔助計算!$F$2:$F$801, 0)+1)), ""), "")</f>
        <v/>
      </c>
      <c r="B976" s="10">
        <f>IFERROR(IF(AND(IFERROR(INDEX(ERP資料!$A:$A, (MATCH(975, 輔助計算!$F$2:$F$801, 0)+1)), "")&lt;&gt;"", IFERROR(INDEX(ERP資料!$A:$A, (MATCH(975, 輔助計算!$F$2:$F$801, 0)+1)), "")&lt;&gt;IFERROR(INDEX(ERP資料!$A:$A, MATCH(974, 輔助計算!$F$2:$F$801, 0)+1), "")), IFERROR(INDEX(ERP資料!$A:$A, (MATCH(975, 輔助計算!$F$2:$F$801, 0)+1)), ""), ""), "")</f>
        <v/>
      </c>
      <c r="C976" s="10">
        <f>IFERROR(IF(AND(IFERROR(INDEX(ERP資料!$A:$A, (MATCH(975, 輔助計算!$F$2:$F$801, 0)+1)), "")&lt;&gt;"", IFERROR(INDEX(ERP資料!$A:$A, (MATCH(975, 輔助計算!$F$2:$F$801, 0)+1)), "")&lt;&gt;IFERROR(INDEX(ERP資料!$A:$A, MATCH(974, 輔助計算!$F$2:$F$801, 0)+1), "")), INDEX(ERP資料!$S:$S, (MATCH(975, 輔助計算!$F$2:$F$801, 0)+1)), ""), "")</f>
        <v/>
      </c>
      <c r="D976" s="10">
        <f>IFERROR(IF(INDEX(ERP資料!$E:$E, (MATCH(975, 輔助計算!$F$2:$F$801, 0)+1))="","",TRIM(INDEX(ERP資料!$E:$E, (MATCH(975, 輔助計算!$F$2:$F$801, 0)+1)))), "")</f>
        <v/>
      </c>
      <c r="E976" s="10">
        <f>IFERROR(IF(INDEX(ERP資料!$F:$F, (MATCH(975, 輔助計算!$F$2:$F$801, 0)+1))="","",INDEX(ERP資料!$F:$F, (MATCH(975, 輔助計算!$F$2:$F$801, 0)+1))), "")</f>
        <v/>
      </c>
      <c r="F976" s="10">
        <f>IFERROR(IF(INDEX(ERP資料!$G:$G, (MATCH(975, 輔助計算!$F$2:$F$801, 0)+1))="","",INDEX(ERP資料!$G:$G, (MATCH(975, 輔助計算!$F$2:$F$801, 0)+1))), "")</f>
        <v/>
      </c>
      <c r="G976" s="10">
        <f>IFERROR(IF(INDEX(ERP資料!$H:$H, (MATCH(975, 輔助計算!$F$2:$F$801, 0)+1))="","",INDEX(ERP資料!$H:$H, (MATCH(975, 輔助計算!$F$2:$F$801, 0)+1))), "")</f>
        <v/>
      </c>
      <c r="H976" s="10">
        <f>IFERROR(IF(INDEX(ERP資料!$O:$O, (MATCH(975, 輔助計算!$F$2:$F$801, 0)+1))="","",INDEX(ERP資料!$O:$O, (MATCH(975, 輔助計算!$F$2:$F$801, 0)+1))), "")</f>
        <v/>
      </c>
      <c r="I976" s="15">
        <f>IFERROR(IF(INDEX(輔助計算!$D:$D,(MATCH(975, 輔助計算!$F$2:$F$801, 0)+1))="","",INDEX(輔助計算!$D:$D,(MATCH(975, 輔助計算!$F$2:$F$801, 0)+1))*INDEX(ERP資料!$O:$O,(MATCH(975, 輔助計算!$F$2:$F$801, 0)+1))), "")</f>
        <v/>
      </c>
      <c r="J976" s="16" t="n"/>
      <c r="K976" s="15">
        <f>IFERROR(INDEX(輔助計算!$D:$D, (MATCH(975, 輔助計算!$F$2:$F$801, 0)+1)), "")</f>
        <v/>
      </c>
      <c r="L976" s="16">
        <f>IFERROR(IF(AND(IFERROR(VLOOKUP(LEFT(INDEX(ERP資料!$S:$S, (MATCH(975, 輔助計算!$F$2:$F$801, 0)+1)), 4), 100張客戶!$A:$A, 1, FALSE), "")&lt;&gt;"", OR(INDEX(ERP資料!$F:$F, (MATCH(975, 輔助計算!$F$2:$F$801, 0)+1))=270, INDEX(ERP資料!$F:$F, (MATCH(975, 輔助計算!$F$2:$F$801, 0)+1))=300)), "100張", ""), "")</f>
        <v/>
      </c>
      <c r="M976" s="17" t="n"/>
      <c r="N976" s="17">
        <f>IF($F976="","",$F976)</f>
        <v/>
      </c>
      <c r="O976" s="17">
        <f>IF($G976="","",$G976)</f>
        <v/>
      </c>
      <c r="P976" s="17">
        <f>IF($K976="","",$K976)</f>
        <v/>
      </c>
      <c r="Q976" s="16" t="n"/>
      <c r="R976" s="18" t="n"/>
      <c r="S976" s="16" t="n"/>
    </row>
    <row r="977">
      <c r="A977" s="14">
        <f>IFERROR(IF(AND(IFERROR(INDEX(ERP資料!$A:$A, (MATCH(976, 輔助計算!$F$2:$F$801, 0)+1)), "")&lt;&gt;"", IFERROR(INDEX(ERP資料!$A:$A, (MATCH(976, 輔助計算!$F$2:$F$801, 0)+1)), "")&lt;&gt;IFERROR(INDEX(ERP資料!$A:$A, MATCH(975, 輔助計算!$F$2:$F$801, 0)+1), "")), INDEX(ERP資料!$B:$B, (MATCH(976, 輔助計算!$F$2:$F$801, 0)+1)), ""), "")</f>
        <v/>
      </c>
      <c r="B977" s="10">
        <f>IFERROR(IF(AND(IFERROR(INDEX(ERP資料!$A:$A, (MATCH(976, 輔助計算!$F$2:$F$801, 0)+1)), "")&lt;&gt;"", IFERROR(INDEX(ERP資料!$A:$A, (MATCH(976, 輔助計算!$F$2:$F$801, 0)+1)), "")&lt;&gt;IFERROR(INDEX(ERP資料!$A:$A, MATCH(975, 輔助計算!$F$2:$F$801, 0)+1), "")), IFERROR(INDEX(ERP資料!$A:$A, (MATCH(976, 輔助計算!$F$2:$F$801, 0)+1)), ""), ""), "")</f>
        <v/>
      </c>
      <c r="C977" s="10">
        <f>IFERROR(IF(AND(IFERROR(INDEX(ERP資料!$A:$A, (MATCH(976, 輔助計算!$F$2:$F$801, 0)+1)), "")&lt;&gt;"", IFERROR(INDEX(ERP資料!$A:$A, (MATCH(976, 輔助計算!$F$2:$F$801, 0)+1)), "")&lt;&gt;IFERROR(INDEX(ERP資料!$A:$A, MATCH(975, 輔助計算!$F$2:$F$801, 0)+1), "")), INDEX(ERP資料!$S:$S, (MATCH(976, 輔助計算!$F$2:$F$801, 0)+1)), ""), "")</f>
        <v/>
      </c>
      <c r="D977" s="10">
        <f>IFERROR(IF(INDEX(ERP資料!$E:$E, (MATCH(976, 輔助計算!$F$2:$F$801, 0)+1))="","",TRIM(INDEX(ERP資料!$E:$E, (MATCH(976, 輔助計算!$F$2:$F$801, 0)+1)))), "")</f>
        <v/>
      </c>
      <c r="E977" s="10">
        <f>IFERROR(IF(INDEX(ERP資料!$F:$F, (MATCH(976, 輔助計算!$F$2:$F$801, 0)+1))="","",INDEX(ERP資料!$F:$F, (MATCH(976, 輔助計算!$F$2:$F$801, 0)+1))), "")</f>
        <v/>
      </c>
      <c r="F977" s="10">
        <f>IFERROR(IF(INDEX(ERP資料!$G:$G, (MATCH(976, 輔助計算!$F$2:$F$801, 0)+1))="","",INDEX(ERP資料!$G:$G, (MATCH(976, 輔助計算!$F$2:$F$801, 0)+1))), "")</f>
        <v/>
      </c>
      <c r="G977" s="10">
        <f>IFERROR(IF(INDEX(ERP資料!$H:$H, (MATCH(976, 輔助計算!$F$2:$F$801, 0)+1))="","",INDEX(ERP資料!$H:$H, (MATCH(976, 輔助計算!$F$2:$F$801, 0)+1))), "")</f>
        <v/>
      </c>
      <c r="H977" s="10">
        <f>IFERROR(IF(INDEX(ERP資料!$O:$O, (MATCH(976, 輔助計算!$F$2:$F$801, 0)+1))="","",INDEX(ERP資料!$O:$O, (MATCH(976, 輔助計算!$F$2:$F$801, 0)+1))), "")</f>
        <v/>
      </c>
      <c r="I977" s="15">
        <f>IFERROR(IF(INDEX(輔助計算!$D:$D,(MATCH(976, 輔助計算!$F$2:$F$801, 0)+1))="","",INDEX(輔助計算!$D:$D,(MATCH(976, 輔助計算!$F$2:$F$801, 0)+1))*INDEX(ERP資料!$O:$O,(MATCH(976, 輔助計算!$F$2:$F$801, 0)+1))), "")</f>
        <v/>
      </c>
      <c r="J977" s="16" t="n"/>
      <c r="K977" s="15">
        <f>IFERROR(INDEX(輔助計算!$D:$D, (MATCH(976, 輔助計算!$F$2:$F$801, 0)+1)), "")</f>
        <v/>
      </c>
      <c r="L977" s="16">
        <f>IFERROR(IF(AND(IFERROR(VLOOKUP(LEFT(INDEX(ERP資料!$S:$S, (MATCH(976, 輔助計算!$F$2:$F$801, 0)+1)), 4), 100張客戶!$A:$A, 1, FALSE), "")&lt;&gt;"", OR(INDEX(ERP資料!$F:$F, (MATCH(976, 輔助計算!$F$2:$F$801, 0)+1))=270, INDEX(ERP資料!$F:$F, (MATCH(976, 輔助計算!$F$2:$F$801, 0)+1))=300)), "100張", ""), "")</f>
        <v/>
      </c>
      <c r="M977" s="17" t="n"/>
      <c r="N977" s="17">
        <f>IF($F977="","",$F977)</f>
        <v/>
      </c>
      <c r="O977" s="17">
        <f>IF($G977="","",$G977)</f>
        <v/>
      </c>
      <c r="P977" s="17">
        <f>IF($K977="","",$K977)</f>
        <v/>
      </c>
      <c r="Q977" s="16" t="n"/>
      <c r="R977" s="18" t="n"/>
      <c r="S977" s="16" t="n"/>
    </row>
    <row r="978">
      <c r="A978" s="14">
        <f>IFERROR(IF(AND(IFERROR(INDEX(ERP資料!$A:$A, (MATCH(977, 輔助計算!$F$2:$F$801, 0)+1)), "")&lt;&gt;"", IFERROR(INDEX(ERP資料!$A:$A, (MATCH(977, 輔助計算!$F$2:$F$801, 0)+1)), "")&lt;&gt;IFERROR(INDEX(ERP資料!$A:$A, MATCH(976, 輔助計算!$F$2:$F$801, 0)+1), "")), INDEX(ERP資料!$B:$B, (MATCH(977, 輔助計算!$F$2:$F$801, 0)+1)), ""), "")</f>
        <v/>
      </c>
      <c r="B978" s="10">
        <f>IFERROR(IF(AND(IFERROR(INDEX(ERP資料!$A:$A, (MATCH(977, 輔助計算!$F$2:$F$801, 0)+1)), "")&lt;&gt;"", IFERROR(INDEX(ERP資料!$A:$A, (MATCH(977, 輔助計算!$F$2:$F$801, 0)+1)), "")&lt;&gt;IFERROR(INDEX(ERP資料!$A:$A, MATCH(976, 輔助計算!$F$2:$F$801, 0)+1), "")), IFERROR(INDEX(ERP資料!$A:$A, (MATCH(977, 輔助計算!$F$2:$F$801, 0)+1)), ""), ""), "")</f>
        <v/>
      </c>
      <c r="C978" s="10">
        <f>IFERROR(IF(AND(IFERROR(INDEX(ERP資料!$A:$A, (MATCH(977, 輔助計算!$F$2:$F$801, 0)+1)), "")&lt;&gt;"", IFERROR(INDEX(ERP資料!$A:$A, (MATCH(977, 輔助計算!$F$2:$F$801, 0)+1)), "")&lt;&gt;IFERROR(INDEX(ERP資料!$A:$A, MATCH(976, 輔助計算!$F$2:$F$801, 0)+1), "")), INDEX(ERP資料!$S:$S, (MATCH(977, 輔助計算!$F$2:$F$801, 0)+1)), ""), "")</f>
        <v/>
      </c>
      <c r="D978" s="10">
        <f>IFERROR(IF(INDEX(ERP資料!$E:$E, (MATCH(977, 輔助計算!$F$2:$F$801, 0)+1))="","",TRIM(INDEX(ERP資料!$E:$E, (MATCH(977, 輔助計算!$F$2:$F$801, 0)+1)))), "")</f>
        <v/>
      </c>
      <c r="E978" s="10">
        <f>IFERROR(IF(INDEX(ERP資料!$F:$F, (MATCH(977, 輔助計算!$F$2:$F$801, 0)+1))="","",INDEX(ERP資料!$F:$F, (MATCH(977, 輔助計算!$F$2:$F$801, 0)+1))), "")</f>
        <v/>
      </c>
      <c r="F978" s="10">
        <f>IFERROR(IF(INDEX(ERP資料!$G:$G, (MATCH(977, 輔助計算!$F$2:$F$801, 0)+1))="","",INDEX(ERP資料!$G:$G, (MATCH(977, 輔助計算!$F$2:$F$801, 0)+1))), "")</f>
        <v/>
      </c>
      <c r="G978" s="10">
        <f>IFERROR(IF(INDEX(ERP資料!$H:$H, (MATCH(977, 輔助計算!$F$2:$F$801, 0)+1))="","",INDEX(ERP資料!$H:$H, (MATCH(977, 輔助計算!$F$2:$F$801, 0)+1))), "")</f>
        <v/>
      </c>
      <c r="H978" s="10">
        <f>IFERROR(IF(INDEX(ERP資料!$O:$O, (MATCH(977, 輔助計算!$F$2:$F$801, 0)+1))="","",INDEX(ERP資料!$O:$O, (MATCH(977, 輔助計算!$F$2:$F$801, 0)+1))), "")</f>
        <v/>
      </c>
      <c r="I978" s="15">
        <f>IFERROR(IF(INDEX(輔助計算!$D:$D,(MATCH(977, 輔助計算!$F$2:$F$801, 0)+1))="","",INDEX(輔助計算!$D:$D,(MATCH(977, 輔助計算!$F$2:$F$801, 0)+1))*INDEX(ERP資料!$O:$O,(MATCH(977, 輔助計算!$F$2:$F$801, 0)+1))), "")</f>
        <v/>
      </c>
      <c r="J978" s="16" t="n"/>
      <c r="K978" s="15">
        <f>IFERROR(INDEX(輔助計算!$D:$D, (MATCH(977, 輔助計算!$F$2:$F$801, 0)+1)), "")</f>
        <v/>
      </c>
      <c r="L978" s="16">
        <f>IFERROR(IF(AND(IFERROR(VLOOKUP(LEFT(INDEX(ERP資料!$S:$S, (MATCH(977, 輔助計算!$F$2:$F$801, 0)+1)), 4), 100張客戶!$A:$A, 1, FALSE), "")&lt;&gt;"", OR(INDEX(ERP資料!$F:$F, (MATCH(977, 輔助計算!$F$2:$F$801, 0)+1))=270, INDEX(ERP資料!$F:$F, (MATCH(977, 輔助計算!$F$2:$F$801, 0)+1))=300)), "100張", ""), "")</f>
        <v/>
      </c>
      <c r="M978" s="17" t="n"/>
      <c r="N978" s="17">
        <f>IF($F978="","",$F978)</f>
        <v/>
      </c>
      <c r="O978" s="17">
        <f>IF($G978="","",$G978)</f>
        <v/>
      </c>
      <c r="P978" s="17">
        <f>IF($K978="","",$K978)</f>
        <v/>
      </c>
      <c r="Q978" s="16" t="n"/>
      <c r="R978" s="18" t="n"/>
      <c r="S978" s="16" t="n"/>
    </row>
    <row r="979">
      <c r="A979" s="14">
        <f>IFERROR(IF(AND(IFERROR(INDEX(ERP資料!$A:$A, (MATCH(978, 輔助計算!$F$2:$F$801, 0)+1)), "")&lt;&gt;"", IFERROR(INDEX(ERP資料!$A:$A, (MATCH(978, 輔助計算!$F$2:$F$801, 0)+1)), "")&lt;&gt;IFERROR(INDEX(ERP資料!$A:$A, MATCH(977, 輔助計算!$F$2:$F$801, 0)+1), "")), INDEX(ERP資料!$B:$B, (MATCH(978, 輔助計算!$F$2:$F$801, 0)+1)), ""), "")</f>
        <v/>
      </c>
      <c r="B979" s="10">
        <f>IFERROR(IF(AND(IFERROR(INDEX(ERP資料!$A:$A, (MATCH(978, 輔助計算!$F$2:$F$801, 0)+1)), "")&lt;&gt;"", IFERROR(INDEX(ERP資料!$A:$A, (MATCH(978, 輔助計算!$F$2:$F$801, 0)+1)), "")&lt;&gt;IFERROR(INDEX(ERP資料!$A:$A, MATCH(977, 輔助計算!$F$2:$F$801, 0)+1), "")), IFERROR(INDEX(ERP資料!$A:$A, (MATCH(978, 輔助計算!$F$2:$F$801, 0)+1)), ""), ""), "")</f>
        <v/>
      </c>
      <c r="C979" s="10">
        <f>IFERROR(IF(AND(IFERROR(INDEX(ERP資料!$A:$A, (MATCH(978, 輔助計算!$F$2:$F$801, 0)+1)), "")&lt;&gt;"", IFERROR(INDEX(ERP資料!$A:$A, (MATCH(978, 輔助計算!$F$2:$F$801, 0)+1)), "")&lt;&gt;IFERROR(INDEX(ERP資料!$A:$A, MATCH(977, 輔助計算!$F$2:$F$801, 0)+1), "")), INDEX(ERP資料!$S:$S, (MATCH(978, 輔助計算!$F$2:$F$801, 0)+1)), ""), "")</f>
        <v/>
      </c>
      <c r="D979" s="10">
        <f>IFERROR(IF(INDEX(ERP資料!$E:$E, (MATCH(978, 輔助計算!$F$2:$F$801, 0)+1))="","",TRIM(INDEX(ERP資料!$E:$E, (MATCH(978, 輔助計算!$F$2:$F$801, 0)+1)))), "")</f>
        <v/>
      </c>
      <c r="E979" s="10">
        <f>IFERROR(IF(INDEX(ERP資料!$F:$F, (MATCH(978, 輔助計算!$F$2:$F$801, 0)+1))="","",INDEX(ERP資料!$F:$F, (MATCH(978, 輔助計算!$F$2:$F$801, 0)+1))), "")</f>
        <v/>
      </c>
      <c r="F979" s="10">
        <f>IFERROR(IF(INDEX(ERP資料!$G:$G, (MATCH(978, 輔助計算!$F$2:$F$801, 0)+1))="","",INDEX(ERP資料!$G:$G, (MATCH(978, 輔助計算!$F$2:$F$801, 0)+1))), "")</f>
        <v/>
      </c>
      <c r="G979" s="10">
        <f>IFERROR(IF(INDEX(ERP資料!$H:$H, (MATCH(978, 輔助計算!$F$2:$F$801, 0)+1))="","",INDEX(ERP資料!$H:$H, (MATCH(978, 輔助計算!$F$2:$F$801, 0)+1))), "")</f>
        <v/>
      </c>
      <c r="H979" s="10">
        <f>IFERROR(IF(INDEX(ERP資料!$O:$O, (MATCH(978, 輔助計算!$F$2:$F$801, 0)+1))="","",INDEX(ERP資料!$O:$O, (MATCH(978, 輔助計算!$F$2:$F$801, 0)+1))), "")</f>
        <v/>
      </c>
      <c r="I979" s="15">
        <f>IFERROR(IF(INDEX(輔助計算!$D:$D,(MATCH(978, 輔助計算!$F$2:$F$801, 0)+1))="","",INDEX(輔助計算!$D:$D,(MATCH(978, 輔助計算!$F$2:$F$801, 0)+1))*INDEX(ERP資料!$O:$O,(MATCH(978, 輔助計算!$F$2:$F$801, 0)+1))), "")</f>
        <v/>
      </c>
      <c r="J979" s="16" t="n"/>
      <c r="K979" s="15">
        <f>IFERROR(INDEX(輔助計算!$D:$D, (MATCH(978, 輔助計算!$F$2:$F$801, 0)+1)), "")</f>
        <v/>
      </c>
      <c r="L979" s="16">
        <f>IFERROR(IF(AND(IFERROR(VLOOKUP(LEFT(INDEX(ERP資料!$S:$S, (MATCH(978, 輔助計算!$F$2:$F$801, 0)+1)), 4), 100張客戶!$A:$A, 1, FALSE), "")&lt;&gt;"", OR(INDEX(ERP資料!$F:$F, (MATCH(978, 輔助計算!$F$2:$F$801, 0)+1))=270, INDEX(ERP資料!$F:$F, (MATCH(978, 輔助計算!$F$2:$F$801, 0)+1))=300)), "100張", ""), "")</f>
        <v/>
      </c>
      <c r="M979" s="17" t="n"/>
      <c r="N979" s="17">
        <f>IF($F979="","",$F979)</f>
        <v/>
      </c>
      <c r="O979" s="17">
        <f>IF($G979="","",$G979)</f>
        <v/>
      </c>
      <c r="P979" s="17">
        <f>IF($K979="","",$K979)</f>
        <v/>
      </c>
      <c r="Q979" s="16" t="n"/>
      <c r="R979" s="18" t="n"/>
      <c r="S979" s="16" t="n"/>
    </row>
    <row r="980">
      <c r="A980" s="14">
        <f>IFERROR(IF(AND(IFERROR(INDEX(ERP資料!$A:$A, (MATCH(979, 輔助計算!$F$2:$F$801, 0)+1)), "")&lt;&gt;"", IFERROR(INDEX(ERP資料!$A:$A, (MATCH(979, 輔助計算!$F$2:$F$801, 0)+1)), "")&lt;&gt;IFERROR(INDEX(ERP資料!$A:$A, MATCH(978, 輔助計算!$F$2:$F$801, 0)+1), "")), INDEX(ERP資料!$B:$B, (MATCH(979, 輔助計算!$F$2:$F$801, 0)+1)), ""), "")</f>
        <v/>
      </c>
      <c r="B980" s="10">
        <f>IFERROR(IF(AND(IFERROR(INDEX(ERP資料!$A:$A, (MATCH(979, 輔助計算!$F$2:$F$801, 0)+1)), "")&lt;&gt;"", IFERROR(INDEX(ERP資料!$A:$A, (MATCH(979, 輔助計算!$F$2:$F$801, 0)+1)), "")&lt;&gt;IFERROR(INDEX(ERP資料!$A:$A, MATCH(978, 輔助計算!$F$2:$F$801, 0)+1), "")), IFERROR(INDEX(ERP資料!$A:$A, (MATCH(979, 輔助計算!$F$2:$F$801, 0)+1)), ""), ""), "")</f>
        <v/>
      </c>
      <c r="C980" s="10">
        <f>IFERROR(IF(AND(IFERROR(INDEX(ERP資料!$A:$A, (MATCH(979, 輔助計算!$F$2:$F$801, 0)+1)), "")&lt;&gt;"", IFERROR(INDEX(ERP資料!$A:$A, (MATCH(979, 輔助計算!$F$2:$F$801, 0)+1)), "")&lt;&gt;IFERROR(INDEX(ERP資料!$A:$A, MATCH(978, 輔助計算!$F$2:$F$801, 0)+1), "")), INDEX(ERP資料!$S:$S, (MATCH(979, 輔助計算!$F$2:$F$801, 0)+1)), ""), "")</f>
        <v/>
      </c>
      <c r="D980" s="10">
        <f>IFERROR(IF(INDEX(ERP資料!$E:$E, (MATCH(979, 輔助計算!$F$2:$F$801, 0)+1))="","",TRIM(INDEX(ERP資料!$E:$E, (MATCH(979, 輔助計算!$F$2:$F$801, 0)+1)))), "")</f>
        <v/>
      </c>
      <c r="E980" s="10">
        <f>IFERROR(IF(INDEX(ERP資料!$F:$F, (MATCH(979, 輔助計算!$F$2:$F$801, 0)+1))="","",INDEX(ERP資料!$F:$F, (MATCH(979, 輔助計算!$F$2:$F$801, 0)+1))), "")</f>
        <v/>
      </c>
      <c r="F980" s="10">
        <f>IFERROR(IF(INDEX(ERP資料!$G:$G, (MATCH(979, 輔助計算!$F$2:$F$801, 0)+1))="","",INDEX(ERP資料!$G:$G, (MATCH(979, 輔助計算!$F$2:$F$801, 0)+1))), "")</f>
        <v/>
      </c>
      <c r="G980" s="10">
        <f>IFERROR(IF(INDEX(ERP資料!$H:$H, (MATCH(979, 輔助計算!$F$2:$F$801, 0)+1))="","",INDEX(ERP資料!$H:$H, (MATCH(979, 輔助計算!$F$2:$F$801, 0)+1))), "")</f>
        <v/>
      </c>
      <c r="H980" s="10">
        <f>IFERROR(IF(INDEX(ERP資料!$O:$O, (MATCH(979, 輔助計算!$F$2:$F$801, 0)+1))="","",INDEX(ERP資料!$O:$O, (MATCH(979, 輔助計算!$F$2:$F$801, 0)+1))), "")</f>
        <v/>
      </c>
      <c r="I980" s="15">
        <f>IFERROR(IF(INDEX(輔助計算!$D:$D,(MATCH(979, 輔助計算!$F$2:$F$801, 0)+1))="","",INDEX(輔助計算!$D:$D,(MATCH(979, 輔助計算!$F$2:$F$801, 0)+1))*INDEX(ERP資料!$O:$O,(MATCH(979, 輔助計算!$F$2:$F$801, 0)+1))), "")</f>
        <v/>
      </c>
      <c r="J980" s="16" t="n"/>
      <c r="K980" s="15">
        <f>IFERROR(INDEX(輔助計算!$D:$D, (MATCH(979, 輔助計算!$F$2:$F$801, 0)+1)), "")</f>
        <v/>
      </c>
      <c r="L980" s="16">
        <f>IFERROR(IF(AND(IFERROR(VLOOKUP(LEFT(INDEX(ERP資料!$S:$S, (MATCH(979, 輔助計算!$F$2:$F$801, 0)+1)), 4), 100張客戶!$A:$A, 1, FALSE), "")&lt;&gt;"", OR(INDEX(ERP資料!$F:$F, (MATCH(979, 輔助計算!$F$2:$F$801, 0)+1))=270, INDEX(ERP資料!$F:$F, (MATCH(979, 輔助計算!$F$2:$F$801, 0)+1))=300)), "100張", ""), "")</f>
        <v/>
      </c>
      <c r="M980" s="17" t="n"/>
      <c r="N980" s="17">
        <f>IF($F980="","",$F980)</f>
        <v/>
      </c>
      <c r="O980" s="17">
        <f>IF($G980="","",$G980)</f>
        <v/>
      </c>
      <c r="P980" s="17">
        <f>IF($K980="","",$K980)</f>
        <v/>
      </c>
      <c r="Q980" s="16" t="n"/>
      <c r="R980" s="18" t="n"/>
      <c r="S980" s="16" t="n"/>
    </row>
    <row r="981">
      <c r="A981" s="14">
        <f>IFERROR(IF(AND(IFERROR(INDEX(ERP資料!$A:$A, (MATCH(980, 輔助計算!$F$2:$F$801, 0)+1)), "")&lt;&gt;"", IFERROR(INDEX(ERP資料!$A:$A, (MATCH(980, 輔助計算!$F$2:$F$801, 0)+1)), "")&lt;&gt;IFERROR(INDEX(ERP資料!$A:$A, MATCH(979, 輔助計算!$F$2:$F$801, 0)+1), "")), INDEX(ERP資料!$B:$B, (MATCH(980, 輔助計算!$F$2:$F$801, 0)+1)), ""), "")</f>
        <v/>
      </c>
      <c r="B981" s="10">
        <f>IFERROR(IF(AND(IFERROR(INDEX(ERP資料!$A:$A, (MATCH(980, 輔助計算!$F$2:$F$801, 0)+1)), "")&lt;&gt;"", IFERROR(INDEX(ERP資料!$A:$A, (MATCH(980, 輔助計算!$F$2:$F$801, 0)+1)), "")&lt;&gt;IFERROR(INDEX(ERP資料!$A:$A, MATCH(979, 輔助計算!$F$2:$F$801, 0)+1), "")), IFERROR(INDEX(ERP資料!$A:$A, (MATCH(980, 輔助計算!$F$2:$F$801, 0)+1)), ""), ""), "")</f>
        <v/>
      </c>
      <c r="C981" s="10">
        <f>IFERROR(IF(AND(IFERROR(INDEX(ERP資料!$A:$A, (MATCH(980, 輔助計算!$F$2:$F$801, 0)+1)), "")&lt;&gt;"", IFERROR(INDEX(ERP資料!$A:$A, (MATCH(980, 輔助計算!$F$2:$F$801, 0)+1)), "")&lt;&gt;IFERROR(INDEX(ERP資料!$A:$A, MATCH(979, 輔助計算!$F$2:$F$801, 0)+1), "")), INDEX(ERP資料!$S:$S, (MATCH(980, 輔助計算!$F$2:$F$801, 0)+1)), ""), "")</f>
        <v/>
      </c>
      <c r="D981" s="10">
        <f>IFERROR(IF(INDEX(ERP資料!$E:$E, (MATCH(980, 輔助計算!$F$2:$F$801, 0)+1))="","",TRIM(INDEX(ERP資料!$E:$E, (MATCH(980, 輔助計算!$F$2:$F$801, 0)+1)))), "")</f>
        <v/>
      </c>
      <c r="E981" s="10">
        <f>IFERROR(IF(INDEX(ERP資料!$F:$F, (MATCH(980, 輔助計算!$F$2:$F$801, 0)+1))="","",INDEX(ERP資料!$F:$F, (MATCH(980, 輔助計算!$F$2:$F$801, 0)+1))), "")</f>
        <v/>
      </c>
      <c r="F981" s="10">
        <f>IFERROR(IF(INDEX(ERP資料!$G:$G, (MATCH(980, 輔助計算!$F$2:$F$801, 0)+1))="","",INDEX(ERP資料!$G:$G, (MATCH(980, 輔助計算!$F$2:$F$801, 0)+1))), "")</f>
        <v/>
      </c>
      <c r="G981" s="10">
        <f>IFERROR(IF(INDEX(ERP資料!$H:$H, (MATCH(980, 輔助計算!$F$2:$F$801, 0)+1))="","",INDEX(ERP資料!$H:$H, (MATCH(980, 輔助計算!$F$2:$F$801, 0)+1))), "")</f>
        <v/>
      </c>
      <c r="H981" s="10">
        <f>IFERROR(IF(INDEX(ERP資料!$O:$O, (MATCH(980, 輔助計算!$F$2:$F$801, 0)+1))="","",INDEX(ERP資料!$O:$O, (MATCH(980, 輔助計算!$F$2:$F$801, 0)+1))), "")</f>
        <v/>
      </c>
      <c r="I981" s="15">
        <f>IFERROR(IF(INDEX(輔助計算!$D:$D,(MATCH(980, 輔助計算!$F$2:$F$801, 0)+1))="","",INDEX(輔助計算!$D:$D,(MATCH(980, 輔助計算!$F$2:$F$801, 0)+1))*INDEX(ERP資料!$O:$O,(MATCH(980, 輔助計算!$F$2:$F$801, 0)+1))), "")</f>
        <v/>
      </c>
      <c r="J981" s="16" t="n"/>
      <c r="K981" s="15">
        <f>IFERROR(INDEX(輔助計算!$D:$D, (MATCH(980, 輔助計算!$F$2:$F$801, 0)+1)), "")</f>
        <v/>
      </c>
      <c r="L981" s="16">
        <f>IFERROR(IF(AND(IFERROR(VLOOKUP(LEFT(INDEX(ERP資料!$S:$S, (MATCH(980, 輔助計算!$F$2:$F$801, 0)+1)), 4), 100張客戶!$A:$A, 1, FALSE), "")&lt;&gt;"", OR(INDEX(ERP資料!$F:$F, (MATCH(980, 輔助計算!$F$2:$F$801, 0)+1))=270, INDEX(ERP資料!$F:$F, (MATCH(980, 輔助計算!$F$2:$F$801, 0)+1))=300)), "100張", ""), "")</f>
        <v/>
      </c>
      <c r="M981" s="17" t="n"/>
      <c r="N981" s="17">
        <f>IF($F981="","",$F981)</f>
        <v/>
      </c>
      <c r="O981" s="17">
        <f>IF($G981="","",$G981)</f>
        <v/>
      </c>
      <c r="P981" s="17">
        <f>IF($K981="","",$K981)</f>
        <v/>
      </c>
      <c r="Q981" s="16" t="n"/>
      <c r="R981" s="18" t="n"/>
      <c r="S981" s="16" t="n"/>
    </row>
    <row r="982">
      <c r="A982" s="14">
        <f>IFERROR(IF(AND(IFERROR(INDEX(ERP資料!$A:$A, (MATCH(981, 輔助計算!$F$2:$F$801, 0)+1)), "")&lt;&gt;"", IFERROR(INDEX(ERP資料!$A:$A, (MATCH(981, 輔助計算!$F$2:$F$801, 0)+1)), "")&lt;&gt;IFERROR(INDEX(ERP資料!$A:$A, MATCH(980, 輔助計算!$F$2:$F$801, 0)+1), "")), INDEX(ERP資料!$B:$B, (MATCH(981, 輔助計算!$F$2:$F$801, 0)+1)), ""), "")</f>
        <v/>
      </c>
      <c r="B982" s="10">
        <f>IFERROR(IF(AND(IFERROR(INDEX(ERP資料!$A:$A, (MATCH(981, 輔助計算!$F$2:$F$801, 0)+1)), "")&lt;&gt;"", IFERROR(INDEX(ERP資料!$A:$A, (MATCH(981, 輔助計算!$F$2:$F$801, 0)+1)), "")&lt;&gt;IFERROR(INDEX(ERP資料!$A:$A, MATCH(980, 輔助計算!$F$2:$F$801, 0)+1), "")), IFERROR(INDEX(ERP資料!$A:$A, (MATCH(981, 輔助計算!$F$2:$F$801, 0)+1)), ""), ""), "")</f>
        <v/>
      </c>
      <c r="C982" s="10">
        <f>IFERROR(IF(AND(IFERROR(INDEX(ERP資料!$A:$A, (MATCH(981, 輔助計算!$F$2:$F$801, 0)+1)), "")&lt;&gt;"", IFERROR(INDEX(ERP資料!$A:$A, (MATCH(981, 輔助計算!$F$2:$F$801, 0)+1)), "")&lt;&gt;IFERROR(INDEX(ERP資料!$A:$A, MATCH(980, 輔助計算!$F$2:$F$801, 0)+1), "")), INDEX(ERP資料!$S:$S, (MATCH(981, 輔助計算!$F$2:$F$801, 0)+1)), ""), "")</f>
        <v/>
      </c>
      <c r="D982" s="10">
        <f>IFERROR(IF(INDEX(ERP資料!$E:$E, (MATCH(981, 輔助計算!$F$2:$F$801, 0)+1))="","",TRIM(INDEX(ERP資料!$E:$E, (MATCH(981, 輔助計算!$F$2:$F$801, 0)+1)))), "")</f>
        <v/>
      </c>
      <c r="E982" s="10">
        <f>IFERROR(IF(INDEX(ERP資料!$F:$F, (MATCH(981, 輔助計算!$F$2:$F$801, 0)+1))="","",INDEX(ERP資料!$F:$F, (MATCH(981, 輔助計算!$F$2:$F$801, 0)+1))), "")</f>
        <v/>
      </c>
      <c r="F982" s="10">
        <f>IFERROR(IF(INDEX(ERP資料!$G:$G, (MATCH(981, 輔助計算!$F$2:$F$801, 0)+1))="","",INDEX(ERP資料!$G:$G, (MATCH(981, 輔助計算!$F$2:$F$801, 0)+1))), "")</f>
        <v/>
      </c>
      <c r="G982" s="10">
        <f>IFERROR(IF(INDEX(ERP資料!$H:$H, (MATCH(981, 輔助計算!$F$2:$F$801, 0)+1))="","",INDEX(ERP資料!$H:$H, (MATCH(981, 輔助計算!$F$2:$F$801, 0)+1))), "")</f>
        <v/>
      </c>
      <c r="H982" s="10">
        <f>IFERROR(IF(INDEX(ERP資料!$O:$O, (MATCH(981, 輔助計算!$F$2:$F$801, 0)+1))="","",INDEX(ERP資料!$O:$O, (MATCH(981, 輔助計算!$F$2:$F$801, 0)+1))), "")</f>
        <v/>
      </c>
      <c r="I982" s="15">
        <f>IFERROR(IF(INDEX(輔助計算!$D:$D,(MATCH(981, 輔助計算!$F$2:$F$801, 0)+1))="","",INDEX(輔助計算!$D:$D,(MATCH(981, 輔助計算!$F$2:$F$801, 0)+1))*INDEX(ERP資料!$O:$O,(MATCH(981, 輔助計算!$F$2:$F$801, 0)+1))), "")</f>
        <v/>
      </c>
      <c r="J982" s="16" t="n"/>
      <c r="K982" s="15">
        <f>IFERROR(INDEX(輔助計算!$D:$D, (MATCH(981, 輔助計算!$F$2:$F$801, 0)+1)), "")</f>
        <v/>
      </c>
      <c r="L982" s="16">
        <f>IFERROR(IF(AND(IFERROR(VLOOKUP(LEFT(INDEX(ERP資料!$S:$S, (MATCH(981, 輔助計算!$F$2:$F$801, 0)+1)), 4), 100張客戶!$A:$A, 1, FALSE), "")&lt;&gt;"", OR(INDEX(ERP資料!$F:$F, (MATCH(981, 輔助計算!$F$2:$F$801, 0)+1))=270, INDEX(ERP資料!$F:$F, (MATCH(981, 輔助計算!$F$2:$F$801, 0)+1))=300)), "100張", ""), "")</f>
        <v/>
      </c>
      <c r="M982" s="17" t="n"/>
      <c r="N982" s="17">
        <f>IF($F982="","",$F982)</f>
        <v/>
      </c>
      <c r="O982" s="17">
        <f>IF($G982="","",$G982)</f>
        <v/>
      </c>
      <c r="P982" s="17">
        <f>IF($K982="","",$K982)</f>
        <v/>
      </c>
      <c r="Q982" s="16" t="n"/>
      <c r="R982" s="18" t="n"/>
      <c r="S982" s="16" t="n"/>
    </row>
    <row r="983">
      <c r="A983" s="14">
        <f>IFERROR(IF(AND(IFERROR(INDEX(ERP資料!$A:$A, (MATCH(982, 輔助計算!$F$2:$F$801, 0)+1)), "")&lt;&gt;"", IFERROR(INDEX(ERP資料!$A:$A, (MATCH(982, 輔助計算!$F$2:$F$801, 0)+1)), "")&lt;&gt;IFERROR(INDEX(ERP資料!$A:$A, MATCH(981, 輔助計算!$F$2:$F$801, 0)+1), "")), INDEX(ERP資料!$B:$B, (MATCH(982, 輔助計算!$F$2:$F$801, 0)+1)), ""), "")</f>
        <v/>
      </c>
      <c r="B983" s="10">
        <f>IFERROR(IF(AND(IFERROR(INDEX(ERP資料!$A:$A, (MATCH(982, 輔助計算!$F$2:$F$801, 0)+1)), "")&lt;&gt;"", IFERROR(INDEX(ERP資料!$A:$A, (MATCH(982, 輔助計算!$F$2:$F$801, 0)+1)), "")&lt;&gt;IFERROR(INDEX(ERP資料!$A:$A, MATCH(981, 輔助計算!$F$2:$F$801, 0)+1), "")), IFERROR(INDEX(ERP資料!$A:$A, (MATCH(982, 輔助計算!$F$2:$F$801, 0)+1)), ""), ""), "")</f>
        <v/>
      </c>
      <c r="C983" s="10">
        <f>IFERROR(IF(AND(IFERROR(INDEX(ERP資料!$A:$A, (MATCH(982, 輔助計算!$F$2:$F$801, 0)+1)), "")&lt;&gt;"", IFERROR(INDEX(ERP資料!$A:$A, (MATCH(982, 輔助計算!$F$2:$F$801, 0)+1)), "")&lt;&gt;IFERROR(INDEX(ERP資料!$A:$A, MATCH(981, 輔助計算!$F$2:$F$801, 0)+1), "")), INDEX(ERP資料!$S:$S, (MATCH(982, 輔助計算!$F$2:$F$801, 0)+1)), ""), "")</f>
        <v/>
      </c>
      <c r="D983" s="10">
        <f>IFERROR(IF(INDEX(ERP資料!$E:$E, (MATCH(982, 輔助計算!$F$2:$F$801, 0)+1))="","",TRIM(INDEX(ERP資料!$E:$E, (MATCH(982, 輔助計算!$F$2:$F$801, 0)+1)))), "")</f>
        <v/>
      </c>
      <c r="E983" s="10">
        <f>IFERROR(IF(INDEX(ERP資料!$F:$F, (MATCH(982, 輔助計算!$F$2:$F$801, 0)+1))="","",INDEX(ERP資料!$F:$F, (MATCH(982, 輔助計算!$F$2:$F$801, 0)+1))), "")</f>
        <v/>
      </c>
      <c r="F983" s="10">
        <f>IFERROR(IF(INDEX(ERP資料!$G:$G, (MATCH(982, 輔助計算!$F$2:$F$801, 0)+1))="","",INDEX(ERP資料!$G:$G, (MATCH(982, 輔助計算!$F$2:$F$801, 0)+1))), "")</f>
        <v/>
      </c>
      <c r="G983" s="10">
        <f>IFERROR(IF(INDEX(ERP資料!$H:$H, (MATCH(982, 輔助計算!$F$2:$F$801, 0)+1))="","",INDEX(ERP資料!$H:$H, (MATCH(982, 輔助計算!$F$2:$F$801, 0)+1))), "")</f>
        <v/>
      </c>
      <c r="H983" s="10">
        <f>IFERROR(IF(INDEX(ERP資料!$O:$O, (MATCH(982, 輔助計算!$F$2:$F$801, 0)+1))="","",INDEX(ERP資料!$O:$O, (MATCH(982, 輔助計算!$F$2:$F$801, 0)+1))), "")</f>
        <v/>
      </c>
      <c r="I983" s="15">
        <f>IFERROR(IF(INDEX(輔助計算!$D:$D,(MATCH(982, 輔助計算!$F$2:$F$801, 0)+1))="","",INDEX(輔助計算!$D:$D,(MATCH(982, 輔助計算!$F$2:$F$801, 0)+1))*INDEX(ERP資料!$O:$O,(MATCH(982, 輔助計算!$F$2:$F$801, 0)+1))), "")</f>
        <v/>
      </c>
      <c r="J983" s="16" t="n"/>
      <c r="K983" s="15">
        <f>IFERROR(INDEX(輔助計算!$D:$D, (MATCH(982, 輔助計算!$F$2:$F$801, 0)+1)), "")</f>
        <v/>
      </c>
      <c r="L983" s="16">
        <f>IFERROR(IF(AND(IFERROR(VLOOKUP(LEFT(INDEX(ERP資料!$S:$S, (MATCH(982, 輔助計算!$F$2:$F$801, 0)+1)), 4), 100張客戶!$A:$A, 1, FALSE), "")&lt;&gt;"", OR(INDEX(ERP資料!$F:$F, (MATCH(982, 輔助計算!$F$2:$F$801, 0)+1))=270, INDEX(ERP資料!$F:$F, (MATCH(982, 輔助計算!$F$2:$F$801, 0)+1))=300)), "100張", ""), "")</f>
        <v/>
      </c>
      <c r="M983" s="17" t="n"/>
      <c r="N983" s="17">
        <f>IF($F983="","",$F983)</f>
        <v/>
      </c>
      <c r="O983" s="17">
        <f>IF($G983="","",$G983)</f>
        <v/>
      </c>
      <c r="P983" s="17">
        <f>IF($K983="","",$K983)</f>
        <v/>
      </c>
      <c r="Q983" s="16" t="n"/>
      <c r="R983" s="18" t="n"/>
      <c r="S983" s="16" t="n"/>
    </row>
    <row r="984">
      <c r="A984" s="14">
        <f>IFERROR(IF(AND(IFERROR(INDEX(ERP資料!$A:$A, (MATCH(983, 輔助計算!$F$2:$F$801, 0)+1)), "")&lt;&gt;"", IFERROR(INDEX(ERP資料!$A:$A, (MATCH(983, 輔助計算!$F$2:$F$801, 0)+1)), "")&lt;&gt;IFERROR(INDEX(ERP資料!$A:$A, MATCH(982, 輔助計算!$F$2:$F$801, 0)+1), "")), INDEX(ERP資料!$B:$B, (MATCH(983, 輔助計算!$F$2:$F$801, 0)+1)), ""), "")</f>
        <v/>
      </c>
      <c r="B984" s="10">
        <f>IFERROR(IF(AND(IFERROR(INDEX(ERP資料!$A:$A, (MATCH(983, 輔助計算!$F$2:$F$801, 0)+1)), "")&lt;&gt;"", IFERROR(INDEX(ERP資料!$A:$A, (MATCH(983, 輔助計算!$F$2:$F$801, 0)+1)), "")&lt;&gt;IFERROR(INDEX(ERP資料!$A:$A, MATCH(982, 輔助計算!$F$2:$F$801, 0)+1), "")), IFERROR(INDEX(ERP資料!$A:$A, (MATCH(983, 輔助計算!$F$2:$F$801, 0)+1)), ""), ""), "")</f>
        <v/>
      </c>
      <c r="C984" s="10">
        <f>IFERROR(IF(AND(IFERROR(INDEX(ERP資料!$A:$A, (MATCH(983, 輔助計算!$F$2:$F$801, 0)+1)), "")&lt;&gt;"", IFERROR(INDEX(ERP資料!$A:$A, (MATCH(983, 輔助計算!$F$2:$F$801, 0)+1)), "")&lt;&gt;IFERROR(INDEX(ERP資料!$A:$A, MATCH(982, 輔助計算!$F$2:$F$801, 0)+1), "")), INDEX(ERP資料!$S:$S, (MATCH(983, 輔助計算!$F$2:$F$801, 0)+1)), ""), "")</f>
        <v/>
      </c>
      <c r="D984" s="10">
        <f>IFERROR(IF(INDEX(ERP資料!$E:$E, (MATCH(983, 輔助計算!$F$2:$F$801, 0)+1))="","",TRIM(INDEX(ERP資料!$E:$E, (MATCH(983, 輔助計算!$F$2:$F$801, 0)+1)))), "")</f>
        <v/>
      </c>
      <c r="E984" s="10">
        <f>IFERROR(IF(INDEX(ERP資料!$F:$F, (MATCH(983, 輔助計算!$F$2:$F$801, 0)+1))="","",INDEX(ERP資料!$F:$F, (MATCH(983, 輔助計算!$F$2:$F$801, 0)+1))), "")</f>
        <v/>
      </c>
      <c r="F984" s="10">
        <f>IFERROR(IF(INDEX(ERP資料!$G:$G, (MATCH(983, 輔助計算!$F$2:$F$801, 0)+1))="","",INDEX(ERP資料!$G:$G, (MATCH(983, 輔助計算!$F$2:$F$801, 0)+1))), "")</f>
        <v/>
      </c>
      <c r="G984" s="10">
        <f>IFERROR(IF(INDEX(ERP資料!$H:$H, (MATCH(983, 輔助計算!$F$2:$F$801, 0)+1))="","",INDEX(ERP資料!$H:$H, (MATCH(983, 輔助計算!$F$2:$F$801, 0)+1))), "")</f>
        <v/>
      </c>
      <c r="H984" s="10">
        <f>IFERROR(IF(INDEX(ERP資料!$O:$O, (MATCH(983, 輔助計算!$F$2:$F$801, 0)+1))="","",INDEX(ERP資料!$O:$O, (MATCH(983, 輔助計算!$F$2:$F$801, 0)+1))), "")</f>
        <v/>
      </c>
      <c r="I984" s="15">
        <f>IFERROR(IF(INDEX(輔助計算!$D:$D,(MATCH(983, 輔助計算!$F$2:$F$801, 0)+1))="","",INDEX(輔助計算!$D:$D,(MATCH(983, 輔助計算!$F$2:$F$801, 0)+1))*INDEX(ERP資料!$O:$O,(MATCH(983, 輔助計算!$F$2:$F$801, 0)+1))), "")</f>
        <v/>
      </c>
      <c r="J984" s="16" t="n"/>
      <c r="K984" s="15">
        <f>IFERROR(INDEX(輔助計算!$D:$D, (MATCH(983, 輔助計算!$F$2:$F$801, 0)+1)), "")</f>
        <v/>
      </c>
      <c r="L984" s="16">
        <f>IFERROR(IF(AND(IFERROR(VLOOKUP(LEFT(INDEX(ERP資料!$S:$S, (MATCH(983, 輔助計算!$F$2:$F$801, 0)+1)), 4), 100張客戶!$A:$A, 1, FALSE), "")&lt;&gt;"", OR(INDEX(ERP資料!$F:$F, (MATCH(983, 輔助計算!$F$2:$F$801, 0)+1))=270, INDEX(ERP資料!$F:$F, (MATCH(983, 輔助計算!$F$2:$F$801, 0)+1))=300)), "100張", ""), "")</f>
        <v/>
      </c>
      <c r="M984" s="17" t="n"/>
      <c r="N984" s="17">
        <f>IF($F984="","",$F984)</f>
        <v/>
      </c>
      <c r="O984" s="17">
        <f>IF($G984="","",$G984)</f>
        <v/>
      </c>
      <c r="P984" s="17">
        <f>IF($K984="","",$K984)</f>
        <v/>
      </c>
      <c r="Q984" s="16" t="n"/>
      <c r="R984" s="18" t="n"/>
      <c r="S984" s="16" t="n"/>
    </row>
    <row r="985">
      <c r="A985" s="14">
        <f>IFERROR(IF(AND(IFERROR(INDEX(ERP資料!$A:$A, (MATCH(984, 輔助計算!$F$2:$F$801, 0)+1)), "")&lt;&gt;"", IFERROR(INDEX(ERP資料!$A:$A, (MATCH(984, 輔助計算!$F$2:$F$801, 0)+1)), "")&lt;&gt;IFERROR(INDEX(ERP資料!$A:$A, MATCH(983, 輔助計算!$F$2:$F$801, 0)+1), "")), INDEX(ERP資料!$B:$B, (MATCH(984, 輔助計算!$F$2:$F$801, 0)+1)), ""), "")</f>
        <v/>
      </c>
      <c r="B985" s="10">
        <f>IFERROR(IF(AND(IFERROR(INDEX(ERP資料!$A:$A, (MATCH(984, 輔助計算!$F$2:$F$801, 0)+1)), "")&lt;&gt;"", IFERROR(INDEX(ERP資料!$A:$A, (MATCH(984, 輔助計算!$F$2:$F$801, 0)+1)), "")&lt;&gt;IFERROR(INDEX(ERP資料!$A:$A, MATCH(983, 輔助計算!$F$2:$F$801, 0)+1), "")), IFERROR(INDEX(ERP資料!$A:$A, (MATCH(984, 輔助計算!$F$2:$F$801, 0)+1)), ""), ""), "")</f>
        <v/>
      </c>
      <c r="C985" s="10">
        <f>IFERROR(IF(AND(IFERROR(INDEX(ERP資料!$A:$A, (MATCH(984, 輔助計算!$F$2:$F$801, 0)+1)), "")&lt;&gt;"", IFERROR(INDEX(ERP資料!$A:$A, (MATCH(984, 輔助計算!$F$2:$F$801, 0)+1)), "")&lt;&gt;IFERROR(INDEX(ERP資料!$A:$A, MATCH(983, 輔助計算!$F$2:$F$801, 0)+1), "")), INDEX(ERP資料!$S:$S, (MATCH(984, 輔助計算!$F$2:$F$801, 0)+1)), ""), "")</f>
        <v/>
      </c>
      <c r="D985" s="10">
        <f>IFERROR(IF(INDEX(ERP資料!$E:$E, (MATCH(984, 輔助計算!$F$2:$F$801, 0)+1))="","",TRIM(INDEX(ERP資料!$E:$E, (MATCH(984, 輔助計算!$F$2:$F$801, 0)+1)))), "")</f>
        <v/>
      </c>
      <c r="E985" s="10">
        <f>IFERROR(IF(INDEX(ERP資料!$F:$F, (MATCH(984, 輔助計算!$F$2:$F$801, 0)+1))="","",INDEX(ERP資料!$F:$F, (MATCH(984, 輔助計算!$F$2:$F$801, 0)+1))), "")</f>
        <v/>
      </c>
      <c r="F985" s="10">
        <f>IFERROR(IF(INDEX(ERP資料!$G:$G, (MATCH(984, 輔助計算!$F$2:$F$801, 0)+1))="","",INDEX(ERP資料!$G:$G, (MATCH(984, 輔助計算!$F$2:$F$801, 0)+1))), "")</f>
        <v/>
      </c>
      <c r="G985" s="10">
        <f>IFERROR(IF(INDEX(ERP資料!$H:$H, (MATCH(984, 輔助計算!$F$2:$F$801, 0)+1))="","",INDEX(ERP資料!$H:$H, (MATCH(984, 輔助計算!$F$2:$F$801, 0)+1))), "")</f>
        <v/>
      </c>
      <c r="H985" s="10">
        <f>IFERROR(IF(INDEX(ERP資料!$O:$O, (MATCH(984, 輔助計算!$F$2:$F$801, 0)+1))="","",INDEX(ERP資料!$O:$O, (MATCH(984, 輔助計算!$F$2:$F$801, 0)+1))), "")</f>
        <v/>
      </c>
      <c r="I985" s="15">
        <f>IFERROR(IF(INDEX(輔助計算!$D:$D,(MATCH(984, 輔助計算!$F$2:$F$801, 0)+1))="","",INDEX(輔助計算!$D:$D,(MATCH(984, 輔助計算!$F$2:$F$801, 0)+1))*INDEX(ERP資料!$O:$O,(MATCH(984, 輔助計算!$F$2:$F$801, 0)+1))), "")</f>
        <v/>
      </c>
      <c r="J985" s="16" t="n"/>
      <c r="K985" s="15">
        <f>IFERROR(INDEX(輔助計算!$D:$D, (MATCH(984, 輔助計算!$F$2:$F$801, 0)+1)), "")</f>
        <v/>
      </c>
      <c r="L985" s="16">
        <f>IFERROR(IF(AND(IFERROR(VLOOKUP(LEFT(INDEX(ERP資料!$S:$S, (MATCH(984, 輔助計算!$F$2:$F$801, 0)+1)), 4), 100張客戶!$A:$A, 1, FALSE), "")&lt;&gt;"", OR(INDEX(ERP資料!$F:$F, (MATCH(984, 輔助計算!$F$2:$F$801, 0)+1))=270, INDEX(ERP資料!$F:$F, (MATCH(984, 輔助計算!$F$2:$F$801, 0)+1))=300)), "100張", ""), "")</f>
        <v/>
      </c>
      <c r="M985" s="17" t="n"/>
      <c r="N985" s="17">
        <f>IF($F985="","",$F985)</f>
        <v/>
      </c>
      <c r="O985" s="17">
        <f>IF($G985="","",$G985)</f>
        <v/>
      </c>
      <c r="P985" s="17">
        <f>IF($K985="","",$K985)</f>
        <v/>
      </c>
      <c r="Q985" s="16" t="n"/>
      <c r="R985" s="18" t="n"/>
      <c r="S985" s="16" t="n"/>
    </row>
    <row r="986">
      <c r="A986" s="14">
        <f>IFERROR(IF(AND(IFERROR(INDEX(ERP資料!$A:$A, (MATCH(985, 輔助計算!$F$2:$F$801, 0)+1)), "")&lt;&gt;"", IFERROR(INDEX(ERP資料!$A:$A, (MATCH(985, 輔助計算!$F$2:$F$801, 0)+1)), "")&lt;&gt;IFERROR(INDEX(ERP資料!$A:$A, MATCH(984, 輔助計算!$F$2:$F$801, 0)+1), "")), INDEX(ERP資料!$B:$B, (MATCH(985, 輔助計算!$F$2:$F$801, 0)+1)), ""), "")</f>
        <v/>
      </c>
      <c r="B986" s="10">
        <f>IFERROR(IF(AND(IFERROR(INDEX(ERP資料!$A:$A, (MATCH(985, 輔助計算!$F$2:$F$801, 0)+1)), "")&lt;&gt;"", IFERROR(INDEX(ERP資料!$A:$A, (MATCH(985, 輔助計算!$F$2:$F$801, 0)+1)), "")&lt;&gt;IFERROR(INDEX(ERP資料!$A:$A, MATCH(984, 輔助計算!$F$2:$F$801, 0)+1), "")), IFERROR(INDEX(ERP資料!$A:$A, (MATCH(985, 輔助計算!$F$2:$F$801, 0)+1)), ""), ""), "")</f>
        <v/>
      </c>
      <c r="C986" s="10">
        <f>IFERROR(IF(AND(IFERROR(INDEX(ERP資料!$A:$A, (MATCH(985, 輔助計算!$F$2:$F$801, 0)+1)), "")&lt;&gt;"", IFERROR(INDEX(ERP資料!$A:$A, (MATCH(985, 輔助計算!$F$2:$F$801, 0)+1)), "")&lt;&gt;IFERROR(INDEX(ERP資料!$A:$A, MATCH(984, 輔助計算!$F$2:$F$801, 0)+1), "")), INDEX(ERP資料!$S:$S, (MATCH(985, 輔助計算!$F$2:$F$801, 0)+1)), ""), "")</f>
        <v/>
      </c>
      <c r="D986" s="10">
        <f>IFERROR(IF(INDEX(ERP資料!$E:$E, (MATCH(985, 輔助計算!$F$2:$F$801, 0)+1))="","",TRIM(INDEX(ERP資料!$E:$E, (MATCH(985, 輔助計算!$F$2:$F$801, 0)+1)))), "")</f>
        <v/>
      </c>
      <c r="E986" s="10">
        <f>IFERROR(IF(INDEX(ERP資料!$F:$F, (MATCH(985, 輔助計算!$F$2:$F$801, 0)+1))="","",INDEX(ERP資料!$F:$F, (MATCH(985, 輔助計算!$F$2:$F$801, 0)+1))), "")</f>
        <v/>
      </c>
      <c r="F986" s="10">
        <f>IFERROR(IF(INDEX(ERP資料!$G:$G, (MATCH(985, 輔助計算!$F$2:$F$801, 0)+1))="","",INDEX(ERP資料!$G:$G, (MATCH(985, 輔助計算!$F$2:$F$801, 0)+1))), "")</f>
        <v/>
      </c>
      <c r="G986" s="10">
        <f>IFERROR(IF(INDEX(ERP資料!$H:$H, (MATCH(985, 輔助計算!$F$2:$F$801, 0)+1))="","",INDEX(ERP資料!$H:$H, (MATCH(985, 輔助計算!$F$2:$F$801, 0)+1))), "")</f>
        <v/>
      </c>
      <c r="H986" s="10">
        <f>IFERROR(IF(INDEX(ERP資料!$O:$O, (MATCH(985, 輔助計算!$F$2:$F$801, 0)+1))="","",INDEX(ERP資料!$O:$O, (MATCH(985, 輔助計算!$F$2:$F$801, 0)+1))), "")</f>
        <v/>
      </c>
      <c r="I986" s="15">
        <f>IFERROR(IF(INDEX(輔助計算!$D:$D,(MATCH(985, 輔助計算!$F$2:$F$801, 0)+1))="","",INDEX(輔助計算!$D:$D,(MATCH(985, 輔助計算!$F$2:$F$801, 0)+1))*INDEX(ERP資料!$O:$O,(MATCH(985, 輔助計算!$F$2:$F$801, 0)+1))), "")</f>
        <v/>
      </c>
      <c r="J986" s="16" t="n"/>
      <c r="K986" s="15">
        <f>IFERROR(INDEX(輔助計算!$D:$D, (MATCH(985, 輔助計算!$F$2:$F$801, 0)+1)), "")</f>
        <v/>
      </c>
      <c r="L986" s="16">
        <f>IFERROR(IF(AND(IFERROR(VLOOKUP(LEFT(INDEX(ERP資料!$S:$S, (MATCH(985, 輔助計算!$F$2:$F$801, 0)+1)), 4), 100張客戶!$A:$A, 1, FALSE), "")&lt;&gt;"", OR(INDEX(ERP資料!$F:$F, (MATCH(985, 輔助計算!$F$2:$F$801, 0)+1))=270, INDEX(ERP資料!$F:$F, (MATCH(985, 輔助計算!$F$2:$F$801, 0)+1))=300)), "100張", ""), "")</f>
        <v/>
      </c>
      <c r="M986" s="17" t="n"/>
      <c r="N986" s="17">
        <f>IF($F986="","",$F986)</f>
        <v/>
      </c>
      <c r="O986" s="17">
        <f>IF($G986="","",$G986)</f>
        <v/>
      </c>
      <c r="P986" s="17">
        <f>IF($K986="","",$K986)</f>
        <v/>
      </c>
      <c r="Q986" s="16" t="n"/>
      <c r="R986" s="18" t="n"/>
      <c r="S986" s="16" t="n"/>
    </row>
    <row r="987">
      <c r="A987" s="14">
        <f>IFERROR(IF(AND(IFERROR(INDEX(ERP資料!$A:$A, (MATCH(986, 輔助計算!$F$2:$F$801, 0)+1)), "")&lt;&gt;"", IFERROR(INDEX(ERP資料!$A:$A, (MATCH(986, 輔助計算!$F$2:$F$801, 0)+1)), "")&lt;&gt;IFERROR(INDEX(ERP資料!$A:$A, MATCH(985, 輔助計算!$F$2:$F$801, 0)+1), "")), INDEX(ERP資料!$B:$B, (MATCH(986, 輔助計算!$F$2:$F$801, 0)+1)), ""), "")</f>
        <v/>
      </c>
      <c r="B987" s="10">
        <f>IFERROR(IF(AND(IFERROR(INDEX(ERP資料!$A:$A, (MATCH(986, 輔助計算!$F$2:$F$801, 0)+1)), "")&lt;&gt;"", IFERROR(INDEX(ERP資料!$A:$A, (MATCH(986, 輔助計算!$F$2:$F$801, 0)+1)), "")&lt;&gt;IFERROR(INDEX(ERP資料!$A:$A, MATCH(985, 輔助計算!$F$2:$F$801, 0)+1), "")), IFERROR(INDEX(ERP資料!$A:$A, (MATCH(986, 輔助計算!$F$2:$F$801, 0)+1)), ""), ""), "")</f>
        <v/>
      </c>
      <c r="C987" s="10">
        <f>IFERROR(IF(AND(IFERROR(INDEX(ERP資料!$A:$A, (MATCH(986, 輔助計算!$F$2:$F$801, 0)+1)), "")&lt;&gt;"", IFERROR(INDEX(ERP資料!$A:$A, (MATCH(986, 輔助計算!$F$2:$F$801, 0)+1)), "")&lt;&gt;IFERROR(INDEX(ERP資料!$A:$A, MATCH(985, 輔助計算!$F$2:$F$801, 0)+1), "")), INDEX(ERP資料!$S:$S, (MATCH(986, 輔助計算!$F$2:$F$801, 0)+1)), ""), "")</f>
        <v/>
      </c>
      <c r="D987" s="10">
        <f>IFERROR(IF(INDEX(ERP資料!$E:$E, (MATCH(986, 輔助計算!$F$2:$F$801, 0)+1))="","",TRIM(INDEX(ERP資料!$E:$E, (MATCH(986, 輔助計算!$F$2:$F$801, 0)+1)))), "")</f>
        <v/>
      </c>
      <c r="E987" s="10">
        <f>IFERROR(IF(INDEX(ERP資料!$F:$F, (MATCH(986, 輔助計算!$F$2:$F$801, 0)+1))="","",INDEX(ERP資料!$F:$F, (MATCH(986, 輔助計算!$F$2:$F$801, 0)+1))), "")</f>
        <v/>
      </c>
      <c r="F987" s="10">
        <f>IFERROR(IF(INDEX(ERP資料!$G:$G, (MATCH(986, 輔助計算!$F$2:$F$801, 0)+1))="","",INDEX(ERP資料!$G:$G, (MATCH(986, 輔助計算!$F$2:$F$801, 0)+1))), "")</f>
        <v/>
      </c>
      <c r="G987" s="10">
        <f>IFERROR(IF(INDEX(ERP資料!$H:$H, (MATCH(986, 輔助計算!$F$2:$F$801, 0)+1))="","",INDEX(ERP資料!$H:$H, (MATCH(986, 輔助計算!$F$2:$F$801, 0)+1))), "")</f>
        <v/>
      </c>
      <c r="H987" s="10">
        <f>IFERROR(IF(INDEX(ERP資料!$O:$O, (MATCH(986, 輔助計算!$F$2:$F$801, 0)+1))="","",INDEX(ERP資料!$O:$O, (MATCH(986, 輔助計算!$F$2:$F$801, 0)+1))), "")</f>
        <v/>
      </c>
      <c r="I987" s="15">
        <f>IFERROR(IF(INDEX(輔助計算!$D:$D,(MATCH(986, 輔助計算!$F$2:$F$801, 0)+1))="","",INDEX(輔助計算!$D:$D,(MATCH(986, 輔助計算!$F$2:$F$801, 0)+1))*INDEX(ERP資料!$O:$O,(MATCH(986, 輔助計算!$F$2:$F$801, 0)+1))), "")</f>
        <v/>
      </c>
      <c r="J987" s="16" t="n"/>
      <c r="K987" s="15">
        <f>IFERROR(INDEX(輔助計算!$D:$D, (MATCH(986, 輔助計算!$F$2:$F$801, 0)+1)), "")</f>
        <v/>
      </c>
      <c r="L987" s="16">
        <f>IFERROR(IF(AND(IFERROR(VLOOKUP(LEFT(INDEX(ERP資料!$S:$S, (MATCH(986, 輔助計算!$F$2:$F$801, 0)+1)), 4), 100張客戶!$A:$A, 1, FALSE), "")&lt;&gt;"", OR(INDEX(ERP資料!$F:$F, (MATCH(986, 輔助計算!$F$2:$F$801, 0)+1))=270, INDEX(ERP資料!$F:$F, (MATCH(986, 輔助計算!$F$2:$F$801, 0)+1))=300)), "100張", ""), "")</f>
        <v/>
      </c>
      <c r="M987" s="17" t="n"/>
      <c r="N987" s="17">
        <f>IF($F987="","",$F987)</f>
        <v/>
      </c>
      <c r="O987" s="17">
        <f>IF($G987="","",$G987)</f>
        <v/>
      </c>
      <c r="P987" s="17">
        <f>IF($K987="","",$K987)</f>
        <v/>
      </c>
      <c r="Q987" s="16" t="n"/>
      <c r="R987" s="18" t="n"/>
      <c r="S987" s="16" t="n"/>
    </row>
    <row r="988">
      <c r="A988" s="14">
        <f>IFERROR(IF(AND(IFERROR(INDEX(ERP資料!$A:$A, (MATCH(987, 輔助計算!$F$2:$F$801, 0)+1)), "")&lt;&gt;"", IFERROR(INDEX(ERP資料!$A:$A, (MATCH(987, 輔助計算!$F$2:$F$801, 0)+1)), "")&lt;&gt;IFERROR(INDEX(ERP資料!$A:$A, MATCH(986, 輔助計算!$F$2:$F$801, 0)+1), "")), INDEX(ERP資料!$B:$B, (MATCH(987, 輔助計算!$F$2:$F$801, 0)+1)), ""), "")</f>
        <v/>
      </c>
      <c r="B988" s="10">
        <f>IFERROR(IF(AND(IFERROR(INDEX(ERP資料!$A:$A, (MATCH(987, 輔助計算!$F$2:$F$801, 0)+1)), "")&lt;&gt;"", IFERROR(INDEX(ERP資料!$A:$A, (MATCH(987, 輔助計算!$F$2:$F$801, 0)+1)), "")&lt;&gt;IFERROR(INDEX(ERP資料!$A:$A, MATCH(986, 輔助計算!$F$2:$F$801, 0)+1), "")), IFERROR(INDEX(ERP資料!$A:$A, (MATCH(987, 輔助計算!$F$2:$F$801, 0)+1)), ""), ""), "")</f>
        <v/>
      </c>
      <c r="C988" s="10">
        <f>IFERROR(IF(AND(IFERROR(INDEX(ERP資料!$A:$A, (MATCH(987, 輔助計算!$F$2:$F$801, 0)+1)), "")&lt;&gt;"", IFERROR(INDEX(ERP資料!$A:$A, (MATCH(987, 輔助計算!$F$2:$F$801, 0)+1)), "")&lt;&gt;IFERROR(INDEX(ERP資料!$A:$A, MATCH(986, 輔助計算!$F$2:$F$801, 0)+1), "")), INDEX(ERP資料!$S:$S, (MATCH(987, 輔助計算!$F$2:$F$801, 0)+1)), ""), "")</f>
        <v/>
      </c>
      <c r="D988" s="10">
        <f>IFERROR(IF(INDEX(ERP資料!$E:$E, (MATCH(987, 輔助計算!$F$2:$F$801, 0)+1))="","",TRIM(INDEX(ERP資料!$E:$E, (MATCH(987, 輔助計算!$F$2:$F$801, 0)+1)))), "")</f>
        <v/>
      </c>
      <c r="E988" s="10">
        <f>IFERROR(IF(INDEX(ERP資料!$F:$F, (MATCH(987, 輔助計算!$F$2:$F$801, 0)+1))="","",INDEX(ERP資料!$F:$F, (MATCH(987, 輔助計算!$F$2:$F$801, 0)+1))), "")</f>
        <v/>
      </c>
      <c r="F988" s="10">
        <f>IFERROR(IF(INDEX(ERP資料!$G:$G, (MATCH(987, 輔助計算!$F$2:$F$801, 0)+1))="","",INDEX(ERP資料!$G:$G, (MATCH(987, 輔助計算!$F$2:$F$801, 0)+1))), "")</f>
        <v/>
      </c>
      <c r="G988" s="10">
        <f>IFERROR(IF(INDEX(ERP資料!$H:$H, (MATCH(987, 輔助計算!$F$2:$F$801, 0)+1))="","",INDEX(ERP資料!$H:$H, (MATCH(987, 輔助計算!$F$2:$F$801, 0)+1))), "")</f>
        <v/>
      </c>
      <c r="H988" s="10">
        <f>IFERROR(IF(INDEX(ERP資料!$O:$O, (MATCH(987, 輔助計算!$F$2:$F$801, 0)+1))="","",INDEX(ERP資料!$O:$O, (MATCH(987, 輔助計算!$F$2:$F$801, 0)+1))), "")</f>
        <v/>
      </c>
      <c r="I988" s="15">
        <f>IFERROR(IF(INDEX(輔助計算!$D:$D,(MATCH(987, 輔助計算!$F$2:$F$801, 0)+1))="","",INDEX(輔助計算!$D:$D,(MATCH(987, 輔助計算!$F$2:$F$801, 0)+1))*INDEX(ERP資料!$O:$O,(MATCH(987, 輔助計算!$F$2:$F$801, 0)+1))), "")</f>
        <v/>
      </c>
      <c r="J988" s="16" t="n"/>
      <c r="K988" s="15">
        <f>IFERROR(INDEX(輔助計算!$D:$D, (MATCH(987, 輔助計算!$F$2:$F$801, 0)+1)), "")</f>
        <v/>
      </c>
      <c r="L988" s="16">
        <f>IFERROR(IF(AND(IFERROR(VLOOKUP(LEFT(INDEX(ERP資料!$S:$S, (MATCH(987, 輔助計算!$F$2:$F$801, 0)+1)), 4), 100張客戶!$A:$A, 1, FALSE), "")&lt;&gt;"", OR(INDEX(ERP資料!$F:$F, (MATCH(987, 輔助計算!$F$2:$F$801, 0)+1))=270, INDEX(ERP資料!$F:$F, (MATCH(987, 輔助計算!$F$2:$F$801, 0)+1))=300)), "100張", ""), "")</f>
        <v/>
      </c>
      <c r="M988" s="17" t="n"/>
      <c r="N988" s="17">
        <f>IF($F988="","",$F988)</f>
        <v/>
      </c>
      <c r="O988" s="17">
        <f>IF($G988="","",$G988)</f>
        <v/>
      </c>
      <c r="P988" s="17">
        <f>IF($K988="","",$K988)</f>
        <v/>
      </c>
      <c r="Q988" s="16" t="n"/>
      <c r="R988" s="18" t="n"/>
      <c r="S988" s="16" t="n"/>
    </row>
    <row r="989">
      <c r="A989" s="14">
        <f>IFERROR(IF(AND(IFERROR(INDEX(ERP資料!$A:$A, (MATCH(988, 輔助計算!$F$2:$F$801, 0)+1)), "")&lt;&gt;"", IFERROR(INDEX(ERP資料!$A:$A, (MATCH(988, 輔助計算!$F$2:$F$801, 0)+1)), "")&lt;&gt;IFERROR(INDEX(ERP資料!$A:$A, MATCH(987, 輔助計算!$F$2:$F$801, 0)+1), "")), INDEX(ERP資料!$B:$B, (MATCH(988, 輔助計算!$F$2:$F$801, 0)+1)), ""), "")</f>
        <v/>
      </c>
      <c r="B989" s="10">
        <f>IFERROR(IF(AND(IFERROR(INDEX(ERP資料!$A:$A, (MATCH(988, 輔助計算!$F$2:$F$801, 0)+1)), "")&lt;&gt;"", IFERROR(INDEX(ERP資料!$A:$A, (MATCH(988, 輔助計算!$F$2:$F$801, 0)+1)), "")&lt;&gt;IFERROR(INDEX(ERP資料!$A:$A, MATCH(987, 輔助計算!$F$2:$F$801, 0)+1), "")), IFERROR(INDEX(ERP資料!$A:$A, (MATCH(988, 輔助計算!$F$2:$F$801, 0)+1)), ""), ""), "")</f>
        <v/>
      </c>
      <c r="C989" s="10">
        <f>IFERROR(IF(AND(IFERROR(INDEX(ERP資料!$A:$A, (MATCH(988, 輔助計算!$F$2:$F$801, 0)+1)), "")&lt;&gt;"", IFERROR(INDEX(ERP資料!$A:$A, (MATCH(988, 輔助計算!$F$2:$F$801, 0)+1)), "")&lt;&gt;IFERROR(INDEX(ERP資料!$A:$A, MATCH(987, 輔助計算!$F$2:$F$801, 0)+1), "")), INDEX(ERP資料!$S:$S, (MATCH(988, 輔助計算!$F$2:$F$801, 0)+1)), ""), "")</f>
        <v/>
      </c>
      <c r="D989" s="10">
        <f>IFERROR(IF(INDEX(ERP資料!$E:$E, (MATCH(988, 輔助計算!$F$2:$F$801, 0)+1))="","",TRIM(INDEX(ERP資料!$E:$E, (MATCH(988, 輔助計算!$F$2:$F$801, 0)+1)))), "")</f>
        <v/>
      </c>
      <c r="E989" s="10">
        <f>IFERROR(IF(INDEX(ERP資料!$F:$F, (MATCH(988, 輔助計算!$F$2:$F$801, 0)+1))="","",INDEX(ERP資料!$F:$F, (MATCH(988, 輔助計算!$F$2:$F$801, 0)+1))), "")</f>
        <v/>
      </c>
      <c r="F989" s="10">
        <f>IFERROR(IF(INDEX(ERP資料!$G:$G, (MATCH(988, 輔助計算!$F$2:$F$801, 0)+1))="","",INDEX(ERP資料!$G:$G, (MATCH(988, 輔助計算!$F$2:$F$801, 0)+1))), "")</f>
        <v/>
      </c>
      <c r="G989" s="10">
        <f>IFERROR(IF(INDEX(ERP資料!$H:$H, (MATCH(988, 輔助計算!$F$2:$F$801, 0)+1))="","",INDEX(ERP資料!$H:$H, (MATCH(988, 輔助計算!$F$2:$F$801, 0)+1))), "")</f>
        <v/>
      </c>
      <c r="H989" s="10">
        <f>IFERROR(IF(INDEX(ERP資料!$O:$O, (MATCH(988, 輔助計算!$F$2:$F$801, 0)+1))="","",INDEX(ERP資料!$O:$O, (MATCH(988, 輔助計算!$F$2:$F$801, 0)+1))), "")</f>
        <v/>
      </c>
      <c r="I989" s="15">
        <f>IFERROR(IF(INDEX(輔助計算!$D:$D,(MATCH(988, 輔助計算!$F$2:$F$801, 0)+1))="","",INDEX(輔助計算!$D:$D,(MATCH(988, 輔助計算!$F$2:$F$801, 0)+1))*INDEX(ERP資料!$O:$O,(MATCH(988, 輔助計算!$F$2:$F$801, 0)+1))), "")</f>
        <v/>
      </c>
      <c r="J989" s="16" t="n"/>
      <c r="K989" s="15">
        <f>IFERROR(INDEX(輔助計算!$D:$D, (MATCH(988, 輔助計算!$F$2:$F$801, 0)+1)), "")</f>
        <v/>
      </c>
      <c r="L989" s="16">
        <f>IFERROR(IF(AND(IFERROR(VLOOKUP(LEFT(INDEX(ERP資料!$S:$S, (MATCH(988, 輔助計算!$F$2:$F$801, 0)+1)), 4), 100張客戶!$A:$A, 1, FALSE), "")&lt;&gt;"", OR(INDEX(ERP資料!$F:$F, (MATCH(988, 輔助計算!$F$2:$F$801, 0)+1))=270, INDEX(ERP資料!$F:$F, (MATCH(988, 輔助計算!$F$2:$F$801, 0)+1))=300)), "100張", ""), "")</f>
        <v/>
      </c>
      <c r="M989" s="17" t="n"/>
      <c r="N989" s="17">
        <f>IF($F989="","",$F989)</f>
        <v/>
      </c>
      <c r="O989" s="17">
        <f>IF($G989="","",$G989)</f>
        <v/>
      </c>
      <c r="P989" s="17">
        <f>IF($K989="","",$K989)</f>
        <v/>
      </c>
      <c r="Q989" s="16" t="n"/>
      <c r="R989" s="18" t="n"/>
      <c r="S989" s="16" t="n"/>
    </row>
    <row r="990">
      <c r="A990" s="14">
        <f>IFERROR(IF(AND(IFERROR(INDEX(ERP資料!$A:$A, (MATCH(989, 輔助計算!$F$2:$F$801, 0)+1)), "")&lt;&gt;"", IFERROR(INDEX(ERP資料!$A:$A, (MATCH(989, 輔助計算!$F$2:$F$801, 0)+1)), "")&lt;&gt;IFERROR(INDEX(ERP資料!$A:$A, MATCH(988, 輔助計算!$F$2:$F$801, 0)+1), "")), INDEX(ERP資料!$B:$B, (MATCH(989, 輔助計算!$F$2:$F$801, 0)+1)), ""), "")</f>
        <v/>
      </c>
      <c r="B990" s="10">
        <f>IFERROR(IF(AND(IFERROR(INDEX(ERP資料!$A:$A, (MATCH(989, 輔助計算!$F$2:$F$801, 0)+1)), "")&lt;&gt;"", IFERROR(INDEX(ERP資料!$A:$A, (MATCH(989, 輔助計算!$F$2:$F$801, 0)+1)), "")&lt;&gt;IFERROR(INDEX(ERP資料!$A:$A, MATCH(988, 輔助計算!$F$2:$F$801, 0)+1), "")), IFERROR(INDEX(ERP資料!$A:$A, (MATCH(989, 輔助計算!$F$2:$F$801, 0)+1)), ""), ""), "")</f>
        <v/>
      </c>
      <c r="C990" s="10">
        <f>IFERROR(IF(AND(IFERROR(INDEX(ERP資料!$A:$A, (MATCH(989, 輔助計算!$F$2:$F$801, 0)+1)), "")&lt;&gt;"", IFERROR(INDEX(ERP資料!$A:$A, (MATCH(989, 輔助計算!$F$2:$F$801, 0)+1)), "")&lt;&gt;IFERROR(INDEX(ERP資料!$A:$A, MATCH(988, 輔助計算!$F$2:$F$801, 0)+1), "")), INDEX(ERP資料!$S:$S, (MATCH(989, 輔助計算!$F$2:$F$801, 0)+1)), ""), "")</f>
        <v/>
      </c>
      <c r="D990" s="10">
        <f>IFERROR(IF(INDEX(ERP資料!$E:$E, (MATCH(989, 輔助計算!$F$2:$F$801, 0)+1))="","",TRIM(INDEX(ERP資料!$E:$E, (MATCH(989, 輔助計算!$F$2:$F$801, 0)+1)))), "")</f>
        <v/>
      </c>
      <c r="E990" s="10">
        <f>IFERROR(IF(INDEX(ERP資料!$F:$F, (MATCH(989, 輔助計算!$F$2:$F$801, 0)+1))="","",INDEX(ERP資料!$F:$F, (MATCH(989, 輔助計算!$F$2:$F$801, 0)+1))), "")</f>
        <v/>
      </c>
      <c r="F990" s="10">
        <f>IFERROR(IF(INDEX(ERP資料!$G:$G, (MATCH(989, 輔助計算!$F$2:$F$801, 0)+1))="","",INDEX(ERP資料!$G:$G, (MATCH(989, 輔助計算!$F$2:$F$801, 0)+1))), "")</f>
        <v/>
      </c>
      <c r="G990" s="10">
        <f>IFERROR(IF(INDEX(ERP資料!$H:$H, (MATCH(989, 輔助計算!$F$2:$F$801, 0)+1))="","",INDEX(ERP資料!$H:$H, (MATCH(989, 輔助計算!$F$2:$F$801, 0)+1))), "")</f>
        <v/>
      </c>
      <c r="H990" s="10">
        <f>IFERROR(IF(INDEX(ERP資料!$O:$O, (MATCH(989, 輔助計算!$F$2:$F$801, 0)+1))="","",INDEX(ERP資料!$O:$O, (MATCH(989, 輔助計算!$F$2:$F$801, 0)+1))), "")</f>
        <v/>
      </c>
      <c r="I990" s="15">
        <f>IFERROR(IF(INDEX(輔助計算!$D:$D,(MATCH(989, 輔助計算!$F$2:$F$801, 0)+1))="","",INDEX(輔助計算!$D:$D,(MATCH(989, 輔助計算!$F$2:$F$801, 0)+1))*INDEX(ERP資料!$O:$O,(MATCH(989, 輔助計算!$F$2:$F$801, 0)+1))), "")</f>
        <v/>
      </c>
      <c r="J990" s="16" t="n"/>
      <c r="K990" s="15">
        <f>IFERROR(INDEX(輔助計算!$D:$D, (MATCH(989, 輔助計算!$F$2:$F$801, 0)+1)), "")</f>
        <v/>
      </c>
      <c r="L990" s="16">
        <f>IFERROR(IF(AND(IFERROR(VLOOKUP(LEFT(INDEX(ERP資料!$S:$S, (MATCH(989, 輔助計算!$F$2:$F$801, 0)+1)), 4), 100張客戶!$A:$A, 1, FALSE), "")&lt;&gt;"", OR(INDEX(ERP資料!$F:$F, (MATCH(989, 輔助計算!$F$2:$F$801, 0)+1))=270, INDEX(ERP資料!$F:$F, (MATCH(989, 輔助計算!$F$2:$F$801, 0)+1))=300)), "100張", ""), "")</f>
        <v/>
      </c>
      <c r="M990" s="17" t="n"/>
      <c r="N990" s="17">
        <f>IF($F990="","",$F990)</f>
        <v/>
      </c>
      <c r="O990" s="17">
        <f>IF($G990="","",$G990)</f>
        <v/>
      </c>
      <c r="P990" s="17">
        <f>IF($K990="","",$K990)</f>
        <v/>
      </c>
      <c r="Q990" s="16" t="n"/>
      <c r="R990" s="18" t="n"/>
      <c r="S990" s="16" t="n"/>
    </row>
    <row r="991">
      <c r="A991" s="14">
        <f>IFERROR(IF(AND(IFERROR(INDEX(ERP資料!$A:$A, (MATCH(990, 輔助計算!$F$2:$F$801, 0)+1)), "")&lt;&gt;"", IFERROR(INDEX(ERP資料!$A:$A, (MATCH(990, 輔助計算!$F$2:$F$801, 0)+1)), "")&lt;&gt;IFERROR(INDEX(ERP資料!$A:$A, MATCH(989, 輔助計算!$F$2:$F$801, 0)+1), "")), INDEX(ERP資料!$B:$B, (MATCH(990, 輔助計算!$F$2:$F$801, 0)+1)), ""), "")</f>
        <v/>
      </c>
      <c r="B991" s="10">
        <f>IFERROR(IF(AND(IFERROR(INDEX(ERP資料!$A:$A, (MATCH(990, 輔助計算!$F$2:$F$801, 0)+1)), "")&lt;&gt;"", IFERROR(INDEX(ERP資料!$A:$A, (MATCH(990, 輔助計算!$F$2:$F$801, 0)+1)), "")&lt;&gt;IFERROR(INDEX(ERP資料!$A:$A, MATCH(989, 輔助計算!$F$2:$F$801, 0)+1), "")), IFERROR(INDEX(ERP資料!$A:$A, (MATCH(990, 輔助計算!$F$2:$F$801, 0)+1)), ""), ""), "")</f>
        <v/>
      </c>
      <c r="C991" s="10">
        <f>IFERROR(IF(AND(IFERROR(INDEX(ERP資料!$A:$A, (MATCH(990, 輔助計算!$F$2:$F$801, 0)+1)), "")&lt;&gt;"", IFERROR(INDEX(ERP資料!$A:$A, (MATCH(990, 輔助計算!$F$2:$F$801, 0)+1)), "")&lt;&gt;IFERROR(INDEX(ERP資料!$A:$A, MATCH(989, 輔助計算!$F$2:$F$801, 0)+1), "")), INDEX(ERP資料!$S:$S, (MATCH(990, 輔助計算!$F$2:$F$801, 0)+1)), ""), "")</f>
        <v/>
      </c>
      <c r="D991" s="10">
        <f>IFERROR(IF(INDEX(ERP資料!$E:$E, (MATCH(990, 輔助計算!$F$2:$F$801, 0)+1))="","",TRIM(INDEX(ERP資料!$E:$E, (MATCH(990, 輔助計算!$F$2:$F$801, 0)+1)))), "")</f>
        <v/>
      </c>
      <c r="E991" s="10">
        <f>IFERROR(IF(INDEX(ERP資料!$F:$F, (MATCH(990, 輔助計算!$F$2:$F$801, 0)+1))="","",INDEX(ERP資料!$F:$F, (MATCH(990, 輔助計算!$F$2:$F$801, 0)+1))), "")</f>
        <v/>
      </c>
      <c r="F991" s="10">
        <f>IFERROR(IF(INDEX(ERP資料!$G:$G, (MATCH(990, 輔助計算!$F$2:$F$801, 0)+1))="","",INDEX(ERP資料!$G:$G, (MATCH(990, 輔助計算!$F$2:$F$801, 0)+1))), "")</f>
        <v/>
      </c>
      <c r="G991" s="10">
        <f>IFERROR(IF(INDEX(ERP資料!$H:$H, (MATCH(990, 輔助計算!$F$2:$F$801, 0)+1))="","",INDEX(ERP資料!$H:$H, (MATCH(990, 輔助計算!$F$2:$F$801, 0)+1))), "")</f>
        <v/>
      </c>
      <c r="H991" s="10">
        <f>IFERROR(IF(INDEX(ERP資料!$O:$O, (MATCH(990, 輔助計算!$F$2:$F$801, 0)+1))="","",INDEX(ERP資料!$O:$O, (MATCH(990, 輔助計算!$F$2:$F$801, 0)+1))), "")</f>
        <v/>
      </c>
      <c r="I991" s="15">
        <f>IFERROR(IF(INDEX(輔助計算!$D:$D,(MATCH(990, 輔助計算!$F$2:$F$801, 0)+1))="","",INDEX(輔助計算!$D:$D,(MATCH(990, 輔助計算!$F$2:$F$801, 0)+1))*INDEX(ERP資料!$O:$O,(MATCH(990, 輔助計算!$F$2:$F$801, 0)+1))), "")</f>
        <v/>
      </c>
      <c r="J991" s="16" t="n"/>
      <c r="K991" s="15">
        <f>IFERROR(INDEX(輔助計算!$D:$D, (MATCH(990, 輔助計算!$F$2:$F$801, 0)+1)), "")</f>
        <v/>
      </c>
      <c r="L991" s="16">
        <f>IFERROR(IF(AND(IFERROR(VLOOKUP(LEFT(INDEX(ERP資料!$S:$S, (MATCH(990, 輔助計算!$F$2:$F$801, 0)+1)), 4), 100張客戶!$A:$A, 1, FALSE), "")&lt;&gt;"", OR(INDEX(ERP資料!$F:$F, (MATCH(990, 輔助計算!$F$2:$F$801, 0)+1))=270, INDEX(ERP資料!$F:$F, (MATCH(990, 輔助計算!$F$2:$F$801, 0)+1))=300)), "100張", ""), "")</f>
        <v/>
      </c>
      <c r="M991" s="17" t="n"/>
      <c r="N991" s="17">
        <f>IF($F991="","",$F991)</f>
        <v/>
      </c>
      <c r="O991" s="17">
        <f>IF($G991="","",$G991)</f>
        <v/>
      </c>
      <c r="P991" s="17">
        <f>IF($K991="","",$K991)</f>
        <v/>
      </c>
      <c r="Q991" s="16" t="n"/>
      <c r="R991" s="18" t="n"/>
      <c r="S991" s="16" t="n"/>
    </row>
    <row r="992">
      <c r="A992" s="14">
        <f>IFERROR(IF(AND(IFERROR(INDEX(ERP資料!$A:$A, (MATCH(991, 輔助計算!$F$2:$F$801, 0)+1)), "")&lt;&gt;"", IFERROR(INDEX(ERP資料!$A:$A, (MATCH(991, 輔助計算!$F$2:$F$801, 0)+1)), "")&lt;&gt;IFERROR(INDEX(ERP資料!$A:$A, MATCH(990, 輔助計算!$F$2:$F$801, 0)+1), "")), INDEX(ERP資料!$B:$B, (MATCH(991, 輔助計算!$F$2:$F$801, 0)+1)), ""), "")</f>
        <v/>
      </c>
      <c r="B992" s="10">
        <f>IFERROR(IF(AND(IFERROR(INDEX(ERP資料!$A:$A, (MATCH(991, 輔助計算!$F$2:$F$801, 0)+1)), "")&lt;&gt;"", IFERROR(INDEX(ERP資料!$A:$A, (MATCH(991, 輔助計算!$F$2:$F$801, 0)+1)), "")&lt;&gt;IFERROR(INDEX(ERP資料!$A:$A, MATCH(990, 輔助計算!$F$2:$F$801, 0)+1), "")), IFERROR(INDEX(ERP資料!$A:$A, (MATCH(991, 輔助計算!$F$2:$F$801, 0)+1)), ""), ""), "")</f>
        <v/>
      </c>
      <c r="C992" s="10">
        <f>IFERROR(IF(AND(IFERROR(INDEX(ERP資料!$A:$A, (MATCH(991, 輔助計算!$F$2:$F$801, 0)+1)), "")&lt;&gt;"", IFERROR(INDEX(ERP資料!$A:$A, (MATCH(991, 輔助計算!$F$2:$F$801, 0)+1)), "")&lt;&gt;IFERROR(INDEX(ERP資料!$A:$A, MATCH(990, 輔助計算!$F$2:$F$801, 0)+1), "")), INDEX(ERP資料!$S:$S, (MATCH(991, 輔助計算!$F$2:$F$801, 0)+1)), ""), "")</f>
        <v/>
      </c>
      <c r="D992" s="10">
        <f>IFERROR(IF(INDEX(ERP資料!$E:$E, (MATCH(991, 輔助計算!$F$2:$F$801, 0)+1))="","",TRIM(INDEX(ERP資料!$E:$E, (MATCH(991, 輔助計算!$F$2:$F$801, 0)+1)))), "")</f>
        <v/>
      </c>
      <c r="E992" s="10">
        <f>IFERROR(IF(INDEX(ERP資料!$F:$F, (MATCH(991, 輔助計算!$F$2:$F$801, 0)+1))="","",INDEX(ERP資料!$F:$F, (MATCH(991, 輔助計算!$F$2:$F$801, 0)+1))), "")</f>
        <v/>
      </c>
      <c r="F992" s="10">
        <f>IFERROR(IF(INDEX(ERP資料!$G:$G, (MATCH(991, 輔助計算!$F$2:$F$801, 0)+1))="","",INDEX(ERP資料!$G:$G, (MATCH(991, 輔助計算!$F$2:$F$801, 0)+1))), "")</f>
        <v/>
      </c>
      <c r="G992" s="10">
        <f>IFERROR(IF(INDEX(ERP資料!$H:$H, (MATCH(991, 輔助計算!$F$2:$F$801, 0)+1))="","",INDEX(ERP資料!$H:$H, (MATCH(991, 輔助計算!$F$2:$F$801, 0)+1))), "")</f>
        <v/>
      </c>
      <c r="H992" s="10">
        <f>IFERROR(IF(INDEX(ERP資料!$O:$O, (MATCH(991, 輔助計算!$F$2:$F$801, 0)+1))="","",INDEX(ERP資料!$O:$O, (MATCH(991, 輔助計算!$F$2:$F$801, 0)+1))), "")</f>
        <v/>
      </c>
      <c r="I992" s="15">
        <f>IFERROR(IF(INDEX(輔助計算!$D:$D,(MATCH(991, 輔助計算!$F$2:$F$801, 0)+1))="","",INDEX(輔助計算!$D:$D,(MATCH(991, 輔助計算!$F$2:$F$801, 0)+1))*INDEX(ERP資料!$O:$O,(MATCH(991, 輔助計算!$F$2:$F$801, 0)+1))), "")</f>
        <v/>
      </c>
      <c r="J992" s="16" t="n"/>
      <c r="K992" s="15">
        <f>IFERROR(INDEX(輔助計算!$D:$D, (MATCH(991, 輔助計算!$F$2:$F$801, 0)+1)), "")</f>
        <v/>
      </c>
      <c r="L992" s="16">
        <f>IFERROR(IF(AND(IFERROR(VLOOKUP(LEFT(INDEX(ERP資料!$S:$S, (MATCH(991, 輔助計算!$F$2:$F$801, 0)+1)), 4), 100張客戶!$A:$A, 1, FALSE), "")&lt;&gt;"", OR(INDEX(ERP資料!$F:$F, (MATCH(991, 輔助計算!$F$2:$F$801, 0)+1))=270, INDEX(ERP資料!$F:$F, (MATCH(991, 輔助計算!$F$2:$F$801, 0)+1))=300)), "100張", ""), "")</f>
        <v/>
      </c>
      <c r="M992" s="17" t="n"/>
      <c r="N992" s="17">
        <f>IF($F992="","",$F992)</f>
        <v/>
      </c>
      <c r="O992" s="17">
        <f>IF($G992="","",$G992)</f>
        <v/>
      </c>
      <c r="P992" s="17">
        <f>IF($K992="","",$K992)</f>
        <v/>
      </c>
      <c r="Q992" s="16" t="n"/>
      <c r="R992" s="18" t="n"/>
      <c r="S992" s="16" t="n"/>
    </row>
    <row r="993">
      <c r="A993" s="14">
        <f>IFERROR(IF(AND(IFERROR(INDEX(ERP資料!$A:$A, (MATCH(992, 輔助計算!$F$2:$F$801, 0)+1)), "")&lt;&gt;"", IFERROR(INDEX(ERP資料!$A:$A, (MATCH(992, 輔助計算!$F$2:$F$801, 0)+1)), "")&lt;&gt;IFERROR(INDEX(ERP資料!$A:$A, MATCH(991, 輔助計算!$F$2:$F$801, 0)+1), "")), INDEX(ERP資料!$B:$B, (MATCH(992, 輔助計算!$F$2:$F$801, 0)+1)), ""), "")</f>
        <v/>
      </c>
      <c r="B993" s="10">
        <f>IFERROR(IF(AND(IFERROR(INDEX(ERP資料!$A:$A, (MATCH(992, 輔助計算!$F$2:$F$801, 0)+1)), "")&lt;&gt;"", IFERROR(INDEX(ERP資料!$A:$A, (MATCH(992, 輔助計算!$F$2:$F$801, 0)+1)), "")&lt;&gt;IFERROR(INDEX(ERP資料!$A:$A, MATCH(991, 輔助計算!$F$2:$F$801, 0)+1), "")), IFERROR(INDEX(ERP資料!$A:$A, (MATCH(992, 輔助計算!$F$2:$F$801, 0)+1)), ""), ""), "")</f>
        <v/>
      </c>
      <c r="C993" s="10">
        <f>IFERROR(IF(AND(IFERROR(INDEX(ERP資料!$A:$A, (MATCH(992, 輔助計算!$F$2:$F$801, 0)+1)), "")&lt;&gt;"", IFERROR(INDEX(ERP資料!$A:$A, (MATCH(992, 輔助計算!$F$2:$F$801, 0)+1)), "")&lt;&gt;IFERROR(INDEX(ERP資料!$A:$A, MATCH(991, 輔助計算!$F$2:$F$801, 0)+1), "")), INDEX(ERP資料!$S:$S, (MATCH(992, 輔助計算!$F$2:$F$801, 0)+1)), ""), "")</f>
        <v/>
      </c>
      <c r="D993" s="10">
        <f>IFERROR(IF(INDEX(ERP資料!$E:$E, (MATCH(992, 輔助計算!$F$2:$F$801, 0)+1))="","",TRIM(INDEX(ERP資料!$E:$E, (MATCH(992, 輔助計算!$F$2:$F$801, 0)+1)))), "")</f>
        <v/>
      </c>
      <c r="E993" s="10">
        <f>IFERROR(IF(INDEX(ERP資料!$F:$F, (MATCH(992, 輔助計算!$F$2:$F$801, 0)+1))="","",INDEX(ERP資料!$F:$F, (MATCH(992, 輔助計算!$F$2:$F$801, 0)+1))), "")</f>
        <v/>
      </c>
      <c r="F993" s="10">
        <f>IFERROR(IF(INDEX(ERP資料!$G:$G, (MATCH(992, 輔助計算!$F$2:$F$801, 0)+1))="","",INDEX(ERP資料!$G:$G, (MATCH(992, 輔助計算!$F$2:$F$801, 0)+1))), "")</f>
        <v/>
      </c>
      <c r="G993" s="10">
        <f>IFERROR(IF(INDEX(ERP資料!$H:$H, (MATCH(992, 輔助計算!$F$2:$F$801, 0)+1))="","",INDEX(ERP資料!$H:$H, (MATCH(992, 輔助計算!$F$2:$F$801, 0)+1))), "")</f>
        <v/>
      </c>
      <c r="H993" s="10">
        <f>IFERROR(IF(INDEX(ERP資料!$O:$O, (MATCH(992, 輔助計算!$F$2:$F$801, 0)+1))="","",INDEX(ERP資料!$O:$O, (MATCH(992, 輔助計算!$F$2:$F$801, 0)+1))), "")</f>
        <v/>
      </c>
      <c r="I993" s="15">
        <f>IFERROR(IF(INDEX(輔助計算!$D:$D,(MATCH(992, 輔助計算!$F$2:$F$801, 0)+1))="","",INDEX(輔助計算!$D:$D,(MATCH(992, 輔助計算!$F$2:$F$801, 0)+1))*INDEX(ERP資料!$O:$O,(MATCH(992, 輔助計算!$F$2:$F$801, 0)+1))), "")</f>
        <v/>
      </c>
      <c r="J993" s="16" t="n"/>
      <c r="K993" s="15">
        <f>IFERROR(INDEX(輔助計算!$D:$D, (MATCH(992, 輔助計算!$F$2:$F$801, 0)+1)), "")</f>
        <v/>
      </c>
      <c r="L993" s="16">
        <f>IFERROR(IF(AND(IFERROR(VLOOKUP(LEFT(INDEX(ERP資料!$S:$S, (MATCH(992, 輔助計算!$F$2:$F$801, 0)+1)), 4), 100張客戶!$A:$A, 1, FALSE), "")&lt;&gt;"", OR(INDEX(ERP資料!$F:$F, (MATCH(992, 輔助計算!$F$2:$F$801, 0)+1))=270, INDEX(ERP資料!$F:$F, (MATCH(992, 輔助計算!$F$2:$F$801, 0)+1))=300)), "100張", ""), "")</f>
        <v/>
      </c>
      <c r="M993" s="17" t="n"/>
      <c r="N993" s="17">
        <f>IF($F993="","",$F993)</f>
        <v/>
      </c>
      <c r="O993" s="17">
        <f>IF($G993="","",$G993)</f>
        <v/>
      </c>
      <c r="P993" s="17">
        <f>IF($K993="","",$K993)</f>
        <v/>
      </c>
      <c r="Q993" s="16" t="n"/>
      <c r="R993" s="18" t="n"/>
      <c r="S993" s="16" t="n"/>
    </row>
    <row r="994">
      <c r="A994" s="14">
        <f>IFERROR(IF(AND(IFERROR(INDEX(ERP資料!$A:$A, (MATCH(993, 輔助計算!$F$2:$F$801, 0)+1)), "")&lt;&gt;"", IFERROR(INDEX(ERP資料!$A:$A, (MATCH(993, 輔助計算!$F$2:$F$801, 0)+1)), "")&lt;&gt;IFERROR(INDEX(ERP資料!$A:$A, MATCH(992, 輔助計算!$F$2:$F$801, 0)+1), "")), INDEX(ERP資料!$B:$B, (MATCH(993, 輔助計算!$F$2:$F$801, 0)+1)), ""), "")</f>
        <v/>
      </c>
      <c r="B994" s="10">
        <f>IFERROR(IF(AND(IFERROR(INDEX(ERP資料!$A:$A, (MATCH(993, 輔助計算!$F$2:$F$801, 0)+1)), "")&lt;&gt;"", IFERROR(INDEX(ERP資料!$A:$A, (MATCH(993, 輔助計算!$F$2:$F$801, 0)+1)), "")&lt;&gt;IFERROR(INDEX(ERP資料!$A:$A, MATCH(992, 輔助計算!$F$2:$F$801, 0)+1), "")), IFERROR(INDEX(ERP資料!$A:$A, (MATCH(993, 輔助計算!$F$2:$F$801, 0)+1)), ""), ""), "")</f>
        <v/>
      </c>
      <c r="C994" s="10">
        <f>IFERROR(IF(AND(IFERROR(INDEX(ERP資料!$A:$A, (MATCH(993, 輔助計算!$F$2:$F$801, 0)+1)), "")&lt;&gt;"", IFERROR(INDEX(ERP資料!$A:$A, (MATCH(993, 輔助計算!$F$2:$F$801, 0)+1)), "")&lt;&gt;IFERROR(INDEX(ERP資料!$A:$A, MATCH(992, 輔助計算!$F$2:$F$801, 0)+1), "")), INDEX(ERP資料!$S:$S, (MATCH(993, 輔助計算!$F$2:$F$801, 0)+1)), ""), "")</f>
        <v/>
      </c>
      <c r="D994" s="10">
        <f>IFERROR(IF(INDEX(ERP資料!$E:$E, (MATCH(993, 輔助計算!$F$2:$F$801, 0)+1))="","",TRIM(INDEX(ERP資料!$E:$E, (MATCH(993, 輔助計算!$F$2:$F$801, 0)+1)))), "")</f>
        <v/>
      </c>
      <c r="E994" s="10">
        <f>IFERROR(IF(INDEX(ERP資料!$F:$F, (MATCH(993, 輔助計算!$F$2:$F$801, 0)+1))="","",INDEX(ERP資料!$F:$F, (MATCH(993, 輔助計算!$F$2:$F$801, 0)+1))), "")</f>
        <v/>
      </c>
      <c r="F994" s="10">
        <f>IFERROR(IF(INDEX(ERP資料!$G:$G, (MATCH(993, 輔助計算!$F$2:$F$801, 0)+1))="","",INDEX(ERP資料!$G:$G, (MATCH(993, 輔助計算!$F$2:$F$801, 0)+1))), "")</f>
        <v/>
      </c>
      <c r="G994" s="10">
        <f>IFERROR(IF(INDEX(ERP資料!$H:$H, (MATCH(993, 輔助計算!$F$2:$F$801, 0)+1))="","",INDEX(ERP資料!$H:$H, (MATCH(993, 輔助計算!$F$2:$F$801, 0)+1))), "")</f>
        <v/>
      </c>
      <c r="H994" s="10">
        <f>IFERROR(IF(INDEX(ERP資料!$O:$O, (MATCH(993, 輔助計算!$F$2:$F$801, 0)+1))="","",INDEX(ERP資料!$O:$O, (MATCH(993, 輔助計算!$F$2:$F$801, 0)+1))), "")</f>
        <v/>
      </c>
      <c r="I994" s="15">
        <f>IFERROR(IF(INDEX(輔助計算!$D:$D,(MATCH(993, 輔助計算!$F$2:$F$801, 0)+1))="","",INDEX(輔助計算!$D:$D,(MATCH(993, 輔助計算!$F$2:$F$801, 0)+1))*INDEX(ERP資料!$O:$O,(MATCH(993, 輔助計算!$F$2:$F$801, 0)+1))), "")</f>
        <v/>
      </c>
      <c r="J994" s="16" t="n"/>
      <c r="K994" s="15">
        <f>IFERROR(INDEX(輔助計算!$D:$D, (MATCH(993, 輔助計算!$F$2:$F$801, 0)+1)), "")</f>
        <v/>
      </c>
      <c r="L994" s="16">
        <f>IFERROR(IF(AND(IFERROR(VLOOKUP(LEFT(INDEX(ERP資料!$S:$S, (MATCH(993, 輔助計算!$F$2:$F$801, 0)+1)), 4), 100張客戶!$A:$A, 1, FALSE), "")&lt;&gt;"", OR(INDEX(ERP資料!$F:$F, (MATCH(993, 輔助計算!$F$2:$F$801, 0)+1))=270, INDEX(ERP資料!$F:$F, (MATCH(993, 輔助計算!$F$2:$F$801, 0)+1))=300)), "100張", ""), "")</f>
        <v/>
      </c>
      <c r="M994" s="17" t="n"/>
      <c r="N994" s="17">
        <f>IF($F994="","",$F994)</f>
        <v/>
      </c>
      <c r="O994" s="17">
        <f>IF($G994="","",$G994)</f>
        <v/>
      </c>
      <c r="P994" s="17">
        <f>IF($K994="","",$K994)</f>
        <v/>
      </c>
      <c r="Q994" s="16" t="n"/>
      <c r="R994" s="18" t="n"/>
      <c r="S994" s="16" t="n"/>
    </row>
    <row r="995">
      <c r="A995" s="14">
        <f>IFERROR(IF(AND(IFERROR(INDEX(ERP資料!$A:$A, (MATCH(994, 輔助計算!$F$2:$F$801, 0)+1)), "")&lt;&gt;"", IFERROR(INDEX(ERP資料!$A:$A, (MATCH(994, 輔助計算!$F$2:$F$801, 0)+1)), "")&lt;&gt;IFERROR(INDEX(ERP資料!$A:$A, MATCH(993, 輔助計算!$F$2:$F$801, 0)+1), "")), INDEX(ERP資料!$B:$B, (MATCH(994, 輔助計算!$F$2:$F$801, 0)+1)), ""), "")</f>
        <v/>
      </c>
      <c r="B995" s="10">
        <f>IFERROR(IF(AND(IFERROR(INDEX(ERP資料!$A:$A, (MATCH(994, 輔助計算!$F$2:$F$801, 0)+1)), "")&lt;&gt;"", IFERROR(INDEX(ERP資料!$A:$A, (MATCH(994, 輔助計算!$F$2:$F$801, 0)+1)), "")&lt;&gt;IFERROR(INDEX(ERP資料!$A:$A, MATCH(993, 輔助計算!$F$2:$F$801, 0)+1), "")), IFERROR(INDEX(ERP資料!$A:$A, (MATCH(994, 輔助計算!$F$2:$F$801, 0)+1)), ""), ""), "")</f>
        <v/>
      </c>
      <c r="C995" s="10">
        <f>IFERROR(IF(AND(IFERROR(INDEX(ERP資料!$A:$A, (MATCH(994, 輔助計算!$F$2:$F$801, 0)+1)), "")&lt;&gt;"", IFERROR(INDEX(ERP資料!$A:$A, (MATCH(994, 輔助計算!$F$2:$F$801, 0)+1)), "")&lt;&gt;IFERROR(INDEX(ERP資料!$A:$A, MATCH(993, 輔助計算!$F$2:$F$801, 0)+1), "")), INDEX(ERP資料!$S:$S, (MATCH(994, 輔助計算!$F$2:$F$801, 0)+1)), ""), "")</f>
        <v/>
      </c>
      <c r="D995" s="10">
        <f>IFERROR(IF(INDEX(ERP資料!$E:$E, (MATCH(994, 輔助計算!$F$2:$F$801, 0)+1))="","",TRIM(INDEX(ERP資料!$E:$E, (MATCH(994, 輔助計算!$F$2:$F$801, 0)+1)))), "")</f>
        <v/>
      </c>
      <c r="E995" s="10">
        <f>IFERROR(IF(INDEX(ERP資料!$F:$F, (MATCH(994, 輔助計算!$F$2:$F$801, 0)+1))="","",INDEX(ERP資料!$F:$F, (MATCH(994, 輔助計算!$F$2:$F$801, 0)+1))), "")</f>
        <v/>
      </c>
      <c r="F995" s="10">
        <f>IFERROR(IF(INDEX(ERP資料!$G:$G, (MATCH(994, 輔助計算!$F$2:$F$801, 0)+1))="","",INDEX(ERP資料!$G:$G, (MATCH(994, 輔助計算!$F$2:$F$801, 0)+1))), "")</f>
        <v/>
      </c>
      <c r="G995" s="10">
        <f>IFERROR(IF(INDEX(ERP資料!$H:$H, (MATCH(994, 輔助計算!$F$2:$F$801, 0)+1))="","",INDEX(ERP資料!$H:$H, (MATCH(994, 輔助計算!$F$2:$F$801, 0)+1))), "")</f>
        <v/>
      </c>
      <c r="H995" s="10">
        <f>IFERROR(IF(INDEX(ERP資料!$O:$O, (MATCH(994, 輔助計算!$F$2:$F$801, 0)+1))="","",INDEX(ERP資料!$O:$O, (MATCH(994, 輔助計算!$F$2:$F$801, 0)+1))), "")</f>
        <v/>
      </c>
      <c r="I995" s="15">
        <f>IFERROR(IF(INDEX(輔助計算!$D:$D,(MATCH(994, 輔助計算!$F$2:$F$801, 0)+1))="","",INDEX(輔助計算!$D:$D,(MATCH(994, 輔助計算!$F$2:$F$801, 0)+1))*INDEX(ERP資料!$O:$O,(MATCH(994, 輔助計算!$F$2:$F$801, 0)+1))), "")</f>
        <v/>
      </c>
      <c r="J995" s="16" t="n"/>
      <c r="K995" s="15">
        <f>IFERROR(INDEX(輔助計算!$D:$D, (MATCH(994, 輔助計算!$F$2:$F$801, 0)+1)), "")</f>
        <v/>
      </c>
      <c r="L995" s="16">
        <f>IFERROR(IF(AND(IFERROR(VLOOKUP(LEFT(INDEX(ERP資料!$S:$S, (MATCH(994, 輔助計算!$F$2:$F$801, 0)+1)), 4), 100張客戶!$A:$A, 1, FALSE), "")&lt;&gt;"", OR(INDEX(ERP資料!$F:$F, (MATCH(994, 輔助計算!$F$2:$F$801, 0)+1))=270, INDEX(ERP資料!$F:$F, (MATCH(994, 輔助計算!$F$2:$F$801, 0)+1))=300)), "100張", ""), "")</f>
        <v/>
      </c>
      <c r="M995" s="17" t="n"/>
      <c r="N995" s="17">
        <f>IF($F995="","",$F995)</f>
        <v/>
      </c>
      <c r="O995" s="17">
        <f>IF($G995="","",$G995)</f>
        <v/>
      </c>
      <c r="P995" s="17">
        <f>IF($K995="","",$K995)</f>
        <v/>
      </c>
      <c r="Q995" s="16" t="n"/>
      <c r="R995" s="18" t="n"/>
      <c r="S995" s="16" t="n"/>
    </row>
    <row r="996">
      <c r="A996" s="14">
        <f>IFERROR(IF(AND(IFERROR(INDEX(ERP資料!$A:$A, (MATCH(995, 輔助計算!$F$2:$F$801, 0)+1)), "")&lt;&gt;"", IFERROR(INDEX(ERP資料!$A:$A, (MATCH(995, 輔助計算!$F$2:$F$801, 0)+1)), "")&lt;&gt;IFERROR(INDEX(ERP資料!$A:$A, MATCH(994, 輔助計算!$F$2:$F$801, 0)+1), "")), INDEX(ERP資料!$B:$B, (MATCH(995, 輔助計算!$F$2:$F$801, 0)+1)), ""), "")</f>
        <v/>
      </c>
      <c r="B996" s="10">
        <f>IFERROR(IF(AND(IFERROR(INDEX(ERP資料!$A:$A, (MATCH(995, 輔助計算!$F$2:$F$801, 0)+1)), "")&lt;&gt;"", IFERROR(INDEX(ERP資料!$A:$A, (MATCH(995, 輔助計算!$F$2:$F$801, 0)+1)), "")&lt;&gt;IFERROR(INDEX(ERP資料!$A:$A, MATCH(994, 輔助計算!$F$2:$F$801, 0)+1), "")), IFERROR(INDEX(ERP資料!$A:$A, (MATCH(995, 輔助計算!$F$2:$F$801, 0)+1)), ""), ""), "")</f>
        <v/>
      </c>
      <c r="C996" s="10">
        <f>IFERROR(IF(AND(IFERROR(INDEX(ERP資料!$A:$A, (MATCH(995, 輔助計算!$F$2:$F$801, 0)+1)), "")&lt;&gt;"", IFERROR(INDEX(ERP資料!$A:$A, (MATCH(995, 輔助計算!$F$2:$F$801, 0)+1)), "")&lt;&gt;IFERROR(INDEX(ERP資料!$A:$A, MATCH(994, 輔助計算!$F$2:$F$801, 0)+1), "")), INDEX(ERP資料!$S:$S, (MATCH(995, 輔助計算!$F$2:$F$801, 0)+1)), ""), "")</f>
        <v/>
      </c>
      <c r="D996" s="10">
        <f>IFERROR(IF(INDEX(ERP資料!$E:$E, (MATCH(995, 輔助計算!$F$2:$F$801, 0)+1))="","",TRIM(INDEX(ERP資料!$E:$E, (MATCH(995, 輔助計算!$F$2:$F$801, 0)+1)))), "")</f>
        <v/>
      </c>
      <c r="E996" s="10">
        <f>IFERROR(IF(INDEX(ERP資料!$F:$F, (MATCH(995, 輔助計算!$F$2:$F$801, 0)+1))="","",INDEX(ERP資料!$F:$F, (MATCH(995, 輔助計算!$F$2:$F$801, 0)+1))), "")</f>
        <v/>
      </c>
      <c r="F996" s="10">
        <f>IFERROR(IF(INDEX(ERP資料!$G:$G, (MATCH(995, 輔助計算!$F$2:$F$801, 0)+1))="","",INDEX(ERP資料!$G:$G, (MATCH(995, 輔助計算!$F$2:$F$801, 0)+1))), "")</f>
        <v/>
      </c>
      <c r="G996" s="10">
        <f>IFERROR(IF(INDEX(ERP資料!$H:$H, (MATCH(995, 輔助計算!$F$2:$F$801, 0)+1))="","",INDEX(ERP資料!$H:$H, (MATCH(995, 輔助計算!$F$2:$F$801, 0)+1))), "")</f>
        <v/>
      </c>
      <c r="H996" s="10">
        <f>IFERROR(IF(INDEX(ERP資料!$O:$O, (MATCH(995, 輔助計算!$F$2:$F$801, 0)+1))="","",INDEX(ERP資料!$O:$O, (MATCH(995, 輔助計算!$F$2:$F$801, 0)+1))), "")</f>
        <v/>
      </c>
      <c r="I996" s="15">
        <f>IFERROR(IF(INDEX(輔助計算!$D:$D,(MATCH(995, 輔助計算!$F$2:$F$801, 0)+1))="","",INDEX(輔助計算!$D:$D,(MATCH(995, 輔助計算!$F$2:$F$801, 0)+1))*INDEX(ERP資料!$O:$O,(MATCH(995, 輔助計算!$F$2:$F$801, 0)+1))), "")</f>
        <v/>
      </c>
      <c r="J996" s="16" t="n"/>
      <c r="K996" s="15">
        <f>IFERROR(INDEX(輔助計算!$D:$D, (MATCH(995, 輔助計算!$F$2:$F$801, 0)+1)), "")</f>
        <v/>
      </c>
      <c r="L996" s="16">
        <f>IFERROR(IF(AND(IFERROR(VLOOKUP(LEFT(INDEX(ERP資料!$S:$S, (MATCH(995, 輔助計算!$F$2:$F$801, 0)+1)), 4), 100張客戶!$A:$A, 1, FALSE), "")&lt;&gt;"", OR(INDEX(ERP資料!$F:$F, (MATCH(995, 輔助計算!$F$2:$F$801, 0)+1))=270, INDEX(ERP資料!$F:$F, (MATCH(995, 輔助計算!$F$2:$F$801, 0)+1))=300)), "100張", ""), "")</f>
        <v/>
      </c>
      <c r="M996" s="17" t="n"/>
      <c r="N996" s="17">
        <f>IF($F996="","",$F996)</f>
        <v/>
      </c>
      <c r="O996" s="17">
        <f>IF($G996="","",$G996)</f>
        <v/>
      </c>
      <c r="P996" s="17">
        <f>IF($K996="","",$K996)</f>
        <v/>
      </c>
      <c r="Q996" s="16" t="n"/>
      <c r="R996" s="18" t="n"/>
      <c r="S996" s="16" t="n"/>
    </row>
    <row r="997">
      <c r="A997" s="14">
        <f>IFERROR(IF(AND(IFERROR(INDEX(ERP資料!$A:$A, (MATCH(996, 輔助計算!$F$2:$F$801, 0)+1)), "")&lt;&gt;"", IFERROR(INDEX(ERP資料!$A:$A, (MATCH(996, 輔助計算!$F$2:$F$801, 0)+1)), "")&lt;&gt;IFERROR(INDEX(ERP資料!$A:$A, MATCH(995, 輔助計算!$F$2:$F$801, 0)+1), "")), INDEX(ERP資料!$B:$B, (MATCH(996, 輔助計算!$F$2:$F$801, 0)+1)), ""), "")</f>
        <v/>
      </c>
      <c r="B997" s="10">
        <f>IFERROR(IF(AND(IFERROR(INDEX(ERP資料!$A:$A, (MATCH(996, 輔助計算!$F$2:$F$801, 0)+1)), "")&lt;&gt;"", IFERROR(INDEX(ERP資料!$A:$A, (MATCH(996, 輔助計算!$F$2:$F$801, 0)+1)), "")&lt;&gt;IFERROR(INDEX(ERP資料!$A:$A, MATCH(995, 輔助計算!$F$2:$F$801, 0)+1), "")), IFERROR(INDEX(ERP資料!$A:$A, (MATCH(996, 輔助計算!$F$2:$F$801, 0)+1)), ""), ""), "")</f>
        <v/>
      </c>
      <c r="C997" s="10">
        <f>IFERROR(IF(AND(IFERROR(INDEX(ERP資料!$A:$A, (MATCH(996, 輔助計算!$F$2:$F$801, 0)+1)), "")&lt;&gt;"", IFERROR(INDEX(ERP資料!$A:$A, (MATCH(996, 輔助計算!$F$2:$F$801, 0)+1)), "")&lt;&gt;IFERROR(INDEX(ERP資料!$A:$A, MATCH(995, 輔助計算!$F$2:$F$801, 0)+1), "")), INDEX(ERP資料!$S:$S, (MATCH(996, 輔助計算!$F$2:$F$801, 0)+1)), ""), "")</f>
        <v/>
      </c>
      <c r="D997" s="10">
        <f>IFERROR(IF(INDEX(ERP資料!$E:$E, (MATCH(996, 輔助計算!$F$2:$F$801, 0)+1))="","",TRIM(INDEX(ERP資料!$E:$E, (MATCH(996, 輔助計算!$F$2:$F$801, 0)+1)))), "")</f>
        <v/>
      </c>
      <c r="E997" s="10">
        <f>IFERROR(IF(INDEX(ERP資料!$F:$F, (MATCH(996, 輔助計算!$F$2:$F$801, 0)+1))="","",INDEX(ERP資料!$F:$F, (MATCH(996, 輔助計算!$F$2:$F$801, 0)+1))), "")</f>
        <v/>
      </c>
      <c r="F997" s="10">
        <f>IFERROR(IF(INDEX(ERP資料!$G:$G, (MATCH(996, 輔助計算!$F$2:$F$801, 0)+1))="","",INDEX(ERP資料!$G:$G, (MATCH(996, 輔助計算!$F$2:$F$801, 0)+1))), "")</f>
        <v/>
      </c>
      <c r="G997" s="10">
        <f>IFERROR(IF(INDEX(ERP資料!$H:$H, (MATCH(996, 輔助計算!$F$2:$F$801, 0)+1))="","",INDEX(ERP資料!$H:$H, (MATCH(996, 輔助計算!$F$2:$F$801, 0)+1))), "")</f>
        <v/>
      </c>
      <c r="H997" s="10">
        <f>IFERROR(IF(INDEX(ERP資料!$O:$O, (MATCH(996, 輔助計算!$F$2:$F$801, 0)+1))="","",INDEX(ERP資料!$O:$O, (MATCH(996, 輔助計算!$F$2:$F$801, 0)+1))), "")</f>
        <v/>
      </c>
      <c r="I997" s="15">
        <f>IFERROR(IF(INDEX(輔助計算!$D:$D,(MATCH(996, 輔助計算!$F$2:$F$801, 0)+1))="","",INDEX(輔助計算!$D:$D,(MATCH(996, 輔助計算!$F$2:$F$801, 0)+1))*INDEX(ERP資料!$O:$O,(MATCH(996, 輔助計算!$F$2:$F$801, 0)+1))), "")</f>
        <v/>
      </c>
      <c r="J997" s="16" t="n"/>
      <c r="K997" s="15">
        <f>IFERROR(INDEX(輔助計算!$D:$D, (MATCH(996, 輔助計算!$F$2:$F$801, 0)+1)), "")</f>
        <v/>
      </c>
      <c r="L997" s="16">
        <f>IFERROR(IF(AND(IFERROR(VLOOKUP(LEFT(INDEX(ERP資料!$S:$S, (MATCH(996, 輔助計算!$F$2:$F$801, 0)+1)), 4), 100張客戶!$A:$A, 1, FALSE), "")&lt;&gt;"", OR(INDEX(ERP資料!$F:$F, (MATCH(996, 輔助計算!$F$2:$F$801, 0)+1))=270, INDEX(ERP資料!$F:$F, (MATCH(996, 輔助計算!$F$2:$F$801, 0)+1))=300)), "100張", ""), "")</f>
        <v/>
      </c>
      <c r="M997" s="17" t="n"/>
      <c r="N997" s="17">
        <f>IF($F997="","",$F997)</f>
        <v/>
      </c>
      <c r="O997" s="17">
        <f>IF($G997="","",$G997)</f>
        <v/>
      </c>
      <c r="P997" s="17">
        <f>IF($K997="","",$K997)</f>
        <v/>
      </c>
      <c r="Q997" s="16" t="n"/>
      <c r="R997" s="18" t="n"/>
      <c r="S997" s="16" t="n"/>
    </row>
    <row r="998">
      <c r="A998" s="14">
        <f>IFERROR(IF(AND(IFERROR(INDEX(ERP資料!$A:$A, (MATCH(997, 輔助計算!$F$2:$F$801, 0)+1)), "")&lt;&gt;"", IFERROR(INDEX(ERP資料!$A:$A, (MATCH(997, 輔助計算!$F$2:$F$801, 0)+1)), "")&lt;&gt;IFERROR(INDEX(ERP資料!$A:$A, MATCH(996, 輔助計算!$F$2:$F$801, 0)+1), "")), INDEX(ERP資料!$B:$B, (MATCH(997, 輔助計算!$F$2:$F$801, 0)+1)), ""), "")</f>
        <v/>
      </c>
      <c r="B998" s="10">
        <f>IFERROR(IF(AND(IFERROR(INDEX(ERP資料!$A:$A, (MATCH(997, 輔助計算!$F$2:$F$801, 0)+1)), "")&lt;&gt;"", IFERROR(INDEX(ERP資料!$A:$A, (MATCH(997, 輔助計算!$F$2:$F$801, 0)+1)), "")&lt;&gt;IFERROR(INDEX(ERP資料!$A:$A, MATCH(996, 輔助計算!$F$2:$F$801, 0)+1), "")), IFERROR(INDEX(ERP資料!$A:$A, (MATCH(997, 輔助計算!$F$2:$F$801, 0)+1)), ""), ""), "")</f>
        <v/>
      </c>
      <c r="C998" s="10">
        <f>IFERROR(IF(AND(IFERROR(INDEX(ERP資料!$A:$A, (MATCH(997, 輔助計算!$F$2:$F$801, 0)+1)), "")&lt;&gt;"", IFERROR(INDEX(ERP資料!$A:$A, (MATCH(997, 輔助計算!$F$2:$F$801, 0)+1)), "")&lt;&gt;IFERROR(INDEX(ERP資料!$A:$A, MATCH(996, 輔助計算!$F$2:$F$801, 0)+1), "")), INDEX(ERP資料!$S:$S, (MATCH(997, 輔助計算!$F$2:$F$801, 0)+1)), ""), "")</f>
        <v/>
      </c>
      <c r="D998" s="10">
        <f>IFERROR(IF(INDEX(ERP資料!$E:$E, (MATCH(997, 輔助計算!$F$2:$F$801, 0)+1))="","",TRIM(INDEX(ERP資料!$E:$E, (MATCH(997, 輔助計算!$F$2:$F$801, 0)+1)))), "")</f>
        <v/>
      </c>
      <c r="E998" s="10">
        <f>IFERROR(IF(INDEX(ERP資料!$F:$F, (MATCH(997, 輔助計算!$F$2:$F$801, 0)+1))="","",INDEX(ERP資料!$F:$F, (MATCH(997, 輔助計算!$F$2:$F$801, 0)+1))), "")</f>
        <v/>
      </c>
      <c r="F998" s="10">
        <f>IFERROR(IF(INDEX(ERP資料!$G:$G, (MATCH(997, 輔助計算!$F$2:$F$801, 0)+1))="","",INDEX(ERP資料!$G:$G, (MATCH(997, 輔助計算!$F$2:$F$801, 0)+1))), "")</f>
        <v/>
      </c>
      <c r="G998" s="10">
        <f>IFERROR(IF(INDEX(ERP資料!$H:$H, (MATCH(997, 輔助計算!$F$2:$F$801, 0)+1))="","",INDEX(ERP資料!$H:$H, (MATCH(997, 輔助計算!$F$2:$F$801, 0)+1))), "")</f>
        <v/>
      </c>
      <c r="H998" s="10">
        <f>IFERROR(IF(INDEX(ERP資料!$O:$O, (MATCH(997, 輔助計算!$F$2:$F$801, 0)+1))="","",INDEX(ERP資料!$O:$O, (MATCH(997, 輔助計算!$F$2:$F$801, 0)+1))), "")</f>
        <v/>
      </c>
      <c r="I998" s="15">
        <f>IFERROR(IF(INDEX(輔助計算!$D:$D,(MATCH(997, 輔助計算!$F$2:$F$801, 0)+1))="","",INDEX(輔助計算!$D:$D,(MATCH(997, 輔助計算!$F$2:$F$801, 0)+1))*INDEX(ERP資料!$O:$O,(MATCH(997, 輔助計算!$F$2:$F$801, 0)+1))), "")</f>
        <v/>
      </c>
      <c r="J998" s="16" t="n"/>
      <c r="K998" s="15">
        <f>IFERROR(INDEX(輔助計算!$D:$D, (MATCH(997, 輔助計算!$F$2:$F$801, 0)+1)), "")</f>
        <v/>
      </c>
      <c r="L998" s="16">
        <f>IFERROR(IF(AND(IFERROR(VLOOKUP(LEFT(INDEX(ERP資料!$S:$S, (MATCH(997, 輔助計算!$F$2:$F$801, 0)+1)), 4), 100張客戶!$A:$A, 1, FALSE), "")&lt;&gt;"", OR(INDEX(ERP資料!$F:$F, (MATCH(997, 輔助計算!$F$2:$F$801, 0)+1))=270, INDEX(ERP資料!$F:$F, (MATCH(997, 輔助計算!$F$2:$F$801, 0)+1))=300)), "100張", ""), "")</f>
        <v/>
      </c>
      <c r="M998" s="17" t="n"/>
      <c r="N998" s="17">
        <f>IF($F998="","",$F998)</f>
        <v/>
      </c>
      <c r="O998" s="17">
        <f>IF($G998="","",$G998)</f>
        <v/>
      </c>
      <c r="P998" s="17">
        <f>IF($K998="","",$K998)</f>
        <v/>
      </c>
      <c r="Q998" s="16" t="n"/>
      <c r="R998" s="18" t="n"/>
      <c r="S998" s="16" t="n"/>
    </row>
    <row r="999">
      <c r="A999" s="14">
        <f>IFERROR(IF(AND(IFERROR(INDEX(ERP資料!$A:$A, (MATCH(998, 輔助計算!$F$2:$F$801, 0)+1)), "")&lt;&gt;"", IFERROR(INDEX(ERP資料!$A:$A, (MATCH(998, 輔助計算!$F$2:$F$801, 0)+1)), "")&lt;&gt;IFERROR(INDEX(ERP資料!$A:$A, MATCH(997, 輔助計算!$F$2:$F$801, 0)+1), "")), INDEX(ERP資料!$B:$B, (MATCH(998, 輔助計算!$F$2:$F$801, 0)+1)), ""), "")</f>
        <v/>
      </c>
      <c r="B999" s="10">
        <f>IFERROR(IF(AND(IFERROR(INDEX(ERP資料!$A:$A, (MATCH(998, 輔助計算!$F$2:$F$801, 0)+1)), "")&lt;&gt;"", IFERROR(INDEX(ERP資料!$A:$A, (MATCH(998, 輔助計算!$F$2:$F$801, 0)+1)), "")&lt;&gt;IFERROR(INDEX(ERP資料!$A:$A, MATCH(997, 輔助計算!$F$2:$F$801, 0)+1), "")), IFERROR(INDEX(ERP資料!$A:$A, (MATCH(998, 輔助計算!$F$2:$F$801, 0)+1)), ""), ""), "")</f>
        <v/>
      </c>
      <c r="C999" s="10">
        <f>IFERROR(IF(AND(IFERROR(INDEX(ERP資料!$A:$A, (MATCH(998, 輔助計算!$F$2:$F$801, 0)+1)), "")&lt;&gt;"", IFERROR(INDEX(ERP資料!$A:$A, (MATCH(998, 輔助計算!$F$2:$F$801, 0)+1)), "")&lt;&gt;IFERROR(INDEX(ERP資料!$A:$A, MATCH(997, 輔助計算!$F$2:$F$801, 0)+1), "")), INDEX(ERP資料!$S:$S, (MATCH(998, 輔助計算!$F$2:$F$801, 0)+1)), ""), "")</f>
        <v/>
      </c>
      <c r="D999" s="10">
        <f>IFERROR(IF(INDEX(ERP資料!$E:$E, (MATCH(998, 輔助計算!$F$2:$F$801, 0)+1))="","",TRIM(INDEX(ERP資料!$E:$E, (MATCH(998, 輔助計算!$F$2:$F$801, 0)+1)))), "")</f>
        <v/>
      </c>
      <c r="E999" s="10">
        <f>IFERROR(IF(INDEX(ERP資料!$F:$F, (MATCH(998, 輔助計算!$F$2:$F$801, 0)+1))="","",INDEX(ERP資料!$F:$F, (MATCH(998, 輔助計算!$F$2:$F$801, 0)+1))), "")</f>
        <v/>
      </c>
      <c r="F999" s="10">
        <f>IFERROR(IF(INDEX(ERP資料!$G:$G, (MATCH(998, 輔助計算!$F$2:$F$801, 0)+1))="","",INDEX(ERP資料!$G:$G, (MATCH(998, 輔助計算!$F$2:$F$801, 0)+1))), "")</f>
        <v/>
      </c>
      <c r="G999" s="10">
        <f>IFERROR(IF(INDEX(ERP資料!$H:$H, (MATCH(998, 輔助計算!$F$2:$F$801, 0)+1))="","",INDEX(ERP資料!$H:$H, (MATCH(998, 輔助計算!$F$2:$F$801, 0)+1))), "")</f>
        <v/>
      </c>
      <c r="H999" s="10">
        <f>IFERROR(IF(INDEX(ERP資料!$O:$O, (MATCH(998, 輔助計算!$F$2:$F$801, 0)+1))="","",INDEX(ERP資料!$O:$O, (MATCH(998, 輔助計算!$F$2:$F$801, 0)+1))), "")</f>
        <v/>
      </c>
      <c r="I999" s="15">
        <f>IFERROR(IF(INDEX(輔助計算!$D:$D,(MATCH(998, 輔助計算!$F$2:$F$801, 0)+1))="","",INDEX(輔助計算!$D:$D,(MATCH(998, 輔助計算!$F$2:$F$801, 0)+1))*INDEX(ERP資料!$O:$O,(MATCH(998, 輔助計算!$F$2:$F$801, 0)+1))), "")</f>
        <v/>
      </c>
      <c r="J999" s="16" t="n"/>
      <c r="K999" s="15">
        <f>IFERROR(INDEX(輔助計算!$D:$D, (MATCH(998, 輔助計算!$F$2:$F$801, 0)+1)), "")</f>
        <v/>
      </c>
      <c r="L999" s="16">
        <f>IFERROR(IF(AND(IFERROR(VLOOKUP(LEFT(INDEX(ERP資料!$S:$S, (MATCH(998, 輔助計算!$F$2:$F$801, 0)+1)), 4), 100張客戶!$A:$A, 1, FALSE), "")&lt;&gt;"", OR(INDEX(ERP資料!$F:$F, (MATCH(998, 輔助計算!$F$2:$F$801, 0)+1))=270, INDEX(ERP資料!$F:$F, (MATCH(998, 輔助計算!$F$2:$F$801, 0)+1))=300)), "100張", ""), "")</f>
        <v/>
      </c>
      <c r="M999" s="17" t="n"/>
      <c r="N999" s="17">
        <f>IF($F999="","",$F999)</f>
        <v/>
      </c>
      <c r="O999" s="17">
        <f>IF($G999="","",$G999)</f>
        <v/>
      </c>
      <c r="P999" s="17">
        <f>IF($K999="","",$K999)</f>
        <v/>
      </c>
      <c r="Q999" s="16" t="n"/>
      <c r="R999" s="18" t="n"/>
      <c r="S999" s="16" t="n"/>
    </row>
    <row r="1000">
      <c r="A1000" s="14">
        <f>IFERROR(IF(AND(IFERROR(INDEX(ERP資料!$A:$A, (MATCH(999, 輔助計算!$F$2:$F$801, 0)+1)), "")&lt;&gt;"", IFERROR(INDEX(ERP資料!$A:$A, (MATCH(999, 輔助計算!$F$2:$F$801, 0)+1)), "")&lt;&gt;IFERROR(INDEX(ERP資料!$A:$A, MATCH(998, 輔助計算!$F$2:$F$801, 0)+1), "")), INDEX(ERP資料!$B:$B, (MATCH(999, 輔助計算!$F$2:$F$801, 0)+1)), ""), "")</f>
        <v/>
      </c>
      <c r="B1000" s="10">
        <f>IFERROR(IF(AND(IFERROR(INDEX(ERP資料!$A:$A, (MATCH(999, 輔助計算!$F$2:$F$801, 0)+1)), "")&lt;&gt;"", IFERROR(INDEX(ERP資料!$A:$A, (MATCH(999, 輔助計算!$F$2:$F$801, 0)+1)), "")&lt;&gt;IFERROR(INDEX(ERP資料!$A:$A, MATCH(998, 輔助計算!$F$2:$F$801, 0)+1), "")), IFERROR(INDEX(ERP資料!$A:$A, (MATCH(999, 輔助計算!$F$2:$F$801, 0)+1)), ""), ""), "")</f>
        <v/>
      </c>
      <c r="C1000" s="10">
        <f>IFERROR(IF(AND(IFERROR(INDEX(ERP資料!$A:$A, (MATCH(999, 輔助計算!$F$2:$F$801, 0)+1)), "")&lt;&gt;"", IFERROR(INDEX(ERP資料!$A:$A, (MATCH(999, 輔助計算!$F$2:$F$801, 0)+1)), "")&lt;&gt;IFERROR(INDEX(ERP資料!$A:$A, MATCH(998, 輔助計算!$F$2:$F$801, 0)+1), "")), INDEX(ERP資料!$S:$S, (MATCH(999, 輔助計算!$F$2:$F$801, 0)+1)), ""), "")</f>
        <v/>
      </c>
      <c r="D1000" s="10">
        <f>IFERROR(IF(INDEX(ERP資料!$E:$E, (MATCH(999, 輔助計算!$F$2:$F$801, 0)+1))="","",TRIM(INDEX(ERP資料!$E:$E, (MATCH(999, 輔助計算!$F$2:$F$801, 0)+1)))), "")</f>
        <v/>
      </c>
      <c r="E1000" s="10">
        <f>IFERROR(IF(INDEX(ERP資料!$F:$F, (MATCH(999, 輔助計算!$F$2:$F$801, 0)+1))="","",INDEX(ERP資料!$F:$F, (MATCH(999, 輔助計算!$F$2:$F$801, 0)+1))), "")</f>
        <v/>
      </c>
      <c r="F1000" s="10">
        <f>IFERROR(IF(INDEX(ERP資料!$G:$G, (MATCH(999, 輔助計算!$F$2:$F$801, 0)+1))="","",INDEX(ERP資料!$G:$G, (MATCH(999, 輔助計算!$F$2:$F$801, 0)+1))), "")</f>
        <v/>
      </c>
      <c r="G1000" s="10">
        <f>IFERROR(IF(INDEX(ERP資料!$H:$H, (MATCH(999, 輔助計算!$F$2:$F$801, 0)+1))="","",INDEX(ERP資料!$H:$H, (MATCH(999, 輔助計算!$F$2:$F$801, 0)+1))), "")</f>
        <v/>
      </c>
      <c r="H1000" s="10">
        <f>IFERROR(IF(INDEX(ERP資料!$O:$O, (MATCH(999, 輔助計算!$F$2:$F$801, 0)+1))="","",INDEX(ERP資料!$O:$O, (MATCH(999, 輔助計算!$F$2:$F$801, 0)+1))), "")</f>
        <v/>
      </c>
      <c r="I1000" s="15">
        <f>IFERROR(IF(INDEX(輔助計算!$D:$D,(MATCH(999, 輔助計算!$F$2:$F$801, 0)+1))="","",INDEX(輔助計算!$D:$D,(MATCH(999, 輔助計算!$F$2:$F$801, 0)+1))*INDEX(ERP資料!$O:$O,(MATCH(999, 輔助計算!$F$2:$F$801, 0)+1))), "")</f>
        <v/>
      </c>
      <c r="J1000" s="16" t="n"/>
      <c r="K1000" s="15">
        <f>IFERROR(INDEX(輔助計算!$D:$D, (MATCH(999, 輔助計算!$F$2:$F$801, 0)+1)), "")</f>
        <v/>
      </c>
      <c r="L1000" s="16">
        <f>IFERROR(IF(AND(IFERROR(VLOOKUP(LEFT(INDEX(ERP資料!$S:$S, (MATCH(999, 輔助計算!$F$2:$F$801, 0)+1)), 4), 100張客戶!$A:$A, 1, FALSE), "")&lt;&gt;"", OR(INDEX(ERP資料!$F:$F, (MATCH(999, 輔助計算!$F$2:$F$801, 0)+1))=270, INDEX(ERP資料!$F:$F, (MATCH(999, 輔助計算!$F$2:$F$801, 0)+1))=300)), "100張", ""), "")</f>
        <v/>
      </c>
      <c r="M1000" s="17" t="n"/>
      <c r="N1000" s="17">
        <f>IF($F1000="","",$F1000)</f>
        <v/>
      </c>
      <c r="O1000" s="17">
        <f>IF($G1000="","",$G1000)</f>
        <v/>
      </c>
      <c r="P1000" s="17">
        <f>IF($K1000="","",$K1000)</f>
        <v/>
      </c>
      <c r="Q1000" s="16" t="n"/>
      <c r="R1000" s="18" t="n"/>
      <c r="S1000" s="16" t="n"/>
    </row>
    <row r="1001">
      <c r="A1001" s="14">
        <f>IFERROR(IF(AND(IFERROR(INDEX(ERP資料!$A:$A, (MATCH(1000, 輔助計算!$F$2:$F$801, 0)+1)), "")&lt;&gt;"", IFERROR(INDEX(ERP資料!$A:$A, (MATCH(1000, 輔助計算!$F$2:$F$801, 0)+1)), "")&lt;&gt;IFERROR(INDEX(ERP資料!$A:$A, MATCH(999, 輔助計算!$F$2:$F$801, 0)+1), "")), INDEX(ERP資料!$B:$B, (MATCH(1000, 輔助計算!$F$2:$F$801, 0)+1)), ""), "")</f>
        <v/>
      </c>
      <c r="B1001" s="10">
        <f>IFERROR(IF(AND(IFERROR(INDEX(ERP資料!$A:$A, (MATCH(1000, 輔助計算!$F$2:$F$801, 0)+1)), "")&lt;&gt;"", IFERROR(INDEX(ERP資料!$A:$A, (MATCH(1000, 輔助計算!$F$2:$F$801, 0)+1)), "")&lt;&gt;IFERROR(INDEX(ERP資料!$A:$A, MATCH(999, 輔助計算!$F$2:$F$801, 0)+1), "")), IFERROR(INDEX(ERP資料!$A:$A, (MATCH(1000, 輔助計算!$F$2:$F$801, 0)+1)), ""), ""), "")</f>
        <v/>
      </c>
      <c r="C1001" s="10">
        <f>IFERROR(IF(AND(IFERROR(INDEX(ERP資料!$A:$A, (MATCH(1000, 輔助計算!$F$2:$F$801, 0)+1)), "")&lt;&gt;"", IFERROR(INDEX(ERP資料!$A:$A, (MATCH(1000, 輔助計算!$F$2:$F$801, 0)+1)), "")&lt;&gt;IFERROR(INDEX(ERP資料!$A:$A, MATCH(999, 輔助計算!$F$2:$F$801, 0)+1), "")), INDEX(ERP資料!$S:$S, (MATCH(1000, 輔助計算!$F$2:$F$801, 0)+1)), ""), "")</f>
        <v/>
      </c>
      <c r="D1001" s="10">
        <f>IFERROR(IF(INDEX(ERP資料!$E:$E, (MATCH(1000, 輔助計算!$F$2:$F$801, 0)+1))="","",TRIM(INDEX(ERP資料!$E:$E, (MATCH(1000, 輔助計算!$F$2:$F$801, 0)+1)))), "")</f>
        <v/>
      </c>
      <c r="E1001" s="10">
        <f>IFERROR(IF(INDEX(ERP資料!$F:$F, (MATCH(1000, 輔助計算!$F$2:$F$801, 0)+1))="","",INDEX(ERP資料!$F:$F, (MATCH(1000, 輔助計算!$F$2:$F$801, 0)+1))), "")</f>
        <v/>
      </c>
      <c r="F1001" s="10">
        <f>IFERROR(IF(INDEX(ERP資料!$G:$G, (MATCH(1000, 輔助計算!$F$2:$F$801, 0)+1))="","",INDEX(ERP資料!$G:$G, (MATCH(1000, 輔助計算!$F$2:$F$801, 0)+1))), "")</f>
        <v/>
      </c>
      <c r="G1001" s="10">
        <f>IFERROR(IF(INDEX(ERP資料!$H:$H, (MATCH(1000, 輔助計算!$F$2:$F$801, 0)+1))="","",INDEX(ERP資料!$H:$H, (MATCH(1000, 輔助計算!$F$2:$F$801, 0)+1))), "")</f>
        <v/>
      </c>
      <c r="H1001" s="10">
        <f>IFERROR(IF(INDEX(ERP資料!$O:$O, (MATCH(1000, 輔助計算!$F$2:$F$801, 0)+1))="","",INDEX(ERP資料!$O:$O, (MATCH(1000, 輔助計算!$F$2:$F$801, 0)+1))), "")</f>
        <v/>
      </c>
      <c r="I1001" s="15">
        <f>IFERROR(IF(INDEX(輔助計算!$D:$D,(MATCH(1000, 輔助計算!$F$2:$F$801, 0)+1))="","",INDEX(輔助計算!$D:$D,(MATCH(1000, 輔助計算!$F$2:$F$801, 0)+1))*INDEX(ERP資料!$O:$O,(MATCH(1000, 輔助計算!$F$2:$F$801, 0)+1))), "")</f>
        <v/>
      </c>
      <c r="J1001" s="16" t="n"/>
      <c r="K1001" s="15">
        <f>IFERROR(INDEX(輔助計算!$D:$D, (MATCH(1000, 輔助計算!$F$2:$F$801, 0)+1)), "")</f>
        <v/>
      </c>
      <c r="L1001" s="16">
        <f>IFERROR(IF(AND(IFERROR(VLOOKUP(LEFT(INDEX(ERP資料!$S:$S, (MATCH(1000, 輔助計算!$F$2:$F$801, 0)+1)), 4), 100張客戶!$A:$A, 1, FALSE), "")&lt;&gt;"", OR(INDEX(ERP資料!$F:$F, (MATCH(1000, 輔助計算!$F$2:$F$801, 0)+1))=270, INDEX(ERP資料!$F:$F, (MATCH(1000, 輔助計算!$F$2:$F$801, 0)+1))=300)), "100張", ""), "")</f>
        <v/>
      </c>
      <c r="M1001" s="17" t="n"/>
      <c r="N1001" s="17">
        <f>IF($F1001="","",$F1001)</f>
        <v/>
      </c>
      <c r="O1001" s="17">
        <f>IF($G1001="","",$G1001)</f>
        <v/>
      </c>
      <c r="P1001" s="17">
        <f>IF($K1001="","",$K1001)</f>
        <v/>
      </c>
      <c r="Q1001" s="16" t="n"/>
      <c r="R1001" s="18" t="n"/>
      <c r="S1001" s="16" t="n"/>
    </row>
    <row r="1002">
      <c r="A1002" s="14">
        <f>IFERROR(IF(AND(IFERROR(INDEX(ERP資料!$A:$A, (MATCH(1001, 輔助計算!$F$2:$F$801, 0)+1)), "")&lt;&gt;"", IFERROR(INDEX(ERP資料!$A:$A, (MATCH(1001, 輔助計算!$F$2:$F$801, 0)+1)), "")&lt;&gt;IFERROR(INDEX(ERP資料!$A:$A, MATCH(1000, 輔助計算!$F$2:$F$801, 0)+1), "")), INDEX(ERP資料!$B:$B, (MATCH(1001, 輔助計算!$F$2:$F$801, 0)+1)), ""), "")</f>
        <v/>
      </c>
      <c r="B1002" s="10">
        <f>IFERROR(IF(AND(IFERROR(INDEX(ERP資料!$A:$A, (MATCH(1001, 輔助計算!$F$2:$F$801, 0)+1)), "")&lt;&gt;"", IFERROR(INDEX(ERP資料!$A:$A, (MATCH(1001, 輔助計算!$F$2:$F$801, 0)+1)), "")&lt;&gt;IFERROR(INDEX(ERP資料!$A:$A, MATCH(1000, 輔助計算!$F$2:$F$801, 0)+1), "")), IFERROR(INDEX(ERP資料!$A:$A, (MATCH(1001, 輔助計算!$F$2:$F$801, 0)+1)), ""), ""), "")</f>
        <v/>
      </c>
      <c r="C1002" s="10">
        <f>IFERROR(IF(AND(IFERROR(INDEX(ERP資料!$A:$A, (MATCH(1001, 輔助計算!$F$2:$F$801, 0)+1)), "")&lt;&gt;"", IFERROR(INDEX(ERP資料!$A:$A, (MATCH(1001, 輔助計算!$F$2:$F$801, 0)+1)), "")&lt;&gt;IFERROR(INDEX(ERP資料!$A:$A, MATCH(1000, 輔助計算!$F$2:$F$801, 0)+1), "")), INDEX(ERP資料!$S:$S, (MATCH(1001, 輔助計算!$F$2:$F$801, 0)+1)), ""), "")</f>
        <v/>
      </c>
      <c r="D1002" s="10">
        <f>IFERROR(IF(INDEX(ERP資料!$E:$E, (MATCH(1001, 輔助計算!$F$2:$F$801, 0)+1))="","",TRIM(INDEX(ERP資料!$E:$E, (MATCH(1001, 輔助計算!$F$2:$F$801, 0)+1)))), "")</f>
        <v/>
      </c>
      <c r="E1002" s="10">
        <f>IFERROR(IF(INDEX(ERP資料!$F:$F, (MATCH(1001, 輔助計算!$F$2:$F$801, 0)+1))="","",INDEX(ERP資料!$F:$F, (MATCH(1001, 輔助計算!$F$2:$F$801, 0)+1))), "")</f>
        <v/>
      </c>
      <c r="F1002" s="10">
        <f>IFERROR(IF(INDEX(ERP資料!$G:$G, (MATCH(1001, 輔助計算!$F$2:$F$801, 0)+1))="","",INDEX(ERP資料!$G:$G, (MATCH(1001, 輔助計算!$F$2:$F$801, 0)+1))), "")</f>
        <v/>
      </c>
      <c r="G1002" s="10">
        <f>IFERROR(IF(INDEX(ERP資料!$H:$H, (MATCH(1001, 輔助計算!$F$2:$F$801, 0)+1))="","",INDEX(ERP資料!$H:$H, (MATCH(1001, 輔助計算!$F$2:$F$801, 0)+1))), "")</f>
        <v/>
      </c>
      <c r="H1002" s="10">
        <f>IFERROR(IF(INDEX(ERP資料!$O:$O, (MATCH(1001, 輔助計算!$F$2:$F$801, 0)+1))="","",INDEX(ERP資料!$O:$O, (MATCH(1001, 輔助計算!$F$2:$F$801, 0)+1))), "")</f>
        <v/>
      </c>
      <c r="I1002" s="15">
        <f>IFERROR(IF(INDEX(輔助計算!$D:$D,(MATCH(1001, 輔助計算!$F$2:$F$801, 0)+1))="","",INDEX(輔助計算!$D:$D,(MATCH(1001, 輔助計算!$F$2:$F$801, 0)+1))*INDEX(ERP資料!$O:$O,(MATCH(1001, 輔助計算!$F$2:$F$801, 0)+1))), "")</f>
        <v/>
      </c>
      <c r="J1002" s="16" t="n"/>
      <c r="K1002" s="15">
        <f>IFERROR(INDEX(輔助計算!$D:$D, (MATCH(1001, 輔助計算!$F$2:$F$801, 0)+1)), "")</f>
        <v/>
      </c>
      <c r="L1002" s="16">
        <f>IFERROR(IF(AND(IFERROR(VLOOKUP(LEFT(INDEX(ERP資料!$S:$S, (MATCH(1001, 輔助計算!$F$2:$F$801, 0)+1)), 4), 100張客戶!$A:$A, 1, FALSE), "")&lt;&gt;"", OR(INDEX(ERP資料!$F:$F, (MATCH(1001, 輔助計算!$F$2:$F$801, 0)+1))=270, INDEX(ERP資料!$F:$F, (MATCH(1001, 輔助計算!$F$2:$F$801, 0)+1))=300)), "100張", ""), "")</f>
        <v/>
      </c>
      <c r="M1002" s="17" t="n"/>
      <c r="N1002" s="17">
        <f>IF($F1002="","",$F1002)</f>
        <v/>
      </c>
      <c r="O1002" s="17">
        <f>IF($G1002="","",$G1002)</f>
        <v/>
      </c>
      <c r="P1002" s="17">
        <f>IF($K1002="","",$K1002)</f>
        <v/>
      </c>
      <c r="Q1002" s="16" t="n"/>
      <c r="R1002" s="18" t="n"/>
      <c r="S1002" s="16" t="n"/>
    </row>
    <row r="1003">
      <c r="A1003" s="14">
        <f>IFERROR(IF(AND(IFERROR(INDEX(ERP資料!$A:$A, (MATCH(1002, 輔助計算!$F$2:$F$801, 0)+1)), "")&lt;&gt;"", IFERROR(INDEX(ERP資料!$A:$A, (MATCH(1002, 輔助計算!$F$2:$F$801, 0)+1)), "")&lt;&gt;IFERROR(INDEX(ERP資料!$A:$A, MATCH(1001, 輔助計算!$F$2:$F$801, 0)+1), "")), INDEX(ERP資料!$B:$B, (MATCH(1002, 輔助計算!$F$2:$F$801, 0)+1)), ""), "")</f>
        <v/>
      </c>
      <c r="B1003" s="10">
        <f>IFERROR(IF(AND(IFERROR(INDEX(ERP資料!$A:$A, (MATCH(1002, 輔助計算!$F$2:$F$801, 0)+1)), "")&lt;&gt;"", IFERROR(INDEX(ERP資料!$A:$A, (MATCH(1002, 輔助計算!$F$2:$F$801, 0)+1)), "")&lt;&gt;IFERROR(INDEX(ERP資料!$A:$A, MATCH(1001, 輔助計算!$F$2:$F$801, 0)+1), "")), IFERROR(INDEX(ERP資料!$A:$A, (MATCH(1002, 輔助計算!$F$2:$F$801, 0)+1)), ""), ""), "")</f>
        <v/>
      </c>
      <c r="C1003" s="10">
        <f>IFERROR(IF(AND(IFERROR(INDEX(ERP資料!$A:$A, (MATCH(1002, 輔助計算!$F$2:$F$801, 0)+1)), "")&lt;&gt;"", IFERROR(INDEX(ERP資料!$A:$A, (MATCH(1002, 輔助計算!$F$2:$F$801, 0)+1)), "")&lt;&gt;IFERROR(INDEX(ERP資料!$A:$A, MATCH(1001, 輔助計算!$F$2:$F$801, 0)+1), "")), INDEX(ERP資料!$S:$S, (MATCH(1002, 輔助計算!$F$2:$F$801, 0)+1)), ""), "")</f>
        <v/>
      </c>
      <c r="D1003" s="10">
        <f>IFERROR(IF(INDEX(ERP資料!$E:$E, (MATCH(1002, 輔助計算!$F$2:$F$801, 0)+1))="","",TRIM(INDEX(ERP資料!$E:$E, (MATCH(1002, 輔助計算!$F$2:$F$801, 0)+1)))), "")</f>
        <v/>
      </c>
      <c r="E1003" s="10">
        <f>IFERROR(IF(INDEX(ERP資料!$F:$F, (MATCH(1002, 輔助計算!$F$2:$F$801, 0)+1))="","",INDEX(ERP資料!$F:$F, (MATCH(1002, 輔助計算!$F$2:$F$801, 0)+1))), "")</f>
        <v/>
      </c>
      <c r="F1003" s="10">
        <f>IFERROR(IF(INDEX(ERP資料!$G:$G, (MATCH(1002, 輔助計算!$F$2:$F$801, 0)+1))="","",INDEX(ERP資料!$G:$G, (MATCH(1002, 輔助計算!$F$2:$F$801, 0)+1))), "")</f>
        <v/>
      </c>
      <c r="G1003" s="10">
        <f>IFERROR(IF(INDEX(ERP資料!$H:$H, (MATCH(1002, 輔助計算!$F$2:$F$801, 0)+1))="","",INDEX(ERP資料!$H:$H, (MATCH(1002, 輔助計算!$F$2:$F$801, 0)+1))), "")</f>
        <v/>
      </c>
      <c r="H1003" s="10">
        <f>IFERROR(IF(INDEX(ERP資料!$O:$O, (MATCH(1002, 輔助計算!$F$2:$F$801, 0)+1))="","",INDEX(ERP資料!$O:$O, (MATCH(1002, 輔助計算!$F$2:$F$801, 0)+1))), "")</f>
        <v/>
      </c>
      <c r="I1003" s="15">
        <f>IFERROR(IF(INDEX(輔助計算!$D:$D,(MATCH(1002, 輔助計算!$F$2:$F$801, 0)+1))="","",INDEX(輔助計算!$D:$D,(MATCH(1002, 輔助計算!$F$2:$F$801, 0)+1))*INDEX(ERP資料!$O:$O,(MATCH(1002, 輔助計算!$F$2:$F$801, 0)+1))), "")</f>
        <v/>
      </c>
      <c r="J1003" s="16" t="n"/>
      <c r="K1003" s="15">
        <f>IFERROR(INDEX(輔助計算!$D:$D, (MATCH(1002, 輔助計算!$F$2:$F$801, 0)+1)), "")</f>
        <v/>
      </c>
      <c r="L1003" s="16">
        <f>IFERROR(IF(AND(IFERROR(VLOOKUP(LEFT(INDEX(ERP資料!$S:$S, (MATCH(1002, 輔助計算!$F$2:$F$801, 0)+1)), 4), 100張客戶!$A:$A, 1, FALSE), "")&lt;&gt;"", OR(INDEX(ERP資料!$F:$F, (MATCH(1002, 輔助計算!$F$2:$F$801, 0)+1))=270, INDEX(ERP資料!$F:$F, (MATCH(1002, 輔助計算!$F$2:$F$801, 0)+1))=300)), "100張", ""), "")</f>
        <v/>
      </c>
      <c r="M1003" s="17" t="n"/>
      <c r="N1003" s="17">
        <f>IF($F1003="","",$F1003)</f>
        <v/>
      </c>
      <c r="O1003" s="17">
        <f>IF($G1003="","",$G1003)</f>
        <v/>
      </c>
      <c r="P1003" s="17">
        <f>IF($K1003="","",$K1003)</f>
        <v/>
      </c>
      <c r="Q1003" s="16" t="n"/>
      <c r="R1003" s="18" t="n"/>
      <c r="S1003" s="16" t="n"/>
    </row>
    <row r="1004">
      <c r="A1004" s="14">
        <f>IFERROR(IF(AND(IFERROR(INDEX(ERP資料!$A:$A, (MATCH(1003, 輔助計算!$F$2:$F$801, 0)+1)), "")&lt;&gt;"", IFERROR(INDEX(ERP資料!$A:$A, (MATCH(1003, 輔助計算!$F$2:$F$801, 0)+1)), "")&lt;&gt;IFERROR(INDEX(ERP資料!$A:$A, MATCH(1002, 輔助計算!$F$2:$F$801, 0)+1), "")), INDEX(ERP資料!$B:$B, (MATCH(1003, 輔助計算!$F$2:$F$801, 0)+1)), ""), "")</f>
        <v/>
      </c>
      <c r="B1004" s="10">
        <f>IFERROR(IF(AND(IFERROR(INDEX(ERP資料!$A:$A, (MATCH(1003, 輔助計算!$F$2:$F$801, 0)+1)), "")&lt;&gt;"", IFERROR(INDEX(ERP資料!$A:$A, (MATCH(1003, 輔助計算!$F$2:$F$801, 0)+1)), "")&lt;&gt;IFERROR(INDEX(ERP資料!$A:$A, MATCH(1002, 輔助計算!$F$2:$F$801, 0)+1), "")), IFERROR(INDEX(ERP資料!$A:$A, (MATCH(1003, 輔助計算!$F$2:$F$801, 0)+1)), ""), ""), "")</f>
        <v/>
      </c>
      <c r="C1004" s="10">
        <f>IFERROR(IF(AND(IFERROR(INDEX(ERP資料!$A:$A, (MATCH(1003, 輔助計算!$F$2:$F$801, 0)+1)), "")&lt;&gt;"", IFERROR(INDEX(ERP資料!$A:$A, (MATCH(1003, 輔助計算!$F$2:$F$801, 0)+1)), "")&lt;&gt;IFERROR(INDEX(ERP資料!$A:$A, MATCH(1002, 輔助計算!$F$2:$F$801, 0)+1), "")), INDEX(ERP資料!$S:$S, (MATCH(1003, 輔助計算!$F$2:$F$801, 0)+1)), ""), "")</f>
        <v/>
      </c>
      <c r="D1004" s="10">
        <f>IFERROR(IF(INDEX(ERP資料!$E:$E, (MATCH(1003, 輔助計算!$F$2:$F$801, 0)+1))="","",TRIM(INDEX(ERP資料!$E:$E, (MATCH(1003, 輔助計算!$F$2:$F$801, 0)+1)))), "")</f>
        <v/>
      </c>
      <c r="E1004" s="10">
        <f>IFERROR(IF(INDEX(ERP資料!$F:$F, (MATCH(1003, 輔助計算!$F$2:$F$801, 0)+1))="","",INDEX(ERP資料!$F:$F, (MATCH(1003, 輔助計算!$F$2:$F$801, 0)+1))), "")</f>
        <v/>
      </c>
      <c r="F1004" s="10">
        <f>IFERROR(IF(INDEX(ERP資料!$G:$G, (MATCH(1003, 輔助計算!$F$2:$F$801, 0)+1))="","",INDEX(ERP資料!$G:$G, (MATCH(1003, 輔助計算!$F$2:$F$801, 0)+1))), "")</f>
        <v/>
      </c>
      <c r="G1004" s="10">
        <f>IFERROR(IF(INDEX(ERP資料!$H:$H, (MATCH(1003, 輔助計算!$F$2:$F$801, 0)+1))="","",INDEX(ERP資料!$H:$H, (MATCH(1003, 輔助計算!$F$2:$F$801, 0)+1))), "")</f>
        <v/>
      </c>
      <c r="H1004" s="10">
        <f>IFERROR(IF(INDEX(ERP資料!$O:$O, (MATCH(1003, 輔助計算!$F$2:$F$801, 0)+1))="","",INDEX(ERP資料!$O:$O, (MATCH(1003, 輔助計算!$F$2:$F$801, 0)+1))), "")</f>
        <v/>
      </c>
      <c r="I1004" s="15">
        <f>IFERROR(IF(INDEX(輔助計算!$D:$D,(MATCH(1003, 輔助計算!$F$2:$F$801, 0)+1))="","",INDEX(輔助計算!$D:$D,(MATCH(1003, 輔助計算!$F$2:$F$801, 0)+1))*INDEX(ERP資料!$O:$O,(MATCH(1003, 輔助計算!$F$2:$F$801, 0)+1))), "")</f>
        <v/>
      </c>
      <c r="J1004" s="16" t="n"/>
      <c r="K1004" s="15">
        <f>IFERROR(INDEX(輔助計算!$D:$D, (MATCH(1003, 輔助計算!$F$2:$F$801, 0)+1)), "")</f>
        <v/>
      </c>
      <c r="L1004" s="16">
        <f>IFERROR(IF(AND(IFERROR(VLOOKUP(LEFT(INDEX(ERP資料!$S:$S, (MATCH(1003, 輔助計算!$F$2:$F$801, 0)+1)), 4), 100張客戶!$A:$A, 1, FALSE), "")&lt;&gt;"", OR(INDEX(ERP資料!$F:$F, (MATCH(1003, 輔助計算!$F$2:$F$801, 0)+1))=270, INDEX(ERP資料!$F:$F, (MATCH(1003, 輔助計算!$F$2:$F$801, 0)+1))=300)), "100張", ""), "")</f>
        <v/>
      </c>
      <c r="M1004" s="17" t="n"/>
      <c r="N1004" s="17">
        <f>IF($F1004="","",$F1004)</f>
        <v/>
      </c>
      <c r="O1004" s="17">
        <f>IF($G1004="","",$G1004)</f>
        <v/>
      </c>
      <c r="P1004" s="17">
        <f>IF($K1004="","",$K1004)</f>
        <v/>
      </c>
      <c r="Q1004" s="16" t="n"/>
      <c r="R1004" s="18" t="n"/>
      <c r="S1004" s="16" t="n"/>
    </row>
    <row r="1005">
      <c r="A1005" s="14">
        <f>IFERROR(IF(AND(IFERROR(INDEX(ERP資料!$A:$A, (MATCH(1004, 輔助計算!$F$2:$F$801, 0)+1)), "")&lt;&gt;"", IFERROR(INDEX(ERP資料!$A:$A, (MATCH(1004, 輔助計算!$F$2:$F$801, 0)+1)), "")&lt;&gt;IFERROR(INDEX(ERP資料!$A:$A, MATCH(1003, 輔助計算!$F$2:$F$801, 0)+1), "")), INDEX(ERP資料!$B:$B, (MATCH(1004, 輔助計算!$F$2:$F$801, 0)+1)), ""), "")</f>
        <v/>
      </c>
      <c r="B1005" s="10">
        <f>IFERROR(IF(AND(IFERROR(INDEX(ERP資料!$A:$A, (MATCH(1004, 輔助計算!$F$2:$F$801, 0)+1)), "")&lt;&gt;"", IFERROR(INDEX(ERP資料!$A:$A, (MATCH(1004, 輔助計算!$F$2:$F$801, 0)+1)), "")&lt;&gt;IFERROR(INDEX(ERP資料!$A:$A, MATCH(1003, 輔助計算!$F$2:$F$801, 0)+1), "")), IFERROR(INDEX(ERP資料!$A:$A, (MATCH(1004, 輔助計算!$F$2:$F$801, 0)+1)), ""), ""), "")</f>
        <v/>
      </c>
      <c r="C1005" s="10">
        <f>IFERROR(IF(AND(IFERROR(INDEX(ERP資料!$A:$A, (MATCH(1004, 輔助計算!$F$2:$F$801, 0)+1)), "")&lt;&gt;"", IFERROR(INDEX(ERP資料!$A:$A, (MATCH(1004, 輔助計算!$F$2:$F$801, 0)+1)), "")&lt;&gt;IFERROR(INDEX(ERP資料!$A:$A, MATCH(1003, 輔助計算!$F$2:$F$801, 0)+1), "")), INDEX(ERP資料!$S:$S, (MATCH(1004, 輔助計算!$F$2:$F$801, 0)+1)), ""), "")</f>
        <v/>
      </c>
      <c r="D1005" s="10">
        <f>IFERROR(IF(INDEX(ERP資料!$E:$E, (MATCH(1004, 輔助計算!$F$2:$F$801, 0)+1))="","",TRIM(INDEX(ERP資料!$E:$E, (MATCH(1004, 輔助計算!$F$2:$F$801, 0)+1)))), "")</f>
        <v/>
      </c>
      <c r="E1005" s="10">
        <f>IFERROR(IF(INDEX(ERP資料!$F:$F, (MATCH(1004, 輔助計算!$F$2:$F$801, 0)+1))="","",INDEX(ERP資料!$F:$F, (MATCH(1004, 輔助計算!$F$2:$F$801, 0)+1))), "")</f>
        <v/>
      </c>
      <c r="F1005" s="10">
        <f>IFERROR(IF(INDEX(ERP資料!$G:$G, (MATCH(1004, 輔助計算!$F$2:$F$801, 0)+1))="","",INDEX(ERP資料!$G:$G, (MATCH(1004, 輔助計算!$F$2:$F$801, 0)+1))), "")</f>
        <v/>
      </c>
      <c r="G1005" s="10">
        <f>IFERROR(IF(INDEX(ERP資料!$H:$H, (MATCH(1004, 輔助計算!$F$2:$F$801, 0)+1))="","",INDEX(ERP資料!$H:$H, (MATCH(1004, 輔助計算!$F$2:$F$801, 0)+1))), "")</f>
        <v/>
      </c>
      <c r="H1005" s="10">
        <f>IFERROR(IF(INDEX(ERP資料!$O:$O, (MATCH(1004, 輔助計算!$F$2:$F$801, 0)+1))="","",INDEX(ERP資料!$O:$O, (MATCH(1004, 輔助計算!$F$2:$F$801, 0)+1))), "")</f>
        <v/>
      </c>
      <c r="I1005" s="15">
        <f>IFERROR(IF(INDEX(輔助計算!$D:$D,(MATCH(1004, 輔助計算!$F$2:$F$801, 0)+1))="","",INDEX(輔助計算!$D:$D,(MATCH(1004, 輔助計算!$F$2:$F$801, 0)+1))*INDEX(ERP資料!$O:$O,(MATCH(1004, 輔助計算!$F$2:$F$801, 0)+1))), "")</f>
        <v/>
      </c>
      <c r="J1005" s="16" t="n"/>
      <c r="K1005" s="15">
        <f>IFERROR(INDEX(輔助計算!$D:$D, (MATCH(1004, 輔助計算!$F$2:$F$801, 0)+1)), "")</f>
        <v/>
      </c>
      <c r="L1005" s="16">
        <f>IFERROR(IF(AND(IFERROR(VLOOKUP(LEFT(INDEX(ERP資料!$S:$S, (MATCH(1004, 輔助計算!$F$2:$F$801, 0)+1)), 4), 100張客戶!$A:$A, 1, FALSE), "")&lt;&gt;"", OR(INDEX(ERP資料!$F:$F, (MATCH(1004, 輔助計算!$F$2:$F$801, 0)+1))=270, INDEX(ERP資料!$F:$F, (MATCH(1004, 輔助計算!$F$2:$F$801, 0)+1))=300)), "100張", ""), "")</f>
        <v/>
      </c>
      <c r="M1005" s="17" t="n"/>
      <c r="N1005" s="17">
        <f>IF($F1005="","",$F1005)</f>
        <v/>
      </c>
      <c r="O1005" s="17">
        <f>IF($G1005="","",$G1005)</f>
        <v/>
      </c>
      <c r="P1005" s="17">
        <f>IF($K1005="","",$K1005)</f>
        <v/>
      </c>
      <c r="Q1005" s="16" t="n"/>
      <c r="R1005" s="18" t="n"/>
      <c r="S1005" s="16" t="n"/>
    </row>
    <row r="1006">
      <c r="A1006" s="14">
        <f>IFERROR(IF(AND(IFERROR(INDEX(ERP資料!$A:$A, (MATCH(1005, 輔助計算!$F$2:$F$801, 0)+1)), "")&lt;&gt;"", IFERROR(INDEX(ERP資料!$A:$A, (MATCH(1005, 輔助計算!$F$2:$F$801, 0)+1)), "")&lt;&gt;IFERROR(INDEX(ERP資料!$A:$A, MATCH(1004, 輔助計算!$F$2:$F$801, 0)+1), "")), INDEX(ERP資料!$B:$B, (MATCH(1005, 輔助計算!$F$2:$F$801, 0)+1)), ""), "")</f>
        <v/>
      </c>
      <c r="B1006" s="10">
        <f>IFERROR(IF(AND(IFERROR(INDEX(ERP資料!$A:$A, (MATCH(1005, 輔助計算!$F$2:$F$801, 0)+1)), "")&lt;&gt;"", IFERROR(INDEX(ERP資料!$A:$A, (MATCH(1005, 輔助計算!$F$2:$F$801, 0)+1)), "")&lt;&gt;IFERROR(INDEX(ERP資料!$A:$A, MATCH(1004, 輔助計算!$F$2:$F$801, 0)+1), "")), IFERROR(INDEX(ERP資料!$A:$A, (MATCH(1005, 輔助計算!$F$2:$F$801, 0)+1)), ""), ""), "")</f>
        <v/>
      </c>
      <c r="C1006" s="10">
        <f>IFERROR(IF(AND(IFERROR(INDEX(ERP資料!$A:$A, (MATCH(1005, 輔助計算!$F$2:$F$801, 0)+1)), "")&lt;&gt;"", IFERROR(INDEX(ERP資料!$A:$A, (MATCH(1005, 輔助計算!$F$2:$F$801, 0)+1)), "")&lt;&gt;IFERROR(INDEX(ERP資料!$A:$A, MATCH(1004, 輔助計算!$F$2:$F$801, 0)+1), "")), INDEX(ERP資料!$S:$S, (MATCH(1005, 輔助計算!$F$2:$F$801, 0)+1)), ""), "")</f>
        <v/>
      </c>
      <c r="D1006" s="10">
        <f>IFERROR(IF(INDEX(ERP資料!$E:$E, (MATCH(1005, 輔助計算!$F$2:$F$801, 0)+1))="","",TRIM(INDEX(ERP資料!$E:$E, (MATCH(1005, 輔助計算!$F$2:$F$801, 0)+1)))), "")</f>
        <v/>
      </c>
      <c r="E1006" s="10">
        <f>IFERROR(IF(INDEX(ERP資料!$F:$F, (MATCH(1005, 輔助計算!$F$2:$F$801, 0)+1))="","",INDEX(ERP資料!$F:$F, (MATCH(1005, 輔助計算!$F$2:$F$801, 0)+1))), "")</f>
        <v/>
      </c>
      <c r="F1006" s="10">
        <f>IFERROR(IF(INDEX(ERP資料!$G:$G, (MATCH(1005, 輔助計算!$F$2:$F$801, 0)+1))="","",INDEX(ERP資料!$G:$G, (MATCH(1005, 輔助計算!$F$2:$F$801, 0)+1))), "")</f>
        <v/>
      </c>
      <c r="G1006" s="10">
        <f>IFERROR(IF(INDEX(ERP資料!$H:$H, (MATCH(1005, 輔助計算!$F$2:$F$801, 0)+1))="","",INDEX(ERP資料!$H:$H, (MATCH(1005, 輔助計算!$F$2:$F$801, 0)+1))), "")</f>
        <v/>
      </c>
      <c r="H1006" s="10">
        <f>IFERROR(IF(INDEX(ERP資料!$O:$O, (MATCH(1005, 輔助計算!$F$2:$F$801, 0)+1))="","",INDEX(ERP資料!$O:$O, (MATCH(1005, 輔助計算!$F$2:$F$801, 0)+1))), "")</f>
        <v/>
      </c>
      <c r="I1006" s="15">
        <f>IFERROR(IF(INDEX(輔助計算!$D:$D,(MATCH(1005, 輔助計算!$F$2:$F$801, 0)+1))="","",INDEX(輔助計算!$D:$D,(MATCH(1005, 輔助計算!$F$2:$F$801, 0)+1))*INDEX(ERP資料!$O:$O,(MATCH(1005, 輔助計算!$F$2:$F$801, 0)+1))), "")</f>
        <v/>
      </c>
      <c r="J1006" s="16" t="n"/>
      <c r="K1006" s="15">
        <f>IFERROR(INDEX(輔助計算!$D:$D, (MATCH(1005, 輔助計算!$F$2:$F$801, 0)+1)), "")</f>
        <v/>
      </c>
      <c r="L1006" s="16">
        <f>IFERROR(IF(AND(IFERROR(VLOOKUP(LEFT(INDEX(ERP資料!$S:$S, (MATCH(1005, 輔助計算!$F$2:$F$801, 0)+1)), 4), 100張客戶!$A:$A, 1, FALSE), "")&lt;&gt;"", OR(INDEX(ERP資料!$F:$F, (MATCH(1005, 輔助計算!$F$2:$F$801, 0)+1))=270, INDEX(ERP資料!$F:$F, (MATCH(1005, 輔助計算!$F$2:$F$801, 0)+1))=300)), "100張", ""), "")</f>
        <v/>
      </c>
      <c r="M1006" s="17" t="n"/>
      <c r="N1006" s="17">
        <f>IF($F1006="","",$F1006)</f>
        <v/>
      </c>
      <c r="O1006" s="17">
        <f>IF($G1006="","",$G1006)</f>
        <v/>
      </c>
      <c r="P1006" s="17">
        <f>IF($K1006="","",$K1006)</f>
        <v/>
      </c>
      <c r="Q1006" s="16" t="n"/>
      <c r="R1006" s="18" t="n"/>
      <c r="S1006" s="16" t="n"/>
    </row>
    <row r="1007">
      <c r="A1007" s="14">
        <f>IFERROR(IF(AND(IFERROR(INDEX(ERP資料!$A:$A, (MATCH(1006, 輔助計算!$F$2:$F$801, 0)+1)), "")&lt;&gt;"", IFERROR(INDEX(ERP資料!$A:$A, (MATCH(1006, 輔助計算!$F$2:$F$801, 0)+1)), "")&lt;&gt;IFERROR(INDEX(ERP資料!$A:$A, MATCH(1005, 輔助計算!$F$2:$F$801, 0)+1), "")), INDEX(ERP資料!$B:$B, (MATCH(1006, 輔助計算!$F$2:$F$801, 0)+1)), ""), "")</f>
        <v/>
      </c>
      <c r="B1007" s="10">
        <f>IFERROR(IF(AND(IFERROR(INDEX(ERP資料!$A:$A, (MATCH(1006, 輔助計算!$F$2:$F$801, 0)+1)), "")&lt;&gt;"", IFERROR(INDEX(ERP資料!$A:$A, (MATCH(1006, 輔助計算!$F$2:$F$801, 0)+1)), "")&lt;&gt;IFERROR(INDEX(ERP資料!$A:$A, MATCH(1005, 輔助計算!$F$2:$F$801, 0)+1), "")), IFERROR(INDEX(ERP資料!$A:$A, (MATCH(1006, 輔助計算!$F$2:$F$801, 0)+1)), ""), ""), "")</f>
        <v/>
      </c>
      <c r="C1007" s="10">
        <f>IFERROR(IF(AND(IFERROR(INDEX(ERP資料!$A:$A, (MATCH(1006, 輔助計算!$F$2:$F$801, 0)+1)), "")&lt;&gt;"", IFERROR(INDEX(ERP資料!$A:$A, (MATCH(1006, 輔助計算!$F$2:$F$801, 0)+1)), "")&lt;&gt;IFERROR(INDEX(ERP資料!$A:$A, MATCH(1005, 輔助計算!$F$2:$F$801, 0)+1), "")), INDEX(ERP資料!$S:$S, (MATCH(1006, 輔助計算!$F$2:$F$801, 0)+1)), ""), "")</f>
        <v/>
      </c>
      <c r="D1007" s="10">
        <f>IFERROR(IF(INDEX(ERP資料!$E:$E, (MATCH(1006, 輔助計算!$F$2:$F$801, 0)+1))="","",TRIM(INDEX(ERP資料!$E:$E, (MATCH(1006, 輔助計算!$F$2:$F$801, 0)+1)))), "")</f>
        <v/>
      </c>
      <c r="E1007" s="10">
        <f>IFERROR(IF(INDEX(ERP資料!$F:$F, (MATCH(1006, 輔助計算!$F$2:$F$801, 0)+1))="","",INDEX(ERP資料!$F:$F, (MATCH(1006, 輔助計算!$F$2:$F$801, 0)+1))), "")</f>
        <v/>
      </c>
      <c r="F1007" s="10">
        <f>IFERROR(IF(INDEX(ERP資料!$G:$G, (MATCH(1006, 輔助計算!$F$2:$F$801, 0)+1))="","",INDEX(ERP資料!$G:$G, (MATCH(1006, 輔助計算!$F$2:$F$801, 0)+1))), "")</f>
        <v/>
      </c>
      <c r="G1007" s="10">
        <f>IFERROR(IF(INDEX(ERP資料!$H:$H, (MATCH(1006, 輔助計算!$F$2:$F$801, 0)+1))="","",INDEX(ERP資料!$H:$H, (MATCH(1006, 輔助計算!$F$2:$F$801, 0)+1))), "")</f>
        <v/>
      </c>
      <c r="H1007" s="10">
        <f>IFERROR(IF(INDEX(ERP資料!$O:$O, (MATCH(1006, 輔助計算!$F$2:$F$801, 0)+1))="","",INDEX(ERP資料!$O:$O, (MATCH(1006, 輔助計算!$F$2:$F$801, 0)+1))), "")</f>
        <v/>
      </c>
      <c r="I1007" s="15">
        <f>IFERROR(IF(INDEX(輔助計算!$D:$D,(MATCH(1006, 輔助計算!$F$2:$F$801, 0)+1))="","",INDEX(輔助計算!$D:$D,(MATCH(1006, 輔助計算!$F$2:$F$801, 0)+1))*INDEX(ERP資料!$O:$O,(MATCH(1006, 輔助計算!$F$2:$F$801, 0)+1))), "")</f>
        <v/>
      </c>
      <c r="J1007" s="16" t="n"/>
      <c r="K1007" s="15">
        <f>IFERROR(INDEX(輔助計算!$D:$D, (MATCH(1006, 輔助計算!$F$2:$F$801, 0)+1)), "")</f>
        <v/>
      </c>
      <c r="L1007" s="16">
        <f>IFERROR(IF(AND(IFERROR(VLOOKUP(LEFT(INDEX(ERP資料!$S:$S, (MATCH(1006, 輔助計算!$F$2:$F$801, 0)+1)), 4), 100張客戶!$A:$A, 1, FALSE), "")&lt;&gt;"", OR(INDEX(ERP資料!$F:$F, (MATCH(1006, 輔助計算!$F$2:$F$801, 0)+1))=270, INDEX(ERP資料!$F:$F, (MATCH(1006, 輔助計算!$F$2:$F$801, 0)+1))=300)), "100張", ""), "")</f>
        <v/>
      </c>
      <c r="M1007" s="17" t="n"/>
      <c r="N1007" s="17">
        <f>IF($F1007="","",$F1007)</f>
        <v/>
      </c>
      <c r="O1007" s="17">
        <f>IF($G1007="","",$G1007)</f>
        <v/>
      </c>
      <c r="P1007" s="17">
        <f>IF($K1007="","",$K1007)</f>
        <v/>
      </c>
      <c r="Q1007" s="16" t="n"/>
      <c r="R1007" s="18" t="n"/>
      <c r="S1007" s="16" t="n"/>
    </row>
    <row r="1008">
      <c r="A1008" s="14">
        <f>IFERROR(IF(AND(IFERROR(INDEX(ERP資料!$A:$A, (MATCH(1007, 輔助計算!$F$2:$F$801, 0)+1)), "")&lt;&gt;"", IFERROR(INDEX(ERP資料!$A:$A, (MATCH(1007, 輔助計算!$F$2:$F$801, 0)+1)), "")&lt;&gt;IFERROR(INDEX(ERP資料!$A:$A, MATCH(1006, 輔助計算!$F$2:$F$801, 0)+1), "")), INDEX(ERP資料!$B:$B, (MATCH(1007, 輔助計算!$F$2:$F$801, 0)+1)), ""), "")</f>
        <v/>
      </c>
      <c r="B1008" s="10">
        <f>IFERROR(IF(AND(IFERROR(INDEX(ERP資料!$A:$A, (MATCH(1007, 輔助計算!$F$2:$F$801, 0)+1)), "")&lt;&gt;"", IFERROR(INDEX(ERP資料!$A:$A, (MATCH(1007, 輔助計算!$F$2:$F$801, 0)+1)), "")&lt;&gt;IFERROR(INDEX(ERP資料!$A:$A, MATCH(1006, 輔助計算!$F$2:$F$801, 0)+1), "")), IFERROR(INDEX(ERP資料!$A:$A, (MATCH(1007, 輔助計算!$F$2:$F$801, 0)+1)), ""), ""), "")</f>
        <v/>
      </c>
      <c r="C1008" s="10">
        <f>IFERROR(IF(AND(IFERROR(INDEX(ERP資料!$A:$A, (MATCH(1007, 輔助計算!$F$2:$F$801, 0)+1)), "")&lt;&gt;"", IFERROR(INDEX(ERP資料!$A:$A, (MATCH(1007, 輔助計算!$F$2:$F$801, 0)+1)), "")&lt;&gt;IFERROR(INDEX(ERP資料!$A:$A, MATCH(1006, 輔助計算!$F$2:$F$801, 0)+1), "")), INDEX(ERP資料!$S:$S, (MATCH(1007, 輔助計算!$F$2:$F$801, 0)+1)), ""), "")</f>
        <v/>
      </c>
      <c r="D1008" s="10">
        <f>IFERROR(IF(INDEX(ERP資料!$E:$E, (MATCH(1007, 輔助計算!$F$2:$F$801, 0)+1))="","",TRIM(INDEX(ERP資料!$E:$E, (MATCH(1007, 輔助計算!$F$2:$F$801, 0)+1)))), "")</f>
        <v/>
      </c>
      <c r="E1008" s="10">
        <f>IFERROR(IF(INDEX(ERP資料!$F:$F, (MATCH(1007, 輔助計算!$F$2:$F$801, 0)+1))="","",INDEX(ERP資料!$F:$F, (MATCH(1007, 輔助計算!$F$2:$F$801, 0)+1))), "")</f>
        <v/>
      </c>
      <c r="F1008" s="10">
        <f>IFERROR(IF(INDEX(ERP資料!$G:$G, (MATCH(1007, 輔助計算!$F$2:$F$801, 0)+1))="","",INDEX(ERP資料!$G:$G, (MATCH(1007, 輔助計算!$F$2:$F$801, 0)+1))), "")</f>
        <v/>
      </c>
      <c r="G1008" s="10">
        <f>IFERROR(IF(INDEX(ERP資料!$H:$H, (MATCH(1007, 輔助計算!$F$2:$F$801, 0)+1))="","",INDEX(ERP資料!$H:$H, (MATCH(1007, 輔助計算!$F$2:$F$801, 0)+1))), "")</f>
        <v/>
      </c>
      <c r="H1008" s="10">
        <f>IFERROR(IF(INDEX(ERP資料!$O:$O, (MATCH(1007, 輔助計算!$F$2:$F$801, 0)+1))="","",INDEX(ERP資料!$O:$O, (MATCH(1007, 輔助計算!$F$2:$F$801, 0)+1))), "")</f>
        <v/>
      </c>
      <c r="I1008" s="15">
        <f>IFERROR(IF(INDEX(輔助計算!$D:$D,(MATCH(1007, 輔助計算!$F$2:$F$801, 0)+1))="","",INDEX(輔助計算!$D:$D,(MATCH(1007, 輔助計算!$F$2:$F$801, 0)+1))*INDEX(ERP資料!$O:$O,(MATCH(1007, 輔助計算!$F$2:$F$801, 0)+1))), "")</f>
        <v/>
      </c>
      <c r="J1008" s="16" t="n"/>
      <c r="K1008" s="15">
        <f>IFERROR(INDEX(輔助計算!$D:$D, (MATCH(1007, 輔助計算!$F$2:$F$801, 0)+1)), "")</f>
        <v/>
      </c>
      <c r="L1008" s="16">
        <f>IFERROR(IF(AND(IFERROR(VLOOKUP(LEFT(INDEX(ERP資料!$S:$S, (MATCH(1007, 輔助計算!$F$2:$F$801, 0)+1)), 4), 100張客戶!$A:$A, 1, FALSE), "")&lt;&gt;"", OR(INDEX(ERP資料!$F:$F, (MATCH(1007, 輔助計算!$F$2:$F$801, 0)+1))=270, INDEX(ERP資料!$F:$F, (MATCH(1007, 輔助計算!$F$2:$F$801, 0)+1))=300)), "100張", ""), "")</f>
        <v/>
      </c>
      <c r="M1008" s="17" t="n"/>
      <c r="N1008" s="17">
        <f>IF($F1008="","",$F1008)</f>
        <v/>
      </c>
      <c r="O1008" s="17">
        <f>IF($G1008="","",$G1008)</f>
        <v/>
      </c>
      <c r="P1008" s="17">
        <f>IF($K1008="","",$K1008)</f>
        <v/>
      </c>
      <c r="Q1008" s="16" t="n"/>
      <c r="R1008" s="18" t="n"/>
      <c r="S1008" s="16" t="n"/>
    </row>
    <row r="1009">
      <c r="A1009" s="14">
        <f>IFERROR(IF(AND(IFERROR(INDEX(ERP資料!$A:$A, (MATCH(1008, 輔助計算!$F$2:$F$801, 0)+1)), "")&lt;&gt;"", IFERROR(INDEX(ERP資料!$A:$A, (MATCH(1008, 輔助計算!$F$2:$F$801, 0)+1)), "")&lt;&gt;IFERROR(INDEX(ERP資料!$A:$A, MATCH(1007, 輔助計算!$F$2:$F$801, 0)+1), "")), INDEX(ERP資料!$B:$B, (MATCH(1008, 輔助計算!$F$2:$F$801, 0)+1)), ""), "")</f>
        <v/>
      </c>
      <c r="B1009" s="10">
        <f>IFERROR(IF(AND(IFERROR(INDEX(ERP資料!$A:$A, (MATCH(1008, 輔助計算!$F$2:$F$801, 0)+1)), "")&lt;&gt;"", IFERROR(INDEX(ERP資料!$A:$A, (MATCH(1008, 輔助計算!$F$2:$F$801, 0)+1)), "")&lt;&gt;IFERROR(INDEX(ERP資料!$A:$A, MATCH(1007, 輔助計算!$F$2:$F$801, 0)+1), "")), IFERROR(INDEX(ERP資料!$A:$A, (MATCH(1008, 輔助計算!$F$2:$F$801, 0)+1)), ""), ""), "")</f>
        <v/>
      </c>
      <c r="C1009" s="10">
        <f>IFERROR(IF(AND(IFERROR(INDEX(ERP資料!$A:$A, (MATCH(1008, 輔助計算!$F$2:$F$801, 0)+1)), "")&lt;&gt;"", IFERROR(INDEX(ERP資料!$A:$A, (MATCH(1008, 輔助計算!$F$2:$F$801, 0)+1)), "")&lt;&gt;IFERROR(INDEX(ERP資料!$A:$A, MATCH(1007, 輔助計算!$F$2:$F$801, 0)+1), "")), INDEX(ERP資料!$S:$S, (MATCH(1008, 輔助計算!$F$2:$F$801, 0)+1)), ""), "")</f>
        <v/>
      </c>
      <c r="D1009" s="10">
        <f>IFERROR(IF(INDEX(ERP資料!$E:$E, (MATCH(1008, 輔助計算!$F$2:$F$801, 0)+1))="","",TRIM(INDEX(ERP資料!$E:$E, (MATCH(1008, 輔助計算!$F$2:$F$801, 0)+1)))), "")</f>
        <v/>
      </c>
      <c r="E1009" s="10">
        <f>IFERROR(IF(INDEX(ERP資料!$F:$F, (MATCH(1008, 輔助計算!$F$2:$F$801, 0)+1))="","",INDEX(ERP資料!$F:$F, (MATCH(1008, 輔助計算!$F$2:$F$801, 0)+1))), "")</f>
        <v/>
      </c>
      <c r="F1009" s="10">
        <f>IFERROR(IF(INDEX(ERP資料!$G:$G, (MATCH(1008, 輔助計算!$F$2:$F$801, 0)+1))="","",INDEX(ERP資料!$G:$G, (MATCH(1008, 輔助計算!$F$2:$F$801, 0)+1))), "")</f>
        <v/>
      </c>
      <c r="G1009" s="10">
        <f>IFERROR(IF(INDEX(ERP資料!$H:$H, (MATCH(1008, 輔助計算!$F$2:$F$801, 0)+1))="","",INDEX(ERP資料!$H:$H, (MATCH(1008, 輔助計算!$F$2:$F$801, 0)+1))), "")</f>
        <v/>
      </c>
      <c r="H1009" s="10">
        <f>IFERROR(IF(INDEX(ERP資料!$O:$O, (MATCH(1008, 輔助計算!$F$2:$F$801, 0)+1))="","",INDEX(ERP資料!$O:$O, (MATCH(1008, 輔助計算!$F$2:$F$801, 0)+1))), "")</f>
        <v/>
      </c>
      <c r="I1009" s="15">
        <f>IFERROR(IF(INDEX(輔助計算!$D:$D,(MATCH(1008, 輔助計算!$F$2:$F$801, 0)+1))="","",INDEX(輔助計算!$D:$D,(MATCH(1008, 輔助計算!$F$2:$F$801, 0)+1))*INDEX(ERP資料!$O:$O,(MATCH(1008, 輔助計算!$F$2:$F$801, 0)+1))), "")</f>
        <v/>
      </c>
      <c r="J1009" s="16" t="n"/>
      <c r="K1009" s="15">
        <f>IFERROR(INDEX(輔助計算!$D:$D, (MATCH(1008, 輔助計算!$F$2:$F$801, 0)+1)), "")</f>
        <v/>
      </c>
      <c r="L1009" s="16">
        <f>IFERROR(IF(AND(IFERROR(VLOOKUP(LEFT(INDEX(ERP資料!$S:$S, (MATCH(1008, 輔助計算!$F$2:$F$801, 0)+1)), 4), 100張客戶!$A:$A, 1, FALSE), "")&lt;&gt;"", OR(INDEX(ERP資料!$F:$F, (MATCH(1008, 輔助計算!$F$2:$F$801, 0)+1))=270, INDEX(ERP資料!$F:$F, (MATCH(1008, 輔助計算!$F$2:$F$801, 0)+1))=300)), "100張", ""), "")</f>
        <v/>
      </c>
      <c r="M1009" s="17" t="n"/>
      <c r="N1009" s="17">
        <f>IF($F1009="","",$F1009)</f>
        <v/>
      </c>
      <c r="O1009" s="17">
        <f>IF($G1009="","",$G1009)</f>
        <v/>
      </c>
      <c r="P1009" s="17">
        <f>IF($K1009="","",$K1009)</f>
        <v/>
      </c>
      <c r="Q1009" s="16" t="n"/>
      <c r="R1009" s="18" t="n"/>
      <c r="S1009" s="16" t="n"/>
    </row>
    <row r="1010">
      <c r="A1010" s="14">
        <f>IFERROR(IF(AND(IFERROR(INDEX(ERP資料!$A:$A, (MATCH(1009, 輔助計算!$F$2:$F$801, 0)+1)), "")&lt;&gt;"", IFERROR(INDEX(ERP資料!$A:$A, (MATCH(1009, 輔助計算!$F$2:$F$801, 0)+1)), "")&lt;&gt;IFERROR(INDEX(ERP資料!$A:$A, MATCH(1008, 輔助計算!$F$2:$F$801, 0)+1), "")), INDEX(ERP資料!$B:$B, (MATCH(1009, 輔助計算!$F$2:$F$801, 0)+1)), ""), "")</f>
        <v/>
      </c>
      <c r="B1010" s="10">
        <f>IFERROR(IF(AND(IFERROR(INDEX(ERP資料!$A:$A, (MATCH(1009, 輔助計算!$F$2:$F$801, 0)+1)), "")&lt;&gt;"", IFERROR(INDEX(ERP資料!$A:$A, (MATCH(1009, 輔助計算!$F$2:$F$801, 0)+1)), "")&lt;&gt;IFERROR(INDEX(ERP資料!$A:$A, MATCH(1008, 輔助計算!$F$2:$F$801, 0)+1), "")), IFERROR(INDEX(ERP資料!$A:$A, (MATCH(1009, 輔助計算!$F$2:$F$801, 0)+1)), ""), ""), "")</f>
        <v/>
      </c>
      <c r="C1010" s="10">
        <f>IFERROR(IF(AND(IFERROR(INDEX(ERP資料!$A:$A, (MATCH(1009, 輔助計算!$F$2:$F$801, 0)+1)), "")&lt;&gt;"", IFERROR(INDEX(ERP資料!$A:$A, (MATCH(1009, 輔助計算!$F$2:$F$801, 0)+1)), "")&lt;&gt;IFERROR(INDEX(ERP資料!$A:$A, MATCH(1008, 輔助計算!$F$2:$F$801, 0)+1), "")), INDEX(ERP資料!$S:$S, (MATCH(1009, 輔助計算!$F$2:$F$801, 0)+1)), ""), "")</f>
        <v/>
      </c>
      <c r="D1010" s="10">
        <f>IFERROR(IF(INDEX(ERP資料!$E:$E, (MATCH(1009, 輔助計算!$F$2:$F$801, 0)+1))="","",TRIM(INDEX(ERP資料!$E:$E, (MATCH(1009, 輔助計算!$F$2:$F$801, 0)+1)))), "")</f>
        <v/>
      </c>
      <c r="E1010" s="10">
        <f>IFERROR(IF(INDEX(ERP資料!$F:$F, (MATCH(1009, 輔助計算!$F$2:$F$801, 0)+1))="","",INDEX(ERP資料!$F:$F, (MATCH(1009, 輔助計算!$F$2:$F$801, 0)+1))), "")</f>
        <v/>
      </c>
      <c r="F1010" s="10">
        <f>IFERROR(IF(INDEX(ERP資料!$G:$G, (MATCH(1009, 輔助計算!$F$2:$F$801, 0)+1))="","",INDEX(ERP資料!$G:$G, (MATCH(1009, 輔助計算!$F$2:$F$801, 0)+1))), "")</f>
        <v/>
      </c>
      <c r="G1010" s="10">
        <f>IFERROR(IF(INDEX(ERP資料!$H:$H, (MATCH(1009, 輔助計算!$F$2:$F$801, 0)+1))="","",INDEX(ERP資料!$H:$H, (MATCH(1009, 輔助計算!$F$2:$F$801, 0)+1))), "")</f>
        <v/>
      </c>
      <c r="H1010" s="10">
        <f>IFERROR(IF(INDEX(ERP資料!$O:$O, (MATCH(1009, 輔助計算!$F$2:$F$801, 0)+1))="","",INDEX(ERP資料!$O:$O, (MATCH(1009, 輔助計算!$F$2:$F$801, 0)+1))), "")</f>
        <v/>
      </c>
      <c r="I1010" s="15">
        <f>IFERROR(IF(INDEX(輔助計算!$D:$D,(MATCH(1009, 輔助計算!$F$2:$F$801, 0)+1))="","",INDEX(輔助計算!$D:$D,(MATCH(1009, 輔助計算!$F$2:$F$801, 0)+1))*INDEX(ERP資料!$O:$O,(MATCH(1009, 輔助計算!$F$2:$F$801, 0)+1))), "")</f>
        <v/>
      </c>
      <c r="J1010" s="16" t="n"/>
      <c r="K1010" s="15">
        <f>IFERROR(INDEX(輔助計算!$D:$D, (MATCH(1009, 輔助計算!$F$2:$F$801, 0)+1)), "")</f>
        <v/>
      </c>
      <c r="L1010" s="16">
        <f>IFERROR(IF(AND(IFERROR(VLOOKUP(LEFT(INDEX(ERP資料!$S:$S, (MATCH(1009, 輔助計算!$F$2:$F$801, 0)+1)), 4), 100張客戶!$A:$A, 1, FALSE), "")&lt;&gt;"", OR(INDEX(ERP資料!$F:$F, (MATCH(1009, 輔助計算!$F$2:$F$801, 0)+1))=270, INDEX(ERP資料!$F:$F, (MATCH(1009, 輔助計算!$F$2:$F$801, 0)+1))=300)), "100張", ""), "")</f>
        <v/>
      </c>
      <c r="M1010" s="17" t="n"/>
      <c r="N1010" s="17">
        <f>IF($F1010="","",$F1010)</f>
        <v/>
      </c>
      <c r="O1010" s="17">
        <f>IF($G1010="","",$G1010)</f>
        <v/>
      </c>
      <c r="P1010" s="17">
        <f>IF($K1010="","",$K1010)</f>
        <v/>
      </c>
      <c r="Q1010" s="16" t="n"/>
      <c r="R1010" s="18" t="n"/>
      <c r="S1010" s="16" t="n"/>
    </row>
    <row r="1011">
      <c r="A1011" s="14">
        <f>IFERROR(IF(AND(IFERROR(INDEX(ERP資料!$A:$A, (MATCH(1010, 輔助計算!$F$2:$F$801, 0)+1)), "")&lt;&gt;"", IFERROR(INDEX(ERP資料!$A:$A, (MATCH(1010, 輔助計算!$F$2:$F$801, 0)+1)), "")&lt;&gt;IFERROR(INDEX(ERP資料!$A:$A, MATCH(1009, 輔助計算!$F$2:$F$801, 0)+1), "")), INDEX(ERP資料!$B:$B, (MATCH(1010, 輔助計算!$F$2:$F$801, 0)+1)), ""), "")</f>
        <v/>
      </c>
      <c r="B1011" s="10">
        <f>IFERROR(IF(AND(IFERROR(INDEX(ERP資料!$A:$A, (MATCH(1010, 輔助計算!$F$2:$F$801, 0)+1)), "")&lt;&gt;"", IFERROR(INDEX(ERP資料!$A:$A, (MATCH(1010, 輔助計算!$F$2:$F$801, 0)+1)), "")&lt;&gt;IFERROR(INDEX(ERP資料!$A:$A, MATCH(1009, 輔助計算!$F$2:$F$801, 0)+1), "")), IFERROR(INDEX(ERP資料!$A:$A, (MATCH(1010, 輔助計算!$F$2:$F$801, 0)+1)), ""), ""), "")</f>
        <v/>
      </c>
      <c r="C1011" s="10">
        <f>IFERROR(IF(AND(IFERROR(INDEX(ERP資料!$A:$A, (MATCH(1010, 輔助計算!$F$2:$F$801, 0)+1)), "")&lt;&gt;"", IFERROR(INDEX(ERP資料!$A:$A, (MATCH(1010, 輔助計算!$F$2:$F$801, 0)+1)), "")&lt;&gt;IFERROR(INDEX(ERP資料!$A:$A, MATCH(1009, 輔助計算!$F$2:$F$801, 0)+1), "")), INDEX(ERP資料!$S:$S, (MATCH(1010, 輔助計算!$F$2:$F$801, 0)+1)), ""), "")</f>
        <v/>
      </c>
      <c r="D1011" s="10">
        <f>IFERROR(IF(INDEX(ERP資料!$E:$E, (MATCH(1010, 輔助計算!$F$2:$F$801, 0)+1))="","",TRIM(INDEX(ERP資料!$E:$E, (MATCH(1010, 輔助計算!$F$2:$F$801, 0)+1)))), "")</f>
        <v/>
      </c>
      <c r="E1011" s="10">
        <f>IFERROR(IF(INDEX(ERP資料!$F:$F, (MATCH(1010, 輔助計算!$F$2:$F$801, 0)+1))="","",INDEX(ERP資料!$F:$F, (MATCH(1010, 輔助計算!$F$2:$F$801, 0)+1))), "")</f>
        <v/>
      </c>
      <c r="F1011" s="10">
        <f>IFERROR(IF(INDEX(ERP資料!$G:$G, (MATCH(1010, 輔助計算!$F$2:$F$801, 0)+1))="","",INDEX(ERP資料!$G:$G, (MATCH(1010, 輔助計算!$F$2:$F$801, 0)+1))), "")</f>
        <v/>
      </c>
      <c r="G1011" s="10">
        <f>IFERROR(IF(INDEX(ERP資料!$H:$H, (MATCH(1010, 輔助計算!$F$2:$F$801, 0)+1))="","",INDEX(ERP資料!$H:$H, (MATCH(1010, 輔助計算!$F$2:$F$801, 0)+1))), "")</f>
        <v/>
      </c>
      <c r="H1011" s="10">
        <f>IFERROR(IF(INDEX(ERP資料!$O:$O, (MATCH(1010, 輔助計算!$F$2:$F$801, 0)+1))="","",INDEX(ERP資料!$O:$O, (MATCH(1010, 輔助計算!$F$2:$F$801, 0)+1))), "")</f>
        <v/>
      </c>
      <c r="I1011" s="15">
        <f>IFERROR(IF(INDEX(輔助計算!$D:$D,(MATCH(1010, 輔助計算!$F$2:$F$801, 0)+1))="","",INDEX(輔助計算!$D:$D,(MATCH(1010, 輔助計算!$F$2:$F$801, 0)+1))*INDEX(ERP資料!$O:$O,(MATCH(1010, 輔助計算!$F$2:$F$801, 0)+1))), "")</f>
        <v/>
      </c>
      <c r="J1011" s="16" t="n"/>
      <c r="K1011" s="15">
        <f>IFERROR(INDEX(輔助計算!$D:$D, (MATCH(1010, 輔助計算!$F$2:$F$801, 0)+1)), "")</f>
        <v/>
      </c>
      <c r="L1011" s="16">
        <f>IFERROR(IF(AND(IFERROR(VLOOKUP(LEFT(INDEX(ERP資料!$S:$S, (MATCH(1010, 輔助計算!$F$2:$F$801, 0)+1)), 4), 100張客戶!$A:$A, 1, FALSE), "")&lt;&gt;"", OR(INDEX(ERP資料!$F:$F, (MATCH(1010, 輔助計算!$F$2:$F$801, 0)+1))=270, INDEX(ERP資料!$F:$F, (MATCH(1010, 輔助計算!$F$2:$F$801, 0)+1))=300)), "100張", ""), "")</f>
        <v/>
      </c>
      <c r="M1011" s="17" t="n"/>
      <c r="N1011" s="17">
        <f>IF($F1011="","",$F1011)</f>
        <v/>
      </c>
      <c r="O1011" s="17">
        <f>IF($G1011="","",$G1011)</f>
        <v/>
      </c>
      <c r="P1011" s="17">
        <f>IF($K1011="","",$K1011)</f>
        <v/>
      </c>
      <c r="Q1011" s="16" t="n"/>
      <c r="R1011" s="18" t="n"/>
      <c r="S1011" s="16" t="n"/>
    </row>
    <row r="1012">
      <c r="A1012" s="14">
        <f>IFERROR(IF(AND(IFERROR(INDEX(ERP資料!$A:$A, (MATCH(1011, 輔助計算!$F$2:$F$801, 0)+1)), "")&lt;&gt;"", IFERROR(INDEX(ERP資料!$A:$A, (MATCH(1011, 輔助計算!$F$2:$F$801, 0)+1)), "")&lt;&gt;IFERROR(INDEX(ERP資料!$A:$A, MATCH(1010, 輔助計算!$F$2:$F$801, 0)+1), "")), INDEX(ERP資料!$B:$B, (MATCH(1011, 輔助計算!$F$2:$F$801, 0)+1)), ""), "")</f>
        <v/>
      </c>
      <c r="B1012" s="10">
        <f>IFERROR(IF(AND(IFERROR(INDEX(ERP資料!$A:$A, (MATCH(1011, 輔助計算!$F$2:$F$801, 0)+1)), "")&lt;&gt;"", IFERROR(INDEX(ERP資料!$A:$A, (MATCH(1011, 輔助計算!$F$2:$F$801, 0)+1)), "")&lt;&gt;IFERROR(INDEX(ERP資料!$A:$A, MATCH(1010, 輔助計算!$F$2:$F$801, 0)+1), "")), IFERROR(INDEX(ERP資料!$A:$A, (MATCH(1011, 輔助計算!$F$2:$F$801, 0)+1)), ""), ""), "")</f>
        <v/>
      </c>
      <c r="C1012" s="10">
        <f>IFERROR(IF(AND(IFERROR(INDEX(ERP資料!$A:$A, (MATCH(1011, 輔助計算!$F$2:$F$801, 0)+1)), "")&lt;&gt;"", IFERROR(INDEX(ERP資料!$A:$A, (MATCH(1011, 輔助計算!$F$2:$F$801, 0)+1)), "")&lt;&gt;IFERROR(INDEX(ERP資料!$A:$A, MATCH(1010, 輔助計算!$F$2:$F$801, 0)+1), "")), INDEX(ERP資料!$S:$S, (MATCH(1011, 輔助計算!$F$2:$F$801, 0)+1)), ""), "")</f>
        <v/>
      </c>
      <c r="D1012" s="10">
        <f>IFERROR(IF(INDEX(ERP資料!$E:$E, (MATCH(1011, 輔助計算!$F$2:$F$801, 0)+1))="","",TRIM(INDEX(ERP資料!$E:$E, (MATCH(1011, 輔助計算!$F$2:$F$801, 0)+1)))), "")</f>
        <v/>
      </c>
      <c r="E1012" s="10">
        <f>IFERROR(IF(INDEX(ERP資料!$F:$F, (MATCH(1011, 輔助計算!$F$2:$F$801, 0)+1))="","",INDEX(ERP資料!$F:$F, (MATCH(1011, 輔助計算!$F$2:$F$801, 0)+1))), "")</f>
        <v/>
      </c>
      <c r="F1012" s="10">
        <f>IFERROR(IF(INDEX(ERP資料!$G:$G, (MATCH(1011, 輔助計算!$F$2:$F$801, 0)+1))="","",INDEX(ERP資料!$G:$G, (MATCH(1011, 輔助計算!$F$2:$F$801, 0)+1))), "")</f>
        <v/>
      </c>
      <c r="G1012" s="10">
        <f>IFERROR(IF(INDEX(ERP資料!$H:$H, (MATCH(1011, 輔助計算!$F$2:$F$801, 0)+1))="","",INDEX(ERP資料!$H:$H, (MATCH(1011, 輔助計算!$F$2:$F$801, 0)+1))), "")</f>
        <v/>
      </c>
      <c r="H1012" s="10">
        <f>IFERROR(IF(INDEX(ERP資料!$O:$O, (MATCH(1011, 輔助計算!$F$2:$F$801, 0)+1))="","",INDEX(ERP資料!$O:$O, (MATCH(1011, 輔助計算!$F$2:$F$801, 0)+1))), "")</f>
        <v/>
      </c>
      <c r="I1012" s="15">
        <f>IFERROR(IF(INDEX(輔助計算!$D:$D,(MATCH(1011, 輔助計算!$F$2:$F$801, 0)+1))="","",INDEX(輔助計算!$D:$D,(MATCH(1011, 輔助計算!$F$2:$F$801, 0)+1))*INDEX(ERP資料!$O:$O,(MATCH(1011, 輔助計算!$F$2:$F$801, 0)+1))), "")</f>
        <v/>
      </c>
      <c r="J1012" s="16" t="n"/>
      <c r="K1012" s="15">
        <f>IFERROR(INDEX(輔助計算!$D:$D, (MATCH(1011, 輔助計算!$F$2:$F$801, 0)+1)), "")</f>
        <v/>
      </c>
      <c r="L1012" s="16">
        <f>IFERROR(IF(AND(IFERROR(VLOOKUP(LEFT(INDEX(ERP資料!$S:$S, (MATCH(1011, 輔助計算!$F$2:$F$801, 0)+1)), 4), 100張客戶!$A:$A, 1, FALSE), "")&lt;&gt;"", OR(INDEX(ERP資料!$F:$F, (MATCH(1011, 輔助計算!$F$2:$F$801, 0)+1))=270, INDEX(ERP資料!$F:$F, (MATCH(1011, 輔助計算!$F$2:$F$801, 0)+1))=300)), "100張", ""), "")</f>
        <v/>
      </c>
      <c r="M1012" s="17" t="n"/>
      <c r="N1012" s="17">
        <f>IF($F1012="","",$F1012)</f>
        <v/>
      </c>
      <c r="O1012" s="17">
        <f>IF($G1012="","",$G1012)</f>
        <v/>
      </c>
      <c r="P1012" s="17">
        <f>IF($K1012="","",$K1012)</f>
        <v/>
      </c>
      <c r="Q1012" s="16" t="n"/>
      <c r="R1012" s="18" t="n"/>
      <c r="S1012" s="16" t="n"/>
    </row>
    <row r="1013">
      <c r="A1013" s="14">
        <f>IFERROR(IF(AND(IFERROR(INDEX(ERP資料!$A:$A, (MATCH(1012, 輔助計算!$F$2:$F$801, 0)+1)), "")&lt;&gt;"", IFERROR(INDEX(ERP資料!$A:$A, (MATCH(1012, 輔助計算!$F$2:$F$801, 0)+1)), "")&lt;&gt;IFERROR(INDEX(ERP資料!$A:$A, MATCH(1011, 輔助計算!$F$2:$F$801, 0)+1), "")), INDEX(ERP資料!$B:$B, (MATCH(1012, 輔助計算!$F$2:$F$801, 0)+1)), ""), "")</f>
        <v/>
      </c>
      <c r="B1013" s="10">
        <f>IFERROR(IF(AND(IFERROR(INDEX(ERP資料!$A:$A, (MATCH(1012, 輔助計算!$F$2:$F$801, 0)+1)), "")&lt;&gt;"", IFERROR(INDEX(ERP資料!$A:$A, (MATCH(1012, 輔助計算!$F$2:$F$801, 0)+1)), "")&lt;&gt;IFERROR(INDEX(ERP資料!$A:$A, MATCH(1011, 輔助計算!$F$2:$F$801, 0)+1), "")), IFERROR(INDEX(ERP資料!$A:$A, (MATCH(1012, 輔助計算!$F$2:$F$801, 0)+1)), ""), ""), "")</f>
        <v/>
      </c>
      <c r="C1013" s="10">
        <f>IFERROR(IF(AND(IFERROR(INDEX(ERP資料!$A:$A, (MATCH(1012, 輔助計算!$F$2:$F$801, 0)+1)), "")&lt;&gt;"", IFERROR(INDEX(ERP資料!$A:$A, (MATCH(1012, 輔助計算!$F$2:$F$801, 0)+1)), "")&lt;&gt;IFERROR(INDEX(ERP資料!$A:$A, MATCH(1011, 輔助計算!$F$2:$F$801, 0)+1), "")), INDEX(ERP資料!$S:$S, (MATCH(1012, 輔助計算!$F$2:$F$801, 0)+1)), ""), "")</f>
        <v/>
      </c>
      <c r="D1013" s="10">
        <f>IFERROR(IF(INDEX(ERP資料!$E:$E, (MATCH(1012, 輔助計算!$F$2:$F$801, 0)+1))="","",TRIM(INDEX(ERP資料!$E:$E, (MATCH(1012, 輔助計算!$F$2:$F$801, 0)+1)))), "")</f>
        <v/>
      </c>
      <c r="E1013" s="10">
        <f>IFERROR(IF(INDEX(ERP資料!$F:$F, (MATCH(1012, 輔助計算!$F$2:$F$801, 0)+1))="","",INDEX(ERP資料!$F:$F, (MATCH(1012, 輔助計算!$F$2:$F$801, 0)+1))), "")</f>
        <v/>
      </c>
      <c r="F1013" s="10">
        <f>IFERROR(IF(INDEX(ERP資料!$G:$G, (MATCH(1012, 輔助計算!$F$2:$F$801, 0)+1))="","",INDEX(ERP資料!$G:$G, (MATCH(1012, 輔助計算!$F$2:$F$801, 0)+1))), "")</f>
        <v/>
      </c>
      <c r="G1013" s="10">
        <f>IFERROR(IF(INDEX(ERP資料!$H:$H, (MATCH(1012, 輔助計算!$F$2:$F$801, 0)+1))="","",INDEX(ERP資料!$H:$H, (MATCH(1012, 輔助計算!$F$2:$F$801, 0)+1))), "")</f>
        <v/>
      </c>
      <c r="H1013" s="10">
        <f>IFERROR(IF(INDEX(ERP資料!$O:$O, (MATCH(1012, 輔助計算!$F$2:$F$801, 0)+1))="","",INDEX(ERP資料!$O:$O, (MATCH(1012, 輔助計算!$F$2:$F$801, 0)+1))), "")</f>
        <v/>
      </c>
      <c r="I1013" s="15">
        <f>IFERROR(IF(INDEX(輔助計算!$D:$D,(MATCH(1012, 輔助計算!$F$2:$F$801, 0)+1))="","",INDEX(輔助計算!$D:$D,(MATCH(1012, 輔助計算!$F$2:$F$801, 0)+1))*INDEX(ERP資料!$O:$O,(MATCH(1012, 輔助計算!$F$2:$F$801, 0)+1))), "")</f>
        <v/>
      </c>
      <c r="J1013" s="16" t="n"/>
      <c r="K1013" s="15">
        <f>IFERROR(INDEX(輔助計算!$D:$D, (MATCH(1012, 輔助計算!$F$2:$F$801, 0)+1)), "")</f>
        <v/>
      </c>
      <c r="L1013" s="16">
        <f>IFERROR(IF(AND(IFERROR(VLOOKUP(LEFT(INDEX(ERP資料!$S:$S, (MATCH(1012, 輔助計算!$F$2:$F$801, 0)+1)), 4), 100張客戶!$A:$A, 1, FALSE), "")&lt;&gt;"", OR(INDEX(ERP資料!$F:$F, (MATCH(1012, 輔助計算!$F$2:$F$801, 0)+1))=270, INDEX(ERP資料!$F:$F, (MATCH(1012, 輔助計算!$F$2:$F$801, 0)+1))=300)), "100張", ""), "")</f>
        <v/>
      </c>
      <c r="M1013" s="17" t="n"/>
      <c r="N1013" s="17">
        <f>IF($F1013="","",$F1013)</f>
        <v/>
      </c>
      <c r="O1013" s="17">
        <f>IF($G1013="","",$G1013)</f>
        <v/>
      </c>
      <c r="P1013" s="17">
        <f>IF($K1013="","",$K1013)</f>
        <v/>
      </c>
      <c r="Q1013" s="16" t="n"/>
      <c r="R1013" s="18" t="n"/>
      <c r="S1013" s="16" t="n"/>
    </row>
    <row r="1014">
      <c r="A1014" s="14">
        <f>IFERROR(IF(AND(IFERROR(INDEX(ERP資料!$A:$A, (MATCH(1013, 輔助計算!$F$2:$F$801, 0)+1)), "")&lt;&gt;"", IFERROR(INDEX(ERP資料!$A:$A, (MATCH(1013, 輔助計算!$F$2:$F$801, 0)+1)), "")&lt;&gt;IFERROR(INDEX(ERP資料!$A:$A, MATCH(1012, 輔助計算!$F$2:$F$801, 0)+1), "")), INDEX(ERP資料!$B:$B, (MATCH(1013, 輔助計算!$F$2:$F$801, 0)+1)), ""), "")</f>
        <v/>
      </c>
      <c r="B1014" s="10">
        <f>IFERROR(IF(AND(IFERROR(INDEX(ERP資料!$A:$A, (MATCH(1013, 輔助計算!$F$2:$F$801, 0)+1)), "")&lt;&gt;"", IFERROR(INDEX(ERP資料!$A:$A, (MATCH(1013, 輔助計算!$F$2:$F$801, 0)+1)), "")&lt;&gt;IFERROR(INDEX(ERP資料!$A:$A, MATCH(1012, 輔助計算!$F$2:$F$801, 0)+1), "")), IFERROR(INDEX(ERP資料!$A:$A, (MATCH(1013, 輔助計算!$F$2:$F$801, 0)+1)), ""), ""), "")</f>
        <v/>
      </c>
      <c r="C1014" s="10">
        <f>IFERROR(IF(AND(IFERROR(INDEX(ERP資料!$A:$A, (MATCH(1013, 輔助計算!$F$2:$F$801, 0)+1)), "")&lt;&gt;"", IFERROR(INDEX(ERP資料!$A:$A, (MATCH(1013, 輔助計算!$F$2:$F$801, 0)+1)), "")&lt;&gt;IFERROR(INDEX(ERP資料!$A:$A, MATCH(1012, 輔助計算!$F$2:$F$801, 0)+1), "")), INDEX(ERP資料!$S:$S, (MATCH(1013, 輔助計算!$F$2:$F$801, 0)+1)), ""), "")</f>
        <v/>
      </c>
      <c r="D1014" s="10">
        <f>IFERROR(IF(INDEX(ERP資料!$E:$E, (MATCH(1013, 輔助計算!$F$2:$F$801, 0)+1))="","",TRIM(INDEX(ERP資料!$E:$E, (MATCH(1013, 輔助計算!$F$2:$F$801, 0)+1)))), "")</f>
        <v/>
      </c>
      <c r="E1014" s="10">
        <f>IFERROR(IF(INDEX(ERP資料!$F:$F, (MATCH(1013, 輔助計算!$F$2:$F$801, 0)+1))="","",INDEX(ERP資料!$F:$F, (MATCH(1013, 輔助計算!$F$2:$F$801, 0)+1))), "")</f>
        <v/>
      </c>
      <c r="F1014" s="10">
        <f>IFERROR(IF(INDEX(ERP資料!$G:$G, (MATCH(1013, 輔助計算!$F$2:$F$801, 0)+1))="","",INDEX(ERP資料!$G:$G, (MATCH(1013, 輔助計算!$F$2:$F$801, 0)+1))), "")</f>
        <v/>
      </c>
      <c r="G1014" s="10">
        <f>IFERROR(IF(INDEX(ERP資料!$H:$H, (MATCH(1013, 輔助計算!$F$2:$F$801, 0)+1))="","",INDEX(ERP資料!$H:$H, (MATCH(1013, 輔助計算!$F$2:$F$801, 0)+1))), "")</f>
        <v/>
      </c>
      <c r="H1014" s="10">
        <f>IFERROR(IF(INDEX(ERP資料!$O:$O, (MATCH(1013, 輔助計算!$F$2:$F$801, 0)+1))="","",INDEX(ERP資料!$O:$O, (MATCH(1013, 輔助計算!$F$2:$F$801, 0)+1))), "")</f>
        <v/>
      </c>
      <c r="I1014" s="15">
        <f>IFERROR(IF(INDEX(輔助計算!$D:$D,(MATCH(1013, 輔助計算!$F$2:$F$801, 0)+1))="","",INDEX(輔助計算!$D:$D,(MATCH(1013, 輔助計算!$F$2:$F$801, 0)+1))*INDEX(ERP資料!$O:$O,(MATCH(1013, 輔助計算!$F$2:$F$801, 0)+1))), "")</f>
        <v/>
      </c>
      <c r="J1014" s="16" t="n"/>
      <c r="K1014" s="15">
        <f>IFERROR(INDEX(輔助計算!$D:$D, (MATCH(1013, 輔助計算!$F$2:$F$801, 0)+1)), "")</f>
        <v/>
      </c>
      <c r="L1014" s="16">
        <f>IFERROR(IF(AND(IFERROR(VLOOKUP(LEFT(INDEX(ERP資料!$S:$S, (MATCH(1013, 輔助計算!$F$2:$F$801, 0)+1)), 4), 100張客戶!$A:$A, 1, FALSE), "")&lt;&gt;"", OR(INDEX(ERP資料!$F:$F, (MATCH(1013, 輔助計算!$F$2:$F$801, 0)+1))=270, INDEX(ERP資料!$F:$F, (MATCH(1013, 輔助計算!$F$2:$F$801, 0)+1))=300)), "100張", ""), "")</f>
        <v/>
      </c>
      <c r="M1014" s="17" t="n"/>
      <c r="N1014" s="17">
        <f>IF($F1014="","",$F1014)</f>
        <v/>
      </c>
      <c r="O1014" s="17">
        <f>IF($G1014="","",$G1014)</f>
        <v/>
      </c>
      <c r="P1014" s="17">
        <f>IF($K1014="","",$K1014)</f>
        <v/>
      </c>
      <c r="Q1014" s="16" t="n"/>
      <c r="R1014" s="18" t="n"/>
      <c r="S1014" s="16" t="n"/>
    </row>
    <row r="1015">
      <c r="A1015" s="14">
        <f>IFERROR(IF(AND(IFERROR(INDEX(ERP資料!$A:$A, (MATCH(1014, 輔助計算!$F$2:$F$801, 0)+1)), "")&lt;&gt;"", IFERROR(INDEX(ERP資料!$A:$A, (MATCH(1014, 輔助計算!$F$2:$F$801, 0)+1)), "")&lt;&gt;IFERROR(INDEX(ERP資料!$A:$A, MATCH(1013, 輔助計算!$F$2:$F$801, 0)+1), "")), INDEX(ERP資料!$B:$B, (MATCH(1014, 輔助計算!$F$2:$F$801, 0)+1)), ""), "")</f>
        <v/>
      </c>
      <c r="B1015" s="10">
        <f>IFERROR(IF(AND(IFERROR(INDEX(ERP資料!$A:$A, (MATCH(1014, 輔助計算!$F$2:$F$801, 0)+1)), "")&lt;&gt;"", IFERROR(INDEX(ERP資料!$A:$A, (MATCH(1014, 輔助計算!$F$2:$F$801, 0)+1)), "")&lt;&gt;IFERROR(INDEX(ERP資料!$A:$A, MATCH(1013, 輔助計算!$F$2:$F$801, 0)+1), "")), IFERROR(INDEX(ERP資料!$A:$A, (MATCH(1014, 輔助計算!$F$2:$F$801, 0)+1)), ""), ""), "")</f>
        <v/>
      </c>
      <c r="C1015" s="10">
        <f>IFERROR(IF(AND(IFERROR(INDEX(ERP資料!$A:$A, (MATCH(1014, 輔助計算!$F$2:$F$801, 0)+1)), "")&lt;&gt;"", IFERROR(INDEX(ERP資料!$A:$A, (MATCH(1014, 輔助計算!$F$2:$F$801, 0)+1)), "")&lt;&gt;IFERROR(INDEX(ERP資料!$A:$A, MATCH(1013, 輔助計算!$F$2:$F$801, 0)+1), "")), INDEX(ERP資料!$S:$S, (MATCH(1014, 輔助計算!$F$2:$F$801, 0)+1)), ""), "")</f>
        <v/>
      </c>
      <c r="D1015" s="10">
        <f>IFERROR(IF(INDEX(ERP資料!$E:$E, (MATCH(1014, 輔助計算!$F$2:$F$801, 0)+1))="","",TRIM(INDEX(ERP資料!$E:$E, (MATCH(1014, 輔助計算!$F$2:$F$801, 0)+1)))), "")</f>
        <v/>
      </c>
      <c r="E1015" s="10">
        <f>IFERROR(IF(INDEX(ERP資料!$F:$F, (MATCH(1014, 輔助計算!$F$2:$F$801, 0)+1))="","",INDEX(ERP資料!$F:$F, (MATCH(1014, 輔助計算!$F$2:$F$801, 0)+1))), "")</f>
        <v/>
      </c>
      <c r="F1015" s="10">
        <f>IFERROR(IF(INDEX(ERP資料!$G:$G, (MATCH(1014, 輔助計算!$F$2:$F$801, 0)+1))="","",INDEX(ERP資料!$G:$G, (MATCH(1014, 輔助計算!$F$2:$F$801, 0)+1))), "")</f>
        <v/>
      </c>
      <c r="G1015" s="10">
        <f>IFERROR(IF(INDEX(ERP資料!$H:$H, (MATCH(1014, 輔助計算!$F$2:$F$801, 0)+1))="","",INDEX(ERP資料!$H:$H, (MATCH(1014, 輔助計算!$F$2:$F$801, 0)+1))), "")</f>
        <v/>
      </c>
      <c r="H1015" s="10">
        <f>IFERROR(IF(INDEX(ERP資料!$O:$O, (MATCH(1014, 輔助計算!$F$2:$F$801, 0)+1))="","",INDEX(ERP資料!$O:$O, (MATCH(1014, 輔助計算!$F$2:$F$801, 0)+1))), "")</f>
        <v/>
      </c>
      <c r="I1015" s="15">
        <f>IFERROR(IF(INDEX(輔助計算!$D:$D,(MATCH(1014, 輔助計算!$F$2:$F$801, 0)+1))="","",INDEX(輔助計算!$D:$D,(MATCH(1014, 輔助計算!$F$2:$F$801, 0)+1))*INDEX(ERP資料!$O:$O,(MATCH(1014, 輔助計算!$F$2:$F$801, 0)+1))), "")</f>
        <v/>
      </c>
      <c r="J1015" s="16" t="n"/>
      <c r="K1015" s="15">
        <f>IFERROR(INDEX(輔助計算!$D:$D, (MATCH(1014, 輔助計算!$F$2:$F$801, 0)+1)), "")</f>
        <v/>
      </c>
      <c r="L1015" s="16">
        <f>IFERROR(IF(AND(IFERROR(VLOOKUP(LEFT(INDEX(ERP資料!$S:$S, (MATCH(1014, 輔助計算!$F$2:$F$801, 0)+1)), 4), 100張客戶!$A:$A, 1, FALSE), "")&lt;&gt;"", OR(INDEX(ERP資料!$F:$F, (MATCH(1014, 輔助計算!$F$2:$F$801, 0)+1))=270, INDEX(ERP資料!$F:$F, (MATCH(1014, 輔助計算!$F$2:$F$801, 0)+1))=300)), "100張", ""), "")</f>
        <v/>
      </c>
      <c r="M1015" s="17" t="n"/>
      <c r="N1015" s="17">
        <f>IF($F1015="","",$F1015)</f>
        <v/>
      </c>
      <c r="O1015" s="17">
        <f>IF($G1015="","",$G1015)</f>
        <v/>
      </c>
      <c r="P1015" s="17">
        <f>IF($K1015="","",$K1015)</f>
        <v/>
      </c>
      <c r="Q1015" s="16" t="n"/>
      <c r="R1015" s="18" t="n"/>
      <c r="S1015" s="16" t="n"/>
    </row>
    <row r="1016">
      <c r="A1016" s="14">
        <f>IFERROR(IF(AND(IFERROR(INDEX(ERP資料!$A:$A, (MATCH(1015, 輔助計算!$F$2:$F$801, 0)+1)), "")&lt;&gt;"", IFERROR(INDEX(ERP資料!$A:$A, (MATCH(1015, 輔助計算!$F$2:$F$801, 0)+1)), "")&lt;&gt;IFERROR(INDEX(ERP資料!$A:$A, MATCH(1014, 輔助計算!$F$2:$F$801, 0)+1), "")), INDEX(ERP資料!$B:$B, (MATCH(1015, 輔助計算!$F$2:$F$801, 0)+1)), ""), "")</f>
        <v/>
      </c>
      <c r="B1016" s="10">
        <f>IFERROR(IF(AND(IFERROR(INDEX(ERP資料!$A:$A, (MATCH(1015, 輔助計算!$F$2:$F$801, 0)+1)), "")&lt;&gt;"", IFERROR(INDEX(ERP資料!$A:$A, (MATCH(1015, 輔助計算!$F$2:$F$801, 0)+1)), "")&lt;&gt;IFERROR(INDEX(ERP資料!$A:$A, MATCH(1014, 輔助計算!$F$2:$F$801, 0)+1), "")), IFERROR(INDEX(ERP資料!$A:$A, (MATCH(1015, 輔助計算!$F$2:$F$801, 0)+1)), ""), ""), "")</f>
        <v/>
      </c>
      <c r="C1016" s="10">
        <f>IFERROR(IF(AND(IFERROR(INDEX(ERP資料!$A:$A, (MATCH(1015, 輔助計算!$F$2:$F$801, 0)+1)), "")&lt;&gt;"", IFERROR(INDEX(ERP資料!$A:$A, (MATCH(1015, 輔助計算!$F$2:$F$801, 0)+1)), "")&lt;&gt;IFERROR(INDEX(ERP資料!$A:$A, MATCH(1014, 輔助計算!$F$2:$F$801, 0)+1), "")), INDEX(ERP資料!$S:$S, (MATCH(1015, 輔助計算!$F$2:$F$801, 0)+1)), ""), "")</f>
        <v/>
      </c>
      <c r="D1016" s="10">
        <f>IFERROR(IF(INDEX(ERP資料!$E:$E, (MATCH(1015, 輔助計算!$F$2:$F$801, 0)+1))="","",TRIM(INDEX(ERP資料!$E:$E, (MATCH(1015, 輔助計算!$F$2:$F$801, 0)+1)))), "")</f>
        <v/>
      </c>
      <c r="E1016" s="10">
        <f>IFERROR(IF(INDEX(ERP資料!$F:$F, (MATCH(1015, 輔助計算!$F$2:$F$801, 0)+1))="","",INDEX(ERP資料!$F:$F, (MATCH(1015, 輔助計算!$F$2:$F$801, 0)+1))), "")</f>
        <v/>
      </c>
      <c r="F1016" s="10">
        <f>IFERROR(IF(INDEX(ERP資料!$G:$G, (MATCH(1015, 輔助計算!$F$2:$F$801, 0)+1))="","",INDEX(ERP資料!$G:$G, (MATCH(1015, 輔助計算!$F$2:$F$801, 0)+1))), "")</f>
        <v/>
      </c>
      <c r="G1016" s="10">
        <f>IFERROR(IF(INDEX(ERP資料!$H:$H, (MATCH(1015, 輔助計算!$F$2:$F$801, 0)+1))="","",INDEX(ERP資料!$H:$H, (MATCH(1015, 輔助計算!$F$2:$F$801, 0)+1))), "")</f>
        <v/>
      </c>
      <c r="H1016" s="10">
        <f>IFERROR(IF(INDEX(ERP資料!$O:$O, (MATCH(1015, 輔助計算!$F$2:$F$801, 0)+1))="","",INDEX(ERP資料!$O:$O, (MATCH(1015, 輔助計算!$F$2:$F$801, 0)+1))), "")</f>
        <v/>
      </c>
      <c r="I1016" s="15">
        <f>IFERROR(IF(INDEX(輔助計算!$D:$D,(MATCH(1015, 輔助計算!$F$2:$F$801, 0)+1))="","",INDEX(輔助計算!$D:$D,(MATCH(1015, 輔助計算!$F$2:$F$801, 0)+1))*INDEX(ERP資料!$O:$O,(MATCH(1015, 輔助計算!$F$2:$F$801, 0)+1))), "")</f>
        <v/>
      </c>
      <c r="J1016" s="16" t="n"/>
      <c r="K1016" s="15">
        <f>IFERROR(INDEX(輔助計算!$D:$D, (MATCH(1015, 輔助計算!$F$2:$F$801, 0)+1)), "")</f>
        <v/>
      </c>
      <c r="L1016" s="16">
        <f>IFERROR(IF(AND(IFERROR(VLOOKUP(LEFT(INDEX(ERP資料!$S:$S, (MATCH(1015, 輔助計算!$F$2:$F$801, 0)+1)), 4), 100張客戶!$A:$A, 1, FALSE), "")&lt;&gt;"", OR(INDEX(ERP資料!$F:$F, (MATCH(1015, 輔助計算!$F$2:$F$801, 0)+1))=270, INDEX(ERP資料!$F:$F, (MATCH(1015, 輔助計算!$F$2:$F$801, 0)+1))=300)), "100張", ""), "")</f>
        <v/>
      </c>
      <c r="M1016" s="17" t="n"/>
      <c r="N1016" s="17">
        <f>IF($F1016="","",$F1016)</f>
        <v/>
      </c>
      <c r="O1016" s="17">
        <f>IF($G1016="","",$G1016)</f>
        <v/>
      </c>
      <c r="P1016" s="17">
        <f>IF($K1016="","",$K1016)</f>
        <v/>
      </c>
      <c r="Q1016" s="16" t="n"/>
      <c r="R1016" s="18" t="n"/>
      <c r="S1016" s="16" t="n"/>
    </row>
    <row r="1017">
      <c r="A1017" s="14">
        <f>IFERROR(IF(AND(IFERROR(INDEX(ERP資料!$A:$A, (MATCH(1016, 輔助計算!$F$2:$F$801, 0)+1)), "")&lt;&gt;"", IFERROR(INDEX(ERP資料!$A:$A, (MATCH(1016, 輔助計算!$F$2:$F$801, 0)+1)), "")&lt;&gt;IFERROR(INDEX(ERP資料!$A:$A, MATCH(1015, 輔助計算!$F$2:$F$801, 0)+1), "")), INDEX(ERP資料!$B:$B, (MATCH(1016, 輔助計算!$F$2:$F$801, 0)+1)), ""), "")</f>
        <v/>
      </c>
      <c r="B1017" s="10">
        <f>IFERROR(IF(AND(IFERROR(INDEX(ERP資料!$A:$A, (MATCH(1016, 輔助計算!$F$2:$F$801, 0)+1)), "")&lt;&gt;"", IFERROR(INDEX(ERP資料!$A:$A, (MATCH(1016, 輔助計算!$F$2:$F$801, 0)+1)), "")&lt;&gt;IFERROR(INDEX(ERP資料!$A:$A, MATCH(1015, 輔助計算!$F$2:$F$801, 0)+1), "")), IFERROR(INDEX(ERP資料!$A:$A, (MATCH(1016, 輔助計算!$F$2:$F$801, 0)+1)), ""), ""), "")</f>
        <v/>
      </c>
      <c r="C1017" s="10">
        <f>IFERROR(IF(AND(IFERROR(INDEX(ERP資料!$A:$A, (MATCH(1016, 輔助計算!$F$2:$F$801, 0)+1)), "")&lt;&gt;"", IFERROR(INDEX(ERP資料!$A:$A, (MATCH(1016, 輔助計算!$F$2:$F$801, 0)+1)), "")&lt;&gt;IFERROR(INDEX(ERP資料!$A:$A, MATCH(1015, 輔助計算!$F$2:$F$801, 0)+1), "")), INDEX(ERP資料!$S:$S, (MATCH(1016, 輔助計算!$F$2:$F$801, 0)+1)), ""), "")</f>
        <v/>
      </c>
      <c r="D1017" s="10">
        <f>IFERROR(IF(INDEX(ERP資料!$E:$E, (MATCH(1016, 輔助計算!$F$2:$F$801, 0)+1))="","",TRIM(INDEX(ERP資料!$E:$E, (MATCH(1016, 輔助計算!$F$2:$F$801, 0)+1)))), "")</f>
        <v/>
      </c>
      <c r="E1017" s="10">
        <f>IFERROR(IF(INDEX(ERP資料!$F:$F, (MATCH(1016, 輔助計算!$F$2:$F$801, 0)+1))="","",INDEX(ERP資料!$F:$F, (MATCH(1016, 輔助計算!$F$2:$F$801, 0)+1))), "")</f>
        <v/>
      </c>
      <c r="F1017" s="10">
        <f>IFERROR(IF(INDEX(ERP資料!$G:$G, (MATCH(1016, 輔助計算!$F$2:$F$801, 0)+1))="","",INDEX(ERP資料!$G:$G, (MATCH(1016, 輔助計算!$F$2:$F$801, 0)+1))), "")</f>
        <v/>
      </c>
      <c r="G1017" s="10">
        <f>IFERROR(IF(INDEX(ERP資料!$H:$H, (MATCH(1016, 輔助計算!$F$2:$F$801, 0)+1))="","",INDEX(ERP資料!$H:$H, (MATCH(1016, 輔助計算!$F$2:$F$801, 0)+1))), "")</f>
        <v/>
      </c>
      <c r="H1017" s="10">
        <f>IFERROR(IF(INDEX(ERP資料!$O:$O, (MATCH(1016, 輔助計算!$F$2:$F$801, 0)+1))="","",INDEX(ERP資料!$O:$O, (MATCH(1016, 輔助計算!$F$2:$F$801, 0)+1))), "")</f>
        <v/>
      </c>
      <c r="I1017" s="15">
        <f>IFERROR(IF(INDEX(輔助計算!$D:$D,(MATCH(1016, 輔助計算!$F$2:$F$801, 0)+1))="","",INDEX(輔助計算!$D:$D,(MATCH(1016, 輔助計算!$F$2:$F$801, 0)+1))*INDEX(ERP資料!$O:$O,(MATCH(1016, 輔助計算!$F$2:$F$801, 0)+1))), "")</f>
        <v/>
      </c>
      <c r="J1017" s="16" t="n"/>
      <c r="K1017" s="15">
        <f>IFERROR(INDEX(輔助計算!$D:$D, (MATCH(1016, 輔助計算!$F$2:$F$801, 0)+1)), "")</f>
        <v/>
      </c>
      <c r="L1017" s="16">
        <f>IFERROR(IF(AND(IFERROR(VLOOKUP(LEFT(INDEX(ERP資料!$S:$S, (MATCH(1016, 輔助計算!$F$2:$F$801, 0)+1)), 4), 100張客戶!$A:$A, 1, FALSE), "")&lt;&gt;"", OR(INDEX(ERP資料!$F:$F, (MATCH(1016, 輔助計算!$F$2:$F$801, 0)+1))=270, INDEX(ERP資料!$F:$F, (MATCH(1016, 輔助計算!$F$2:$F$801, 0)+1))=300)), "100張", ""), "")</f>
        <v/>
      </c>
      <c r="M1017" s="17" t="n"/>
      <c r="N1017" s="17">
        <f>IF($F1017="","",$F1017)</f>
        <v/>
      </c>
      <c r="O1017" s="17">
        <f>IF($G1017="","",$G1017)</f>
        <v/>
      </c>
      <c r="P1017" s="17">
        <f>IF($K1017="","",$K1017)</f>
        <v/>
      </c>
      <c r="Q1017" s="16" t="n"/>
      <c r="R1017" s="18" t="n"/>
      <c r="S1017" s="16" t="n"/>
    </row>
    <row r="1018">
      <c r="A1018" s="14">
        <f>IFERROR(IF(AND(IFERROR(INDEX(ERP資料!$A:$A, (MATCH(1017, 輔助計算!$F$2:$F$801, 0)+1)), "")&lt;&gt;"", IFERROR(INDEX(ERP資料!$A:$A, (MATCH(1017, 輔助計算!$F$2:$F$801, 0)+1)), "")&lt;&gt;IFERROR(INDEX(ERP資料!$A:$A, MATCH(1016, 輔助計算!$F$2:$F$801, 0)+1), "")), INDEX(ERP資料!$B:$B, (MATCH(1017, 輔助計算!$F$2:$F$801, 0)+1)), ""), "")</f>
        <v/>
      </c>
      <c r="B1018" s="10">
        <f>IFERROR(IF(AND(IFERROR(INDEX(ERP資料!$A:$A, (MATCH(1017, 輔助計算!$F$2:$F$801, 0)+1)), "")&lt;&gt;"", IFERROR(INDEX(ERP資料!$A:$A, (MATCH(1017, 輔助計算!$F$2:$F$801, 0)+1)), "")&lt;&gt;IFERROR(INDEX(ERP資料!$A:$A, MATCH(1016, 輔助計算!$F$2:$F$801, 0)+1), "")), IFERROR(INDEX(ERP資料!$A:$A, (MATCH(1017, 輔助計算!$F$2:$F$801, 0)+1)), ""), ""), "")</f>
        <v/>
      </c>
      <c r="C1018" s="10">
        <f>IFERROR(IF(AND(IFERROR(INDEX(ERP資料!$A:$A, (MATCH(1017, 輔助計算!$F$2:$F$801, 0)+1)), "")&lt;&gt;"", IFERROR(INDEX(ERP資料!$A:$A, (MATCH(1017, 輔助計算!$F$2:$F$801, 0)+1)), "")&lt;&gt;IFERROR(INDEX(ERP資料!$A:$A, MATCH(1016, 輔助計算!$F$2:$F$801, 0)+1), "")), INDEX(ERP資料!$S:$S, (MATCH(1017, 輔助計算!$F$2:$F$801, 0)+1)), ""), "")</f>
        <v/>
      </c>
      <c r="D1018" s="10">
        <f>IFERROR(IF(INDEX(ERP資料!$E:$E, (MATCH(1017, 輔助計算!$F$2:$F$801, 0)+1))="","",TRIM(INDEX(ERP資料!$E:$E, (MATCH(1017, 輔助計算!$F$2:$F$801, 0)+1)))), "")</f>
        <v/>
      </c>
      <c r="E1018" s="10">
        <f>IFERROR(IF(INDEX(ERP資料!$F:$F, (MATCH(1017, 輔助計算!$F$2:$F$801, 0)+1))="","",INDEX(ERP資料!$F:$F, (MATCH(1017, 輔助計算!$F$2:$F$801, 0)+1))), "")</f>
        <v/>
      </c>
      <c r="F1018" s="10">
        <f>IFERROR(IF(INDEX(ERP資料!$G:$G, (MATCH(1017, 輔助計算!$F$2:$F$801, 0)+1))="","",INDEX(ERP資料!$G:$G, (MATCH(1017, 輔助計算!$F$2:$F$801, 0)+1))), "")</f>
        <v/>
      </c>
      <c r="G1018" s="10">
        <f>IFERROR(IF(INDEX(ERP資料!$H:$H, (MATCH(1017, 輔助計算!$F$2:$F$801, 0)+1))="","",INDEX(ERP資料!$H:$H, (MATCH(1017, 輔助計算!$F$2:$F$801, 0)+1))), "")</f>
        <v/>
      </c>
      <c r="H1018" s="10">
        <f>IFERROR(IF(INDEX(ERP資料!$O:$O, (MATCH(1017, 輔助計算!$F$2:$F$801, 0)+1))="","",INDEX(ERP資料!$O:$O, (MATCH(1017, 輔助計算!$F$2:$F$801, 0)+1))), "")</f>
        <v/>
      </c>
      <c r="I1018" s="15">
        <f>IFERROR(IF(INDEX(輔助計算!$D:$D,(MATCH(1017, 輔助計算!$F$2:$F$801, 0)+1))="","",INDEX(輔助計算!$D:$D,(MATCH(1017, 輔助計算!$F$2:$F$801, 0)+1))*INDEX(ERP資料!$O:$O,(MATCH(1017, 輔助計算!$F$2:$F$801, 0)+1))), "")</f>
        <v/>
      </c>
      <c r="J1018" s="16" t="n"/>
      <c r="K1018" s="15">
        <f>IFERROR(INDEX(輔助計算!$D:$D, (MATCH(1017, 輔助計算!$F$2:$F$801, 0)+1)), "")</f>
        <v/>
      </c>
      <c r="L1018" s="16">
        <f>IFERROR(IF(AND(IFERROR(VLOOKUP(LEFT(INDEX(ERP資料!$S:$S, (MATCH(1017, 輔助計算!$F$2:$F$801, 0)+1)), 4), 100張客戶!$A:$A, 1, FALSE), "")&lt;&gt;"", OR(INDEX(ERP資料!$F:$F, (MATCH(1017, 輔助計算!$F$2:$F$801, 0)+1))=270, INDEX(ERP資料!$F:$F, (MATCH(1017, 輔助計算!$F$2:$F$801, 0)+1))=300)), "100張", ""), "")</f>
        <v/>
      </c>
      <c r="M1018" s="17" t="n"/>
      <c r="N1018" s="17">
        <f>IF($F1018="","",$F1018)</f>
        <v/>
      </c>
      <c r="O1018" s="17">
        <f>IF($G1018="","",$G1018)</f>
        <v/>
      </c>
      <c r="P1018" s="17">
        <f>IF($K1018="","",$K1018)</f>
        <v/>
      </c>
      <c r="Q1018" s="16" t="n"/>
      <c r="R1018" s="18" t="n"/>
      <c r="S1018" s="16" t="n"/>
    </row>
    <row r="1019">
      <c r="A1019" s="14">
        <f>IFERROR(IF(AND(IFERROR(INDEX(ERP資料!$A:$A, (MATCH(1018, 輔助計算!$F$2:$F$801, 0)+1)), "")&lt;&gt;"", IFERROR(INDEX(ERP資料!$A:$A, (MATCH(1018, 輔助計算!$F$2:$F$801, 0)+1)), "")&lt;&gt;IFERROR(INDEX(ERP資料!$A:$A, MATCH(1017, 輔助計算!$F$2:$F$801, 0)+1), "")), INDEX(ERP資料!$B:$B, (MATCH(1018, 輔助計算!$F$2:$F$801, 0)+1)), ""), "")</f>
        <v/>
      </c>
      <c r="B1019" s="10">
        <f>IFERROR(IF(AND(IFERROR(INDEX(ERP資料!$A:$A, (MATCH(1018, 輔助計算!$F$2:$F$801, 0)+1)), "")&lt;&gt;"", IFERROR(INDEX(ERP資料!$A:$A, (MATCH(1018, 輔助計算!$F$2:$F$801, 0)+1)), "")&lt;&gt;IFERROR(INDEX(ERP資料!$A:$A, MATCH(1017, 輔助計算!$F$2:$F$801, 0)+1), "")), IFERROR(INDEX(ERP資料!$A:$A, (MATCH(1018, 輔助計算!$F$2:$F$801, 0)+1)), ""), ""), "")</f>
        <v/>
      </c>
      <c r="C1019" s="10">
        <f>IFERROR(IF(AND(IFERROR(INDEX(ERP資料!$A:$A, (MATCH(1018, 輔助計算!$F$2:$F$801, 0)+1)), "")&lt;&gt;"", IFERROR(INDEX(ERP資料!$A:$A, (MATCH(1018, 輔助計算!$F$2:$F$801, 0)+1)), "")&lt;&gt;IFERROR(INDEX(ERP資料!$A:$A, MATCH(1017, 輔助計算!$F$2:$F$801, 0)+1), "")), INDEX(ERP資料!$S:$S, (MATCH(1018, 輔助計算!$F$2:$F$801, 0)+1)), ""), "")</f>
        <v/>
      </c>
      <c r="D1019" s="10">
        <f>IFERROR(IF(INDEX(ERP資料!$E:$E, (MATCH(1018, 輔助計算!$F$2:$F$801, 0)+1))="","",TRIM(INDEX(ERP資料!$E:$E, (MATCH(1018, 輔助計算!$F$2:$F$801, 0)+1)))), "")</f>
        <v/>
      </c>
      <c r="E1019" s="10">
        <f>IFERROR(IF(INDEX(ERP資料!$F:$F, (MATCH(1018, 輔助計算!$F$2:$F$801, 0)+1))="","",INDEX(ERP資料!$F:$F, (MATCH(1018, 輔助計算!$F$2:$F$801, 0)+1))), "")</f>
        <v/>
      </c>
      <c r="F1019" s="10">
        <f>IFERROR(IF(INDEX(ERP資料!$G:$G, (MATCH(1018, 輔助計算!$F$2:$F$801, 0)+1))="","",INDEX(ERP資料!$G:$G, (MATCH(1018, 輔助計算!$F$2:$F$801, 0)+1))), "")</f>
        <v/>
      </c>
      <c r="G1019" s="10">
        <f>IFERROR(IF(INDEX(ERP資料!$H:$H, (MATCH(1018, 輔助計算!$F$2:$F$801, 0)+1))="","",INDEX(ERP資料!$H:$H, (MATCH(1018, 輔助計算!$F$2:$F$801, 0)+1))), "")</f>
        <v/>
      </c>
      <c r="H1019" s="10">
        <f>IFERROR(IF(INDEX(ERP資料!$O:$O, (MATCH(1018, 輔助計算!$F$2:$F$801, 0)+1))="","",INDEX(ERP資料!$O:$O, (MATCH(1018, 輔助計算!$F$2:$F$801, 0)+1))), "")</f>
        <v/>
      </c>
      <c r="I1019" s="15">
        <f>IFERROR(IF(INDEX(輔助計算!$D:$D,(MATCH(1018, 輔助計算!$F$2:$F$801, 0)+1))="","",INDEX(輔助計算!$D:$D,(MATCH(1018, 輔助計算!$F$2:$F$801, 0)+1))*INDEX(ERP資料!$O:$O,(MATCH(1018, 輔助計算!$F$2:$F$801, 0)+1))), "")</f>
        <v/>
      </c>
      <c r="J1019" s="16" t="n"/>
      <c r="K1019" s="15">
        <f>IFERROR(INDEX(輔助計算!$D:$D, (MATCH(1018, 輔助計算!$F$2:$F$801, 0)+1)), "")</f>
        <v/>
      </c>
      <c r="L1019" s="16">
        <f>IFERROR(IF(AND(IFERROR(VLOOKUP(LEFT(INDEX(ERP資料!$S:$S, (MATCH(1018, 輔助計算!$F$2:$F$801, 0)+1)), 4), 100張客戶!$A:$A, 1, FALSE), "")&lt;&gt;"", OR(INDEX(ERP資料!$F:$F, (MATCH(1018, 輔助計算!$F$2:$F$801, 0)+1))=270, INDEX(ERP資料!$F:$F, (MATCH(1018, 輔助計算!$F$2:$F$801, 0)+1))=300)), "100張", ""), "")</f>
        <v/>
      </c>
      <c r="M1019" s="17" t="n"/>
      <c r="N1019" s="17">
        <f>IF($F1019="","",$F1019)</f>
        <v/>
      </c>
      <c r="O1019" s="17">
        <f>IF($G1019="","",$G1019)</f>
        <v/>
      </c>
      <c r="P1019" s="17">
        <f>IF($K1019="","",$K1019)</f>
        <v/>
      </c>
      <c r="Q1019" s="16" t="n"/>
      <c r="R1019" s="18" t="n"/>
      <c r="S1019" s="16" t="n"/>
    </row>
    <row r="1020">
      <c r="A1020" s="14">
        <f>IFERROR(IF(AND(IFERROR(INDEX(ERP資料!$A:$A, (MATCH(1019, 輔助計算!$F$2:$F$801, 0)+1)), "")&lt;&gt;"", IFERROR(INDEX(ERP資料!$A:$A, (MATCH(1019, 輔助計算!$F$2:$F$801, 0)+1)), "")&lt;&gt;IFERROR(INDEX(ERP資料!$A:$A, MATCH(1018, 輔助計算!$F$2:$F$801, 0)+1), "")), INDEX(ERP資料!$B:$B, (MATCH(1019, 輔助計算!$F$2:$F$801, 0)+1)), ""), "")</f>
        <v/>
      </c>
      <c r="B1020" s="10">
        <f>IFERROR(IF(AND(IFERROR(INDEX(ERP資料!$A:$A, (MATCH(1019, 輔助計算!$F$2:$F$801, 0)+1)), "")&lt;&gt;"", IFERROR(INDEX(ERP資料!$A:$A, (MATCH(1019, 輔助計算!$F$2:$F$801, 0)+1)), "")&lt;&gt;IFERROR(INDEX(ERP資料!$A:$A, MATCH(1018, 輔助計算!$F$2:$F$801, 0)+1), "")), IFERROR(INDEX(ERP資料!$A:$A, (MATCH(1019, 輔助計算!$F$2:$F$801, 0)+1)), ""), ""), "")</f>
        <v/>
      </c>
      <c r="C1020" s="10">
        <f>IFERROR(IF(AND(IFERROR(INDEX(ERP資料!$A:$A, (MATCH(1019, 輔助計算!$F$2:$F$801, 0)+1)), "")&lt;&gt;"", IFERROR(INDEX(ERP資料!$A:$A, (MATCH(1019, 輔助計算!$F$2:$F$801, 0)+1)), "")&lt;&gt;IFERROR(INDEX(ERP資料!$A:$A, MATCH(1018, 輔助計算!$F$2:$F$801, 0)+1), "")), INDEX(ERP資料!$S:$S, (MATCH(1019, 輔助計算!$F$2:$F$801, 0)+1)), ""), "")</f>
        <v/>
      </c>
      <c r="D1020" s="10">
        <f>IFERROR(IF(INDEX(ERP資料!$E:$E, (MATCH(1019, 輔助計算!$F$2:$F$801, 0)+1))="","",TRIM(INDEX(ERP資料!$E:$E, (MATCH(1019, 輔助計算!$F$2:$F$801, 0)+1)))), "")</f>
        <v/>
      </c>
      <c r="E1020" s="10">
        <f>IFERROR(IF(INDEX(ERP資料!$F:$F, (MATCH(1019, 輔助計算!$F$2:$F$801, 0)+1))="","",INDEX(ERP資料!$F:$F, (MATCH(1019, 輔助計算!$F$2:$F$801, 0)+1))), "")</f>
        <v/>
      </c>
      <c r="F1020" s="10">
        <f>IFERROR(IF(INDEX(ERP資料!$G:$G, (MATCH(1019, 輔助計算!$F$2:$F$801, 0)+1))="","",INDEX(ERP資料!$G:$G, (MATCH(1019, 輔助計算!$F$2:$F$801, 0)+1))), "")</f>
        <v/>
      </c>
      <c r="G1020" s="10">
        <f>IFERROR(IF(INDEX(ERP資料!$H:$H, (MATCH(1019, 輔助計算!$F$2:$F$801, 0)+1))="","",INDEX(ERP資料!$H:$H, (MATCH(1019, 輔助計算!$F$2:$F$801, 0)+1))), "")</f>
        <v/>
      </c>
      <c r="H1020" s="10">
        <f>IFERROR(IF(INDEX(ERP資料!$O:$O, (MATCH(1019, 輔助計算!$F$2:$F$801, 0)+1))="","",INDEX(ERP資料!$O:$O, (MATCH(1019, 輔助計算!$F$2:$F$801, 0)+1))), "")</f>
        <v/>
      </c>
      <c r="I1020" s="15">
        <f>IFERROR(IF(INDEX(輔助計算!$D:$D,(MATCH(1019, 輔助計算!$F$2:$F$801, 0)+1))="","",INDEX(輔助計算!$D:$D,(MATCH(1019, 輔助計算!$F$2:$F$801, 0)+1))*INDEX(ERP資料!$O:$O,(MATCH(1019, 輔助計算!$F$2:$F$801, 0)+1))), "")</f>
        <v/>
      </c>
      <c r="J1020" s="16" t="n"/>
      <c r="K1020" s="15">
        <f>IFERROR(INDEX(輔助計算!$D:$D, (MATCH(1019, 輔助計算!$F$2:$F$801, 0)+1)), "")</f>
        <v/>
      </c>
      <c r="L1020" s="16">
        <f>IFERROR(IF(AND(IFERROR(VLOOKUP(LEFT(INDEX(ERP資料!$S:$S, (MATCH(1019, 輔助計算!$F$2:$F$801, 0)+1)), 4), 100張客戶!$A:$A, 1, FALSE), "")&lt;&gt;"", OR(INDEX(ERP資料!$F:$F, (MATCH(1019, 輔助計算!$F$2:$F$801, 0)+1))=270, INDEX(ERP資料!$F:$F, (MATCH(1019, 輔助計算!$F$2:$F$801, 0)+1))=300)), "100張", ""), "")</f>
        <v/>
      </c>
      <c r="M1020" s="17" t="n"/>
      <c r="N1020" s="17">
        <f>IF($F1020="","",$F1020)</f>
        <v/>
      </c>
      <c r="O1020" s="17">
        <f>IF($G1020="","",$G1020)</f>
        <v/>
      </c>
      <c r="P1020" s="17">
        <f>IF($K1020="","",$K1020)</f>
        <v/>
      </c>
      <c r="Q1020" s="16" t="n"/>
      <c r="R1020" s="18" t="n"/>
      <c r="S1020" s="16" t="n"/>
    </row>
    <row r="1021">
      <c r="A1021" s="14">
        <f>IFERROR(IF(AND(IFERROR(INDEX(ERP資料!$A:$A, (MATCH(1020, 輔助計算!$F$2:$F$801, 0)+1)), "")&lt;&gt;"", IFERROR(INDEX(ERP資料!$A:$A, (MATCH(1020, 輔助計算!$F$2:$F$801, 0)+1)), "")&lt;&gt;IFERROR(INDEX(ERP資料!$A:$A, MATCH(1019, 輔助計算!$F$2:$F$801, 0)+1), "")), INDEX(ERP資料!$B:$B, (MATCH(1020, 輔助計算!$F$2:$F$801, 0)+1)), ""), "")</f>
        <v/>
      </c>
      <c r="B1021" s="10">
        <f>IFERROR(IF(AND(IFERROR(INDEX(ERP資料!$A:$A, (MATCH(1020, 輔助計算!$F$2:$F$801, 0)+1)), "")&lt;&gt;"", IFERROR(INDEX(ERP資料!$A:$A, (MATCH(1020, 輔助計算!$F$2:$F$801, 0)+1)), "")&lt;&gt;IFERROR(INDEX(ERP資料!$A:$A, MATCH(1019, 輔助計算!$F$2:$F$801, 0)+1), "")), IFERROR(INDEX(ERP資料!$A:$A, (MATCH(1020, 輔助計算!$F$2:$F$801, 0)+1)), ""), ""), "")</f>
        <v/>
      </c>
      <c r="C1021" s="10">
        <f>IFERROR(IF(AND(IFERROR(INDEX(ERP資料!$A:$A, (MATCH(1020, 輔助計算!$F$2:$F$801, 0)+1)), "")&lt;&gt;"", IFERROR(INDEX(ERP資料!$A:$A, (MATCH(1020, 輔助計算!$F$2:$F$801, 0)+1)), "")&lt;&gt;IFERROR(INDEX(ERP資料!$A:$A, MATCH(1019, 輔助計算!$F$2:$F$801, 0)+1), "")), INDEX(ERP資料!$S:$S, (MATCH(1020, 輔助計算!$F$2:$F$801, 0)+1)), ""), "")</f>
        <v/>
      </c>
      <c r="D1021" s="10">
        <f>IFERROR(IF(INDEX(ERP資料!$E:$E, (MATCH(1020, 輔助計算!$F$2:$F$801, 0)+1))="","",TRIM(INDEX(ERP資料!$E:$E, (MATCH(1020, 輔助計算!$F$2:$F$801, 0)+1)))), "")</f>
        <v/>
      </c>
      <c r="E1021" s="10">
        <f>IFERROR(IF(INDEX(ERP資料!$F:$F, (MATCH(1020, 輔助計算!$F$2:$F$801, 0)+1))="","",INDEX(ERP資料!$F:$F, (MATCH(1020, 輔助計算!$F$2:$F$801, 0)+1))), "")</f>
        <v/>
      </c>
      <c r="F1021" s="10">
        <f>IFERROR(IF(INDEX(ERP資料!$G:$G, (MATCH(1020, 輔助計算!$F$2:$F$801, 0)+1))="","",INDEX(ERP資料!$G:$G, (MATCH(1020, 輔助計算!$F$2:$F$801, 0)+1))), "")</f>
        <v/>
      </c>
      <c r="G1021" s="10">
        <f>IFERROR(IF(INDEX(ERP資料!$H:$H, (MATCH(1020, 輔助計算!$F$2:$F$801, 0)+1))="","",INDEX(ERP資料!$H:$H, (MATCH(1020, 輔助計算!$F$2:$F$801, 0)+1))), "")</f>
        <v/>
      </c>
      <c r="H1021" s="10">
        <f>IFERROR(IF(INDEX(ERP資料!$O:$O, (MATCH(1020, 輔助計算!$F$2:$F$801, 0)+1))="","",INDEX(ERP資料!$O:$O, (MATCH(1020, 輔助計算!$F$2:$F$801, 0)+1))), "")</f>
        <v/>
      </c>
      <c r="I1021" s="15">
        <f>IFERROR(IF(INDEX(輔助計算!$D:$D,(MATCH(1020, 輔助計算!$F$2:$F$801, 0)+1))="","",INDEX(輔助計算!$D:$D,(MATCH(1020, 輔助計算!$F$2:$F$801, 0)+1))*INDEX(ERP資料!$O:$O,(MATCH(1020, 輔助計算!$F$2:$F$801, 0)+1))), "")</f>
        <v/>
      </c>
      <c r="J1021" s="16" t="n"/>
      <c r="K1021" s="15">
        <f>IFERROR(INDEX(輔助計算!$D:$D, (MATCH(1020, 輔助計算!$F$2:$F$801, 0)+1)), "")</f>
        <v/>
      </c>
      <c r="L1021" s="16">
        <f>IFERROR(IF(AND(IFERROR(VLOOKUP(LEFT(INDEX(ERP資料!$S:$S, (MATCH(1020, 輔助計算!$F$2:$F$801, 0)+1)), 4), 100張客戶!$A:$A, 1, FALSE), "")&lt;&gt;"", OR(INDEX(ERP資料!$F:$F, (MATCH(1020, 輔助計算!$F$2:$F$801, 0)+1))=270, INDEX(ERP資料!$F:$F, (MATCH(1020, 輔助計算!$F$2:$F$801, 0)+1))=300)), "100張", ""), "")</f>
        <v/>
      </c>
      <c r="M1021" s="17" t="n"/>
      <c r="N1021" s="17">
        <f>IF($F1021="","",$F1021)</f>
        <v/>
      </c>
      <c r="O1021" s="17">
        <f>IF($G1021="","",$G1021)</f>
        <v/>
      </c>
      <c r="P1021" s="17">
        <f>IF($K1021="","",$K1021)</f>
        <v/>
      </c>
      <c r="Q1021" s="16" t="n"/>
      <c r="R1021" s="18" t="n"/>
      <c r="S1021" s="16" t="n"/>
    </row>
    <row r="1022">
      <c r="A1022" s="14">
        <f>IFERROR(IF(AND(IFERROR(INDEX(ERP資料!$A:$A, (MATCH(1021, 輔助計算!$F$2:$F$801, 0)+1)), "")&lt;&gt;"", IFERROR(INDEX(ERP資料!$A:$A, (MATCH(1021, 輔助計算!$F$2:$F$801, 0)+1)), "")&lt;&gt;IFERROR(INDEX(ERP資料!$A:$A, MATCH(1020, 輔助計算!$F$2:$F$801, 0)+1), "")), INDEX(ERP資料!$B:$B, (MATCH(1021, 輔助計算!$F$2:$F$801, 0)+1)), ""), "")</f>
        <v/>
      </c>
      <c r="B1022" s="10">
        <f>IFERROR(IF(AND(IFERROR(INDEX(ERP資料!$A:$A, (MATCH(1021, 輔助計算!$F$2:$F$801, 0)+1)), "")&lt;&gt;"", IFERROR(INDEX(ERP資料!$A:$A, (MATCH(1021, 輔助計算!$F$2:$F$801, 0)+1)), "")&lt;&gt;IFERROR(INDEX(ERP資料!$A:$A, MATCH(1020, 輔助計算!$F$2:$F$801, 0)+1), "")), IFERROR(INDEX(ERP資料!$A:$A, (MATCH(1021, 輔助計算!$F$2:$F$801, 0)+1)), ""), ""), "")</f>
        <v/>
      </c>
      <c r="C1022" s="10">
        <f>IFERROR(IF(AND(IFERROR(INDEX(ERP資料!$A:$A, (MATCH(1021, 輔助計算!$F$2:$F$801, 0)+1)), "")&lt;&gt;"", IFERROR(INDEX(ERP資料!$A:$A, (MATCH(1021, 輔助計算!$F$2:$F$801, 0)+1)), "")&lt;&gt;IFERROR(INDEX(ERP資料!$A:$A, MATCH(1020, 輔助計算!$F$2:$F$801, 0)+1), "")), INDEX(ERP資料!$S:$S, (MATCH(1021, 輔助計算!$F$2:$F$801, 0)+1)), ""), "")</f>
        <v/>
      </c>
      <c r="D1022" s="10">
        <f>IFERROR(IF(INDEX(ERP資料!$E:$E, (MATCH(1021, 輔助計算!$F$2:$F$801, 0)+1))="","",TRIM(INDEX(ERP資料!$E:$E, (MATCH(1021, 輔助計算!$F$2:$F$801, 0)+1)))), "")</f>
        <v/>
      </c>
      <c r="E1022" s="10">
        <f>IFERROR(IF(INDEX(ERP資料!$F:$F, (MATCH(1021, 輔助計算!$F$2:$F$801, 0)+1))="","",INDEX(ERP資料!$F:$F, (MATCH(1021, 輔助計算!$F$2:$F$801, 0)+1))), "")</f>
        <v/>
      </c>
      <c r="F1022" s="10">
        <f>IFERROR(IF(INDEX(ERP資料!$G:$G, (MATCH(1021, 輔助計算!$F$2:$F$801, 0)+1))="","",INDEX(ERP資料!$G:$G, (MATCH(1021, 輔助計算!$F$2:$F$801, 0)+1))), "")</f>
        <v/>
      </c>
      <c r="G1022" s="10">
        <f>IFERROR(IF(INDEX(ERP資料!$H:$H, (MATCH(1021, 輔助計算!$F$2:$F$801, 0)+1))="","",INDEX(ERP資料!$H:$H, (MATCH(1021, 輔助計算!$F$2:$F$801, 0)+1))), "")</f>
        <v/>
      </c>
      <c r="H1022" s="10">
        <f>IFERROR(IF(INDEX(ERP資料!$O:$O, (MATCH(1021, 輔助計算!$F$2:$F$801, 0)+1))="","",INDEX(ERP資料!$O:$O, (MATCH(1021, 輔助計算!$F$2:$F$801, 0)+1))), "")</f>
        <v/>
      </c>
      <c r="I1022" s="15">
        <f>IFERROR(IF(INDEX(輔助計算!$D:$D,(MATCH(1021, 輔助計算!$F$2:$F$801, 0)+1))="","",INDEX(輔助計算!$D:$D,(MATCH(1021, 輔助計算!$F$2:$F$801, 0)+1))*INDEX(ERP資料!$O:$O,(MATCH(1021, 輔助計算!$F$2:$F$801, 0)+1))), "")</f>
        <v/>
      </c>
      <c r="J1022" s="16" t="n"/>
      <c r="K1022" s="15">
        <f>IFERROR(INDEX(輔助計算!$D:$D, (MATCH(1021, 輔助計算!$F$2:$F$801, 0)+1)), "")</f>
        <v/>
      </c>
      <c r="L1022" s="16">
        <f>IFERROR(IF(AND(IFERROR(VLOOKUP(LEFT(INDEX(ERP資料!$S:$S, (MATCH(1021, 輔助計算!$F$2:$F$801, 0)+1)), 4), 100張客戶!$A:$A, 1, FALSE), "")&lt;&gt;"", OR(INDEX(ERP資料!$F:$F, (MATCH(1021, 輔助計算!$F$2:$F$801, 0)+1))=270, INDEX(ERP資料!$F:$F, (MATCH(1021, 輔助計算!$F$2:$F$801, 0)+1))=300)), "100張", ""), "")</f>
        <v/>
      </c>
      <c r="M1022" s="17" t="n"/>
      <c r="N1022" s="17">
        <f>IF($F1022="","",$F1022)</f>
        <v/>
      </c>
      <c r="O1022" s="17">
        <f>IF($G1022="","",$G1022)</f>
        <v/>
      </c>
      <c r="P1022" s="17">
        <f>IF($K1022="","",$K1022)</f>
        <v/>
      </c>
      <c r="Q1022" s="16" t="n"/>
      <c r="R1022" s="18" t="n"/>
      <c r="S1022" s="16" t="n"/>
    </row>
    <row r="1023">
      <c r="A1023" s="14">
        <f>IFERROR(IF(AND(IFERROR(INDEX(ERP資料!$A:$A, (MATCH(1022, 輔助計算!$F$2:$F$801, 0)+1)), "")&lt;&gt;"", IFERROR(INDEX(ERP資料!$A:$A, (MATCH(1022, 輔助計算!$F$2:$F$801, 0)+1)), "")&lt;&gt;IFERROR(INDEX(ERP資料!$A:$A, MATCH(1021, 輔助計算!$F$2:$F$801, 0)+1), "")), INDEX(ERP資料!$B:$B, (MATCH(1022, 輔助計算!$F$2:$F$801, 0)+1)), ""), "")</f>
        <v/>
      </c>
      <c r="B1023" s="10">
        <f>IFERROR(IF(AND(IFERROR(INDEX(ERP資料!$A:$A, (MATCH(1022, 輔助計算!$F$2:$F$801, 0)+1)), "")&lt;&gt;"", IFERROR(INDEX(ERP資料!$A:$A, (MATCH(1022, 輔助計算!$F$2:$F$801, 0)+1)), "")&lt;&gt;IFERROR(INDEX(ERP資料!$A:$A, MATCH(1021, 輔助計算!$F$2:$F$801, 0)+1), "")), IFERROR(INDEX(ERP資料!$A:$A, (MATCH(1022, 輔助計算!$F$2:$F$801, 0)+1)), ""), ""), "")</f>
        <v/>
      </c>
      <c r="C1023" s="10">
        <f>IFERROR(IF(AND(IFERROR(INDEX(ERP資料!$A:$A, (MATCH(1022, 輔助計算!$F$2:$F$801, 0)+1)), "")&lt;&gt;"", IFERROR(INDEX(ERP資料!$A:$A, (MATCH(1022, 輔助計算!$F$2:$F$801, 0)+1)), "")&lt;&gt;IFERROR(INDEX(ERP資料!$A:$A, MATCH(1021, 輔助計算!$F$2:$F$801, 0)+1), "")), INDEX(ERP資料!$S:$S, (MATCH(1022, 輔助計算!$F$2:$F$801, 0)+1)), ""), "")</f>
        <v/>
      </c>
      <c r="D1023" s="10">
        <f>IFERROR(IF(INDEX(ERP資料!$E:$E, (MATCH(1022, 輔助計算!$F$2:$F$801, 0)+1))="","",TRIM(INDEX(ERP資料!$E:$E, (MATCH(1022, 輔助計算!$F$2:$F$801, 0)+1)))), "")</f>
        <v/>
      </c>
      <c r="E1023" s="10">
        <f>IFERROR(IF(INDEX(ERP資料!$F:$F, (MATCH(1022, 輔助計算!$F$2:$F$801, 0)+1))="","",INDEX(ERP資料!$F:$F, (MATCH(1022, 輔助計算!$F$2:$F$801, 0)+1))), "")</f>
        <v/>
      </c>
      <c r="F1023" s="10">
        <f>IFERROR(IF(INDEX(ERP資料!$G:$G, (MATCH(1022, 輔助計算!$F$2:$F$801, 0)+1))="","",INDEX(ERP資料!$G:$G, (MATCH(1022, 輔助計算!$F$2:$F$801, 0)+1))), "")</f>
        <v/>
      </c>
      <c r="G1023" s="10">
        <f>IFERROR(IF(INDEX(ERP資料!$H:$H, (MATCH(1022, 輔助計算!$F$2:$F$801, 0)+1))="","",INDEX(ERP資料!$H:$H, (MATCH(1022, 輔助計算!$F$2:$F$801, 0)+1))), "")</f>
        <v/>
      </c>
      <c r="H1023" s="10">
        <f>IFERROR(IF(INDEX(ERP資料!$O:$O, (MATCH(1022, 輔助計算!$F$2:$F$801, 0)+1))="","",INDEX(ERP資料!$O:$O, (MATCH(1022, 輔助計算!$F$2:$F$801, 0)+1))), "")</f>
        <v/>
      </c>
      <c r="I1023" s="15">
        <f>IFERROR(IF(INDEX(輔助計算!$D:$D,(MATCH(1022, 輔助計算!$F$2:$F$801, 0)+1))="","",INDEX(輔助計算!$D:$D,(MATCH(1022, 輔助計算!$F$2:$F$801, 0)+1))*INDEX(ERP資料!$O:$O,(MATCH(1022, 輔助計算!$F$2:$F$801, 0)+1))), "")</f>
        <v/>
      </c>
      <c r="J1023" s="16" t="n"/>
      <c r="K1023" s="15">
        <f>IFERROR(INDEX(輔助計算!$D:$D, (MATCH(1022, 輔助計算!$F$2:$F$801, 0)+1)), "")</f>
        <v/>
      </c>
      <c r="L1023" s="16">
        <f>IFERROR(IF(AND(IFERROR(VLOOKUP(LEFT(INDEX(ERP資料!$S:$S, (MATCH(1022, 輔助計算!$F$2:$F$801, 0)+1)), 4), 100張客戶!$A:$A, 1, FALSE), "")&lt;&gt;"", OR(INDEX(ERP資料!$F:$F, (MATCH(1022, 輔助計算!$F$2:$F$801, 0)+1))=270, INDEX(ERP資料!$F:$F, (MATCH(1022, 輔助計算!$F$2:$F$801, 0)+1))=300)), "100張", ""), "")</f>
        <v/>
      </c>
      <c r="M1023" s="17" t="n"/>
      <c r="N1023" s="17">
        <f>IF($F1023="","",$F1023)</f>
        <v/>
      </c>
      <c r="O1023" s="17">
        <f>IF($G1023="","",$G1023)</f>
        <v/>
      </c>
      <c r="P1023" s="17">
        <f>IF($K1023="","",$K1023)</f>
        <v/>
      </c>
      <c r="Q1023" s="16" t="n"/>
      <c r="R1023" s="18" t="n"/>
      <c r="S1023" s="16" t="n"/>
    </row>
    <row r="1024">
      <c r="A1024" s="14">
        <f>IFERROR(IF(AND(IFERROR(INDEX(ERP資料!$A:$A, (MATCH(1023, 輔助計算!$F$2:$F$801, 0)+1)), "")&lt;&gt;"", IFERROR(INDEX(ERP資料!$A:$A, (MATCH(1023, 輔助計算!$F$2:$F$801, 0)+1)), "")&lt;&gt;IFERROR(INDEX(ERP資料!$A:$A, MATCH(1022, 輔助計算!$F$2:$F$801, 0)+1), "")), INDEX(ERP資料!$B:$B, (MATCH(1023, 輔助計算!$F$2:$F$801, 0)+1)), ""), "")</f>
        <v/>
      </c>
      <c r="B1024" s="10">
        <f>IFERROR(IF(AND(IFERROR(INDEX(ERP資料!$A:$A, (MATCH(1023, 輔助計算!$F$2:$F$801, 0)+1)), "")&lt;&gt;"", IFERROR(INDEX(ERP資料!$A:$A, (MATCH(1023, 輔助計算!$F$2:$F$801, 0)+1)), "")&lt;&gt;IFERROR(INDEX(ERP資料!$A:$A, MATCH(1022, 輔助計算!$F$2:$F$801, 0)+1), "")), IFERROR(INDEX(ERP資料!$A:$A, (MATCH(1023, 輔助計算!$F$2:$F$801, 0)+1)), ""), ""), "")</f>
        <v/>
      </c>
      <c r="C1024" s="10">
        <f>IFERROR(IF(AND(IFERROR(INDEX(ERP資料!$A:$A, (MATCH(1023, 輔助計算!$F$2:$F$801, 0)+1)), "")&lt;&gt;"", IFERROR(INDEX(ERP資料!$A:$A, (MATCH(1023, 輔助計算!$F$2:$F$801, 0)+1)), "")&lt;&gt;IFERROR(INDEX(ERP資料!$A:$A, MATCH(1022, 輔助計算!$F$2:$F$801, 0)+1), "")), INDEX(ERP資料!$S:$S, (MATCH(1023, 輔助計算!$F$2:$F$801, 0)+1)), ""), "")</f>
        <v/>
      </c>
      <c r="D1024" s="10">
        <f>IFERROR(IF(INDEX(ERP資料!$E:$E, (MATCH(1023, 輔助計算!$F$2:$F$801, 0)+1))="","",TRIM(INDEX(ERP資料!$E:$E, (MATCH(1023, 輔助計算!$F$2:$F$801, 0)+1)))), "")</f>
        <v/>
      </c>
      <c r="E1024" s="10">
        <f>IFERROR(IF(INDEX(ERP資料!$F:$F, (MATCH(1023, 輔助計算!$F$2:$F$801, 0)+1))="","",INDEX(ERP資料!$F:$F, (MATCH(1023, 輔助計算!$F$2:$F$801, 0)+1))), "")</f>
        <v/>
      </c>
      <c r="F1024" s="10">
        <f>IFERROR(IF(INDEX(ERP資料!$G:$G, (MATCH(1023, 輔助計算!$F$2:$F$801, 0)+1))="","",INDEX(ERP資料!$G:$G, (MATCH(1023, 輔助計算!$F$2:$F$801, 0)+1))), "")</f>
        <v/>
      </c>
      <c r="G1024" s="10">
        <f>IFERROR(IF(INDEX(ERP資料!$H:$H, (MATCH(1023, 輔助計算!$F$2:$F$801, 0)+1))="","",INDEX(ERP資料!$H:$H, (MATCH(1023, 輔助計算!$F$2:$F$801, 0)+1))), "")</f>
        <v/>
      </c>
      <c r="H1024" s="10">
        <f>IFERROR(IF(INDEX(ERP資料!$O:$O, (MATCH(1023, 輔助計算!$F$2:$F$801, 0)+1))="","",INDEX(ERP資料!$O:$O, (MATCH(1023, 輔助計算!$F$2:$F$801, 0)+1))), "")</f>
        <v/>
      </c>
      <c r="I1024" s="15">
        <f>IFERROR(IF(INDEX(輔助計算!$D:$D,(MATCH(1023, 輔助計算!$F$2:$F$801, 0)+1))="","",INDEX(輔助計算!$D:$D,(MATCH(1023, 輔助計算!$F$2:$F$801, 0)+1))*INDEX(ERP資料!$O:$O,(MATCH(1023, 輔助計算!$F$2:$F$801, 0)+1))), "")</f>
        <v/>
      </c>
      <c r="J1024" s="16" t="n"/>
      <c r="K1024" s="15">
        <f>IFERROR(INDEX(輔助計算!$D:$D, (MATCH(1023, 輔助計算!$F$2:$F$801, 0)+1)), "")</f>
        <v/>
      </c>
      <c r="L1024" s="16">
        <f>IFERROR(IF(AND(IFERROR(VLOOKUP(LEFT(INDEX(ERP資料!$S:$S, (MATCH(1023, 輔助計算!$F$2:$F$801, 0)+1)), 4), 100張客戶!$A:$A, 1, FALSE), "")&lt;&gt;"", OR(INDEX(ERP資料!$F:$F, (MATCH(1023, 輔助計算!$F$2:$F$801, 0)+1))=270, INDEX(ERP資料!$F:$F, (MATCH(1023, 輔助計算!$F$2:$F$801, 0)+1))=300)), "100張", ""), "")</f>
        <v/>
      </c>
      <c r="M1024" s="17" t="n"/>
      <c r="N1024" s="17">
        <f>IF($F1024="","",$F1024)</f>
        <v/>
      </c>
      <c r="O1024" s="17">
        <f>IF($G1024="","",$G1024)</f>
        <v/>
      </c>
      <c r="P1024" s="17">
        <f>IF($K1024="","",$K1024)</f>
        <v/>
      </c>
      <c r="Q1024" s="16" t="n"/>
      <c r="R1024" s="18" t="n"/>
      <c r="S1024" s="16" t="n"/>
    </row>
    <row r="1025">
      <c r="A1025" s="14">
        <f>IFERROR(IF(AND(IFERROR(INDEX(ERP資料!$A:$A, (MATCH(1024, 輔助計算!$F$2:$F$801, 0)+1)), "")&lt;&gt;"", IFERROR(INDEX(ERP資料!$A:$A, (MATCH(1024, 輔助計算!$F$2:$F$801, 0)+1)), "")&lt;&gt;IFERROR(INDEX(ERP資料!$A:$A, MATCH(1023, 輔助計算!$F$2:$F$801, 0)+1), "")), INDEX(ERP資料!$B:$B, (MATCH(1024, 輔助計算!$F$2:$F$801, 0)+1)), ""), "")</f>
        <v/>
      </c>
      <c r="B1025" s="10">
        <f>IFERROR(IF(AND(IFERROR(INDEX(ERP資料!$A:$A, (MATCH(1024, 輔助計算!$F$2:$F$801, 0)+1)), "")&lt;&gt;"", IFERROR(INDEX(ERP資料!$A:$A, (MATCH(1024, 輔助計算!$F$2:$F$801, 0)+1)), "")&lt;&gt;IFERROR(INDEX(ERP資料!$A:$A, MATCH(1023, 輔助計算!$F$2:$F$801, 0)+1), "")), IFERROR(INDEX(ERP資料!$A:$A, (MATCH(1024, 輔助計算!$F$2:$F$801, 0)+1)), ""), ""), "")</f>
        <v/>
      </c>
      <c r="C1025" s="10">
        <f>IFERROR(IF(AND(IFERROR(INDEX(ERP資料!$A:$A, (MATCH(1024, 輔助計算!$F$2:$F$801, 0)+1)), "")&lt;&gt;"", IFERROR(INDEX(ERP資料!$A:$A, (MATCH(1024, 輔助計算!$F$2:$F$801, 0)+1)), "")&lt;&gt;IFERROR(INDEX(ERP資料!$A:$A, MATCH(1023, 輔助計算!$F$2:$F$801, 0)+1), "")), INDEX(ERP資料!$S:$S, (MATCH(1024, 輔助計算!$F$2:$F$801, 0)+1)), ""), "")</f>
        <v/>
      </c>
      <c r="D1025" s="10">
        <f>IFERROR(IF(INDEX(ERP資料!$E:$E, (MATCH(1024, 輔助計算!$F$2:$F$801, 0)+1))="","",TRIM(INDEX(ERP資料!$E:$E, (MATCH(1024, 輔助計算!$F$2:$F$801, 0)+1)))), "")</f>
        <v/>
      </c>
      <c r="E1025" s="10">
        <f>IFERROR(IF(INDEX(ERP資料!$F:$F, (MATCH(1024, 輔助計算!$F$2:$F$801, 0)+1))="","",INDEX(ERP資料!$F:$F, (MATCH(1024, 輔助計算!$F$2:$F$801, 0)+1))), "")</f>
        <v/>
      </c>
      <c r="F1025" s="10">
        <f>IFERROR(IF(INDEX(ERP資料!$G:$G, (MATCH(1024, 輔助計算!$F$2:$F$801, 0)+1))="","",INDEX(ERP資料!$G:$G, (MATCH(1024, 輔助計算!$F$2:$F$801, 0)+1))), "")</f>
        <v/>
      </c>
      <c r="G1025" s="10">
        <f>IFERROR(IF(INDEX(ERP資料!$H:$H, (MATCH(1024, 輔助計算!$F$2:$F$801, 0)+1))="","",INDEX(ERP資料!$H:$H, (MATCH(1024, 輔助計算!$F$2:$F$801, 0)+1))), "")</f>
        <v/>
      </c>
      <c r="H1025" s="10">
        <f>IFERROR(IF(INDEX(ERP資料!$O:$O, (MATCH(1024, 輔助計算!$F$2:$F$801, 0)+1))="","",INDEX(ERP資料!$O:$O, (MATCH(1024, 輔助計算!$F$2:$F$801, 0)+1))), "")</f>
        <v/>
      </c>
      <c r="I1025" s="15">
        <f>IFERROR(IF(INDEX(輔助計算!$D:$D,(MATCH(1024, 輔助計算!$F$2:$F$801, 0)+1))="","",INDEX(輔助計算!$D:$D,(MATCH(1024, 輔助計算!$F$2:$F$801, 0)+1))*INDEX(ERP資料!$O:$O,(MATCH(1024, 輔助計算!$F$2:$F$801, 0)+1))), "")</f>
        <v/>
      </c>
      <c r="J1025" s="16" t="n"/>
      <c r="K1025" s="15">
        <f>IFERROR(INDEX(輔助計算!$D:$D, (MATCH(1024, 輔助計算!$F$2:$F$801, 0)+1)), "")</f>
        <v/>
      </c>
      <c r="L1025" s="16">
        <f>IFERROR(IF(AND(IFERROR(VLOOKUP(LEFT(INDEX(ERP資料!$S:$S, (MATCH(1024, 輔助計算!$F$2:$F$801, 0)+1)), 4), 100張客戶!$A:$A, 1, FALSE), "")&lt;&gt;"", OR(INDEX(ERP資料!$F:$F, (MATCH(1024, 輔助計算!$F$2:$F$801, 0)+1))=270, INDEX(ERP資料!$F:$F, (MATCH(1024, 輔助計算!$F$2:$F$801, 0)+1))=300)), "100張", ""), "")</f>
        <v/>
      </c>
      <c r="M1025" s="17" t="n"/>
      <c r="N1025" s="17">
        <f>IF($F1025="","",$F1025)</f>
        <v/>
      </c>
      <c r="O1025" s="17">
        <f>IF($G1025="","",$G1025)</f>
        <v/>
      </c>
      <c r="P1025" s="17">
        <f>IF($K1025="","",$K1025)</f>
        <v/>
      </c>
      <c r="Q1025" s="16" t="n"/>
      <c r="R1025" s="18" t="n"/>
      <c r="S1025" s="16" t="n"/>
    </row>
    <row r="1026">
      <c r="A1026" s="14">
        <f>IFERROR(IF(AND(IFERROR(INDEX(ERP資料!$A:$A, (MATCH(1025, 輔助計算!$F$2:$F$801, 0)+1)), "")&lt;&gt;"", IFERROR(INDEX(ERP資料!$A:$A, (MATCH(1025, 輔助計算!$F$2:$F$801, 0)+1)), "")&lt;&gt;IFERROR(INDEX(ERP資料!$A:$A, MATCH(1024, 輔助計算!$F$2:$F$801, 0)+1), "")), INDEX(ERP資料!$B:$B, (MATCH(1025, 輔助計算!$F$2:$F$801, 0)+1)), ""), "")</f>
        <v/>
      </c>
      <c r="B1026" s="10">
        <f>IFERROR(IF(AND(IFERROR(INDEX(ERP資料!$A:$A, (MATCH(1025, 輔助計算!$F$2:$F$801, 0)+1)), "")&lt;&gt;"", IFERROR(INDEX(ERP資料!$A:$A, (MATCH(1025, 輔助計算!$F$2:$F$801, 0)+1)), "")&lt;&gt;IFERROR(INDEX(ERP資料!$A:$A, MATCH(1024, 輔助計算!$F$2:$F$801, 0)+1), "")), IFERROR(INDEX(ERP資料!$A:$A, (MATCH(1025, 輔助計算!$F$2:$F$801, 0)+1)), ""), ""), "")</f>
        <v/>
      </c>
      <c r="C1026" s="10">
        <f>IFERROR(IF(AND(IFERROR(INDEX(ERP資料!$A:$A, (MATCH(1025, 輔助計算!$F$2:$F$801, 0)+1)), "")&lt;&gt;"", IFERROR(INDEX(ERP資料!$A:$A, (MATCH(1025, 輔助計算!$F$2:$F$801, 0)+1)), "")&lt;&gt;IFERROR(INDEX(ERP資料!$A:$A, MATCH(1024, 輔助計算!$F$2:$F$801, 0)+1), "")), INDEX(ERP資料!$S:$S, (MATCH(1025, 輔助計算!$F$2:$F$801, 0)+1)), ""), "")</f>
        <v/>
      </c>
      <c r="D1026" s="10">
        <f>IFERROR(IF(INDEX(ERP資料!$E:$E, (MATCH(1025, 輔助計算!$F$2:$F$801, 0)+1))="","",TRIM(INDEX(ERP資料!$E:$E, (MATCH(1025, 輔助計算!$F$2:$F$801, 0)+1)))), "")</f>
        <v/>
      </c>
      <c r="E1026" s="10">
        <f>IFERROR(IF(INDEX(ERP資料!$F:$F, (MATCH(1025, 輔助計算!$F$2:$F$801, 0)+1))="","",INDEX(ERP資料!$F:$F, (MATCH(1025, 輔助計算!$F$2:$F$801, 0)+1))), "")</f>
        <v/>
      </c>
      <c r="F1026" s="10">
        <f>IFERROR(IF(INDEX(ERP資料!$G:$G, (MATCH(1025, 輔助計算!$F$2:$F$801, 0)+1))="","",INDEX(ERP資料!$G:$G, (MATCH(1025, 輔助計算!$F$2:$F$801, 0)+1))), "")</f>
        <v/>
      </c>
      <c r="G1026" s="10">
        <f>IFERROR(IF(INDEX(ERP資料!$H:$H, (MATCH(1025, 輔助計算!$F$2:$F$801, 0)+1))="","",INDEX(ERP資料!$H:$H, (MATCH(1025, 輔助計算!$F$2:$F$801, 0)+1))), "")</f>
        <v/>
      </c>
      <c r="H1026" s="10">
        <f>IFERROR(IF(INDEX(ERP資料!$O:$O, (MATCH(1025, 輔助計算!$F$2:$F$801, 0)+1))="","",INDEX(ERP資料!$O:$O, (MATCH(1025, 輔助計算!$F$2:$F$801, 0)+1))), "")</f>
        <v/>
      </c>
      <c r="I1026" s="15">
        <f>IFERROR(IF(INDEX(輔助計算!$D:$D,(MATCH(1025, 輔助計算!$F$2:$F$801, 0)+1))="","",INDEX(輔助計算!$D:$D,(MATCH(1025, 輔助計算!$F$2:$F$801, 0)+1))*INDEX(ERP資料!$O:$O,(MATCH(1025, 輔助計算!$F$2:$F$801, 0)+1))), "")</f>
        <v/>
      </c>
      <c r="J1026" s="16" t="n"/>
      <c r="K1026" s="15">
        <f>IFERROR(INDEX(輔助計算!$D:$D, (MATCH(1025, 輔助計算!$F$2:$F$801, 0)+1)), "")</f>
        <v/>
      </c>
      <c r="L1026" s="16">
        <f>IFERROR(IF(AND(IFERROR(VLOOKUP(LEFT(INDEX(ERP資料!$S:$S, (MATCH(1025, 輔助計算!$F$2:$F$801, 0)+1)), 4), 100張客戶!$A:$A, 1, FALSE), "")&lt;&gt;"", OR(INDEX(ERP資料!$F:$F, (MATCH(1025, 輔助計算!$F$2:$F$801, 0)+1))=270, INDEX(ERP資料!$F:$F, (MATCH(1025, 輔助計算!$F$2:$F$801, 0)+1))=300)), "100張", ""), "")</f>
        <v/>
      </c>
      <c r="M1026" s="17" t="n"/>
      <c r="N1026" s="17">
        <f>IF($F1026="","",$F1026)</f>
        <v/>
      </c>
      <c r="O1026" s="17">
        <f>IF($G1026="","",$G1026)</f>
        <v/>
      </c>
      <c r="P1026" s="17">
        <f>IF($K1026="","",$K1026)</f>
        <v/>
      </c>
      <c r="Q1026" s="16" t="n"/>
      <c r="R1026" s="18" t="n"/>
      <c r="S1026" s="16" t="n"/>
    </row>
    <row r="1027">
      <c r="A1027" s="14">
        <f>IFERROR(IF(AND(IFERROR(INDEX(ERP資料!$A:$A, (MATCH(1026, 輔助計算!$F$2:$F$801, 0)+1)), "")&lt;&gt;"", IFERROR(INDEX(ERP資料!$A:$A, (MATCH(1026, 輔助計算!$F$2:$F$801, 0)+1)), "")&lt;&gt;IFERROR(INDEX(ERP資料!$A:$A, MATCH(1025, 輔助計算!$F$2:$F$801, 0)+1), "")), INDEX(ERP資料!$B:$B, (MATCH(1026, 輔助計算!$F$2:$F$801, 0)+1)), ""), "")</f>
        <v/>
      </c>
      <c r="B1027" s="10">
        <f>IFERROR(IF(AND(IFERROR(INDEX(ERP資料!$A:$A, (MATCH(1026, 輔助計算!$F$2:$F$801, 0)+1)), "")&lt;&gt;"", IFERROR(INDEX(ERP資料!$A:$A, (MATCH(1026, 輔助計算!$F$2:$F$801, 0)+1)), "")&lt;&gt;IFERROR(INDEX(ERP資料!$A:$A, MATCH(1025, 輔助計算!$F$2:$F$801, 0)+1), "")), IFERROR(INDEX(ERP資料!$A:$A, (MATCH(1026, 輔助計算!$F$2:$F$801, 0)+1)), ""), ""), "")</f>
        <v/>
      </c>
      <c r="C1027" s="10">
        <f>IFERROR(IF(AND(IFERROR(INDEX(ERP資料!$A:$A, (MATCH(1026, 輔助計算!$F$2:$F$801, 0)+1)), "")&lt;&gt;"", IFERROR(INDEX(ERP資料!$A:$A, (MATCH(1026, 輔助計算!$F$2:$F$801, 0)+1)), "")&lt;&gt;IFERROR(INDEX(ERP資料!$A:$A, MATCH(1025, 輔助計算!$F$2:$F$801, 0)+1), "")), INDEX(ERP資料!$S:$S, (MATCH(1026, 輔助計算!$F$2:$F$801, 0)+1)), ""), "")</f>
        <v/>
      </c>
      <c r="D1027" s="10">
        <f>IFERROR(IF(INDEX(ERP資料!$E:$E, (MATCH(1026, 輔助計算!$F$2:$F$801, 0)+1))="","",TRIM(INDEX(ERP資料!$E:$E, (MATCH(1026, 輔助計算!$F$2:$F$801, 0)+1)))), "")</f>
        <v/>
      </c>
      <c r="E1027" s="10">
        <f>IFERROR(IF(INDEX(ERP資料!$F:$F, (MATCH(1026, 輔助計算!$F$2:$F$801, 0)+1))="","",INDEX(ERP資料!$F:$F, (MATCH(1026, 輔助計算!$F$2:$F$801, 0)+1))), "")</f>
        <v/>
      </c>
      <c r="F1027" s="10">
        <f>IFERROR(IF(INDEX(ERP資料!$G:$G, (MATCH(1026, 輔助計算!$F$2:$F$801, 0)+1))="","",INDEX(ERP資料!$G:$G, (MATCH(1026, 輔助計算!$F$2:$F$801, 0)+1))), "")</f>
        <v/>
      </c>
      <c r="G1027" s="10">
        <f>IFERROR(IF(INDEX(ERP資料!$H:$H, (MATCH(1026, 輔助計算!$F$2:$F$801, 0)+1))="","",INDEX(ERP資料!$H:$H, (MATCH(1026, 輔助計算!$F$2:$F$801, 0)+1))), "")</f>
        <v/>
      </c>
      <c r="H1027" s="10">
        <f>IFERROR(IF(INDEX(ERP資料!$O:$O, (MATCH(1026, 輔助計算!$F$2:$F$801, 0)+1))="","",INDEX(ERP資料!$O:$O, (MATCH(1026, 輔助計算!$F$2:$F$801, 0)+1))), "")</f>
        <v/>
      </c>
      <c r="I1027" s="15">
        <f>IFERROR(IF(INDEX(輔助計算!$D:$D,(MATCH(1026, 輔助計算!$F$2:$F$801, 0)+1))="","",INDEX(輔助計算!$D:$D,(MATCH(1026, 輔助計算!$F$2:$F$801, 0)+1))*INDEX(ERP資料!$O:$O,(MATCH(1026, 輔助計算!$F$2:$F$801, 0)+1))), "")</f>
        <v/>
      </c>
      <c r="J1027" s="16" t="n"/>
      <c r="K1027" s="15">
        <f>IFERROR(INDEX(輔助計算!$D:$D, (MATCH(1026, 輔助計算!$F$2:$F$801, 0)+1)), "")</f>
        <v/>
      </c>
      <c r="L1027" s="16">
        <f>IFERROR(IF(AND(IFERROR(VLOOKUP(LEFT(INDEX(ERP資料!$S:$S, (MATCH(1026, 輔助計算!$F$2:$F$801, 0)+1)), 4), 100張客戶!$A:$A, 1, FALSE), "")&lt;&gt;"", OR(INDEX(ERP資料!$F:$F, (MATCH(1026, 輔助計算!$F$2:$F$801, 0)+1))=270, INDEX(ERP資料!$F:$F, (MATCH(1026, 輔助計算!$F$2:$F$801, 0)+1))=300)), "100張", ""), "")</f>
        <v/>
      </c>
      <c r="M1027" s="17" t="n"/>
      <c r="N1027" s="17">
        <f>IF($F1027="","",$F1027)</f>
        <v/>
      </c>
      <c r="O1027" s="17">
        <f>IF($G1027="","",$G1027)</f>
        <v/>
      </c>
      <c r="P1027" s="17">
        <f>IF($K1027="","",$K1027)</f>
        <v/>
      </c>
      <c r="Q1027" s="16" t="n"/>
      <c r="R1027" s="18" t="n"/>
      <c r="S1027" s="16" t="n"/>
    </row>
    <row r="1028">
      <c r="A1028" s="14">
        <f>IFERROR(IF(AND(IFERROR(INDEX(ERP資料!$A:$A, (MATCH(1027, 輔助計算!$F$2:$F$801, 0)+1)), "")&lt;&gt;"", IFERROR(INDEX(ERP資料!$A:$A, (MATCH(1027, 輔助計算!$F$2:$F$801, 0)+1)), "")&lt;&gt;IFERROR(INDEX(ERP資料!$A:$A, MATCH(1026, 輔助計算!$F$2:$F$801, 0)+1), "")), INDEX(ERP資料!$B:$B, (MATCH(1027, 輔助計算!$F$2:$F$801, 0)+1)), ""), "")</f>
        <v/>
      </c>
      <c r="B1028" s="10">
        <f>IFERROR(IF(AND(IFERROR(INDEX(ERP資料!$A:$A, (MATCH(1027, 輔助計算!$F$2:$F$801, 0)+1)), "")&lt;&gt;"", IFERROR(INDEX(ERP資料!$A:$A, (MATCH(1027, 輔助計算!$F$2:$F$801, 0)+1)), "")&lt;&gt;IFERROR(INDEX(ERP資料!$A:$A, MATCH(1026, 輔助計算!$F$2:$F$801, 0)+1), "")), IFERROR(INDEX(ERP資料!$A:$A, (MATCH(1027, 輔助計算!$F$2:$F$801, 0)+1)), ""), ""), "")</f>
        <v/>
      </c>
      <c r="C1028" s="10">
        <f>IFERROR(IF(AND(IFERROR(INDEX(ERP資料!$A:$A, (MATCH(1027, 輔助計算!$F$2:$F$801, 0)+1)), "")&lt;&gt;"", IFERROR(INDEX(ERP資料!$A:$A, (MATCH(1027, 輔助計算!$F$2:$F$801, 0)+1)), "")&lt;&gt;IFERROR(INDEX(ERP資料!$A:$A, MATCH(1026, 輔助計算!$F$2:$F$801, 0)+1), "")), INDEX(ERP資料!$S:$S, (MATCH(1027, 輔助計算!$F$2:$F$801, 0)+1)), ""), "")</f>
        <v/>
      </c>
      <c r="D1028" s="10">
        <f>IFERROR(IF(INDEX(ERP資料!$E:$E, (MATCH(1027, 輔助計算!$F$2:$F$801, 0)+1))="","",TRIM(INDEX(ERP資料!$E:$E, (MATCH(1027, 輔助計算!$F$2:$F$801, 0)+1)))), "")</f>
        <v/>
      </c>
      <c r="E1028" s="10">
        <f>IFERROR(IF(INDEX(ERP資料!$F:$F, (MATCH(1027, 輔助計算!$F$2:$F$801, 0)+1))="","",INDEX(ERP資料!$F:$F, (MATCH(1027, 輔助計算!$F$2:$F$801, 0)+1))), "")</f>
        <v/>
      </c>
      <c r="F1028" s="10">
        <f>IFERROR(IF(INDEX(ERP資料!$G:$G, (MATCH(1027, 輔助計算!$F$2:$F$801, 0)+1))="","",INDEX(ERP資料!$G:$G, (MATCH(1027, 輔助計算!$F$2:$F$801, 0)+1))), "")</f>
        <v/>
      </c>
      <c r="G1028" s="10">
        <f>IFERROR(IF(INDEX(ERP資料!$H:$H, (MATCH(1027, 輔助計算!$F$2:$F$801, 0)+1))="","",INDEX(ERP資料!$H:$H, (MATCH(1027, 輔助計算!$F$2:$F$801, 0)+1))), "")</f>
        <v/>
      </c>
      <c r="H1028" s="10">
        <f>IFERROR(IF(INDEX(ERP資料!$O:$O, (MATCH(1027, 輔助計算!$F$2:$F$801, 0)+1))="","",INDEX(ERP資料!$O:$O, (MATCH(1027, 輔助計算!$F$2:$F$801, 0)+1))), "")</f>
        <v/>
      </c>
      <c r="I1028" s="15">
        <f>IFERROR(IF(INDEX(輔助計算!$D:$D,(MATCH(1027, 輔助計算!$F$2:$F$801, 0)+1))="","",INDEX(輔助計算!$D:$D,(MATCH(1027, 輔助計算!$F$2:$F$801, 0)+1))*INDEX(ERP資料!$O:$O,(MATCH(1027, 輔助計算!$F$2:$F$801, 0)+1))), "")</f>
        <v/>
      </c>
      <c r="J1028" s="16" t="n"/>
      <c r="K1028" s="15">
        <f>IFERROR(INDEX(輔助計算!$D:$D, (MATCH(1027, 輔助計算!$F$2:$F$801, 0)+1)), "")</f>
        <v/>
      </c>
      <c r="L1028" s="16">
        <f>IFERROR(IF(AND(IFERROR(VLOOKUP(LEFT(INDEX(ERP資料!$S:$S, (MATCH(1027, 輔助計算!$F$2:$F$801, 0)+1)), 4), 100張客戶!$A:$A, 1, FALSE), "")&lt;&gt;"", OR(INDEX(ERP資料!$F:$F, (MATCH(1027, 輔助計算!$F$2:$F$801, 0)+1))=270, INDEX(ERP資料!$F:$F, (MATCH(1027, 輔助計算!$F$2:$F$801, 0)+1))=300)), "100張", ""), "")</f>
        <v/>
      </c>
      <c r="M1028" s="17" t="n"/>
      <c r="N1028" s="17">
        <f>IF($F1028="","",$F1028)</f>
        <v/>
      </c>
      <c r="O1028" s="17">
        <f>IF($G1028="","",$G1028)</f>
        <v/>
      </c>
      <c r="P1028" s="17">
        <f>IF($K1028="","",$K1028)</f>
        <v/>
      </c>
      <c r="Q1028" s="16" t="n"/>
      <c r="R1028" s="18" t="n"/>
      <c r="S1028" s="16" t="n"/>
    </row>
    <row r="1029">
      <c r="A1029" s="14">
        <f>IFERROR(IF(AND(IFERROR(INDEX(ERP資料!$A:$A, (MATCH(1028, 輔助計算!$F$2:$F$801, 0)+1)), "")&lt;&gt;"", IFERROR(INDEX(ERP資料!$A:$A, (MATCH(1028, 輔助計算!$F$2:$F$801, 0)+1)), "")&lt;&gt;IFERROR(INDEX(ERP資料!$A:$A, MATCH(1027, 輔助計算!$F$2:$F$801, 0)+1), "")), INDEX(ERP資料!$B:$B, (MATCH(1028, 輔助計算!$F$2:$F$801, 0)+1)), ""), "")</f>
        <v/>
      </c>
      <c r="B1029" s="10">
        <f>IFERROR(IF(AND(IFERROR(INDEX(ERP資料!$A:$A, (MATCH(1028, 輔助計算!$F$2:$F$801, 0)+1)), "")&lt;&gt;"", IFERROR(INDEX(ERP資料!$A:$A, (MATCH(1028, 輔助計算!$F$2:$F$801, 0)+1)), "")&lt;&gt;IFERROR(INDEX(ERP資料!$A:$A, MATCH(1027, 輔助計算!$F$2:$F$801, 0)+1), "")), IFERROR(INDEX(ERP資料!$A:$A, (MATCH(1028, 輔助計算!$F$2:$F$801, 0)+1)), ""), ""), "")</f>
        <v/>
      </c>
      <c r="C1029" s="10">
        <f>IFERROR(IF(AND(IFERROR(INDEX(ERP資料!$A:$A, (MATCH(1028, 輔助計算!$F$2:$F$801, 0)+1)), "")&lt;&gt;"", IFERROR(INDEX(ERP資料!$A:$A, (MATCH(1028, 輔助計算!$F$2:$F$801, 0)+1)), "")&lt;&gt;IFERROR(INDEX(ERP資料!$A:$A, MATCH(1027, 輔助計算!$F$2:$F$801, 0)+1), "")), INDEX(ERP資料!$S:$S, (MATCH(1028, 輔助計算!$F$2:$F$801, 0)+1)), ""), "")</f>
        <v/>
      </c>
      <c r="D1029" s="10">
        <f>IFERROR(IF(INDEX(ERP資料!$E:$E, (MATCH(1028, 輔助計算!$F$2:$F$801, 0)+1))="","",TRIM(INDEX(ERP資料!$E:$E, (MATCH(1028, 輔助計算!$F$2:$F$801, 0)+1)))), "")</f>
        <v/>
      </c>
      <c r="E1029" s="10">
        <f>IFERROR(IF(INDEX(ERP資料!$F:$F, (MATCH(1028, 輔助計算!$F$2:$F$801, 0)+1))="","",INDEX(ERP資料!$F:$F, (MATCH(1028, 輔助計算!$F$2:$F$801, 0)+1))), "")</f>
        <v/>
      </c>
      <c r="F1029" s="10">
        <f>IFERROR(IF(INDEX(ERP資料!$G:$G, (MATCH(1028, 輔助計算!$F$2:$F$801, 0)+1))="","",INDEX(ERP資料!$G:$G, (MATCH(1028, 輔助計算!$F$2:$F$801, 0)+1))), "")</f>
        <v/>
      </c>
      <c r="G1029" s="10">
        <f>IFERROR(IF(INDEX(ERP資料!$H:$H, (MATCH(1028, 輔助計算!$F$2:$F$801, 0)+1))="","",INDEX(ERP資料!$H:$H, (MATCH(1028, 輔助計算!$F$2:$F$801, 0)+1))), "")</f>
        <v/>
      </c>
      <c r="H1029" s="10">
        <f>IFERROR(IF(INDEX(ERP資料!$O:$O, (MATCH(1028, 輔助計算!$F$2:$F$801, 0)+1))="","",INDEX(ERP資料!$O:$O, (MATCH(1028, 輔助計算!$F$2:$F$801, 0)+1))), "")</f>
        <v/>
      </c>
      <c r="I1029" s="15">
        <f>IFERROR(IF(INDEX(輔助計算!$D:$D,(MATCH(1028, 輔助計算!$F$2:$F$801, 0)+1))="","",INDEX(輔助計算!$D:$D,(MATCH(1028, 輔助計算!$F$2:$F$801, 0)+1))*INDEX(ERP資料!$O:$O,(MATCH(1028, 輔助計算!$F$2:$F$801, 0)+1))), "")</f>
        <v/>
      </c>
      <c r="J1029" s="16" t="n"/>
      <c r="K1029" s="15">
        <f>IFERROR(INDEX(輔助計算!$D:$D, (MATCH(1028, 輔助計算!$F$2:$F$801, 0)+1)), "")</f>
        <v/>
      </c>
      <c r="L1029" s="16">
        <f>IFERROR(IF(AND(IFERROR(VLOOKUP(LEFT(INDEX(ERP資料!$S:$S, (MATCH(1028, 輔助計算!$F$2:$F$801, 0)+1)), 4), 100張客戶!$A:$A, 1, FALSE), "")&lt;&gt;"", OR(INDEX(ERP資料!$F:$F, (MATCH(1028, 輔助計算!$F$2:$F$801, 0)+1))=270, INDEX(ERP資料!$F:$F, (MATCH(1028, 輔助計算!$F$2:$F$801, 0)+1))=300)), "100張", ""), "")</f>
        <v/>
      </c>
      <c r="M1029" s="17" t="n"/>
      <c r="N1029" s="17">
        <f>IF($F1029="","",$F1029)</f>
        <v/>
      </c>
      <c r="O1029" s="17">
        <f>IF($G1029="","",$G1029)</f>
        <v/>
      </c>
      <c r="P1029" s="17">
        <f>IF($K1029="","",$K1029)</f>
        <v/>
      </c>
      <c r="Q1029" s="16" t="n"/>
      <c r="R1029" s="18" t="n"/>
      <c r="S1029" s="16" t="n"/>
    </row>
    <row r="1030">
      <c r="A1030" s="14">
        <f>IFERROR(IF(AND(IFERROR(INDEX(ERP資料!$A:$A, (MATCH(1029, 輔助計算!$F$2:$F$801, 0)+1)), "")&lt;&gt;"", IFERROR(INDEX(ERP資料!$A:$A, (MATCH(1029, 輔助計算!$F$2:$F$801, 0)+1)), "")&lt;&gt;IFERROR(INDEX(ERP資料!$A:$A, MATCH(1028, 輔助計算!$F$2:$F$801, 0)+1), "")), INDEX(ERP資料!$B:$B, (MATCH(1029, 輔助計算!$F$2:$F$801, 0)+1)), ""), "")</f>
        <v/>
      </c>
      <c r="B1030" s="10">
        <f>IFERROR(IF(AND(IFERROR(INDEX(ERP資料!$A:$A, (MATCH(1029, 輔助計算!$F$2:$F$801, 0)+1)), "")&lt;&gt;"", IFERROR(INDEX(ERP資料!$A:$A, (MATCH(1029, 輔助計算!$F$2:$F$801, 0)+1)), "")&lt;&gt;IFERROR(INDEX(ERP資料!$A:$A, MATCH(1028, 輔助計算!$F$2:$F$801, 0)+1), "")), IFERROR(INDEX(ERP資料!$A:$A, (MATCH(1029, 輔助計算!$F$2:$F$801, 0)+1)), ""), ""), "")</f>
        <v/>
      </c>
      <c r="C1030" s="10">
        <f>IFERROR(IF(AND(IFERROR(INDEX(ERP資料!$A:$A, (MATCH(1029, 輔助計算!$F$2:$F$801, 0)+1)), "")&lt;&gt;"", IFERROR(INDEX(ERP資料!$A:$A, (MATCH(1029, 輔助計算!$F$2:$F$801, 0)+1)), "")&lt;&gt;IFERROR(INDEX(ERP資料!$A:$A, MATCH(1028, 輔助計算!$F$2:$F$801, 0)+1), "")), INDEX(ERP資料!$S:$S, (MATCH(1029, 輔助計算!$F$2:$F$801, 0)+1)), ""), "")</f>
        <v/>
      </c>
      <c r="D1030" s="10">
        <f>IFERROR(IF(INDEX(ERP資料!$E:$E, (MATCH(1029, 輔助計算!$F$2:$F$801, 0)+1))="","",TRIM(INDEX(ERP資料!$E:$E, (MATCH(1029, 輔助計算!$F$2:$F$801, 0)+1)))), "")</f>
        <v/>
      </c>
      <c r="E1030" s="10">
        <f>IFERROR(IF(INDEX(ERP資料!$F:$F, (MATCH(1029, 輔助計算!$F$2:$F$801, 0)+1))="","",INDEX(ERP資料!$F:$F, (MATCH(1029, 輔助計算!$F$2:$F$801, 0)+1))), "")</f>
        <v/>
      </c>
      <c r="F1030" s="10">
        <f>IFERROR(IF(INDEX(ERP資料!$G:$G, (MATCH(1029, 輔助計算!$F$2:$F$801, 0)+1))="","",INDEX(ERP資料!$G:$G, (MATCH(1029, 輔助計算!$F$2:$F$801, 0)+1))), "")</f>
        <v/>
      </c>
      <c r="G1030" s="10">
        <f>IFERROR(IF(INDEX(ERP資料!$H:$H, (MATCH(1029, 輔助計算!$F$2:$F$801, 0)+1))="","",INDEX(ERP資料!$H:$H, (MATCH(1029, 輔助計算!$F$2:$F$801, 0)+1))), "")</f>
        <v/>
      </c>
      <c r="H1030" s="10">
        <f>IFERROR(IF(INDEX(ERP資料!$O:$O, (MATCH(1029, 輔助計算!$F$2:$F$801, 0)+1))="","",INDEX(ERP資料!$O:$O, (MATCH(1029, 輔助計算!$F$2:$F$801, 0)+1))), "")</f>
        <v/>
      </c>
      <c r="I1030" s="15">
        <f>IFERROR(IF(INDEX(輔助計算!$D:$D,(MATCH(1029, 輔助計算!$F$2:$F$801, 0)+1))="","",INDEX(輔助計算!$D:$D,(MATCH(1029, 輔助計算!$F$2:$F$801, 0)+1))*INDEX(ERP資料!$O:$O,(MATCH(1029, 輔助計算!$F$2:$F$801, 0)+1))), "")</f>
        <v/>
      </c>
      <c r="J1030" s="16" t="n"/>
      <c r="K1030" s="15">
        <f>IFERROR(INDEX(輔助計算!$D:$D, (MATCH(1029, 輔助計算!$F$2:$F$801, 0)+1)), "")</f>
        <v/>
      </c>
      <c r="L1030" s="16">
        <f>IFERROR(IF(AND(IFERROR(VLOOKUP(LEFT(INDEX(ERP資料!$S:$S, (MATCH(1029, 輔助計算!$F$2:$F$801, 0)+1)), 4), 100張客戶!$A:$A, 1, FALSE), "")&lt;&gt;"", OR(INDEX(ERP資料!$F:$F, (MATCH(1029, 輔助計算!$F$2:$F$801, 0)+1))=270, INDEX(ERP資料!$F:$F, (MATCH(1029, 輔助計算!$F$2:$F$801, 0)+1))=300)), "100張", ""), "")</f>
        <v/>
      </c>
      <c r="M1030" s="17" t="n"/>
      <c r="N1030" s="17">
        <f>IF($F1030="","",$F1030)</f>
        <v/>
      </c>
      <c r="O1030" s="17">
        <f>IF($G1030="","",$G1030)</f>
        <v/>
      </c>
      <c r="P1030" s="17">
        <f>IF($K1030="","",$K1030)</f>
        <v/>
      </c>
      <c r="Q1030" s="16" t="n"/>
      <c r="R1030" s="18" t="n"/>
      <c r="S1030" s="16" t="n"/>
    </row>
    <row r="1031">
      <c r="A1031" s="14">
        <f>IFERROR(IF(AND(IFERROR(INDEX(ERP資料!$A:$A, (MATCH(1030, 輔助計算!$F$2:$F$801, 0)+1)), "")&lt;&gt;"", IFERROR(INDEX(ERP資料!$A:$A, (MATCH(1030, 輔助計算!$F$2:$F$801, 0)+1)), "")&lt;&gt;IFERROR(INDEX(ERP資料!$A:$A, MATCH(1029, 輔助計算!$F$2:$F$801, 0)+1), "")), INDEX(ERP資料!$B:$B, (MATCH(1030, 輔助計算!$F$2:$F$801, 0)+1)), ""), "")</f>
        <v/>
      </c>
      <c r="B1031" s="10">
        <f>IFERROR(IF(AND(IFERROR(INDEX(ERP資料!$A:$A, (MATCH(1030, 輔助計算!$F$2:$F$801, 0)+1)), "")&lt;&gt;"", IFERROR(INDEX(ERP資料!$A:$A, (MATCH(1030, 輔助計算!$F$2:$F$801, 0)+1)), "")&lt;&gt;IFERROR(INDEX(ERP資料!$A:$A, MATCH(1029, 輔助計算!$F$2:$F$801, 0)+1), "")), IFERROR(INDEX(ERP資料!$A:$A, (MATCH(1030, 輔助計算!$F$2:$F$801, 0)+1)), ""), ""), "")</f>
        <v/>
      </c>
      <c r="C1031" s="10">
        <f>IFERROR(IF(AND(IFERROR(INDEX(ERP資料!$A:$A, (MATCH(1030, 輔助計算!$F$2:$F$801, 0)+1)), "")&lt;&gt;"", IFERROR(INDEX(ERP資料!$A:$A, (MATCH(1030, 輔助計算!$F$2:$F$801, 0)+1)), "")&lt;&gt;IFERROR(INDEX(ERP資料!$A:$A, MATCH(1029, 輔助計算!$F$2:$F$801, 0)+1), "")), INDEX(ERP資料!$S:$S, (MATCH(1030, 輔助計算!$F$2:$F$801, 0)+1)), ""), "")</f>
        <v/>
      </c>
      <c r="D1031" s="10">
        <f>IFERROR(IF(INDEX(ERP資料!$E:$E, (MATCH(1030, 輔助計算!$F$2:$F$801, 0)+1))="","",TRIM(INDEX(ERP資料!$E:$E, (MATCH(1030, 輔助計算!$F$2:$F$801, 0)+1)))), "")</f>
        <v/>
      </c>
      <c r="E1031" s="10">
        <f>IFERROR(IF(INDEX(ERP資料!$F:$F, (MATCH(1030, 輔助計算!$F$2:$F$801, 0)+1))="","",INDEX(ERP資料!$F:$F, (MATCH(1030, 輔助計算!$F$2:$F$801, 0)+1))), "")</f>
        <v/>
      </c>
      <c r="F1031" s="10">
        <f>IFERROR(IF(INDEX(ERP資料!$G:$G, (MATCH(1030, 輔助計算!$F$2:$F$801, 0)+1))="","",INDEX(ERP資料!$G:$G, (MATCH(1030, 輔助計算!$F$2:$F$801, 0)+1))), "")</f>
        <v/>
      </c>
      <c r="G1031" s="10">
        <f>IFERROR(IF(INDEX(ERP資料!$H:$H, (MATCH(1030, 輔助計算!$F$2:$F$801, 0)+1))="","",INDEX(ERP資料!$H:$H, (MATCH(1030, 輔助計算!$F$2:$F$801, 0)+1))), "")</f>
        <v/>
      </c>
      <c r="H1031" s="10">
        <f>IFERROR(IF(INDEX(ERP資料!$O:$O, (MATCH(1030, 輔助計算!$F$2:$F$801, 0)+1))="","",INDEX(ERP資料!$O:$O, (MATCH(1030, 輔助計算!$F$2:$F$801, 0)+1))), "")</f>
        <v/>
      </c>
      <c r="I1031" s="15">
        <f>IFERROR(IF(INDEX(輔助計算!$D:$D,(MATCH(1030, 輔助計算!$F$2:$F$801, 0)+1))="","",INDEX(輔助計算!$D:$D,(MATCH(1030, 輔助計算!$F$2:$F$801, 0)+1))*INDEX(ERP資料!$O:$O,(MATCH(1030, 輔助計算!$F$2:$F$801, 0)+1))), "")</f>
        <v/>
      </c>
      <c r="J1031" s="16" t="n"/>
      <c r="K1031" s="15">
        <f>IFERROR(INDEX(輔助計算!$D:$D, (MATCH(1030, 輔助計算!$F$2:$F$801, 0)+1)), "")</f>
        <v/>
      </c>
      <c r="L1031" s="16">
        <f>IFERROR(IF(AND(IFERROR(VLOOKUP(LEFT(INDEX(ERP資料!$S:$S, (MATCH(1030, 輔助計算!$F$2:$F$801, 0)+1)), 4), 100張客戶!$A:$A, 1, FALSE), "")&lt;&gt;"", OR(INDEX(ERP資料!$F:$F, (MATCH(1030, 輔助計算!$F$2:$F$801, 0)+1))=270, INDEX(ERP資料!$F:$F, (MATCH(1030, 輔助計算!$F$2:$F$801, 0)+1))=300)), "100張", ""), "")</f>
        <v/>
      </c>
      <c r="M1031" s="17" t="n"/>
      <c r="N1031" s="17">
        <f>IF($F1031="","",$F1031)</f>
        <v/>
      </c>
      <c r="O1031" s="17">
        <f>IF($G1031="","",$G1031)</f>
        <v/>
      </c>
      <c r="P1031" s="17">
        <f>IF($K1031="","",$K1031)</f>
        <v/>
      </c>
      <c r="Q1031" s="16" t="n"/>
      <c r="R1031" s="18" t="n"/>
      <c r="S1031" s="16" t="n"/>
    </row>
    <row r="1032">
      <c r="A1032" s="14">
        <f>IFERROR(IF(AND(IFERROR(INDEX(ERP資料!$A:$A, (MATCH(1031, 輔助計算!$F$2:$F$801, 0)+1)), "")&lt;&gt;"", IFERROR(INDEX(ERP資料!$A:$A, (MATCH(1031, 輔助計算!$F$2:$F$801, 0)+1)), "")&lt;&gt;IFERROR(INDEX(ERP資料!$A:$A, MATCH(1030, 輔助計算!$F$2:$F$801, 0)+1), "")), INDEX(ERP資料!$B:$B, (MATCH(1031, 輔助計算!$F$2:$F$801, 0)+1)), ""), "")</f>
        <v/>
      </c>
      <c r="B1032" s="10">
        <f>IFERROR(IF(AND(IFERROR(INDEX(ERP資料!$A:$A, (MATCH(1031, 輔助計算!$F$2:$F$801, 0)+1)), "")&lt;&gt;"", IFERROR(INDEX(ERP資料!$A:$A, (MATCH(1031, 輔助計算!$F$2:$F$801, 0)+1)), "")&lt;&gt;IFERROR(INDEX(ERP資料!$A:$A, MATCH(1030, 輔助計算!$F$2:$F$801, 0)+1), "")), IFERROR(INDEX(ERP資料!$A:$A, (MATCH(1031, 輔助計算!$F$2:$F$801, 0)+1)), ""), ""), "")</f>
        <v/>
      </c>
      <c r="C1032" s="10">
        <f>IFERROR(IF(AND(IFERROR(INDEX(ERP資料!$A:$A, (MATCH(1031, 輔助計算!$F$2:$F$801, 0)+1)), "")&lt;&gt;"", IFERROR(INDEX(ERP資料!$A:$A, (MATCH(1031, 輔助計算!$F$2:$F$801, 0)+1)), "")&lt;&gt;IFERROR(INDEX(ERP資料!$A:$A, MATCH(1030, 輔助計算!$F$2:$F$801, 0)+1), "")), INDEX(ERP資料!$S:$S, (MATCH(1031, 輔助計算!$F$2:$F$801, 0)+1)), ""), "")</f>
        <v/>
      </c>
      <c r="D1032" s="10">
        <f>IFERROR(IF(INDEX(ERP資料!$E:$E, (MATCH(1031, 輔助計算!$F$2:$F$801, 0)+1))="","",TRIM(INDEX(ERP資料!$E:$E, (MATCH(1031, 輔助計算!$F$2:$F$801, 0)+1)))), "")</f>
        <v/>
      </c>
      <c r="E1032" s="10">
        <f>IFERROR(IF(INDEX(ERP資料!$F:$F, (MATCH(1031, 輔助計算!$F$2:$F$801, 0)+1))="","",INDEX(ERP資料!$F:$F, (MATCH(1031, 輔助計算!$F$2:$F$801, 0)+1))), "")</f>
        <v/>
      </c>
      <c r="F1032" s="10">
        <f>IFERROR(IF(INDEX(ERP資料!$G:$G, (MATCH(1031, 輔助計算!$F$2:$F$801, 0)+1))="","",INDEX(ERP資料!$G:$G, (MATCH(1031, 輔助計算!$F$2:$F$801, 0)+1))), "")</f>
        <v/>
      </c>
      <c r="G1032" s="10">
        <f>IFERROR(IF(INDEX(ERP資料!$H:$H, (MATCH(1031, 輔助計算!$F$2:$F$801, 0)+1))="","",INDEX(ERP資料!$H:$H, (MATCH(1031, 輔助計算!$F$2:$F$801, 0)+1))), "")</f>
        <v/>
      </c>
      <c r="H1032" s="10">
        <f>IFERROR(IF(INDEX(ERP資料!$O:$O, (MATCH(1031, 輔助計算!$F$2:$F$801, 0)+1))="","",INDEX(ERP資料!$O:$O, (MATCH(1031, 輔助計算!$F$2:$F$801, 0)+1))), "")</f>
        <v/>
      </c>
      <c r="I1032" s="15">
        <f>IFERROR(IF(INDEX(輔助計算!$D:$D,(MATCH(1031, 輔助計算!$F$2:$F$801, 0)+1))="","",INDEX(輔助計算!$D:$D,(MATCH(1031, 輔助計算!$F$2:$F$801, 0)+1))*INDEX(ERP資料!$O:$O,(MATCH(1031, 輔助計算!$F$2:$F$801, 0)+1))), "")</f>
        <v/>
      </c>
      <c r="J1032" s="16" t="n"/>
      <c r="K1032" s="15">
        <f>IFERROR(INDEX(輔助計算!$D:$D, (MATCH(1031, 輔助計算!$F$2:$F$801, 0)+1)), "")</f>
        <v/>
      </c>
      <c r="L1032" s="16">
        <f>IFERROR(IF(AND(IFERROR(VLOOKUP(LEFT(INDEX(ERP資料!$S:$S, (MATCH(1031, 輔助計算!$F$2:$F$801, 0)+1)), 4), 100張客戶!$A:$A, 1, FALSE), "")&lt;&gt;"", OR(INDEX(ERP資料!$F:$F, (MATCH(1031, 輔助計算!$F$2:$F$801, 0)+1))=270, INDEX(ERP資料!$F:$F, (MATCH(1031, 輔助計算!$F$2:$F$801, 0)+1))=300)), "100張", ""), "")</f>
        <v/>
      </c>
      <c r="M1032" s="17" t="n"/>
      <c r="N1032" s="17">
        <f>IF($F1032="","",$F1032)</f>
        <v/>
      </c>
      <c r="O1032" s="17">
        <f>IF($G1032="","",$G1032)</f>
        <v/>
      </c>
      <c r="P1032" s="17">
        <f>IF($K1032="","",$K1032)</f>
        <v/>
      </c>
      <c r="Q1032" s="16" t="n"/>
      <c r="R1032" s="18" t="n"/>
      <c r="S1032" s="16" t="n"/>
    </row>
    <row r="1033">
      <c r="A1033" s="14">
        <f>IFERROR(IF(AND(IFERROR(INDEX(ERP資料!$A:$A, (MATCH(1032, 輔助計算!$F$2:$F$801, 0)+1)), "")&lt;&gt;"", IFERROR(INDEX(ERP資料!$A:$A, (MATCH(1032, 輔助計算!$F$2:$F$801, 0)+1)), "")&lt;&gt;IFERROR(INDEX(ERP資料!$A:$A, MATCH(1031, 輔助計算!$F$2:$F$801, 0)+1), "")), INDEX(ERP資料!$B:$B, (MATCH(1032, 輔助計算!$F$2:$F$801, 0)+1)), ""), "")</f>
        <v/>
      </c>
      <c r="B1033" s="10">
        <f>IFERROR(IF(AND(IFERROR(INDEX(ERP資料!$A:$A, (MATCH(1032, 輔助計算!$F$2:$F$801, 0)+1)), "")&lt;&gt;"", IFERROR(INDEX(ERP資料!$A:$A, (MATCH(1032, 輔助計算!$F$2:$F$801, 0)+1)), "")&lt;&gt;IFERROR(INDEX(ERP資料!$A:$A, MATCH(1031, 輔助計算!$F$2:$F$801, 0)+1), "")), IFERROR(INDEX(ERP資料!$A:$A, (MATCH(1032, 輔助計算!$F$2:$F$801, 0)+1)), ""), ""), "")</f>
        <v/>
      </c>
      <c r="C1033" s="10">
        <f>IFERROR(IF(AND(IFERROR(INDEX(ERP資料!$A:$A, (MATCH(1032, 輔助計算!$F$2:$F$801, 0)+1)), "")&lt;&gt;"", IFERROR(INDEX(ERP資料!$A:$A, (MATCH(1032, 輔助計算!$F$2:$F$801, 0)+1)), "")&lt;&gt;IFERROR(INDEX(ERP資料!$A:$A, MATCH(1031, 輔助計算!$F$2:$F$801, 0)+1), "")), INDEX(ERP資料!$S:$S, (MATCH(1032, 輔助計算!$F$2:$F$801, 0)+1)), ""), "")</f>
        <v/>
      </c>
      <c r="D1033" s="10">
        <f>IFERROR(IF(INDEX(ERP資料!$E:$E, (MATCH(1032, 輔助計算!$F$2:$F$801, 0)+1))="","",TRIM(INDEX(ERP資料!$E:$E, (MATCH(1032, 輔助計算!$F$2:$F$801, 0)+1)))), "")</f>
        <v/>
      </c>
      <c r="E1033" s="10">
        <f>IFERROR(IF(INDEX(ERP資料!$F:$F, (MATCH(1032, 輔助計算!$F$2:$F$801, 0)+1))="","",INDEX(ERP資料!$F:$F, (MATCH(1032, 輔助計算!$F$2:$F$801, 0)+1))), "")</f>
        <v/>
      </c>
      <c r="F1033" s="10">
        <f>IFERROR(IF(INDEX(ERP資料!$G:$G, (MATCH(1032, 輔助計算!$F$2:$F$801, 0)+1))="","",INDEX(ERP資料!$G:$G, (MATCH(1032, 輔助計算!$F$2:$F$801, 0)+1))), "")</f>
        <v/>
      </c>
      <c r="G1033" s="10">
        <f>IFERROR(IF(INDEX(ERP資料!$H:$H, (MATCH(1032, 輔助計算!$F$2:$F$801, 0)+1))="","",INDEX(ERP資料!$H:$H, (MATCH(1032, 輔助計算!$F$2:$F$801, 0)+1))), "")</f>
        <v/>
      </c>
      <c r="H1033" s="10">
        <f>IFERROR(IF(INDEX(ERP資料!$O:$O, (MATCH(1032, 輔助計算!$F$2:$F$801, 0)+1))="","",INDEX(ERP資料!$O:$O, (MATCH(1032, 輔助計算!$F$2:$F$801, 0)+1))), "")</f>
        <v/>
      </c>
      <c r="I1033" s="15">
        <f>IFERROR(IF(INDEX(輔助計算!$D:$D,(MATCH(1032, 輔助計算!$F$2:$F$801, 0)+1))="","",INDEX(輔助計算!$D:$D,(MATCH(1032, 輔助計算!$F$2:$F$801, 0)+1))*INDEX(ERP資料!$O:$O,(MATCH(1032, 輔助計算!$F$2:$F$801, 0)+1))), "")</f>
        <v/>
      </c>
      <c r="J1033" s="16" t="n"/>
      <c r="K1033" s="15">
        <f>IFERROR(INDEX(輔助計算!$D:$D, (MATCH(1032, 輔助計算!$F$2:$F$801, 0)+1)), "")</f>
        <v/>
      </c>
      <c r="L1033" s="16">
        <f>IFERROR(IF(AND(IFERROR(VLOOKUP(LEFT(INDEX(ERP資料!$S:$S, (MATCH(1032, 輔助計算!$F$2:$F$801, 0)+1)), 4), 100張客戶!$A:$A, 1, FALSE), "")&lt;&gt;"", OR(INDEX(ERP資料!$F:$F, (MATCH(1032, 輔助計算!$F$2:$F$801, 0)+1))=270, INDEX(ERP資料!$F:$F, (MATCH(1032, 輔助計算!$F$2:$F$801, 0)+1))=300)), "100張", ""), "")</f>
        <v/>
      </c>
      <c r="M1033" s="17" t="n"/>
      <c r="N1033" s="17">
        <f>IF($F1033="","",$F1033)</f>
        <v/>
      </c>
      <c r="O1033" s="17">
        <f>IF($G1033="","",$G1033)</f>
        <v/>
      </c>
      <c r="P1033" s="17">
        <f>IF($K1033="","",$K1033)</f>
        <v/>
      </c>
      <c r="Q1033" s="16" t="n"/>
      <c r="R1033" s="18" t="n"/>
      <c r="S1033" s="16" t="n"/>
    </row>
    <row r="1034">
      <c r="A1034" s="14">
        <f>IFERROR(IF(AND(IFERROR(INDEX(ERP資料!$A:$A, (MATCH(1033, 輔助計算!$F$2:$F$801, 0)+1)), "")&lt;&gt;"", IFERROR(INDEX(ERP資料!$A:$A, (MATCH(1033, 輔助計算!$F$2:$F$801, 0)+1)), "")&lt;&gt;IFERROR(INDEX(ERP資料!$A:$A, MATCH(1032, 輔助計算!$F$2:$F$801, 0)+1), "")), INDEX(ERP資料!$B:$B, (MATCH(1033, 輔助計算!$F$2:$F$801, 0)+1)), ""), "")</f>
        <v/>
      </c>
      <c r="B1034" s="10">
        <f>IFERROR(IF(AND(IFERROR(INDEX(ERP資料!$A:$A, (MATCH(1033, 輔助計算!$F$2:$F$801, 0)+1)), "")&lt;&gt;"", IFERROR(INDEX(ERP資料!$A:$A, (MATCH(1033, 輔助計算!$F$2:$F$801, 0)+1)), "")&lt;&gt;IFERROR(INDEX(ERP資料!$A:$A, MATCH(1032, 輔助計算!$F$2:$F$801, 0)+1), "")), IFERROR(INDEX(ERP資料!$A:$A, (MATCH(1033, 輔助計算!$F$2:$F$801, 0)+1)), ""), ""), "")</f>
        <v/>
      </c>
      <c r="C1034" s="10">
        <f>IFERROR(IF(AND(IFERROR(INDEX(ERP資料!$A:$A, (MATCH(1033, 輔助計算!$F$2:$F$801, 0)+1)), "")&lt;&gt;"", IFERROR(INDEX(ERP資料!$A:$A, (MATCH(1033, 輔助計算!$F$2:$F$801, 0)+1)), "")&lt;&gt;IFERROR(INDEX(ERP資料!$A:$A, MATCH(1032, 輔助計算!$F$2:$F$801, 0)+1), "")), INDEX(ERP資料!$S:$S, (MATCH(1033, 輔助計算!$F$2:$F$801, 0)+1)), ""), "")</f>
        <v/>
      </c>
      <c r="D1034" s="10">
        <f>IFERROR(IF(INDEX(ERP資料!$E:$E, (MATCH(1033, 輔助計算!$F$2:$F$801, 0)+1))="","",TRIM(INDEX(ERP資料!$E:$E, (MATCH(1033, 輔助計算!$F$2:$F$801, 0)+1)))), "")</f>
        <v/>
      </c>
      <c r="E1034" s="10">
        <f>IFERROR(IF(INDEX(ERP資料!$F:$F, (MATCH(1033, 輔助計算!$F$2:$F$801, 0)+1))="","",INDEX(ERP資料!$F:$F, (MATCH(1033, 輔助計算!$F$2:$F$801, 0)+1))), "")</f>
        <v/>
      </c>
      <c r="F1034" s="10">
        <f>IFERROR(IF(INDEX(ERP資料!$G:$G, (MATCH(1033, 輔助計算!$F$2:$F$801, 0)+1))="","",INDEX(ERP資料!$G:$G, (MATCH(1033, 輔助計算!$F$2:$F$801, 0)+1))), "")</f>
        <v/>
      </c>
      <c r="G1034" s="10">
        <f>IFERROR(IF(INDEX(ERP資料!$H:$H, (MATCH(1033, 輔助計算!$F$2:$F$801, 0)+1))="","",INDEX(ERP資料!$H:$H, (MATCH(1033, 輔助計算!$F$2:$F$801, 0)+1))), "")</f>
        <v/>
      </c>
      <c r="H1034" s="10">
        <f>IFERROR(IF(INDEX(ERP資料!$O:$O, (MATCH(1033, 輔助計算!$F$2:$F$801, 0)+1))="","",INDEX(ERP資料!$O:$O, (MATCH(1033, 輔助計算!$F$2:$F$801, 0)+1))), "")</f>
        <v/>
      </c>
      <c r="I1034" s="15">
        <f>IFERROR(IF(INDEX(輔助計算!$D:$D,(MATCH(1033, 輔助計算!$F$2:$F$801, 0)+1))="","",INDEX(輔助計算!$D:$D,(MATCH(1033, 輔助計算!$F$2:$F$801, 0)+1))*INDEX(ERP資料!$O:$O,(MATCH(1033, 輔助計算!$F$2:$F$801, 0)+1))), "")</f>
        <v/>
      </c>
      <c r="J1034" s="16" t="n"/>
      <c r="K1034" s="15">
        <f>IFERROR(INDEX(輔助計算!$D:$D, (MATCH(1033, 輔助計算!$F$2:$F$801, 0)+1)), "")</f>
        <v/>
      </c>
      <c r="L1034" s="16">
        <f>IFERROR(IF(AND(IFERROR(VLOOKUP(LEFT(INDEX(ERP資料!$S:$S, (MATCH(1033, 輔助計算!$F$2:$F$801, 0)+1)), 4), 100張客戶!$A:$A, 1, FALSE), "")&lt;&gt;"", OR(INDEX(ERP資料!$F:$F, (MATCH(1033, 輔助計算!$F$2:$F$801, 0)+1))=270, INDEX(ERP資料!$F:$F, (MATCH(1033, 輔助計算!$F$2:$F$801, 0)+1))=300)), "100張", ""), "")</f>
        <v/>
      </c>
      <c r="M1034" s="17" t="n"/>
      <c r="N1034" s="17">
        <f>IF($F1034="","",$F1034)</f>
        <v/>
      </c>
      <c r="O1034" s="17">
        <f>IF($G1034="","",$G1034)</f>
        <v/>
      </c>
      <c r="P1034" s="17">
        <f>IF($K1034="","",$K1034)</f>
        <v/>
      </c>
      <c r="Q1034" s="16" t="n"/>
      <c r="R1034" s="18" t="n"/>
      <c r="S1034" s="16" t="n"/>
    </row>
    <row r="1035">
      <c r="A1035" s="14">
        <f>IFERROR(IF(AND(IFERROR(INDEX(ERP資料!$A:$A, (MATCH(1034, 輔助計算!$F$2:$F$801, 0)+1)), "")&lt;&gt;"", IFERROR(INDEX(ERP資料!$A:$A, (MATCH(1034, 輔助計算!$F$2:$F$801, 0)+1)), "")&lt;&gt;IFERROR(INDEX(ERP資料!$A:$A, MATCH(1033, 輔助計算!$F$2:$F$801, 0)+1), "")), INDEX(ERP資料!$B:$B, (MATCH(1034, 輔助計算!$F$2:$F$801, 0)+1)), ""), "")</f>
        <v/>
      </c>
      <c r="B1035" s="10">
        <f>IFERROR(IF(AND(IFERROR(INDEX(ERP資料!$A:$A, (MATCH(1034, 輔助計算!$F$2:$F$801, 0)+1)), "")&lt;&gt;"", IFERROR(INDEX(ERP資料!$A:$A, (MATCH(1034, 輔助計算!$F$2:$F$801, 0)+1)), "")&lt;&gt;IFERROR(INDEX(ERP資料!$A:$A, MATCH(1033, 輔助計算!$F$2:$F$801, 0)+1), "")), IFERROR(INDEX(ERP資料!$A:$A, (MATCH(1034, 輔助計算!$F$2:$F$801, 0)+1)), ""), ""), "")</f>
        <v/>
      </c>
      <c r="C1035" s="10">
        <f>IFERROR(IF(AND(IFERROR(INDEX(ERP資料!$A:$A, (MATCH(1034, 輔助計算!$F$2:$F$801, 0)+1)), "")&lt;&gt;"", IFERROR(INDEX(ERP資料!$A:$A, (MATCH(1034, 輔助計算!$F$2:$F$801, 0)+1)), "")&lt;&gt;IFERROR(INDEX(ERP資料!$A:$A, MATCH(1033, 輔助計算!$F$2:$F$801, 0)+1), "")), INDEX(ERP資料!$S:$S, (MATCH(1034, 輔助計算!$F$2:$F$801, 0)+1)), ""), "")</f>
        <v/>
      </c>
      <c r="D1035" s="10">
        <f>IFERROR(IF(INDEX(ERP資料!$E:$E, (MATCH(1034, 輔助計算!$F$2:$F$801, 0)+1))="","",TRIM(INDEX(ERP資料!$E:$E, (MATCH(1034, 輔助計算!$F$2:$F$801, 0)+1)))), "")</f>
        <v/>
      </c>
      <c r="E1035" s="10">
        <f>IFERROR(IF(INDEX(ERP資料!$F:$F, (MATCH(1034, 輔助計算!$F$2:$F$801, 0)+1))="","",INDEX(ERP資料!$F:$F, (MATCH(1034, 輔助計算!$F$2:$F$801, 0)+1))), "")</f>
        <v/>
      </c>
      <c r="F1035" s="10">
        <f>IFERROR(IF(INDEX(ERP資料!$G:$G, (MATCH(1034, 輔助計算!$F$2:$F$801, 0)+1))="","",INDEX(ERP資料!$G:$G, (MATCH(1034, 輔助計算!$F$2:$F$801, 0)+1))), "")</f>
        <v/>
      </c>
      <c r="G1035" s="10">
        <f>IFERROR(IF(INDEX(ERP資料!$H:$H, (MATCH(1034, 輔助計算!$F$2:$F$801, 0)+1))="","",INDEX(ERP資料!$H:$H, (MATCH(1034, 輔助計算!$F$2:$F$801, 0)+1))), "")</f>
        <v/>
      </c>
      <c r="H1035" s="10">
        <f>IFERROR(IF(INDEX(ERP資料!$O:$O, (MATCH(1034, 輔助計算!$F$2:$F$801, 0)+1))="","",INDEX(ERP資料!$O:$O, (MATCH(1034, 輔助計算!$F$2:$F$801, 0)+1))), "")</f>
        <v/>
      </c>
      <c r="I1035" s="15">
        <f>IFERROR(IF(INDEX(輔助計算!$D:$D,(MATCH(1034, 輔助計算!$F$2:$F$801, 0)+1))="","",INDEX(輔助計算!$D:$D,(MATCH(1034, 輔助計算!$F$2:$F$801, 0)+1))*INDEX(ERP資料!$O:$O,(MATCH(1034, 輔助計算!$F$2:$F$801, 0)+1))), "")</f>
        <v/>
      </c>
      <c r="J1035" s="16" t="n"/>
      <c r="K1035" s="15">
        <f>IFERROR(INDEX(輔助計算!$D:$D, (MATCH(1034, 輔助計算!$F$2:$F$801, 0)+1)), "")</f>
        <v/>
      </c>
      <c r="L1035" s="16">
        <f>IFERROR(IF(AND(IFERROR(VLOOKUP(LEFT(INDEX(ERP資料!$S:$S, (MATCH(1034, 輔助計算!$F$2:$F$801, 0)+1)), 4), 100張客戶!$A:$A, 1, FALSE), "")&lt;&gt;"", OR(INDEX(ERP資料!$F:$F, (MATCH(1034, 輔助計算!$F$2:$F$801, 0)+1))=270, INDEX(ERP資料!$F:$F, (MATCH(1034, 輔助計算!$F$2:$F$801, 0)+1))=300)), "100張", ""), "")</f>
        <v/>
      </c>
      <c r="M1035" s="17" t="n"/>
      <c r="N1035" s="17">
        <f>IF($F1035="","",$F1035)</f>
        <v/>
      </c>
      <c r="O1035" s="17">
        <f>IF($G1035="","",$G1035)</f>
        <v/>
      </c>
      <c r="P1035" s="17">
        <f>IF($K1035="","",$K1035)</f>
        <v/>
      </c>
      <c r="Q1035" s="16" t="n"/>
      <c r="R1035" s="18" t="n"/>
      <c r="S1035" s="16" t="n"/>
    </row>
    <row r="1036">
      <c r="A1036" s="14">
        <f>IFERROR(IF(AND(IFERROR(INDEX(ERP資料!$A:$A, (MATCH(1035, 輔助計算!$F$2:$F$801, 0)+1)), "")&lt;&gt;"", IFERROR(INDEX(ERP資料!$A:$A, (MATCH(1035, 輔助計算!$F$2:$F$801, 0)+1)), "")&lt;&gt;IFERROR(INDEX(ERP資料!$A:$A, MATCH(1034, 輔助計算!$F$2:$F$801, 0)+1), "")), INDEX(ERP資料!$B:$B, (MATCH(1035, 輔助計算!$F$2:$F$801, 0)+1)), ""), "")</f>
        <v/>
      </c>
      <c r="B1036" s="10">
        <f>IFERROR(IF(AND(IFERROR(INDEX(ERP資料!$A:$A, (MATCH(1035, 輔助計算!$F$2:$F$801, 0)+1)), "")&lt;&gt;"", IFERROR(INDEX(ERP資料!$A:$A, (MATCH(1035, 輔助計算!$F$2:$F$801, 0)+1)), "")&lt;&gt;IFERROR(INDEX(ERP資料!$A:$A, MATCH(1034, 輔助計算!$F$2:$F$801, 0)+1), "")), IFERROR(INDEX(ERP資料!$A:$A, (MATCH(1035, 輔助計算!$F$2:$F$801, 0)+1)), ""), ""), "")</f>
        <v/>
      </c>
      <c r="C1036" s="10">
        <f>IFERROR(IF(AND(IFERROR(INDEX(ERP資料!$A:$A, (MATCH(1035, 輔助計算!$F$2:$F$801, 0)+1)), "")&lt;&gt;"", IFERROR(INDEX(ERP資料!$A:$A, (MATCH(1035, 輔助計算!$F$2:$F$801, 0)+1)), "")&lt;&gt;IFERROR(INDEX(ERP資料!$A:$A, MATCH(1034, 輔助計算!$F$2:$F$801, 0)+1), "")), INDEX(ERP資料!$S:$S, (MATCH(1035, 輔助計算!$F$2:$F$801, 0)+1)), ""), "")</f>
        <v/>
      </c>
      <c r="D1036" s="10">
        <f>IFERROR(IF(INDEX(ERP資料!$E:$E, (MATCH(1035, 輔助計算!$F$2:$F$801, 0)+1))="","",TRIM(INDEX(ERP資料!$E:$E, (MATCH(1035, 輔助計算!$F$2:$F$801, 0)+1)))), "")</f>
        <v/>
      </c>
      <c r="E1036" s="10">
        <f>IFERROR(IF(INDEX(ERP資料!$F:$F, (MATCH(1035, 輔助計算!$F$2:$F$801, 0)+1))="","",INDEX(ERP資料!$F:$F, (MATCH(1035, 輔助計算!$F$2:$F$801, 0)+1))), "")</f>
        <v/>
      </c>
      <c r="F1036" s="10">
        <f>IFERROR(IF(INDEX(ERP資料!$G:$G, (MATCH(1035, 輔助計算!$F$2:$F$801, 0)+1))="","",INDEX(ERP資料!$G:$G, (MATCH(1035, 輔助計算!$F$2:$F$801, 0)+1))), "")</f>
        <v/>
      </c>
      <c r="G1036" s="10">
        <f>IFERROR(IF(INDEX(ERP資料!$H:$H, (MATCH(1035, 輔助計算!$F$2:$F$801, 0)+1))="","",INDEX(ERP資料!$H:$H, (MATCH(1035, 輔助計算!$F$2:$F$801, 0)+1))), "")</f>
        <v/>
      </c>
      <c r="H1036" s="10">
        <f>IFERROR(IF(INDEX(ERP資料!$O:$O, (MATCH(1035, 輔助計算!$F$2:$F$801, 0)+1))="","",INDEX(ERP資料!$O:$O, (MATCH(1035, 輔助計算!$F$2:$F$801, 0)+1))), "")</f>
        <v/>
      </c>
      <c r="I1036" s="15">
        <f>IFERROR(IF(INDEX(輔助計算!$D:$D,(MATCH(1035, 輔助計算!$F$2:$F$801, 0)+1))="","",INDEX(輔助計算!$D:$D,(MATCH(1035, 輔助計算!$F$2:$F$801, 0)+1))*INDEX(ERP資料!$O:$O,(MATCH(1035, 輔助計算!$F$2:$F$801, 0)+1))), "")</f>
        <v/>
      </c>
      <c r="J1036" s="16" t="n"/>
      <c r="K1036" s="15">
        <f>IFERROR(INDEX(輔助計算!$D:$D, (MATCH(1035, 輔助計算!$F$2:$F$801, 0)+1)), "")</f>
        <v/>
      </c>
      <c r="L1036" s="16">
        <f>IFERROR(IF(AND(IFERROR(VLOOKUP(LEFT(INDEX(ERP資料!$S:$S, (MATCH(1035, 輔助計算!$F$2:$F$801, 0)+1)), 4), 100張客戶!$A:$A, 1, FALSE), "")&lt;&gt;"", OR(INDEX(ERP資料!$F:$F, (MATCH(1035, 輔助計算!$F$2:$F$801, 0)+1))=270, INDEX(ERP資料!$F:$F, (MATCH(1035, 輔助計算!$F$2:$F$801, 0)+1))=300)), "100張", ""), "")</f>
        <v/>
      </c>
      <c r="M1036" s="17" t="n"/>
      <c r="N1036" s="17">
        <f>IF($F1036="","",$F1036)</f>
        <v/>
      </c>
      <c r="O1036" s="17">
        <f>IF($G1036="","",$G1036)</f>
        <v/>
      </c>
      <c r="P1036" s="17">
        <f>IF($K1036="","",$K1036)</f>
        <v/>
      </c>
      <c r="Q1036" s="16" t="n"/>
      <c r="R1036" s="18" t="n"/>
      <c r="S1036" s="16" t="n"/>
    </row>
    <row r="1037">
      <c r="A1037" s="14">
        <f>IFERROR(IF(AND(IFERROR(INDEX(ERP資料!$A:$A, (MATCH(1036, 輔助計算!$F$2:$F$801, 0)+1)), "")&lt;&gt;"", IFERROR(INDEX(ERP資料!$A:$A, (MATCH(1036, 輔助計算!$F$2:$F$801, 0)+1)), "")&lt;&gt;IFERROR(INDEX(ERP資料!$A:$A, MATCH(1035, 輔助計算!$F$2:$F$801, 0)+1), "")), INDEX(ERP資料!$B:$B, (MATCH(1036, 輔助計算!$F$2:$F$801, 0)+1)), ""), "")</f>
        <v/>
      </c>
      <c r="B1037" s="10">
        <f>IFERROR(IF(AND(IFERROR(INDEX(ERP資料!$A:$A, (MATCH(1036, 輔助計算!$F$2:$F$801, 0)+1)), "")&lt;&gt;"", IFERROR(INDEX(ERP資料!$A:$A, (MATCH(1036, 輔助計算!$F$2:$F$801, 0)+1)), "")&lt;&gt;IFERROR(INDEX(ERP資料!$A:$A, MATCH(1035, 輔助計算!$F$2:$F$801, 0)+1), "")), IFERROR(INDEX(ERP資料!$A:$A, (MATCH(1036, 輔助計算!$F$2:$F$801, 0)+1)), ""), ""), "")</f>
        <v/>
      </c>
      <c r="C1037" s="10">
        <f>IFERROR(IF(AND(IFERROR(INDEX(ERP資料!$A:$A, (MATCH(1036, 輔助計算!$F$2:$F$801, 0)+1)), "")&lt;&gt;"", IFERROR(INDEX(ERP資料!$A:$A, (MATCH(1036, 輔助計算!$F$2:$F$801, 0)+1)), "")&lt;&gt;IFERROR(INDEX(ERP資料!$A:$A, MATCH(1035, 輔助計算!$F$2:$F$801, 0)+1), "")), INDEX(ERP資料!$S:$S, (MATCH(1036, 輔助計算!$F$2:$F$801, 0)+1)), ""), "")</f>
        <v/>
      </c>
      <c r="D1037" s="10">
        <f>IFERROR(IF(INDEX(ERP資料!$E:$E, (MATCH(1036, 輔助計算!$F$2:$F$801, 0)+1))="","",TRIM(INDEX(ERP資料!$E:$E, (MATCH(1036, 輔助計算!$F$2:$F$801, 0)+1)))), "")</f>
        <v/>
      </c>
      <c r="E1037" s="10">
        <f>IFERROR(IF(INDEX(ERP資料!$F:$F, (MATCH(1036, 輔助計算!$F$2:$F$801, 0)+1))="","",INDEX(ERP資料!$F:$F, (MATCH(1036, 輔助計算!$F$2:$F$801, 0)+1))), "")</f>
        <v/>
      </c>
      <c r="F1037" s="10">
        <f>IFERROR(IF(INDEX(ERP資料!$G:$G, (MATCH(1036, 輔助計算!$F$2:$F$801, 0)+1))="","",INDEX(ERP資料!$G:$G, (MATCH(1036, 輔助計算!$F$2:$F$801, 0)+1))), "")</f>
        <v/>
      </c>
      <c r="G1037" s="10">
        <f>IFERROR(IF(INDEX(ERP資料!$H:$H, (MATCH(1036, 輔助計算!$F$2:$F$801, 0)+1))="","",INDEX(ERP資料!$H:$H, (MATCH(1036, 輔助計算!$F$2:$F$801, 0)+1))), "")</f>
        <v/>
      </c>
      <c r="H1037" s="10">
        <f>IFERROR(IF(INDEX(ERP資料!$O:$O, (MATCH(1036, 輔助計算!$F$2:$F$801, 0)+1))="","",INDEX(ERP資料!$O:$O, (MATCH(1036, 輔助計算!$F$2:$F$801, 0)+1))), "")</f>
        <v/>
      </c>
      <c r="I1037" s="15">
        <f>IFERROR(IF(INDEX(輔助計算!$D:$D,(MATCH(1036, 輔助計算!$F$2:$F$801, 0)+1))="","",INDEX(輔助計算!$D:$D,(MATCH(1036, 輔助計算!$F$2:$F$801, 0)+1))*INDEX(ERP資料!$O:$O,(MATCH(1036, 輔助計算!$F$2:$F$801, 0)+1))), "")</f>
        <v/>
      </c>
      <c r="J1037" s="16" t="n"/>
      <c r="K1037" s="15">
        <f>IFERROR(INDEX(輔助計算!$D:$D, (MATCH(1036, 輔助計算!$F$2:$F$801, 0)+1)), "")</f>
        <v/>
      </c>
      <c r="L1037" s="16">
        <f>IFERROR(IF(AND(IFERROR(VLOOKUP(LEFT(INDEX(ERP資料!$S:$S, (MATCH(1036, 輔助計算!$F$2:$F$801, 0)+1)), 4), 100張客戶!$A:$A, 1, FALSE), "")&lt;&gt;"", OR(INDEX(ERP資料!$F:$F, (MATCH(1036, 輔助計算!$F$2:$F$801, 0)+1))=270, INDEX(ERP資料!$F:$F, (MATCH(1036, 輔助計算!$F$2:$F$801, 0)+1))=300)), "100張", ""), "")</f>
        <v/>
      </c>
      <c r="M1037" s="17" t="n"/>
      <c r="N1037" s="17">
        <f>IF($F1037="","",$F1037)</f>
        <v/>
      </c>
      <c r="O1037" s="17">
        <f>IF($G1037="","",$G1037)</f>
        <v/>
      </c>
      <c r="P1037" s="17">
        <f>IF($K1037="","",$K1037)</f>
        <v/>
      </c>
      <c r="Q1037" s="16" t="n"/>
      <c r="R1037" s="18" t="n"/>
      <c r="S1037" s="16" t="n"/>
    </row>
    <row r="1038">
      <c r="A1038" s="14">
        <f>IFERROR(IF(AND(IFERROR(INDEX(ERP資料!$A:$A, (MATCH(1037, 輔助計算!$F$2:$F$801, 0)+1)), "")&lt;&gt;"", IFERROR(INDEX(ERP資料!$A:$A, (MATCH(1037, 輔助計算!$F$2:$F$801, 0)+1)), "")&lt;&gt;IFERROR(INDEX(ERP資料!$A:$A, MATCH(1036, 輔助計算!$F$2:$F$801, 0)+1), "")), INDEX(ERP資料!$B:$B, (MATCH(1037, 輔助計算!$F$2:$F$801, 0)+1)), ""), "")</f>
        <v/>
      </c>
      <c r="B1038" s="10">
        <f>IFERROR(IF(AND(IFERROR(INDEX(ERP資料!$A:$A, (MATCH(1037, 輔助計算!$F$2:$F$801, 0)+1)), "")&lt;&gt;"", IFERROR(INDEX(ERP資料!$A:$A, (MATCH(1037, 輔助計算!$F$2:$F$801, 0)+1)), "")&lt;&gt;IFERROR(INDEX(ERP資料!$A:$A, MATCH(1036, 輔助計算!$F$2:$F$801, 0)+1), "")), IFERROR(INDEX(ERP資料!$A:$A, (MATCH(1037, 輔助計算!$F$2:$F$801, 0)+1)), ""), ""), "")</f>
        <v/>
      </c>
      <c r="C1038" s="10">
        <f>IFERROR(IF(AND(IFERROR(INDEX(ERP資料!$A:$A, (MATCH(1037, 輔助計算!$F$2:$F$801, 0)+1)), "")&lt;&gt;"", IFERROR(INDEX(ERP資料!$A:$A, (MATCH(1037, 輔助計算!$F$2:$F$801, 0)+1)), "")&lt;&gt;IFERROR(INDEX(ERP資料!$A:$A, MATCH(1036, 輔助計算!$F$2:$F$801, 0)+1), "")), INDEX(ERP資料!$S:$S, (MATCH(1037, 輔助計算!$F$2:$F$801, 0)+1)), ""), "")</f>
        <v/>
      </c>
      <c r="D1038" s="10">
        <f>IFERROR(IF(INDEX(ERP資料!$E:$E, (MATCH(1037, 輔助計算!$F$2:$F$801, 0)+1))="","",TRIM(INDEX(ERP資料!$E:$E, (MATCH(1037, 輔助計算!$F$2:$F$801, 0)+1)))), "")</f>
        <v/>
      </c>
      <c r="E1038" s="10">
        <f>IFERROR(IF(INDEX(ERP資料!$F:$F, (MATCH(1037, 輔助計算!$F$2:$F$801, 0)+1))="","",INDEX(ERP資料!$F:$F, (MATCH(1037, 輔助計算!$F$2:$F$801, 0)+1))), "")</f>
        <v/>
      </c>
      <c r="F1038" s="10">
        <f>IFERROR(IF(INDEX(ERP資料!$G:$G, (MATCH(1037, 輔助計算!$F$2:$F$801, 0)+1))="","",INDEX(ERP資料!$G:$G, (MATCH(1037, 輔助計算!$F$2:$F$801, 0)+1))), "")</f>
        <v/>
      </c>
      <c r="G1038" s="10">
        <f>IFERROR(IF(INDEX(ERP資料!$H:$H, (MATCH(1037, 輔助計算!$F$2:$F$801, 0)+1))="","",INDEX(ERP資料!$H:$H, (MATCH(1037, 輔助計算!$F$2:$F$801, 0)+1))), "")</f>
        <v/>
      </c>
      <c r="H1038" s="10">
        <f>IFERROR(IF(INDEX(ERP資料!$O:$O, (MATCH(1037, 輔助計算!$F$2:$F$801, 0)+1))="","",INDEX(ERP資料!$O:$O, (MATCH(1037, 輔助計算!$F$2:$F$801, 0)+1))), "")</f>
        <v/>
      </c>
      <c r="I1038" s="15">
        <f>IFERROR(IF(INDEX(輔助計算!$D:$D,(MATCH(1037, 輔助計算!$F$2:$F$801, 0)+1))="","",INDEX(輔助計算!$D:$D,(MATCH(1037, 輔助計算!$F$2:$F$801, 0)+1))*INDEX(ERP資料!$O:$O,(MATCH(1037, 輔助計算!$F$2:$F$801, 0)+1))), "")</f>
        <v/>
      </c>
      <c r="J1038" s="16" t="n"/>
      <c r="K1038" s="15">
        <f>IFERROR(INDEX(輔助計算!$D:$D, (MATCH(1037, 輔助計算!$F$2:$F$801, 0)+1)), "")</f>
        <v/>
      </c>
      <c r="L1038" s="16">
        <f>IFERROR(IF(AND(IFERROR(VLOOKUP(LEFT(INDEX(ERP資料!$S:$S, (MATCH(1037, 輔助計算!$F$2:$F$801, 0)+1)), 4), 100張客戶!$A:$A, 1, FALSE), "")&lt;&gt;"", OR(INDEX(ERP資料!$F:$F, (MATCH(1037, 輔助計算!$F$2:$F$801, 0)+1))=270, INDEX(ERP資料!$F:$F, (MATCH(1037, 輔助計算!$F$2:$F$801, 0)+1))=300)), "100張", ""), "")</f>
        <v/>
      </c>
      <c r="M1038" s="17" t="n"/>
      <c r="N1038" s="17">
        <f>IF($F1038="","",$F1038)</f>
        <v/>
      </c>
      <c r="O1038" s="17">
        <f>IF($G1038="","",$G1038)</f>
        <v/>
      </c>
      <c r="P1038" s="17">
        <f>IF($K1038="","",$K1038)</f>
        <v/>
      </c>
      <c r="Q1038" s="16" t="n"/>
      <c r="R1038" s="18" t="n"/>
      <c r="S1038" s="16" t="n"/>
    </row>
    <row r="1039">
      <c r="A1039" s="14">
        <f>IFERROR(IF(AND(IFERROR(INDEX(ERP資料!$A:$A, (MATCH(1038, 輔助計算!$F$2:$F$801, 0)+1)), "")&lt;&gt;"", IFERROR(INDEX(ERP資料!$A:$A, (MATCH(1038, 輔助計算!$F$2:$F$801, 0)+1)), "")&lt;&gt;IFERROR(INDEX(ERP資料!$A:$A, MATCH(1037, 輔助計算!$F$2:$F$801, 0)+1), "")), INDEX(ERP資料!$B:$B, (MATCH(1038, 輔助計算!$F$2:$F$801, 0)+1)), ""), "")</f>
        <v/>
      </c>
      <c r="B1039" s="10">
        <f>IFERROR(IF(AND(IFERROR(INDEX(ERP資料!$A:$A, (MATCH(1038, 輔助計算!$F$2:$F$801, 0)+1)), "")&lt;&gt;"", IFERROR(INDEX(ERP資料!$A:$A, (MATCH(1038, 輔助計算!$F$2:$F$801, 0)+1)), "")&lt;&gt;IFERROR(INDEX(ERP資料!$A:$A, MATCH(1037, 輔助計算!$F$2:$F$801, 0)+1), "")), IFERROR(INDEX(ERP資料!$A:$A, (MATCH(1038, 輔助計算!$F$2:$F$801, 0)+1)), ""), ""), "")</f>
        <v/>
      </c>
      <c r="C1039" s="10">
        <f>IFERROR(IF(AND(IFERROR(INDEX(ERP資料!$A:$A, (MATCH(1038, 輔助計算!$F$2:$F$801, 0)+1)), "")&lt;&gt;"", IFERROR(INDEX(ERP資料!$A:$A, (MATCH(1038, 輔助計算!$F$2:$F$801, 0)+1)), "")&lt;&gt;IFERROR(INDEX(ERP資料!$A:$A, MATCH(1037, 輔助計算!$F$2:$F$801, 0)+1), "")), INDEX(ERP資料!$S:$S, (MATCH(1038, 輔助計算!$F$2:$F$801, 0)+1)), ""), "")</f>
        <v/>
      </c>
      <c r="D1039" s="10">
        <f>IFERROR(IF(INDEX(ERP資料!$E:$E, (MATCH(1038, 輔助計算!$F$2:$F$801, 0)+1))="","",TRIM(INDEX(ERP資料!$E:$E, (MATCH(1038, 輔助計算!$F$2:$F$801, 0)+1)))), "")</f>
        <v/>
      </c>
      <c r="E1039" s="10">
        <f>IFERROR(IF(INDEX(ERP資料!$F:$F, (MATCH(1038, 輔助計算!$F$2:$F$801, 0)+1))="","",INDEX(ERP資料!$F:$F, (MATCH(1038, 輔助計算!$F$2:$F$801, 0)+1))), "")</f>
        <v/>
      </c>
      <c r="F1039" s="10">
        <f>IFERROR(IF(INDEX(ERP資料!$G:$G, (MATCH(1038, 輔助計算!$F$2:$F$801, 0)+1))="","",INDEX(ERP資料!$G:$G, (MATCH(1038, 輔助計算!$F$2:$F$801, 0)+1))), "")</f>
        <v/>
      </c>
      <c r="G1039" s="10">
        <f>IFERROR(IF(INDEX(ERP資料!$H:$H, (MATCH(1038, 輔助計算!$F$2:$F$801, 0)+1))="","",INDEX(ERP資料!$H:$H, (MATCH(1038, 輔助計算!$F$2:$F$801, 0)+1))), "")</f>
        <v/>
      </c>
      <c r="H1039" s="10">
        <f>IFERROR(IF(INDEX(ERP資料!$O:$O, (MATCH(1038, 輔助計算!$F$2:$F$801, 0)+1))="","",INDEX(ERP資料!$O:$O, (MATCH(1038, 輔助計算!$F$2:$F$801, 0)+1))), "")</f>
        <v/>
      </c>
      <c r="I1039" s="15">
        <f>IFERROR(IF(INDEX(輔助計算!$D:$D,(MATCH(1038, 輔助計算!$F$2:$F$801, 0)+1))="","",INDEX(輔助計算!$D:$D,(MATCH(1038, 輔助計算!$F$2:$F$801, 0)+1))*INDEX(ERP資料!$O:$O,(MATCH(1038, 輔助計算!$F$2:$F$801, 0)+1))), "")</f>
        <v/>
      </c>
      <c r="J1039" s="16" t="n"/>
      <c r="K1039" s="15">
        <f>IFERROR(INDEX(輔助計算!$D:$D, (MATCH(1038, 輔助計算!$F$2:$F$801, 0)+1)), "")</f>
        <v/>
      </c>
      <c r="L1039" s="16">
        <f>IFERROR(IF(AND(IFERROR(VLOOKUP(LEFT(INDEX(ERP資料!$S:$S, (MATCH(1038, 輔助計算!$F$2:$F$801, 0)+1)), 4), 100張客戶!$A:$A, 1, FALSE), "")&lt;&gt;"", OR(INDEX(ERP資料!$F:$F, (MATCH(1038, 輔助計算!$F$2:$F$801, 0)+1))=270, INDEX(ERP資料!$F:$F, (MATCH(1038, 輔助計算!$F$2:$F$801, 0)+1))=300)), "100張", ""), "")</f>
        <v/>
      </c>
      <c r="M1039" s="17" t="n"/>
      <c r="N1039" s="17">
        <f>IF($F1039="","",$F1039)</f>
        <v/>
      </c>
      <c r="O1039" s="17">
        <f>IF($G1039="","",$G1039)</f>
        <v/>
      </c>
      <c r="P1039" s="17">
        <f>IF($K1039="","",$K1039)</f>
        <v/>
      </c>
      <c r="Q1039" s="16" t="n"/>
      <c r="R1039" s="18" t="n"/>
      <c r="S1039" s="16" t="n"/>
    </row>
    <row r="1040">
      <c r="A1040" s="14">
        <f>IFERROR(IF(AND(IFERROR(INDEX(ERP資料!$A:$A, (MATCH(1039, 輔助計算!$F$2:$F$801, 0)+1)), "")&lt;&gt;"", IFERROR(INDEX(ERP資料!$A:$A, (MATCH(1039, 輔助計算!$F$2:$F$801, 0)+1)), "")&lt;&gt;IFERROR(INDEX(ERP資料!$A:$A, MATCH(1038, 輔助計算!$F$2:$F$801, 0)+1), "")), INDEX(ERP資料!$B:$B, (MATCH(1039, 輔助計算!$F$2:$F$801, 0)+1)), ""), "")</f>
        <v/>
      </c>
      <c r="B1040" s="10">
        <f>IFERROR(IF(AND(IFERROR(INDEX(ERP資料!$A:$A, (MATCH(1039, 輔助計算!$F$2:$F$801, 0)+1)), "")&lt;&gt;"", IFERROR(INDEX(ERP資料!$A:$A, (MATCH(1039, 輔助計算!$F$2:$F$801, 0)+1)), "")&lt;&gt;IFERROR(INDEX(ERP資料!$A:$A, MATCH(1038, 輔助計算!$F$2:$F$801, 0)+1), "")), IFERROR(INDEX(ERP資料!$A:$A, (MATCH(1039, 輔助計算!$F$2:$F$801, 0)+1)), ""), ""), "")</f>
        <v/>
      </c>
      <c r="C1040" s="10">
        <f>IFERROR(IF(AND(IFERROR(INDEX(ERP資料!$A:$A, (MATCH(1039, 輔助計算!$F$2:$F$801, 0)+1)), "")&lt;&gt;"", IFERROR(INDEX(ERP資料!$A:$A, (MATCH(1039, 輔助計算!$F$2:$F$801, 0)+1)), "")&lt;&gt;IFERROR(INDEX(ERP資料!$A:$A, MATCH(1038, 輔助計算!$F$2:$F$801, 0)+1), "")), INDEX(ERP資料!$S:$S, (MATCH(1039, 輔助計算!$F$2:$F$801, 0)+1)), ""), "")</f>
        <v/>
      </c>
      <c r="D1040" s="10">
        <f>IFERROR(IF(INDEX(ERP資料!$E:$E, (MATCH(1039, 輔助計算!$F$2:$F$801, 0)+1))="","",TRIM(INDEX(ERP資料!$E:$E, (MATCH(1039, 輔助計算!$F$2:$F$801, 0)+1)))), "")</f>
        <v/>
      </c>
      <c r="E1040" s="10">
        <f>IFERROR(IF(INDEX(ERP資料!$F:$F, (MATCH(1039, 輔助計算!$F$2:$F$801, 0)+1))="","",INDEX(ERP資料!$F:$F, (MATCH(1039, 輔助計算!$F$2:$F$801, 0)+1))), "")</f>
        <v/>
      </c>
      <c r="F1040" s="10">
        <f>IFERROR(IF(INDEX(ERP資料!$G:$G, (MATCH(1039, 輔助計算!$F$2:$F$801, 0)+1))="","",INDEX(ERP資料!$G:$G, (MATCH(1039, 輔助計算!$F$2:$F$801, 0)+1))), "")</f>
        <v/>
      </c>
      <c r="G1040" s="10">
        <f>IFERROR(IF(INDEX(ERP資料!$H:$H, (MATCH(1039, 輔助計算!$F$2:$F$801, 0)+1))="","",INDEX(ERP資料!$H:$H, (MATCH(1039, 輔助計算!$F$2:$F$801, 0)+1))), "")</f>
        <v/>
      </c>
      <c r="H1040" s="10">
        <f>IFERROR(IF(INDEX(ERP資料!$O:$O, (MATCH(1039, 輔助計算!$F$2:$F$801, 0)+1))="","",INDEX(ERP資料!$O:$O, (MATCH(1039, 輔助計算!$F$2:$F$801, 0)+1))), "")</f>
        <v/>
      </c>
      <c r="I1040" s="15">
        <f>IFERROR(IF(INDEX(輔助計算!$D:$D,(MATCH(1039, 輔助計算!$F$2:$F$801, 0)+1))="","",INDEX(輔助計算!$D:$D,(MATCH(1039, 輔助計算!$F$2:$F$801, 0)+1))*INDEX(ERP資料!$O:$O,(MATCH(1039, 輔助計算!$F$2:$F$801, 0)+1))), "")</f>
        <v/>
      </c>
      <c r="J1040" s="16" t="n"/>
      <c r="K1040" s="15">
        <f>IFERROR(INDEX(輔助計算!$D:$D, (MATCH(1039, 輔助計算!$F$2:$F$801, 0)+1)), "")</f>
        <v/>
      </c>
      <c r="L1040" s="16">
        <f>IFERROR(IF(AND(IFERROR(VLOOKUP(LEFT(INDEX(ERP資料!$S:$S, (MATCH(1039, 輔助計算!$F$2:$F$801, 0)+1)), 4), 100張客戶!$A:$A, 1, FALSE), "")&lt;&gt;"", OR(INDEX(ERP資料!$F:$F, (MATCH(1039, 輔助計算!$F$2:$F$801, 0)+1))=270, INDEX(ERP資料!$F:$F, (MATCH(1039, 輔助計算!$F$2:$F$801, 0)+1))=300)), "100張", ""), "")</f>
        <v/>
      </c>
      <c r="M1040" s="17" t="n"/>
      <c r="N1040" s="17">
        <f>IF($F1040="","",$F1040)</f>
        <v/>
      </c>
      <c r="O1040" s="17">
        <f>IF($G1040="","",$G1040)</f>
        <v/>
      </c>
      <c r="P1040" s="17">
        <f>IF($K1040="","",$K1040)</f>
        <v/>
      </c>
      <c r="Q1040" s="16" t="n"/>
      <c r="R1040" s="18" t="n"/>
      <c r="S1040" s="16" t="n"/>
    </row>
    <row r="1041">
      <c r="A1041" s="14">
        <f>IFERROR(IF(AND(IFERROR(INDEX(ERP資料!$A:$A, (MATCH(1040, 輔助計算!$F$2:$F$801, 0)+1)), "")&lt;&gt;"", IFERROR(INDEX(ERP資料!$A:$A, (MATCH(1040, 輔助計算!$F$2:$F$801, 0)+1)), "")&lt;&gt;IFERROR(INDEX(ERP資料!$A:$A, MATCH(1039, 輔助計算!$F$2:$F$801, 0)+1), "")), INDEX(ERP資料!$B:$B, (MATCH(1040, 輔助計算!$F$2:$F$801, 0)+1)), ""), "")</f>
        <v/>
      </c>
      <c r="B1041" s="10">
        <f>IFERROR(IF(AND(IFERROR(INDEX(ERP資料!$A:$A, (MATCH(1040, 輔助計算!$F$2:$F$801, 0)+1)), "")&lt;&gt;"", IFERROR(INDEX(ERP資料!$A:$A, (MATCH(1040, 輔助計算!$F$2:$F$801, 0)+1)), "")&lt;&gt;IFERROR(INDEX(ERP資料!$A:$A, MATCH(1039, 輔助計算!$F$2:$F$801, 0)+1), "")), IFERROR(INDEX(ERP資料!$A:$A, (MATCH(1040, 輔助計算!$F$2:$F$801, 0)+1)), ""), ""), "")</f>
        <v/>
      </c>
      <c r="C1041" s="10">
        <f>IFERROR(IF(AND(IFERROR(INDEX(ERP資料!$A:$A, (MATCH(1040, 輔助計算!$F$2:$F$801, 0)+1)), "")&lt;&gt;"", IFERROR(INDEX(ERP資料!$A:$A, (MATCH(1040, 輔助計算!$F$2:$F$801, 0)+1)), "")&lt;&gt;IFERROR(INDEX(ERP資料!$A:$A, MATCH(1039, 輔助計算!$F$2:$F$801, 0)+1), "")), INDEX(ERP資料!$S:$S, (MATCH(1040, 輔助計算!$F$2:$F$801, 0)+1)), ""), "")</f>
        <v/>
      </c>
      <c r="D1041" s="10">
        <f>IFERROR(IF(INDEX(ERP資料!$E:$E, (MATCH(1040, 輔助計算!$F$2:$F$801, 0)+1))="","",TRIM(INDEX(ERP資料!$E:$E, (MATCH(1040, 輔助計算!$F$2:$F$801, 0)+1)))), "")</f>
        <v/>
      </c>
      <c r="E1041" s="10">
        <f>IFERROR(IF(INDEX(ERP資料!$F:$F, (MATCH(1040, 輔助計算!$F$2:$F$801, 0)+1))="","",INDEX(ERP資料!$F:$F, (MATCH(1040, 輔助計算!$F$2:$F$801, 0)+1))), "")</f>
        <v/>
      </c>
      <c r="F1041" s="10">
        <f>IFERROR(IF(INDEX(ERP資料!$G:$G, (MATCH(1040, 輔助計算!$F$2:$F$801, 0)+1))="","",INDEX(ERP資料!$G:$G, (MATCH(1040, 輔助計算!$F$2:$F$801, 0)+1))), "")</f>
        <v/>
      </c>
      <c r="G1041" s="10">
        <f>IFERROR(IF(INDEX(ERP資料!$H:$H, (MATCH(1040, 輔助計算!$F$2:$F$801, 0)+1))="","",INDEX(ERP資料!$H:$H, (MATCH(1040, 輔助計算!$F$2:$F$801, 0)+1))), "")</f>
        <v/>
      </c>
      <c r="H1041" s="10">
        <f>IFERROR(IF(INDEX(ERP資料!$O:$O, (MATCH(1040, 輔助計算!$F$2:$F$801, 0)+1))="","",INDEX(ERP資料!$O:$O, (MATCH(1040, 輔助計算!$F$2:$F$801, 0)+1))), "")</f>
        <v/>
      </c>
      <c r="I1041" s="15">
        <f>IFERROR(IF(INDEX(輔助計算!$D:$D,(MATCH(1040, 輔助計算!$F$2:$F$801, 0)+1))="","",INDEX(輔助計算!$D:$D,(MATCH(1040, 輔助計算!$F$2:$F$801, 0)+1))*INDEX(ERP資料!$O:$O,(MATCH(1040, 輔助計算!$F$2:$F$801, 0)+1))), "")</f>
        <v/>
      </c>
      <c r="J1041" s="16" t="n"/>
      <c r="K1041" s="15">
        <f>IFERROR(INDEX(輔助計算!$D:$D, (MATCH(1040, 輔助計算!$F$2:$F$801, 0)+1)), "")</f>
        <v/>
      </c>
      <c r="L1041" s="16">
        <f>IFERROR(IF(AND(IFERROR(VLOOKUP(LEFT(INDEX(ERP資料!$S:$S, (MATCH(1040, 輔助計算!$F$2:$F$801, 0)+1)), 4), 100張客戶!$A:$A, 1, FALSE), "")&lt;&gt;"", OR(INDEX(ERP資料!$F:$F, (MATCH(1040, 輔助計算!$F$2:$F$801, 0)+1))=270, INDEX(ERP資料!$F:$F, (MATCH(1040, 輔助計算!$F$2:$F$801, 0)+1))=300)), "100張", ""), "")</f>
        <v/>
      </c>
      <c r="M1041" s="17" t="n"/>
      <c r="N1041" s="17">
        <f>IF($F1041="","",$F1041)</f>
        <v/>
      </c>
      <c r="O1041" s="17">
        <f>IF($G1041="","",$G1041)</f>
        <v/>
      </c>
      <c r="P1041" s="17">
        <f>IF($K1041="","",$K1041)</f>
        <v/>
      </c>
      <c r="Q1041" s="16" t="n"/>
      <c r="R1041" s="18" t="n"/>
      <c r="S1041" s="16" t="n"/>
    </row>
  </sheetData>
  <conditionalFormatting sqref="A2:C1041">
    <cfRule type="expression" priority="1" dxfId="1">
      <formula>$B2&lt;&gt;""</formula>
    </cfRule>
  </conditionalFormatting>
  <conditionalFormatting sqref="N2:P1041">
    <cfRule type="expression" priority="1" dxfId="1">
      <formula>$B2&lt;&gt;""</formula>
    </cfRule>
  </conditionalFormatting>
  <conditionalFormatting sqref="A2:S1041">
    <cfRule type="expression" priority="3" dxfId="2">
      <formula>$B2&lt;&gt;""</formula>
    </cfRule>
  </conditionalFormatting>
  <conditionalFormatting sqref="J2:J1041">
    <cfRule type="expression" priority="4" dxfId="3">
      <formula>AND($F2&lt;&gt;"", $F2&lt;=680)</formula>
    </cfRule>
  </conditionalFormatting>
  <conditionalFormatting sqref="L2:L1041">
    <cfRule type="expression" priority="0" dxfId="4" stopIfTrue="0">
      <formula>$L2="100張"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26" customWidth="1" min="4" max="4"/>
    <col width="8" customWidth="1" min="5" max="5"/>
    <col width="7" customWidth="1" min="6" max="6"/>
    <col width="8" customWidth="1" min="7" max="7"/>
    <col width="9" customWidth="1" min="8" max="8"/>
    <col width="8" customWidth="1" min="9" max="9"/>
    <col width="22" customWidth="1" min="10" max="10"/>
    <col width="20" customWidth="1" min="11" max="11"/>
    <col width="11" customWidth="1" min="12" max="12"/>
    <col width="5" customWidth="1" min="13" max="13"/>
  </cols>
  <sheetData>
    <row r="1" ht="30" customHeight="1">
      <c r="A1" s="9" t="inlineStr">
        <is>
          <t>裝櫃單號</t>
        </is>
      </c>
      <c r="B1" s="9" t="inlineStr">
        <is>
          <t>客戶</t>
        </is>
      </c>
      <c r="C1" s="9" t="inlineStr">
        <is>
          <t>紙管
(自動)</t>
        </is>
      </c>
      <c r="D1" s="9" t="inlineStr">
        <is>
          <t>特殊備註</t>
        </is>
      </c>
      <c r="E1" s="9" t="inlineStr">
        <is>
          <t>長度(M)</t>
        </is>
      </c>
      <c r="F1" s="9" t="inlineStr">
        <is>
          <t>紙類</t>
        </is>
      </c>
      <c r="G1" s="9" t="inlineStr">
        <is>
          <t>基重</t>
        </is>
      </c>
      <c r="H1" s="9" t="inlineStr">
        <is>
          <t>寬(cm)</t>
        </is>
      </c>
      <c r="I1" s="9" t="inlineStr">
        <is>
          <t>件數</t>
        </is>
      </c>
      <c r="J1" s="9" t="inlineStr">
        <is>
          <t>配抄公式</t>
        </is>
      </c>
      <c r="K1" s="9" t="inlineStr">
        <is>
          <t>生產配對指示</t>
        </is>
      </c>
      <c r="L1" s="9" t="inlineStr">
        <is>
          <t>結關日</t>
        </is>
      </c>
      <c r="M1" s="9" t="inlineStr">
        <is>
          <t>✓</t>
        </is>
      </c>
    </row>
    <row r="2">
      <c r="A2" s="10">
        <f>IFERROR(IF(AND(IFERROR(INDEX(ERP資料!$A:$A, (MATCH(1, 輔助計算!$G$2:$G$801, 0)+1)), "")&lt;&gt;"", IFERROR(INDEX(ERP資料!$A:$A, (MATCH(1, 輔助計算!$G$2:$G$801, 0)+1)), "")&lt;&gt;IFERROR(INDEX(ERP資料!$A:$A, MATCH(0, 輔助計算!$G$2:$G$801, 0)+1), "")), IFERROR(INDEX(ERP資料!$A:$A, (MATCH(1, 輔助計算!$G$2:$G$801, 0)+1)), ""), ""), "")</f>
        <v/>
      </c>
      <c r="B2" s="10">
        <f>IFERROR(IF(AND(IFERROR(INDEX(ERP資料!$A:$A, (MATCH(1, 輔助計算!$G$2:$G$801, 0)+1)), "")&lt;&gt;"", IFERROR(INDEX(ERP資料!$A:$A, (MATCH(1, 輔助計算!$G$2:$G$801, 0)+1)), "")&lt;&gt;IFERROR(INDEX(ERP資料!$A:$A, MATCH(0, 輔助計算!$G$2:$G$801, 0)+1), "")), INDEX(ERP資料!$S:$S, (MATCH(1, 輔助計算!$G$2:$G$801, 0)+1)), ""), "")</f>
        <v/>
      </c>
      <c r="C2" s="19">
        <f>IFERROR(IF(AND(IFERROR(INDEX(ERP資料!$A:$A, (MATCH(1, 輔助計算!$G$2:$G$801, 0)+1)), "")&lt;&gt;"", IFERROR(INDEX(ERP資料!$A:$A, (MATCH(1, 輔助計算!$G$2:$G$801, 0)+1)), "")&lt;&gt;IFERROR(INDEX(ERP資料!$A:$A, MATCH(0, 輔助計算!$G$2:$G$801, 0)+1), "")), IFERROR(VLOOKUP(LEFT(INDEX(ERP資料!$S:$S, (MATCH(1, 輔助計算!$G$2:$G$801, 0)+1)), 4), 紙管對照表!$A:$C, 3, FALSE), ""), ""), "")</f>
        <v/>
      </c>
      <c r="D2" s="16" t="n"/>
      <c r="E2" s="10">
        <f>IFERROR(IF(INDEX(ERP資料!$H:$H, (MATCH(1, 輔助計算!$G$2:$G$801, 0)+1))="","",INDEX(ERP資料!$H:$H, (MATCH(1, 輔助計算!$G$2:$G$801, 0)+1))), "")</f>
        <v/>
      </c>
      <c r="F2" s="10">
        <f>IFERROR(IF(INDEX(ERP資料!$E:$E, (MATCH(1, 輔助計算!$G$2:$G$801, 0)+1))="","",TRIM(INDEX(ERP資料!$E:$E, (MATCH(1, 輔助計算!$G$2:$G$801, 0)+1)))), "")</f>
        <v/>
      </c>
      <c r="G2" s="10">
        <f>IFERROR(IF(INDEX(ERP資料!$F:$F, (MATCH(1, 輔助計算!$G$2:$G$801, 0)+1))="","",INDEX(ERP資料!$F:$F, (MATCH(1, 輔助計算!$G$2:$G$801, 0)+1))), "")</f>
        <v/>
      </c>
      <c r="H2" s="10">
        <f>IFERROR(IF(INDEX(ERP資料!$G:$G, (MATCH(1, 輔助計算!$G$2:$G$801, 0)+1))="","",INDEX(ERP資料!$G:$G, (MATCH(1, 輔助計算!$G$2:$G$801, 0)+1))), "")</f>
        <v/>
      </c>
      <c r="I2" s="15">
        <f>IFERROR(INDEX(輔助計算!$D:$D, (MATCH(1, 輔助計算!$G$2:$G$801, 0)+1)), "")</f>
        <v/>
      </c>
      <c r="J2" s="15">
        <f>IFERROR(IF(AND(INDEX(輔助計算!$D:$D, (MATCH(1, 輔助計算!$G$2:$G$801, 0)+1))&lt;&gt;"", INDEX(ERP資料!$G:$G, (MATCH(1, 輔助計算!$G$2:$G$801, 0)+1))&lt;&gt;""), TRIM(IF(INT(INDEX(輔助計算!$D:$D, (MATCH(1, 輔助計算!$G$2:$G$801, 0)+1))/IF(INDEX(ERP資料!$G:$G, (MATCH(1, 輔助計算!$G$2:$G$801, 0)+1))&lt;100, IF(INDEX(ERP資料!$G:$G, (MATCH(1, 輔助計算!$G$2:$G$801, 0)+1))&lt;=31,3,IF(INDEX(ERP資料!$G:$G, (MATCH(1, 輔助計算!$G$2:$G$801, 0)+1))&lt;=46.5,2,1)), IF(INDEX(ERP資料!$G:$G, (MATCH(1, 輔助計算!$G$2:$G$801, 0)+1))&lt;=790,3,IF(INDEX(ERP資料!$G:$G, (MATCH(1, 輔助計算!$G$2:$G$801, 0)+1))&lt;=1181,2,1))))&gt;0, IF(IF(INDEX(ERP資料!$G:$G, (MATCH(1, 輔助計算!$G$2:$G$801, 0)+1))&lt;100, IF(INDEX(ERP資料!$G:$G, (MATCH(1, 輔助計算!$G$2:$G$801, 0)+1))&lt;=31,3,IF(INDEX(ERP資料!$G:$G, (MATCH(1, 輔助計算!$G$2:$G$801, 0)+1))&lt;=46.5,2,1)), IF(INDEX(ERP資料!$G:$G, (MATCH(1, 輔助計算!$G$2:$G$801, 0)+1))&lt;=790,3,IF(INDEX(ERP資料!$G:$G, (MATCH(1, 輔助計算!$G$2:$G$801, 0)+1))&lt;=1181,2,1)))=1,TEXT(INDEX(ERP資料!$G:$G, (MATCH(1, 輔助計算!$G$2:$G$801, 0)+1)),"0.##"),IF(IF(INDEX(ERP資料!$G:$G, (MATCH(1, 輔助計算!$G$2:$G$801, 0)+1))&lt;100, IF(INDEX(ERP資料!$G:$G, (MATCH(1, 輔助計算!$G$2:$G$801, 0)+1))&lt;=31,3,IF(INDEX(ERP資料!$G:$G, (MATCH(1, 輔助計算!$G$2:$G$801, 0)+1))&lt;=46.5,2,1)), IF(INDEX(ERP資料!$G:$G, (MATCH(1, 輔助計算!$G$2:$G$801, 0)+1))&lt;=790,3,IF(INDEX(ERP資料!$G:$G, (MATCH(1, 輔助計算!$G$2:$G$801, 0)+1))&lt;=1181,2,1)))=2,TEXT(INDEX(ERP資料!$G:$G, (MATCH(1, 輔助計算!$G$2:$G$801, 0)+1)),"0.##")&amp;"+"&amp;TEXT(INDEX(ERP資料!$G:$G, (MATCH(1, 輔助計算!$G$2:$G$801, 0)+1)),"0.##"),TEXT(INDEX(ERP資料!$G:$G, (MATCH(1, 輔助計算!$G$2:$G$801, 0)+1)),"0.##")&amp;"+"&amp;TEXT(INDEX(ERP資料!$G:$G, (MATCH(1, 輔助計算!$G$2:$G$801, 0)+1)),"0.##")&amp;"+"&amp;TEXT(INDEX(ERP資料!$G:$G, (MATCH(1, 輔助計算!$G$2:$G$801, 0)+1)),"0.##")))&amp;"-"&amp;INT(INDEX(輔助計算!$D:$D, (MATCH(1, 輔助計算!$G$2:$G$801, 0)+1))/IF(INDEX(ERP資料!$G:$G, (MATCH(1, 輔助計算!$G$2:$G$801, 0)+1))&lt;100, IF(INDEX(ERP資料!$G:$G, (MATCH(1, 輔助計算!$G$2:$G$801, 0)+1))&lt;=31,3,IF(INDEX(ERP資料!$G:$G, (MATCH(1, 輔助計算!$G$2:$G$801, 0)+1))&lt;=46.5,2,1)), IF(INDEX(ERP資料!$G:$G, (MATCH(1, 輔助計算!$G$2:$G$801, 0)+1))&lt;=790,3,IF(INDEX(ERP資料!$G:$G, (MATCH(1, 輔助計算!$G$2:$G$801, 0)+1))&lt;=1181,2,1)))), "")&amp;IF(AND(IF(INT(INDEX(輔助計算!$D:$D, (MATCH(1, 輔助計算!$G$2:$G$801, 0)+1))/IF(INDEX(ERP資料!$G:$G, (MATCH(1, 輔助計算!$G$2:$G$801, 0)+1))&lt;100, IF(INDEX(ERP資料!$G:$G, (MATCH(1, 輔助計算!$G$2:$G$801, 0)+1))&lt;=31,3,IF(INDEX(ERP資料!$G:$G, (MATCH(1, 輔助計算!$G$2:$G$801, 0)+1))&lt;=46.5,2,1)), IF(INDEX(ERP資料!$G:$G, (MATCH(1, 輔助計算!$G$2:$G$801, 0)+1))&lt;=790,3,IF(INDEX(ERP資料!$G:$G, (MATCH(1, 輔助計算!$G$2:$G$801, 0)+1))&lt;=1181,2,1))))&gt;0, IF(IF(INDEX(ERP資料!$G:$G, (MATCH(1, 輔助計算!$G$2:$G$801, 0)+1))&lt;100, IF(INDEX(ERP資料!$G:$G, (MATCH(1, 輔助計算!$G$2:$G$801, 0)+1))&lt;=31,3,IF(INDEX(ERP資料!$G:$G, (MATCH(1, 輔助計算!$G$2:$G$801, 0)+1))&lt;=46.5,2,1)), IF(INDEX(ERP資料!$G:$G, (MATCH(1, 輔助計算!$G$2:$G$801, 0)+1))&lt;=790,3,IF(INDEX(ERP資料!$G:$G, (MATCH(1, 輔助計算!$G$2:$G$801, 0)+1))&lt;=1181,2,1)))=1,TEXT(INDEX(ERP資料!$G:$G, (MATCH(1, 輔助計算!$G$2:$G$801, 0)+1)),"0.##"),IF(IF(INDEX(ERP資料!$G:$G, (MATCH(1, 輔助計算!$G$2:$G$801, 0)+1))&lt;100, IF(INDEX(ERP資料!$G:$G, (MATCH(1, 輔助計算!$G$2:$G$801, 0)+1))&lt;=31,3,IF(INDEX(ERP資料!$G:$G, (MATCH(1, 輔助計算!$G$2:$G$801, 0)+1))&lt;=46.5,2,1)), IF(INDEX(ERP資料!$G:$G, (MATCH(1, 輔助計算!$G$2:$G$801, 0)+1))&lt;=790,3,IF(INDEX(ERP資料!$G:$G, (MATCH(1, 輔助計算!$G$2:$G$801, 0)+1))&lt;=1181,2,1)))=2,TEXT(INDEX(ERP資料!$G:$G, (MATCH(1, 輔助計算!$G$2:$G$801, 0)+1)),"0.##")&amp;"+"&amp;TEXT(INDEX(ERP資料!$G:$G, (MATCH(1, 輔助計算!$G$2:$G$801, 0)+1)),"0.##"),TEXT(INDEX(ERP資料!$G:$G, (MATCH(1, 輔助計算!$G$2:$G$801, 0)+1)),"0.##")&amp;"+"&amp;TEXT(INDEX(ERP資料!$G:$G, (MATCH(1, 輔助計算!$G$2:$G$801, 0)+1)),"0.##")&amp;"+"&amp;TEXT(INDEX(ERP資料!$G:$G, (MATCH(1, 輔助計算!$G$2:$G$801, 0)+1)),"0.##")))&amp;"-"&amp;INT(INDEX(輔助計算!$D:$D, (MATCH(1, 輔助計算!$G$2:$G$801, 0)+1))/IF(INDEX(ERP資料!$G:$G, (MATCH(1, 輔助計算!$G$2:$G$801, 0)+1))&lt;100, IF(INDEX(ERP資料!$G:$G, (MATCH(1, 輔助計算!$G$2:$G$801, 0)+1))&lt;=31,3,IF(INDEX(ERP資料!$G:$G, (MATCH(1, 輔助計算!$G$2:$G$801, 0)+1))&lt;=46.5,2,1)), IF(INDEX(ERP資料!$G:$G, (MATCH(1, 輔助計算!$G$2:$G$801, 0)+1))&lt;=790,3,IF(INDEX(ERP資料!$G:$G, (MATCH(1, 輔助計算!$G$2:$G$801, 0)+1))&lt;=1181,2,1)))), "")&lt;&gt;"",IF(MOD(INDEX(輔助計算!$D:$D, (MATCH(1, 輔助計算!$G$2:$G$801, 0)+1)),IF(INDEX(ERP資料!$G:$G, (MATCH(1, 輔助計算!$G$2:$G$801, 0)+1))&lt;100, IF(INDEX(ERP資料!$G:$G, (MATCH(1, 輔助計算!$G$2:$G$801, 0)+1))&lt;=31,3,IF(INDEX(ERP資料!$G:$G, (MATCH(1, 輔助計算!$G$2:$G$801, 0)+1))&lt;=46.5,2,1)), IF(INDEX(ERP資料!$G:$G, (MATCH(1, 輔助計算!$G$2:$G$801, 0)+1))&lt;=790,3,IF(INDEX(ERP資料!$G:$G, (MATCH(1, 輔助計算!$G$2:$G$801, 0)+1))&lt;=1181,2,1))))=0,"",IF(MOD(INDEX(輔助計算!$D:$D, (MATCH(1, 輔助計算!$G$2:$G$801, 0)+1)),IF(INDEX(ERP資料!$G:$G, (MATCH(1, 輔助計算!$G$2:$G$801, 0)+1))&lt;100, IF(INDEX(ERP資料!$G:$G, (MATCH(1, 輔助計算!$G$2:$G$801, 0)+1))&lt;=31,3,IF(INDEX(ERP資料!$G:$G, (MATCH(1, 輔助計算!$G$2:$G$801, 0)+1))&lt;=46.5,2,1)), IF(INDEX(ERP資料!$G:$G, (MATCH(1, 輔助計算!$G$2:$G$801, 0)+1))&lt;=790,3,IF(INDEX(ERP資料!$G:$G, (MATCH(1, 輔助計算!$G$2:$G$801, 0)+1))&lt;=1181,2,1))))=0,"",IF(MOD(INDEX(輔助計算!$D:$D, (MATCH(1, 輔助計算!$G$2:$G$801, 0)+1)),IF(INDEX(ERP資料!$G:$G, (MATCH(1, 輔助計算!$G$2:$G$801, 0)+1))&lt;100, IF(INDEX(ERP資料!$G:$G, (MATCH(1, 輔助計算!$G$2:$G$801, 0)+1))&lt;=31,3,IF(INDEX(ERP資料!$G:$G, (MATCH(1, 輔助計算!$G$2:$G$801, 0)+1))&lt;=46.5,2,1)), IF(INDEX(ERP資料!$G:$G, (MATCH(1, 輔助計算!$G$2:$G$801, 0)+1))&lt;=790,3,IF(INDEX(ERP資料!$G:$G, (MATCH(1, 輔助計算!$G$2:$G$801, 0)+1))&lt;=1181,2,1))))=1,TEXT(INDEX(ERP資料!$G:$G, (MATCH(1, 輔助計算!$G$2:$G$801, 0)+1)),"0.##"),IF(MOD(INDEX(輔助計算!$D:$D, (MATCH(1, 輔助計算!$G$2:$G$801, 0)+1)),IF(INDEX(ERP資料!$G:$G, (MATCH(1, 輔助計算!$G$2:$G$801, 0)+1))&lt;100, IF(INDEX(ERP資料!$G:$G, (MATCH(1, 輔助計算!$G$2:$G$801, 0)+1))&lt;=31,3,IF(INDEX(ERP資料!$G:$G, (MATCH(1, 輔助計算!$G$2:$G$801, 0)+1))&lt;=46.5,2,1)), IF(INDEX(ERP資料!$G:$G, (MATCH(1, 輔助計算!$G$2:$G$801, 0)+1))&lt;=790,3,IF(INDEX(ERP資料!$G:$G, (MATCH(1, 輔助計算!$G$2:$G$801, 0)+1))&lt;=1181,2,1))))=2,TEXT(INDEX(ERP資料!$G:$G, (MATCH(1, 輔助計算!$G$2:$G$801, 0)+1)),"0.##")&amp;"+"&amp;TEXT(INDEX(ERP資料!$G:$G, (MATCH(1, 輔助計算!$G$2:$G$801, 0)+1)),"0.##"),TEXT(INDEX(ERP資料!$G:$G, (MATCH(1, 輔助計算!$G$2:$G$801, 0)+1)),"0.##")&amp;"+"&amp;TEXT(INDEX(ERP資料!$G:$G, (MATCH(1, 輔助計算!$G$2:$G$801, 0)+1)),"0.##")&amp;"+"&amp;TEXT(INDEX(ERP資料!$G:$G, (MATCH(1, 輔助計算!$G$2:$G$801, 0)+1)),"0.##"))))&amp;"-1")&lt;&gt;""),"  ","")&amp;IF(MOD(INDEX(輔助計算!$D:$D, (MATCH(1, 輔助計算!$G$2:$G$801, 0)+1)),IF(INDEX(ERP資料!$G:$G, (MATCH(1, 輔助計算!$G$2:$G$801, 0)+1))&lt;100, IF(INDEX(ERP資料!$G:$G, (MATCH(1, 輔助計算!$G$2:$G$801, 0)+1))&lt;=31,3,IF(INDEX(ERP資料!$G:$G, (MATCH(1, 輔助計算!$G$2:$G$801, 0)+1))&lt;=46.5,2,1)), IF(INDEX(ERP資料!$G:$G, (MATCH(1, 輔助計算!$G$2:$G$801, 0)+1))&lt;=790,3,IF(INDEX(ERP資料!$G:$G, (MATCH(1, 輔助計算!$G$2:$G$801, 0)+1))&lt;=1181,2,1))))=0,"",IF(MOD(INDEX(輔助計算!$D:$D, (MATCH(1, 輔助計算!$G$2:$G$801, 0)+1)),IF(INDEX(ERP資料!$G:$G, (MATCH(1, 輔助計算!$G$2:$G$801, 0)+1))&lt;100, IF(INDEX(ERP資料!$G:$G, (MATCH(1, 輔助計算!$G$2:$G$801, 0)+1))&lt;=31,3,IF(INDEX(ERP資料!$G:$G, (MATCH(1, 輔助計算!$G$2:$G$801, 0)+1))&lt;=46.5,2,1)), IF(INDEX(ERP資料!$G:$G, (MATCH(1, 輔助計算!$G$2:$G$801, 0)+1))&lt;=790,3,IF(INDEX(ERP資料!$G:$G, (MATCH(1, 輔助計算!$G$2:$G$801, 0)+1))&lt;=1181,2,1))))=0,"",IF(MOD(INDEX(輔助計算!$D:$D, (MATCH(1, 輔助計算!$G$2:$G$801, 0)+1)),IF(INDEX(ERP資料!$G:$G, (MATCH(1, 輔助計算!$G$2:$G$801, 0)+1))&lt;100, IF(INDEX(ERP資料!$G:$G, (MATCH(1, 輔助計算!$G$2:$G$801, 0)+1))&lt;=31,3,IF(INDEX(ERP資料!$G:$G, (MATCH(1, 輔助計算!$G$2:$G$801, 0)+1))&lt;=46.5,2,1)), IF(INDEX(ERP資料!$G:$G, (MATCH(1, 輔助計算!$G$2:$G$801, 0)+1))&lt;=790,3,IF(INDEX(ERP資料!$G:$G, (MATCH(1, 輔助計算!$G$2:$G$801, 0)+1))&lt;=1181,2,1))))=1,TEXT(INDEX(ERP資料!$G:$G, (MATCH(1, 輔助計算!$G$2:$G$801, 0)+1)),"0.##"),IF(MOD(INDEX(輔助計算!$D:$D, (MATCH(1, 輔助計算!$G$2:$G$801, 0)+1)),IF(INDEX(ERP資料!$G:$G, (MATCH(1, 輔助計算!$G$2:$G$801, 0)+1))&lt;100, IF(INDEX(ERP資料!$G:$G, (MATCH(1, 輔助計算!$G$2:$G$801, 0)+1))&lt;=31,3,IF(INDEX(ERP資料!$G:$G, (MATCH(1, 輔助計算!$G$2:$G$801, 0)+1))&lt;=46.5,2,1)), IF(INDEX(ERP資料!$G:$G, (MATCH(1, 輔助計算!$G$2:$G$801, 0)+1))&lt;=790,3,IF(INDEX(ERP資料!$G:$G, (MATCH(1, 輔助計算!$G$2:$G$801, 0)+1))&lt;=1181,2,1))))=2,TEXT(INDEX(ERP資料!$G:$G, (MATCH(1, 輔助計算!$G$2:$G$801, 0)+1)),"0.##")&amp;"+"&amp;TEXT(INDEX(ERP資料!$G:$G, (MATCH(1, 輔助計算!$G$2:$G$801, 0)+1)),"0.##"),TEXT(INDEX(ERP資料!$G:$G, (MATCH(1, 輔助計算!$G$2:$G$801, 0)+1)),"0.##")&amp;"+"&amp;TEXT(INDEX(ERP資料!$G:$G, (MATCH(1, 輔助計算!$G$2:$G$801, 0)+1)),"0.##")&amp;"+"&amp;TEXT(INDEX(ERP資料!$G:$G, (MATCH(1, 輔助計算!$G$2:$G$801, 0)+1)),"0.##"))))&amp;"-1")), ""), "")</f>
        <v/>
      </c>
      <c r="K2" s="16" t="n"/>
      <c r="L2" s="14">
        <f>IFERROR(IF(AND(IFERROR(INDEX(ERP資料!$A:$A, (MATCH(1, 輔助計算!$G$2:$G$801, 0)+1)), "")&lt;&gt;"", IFERROR(INDEX(ERP資料!$A:$A, (MATCH(1, 輔助計算!$G$2:$G$801, 0)+1)), "")&lt;&gt;IFERROR(INDEX(ERP資料!$A:$A, MATCH(0, 輔助計算!$G$2:$G$801, 0)+1), "")), INDEX(ERP資料!$B:$B, (MATCH(1, 輔助計算!$G$2:$G$801, 0)+1)), ""), "")</f>
        <v/>
      </c>
      <c r="M2" s="17" t="n"/>
    </row>
    <row r="3">
      <c r="A3" s="10">
        <f>IFERROR(IF(AND(IFERROR(INDEX(ERP資料!$A:$A, (MATCH(2, 輔助計算!$G$2:$G$801, 0)+1)), "")&lt;&gt;"", IFERROR(INDEX(ERP資料!$A:$A, (MATCH(2, 輔助計算!$G$2:$G$801, 0)+1)), "")&lt;&gt;IFERROR(INDEX(ERP資料!$A:$A, MATCH(1, 輔助計算!$G$2:$G$801, 0)+1), "")), IFERROR(INDEX(ERP資料!$A:$A, (MATCH(2, 輔助計算!$G$2:$G$801, 0)+1)), ""), ""), "")</f>
        <v/>
      </c>
      <c r="B3" s="10">
        <f>IFERROR(IF(AND(IFERROR(INDEX(ERP資料!$A:$A, (MATCH(2, 輔助計算!$G$2:$G$801, 0)+1)), "")&lt;&gt;"", IFERROR(INDEX(ERP資料!$A:$A, (MATCH(2, 輔助計算!$G$2:$G$801, 0)+1)), "")&lt;&gt;IFERROR(INDEX(ERP資料!$A:$A, MATCH(1, 輔助計算!$G$2:$G$801, 0)+1), "")), INDEX(ERP資料!$S:$S, (MATCH(2, 輔助計算!$G$2:$G$801, 0)+1)), ""), "")</f>
        <v/>
      </c>
      <c r="C3" s="19">
        <f>IFERROR(IF(AND(IFERROR(INDEX(ERP資料!$A:$A, (MATCH(2, 輔助計算!$G$2:$G$801, 0)+1)), "")&lt;&gt;"", IFERROR(INDEX(ERP資料!$A:$A, (MATCH(2, 輔助計算!$G$2:$G$801, 0)+1)), "")&lt;&gt;IFERROR(INDEX(ERP資料!$A:$A, MATCH(1, 輔助計算!$G$2:$G$801, 0)+1), "")), IFERROR(VLOOKUP(LEFT(INDEX(ERP資料!$S:$S, (MATCH(2, 輔助計算!$G$2:$G$801, 0)+1)), 4), 紙管對照表!$A:$C, 3, FALSE), ""), ""), "")</f>
        <v/>
      </c>
      <c r="D3" s="16" t="n"/>
      <c r="E3" s="10">
        <f>IFERROR(IF(INDEX(ERP資料!$H:$H, (MATCH(2, 輔助計算!$G$2:$G$801, 0)+1))="","",INDEX(ERP資料!$H:$H, (MATCH(2, 輔助計算!$G$2:$G$801, 0)+1))), "")</f>
        <v/>
      </c>
      <c r="F3" s="10">
        <f>IFERROR(IF(INDEX(ERP資料!$E:$E, (MATCH(2, 輔助計算!$G$2:$G$801, 0)+1))="","",TRIM(INDEX(ERP資料!$E:$E, (MATCH(2, 輔助計算!$G$2:$G$801, 0)+1)))), "")</f>
        <v/>
      </c>
      <c r="G3" s="10">
        <f>IFERROR(IF(INDEX(ERP資料!$F:$F, (MATCH(2, 輔助計算!$G$2:$G$801, 0)+1))="","",INDEX(ERP資料!$F:$F, (MATCH(2, 輔助計算!$G$2:$G$801, 0)+1))), "")</f>
        <v/>
      </c>
      <c r="H3" s="10">
        <f>IFERROR(IF(INDEX(ERP資料!$G:$G, (MATCH(2, 輔助計算!$G$2:$G$801, 0)+1))="","",INDEX(ERP資料!$G:$G, (MATCH(2, 輔助計算!$G$2:$G$801, 0)+1))), "")</f>
        <v/>
      </c>
      <c r="I3" s="15">
        <f>IFERROR(INDEX(輔助計算!$D:$D, (MATCH(2, 輔助計算!$G$2:$G$801, 0)+1)), "")</f>
        <v/>
      </c>
      <c r="J3" s="15">
        <f>IFERROR(IF(AND(INDEX(輔助計算!$D:$D, (MATCH(2, 輔助計算!$G$2:$G$801, 0)+1))&lt;&gt;"", INDEX(ERP資料!$G:$G, (MATCH(2, 輔助計算!$G$2:$G$801, 0)+1))&lt;&gt;""), TRIM(IF(INT(INDEX(輔助計算!$D:$D, (MATCH(2, 輔助計算!$G$2:$G$801, 0)+1))/IF(INDEX(ERP資料!$G:$G, (MATCH(2, 輔助計算!$G$2:$G$801, 0)+1))&lt;100, IF(INDEX(ERP資料!$G:$G, (MATCH(2, 輔助計算!$G$2:$G$801, 0)+1))&lt;=31,3,IF(INDEX(ERP資料!$G:$G, (MATCH(2, 輔助計算!$G$2:$G$801, 0)+1))&lt;=46.5,2,1)), IF(INDEX(ERP資料!$G:$G, (MATCH(2, 輔助計算!$G$2:$G$801, 0)+1))&lt;=790,3,IF(INDEX(ERP資料!$G:$G, (MATCH(2, 輔助計算!$G$2:$G$801, 0)+1))&lt;=1181,2,1))))&gt;0, IF(IF(INDEX(ERP資料!$G:$G, (MATCH(2, 輔助計算!$G$2:$G$801, 0)+1))&lt;100, IF(INDEX(ERP資料!$G:$G, (MATCH(2, 輔助計算!$G$2:$G$801, 0)+1))&lt;=31,3,IF(INDEX(ERP資料!$G:$G, (MATCH(2, 輔助計算!$G$2:$G$801, 0)+1))&lt;=46.5,2,1)), IF(INDEX(ERP資料!$G:$G, (MATCH(2, 輔助計算!$G$2:$G$801, 0)+1))&lt;=790,3,IF(INDEX(ERP資料!$G:$G, (MATCH(2, 輔助計算!$G$2:$G$801, 0)+1))&lt;=1181,2,1)))=1,TEXT(INDEX(ERP資料!$G:$G, (MATCH(2, 輔助計算!$G$2:$G$801, 0)+1)),"0.##"),IF(IF(INDEX(ERP資料!$G:$G, (MATCH(2, 輔助計算!$G$2:$G$801, 0)+1))&lt;100, IF(INDEX(ERP資料!$G:$G, (MATCH(2, 輔助計算!$G$2:$G$801, 0)+1))&lt;=31,3,IF(INDEX(ERP資料!$G:$G, (MATCH(2, 輔助計算!$G$2:$G$801, 0)+1))&lt;=46.5,2,1)), IF(INDEX(ERP資料!$G:$G, (MATCH(2, 輔助計算!$G$2:$G$801, 0)+1))&lt;=790,3,IF(INDEX(ERP資料!$G:$G, (MATCH(2, 輔助計算!$G$2:$G$801, 0)+1))&lt;=1181,2,1)))=2,TEXT(INDEX(ERP資料!$G:$G, (MATCH(2, 輔助計算!$G$2:$G$801, 0)+1)),"0.##")&amp;"+"&amp;TEXT(INDEX(ERP資料!$G:$G, (MATCH(2, 輔助計算!$G$2:$G$801, 0)+1)),"0.##"),TEXT(INDEX(ERP資料!$G:$G, (MATCH(2, 輔助計算!$G$2:$G$801, 0)+1)),"0.##")&amp;"+"&amp;TEXT(INDEX(ERP資料!$G:$G, (MATCH(2, 輔助計算!$G$2:$G$801, 0)+1)),"0.##")&amp;"+"&amp;TEXT(INDEX(ERP資料!$G:$G, (MATCH(2, 輔助計算!$G$2:$G$801, 0)+1)),"0.##")))&amp;"-"&amp;INT(INDEX(輔助計算!$D:$D, (MATCH(2, 輔助計算!$G$2:$G$801, 0)+1))/IF(INDEX(ERP資料!$G:$G, (MATCH(2, 輔助計算!$G$2:$G$801, 0)+1))&lt;100, IF(INDEX(ERP資料!$G:$G, (MATCH(2, 輔助計算!$G$2:$G$801, 0)+1))&lt;=31,3,IF(INDEX(ERP資料!$G:$G, (MATCH(2, 輔助計算!$G$2:$G$801, 0)+1))&lt;=46.5,2,1)), IF(INDEX(ERP資料!$G:$G, (MATCH(2, 輔助計算!$G$2:$G$801, 0)+1))&lt;=790,3,IF(INDEX(ERP資料!$G:$G, (MATCH(2, 輔助計算!$G$2:$G$801, 0)+1))&lt;=1181,2,1)))), "")&amp;IF(AND(IF(INT(INDEX(輔助計算!$D:$D, (MATCH(2, 輔助計算!$G$2:$G$801, 0)+1))/IF(INDEX(ERP資料!$G:$G, (MATCH(2, 輔助計算!$G$2:$G$801, 0)+1))&lt;100, IF(INDEX(ERP資料!$G:$G, (MATCH(2, 輔助計算!$G$2:$G$801, 0)+1))&lt;=31,3,IF(INDEX(ERP資料!$G:$G, (MATCH(2, 輔助計算!$G$2:$G$801, 0)+1))&lt;=46.5,2,1)), IF(INDEX(ERP資料!$G:$G, (MATCH(2, 輔助計算!$G$2:$G$801, 0)+1))&lt;=790,3,IF(INDEX(ERP資料!$G:$G, (MATCH(2, 輔助計算!$G$2:$G$801, 0)+1))&lt;=1181,2,1))))&gt;0, IF(IF(INDEX(ERP資料!$G:$G, (MATCH(2, 輔助計算!$G$2:$G$801, 0)+1))&lt;100, IF(INDEX(ERP資料!$G:$G, (MATCH(2, 輔助計算!$G$2:$G$801, 0)+1))&lt;=31,3,IF(INDEX(ERP資料!$G:$G, (MATCH(2, 輔助計算!$G$2:$G$801, 0)+1))&lt;=46.5,2,1)), IF(INDEX(ERP資料!$G:$G, (MATCH(2, 輔助計算!$G$2:$G$801, 0)+1))&lt;=790,3,IF(INDEX(ERP資料!$G:$G, (MATCH(2, 輔助計算!$G$2:$G$801, 0)+1))&lt;=1181,2,1)))=1,TEXT(INDEX(ERP資料!$G:$G, (MATCH(2, 輔助計算!$G$2:$G$801, 0)+1)),"0.##"),IF(IF(INDEX(ERP資料!$G:$G, (MATCH(2, 輔助計算!$G$2:$G$801, 0)+1))&lt;100, IF(INDEX(ERP資料!$G:$G, (MATCH(2, 輔助計算!$G$2:$G$801, 0)+1))&lt;=31,3,IF(INDEX(ERP資料!$G:$G, (MATCH(2, 輔助計算!$G$2:$G$801, 0)+1))&lt;=46.5,2,1)), IF(INDEX(ERP資料!$G:$G, (MATCH(2, 輔助計算!$G$2:$G$801, 0)+1))&lt;=790,3,IF(INDEX(ERP資料!$G:$G, (MATCH(2, 輔助計算!$G$2:$G$801, 0)+1))&lt;=1181,2,1)))=2,TEXT(INDEX(ERP資料!$G:$G, (MATCH(2, 輔助計算!$G$2:$G$801, 0)+1)),"0.##")&amp;"+"&amp;TEXT(INDEX(ERP資料!$G:$G, (MATCH(2, 輔助計算!$G$2:$G$801, 0)+1)),"0.##"),TEXT(INDEX(ERP資料!$G:$G, (MATCH(2, 輔助計算!$G$2:$G$801, 0)+1)),"0.##")&amp;"+"&amp;TEXT(INDEX(ERP資料!$G:$G, (MATCH(2, 輔助計算!$G$2:$G$801, 0)+1)),"0.##")&amp;"+"&amp;TEXT(INDEX(ERP資料!$G:$G, (MATCH(2, 輔助計算!$G$2:$G$801, 0)+1)),"0.##")))&amp;"-"&amp;INT(INDEX(輔助計算!$D:$D, (MATCH(2, 輔助計算!$G$2:$G$801, 0)+1))/IF(INDEX(ERP資料!$G:$G, (MATCH(2, 輔助計算!$G$2:$G$801, 0)+1))&lt;100, IF(INDEX(ERP資料!$G:$G, (MATCH(2, 輔助計算!$G$2:$G$801, 0)+1))&lt;=31,3,IF(INDEX(ERP資料!$G:$G, (MATCH(2, 輔助計算!$G$2:$G$801, 0)+1))&lt;=46.5,2,1)), IF(INDEX(ERP資料!$G:$G, (MATCH(2, 輔助計算!$G$2:$G$801, 0)+1))&lt;=790,3,IF(INDEX(ERP資料!$G:$G, (MATCH(2, 輔助計算!$G$2:$G$801, 0)+1))&lt;=1181,2,1)))), "")&lt;&gt;"",IF(MOD(INDEX(輔助計算!$D:$D, (MATCH(2, 輔助計算!$G$2:$G$801, 0)+1)),IF(INDEX(ERP資料!$G:$G, (MATCH(2, 輔助計算!$G$2:$G$801, 0)+1))&lt;100, IF(INDEX(ERP資料!$G:$G, (MATCH(2, 輔助計算!$G$2:$G$801, 0)+1))&lt;=31,3,IF(INDEX(ERP資料!$G:$G, (MATCH(2, 輔助計算!$G$2:$G$801, 0)+1))&lt;=46.5,2,1)), IF(INDEX(ERP資料!$G:$G, (MATCH(2, 輔助計算!$G$2:$G$801, 0)+1))&lt;=790,3,IF(INDEX(ERP資料!$G:$G, (MATCH(2, 輔助計算!$G$2:$G$801, 0)+1))&lt;=1181,2,1))))=0,"",IF(MOD(INDEX(輔助計算!$D:$D, (MATCH(2, 輔助計算!$G$2:$G$801, 0)+1)),IF(INDEX(ERP資料!$G:$G, (MATCH(2, 輔助計算!$G$2:$G$801, 0)+1))&lt;100, IF(INDEX(ERP資料!$G:$G, (MATCH(2, 輔助計算!$G$2:$G$801, 0)+1))&lt;=31,3,IF(INDEX(ERP資料!$G:$G, (MATCH(2, 輔助計算!$G$2:$G$801, 0)+1))&lt;=46.5,2,1)), IF(INDEX(ERP資料!$G:$G, (MATCH(2, 輔助計算!$G$2:$G$801, 0)+1))&lt;=790,3,IF(INDEX(ERP資料!$G:$G, (MATCH(2, 輔助計算!$G$2:$G$801, 0)+1))&lt;=1181,2,1))))=0,"",IF(MOD(INDEX(輔助計算!$D:$D, (MATCH(2, 輔助計算!$G$2:$G$801, 0)+1)),IF(INDEX(ERP資料!$G:$G, (MATCH(2, 輔助計算!$G$2:$G$801, 0)+1))&lt;100, IF(INDEX(ERP資料!$G:$G, (MATCH(2, 輔助計算!$G$2:$G$801, 0)+1))&lt;=31,3,IF(INDEX(ERP資料!$G:$G, (MATCH(2, 輔助計算!$G$2:$G$801, 0)+1))&lt;=46.5,2,1)), IF(INDEX(ERP資料!$G:$G, (MATCH(2, 輔助計算!$G$2:$G$801, 0)+1))&lt;=790,3,IF(INDEX(ERP資料!$G:$G, (MATCH(2, 輔助計算!$G$2:$G$801, 0)+1))&lt;=1181,2,1))))=1,TEXT(INDEX(ERP資料!$G:$G, (MATCH(2, 輔助計算!$G$2:$G$801, 0)+1)),"0.##"),IF(MOD(INDEX(輔助計算!$D:$D, (MATCH(2, 輔助計算!$G$2:$G$801, 0)+1)),IF(INDEX(ERP資料!$G:$G, (MATCH(2, 輔助計算!$G$2:$G$801, 0)+1))&lt;100, IF(INDEX(ERP資料!$G:$G, (MATCH(2, 輔助計算!$G$2:$G$801, 0)+1))&lt;=31,3,IF(INDEX(ERP資料!$G:$G, (MATCH(2, 輔助計算!$G$2:$G$801, 0)+1))&lt;=46.5,2,1)), IF(INDEX(ERP資料!$G:$G, (MATCH(2, 輔助計算!$G$2:$G$801, 0)+1))&lt;=790,3,IF(INDEX(ERP資料!$G:$G, (MATCH(2, 輔助計算!$G$2:$G$801, 0)+1))&lt;=1181,2,1))))=2,TEXT(INDEX(ERP資料!$G:$G, (MATCH(2, 輔助計算!$G$2:$G$801, 0)+1)),"0.##")&amp;"+"&amp;TEXT(INDEX(ERP資料!$G:$G, (MATCH(2, 輔助計算!$G$2:$G$801, 0)+1)),"0.##"),TEXT(INDEX(ERP資料!$G:$G, (MATCH(2, 輔助計算!$G$2:$G$801, 0)+1)),"0.##")&amp;"+"&amp;TEXT(INDEX(ERP資料!$G:$G, (MATCH(2, 輔助計算!$G$2:$G$801, 0)+1)),"0.##")&amp;"+"&amp;TEXT(INDEX(ERP資料!$G:$G, (MATCH(2, 輔助計算!$G$2:$G$801, 0)+1)),"0.##"))))&amp;"-1")&lt;&gt;""),"  ","")&amp;IF(MOD(INDEX(輔助計算!$D:$D, (MATCH(2, 輔助計算!$G$2:$G$801, 0)+1)),IF(INDEX(ERP資料!$G:$G, (MATCH(2, 輔助計算!$G$2:$G$801, 0)+1))&lt;100, IF(INDEX(ERP資料!$G:$G, (MATCH(2, 輔助計算!$G$2:$G$801, 0)+1))&lt;=31,3,IF(INDEX(ERP資料!$G:$G, (MATCH(2, 輔助計算!$G$2:$G$801, 0)+1))&lt;=46.5,2,1)), IF(INDEX(ERP資料!$G:$G, (MATCH(2, 輔助計算!$G$2:$G$801, 0)+1))&lt;=790,3,IF(INDEX(ERP資料!$G:$G, (MATCH(2, 輔助計算!$G$2:$G$801, 0)+1))&lt;=1181,2,1))))=0,"",IF(MOD(INDEX(輔助計算!$D:$D, (MATCH(2, 輔助計算!$G$2:$G$801, 0)+1)),IF(INDEX(ERP資料!$G:$G, (MATCH(2, 輔助計算!$G$2:$G$801, 0)+1))&lt;100, IF(INDEX(ERP資料!$G:$G, (MATCH(2, 輔助計算!$G$2:$G$801, 0)+1))&lt;=31,3,IF(INDEX(ERP資料!$G:$G, (MATCH(2, 輔助計算!$G$2:$G$801, 0)+1))&lt;=46.5,2,1)), IF(INDEX(ERP資料!$G:$G, (MATCH(2, 輔助計算!$G$2:$G$801, 0)+1))&lt;=790,3,IF(INDEX(ERP資料!$G:$G, (MATCH(2, 輔助計算!$G$2:$G$801, 0)+1))&lt;=1181,2,1))))=0,"",IF(MOD(INDEX(輔助計算!$D:$D, (MATCH(2, 輔助計算!$G$2:$G$801, 0)+1)),IF(INDEX(ERP資料!$G:$G, (MATCH(2, 輔助計算!$G$2:$G$801, 0)+1))&lt;100, IF(INDEX(ERP資料!$G:$G, (MATCH(2, 輔助計算!$G$2:$G$801, 0)+1))&lt;=31,3,IF(INDEX(ERP資料!$G:$G, (MATCH(2, 輔助計算!$G$2:$G$801, 0)+1))&lt;=46.5,2,1)), IF(INDEX(ERP資料!$G:$G, (MATCH(2, 輔助計算!$G$2:$G$801, 0)+1))&lt;=790,3,IF(INDEX(ERP資料!$G:$G, (MATCH(2, 輔助計算!$G$2:$G$801, 0)+1))&lt;=1181,2,1))))=1,TEXT(INDEX(ERP資料!$G:$G, (MATCH(2, 輔助計算!$G$2:$G$801, 0)+1)),"0.##"),IF(MOD(INDEX(輔助計算!$D:$D, (MATCH(2, 輔助計算!$G$2:$G$801, 0)+1)),IF(INDEX(ERP資料!$G:$G, (MATCH(2, 輔助計算!$G$2:$G$801, 0)+1))&lt;100, IF(INDEX(ERP資料!$G:$G, (MATCH(2, 輔助計算!$G$2:$G$801, 0)+1))&lt;=31,3,IF(INDEX(ERP資料!$G:$G, (MATCH(2, 輔助計算!$G$2:$G$801, 0)+1))&lt;=46.5,2,1)), IF(INDEX(ERP資料!$G:$G, (MATCH(2, 輔助計算!$G$2:$G$801, 0)+1))&lt;=790,3,IF(INDEX(ERP資料!$G:$G, (MATCH(2, 輔助計算!$G$2:$G$801, 0)+1))&lt;=1181,2,1))))=2,TEXT(INDEX(ERP資料!$G:$G, (MATCH(2, 輔助計算!$G$2:$G$801, 0)+1)),"0.##")&amp;"+"&amp;TEXT(INDEX(ERP資料!$G:$G, (MATCH(2, 輔助計算!$G$2:$G$801, 0)+1)),"0.##"),TEXT(INDEX(ERP資料!$G:$G, (MATCH(2, 輔助計算!$G$2:$G$801, 0)+1)),"0.##")&amp;"+"&amp;TEXT(INDEX(ERP資料!$G:$G, (MATCH(2, 輔助計算!$G$2:$G$801, 0)+1)),"0.##")&amp;"+"&amp;TEXT(INDEX(ERP資料!$G:$G, (MATCH(2, 輔助計算!$G$2:$G$801, 0)+1)),"0.##"))))&amp;"-1")), ""), "")</f>
        <v/>
      </c>
      <c r="K3" s="16" t="n"/>
      <c r="L3" s="14">
        <f>IFERROR(IF(AND(IFERROR(INDEX(ERP資料!$A:$A, (MATCH(2, 輔助計算!$G$2:$G$801, 0)+1)), "")&lt;&gt;"", IFERROR(INDEX(ERP資料!$A:$A, (MATCH(2, 輔助計算!$G$2:$G$801, 0)+1)), "")&lt;&gt;IFERROR(INDEX(ERP資料!$A:$A, MATCH(1, 輔助計算!$G$2:$G$801, 0)+1), "")), INDEX(ERP資料!$B:$B, (MATCH(2, 輔助計算!$G$2:$G$801, 0)+1)), ""), "")</f>
        <v/>
      </c>
      <c r="M3" s="17" t="n"/>
    </row>
    <row r="4">
      <c r="A4" s="10">
        <f>IFERROR(IF(AND(IFERROR(INDEX(ERP資料!$A:$A, (MATCH(3, 輔助計算!$G$2:$G$801, 0)+1)), "")&lt;&gt;"", IFERROR(INDEX(ERP資料!$A:$A, (MATCH(3, 輔助計算!$G$2:$G$801, 0)+1)), "")&lt;&gt;IFERROR(INDEX(ERP資料!$A:$A, MATCH(2, 輔助計算!$G$2:$G$801, 0)+1), "")), IFERROR(INDEX(ERP資料!$A:$A, (MATCH(3, 輔助計算!$G$2:$G$801, 0)+1)), ""), ""), "")</f>
        <v/>
      </c>
      <c r="B4" s="10">
        <f>IFERROR(IF(AND(IFERROR(INDEX(ERP資料!$A:$A, (MATCH(3, 輔助計算!$G$2:$G$801, 0)+1)), "")&lt;&gt;"", IFERROR(INDEX(ERP資料!$A:$A, (MATCH(3, 輔助計算!$G$2:$G$801, 0)+1)), "")&lt;&gt;IFERROR(INDEX(ERP資料!$A:$A, MATCH(2, 輔助計算!$G$2:$G$801, 0)+1), "")), INDEX(ERP資料!$S:$S, (MATCH(3, 輔助計算!$G$2:$G$801, 0)+1)), ""), "")</f>
        <v/>
      </c>
      <c r="C4" s="19">
        <f>IFERROR(IF(AND(IFERROR(INDEX(ERP資料!$A:$A, (MATCH(3, 輔助計算!$G$2:$G$801, 0)+1)), "")&lt;&gt;"", IFERROR(INDEX(ERP資料!$A:$A, (MATCH(3, 輔助計算!$G$2:$G$801, 0)+1)), "")&lt;&gt;IFERROR(INDEX(ERP資料!$A:$A, MATCH(2, 輔助計算!$G$2:$G$801, 0)+1), "")), IFERROR(VLOOKUP(LEFT(INDEX(ERP資料!$S:$S, (MATCH(3, 輔助計算!$G$2:$G$801, 0)+1)), 4), 紙管對照表!$A:$C, 3, FALSE), ""), ""), "")</f>
        <v/>
      </c>
      <c r="D4" s="16" t="n"/>
      <c r="E4" s="10">
        <f>IFERROR(IF(INDEX(ERP資料!$H:$H, (MATCH(3, 輔助計算!$G$2:$G$801, 0)+1))="","",INDEX(ERP資料!$H:$H, (MATCH(3, 輔助計算!$G$2:$G$801, 0)+1))), "")</f>
        <v/>
      </c>
      <c r="F4" s="10">
        <f>IFERROR(IF(INDEX(ERP資料!$E:$E, (MATCH(3, 輔助計算!$G$2:$G$801, 0)+1))="","",TRIM(INDEX(ERP資料!$E:$E, (MATCH(3, 輔助計算!$G$2:$G$801, 0)+1)))), "")</f>
        <v/>
      </c>
      <c r="G4" s="10">
        <f>IFERROR(IF(INDEX(ERP資料!$F:$F, (MATCH(3, 輔助計算!$G$2:$G$801, 0)+1))="","",INDEX(ERP資料!$F:$F, (MATCH(3, 輔助計算!$G$2:$G$801, 0)+1))), "")</f>
        <v/>
      </c>
      <c r="H4" s="10">
        <f>IFERROR(IF(INDEX(ERP資料!$G:$G, (MATCH(3, 輔助計算!$G$2:$G$801, 0)+1))="","",INDEX(ERP資料!$G:$G, (MATCH(3, 輔助計算!$G$2:$G$801, 0)+1))), "")</f>
        <v/>
      </c>
      <c r="I4" s="15">
        <f>IFERROR(INDEX(輔助計算!$D:$D, (MATCH(3, 輔助計算!$G$2:$G$801, 0)+1)), "")</f>
        <v/>
      </c>
      <c r="J4" s="15">
        <f>IFERROR(IF(AND(INDEX(輔助計算!$D:$D, (MATCH(3, 輔助計算!$G$2:$G$801, 0)+1))&lt;&gt;"", INDEX(ERP資料!$G:$G, (MATCH(3, 輔助計算!$G$2:$G$801, 0)+1))&lt;&gt;""), TRIM(IF(INT(INDEX(輔助計算!$D:$D, (MATCH(3, 輔助計算!$G$2:$G$801, 0)+1))/IF(INDEX(ERP資料!$G:$G, (MATCH(3, 輔助計算!$G$2:$G$801, 0)+1))&lt;100, IF(INDEX(ERP資料!$G:$G, (MATCH(3, 輔助計算!$G$2:$G$801, 0)+1))&lt;=31,3,IF(INDEX(ERP資料!$G:$G, (MATCH(3, 輔助計算!$G$2:$G$801, 0)+1))&lt;=46.5,2,1)), IF(INDEX(ERP資料!$G:$G, (MATCH(3, 輔助計算!$G$2:$G$801, 0)+1))&lt;=790,3,IF(INDEX(ERP資料!$G:$G, (MATCH(3, 輔助計算!$G$2:$G$801, 0)+1))&lt;=1181,2,1))))&gt;0, IF(IF(INDEX(ERP資料!$G:$G, (MATCH(3, 輔助計算!$G$2:$G$801, 0)+1))&lt;100, IF(INDEX(ERP資料!$G:$G, (MATCH(3, 輔助計算!$G$2:$G$801, 0)+1))&lt;=31,3,IF(INDEX(ERP資料!$G:$G, (MATCH(3, 輔助計算!$G$2:$G$801, 0)+1))&lt;=46.5,2,1)), IF(INDEX(ERP資料!$G:$G, (MATCH(3, 輔助計算!$G$2:$G$801, 0)+1))&lt;=790,3,IF(INDEX(ERP資料!$G:$G, (MATCH(3, 輔助計算!$G$2:$G$801, 0)+1))&lt;=1181,2,1)))=1,TEXT(INDEX(ERP資料!$G:$G, (MATCH(3, 輔助計算!$G$2:$G$801, 0)+1)),"0.##"),IF(IF(INDEX(ERP資料!$G:$G, (MATCH(3, 輔助計算!$G$2:$G$801, 0)+1))&lt;100, IF(INDEX(ERP資料!$G:$G, (MATCH(3, 輔助計算!$G$2:$G$801, 0)+1))&lt;=31,3,IF(INDEX(ERP資料!$G:$G, (MATCH(3, 輔助計算!$G$2:$G$801, 0)+1))&lt;=46.5,2,1)), IF(INDEX(ERP資料!$G:$G, (MATCH(3, 輔助計算!$G$2:$G$801, 0)+1))&lt;=790,3,IF(INDEX(ERP資料!$G:$G, (MATCH(3, 輔助計算!$G$2:$G$801, 0)+1))&lt;=1181,2,1)))=2,TEXT(INDEX(ERP資料!$G:$G, (MATCH(3, 輔助計算!$G$2:$G$801, 0)+1)),"0.##")&amp;"+"&amp;TEXT(INDEX(ERP資料!$G:$G, (MATCH(3, 輔助計算!$G$2:$G$801, 0)+1)),"0.##"),TEXT(INDEX(ERP資料!$G:$G, (MATCH(3, 輔助計算!$G$2:$G$801, 0)+1)),"0.##")&amp;"+"&amp;TEXT(INDEX(ERP資料!$G:$G, (MATCH(3, 輔助計算!$G$2:$G$801, 0)+1)),"0.##")&amp;"+"&amp;TEXT(INDEX(ERP資料!$G:$G, (MATCH(3, 輔助計算!$G$2:$G$801, 0)+1)),"0.##")))&amp;"-"&amp;INT(INDEX(輔助計算!$D:$D, (MATCH(3, 輔助計算!$G$2:$G$801, 0)+1))/IF(INDEX(ERP資料!$G:$G, (MATCH(3, 輔助計算!$G$2:$G$801, 0)+1))&lt;100, IF(INDEX(ERP資料!$G:$G, (MATCH(3, 輔助計算!$G$2:$G$801, 0)+1))&lt;=31,3,IF(INDEX(ERP資料!$G:$G, (MATCH(3, 輔助計算!$G$2:$G$801, 0)+1))&lt;=46.5,2,1)), IF(INDEX(ERP資料!$G:$G, (MATCH(3, 輔助計算!$G$2:$G$801, 0)+1))&lt;=790,3,IF(INDEX(ERP資料!$G:$G, (MATCH(3, 輔助計算!$G$2:$G$801, 0)+1))&lt;=1181,2,1)))), "")&amp;IF(AND(IF(INT(INDEX(輔助計算!$D:$D, (MATCH(3, 輔助計算!$G$2:$G$801, 0)+1))/IF(INDEX(ERP資料!$G:$G, (MATCH(3, 輔助計算!$G$2:$G$801, 0)+1))&lt;100, IF(INDEX(ERP資料!$G:$G, (MATCH(3, 輔助計算!$G$2:$G$801, 0)+1))&lt;=31,3,IF(INDEX(ERP資料!$G:$G, (MATCH(3, 輔助計算!$G$2:$G$801, 0)+1))&lt;=46.5,2,1)), IF(INDEX(ERP資料!$G:$G, (MATCH(3, 輔助計算!$G$2:$G$801, 0)+1))&lt;=790,3,IF(INDEX(ERP資料!$G:$G, (MATCH(3, 輔助計算!$G$2:$G$801, 0)+1))&lt;=1181,2,1))))&gt;0, IF(IF(INDEX(ERP資料!$G:$G, (MATCH(3, 輔助計算!$G$2:$G$801, 0)+1))&lt;100, IF(INDEX(ERP資料!$G:$G, (MATCH(3, 輔助計算!$G$2:$G$801, 0)+1))&lt;=31,3,IF(INDEX(ERP資料!$G:$G, (MATCH(3, 輔助計算!$G$2:$G$801, 0)+1))&lt;=46.5,2,1)), IF(INDEX(ERP資料!$G:$G, (MATCH(3, 輔助計算!$G$2:$G$801, 0)+1))&lt;=790,3,IF(INDEX(ERP資料!$G:$G, (MATCH(3, 輔助計算!$G$2:$G$801, 0)+1))&lt;=1181,2,1)))=1,TEXT(INDEX(ERP資料!$G:$G, (MATCH(3, 輔助計算!$G$2:$G$801, 0)+1)),"0.##"),IF(IF(INDEX(ERP資料!$G:$G, (MATCH(3, 輔助計算!$G$2:$G$801, 0)+1))&lt;100, IF(INDEX(ERP資料!$G:$G, (MATCH(3, 輔助計算!$G$2:$G$801, 0)+1))&lt;=31,3,IF(INDEX(ERP資料!$G:$G, (MATCH(3, 輔助計算!$G$2:$G$801, 0)+1))&lt;=46.5,2,1)), IF(INDEX(ERP資料!$G:$G, (MATCH(3, 輔助計算!$G$2:$G$801, 0)+1))&lt;=790,3,IF(INDEX(ERP資料!$G:$G, (MATCH(3, 輔助計算!$G$2:$G$801, 0)+1))&lt;=1181,2,1)))=2,TEXT(INDEX(ERP資料!$G:$G, (MATCH(3, 輔助計算!$G$2:$G$801, 0)+1)),"0.##")&amp;"+"&amp;TEXT(INDEX(ERP資料!$G:$G, (MATCH(3, 輔助計算!$G$2:$G$801, 0)+1)),"0.##"),TEXT(INDEX(ERP資料!$G:$G, (MATCH(3, 輔助計算!$G$2:$G$801, 0)+1)),"0.##")&amp;"+"&amp;TEXT(INDEX(ERP資料!$G:$G, (MATCH(3, 輔助計算!$G$2:$G$801, 0)+1)),"0.##")&amp;"+"&amp;TEXT(INDEX(ERP資料!$G:$G, (MATCH(3, 輔助計算!$G$2:$G$801, 0)+1)),"0.##")))&amp;"-"&amp;INT(INDEX(輔助計算!$D:$D, (MATCH(3, 輔助計算!$G$2:$G$801, 0)+1))/IF(INDEX(ERP資料!$G:$G, (MATCH(3, 輔助計算!$G$2:$G$801, 0)+1))&lt;100, IF(INDEX(ERP資料!$G:$G, (MATCH(3, 輔助計算!$G$2:$G$801, 0)+1))&lt;=31,3,IF(INDEX(ERP資料!$G:$G, (MATCH(3, 輔助計算!$G$2:$G$801, 0)+1))&lt;=46.5,2,1)), IF(INDEX(ERP資料!$G:$G, (MATCH(3, 輔助計算!$G$2:$G$801, 0)+1))&lt;=790,3,IF(INDEX(ERP資料!$G:$G, (MATCH(3, 輔助計算!$G$2:$G$801, 0)+1))&lt;=1181,2,1)))), "")&lt;&gt;"",IF(MOD(INDEX(輔助計算!$D:$D, (MATCH(3, 輔助計算!$G$2:$G$801, 0)+1)),IF(INDEX(ERP資料!$G:$G, (MATCH(3, 輔助計算!$G$2:$G$801, 0)+1))&lt;100, IF(INDEX(ERP資料!$G:$G, (MATCH(3, 輔助計算!$G$2:$G$801, 0)+1))&lt;=31,3,IF(INDEX(ERP資料!$G:$G, (MATCH(3, 輔助計算!$G$2:$G$801, 0)+1))&lt;=46.5,2,1)), IF(INDEX(ERP資料!$G:$G, (MATCH(3, 輔助計算!$G$2:$G$801, 0)+1))&lt;=790,3,IF(INDEX(ERP資料!$G:$G, (MATCH(3, 輔助計算!$G$2:$G$801, 0)+1))&lt;=1181,2,1))))=0,"",IF(MOD(INDEX(輔助計算!$D:$D, (MATCH(3, 輔助計算!$G$2:$G$801, 0)+1)),IF(INDEX(ERP資料!$G:$G, (MATCH(3, 輔助計算!$G$2:$G$801, 0)+1))&lt;100, IF(INDEX(ERP資料!$G:$G, (MATCH(3, 輔助計算!$G$2:$G$801, 0)+1))&lt;=31,3,IF(INDEX(ERP資料!$G:$G, (MATCH(3, 輔助計算!$G$2:$G$801, 0)+1))&lt;=46.5,2,1)), IF(INDEX(ERP資料!$G:$G, (MATCH(3, 輔助計算!$G$2:$G$801, 0)+1))&lt;=790,3,IF(INDEX(ERP資料!$G:$G, (MATCH(3, 輔助計算!$G$2:$G$801, 0)+1))&lt;=1181,2,1))))=0,"",IF(MOD(INDEX(輔助計算!$D:$D, (MATCH(3, 輔助計算!$G$2:$G$801, 0)+1)),IF(INDEX(ERP資料!$G:$G, (MATCH(3, 輔助計算!$G$2:$G$801, 0)+1))&lt;100, IF(INDEX(ERP資料!$G:$G, (MATCH(3, 輔助計算!$G$2:$G$801, 0)+1))&lt;=31,3,IF(INDEX(ERP資料!$G:$G, (MATCH(3, 輔助計算!$G$2:$G$801, 0)+1))&lt;=46.5,2,1)), IF(INDEX(ERP資料!$G:$G, (MATCH(3, 輔助計算!$G$2:$G$801, 0)+1))&lt;=790,3,IF(INDEX(ERP資料!$G:$G, (MATCH(3, 輔助計算!$G$2:$G$801, 0)+1))&lt;=1181,2,1))))=1,TEXT(INDEX(ERP資料!$G:$G, (MATCH(3, 輔助計算!$G$2:$G$801, 0)+1)),"0.##"),IF(MOD(INDEX(輔助計算!$D:$D, (MATCH(3, 輔助計算!$G$2:$G$801, 0)+1)),IF(INDEX(ERP資料!$G:$G, (MATCH(3, 輔助計算!$G$2:$G$801, 0)+1))&lt;100, IF(INDEX(ERP資料!$G:$G, (MATCH(3, 輔助計算!$G$2:$G$801, 0)+1))&lt;=31,3,IF(INDEX(ERP資料!$G:$G, (MATCH(3, 輔助計算!$G$2:$G$801, 0)+1))&lt;=46.5,2,1)), IF(INDEX(ERP資料!$G:$G, (MATCH(3, 輔助計算!$G$2:$G$801, 0)+1))&lt;=790,3,IF(INDEX(ERP資料!$G:$G, (MATCH(3, 輔助計算!$G$2:$G$801, 0)+1))&lt;=1181,2,1))))=2,TEXT(INDEX(ERP資料!$G:$G, (MATCH(3, 輔助計算!$G$2:$G$801, 0)+1)),"0.##")&amp;"+"&amp;TEXT(INDEX(ERP資料!$G:$G, (MATCH(3, 輔助計算!$G$2:$G$801, 0)+1)),"0.##"),TEXT(INDEX(ERP資料!$G:$G, (MATCH(3, 輔助計算!$G$2:$G$801, 0)+1)),"0.##")&amp;"+"&amp;TEXT(INDEX(ERP資料!$G:$G, (MATCH(3, 輔助計算!$G$2:$G$801, 0)+1)),"0.##")&amp;"+"&amp;TEXT(INDEX(ERP資料!$G:$G, (MATCH(3, 輔助計算!$G$2:$G$801, 0)+1)),"0.##"))))&amp;"-1")&lt;&gt;""),"  ","")&amp;IF(MOD(INDEX(輔助計算!$D:$D, (MATCH(3, 輔助計算!$G$2:$G$801, 0)+1)),IF(INDEX(ERP資料!$G:$G, (MATCH(3, 輔助計算!$G$2:$G$801, 0)+1))&lt;100, IF(INDEX(ERP資料!$G:$G, (MATCH(3, 輔助計算!$G$2:$G$801, 0)+1))&lt;=31,3,IF(INDEX(ERP資料!$G:$G, (MATCH(3, 輔助計算!$G$2:$G$801, 0)+1))&lt;=46.5,2,1)), IF(INDEX(ERP資料!$G:$G, (MATCH(3, 輔助計算!$G$2:$G$801, 0)+1))&lt;=790,3,IF(INDEX(ERP資料!$G:$G, (MATCH(3, 輔助計算!$G$2:$G$801, 0)+1))&lt;=1181,2,1))))=0,"",IF(MOD(INDEX(輔助計算!$D:$D, (MATCH(3, 輔助計算!$G$2:$G$801, 0)+1)),IF(INDEX(ERP資料!$G:$G, (MATCH(3, 輔助計算!$G$2:$G$801, 0)+1))&lt;100, IF(INDEX(ERP資料!$G:$G, (MATCH(3, 輔助計算!$G$2:$G$801, 0)+1))&lt;=31,3,IF(INDEX(ERP資料!$G:$G, (MATCH(3, 輔助計算!$G$2:$G$801, 0)+1))&lt;=46.5,2,1)), IF(INDEX(ERP資料!$G:$G, (MATCH(3, 輔助計算!$G$2:$G$801, 0)+1))&lt;=790,3,IF(INDEX(ERP資料!$G:$G, (MATCH(3, 輔助計算!$G$2:$G$801, 0)+1))&lt;=1181,2,1))))=0,"",IF(MOD(INDEX(輔助計算!$D:$D, (MATCH(3, 輔助計算!$G$2:$G$801, 0)+1)),IF(INDEX(ERP資料!$G:$G, (MATCH(3, 輔助計算!$G$2:$G$801, 0)+1))&lt;100, IF(INDEX(ERP資料!$G:$G, (MATCH(3, 輔助計算!$G$2:$G$801, 0)+1))&lt;=31,3,IF(INDEX(ERP資料!$G:$G, (MATCH(3, 輔助計算!$G$2:$G$801, 0)+1))&lt;=46.5,2,1)), IF(INDEX(ERP資料!$G:$G, (MATCH(3, 輔助計算!$G$2:$G$801, 0)+1))&lt;=790,3,IF(INDEX(ERP資料!$G:$G, (MATCH(3, 輔助計算!$G$2:$G$801, 0)+1))&lt;=1181,2,1))))=1,TEXT(INDEX(ERP資料!$G:$G, (MATCH(3, 輔助計算!$G$2:$G$801, 0)+1)),"0.##"),IF(MOD(INDEX(輔助計算!$D:$D, (MATCH(3, 輔助計算!$G$2:$G$801, 0)+1)),IF(INDEX(ERP資料!$G:$G, (MATCH(3, 輔助計算!$G$2:$G$801, 0)+1))&lt;100, IF(INDEX(ERP資料!$G:$G, (MATCH(3, 輔助計算!$G$2:$G$801, 0)+1))&lt;=31,3,IF(INDEX(ERP資料!$G:$G, (MATCH(3, 輔助計算!$G$2:$G$801, 0)+1))&lt;=46.5,2,1)), IF(INDEX(ERP資料!$G:$G, (MATCH(3, 輔助計算!$G$2:$G$801, 0)+1))&lt;=790,3,IF(INDEX(ERP資料!$G:$G, (MATCH(3, 輔助計算!$G$2:$G$801, 0)+1))&lt;=1181,2,1))))=2,TEXT(INDEX(ERP資料!$G:$G, (MATCH(3, 輔助計算!$G$2:$G$801, 0)+1)),"0.##")&amp;"+"&amp;TEXT(INDEX(ERP資料!$G:$G, (MATCH(3, 輔助計算!$G$2:$G$801, 0)+1)),"0.##"),TEXT(INDEX(ERP資料!$G:$G, (MATCH(3, 輔助計算!$G$2:$G$801, 0)+1)),"0.##")&amp;"+"&amp;TEXT(INDEX(ERP資料!$G:$G, (MATCH(3, 輔助計算!$G$2:$G$801, 0)+1)),"0.##")&amp;"+"&amp;TEXT(INDEX(ERP資料!$G:$G, (MATCH(3, 輔助計算!$G$2:$G$801, 0)+1)),"0.##"))))&amp;"-1")), ""), "")</f>
        <v/>
      </c>
      <c r="K4" s="16" t="n"/>
      <c r="L4" s="14">
        <f>IFERROR(IF(AND(IFERROR(INDEX(ERP資料!$A:$A, (MATCH(3, 輔助計算!$G$2:$G$801, 0)+1)), "")&lt;&gt;"", IFERROR(INDEX(ERP資料!$A:$A, (MATCH(3, 輔助計算!$G$2:$G$801, 0)+1)), "")&lt;&gt;IFERROR(INDEX(ERP資料!$A:$A, MATCH(2, 輔助計算!$G$2:$G$801, 0)+1), "")), INDEX(ERP資料!$B:$B, (MATCH(3, 輔助計算!$G$2:$G$801, 0)+1)), ""), "")</f>
        <v/>
      </c>
      <c r="M4" s="17" t="n"/>
    </row>
    <row r="5">
      <c r="A5" s="10">
        <f>IFERROR(IF(AND(IFERROR(INDEX(ERP資料!$A:$A, (MATCH(4, 輔助計算!$G$2:$G$801, 0)+1)), "")&lt;&gt;"", IFERROR(INDEX(ERP資料!$A:$A, (MATCH(4, 輔助計算!$G$2:$G$801, 0)+1)), "")&lt;&gt;IFERROR(INDEX(ERP資料!$A:$A, MATCH(3, 輔助計算!$G$2:$G$801, 0)+1), "")), IFERROR(INDEX(ERP資料!$A:$A, (MATCH(4, 輔助計算!$G$2:$G$801, 0)+1)), ""), ""), "")</f>
        <v/>
      </c>
      <c r="B5" s="10">
        <f>IFERROR(IF(AND(IFERROR(INDEX(ERP資料!$A:$A, (MATCH(4, 輔助計算!$G$2:$G$801, 0)+1)), "")&lt;&gt;"", IFERROR(INDEX(ERP資料!$A:$A, (MATCH(4, 輔助計算!$G$2:$G$801, 0)+1)), "")&lt;&gt;IFERROR(INDEX(ERP資料!$A:$A, MATCH(3, 輔助計算!$G$2:$G$801, 0)+1), "")), INDEX(ERP資料!$S:$S, (MATCH(4, 輔助計算!$G$2:$G$801, 0)+1)), ""), "")</f>
        <v/>
      </c>
      <c r="C5" s="19">
        <f>IFERROR(IF(AND(IFERROR(INDEX(ERP資料!$A:$A, (MATCH(4, 輔助計算!$G$2:$G$801, 0)+1)), "")&lt;&gt;"", IFERROR(INDEX(ERP資料!$A:$A, (MATCH(4, 輔助計算!$G$2:$G$801, 0)+1)), "")&lt;&gt;IFERROR(INDEX(ERP資料!$A:$A, MATCH(3, 輔助計算!$G$2:$G$801, 0)+1), "")), IFERROR(VLOOKUP(LEFT(INDEX(ERP資料!$S:$S, (MATCH(4, 輔助計算!$G$2:$G$801, 0)+1)), 4), 紙管對照表!$A:$C, 3, FALSE), ""), ""), "")</f>
        <v/>
      </c>
      <c r="D5" s="16" t="n"/>
      <c r="E5" s="10">
        <f>IFERROR(IF(INDEX(ERP資料!$H:$H, (MATCH(4, 輔助計算!$G$2:$G$801, 0)+1))="","",INDEX(ERP資料!$H:$H, (MATCH(4, 輔助計算!$G$2:$G$801, 0)+1))), "")</f>
        <v/>
      </c>
      <c r="F5" s="10">
        <f>IFERROR(IF(INDEX(ERP資料!$E:$E, (MATCH(4, 輔助計算!$G$2:$G$801, 0)+1))="","",TRIM(INDEX(ERP資料!$E:$E, (MATCH(4, 輔助計算!$G$2:$G$801, 0)+1)))), "")</f>
        <v/>
      </c>
      <c r="G5" s="10">
        <f>IFERROR(IF(INDEX(ERP資料!$F:$F, (MATCH(4, 輔助計算!$G$2:$G$801, 0)+1))="","",INDEX(ERP資料!$F:$F, (MATCH(4, 輔助計算!$G$2:$G$801, 0)+1))), "")</f>
        <v/>
      </c>
      <c r="H5" s="10">
        <f>IFERROR(IF(INDEX(ERP資料!$G:$G, (MATCH(4, 輔助計算!$G$2:$G$801, 0)+1))="","",INDEX(ERP資料!$G:$G, (MATCH(4, 輔助計算!$G$2:$G$801, 0)+1))), "")</f>
        <v/>
      </c>
      <c r="I5" s="15">
        <f>IFERROR(INDEX(輔助計算!$D:$D, (MATCH(4, 輔助計算!$G$2:$G$801, 0)+1)), "")</f>
        <v/>
      </c>
      <c r="J5" s="15">
        <f>IFERROR(IF(AND(INDEX(輔助計算!$D:$D, (MATCH(4, 輔助計算!$G$2:$G$801, 0)+1))&lt;&gt;"", INDEX(ERP資料!$G:$G, (MATCH(4, 輔助計算!$G$2:$G$801, 0)+1))&lt;&gt;""), TRIM(IF(INT(INDEX(輔助計算!$D:$D, (MATCH(4, 輔助計算!$G$2:$G$801, 0)+1))/IF(INDEX(ERP資料!$G:$G, (MATCH(4, 輔助計算!$G$2:$G$801, 0)+1))&lt;100, IF(INDEX(ERP資料!$G:$G, (MATCH(4, 輔助計算!$G$2:$G$801, 0)+1))&lt;=31,3,IF(INDEX(ERP資料!$G:$G, (MATCH(4, 輔助計算!$G$2:$G$801, 0)+1))&lt;=46.5,2,1)), IF(INDEX(ERP資料!$G:$G, (MATCH(4, 輔助計算!$G$2:$G$801, 0)+1))&lt;=790,3,IF(INDEX(ERP資料!$G:$G, (MATCH(4, 輔助計算!$G$2:$G$801, 0)+1))&lt;=1181,2,1))))&gt;0, IF(IF(INDEX(ERP資料!$G:$G, (MATCH(4, 輔助計算!$G$2:$G$801, 0)+1))&lt;100, IF(INDEX(ERP資料!$G:$G, (MATCH(4, 輔助計算!$G$2:$G$801, 0)+1))&lt;=31,3,IF(INDEX(ERP資料!$G:$G, (MATCH(4, 輔助計算!$G$2:$G$801, 0)+1))&lt;=46.5,2,1)), IF(INDEX(ERP資料!$G:$G, (MATCH(4, 輔助計算!$G$2:$G$801, 0)+1))&lt;=790,3,IF(INDEX(ERP資料!$G:$G, (MATCH(4, 輔助計算!$G$2:$G$801, 0)+1))&lt;=1181,2,1)))=1,TEXT(INDEX(ERP資料!$G:$G, (MATCH(4, 輔助計算!$G$2:$G$801, 0)+1)),"0.##"),IF(IF(INDEX(ERP資料!$G:$G, (MATCH(4, 輔助計算!$G$2:$G$801, 0)+1))&lt;100, IF(INDEX(ERP資料!$G:$G, (MATCH(4, 輔助計算!$G$2:$G$801, 0)+1))&lt;=31,3,IF(INDEX(ERP資料!$G:$G, (MATCH(4, 輔助計算!$G$2:$G$801, 0)+1))&lt;=46.5,2,1)), IF(INDEX(ERP資料!$G:$G, (MATCH(4, 輔助計算!$G$2:$G$801, 0)+1))&lt;=790,3,IF(INDEX(ERP資料!$G:$G, (MATCH(4, 輔助計算!$G$2:$G$801, 0)+1))&lt;=1181,2,1)))=2,TEXT(INDEX(ERP資料!$G:$G, (MATCH(4, 輔助計算!$G$2:$G$801, 0)+1)),"0.##")&amp;"+"&amp;TEXT(INDEX(ERP資料!$G:$G, (MATCH(4, 輔助計算!$G$2:$G$801, 0)+1)),"0.##"),TEXT(INDEX(ERP資料!$G:$G, (MATCH(4, 輔助計算!$G$2:$G$801, 0)+1)),"0.##")&amp;"+"&amp;TEXT(INDEX(ERP資料!$G:$G, (MATCH(4, 輔助計算!$G$2:$G$801, 0)+1)),"0.##")&amp;"+"&amp;TEXT(INDEX(ERP資料!$G:$G, (MATCH(4, 輔助計算!$G$2:$G$801, 0)+1)),"0.##")))&amp;"-"&amp;INT(INDEX(輔助計算!$D:$D, (MATCH(4, 輔助計算!$G$2:$G$801, 0)+1))/IF(INDEX(ERP資料!$G:$G, (MATCH(4, 輔助計算!$G$2:$G$801, 0)+1))&lt;100, IF(INDEX(ERP資料!$G:$G, (MATCH(4, 輔助計算!$G$2:$G$801, 0)+1))&lt;=31,3,IF(INDEX(ERP資料!$G:$G, (MATCH(4, 輔助計算!$G$2:$G$801, 0)+1))&lt;=46.5,2,1)), IF(INDEX(ERP資料!$G:$G, (MATCH(4, 輔助計算!$G$2:$G$801, 0)+1))&lt;=790,3,IF(INDEX(ERP資料!$G:$G, (MATCH(4, 輔助計算!$G$2:$G$801, 0)+1))&lt;=1181,2,1)))), "")&amp;IF(AND(IF(INT(INDEX(輔助計算!$D:$D, (MATCH(4, 輔助計算!$G$2:$G$801, 0)+1))/IF(INDEX(ERP資料!$G:$G, (MATCH(4, 輔助計算!$G$2:$G$801, 0)+1))&lt;100, IF(INDEX(ERP資料!$G:$G, (MATCH(4, 輔助計算!$G$2:$G$801, 0)+1))&lt;=31,3,IF(INDEX(ERP資料!$G:$G, (MATCH(4, 輔助計算!$G$2:$G$801, 0)+1))&lt;=46.5,2,1)), IF(INDEX(ERP資料!$G:$G, (MATCH(4, 輔助計算!$G$2:$G$801, 0)+1))&lt;=790,3,IF(INDEX(ERP資料!$G:$G, (MATCH(4, 輔助計算!$G$2:$G$801, 0)+1))&lt;=1181,2,1))))&gt;0, IF(IF(INDEX(ERP資料!$G:$G, (MATCH(4, 輔助計算!$G$2:$G$801, 0)+1))&lt;100, IF(INDEX(ERP資料!$G:$G, (MATCH(4, 輔助計算!$G$2:$G$801, 0)+1))&lt;=31,3,IF(INDEX(ERP資料!$G:$G, (MATCH(4, 輔助計算!$G$2:$G$801, 0)+1))&lt;=46.5,2,1)), IF(INDEX(ERP資料!$G:$G, (MATCH(4, 輔助計算!$G$2:$G$801, 0)+1))&lt;=790,3,IF(INDEX(ERP資料!$G:$G, (MATCH(4, 輔助計算!$G$2:$G$801, 0)+1))&lt;=1181,2,1)))=1,TEXT(INDEX(ERP資料!$G:$G, (MATCH(4, 輔助計算!$G$2:$G$801, 0)+1)),"0.##"),IF(IF(INDEX(ERP資料!$G:$G, (MATCH(4, 輔助計算!$G$2:$G$801, 0)+1))&lt;100, IF(INDEX(ERP資料!$G:$G, (MATCH(4, 輔助計算!$G$2:$G$801, 0)+1))&lt;=31,3,IF(INDEX(ERP資料!$G:$G, (MATCH(4, 輔助計算!$G$2:$G$801, 0)+1))&lt;=46.5,2,1)), IF(INDEX(ERP資料!$G:$G, (MATCH(4, 輔助計算!$G$2:$G$801, 0)+1))&lt;=790,3,IF(INDEX(ERP資料!$G:$G, (MATCH(4, 輔助計算!$G$2:$G$801, 0)+1))&lt;=1181,2,1)))=2,TEXT(INDEX(ERP資料!$G:$G, (MATCH(4, 輔助計算!$G$2:$G$801, 0)+1)),"0.##")&amp;"+"&amp;TEXT(INDEX(ERP資料!$G:$G, (MATCH(4, 輔助計算!$G$2:$G$801, 0)+1)),"0.##"),TEXT(INDEX(ERP資料!$G:$G, (MATCH(4, 輔助計算!$G$2:$G$801, 0)+1)),"0.##")&amp;"+"&amp;TEXT(INDEX(ERP資料!$G:$G, (MATCH(4, 輔助計算!$G$2:$G$801, 0)+1)),"0.##")&amp;"+"&amp;TEXT(INDEX(ERP資料!$G:$G, (MATCH(4, 輔助計算!$G$2:$G$801, 0)+1)),"0.##")))&amp;"-"&amp;INT(INDEX(輔助計算!$D:$D, (MATCH(4, 輔助計算!$G$2:$G$801, 0)+1))/IF(INDEX(ERP資料!$G:$G, (MATCH(4, 輔助計算!$G$2:$G$801, 0)+1))&lt;100, IF(INDEX(ERP資料!$G:$G, (MATCH(4, 輔助計算!$G$2:$G$801, 0)+1))&lt;=31,3,IF(INDEX(ERP資料!$G:$G, (MATCH(4, 輔助計算!$G$2:$G$801, 0)+1))&lt;=46.5,2,1)), IF(INDEX(ERP資料!$G:$G, (MATCH(4, 輔助計算!$G$2:$G$801, 0)+1))&lt;=790,3,IF(INDEX(ERP資料!$G:$G, (MATCH(4, 輔助計算!$G$2:$G$801, 0)+1))&lt;=1181,2,1)))), "")&lt;&gt;"",IF(MOD(INDEX(輔助計算!$D:$D, (MATCH(4, 輔助計算!$G$2:$G$801, 0)+1)),IF(INDEX(ERP資料!$G:$G, (MATCH(4, 輔助計算!$G$2:$G$801, 0)+1))&lt;100, IF(INDEX(ERP資料!$G:$G, (MATCH(4, 輔助計算!$G$2:$G$801, 0)+1))&lt;=31,3,IF(INDEX(ERP資料!$G:$G, (MATCH(4, 輔助計算!$G$2:$G$801, 0)+1))&lt;=46.5,2,1)), IF(INDEX(ERP資料!$G:$G, (MATCH(4, 輔助計算!$G$2:$G$801, 0)+1))&lt;=790,3,IF(INDEX(ERP資料!$G:$G, (MATCH(4, 輔助計算!$G$2:$G$801, 0)+1))&lt;=1181,2,1))))=0,"",IF(MOD(INDEX(輔助計算!$D:$D, (MATCH(4, 輔助計算!$G$2:$G$801, 0)+1)),IF(INDEX(ERP資料!$G:$G, (MATCH(4, 輔助計算!$G$2:$G$801, 0)+1))&lt;100, IF(INDEX(ERP資料!$G:$G, (MATCH(4, 輔助計算!$G$2:$G$801, 0)+1))&lt;=31,3,IF(INDEX(ERP資料!$G:$G, (MATCH(4, 輔助計算!$G$2:$G$801, 0)+1))&lt;=46.5,2,1)), IF(INDEX(ERP資料!$G:$G, (MATCH(4, 輔助計算!$G$2:$G$801, 0)+1))&lt;=790,3,IF(INDEX(ERP資料!$G:$G, (MATCH(4, 輔助計算!$G$2:$G$801, 0)+1))&lt;=1181,2,1))))=0,"",IF(MOD(INDEX(輔助計算!$D:$D, (MATCH(4, 輔助計算!$G$2:$G$801, 0)+1)),IF(INDEX(ERP資料!$G:$G, (MATCH(4, 輔助計算!$G$2:$G$801, 0)+1))&lt;100, IF(INDEX(ERP資料!$G:$G, (MATCH(4, 輔助計算!$G$2:$G$801, 0)+1))&lt;=31,3,IF(INDEX(ERP資料!$G:$G, (MATCH(4, 輔助計算!$G$2:$G$801, 0)+1))&lt;=46.5,2,1)), IF(INDEX(ERP資料!$G:$G, (MATCH(4, 輔助計算!$G$2:$G$801, 0)+1))&lt;=790,3,IF(INDEX(ERP資料!$G:$G, (MATCH(4, 輔助計算!$G$2:$G$801, 0)+1))&lt;=1181,2,1))))=1,TEXT(INDEX(ERP資料!$G:$G, (MATCH(4, 輔助計算!$G$2:$G$801, 0)+1)),"0.##"),IF(MOD(INDEX(輔助計算!$D:$D, (MATCH(4, 輔助計算!$G$2:$G$801, 0)+1)),IF(INDEX(ERP資料!$G:$G, (MATCH(4, 輔助計算!$G$2:$G$801, 0)+1))&lt;100, IF(INDEX(ERP資料!$G:$G, (MATCH(4, 輔助計算!$G$2:$G$801, 0)+1))&lt;=31,3,IF(INDEX(ERP資料!$G:$G, (MATCH(4, 輔助計算!$G$2:$G$801, 0)+1))&lt;=46.5,2,1)), IF(INDEX(ERP資料!$G:$G, (MATCH(4, 輔助計算!$G$2:$G$801, 0)+1))&lt;=790,3,IF(INDEX(ERP資料!$G:$G, (MATCH(4, 輔助計算!$G$2:$G$801, 0)+1))&lt;=1181,2,1))))=2,TEXT(INDEX(ERP資料!$G:$G, (MATCH(4, 輔助計算!$G$2:$G$801, 0)+1)),"0.##")&amp;"+"&amp;TEXT(INDEX(ERP資料!$G:$G, (MATCH(4, 輔助計算!$G$2:$G$801, 0)+1)),"0.##"),TEXT(INDEX(ERP資料!$G:$G, (MATCH(4, 輔助計算!$G$2:$G$801, 0)+1)),"0.##")&amp;"+"&amp;TEXT(INDEX(ERP資料!$G:$G, (MATCH(4, 輔助計算!$G$2:$G$801, 0)+1)),"0.##")&amp;"+"&amp;TEXT(INDEX(ERP資料!$G:$G, (MATCH(4, 輔助計算!$G$2:$G$801, 0)+1)),"0.##"))))&amp;"-1")&lt;&gt;""),"  ","")&amp;IF(MOD(INDEX(輔助計算!$D:$D, (MATCH(4, 輔助計算!$G$2:$G$801, 0)+1)),IF(INDEX(ERP資料!$G:$G, (MATCH(4, 輔助計算!$G$2:$G$801, 0)+1))&lt;100, IF(INDEX(ERP資料!$G:$G, (MATCH(4, 輔助計算!$G$2:$G$801, 0)+1))&lt;=31,3,IF(INDEX(ERP資料!$G:$G, (MATCH(4, 輔助計算!$G$2:$G$801, 0)+1))&lt;=46.5,2,1)), IF(INDEX(ERP資料!$G:$G, (MATCH(4, 輔助計算!$G$2:$G$801, 0)+1))&lt;=790,3,IF(INDEX(ERP資料!$G:$G, (MATCH(4, 輔助計算!$G$2:$G$801, 0)+1))&lt;=1181,2,1))))=0,"",IF(MOD(INDEX(輔助計算!$D:$D, (MATCH(4, 輔助計算!$G$2:$G$801, 0)+1)),IF(INDEX(ERP資料!$G:$G, (MATCH(4, 輔助計算!$G$2:$G$801, 0)+1))&lt;100, IF(INDEX(ERP資料!$G:$G, (MATCH(4, 輔助計算!$G$2:$G$801, 0)+1))&lt;=31,3,IF(INDEX(ERP資料!$G:$G, (MATCH(4, 輔助計算!$G$2:$G$801, 0)+1))&lt;=46.5,2,1)), IF(INDEX(ERP資料!$G:$G, (MATCH(4, 輔助計算!$G$2:$G$801, 0)+1))&lt;=790,3,IF(INDEX(ERP資料!$G:$G, (MATCH(4, 輔助計算!$G$2:$G$801, 0)+1))&lt;=1181,2,1))))=0,"",IF(MOD(INDEX(輔助計算!$D:$D, (MATCH(4, 輔助計算!$G$2:$G$801, 0)+1)),IF(INDEX(ERP資料!$G:$G, (MATCH(4, 輔助計算!$G$2:$G$801, 0)+1))&lt;100, IF(INDEX(ERP資料!$G:$G, (MATCH(4, 輔助計算!$G$2:$G$801, 0)+1))&lt;=31,3,IF(INDEX(ERP資料!$G:$G, (MATCH(4, 輔助計算!$G$2:$G$801, 0)+1))&lt;=46.5,2,1)), IF(INDEX(ERP資料!$G:$G, (MATCH(4, 輔助計算!$G$2:$G$801, 0)+1))&lt;=790,3,IF(INDEX(ERP資料!$G:$G, (MATCH(4, 輔助計算!$G$2:$G$801, 0)+1))&lt;=1181,2,1))))=1,TEXT(INDEX(ERP資料!$G:$G, (MATCH(4, 輔助計算!$G$2:$G$801, 0)+1)),"0.##"),IF(MOD(INDEX(輔助計算!$D:$D, (MATCH(4, 輔助計算!$G$2:$G$801, 0)+1)),IF(INDEX(ERP資料!$G:$G, (MATCH(4, 輔助計算!$G$2:$G$801, 0)+1))&lt;100, IF(INDEX(ERP資料!$G:$G, (MATCH(4, 輔助計算!$G$2:$G$801, 0)+1))&lt;=31,3,IF(INDEX(ERP資料!$G:$G, (MATCH(4, 輔助計算!$G$2:$G$801, 0)+1))&lt;=46.5,2,1)), IF(INDEX(ERP資料!$G:$G, (MATCH(4, 輔助計算!$G$2:$G$801, 0)+1))&lt;=790,3,IF(INDEX(ERP資料!$G:$G, (MATCH(4, 輔助計算!$G$2:$G$801, 0)+1))&lt;=1181,2,1))))=2,TEXT(INDEX(ERP資料!$G:$G, (MATCH(4, 輔助計算!$G$2:$G$801, 0)+1)),"0.##")&amp;"+"&amp;TEXT(INDEX(ERP資料!$G:$G, (MATCH(4, 輔助計算!$G$2:$G$801, 0)+1)),"0.##"),TEXT(INDEX(ERP資料!$G:$G, (MATCH(4, 輔助計算!$G$2:$G$801, 0)+1)),"0.##")&amp;"+"&amp;TEXT(INDEX(ERP資料!$G:$G, (MATCH(4, 輔助計算!$G$2:$G$801, 0)+1)),"0.##")&amp;"+"&amp;TEXT(INDEX(ERP資料!$G:$G, (MATCH(4, 輔助計算!$G$2:$G$801, 0)+1)),"0.##"))))&amp;"-1")), ""), "")</f>
        <v/>
      </c>
      <c r="K5" s="16" t="n"/>
      <c r="L5" s="14">
        <f>IFERROR(IF(AND(IFERROR(INDEX(ERP資料!$A:$A, (MATCH(4, 輔助計算!$G$2:$G$801, 0)+1)), "")&lt;&gt;"", IFERROR(INDEX(ERP資料!$A:$A, (MATCH(4, 輔助計算!$G$2:$G$801, 0)+1)), "")&lt;&gt;IFERROR(INDEX(ERP資料!$A:$A, MATCH(3, 輔助計算!$G$2:$G$801, 0)+1), "")), INDEX(ERP資料!$B:$B, (MATCH(4, 輔助計算!$G$2:$G$801, 0)+1)), ""), "")</f>
        <v/>
      </c>
      <c r="M5" s="17" t="n"/>
    </row>
    <row r="6">
      <c r="A6" s="10">
        <f>IFERROR(IF(AND(IFERROR(INDEX(ERP資料!$A:$A, (MATCH(5, 輔助計算!$G$2:$G$801, 0)+1)), "")&lt;&gt;"", IFERROR(INDEX(ERP資料!$A:$A, (MATCH(5, 輔助計算!$G$2:$G$801, 0)+1)), "")&lt;&gt;IFERROR(INDEX(ERP資料!$A:$A, MATCH(4, 輔助計算!$G$2:$G$801, 0)+1), "")), IFERROR(INDEX(ERP資料!$A:$A, (MATCH(5, 輔助計算!$G$2:$G$801, 0)+1)), ""), ""), "")</f>
        <v/>
      </c>
      <c r="B6" s="10">
        <f>IFERROR(IF(AND(IFERROR(INDEX(ERP資料!$A:$A, (MATCH(5, 輔助計算!$G$2:$G$801, 0)+1)), "")&lt;&gt;"", IFERROR(INDEX(ERP資料!$A:$A, (MATCH(5, 輔助計算!$G$2:$G$801, 0)+1)), "")&lt;&gt;IFERROR(INDEX(ERP資料!$A:$A, MATCH(4, 輔助計算!$G$2:$G$801, 0)+1), "")), INDEX(ERP資料!$S:$S, (MATCH(5, 輔助計算!$G$2:$G$801, 0)+1)), ""), "")</f>
        <v/>
      </c>
      <c r="C6" s="19">
        <f>IFERROR(IF(AND(IFERROR(INDEX(ERP資料!$A:$A, (MATCH(5, 輔助計算!$G$2:$G$801, 0)+1)), "")&lt;&gt;"", IFERROR(INDEX(ERP資料!$A:$A, (MATCH(5, 輔助計算!$G$2:$G$801, 0)+1)), "")&lt;&gt;IFERROR(INDEX(ERP資料!$A:$A, MATCH(4, 輔助計算!$G$2:$G$801, 0)+1), "")), IFERROR(VLOOKUP(LEFT(INDEX(ERP資料!$S:$S, (MATCH(5, 輔助計算!$G$2:$G$801, 0)+1)), 4), 紙管對照表!$A:$C, 3, FALSE), ""), ""), "")</f>
        <v/>
      </c>
      <c r="D6" s="16" t="n"/>
      <c r="E6" s="10">
        <f>IFERROR(IF(INDEX(ERP資料!$H:$H, (MATCH(5, 輔助計算!$G$2:$G$801, 0)+1))="","",INDEX(ERP資料!$H:$H, (MATCH(5, 輔助計算!$G$2:$G$801, 0)+1))), "")</f>
        <v/>
      </c>
      <c r="F6" s="10">
        <f>IFERROR(IF(INDEX(ERP資料!$E:$E, (MATCH(5, 輔助計算!$G$2:$G$801, 0)+1))="","",TRIM(INDEX(ERP資料!$E:$E, (MATCH(5, 輔助計算!$G$2:$G$801, 0)+1)))), "")</f>
        <v/>
      </c>
      <c r="G6" s="10">
        <f>IFERROR(IF(INDEX(ERP資料!$F:$F, (MATCH(5, 輔助計算!$G$2:$G$801, 0)+1))="","",INDEX(ERP資料!$F:$F, (MATCH(5, 輔助計算!$G$2:$G$801, 0)+1))), "")</f>
        <v/>
      </c>
      <c r="H6" s="10">
        <f>IFERROR(IF(INDEX(ERP資料!$G:$G, (MATCH(5, 輔助計算!$G$2:$G$801, 0)+1))="","",INDEX(ERP資料!$G:$G, (MATCH(5, 輔助計算!$G$2:$G$801, 0)+1))), "")</f>
        <v/>
      </c>
      <c r="I6" s="15">
        <f>IFERROR(INDEX(輔助計算!$D:$D, (MATCH(5, 輔助計算!$G$2:$G$801, 0)+1)), "")</f>
        <v/>
      </c>
      <c r="J6" s="15">
        <f>IFERROR(IF(AND(INDEX(輔助計算!$D:$D, (MATCH(5, 輔助計算!$G$2:$G$801, 0)+1))&lt;&gt;"", INDEX(ERP資料!$G:$G, (MATCH(5, 輔助計算!$G$2:$G$801, 0)+1))&lt;&gt;""), TRIM(IF(INT(INDEX(輔助計算!$D:$D, (MATCH(5, 輔助計算!$G$2:$G$801, 0)+1))/IF(INDEX(ERP資料!$G:$G, (MATCH(5, 輔助計算!$G$2:$G$801, 0)+1))&lt;100, IF(INDEX(ERP資料!$G:$G, (MATCH(5, 輔助計算!$G$2:$G$801, 0)+1))&lt;=31,3,IF(INDEX(ERP資料!$G:$G, (MATCH(5, 輔助計算!$G$2:$G$801, 0)+1))&lt;=46.5,2,1)), IF(INDEX(ERP資料!$G:$G, (MATCH(5, 輔助計算!$G$2:$G$801, 0)+1))&lt;=790,3,IF(INDEX(ERP資料!$G:$G, (MATCH(5, 輔助計算!$G$2:$G$801, 0)+1))&lt;=1181,2,1))))&gt;0, IF(IF(INDEX(ERP資料!$G:$G, (MATCH(5, 輔助計算!$G$2:$G$801, 0)+1))&lt;100, IF(INDEX(ERP資料!$G:$G, (MATCH(5, 輔助計算!$G$2:$G$801, 0)+1))&lt;=31,3,IF(INDEX(ERP資料!$G:$G, (MATCH(5, 輔助計算!$G$2:$G$801, 0)+1))&lt;=46.5,2,1)), IF(INDEX(ERP資料!$G:$G, (MATCH(5, 輔助計算!$G$2:$G$801, 0)+1))&lt;=790,3,IF(INDEX(ERP資料!$G:$G, (MATCH(5, 輔助計算!$G$2:$G$801, 0)+1))&lt;=1181,2,1)))=1,TEXT(INDEX(ERP資料!$G:$G, (MATCH(5, 輔助計算!$G$2:$G$801, 0)+1)),"0.##"),IF(IF(INDEX(ERP資料!$G:$G, (MATCH(5, 輔助計算!$G$2:$G$801, 0)+1))&lt;100, IF(INDEX(ERP資料!$G:$G, (MATCH(5, 輔助計算!$G$2:$G$801, 0)+1))&lt;=31,3,IF(INDEX(ERP資料!$G:$G, (MATCH(5, 輔助計算!$G$2:$G$801, 0)+1))&lt;=46.5,2,1)), IF(INDEX(ERP資料!$G:$G, (MATCH(5, 輔助計算!$G$2:$G$801, 0)+1))&lt;=790,3,IF(INDEX(ERP資料!$G:$G, (MATCH(5, 輔助計算!$G$2:$G$801, 0)+1))&lt;=1181,2,1)))=2,TEXT(INDEX(ERP資料!$G:$G, (MATCH(5, 輔助計算!$G$2:$G$801, 0)+1)),"0.##")&amp;"+"&amp;TEXT(INDEX(ERP資料!$G:$G, (MATCH(5, 輔助計算!$G$2:$G$801, 0)+1)),"0.##"),TEXT(INDEX(ERP資料!$G:$G, (MATCH(5, 輔助計算!$G$2:$G$801, 0)+1)),"0.##")&amp;"+"&amp;TEXT(INDEX(ERP資料!$G:$G, (MATCH(5, 輔助計算!$G$2:$G$801, 0)+1)),"0.##")&amp;"+"&amp;TEXT(INDEX(ERP資料!$G:$G, (MATCH(5, 輔助計算!$G$2:$G$801, 0)+1)),"0.##")))&amp;"-"&amp;INT(INDEX(輔助計算!$D:$D, (MATCH(5, 輔助計算!$G$2:$G$801, 0)+1))/IF(INDEX(ERP資料!$G:$G, (MATCH(5, 輔助計算!$G$2:$G$801, 0)+1))&lt;100, IF(INDEX(ERP資料!$G:$G, (MATCH(5, 輔助計算!$G$2:$G$801, 0)+1))&lt;=31,3,IF(INDEX(ERP資料!$G:$G, (MATCH(5, 輔助計算!$G$2:$G$801, 0)+1))&lt;=46.5,2,1)), IF(INDEX(ERP資料!$G:$G, (MATCH(5, 輔助計算!$G$2:$G$801, 0)+1))&lt;=790,3,IF(INDEX(ERP資料!$G:$G, (MATCH(5, 輔助計算!$G$2:$G$801, 0)+1))&lt;=1181,2,1)))), "")&amp;IF(AND(IF(INT(INDEX(輔助計算!$D:$D, (MATCH(5, 輔助計算!$G$2:$G$801, 0)+1))/IF(INDEX(ERP資料!$G:$G, (MATCH(5, 輔助計算!$G$2:$G$801, 0)+1))&lt;100, IF(INDEX(ERP資料!$G:$G, (MATCH(5, 輔助計算!$G$2:$G$801, 0)+1))&lt;=31,3,IF(INDEX(ERP資料!$G:$G, (MATCH(5, 輔助計算!$G$2:$G$801, 0)+1))&lt;=46.5,2,1)), IF(INDEX(ERP資料!$G:$G, (MATCH(5, 輔助計算!$G$2:$G$801, 0)+1))&lt;=790,3,IF(INDEX(ERP資料!$G:$G, (MATCH(5, 輔助計算!$G$2:$G$801, 0)+1))&lt;=1181,2,1))))&gt;0, IF(IF(INDEX(ERP資料!$G:$G, (MATCH(5, 輔助計算!$G$2:$G$801, 0)+1))&lt;100, IF(INDEX(ERP資料!$G:$G, (MATCH(5, 輔助計算!$G$2:$G$801, 0)+1))&lt;=31,3,IF(INDEX(ERP資料!$G:$G, (MATCH(5, 輔助計算!$G$2:$G$801, 0)+1))&lt;=46.5,2,1)), IF(INDEX(ERP資料!$G:$G, (MATCH(5, 輔助計算!$G$2:$G$801, 0)+1))&lt;=790,3,IF(INDEX(ERP資料!$G:$G, (MATCH(5, 輔助計算!$G$2:$G$801, 0)+1))&lt;=1181,2,1)))=1,TEXT(INDEX(ERP資料!$G:$G, (MATCH(5, 輔助計算!$G$2:$G$801, 0)+1)),"0.##"),IF(IF(INDEX(ERP資料!$G:$G, (MATCH(5, 輔助計算!$G$2:$G$801, 0)+1))&lt;100, IF(INDEX(ERP資料!$G:$G, (MATCH(5, 輔助計算!$G$2:$G$801, 0)+1))&lt;=31,3,IF(INDEX(ERP資料!$G:$G, (MATCH(5, 輔助計算!$G$2:$G$801, 0)+1))&lt;=46.5,2,1)), IF(INDEX(ERP資料!$G:$G, (MATCH(5, 輔助計算!$G$2:$G$801, 0)+1))&lt;=790,3,IF(INDEX(ERP資料!$G:$G, (MATCH(5, 輔助計算!$G$2:$G$801, 0)+1))&lt;=1181,2,1)))=2,TEXT(INDEX(ERP資料!$G:$G, (MATCH(5, 輔助計算!$G$2:$G$801, 0)+1)),"0.##")&amp;"+"&amp;TEXT(INDEX(ERP資料!$G:$G, (MATCH(5, 輔助計算!$G$2:$G$801, 0)+1)),"0.##"),TEXT(INDEX(ERP資料!$G:$G, (MATCH(5, 輔助計算!$G$2:$G$801, 0)+1)),"0.##")&amp;"+"&amp;TEXT(INDEX(ERP資料!$G:$G, (MATCH(5, 輔助計算!$G$2:$G$801, 0)+1)),"0.##")&amp;"+"&amp;TEXT(INDEX(ERP資料!$G:$G, (MATCH(5, 輔助計算!$G$2:$G$801, 0)+1)),"0.##")))&amp;"-"&amp;INT(INDEX(輔助計算!$D:$D, (MATCH(5, 輔助計算!$G$2:$G$801, 0)+1))/IF(INDEX(ERP資料!$G:$G, (MATCH(5, 輔助計算!$G$2:$G$801, 0)+1))&lt;100, IF(INDEX(ERP資料!$G:$G, (MATCH(5, 輔助計算!$G$2:$G$801, 0)+1))&lt;=31,3,IF(INDEX(ERP資料!$G:$G, (MATCH(5, 輔助計算!$G$2:$G$801, 0)+1))&lt;=46.5,2,1)), IF(INDEX(ERP資料!$G:$G, (MATCH(5, 輔助計算!$G$2:$G$801, 0)+1))&lt;=790,3,IF(INDEX(ERP資料!$G:$G, (MATCH(5, 輔助計算!$G$2:$G$801, 0)+1))&lt;=1181,2,1)))), "")&lt;&gt;"",IF(MOD(INDEX(輔助計算!$D:$D, (MATCH(5, 輔助計算!$G$2:$G$801, 0)+1)),IF(INDEX(ERP資料!$G:$G, (MATCH(5, 輔助計算!$G$2:$G$801, 0)+1))&lt;100, IF(INDEX(ERP資料!$G:$G, (MATCH(5, 輔助計算!$G$2:$G$801, 0)+1))&lt;=31,3,IF(INDEX(ERP資料!$G:$G, (MATCH(5, 輔助計算!$G$2:$G$801, 0)+1))&lt;=46.5,2,1)), IF(INDEX(ERP資料!$G:$G, (MATCH(5, 輔助計算!$G$2:$G$801, 0)+1))&lt;=790,3,IF(INDEX(ERP資料!$G:$G, (MATCH(5, 輔助計算!$G$2:$G$801, 0)+1))&lt;=1181,2,1))))=0,"",IF(MOD(INDEX(輔助計算!$D:$D, (MATCH(5, 輔助計算!$G$2:$G$801, 0)+1)),IF(INDEX(ERP資料!$G:$G, (MATCH(5, 輔助計算!$G$2:$G$801, 0)+1))&lt;100, IF(INDEX(ERP資料!$G:$G, (MATCH(5, 輔助計算!$G$2:$G$801, 0)+1))&lt;=31,3,IF(INDEX(ERP資料!$G:$G, (MATCH(5, 輔助計算!$G$2:$G$801, 0)+1))&lt;=46.5,2,1)), IF(INDEX(ERP資料!$G:$G, (MATCH(5, 輔助計算!$G$2:$G$801, 0)+1))&lt;=790,3,IF(INDEX(ERP資料!$G:$G, (MATCH(5, 輔助計算!$G$2:$G$801, 0)+1))&lt;=1181,2,1))))=0,"",IF(MOD(INDEX(輔助計算!$D:$D, (MATCH(5, 輔助計算!$G$2:$G$801, 0)+1)),IF(INDEX(ERP資料!$G:$G, (MATCH(5, 輔助計算!$G$2:$G$801, 0)+1))&lt;100, IF(INDEX(ERP資料!$G:$G, (MATCH(5, 輔助計算!$G$2:$G$801, 0)+1))&lt;=31,3,IF(INDEX(ERP資料!$G:$G, (MATCH(5, 輔助計算!$G$2:$G$801, 0)+1))&lt;=46.5,2,1)), IF(INDEX(ERP資料!$G:$G, (MATCH(5, 輔助計算!$G$2:$G$801, 0)+1))&lt;=790,3,IF(INDEX(ERP資料!$G:$G, (MATCH(5, 輔助計算!$G$2:$G$801, 0)+1))&lt;=1181,2,1))))=1,TEXT(INDEX(ERP資料!$G:$G, (MATCH(5, 輔助計算!$G$2:$G$801, 0)+1)),"0.##"),IF(MOD(INDEX(輔助計算!$D:$D, (MATCH(5, 輔助計算!$G$2:$G$801, 0)+1)),IF(INDEX(ERP資料!$G:$G, (MATCH(5, 輔助計算!$G$2:$G$801, 0)+1))&lt;100, IF(INDEX(ERP資料!$G:$G, (MATCH(5, 輔助計算!$G$2:$G$801, 0)+1))&lt;=31,3,IF(INDEX(ERP資料!$G:$G, (MATCH(5, 輔助計算!$G$2:$G$801, 0)+1))&lt;=46.5,2,1)), IF(INDEX(ERP資料!$G:$G, (MATCH(5, 輔助計算!$G$2:$G$801, 0)+1))&lt;=790,3,IF(INDEX(ERP資料!$G:$G, (MATCH(5, 輔助計算!$G$2:$G$801, 0)+1))&lt;=1181,2,1))))=2,TEXT(INDEX(ERP資料!$G:$G, (MATCH(5, 輔助計算!$G$2:$G$801, 0)+1)),"0.##")&amp;"+"&amp;TEXT(INDEX(ERP資料!$G:$G, (MATCH(5, 輔助計算!$G$2:$G$801, 0)+1)),"0.##"),TEXT(INDEX(ERP資料!$G:$G, (MATCH(5, 輔助計算!$G$2:$G$801, 0)+1)),"0.##")&amp;"+"&amp;TEXT(INDEX(ERP資料!$G:$G, (MATCH(5, 輔助計算!$G$2:$G$801, 0)+1)),"0.##")&amp;"+"&amp;TEXT(INDEX(ERP資料!$G:$G, (MATCH(5, 輔助計算!$G$2:$G$801, 0)+1)),"0.##"))))&amp;"-1")&lt;&gt;""),"  ","")&amp;IF(MOD(INDEX(輔助計算!$D:$D, (MATCH(5, 輔助計算!$G$2:$G$801, 0)+1)),IF(INDEX(ERP資料!$G:$G, (MATCH(5, 輔助計算!$G$2:$G$801, 0)+1))&lt;100, IF(INDEX(ERP資料!$G:$G, (MATCH(5, 輔助計算!$G$2:$G$801, 0)+1))&lt;=31,3,IF(INDEX(ERP資料!$G:$G, (MATCH(5, 輔助計算!$G$2:$G$801, 0)+1))&lt;=46.5,2,1)), IF(INDEX(ERP資料!$G:$G, (MATCH(5, 輔助計算!$G$2:$G$801, 0)+1))&lt;=790,3,IF(INDEX(ERP資料!$G:$G, (MATCH(5, 輔助計算!$G$2:$G$801, 0)+1))&lt;=1181,2,1))))=0,"",IF(MOD(INDEX(輔助計算!$D:$D, (MATCH(5, 輔助計算!$G$2:$G$801, 0)+1)),IF(INDEX(ERP資料!$G:$G, (MATCH(5, 輔助計算!$G$2:$G$801, 0)+1))&lt;100, IF(INDEX(ERP資料!$G:$G, (MATCH(5, 輔助計算!$G$2:$G$801, 0)+1))&lt;=31,3,IF(INDEX(ERP資料!$G:$G, (MATCH(5, 輔助計算!$G$2:$G$801, 0)+1))&lt;=46.5,2,1)), IF(INDEX(ERP資料!$G:$G, (MATCH(5, 輔助計算!$G$2:$G$801, 0)+1))&lt;=790,3,IF(INDEX(ERP資料!$G:$G, (MATCH(5, 輔助計算!$G$2:$G$801, 0)+1))&lt;=1181,2,1))))=0,"",IF(MOD(INDEX(輔助計算!$D:$D, (MATCH(5, 輔助計算!$G$2:$G$801, 0)+1)),IF(INDEX(ERP資料!$G:$G, (MATCH(5, 輔助計算!$G$2:$G$801, 0)+1))&lt;100, IF(INDEX(ERP資料!$G:$G, (MATCH(5, 輔助計算!$G$2:$G$801, 0)+1))&lt;=31,3,IF(INDEX(ERP資料!$G:$G, (MATCH(5, 輔助計算!$G$2:$G$801, 0)+1))&lt;=46.5,2,1)), IF(INDEX(ERP資料!$G:$G, (MATCH(5, 輔助計算!$G$2:$G$801, 0)+1))&lt;=790,3,IF(INDEX(ERP資料!$G:$G, (MATCH(5, 輔助計算!$G$2:$G$801, 0)+1))&lt;=1181,2,1))))=1,TEXT(INDEX(ERP資料!$G:$G, (MATCH(5, 輔助計算!$G$2:$G$801, 0)+1)),"0.##"),IF(MOD(INDEX(輔助計算!$D:$D, (MATCH(5, 輔助計算!$G$2:$G$801, 0)+1)),IF(INDEX(ERP資料!$G:$G, (MATCH(5, 輔助計算!$G$2:$G$801, 0)+1))&lt;100, IF(INDEX(ERP資料!$G:$G, (MATCH(5, 輔助計算!$G$2:$G$801, 0)+1))&lt;=31,3,IF(INDEX(ERP資料!$G:$G, (MATCH(5, 輔助計算!$G$2:$G$801, 0)+1))&lt;=46.5,2,1)), IF(INDEX(ERP資料!$G:$G, (MATCH(5, 輔助計算!$G$2:$G$801, 0)+1))&lt;=790,3,IF(INDEX(ERP資料!$G:$G, (MATCH(5, 輔助計算!$G$2:$G$801, 0)+1))&lt;=1181,2,1))))=2,TEXT(INDEX(ERP資料!$G:$G, (MATCH(5, 輔助計算!$G$2:$G$801, 0)+1)),"0.##")&amp;"+"&amp;TEXT(INDEX(ERP資料!$G:$G, (MATCH(5, 輔助計算!$G$2:$G$801, 0)+1)),"0.##"),TEXT(INDEX(ERP資料!$G:$G, (MATCH(5, 輔助計算!$G$2:$G$801, 0)+1)),"0.##")&amp;"+"&amp;TEXT(INDEX(ERP資料!$G:$G, (MATCH(5, 輔助計算!$G$2:$G$801, 0)+1)),"0.##")&amp;"+"&amp;TEXT(INDEX(ERP資料!$G:$G, (MATCH(5, 輔助計算!$G$2:$G$801, 0)+1)),"0.##"))))&amp;"-1")), ""), "")</f>
        <v/>
      </c>
      <c r="K6" s="16" t="n"/>
      <c r="L6" s="14">
        <f>IFERROR(IF(AND(IFERROR(INDEX(ERP資料!$A:$A, (MATCH(5, 輔助計算!$G$2:$G$801, 0)+1)), "")&lt;&gt;"", IFERROR(INDEX(ERP資料!$A:$A, (MATCH(5, 輔助計算!$G$2:$G$801, 0)+1)), "")&lt;&gt;IFERROR(INDEX(ERP資料!$A:$A, MATCH(4, 輔助計算!$G$2:$G$801, 0)+1), "")), INDEX(ERP資料!$B:$B, (MATCH(5, 輔助計算!$G$2:$G$801, 0)+1)), ""), "")</f>
        <v/>
      </c>
      <c r="M6" s="17" t="n"/>
    </row>
    <row r="7">
      <c r="A7" s="10">
        <f>IFERROR(IF(AND(IFERROR(INDEX(ERP資料!$A:$A, (MATCH(6, 輔助計算!$G$2:$G$801, 0)+1)), "")&lt;&gt;"", IFERROR(INDEX(ERP資料!$A:$A, (MATCH(6, 輔助計算!$G$2:$G$801, 0)+1)), "")&lt;&gt;IFERROR(INDEX(ERP資料!$A:$A, MATCH(5, 輔助計算!$G$2:$G$801, 0)+1), "")), IFERROR(INDEX(ERP資料!$A:$A, (MATCH(6, 輔助計算!$G$2:$G$801, 0)+1)), ""), ""), "")</f>
        <v/>
      </c>
      <c r="B7" s="10">
        <f>IFERROR(IF(AND(IFERROR(INDEX(ERP資料!$A:$A, (MATCH(6, 輔助計算!$G$2:$G$801, 0)+1)), "")&lt;&gt;"", IFERROR(INDEX(ERP資料!$A:$A, (MATCH(6, 輔助計算!$G$2:$G$801, 0)+1)), "")&lt;&gt;IFERROR(INDEX(ERP資料!$A:$A, MATCH(5, 輔助計算!$G$2:$G$801, 0)+1), "")), INDEX(ERP資料!$S:$S, (MATCH(6, 輔助計算!$G$2:$G$801, 0)+1)), ""), "")</f>
        <v/>
      </c>
      <c r="C7" s="19">
        <f>IFERROR(IF(AND(IFERROR(INDEX(ERP資料!$A:$A, (MATCH(6, 輔助計算!$G$2:$G$801, 0)+1)), "")&lt;&gt;"", IFERROR(INDEX(ERP資料!$A:$A, (MATCH(6, 輔助計算!$G$2:$G$801, 0)+1)), "")&lt;&gt;IFERROR(INDEX(ERP資料!$A:$A, MATCH(5, 輔助計算!$G$2:$G$801, 0)+1), "")), IFERROR(VLOOKUP(LEFT(INDEX(ERP資料!$S:$S, (MATCH(6, 輔助計算!$G$2:$G$801, 0)+1)), 4), 紙管對照表!$A:$C, 3, FALSE), ""), ""), "")</f>
        <v/>
      </c>
      <c r="D7" s="16" t="n"/>
      <c r="E7" s="10">
        <f>IFERROR(IF(INDEX(ERP資料!$H:$H, (MATCH(6, 輔助計算!$G$2:$G$801, 0)+1))="","",INDEX(ERP資料!$H:$H, (MATCH(6, 輔助計算!$G$2:$G$801, 0)+1))), "")</f>
        <v/>
      </c>
      <c r="F7" s="10">
        <f>IFERROR(IF(INDEX(ERP資料!$E:$E, (MATCH(6, 輔助計算!$G$2:$G$801, 0)+1))="","",TRIM(INDEX(ERP資料!$E:$E, (MATCH(6, 輔助計算!$G$2:$G$801, 0)+1)))), "")</f>
        <v/>
      </c>
      <c r="G7" s="10">
        <f>IFERROR(IF(INDEX(ERP資料!$F:$F, (MATCH(6, 輔助計算!$G$2:$G$801, 0)+1))="","",INDEX(ERP資料!$F:$F, (MATCH(6, 輔助計算!$G$2:$G$801, 0)+1))), "")</f>
        <v/>
      </c>
      <c r="H7" s="10">
        <f>IFERROR(IF(INDEX(ERP資料!$G:$G, (MATCH(6, 輔助計算!$G$2:$G$801, 0)+1))="","",INDEX(ERP資料!$G:$G, (MATCH(6, 輔助計算!$G$2:$G$801, 0)+1))), "")</f>
        <v/>
      </c>
      <c r="I7" s="15">
        <f>IFERROR(INDEX(輔助計算!$D:$D, (MATCH(6, 輔助計算!$G$2:$G$801, 0)+1)), "")</f>
        <v/>
      </c>
      <c r="J7" s="15">
        <f>IFERROR(IF(AND(INDEX(輔助計算!$D:$D, (MATCH(6, 輔助計算!$G$2:$G$801, 0)+1))&lt;&gt;"", INDEX(ERP資料!$G:$G, (MATCH(6, 輔助計算!$G$2:$G$801, 0)+1))&lt;&gt;""), TRIM(IF(INT(INDEX(輔助計算!$D:$D, (MATCH(6, 輔助計算!$G$2:$G$801, 0)+1))/IF(INDEX(ERP資料!$G:$G, (MATCH(6, 輔助計算!$G$2:$G$801, 0)+1))&lt;100, IF(INDEX(ERP資料!$G:$G, (MATCH(6, 輔助計算!$G$2:$G$801, 0)+1))&lt;=31,3,IF(INDEX(ERP資料!$G:$G, (MATCH(6, 輔助計算!$G$2:$G$801, 0)+1))&lt;=46.5,2,1)), IF(INDEX(ERP資料!$G:$G, (MATCH(6, 輔助計算!$G$2:$G$801, 0)+1))&lt;=790,3,IF(INDEX(ERP資料!$G:$G, (MATCH(6, 輔助計算!$G$2:$G$801, 0)+1))&lt;=1181,2,1))))&gt;0, IF(IF(INDEX(ERP資料!$G:$G, (MATCH(6, 輔助計算!$G$2:$G$801, 0)+1))&lt;100, IF(INDEX(ERP資料!$G:$G, (MATCH(6, 輔助計算!$G$2:$G$801, 0)+1))&lt;=31,3,IF(INDEX(ERP資料!$G:$G, (MATCH(6, 輔助計算!$G$2:$G$801, 0)+1))&lt;=46.5,2,1)), IF(INDEX(ERP資料!$G:$G, (MATCH(6, 輔助計算!$G$2:$G$801, 0)+1))&lt;=790,3,IF(INDEX(ERP資料!$G:$G, (MATCH(6, 輔助計算!$G$2:$G$801, 0)+1))&lt;=1181,2,1)))=1,TEXT(INDEX(ERP資料!$G:$G, (MATCH(6, 輔助計算!$G$2:$G$801, 0)+1)),"0.##"),IF(IF(INDEX(ERP資料!$G:$G, (MATCH(6, 輔助計算!$G$2:$G$801, 0)+1))&lt;100, IF(INDEX(ERP資料!$G:$G, (MATCH(6, 輔助計算!$G$2:$G$801, 0)+1))&lt;=31,3,IF(INDEX(ERP資料!$G:$G, (MATCH(6, 輔助計算!$G$2:$G$801, 0)+1))&lt;=46.5,2,1)), IF(INDEX(ERP資料!$G:$G, (MATCH(6, 輔助計算!$G$2:$G$801, 0)+1))&lt;=790,3,IF(INDEX(ERP資料!$G:$G, (MATCH(6, 輔助計算!$G$2:$G$801, 0)+1))&lt;=1181,2,1)))=2,TEXT(INDEX(ERP資料!$G:$G, (MATCH(6, 輔助計算!$G$2:$G$801, 0)+1)),"0.##")&amp;"+"&amp;TEXT(INDEX(ERP資料!$G:$G, (MATCH(6, 輔助計算!$G$2:$G$801, 0)+1)),"0.##"),TEXT(INDEX(ERP資料!$G:$G, (MATCH(6, 輔助計算!$G$2:$G$801, 0)+1)),"0.##")&amp;"+"&amp;TEXT(INDEX(ERP資料!$G:$G, (MATCH(6, 輔助計算!$G$2:$G$801, 0)+1)),"0.##")&amp;"+"&amp;TEXT(INDEX(ERP資料!$G:$G, (MATCH(6, 輔助計算!$G$2:$G$801, 0)+1)),"0.##")))&amp;"-"&amp;INT(INDEX(輔助計算!$D:$D, (MATCH(6, 輔助計算!$G$2:$G$801, 0)+1))/IF(INDEX(ERP資料!$G:$G, (MATCH(6, 輔助計算!$G$2:$G$801, 0)+1))&lt;100, IF(INDEX(ERP資料!$G:$G, (MATCH(6, 輔助計算!$G$2:$G$801, 0)+1))&lt;=31,3,IF(INDEX(ERP資料!$G:$G, (MATCH(6, 輔助計算!$G$2:$G$801, 0)+1))&lt;=46.5,2,1)), IF(INDEX(ERP資料!$G:$G, (MATCH(6, 輔助計算!$G$2:$G$801, 0)+1))&lt;=790,3,IF(INDEX(ERP資料!$G:$G, (MATCH(6, 輔助計算!$G$2:$G$801, 0)+1))&lt;=1181,2,1)))), "")&amp;IF(AND(IF(INT(INDEX(輔助計算!$D:$D, (MATCH(6, 輔助計算!$G$2:$G$801, 0)+1))/IF(INDEX(ERP資料!$G:$G, (MATCH(6, 輔助計算!$G$2:$G$801, 0)+1))&lt;100, IF(INDEX(ERP資料!$G:$G, (MATCH(6, 輔助計算!$G$2:$G$801, 0)+1))&lt;=31,3,IF(INDEX(ERP資料!$G:$G, (MATCH(6, 輔助計算!$G$2:$G$801, 0)+1))&lt;=46.5,2,1)), IF(INDEX(ERP資料!$G:$G, (MATCH(6, 輔助計算!$G$2:$G$801, 0)+1))&lt;=790,3,IF(INDEX(ERP資料!$G:$G, (MATCH(6, 輔助計算!$G$2:$G$801, 0)+1))&lt;=1181,2,1))))&gt;0, IF(IF(INDEX(ERP資料!$G:$G, (MATCH(6, 輔助計算!$G$2:$G$801, 0)+1))&lt;100, IF(INDEX(ERP資料!$G:$G, (MATCH(6, 輔助計算!$G$2:$G$801, 0)+1))&lt;=31,3,IF(INDEX(ERP資料!$G:$G, (MATCH(6, 輔助計算!$G$2:$G$801, 0)+1))&lt;=46.5,2,1)), IF(INDEX(ERP資料!$G:$G, (MATCH(6, 輔助計算!$G$2:$G$801, 0)+1))&lt;=790,3,IF(INDEX(ERP資料!$G:$G, (MATCH(6, 輔助計算!$G$2:$G$801, 0)+1))&lt;=1181,2,1)))=1,TEXT(INDEX(ERP資料!$G:$G, (MATCH(6, 輔助計算!$G$2:$G$801, 0)+1)),"0.##"),IF(IF(INDEX(ERP資料!$G:$G, (MATCH(6, 輔助計算!$G$2:$G$801, 0)+1))&lt;100, IF(INDEX(ERP資料!$G:$G, (MATCH(6, 輔助計算!$G$2:$G$801, 0)+1))&lt;=31,3,IF(INDEX(ERP資料!$G:$G, (MATCH(6, 輔助計算!$G$2:$G$801, 0)+1))&lt;=46.5,2,1)), IF(INDEX(ERP資料!$G:$G, (MATCH(6, 輔助計算!$G$2:$G$801, 0)+1))&lt;=790,3,IF(INDEX(ERP資料!$G:$G, (MATCH(6, 輔助計算!$G$2:$G$801, 0)+1))&lt;=1181,2,1)))=2,TEXT(INDEX(ERP資料!$G:$G, (MATCH(6, 輔助計算!$G$2:$G$801, 0)+1)),"0.##")&amp;"+"&amp;TEXT(INDEX(ERP資料!$G:$G, (MATCH(6, 輔助計算!$G$2:$G$801, 0)+1)),"0.##"),TEXT(INDEX(ERP資料!$G:$G, (MATCH(6, 輔助計算!$G$2:$G$801, 0)+1)),"0.##")&amp;"+"&amp;TEXT(INDEX(ERP資料!$G:$G, (MATCH(6, 輔助計算!$G$2:$G$801, 0)+1)),"0.##")&amp;"+"&amp;TEXT(INDEX(ERP資料!$G:$G, (MATCH(6, 輔助計算!$G$2:$G$801, 0)+1)),"0.##")))&amp;"-"&amp;INT(INDEX(輔助計算!$D:$D, (MATCH(6, 輔助計算!$G$2:$G$801, 0)+1))/IF(INDEX(ERP資料!$G:$G, (MATCH(6, 輔助計算!$G$2:$G$801, 0)+1))&lt;100, IF(INDEX(ERP資料!$G:$G, (MATCH(6, 輔助計算!$G$2:$G$801, 0)+1))&lt;=31,3,IF(INDEX(ERP資料!$G:$G, (MATCH(6, 輔助計算!$G$2:$G$801, 0)+1))&lt;=46.5,2,1)), IF(INDEX(ERP資料!$G:$G, (MATCH(6, 輔助計算!$G$2:$G$801, 0)+1))&lt;=790,3,IF(INDEX(ERP資料!$G:$G, (MATCH(6, 輔助計算!$G$2:$G$801, 0)+1))&lt;=1181,2,1)))), "")&lt;&gt;"",IF(MOD(INDEX(輔助計算!$D:$D, (MATCH(6, 輔助計算!$G$2:$G$801, 0)+1)),IF(INDEX(ERP資料!$G:$G, (MATCH(6, 輔助計算!$G$2:$G$801, 0)+1))&lt;100, IF(INDEX(ERP資料!$G:$G, (MATCH(6, 輔助計算!$G$2:$G$801, 0)+1))&lt;=31,3,IF(INDEX(ERP資料!$G:$G, (MATCH(6, 輔助計算!$G$2:$G$801, 0)+1))&lt;=46.5,2,1)), IF(INDEX(ERP資料!$G:$G, (MATCH(6, 輔助計算!$G$2:$G$801, 0)+1))&lt;=790,3,IF(INDEX(ERP資料!$G:$G, (MATCH(6, 輔助計算!$G$2:$G$801, 0)+1))&lt;=1181,2,1))))=0,"",IF(MOD(INDEX(輔助計算!$D:$D, (MATCH(6, 輔助計算!$G$2:$G$801, 0)+1)),IF(INDEX(ERP資料!$G:$G, (MATCH(6, 輔助計算!$G$2:$G$801, 0)+1))&lt;100, IF(INDEX(ERP資料!$G:$G, (MATCH(6, 輔助計算!$G$2:$G$801, 0)+1))&lt;=31,3,IF(INDEX(ERP資料!$G:$G, (MATCH(6, 輔助計算!$G$2:$G$801, 0)+1))&lt;=46.5,2,1)), IF(INDEX(ERP資料!$G:$G, (MATCH(6, 輔助計算!$G$2:$G$801, 0)+1))&lt;=790,3,IF(INDEX(ERP資料!$G:$G, (MATCH(6, 輔助計算!$G$2:$G$801, 0)+1))&lt;=1181,2,1))))=0,"",IF(MOD(INDEX(輔助計算!$D:$D, (MATCH(6, 輔助計算!$G$2:$G$801, 0)+1)),IF(INDEX(ERP資料!$G:$G, (MATCH(6, 輔助計算!$G$2:$G$801, 0)+1))&lt;100, IF(INDEX(ERP資料!$G:$G, (MATCH(6, 輔助計算!$G$2:$G$801, 0)+1))&lt;=31,3,IF(INDEX(ERP資料!$G:$G, (MATCH(6, 輔助計算!$G$2:$G$801, 0)+1))&lt;=46.5,2,1)), IF(INDEX(ERP資料!$G:$G, (MATCH(6, 輔助計算!$G$2:$G$801, 0)+1))&lt;=790,3,IF(INDEX(ERP資料!$G:$G, (MATCH(6, 輔助計算!$G$2:$G$801, 0)+1))&lt;=1181,2,1))))=1,TEXT(INDEX(ERP資料!$G:$G, (MATCH(6, 輔助計算!$G$2:$G$801, 0)+1)),"0.##"),IF(MOD(INDEX(輔助計算!$D:$D, (MATCH(6, 輔助計算!$G$2:$G$801, 0)+1)),IF(INDEX(ERP資料!$G:$G, (MATCH(6, 輔助計算!$G$2:$G$801, 0)+1))&lt;100, IF(INDEX(ERP資料!$G:$G, (MATCH(6, 輔助計算!$G$2:$G$801, 0)+1))&lt;=31,3,IF(INDEX(ERP資料!$G:$G, (MATCH(6, 輔助計算!$G$2:$G$801, 0)+1))&lt;=46.5,2,1)), IF(INDEX(ERP資料!$G:$G, (MATCH(6, 輔助計算!$G$2:$G$801, 0)+1))&lt;=790,3,IF(INDEX(ERP資料!$G:$G, (MATCH(6, 輔助計算!$G$2:$G$801, 0)+1))&lt;=1181,2,1))))=2,TEXT(INDEX(ERP資料!$G:$G, (MATCH(6, 輔助計算!$G$2:$G$801, 0)+1)),"0.##")&amp;"+"&amp;TEXT(INDEX(ERP資料!$G:$G, (MATCH(6, 輔助計算!$G$2:$G$801, 0)+1)),"0.##"),TEXT(INDEX(ERP資料!$G:$G, (MATCH(6, 輔助計算!$G$2:$G$801, 0)+1)),"0.##")&amp;"+"&amp;TEXT(INDEX(ERP資料!$G:$G, (MATCH(6, 輔助計算!$G$2:$G$801, 0)+1)),"0.##")&amp;"+"&amp;TEXT(INDEX(ERP資料!$G:$G, (MATCH(6, 輔助計算!$G$2:$G$801, 0)+1)),"0.##"))))&amp;"-1")&lt;&gt;""),"  ","")&amp;IF(MOD(INDEX(輔助計算!$D:$D, (MATCH(6, 輔助計算!$G$2:$G$801, 0)+1)),IF(INDEX(ERP資料!$G:$G, (MATCH(6, 輔助計算!$G$2:$G$801, 0)+1))&lt;100, IF(INDEX(ERP資料!$G:$G, (MATCH(6, 輔助計算!$G$2:$G$801, 0)+1))&lt;=31,3,IF(INDEX(ERP資料!$G:$G, (MATCH(6, 輔助計算!$G$2:$G$801, 0)+1))&lt;=46.5,2,1)), IF(INDEX(ERP資料!$G:$G, (MATCH(6, 輔助計算!$G$2:$G$801, 0)+1))&lt;=790,3,IF(INDEX(ERP資料!$G:$G, (MATCH(6, 輔助計算!$G$2:$G$801, 0)+1))&lt;=1181,2,1))))=0,"",IF(MOD(INDEX(輔助計算!$D:$D, (MATCH(6, 輔助計算!$G$2:$G$801, 0)+1)),IF(INDEX(ERP資料!$G:$G, (MATCH(6, 輔助計算!$G$2:$G$801, 0)+1))&lt;100, IF(INDEX(ERP資料!$G:$G, (MATCH(6, 輔助計算!$G$2:$G$801, 0)+1))&lt;=31,3,IF(INDEX(ERP資料!$G:$G, (MATCH(6, 輔助計算!$G$2:$G$801, 0)+1))&lt;=46.5,2,1)), IF(INDEX(ERP資料!$G:$G, (MATCH(6, 輔助計算!$G$2:$G$801, 0)+1))&lt;=790,3,IF(INDEX(ERP資料!$G:$G, (MATCH(6, 輔助計算!$G$2:$G$801, 0)+1))&lt;=1181,2,1))))=0,"",IF(MOD(INDEX(輔助計算!$D:$D, (MATCH(6, 輔助計算!$G$2:$G$801, 0)+1)),IF(INDEX(ERP資料!$G:$G, (MATCH(6, 輔助計算!$G$2:$G$801, 0)+1))&lt;100, IF(INDEX(ERP資料!$G:$G, (MATCH(6, 輔助計算!$G$2:$G$801, 0)+1))&lt;=31,3,IF(INDEX(ERP資料!$G:$G, (MATCH(6, 輔助計算!$G$2:$G$801, 0)+1))&lt;=46.5,2,1)), IF(INDEX(ERP資料!$G:$G, (MATCH(6, 輔助計算!$G$2:$G$801, 0)+1))&lt;=790,3,IF(INDEX(ERP資料!$G:$G, (MATCH(6, 輔助計算!$G$2:$G$801, 0)+1))&lt;=1181,2,1))))=1,TEXT(INDEX(ERP資料!$G:$G, (MATCH(6, 輔助計算!$G$2:$G$801, 0)+1)),"0.##"),IF(MOD(INDEX(輔助計算!$D:$D, (MATCH(6, 輔助計算!$G$2:$G$801, 0)+1)),IF(INDEX(ERP資料!$G:$G, (MATCH(6, 輔助計算!$G$2:$G$801, 0)+1))&lt;100, IF(INDEX(ERP資料!$G:$G, (MATCH(6, 輔助計算!$G$2:$G$801, 0)+1))&lt;=31,3,IF(INDEX(ERP資料!$G:$G, (MATCH(6, 輔助計算!$G$2:$G$801, 0)+1))&lt;=46.5,2,1)), IF(INDEX(ERP資料!$G:$G, (MATCH(6, 輔助計算!$G$2:$G$801, 0)+1))&lt;=790,3,IF(INDEX(ERP資料!$G:$G, (MATCH(6, 輔助計算!$G$2:$G$801, 0)+1))&lt;=1181,2,1))))=2,TEXT(INDEX(ERP資料!$G:$G, (MATCH(6, 輔助計算!$G$2:$G$801, 0)+1)),"0.##")&amp;"+"&amp;TEXT(INDEX(ERP資料!$G:$G, (MATCH(6, 輔助計算!$G$2:$G$801, 0)+1)),"0.##"),TEXT(INDEX(ERP資料!$G:$G, (MATCH(6, 輔助計算!$G$2:$G$801, 0)+1)),"0.##")&amp;"+"&amp;TEXT(INDEX(ERP資料!$G:$G, (MATCH(6, 輔助計算!$G$2:$G$801, 0)+1)),"0.##")&amp;"+"&amp;TEXT(INDEX(ERP資料!$G:$G, (MATCH(6, 輔助計算!$G$2:$G$801, 0)+1)),"0.##"))))&amp;"-1")), ""), "")</f>
        <v/>
      </c>
      <c r="K7" s="16" t="n"/>
      <c r="L7" s="14">
        <f>IFERROR(IF(AND(IFERROR(INDEX(ERP資料!$A:$A, (MATCH(6, 輔助計算!$G$2:$G$801, 0)+1)), "")&lt;&gt;"", IFERROR(INDEX(ERP資料!$A:$A, (MATCH(6, 輔助計算!$G$2:$G$801, 0)+1)), "")&lt;&gt;IFERROR(INDEX(ERP資料!$A:$A, MATCH(5, 輔助計算!$G$2:$G$801, 0)+1), "")), INDEX(ERP資料!$B:$B, (MATCH(6, 輔助計算!$G$2:$G$801, 0)+1)), ""), "")</f>
        <v/>
      </c>
      <c r="M7" s="17" t="n"/>
    </row>
    <row r="8">
      <c r="A8" s="10">
        <f>IFERROR(IF(AND(IFERROR(INDEX(ERP資料!$A:$A, (MATCH(7, 輔助計算!$G$2:$G$801, 0)+1)), "")&lt;&gt;"", IFERROR(INDEX(ERP資料!$A:$A, (MATCH(7, 輔助計算!$G$2:$G$801, 0)+1)), "")&lt;&gt;IFERROR(INDEX(ERP資料!$A:$A, MATCH(6, 輔助計算!$G$2:$G$801, 0)+1), "")), IFERROR(INDEX(ERP資料!$A:$A, (MATCH(7, 輔助計算!$G$2:$G$801, 0)+1)), ""), ""), "")</f>
        <v/>
      </c>
      <c r="B8" s="10">
        <f>IFERROR(IF(AND(IFERROR(INDEX(ERP資料!$A:$A, (MATCH(7, 輔助計算!$G$2:$G$801, 0)+1)), "")&lt;&gt;"", IFERROR(INDEX(ERP資料!$A:$A, (MATCH(7, 輔助計算!$G$2:$G$801, 0)+1)), "")&lt;&gt;IFERROR(INDEX(ERP資料!$A:$A, MATCH(6, 輔助計算!$G$2:$G$801, 0)+1), "")), INDEX(ERP資料!$S:$S, (MATCH(7, 輔助計算!$G$2:$G$801, 0)+1)), ""), "")</f>
        <v/>
      </c>
      <c r="C8" s="19">
        <f>IFERROR(IF(AND(IFERROR(INDEX(ERP資料!$A:$A, (MATCH(7, 輔助計算!$G$2:$G$801, 0)+1)), "")&lt;&gt;"", IFERROR(INDEX(ERP資料!$A:$A, (MATCH(7, 輔助計算!$G$2:$G$801, 0)+1)), "")&lt;&gt;IFERROR(INDEX(ERP資料!$A:$A, MATCH(6, 輔助計算!$G$2:$G$801, 0)+1), "")), IFERROR(VLOOKUP(LEFT(INDEX(ERP資料!$S:$S, (MATCH(7, 輔助計算!$G$2:$G$801, 0)+1)), 4), 紙管對照表!$A:$C, 3, FALSE), ""), ""), "")</f>
        <v/>
      </c>
      <c r="D8" s="16" t="n"/>
      <c r="E8" s="10">
        <f>IFERROR(IF(INDEX(ERP資料!$H:$H, (MATCH(7, 輔助計算!$G$2:$G$801, 0)+1))="","",INDEX(ERP資料!$H:$H, (MATCH(7, 輔助計算!$G$2:$G$801, 0)+1))), "")</f>
        <v/>
      </c>
      <c r="F8" s="10">
        <f>IFERROR(IF(INDEX(ERP資料!$E:$E, (MATCH(7, 輔助計算!$G$2:$G$801, 0)+1))="","",TRIM(INDEX(ERP資料!$E:$E, (MATCH(7, 輔助計算!$G$2:$G$801, 0)+1)))), "")</f>
        <v/>
      </c>
      <c r="G8" s="10">
        <f>IFERROR(IF(INDEX(ERP資料!$F:$F, (MATCH(7, 輔助計算!$G$2:$G$801, 0)+1))="","",INDEX(ERP資料!$F:$F, (MATCH(7, 輔助計算!$G$2:$G$801, 0)+1))), "")</f>
        <v/>
      </c>
      <c r="H8" s="10">
        <f>IFERROR(IF(INDEX(ERP資料!$G:$G, (MATCH(7, 輔助計算!$G$2:$G$801, 0)+1))="","",INDEX(ERP資料!$G:$G, (MATCH(7, 輔助計算!$G$2:$G$801, 0)+1))), "")</f>
        <v/>
      </c>
      <c r="I8" s="15">
        <f>IFERROR(INDEX(輔助計算!$D:$D, (MATCH(7, 輔助計算!$G$2:$G$801, 0)+1)), "")</f>
        <v/>
      </c>
      <c r="J8" s="15">
        <f>IFERROR(IF(AND(INDEX(輔助計算!$D:$D, (MATCH(7, 輔助計算!$G$2:$G$801, 0)+1))&lt;&gt;"", INDEX(ERP資料!$G:$G, (MATCH(7, 輔助計算!$G$2:$G$801, 0)+1))&lt;&gt;""), TRIM(IF(INT(INDEX(輔助計算!$D:$D, (MATCH(7, 輔助計算!$G$2:$G$801, 0)+1))/IF(INDEX(ERP資料!$G:$G, (MATCH(7, 輔助計算!$G$2:$G$801, 0)+1))&lt;100, IF(INDEX(ERP資料!$G:$G, (MATCH(7, 輔助計算!$G$2:$G$801, 0)+1))&lt;=31,3,IF(INDEX(ERP資料!$G:$G, (MATCH(7, 輔助計算!$G$2:$G$801, 0)+1))&lt;=46.5,2,1)), IF(INDEX(ERP資料!$G:$G, (MATCH(7, 輔助計算!$G$2:$G$801, 0)+1))&lt;=790,3,IF(INDEX(ERP資料!$G:$G, (MATCH(7, 輔助計算!$G$2:$G$801, 0)+1))&lt;=1181,2,1))))&gt;0, IF(IF(INDEX(ERP資料!$G:$G, (MATCH(7, 輔助計算!$G$2:$G$801, 0)+1))&lt;100, IF(INDEX(ERP資料!$G:$G, (MATCH(7, 輔助計算!$G$2:$G$801, 0)+1))&lt;=31,3,IF(INDEX(ERP資料!$G:$G, (MATCH(7, 輔助計算!$G$2:$G$801, 0)+1))&lt;=46.5,2,1)), IF(INDEX(ERP資料!$G:$G, (MATCH(7, 輔助計算!$G$2:$G$801, 0)+1))&lt;=790,3,IF(INDEX(ERP資料!$G:$G, (MATCH(7, 輔助計算!$G$2:$G$801, 0)+1))&lt;=1181,2,1)))=1,TEXT(INDEX(ERP資料!$G:$G, (MATCH(7, 輔助計算!$G$2:$G$801, 0)+1)),"0.##"),IF(IF(INDEX(ERP資料!$G:$G, (MATCH(7, 輔助計算!$G$2:$G$801, 0)+1))&lt;100, IF(INDEX(ERP資料!$G:$G, (MATCH(7, 輔助計算!$G$2:$G$801, 0)+1))&lt;=31,3,IF(INDEX(ERP資料!$G:$G, (MATCH(7, 輔助計算!$G$2:$G$801, 0)+1))&lt;=46.5,2,1)), IF(INDEX(ERP資料!$G:$G, (MATCH(7, 輔助計算!$G$2:$G$801, 0)+1))&lt;=790,3,IF(INDEX(ERP資料!$G:$G, (MATCH(7, 輔助計算!$G$2:$G$801, 0)+1))&lt;=1181,2,1)))=2,TEXT(INDEX(ERP資料!$G:$G, (MATCH(7, 輔助計算!$G$2:$G$801, 0)+1)),"0.##")&amp;"+"&amp;TEXT(INDEX(ERP資料!$G:$G, (MATCH(7, 輔助計算!$G$2:$G$801, 0)+1)),"0.##"),TEXT(INDEX(ERP資料!$G:$G, (MATCH(7, 輔助計算!$G$2:$G$801, 0)+1)),"0.##")&amp;"+"&amp;TEXT(INDEX(ERP資料!$G:$G, (MATCH(7, 輔助計算!$G$2:$G$801, 0)+1)),"0.##")&amp;"+"&amp;TEXT(INDEX(ERP資料!$G:$G, (MATCH(7, 輔助計算!$G$2:$G$801, 0)+1)),"0.##")))&amp;"-"&amp;INT(INDEX(輔助計算!$D:$D, (MATCH(7, 輔助計算!$G$2:$G$801, 0)+1))/IF(INDEX(ERP資料!$G:$G, (MATCH(7, 輔助計算!$G$2:$G$801, 0)+1))&lt;100, IF(INDEX(ERP資料!$G:$G, (MATCH(7, 輔助計算!$G$2:$G$801, 0)+1))&lt;=31,3,IF(INDEX(ERP資料!$G:$G, (MATCH(7, 輔助計算!$G$2:$G$801, 0)+1))&lt;=46.5,2,1)), IF(INDEX(ERP資料!$G:$G, (MATCH(7, 輔助計算!$G$2:$G$801, 0)+1))&lt;=790,3,IF(INDEX(ERP資料!$G:$G, (MATCH(7, 輔助計算!$G$2:$G$801, 0)+1))&lt;=1181,2,1)))), "")&amp;IF(AND(IF(INT(INDEX(輔助計算!$D:$D, (MATCH(7, 輔助計算!$G$2:$G$801, 0)+1))/IF(INDEX(ERP資料!$G:$G, (MATCH(7, 輔助計算!$G$2:$G$801, 0)+1))&lt;100, IF(INDEX(ERP資料!$G:$G, (MATCH(7, 輔助計算!$G$2:$G$801, 0)+1))&lt;=31,3,IF(INDEX(ERP資料!$G:$G, (MATCH(7, 輔助計算!$G$2:$G$801, 0)+1))&lt;=46.5,2,1)), IF(INDEX(ERP資料!$G:$G, (MATCH(7, 輔助計算!$G$2:$G$801, 0)+1))&lt;=790,3,IF(INDEX(ERP資料!$G:$G, (MATCH(7, 輔助計算!$G$2:$G$801, 0)+1))&lt;=1181,2,1))))&gt;0, IF(IF(INDEX(ERP資料!$G:$G, (MATCH(7, 輔助計算!$G$2:$G$801, 0)+1))&lt;100, IF(INDEX(ERP資料!$G:$G, (MATCH(7, 輔助計算!$G$2:$G$801, 0)+1))&lt;=31,3,IF(INDEX(ERP資料!$G:$G, (MATCH(7, 輔助計算!$G$2:$G$801, 0)+1))&lt;=46.5,2,1)), IF(INDEX(ERP資料!$G:$G, (MATCH(7, 輔助計算!$G$2:$G$801, 0)+1))&lt;=790,3,IF(INDEX(ERP資料!$G:$G, (MATCH(7, 輔助計算!$G$2:$G$801, 0)+1))&lt;=1181,2,1)))=1,TEXT(INDEX(ERP資料!$G:$G, (MATCH(7, 輔助計算!$G$2:$G$801, 0)+1)),"0.##"),IF(IF(INDEX(ERP資料!$G:$G, (MATCH(7, 輔助計算!$G$2:$G$801, 0)+1))&lt;100, IF(INDEX(ERP資料!$G:$G, (MATCH(7, 輔助計算!$G$2:$G$801, 0)+1))&lt;=31,3,IF(INDEX(ERP資料!$G:$G, (MATCH(7, 輔助計算!$G$2:$G$801, 0)+1))&lt;=46.5,2,1)), IF(INDEX(ERP資料!$G:$G, (MATCH(7, 輔助計算!$G$2:$G$801, 0)+1))&lt;=790,3,IF(INDEX(ERP資料!$G:$G, (MATCH(7, 輔助計算!$G$2:$G$801, 0)+1))&lt;=1181,2,1)))=2,TEXT(INDEX(ERP資料!$G:$G, (MATCH(7, 輔助計算!$G$2:$G$801, 0)+1)),"0.##")&amp;"+"&amp;TEXT(INDEX(ERP資料!$G:$G, (MATCH(7, 輔助計算!$G$2:$G$801, 0)+1)),"0.##"),TEXT(INDEX(ERP資料!$G:$G, (MATCH(7, 輔助計算!$G$2:$G$801, 0)+1)),"0.##")&amp;"+"&amp;TEXT(INDEX(ERP資料!$G:$G, (MATCH(7, 輔助計算!$G$2:$G$801, 0)+1)),"0.##")&amp;"+"&amp;TEXT(INDEX(ERP資料!$G:$G, (MATCH(7, 輔助計算!$G$2:$G$801, 0)+1)),"0.##")))&amp;"-"&amp;INT(INDEX(輔助計算!$D:$D, (MATCH(7, 輔助計算!$G$2:$G$801, 0)+1))/IF(INDEX(ERP資料!$G:$G, (MATCH(7, 輔助計算!$G$2:$G$801, 0)+1))&lt;100, IF(INDEX(ERP資料!$G:$G, (MATCH(7, 輔助計算!$G$2:$G$801, 0)+1))&lt;=31,3,IF(INDEX(ERP資料!$G:$G, (MATCH(7, 輔助計算!$G$2:$G$801, 0)+1))&lt;=46.5,2,1)), IF(INDEX(ERP資料!$G:$G, (MATCH(7, 輔助計算!$G$2:$G$801, 0)+1))&lt;=790,3,IF(INDEX(ERP資料!$G:$G, (MATCH(7, 輔助計算!$G$2:$G$801, 0)+1))&lt;=1181,2,1)))), "")&lt;&gt;"",IF(MOD(INDEX(輔助計算!$D:$D, (MATCH(7, 輔助計算!$G$2:$G$801, 0)+1)),IF(INDEX(ERP資料!$G:$G, (MATCH(7, 輔助計算!$G$2:$G$801, 0)+1))&lt;100, IF(INDEX(ERP資料!$G:$G, (MATCH(7, 輔助計算!$G$2:$G$801, 0)+1))&lt;=31,3,IF(INDEX(ERP資料!$G:$G, (MATCH(7, 輔助計算!$G$2:$G$801, 0)+1))&lt;=46.5,2,1)), IF(INDEX(ERP資料!$G:$G, (MATCH(7, 輔助計算!$G$2:$G$801, 0)+1))&lt;=790,3,IF(INDEX(ERP資料!$G:$G, (MATCH(7, 輔助計算!$G$2:$G$801, 0)+1))&lt;=1181,2,1))))=0,"",IF(MOD(INDEX(輔助計算!$D:$D, (MATCH(7, 輔助計算!$G$2:$G$801, 0)+1)),IF(INDEX(ERP資料!$G:$G, (MATCH(7, 輔助計算!$G$2:$G$801, 0)+1))&lt;100, IF(INDEX(ERP資料!$G:$G, (MATCH(7, 輔助計算!$G$2:$G$801, 0)+1))&lt;=31,3,IF(INDEX(ERP資料!$G:$G, (MATCH(7, 輔助計算!$G$2:$G$801, 0)+1))&lt;=46.5,2,1)), IF(INDEX(ERP資料!$G:$G, (MATCH(7, 輔助計算!$G$2:$G$801, 0)+1))&lt;=790,3,IF(INDEX(ERP資料!$G:$G, (MATCH(7, 輔助計算!$G$2:$G$801, 0)+1))&lt;=1181,2,1))))=0,"",IF(MOD(INDEX(輔助計算!$D:$D, (MATCH(7, 輔助計算!$G$2:$G$801, 0)+1)),IF(INDEX(ERP資料!$G:$G, (MATCH(7, 輔助計算!$G$2:$G$801, 0)+1))&lt;100, IF(INDEX(ERP資料!$G:$G, (MATCH(7, 輔助計算!$G$2:$G$801, 0)+1))&lt;=31,3,IF(INDEX(ERP資料!$G:$G, (MATCH(7, 輔助計算!$G$2:$G$801, 0)+1))&lt;=46.5,2,1)), IF(INDEX(ERP資料!$G:$G, (MATCH(7, 輔助計算!$G$2:$G$801, 0)+1))&lt;=790,3,IF(INDEX(ERP資料!$G:$G, (MATCH(7, 輔助計算!$G$2:$G$801, 0)+1))&lt;=1181,2,1))))=1,TEXT(INDEX(ERP資料!$G:$G, (MATCH(7, 輔助計算!$G$2:$G$801, 0)+1)),"0.##"),IF(MOD(INDEX(輔助計算!$D:$D, (MATCH(7, 輔助計算!$G$2:$G$801, 0)+1)),IF(INDEX(ERP資料!$G:$G, (MATCH(7, 輔助計算!$G$2:$G$801, 0)+1))&lt;100, IF(INDEX(ERP資料!$G:$G, (MATCH(7, 輔助計算!$G$2:$G$801, 0)+1))&lt;=31,3,IF(INDEX(ERP資料!$G:$G, (MATCH(7, 輔助計算!$G$2:$G$801, 0)+1))&lt;=46.5,2,1)), IF(INDEX(ERP資料!$G:$G, (MATCH(7, 輔助計算!$G$2:$G$801, 0)+1))&lt;=790,3,IF(INDEX(ERP資料!$G:$G, (MATCH(7, 輔助計算!$G$2:$G$801, 0)+1))&lt;=1181,2,1))))=2,TEXT(INDEX(ERP資料!$G:$G, (MATCH(7, 輔助計算!$G$2:$G$801, 0)+1)),"0.##")&amp;"+"&amp;TEXT(INDEX(ERP資料!$G:$G, (MATCH(7, 輔助計算!$G$2:$G$801, 0)+1)),"0.##"),TEXT(INDEX(ERP資料!$G:$G, (MATCH(7, 輔助計算!$G$2:$G$801, 0)+1)),"0.##")&amp;"+"&amp;TEXT(INDEX(ERP資料!$G:$G, (MATCH(7, 輔助計算!$G$2:$G$801, 0)+1)),"0.##")&amp;"+"&amp;TEXT(INDEX(ERP資料!$G:$G, (MATCH(7, 輔助計算!$G$2:$G$801, 0)+1)),"0.##"))))&amp;"-1")&lt;&gt;""),"  ","")&amp;IF(MOD(INDEX(輔助計算!$D:$D, (MATCH(7, 輔助計算!$G$2:$G$801, 0)+1)),IF(INDEX(ERP資料!$G:$G, (MATCH(7, 輔助計算!$G$2:$G$801, 0)+1))&lt;100, IF(INDEX(ERP資料!$G:$G, (MATCH(7, 輔助計算!$G$2:$G$801, 0)+1))&lt;=31,3,IF(INDEX(ERP資料!$G:$G, (MATCH(7, 輔助計算!$G$2:$G$801, 0)+1))&lt;=46.5,2,1)), IF(INDEX(ERP資料!$G:$G, (MATCH(7, 輔助計算!$G$2:$G$801, 0)+1))&lt;=790,3,IF(INDEX(ERP資料!$G:$G, (MATCH(7, 輔助計算!$G$2:$G$801, 0)+1))&lt;=1181,2,1))))=0,"",IF(MOD(INDEX(輔助計算!$D:$D, (MATCH(7, 輔助計算!$G$2:$G$801, 0)+1)),IF(INDEX(ERP資料!$G:$G, (MATCH(7, 輔助計算!$G$2:$G$801, 0)+1))&lt;100, IF(INDEX(ERP資料!$G:$G, (MATCH(7, 輔助計算!$G$2:$G$801, 0)+1))&lt;=31,3,IF(INDEX(ERP資料!$G:$G, (MATCH(7, 輔助計算!$G$2:$G$801, 0)+1))&lt;=46.5,2,1)), IF(INDEX(ERP資料!$G:$G, (MATCH(7, 輔助計算!$G$2:$G$801, 0)+1))&lt;=790,3,IF(INDEX(ERP資料!$G:$G, (MATCH(7, 輔助計算!$G$2:$G$801, 0)+1))&lt;=1181,2,1))))=0,"",IF(MOD(INDEX(輔助計算!$D:$D, (MATCH(7, 輔助計算!$G$2:$G$801, 0)+1)),IF(INDEX(ERP資料!$G:$G, (MATCH(7, 輔助計算!$G$2:$G$801, 0)+1))&lt;100, IF(INDEX(ERP資料!$G:$G, (MATCH(7, 輔助計算!$G$2:$G$801, 0)+1))&lt;=31,3,IF(INDEX(ERP資料!$G:$G, (MATCH(7, 輔助計算!$G$2:$G$801, 0)+1))&lt;=46.5,2,1)), IF(INDEX(ERP資料!$G:$G, (MATCH(7, 輔助計算!$G$2:$G$801, 0)+1))&lt;=790,3,IF(INDEX(ERP資料!$G:$G, (MATCH(7, 輔助計算!$G$2:$G$801, 0)+1))&lt;=1181,2,1))))=1,TEXT(INDEX(ERP資料!$G:$G, (MATCH(7, 輔助計算!$G$2:$G$801, 0)+1)),"0.##"),IF(MOD(INDEX(輔助計算!$D:$D, (MATCH(7, 輔助計算!$G$2:$G$801, 0)+1)),IF(INDEX(ERP資料!$G:$G, (MATCH(7, 輔助計算!$G$2:$G$801, 0)+1))&lt;100, IF(INDEX(ERP資料!$G:$G, (MATCH(7, 輔助計算!$G$2:$G$801, 0)+1))&lt;=31,3,IF(INDEX(ERP資料!$G:$G, (MATCH(7, 輔助計算!$G$2:$G$801, 0)+1))&lt;=46.5,2,1)), IF(INDEX(ERP資料!$G:$G, (MATCH(7, 輔助計算!$G$2:$G$801, 0)+1))&lt;=790,3,IF(INDEX(ERP資料!$G:$G, (MATCH(7, 輔助計算!$G$2:$G$801, 0)+1))&lt;=1181,2,1))))=2,TEXT(INDEX(ERP資料!$G:$G, (MATCH(7, 輔助計算!$G$2:$G$801, 0)+1)),"0.##")&amp;"+"&amp;TEXT(INDEX(ERP資料!$G:$G, (MATCH(7, 輔助計算!$G$2:$G$801, 0)+1)),"0.##"),TEXT(INDEX(ERP資料!$G:$G, (MATCH(7, 輔助計算!$G$2:$G$801, 0)+1)),"0.##")&amp;"+"&amp;TEXT(INDEX(ERP資料!$G:$G, (MATCH(7, 輔助計算!$G$2:$G$801, 0)+1)),"0.##")&amp;"+"&amp;TEXT(INDEX(ERP資料!$G:$G, (MATCH(7, 輔助計算!$G$2:$G$801, 0)+1)),"0.##"))))&amp;"-1")), ""), "")</f>
        <v/>
      </c>
      <c r="K8" s="16" t="n"/>
      <c r="L8" s="14">
        <f>IFERROR(IF(AND(IFERROR(INDEX(ERP資料!$A:$A, (MATCH(7, 輔助計算!$G$2:$G$801, 0)+1)), "")&lt;&gt;"", IFERROR(INDEX(ERP資料!$A:$A, (MATCH(7, 輔助計算!$G$2:$G$801, 0)+1)), "")&lt;&gt;IFERROR(INDEX(ERP資料!$A:$A, MATCH(6, 輔助計算!$G$2:$G$801, 0)+1), "")), INDEX(ERP資料!$B:$B, (MATCH(7, 輔助計算!$G$2:$G$801, 0)+1)), ""), "")</f>
        <v/>
      </c>
      <c r="M8" s="17" t="n"/>
    </row>
    <row r="9">
      <c r="A9" s="10">
        <f>IFERROR(IF(AND(IFERROR(INDEX(ERP資料!$A:$A, (MATCH(8, 輔助計算!$G$2:$G$801, 0)+1)), "")&lt;&gt;"", IFERROR(INDEX(ERP資料!$A:$A, (MATCH(8, 輔助計算!$G$2:$G$801, 0)+1)), "")&lt;&gt;IFERROR(INDEX(ERP資料!$A:$A, MATCH(7, 輔助計算!$G$2:$G$801, 0)+1), "")), IFERROR(INDEX(ERP資料!$A:$A, (MATCH(8, 輔助計算!$G$2:$G$801, 0)+1)), ""), ""), "")</f>
        <v/>
      </c>
      <c r="B9" s="10">
        <f>IFERROR(IF(AND(IFERROR(INDEX(ERP資料!$A:$A, (MATCH(8, 輔助計算!$G$2:$G$801, 0)+1)), "")&lt;&gt;"", IFERROR(INDEX(ERP資料!$A:$A, (MATCH(8, 輔助計算!$G$2:$G$801, 0)+1)), "")&lt;&gt;IFERROR(INDEX(ERP資料!$A:$A, MATCH(7, 輔助計算!$G$2:$G$801, 0)+1), "")), INDEX(ERP資料!$S:$S, (MATCH(8, 輔助計算!$G$2:$G$801, 0)+1)), ""), "")</f>
        <v/>
      </c>
      <c r="C9" s="19">
        <f>IFERROR(IF(AND(IFERROR(INDEX(ERP資料!$A:$A, (MATCH(8, 輔助計算!$G$2:$G$801, 0)+1)), "")&lt;&gt;"", IFERROR(INDEX(ERP資料!$A:$A, (MATCH(8, 輔助計算!$G$2:$G$801, 0)+1)), "")&lt;&gt;IFERROR(INDEX(ERP資料!$A:$A, MATCH(7, 輔助計算!$G$2:$G$801, 0)+1), "")), IFERROR(VLOOKUP(LEFT(INDEX(ERP資料!$S:$S, (MATCH(8, 輔助計算!$G$2:$G$801, 0)+1)), 4), 紙管對照表!$A:$C, 3, FALSE), ""), ""), "")</f>
        <v/>
      </c>
      <c r="D9" s="16" t="n"/>
      <c r="E9" s="10">
        <f>IFERROR(IF(INDEX(ERP資料!$H:$H, (MATCH(8, 輔助計算!$G$2:$G$801, 0)+1))="","",INDEX(ERP資料!$H:$H, (MATCH(8, 輔助計算!$G$2:$G$801, 0)+1))), "")</f>
        <v/>
      </c>
      <c r="F9" s="10">
        <f>IFERROR(IF(INDEX(ERP資料!$E:$E, (MATCH(8, 輔助計算!$G$2:$G$801, 0)+1))="","",TRIM(INDEX(ERP資料!$E:$E, (MATCH(8, 輔助計算!$G$2:$G$801, 0)+1)))), "")</f>
        <v/>
      </c>
      <c r="G9" s="10">
        <f>IFERROR(IF(INDEX(ERP資料!$F:$F, (MATCH(8, 輔助計算!$G$2:$G$801, 0)+1))="","",INDEX(ERP資料!$F:$F, (MATCH(8, 輔助計算!$G$2:$G$801, 0)+1))), "")</f>
        <v/>
      </c>
      <c r="H9" s="10">
        <f>IFERROR(IF(INDEX(ERP資料!$G:$G, (MATCH(8, 輔助計算!$G$2:$G$801, 0)+1))="","",INDEX(ERP資料!$G:$G, (MATCH(8, 輔助計算!$G$2:$G$801, 0)+1))), "")</f>
        <v/>
      </c>
      <c r="I9" s="15">
        <f>IFERROR(INDEX(輔助計算!$D:$D, (MATCH(8, 輔助計算!$G$2:$G$801, 0)+1)), "")</f>
        <v/>
      </c>
      <c r="J9" s="15">
        <f>IFERROR(IF(AND(INDEX(輔助計算!$D:$D, (MATCH(8, 輔助計算!$G$2:$G$801, 0)+1))&lt;&gt;"", INDEX(ERP資料!$G:$G, (MATCH(8, 輔助計算!$G$2:$G$801, 0)+1))&lt;&gt;""), TRIM(IF(INT(INDEX(輔助計算!$D:$D, (MATCH(8, 輔助計算!$G$2:$G$801, 0)+1))/IF(INDEX(ERP資料!$G:$G, (MATCH(8, 輔助計算!$G$2:$G$801, 0)+1))&lt;100, IF(INDEX(ERP資料!$G:$G, (MATCH(8, 輔助計算!$G$2:$G$801, 0)+1))&lt;=31,3,IF(INDEX(ERP資料!$G:$G, (MATCH(8, 輔助計算!$G$2:$G$801, 0)+1))&lt;=46.5,2,1)), IF(INDEX(ERP資料!$G:$G, (MATCH(8, 輔助計算!$G$2:$G$801, 0)+1))&lt;=790,3,IF(INDEX(ERP資料!$G:$G, (MATCH(8, 輔助計算!$G$2:$G$801, 0)+1))&lt;=1181,2,1))))&gt;0, IF(IF(INDEX(ERP資料!$G:$G, (MATCH(8, 輔助計算!$G$2:$G$801, 0)+1))&lt;100, IF(INDEX(ERP資料!$G:$G, (MATCH(8, 輔助計算!$G$2:$G$801, 0)+1))&lt;=31,3,IF(INDEX(ERP資料!$G:$G, (MATCH(8, 輔助計算!$G$2:$G$801, 0)+1))&lt;=46.5,2,1)), IF(INDEX(ERP資料!$G:$G, (MATCH(8, 輔助計算!$G$2:$G$801, 0)+1))&lt;=790,3,IF(INDEX(ERP資料!$G:$G, (MATCH(8, 輔助計算!$G$2:$G$801, 0)+1))&lt;=1181,2,1)))=1,TEXT(INDEX(ERP資料!$G:$G, (MATCH(8, 輔助計算!$G$2:$G$801, 0)+1)),"0.##"),IF(IF(INDEX(ERP資料!$G:$G, (MATCH(8, 輔助計算!$G$2:$G$801, 0)+1))&lt;100, IF(INDEX(ERP資料!$G:$G, (MATCH(8, 輔助計算!$G$2:$G$801, 0)+1))&lt;=31,3,IF(INDEX(ERP資料!$G:$G, (MATCH(8, 輔助計算!$G$2:$G$801, 0)+1))&lt;=46.5,2,1)), IF(INDEX(ERP資料!$G:$G, (MATCH(8, 輔助計算!$G$2:$G$801, 0)+1))&lt;=790,3,IF(INDEX(ERP資料!$G:$G, (MATCH(8, 輔助計算!$G$2:$G$801, 0)+1))&lt;=1181,2,1)))=2,TEXT(INDEX(ERP資料!$G:$G, (MATCH(8, 輔助計算!$G$2:$G$801, 0)+1)),"0.##")&amp;"+"&amp;TEXT(INDEX(ERP資料!$G:$G, (MATCH(8, 輔助計算!$G$2:$G$801, 0)+1)),"0.##"),TEXT(INDEX(ERP資料!$G:$G, (MATCH(8, 輔助計算!$G$2:$G$801, 0)+1)),"0.##")&amp;"+"&amp;TEXT(INDEX(ERP資料!$G:$G, (MATCH(8, 輔助計算!$G$2:$G$801, 0)+1)),"0.##")&amp;"+"&amp;TEXT(INDEX(ERP資料!$G:$G, (MATCH(8, 輔助計算!$G$2:$G$801, 0)+1)),"0.##")))&amp;"-"&amp;INT(INDEX(輔助計算!$D:$D, (MATCH(8, 輔助計算!$G$2:$G$801, 0)+1))/IF(INDEX(ERP資料!$G:$G, (MATCH(8, 輔助計算!$G$2:$G$801, 0)+1))&lt;100, IF(INDEX(ERP資料!$G:$G, (MATCH(8, 輔助計算!$G$2:$G$801, 0)+1))&lt;=31,3,IF(INDEX(ERP資料!$G:$G, (MATCH(8, 輔助計算!$G$2:$G$801, 0)+1))&lt;=46.5,2,1)), IF(INDEX(ERP資料!$G:$G, (MATCH(8, 輔助計算!$G$2:$G$801, 0)+1))&lt;=790,3,IF(INDEX(ERP資料!$G:$G, (MATCH(8, 輔助計算!$G$2:$G$801, 0)+1))&lt;=1181,2,1)))), "")&amp;IF(AND(IF(INT(INDEX(輔助計算!$D:$D, (MATCH(8, 輔助計算!$G$2:$G$801, 0)+1))/IF(INDEX(ERP資料!$G:$G, (MATCH(8, 輔助計算!$G$2:$G$801, 0)+1))&lt;100, IF(INDEX(ERP資料!$G:$G, (MATCH(8, 輔助計算!$G$2:$G$801, 0)+1))&lt;=31,3,IF(INDEX(ERP資料!$G:$G, (MATCH(8, 輔助計算!$G$2:$G$801, 0)+1))&lt;=46.5,2,1)), IF(INDEX(ERP資料!$G:$G, (MATCH(8, 輔助計算!$G$2:$G$801, 0)+1))&lt;=790,3,IF(INDEX(ERP資料!$G:$G, (MATCH(8, 輔助計算!$G$2:$G$801, 0)+1))&lt;=1181,2,1))))&gt;0, IF(IF(INDEX(ERP資料!$G:$G, (MATCH(8, 輔助計算!$G$2:$G$801, 0)+1))&lt;100, IF(INDEX(ERP資料!$G:$G, (MATCH(8, 輔助計算!$G$2:$G$801, 0)+1))&lt;=31,3,IF(INDEX(ERP資料!$G:$G, (MATCH(8, 輔助計算!$G$2:$G$801, 0)+1))&lt;=46.5,2,1)), IF(INDEX(ERP資料!$G:$G, (MATCH(8, 輔助計算!$G$2:$G$801, 0)+1))&lt;=790,3,IF(INDEX(ERP資料!$G:$G, (MATCH(8, 輔助計算!$G$2:$G$801, 0)+1))&lt;=1181,2,1)))=1,TEXT(INDEX(ERP資料!$G:$G, (MATCH(8, 輔助計算!$G$2:$G$801, 0)+1)),"0.##"),IF(IF(INDEX(ERP資料!$G:$G, (MATCH(8, 輔助計算!$G$2:$G$801, 0)+1))&lt;100, IF(INDEX(ERP資料!$G:$G, (MATCH(8, 輔助計算!$G$2:$G$801, 0)+1))&lt;=31,3,IF(INDEX(ERP資料!$G:$G, (MATCH(8, 輔助計算!$G$2:$G$801, 0)+1))&lt;=46.5,2,1)), IF(INDEX(ERP資料!$G:$G, (MATCH(8, 輔助計算!$G$2:$G$801, 0)+1))&lt;=790,3,IF(INDEX(ERP資料!$G:$G, (MATCH(8, 輔助計算!$G$2:$G$801, 0)+1))&lt;=1181,2,1)))=2,TEXT(INDEX(ERP資料!$G:$G, (MATCH(8, 輔助計算!$G$2:$G$801, 0)+1)),"0.##")&amp;"+"&amp;TEXT(INDEX(ERP資料!$G:$G, (MATCH(8, 輔助計算!$G$2:$G$801, 0)+1)),"0.##"),TEXT(INDEX(ERP資料!$G:$G, (MATCH(8, 輔助計算!$G$2:$G$801, 0)+1)),"0.##")&amp;"+"&amp;TEXT(INDEX(ERP資料!$G:$G, (MATCH(8, 輔助計算!$G$2:$G$801, 0)+1)),"0.##")&amp;"+"&amp;TEXT(INDEX(ERP資料!$G:$G, (MATCH(8, 輔助計算!$G$2:$G$801, 0)+1)),"0.##")))&amp;"-"&amp;INT(INDEX(輔助計算!$D:$D, (MATCH(8, 輔助計算!$G$2:$G$801, 0)+1))/IF(INDEX(ERP資料!$G:$G, (MATCH(8, 輔助計算!$G$2:$G$801, 0)+1))&lt;100, IF(INDEX(ERP資料!$G:$G, (MATCH(8, 輔助計算!$G$2:$G$801, 0)+1))&lt;=31,3,IF(INDEX(ERP資料!$G:$G, (MATCH(8, 輔助計算!$G$2:$G$801, 0)+1))&lt;=46.5,2,1)), IF(INDEX(ERP資料!$G:$G, (MATCH(8, 輔助計算!$G$2:$G$801, 0)+1))&lt;=790,3,IF(INDEX(ERP資料!$G:$G, (MATCH(8, 輔助計算!$G$2:$G$801, 0)+1))&lt;=1181,2,1)))), "")&lt;&gt;"",IF(MOD(INDEX(輔助計算!$D:$D, (MATCH(8, 輔助計算!$G$2:$G$801, 0)+1)),IF(INDEX(ERP資料!$G:$G, (MATCH(8, 輔助計算!$G$2:$G$801, 0)+1))&lt;100, IF(INDEX(ERP資料!$G:$G, (MATCH(8, 輔助計算!$G$2:$G$801, 0)+1))&lt;=31,3,IF(INDEX(ERP資料!$G:$G, (MATCH(8, 輔助計算!$G$2:$G$801, 0)+1))&lt;=46.5,2,1)), IF(INDEX(ERP資料!$G:$G, (MATCH(8, 輔助計算!$G$2:$G$801, 0)+1))&lt;=790,3,IF(INDEX(ERP資料!$G:$G, (MATCH(8, 輔助計算!$G$2:$G$801, 0)+1))&lt;=1181,2,1))))=0,"",IF(MOD(INDEX(輔助計算!$D:$D, (MATCH(8, 輔助計算!$G$2:$G$801, 0)+1)),IF(INDEX(ERP資料!$G:$G, (MATCH(8, 輔助計算!$G$2:$G$801, 0)+1))&lt;100, IF(INDEX(ERP資料!$G:$G, (MATCH(8, 輔助計算!$G$2:$G$801, 0)+1))&lt;=31,3,IF(INDEX(ERP資料!$G:$G, (MATCH(8, 輔助計算!$G$2:$G$801, 0)+1))&lt;=46.5,2,1)), IF(INDEX(ERP資料!$G:$G, (MATCH(8, 輔助計算!$G$2:$G$801, 0)+1))&lt;=790,3,IF(INDEX(ERP資料!$G:$G, (MATCH(8, 輔助計算!$G$2:$G$801, 0)+1))&lt;=1181,2,1))))=0,"",IF(MOD(INDEX(輔助計算!$D:$D, (MATCH(8, 輔助計算!$G$2:$G$801, 0)+1)),IF(INDEX(ERP資料!$G:$G, (MATCH(8, 輔助計算!$G$2:$G$801, 0)+1))&lt;100, IF(INDEX(ERP資料!$G:$G, (MATCH(8, 輔助計算!$G$2:$G$801, 0)+1))&lt;=31,3,IF(INDEX(ERP資料!$G:$G, (MATCH(8, 輔助計算!$G$2:$G$801, 0)+1))&lt;=46.5,2,1)), IF(INDEX(ERP資料!$G:$G, (MATCH(8, 輔助計算!$G$2:$G$801, 0)+1))&lt;=790,3,IF(INDEX(ERP資料!$G:$G, (MATCH(8, 輔助計算!$G$2:$G$801, 0)+1))&lt;=1181,2,1))))=1,TEXT(INDEX(ERP資料!$G:$G, (MATCH(8, 輔助計算!$G$2:$G$801, 0)+1)),"0.##"),IF(MOD(INDEX(輔助計算!$D:$D, (MATCH(8, 輔助計算!$G$2:$G$801, 0)+1)),IF(INDEX(ERP資料!$G:$G, (MATCH(8, 輔助計算!$G$2:$G$801, 0)+1))&lt;100, IF(INDEX(ERP資料!$G:$G, (MATCH(8, 輔助計算!$G$2:$G$801, 0)+1))&lt;=31,3,IF(INDEX(ERP資料!$G:$G, (MATCH(8, 輔助計算!$G$2:$G$801, 0)+1))&lt;=46.5,2,1)), IF(INDEX(ERP資料!$G:$G, (MATCH(8, 輔助計算!$G$2:$G$801, 0)+1))&lt;=790,3,IF(INDEX(ERP資料!$G:$G, (MATCH(8, 輔助計算!$G$2:$G$801, 0)+1))&lt;=1181,2,1))))=2,TEXT(INDEX(ERP資料!$G:$G, (MATCH(8, 輔助計算!$G$2:$G$801, 0)+1)),"0.##")&amp;"+"&amp;TEXT(INDEX(ERP資料!$G:$G, (MATCH(8, 輔助計算!$G$2:$G$801, 0)+1)),"0.##"),TEXT(INDEX(ERP資料!$G:$G, (MATCH(8, 輔助計算!$G$2:$G$801, 0)+1)),"0.##")&amp;"+"&amp;TEXT(INDEX(ERP資料!$G:$G, (MATCH(8, 輔助計算!$G$2:$G$801, 0)+1)),"0.##")&amp;"+"&amp;TEXT(INDEX(ERP資料!$G:$G, (MATCH(8, 輔助計算!$G$2:$G$801, 0)+1)),"0.##"))))&amp;"-1")&lt;&gt;""),"  ","")&amp;IF(MOD(INDEX(輔助計算!$D:$D, (MATCH(8, 輔助計算!$G$2:$G$801, 0)+1)),IF(INDEX(ERP資料!$G:$G, (MATCH(8, 輔助計算!$G$2:$G$801, 0)+1))&lt;100, IF(INDEX(ERP資料!$G:$G, (MATCH(8, 輔助計算!$G$2:$G$801, 0)+1))&lt;=31,3,IF(INDEX(ERP資料!$G:$G, (MATCH(8, 輔助計算!$G$2:$G$801, 0)+1))&lt;=46.5,2,1)), IF(INDEX(ERP資料!$G:$G, (MATCH(8, 輔助計算!$G$2:$G$801, 0)+1))&lt;=790,3,IF(INDEX(ERP資料!$G:$G, (MATCH(8, 輔助計算!$G$2:$G$801, 0)+1))&lt;=1181,2,1))))=0,"",IF(MOD(INDEX(輔助計算!$D:$D, (MATCH(8, 輔助計算!$G$2:$G$801, 0)+1)),IF(INDEX(ERP資料!$G:$G, (MATCH(8, 輔助計算!$G$2:$G$801, 0)+1))&lt;100, IF(INDEX(ERP資料!$G:$G, (MATCH(8, 輔助計算!$G$2:$G$801, 0)+1))&lt;=31,3,IF(INDEX(ERP資料!$G:$G, (MATCH(8, 輔助計算!$G$2:$G$801, 0)+1))&lt;=46.5,2,1)), IF(INDEX(ERP資料!$G:$G, (MATCH(8, 輔助計算!$G$2:$G$801, 0)+1))&lt;=790,3,IF(INDEX(ERP資料!$G:$G, (MATCH(8, 輔助計算!$G$2:$G$801, 0)+1))&lt;=1181,2,1))))=0,"",IF(MOD(INDEX(輔助計算!$D:$D, (MATCH(8, 輔助計算!$G$2:$G$801, 0)+1)),IF(INDEX(ERP資料!$G:$G, (MATCH(8, 輔助計算!$G$2:$G$801, 0)+1))&lt;100, IF(INDEX(ERP資料!$G:$G, (MATCH(8, 輔助計算!$G$2:$G$801, 0)+1))&lt;=31,3,IF(INDEX(ERP資料!$G:$G, (MATCH(8, 輔助計算!$G$2:$G$801, 0)+1))&lt;=46.5,2,1)), IF(INDEX(ERP資料!$G:$G, (MATCH(8, 輔助計算!$G$2:$G$801, 0)+1))&lt;=790,3,IF(INDEX(ERP資料!$G:$G, (MATCH(8, 輔助計算!$G$2:$G$801, 0)+1))&lt;=1181,2,1))))=1,TEXT(INDEX(ERP資料!$G:$G, (MATCH(8, 輔助計算!$G$2:$G$801, 0)+1)),"0.##"),IF(MOD(INDEX(輔助計算!$D:$D, (MATCH(8, 輔助計算!$G$2:$G$801, 0)+1)),IF(INDEX(ERP資料!$G:$G, (MATCH(8, 輔助計算!$G$2:$G$801, 0)+1))&lt;100, IF(INDEX(ERP資料!$G:$G, (MATCH(8, 輔助計算!$G$2:$G$801, 0)+1))&lt;=31,3,IF(INDEX(ERP資料!$G:$G, (MATCH(8, 輔助計算!$G$2:$G$801, 0)+1))&lt;=46.5,2,1)), IF(INDEX(ERP資料!$G:$G, (MATCH(8, 輔助計算!$G$2:$G$801, 0)+1))&lt;=790,3,IF(INDEX(ERP資料!$G:$G, (MATCH(8, 輔助計算!$G$2:$G$801, 0)+1))&lt;=1181,2,1))))=2,TEXT(INDEX(ERP資料!$G:$G, (MATCH(8, 輔助計算!$G$2:$G$801, 0)+1)),"0.##")&amp;"+"&amp;TEXT(INDEX(ERP資料!$G:$G, (MATCH(8, 輔助計算!$G$2:$G$801, 0)+1)),"0.##"),TEXT(INDEX(ERP資料!$G:$G, (MATCH(8, 輔助計算!$G$2:$G$801, 0)+1)),"0.##")&amp;"+"&amp;TEXT(INDEX(ERP資料!$G:$G, (MATCH(8, 輔助計算!$G$2:$G$801, 0)+1)),"0.##")&amp;"+"&amp;TEXT(INDEX(ERP資料!$G:$G, (MATCH(8, 輔助計算!$G$2:$G$801, 0)+1)),"0.##"))))&amp;"-1")), ""), "")</f>
        <v/>
      </c>
      <c r="K9" s="16" t="n"/>
      <c r="L9" s="14">
        <f>IFERROR(IF(AND(IFERROR(INDEX(ERP資料!$A:$A, (MATCH(8, 輔助計算!$G$2:$G$801, 0)+1)), "")&lt;&gt;"", IFERROR(INDEX(ERP資料!$A:$A, (MATCH(8, 輔助計算!$G$2:$G$801, 0)+1)), "")&lt;&gt;IFERROR(INDEX(ERP資料!$A:$A, MATCH(7, 輔助計算!$G$2:$G$801, 0)+1), "")), INDEX(ERP資料!$B:$B, (MATCH(8, 輔助計算!$G$2:$G$801, 0)+1)), ""), "")</f>
        <v/>
      </c>
      <c r="M9" s="17" t="n"/>
    </row>
    <row r="10">
      <c r="A10" s="10">
        <f>IFERROR(IF(AND(IFERROR(INDEX(ERP資料!$A:$A, (MATCH(9, 輔助計算!$G$2:$G$801, 0)+1)), "")&lt;&gt;"", IFERROR(INDEX(ERP資料!$A:$A, (MATCH(9, 輔助計算!$G$2:$G$801, 0)+1)), "")&lt;&gt;IFERROR(INDEX(ERP資料!$A:$A, MATCH(8, 輔助計算!$G$2:$G$801, 0)+1), "")), IFERROR(INDEX(ERP資料!$A:$A, (MATCH(9, 輔助計算!$G$2:$G$801, 0)+1)), ""), ""), "")</f>
        <v/>
      </c>
      <c r="B10" s="10">
        <f>IFERROR(IF(AND(IFERROR(INDEX(ERP資料!$A:$A, (MATCH(9, 輔助計算!$G$2:$G$801, 0)+1)), "")&lt;&gt;"", IFERROR(INDEX(ERP資料!$A:$A, (MATCH(9, 輔助計算!$G$2:$G$801, 0)+1)), "")&lt;&gt;IFERROR(INDEX(ERP資料!$A:$A, MATCH(8, 輔助計算!$G$2:$G$801, 0)+1), "")), INDEX(ERP資料!$S:$S, (MATCH(9, 輔助計算!$G$2:$G$801, 0)+1)), ""), "")</f>
        <v/>
      </c>
      <c r="C10" s="19">
        <f>IFERROR(IF(AND(IFERROR(INDEX(ERP資料!$A:$A, (MATCH(9, 輔助計算!$G$2:$G$801, 0)+1)), "")&lt;&gt;"", IFERROR(INDEX(ERP資料!$A:$A, (MATCH(9, 輔助計算!$G$2:$G$801, 0)+1)), "")&lt;&gt;IFERROR(INDEX(ERP資料!$A:$A, MATCH(8, 輔助計算!$G$2:$G$801, 0)+1), "")), IFERROR(VLOOKUP(LEFT(INDEX(ERP資料!$S:$S, (MATCH(9, 輔助計算!$G$2:$G$801, 0)+1)), 4), 紙管對照表!$A:$C, 3, FALSE), ""), ""), "")</f>
        <v/>
      </c>
      <c r="D10" s="16" t="n"/>
      <c r="E10" s="10">
        <f>IFERROR(IF(INDEX(ERP資料!$H:$H, (MATCH(9, 輔助計算!$G$2:$G$801, 0)+1))="","",INDEX(ERP資料!$H:$H, (MATCH(9, 輔助計算!$G$2:$G$801, 0)+1))), "")</f>
        <v/>
      </c>
      <c r="F10" s="10">
        <f>IFERROR(IF(INDEX(ERP資料!$E:$E, (MATCH(9, 輔助計算!$G$2:$G$801, 0)+1))="","",TRIM(INDEX(ERP資料!$E:$E, (MATCH(9, 輔助計算!$G$2:$G$801, 0)+1)))), "")</f>
        <v/>
      </c>
      <c r="G10" s="10">
        <f>IFERROR(IF(INDEX(ERP資料!$F:$F, (MATCH(9, 輔助計算!$G$2:$G$801, 0)+1))="","",INDEX(ERP資料!$F:$F, (MATCH(9, 輔助計算!$G$2:$G$801, 0)+1))), "")</f>
        <v/>
      </c>
      <c r="H10" s="10">
        <f>IFERROR(IF(INDEX(ERP資料!$G:$G, (MATCH(9, 輔助計算!$G$2:$G$801, 0)+1))="","",INDEX(ERP資料!$G:$G, (MATCH(9, 輔助計算!$G$2:$G$801, 0)+1))), "")</f>
        <v/>
      </c>
      <c r="I10" s="15">
        <f>IFERROR(INDEX(輔助計算!$D:$D, (MATCH(9, 輔助計算!$G$2:$G$801, 0)+1)), "")</f>
        <v/>
      </c>
      <c r="J10" s="15">
        <f>IFERROR(IF(AND(INDEX(輔助計算!$D:$D, (MATCH(9, 輔助計算!$G$2:$G$801, 0)+1))&lt;&gt;"", INDEX(ERP資料!$G:$G, (MATCH(9, 輔助計算!$G$2:$G$801, 0)+1))&lt;&gt;""), TRIM(IF(INT(INDEX(輔助計算!$D:$D, (MATCH(9, 輔助計算!$G$2:$G$801, 0)+1))/IF(INDEX(ERP資料!$G:$G, (MATCH(9, 輔助計算!$G$2:$G$801, 0)+1))&lt;100, IF(INDEX(ERP資料!$G:$G, (MATCH(9, 輔助計算!$G$2:$G$801, 0)+1))&lt;=31,3,IF(INDEX(ERP資料!$G:$G, (MATCH(9, 輔助計算!$G$2:$G$801, 0)+1))&lt;=46.5,2,1)), IF(INDEX(ERP資料!$G:$G, (MATCH(9, 輔助計算!$G$2:$G$801, 0)+1))&lt;=790,3,IF(INDEX(ERP資料!$G:$G, (MATCH(9, 輔助計算!$G$2:$G$801, 0)+1))&lt;=1181,2,1))))&gt;0, IF(IF(INDEX(ERP資料!$G:$G, (MATCH(9, 輔助計算!$G$2:$G$801, 0)+1))&lt;100, IF(INDEX(ERP資料!$G:$G, (MATCH(9, 輔助計算!$G$2:$G$801, 0)+1))&lt;=31,3,IF(INDEX(ERP資料!$G:$G, (MATCH(9, 輔助計算!$G$2:$G$801, 0)+1))&lt;=46.5,2,1)), IF(INDEX(ERP資料!$G:$G, (MATCH(9, 輔助計算!$G$2:$G$801, 0)+1))&lt;=790,3,IF(INDEX(ERP資料!$G:$G, (MATCH(9, 輔助計算!$G$2:$G$801, 0)+1))&lt;=1181,2,1)))=1,TEXT(INDEX(ERP資料!$G:$G, (MATCH(9, 輔助計算!$G$2:$G$801, 0)+1)),"0.##"),IF(IF(INDEX(ERP資料!$G:$G, (MATCH(9, 輔助計算!$G$2:$G$801, 0)+1))&lt;100, IF(INDEX(ERP資料!$G:$G, (MATCH(9, 輔助計算!$G$2:$G$801, 0)+1))&lt;=31,3,IF(INDEX(ERP資料!$G:$G, (MATCH(9, 輔助計算!$G$2:$G$801, 0)+1))&lt;=46.5,2,1)), IF(INDEX(ERP資料!$G:$G, (MATCH(9, 輔助計算!$G$2:$G$801, 0)+1))&lt;=790,3,IF(INDEX(ERP資料!$G:$G, (MATCH(9, 輔助計算!$G$2:$G$801, 0)+1))&lt;=1181,2,1)))=2,TEXT(INDEX(ERP資料!$G:$G, (MATCH(9, 輔助計算!$G$2:$G$801, 0)+1)),"0.##")&amp;"+"&amp;TEXT(INDEX(ERP資料!$G:$G, (MATCH(9, 輔助計算!$G$2:$G$801, 0)+1)),"0.##"),TEXT(INDEX(ERP資料!$G:$G, (MATCH(9, 輔助計算!$G$2:$G$801, 0)+1)),"0.##")&amp;"+"&amp;TEXT(INDEX(ERP資料!$G:$G, (MATCH(9, 輔助計算!$G$2:$G$801, 0)+1)),"0.##")&amp;"+"&amp;TEXT(INDEX(ERP資料!$G:$G, (MATCH(9, 輔助計算!$G$2:$G$801, 0)+1)),"0.##")))&amp;"-"&amp;INT(INDEX(輔助計算!$D:$D, (MATCH(9, 輔助計算!$G$2:$G$801, 0)+1))/IF(INDEX(ERP資料!$G:$G, (MATCH(9, 輔助計算!$G$2:$G$801, 0)+1))&lt;100, IF(INDEX(ERP資料!$G:$G, (MATCH(9, 輔助計算!$G$2:$G$801, 0)+1))&lt;=31,3,IF(INDEX(ERP資料!$G:$G, (MATCH(9, 輔助計算!$G$2:$G$801, 0)+1))&lt;=46.5,2,1)), IF(INDEX(ERP資料!$G:$G, (MATCH(9, 輔助計算!$G$2:$G$801, 0)+1))&lt;=790,3,IF(INDEX(ERP資料!$G:$G, (MATCH(9, 輔助計算!$G$2:$G$801, 0)+1))&lt;=1181,2,1)))), "")&amp;IF(AND(IF(INT(INDEX(輔助計算!$D:$D, (MATCH(9, 輔助計算!$G$2:$G$801, 0)+1))/IF(INDEX(ERP資料!$G:$G, (MATCH(9, 輔助計算!$G$2:$G$801, 0)+1))&lt;100, IF(INDEX(ERP資料!$G:$G, (MATCH(9, 輔助計算!$G$2:$G$801, 0)+1))&lt;=31,3,IF(INDEX(ERP資料!$G:$G, (MATCH(9, 輔助計算!$G$2:$G$801, 0)+1))&lt;=46.5,2,1)), IF(INDEX(ERP資料!$G:$G, (MATCH(9, 輔助計算!$G$2:$G$801, 0)+1))&lt;=790,3,IF(INDEX(ERP資料!$G:$G, (MATCH(9, 輔助計算!$G$2:$G$801, 0)+1))&lt;=1181,2,1))))&gt;0, IF(IF(INDEX(ERP資料!$G:$G, (MATCH(9, 輔助計算!$G$2:$G$801, 0)+1))&lt;100, IF(INDEX(ERP資料!$G:$G, (MATCH(9, 輔助計算!$G$2:$G$801, 0)+1))&lt;=31,3,IF(INDEX(ERP資料!$G:$G, (MATCH(9, 輔助計算!$G$2:$G$801, 0)+1))&lt;=46.5,2,1)), IF(INDEX(ERP資料!$G:$G, (MATCH(9, 輔助計算!$G$2:$G$801, 0)+1))&lt;=790,3,IF(INDEX(ERP資料!$G:$G, (MATCH(9, 輔助計算!$G$2:$G$801, 0)+1))&lt;=1181,2,1)))=1,TEXT(INDEX(ERP資料!$G:$G, (MATCH(9, 輔助計算!$G$2:$G$801, 0)+1)),"0.##"),IF(IF(INDEX(ERP資料!$G:$G, (MATCH(9, 輔助計算!$G$2:$G$801, 0)+1))&lt;100, IF(INDEX(ERP資料!$G:$G, (MATCH(9, 輔助計算!$G$2:$G$801, 0)+1))&lt;=31,3,IF(INDEX(ERP資料!$G:$G, (MATCH(9, 輔助計算!$G$2:$G$801, 0)+1))&lt;=46.5,2,1)), IF(INDEX(ERP資料!$G:$G, (MATCH(9, 輔助計算!$G$2:$G$801, 0)+1))&lt;=790,3,IF(INDEX(ERP資料!$G:$G, (MATCH(9, 輔助計算!$G$2:$G$801, 0)+1))&lt;=1181,2,1)))=2,TEXT(INDEX(ERP資料!$G:$G, (MATCH(9, 輔助計算!$G$2:$G$801, 0)+1)),"0.##")&amp;"+"&amp;TEXT(INDEX(ERP資料!$G:$G, (MATCH(9, 輔助計算!$G$2:$G$801, 0)+1)),"0.##"),TEXT(INDEX(ERP資料!$G:$G, (MATCH(9, 輔助計算!$G$2:$G$801, 0)+1)),"0.##")&amp;"+"&amp;TEXT(INDEX(ERP資料!$G:$G, (MATCH(9, 輔助計算!$G$2:$G$801, 0)+1)),"0.##")&amp;"+"&amp;TEXT(INDEX(ERP資料!$G:$G, (MATCH(9, 輔助計算!$G$2:$G$801, 0)+1)),"0.##")))&amp;"-"&amp;INT(INDEX(輔助計算!$D:$D, (MATCH(9, 輔助計算!$G$2:$G$801, 0)+1))/IF(INDEX(ERP資料!$G:$G, (MATCH(9, 輔助計算!$G$2:$G$801, 0)+1))&lt;100, IF(INDEX(ERP資料!$G:$G, (MATCH(9, 輔助計算!$G$2:$G$801, 0)+1))&lt;=31,3,IF(INDEX(ERP資料!$G:$G, (MATCH(9, 輔助計算!$G$2:$G$801, 0)+1))&lt;=46.5,2,1)), IF(INDEX(ERP資料!$G:$G, (MATCH(9, 輔助計算!$G$2:$G$801, 0)+1))&lt;=790,3,IF(INDEX(ERP資料!$G:$G, (MATCH(9, 輔助計算!$G$2:$G$801, 0)+1))&lt;=1181,2,1)))), "")&lt;&gt;"",IF(MOD(INDEX(輔助計算!$D:$D, (MATCH(9, 輔助計算!$G$2:$G$801, 0)+1)),IF(INDEX(ERP資料!$G:$G, (MATCH(9, 輔助計算!$G$2:$G$801, 0)+1))&lt;100, IF(INDEX(ERP資料!$G:$G, (MATCH(9, 輔助計算!$G$2:$G$801, 0)+1))&lt;=31,3,IF(INDEX(ERP資料!$G:$G, (MATCH(9, 輔助計算!$G$2:$G$801, 0)+1))&lt;=46.5,2,1)), IF(INDEX(ERP資料!$G:$G, (MATCH(9, 輔助計算!$G$2:$G$801, 0)+1))&lt;=790,3,IF(INDEX(ERP資料!$G:$G, (MATCH(9, 輔助計算!$G$2:$G$801, 0)+1))&lt;=1181,2,1))))=0,"",IF(MOD(INDEX(輔助計算!$D:$D, (MATCH(9, 輔助計算!$G$2:$G$801, 0)+1)),IF(INDEX(ERP資料!$G:$G, (MATCH(9, 輔助計算!$G$2:$G$801, 0)+1))&lt;100, IF(INDEX(ERP資料!$G:$G, (MATCH(9, 輔助計算!$G$2:$G$801, 0)+1))&lt;=31,3,IF(INDEX(ERP資料!$G:$G, (MATCH(9, 輔助計算!$G$2:$G$801, 0)+1))&lt;=46.5,2,1)), IF(INDEX(ERP資料!$G:$G, (MATCH(9, 輔助計算!$G$2:$G$801, 0)+1))&lt;=790,3,IF(INDEX(ERP資料!$G:$G, (MATCH(9, 輔助計算!$G$2:$G$801, 0)+1))&lt;=1181,2,1))))=0,"",IF(MOD(INDEX(輔助計算!$D:$D, (MATCH(9, 輔助計算!$G$2:$G$801, 0)+1)),IF(INDEX(ERP資料!$G:$G, (MATCH(9, 輔助計算!$G$2:$G$801, 0)+1))&lt;100, IF(INDEX(ERP資料!$G:$G, (MATCH(9, 輔助計算!$G$2:$G$801, 0)+1))&lt;=31,3,IF(INDEX(ERP資料!$G:$G, (MATCH(9, 輔助計算!$G$2:$G$801, 0)+1))&lt;=46.5,2,1)), IF(INDEX(ERP資料!$G:$G, (MATCH(9, 輔助計算!$G$2:$G$801, 0)+1))&lt;=790,3,IF(INDEX(ERP資料!$G:$G, (MATCH(9, 輔助計算!$G$2:$G$801, 0)+1))&lt;=1181,2,1))))=1,TEXT(INDEX(ERP資料!$G:$G, (MATCH(9, 輔助計算!$G$2:$G$801, 0)+1)),"0.##"),IF(MOD(INDEX(輔助計算!$D:$D, (MATCH(9, 輔助計算!$G$2:$G$801, 0)+1)),IF(INDEX(ERP資料!$G:$G, (MATCH(9, 輔助計算!$G$2:$G$801, 0)+1))&lt;100, IF(INDEX(ERP資料!$G:$G, (MATCH(9, 輔助計算!$G$2:$G$801, 0)+1))&lt;=31,3,IF(INDEX(ERP資料!$G:$G, (MATCH(9, 輔助計算!$G$2:$G$801, 0)+1))&lt;=46.5,2,1)), IF(INDEX(ERP資料!$G:$G, (MATCH(9, 輔助計算!$G$2:$G$801, 0)+1))&lt;=790,3,IF(INDEX(ERP資料!$G:$G, (MATCH(9, 輔助計算!$G$2:$G$801, 0)+1))&lt;=1181,2,1))))=2,TEXT(INDEX(ERP資料!$G:$G, (MATCH(9, 輔助計算!$G$2:$G$801, 0)+1)),"0.##")&amp;"+"&amp;TEXT(INDEX(ERP資料!$G:$G, (MATCH(9, 輔助計算!$G$2:$G$801, 0)+1)),"0.##"),TEXT(INDEX(ERP資料!$G:$G, (MATCH(9, 輔助計算!$G$2:$G$801, 0)+1)),"0.##")&amp;"+"&amp;TEXT(INDEX(ERP資料!$G:$G, (MATCH(9, 輔助計算!$G$2:$G$801, 0)+1)),"0.##")&amp;"+"&amp;TEXT(INDEX(ERP資料!$G:$G, (MATCH(9, 輔助計算!$G$2:$G$801, 0)+1)),"0.##"))))&amp;"-1")&lt;&gt;""),"  ","")&amp;IF(MOD(INDEX(輔助計算!$D:$D, (MATCH(9, 輔助計算!$G$2:$G$801, 0)+1)),IF(INDEX(ERP資料!$G:$G, (MATCH(9, 輔助計算!$G$2:$G$801, 0)+1))&lt;100, IF(INDEX(ERP資料!$G:$G, (MATCH(9, 輔助計算!$G$2:$G$801, 0)+1))&lt;=31,3,IF(INDEX(ERP資料!$G:$G, (MATCH(9, 輔助計算!$G$2:$G$801, 0)+1))&lt;=46.5,2,1)), IF(INDEX(ERP資料!$G:$G, (MATCH(9, 輔助計算!$G$2:$G$801, 0)+1))&lt;=790,3,IF(INDEX(ERP資料!$G:$G, (MATCH(9, 輔助計算!$G$2:$G$801, 0)+1))&lt;=1181,2,1))))=0,"",IF(MOD(INDEX(輔助計算!$D:$D, (MATCH(9, 輔助計算!$G$2:$G$801, 0)+1)),IF(INDEX(ERP資料!$G:$G, (MATCH(9, 輔助計算!$G$2:$G$801, 0)+1))&lt;100, IF(INDEX(ERP資料!$G:$G, (MATCH(9, 輔助計算!$G$2:$G$801, 0)+1))&lt;=31,3,IF(INDEX(ERP資料!$G:$G, (MATCH(9, 輔助計算!$G$2:$G$801, 0)+1))&lt;=46.5,2,1)), IF(INDEX(ERP資料!$G:$G, (MATCH(9, 輔助計算!$G$2:$G$801, 0)+1))&lt;=790,3,IF(INDEX(ERP資料!$G:$G, (MATCH(9, 輔助計算!$G$2:$G$801, 0)+1))&lt;=1181,2,1))))=0,"",IF(MOD(INDEX(輔助計算!$D:$D, (MATCH(9, 輔助計算!$G$2:$G$801, 0)+1)),IF(INDEX(ERP資料!$G:$G, (MATCH(9, 輔助計算!$G$2:$G$801, 0)+1))&lt;100, IF(INDEX(ERP資料!$G:$G, (MATCH(9, 輔助計算!$G$2:$G$801, 0)+1))&lt;=31,3,IF(INDEX(ERP資料!$G:$G, (MATCH(9, 輔助計算!$G$2:$G$801, 0)+1))&lt;=46.5,2,1)), IF(INDEX(ERP資料!$G:$G, (MATCH(9, 輔助計算!$G$2:$G$801, 0)+1))&lt;=790,3,IF(INDEX(ERP資料!$G:$G, (MATCH(9, 輔助計算!$G$2:$G$801, 0)+1))&lt;=1181,2,1))))=1,TEXT(INDEX(ERP資料!$G:$G, (MATCH(9, 輔助計算!$G$2:$G$801, 0)+1)),"0.##"),IF(MOD(INDEX(輔助計算!$D:$D, (MATCH(9, 輔助計算!$G$2:$G$801, 0)+1)),IF(INDEX(ERP資料!$G:$G, (MATCH(9, 輔助計算!$G$2:$G$801, 0)+1))&lt;100, IF(INDEX(ERP資料!$G:$G, (MATCH(9, 輔助計算!$G$2:$G$801, 0)+1))&lt;=31,3,IF(INDEX(ERP資料!$G:$G, (MATCH(9, 輔助計算!$G$2:$G$801, 0)+1))&lt;=46.5,2,1)), IF(INDEX(ERP資料!$G:$G, (MATCH(9, 輔助計算!$G$2:$G$801, 0)+1))&lt;=790,3,IF(INDEX(ERP資料!$G:$G, (MATCH(9, 輔助計算!$G$2:$G$801, 0)+1))&lt;=1181,2,1))))=2,TEXT(INDEX(ERP資料!$G:$G, (MATCH(9, 輔助計算!$G$2:$G$801, 0)+1)),"0.##")&amp;"+"&amp;TEXT(INDEX(ERP資料!$G:$G, (MATCH(9, 輔助計算!$G$2:$G$801, 0)+1)),"0.##"),TEXT(INDEX(ERP資料!$G:$G, (MATCH(9, 輔助計算!$G$2:$G$801, 0)+1)),"0.##")&amp;"+"&amp;TEXT(INDEX(ERP資料!$G:$G, (MATCH(9, 輔助計算!$G$2:$G$801, 0)+1)),"0.##")&amp;"+"&amp;TEXT(INDEX(ERP資料!$G:$G, (MATCH(9, 輔助計算!$G$2:$G$801, 0)+1)),"0.##"))))&amp;"-1")), ""), "")</f>
        <v/>
      </c>
      <c r="K10" s="16" t="n"/>
      <c r="L10" s="14">
        <f>IFERROR(IF(AND(IFERROR(INDEX(ERP資料!$A:$A, (MATCH(9, 輔助計算!$G$2:$G$801, 0)+1)), "")&lt;&gt;"", IFERROR(INDEX(ERP資料!$A:$A, (MATCH(9, 輔助計算!$G$2:$G$801, 0)+1)), "")&lt;&gt;IFERROR(INDEX(ERP資料!$A:$A, MATCH(8, 輔助計算!$G$2:$G$801, 0)+1), "")), INDEX(ERP資料!$B:$B, (MATCH(9, 輔助計算!$G$2:$G$801, 0)+1)), ""), "")</f>
        <v/>
      </c>
      <c r="M10" s="17" t="n"/>
    </row>
    <row r="11">
      <c r="A11" s="10">
        <f>IFERROR(IF(AND(IFERROR(INDEX(ERP資料!$A:$A, (MATCH(10, 輔助計算!$G$2:$G$801, 0)+1)), "")&lt;&gt;"", IFERROR(INDEX(ERP資料!$A:$A, (MATCH(10, 輔助計算!$G$2:$G$801, 0)+1)), "")&lt;&gt;IFERROR(INDEX(ERP資料!$A:$A, MATCH(9, 輔助計算!$G$2:$G$801, 0)+1), "")), IFERROR(INDEX(ERP資料!$A:$A, (MATCH(10, 輔助計算!$G$2:$G$801, 0)+1)), ""), ""), "")</f>
        <v/>
      </c>
      <c r="B11" s="10">
        <f>IFERROR(IF(AND(IFERROR(INDEX(ERP資料!$A:$A, (MATCH(10, 輔助計算!$G$2:$G$801, 0)+1)), "")&lt;&gt;"", IFERROR(INDEX(ERP資料!$A:$A, (MATCH(10, 輔助計算!$G$2:$G$801, 0)+1)), "")&lt;&gt;IFERROR(INDEX(ERP資料!$A:$A, MATCH(9, 輔助計算!$G$2:$G$801, 0)+1), "")), INDEX(ERP資料!$S:$S, (MATCH(10, 輔助計算!$G$2:$G$801, 0)+1)), ""), "")</f>
        <v/>
      </c>
      <c r="C11" s="19">
        <f>IFERROR(IF(AND(IFERROR(INDEX(ERP資料!$A:$A, (MATCH(10, 輔助計算!$G$2:$G$801, 0)+1)), "")&lt;&gt;"", IFERROR(INDEX(ERP資料!$A:$A, (MATCH(10, 輔助計算!$G$2:$G$801, 0)+1)), "")&lt;&gt;IFERROR(INDEX(ERP資料!$A:$A, MATCH(9, 輔助計算!$G$2:$G$801, 0)+1), "")), IFERROR(VLOOKUP(LEFT(INDEX(ERP資料!$S:$S, (MATCH(10, 輔助計算!$G$2:$G$801, 0)+1)), 4), 紙管對照表!$A:$C, 3, FALSE), ""), ""), "")</f>
        <v/>
      </c>
      <c r="D11" s="16" t="n"/>
      <c r="E11" s="10">
        <f>IFERROR(IF(INDEX(ERP資料!$H:$H, (MATCH(10, 輔助計算!$G$2:$G$801, 0)+1))="","",INDEX(ERP資料!$H:$H, (MATCH(10, 輔助計算!$G$2:$G$801, 0)+1))), "")</f>
        <v/>
      </c>
      <c r="F11" s="10">
        <f>IFERROR(IF(INDEX(ERP資料!$E:$E, (MATCH(10, 輔助計算!$G$2:$G$801, 0)+1))="","",TRIM(INDEX(ERP資料!$E:$E, (MATCH(10, 輔助計算!$G$2:$G$801, 0)+1)))), "")</f>
        <v/>
      </c>
      <c r="G11" s="10">
        <f>IFERROR(IF(INDEX(ERP資料!$F:$F, (MATCH(10, 輔助計算!$G$2:$G$801, 0)+1))="","",INDEX(ERP資料!$F:$F, (MATCH(10, 輔助計算!$G$2:$G$801, 0)+1))), "")</f>
        <v/>
      </c>
      <c r="H11" s="10">
        <f>IFERROR(IF(INDEX(ERP資料!$G:$G, (MATCH(10, 輔助計算!$G$2:$G$801, 0)+1))="","",INDEX(ERP資料!$G:$G, (MATCH(10, 輔助計算!$G$2:$G$801, 0)+1))), "")</f>
        <v/>
      </c>
      <c r="I11" s="15">
        <f>IFERROR(INDEX(輔助計算!$D:$D, (MATCH(10, 輔助計算!$G$2:$G$801, 0)+1)), "")</f>
        <v/>
      </c>
      <c r="J11" s="15">
        <f>IFERROR(IF(AND(INDEX(輔助計算!$D:$D, (MATCH(10, 輔助計算!$G$2:$G$801, 0)+1))&lt;&gt;"", INDEX(ERP資料!$G:$G, (MATCH(10, 輔助計算!$G$2:$G$801, 0)+1))&lt;&gt;""), TRIM(IF(INT(INDEX(輔助計算!$D:$D, (MATCH(10, 輔助計算!$G$2:$G$801, 0)+1))/IF(INDEX(ERP資料!$G:$G, (MATCH(10, 輔助計算!$G$2:$G$801, 0)+1))&lt;100, IF(INDEX(ERP資料!$G:$G, (MATCH(10, 輔助計算!$G$2:$G$801, 0)+1))&lt;=31,3,IF(INDEX(ERP資料!$G:$G, (MATCH(10, 輔助計算!$G$2:$G$801, 0)+1))&lt;=46.5,2,1)), IF(INDEX(ERP資料!$G:$G, (MATCH(10, 輔助計算!$G$2:$G$801, 0)+1))&lt;=790,3,IF(INDEX(ERP資料!$G:$G, (MATCH(10, 輔助計算!$G$2:$G$801, 0)+1))&lt;=1181,2,1))))&gt;0, IF(IF(INDEX(ERP資料!$G:$G, (MATCH(10, 輔助計算!$G$2:$G$801, 0)+1))&lt;100, IF(INDEX(ERP資料!$G:$G, (MATCH(10, 輔助計算!$G$2:$G$801, 0)+1))&lt;=31,3,IF(INDEX(ERP資料!$G:$G, (MATCH(10, 輔助計算!$G$2:$G$801, 0)+1))&lt;=46.5,2,1)), IF(INDEX(ERP資料!$G:$G, (MATCH(10, 輔助計算!$G$2:$G$801, 0)+1))&lt;=790,3,IF(INDEX(ERP資料!$G:$G, (MATCH(10, 輔助計算!$G$2:$G$801, 0)+1))&lt;=1181,2,1)))=1,TEXT(INDEX(ERP資料!$G:$G, (MATCH(10, 輔助計算!$G$2:$G$801, 0)+1)),"0.##"),IF(IF(INDEX(ERP資料!$G:$G, (MATCH(10, 輔助計算!$G$2:$G$801, 0)+1))&lt;100, IF(INDEX(ERP資料!$G:$G, (MATCH(10, 輔助計算!$G$2:$G$801, 0)+1))&lt;=31,3,IF(INDEX(ERP資料!$G:$G, (MATCH(10, 輔助計算!$G$2:$G$801, 0)+1))&lt;=46.5,2,1)), IF(INDEX(ERP資料!$G:$G, (MATCH(10, 輔助計算!$G$2:$G$801, 0)+1))&lt;=790,3,IF(INDEX(ERP資料!$G:$G, (MATCH(10, 輔助計算!$G$2:$G$801, 0)+1))&lt;=1181,2,1)))=2,TEXT(INDEX(ERP資料!$G:$G, (MATCH(10, 輔助計算!$G$2:$G$801, 0)+1)),"0.##")&amp;"+"&amp;TEXT(INDEX(ERP資料!$G:$G, (MATCH(10, 輔助計算!$G$2:$G$801, 0)+1)),"0.##"),TEXT(INDEX(ERP資料!$G:$G, (MATCH(10, 輔助計算!$G$2:$G$801, 0)+1)),"0.##")&amp;"+"&amp;TEXT(INDEX(ERP資料!$G:$G, (MATCH(10, 輔助計算!$G$2:$G$801, 0)+1)),"0.##")&amp;"+"&amp;TEXT(INDEX(ERP資料!$G:$G, (MATCH(10, 輔助計算!$G$2:$G$801, 0)+1)),"0.##")))&amp;"-"&amp;INT(INDEX(輔助計算!$D:$D, (MATCH(10, 輔助計算!$G$2:$G$801, 0)+1))/IF(INDEX(ERP資料!$G:$G, (MATCH(10, 輔助計算!$G$2:$G$801, 0)+1))&lt;100, IF(INDEX(ERP資料!$G:$G, (MATCH(10, 輔助計算!$G$2:$G$801, 0)+1))&lt;=31,3,IF(INDEX(ERP資料!$G:$G, (MATCH(10, 輔助計算!$G$2:$G$801, 0)+1))&lt;=46.5,2,1)), IF(INDEX(ERP資料!$G:$G, (MATCH(10, 輔助計算!$G$2:$G$801, 0)+1))&lt;=790,3,IF(INDEX(ERP資料!$G:$G, (MATCH(10, 輔助計算!$G$2:$G$801, 0)+1))&lt;=1181,2,1)))), "")&amp;IF(AND(IF(INT(INDEX(輔助計算!$D:$D, (MATCH(10, 輔助計算!$G$2:$G$801, 0)+1))/IF(INDEX(ERP資料!$G:$G, (MATCH(10, 輔助計算!$G$2:$G$801, 0)+1))&lt;100, IF(INDEX(ERP資料!$G:$G, (MATCH(10, 輔助計算!$G$2:$G$801, 0)+1))&lt;=31,3,IF(INDEX(ERP資料!$G:$G, (MATCH(10, 輔助計算!$G$2:$G$801, 0)+1))&lt;=46.5,2,1)), IF(INDEX(ERP資料!$G:$G, (MATCH(10, 輔助計算!$G$2:$G$801, 0)+1))&lt;=790,3,IF(INDEX(ERP資料!$G:$G, (MATCH(10, 輔助計算!$G$2:$G$801, 0)+1))&lt;=1181,2,1))))&gt;0, IF(IF(INDEX(ERP資料!$G:$G, (MATCH(10, 輔助計算!$G$2:$G$801, 0)+1))&lt;100, IF(INDEX(ERP資料!$G:$G, (MATCH(10, 輔助計算!$G$2:$G$801, 0)+1))&lt;=31,3,IF(INDEX(ERP資料!$G:$G, (MATCH(10, 輔助計算!$G$2:$G$801, 0)+1))&lt;=46.5,2,1)), IF(INDEX(ERP資料!$G:$G, (MATCH(10, 輔助計算!$G$2:$G$801, 0)+1))&lt;=790,3,IF(INDEX(ERP資料!$G:$G, (MATCH(10, 輔助計算!$G$2:$G$801, 0)+1))&lt;=1181,2,1)))=1,TEXT(INDEX(ERP資料!$G:$G, (MATCH(10, 輔助計算!$G$2:$G$801, 0)+1)),"0.##"),IF(IF(INDEX(ERP資料!$G:$G, (MATCH(10, 輔助計算!$G$2:$G$801, 0)+1))&lt;100, IF(INDEX(ERP資料!$G:$G, (MATCH(10, 輔助計算!$G$2:$G$801, 0)+1))&lt;=31,3,IF(INDEX(ERP資料!$G:$G, (MATCH(10, 輔助計算!$G$2:$G$801, 0)+1))&lt;=46.5,2,1)), IF(INDEX(ERP資料!$G:$G, (MATCH(10, 輔助計算!$G$2:$G$801, 0)+1))&lt;=790,3,IF(INDEX(ERP資料!$G:$G, (MATCH(10, 輔助計算!$G$2:$G$801, 0)+1))&lt;=1181,2,1)))=2,TEXT(INDEX(ERP資料!$G:$G, (MATCH(10, 輔助計算!$G$2:$G$801, 0)+1)),"0.##")&amp;"+"&amp;TEXT(INDEX(ERP資料!$G:$G, (MATCH(10, 輔助計算!$G$2:$G$801, 0)+1)),"0.##"),TEXT(INDEX(ERP資料!$G:$G, (MATCH(10, 輔助計算!$G$2:$G$801, 0)+1)),"0.##")&amp;"+"&amp;TEXT(INDEX(ERP資料!$G:$G, (MATCH(10, 輔助計算!$G$2:$G$801, 0)+1)),"0.##")&amp;"+"&amp;TEXT(INDEX(ERP資料!$G:$G, (MATCH(10, 輔助計算!$G$2:$G$801, 0)+1)),"0.##")))&amp;"-"&amp;INT(INDEX(輔助計算!$D:$D, (MATCH(10, 輔助計算!$G$2:$G$801, 0)+1))/IF(INDEX(ERP資料!$G:$G, (MATCH(10, 輔助計算!$G$2:$G$801, 0)+1))&lt;100, IF(INDEX(ERP資料!$G:$G, (MATCH(10, 輔助計算!$G$2:$G$801, 0)+1))&lt;=31,3,IF(INDEX(ERP資料!$G:$G, (MATCH(10, 輔助計算!$G$2:$G$801, 0)+1))&lt;=46.5,2,1)), IF(INDEX(ERP資料!$G:$G, (MATCH(10, 輔助計算!$G$2:$G$801, 0)+1))&lt;=790,3,IF(INDEX(ERP資料!$G:$G, (MATCH(10, 輔助計算!$G$2:$G$801, 0)+1))&lt;=1181,2,1)))), "")&lt;&gt;"",IF(MOD(INDEX(輔助計算!$D:$D, (MATCH(10, 輔助計算!$G$2:$G$801, 0)+1)),IF(INDEX(ERP資料!$G:$G, (MATCH(10, 輔助計算!$G$2:$G$801, 0)+1))&lt;100, IF(INDEX(ERP資料!$G:$G, (MATCH(10, 輔助計算!$G$2:$G$801, 0)+1))&lt;=31,3,IF(INDEX(ERP資料!$G:$G, (MATCH(10, 輔助計算!$G$2:$G$801, 0)+1))&lt;=46.5,2,1)), IF(INDEX(ERP資料!$G:$G, (MATCH(10, 輔助計算!$G$2:$G$801, 0)+1))&lt;=790,3,IF(INDEX(ERP資料!$G:$G, (MATCH(10, 輔助計算!$G$2:$G$801, 0)+1))&lt;=1181,2,1))))=0,"",IF(MOD(INDEX(輔助計算!$D:$D, (MATCH(10, 輔助計算!$G$2:$G$801, 0)+1)),IF(INDEX(ERP資料!$G:$G, (MATCH(10, 輔助計算!$G$2:$G$801, 0)+1))&lt;100, IF(INDEX(ERP資料!$G:$G, (MATCH(10, 輔助計算!$G$2:$G$801, 0)+1))&lt;=31,3,IF(INDEX(ERP資料!$G:$G, (MATCH(10, 輔助計算!$G$2:$G$801, 0)+1))&lt;=46.5,2,1)), IF(INDEX(ERP資料!$G:$G, (MATCH(10, 輔助計算!$G$2:$G$801, 0)+1))&lt;=790,3,IF(INDEX(ERP資料!$G:$G, (MATCH(10, 輔助計算!$G$2:$G$801, 0)+1))&lt;=1181,2,1))))=0,"",IF(MOD(INDEX(輔助計算!$D:$D, (MATCH(10, 輔助計算!$G$2:$G$801, 0)+1)),IF(INDEX(ERP資料!$G:$G, (MATCH(10, 輔助計算!$G$2:$G$801, 0)+1))&lt;100, IF(INDEX(ERP資料!$G:$G, (MATCH(10, 輔助計算!$G$2:$G$801, 0)+1))&lt;=31,3,IF(INDEX(ERP資料!$G:$G, (MATCH(10, 輔助計算!$G$2:$G$801, 0)+1))&lt;=46.5,2,1)), IF(INDEX(ERP資料!$G:$G, (MATCH(10, 輔助計算!$G$2:$G$801, 0)+1))&lt;=790,3,IF(INDEX(ERP資料!$G:$G, (MATCH(10, 輔助計算!$G$2:$G$801, 0)+1))&lt;=1181,2,1))))=1,TEXT(INDEX(ERP資料!$G:$G, (MATCH(10, 輔助計算!$G$2:$G$801, 0)+1)),"0.##"),IF(MOD(INDEX(輔助計算!$D:$D, (MATCH(10, 輔助計算!$G$2:$G$801, 0)+1)),IF(INDEX(ERP資料!$G:$G, (MATCH(10, 輔助計算!$G$2:$G$801, 0)+1))&lt;100, IF(INDEX(ERP資料!$G:$G, (MATCH(10, 輔助計算!$G$2:$G$801, 0)+1))&lt;=31,3,IF(INDEX(ERP資料!$G:$G, (MATCH(10, 輔助計算!$G$2:$G$801, 0)+1))&lt;=46.5,2,1)), IF(INDEX(ERP資料!$G:$G, (MATCH(10, 輔助計算!$G$2:$G$801, 0)+1))&lt;=790,3,IF(INDEX(ERP資料!$G:$G, (MATCH(10, 輔助計算!$G$2:$G$801, 0)+1))&lt;=1181,2,1))))=2,TEXT(INDEX(ERP資料!$G:$G, (MATCH(10, 輔助計算!$G$2:$G$801, 0)+1)),"0.##")&amp;"+"&amp;TEXT(INDEX(ERP資料!$G:$G, (MATCH(10, 輔助計算!$G$2:$G$801, 0)+1)),"0.##"),TEXT(INDEX(ERP資料!$G:$G, (MATCH(10, 輔助計算!$G$2:$G$801, 0)+1)),"0.##")&amp;"+"&amp;TEXT(INDEX(ERP資料!$G:$G, (MATCH(10, 輔助計算!$G$2:$G$801, 0)+1)),"0.##")&amp;"+"&amp;TEXT(INDEX(ERP資料!$G:$G, (MATCH(10, 輔助計算!$G$2:$G$801, 0)+1)),"0.##"))))&amp;"-1")&lt;&gt;""),"  ","")&amp;IF(MOD(INDEX(輔助計算!$D:$D, (MATCH(10, 輔助計算!$G$2:$G$801, 0)+1)),IF(INDEX(ERP資料!$G:$G, (MATCH(10, 輔助計算!$G$2:$G$801, 0)+1))&lt;100, IF(INDEX(ERP資料!$G:$G, (MATCH(10, 輔助計算!$G$2:$G$801, 0)+1))&lt;=31,3,IF(INDEX(ERP資料!$G:$G, (MATCH(10, 輔助計算!$G$2:$G$801, 0)+1))&lt;=46.5,2,1)), IF(INDEX(ERP資料!$G:$G, (MATCH(10, 輔助計算!$G$2:$G$801, 0)+1))&lt;=790,3,IF(INDEX(ERP資料!$G:$G, (MATCH(10, 輔助計算!$G$2:$G$801, 0)+1))&lt;=1181,2,1))))=0,"",IF(MOD(INDEX(輔助計算!$D:$D, (MATCH(10, 輔助計算!$G$2:$G$801, 0)+1)),IF(INDEX(ERP資料!$G:$G, (MATCH(10, 輔助計算!$G$2:$G$801, 0)+1))&lt;100, IF(INDEX(ERP資料!$G:$G, (MATCH(10, 輔助計算!$G$2:$G$801, 0)+1))&lt;=31,3,IF(INDEX(ERP資料!$G:$G, (MATCH(10, 輔助計算!$G$2:$G$801, 0)+1))&lt;=46.5,2,1)), IF(INDEX(ERP資料!$G:$G, (MATCH(10, 輔助計算!$G$2:$G$801, 0)+1))&lt;=790,3,IF(INDEX(ERP資料!$G:$G, (MATCH(10, 輔助計算!$G$2:$G$801, 0)+1))&lt;=1181,2,1))))=0,"",IF(MOD(INDEX(輔助計算!$D:$D, (MATCH(10, 輔助計算!$G$2:$G$801, 0)+1)),IF(INDEX(ERP資料!$G:$G, (MATCH(10, 輔助計算!$G$2:$G$801, 0)+1))&lt;100, IF(INDEX(ERP資料!$G:$G, (MATCH(10, 輔助計算!$G$2:$G$801, 0)+1))&lt;=31,3,IF(INDEX(ERP資料!$G:$G, (MATCH(10, 輔助計算!$G$2:$G$801, 0)+1))&lt;=46.5,2,1)), IF(INDEX(ERP資料!$G:$G, (MATCH(10, 輔助計算!$G$2:$G$801, 0)+1))&lt;=790,3,IF(INDEX(ERP資料!$G:$G, (MATCH(10, 輔助計算!$G$2:$G$801, 0)+1))&lt;=1181,2,1))))=1,TEXT(INDEX(ERP資料!$G:$G, (MATCH(10, 輔助計算!$G$2:$G$801, 0)+1)),"0.##"),IF(MOD(INDEX(輔助計算!$D:$D, (MATCH(10, 輔助計算!$G$2:$G$801, 0)+1)),IF(INDEX(ERP資料!$G:$G, (MATCH(10, 輔助計算!$G$2:$G$801, 0)+1))&lt;100, IF(INDEX(ERP資料!$G:$G, (MATCH(10, 輔助計算!$G$2:$G$801, 0)+1))&lt;=31,3,IF(INDEX(ERP資料!$G:$G, (MATCH(10, 輔助計算!$G$2:$G$801, 0)+1))&lt;=46.5,2,1)), IF(INDEX(ERP資料!$G:$G, (MATCH(10, 輔助計算!$G$2:$G$801, 0)+1))&lt;=790,3,IF(INDEX(ERP資料!$G:$G, (MATCH(10, 輔助計算!$G$2:$G$801, 0)+1))&lt;=1181,2,1))))=2,TEXT(INDEX(ERP資料!$G:$G, (MATCH(10, 輔助計算!$G$2:$G$801, 0)+1)),"0.##")&amp;"+"&amp;TEXT(INDEX(ERP資料!$G:$G, (MATCH(10, 輔助計算!$G$2:$G$801, 0)+1)),"0.##"),TEXT(INDEX(ERP資料!$G:$G, (MATCH(10, 輔助計算!$G$2:$G$801, 0)+1)),"0.##")&amp;"+"&amp;TEXT(INDEX(ERP資料!$G:$G, (MATCH(10, 輔助計算!$G$2:$G$801, 0)+1)),"0.##")&amp;"+"&amp;TEXT(INDEX(ERP資料!$G:$G, (MATCH(10, 輔助計算!$G$2:$G$801, 0)+1)),"0.##"))))&amp;"-1")), ""), "")</f>
        <v/>
      </c>
      <c r="K11" s="16" t="n"/>
      <c r="L11" s="14">
        <f>IFERROR(IF(AND(IFERROR(INDEX(ERP資料!$A:$A, (MATCH(10, 輔助計算!$G$2:$G$801, 0)+1)), "")&lt;&gt;"", IFERROR(INDEX(ERP資料!$A:$A, (MATCH(10, 輔助計算!$G$2:$G$801, 0)+1)), "")&lt;&gt;IFERROR(INDEX(ERP資料!$A:$A, MATCH(9, 輔助計算!$G$2:$G$801, 0)+1), "")), INDEX(ERP資料!$B:$B, (MATCH(10, 輔助計算!$G$2:$G$801, 0)+1)), ""), "")</f>
        <v/>
      </c>
      <c r="M11" s="17" t="n"/>
    </row>
    <row r="12">
      <c r="A12" s="10">
        <f>IFERROR(IF(AND(IFERROR(INDEX(ERP資料!$A:$A, (MATCH(11, 輔助計算!$G$2:$G$801, 0)+1)), "")&lt;&gt;"", IFERROR(INDEX(ERP資料!$A:$A, (MATCH(11, 輔助計算!$G$2:$G$801, 0)+1)), "")&lt;&gt;IFERROR(INDEX(ERP資料!$A:$A, MATCH(10, 輔助計算!$G$2:$G$801, 0)+1), "")), IFERROR(INDEX(ERP資料!$A:$A, (MATCH(11, 輔助計算!$G$2:$G$801, 0)+1)), ""), ""), "")</f>
        <v/>
      </c>
      <c r="B12" s="10">
        <f>IFERROR(IF(AND(IFERROR(INDEX(ERP資料!$A:$A, (MATCH(11, 輔助計算!$G$2:$G$801, 0)+1)), "")&lt;&gt;"", IFERROR(INDEX(ERP資料!$A:$A, (MATCH(11, 輔助計算!$G$2:$G$801, 0)+1)), "")&lt;&gt;IFERROR(INDEX(ERP資料!$A:$A, MATCH(10, 輔助計算!$G$2:$G$801, 0)+1), "")), INDEX(ERP資料!$S:$S, (MATCH(11, 輔助計算!$G$2:$G$801, 0)+1)), ""), "")</f>
        <v/>
      </c>
      <c r="C12" s="19">
        <f>IFERROR(IF(AND(IFERROR(INDEX(ERP資料!$A:$A, (MATCH(11, 輔助計算!$G$2:$G$801, 0)+1)), "")&lt;&gt;"", IFERROR(INDEX(ERP資料!$A:$A, (MATCH(11, 輔助計算!$G$2:$G$801, 0)+1)), "")&lt;&gt;IFERROR(INDEX(ERP資料!$A:$A, MATCH(10, 輔助計算!$G$2:$G$801, 0)+1), "")), IFERROR(VLOOKUP(LEFT(INDEX(ERP資料!$S:$S, (MATCH(11, 輔助計算!$G$2:$G$801, 0)+1)), 4), 紙管對照表!$A:$C, 3, FALSE), ""), ""), "")</f>
        <v/>
      </c>
      <c r="D12" s="16" t="n"/>
      <c r="E12" s="10">
        <f>IFERROR(IF(INDEX(ERP資料!$H:$H, (MATCH(11, 輔助計算!$G$2:$G$801, 0)+1))="","",INDEX(ERP資料!$H:$H, (MATCH(11, 輔助計算!$G$2:$G$801, 0)+1))), "")</f>
        <v/>
      </c>
      <c r="F12" s="10">
        <f>IFERROR(IF(INDEX(ERP資料!$E:$E, (MATCH(11, 輔助計算!$G$2:$G$801, 0)+1))="","",TRIM(INDEX(ERP資料!$E:$E, (MATCH(11, 輔助計算!$G$2:$G$801, 0)+1)))), "")</f>
        <v/>
      </c>
      <c r="G12" s="10">
        <f>IFERROR(IF(INDEX(ERP資料!$F:$F, (MATCH(11, 輔助計算!$G$2:$G$801, 0)+1))="","",INDEX(ERP資料!$F:$F, (MATCH(11, 輔助計算!$G$2:$G$801, 0)+1))), "")</f>
        <v/>
      </c>
      <c r="H12" s="10">
        <f>IFERROR(IF(INDEX(ERP資料!$G:$G, (MATCH(11, 輔助計算!$G$2:$G$801, 0)+1))="","",INDEX(ERP資料!$G:$G, (MATCH(11, 輔助計算!$G$2:$G$801, 0)+1))), "")</f>
        <v/>
      </c>
      <c r="I12" s="15">
        <f>IFERROR(INDEX(輔助計算!$D:$D, (MATCH(11, 輔助計算!$G$2:$G$801, 0)+1)), "")</f>
        <v/>
      </c>
      <c r="J12" s="15">
        <f>IFERROR(IF(AND(INDEX(輔助計算!$D:$D, (MATCH(11, 輔助計算!$G$2:$G$801, 0)+1))&lt;&gt;"", INDEX(ERP資料!$G:$G, (MATCH(11, 輔助計算!$G$2:$G$801, 0)+1))&lt;&gt;""), TRIM(IF(INT(INDEX(輔助計算!$D:$D, (MATCH(11, 輔助計算!$G$2:$G$801, 0)+1))/IF(INDEX(ERP資料!$G:$G, (MATCH(11, 輔助計算!$G$2:$G$801, 0)+1))&lt;100, IF(INDEX(ERP資料!$G:$G, (MATCH(11, 輔助計算!$G$2:$G$801, 0)+1))&lt;=31,3,IF(INDEX(ERP資料!$G:$G, (MATCH(11, 輔助計算!$G$2:$G$801, 0)+1))&lt;=46.5,2,1)), IF(INDEX(ERP資料!$G:$G, (MATCH(11, 輔助計算!$G$2:$G$801, 0)+1))&lt;=790,3,IF(INDEX(ERP資料!$G:$G, (MATCH(11, 輔助計算!$G$2:$G$801, 0)+1))&lt;=1181,2,1))))&gt;0, IF(IF(INDEX(ERP資料!$G:$G, (MATCH(11, 輔助計算!$G$2:$G$801, 0)+1))&lt;100, IF(INDEX(ERP資料!$G:$G, (MATCH(11, 輔助計算!$G$2:$G$801, 0)+1))&lt;=31,3,IF(INDEX(ERP資料!$G:$G, (MATCH(11, 輔助計算!$G$2:$G$801, 0)+1))&lt;=46.5,2,1)), IF(INDEX(ERP資料!$G:$G, (MATCH(11, 輔助計算!$G$2:$G$801, 0)+1))&lt;=790,3,IF(INDEX(ERP資料!$G:$G, (MATCH(11, 輔助計算!$G$2:$G$801, 0)+1))&lt;=1181,2,1)))=1,TEXT(INDEX(ERP資料!$G:$G, (MATCH(11, 輔助計算!$G$2:$G$801, 0)+1)),"0.##"),IF(IF(INDEX(ERP資料!$G:$G, (MATCH(11, 輔助計算!$G$2:$G$801, 0)+1))&lt;100, IF(INDEX(ERP資料!$G:$G, (MATCH(11, 輔助計算!$G$2:$G$801, 0)+1))&lt;=31,3,IF(INDEX(ERP資料!$G:$G, (MATCH(11, 輔助計算!$G$2:$G$801, 0)+1))&lt;=46.5,2,1)), IF(INDEX(ERP資料!$G:$G, (MATCH(11, 輔助計算!$G$2:$G$801, 0)+1))&lt;=790,3,IF(INDEX(ERP資料!$G:$G, (MATCH(11, 輔助計算!$G$2:$G$801, 0)+1))&lt;=1181,2,1)))=2,TEXT(INDEX(ERP資料!$G:$G, (MATCH(11, 輔助計算!$G$2:$G$801, 0)+1)),"0.##")&amp;"+"&amp;TEXT(INDEX(ERP資料!$G:$G, (MATCH(11, 輔助計算!$G$2:$G$801, 0)+1)),"0.##"),TEXT(INDEX(ERP資料!$G:$G, (MATCH(11, 輔助計算!$G$2:$G$801, 0)+1)),"0.##")&amp;"+"&amp;TEXT(INDEX(ERP資料!$G:$G, (MATCH(11, 輔助計算!$G$2:$G$801, 0)+1)),"0.##")&amp;"+"&amp;TEXT(INDEX(ERP資料!$G:$G, (MATCH(11, 輔助計算!$G$2:$G$801, 0)+1)),"0.##")))&amp;"-"&amp;INT(INDEX(輔助計算!$D:$D, (MATCH(11, 輔助計算!$G$2:$G$801, 0)+1))/IF(INDEX(ERP資料!$G:$G, (MATCH(11, 輔助計算!$G$2:$G$801, 0)+1))&lt;100, IF(INDEX(ERP資料!$G:$G, (MATCH(11, 輔助計算!$G$2:$G$801, 0)+1))&lt;=31,3,IF(INDEX(ERP資料!$G:$G, (MATCH(11, 輔助計算!$G$2:$G$801, 0)+1))&lt;=46.5,2,1)), IF(INDEX(ERP資料!$G:$G, (MATCH(11, 輔助計算!$G$2:$G$801, 0)+1))&lt;=790,3,IF(INDEX(ERP資料!$G:$G, (MATCH(11, 輔助計算!$G$2:$G$801, 0)+1))&lt;=1181,2,1)))), "")&amp;IF(AND(IF(INT(INDEX(輔助計算!$D:$D, (MATCH(11, 輔助計算!$G$2:$G$801, 0)+1))/IF(INDEX(ERP資料!$G:$G, (MATCH(11, 輔助計算!$G$2:$G$801, 0)+1))&lt;100, IF(INDEX(ERP資料!$G:$G, (MATCH(11, 輔助計算!$G$2:$G$801, 0)+1))&lt;=31,3,IF(INDEX(ERP資料!$G:$G, (MATCH(11, 輔助計算!$G$2:$G$801, 0)+1))&lt;=46.5,2,1)), IF(INDEX(ERP資料!$G:$G, (MATCH(11, 輔助計算!$G$2:$G$801, 0)+1))&lt;=790,3,IF(INDEX(ERP資料!$G:$G, (MATCH(11, 輔助計算!$G$2:$G$801, 0)+1))&lt;=1181,2,1))))&gt;0, IF(IF(INDEX(ERP資料!$G:$G, (MATCH(11, 輔助計算!$G$2:$G$801, 0)+1))&lt;100, IF(INDEX(ERP資料!$G:$G, (MATCH(11, 輔助計算!$G$2:$G$801, 0)+1))&lt;=31,3,IF(INDEX(ERP資料!$G:$G, (MATCH(11, 輔助計算!$G$2:$G$801, 0)+1))&lt;=46.5,2,1)), IF(INDEX(ERP資料!$G:$G, (MATCH(11, 輔助計算!$G$2:$G$801, 0)+1))&lt;=790,3,IF(INDEX(ERP資料!$G:$G, (MATCH(11, 輔助計算!$G$2:$G$801, 0)+1))&lt;=1181,2,1)))=1,TEXT(INDEX(ERP資料!$G:$G, (MATCH(11, 輔助計算!$G$2:$G$801, 0)+1)),"0.##"),IF(IF(INDEX(ERP資料!$G:$G, (MATCH(11, 輔助計算!$G$2:$G$801, 0)+1))&lt;100, IF(INDEX(ERP資料!$G:$G, (MATCH(11, 輔助計算!$G$2:$G$801, 0)+1))&lt;=31,3,IF(INDEX(ERP資料!$G:$G, (MATCH(11, 輔助計算!$G$2:$G$801, 0)+1))&lt;=46.5,2,1)), IF(INDEX(ERP資料!$G:$G, (MATCH(11, 輔助計算!$G$2:$G$801, 0)+1))&lt;=790,3,IF(INDEX(ERP資料!$G:$G, (MATCH(11, 輔助計算!$G$2:$G$801, 0)+1))&lt;=1181,2,1)))=2,TEXT(INDEX(ERP資料!$G:$G, (MATCH(11, 輔助計算!$G$2:$G$801, 0)+1)),"0.##")&amp;"+"&amp;TEXT(INDEX(ERP資料!$G:$G, (MATCH(11, 輔助計算!$G$2:$G$801, 0)+1)),"0.##"),TEXT(INDEX(ERP資料!$G:$G, (MATCH(11, 輔助計算!$G$2:$G$801, 0)+1)),"0.##")&amp;"+"&amp;TEXT(INDEX(ERP資料!$G:$G, (MATCH(11, 輔助計算!$G$2:$G$801, 0)+1)),"0.##")&amp;"+"&amp;TEXT(INDEX(ERP資料!$G:$G, (MATCH(11, 輔助計算!$G$2:$G$801, 0)+1)),"0.##")))&amp;"-"&amp;INT(INDEX(輔助計算!$D:$D, (MATCH(11, 輔助計算!$G$2:$G$801, 0)+1))/IF(INDEX(ERP資料!$G:$G, (MATCH(11, 輔助計算!$G$2:$G$801, 0)+1))&lt;100, IF(INDEX(ERP資料!$G:$G, (MATCH(11, 輔助計算!$G$2:$G$801, 0)+1))&lt;=31,3,IF(INDEX(ERP資料!$G:$G, (MATCH(11, 輔助計算!$G$2:$G$801, 0)+1))&lt;=46.5,2,1)), IF(INDEX(ERP資料!$G:$G, (MATCH(11, 輔助計算!$G$2:$G$801, 0)+1))&lt;=790,3,IF(INDEX(ERP資料!$G:$G, (MATCH(11, 輔助計算!$G$2:$G$801, 0)+1))&lt;=1181,2,1)))), "")&lt;&gt;"",IF(MOD(INDEX(輔助計算!$D:$D, (MATCH(11, 輔助計算!$G$2:$G$801, 0)+1)),IF(INDEX(ERP資料!$G:$G, (MATCH(11, 輔助計算!$G$2:$G$801, 0)+1))&lt;100, IF(INDEX(ERP資料!$G:$G, (MATCH(11, 輔助計算!$G$2:$G$801, 0)+1))&lt;=31,3,IF(INDEX(ERP資料!$G:$G, (MATCH(11, 輔助計算!$G$2:$G$801, 0)+1))&lt;=46.5,2,1)), IF(INDEX(ERP資料!$G:$G, (MATCH(11, 輔助計算!$G$2:$G$801, 0)+1))&lt;=790,3,IF(INDEX(ERP資料!$G:$G, (MATCH(11, 輔助計算!$G$2:$G$801, 0)+1))&lt;=1181,2,1))))=0,"",IF(MOD(INDEX(輔助計算!$D:$D, (MATCH(11, 輔助計算!$G$2:$G$801, 0)+1)),IF(INDEX(ERP資料!$G:$G, (MATCH(11, 輔助計算!$G$2:$G$801, 0)+1))&lt;100, IF(INDEX(ERP資料!$G:$G, (MATCH(11, 輔助計算!$G$2:$G$801, 0)+1))&lt;=31,3,IF(INDEX(ERP資料!$G:$G, (MATCH(11, 輔助計算!$G$2:$G$801, 0)+1))&lt;=46.5,2,1)), IF(INDEX(ERP資料!$G:$G, (MATCH(11, 輔助計算!$G$2:$G$801, 0)+1))&lt;=790,3,IF(INDEX(ERP資料!$G:$G, (MATCH(11, 輔助計算!$G$2:$G$801, 0)+1))&lt;=1181,2,1))))=0,"",IF(MOD(INDEX(輔助計算!$D:$D, (MATCH(11, 輔助計算!$G$2:$G$801, 0)+1)),IF(INDEX(ERP資料!$G:$G, (MATCH(11, 輔助計算!$G$2:$G$801, 0)+1))&lt;100, IF(INDEX(ERP資料!$G:$G, (MATCH(11, 輔助計算!$G$2:$G$801, 0)+1))&lt;=31,3,IF(INDEX(ERP資料!$G:$G, (MATCH(11, 輔助計算!$G$2:$G$801, 0)+1))&lt;=46.5,2,1)), IF(INDEX(ERP資料!$G:$G, (MATCH(11, 輔助計算!$G$2:$G$801, 0)+1))&lt;=790,3,IF(INDEX(ERP資料!$G:$G, (MATCH(11, 輔助計算!$G$2:$G$801, 0)+1))&lt;=1181,2,1))))=1,TEXT(INDEX(ERP資料!$G:$G, (MATCH(11, 輔助計算!$G$2:$G$801, 0)+1)),"0.##"),IF(MOD(INDEX(輔助計算!$D:$D, (MATCH(11, 輔助計算!$G$2:$G$801, 0)+1)),IF(INDEX(ERP資料!$G:$G, (MATCH(11, 輔助計算!$G$2:$G$801, 0)+1))&lt;100, IF(INDEX(ERP資料!$G:$G, (MATCH(11, 輔助計算!$G$2:$G$801, 0)+1))&lt;=31,3,IF(INDEX(ERP資料!$G:$G, (MATCH(11, 輔助計算!$G$2:$G$801, 0)+1))&lt;=46.5,2,1)), IF(INDEX(ERP資料!$G:$G, (MATCH(11, 輔助計算!$G$2:$G$801, 0)+1))&lt;=790,3,IF(INDEX(ERP資料!$G:$G, (MATCH(11, 輔助計算!$G$2:$G$801, 0)+1))&lt;=1181,2,1))))=2,TEXT(INDEX(ERP資料!$G:$G, (MATCH(11, 輔助計算!$G$2:$G$801, 0)+1)),"0.##")&amp;"+"&amp;TEXT(INDEX(ERP資料!$G:$G, (MATCH(11, 輔助計算!$G$2:$G$801, 0)+1)),"0.##"),TEXT(INDEX(ERP資料!$G:$G, (MATCH(11, 輔助計算!$G$2:$G$801, 0)+1)),"0.##")&amp;"+"&amp;TEXT(INDEX(ERP資料!$G:$G, (MATCH(11, 輔助計算!$G$2:$G$801, 0)+1)),"0.##")&amp;"+"&amp;TEXT(INDEX(ERP資料!$G:$G, (MATCH(11, 輔助計算!$G$2:$G$801, 0)+1)),"0.##"))))&amp;"-1")&lt;&gt;""),"  ","")&amp;IF(MOD(INDEX(輔助計算!$D:$D, (MATCH(11, 輔助計算!$G$2:$G$801, 0)+1)),IF(INDEX(ERP資料!$G:$G, (MATCH(11, 輔助計算!$G$2:$G$801, 0)+1))&lt;100, IF(INDEX(ERP資料!$G:$G, (MATCH(11, 輔助計算!$G$2:$G$801, 0)+1))&lt;=31,3,IF(INDEX(ERP資料!$G:$G, (MATCH(11, 輔助計算!$G$2:$G$801, 0)+1))&lt;=46.5,2,1)), IF(INDEX(ERP資料!$G:$G, (MATCH(11, 輔助計算!$G$2:$G$801, 0)+1))&lt;=790,3,IF(INDEX(ERP資料!$G:$G, (MATCH(11, 輔助計算!$G$2:$G$801, 0)+1))&lt;=1181,2,1))))=0,"",IF(MOD(INDEX(輔助計算!$D:$D, (MATCH(11, 輔助計算!$G$2:$G$801, 0)+1)),IF(INDEX(ERP資料!$G:$G, (MATCH(11, 輔助計算!$G$2:$G$801, 0)+1))&lt;100, IF(INDEX(ERP資料!$G:$G, (MATCH(11, 輔助計算!$G$2:$G$801, 0)+1))&lt;=31,3,IF(INDEX(ERP資料!$G:$G, (MATCH(11, 輔助計算!$G$2:$G$801, 0)+1))&lt;=46.5,2,1)), IF(INDEX(ERP資料!$G:$G, (MATCH(11, 輔助計算!$G$2:$G$801, 0)+1))&lt;=790,3,IF(INDEX(ERP資料!$G:$G, (MATCH(11, 輔助計算!$G$2:$G$801, 0)+1))&lt;=1181,2,1))))=0,"",IF(MOD(INDEX(輔助計算!$D:$D, (MATCH(11, 輔助計算!$G$2:$G$801, 0)+1)),IF(INDEX(ERP資料!$G:$G, (MATCH(11, 輔助計算!$G$2:$G$801, 0)+1))&lt;100, IF(INDEX(ERP資料!$G:$G, (MATCH(11, 輔助計算!$G$2:$G$801, 0)+1))&lt;=31,3,IF(INDEX(ERP資料!$G:$G, (MATCH(11, 輔助計算!$G$2:$G$801, 0)+1))&lt;=46.5,2,1)), IF(INDEX(ERP資料!$G:$G, (MATCH(11, 輔助計算!$G$2:$G$801, 0)+1))&lt;=790,3,IF(INDEX(ERP資料!$G:$G, (MATCH(11, 輔助計算!$G$2:$G$801, 0)+1))&lt;=1181,2,1))))=1,TEXT(INDEX(ERP資料!$G:$G, (MATCH(11, 輔助計算!$G$2:$G$801, 0)+1)),"0.##"),IF(MOD(INDEX(輔助計算!$D:$D, (MATCH(11, 輔助計算!$G$2:$G$801, 0)+1)),IF(INDEX(ERP資料!$G:$G, (MATCH(11, 輔助計算!$G$2:$G$801, 0)+1))&lt;100, IF(INDEX(ERP資料!$G:$G, (MATCH(11, 輔助計算!$G$2:$G$801, 0)+1))&lt;=31,3,IF(INDEX(ERP資料!$G:$G, (MATCH(11, 輔助計算!$G$2:$G$801, 0)+1))&lt;=46.5,2,1)), IF(INDEX(ERP資料!$G:$G, (MATCH(11, 輔助計算!$G$2:$G$801, 0)+1))&lt;=790,3,IF(INDEX(ERP資料!$G:$G, (MATCH(11, 輔助計算!$G$2:$G$801, 0)+1))&lt;=1181,2,1))))=2,TEXT(INDEX(ERP資料!$G:$G, (MATCH(11, 輔助計算!$G$2:$G$801, 0)+1)),"0.##")&amp;"+"&amp;TEXT(INDEX(ERP資料!$G:$G, (MATCH(11, 輔助計算!$G$2:$G$801, 0)+1)),"0.##"),TEXT(INDEX(ERP資料!$G:$G, (MATCH(11, 輔助計算!$G$2:$G$801, 0)+1)),"0.##")&amp;"+"&amp;TEXT(INDEX(ERP資料!$G:$G, (MATCH(11, 輔助計算!$G$2:$G$801, 0)+1)),"0.##")&amp;"+"&amp;TEXT(INDEX(ERP資料!$G:$G, (MATCH(11, 輔助計算!$G$2:$G$801, 0)+1)),"0.##"))))&amp;"-1")), ""), "")</f>
        <v/>
      </c>
      <c r="K12" s="16" t="n"/>
      <c r="L12" s="14">
        <f>IFERROR(IF(AND(IFERROR(INDEX(ERP資料!$A:$A, (MATCH(11, 輔助計算!$G$2:$G$801, 0)+1)), "")&lt;&gt;"", IFERROR(INDEX(ERP資料!$A:$A, (MATCH(11, 輔助計算!$G$2:$G$801, 0)+1)), "")&lt;&gt;IFERROR(INDEX(ERP資料!$A:$A, MATCH(10, 輔助計算!$G$2:$G$801, 0)+1), "")), INDEX(ERP資料!$B:$B, (MATCH(11, 輔助計算!$G$2:$G$801, 0)+1)), ""), "")</f>
        <v/>
      </c>
      <c r="M12" s="17" t="n"/>
    </row>
    <row r="13">
      <c r="A13" s="10">
        <f>IFERROR(IF(AND(IFERROR(INDEX(ERP資料!$A:$A, (MATCH(12, 輔助計算!$G$2:$G$801, 0)+1)), "")&lt;&gt;"", IFERROR(INDEX(ERP資料!$A:$A, (MATCH(12, 輔助計算!$G$2:$G$801, 0)+1)), "")&lt;&gt;IFERROR(INDEX(ERP資料!$A:$A, MATCH(11, 輔助計算!$G$2:$G$801, 0)+1), "")), IFERROR(INDEX(ERP資料!$A:$A, (MATCH(12, 輔助計算!$G$2:$G$801, 0)+1)), ""), ""), "")</f>
        <v/>
      </c>
      <c r="B13" s="10">
        <f>IFERROR(IF(AND(IFERROR(INDEX(ERP資料!$A:$A, (MATCH(12, 輔助計算!$G$2:$G$801, 0)+1)), "")&lt;&gt;"", IFERROR(INDEX(ERP資料!$A:$A, (MATCH(12, 輔助計算!$G$2:$G$801, 0)+1)), "")&lt;&gt;IFERROR(INDEX(ERP資料!$A:$A, MATCH(11, 輔助計算!$G$2:$G$801, 0)+1), "")), INDEX(ERP資料!$S:$S, (MATCH(12, 輔助計算!$G$2:$G$801, 0)+1)), ""), "")</f>
        <v/>
      </c>
      <c r="C13" s="19">
        <f>IFERROR(IF(AND(IFERROR(INDEX(ERP資料!$A:$A, (MATCH(12, 輔助計算!$G$2:$G$801, 0)+1)), "")&lt;&gt;"", IFERROR(INDEX(ERP資料!$A:$A, (MATCH(12, 輔助計算!$G$2:$G$801, 0)+1)), "")&lt;&gt;IFERROR(INDEX(ERP資料!$A:$A, MATCH(11, 輔助計算!$G$2:$G$801, 0)+1), "")), IFERROR(VLOOKUP(LEFT(INDEX(ERP資料!$S:$S, (MATCH(12, 輔助計算!$G$2:$G$801, 0)+1)), 4), 紙管對照表!$A:$C, 3, FALSE), ""), ""), "")</f>
        <v/>
      </c>
      <c r="D13" s="16" t="n"/>
      <c r="E13" s="10">
        <f>IFERROR(IF(INDEX(ERP資料!$H:$H, (MATCH(12, 輔助計算!$G$2:$G$801, 0)+1))="","",INDEX(ERP資料!$H:$H, (MATCH(12, 輔助計算!$G$2:$G$801, 0)+1))), "")</f>
        <v/>
      </c>
      <c r="F13" s="10">
        <f>IFERROR(IF(INDEX(ERP資料!$E:$E, (MATCH(12, 輔助計算!$G$2:$G$801, 0)+1))="","",TRIM(INDEX(ERP資料!$E:$E, (MATCH(12, 輔助計算!$G$2:$G$801, 0)+1)))), "")</f>
        <v/>
      </c>
      <c r="G13" s="10">
        <f>IFERROR(IF(INDEX(ERP資料!$F:$F, (MATCH(12, 輔助計算!$G$2:$G$801, 0)+1))="","",INDEX(ERP資料!$F:$F, (MATCH(12, 輔助計算!$G$2:$G$801, 0)+1))), "")</f>
        <v/>
      </c>
      <c r="H13" s="10">
        <f>IFERROR(IF(INDEX(ERP資料!$G:$G, (MATCH(12, 輔助計算!$G$2:$G$801, 0)+1))="","",INDEX(ERP資料!$G:$G, (MATCH(12, 輔助計算!$G$2:$G$801, 0)+1))), "")</f>
        <v/>
      </c>
      <c r="I13" s="15">
        <f>IFERROR(INDEX(輔助計算!$D:$D, (MATCH(12, 輔助計算!$G$2:$G$801, 0)+1)), "")</f>
        <v/>
      </c>
      <c r="J13" s="15">
        <f>IFERROR(IF(AND(INDEX(輔助計算!$D:$D, (MATCH(12, 輔助計算!$G$2:$G$801, 0)+1))&lt;&gt;"", INDEX(ERP資料!$G:$G, (MATCH(12, 輔助計算!$G$2:$G$801, 0)+1))&lt;&gt;""), TRIM(IF(INT(INDEX(輔助計算!$D:$D, (MATCH(12, 輔助計算!$G$2:$G$801, 0)+1))/IF(INDEX(ERP資料!$G:$G, (MATCH(12, 輔助計算!$G$2:$G$801, 0)+1))&lt;100, IF(INDEX(ERP資料!$G:$G, (MATCH(12, 輔助計算!$G$2:$G$801, 0)+1))&lt;=31,3,IF(INDEX(ERP資料!$G:$G, (MATCH(12, 輔助計算!$G$2:$G$801, 0)+1))&lt;=46.5,2,1)), IF(INDEX(ERP資料!$G:$G, (MATCH(12, 輔助計算!$G$2:$G$801, 0)+1))&lt;=790,3,IF(INDEX(ERP資料!$G:$G, (MATCH(12, 輔助計算!$G$2:$G$801, 0)+1))&lt;=1181,2,1))))&gt;0, IF(IF(INDEX(ERP資料!$G:$G, (MATCH(12, 輔助計算!$G$2:$G$801, 0)+1))&lt;100, IF(INDEX(ERP資料!$G:$G, (MATCH(12, 輔助計算!$G$2:$G$801, 0)+1))&lt;=31,3,IF(INDEX(ERP資料!$G:$G, (MATCH(12, 輔助計算!$G$2:$G$801, 0)+1))&lt;=46.5,2,1)), IF(INDEX(ERP資料!$G:$G, (MATCH(12, 輔助計算!$G$2:$G$801, 0)+1))&lt;=790,3,IF(INDEX(ERP資料!$G:$G, (MATCH(12, 輔助計算!$G$2:$G$801, 0)+1))&lt;=1181,2,1)))=1,TEXT(INDEX(ERP資料!$G:$G, (MATCH(12, 輔助計算!$G$2:$G$801, 0)+1)),"0.##"),IF(IF(INDEX(ERP資料!$G:$G, (MATCH(12, 輔助計算!$G$2:$G$801, 0)+1))&lt;100, IF(INDEX(ERP資料!$G:$G, (MATCH(12, 輔助計算!$G$2:$G$801, 0)+1))&lt;=31,3,IF(INDEX(ERP資料!$G:$G, (MATCH(12, 輔助計算!$G$2:$G$801, 0)+1))&lt;=46.5,2,1)), IF(INDEX(ERP資料!$G:$G, (MATCH(12, 輔助計算!$G$2:$G$801, 0)+1))&lt;=790,3,IF(INDEX(ERP資料!$G:$G, (MATCH(12, 輔助計算!$G$2:$G$801, 0)+1))&lt;=1181,2,1)))=2,TEXT(INDEX(ERP資料!$G:$G, (MATCH(12, 輔助計算!$G$2:$G$801, 0)+1)),"0.##")&amp;"+"&amp;TEXT(INDEX(ERP資料!$G:$G, (MATCH(12, 輔助計算!$G$2:$G$801, 0)+1)),"0.##"),TEXT(INDEX(ERP資料!$G:$G, (MATCH(12, 輔助計算!$G$2:$G$801, 0)+1)),"0.##")&amp;"+"&amp;TEXT(INDEX(ERP資料!$G:$G, (MATCH(12, 輔助計算!$G$2:$G$801, 0)+1)),"0.##")&amp;"+"&amp;TEXT(INDEX(ERP資料!$G:$G, (MATCH(12, 輔助計算!$G$2:$G$801, 0)+1)),"0.##")))&amp;"-"&amp;INT(INDEX(輔助計算!$D:$D, (MATCH(12, 輔助計算!$G$2:$G$801, 0)+1))/IF(INDEX(ERP資料!$G:$G, (MATCH(12, 輔助計算!$G$2:$G$801, 0)+1))&lt;100, IF(INDEX(ERP資料!$G:$G, (MATCH(12, 輔助計算!$G$2:$G$801, 0)+1))&lt;=31,3,IF(INDEX(ERP資料!$G:$G, (MATCH(12, 輔助計算!$G$2:$G$801, 0)+1))&lt;=46.5,2,1)), IF(INDEX(ERP資料!$G:$G, (MATCH(12, 輔助計算!$G$2:$G$801, 0)+1))&lt;=790,3,IF(INDEX(ERP資料!$G:$G, (MATCH(12, 輔助計算!$G$2:$G$801, 0)+1))&lt;=1181,2,1)))), "")&amp;IF(AND(IF(INT(INDEX(輔助計算!$D:$D, (MATCH(12, 輔助計算!$G$2:$G$801, 0)+1))/IF(INDEX(ERP資料!$G:$G, (MATCH(12, 輔助計算!$G$2:$G$801, 0)+1))&lt;100, IF(INDEX(ERP資料!$G:$G, (MATCH(12, 輔助計算!$G$2:$G$801, 0)+1))&lt;=31,3,IF(INDEX(ERP資料!$G:$G, (MATCH(12, 輔助計算!$G$2:$G$801, 0)+1))&lt;=46.5,2,1)), IF(INDEX(ERP資料!$G:$G, (MATCH(12, 輔助計算!$G$2:$G$801, 0)+1))&lt;=790,3,IF(INDEX(ERP資料!$G:$G, (MATCH(12, 輔助計算!$G$2:$G$801, 0)+1))&lt;=1181,2,1))))&gt;0, IF(IF(INDEX(ERP資料!$G:$G, (MATCH(12, 輔助計算!$G$2:$G$801, 0)+1))&lt;100, IF(INDEX(ERP資料!$G:$G, (MATCH(12, 輔助計算!$G$2:$G$801, 0)+1))&lt;=31,3,IF(INDEX(ERP資料!$G:$G, (MATCH(12, 輔助計算!$G$2:$G$801, 0)+1))&lt;=46.5,2,1)), IF(INDEX(ERP資料!$G:$G, (MATCH(12, 輔助計算!$G$2:$G$801, 0)+1))&lt;=790,3,IF(INDEX(ERP資料!$G:$G, (MATCH(12, 輔助計算!$G$2:$G$801, 0)+1))&lt;=1181,2,1)))=1,TEXT(INDEX(ERP資料!$G:$G, (MATCH(12, 輔助計算!$G$2:$G$801, 0)+1)),"0.##"),IF(IF(INDEX(ERP資料!$G:$G, (MATCH(12, 輔助計算!$G$2:$G$801, 0)+1))&lt;100, IF(INDEX(ERP資料!$G:$G, (MATCH(12, 輔助計算!$G$2:$G$801, 0)+1))&lt;=31,3,IF(INDEX(ERP資料!$G:$G, (MATCH(12, 輔助計算!$G$2:$G$801, 0)+1))&lt;=46.5,2,1)), IF(INDEX(ERP資料!$G:$G, (MATCH(12, 輔助計算!$G$2:$G$801, 0)+1))&lt;=790,3,IF(INDEX(ERP資料!$G:$G, (MATCH(12, 輔助計算!$G$2:$G$801, 0)+1))&lt;=1181,2,1)))=2,TEXT(INDEX(ERP資料!$G:$G, (MATCH(12, 輔助計算!$G$2:$G$801, 0)+1)),"0.##")&amp;"+"&amp;TEXT(INDEX(ERP資料!$G:$G, (MATCH(12, 輔助計算!$G$2:$G$801, 0)+1)),"0.##"),TEXT(INDEX(ERP資料!$G:$G, (MATCH(12, 輔助計算!$G$2:$G$801, 0)+1)),"0.##")&amp;"+"&amp;TEXT(INDEX(ERP資料!$G:$G, (MATCH(12, 輔助計算!$G$2:$G$801, 0)+1)),"0.##")&amp;"+"&amp;TEXT(INDEX(ERP資料!$G:$G, (MATCH(12, 輔助計算!$G$2:$G$801, 0)+1)),"0.##")))&amp;"-"&amp;INT(INDEX(輔助計算!$D:$D, (MATCH(12, 輔助計算!$G$2:$G$801, 0)+1))/IF(INDEX(ERP資料!$G:$G, (MATCH(12, 輔助計算!$G$2:$G$801, 0)+1))&lt;100, IF(INDEX(ERP資料!$G:$G, (MATCH(12, 輔助計算!$G$2:$G$801, 0)+1))&lt;=31,3,IF(INDEX(ERP資料!$G:$G, (MATCH(12, 輔助計算!$G$2:$G$801, 0)+1))&lt;=46.5,2,1)), IF(INDEX(ERP資料!$G:$G, (MATCH(12, 輔助計算!$G$2:$G$801, 0)+1))&lt;=790,3,IF(INDEX(ERP資料!$G:$G, (MATCH(12, 輔助計算!$G$2:$G$801, 0)+1))&lt;=1181,2,1)))), "")&lt;&gt;"",IF(MOD(INDEX(輔助計算!$D:$D, (MATCH(12, 輔助計算!$G$2:$G$801, 0)+1)),IF(INDEX(ERP資料!$G:$G, (MATCH(12, 輔助計算!$G$2:$G$801, 0)+1))&lt;100, IF(INDEX(ERP資料!$G:$G, (MATCH(12, 輔助計算!$G$2:$G$801, 0)+1))&lt;=31,3,IF(INDEX(ERP資料!$G:$G, (MATCH(12, 輔助計算!$G$2:$G$801, 0)+1))&lt;=46.5,2,1)), IF(INDEX(ERP資料!$G:$G, (MATCH(12, 輔助計算!$G$2:$G$801, 0)+1))&lt;=790,3,IF(INDEX(ERP資料!$G:$G, (MATCH(12, 輔助計算!$G$2:$G$801, 0)+1))&lt;=1181,2,1))))=0,"",IF(MOD(INDEX(輔助計算!$D:$D, (MATCH(12, 輔助計算!$G$2:$G$801, 0)+1)),IF(INDEX(ERP資料!$G:$G, (MATCH(12, 輔助計算!$G$2:$G$801, 0)+1))&lt;100, IF(INDEX(ERP資料!$G:$G, (MATCH(12, 輔助計算!$G$2:$G$801, 0)+1))&lt;=31,3,IF(INDEX(ERP資料!$G:$G, (MATCH(12, 輔助計算!$G$2:$G$801, 0)+1))&lt;=46.5,2,1)), IF(INDEX(ERP資料!$G:$G, (MATCH(12, 輔助計算!$G$2:$G$801, 0)+1))&lt;=790,3,IF(INDEX(ERP資料!$G:$G, (MATCH(12, 輔助計算!$G$2:$G$801, 0)+1))&lt;=1181,2,1))))=0,"",IF(MOD(INDEX(輔助計算!$D:$D, (MATCH(12, 輔助計算!$G$2:$G$801, 0)+1)),IF(INDEX(ERP資料!$G:$G, (MATCH(12, 輔助計算!$G$2:$G$801, 0)+1))&lt;100, IF(INDEX(ERP資料!$G:$G, (MATCH(12, 輔助計算!$G$2:$G$801, 0)+1))&lt;=31,3,IF(INDEX(ERP資料!$G:$G, (MATCH(12, 輔助計算!$G$2:$G$801, 0)+1))&lt;=46.5,2,1)), IF(INDEX(ERP資料!$G:$G, (MATCH(12, 輔助計算!$G$2:$G$801, 0)+1))&lt;=790,3,IF(INDEX(ERP資料!$G:$G, (MATCH(12, 輔助計算!$G$2:$G$801, 0)+1))&lt;=1181,2,1))))=1,TEXT(INDEX(ERP資料!$G:$G, (MATCH(12, 輔助計算!$G$2:$G$801, 0)+1)),"0.##"),IF(MOD(INDEX(輔助計算!$D:$D, (MATCH(12, 輔助計算!$G$2:$G$801, 0)+1)),IF(INDEX(ERP資料!$G:$G, (MATCH(12, 輔助計算!$G$2:$G$801, 0)+1))&lt;100, IF(INDEX(ERP資料!$G:$G, (MATCH(12, 輔助計算!$G$2:$G$801, 0)+1))&lt;=31,3,IF(INDEX(ERP資料!$G:$G, (MATCH(12, 輔助計算!$G$2:$G$801, 0)+1))&lt;=46.5,2,1)), IF(INDEX(ERP資料!$G:$G, (MATCH(12, 輔助計算!$G$2:$G$801, 0)+1))&lt;=790,3,IF(INDEX(ERP資料!$G:$G, (MATCH(12, 輔助計算!$G$2:$G$801, 0)+1))&lt;=1181,2,1))))=2,TEXT(INDEX(ERP資料!$G:$G, (MATCH(12, 輔助計算!$G$2:$G$801, 0)+1)),"0.##")&amp;"+"&amp;TEXT(INDEX(ERP資料!$G:$G, (MATCH(12, 輔助計算!$G$2:$G$801, 0)+1)),"0.##"),TEXT(INDEX(ERP資料!$G:$G, (MATCH(12, 輔助計算!$G$2:$G$801, 0)+1)),"0.##")&amp;"+"&amp;TEXT(INDEX(ERP資料!$G:$G, (MATCH(12, 輔助計算!$G$2:$G$801, 0)+1)),"0.##")&amp;"+"&amp;TEXT(INDEX(ERP資料!$G:$G, (MATCH(12, 輔助計算!$G$2:$G$801, 0)+1)),"0.##"))))&amp;"-1")&lt;&gt;""),"  ","")&amp;IF(MOD(INDEX(輔助計算!$D:$D, (MATCH(12, 輔助計算!$G$2:$G$801, 0)+1)),IF(INDEX(ERP資料!$G:$G, (MATCH(12, 輔助計算!$G$2:$G$801, 0)+1))&lt;100, IF(INDEX(ERP資料!$G:$G, (MATCH(12, 輔助計算!$G$2:$G$801, 0)+1))&lt;=31,3,IF(INDEX(ERP資料!$G:$G, (MATCH(12, 輔助計算!$G$2:$G$801, 0)+1))&lt;=46.5,2,1)), IF(INDEX(ERP資料!$G:$G, (MATCH(12, 輔助計算!$G$2:$G$801, 0)+1))&lt;=790,3,IF(INDEX(ERP資料!$G:$G, (MATCH(12, 輔助計算!$G$2:$G$801, 0)+1))&lt;=1181,2,1))))=0,"",IF(MOD(INDEX(輔助計算!$D:$D, (MATCH(12, 輔助計算!$G$2:$G$801, 0)+1)),IF(INDEX(ERP資料!$G:$G, (MATCH(12, 輔助計算!$G$2:$G$801, 0)+1))&lt;100, IF(INDEX(ERP資料!$G:$G, (MATCH(12, 輔助計算!$G$2:$G$801, 0)+1))&lt;=31,3,IF(INDEX(ERP資料!$G:$G, (MATCH(12, 輔助計算!$G$2:$G$801, 0)+1))&lt;=46.5,2,1)), IF(INDEX(ERP資料!$G:$G, (MATCH(12, 輔助計算!$G$2:$G$801, 0)+1))&lt;=790,3,IF(INDEX(ERP資料!$G:$G, (MATCH(12, 輔助計算!$G$2:$G$801, 0)+1))&lt;=1181,2,1))))=0,"",IF(MOD(INDEX(輔助計算!$D:$D, (MATCH(12, 輔助計算!$G$2:$G$801, 0)+1)),IF(INDEX(ERP資料!$G:$G, (MATCH(12, 輔助計算!$G$2:$G$801, 0)+1))&lt;100, IF(INDEX(ERP資料!$G:$G, (MATCH(12, 輔助計算!$G$2:$G$801, 0)+1))&lt;=31,3,IF(INDEX(ERP資料!$G:$G, (MATCH(12, 輔助計算!$G$2:$G$801, 0)+1))&lt;=46.5,2,1)), IF(INDEX(ERP資料!$G:$G, (MATCH(12, 輔助計算!$G$2:$G$801, 0)+1))&lt;=790,3,IF(INDEX(ERP資料!$G:$G, (MATCH(12, 輔助計算!$G$2:$G$801, 0)+1))&lt;=1181,2,1))))=1,TEXT(INDEX(ERP資料!$G:$G, (MATCH(12, 輔助計算!$G$2:$G$801, 0)+1)),"0.##"),IF(MOD(INDEX(輔助計算!$D:$D, (MATCH(12, 輔助計算!$G$2:$G$801, 0)+1)),IF(INDEX(ERP資料!$G:$G, (MATCH(12, 輔助計算!$G$2:$G$801, 0)+1))&lt;100, IF(INDEX(ERP資料!$G:$G, (MATCH(12, 輔助計算!$G$2:$G$801, 0)+1))&lt;=31,3,IF(INDEX(ERP資料!$G:$G, (MATCH(12, 輔助計算!$G$2:$G$801, 0)+1))&lt;=46.5,2,1)), IF(INDEX(ERP資料!$G:$G, (MATCH(12, 輔助計算!$G$2:$G$801, 0)+1))&lt;=790,3,IF(INDEX(ERP資料!$G:$G, (MATCH(12, 輔助計算!$G$2:$G$801, 0)+1))&lt;=1181,2,1))))=2,TEXT(INDEX(ERP資料!$G:$G, (MATCH(12, 輔助計算!$G$2:$G$801, 0)+1)),"0.##")&amp;"+"&amp;TEXT(INDEX(ERP資料!$G:$G, (MATCH(12, 輔助計算!$G$2:$G$801, 0)+1)),"0.##"),TEXT(INDEX(ERP資料!$G:$G, (MATCH(12, 輔助計算!$G$2:$G$801, 0)+1)),"0.##")&amp;"+"&amp;TEXT(INDEX(ERP資料!$G:$G, (MATCH(12, 輔助計算!$G$2:$G$801, 0)+1)),"0.##")&amp;"+"&amp;TEXT(INDEX(ERP資料!$G:$G, (MATCH(12, 輔助計算!$G$2:$G$801, 0)+1)),"0.##"))))&amp;"-1")), ""), "")</f>
        <v/>
      </c>
      <c r="K13" s="16" t="n"/>
      <c r="L13" s="14">
        <f>IFERROR(IF(AND(IFERROR(INDEX(ERP資料!$A:$A, (MATCH(12, 輔助計算!$G$2:$G$801, 0)+1)), "")&lt;&gt;"", IFERROR(INDEX(ERP資料!$A:$A, (MATCH(12, 輔助計算!$G$2:$G$801, 0)+1)), "")&lt;&gt;IFERROR(INDEX(ERP資料!$A:$A, MATCH(11, 輔助計算!$G$2:$G$801, 0)+1), "")), INDEX(ERP資料!$B:$B, (MATCH(12, 輔助計算!$G$2:$G$801, 0)+1)), ""), "")</f>
        <v/>
      </c>
      <c r="M13" s="17" t="n"/>
    </row>
    <row r="14">
      <c r="A14" s="10">
        <f>IFERROR(IF(AND(IFERROR(INDEX(ERP資料!$A:$A, (MATCH(13, 輔助計算!$G$2:$G$801, 0)+1)), "")&lt;&gt;"", IFERROR(INDEX(ERP資料!$A:$A, (MATCH(13, 輔助計算!$G$2:$G$801, 0)+1)), "")&lt;&gt;IFERROR(INDEX(ERP資料!$A:$A, MATCH(12, 輔助計算!$G$2:$G$801, 0)+1), "")), IFERROR(INDEX(ERP資料!$A:$A, (MATCH(13, 輔助計算!$G$2:$G$801, 0)+1)), ""), ""), "")</f>
        <v/>
      </c>
      <c r="B14" s="10">
        <f>IFERROR(IF(AND(IFERROR(INDEX(ERP資料!$A:$A, (MATCH(13, 輔助計算!$G$2:$G$801, 0)+1)), "")&lt;&gt;"", IFERROR(INDEX(ERP資料!$A:$A, (MATCH(13, 輔助計算!$G$2:$G$801, 0)+1)), "")&lt;&gt;IFERROR(INDEX(ERP資料!$A:$A, MATCH(12, 輔助計算!$G$2:$G$801, 0)+1), "")), INDEX(ERP資料!$S:$S, (MATCH(13, 輔助計算!$G$2:$G$801, 0)+1)), ""), "")</f>
        <v/>
      </c>
      <c r="C14" s="19">
        <f>IFERROR(IF(AND(IFERROR(INDEX(ERP資料!$A:$A, (MATCH(13, 輔助計算!$G$2:$G$801, 0)+1)), "")&lt;&gt;"", IFERROR(INDEX(ERP資料!$A:$A, (MATCH(13, 輔助計算!$G$2:$G$801, 0)+1)), "")&lt;&gt;IFERROR(INDEX(ERP資料!$A:$A, MATCH(12, 輔助計算!$G$2:$G$801, 0)+1), "")), IFERROR(VLOOKUP(LEFT(INDEX(ERP資料!$S:$S, (MATCH(13, 輔助計算!$G$2:$G$801, 0)+1)), 4), 紙管對照表!$A:$C, 3, FALSE), ""), ""), "")</f>
        <v/>
      </c>
      <c r="D14" s="16" t="n"/>
      <c r="E14" s="10">
        <f>IFERROR(IF(INDEX(ERP資料!$H:$H, (MATCH(13, 輔助計算!$G$2:$G$801, 0)+1))="","",INDEX(ERP資料!$H:$H, (MATCH(13, 輔助計算!$G$2:$G$801, 0)+1))), "")</f>
        <v/>
      </c>
      <c r="F14" s="10">
        <f>IFERROR(IF(INDEX(ERP資料!$E:$E, (MATCH(13, 輔助計算!$G$2:$G$801, 0)+1))="","",TRIM(INDEX(ERP資料!$E:$E, (MATCH(13, 輔助計算!$G$2:$G$801, 0)+1)))), "")</f>
        <v/>
      </c>
      <c r="G14" s="10">
        <f>IFERROR(IF(INDEX(ERP資料!$F:$F, (MATCH(13, 輔助計算!$G$2:$G$801, 0)+1))="","",INDEX(ERP資料!$F:$F, (MATCH(13, 輔助計算!$G$2:$G$801, 0)+1))), "")</f>
        <v/>
      </c>
      <c r="H14" s="10">
        <f>IFERROR(IF(INDEX(ERP資料!$G:$G, (MATCH(13, 輔助計算!$G$2:$G$801, 0)+1))="","",INDEX(ERP資料!$G:$G, (MATCH(13, 輔助計算!$G$2:$G$801, 0)+1))), "")</f>
        <v/>
      </c>
      <c r="I14" s="15">
        <f>IFERROR(INDEX(輔助計算!$D:$D, (MATCH(13, 輔助計算!$G$2:$G$801, 0)+1)), "")</f>
        <v/>
      </c>
      <c r="J14" s="15">
        <f>IFERROR(IF(AND(INDEX(輔助計算!$D:$D, (MATCH(13, 輔助計算!$G$2:$G$801, 0)+1))&lt;&gt;"", INDEX(ERP資料!$G:$G, (MATCH(13, 輔助計算!$G$2:$G$801, 0)+1))&lt;&gt;""), TRIM(IF(INT(INDEX(輔助計算!$D:$D, (MATCH(13, 輔助計算!$G$2:$G$801, 0)+1))/IF(INDEX(ERP資料!$G:$G, (MATCH(13, 輔助計算!$G$2:$G$801, 0)+1))&lt;100, IF(INDEX(ERP資料!$G:$G, (MATCH(13, 輔助計算!$G$2:$G$801, 0)+1))&lt;=31,3,IF(INDEX(ERP資料!$G:$G, (MATCH(13, 輔助計算!$G$2:$G$801, 0)+1))&lt;=46.5,2,1)), IF(INDEX(ERP資料!$G:$G, (MATCH(13, 輔助計算!$G$2:$G$801, 0)+1))&lt;=790,3,IF(INDEX(ERP資料!$G:$G, (MATCH(13, 輔助計算!$G$2:$G$801, 0)+1))&lt;=1181,2,1))))&gt;0, IF(IF(INDEX(ERP資料!$G:$G, (MATCH(13, 輔助計算!$G$2:$G$801, 0)+1))&lt;100, IF(INDEX(ERP資料!$G:$G, (MATCH(13, 輔助計算!$G$2:$G$801, 0)+1))&lt;=31,3,IF(INDEX(ERP資料!$G:$G, (MATCH(13, 輔助計算!$G$2:$G$801, 0)+1))&lt;=46.5,2,1)), IF(INDEX(ERP資料!$G:$G, (MATCH(13, 輔助計算!$G$2:$G$801, 0)+1))&lt;=790,3,IF(INDEX(ERP資料!$G:$G, (MATCH(13, 輔助計算!$G$2:$G$801, 0)+1))&lt;=1181,2,1)))=1,TEXT(INDEX(ERP資料!$G:$G, (MATCH(13, 輔助計算!$G$2:$G$801, 0)+1)),"0.##"),IF(IF(INDEX(ERP資料!$G:$G, (MATCH(13, 輔助計算!$G$2:$G$801, 0)+1))&lt;100, IF(INDEX(ERP資料!$G:$G, (MATCH(13, 輔助計算!$G$2:$G$801, 0)+1))&lt;=31,3,IF(INDEX(ERP資料!$G:$G, (MATCH(13, 輔助計算!$G$2:$G$801, 0)+1))&lt;=46.5,2,1)), IF(INDEX(ERP資料!$G:$G, (MATCH(13, 輔助計算!$G$2:$G$801, 0)+1))&lt;=790,3,IF(INDEX(ERP資料!$G:$G, (MATCH(13, 輔助計算!$G$2:$G$801, 0)+1))&lt;=1181,2,1)))=2,TEXT(INDEX(ERP資料!$G:$G, (MATCH(13, 輔助計算!$G$2:$G$801, 0)+1)),"0.##")&amp;"+"&amp;TEXT(INDEX(ERP資料!$G:$G, (MATCH(13, 輔助計算!$G$2:$G$801, 0)+1)),"0.##"),TEXT(INDEX(ERP資料!$G:$G, (MATCH(13, 輔助計算!$G$2:$G$801, 0)+1)),"0.##")&amp;"+"&amp;TEXT(INDEX(ERP資料!$G:$G, (MATCH(13, 輔助計算!$G$2:$G$801, 0)+1)),"0.##")&amp;"+"&amp;TEXT(INDEX(ERP資料!$G:$G, (MATCH(13, 輔助計算!$G$2:$G$801, 0)+1)),"0.##")))&amp;"-"&amp;INT(INDEX(輔助計算!$D:$D, (MATCH(13, 輔助計算!$G$2:$G$801, 0)+1))/IF(INDEX(ERP資料!$G:$G, (MATCH(13, 輔助計算!$G$2:$G$801, 0)+1))&lt;100, IF(INDEX(ERP資料!$G:$G, (MATCH(13, 輔助計算!$G$2:$G$801, 0)+1))&lt;=31,3,IF(INDEX(ERP資料!$G:$G, (MATCH(13, 輔助計算!$G$2:$G$801, 0)+1))&lt;=46.5,2,1)), IF(INDEX(ERP資料!$G:$G, (MATCH(13, 輔助計算!$G$2:$G$801, 0)+1))&lt;=790,3,IF(INDEX(ERP資料!$G:$G, (MATCH(13, 輔助計算!$G$2:$G$801, 0)+1))&lt;=1181,2,1)))), "")&amp;IF(AND(IF(INT(INDEX(輔助計算!$D:$D, (MATCH(13, 輔助計算!$G$2:$G$801, 0)+1))/IF(INDEX(ERP資料!$G:$G, (MATCH(13, 輔助計算!$G$2:$G$801, 0)+1))&lt;100, IF(INDEX(ERP資料!$G:$G, (MATCH(13, 輔助計算!$G$2:$G$801, 0)+1))&lt;=31,3,IF(INDEX(ERP資料!$G:$G, (MATCH(13, 輔助計算!$G$2:$G$801, 0)+1))&lt;=46.5,2,1)), IF(INDEX(ERP資料!$G:$G, (MATCH(13, 輔助計算!$G$2:$G$801, 0)+1))&lt;=790,3,IF(INDEX(ERP資料!$G:$G, (MATCH(13, 輔助計算!$G$2:$G$801, 0)+1))&lt;=1181,2,1))))&gt;0, IF(IF(INDEX(ERP資料!$G:$G, (MATCH(13, 輔助計算!$G$2:$G$801, 0)+1))&lt;100, IF(INDEX(ERP資料!$G:$G, (MATCH(13, 輔助計算!$G$2:$G$801, 0)+1))&lt;=31,3,IF(INDEX(ERP資料!$G:$G, (MATCH(13, 輔助計算!$G$2:$G$801, 0)+1))&lt;=46.5,2,1)), IF(INDEX(ERP資料!$G:$G, (MATCH(13, 輔助計算!$G$2:$G$801, 0)+1))&lt;=790,3,IF(INDEX(ERP資料!$G:$G, (MATCH(13, 輔助計算!$G$2:$G$801, 0)+1))&lt;=1181,2,1)))=1,TEXT(INDEX(ERP資料!$G:$G, (MATCH(13, 輔助計算!$G$2:$G$801, 0)+1)),"0.##"),IF(IF(INDEX(ERP資料!$G:$G, (MATCH(13, 輔助計算!$G$2:$G$801, 0)+1))&lt;100, IF(INDEX(ERP資料!$G:$G, (MATCH(13, 輔助計算!$G$2:$G$801, 0)+1))&lt;=31,3,IF(INDEX(ERP資料!$G:$G, (MATCH(13, 輔助計算!$G$2:$G$801, 0)+1))&lt;=46.5,2,1)), IF(INDEX(ERP資料!$G:$G, (MATCH(13, 輔助計算!$G$2:$G$801, 0)+1))&lt;=790,3,IF(INDEX(ERP資料!$G:$G, (MATCH(13, 輔助計算!$G$2:$G$801, 0)+1))&lt;=1181,2,1)))=2,TEXT(INDEX(ERP資料!$G:$G, (MATCH(13, 輔助計算!$G$2:$G$801, 0)+1)),"0.##")&amp;"+"&amp;TEXT(INDEX(ERP資料!$G:$G, (MATCH(13, 輔助計算!$G$2:$G$801, 0)+1)),"0.##"),TEXT(INDEX(ERP資料!$G:$G, (MATCH(13, 輔助計算!$G$2:$G$801, 0)+1)),"0.##")&amp;"+"&amp;TEXT(INDEX(ERP資料!$G:$G, (MATCH(13, 輔助計算!$G$2:$G$801, 0)+1)),"0.##")&amp;"+"&amp;TEXT(INDEX(ERP資料!$G:$G, (MATCH(13, 輔助計算!$G$2:$G$801, 0)+1)),"0.##")))&amp;"-"&amp;INT(INDEX(輔助計算!$D:$D, (MATCH(13, 輔助計算!$G$2:$G$801, 0)+1))/IF(INDEX(ERP資料!$G:$G, (MATCH(13, 輔助計算!$G$2:$G$801, 0)+1))&lt;100, IF(INDEX(ERP資料!$G:$G, (MATCH(13, 輔助計算!$G$2:$G$801, 0)+1))&lt;=31,3,IF(INDEX(ERP資料!$G:$G, (MATCH(13, 輔助計算!$G$2:$G$801, 0)+1))&lt;=46.5,2,1)), IF(INDEX(ERP資料!$G:$G, (MATCH(13, 輔助計算!$G$2:$G$801, 0)+1))&lt;=790,3,IF(INDEX(ERP資料!$G:$G, (MATCH(13, 輔助計算!$G$2:$G$801, 0)+1))&lt;=1181,2,1)))), "")&lt;&gt;"",IF(MOD(INDEX(輔助計算!$D:$D, (MATCH(13, 輔助計算!$G$2:$G$801, 0)+1)),IF(INDEX(ERP資料!$G:$G, (MATCH(13, 輔助計算!$G$2:$G$801, 0)+1))&lt;100, IF(INDEX(ERP資料!$G:$G, (MATCH(13, 輔助計算!$G$2:$G$801, 0)+1))&lt;=31,3,IF(INDEX(ERP資料!$G:$G, (MATCH(13, 輔助計算!$G$2:$G$801, 0)+1))&lt;=46.5,2,1)), IF(INDEX(ERP資料!$G:$G, (MATCH(13, 輔助計算!$G$2:$G$801, 0)+1))&lt;=790,3,IF(INDEX(ERP資料!$G:$G, (MATCH(13, 輔助計算!$G$2:$G$801, 0)+1))&lt;=1181,2,1))))=0,"",IF(MOD(INDEX(輔助計算!$D:$D, (MATCH(13, 輔助計算!$G$2:$G$801, 0)+1)),IF(INDEX(ERP資料!$G:$G, (MATCH(13, 輔助計算!$G$2:$G$801, 0)+1))&lt;100, IF(INDEX(ERP資料!$G:$G, (MATCH(13, 輔助計算!$G$2:$G$801, 0)+1))&lt;=31,3,IF(INDEX(ERP資料!$G:$G, (MATCH(13, 輔助計算!$G$2:$G$801, 0)+1))&lt;=46.5,2,1)), IF(INDEX(ERP資料!$G:$G, (MATCH(13, 輔助計算!$G$2:$G$801, 0)+1))&lt;=790,3,IF(INDEX(ERP資料!$G:$G, (MATCH(13, 輔助計算!$G$2:$G$801, 0)+1))&lt;=1181,2,1))))=0,"",IF(MOD(INDEX(輔助計算!$D:$D, (MATCH(13, 輔助計算!$G$2:$G$801, 0)+1)),IF(INDEX(ERP資料!$G:$G, (MATCH(13, 輔助計算!$G$2:$G$801, 0)+1))&lt;100, IF(INDEX(ERP資料!$G:$G, (MATCH(13, 輔助計算!$G$2:$G$801, 0)+1))&lt;=31,3,IF(INDEX(ERP資料!$G:$G, (MATCH(13, 輔助計算!$G$2:$G$801, 0)+1))&lt;=46.5,2,1)), IF(INDEX(ERP資料!$G:$G, (MATCH(13, 輔助計算!$G$2:$G$801, 0)+1))&lt;=790,3,IF(INDEX(ERP資料!$G:$G, (MATCH(13, 輔助計算!$G$2:$G$801, 0)+1))&lt;=1181,2,1))))=1,TEXT(INDEX(ERP資料!$G:$G, (MATCH(13, 輔助計算!$G$2:$G$801, 0)+1)),"0.##"),IF(MOD(INDEX(輔助計算!$D:$D, (MATCH(13, 輔助計算!$G$2:$G$801, 0)+1)),IF(INDEX(ERP資料!$G:$G, (MATCH(13, 輔助計算!$G$2:$G$801, 0)+1))&lt;100, IF(INDEX(ERP資料!$G:$G, (MATCH(13, 輔助計算!$G$2:$G$801, 0)+1))&lt;=31,3,IF(INDEX(ERP資料!$G:$G, (MATCH(13, 輔助計算!$G$2:$G$801, 0)+1))&lt;=46.5,2,1)), IF(INDEX(ERP資料!$G:$G, (MATCH(13, 輔助計算!$G$2:$G$801, 0)+1))&lt;=790,3,IF(INDEX(ERP資料!$G:$G, (MATCH(13, 輔助計算!$G$2:$G$801, 0)+1))&lt;=1181,2,1))))=2,TEXT(INDEX(ERP資料!$G:$G, (MATCH(13, 輔助計算!$G$2:$G$801, 0)+1)),"0.##")&amp;"+"&amp;TEXT(INDEX(ERP資料!$G:$G, (MATCH(13, 輔助計算!$G$2:$G$801, 0)+1)),"0.##"),TEXT(INDEX(ERP資料!$G:$G, (MATCH(13, 輔助計算!$G$2:$G$801, 0)+1)),"0.##")&amp;"+"&amp;TEXT(INDEX(ERP資料!$G:$G, (MATCH(13, 輔助計算!$G$2:$G$801, 0)+1)),"0.##")&amp;"+"&amp;TEXT(INDEX(ERP資料!$G:$G, (MATCH(13, 輔助計算!$G$2:$G$801, 0)+1)),"0.##"))))&amp;"-1")&lt;&gt;""),"  ","")&amp;IF(MOD(INDEX(輔助計算!$D:$D, (MATCH(13, 輔助計算!$G$2:$G$801, 0)+1)),IF(INDEX(ERP資料!$G:$G, (MATCH(13, 輔助計算!$G$2:$G$801, 0)+1))&lt;100, IF(INDEX(ERP資料!$G:$G, (MATCH(13, 輔助計算!$G$2:$G$801, 0)+1))&lt;=31,3,IF(INDEX(ERP資料!$G:$G, (MATCH(13, 輔助計算!$G$2:$G$801, 0)+1))&lt;=46.5,2,1)), IF(INDEX(ERP資料!$G:$G, (MATCH(13, 輔助計算!$G$2:$G$801, 0)+1))&lt;=790,3,IF(INDEX(ERP資料!$G:$G, (MATCH(13, 輔助計算!$G$2:$G$801, 0)+1))&lt;=1181,2,1))))=0,"",IF(MOD(INDEX(輔助計算!$D:$D, (MATCH(13, 輔助計算!$G$2:$G$801, 0)+1)),IF(INDEX(ERP資料!$G:$G, (MATCH(13, 輔助計算!$G$2:$G$801, 0)+1))&lt;100, IF(INDEX(ERP資料!$G:$G, (MATCH(13, 輔助計算!$G$2:$G$801, 0)+1))&lt;=31,3,IF(INDEX(ERP資料!$G:$G, (MATCH(13, 輔助計算!$G$2:$G$801, 0)+1))&lt;=46.5,2,1)), IF(INDEX(ERP資料!$G:$G, (MATCH(13, 輔助計算!$G$2:$G$801, 0)+1))&lt;=790,3,IF(INDEX(ERP資料!$G:$G, (MATCH(13, 輔助計算!$G$2:$G$801, 0)+1))&lt;=1181,2,1))))=0,"",IF(MOD(INDEX(輔助計算!$D:$D, (MATCH(13, 輔助計算!$G$2:$G$801, 0)+1)),IF(INDEX(ERP資料!$G:$G, (MATCH(13, 輔助計算!$G$2:$G$801, 0)+1))&lt;100, IF(INDEX(ERP資料!$G:$G, (MATCH(13, 輔助計算!$G$2:$G$801, 0)+1))&lt;=31,3,IF(INDEX(ERP資料!$G:$G, (MATCH(13, 輔助計算!$G$2:$G$801, 0)+1))&lt;=46.5,2,1)), IF(INDEX(ERP資料!$G:$G, (MATCH(13, 輔助計算!$G$2:$G$801, 0)+1))&lt;=790,3,IF(INDEX(ERP資料!$G:$G, (MATCH(13, 輔助計算!$G$2:$G$801, 0)+1))&lt;=1181,2,1))))=1,TEXT(INDEX(ERP資料!$G:$G, (MATCH(13, 輔助計算!$G$2:$G$801, 0)+1)),"0.##"),IF(MOD(INDEX(輔助計算!$D:$D, (MATCH(13, 輔助計算!$G$2:$G$801, 0)+1)),IF(INDEX(ERP資料!$G:$G, (MATCH(13, 輔助計算!$G$2:$G$801, 0)+1))&lt;100, IF(INDEX(ERP資料!$G:$G, (MATCH(13, 輔助計算!$G$2:$G$801, 0)+1))&lt;=31,3,IF(INDEX(ERP資料!$G:$G, (MATCH(13, 輔助計算!$G$2:$G$801, 0)+1))&lt;=46.5,2,1)), IF(INDEX(ERP資料!$G:$G, (MATCH(13, 輔助計算!$G$2:$G$801, 0)+1))&lt;=790,3,IF(INDEX(ERP資料!$G:$G, (MATCH(13, 輔助計算!$G$2:$G$801, 0)+1))&lt;=1181,2,1))))=2,TEXT(INDEX(ERP資料!$G:$G, (MATCH(13, 輔助計算!$G$2:$G$801, 0)+1)),"0.##")&amp;"+"&amp;TEXT(INDEX(ERP資料!$G:$G, (MATCH(13, 輔助計算!$G$2:$G$801, 0)+1)),"0.##"),TEXT(INDEX(ERP資料!$G:$G, (MATCH(13, 輔助計算!$G$2:$G$801, 0)+1)),"0.##")&amp;"+"&amp;TEXT(INDEX(ERP資料!$G:$G, (MATCH(13, 輔助計算!$G$2:$G$801, 0)+1)),"0.##")&amp;"+"&amp;TEXT(INDEX(ERP資料!$G:$G, (MATCH(13, 輔助計算!$G$2:$G$801, 0)+1)),"0.##"))))&amp;"-1")), ""), "")</f>
        <v/>
      </c>
      <c r="K14" s="16" t="n"/>
      <c r="L14" s="14">
        <f>IFERROR(IF(AND(IFERROR(INDEX(ERP資料!$A:$A, (MATCH(13, 輔助計算!$G$2:$G$801, 0)+1)), "")&lt;&gt;"", IFERROR(INDEX(ERP資料!$A:$A, (MATCH(13, 輔助計算!$G$2:$G$801, 0)+1)), "")&lt;&gt;IFERROR(INDEX(ERP資料!$A:$A, MATCH(12, 輔助計算!$G$2:$G$801, 0)+1), "")), INDEX(ERP資料!$B:$B, (MATCH(13, 輔助計算!$G$2:$G$801, 0)+1)), ""), "")</f>
        <v/>
      </c>
      <c r="M14" s="17" t="n"/>
    </row>
    <row r="15">
      <c r="A15" s="10">
        <f>IFERROR(IF(AND(IFERROR(INDEX(ERP資料!$A:$A, (MATCH(14, 輔助計算!$G$2:$G$801, 0)+1)), "")&lt;&gt;"", IFERROR(INDEX(ERP資料!$A:$A, (MATCH(14, 輔助計算!$G$2:$G$801, 0)+1)), "")&lt;&gt;IFERROR(INDEX(ERP資料!$A:$A, MATCH(13, 輔助計算!$G$2:$G$801, 0)+1), "")), IFERROR(INDEX(ERP資料!$A:$A, (MATCH(14, 輔助計算!$G$2:$G$801, 0)+1)), ""), ""), "")</f>
        <v/>
      </c>
      <c r="B15" s="10">
        <f>IFERROR(IF(AND(IFERROR(INDEX(ERP資料!$A:$A, (MATCH(14, 輔助計算!$G$2:$G$801, 0)+1)), "")&lt;&gt;"", IFERROR(INDEX(ERP資料!$A:$A, (MATCH(14, 輔助計算!$G$2:$G$801, 0)+1)), "")&lt;&gt;IFERROR(INDEX(ERP資料!$A:$A, MATCH(13, 輔助計算!$G$2:$G$801, 0)+1), "")), INDEX(ERP資料!$S:$S, (MATCH(14, 輔助計算!$G$2:$G$801, 0)+1)), ""), "")</f>
        <v/>
      </c>
      <c r="C15" s="19">
        <f>IFERROR(IF(AND(IFERROR(INDEX(ERP資料!$A:$A, (MATCH(14, 輔助計算!$G$2:$G$801, 0)+1)), "")&lt;&gt;"", IFERROR(INDEX(ERP資料!$A:$A, (MATCH(14, 輔助計算!$G$2:$G$801, 0)+1)), "")&lt;&gt;IFERROR(INDEX(ERP資料!$A:$A, MATCH(13, 輔助計算!$G$2:$G$801, 0)+1), "")), IFERROR(VLOOKUP(LEFT(INDEX(ERP資料!$S:$S, (MATCH(14, 輔助計算!$G$2:$G$801, 0)+1)), 4), 紙管對照表!$A:$C, 3, FALSE), ""), ""), "")</f>
        <v/>
      </c>
      <c r="D15" s="16" t="n"/>
      <c r="E15" s="10">
        <f>IFERROR(IF(INDEX(ERP資料!$H:$H, (MATCH(14, 輔助計算!$G$2:$G$801, 0)+1))="","",INDEX(ERP資料!$H:$H, (MATCH(14, 輔助計算!$G$2:$G$801, 0)+1))), "")</f>
        <v/>
      </c>
      <c r="F15" s="10">
        <f>IFERROR(IF(INDEX(ERP資料!$E:$E, (MATCH(14, 輔助計算!$G$2:$G$801, 0)+1))="","",TRIM(INDEX(ERP資料!$E:$E, (MATCH(14, 輔助計算!$G$2:$G$801, 0)+1)))), "")</f>
        <v/>
      </c>
      <c r="G15" s="10">
        <f>IFERROR(IF(INDEX(ERP資料!$F:$F, (MATCH(14, 輔助計算!$G$2:$G$801, 0)+1))="","",INDEX(ERP資料!$F:$F, (MATCH(14, 輔助計算!$G$2:$G$801, 0)+1))), "")</f>
        <v/>
      </c>
      <c r="H15" s="10">
        <f>IFERROR(IF(INDEX(ERP資料!$G:$G, (MATCH(14, 輔助計算!$G$2:$G$801, 0)+1))="","",INDEX(ERP資料!$G:$G, (MATCH(14, 輔助計算!$G$2:$G$801, 0)+1))), "")</f>
        <v/>
      </c>
      <c r="I15" s="15">
        <f>IFERROR(INDEX(輔助計算!$D:$D, (MATCH(14, 輔助計算!$G$2:$G$801, 0)+1)), "")</f>
        <v/>
      </c>
      <c r="J15" s="15">
        <f>IFERROR(IF(AND(INDEX(輔助計算!$D:$D, (MATCH(14, 輔助計算!$G$2:$G$801, 0)+1))&lt;&gt;"", INDEX(ERP資料!$G:$G, (MATCH(14, 輔助計算!$G$2:$G$801, 0)+1))&lt;&gt;""), TRIM(IF(INT(INDEX(輔助計算!$D:$D, (MATCH(14, 輔助計算!$G$2:$G$801, 0)+1))/IF(INDEX(ERP資料!$G:$G, (MATCH(14, 輔助計算!$G$2:$G$801, 0)+1))&lt;100, IF(INDEX(ERP資料!$G:$G, (MATCH(14, 輔助計算!$G$2:$G$801, 0)+1))&lt;=31,3,IF(INDEX(ERP資料!$G:$G, (MATCH(14, 輔助計算!$G$2:$G$801, 0)+1))&lt;=46.5,2,1)), IF(INDEX(ERP資料!$G:$G, (MATCH(14, 輔助計算!$G$2:$G$801, 0)+1))&lt;=790,3,IF(INDEX(ERP資料!$G:$G, (MATCH(14, 輔助計算!$G$2:$G$801, 0)+1))&lt;=1181,2,1))))&gt;0, IF(IF(INDEX(ERP資料!$G:$G, (MATCH(14, 輔助計算!$G$2:$G$801, 0)+1))&lt;100, IF(INDEX(ERP資料!$G:$G, (MATCH(14, 輔助計算!$G$2:$G$801, 0)+1))&lt;=31,3,IF(INDEX(ERP資料!$G:$G, (MATCH(14, 輔助計算!$G$2:$G$801, 0)+1))&lt;=46.5,2,1)), IF(INDEX(ERP資料!$G:$G, (MATCH(14, 輔助計算!$G$2:$G$801, 0)+1))&lt;=790,3,IF(INDEX(ERP資料!$G:$G, (MATCH(14, 輔助計算!$G$2:$G$801, 0)+1))&lt;=1181,2,1)))=1,TEXT(INDEX(ERP資料!$G:$G, (MATCH(14, 輔助計算!$G$2:$G$801, 0)+1)),"0.##"),IF(IF(INDEX(ERP資料!$G:$G, (MATCH(14, 輔助計算!$G$2:$G$801, 0)+1))&lt;100, IF(INDEX(ERP資料!$G:$G, (MATCH(14, 輔助計算!$G$2:$G$801, 0)+1))&lt;=31,3,IF(INDEX(ERP資料!$G:$G, (MATCH(14, 輔助計算!$G$2:$G$801, 0)+1))&lt;=46.5,2,1)), IF(INDEX(ERP資料!$G:$G, (MATCH(14, 輔助計算!$G$2:$G$801, 0)+1))&lt;=790,3,IF(INDEX(ERP資料!$G:$G, (MATCH(14, 輔助計算!$G$2:$G$801, 0)+1))&lt;=1181,2,1)))=2,TEXT(INDEX(ERP資料!$G:$G, (MATCH(14, 輔助計算!$G$2:$G$801, 0)+1)),"0.##")&amp;"+"&amp;TEXT(INDEX(ERP資料!$G:$G, (MATCH(14, 輔助計算!$G$2:$G$801, 0)+1)),"0.##"),TEXT(INDEX(ERP資料!$G:$G, (MATCH(14, 輔助計算!$G$2:$G$801, 0)+1)),"0.##")&amp;"+"&amp;TEXT(INDEX(ERP資料!$G:$G, (MATCH(14, 輔助計算!$G$2:$G$801, 0)+1)),"0.##")&amp;"+"&amp;TEXT(INDEX(ERP資料!$G:$G, (MATCH(14, 輔助計算!$G$2:$G$801, 0)+1)),"0.##")))&amp;"-"&amp;INT(INDEX(輔助計算!$D:$D, (MATCH(14, 輔助計算!$G$2:$G$801, 0)+1))/IF(INDEX(ERP資料!$G:$G, (MATCH(14, 輔助計算!$G$2:$G$801, 0)+1))&lt;100, IF(INDEX(ERP資料!$G:$G, (MATCH(14, 輔助計算!$G$2:$G$801, 0)+1))&lt;=31,3,IF(INDEX(ERP資料!$G:$G, (MATCH(14, 輔助計算!$G$2:$G$801, 0)+1))&lt;=46.5,2,1)), IF(INDEX(ERP資料!$G:$G, (MATCH(14, 輔助計算!$G$2:$G$801, 0)+1))&lt;=790,3,IF(INDEX(ERP資料!$G:$G, (MATCH(14, 輔助計算!$G$2:$G$801, 0)+1))&lt;=1181,2,1)))), "")&amp;IF(AND(IF(INT(INDEX(輔助計算!$D:$D, (MATCH(14, 輔助計算!$G$2:$G$801, 0)+1))/IF(INDEX(ERP資料!$G:$G, (MATCH(14, 輔助計算!$G$2:$G$801, 0)+1))&lt;100, IF(INDEX(ERP資料!$G:$G, (MATCH(14, 輔助計算!$G$2:$G$801, 0)+1))&lt;=31,3,IF(INDEX(ERP資料!$G:$G, (MATCH(14, 輔助計算!$G$2:$G$801, 0)+1))&lt;=46.5,2,1)), IF(INDEX(ERP資料!$G:$G, (MATCH(14, 輔助計算!$G$2:$G$801, 0)+1))&lt;=790,3,IF(INDEX(ERP資料!$G:$G, (MATCH(14, 輔助計算!$G$2:$G$801, 0)+1))&lt;=1181,2,1))))&gt;0, IF(IF(INDEX(ERP資料!$G:$G, (MATCH(14, 輔助計算!$G$2:$G$801, 0)+1))&lt;100, IF(INDEX(ERP資料!$G:$G, (MATCH(14, 輔助計算!$G$2:$G$801, 0)+1))&lt;=31,3,IF(INDEX(ERP資料!$G:$G, (MATCH(14, 輔助計算!$G$2:$G$801, 0)+1))&lt;=46.5,2,1)), IF(INDEX(ERP資料!$G:$G, (MATCH(14, 輔助計算!$G$2:$G$801, 0)+1))&lt;=790,3,IF(INDEX(ERP資料!$G:$G, (MATCH(14, 輔助計算!$G$2:$G$801, 0)+1))&lt;=1181,2,1)))=1,TEXT(INDEX(ERP資料!$G:$G, (MATCH(14, 輔助計算!$G$2:$G$801, 0)+1)),"0.##"),IF(IF(INDEX(ERP資料!$G:$G, (MATCH(14, 輔助計算!$G$2:$G$801, 0)+1))&lt;100, IF(INDEX(ERP資料!$G:$G, (MATCH(14, 輔助計算!$G$2:$G$801, 0)+1))&lt;=31,3,IF(INDEX(ERP資料!$G:$G, (MATCH(14, 輔助計算!$G$2:$G$801, 0)+1))&lt;=46.5,2,1)), IF(INDEX(ERP資料!$G:$G, (MATCH(14, 輔助計算!$G$2:$G$801, 0)+1))&lt;=790,3,IF(INDEX(ERP資料!$G:$G, (MATCH(14, 輔助計算!$G$2:$G$801, 0)+1))&lt;=1181,2,1)))=2,TEXT(INDEX(ERP資料!$G:$G, (MATCH(14, 輔助計算!$G$2:$G$801, 0)+1)),"0.##")&amp;"+"&amp;TEXT(INDEX(ERP資料!$G:$G, (MATCH(14, 輔助計算!$G$2:$G$801, 0)+1)),"0.##"),TEXT(INDEX(ERP資料!$G:$G, (MATCH(14, 輔助計算!$G$2:$G$801, 0)+1)),"0.##")&amp;"+"&amp;TEXT(INDEX(ERP資料!$G:$G, (MATCH(14, 輔助計算!$G$2:$G$801, 0)+1)),"0.##")&amp;"+"&amp;TEXT(INDEX(ERP資料!$G:$G, (MATCH(14, 輔助計算!$G$2:$G$801, 0)+1)),"0.##")))&amp;"-"&amp;INT(INDEX(輔助計算!$D:$D, (MATCH(14, 輔助計算!$G$2:$G$801, 0)+1))/IF(INDEX(ERP資料!$G:$G, (MATCH(14, 輔助計算!$G$2:$G$801, 0)+1))&lt;100, IF(INDEX(ERP資料!$G:$G, (MATCH(14, 輔助計算!$G$2:$G$801, 0)+1))&lt;=31,3,IF(INDEX(ERP資料!$G:$G, (MATCH(14, 輔助計算!$G$2:$G$801, 0)+1))&lt;=46.5,2,1)), IF(INDEX(ERP資料!$G:$G, (MATCH(14, 輔助計算!$G$2:$G$801, 0)+1))&lt;=790,3,IF(INDEX(ERP資料!$G:$G, (MATCH(14, 輔助計算!$G$2:$G$801, 0)+1))&lt;=1181,2,1)))), "")&lt;&gt;"",IF(MOD(INDEX(輔助計算!$D:$D, (MATCH(14, 輔助計算!$G$2:$G$801, 0)+1)),IF(INDEX(ERP資料!$G:$G, (MATCH(14, 輔助計算!$G$2:$G$801, 0)+1))&lt;100, IF(INDEX(ERP資料!$G:$G, (MATCH(14, 輔助計算!$G$2:$G$801, 0)+1))&lt;=31,3,IF(INDEX(ERP資料!$G:$G, (MATCH(14, 輔助計算!$G$2:$G$801, 0)+1))&lt;=46.5,2,1)), IF(INDEX(ERP資料!$G:$G, (MATCH(14, 輔助計算!$G$2:$G$801, 0)+1))&lt;=790,3,IF(INDEX(ERP資料!$G:$G, (MATCH(14, 輔助計算!$G$2:$G$801, 0)+1))&lt;=1181,2,1))))=0,"",IF(MOD(INDEX(輔助計算!$D:$D, (MATCH(14, 輔助計算!$G$2:$G$801, 0)+1)),IF(INDEX(ERP資料!$G:$G, (MATCH(14, 輔助計算!$G$2:$G$801, 0)+1))&lt;100, IF(INDEX(ERP資料!$G:$G, (MATCH(14, 輔助計算!$G$2:$G$801, 0)+1))&lt;=31,3,IF(INDEX(ERP資料!$G:$G, (MATCH(14, 輔助計算!$G$2:$G$801, 0)+1))&lt;=46.5,2,1)), IF(INDEX(ERP資料!$G:$G, (MATCH(14, 輔助計算!$G$2:$G$801, 0)+1))&lt;=790,3,IF(INDEX(ERP資料!$G:$G, (MATCH(14, 輔助計算!$G$2:$G$801, 0)+1))&lt;=1181,2,1))))=0,"",IF(MOD(INDEX(輔助計算!$D:$D, (MATCH(14, 輔助計算!$G$2:$G$801, 0)+1)),IF(INDEX(ERP資料!$G:$G, (MATCH(14, 輔助計算!$G$2:$G$801, 0)+1))&lt;100, IF(INDEX(ERP資料!$G:$G, (MATCH(14, 輔助計算!$G$2:$G$801, 0)+1))&lt;=31,3,IF(INDEX(ERP資料!$G:$G, (MATCH(14, 輔助計算!$G$2:$G$801, 0)+1))&lt;=46.5,2,1)), IF(INDEX(ERP資料!$G:$G, (MATCH(14, 輔助計算!$G$2:$G$801, 0)+1))&lt;=790,3,IF(INDEX(ERP資料!$G:$G, (MATCH(14, 輔助計算!$G$2:$G$801, 0)+1))&lt;=1181,2,1))))=1,TEXT(INDEX(ERP資料!$G:$G, (MATCH(14, 輔助計算!$G$2:$G$801, 0)+1)),"0.##"),IF(MOD(INDEX(輔助計算!$D:$D, (MATCH(14, 輔助計算!$G$2:$G$801, 0)+1)),IF(INDEX(ERP資料!$G:$G, (MATCH(14, 輔助計算!$G$2:$G$801, 0)+1))&lt;100, IF(INDEX(ERP資料!$G:$G, (MATCH(14, 輔助計算!$G$2:$G$801, 0)+1))&lt;=31,3,IF(INDEX(ERP資料!$G:$G, (MATCH(14, 輔助計算!$G$2:$G$801, 0)+1))&lt;=46.5,2,1)), IF(INDEX(ERP資料!$G:$G, (MATCH(14, 輔助計算!$G$2:$G$801, 0)+1))&lt;=790,3,IF(INDEX(ERP資料!$G:$G, (MATCH(14, 輔助計算!$G$2:$G$801, 0)+1))&lt;=1181,2,1))))=2,TEXT(INDEX(ERP資料!$G:$G, (MATCH(14, 輔助計算!$G$2:$G$801, 0)+1)),"0.##")&amp;"+"&amp;TEXT(INDEX(ERP資料!$G:$G, (MATCH(14, 輔助計算!$G$2:$G$801, 0)+1)),"0.##"),TEXT(INDEX(ERP資料!$G:$G, (MATCH(14, 輔助計算!$G$2:$G$801, 0)+1)),"0.##")&amp;"+"&amp;TEXT(INDEX(ERP資料!$G:$G, (MATCH(14, 輔助計算!$G$2:$G$801, 0)+1)),"0.##")&amp;"+"&amp;TEXT(INDEX(ERP資料!$G:$G, (MATCH(14, 輔助計算!$G$2:$G$801, 0)+1)),"0.##"))))&amp;"-1")&lt;&gt;""),"  ","")&amp;IF(MOD(INDEX(輔助計算!$D:$D, (MATCH(14, 輔助計算!$G$2:$G$801, 0)+1)),IF(INDEX(ERP資料!$G:$G, (MATCH(14, 輔助計算!$G$2:$G$801, 0)+1))&lt;100, IF(INDEX(ERP資料!$G:$G, (MATCH(14, 輔助計算!$G$2:$G$801, 0)+1))&lt;=31,3,IF(INDEX(ERP資料!$G:$G, (MATCH(14, 輔助計算!$G$2:$G$801, 0)+1))&lt;=46.5,2,1)), IF(INDEX(ERP資料!$G:$G, (MATCH(14, 輔助計算!$G$2:$G$801, 0)+1))&lt;=790,3,IF(INDEX(ERP資料!$G:$G, (MATCH(14, 輔助計算!$G$2:$G$801, 0)+1))&lt;=1181,2,1))))=0,"",IF(MOD(INDEX(輔助計算!$D:$D, (MATCH(14, 輔助計算!$G$2:$G$801, 0)+1)),IF(INDEX(ERP資料!$G:$G, (MATCH(14, 輔助計算!$G$2:$G$801, 0)+1))&lt;100, IF(INDEX(ERP資料!$G:$G, (MATCH(14, 輔助計算!$G$2:$G$801, 0)+1))&lt;=31,3,IF(INDEX(ERP資料!$G:$G, (MATCH(14, 輔助計算!$G$2:$G$801, 0)+1))&lt;=46.5,2,1)), IF(INDEX(ERP資料!$G:$G, (MATCH(14, 輔助計算!$G$2:$G$801, 0)+1))&lt;=790,3,IF(INDEX(ERP資料!$G:$G, (MATCH(14, 輔助計算!$G$2:$G$801, 0)+1))&lt;=1181,2,1))))=0,"",IF(MOD(INDEX(輔助計算!$D:$D, (MATCH(14, 輔助計算!$G$2:$G$801, 0)+1)),IF(INDEX(ERP資料!$G:$G, (MATCH(14, 輔助計算!$G$2:$G$801, 0)+1))&lt;100, IF(INDEX(ERP資料!$G:$G, (MATCH(14, 輔助計算!$G$2:$G$801, 0)+1))&lt;=31,3,IF(INDEX(ERP資料!$G:$G, (MATCH(14, 輔助計算!$G$2:$G$801, 0)+1))&lt;=46.5,2,1)), IF(INDEX(ERP資料!$G:$G, (MATCH(14, 輔助計算!$G$2:$G$801, 0)+1))&lt;=790,3,IF(INDEX(ERP資料!$G:$G, (MATCH(14, 輔助計算!$G$2:$G$801, 0)+1))&lt;=1181,2,1))))=1,TEXT(INDEX(ERP資料!$G:$G, (MATCH(14, 輔助計算!$G$2:$G$801, 0)+1)),"0.##"),IF(MOD(INDEX(輔助計算!$D:$D, (MATCH(14, 輔助計算!$G$2:$G$801, 0)+1)),IF(INDEX(ERP資料!$G:$G, (MATCH(14, 輔助計算!$G$2:$G$801, 0)+1))&lt;100, IF(INDEX(ERP資料!$G:$G, (MATCH(14, 輔助計算!$G$2:$G$801, 0)+1))&lt;=31,3,IF(INDEX(ERP資料!$G:$G, (MATCH(14, 輔助計算!$G$2:$G$801, 0)+1))&lt;=46.5,2,1)), IF(INDEX(ERP資料!$G:$G, (MATCH(14, 輔助計算!$G$2:$G$801, 0)+1))&lt;=790,3,IF(INDEX(ERP資料!$G:$G, (MATCH(14, 輔助計算!$G$2:$G$801, 0)+1))&lt;=1181,2,1))))=2,TEXT(INDEX(ERP資料!$G:$G, (MATCH(14, 輔助計算!$G$2:$G$801, 0)+1)),"0.##")&amp;"+"&amp;TEXT(INDEX(ERP資料!$G:$G, (MATCH(14, 輔助計算!$G$2:$G$801, 0)+1)),"0.##"),TEXT(INDEX(ERP資料!$G:$G, (MATCH(14, 輔助計算!$G$2:$G$801, 0)+1)),"0.##")&amp;"+"&amp;TEXT(INDEX(ERP資料!$G:$G, (MATCH(14, 輔助計算!$G$2:$G$801, 0)+1)),"0.##")&amp;"+"&amp;TEXT(INDEX(ERP資料!$G:$G, (MATCH(14, 輔助計算!$G$2:$G$801, 0)+1)),"0.##"))))&amp;"-1")), ""), "")</f>
        <v/>
      </c>
      <c r="K15" s="16" t="n"/>
      <c r="L15" s="14">
        <f>IFERROR(IF(AND(IFERROR(INDEX(ERP資料!$A:$A, (MATCH(14, 輔助計算!$G$2:$G$801, 0)+1)), "")&lt;&gt;"", IFERROR(INDEX(ERP資料!$A:$A, (MATCH(14, 輔助計算!$G$2:$G$801, 0)+1)), "")&lt;&gt;IFERROR(INDEX(ERP資料!$A:$A, MATCH(13, 輔助計算!$G$2:$G$801, 0)+1), "")), INDEX(ERP資料!$B:$B, (MATCH(14, 輔助計算!$G$2:$G$801, 0)+1)), ""), "")</f>
        <v/>
      </c>
      <c r="M15" s="17" t="n"/>
    </row>
    <row r="16">
      <c r="A16" s="10">
        <f>IFERROR(IF(AND(IFERROR(INDEX(ERP資料!$A:$A, (MATCH(15, 輔助計算!$G$2:$G$801, 0)+1)), "")&lt;&gt;"", IFERROR(INDEX(ERP資料!$A:$A, (MATCH(15, 輔助計算!$G$2:$G$801, 0)+1)), "")&lt;&gt;IFERROR(INDEX(ERP資料!$A:$A, MATCH(14, 輔助計算!$G$2:$G$801, 0)+1), "")), IFERROR(INDEX(ERP資料!$A:$A, (MATCH(15, 輔助計算!$G$2:$G$801, 0)+1)), ""), ""), "")</f>
        <v/>
      </c>
      <c r="B16" s="10">
        <f>IFERROR(IF(AND(IFERROR(INDEX(ERP資料!$A:$A, (MATCH(15, 輔助計算!$G$2:$G$801, 0)+1)), "")&lt;&gt;"", IFERROR(INDEX(ERP資料!$A:$A, (MATCH(15, 輔助計算!$G$2:$G$801, 0)+1)), "")&lt;&gt;IFERROR(INDEX(ERP資料!$A:$A, MATCH(14, 輔助計算!$G$2:$G$801, 0)+1), "")), INDEX(ERP資料!$S:$S, (MATCH(15, 輔助計算!$G$2:$G$801, 0)+1)), ""), "")</f>
        <v/>
      </c>
      <c r="C16" s="19">
        <f>IFERROR(IF(AND(IFERROR(INDEX(ERP資料!$A:$A, (MATCH(15, 輔助計算!$G$2:$G$801, 0)+1)), "")&lt;&gt;"", IFERROR(INDEX(ERP資料!$A:$A, (MATCH(15, 輔助計算!$G$2:$G$801, 0)+1)), "")&lt;&gt;IFERROR(INDEX(ERP資料!$A:$A, MATCH(14, 輔助計算!$G$2:$G$801, 0)+1), "")), IFERROR(VLOOKUP(LEFT(INDEX(ERP資料!$S:$S, (MATCH(15, 輔助計算!$G$2:$G$801, 0)+1)), 4), 紙管對照表!$A:$C, 3, FALSE), ""), ""), "")</f>
        <v/>
      </c>
      <c r="D16" s="16" t="n"/>
      <c r="E16" s="10">
        <f>IFERROR(IF(INDEX(ERP資料!$H:$H, (MATCH(15, 輔助計算!$G$2:$G$801, 0)+1))="","",INDEX(ERP資料!$H:$H, (MATCH(15, 輔助計算!$G$2:$G$801, 0)+1))), "")</f>
        <v/>
      </c>
      <c r="F16" s="10">
        <f>IFERROR(IF(INDEX(ERP資料!$E:$E, (MATCH(15, 輔助計算!$G$2:$G$801, 0)+1))="","",TRIM(INDEX(ERP資料!$E:$E, (MATCH(15, 輔助計算!$G$2:$G$801, 0)+1)))), "")</f>
        <v/>
      </c>
      <c r="G16" s="10">
        <f>IFERROR(IF(INDEX(ERP資料!$F:$F, (MATCH(15, 輔助計算!$G$2:$G$801, 0)+1))="","",INDEX(ERP資料!$F:$F, (MATCH(15, 輔助計算!$G$2:$G$801, 0)+1))), "")</f>
        <v/>
      </c>
      <c r="H16" s="10">
        <f>IFERROR(IF(INDEX(ERP資料!$G:$G, (MATCH(15, 輔助計算!$G$2:$G$801, 0)+1))="","",INDEX(ERP資料!$G:$G, (MATCH(15, 輔助計算!$G$2:$G$801, 0)+1))), "")</f>
        <v/>
      </c>
      <c r="I16" s="15">
        <f>IFERROR(INDEX(輔助計算!$D:$D, (MATCH(15, 輔助計算!$G$2:$G$801, 0)+1)), "")</f>
        <v/>
      </c>
      <c r="J16" s="15">
        <f>IFERROR(IF(AND(INDEX(輔助計算!$D:$D, (MATCH(15, 輔助計算!$G$2:$G$801, 0)+1))&lt;&gt;"", INDEX(ERP資料!$G:$G, (MATCH(15, 輔助計算!$G$2:$G$801, 0)+1))&lt;&gt;""), TRIM(IF(INT(INDEX(輔助計算!$D:$D, (MATCH(15, 輔助計算!$G$2:$G$801, 0)+1))/IF(INDEX(ERP資料!$G:$G, (MATCH(15, 輔助計算!$G$2:$G$801, 0)+1))&lt;100, IF(INDEX(ERP資料!$G:$G, (MATCH(15, 輔助計算!$G$2:$G$801, 0)+1))&lt;=31,3,IF(INDEX(ERP資料!$G:$G, (MATCH(15, 輔助計算!$G$2:$G$801, 0)+1))&lt;=46.5,2,1)), IF(INDEX(ERP資料!$G:$G, (MATCH(15, 輔助計算!$G$2:$G$801, 0)+1))&lt;=790,3,IF(INDEX(ERP資料!$G:$G, (MATCH(15, 輔助計算!$G$2:$G$801, 0)+1))&lt;=1181,2,1))))&gt;0, IF(IF(INDEX(ERP資料!$G:$G, (MATCH(15, 輔助計算!$G$2:$G$801, 0)+1))&lt;100, IF(INDEX(ERP資料!$G:$G, (MATCH(15, 輔助計算!$G$2:$G$801, 0)+1))&lt;=31,3,IF(INDEX(ERP資料!$G:$G, (MATCH(15, 輔助計算!$G$2:$G$801, 0)+1))&lt;=46.5,2,1)), IF(INDEX(ERP資料!$G:$G, (MATCH(15, 輔助計算!$G$2:$G$801, 0)+1))&lt;=790,3,IF(INDEX(ERP資料!$G:$G, (MATCH(15, 輔助計算!$G$2:$G$801, 0)+1))&lt;=1181,2,1)))=1,TEXT(INDEX(ERP資料!$G:$G, (MATCH(15, 輔助計算!$G$2:$G$801, 0)+1)),"0.##"),IF(IF(INDEX(ERP資料!$G:$G, (MATCH(15, 輔助計算!$G$2:$G$801, 0)+1))&lt;100, IF(INDEX(ERP資料!$G:$G, (MATCH(15, 輔助計算!$G$2:$G$801, 0)+1))&lt;=31,3,IF(INDEX(ERP資料!$G:$G, (MATCH(15, 輔助計算!$G$2:$G$801, 0)+1))&lt;=46.5,2,1)), IF(INDEX(ERP資料!$G:$G, (MATCH(15, 輔助計算!$G$2:$G$801, 0)+1))&lt;=790,3,IF(INDEX(ERP資料!$G:$G, (MATCH(15, 輔助計算!$G$2:$G$801, 0)+1))&lt;=1181,2,1)))=2,TEXT(INDEX(ERP資料!$G:$G, (MATCH(15, 輔助計算!$G$2:$G$801, 0)+1)),"0.##")&amp;"+"&amp;TEXT(INDEX(ERP資料!$G:$G, (MATCH(15, 輔助計算!$G$2:$G$801, 0)+1)),"0.##"),TEXT(INDEX(ERP資料!$G:$G, (MATCH(15, 輔助計算!$G$2:$G$801, 0)+1)),"0.##")&amp;"+"&amp;TEXT(INDEX(ERP資料!$G:$G, (MATCH(15, 輔助計算!$G$2:$G$801, 0)+1)),"0.##")&amp;"+"&amp;TEXT(INDEX(ERP資料!$G:$G, (MATCH(15, 輔助計算!$G$2:$G$801, 0)+1)),"0.##")))&amp;"-"&amp;INT(INDEX(輔助計算!$D:$D, (MATCH(15, 輔助計算!$G$2:$G$801, 0)+1))/IF(INDEX(ERP資料!$G:$G, (MATCH(15, 輔助計算!$G$2:$G$801, 0)+1))&lt;100, IF(INDEX(ERP資料!$G:$G, (MATCH(15, 輔助計算!$G$2:$G$801, 0)+1))&lt;=31,3,IF(INDEX(ERP資料!$G:$G, (MATCH(15, 輔助計算!$G$2:$G$801, 0)+1))&lt;=46.5,2,1)), IF(INDEX(ERP資料!$G:$G, (MATCH(15, 輔助計算!$G$2:$G$801, 0)+1))&lt;=790,3,IF(INDEX(ERP資料!$G:$G, (MATCH(15, 輔助計算!$G$2:$G$801, 0)+1))&lt;=1181,2,1)))), "")&amp;IF(AND(IF(INT(INDEX(輔助計算!$D:$D, (MATCH(15, 輔助計算!$G$2:$G$801, 0)+1))/IF(INDEX(ERP資料!$G:$G, (MATCH(15, 輔助計算!$G$2:$G$801, 0)+1))&lt;100, IF(INDEX(ERP資料!$G:$G, (MATCH(15, 輔助計算!$G$2:$G$801, 0)+1))&lt;=31,3,IF(INDEX(ERP資料!$G:$G, (MATCH(15, 輔助計算!$G$2:$G$801, 0)+1))&lt;=46.5,2,1)), IF(INDEX(ERP資料!$G:$G, (MATCH(15, 輔助計算!$G$2:$G$801, 0)+1))&lt;=790,3,IF(INDEX(ERP資料!$G:$G, (MATCH(15, 輔助計算!$G$2:$G$801, 0)+1))&lt;=1181,2,1))))&gt;0, IF(IF(INDEX(ERP資料!$G:$G, (MATCH(15, 輔助計算!$G$2:$G$801, 0)+1))&lt;100, IF(INDEX(ERP資料!$G:$G, (MATCH(15, 輔助計算!$G$2:$G$801, 0)+1))&lt;=31,3,IF(INDEX(ERP資料!$G:$G, (MATCH(15, 輔助計算!$G$2:$G$801, 0)+1))&lt;=46.5,2,1)), IF(INDEX(ERP資料!$G:$G, (MATCH(15, 輔助計算!$G$2:$G$801, 0)+1))&lt;=790,3,IF(INDEX(ERP資料!$G:$G, (MATCH(15, 輔助計算!$G$2:$G$801, 0)+1))&lt;=1181,2,1)))=1,TEXT(INDEX(ERP資料!$G:$G, (MATCH(15, 輔助計算!$G$2:$G$801, 0)+1)),"0.##"),IF(IF(INDEX(ERP資料!$G:$G, (MATCH(15, 輔助計算!$G$2:$G$801, 0)+1))&lt;100, IF(INDEX(ERP資料!$G:$G, (MATCH(15, 輔助計算!$G$2:$G$801, 0)+1))&lt;=31,3,IF(INDEX(ERP資料!$G:$G, (MATCH(15, 輔助計算!$G$2:$G$801, 0)+1))&lt;=46.5,2,1)), IF(INDEX(ERP資料!$G:$G, (MATCH(15, 輔助計算!$G$2:$G$801, 0)+1))&lt;=790,3,IF(INDEX(ERP資料!$G:$G, (MATCH(15, 輔助計算!$G$2:$G$801, 0)+1))&lt;=1181,2,1)))=2,TEXT(INDEX(ERP資料!$G:$G, (MATCH(15, 輔助計算!$G$2:$G$801, 0)+1)),"0.##")&amp;"+"&amp;TEXT(INDEX(ERP資料!$G:$G, (MATCH(15, 輔助計算!$G$2:$G$801, 0)+1)),"0.##"),TEXT(INDEX(ERP資料!$G:$G, (MATCH(15, 輔助計算!$G$2:$G$801, 0)+1)),"0.##")&amp;"+"&amp;TEXT(INDEX(ERP資料!$G:$G, (MATCH(15, 輔助計算!$G$2:$G$801, 0)+1)),"0.##")&amp;"+"&amp;TEXT(INDEX(ERP資料!$G:$G, (MATCH(15, 輔助計算!$G$2:$G$801, 0)+1)),"0.##")))&amp;"-"&amp;INT(INDEX(輔助計算!$D:$D, (MATCH(15, 輔助計算!$G$2:$G$801, 0)+1))/IF(INDEX(ERP資料!$G:$G, (MATCH(15, 輔助計算!$G$2:$G$801, 0)+1))&lt;100, IF(INDEX(ERP資料!$G:$G, (MATCH(15, 輔助計算!$G$2:$G$801, 0)+1))&lt;=31,3,IF(INDEX(ERP資料!$G:$G, (MATCH(15, 輔助計算!$G$2:$G$801, 0)+1))&lt;=46.5,2,1)), IF(INDEX(ERP資料!$G:$G, (MATCH(15, 輔助計算!$G$2:$G$801, 0)+1))&lt;=790,3,IF(INDEX(ERP資料!$G:$G, (MATCH(15, 輔助計算!$G$2:$G$801, 0)+1))&lt;=1181,2,1)))), "")&lt;&gt;"",IF(MOD(INDEX(輔助計算!$D:$D, (MATCH(15, 輔助計算!$G$2:$G$801, 0)+1)),IF(INDEX(ERP資料!$G:$G, (MATCH(15, 輔助計算!$G$2:$G$801, 0)+1))&lt;100, IF(INDEX(ERP資料!$G:$G, (MATCH(15, 輔助計算!$G$2:$G$801, 0)+1))&lt;=31,3,IF(INDEX(ERP資料!$G:$G, (MATCH(15, 輔助計算!$G$2:$G$801, 0)+1))&lt;=46.5,2,1)), IF(INDEX(ERP資料!$G:$G, (MATCH(15, 輔助計算!$G$2:$G$801, 0)+1))&lt;=790,3,IF(INDEX(ERP資料!$G:$G, (MATCH(15, 輔助計算!$G$2:$G$801, 0)+1))&lt;=1181,2,1))))=0,"",IF(MOD(INDEX(輔助計算!$D:$D, (MATCH(15, 輔助計算!$G$2:$G$801, 0)+1)),IF(INDEX(ERP資料!$G:$G, (MATCH(15, 輔助計算!$G$2:$G$801, 0)+1))&lt;100, IF(INDEX(ERP資料!$G:$G, (MATCH(15, 輔助計算!$G$2:$G$801, 0)+1))&lt;=31,3,IF(INDEX(ERP資料!$G:$G, (MATCH(15, 輔助計算!$G$2:$G$801, 0)+1))&lt;=46.5,2,1)), IF(INDEX(ERP資料!$G:$G, (MATCH(15, 輔助計算!$G$2:$G$801, 0)+1))&lt;=790,3,IF(INDEX(ERP資料!$G:$G, (MATCH(15, 輔助計算!$G$2:$G$801, 0)+1))&lt;=1181,2,1))))=0,"",IF(MOD(INDEX(輔助計算!$D:$D, (MATCH(15, 輔助計算!$G$2:$G$801, 0)+1)),IF(INDEX(ERP資料!$G:$G, (MATCH(15, 輔助計算!$G$2:$G$801, 0)+1))&lt;100, IF(INDEX(ERP資料!$G:$G, (MATCH(15, 輔助計算!$G$2:$G$801, 0)+1))&lt;=31,3,IF(INDEX(ERP資料!$G:$G, (MATCH(15, 輔助計算!$G$2:$G$801, 0)+1))&lt;=46.5,2,1)), IF(INDEX(ERP資料!$G:$G, (MATCH(15, 輔助計算!$G$2:$G$801, 0)+1))&lt;=790,3,IF(INDEX(ERP資料!$G:$G, (MATCH(15, 輔助計算!$G$2:$G$801, 0)+1))&lt;=1181,2,1))))=1,TEXT(INDEX(ERP資料!$G:$G, (MATCH(15, 輔助計算!$G$2:$G$801, 0)+1)),"0.##"),IF(MOD(INDEX(輔助計算!$D:$D, (MATCH(15, 輔助計算!$G$2:$G$801, 0)+1)),IF(INDEX(ERP資料!$G:$G, (MATCH(15, 輔助計算!$G$2:$G$801, 0)+1))&lt;100, IF(INDEX(ERP資料!$G:$G, (MATCH(15, 輔助計算!$G$2:$G$801, 0)+1))&lt;=31,3,IF(INDEX(ERP資料!$G:$G, (MATCH(15, 輔助計算!$G$2:$G$801, 0)+1))&lt;=46.5,2,1)), IF(INDEX(ERP資料!$G:$G, (MATCH(15, 輔助計算!$G$2:$G$801, 0)+1))&lt;=790,3,IF(INDEX(ERP資料!$G:$G, (MATCH(15, 輔助計算!$G$2:$G$801, 0)+1))&lt;=1181,2,1))))=2,TEXT(INDEX(ERP資料!$G:$G, (MATCH(15, 輔助計算!$G$2:$G$801, 0)+1)),"0.##")&amp;"+"&amp;TEXT(INDEX(ERP資料!$G:$G, (MATCH(15, 輔助計算!$G$2:$G$801, 0)+1)),"0.##"),TEXT(INDEX(ERP資料!$G:$G, (MATCH(15, 輔助計算!$G$2:$G$801, 0)+1)),"0.##")&amp;"+"&amp;TEXT(INDEX(ERP資料!$G:$G, (MATCH(15, 輔助計算!$G$2:$G$801, 0)+1)),"0.##")&amp;"+"&amp;TEXT(INDEX(ERP資料!$G:$G, (MATCH(15, 輔助計算!$G$2:$G$801, 0)+1)),"0.##"))))&amp;"-1")&lt;&gt;""),"  ","")&amp;IF(MOD(INDEX(輔助計算!$D:$D, (MATCH(15, 輔助計算!$G$2:$G$801, 0)+1)),IF(INDEX(ERP資料!$G:$G, (MATCH(15, 輔助計算!$G$2:$G$801, 0)+1))&lt;100, IF(INDEX(ERP資料!$G:$G, (MATCH(15, 輔助計算!$G$2:$G$801, 0)+1))&lt;=31,3,IF(INDEX(ERP資料!$G:$G, (MATCH(15, 輔助計算!$G$2:$G$801, 0)+1))&lt;=46.5,2,1)), IF(INDEX(ERP資料!$G:$G, (MATCH(15, 輔助計算!$G$2:$G$801, 0)+1))&lt;=790,3,IF(INDEX(ERP資料!$G:$G, (MATCH(15, 輔助計算!$G$2:$G$801, 0)+1))&lt;=1181,2,1))))=0,"",IF(MOD(INDEX(輔助計算!$D:$D, (MATCH(15, 輔助計算!$G$2:$G$801, 0)+1)),IF(INDEX(ERP資料!$G:$G, (MATCH(15, 輔助計算!$G$2:$G$801, 0)+1))&lt;100, IF(INDEX(ERP資料!$G:$G, (MATCH(15, 輔助計算!$G$2:$G$801, 0)+1))&lt;=31,3,IF(INDEX(ERP資料!$G:$G, (MATCH(15, 輔助計算!$G$2:$G$801, 0)+1))&lt;=46.5,2,1)), IF(INDEX(ERP資料!$G:$G, (MATCH(15, 輔助計算!$G$2:$G$801, 0)+1))&lt;=790,3,IF(INDEX(ERP資料!$G:$G, (MATCH(15, 輔助計算!$G$2:$G$801, 0)+1))&lt;=1181,2,1))))=0,"",IF(MOD(INDEX(輔助計算!$D:$D, (MATCH(15, 輔助計算!$G$2:$G$801, 0)+1)),IF(INDEX(ERP資料!$G:$G, (MATCH(15, 輔助計算!$G$2:$G$801, 0)+1))&lt;100, IF(INDEX(ERP資料!$G:$G, (MATCH(15, 輔助計算!$G$2:$G$801, 0)+1))&lt;=31,3,IF(INDEX(ERP資料!$G:$G, (MATCH(15, 輔助計算!$G$2:$G$801, 0)+1))&lt;=46.5,2,1)), IF(INDEX(ERP資料!$G:$G, (MATCH(15, 輔助計算!$G$2:$G$801, 0)+1))&lt;=790,3,IF(INDEX(ERP資料!$G:$G, (MATCH(15, 輔助計算!$G$2:$G$801, 0)+1))&lt;=1181,2,1))))=1,TEXT(INDEX(ERP資料!$G:$G, (MATCH(15, 輔助計算!$G$2:$G$801, 0)+1)),"0.##"),IF(MOD(INDEX(輔助計算!$D:$D, (MATCH(15, 輔助計算!$G$2:$G$801, 0)+1)),IF(INDEX(ERP資料!$G:$G, (MATCH(15, 輔助計算!$G$2:$G$801, 0)+1))&lt;100, IF(INDEX(ERP資料!$G:$G, (MATCH(15, 輔助計算!$G$2:$G$801, 0)+1))&lt;=31,3,IF(INDEX(ERP資料!$G:$G, (MATCH(15, 輔助計算!$G$2:$G$801, 0)+1))&lt;=46.5,2,1)), IF(INDEX(ERP資料!$G:$G, (MATCH(15, 輔助計算!$G$2:$G$801, 0)+1))&lt;=790,3,IF(INDEX(ERP資料!$G:$G, (MATCH(15, 輔助計算!$G$2:$G$801, 0)+1))&lt;=1181,2,1))))=2,TEXT(INDEX(ERP資料!$G:$G, (MATCH(15, 輔助計算!$G$2:$G$801, 0)+1)),"0.##")&amp;"+"&amp;TEXT(INDEX(ERP資料!$G:$G, (MATCH(15, 輔助計算!$G$2:$G$801, 0)+1)),"0.##"),TEXT(INDEX(ERP資料!$G:$G, (MATCH(15, 輔助計算!$G$2:$G$801, 0)+1)),"0.##")&amp;"+"&amp;TEXT(INDEX(ERP資料!$G:$G, (MATCH(15, 輔助計算!$G$2:$G$801, 0)+1)),"0.##")&amp;"+"&amp;TEXT(INDEX(ERP資料!$G:$G, (MATCH(15, 輔助計算!$G$2:$G$801, 0)+1)),"0.##"))))&amp;"-1")), ""), "")</f>
        <v/>
      </c>
      <c r="K16" s="16" t="n"/>
      <c r="L16" s="14">
        <f>IFERROR(IF(AND(IFERROR(INDEX(ERP資料!$A:$A, (MATCH(15, 輔助計算!$G$2:$G$801, 0)+1)), "")&lt;&gt;"", IFERROR(INDEX(ERP資料!$A:$A, (MATCH(15, 輔助計算!$G$2:$G$801, 0)+1)), "")&lt;&gt;IFERROR(INDEX(ERP資料!$A:$A, MATCH(14, 輔助計算!$G$2:$G$801, 0)+1), "")), INDEX(ERP資料!$B:$B, (MATCH(15, 輔助計算!$G$2:$G$801, 0)+1)), ""), "")</f>
        <v/>
      </c>
      <c r="M16" s="17" t="n"/>
    </row>
    <row r="17">
      <c r="A17" s="10">
        <f>IFERROR(IF(AND(IFERROR(INDEX(ERP資料!$A:$A, (MATCH(16, 輔助計算!$G$2:$G$801, 0)+1)), "")&lt;&gt;"", IFERROR(INDEX(ERP資料!$A:$A, (MATCH(16, 輔助計算!$G$2:$G$801, 0)+1)), "")&lt;&gt;IFERROR(INDEX(ERP資料!$A:$A, MATCH(15, 輔助計算!$G$2:$G$801, 0)+1), "")), IFERROR(INDEX(ERP資料!$A:$A, (MATCH(16, 輔助計算!$G$2:$G$801, 0)+1)), ""), ""), "")</f>
        <v/>
      </c>
      <c r="B17" s="10">
        <f>IFERROR(IF(AND(IFERROR(INDEX(ERP資料!$A:$A, (MATCH(16, 輔助計算!$G$2:$G$801, 0)+1)), "")&lt;&gt;"", IFERROR(INDEX(ERP資料!$A:$A, (MATCH(16, 輔助計算!$G$2:$G$801, 0)+1)), "")&lt;&gt;IFERROR(INDEX(ERP資料!$A:$A, MATCH(15, 輔助計算!$G$2:$G$801, 0)+1), "")), INDEX(ERP資料!$S:$S, (MATCH(16, 輔助計算!$G$2:$G$801, 0)+1)), ""), "")</f>
        <v/>
      </c>
      <c r="C17" s="19">
        <f>IFERROR(IF(AND(IFERROR(INDEX(ERP資料!$A:$A, (MATCH(16, 輔助計算!$G$2:$G$801, 0)+1)), "")&lt;&gt;"", IFERROR(INDEX(ERP資料!$A:$A, (MATCH(16, 輔助計算!$G$2:$G$801, 0)+1)), "")&lt;&gt;IFERROR(INDEX(ERP資料!$A:$A, MATCH(15, 輔助計算!$G$2:$G$801, 0)+1), "")), IFERROR(VLOOKUP(LEFT(INDEX(ERP資料!$S:$S, (MATCH(16, 輔助計算!$G$2:$G$801, 0)+1)), 4), 紙管對照表!$A:$C, 3, FALSE), ""), ""), "")</f>
        <v/>
      </c>
      <c r="D17" s="16" t="n"/>
      <c r="E17" s="10">
        <f>IFERROR(IF(INDEX(ERP資料!$H:$H, (MATCH(16, 輔助計算!$G$2:$G$801, 0)+1))="","",INDEX(ERP資料!$H:$H, (MATCH(16, 輔助計算!$G$2:$G$801, 0)+1))), "")</f>
        <v/>
      </c>
      <c r="F17" s="10">
        <f>IFERROR(IF(INDEX(ERP資料!$E:$E, (MATCH(16, 輔助計算!$G$2:$G$801, 0)+1))="","",TRIM(INDEX(ERP資料!$E:$E, (MATCH(16, 輔助計算!$G$2:$G$801, 0)+1)))), "")</f>
        <v/>
      </c>
      <c r="G17" s="10">
        <f>IFERROR(IF(INDEX(ERP資料!$F:$F, (MATCH(16, 輔助計算!$G$2:$G$801, 0)+1))="","",INDEX(ERP資料!$F:$F, (MATCH(16, 輔助計算!$G$2:$G$801, 0)+1))), "")</f>
        <v/>
      </c>
      <c r="H17" s="10">
        <f>IFERROR(IF(INDEX(ERP資料!$G:$G, (MATCH(16, 輔助計算!$G$2:$G$801, 0)+1))="","",INDEX(ERP資料!$G:$G, (MATCH(16, 輔助計算!$G$2:$G$801, 0)+1))), "")</f>
        <v/>
      </c>
      <c r="I17" s="15">
        <f>IFERROR(INDEX(輔助計算!$D:$D, (MATCH(16, 輔助計算!$G$2:$G$801, 0)+1)), "")</f>
        <v/>
      </c>
      <c r="J17" s="15">
        <f>IFERROR(IF(AND(INDEX(輔助計算!$D:$D, (MATCH(16, 輔助計算!$G$2:$G$801, 0)+1))&lt;&gt;"", INDEX(ERP資料!$G:$G, (MATCH(16, 輔助計算!$G$2:$G$801, 0)+1))&lt;&gt;""), TRIM(IF(INT(INDEX(輔助計算!$D:$D, (MATCH(16, 輔助計算!$G$2:$G$801, 0)+1))/IF(INDEX(ERP資料!$G:$G, (MATCH(16, 輔助計算!$G$2:$G$801, 0)+1))&lt;100, IF(INDEX(ERP資料!$G:$G, (MATCH(16, 輔助計算!$G$2:$G$801, 0)+1))&lt;=31,3,IF(INDEX(ERP資料!$G:$G, (MATCH(16, 輔助計算!$G$2:$G$801, 0)+1))&lt;=46.5,2,1)), IF(INDEX(ERP資料!$G:$G, (MATCH(16, 輔助計算!$G$2:$G$801, 0)+1))&lt;=790,3,IF(INDEX(ERP資料!$G:$G, (MATCH(16, 輔助計算!$G$2:$G$801, 0)+1))&lt;=1181,2,1))))&gt;0, IF(IF(INDEX(ERP資料!$G:$G, (MATCH(16, 輔助計算!$G$2:$G$801, 0)+1))&lt;100, IF(INDEX(ERP資料!$G:$G, (MATCH(16, 輔助計算!$G$2:$G$801, 0)+1))&lt;=31,3,IF(INDEX(ERP資料!$G:$G, (MATCH(16, 輔助計算!$G$2:$G$801, 0)+1))&lt;=46.5,2,1)), IF(INDEX(ERP資料!$G:$G, (MATCH(16, 輔助計算!$G$2:$G$801, 0)+1))&lt;=790,3,IF(INDEX(ERP資料!$G:$G, (MATCH(16, 輔助計算!$G$2:$G$801, 0)+1))&lt;=1181,2,1)))=1,TEXT(INDEX(ERP資料!$G:$G, (MATCH(16, 輔助計算!$G$2:$G$801, 0)+1)),"0.##"),IF(IF(INDEX(ERP資料!$G:$G, (MATCH(16, 輔助計算!$G$2:$G$801, 0)+1))&lt;100, IF(INDEX(ERP資料!$G:$G, (MATCH(16, 輔助計算!$G$2:$G$801, 0)+1))&lt;=31,3,IF(INDEX(ERP資料!$G:$G, (MATCH(16, 輔助計算!$G$2:$G$801, 0)+1))&lt;=46.5,2,1)), IF(INDEX(ERP資料!$G:$G, (MATCH(16, 輔助計算!$G$2:$G$801, 0)+1))&lt;=790,3,IF(INDEX(ERP資料!$G:$G, (MATCH(16, 輔助計算!$G$2:$G$801, 0)+1))&lt;=1181,2,1)))=2,TEXT(INDEX(ERP資料!$G:$G, (MATCH(16, 輔助計算!$G$2:$G$801, 0)+1)),"0.##")&amp;"+"&amp;TEXT(INDEX(ERP資料!$G:$G, (MATCH(16, 輔助計算!$G$2:$G$801, 0)+1)),"0.##"),TEXT(INDEX(ERP資料!$G:$G, (MATCH(16, 輔助計算!$G$2:$G$801, 0)+1)),"0.##")&amp;"+"&amp;TEXT(INDEX(ERP資料!$G:$G, (MATCH(16, 輔助計算!$G$2:$G$801, 0)+1)),"0.##")&amp;"+"&amp;TEXT(INDEX(ERP資料!$G:$G, (MATCH(16, 輔助計算!$G$2:$G$801, 0)+1)),"0.##")))&amp;"-"&amp;INT(INDEX(輔助計算!$D:$D, (MATCH(16, 輔助計算!$G$2:$G$801, 0)+1))/IF(INDEX(ERP資料!$G:$G, (MATCH(16, 輔助計算!$G$2:$G$801, 0)+1))&lt;100, IF(INDEX(ERP資料!$G:$G, (MATCH(16, 輔助計算!$G$2:$G$801, 0)+1))&lt;=31,3,IF(INDEX(ERP資料!$G:$G, (MATCH(16, 輔助計算!$G$2:$G$801, 0)+1))&lt;=46.5,2,1)), IF(INDEX(ERP資料!$G:$G, (MATCH(16, 輔助計算!$G$2:$G$801, 0)+1))&lt;=790,3,IF(INDEX(ERP資料!$G:$G, (MATCH(16, 輔助計算!$G$2:$G$801, 0)+1))&lt;=1181,2,1)))), "")&amp;IF(AND(IF(INT(INDEX(輔助計算!$D:$D, (MATCH(16, 輔助計算!$G$2:$G$801, 0)+1))/IF(INDEX(ERP資料!$G:$G, (MATCH(16, 輔助計算!$G$2:$G$801, 0)+1))&lt;100, IF(INDEX(ERP資料!$G:$G, (MATCH(16, 輔助計算!$G$2:$G$801, 0)+1))&lt;=31,3,IF(INDEX(ERP資料!$G:$G, (MATCH(16, 輔助計算!$G$2:$G$801, 0)+1))&lt;=46.5,2,1)), IF(INDEX(ERP資料!$G:$G, (MATCH(16, 輔助計算!$G$2:$G$801, 0)+1))&lt;=790,3,IF(INDEX(ERP資料!$G:$G, (MATCH(16, 輔助計算!$G$2:$G$801, 0)+1))&lt;=1181,2,1))))&gt;0, IF(IF(INDEX(ERP資料!$G:$G, (MATCH(16, 輔助計算!$G$2:$G$801, 0)+1))&lt;100, IF(INDEX(ERP資料!$G:$G, (MATCH(16, 輔助計算!$G$2:$G$801, 0)+1))&lt;=31,3,IF(INDEX(ERP資料!$G:$G, (MATCH(16, 輔助計算!$G$2:$G$801, 0)+1))&lt;=46.5,2,1)), IF(INDEX(ERP資料!$G:$G, (MATCH(16, 輔助計算!$G$2:$G$801, 0)+1))&lt;=790,3,IF(INDEX(ERP資料!$G:$G, (MATCH(16, 輔助計算!$G$2:$G$801, 0)+1))&lt;=1181,2,1)))=1,TEXT(INDEX(ERP資料!$G:$G, (MATCH(16, 輔助計算!$G$2:$G$801, 0)+1)),"0.##"),IF(IF(INDEX(ERP資料!$G:$G, (MATCH(16, 輔助計算!$G$2:$G$801, 0)+1))&lt;100, IF(INDEX(ERP資料!$G:$G, (MATCH(16, 輔助計算!$G$2:$G$801, 0)+1))&lt;=31,3,IF(INDEX(ERP資料!$G:$G, (MATCH(16, 輔助計算!$G$2:$G$801, 0)+1))&lt;=46.5,2,1)), IF(INDEX(ERP資料!$G:$G, (MATCH(16, 輔助計算!$G$2:$G$801, 0)+1))&lt;=790,3,IF(INDEX(ERP資料!$G:$G, (MATCH(16, 輔助計算!$G$2:$G$801, 0)+1))&lt;=1181,2,1)))=2,TEXT(INDEX(ERP資料!$G:$G, (MATCH(16, 輔助計算!$G$2:$G$801, 0)+1)),"0.##")&amp;"+"&amp;TEXT(INDEX(ERP資料!$G:$G, (MATCH(16, 輔助計算!$G$2:$G$801, 0)+1)),"0.##"),TEXT(INDEX(ERP資料!$G:$G, (MATCH(16, 輔助計算!$G$2:$G$801, 0)+1)),"0.##")&amp;"+"&amp;TEXT(INDEX(ERP資料!$G:$G, (MATCH(16, 輔助計算!$G$2:$G$801, 0)+1)),"0.##")&amp;"+"&amp;TEXT(INDEX(ERP資料!$G:$G, (MATCH(16, 輔助計算!$G$2:$G$801, 0)+1)),"0.##")))&amp;"-"&amp;INT(INDEX(輔助計算!$D:$D, (MATCH(16, 輔助計算!$G$2:$G$801, 0)+1))/IF(INDEX(ERP資料!$G:$G, (MATCH(16, 輔助計算!$G$2:$G$801, 0)+1))&lt;100, IF(INDEX(ERP資料!$G:$G, (MATCH(16, 輔助計算!$G$2:$G$801, 0)+1))&lt;=31,3,IF(INDEX(ERP資料!$G:$G, (MATCH(16, 輔助計算!$G$2:$G$801, 0)+1))&lt;=46.5,2,1)), IF(INDEX(ERP資料!$G:$G, (MATCH(16, 輔助計算!$G$2:$G$801, 0)+1))&lt;=790,3,IF(INDEX(ERP資料!$G:$G, (MATCH(16, 輔助計算!$G$2:$G$801, 0)+1))&lt;=1181,2,1)))), "")&lt;&gt;"",IF(MOD(INDEX(輔助計算!$D:$D, (MATCH(16, 輔助計算!$G$2:$G$801, 0)+1)),IF(INDEX(ERP資料!$G:$G, (MATCH(16, 輔助計算!$G$2:$G$801, 0)+1))&lt;100, IF(INDEX(ERP資料!$G:$G, (MATCH(16, 輔助計算!$G$2:$G$801, 0)+1))&lt;=31,3,IF(INDEX(ERP資料!$G:$G, (MATCH(16, 輔助計算!$G$2:$G$801, 0)+1))&lt;=46.5,2,1)), IF(INDEX(ERP資料!$G:$G, (MATCH(16, 輔助計算!$G$2:$G$801, 0)+1))&lt;=790,3,IF(INDEX(ERP資料!$G:$G, (MATCH(16, 輔助計算!$G$2:$G$801, 0)+1))&lt;=1181,2,1))))=0,"",IF(MOD(INDEX(輔助計算!$D:$D, (MATCH(16, 輔助計算!$G$2:$G$801, 0)+1)),IF(INDEX(ERP資料!$G:$G, (MATCH(16, 輔助計算!$G$2:$G$801, 0)+1))&lt;100, IF(INDEX(ERP資料!$G:$G, (MATCH(16, 輔助計算!$G$2:$G$801, 0)+1))&lt;=31,3,IF(INDEX(ERP資料!$G:$G, (MATCH(16, 輔助計算!$G$2:$G$801, 0)+1))&lt;=46.5,2,1)), IF(INDEX(ERP資料!$G:$G, (MATCH(16, 輔助計算!$G$2:$G$801, 0)+1))&lt;=790,3,IF(INDEX(ERP資料!$G:$G, (MATCH(16, 輔助計算!$G$2:$G$801, 0)+1))&lt;=1181,2,1))))=0,"",IF(MOD(INDEX(輔助計算!$D:$D, (MATCH(16, 輔助計算!$G$2:$G$801, 0)+1)),IF(INDEX(ERP資料!$G:$G, (MATCH(16, 輔助計算!$G$2:$G$801, 0)+1))&lt;100, IF(INDEX(ERP資料!$G:$G, (MATCH(16, 輔助計算!$G$2:$G$801, 0)+1))&lt;=31,3,IF(INDEX(ERP資料!$G:$G, (MATCH(16, 輔助計算!$G$2:$G$801, 0)+1))&lt;=46.5,2,1)), IF(INDEX(ERP資料!$G:$G, (MATCH(16, 輔助計算!$G$2:$G$801, 0)+1))&lt;=790,3,IF(INDEX(ERP資料!$G:$G, (MATCH(16, 輔助計算!$G$2:$G$801, 0)+1))&lt;=1181,2,1))))=1,TEXT(INDEX(ERP資料!$G:$G, (MATCH(16, 輔助計算!$G$2:$G$801, 0)+1)),"0.##"),IF(MOD(INDEX(輔助計算!$D:$D, (MATCH(16, 輔助計算!$G$2:$G$801, 0)+1)),IF(INDEX(ERP資料!$G:$G, (MATCH(16, 輔助計算!$G$2:$G$801, 0)+1))&lt;100, IF(INDEX(ERP資料!$G:$G, (MATCH(16, 輔助計算!$G$2:$G$801, 0)+1))&lt;=31,3,IF(INDEX(ERP資料!$G:$G, (MATCH(16, 輔助計算!$G$2:$G$801, 0)+1))&lt;=46.5,2,1)), IF(INDEX(ERP資料!$G:$G, (MATCH(16, 輔助計算!$G$2:$G$801, 0)+1))&lt;=790,3,IF(INDEX(ERP資料!$G:$G, (MATCH(16, 輔助計算!$G$2:$G$801, 0)+1))&lt;=1181,2,1))))=2,TEXT(INDEX(ERP資料!$G:$G, (MATCH(16, 輔助計算!$G$2:$G$801, 0)+1)),"0.##")&amp;"+"&amp;TEXT(INDEX(ERP資料!$G:$G, (MATCH(16, 輔助計算!$G$2:$G$801, 0)+1)),"0.##"),TEXT(INDEX(ERP資料!$G:$G, (MATCH(16, 輔助計算!$G$2:$G$801, 0)+1)),"0.##")&amp;"+"&amp;TEXT(INDEX(ERP資料!$G:$G, (MATCH(16, 輔助計算!$G$2:$G$801, 0)+1)),"0.##")&amp;"+"&amp;TEXT(INDEX(ERP資料!$G:$G, (MATCH(16, 輔助計算!$G$2:$G$801, 0)+1)),"0.##"))))&amp;"-1")&lt;&gt;""),"  ","")&amp;IF(MOD(INDEX(輔助計算!$D:$D, (MATCH(16, 輔助計算!$G$2:$G$801, 0)+1)),IF(INDEX(ERP資料!$G:$G, (MATCH(16, 輔助計算!$G$2:$G$801, 0)+1))&lt;100, IF(INDEX(ERP資料!$G:$G, (MATCH(16, 輔助計算!$G$2:$G$801, 0)+1))&lt;=31,3,IF(INDEX(ERP資料!$G:$G, (MATCH(16, 輔助計算!$G$2:$G$801, 0)+1))&lt;=46.5,2,1)), IF(INDEX(ERP資料!$G:$G, (MATCH(16, 輔助計算!$G$2:$G$801, 0)+1))&lt;=790,3,IF(INDEX(ERP資料!$G:$G, (MATCH(16, 輔助計算!$G$2:$G$801, 0)+1))&lt;=1181,2,1))))=0,"",IF(MOD(INDEX(輔助計算!$D:$D, (MATCH(16, 輔助計算!$G$2:$G$801, 0)+1)),IF(INDEX(ERP資料!$G:$G, (MATCH(16, 輔助計算!$G$2:$G$801, 0)+1))&lt;100, IF(INDEX(ERP資料!$G:$G, (MATCH(16, 輔助計算!$G$2:$G$801, 0)+1))&lt;=31,3,IF(INDEX(ERP資料!$G:$G, (MATCH(16, 輔助計算!$G$2:$G$801, 0)+1))&lt;=46.5,2,1)), IF(INDEX(ERP資料!$G:$G, (MATCH(16, 輔助計算!$G$2:$G$801, 0)+1))&lt;=790,3,IF(INDEX(ERP資料!$G:$G, (MATCH(16, 輔助計算!$G$2:$G$801, 0)+1))&lt;=1181,2,1))))=0,"",IF(MOD(INDEX(輔助計算!$D:$D, (MATCH(16, 輔助計算!$G$2:$G$801, 0)+1)),IF(INDEX(ERP資料!$G:$G, (MATCH(16, 輔助計算!$G$2:$G$801, 0)+1))&lt;100, IF(INDEX(ERP資料!$G:$G, (MATCH(16, 輔助計算!$G$2:$G$801, 0)+1))&lt;=31,3,IF(INDEX(ERP資料!$G:$G, (MATCH(16, 輔助計算!$G$2:$G$801, 0)+1))&lt;=46.5,2,1)), IF(INDEX(ERP資料!$G:$G, (MATCH(16, 輔助計算!$G$2:$G$801, 0)+1))&lt;=790,3,IF(INDEX(ERP資料!$G:$G, (MATCH(16, 輔助計算!$G$2:$G$801, 0)+1))&lt;=1181,2,1))))=1,TEXT(INDEX(ERP資料!$G:$G, (MATCH(16, 輔助計算!$G$2:$G$801, 0)+1)),"0.##"),IF(MOD(INDEX(輔助計算!$D:$D, (MATCH(16, 輔助計算!$G$2:$G$801, 0)+1)),IF(INDEX(ERP資料!$G:$G, (MATCH(16, 輔助計算!$G$2:$G$801, 0)+1))&lt;100, IF(INDEX(ERP資料!$G:$G, (MATCH(16, 輔助計算!$G$2:$G$801, 0)+1))&lt;=31,3,IF(INDEX(ERP資料!$G:$G, (MATCH(16, 輔助計算!$G$2:$G$801, 0)+1))&lt;=46.5,2,1)), IF(INDEX(ERP資料!$G:$G, (MATCH(16, 輔助計算!$G$2:$G$801, 0)+1))&lt;=790,3,IF(INDEX(ERP資料!$G:$G, (MATCH(16, 輔助計算!$G$2:$G$801, 0)+1))&lt;=1181,2,1))))=2,TEXT(INDEX(ERP資料!$G:$G, (MATCH(16, 輔助計算!$G$2:$G$801, 0)+1)),"0.##")&amp;"+"&amp;TEXT(INDEX(ERP資料!$G:$G, (MATCH(16, 輔助計算!$G$2:$G$801, 0)+1)),"0.##"),TEXT(INDEX(ERP資料!$G:$G, (MATCH(16, 輔助計算!$G$2:$G$801, 0)+1)),"0.##")&amp;"+"&amp;TEXT(INDEX(ERP資料!$G:$G, (MATCH(16, 輔助計算!$G$2:$G$801, 0)+1)),"0.##")&amp;"+"&amp;TEXT(INDEX(ERP資料!$G:$G, (MATCH(16, 輔助計算!$G$2:$G$801, 0)+1)),"0.##"))))&amp;"-1")), ""), "")</f>
        <v/>
      </c>
      <c r="K17" s="16" t="n"/>
      <c r="L17" s="14">
        <f>IFERROR(IF(AND(IFERROR(INDEX(ERP資料!$A:$A, (MATCH(16, 輔助計算!$G$2:$G$801, 0)+1)), "")&lt;&gt;"", IFERROR(INDEX(ERP資料!$A:$A, (MATCH(16, 輔助計算!$G$2:$G$801, 0)+1)), "")&lt;&gt;IFERROR(INDEX(ERP資料!$A:$A, MATCH(15, 輔助計算!$G$2:$G$801, 0)+1), "")), INDEX(ERP資料!$B:$B, (MATCH(16, 輔助計算!$G$2:$G$801, 0)+1)), ""), "")</f>
        <v/>
      </c>
      <c r="M17" s="17" t="n"/>
    </row>
    <row r="18">
      <c r="A18" s="10">
        <f>IFERROR(IF(AND(IFERROR(INDEX(ERP資料!$A:$A, (MATCH(17, 輔助計算!$G$2:$G$801, 0)+1)), "")&lt;&gt;"", IFERROR(INDEX(ERP資料!$A:$A, (MATCH(17, 輔助計算!$G$2:$G$801, 0)+1)), "")&lt;&gt;IFERROR(INDEX(ERP資料!$A:$A, MATCH(16, 輔助計算!$G$2:$G$801, 0)+1), "")), IFERROR(INDEX(ERP資料!$A:$A, (MATCH(17, 輔助計算!$G$2:$G$801, 0)+1)), ""), ""), "")</f>
        <v/>
      </c>
      <c r="B18" s="10">
        <f>IFERROR(IF(AND(IFERROR(INDEX(ERP資料!$A:$A, (MATCH(17, 輔助計算!$G$2:$G$801, 0)+1)), "")&lt;&gt;"", IFERROR(INDEX(ERP資料!$A:$A, (MATCH(17, 輔助計算!$G$2:$G$801, 0)+1)), "")&lt;&gt;IFERROR(INDEX(ERP資料!$A:$A, MATCH(16, 輔助計算!$G$2:$G$801, 0)+1), "")), INDEX(ERP資料!$S:$S, (MATCH(17, 輔助計算!$G$2:$G$801, 0)+1)), ""), "")</f>
        <v/>
      </c>
      <c r="C18" s="19">
        <f>IFERROR(IF(AND(IFERROR(INDEX(ERP資料!$A:$A, (MATCH(17, 輔助計算!$G$2:$G$801, 0)+1)), "")&lt;&gt;"", IFERROR(INDEX(ERP資料!$A:$A, (MATCH(17, 輔助計算!$G$2:$G$801, 0)+1)), "")&lt;&gt;IFERROR(INDEX(ERP資料!$A:$A, MATCH(16, 輔助計算!$G$2:$G$801, 0)+1), "")), IFERROR(VLOOKUP(LEFT(INDEX(ERP資料!$S:$S, (MATCH(17, 輔助計算!$G$2:$G$801, 0)+1)), 4), 紙管對照表!$A:$C, 3, FALSE), ""), ""), "")</f>
        <v/>
      </c>
      <c r="D18" s="16" t="n"/>
      <c r="E18" s="10">
        <f>IFERROR(IF(INDEX(ERP資料!$H:$H, (MATCH(17, 輔助計算!$G$2:$G$801, 0)+1))="","",INDEX(ERP資料!$H:$H, (MATCH(17, 輔助計算!$G$2:$G$801, 0)+1))), "")</f>
        <v/>
      </c>
      <c r="F18" s="10">
        <f>IFERROR(IF(INDEX(ERP資料!$E:$E, (MATCH(17, 輔助計算!$G$2:$G$801, 0)+1))="","",TRIM(INDEX(ERP資料!$E:$E, (MATCH(17, 輔助計算!$G$2:$G$801, 0)+1)))), "")</f>
        <v/>
      </c>
      <c r="G18" s="10">
        <f>IFERROR(IF(INDEX(ERP資料!$F:$F, (MATCH(17, 輔助計算!$G$2:$G$801, 0)+1))="","",INDEX(ERP資料!$F:$F, (MATCH(17, 輔助計算!$G$2:$G$801, 0)+1))), "")</f>
        <v/>
      </c>
      <c r="H18" s="10">
        <f>IFERROR(IF(INDEX(ERP資料!$G:$G, (MATCH(17, 輔助計算!$G$2:$G$801, 0)+1))="","",INDEX(ERP資料!$G:$G, (MATCH(17, 輔助計算!$G$2:$G$801, 0)+1))), "")</f>
        <v/>
      </c>
      <c r="I18" s="15">
        <f>IFERROR(INDEX(輔助計算!$D:$D, (MATCH(17, 輔助計算!$G$2:$G$801, 0)+1)), "")</f>
        <v/>
      </c>
      <c r="J18" s="15">
        <f>IFERROR(IF(AND(INDEX(輔助計算!$D:$D, (MATCH(17, 輔助計算!$G$2:$G$801, 0)+1))&lt;&gt;"", INDEX(ERP資料!$G:$G, (MATCH(17, 輔助計算!$G$2:$G$801, 0)+1))&lt;&gt;""), TRIM(IF(INT(INDEX(輔助計算!$D:$D, (MATCH(17, 輔助計算!$G$2:$G$801, 0)+1))/IF(INDEX(ERP資料!$G:$G, (MATCH(17, 輔助計算!$G$2:$G$801, 0)+1))&lt;100, IF(INDEX(ERP資料!$G:$G, (MATCH(17, 輔助計算!$G$2:$G$801, 0)+1))&lt;=31,3,IF(INDEX(ERP資料!$G:$G, (MATCH(17, 輔助計算!$G$2:$G$801, 0)+1))&lt;=46.5,2,1)), IF(INDEX(ERP資料!$G:$G, (MATCH(17, 輔助計算!$G$2:$G$801, 0)+1))&lt;=790,3,IF(INDEX(ERP資料!$G:$G, (MATCH(17, 輔助計算!$G$2:$G$801, 0)+1))&lt;=1181,2,1))))&gt;0, IF(IF(INDEX(ERP資料!$G:$G, (MATCH(17, 輔助計算!$G$2:$G$801, 0)+1))&lt;100, IF(INDEX(ERP資料!$G:$G, (MATCH(17, 輔助計算!$G$2:$G$801, 0)+1))&lt;=31,3,IF(INDEX(ERP資料!$G:$G, (MATCH(17, 輔助計算!$G$2:$G$801, 0)+1))&lt;=46.5,2,1)), IF(INDEX(ERP資料!$G:$G, (MATCH(17, 輔助計算!$G$2:$G$801, 0)+1))&lt;=790,3,IF(INDEX(ERP資料!$G:$G, (MATCH(17, 輔助計算!$G$2:$G$801, 0)+1))&lt;=1181,2,1)))=1,TEXT(INDEX(ERP資料!$G:$G, (MATCH(17, 輔助計算!$G$2:$G$801, 0)+1)),"0.##"),IF(IF(INDEX(ERP資料!$G:$G, (MATCH(17, 輔助計算!$G$2:$G$801, 0)+1))&lt;100, IF(INDEX(ERP資料!$G:$G, (MATCH(17, 輔助計算!$G$2:$G$801, 0)+1))&lt;=31,3,IF(INDEX(ERP資料!$G:$G, (MATCH(17, 輔助計算!$G$2:$G$801, 0)+1))&lt;=46.5,2,1)), IF(INDEX(ERP資料!$G:$G, (MATCH(17, 輔助計算!$G$2:$G$801, 0)+1))&lt;=790,3,IF(INDEX(ERP資料!$G:$G, (MATCH(17, 輔助計算!$G$2:$G$801, 0)+1))&lt;=1181,2,1)))=2,TEXT(INDEX(ERP資料!$G:$G, (MATCH(17, 輔助計算!$G$2:$G$801, 0)+1)),"0.##")&amp;"+"&amp;TEXT(INDEX(ERP資料!$G:$G, (MATCH(17, 輔助計算!$G$2:$G$801, 0)+1)),"0.##"),TEXT(INDEX(ERP資料!$G:$G, (MATCH(17, 輔助計算!$G$2:$G$801, 0)+1)),"0.##")&amp;"+"&amp;TEXT(INDEX(ERP資料!$G:$G, (MATCH(17, 輔助計算!$G$2:$G$801, 0)+1)),"0.##")&amp;"+"&amp;TEXT(INDEX(ERP資料!$G:$G, (MATCH(17, 輔助計算!$G$2:$G$801, 0)+1)),"0.##")))&amp;"-"&amp;INT(INDEX(輔助計算!$D:$D, (MATCH(17, 輔助計算!$G$2:$G$801, 0)+1))/IF(INDEX(ERP資料!$G:$G, (MATCH(17, 輔助計算!$G$2:$G$801, 0)+1))&lt;100, IF(INDEX(ERP資料!$G:$G, (MATCH(17, 輔助計算!$G$2:$G$801, 0)+1))&lt;=31,3,IF(INDEX(ERP資料!$G:$G, (MATCH(17, 輔助計算!$G$2:$G$801, 0)+1))&lt;=46.5,2,1)), IF(INDEX(ERP資料!$G:$G, (MATCH(17, 輔助計算!$G$2:$G$801, 0)+1))&lt;=790,3,IF(INDEX(ERP資料!$G:$G, (MATCH(17, 輔助計算!$G$2:$G$801, 0)+1))&lt;=1181,2,1)))), "")&amp;IF(AND(IF(INT(INDEX(輔助計算!$D:$D, (MATCH(17, 輔助計算!$G$2:$G$801, 0)+1))/IF(INDEX(ERP資料!$G:$G, (MATCH(17, 輔助計算!$G$2:$G$801, 0)+1))&lt;100, IF(INDEX(ERP資料!$G:$G, (MATCH(17, 輔助計算!$G$2:$G$801, 0)+1))&lt;=31,3,IF(INDEX(ERP資料!$G:$G, (MATCH(17, 輔助計算!$G$2:$G$801, 0)+1))&lt;=46.5,2,1)), IF(INDEX(ERP資料!$G:$G, (MATCH(17, 輔助計算!$G$2:$G$801, 0)+1))&lt;=790,3,IF(INDEX(ERP資料!$G:$G, (MATCH(17, 輔助計算!$G$2:$G$801, 0)+1))&lt;=1181,2,1))))&gt;0, IF(IF(INDEX(ERP資料!$G:$G, (MATCH(17, 輔助計算!$G$2:$G$801, 0)+1))&lt;100, IF(INDEX(ERP資料!$G:$G, (MATCH(17, 輔助計算!$G$2:$G$801, 0)+1))&lt;=31,3,IF(INDEX(ERP資料!$G:$G, (MATCH(17, 輔助計算!$G$2:$G$801, 0)+1))&lt;=46.5,2,1)), IF(INDEX(ERP資料!$G:$G, (MATCH(17, 輔助計算!$G$2:$G$801, 0)+1))&lt;=790,3,IF(INDEX(ERP資料!$G:$G, (MATCH(17, 輔助計算!$G$2:$G$801, 0)+1))&lt;=1181,2,1)))=1,TEXT(INDEX(ERP資料!$G:$G, (MATCH(17, 輔助計算!$G$2:$G$801, 0)+1)),"0.##"),IF(IF(INDEX(ERP資料!$G:$G, (MATCH(17, 輔助計算!$G$2:$G$801, 0)+1))&lt;100, IF(INDEX(ERP資料!$G:$G, (MATCH(17, 輔助計算!$G$2:$G$801, 0)+1))&lt;=31,3,IF(INDEX(ERP資料!$G:$G, (MATCH(17, 輔助計算!$G$2:$G$801, 0)+1))&lt;=46.5,2,1)), IF(INDEX(ERP資料!$G:$G, (MATCH(17, 輔助計算!$G$2:$G$801, 0)+1))&lt;=790,3,IF(INDEX(ERP資料!$G:$G, (MATCH(17, 輔助計算!$G$2:$G$801, 0)+1))&lt;=1181,2,1)))=2,TEXT(INDEX(ERP資料!$G:$G, (MATCH(17, 輔助計算!$G$2:$G$801, 0)+1)),"0.##")&amp;"+"&amp;TEXT(INDEX(ERP資料!$G:$G, (MATCH(17, 輔助計算!$G$2:$G$801, 0)+1)),"0.##"),TEXT(INDEX(ERP資料!$G:$G, (MATCH(17, 輔助計算!$G$2:$G$801, 0)+1)),"0.##")&amp;"+"&amp;TEXT(INDEX(ERP資料!$G:$G, (MATCH(17, 輔助計算!$G$2:$G$801, 0)+1)),"0.##")&amp;"+"&amp;TEXT(INDEX(ERP資料!$G:$G, (MATCH(17, 輔助計算!$G$2:$G$801, 0)+1)),"0.##")))&amp;"-"&amp;INT(INDEX(輔助計算!$D:$D, (MATCH(17, 輔助計算!$G$2:$G$801, 0)+1))/IF(INDEX(ERP資料!$G:$G, (MATCH(17, 輔助計算!$G$2:$G$801, 0)+1))&lt;100, IF(INDEX(ERP資料!$G:$G, (MATCH(17, 輔助計算!$G$2:$G$801, 0)+1))&lt;=31,3,IF(INDEX(ERP資料!$G:$G, (MATCH(17, 輔助計算!$G$2:$G$801, 0)+1))&lt;=46.5,2,1)), IF(INDEX(ERP資料!$G:$G, (MATCH(17, 輔助計算!$G$2:$G$801, 0)+1))&lt;=790,3,IF(INDEX(ERP資料!$G:$G, (MATCH(17, 輔助計算!$G$2:$G$801, 0)+1))&lt;=1181,2,1)))), "")&lt;&gt;"",IF(MOD(INDEX(輔助計算!$D:$D, (MATCH(17, 輔助計算!$G$2:$G$801, 0)+1)),IF(INDEX(ERP資料!$G:$G, (MATCH(17, 輔助計算!$G$2:$G$801, 0)+1))&lt;100, IF(INDEX(ERP資料!$G:$G, (MATCH(17, 輔助計算!$G$2:$G$801, 0)+1))&lt;=31,3,IF(INDEX(ERP資料!$G:$G, (MATCH(17, 輔助計算!$G$2:$G$801, 0)+1))&lt;=46.5,2,1)), IF(INDEX(ERP資料!$G:$G, (MATCH(17, 輔助計算!$G$2:$G$801, 0)+1))&lt;=790,3,IF(INDEX(ERP資料!$G:$G, (MATCH(17, 輔助計算!$G$2:$G$801, 0)+1))&lt;=1181,2,1))))=0,"",IF(MOD(INDEX(輔助計算!$D:$D, (MATCH(17, 輔助計算!$G$2:$G$801, 0)+1)),IF(INDEX(ERP資料!$G:$G, (MATCH(17, 輔助計算!$G$2:$G$801, 0)+1))&lt;100, IF(INDEX(ERP資料!$G:$G, (MATCH(17, 輔助計算!$G$2:$G$801, 0)+1))&lt;=31,3,IF(INDEX(ERP資料!$G:$G, (MATCH(17, 輔助計算!$G$2:$G$801, 0)+1))&lt;=46.5,2,1)), IF(INDEX(ERP資料!$G:$G, (MATCH(17, 輔助計算!$G$2:$G$801, 0)+1))&lt;=790,3,IF(INDEX(ERP資料!$G:$G, (MATCH(17, 輔助計算!$G$2:$G$801, 0)+1))&lt;=1181,2,1))))=0,"",IF(MOD(INDEX(輔助計算!$D:$D, (MATCH(17, 輔助計算!$G$2:$G$801, 0)+1)),IF(INDEX(ERP資料!$G:$G, (MATCH(17, 輔助計算!$G$2:$G$801, 0)+1))&lt;100, IF(INDEX(ERP資料!$G:$G, (MATCH(17, 輔助計算!$G$2:$G$801, 0)+1))&lt;=31,3,IF(INDEX(ERP資料!$G:$G, (MATCH(17, 輔助計算!$G$2:$G$801, 0)+1))&lt;=46.5,2,1)), IF(INDEX(ERP資料!$G:$G, (MATCH(17, 輔助計算!$G$2:$G$801, 0)+1))&lt;=790,3,IF(INDEX(ERP資料!$G:$G, (MATCH(17, 輔助計算!$G$2:$G$801, 0)+1))&lt;=1181,2,1))))=1,TEXT(INDEX(ERP資料!$G:$G, (MATCH(17, 輔助計算!$G$2:$G$801, 0)+1)),"0.##"),IF(MOD(INDEX(輔助計算!$D:$D, (MATCH(17, 輔助計算!$G$2:$G$801, 0)+1)),IF(INDEX(ERP資料!$G:$G, (MATCH(17, 輔助計算!$G$2:$G$801, 0)+1))&lt;100, IF(INDEX(ERP資料!$G:$G, (MATCH(17, 輔助計算!$G$2:$G$801, 0)+1))&lt;=31,3,IF(INDEX(ERP資料!$G:$G, (MATCH(17, 輔助計算!$G$2:$G$801, 0)+1))&lt;=46.5,2,1)), IF(INDEX(ERP資料!$G:$G, (MATCH(17, 輔助計算!$G$2:$G$801, 0)+1))&lt;=790,3,IF(INDEX(ERP資料!$G:$G, (MATCH(17, 輔助計算!$G$2:$G$801, 0)+1))&lt;=1181,2,1))))=2,TEXT(INDEX(ERP資料!$G:$G, (MATCH(17, 輔助計算!$G$2:$G$801, 0)+1)),"0.##")&amp;"+"&amp;TEXT(INDEX(ERP資料!$G:$G, (MATCH(17, 輔助計算!$G$2:$G$801, 0)+1)),"0.##"),TEXT(INDEX(ERP資料!$G:$G, (MATCH(17, 輔助計算!$G$2:$G$801, 0)+1)),"0.##")&amp;"+"&amp;TEXT(INDEX(ERP資料!$G:$G, (MATCH(17, 輔助計算!$G$2:$G$801, 0)+1)),"0.##")&amp;"+"&amp;TEXT(INDEX(ERP資料!$G:$G, (MATCH(17, 輔助計算!$G$2:$G$801, 0)+1)),"0.##"))))&amp;"-1")&lt;&gt;""),"  ","")&amp;IF(MOD(INDEX(輔助計算!$D:$D, (MATCH(17, 輔助計算!$G$2:$G$801, 0)+1)),IF(INDEX(ERP資料!$G:$G, (MATCH(17, 輔助計算!$G$2:$G$801, 0)+1))&lt;100, IF(INDEX(ERP資料!$G:$G, (MATCH(17, 輔助計算!$G$2:$G$801, 0)+1))&lt;=31,3,IF(INDEX(ERP資料!$G:$G, (MATCH(17, 輔助計算!$G$2:$G$801, 0)+1))&lt;=46.5,2,1)), IF(INDEX(ERP資料!$G:$G, (MATCH(17, 輔助計算!$G$2:$G$801, 0)+1))&lt;=790,3,IF(INDEX(ERP資料!$G:$G, (MATCH(17, 輔助計算!$G$2:$G$801, 0)+1))&lt;=1181,2,1))))=0,"",IF(MOD(INDEX(輔助計算!$D:$D, (MATCH(17, 輔助計算!$G$2:$G$801, 0)+1)),IF(INDEX(ERP資料!$G:$G, (MATCH(17, 輔助計算!$G$2:$G$801, 0)+1))&lt;100, IF(INDEX(ERP資料!$G:$G, (MATCH(17, 輔助計算!$G$2:$G$801, 0)+1))&lt;=31,3,IF(INDEX(ERP資料!$G:$G, (MATCH(17, 輔助計算!$G$2:$G$801, 0)+1))&lt;=46.5,2,1)), IF(INDEX(ERP資料!$G:$G, (MATCH(17, 輔助計算!$G$2:$G$801, 0)+1))&lt;=790,3,IF(INDEX(ERP資料!$G:$G, (MATCH(17, 輔助計算!$G$2:$G$801, 0)+1))&lt;=1181,2,1))))=0,"",IF(MOD(INDEX(輔助計算!$D:$D, (MATCH(17, 輔助計算!$G$2:$G$801, 0)+1)),IF(INDEX(ERP資料!$G:$G, (MATCH(17, 輔助計算!$G$2:$G$801, 0)+1))&lt;100, IF(INDEX(ERP資料!$G:$G, (MATCH(17, 輔助計算!$G$2:$G$801, 0)+1))&lt;=31,3,IF(INDEX(ERP資料!$G:$G, (MATCH(17, 輔助計算!$G$2:$G$801, 0)+1))&lt;=46.5,2,1)), IF(INDEX(ERP資料!$G:$G, (MATCH(17, 輔助計算!$G$2:$G$801, 0)+1))&lt;=790,3,IF(INDEX(ERP資料!$G:$G, (MATCH(17, 輔助計算!$G$2:$G$801, 0)+1))&lt;=1181,2,1))))=1,TEXT(INDEX(ERP資料!$G:$G, (MATCH(17, 輔助計算!$G$2:$G$801, 0)+1)),"0.##"),IF(MOD(INDEX(輔助計算!$D:$D, (MATCH(17, 輔助計算!$G$2:$G$801, 0)+1)),IF(INDEX(ERP資料!$G:$G, (MATCH(17, 輔助計算!$G$2:$G$801, 0)+1))&lt;100, IF(INDEX(ERP資料!$G:$G, (MATCH(17, 輔助計算!$G$2:$G$801, 0)+1))&lt;=31,3,IF(INDEX(ERP資料!$G:$G, (MATCH(17, 輔助計算!$G$2:$G$801, 0)+1))&lt;=46.5,2,1)), IF(INDEX(ERP資料!$G:$G, (MATCH(17, 輔助計算!$G$2:$G$801, 0)+1))&lt;=790,3,IF(INDEX(ERP資料!$G:$G, (MATCH(17, 輔助計算!$G$2:$G$801, 0)+1))&lt;=1181,2,1))))=2,TEXT(INDEX(ERP資料!$G:$G, (MATCH(17, 輔助計算!$G$2:$G$801, 0)+1)),"0.##")&amp;"+"&amp;TEXT(INDEX(ERP資料!$G:$G, (MATCH(17, 輔助計算!$G$2:$G$801, 0)+1)),"0.##"),TEXT(INDEX(ERP資料!$G:$G, (MATCH(17, 輔助計算!$G$2:$G$801, 0)+1)),"0.##")&amp;"+"&amp;TEXT(INDEX(ERP資料!$G:$G, (MATCH(17, 輔助計算!$G$2:$G$801, 0)+1)),"0.##")&amp;"+"&amp;TEXT(INDEX(ERP資料!$G:$G, (MATCH(17, 輔助計算!$G$2:$G$801, 0)+1)),"0.##"))))&amp;"-1")), ""), "")</f>
        <v/>
      </c>
      <c r="K18" s="16" t="n"/>
      <c r="L18" s="14">
        <f>IFERROR(IF(AND(IFERROR(INDEX(ERP資料!$A:$A, (MATCH(17, 輔助計算!$G$2:$G$801, 0)+1)), "")&lt;&gt;"", IFERROR(INDEX(ERP資料!$A:$A, (MATCH(17, 輔助計算!$G$2:$G$801, 0)+1)), "")&lt;&gt;IFERROR(INDEX(ERP資料!$A:$A, MATCH(16, 輔助計算!$G$2:$G$801, 0)+1), "")), INDEX(ERP資料!$B:$B, (MATCH(17, 輔助計算!$G$2:$G$801, 0)+1)), ""), "")</f>
        <v/>
      </c>
      <c r="M18" s="17" t="n"/>
    </row>
    <row r="19">
      <c r="A19" s="10">
        <f>IFERROR(IF(AND(IFERROR(INDEX(ERP資料!$A:$A, (MATCH(18, 輔助計算!$G$2:$G$801, 0)+1)), "")&lt;&gt;"", IFERROR(INDEX(ERP資料!$A:$A, (MATCH(18, 輔助計算!$G$2:$G$801, 0)+1)), "")&lt;&gt;IFERROR(INDEX(ERP資料!$A:$A, MATCH(17, 輔助計算!$G$2:$G$801, 0)+1), "")), IFERROR(INDEX(ERP資料!$A:$A, (MATCH(18, 輔助計算!$G$2:$G$801, 0)+1)), ""), ""), "")</f>
        <v/>
      </c>
      <c r="B19" s="10">
        <f>IFERROR(IF(AND(IFERROR(INDEX(ERP資料!$A:$A, (MATCH(18, 輔助計算!$G$2:$G$801, 0)+1)), "")&lt;&gt;"", IFERROR(INDEX(ERP資料!$A:$A, (MATCH(18, 輔助計算!$G$2:$G$801, 0)+1)), "")&lt;&gt;IFERROR(INDEX(ERP資料!$A:$A, MATCH(17, 輔助計算!$G$2:$G$801, 0)+1), "")), INDEX(ERP資料!$S:$S, (MATCH(18, 輔助計算!$G$2:$G$801, 0)+1)), ""), "")</f>
        <v/>
      </c>
      <c r="C19" s="19">
        <f>IFERROR(IF(AND(IFERROR(INDEX(ERP資料!$A:$A, (MATCH(18, 輔助計算!$G$2:$G$801, 0)+1)), "")&lt;&gt;"", IFERROR(INDEX(ERP資料!$A:$A, (MATCH(18, 輔助計算!$G$2:$G$801, 0)+1)), "")&lt;&gt;IFERROR(INDEX(ERP資料!$A:$A, MATCH(17, 輔助計算!$G$2:$G$801, 0)+1), "")), IFERROR(VLOOKUP(LEFT(INDEX(ERP資料!$S:$S, (MATCH(18, 輔助計算!$G$2:$G$801, 0)+1)), 4), 紙管對照表!$A:$C, 3, FALSE), ""), ""), "")</f>
        <v/>
      </c>
      <c r="D19" s="16" t="n"/>
      <c r="E19" s="10">
        <f>IFERROR(IF(INDEX(ERP資料!$H:$H, (MATCH(18, 輔助計算!$G$2:$G$801, 0)+1))="","",INDEX(ERP資料!$H:$H, (MATCH(18, 輔助計算!$G$2:$G$801, 0)+1))), "")</f>
        <v/>
      </c>
      <c r="F19" s="10">
        <f>IFERROR(IF(INDEX(ERP資料!$E:$E, (MATCH(18, 輔助計算!$G$2:$G$801, 0)+1))="","",TRIM(INDEX(ERP資料!$E:$E, (MATCH(18, 輔助計算!$G$2:$G$801, 0)+1)))), "")</f>
        <v/>
      </c>
      <c r="G19" s="10">
        <f>IFERROR(IF(INDEX(ERP資料!$F:$F, (MATCH(18, 輔助計算!$G$2:$G$801, 0)+1))="","",INDEX(ERP資料!$F:$F, (MATCH(18, 輔助計算!$G$2:$G$801, 0)+1))), "")</f>
        <v/>
      </c>
      <c r="H19" s="10">
        <f>IFERROR(IF(INDEX(ERP資料!$G:$G, (MATCH(18, 輔助計算!$G$2:$G$801, 0)+1))="","",INDEX(ERP資料!$G:$G, (MATCH(18, 輔助計算!$G$2:$G$801, 0)+1))), "")</f>
        <v/>
      </c>
      <c r="I19" s="15">
        <f>IFERROR(INDEX(輔助計算!$D:$D, (MATCH(18, 輔助計算!$G$2:$G$801, 0)+1)), "")</f>
        <v/>
      </c>
      <c r="J19" s="15">
        <f>IFERROR(IF(AND(INDEX(輔助計算!$D:$D, (MATCH(18, 輔助計算!$G$2:$G$801, 0)+1))&lt;&gt;"", INDEX(ERP資料!$G:$G, (MATCH(18, 輔助計算!$G$2:$G$801, 0)+1))&lt;&gt;""), TRIM(IF(INT(INDEX(輔助計算!$D:$D, (MATCH(18, 輔助計算!$G$2:$G$801, 0)+1))/IF(INDEX(ERP資料!$G:$G, (MATCH(18, 輔助計算!$G$2:$G$801, 0)+1))&lt;100, IF(INDEX(ERP資料!$G:$G, (MATCH(18, 輔助計算!$G$2:$G$801, 0)+1))&lt;=31,3,IF(INDEX(ERP資料!$G:$G, (MATCH(18, 輔助計算!$G$2:$G$801, 0)+1))&lt;=46.5,2,1)), IF(INDEX(ERP資料!$G:$G, (MATCH(18, 輔助計算!$G$2:$G$801, 0)+1))&lt;=790,3,IF(INDEX(ERP資料!$G:$G, (MATCH(18, 輔助計算!$G$2:$G$801, 0)+1))&lt;=1181,2,1))))&gt;0, IF(IF(INDEX(ERP資料!$G:$G, (MATCH(18, 輔助計算!$G$2:$G$801, 0)+1))&lt;100, IF(INDEX(ERP資料!$G:$G, (MATCH(18, 輔助計算!$G$2:$G$801, 0)+1))&lt;=31,3,IF(INDEX(ERP資料!$G:$G, (MATCH(18, 輔助計算!$G$2:$G$801, 0)+1))&lt;=46.5,2,1)), IF(INDEX(ERP資料!$G:$G, (MATCH(18, 輔助計算!$G$2:$G$801, 0)+1))&lt;=790,3,IF(INDEX(ERP資料!$G:$G, (MATCH(18, 輔助計算!$G$2:$G$801, 0)+1))&lt;=1181,2,1)))=1,TEXT(INDEX(ERP資料!$G:$G, (MATCH(18, 輔助計算!$G$2:$G$801, 0)+1)),"0.##"),IF(IF(INDEX(ERP資料!$G:$G, (MATCH(18, 輔助計算!$G$2:$G$801, 0)+1))&lt;100, IF(INDEX(ERP資料!$G:$G, (MATCH(18, 輔助計算!$G$2:$G$801, 0)+1))&lt;=31,3,IF(INDEX(ERP資料!$G:$G, (MATCH(18, 輔助計算!$G$2:$G$801, 0)+1))&lt;=46.5,2,1)), IF(INDEX(ERP資料!$G:$G, (MATCH(18, 輔助計算!$G$2:$G$801, 0)+1))&lt;=790,3,IF(INDEX(ERP資料!$G:$G, (MATCH(18, 輔助計算!$G$2:$G$801, 0)+1))&lt;=1181,2,1)))=2,TEXT(INDEX(ERP資料!$G:$G, (MATCH(18, 輔助計算!$G$2:$G$801, 0)+1)),"0.##")&amp;"+"&amp;TEXT(INDEX(ERP資料!$G:$G, (MATCH(18, 輔助計算!$G$2:$G$801, 0)+1)),"0.##"),TEXT(INDEX(ERP資料!$G:$G, (MATCH(18, 輔助計算!$G$2:$G$801, 0)+1)),"0.##")&amp;"+"&amp;TEXT(INDEX(ERP資料!$G:$G, (MATCH(18, 輔助計算!$G$2:$G$801, 0)+1)),"0.##")&amp;"+"&amp;TEXT(INDEX(ERP資料!$G:$G, (MATCH(18, 輔助計算!$G$2:$G$801, 0)+1)),"0.##")))&amp;"-"&amp;INT(INDEX(輔助計算!$D:$D, (MATCH(18, 輔助計算!$G$2:$G$801, 0)+1))/IF(INDEX(ERP資料!$G:$G, (MATCH(18, 輔助計算!$G$2:$G$801, 0)+1))&lt;100, IF(INDEX(ERP資料!$G:$G, (MATCH(18, 輔助計算!$G$2:$G$801, 0)+1))&lt;=31,3,IF(INDEX(ERP資料!$G:$G, (MATCH(18, 輔助計算!$G$2:$G$801, 0)+1))&lt;=46.5,2,1)), IF(INDEX(ERP資料!$G:$G, (MATCH(18, 輔助計算!$G$2:$G$801, 0)+1))&lt;=790,3,IF(INDEX(ERP資料!$G:$G, (MATCH(18, 輔助計算!$G$2:$G$801, 0)+1))&lt;=1181,2,1)))), "")&amp;IF(AND(IF(INT(INDEX(輔助計算!$D:$D, (MATCH(18, 輔助計算!$G$2:$G$801, 0)+1))/IF(INDEX(ERP資料!$G:$G, (MATCH(18, 輔助計算!$G$2:$G$801, 0)+1))&lt;100, IF(INDEX(ERP資料!$G:$G, (MATCH(18, 輔助計算!$G$2:$G$801, 0)+1))&lt;=31,3,IF(INDEX(ERP資料!$G:$G, (MATCH(18, 輔助計算!$G$2:$G$801, 0)+1))&lt;=46.5,2,1)), IF(INDEX(ERP資料!$G:$G, (MATCH(18, 輔助計算!$G$2:$G$801, 0)+1))&lt;=790,3,IF(INDEX(ERP資料!$G:$G, (MATCH(18, 輔助計算!$G$2:$G$801, 0)+1))&lt;=1181,2,1))))&gt;0, IF(IF(INDEX(ERP資料!$G:$G, (MATCH(18, 輔助計算!$G$2:$G$801, 0)+1))&lt;100, IF(INDEX(ERP資料!$G:$G, (MATCH(18, 輔助計算!$G$2:$G$801, 0)+1))&lt;=31,3,IF(INDEX(ERP資料!$G:$G, (MATCH(18, 輔助計算!$G$2:$G$801, 0)+1))&lt;=46.5,2,1)), IF(INDEX(ERP資料!$G:$G, (MATCH(18, 輔助計算!$G$2:$G$801, 0)+1))&lt;=790,3,IF(INDEX(ERP資料!$G:$G, (MATCH(18, 輔助計算!$G$2:$G$801, 0)+1))&lt;=1181,2,1)))=1,TEXT(INDEX(ERP資料!$G:$G, (MATCH(18, 輔助計算!$G$2:$G$801, 0)+1)),"0.##"),IF(IF(INDEX(ERP資料!$G:$G, (MATCH(18, 輔助計算!$G$2:$G$801, 0)+1))&lt;100, IF(INDEX(ERP資料!$G:$G, (MATCH(18, 輔助計算!$G$2:$G$801, 0)+1))&lt;=31,3,IF(INDEX(ERP資料!$G:$G, (MATCH(18, 輔助計算!$G$2:$G$801, 0)+1))&lt;=46.5,2,1)), IF(INDEX(ERP資料!$G:$G, (MATCH(18, 輔助計算!$G$2:$G$801, 0)+1))&lt;=790,3,IF(INDEX(ERP資料!$G:$G, (MATCH(18, 輔助計算!$G$2:$G$801, 0)+1))&lt;=1181,2,1)))=2,TEXT(INDEX(ERP資料!$G:$G, (MATCH(18, 輔助計算!$G$2:$G$801, 0)+1)),"0.##")&amp;"+"&amp;TEXT(INDEX(ERP資料!$G:$G, (MATCH(18, 輔助計算!$G$2:$G$801, 0)+1)),"0.##"),TEXT(INDEX(ERP資料!$G:$G, (MATCH(18, 輔助計算!$G$2:$G$801, 0)+1)),"0.##")&amp;"+"&amp;TEXT(INDEX(ERP資料!$G:$G, (MATCH(18, 輔助計算!$G$2:$G$801, 0)+1)),"0.##")&amp;"+"&amp;TEXT(INDEX(ERP資料!$G:$G, (MATCH(18, 輔助計算!$G$2:$G$801, 0)+1)),"0.##")))&amp;"-"&amp;INT(INDEX(輔助計算!$D:$D, (MATCH(18, 輔助計算!$G$2:$G$801, 0)+1))/IF(INDEX(ERP資料!$G:$G, (MATCH(18, 輔助計算!$G$2:$G$801, 0)+1))&lt;100, IF(INDEX(ERP資料!$G:$G, (MATCH(18, 輔助計算!$G$2:$G$801, 0)+1))&lt;=31,3,IF(INDEX(ERP資料!$G:$G, (MATCH(18, 輔助計算!$G$2:$G$801, 0)+1))&lt;=46.5,2,1)), IF(INDEX(ERP資料!$G:$G, (MATCH(18, 輔助計算!$G$2:$G$801, 0)+1))&lt;=790,3,IF(INDEX(ERP資料!$G:$G, (MATCH(18, 輔助計算!$G$2:$G$801, 0)+1))&lt;=1181,2,1)))), "")&lt;&gt;"",IF(MOD(INDEX(輔助計算!$D:$D, (MATCH(18, 輔助計算!$G$2:$G$801, 0)+1)),IF(INDEX(ERP資料!$G:$G, (MATCH(18, 輔助計算!$G$2:$G$801, 0)+1))&lt;100, IF(INDEX(ERP資料!$G:$G, (MATCH(18, 輔助計算!$G$2:$G$801, 0)+1))&lt;=31,3,IF(INDEX(ERP資料!$G:$G, (MATCH(18, 輔助計算!$G$2:$G$801, 0)+1))&lt;=46.5,2,1)), IF(INDEX(ERP資料!$G:$G, (MATCH(18, 輔助計算!$G$2:$G$801, 0)+1))&lt;=790,3,IF(INDEX(ERP資料!$G:$G, (MATCH(18, 輔助計算!$G$2:$G$801, 0)+1))&lt;=1181,2,1))))=0,"",IF(MOD(INDEX(輔助計算!$D:$D, (MATCH(18, 輔助計算!$G$2:$G$801, 0)+1)),IF(INDEX(ERP資料!$G:$G, (MATCH(18, 輔助計算!$G$2:$G$801, 0)+1))&lt;100, IF(INDEX(ERP資料!$G:$G, (MATCH(18, 輔助計算!$G$2:$G$801, 0)+1))&lt;=31,3,IF(INDEX(ERP資料!$G:$G, (MATCH(18, 輔助計算!$G$2:$G$801, 0)+1))&lt;=46.5,2,1)), IF(INDEX(ERP資料!$G:$G, (MATCH(18, 輔助計算!$G$2:$G$801, 0)+1))&lt;=790,3,IF(INDEX(ERP資料!$G:$G, (MATCH(18, 輔助計算!$G$2:$G$801, 0)+1))&lt;=1181,2,1))))=0,"",IF(MOD(INDEX(輔助計算!$D:$D, (MATCH(18, 輔助計算!$G$2:$G$801, 0)+1)),IF(INDEX(ERP資料!$G:$G, (MATCH(18, 輔助計算!$G$2:$G$801, 0)+1))&lt;100, IF(INDEX(ERP資料!$G:$G, (MATCH(18, 輔助計算!$G$2:$G$801, 0)+1))&lt;=31,3,IF(INDEX(ERP資料!$G:$G, (MATCH(18, 輔助計算!$G$2:$G$801, 0)+1))&lt;=46.5,2,1)), IF(INDEX(ERP資料!$G:$G, (MATCH(18, 輔助計算!$G$2:$G$801, 0)+1))&lt;=790,3,IF(INDEX(ERP資料!$G:$G, (MATCH(18, 輔助計算!$G$2:$G$801, 0)+1))&lt;=1181,2,1))))=1,TEXT(INDEX(ERP資料!$G:$G, (MATCH(18, 輔助計算!$G$2:$G$801, 0)+1)),"0.##"),IF(MOD(INDEX(輔助計算!$D:$D, (MATCH(18, 輔助計算!$G$2:$G$801, 0)+1)),IF(INDEX(ERP資料!$G:$G, (MATCH(18, 輔助計算!$G$2:$G$801, 0)+1))&lt;100, IF(INDEX(ERP資料!$G:$G, (MATCH(18, 輔助計算!$G$2:$G$801, 0)+1))&lt;=31,3,IF(INDEX(ERP資料!$G:$G, (MATCH(18, 輔助計算!$G$2:$G$801, 0)+1))&lt;=46.5,2,1)), IF(INDEX(ERP資料!$G:$G, (MATCH(18, 輔助計算!$G$2:$G$801, 0)+1))&lt;=790,3,IF(INDEX(ERP資料!$G:$G, (MATCH(18, 輔助計算!$G$2:$G$801, 0)+1))&lt;=1181,2,1))))=2,TEXT(INDEX(ERP資料!$G:$G, (MATCH(18, 輔助計算!$G$2:$G$801, 0)+1)),"0.##")&amp;"+"&amp;TEXT(INDEX(ERP資料!$G:$G, (MATCH(18, 輔助計算!$G$2:$G$801, 0)+1)),"0.##"),TEXT(INDEX(ERP資料!$G:$G, (MATCH(18, 輔助計算!$G$2:$G$801, 0)+1)),"0.##")&amp;"+"&amp;TEXT(INDEX(ERP資料!$G:$G, (MATCH(18, 輔助計算!$G$2:$G$801, 0)+1)),"0.##")&amp;"+"&amp;TEXT(INDEX(ERP資料!$G:$G, (MATCH(18, 輔助計算!$G$2:$G$801, 0)+1)),"0.##"))))&amp;"-1")&lt;&gt;""),"  ","")&amp;IF(MOD(INDEX(輔助計算!$D:$D, (MATCH(18, 輔助計算!$G$2:$G$801, 0)+1)),IF(INDEX(ERP資料!$G:$G, (MATCH(18, 輔助計算!$G$2:$G$801, 0)+1))&lt;100, IF(INDEX(ERP資料!$G:$G, (MATCH(18, 輔助計算!$G$2:$G$801, 0)+1))&lt;=31,3,IF(INDEX(ERP資料!$G:$G, (MATCH(18, 輔助計算!$G$2:$G$801, 0)+1))&lt;=46.5,2,1)), IF(INDEX(ERP資料!$G:$G, (MATCH(18, 輔助計算!$G$2:$G$801, 0)+1))&lt;=790,3,IF(INDEX(ERP資料!$G:$G, (MATCH(18, 輔助計算!$G$2:$G$801, 0)+1))&lt;=1181,2,1))))=0,"",IF(MOD(INDEX(輔助計算!$D:$D, (MATCH(18, 輔助計算!$G$2:$G$801, 0)+1)),IF(INDEX(ERP資料!$G:$G, (MATCH(18, 輔助計算!$G$2:$G$801, 0)+1))&lt;100, IF(INDEX(ERP資料!$G:$G, (MATCH(18, 輔助計算!$G$2:$G$801, 0)+1))&lt;=31,3,IF(INDEX(ERP資料!$G:$G, (MATCH(18, 輔助計算!$G$2:$G$801, 0)+1))&lt;=46.5,2,1)), IF(INDEX(ERP資料!$G:$G, (MATCH(18, 輔助計算!$G$2:$G$801, 0)+1))&lt;=790,3,IF(INDEX(ERP資料!$G:$G, (MATCH(18, 輔助計算!$G$2:$G$801, 0)+1))&lt;=1181,2,1))))=0,"",IF(MOD(INDEX(輔助計算!$D:$D, (MATCH(18, 輔助計算!$G$2:$G$801, 0)+1)),IF(INDEX(ERP資料!$G:$G, (MATCH(18, 輔助計算!$G$2:$G$801, 0)+1))&lt;100, IF(INDEX(ERP資料!$G:$G, (MATCH(18, 輔助計算!$G$2:$G$801, 0)+1))&lt;=31,3,IF(INDEX(ERP資料!$G:$G, (MATCH(18, 輔助計算!$G$2:$G$801, 0)+1))&lt;=46.5,2,1)), IF(INDEX(ERP資料!$G:$G, (MATCH(18, 輔助計算!$G$2:$G$801, 0)+1))&lt;=790,3,IF(INDEX(ERP資料!$G:$G, (MATCH(18, 輔助計算!$G$2:$G$801, 0)+1))&lt;=1181,2,1))))=1,TEXT(INDEX(ERP資料!$G:$G, (MATCH(18, 輔助計算!$G$2:$G$801, 0)+1)),"0.##"),IF(MOD(INDEX(輔助計算!$D:$D, (MATCH(18, 輔助計算!$G$2:$G$801, 0)+1)),IF(INDEX(ERP資料!$G:$G, (MATCH(18, 輔助計算!$G$2:$G$801, 0)+1))&lt;100, IF(INDEX(ERP資料!$G:$G, (MATCH(18, 輔助計算!$G$2:$G$801, 0)+1))&lt;=31,3,IF(INDEX(ERP資料!$G:$G, (MATCH(18, 輔助計算!$G$2:$G$801, 0)+1))&lt;=46.5,2,1)), IF(INDEX(ERP資料!$G:$G, (MATCH(18, 輔助計算!$G$2:$G$801, 0)+1))&lt;=790,3,IF(INDEX(ERP資料!$G:$G, (MATCH(18, 輔助計算!$G$2:$G$801, 0)+1))&lt;=1181,2,1))))=2,TEXT(INDEX(ERP資料!$G:$G, (MATCH(18, 輔助計算!$G$2:$G$801, 0)+1)),"0.##")&amp;"+"&amp;TEXT(INDEX(ERP資料!$G:$G, (MATCH(18, 輔助計算!$G$2:$G$801, 0)+1)),"0.##"),TEXT(INDEX(ERP資料!$G:$G, (MATCH(18, 輔助計算!$G$2:$G$801, 0)+1)),"0.##")&amp;"+"&amp;TEXT(INDEX(ERP資料!$G:$G, (MATCH(18, 輔助計算!$G$2:$G$801, 0)+1)),"0.##")&amp;"+"&amp;TEXT(INDEX(ERP資料!$G:$G, (MATCH(18, 輔助計算!$G$2:$G$801, 0)+1)),"0.##"))))&amp;"-1")), ""), "")</f>
        <v/>
      </c>
      <c r="K19" s="16" t="n"/>
      <c r="L19" s="14">
        <f>IFERROR(IF(AND(IFERROR(INDEX(ERP資料!$A:$A, (MATCH(18, 輔助計算!$G$2:$G$801, 0)+1)), "")&lt;&gt;"", IFERROR(INDEX(ERP資料!$A:$A, (MATCH(18, 輔助計算!$G$2:$G$801, 0)+1)), "")&lt;&gt;IFERROR(INDEX(ERP資料!$A:$A, MATCH(17, 輔助計算!$G$2:$G$801, 0)+1), "")), INDEX(ERP資料!$B:$B, (MATCH(18, 輔助計算!$G$2:$G$801, 0)+1)), ""), "")</f>
        <v/>
      </c>
      <c r="M19" s="17" t="n"/>
    </row>
    <row r="20">
      <c r="A20" s="10">
        <f>IFERROR(IF(AND(IFERROR(INDEX(ERP資料!$A:$A, (MATCH(19, 輔助計算!$G$2:$G$801, 0)+1)), "")&lt;&gt;"", IFERROR(INDEX(ERP資料!$A:$A, (MATCH(19, 輔助計算!$G$2:$G$801, 0)+1)), "")&lt;&gt;IFERROR(INDEX(ERP資料!$A:$A, MATCH(18, 輔助計算!$G$2:$G$801, 0)+1), "")), IFERROR(INDEX(ERP資料!$A:$A, (MATCH(19, 輔助計算!$G$2:$G$801, 0)+1)), ""), ""), "")</f>
        <v/>
      </c>
      <c r="B20" s="10">
        <f>IFERROR(IF(AND(IFERROR(INDEX(ERP資料!$A:$A, (MATCH(19, 輔助計算!$G$2:$G$801, 0)+1)), "")&lt;&gt;"", IFERROR(INDEX(ERP資料!$A:$A, (MATCH(19, 輔助計算!$G$2:$G$801, 0)+1)), "")&lt;&gt;IFERROR(INDEX(ERP資料!$A:$A, MATCH(18, 輔助計算!$G$2:$G$801, 0)+1), "")), INDEX(ERP資料!$S:$S, (MATCH(19, 輔助計算!$G$2:$G$801, 0)+1)), ""), "")</f>
        <v/>
      </c>
      <c r="C20" s="19">
        <f>IFERROR(IF(AND(IFERROR(INDEX(ERP資料!$A:$A, (MATCH(19, 輔助計算!$G$2:$G$801, 0)+1)), "")&lt;&gt;"", IFERROR(INDEX(ERP資料!$A:$A, (MATCH(19, 輔助計算!$G$2:$G$801, 0)+1)), "")&lt;&gt;IFERROR(INDEX(ERP資料!$A:$A, MATCH(18, 輔助計算!$G$2:$G$801, 0)+1), "")), IFERROR(VLOOKUP(LEFT(INDEX(ERP資料!$S:$S, (MATCH(19, 輔助計算!$G$2:$G$801, 0)+1)), 4), 紙管對照表!$A:$C, 3, FALSE), ""), ""), "")</f>
        <v/>
      </c>
      <c r="D20" s="16" t="n"/>
      <c r="E20" s="10">
        <f>IFERROR(IF(INDEX(ERP資料!$H:$H, (MATCH(19, 輔助計算!$G$2:$G$801, 0)+1))="","",INDEX(ERP資料!$H:$H, (MATCH(19, 輔助計算!$G$2:$G$801, 0)+1))), "")</f>
        <v/>
      </c>
      <c r="F20" s="10">
        <f>IFERROR(IF(INDEX(ERP資料!$E:$E, (MATCH(19, 輔助計算!$G$2:$G$801, 0)+1))="","",TRIM(INDEX(ERP資料!$E:$E, (MATCH(19, 輔助計算!$G$2:$G$801, 0)+1)))), "")</f>
        <v/>
      </c>
      <c r="G20" s="10">
        <f>IFERROR(IF(INDEX(ERP資料!$F:$F, (MATCH(19, 輔助計算!$G$2:$G$801, 0)+1))="","",INDEX(ERP資料!$F:$F, (MATCH(19, 輔助計算!$G$2:$G$801, 0)+1))), "")</f>
        <v/>
      </c>
      <c r="H20" s="10">
        <f>IFERROR(IF(INDEX(ERP資料!$G:$G, (MATCH(19, 輔助計算!$G$2:$G$801, 0)+1))="","",INDEX(ERP資料!$G:$G, (MATCH(19, 輔助計算!$G$2:$G$801, 0)+1))), "")</f>
        <v/>
      </c>
      <c r="I20" s="15">
        <f>IFERROR(INDEX(輔助計算!$D:$D, (MATCH(19, 輔助計算!$G$2:$G$801, 0)+1)), "")</f>
        <v/>
      </c>
      <c r="J20" s="15">
        <f>IFERROR(IF(AND(INDEX(輔助計算!$D:$D, (MATCH(19, 輔助計算!$G$2:$G$801, 0)+1))&lt;&gt;"", INDEX(ERP資料!$G:$G, (MATCH(19, 輔助計算!$G$2:$G$801, 0)+1))&lt;&gt;""), TRIM(IF(INT(INDEX(輔助計算!$D:$D, (MATCH(19, 輔助計算!$G$2:$G$801, 0)+1))/IF(INDEX(ERP資料!$G:$G, (MATCH(19, 輔助計算!$G$2:$G$801, 0)+1))&lt;100, IF(INDEX(ERP資料!$G:$G, (MATCH(19, 輔助計算!$G$2:$G$801, 0)+1))&lt;=31,3,IF(INDEX(ERP資料!$G:$G, (MATCH(19, 輔助計算!$G$2:$G$801, 0)+1))&lt;=46.5,2,1)), IF(INDEX(ERP資料!$G:$G, (MATCH(19, 輔助計算!$G$2:$G$801, 0)+1))&lt;=790,3,IF(INDEX(ERP資料!$G:$G, (MATCH(19, 輔助計算!$G$2:$G$801, 0)+1))&lt;=1181,2,1))))&gt;0, IF(IF(INDEX(ERP資料!$G:$G, (MATCH(19, 輔助計算!$G$2:$G$801, 0)+1))&lt;100, IF(INDEX(ERP資料!$G:$G, (MATCH(19, 輔助計算!$G$2:$G$801, 0)+1))&lt;=31,3,IF(INDEX(ERP資料!$G:$G, (MATCH(19, 輔助計算!$G$2:$G$801, 0)+1))&lt;=46.5,2,1)), IF(INDEX(ERP資料!$G:$G, (MATCH(19, 輔助計算!$G$2:$G$801, 0)+1))&lt;=790,3,IF(INDEX(ERP資料!$G:$G, (MATCH(19, 輔助計算!$G$2:$G$801, 0)+1))&lt;=1181,2,1)))=1,TEXT(INDEX(ERP資料!$G:$G, (MATCH(19, 輔助計算!$G$2:$G$801, 0)+1)),"0.##"),IF(IF(INDEX(ERP資料!$G:$G, (MATCH(19, 輔助計算!$G$2:$G$801, 0)+1))&lt;100, IF(INDEX(ERP資料!$G:$G, (MATCH(19, 輔助計算!$G$2:$G$801, 0)+1))&lt;=31,3,IF(INDEX(ERP資料!$G:$G, (MATCH(19, 輔助計算!$G$2:$G$801, 0)+1))&lt;=46.5,2,1)), IF(INDEX(ERP資料!$G:$G, (MATCH(19, 輔助計算!$G$2:$G$801, 0)+1))&lt;=790,3,IF(INDEX(ERP資料!$G:$G, (MATCH(19, 輔助計算!$G$2:$G$801, 0)+1))&lt;=1181,2,1)))=2,TEXT(INDEX(ERP資料!$G:$G, (MATCH(19, 輔助計算!$G$2:$G$801, 0)+1)),"0.##")&amp;"+"&amp;TEXT(INDEX(ERP資料!$G:$G, (MATCH(19, 輔助計算!$G$2:$G$801, 0)+1)),"0.##"),TEXT(INDEX(ERP資料!$G:$G, (MATCH(19, 輔助計算!$G$2:$G$801, 0)+1)),"0.##")&amp;"+"&amp;TEXT(INDEX(ERP資料!$G:$G, (MATCH(19, 輔助計算!$G$2:$G$801, 0)+1)),"0.##")&amp;"+"&amp;TEXT(INDEX(ERP資料!$G:$G, (MATCH(19, 輔助計算!$G$2:$G$801, 0)+1)),"0.##")))&amp;"-"&amp;INT(INDEX(輔助計算!$D:$D, (MATCH(19, 輔助計算!$G$2:$G$801, 0)+1))/IF(INDEX(ERP資料!$G:$G, (MATCH(19, 輔助計算!$G$2:$G$801, 0)+1))&lt;100, IF(INDEX(ERP資料!$G:$G, (MATCH(19, 輔助計算!$G$2:$G$801, 0)+1))&lt;=31,3,IF(INDEX(ERP資料!$G:$G, (MATCH(19, 輔助計算!$G$2:$G$801, 0)+1))&lt;=46.5,2,1)), IF(INDEX(ERP資料!$G:$G, (MATCH(19, 輔助計算!$G$2:$G$801, 0)+1))&lt;=790,3,IF(INDEX(ERP資料!$G:$G, (MATCH(19, 輔助計算!$G$2:$G$801, 0)+1))&lt;=1181,2,1)))), "")&amp;IF(AND(IF(INT(INDEX(輔助計算!$D:$D, (MATCH(19, 輔助計算!$G$2:$G$801, 0)+1))/IF(INDEX(ERP資料!$G:$G, (MATCH(19, 輔助計算!$G$2:$G$801, 0)+1))&lt;100, IF(INDEX(ERP資料!$G:$G, (MATCH(19, 輔助計算!$G$2:$G$801, 0)+1))&lt;=31,3,IF(INDEX(ERP資料!$G:$G, (MATCH(19, 輔助計算!$G$2:$G$801, 0)+1))&lt;=46.5,2,1)), IF(INDEX(ERP資料!$G:$G, (MATCH(19, 輔助計算!$G$2:$G$801, 0)+1))&lt;=790,3,IF(INDEX(ERP資料!$G:$G, (MATCH(19, 輔助計算!$G$2:$G$801, 0)+1))&lt;=1181,2,1))))&gt;0, IF(IF(INDEX(ERP資料!$G:$G, (MATCH(19, 輔助計算!$G$2:$G$801, 0)+1))&lt;100, IF(INDEX(ERP資料!$G:$G, (MATCH(19, 輔助計算!$G$2:$G$801, 0)+1))&lt;=31,3,IF(INDEX(ERP資料!$G:$G, (MATCH(19, 輔助計算!$G$2:$G$801, 0)+1))&lt;=46.5,2,1)), IF(INDEX(ERP資料!$G:$G, (MATCH(19, 輔助計算!$G$2:$G$801, 0)+1))&lt;=790,3,IF(INDEX(ERP資料!$G:$G, (MATCH(19, 輔助計算!$G$2:$G$801, 0)+1))&lt;=1181,2,1)))=1,TEXT(INDEX(ERP資料!$G:$G, (MATCH(19, 輔助計算!$G$2:$G$801, 0)+1)),"0.##"),IF(IF(INDEX(ERP資料!$G:$G, (MATCH(19, 輔助計算!$G$2:$G$801, 0)+1))&lt;100, IF(INDEX(ERP資料!$G:$G, (MATCH(19, 輔助計算!$G$2:$G$801, 0)+1))&lt;=31,3,IF(INDEX(ERP資料!$G:$G, (MATCH(19, 輔助計算!$G$2:$G$801, 0)+1))&lt;=46.5,2,1)), IF(INDEX(ERP資料!$G:$G, (MATCH(19, 輔助計算!$G$2:$G$801, 0)+1))&lt;=790,3,IF(INDEX(ERP資料!$G:$G, (MATCH(19, 輔助計算!$G$2:$G$801, 0)+1))&lt;=1181,2,1)))=2,TEXT(INDEX(ERP資料!$G:$G, (MATCH(19, 輔助計算!$G$2:$G$801, 0)+1)),"0.##")&amp;"+"&amp;TEXT(INDEX(ERP資料!$G:$G, (MATCH(19, 輔助計算!$G$2:$G$801, 0)+1)),"0.##"),TEXT(INDEX(ERP資料!$G:$G, (MATCH(19, 輔助計算!$G$2:$G$801, 0)+1)),"0.##")&amp;"+"&amp;TEXT(INDEX(ERP資料!$G:$G, (MATCH(19, 輔助計算!$G$2:$G$801, 0)+1)),"0.##")&amp;"+"&amp;TEXT(INDEX(ERP資料!$G:$G, (MATCH(19, 輔助計算!$G$2:$G$801, 0)+1)),"0.##")))&amp;"-"&amp;INT(INDEX(輔助計算!$D:$D, (MATCH(19, 輔助計算!$G$2:$G$801, 0)+1))/IF(INDEX(ERP資料!$G:$G, (MATCH(19, 輔助計算!$G$2:$G$801, 0)+1))&lt;100, IF(INDEX(ERP資料!$G:$G, (MATCH(19, 輔助計算!$G$2:$G$801, 0)+1))&lt;=31,3,IF(INDEX(ERP資料!$G:$G, (MATCH(19, 輔助計算!$G$2:$G$801, 0)+1))&lt;=46.5,2,1)), IF(INDEX(ERP資料!$G:$G, (MATCH(19, 輔助計算!$G$2:$G$801, 0)+1))&lt;=790,3,IF(INDEX(ERP資料!$G:$G, (MATCH(19, 輔助計算!$G$2:$G$801, 0)+1))&lt;=1181,2,1)))), "")&lt;&gt;"",IF(MOD(INDEX(輔助計算!$D:$D, (MATCH(19, 輔助計算!$G$2:$G$801, 0)+1)),IF(INDEX(ERP資料!$G:$G, (MATCH(19, 輔助計算!$G$2:$G$801, 0)+1))&lt;100, IF(INDEX(ERP資料!$G:$G, (MATCH(19, 輔助計算!$G$2:$G$801, 0)+1))&lt;=31,3,IF(INDEX(ERP資料!$G:$G, (MATCH(19, 輔助計算!$G$2:$G$801, 0)+1))&lt;=46.5,2,1)), IF(INDEX(ERP資料!$G:$G, (MATCH(19, 輔助計算!$G$2:$G$801, 0)+1))&lt;=790,3,IF(INDEX(ERP資料!$G:$G, (MATCH(19, 輔助計算!$G$2:$G$801, 0)+1))&lt;=1181,2,1))))=0,"",IF(MOD(INDEX(輔助計算!$D:$D, (MATCH(19, 輔助計算!$G$2:$G$801, 0)+1)),IF(INDEX(ERP資料!$G:$G, (MATCH(19, 輔助計算!$G$2:$G$801, 0)+1))&lt;100, IF(INDEX(ERP資料!$G:$G, (MATCH(19, 輔助計算!$G$2:$G$801, 0)+1))&lt;=31,3,IF(INDEX(ERP資料!$G:$G, (MATCH(19, 輔助計算!$G$2:$G$801, 0)+1))&lt;=46.5,2,1)), IF(INDEX(ERP資料!$G:$G, (MATCH(19, 輔助計算!$G$2:$G$801, 0)+1))&lt;=790,3,IF(INDEX(ERP資料!$G:$G, (MATCH(19, 輔助計算!$G$2:$G$801, 0)+1))&lt;=1181,2,1))))=0,"",IF(MOD(INDEX(輔助計算!$D:$D, (MATCH(19, 輔助計算!$G$2:$G$801, 0)+1)),IF(INDEX(ERP資料!$G:$G, (MATCH(19, 輔助計算!$G$2:$G$801, 0)+1))&lt;100, IF(INDEX(ERP資料!$G:$G, (MATCH(19, 輔助計算!$G$2:$G$801, 0)+1))&lt;=31,3,IF(INDEX(ERP資料!$G:$G, (MATCH(19, 輔助計算!$G$2:$G$801, 0)+1))&lt;=46.5,2,1)), IF(INDEX(ERP資料!$G:$G, (MATCH(19, 輔助計算!$G$2:$G$801, 0)+1))&lt;=790,3,IF(INDEX(ERP資料!$G:$G, (MATCH(19, 輔助計算!$G$2:$G$801, 0)+1))&lt;=1181,2,1))))=1,TEXT(INDEX(ERP資料!$G:$G, (MATCH(19, 輔助計算!$G$2:$G$801, 0)+1)),"0.##"),IF(MOD(INDEX(輔助計算!$D:$D, (MATCH(19, 輔助計算!$G$2:$G$801, 0)+1)),IF(INDEX(ERP資料!$G:$G, (MATCH(19, 輔助計算!$G$2:$G$801, 0)+1))&lt;100, IF(INDEX(ERP資料!$G:$G, (MATCH(19, 輔助計算!$G$2:$G$801, 0)+1))&lt;=31,3,IF(INDEX(ERP資料!$G:$G, (MATCH(19, 輔助計算!$G$2:$G$801, 0)+1))&lt;=46.5,2,1)), IF(INDEX(ERP資料!$G:$G, (MATCH(19, 輔助計算!$G$2:$G$801, 0)+1))&lt;=790,3,IF(INDEX(ERP資料!$G:$G, (MATCH(19, 輔助計算!$G$2:$G$801, 0)+1))&lt;=1181,2,1))))=2,TEXT(INDEX(ERP資料!$G:$G, (MATCH(19, 輔助計算!$G$2:$G$801, 0)+1)),"0.##")&amp;"+"&amp;TEXT(INDEX(ERP資料!$G:$G, (MATCH(19, 輔助計算!$G$2:$G$801, 0)+1)),"0.##"),TEXT(INDEX(ERP資料!$G:$G, (MATCH(19, 輔助計算!$G$2:$G$801, 0)+1)),"0.##")&amp;"+"&amp;TEXT(INDEX(ERP資料!$G:$G, (MATCH(19, 輔助計算!$G$2:$G$801, 0)+1)),"0.##")&amp;"+"&amp;TEXT(INDEX(ERP資料!$G:$G, (MATCH(19, 輔助計算!$G$2:$G$801, 0)+1)),"0.##"))))&amp;"-1")&lt;&gt;""),"  ","")&amp;IF(MOD(INDEX(輔助計算!$D:$D, (MATCH(19, 輔助計算!$G$2:$G$801, 0)+1)),IF(INDEX(ERP資料!$G:$G, (MATCH(19, 輔助計算!$G$2:$G$801, 0)+1))&lt;100, IF(INDEX(ERP資料!$G:$G, (MATCH(19, 輔助計算!$G$2:$G$801, 0)+1))&lt;=31,3,IF(INDEX(ERP資料!$G:$G, (MATCH(19, 輔助計算!$G$2:$G$801, 0)+1))&lt;=46.5,2,1)), IF(INDEX(ERP資料!$G:$G, (MATCH(19, 輔助計算!$G$2:$G$801, 0)+1))&lt;=790,3,IF(INDEX(ERP資料!$G:$G, (MATCH(19, 輔助計算!$G$2:$G$801, 0)+1))&lt;=1181,2,1))))=0,"",IF(MOD(INDEX(輔助計算!$D:$D, (MATCH(19, 輔助計算!$G$2:$G$801, 0)+1)),IF(INDEX(ERP資料!$G:$G, (MATCH(19, 輔助計算!$G$2:$G$801, 0)+1))&lt;100, IF(INDEX(ERP資料!$G:$G, (MATCH(19, 輔助計算!$G$2:$G$801, 0)+1))&lt;=31,3,IF(INDEX(ERP資料!$G:$G, (MATCH(19, 輔助計算!$G$2:$G$801, 0)+1))&lt;=46.5,2,1)), IF(INDEX(ERP資料!$G:$G, (MATCH(19, 輔助計算!$G$2:$G$801, 0)+1))&lt;=790,3,IF(INDEX(ERP資料!$G:$G, (MATCH(19, 輔助計算!$G$2:$G$801, 0)+1))&lt;=1181,2,1))))=0,"",IF(MOD(INDEX(輔助計算!$D:$D, (MATCH(19, 輔助計算!$G$2:$G$801, 0)+1)),IF(INDEX(ERP資料!$G:$G, (MATCH(19, 輔助計算!$G$2:$G$801, 0)+1))&lt;100, IF(INDEX(ERP資料!$G:$G, (MATCH(19, 輔助計算!$G$2:$G$801, 0)+1))&lt;=31,3,IF(INDEX(ERP資料!$G:$G, (MATCH(19, 輔助計算!$G$2:$G$801, 0)+1))&lt;=46.5,2,1)), IF(INDEX(ERP資料!$G:$G, (MATCH(19, 輔助計算!$G$2:$G$801, 0)+1))&lt;=790,3,IF(INDEX(ERP資料!$G:$G, (MATCH(19, 輔助計算!$G$2:$G$801, 0)+1))&lt;=1181,2,1))))=1,TEXT(INDEX(ERP資料!$G:$G, (MATCH(19, 輔助計算!$G$2:$G$801, 0)+1)),"0.##"),IF(MOD(INDEX(輔助計算!$D:$D, (MATCH(19, 輔助計算!$G$2:$G$801, 0)+1)),IF(INDEX(ERP資料!$G:$G, (MATCH(19, 輔助計算!$G$2:$G$801, 0)+1))&lt;100, IF(INDEX(ERP資料!$G:$G, (MATCH(19, 輔助計算!$G$2:$G$801, 0)+1))&lt;=31,3,IF(INDEX(ERP資料!$G:$G, (MATCH(19, 輔助計算!$G$2:$G$801, 0)+1))&lt;=46.5,2,1)), IF(INDEX(ERP資料!$G:$G, (MATCH(19, 輔助計算!$G$2:$G$801, 0)+1))&lt;=790,3,IF(INDEX(ERP資料!$G:$G, (MATCH(19, 輔助計算!$G$2:$G$801, 0)+1))&lt;=1181,2,1))))=2,TEXT(INDEX(ERP資料!$G:$G, (MATCH(19, 輔助計算!$G$2:$G$801, 0)+1)),"0.##")&amp;"+"&amp;TEXT(INDEX(ERP資料!$G:$G, (MATCH(19, 輔助計算!$G$2:$G$801, 0)+1)),"0.##"),TEXT(INDEX(ERP資料!$G:$G, (MATCH(19, 輔助計算!$G$2:$G$801, 0)+1)),"0.##")&amp;"+"&amp;TEXT(INDEX(ERP資料!$G:$G, (MATCH(19, 輔助計算!$G$2:$G$801, 0)+1)),"0.##")&amp;"+"&amp;TEXT(INDEX(ERP資料!$G:$G, (MATCH(19, 輔助計算!$G$2:$G$801, 0)+1)),"0.##"))))&amp;"-1")), ""), "")</f>
        <v/>
      </c>
      <c r="K20" s="16" t="n"/>
      <c r="L20" s="14">
        <f>IFERROR(IF(AND(IFERROR(INDEX(ERP資料!$A:$A, (MATCH(19, 輔助計算!$G$2:$G$801, 0)+1)), "")&lt;&gt;"", IFERROR(INDEX(ERP資料!$A:$A, (MATCH(19, 輔助計算!$G$2:$G$801, 0)+1)), "")&lt;&gt;IFERROR(INDEX(ERP資料!$A:$A, MATCH(18, 輔助計算!$G$2:$G$801, 0)+1), "")), INDEX(ERP資料!$B:$B, (MATCH(19, 輔助計算!$G$2:$G$801, 0)+1)), ""), "")</f>
        <v/>
      </c>
      <c r="M20" s="17" t="n"/>
    </row>
    <row r="21">
      <c r="A21" s="10">
        <f>IFERROR(IF(AND(IFERROR(INDEX(ERP資料!$A:$A, (MATCH(20, 輔助計算!$G$2:$G$801, 0)+1)), "")&lt;&gt;"", IFERROR(INDEX(ERP資料!$A:$A, (MATCH(20, 輔助計算!$G$2:$G$801, 0)+1)), "")&lt;&gt;IFERROR(INDEX(ERP資料!$A:$A, MATCH(19, 輔助計算!$G$2:$G$801, 0)+1), "")), IFERROR(INDEX(ERP資料!$A:$A, (MATCH(20, 輔助計算!$G$2:$G$801, 0)+1)), ""), ""), "")</f>
        <v/>
      </c>
      <c r="B21" s="10">
        <f>IFERROR(IF(AND(IFERROR(INDEX(ERP資料!$A:$A, (MATCH(20, 輔助計算!$G$2:$G$801, 0)+1)), "")&lt;&gt;"", IFERROR(INDEX(ERP資料!$A:$A, (MATCH(20, 輔助計算!$G$2:$G$801, 0)+1)), "")&lt;&gt;IFERROR(INDEX(ERP資料!$A:$A, MATCH(19, 輔助計算!$G$2:$G$801, 0)+1), "")), INDEX(ERP資料!$S:$S, (MATCH(20, 輔助計算!$G$2:$G$801, 0)+1)), ""), "")</f>
        <v/>
      </c>
      <c r="C21" s="19">
        <f>IFERROR(IF(AND(IFERROR(INDEX(ERP資料!$A:$A, (MATCH(20, 輔助計算!$G$2:$G$801, 0)+1)), "")&lt;&gt;"", IFERROR(INDEX(ERP資料!$A:$A, (MATCH(20, 輔助計算!$G$2:$G$801, 0)+1)), "")&lt;&gt;IFERROR(INDEX(ERP資料!$A:$A, MATCH(19, 輔助計算!$G$2:$G$801, 0)+1), "")), IFERROR(VLOOKUP(LEFT(INDEX(ERP資料!$S:$S, (MATCH(20, 輔助計算!$G$2:$G$801, 0)+1)), 4), 紙管對照表!$A:$C, 3, FALSE), ""), ""), "")</f>
        <v/>
      </c>
      <c r="D21" s="16" t="n"/>
      <c r="E21" s="10">
        <f>IFERROR(IF(INDEX(ERP資料!$H:$H, (MATCH(20, 輔助計算!$G$2:$G$801, 0)+1))="","",INDEX(ERP資料!$H:$H, (MATCH(20, 輔助計算!$G$2:$G$801, 0)+1))), "")</f>
        <v/>
      </c>
      <c r="F21" s="10">
        <f>IFERROR(IF(INDEX(ERP資料!$E:$E, (MATCH(20, 輔助計算!$G$2:$G$801, 0)+1))="","",TRIM(INDEX(ERP資料!$E:$E, (MATCH(20, 輔助計算!$G$2:$G$801, 0)+1)))), "")</f>
        <v/>
      </c>
      <c r="G21" s="10">
        <f>IFERROR(IF(INDEX(ERP資料!$F:$F, (MATCH(20, 輔助計算!$G$2:$G$801, 0)+1))="","",INDEX(ERP資料!$F:$F, (MATCH(20, 輔助計算!$G$2:$G$801, 0)+1))), "")</f>
        <v/>
      </c>
      <c r="H21" s="10">
        <f>IFERROR(IF(INDEX(ERP資料!$G:$G, (MATCH(20, 輔助計算!$G$2:$G$801, 0)+1))="","",INDEX(ERP資料!$G:$G, (MATCH(20, 輔助計算!$G$2:$G$801, 0)+1))), "")</f>
        <v/>
      </c>
      <c r="I21" s="15">
        <f>IFERROR(INDEX(輔助計算!$D:$D, (MATCH(20, 輔助計算!$G$2:$G$801, 0)+1)), "")</f>
        <v/>
      </c>
      <c r="J21" s="15">
        <f>IFERROR(IF(AND(INDEX(輔助計算!$D:$D, (MATCH(20, 輔助計算!$G$2:$G$801, 0)+1))&lt;&gt;"", INDEX(ERP資料!$G:$G, (MATCH(20, 輔助計算!$G$2:$G$801, 0)+1))&lt;&gt;""), TRIM(IF(INT(INDEX(輔助計算!$D:$D, (MATCH(20, 輔助計算!$G$2:$G$801, 0)+1))/IF(INDEX(ERP資料!$G:$G, (MATCH(20, 輔助計算!$G$2:$G$801, 0)+1))&lt;100, IF(INDEX(ERP資料!$G:$G, (MATCH(20, 輔助計算!$G$2:$G$801, 0)+1))&lt;=31,3,IF(INDEX(ERP資料!$G:$G, (MATCH(20, 輔助計算!$G$2:$G$801, 0)+1))&lt;=46.5,2,1)), IF(INDEX(ERP資料!$G:$G, (MATCH(20, 輔助計算!$G$2:$G$801, 0)+1))&lt;=790,3,IF(INDEX(ERP資料!$G:$G, (MATCH(20, 輔助計算!$G$2:$G$801, 0)+1))&lt;=1181,2,1))))&gt;0, IF(IF(INDEX(ERP資料!$G:$G, (MATCH(20, 輔助計算!$G$2:$G$801, 0)+1))&lt;100, IF(INDEX(ERP資料!$G:$G, (MATCH(20, 輔助計算!$G$2:$G$801, 0)+1))&lt;=31,3,IF(INDEX(ERP資料!$G:$G, (MATCH(20, 輔助計算!$G$2:$G$801, 0)+1))&lt;=46.5,2,1)), IF(INDEX(ERP資料!$G:$G, (MATCH(20, 輔助計算!$G$2:$G$801, 0)+1))&lt;=790,3,IF(INDEX(ERP資料!$G:$G, (MATCH(20, 輔助計算!$G$2:$G$801, 0)+1))&lt;=1181,2,1)))=1,TEXT(INDEX(ERP資料!$G:$G, (MATCH(20, 輔助計算!$G$2:$G$801, 0)+1)),"0.##"),IF(IF(INDEX(ERP資料!$G:$G, (MATCH(20, 輔助計算!$G$2:$G$801, 0)+1))&lt;100, IF(INDEX(ERP資料!$G:$G, (MATCH(20, 輔助計算!$G$2:$G$801, 0)+1))&lt;=31,3,IF(INDEX(ERP資料!$G:$G, (MATCH(20, 輔助計算!$G$2:$G$801, 0)+1))&lt;=46.5,2,1)), IF(INDEX(ERP資料!$G:$G, (MATCH(20, 輔助計算!$G$2:$G$801, 0)+1))&lt;=790,3,IF(INDEX(ERP資料!$G:$G, (MATCH(20, 輔助計算!$G$2:$G$801, 0)+1))&lt;=1181,2,1)))=2,TEXT(INDEX(ERP資料!$G:$G, (MATCH(20, 輔助計算!$G$2:$G$801, 0)+1)),"0.##")&amp;"+"&amp;TEXT(INDEX(ERP資料!$G:$G, (MATCH(20, 輔助計算!$G$2:$G$801, 0)+1)),"0.##"),TEXT(INDEX(ERP資料!$G:$G, (MATCH(20, 輔助計算!$G$2:$G$801, 0)+1)),"0.##")&amp;"+"&amp;TEXT(INDEX(ERP資料!$G:$G, (MATCH(20, 輔助計算!$G$2:$G$801, 0)+1)),"0.##")&amp;"+"&amp;TEXT(INDEX(ERP資料!$G:$G, (MATCH(20, 輔助計算!$G$2:$G$801, 0)+1)),"0.##")))&amp;"-"&amp;INT(INDEX(輔助計算!$D:$D, (MATCH(20, 輔助計算!$G$2:$G$801, 0)+1))/IF(INDEX(ERP資料!$G:$G, (MATCH(20, 輔助計算!$G$2:$G$801, 0)+1))&lt;100, IF(INDEX(ERP資料!$G:$G, (MATCH(20, 輔助計算!$G$2:$G$801, 0)+1))&lt;=31,3,IF(INDEX(ERP資料!$G:$G, (MATCH(20, 輔助計算!$G$2:$G$801, 0)+1))&lt;=46.5,2,1)), IF(INDEX(ERP資料!$G:$G, (MATCH(20, 輔助計算!$G$2:$G$801, 0)+1))&lt;=790,3,IF(INDEX(ERP資料!$G:$G, (MATCH(20, 輔助計算!$G$2:$G$801, 0)+1))&lt;=1181,2,1)))), "")&amp;IF(AND(IF(INT(INDEX(輔助計算!$D:$D, (MATCH(20, 輔助計算!$G$2:$G$801, 0)+1))/IF(INDEX(ERP資料!$G:$G, (MATCH(20, 輔助計算!$G$2:$G$801, 0)+1))&lt;100, IF(INDEX(ERP資料!$G:$G, (MATCH(20, 輔助計算!$G$2:$G$801, 0)+1))&lt;=31,3,IF(INDEX(ERP資料!$G:$G, (MATCH(20, 輔助計算!$G$2:$G$801, 0)+1))&lt;=46.5,2,1)), IF(INDEX(ERP資料!$G:$G, (MATCH(20, 輔助計算!$G$2:$G$801, 0)+1))&lt;=790,3,IF(INDEX(ERP資料!$G:$G, (MATCH(20, 輔助計算!$G$2:$G$801, 0)+1))&lt;=1181,2,1))))&gt;0, IF(IF(INDEX(ERP資料!$G:$G, (MATCH(20, 輔助計算!$G$2:$G$801, 0)+1))&lt;100, IF(INDEX(ERP資料!$G:$G, (MATCH(20, 輔助計算!$G$2:$G$801, 0)+1))&lt;=31,3,IF(INDEX(ERP資料!$G:$G, (MATCH(20, 輔助計算!$G$2:$G$801, 0)+1))&lt;=46.5,2,1)), IF(INDEX(ERP資料!$G:$G, (MATCH(20, 輔助計算!$G$2:$G$801, 0)+1))&lt;=790,3,IF(INDEX(ERP資料!$G:$G, (MATCH(20, 輔助計算!$G$2:$G$801, 0)+1))&lt;=1181,2,1)))=1,TEXT(INDEX(ERP資料!$G:$G, (MATCH(20, 輔助計算!$G$2:$G$801, 0)+1)),"0.##"),IF(IF(INDEX(ERP資料!$G:$G, (MATCH(20, 輔助計算!$G$2:$G$801, 0)+1))&lt;100, IF(INDEX(ERP資料!$G:$G, (MATCH(20, 輔助計算!$G$2:$G$801, 0)+1))&lt;=31,3,IF(INDEX(ERP資料!$G:$G, (MATCH(20, 輔助計算!$G$2:$G$801, 0)+1))&lt;=46.5,2,1)), IF(INDEX(ERP資料!$G:$G, (MATCH(20, 輔助計算!$G$2:$G$801, 0)+1))&lt;=790,3,IF(INDEX(ERP資料!$G:$G, (MATCH(20, 輔助計算!$G$2:$G$801, 0)+1))&lt;=1181,2,1)))=2,TEXT(INDEX(ERP資料!$G:$G, (MATCH(20, 輔助計算!$G$2:$G$801, 0)+1)),"0.##")&amp;"+"&amp;TEXT(INDEX(ERP資料!$G:$G, (MATCH(20, 輔助計算!$G$2:$G$801, 0)+1)),"0.##"),TEXT(INDEX(ERP資料!$G:$G, (MATCH(20, 輔助計算!$G$2:$G$801, 0)+1)),"0.##")&amp;"+"&amp;TEXT(INDEX(ERP資料!$G:$G, (MATCH(20, 輔助計算!$G$2:$G$801, 0)+1)),"0.##")&amp;"+"&amp;TEXT(INDEX(ERP資料!$G:$G, (MATCH(20, 輔助計算!$G$2:$G$801, 0)+1)),"0.##")))&amp;"-"&amp;INT(INDEX(輔助計算!$D:$D, (MATCH(20, 輔助計算!$G$2:$G$801, 0)+1))/IF(INDEX(ERP資料!$G:$G, (MATCH(20, 輔助計算!$G$2:$G$801, 0)+1))&lt;100, IF(INDEX(ERP資料!$G:$G, (MATCH(20, 輔助計算!$G$2:$G$801, 0)+1))&lt;=31,3,IF(INDEX(ERP資料!$G:$G, (MATCH(20, 輔助計算!$G$2:$G$801, 0)+1))&lt;=46.5,2,1)), IF(INDEX(ERP資料!$G:$G, (MATCH(20, 輔助計算!$G$2:$G$801, 0)+1))&lt;=790,3,IF(INDEX(ERP資料!$G:$G, (MATCH(20, 輔助計算!$G$2:$G$801, 0)+1))&lt;=1181,2,1)))), "")&lt;&gt;"",IF(MOD(INDEX(輔助計算!$D:$D, (MATCH(20, 輔助計算!$G$2:$G$801, 0)+1)),IF(INDEX(ERP資料!$G:$G, (MATCH(20, 輔助計算!$G$2:$G$801, 0)+1))&lt;100, IF(INDEX(ERP資料!$G:$G, (MATCH(20, 輔助計算!$G$2:$G$801, 0)+1))&lt;=31,3,IF(INDEX(ERP資料!$G:$G, (MATCH(20, 輔助計算!$G$2:$G$801, 0)+1))&lt;=46.5,2,1)), IF(INDEX(ERP資料!$G:$G, (MATCH(20, 輔助計算!$G$2:$G$801, 0)+1))&lt;=790,3,IF(INDEX(ERP資料!$G:$G, (MATCH(20, 輔助計算!$G$2:$G$801, 0)+1))&lt;=1181,2,1))))=0,"",IF(MOD(INDEX(輔助計算!$D:$D, (MATCH(20, 輔助計算!$G$2:$G$801, 0)+1)),IF(INDEX(ERP資料!$G:$G, (MATCH(20, 輔助計算!$G$2:$G$801, 0)+1))&lt;100, IF(INDEX(ERP資料!$G:$G, (MATCH(20, 輔助計算!$G$2:$G$801, 0)+1))&lt;=31,3,IF(INDEX(ERP資料!$G:$G, (MATCH(20, 輔助計算!$G$2:$G$801, 0)+1))&lt;=46.5,2,1)), IF(INDEX(ERP資料!$G:$G, (MATCH(20, 輔助計算!$G$2:$G$801, 0)+1))&lt;=790,3,IF(INDEX(ERP資料!$G:$G, (MATCH(20, 輔助計算!$G$2:$G$801, 0)+1))&lt;=1181,2,1))))=0,"",IF(MOD(INDEX(輔助計算!$D:$D, (MATCH(20, 輔助計算!$G$2:$G$801, 0)+1)),IF(INDEX(ERP資料!$G:$G, (MATCH(20, 輔助計算!$G$2:$G$801, 0)+1))&lt;100, IF(INDEX(ERP資料!$G:$G, (MATCH(20, 輔助計算!$G$2:$G$801, 0)+1))&lt;=31,3,IF(INDEX(ERP資料!$G:$G, (MATCH(20, 輔助計算!$G$2:$G$801, 0)+1))&lt;=46.5,2,1)), IF(INDEX(ERP資料!$G:$G, (MATCH(20, 輔助計算!$G$2:$G$801, 0)+1))&lt;=790,3,IF(INDEX(ERP資料!$G:$G, (MATCH(20, 輔助計算!$G$2:$G$801, 0)+1))&lt;=1181,2,1))))=1,TEXT(INDEX(ERP資料!$G:$G, (MATCH(20, 輔助計算!$G$2:$G$801, 0)+1)),"0.##"),IF(MOD(INDEX(輔助計算!$D:$D, (MATCH(20, 輔助計算!$G$2:$G$801, 0)+1)),IF(INDEX(ERP資料!$G:$G, (MATCH(20, 輔助計算!$G$2:$G$801, 0)+1))&lt;100, IF(INDEX(ERP資料!$G:$G, (MATCH(20, 輔助計算!$G$2:$G$801, 0)+1))&lt;=31,3,IF(INDEX(ERP資料!$G:$G, (MATCH(20, 輔助計算!$G$2:$G$801, 0)+1))&lt;=46.5,2,1)), IF(INDEX(ERP資料!$G:$G, (MATCH(20, 輔助計算!$G$2:$G$801, 0)+1))&lt;=790,3,IF(INDEX(ERP資料!$G:$G, (MATCH(20, 輔助計算!$G$2:$G$801, 0)+1))&lt;=1181,2,1))))=2,TEXT(INDEX(ERP資料!$G:$G, (MATCH(20, 輔助計算!$G$2:$G$801, 0)+1)),"0.##")&amp;"+"&amp;TEXT(INDEX(ERP資料!$G:$G, (MATCH(20, 輔助計算!$G$2:$G$801, 0)+1)),"0.##"),TEXT(INDEX(ERP資料!$G:$G, (MATCH(20, 輔助計算!$G$2:$G$801, 0)+1)),"0.##")&amp;"+"&amp;TEXT(INDEX(ERP資料!$G:$G, (MATCH(20, 輔助計算!$G$2:$G$801, 0)+1)),"0.##")&amp;"+"&amp;TEXT(INDEX(ERP資料!$G:$G, (MATCH(20, 輔助計算!$G$2:$G$801, 0)+1)),"0.##"))))&amp;"-1")&lt;&gt;""),"  ","")&amp;IF(MOD(INDEX(輔助計算!$D:$D, (MATCH(20, 輔助計算!$G$2:$G$801, 0)+1)),IF(INDEX(ERP資料!$G:$G, (MATCH(20, 輔助計算!$G$2:$G$801, 0)+1))&lt;100, IF(INDEX(ERP資料!$G:$G, (MATCH(20, 輔助計算!$G$2:$G$801, 0)+1))&lt;=31,3,IF(INDEX(ERP資料!$G:$G, (MATCH(20, 輔助計算!$G$2:$G$801, 0)+1))&lt;=46.5,2,1)), IF(INDEX(ERP資料!$G:$G, (MATCH(20, 輔助計算!$G$2:$G$801, 0)+1))&lt;=790,3,IF(INDEX(ERP資料!$G:$G, (MATCH(20, 輔助計算!$G$2:$G$801, 0)+1))&lt;=1181,2,1))))=0,"",IF(MOD(INDEX(輔助計算!$D:$D, (MATCH(20, 輔助計算!$G$2:$G$801, 0)+1)),IF(INDEX(ERP資料!$G:$G, (MATCH(20, 輔助計算!$G$2:$G$801, 0)+1))&lt;100, IF(INDEX(ERP資料!$G:$G, (MATCH(20, 輔助計算!$G$2:$G$801, 0)+1))&lt;=31,3,IF(INDEX(ERP資料!$G:$G, (MATCH(20, 輔助計算!$G$2:$G$801, 0)+1))&lt;=46.5,2,1)), IF(INDEX(ERP資料!$G:$G, (MATCH(20, 輔助計算!$G$2:$G$801, 0)+1))&lt;=790,3,IF(INDEX(ERP資料!$G:$G, (MATCH(20, 輔助計算!$G$2:$G$801, 0)+1))&lt;=1181,2,1))))=0,"",IF(MOD(INDEX(輔助計算!$D:$D, (MATCH(20, 輔助計算!$G$2:$G$801, 0)+1)),IF(INDEX(ERP資料!$G:$G, (MATCH(20, 輔助計算!$G$2:$G$801, 0)+1))&lt;100, IF(INDEX(ERP資料!$G:$G, (MATCH(20, 輔助計算!$G$2:$G$801, 0)+1))&lt;=31,3,IF(INDEX(ERP資料!$G:$G, (MATCH(20, 輔助計算!$G$2:$G$801, 0)+1))&lt;=46.5,2,1)), IF(INDEX(ERP資料!$G:$G, (MATCH(20, 輔助計算!$G$2:$G$801, 0)+1))&lt;=790,3,IF(INDEX(ERP資料!$G:$G, (MATCH(20, 輔助計算!$G$2:$G$801, 0)+1))&lt;=1181,2,1))))=1,TEXT(INDEX(ERP資料!$G:$G, (MATCH(20, 輔助計算!$G$2:$G$801, 0)+1)),"0.##"),IF(MOD(INDEX(輔助計算!$D:$D, (MATCH(20, 輔助計算!$G$2:$G$801, 0)+1)),IF(INDEX(ERP資料!$G:$G, (MATCH(20, 輔助計算!$G$2:$G$801, 0)+1))&lt;100, IF(INDEX(ERP資料!$G:$G, (MATCH(20, 輔助計算!$G$2:$G$801, 0)+1))&lt;=31,3,IF(INDEX(ERP資料!$G:$G, (MATCH(20, 輔助計算!$G$2:$G$801, 0)+1))&lt;=46.5,2,1)), IF(INDEX(ERP資料!$G:$G, (MATCH(20, 輔助計算!$G$2:$G$801, 0)+1))&lt;=790,3,IF(INDEX(ERP資料!$G:$G, (MATCH(20, 輔助計算!$G$2:$G$801, 0)+1))&lt;=1181,2,1))))=2,TEXT(INDEX(ERP資料!$G:$G, (MATCH(20, 輔助計算!$G$2:$G$801, 0)+1)),"0.##")&amp;"+"&amp;TEXT(INDEX(ERP資料!$G:$G, (MATCH(20, 輔助計算!$G$2:$G$801, 0)+1)),"0.##"),TEXT(INDEX(ERP資料!$G:$G, (MATCH(20, 輔助計算!$G$2:$G$801, 0)+1)),"0.##")&amp;"+"&amp;TEXT(INDEX(ERP資料!$G:$G, (MATCH(20, 輔助計算!$G$2:$G$801, 0)+1)),"0.##")&amp;"+"&amp;TEXT(INDEX(ERP資料!$G:$G, (MATCH(20, 輔助計算!$G$2:$G$801, 0)+1)),"0.##"))))&amp;"-1")), ""), "")</f>
        <v/>
      </c>
      <c r="K21" s="16" t="n"/>
      <c r="L21" s="14">
        <f>IFERROR(IF(AND(IFERROR(INDEX(ERP資料!$A:$A, (MATCH(20, 輔助計算!$G$2:$G$801, 0)+1)), "")&lt;&gt;"", IFERROR(INDEX(ERP資料!$A:$A, (MATCH(20, 輔助計算!$G$2:$G$801, 0)+1)), "")&lt;&gt;IFERROR(INDEX(ERP資料!$A:$A, MATCH(19, 輔助計算!$G$2:$G$801, 0)+1), "")), INDEX(ERP資料!$B:$B, (MATCH(20, 輔助計算!$G$2:$G$801, 0)+1)), ""), "")</f>
        <v/>
      </c>
      <c r="M21" s="17" t="n"/>
    </row>
    <row r="22">
      <c r="A22" s="10">
        <f>IFERROR(IF(AND(IFERROR(INDEX(ERP資料!$A:$A, (MATCH(21, 輔助計算!$G$2:$G$801, 0)+1)), "")&lt;&gt;"", IFERROR(INDEX(ERP資料!$A:$A, (MATCH(21, 輔助計算!$G$2:$G$801, 0)+1)), "")&lt;&gt;IFERROR(INDEX(ERP資料!$A:$A, MATCH(20, 輔助計算!$G$2:$G$801, 0)+1), "")), IFERROR(INDEX(ERP資料!$A:$A, (MATCH(21, 輔助計算!$G$2:$G$801, 0)+1)), ""), ""), "")</f>
        <v/>
      </c>
      <c r="B22" s="10">
        <f>IFERROR(IF(AND(IFERROR(INDEX(ERP資料!$A:$A, (MATCH(21, 輔助計算!$G$2:$G$801, 0)+1)), "")&lt;&gt;"", IFERROR(INDEX(ERP資料!$A:$A, (MATCH(21, 輔助計算!$G$2:$G$801, 0)+1)), "")&lt;&gt;IFERROR(INDEX(ERP資料!$A:$A, MATCH(20, 輔助計算!$G$2:$G$801, 0)+1), "")), INDEX(ERP資料!$S:$S, (MATCH(21, 輔助計算!$G$2:$G$801, 0)+1)), ""), "")</f>
        <v/>
      </c>
      <c r="C22" s="19">
        <f>IFERROR(IF(AND(IFERROR(INDEX(ERP資料!$A:$A, (MATCH(21, 輔助計算!$G$2:$G$801, 0)+1)), "")&lt;&gt;"", IFERROR(INDEX(ERP資料!$A:$A, (MATCH(21, 輔助計算!$G$2:$G$801, 0)+1)), "")&lt;&gt;IFERROR(INDEX(ERP資料!$A:$A, MATCH(20, 輔助計算!$G$2:$G$801, 0)+1), "")), IFERROR(VLOOKUP(LEFT(INDEX(ERP資料!$S:$S, (MATCH(21, 輔助計算!$G$2:$G$801, 0)+1)), 4), 紙管對照表!$A:$C, 3, FALSE), ""), ""), "")</f>
        <v/>
      </c>
      <c r="D22" s="16" t="n"/>
      <c r="E22" s="10">
        <f>IFERROR(IF(INDEX(ERP資料!$H:$H, (MATCH(21, 輔助計算!$G$2:$G$801, 0)+1))="","",INDEX(ERP資料!$H:$H, (MATCH(21, 輔助計算!$G$2:$G$801, 0)+1))), "")</f>
        <v/>
      </c>
      <c r="F22" s="10">
        <f>IFERROR(IF(INDEX(ERP資料!$E:$E, (MATCH(21, 輔助計算!$G$2:$G$801, 0)+1))="","",TRIM(INDEX(ERP資料!$E:$E, (MATCH(21, 輔助計算!$G$2:$G$801, 0)+1)))), "")</f>
        <v/>
      </c>
      <c r="G22" s="10">
        <f>IFERROR(IF(INDEX(ERP資料!$F:$F, (MATCH(21, 輔助計算!$G$2:$G$801, 0)+1))="","",INDEX(ERP資料!$F:$F, (MATCH(21, 輔助計算!$G$2:$G$801, 0)+1))), "")</f>
        <v/>
      </c>
      <c r="H22" s="10">
        <f>IFERROR(IF(INDEX(ERP資料!$G:$G, (MATCH(21, 輔助計算!$G$2:$G$801, 0)+1))="","",INDEX(ERP資料!$G:$G, (MATCH(21, 輔助計算!$G$2:$G$801, 0)+1))), "")</f>
        <v/>
      </c>
      <c r="I22" s="15">
        <f>IFERROR(INDEX(輔助計算!$D:$D, (MATCH(21, 輔助計算!$G$2:$G$801, 0)+1)), "")</f>
        <v/>
      </c>
      <c r="J22" s="15">
        <f>IFERROR(IF(AND(INDEX(輔助計算!$D:$D, (MATCH(21, 輔助計算!$G$2:$G$801, 0)+1))&lt;&gt;"", INDEX(ERP資料!$G:$G, (MATCH(21, 輔助計算!$G$2:$G$801, 0)+1))&lt;&gt;""), TRIM(IF(INT(INDEX(輔助計算!$D:$D, (MATCH(21, 輔助計算!$G$2:$G$801, 0)+1))/IF(INDEX(ERP資料!$G:$G, (MATCH(21, 輔助計算!$G$2:$G$801, 0)+1))&lt;100, IF(INDEX(ERP資料!$G:$G, (MATCH(21, 輔助計算!$G$2:$G$801, 0)+1))&lt;=31,3,IF(INDEX(ERP資料!$G:$G, (MATCH(21, 輔助計算!$G$2:$G$801, 0)+1))&lt;=46.5,2,1)), IF(INDEX(ERP資料!$G:$G, (MATCH(21, 輔助計算!$G$2:$G$801, 0)+1))&lt;=790,3,IF(INDEX(ERP資料!$G:$G, (MATCH(21, 輔助計算!$G$2:$G$801, 0)+1))&lt;=1181,2,1))))&gt;0, IF(IF(INDEX(ERP資料!$G:$G, (MATCH(21, 輔助計算!$G$2:$G$801, 0)+1))&lt;100, IF(INDEX(ERP資料!$G:$G, (MATCH(21, 輔助計算!$G$2:$G$801, 0)+1))&lt;=31,3,IF(INDEX(ERP資料!$G:$G, (MATCH(21, 輔助計算!$G$2:$G$801, 0)+1))&lt;=46.5,2,1)), IF(INDEX(ERP資料!$G:$G, (MATCH(21, 輔助計算!$G$2:$G$801, 0)+1))&lt;=790,3,IF(INDEX(ERP資料!$G:$G, (MATCH(21, 輔助計算!$G$2:$G$801, 0)+1))&lt;=1181,2,1)))=1,TEXT(INDEX(ERP資料!$G:$G, (MATCH(21, 輔助計算!$G$2:$G$801, 0)+1)),"0.##"),IF(IF(INDEX(ERP資料!$G:$G, (MATCH(21, 輔助計算!$G$2:$G$801, 0)+1))&lt;100, IF(INDEX(ERP資料!$G:$G, (MATCH(21, 輔助計算!$G$2:$G$801, 0)+1))&lt;=31,3,IF(INDEX(ERP資料!$G:$G, (MATCH(21, 輔助計算!$G$2:$G$801, 0)+1))&lt;=46.5,2,1)), IF(INDEX(ERP資料!$G:$G, (MATCH(21, 輔助計算!$G$2:$G$801, 0)+1))&lt;=790,3,IF(INDEX(ERP資料!$G:$G, (MATCH(21, 輔助計算!$G$2:$G$801, 0)+1))&lt;=1181,2,1)))=2,TEXT(INDEX(ERP資料!$G:$G, (MATCH(21, 輔助計算!$G$2:$G$801, 0)+1)),"0.##")&amp;"+"&amp;TEXT(INDEX(ERP資料!$G:$G, (MATCH(21, 輔助計算!$G$2:$G$801, 0)+1)),"0.##"),TEXT(INDEX(ERP資料!$G:$G, (MATCH(21, 輔助計算!$G$2:$G$801, 0)+1)),"0.##")&amp;"+"&amp;TEXT(INDEX(ERP資料!$G:$G, (MATCH(21, 輔助計算!$G$2:$G$801, 0)+1)),"0.##")&amp;"+"&amp;TEXT(INDEX(ERP資料!$G:$G, (MATCH(21, 輔助計算!$G$2:$G$801, 0)+1)),"0.##")))&amp;"-"&amp;INT(INDEX(輔助計算!$D:$D, (MATCH(21, 輔助計算!$G$2:$G$801, 0)+1))/IF(INDEX(ERP資料!$G:$G, (MATCH(21, 輔助計算!$G$2:$G$801, 0)+1))&lt;100, IF(INDEX(ERP資料!$G:$G, (MATCH(21, 輔助計算!$G$2:$G$801, 0)+1))&lt;=31,3,IF(INDEX(ERP資料!$G:$G, (MATCH(21, 輔助計算!$G$2:$G$801, 0)+1))&lt;=46.5,2,1)), IF(INDEX(ERP資料!$G:$G, (MATCH(21, 輔助計算!$G$2:$G$801, 0)+1))&lt;=790,3,IF(INDEX(ERP資料!$G:$G, (MATCH(21, 輔助計算!$G$2:$G$801, 0)+1))&lt;=1181,2,1)))), "")&amp;IF(AND(IF(INT(INDEX(輔助計算!$D:$D, (MATCH(21, 輔助計算!$G$2:$G$801, 0)+1))/IF(INDEX(ERP資料!$G:$G, (MATCH(21, 輔助計算!$G$2:$G$801, 0)+1))&lt;100, IF(INDEX(ERP資料!$G:$G, (MATCH(21, 輔助計算!$G$2:$G$801, 0)+1))&lt;=31,3,IF(INDEX(ERP資料!$G:$G, (MATCH(21, 輔助計算!$G$2:$G$801, 0)+1))&lt;=46.5,2,1)), IF(INDEX(ERP資料!$G:$G, (MATCH(21, 輔助計算!$G$2:$G$801, 0)+1))&lt;=790,3,IF(INDEX(ERP資料!$G:$G, (MATCH(21, 輔助計算!$G$2:$G$801, 0)+1))&lt;=1181,2,1))))&gt;0, IF(IF(INDEX(ERP資料!$G:$G, (MATCH(21, 輔助計算!$G$2:$G$801, 0)+1))&lt;100, IF(INDEX(ERP資料!$G:$G, (MATCH(21, 輔助計算!$G$2:$G$801, 0)+1))&lt;=31,3,IF(INDEX(ERP資料!$G:$G, (MATCH(21, 輔助計算!$G$2:$G$801, 0)+1))&lt;=46.5,2,1)), IF(INDEX(ERP資料!$G:$G, (MATCH(21, 輔助計算!$G$2:$G$801, 0)+1))&lt;=790,3,IF(INDEX(ERP資料!$G:$G, (MATCH(21, 輔助計算!$G$2:$G$801, 0)+1))&lt;=1181,2,1)))=1,TEXT(INDEX(ERP資料!$G:$G, (MATCH(21, 輔助計算!$G$2:$G$801, 0)+1)),"0.##"),IF(IF(INDEX(ERP資料!$G:$G, (MATCH(21, 輔助計算!$G$2:$G$801, 0)+1))&lt;100, IF(INDEX(ERP資料!$G:$G, (MATCH(21, 輔助計算!$G$2:$G$801, 0)+1))&lt;=31,3,IF(INDEX(ERP資料!$G:$G, (MATCH(21, 輔助計算!$G$2:$G$801, 0)+1))&lt;=46.5,2,1)), IF(INDEX(ERP資料!$G:$G, (MATCH(21, 輔助計算!$G$2:$G$801, 0)+1))&lt;=790,3,IF(INDEX(ERP資料!$G:$G, (MATCH(21, 輔助計算!$G$2:$G$801, 0)+1))&lt;=1181,2,1)))=2,TEXT(INDEX(ERP資料!$G:$G, (MATCH(21, 輔助計算!$G$2:$G$801, 0)+1)),"0.##")&amp;"+"&amp;TEXT(INDEX(ERP資料!$G:$G, (MATCH(21, 輔助計算!$G$2:$G$801, 0)+1)),"0.##"),TEXT(INDEX(ERP資料!$G:$G, (MATCH(21, 輔助計算!$G$2:$G$801, 0)+1)),"0.##")&amp;"+"&amp;TEXT(INDEX(ERP資料!$G:$G, (MATCH(21, 輔助計算!$G$2:$G$801, 0)+1)),"0.##")&amp;"+"&amp;TEXT(INDEX(ERP資料!$G:$G, (MATCH(21, 輔助計算!$G$2:$G$801, 0)+1)),"0.##")))&amp;"-"&amp;INT(INDEX(輔助計算!$D:$D, (MATCH(21, 輔助計算!$G$2:$G$801, 0)+1))/IF(INDEX(ERP資料!$G:$G, (MATCH(21, 輔助計算!$G$2:$G$801, 0)+1))&lt;100, IF(INDEX(ERP資料!$G:$G, (MATCH(21, 輔助計算!$G$2:$G$801, 0)+1))&lt;=31,3,IF(INDEX(ERP資料!$G:$G, (MATCH(21, 輔助計算!$G$2:$G$801, 0)+1))&lt;=46.5,2,1)), IF(INDEX(ERP資料!$G:$G, (MATCH(21, 輔助計算!$G$2:$G$801, 0)+1))&lt;=790,3,IF(INDEX(ERP資料!$G:$G, (MATCH(21, 輔助計算!$G$2:$G$801, 0)+1))&lt;=1181,2,1)))), "")&lt;&gt;"",IF(MOD(INDEX(輔助計算!$D:$D, (MATCH(21, 輔助計算!$G$2:$G$801, 0)+1)),IF(INDEX(ERP資料!$G:$G, (MATCH(21, 輔助計算!$G$2:$G$801, 0)+1))&lt;100, IF(INDEX(ERP資料!$G:$G, (MATCH(21, 輔助計算!$G$2:$G$801, 0)+1))&lt;=31,3,IF(INDEX(ERP資料!$G:$G, (MATCH(21, 輔助計算!$G$2:$G$801, 0)+1))&lt;=46.5,2,1)), IF(INDEX(ERP資料!$G:$G, (MATCH(21, 輔助計算!$G$2:$G$801, 0)+1))&lt;=790,3,IF(INDEX(ERP資料!$G:$G, (MATCH(21, 輔助計算!$G$2:$G$801, 0)+1))&lt;=1181,2,1))))=0,"",IF(MOD(INDEX(輔助計算!$D:$D, (MATCH(21, 輔助計算!$G$2:$G$801, 0)+1)),IF(INDEX(ERP資料!$G:$G, (MATCH(21, 輔助計算!$G$2:$G$801, 0)+1))&lt;100, IF(INDEX(ERP資料!$G:$G, (MATCH(21, 輔助計算!$G$2:$G$801, 0)+1))&lt;=31,3,IF(INDEX(ERP資料!$G:$G, (MATCH(21, 輔助計算!$G$2:$G$801, 0)+1))&lt;=46.5,2,1)), IF(INDEX(ERP資料!$G:$G, (MATCH(21, 輔助計算!$G$2:$G$801, 0)+1))&lt;=790,3,IF(INDEX(ERP資料!$G:$G, (MATCH(21, 輔助計算!$G$2:$G$801, 0)+1))&lt;=1181,2,1))))=0,"",IF(MOD(INDEX(輔助計算!$D:$D, (MATCH(21, 輔助計算!$G$2:$G$801, 0)+1)),IF(INDEX(ERP資料!$G:$G, (MATCH(21, 輔助計算!$G$2:$G$801, 0)+1))&lt;100, IF(INDEX(ERP資料!$G:$G, (MATCH(21, 輔助計算!$G$2:$G$801, 0)+1))&lt;=31,3,IF(INDEX(ERP資料!$G:$G, (MATCH(21, 輔助計算!$G$2:$G$801, 0)+1))&lt;=46.5,2,1)), IF(INDEX(ERP資料!$G:$G, (MATCH(21, 輔助計算!$G$2:$G$801, 0)+1))&lt;=790,3,IF(INDEX(ERP資料!$G:$G, (MATCH(21, 輔助計算!$G$2:$G$801, 0)+1))&lt;=1181,2,1))))=1,TEXT(INDEX(ERP資料!$G:$G, (MATCH(21, 輔助計算!$G$2:$G$801, 0)+1)),"0.##"),IF(MOD(INDEX(輔助計算!$D:$D, (MATCH(21, 輔助計算!$G$2:$G$801, 0)+1)),IF(INDEX(ERP資料!$G:$G, (MATCH(21, 輔助計算!$G$2:$G$801, 0)+1))&lt;100, IF(INDEX(ERP資料!$G:$G, (MATCH(21, 輔助計算!$G$2:$G$801, 0)+1))&lt;=31,3,IF(INDEX(ERP資料!$G:$G, (MATCH(21, 輔助計算!$G$2:$G$801, 0)+1))&lt;=46.5,2,1)), IF(INDEX(ERP資料!$G:$G, (MATCH(21, 輔助計算!$G$2:$G$801, 0)+1))&lt;=790,3,IF(INDEX(ERP資料!$G:$G, (MATCH(21, 輔助計算!$G$2:$G$801, 0)+1))&lt;=1181,2,1))))=2,TEXT(INDEX(ERP資料!$G:$G, (MATCH(21, 輔助計算!$G$2:$G$801, 0)+1)),"0.##")&amp;"+"&amp;TEXT(INDEX(ERP資料!$G:$G, (MATCH(21, 輔助計算!$G$2:$G$801, 0)+1)),"0.##"),TEXT(INDEX(ERP資料!$G:$G, (MATCH(21, 輔助計算!$G$2:$G$801, 0)+1)),"0.##")&amp;"+"&amp;TEXT(INDEX(ERP資料!$G:$G, (MATCH(21, 輔助計算!$G$2:$G$801, 0)+1)),"0.##")&amp;"+"&amp;TEXT(INDEX(ERP資料!$G:$G, (MATCH(21, 輔助計算!$G$2:$G$801, 0)+1)),"0.##"))))&amp;"-1")&lt;&gt;""),"  ","")&amp;IF(MOD(INDEX(輔助計算!$D:$D, (MATCH(21, 輔助計算!$G$2:$G$801, 0)+1)),IF(INDEX(ERP資料!$G:$G, (MATCH(21, 輔助計算!$G$2:$G$801, 0)+1))&lt;100, IF(INDEX(ERP資料!$G:$G, (MATCH(21, 輔助計算!$G$2:$G$801, 0)+1))&lt;=31,3,IF(INDEX(ERP資料!$G:$G, (MATCH(21, 輔助計算!$G$2:$G$801, 0)+1))&lt;=46.5,2,1)), IF(INDEX(ERP資料!$G:$G, (MATCH(21, 輔助計算!$G$2:$G$801, 0)+1))&lt;=790,3,IF(INDEX(ERP資料!$G:$G, (MATCH(21, 輔助計算!$G$2:$G$801, 0)+1))&lt;=1181,2,1))))=0,"",IF(MOD(INDEX(輔助計算!$D:$D, (MATCH(21, 輔助計算!$G$2:$G$801, 0)+1)),IF(INDEX(ERP資料!$G:$G, (MATCH(21, 輔助計算!$G$2:$G$801, 0)+1))&lt;100, IF(INDEX(ERP資料!$G:$G, (MATCH(21, 輔助計算!$G$2:$G$801, 0)+1))&lt;=31,3,IF(INDEX(ERP資料!$G:$G, (MATCH(21, 輔助計算!$G$2:$G$801, 0)+1))&lt;=46.5,2,1)), IF(INDEX(ERP資料!$G:$G, (MATCH(21, 輔助計算!$G$2:$G$801, 0)+1))&lt;=790,3,IF(INDEX(ERP資料!$G:$G, (MATCH(21, 輔助計算!$G$2:$G$801, 0)+1))&lt;=1181,2,1))))=0,"",IF(MOD(INDEX(輔助計算!$D:$D, (MATCH(21, 輔助計算!$G$2:$G$801, 0)+1)),IF(INDEX(ERP資料!$G:$G, (MATCH(21, 輔助計算!$G$2:$G$801, 0)+1))&lt;100, IF(INDEX(ERP資料!$G:$G, (MATCH(21, 輔助計算!$G$2:$G$801, 0)+1))&lt;=31,3,IF(INDEX(ERP資料!$G:$G, (MATCH(21, 輔助計算!$G$2:$G$801, 0)+1))&lt;=46.5,2,1)), IF(INDEX(ERP資料!$G:$G, (MATCH(21, 輔助計算!$G$2:$G$801, 0)+1))&lt;=790,3,IF(INDEX(ERP資料!$G:$G, (MATCH(21, 輔助計算!$G$2:$G$801, 0)+1))&lt;=1181,2,1))))=1,TEXT(INDEX(ERP資料!$G:$G, (MATCH(21, 輔助計算!$G$2:$G$801, 0)+1)),"0.##"),IF(MOD(INDEX(輔助計算!$D:$D, (MATCH(21, 輔助計算!$G$2:$G$801, 0)+1)),IF(INDEX(ERP資料!$G:$G, (MATCH(21, 輔助計算!$G$2:$G$801, 0)+1))&lt;100, IF(INDEX(ERP資料!$G:$G, (MATCH(21, 輔助計算!$G$2:$G$801, 0)+1))&lt;=31,3,IF(INDEX(ERP資料!$G:$G, (MATCH(21, 輔助計算!$G$2:$G$801, 0)+1))&lt;=46.5,2,1)), IF(INDEX(ERP資料!$G:$G, (MATCH(21, 輔助計算!$G$2:$G$801, 0)+1))&lt;=790,3,IF(INDEX(ERP資料!$G:$G, (MATCH(21, 輔助計算!$G$2:$G$801, 0)+1))&lt;=1181,2,1))))=2,TEXT(INDEX(ERP資料!$G:$G, (MATCH(21, 輔助計算!$G$2:$G$801, 0)+1)),"0.##")&amp;"+"&amp;TEXT(INDEX(ERP資料!$G:$G, (MATCH(21, 輔助計算!$G$2:$G$801, 0)+1)),"0.##"),TEXT(INDEX(ERP資料!$G:$G, (MATCH(21, 輔助計算!$G$2:$G$801, 0)+1)),"0.##")&amp;"+"&amp;TEXT(INDEX(ERP資料!$G:$G, (MATCH(21, 輔助計算!$G$2:$G$801, 0)+1)),"0.##")&amp;"+"&amp;TEXT(INDEX(ERP資料!$G:$G, (MATCH(21, 輔助計算!$G$2:$G$801, 0)+1)),"0.##"))))&amp;"-1")), ""), "")</f>
        <v/>
      </c>
      <c r="K22" s="16" t="n"/>
      <c r="L22" s="14">
        <f>IFERROR(IF(AND(IFERROR(INDEX(ERP資料!$A:$A, (MATCH(21, 輔助計算!$G$2:$G$801, 0)+1)), "")&lt;&gt;"", IFERROR(INDEX(ERP資料!$A:$A, (MATCH(21, 輔助計算!$G$2:$G$801, 0)+1)), "")&lt;&gt;IFERROR(INDEX(ERP資料!$A:$A, MATCH(20, 輔助計算!$G$2:$G$801, 0)+1), "")), INDEX(ERP資料!$B:$B, (MATCH(21, 輔助計算!$G$2:$G$801, 0)+1)), ""), "")</f>
        <v/>
      </c>
      <c r="M22" s="17" t="n"/>
    </row>
    <row r="23">
      <c r="A23" s="10">
        <f>IFERROR(IF(AND(IFERROR(INDEX(ERP資料!$A:$A, (MATCH(22, 輔助計算!$G$2:$G$801, 0)+1)), "")&lt;&gt;"", IFERROR(INDEX(ERP資料!$A:$A, (MATCH(22, 輔助計算!$G$2:$G$801, 0)+1)), "")&lt;&gt;IFERROR(INDEX(ERP資料!$A:$A, MATCH(21, 輔助計算!$G$2:$G$801, 0)+1), "")), IFERROR(INDEX(ERP資料!$A:$A, (MATCH(22, 輔助計算!$G$2:$G$801, 0)+1)), ""), ""), "")</f>
        <v/>
      </c>
      <c r="B23" s="10">
        <f>IFERROR(IF(AND(IFERROR(INDEX(ERP資料!$A:$A, (MATCH(22, 輔助計算!$G$2:$G$801, 0)+1)), "")&lt;&gt;"", IFERROR(INDEX(ERP資料!$A:$A, (MATCH(22, 輔助計算!$G$2:$G$801, 0)+1)), "")&lt;&gt;IFERROR(INDEX(ERP資料!$A:$A, MATCH(21, 輔助計算!$G$2:$G$801, 0)+1), "")), INDEX(ERP資料!$S:$S, (MATCH(22, 輔助計算!$G$2:$G$801, 0)+1)), ""), "")</f>
        <v/>
      </c>
      <c r="C23" s="19">
        <f>IFERROR(IF(AND(IFERROR(INDEX(ERP資料!$A:$A, (MATCH(22, 輔助計算!$G$2:$G$801, 0)+1)), "")&lt;&gt;"", IFERROR(INDEX(ERP資料!$A:$A, (MATCH(22, 輔助計算!$G$2:$G$801, 0)+1)), "")&lt;&gt;IFERROR(INDEX(ERP資料!$A:$A, MATCH(21, 輔助計算!$G$2:$G$801, 0)+1), "")), IFERROR(VLOOKUP(LEFT(INDEX(ERP資料!$S:$S, (MATCH(22, 輔助計算!$G$2:$G$801, 0)+1)), 4), 紙管對照表!$A:$C, 3, FALSE), ""), ""), "")</f>
        <v/>
      </c>
      <c r="D23" s="16" t="n"/>
      <c r="E23" s="10">
        <f>IFERROR(IF(INDEX(ERP資料!$H:$H, (MATCH(22, 輔助計算!$G$2:$G$801, 0)+1))="","",INDEX(ERP資料!$H:$H, (MATCH(22, 輔助計算!$G$2:$G$801, 0)+1))), "")</f>
        <v/>
      </c>
      <c r="F23" s="10">
        <f>IFERROR(IF(INDEX(ERP資料!$E:$E, (MATCH(22, 輔助計算!$G$2:$G$801, 0)+1))="","",TRIM(INDEX(ERP資料!$E:$E, (MATCH(22, 輔助計算!$G$2:$G$801, 0)+1)))), "")</f>
        <v/>
      </c>
      <c r="G23" s="10">
        <f>IFERROR(IF(INDEX(ERP資料!$F:$F, (MATCH(22, 輔助計算!$G$2:$G$801, 0)+1))="","",INDEX(ERP資料!$F:$F, (MATCH(22, 輔助計算!$G$2:$G$801, 0)+1))), "")</f>
        <v/>
      </c>
      <c r="H23" s="10">
        <f>IFERROR(IF(INDEX(ERP資料!$G:$G, (MATCH(22, 輔助計算!$G$2:$G$801, 0)+1))="","",INDEX(ERP資料!$G:$G, (MATCH(22, 輔助計算!$G$2:$G$801, 0)+1))), "")</f>
        <v/>
      </c>
      <c r="I23" s="15">
        <f>IFERROR(INDEX(輔助計算!$D:$D, (MATCH(22, 輔助計算!$G$2:$G$801, 0)+1)), "")</f>
        <v/>
      </c>
      <c r="J23" s="15">
        <f>IFERROR(IF(AND(INDEX(輔助計算!$D:$D, (MATCH(22, 輔助計算!$G$2:$G$801, 0)+1))&lt;&gt;"", INDEX(ERP資料!$G:$G, (MATCH(22, 輔助計算!$G$2:$G$801, 0)+1))&lt;&gt;""), TRIM(IF(INT(INDEX(輔助計算!$D:$D, (MATCH(22, 輔助計算!$G$2:$G$801, 0)+1))/IF(INDEX(ERP資料!$G:$G, (MATCH(22, 輔助計算!$G$2:$G$801, 0)+1))&lt;100, IF(INDEX(ERP資料!$G:$G, (MATCH(22, 輔助計算!$G$2:$G$801, 0)+1))&lt;=31,3,IF(INDEX(ERP資料!$G:$G, (MATCH(22, 輔助計算!$G$2:$G$801, 0)+1))&lt;=46.5,2,1)), IF(INDEX(ERP資料!$G:$G, (MATCH(22, 輔助計算!$G$2:$G$801, 0)+1))&lt;=790,3,IF(INDEX(ERP資料!$G:$G, (MATCH(22, 輔助計算!$G$2:$G$801, 0)+1))&lt;=1181,2,1))))&gt;0, IF(IF(INDEX(ERP資料!$G:$G, (MATCH(22, 輔助計算!$G$2:$G$801, 0)+1))&lt;100, IF(INDEX(ERP資料!$G:$G, (MATCH(22, 輔助計算!$G$2:$G$801, 0)+1))&lt;=31,3,IF(INDEX(ERP資料!$G:$G, (MATCH(22, 輔助計算!$G$2:$G$801, 0)+1))&lt;=46.5,2,1)), IF(INDEX(ERP資料!$G:$G, (MATCH(22, 輔助計算!$G$2:$G$801, 0)+1))&lt;=790,3,IF(INDEX(ERP資料!$G:$G, (MATCH(22, 輔助計算!$G$2:$G$801, 0)+1))&lt;=1181,2,1)))=1,TEXT(INDEX(ERP資料!$G:$G, (MATCH(22, 輔助計算!$G$2:$G$801, 0)+1)),"0.##"),IF(IF(INDEX(ERP資料!$G:$G, (MATCH(22, 輔助計算!$G$2:$G$801, 0)+1))&lt;100, IF(INDEX(ERP資料!$G:$G, (MATCH(22, 輔助計算!$G$2:$G$801, 0)+1))&lt;=31,3,IF(INDEX(ERP資料!$G:$G, (MATCH(22, 輔助計算!$G$2:$G$801, 0)+1))&lt;=46.5,2,1)), IF(INDEX(ERP資料!$G:$G, (MATCH(22, 輔助計算!$G$2:$G$801, 0)+1))&lt;=790,3,IF(INDEX(ERP資料!$G:$G, (MATCH(22, 輔助計算!$G$2:$G$801, 0)+1))&lt;=1181,2,1)))=2,TEXT(INDEX(ERP資料!$G:$G, (MATCH(22, 輔助計算!$G$2:$G$801, 0)+1)),"0.##")&amp;"+"&amp;TEXT(INDEX(ERP資料!$G:$G, (MATCH(22, 輔助計算!$G$2:$G$801, 0)+1)),"0.##"),TEXT(INDEX(ERP資料!$G:$G, (MATCH(22, 輔助計算!$G$2:$G$801, 0)+1)),"0.##")&amp;"+"&amp;TEXT(INDEX(ERP資料!$G:$G, (MATCH(22, 輔助計算!$G$2:$G$801, 0)+1)),"0.##")&amp;"+"&amp;TEXT(INDEX(ERP資料!$G:$G, (MATCH(22, 輔助計算!$G$2:$G$801, 0)+1)),"0.##")))&amp;"-"&amp;INT(INDEX(輔助計算!$D:$D, (MATCH(22, 輔助計算!$G$2:$G$801, 0)+1))/IF(INDEX(ERP資料!$G:$G, (MATCH(22, 輔助計算!$G$2:$G$801, 0)+1))&lt;100, IF(INDEX(ERP資料!$G:$G, (MATCH(22, 輔助計算!$G$2:$G$801, 0)+1))&lt;=31,3,IF(INDEX(ERP資料!$G:$G, (MATCH(22, 輔助計算!$G$2:$G$801, 0)+1))&lt;=46.5,2,1)), IF(INDEX(ERP資料!$G:$G, (MATCH(22, 輔助計算!$G$2:$G$801, 0)+1))&lt;=790,3,IF(INDEX(ERP資料!$G:$G, (MATCH(22, 輔助計算!$G$2:$G$801, 0)+1))&lt;=1181,2,1)))), "")&amp;IF(AND(IF(INT(INDEX(輔助計算!$D:$D, (MATCH(22, 輔助計算!$G$2:$G$801, 0)+1))/IF(INDEX(ERP資料!$G:$G, (MATCH(22, 輔助計算!$G$2:$G$801, 0)+1))&lt;100, IF(INDEX(ERP資料!$G:$G, (MATCH(22, 輔助計算!$G$2:$G$801, 0)+1))&lt;=31,3,IF(INDEX(ERP資料!$G:$G, (MATCH(22, 輔助計算!$G$2:$G$801, 0)+1))&lt;=46.5,2,1)), IF(INDEX(ERP資料!$G:$G, (MATCH(22, 輔助計算!$G$2:$G$801, 0)+1))&lt;=790,3,IF(INDEX(ERP資料!$G:$G, (MATCH(22, 輔助計算!$G$2:$G$801, 0)+1))&lt;=1181,2,1))))&gt;0, IF(IF(INDEX(ERP資料!$G:$G, (MATCH(22, 輔助計算!$G$2:$G$801, 0)+1))&lt;100, IF(INDEX(ERP資料!$G:$G, (MATCH(22, 輔助計算!$G$2:$G$801, 0)+1))&lt;=31,3,IF(INDEX(ERP資料!$G:$G, (MATCH(22, 輔助計算!$G$2:$G$801, 0)+1))&lt;=46.5,2,1)), IF(INDEX(ERP資料!$G:$G, (MATCH(22, 輔助計算!$G$2:$G$801, 0)+1))&lt;=790,3,IF(INDEX(ERP資料!$G:$G, (MATCH(22, 輔助計算!$G$2:$G$801, 0)+1))&lt;=1181,2,1)))=1,TEXT(INDEX(ERP資料!$G:$G, (MATCH(22, 輔助計算!$G$2:$G$801, 0)+1)),"0.##"),IF(IF(INDEX(ERP資料!$G:$G, (MATCH(22, 輔助計算!$G$2:$G$801, 0)+1))&lt;100, IF(INDEX(ERP資料!$G:$G, (MATCH(22, 輔助計算!$G$2:$G$801, 0)+1))&lt;=31,3,IF(INDEX(ERP資料!$G:$G, (MATCH(22, 輔助計算!$G$2:$G$801, 0)+1))&lt;=46.5,2,1)), IF(INDEX(ERP資料!$G:$G, (MATCH(22, 輔助計算!$G$2:$G$801, 0)+1))&lt;=790,3,IF(INDEX(ERP資料!$G:$G, (MATCH(22, 輔助計算!$G$2:$G$801, 0)+1))&lt;=1181,2,1)))=2,TEXT(INDEX(ERP資料!$G:$G, (MATCH(22, 輔助計算!$G$2:$G$801, 0)+1)),"0.##")&amp;"+"&amp;TEXT(INDEX(ERP資料!$G:$G, (MATCH(22, 輔助計算!$G$2:$G$801, 0)+1)),"0.##"),TEXT(INDEX(ERP資料!$G:$G, (MATCH(22, 輔助計算!$G$2:$G$801, 0)+1)),"0.##")&amp;"+"&amp;TEXT(INDEX(ERP資料!$G:$G, (MATCH(22, 輔助計算!$G$2:$G$801, 0)+1)),"0.##")&amp;"+"&amp;TEXT(INDEX(ERP資料!$G:$G, (MATCH(22, 輔助計算!$G$2:$G$801, 0)+1)),"0.##")))&amp;"-"&amp;INT(INDEX(輔助計算!$D:$D, (MATCH(22, 輔助計算!$G$2:$G$801, 0)+1))/IF(INDEX(ERP資料!$G:$G, (MATCH(22, 輔助計算!$G$2:$G$801, 0)+1))&lt;100, IF(INDEX(ERP資料!$G:$G, (MATCH(22, 輔助計算!$G$2:$G$801, 0)+1))&lt;=31,3,IF(INDEX(ERP資料!$G:$G, (MATCH(22, 輔助計算!$G$2:$G$801, 0)+1))&lt;=46.5,2,1)), IF(INDEX(ERP資料!$G:$G, (MATCH(22, 輔助計算!$G$2:$G$801, 0)+1))&lt;=790,3,IF(INDEX(ERP資料!$G:$G, (MATCH(22, 輔助計算!$G$2:$G$801, 0)+1))&lt;=1181,2,1)))), "")&lt;&gt;"",IF(MOD(INDEX(輔助計算!$D:$D, (MATCH(22, 輔助計算!$G$2:$G$801, 0)+1)),IF(INDEX(ERP資料!$G:$G, (MATCH(22, 輔助計算!$G$2:$G$801, 0)+1))&lt;100, IF(INDEX(ERP資料!$G:$G, (MATCH(22, 輔助計算!$G$2:$G$801, 0)+1))&lt;=31,3,IF(INDEX(ERP資料!$G:$G, (MATCH(22, 輔助計算!$G$2:$G$801, 0)+1))&lt;=46.5,2,1)), IF(INDEX(ERP資料!$G:$G, (MATCH(22, 輔助計算!$G$2:$G$801, 0)+1))&lt;=790,3,IF(INDEX(ERP資料!$G:$G, (MATCH(22, 輔助計算!$G$2:$G$801, 0)+1))&lt;=1181,2,1))))=0,"",IF(MOD(INDEX(輔助計算!$D:$D, (MATCH(22, 輔助計算!$G$2:$G$801, 0)+1)),IF(INDEX(ERP資料!$G:$G, (MATCH(22, 輔助計算!$G$2:$G$801, 0)+1))&lt;100, IF(INDEX(ERP資料!$G:$G, (MATCH(22, 輔助計算!$G$2:$G$801, 0)+1))&lt;=31,3,IF(INDEX(ERP資料!$G:$G, (MATCH(22, 輔助計算!$G$2:$G$801, 0)+1))&lt;=46.5,2,1)), IF(INDEX(ERP資料!$G:$G, (MATCH(22, 輔助計算!$G$2:$G$801, 0)+1))&lt;=790,3,IF(INDEX(ERP資料!$G:$G, (MATCH(22, 輔助計算!$G$2:$G$801, 0)+1))&lt;=1181,2,1))))=0,"",IF(MOD(INDEX(輔助計算!$D:$D, (MATCH(22, 輔助計算!$G$2:$G$801, 0)+1)),IF(INDEX(ERP資料!$G:$G, (MATCH(22, 輔助計算!$G$2:$G$801, 0)+1))&lt;100, IF(INDEX(ERP資料!$G:$G, (MATCH(22, 輔助計算!$G$2:$G$801, 0)+1))&lt;=31,3,IF(INDEX(ERP資料!$G:$G, (MATCH(22, 輔助計算!$G$2:$G$801, 0)+1))&lt;=46.5,2,1)), IF(INDEX(ERP資料!$G:$G, (MATCH(22, 輔助計算!$G$2:$G$801, 0)+1))&lt;=790,3,IF(INDEX(ERP資料!$G:$G, (MATCH(22, 輔助計算!$G$2:$G$801, 0)+1))&lt;=1181,2,1))))=1,TEXT(INDEX(ERP資料!$G:$G, (MATCH(22, 輔助計算!$G$2:$G$801, 0)+1)),"0.##"),IF(MOD(INDEX(輔助計算!$D:$D, (MATCH(22, 輔助計算!$G$2:$G$801, 0)+1)),IF(INDEX(ERP資料!$G:$G, (MATCH(22, 輔助計算!$G$2:$G$801, 0)+1))&lt;100, IF(INDEX(ERP資料!$G:$G, (MATCH(22, 輔助計算!$G$2:$G$801, 0)+1))&lt;=31,3,IF(INDEX(ERP資料!$G:$G, (MATCH(22, 輔助計算!$G$2:$G$801, 0)+1))&lt;=46.5,2,1)), IF(INDEX(ERP資料!$G:$G, (MATCH(22, 輔助計算!$G$2:$G$801, 0)+1))&lt;=790,3,IF(INDEX(ERP資料!$G:$G, (MATCH(22, 輔助計算!$G$2:$G$801, 0)+1))&lt;=1181,2,1))))=2,TEXT(INDEX(ERP資料!$G:$G, (MATCH(22, 輔助計算!$G$2:$G$801, 0)+1)),"0.##")&amp;"+"&amp;TEXT(INDEX(ERP資料!$G:$G, (MATCH(22, 輔助計算!$G$2:$G$801, 0)+1)),"0.##"),TEXT(INDEX(ERP資料!$G:$G, (MATCH(22, 輔助計算!$G$2:$G$801, 0)+1)),"0.##")&amp;"+"&amp;TEXT(INDEX(ERP資料!$G:$G, (MATCH(22, 輔助計算!$G$2:$G$801, 0)+1)),"0.##")&amp;"+"&amp;TEXT(INDEX(ERP資料!$G:$G, (MATCH(22, 輔助計算!$G$2:$G$801, 0)+1)),"0.##"))))&amp;"-1")&lt;&gt;""),"  ","")&amp;IF(MOD(INDEX(輔助計算!$D:$D, (MATCH(22, 輔助計算!$G$2:$G$801, 0)+1)),IF(INDEX(ERP資料!$G:$G, (MATCH(22, 輔助計算!$G$2:$G$801, 0)+1))&lt;100, IF(INDEX(ERP資料!$G:$G, (MATCH(22, 輔助計算!$G$2:$G$801, 0)+1))&lt;=31,3,IF(INDEX(ERP資料!$G:$G, (MATCH(22, 輔助計算!$G$2:$G$801, 0)+1))&lt;=46.5,2,1)), IF(INDEX(ERP資料!$G:$G, (MATCH(22, 輔助計算!$G$2:$G$801, 0)+1))&lt;=790,3,IF(INDEX(ERP資料!$G:$G, (MATCH(22, 輔助計算!$G$2:$G$801, 0)+1))&lt;=1181,2,1))))=0,"",IF(MOD(INDEX(輔助計算!$D:$D, (MATCH(22, 輔助計算!$G$2:$G$801, 0)+1)),IF(INDEX(ERP資料!$G:$G, (MATCH(22, 輔助計算!$G$2:$G$801, 0)+1))&lt;100, IF(INDEX(ERP資料!$G:$G, (MATCH(22, 輔助計算!$G$2:$G$801, 0)+1))&lt;=31,3,IF(INDEX(ERP資料!$G:$G, (MATCH(22, 輔助計算!$G$2:$G$801, 0)+1))&lt;=46.5,2,1)), IF(INDEX(ERP資料!$G:$G, (MATCH(22, 輔助計算!$G$2:$G$801, 0)+1))&lt;=790,3,IF(INDEX(ERP資料!$G:$G, (MATCH(22, 輔助計算!$G$2:$G$801, 0)+1))&lt;=1181,2,1))))=0,"",IF(MOD(INDEX(輔助計算!$D:$D, (MATCH(22, 輔助計算!$G$2:$G$801, 0)+1)),IF(INDEX(ERP資料!$G:$G, (MATCH(22, 輔助計算!$G$2:$G$801, 0)+1))&lt;100, IF(INDEX(ERP資料!$G:$G, (MATCH(22, 輔助計算!$G$2:$G$801, 0)+1))&lt;=31,3,IF(INDEX(ERP資料!$G:$G, (MATCH(22, 輔助計算!$G$2:$G$801, 0)+1))&lt;=46.5,2,1)), IF(INDEX(ERP資料!$G:$G, (MATCH(22, 輔助計算!$G$2:$G$801, 0)+1))&lt;=790,3,IF(INDEX(ERP資料!$G:$G, (MATCH(22, 輔助計算!$G$2:$G$801, 0)+1))&lt;=1181,2,1))))=1,TEXT(INDEX(ERP資料!$G:$G, (MATCH(22, 輔助計算!$G$2:$G$801, 0)+1)),"0.##"),IF(MOD(INDEX(輔助計算!$D:$D, (MATCH(22, 輔助計算!$G$2:$G$801, 0)+1)),IF(INDEX(ERP資料!$G:$G, (MATCH(22, 輔助計算!$G$2:$G$801, 0)+1))&lt;100, IF(INDEX(ERP資料!$G:$G, (MATCH(22, 輔助計算!$G$2:$G$801, 0)+1))&lt;=31,3,IF(INDEX(ERP資料!$G:$G, (MATCH(22, 輔助計算!$G$2:$G$801, 0)+1))&lt;=46.5,2,1)), IF(INDEX(ERP資料!$G:$G, (MATCH(22, 輔助計算!$G$2:$G$801, 0)+1))&lt;=790,3,IF(INDEX(ERP資料!$G:$G, (MATCH(22, 輔助計算!$G$2:$G$801, 0)+1))&lt;=1181,2,1))))=2,TEXT(INDEX(ERP資料!$G:$G, (MATCH(22, 輔助計算!$G$2:$G$801, 0)+1)),"0.##")&amp;"+"&amp;TEXT(INDEX(ERP資料!$G:$G, (MATCH(22, 輔助計算!$G$2:$G$801, 0)+1)),"0.##"),TEXT(INDEX(ERP資料!$G:$G, (MATCH(22, 輔助計算!$G$2:$G$801, 0)+1)),"0.##")&amp;"+"&amp;TEXT(INDEX(ERP資料!$G:$G, (MATCH(22, 輔助計算!$G$2:$G$801, 0)+1)),"0.##")&amp;"+"&amp;TEXT(INDEX(ERP資料!$G:$G, (MATCH(22, 輔助計算!$G$2:$G$801, 0)+1)),"0.##"))))&amp;"-1")), ""), "")</f>
        <v/>
      </c>
      <c r="K23" s="16" t="n"/>
      <c r="L23" s="14">
        <f>IFERROR(IF(AND(IFERROR(INDEX(ERP資料!$A:$A, (MATCH(22, 輔助計算!$G$2:$G$801, 0)+1)), "")&lt;&gt;"", IFERROR(INDEX(ERP資料!$A:$A, (MATCH(22, 輔助計算!$G$2:$G$801, 0)+1)), "")&lt;&gt;IFERROR(INDEX(ERP資料!$A:$A, MATCH(21, 輔助計算!$G$2:$G$801, 0)+1), "")), INDEX(ERP資料!$B:$B, (MATCH(22, 輔助計算!$G$2:$G$801, 0)+1)), ""), "")</f>
        <v/>
      </c>
      <c r="M23" s="17" t="n"/>
    </row>
    <row r="24">
      <c r="A24" s="10">
        <f>IFERROR(IF(AND(IFERROR(INDEX(ERP資料!$A:$A, (MATCH(23, 輔助計算!$G$2:$G$801, 0)+1)), "")&lt;&gt;"", IFERROR(INDEX(ERP資料!$A:$A, (MATCH(23, 輔助計算!$G$2:$G$801, 0)+1)), "")&lt;&gt;IFERROR(INDEX(ERP資料!$A:$A, MATCH(22, 輔助計算!$G$2:$G$801, 0)+1), "")), IFERROR(INDEX(ERP資料!$A:$A, (MATCH(23, 輔助計算!$G$2:$G$801, 0)+1)), ""), ""), "")</f>
        <v/>
      </c>
      <c r="B24" s="10">
        <f>IFERROR(IF(AND(IFERROR(INDEX(ERP資料!$A:$A, (MATCH(23, 輔助計算!$G$2:$G$801, 0)+1)), "")&lt;&gt;"", IFERROR(INDEX(ERP資料!$A:$A, (MATCH(23, 輔助計算!$G$2:$G$801, 0)+1)), "")&lt;&gt;IFERROR(INDEX(ERP資料!$A:$A, MATCH(22, 輔助計算!$G$2:$G$801, 0)+1), "")), INDEX(ERP資料!$S:$S, (MATCH(23, 輔助計算!$G$2:$G$801, 0)+1)), ""), "")</f>
        <v/>
      </c>
      <c r="C24" s="19">
        <f>IFERROR(IF(AND(IFERROR(INDEX(ERP資料!$A:$A, (MATCH(23, 輔助計算!$G$2:$G$801, 0)+1)), "")&lt;&gt;"", IFERROR(INDEX(ERP資料!$A:$A, (MATCH(23, 輔助計算!$G$2:$G$801, 0)+1)), "")&lt;&gt;IFERROR(INDEX(ERP資料!$A:$A, MATCH(22, 輔助計算!$G$2:$G$801, 0)+1), "")), IFERROR(VLOOKUP(LEFT(INDEX(ERP資料!$S:$S, (MATCH(23, 輔助計算!$G$2:$G$801, 0)+1)), 4), 紙管對照表!$A:$C, 3, FALSE), ""), ""), "")</f>
        <v/>
      </c>
      <c r="D24" s="16" t="n"/>
      <c r="E24" s="10">
        <f>IFERROR(IF(INDEX(ERP資料!$H:$H, (MATCH(23, 輔助計算!$G$2:$G$801, 0)+1))="","",INDEX(ERP資料!$H:$H, (MATCH(23, 輔助計算!$G$2:$G$801, 0)+1))), "")</f>
        <v/>
      </c>
      <c r="F24" s="10">
        <f>IFERROR(IF(INDEX(ERP資料!$E:$E, (MATCH(23, 輔助計算!$G$2:$G$801, 0)+1))="","",TRIM(INDEX(ERP資料!$E:$E, (MATCH(23, 輔助計算!$G$2:$G$801, 0)+1)))), "")</f>
        <v/>
      </c>
      <c r="G24" s="10">
        <f>IFERROR(IF(INDEX(ERP資料!$F:$F, (MATCH(23, 輔助計算!$G$2:$G$801, 0)+1))="","",INDEX(ERP資料!$F:$F, (MATCH(23, 輔助計算!$G$2:$G$801, 0)+1))), "")</f>
        <v/>
      </c>
      <c r="H24" s="10">
        <f>IFERROR(IF(INDEX(ERP資料!$G:$G, (MATCH(23, 輔助計算!$G$2:$G$801, 0)+1))="","",INDEX(ERP資料!$G:$G, (MATCH(23, 輔助計算!$G$2:$G$801, 0)+1))), "")</f>
        <v/>
      </c>
      <c r="I24" s="15">
        <f>IFERROR(INDEX(輔助計算!$D:$D, (MATCH(23, 輔助計算!$G$2:$G$801, 0)+1)), "")</f>
        <v/>
      </c>
      <c r="J24" s="15">
        <f>IFERROR(IF(AND(INDEX(輔助計算!$D:$D, (MATCH(23, 輔助計算!$G$2:$G$801, 0)+1))&lt;&gt;"", INDEX(ERP資料!$G:$G, (MATCH(23, 輔助計算!$G$2:$G$801, 0)+1))&lt;&gt;""), TRIM(IF(INT(INDEX(輔助計算!$D:$D, (MATCH(23, 輔助計算!$G$2:$G$801, 0)+1))/IF(INDEX(ERP資料!$G:$G, (MATCH(23, 輔助計算!$G$2:$G$801, 0)+1))&lt;100, IF(INDEX(ERP資料!$G:$G, (MATCH(23, 輔助計算!$G$2:$G$801, 0)+1))&lt;=31,3,IF(INDEX(ERP資料!$G:$G, (MATCH(23, 輔助計算!$G$2:$G$801, 0)+1))&lt;=46.5,2,1)), IF(INDEX(ERP資料!$G:$G, (MATCH(23, 輔助計算!$G$2:$G$801, 0)+1))&lt;=790,3,IF(INDEX(ERP資料!$G:$G, (MATCH(23, 輔助計算!$G$2:$G$801, 0)+1))&lt;=1181,2,1))))&gt;0, IF(IF(INDEX(ERP資料!$G:$G, (MATCH(23, 輔助計算!$G$2:$G$801, 0)+1))&lt;100, IF(INDEX(ERP資料!$G:$G, (MATCH(23, 輔助計算!$G$2:$G$801, 0)+1))&lt;=31,3,IF(INDEX(ERP資料!$G:$G, (MATCH(23, 輔助計算!$G$2:$G$801, 0)+1))&lt;=46.5,2,1)), IF(INDEX(ERP資料!$G:$G, (MATCH(23, 輔助計算!$G$2:$G$801, 0)+1))&lt;=790,3,IF(INDEX(ERP資料!$G:$G, (MATCH(23, 輔助計算!$G$2:$G$801, 0)+1))&lt;=1181,2,1)))=1,TEXT(INDEX(ERP資料!$G:$G, (MATCH(23, 輔助計算!$G$2:$G$801, 0)+1)),"0.##"),IF(IF(INDEX(ERP資料!$G:$G, (MATCH(23, 輔助計算!$G$2:$G$801, 0)+1))&lt;100, IF(INDEX(ERP資料!$G:$G, (MATCH(23, 輔助計算!$G$2:$G$801, 0)+1))&lt;=31,3,IF(INDEX(ERP資料!$G:$G, (MATCH(23, 輔助計算!$G$2:$G$801, 0)+1))&lt;=46.5,2,1)), IF(INDEX(ERP資料!$G:$G, (MATCH(23, 輔助計算!$G$2:$G$801, 0)+1))&lt;=790,3,IF(INDEX(ERP資料!$G:$G, (MATCH(23, 輔助計算!$G$2:$G$801, 0)+1))&lt;=1181,2,1)))=2,TEXT(INDEX(ERP資料!$G:$G, (MATCH(23, 輔助計算!$G$2:$G$801, 0)+1)),"0.##")&amp;"+"&amp;TEXT(INDEX(ERP資料!$G:$G, (MATCH(23, 輔助計算!$G$2:$G$801, 0)+1)),"0.##"),TEXT(INDEX(ERP資料!$G:$G, (MATCH(23, 輔助計算!$G$2:$G$801, 0)+1)),"0.##")&amp;"+"&amp;TEXT(INDEX(ERP資料!$G:$G, (MATCH(23, 輔助計算!$G$2:$G$801, 0)+1)),"0.##")&amp;"+"&amp;TEXT(INDEX(ERP資料!$G:$G, (MATCH(23, 輔助計算!$G$2:$G$801, 0)+1)),"0.##")))&amp;"-"&amp;INT(INDEX(輔助計算!$D:$D, (MATCH(23, 輔助計算!$G$2:$G$801, 0)+1))/IF(INDEX(ERP資料!$G:$G, (MATCH(23, 輔助計算!$G$2:$G$801, 0)+1))&lt;100, IF(INDEX(ERP資料!$G:$G, (MATCH(23, 輔助計算!$G$2:$G$801, 0)+1))&lt;=31,3,IF(INDEX(ERP資料!$G:$G, (MATCH(23, 輔助計算!$G$2:$G$801, 0)+1))&lt;=46.5,2,1)), IF(INDEX(ERP資料!$G:$G, (MATCH(23, 輔助計算!$G$2:$G$801, 0)+1))&lt;=790,3,IF(INDEX(ERP資料!$G:$G, (MATCH(23, 輔助計算!$G$2:$G$801, 0)+1))&lt;=1181,2,1)))), "")&amp;IF(AND(IF(INT(INDEX(輔助計算!$D:$D, (MATCH(23, 輔助計算!$G$2:$G$801, 0)+1))/IF(INDEX(ERP資料!$G:$G, (MATCH(23, 輔助計算!$G$2:$G$801, 0)+1))&lt;100, IF(INDEX(ERP資料!$G:$G, (MATCH(23, 輔助計算!$G$2:$G$801, 0)+1))&lt;=31,3,IF(INDEX(ERP資料!$G:$G, (MATCH(23, 輔助計算!$G$2:$G$801, 0)+1))&lt;=46.5,2,1)), IF(INDEX(ERP資料!$G:$G, (MATCH(23, 輔助計算!$G$2:$G$801, 0)+1))&lt;=790,3,IF(INDEX(ERP資料!$G:$G, (MATCH(23, 輔助計算!$G$2:$G$801, 0)+1))&lt;=1181,2,1))))&gt;0, IF(IF(INDEX(ERP資料!$G:$G, (MATCH(23, 輔助計算!$G$2:$G$801, 0)+1))&lt;100, IF(INDEX(ERP資料!$G:$G, (MATCH(23, 輔助計算!$G$2:$G$801, 0)+1))&lt;=31,3,IF(INDEX(ERP資料!$G:$G, (MATCH(23, 輔助計算!$G$2:$G$801, 0)+1))&lt;=46.5,2,1)), IF(INDEX(ERP資料!$G:$G, (MATCH(23, 輔助計算!$G$2:$G$801, 0)+1))&lt;=790,3,IF(INDEX(ERP資料!$G:$G, (MATCH(23, 輔助計算!$G$2:$G$801, 0)+1))&lt;=1181,2,1)))=1,TEXT(INDEX(ERP資料!$G:$G, (MATCH(23, 輔助計算!$G$2:$G$801, 0)+1)),"0.##"),IF(IF(INDEX(ERP資料!$G:$G, (MATCH(23, 輔助計算!$G$2:$G$801, 0)+1))&lt;100, IF(INDEX(ERP資料!$G:$G, (MATCH(23, 輔助計算!$G$2:$G$801, 0)+1))&lt;=31,3,IF(INDEX(ERP資料!$G:$G, (MATCH(23, 輔助計算!$G$2:$G$801, 0)+1))&lt;=46.5,2,1)), IF(INDEX(ERP資料!$G:$G, (MATCH(23, 輔助計算!$G$2:$G$801, 0)+1))&lt;=790,3,IF(INDEX(ERP資料!$G:$G, (MATCH(23, 輔助計算!$G$2:$G$801, 0)+1))&lt;=1181,2,1)))=2,TEXT(INDEX(ERP資料!$G:$G, (MATCH(23, 輔助計算!$G$2:$G$801, 0)+1)),"0.##")&amp;"+"&amp;TEXT(INDEX(ERP資料!$G:$G, (MATCH(23, 輔助計算!$G$2:$G$801, 0)+1)),"0.##"),TEXT(INDEX(ERP資料!$G:$G, (MATCH(23, 輔助計算!$G$2:$G$801, 0)+1)),"0.##")&amp;"+"&amp;TEXT(INDEX(ERP資料!$G:$G, (MATCH(23, 輔助計算!$G$2:$G$801, 0)+1)),"0.##")&amp;"+"&amp;TEXT(INDEX(ERP資料!$G:$G, (MATCH(23, 輔助計算!$G$2:$G$801, 0)+1)),"0.##")))&amp;"-"&amp;INT(INDEX(輔助計算!$D:$D, (MATCH(23, 輔助計算!$G$2:$G$801, 0)+1))/IF(INDEX(ERP資料!$G:$G, (MATCH(23, 輔助計算!$G$2:$G$801, 0)+1))&lt;100, IF(INDEX(ERP資料!$G:$G, (MATCH(23, 輔助計算!$G$2:$G$801, 0)+1))&lt;=31,3,IF(INDEX(ERP資料!$G:$G, (MATCH(23, 輔助計算!$G$2:$G$801, 0)+1))&lt;=46.5,2,1)), IF(INDEX(ERP資料!$G:$G, (MATCH(23, 輔助計算!$G$2:$G$801, 0)+1))&lt;=790,3,IF(INDEX(ERP資料!$G:$G, (MATCH(23, 輔助計算!$G$2:$G$801, 0)+1))&lt;=1181,2,1)))), "")&lt;&gt;"",IF(MOD(INDEX(輔助計算!$D:$D, (MATCH(23, 輔助計算!$G$2:$G$801, 0)+1)),IF(INDEX(ERP資料!$G:$G, (MATCH(23, 輔助計算!$G$2:$G$801, 0)+1))&lt;100, IF(INDEX(ERP資料!$G:$G, (MATCH(23, 輔助計算!$G$2:$G$801, 0)+1))&lt;=31,3,IF(INDEX(ERP資料!$G:$G, (MATCH(23, 輔助計算!$G$2:$G$801, 0)+1))&lt;=46.5,2,1)), IF(INDEX(ERP資料!$G:$G, (MATCH(23, 輔助計算!$G$2:$G$801, 0)+1))&lt;=790,3,IF(INDEX(ERP資料!$G:$G, (MATCH(23, 輔助計算!$G$2:$G$801, 0)+1))&lt;=1181,2,1))))=0,"",IF(MOD(INDEX(輔助計算!$D:$D, (MATCH(23, 輔助計算!$G$2:$G$801, 0)+1)),IF(INDEX(ERP資料!$G:$G, (MATCH(23, 輔助計算!$G$2:$G$801, 0)+1))&lt;100, IF(INDEX(ERP資料!$G:$G, (MATCH(23, 輔助計算!$G$2:$G$801, 0)+1))&lt;=31,3,IF(INDEX(ERP資料!$G:$G, (MATCH(23, 輔助計算!$G$2:$G$801, 0)+1))&lt;=46.5,2,1)), IF(INDEX(ERP資料!$G:$G, (MATCH(23, 輔助計算!$G$2:$G$801, 0)+1))&lt;=790,3,IF(INDEX(ERP資料!$G:$G, (MATCH(23, 輔助計算!$G$2:$G$801, 0)+1))&lt;=1181,2,1))))=0,"",IF(MOD(INDEX(輔助計算!$D:$D, (MATCH(23, 輔助計算!$G$2:$G$801, 0)+1)),IF(INDEX(ERP資料!$G:$G, (MATCH(23, 輔助計算!$G$2:$G$801, 0)+1))&lt;100, IF(INDEX(ERP資料!$G:$G, (MATCH(23, 輔助計算!$G$2:$G$801, 0)+1))&lt;=31,3,IF(INDEX(ERP資料!$G:$G, (MATCH(23, 輔助計算!$G$2:$G$801, 0)+1))&lt;=46.5,2,1)), IF(INDEX(ERP資料!$G:$G, (MATCH(23, 輔助計算!$G$2:$G$801, 0)+1))&lt;=790,3,IF(INDEX(ERP資料!$G:$G, (MATCH(23, 輔助計算!$G$2:$G$801, 0)+1))&lt;=1181,2,1))))=1,TEXT(INDEX(ERP資料!$G:$G, (MATCH(23, 輔助計算!$G$2:$G$801, 0)+1)),"0.##"),IF(MOD(INDEX(輔助計算!$D:$D, (MATCH(23, 輔助計算!$G$2:$G$801, 0)+1)),IF(INDEX(ERP資料!$G:$G, (MATCH(23, 輔助計算!$G$2:$G$801, 0)+1))&lt;100, IF(INDEX(ERP資料!$G:$G, (MATCH(23, 輔助計算!$G$2:$G$801, 0)+1))&lt;=31,3,IF(INDEX(ERP資料!$G:$G, (MATCH(23, 輔助計算!$G$2:$G$801, 0)+1))&lt;=46.5,2,1)), IF(INDEX(ERP資料!$G:$G, (MATCH(23, 輔助計算!$G$2:$G$801, 0)+1))&lt;=790,3,IF(INDEX(ERP資料!$G:$G, (MATCH(23, 輔助計算!$G$2:$G$801, 0)+1))&lt;=1181,2,1))))=2,TEXT(INDEX(ERP資料!$G:$G, (MATCH(23, 輔助計算!$G$2:$G$801, 0)+1)),"0.##")&amp;"+"&amp;TEXT(INDEX(ERP資料!$G:$G, (MATCH(23, 輔助計算!$G$2:$G$801, 0)+1)),"0.##"),TEXT(INDEX(ERP資料!$G:$G, (MATCH(23, 輔助計算!$G$2:$G$801, 0)+1)),"0.##")&amp;"+"&amp;TEXT(INDEX(ERP資料!$G:$G, (MATCH(23, 輔助計算!$G$2:$G$801, 0)+1)),"0.##")&amp;"+"&amp;TEXT(INDEX(ERP資料!$G:$G, (MATCH(23, 輔助計算!$G$2:$G$801, 0)+1)),"0.##"))))&amp;"-1")&lt;&gt;""),"  ","")&amp;IF(MOD(INDEX(輔助計算!$D:$D, (MATCH(23, 輔助計算!$G$2:$G$801, 0)+1)),IF(INDEX(ERP資料!$G:$G, (MATCH(23, 輔助計算!$G$2:$G$801, 0)+1))&lt;100, IF(INDEX(ERP資料!$G:$G, (MATCH(23, 輔助計算!$G$2:$G$801, 0)+1))&lt;=31,3,IF(INDEX(ERP資料!$G:$G, (MATCH(23, 輔助計算!$G$2:$G$801, 0)+1))&lt;=46.5,2,1)), IF(INDEX(ERP資料!$G:$G, (MATCH(23, 輔助計算!$G$2:$G$801, 0)+1))&lt;=790,3,IF(INDEX(ERP資料!$G:$G, (MATCH(23, 輔助計算!$G$2:$G$801, 0)+1))&lt;=1181,2,1))))=0,"",IF(MOD(INDEX(輔助計算!$D:$D, (MATCH(23, 輔助計算!$G$2:$G$801, 0)+1)),IF(INDEX(ERP資料!$G:$G, (MATCH(23, 輔助計算!$G$2:$G$801, 0)+1))&lt;100, IF(INDEX(ERP資料!$G:$G, (MATCH(23, 輔助計算!$G$2:$G$801, 0)+1))&lt;=31,3,IF(INDEX(ERP資料!$G:$G, (MATCH(23, 輔助計算!$G$2:$G$801, 0)+1))&lt;=46.5,2,1)), IF(INDEX(ERP資料!$G:$G, (MATCH(23, 輔助計算!$G$2:$G$801, 0)+1))&lt;=790,3,IF(INDEX(ERP資料!$G:$G, (MATCH(23, 輔助計算!$G$2:$G$801, 0)+1))&lt;=1181,2,1))))=0,"",IF(MOD(INDEX(輔助計算!$D:$D, (MATCH(23, 輔助計算!$G$2:$G$801, 0)+1)),IF(INDEX(ERP資料!$G:$G, (MATCH(23, 輔助計算!$G$2:$G$801, 0)+1))&lt;100, IF(INDEX(ERP資料!$G:$G, (MATCH(23, 輔助計算!$G$2:$G$801, 0)+1))&lt;=31,3,IF(INDEX(ERP資料!$G:$G, (MATCH(23, 輔助計算!$G$2:$G$801, 0)+1))&lt;=46.5,2,1)), IF(INDEX(ERP資料!$G:$G, (MATCH(23, 輔助計算!$G$2:$G$801, 0)+1))&lt;=790,3,IF(INDEX(ERP資料!$G:$G, (MATCH(23, 輔助計算!$G$2:$G$801, 0)+1))&lt;=1181,2,1))))=1,TEXT(INDEX(ERP資料!$G:$G, (MATCH(23, 輔助計算!$G$2:$G$801, 0)+1)),"0.##"),IF(MOD(INDEX(輔助計算!$D:$D, (MATCH(23, 輔助計算!$G$2:$G$801, 0)+1)),IF(INDEX(ERP資料!$G:$G, (MATCH(23, 輔助計算!$G$2:$G$801, 0)+1))&lt;100, IF(INDEX(ERP資料!$G:$G, (MATCH(23, 輔助計算!$G$2:$G$801, 0)+1))&lt;=31,3,IF(INDEX(ERP資料!$G:$G, (MATCH(23, 輔助計算!$G$2:$G$801, 0)+1))&lt;=46.5,2,1)), IF(INDEX(ERP資料!$G:$G, (MATCH(23, 輔助計算!$G$2:$G$801, 0)+1))&lt;=790,3,IF(INDEX(ERP資料!$G:$G, (MATCH(23, 輔助計算!$G$2:$G$801, 0)+1))&lt;=1181,2,1))))=2,TEXT(INDEX(ERP資料!$G:$G, (MATCH(23, 輔助計算!$G$2:$G$801, 0)+1)),"0.##")&amp;"+"&amp;TEXT(INDEX(ERP資料!$G:$G, (MATCH(23, 輔助計算!$G$2:$G$801, 0)+1)),"0.##"),TEXT(INDEX(ERP資料!$G:$G, (MATCH(23, 輔助計算!$G$2:$G$801, 0)+1)),"0.##")&amp;"+"&amp;TEXT(INDEX(ERP資料!$G:$G, (MATCH(23, 輔助計算!$G$2:$G$801, 0)+1)),"0.##")&amp;"+"&amp;TEXT(INDEX(ERP資料!$G:$G, (MATCH(23, 輔助計算!$G$2:$G$801, 0)+1)),"0.##"))))&amp;"-1")), ""), "")</f>
        <v/>
      </c>
      <c r="K24" s="16" t="n"/>
      <c r="L24" s="14">
        <f>IFERROR(IF(AND(IFERROR(INDEX(ERP資料!$A:$A, (MATCH(23, 輔助計算!$G$2:$G$801, 0)+1)), "")&lt;&gt;"", IFERROR(INDEX(ERP資料!$A:$A, (MATCH(23, 輔助計算!$G$2:$G$801, 0)+1)), "")&lt;&gt;IFERROR(INDEX(ERP資料!$A:$A, MATCH(22, 輔助計算!$G$2:$G$801, 0)+1), "")), INDEX(ERP資料!$B:$B, (MATCH(23, 輔助計算!$G$2:$G$801, 0)+1)), ""), "")</f>
        <v/>
      </c>
      <c r="M24" s="17" t="n"/>
    </row>
    <row r="25">
      <c r="A25" s="10">
        <f>IFERROR(IF(AND(IFERROR(INDEX(ERP資料!$A:$A, (MATCH(24, 輔助計算!$G$2:$G$801, 0)+1)), "")&lt;&gt;"", IFERROR(INDEX(ERP資料!$A:$A, (MATCH(24, 輔助計算!$G$2:$G$801, 0)+1)), "")&lt;&gt;IFERROR(INDEX(ERP資料!$A:$A, MATCH(23, 輔助計算!$G$2:$G$801, 0)+1), "")), IFERROR(INDEX(ERP資料!$A:$A, (MATCH(24, 輔助計算!$G$2:$G$801, 0)+1)), ""), ""), "")</f>
        <v/>
      </c>
      <c r="B25" s="10">
        <f>IFERROR(IF(AND(IFERROR(INDEX(ERP資料!$A:$A, (MATCH(24, 輔助計算!$G$2:$G$801, 0)+1)), "")&lt;&gt;"", IFERROR(INDEX(ERP資料!$A:$A, (MATCH(24, 輔助計算!$G$2:$G$801, 0)+1)), "")&lt;&gt;IFERROR(INDEX(ERP資料!$A:$A, MATCH(23, 輔助計算!$G$2:$G$801, 0)+1), "")), INDEX(ERP資料!$S:$S, (MATCH(24, 輔助計算!$G$2:$G$801, 0)+1)), ""), "")</f>
        <v/>
      </c>
      <c r="C25" s="19">
        <f>IFERROR(IF(AND(IFERROR(INDEX(ERP資料!$A:$A, (MATCH(24, 輔助計算!$G$2:$G$801, 0)+1)), "")&lt;&gt;"", IFERROR(INDEX(ERP資料!$A:$A, (MATCH(24, 輔助計算!$G$2:$G$801, 0)+1)), "")&lt;&gt;IFERROR(INDEX(ERP資料!$A:$A, MATCH(23, 輔助計算!$G$2:$G$801, 0)+1), "")), IFERROR(VLOOKUP(LEFT(INDEX(ERP資料!$S:$S, (MATCH(24, 輔助計算!$G$2:$G$801, 0)+1)), 4), 紙管對照表!$A:$C, 3, FALSE), ""), ""), "")</f>
        <v/>
      </c>
      <c r="D25" s="16" t="n"/>
      <c r="E25" s="10">
        <f>IFERROR(IF(INDEX(ERP資料!$H:$H, (MATCH(24, 輔助計算!$G$2:$G$801, 0)+1))="","",INDEX(ERP資料!$H:$H, (MATCH(24, 輔助計算!$G$2:$G$801, 0)+1))), "")</f>
        <v/>
      </c>
      <c r="F25" s="10">
        <f>IFERROR(IF(INDEX(ERP資料!$E:$E, (MATCH(24, 輔助計算!$G$2:$G$801, 0)+1))="","",TRIM(INDEX(ERP資料!$E:$E, (MATCH(24, 輔助計算!$G$2:$G$801, 0)+1)))), "")</f>
        <v/>
      </c>
      <c r="G25" s="10">
        <f>IFERROR(IF(INDEX(ERP資料!$F:$F, (MATCH(24, 輔助計算!$G$2:$G$801, 0)+1))="","",INDEX(ERP資料!$F:$F, (MATCH(24, 輔助計算!$G$2:$G$801, 0)+1))), "")</f>
        <v/>
      </c>
      <c r="H25" s="10">
        <f>IFERROR(IF(INDEX(ERP資料!$G:$G, (MATCH(24, 輔助計算!$G$2:$G$801, 0)+1))="","",INDEX(ERP資料!$G:$G, (MATCH(24, 輔助計算!$G$2:$G$801, 0)+1))), "")</f>
        <v/>
      </c>
      <c r="I25" s="15">
        <f>IFERROR(INDEX(輔助計算!$D:$D, (MATCH(24, 輔助計算!$G$2:$G$801, 0)+1)), "")</f>
        <v/>
      </c>
      <c r="J25" s="15">
        <f>IFERROR(IF(AND(INDEX(輔助計算!$D:$D, (MATCH(24, 輔助計算!$G$2:$G$801, 0)+1))&lt;&gt;"", INDEX(ERP資料!$G:$G, (MATCH(24, 輔助計算!$G$2:$G$801, 0)+1))&lt;&gt;""), TRIM(IF(INT(INDEX(輔助計算!$D:$D, (MATCH(24, 輔助計算!$G$2:$G$801, 0)+1))/IF(INDEX(ERP資料!$G:$G, (MATCH(24, 輔助計算!$G$2:$G$801, 0)+1))&lt;100, IF(INDEX(ERP資料!$G:$G, (MATCH(24, 輔助計算!$G$2:$G$801, 0)+1))&lt;=31,3,IF(INDEX(ERP資料!$G:$G, (MATCH(24, 輔助計算!$G$2:$G$801, 0)+1))&lt;=46.5,2,1)), IF(INDEX(ERP資料!$G:$G, (MATCH(24, 輔助計算!$G$2:$G$801, 0)+1))&lt;=790,3,IF(INDEX(ERP資料!$G:$G, (MATCH(24, 輔助計算!$G$2:$G$801, 0)+1))&lt;=1181,2,1))))&gt;0, IF(IF(INDEX(ERP資料!$G:$G, (MATCH(24, 輔助計算!$G$2:$G$801, 0)+1))&lt;100, IF(INDEX(ERP資料!$G:$G, (MATCH(24, 輔助計算!$G$2:$G$801, 0)+1))&lt;=31,3,IF(INDEX(ERP資料!$G:$G, (MATCH(24, 輔助計算!$G$2:$G$801, 0)+1))&lt;=46.5,2,1)), IF(INDEX(ERP資料!$G:$G, (MATCH(24, 輔助計算!$G$2:$G$801, 0)+1))&lt;=790,3,IF(INDEX(ERP資料!$G:$G, (MATCH(24, 輔助計算!$G$2:$G$801, 0)+1))&lt;=1181,2,1)))=1,TEXT(INDEX(ERP資料!$G:$G, (MATCH(24, 輔助計算!$G$2:$G$801, 0)+1)),"0.##"),IF(IF(INDEX(ERP資料!$G:$G, (MATCH(24, 輔助計算!$G$2:$G$801, 0)+1))&lt;100, IF(INDEX(ERP資料!$G:$G, (MATCH(24, 輔助計算!$G$2:$G$801, 0)+1))&lt;=31,3,IF(INDEX(ERP資料!$G:$G, (MATCH(24, 輔助計算!$G$2:$G$801, 0)+1))&lt;=46.5,2,1)), IF(INDEX(ERP資料!$G:$G, (MATCH(24, 輔助計算!$G$2:$G$801, 0)+1))&lt;=790,3,IF(INDEX(ERP資料!$G:$G, (MATCH(24, 輔助計算!$G$2:$G$801, 0)+1))&lt;=1181,2,1)))=2,TEXT(INDEX(ERP資料!$G:$G, (MATCH(24, 輔助計算!$G$2:$G$801, 0)+1)),"0.##")&amp;"+"&amp;TEXT(INDEX(ERP資料!$G:$G, (MATCH(24, 輔助計算!$G$2:$G$801, 0)+1)),"0.##"),TEXT(INDEX(ERP資料!$G:$G, (MATCH(24, 輔助計算!$G$2:$G$801, 0)+1)),"0.##")&amp;"+"&amp;TEXT(INDEX(ERP資料!$G:$G, (MATCH(24, 輔助計算!$G$2:$G$801, 0)+1)),"0.##")&amp;"+"&amp;TEXT(INDEX(ERP資料!$G:$G, (MATCH(24, 輔助計算!$G$2:$G$801, 0)+1)),"0.##")))&amp;"-"&amp;INT(INDEX(輔助計算!$D:$D, (MATCH(24, 輔助計算!$G$2:$G$801, 0)+1))/IF(INDEX(ERP資料!$G:$G, (MATCH(24, 輔助計算!$G$2:$G$801, 0)+1))&lt;100, IF(INDEX(ERP資料!$G:$G, (MATCH(24, 輔助計算!$G$2:$G$801, 0)+1))&lt;=31,3,IF(INDEX(ERP資料!$G:$G, (MATCH(24, 輔助計算!$G$2:$G$801, 0)+1))&lt;=46.5,2,1)), IF(INDEX(ERP資料!$G:$G, (MATCH(24, 輔助計算!$G$2:$G$801, 0)+1))&lt;=790,3,IF(INDEX(ERP資料!$G:$G, (MATCH(24, 輔助計算!$G$2:$G$801, 0)+1))&lt;=1181,2,1)))), "")&amp;IF(AND(IF(INT(INDEX(輔助計算!$D:$D, (MATCH(24, 輔助計算!$G$2:$G$801, 0)+1))/IF(INDEX(ERP資料!$G:$G, (MATCH(24, 輔助計算!$G$2:$G$801, 0)+1))&lt;100, IF(INDEX(ERP資料!$G:$G, (MATCH(24, 輔助計算!$G$2:$G$801, 0)+1))&lt;=31,3,IF(INDEX(ERP資料!$G:$G, (MATCH(24, 輔助計算!$G$2:$G$801, 0)+1))&lt;=46.5,2,1)), IF(INDEX(ERP資料!$G:$G, (MATCH(24, 輔助計算!$G$2:$G$801, 0)+1))&lt;=790,3,IF(INDEX(ERP資料!$G:$G, (MATCH(24, 輔助計算!$G$2:$G$801, 0)+1))&lt;=1181,2,1))))&gt;0, IF(IF(INDEX(ERP資料!$G:$G, (MATCH(24, 輔助計算!$G$2:$G$801, 0)+1))&lt;100, IF(INDEX(ERP資料!$G:$G, (MATCH(24, 輔助計算!$G$2:$G$801, 0)+1))&lt;=31,3,IF(INDEX(ERP資料!$G:$G, (MATCH(24, 輔助計算!$G$2:$G$801, 0)+1))&lt;=46.5,2,1)), IF(INDEX(ERP資料!$G:$G, (MATCH(24, 輔助計算!$G$2:$G$801, 0)+1))&lt;=790,3,IF(INDEX(ERP資料!$G:$G, (MATCH(24, 輔助計算!$G$2:$G$801, 0)+1))&lt;=1181,2,1)))=1,TEXT(INDEX(ERP資料!$G:$G, (MATCH(24, 輔助計算!$G$2:$G$801, 0)+1)),"0.##"),IF(IF(INDEX(ERP資料!$G:$G, (MATCH(24, 輔助計算!$G$2:$G$801, 0)+1))&lt;100, IF(INDEX(ERP資料!$G:$G, (MATCH(24, 輔助計算!$G$2:$G$801, 0)+1))&lt;=31,3,IF(INDEX(ERP資料!$G:$G, (MATCH(24, 輔助計算!$G$2:$G$801, 0)+1))&lt;=46.5,2,1)), IF(INDEX(ERP資料!$G:$G, (MATCH(24, 輔助計算!$G$2:$G$801, 0)+1))&lt;=790,3,IF(INDEX(ERP資料!$G:$G, (MATCH(24, 輔助計算!$G$2:$G$801, 0)+1))&lt;=1181,2,1)))=2,TEXT(INDEX(ERP資料!$G:$G, (MATCH(24, 輔助計算!$G$2:$G$801, 0)+1)),"0.##")&amp;"+"&amp;TEXT(INDEX(ERP資料!$G:$G, (MATCH(24, 輔助計算!$G$2:$G$801, 0)+1)),"0.##"),TEXT(INDEX(ERP資料!$G:$G, (MATCH(24, 輔助計算!$G$2:$G$801, 0)+1)),"0.##")&amp;"+"&amp;TEXT(INDEX(ERP資料!$G:$G, (MATCH(24, 輔助計算!$G$2:$G$801, 0)+1)),"0.##")&amp;"+"&amp;TEXT(INDEX(ERP資料!$G:$G, (MATCH(24, 輔助計算!$G$2:$G$801, 0)+1)),"0.##")))&amp;"-"&amp;INT(INDEX(輔助計算!$D:$D, (MATCH(24, 輔助計算!$G$2:$G$801, 0)+1))/IF(INDEX(ERP資料!$G:$G, (MATCH(24, 輔助計算!$G$2:$G$801, 0)+1))&lt;100, IF(INDEX(ERP資料!$G:$G, (MATCH(24, 輔助計算!$G$2:$G$801, 0)+1))&lt;=31,3,IF(INDEX(ERP資料!$G:$G, (MATCH(24, 輔助計算!$G$2:$G$801, 0)+1))&lt;=46.5,2,1)), IF(INDEX(ERP資料!$G:$G, (MATCH(24, 輔助計算!$G$2:$G$801, 0)+1))&lt;=790,3,IF(INDEX(ERP資料!$G:$G, (MATCH(24, 輔助計算!$G$2:$G$801, 0)+1))&lt;=1181,2,1)))), "")&lt;&gt;"",IF(MOD(INDEX(輔助計算!$D:$D, (MATCH(24, 輔助計算!$G$2:$G$801, 0)+1)),IF(INDEX(ERP資料!$G:$G, (MATCH(24, 輔助計算!$G$2:$G$801, 0)+1))&lt;100, IF(INDEX(ERP資料!$G:$G, (MATCH(24, 輔助計算!$G$2:$G$801, 0)+1))&lt;=31,3,IF(INDEX(ERP資料!$G:$G, (MATCH(24, 輔助計算!$G$2:$G$801, 0)+1))&lt;=46.5,2,1)), IF(INDEX(ERP資料!$G:$G, (MATCH(24, 輔助計算!$G$2:$G$801, 0)+1))&lt;=790,3,IF(INDEX(ERP資料!$G:$G, (MATCH(24, 輔助計算!$G$2:$G$801, 0)+1))&lt;=1181,2,1))))=0,"",IF(MOD(INDEX(輔助計算!$D:$D, (MATCH(24, 輔助計算!$G$2:$G$801, 0)+1)),IF(INDEX(ERP資料!$G:$G, (MATCH(24, 輔助計算!$G$2:$G$801, 0)+1))&lt;100, IF(INDEX(ERP資料!$G:$G, (MATCH(24, 輔助計算!$G$2:$G$801, 0)+1))&lt;=31,3,IF(INDEX(ERP資料!$G:$G, (MATCH(24, 輔助計算!$G$2:$G$801, 0)+1))&lt;=46.5,2,1)), IF(INDEX(ERP資料!$G:$G, (MATCH(24, 輔助計算!$G$2:$G$801, 0)+1))&lt;=790,3,IF(INDEX(ERP資料!$G:$G, (MATCH(24, 輔助計算!$G$2:$G$801, 0)+1))&lt;=1181,2,1))))=0,"",IF(MOD(INDEX(輔助計算!$D:$D, (MATCH(24, 輔助計算!$G$2:$G$801, 0)+1)),IF(INDEX(ERP資料!$G:$G, (MATCH(24, 輔助計算!$G$2:$G$801, 0)+1))&lt;100, IF(INDEX(ERP資料!$G:$G, (MATCH(24, 輔助計算!$G$2:$G$801, 0)+1))&lt;=31,3,IF(INDEX(ERP資料!$G:$G, (MATCH(24, 輔助計算!$G$2:$G$801, 0)+1))&lt;=46.5,2,1)), IF(INDEX(ERP資料!$G:$G, (MATCH(24, 輔助計算!$G$2:$G$801, 0)+1))&lt;=790,3,IF(INDEX(ERP資料!$G:$G, (MATCH(24, 輔助計算!$G$2:$G$801, 0)+1))&lt;=1181,2,1))))=1,TEXT(INDEX(ERP資料!$G:$G, (MATCH(24, 輔助計算!$G$2:$G$801, 0)+1)),"0.##"),IF(MOD(INDEX(輔助計算!$D:$D, (MATCH(24, 輔助計算!$G$2:$G$801, 0)+1)),IF(INDEX(ERP資料!$G:$G, (MATCH(24, 輔助計算!$G$2:$G$801, 0)+1))&lt;100, IF(INDEX(ERP資料!$G:$G, (MATCH(24, 輔助計算!$G$2:$G$801, 0)+1))&lt;=31,3,IF(INDEX(ERP資料!$G:$G, (MATCH(24, 輔助計算!$G$2:$G$801, 0)+1))&lt;=46.5,2,1)), IF(INDEX(ERP資料!$G:$G, (MATCH(24, 輔助計算!$G$2:$G$801, 0)+1))&lt;=790,3,IF(INDEX(ERP資料!$G:$G, (MATCH(24, 輔助計算!$G$2:$G$801, 0)+1))&lt;=1181,2,1))))=2,TEXT(INDEX(ERP資料!$G:$G, (MATCH(24, 輔助計算!$G$2:$G$801, 0)+1)),"0.##")&amp;"+"&amp;TEXT(INDEX(ERP資料!$G:$G, (MATCH(24, 輔助計算!$G$2:$G$801, 0)+1)),"0.##"),TEXT(INDEX(ERP資料!$G:$G, (MATCH(24, 輔助計算!$G$2:$G$801, 0)+1)),"0.##")&amp;"+"&amp;TEXT(INDEX(ERP資料!$G:$G, (MATCH(24, 輔助計算!$G$2:$G$801, 0)+1)),"0.##")&amp;"+"&amp;TEXT(INDEX(ERP資料!$G:$G, (MATCH(24, 輔助計算!$G$2:$G$801, 0)+1)),"0.##"))))&amp;"-1")&lt;&gt;""),"  ","")&amp;IF(MOD(INDEX(輔助計算!$D:$D, (MATCH(24, 輔助計算!$G$2:$G$801, 0)+1)),IF(INDEX(ERP資料!$G:$G, (MATCH(24, 輔助計算!$G$2:$G$801, 0)+1))&lt;100, IF(INDEX(ERP資料!$G:$G, (MATCH(24, 輔助計算!$G$2:$G$801, 0)+1))&lt;=31,3,IF(INDEX(ERP資料!$G:$G, (MATCH(24, 輔助計算!$G$2:$G$801, 0)+1))&lt;=46.5,2,1)), IF(INDEX(ERP資料!$G:$G, (MATCH(24, 輔助計算!$G$2:$G$801, 0)+1))&lt;=790,3,IF(INDEX(ERP資料!$G:$G, (MATCH(24, 輔助計算!$G$2:$G$801, 0)+1))&lt;=1181,2,1))))=0,"",IF(MOD(INDEX(輔助計算!$D:$D, (MATCH(24, 輔助計算!$G$2:$G$801, 0)+1)),IF(INDEX(ERP資料!$G:$G, (MATCH(24, 輔助計算!$G$2:$G$801, 0)+1))&lt;100, IF(INDEX(ERP資料!$G:$G, (MATCH(24, 輔助計算!$G$2:$G$801, 0)+1))&lt;=31,3,IF(INDEX(ERP資料!$G:$G, (MATCH(24, 輔助計算!$G$2:$G$801, 0)+1))&lt;=46.5,2,1)), IF(INDEX(ERP資料!$G:$G, (MATCH(24, 輔助計算!$G$2:$G$801, 0)+1))&lt;=790,3,IF(INDEX(ERP資料!$G:$G, (MATCH(24, 輔助計算!$G$2:$G$801, 0)+1))&lt;=1181,2,1))))=0,"",IF(MOD(INDEX(輔助計算!$D:$D, (MATCH(24, 輔助計算!$G$2:$G$801, 0)+1)),IF(INDEX(ERP資料!$G:$G, (MATCH(24, 輔助計算!$G$2:$G$801, 0)+1))&lt;100, IF(INDEX(ERP資料!$G:$G, (MATCH(24, 輔助計算!$G$2:$G$801, 0)+1))&lt;=31,3,IF(INDEX(ERP資料!$G:$G, (MATCH(24, 輔助計算!$G$2:$G$801, 0)+1))&lt;=46.5,2,1)), IF(INDEX(ERP資料!$G:$G, (MATCH(24, 輔助計算!$G$2:$G$801, 0)+1))&lt;=790,3,IF(INDEX(ERP資料!$G:$G, (MATCH(24, 輔助計算!$G$2:$G$801, 0)+1))&lt;=1181,2,1))))=1,TEXT(INDEX(ERP資料!$G:$G, (MATCH(24, 輔助計算!$G$2:$G$801, 0)+1)),"0.##"),IF(MOD(INDEX(輔助計算!$D:$D, (MATCH(24, 輔助計算!$G$2:$G$801, 0)+1)),IF(INDEX(ERP資料!$G:$G, (MATCH(24, 輔助計算!$G$2:$G$801, 0)+1))&lt;100, IF(INDEX(ERP資料!$G:$G, (MATCH(24, 輔助計算!$G$2:$G$801, 0)+1))&lt;=31,3,IF(INDEX(ERP資料!$G:$G, (MATCH(24, 輔助計算!$G$2:$G$801, 0)+1))&lt;=46.5,2,1)), IF(INDEX(ERP資料!$G:$G, (MATCH(24, 輔助計算!$G$2:$G$801, 0)+1))&lt;=790,3,IF(INDEX(ERP資料!$G:$G, (MATCH(24, 輔助計算!$G$2:$G$801, 0)+1))&lt;=1181,2,1))))=2,TEXT(INDEX(ERP資料!$G:$G, (MATCH(24, 輔助計算!$G$2:$G$801, 0)+1)),"0.##")&amp;"+"&amp;TEXT(INDEX(ERP資料!$G:$G, (MATCH(24, 輔助計算!$G$2:$G$801, 0)+1)),"0.##"),TEXT(INDEX(ERP資料!$G:$G, (MATCH(24, 輔助計算!$G$2:$G$801, 0)+1)),"0.##")&amp;"+"&amp;TEXT(INDEX(ERP資料!$G:$G, (MATCH(24, 輔助計算!$G$2:$G$801, 0)+1)),"0.##")&amp;"+"&amp;TEXT(INDEX(ERP資料!$G:$G, (MATCH(24, 輔助計算!$G$2:$G$801, 0)+1)),"0.##"))))&amp;"-1")), ""), "")</f>
        <v/>
      </c>
      <c r="K25" s="16" t="n"/>
      <c r="L25" s="14">
        <f>IFERROR(IF(AND(IFERROR(INDEX(ERP資料!$A:$A, (MATCH(24, 輔助計算!$G$2:$G$801, 0)+1)), "")&lt;&gt;"", IFERROR(INDEX(ERP資料!$A:$A, (MATCH(24, 輔助計算!$G$2:$G$801, 0)+1)), "")&lt;&gt;IFERROR(INDEX(ERP資料!$A:$A, MATCH(23, 輔助計算!$G$2:$G$801, 0)+1), "")), INDEX(ERP資料!$B:$B, (MATCH(24, 輔助計算!$G$2:$G$801, 0)+1)), ""), "")</f>
        <v/>
      </c>
      <c r="M25" s="17" t="n"/>
    </row>
    <row r="26">
      <c r="A26" s="10">
        <f>IFERROR(IF(AND(IFERROR(INDEX(ERP資料!$A:$A, (MATCH(25, 輔助計算!$G$2:$G$801, 0)+1)), "")&lt;&gt;"", IFERROR(INDEX(ERP資料!$A:$A, (MATCH(25, 輔助計算!$G$2:$G$801, 0)+1)), "")&lt;&gt;IFERROR(INDEX(ERP資料!$A:$A, MATCH(24, 輔助計算!$G$2:$G$801, 0)+1), "")), IFERROR(INDEX(ERP資料!$A:$A, (MATCH(25, 輔助計算!$G$2:$G$801, 0)+1)), ""), ""), "")</f>
        <v/>
      </c>
      <c r="B26" s="10">
        <f>IFERROR(IF(AND(IFERROR(INDEX(ERP資料!$A:$A, (MATCH(25, 輔助計算!$G$2:$G$801, 0)+1)), "")&lt;&gt;"", IFERROR(INDEX(ERP資料!$A:$A, (MATCH(25, 輔助計算!$G$2:$G$801, 0)+1)), "")&lt;&gt;IFERROR(INDEX(ERP資料!$A:$A, MATCH(24, 輔助計算!$G$2:$G$801, 0)+1), "")), INDEX(ERP資料!$S:$S, (MATCH(25, 輔助計算!$G$2:$G$801, 0)+1)), ""), "")</f>
        <v/>
      </c>
      <c r="C26" s="19">
        <f>IFERROR(IF(AND(IFERROR(INDEX(ERP資料!$A:$A, (MATCH(25, 輔助計算!$G$2:$G$801, 0)+1)), "")&lt;&gt;"", IFERROR(INDEX(ERP資料!$A:$A, (MATCH(25, 輔助計算!$G$2:$G$801, 0)+1)), "")&lt;&gt;IFERROR(INDEX(ERP資料!$A:$A, MATCH(24, 輔助計算!$G$2:$G$801, 0)+1), "")), IFERROR(VLOOKUP(LEFT(INDEX(ERP資料!$S:$S, (MATCH(25, 輔助計算!$G$2:$G$801, 0)+1)), 4), 紙管對照表!$A:$C, 3, FALSE), ""), ""), "")</f>
        <v/>
      </c>
      <c r="D26" s="16" t="n"/>
      <c r="E26" s="10">
        <f>IFERROR(IF(INDEX(ERP資料!$H:$H, (MATCH(25, 輔助計算!$G$2:$G$801, 0)+1))="","",INDEX(ERP資料!$H:$H, (MATCH(25, 輔助計算!$G$2:$G$801, 0)+1))), "")</f>
        <v/>
      </c>
      <c r="F26" s="10">
        <f>IFERROR(IF(INDEX(ERP資料!$E:$E, (MATCH(25, 輔助計算!$G$2:$G$801, 0)+1))="","",TRIM(INDEX(ERP資料!$E:$E, (MATCH(25, 輔助計算!$G$2:$G$801, 0)+1)))), "")</f>
        <v/>
      </c>
      <c r="G26" s="10">
        <f>IFERROR(IF(INDEX(ERP資料!$F:$F, (MATCH(25, 輔助計算!$G$2:$G$801, 0)+1))="","",INDEX(ERP資料!$F:$F, (MATCH(25, 輔助計算!$G$2:$G$801, 0)+1))), "")</f>
        <v/>
      </c>
      <c r="H26" s="10">
        <f>IFERROR(IF(INDEX(ERP資料!$G:$G, (MATCH(25, 輔助計算!$G$2:$G$801, 0)+1))="","",INDEX(ERP資料!$G:$G, (MATCH(25, 輔助計算!$G$2:$G$801, 0)+1))), "")</f>
        <v/>
      </c>
      <c r="I26" s="15">
        <f>IFERROR(INDEX(輔助計算!$D:$D, (MATCH(25, 輔助計算!$G$2:$G$801, 0)+1)), "")</f>
        <v/>
      </c>
      <c r="J26" s="15">
        <f>IFERROR(IF(AND(INDEX(輔助計算!$D:$D, (MATCH(25, 輔助計算!$G$2:$G$801, 0)+1))&lt;&gt;"", INDEX(ERP資料!$G:$G, (MATCH(25, 輔助計算!$G$2:$G$801, 0)+1))&lt;&gt;""), TRIM(IF(INT(INDEX(輔助計算!$D:$D, (MATCH(25, 輔助計算!$G$2:$G$801, 0)+1))/IF(INDEX(ERP資料!$G:$G, (MATCH(25, 輔助計算!$G$2:$G$801, 0)+1))&lt;100, IF(INDEX(ERP資料!$G:$G, (MATCH(25, 輔助計算!$G$2:$G$801, 0)+1))&lt;=31,3,IF(INDEX(ERP資料!$G:$G, (MATCH(25, 輔助計算!$G$2:$G$801, 0)+1))&lt;=46.5,2,1)), IF(INDEX(ERP資料!$G:$G, (MATCH(25, 輔助計算!$G$2:$G$801, 0)+1))&lt;=790,3,IF(INDEX(ERP資料!$G:$G, (MATCH(25, 輔助計算!$G$2:$G$801, 0)+1))&lt;=1181,2,1))))&gt;0, IF(IF(INDEX(ERP資料!$G:$G, (MATCH(25, 輔助計算!$G$2:$G$801, 0)+1))&lt;100, IF(INDEX(ERP資料!$G:$G, (MATCH(25, 輔助計算!$G$2:$G$801, 0)+1))&lt;=31,3,IF(INDEX(ERP資料!$G:$G, (MATCH(25, 輔助計算!$G$2:$G$801, 0)+1))&lt;=46.5,2,1)), IF(INDEX(ERP資料!$G:$G, (MATCH(25, 輔助計算!$G$2:$G$801, 0)+1))&lt;=790,3,IF(INDEX(ERP資料!$G:$G, (MATCH(25, 輔助計算!$G$2:$G$801, 0)+1))&lt;=1181,2,1)))=1,TEXT(INDEX(ERP資料!$G:$G, (MATCH(25, 輔助計算!$G$2:$G$801, 0)+1)),"0.##"),IF(IF(INDEX(ERP資料!$G:$G, (MATCH(25, 輔助計算!$G$2:$G$801, 0)+1))&lt;100, IF(INDEX(ERP資料!$G:$G, (MATCH(25, 輔助計算!$G$2:$G$801, 0)+1))&lt;=31,3,IF(INDEX(ERP資料!$G:$G, (MATCH(25, 輔助計算!$G$2:$G$801, 0)+1))&lt;=46.5,2,1)), IF(INDEX(ERP資料!$G:$G, (MATCH(25, 輔助計算!$G$2:$G$801, 0)+1))&lt;=790,3,IF(INDEX(ERP資料!$G:$G, (MATCH(25, 輔助計算!$G$2:$G$801, 0)+1))&lt;=1181,2,1)))=2,TEXT(INDEX(ERP資料!$G:$G, (MATCH(25, 輔助計算!$G$2:$G$801, 0)+1)),"0.##")&amp;"+"&amp;TEXT(INDEX(ERP資料!$G:$G, (MATCH(25, 輔助計算!$G$2:$G$801, 0)+1)),"0.##"),TEXT(INDEX(ERP資料!$G:$G, (MATCH(25, 輔助計算!$G$2:$G$801, 0)+1)),"0.##")&amp;"+"&amp;TEXT(INDEX(ERP資料!$G:$G, (MATCH(25, 輔助計算!$G$2:$G$801, 0)+1)),"0.##")&amp;"+"&amp;TEXT(INDEX(ERP資料!$G:$G, (MATCH(25, 輔助計算!$G$2:$G$801, 0)+1)),"0.##")))&amp;"-"&amp;INT(INDEX(輔助計算!$D:$D, (MATCH(25, 輔助計算!$G$2:$G$801, 0)+1))/IF(INDEX(ERP資料!$G:$G, (MATCH(25, 輔助計算!$G$2:$G$801, 0)+1))&lt;100, IF(INDEX(ERP資料!$G:$G, (MATCH(25, 輔助計算!$G$2:$G$801, 0)+1))&lt;=31,3,IF(INDEX(ERP資料!$G:$G, (MATCH(25, 輔助計算!$G$2:$G$801, 0)+1))&lt;=46.5,2,1)), IF(INDEX(ERP資料!$G:$G, (MATCH(25, 輔助計算!$G$2:$G$801, 0)+1))&lt;=790,3,IF(INDEX(ERP資料!$G:$G, (MATCH(25, 輔助計算!$G$2:$G$801, 0)+1))&lt;=1181,2,1)))), "")&amp;IF(AND(IF(INT(INDEX(輔助計算!$D:$D, (MATCH(25, 輔助計算!$G$2:$G$801, 0)+1))/IF(INDEX(ERP資料!$G:$G, (MATCH(25, 輔助計算!$G$2:$G$801, 0)+1))&lt;100, IF(INDEX(ERP資料!$G:$G, (MATCH(25, 輔助計算!$G$2:$G$801, 0)+1))&lt;=31,3,IF(INDEX(ERP資料!$G:$G, (MATCH(25, 輔助計算!$G$2:$G$801, 0)+1))&lt;=46.5,2,1)), IF(INDEX(ERP資料!$G:$G, (MATCH(25, 輔助計算!$G$2:$G$801, 0)+1))&lt;=790,3,IF(INDEX(ERP資料!$G:$G, (MATCH(25, 輔助計算!$G$2:$G$801, 0)+1))&lt;=1181,2,1))))&gt;0, IF(IF(INDEX(ERP資料!$G:$G, (MATCH(25, 輔助計算!$G$2:$G$801, 0)+1))&lt;100, IF(INDEX(ERP資料!$G:$G, (MATCH(25, 輔助計算!$G$2:$G$801, 0)+1))&lt;=31,3,IF(INDEX(ERP資料!$G:$G, (MATCH(25, 輔助計算!$G$2:$G$801, 0)+1))&lt;=46.5,2,1)), IF(INDEX(ERP資料!$G:$G, (MATCH(25, 輔助計算!$G$2:$G$801, 0)+1))&lt;=790,3,IF(INDEX(ERP資料!$G:$G, (MATCH(25, 輔助計算!$G$2:$G$801, 0)+1))&lt;=1181,2,1)))=1,TEXT(INDEX(ERP資料!$G:$G, (MATCH(25, 輔助計算!$G$2:$G$801, 0)+1)),"0.##"),IF(IF(INDEX(ERP資料!$G:$G, (MATCH(25, 輔助計算!$G$2:$G$801, 0)+1))&lt;100, IF(INDEX(ERP資料!$G:$G, (MATCH(25, 輔助計算!$G$2:$G$801, 0)+1))&lt;=31,3,IF(INDEX(ERP資料!$G:$G, (MATCH(25, 輔助計算!$G$2:$G$801, 0)+1))&lt;=46.5,2,1)), IF(INDEX(ERP資料!$G:$G, (MATCH(25, 輔助計算!$G$2:$G$801, 0)+1))&lt;=790,3,IF(INDEX(ERP資料!$G:$G, (MATCH(25, 輔助計算!$G$2:$G$801, 0)+1))&lt;=1181,2,1)))=2,TEXT(INDEX(ERP資料!$G:$G, (MATCH(25, 輔助計算!$G$2:$G$801, 0)+1)),"0.##")&amp;"+"&amp;TEXT(INDEX(ERP資料!$G:$G, (MATCH(25, 輔助計算!$G$2:$G$801, 0)+1)),"0.##"),TEXT(INDEX(ERP資料!$G:$G, (MATCH(25, 輔助計算!$G$2:$G$801, 0)+1)),"0.##")&amp;"+"&amp;TEXT(INDEX(ERP資料!$G:$G, (MATCH(25, 輔助計算!$G$2:$G$801, 0)+1)),"0.##")&amp;"+"&amp;TEXT(INDEX(ERP資料!$G:$G, (MATCH(25, 輔助計算!$G$2:$G$801, 0)+1)),"0.##")))&amp;"-"&amp;INT(INDEX(輔助計算!$D:$D, (MATCH(25, 輔助計算!$G$2:$G$801, 0)+1))/IF(INDEX(ERP資料!$G:$G, (MATCH(25, 輔助計算!$G$2:$G$801, 0)+1))&lt;100, IF(INDEX(ERP資料!$G:$G, (MATCH(25, 輔助計算!$G$2:$G$801, 0)+1))&lt;=31,3,IF(INDEX(ERP資料!$G:$G, (MATCH(25, 輔助計算!$G$2:$G$801, 0)+1))&lt;=46.5,2,1)), IF(INDEX(ERP資料!$G:$G, (MATCH(25, 輔助計算!$G$2:$G$801, 0)+1))&lt;=790,3,IF(INDEX(ERP資料!$G:$G, (MATCH(25, 輔助計算!$G$2:$G$801, 0)+1))&lt;=1181,2,1)))), "")&lt;&gt;"",IF(MOD(INDEX(輔助計算!$D:$D, (MATCH(25, 輔助計算!$G$2:$G$801, 0)+1)),IF(INDEX(ERP資料!$G:$G, (MATCH(25, 輔助計算!$G$2:$G$801, 0)+1))&lt;100, IF(INDEX(ERP資料!$G:$G, (MATCH(25, 輔助計算!$G$2:$G$801, 0)+1))&lt;=31,3,IF(INDEX(ERP資料!$G:$G, (MATCH(25, 輔助計算!$G$2:$G$801, 0)+1))&lt;=46.5,2,1)), IF(INDEX(ERP資料!$G:$G, (MATCH(25, 輔助計算!$G$2:$G$801, 0)+1))&lt;=790,3,IF(INDEX(ERP資料!$G:$G, (MATCH(25, 輔助計算!$G$2:$G$801, 0)+1))&lt;=1181,2,1))))=0,"",IF(MOD(INDEX(輔助計算!$D:$D, (MATCH(25, 輔助計算!$G$2:$G$801, 0)+1)),IF(INDEX(ERP資料!$G:$G, (MATCH(25, 輔助計算!$G$2:$G$801, 0)+1))&lt;100, IF(INDEX(ERP資料!$G:$G, (MATCH(25, 輔助計算!$G$2:$G$801, 0)+1))&lt;=31,3,IF(INDEX(ERP資料!$G:$G, (MATCH(25, 輔助計算!$G$2:$G$801, 0)+1))&lt;=46.5,2,1)), IF(INDEX(ERP資料!$G:$G, (MATCH(25, 輔助計算!$G$2:$G$801, 0)+1))&lt;=790,3,IF(INDEX(ERP資料!$G:$G, (MATCH(25, 輔助計算!$G$2:$G$801, 0)+1))&lt;=1181,2,1))))=0,"",IF(MOD(INDEX(輔助計算!$D:$D, (MATCH(25, 輔助計算!$G$2:$G$801, 0)+1)),IF(INDEX(ERP資料!$G:$G, (MATCH(25, 輔助計算!$G$2:$G$801, 0)+1))&lt;100, IF(INDEX(ERP資料!$G:$G, (MATCH(25, 輔助計算!$G$2:$G$801, 0)+1))&lt;=31,3,IF(INDEX(ERP資料!$G:$G, (MATCH(25, 輔助計算!$G$2:$G$801, 0)+1))&lt;=46.5,2,1)), IF(INDEX(ERP資料!$G:$G, (MATCH(25, 輔助計算!$G$2:$G$801, 0)+1))&lt;=790,3,IF(INDEX(ERP資料!$G:$G, (MATCH(25, 輔助計算!$G$2:$G$801, 0)+1))&lt;=1181,2,1))))=1,TEXT(INDEX(ERP資料!$G:$G, (MATCH(25, 輔助計算!$G$2:$G$801, 0)+1)),"0.##"),IF(MOD(INDEX(輔助計算!$D:$D, (MATCH(25, 輔助計算!$G$2:$G$801, 0)+1)),IF(INDEX(ERP資料!$G:$G, (MATCH(25, 輔助計算!$G$2:$G$801, 0)+1))&lt;100, IF(INDEX(ERP資料!$G:$G, (MATCH(25, 輔助計算!$G$2:$G$801, 0)+1))&lt;=31,3,IF(INDEX(ERP資料!$G:$G, (MATCH(25, 輔助計算!$G$2:$G$801, 0)+1))&lt;=46.5,2,1)), IF(INDEX(ERP資料!$G:$G, (MATCH(25, 輔助計算!$G$2:$G$801, 0)+1))&lt;=790,3,IF(INDEX(ERP資料!$G:$G, (MATCH(25, 輔助計算!$G$2:$G$801, 0)+1))&lt;=1181,2,1))))=2,TEXT(INDEX(ERP資料!$G:$G, (MATCH(25, 輔助計算!$G$2:$G$801, 0)+1)),"0.##")&amp;"+"&amp;TEXT(INDEX(ERP資料!$G:$G, (MATCH(25, 輔助計算!$G$2:$G$801, 0)+1)),"0.##"),TEXT(INDEX(ERP資料!$G:$G, (MATCH(25, 輔助計算!$G$2:$G$801, 0)+1)),"0.##")&amp;"+"&amp;TEXT(INDEX(ERP資料!$G:$G, (MATCH(25, 輔助計算!$G$2:$G$801, 0)+1)),"0.##")&amp;"+"&amp;TEXT(INDEX(ERP資料!$G:$G, (MATCH(25, 輔助計算!$G$2:$G$801, 0)+1)),"0.##"))))&amp;"-1")&lt;&gt;""),"  ","")&amp;IF(MOD(INDEX(輔助計算!$D:$D, (MATCH(25, 輔助計算!$G$2:$G$801, 0)+1)),IF(INDEX(ERP資料!$G:$G, (MATCH(25, 輔助計算!$G$2:$G$801, 0)+1))&lt;100, IF(INDEX(ERP資料!$G:$G, (MATCH(25, 輔助計算!$G$2:$G$801, 0)+1))&lt;=31,3,IF(INDEX(ERP資料!$G:$G, (MATCH(25, 輔助計算!$G$2:$G$801, 0)+1))&lt;=46.5,2,1)), IF(INDEX(ERP資料!$G:$G, (MATCH(25, 輔助計算!$G$2:$G$801, 0)+1))&lt;=790,3,IF(INDEX(ERP資料!$G:$G, (MATCH(25, 輔助計算!$G$2:$G$801, 0)+1))&lt;=1181,2,1))))=0,"",IF(MOD(INDEX(輔助計算!$D:$D, (MATCH(25, 輔助計算!$G$2:$G$801, 0)+1)),IF(INDEX(ERP資料!$G:$G, (MATCH(25, 輔助計算!$G$2:$G$801, 0)+1))&lt;100, IF(INDEX(ERP資料!$G:$G, (MATCH(25, 輔助計算!$G$2:$G$801, 0)+1))&lt;=31,3,IF(INDEX(ERP資料!$G:$G, (MATCH(25, 輔助計算!$G$2:$G$801, 0)+1))&lt;=46.5,2,1)), IF(INDEX(ERP資料!$G:$G, (MATCH(25, 輔助計算!$G$2:$G$801, 0)+1))&lt;=790,3,IF(INDEX(ERP資料!$G:$G, (MATCH(25, 輔助計算!$G$2:$G$801, 0)+1))&lt;=1181,2,1))))=0,"",IF(MOD(INDEX(輔助計算!$D:$D, (MATCH(25, 輔助計算!$G$2:$G$801, 0)+1)),IF(INDEX(ERP資料!$G:$G, (MATCH(25, 輔助計算!$G$2:$G$801, 0)+1))&lt;100, IF(INDEX(ERP資料!$G:$G, (MATCH(25, 輔助計算!$G$2:$G$801, 0)+1))&lt;=31,3,IF(INDEX(ERP資料!$G:$G, (MATCH(25, 輔助計算!$G$2:$G$801, 0)+1))&lt;=46.5,2,1)), IF(INDEX(ERP資料!$G:$G, (MATCH(25, 輔助計算!$G$2:$G$801, 0)+1))&lt;=790,3,IF(INDEX(ERP資料!$G:$G, (MATCH(25, 輔助計算!$G$2:$G$801, 0)+1))&lt;=1181,2,1))))=1,TEXT(INDEX(ERP資料!$G:$G, (MATCH(25, 輔助計算!$G$2:$G$801, 0)+1)),"0.##"),IF(MOD(INDEX(輔助計算!$D:$D, (MATCH(25, 輔助計算!$G$2:$G$801, 0)+1)),IF(INDEX(ERP資料!$G:$G, (MATCH(25, 輔助計算!$G$2:$G$801, 0)+1))&lt;100, IF(INDEX(ERP資料!$G:$G, (MATCH(25, 輔助計算!$G$2:$G$801, 0)+1))&lt;=31,3,IF(INDEX(ERP資料!$G:$G, (MATCH(25, 輔助計算!$G$2:$G$801, 0)+1))&lt;=46.5,2,1)), IF(INDEX(ERP資料!$G:$G, (MATCH(25, 輔助計算!$G$2:$G$801, 0)+1))&lt;=790,3,IF(INDEX(ERP資料!$G:$G, (MATCH(25, 輔助計算!$G$2:$G$801, 0)+1))&lt;=1181,2,1))))=2,TEXT(INDEX(ERP資料!$G:$G, (MATCH(25, 輔助計算!$G$2:$G$801, 0)+1)),"0.##")&amp;"+"&amp;TEXT(INDEX(ERP資料!$G:$G, (MATCH(25, 輔助計算!$G$2:$G$801, 0)+1)),"0.##"),TEXT(INDEX(ERP資料!$G:$G, (MATCH(25, 輔助計算!$G$2:$G$801, 0)+1)),"0.##")&amp;"+"&amp;TEXT(INDEX(ERP資料!$G:$G, (MATCH(25, 輔助計算!$G$2:$G$801, 0)+1)),"0.##")&amp;"+"&amp;TEXT(INDEX(ERP資料!$G:$G, (MATCH(25, 輔助計算!$G$2:$G$801, 0)+1)),"0.##"))))&amp;"-1")), ""), "")</f>
        <v/>
      </c>
      <c r="K26" s="16" t="n"/>
      <c r="L26" s="14">
        <f>IFERROR(IF(AND(IFERROR(INDEX(ERP資料!$A:$A, (MATCH(25, 輔助計算!$G$2:$G$801, 0)+1)), "")&lt;&gt;"", IFERROR(INDEX(ERP資料!$A:$A, (MATCH(25, 輔助計算!$G$2:$G$801, 0)+1)), "")&lt;&gt;IFERROR(INDEX(ERP資料!$A:$A, MATCH(24, 輔助計算!$G$2:$G$801, 0)+1), "")), INDEX(ERP資料!$B:$B, (MATCH(25, 輔助計算!$G$2:$G$801, 0)+1)), ""), "")</f>
        <v/>
      </c>
      <c r="M26" s="17" t="n"/>
    </row>
    <row r="27">
      <c r="A27" s="10">
        <f>IFERROR(IF(AND(IFERROR(INDEX(ERP資料!$A:$A, (MATCH(26, 輔助計算!$G$2:$G$801, 0)+1)), "")&lt;&gt;"", IFERROR(INDEX(ERP資料!$A:$A, (MATCH(26, 輔助計算!$G$2:$G$801, 0)+1)), "")&lt;&gt;IFERROR(INDEX(ERP資料!$A:$A, MATCH(25, 輔助計算!$G$2:$G$801, 0)+1), "")), IFERROR(INDEX(ERP資料!$A:$A, (MATCH(26, 輔助計算!$G$2:$G$801, 0)+1)), ""), ""), "")</f>
        <v/>
      </c>
      <c r="B27" s="10">
        <f>IFERROR(IF(AND(IFERROR(INDEX(ERP資料!$A:$A, (MATCH(26, 輔助計算!$G$2:$G$801, 0)+1)), "")&lt;&gt;"", IFERROR(INDEX(ERP資料!$A:$A, (MATCH(26, 輔助計算!$G$2:$G$801, 0)+1)), "")&lt;&gt;IFERROR(INDEX(ERP資料!$A:$A, MATCH(25, 輔助計算!$G$2:$G$801, 0)+1), "")), INDEX(ERP資料!$S:$S, (MATCH(26, 輔助計算!$G$2:$G$801, 0)+1)), ""), "")</f>
        <v/>
      </c>
      <c r="C27" s="19">
        <f>IFERROR(IF(AND(IFERROR(INDEX(ERP資料!$A:$A, (MATCH(26, 輔助計算!$G$2:$G$801, 0)+1)), "")&lt;&gt;"", IFERROR(INDEX(ERP資料!$A:$A, (MATCH(26, 輔助計算!$G$2:$G$801, 0)+1)), "")&lt;&gt;IFERROR(INDEX(ERP資料!$A:$A, MATCH(25, 輔助計算!$G$2:$G$801, 0)+1), "")), IFERROR(VLOOKUP(LEFT(INDEX(ERP資料!$S:$S, (MATCH(26, 輔助計算!$G$2:$G$801, 0)+1)), 4), 紙管對照表!$A:$C, 3, FALSE), ""), ""), "")</f>
        <v/>
      </c>
      <c r="D27" s="16" t="n"/>
      <c r="E27" s="10">
        <f>IFERROR(IF(INDEX(ERP資料!$H:$H, (MATCH(26, 輔助計算!$G$2:$G$801, 0)+1))="","",INDEX(ERP資料!$H:$H, (MATCH(26, 輔助計算!$G$2:$G$801, 0)+1))), "")</f>
        <v/>
      </c>
      <c r="F27" s="10">
        <f>IFERROR(IF(INDEX(ERP資料!$E:$E, (MATCH(26, 輔助計算!$G$2:$G$801, 0)+1))="","",TRIM(INDEX(ERP資料!$E:$E, (MATCH(26, 輔助計算!$G$2:$G$801, 0)+1)))), "")</f>
        <v/>
      </c>
      <c r="G27" s="10">
        <f>IFERROR(IF(INDEX(ERP資料!$F:$F, (MATCH(26, 輔助計算!$G$2:$G$801, 0)+1))="","",INDEX(ERP資料!$F:$F, (MATCH(26, 輔助計算!$G$2:$G$801, 0)+1))), "")</f>
        <v/>
      </c>
      <c r="H27" s="10">
        <f>IFERROR(IF(INDEX(ERP資料!$G:$G, (MATCH(26, 輔助計算!$G$2:$G$801, 0)+1))="","",INDEX(ERP資料!$G:$G, (MATCH(26, 輔助計算!$G$2:$G$801, 0)+1))), "")</f>
        <v/>
      </c>
      <c r="I27" s="15">
        <f>IFERROR(INDEX(輔助計算!$D:$D, (MATCH(26, 輔助計算!$G$2:$G$801, 0)+1)), "")</f>
        <v/>
      </c>
      <c r="J27" s="15">
        <f>IFERROR(IF(AND(INDEX(輔助計算!$D:$D, (MATCH(26, 輔助計算!$G$2:$G$801, 0)+1))&lt;&gt;"", INDEX(ERP資料!$G:$G, (MATCH(26, 輔助計算!$G$2:$G$801, 0)+1))&lt;&gt;""), TRIM(IF(INT(INDEX(輔助計算!$D:$D, (MATCH(26, 輔助計算!$G$2:$G$801, 0)+1))/IF(INDEX(ERP資料!$G:$G, (MATCH(26, 輔助計算!$G$2:$G$801, 0)+1))&lt;100, IF(INDEX(ERP資料!$G:$G, (MATCH(26, 輔助計算!$G$2:$G$801, 0)+1))&lt;=31,3,IF(INDEX(ERP資料!$G:$G, (MATCH(26, 輔助計算!$G$2:$G$801, 0)+1))&lt;=46.5,2,1)), IF(INDEX(ERP資料!$G:$G, (MATCH(26, 輔助計算!$G$2:$G$801, 0)+1))&lt;=790,3,IF(INDEX(ERP資料!$G:$G, (MATCH(26, 輔助計算!$G$2:$G$801, 0)+1))&lt;=1181,2,1))))&gt;0, IF(IF(INDEX(ERP資料!$G:$G, (MATCH(26, 輔助計算!$G$2:$G$801, 0)+1))&lt;100, IF(INDEX(ERP資料!$G:$G, (MATCH(26, 輔助計算!$G$2:$G$801, 0)+1))&lt;=31,3,IF(INDEX(ERP資料!$G:$G, (MATCH(26, 輔助計算!$G$2:$G$801, 0)+1))&lt;=46.5,2,1)), IF(INDEX(ERP資料!$G:$G, (MATCH(26, 輔助計算!$G$2:$G$801, 0)+1))&lt;=790,3,IF(INDEX(ERP資料!$G:$G, (MATCH(26, 輔助計算!$G$2:$G$801, 0)+1))&lt;=1181,2,1)))=1,TEXT(INDEX(ERP資料!$G:$G, (MATCH(26, 輔助計算!$G$2:$G$801, 0)+1)),"0.##"),IF(IF(INDEX(ERP資料!$G:$G, (MATCH(26, 輔助計算!$G$2:$G$801, 0)+1))&lt;100, IF(INDEX(ERP資料!$G:$G, (MATCH(26, 輔助計算!$G$2:$G$801, 0)+1))&lt;=31,3,IF(INDEX(ERP資料!$G:$G, (MATCH(26, 輔助計算!$G$2:$G$801, 0)+1))&lt;=46.5,2,1)), IF(INDEX(ERP資料!$G:$G, (MATCH(26, 輔助計算!$G$2:$G$801, 0)+1))&lt;=790,3,IF(INDEX(ERP資料!$G:$G, (MATCH(26, 輔助計算!$G$2:$G$801, 0)+1))&lt;=1181,2,1)))=2,TEXT(INDEX(ERP資料!$G:$G, (MATCH(26, 輔助計算!$G$2:$G$801, 0)+1)),"0.##")&amp;"+"&amp;TEXT(INDEX(ERP資料!$G:$G, (MATCH(26, 輔助計算!$G$2:$G$801, 0)+1)),"0.##"),TEXT(INDEX(ERP資料!$G:$G, (MATCH(26, 輔助計算!$G$2:$G$801, 0)+1)),"0.##")&amp;"+"&amp;TEXT(INDEX(ERP資料!$G:$G, (MATCH(26, 輔助計算!$G$2:$G$801, 0)+1)),"0.##")&amp;"+"&amp;TEXT(INDEX(ERP資料!$G:$G, (MATCH(26, 輔助計算!$G$2:$G$801, 0)+1)),"0.##")))&amp;"-"&amp;INT(INDEX(輔助計算!$D:$D, (MATCH(26, 輔助計算!$G$2:$G$801, 0)+1))/IF(INDEX(ERP資料!$G:$G, (MATCH(26, 輔助計算!$G$2:$G$801, 0)+1))&lt;100, IF(INDEX(ERP資料!$G:$G, (MATCH(26, 輔助計算!$G$2:$G$801, 0)+1))&lt;=31,3,IF(INDEX(ERP資料!$G:$G, (MATCH(26, 輔助計算!$G$2:$G$801, 0)+1))&lt;=46.5,2,1)), IF(INDEX(ERP資料!$G:$G, (MATCH(26, 輔助計算!$G$2:$G$801, 0)+1))&lt;=790,3,IF(INDEX(ERP資料!$G:$G, (MATCH(26, 輔助計算!$G$2:$G$801, 0)+1))&lt;=1181,2,1)))), "")&amp;IF(AND(IF(INT(INDEX(輔助計算!$D:$D, (MATCH(26, 輔助計算!$G$2:$G$801, 0)+1))/IF(INDEX(ERP資料!$G:$G, (MATCH(26, 輔助計算!$G$2:$G$801, 0)+1))&lt;100, IF(INDEX(ERP資料!$G:$G, (MATCH(26, 輔助計算!$G$2:$G$801, 0)+1))&lt;=31,3,IF(INDEX(ERP資料!$G:$G, (MATCH(26, 輔助計算!$G$2:$G$801, 0)+1))&lt;=46.5,2,1)), IF(INDEX(ERP資料!$G:$G, (MATCH(26, 輔助計算!$G$2:$G$801, 0)+1))&lt;=790,3,IF(INDEX(ERP資料!$G:$G, (MATCH(26, 輔助計算!$G$2:$G$801, 0)+1))&lt;=1181,2,1))))&gt;0, IF(IF(INDEX(ERP資料!$G:$G, (MATCH(26, 輔助計算!$G$2:$G$801, 0)+1))&lt;100, IF(INDEX(ERP資料!$G:$G, (MATCH(26, 輔助計算!$G$2:$G$801, 0)+1))&lt;=31,3,IF(INDEX(ERP資料!$G:$G, (MATCH(26, 輔助計算!$G$2:$G$801, 0)+1))&lt;=46.5,2,1)), IF(INDEX(ERP資料!$G:$G, (MATCH(26, 輔助計算!$G$2:$G$801, 0)+1))&lt;=790,3,IF(INDEX(ERP資料!$G:$G, (MATCH(26, 輔助計算!$G$2:$G$801, 0)+1))&lt;=1181,2,1)))=1,TEXT(INDEX(ERP資料!$G:$G, (MATCH(26, 輔助計算!$G$2:$G$801, 0)+1)),"0.##"),IF(IF(INDEX(ERP資料!$G:$G, (MATCH(26, 輔助計算!$G$2:$G$801, 0)+1))&lt;100, IF(INDEX(ERP資料!$G:$G, (MATCH(26, 輔助計算!$G$2:$G$801, 0)+1))&lt;=31,3,IF(INDEX(ERP資料!$G:$G, (MATCH(26, 輔助計算!$G$2:$G$801, 0)+1))&lt;=46.5,2,1)), IF(INDEX(ERP資料!$G:$G, (MATCH(26, 輔助計算!$G$2:$G$801, 0)+1))&lt;=790,3,IF(INDEX(ERP資料!$G:$G, (MATCH(26, 輔助計算!$G$2:$G$801, 0)+1))&lt;=1181,2,1)))=2,TEXT(INDEX(ERP資料!$G:$G, (MATCH(26, 輔助計算!$G$2:$G$801, 0)+1)),"0.##")&amp;"+"&amp;TEXT(INDEX(ERP資料!$G:$G, (MATCH(26, 輔助計算!$G$2:$G$801, 0)+1)),"0.##"),TEXT(INDEX(ERP資料!$G:$G, (MATCH(26, 輔助計算!$G$2:$G$801, 0)+1)),"0.##")&amp;"+"&amp;TEXT(INDEX(ERP資料!$G:$G, (MATCH(26, 輔助計算!$G$2:$G$801, 0)+1)),"0.##")&amp;"+"&amp;TEXT(INDEX(ERP資料!$G:$G, (MATCH(26, 輔助計算!$G$2:$G$801, 0)+1)),"0.##")))&amp;"-"&amp;INT(INDEX(輔助計算!$D:$D, (MATCH(26, 輔助計算!$G$2:$G$801, 0)+1))/IF(INDEX(ERP資料!$G:$G, (MATCH(26, 輔助計算!$G$2:$G$801, 0)+1))&lt;100, IF(INDEX(ERP資料!$G:$G, (MATCH(26, 輔助計算!$G$2:$G$801, 0)+1))&lt;=31,3,IF(INDEX(ERP資料!$G:$G, (MATCH(26, 輔助計算!$G$2:$G$801, 0)+1))&lt;=46.5,2,1)), IF(INDEX(ERP資料!$G:$G, (MATCH(26, 輔助計算!$G$2:$G$801, 0)+1))&lt;=790,3,IF(INDEX(ERP資料!$G:$G, (MATCH(26, 輔助計算!$G$2:$G$801, 0)+1))&lt;=1181,2,1)))), "")&lt;&gt;"",IF(MOD(INDEX(輔助計算!$D:$D, (MATCH(26, 輔助計算!$G$2:$G$801, 0)+1)),IF(INDEX(ERP資料!$G:$G, (MATCH(26, 輔助計算!$G$2:$G$801, 0)+1))&lt;100, IF(INDEX(ERP資料!$G:$G, (MATCH(26, 輔助計算!$G$2:$G$801, 0)+1))&lt;=31,3,IF(INDEX(ERP資料!$G:$G, (MATCH(26, 輔助計算!$G$2:$G$801, 0)+1))&lt;=46.5,2,1)), IF(INDEX(ERP資料!$G:$G, (MATCH(26, 輔助計算!$G$2:$G$801, 0)+1))&lt;=790,3,IF(INDEX(ERP資料!$G:$G, (MATCH(26, 輔助計算!$G$2:$G$801, 0)+1))&lt;=1181,2,1))))=0,"",IF(MOD(INDEX(輔助計算!$D:$D, (MATCH(26, 輔助計算!$G$2:$G$801, 0)+1)),IF(INDEX(ERP資料!$G:$G, (MATCH(26, 輔助計算!$G$2:$G$801, 0)+1))&lt;100, IF(INDEX(ERP資料!$G:$G, (MATCH(26, 輔助計算!$G$2:$G$801, 0)+1))&lt;=31,3,IF(INDEX(ERP資料!$G:$G, (MATCH(26, 輔助計算!$G$2:$G$801, 0)+1))&lt;=46.5,2,1)), IF(INDEX(ERP資料!$G:$G, (MATCH(26, 輔助計算!$G$2:$G$801, 0)+1))&lt;=790,3,IF(INDEX(ERP資料!$G:$G, (MATCH(26, 輔助計算!$G$2:$G$801, 0)+1))&lt;=1181,2,1))))=0,"",IF(MOD(INDEX(輔助計算!$D:$D, (MATCH(26, 輔助計算!$G$2:$G$801, 0)+1)),IF(INDEX(ERP資料!$G:$G, (MATCH(26, 輔助計算!$G$2:$G$801, 0)+1))&lt;100, IF(INDEX(ERP資料!$G:$G, (MATCH(26, 輔助計算!$G$2:$G$801, 0)+1))&lt;=31,3,IF(INDEX(ERP資料!$G:$G, (MATCH(26, 輔助計算!$G$2:$G$801, 0)+1))&lt;=46.5,2,1)), IF(INDEX(ERP資料!$G:$G, (MATCH(26, 輔助計算!$G$2:$G$801, 0)+1))&lt;=790,3,IF(INDEX(ERP資料!$G:$G, (MATCH(26, 輔助計算!$G$2:$G$801, 0)+1))&lt;=1181,2,1))))=1,TEXT(INDEX(ERP資料!$G:$G, (MATCH(26, 輔助計算!$G$2:$G$801, 0)+1)),"0.##"),IF(MOD(INDEX(輔助計算!$D:$D, (MATCH(26, 輔助計算!$G$2:$G$801, 0)+1)),IF(INDEX(ERP資料!$G:$G, (MATCH(26, 輔助計算!$G$2:$G$801, 0)+1))&lt;100, IF(INDEX(ERP資料!$G:$G, (MATCH(26, 輔助計算!$G$2:$G$801, 0)+1))&lt;=31,3,IF(INDEX(ERP資料!$G:$G, (MATCH(26, 輔助計算!$G$2:$G$801, 0)+1))&lt;=46.5,2,1)), IF(INDEX(ERP資料!$G:$G, (MATCH(26, 輔助計算!$G$2:$G$801, 0)+1))&lt;=790,3,IF(INDEX(ERP資料!$G:$G, (MATCH(26, 輔助計算!$G$2:$G$801, 0)+1))&lt;=1181,2,1))))=2,TEXT(INDEX(ERP資料!$G:$G, (MATCH(26, 輔助計算!$G$2:$G$801, 0)+1)),"0.##")&amp;"+"&amp;TEXT(INDEX(ERP資料!$G:$G, (MATCH(26, 輔助計算!$G$2:$G$801, 0)+1)),"0.##"),TEXT(INDEX(ERP資料!$G:$G, (MATCH(26, 輔助計算!$G$2:$G$801, 0)+1)),"0.##")&amp;"+"&amp;TEXT(INDEX(ERP資料!$G:$G, (MATCH(26, 輔助計算!$G$2:$G$801, 0)+1)),"0.##")&amp;"+"&amp;TEXT(INDEX(ERP資料!$G:$G, (MATCH(26, 輔助計算!$G$2:$G$801, 0)+1)),"0.##"))))&amp;"-1")&lt;&gt;""),"  ","")&amp;IF(MOD(INDEX(輔助計算!$D:$D, (MATCH(26, 輔助計算!$G$2:$G$801, 0)+1)),IF(INDEX(ERP資料!$G:$G, (MATCH(26, 輔助計算!$G$2:$G$801, 0)+1))&lt;100, IF(INDEX(ERP資料!$G:$G, (MATCH(26, 輔助計算!$G$2:$G$801, 0)+1))&lt;=31,3,IF(INDEX(ERP資料!$G:$G, (MATCH(26, 輔助計算!$G$2:$G$801, 0)+1))&lt;=46.5,2,1)), IF(INDEX(ERP資料!$G:$G, (MATCH(26, 輔助計算!$G$2:$G$801, 0)+1))&lt;=790,3,IF(INDEX(ERP資料!$G:$G, (MATCH(26, 輔助計算!$G$2:$G$801, 0)+1))&lt;=1181,2,1))))=0,"",IF(MOD(INDEX(輔助計算!$D:$D, (MATCH(26, 輔助計算!$G$2:$G$801, 0)+1)),IF(INDEX(ERP資料!$G:$G, (MATCH(26, 輔助計算!$G$2:$G$801, 0)+1))&lt;100, IF(INDEX(ERP資料!$G:$G, (MATCH(26, 輔助計算!$G$2:$G$801, 0)+1))&lt;=31,3,IF(INDEX(ERP資料!$G:$G, (MATCH(26, 輔助計算!$G$2:$G$801, 0)+1))&lt;=46.5,2,1)), IF(INDEX(ERP資料!$G:$G, (MATCH(26, 輔助計算!$G$2:$G$801, 0)+1))&lt;=790,3,IF(INDEX(ERP資料!$G:$G, (MATCH(26, 輔助計算!$G$2:$G$801, 0)+1))&lt;=1181,2,1))))=0,"",IF(MOD(INDEX(輔助計算!$D:$D, (MATCH(26, 輔助計算!$G$2:$G$801, 0)+1)),IF(INDEX(ERP資料!$G:$G, (MATCH(26, 輔助計算!$G$2:$G$801, 0)+1))&lt;100, IF(INDEX(ERP資料!$G:$G, (MATCH(26, 輔助計算!$G$2:$G$801, 0)+1))&lt;=31,3,IF(INDEX(ERP資料!$G:$G, (MATCH(26, 輔助計算!$G$2:$G$801, 0)+1))&lt;=46.5,2,1)), IF(INDEX(ERP資料!$G:$G, (MATCH(26, 輔助計算!$G$2:$G$801, 0)+1))&lt;=790,3,IF(INDEX(ERP資料!$G:$G, (MATCH(26, 輔助計算!$G$2:$G$801, 0)+1))&lt;=1181,2,1))))=1,TEXT(INDEX(ERP資料!$G:$G, (MATCH(26, 輔助計算!$G$2:$G$801, 0)+1)),"0.##"),IF(MOD(INDEX(輔助計算!$D:$D, (MATCH(26, 輔助計算!$G$2:$G$801, 0)+1)),IF(INDEX(ERP資料!$G:$G, (MATCH(26, 輔助計算!$G$2:$G$801, 0)+1))&lt;100, IF(INDEX(ERP資料!$G:$G, (MATCH(26, 輔助計算!$G$2:$G$801, 0)+1))&lt;=31,3,IF(INDEX(ERP資料!$G:$G, (MATCH(26, 輔助計算!$G$2:$G$801, 0)+1))&lt;=46.5,2,1)), IF(INDEX(ERP資料!$G:$G, (MATCH(26, 輔助計算!$G$2:$G$801, 0)+1))&lt;=790,3,IF(INDEX(ERP資料!$G:$G, (MATCH(26, 輔助計算!$G$2:$G$801, 0)+1))&lt;=1181,2,1))))=2,TEXT(INDEX(ERP資料!$G:$G, (MATCH(26, 輔助計算!$G$2:$G$801, 0)+1)),"0.##")&amp;"+"&amp;TEXT(INDEX(ERP資料!$G:$G, (MATCH(26, 輔助計算!$G$2:$G$801, 0)+1)),"0.##"),TEXT(INDEX(ERP資料!$G:$G, (MATCH(26, 輔助計算!$G$2:$G$801, 0)+1)),"0.##")&amp;"+"&amp;TEXT(INDEX(ERP資料!$G:$G, (MATCH(26, 輔助計算!$G$2:$G$801, 0)+1)),"0.##")&amp;"+"&amp;TEXT(INDEX(ERP資料!$G:$G, (MATCH(26, 輔助計算!$G$2:$G$801, 0)+1)),"0.##"))))&amp;"-1")), ""), "")</f>
        <v/>
      </c>
      <c r="K27" s="16" t="n"/>
      <c r="L27" s="14">
        <f>IFERROR(IF(AND(IFERROR(INDEX(ERP資料!$A:$A, (MATCH(26, 輔助計算!$G$2:$G$801, 0)+1)), "")&lt;&gt;"", IFERROR(INDEX(ERP資料!$A:$A, (MATCH(26, 輔助計算!$G$2:$G$801, 0)+1)), "")&lt;&gt;IFERROR(INDEX(ERP資料!$A:$A, MATCH(25, 輔助計算!$G$2:$G$801, 0)+1), "")), INDEX(ERP資料!$B:$B, (MATCH(26, 輔助計算!$G$2:$G$801, 0)+1)), ""), "")</f>
        <v/>
      </c>
      <c r="M27" s="17" t="n"/>
    </row>
    <row r="28">
      <c r="A28" s="10">
        <f>IFERROR(IF(AND(IFERROR(INDEX(ERP資料!$A:$A, (MATCH(27, 輔助計算!$G$2:$G$801, 0)+1)), "")&lt;&gt;"", IFERROR(INDEX(ERP資料!$A:$A, (MATCH(27, 輔助計算!$G$2:$G$801, 0)+1)), "")&lt;&gt;IFERROR(INDEX(ERP資料!$A:$A, MATCH(26, 輔助計算!$G$2:$G$801, 0)+1), "")), IFERROR(INDEX(ERP資料!$A:$A, (MATCH(27, 輔助計算!$G$2:$G$801, 0)+1)), ""), ""), "")</f>
        <v/>
      </c>
      <c r="B28" s="10">
        <f>IFERROR(IF(AND(IFERROR(INDEX(ERP資料!$A:$A, (MATCH(27, 輔助計算!$G$2:$G$801, 0)+1)), "")&lt;&gt;"", IFERROR(INDEX(ERP資料!$A:$A, (MATCH(27, 輔助計算!$G$2:$G$801, 0)+1)), "")&lt;&gt;IFERROR(INDEX(ERP資料!$A:$A, MATCH(26, 輔助計算!$G$2:$G$801, 0)+1), "")), INDEX(ERP資料!$S:$S, (MATCH(27, 輔助計算!$G$2:$G$801, 0)+1)), ""), "")</f>
        <v/>
      </c>
      <c r="C28" s="19">
        <f>IFERROR(IF(AND(IFERROR(INDEX(ERP資料!$A:$A, (MATCH(27, 輔助計算!$G$2:$G$801, 0)+1)), "")&lt;&gt;"", IFERROR(INDEX(ERP資料!$A:$A, (MATCH(27, 輔助計算!$G$2:$G$801, 0)+1)), "")&lt;&gt;IFERROR(INDEX(ERP資料!$A:$A, MATCH(26, 輔助計算!$G$2:$G$801, 0)+1), "")), IFERROR(VLOOKUP(LEFT(INDEX(ERP資料!$S:$S, (MATCH(27, 輔助計算!$G$2:$G$801, 0)+1)), 4), 紙管對照表!$A:$C, 3, FALSE), ""), ""), "")</f>
        <v/>
      </c>
      <c r="D28" s="16" t="n"/>
      <c r="E28" s="10">
        <f>IFERROR(IF(INDEX(ERP資料!$H:$H, (MATCH(27, 輔助計算!$G$2:$G$801, 0)+1))="","",INDEX(ERP資料!$H:$H, (MATCH(27, 輔助計算!$G$2:$G$801, 0)+1))), "")</f>
        <v/>
      </c>
      <c r="F28" s="10">
        <f>IFERROR(IF(INDEX(ERP資料!$E:$E, (MATCH(27, 輔助計算!$G$2:$G$801, 0)+1))="","",TRIM(INDEX(ERP資料!$E:$E, (MATCH(27, 輔助計算!$G$2:$G$801, 0)+1)))), "")</f>
        <v/>
      </c>
      <c r="G28" s="10">
        <f>IFERROR(IF(INDEX(ERP資料!$F:$F, (MATCH(27, 輔助計算!$G$2:$G$801, 0)+1))="","",INDEX(ERP資料!$F:$F, (MATCH(27, 輔助計算!$G$2:$G$801, 0)+1))), "")</f>
        <v/>
      </c>
      <c r="H28" s="10">
        <f>IFERROR(IF(INDEX(ERP資料!$G:$G, (MATCH(27, 輔助計算!$G$2:$G$801, 0)+1))="","",INDEX(ERP資料!$G:$G, (MATCH(27, 輔助計算!$G$2:$G$801, 0)+1))), "")</f>
        <v/>
      </c>
      <c r="I28" s="15">
        <f>IFERROR(INDEX(輔助計算!$D:$D, (MATCH(27, 輔助計算!$G$2:$G$801, 0)+1)), "")</f>
        <v/>
      </c>
      <c r="J28" s="15">
        <f>IFERROR(IF(AND(INDEX(輔助計算!$D:$D, (MATCH(27, 輔助計算!$G$2:$G$801, 0)+1))&lt;&gt;"", INDEX(ERP資料!$G:$G, (MATCH(27, 輔助計算!$G$2:$G$801, 0)+1))&lt;&gt;""), TRIM(IF(INT(INDEX(輔助計算!$D:$D, (MATCH(27, 輔助計算!$G$2:$G$801, 0)+1))/IF(INDEX(ERP資料!$G:$G, (MATCH(27, 輔助計算!$G$2:$G$801, 0)+1))&lt;100, IF(INDEX(ERP資料!$G:$G, (MATCH(27, 輔助計算!$G$2:$G$801, 0)+1))&lt;=31,3,IF(INDEX(ERP資料!$G:$G, (MATCH(27, 輔助計算!$G$2:$G$801, 0)+1))&lt;=46.5,2,1)), IF(INDEX(ERP資料!$G:$G, (MATCH(27, 輔助計算!$G$2:$G$801, 0)+1))&lt;=790,3,IF(INDEX(ERP資料!$G:$G, (MATCH(27, 輔助計算!$G$2:$G$801, 0)+1))&lt;=1181,2,1))))&gt;0, IF(IF(INDEX(ERP資料!$G:$G, (MATCH(27, 輔助計算!$G$2:$G$801, 0)+1))&lt;100, IF(INDEX(ERP資料!$G:$G, (MATCH(27, 輔助計算!$G$2:$G$801, 0)+1))&lt;=31,3,IF(INDEX(ERP資料!$G:$G, (MATCH(27, 輔助計算!$G$2:$G$801, 0)+1))&lt;=46.5,2,1)), IF(INDEX(ERP資料!$G:$G, (MATCH(27, 輔助計算!$G$2:$G$801, 0)+1))&lt;=790,3,IF(INDEX(ERP資料!$G:$G, (MATCH(27, 輔助計算!$G$2:$G$801, 0)+1))&lt;=1181,2,1)))=1,TEXT(INDEX(ERP資料!$G:$G, (MATCH(27, 輔助計算!$G$2:$G$801, 0)+1)),"0.##"),IF(IF(INDEX(ERP資料!$G:$G, (MATCH(27, 輔助計算!$G$2:$G$801, 0)+1))&lt;100, IF(INDEX(ERP資料!$G:$G, (MATCH(27, 輔助計算!$G$2:$G$801, 0)+1))&lt;=31,3,IF(INDEX(ERP資料!$G:$G, (MATCH(27, 輔助計算!$G$2:$G$801, 0)+1))&lt;=46.5,2,1)), IF(INDEX(ERP資料!$G:$G, (MATCH(27, 輔助計算!$G$2:$G$801, 0)+1))&lt;=790,3,IF(INDEX(ERP資料!$G:$G, (MATCH(27, 輔助計算!$G$2:$G$801, 0)+1))&lt;=1181,2,1)))=2,TEXT(INDEX(ERP資料!$G:$G, (MATCH(27, 輔助計算!$G$2:$G$801, 0)+1)),"0.##")&amp;"+"&amp;TEXT(INDEX(ERP資料!$G:$G, (MATCH(27, 輔助計算!$G$2:$G$801, 0)+1)),"0.##"),TEXT(INDEX(ERP資料!$G:$G, (MATCH(27, 輔助計算!$G$2:$G$801, 0)+1)),"0.##")&amp;"+"&amp;TEXT(INDEX(ERP資料!$G:$G, (MATCH(27, 輔助計算!$G$2:$G$801, 0)+1)),"0.##")&amp;"+"&amp;TEXT(INDEX(ERP資料!$G:$G, (MATCH(27, 輔助計算!$G$2:$G$801, 0)+1)),"0.##")))&amp;"-"&amp;INT(INDEX(輔助計算!$D:$D, (MATCH(27, 輔助計算!$G$2:$G$801, 0)+1))/IF(INDEX(ERP資料!$G:$G, (MATCH(27, 輔助計算!$G$2:$G$801, 0)+1))&lt;100, IF(INDEX(ERP資料!$G:$G, (MATCH(27, 輔助計算!$G$2:$G$801, 0)+1))&lt;=31,3,IF(INDEX(ERP資料!$G:$G, (MATCH(27, 輔助計算!$G$2:$G$801, 0)+1))&lt;=46.5,2,1)), IF(INDEX(ERP資料!$G:$G, (MATCH(27, 輔助計算!$G$2:$G$801, 0)+1))&lt;=790,3,IF(INDEX(ERP資料!$G:$G, (MATCH(27, 輔助計算!$G$2:$G$801, 0)+1))&lt;=1181,2,1)))), "")&amp;IF(AND(IF(INT(INDEX(輔助計算!$D:$D, (MATCH(27, 輔助計算!$G$2:$G$801, 0)+1))/IF(INDEX(ERP資料!$G:$G, (MATCH(27, 輔助計算!$G$2:$G$801, 0)+1))&lt;100, IF(INDEX(ERP資料!$G:$G, (MATCH(27, 輔助計算!$G$2:$G$801, 0)+1))&lt;=31,3,IF(INDEX(ERP資料!$G:$G, (MATCH(27, 輔助計算!$G$2:$G$801, 0)+1))&lt;=46.5,2,1)), IF(INDEX(ERP資料!$G:$G, (MATCH(27, 輔助計算!$G$2:$G$801, 0)+1))&lt;=790,3,IF(INDEX(ERP資料!$G:$G, (MATCH(27, 輔助計算!$G$2:$G$801, 0)+1))&lt;=1181,2,1))))&gt;0, IF(IF(INDEX(ERP資料!$G:$G, (MATCH(27, 輔助計算!$G$2:$G$801, 0)+1))&lt;100, IF(INDEX(ERP資料!$G:$G, (MATCH(27, 輔助計算!$G$2:$G$801, 0)+1))&lt;=31,3,IF(INDEX(ERP資料!$G:$G, (MATCH(27, 輔助計算!$G$2:$G$801, 0)+1))&lt;=46.5,2,1)), IF(INDEX(ERP資料!$G:$G, (MATCH(27, 輔助計算!$G$2:$G$801, 0)+1))&lt;=790,3,IF(INDEX(ERP資料!$G:$G, (MATCH(27, 輔助計算!$G$2:$G$801, 0)+1))&lt;=1181,2,1)))=1,TEXT(INDEX(ERP資料!$G:$G, (MATCH(27, 輔助計算!$G$2:$G$801, 0)+1)),"0.##"),IF(IF(INDEX(ERP資料!$G:$G, (MATCH(27, 輔助計算!$G$2:$G$801, 0)+1))&lt;100, IF(INDEX(ERP資料!$G:$G, (MATCH(27, 輔助計算!$G$2:$G$801, 0)+1))&lt;=31,3,IF(INDEX(ERP資料!$G:$G, (MATCH(27, 輔助計算!$G$2:$G$801, 0)+1))&lt;=46.5,2,1)), IF(INDEX(ERP資料!$G:$G, (MATCH(27, 輔助計算!$G$2:$G$801, 0)+1))&lt;=790,3,IF(INDEX(ERP資料!$G:$G, (MATCH(27, 輔助計算!$G$2:$G$801, 0)+1))&lt;=1181,2,1)))=2,TEXT(INDEX(ERP資料!$G:$G, (MATCH(27, 輔助計算!$G$2:$G$801, 0)+1)),"0.##")&amp;"+"&amp;TEXT(INDEX(ERP資料!$G:$G, (MATCH(27, 輔助計算!$G$2:$G$801, 0)+1)),"0.##"),TEXT(INDEX(ERP資料!$G:$G, (MATCH(27, 輔助計算!$G$2:$G$801, 0)+1)),"0.##")&amp;"+"&amp;TEXT(INDEX(ERP資料!$G:$G, (MATCH(27, 輔助計算!$G$2:$G$801, 0)+1)),"0.##")&amp;"+"&amp;TEXT(INDEX(ERP資料!$G:$G, (MATCH(27, 輔助計算!$G$2:$G$801, 0)+1)),"0.##")))&amp;"-"&amp;INT(INDEX(輔助計算!$D:$D, (MATCH(27, 輔助計算!$G$2:$G$801, 0)+1))/IF(INDEX(ERP資料!$G:$G, (MATCH(27, 輔助計算!$G$2:$G$801, 0)+1))&lt;100, IF(INDEX(ERP資料!$G:$G, (MATCH(27, 輔助計算!$G$2:$G$801, 0)+1))&lt;=31,3,IF(INDEX(ERP資料!$G:$G, (MATCH(27, 輔助計算!$G$2:$G$801, 0)+1))&lt;=46.5,2,1)), IF(INDEX(ERP資料!$G:$G, (MATCH(27, 輔助計算!$G$2:$G$801, 0)+1))&lt;=790,3,IF(INDEX(ERP資料!$G:$G, (MATCH(27, 輔助計算!$G$2:$G$801, 0)+1))&lt;=1181,2,1)))), "")&lt;&gt;"",IF(MOD(INDEX(輔助計算!$D:$D, (MATCH(27, 輔助計算!$G$2:$G$801, 0)+1)),IF(INDEX(ERP資料!$G:$G, (MATCH(27, 輔助計算!$G$2:$G$801, 0)+1))&lt;100, IF(INDEX(ERP資料!$G:$G, (MATCH(27, 輔助計算!$G$2:$G$801, 0)+1))&lt;=31,3,IF(INDEX(ERP資料!$G:$G, (MATCH(27, 輔助計算!$G$2:$G$801, 0)+1))&lt;=46.5,2,1)), IF(INDEX(ERP資料!$G:$G, (MATCH(27, 輔助計算!$G$2:$G$801, 0)+1))&lt;=790,3,IF(INDEX(ERP資料!$G:$G, (MATCH(27, 輔助計算!$G$2:$G$801, 0)+1))&lt;=1181,2,1))))=0,"",IF(MOD(INDEX(輔助計算!$D:$D, (MATCH(27, 輔助計算!$G$2:$G$801, 0)+1)),IF(INDEX(ERP資料!$G:$G, (MATCH(27, 輔助計算!$G$2:$G$801, 0)+1))&lt;100, IF(INDEX(ERP資料!$G:$G, (MATCH(27, 輔助計算!$G$2:$G$801, 0)+1))&lt;=31,3,IF(INDEX(ERP資料!$G:$G, (MATCH(27, 輔助計算!$G$2:$G$801, 0)+1))&lt;=46.5,2,1)), IF(INDEX(ERP資料!$G:$G, (MATCH(27, 輔助計算!$G$2:$G$801, 0)+1))&lt;=790,3,IF(INDEX(ERP資料!$G:$G, (MATCH(27, 輔助計算!$G$2:$G$801, 0)+1))&lt;=1181,2,1))))=0,"",IF(MOD(INDEX(輔助計算!$D:$D, (MATCH(27, 輔助計算!$G$2:$G$801, 0)+1)),IF(INDEX(ERP資料!$G:$G, (MATCH(27, 輔助計算!$G$2:$G$801, 0)+1))&lt;100, IF(INDEX(ERP資料!$G:$G, (MATCH(27, 輔助計算!$G$2:$G$801, 0)+1))&lt;=31,3,IF(INDEX(ERP資料!$G:$G, (MATCH(27, 輔助計算!$G$2:$G$801, 0)+1))&lt;=46.5,2,1)), IF(INDEX(ERP資料!$G:$G, (MATCH(27, 輔助計算!$G$2:$G$801, 0)+1))&lt;=790,3,IF(INDEX(ERP資料!$G:$G, (MATCH(27, 輔助計算!$G$2:$G$801, 0)+1))&lt;=1181,2,1))))=1,TEXT(INDEX(ERP資料!$G:$G, (MATCH(27, 輔助計算!$G$2:$G$801, 0)+1)),"0.##"),IF(MOD(INDEX(輔助計算!$D:$D, (MATCH(27, 輔助計算!$G$2:$G$801, 0)+1)),IF(INDEX(ERP資料!$G:$G, (MATCH(27, 輔助計算!$G$2:$G$801, 0)+1))&lt;100, IF(INDEX(ERP資料!$G:$G, (MATCH(27, 輔助計算!$G$2:$G$801, 0)+1))&lt;=31,3,IF(INDEX(ERP資料!$G:$G, (MATCH(27, 輔助計算!$G$2:$G$801, 0)+1))&lt;=46.5,2,1)), IF(INDEX(ERP資料!$G:$G, (MATCH(27, 輔助計算!$G$2:$G$801, 0)+1))&lt;=790,3,IF(INDEX(ERP資料!$G:$G, (MATCH(27, 輔助計算!$G$2:$G$801, 0)+1))&lt;=1181,2,1))))=2,TEXT(INDEX(ERP資料!$G:$G, (MATCH(27, 輔助計算!$G$2:$G$801, 0)+1)),"0.##")&amp;"+"&amp;TEXT(INDEX(ERP資料!$G:$G, (MATCH(27, 輔助計算!$G$2:$G$801, 0)+1)),"0.##"),TEXT(INDEX(ERP資料!$G:$G, (MATCH(27, 輔助計算!$G$2:$G$801, 0)+1)),"0.##")&amp;"+"&amp;TEXT(INDEX(ERP資料!$G:$G, (MATCH(27, 輔助計算!$G$2:$G$801, 0)+1)),"0.##")&amp;"+"&amp;TEXT(INDEX(ERP資料!$G:$G, (MATCH(27, 輔助計算!$G$2:$G$801, 0)+1)),"0.##"))))&amp;"-1")&lt;&gt;""),"  ","")&amp;IF(MOD(INDEX(輔助計算!$D:$D, (MATCH(27, 輔助計算!$G$2:$G$801, 0)+1)),IF(INDEX(ERP資料!$G:$G, (MATCH(27, 輔助計算!$G$2:$G$801, 0)+1))&lt;100, IF(INDEX(ERP資料!$G:$G, (MATCH(27, 輔助計算!$G$2:$G$801, 0)+1))&lt;=31,3,IF(INDEX(ERP資料!$G:$G, (MATCH(27, 輔助計算!$G$2:$G$801, 0)+1))&lt;=46.5,2,1)), IF(INDEX(ERP資料!$G:$G, (MATCH(27, 輔助計算!$G$2:$G$801, 0)+1))&lt;=790,3,IF(INDEX(ERP資料!$G:$G, (MATCH(27, 輔助計算!$G$2:$G$801, 0)+1))&lt;=1181,2,1))))=0,"",IF(MOD(INDEX(輔助計算!$D:$D, (MATCH(27, 輔助計算!$G$2:$G$801, 0)+1)),IF(INDEX(ERP資料!$G:$G, (MATCH(27, 輔助計算!$G$2:$G$801, 0)+1))&lt;100, IF(INDEX(ERP資料!$G:$G, (MATCH(27, 輔助計算!$G$2:$G$801, 0)+1))&lt;=31,3,IF(INDEX(ERP資料!$G:$G, (MATCH(27, 輔助計算!$G$2:$G$801, 0)+1))&lt;=46.5,2,1)), IF(INDEX(ERP資料!$G:$G, (MATCH(27, 輔助計算!$G$2:$G$801, 0)+1))&lt;=790,3,IF(INDEX(ERP資料!$G:$G, (MATCH(27, 輔助計算!$G$2:$G$801, 0)+1))&lt;=1181,2,1))))=0,"",IF(MOD(INDEX(輔助計算!$D:$D, (MATCH(27, 輔助計算!$G$2:$G$801, 0)+1)),IF(INDEX(ERP資料!$G:$G, (MATCH(27, 輔助計算!$G$2:$G$801, 0)+1))&lt;100, IF(INDEX(ERP資料!$G:$G, (MATCH(27, 輔助計算!$G$2:$G$801, 0)+1))&lt;=31,3,IF(INDEX(ERP資料!$G:$G, (MATCH(27, 輔助計算!$G$2:$G$801, 0)+1))&lt;=46.5,2,1)), IF(INDEX(ERP資料!$G:$G, (MATCH(27, 輔助計算!$G$2:$G$801, 0)+1))&lt;=790,3,IF(INDEX(ERP資料!$G:$G, (MATCH(27, 輔助計算!$G$2:$G$801, 0)+1))&lt;=1181,2,1))))=1,TEXT(INDEX(ERP資料!$G:$G, (MATCH(27, 輔助計算!$G$2:$G$801, 0)+1)),"0.##"),IF(MOD(INDEX(輔助計算!$D:$D, (MATCH(27, 輔助計算!$G$2:$G$801, 0)+1)),IF(INDEX(ERP資料!$G:$G, (MATCH(27, 輔助計算!$G$2:$G$801, 0)+1))&lt;100, IF(INDEX(ERP資料!$G:$G, (MATCH(27, 輔助計算!$G$2:$G$801, 0)+1))&lt;=31,3,IF(INDEX(ERP資料!$G:$G, (MATCH(27, 輔助計算!$G$2:$G$801, 0)+1))&lt;=46.5,2,1)), IF(INDEX(ERP資料!$G:$G, (MATCH(27, 輔助計算!$G$2:$G$801, 0)+1))&lt;=790,3,IF(INDEX(ERP資料!$G:$G, (MATCH(27, 輔助計算!$G$2:$G$801, 0)+1))&lt;=1181,2,1))))=2,TEXT(INDEX(ERP資料!$G:$G, (MATCH(27, 輔助計算!$G$2:$G$801, 0)+1)),"0.##")&amp;"+"&amp;TEXT(INDEX(ERP資料!$G:$G, (MATCH(27, 輔助計算!$G$2:$G$801, 0)+1)),"0.##"),TEXT(INDEX(ERP資料!$G:$G, (MATCH(27, 輔助計算!$G$2:$G$801, 0)+1)),"0.##")&amp;"+"&amp;TEXT(INDEX(ERP資料!$G:$G, (MATCH(27, 輔助計算!$G$2:$G$801, 0)+1)),"0.##")&amp;"+"&amp;TEXT(INDEX(ERP資料!$G:$G, (MATCH(27, 輔助計算!$G$2:$G$801, 0)+1)),"0.##"))))&amp;"-1")), ""), "")</f>
        <v/>
      </c>
      <c r="K28" s="16" t="n"/>
      <c r="L28" s="14">
        <f>IFERROR(IF(AND(IFERROR(INDEX(ERP資料!$A:$A, (MATCH(27, 輔助計算!$G$2:$G$801, 0)+1)), "")&lt;&gt;"", IFERROR(INDEX(ERP資料!$A:$A, (MATCH(27, 輔助計算!$G$2:$G$801, 0)+1)), "")&lt;&gt;IFERROR(INDEX(ERP資料!$A:$A, MATCH(26, 輔助計算!$G$2:$G$801, 0)+1), "")), INDEX(ERP資料!$B:$B, (MATCH(27, 輔助計算!$G$2:$G$801, 0)+1)), ""), "")</f>
        <v/>
      </c>
      <c r="M28" s="17" t="n"/>
    </row>
    <row r="29">
      <c r="A29" s="10">
        <f>IFERROR(IF(AND(IFERROR(INDEX(ERP資料!$A:$A, (MATCH(28, 輔助計算!$G$2:$G$801, 0)+1)), "")&lt;&gt;"", IFERROR(INDEX(ERP資料!$A:$A, (MATCH(28, 輔助計算!$G$2:$G$801, 0)+1)), "")&lt;&gt;IFERROR(INDEX(ERP資料!$A:$A, MATCH(27, 輔助計算!$G$2:$G$801, 0)+1), "")), IFERROR(INDEX(ERP資料!$A:$A, (MATCH(28, 輔助計算!$G$2:$G$801, 0)+1)), ""), ""), "")</f>
        <v/>
      </c>
      <c r="B29" s="10">
        <f>IFERROR(IF(AND(IFERROR(INDEX(ERP資料!$A:$A, (MATCH(28, 輔助計算!$G$2:$G$801, 0)+1)), "")&lt;&gt;"", IFERROR(INDEX(ERP資料!$A:$A, (MATCH(28, 輔助計算!$G$2:$G$801, 0)+1)), "")&lt;&gt;IFERROR(INDEX(ERP資料!$A:$A, MATCH(27, 輔助計算!$G$2:$G$801, 0)+1), "")), INDEX(ERP資料!$S:$S, (MATCH(28, 輔助計算!$G$2:$G$801, 0)+1)), ""), "")</f>
        <v/>
      </c>
      <c r="C29" s="19">
        <f>IFERROR(IF(AND(IFERROR(INDEX(ERP資料!$A:$A, (MATCH(28, 輔助計算!$G$2:$G$801, 0)+1)), "")&lt;&gt;"", IFERROR(INDEX(ERP資料!$A:$A, (MATCH(28, 輔助計算!$G$2:$G$801, 0)+1)), "")&lt;&gt;IFERROR(INDEX(ERP資料!$A:$A, MATCH(27, 輔助計算!$G$2:$G$801, 0)+1), "")), IFERROR(VLOOKUP(LEFT(INDEX(ERP資料!$S:$S, (MATCH(28, 輔助計算!$G$2:$G$801, 0)+1)), 4), 紙管對照表!$A:$C, 3, FALSE), ""), ""), "")</f>
        <v/>
      </c>
      <c r="D29" s="16" t="n"/>
      <c r="E29" s="10">
        <f>IFERROR(IF(INDEX(ERP資料!$H:$H, (MATCH(28, 輔助計算!$G$2:$G$801, 0)+1))="","",INDEX(ERP資料!$H:$H, (MATCH(28, 輔助計算!$G$2:$G$801, 0)+1))), "")</f>
        <v/>
      </c>
      <c r="F29" s="10">
        <f>IFERROR(IF(INDEX(ERP資料!$E:$E, (MATCH(28, 輔助計算!$G$2:$G$801, 0)+1))="","",TRIM(INDEX(ERP資料!$E:$E, (MATCH(28, 輔助計算!$G$2:$G$801, 0)+1)))), "")</f>
        <v/>
      </c>
      <c r="G29" s="10">
        <f>IFERROR(IF(INDEX(ERP資料!$F:$F, (MATCH(28, 輔助計算!$G$2:$G$801, 0)+1))="","",INDEX(ERP資料!$F:$F, (MATCH(28, 輔助計算!$G$2:$G$801, 0)+1))), "")</f>
        <v/>
      </c>
      <c r="H29" s="10">
        <f>IFERROR(IF(INDEX(ERP資料!$G:$G, (MATCH(28, 輔助計算!$G$2:$G$801, 0)+1))="","",INDEX(ERP資料!$G:$G, (MATCH(28, 輔助計算!$G$2:$G$801, 0)+1))), "")</f>
        <v/>
      </c>
      <c r="I29" s="15">
        <f>IFERROR(INDEX(輔助計算!$D:$D, (MATCH(28, 輔助計算!$G$2:$G$801, 0)+1)), "")</f>
        <v/>
      </c>
      <c r="J29" s="15">
        <f>IFERROR(IF(AND(INDEX(輔助計算!$D:$D, (MATCH(28, 輔助計算!$G$2:$G$801, 0)+1))&lt;&gt;"", INDEX(ERP資料!$G:$G, (MATCH(28, 輔助計算!$G$2:$G$801, 0)+1))&lt;&gt;""), TRIM(IF(INT(INDEX(輔助計算!$D:$D, (MATCH(28, 輔助計算!$G$2:$G$801, 0)+1))/IF(INDEX(ERP資料!$G:$G, (MATCH(28, 輔助計算!$G$2:$G$801, 0)+1))&lt;100, IF(INDEX(ERP資料!$G:$G, (MATCH(28, 輔助計算!$G$2:$G$801, 0)+1))&lt;=31,3,IF(INDEX(ERP資料!$G:$G, (MATCH(28, 輔助計算!$G$2:$G$801, 0)+1))&lt;=46.5,2,1)), IF(INDEX(ERP資料!$G:$G, (MATCH(28, 輔助計算!$G$2:$G$801, 0)+1))&lt;=790,3,IF(INDEX(ERP資料!$G:$G, (MATCH(28, 輔助計算!$G$2:$G$801, 0)+1))&lt;=1181,2,1))))&gt;0, IF(IF(INDEX(ERP資料!$G:$G, (MATCH(28, 輔助計算!$G$2:$G$801, 0)+1))&lt;100, IF(INDEX(ERP資料!$G:$G, (MATCH(28, 輔助計算!$G$2:$G$801, 0)+1))&lt;=31,3,IF(INDEX(ERP資料!$G:$G, (MATCH(28, 輔助計算!$G$2:$G$801, 0)+1))&lt;=46.5,2,1)), IF(INDEX(ERP資料!$G:$G, (MATCH(28, 輔助計算!$G$2:$G$801, 0)+1))&lt;=790,3,IF(INDEX(ERP資料!$G:$G, (MATCH(28, 輔助計算!$G$2:$G$801, 0)+1))&lt;=1181,2,1)))=1,TEXT(INDEX(ERP資料!$G:$G, (MATCH(28, 輔助計算!$G$2:$G$801, 0)+1)),"0.##"),IF(IF(INDEX(ERP資料!$G:$G, (MATCH(28, 輔助計算!$G$2:$G$801, 0)+1))&lt;100, IF(INDEX(ERP資料!$G:$G, (MATCH(28, 輔助計算!$G$2:$G$801, 0)+1))&lt;=31,3,IF(INDEX(ERP資料!$G:$G, (MATCH(28, 輔助計算!$G$2:$G$801, 0)+1))&lt;=46.5,2,1)), IF(INDEX(ERP資料!$G:$G, (MATCH(28, 輔助計算!$G$2:$G$801, 0)+1))&lt;=790,3,IF(INDEX(ERP資料!$G:$G, (MATCH(28, 輔助計算!$G$2:$G$801, 0)+1))&lt;=1181,2,1)))=2,TEXT(INDEX(ERP資料!$G:$G, (MATCH(28, 輔助計算!$G$2:$G$801, 0)+1)),"0.##")&amp;"+"&amp;TEXT(INDEX(ERP資料!$G:$G, (MATCH(28, 輔助計算!$G$2:$G$801, 0)+1)),"0.##"),TEXT(INDEX(ERP資料!$G:$G, (MATCH(28, 輔助計算!$G$2:$G$801, 0)+1)),"0.##")&amp;"+"&amp;TEXT(INDEX(ERP資料!$G:$G, (MATCH(28, 輔助計算!$G$2:$G$801, 0)+1)),"0.##")&amp;"+"&amp;TEXT(INDEX(ERP資料!$G:$G, (MATCH(28, 輔助計算!$G$2:$G$801, 0)+1)),"0.##")))&amp;"-"&amp;INT(INDEX(輔助計算!$D:$D, (MATCH(28, 輔助計算!$G$2:$G$801, 0)+1))/IF(INDEX(ERP資料!$G:$G, (MATCH(28, 輔助計算!$G$2:$G$801, 0)+1))&lt;100, IF(INDEX(ERP資料!$G:$G, (MATCH(28, 輔助計算!$G$2:$G$801, 0)+1))&lt;=31,3,IF(INDEX(ERP資料!$G:$G, (MATCH(28, 輔助計算!$G$2:$G$801, 0)+1))&lt;=46.5,2,1)), IF(INDEX(ERP資料!$G:$G, (MATCH(28, 輔助計算!$G$2:$G$801, 0)+1))&lt;=790,3,IF(INDEX(ERP資料!$G:$G, (MATCH(28, 輔助計算!$G$2:$G$801, 0)+1))&lt;=1181,2,1)))), "")&amp;IF(AND(IF(INT(INDEX(輔助計算!$D:$D, (MATCH(28, 輔助計算!$G$2:$G$801, 0)+1))/IF(INDEX(ERP資料!$G:$G, (MATCH(28, 輔助計算!$G$2:$G$801, 0)+1))&lt;100, IF(INDEX(ERP資料!$G:$G, (MATCH(28, 輔助計算!$G$2:$G$801, 0)+1))&lt;=31,3,IF(INDEX(ERP資料!$G:$G, (MATCH(28, 輔助計算!$G$2:$G$801, 0)+1))&lt;=46.5,2,1)), IF(INDEX(ERP資料!$G:$G, (MATCH(28, 輔助計算!$G$2:$G$801, 0)+1))&lt;=790,3,IF(INDEX(ERP資料!$G:$G, (MATCH(28, 輔助計算!$G$2:$G$801, 0)+1))&lt;=1181,2,1))))&gt;0, IF(IF(INDEX(ERP資料!$G:$G, (MATCH(28, 輔助計算!$G$2:$G$801, 0)+1))&lt;100, IF(INDEX(ERP資料!$G:$G, (MATCH(28, 輔助計算!$G$2:$G$801, 0)+1))&lt;=31,3,IF(INDEX(ERP資料!$G:$G, (MATCH(28, 輔助計算!$G$2:$G$801, 0)+1))&lt;=46.5,2,1)), IF(INDEX(ERP資料!$G:$G, (MATCH(28, 輔助計算!$G$2:$G$801, 0)+1))&lt;=790,3,IF(INDEX(ERP資料!$G:$G, (MATCH(28, 輔助計算!$G$2:$G$801, 0)+1))&lt;=1181,2,1)))=1,TEXT(INDEX(ERP資料!$G:$G, (MATCH(28, 輔助計算!$G$2:$G$801, 0)+1)),"0.##"),IF(IF(INDEX(ERP資料!$G:$G, (MATCH(28, 輔助計算!$G$2:$G$801, 0)+1))&lt;100, IF(INDEX(ERP資料!$G:$G, (MATCH(28, 輔助計算!$G$2:$G$801, 0)+1))&lt;=31,3,IF(INDEX(ERP資料!$G:$G, (MATCH(28, 輔助計算!$G$2:$G$801, 0)+1))&lt;=46.5,2,1)), IF(INDEX(ERP資料!$G:$G, (MATCH(28, 輔助計算!$G$2:$G$801, 0)+1))&lt;=790,3,IF(INDEX(ERP資料!$G:$G, (MATCH(28, 輔助計算!$G$2:$G$801, 0)+1))&lt;=1181,2,1)))=2,TEXT(INDEX(ERP資料!$G:$G, (MATCH(28, 輔助計算!$G$2:$G$801, 0)+1)),"0.##")&amp;"+"&amp;TEXT(INDEX(ERP資料!$G:$G, (MATCH(28, 輔助計算!$G$2:$G$801, 0)+1)),"0.##"),TEXT(INDEX(ERP資料!$G:$G, (MATCH(28, 輔助計算!$G$2:$G$801, 0)+1)),"0.##")&amp;"+"&amp;TEXT(INDEX(ERP資料!$G:$G, (MATCH(28, 輔助計算!$G$2:$G$801, 0)+1)),"0.##")&amp;"+"&amp;TEXT(INDEX(ERP資料!$G:$G, (MATCH(28, 輔助計算!$G$2:$G$801, 0)+1)),"0.##")))&amp;"-"&amp;INT(INDEX(輔助計算!$D:$D, (MATCH(28, 輔助計算!$G$2:$G$801, 0)+1))/IF(INDEX(ERP資料!$G:$G, (MATCH(28, 輔助計算!$G$2:$G$801, 0)+1))&lt;100, IF(INDEX(ERP資料!$G:$G, (MATCH(28, 輔助計算!$G$2:$G$801, 0)+1))&lt;=31,3,IF(INDEX(ERP資料!$G:$G, (MATCH(28, 輔助計算!$G$2:$G$801, 0)+1))&lt;=46.5,2,1)), IF(INDEX(ERP資料!$G:$G, (MATCH(28, 輔助計算!$G$2:$G$801, 0)+1))&lt;=790,3,IF(INDEX(ERP資料!$G:$G, (MATCH(28, 輔助計算!$G$2:$G$801, 0)+1))&lt;=1181,2,1)))), "")&lt;&gt;"",IF(MOD(INDEX(輔助計算!$D:$D, (MATCH(28, 輔助計算!$G$2:$G$801, 0)+1)),IF(INDEX(ERP資料!$G:$G, (MATCH(28, 輔助計算!$G$2:$G$801, 0)+1))&lt;100, IF(INDEX(ERP資料!$G:$G, (MATCH(28, 輔助計算!$G$2:$G$801, 0)+1))&lt;=31,3,IF(INDEX(ERP資料!$G:$G, (MATCH(28, 輔助計算!$G$2:$G$801, 0)+1))&lt;=46.5,2,1)), IF(INDEX(ERP資料!$G:$G, (MATCH(28, 輔助計算!$G$2:$G$801, 0)+1))&lt;=790,3,IF(INDEX(ERP資料!$G:$G, (MATCH(28, 輔助計算!$G$2:$G$801, 0)+1))&lt;=1181,2,1))))=0,"",IF(MOD(INDEX(輔助計算!$D:$D, (MATCH(28, 輔助計算!$G$2:$G$801, 0)+1)),IF(INDEX(ERP資料!$G:$G, (MATCH(28, 輔助計算!$G$2:$G$801, 0)+1))&lt;100, IF(INDEX(ERP資料!$G:$G, (MATCH(28, 輔助計算!$G$2:$G$801, 0)+1))&lt;=31,3,IF(INDEX(ERP資料!$G:$G, (MATCH(28, 輔助計算!$G$2:$G$801, 0)+1))&lt;=46.5,2,1)), IF(INDEX(ERP資料!$G:$G, (MATCH(28, 輔助計算!$G$2:$G$801, 0)+1))&lt;=790,3,IF(INDEX(ERP資料!$G:$G, (MATCH(28, 輔助計算!$G$2:$G$801, 0)+1))&lt;=1181,2,1))))=0,"",IF(MOD(INDEX(輔助計算!$D:$D, (MATCH(28, 輔助計算!$G$2:$G$801, 0)+1)),IF(INDEX(ERP資料!$G:$G, (MATCH(28, 輔助計算!$G$2:$G$801, 0)+1))&lt;100, IF(INDEX(ERP資料!$G:$G, (MATCH(28, 輔助計算!$G$2:$G$801, 0)+1))&lt;=31,3,IF(INDEX(ERP資料!$G:$G, (MATCH(28, 輔助計算!$G$2:$G$801, 0)+1))&lt;=46.5,2,1)), IF(INDEX(ERP資料!$G:$G, (MATCH(28, 輔助計算!$G$2:$G$801, 0)+1))&lt;=790,3,IF(INDEX(ERP資料!$G:$G, (MATCH(28, 輔助計算!$G$2:$G$801, 0)+1))&lt;=1181,2,1))))=1,TEXT(INDEX(ERP資料!$G:$G, (MATCH(28, 輔助計算!$G$2:$G$801, 0)+1)),"0.##"),IF(MOD(INDEX(輔助計算!$D:$D, (MATCH(28, 輔助計算!$G$2:$G$801, 0)+1)),IF(INDEX(ERP資料!$G:$G, (MATCH(28, 輔助計算!$G$2:$G$801, 0)+1))&lt;100, IF(INDEX(ERP資料!$G:$G, (MATCH(28, 輔助計算!$G$2:$G$801, 0)+1))&lt;=31,3,IF(INDEX(ERP資料!$G:$G, (MATCH(28, 輔助計算!$G$2:$G$801, 0)+1))&lt;=46.5,2,1)), IF(INDEX(ERP資料!$G:$G, (MATCH(28, 輔助計算!$G$2:$G$801, 0)+1))&lt;=790,3,IF(INDEX(ERP資料!$G:$G, (MATCH(28, 輔助計算!$G$2:$G$801, 0)+1))&lt;=1181,2,1))))=2,TEXT(INDEX(ERP資料!$G:$G, (MATCH(28, 輔助計算!$G$2:$G$801, 0)+1)),"0.##")&amp;"+"&amp;TEXT(INDEX(ERP資料!$G:$G, (MATCH(28, 輔助計算!$G$2:$G$801, 0)+1)),"0.##"),TEXT(INDEX(ERP資料!$G:$G, (MATCH(28, 輔助計算!$G$2:$G$801, 0)+1)),"0.##")&amp;"+"&amp;TEXT(INDEX(ERP資料!$G:$G, (MATCH(28, 輔助計算!$G$2:$G$801, 0)+1)),"0.##")&amp;"+"&amp;TEXT(INDEX(ERP資料!$G:$G, (MATCH(28, 輔助計算!$G$2:$G$801, 0)+1)),"0.##"))))&amp;"-1")&lt;&gt;""),"  ","")&amp;IF(MOD(INDEX(輔助計算!$D:$D, (MATCH(28, 輔助計算!$G$2:$G$801, 0)+1)),IF(INDEX(ERP資料!$G:$G, (MATCH(28, 輔助計算!$G$2:$G$801, 0)+1))&lt;100, IF(INDEX(ERP資料!$G:$G, (MATCH(28, 輔助計算!$G$2:$G$801, 0)+1))&lt;=31,3,IF(INDEX(ERP資料!$G:$G, (MATCH(28, 輔助計算!$G$2:$G$801, 0)+1))&lt;=46.5,2,1)), IF(INDEX(ERP資料!$G:$G, (MATCH(28, 輔助計算!$G$2:$G$801, 0)+1))&lt;=790,3,IF(INDEX(ERP資料!$G:$G, (MATCH(28, 輔助計算!$G$2:$G$801, 0)+1))&lt;=1181,2,1))))=0,"",IF(MOD(INDEX(輔助計算!$D:$D, (MATCH(28, 輔助計算!$G$2:$G$801, 0)+1)),IF(INDEX(ERP資料!$G:$G, (MATCH(28, 輔助計算!$G$2:$G$801, 0)+1))&lt;100, IF(INDEX(ERP資料!$G:$G, (MATCH(28, 輔助計算!$G$2:$G$801, 0)+1))&lt;=31,3,IF(INDEX(ERP資料!$G:$G, (MATCH(28, 輔助計算!$G$2:$G$801, 0)+1))&lt;=46.5,2,1)), IF(INDEX(ERP資料!$G:$G, (MATCH(28, 輔助計算!$G$2:$G$801, 0)+1))&lt;=790,3,IF(INDEX(ERP資料!$G:$G, (MATCH(28, 輔助計算!$G$2:$G$801, 0)+1))&lt;=1181,2,1))))=0,"",IF(MOD(INDEX(輔助計算!$D:$D, (MATCH(28, 輔助計算!$G$2:$G$801, 0)+1)),IF(INDEX(ERP資料!$G:$G, (MATCH(28, 輔助計算!$G$2:$G$801, 0)+1))&lt;100, IF(INDEX(ERP資料!$G:$G, (MATCH(28, 輔助計算!$G$2:$G$801, 0)+1))&lt;=31,3,IF(INDEX(ERP資料!$G:$G, (MATCH(28, 輔助計算!$G$2:$G$801, 0)+1))&lt;=46.5,2,1)), IF(INDEX(ERP資料!$G:$G, (MATCH(28, 輔助計算!$G$2:$G$801, 0)+1))&lt;=790,3,IF(INDEX(ERP資料!$G:$G, (MATCH(28, 輔助計算!$G$2:$G$801, 0)+1))&lt;=1181,2,1))))=1,TEXT(INDEX(ERP資料!$G:$G, (MATCH(28, 輔助計算!$G$2:$G$801, 0)+1)),"0.##"),IF(MOD(INDEX(輔助計算!$D:$D, (MATCH(28, 輔助計算!$G$2:$G$801, 0)+1)),IF(INDEX(ERP資料!$G:$G, (MATCH(28, 輔助計算!$G$2:$G$801, 0)+1))&lt;100, IF(INDEX(ERP資料!$G:$G, (MATCH(28, 輔助計算!$G$2:$G$801, 0)+1))&lt;=31,3,IF(INDEX(ERP資料!$G:$G, (MATCH(28, 輔助計算!$G$2:$G$801, 0)+1))&lt;=46.5,2,1)), IF(INDEX(ERP資料!$G:$G, (MATCH(28, 輔助計算!$G$2:$G$801, 0)+1))&lt;=790,3,IF(INDEX(ERP資料!$G:$G, (MATCH(28, 輔助計算!$G$2:$G$801, 0)+1))&lt;=1181,2,1))))=2,TEXT(INDEX(ERP資料!$G:$G, (MATCH(28, 輔助計算!$G$2:$G$801, 0)+1)),"0.##")&amp;"+"&amp;TEXT(INDEX(ERP資料!$G:$G, (MATCH(28, 輔助計算!$G$2:$G$801, 0)+1)),"0.##"),TEXT(INDEX(ERP資料!$G:$G, (MATCH(28, 輔助計算!$G$2:$G$801, 0)+1)),"0.##")&amp;"+"&amp;TEXT(INDEX(ERP資料!$G:$G, (MATCH(28, 輔助計算!$G$2:$G$801, 0)+1)),"0.##")&amp;"+"&amp;TEXT(INDEX(ERP資料!$G:$G, (MATCH(28, 輔助計算!$G$2:$G$801, 0)+1)),"0.##"))))&amp;"-1")), ""), "")</f>
        <v/>
      </c>
      <c r="K29" s="16" t="n"/>
      <c r="L29" s="14">
        <f>IFERROR(IF(AND(IFERROR(INDEX(ERP資料!$A:$A, (MATCH(28, 輔助計算!$G$2:$G$801, 0)+1)), "")&lt;&gt;"", IFERROR(INDEX(ERP資料!$A:$A, (MATCH(28, 輔助計算!$G$2:$G$801, 0)+1)), "")&lt;&gt;IFERROR(INDEX(ERP資料!$A:$A, MATCH(27, 輔助計算!$G$2:$G$801, 0)+1), "")), INDEX(ERP資料!$B:$B, (MATCH(28, 輔助計算!$G$2:$G$801, 0)+1)), ""), "")</f>
        <v/>
      </c>
      <c r="M29" s="17" t="n"/>
    </row>
    <row r="30">
      <c r="A30" s="10">
        <f>IFERROR(IF(AND(IFERROR(INDEX(ERP資料!$A:$A, (MATCH(29, 輔助計算!$G$2:$G$801, 0)+1)), "")&lt;&gt;"", IFERROR(INDEX(ERP資料!$A:$A, (MATCH(29, 輔助計算!$G$2:$G$801, 0)+1)), "")&lt;&gt;IFERROR(INDEX(ERP資料!$A:$A, MATCH(28, 輔助計算!$G$2:$G$801, 0)+1), "")), IFERROR(INDEX(ERP資料!$A:$A, (MATCH(29, 輔助計算!$G$2:$G$801, 0)+1)), ""), ""), "")</f>
        <v/>
      </c>
      <c r="B30" s="10">
        <f>IFERROR(IF(AND(IFERROR(INDEX(ERP資料!$A:$A, (MATCH(29, 輔助計算!$G$2:$G$801, 0)+1)), "")&lt;&gt;"", IFERROR(INDEX(ERP資料!$A:$A, (MATCH(29, 輔助計算!$G$2:$G$801, 0)+1)), "")&lt;&gt;IFERROR(INDEX(ERP資料!$A:$A, MATCH(28, 輔助計算!$G$2:$G$801, 0)+1), "")), INDEX(ERP資料!$S:$S, (MATCH(29, 輔助計算!$G$2:$G$801, 0)+1)), ""), "")</f>
        <v/>
      </c>
      <c r="C30" s="19">
        <f>IFERROR(IF(AND(IFERROR(INDEX(ERP資料!$A:$A, (MATCH(29, 輔助計算!$G$2:$G$801, 0)+1)), "")&lt;&gt;"", IFERROR(INDEX(ERP資料!$A:$A, (MATCH(29, 輔助計算!$G$2:$G$801, 0)+1)), "")&lt;&gt;IFERROR(INDEX(ERP資料!$A:$A, MATCH(28, 輔助計算!$G$2:$G$801, 0)+1), "")), IFERROR(VLOOKUP(LEFT(INDEX(ERP資料!$S:$S, (MATCH(29, 輔助計算!$G$2:$G$801, 0)+1)), 4), 紙管對照表!$A:$C, 3, FALSE), ""), ""), "")</f>
        <v/>
      </c>
      <c r="D30" s="16" t="n"/>
      <c r="E30" s="10">
        <f>IFERROR(IF(INDEX(ERP資料!$H:$H, (MATCH(29, 輔助計算!$G$2:$G$801, 0)+1))="","",INDEX(ERP資料!$H:$H, (MATCH(29, 輔助計算!$G$2:$G$801, 0)+1))), "")</f>
        <v/>
      </c>
      <c r="F30" s="10">
        <f>IFERROR(IF(INDEX(ERP資料!$E:$E, (MATCH(29, 輔助計算!$G$2:$G$801, 0)+1))="","",TRIM(INDEX(ERP資料!$E:$E, (MATCH(29, 輔助計算!$G$2:$G$801, 0)+1)))), "")</f>
        <v/>
      </c>
      <c r="G30" s="10">
        <f>IFERROR(IF(INDEX(ERP資料!$F:$F, (MATCH(29, 輔助計算!$G$2:$G$801, 0)+1))="","",INDEX(ERP資料!$F:$F, (MATCH(29, 輔助計算!$G$2:$G$801, 0)+1))), "")</f>
        <v/>
      </c>
      <c r="H30" s="10">
        <f>IFERROR(IF(INDEX(ERP資料!$G:$G, (MATCH(29, 輔助計算!$G$2:$G$801, 0)+1))="","",INDEX(ERP資料!$G:$G, (MATCH(29, 輔助計算!$G$2:$G$801, 0)+1))), "")</f>
        <v/>
      </c>
      <c r="I30" s="15">
        <f>IFERROR(INDEX(輔助計算!$D:$D, (MATCH(29, 輔助計算!$G$2:$G$801, 0)+1)), "")</f>
        <v/>
      </c>
      <c r="J30" s="15">
        <f>IFERROR(IF(AND(INDEX(輔助計算!$D:$D, (MATCH(29, 輔助計算!$G$2:$G$801, 0)+1))&lt;&gt;"", INDEX(ERP資料!$G:$G, (MATCH(29, 輔助計算!$G$2:$G$801, 0)+1))&lt;&gt;""), TRIM(IF(INT(INDEX(輔助計算!$D:$D, (MATCH(29, 輔助計算!$G$2:$G$801, 0)+1))/IF(INDEX(ERP資料!$G:$G, (MATCH(29, 輔助計算!$G$2:$G$801, 0)+1))&lt;100, IF(INDEX(ERP資料!$G:$G, (MATCH(29, 輔助計算!$G$2:$G$801, 0)+1))&lt;=31,3,IF(INDEX(ERP資料!$G:$G, (MATCH(29, 輔助計算!$G$2:$G$801, 0)+1))&lt;=46.5,2,1)), IF(INDEX(ERP資料!$G:$G, (MATCH(29, 輔助計算!$G$2:$G$801, 0)+1))&lt;=790,3,IF(INDEX(ERP資料!$G:$G, (MATCH(29, 輔助計算!$G$2:$G$801, 0)+1))&lt;=1181,2,1))))&gt;0, IF(IF(INDEX(ERP資料!$G:$G, (MATCH(29, 輔助計算!$G$2:$G$801, 0)+1))&lt;100, IF(INDEX(ERP資料!$G:$G, (MATCH(29, 輔助計算!$G$2:$G$801, 0)+1))&lt;=31,3,IF(INDEX(ERP資料!$G:$G, (MATCH(29, 輔助計算!$G$2:$G$801, 0)+1))&lt;=46.5,2,1)), IF(INDEX(ERP資料!$G:$G, (MATCH(29, 輔助計算!$G$2:$G$801, 0)+1))&lt;=790,3,IF(INDEX(ERP資料!$G:$G, (MATCH(29, 輔助計算!$G$2:$G$801, 0)+1))&lt;=1181,2,1)))=1,TEXT(INDEX(ERP資料!$G:$G, (MATCH(29, 輔助計算!$G$2:$G$801, 0)+1)),"0.##"),IF(IF(INDEX(ERP資料!$G:$G, (MATCH(29, 輔助計算!$G$2:$G$801, 0)+1))&lt;100, IF(INDEX(ERP資料!$G:$G, (MATCH(29, 輔助計算!$G$2:$G$801, 0)+1))&lt;=31,3,IF(INDEX(ERP資料!$G:$G, (MATCH(29, 輔助計算!$G$2:$G$801, 0)+1))&lt;=46.5,2,1)), IF(INDEX(ERP資料!$G:$G, (MATCH(29, 輔助計算!$G$2:$G$801, 0)+1))&lt;=790,3,IF(INDEX(ERP資料!$G:$G, (MATCH(29, 輔助計算!$G$2:$G$801, 0)+1))&lt;=1181,2,1)))=2,TEXT(INDEX(ERP資料!$G:$G, (MATCH(29, 輔助計算!$G$2:$G$801, 0)+1)),"0.##")&amp;"+"&amp;TEXT(INDEX(ERP資料!$G:$G, (MATCH(29, 輔助計算!$G$2:$G$801, 0)+1)),"0.##"),TEXT(INDEX(ERP資料!$G:$G, (MATCH(29, 輔助計算!$G$2:$G$801, 0)+1)),"0.##")&amp;"+"&amp;TEXT(INDEX(ERP資料!$G:$G, (MATCH(29, 輔助計算!$G$2:$G$801, 0)+1)),"0.##")&amp;"+"&amp;TEXT(INDEX(ERP資料!$G:$G, (MATCH(29, 輔助計算!$G$2:$G$801, 0)+1)),"0.##")))&amp;"-"&amp;INT(INDEX(輔助計算!$D:$D, (MATCH(29, 輔助計算!$G$2:$G$801, 0)+1))/IF(INDEX(ERP資料!$G:$G, (MATCH(29, 輔助計算!$G$2:$G$801, 0)+1))&lt;100, IF(INDEX(ERP資料!$G:$G, (MATCH(29, 輔助計算!$G$2:$G$801, 0)+1))&lt;=31,3,IF(INDEX(ERP資料!$G:$G, (MATCH(29, 輔助計算!$G$2:$G$801, 0)+1))&lt;=46.5,2,1)), IF(INDEX(ERP資料!$G:$G, (MATCH(29, 輔助計算!$G$2:$G$801, 0)+1))&lt;=790,3,IF(INDEX(ERP資料!$G:$G, (MATCH(29, 輔助計算!$G$2:$G$801, 0)+1))&lt;=1181,2,1)))), "")&amp;IF(AND(IF(INT(INDEX(輔助計算!$D:$D, (MATCH(29, 輔助計算!$G$2:$G$801, 0)+1))/IF(INDEX(ERP資料!$G:$G, (MATCH(29, 輔助計算!$G$2:$G$801, 0)+1))&lt;100, IF(INDEX(ERP資料!$G:$G, (MATCH(29, 輔助計算!$G$2:$G$801, 0)+1))&lt;=31,3,IF(INDEX(ERP資料!$G:$G, (MATCH(29, 輔助計算!$G$2:$G$801, 0)+1))&lt;=46.5,2,1)), IF(INDEX(ERP資料!$G:$G, (MATCH(29, 輔助計算!$G$2:$G$801, 0)+1))&lt;=790,3,IF(INDEX(ERP資料!$G:$G, (MATCH(29, 輔助計算!$G$2:$G$801, 0)+1))&lt;=1181,2,1))))&gt;0, IF(IF(INDEX(ERP資料!$G:$G, (MATCH(29, 輔助計算!$G$2:$G$801, 0)+1))&lt;100, IF(INDEX(ERP資料!$G:$G, (MATCH(29, 輔助計算!$G$2:$G$801, 0)+1))&lt;=31,3,IF(INDEX(ERP資料!$G:$G, (MATCH(29, 輔助計算!$G$2:$G$801, 0)+1))&lt;=46.5,2,1)), IF(INDEX(ERP資料!$G:$G, (MATCH(29, 輔助計算!$G$2:$G$801, 0)+1))&lt;=790,3,IF(INDEX(ERP資料!$G:$G, (MATCH(29, 輔助計算!$G$2:$G$801, 0)+1))&lt;=1181,2,1)))=1,TEXT(INDEX(ERP資料!$G:$G, (MATCH(29, 輔助計算!$G$2:$G$801, 0)+1)),"0.##"),IF(IF(INDEX(ERP資料!$G:$G, (MATCH(29, 輔助計算!$G$2:$G$801, 0)+1))&lt;100, IF(INDEX(ERP資料!$G:$G, (MATCH(29, 輔助計算!$G$2:$G$801, 0)+1))&lt;=31,3,IF(INDEX(ERP資料!$G:$G, (MATCH(29, 輔助計算!$G$2:$G$801, 0)+1))&lt;=46.5,2,1)), IF(INDEX(ERP資料!$G:$G, (MATCH(29, 輔助計算!$G$2:$G$801, 0)+1))&lt;=790,3,IF(INDEX(ERP資料!$G:$G, (MATCH(29, 輔助計算!$G$2:$G$801, 0)+1))&lt;=1181,2,1)))=2,TEXT(INDEX(ERP資料!$G:$G, (MATCH(29, 輔助計算!$G$2:$G$801, 0)+1)),"0.##")&amp;"+"&amp;TEXT(INDEX(ERP資料!$G:$G, (MATCH(29, 輔助計算!$G$2:$G$801, 0)+1)),"0.##"),TEXT(INDEX(ERP資料!$G:$G, (MATCH(29, 輔助計算!$G$2:$G$801, 0)+1)),"0.##")&amp;"+"&amp;TEXT(INDEX(ERP資料!$G:$G, (MATCH(29, 輔助計算!$G$2:$G$801, 0)+1)),"0.##")&amp;"+"&amp;TEXT(INDEX(ERP資料!$G:$G, (MATCH(29, 輔助計算!$G$2:$G$801, 0)+1)),"0.##")))&amp;"-"&amp;INT(INDEX(輔助計算!$D:$D, (MATCH(29, 輔助計算!$G$2:$G$801, 0)+1))/IF(INDEX(ERP資料!$G:$G, (MATCH(29, 輔助計算!$G$2:$G$801, 0)+1))&lt;100, IF(INDEX(ERP資料!$G:$G, (MATCH(29, 輔助計算!$G$2:$G$801, 0)+1))&lt;=31,3,IF(INDEX(ERP資料!$G:$G, (MATCH(29, 輔助計算!$G$2:$G$801, 0)+1))&lt;=46.5,2,1)), IF(INDEX(ERP資料!$G:$G, (MATCH(29, 輔助計算!$G$2:$G$801, 0)+1))&lt;=790,3,IF(INDEX(ERP資料!$G:$G, (MATCH(29, 輔助計算!$G$2:$G$801, 0)+1))&lt;=1181,2,1)))), "")&lt;&gt;"",IF(MOD(INDEX(輔助計算!$D:$D, (MATCH(29, 輔助計算!$G$2:$G$801, 0)+1)),IF(INDEX(ERP資料!$G:$G, (MATCH(29, 輔助計算!$G$2:$G$801, 0)+1))&lt;100, IF(INDEX(ERP資料!$G:$G, (MATCH(29, 輔助計算!$G$2:$G$801, 0)+1))&lt;=31,3,IF(INDEX(ERP資料!$G:$G, (MATCH(29, 輔助計算!$G$2:$G$801, 0)+1))&lt;=46.5,2,1)), IF(INDEX(ERP資料!$G:$G, (MATCH(29, 輔助計算!$G$2:$G$801, 0)+1))&lt;=790,3,IF(INDEX(ERP資料!$G:$G, (MATCH(29, 輔助計算!$G$2:$G$801, 0)+1))&lt;=1181,2,1))))=0,"",IF(MOD(INDEX(輔助計算!$D:$D, (MATCH(29, 輔助計算!$G$2:$G$801, 0)+1)),IF(INDEX(ERP資料!$G:$G, (MATCH(29, 輔助計算!$G$2:$G$801, 0)+1))&lt;100, IF(INDEX(ERP資料!$G:$G, (MATCH(29, 輔助計算!$G$2:$G$801, 0)+1))&lt;=31,3,IF(INDEX(ERP資料!$G:$G, (MATCH(29, 輔助計算!$G$2:$G$801, 0)+1))&lt;=46.5,2,1)), IF(INDEX(ERP資料!$G:$G, (MATCH(29, 輔助計算!$G$2:$G$801, 0)+1))&lt;=790,3,IF(INDEX(ERP資料!$G:$G, (MATCH(29, 輔助計算!$G$2:$G$801, 0)+1))&lt;=1181,2,1))))=0,"",IF(MOD(INDEX(輔助計算!$D:$D, (MATCH(29, 輔助計算!$G$2:$G$801, 0)+1)),IF(INDEX(ERP資料!$G:$G, (MATCH(29, 輔助計算!$G$2:$G$801, 0)+1))&lt;100, IF(INDEX(ERP資料!$G:$G, (MATCH(29, 輔助計算!$G$2:$G$801, 0)+1))&lt;=31,3,IF(INDEX(ERP資料!$G:$G, (MATCH(29, 輔助計算!$G$2:$G$801, 0)+1))&lt;=46.5,2,1)), IF(INDEX(ERP資料!$G:$G, (MATCH(29, 輔助計算!$G$2:$G$801, 0)+1))&lt;=790,3,IF(INDEX(ERP資料!$G:$G, (MATCH(29, 輔助計算!$G$2:$G$801, 0)+1))&lt;=1181,2,1))))=1,TEXT(INDEX(ERP資料!$G:$G, (MATCH(29, 輔助計算!$G$2:$G$801, 0)+1)),"0.##"),IF(MOD(INDEX(輔助計算!$D:$D, (MATCH(29, 輔助計算!$G$2:$G$801, 0)+1)),IF(INDEX(ERP資料!$G:$G, (MATCH(29, 輔助計算!$G$2:$G$801, 0)+1))&lt;100, IF(INDEX(ERP資料!$G:$G, (MATCH(29, 輔助計算!$G$2:$G$801, 0)+1))&lt;=31,3,IF(INDEX(ERP資料!$G:$G, (MATCH(29, 輔助計算!$G$2:$G$801, 0)+1))&lt;=46.5,2,1)), IF(INDEX(ERP資料!$G:$G, (MATCH(29, 輔助計算!$G$2:$G$801, 0)+1))&lt;=790,3,IF(INDEX(ERP資料!$G:$G, (MATCH(29, 輔助計算!$G$2:$G$801, 0)+1))&lt;=1181,2,1))))=2,TEXT(INDEX(ERP資料!$G:$G, (MATCH(29, 輔助計算!$G$2:$G$801, 0)+1)),"0.##")&amp;"+"&amp;TEXT(INDEX(ERP資料!$G:$G, (MATCH(29, 輔助計算!$G$2:$G$801, 0)+1)),"0.##"),TEXT(INDEX(ERP資料!$G:$G, (MATCH(29, 輔助計算!$G$2:$G$801, 0)+1)),"0.##")&amp;"+"&amp;TEXT(INDEX(ERP資料!$G:$G, (MATCH(29, 輔助計算!$G$2:$G$801, 0)+1)),"0.##")&amp;"+"&amp;TEXT(INDEX(ERP資料!$G:$G, (MATCH(29, 輔助計算!$G$2:$G$801, 0)+1)),"0.##"))))&amp;"-1")&lt;&gt;""),"  ","")&amp;IF(MOD(INDEX(輔助計算!$D:$D, (MATCH(29, 輔助計算!$G$2:$G$801, 0)+1)),IF(INDEX(ERP資料!$G:$G, (MATCH(29, 輔助計算!$G$2:$G$801, 0)+1))&lt;100, IF(INDEX(ERP資料!$G:$G, (MATCH(29, 輔助計算!$G$2:$G$801, 0)+1))&lt;=31,3,IF(INDEX(ERP資料!$G:$G, (MATCH(29, 輔助計算!$G$2:$G$801, 0)+1))&lt;=46.5,2,1)), IF(INDEX(ERP資料!$G:$G, (MATCH(29, 輔助計算!$G$2:$G$801, 0)+1))&lt;=790,3,IF(INDEX(ERP資料!$G:$G, (MATCH(29, 輔助計算!$G$2:$G$801, 0)+1))&lt;=1181,2,1))))=0,"",IF(MOD(INDEX(輔助計算!$D:$D, (MATCH(29, 輔助計算!$G$2:$G$801, 0)+1)),IF(INDEX(ERP資料!$G:$G, (MATCH(29, 輔助計算!$G$2:$G$801, 0)+1))&lt;100, IF(INDEX(ERP資料!$G:$G, (MATCH(29, 輔助計算!$G$2:$G$801, 0)+1))&lt;=31,3,IF(INDEX(ERP資料!$G:$G, (MATCH(29, 輔助計算!$G$2:$G$801, 0)+1))&lt;=46.5,2,1)), IF(INDEX(ERP資料!$G:$G, (MATCH(29, 輔助計算!$G$2:$G$801, 0)+1))&lt;=790,3,IF(INDEX(ERP資料!$G:$G, (MATCH(29, 輔助計算!$G$2:$G$801, 0)+1))&lt;=1181,2,1))))=0,"",IF(MOD(INDEX(輔助計算!$D:$D, (MATCH(29, 輔助計算!$G$2:$G$801, 0)+1)),IF(INDEX(ERP資料!$G:$G, (MATCH(29, 輔助計算!$G$2:$G$801, 0)+1))&lt;100, IF(INDEX(ERP資料!$G:$G, (MATCH(29, 輔助計算!$G$2:$G$801, 0)+1))&lt;=31,3,IF(INDEX(ERP資料!$G:$G, (MATCH(29, 輔助計算!$G$2:$G$801, 0)+1))&lt;=46.5,2,1)), IF(INDEX(ERP資料!$G:$G, (MATCH(29, 輔助計算!$G$2:$G$801, 0)+1))&lt;=790,3,IF(INDEX(ERP資料!$G:$G, (MATCH(29, 輔助計算!$G$2:$G$801, 0)+1))&lt;=1181,2,1))))=1,TEXT(INDEX(ERP資料!$G:$G, (MATCH(29, 輔助計算!$G$2:$G$801, 0)+1)),"0.##"),IF(MOD(INDEX(輔助計算!$D:$D, (MATCH(29, 輔助計算!$G$2:$G$801, 0)+1)),IF(INDEX(ERP資料!$G:$G, (MATCH(29, 輔助計算!$G$2:$G$801, 0)+1))&lt;100, IF(INDEX(ERP資料!$G:$G, (MATCH(29, 輔助計算!$G$2:$G$801, 0)+1))&lt;=31,3,IF(INDEX(ERP資料!$G:$G, (MATCH(29, 輔助計算!$G$2:$G$801, 0)+1))&lt;=46.5,2,1)), IF(INDEX(ERP資料!$G:$G, (MATCH(29, 輔助計算!$G$2:$G$801, 0)+1))&lt;=790,3,IF(INDEX(ERP資料!$G:$G, (MATCH(29, 輔助計算!$G$2:$G$801, 0)+1))&lt;=1181,2,1))))=2,TEXT(INDEX(ERP資料!$G:$G, (MATCH(29, 輔助計算!$G$2:$G$801, 0)+1)),"0.##")&amp;"+"&amp;TEXT(INDEX(ERP資料!$G:$G, (MATCH(29, 輔助計算!$G$2:$G$801, 0)+1)),"0.##"),TEXT(INDEX(ERP資料!$G:$G, (MATCH(29, 輔助計算!$G$2:$G$801, 0)+1)),"0.##")&amp;"+"&amp;TEXT(INDEX(ERP資料!$G:$G, (MATCH(29, 輔助計算!$G$2:$G$801, 0)+1)),"0.##")&amp;"+"&amp;TEXT(INDEX(ERP資料!$G:$G, (MATCH(29, 輔助計算!$G$2:$G$801, 0)+1)),"0.##"))))&amp;"-1")), ""), "")</f>
        <v/>
      </c>
      <c r="K30" s="16" t="n"/>
      <c r="L30" s="14">
        <f>IFERROR(IF(AND(IFERROR(INDEX(ERP資料!$A:$A, (MATCH(29, 輔助計算!$G$2:$G$801, 0)+1)), "")&lt;&gt;"", IFERROR(INDEX(ERP資料!$A:$A, (MATCH(29, 輔助計算!$G$2:$G$801, 0)+1)), "")&lt;&gt;IFERROR(INDEX(ERP資料!$A:$A, MATCH(28, 輔助計算!$G$2:$G$801, 0)+1), "")), INDEX(ERP資料!$B:$B, (MATCH(29, 輔助計算!$G$2:$G$801, 0)+1)), ""), "")</f>
        <v/>
      </c>
      <c r="M30" s="17" t="n"/>
    </row>
    <row r="31">
      <c r="A31" s="10">
        <f>IFERROR(IF(AND(IFERROR(INDEX(ERP資料!$A:$A, (MATCH(30, 輔助計算!$G$2:$G$801, 0)+1)), "")&lt;&gt;"", IFERROR(INDEX(ERP資料!$A:$A, (MATCH(30, 輔助計算!$G$2:$G$801, 0)+1)), "")&lt;&gt;IFERROR(INDEX(ERP資料!$A:$A, MATCH(29, 輔助計算!$G$2:$G$801, 0)+1), "")), IFERROR(INDEX(ERP資料!$A:$A, (MATCH(30, 輔助計算!$G$2:$G$801, 0)+1)), ""), ""), "")</f>
        <v/>
      </c>
      <c r="B31" s="10">
        <f>IFERROR(IF(AND(IFERROR(INDEX(ERP資料!$A:$A, (MATCH(30, 輔助計算!$G$2:$G$801, 0)+1)), "")&lt;&gt;"", IFERROR(INDEX(ERP資料!$A:$A, (MATCH(30, 輔助計算!$G$2:$G$801, 0)+1)), "")&lt;&gt;IFERROR(INDEX(ERP資料!$A:$A, MATCH(29, 輔助計算!$G$2:$G$801, 0)+1), "")), INDEX(ERP資料!$S:$S, (MATCH(30, 輔助計算!$G$2:$G$801, 0)+1)), ""), "")</f>
        <v/>
      </c>
      <c r="C31" s="19">
        <f>IFERROR(IF(AND(IFERROR(INDEX(ERP資料!$A:$A, (MATCH(30, 輔助計算!$G$2:$G$801, 0)+1)), "")&lt;&gt;"", IFERROR(INDEX(ERP資料!$A:$A, (MATCH(30, 輔助計算!$G$2:$G$801, 0)+1)), "")&lt;&gt;IFERROR(INDEX(ERP資料!$A:$A, MATCH(29, 輔助計算!$G$2:$G$801, 0)+1), "")), IFERROR(VLOOKUP(LEFT(INDEX(ERP資料!$S:$S, (MATCH(30, 輔助計算!$G$2:$G$801, 0)+1)), 4), 紙管對照表!$A:$C, 3, FALSE), ""), ""), "")</f>
        <v/>
      </c>
      <c r="D31" s="16" t="n"/>
      <c r="E31" s="10">
        <f>IFERROR(IF(INDEX(ERP資料!$H:$H, (MATCH(30, 輔助計算!$G$2:$G$801, 0)+1))="","",INDEX(ERP資料!$H:$H, (MATCH(30, 輔助計算!$G$2:$G$801, 0)+1))), "")</f>
        <v/>
      </c>
      <c r="F31" s="10">
        <f>IFERROR(IF(INDEX(ERP資料!$E:$E, (MATCH(30, 輔助計算!$G$2:$G$801, 0)+1))="","",TRIM(INDEX(ERP資料!$E:$E, (MATCH(30, 輔助計算!$G$2:$G$801, 0)+1)))), "")</f>
        <v/>
      </c>
      <c r="G31" s="10">
        <f>IFERROR(IF(INDEX(ERP資料!$F:$F, (MATCH(30, 輔助計算!$G$2:$G$801, 0)+1))="","",INDEX(ERP資料!$F:$F, (MATCH(30, 輔助計算!$G$2:$G$801, 0)+1))), "")</f>
        <v/>
      </c>
      <c r="H31" s="10">
        <f>IFERROR(IF(INDEX(ERP資料!$G:$G, (MATCH(30, 輔助計算!$G$2:$G$801, 0)+1))="","",INDEX(ERP資料!$G:$G, (MATCH(30, 輔助計算!$G$2:$G$801, 0)+1))), "")</f>
        <v/>
      </c>
      <c r="I31" s="15">
        <f>IFERROR(INDEX(輔助計算!$D:$D, (MATCH(30, 輔助計算!$G$2:$G$801, 0)+1)), "")</f>
        <v/>
      </c>
      <c r="J31" s="15">
        <f>IFERROR(IF(AND(INDEX(輔助計算!$D:$D, (MATCH(30, 輔助計算!$G$2:$G$801, 0)+1))&lt;&gt;"", INDEX(ERP資料!$G:$G, (MATCH(30, 輔助計算!$G$2:$G$801, 0)+1))&lt;&gt;""), TRIM(IF(INT(INDEX(輔助計算!$D:$D, (MATCH(30, 輔助計算!$G$2:$G$801, 0)+1))/IF(INDEX(ERP資料!$G:$G, (MATCH(30, 輔助計算!$G$2:$G$801, 0)+1))&lt;100, IF(INDEX(ERP資料!$G:$G, (MATCH(30, 輔助計算!$G$2:$G$801, 0)+1))&lt;=31,3,IF(INDEX(ERP資料!$G:$G, (MATCH(30, 輔助計算!$G$2:$G$801, 0)+1))&lt;=46.5,2,1)), IF(INDEX(ERP資料!$G:$G, (MATCH(30, 輔助計算!$G$2:$G$801, 0)+1))&lt;=790,3,IF(INDEX(ERP資料!$G:$G, (MATCH(30, 輔助計算!$G$2:$G$801, 0)+1))&lt;=1181,2,1))))&gt;0, IF(IF(INDEX(ERP資料!$G:$G, (MATCH(30, 輔助計算!$G$2:$G$801, 0)+1))&lt;100, IF(INDEX(ERP資料!$G:$G, (MATCH(30, 輔助計算!$G$2:$G$801, 0)+1))&lt;=31,3,IF(INDEX(ERP資料!$G:$G, (MATCH(30, 輔助計算!$G$2:$G$801, 0)+1))&lt;=46.5,2,1)), IF(INDEX(ERP資料!$G:$G, (MATCH(30, 輔助計算!$G$2:$G$801, 0)+1))&lt;=790,3,IF(INDEX(ERP資料!$G:$G, (MATCH(30, 輔助計算!$G$2:$G$801, 0)+1))&lt;=1181,2,1)))=1,TEXT(INDEX(ERP資料!$G:$G, (MATCH(30, 輔助計算!$G$2:$G$801, 0)+1)),"0.##"),IF(IF(INDEX(ERP資料!$G:$G, (MATCH(30, 輔助計算!$G$2:$G$801, 0)+1))&lt;100, IF(INDEX(ERP資料!$G:$G, (MATCH(30, 輔助計算!$G$2:$G$801, 0)+1))&lt;=31,3,IF(INDEX(ERP資料!$G:$G, (MATCH(30, 輔助計算!$G$2:$G$801, 0)+1))&lt;=46.5,2,1)), IF(INDEX(ERP資料!$G:$G, (MATCH(30, 輔助計算!$G$2:$G$801, 0)+1))&lt;=790,3,IF(INDEX(ERP資料!$G:$G, (MATCH(30, 輔助計算!$G$2:$G$801, 0)+1))&lt;=1181,2,1)))=2,TEXT(INDEX(ERP資料!$G:$G, (MATCH(30, 輔助計算!$G$2:$G$801, 0)+1)),"0.##")&amp;"+"&amp;TEXT(INDEX(ERP資料!$G:$G, (MATCH(30, 輔助計算!$G$2:$G$801, 0)+1)),"0.##"),TEXT(INDEX(ERP資料!$G:$G, (MATCH(30, 輔助計算!$G$2:$G$801, 0)+1)),"0.##")&amp;"+"&amp;TEXT(INDEX(ERP資料!$G:$G, (MATCH(30, 輔助計算!$G$2:$G$801, 0)+1)),"0.##")&amp;"+"&amp;TEXT(INDEX(ERP資料!$G:$G, (MATCH(30, 輔助計算!$G$2:$G$801, 0)+1)),"0.##")))&amp;"-"&amp;INT(INDEX(輔助計算!$D:$D, (MATCH(30, 輔助計算!$G$2:$G$801, 0)+1))/IF(INDEX(ERP資料!$G:$G, (MATCH(30, 輔助計算!$G$2:$G$801, 0)+1))&lt;100, IF(INDEX(ERP資料!$G:$G, (MATCH(30, 輔助計算!$G$2:$G$801, 0)+1))&lt;=31,3,IF(INDEX(ERP資料!$G:$G, (MATCH(30, 輔助計算!$G$2:$G$801, 0)+1))&lt;=46.5,2,1)), IF(INDEX(ERP資料!$G:$G, (MATCH(30, 輔助計算!$G$2:$G$801, 0)+1))&lt;=790,3,IF(INDEX(ERP資料!$G:$G, (MATCH(30, 輔助計算!$G$2:$G$801, 0)+1))&lt;=1181,2,1)))), "")&amp;IF(AND(IF(INT(INDEX(輔助計算!$D:$D, (MATCH(30, 輔助計算!$G$2:$G$801, 0)+1))/IF(INDEX(ERP資料!$G:$G, (MATCH(30, 輔助計算!$G$2:$G$801, 0)+1))&lt;100, IF(INDEX(ERP資料!$G:$G, (MATCH(30, 輔助計算!$G$2:$G$801, 0)+1))&lt;=31,3,IF(INDEX(ERP資料!$G:$G, (MATCH(30, 輔助計算!$G$2:$G$801, 0)+1))&lt;=46.5,2,1)), IF(INDEX(ERP資料!$G:$G, (MATCH(30, 輔助計算!$G$2:$G$801, 0)+1))&lt;=790,3,IF(INDEX(ERP資料!$G:$G, (MATCH(30, 輔助計算!$G$2:$G$801, 0)+1))&lt;=1181,2,1))))&gt;0, IF(IF(INDEX(ERP資料!$G:$G, (MATCH(30, 輔助計算!$G$2:$G$801, 0)+1))&lt;100, IF(INDEX(ERP資料!$G:$G, (MATCH(30, 輔助計算!$G$2:$G$801, 0)+1))&lt;=31,3,IF(INDEX(ERP資料!$G:$G, (MATCH(30, 輔助計算!$G$2:$G$801, 0)+1))&lt;=46.5,2,1)), IF(INDEX(ERP資料!$G:$G, (MATCH(30, 輔助計算!$G$2:$G$801, 0)+1))&lt;=790,3,IF(INDEX(ERP資料!$G:$G, (MATCH(30, 輔助計算!$G$2:$G$801, 0)+1))&lt;=1181,2,1)))=1,TEXT(INDEX(ERP資料!$G:$G, (MATCH(30, 輔助計算!$G$2:$G$801, 0)+1)),"0.##"),IF(IF(INDEX(ERP資料!$G:$G, (MATCH(30, 輔助計算!$G$2:$G$801, 0)+1))&lt;100, IF(INDEX(ERP資料!$G:$G, (MATCH(30, 輔助計算!$G$2:$G$801, 0)+1))&lt;=31,3,IF(INDEX(ERP資料!$G:$G, (MATCH(30, 輔助計算!$G$2:$G$801, 0)+1))&lt;=46.5,2,1)), IF(INDEX(ERP資料!$G:$G, (MATCH(30, 輔助計算!$G$2:$G$801, 0)+1))&lt;=790,3,IF(INDEX(ERP資料!$G:$G, (MATCH(30, 輔助計算!$G$2:$G$801, 0)+1))&lt;=1181,2,1)))=2,TEXT(INDEX(ERP資料!$G:$G, (MATCH(30, 輔助計算!$G$2:$G$801, 0)+1)),"0.##")&amp;"+"&amp;TEXT(INDEX(ERP資料!$G:$G, (MATCH(30, 輔助計算!$G$2:$G$801, 0)+1)),"0.##"),TEXT(INDEX(ERP資料!$G:$G, (MATCH(30, 輔助計算!$G$2:$G$801, 0)+1)),"0.##")&amp;"+"&amp;TEXT(INDEX(ERP資料!$G:$G, (MATCH(30, 輔助計算!$G$2:$G$801, 0)+1)),"0.##")&amp;"+"&amp;TEXT(INDEX(ERP資料!$G:$G, (MATCH(30, 輔助計算!$G$2:$G$801, 0)+1)),"0.##")))&amp;"-"&amp;INT(INDEX(輔助計算!$D:$D, (MATCH(30, 輔助計算!$G$2:$G$801, 0)+1))/IF(INDEX(ERP資料!$G:$G, (MATCH(30, 輔助計算!$G$2:$G$801, 0)+1))&lt;100, IF(INDEX(ERP資料!$G:$G, (MATCH(30, 輔助計算!$G$2:$G$801, 0)+1))&lt;=31,3,IF(INDEX(ERP資料!$G:$G, (MATCH(30, 輔助計算!$G$2:$G$801, 0)+1))&lt;=46.5,2,1)), IF(INDEX(ERP資料!$G:$G, (MATCH(30, 輔助計算!$G$2:$G$801, 0)+1))&lt;=790,3,IF(INDEX(ERP資料!$G:$G, (MATCH(30, 輔助計算!$G$2:$G$801, 0)+1))&lt;=1181,2,1)))), "")&lt;&gt;"",IF(MOD(INDEX(輔助計算!$D:$D, (MATCH(30, 輔助計算!$G$2:$G$801, 0)+1)),IF(INDEX(ERP資料!$G:$G, (MATCH(30, 輔助計算!$G$2:$G$801, 0)+1))&lt;100, IF(INDEX(ERP資料!$G:$G, (MATCH(30, 輔助計算!$G$2:$G$801, 0)+1))&lt;=31,3,IF(INDEX(ERP資料!$G:$G, (MATCH(30, 輔助計算!$G$2:$G$801, 0)+1))&lt;=46.5,2,1)), IF(INDEX(ERP資料!$G:$G, (MATCH(30, 輔助計算!$G$2:$G$801, 0)+1))&lt;=790,3,IF(INDEX(ERP資料!$G:$G, (MATCH(30, 輔助計算!$G$2:$G$801, 0)+1))&lt;=1181,2,1))))=0,"",IF(MOD(INDEX(輔助計算!$D:$D, (MATCH(30, 輔助計算!$G$2:$G$801, 0)+1)),IF(INDEX(ERP資料!$G:$G, (MATCH(30, 輔助計算!$G$2:$G$801, 0)+1))&lt;100, IF(INDEX(ERP資料!$G:$G, (MATCH(30, 輔助計算!$G$2:$G$801, 0)+1))&lt;=31,3,IF(INDEX(ERP資料!$G:$G, (MATCH(30, 輔助計算!$G$2:$G$801, 0)+1))&lt;=46.5,2,1)), IF(INDEX(ERP資料!$G:$G, (MATCH(30, 輔助計算!$G$2:$G$801, 0)+1))&lt;=790,3,IF(INDEX(ERP資料!$G:$G, (MATCH(30, 輔助計算!$G$2:$G$801, 0)+1))&lt;=1181,2,1))))=0,"",IF(MOD(INDEX(輔助計算!$D:$D, (MATCH(30, 輔助計算!$G$2:$G$801, 0)+1)),IF(INDEX(ERP資料!$G:$G, (MATCH(30, 輔助計算!$G$2:$G$801, 0)+1))&lt;100, IF(INDEX(ERP資料!$G:$G, (MATCH(30, 輔助計算!$G$2:$G$801, 0)+1))&lt;=31,3,IF(INDEX(ERP資料!$G:$G, (MATCH(30, 輔助計算!$G$2:$G$801, 0)+1))&lt;=46.5,2,1)), IF(INDEX(ERP資料!$G:$G, (MATCH(30, 輔助計算!$G$2:$G$801, 0)+1))&lt;=790,3,IF(INDEX(ERP資料!$G:$G, (MATCH(30, 輔助計算!$G$2:$G$801, 0)+1))&lt;=1181,2,1))))=1,TEXT(INDEX(ERP資料!$G:$G, (MATCH(30, 輔助計算!$G$2:$G$801, 0)+1)),"0.##"),IF(MOD(INDEX(輔助計算!$D:$D, (MATCH(30, 輔助計算!$G$2:$G$801, 0)+1)),IF(INDEX(ERP資料!$G:$G, (MATCH(30, 輔助計算!$G$2:$G$801, 0)+1))&lt;100, IF(INDEX(ERP資料!$G:$G, (MATCH(30, 輔助計算!$G$2:$G$801, 0)+1))&lt;=31,3,IF(INDEX(ERP資料!$G:$G, (MATCH(30, 輔助計算!$G$2:$G$801, 0)+1))&lt;=46.5,2,1)), IF(INDEX(ERP資料!$G:$G, (MATCH(30, 輔助計算!$G$2:$G$801, 0)+1))&lt;=790,3,IF(INDEX(ERP資料!$G:$G, (MATCH(30, 輔助計算!$G$2:$G$801, 0)+1))&lt;=1181,2,1))))=2,TEXT(INDEX(ERP資料!$G:$G, (MATCH(30, 輔助計算!$G$2:$G$801, 0)+1)),"0.##")&amp;"+"&amp;TEXT(INDEX(ERP資料!$G:$G, (MATCH(30, 輔助計算!$G$2:$G$801, 0)+1)),"0.##"),TEXT(INDEX(ERP資料!$G:$G, (MATCH(30, 輔助計算!$G$2:$G$801, 0)+1)),"0.##")&amp;"+"&amp;TEXT(INDEX(ERP資料!$G:$G, (MATCH(30, 輔助計算!$G$2:$G$801, 0)+1)),"0.##")&amp;"+"&amp;TEXT(INDEX(ERP資料!$G:$G, (MATCH(30, 輔助計算!$G$2:$G$801, 0)+1)),"0.##"))))&amp;"-1")&lt;&gt;""),"  ","")&amp;IF(MOD(INDEX(輔助計算!$D:$D, (MATCH(30, 輔助計算!$G$2:$G$801, 0)+1)),IF(INDEX(ERP資料!$G:$G, (MATCH(30, 輔助計算!$G$2:$G$801, 0)+1))&lt;100, IF(INDEX(ERP資料!$G:$G, (MATCH(30, 輔助計算!$G$2:$G$801, 0)+1))&lt;=31,3,IF(INDEX(ERP資料!$G:$G, (MATCH(30, 輔助計算!$G$2:$G$801, 0)+1))&lt;=46.5,2,1)), IF(INDEX(ERP資料!$G:$G, (MATCH(30, 輔助計算!$G$2:$G$801, 0)+1))&lt;=790,3,IF(INDEX(ERP資料!$G:$G, (MATCH(30, 輔助計算!$G$2:$G$801, 0)+1))&lt;=1181,2,1))))=0,"",IF(MOD(INDEX(輔助計算!$D:$D, (MATCH(30, 輔助計算!$G$2:$G$801, 0)+1)),IF(INDEX(ERP資料!$G:$G, (MATCH(30, 輔助計算!$G$2:$G$801, 0)+1))&lt;100, IF(INDEX(ERP資料!$G:$G, (MATCH(30, 輔助計算!$G$2:$G$801, 0)+1))&lt;=31,3,IF(INDEX(ERP資料!$G:$G, (MATCH(30, 輔助計算!$G$2:$G$801, 0)+1))&lt;=46.5,2,1)), IF(INDEX(ERP資料!$G:$G, (MATCH(30, 輔助計算!$G$2:$G$801, 0)+1))&lt;=790,3,IF(INDEX(ERP資料!$G:$G, (MATCH(30, 輔助計算!$G$2:$G$801, 0)+1))&lt;=1181,2,1))))=0,"",IF(MOD(INDEX(輔助計算!$D:$D, (MATCH(30, 輔助計算!$G$2:$G$801, 0)+1)),IF(INDEX(ERP資料!$G:$G, (MATCH(30, 輔助計算!$G$2:$G$801, 0)+1))&lt;100, IF(INDEX(ERP資料!$G:$G, (MATCH(30, 輔助計算!$G$2:$G$801, 0)+1))&lt;=31,3,IF(INDEX(ERP資料!$G:$G, (MATCH(30, 輔助計算!$G$2:$G$801, 0)+1))&lt;=46.5,2,1)), IF(INDEX(ERP資料!$G:$G, (MATCH(30, 輔助計算!$G$2:$G$801, 0)+1))&lt;=790,3,IF(INDEX(ERP資料!$G:$G, (MATCH(30, 輔助計算!$G$2:$G$801, 0)+1))&lt;=1181,2,1))))=1,TEXT(INDEX(ERP資料!$G:$G, (MATCH(30, 輔助計算!$G$2:$G$801, 0)+1)),"0.##"),IF(MOD(INDEX(輔助計算!$D:$D, (MATCH(30, 輔助計算!$G$2:$G$801, 0)+1)),IF(INDEX(ERP資料!$G:$G, (MATCH(30, 輔助計算!$G$2:$G$801, 0)+1))&lt;100, IF(INDEX(ERP資料!$G:$G, (MATCH(30, 輔助計算!$G$2:$G$801, 0)+1))&lt;=31,3,IF(INDEX(ERP資料!$G:$G, (MATCH(30, 輔助計算!$G$2:$G$801, 0)+1))&lt;=46.5,2,1)), IF(INDEX(ERP資料!$G:$G, (MATCH(30, 輔助計算!$G$2:$G$801, 0)+1))&lt;=790,3,IF(INDEX(ERP資料!$G:$G, (MATCH(30, 輔助計算!$G$2:$G$801, 0)+1))&lt;=1181,2,1))))=2,TEXT(INDEX(ERP資料!$G:$G, (MATCH(30, 輔助計算!$G$2:$G$801, 0)+1)),"0.##")&amp;"+"&amp;TEXT(INDEX(ERP資料!$G:$G, (MATCH(30, 輔助計算!$G$2:$G$801, 0)+1)),"0.##"),TEXT(INDEX(ERP資料!$G:$G, (MATCH(30, 輔助計算!$G$2:$G$801, 0)+1)),"0.##")&amp;"+"&amp;TEXT(INDEX(ERP資料!$G:$G, (MATCH(30, 輔助計算!$G$2:$G$801, 0)+1)),"0.##")&amp;"+"&amp;TEXT(INDEX(ERP資料!$G:$G, (MATCH(30, 輔助計算!$G$2:$G$801, 0)+1)),"0.##"))))&amp;"-1")), ""), "")</f>
        <v/>
      </c>
      <c r="K31" s="16" t="n"/>
      <c r="L31" s="14">
        <f>IFERROR(IF(AND(IFERROR(INDEX(ERP資料!$A:$A, (MATCH(30, 輔助計算!$G$2:$G$801, 0)+1)), "")&lt;&gt;"", IFERROR(INDEX(ERP資料!$A:$A, (MATCH(30, 輔助計算!$G$2:$G$801, 0)+1)), "")&lt;&gt;IFERROR(INDEX(ERP資料!$A:$A, MATCH(29, 輔助計算!$G$2:$G$801, 0)+1), "")), INDEX(ERP資料!$B:$B, (MATCH(30, 輔助計算!$G$2:$G$801, 0)+1)), ""), "")</f>
        <v/>
      </c>
      <c r="M31" s="17" t="n"/>
    </row>
    <row r="32">
      <c r="A32" s="10">
        <f>IFERROR(IF(AND(IFERROR(INDEX(ERP資料!$A:$A, (MATCH(31, 輔助計算!$G$2:$G$801, 0)+1)), "")&lt;&gt;"", IFERROR(INDEX(ERP資料!$A:$A, (MATCH(31, 輔助計算!$G$2:$G$801, 0)+1)), "")&lt;&gt;IFERROR(INDEX(ERP資料!$A:$A, MATCH(30, 輔助計算!$G$2:$G$801, 0)+1), "")), IFERROR(INDEX(ERP資料!$A:$A, (MATCH(31, 輔助計算!$G$2:$G$801, 0)+1)), ""), ""), "")</f>
        <v/>
      </c>
      <c r="B32" s="10">
        <f>IFERROR(IF(AND(IFERROR(INDEX(ERP資料!$A:$A, (MATCH(31, 輔助計算!$G$2:$G$801, 0)+1)), "")&lt;&gt;"", IFERROR(INDEX(ERP資料!$A:$A, (MATCH(31, 輔助計算!$G$2:$G$801, 0)+1)), "")&lt;&gt;IFERROR(INDEX(ERP資料!$A:$A, MATCH(30, 輔助計算!$G$2:$G$801, 0)+1), "")), INDEX(ERP資料!$S:$S, (MATCH(31, 輔助計算!$G$2:$G$801, 0)+1)), ""), "")</f>
        <v/>
      </c>
      <c r="C32" s="19">
        <f>IFERROR(IF(AND(IFERROR(INDEX(ERP資料!$A:$A, (MATCH(31, 輔助計算!$G$2:$G$801, 0)+1)), "")&lt;&gt;"", IFERROR(INDEX(ERP資料!$A:$A, (MATCH(31, 輔助計算!$G$2:$G$801, 0)+1)), "")&lt;&gt;IFERROR(INDEX(ERP資料!$A:$A, MATCH(30, 輔助計算!$G$2:$G$801, 0)+1), "")), IFERROR(VLOOKUP(LEFT(INDEX(ERP資料!$S:$S, (MATCH(31, 輔助計算!$G$2:$G$801, 0)+1)), 4), 紙管對照表!$A:$C, 3, FALSE), ""), ""), "")</f>
        <v/>
      </c>
      <c r="D32" s="16" t="n"/>
      <c r="E32" s="10">
        <f>IFERROR(IF(INDEX(ERP資料!$H:$H, (MATCH(31, 輔助計算!$G$2:$G$801, 0)+1))="","",INDEX(ERP資料!$H:$H, (MATCH(31, 輔助計算!$G$2:$G$801, 0)+1))), "")</f>
        <v/>
      </c>
      <c r="F32" s="10">
        <f>IFERROR(IF(INDEX(ERP資料!$E:$E, (MATCH(31, 輔助計算!$G$2:$G$801, 0)+1))="","",TRIM(INDEX(ERP資料!$E:$E, (MATCH(31, 輔助計算!$G$2:$G$801, 0)+1)))), "")</f>
        <v/>
      </c>
      <c r="G32" s="10">
        <f>IFERROR(IF(INDEX(ERP資料!$F:$F, (MATCH(31, 輔助計算!$G$2:$G$801, 0)+1))="","",INDEX(ERP資料!$F:$F, (MATCH(31, 輔助計算!$G$2:$G$801, 0)+1))), "")</f>
        <v/>
      </c>
      <c r="H32" s="10">
        <f>IFERROR(IF(INDEX(ERP資料!$G:$G, (MATCH(31, 輔助計算!$G$2:$G$801, 0)+1))="","",INDEX(ERP資料!$G:$G, (MATCH(31, 輔助計算!$G$2:$G$801, 0)+1))), "")</f>
        <v/>
      </c>
      <c r="I32" s="15">
        <f>IFERROR(INDEX(輔助計算!$D:$D, (MATCH(31, 輔助計算!$G$2:$G$801, 0)+1)), "")</f>
        <v/>
      </c>
      <c r="J32" s="15">
        <f>IFERROR(IF(AND(INDEX(輔助計算!$D:$D, (MATCH(31, 輔助計算!$G$2:$G$801, 0)+1))&lt;&gt;"", INDEX(ERP資料!$G:$G, (MATCH(31, 輔助計算!$G$2:$G$801, 0)+1))&lt;&gt;""), TRIM(IF(INT(INDEX(輔助計算!$D:$D, (MATCH(31, 輔助計算!$G$2:$G$801, 0)+1))/IF(INDEX(ERP資料!$G:$G, (MATCH(31, 輔助計算!$G$2:$G$801, 0)+1))&lt;100, IF(INDEX(ERP資料!$G:$G, (MATCH(31, 輔助計算!$G$2:$G$801, 0)+1))&lt;=31,3,IF(INDEX(ERP資料!$G:$G, (MATCH(31, 輔助計算!$G$2:$G$801, 0)+1))&lt;=46.5,2,1)), IF(INDEX(ERP資料!$G:$G, (MATCH(31, 輔助計算!$G$2:$G$801, 0)+1))&lt;=790,3,IF(INDEX(ERP資料!$G:$G, (MATCH(31, 輔助計算!$G$2:$G$801, 0)+1))&lt;=1181,2,1))))&gt;0, IF(IF(INDEX(ERP資料!$G:$G, (MATCH(31, 輔助計算!$G$2:$G$801, 0)+1))&lt;100, IF(INDEX(ERP資料!$G:$G, (MATCH(31, 輔助計算!$G$2:$G$801, 0)+1))&lt;=31,3,IF(INDEX(ERP資料!$G:$G, (MATCH(31, 輔助計算!$G$2:$G$801, 0)+1))&lt;=46.5,2,1)), IF(INDEX(ERP資料!$G:$G, (MATCH(31, 輔助計算!$G$2:$G$801, 0)+1))&lt;=790,3,IF(INDEX(ERP資料!$G:$G, (MATCH(31, 輔助計算!$G$2:$G$801, 0)+1))&lt;=1181,2,1)))=1,TEXT(INDEX(ERP資料!$G:$G, (MATCH(31, 輔助計算!$G$2:$G$801, 0)+1)),"0.##"),IF(IF(INDEX(ERP資料!$G:$G, (MATCH(31, 輔助計算!$G$2:$G$801, 0)+1))&lt;100, IF(INDEX(ERP資料!$G:$G, (MATCH(31, 輔助計算!$G$2:$G$801, 0)+1))&lt;=31,3,IF(INDEX(ERP資料!$G:$G, (MATCH(31, 輔助計算!$G$2:$G$801, 0)+1))&lt;=46.5,2,1)), IF(INDEX(ERP資料!$G:$G, (MATCH(31, 輔助計算!$G$2:$G$801, 0)+1))&lt;=790,3,IF(INDEX(ERP資料!$G:$G, (MATCH(31, 輔助計算!$G$2:$G$801, 0)+1))&lt;=1181,2,1)))=2,TEXT(INDEX(ERP資料!$G:$G, (MATCH(31, 輔助計算!$G$2:$G$801, 0)+1)),"0.##")&amp;"+"&amp;TEXT(INDEX(ERP資料!$G:$G, (MATCH(31, 輔助計算!$G$2:$G$801, 0)+1)),"0.##"),TEXT(INDEX(ERP資料!$G:$G, (MATCH(31, 輔助計算!$G$2:$G$801, 0)+1)),"0.##")&amp;"+"&amp;TEXT(INDEX(ERP資料!$G:$G, (MATCH(31, 輔助計算!$G$2:$G$801, 0)+1)),"0.##")&amp;"+"&amp;TEXT(INDEX(ERP資料!$G:$G, (MATCH(31, 輔助計算!$G$2:$G$801, 0)+1)),"0.##")))&amp;"-"&amp;INT(INDEX(輔助計算!$D:$D, (MATCH(31, 輔助計算!$G$2:$G$801, 0)+1))/IF(INDEX(ERP資料!$G:$G, (MATCH(31, 輔助計算!$G$2:$G$801, 0)+1))&lt;100, IF(INDEX(ERP資料!$G:$G, (MATCH(31, 輔助計算!$G$2:$G$801, 0)+1))&lt;=31,3,IF(INDEX(ERP資料!$G:$G, (MATCH(31, 輔助計算!$G$2:$G$801, 0)+1))&lt;=46.5,2,1)), IF(INDEX(ERP資料!$G:$G, (MATCH(31, 輔助計算!$G$2:$G$801, 0)+1))&lt;=790,3,IF(INDEX(ERP資料!$G:$G, (MATCH(31, 輔助計算!$G$2:$G$801, 0)+1))&lt;=1181,2,1)))), "")&amp;IF(AND(IF(INT(INDEX(輔助計算!$D:$D, (MATCH(31, 輔助計算!$G$2:$G$801, 0)+1))/IF(INDEX(ERP資料!$G:$G, (MATCH(31, 輔助計算!$G$2:$G$801, 0)+1))&lt;100, IF(INDEX(ERP資料!$G:$G, (MATCH(31, 輔助計算!$G$2:$G$801, 0)+1))&lt;=31,3,IF(INDEX(ERP資料!$G:$G, (MATCH(31, 輔助計算!$G$2:$G$801, 0)+1))&lt;=46.5,2,1)), IF(INDEX(ERP資料!$G:$G, (MATCH(31, 輔助計算!$G$2:$G$801, 0)+1))&lt;=790,3,IF(INDEX(ERP資料!$G:$G, (MATCH(31, 輔助計算!$G$2:$G$801, 0)+1))&lt;=1181,2,1))))&gt;0, IF(IF(INDEX(ERP資料!$G:$G, (MATCH(31, 輔助計算!$G$2:$G$801, 0)+1))&lt;100, IF(INDEX(ERP資料!$G:$G, (MATCH(31, 輔助計算!$G$2:$G$801, 0)+1))&lt;=31,3,IF(INDEX(ERP資料!$G:$G, (MATCH(31, 輔助計算!$G$2:$G$801, 0)+1))&lt;=46.5,2,1)), IF(INDEX(ERP資料!$G:$G, (MATCH(31, 輔助計算!$G$2:$G$801, 0)+1))&lt;=790,3,IF(INDEX(ERP資料!$G:$G, (MATCH(31, 輔助計算!$G$2:$G$801, 0)+1))&lt;=1181,2,1)))=1,TEXT(INDEX(ERP資料!$G:$G, (MATCH(31, 輔助計算!$G$2:$G$801, 0)+1)),"0.##"),IF(IF(INDEX(ERP資料!$G:$G, (MATCH(31, 輔助計算!$G$2:$G$801, 0)+1))&lt;100, IF(INDEX(ERP資料!$G:$G, (MATCH(31, 輔助計算!$G$2:$G$801, 0)+1))&lt;=31,3,IF(INDEX(ERP資料!$G:$G, (MATCH(31, 輔助計算!$G$2:$G$801, 0)+1))&lt;=46.5,2,1)), IF(INDEX(ERP資料!$G:$G, (MATCH(31, 輔助計算!$G$2:$G$801, 0)+1))&lt;=790,3,IF(INDEX(ERP資料!$G:$G, (MATCH(31, 輔助計算!$G$2:$G$801, 0)+1))&lt;=1181,2,1)))=2,TEXT(INDEX(ERP資料!$G:$G, (MATCH(31, 輔助計算!$G$2:$G$801, 0)+1)),"0.##")&amp;"+"&amp;TEXT(INDEX(ERP資料!$G:$G, (MATCH(31, 輔助計算!$G$2:$G$801, 0)+1)),"0.##"),TEXT(INDEX(ERP資料!$G:$G, (MATCH(31, 輔助計算!$G$2:$G$801, 0)+1)),"0.##")&amp;"+"&amp;TEXT(INDEX(ERP資料!$G:$G, (MATCH(31, 輔助計算!$G$2:$G$801, 0)+1)),"0.##")&amp;"+"&amp;TEXT(INDEX(ERP資料!$G:$G, (MATCH(31, 輔助計算!$G$2:$G$801, 0)+1)),"0.##")))&amp;"-"&amp;INT(INDEX(輔助計算!$D:$D, (MATCH(31, 輔助計算!$G$2:$G$801, 0)+1))/IF(INDEX(ERP資料!$G:$G, (MATCH(31, 輔助計算!$G$2:$G$801, 0)+1))&lt;100, IF(INDEX(ERP資料!$G:$G, (MATCH(31, 輔助計算!$G$2:$G$801, 0)+1))&lt;=31,3,IF(INDEX(ERP資料!$G:$G, (MATCH(31, 輔助計算!$G$2:$G$801, 0)+1))&lt;=46.5,2,1)), IF(INDEX(ERP資料!$G:$G, (MATCH(31, 輔助計算!$G$2:$G$801, 0)+1))&lt;=790,3,IF(INDEX(ERP資料!$G:$G, (MATCH(31, 輔助計算!$G$2:$G$801, 0)+1))&lt;=1181,2,1)))), "")&lt;&gt;"",IF(MOD(INDEX(輔助計算!$D:$D, (MATCH(31, 輔助計算!$G$2:$G$801, 0)+1)),IF(INDEX(ERP資料!$G:$G, (MATCH(31, 輔助計算!$G$2:$G$801, 0)+1))&lt;100, IF(INDEX(ERP資料!$G:$G, (MATCH(31, 輔助計算!$G$2:$G$801, 0)+1))&lt;=31,3,IF(INDEX(ERP資料!$G:$G, (MATCH(31, 輔助計算!$G$2:$G$801, 0)+1))&lt;=46.5,2,1)), IF(INDEX(ERP資料!$G:$G, (MATCH(31, 輔助計算!$G$2:$G$801, 0)+1))&lt;=790,3,IF(INDEX(ERP資料!$G:$G, (MATCH(31, 輔助計算!$G$2:$G$801, 0)+1))&lt;=1181,2,1))))=0,"",IF(MOD(INDEX(輔助計算!$D:$D, (MATCH(31, 輔助計算!$G$2:$G$801, 0)+1)),IF(INDEX(ERP資料!$G:$G, (MATCH(31, 輔助計算!$G$2:$G$801, 0)+1))&lt;100, IF(INDEX(ERP資料!$G:$G, (MATCH(31, 輔助計算!$G$2:$G$801, 0)+1))&lt;=31,3,IF(INDEX(ERP資料!$G:$G, (MATCH(31, 輔助計算!$G$2:$G$801, 0)+1))&lt;=46.5,2,1)), IF(INDEX(ERP資料!$G:$G, (MATCH(31, 輔助計算!$G$2:$G$801, 0)+1))&lt;=790,3,IF(INDEX(ERP資料!$G:$G, (MATCH(31, 輔助計算!$G$2:$G$801, 0)+1))&lt;=1181,2,1))))=0,"",IF(MOD(INDEX(輔助計算!$D:$D, (MATCH(31, 輔助計算!$G$2:$G$801, 0)+1)),IF(INDEX(ERP資料!$G:$G, (MATCH(31, 輔助計算!$G$2:$G$801, 0)+1))&lt;100, IF(INDEX(ERP資料!$G:$G, (MATCH(31, 輔助計算!$G$2:$G$801, 0)+1))&lt;=31,3,IF(INDEX(ERP資料!$G:$G, (MATCH(31, 輔助計算!$G$2:$G$801, 0)+1))&lt;=46.5,2,1)), IF(INDEX(ERP資料!$G:$G, (MATCH(31, 輔助計算!$G$2:$G$801, 0)+1))&lt;=790,3,IF(INDEX(ERP資料!$G:$G, (MATCH(31, 輔助計算!$G$2:$G$801, 0)+1))&lt;=1181,2,1))))=1,TEXT(INDEX(ERP資料!$G:$G, (MATCH(31, 輔助計算!$G$2:$G$801, 0)+1)),"0.##"),IF(MOD(INDEX(輔助計算!$D:$D, (MATCH(31, 輔助計算!$G$2:$G$801, 0)+1)),IF(INDEX(ERP資料!$G:$G, (MATCH(31, 輔助計算!$G$2:$G$801, 0)+1))&lt;100, IF(INDEX(ERP資料!$G:$G, (MATCH(31, 輔助計算!$G$2:$G$801, 0)+1))&lt;=31,3,IF(INDEX(ERP資料!$G:$G, (MATCH(31, 輔助計算!$G$2:$G$801, 0)+1))&lt;=46.5,2,1)), IF(INDEX(ERP資料!$G:$G, (MATCH(31, 輔助計算!$G$2:$G$801, 0)+1))&lt;=790,3,IF(INDEX(ERP資料!$G:$G, (MATCH(31, 輔助計算!$G$2:$G$801, 0)+1))&lt;=1181,2,1))))=2,TEXT(INDEX(ERP資料!$G:$G, (MATCH(31, 輔助計算!$G$2:$G$801, 0)+1)),"0.##")&amp;"+"&amp;TEXT(INDEX(ERP資料!$G:$G, (MATCH(31, 輔助計算!$G$2:$G$801, 0)+1)),"0.##"),TEXT(INDEX(ERP資料!$G:$G, (MATCH(31, 輔助計算!$G$2:$G$801, 0)+1)),"0.##")&amp;"+"&amp;TEXT(INDEX(ERP資料!$G:$G, (MATCH(31, 輔助計算!$G$2:$G$801, 0)+1)),"0.##")&amp;"+"&amp;TEXT(INDEX(ERP資料!$G:$G, (MATCH(31, 輔助計算!$G$2:$G$801, 0)+1)),"0.##"))))&amp;"-1")&lt;&gt;""),"  ","")&amp;IF(MOD(INDEX(輔助計算!$D:$D, (MATCH(31, 輔助計算!$G$2:$G$801, 0)+1)),IF(INDEX(ERP資料!$G:$G, (MATCH(31, 輔助計算!$G$2:$G$801, 0)+1))&lt;100, IF(INDEX(ERP資料!$G:$G, (MATCH(31, 輔助計算!$G$2:$G$801, 0)+1))&lt;=31,3,IF(INDEX(ERP資料!$G:$G, (MATCH(31, 輔助計算!$G$2:$G$801, 0)+1))&lt;=46.5,2,1)), IF(INDEX(ERP資料!$G:$G, (MATCH(31, 輔助計算!$G$2:$G$801, 0)+1))&lt;=790,3,IF(INDEX(ERP資料!$G:$G, (MATCH(31, 輔助計算!$G$2:$G$801, 0)+1))&lt;=1181,2,1))))=0,"",IF(MOD(INDEX(輔助計算!$D:$D, (MATCH(31, 輔助計算!$G$2:$G$801, 0)+1)),IF(INDEX(ERP資料!$G:$G, (MATCH(31, 輔助計算!$G$2:$G$801, 0)+1))&lt;100, IF(INDEX(ERP資料!$G:$G, (MATCH(31, 輔助計算!$G$2:$G$801, 0)+1))&lt;=31,3,IF(INDEX(ERP資料!$G:$G, (MATCH(31, 輔助計算!$G$2:$G$801, 0)+1))&lt;=46.5,2,1)), IF(INDEX(ERP資料!$G:$G, (MATCH(31, 輔助計算!$G$2:$G$801, 0)+1))&lt;=790,3,IF(INDEX(ERP資料!$G:$G, (MATCH(31, 輔助計算!$G$2:$G$801, 0)+1))&lt;=1181,2,1))))=0,"",IF(MOD(INDEX(輔助計算!$D:$D, (MATCH(31, 輔助計算!$G$2:$G$801, 0)+1)),IF(INDEX(ERP資料!$G:$G, (MATCH(31, 輔助計算!$G$2:$G$801, 0)+1))&lt;100, IF(INDEX(ERP資料!$G:$G, (MATCH(31, 輔助計算!$G$2:$G$801, 0)+1))&lt;=31,3,IF(INDEX(ERP資料!$G:$G, (MATCH(31, 輔助計算!$G$2:$G$801, 0)+1))&lt;=46.5,2,1)), IF(INDEX(ERP資料!$G:$G, (MATCH(31, 輔助計算!$G$2:$G$801, 0)+1))&lt;=790,3,IF(INDEX(ERP資料!$G:$G, (MATCH(31, 輔助計算!$G$2:$G$801, 0)+1))&lt;=1181,2,1))))=1,TEXT(INDEX(ERP資料!$G:$G, (MATCH(31, 輔助計算!$G$2:$G$801, 0)+1)),"0.##"),IF(MOD(INDEX(輔助計算!$D:$D, (MATCH(31, 輔助計算!$G$2:$G$801, 0)+1)),IF(INDEX(ERP資料!$G:$G, (MATCH(31, 輔助計算!$G$2:$G$801, 0)+1))&lt;100, IF(INDEX(ERP資料!$G:$G, (MATCH(31, 輔助計算!$G$2:$G$801, 0)+1))&lt;=31,3,IF(INDEX(ERP資料!$G:$G, (MATCH(31, 輔助計算!$G$2:$G$801, 0)+1))&lt;=46.5,2,1)), IF(INDEX(ERP資料!$G:$G, (MATCH(31, 輔助計算!$G$2:$G$801, 0)+1))&lt;=790,3,IF(INDEX(ERP資料!$G:$G, (MATCH(31, 輔助計算!$G$2:$G$801, 0)+1))&lt;=1181,2,1))))=2,TEXT(INDEX(ERP資料!$G:$G, (MATCH(31, 輔助計算!$G$2:$G$801, 0)+1)),"0.##")&amp;"+"&amp;TEXT(INDEX(ERP資料!$G:$G, (MATCH(31, 輔助計算!$G$2:$G$801, 0)+1)),"0.##"),TEXT(INDEX(ERP資料!$G:$G, (MATCH(31, 輔助計算!$G$2:$G$801, 0)+1)),"0.##")&amp;"+"&amp;TEXT(INDEX(ERP資料!$G:$G, (MATCH(31, 輔助計算!$G$2:$G$801, 0)+1)),"0.##")&amp;"+"&amp;TEXT(INDEX(ERP資料!$G:$G, (MATCH(31, 輔助計算!$G$2:$G$801, 0)+1)),"0.##"))))&amp;"-1")), ""), "")</f>
        <v/>
      </c>
      <c r="K32" s="16" t="n"/>
      <c r="L32" s="14">
        <f>IFERROR(IF(AND(IFERROR(INDEX(ERP資料!$A:$A, (MATCH(31, 輔助計算!$G$2:$G$801, 0)+1)), "")&lt;&gt;"", IFERROR(INDEX(ERP資料!$A:$A, (MATCH(31, 輔助計算!$G$2:$G$801, 0)+1)), "")&lt;&gt;IFERROR(INDEX(ERP資料!$A:$A, MATCH(30, 輔助計算!$G$2:$G$801, 0)+1), "")), INDEX(ERP資料!$B:$B, (MATCH(31, 輔助計算!$G$2:$G$801, 0)+1)), ""), "")</f>
        <v/>
      </c>
      <c r="M32" s="17" t="n"/>
    </row>
    <row r="33">
      <c r="A33" s="10">
        <f>IFERROR(IF(AND(IFERROR(INDEX(ERP資料!$A:$A, (MATCH(32, 輔助計算!$G$2:$G$801, 0)+1)), "")&lt;&gt;"", IFERROR(INDEX(ERP資料!$A:$A, (MATCH(32, 輔助計算!$G$2:$G$801, 0)+1)), "")&lt;&gt;IFERROR(INDEX(ERP資料!$A:$A, MATCH(31, 輔助計算!$G$2:$G$801, 0)+1), "")), IFERROR(INDEX(ERP資料!$A:$A, (MATCH(32, 輔助計算!$G$2:$G$801, 0)+1)), ""), ""), "")</f>
        <v/>
      </c>
      <c r="B33" s="10">
        <f>IFERROR(IF(AND(IFERROR(INDEX(ERP資料!$A:$A, (MATCH(32, 輔助計算!$G$2:$G$801, 0)+1)), "")&lt;&gt;"", IFERROR(INDEX(ERP資料!$A:$A, (MATCH(32, 輔助計算!$G$2:$G$801, 0)+1)), "")&lt;&gt;IFERROR(INDEX(ERP資料!$A:$A, MATCH(31, 輔助計算!$G$2:$G$801, 0)+1), "")), INDEX(ERP資料!$S:$S, (MATCH(32, 輔助計算!$G$2:$G$801, 0)+1)), ""), "")</f>
        <v/>
      </c>
      <c r="C33" s="19">
        <f>IFERROR(IF(AND(IFERROR(INDEX(ERP資料!$A:$A, (MATCH(32, 輔助計算!$G$2:$G$801, 0)+1)), "")&lt;&gt;"", IFERROR(INDEX(ERP資料!$A:$A, (MATCH(32, 輔助計算!$G$2:$G$801, 0)+1)), "")&lt;&gt;IFERROR(INDEX(ERP資料!$A:$A, MATCH(31, 輔助計算!$G$2:$G$801, 0)+1), "")), IFERROR(VLOOKUP(LEFT(INDEX(ERP資料!$S:$S, (MATCH(32, 輔助計算!$G$2:$G$801, 0)+1)), 4), 紙管對照表!$A:$C, 3, FALSE), ""), ""), "")</f>
        <v/>
      </c>
      <c r="D33" s="16" t="n"/>
      <c r="E33" s="10">
        <f>IFERROR(IF(INDEX(ERP資料!$H:$H, (MATCH(32, 輔助計算!$G$2:$G$801, 0)+1))="","",INDEX(ERP資料!$H:$H, (MATCH(32, 輔助計算!$G$2:$G$801, 0)+1))), "")</f>
        <v/>
      </c>
      <c r="F33" s="10">
        <f>IFERROR(IF(INDEX(ERP資料!$E:$E, (MATCH(32, 輔助計算!$G$2:$G$801, 0)+1))="","",TRIM(INDEX(ERP資料!$E:$E, (MATCH(32, 輔助計算!$G$2:$G$801, 0)+1)))), "")</f>
        <v/>
      </c>
      <c r="G33" s="10">
        <f>IFERROR(IF(INDEX(ERP資料!$F:$F, (MATCH(32, 輔助計算!$G$2:$G$801, 0)+1))="","",INDEX(ERP資料!$F:$F, (MATCH(32, 輔助計算!$G$2:$G$801, 0)+1))), "")</f>
        <v/>
      </c>
      <c r="H33" s="10">
        <f>IFERROR(IF(INDEX(ERP資料!$G:$G, (MATCH(32, 輔助計算!$G$2:$G$801, 0)+1))="","",INDEX(ERP資料!$G:$G, (MATCH(32, 輔助計算!$G$2:$G$801, 0)+1))), "")</f>
        <v/>
      </c>
      <c r="I33" s="15">
        <f>IFERROR(INDEX(輔助計算!$D:$D, (MATCH(32, 輔助計算!$G$2:$G$801, 0)+1)), "")</f>
        <v/>
      </c>
      <c r="J33" s="15">
        <f>IFERROR(IF(AND(INDEX(輔助計算!$D:$D, (MATCH(32, 輔助計算!$G$2:$G$801, 0)+1))&lt;&gt;"", INDEX(ERP資料!$G:$G, (MATCH(32, 輔助計算!$G$2:$G$801, 0)+1))&lt;&gt;""), TRIM(IF(INT(INDEX(輔助計算!$D:$D, (MATCH(32, 輔助計算!$G$2:$G$801, 0)+1))/IF(INDEX(ERP資料!$G:$G, (MATCH(32, 輔助計算!$G$2:$G$801, 0)+1))&lt;100, IF(INDEX(ERP資料!$G:$G, (MATCH(32, 輔助計算!$G$2:$G$801, 0)+1))&lt;=31,3,IF(INDEX(ERP資料!$G:$G, (MATCH(32, 輔助計算!$G$2:$G$801, 0)+1))&lt;=46.5,2,1)), IF(INDEX(ERP資料!$G:$G, (MATCH(32, 輔助計算!$G$2:$G$801, 0)+1))&lt;=790,3,IF(INDEX(ERP資料!$G:$G, (MATCH(32, 輔助計算!$G$2:$G$801, 0)+1))&lt;=1181,2,1))))&gt;0, IF(IF(INDEX(ERP資料!$G:$G, (MATCH(32, 輔助計算!$G$2:$G$801, 0)+1))&lt;100, IF(INDEX(ERP資料!$G:$G, (MATCH(32, 輔助計算!$G$2:$G$801, 0)+1))&lt;=31,3,IF(INDEX(ERP資料!$G:$G, (MATCH(32, 輔助計算!$G$2:$G$801, 0)+1))&lt;=46.5,2,1)), IF(INDEX(ERP資料!$G:$G, (MATCH(32, 輔助計算!$G$2:$G$801, 0)+1))&lt;=790,3,IF(INDEX(ERP資料!$G:$G, (MATCH(32, 輔助計算!$G$2:$G$801, 0)+1))&lt;=1181,2,1)))=1,TEXT(INDEX(ERP資料!$G:$G, (MATCH(32, 輔助計算!$G$2:$G$801, 0)+1)),"0.##"),IF(IF(INDEX(ERP資料!$G:$G, (MATCH(32, 輔助計算!$G$2:$G$801, 0)+1))&lt;100, IF(INDEX(ERP資料!$G:$G, (MATCH(32, 輔助計算!$G$2:$G$801, 0)+1))&lt;=31,3,IF(INDEX(ERP資料!$G:$G, (MATCH(32, 輔助計算!$G$2:$G$801, 0)+1))&lt;=46.5,2,1)), IF(INDEX(ERP資料!$G:$G, (MATCH(32, 輔助計算!$G$2:$G$801, 0)+1))&lt;=790,3,IF(INDEX(ERP資料!$G:$G, (MATCH(32, 輔助計算!$G$2:$G$801, 0)+1))&lt;=1181,2,1)))=2,TEXT(INDEX(ERP資料!$G:$G, (MATCH(32, 輔助計算!$G$2:$G$801, 0)+1)),"0.##")&amp;"+"&amp;TEXT(INDEX(ERP資料!$G:$G, (MATCH(32, 輔助計算!$G$2:$G$801, 0)+1)),"0.##"),TEXT(INDEX(ERP資料!$G:$G, (MATCH(32, 輔助計算!$G$2:$G$801, 0)+1)),"0.##")&amp;"+"&amp;TEXT(INDEX(ERP資料!$G:$G, (MATCH(32, 輔助計算!$G$2:$G$801, 0)+1)),"0.##")&amp;"+"&amp;TEXT(INDEX(ERP資料!$G:$G, (MATCH(32, 輔助計算!$G$2:$G$801, 0)+1)),"0.##")))&amp;"-"&amp;INT(INDEX(輔助計算!$D:$D, (MATCH(32, 輔助計算!$G$2:$G$801, 0)+1))/IF(INDEX(ERP資料!$G:$G, (MATCH(32, 輔助計算!$G$2:$G$801, 0)+1))&lt;100, IF(INDEX(ERP資料!$G:$G, (MATCH(32, 輔助計算!$G$2:$G$801, 0)+1))&lt;=31,3,IF(INDEX(ERP資料!$G:$G, (MATCH(32, 輔助計算!$G$2:$G$801, 0)+1))&lt;=46.5,2,1)), IF(INDEX(ERP資料!$G:$G, (MATCH(32, 輔助計算!$G$2:$G$801, 0)+1))&lt;=790,3,IF(INDEX(ERP資料!$G:$G, (MATCH(32, 輔助計算!$G$2:$G$801, 0)+1))&lt;=1181,2,1)))), "")&amp;IF(AND(IF(INT(INDEX(輔助計算!$D:$D, (MATCH(32, 輔助計算!$G$2:$G$801, 0)+1))/IF(INDEX(ERP資料!$G:$G, (MATCH(32, 輔助計算!$G$2:$G$801, 0)+1))&lt;100, IF(INDEX(ERP資料!$G:$G, (MATCH(32, 輔助計算!$G$2:$G$801, 0)+1))&lt;=31,3,IF(INDEX(ERP資料!$G:$G, (MATCH(32, 輔助計算!$G$2:$G$801, 0)+1))&lt;=46.5,2,1)), IF(INDEX(ERP資料!$G:$G, (MATCH(32, 輔助計算!$G$2:$G$801, 0)+1))&lt;=790,3,IF(INDEX(ERP資料!$G:$G, (MATCH(32, 輔助計算!$G$2:$G$801, 0)+1))&lt;=1181,2,1))))&gt;0, IF(IF(INDEX(ERP資料!$G:$G, (MATCH(32, 輔助計算!$G$2:$G$801, 0)+1))&lt;100, IF(INDEX(ERP資料!$G:$G, (MATCH(32, 輔助計算!$G$2:$G$801, 0)+1))&lt;=31,3,IF(INDEX(ERP資料!$G:$G, (MATCH(32, 輔助計算!$G$2:$G$801, 0)+1))&lt;=46.5,2,1)), IF(INDEX(ERP資料!$G:$G, (MATCH(32, 輔助計算!$G$2:$G$801, 0)+1))&lt;=790,3,IF(INDEX(ERP資料!$G:$G, (MATCH(32, 輔助計算!$G$2:$G$801, 0)+1))&lt;=1181,2,1)))=1,TEXT(INDEX(ERP資料!$G:$G, (MATCH(32, 輔助計算!$G$2:$G$801, 0)+1)),"0.##"),IF(IF(INDEX(ERP資料!$G:$G, (MATCH(32, 輔助計算!$G$2:$G$801, 0)+1))&lt;100, IF(INDEX(ERP資料!$G:$G, (MATCH(32, 輔助計算!$G$2:$G$801, 0)+1))&lt;=31,3,IF(INDEX(ERP資料!$G:$G, (MATCH(32, 輔助計算!$G$2:$G$801, 0)+1))&lt;=46.5,2,1)), IF(INDEX(ERP資料!$G:$G, (MATCH(32, 輔助計算!$G$2:$G$801, 0)+1))&lt;=790,3,IF(INDEX(ERP資料!$G:$G, (MATCH(32, 輔助計算!$G$2:$G$801, 0)+1))&lt;=1181,2,1)))=2,TEXT(INDEX(ERP資料!$G:$G, (MATCH(32, 輔助計算!$G$2:$G$801, 0)+1)),"0.##")&amp;"+"&amp;TEXT(INDEX(ERP資料!$G:$G, (MATCH(32, 輔助計算!$G$2:$G$801, 0)+1)),"0.##"),TEXT(INDEX(ERP資料!$G:$G, (MATCH(32, 輔助計算!$G$2:$G$801, 0)+1)),"0.##")&amp;"+"&amp;TEXT(INDEX(ERP資料!$G:$G, (MATCH(32, 輔助計算!$G$2:$G$801, 0)+1)),"0.##")&amp;"+"&amp;TEXT(INDEX(ERP資料!$G:$G, (MATCH(32, 輔助計算!$G$2:$G$801, 0)+1)),"0.##")))&amp;"-"&amp;INT(INDEX(輔助計算!$D:$D, (MATCH(32, 輔助計算!$G$2:$G$801, 0)+1))/IF(INDEX(ERP資料!$G:$G, (MATCH(32, 輔助計算!$G$2:$G$801, 0)+1))&lt;100, IF(INDEX(ERP資料!$G:$G, (MATCH(32, 輔助計算!$G$2:$G$801, 0)+1))&lt;=31,3,IF(INDEX(ERP資料!$G:$G, (MATCH(32, 輔助計算!$G$2:$G$801, 0)+1))&lt;=46.5,2,1)), IF(INDEX(ERP資料!$G:$G, (MATCH(32, 輔助計算!$G$2:$G$801, 0)+1))&lt;=790,3,IF(INDEX(ERP資料!$G:$G, (MATCH(32, 輔助計算!$G$2:$G$801, 0)+1))&lt;=1181,2,1)))), "")&lt;&gt;"",IF(MOD(INDEX(輔助計算!$D:$D, (MATCH(32, 輔助計算!$G$2:$G$801, 0)+1)),IF(INDEX(ERP資料!$G:$G, (MATCH(32, 輔助計算!$G$2:$G$801, 0)+1))&lt;100, IF(INDEX(ERP資料!$G:$G, (MATCH(32, 輔助計算!$G$2:$G$801, 0)+1))&lt;=31,3,IF(INDEX(ERP資料!$G:$G, (MATCH(32, 輔助計算!$G$2:$G$801, 0)+1))&lt;=46.5,2,1)), IF(INDEX(ERP資料!$G:$G, (MATCH(32, 輔助計算!$G$2:$G$801, 0)+1))&lt;=790,3,IF(INDEX(ERP資料!$G:$G, (MATCH(32, 輔助計算!$G$2:$G$801, 0)+1))&lt;=1181,2,1))))=0,"",IF(MOD(INDEX(輔助計算!$D:$D, (MATCH(32, 輔助計算!$G$2:$G$801, 0)+1)),IF(INDEX(ERP資料!$G:$G, (MATCH(32, 輔助計算!$G$2:$G$801, 0)+1))&lt;100, IF(INDEX(ERP資料!$G:$G, (MATCH(32, 輔助計算!$G$2:$G$801, 0)+1))&lt;=31,3,IF(INDEX(ERP資料!$G:$G, (MATCH(32, 輔助計算!$G$2:$G$801, 0)+1))&lt;=46.5,2,1)), IF(INDEX(ERP資料!$G:$G, (MATCH(32, 輔助計算!$G$2:$G$801, 0)+1))&lt;=790,3,IF(INDEX(ERP資料!$G:$G, (MATCH(32, 輔助計算!$G$2:$G$801, 0)+1))&lt;=1181,2,1))))=0,"",IF(MOD(INDEX(輔助計算!$D:$D, (MATCH(32, 輔助計算!$G$2:$G$801, 0)+1)),IF(INDEX(ERP資料!$G:$G, (MATCH(32, 輔助計算!$G$2:$G$801, 0)+1))&lt;100, IF(INDEX(ERP資料!$G:$G, (MATCH(32, 輔助計算!$G$2:$G$801, 0)+1))&lt;=31,3,IF(INDEX(ERP資料!$G:$G, (MATCH(32, 輔助計算!$G$2:$G$801, 0)+1))&lt;=46.5,2,1)), IF(INDEX(ERP資料!$G:$G, (MATCH(32, 輔助計算!$G$2:$G$801, 0)+1))&lt;=790,3,IF(INDEX(ERP資料!$G:$G, (MATCH(32, 輔助計算!$G$2:$G$801, 0)+1))&lt;=1181,2,1))))=1,TEXT(INDEX(ERP資料!$G:$G, (MATCH(32, 輔助計算!$G$2:$G$801, 0)+1)),"0.##"),IF(MOD(INDEX(輔助計算!$D:$D, (MATCH(32, 輔助計算!$G$2:$G$801, 0)+1)),IF(INDEX(ERP資料!$G:$G, (MATCH(32, 輔助計算!$G$2:$G$801, 0)+1))&lt;100, IF(INDEX(ERP資料!$G:$G, (MATCH(32, 輔助計算!$G$2:$G$801, 0)+1))&lt;=31,3,IF(INDEX(ERP資料!$G:$G, (MATCH(32, 輔助計算!$G$2:$G$801, 0)+1))&lt;=46.5,2,1)), IF(INDEX(ERP資料!$G:$G, (MATCH(32, 輔助計算!$G$2:$G$801, 0)+1))&lt;=790,3,IF(INDEX(ERP資料!$G:$G, (MATCH(32, 輔助計算!$G$2:$G$801, 0)+1))&lt;=1181,2,1))))=2,TEXT(INDEX(ERP資料!$G:$G, (MATCH(32, 輔助計算!$G$2:$G$801, 0)+1)),"0.##")&amp;"+"&amp;TEXT(INDEX(ERP資料!$G:$G, (MATCH(32, 輔助計算!$G$2:$G$801, 0)+1)),"0.##"),TEXT(INDEX(ERP資料!$G:$G, (MATCH(32, 輔助計算!$G$2:$G$801, 0)+1)),"0.##")&amp;"+"&amp;TEXT(INDEX(ERP資料!$G:$G, (MATCH(32, 輔助計算!$G$2:$G$801, 0)+1)),"0.##")&amp;"+"&amp;TEXT(INDEX(ERP資料!$G:$G, (MATCH(32, 輔助計算!$G$2:$G$801, 0)+1)),"0.##"))))&amp;"-1")&lt;&gt;""),"  ","")&amp;IF(MOD(INDEX(輔助計算!$D:$D, (MATCH(32, 輔助計算!$G$2:$G$801, 0)+1)),IF(INDEX(ERP資料!$G:$G, (MATCH(32, 輔助計算!$G$2:$G$801, 0)+1))&lt;100, IF(INDEX(ERP資料!$G:$G, (MATCH(32, 輔助計算!$G$2:$G$801, 0)+1))&lt;=31,3,IF(INDEX(ERP資料!$G:$G, (MATCH(32, 輔助計算!$G$2:$G$801, 0)+1))&lt;=46.5,2,1)), IF(INDEX(ERP資料!$G:$G, (MATCH(32, 輔助計算!$G$2:$G$801, 0)+1))&lt;=790,3,IF(INDEX(ERP資料!$G:$G, (MATCH(32, 輔助計算!$G$2:$G$801, 0)+1))&lt;=1181,2,1))))=0,"",IF(MOD(INDEX(輔助計算!$D:$D, (MATCH(32, 輔助計算!$G$2:$G$801, 0)+1)),IF(INDEX(ERP資料!$G:$G, (MATCH(32, 輔助計算!$G$2:$G$801, 0)+1))&lt;100, IF(INDEX(ERP資料!$G:$G, (MATCH(32, 輔助計算!$G$2:$G$801, 0)+1))&lt;=31,3,IF(INDEX(ERP資料!$G:$G, (MATCH(32, 輔助計算!$G$2:$G$801, 0)+1))&lt;=46.5,2,1)), IF(INDEX(ERP資料!$G:$G, (MATCH(32, 輔助計算!$G$2:$G$801, 0)+1))&lt;=790,3,IF(INDEX(ERP資料!$G:$G, (MATCH(32, 輔助計算!$G$2:$G$801, 0)+1))&lt;=1181,2,1))))=0,"",IF(MOD(INDEX(輔助計算!$D:$D, (MATCH(32, 輔助計算!$G$2:$G$801, 0)+1)),IF(INDEX(ERP資料!$G:$G, (MATCH(32, 輔助計算!$G$2:$G$801, 0)+1))&lt;100, IF(INDEX(ERP資料!$G:$G, (MATCH(32, 輔助計算!$G$2:$G$801, 0)+1))&lt;=31,3,IF(INDEX(ERP資料!$G:$G, (MATCH(32, 輔助計算!$G$2:$G$801, 0)+1))&lt;=46.5,2,1)), IF(INDEX(ERP資料!$G:$G, (MATCH(32, 輔助計算!$G$2:$G$801, 0)+1))&lt;=790,3,IF(INDEX(ERP資料!$G:$G, (MATCH(32, 輔助計算!$G$2:$G$801, 0)+1))&lt;=1181,2,1))))=1,TEXT(INDEX(ERP資料!$G:$G, (MATCH(32, 輔助計算!$G$2:$G$801, 0)+1)),"0.##"),IF(MOD(INDEX(輔助計算!$D:$D, (MATCH(32, 輔助計算!$G$2:$G$801, 0)+1)),IF(INDEX(ERP資料!$G:$G, (MATCH(32, 輔助計算!$G$2:$G$801, 0)+1))&lt;100, IF(INDEX(ERP資料!$G:$G, (MATCH(32, 輔助計算!$G$2:$G$801, 0)+1))&lt;=31,3,IF(INDEX(ERP資料!$G:$G, (MATCH(32, 輔助計算!$G$2:$G$801, 0)+1))&lt;=46.5,2,1)), IF(INDEX(ERP資料!$G:$G, (MATCH(32, 輔助計算!$G$2:$G$801, 0)+1))&lt;=790,3,IF(INDEX(ERP資料!$G:$G, (MATCH(32, 輔助計算!$G$2:$G$801, 0)+1))&lt;=1181,2,1))))=2,TEXT(INDEX(ERP資料!$G:$G, (MATCH(32, 輔助計算!$G$2:$G$801, 0)+1)),"0.##")&amp;"+"&amp;TEXT(INDEX(ERP資料!$G:$G, (MATCH(32, 輔助計算!$G$2:$G$801, 0)+1)),"0.##"),TEXT(INDEX(ERP資料!$G:$G, (MATCH(32, 輔助計算!$G$2:$G$801, 0)+1)),"0.##")&amp;"+"&amp;TEXT(INDEX(ERP資料!$G:$G, (MATCH(32, 輔助計算!$G$2:$G$801, 0)+1)),"0.##")&amp;"+"&amp;TEXT(INDEX(ERP資料!$G:$G, (MATCH(32, 輔助計算!$G$2:$G$801, 0)+1)),"0.##"))))&amp;"-1")), ""), "")</f>
        <v/>
      </c>
      <c r="K33" s="16" t="n"/>
      <c r="L33" s="14">
        <f>IFERROR(IF(AND(IFERROR(INDEX(ERP資料!$A:$A, (MATCH(32, 輔助計算!$G$2:$G$801, 0)+1)), "")&lt;&gt;"", IFERROR(INDEX(ERP資料!$A:$A, (MATCH(32, 輔助計算!$G$2:$G$801, 0)+1)), "")&lt;&gt;IFERROR(INDEX(ERP資料!$A:$A, MATCH(31, 輔助計算!$G$2:$G$801, 0)+1), "")), INDEX(ERP資料!$B:$B, (MATCH(32, 輔助計算!$G$2:$G$801, 0)+1)), ""), "")</f>
        <v/>
      </c>
      <c r="M33" s="17" t="n"/>
    </row>
    <row r="34">
      <c r="A34" s="10">
        <f>IFERROR(IF(AND(IFERROR(INDEX(ERP資料!$A:$A, (MATCH(33, 輔助計算!$G$2:$G$801, 0)+1)), "")&lt;&gt;"", IFERROR(INDEX(ERP資料!$A:$A, (MATCH(33, 輔助計算!$G$2:$G$801, 0)+1)), "")&lt;&gt;IFERROR(INDEX(ERP資料!$A:$A, MATCH(32, 輔助計算!$G$2:$G$801, 0)+1), "")), IFERROR(INDEX(ERP資料!$A:$A, (MATCH(33, 輔助計算!$G$2:$G$801, 0)+1)), ""), ""), "")</f>
        <v/>
      </c>
      <c r="B34" s="10">
        <f>IFERROR(IF(AND(IFERROR(INDEX(ERP資料!$A:$A, (MATCH(33, 輔助計算!$G$2:$G$801, 0)+1)), "")&lt;&gt;"", IFERROR(INDEX(ERP資料!$A:$A, (MATCH(33, 輔助計算!$G$2:$G$801, 0)+1)), "")&lt;&gt;IFERROR(INDEX(ERP資料!$A:$A, MATCH(32, 輔助計算!$G$2:$G$801, 0)+1), "")), INDEX(ERP資料!$S:$S, (MATCH(33, 輔助計算!$G$2:$G$801, 0)+1)), ""), "")</f>
        <v/>
      </c>
      <c r="C34" s="19">
        <f>IFERROR(IF(AND(IFERROR(INDEX(ERP資料!$A:$A, (MATCH(33, 輔助計算!$G$2:$G$801, 0)+1)), "")&lt;&gt;"", IFERROR(INDEX(ERP資料!$A:$A, (MATCH(33, 輔助計算!$G$2:$G$801, 0)+1)), "")&lt;&gt;IFERROR(INDEX(ERP資料!$A:$A, MATCH(32, 輔助計算!$G$2:$G$801, 0)+1), "")), IFERROR(VLOOKUP(LEFT(INDEX(ERP資料!$S:$S, (MATCH(33, 輔助計算!$G$2:$G$801, 0)+1)), 4), 紙管對照表!$A:$C, 3, FALSE), ""), ""), "")</f>
        <v/>
      </c>
      <c r="D34" s="16" t="n"/>
      <c r="E34" s="10">
        <f>IFERROR(IF(INDEX(ERP資料!$H:$H, (MATCH(33, 輔助計算!$G$2:$G$801, 0)+1))="","",INDEX(ERP資料!$H:$H, (MATCH(33, 輔助計算!$G$2:$G$801, 0)+1))), "")</f>
        <v/>
      </c>
      <c r="F34" s="10">
        <f>IFERROR(IF(INDEX(ERP資料!$E:$E, (MATCH(33, 輔助計算!$G$2:$G$801, 0)+1))="","",TRIM(INDEX(ERP資料!$E:$E, (MATCH(33, 輔助計算!$G$2:$G$801, 0)+1)))), "")</f>
        <v/>
      </c>
      <c r="G34" s="10">
        <f>IFERROR(IF(INDEX(ERP資料!$F:$F, (MATCH(33, 輔助計算!$G$2:$G$801, 0)+1))="","",INDEX(ERP資料!$F:$F, (MATCH(33, 輔助計算!$G$2:$G$801, 0)+1))), "")</f>
        <v/>
      </c>
      <c r="H34" s="10">
        <f>IFERROR(IF(INDEX(ERP資料!$G:$G, (MATCH(33, 輔助計算!$G$2:$G$801, 0)+1))="","",INDEX(ERP資料!$G:$G, (MATCH(33, 輔助計算!$G$2:$G$801, 0)+1))), "")</f>
        <v/>
      </c>
      <c r="I34" s="15">
        <f>IFERROR(INDEX(輔助計算!$D:$D, (MATCH(33, 輔助計算!$G$2:$G$801, 0)+1)), "")</f>
        <v/>
      </c>
      <c r="J34" s="15">
        <f>IFERROR(IF(AND(INDEX(輔助計算!$D:$D, (MATCH(33, 輔助計算!$G$2:$G$801, 0)+1))&lt;&gt;"", INDEX(ERP資料!$G:$G, (MATCH(33, 輔助計算!$G$2:$G$801, 0)+1))&lt;&gt;""), TRIM(IF(INT(INDEX(輔助計算!$D:$D, (MATCH(33, 輔助計算!$G$2:$G$801, 0)+1))/IF(INDEX(ERP資料!$G:$G, (MATCH(33, 輔助計算!$G$2:$G$801, 0)+1))&lt;100, IF(INDEX(ERP資料!$G:$G, (MATCH(33, 輔助計算!$G$2:$G$801, 0)+1))&lt;=31,3,IF(INDEX(ERP資料!$G:$G, (MATCH(33, 輔助計算!$G$2:$G$801, 0)+1))&lt;=46.5,2,1)), IF(INDEX(ERP資料!$G:$G, (MATCH(33, 輔助計算!$G$2:$G$801, 0)+1))&lt;=790,3,IF(INDEX(ERP資料!$G:$G, (MATCH(33, 輔助計算!$G$2:$G$801, 0)+1))&lt;=1181,2,1))))&gt;0, IF(IF(INDEX(ERP資料!$G:$G, (MATCH(33, 輔助計算!$G$2:$G$801, 0)+1))&lt;100, IF(INDEX(ERP資料!$G:$G, (MATCH(33, 輔助計算!$G$2:$G$801, 0)+1))&lt;=31,3,IF(INDEX(ERP資料!$G:$G, (MATCH(33, 輔助計算!$G$2:$G$801, 0)+1))&lt;=46.5,2,1)), IF(INDEX(ERP資料!$G:$G, (MATCH(33, 輔助計算!$G$2:$G$801, 0)+1))&lt;=790,3,IF(INDEX(ERP資料!$G:$G, (MATCH(33, 輔助計算!$G$2:$G$801, 0)+1))&lt;=1181,2,1)))=1,TEXT(INDEX(ERP資料!$G:$G, (MATCH(33, 輔助計算!$G$2:$G$801, 0)+1)),"0.##"),IF(IF(INDEX(ERP資料!$G:$G, (MATCH(33, 輔助計算!$G$2:$G$801, 0)+1))&lt;100, IF(INDEX(ERP資料!$G:$G, (MATCH(33, 輔助計算!$G$2:$G$801, 0)+1))&lt;=31,3,IF(INDEX(ERP資料!$G:$G, (MATCH(33, 輔助計算!$G$2:$G$801, 0)+1))&lt;=46.5,2,1)), IF(INDEX(ERP資料!$G:$G, (MATCH(33, 輔助計算!$G$2:$G$801, 0)+1))&lt;=790,3,IF(INDEX(ERP資料!$G:$G, (MATCH(33, 輔助計算!$G$2:$G$801, 0)+1))&lt;=1181,2,1)))=2,TEXT(INDEX(ERP資料!$G:$G, (MATCH(33, 輔助計算!$G$2:$G$801, 0)+1)),"0.##")&amp;"+"&amp;TEXT(INDEX(ERP資料!$G:$G, (MATCH(33, 輔助計算!$G$2:$G$801, 0)+1)),"0.##"),TEXT(INDEX(ERP資料!$G:$G, (MATCH(33, 輔助計算!$G$2:$G$801, 0)+1)),"0.##")&amp;"+"&amp;TEXT(INDEX(ERP資料!$G:$G, (MATCH(33, 輔助計算!$G$2:$G$801, 0)+1)),"0.##")&amp;"+"&amp;TEXT(INDEX(ERP資料!$G:$G, (MATCH(33, 輔助計算!$G$2:$G$801, 0)+1)),"0.##")))&amp;"-"&amp;INT(INDEX(輔助計算!$D:$D, (MATCH(33, 輔助計算!$G$2:$G$801, 0)+1))/IF(INDEX(ERP資料!$G:$G, (MATCH(33, 輔助計算!$G$2:$G$801, 0)+1))&lt;100, IF(INDEX(ERP資料!$G:$G, (MATCH(33, 輔助計算!$G$2:$G$801, 0)+1))&lt;=31,3,IF(INDEX(ERP資料!$G:$G, (MATCH(33, 輔助計算!$G$2:$G$801, 0)+1))&lt;=46.5,2,1)), IF(INDEX(ERP資料!$G:$G, (MATCH(33, 輔助計算!$G$2:$G$801, 0)+1))&lt;=790,3,IF(INDEX(ERP資料!$G:$G, (MATCH(33, 輔助計算!$G$2:$G$801, 0)+1))&lt;=1181,2,1)))), "")&amp;IF(AND(IF(INT(INDEX(輔助計算!$D:$D, (MATCH(33, 輔助計算!$G$2:$G$801, 0)+1))/IF(INDEX(ERP資料!$G:$G, (MATCH(33, 輔助計算!$G$2:$G$801, 0)+1))&lt;100, IF(INDEX(ERP資料!$G:$G, (MATCH(33, 輔助計算!$G$2:$G$801, 0)+1))&lt;=31,3,IF(INDEX(ERP資料!$G:$G, (MATCH(33, 輔助計算!$G$2:$G$801, 0)+1))&lt;=46.5,2,1)), IF(INDEX(ERP資料!$G:$G, (MATCH(33, 輔助計算!$G$2:$G$801, 0)+1))&lt;=790,3,IF(INDEX(ERP資料!$G:$G, (MATCH(33, 輔助計算!$G$2:$G$801, 0)+1))&lt;=1181,2,1))))&gt;0, IF(IF(INDEX(ERP資料!$G:$G, (MATCH(33, 輔助計算!$G$2:$G$801, 0)+1))&lt;100, IF(INDEX(ERP資料!$G:$G, (MATCH(33, 輔助計算!$G$2:$G$801, 0)+1))&lt;=31,3,IF(INDEX(ERP資料!$G:$G, (MATCH(33, 輔助計算!$G$2:$G$801, 0)+1))&lt;=46.5,2,1)), IF(INDEX(ERP資料!$G:$G, (MATCH(33, 輔助計算!$G$2:$G$801, 0)+1))&lt;=790,3,IF(INDEX(ERP資料!$G:$G, (MATCH(33, 輔助計算!$G$2:$G$801, 0)+1))&lt;=1181,2,1)))=1,TEXT(INDEX(ERP資料!$G:$G, (MATCH(33, 輔助計算!$G$2:$G$801, 0)+1)),"0.##"),IF(IF(INDEX(ERP資料!$G:$G, (MATCH(33, 輔助計算!$G$2:$G$801, 0)+1))&lt;100, IF(INDEX(ERP資料!$G:$G, (MATCH(33, 輔助計算!$G$2:$G$801, 0)+1))&lt;=31,3,IF(INDEX(ERP資料!$G:$G, (MATCH(33, 輔助計算!$G$2:$G$801, 0)+1))&lt;=46.5,2,1)), IF(INDEX(ERP資料!$G:$G, (MATCH(33, 輔助計算!$G$2:$G$801, 0)+1))&lt;=790,3,IF(INDEX(ERP資料!$G:$G, (MATCH(33, 輔助計算!$G$2:$G$801, 0)+1))&lt;=1181,2,1)))=2,TEXT(INDEX(ERP資料!$G:$G, (MATCH(33, 輔助計算!$G$2:$G$801, 0)+1)),"0.##")&amp;"+"&amp;TEXT(INDEX(ERP資料!$G:$G, (MATCH(33, 輔助計算!$G$2:$G$801, 0)+1)),"0.##"),TEXT(INDEX(ERP資料!$G:$G, (MATCH(33, 輔助計算!$G$2:$G$801, 0)+1)),"0.##")&amp;"+"&amp;TEXT(INDEX(ERP資料!$G:$G, (MATCH(33, 輔助計算!$G$2:$G$801, 0)+1)),"0.##")&amp;"+"&amp;TEXT(INDEX(ERP資料!$G:$G, (MATCH(33, 輔助計算!$G$2:$G$801, 0)+1)),"0.##")))&amp;"-"&amp;INT(INDEX(輔助計算!$D:$D, (MATCH(33, 輔助計算!$G$2:$G$801, 0)+1))/IF(INDEX(ERP資料!$G:$G, (MATCH(33, 輔助計算!$G$2:$G$801, 0)+1))&lt;100, IF(INDEX(ERP資料!$G:$G, (MATCH(33, 輔助計算!$G$2:$G$801, 0)+1))&lt;=31,3,IF(INDEX(ERP資料!$G:$G, (MATCH(33, 輔助計算!$G$2:$G$801, 0)+1))&lt;=46.5,2,1)), IF(INDEX(ERP資料!$G:$G, (MATCH(33, 輔助計算!$G$2:$G$801, 0)+1))&lt;=790,3,IF(INDEX(ERP資料!$G:$G, (MATCH(33, 輔助計算!$G$2:$G$801, 0)+1))&lt;=1181,2,1)))), "")&lt;&gt;"",IF(MOD(INDEX(輔助計算!$D:$D, (MATCH(33, 輔助計算!$G$2:$G$801, 0)+1)),IF(INDEX(ERP資料!$G:$G, (MATCH(33, 輔助計算!$G$2:$G$801, 0)+1))&lt;100, IF(INDEX(ERP資料!$G:$G, (MATCH(33, 輔助計算!$G$2:$G$801, 0)+1))&lt;=31,3,IF(INDEX(ERP資料!$G:$G, (MATCH(33, 輔助計算!$G$2:$G$801, 0)+1))&lt;=46.5,2,1)), IF(INDEX(ERP資料!$G:$G, (MATCH(33, 輔助計算!$G$2:$G$801, 0)+1))&lt;=790,3,IF(INDEX(ERP資料!$G:$G, (MATCH(33, 輔助計算!$G$2:$G$801, 0)+1))&lt;=1181,2,1))))=0,"",IF(MOD(INDEX(輔助計算!$D:$D, (MATCH(33, 輔助計算!$G$2:$G$801, 0)+1)),IF(INDEX(ERP資料!$G:$G, (MATCH(33, 輔助計算!$G$2:$G$801, 0)+1))&lt;100, IF(INDEX(ERP資料!$G:$G, (MATCH(33, 輔助計算!$G$2:$G$801, 0)+1))&lt;=31,3,IF(INDEX(ERP資料!$G:$G, (MATCH(33, 輔助計算!$G$2:$G$801, 0)+1))&lt;=46.5,2,1)), IF(INDEX(ERP資料!$G:$G, (MATCH(33, 輔助計算!$G$2:$G$801, 0)+1))&lt;=790,3,IF(INDEX(ERP資料!$G:$G, (MATCH(33, 輔助計算!$G$2:$G$801, 0)+1))&lt;=1181,2,1))))=0,"",IF(MOD(INDEX(輔助計算!$D:$D, (MATCH(33, 輔助計算!$G$2:$G$801, 0)+1)),IF(INDEX(ERP資料!$G:$G, (MATCH(33, 輔助計算!$G$2:$G$801, 0)+1))&lt;100, IF(INDEX(ERP資料!$G:$G, (MATCH(33, 輔助計算!$G$2:$G$801, 0)+1))&lt;=31,3,IF(INDEX(ERP資料!$G:$G, (MATCH(33, 輔助計算!$G$2:$G$801, 0)+1))&lt;=46.5,2,1)), IF(INDEX(ERP資料!$G:$G, (MATCH(33, 輔助計算!$G$2:$G$801, 0)+1))&lt;=790,3,IF(INDEX(ERP資料!$G:$G, (MATCH(33, 輔助計算!$G$2:$G$801, 0)+1))&lt;=1181,2,1))))=1,TEXT(INDEX(ERP資料!$G:$G, (MATCH(33, 輔助計算!$G$2:$G$801, 0)+1)),"0.##"),IF(MOD(INDEX(輔助計算!$D:$D, (MATCH(33, 輔助計算!$G$2:$G$801, 0)+1)),IF(INDEX(ERP資料!$G:$G, (MATCH(33, 輔助計算!$G$2:$G$801, 0)+1))&lt;100, IF(INDEX(ERP資料!$G:$G, (MATCH(33, 輔助計算!$G$2:$G$801, 0)+1))&lt;=31,3,IF(INDEX(ERP資料!$G:$G, (MATCH(33, 輔助計算!$G$2:$G$801, 0)+1))&lt;=46.5,2,1)), IF(INDEX(ERP資料!$G:$G, (MATCH(33, 輔助計算!$G$2:$G$801, 0)+1))&lt;=790,3,IF(INDEX(ERP資料!$G:$G, (MATCH(33, 輔助計算!$G$2:$G$801, 0)+1))&lt;=1181,2,1))))=2,TEXT(INDEX(ERP資料!$G:$G, (MATCH(33, 輔助計算!$G$2:$G$801, 0)+1)),"0.##")&amp;"+"&amp;TEXT(INDEX(ERP資料!$G:$G, (MATCH(33, 輔助計算!$G$2:$G$801, 0)+1)),"0.##"),TEXT(INDEX(ERP資料!$G:$G, (MATCH(33, 輔助計算!$G$2:$G$801, 0)+1)),"0.##")&amp;"+"&amp;TEXT(INDEX(ERP資料!$G:$G, (MATCH(33, 輔助計算!$G$2:$G$801, 0)+1)),"0.##")&amp;"+"&amp;TEXT(INDEX(ERP資料!$G:$G, (MATCH(33, 輔助計算!$G$2:$G$801, 0)+1)),"0.##"))))&amp;"-1")&lt;&gt;""),"  ","")&amp;IF(MOD(INDEX(輔助計算!$D:$D, (MATCH(33, 輔助計算!$G$2:$G$801, 0)+1)),IF(INDEX(ERP資料!$G:$G, (MATCH(33, 輔助計算!$G$2:$G$801, 0)+1))&lt;100, IF(INDEX(ERP資料!$G:$G, (MATCH(33, 輔助計算!$G$2:$G$801, 0)+1))&lt;=31,3,IF(INDEX(ERP資料!$G:$G, (MATCH(33, 輔助計算!$G$2:$G$801, 0)+1))&lt;=46.5,2,1)), IF(INDEX(ERP資料!$G:$G, (MATCH(33, 輔助計算!$G$2:$G$801, 0)+1))&lt;=790,3,IF(INDEX(ERP資料!$G:$G, (MATCH(33, 輔助計算!$G$2:$G$801, 0)+1))&lt;=1181,2,1))))=0,"",IF(MOD(INDEX(輔助計算!$D:$D, (MATCH(33, 輔助計算!$G$2:$G$801, 0)+1)),IF(INDEX(ERP資料!$G:$G, (MATCH(33, 輔助計算!$G$2:$G$801, 0)+1))&lt;100, IF(INDEX(ERP資料!$G:$G, (MATCH(33, 輔助計算!$G$2:$G$801, 0)+1))&lt;=31,3,IF(INDEX(ERP資料!$G:$G, (MATCH(33, 輔助計算!$G$2:$G$801, 0)+1))&lt;=46.5,2,1)), IF(INDEX(ERP資料!$G:$G, (MATCH(33, 輔助計算!$G$2:$G$801, 0)+1))&lt;=790,3,IF(INDEX(ERP資料!$G:$G, (MATCH(33, 輔助計算!$G$2:$G$801, 0)+1))&lt;=1181,2,1))))=0,"",IF(MOD(INDEX(輔助計算!$D:$D, (MATCH(33, 輔助計算!$G$2:$G$801, 0)+1)),IF(INDEX(ERP資料!$G:$G, (MATCH(33, 輔助計算!$G$2:$G$801, 0)+1))&lt;100, IF(INDEX(ERP資料!$G:$G, (MATCH(33, 輔助計算!$G$2:$G$801, 0)+1))&lt;=31,3,IF(INDEX(ERP資料!$G:$G, (MATCH(33, 輔助計算!$G$2:$G$801, 0)+1))&lt;=46.5,2,1)), IF(INDEX(ERP資料!$G:$G, (MATCH(33, 輔助計算!$G$2:$G$801, 0)+1))&lt;=790,3,IF(INDEX(ERP資料!$G:$G, (MATCH(33, 輔助計算!$G$2:$G$801, 0)+1))&lt;=1181,2,1))))=1,TEXT(INDEX(ERP資料!$G:$G, (MATCH(33, 輔助計算!$G$2:$G$801, 0)+1)),"0.##"),IF(MOD(INDEX(輔助計算!$D:$D, (MATCH(33, 輔助計算!$G$2:$G$801, 0)+1)),IF(INDEX(ERP資料!$G:$G, (MATCH(33, 輔助計算!$G$2:$G$801, 0)+1))&lt;100, IF(INDEX(ERP資料!$G:$G, (MATCH(33, 輔助計算!$G$2:$G$801, 0)+1))&lt;=31,3,IF(INDEX(ERP資料!$G:$G, (MATCH(33, 輔助計算!$G$2:$G$801, 0)+1))&lt;=46.5,2,1)), IF(INDEX(ERP資料!$G:$G, (MATCH(33, 輔助計算!$G$2:$G$801, 0)+1))&lt;=790,3,IF(INDEX(ERP資料!$G:$G, (MATCH(33, 輔助計算!$G$2:$G$801, 0)+1))&lt;=1181,2,1))))=2,TEXT(INDEX(ERP資料!$G:$G, (MATCH(33, 輔助計算!$G$2:$G$801, 0)+1)),"0.##")&amp;"+"&amp;TEXT(INDEX(ERP資料!$G:$G, (MATCH(33, 輔助計算!$G$2:$G$801, 0)+1)),"0.##"),TEXT(INDEX(ERP資料!$G:$G, (MATCH(33, 輔助計算!$G$2:$G$801, 0)+1)),"0.##")&amp;"+"&amp;TEXT(INDEX(ERP資料!$G:$G, (MATCH(33, 輔助計算!$G$2:$G$801, 0)+1)),"0.##")&amp;"+"&amp;TEXT(INDEX(ERP資料!$G:$G, (MATCH(33, 輔助計算!$G$2:$G$801, 0)+1)),"0.##"))))&amp;"-1")), ""), "")</f>
        <v/>
      </c>
      <c r="K34" s="16" t="n"/>
      <c r="L34" s="14">
        <f>IFERROR(IF(AND(IFERROR(INDEX(ERP資料!$A:$A, (MATCH(33, 輔助計算!$G$2:$G$801, 0)+1)), "")&lt;&gt;"", IFERROR(INDEX(ERP資料!$A:$A, (MATCH(33, 輔助計算!$G$2:$G$801, 0)+1)), "")&lt;&gt;IFERROR(INDEX(ERP資料!$A:$A, MATCH(32, 輔助計算!$G$2:$G$801, 0)+1), "")), INDEX(ERP資料!$B:$B, (MATCH(33, 輔助計算!$G$2:$G$801, 0)+1)), ""), "")</f>
        <v/>
      </c>
      <c r="M34" s="17" t="n"/>
    </row>
    <row r="35">
      <c r="A35" s="10">
        <f>IFERROR(IF(AND(IFERROR(INDEX(ERP資料!$A:$A, (MATCH(34, 輔助計算!$G$2:$G$801, 0)+1)), "")&lt;&gt;"", IFERROR(INDEX(ERP資料!$A:$A, (MATCH(34, 輔助計算!$G$2:$G$801, 0)+1)), "")&lt;&gt;IFERROR(INDEX(ERP資料!$A:$A, MATCH(33, 輔助計算!$G$2:$G$801, 0)+1), "")), IFERROR(INDEX(ERP資料!$A:$A, (MATCH(34, 輔助計算!$G$2:$G$801, 0)+1)), ""), ""), "")</f>
        <v/>
      </c>
      <c r="B35" s="10">
        <f>IFERROR(IF(AND(IFERROR(INDEX(ERP資料!$A:$A, (MATCH(34, 輔助計算!$G$2:$G$801, 0)+1)), "")&lt;&gt;"", IFERROR(INDEX(ERP資料!$A:$A, (MATCH(34, 輔助計算!$G$2:$G$801, 0)+1)), "")&lt;&gt;IFERROR(INDEX(ERP資料!$A:$A, MATCH(33, 輔助計算!$G$2:$G$801, 0)+1), "")), INDEX(ERP資料!$S:$S, (MATCH(34, 輔助計算!$G$2:$G$801, 0)+1)), ""), "")</f>
        <v/>
      </c>
      <c r="C35" s="19">
        <f>IFERROR(IF(AND(IFERROR(INDEX(ERP資料!$A:$A, (MATCH(34, 輔助計算!$G$2:$G$801, 0)+1)), "")&lt;&gt;"", IFERROR(INDEX(ERP資料!$A:$A, (MATCH(34, 輔助計算!$G$2:$G$801, 0)+1)), "")&lt;&gt;IFERROR(INDEX(ERP資料!$A:$A, MATCH(33, 輔助計算!$G$2:$G$801, 0)+1), "")), IFERROR(VLOOKUP(LEFT(INDEX(ERP資料!$S:$S, (MATCH(34, 輔助計算!$G$2:$G$801, 0)+1)), 4), 紙管對照表!$A:$C, 3, FALSE), ""), ""), "")</f>
        <v/>
      </c>
      <c r="D35" s="16" t="n"/>
      <c r="E35" s="10">
        <f>IFERROR(IF(INDEX(ERP資料!$H:$H, (MATCH(34, 輔助計算!$G$2:$G$801, 0)+1))="","",INDEX(ERP資料!$H:$H, (MATCH(34, 輔助計算!$G$2:$G$801, 0)+1))), "")</f>
        <v/>
      </c>
      <c r="F35" s="10">
        <f>IFERROR(IF(INDEX(ERP資料!$E:$E, (MATCH(34, 輔助計算!$G$2:$G$801, 0)+1))="","",TRIM(INDEX(ERP資料!$E:$E, (MATCH(34, 輔助計算!$G$2:$G$801, 0)+1)))), "")</f>
        <v/>
      </c>
      <c r="G35" s="10">
        <f>IFERROR(IF(INDEX(ERP資料!$F:$F, (MATCH(34, 輔助計算!$G$2:$G$801, 0)+1))="","",INDEX(ERP資料!$F:$F, (MATCH(34, 輔助計算!$G$2:$G$801, 0)+1))), "")</f>
        <v/>
      </c>
      <c r="H35" s="10">
        <f>IFERROR(IF(INDEX(ERP資料!$G:$G, (MATCH(34, 輔助計算!$G$2:$G$801, 0)+1))="","",INDEX(ERP資料!$G:$G, (MATCH(34, 輔助計算!$G$2:$G$801, 0)+1))), "")</f>
        <v/>
      </c>
      <c r="I35" s="15">
        <f>IFERROR(INDEX(輔助計算!$D:$D, (MATCH(34, 輔助計算!$G$2:$G$801, 0)+1)), "")</f>
        <v/>
      </c>
      <c r="J35" s="15">
        <f>IFERROR(IF(AND(INDEX(輔助計算!$D:$D, (MATCH(34, 輔助計算!$G$2:$G$801, 0)+1))&lt;&gt;"", INDEX(ERP資料!$G:$G, (MATCH(34, 輔助計算!$G$2:$G$801, 0)+1))&lt;&gt;""), TRIM(IF(INT(INDEX(輔助計算!$D:$D, (MATCH(34, 輔助計算!$G$2:$G$801, 0)+1))/IF(INDEX(ERP資料!$G:$G, (MATCH(34, 輔助計算!$G$2:$G$801, 0)+1))&lt;100, IF(INDEX(ERP資料!$G:$G, (MATCH(34, 輔助計算!$G$2:$G$801, 0)+1))&lt;=31,3,IF(INDEX(ERP資料!$G:$G, (MATCH(34, 輔助計算!$G$2:$G$801, 0)+1))&lt;=46.5,2,1)), IF(INDEX(ERP資料!$G:$G, (MATCH(34, 輔助計算!$G$2:$G$801, 0)+1))&lt;=790,3,IF(INDEX(ERP資料!$G:$G, (MATCH(34, 輔助計算!$G$2:$G$801, 0)+1))&lt;=1181,2,1))))&gt;0, IF(IF(INDEX(ERP資料!$G:$G, (MATCH(34, 輔助計算!$G$2:$G$801, 0)+1))&lt;100, IF(INDEX(ERP資料!$G:$G, (MATCH(34, 輔助計算!$G$2:$G$801, 0)+1))&lt;=31,3,IF(INDEX(ERP資料!$G:$G, (MATCH(34, 輔助計算!$G$2:$G$801, 0)+1))&lt;=46.5,2,1)), IF(INDEX(ERP資料!$G:$G, (MATCH(34, 輔助計算!$G$2:$G$801, 0)+1))&lt;=790,3,IF(INDEX(ERP資料!$G:$G, (MATCH(34, 輔助計算!$G$2:$G$801, 0)+1))&lt;=1181,2,1)))=1,TEXT(INDEX(ERP資料!$G:$G, (MATCH(34, 輔助計算!$G$2:$G$801, 0)+1)),"0.##"),IF(IF(INDEX(ERP資料!$G:$G, (MATCH(34, 輔助計算!$G$2:$G$801, 0)+1))&lt;100, IF(INDEX(ERP資料!$G:$G, (MATCH(34, 輔助計算!$G$2:$G$801, 0)+1))&lt;=31,3,IF(INDEX(ERP資料!$G:$G, (MATCH(34, 輔助計算!$G$2:$G$801, 0)+1))&lt;=46.5,2,1)), IF(INDEX(ERP資料!$G:$G, (MATCH(34, 輔助計算!$G$2:$G$801, 0)+1))&lt;=790,3,IF(INDEX(ERP資料!$G:$G, (MATCH(34, 輔助計算!$G$2:$G$801, 0)+1))&lt;=1181,2,1)))=2,TEXT(INDEX(ERP資料!$G:$G, (MATCH(34, 輔助計算!$G$2:$G$801, 0)+1)),"0.##")&amp;"+"&amp;TEXT(INDEX(ERP資料!$G:$G, (MATCH(34, 輔助計算!$G$2:$G$801, 0)+1)),"0.##"),TEXT(INDEX(ERP資料!$G:$G, (MATCH(34, 輔助計算!$G$2:$G$801, 0)+1)),"0.##")&amp;"+"&amp;TEXT(INDEX(ERP資料!$G:$G, (MATCH(34, 輔助計算!$G$2:$G$801, 0)+1)),"0.##")&amp;"+"&amp;TEXT(INDEX(ERP資料!$G:$G, (MATCH(34, 輔助計算!$G$2:$G$801, 0)+1)),"0.##")))&amp;"-"&amp;INT(INDEX(輔助計算!$D:$D, (MATCH(34, 輔助計算!$G$2:$G$801, 0)+1))/IF(INDEX(ERP資料!$G:$G, (MATCH(34, 輔助計算!$G$2:$G$801, 0)+1))&lt;100, IF(INDEX(ERP資料!$G:$G, (MATCH(34, 輔助計算!$G$2:$G$801, 0)+1))&lt;=31,3,IF(INDEX(ERP資料!$G:$G, (MATCH(34, 輔助計算!$G$2:$G$801, 0)+1))&lt;=46.5,2,1)), IF(INDEX(ERP資料!$G:$G, (MATCH(34, 輔助計算!$G$2:$G$801, 0)+1))&lt;=790,3,IF(INDEX(ERP資料!$G:$G, (MATCH(34, 輔助計算!$G$2:$G$801, 0)+1))&lt;=1181,2,1)))), "")&amp;IF(AND(IF(INT(INDEX(輔助計算!$D:$D, (MATCH(34, 輔助計算!$G$2:$G$801, 0)+1))/IF(INDEX(ERP資料!$G:$G, (MATCH(34, 輔助計算!$G$2:$G$801, 0)+1))&lt;100, IF(INDEX(ERP資料!$G:$G, (MATCH(34, 輔助計算!$G$2:$G$801, 0)+1))&lt;=31,3,IF(INDEX(ERP資料!$G:$G, (MATCH(34, 輔助計算!$G$2:$G$801, 0)+1))&lt;=46.5,2,1)), IF(INDEX(ERP資料!$G:$G, (MATCH(34, 輔助計算!$G$2:$G$801, 0)+1))&lt;=790,3,IF(INDEX(ERP資料!$G:$G, (MATCH(34, 輔助計算!$G$2:$G$801, 0)+1))&lt;=1181,2,1))))&gt;0, IF(IF(INDEX(ERP資料!$G:$G, (MATCH(34, 輔助計算!$G$2:$G$801, 0)+1))&lt;100, IF(INDEX(ERP資料!$G:$G, (MATCH(34, 輔助計算!$G$2:$G$801, 0)+1))&lt;=31,3,IF(INDEX(ERP資料!$G:$G, (MATCH(34, 輔助計算!$G$2:$G$801, 0)+1))&lt;=46.5,2,1)), IF(INDEX(ERP資料!$G:$G, (MATCH(34, 輔助計算!$G$2:$G$801, 0)+1))&lt;=790,3,IF(INDEX(ERP資料!$G:$G, (MATCH(34, 輔助計算!$G$2:$G$801, 0)+1))&lt;=1181,2,1)))=1,TEXT(INDEX(ERP資料!$G:$G, (MATCH(34, 輔助計算!$G$2:$G$801, 0)+1)),"0.##"),IF(IF(INDEX(ERP資料!$G:$G, (MATCH(34, 輔助計算!$G$2:$G$801, 0)+1))&lt;100, IF(INDEX(ERP資料!$G:$G, (MATCH(34, 輔助計算!$G$2:$G$801, 0)+1))&lt;=31,3,IF(INDEX(ERP資料!$G:$G, (MATCH(34, 輔助計算!$G$2:$G$801, 0)+1))&lt;=46.5,2,1)), IF(INDEX(ERP資料!$G:$G, (MATCH(34, 輔助計算!$G$2:$G$801, 0)+1))&lt;=790,3,IF(INDEX(ERP資料!$G:$G, (MATCH(34, 輔助計算!$G$2:$G$801, 0)+1))&lt;=1181,2,1)))=2,TEXT(INDEX(ERP資料!$G:$G, (MATCH(34, 輔助計算!$G$2:$G$801, 0)+1)),"0.##")&amp;"+"&amp;TEXT(INDEX(ERP資料!$G:$G, (MATCH(34, 輔助計算!$G$2:$G$801, 0)+1)),"0.##"),TEXT(INDEX(ERP資料!$G:$G, (MATCH(34, 輔助計算!$G$2:$G$801, 0)+1)),"0.##")&amp;"+"&amp;TEXT(INDEX(ERP資料!$G:$G, (MATCH(34, 輔助計算!$G$2:$G$801, 0)+1)),"0.##")&amp;"+"&amp;TEXT(INDEX(ERP資料!$G:$G, (MATCH(34, 輔助計算!$G$2:$G$801, 0)+1)),"0.##")))&amp;"-"&amp;INT(INDEX(輔助計算!$D:$D, (MATCH(34, 輔助計算!$G$2:$G$801, 0)+1))/IF(INDEX(ERP資料!$G:$G, (MATCH(34, 輔助計算!$G$2:$G$801, 0)+1))&lt;100, IF(INDEX(ERP資料!$G:$G, (MATCH(34, 輔助計算!$G$2:$G$801, 0)+1))&lt;=31,3,IF(INDEX(ERP資料!$G:$G, (MATCH(34, 輔助計算!$G$2:$G$801, 0)+1))&lt;=46.5,2,1)), IF(INDEX(ERP資料!$G:$G, (MATCH(34, 輔助計算!$G$2:$G$801, 0)+1))&lt;=790,3,IF(INDEX(ERP資料!$G:$G, (MATCH(34, 輔助計算!$G$2:$G$801, 0)+1))&lt;=1181,2,1)))), "")&lt;&gt;"",IF(MOD(INDEX(輔助計算!$D:$D, (MATCH(34, 輔助計算!$G$2:$G$801, 0)+1)),IF(INDEX(ERP資料!$G:$G, (MATCH(34, 輔助計算!$G$2:$G$801, 0)+1))&lt;100, IF(INDEX(ERP資料!$G:$G, (MATCH(34, 輔助計算!$G$2:$G$801, 0)+1))&lt;=31,3,IF(INDEX(ERP資料!$G:$G, (MATCH(34, 輔助計算!$G$2:$G$801, 0)+1))&lt;=46.5,2,1)), IF(INDEX(ERP資料!$G:$G, (MATCH(34, 輔助計算!$G$2:$G$801, 0)+1))&lt;=790,3,IF(INDEX(ERP資料!$G:$G, (MATCH(34, 輔助計算!$G$2:$G$801, 0)+1))&lt;=1181,2,1))))=0,"",IF(MOD(INDEX(輔助計算!$D:$D, (MATCH(34, 輔助計算!$G$2:$G$801, 0)+1)),IF(INDEX(ERP資料!$G:$G, (MATCH(34, 輔助計算!$G$2:$G$801, 0)+1))&lt;100, IF(INDEX(ERP資料!$G:$G, (MATCH(34, 輔助計算!$G$2:$G$801, 0)+1))&lt;=31,3,IF(INDEX(ERP資料!$G:$G, (MATCH(34, 輔助計算!$G$2:$G$801, 0)+1))&lt;=46.5,2,1)), IF(INDEX(ERP資料!$G:$G, (MATCH(34, 輔助計算!$G$2:$G$801, 0)+1))&lt;=790,3,IF(INDEX(ERP資料!$G:$G, (MATCH(34, 輔助計算!$G$2:$G$801, 0)+1))&lt;=1181,2,1))))=0,"",IF(MOD(INDEX(輔助計算!$D:$D, (MATCH(34, 輔助計算!$G$2:$G$801, 0)+1)),IF(INDEX(ERP資料!$G:$G, (MATCH(34, 輔助計算!$G$2:$G$801, 0)+1))&lt;100, IF(INDEX(ERP資料!$G:$G, (MATCH(34, 輔助計算!$G$2:$G$801, 0)+1))&lt;=31,3,IF(INDEX(ERP資料!$G:$G, (MATCH(34, 輔助計算!$G$2:$G$801, 0)+1))&lt;=46.5,2,1)), IF(INDEX(ERP資料!$G:$G, (MATCH(34, 輔助計算!$G$2:$G$801, 0)+1))&lt;=790,3,IF(INDEX(ERP資料!$G:$G, (MATCH(34, 輔助計算!$G$2:$G$801, 0)+1))&lt;=1181,2,1))))=1,TEXT(INDEX(ERP資料!$G:$G, (MATCH(34, 輔助計算!$G$2:$G$801, 0)+1)),"0.##"),IF(MOD(INDEX(輔助計算!$D:$D, (MATCH(34, 輔助計算!$G$2:$G$801, 0)+1)),IF(INDEX(ERP資料!$G:$G, (MATCH(34, 輔助計算!$G$2:$G$801, 0)+1))&lt;100, IF(INDEX(ERP資料!$G:$G, (MATCH(34, 輔助計算!$G$2:$G$801, 0)+1))&lt;=31,3,IF(INDEX(ERP資料!$G:$G, (MATCH(34, 輔助計算!$G$2:$G$801, 0)+1))&lt;=46.5,2,1)), IF(INDEX(ERP資料!$G:$G, (MATCH(34, 輔助計算!$G$2:$G$801, 0)+1))&lt;=790,3,IF(INDEX(ERP資料!$G:$G, (MATCH(34, 輔助計算!$G$2:$G$801, 0)+1))&lt;=1181,2,1))))=2,TEXT(INDEX(ERP資料!$G:$G, (MATCH(34, 輔助計算!$G$2:$G$801, 0)+1)),"0.##")&amp;"+"&amp;TEXT(INDEX(ERP資料!$G:$G, (MATCH(34, 輔助計算!$G$2:$G$801, 0)+1)),"0.##"),TEXT(INDEX(ERP資料!$G:$G, (MATCH(34, 輔助計算!$G$2:$G$801, 0)+1)),"0.##")&amp;"+"&amp;TEXT(INDEX(ERP資料!$G:$G, (MATCH(34, 輔助計算!$G$2:$G$801, 0)+1)),"0.##")&amp;"+"&amp;TEXT(INDEX(ERP資料!$G:$G, (MATCH(34, 輔助計算!$G$2:$G$801, 0)+1)),"0.##"))))&amp;"-1")&lt;&gt;""),"  ","")&amp;IF(MOD(INDEX(輔助計算!$D:$D, (MATCH(34, 輔助計算!$G$2:$G$801, 0)+1)),IF(INDEX(ERP資料!$G:$G, (MATCH(34, 輔助計算!$G$2:$G$801, 0)+1))&lt;100, IF(INDEX(ERP資料!$G:$G, (MATCH(34, 輔助計算!$G$2:$G$801, 0)+1))&lt;=31,3,IF(INDEX(ERP資料!$G:$G, (MATCH(34, 輔助計算!$G$2:$G$801, 0)+1))&lt;=46.5,2,1)), IF(INDEX(ERP資料!$G:$G, (MATCH(34, 輔助計算!$G$2:$G$801, 0)+1))&lt;=790,3,IF(INDEX(ERP資料!$G:$G, (MATCH(34, 輔助計算!$G$2:$G$801, 0)+1))&lt;=1181,2,1))))=0,"",IF(MOD(INDEX(輔助計算!$D:$D, (MATCH(34, 輔助計算!$G$2:$G$801, 0)+1)),IF(INDEX(ERP資料!$G:$G, (MATCH(34, 輔助計算!$G$2:$G$801, 0)+1))&lt;100, IF(INDEX(ERP資料!$G:$G, (MATCH(34, 輔助計算!$G$2:$G$801, 0)+1))&lt;=31,3,IF(INDEX(ERP資料!$G:$G, (MATCH(34, 輔助計算!$G$2:$G$801, 0)+1))&lt;=46.5,2,1)), IF(INDEX(ERP資料!$G:$G, (MATCH(34, 輔助計算!$G$2:$G$801, 0)+1))&lt;=790,3,IF(INDEX(ERP資料!$G:$G, (MATCH(34, 輔助計算!$G$2:$G$801, 0)+1))&lt;=1181,2,1))))=0,"",IF(MOD(INDEX(輔助計算!$D:$D, (MATCH(34, 輔助計算!$G$2:$G$801, 0)+1)),IF(INDEX(ERP資料!$G:$G, (MATCH(34, 輔助計算!$G$2:$G$801, 0)+1))&lt;100, IF(INDEX(ERP資料!$G:$G, (MATCH(34, 輔助計算!$G$2:$G$801, 0)+1))&lt;=31,3,IF(INDEX(ERP資料!$G:$G, (MATCH(34, 輔助計算!$G$2:$G$801, 0)+1))&lt;=46.5,2,1)), IF(INDEX(ERP資料!$G:$G, (MATCH(34, 輔助計算!$G$2:$G$801, 0)+1))&lt;=790,3,IF(INDEX(ERP資料!$G:$G, (MATCH(34, 輔助計算!$G$2:$G$801, 0)+1))&lt;=1181,2,1))))=1,TEXT(INDEX(ERP資料!$G:$G, (MATCH(34, 輔助計算!$G$2:$G$801, 0)+1)),"0.##"),IF(MOD(INDEX(輔助計算!$D:$D, (MATCH(34, 輔助計算!$G$2:$G$801, 0)+1)),IF(INDEX(ERP資料!$G:$G, (MATCH(34, 輔助計算!$G$2:$G$801, 0)+1))&lt;100, IF(INDEX(ERP資料!$G:$G, (MATCH(34, 輔助計算!$G$2:$G$801, 0)+1))&lt;=31,3,IF(INDEX(ERP資料!$G:$G, (MATCH(34, 輔助計算!$G$2:$G$801, 0)+1))&lt;=46.5,2,1)), IF(INDEX(ERP資料!$G:$G, (MATCH(34, 輔助計算!$G$2:$G$801, 0)+1))&lt;=790,3,IF(INDEX(ERP資料!$G:$G, (MATCH(34, 輔助計算!$G$2:$G$801, 0)+1))&lt;=1181,2,1))))=2,TEXT(INDEX(ERP資料!$G:$G, (MATCH(34, 輔助計算!$G$2:$G$801, 0)+1)),"0.##")&amp;"+"&amp;TEXT(INDEX(ERP資料!$G:$G, (MATCH(34, 輔助計算!$G$2:$G$801, 0)+1)),"0.##"),TEXT(INDEX(ERP資料!$G:$G, (MATCH(34, 輔助計算!$G$2:$G$801, 0)+1)),"0.##")&amp;"+"&amp;TEXT(INDEX(ERP資料!$G:$G, (MATCH(34, 輔助計算!$G$2:$G$801, 0)+1)),"0.##")&amp;"+"&amp;TEXT(INDEX(ERP資料!$G:$G, (MATCH(34, 輔助計算!$G$2:$G$801, 0)+1)),"0.##"))))&amp;"-1")), ""), "")</f>
        <v/>
      </c>
      <c r="K35" s="16" t="n"/>
      <c r="L35" s="14">
        <f>IFERROR(IF(AND(IFERROR(INDEX(ERP資料!$A:$A, (MATCH(34, 輔助計算!$G$2:$G$801, 0)+1)), "")&lt;&gt;"", IFERROR(INDEX(ERP資料!$A:$A, (MATCH(34, 輔助計算!$G$2:$G$801, 0)+1)), "")&lt;&gt;IFERROR(INDEX(ERP資料!$A:$A, MATCH(33, 輔助計算!$G$2:$G$801, 0)+1), "")), INDEX(ERP資料!$B:$B, (MATCH(34, 輔助計算!$G$2:$G$801, 0)+1)), ""), "")</f>
        <v/>
      </c>
      <c r="M35" s="17" t="n"/>
    </row>
    <row r="36">
      <c r="A36" s="10">
        <f>IFERROR(IF(AND(IFERROR(INDEX(ERP資料!$A:$A, (MATCH(35, 輔助計算!$G$2:$G$801, 0)+1)), "")&lt;&gt;"", IFERROR(INDEX(ERP資料!$A:$A, (MATCH(35, 輔助計算!$G$2:$G$801, 0)+1)), "")&lt;&gt;IFERROR(INDEX(ERP資料!$A:$A, MATCH(34, 輔助計算!$G$2:$G$801, 0)+1), "")), IFERROR(INDEX(ERP資料!$A:$A, (MATCH(35, 輔助計算!$G$2:$G$801, 0)+1)), ""), ""), "")</f>
        <v/>
      </c>
      <c r="B36" s="10">
        <f>IFERROR(IF(AND(IFERROR(INDEX(ERP資料!$A:$A, (MATCH(35, 輔助計算!$G$2:$G$801, 0)+1)), "")&lt;&gt;"", IFERROR(INDEX(ERP資料!$A:$A, (MATCH(35, 輔助計算!$G$2:$G$801, 0)+1)), "")&lt;&gt;IFERROR(INDEX(ERP資料!$A:$A, MATCH(34, 輔助計算!$G$2:$G$801, 0)+1), "")), INDEX(ERP資料!$S:$S, (MATCH(35, 輔助計算!$G$2:$G$801, 0)+1)), ""), "")</f>
        <v/>
      </c>
      <c r="C36" s="19">
        <f>IFERROR(IF(AND(IFERROR(INDEX(ERP資料!$A:$A, (MATCH(35, 輔助計算!$G$2:$G$801, 0)+1)), "")&lt;&gt;"", IFERROR(INDEX(ERP資料!$A:$A, (MATCH(35, 輔助計算!$G$2:$G$801, 0)+1)), "")&lt;&gt;IFERROR(INDEX(ERP資料!$A:$A, MATCH(34, 輔助計算!$G$2:$G$801, 0)+1), "")), IFERROR(VLOOKUP(LEFT(INDEX(ERP資料!$S:$S, (MATCH(35, 輔助計算!$G$2:$G$801, 0)+1)), 4), 紙管對照表!$A:$C, 3, FALSE), ""), ""), "")</f>
        <v/>
      </c>
      <c r="D36" s="16" t="n"/>
      <c r="E36" s="10">
        <f>IFERROR(IF(INDEX(ERP資料!$H:$H, (MATCH(35, 輔助計算!$G$2:$G$801, 0)+1))="","",INDEX(ERP資料!$H:$H, (MATCH(35, 輔助計算!$G$2:$G$801, 0)+1))), "")</f>
        <v/>
      </c>
      <c r="F36" s="10">
        <f>IFERROR(IF(INDEX(ERP資料!$E:$E, (MATCH(35, 輔助計算!$G$2:$G$801, 0)+1))="","",TRIM(INDEX(ERP資料!$E:$E, (MATCH(35, 輔助計算!$G$2:$G$801, 0)+1)))), "")</f>
        <v/>
      </c>
      <c r="G36" s="10">
        <f>IFERROR(IF(INDEX(ERP資料!$F:$F, (MATCH(35, 輔助計算!$G$2:$G$801, 0)+1))="","",INDEX(ERP資料!$F:$F, (MATCH(35, 輔助計算!$G$2:$G$801, 0)+1))), "")</f>
        <v/>
      </c>
      <c r="H36" s="10">
        <f>IFERROR(IF(INDEX(ERP資料!$G:$G, (MATCH(35, 輔助計算!$G$2:$G$801, 0)+1))="","",INDEX(ERP資料!$G:$G, (MATCH(35, 輔助計算!$G$2:$G$801, 0)+1))), "")</f>
        <v/>
      </c>
      <c r="I36" s="15">
        <f>IFERROR(INDEX(輔助計算!$D:$D, (MATCH(35, 輔助計算!$G$2:$G$801, 0)+1)), "")</f>
        <v/>
      </c>
      <c r="J36" s="15">
        <f>IFERROR(IF(AND(INDEX(輔助計算!$D:$D, (MATCH(35, 輔助計算!$G$2:$G$801, 0)+1))&lt;&gt;"", INDEX(ERP資料!$G:$G, (MATCH(35, 輔助計算!$G$2:$G$801, 0)+1))&lt;&gt;""), TRIM(IF(INT(INDEX(輔助計算!$D:$D, (MATCH(35, 輔助計算!$G$2:$G$801, 0)+1))/IF(INDEX(ERP資料!$G:$G, (MATCH(35, 輔助計算!$G$2:$G$801, 0)+1))&lt;100, IF(INDEX(ERP資料!$G:$G, (MATCH(35, 輔助計算!$G$2:$G$801, 0)+1))&lt;=31,3,IF(INDEX(ERP資料!$G:$G, (MATCH(35, 輔助計算!$G$2:$G$801, 0)+1))&lt;=46.5,2,1)), IF(INDEX(ERP資料!$G:$G, (MATCH(35, 輔助計算!$G$2:$G$801, 0)+1))&lt;=790,3,IF(INDEX(ERP資料!$G:$G, (MATCH(35, 輔助計算!$G$2:$G$801, 0)+1))&lt;=1181,2,1))))&gt;0, IF(IF(INDEX(ERP資料!$G:$G, (MATCH(35, 輔助計算!$G$2:$G$801, 0)+1))&lt;100, IF(INDEX(ERP資料!$G:$G, (MATCH(35, 輔助計算!$G$2:$G$801, 0)+1))&lt;=31,3,IF(INDEX(ERP資料!$G:$G, (MATCH(35, 輔助計算!$G$2:$G$801, 0)+1))&lt;=46.5,2,1)), IF(INDEX(ERP資料!$G:$G, (MATCH(35, 輔助計算!$G$2:$G$801, 0)+1))&lt;=790,3,IF(INDEX(ERP資料!$G:$G, (MATCH(35, 輔助計算!$G$2:$G$801, 0)+1))&lt;=1181,2,1)))=1,TEXT(INDEX(ERP資料!$G:$G, (MATCH(35, 輔助計算!$G$2:$G$801, 0)+1)),"0.##"),IF(IF(INDEX(ERP資料!$G:$G, (MATCH(35, 輔助計算!$G$2:$G$801, 0)+1))&lt;100, IF(INDEX(ERP資料!$G:$G, (MATCH(35, 輔助計算!$G$2:$G$801, 0)+1))&lt;=31,3,IF(INDEX(ERP資料!$G:$G, (MATCH(35, 輔助計算!$G$2:$G$801, 0)+1))&lt;=46.5,2,1)), IF(INDEX(ERP資料!$G:$G, (MATCH(35, 輔助計算!$G$2:$G$801, 0)+1))&lt;=790,3,IF(INDEX(ERP資料!$G:$G, (MATCH(35, 輔助計算!$G$2:$G$801, 0)+1))&lt;=1181,2,1)))=2,TEXT(INDEX(ERP資料!$G:$G, (MATCH(35, 輔助計算!$G$2:$G$801, 0)+1)),"0.##")&amp;"+"&amp;TEXT(INDEX(ERP資料!$G:$G, (MATCH(35, 輔助計算!$G$2:$G$801, 0)+1)),"0.##"),TEXT(INDEX(ERP資料!$G:$G, (MATCH(35, 輔助計算!$G$2:$G$801, 0)+1)),"0.##")&amp;"+"&amp;TEXT(INDEX(ERP資料!$G:$G, (MATCH(35, 輔助計算!$G$2:$G$801, 0)+1)),"0.##")&amp;"+"&amp;TEXT(INDEX(ERP資料!$G:$G, (MATCH(35, 輔助計算!$G$2:$G$801, 0)+1)),"0.##")))&amp;"-"&amp;INT(INDEX(輔助計算!$D:$D, (MATCH(35, 輔助計算!$G$2:$G$801, 0)+1))/IF(INDEX(ERP資料!$G:$G, (MATCH(35, 輔助計算!$G$2:$G$801, 0)+1))&lt;100, IF(INDEX(ERP資料!$G:$G, (MATCH(35, 輔助計算!$G$2:$G$801, 0)+1))&lt;=31,3,IF(INDEX(ERP資料!$G:$G, (MATCH(35, 輔助計算!$G$2:$G$801, 0)+1))&lt;=46.5,2,1)), IF(INDEX(ERP資料!$G:$G, (MATCH(35, 輔助計算!$G$2:$G$801, 0)+1))&lt;=790,3,IF(INDEX(ERP資料!$G:$G, (MATCH(35, 輔助計算!$G$2:$G$801, 0)+1))&lt;=1181,2,1)))), "")&amp;IF(AND(IF(INT(INDEX(輔助計算!$D:$D, (MATCH(35, 輔助計算!$G$2:$G$801, 0)+1))/IF(INDEX(ERP資料!$G:$G, (MATCH(35, 輔助計算!$G$2:$G$801, 0)+1))&lt;100, IF(INDEX(ERP資料!$G:$G, (MATCH(35, 輔助計算!$G$2:$G$801, 0)+1))&lt;=31,3,IF(INDEX(ERP資料!$G:$G, (MATCH(35, 輔助計算!$G$2:$G$801, 0)+1))&lt;=46.5,2,1)), IF(INDEX(ERP資料!$G:$G, (MATCH(35, 輔助計算!$G$2:$G$801, 0)+1))&lt;=790,3,IF(INDEX(ERP資料!$G:$G, (MATCH(35, 輔助計算!$G$2:$G$801, 0)+1))&lt;=1181,2,1))))&gt;0, IF(IF(INDEX(ERP資料!$G:$G, (MATCH(35, 輔助計算!$G$2:$G$801, 0)+1))&lt;100, IF(INDEX(ERP資料!$G:$G, (MATCH(35, 輔助計算!$G$2:$G$801, 0)+1))&lt;=31,3,IF(INDEX(ERP資料!$G:$G, (MATCH(35, 輔助計算!$G$2:$G$801, 0)+1))&lt;=46.5,2,1)), IF(INDEX(ERP資料!$G:$G, (MATCH(35, 輔助計算!$G$2:$G$801, 0)+1))&lt;=790,3,IF(INDEX(ERP資料!$G:$G, (MATCH(35, 輔助計算!$G$2:$G$801, 0)+1))&lt;=1181,2,1)))=1,TEXT(INDEX(ERP資料!$G:$G, (MATCH(35, 輔助計算!$G$2:$G$801, 0)+1)),"0.##"),IF(IF(INDEX(ERP資料!$G:$G, (MATCH(35, 輔助計算!$G$2:$G$801, 0)+1))&lt;100, IF(INDEX(ERP資料!$G:$G, (MATCH(35, 輔助計算!$G$2:$G$801, 0)+1))&lt;=31,3,IF(INDEX(ERP資料!$G:$G, (MATCH(35, 輔助計算!$G$2:$G$801, 0)+1))&lt;=46.5,2,1)), IF(INDEX(ERP資料!$G:$G, (MATCH(35, 輔助計算!$G$2:$G$801, 0)+1))&lt;=790,3,IF(INDEX(ERP資料!$G:$G, (MATCH(35, 輔助計算!$G$2:$G$801, 0)+1))&lt;=1181,2,1)))=2,TEXT(INDEX(ERP資料!$G:$G, (MATCH(35, 輔助計算!$G$2:$G$801, 0)+1)),"0.##")&amp;"+"&amp;TEXT(INDEX(ERP資料!$G:$G, (MATCH(35, 輔助計算!$G$2:$G$801, 0)+1)),"0.##"),TEXT(INDEX(ERP資料!$G:$G, (MATCH(35, 輔助計算!$G$2:$G$801, 0)+1)),"0.##")&amp;"+"&amp;TEXT(INDEX(ERP資料!$G:$G, (MATCH(35, 輔助計算!$G$2:$G$801, 0)+1)),"0.##")&amp;"+"&amp;TEXT(INDEX(ERP資料!$G:$G, (MATCH(35, 輔助計算!$G$2:$G$801, 0)+1)),"0.##")))&amp;"-"&amp;INT(INDEX(輔助計算!$D:$D, (MATCH(35, 輔助計算!$G$2:$G$801, 0)+1))/IF(INDEX(ERP資料!$G:$G, (MATCH(35, 輔助計算!$G$2:$G$801, 0)+1))&lt;100, IF(INDEX(ERP資料!$G:$G, (MATCH(35, 輔助計算!$G$2:$G$801, 0)+1))&lt;=31,3,IF(INDEX(ERP資料!$G:$G, (MATCH(35, 輔助計算!$G$2:$G$801, 0)+1))&lt;=46.5,2,1)), IF(INDEX(ERP資料!$G:$G, (MATCH(35, 輔助計算!$G$2:$G$801, 0)+1))&lt;=790,3,IF(INDEX(ERP資料!$G:$G, (MATCH(35, 輔助計算!$G$2:$G$801, 0)+1))&lt;=1181,2,1)))), "")&lt;&gt;"",IF(MOD(INDEX(輔助計算!$D:$D, (MATCH(35, 輔助計算!$G$2:$G$801, 0)+1)),IF(INDEX(ERP資料!$G:$G, (MATCH(35, 輔助計算!$G$2:$G$801, 0)+1))&lt;100, IF(INDEX(ERP資料!$G:$G, (MATCH(35, 輔助計算!$G$2:$G$801, 0)+1))&lt;=31,3,IF(INDEX(ERP資料!$G:$G, (MATCH(35, 輔助計算!$G$2:$G$801, 0)+1))&lt;=46.5,2,1)), IF(INDEX(ERP資料!$G:$G, (MATCH(35, 輔助計算!$G$2:$G$801, 0)+1))&lt;=790,3,IF(INDEX(ERP資料!$G:$G, (MATCH(35, 輔助計算!$G$2:$G$801, 0)+1))&lt;=1181,2,1))))=0,"",IF(MOD(INDEX(輔助計算!$D:$D, (MATCH(35, 輔助計算!$G$2:$G$801, 0)+1)),IF(INDEX(ERP資料!$G:$G, (MATCH(35, 輔助計算!$G$2:$G$801, 0)+1))&lt;100, IF(INDEX(ERP資料!$G:$G, (MATCH(35, 輔助計算!$G$2:$G$801, 0)+1))&lt;=31,3,IF(INDEX(ERP資料!$G:$G, (MATCH(35, 輔助計算!$G$2:$G$801, 0)+1))&lt;=46.5,2,1)), IF(INDEX(ERP資料!$G:$G, (MATCH(35, 輔助計算!$G$2:$G$801, 0)+1))&lt;=790,3,IF(INDEX(ERP資料!$G:$G, (MATCH(35, 輔助計算!$G$2:$G$801, 0)+1))&lt;=1181,2,1))))=0,"",IF(MOD(INDEX(輔助計算!$D:$D, (MATCH(35, 輔助計算!$G$2:$G$801, 0)+1)),IF(INDEX(ERP資料!$G:$G, (MATCH(35, 輔助計算!$G$2:$G$801, 0)+1))&lt;100, IF(INDEX(ERP資料!$G:$G, (MATCH(35, 輔助計算!$G$2:$G$801, 0)+1))&lt;=31,3,IF(INDEX(ERP資料!$G:$G, (MATCH(35, 輔助計算!$G$2:$G$801, 0)+1))&lt;=46.5,2,1)), IF(INDEX(ERP資料!$G:$G, (MATCH(35, 輔助計算!$G$2:$G$801, 0)+1))&lt;=790,3,IF(INDEX(ERP資料!$G:$G, (MATCH(35, 輔助計算!$G$2:$G$801, 0)+1))&lt;=1181,2,1))))=1,TEXT(INDEX(ERP資料!$G:$G, (MATCH(35, 輔助計算!$G$2:$G$801, 0)+1)),"0.##"),IF(MOD(INDEX(輔助計算!$D:$D, (MATCH(35, 輔助計算!$G$2:$G$801, 0)+1)),IF(INDEX(ERP資料!$G:$G, (MATCH(35, 輔助計算!$G$2:$G$801, 0)+1))&lt;100, IF(INDEX(ERP資料!$G:$G, (MATCH(35, 輔助計算!$G$2:$G$801, 0)+1))&lt;=31,3,IF(INDEX(ERP資料!$G:$G, (MATCH(35, 輔助計算!$G$2:$G$801, 0)+1))&lt;=46.5,2,1)), IF(INDEX(ERP資料!$G:$G, (MATCH(35, 輔助計算!$G$2:$G$801, 0)+1))&lt;=790,3,IF(INDEX(ERP資料!$G:$G, (MATCH(35, 輔助計算!$G$2:$G$801, 0)+1))&lt;=1181,2,1))))=2,TEXT(INDEX(ERP資料!$G:$G, (MATCH(35, 輔助計算!$G$2:$G$801, 0)+1)),"0.##")&amp;"+"&amp;TEXT(INDEX(ERP資料!$G:$G, (MATCH(35, 輔助計算!$G$2:$G$801, 0)+1)),"0.##"),TEXT(INDEX(ERP資料!$G:$G, (MATCH(35, 輔助計算!$G$2:$G$801, 0)+1)),"0.##")&amp;"+"&amp;TEXT(INDEX(ERP資料!$G:$G, (MATCH(35, 輔助計算!$G$2:$G$801, 0)+1)),"0.##")&amp;"+"&amp;TEXT(INDEX(ERP資料!$G:$G, (MATCH(35, 輔助計算!$G$2:$G$801, 0)+1)),"0.##"))))&amp;"-1")&lt;&gt;""),"  ","")&amp;IF(MOD(INDEX(輔助計算!$D:$D, (MATCH(35, 輔助計算!$G$2:$G$801, 0)+1)),IF(INDEX(ERP資料!$G:$G, (MATCH(35, 輔助計算!$G$2:$G$801, 0)+1))&lt;100, IF(INDEX(ERP資料!$G:$G, (MATCH(35, 輔助計算!$G$2:$G$801, 0)+1))&lt;=31,3,IF(INDEX(ERP資料!$G:$G, (MATCH(35, 輔助計算!$G$2:$G$801, 0)+1))&lt;=46.5,2,1)), IF(INDEX(ERP資料!$G:$G, (MATCH(35, 輔助計算!$G$2:$G$801, 0)+1))&lt;=790,3,IF(INDEX(ERP資料!$G:$G, (MATCH(35, 輔助計算!$G$2:$G$801, 0)+1))&lt;=1181,2,1))))=0,"",IF(MOD(INDEX(輔助計算!$D:$D, (MATCH(35, 輔助計算!$G$2:$G$801, 0)+1)),IF(INDEX(ERP資料!$G:$G, (MATCH(35, 輔助計算!$G$2:$G$801, 0)+1))&lt;100, IF(INDEX(ERP資料!$G:$G, (MATCH(35, 輔助計算!$G$2:$G$801, 0)+1))&lt;=31,3,IF(INDEX(ERP資料!$G:$G, (MATCH(35, 輔助計算!$G$2:$G$801, 0)+1))&lt;=46.5,2,1)), IF(INDEX(ERP資料!$G:$G, (MATCH(35, 輔助計算!$G$2:$G$801, 0)+1))&lt;=790,3,IF(INDEX(ERP資料!$G:$G, (MATCH(35, 輔助計算!$G$2:$G$801, 0)+1))&lt;=1181,2,1))))=0,"",IF(MOD(INDEX(輔助計算!$D:$D, (MATCH(35, 輔助計算!$G$2:$G$801, 0)+1)),IF(INDEX(ERP資料!$G:$G, (MATCH(35, 輔助計算!$G$2:$G$801, 0)+1))&lt;100, IF(INDEX(ERP資料!$G:$G, (MATCH(35, 輔助計算!$G$2:$G$801, 0)+1))&lt;=31,3,IF(INDEX(ERP資料!$G:$G, (MATCH(35, 輔助計算!$G$2:$G$801, 0)+1))&lt;=46.5,2,1)), IF(INDEX(ERP資料!$G:$G, (MATCH(35, 輔助計算!$G$2:$G$801, 0)+1))&lt;=790,3,IF(INDEX(ERP資料!$G:$G, (MATCH(35, 輔助計算!$G$2:$G$801, 0)+1))&lt;=1181,2,1))))=1,TEXT(INDEX(ERP資料!$G:$G, (MATCH(35, 輔助計算!$G$2:$G$801, 0)+1)),"0.##"),IF(MOD(INDEX(輔助計算!$D:$D, (MATCH(35, 輔助計算!$G$2:$G$801, 0)+1)),IF(INDEX(ERP資料!$G:$G, (MATCH(35, 輔助計算!$G$2:$G$801, 0)+1))&lt;100, IF(INDEX(ERP資料!$G:$G, (MATCH(35, 輔助計算!$G$2:$G$801, 0)+1))&lt;=31,3,IF(INDEX(ERP資料!$G:$G, (MATCH(35, 輔助計算!$G$2:$G$801, 0)+1))&lt;=46.5,2,1)), IF(INDEX(ERP資料!$G:$G, (MATCH(35, 輔助計算!$G$2:$G$801, 0)+1))&lt;=790,3,IF(INDEX(ERP資料!$G:$G, (MATCH(35, 輔助計算!$G$2:$G$801, 0)+1))&lt;=1181,2,1))))=2,TEXT(INDEX(ERP資料!$G:$G, (MATCH(35, 輔助計算!$G$2:$G$801, 0)+1)),"0.##")&amp;"+"&amp;TEXT(INDEX(ERP資料!$G:$G, (MATCH(35, 輔助計算!$G$2:$G$801, 0)+1)),"0.##"),TEXT(INDEX(ERP資料!$G:$G, (MATCH(35, 輔助計算!$G$2:$G$801, 0)+1)),"0.##")&amp;"+"&amp;TEXT(INDEX(ERP資料!$G:$G, (MATCH(35, 輔助計算!$G$2:$G$801, 0)+1)),"0.##")&amp;"+"&amp;TEXT(INDEX(ERP資料!$G:$G, (MATCH(35, 輔助計算!$G$2:$G$801, 0)+1)),"0.##"))))&amp;"-1")), ""), "")</f>
        <v/>
      </c>
      <c r="K36" s="16" t="n"/>
      <c r="L36" s="14">
        <f>IFERROR(IF(AND(IFERROR(INDEX(ERP資料!$A:$A, (MATCH(35, 輔助計算!$G$2:$G$801, 0)+1)), "")&lt;&gt;"", IFERROR(INDEX(ERP資料!$A:$A, (MATCH(35, 輔助計算!$G$2:$G$801, 0)+1)), "")&lt;&gt;IFERROR(INDEX(ERP資料!$A:$A, MATCH(34, 輔助計算!$G$2:$G$801, 0)+1), "")), INDEX(ERP資料!$B:$B, (MATCH(35, 輔助計算!$G$2:$G$801, 0)+1)), ""), "")</f>
        <v/>
      </c>
      <c r="M36" s="17" t="n"/>
    </row>
    <row r="37">
      <c r="A37" s="10">
        <f>IFERROR(IF(AND(IFERROR(INDEX(ERP資料!$A:$A, (MATCH(36, 輔助計算!$G$2:$G$801, 0)+1)), "")&lt;&gt;"", IFERROR(INDEX(ERP資料!$A:$A, (MATCH(36, 輔助計算!$G$2:$G$801, 0)+1)), "")&lt;&gt;IFERROR(INDEX(ERP資料!$A:$A, MATCH(35, 輔助計算!$G$2:$G$801, 0)+1), "")), IFERROR(INDEX(ERP資料!$A:$A, (MATCH(36, 輔助計算!$G$2:$G$801, 0)+1)), ""), ""), "")</f>
        <v/>
      </c>
      <c r="B37" s="10">
        <f>IFERROR(IF(AND(IFERROR(INDEX(ERP資料!$A:$A, (MATCH(36, 輔助計算!$G$2:$G$801, 0)+1)), "")&lt;&gt;"", IFERROR(INDEX(ERP資料!$A:$A, (MATCH(36, 輔助計算!$G$2:$G$801, 0)+1)), "")&lt;&gt;IFERROR(INDEX(ERP資料!$A:$A, MATCH(35, 輔助計算!$G$2:$G$801, 0)+1), "")), INDEX(ERP資料!$S:$S, (MATCH(36, 輔助計算!$G$2:$G$801, 0)+1)), ""), "")</f>
        <v/>
      </c>
      <c r="C37" s="19">
        <f>IFERROR(IF(AND(IFERROR(INDEX(ERP資料!$A:$A, (MATCH(36, 輔助計算!$G$2:$G$801, 0)+1)), "")&lt;&gt;"", IFERROR(INDEX(ERP資料!$A:$A, (MATCH(36, 輔助計算!$G$2:$G$801, 0)+1)), "")&lt;&gt;IFERROR(INDEX(ERP資料!$A:$A, MATCH(35, 輔助計算!$G$2:$G$801, 0)+1), "")), IFERROR(VLOOKUP(LEFT(INDEX(ERP資料!$S:$S, (MATCH(36, 輔助計算!$G$2:$G$801, 0)+1)), 4), 紙管對照表!$A:$C, 3, FALSE), ""), ""), "")</f>
        <v/>
      </c>
      <c r="D37" s="16" t="n"/>
      <c r="E37" s="10">
        <f>IFERROR(IF(INDEX(ERP資料!$H:$H, (MATCH(36, 輔助計算!$G$2:$G$801, 0)+1))="","",INDEX(ERP資料!$H:$H, (MATCH(36, 輔助計算!$G$2:$G$801, 0)+1))), "")</f>
        <v/>
      </c>
      <c r="F37" s="10">
        <f>IFERROR(IF(INDEX(ERP資料!$E:$E, (MATCH(36, 輔助計算!$G$2:$G$801, 0)+1))="","",TRIM(INDEX(ERP資料!$E:$E, (MATCH(36, 輔助計算!$G$2:$G$801, 0)+1)))), "")</f>
        <v/>
      </c>
      <c r="G37" s="10">
        <f>IFERROR(IF(INDEX(ERP資料!$F:$F, (MATCH(36, 輔助計算!$G$2:$G$801, 0)+1))="","",INDEX(ERP資料!$F:$F, (MATCH(36, 輔助計算!$G$2:$G$801, 0)+1))), "")</f>
        <v/>
      </c>
      <c r="H37" s="10">
        <f>IFERROR(IF(INDEX(ERP資料!$G:$G, (MATCH(36, 輔助計算!$G$2:$G$801, 0)+1))="","",INDEX(ERP資料!$G:$G, (MATCH(36, 輔助計算!$G$2:$G$801, 0)+1))), "")</f>
        <v/>
      </c>
      <c r="I37" s="15">
        <f>IFERROR(INDEX(輔助計算!$D:$D, (MATCH(36, 輔助計算!$G$2:$G$801, 0)+1)), "")</f>
        <v/>
      </c>
      <c r="J37" s="15">
        <f>IFERROR(IF(AND(INDEX(輔助計算!$D:$D, (MATCH(36, 輔助計算!$G$2:$G$801, 0)+1))&lt;&gt;"", INDEX(ERP資料!$G:$G, (MATCH(36, 輔助計算!$G$2:$G$801, 0)+1))&lt;&gt;""), TRIM(IF(INT(INDEX(輔助計算!$D:$D, (MATCH(36, 輔助計算!$G$2:$G$801, 0)+1))/IF(INDEX(ERP資料!$G:$G, (MATCH(36, 輔助計算!$G$2:$G$801, 0)+1))&lt;100, IF(INDEX(ERP資料!$G:$G, (MATCH(36, 輔助計算!$G$2:$G$801, 0)+1))&lt;=31,3,IF(INDEX(ERP資料!$G:$G, (MATCH(36, 輔助計算!$G$2:$G$801, 0)+1))&lt;=46.5,2,1)), IF(INDEX(ERP資料!$G:$G, (MATCH(36, 輔助計算!$G$2:$G$801, 0)+1))&lt;=790,3,IF(INDEX(ERP資料!$G:$G, (MATCH(36, 輔助計算!$G$2:$G$801, 0)+1))&lt;=1181,2,1))))&gt;0, IF(IF(INDEX(ERP資料!$G:$G, (MATCH(36, 輔助計算!$G$2:$G$801, 0)+1))&lt;100, IF(INDEX(ERP資料!$G:$G, (MATCH(36, 輔助計算!$G$2:$G$801, 0)+1))&lt;=31,3,IF(INDEX(ERP資料!$G:$G, (MATCH(36, 輔助計算!$G$2:$G$801, 0)+1))&lt;=46.5,2,1)), IF(INDEX(ERP資料!$G:$G, (MATCH(36, 輔助計算!$G$2:$G$801, 0)+1))&lt;=790,3,IF(INDEX(ERP資料!$G:$G, (MATCH(36, 輔助計算!$G$2:$G$801, 0)+1))&lt;=1181,2,1)))=1,TEXT(INDEX(ERP資料!$G:$G, (MATCH(36, 輔助計算!$G$2:$G$801, 0)+1)),"0.##"),IF(IF(INDEX(ERP資料!$G:$G, (MATCH(36, 輔助計算!$G$2:$G$801, 0)+1))&lt;100, IF(INDEX(ERP資料!$G:$G, (MATCH(36, 輔助計算!$G$2:$G$801, 0)+1))&lt;=31,3,IF(INDEX(ERP資料!$G:$G, (MATCH(36, 輔助計算!$G$2:$G$801, 0)+1))&lt;=46.5,2,1)), IF(INDEX(ERP資料!$G:$G, (MATCH(36, 輔助計算!$G$2:$G$801, 0)+1))&lt;=790,3,IF(INDEX(ERP資料!$G:$G, (MATCH(36, 輔助計算!$G$2:$G$801, 0)+1))&lt;=1181,2,1)))=2,TEXT(INDEX(ERP資料!$G:$G, (MATCH(36, 輔助計算!$G$2:$G$801, 0)+1)),"0.##")&amp;"+"&amp;TEXT(INDEX(ERP資料!$G:$G, (MATCH(36, 輔助計算!$G$2:$G$801, 0)+1)),"0.##"),TEXT(INDEX(ERP資料!$G:$G, (MATCH(36, 輔助計算!$G$2:$G$801, 0)+1)),"0.##")&amp;"+"&amp;TEXT(INDEX(ERP資料!$G:$G, (MATCH(36, 輔助計算!$G$2:$G$801, 0)+1)),"0.##")&amp;"+"&amp;TEXT(INDEX(ERP資料!$G:$G, (MATCH(36, 輔助計算!$G$2:$G$801, 0)+1)),"0.##")))&amp;"-"&amp;INT(INDEX(輔助計算!$D:$D, (MATCH(36, 輔助計算!$G$2:$G$801, 0)+1))/IF(INDEX(ERP資料!$G:$G, (MATCH(36, 輔助計算!$G$2:$G$801, 0)+1))&lt;100, IF(INDEX(ERP資料!$G:$G, (MATCH(36, 輔助計算!$G$2:$G$801, 0)+1))&lt;=31,3,IF(INDEX(ERP資料!$G:$G, (MATCH(36, 輔助計算!$G$2:$G$801, 0)+1))&lt;=46.5,2,1)), IF(INDEX(ERP資料!$G:$G, (MATCH(36, 輔助計算!$G$2:$G$801, 0)+1))&lt;=790,3,IF(INDEX(ERP資料!$G:$G, (MATCH(36, 輔助計算!$G$2:$G$801, 0)+1))&lt;=1181,2,1)))), "")&amp;IF(AND(IF(INT(INDEX(輔助計算!$D:$D, (MATCH(36, 輔助計算!$G$2:$G$801, 0)+1))/IF(INDEX(ERP資料!$G:$G, (MATCH(36, 輔助計算!$G$2:$G$801, 0)+1))&lt;100, IF(INDEX(ERP資料!$G:$G, (MATCH(36, 輔助計算!$G$2:$G$801, 0)+1))&lt;=31,3,IF(INDEX(ERP資料!$G:$G, (MATCH(36, 輔助計算!$G$2:$G$801, 0)+1))&lt;=46.5,2,1)), IF(INDEX(ERP資料!$G:$G, (MATCH(36, 輔助計算!$G$2:$G$801, 0)+1))&lt;=790,3,IF(INDEX(ERP資料!$G:$G, (MATCH(36, 輔助計算!$G$2:$G$801, 0)+1))&lt;=1181,2,1))))&gt;0, IF(IF(INDEX(ERP資料!$G:$G, (MATCH(36, 輔助計算!$G$2:$G$801, 0)+1))&lt;100, IF(INDEX(ERP資料!$G:$G, (MATCH(36, 輔助計算!$G$2:$G$801, 0)+1))&lt;=31,3,IF(INDEX(ERP資料!$G:$G, (MATCH(36, 輔助計算!$G$2:$G$801, 0)+1))&lt;=46.5,2,1)), IF(INDEX(ERP資料!$G:$G, (MATCH(36, 輔助計算!$G$2:$G$801, 0)+1))&lt;=790,3,IF(INDEX(ERP資料!$G:$G, (MATCH(36, 輔助計算!$G$2:$G$801, 0)+1))&lt;=1181,2,1)))=1,TEXT(INDEX(ERP資料!$G:$G, (MATCH(36, 輔助計算!$G$2:$G$801, 0)+1)),"0.##"),IF(IF(INDEX(ERP資料!$G:$G, (MATCH(36, 輔助計算!$G$2:$G$801, 0)+1))&lt;100, IF(INDEX(ERP資料!$G:$G, (MATCH(36, 輔助計算!$G$2:$G$801, 0)+1))&lt;=31,3,IF(INDEX(ERP資料!$G:$G, (MATCH(36, 輔助計算!$G$2:$G$801, 0)+1))&lt;=46.5,2,1)), IF(INDEX(ERP資料!$G:$G, (MATCH(36, 輔助計算!$G$2:$G$801, 0)+1))&lt;=790,3,IF(INDEX(ERP資料!$G:$G, (MATCH(36, 輔助計算!$G$2:$G$801, 0)+1))&lt;=1181,2,1)))=2,TEXT(INDEX(ERP資料!$G:$G, (MATCH(36, 輔助計算!$G$2:$G$801, 0)+1)),"0.##")&amp;"+"&amp;TEXT(INDEX(ERP資料!$G:$G, (MATCH(36, 輔助計算!$G$2:$G$801, 0)+1)),"0.##"),TEXT(INDEX(ERP資料!$G:$G, (MATCH(36, 輔助計算!$G$2:$G$801, 0)+1)),"0.##")&amp;"+"&amp;TEXT(INDEX(ERP資料!$G:$G, (MATCH(36, 輔助計算!$G$2:$G$801, 0)+1)),"0.##")&amp;"+"&amp;TEXT(INDEX(ERP資料!$G:$G, (MATCH(36, 輔助計算!$G$2:$G$801, 0)+1)),"0.##")))&amp;"-"&amp;INT(INDEX(輔助計算!$D:$D, (MATCH(36, 輔助計算!$G$2:$G$801, 0)+1))/IF(INDEX(ERP資料!$G:$G, (MATCH(36, 輔助計算!$G$2:$G$801, 0)+1))&lt;100, IF(INDEX(ERP資料!$G:$G, (MATCH(36, 輔助計算!$G$2:$G$801, 0)+1))&lt;=31,3,IF(INDEX(ERP資料!$G:$G, (MATCH(36, 輔助計算!$G$2:$G$801, 0)+1))&lt;=46.5,2,1)), IF(INDEX(ERP資料!$G:$G, (MATCH(36, 輔助計算!$G$2:$G$801, 0)+1))&lt;=790,3,IF(INDEX(ERP資料!$G:$G, (MATCH(36, 輔助計算!$G$2:$G$801, 0)+1))&lt;=1181,2,1)))), "")&lt;&gt;"",IF(MOD(INDEX(輔助計算!$D:$D, (MATCH(36, 輔助計算!$G$2:$G$801, 0)+1)),IF(INDEX(ERP資料!$G:$G, (MATCH(36, 輔助計算!$G$2:$G$801, 0)+1))&lt;100, IF(INDEX(ERP資料!$G:$G, (MATCH(36, 輔助計算!$G$2:$G$801, 0)+1))&lt;=31,3,IF(INDEX(ERP資料!$G:$G, (MATCH(36, 輔助計算!$G$2:$G$801, 0)+1))&lt;=46.5,2,1)), IF(INDEX(ERP資料!$G:$G, (MATCH(36, 輔助計算!$G$2:$G$801, 0)+1))&lt;=790,3,IF(INDEX(ERP資料!$G:$G, (MATCH(36, 輔助計算!$G$2:$G$801, 0)+1))&lt;=1181,2,1))))=0,"",IF(MOD(INDEX(輔助計算!$D:$D, (MATCH(36, 輔助計算!$G$2:$G$801, 0)+1)),IF(INDEX(ERP資料!$G:$G, (MATCH(36, 輔助計算!$G$2:$G$801, 0)+1))&lt;100, IF(INDEX(ERP資料!$G:$G, (MATCH(36, 輔助計算!$G$2:$G$801, 0)+1))&lt;=31,3,IF(INDEX(ERP資料!$G:$G, (MATCH(36, 輔助計算!$G$2:$G$801, 0)+1))&lt;=46.5,2,1)), IF(INDEX(ERP資料!$G:$G, (MATCH(36, 輔助計算!$G$2:$G$801, 0)+1))&lt;=790,3,IF(INDEX(ERP資料!$G:$G, (MATCH(36, 輔助計算!$G$2:$G$801, 0)+1))&lt;=1181,2,1))))=0,"",IF(MOD(INDEX(輔助計算!$D:$D, (MATCH(36, 輔助計算!$G$2:$G$801, 0)+1)),IF(INDEX(ERP資料!$G:$G, (MATCH(36, 輔助計算!$G$2:$G$801, 0)+1))&lt;100, IF(INDEX(ERP資料!$G:$G, (MATCH(36, 輔助計算!$G$2:$G$801, 0)+1))&lt;=31,3,IF(INDEX(ERP資料!$G:$G, (MATCH(36, 輔助計算!$G$2:$G$801, 0)+1))&lt;=46.5,2,1)), IF(INDEX(ERP資料!$G:$G, (MATCH(36, 輔助計算!$G$2:$G$801, 0)+1))&lt;=790,3,IF(INDEX(ERP資料!$G:$G, (MATCH(36, 輔助計算!$G$2:$G$801, 0)+1))&lt;=1181,2,1))))=1,TEXT(INDEX(ERP資料!$G:$G, (MATCH(36, 輔助計算!$G$2:$G$801, 0)+1)),"0.##"),IF(MOD(INDEX(輔助計算!$D:$D, (MATCH(36, 輔助計算!$G$2:$G$801, 0)+1)),IF(INDEX(ERP資料!$G:$G, (MATCH(36, 輔助計算!$G$2:$G$801, 0)+1))&lt;100, IF(INDEX(ERP資料!$G:$G, (MATCH(36, 輔助計算!$G$2:$G$801, 0)+1))&lt;=31,3,IF(INDEX(ERP資料!$G:$G, (MATCH(36, 輔助計算!$G$2:$G$801, 0)+1))&lt;=46.5,2,1)), IF(INDEX(ERP資料!$G:$G, (MATCH(36, 輔助計算!$G$2:$G$801, 0)+1))&lt;=790,3,IF(INDEX(ERP資料!$G:$G, (MATCH(36, 輔助計算!$G$2:$G$801, 0)+1))&lt;=1181,2,1))))=2,TEXT(INDEX(ERP資料!$G:$G, (MATCH(36, 輔助計算!$G$2:$G$801, 0)+1)),"0.##")&amp;"+"&amp;TEXT(INDEX(ERP資料!$G:$G, (MATCH(36, 輔助計算!$G$2:$G$801, 0)+1)),"0.##"),TEXT(INDEX(ERP資料!$G:$G, (MATCH(36, 輔助計算!$G$2:$G$801, 0)+1)),"0.##")&amp;"+"&amp;TEXT(INDEX(ERP資料!$G:$G, (MATCH(36, 輔助計算!$G$2:$G$801, 0)+1)),"0.##")&amp;"+"&amp;TEXT(INDEX(ERP資料!$G:$G, (MATCH(36, 輔助計算!$G$2:$G$801, 0)+1)),"0.##"))))&amp;"-1")&lt;&gt;""),"  ","")&amp;IF(MOD(INDEX(輔助計算!$D:$D, (MATCH(36, 輔助計算!$G$2:$G$801, 0)+1)),IF(INDEX(ERP資料!$G:$G, (MATCH(36, 輔助計算!$G$2:$G$801, 0)+1))&lt;100, IF(INDEX(ERP資料!$G:$G, (MATCH(36, 輔助計算!$G$2:$G$801, 0)+1))&lt;=31,3,IF(INDEX(ERP資料!$G:$G, (MATCH(36, 輔助計算!$G$2:$G$801, 0)+1))&lt;=46.5,2,1)), IF(INDEX(ERP資料!$G:$G, (MATCH(36, 輔助計算!$G$2:$G$801, 0)+1))&lt;=790,3,IF(INDEX(ERP資料!$G:$G, (MATCH(36, 輔助計算!$G$2:$G$801, 0)+1))&lt;=1181,2,1))))=0,"",IF(MOD(INDEX(輔助計算!$D:$D, (MATCH(36, 輔助計算!$G$2:$G$801, 0)+1)),IF(INDEX(ERP資料!$G:$G, (MATCH(36, 輔助計算!$G$2:$G$801, 0)+1))&lt;100, IF(INDEX(ERP資料!$G:$G, (MATCH(36, 輔助計算!$G$2:$G$801, 0)+1))&lt;=31,3,IF(INDEX(ERP資料!$G:$G, (MATCH(36, 輔助計算!$G$2:$G$801, 0)+1))&lt;=46.5,2,1)), IF(INDEX(ERP資料!$G:$G, (MATCH(36, 輔助計算!$G$2:$G$801, 0)+1))&lt;=790,3,IF(INDEX(ERP資料!$G:$G, (MATCH(36, 輔助計算!$G$2:$G$801, 0)+1))&lt;=1181,2,1))))=0,"",IF(MOD(INDEX(輔助計算!$D:$D, (MATCH(36, 輔助計算!$G$2:$G$801, 0)+1)),IF(INDEX(ERP資料!$G:$G, (MATCH(36, 輔助計算!$G$2:$G$801, 0)+1))&lt;100, IF(INDEX(ERP資料!$G:$G, (MATCH(36, 輔助計算!$G$2:$G$801, 0)+1))&lt;=31,3,IF(INDEX(ERP資料!$G:$G, (MATCH(36, 輔助計算!$G$2:$G$801, 0)+1))&lt;=46.5,2,1)), IF(INDEX(ERP資料!$G:$G, (MATCH(36, 輔助計算!$G$2:$G$801, 0)+1))&lt;=790,3,IF(INDEX(ERP資料!$G:$G, (MATCH(36, 輔助計算!$G$2:$G$801, 0)+1))&lt;=1181,2,1))))=1,TEXT(INDEX(ERP資料!$G:$G, (MATCH(36, 輔助計算!$G$2:$G$801, 0)+1)),"0.##"),IF(MOD(INDEX(輔助計算!$D:$D, (MATCH(36, 輔助計算!$G$2:$G$801, 0)+1)),IF(INDEX(ERP資料!$G:$G, (MATCH(36, 輔助計算!$G$2:$G$801, 0)+1))&lt;100, IF(INDEX(ERP資料!$G:$G, (MATCH(36, 輔助計算!$G$2:$G$801, 0)+1))&lt;=31,3,IF(INDEX(ERP資料!$G:$G, (MATCH(36, 輔助計算!$G$2:$G$801, 0)+1))&lt;=46.5,2,1)), IF(INDEX(ERP資料!$G:$G, (MATCH(36, 輔助計算!$G$2:$G$801, 0)+1))&lt;=790,3,IF(INDEX(ERP資料!$G:$G, (MATCH(36, 輔助計算!$G$2:$G$801, 0)+1))&lt;=1181,2,1))))=2,TEXT(INDEX(ERP資料!$G:$G, (MATCH(36, 輔助計算!$G$2:$G$801, 0)+1)),"0.##")&amp;"+"&amp;TEXT(INDEX(ERP資料!$G:$G, (MATCH(36, 輔助計算!$G$2:$G$801, 0)+1)),"0.##"),TEXT(INDEX(ERP資料!$G:$G, (MATCH(36, 輔助計算!$G$2:$G$801, 0)+1)),"0.##")&amp;"+"&amp;TEXT(INDEX(ERP資料!$G:$G, (MATCH(36, 輔助計算!$G$2:$G$801, 0)+1)),"0.##")&amp;"+"&amp;TEXT(INDEX(ERP資料!$G:$G, (MATCH(36, 輔助計算!$G$2:$G$801, 0)+1)),"0.##"))))&amp;"-1")), ""), "")</f>
        <v/>
      </c>
      <c r="K37" s="16" t="n"/>
      <c r="L37" s="14">
        <f>IFERROR(IF(AND(IFERROR(INDEX(ERP資料!$A:$A, (MATCH(36, 輔助計算!$G$2:$G$801, 0)+1)), "")&lt;&gt;"", IFERROR(INDEX(ERP資料!$A:$A, (MATCH(36, 輔助計算!$G$2:$G$801, 0)+1)), "")&lt;&gt;IFERROR(INDEX(ERP資料!$A:$A, MATCH(35, 輔助計算!$G$2:$G$801, 0)+1), "")), INDEX(ERP資料!$B:$B, (MATCH(36, 輔助計算!$G$2:$G$801, 0)+1)), ""), "")</f>
        <v/>
      </c>
      <c r="M37" s="17" t="n"/>
    </row>
    <row r="38">
      <c r="A38" s="10">
        <f>IFERROR(IF(AND(IFERROR(INDEX(ERP資料!$A:$A, (MATCH(37, 輔助計算!$G$2:$G$801, 0)+1)), "")&lt;&gt;"", IFERROR(INDEX(ERP資料!$A:$A, (MATCH(37, 輔助計算!$G$2:$G$801, 0)+1)), "")&lt;&gt;IFERROR(INDEX(ERP資料!$A:$A, MATCH(36, 輔助計算!$G$2:$G$801, 0)+1), "")), IFERROR(INDEX(ERP資料!$A:$A, (MATCH(37, 輔助計算!$G$2:$G$801, 0)+1)), ""), ""), "")</f>
        <v/>
      </c>
      <c r="B38" s="10">
        <f>IFERROR(IF(AND(IFERROR(INDEX(ERP資料!$A:$A, (MATCH(37, 輔助計算!$G$2:$G$801, 0)+1)), "")&lt;&gt;"", IFERROR(INDEX(ERP資料!$A:$A, (MATCH(37, 輔助計算!$G$2:$G$801, 0)+1)), "")&lt;&gt;IFERROR(INDEX(ERP資料!$A:$A, MATCH(36, 輔助計算!$G$2:$G$801, 0)+1), "")), INDEX(ERP資料!$S:$S, (MATCH(37, 輔助計算!$G$2:$G$801, 0)+1)), ""), "")</f>
        <v/>
      </c>
      <c r="C38" s="19">
        <f>IFERROR(IF(AND(IFERROR(INDEX(ERP資料!$A:$A, (MATCH(37, 輔助計算!$G$2:$G$801, 0)+1)), "")&lt;&gt;"", IFERROR(INDEX(ERP資料!$A:$A, (MATCH(37, 輔助計算!$G$2:$G$801, 0)+1)), "")&lt;&gt;IFERROR(INDEX(ERP資料!$A:$A, MATCH(36, 輔助計算!$G$2:$G$801, 0)+1), "")), IFERROR(VLOOKUP(LEFT(INDEX(ERP資料!$S:$S, (MATCH(37, 輔助計算!$G$2:$G$801, 0)+1)), 4), 紙管對照表!$A:$C, 3, FALSE), ""), ""), "")</f>
        <v/>
      </c>
      <c r="D38" s="16" t="n"/>
      <c r="E38" s="10">
        <f>IFERROR(IF(INDEX(ERP資料!$H:$H, (MATCH(37, 輔助計算!$G$2:$G$801, 0)+1))="","",INDEX(ERP資料!$H:$H, (MATCH(37, 輔助計算!$G$2:$G$801, 0)+1))), "")</f>
        <v/>
      </c>
      <c r="F38" s="10">
        <f>IFERROR(IF(INDEX(ERP資料!$E:$E, (MATCH(37, 輔助計算!$G$2:$G$801, 0)+1))="","",TRIM(INDEX(ERP資料!$E:$E, (MATCH(37, 輔助計算!$G$2:$G$801, 0)+1)))), "")</f>
        <v/>
      </c>
      <c r="G38" s="10">
        <f>IFERROR(IF(INDEX(ERP資料!$F:$F, (MATCH(37, 輔助計算!$G$2:$G$801, 0)+1))="","",INDEX(ERP資料!$F:$F, (MATCH(37, 輔助計算!$G$2:$G$801, 0)+1))), "")</f>
        <v/>
      </c>
      <c r="H38" s="10">
        <f>IFERROR(IF(INDEX(ERP資料!$G:$G, (MATCH(37, 輔助計算!$G$2:$G$801, 0)+1))="","",INDEX(ERP資料!$G:$G, (MATCH(37, 輔助計算!$G$2:$G$801, 0)+1))), "")</f>
        <v/>
      </c>
      <c r="I38" s="15">
        <f>IFERROR(INDEX(輔助計算!$D:$D, (MATCH(37, 輔助計算!$G$2:$G$801, 0)+1)), "")</f>
        <v/>
      </c>
      <c r="J38" s="15">
        <f>IFERROR(IF(AND(INDEX(輔助計算!$D:$D, (MATCH(37, 輔助計算!$G$2:$G$801, 0)+1))&lt;&gt;"", INDEX(ERP資料!$G:$G, (MATCH(37, 輔助計算!$G$2:$G$801, 0)+1))&lt;&gt;""), TRIM(IF(INT(INDEX(輔助計算!$D:$D, (MATCH(37, 輔助計算!$G$2:$G$801, 0)+1))/IF(INDEX(ERP資料!$G:$G, (MATCH(37, 輔助計算!$G$2:$G$801, 0)+1))&lt;100, IF(INDEX(ERP資料!$G:$G, (MATCH(37, 輔助計算!$G$2:$G$801, 0)+1))&lt;=31,3,IF(INDEX(ERP資料!$G:$G, (MATCH(37, 輔助計算!$G$2:$G$801, 0)+1))&lt;=46.5,2,1)), IF(INDEX(ERP資料!$G:$G, (MATCH(37, 輔助計算!$G$2:$G$801, 0)+1))&lt;=790,3,IF(INDEX(ERP資料!$G:$G, (MATCH(37, 輔助計算!$G$2:$G$801, 0)+1))&lt;=1181,2,1))))&gt;0, IF(IF(INDEX(ERP資料!$G:$G, (MATCH(37, 輔助計算!$G$2:$G$801, 0)+1))&lt;100, IF(INDEX(ERP資料!$G:$G, (MATCH(37, 輔助計算!$G$2:$G$801, 0)+1))&lt;=31,3,IF(INDEX(ERP資料!$G:$G, (MATCH(37, 輔助計算!$G$2:$G$801, 0)+1))&lt;=46.5,2,1)), IF(INDEX(ERP資料!$G:$G, (MATCH(37, 輔助計算!$G$2:$G$801, 0)+1))&lt;=790,3,IF(INDEX(ERP資料!$G:$G, (MATCH(37, 輔助計算!$G$2:$G$801, 0)+1))&lt;=1181,2,1)))=1,TEXT(INDEX(ERP資料!$G:$G, (MATCH(37, 輔助計算!$G$2:$G$801, 0)+1)),"0.##"),IF(IF(INDEX(ERP資料!$G:$G, (MATCH(37, 輔助計算!$G$2:$G$801, 0)+1))&lt;100, IF(INDEX(ERP資料!$G:$G, (MATCH(37, 輔助計算!$G$2:$G$801, 0)+1))&lt;=31,3,IF(INDEX(ERP資料!$G:$G, (MATCH(37, 輔助計算!$G$2:$G$801, 0)+1))&lt;=46.5,2,1)), IF(INDEX(ERP資料!$G:$G, (MATCH(37, 輔助計算!$G$2:$G$801, 0)+1))&lt;=790,3,IF(INDEX(ERP資料!$G:$G, (MATCH(37, 輔助計算!$G$2:$G$801, 0)+1))&lt;=1181,2,1)))=2,TEXT(INDEX(ERP資料!$G:$G, (MATCH(37, 輔助計算!$G$2:$G$801, 0)+1)),"0.##")&amp;"+"&amp;TEXT(INDEX(ERP資料!$G:$G, (MATCH(37, 輔助計算!$G$2:$G$801, 0)+1)),"0.##"),TEXT(INDEX(ERP資料!$G:$G, (MATCH(37, 輔助計算!$G$2:$G$801, 0)+1)),"0.##")&amp;"+"&amp;TEXT(INDEX(ERP資料!$G:$G, (MATCH(37, 輔助計算!$G$2:$G$801, 0)+1)),"0.##")&amp;"+"&amp;TEXT(INDEX(ERP資料!$G:$G, (MATCH(37, 輔助計算!$G$2:$G$801, 0)+1)),"0.##")))&amp;"-"&amp;INT(INDEX(輔助計算!$D:$D, (MATCH(37, 輔助計算!$G$2:$G$801, 0)+1))/IF(INDEX(ERP資料!$G:$G, (MATCH(37, 輔助計算!$G$2:$G$801, 0)+1))&lt;100, IF(INDEX(ERP資料!$G:$G, (MATCH(37, 輔助計算!$G$2:$G$801, 0)+1))&lt;=31,3,IF(INDEX(ERP資料!$G:$G, (MATCH(37, 輔助計算!$G$2:$G$801, 0)+1))&lt;=46.5,2,1)), IF(INDEX(ERP資料!$G:$G, (MATCH(37, 輔助計算!$G$2:$G$801, 0)+1))&lt;=790,3,IF(INDEX(ERP資料!$G:$G, (MATCH(37, 輔助計算!$G$2:$G$801, 0)+1))&lt;=1181,2,1)))), "")&amp;IF(AND(IF(INT(INDEX(輔助計算!$D:$D, (MATCH(37, 輔助計算!$G$2:$G$801, 0)+1))/IF(INDEX(ERP資料!$G:$G, (MATCH(37, 輔助計算!$G$2:$G$801, 0)+1))&lt;100, IF(INDEX(ERP資料!$G:$G, (MATCH(37, 輔助計算!$G$2:$G$801, 0)+1))&lt;=31,3,IF(INDEX(ERP資料!$G:$G, (MATCH(37, 輔助計算!$G$2:$G$801, 0)+1))&lt;=46.5,2,1)), IF(INDEX(ERP資料!$G:$G, (MATCH(37, 輔助計算!$G$2:$G$801, 0)+1))&lt;=790,3,IF(INDEX(ERP資料!$G:$G, (MATCH(37, 輔助計算!$G$2:$G$801, 0)+1))&lt;=1181,2,1))))&gt;0, IF(IF(INDEX(ERP資料!$G:$G, (MATCH(37, 輔助計算!$G$2:$G$801, 0)+1))&lt;100, IF(INDEX(ERP資料!$G:$G, (MATCH(37, 輔助計算!$G$2:$G$801, 0)+1))&lt;=31,3,IF(INDEX(ERP資料!$G:$G, (MATCH(37, 輔助計算!$G$2:$G$801, 0)+1))&lt;=46.5,2,1)), IF(INDEX(ERP資料!$G:$G, (MATCH(37, 輔助計算!$G$2:$G$801, 0)+1))&lt;=790,3,IF(INDEX(ERP資料!$G:$G, (MATCH(37, 輔助計算!$G$2:$G$801, 0)+1))&lt;=1181,2,1)))=1,TEXT(INDEX(ERP資料!$G:$G, (MATCH(37, 輔助計算!$G$2:$G$801, 0)+1)),"0.##"),IF(IF(INDEX(ERP資料!$G:$G, (MATCH(37, 輔助計算!$G$2:$G$801, 0)+1))&lt;100, IF(INDEX(ERP資料!$G:$G, (MATCH(37, 輔助計算!$G$2:$G$801, 0)+1))&lt;=31,3,IF(INDEX(ERP資料!$G:$G, (MATCH(37, 輔助計算!$G$2:$G$801, 0)+1))&lt;=46.5,2,1)), IF(INDEX(ERP資料!$G:$G, (MATCH(37, 輔助計算!$G$2:$G$801, 0)+1))&lt;=790,3,IF(INDEX(ERP資料!$G:$G, (MATCH(37, 輔助計算!$G$2:$G$801, 0)+1))&lt;=1181,2,1)))=2,TEXT(INDEX(ERP資料!$G:$G, (MATCH(37, 輔助計算!$G$2:$G$801, 0)+1)),"0.##")&amp;"+"&amp;TEXT(INDEX(ERP資料!$G:$G, (MATCH(37, 輔助計算!$G$2:$G$801, 0)+1)),"0.##"),TEXT(INDEX(ERP資料!$G:$G, (MATCH(37, 輔助計算!$G$2:$G$801, 0)+1)),"0.##")&amp;"+"&amp;TEXT(INDEX(ERP資料!$G:$G, (MATCH(37, 輔助計算!$G$2:$G$801, 0)+1)),"0.##")&amp;"+"&amp;TEXT(INDEX(ERP資料!$G:$G, (MATCH(37, 輔助計算!$G$2:$G$801, 0)+1)),"0.##")))&amp;"-"&amp;INT(INDEX(輔助計算!$D:$D, (MATCH(37, 輔助計算!$G$2:$G$801, 0)+1))/IF(INDEX(ERP資料!$G:$G, (MATCH(37, 輔助計算!$G$2:$G$801, 0)+1))&lt;100, IF(INDEX(ERP資料!$G:$G, (MATCH(37, 輔助計算!$G$2:$G$801, 0)+1))&lt;=31,3,IF(INDEX(ERP資料!$G:$G, (MATCH(37, 輔助計算!$G$2:$G$801, 0)+1))&lt;=46.5,2,1)), IF(INDEX(ERP資料!$G:$G, (MATCH(37, 輔助計算!$G$2:$G$801, 0)+1))&lt;=790,3,IF(INDEX(ERP資料!$G:$G, (MATCH(37, 輔助計算!$G$2:$G$801, 0)+1))&lt;=1181,2,1)))), "")&lt;&gt;"",IF(MOD(INDEX(輔助計算!$D:$D, (MATCH(37, 輔助計算!$G$2:$G$801, 0)+1)),IF(INDEX(ERP資料!$G:$G, (MATCH(37, 輔助計算!$G$2:$G$801, 0)+1))&lt;100, IF(INDEX(ERP資料!$G:$G, (MATCH(37, 輔助計算!$G$2:$G$801, 0)+1))&lt;=31,3,IF(INDEX(ERP資料!$G:$G, (MATCH(37, 輔助計算!$G$2:$G$801, 0)+1))&lt;=46.5,2,1)), IF(INDEX(ERP資料!$G:$G, (MATCH(37, 輔助計算!$G$2:$G$801, 0)+1))&lt;=790,3,IF(INDEX(ERP資料!$G:$G, (MATCH(37, 輔助計算!$G$2:$G$801, 0)+1))&lt;=1181,2,1))))=0,"",IF(MOD(INDEX(輔助計算!$D:$D, (MATCH(37, 輔助計算!$G$2:$G$801, 0)+1)),IF(INDEX(ERP資料!$G:$G, (MATCH(37, 輔助計算!$G$2:$G$801, 0)+1))&lt;100, IF(INDEX(ERP資料!$G:$G, (MATCH(37, 輔助計算!$G$2:$G$801, 0)+1))&lt;=31,3,IF(INDEX(ERP資料!$G:$G, (MATCH(37, 輔助計算!$G$2:$G$801, 0)+1))&lt;=46.5,2,1)), IF(INDEX(ERP資料!$G:$G, (MATCH(37, 輔助計算!$G$2:$G$801, 0)+1))&lt;=790,3,IF(INDEX(ERP資料!$G:$G, (MATCH(37, 輔助計算!$G$2:$G$801, 0)+1))&lt;=1181,2,1))))=0,"",IF(MOD(INDEX(輔助計算!$D:$D, (MATCH(37, 輔助計算!$G$2:$G$801, 0)+1)),IF(INDEX(ERP資料!$G:$G, (MATCH(37, 輔助計算!$G$2:$G$801, 0)+1))&lt;100, IF(INDEX(ERP資料!$G:$G, (MATCH(37, 輔助計算!$G$2:$G$801, 0)+1))&lt;=31,3,IF(INDEX(ERP資料!$G:$G, (MATCH(37, 輔助計算!$G$2:$G$801, 0)+1))&lt;=46.5,2,1)), IF(INDEX(ERP資料!$G:$G, (MATCH(37, 輔助計算!$G$2:$G$801, 0)+1))&lt;=790,3,IF(INDEX(ERP資料!$G:$G, (MATCH(37, 輔助計算!$G$2:$G$801, 0)+1))&lt;=1181,2,1))))=1,TEXT(INDEX(ERP資料!$G:$G, (MATCH(37, 輔助計算!$G$2:$G$801, 0)+1)),"0.##"),IF(MOD(INDEX(輔助計算!$D:$D, (MATCH(37, 輔助計算!$G$2:$G$801, 0)+1)),IF(INDEX(ERP資料!$G:$G, (MATCH(37, 輔助計算!$G$2:$G$801, 0)+1))&lt;100, IF(INDEX(ERP資料!$G:$G, (MATCH(37, 輔助計算!$G$2:$G$801, 0)+1))&lt;=31,3,IF(INDEX(ERP資料!$G:$G, (MATCH(37, 輔助計算!$G$2:$G$801, 0)+1))&lt;=46.5,2,1)), IF(INDEX(ERP資料!$G:$G, (MATCH(37, 輔助計算!$G$2:$G$801, 0)+1))&lt;=790,3,IF(INDEX(ERP資料!$G:$G, (MATCH(37, 輔助計算!$G$2:$G$801, 0)+1))&lt;=1181,2,1))))=2,TEXT(INDEX(ERP資料!$G:$G, (MATCH(37, 輔助計算!$G$2:$G$801, 0)+1)),"0.##")&amp;"+"&amp;TEXT(INDEX(ERP資料!$G:$G, (MATCH(37, 輔助計算!$G$2:$G$801, 0)+1)),"0.##"),TEXT(INDEX(ERP資料!$G:$G, (MATCH(37, 輔助計算!$G$2:$G$801, 0)+1)),"0.##")&amp;"+"&amp;TEXT(INDEX(ERP資料!$G:$G, (MATCH(37, 輔助計算!$G$2:$G$801, 0)+1)),"0.##")&amp;"+"&amp;TEXT(INDEX(ERP資料!$G:$G, (MATCH(37, 輔助計算!$G$2:$G$801, 0)+1)),"0.##"))))&amp;"-1")&lt;&gt;""),"  ","")&amp;IF(MOD(INDEX(輔助計算!$D:$D, (MATCH(37, 輔助計算!$G$2:$G$801, 0)+1)),IF(INDEX(ERP資料!$G:$G, (MATCH(37, 輔助計算!$G$2:$G$801, 0)+1))&lt;100, IF(INDEX(ERP資料!$G:$G, (MATCH(37, 輔助計算!$G$2:$G$801, 0)+1))&lt;=31,3,IF(INDEX(ERP資料!$G:$G, (MATCH(37, 輔助計算!$G$2:$G$801, 0)+1))&lt;=46.5,2,1)), IF(INDEX(ERP資料!$G:$G, (MATCH(37, 輔助計算!$G$2:$G$801, 0)+1))&lt;=790,3,IF(INDEX(ERP資料!$G:$G, (MATCH(37, 輔助計算!$G$2:$G$801, 0)+1))&lt;=1181,2,1))))=0,"",IF(MOD(INDEX(輔助計算!$D:$D, (MATCH(37, 輔助計算!$G$2:$G$801, 0)+1)),IF(INDEX(ERP資料!$G:$G, (MATCH(37, 輔助計算!$G$2:$G$801, 0)+1))&lt;100, IF(INDEX(ERP資料!$G:$G, (MATCH(37, 輔助計算!$G$2:$G$801, 0)+1))&lt;=31,3,IF(INDEX(ERP資料!$G:$G, (MATCH(37, 輔助計算!$G$2:$G$801, 0)+1))&lt;=46.5,2,1)), IF(INDEX(ERP資料!$G:$G, (MATCH(37, 輔助計算!$G$2:$G$801, 0)+1))&lt;=790,3,IF(INDEX(ERP資料!$G:$G, (MATCH(37, 輔助計算!$G$2:$G$801, 0)+1))&lt;=1181,2,1))))=0,"",IF(MOD(INDEX(輔助計算!$D:$D, (MATCH(37, 輔助計算!$G$2:$G$801, 0)+1)),IF(INDEX(ERP資料!$G:$G, (MATCH(37, 輔助計算!$G$2:$G$801, 0)+1))&lt;100, IF(INDEX(ERP資料!$G:$G, (MATCH(37, 輔助計算!$G$2:$G$801, 0)+1))&lt;=31,3,IF(INDEX(ERP資料!$G:$G, (MATCH(37, 輔助計算!$G$2:$G$801, 0)+1))&lt;=46.5,2,1)), IF(INDEX(ERP資料!$G:$G, (MATCH(37, 輔助計算!$G$2:$G$801, 0)+1))&lt;=790,3,IF(INDEX(ERP資料!$G:$G, (MATCH(37, 輔助計算!$G$2:$G$801, 0)+1))&lt;=1181,2,1))))=1,TEXT(INDEX(ERP資料!$G:$G, (MATCH(37, 輔助計算!$G$2:$G$801, 0)+1)),"0.##"),IF(MOD(INDEX(輔助計算!$D:$D, (MATCH(37, 輔助計算!$G$2:$G$801, 0)+1)),IF(INDEX(ERP資料!$G:$G, (MATCH(37, 輔助計算!$G$2:$G$801, 0)+1))&lt;100, IF(INDEX(ERP資料!$G:$G, (MATCH(37, 輔助計算!$G$2:$G$801, 0)+1))&lt;=31,3,IF(INDEX(ERP資料!$G:$G, (MATCH(37, 輔助計算!$G$2:$G$801, 0)+1))&lt;=46.5,2,1)), IF(INDEX(ERP資料!$G:$G, (MATCH(37, 輔助計算!$G$2:$G$801, 0)+1))&lt;=790,3,IF(INDEX(ERP資料!$G:$G, (MATCH(37, 輔助計算!$G$2:$G$801, 0)+1))&lt;=1181,2,1))))=2,TEXT(INDEX(ERP資料!$G:$G, (MATCH(37, 輔助計算!$G$2:$G$801, 0)+1)),"0.##")&amp;"+"&amp;TEXT(INDEX(ERP資料!$G:$G, (MATCH(37, 輔助計算!$G$2:$G$801, 0)+1)),"0.##"),TEXT(INDEX(ERP資料!$G:$G, (MATCH(37, 輔助計算!$G$2:$G$801, 0)+1)),"0.##")&amp;"+"&amp;TEXT(INDEX(ERP資料!$G:$G, (MATCH(37, 輔助計算!$G$2:$G$801, 0)+1)),"0.##")&amp;"+"&amp;TEXT(INDEX(ERP資料!$G:$G, (MATCH(37, 輔助計算!$G$2:$G$801, 0)+1)),"0.##"))))&amp;"-1")), ""), "")</f>
        <v/>
      </c>
      <c r="K38" s="16" t="n"/>
      <c r="L38" s="14">
        <f>IFERROR(IF(AND(IFERROR(INDEX(ERP資料!$A:$A, (MATCH(37, 輔助計算!$G$2:$G$801, 0)+1)), "")&lt;&gt;"", IFERROR(INDEX(ERP資料!$A:$A, (MATCH(37, 輔助計算!$G$2:$G$801, 0)+1)), "")&lt;&gt;IFERROR(INDEX(ERP資料!$A:$A, MATCH(36, 輔助計算!$G$2:$G$801, 0)+1), "")), INDEX(ERP資料!$B:$B, (MATCH(37, 輔助計算!$G$2:$G$801, 0)+1)), ""), "")</f>
        <v/>
      </c>
      <c r="M38" s="17" t="n"/>
    </row>
    <row r="39">
      <c r="A39" s="10">
        <f>IFERROR(IF(AND(IFERROR(INDEX(ERP資料!$A:$A, (MATCH(38, 輔助計算!$G$2:$G$801, 0)+1)), "")&lt;&gt;"", IFERROR(INDEX(ERP資料!$A:$A, (MATCH(38, 輔助計算!$G$2:$G$801, 0)+1)), "")&lt;&gt;IFERROR(INDEX(ERP資料!$A:$A, MATCH(37, 輔助計算!$G$2:$G$801, 0)+1), "")), IFERROR(INDEX(ERP資料!$A:$A, (MATCH(38, 輔助計算!$G$2:$G$801, 0)+1)), ""), ""), "")</f>
        <v/>
      </c>
      <c r="B39" s="10">
        <f>IFERROR(IF(AND(IFERROR(INDEX(ERP資料!$A:$A, (MATCH(38, 輔助計算!$G$2:$G$801, 0)+1)), "")&lt;&gt;"", IFERROR(INDEX(ERP資料!$A:$A, (MATCH(38, 輔助計算!$G$2:$G$801, 0)+1)), "")&lt;&gt;IFERROR(INDEX(ERP資料!$A:$A, MATCH(37, 輔助計算!$G$2:$G$801, 0)+1), "")), INDEX(ERP資料!$S:$S, (MATCH(38, 輔助計算!$G$2:$G$801, 0)+1)), ""), "")</f>
        <v/>
      </c>
      <c r="C39" s="19">
        <f>IFERROR(IF(AND(IFERROR(INDEX(ERP資料!$A:$A, (MATCH(38, 輔助計算!$G$2:$G$801, 0)+1)), "")&lt;&gt;"", IFERROR(INDEX(ERP資料!$A:$A, (MATCH(38, 輔助計算!$G$2:$G$801, 0)+1)), "")&lt;&gt;IFERROR(INDEX(ERP資料!$A:$A, MATCH(37, 輔助計算!$G$2:$G$801, 0)+1), "")), IFERROR(VLOOKUP(LEFT(INDEX(ERP資料!$S:$S, (MATCH(38, 輔助計算!$G$2:$G$801, 0)+1)), 4), 紙管對照表!$A:$C, 3, FALSE), ""), ""), "")</f>
        <v/>
      </c>
      <c r="D39" s="16" t="n"/>
      <c r="E39" s="10">
        <f>IFERROR(IF(INDEX(ERP資料!$H:$H, (MATCH(38, 輔助計算!$G$2:$G$801, 0)+1))="","",INDEX(ERP資料!$H:$H, (MATCH(38, 輔助計算!$G$2:$G$801, 0)+1))), "")</f>
        <v/>
      </c>
      <c r="F39" s="10">
        <f>IFERROR(IF(INDEX(ERP資料!$E:$E, (MATCH(38, 輔助計算!$G$2:$G$801, 0)+1))="","",TRIM(INDEX(ERP資料!$E:$E, (MATCH(38, 輔助計算!$G$2:$G$801, 0)+1)))), "")</f>
        <v/>
      </c>
      <c r="G39" s="10">
        <f>IFERROR(IF(INDEX(ERP資料!$F:$F, (MATCH(38, 輔助計算!$G$2:$G$801, 0)+1))="","",INDEX(ERP資料!$F:$F, (MATCH(38, 輔助計算!$G$2:$G$801, 0)+1))), "")</f>
        <v/>
      </c>
      <c r="H39" s="10">
        <f>IFERROR(IF(INDEX(ERP資料!$G:$G, (MATCH(38, 輔助計算!$G$2:$G$801, 0)+1))="","",INDEX(ERP資料!$G:$G, (MATCH(38, 輔助計算!$G$2:$G$801, 0)+1))), "")</f>
        <v/>
      </c>
      <c r="I39" s="15">
        <f>IFERROR(INDEX(輔助計算!$D:$D, (MATCH(38, 輔助計算!$G$2:$G$801, 0)+1)), "")</f>
        <v/>
      </c>
      <c r="J39" s="15">
        <f>IFERROR(IF(AND(INDEX(輔助計算!$D:$D, (MATCH(38, 輔助計算!$G$2:$G$801, 0)+1))&lt;&gt;"", INDEX(ERP資料!$G:$G, (MATCH(38, 輔助計算!$G$2:$G$801, 0)+1))&lt;&gt;""), TRIM(IF(INT(INDEX(輔助計算!$D:$D, (MATCH(38, 輔助計算!$G$2:$G$801, 0)+1))/IF(INDEX(ERP資料!$G:$G, (MATCH(38, 輔助計算!$G$2:$G$801, 0)+1))&lt;100, IF(INDEX(ERP資料!$G:$G, (MATCH(38, 輔助計算!$G$2:$G$801, 0)+1))&lt;=31,3,IF(INDEX(ERP資料!$G:$G, (MATCH(38, 輔助計算!$G$2:$G$801, 0)+1))&lt;=46.5,2,1)), IF(INDEX(ERP資料!$G:$G, (MATCH(38, 輔助計算!$G$2:$G$801, 0)+1))&lt;=790,3,IF(INDEX(ERP資料!$G:$G, (MATCH(38, 輔助計算!$G$2:$G$801, 0)+1))&lt;=1181,2,1))))&gt;0, IF(IF(INDEX(ERP資料!$G:$G, (MATCH(38, 輔助計算!$G$2:$G$801, 0)+1))&lt;100, IF(INDEX(ERP資料!$G:$G, (MATCH(38, 輔助計算!$G$2:$G$801, 0)+1))&lt;=31,3,IF(INDEX(ERP資料!$G:$G, (MATCH(38, 輔助計算!$G$2:$G$801, 0)+1))&lt;=46.5,2,1)), IF(INDEX(ERP資料!$G:$G, (MATCH(38, 輔助計算!$G$2:$G$801, 0)+1))&lt;=790,3,IF(INDEX(ERP資料!$G:$G, (MATCH(38, 輔助計算!$G$2:$G$801, 0)+1))&lt;=1181,2,1)))=1,TEXT(INDEX(ERP資料!$G:$G, (MATCH(38, 輔助計算!$G$2:$G$801, 0)+1)),"0.##"),IF(IF(INDEX(ERP資料!$G:$G, (MATCH(38, 輔助計算!$G$2:$G$801, 0)+1))&lt;100, IF(INDEX(ERP資料!$G:$G, (MATCH(38, 輔助計算!$G$2:$G$801, 0)+1))&lt;=31,3,IF(INDEX(ERP資料!$G:$G, (MATCH(38, 輔助計算!$G$2:$G$801, 0)+1))&lt;=46.5,2,1)), IF(INDEX(ERP資料!$G:$G, (MATCH(38, 輔助計算!$G$2:$G$801, 0)+1))&lt;=790,3,IF(INDEX(ERP資料!$G:$G, (MATCH(38, 輔助計算!$G$2:$G$801, 0)+1))&lt;=1181,2,1)))=2,TEXT(INDEX(ERP資料!$G:$G, (MATCH(38, 輔助計算!$G$2:$G$801, 0)+1)),"0.##")&amp;"+"&amp;TEXT(INDEX(ERP資料!$G:$G, (MATCH(38, 輔助計算!$G$2:$G$801, 0)+1)),"0.##"),TEXT(INDEX(ERP資料!$G:$G, (MATCH(38, 輔助計算!$G$2:$G$801, 0)+1)),"0.##")&amp;"+"&amp;TEXT(INDEX(ERP資料!$G:$G, (MATCH(38, 輔助計算!$G$2:$G$801, 0)+1)),"0.##")&amp;"+"&amp;TEXT(INDEX(ERP資料!$G:$G, (MATCH(38, 輔助計算!$G$2:$G$801, 0)+1)),"0.##")))&amp;"-"&amp;INT(INDEX(輔助計算!$D:$D, (MATCH(38, 輔助計算!$G$2:$G$801, 0)+1))/IF(INDEX(ERP資料!$G:$G, (MATCH(38, 輔助計算!$G$2:$G$801, 0)+1))&lt;100, IF(INDEX(ERP資料!$G:$G, (MATCH(38, 輔助計算!$G$2:$G$801, 0)+1))&lt;=31,3,IF(INDEX(ERP資料!$G:$G, (MATCH(38, 輔助計算!$G$2:$G$801, 0)+1))&lt;=46.5,2,1)), IF(INDEX(ERP資料!$G:$G, (MATCH(38, 輔助計算!$G$2:$G$801, 0)+1))&lt;=790,3,IF(INDEX(ERP資料!$G:$G, (MATCH(38, 輔助計算!$G$2:$G$801, 0)+1))&lt;=1181,2,1)))), "")&amp;IF(AND(IF(INT(INDEX(輔助計算!$D:$D, (MATCH(38, 輔助計算!$G$2:$G$801, 0)+1))/IF(INDEX(ERP資料!$G:$G, (MATCH(38, 輔助計算!$G$2:$G$801, 0)+1))&lt;100, IF(INDEX(ERP資料!$G:$G, (MATCH(38, 輔助計算!$G$2:$G$801, 0)+1))&lt;=31,3,IF(INDEX(ERP資料!$G:$G, (MATCH(38, 輔助計算!$G$2:$G$801, 0)+1))&lt;=46.5,2,1)), IF(INDEX(ERP資料!$G:$G, (MATCH(38, 輔助計算!$G$2:$G$801, 0)+1))&lt;=790,3,IF(INDEX(ERP資料!$G:$G, (MATCH(38, 輔助計算!$G$2:$G$801, 0)+1))&lt;=1181,2,1))))&gt;0, IF(IF(INDEX(ERP資料!$G:$G, (MATCH(38, 輔助計算!$G$2:$G$801, 0)+1))&lt;100, IF(INDEX(ERP資料!$G:$G, (MATCH(38, 輔助計算!$G$2:$G$801, 0)+1))&lt;=31,3,IF(INDEX(ERP資料!$G:$G, (MATCH(38, 輔助計算!$G$2:$G$801, 0)+1))&lt;=46.5,2,1)), IF(INDEX(ERP資料!$G:$G, (MATCH(38, 輔助計算!$G$2:$G$801, 0)+1))&lt;=790,3,IF(INDEX(ERP資料!$G:$G, (MATCH(38, 輔助計算!$G$2:$G$801, 0)+1))&lt;=1181,2,1)))=1,TEXT(INDEX(ERP資料!$G:$G, (MATCH(38, 輔助計算!$G$2:$G$801, 0)+1)),"0.##"),IF(IF(INDEX(ERP資料!$G:$G, (MATCH(38, 輔助計算!$G$2:$G$801, 0)+1))&lt;100, IF(INDEX(ERP資料!$G:$G, (MATCH(38, 輔助計算!$G$2:$G$801, 0)+1))&lt;=31,3,IF(INDEX(ERP資料!$G:$G, (MATCH(38, 輔助計算!$G$2:$G$801, 0)+1))&lt;=46.5,2,1)), IF(INDEX(ERP資料!$G:$G, (MATCH(38, 輔助計算!$G$2:$G$801, 0)+1))&lt;=790,3,IF(INDEX(ERP資料!$G:$G, (MATCH(38, 輔助計算!$G$2:$G$801, 0)+1))&lt;=1181,2,1)))=2,TEXT(INDEX(ERP資料!$G:$G, (MATCH(38, 輔助計算!$G$2:$G$801, 0)+1)),"0.##")&amp;"+"&amp;TEXT(INDEX(ERP資料!$G:$G, (MATCH(38, 輔助計算!$G$2:$G$801, 0)+1)),"0.##"),TEXT(INDEX(ERP資料!$G:$G, (MATCH(38, 輔助計算!$G$2:$G$801, 0)+1)),"0.##")&amp;"+"&amp;TEXT(INDEX(ERP資料!$G:$G, (MATCH(38, 輔助計算!$G$2:$G$801, 0)+1)),"0.##")&amp;"+"&amp;TEXT(INDEX(ERP資料!$G:$G, (MATCH(38, 輔助計算!$G$2:$G$801, 0)+1)),"0.##")))&amp;"-"&amp;INT(INDEX(輔助計算!$D:$D, (MATCH(38, 輔助計算!$G$2:$G$801, 0)+1))/IF(INDEX(ERP資料!$G:$G, (MATCH(38, 輔助計算!$G$2:$G$801, 0)+1))&lt;100, IF(INDEX(ERP資料!$G:$G, (MATCH(38, 輔助計算!$G$2:$G$801, 0)+1))&lt;=31,3,IF(INDEX(ERP資料!$G:$G, (MATCH(38, 輔助計算!$G$2:$G$801, 0)+1))&lt;=46.5,2,1)), IF(INDEX(ERP資料!$G:$G, (MATCH(38, 輔助計算!$G$2:$G$801, 0)+1))&lt;=790,3,IF(INDEX(ERP資料!$G:$G, (MATCH(38, 輔助計算!$G$2:$G$801, 0)+1))&lt;=1181,2,1)))), "")&lt;&gt;"",IF(MOD(INDEX(輔助計算!$D:$D, (MATCH(38, 輔助計算!$G$2:$G$801, 0)+1)),IF(INDEX(ERP資料!$G:$G, (MATCH(38, 輔助計算!$G$2:$G$801, 0)+1))&lt;100, IF(INDEX(ERP資料!$G:$G, (MATCH(38, 輔助計算!$G$2:$G$801, 0)+1))&lt;=31,3,IF(INDEX(ERP資料!$G:$G, (MATCH(38, 輔助計算!$G$2:$G$801, 0)+1))&lt;=46.5,2,1)), IF(INDEX(ERP資料!$G:$G, (MATCH(38, 輔助計算!$G$2:$G$801, 0)+1))&lt;=790,3,IF(INDEX(ERP資料!$G:$G, (MATCH(38, 輔助計算!$G$2:$G$801, 0)+1))&lt;=1181,2,1))))=0,"",IF(MOD(INDEX(輔助計算!$D:$D, (MATCH(38, 輔助計算!$G$2:$G$801, 0)+1)),IF(INDEX(ERP資料!$G:$G, (MATCH(38, 輔助計算!$G$2:$G$801, 0)+1))&lt;100, IF(INDEX(ERP資料!$G:$G, (MATCH(38, 輔助計算!$G$2:$G$801, 0)+1))&lt;=31,3,IF(INDEX(ERP資料!$G:$G, (MATCH(38, 輔助計算!$G$2:$G$801, 0)+1))&lt;=46.5,2,1)), IF(INDEX(ERP資料!$G:$G, (MATCH(38, 輔助計算!$G$2:$G$801, 0)+1))&lt;=790,3,IF(INDEX(ERP資料!$G:$G, (MATCH(38, 輔助計算!$G$2:$G$801, 0)+1))&lt;=1181,2,1))))=0,"",IF(MOD(INDEX(輔助計算!$D:$D, (MATCH(38, 輔助計算!$G$2:$G$801, 0)+1)),IF(INDEX(ERP資料!$G:$G, (MATCH(38, 輔助計算!$G$2:$G$801, 0)+1))&lt;100, IF(INDEX(ERP資料!$G:$G, (MATCH(38, 輔助計算!$G$2:$G$801, 0)+1))&lt;=31,3,IF(INDEX(ERP資料!$G:$G, (MATCH(38, 輔助計算!$G$2:$G$801, 0)+1))&lt;=46.5,2,1)), IF(INDEX(ERP資料!$G:$G, (MATCH(38, 輔助計算!$G$2:$G$801, 0)+1))&lt;=790,3,IF(INDEX(ERP資料!$G:$G, (MATCH(38, 輔助計算!$G$2:$G$801, 0)+1))&lt;=1181,2,1))))=1,TEXT(INDEX(ERP資料!$G:$G, (MATCH(38, 輔助計算!$G$2:$G$801, 0)+1)),"0.##"),IF(MOD(INDEX(輔助計算!$D:$D, (MATCH(38, 輔助計算!$G$2:$G$801, 0)+1)),IF(INDEX(ERP資料!$G:$G, (MATCH(38, 輔助計算!$G$2:$G$801, 0)+1))&lt;100, IF(INDEX(ERP資料!$G:$G, (MATCH(38, 輔助計算!$G$2:$G$801, 0)+1))&lt;=31,3,IF(INDEX(ERP資料!$G:$G, (MATCH(38, 輔助計算!$G$2:$G$801, 0)+1))&lt;=46.5,2,1)), IF(INDEX(ERP資料!$G:$G, (MATCH(38, 輔助計算!$G$2:$G$801, 0)+1))&lt;=790,3,IF(INDEX(ERP資料!$G:$G, (MATCH(38, 輔助計算!$G$2:$G$801, 0)+1))&lt;=1181,2,1))))=2,TEXT(INDEX(ERP資料!$G:$G, (MATCH(38, 輔助計算!$G$2:$G$801, 0)+1)),"0.##")&amp;"+"&amp;TEXT(INDEX(ERP資料!$G:$G, (MATCH(38, 輔助計算!$G$2:$G$801, 0)+1)),"0.##"),TEXT(INDEX(ERP資料!$G:$G, (MATCH(38, 輔助計算!$G$2:$G$801, 0)+1)),"0.##")&amp;"+"&amp;TEXT(INDEX(ERP資料!$G:$G, (MATCH(38, 輔助計算!$G$2:$G$801, 0)+1)),"0.##")&amp;"+"&amp;TEXT(INDEX(ERP資料!$G:$G, (MATCH(38, 輔助計算!$G$2:$G$801, 0)+1)),"0.##"))))&amp;"-1")&lt;&gt;""),"  ","")&amp;IF(MOD(INDEX(輔助計算!$D:$D, (MATCH(38, 輔助計算!$G$2:$G$801, 0)+1)),IF(INDEX(ERP資料!$G:$G, (MATCH(38, 輔助計算!$G$2:$G$801, 0)+1))&lt;100, IF(INDEX(ERP資料!$G:$G, (MATCH(38, 輔助計算!$G$2:$G$801, 0)+1))&lt;=31,3,IF(INDEX(ERP資料!$G:$G, (MATCH(38, 輔助計算!$G$2:$G$801, 0)+1))&lt;=46.5,2,1)), IF(INDEX(ERP資料!$G:$G, (MATCH(38, 輔助計算!$G$2:$G$801, 0)+1))&lt;=790,3,IF(INDEX(ERP資料!$G:$G, (MATCH(38, 輔助計算!$G$2:$G$801, 0)+1))&lt;=1181,2,1))))=0,"",IF(MOD(INDEX(輔助計算!$D:$D, (MATCH(38, 輔助計算!$G$2:$G$801, 0)+1)),IF(INDEX(ERP資料!$G:$G, (MATCH(38, 輔助計算!$G$2:$G$801, 0)+1))&lt;100, IF(INDEX(ERP資料!$G:$G, (MATCH(38, 輔助計算!$G$2:$G$801, 0)+1))&lt;=31,3,IF(INDEX(ERP資料!$G:$G, (MATCH(38, 輔助計算!$G$2:$G$801, 0)+1))&lt;=46.5,2,1)), IF(INDEX(ERP資料!$G:$G, (MATCH(38, 輔助計算!$G$2:$G$801, 0)+1))&lt;=790,3,IF(INDEX(ERP資料!$G:$G, (MATCH(38, 輔助計算!$G$2:$G$801, 0)+1))&lt;=1181,2,1))))=0,"",IF(MOD(INDEX(輔助計算!$D:$D, (MATCH(38, 輔助計算!$G$2:$G$801, 0)+1)),IF(INDEX(ERP資料!$G:$G, (MATCH(38, 輔助計算!$G$2:$G$801, 0)+1))&lt;100, IF(INDEX(ERP資料!$G:$G, (MATCH(38, 輔助計算!$G$2:$G$801, 0)+1))&lt;=31,3,IF(INDEX(ERP資料!$G:$G, (MATCH(38, 輔助計算!$G$2:$G$801, 0)+1))&lt;=46.5,2,1)), IF(INDEX(ERP資料!$G:$G, (MATCH(38, 輔助計算!$G$2:$G$801, 0)+1))&lt;=790,3,IF(INDEX(ERP資料!$G:$G, (MATCH(38, 輔助計算!$G$2:$G$801, 0)+1))&lt;=1181,2,1))))=1,TEXT(INDEX(ERP資料!$G:$G, (MATCH(38, 輔助計算!$G$2:$G$801, 0)+1)),"0.##"),IF(MOD(INDEX(輔助計算!$D:$D, (MATCH(38, 輔助計算!$G$2:$G$801, 0)+1)),IF(INDEX(ERP資料!$G:$G, (MATCH(38, 輔助計算!$G$2:$G$801, 0)+1))&lt;100, IF(INDEX(ERP資料!$G:$G, (MATCH(38, 輔助計算!$G$2:$G$801, 0)+1))&lt;=31,3,IF(INDEX(ERP資料!$G:$G, (MATCH(38, 輔助計算!$G$2:$G$801, 0)+1))&lt;=46.5,2,1)), IF(INDEX(ERP資料!$G:$G, (MATCH(38, 輔助計算!$G$2:$G$801, 0)+1))&lt;=790,3,IF(INDEX(ERP資料!$G:$G, (MATCH(38, 輔助計算!$G$2:$G$801, 0)+1))&lt;=1181,2,1))))=2,TEXT(INDEX(ERP資料!$G:$G, (MATCH(38, 輔助計算!$G$2:$G$801, 0)+1)),"0.##")&amp;"+"&amp;TEXT(INDEX(ERP資料!$G:$G, (MATCH(38, 輔助計算!$G$2:$G$801, 0)+1)),"0.##"),TEXT(INDEX(ERP資料!$G:$G, (MATCH(38, 輔助計算!$G$2:$G$801, 0)+1)),"0.##")&amp;"+"&amp;TEXT(INDEX(ERP資料!$G:$G, (MATCH(38, 輔助計算!$G$2:$G$801, 0)+1)),"0.##")&amp;"+"&amp;TEXT(INDEX(ERP資料!$G:$G, (MATCH(38, 輔助計算!$G$2:$G$801, 0)+1)),"0.##"))))&amp;"-1")), ""), "")</f>
        <v/>
      </c>
      <c r="K39" s="16" t="n"/>
      <c r="L39" s="14">
        <f>IFERROR(IF(AND(IFERROR(INDEX(ERP資料!$A:$A, (MATCH(38, 輔助計算!$G$2:$G$801, 0)+1)), "")&lt;&gt;"", IFERROR(INDEX(ERP資料!$A:$A, (MATCH(38, 輔助計算!$G$2:$G$801, 0)+1)), "")&lt;&gt;IFERROR(INDEX(ERP資料!$A:$A, MATCH(37, 輔助計算!$G$2:$G$801, 0)+1), "")), INDEX(ERP資料!$B:$B, (MATCH(38, 輔助計算!$G$2:$G$801, 0)+1)), ""), "")</f>
        <v/>
      </c>
      <c r="M39" s="17" t="n"/>
    </row>
    <row r="40">
      <c r="A40" s="10">
        <f>IFERROR(IF(AND(IFERROR(INDEX(ERP資料!$A:$A, (MATCH(39, 輔助計算!$G$2:$G$801, 0)+1)), "")&lt;&gt;"", IFERROR(INDEX(ERP資料!$A:$A, (MATCH(39, 輔助計算!$G$2:$G$801, 0)+1)), "")&lt;&gt;IFERROR(INDEX(ERP資料!$A:$A, MATCH(38, 輔助計算!$G$2:$G$801, 0)+1), "")), IFERROR(INDEX(ERP資料!$A:$A, (MATCH(39, 輔助計算!$G$2:$G$801, 0)+1)), ""), ""), "")</f>
        <v/>
      </c>
      <c r="B40" s="10">
        <f>IFERROR(IF(AND(IFERROR(INDEX(ERP資料!$A:$A, (MATCH(39, 輔助計算!$G$2:$G$801, 0)+1)), "")&lt;&gt;"", IFERROR(INDEX(ERP資料!$A:$A, (MATCH(39, 輔助計算!$G$2:$G$801, 0)+1)), "")&lt;&gt;IFERROR(INDEX(ERP資料!$A:$A, MATCH(38, 輔助計算!$G$2:$G$801, 0)+1), "")), INDEX(ERP資料!$S:$S, (MATCH(39, 輔助計算!$G$2:$G$801, 0)+1)), ""), "")</f>
        <v/>
      </c>
      <c r="C40" s="19">
        <f>IFERROR(IF(AND(IFERROR(INDEX(ERP資料!$A:$A, (MATCH(39, 輔助計算!$G$2:$G$801, 0)+1)), "")&lt;&gt;"", IFERROR(INDEX(ERP資料!$A:$A, (MATCH(39, 輔助計算!$G$2:$G$801, 0)+1)), "")&lt;&gt;IFERROR(INDEX(ERP資料!$A:$A, MATCH(38, 輔助計算!$G$2:$G$801, 0)+1), "")), IFERROR(VLOOKUP(LEFT(INDEX(ERP資料!$S:$S, (MATCH(39, 輔助計算!$G$2:$G$801, 0)+1)), 4), 紙管對照表!$A:$C, 3, FALSE), ""), ""), "")</f>
        <v/>
      </c>
      <c r="D40" s="16" t="n"/>
      <c r="E40" s="10">
        <f>IFERROR(IF(INDEX(ERP資料!$H:$H, (MATCH(39, 輔助計算!$G$2:$G$801, 0)+1))="","",INDEX(ERP資料!$H:$H, (MATCH(39, 輔助計算!$G$2:$G$801, 0)+1))), "")</f>
        <v/>
      </c>
      <c r="F40" s="10">
        <f>IFERROR(IF(INDEX(ERP資料!$E:$E, (MATCH(39, 輔助計算!$G$2:$G$801, 0)+1))="","",TRIM(INDEX(ERP資料!$E:$E, (MATCH(39, 輔助計算!$G$2:$G$801, 0)+1)))), "")</f>
        <v/>
      </c>
      <c r="G40" s="10">
        <f>IFERROR(IF(INDEX(ERP資料!$F:$F, (MATCH(39, 輔助計算!$G$2:$G$801, 0)+1))="","",INDEX(ERP資料!$F:$F, (MATCH(39, 輔助計算!$G$2:$G$801, 0)+1))), "")</f>
        <v/>
      </c>
      <c r="H40" s="10">
        <f>IFERROR(IF(INDEX(ERP資料!$G:$G, (MATCH(39, 輔助計算!$G$2:$G$801, 0)+1))="","",INDEX(ERP資料!$G:$G, (MATCH(39, 輔助計算!$G$2:$G$801, 0)+1))), "")</f>
        <v/>
      </c>
      <c r="I40" s="15">
        <f>IFERROR(INDEX(輔助計算!$D:$D, (MATCH(39, 輔助計算!$G$2:$G$801, 0)+1)), "")</f>
        <v/>
      </c>
      <c r="J40" s="15">
        <f>IFERROR(IF(AND(INDEX(輔助計算!$D:$D, (MATCH(39, 輔助計算!$G$2:$G$801, 0)+1))&lt;&gt;"", INDEX(ERP資料!$G:$G, (MATCH(39, 輔助計算!$G$2:$G$801, 0)+1))&lt;&gt;""), TRIM(IF(INT(INDEX(輔助計算!$D:$D, (MATCH(39, 輔助計算!$G$2:$G$801, 0)+1))/IF(INDEX(ERP資料!$G:$G, (MATCH(39, 輔助計算!$G$2:$G$801, 0)+1))&lt;100, IF(INDEX(ERP資料!$G:$G, (MATCH(39, 輔助計算!$G$2:$G$801, 0)+1))&lt;=31,3,IF(INDEX(ERP資料!$G:$G, (MATCH(39, 輔助計算!$G$2:$G$801, 0)+1))&lt;=46.5,2,1)), IF(INDEX(ERP資料!$G:$G, (MATCH(39, 輔助計算!$G$2:$G$801, 0)+1))&lt;=790,3,IF(INDEX(ERP資料!$G:$G, (MATCH(39, 輔助計算!$G$2:$G$801, 0)+1))&lt;=1181,2,1))))&gt;0, IF(IF(INDEX(ERP資料!$G:$G, (MATCH(39, 輔助計算!$G$2:$G$801, 0)+1))&lt;100, IF(INDEX(ERP資料!$G:$G, (MATCH(39, 輔助計算!$G$2:$G$801, 0)+1))&lt;=31,3,IF(INDEX(ERP資料!$G:$G, (MATCH(39, 輔助計算!$G$2:$G$801, 0)+1))&lt;=46.5,2,1)), IF(INDEX(ERP資料!$G:$G, (MATCH(39, 輔助計算!$G$2:$G$801, 0)+1))&lt;=790,3,IF(INDEX(ERP資料!$G:$G, (MATCH(39, 輔助計算!$G$2:$G$801, 0)+1))&lt;=1181,2,1)))=1,TEXT(INDEX(ERP資料!$G:$G, (MATCH(39, 輔助計算!$G$2:$G$801, 0)+1)),"0.##"),IF(IF(INDEX(ERP資料!$G:$G, (MATCH(39, 輔助計算!$G$2:$G$801, 0)+1))&lt;100, IF(INDEX(ERP資料!$G:$G, (MATCH(39, 輔助計算!$G$2:$G$801, 0)+1))&lt;=31,3,IF(INDEX(ERP資料!$G:$G, (MATCH(39, 輔助計算!$G$2:$G$801, 0)+1))&lt;=46.5,2,1)), IF(INDEX(ERP資料!$G:$G, (MATCH(39, 輔助計算!$G$2:$G$801, 0)+1))&lt;=790,3,IF(INDEX(ERP資料!$G:$G, (MATCH(39, 輔助計算!$G$2:$G$801, 0)+1))&lt;=1181,2,1)))=2,TEXT(INDEX(ERP資料!$G:$G, (MATCH(39, 輔助計算!$G$2:$G$801, 0)+1)),"0.##")&amp;"+"&amp;TEXT(INDEX(ERP資料!$G:$G, (MATCH(39, 輔助計算!$G$2:$G$801, 0)+1)),"0.##"),TEXT(INDEX(ERP資料!$G:$G, (MATCH(39, 輔助計算!$G$2:$G$801, 0)+1)),"0.##")&amp;"+"&amp;TEXT(INDEX(ERP資料!$G:$G, (MATCH(39, 輔助計算!$G$2:$G$801, 0)+1)),"0.##")&amp;"+"&amp;TEXT(INDEX(ERP資料!$G:$G, (MATCH(39, 輔助計算!$G$2:$G$801, 0)+1)),"0.##")))&amp;"-"&amp;INT(INDEX(輔助計算!$D:$D, (MATCH(39, 輔助計算!$G$2:$G$801, 0)+1))/IF(INDEX(ERP資料!$G:$G, (MATCH(39, 輔助計算!$G$2:$G$801, 0)+1))&lt;100, IF(INDEX(ERP資料!$G:$G, (MATCH(39, 輔助計算!$G$2:$G$801, 0)+1))&lt;=31,3,IF(INDEX(ERP資料!$G:$G, (MATCH(39, 輔助計算!$G$2:$G$801, 0)+1))&lt;=46.5,2,1)), IF(INDEX(ERP資料!$G:$G, (MATCH(39, 輔助計算!$G$2:$G$801, 0)+1))&lt;=790,3,IF(INDEX(ERP資料!$G:$G, (MATCH(39, 輔助計算!$G$2:$G$801, 0)+1))&lt;=1181,2,1)))), "")&amp;IF(AND(IF(INT(INDEX(輔助計算!$D:$D, (MATCH(39, 輔助計算!$G$2:$G$801, 0)+1))/IF(INDEX(ERP資料!$G:$G, (MATCH(39, 輔助計算!$G$2:$G$801, 0)+1))&lt;100, IF(INDEX(ERP資料!$G:$G, (MATCH(39, 輔助計算!$G$2:$G$801, 0)+1))&lt;=31,3,IF(INDEX(ERP資料!$G:$G, (MATCH(39, 輔助計算!$G$2:$G$801, 0)+1))&lt;=46.5,2,1)), IF(INDEX(ERP資料!$G:$G, (MATCH(39, 輔助計算!$G$2:$G$801, 0)+1))&lt;=790,3,IF(INDEX(ERP資料!$G:$G, (MATCH(39, 輔助計算!$G$2:$G$801, 0)+1))&lt;=1181,2,1))))&gt;0, IF(IF(INDEX(ERP資料!$G:$G, (MATCH(39, 輔助計算!$G$2:$G$801, 0)+1))&lt;100, IF(INDEX(ERP資料!$G:$G, (MATCH(39, 輔助計算!$G$2:$G$801, 0)+1))&lt;=31,3,IF(INDEX(ERP資料!$G:$G, (MATCH(39, 輔助計算!$G$2:$G$801, 0)+1))&lt;=46.5,2,1)), IF(INDEX(ERP資料!$G:$G, (MATCH(39, 輔助計算!$G$2:$G$801, 0)+1))&lt;=790,3,IF(INDEX(ERP資料!$G:$G, (MATCH(39, 輔助計算!$G$2:$G$801, 0)+1))&lt;=1181,2,1)))=1,TEXT(INDEX(ERP資料!$G:$G, (MATCH(39, 輔助計算!$G$2:$G$801, 0)+1)),"0.##"),IF(IF(INDEX(ERP資料!$G:$G, (MATCH(39, 輔助計算!$G$2:$G$801, 0)+1))&lt;100, IF(INDEX(ERP資料!$G:$G, (MATCH(39, 輔助計算!$G$2:$G$801, 0)+1))&lt;=31,3,IF(INDEX(ERP資料!$G:$G, (MATCH(39, 輔助計算!$G$2:$G$801, 0)+1))&lt;=46.5,2,1)), IF(INDEX(ERP資料!$G:$G, (MATCH(39, 輔助計算!$G$2:$G$801, 0)+1))&lt;=790,3,IF(INDEX(ERP資料!$G:$G, (MATCH(39, 輔助計算!$G$2:$G$801, 0)+1))&lt;=1181,2,1)))=2,TEXT(INDEX(ERP資料!$G:$G, (MATCH(39, 輔助計算!$G$2:$G$801, 0)+1)),"0.##")&amp;"+"&amp;TEXT(INDEX(ERP資料!$G:$G, (MATCH(39, 輔助計算!$G$2:$G$801, 0)+1)),"0.##"),TEXT(INDEX(ERP資料!$G:$G, (MATCH(39, 輔助計算!$G$2:$G$801, 0)+1)),"0.##")&amp;"+"&amp;TEXT(INDEX(ERP資料!$G:$G, (MATCH(39, 輔助計算!$G$2:$G$801, 0)+1)),"0.##")&amp;"+"&amp;TEXT(INDEX(ERP資料!$G:$G, (MATCH(39, 輔助計算!$G$2:$G$801, 0)+1)),"0.##")))&amp;"-"&amp;INT(INDEX(輔助計算!$D:$D, (MATCH(39, 輔助計算!$G$2:$G$801, 0)+1))/IF(INDEX(ERP資料!$G:$G, (MATCH(39, 輔助計算!$G$2:$G$801, 0)+1))&lt;100, IF(INDEX(ERP資料!$G:$G, (MATCH(39, 輔助計算!$G$2:$G$801, 0)+1))&lt;=31,3,IF(INDEX(ERP資料!$G:$G, (MATCH(39, 輔助計算!$G$2:$G$801, 0)+1))&lt;=46.5,2,1)), IF(INDEX(ERP資料!$G:$G, (MATCH(39, 輔助計算!$G$2:$G$801, 0)+1))&lt;=790,3,IF(INDEX(ERP資料!$G:$G, (MATCH(39, 輔助計算!$G$2:$G$801, 0)+1))&lt;=1181,2,1)))), "")&lt;&gt;"",IF(MOD(INDEX(輔助計算!$D:$D, (MATCH(39, 輔助計算!$G$2:$G$801, 0)+1)),IF(INDEX(ERP資料!$G:$G, (MATCH(39, 輔助計算!$G$2:$G$801, 0)+1))&lt;100, IF(INDEX(ERP資料!$G:$G, (MATCH(39, 輔助計算!$G$2:$G$801, 0)+1))&lt;=31,3,IF(INDEX(ERP資料!$G:$G, (MATCH(39, 輔助計算!$G$2:$G$801, 0)+1))&lt;=46.5,2,1)), IF(INDEX(ERP資料!$G:$G, (MATCH(39, 輔助計算!$G$2:$G$801, 0)+1))&lt;=790,3,IF(INDEX(ERP資料!$G:$G, (MATCH(39, 輔助計算!$G$2:$G$801, 0)+1))&lt;=1181,2,1))))=0,"",IF(MOD(INDEX(輔助計算!$D:$D, (MATCH(39, 輔助計算!$G$2:$G$801, 0)+1)),IF(INDEX(ERP資料!$G:$G, (MATCH(39, 輔助計算!$G$2:$G$801, 0)+1))&lt;100, IF(INDEX(ERP資料!$G:$G, (MATCH(39, 輔助計算!$G$2:$G$801, 0)+1))&lt;=31,3,IF(INDEX(ERP資料!$G:$G, (MATCH(39, 輔助計算!$G$2:$G$801, 0)+1))&lt;=46.5,2,1)), IF(INDEX(ERP資料!$G:$G, (MATCH(39, 輔助計算!$G$2:$G$801, 0)+1))&lt;=790,3,IF(INDEX(ERP資料!$G:$G, (MATCH(39, 輔助計算!$G$2:$G$801, 0)+1))&lt;=1181,2,1))))=0,"",IF(MOD(INDEX(輔助計算!$D:$D, (MATCH(39, 輔助計算!$G$2:$G$801, 0)+1)),IF(INDEX(ERP資料!$G:$G, (MATCH(39, 輔助計算!$G$2:$G$801, 0)+1))&lt;100, IF(INDEX(ERP資料!$G:$G, (MATCH(39, 輔助計算!$G$2:$G$801, 0)+1))&lt;=31,3,IF(INDEX(ERP資料!$G:$G, (MATCH(39, 輔助計算!$G$2:$G$801, 0)+1))&lt;=46.5,2,1)), IF(INDEX(ERP資料!$G:$G, (MATCH(39, 輔助計算!$G$2:$G$801, 0)+1))&lt;=790,3,IF(INDEX(ERP資料!$G:$G, (MATCH(39, 輔助計算!$G$2:$G$801, 0)+1))&lt;=1181,2,1))))=1,TEXT(INDEX(ERP資料!$G:$G, (MATCH(39, 輔助計算!$G$2:$G$801, 0)+1)),"0.##"),IF(MOD(INDEX(輔助計算!$D:$D, (MATCH(39, 輔助計算!$G$2:$G$801, 0)+1)),IF(INDEX(ERP資料!$G:$G, (MATCH(39, 輔助計算!$G$2:$G$801, 0)+1))&lt;100, IF(INDEX(ERP資料!$G:$G, (MATCH(39, 輔助計算!$G$2:$G$801, 0)+1))&lt;=31,3,IF(INDEX(ERP資料!$G:$G, (MATCH(39, 輔助計算!$G$2:$G$801, 0)+1))&lt;=46.5,2,1)), IF(INDEX(ERP資料!$G:$G, (MATCH(39, 輔助計算!$G$2:$G$801, 0)+1))&lt;=790,3,IF(INDEX(ERP資料!$G:$G, (MATCH(39, 輔助計算!$G$2:$G$801, 0)+1))&lt;=1181,2,1))))=2,TEXT(INDEX(ERP資料!$G:$G, (MATCH(39, 輔助計算!$G$2:$G$801, 0)+1)),"0.##")&amp;"+"&amp;TEXT(INDEX(ERP資料!$G:$G, (MATCH(39, 輔助計算!$G$2:$G$801, 0)+1)),"0.##"),TEXT(INDEX(ERP資料!$G:$G, (MATCH(39, 輔助計算!$G$2:$G$801, 0)+1)),"0.##")&amp;"+"&amp;TEXT(INDEX(ERP資料!$G:$G, (MATCH(39, 輔助計算!$G$2:$G$801, 0)+1)),"0.##")&amp;"+"&amp;TEXT(INDEX(ERP資料!$G:$G, (MATCH(39, 輔助計算!$G$2:$G$801, 0)+1)),"0.##"))))&amp;"-1")&lt;&gt;""),"  ","")&amp;IF(MOD(INDEX(輔助計算!$D:$D, (MATCH(39, 輔助計算!$G$2:$G$801, 0)+1)),IF(INDEX(ERP資料!$G:$G, (MATCH(39, 輔助計算!$G$2:$G$801, 0)+1))&lt;100, IF(INDEX(ERP資料!$G:$G, (MATCH(39, 輔助計算!$G$2:$G$801, 0)+1))&lt;=31,3,IF(INDEX(ERP資料!$G:$G, (MATCH(39, 輔助計算!$G$2:$G$801, 0)+1))&lt;=46.5,2,1)), IF(INDEX(ERP資料!$G:$G, (MATCH(39, 輔助計算!$G$2:$G$801, 0)+1))&lt;=790,3,IF(INDEX(ERP資料!$G:$G, (MATCH(39, 輔助計算!$G$2:$G$801, 0)+1))&lt;=1181,2,1))))=0,"",IF(MOD(INDEX(輔助計算!$D:$D, (MATCH(39, 輔助計算!$G$2:$G$801, 0)+1)),IF(INDEX(ERP資料!$G:$G, (MATCH(39, 輔助計算!$G$2:$G$801, 0)+1))&lt;100, IF(INDEX(ERP資料!$G:$G, (MATCH(39, 輔助計算!$G$2:$G$801, 0)+1))&lt;=31,3,IF(INDEX(ERP資料!$G:$G, (MATCH(39, 輔助計算!$G$2:$G$801, 0)+1))&lt;=46.5,2,1)), IF(INDEX(ERP資料!$G:$G, (MATCH(39, 輔助計算!$G$2:$G$801, 0)+1))&lt;=790,3,IF(INDEX(ERP資料!$G:$G, (MATCH(39, 輔助計算!$G$2:$G$801, 0)+1))&lt;=1181,2,1))))=0,"",IF(MOD(INDEX(輔助計算!$D:$D, (MATCH(39, 輔助計算!$G$2:$G$801, 0)+1)),IF(INDEX(ERP資料!$G:$G, (MATCH(39, 輔助計算!$G$2:$G$801, 0)+1))&lt;100, IF(INDEX(ERP資料!$G:$G, (MATCH(39, 輔助計算!$G$2:$G$801, 0)+1))&lt;=31,3,IF(INDEX(ERP資料!$G:$G, (MATCH(39, 輔助計算!$G$2:$G$801, 0)+1))&lt;=46.5,2,1)), IF(INDEX(ERP資料!$G:$G, (MATCH(39, 輔助計算!$G$2:$G$801, 0)+1))&lt;=790,3,IF(INDEX(ERP資料!$G:$G, (MATCH(39, 輔助計算!$G$2:$G$801, 0)+1))&lt;=1181,2,1))))=1,TEXT(INDEX(ERP資料!$G:$G, (MATCH(39, 輔助計算!$G$2:$G$801, 0)+1)),"0.##"),IF(MOD(INDEX(輔助計算!$D:$D, (MATCH(39, 輔助計算!$G$2:$G$801, 0)+1)),IF(INDEX(ERP資料!$G:$G, (MATCH(39, 輔助計算!$G$2:$G$801, 0)+1))&lt;100, IF(INDEX(ERP資料!$G:$G, (MATCH(39, 輔助計算!$G$2:$G$801, 0)+1))&lt;=31,3,IF(INDEX(ERP資料!$G:$G, (MATCH(39, 輔助計算!$G$2:$G$801, 0)+1))&lt;=46.5,2,1)), IF(INDEX(ERP資料!$G:$G, (MATCH(39, 輔助計算!$G$2:$G$801, 0)+1))&lt;=790,3,IF(INDEX(ERP資料!$G:$G, (MATCH(39, 輔助計算!$G$2:$G$801, 0)+1))&lt;=1181,2,1))))=2,TEXT(INDEX(ERP資料!$G:$G, (MATCH(39, 輔助計算!$G$2:$G$801, 0)+1)),"0.##")&amp;"+"&amp;TEXT(INDEX(ERP資料!$G:$G, (MATCH(39, 輔助計算!$G$2:$G$801, 0)+1)),"0.##"),TEXT(INDEX(ERP資料!$G:$G, (MATCH(39, 輔助計算!$G$2:$G$801, 0)+1)),"0.##")&amp;"+"&amp;TEXT(INDEX(ERP資料!$G:$G, (MATCH(39, 輔助計算!$G$2:$G$801, 0)+1)),"0.##")&amp;"+"&amp;TEXT(INDEX(ERP資料!$G:$G, (MATCH(39, 輔助計算!$G$2:$G$801, 0)+1)),"0.##"))))&amp;"-1")), ""), "")</f>
        <v/>
      </c>
      <c r="K40" s="16" t="n"/>
      <c r="L40" s="14">
        <f>IFERROR(IF(AND(IFERROR(INDEX(ERP資料!$A:$A, (MATCH(39, 輔助計算!$G$2:$G$801, 0)+1)), "")&lt;&gt;"", IFERROR(INDEX(ERP資料!$A:$A, (MATCH(39, 輔助計算!$G$2:$G$801, 0)+1)), "")&lt;&gt;IFERROR(INDEX(ERP資料!$A:$A, MATCH(38, 輔助計算!$G$2:$G$801, 0)+1), "")), INDEX(ERP資料!$B:$B, (MATCH(39, 輔助計算!$G$2:$G$801, 0)+1)), ""), "")</f>
        <v/>
      </c>
      <c r="M40" s="17" t="n"/>
    </row>
    <row r="41">
      <c r="A41" s="10">
        <f>IFERROR(IF(AND(IFERROR(INDEX(ERP資料!$A:$A, (MATCH(40, 輔助計算!$G$2:$G$801, 0)+1)), "")&lt;&gt;"", IFERROR(INDEX(ERP資料!$A:$A, (MATCH(40, 輔助計算!$G$2:$G$801, 0)+1)), "")&lt;&gt;IFERROR(INDEX(ERP資料!$A:$A, MATCH(39, 輔助計算!$G$2:$G$801, 0)+1), "")), IFERROR(INDEX(ERP資料!$A:$A, (MATCH(40, 輔助計算!$G$2:$G$801, 0)+1)), ""), ""), "")</f>
        <v/>
      </c>
      <c r="B41" s="10">
        <f>IFERROR(IF(AND(IFERROR(INDEX(ERP資料!$A:$A, (MATCH(40, 輔助計算!$G$2:$G$801, 0)+1)), "")&lt;&gt;"", IFERROR(INDEX(ERP資料!$A:$A, (MATCH(40, 輔助計算!$G$2:$G$801, 0)+1)), "")&lt;&gt;IFERROR(INDEX(ERP資料!$A:$A, MATCH(39, 輔助計算!$G$2:$G$801, 0)+1), "")), INDEX(ERP資料!$S:$S, (MATCH(40, 輔助計算!$G$2:$G$801, 0)+1)), ""), "")</f>
        <v/>
      </c>
      <c r="C41" s="19">
        <f>IFERROR(IF(AND(IFERROR(INDEX(ERP資料!$A:$A, (MATCH(40, 輔助計算!$G$2:$G$801, 0)+1)), "")&lt;&gt;"", IFERROR(INDEX(ERP資料!$A:$A, (MATCH(40, 輔助計算!$G$2:$G$801, 0)+1)), "")&lt;&gt;IFERROR(INDEX(ERP資料!$A:$A, MATCH(39, 輔助計算!$G$2:$G$801, 0)+1), "")), IFERROR(VLOOKUP(LEFT(INDEX(ERP資料!$S:$S, (MATCH(40, 輔助計算!$G$2:$G$801, 0)+1)), 4), 紙管對照表!$A:$C, 3, FALSE), ""), ""), "")</f>
        <v/>
      </c>
      <c r="D41" s="16" t="n"/>
      <c r="E41" s="10">
        <f>IFERROR(IF(INDEX(ERP資料!$H:$H, (MATCH(40, 輔助計算!$G$2:$G$801, 0)+1))="","",INDEX(ERP資料!$H:$H, (MATCH(40, 輔助計算!$G$2:$G$801, 0)+1))), "")</f>
        <v/>
      </c>
      <c r="F41" s="10">
        <f>IFERROR(IF(INDEX(ERP資料!$E:$E, (MATCH(40, 輔助計算!$G$2:$G$801, 0)+1))="","",TRIM(INDEX(ERP資料!$E:$E, (MATCH(40, 輔助計算!$G$2:$G$801, 0)+1)))), "")</f>
        <v/>
      </c>
      <c r="G41" s="10">
        <f>IFERROR(IF(INDEX(ERP資料!$F:$F, (MATCH(40, 輔助計算!$G$2:$G$801, 0)+1))="","",INDEX(ERP資料!$F:$F, (MATCH(40, 輔助計算!$G$2:$G$801, 0)+1))), "")</f>
        <v/>
      </c>
      <c r="H41" s="10">
        <f>IFERROR(IF(INDEX(ERP資料!$G:$G, (MATCH(40, 輔助計算!$G$2:$G$801, 0)+1))="","",INDEX(ERP資料!$G:$G, (MATCH(40, 輔助計算!$G$2:$G$801, 0)+1))), "")</f>
        <v/>
      </c>
      <c r="I41" s="15">
        <f>IFERROR(INDEX(輔助計算!$D:$D, (MATCH(40, 輔助計算!$G$2:$G$801, 0)+1)), "")</f>
        <v/>
      </c>
      <c r="J41" s="15">
        <f>IFERROR(IF(AND(INDEX(輔助計算!$D:$D, (MATCH(40, 輔助計算!$G$2:$G$801, 0)+1))&lt;&gt;"", INDEX(ERP資料!$G:$G, (MATCH(40, 輔助計算!$G$2:$G$801, 0)+1))&lt;&gt;""), TRIM(IF(INT(INDEX(輔助計算!$D:$D, (MATCH(40, 輔助計算!$G$2:$G$801, 0)+1))/IF(INDEX(ERP資料!$G:$G, (MATCH(40, 輔助計算!$G$2:$G$801, 0)+1))&lt;100, IF(INDEX(ERP資料!$G:$G, (MATCH(40, 輔助計算!$G$2:$G$801, 0)+1))&lt;=31,3,IF(INDEX(ERP資料!$G:$G, (MATCH(40, 輔助計算!$G$2:$G$801, 0)+1))&lt;=46.5,2,1)), IF(INDEX(ERP資料!$G:$G, (MATCH(40, 輔助計算!$G$2:$G$801, 0)+1))&lt;=790,3,IF(INDEX(ERP資料!$G:$G, (MATCH(40, 輔助計算!$G$2:$G$801, 0)+1))&lt;=1181,2,1))))&gt;0, IF(IF(INDEX(ERP資料!$G:$G, (MATCH(40, 輔助計算!$G$2:$G$801, 0)+1))&lt;100, IF(INDEX(ERP資料!$G:$G, (MATCH(40, 輔助計算!$G$2:$G$801, 0)+1))&lt;=31,3,IF(INDEX(ERP資料!$G:$G, (MATCH(40, 輔助計算!$G$2:$G$801, 0)+1))&lt;=46.5,2,1)), IF(INDEX(ERP資料!$G:$G, (MATCH(40, 輔助計算!$G$2:$G$801, 0)+1))&lt;=790,3,IF(INDEX(ERP資料!$G:$G, (MATCH(40, 輔助計算!$G$2:$G$801, 0)+1))&lt;=1181,2,1)))=1,TEXT(INDEX(ERP資料!$G:$G, (MATCH(40, 輔助計算!$G$2:$G$801, 0)+1)),"0.##"),IF(IF(INDEX(ERP資料!$G:$G, (MATCH(40, 輔助計算!$G$2:$G$801, 0)+1))&lt;100, IF(INDEX(ERP資料!$G:$G, (MATCH(40, 輔助計算!$G$2:$G$801, 0)+1))&lt;=31,3,IF(INDEX(ERP資料!$G:$G, (MATCH(40, 輔助計算!$G$2:$G$801, 0)+1))&lt;=46.5,2,1)), IF(INDEX(ERP資料!$G:$G, (MATCH(40, 輔助計算!$G$2:$G$801, 0)+1))&lt;=790,3,IF(INDEX(ERP資料!$G:$G, (MATCH(40, 輔助計算!$G$2:$G$801, 0)+1))&lt;=1181,2,1)))=2,TEXT(INDEX(ERP資料!$G:$G, (MATCH(40, 輔助計算!$G$2:$G$801, 0)+1)),"0.##")&amp;"+"&amp;TEXT(INDEX(ERP資料!$G:$G, (MATCH(40, 輔助計算!$G$2:$G$801, 0)+1)),"0.##"),TEXT(INDEX(ERP資料!$G:$G, (MATCH(40, 輔助計算!$G$2:$G$801, 0)+1)),"0.##")&amp;"+"&amp;TEXT(INDEX(ERP資料!$G:$G, (MATCH(40, 輔助計算!$G$2:$G$801, 0)+1)),"0.##")&amp;"+"&amp;TEXT(INDEX(ERP資料!$G:$G, (MATCH(40, 輔助計算!$G$2:$G$801, 0)+1)),"0.##")))&amp;"-"&amp;INT(INDEX(輔助計算!$D:$D, (MATCH(40, 輔助計算!$G$2:$G$801, 0)+1))/IF(INDEX(ERP資料!$G:$G, (MATCH(40, 輔助計算!$G$2:$G$801, 0)+1))&lt;100, IF(INDEX(ERP資料!$G:$G, (MATCH(40, 輔助計算!$G$2:$G$801, 0)+1))&lt;=31,3,IF(INDEX(ERP資料!$G:$G, (MATCH(40, 輔助計算!$G$2:$G$801, 0)+1))&lt;=46.5,2,1)), IF(INDEX(ERP資料!$G:$G, (MATCH(40, 輔助計算!$G$2:$G$801, 0)+1))&lt;=790,3,IF(INDEX(ERP資料!$G:$G, (MATCH(40, 輔助計算!$G$2:$G$801, 0)+1))&lt;=1181,2,1)))), "")&amp;IF(AND(IF(INT(INDEX(輔助計算!$D:$D, (MATCH(40, 輔助計算!$G$2:$G$801, 0)+1))/IF(INDEX(ERP資料!$G:$G, (MATCH(40, 輔助計算!$G$2:$G$801, 0)+1))&lt;100, IF(INDEX(ERP資料!$G:$G, (MATCH(40, 輔助計算!$G$2:$G$801, 0)+1))&lt;=31,3,IF(INDEX(ERP資料!$G:$G, (MATCH(40, 輔助計算!$G$2:$G$801, 0)+1))&lt;=46.5,2,1)), IF(INDEX(ERP資料!$G:$G, (MATCH(40, 輔助計算!$G$2:$G$801, 0)+1))&lt;=790,3,IF(INDEX(ERP資料!$G:$G, (MATCH(40, 輔助計算!$G$2:$G$801, 0)+1))&lt;=1181,2,1))))&gt;0, IF(IF(INDEX(ERP資料!$G:$G, (MATCH(40, 輔助計算!$G$2:$G$801, 0)+1))&lt;100, IF(INDEX(ERP資料!$G:$G, (MATCH(40, 輔助計算!$G$2:$G$801, 0)+1))&lt;=31,3,IF(INDEX(ERP資料!$G:$G, (MATCH(40, 輔助計算!$G$2:$G$801, 0)+1))&lt;=46.5,2,1)), IF(INDEX(ERP資料!$G:$G, (MATCH(40, 輔助計算!$G$2:$G$801, 0)+1))&lt;=790,3,IF(INDEX(ERP資料!$G:$G, (MATCH(40, 輔助計算!$G$2:$G$801, 0)+1))&lt;=1181,2,1)))=1,TEXT(INDEX(ERP資料!$G:$G, (MATCH(40, 輔助計算!$G$2:$G$801, 0)+1)),"0.##"),IF(IF(INDEX(ERP資料!$G:$G, (MATCH(40, 輔助計算!$G$2:$G$801, 0)+1))&lt;100, IF(INDEX(ERP資料!$G:$G, (MATCH(40, 輔助計算!$G$2:$G$801, 0)+1))&lt;=31,3,IF(INDEX(ERP資料!$G:$G, (MATCH(40, 輔助計算!$G$2:$G$801, 0)+1))&lt;=46.5,2,1)), IF(INDEX(ERP資料!$G:$G, (MATCH(40, 輔助計算!$G$2:$G$801, 0)+1))&lt;=790,3,IF(INDEX(ERP資料!$G:$G, (MATCH(40, 輔助計算!$G$2:$G$801, 0)+1))&lt;=1181,2,1)))=2,TEXT(INDEX(ERP資料!$G:$G, (MATCH(40, 輔助計算!$G$2:$G$801, 0)+1)),"0.##")&amp;"+"&amp;TEXT(INDEX(ERP資料!$G:$G, (MATCH(40, 輔助計算!$G$2:$G$801, 0)+1)),"0.##"),TEXT(INDEX(ERP資料!$G:$G, (MATCH(40, 輔助計算!$G$2:$G$801, 0)+1)),"0.##")&amp;"+"&amp;TEXT(INDEX(ERP資料!$G:$G, (MATCH(40, 輔助計算!$G$2:$G$801, 0)+1)),"0.##")&amp;"+"&amp;TEXT(INDEX(ERP資料!$G:$G, (MATCH(40, 輔助計算!$G$2:$G$801, 0)+1)),"0.##")))&amp;"-"&amp;INT(INDEX(輔助計算!$D:$D, (MATCH(40, 輔助計算!$G$2:$G$801, 0)+1))/IF(INDEX(ERP資料!$G:$G, (MATCH(40, 輔助計算!$G$2:$G$801, 0)+1))&lt;100, IF(INDEX(ERP資料!$G:$G, (MATCH(40, 輔助計算!$G$2:$G$801, 0)+1))&lt;=31,3,IF(INDEX(ERP資料!$G:$G, (MATCH(40, 輔助計算!$G$2:$G$801, 0)+1))&lt;=46.5,2,1)), IF(INDEX(ERP資料!$G:$G, (MATCH(40, 輔助計算!$G$2:$G$801, 0)+1))&lt;=790,3,IF(INDEX(ERP資料!$G:$G, (MATCH(40, 輔助計算!$G$2:$G$801, 0)+1))&lt;=1181,2,1)))), "")&lt;&gt;"",IF(MOD(INDEX(輔助計算!$D:$D, (MATCH(40, 輔助計算!$G$2:$G$801, 0)+1)),IF(INDEX(ERP資料!$G:$G, (MATCH(40, 輔助計算!$G$2:$G$801, 0)+1))&lt;100, IF(INDEX(ERP資料!$G:$G, (MATCH(40, 輔助計算!$G$2:$G$801, 0)+1))&lt;=31,3,IF(INDEX(ERP資料!$G:$G, (MATCH(40, 輔助計算!$G$2:$G$801, 0)+1))&lt;=46.5,2,1)), IF(INDEX(ERP資料!$G:$G, (MATCH(40, 輔助計算!$G$2:$G$801, 0)+1))&lt;=790,3,IF(INDEX(ERP資料!$G:$G, (MATCH(40, 輔助計算!$G$2:$G$801, 0)+1))&lt;=1181,2,1))))=0,"",IF(MOD(INDEX(輔助計算!$D:$D, (MATCH(40, 輔助計算!$G$2:$G$801, 0)+1)),IF(INDEX(ERP資料!$G:$G, (MATCH(40, 輔助計算!$G$2:$G$801, 0)+1))&lt;100, IF(INDEX(ERP資料!$G:$G, (MATCH(40, 輔助計算!$G$2:$G$801, 0)+1))&lt;=31,3,IF(INDEX(ERP資料!$G:$G, (MATCH(40, 輔助計算!$G$2:$G$801, 0)+1))&lt;=46.5,2,1)), IF(INDEX(ERP資料!$G:$G, (MATCH(40, 輔助計算!$G$2:$G$801, 0)+1))&lt;=790,3,IF(INDEX(ERP資料!$G:$G, (MATCH(40, 輔助計算!$G$2:$G$801, 0)+1))&lt;=1181,2,1))))=0,"",IF(MOD(INDEX(輔助計算!$D:$D, (MATCH(40, 輔助計算!$G$2:$G$801, 0)+1)),IF(INDEX(ERP資料!$G:$G, (MATCH(40, 輔助計算!$G$2:$G$801, 0)+1))&lt;100, IF(INDEX(ERP資料!$G:$G, (MATCH(40, 輔助計算!$G$2:$G$801, 0)+1))&lt;=31,3,IF(INDEX(ERP資料!$G:$G, (MATCH(40, 輔助計算!$G$2:$G$801, 0)+1))&lt;=46.5,2,1)), IF(INDEX(ERP資料!$G:$G, (MATCH(40, 輔助計算!$G$2:$G$801, 0)+1))&lt;=790,3,IF(INDEX(ERP資料!$G:$G, (MATCH(40, 輔助計算!$G$2:$G$801, 0)+1))&lt;=1181,2,1))))=1,TEXT(INDEX(ERP資料!$G:$G, (MATCH(40, 輔助計算!$G$2:$G$801, 0)+1)),"0.##"),IF(MOD(INDEX(輔助計算!$D:$D, (MATCH(40, 輔助計算!$G$2:$G$801, 0)+1)),IF(INDEX(ERP資料!$G:$G, (MATCH(40, 輔助計算!$G$2:$G$801, 0)+1))&lt;100, IF(INDEX(ERP資料!$G:$G, (MATCH(40, 輔助計算!$G$2:$G$801, 0)+1))&lt;=31,3,IF(INDEX(ERP資料!$G:$G, (MATCH(40, 輔助計算!$G$2:$G$801, 0)+1))&lt;=46.5,2,1)), IF(INDEX(ERP資料!$G:$G, (MATCH(40, 輔助計算!$G$2:$G$801, 0)+1))&lt;=790,3,IF(INDEX(ERP資料!$G:$G, (MATCH(40, 輔助計算!$G$2:$G$801, 0)+1))&lt;=1181,2,1))))=2,TEXT(INDEX(ERP資料!$G:$G, (MATCH(40, 輔助計算!$G$2:$G$801, 0)+1)),"0.##")&amp;"+"&amp;TEXT(INDEX(ERP資料!$G:$G, (MATCH(40, 輔助計算!$G$2:$G$801, 0)+1)),"0.##"),TEXT(INDEX(ERP資料!$G:$G, (MATCH(40, 輔助計算!$G$2:$G$801, 0)+1)),"0.##")&amp;"+"&amp;TEXT(INDEX(ERP資料!$G:$G, (MATCH(40, 輔助計算!$G$2:$G$801, 0)+1)),"0.##")&amp;"+"&amp;TEXT(INDEX(ERP資料!$G:$G, (MATCH(40, 輔助計算!$G$2:$G$801, 0)+1)),"0.##"))))&amp;"-1")&lt;&gt;""),"  ","")&amp;IF(MOD(INDEX(輔助計算!$D:$D, (MATCH(40, 輔助計算!$G$2:$G$801, 0)+1)),IF(INDEX(ERP資料!$G:$G, (MATCH(40, 輔助計算!$G$2:$G$801, 0)+1))&lt;100, IF(INDEX(ERP資料!$G:$G, (MATCH(40, 輔助計算!$G$2:$G$801, 0)+1))&lt;=31,3,IF(INDEX(ERP資料!$G:$G, (MATCH(40, 輔助計算!$G$2:$G$801, 0)+1))&lt;=46.5,2,1)), IF(INDEX(ERP資料!$G:$G, (MATCH(40, 輔助計算!$G$2:$G$801, 0)+1))&lt;=790,3,IF(INDEX(ERP資料!$G:$G, (MATCH(40, 輔助計算!$G$2:$G$801, 0)+1))&lt;=1181,2,1))))=0,"",IF(MOD(INDEX(輔助計算!$D:$D, (MATCH(40, 輔助計算!$G$2:$G$801, 0)+1)),IF(INDEX(ERP資料!$G:$G, (MATCH(40, 輔助計算!$G$2:$G$801, 0)+1))&lt;100, IF(INDEX(ERP資料!$G:$G, (MATCH(40, 輔助計算!$G$2:$G$801, 0)+1))&lt;=31,3,IF(INDEX(ERP資料!$G:$G, (MATCH(40, 輔助計算!$G$2:$G$801, 0)+1))&lt;=46.5,2,1)), IF(INDEX(ERP資料!$G:$G, (MATCH(40, 輔助計算!$G$2:$G$801, 0)+1))&lt;=790,3,IF(INDEX(ERP資料!$G:$G, (MATCH(40, 輔助計算!$G$2:$G$801, 0)+1))&lt;=1181,2,1))))=0,"",IF(MOD(INDEX(輔助計算!$D:$D, (MATCH(40, 輔助計算!$G$2:$G$801, 0)+1)),IF(INDEX(ERP資料!$G:$G, (MATCH(40, 輔助計算!$G$2:$G$801, 0)+1))&lt;100, IF(INDEX(ERP資料!$G:$G, (MATCH(40, 輔助計算!$G$2:$G$801, 0)+1))&lt;=31,3,IF(INDEX(ERP資料!$G:$G, (MATCH(40, 輔助計算!$G$2:$G$801, 0)+1))&lt;=46.5,2,1)), IF(INDEX(ERP資料!$G:$G, (MATCH(40, 輔助計算!$G$2:$G$801, 0)+1))&lt;=790,3,IF(INDEX(ERP資料!$G:$G, (MATCH(40, 輔助計算!$G$2:$G$801, 0)+1))&lt;=1181,2,1))))=1,TEXT(INDEX(ERP資料!$G:$G, (MATCH(40, 輔助計算!$G$2:$G$801, 0)+1)),"0.##"),IF(MOD(INDEX(輔助計算!$D:$D, (MATCH(40, 輔助計算!$G$2:$G$801, 0)+1)),IF(INDEX(ERP資料!$G:$G, (MATCH(40, 輔助計算!$G$2:$G$801, 0)+1))&lt;100, IF(INDEX(ERP資料!$G:$G, (MATCH(40, 輔助計算!$G$2:$G$801, 0)+1))&lt;=31,3,IF(INDEX(ERP資料!$G:$G, (MATCH(40, 輔助計算!$G$2:$G$801, 0)+1))&lt;=46.5,2,1)), IF(INDEX(ERP資料!$G:$G, (MATCH(40, 輔助計算!$G$2:$G$801, 0)+1))&lt;=790,3,IF(INDEX(ERP資料!$G:$G, (MATCH(40, 輔助計算!$G$2:$G$801, 0)+1))&lt;=1181,2,1))))=2,TEXT(INDEX(ERP資料!$G:$G, (MATCH(40, 輔助計算!$G$2:$G$801, 0)+1)),"0.##")&amp;"+"&amp;TEXT(INDEX(ERP資料!$G:$G, (MATCH(40, 輔助計算!$G$2:$G$801, 0)+1)),"0.##"),TEXT(INDEX(ERP資料!$G:$G, (MATCH(40, 輔助計算!$G$2:$G$801, 0)+1)),"0.##")&amp;"+"&amp;TEXT(INDEX(ERP資料!$G:$G, (MATCH(40, 輔助計算!$G$2:$G$801, 0)+1)),"0.##")&amp;"+"&amp;TEXT(INDEX(ERP資料!$G:$G, (MATCH(40, 輔助計算!$G$2:$G$801, 0)+1)),"0.##"))))&amp;"-1")), ""), "")</f>
        <v/>
      </c>
      <c r="K41" s="16" t="n"/>
      <c r="L41" s="14">
        <f>IFERROR(IF(AND(IFERROR(INDEX(ERP資料!$A:$A, (MATCH(40, 輔助計算!$G$2:$G$801, 0)+1)), "")&lt;&gt;"", IFERROR(INDEX(ERP資料!$A:$A, (MATCH(40, 輔助計算!$G$2:$G$801, 0)+1)), "")&lt;&gt;IFERROR(INDEX(ERP資料!$A:$A, MATCH(39, 輔助計算!$G$2:$G$801, 0)+1), "")), INDEX(ERP資料!$B:$B, (MATCH(40, 輔助計算!$G$2:$G$801, 0)+1)), ""), "")</f>
        <v/>
      </c>
      <c r="M41" s="17" t="n"/>
    </row>
    <row r="42">
      <c r="A42" s="10">
        <f>IFERROR(IF(AND(IFERROR(INDEX(ERP資料!$A:$A, (MATCH(41, 輔助計算!$G$2:$G$801, 0)+1)), "")&lt;&gt;"", IFERROR(INDEX(ERP資料!$A:$A, (MATCH(41, 輔助計算!$G$2:$G$801, 0)+1)), "")&lt;&gt;IFERROR(INDEX(ERP資料!$A:$A, MATCH(40, 輔助計算!$G$2:$G$801, 0)+1), "")), IFERROR(INDEX(ERP資料!$A:$A, (MATCH(41, 輔助計算!$G$2:$G$801, 0)+1)), ""), ""), "")</f>
        <v/>
      </c>
      <c r="B42" s="10">
        <f>IFERROR(IF(AND(IFERROR(INDEX(ERP資料!$A:$A, (MATCH(41, 輔助計算!$G$2:$G$801, 0)+1)), "")&lt;&gt;"", IFERROR(INDEX(ERP資料!$A:$A, (MATCH(41, 輔助計算!$G$2:$G$801, 0)+1)), "")&lt;&gt;IFERROR(INDEX(ERP資料!$A:$A, MATCH(40, 輔助計算!$G$2:$G$801, 0)+1), "")), INDEX(ERP資料!$S:$S, (MATCH(41, 輔助計算!$G$2:$G$801, 0)+1)), ""), "")</f>
        <v/>
      </c>
      <c r="C42" s="19">
        <f>IFERROR(IF(AND(IFERROR(INDEX(ERP資料!$A:$A, (MATCH(41, 輔助計算!$G$2:$G$801, 0)+1)), "")&lt;&gt;"", IFERROR(INDEX(ERP資料!$A:$A, (MATCH(41, 輔助計算!$G$2:$G$801, 0)+1)), "")&lt;&gt;IFERROR(INDEX(ERP資料!$A:$A, MATCH(40, 輔助計算!$G$2:$G$801, 0)+1), "")), IFERROR(VLOOKUP(LEFT(INDEX(ERP資料!$S:$S, (MATCH(41, 輔助計算!$G$2:$G$801, 0)+1)), 4), 紙管對照表!$A:$C, 3, FALSE), ""), ""), "")</f>
        <v/>
      </c>
      <c r="D42" s="16" t="n"/>
      <c r="E42" s="10">
        <f>IFERROR(IF(INDEX(ERP資料!$H:$H, (MATCH(41, 輔助計算!$G$2:$G$801, 0)+1))="","",INDEX(ERP資料!$H:$H, (MATCH(41, 輔助計算!$G$2:$G$801, 0)+1))), "")</f>
        <v/>
      </c>
      <c r="F42" s="10">
        <f>IFERROR(IF(INDEX(ERP資料!$E:$E, (MATCH(41, 輔助計算!$G$2:$G$801, 0)+1))="","",TRIM(INDEX(ERP資料!$E:$E, (MATCH(41, 輔助計算!$G$2:$G$801, 0)+1)))), "")</f>
        <v/>
      </c>
      <c r="G42" s="10">
        <f>IFERROR(IF(INDEX(ERP資料!$F:$F, (MATCH(41, 輔助計算!$G$2:$G$801, 0)+1))="","",INDEX(ERP資料!$F:$F, (MATCH(41, 輔助計算!$G$2:$G$801, 0)+1))), "")</f>
        <v/>
      </c>
      <c r="H42" s="10">
        <f>IFERROR(IF(INDEX(ERP資料!$G:$G, (MATCH(41, 輔助計算!$G$2:$G$801, 0)+1))="","",INDEX(ERP資料!$G:$G, (MATCH(41, 輔助計算!$G$2:$G$801, 0)+1))), "")</f>
        <v/>
      </c>
      <c r="I42" s="15">
        <f>IFERROR(INDEX(輔助計算!$D:$D, (MATCH(41, 輔助計算!$G$2:$G$801, 0)+1)), "")</f>
        <v/>
      </c>
      <c r="J42" s="15">
        <f>IFERROR(IF(AND(INDEX(輔助計算!$D:$D, (MATCH(41, 輔助計算!$G$2:$G$801, 0)+1))&lt;&gt;"", INDEX(ERP資料!$G:$G, (MATCH(41, 輔助計算!$G$2:$G$801, 0)+1))&lt;&gt;""), TRIM(IF(INT(INDEX(輔助計算!$D:$D, (MATCH(41, 輔助計算!$G$2:$G$801, 0)+1))/IF(INDEX(ERP資料!$G:$G, (MATCH(41, 輔助計算!$G$2:$G$801, 0)+1))&lt;100, IF(INDEX(ERP資料!$G:$G, (MATCH(41, 輔助計算!$G$2:$G$801, 0)+1))&lt;=31,3,IF(INDEX(ERP資料!$G:$G, (MATCH(41, 輔助計算!$G$2:$G$801, 0)+1))&lt;=46.5,2,1)), IF(INDEX(ERP資料!$G:$G, (MATCH(41, 輔助計算!$G$2:$G$801, 0)+1))&lt;=790,3,IF(INDEX(ERP資料!$G:$G, (MATCH(41, 輔助計算!$G$2:$G$801, 0)+1))&lt;=1181,2,1))))&gt;0, IF(IF(INDEX(ERP資料!$G:$G, (MATCH(41, 輔助計算!$G$2:$G$801, 0)+1))&lt;100, IF(INDEX(ERP資料!$G:$G, (MATCH(41, 輔助計算!$G$2:$G$801, 0)+1))&lt;=31,3,IF(INDEX(ERP資料!$G:$G, (MATCH(41, 輔助計算!$G$2:$G$801, 0)+1))&lt;=46.5,2,1)), IF(INDEX(ERP資料!$G:$G, (MATCH(41, 輔助計算!$G$2:$G$801, 0)+1))&lt;=790,3,IF(INDEX(ERP資料!$G:$G, (MATCH(41, 輔助計算!$G$2:$G$801, 0)+1))&lt;=1181,2,1)))=1,TEXT(INDEX(ERP資料!$G:$G, (MATCH(41, 輔助計算!$G$2:$G$801, 0)+1)),"0.##"),IF(IF(INDEX(ERP資料!$G:$G, (MATCH(41, 輔助計算!$G$2:$G$801, 0)+1))&lt;100, IF(INDEX(ERP資料!$G:$G, (MATCH(41, 輔助計算!$G$2:$G$801, 0)+1))&lt;=31,3,IF(INDEX(ERP資料!$G:$G, (MATCH(41, 輔助計算!$G$2:$G$801, 0)+1))&lt;=46.5,2,1)), IF(INDEX(ERP資料!$G:$G, (MATCH(41, 輔助計算!$G$2:$G$801, 0)+1))&lt;=790,3,IF(INDEX(ERP資料!$G:$G, (MATCH(41, 輔助計算!$G$2:$G$801, 0)+1))&lt;=1181,2,1)))=2,TEXT(INDEX(ERP資料!$G:$G, (MATCH(41, 輔助計算!$G$2:$G$801, 0)+1)),"0.##")&amp;"+"&amp;TEXT(INDEX(ERP資料!$G:$G, (MATCH(41, 輔助計算!$G$2:$G$801, 0)+1)),"0.##"),TEXT(INDEX(ERP資料!$G:$G, (MATCH(41, 輔助計算!$G$2:$G$801, 0)+1)),"0.##")&amp;"+"&amp;TEXT(INDEX(ERP資料!$G:$G, (MATCH(41, 輔助計算!$G$2:$G$801, 0)+1)),"0.##")&amp;"+"&amp;TEXT(INDEX(ERP資料!$G:$G, (MATCH(41, 輔助計算!$G$2:$G$801, 0)+1)),"0.##")))&amp;"-"&amp;INT(INDEX(輔助計算!$D:$D, (MATCH(41, 輔助計算!$G$2:$G$801, 0)+1))/IF(INDEX(ERP資料!$G:$G, (MATCH(41, 輔助計算!$G$2:$G$801, 0)+1))&lt;100, IF(INDEX(ERP資料!$G:$G, (MATCH(41, 輔助計算!$G$2:$G$801, 0)+1))&lt;=31,3,IF(INDEX(ERP資料!$G:$G, (MATCH(41, 輔助計算!$G$2:$G$801, 0)+1))&lt;=46.5,2,1)), IF(INDEX(ERP資料!$G:$G, (MATCH(41, 輔助計算!$G$2:$G$801, 0)+1))&lt;=790,3,IF(INDEX(ERP資料!$G:$G, (MATCH(41, 輔助計算!$G$2:$G$801, 0)+1))&lt;=1181,2,1)))), "")&amp;IF(AND(IF(INT(INDEX(輔助計算!$D:$D, (MATCH(41, 輔助計算!$G$2:$G$801, 0)+1))/IF(INDEX(ERP資料!$G:$G, (MATCH(41, 輔助計算!$G$2:$G$801, 0)+1))&lt;100, IF(INDEX(ERP資料!$G:$G, (MATCH(41, 輔助計算!$G$2:$G$801, 0)+1))&lt;=31,3,IF(INDEX(ERP資料!$G:$G, (MATCH(41, 輔助計算!$G$2:$G$801, 0)+1))&lt;=46.5,2,1)), IF(INDEX(ERP資料!$G:$G, (MATCH(41, 輔助計算!$G$2:$G$801, 0)+1))&lt;=790,3,IF(INDEX(ERP資料!$G:$G, (MATCH(41, 輔助計算!$G$2:$G$801, 0)+1))&lt;=1181,2,1))))&gt;0, IF(IF(INDEX(ERP資料!$G:$G, (MATCH(41, 輔助計算!$G$2:$G$801, 0)+1))&lt;100, IF(INDEX(ERP資料!$G:$G, (MATCH(41, 輔助計算!$G$2:$G$801, 0)+1))&lt;=31,3,IF(INDEX(ERP資料!$G:$G, (MATCH(41, 輔助計算!$G$2:$G$801, 0)+1))&lt;=46.5,2,1)), IF(INDEX(ERP資料!$G:$G, (MATCH(41, 輔助計算!$G$2:$G$801, 0)+1))&lt;=790,3,IF(INDEX(ERP資料!$G:$G, (MATCH(41, 輔助計算!$G$2:$G$801, 0)+1))&lt;=1181,2,1)))=1,TEXT(INDEX(ERP資料!$G:$G, (MATCH(41, 輔助計算!$G$2:$G$801, 0)+1)),"0.##"),IF(IF(INDEX(ERP資料!$G:$G, (MATCH(41, 輔助計算!$G$2:$G$801, 0)+1))&lt;100, IF(INDEX(ERP資料!$G:$G, (MATCH(41, 輔助計算!$G$2:$G$801, 0)+1))&lt;=31,3,IF(INDEX(ERP資料!$G:$G, (MATCH(41, 輔助計算!$G$2:$G$801, 0)+1))&lt;=46.5,2,1)), IF(INDEX(ERP資料!$G:$G, (MATCH(41, 輔助計算!$G$2:$G$801, 0)+1))&lt;=790,3,IF(INDEX(ERP資料!$G:$G, (MATCH(41, 輔助計算!$G$2:$G$801, 0)+1))&lt;=1181,2,1)))=2,TEXT(INDEX(ERP資料!$G:$G, (MATCH(41, 輔助計算!$G$2:$G$801, 0)+1)),"0.##")&amp;"+"&amp;TEXT(INDEX(ERP資料!$G:$G, (MATCH(41, 輔助計算!$G$2:$G$801, 0)+1)),"0.##"),TEXT(INDEX(ERP資料!$G:$G, (MATCH(41, 輔助計算!$G$2:$G$801, 0)+1)),"0.##")&amp;"+"&amp;TEXT(INDEX(ERP資料!$G:$G, (MATCH(41, 輔助計算!$G$2:$G$801, 0)+1)),"0.##")&amp;"+"&amp;TEXT(INDEX(ERP資料!$G:$G, (MATCH(41, 輔助計算!$G$2:$G$801, 0)+1)),"0.##")))&amp;"-"&amp;INT(INDEX(輔助計算!$D:$D, (MATCH(41, 輔助計算!$G$2:$G$801, 0)+1))/IF(INDEX(ERP資料!$G:$G, (MATCH(41, 輔助計算!$G$2:$G$801, 0)+1))&lt;100, IF(INDEX(ERP資料!$G:$G, (MATCH(41, 輔助計算!$G$2:$G$801, 0)+1))&lt;=31,3,IF(INDEX(ERP資料!$G:$G, (MATCH(41, 輔助計算!$G$2:$G$801, 0)+1))&lt;=46.5,2,1)), IF(INDEX(ERP資料!$G:$G, (MATCH(41, 輔助計算!$G$2:$G$801, 0)+1))&lt;=790,3,IF(INDEX(ERP資料!$G:$G, (MATCH(41, 輔助計算!$G$2:$G$801, 0)+1))&lt;=1181,2,1)))), "")&lt;&gt;"",IF(MOD(INDEX(輔助計算!$D:$D, (MATCH(41, 輔助計算!$G$2:$G$801, 0)+1)),IF(INDEX(ERP資料!$G:$G, (MATCH(41, 輔助計算!$G$2:$G$801, 0)+1))&lt;100, IF(INDEX(ERP資料!$G:$G, (MATCH(41, 輔助計算!$G$2:$G$801, 0)+1))&lt;=31,3,IF(INDEX(ERP資料!$G:$G, (MATCH(41, 輔助計算!$G$2:$G$801, 0)+1))&lt;=46.5,2,1)), IF(INDEX(ERP資料!$G:$G, (MATCH(41, 輔助計算!$G$2:$G$801, 0)+1))&lt;=790,3,IF(INDEX(ERP資料!$G:$G, (MATCH(41, 輔助計算!$G$2:$G$801, 0)+1))&lt;=1181,2,1))))=0,"",IF(MOD(INDEX(輔助計算!$D:$D, (MATCH(41, 輔助計算!$G$2:$G$801, 0)+1)),IF(INDEX(ERP資料!$G:$G, (MATCH(41, 輔助計算!$G$2:$G$801, 0)+1))&lt;100, IF(INDEX(ERP資料!$G:$G, (MATCH(41, 輔助計算!$G$2:$G$801, 0)+1))&lt;=31,3,IF(INDEX(ERP資料!$G:$G, (MATCH(41, 輔助計算!$G$2:$G$801, 0)+1))&lt;=46.5,2,1)), IF(INDEX(ERP資料!$G:$G, (MATCH(41, 輔助計算!$G$2:$G$801, 0)+1))&lt;=790,3,IF(INDEX(ERP資料!$G:$G, (MATCH(41, 輔助計算!$G$2:$G$801, 0)+1))&lt;=1181,2,1))))=0,"",IF(MOD(INDEX(輔助計算!$D:$D, (MATCH(41, 輔助計算!$G$2:$G$801, 0)+1)),IF(INDEX(ERP資料!$G:$G, (MATCH(41, 輔助計算!$G$2:$G$801, 0)+1))&lt;100, IF(INDEX(ERP資料!$G:$G, (MATCH(41, 輔助計算!$G$2:$G$801, 0)+1))&lt;=31,3,IF(INDEX(ERP資料!$G:$G, (MATCH(41, 輔助計算!$G$2:$G$801, 0)+1))&lt;=46.5,2,1)), IF(INDEX(ERP資料!$G:$G, (MATCH(41, 輔助計算!$G$2:$G$801, 0)+1))&lt;=790,3,IF(INDEX(ERP資料!$G:$G, (MATCH(41, 輔助計算!$G$2:$G$801, 0)+1))&lt;=1181,2,1))))=1,TEXT(INDEX(ERP資料!$G:$G, (MATCH(41, 輔助計算!$G$2:$G$801, 0)+1)),"0.##"),IF(MOD(INDEX(輔助計算!$D:$D, (MATCH(41, 輔助計算!$G$2:$G$801, 0)+1)),IF(INDEX(ERP資料!$G:$G, (MATCH(41, 輔助計算!$G$2:$G$801, 0)+1))&lt;100, IF(INDEX(ERP資料!$G:$G, (MATCH(41, 輔助計算!$G$2:$G$801, 0)+1))&lt;=31,3,IF(INDEX(ERP資料!$G:$G, (MATCH(41, 輔助計算!$G$2:$G$801, 0)+1))&lt;=46.5,2,1)), IF(INDEX(ERP資料!$G:$G, (MATCH(41, 輔助計算!$G$2:$G$801, 0)+1))&lt;=790,3,IF(INDEX(ERP資料!$G:$G, (MATCH(41, 輔助計算!$G$2:$G$801, 0)+1))&lt;=1181,2,1))))=2,TEXT(INDEX(ERP資料!$G:$G, (MATCH(41, 輔助計算!$G$2:$G$801, 0)+1)),"0.##")&amp;"+"&amp;TEXT(INDEX(ERP資料!$G:$G, (MATCH(41, 輔助計算!$G$2:$G$801, 0)+1)),"0.##"),TEXT(INDEX(ERP資料!$G:$G, (MATCH(41, 輔助計算!$G$2:$G$801, 0)+1)),"0.##")&amp;"+"&amp;TEXT(INDEX(ERP資料!$G:$G, (MATCH(41, 輔助計算!$G$2:$G$801, 0)+1)),"0.##")&amp;"+"&amp;TEXT(INDEX(ERP資料!$G:$G, (MATCH(41, 輔助計算!$G$2:$G$801, 0)+1)),"0.##"))))&amp;"-1")&lt;&gt;""),"  ","")&amp;IF(MOD(INDEX(輔助計算!$D:$D, (MATCH(41, 輔助計算!$G$2:$G$801, 0)+1)),IF(INDEX(ERP資料!$G:$G, (MATCH(41, 輔助計算!$G$2:$G$801, 0)+1))&lt;100, IF(INDEX(ERP資料!$G:$G, (MATCH(41, 輔助計算!$G$2:$G$801, 0)+1))&lt;=31,3,IF(INDEX(ERP資料!$G:$G, (MATCH(41, 輔助計算!$G$2:$G$801, 0)+1))&lt;=46.5,2,1)), IF(INDEX(ERP資料!$G:$G, (MATCH(41, 輔助計算!$G$2:$G$801, 0)+1))&lt;=790,3,IF(INDEX(ERP資料!$G:$G, (MATCH(41, 輔助計算!$G$2:$G$801, 0)+1))&lt;=1181,2,1))))=0,"",IF(MOD(INDEX(輔助計算!$D:$D, (MATCH(41, 輔助計算!$G$2:$G$801, 0)+1)),IF(INDEX(ERP資料!$G:$G, (MATCH(41, 輔助計算!$G$2:$G$801, 0)+1))&lt;100, IF(INDEX(ERP資料!$G:$G, (MATCH(41, 輔助計算!$G$2:$G$801, 0)+1))&lt;=31,3,IF(INDEX(ERP資料!$G:$G, (MATCH(41, 輔助計算!$G$2:$G$801, 0)+1))&lt;=46.5,2,1)), IF(INDEX(ERP資料!$G:$G, (MATCH(41, 輔助計算!$G$2:$G$801, 0)+1))&lt;=790,3,IF(INDEX(ERP資料!$G:$G, (MATCH(41, 輔助計算!$G$2:$G$801, 0)+1))&lt;=1181,2,1))))=0,"",IF(MOD(INDEX(輔助計算!$D:$D, (MATCH(41, 輔助計算!$G$2:$G$801, 0)+1)),IF(INDEX(ERP資料!$G:$G, (MATCH(41, 輔助計算!$G$2:$G$801, 0)+1))&lt;100, IF(INDEX(ERP資料!$G:$G, (MATCH(41, 輔助計算!$G$2:$G$801, 0)+1))&lt;=31,3,IF(INDEX(ERP資料!$G:$G, (MATCH(41, 輔助計算!$G$2:$G$801, 0)+1))&lt;=46.5,2,1)), IF(INDEX(ERP資料!$G:$G, (MATCH(41, 輔助計算!$G$2:$G$801, 0)+1))&lt;=790,3,IF(INDEX(ERP資料!$G:$G, (MATCH(41, 輔助計算!$G$2:$G$801, 0)+1))&lt;=1181,2,1))))=1,TEXT(INDEX(ERP資料!$G:$G, (MATCH(41, 輔助計算!$G$2:$G$801, 0)+1)),"0.##"),IF(MOD(INDEX(輔助計算!$D:$D, (MATCH(41, 輔助計算!$G$2:$G$801, 0)+1)),IF(INDEX(ERP資料!$G:$G, (MATCH(41, 輔助計算!$G$2:$G$801, 0)+1))&lt;100, IF(INDEX(ERP資料!$G:$G, (MATCH(41, 輔助計算!$G$2:$G$801, 0)+1))&lt;=31,3,IF(INDEX(ERP資料!$G:$G, (MATCH(41, 輔助計算!$G$2:$G$801, 0)+1))&lt;=46.5,2,1)), IF(INDEX(ERP資料!$G:$G, (MATCH(41, 輔助計算!$G$2:$G$801, 0)+1))&lt;=790,3,IF(INDEX(ERP資料!$G:$G, (MATCH(41, 輔助計算!$G$2:$G$801, 0)+1))&lt;=1181,2,1))))=2,TEXT(INDEX(ERP資料!$G:$G, (MATCH(41, 輔助計算!$G$2:$G$801, 0)+1)),"0.##")&amp;"+"&amp;TEXT(INDEX(ERP資料!$G:$G, (MATCH(41, 輔助計算!$G$2:$G$801, 0)+1)),"0.##"),TEXT(INDEX(ERP資料!$G:$G, (MATCH(41, 輔助計算!$G$2:$G$801, 0)+1)),"0.##")&amp;"+"&amp;TEXT(INDEX(ERP資料!$G:$G, (MATCH(41, 輔助計算!$G$2:$G$801, 0)+1)),"0.##")&amp;"+"&amp;TEXT(INDEX(ERP資料!$G:$G, (MATCH(41, 輔助計算!$G$2:$G$801, 0)+1)),"0.##"))))&amp;"-1")), ""), "")</f>
        <v/>
      </c>
      <c r="K42" s="16" t="n"/>
      <c r="L42" s="14">
        <f>IFERROR(IF(AND(IFERROR(INDEX(ERP資料!$A:$A, (MATCH(41, 輔助計算!$G$2:$G$801, 0)+1)), "")&lt;&gt;"", IFERROR(INDEX(ERP資料!$A:$A, (MATCH(41, 輔助計算!$G$2:$G$801, 0)+1)), "")&lt;&gt;IFERROR(INDEX(ERP資料!$A:$A, MATCH(40, 輔助計算!$G$2:$G$801, 0)+1), "")), INDEX(ERP資料!$B:$B, (MATCH(41, 輔助計算!$G$2:$G$801, 0)+1)), ""), "")</f>
        <v/>
      </c>
      <c r="M42" s="17" t="n"/>
    </row>
    <row r="43">
      <c r="A43" s="10">
        <f>IFERROR(IF(AND(IFERROR(INDEX(ERP資料!$A:$A, (MATCH(42, 輔助計算!$G$2:$G$801, 0)+1)), "")&lt;&gt;"", IFERROR(INDEX(ERP資料!$A:$A, (MATCH(42, 輔助計算!$G$2:$G$801, 0)+1)), "")&lt;&gt;IFERROR(INDEX(ERP資料!$A:$A, MATCH(41, 輔助計算!$G$2:$G$801, 0)+1), "")), IFERROR(INDEX(ERP資料!$A:$A, (MATCH(42, 輔助計算!$G$2:$G$801, 0)+1)), ""), ""), "")</f>
        <v/>
      </c>
      <c r="B43" s="10">
        <f>IFERROR(IF(AND(IFERROR(INDEX(ERP資料!$A:$A, (MATCH(42, 輔助計算!$G$2:$G$801, 0)+1)), "")&lt;&gt;"", IFERROR(INDEX(ERP資料!$A:$A, (MATCH(42, 輔助計算!$G$2:$G$801, 0)+1)), "")&lt;&gt;IFERROR(INDEX(ERP資料!$A:$A, MATCH(41, 輔助計算!$G$2:$G$801, 0)+1), "")), INDEX(ERP資料!$S:$S, (MATCH(42, 輔助計算!$G$2:$G$801, 0)+1)), ""), "")</f>
        <v/>
      </c>
      <c r="C43" s="19">
        <f>IFERROR(IF(AND(IFERROR(INDEX(ERP資料!$A:$A, (MATCH(42, 輔助計算!$G$2:$G$801, 0)+1)), "")&lt;&gt;"", IFERROR(INDEX(ERP資料!$A:$A, (MATCH(42, 輔助計算!$G$2:$G$801, 0)+1)), "")&lt;&gt;IFERROR(INDEX(ERP資料!$A:$A, MATCH(41, 輔助計算!$G$2:$G$801, 0)+1), "")), IFERROR(VLOOKUP(LEFT(INDEX(ERP資料!$S:$S, (MATCH(42, 輔助計算!$G$2:$G$801, 0)+1)), 4), 紙管對照表!$A:$C, 3, FALSE), ""), ""), "")</f>
        <v/>
      </c>
      <c r="D43" s="16" t="n"/>
      <c r="E43" s="10">
        <f>IFERROR(IF(INDEX(ERP資料!$H:$H, (MATCH(42, 輔助計算!$G$2:$G$801, 0)+1))="","",INDEX(ERP資料!$H:$H, (MATCH(42, 輔助計算!$G$2:$G$801, 0)+1))), "")</f>
        <v/>
      </c>
      <c r="F43" s="10">
        <f>IFERROR(IF(INDEX(ERP資料!$E:$E, (MATCH(42, 輔助計算!$G$2:$G$801, 0)+1))="","",TRIM(INDEX(ERP資料!$E:$E, (MATCH(42, 輔助計算!$G$2:$G$801, 0)+1)))), "")</f>
        <v/>
      </c>
      <c r="G43" s="10">
        <f>IFERROR(IF(INDEX(ERP資料!$F:$F, (MATCH(42, 輔助計算!$G$2:$G$801, 0)+1))="","",INDEX(ERP資料!$F:$F, (MATCH(42, 輔助計算!$G$2:$G$801, 0)+1))), "")</f>
        <v/>
      </c>
      <c r="H43" s="10">
        <f>IFERROR(IF(INDEX(ERP資料!$G:$G, (MATCH(42, 輔助計算!$G$2:$G$801, 0)+1))="","",INDEX(ERP資料!$G:$G, (MATCH(42, 輔助計算!$G$2:$G$801, 0)+1))), "")</f>
        <v/>
      </c>
      <c r="I43" s="15">
        <f>IFERROR(INDEX(輔助計算!$D:$D, (MATCH(42, 輔助計算!$G$2:$G$801, 0)+1)), "")</f>
        <v/>
      </c>
      <c r="J43" s="15">
        <f>IFERROR(IF(AND(INDEX(輔助計算!$D:$D, (MATCH(42, 輔助計算!$G$2:$G$801, 0)+1))&lt;&gt;"", INDEX(ERP資料!$G:$G, (MATCH(42, 輔助計算!$G$2:$G$801, 0)+1))&lt;&gt;""), TRIM(IF(INT(INDEX(輔助計算!$D:$D, (MATCH(42, 輔助計算!$G$2:$G$801, 0)+1))/IF(INDEX(ERP資料!$G:$G, (MATCH(42, 輔助計算!$G$2:$G$801, 0)+1))&lt;100, IF(INDEX(ERP資料!$G:$G, (MATCH(42, 輔助計算!$G$2:$G$801, 0)+1))&lt;=31,3,IF(INDEX(ERP資料!$G:$G, (MATCH(42, 輔助計算!$G$2:$G$801, 0)+1))&lt;=46.5,2,1)), IF(INDEX(ERP資料!$G:$G, (MATCH(42, 輔助計算!$G$2:$G$801, 0)+1))&lt;=790,3,IF(INDEX(ERP資料!$G:$G, (MATCH(42, 輔助計算!$G$2:$G$801, 0)+1))&lt;=1181,2,1))))&gt;0, IF(IF(INDEX(ERP資料!$G:$G, (MATCH(42, 輔助計算!$G$2:$G$801, 0)+1))&lt;100, IF(INDEX(ERP資料!$G:$G, (MATCH(42, 輔助計算!$G$2:$G$801, 0)+1))&lt;=31,3,IF(INDEX(ERP資料!$G:$G, (MATCH(42, 輔助計算!$G$2:$G$801, 0)+1))&lt;=46.5,2,1)), IF(INDEX(ERP資料!$G:$G, (MATCH(42, 輔助計算!$G$2:$G$801, 0)+1))&lt;=790,3,IF(INDEX(ERP資料!$G:$G, (MATCH(42, 輔助計算!$G$2:$G$801, 0)+1))&lt;=1181,2,1)))=1,TEXT(INDEX(ERP資料!$G:$G, (MATCH(42, 輔助計算!$G$2:$G$801, 0)+1)),"0.##"),IF(IF(INDEX(ERP資料!$G:$G, (MATCH(42, 輔助計算!$G$2:$G$801, 0)+1))&lt;100, IF(INDEX(ERP資料!$G:$G, (MATCH(42, 輔助計算!$G$2:$G$801, 0)+1))&lt;=31,3,IF(INDEX(ERP資料!$G:$G, (MATCH(42, 輔助計算!$G$2:$G$801, 0)+1))&lt;=46.5,2,1)), IF(INDEX(ERP資料!$G:$G, (MATCH(42, 輔助計算!$G$2:$G$801, 0)+1))&lt;=790,3,IF(INDEX(ERP資料!$G:$G, (MATCH(42, 輔助計算!$G$2:$G$801, 0)+1))&lt;=1181,2,1)))=2,TEXT(INDEX(ERP資料!$G:$G, (MATCH(42, 輔助計算!$G$2:$G$801, 0)+1)),"0.##")&amp;"+"&amp;TEXT(INDEX(ERP資料!$G:$G, (MATCH(42, 輔助計算!$G$2:$G$801, 0)+1)),"0.##"),TEXT(INDEX(ERP資料!$G:$G, (MATCH(42, 輔助計算!$G$2:$G$801, 0)+1)),"0.##")&amp;"+"&amp;TEXT(INDEX(ERP資料!$G:$G, (MATCH(42, 輔助計算!$G$2:$G$801, 0)+1)),"0.##")&amp;"+"&amp;TEXT(INDEX(ERP資料!$G:$G, (MATCH(42, 輔助計算!$G$2:$G$801, 0)+1)),"0.##")))&amp;"-"&amp;INT(INDEX(輔助計算!$D:$D, (MATCH(42, 輔助計算!$G$2:$G$801, 0)+1))/IF(INDEX(ERP資料!$G:$G, (MATCH(42, 輔助計算!$G$2:$G$801, 0)+1))&lt;100, IF(INDEX(ERP資料!$G:$G, (MATCH(42, 輔助計算!$G$2:$G$801, 0)+1))&lt;=31,3,IF(INDEX(ERP資料!$G:$G, (MATCH(42, 輔助計算!$G$2:$G$801, 0)+1))&lt;=46.5,2,1)), IF(INDEX(ERP資料!$G:$G, (MATCH(42, 輔助計算!$G$2:$G$801, 0)+1))&lt;=790,3,IF(INDEX(ERP資料!$G:$G, (MATCH(42, 輔助計算!$G$2:$G$801, 0)+1))&lt;=1181,2,1)))), "")&amp;IF(AND(IF(INT(INDEX(輔助計算!$D:$D, (MATCH(42, 輔助計算!$G$2:$G$801, 0)+1))/IF(INDEX(ERP資料!$G:$G, (MATCH(42, 輔助計算!$G$2:$G$801, 0)+1))&lt;100, IF(INDEX(ERP資料!$G:$G, (MATCH(42, 輔助計算!$G$2:$G$801, 0)+1))&lt;=31,3,IF(INDEX(ERP資料!$G:$G, (MATCH(42, 輔助計算!$G$2:$G$801, 0)+1))&lt;=46.5,2,1)), IF(INDEX(ERP資料!$G:$G, (MATCH(42, 輔助計算!$G$2:$G$801, 0)+1))&lt;=790,3,IF(INDEX(ERP資料!$G:$G, (MATCH(42, 輔助計算!$G$2:$G$801, 0)+1))&lt;=1181,2,1))))&gt;0, IF(IF(INDEX(ERP資料!$G:$G, (MATCH(42, 輔助計算!$G$2:$G$801, 0)+1))&lt;100, IF(INDEX(ERP資料!$G:$G, (MATCH(42, 輔助計算!$G$2:$G$801, 0)+1))&lt;=31,3,IF(INDEX(ERP資料!$G:$G, (MATCH(42, 輔助計算!$G$2:$G$801, 0)+1))&lt;=46.5,2,1)), IF(INDEX(ERP資料!$G:$G, (MATCH(42, 輔助計算!$G$2:$G$801, 0)+1))&lt;=790,3,IF(INDEX(ERP資料!$G:$G, (MATCH(42, 輔助計算!$G$2:$G$801, 0)+1))&lt;=1181,2,1)))=1,TEXT(INDEX(ERP資料!$G:$G, (MATCH(42, 輔助計算!$G$2:$G$801, 0)+1)),"0.##"),IF(IF(INDEX(ERP資料!$G:$G, (MATCH(42, 輔助計算!$G$2:$G$801, 0)+1))&lt;100, IF(INDEX(ERP資料!$G:$G, (MATCH(42, 輔助計算!$G$2:$G$801, 0)+1))&lt;=31,3,IF(INDEX(ERP資料!$G:$G, (MATCH(42, 輔助計算!$G$2:$G$801, 0)+1))&lt;=46.5,2,1)), IF(INDEX(ERP資料!$G:$G, (MATCH(42, 輔助計算!$G$2:$G$801, 0)+1))&lt;=790,3,IF(INDEX(ERP資料!$G:$G, (MATCH(42, 輔助計算!$G$2:$G$801, 0)+1))&lt;=1181,2,1)))=2,TEXT(INDEX(ERP資料!$G:$G, (MATCH(42, 輔助計算!$G$2:$G$801, 0)+1)),"0.##")&amp;"+"&amp;TEXT(INDEX(ERP資料!$G:$G, (MATCH(42, 輔助計算!$G$2:$G$801, 0)+1)),"0.##"),TEXT(INDEX(ERP資料!$G:$G, (MATCH(42, 輔助計算!$G$2:$G$801, 0)+1)),"0.##")&amp;"+"&amp;TEXT(INDEX(ERP資料!$G:$G, (MATCH(42, 輔助計算!$G$2:$G$801, 0)+1)),"0.##")&amp;"+"&amp;TEXT(INDEX(ERP資料!$G:$G, (MATCH(42, 輔助計算!$G$2:$G$801, 0)+1)),"0.##")))&amp;"-"&amp;INT(INDEX(輔助計算!$D:$D, (MATCH(42, 輔助計算!$G$2:$G$801, 0)+1))/IF(INDEX(ERP資料!$G:$G, (MATCH(42, 輔助計算!$G$2:$G$801, 0)+1))&lt;100, IF(INDEX(ERP資料!$G:$G, (MATCH(42, 輔助計算!$G$2:$G$801, 0)+1))&lt;=31,3,IF(INDEX(ERP資料!$G:$G, (MATCH(42, 輔助計算!$G$2:$G$801, 0)+1))&lt;=46.5,2,1)), IF(INDEX(ERP資料!$G:$G, (MATCH(42, 輔助計算!$G$2:$G$801, 0)+1))&lt;=790,3,IF(INDEX(ERP資料!$G:$G, (MATCH(42, 輔助計算!$G$2:$G$801, 0)+1))&lt;=1181,2,1)))), "")&lt;&gt;"",IF(MOD(INDEX(輔助計算!$D:$D, (MATCH(42, 輔助計算!$G$2:$G$801, 0)+1)),IF(INDEX(ERP資料!$G:$G, (MATCH(42, 輔助計算!$G$2:$G$801, 0)+1))&lt;100, IF(INDEX(ERP資料!$G:$G, (MATCH(42, 輔助計算!$G$2:$G$801, 0)+1))&lt;=31,3,IF(INDEX(ERP資料!$G:$G, (MATCH(42, 輔助計算!$G$2:$G$801, 0)+1))&lt;=46.5,2,1)), IF(INDEX(ERP資料!$G:$G, (MATCH(42, 輔助計算!$G$2:$G$801, 0)+1))&lt;=790,3,IF(INDEX(ERP資料!$G:$G, (MATCH(42, 輔助計算!$G$2:$G$801, 0)+1))&lt;=1181,2,1))))=0,"",IF(MOD(INDEX(輔助計算!$D:$D, (MATCH(42, 輔助計算!$G$2:$G$801, 0)+1)),IF(INDEX(ERP資料!$G:$G, (MATCH(42, 輔助計算!$G$2:$G$801, 0)+1))&lt;100, IF(INDEX(ERP資料!$G:$G, (MATCH(42, 輔助計算!$G$2:$G$801, 0)+1))&lt;=31,3,IF(INDEX(ERP資料!$G:$G, (MATCH(42, 輔助計算!$G$2:$G$801, 0)+1))&lt;=46.5,2,1)), IF(INDEX(ERP資料!$G:$G, (MATCH(42, 輔助計算!$G$2:$G$801, 0)+1))&lt;=790,3,IF(INDEX(ERP資料!$G:$G, (MATCH(42, 輔助計算!$G$2:$G$801, 0)+1))&lt;=1181,2,1))))=0,"",IF(MOD(INDEX(輔助計算!$D:$D, (MATCH(42, 輔助計算!$G$2:$G$801, 0)+1)),IF(INDEX(ERP資料!$G:$G, (MATCH(42, 輔助計算!$G$2:$G$801, 0)+1))&lt;100, IF(INDEX(ERP資料!$G:$G, (MATCH(42, 輔助計算!$G$2:$G$801, 0)+1))&lt;=31,3,IF(INDEX(ERP資料!$G:$G, (MATCH(42, 輔助計算!$G$2:$G$801, 0)+1))&lt;=46.5,2,1)), IF(INDEX(ERP資料!$G:$G, (MATCH(42, 輔助計算!$G$2:$G$801, 0)+1))&lt;=790,3,IF(INDEX(ERP資料!$G:$G, (MATCH(42, 輔助計算!$G$2:$G$801, 0)+1))&lt;=1181,2,1))))=1,TEXT(INDEX(ERP資料!$G:$G, (MATCH(42, 輔助計算!$G$2:$G$801, 0)+1)),"0.##"),IF(MOD(INDEX(輔助計算!$D:$D, (MATCH(42, 輔助計算!$G$2:$G$801, 0)+1)),IF(INDEX(ERP資料!$G:$G, (MATCH(42, 輔助計算!$G$2:$G$801, 0)+1))&lt;100, IF(INDEX(ERP資料!$G:$G, (MATCH(42, 輔助計算!$G$2:$G$801, 0)+1))&lt;=31,3,IF(INDEX(ERP資料!$G:$G, (MATCH(42, 輔助計算!$G$2:$G$801, 0)+1))&lt;=46.5,2,1)), IF(INDEX(ERP資料!$G:$G, (MATCH(42, 輔助計算!$G$2:$G$801, 0)+1))&lt;=790,3,IF(INDEX(ERP資料!$G:$G, (MATCH(42, 輔助計算!$G$2:$G$801, 0)+1))&lt;=1181,2,1))))=2,TEXT(INDEX(ERP資料!$G:$G, (MATCH(42, 輔助計算!$G$2:$G$801, 0)+1)),"0.##")&amp;"+"&amp;TEXT(INDEX(ERP資料!$G:$G, (MATCH(42, 輔助計算!$G$2:$G$801, 0)+1)),"0.##"),TEXT(INDEX(ERP資料!$G:$G, (MATCH(42, 輔助計算!$G$2:$G$801, 0)+1)),"0.##")&amp;"+"&amp;TEXT(INDEX(ERP資料!$G:$G, (MATCH(42, 輔助計算!$G$2:$G$801, 0)+1)),"0.##")&amp;"+"&amp;TEXT(INDEX(ERP資料!$G:$G, (MATCH(42, 輔助計算!$G$2:$G$801, 0)+1)),"0.##"))))&amp;"-1")&lt;&gt;""),"  ","")&amp;IF(MOD(INDEX(輔助計算!$D:$D, (MATCH(42, 輔助計算!$G$2:$G$801, 0)+1)),IF(INDEX(ERP資料!$G:$G, (MATCH(42, 輔助計算!$G$2:$G$801, 0)+1))&lt;100, IF(INDEX(ERP資料!$G:$G, (MATCH(42, 輔助計算!$G$2:$G$801, 0)+1))&lt;=31,3,IF(INDEX(ERP資料!$G:$G, (MATCH(42, 輔助計算!$G$2:$G$801, 0)+1))&lt;=46.5,2,1)), IF(INDEX(ERP資料!$G:$G, (MATCH(42, 輔助計算!$G$2:$G$801, 0)+1))&lt;=790,3,IF(INDEX(ERP資料!$G:$G, (MATCH(42, 輔助計算!$G$2:$G$801, 0)+1))&lt;=1181,2,1))))=0,"",IF(MOD(INDEX(輔助計算!$D:$D, (MATCH(42, 輔助計算!$G$2:$G$801, 0)+1)),IF(INDEX(ERP資料!$G:$G, (MATCH(42, 輔助計算!$G$2:$G$801, 0)+1))&lt;100, IF(INDEX(ERP資料!$G:$G, (MATCH(42, 輔助計算!$G$2:$G$801, 0)+1))&lt;=31,3,IF(INDEX(ERP資料!$G:$G, (MATCH(42, 輔助計算!$G$2:$G$801, 0)+1))&lt;=46.5,2,1)), IF(INDEX(ERP資料!$G:$G, (MATCH(42, 輔助計算!$G$2:$G$801, 0)+1))&lt;=790,3,IF(INDEX(ERP資料!$G:$G, (MATCH(42, 輔助計算!$G$2:$G$801, 0)+1))&lt;=1181,2,1))))=0,"",IF(MOD(INDEX(輔助計算!$D:$D, (MATCH(42, 輔助計算!$G$2:$G$801, 0)+1)),IF(INDEX(ERP資料!$G:$G, (MATCH(42, 輔助計算!$G$2:$G$801, 0)+1))&lt;100, IF(INDEX(ERP資料!$G:$G, (MATCH(42, 輔助計算!$G$2:$G$801, 0)+1))&lt;=31,3,IF(INDEX(ERP資料!$G:$G, (MATCH(42, 輔助計算!$G$2:$G$801, 0)+1))&lt;=46.5,2,1)), IF(INDEX(ERP資料!$G:$G, (MATCH(42, 輔助計算!$G$2:$G$801, 0)+1))&lt;=790,3,IF(INDEX(ERP資料!$G:$G, (MATCH(42, 輔助計算!$G$2:$G$801, 0)+1))&lt;=1181,2,1))))=1,TEXT(INDEX(ERP資料!$G:$G, (MATCH(42, 輔助計算!$G$2:$G$801, 0)+1)),"0.##"),IF(MOD(INDEX(輔助計算!$D:$D, (MATCH(42, 輔助計算!$G$2:$G$801, 0)+1)),IF(INDEX(ERP資料!$G:$G, (MATCH(42, 輔助計算!$G$2:$G$801, 0)+1))&lt;100, IF(INDEX(ERP資料!$G:$G, (MATCH(42, 輔助計算!$G$2:$G$801, 0)+1))&lt;=31,3,IF(INDEX(ERP資料!$G:$G, (MATCH(42, 輔助計算!$G$2:$G$801, 0)+1))&lt;=46.5,2,1)), IF(INDEX(ERP資料!$G:$G, (MATCH(42, 輔助計算!$G$2:$G$801, 0)+1))&lt;=790,3,IF(INDEX(ERP資料!$G:$G, (MATCH(42, 輔助計算!$G$2:$G$801, 0)+1))&lt;=1181,2,1))))=2,TEXT(INDEX(ERP資料!$G:$G, (MATCH(42, 輔助計算!$G$2:$G$801, 0)+1)),"0.##")&amp;"+"&amp;TEXT(INDEX(ERP資料!$G:$G, (MATCH(42, 輔助計算!$G$2:$G$801, 0)+1)),"0.##"),TEXT(INDEX(ERP資料!$G:$G, (MATCH(42, 輔助計算!$G$2:$G$801, 0)+1)),"0.##")&amp;"+"&amp;TEXT(INDEX(ERP資料!$G:$G, (MATCH(42, 輔助計算!$G$2:$G$801, 0)+1)),"0.##")&amp;"+"&amp;TEXT(INDEX(ERP資料!$G:$G, (MATCH(42, 輔助計算!$G$2:$G$801, 0)+1)),"0.##"))))&amp;"-1")), ""), "")</f>
        <v/>
      </c>
      <c r="K43" s="16" t="n"/>
      <c r="L43" s="14">
        <f>IFERROR(IF(AND(IFERROR(INDEX(ERP資料!$A:$A, (MATCH(42, 輔助計算!$G$2:$G$801, 0)+1)), "")&lt;&gt;"", IFERROR(INDEX(ERP資料!$A:$A, (MATCH(42, 輔助計算!$G$2:$G$801, 0)+1)), "")&lt;&gt;IFERROR(INDEX(ERP資料!$A:$A, MATCH(41, 輔助計算!$G$2:$G$801, 0)+1), "")), INDEX(ERP資料!$B:$B, (MATCH(42, 輔助計算!$G$2:$G$801, 0)+1)), ""), "")</f>
        <v/>
      </c>
      <c r="M43" s="17" t="n"/>
    </row>
    <row r="44">
      <c r="A44" s="10">
        <f>IFERROR(IF(AND(IFERROR(INDEX(ERP資料!$A:$A, (MATCH(43, 輔助計算!$G$2:$G$801, 0)+1)), "")&lt;&gt;"", IFERROR(INDEX(ERP資料!$A:$A, (MATCH(43, 輔助計算!$G$2:$G$801, 0)+1)), "")&lt;&gt;IFERROR(INDEX(ERP資料!$A:$A, MATCH(42, 輔助計算!$G$2:$G$801, 0)+1), "")), IFERROR(INDEX(ERP資料!$A:$A, (MATCH(43, 輔助計算!$G$2:$G$801, 0)+1)), ""), ""), "")</f>
        <v/>
      </c>
      <c r="B44" s="10">
        <f>IFERROR(IF(AND(IFERROR(INDEX(ERP資料!$A:$A, (MATCH(43, 輔助計算!$G$2:$G$801, 0)+1)), "")&lt;&gt;"", IFERROR(INDEX(ERP資料!$A:$A, (MATCH(43, 輔助計算!$G$2:$G$801, 0)+1)), "")&lt;&gt;IFERROR(INDEX(ERP資料!$A:$A, MATCH(42, 輔助計算!$G$2:$G$801, 0)+1), "")), INDEX(ERP資料!$S:$S, (MATCH(43, 輔助計算!$G$2:$G$801, 0)+1)), ""), "")</f>
        <v/>
      </c>
      <c r="C44" s="19">
        <f>IFERROR(IF(AND(IFERROR(INDEX(ERP資料!$A:$A, (MATCH(43, 輔助計算!$G$2:$G$801, 0)+1)), "")&lt;&gt;"", IFERROR(INDEX(ERP資料!$A:$A, (MATCH(43, 輔助計算!$G$2:$G$801, 0)+1)), "")&lt;&gt;IFERROR(INDEX(ERP資料!$A:$A, MATCH(42, 輔助計算!$G$2:$G$801, 0)+1), "")), IFERROR(VLOOKUP(LEFT(INDEX(ERP資料!$S:$S, (MATCH(43, 輔助計算!$G$2:$G$801, 0)+1)), 4), 紙管對照表!$A:$C, 3, FALSE), ""), ""), "")</f>
        <v/>
      </c>
      <c r="D44" s="16" t="n"/>
      <c r="E44" s="10">
        <f>IFERROR(IF(INDEX(ERP資料!$H:$H, (MATCH(43, 輔助計算!$G$2:$G$801, 0)+1))="","",INDEX(ERP資料!$H:$H, (MATCH(43, 輔助計算!$G$2:$G$801, 0)+1))), "")</f>
        <v/>
      </c>
      <c r="F44" s="10">
        <f>IFERROR(IF(INDEX(ERP資料!$E:$E, (MATCH(43, 輔助計算!$G$2:$G$801, 0)+1))="","",TRIM(INDEX(ERP資料!$E:$E, (MATCH(43, 輔助計算!$G$2:$G$801, 0)+1)))), "")</f>
        <v/>
      </c>
      <c r="G44" s="10">
        <f>IFERROR(IF(INDEX(ERP資料!$F:$F, (MATCH(43, 輔助計算!$G$2:$G$801, 0)+1))="","",INDEX(ERP資料!$F:$F, (MATCH(43, 輔助計算!$G$2:$G$801, 0)+1))), "")</f>
        <v/>
      </c>
      <c r="H44" s="10">
        <f>IFERROR(IF(INDEX(ERP資料!$G:$G, (MATCH(43, 輔助計算!$G$2:$G$801, 0)+1))="","",INDEX(ERP資料!$G:$G, (MATCH(43, 輔助計算!$G$2:$G$801, 0)+1))), "")</f>
        <v/>
      </c>
      <c r="I44" s="15">
        <f>IFERROR(INDEX(輔助計算!$D:$D, (MATCH(43, 輔助計算!$G$2:$G$801, 0)+1)), "")</f>
        <v/>
      </c>
      <c r="J44" s="15">
        <f>IFERROR(IF(AND(INDEX(輔助計算!$D:$D, (MATCH(43, 輔助計算!$G$2:$G$801, 0)+1))&lt;&gt;"", INDEX(ERP資料!$G:$G, (MATCH(43, 輔助計算!$G$2:$G$801, 0)+1))&lt;&gt;""), TRIM(IF(INT(INDEX(輔助計算!$D:$D, (MATCH(43, 輔助計算!$G$2:$G$801, 0)+1))/IF(INDEX(ERP資料!$G:$G, (MATCH(43, 輔助計算!$G$2:$G$801, 0)+1))&lt;100, IF(INDEX(ERP資料!$G:$G, (MATCH(43, 輔助計算!$G$2:$G$801, 0)+1))&lt;=31,3,IF(INDEX(ERP資料!$G:$G, (MATCH(43, 輔助計算!$G$2:$G$801, 0)+1))&lt;=46.5,2,1)), IF(INDEX(ERP資料!$G:$G, (MATCH(43, 輔助計算!$G$2:$G$801, 0)+1))&lt;=790,3,IF(INDEX(ERP資料!$G:$G, (MATCH(43, 輔助計算!$G$2:$G$801, 0)+1))&lt;=1181,2,1))))&gt;0, IF(IF(INDEX(ERP資料!$G:$G, (MATCH(43, 輔助計算!$G$2:$G$801, 0)+1))&lt;100, IF(INDEX(ERP資料!$G:$G, (MATCH(43, 輔助計算!$G$2:$G$801, 0)+1))&lt;=31,3,IF(INDEX(ERP資料!$G:$G, (MATCH(43, 輔助計算!$G$2:$G$801, 0)+1))&lt;=46.5,2,1)), IF(INDEX(ERP資料!$G:$G, (MATCH(43, 輔助計算!$G$2:$G$801, 0)+1))&lt;=790,3,IF(INDEX(ERP資料!$G:$G, (MATCH(43, 輔助計算!$G$2:$G$801, 0)+1))&lt;=1181,2,1)))=1,TEXT(INDEX(ERP資料!$G:$G, (MATCH(43, 輔助計算!$G$2:$G$801, 0)+1)),"0.##"),IF(IF(INDEX(ERP資料!$G:$G, (MATCH(43, 輔助計算!$G$2:$G$801, 0)+1))&lt;100, IF(INDEX(ERP資料!$G:$G, (MATCH(43, 輔助計算!$G$2:$G$801, 0)+1))&lt;=31,3,IF(INDEX(ERP資料!$G:$G, (MATCH(43, 輔助計算!$G$2:$G$801, 0)+1))&lt;=46.5,2,1)), IF(INDEX(ERP資料!$G:$G, (MATCH(43, 輔助計算!$G$2:$G$801, 0)+1))&lt;=790,3,IF(INDEX(ERP資料!$G:$G, (MATCH(43, 輔助計算!$G$2:$G$801, 0)+1))&lt;=1181,2,1)))=2,TEXT(INDEX(ERP資料!$G:$G, (MATCH(43, 輔助計算!$G$2:$G$801, 0)+1)),"0.##")&amp;"+"&amp;TEXT(INDEX(ERP資料!$G:$G, (MATCH(43, 輔助計算!$G$2:$G$801, 0)+1)),"0.##"),TEXT(INDEX(ERP資料!$G:$G, (MATCH(43, 輔助計算!$G$2:$G$801, 0)+1)),"0.##")&amp;"+"&amp;TEXT(INDEX(ERP資料!$G:$G, (MATCH(43, 輔助計算!$G$2:$G$801, 0)+1)),"0.##")&amp;"+"&amp;TEXT(INDEX(ERP資料!$G:$G, (MATCH(43, 輔助計算!$G$2:$G$801, 0)+1)),"0.##")))&amp;"-"&amp;INT(INDEX(輔助計算!$D:$D, (MATCH(43, 輔助計算!$G$2:$G$801, 0)+1))/IF(INDEX(ERP資料!$G:$G, (MATCH(43, 輔助計算!$G$2:$G$801, 0)+1))&lt;100, IF(INDEX(ERP資料!$G:$G, (MATCH(43, 輔助計算!$G$2:$G$801, 0)+1))&lt;=31,3,IF(INDEX(ERP資料!$G:$G, (MATCH(43, 輔助計算!$G$2:$G$801, 0)+1))&lt;=46.5,2,1)), IF(INDEX(ERP資料!$G:$G, (MATCH(43, 輔助計算!$G$2:$G$801, 0)+1))&lt;=790,3,IF(INDEX(ERP資料!$G:$G, (MATCH(43, 輔助計算!$G$2:$G$801, 0)+1))&lt;=1181,2,1)))), "")&amp;IF(AND(IF(INT(INDEX(輔助計算!$D:$D, (MATCH(43, 輔助計算!$G$2:$G$801, 0)+1))/IF(INDEX(ERP資料!$G:$G, (MATCH(43, 輔助計算!$G$2:$G$801, 0)+1))&lt;100, IF(INDEX(ERP資料!$G:$G, (MATCH(43, 輔助計算!$G$2:$G$801, 0)+1))&lt;=31,3,IF(INDEX(ERP資料!$G:$G, (MATCH(43, 輔助計算!$G$2:$G$801, 0)+1))&lt;=46.5,2,1)), IF(INDEX(ERP資料!$G:$G, (MATCH(43, 輔助計算!$G$2:$G$801, 0)+1))&lt;=790,3,IF(INDEX(ERP資料!$G:$G, (MATCH(43, 輔助計算!$G$2:$G$801, 0)+1))&lt;=1181,2,1))))&gt;0, IF(IF(INDEX(ERP資料!$G:$G, (MATCH(43, 輔助計算!$G$2:$G$801, 0)+1))&lt;100, IF(INDEX(ERP資料!$G:$G, (MATCH(43, 輔助計算!$G$2:$G$801, 0)+1))&lt;=31,3,IF(INDEX(ERP資料!$G:$G, (MATCH(43, 輔助計算!$G$2:$G$801, 0)+1))&lt;=46.5,2,1)), IF(INDEX(ERP資料!$G:$G, (MATCH(43, 輔助計算!$G$2:$G$801, 0)+1))&lt;=790,3,IF(INDEX(ERP資料!$G:$G, (MATCH(43, 輔助計算!$G$2:$G$801, 0)+1))&lt;=1181,2,1)))=1,TEXT(INDEX(ERP資料!$G:$G, (MATCH(43, 輔助計算!$G$2:$G$801, 0)+1)),"0.##"),IF(IF(INDEX(ERP資料!$G:$G, (MATCH(43, 輔助計算!$G$2:$G$801, 0)+1))&lt;100, IF(INDEX(ERP資料!$G:$G, (MATCH(43, 輔助計算!$G$2:$G$801, 0)+1))&lt;=31,3,IF(INDEX(ERP資料!$G:$G, (MATCH(43, 輔助計算!$G$2:$G$801, 0)+1))&lt;=46.5,2,1)), IF(INDEX(ERP資料!$G:$G, (MATCH(43, 輔助計算!$G$2:$G$801, 0)+1))&lt;=790,3,IF(INDEX(ERP資料!$G:$G, (MATCH(43, 輔助計算!$G$2:$G$801, 0)+1))&lt;=1181,2,1)))=2,TEXT(INDEX(ERP資料!$G:$G, (MATCH(43, 輔助計算!$G$2:$G$801, 0)+1)),"0.##")&amp;"+"&amp;TEXT(INDEX(ERP資料!$G:$G, (MATCH(43, 輔助計算!$G$2:$G$801, 0)+1)),"0.##"),TEXT(INDEX(ERP資料!$G:$G, (MATCH(43, 輔助計算!$G$2:$G$801, 0)+1)),"0.##")&amp;"+"&amp;TEXT(INDEX(ERP資料!$G:$G, (MATCH(43, 輔助計算!$G$2:$G$801, 0)+1)),"0.##")&amp;"+"&amp;TEXT(INDEX(ERP資料!$G:$G, (MATCH(43, 輔助計算!$G$2:$G$801, 0)+1)),"0.##")))&amp;"-"&amp;INT(INDEX(輔助計算!$D:$D, (MATCH(43, 輔助計算!$G$2:$G$801, 0)+1))/IF(INDEX(ERP資料!$G:$G, (MATCH(43, 輔助計算!$G$2:$G$801, 0)+1))&lt;100, IF(INDEX(ERP資料!$G:$G, (MATCH(43, 輔助計算!$G$2:$G$801, 0)+1))&lt;=31,3,IF(INDEX(ERP資料!$G:$G, (MATCH(43, 輔助計算!$G$2:$G$801, 0)+1))&lt;=46.5,2,1)), IF(INDEX(ERP資料!$G:$G, (MATCH(43, 輔助計算!$G$2:$G$801, 0)+1))&lt;=790,3,IF(INDEX(ERP資料!$G:$G, (MATCH(43, 輔助計算!$G$2:$G$801, 0)+1))&lt;=1181,2,1)))), "")&lt;&gt;"",IF(MOD(INDEX(輔助計算!$D:$D, (MATCH(43, 輔助計算!$G$2:$G$801, 0)+1)),IF(INDEX(ERP資料!$G:$G, (MATCH(43, 輔助計算!$G$2:$G$801, 0)+1))&lt;100, IF(INDEX(ERP資料!$G:$G, (MATCH(43, 輔助計算!$G$2:$G$801, 0)+1))&lt;=31,3,IF(INDEX(ERP資料!$G:$G, (MATCH(43, 輔助計算!$G$2:$G$801, 0)+1))&lt;=46.5,2,1)), IF(INDEX(ERP資料!$G:$G, (MATCH(43, 輔助計算!$G$2:$G$801, 0)+1))&lt;=790,3,IF(INDEX(ERP資料!$G:$G, (MATCH(43, 輔助計算!$G$2:$G$801, 0)+1))&lt;=1181,2,1))))=0,"",IF(MOD(INDEX(輔助計算!$D:$D, (MATCH(43, 輔助計算!$G$2:$G$801, 0)+1)),IF(INDEX(ERP資料!$G:$G, (MATCH(43, 輔助計算!$G$2:$G$801, 0)+1))&lt;100, IF(INDEX(ERP資料!$G:$G, (MATCH(43, 輔助計算!$G$2:$G$801, 0)+1))&lt;=31,3,IF(INDEX(ERP資料!$G:$G, (MATCH(43, 輔助計算!$G$2:$G$801, 0)+1))&lt;=46.5,2,1)), IF(INDEX(ERP資料!$G:$G, (MATCH(43, 輔助計算!$G$2:$G$801, 0)+1))&lt;=790,3,IF(INDEX(ERP資料!$G:$G, (MATCH(43, 輔助計算!$G$2:$G$801, 0)+1))&lt;=1181,2,1))))=0,"",IF(MOD(INDEX(輔助計算!$D:$D, (MATCH(43, 輔助計算!$G$2:$G$801, 0)+1)),IF(INDEX(ERP資料!$G:$G, (MATCH(43, 輔助計算!$G$2:$G$801, 0)+1))&lt;100, IF(INDEX(ERP資料!$G:$G, (MATCH(43, 輔助計算!$G$2:$G$801, 0)+1))&lt;=31,3,IF(INDEX(ERP資料!$G:$G, (MATCH(43, 輔助計算!$G$2:$G$801, 0)+1))&lt;=46.5,2,1)), IF(INDEX(ERP資料!$G:$G, (MATCH(43, 輔助計算!$G$2:$G$801, 0)+1))&lt;=790,3,IF(INDEX(ERP資料!$G:$G, (MATCH(43, 輔助計算!$G$2:$G$801, 0)+1))&lt;=1181,2,1))))=1,TEXT(INDEX(ERP資料!$G:$G, (MATCH(43, 輔助計算!$G$2:$G$801, 0)+1)),"0.##"),IF(MOD(INDEX(輔助計算!$D:$D, (MATCH(43, 輔助計算!$G$2:$G$801, 0)+1)),IF(INDEX(ERP資料!$G:$G, (MATCH(43, 輔助計算!$G$2:$G$801, 0)+1))&lt;100, IF(INDEX(ERP資料!$G:$G, (MATCH(43, 輔助計算!$G$2:$G$801, 0)+1))&lt;=31,3,IF(INDEX(ERP資料!$G:$G, (MATCH(43, 輔助計算!$G$2:$G$801, 0)+1))&lt;=46.5,2,1)), IF(INDEX(ERP資料!$G:$G, (MATCH(43, 輔助計算!$G$2:$G$801, 0)+1))&lt;=790,3,IF(INDEX(ERP資料!$G:$G, (MATCH(43, 輔助計算!$G$2:$G$801, 0)+1))&lt;=1181,2,1))))=2,TEXT(INDEX(ERP資料!$G:$G, (MATCH(43, 輔助計算!$G$2:$G$801, 0)+1)),"0.##")&amp;"+"&amp;TEXT(INDEX(ERP資料!$G:$G, (MATCH(43, 輔助計算!$G$2:$G$801, 0)+1)),"0.##"),TEXT(INDEX(ERP資料!$G:$G, (MATCH(43, 輔助計算!$G$2:$G$801, 0)+1)),"0.##")&amp;"+"&amp;TEXT(INDEX(ERP資料!$G:$G, (MATCH(43, 輔助計算!$G$2:$G$801, 0)+1)),"0.##")&amp;"+"&amp;TEXT(INDEX(ERP資料!$G:$G, (MATCH(43, 輔助計算!$G$2:$G$801, 0)+1)),"0.##"))))&amp;"-1")&lt;&gt;""),"  ","")&amp;IF(MOD(INDEX(輔助計算!$D:$D, (MATCH(43, 輔助計算!$G$2:$G$801, 0)+1)),IF(INDEX(ERP資料!$G:$G, (MATCH(43, 輔助計算!$G$2:$G$801, 0)+1))&lt;100, IF(INDEX(ERP資料!$G:$G, (MATCH(43, 輔助計算!$G$2:$G$801, 0)+1))&lt;=31,3,IF(INDEX(ERP資料!$G:$G, (MATCH(43, 輔助計算!$G$2:$G$801, 0)+1))&lt;=46.5,2,1)), IF(INDEX(ERP資料!$G:$G, (MATCH(43, 輔助計算!$G$2:$G$801, 0)+1))&lt;=790,3,IF(INDEX(ERP資料!$G:$G, (MATCH(43, 輔助計算!$G$2:$G$801, 0)+1))&lt;=1181,2,1))))=0,"",IF(MOD(INDEX(輔助計算!$D:$D, (MATCH(43, 輔助計算!$G$2:$G$801, 0)+1)),IF(INDEX(ERP資料!$G:$G, (MATCH(43, 輔助計算!$G$2:$G$801, 0)+1))&lt;100, IF(INDEX(ERP資料!$G:$G, (MATCH(43, 輔助計算!$G$2:$G$801, 0)+1))&lt;=31,3,IF(INDEX(ERP資料!$G:$G, (MATCH(43, 輔助計算!$G$2:$G$801, 0)+1))&lt;=46.5,2,1)), IF(INDEX(ERP資料!$G:$G, (MATCH(43, 輔助計算!$G$2:$G$801, 0)+1))&lt;=790,3,IF(INDEX(ERP資料!$G:$G, (MATCH(43, 輔助計算!$G$2:$G$801, 0)+1))&lt;=1181,2,1))))=0,"",IF(MOD(INDEX(輔助計算!$D:$D, (MATCH(43, 輔助計算!$G$2:$G$801, 0)+1)),IF(INDEX(ERP資料!$G:$G, (MATCH(43, 輔助計算!$G$2:$G$801, 0)+1))&lt;100, IF(INDEX(ERP資料!$G:$G, (MATCH(43, 輔助計算!$G$2:$G$801, 0)+1))&lt;=31,3,IF(INDEX(ERP資料!$G:$G, (MATCH(43, 輔助計算!$G$2:$G$801, 0)+1))&lt;=46.5,2,1)), IF(INDEX(ERP資料!$G:$G, (MATCH(43, 輔助計算!$G$2:$G$801, 0)+1))&lt;=790,3,IF(INDEX(ERP資料!$G:$G, (MATCH(43, 輔助計算!$G$2:$G$801, 0)+1))&lt;=1181,2,1))))=1,TEXT(INDEX(ERP資料!$G:$G, (MATCH(43, 輔助計算!$G$2:$G$801, 0)+1)),"0.##"),IF(MOD(INDEX(輔助計算!$D:$D, (MATCH(43, 輔助計算!$G$2:$G$801, 0)+1)),IF(INDEX(ERP資料!$G:$G, (MATCH(43, 輔助計算!$G$2:$G$801, 0)+1))&lt;100, IF(INDEX(ERP資料!$G:$G, (MATCH(43, 輔助計算!$G$2:$G$801, 0)+1))&lt;=31,3,IF(INDEX(ERP資料!$G:$G, (MATCH(43, 輔助計算!$G$2:$G$801, 0)+1))&lt;=46.5,2,1)), IF(INDEX(ERP資料!$G:$G, (MATCH(43, 輔助計算!$G$2:$G$801, 0)+1))&lt;=790,3,IF(INDEX(ERP資料!$G:$G, (MATCH(43, 輔助計算!$G$2:$G$801, 0)+1))&lt;=1181,2,1))))=2,TEXT(INDEX(ERP資料!$G:$G, (MATCH(43, 輔助計算!$G$2:$G$801, 0)+1)),"0.##")&amp;"+"&amp;TEXT(INDEX(ERP資料!$G:$G, (MATCH(43, 輔助計算!$G$2:$G$801, 0)+1)),"0.##"),TEXT(INDEX(ERP資料!$G:$G, (MATCH(43, 輔助計算!$G$2:$G$801, 0)+1)),"0.##")&amp;"+"&amp;TEXT(INDEX(ERP資料!$G:$G, (MATCH(43, 輔助計算!$G$2:$G$801, 0)+1)),"0.##")&amp;"+"&amp;TEXT(INDEX(ERP資料!$G:$G, (MATCH(43, 輔助計算!$G$2:$G$801, 0)+1)),"0.##"))))&amp;"-1")), ""), "")</f>
        <v/>
      </c>
      <c r="K44" s="16" t="n"/>
      <c r="L44" s="14">
        <f>IFERROR(IF(AND(IFERROR(INDEX(ERP資料!$A:$A, (MATCH(43, 輔助計算!$G$2:$G$801, 0)+1)), "")&lt;&gt;"", IFERROR(INDEX(ERP資料!$A:$A, (MATCH(43, 輔助計算!$G$2:$G$801, 0)+1)), "")&lt;&gt;IFERROR(INDEX(ERP資料!$A:$A, MATCH(42, 輔助計算!$G$2:$G$801, 0)+1), "")), INDEX(ERP資料!$B:$B, (MATCH(43, 輔助計算!$G$2:$G$801, 0)+1)), ""), "")</f>
        <v/>
      </c>
      <c r="M44" s="17" t="n"/>
    </row>
    <row r="45">
      <c r="A45" s="10">
        <f>IFERROR(IF(AND(IFERROR(INDEX(ERP資料!$A:$A, (MATCH(44, 輔助計算!$G$2:$G$801, 0)+1)), "")&lt;&gt;"", IFERROR(INDEX(ERP資料!$A:$A, (MATCH(44, 輔助計算!$G$2:$G$801, 0)+1)), "")&lt;&gt;IFERROR(INDEX(ERP資料!$A:$A, MATCH(43, 輔助計算!$G$2:$G$801, 0)+1), "")), IFERROR(INDEX(ERP資料!$A:$A, (MATCH(44, 輔助計算!$G$2:$G$801, 0)+1)), ""), ""), "")</f>
        <v/>
      </c>
      <c r="B45" s="10">
        <f>IFERROR(IF(AND(IFERROR(INDEX(ERP資料!$A:$A, (MATCH(44, 輔助計算!$G$2:$G$801, 0)+1)), "")&lt;&gt;"", IFERROR(INDEX(ERP資料!$A:$A, (MATCH(44, 輔助計算!$G$2:$G$801, 0)+1)), "")&lt;&gt;IFERROR(INDEX(ERP資料!$A:$A, MATCH(43, 輔助計算!$G$2:$G$801, 0)+1), "")), INDEX(ERP資料!$S:$S, (MATCH(44, 輔助計算!$G$2:$G$801, 0)+1)), ""), "")</f>
        <v/>
      </c>
      <c r="C45" s="19">
        <f>IFERROR(IF(AND(IFERROR(INDEX(ERP資料!$A:$A, (MATCH(44, 輔助計算!$G$2:$G$801, 0)+1)), "")&lt;&gt;"", IFERROR(INDEX(ERP資料!$A:$A, (MATCH(44, 輔助計算!$G$2:$G$801, 0)+1)), "")&lt;&gt;IFERROR(INDEX(ERP資料!$A:$A, MATCH(43, 輔助計算!$G$2:$G$801, 0)+1), "")), IFERROR(VLOOKUP(LEFT(INDEX(ERP資料!$S:$S, (MATCH(44, 輔助計算!$G$2:$G$801, 0)+1)), 4), 紙管對照表!$A:$C, 3, FALSE), ""), ""), "")</f>
        <v/>
      </c>
      <c r="D45" s="16" t="n"/>
      <c r="E45" s="10">
        <f>IFERROR(IF(INDEX(ERP資料!$H:$H, (MATCH(44, 輔助計算!$G$2:$G$801, 0)+1))="","",INDEX(ERP資料!$H:$H, (MATCH(44, 輔助計算!$G$2:$G$801, 0)+1))), "")</f>
        <v/>
      </c>
      <c r="F45" s="10">
        <f>IFERROR(IF(INDEX(ERP資料!$E:$E, (MATCH(44, 輔助計算!$G$2:$G$801, 0)+1))="","",TRIM(INDEX(ERP資料!$E:$E, (MATCH(44, 輔助計算!$G$2:$G$801, 0)+1)))), "")</f>
        <v/>
      </c>
      <c r="G45" s="10">
        <f>IFERROR(IF(INDEX(ERP資料!$F:$F, (MATCH(44, 輔助計算!$G$2:$G$801, 0)+1))="","",INDEX(ERP資料!$F:$F, (MATCH(44, 輔助計算!$G$2:$G$801, 0)+1))), "")</f>
        <v/>
      </c>
      <c r="H45" s="10">
        <f>IFERROR(IF(INDEX(ERP資料!$G:$G, (MATCH(44, 輔助計算!$G$2:$G$801, 0)+1))="","",INDEX(ERP資料!$G:$G, (MATCH(44, 輔助計算!$G$2:$G$801, 0)+1))), "")</f>
        <v/>
      </c>
      <c r="I45" s="15">
        <f>IFERROR(INDEX(輔助計算!$D:$D, (MATCH(44, 輔助計算!$G$2:$G$801, 0)+1)), "")</f>
        <v/>
      </c>
      <c r="J45" s="15">
        <f>IFERROR(IF(AND(INDEX(輔助計算!$D:$D, (MATCH(44, 輔助計算!$G$2:$G$801, 0)+1))&lt;&gt;"", INDEX(ERP資料!$G:$G, (MATCH(44, 輔助計算!$G$2:$G$801, 0)+1))&lt;&gt;""), TRIM(IF(INT(INDEX(輔助計算!$D:$D, (MATCH(44, 輔助計算!$G$2:$G$801, 0)+1))/IF(INDEX(ERP資料!$G:$G, (MATCH(44, 輔助計算!$G$2:$G$801, 0)+1))&lt;100, IF(INDEX(ERP資料!$G:$G, (MATCH(44, 輔助計算!$G$2:$G$801, 0)+1))&lt;=31,3,IF(INDEX(ERP資料!$G:$G, (MATCH(44, 輔助計算!$G$2:$G$801, 0)+1))&lt;=46.5,2,1)), IF(INDEX(ERP資料!$G:$G, (MATCH(44, 輔助計算!$G$2:$G$801, 0)+1))&lt;=790,3,IF(INDEX(ERP資料!$G:$G, (MATCH(44, 輔助計算!$G$2:$G$801, 0)+1))&lt;=1181,2,1))))&gt;0, IF(IF(INDEX(ERP資料!$G:$G, (MATCH(44, 輔助計算!$G$2:$G$801, 0)+1))&lt;100, IF(INDEX(ERP資料!$G:$G, (MATCH(44, 輔助計算!$G$2:$G$801, 0)+1))&lt;=31,3,IF(INDEX(ERP資料!$G:$G, (MATCH(44, 輔助計算!$G$2:$G$801, 0)+1))&lt;=46.5,2,1)), IF(INDEX(ERP資料!$G:$G, (MATCH(44, 輔助計算!$G$2:$G$801, 0)+1))&lt;=790,3,IF(INDEX(ERP資料!$G:$G, (MATCH(44, 輔助計算!$G$2:$G$801, 0)+1))&lt;=1181,2,1)))=1,TEXT(INDEX(ERP資料!$G:$G, (MATCH(44, 輔助計算!$G$2:$G$801, 0)+1)),"0.##"),IF(IF(INDEX(ERP資料!$G:$G, (MATCH(44, 輔助計算!$G$2:$G$801, 0)+1))&lt;100, IF(INDEX(ERP資料!$G:$G, (MATCH(44, 輔助計算!$G$2:$G$801, 0)+1))&lt;=31,3,IF(INDEX(ERP資料!$G:$G, (MATCH(44, 輔助計算!$G$2:$G$801, 0)+1))&lt;=46.5,2,1)), IF(INDEX(ERP資料!$G:$G, (MATCH(44, 輔助計算!$G$2:$G$801, 0)+1))&lt;=790,3,IF(INDEX(ERP資料!$G:$G, (MATCH(44, 輔助計算!$G$2:$G$801, 0)+1))&lt;=1181,2,1)))=2,TEXT(INDEX(ERP資料!$G:$G, (MATCH(44, 輔助計算!$G$2:$G$801, 0)+1)),"0.##")&amp;"+"&amp;TEXT(INDEX(ERP資料!$G:$G, (MATCH(44, 輔助計算!$G$2:$G$801, 0)+1)),"0.##"),TEXT(INDEX(ERP資料!$G:$G, (MATCH(44, 輔助計算!$G$2:$G$801, 0)+1)),"0.##")&amp;"+"&amp;TEXT(INDEX(ERP資料!$G:$G, (MATCH(44, 輔助計算!$G$2:$G$801, 0)+1)),"0.##")&amp;"+"&amp;TEXT(INDEX(ERP資料!$G:$G, (MATCH(44, 輔助計算!$G$2:$G$801, 0)+1)),"0.##")))&amp;"-"&amp;INT(INDEX(輔助計算!$D:$D, (MATCH(44, 輔助計算!$G$2:$G$801, 0)+1))/IF(INDEX(ERP資料!$G:$G, (MATCH(44, 輔助計算!$G$2:$G$801, 0)+1))&lt;100, IF(INDEX(ERP資料!$G:$G, (MATCH(44, 輔助計算!$G$2:$G$801, 0)+1))&lt;=31,3,IF(INDEX(ERP資料!$G:$G, (MATCH(44, 輔助計算!$G$2:$G$801, 0)+1))&lt;=46.5,2,1)), IF(INDEX(ERP資料!$G:$G, (MATCH(44, 輔助計算!$G$2:$G$801, 0)+1))&lt;=790,3,IF(INDEX(ERP資料!$G:$G, (MATCH(44, 輔助計算!$G$2:$G$801, 0)+1))&lt;=1181,2,1)))), "")&amp;IF(AND(IF(INT(INDEX(輔助計算!$D:$D, (MATCH(44, 輔助計算!$G$2:$G$801, 0)+1))/IF(INDEX(ERP資料!$G:$G, (MATCH(44, 輔助計算!$G$2:$G$801, 0)+1))&lt;100, IF(INDEX(ERP資料!$G:$G, (MATCH(44, 輔助計算!$G$2:$G$801, 0)+1))&lt;=31,3,IF(INDEX(ERP資料!$G:$G, (MATCH(44, 輔助計算!$G$2:$G$801, 0)+1))&lt;=46.5,2,1)), IF(INDEX(ERP資料!$G:$G, (MATCH(44, 輔助計算!$G$2:$G$801, 0)+1))&lt;=790,3,IF(INDEX(ERP資料!$G:$G, (MATCH(44, 輔助計算!$G$2:$G$801, 0)+1))&lt;=1181,2,1))))&gt;0, IF(IF(INDEX(ERP資料!$G:$G, (MATCH(44, 輔助計算!$G$2:$G$801, 0)+1))&lt;100, IF(INDEX(ERP資料!$G:$G, (MATCH(44, 輔助計算!$G$2:$G$801, 0)+1))&lt;=31,3,IF(INDEX(ERP資料!$G:$G, (MATCH(44, 輔助計算!$G$2:$G$801, 0)+1))&lt;=46.5,2,1)), IF(INDEX(ERP資料!$G:$G, (MATCH(44, 輔助計算!$G$2:$G$801, 0)+1))&lt;=790,3,IF(INDEX(ERP資料!$G:$G, (MATCH(44, 輔助計算!$G$2:$G$801, 0)+1))&lt;=1181,2,1)))=1,TEXT(INDEX(ERP資料!$G:$G, (MATCH(44, 輔助計算!$G$2:$G$801, 0)+1)),"0.##"),IF(IF(INDEX(ERP資料!$G:$G, (MATCH(44, 輔助計算!$G$2:$G$801, 0)+1))&lt;100, IF(INDEX(ERP資料!$G:$G, (MATCH(44, 輔助計算!$G$2:$G$801, 0)+1))&lt;=31,3,IF(INDEX(ERP資料!$G:$G, (MATCH(44, 輔助計算!$G$2:$G$801, 0)+1))&lt;=46.5,2,1)), IF(INDEX(ERP資料!$G:$G, (MATCH(44, 輔助計算!$G$2:$G$801, 0)+1))&lt;=790,3,IF(INDEX(ERP資料!$G:$G, (MATCH(44, 輔助計算!$G$2:$G$801, 0)+1))&lt;=1181,2,1)))=2,TEXT(INDEX(ERP資料!$G:$G, (MATCH(44, 輔助計算!$G$2:$G$801, 0)+1)),"0.##")&amp;"+"&amp;TEXT(INDEX(ERP資料!$G:$G, (MATCH(44, 輔助計算!$G$2:$G$801, 0)+1)),"0.##"),TEXT(INDEX(ERP資料!$G:$G, (MATCH(44, 輔助計算!$G$2:$G$801, 0)+1)),"0.##")&amp;"+"&amp;TEXT(INDEX(ERP資料!$G:$G, (MATCH(44, 輔助計算!$G$2:$G$801, 0)+1)),"0.##")&amp;"+"&amp;TEXT(INDEX(ERP資料!$G:$G, (MATCH(44, 輔助計算!$G$2:$G$801, 0)+1)),"0.##")))&amp;"-"&amp;INT(INDEX(輔助計算!$D:$D, (MATCH(44, 輔助計算!$G$2:$G$801, 0)+1))/IF(INDEX(ERP資料!$G:$G, (MATCH(44, 輔助計算!$G$2:$G$801, 0)+1))&lt;100, IF(INDEX(ERP資料!$G:$G, (MATCH(44, 輔助計算!$G$2:$G$801, 0)+1))&lt;=31,3,IF(INDEX(ERP資料!$G:$G, (MATCH(44, 輔助計算!$G$2:$G$801, 0)+1))&lt;=46.5,2,1)), IF(INDEX(ERP資料!$G:$G, (MATCH(44, 輔助計算!$G$2:$G$801, 0)+1))&lt;=790,3,IF(INDEX(ERP資料!$G:$G, (MATCH(44, 輔助計算!$G$2:$G$801, 0)+1))&lt;=1181,2,1)))), "")&lt;&gt;"",IF(MOD(INDEX(輔助計算!$D:$D, (MATCH(44, 輔助計算!$G$2:$G$801, 0)+1)),IF(INDEX(ERP資料!$G:$G, (MATCH(44, 輔助計算!$G$2:$G$801, 0)+1))&lt;100, IF(INDEX(ERP資料!$G:$G, (MATCH(44, 輔助計算!$G$2:$G$801, 0)+1))&lt;=31,3,IF(INDEX(ERP資料!$G:$G, (MATCH(44, 輔助計算!$G$2:$G$801, 0)+1))&lt;=46.5,2,1)), IF(INDEX(ERP資料!$G:$G, (MATCH(44, 輔助計算!$G$2:$G$801, 0)+1))&lt;=790,3,IF(INDEX(ERP資料!$G:$G, (MATCH(44, 輔助計算!$G$2:$G$801, 0)+1))&lt;=1181,2,1))))=0,"",IF(MOD(INDEX(輔助計算!$D:$D, (MATCH(44, 輔助計算!$G$2:$G$801, 0)+1)),IF(INDEX(ERP資料!$G:$G, (MATCH(44, 輔助計算!$G$2:$G$801, 0)+1))&lt;100, IF(INDEX(ERP資料!$G:$G, (MATCH(44, 輔助計算!$G$2:$G$801, 0)+1))&lt;=31,3,IF(INDEX(ERP資料!$G:$G, (MATCH(44, 輔助計算!$G$2:$G$801, 0)+1))&lt;=46.5,2,1)), IF(INDEX(ERP資料!$G:$G, (MATCH(44, 輔助計算!$G$2:$G$801, 0)+1))&lt;=790,3,IF(INDEX(ERP資料!$G:$G, (MATCH(44, 輔助計算!$G$2:$G$801, 0)+1))&lt;=1181,2,1))))=0,"",IF(MOD(INDEX(輔助計算!$D:$D, (MATCH(44, 輔助計算!$G$2:$G$801, 0)+1)),IF(INDEX(ERP資料!$G:$G, (MATCH(44, 輔助計算!$G$2:$G$801, 0)+1))&lt;100, IF(INDEX(ERP資料!$G:$G, (MATCH(44, 輔助計算!$G$2:$G$801, 0)+1))&lt;=31,3,IF(INDEX(ERP資料!$G:$G, (MATCH(44, 輔助計算!$G$2:$G$801, 0)+1))&lt;=46.5,2,1)), IF(INDEX(ERP資料!$G:$G, (MATCH(44, 輔助計算!$G$2:$G$801, 0)+1))&lt;=790,3,IF(INDEX(ERP資料!$G:$G, (MATCH(44, 輔助計算!$G$2:$G$801, 0)+1))&lt;=1181,2,1))))=1,TEXT(INDEX(ERP資料!$G:$G, (MATCH(44, 輔助計算!$G$2:$G$801, 0)+1)),"0.##"),IF(MOD(INDEX(輔助計算!$D:$D, (MATCH(44, 輔助計算!$G$2:$G$801, 0)+1)),IF(INDEX(ERP資料!$G:$G, (MATCH(44, 輔助計算!$G$2:$G$801, 0)+1))&lt;100, IF(INDEX(ERP資料!$G:$G, (MATCH(44, 輔助計算!$G$2:$G$801, 0)+1))&lt;=31,3,IF(INDEX(ERP資料!$G:$G, (MATCH(44, 輔助計算!$G$2:$G$801, 0)+1))&lt;=46.5,2,1)), IF(INDEX(ERP資料!$G:$G, (MATCH(44, 輔助計算!$G$2:$G$801, 0)+1))&lt;=790,3,IF(INDEX(ERP資料!$G:$G, (MATCH(44, 輔助計算!$G$2:$G$801, 0)+1))&lt;=1181,2,1))))=2,TEXT(INDEX(ERP資料!$G:$G, (MATCH(44, 輔助計算!$G$2:$G$801, 0)+1)),"0.##")&amp;"+"&amp;TEXT(INDEX(ERP資料!$G:$G, (MATCH(44, 輔助計算!$G$2:$G$801, 0)+1)),"0.##"),TEXT(INDEX(ERP資料!$G:$G, (MATCH(44, 輔助計算!$G$2:$G$801, 0)+1)),"0.##")&amp;"+"&amp;TEXT(INDEX(ERP資料!$G:$G, (MATCH(44, 輔助計算!$G$2:$G$801, 0)+1)),"0.##")&amp;"+"&amp;TEXT(INDEX(ERP資料!$G:$G, (MATCH(44, 輔助計算!$G$2:$G$801, 0)+1)),"0.##"))))&amp;"-1")&lt;&gt;""),"  ","")&amp;IF(MOD(INDEX(輔助計算!$D:$D, (MATCH(44, 輔助計算!$G$2:$G$801, 0)+1)),IF(INDEX(ERP資料!$G:$G, (MATCH(44, 輔助計算!$G$2:$G$801, 0)+1))&lt;100, IF(INDEX(ERP資料!$G:$G, (MATCH(44, 輔助計算!$G$2:$G$801, 0)+1))&lt;=31,3,IF(INDEX(ERP資料!$G:$G, (MATCH(44, 輔助計算!$G$2:$G$801, 0)+1))&lt;=46.5,2,1)), IF(INDEX(ERP資料!$G:$G, (MATCH(44, 輔助計算!$G$2:$G$801, 0)+1))&lt;=790,3,IF(INDEX(ERP資料!$G:$G, (MATCH(44, 輔助計算!$G$2:$G$801, 0)+1))&lt;=1181,2,1))))=0,"",IF(MOD(INDEX(輔助計算!$D:$D, (MATCH(44, 輔助計算!$G$2:$G$801, 0)+1)),IF(INDEX(ERP資料!$G:$G, (MATCH(44, 輔助計算!$G$2:$G$801, 0)+1))&lt;100, IF(INDEX(ERP資料!$G:$G, (MATCH(44, 輔助計算!$G$2:$G$801, 0)+1))&lt;=31,3,IF(INDEX(ERP資料!$G:$G, (MATCH(44, 輔助計算!$G$2:$G$801, 0)+1))&lt;=46.5,2,1)), IF(INDEX(ERP資料!$G:$G, (MATCH(44, 輔助計算!$G$2:$G$801, 0)+1))&lt;=790,3,IF(INDEX(ERP資料!$G:$G, (MATCH(44, 輔助計算!$G$2:$G$801, 0)+1))&lt;=1181,2,1))))=0,"",IF(MOD(INDEX(輔助計算!$D:$D, (MATCH(44, 輔助計算!$G$2:$G$801, 0)+1)),IF(INDEX(ERP資料!$G:$G, (MATCH(44, 輔助計算!$G$2:$G$801, 0)+1))&lt;100, IF(INDEX(ERP資料!$G:$G, (MATCH(44, 輔助計算!$G$2:$G$801, 0)+1))&lt;=31,3,IF(INDEX(ERP資料!$G:$G, (MATCH(44, 輔助計算!$G$2:$G$801, 0)+1))&lt;=46.5,2,1)), IF(INDEX(ERP資料!$G:$G, (MATCH(44, 輔助計算!$G$2:$G$801, 0)+1))&lt;=790,3,IF(INDEX(ERP資料!$G:$G, (MATCH(44, 輔助計算!$G$2:$G$801, 0)+1))&lt;=1181,2,1))))=1,TEXT(INDEX(ERP資料!$G:$G, (MATCH(44, 輔助計算!$G$2:$G$801, 0)+1)),"0.##"),IF(MOD(INDEX(輔助計算!$D:$D, (MATCH(44, 輔助計算!$G$2:$G$801, 0)+1)),IF(INDEX(ERP資料!$G:$G, (MATCH(44, 輔助計算!$G$2:$G$801, 0)+1))&lt;100, IF(INDEX(ERP資料!$G:$G, (MATCH(44, 輔助計算!$G$2:$G$801, 0)+1))&lt;=31,3,IF(INDEX(ERP資料!$G:$G, (MATCH(44, 輔助計算!$G$2:$G$801, 0)+1))&lt;=46.5,2,1)), IF(INDEX(ERP資料!$G:$G, (MATCH(44, 輔助計算!$G$2:$G$801, 0)+1))&lt;=790,3,IF(INDEX(ERP資料!$G:$G, (MATCH(44, 輔助計算!$G$2:$G$801, 0)+1))&lt;=1181,2,1))))=2,TEXT(INDEX(ERP資料!$G:$G, (MATCH(44, 輔助計算!$G$2:$G$801, 0)+1)),"0.##")&amp;"+"&amp;TEXT(INDEX(ERP資料!$G:$G, (MATCH(44, 輔助計算!$G$2:$G$801, 0)+1)),"0.##"),TEXT(INDEX(ERP資料!$G:$G, (MATCH(44, 輔助計算!$G$2:$G$801, 0)+1)),"0.##")&amp;"+"&amp;TEXT(INDEX(ERP資料!$G:$G, (MATCH(44, 輔助計算!$G$2:$G$801, 0)+1)),"0.##")&amp;"+"&amp;TEXT(INDEX(ERP資料!$G:$G, (MATCH(44, 輔助計算!$G$2:$G$801, 0)+1)),"0.##"))))&amp;"-1")), ""), "")</f>
        <v/>
      </c>
      <c r="K45" s="16" t="n"/>
      <c r="L45" s="14">
        <f>IFERROR(IF(AND(IFERROR(INDEX(ERP資料!$A:$A, (MATCH(44, 輔助計算!$G$2:$G$801, 0)+1)), "")&lt;&gt;"", IFERROR(INDEX(ERP資料!$A:$A, (MATCH(44, 輔助計算!$G$2:$G$801, 0)+1)), "")&lt;&gt;IFERROR(INDEX(ERP資料!$A:$A, MATCH(43, 輔助計算!$G$2:$G$801, 0)+1), "")), INDEX(ERP資料!$B:$B, (MATCH(44, 輔助計算!$G$2:$G$801, 0)+1)), ""), "")</f>
        <v/>
      </c>
      <c r="M45" s="17" t="n"/>
    </row>
    <row r="46">
      <c r="A46" s="10">
        <f>IFERROR(IF(AND(IFERROR(INDEX(ERP資料!$A:$A, (MATCH(45, 輔助計算!$G$2:$G$801, 0)+1)), "")&lt;&gt;"", IFERROR(INDEX(ERP資料!$A:$A, (MATCH(45, 輔助計算!$G$2:$G$801, 0)+1)), "")&lt;&gt;IFERROR(INDEX(ERP資料!$A:$A, MATCH(44, 輔助計算!$G$2:$G$801, 0)+1), "")), IFERROR(INDEX(ERP資料!$A:$A, (MATCH(45, 輔助計算!$G$2:$G$801, 0)+1)), ""), ""), "")</f>
        <v/>
      </c>
      <c r="B46" s="10">
        <f>IFERROR(IF(AND(IFERROR(INDEX(ERP資料!$A:$A, (MATCH(45, 輔助計算!$G$2:$G$801, 0)+1)), "")&lt;&gt;"", IFERROR(INDEX(ERP資料!$A:$A, (MATCH(45, 輔助計算!$G$2:$G$801, 0)+1)), "")&lt;&gt;IFERROR(INDEX(ERP資料!$A:$A, MATCH(44, 輔助計算!$G$2:$G$801, 0)+1), "")), INDEX(ERP資料!$S:$S, (MATCH(45, 輔助計算!$G$2:$G$801, 0)+1)), ""), "")</f>
        <v/>
      </c>
      <c r="C46" s="19">
        <f>IFERROR(IF(AND(IFERROR(INDEX(ERP資料!$A:$A, (MATCH(45, 輔助計算!$G$2:$G$801, 0)+1)), "")&lt;&gt;"", IFERROR(INDEX(ERP資料!$A:$A, (MATCH(45, 輔助計算!$G$2:$G$801, 0)+1)), "")&lt;&gt;IFERROR(INDEX(ERP資料!$A:$A, MATCH(44, 輔助計算!$G$2:$G$801, 0)+1), "")), IFERROR(VLOOKUP(LEFT(INDEX(ERP資料!$S:$S, (MATCH(45, 輔助計算!$G$2:$G$801, 0)+1)), 4), 紙管對照表!$A:$C, 3, FALSE), ""), ""), "")</f>
        <v/>
      </c>
      <c r="D46" s="16" t="n"/>
      <c r="E46" s="10">
        <f>IFERROR(IF(INDEX(ERP資料!$H:$H, (MATCH(45, 輔助計算!$G$2:$G$801, 0)+1))="","",INDEX(ERP資料!$H:$H, (MATCH(45, 輔助計算!$G$2:$G$801, 0)+1))), "")</f>
        <v/>
      </c>
      <c r="F46" s="10">
        <f>IFERROR(IF(INDEX(ERP資料!$E:$E, (MATCH(45, 輔助計算!$G$2:$G$801, 0)+1))="","",TRIM(INDEX(ERP資料!$E:$E, (MATCH(45, 輔助計算!$G$2:$G$801, 0)+1)))), "")</f>
        <v/>
      </c>
      <c r="G46" s="10">
        <f>IFERROR(IF(INDEX(ERP資料!$F:$F, (MATCH(45, 輔助計算!$G$2:$G$801, 0)+1))="","",INDEX(ERP資料!$F:$F, (MATCH(45, 輔助計算!$G$2:$G$801, 0)+1))), "")</f>
        <v/>
      </c>
      <c r="H46" s="10">
        <f>IFERROR(IF(INDEX(ERP資料!$G:$G, (MATCH(45, 輔助計算!$G$2:$G$801, 0)+1))="","",INDEX(ERP資料!$G:$G, (MATCH(45, 輔助計算!$G$2:$G$801, 0)+1))), "")</f>
        <v/>
      </c>
      <c r="I46" s="15">
        <f>IFERROR(INDEX(輔助計算!$D:$D, (MATCH(45, 輔助計算!$G$2:$G$801, 0)+1)), "")</f>
        <v/>
      </c>
      <c r="J46" s="15">
        <f>IFERROR(IF(AND(INDEX(輔助計算!$D:$D, (MATCH(45, 輔助計算!$G$2:$G$801, 0)+1))&lt;&gt;"", INDEX(ERP資料!$G:$G, (MATCH(45, 輔助計算!$G$2:$G$801, 0)+1))&lt;&gt;""), TRIM(IF(INT(INDEX(輔助計算!$D:$D, (MATCH(45, 輔助計算!$G$2:$G$801, 0)+1))/IF(INDEX(ERP資料!$G:$G, (MATCH(45, 輔助計算!$G$2:$G$801, 0)+1))&lt;100, IF(INDEX(ERP資料!$G:$G, (MATCH(45, 輔助計算!$G$2:$G$801, 0)+1))&lt;=31,3,IF(INDEX(ERP資料!$G:$G, (MATCH(45, 輔助計算!$G$2:$G$801, 0)+1))&lt;=46.5,2,1)), IF(INDEX(ERP資料!$G:$G, (MATCH(45, 輔助計算!$G$2:$G$801, 0)+1))&lt;=790,3,IF(INDEX(ERP資料!$G:$G, (MATCH(45, 輔助計算!$G$2:$G$801, 0)+1))&lt;=1181,2,1))))&gt;0, IF(IF(INDEX(ERP資料!$G:$G, (MATCH(45, 輔助計算!$G$2:$G$801, 0)+1))&lt;100, IF(INDEX(ERP資料!$G:$G, (MATCH(45, 輔助計算!$G$2:$G$801, 0)+1))&lt;=31,3,IF(INDEX(ERP資料!$G:$G, (MATCH(45, 輔助計算!$G$2:$G$801, 0)+1))&lt;=46.5,2,1)), IF(INDEX(ERP資料!$G:$G, (MATCH(45, 輔助計算!$G$2:$G$801, 0)+1))&lt;=790,3,IF(INDEX(ERP資料!$G:$G, (MATCH(45, 輔助計算!$G$2:$G$801, 0)+1))&lt;=1181,2,1)))=1,TEXT(INDEX(ERP資料!$G:$G, (MATCH(45, 輔助計算!$G$2:$G$801, 0)+1)),"0.##"),IF(IF(INDEX(ERP資料!$G:$G, (MATCH(45, 輔助計算!$G$2:$G$801, 0)+1))&lt;100, IF(INDEX(ERP資料!$G:$G, (MATCH(45, 輔助計算!$G$2:$G$801, 0)+1))&lt;=31,3,IF(INDEX(ERP資料!$G:$G, (MATCH(45, 輔助計算!$G$2:$G$801, 0)+1))&lt;=46.5,2,1)), IF(INDEX(ERP資料!$G:$G, (MATCH(45, 輔助計算!$G$2:$G$801, 0)+1))&lt;=790,3,IF(INDEX(ERP資料!$G:$G, (MATCH(45, 輔助計算!$G$2:$G$801, 0)+1))&lt;=1181,2,1)))=2,TEXT(INDEX(ERP資料!$G:$G, (MATCH(45, 輔助計算!$G$2:$G$801, 0)+1)),"0.##")&amp;"+"&amp;TEXT(INDEX(ERP資料!$G:$G, (MATCH(45, 輔助計算!$G$2:$G$801, 0)+1)),"0.##"),TEXT(INDEX(ERP資料!$G:$G, (MATCH(45, 輔助計算!$G$2:$G$801, 0)+1)),"0.##")&amp;"+"&amp;TEXT(INDEX(ERP資料!$G:$G, (MATCH(45, 輔助計算!$G$2:$G$801, 0)+1)),"0.##")&amp;"+"&amp;TEXT(INDEX(ERP資料!$G:$G, (MATCH(45, 輔助計算!$G$2:$G$801, 0)+1)),"0.##")))&amp;"-"&amp;INT(INDEX(輔助計算!$D:$D, (MATCH(45, 輔助計算!$G$2:$G$801, 0)+1))/IF(INDEX(ERP資料!$G:$G, (MATCH(45, 輔助計算!$G$2:$G$801, 0)+1))&lt;100, IF(INDEX(ERP資料!$G:$G, (MATCH(45, 輔助計算!$G$2:$G$801, 0)+1))&lt;=31,3,IF(INDEX(ERP資料!$G:$G, (MATCH(45, 輔助計算!$G$2:$G$801, 0)+1))&lt;=46.5,2,1)), IF(INDEX(ERP資料!$G:$G, (MATCH(45, 輔助計算!$G$2:$G$801, 0)+1))&lt;=790,3,IF(INDEX(ERP資料!$G:$G, (MATCH(45, 輔助計算!$G$2:$G$801, 0)+1))&lt;=1181,2,1)))), "")&amp;IF(AND(IF(INT(INDEX(輔助計算!$D:$D, (MATCH(45, 輔助計算!$G$2:$G$801, 0)+1))/IF(INDEX(ERP資料!$G:$G, (MATCH(45, 輔助計算!$G$2:$G$801, 0)+1))&lt;100, IF(INDEX(ERP資料!$G:$G, (MATCH(45, 輔助計算!$G$2:$G$801, 0)+1))&lt;=31,3,IF(INDEX(ERP資料!$G:$G, (MATCH(45, 輔助計算!$G$2:$G$801, 0)+1))&lt;=46.5,2,1)), IF(INDEX(ERP資料!$G:$G, (MATCH(45, 輔助計算!$G$2:$G$801, 0)+1))&lt;=790,3,IF(INDEX(ERP資料!$G:$G, (MATCH(45, 輔助計算!$G$2:$G$801, 0)+1))&lt;=1181,2,1))))&gt;0, IF(IF(INDEX(ERP資料!$G:$G, (MATCH(45, 輔助計算!$G$2:$G$801, 0)+1))&lt;100, IF(INDEX(ERP資料!$G:$G, (MATCH(45, 輔助計算!$G$2:$G$801, 0)+1))&lt;=31,3,IF(INDEX(ERP資料!$G:$G, (MATCH(45, 輔助計算!$G$2:$G$801, 0)+1))&lt;=46.5,2,1)), IF(INDEX(ERP資料!$G:$G, (MATCH(45, 輔助計算!$G$2:$G$801, 0)+1))&lt;=790,3,IF(INDEX(ERP資料!$G:$G, (MATCH(45, 輔助計算!$G$2:$G$801, 0)+1))&lt;=1181,2,1)))=1,TEXT(INDEX(ERP資料!$G:$G, (MATCH(45, 輔助計算!$G$2:$G$801, 0)+1)),"0.##"),IF(IF(INDEX(ERP資料!$G:$G, (MATCH(45, 輔助計算!$G$2:$G$801, 0)+1))&lt;100, IF(INDEX(ERP資料!$G:$G, (MATCH(45, 輔助計算!$G$2:$G$801, 0)+1))&lt;=31,3,IF(INDEX(ERP資料!$G:$G, (MATCH(45, 輔助計算!$G$2:$G$801, 0)+1))&lt;=46.5,2,1)), IF(INDEX(ERP資料!$G:$G, (MATCH(45, 輔助計算!$G$2:$G$801, 0)+1))&lt;=790,3,IF(INDEX(ERP資料!$G:$G, (MATCH(45, 輔助計算!$G$2:$G$801, 0)+1))&lt;=1181,2,1)))=2,TEXT(INDEX(ERP資料!$G:$G, (MATCH(45, 輔助計算!$G$2:$G$801, 0)+1)),"0.##")&amp;"+"&amp;TEXT(INDEX(ERP資料!$G:$G, (MATCH(45, 輔助計算!$G$2:$G$801, 0)+1)),"0.##"),TEXT(INDEX(ERP資料!$G:$G, (MATCH(45, 輔助計算!$G$2:$G$801, 0)+1)),"0.##")&amp;"+"&amp;TEXT(INDEX(ERP資料!$G:$G, (MATCH(45, 輔助計算!$G$2:$G$801, 0)+1)),"0.##")&amp;"+"&amp;TEXT(INDEX(ERP資料!$G:$G, (MATCH(45, 輔助計算!$G$2:$G$801, 0)+1)),"0.##")))&amp;"-"&amp;INT(INDEX(輔助計算!$D:$D, (MATCH(45, 輔助計算!$G$2:$G$801, 0)+1))/IF(INDEX(ERP資料!$G:$G, (MATCH(45, 輔助計算!$G$2:$G$801, 0)+1))&lt;100, IF(INDEX(ERP資料!$G:$G, (MATCH(45, 輔助計算!$G$2:$G$801, 0)+1))&lt;=31,3,IF(INDEX(ERP資料!$G:$G, (MATCH(45, 輔助計算!$G$2:$G$801, 0)+1))&lt;=46.5,2,1)), IF(INDEX(ERP資料!$G:$G, (MATCH(45, 輔助計算!$G$2:$G$801, 0)+1))&lt;=790,3,IF(INDEX(ERP資料!$G:$G, (MATCH(45, 輔助計算!$G$2:$G$801, 0)+1))&lt;=1181,2,1)))), "")&lt;&gt;"",IF(MOD(INDEX(輔助計算!$D:$D, (MATCH(45, 輔助計算!$G$2:$G$801, 0)+1)),IF(INDEX(ERP資料!$G:$G, (MATCH(45, 輔助計算!$G$2:$G$801, 0)+1))&lt;100, IF(INDEX(ERP資料!$G:$G, (MATCH(45, 輔助計算!$G$2:$G$801, 0)+1))&lt;=31,3,IF(INDEX(ERP資料!$G:$G, (MATCH(45, 輔助計算!$G$2:$G$801, 0)+1))&lt;=46.5,2,1)), IF(INDEX(ERP資料!$G:$G, (MATCH(45, 輔助計算!$G$2:$G$801, 0)+1))&lt;=790,3,IF(INDEX(ERP資料!$G:$G, (MATCH(45, 輔助計算!$G$2:$G$801, 0)+1))&lt;=1181,2,1))))=0,"",IF(MOD(INDEX(輔助計算!$D:$D, (MATCH(45, 輔助計算!$G$2:$G$801, 0)+1)),IF(INDEX(ERP資料!$G:$G, (MATCH(45, 輔助計算!$G$2:$G$801, 0)+1))&lt;100, IF(INDEX(ERP資料!$G:$G, (MATCH(45, 輔助計算!$G$2:$G$801, 0)+1))&lt;=31,3,IF(INDEX(ERP資料!$G:$G, (MATCH(45, 輔助計算!$G$2:$G$801, 0)+1))&lt;=46.5,2,1)), IF(INDEX(ERP資料!$G:$G, (MATCH(45, 輔助計算!$G$2:$G$801, 0)+1))&lt;=790,3,IF(INDEX(ERP資料!$G:$G, (MATCH(45, 輔助計算!$G$2:$G$801, 0)+1))&lt;=1181,2,1))))=0,"",IF(MOD(INDEX(輔助計算!$D:$D, (MATCH(45, 輔助計算!$G$2:$G$801, 0)+1)),IF(INDEX(ERP資料!$G:$G, (MATCH(45, 輔助計算!$G$2:$G$801, 0)+1))&lt;100, IF(INDEX(ERP資料!$G:$G, (MATCH(45, 輔助計算!$G$2:$G$801, 0)+1))&lt;=31,3,IF(INDEX(ERP資料!$G:$G, (MATCH(45, 輔助計算!$G$2:$G$801, 0)+1))&lt;=46.5,2,1)), IF(INDEX(ERP資料!$G:$G, (MATCH(45, 輔助計算!$G$2:$G$801, 0)+1))&lt;=790,3,IF(INDEX(ERP資料!$G:$G, (MATCH(45, 輔助計算!$G$2:$G$801, 0)+1))&lt;=1181,2,1))))=1,TEXT(INDEX(ERP資料!$G:$G, (MATCH(45, 輔助計算!$G$2:$G$801, 0)+1)),"0.##"),IF(MOD(INDEX(輔助計算!$D:$D, (MATCH(45, 輔助計算!$G$2:$G$801, 0)+1)),IF(INDEX(ERP資料!$G:$G, (MATCH(45, 輔助計算!$G$2:$G$801, 0)+1))&lt;100, IF(INDEX(ERP資料!$G:$G, (MATCH(45, 輔助計算!$G$2:$G$801, 0)+1))&lt;=31,3,IF(INDEX(ERP資料!$G:$G, (MATCH(45, 輔助計算!$G$2:$G$801, 0)+1))&lt;=46.5,2,1)), IF(INDEX(ERP資料!$G:$G, (MATCH(45, 輔助計算!$G$2:$G$801, 0)+1))&lt;=790,3,IF(INDEX(ERP資料!$G:$G, (MATCH(45, 輔助計算!$G$2:$G$801, 0)+1))&lt;=1181,2,1))))=2,TEXT(INDEX(ERP資料!$G:$G, (MATCH(45, 輔助計算!$G$2:$G$801, 0)+1)),"0.##")&amp;"+"&amp;TEXT(INDEX(ERP資料!$G:$G, (MATCH(45, 輔助計算!$G$2:$G$801, 0)+1)),"0.##"),TEXT(INDEX(ERP資料!$G:$G, (MATCH(45, 輔助計算!$G$2:$G$801, 0)+1)),"0.##")&amp;"+"&amp;TEXT(INDEX(ERP資料!$G:$G, (MATCH(45, 輔助計算!$G$2:$G$801, 0)+1)),"0.##")&amp;"+"&amp;TEXT(INDEX(ERP資料!$G:$G, (MATCH(45, 輔助計算!$G$2:$G$801, 0)+1)),"0.##"))))&amp;"-1")&lt;&gt;""),"  ","")&amp;IF(MOD(INDEX(輔助計算!$D:$D, (MATCH(45, 輔助計算!$G$2:$G$801, 0)+1)),IF(INDEX(ERP資料!$G:$G, (MATCH(45, 輔助計算!$G$2:$G$801, 0)+1))&lt;100, IF(INDEX(ERP資料!$G:$G, (MATCH(45, 輔助計算!$G$2:$G$801, 0)+1))&lt;=31,3,IF(INDEX(ERP資料!$G:$G, (MATCH(45, 輔助計算!$G$2:$G$801, 0)+1))&lt;=46.5,2,1)), IF(INDEX(ERP資料!$G:$G, (MATCH(45, 輔助計算!$G$2:$G$801, 0)+1))&lt;=790,3,IF(INDEX(ERP資料!$G:$G, (MATCH(45, 輔助計算!$G$2:$G$801, 0)+1))&lt;=1181,2,1))))=0,"",IF(MOD(INDEX(輔助計算!$D:$D, (MATCH(45, 輔助計算!$G$2:$G$801, 0)+1)),IF(INDEX(ERP資料!$G:$G, (MATCH(45, 輔助計算!$G$2:$G$801, 0)+1))&lt;100, IF(INDEX(ERP資料!$G:$G, (MATCH(45, 輔助計算!$G$2:$G$801, 0)+1))&lt;=31,3,IF(INDEX(ERP資料!$G:$G, (MATCH(45, 輔助計算!$G$2:$G$801, 0)+1))&lt;=46.5,2,1)), IF(INDEX(ERP資料!$G:$G, (MATCH(45, 輔助計算!$G$2:$G$801, 0)+1))&lt;=790,3,IF(INDEX(ERP資料!$G:$G, (MATCH(45, 輔助計算!$G$2:$G$801, 0)+1))&lt;=1181,2,1))))=0,"",IF(MOD(INDEX(輔助計算!$D:$D, (MATCH(45, 輔助計算!$G$2:$G$801, 0)+1)),IF(INDEX(ERP資料!$G:$G, (MATCH(45, 輔助計算!$G$2:$G$801, 0)+1))&lt;100, IF(INDEX(ERP資料!$G:$G, (MATCH(45, 輔助計算!$G$2:$G$801, 0)+1))&lt;=31,3,IF(INDEX(ERP資料!$G:$G, (MATCH(45, 輔助計算!$G$2:$G$801, 0)+1))&lt;=46.5,2,1)), IF(INDEX(ERP資料!$G:$G, (MATCH(45, 輔助計算!$G$2:$G$801, 0)+1))&lt;=790,3,IF(INDEX(ERP資料!$G:$G, (MATCH(45, 輔助計算!$G$2:$G$801, 0)+1))&lt;=1181,2,1))))=1,TEXT(INDEX(ERP資料!$G:$G, (MATCH(45, 輔助計算!$G$2:$G$801, 0)+1)),"0.##"),IF(MOD(INDEX(輔助計算!$D:$D, (MATCH(45, 輔助計算!$G$2:$G$801, 0)+1)),IF(INDEX(ERP資料!$G:$G, (MATCH(45, 輔助計算!$G$2:$G$801, 0)+1))&lt;100, IF(INDEX(ERP資料!$G:$G, (MATCH(45, 輔助計算!$G$2:$G$801, 0)+1))&lt;=31,3,IF(INDEX(ERP資料!$G:$G, (MATCH(45, 輔助計算!$G$2:$G$801, 0)+1))&lt;=46.5,2,1)), IF(INDEX(ERP資料!$G:$G, (MATCH(45, 輔助計算!$G$2:$G$801, 0)+1))&lt;=790,3,IF(INDEX(ERP資料!$G:$G, (MATCH(45, 輔助計算!$G$2:$G$801, 0)+1))&lt;=1181,2,1))))=2,TEXT(INDEX(ERP資料!$G:$G, (MATCH(45, 輔助計算!$G$2:$G$801, 0)+1)),"0.##")&amp;"+"&amp;TEXT(INDEX(ERP資料!$G:$G, (MATCH(45, 輔助計算!$G$2:$G$801, 0)+1)),"0.##"),TEXT(INDEX(ERP資料!$G:$G, (MATCH(45, 輔助計算!$G$2:$G$801, 0)+1)),"0.##")&amp;"+"&amp;TEXT(INDEX(ERP資料!$G:$G, (MATCH(45, 輔助計算!$G$2:$G$801, 0)+1)),"0.##")&amp;"+"&amp;TEXT(INDEX(ERP資料!$G:$G, (MATCH(45, 輔助計算!$G$2:$G$801, 0)+1)),"0.##"))))&amp;"-1")), ""), "")</f>
        <v/>
      </c>
      <c r="K46" s="16" t="n"/>
      <c r="L46" s="14">
        <f>IFERROR(IF(AND(IFERROR(INDEX(ERP資料!$A:$A, (MATCH(45, 輔助計算!$G$2:$G$801, 0)+1)), "")&lt;&gt;"", IFERROR(INDEX(ERP資料!$A:$A, (MATCH(45, 輔助計算!$G$2:$G$801, 0)+1)), "")&lt;&gt;IFERROR(INDEX(ERP資料!$A:$A, MATCH(44, 輔助計算!$G$2:$G$801, 0)+1), "")), INDEX(ERP資料!$B:$B, (MATCH(45, 輔助計算!$G$2:$G$801, 0)+1)), ""), "")</f>
        <v/>
      </c>
      <c r="M46" s="17" t="n"/>
    </row>
    <row r="47">
      <c r="A47" s="10">
        <f>IFERROR(IF(AND(IFERROR(INDEX(ERP資料!$A:$A, (MATCH(46, 輔助計算!$G$2:$G$801, 0)+1)), "")&lt;&gt;"", IFERROR(INDEX(ERP資料!$A:$A, (MATCH(46, 輔助計算!$G$2:$G$801, 0)+1)), "")&lt;&gt;IFERROR(INDEX(ERP資料!$A:$A, MATCH(45, 輔助計算!$G$2:$G$801, 0)+1), "")), IFERROR(INDEX(ERP資料!$A:$A, (MATCH(46, 輔助計算!$G$2:$G$801, 0)+1)), ""), ""), "")</f>
        <v/>
      </c>
      <c r="B47" s="10">
        <f>IFERROR(IF(AND(IFERROR(INDEX(ERP資料!$A:$A, (MATCH(46, 輔助計算!$G$2:$G$801, 0)+1)), "")&lt;&gt;"", IFERROR(INDEX(ERP資料!$A:$A, (MATCH(46, 輔助計算!$G$2:$G$801, 0)+1)), "")&lt;&gt;IFERROR(INDEX(ERP資料!$A:$A, MATCH(45, 輔助計算!$G$2:$G$801, 0)+1), "")), INDEX(ERP資料!$S:$S, (MATCH(46, 輔助計算!$G$2:$G$801, 0)+1)), ""), "")</f>
        <v/>
      </c>
      <c r="C47" s="19">
        <f>IFERROR(IF(AND(IFERROR(INDEX(ERP資料!$A:$A, (MATCH(46, 輔助計算!$G$2:$G$801, 0)+1)), "")&lt;&gt;"", IFERROR(INDEX(ERP資料!$A:$A, (MATCH(46, 輔助計算!$G$2:$G$801, 0)+1)), "")&lt;&gt;IFERROR(INDEX(ERP資料!$A:$A, MATCH(45, 輔助計算!$G$2:$G$801, 0)+1), "")), IFERROR(VLOOKUP(LEFT(INDEX(ERP資料!$S:$S, (MATCH(46, 輔助計算!$G$2:$G$801, 0)+1)), 4), 紙管對照表!$A:$C, 3, FALSE), ""), ""), "")</f>
        <v/>
      </c>
      <c r="D47" s="16" t="n"/>
      <c r="E47" s="10">
        <f>IFERROR(IF(INDEX(ERP資料!$H:$H, (MATCH(46, 輔助計算!$G$2:$G$801, 0)+1))="","",INDEX(ERP資料!$H:$H, (MATCH(46, 輔助計算!$G$2:$G$801, 0)+1))), "")</f>
        <v/>
      </c>
      <c r="F47" s="10">
        <f>IFERROR(IF(INDEX(ERP資料!$E:$E, (MATCH(46, 輔助計算!$G$2:$G$801, 0)+1))="","",TRIM(INDEX(ERP資料!$E:$E, (MATCH(46, 輔助計算!$G$2:$G$801, 0)+1)))), "")</f>
        <v/>
      </c>
      <c r="G47" s="10">
        <f>IFERROR(IF(INDEX(ERP資料!$F:$F, (MATCH(46, 輔助計算!$G$2:$G$801, 0)+1))="","",INDEX(ERP資料!$F:$F, (MATCH(46, 輔助計算!$G$2:$G$801, 0)+1))), "")</f>
        <v/>
      </c>
      <c r="H47" s="10">
        <f>IFERROR(IF(INDEX(ERP資料!$G:$G, (MATCH(46, 輔助計算!$G$2:$G$801, 0)+1))="","",INDEX(ERP資料!$G:$G, (MATCH(46, 輔助計算!$G$2:$G$801, 0)+1))), "")</f>
        <v/>
      </c>
      <c r="I47" s="15">
        <f>IFERROR(INDEX(輔助計算!$D:$D, (MATCH(46, 輔助計算!$G$2:$G$801, 0)+1)), "")</f>
        <v/>
      </c>
      <c r="J47" s="15">
        <f>IFERROR(IF(AND(INDEX(輔助計算!$D:$D, (MATCH(46, 輔助計算!$G$2:$G$801, 0)+1))&lt;&gt;"", INDEX(ERP資料!$G:$G, (MATCH(46, 輔助計算!$G$2:$G$801, 0)+1))&lt;&gt;""), TRIM(IF(INT(INDEX(輔助計算!$D:$D, (MATCH(46, 輔助計算!$G$2:$G$801, 0)+1))/IF(INDEX(ERP資料!$G:$G, (MATCH(46, 輔助計算!$G$2:$G$801, 0)+1))&lt;100, IF(INDEX(ERP資料!$G:$G, (MATCH(46, 輔助計算!$G$2:$G$801, 0)+1))&lt;=31,3,IF(INDEX(ERP資料!$G:$G, (MATCH(46, 輔助計算!$G$2:$G$801, 0)+1))&lt;=46.5,2,1)), IF(INDEX(ERP資料!$G:$G, (MATCH(46, 輔助計算!$G$2:$G$801, 0)+1))&lt;=790,3,IF(INDEX(ERP資料!$G:$G, (MATCH(46, 輔助計算!$G$2:$G$801, 0)+1))&lt;=1181,2,1))))&gt;0, IF(IF(INDEX(ERP資料!$G:$G, (MATCH(46, 輔助計算!$G$2:$G$801, 0)+1))&lt;100, IF(INDEX(ERP資料!$G:$G, (MATCH(46, 輔助計算!$G$2:$G$801, 0)+1))&lt;=31,3,IF(INDEX(ERP資料!$G:$G, (MATCH(46, 輔助計算!$G$2:$G$801, 0)+1))&lt;=46.5,2,1)), IF(INDEX(ERP資料!$G:$G, (MATCH(46, 輔助計算!$G$2:$G$801, 0)+1))&lt;=790,3,IF(INDEX(ERP資料!$G:$G, (MATCH(46, 輔助計算!$G$2:$G$801, 0)+1))&lt;=1181,2,1)))=1,TEXT(INDEX(ERP資料!$G:$G, (MATCH(46, 輔助計算!$G$2:$G$801, 0)+1)),"0.##"),IF(IF(INDEX(ERP資料!$G:$G, (MATCH(46, 輔助計算!$G$2:$G$801, 0)+1))&lt;100, IF(INDEX(ERP資料!$G:$G, (MATCH(46, 輔助計算!$G$2:$G$801, 0)+1))&lt;=31,3,IF(INDEX(ERP資料!$G:$G, (MATCH(46, 輔助計算!$G$2:$G$801, 0)+1))&lt;=46.5,2,1)), IF(INDEX(ERP資料!$G:$G, (MATCH(46, 輔助計算!$G$2:$G$801, 0)+1))&lt;=790,3,IF(INDEX(ERP資料!$G:$G, (MATCH(46, 輔助計算!$G$2:$G$801, 0)+1))&lt;=1181,2,1)))=2,TEXT(INDEX(ERP資料!$G:$G, (MATCH(46, 輔助計算!$G$2:$G$801, 0)+1)),"0.##")&amp;"+"&amp;TEXT(INDEX(ERP資料!$G:$G, (MATCH(46, 輔助計算!$G$2:$G$801, 0)+1)),"0.##"),TEXT(INDEX(ERP資料!$G:$G, (MATCH(46, 輔助計算!$G$2:$G$801, 0)+1)),"0.##")&amp;"+"&amp;TEXT(INDEX(ERP資料!$G:$G, (MATCH(46, 輔助計算!$G$2:$G$801, 0)+1)),"0.##")&amp;"+"&amp;TEXT(INDEX(ERP資料!$G:$G, (MATCH(46, 輔助計算!$G$2:$G$801, 0)+1)),"0.##")))&amp;"-"&amp;INT(INDEX(輔助計算!$D:$D, (MATCH(46, 輔助計算!$G$2:$G$801, 0)+1))/IF(INDEX(ERP資料!$G:$G, (MATCH(46, 輔助計算!$G$2:$G$801, 0)+1))&lt;100, IF(INDEX(ERP資料!$G:$G, (MATCH(46, 輔助計算!$G$2:$G$801, 0)+1))&lt;=31,3,IF(INDEX(ERP資料!$G:$G, (MATCH(46, 輔助計算!$G$2:$G$801, 0)+1))&lt;=46.5,2,1)), IF(INDEX(ERP資料!$G:$G, (MATCH(46, 輔助計算!$G$2:$G$801, 0)+1))&lt;=790,3,IF(INDEX(ERP資料!$G:$G, (MATCH(46, 輔助計算!$G$2:$G$801, 0)+1))&lt;=1181,2,1)))), "")&amp;IF(AND(IF(INT(INDEX(輔助計算!$D:$D, (MATCH(46, 輔助計算!$G$2:$G$801, 0)+1))/IF(INDEX(ERP資料!$G:$G, (MATCH(46, 輔助計算!$G$2:$G$801, 0)+1))&lt;100, IF(INDEX(ERP資料!$G:$G, (MATCH(46, 輔助計算!$G$2:$G$801, 0)+1))&lt;=31,3,IF(INDEX(ERP資料!$G:$G, (MATCH(46, 輔助計算!$G$2:$G$801, 0)+1))&lt;=46.5,2,1)), IF(INDEX(ERP資料!$G:$G, (MATCH(46, 輔助計算!$G$2:$G$801, 0)+1))&lt;=790,3,IF(INDEX(ERP資料!$G:$G, (MATCH(46, 輔助計算!$G$2:$G$801, 0)+1))&lt;=1181,2,1))))&gt;0, IF(IF(INDEX(ERP資料!$G:$G, (MATCH(46, 輔助計算!$G$2:$G$801, 0)+1))&lt;100, IF(INDEX(ERP資料!$G:$G, (MATCH(46, 輔助計算!$G$2:$G$801, 0)+1))&lt;=31,3,IF(INDEX(ERP資料!$G:$G, (MATCH(46, 輔助計算!$G$2:$G$801, 0)+1))&lt;=46.5,2,1)), IF(INDEX(ERP資料!$G:$G, (MATCH(46, 輔助計算!$G$2:$G$801, 0)+1))&lt;=790,3,IF(INDEX(ERP資料!$G:$G, (MATCH(46, 輔助計算!$G$2:$G$801, 0)+1))&lt;=1181,2,1)))=1,TEXT(INDEX(ERP資料!$G:$G, (MATCH(46, 輔助計算!$G$2:$G$801, 0)+1)),"0.##"),IF(IF(INDEX(ERP資料!$G:$G, (MATCH(46, 輔助計算!$G$2:$G$801, 0)+1))&lt;100, IF(INDEX(ERP資料!$G:$G, (MATCH(46, 輔助計算!$G$2:$G$801, 0)+1))&lt;=31,3,IF(INDEX(ERP資料!$G:$G, (MATCH(46, 輔助計算!$G$2:$G$801, 0)+1))&lt;=46.5,2,1)), IF(INDEX(ERP資料!$G:$G, (MATCH(46, 輔助計算!$G$2:$G$801, 0)+1))&lt;=790,3,IF(INDEX(ERP資料!$G:$G, (MATCH(46, 輔助計算!$G$2:$G$801, 0)+1))&lt;=1181,2,1)))=2,TEXT(INDEX(ERP資料!$G:$G, (MATCH(46, 輔助計算!$G$2:$G$801, 0)+1)),"0.##")&amp;"+"&amp;TEXT(INDEX(ERP資料!$G:$G, (MATCH(46, 輔助計算!$G$2:$G$801, 0)+1)),"0.##"),TEXT(INDEX(ERP資料!$G:$G, (MATCH(46, 輔助計算!$G$2:$G$801, 0)+1)),"0.##")&amp;"+"&amp;TEXT(INDEX(ERP資料!$G:$G, (MATCH(46, 輔助計算!$G$2:$G$801, 0)+1)),"0.##")&amp;"+"&amp;TEXT(INDEX(ERP資料!$G:$G, (MATCH(46, 輔助計算!$G$2:$G$801, 0)+1)),"0.##")))&amp;"-"&amp;INT(INDEX(輔助計算!$D:$D, (MATCH(46, 輔助計算!$G$2:$G$801, 0)+1))/IF(INDEX(ERP資料!$G:$G, (MATCH(46, 輔助計算!$G$2:$G$801, 0)+1))&lt;100, IF(INDEX(ERP資料!$G:$G, (MATCH(46, 輔助計算!$G$2:$G$801, 0)+1))&lt;=31,3,IF(INDEX(ERP資料!$G:$G, (MATCH(46, 輔助計算!$G$2:$G$801, 0)+1))&lt;=46.5,2,1)), IF(INDEX(ERP資料!$G:$G, (MATCH(46, 輔助計算!$G$2:$G$801, 0)+1))&lt;=790,3,IF(INDEX(ERP資料!$G:$G, (MATCH(46, 輔助計算!$G$2:$G$801, 0)+1))&lt;=1181,2,1)))), "")&lt;&gt;"",IF(MOD(INDEX(輔助計算!$D:$D, (MATCH(46, 輔助計算!$G$2:$G$801, 0)+1)),IF(INDEX(ERP資料!$G:$G, (MATCH(46, 輔助計算!$G$2:$G$801, 0)+1))&lt;100, IF(INDEX(ERP資料!$G:$G, (MATCH(46, 輔助計算!$G$2:$G$801, 0)+1))&lt;=31,3,IF(INDEX(ERP資料!$G:$G, (MATCH(46, 輔助計算!$G$2:$G$801, 0)+1))&lt;=46.5,2,1)), IF(INDEX(ERP資料!$G:$G, (MATCH(46, 輔助計算!$G$2:$G$801, 0)+1))&lt;=790,3,IF(INDEX(ERP資料!$G:$G, (MATCH(46, 輔助計算!$G$2:$G$801, 0)+1))&lt;=1181,2,1))))=0,"",IF(MOD(INDEX(輔助計算!$D:$D, (MATCH(46, 輔助計算!$G$2:$G$801, 0)+1)),IF(INDEX(ERP資料!$G:$G, (MATCH(46, 輔助計算!$G$2:$G$801, 0)+1))&lt;100, IF(INDEX(ERP資料!$G:$G, (MATCH(46, 輔助計算!$G$2:$G$801, 0)+1))&lt;=31,3,IF(INDEX(ERP資料!$G:$G, (MATCH(46, 輔助計算!$G$2:$G$801, 0)+1))&lt;=46.5,2,1)), IF(INDEX(ERP資料!$G:$G, (MATCH(46, 輔助計算!$G$2:$G$801, 0)+1))&lt;=790,3,IF(INDEX(ERP資料!$G:$G, (MATCH(46, 輔助計算!$G$2:$G$801, 0)+1))&lt;=1181,2,1))))=0,"",IF(MOD(INDEX(輔助計算!$D:$D, (MATCH(46, 輔助計算!$G$2:$G$801, 0)+1)),IF(INDEX(ERP資料!$G:$G, (MATCH(46, 輔助計算!$G$2:$G$801, 0)+1))&lt;100, IF(INDEX(ERP資料!$G:$G, (MATCH(46, 輔助計算!$G$2:$G$801, 0)+1))&lt;=31,3,IF(INDEX(ERP資料!$G:$G, (MATCH(46, 輔助計算!$G$2:$G$801, 0)+1))&lt;=46.5,2,1)), IF(INDEX(ERP資料!$G:$G, (MATCH(46, 輔助計算!$G$2:$G$801, 0)+1))&lt;=790,3,IF(INDEX(ERP資料!$G:$G, (MATCH(46, 輔助計算!$G$2:$G$801, 0)+1))&lt;=1181,2,1))))=1,TEXT(INDEX(ERP資料!$G:$G, (MATCH(46, 輔助計算!$G$2:$G$801, 0)+1)),"0.##"),IF(MOD(INDEX(輔助計算!$D:$D, (MATCH(46, 輔助計算!$G$2:$G$801, 0)+1)),IF(INDEX(ERP資料!$G:$G, (MATCH(46, 輔助計算!$G$2:$G$801, 0)+1))&lt;100, IF(INDEX(ERP資料!$G:$G, (MATCH(46, 輔助計算!$G$2:$G$801, 0)+1))&lt;=31,3,IF(INDEX(ERP資料!$G:$G, (MATCH(46, 輔助計算!$G$2:$G$801, 0)+1))&lt;=46.5,2,1)), IF(INDEX(ERP資料!$G:$G, (MATCH(46, 輔助計算!$G$2:$G$801, 0)+1))&lt;=790,3,IF(INDEX(ERP資料!$G:$G, (MATCH(46, 輔助計算!$G$2:$G$801, 0)+1))&lt;=1181,2,1))))=2,TEXT(INDEX(ERP資料!$G:$G, (MATCH(46, 輔助計算!$G$2:$G$801, 0)+1)),"0.##")&amp;"+"&amp;TEXT(INDEX(ERP資料!$G:$G, (MATCH(46, 輔助計算!$G$2:$G$801, 0)+1)),"0.##"),TEXT(INDEX(ERP資料!$G:$G, (MATCH(46, 輔助計算!$G$2:$G$801, 0)+1)),"0.##")&amp;"+"&amp;TEXT(INDEX(ERP資料!$G:$G, (MATCH(46, 輔助計算!$G$2:$G$801, 0)+1)),"0.##")&amp;"+"&amp;TEXT(INDEX(ERP資料!$G:$G, (MATCH(46, 輔助計算!$G$2:$G$801, 0)+1)),"0.##"))))&amp;"-1")&lt;&gt;""),"  ","")&amp;IF(MOD(INDEX(輔助計算!$D:$D, (MATCH(46, 輔助計算!$G$2:$G$801, 0)+1)),IF(INDEX(ERP資料!$G:$G, (MATCH(46, 輔助計算!$G$2:$G$801, 0)+1))&lt;100, IF(INDEX(ERP資料!$G:$G, (MATCH(46, 輔助計算!$G$2:$G$801, 0)+1))&lt;=31,3,IF(INDEX(ERP資料!$G:$G, (MATCH(46, 輔助計算!$G$2:$G$801, 0)+1))&lt;=46.5,2,1)), IF(INDEX(ERP資料!$G:$G, (MATCH(46, 輔助計算!$G$2:$G$801, 0)+1))&lt;=790,3,IF(INDEX(ERP資料!$G:$G, (MATCH(46, 輔助計算!$G$2:$G$801, 0)+1))&lt;=1181,2,1))))=0,"",IF(MOD(INDEX(輔助計算!$D:$D, (MATCH(46, 輔助計算!$G$2:$G$801, 0)+1)),IF(INDEX(ERP資料!$G:$G, (MATCH(46, 輔助計算!$G$2:$G$801, 0)+1))&lt;100, IF(INDEX(ERP資料!$G:$G, (MATCH(46, 輔助計算!$G$2:$G$801, 0)+1))&lt;=31,3,IF(INDEX(ERP資料!$G:$G, (MATCH(46, 輔助計算!$G$2:$G$801, 0)+1))&lt;=46.5,2,1)), IF(INDEX(ERP資料!$G:$G, (MATCH(46, 輔助計算!$G$2:$G$801, 0)+1))&lt;=790,3,IF(INDEX(ERP資料!$G:$G, (MATCH(46, 輔助計算!$G$2:$G$801, 0)+1))&lt;=1181,2,1))))=0,"",IF(MOD(INDEX(輔助計算!$D:$D, (MATCH(46, 輔助計算!$G$2:$G$801, 0)+1)),IF(INDEX(ERP資料!$G:$G, (MATCH(46, 輔助計算!$G$2:$G$801, 0)+1))&lt;100, IF(INDEX(ERP資料!$G:$G, (MATCH(46, 輔助計算!$G$2:$G$801, 0)+1))&lt;=31,3,IF(INDEX(ERP資料!$G:$G, (MATCH(46, 輔助計算!$G$2:$G$801, 0)+1))&lt;=46.5,2,1)), IF(INDEX(ERP資料!$G:$G, (MATCH(46, 輔助計算!$G$2:$G$801, 0)+1))&lt;=790,3,IF(INDEX(ERP資料!$G:$G, (MATCH(46, 輔助計算!$G$2:$G$801, 0)+1))&lt;=1181,2,1))))=1,TEXT(INDEX(ERP資料!$G:$G, (MATCH(46, 輔助計算!$G$2:$G$801, 0)+1)),"0.##"),IF(MOD(INDEX(輔助計算!$D:$D, (MATCH(46, 輔助計算!$G$2:$G$801, 0)+1)),IF(INDEX(ERP資料!$G:$G, (MATCH(46, 輔助計算!$G$2:$G$801, 0)+1))&lt;100, IF(INDEX(ERP資料!$G:$G, (MATCH(46, 輔助計算!$G$2:$G$801, 0)+1))&lt;=31,3,IF(INDEX(ERP資料!$G:$G, (MATCH(46, 輔助計算!$G$2:$G$801, 0)+1))&lt;=46.5,2,1)), IF(INDEX(ERP資料!$G:$G, (MATCH(46, 輔助計算!$G$2:$G$801, 0)+1))&lt;=790,3,IF(INDEX(ERP資料!$G:$G, (MATCH(46, 輔助計算!$G$2:$G$801, 0)+1))&lt;=1181,2,1))))=2,TEXT(INDEX(ERP資料!$G:$G, (MATCH(46, 輔助計算!$G$2:$G$801, 0)+1)),"0.##")&amp;"+"&amp;TEXT(INDEX(ERP資料!$G:$G, (MATCH(46, 輔助計算!$G$2:$G$801, 0)+1)),"0.##"),TEXT(INDEX(ERP資料!$G:$G, (MATCH(46, 輔助計算!$G$2:$G$801, 0)+1)),"0.##")&amp;"+"&amp;TEXT(INDEX(ERP資料!$G:$G, (MATCH(46, 輔助計算!$G$2:$G$801, 0)+1)),"0.##")&amp;"+"&amp;TEXT(INDEX(ERP資料!$G:$G, (MATCH(46, 輔助計算!$G$2:$G$801, 0)+1)),"0.##"))))&amp;"-1")), ""), "")</f>
        <v/>
      </c>
      <c r="K47" s="16" t="n"/>
      <c r="L47" s="14">
        <f>IFERROR(IF(AND(IFERROR(INDEX(ERP資料!$A:$A, (MATCH(46, 輔助計算!$G$2:$G$801, 0)+1)), "")&lt;&gt;"", IFERROR(INDEX(ERP資料!$A:$A, (MATCH(46, 輔助計算!$G$2:$G$801, 0)+1)), "")&lt;&gt;IFERROR(INDEX(ERP資料!$A:$A, MATCH(45, 輔助計算!$G$2:$G$801, 0)+1), "")), INDEX(ERP資料!$B:$B, (MATCH(46, 輔助計算!$G$2:$G$801, 0)+1)), ""), "")</f>
        <v/>
      </c>
      <c r="M47" s="17" t="n"/>
    </row>
    <row r="48">
      <c r="A48" s="10">
        <f>IFERROR(IF(AND(IFERROR(INDEX(ERP資料!$A:$A, (MATCH(47, 輔助計算!$G$2:$G$801, 0)+1)), "")&lt;&gt;"", IFERROR(INDEX(ERP資料!$A:$A, (MATCH(47, 輔助計算!$G$2:$G$801, 0)+1)), "")&lt;&gt;IFERROR(INDEX(ERP資料!$A:$A, MATCH(46, 輔助計算!$G$2:$G$801, 0)+1), "")), IFERROR(INDEX(ERP資料!$A:$A, (MATCH(47, 輔助計算!$G$2:$G$801, 0)+1)), ""), ""), "")</f>
        <v/>
      </c>
      <c r="B48" s="10">
        <f>IFERROR(IF(AND(IFERROR(INDEX(ERP資料!$A:$A, (MATCH(47, 輔助計算!$G$2:$G$801, 0)+1)), "")&lt;&gt;"", IFERROR(INDEX(ERP資料!$A:$A, (MATCH(47, 輔助計算!$G$2:$G$801, 0)+1)), "")&lt;&gt;IFERROR(INDEX(ERP資料!$A:$A, MATCH(46, 輔助計算!$G$2:$G$801, 0)+1), "")), INDEX(ERP資料!$S:$S, (MATCH(47, 輔助計算!$G$2:$G$801, 0)+1)), ""), "")</f>
        <v/>
      </c>
      <c r="C48" s="19">
        <f>IFERROR(IF(AND(IFERROR(INDEX(ERP資料!$A:$A, (MATCH(47, 輔助計算!$G$2:$G$801, 0)+1)), "")&lt;&gt;"", IFERROR(INDEX(ERP資料!$A:$A, (MATCH(47, 輔助計算!$G$2:$G$801, 0)+1)), "")&lt;&gt;IFERROR(INDEX(ERP資料!$A:$A, MATCH(46, 輔助計算!$G$2:$G$801, 0)+1), "")), IFERROR(VLOOKUP(LEFT(INDEX(ERP資料!$S:$S, (MATCH(47, 輔助計算!$G$2:$G$801, 0)+1)), 4), 紙管對照表!$A:$C, 3, FALSE), ""), ""), "")</f>
        <v/>
      </c>
      <c r="D48" s="16" t="n"/>
      <c r="E48" s="10">
        <f>IFERROR(IF(INDEX(ERP資料!$H:$H, (MATCH(47, 輔助計算!$G$2:$G$801, 0)+1))="","",INDEX(ERP資料!$H:$H, (MATCH(47, 輔助計算!$G$2:$G$801, 0)+1))), "")</f>
        <v/>
      </c>
      <c r="F48" s="10">
        <f>IFERROR(IF(INDEX(ERP資料!$E:$E, (MATCH(47, 輔助計算!$G$2:$G$801, 0)+1))="","",TRIM(INDEX(ERP資料!$E:$E, (MATCH(47, 輔助計算!$G$2:$G$801, 0)+1)))), "")</f>
        <v/>
      </c>
      <c r="G48" s="10">
        <f>IFERROR(IF(INDEX(ERP資料!$F:$F, (MATCH(47, 輔助計算!$G$2:$G$801, 0)+1))="","",INDEX(ERP資料!$F:$F, (MATCH(47, 輔助計算!$G$2:$G$801, 0)+1))), "")</f>
        <v/>
      </c>
      <c r="H48" s="10">
        <f>IFERROR(IF(INDEX(ERP資料!$G:$G, (MATCH(47, 輔助計算!$G$2:$G$801, 0)+1))="","",INDEX(ERP資料!$G:$G, (MATCH(47, 輔助計算!$G$2:$G$801, 0)+1))), "")</f>
        <v/>
      </c>
      <c r="I48" s="15">
        <f>IFERROR(INDEX(輔助計算!$D:$D, (MATCH(47, 輔助計算!$G$2:$G$801, 0)+1)), "")</f>
        <v/>
      </c>
      <c r="J48" s="15">
        <f>IFERROR(IF(AND(INDEX(輔助計算!$D:$D, (MATCH(47, 輔助計算!$G$2:$G$801, 0)+1))&lt;&gt;"", INDEX(ERP資料!$G:$G, (MATCH(47, 輔助計算!$G$2:$G$801, 0)+1))&lt;&gt;""), TRIM(IF(INT(INDEX(輔助計算!$D:$D, (MATCH(47, 輔助計算!$G$2:$G$801, 0)+1))/IF(INDEX(ERP資料!$G:$G, (MATCH(47, 輔助計算!$G$2:$G$801, 0)+1))&lt;100, IF(INDEX(ERP資料!$G:$G, (MATCH(47, 輔助計算!$G$2:$G$801, 0)+1))&lt;=31,3,IF(INDEX(ERP資料!$G:$G, (MATCH(47, 輔助計算!$G$2:$G$801, 0)+1))&lt;=46.5,2,1)), IF(INDEX(ERP資料!$G:$G, (MATCH(47, 輔助計算!$G$2:$G$801, 0)+1))&lt;=790,3,IF(INDEX(ERP資料!$G:$G, (MATCH(47, 輔助計算!$G$2:$G$801, 0)+1))&lt;=1181,2,1))))&gt;0, IF(IF(INDEX(ERP資料!$G:$G, (MATCH(47, 輔助計算!$G$2:$G$801, 0)+1))&lt;100, IF(INDEX(ERP資料!$G:$G, (MATCH(47, 輔助計算!$G$2:$G$801, 0)+1))&lt;=31,3,IF(INDEX(ERP資料!$G:$G, (MATCH(47, 輔助計算!$G$2:$G$801, 0)+1))&lt;=46.5,2,1)), IF(INDEX(ERP資料!$G:$G, (MATCH(47, 輔助計算!$G$2:$G$801, 0)+1))&lt;=790,3,IF(INDEX(ERP資料!$G:$G, (MATCH(47, 輔助計算!$G$2:$G$801, 0)+1))&lt;=1181,2,1)))=1,TEXT(INDEX(ERP資料!$G:$G, (MATCH(47, 輔助計算!$G$2:$G$801, 0)+1)),"0.##"),IF(IF(INDEX(ERP資料!$G:$G, (MATCH(47, 輔助計算!$G$2:$G$801, 0)+1))&lt;100, IF(INDEX(ERP資料!$G:$G, (MATCH(47, 輔助計算!$G$2:$G$801, 0)+1))&lt;=31,3,IF(INDEX(ERP資料!$G:$G, (MATCH(47, 輔助計算!$G$2:$G$801, 0)+1))&lt;=46.5,2,1)), IF(INDEX(ERP資料!$G:$G, (MATCH(47, 輔助計算!$G$2:$G$801, 0)+1))&lt;=790,3,IF(INDEX(ERP資料!$G:$G, (MATCH(47, 輔助計算!$G$2:$G$801, 0)+1))&lt;=1181,2,1)))=2,TEXT(INDEX(ERP資料!$G:$G, (MATCH(47, 輔助計算!$G$2:$G$801, 0)+1)),"0.##")&amp;"+"&amp;TEXT(INDEX(ERP資料!$G:$G, (MATCH(47, 輔助計算!$G$2:$G$801, 0)+1)),"0.##"),TEXT(INDEX(ERP資料!$G:$G, (MATCH(47, 輔助計算!$G$2:$G$801, 0)+1)),"0.##")&amp;"+"&amp;TEXT(INDEX(ERP資料!$G:$G, (MATCH(47, 輔助計算!$G$2:$G$801, 0)+1)),"0.##")&amp;"+"&amp;TEXT(INDEX(ERP資料!$G:$G, (MATCH(47, 輔助計算!$G$2:$G$801, 0)+1)),"0.##")))&amp;"-"&amp;INT(INDEX(輔助計算!$D:$D, (MATCH(47, 輔助計算!$G$2:$G$801, 0)+1))/IF(INDEX(ERP資料!$G:$G, (MATCH(47, 輔助計算!$G$2:$G$801, 0)+1))&lt;100, IF(INDEX(ERP資料!$G:$G, (MATCH(47, 輔助計算!$G$2:$G$801, 0)+1))&lt;=31,3,IF(INDEX(ERP資料!$G:$G, (MATCH(47, 輔助計算!$G$2:$G$801, 0)+1))&lt;=46.5,2,1)), IF(INDEX(ERP資料!$G:$G, (MATCH(47, 輔助計算!$G$2:$G$801, 0)+1))&lt;=790,3,IF(INDEX(ERP資料!$G:$G, (MATCH(47, 輔助計算!$G$2:$G$801, 0)+1))&lt;=1181,2,1)))), "")&amp;IF(AND(IF(INT(INDEX(輔助計算!$D:$D, (MATCH(47, 輔助計算!$G$2:$G$801, 0)+1))/IF(INDEX(ERP資料!$G:$G, (MATCH(47, 輔助計算!$G$2:$G$801, 0)+1))&lt;100, IF(INDEX(ERP資料!$G:$G, (MATCH(47, 輔助計算!$G$2:$G$801, 0)+1))&lt;=31,3,IF(INDEX(ERP資料!$G:$G, (MATCH(47, 輔助計算!$G$2:$G$801, 0)+1))&lt;=46.5,2,1)), IF(INDEX(ERP資料!$G:$G, (MATCH(47, 輔助計算!$G$2:$G$801, 0)+1))&lt;=790,3,IF(INDEX(ERP資料!$G:$G, (MATCH(47, 輔助計算!$G$2:$G$801, 0)+1))&lt;=1181,2,1))))&gt;0, IF(IF(INDEX(ERP資料!$G:$G, (MATCH(47, 輔助計算!$G$2:$G$801, 0)+1))&lt;100, IF(INDEX(ERP資料!$G:$G, (MATCH(47, 輔助計算!$G$2:$G$801, 0)+1))&lt;=31,3,IF(INDEX(ERP資料!$G:$G, (MATCH(47, 輔助計算!$G$2:$G$801, 0)+1))&lt;=46.5,2,1)), IF(INDEX(ERP資料!$G:$G, (MATCH(47, 輔助計算!$G$2:$G$801, 0)+1))&lt;=790,3,IF(INDEX(ERP資料!$G:$G, (MATCH(47, 輔助計算!$G$2:$G$801, 0)+1))&lt;=1181,2,1)))=1,TEXT(INDEX(ERP資料!$G:$G, (MATCH(47, 輔助計算!$G$2:$G$801, 0)+1)),"0.##"),IF(IF(INDEX(ERP資料!$G:$G, (MATCH(47, 輔助計算!$G$2:$G$801, 0)+1))&lt;100, IF(INDEX(ERP資料!$G:$G, (MATCH(47, 輔助計算!$G$2:$G$801, 0)+1))&lt;=31,3,IF(INDEX(ERP資料!$G:$G, (MATCH(47, 輔助計算!$G$2:$G$801, 0)+1))&lt;=46.5,2,1)), IF(INDEX(ERP資料!$G:$G, (MATCH(47, 輔助計算!$G$2:$G$801, 0)+1))&lt;=790,3,IF(INDEX(ERP資料!$G:$G, (MATCH(47, 輔助計算!$G$2:$G$801, 0)+1))&lt;=1181,2,1)))=2,TEXT(INDEX(ERP資料!$G:$G, (MATCH(47, 輔助計算!$G$2:$G$801, 0)+1)),"0.##")&amp;"+"&amp;TEXT(INDEX(ERP資料!$G:$G, (MATCH(47, 輔助計算!$G$2:$G$801, 0)+1)),"0.##"),TEXT(INDEX(ERP資料!$G:$G, (MATCH(47, 輔助計算!$G$2:$G$801, 0)+1)),"0.##")&amp;"+"&amp;TEXT(INDEX(ERP資料!$G:$G, (MATCH(47, 輔助計算!$G$2:$G$801, 0)+1)),"0.##")&amp;"+"&amp;TEXT(INDEX(ERP資料!$G:$G, (MATCH(47, 輔助計算!$G$2:$G$801, 0)+1)),"0.##")))&amp;"-"&amp;INT(INDEX(輔助計算!$D:$D, (MATCH(47, 輔助計算!$G$2:$G$801, 0)+1))/IF(INDEX(ERP資料!$G:$G, (MATCH(47, 輔助計算!$G$2:$G$801, 0)+1))&lt;100, IF(INDEX(ERP資料!$G:$G, (MATCH(47, 輔助計算!$G$2:$G$801, 0)+1))&lt;=31,3,IF(INDEX(ERP資料!$G:$G, (MATCH(47, 輔助計算!$G$2:$G$801, 0)+1))&lt;=46.5,2,1)), IF(INDEX(ERP資料!$G:$G, (MATCH(47, 輔助計算!$G$2:$G$801, 0)+1))&lt;=790,3,IF(INDEX(ERP資料!$G:$G, (MATCH(47, 輔助計算!$G$2:$G$801, 0)+1))&lt;=1181,2,1)))), "")&lt;&gt;"",IF(MOD(INDEX(輔助計算!$D:$D, (MATCH(47, 輔助計算!$G$2:$G$801, 0)+1)),IF(INDEX(ERP資料!$G:$G, (MATCH(47, 輔助計算!$G$2:$G$801, 0)+1))&lt;100, IF(INDEX(ERP資料!$G:$G, (MATCH(47, 輔助計算!$G$2:$G$801, 0)+1))&lt;=31,3,IF(INDEX(ERP資料!$G:$G, (MATCH(47, 輔助計算!$G$2:$G$801, 0)+1))&lt;=46.5,2,1)), IF(INDEX(ERP資料!$G:$G, (MATCH(47, 輔助計算!$G$2:$G$801, 0)+1))&lt;=790,3,IF(INDEX(ERP資料!$G:$G, (MATCH(47, 輔助計算!$G$2:$G$801, 0)+1))&lt;=1181,2,1))))=0,"",IF(MOD(INDEX(輔助計算!$D:$D, (MATCH(47, 輔助計算!$G$2:$G$801, 0)+1)),IF(INDEX(ERP資料!$G:$G, (MATCH(47, 輔助計算!$G$2:$G$801, 0)+1))&lt;100, IF(INDEX(ERP資料!$G:$G, (MATCH(47, 輔助計算!$G$2:$G$801, 0)+1))&lt;=31,3,IF(INDEX(ERP資料!$G:$G, (MATCH(47, 輔助計算!$G$2:$G$801, 0)+1))&lt;=46.5,2,1)), IF(INDEX(ERP資料!$G:$G, (MATCH(47, 輔助計算!$G$2:$G$801, 0)+1))&lt;=790,3,IF(INDEX(ERP資料!$G:$G, (MATCH(47, 輔助計算!$G$2:$G$801, 0)+1))&lt;=1181,2,1))))=0,"",IF(MOD(INDEX(輔助計算!$D:$D, (MATCH(47, 輔助計算!$G$2:$G$801, 0)+1)),IF(INDEX(ERP資料!$G:$G, (MATCH(47, 輔助計算!$G$2:$G$801, 0)+1))&lt;100, IF(INDEX(ERP資料!$G:$G, (MATCH(47, 輔助計算!$G$2:$G$801, 0)+1))&lt;=31,3,IF(INDEX(ERP資料!$G:$G, (MATCH(47, 輔助計算!$G$2:$G$801, 0)+1))&lt;=46.5,2,1)), IF(INDEX(ERP資料!$G:$G, (MATCH(47, 輔助計算!$G$2:$G$801, 0)+1))&lt;=790,3,IF(INDEX(ERP資料!$G:$G, (MATCH(47, 輔助計算!$G$2:$G$801, 0)+1))&lt;=1181,2,1))))=1,TEXT(INDEX(ERP資料!$G:$G, (MATCH(47, 輔助計算!$G$2:$G$801, 0)+1)),"0.##"),IF(MOD(INDEX(輔助計算!$D:$D, (MATCH(47, 輔助計算!$G$2:$G$801, 0)+1)),IF(INDEX(ERP資料!$G:$G, (MATCH(47, 輔助計算!$G$2:$G$801, 0)+1))&lt;100, IF(INDEX(ERP資料!$G:$G, (MATCH(47, 輔助計算!$G$2:$G$801, 0)+1))&lt;=31,3,IF(INDEX(ERP資料!$G:$G, (MATCH(47, 輔助計算!$G$2:$G$801, 0)+1))&lt;=46.5,2,1)), IF(INDEX(ERP資料!$G:$G, (MATCH(47, 輔助計算!$G$2:$G$801, 0)+1))&lt;=790,3,IF(INDEX(ERP資料!$G:$G, (MATCH(47, 輔助計算!$G$2:$G$801, 0)+1))&lt;=1181,2,1))))=2,TEXT(INDEX(ERP資料!$G:$G, (MATCH(47, 輔助計算!$G$2:$G$801, 0)+1)),"0.##")&amp;"+"&amp;TEXT(INDEX(ERP資料!$G:$G, (MATCH(47, 輔助計算!$G$2:$G$801, 0)+1)),"0.##"),TEXT(INDEX(ERP資料!$G:$G, (MATCH(47, 輔助計算!$G$2:$G$801, 0)+1)),"0.##")&amp;"+"&amp;TEXT(INDEX(ERP資料!$G:$G, (MATCH(47, 輔助計算!$G$2:$G$801, 0)+1)),"0.##")&amp;"+"&amp;TEXT(INDEX(ERP資料!$G:$G, (MATCH(47, 輔助計算!$G$2:$G$801, 0)+1)),"0.##"))))&amp;"-1")&lt;&gt;""),"  ","")&amp;IF(MOD(INDEX(輔助計算!$D:$D, (MATCH(47, 輔助計算!$G$2:$G$801, 0)+1)),IF(INDEX(ERP資料!$G:$G, (MATCH(47, 輔助計算!$G$2:$G$801, 0)+1))&lt;100, IF(INDEX(ERP資料!$G:$G, (MATCH(47, 輔助計算!$G$2:$G$801, 0)+1))&lt;=31,3,IF(INDEX(ERP資料!$G:$G, (MATCH(47, 輔助計算!$G$2:$G$801, 0)+1))&lt;=46.5,2,1)), IF(INDEX(ERP資料!$G:$G, (MATCH(47, 輔助計算!$G$2:$G$801, 0)+1))&lt;=790,3,IF(INDEX(ERP資料!$G:$G, (MATCH(47, 輔助計算!$G$2:$G$801, 0)+1))&lt;=1181,2,1))))=0,"",IF(MOD(INDEX(輔助計算!$D:$D, (MATCH(47, 輔助計算!$G$2:$G$801, 0)+1)),IF(INDEX(ERP資料!$G:$G, (MATCH(47, 輔助計算!$G$2:$G$801, 0)+1))&lt;100, IF(INDEX(ERP資料!$G:$G, (MATCH(47, 輔助計算!$G$2:$G$801, 0)+1))&lt;=31,3,IF(INDEX(ERP資料!$G:$G, (MATCH(47, 輔助計算!$G$2:$G$801, 0)+1))&lt;=46.5,2,1)), IF(INDEX(ERP資料!$G:$G, (MATCH(47, 輔助計算!$G$2:$G$801, 0)+1))&lt;=790,3,IF(INDEX(ERP資料!$G:$G, (MATCH(47, 輔助計算!$G$2:$G$801, 0)+1))&lt;=1181,2,1))))=0,"",IF(MOD(INDEX(輔助計算!$D:$D, (MATCH(47, 輔助計算!$G$2:$G$801, 0)+1)),IF(INDEX(ERP資料!$G:$G, (MATCH(47, 輔助計算!$G$2:$G$801, 0)+1))&lt;100, IF(INDEX(ERP資料!$G:$G, (MATCH(47, 輔助計算!$G$2:$G$801, 0)+1))&lt;=31,3,IF(INDEX(ERP資料!$G:$G, (MATCH(47, 輔助計算!$G$2:$G$801, 0)+1))&lt;=46.5,2,1)), IF(INDEX(ERP資料!$G:$G, (MATCH(47, 輔助計算!$G$2:$G$801, 0)+1))&lt;=790,3,IF(INDEX(ERP資料!$G:$G, (MATCH(47, 輔助計算!$G$2:$G$801, 0)+1))&lt;=1181,2,1))))=1,TEXT(INDEX(ERP資料!$G:$G, (MATCH(47, 輔助計算!$G$2:$G$801, 0)+1)),"0.##"),IF(MOD(INDEX(輔助計算!$D:$D, (MATCH(47, 輔助計算!$G$2:$G$801, 0)+1)),IF(INDEX(ERP資料!$G:$G, (MATCH(47, 輔助計算!$G$2:$G$801, 0)+1))&lt;100, IF(INDEX(ERP資料!$G:$G, (MATCH(47, 輔助計算!$G$2:$G$801, 0)+1))&lt;=31,3,IF(INDEX(ERP資料!$G:$G, (MATCH(47, 輔助計算!$G$2:$G$801, 0)+1))&lt;=46.5,2,1)), IF(INDEX(ERP資料!$G:$G, (MATCH(47, 輔助計算!$G$2:$G$801, 0)+1))&lt;=790,3,IF(INDEX(ERP資料!$G:$G, (MATCH(47, 輔助計算!$G$2:$G$801, 0)+1))&lt;=1181,2,1))))=2,TEXT(INDEX(ERP資料!$G:$G, (MATCH(47, 輔助計算!$G$2:$G$801, 0)+1)),"0.##")&amp;"+"&amp;TEXT(INDEX(ERP資料!$G:$G, (MATCH(47, 輔助計算!$G$2:$G$801, 0)+1)),"0.##"),TEXT(INDEX(ERP資料!$G:$G, (MATCH(47, 輔助計算!$G$2:$G$801, 0)+1)),"0.##")&amp;"+"&amp;TEXT(INDEX(ERP資料!$G:$G, (MATCH(47, 輔助計算!$G$2:$G$801, 0)+1)),"0.##")&amp;"+"&amp;TEXT(INDEX(ERP資料!$G:$G, (MATCH(47, 輔助計算!$G$2:$G$801, 0)+1)),"0.##"))))&amp;"-1")), ""), "")</f>
        <v/>
      </c>
      <c r="K48" s="16" t="n"/>
      <c r="L48" s="14">
        <f>IFERROR(IF(AND(IFERROR(INDEX(ERP資料!$A:$A, (MATCH(47, 輔助計算!$G$2:$G$801, 0)+1)), "")&lt;&gt;"", IFERROR(INDEX(ERP資料!$A:$A, (MATCH(47, 輔助計算!$G$2:$G$801, 0)+1)), "")&lt;&gt;IFERROR(INDEX(ERP資料!$A:$A, MATCH(46, 輔助計算!$G$2:$G$801, 0)+1), "")), INDEX(ERP資料!$B:$B, (MATCH(47, 輔助計算!$G$2:$G$801, 0)+1)), ""), "")</f>
        <v/>
      </c>
      <c r="M48" s="17" t="n"/>
    </row>
    <row r="49">
      <c r="A49" s="10">
        <f>IFERROR(IF(AND(IFERROR(INDEX(ERP資料!$A:$A, (MATCH(48, 輔助計算!$G$2:$G$801, 0)+1)), "")&lt;&gt;"", IFERROR(INDEX(ERP資料!$A:$A, (MATCH(48, 輔助計算!$G$2:$G$801, 0)+1)), "")&lt;&gt;IFERROR(INDEX(ERP資料!$A:$A, MATCH(47, 輔助計算!$G$2:$G$801, 0)+1), "")), IFERROR(INDEX(ERP資料!$A:$A, (MATCH(48, 輔助計算!$G$2:$G$801, 0)+1)), ""), ""), "")</f>
        <v/>
      </c>
      <c r="B49" s="10">
        <f>IFERROR(IF(AND(IFERROR(INDEX(ERP資料!$A:$A, (MATCH(48, 輔助計算!$G$2:$G$801, 0)+1)), "")&lt;&gt;"", IFERROR(INDEX(ERP資料!$A:$A, (MATCH(48, 輔助計算!$G$2:$G$801, 0)+1)), "")&lt;&gt;IFERROR(INDEX(ERP資料!$A:$A, MATCH(47, 輔助計算!$G$2:$G$801, 0)+1), "")), INDEX(ERP資料!$S:$S, (MATCH(48, 輔助計算!$G$2:$G$801, 0)+1)), ""), "")</f>
        <v/>
      </c>
      <c r="C49" s="19">
        <f>IFERROR(IF(AND(IFERROR(INDEX(ERP資料!$A:$A, (MATCH(48, 輔助計算!$G$2:$G$801, 0)+1)), "")&lt;&gt;"", IFERROR(INDEX(ERP資料!$A:$A, (MATCH(48, 輔助計算!$G$2:$G$801, 0)+1)), "")&lt;&gt;IFERROR(INDEX(ERP資料!$A:$A, MATCH(47, 輔助計算!$G$2:$G$801, 0)+1), "")), IFERROR(VLOOKUP(LEFT(INDEX(ERP資料!$S:$S, (MATCH(48, 輔助計算!$G$2:$G$801, 0)+1)), 4), 紙管對照表!$A:$C, 3, FALSE), ""), ""), "")</f>
        <v/>
      </c>
      <c r="D49" s="16" t="n"/>
      <c r="E49" s="10">
        <f>IFERROR(IF(INDEX(ERP資料!$H:$H, (MATCH(48, 輔助計算!$G$2:$G$801, 0)+1))="","",INDEX(ERP資料!$H:$H, (MATCH(48, 輔助計算!$G$2:$G$801, 0)+1))), "")</f>
        <v/>
      </c>
      <c r="F49" s="10">
        <f>IFERROR(IF(INDEX(ERP資料!$E:$E, (MATCH(48, 輔助計算!$G$2:$G$801, 0)+1))="","",TRIM(INDEX(ERP資料!$E:$E, (MATCH(48, 輔助計算!$G$2:$G$801, 0)+1)))), "")</f>
        <v/>
      </c>
      <c r="G49" s="10">
        <f>IFERROR(IF(INDEX(ERP資料!$F:$F, (MATCH(48, 輔助計算!$G$2:$G$801, 0)+1))="","",INDEX(ERP資料!$F:$F, (MATCH(48, 輔助計算!$G$2:$G$801, 0)+1))), "")</f>
        <v/>
      </c>
      <c r="H49" s="10">
        <f>IFERROR(IF(INDEX(ERP資料!$G:$G, (MATCH(48, 輔助計算!$G$2:$G$801, 0)+1))="","",INDEX(ERP資料!$G:$G, (MATCH(48, 輔助計算!$G$2:$G$801, 0)+1))), "")</f>
        <v/>
      </c>
      <c r="I49" s="15">
        <f>IFERROR(INDEX(輔助計算!$D:$D, (MATCH(48, 輔助計算!$G$2:$G$801, 0)+1)), "")</f>
        <v/>
      </c>
      <c r="J49" s="15">
        <f>IFERROR(IF(AND(INDEX(輔助計算!$D:$D, (MATCH(48, 輔助計算!$G$2:$G$801, 0)+1))&lt;&gt;"", INDEX(ERP資料!$G:$G, (MATCH(48, 輔助計算!$G$2:$G$801, 0)+1))&lt;&gt;""), TRIM(IF(INT(INDEX(輔助計算!$D:$D, (MATCH(48, 輔助計算!$G$2:$G$801, 0)+1))/IF(INDEX(ERP資料!$G:$G, (MATCH(48, 輔助計算!$G$2:$G$801, 0)+1))&lt;100, IF(INDEX(ERP資料!$G:$G, (MATCH(48, 輔助計算!$G$2:$G$801, 0)+1))&lt;=31,3,IF(INDEX(ERP資料!$G:$G, (MATCH(48, 輔助計算!$G$2:$G$801, 0)+1))&lt;=46.5,2,1)), IF(INDEX(ERP資料!$G:$G, (MATCH(48, 輔助計算!$G$2:$G$801, 0)+1))&lt;=790,3,IF(INDEX(ERP資料!$G:$G, (MATCH(48, 輔助計算!$G$2:$G$801, 0)+1))&lt;=1181,2,1))))&gt;0, IF(IF(INDEX(ERP資料!$G:$G, (MATCH(48, 輔助計算!$G$2:$G$801, 0)+1))&lt;100, IF(INDEX(ERP資料!$G:$G, (MATCH(48, 輔助計算!$G$2:$G$801, 0)+1))&lt;=31,3,IF(INDEX(ERP資料!$G:$G, (MATCH(48, 輔助計算!$G$2:$G$801, 0)+1))&lt;=46.5,2,1)), IF(INDEX(ERP資料!$G:$G, (MATCH(48, 輔助計算!$G$2:$G$801, 0)+1))&lt;=790,3,IF(INDEX(ERP資料!$G:$G, (MATCH(48, 輔助計算!$G$2:$G$801, 0)+1))&lt;=1181,2,1)))=1,TEXT(INDEX(ERP資料!$G:$G, (MATCH(48, 輔助計算!$G$2:$G$801, 0)+1)),"0.##"),IF(IF(INDEX(ERP資料!$G:$G, (MATCH(48, 輔助計算!$G$2:$G$801, 0)+1))&lt;100, IF(INDEX(ERP資料!$G:$G, (MATCH(48, 輔助計算!$G$2:$G$801, 0)+1))&lt;=31,3,IF(INDEX(ERP資料!$G:$G, (MATCH(48, 輔助計算!$G$2:$G$801, 0)+1))&lt;=46.5,2,1)), IF(INDEX(ERP資料!$G:$G, (MATCH(48, 輔助計算!$G$2:$G$801, 0)+1))&lt;=790,3,IF(INDEX(ERP資料!$G:$G, (MATCH(48, 輔助計算!$G$2:$G$801, 0)+1))&lt;=1181,2,1)))=2,TEXT(INDEX(ERP資料!$G:$G, (MATCH(48, 輔助計算!$G$2:$G$801, 0)+1)),"0.##")&amp;"+"&amp;TEXT(INDEX(ERP資料!$G:$G, (MATCH(48, 輔助計算!$G$2:$G$801, 0)+1)),"0.##"),TEXT(INDEX(ERP資料!$G:$G, (MATCH(48, 輔助計算!$G$2:$G$801, 0)+1)),"0.##")&amp;"+"&amp;TEXT(INDEX(ERP資料!$G:$G, (MATCH(48, 輔助計算!$G$2:$G$801, 0)+1)),"0.##")&amp;"+"&amp;TEXT(INDEX(ERP資料!$G:$G, (MATCH(48, 輔助計算!$G$2:$G$801, 0)+1)),"0.##")))&amp;"-"&amp;INT(INDEX(輔助計算!$D:$D, (MATCH(48, 輔助計算!$G$2:$G$801, 0)+1))/IF(INDEX(ERP資料!$G:$G, (MATCH(48, 輔助計算!$G$2:$G$801, 0)+1))&lt;100, IF(INDEX(ERP資料!$G:$G, (MATCH(48, 輔助計算!$G$2:$G$801, 0)+1))&lt;=31,3,IF(INDEX(ERP資料!$G:$G, (MATCH(48, 輔助計算!$G$2:$G$801, 0)+1))&lt;=46.5,2,1)), IF(INDEX(ERP資料!$G:$G, (MATCH(48, 輔助計算!$G$2:$G$801, 0)+1))&lt;=790,3,IF(INDEX(ERP資料!$G:$G, (MATCH(48, 輔助計算!$G$2:$G$801, 0)+1))&lt;=1181,2,1)))), "")&amp;IF(AND(IF(INT(INDEX(輔助計算!$D:$D, (MATCH(48, 輔助計算!$G$2:$G$801, 0)+1))/IF(INDEX(ERP資料!$G:$G, (MATCH(48, 輔助計算!$G$2:$G$801, 0)+1))&lt;100, IF(INDEX(ERP資料!$G:$G, (MATCH(48, 輔助計算!$G$2:$G$801, 0)+1))&lt;=31,3,IF(INDEX(ERP資料!$G:$G, (MATCH(48, 輔助計算!$G$2:$G$801, 0)+1))&lt;=46.5,2,1)), IF(INDEX(ERP資料!$G:$G, (MATCH(48, 輔助計算!$G$2:$G$801, 0)+1))&lt;=790,3,IF(INDEX(ERP資料!$G:$G, (MATCH(48, 輔助計算!$G$2:$G$801, 0)+1))&lt;=1181,2,1))))&gt;0, IF(IF(INDEX(ERP資料!$G:$G, (MATCH(48, 輔助計算!$G$2:$G$801, 0)+1))&lt;100, IF(INDEX(ERP資料!$G:$G, (MATCH(48, 輔助計算!$G$2:$G$801, 0)+1))&lt;=31,3,IF(INDEX(ERP資料!$G:$G, (MATCH(48, 輔助計算!$G$2:$G$801, 0)+1))&lt;=46.5,2,1)), IF(INDEX(ERP資料!$G:$G, (MATCH(48, 輔助計算!$G$2:$G$801, 0)+1))&lt;=790,3,IF(INDEX(ERP資料!$G:$G, (MATCH(48, 輔助計算!$G$2:$G$801, 0)+1))&lt;=1181,2,1)))=1,TEXT(INDEX(ERP資料!$G:$G, (MATCH(48, 輔助計算!$G$2:$G$801, 0)+1)),"0.##"),IF(IF(INDEX(ERP資料!$G:$G, (MATCH(48, 輔助計算!$G$2:$G$801, 0)+1))&lt;100, IF(INDEX(ERP資料!$G:$G, (MATCH(48, 輔助計算!$G$2:$G$801, 0)+1))&lt;=31,3,IF(INDEX(ERP資料!$G:$G, (MATCH(48, 輔助計算!$G$2:$G$801, 0)+1))&lt;=46.5,2,1)), IF(INDEX(ERP資料!$G:$G, (MATCH(48, 輔助計算!$G$2:$G$801, 0)+1))&lt;=790,3,IF(INDEX(ERP資料!$G:$G, (MATCH(48, 輔助計算!$G$2:$G$801, 0)+1))&lt;=1181,2,1)))=2,TEXT(INDEX(ERP資料!$G:$G, (MATCH(48, 輔助計算!$G$2:$G$801, 0)+1)),"0.##")&amp;"+"&amp;TEXT(INDEX(ERP資料!$G:$G, (MATCH(48, 輔助計算!$G$2:$G$801, 0)+1)),"0.##"),TEXT(INDEX(ERP資料!$G:$G, (MATCH(48, 輔助計算!$G$2:$G$801, 0)+1)),"0.##")&amp;"+"&amp;TEXT(INDEX(ERP資料!$G:$G, (MATCH(48, 輔助計算!$G$2:$G$801, 0)+1)),"0.##")&amp;"+"&amp;TEXT(INDEX(ERP資料!$G:$G, (MATCH(48, 輔助計算!$G$2:$G$801, 0)+1)),"0.##")))&amp;"-"&amp;INT(INDEX(輔助計算!$D:$D, (MATCH(48, 輔助計算!$G$2:$G$801, 0)+1))/IF(INDEX(ERP資料!$G:$G, (MATCH(48, 輔助計算!$G$2:$G$801, 0)+1))&lt;100, IF(INDEX(ERP資料!$G:$G, (MATCH(48, 輔助計算!$G$2:$G$801, 0)+1))&lt;=31,3,IF(INDEX(ERP資料!$G:$G, (MATCH(48, 輔助計算!$G$2:$G$801, 0)+1))&lt;=46.5,2,1)), IF(INDEX(ERP資料!$G:$G, (MATCH(48, 輔助計算!$G$2:$G$801, 0)+1))&lt;=790,3,IF(INDEX(ERP資料!$G:$G, (MATCH(48, 輔助計算!$G$2:$G$801, 0)+1))&lt;=1181,2,1)))), "")&lt;&gt;"",IF(MOD(INDEX(輔助計算!$D:$D, (MATCH(48, 輔助計算!$G$2:$G$801, 0)+1)),IF(INDEX(ERP資料!$G:$G, (MATCH(48, 輔助計算!$G$2:$G$801, 0)+1))&lt;100, IF(INDEX(ERP資料!$G:$G, (MATCH(48, 輔助計算!$G$2:$G$801, 0)+1))&lt;=31,3,IF(INDEX(ERP資料!$G:$G, (MATCH(48, 輔助計算!$G$2:$G$801, 0)+1))&lt;=46.5,2,1)), IF(INDEX(ERP資料!$G:$G, (MATCH(48, 輔助計算!$G$2:$G$801, 0)+1))&lt;=790,3,IF(INDEX(ERP資料!$G:$G, (MATCH(48, 輔助計算!$G$2:$G$801, 0)+1))&lt;=1181,2,1))))=0,"",IF(MOD(INDEX(輔助計算!$D:$D, (MATCH(48, 輔助計算!$G$2:$G$801, 0)+1)),IF(INDEX(ERP資料!$G:$G, (MATCH(48, 輔助計算!$G$2:$G$801, 0)+1))&lt;100, IF(INDEX(ERP資料!$G:$G, (MATCH(48, 輔助計算!$G$2:$G$801, 0)+1))&lt;=31,3,IF(INDEX(ERP資料!$G:$G, (MATCH(48, 輔助計算!$G$2:$G$801, 0)+1))&lt;=46.5,2,1)), IF(INDEX(ERP資料!$G:$G, (MATCH(48, 輔助計算!$G$2:$G$801, 0)+1))&lt;=790,3,IF(INDEX(ERP資料!$G:$G, (MATCH(48, 輔助計算!$G$2:$G$801, 0)+1))&lt;=1181,2,1))))=0,"",IF(MOD(INDEX(輔助計算!$D:$D, (MATCH(48, 輔助計算!$G$2:$G$801, 0)+1)),IF(INDEX(ERP資料!$G:$G, (MATCH(48, 輔助計算!$G$2:$G$801, 0)+1))&lt;100, IF(INDEX(ERP資料!$G:$G, (MATCH(48, 輔助計算!$G$2:$G$801, 0)+1))&lt;=31,3,IF(INDEX(ERP資料!$G:$G, (MATCH(48, 輔助計算!$G$2:$G$801, 0)+1))&lt;=46.5,2,1)), IF(INDEX(ERP資料!$G:$G, (MATCH(48, 輔助計算!$G$2:$G$801, 0)+1))&lt;=790,3,IF(INDEX(ERP資料!$G:$G, (MATCH(48, 輔助計算!$G$2:$G$801, 0)+1))&lt;=1181,2,1))))=1,TEXT(INDEX(ERP資料!$G:$G, (MATCH(48, 輔助計算!$G$2:$G$801, 0)+1)),"0.##"),IF(MOD(INDEX(輔助計算!$D:$D, (MATCH(48, 輔助計算!$G$2:$G$801, 0)+1)),IF(INDEX(ERP資料!$G:$G, (MATCH(48, 輔助計算!$G$2:$G$801, 0)+1))&lt;100, IF(INDEX(ERP資料!$G:$G, (MATCH(48, 輔助計算!$G$2:$G$801, 0)+1))&lt;=31,3,IF(INDEX(ERP資料!$G:$G, (MATCH(48, 輔助計算!$G$2:$G$801, 0)+1))&lt;=46.5,2,1)), IF(INDEX(ERP資料!$G:$G, (MATCH(48, 輔助計算!$G$2:$G$801, 0)+1))&lt;=790,3,IF(INDEX(ERP資料!$G:$G, (MATCH(48, 輔助計算!$G$2:$G$801, 0)+1))&lt;=1181,2,1))))=2,TEXT(INDEX(ERP資料!$G:$G, (MATCH(48, 輔助計算!$G$2:$G$801, 0)+1)),"0.##")&amp;"+"&amp;TEXT(INDEX(ERP資料!$G:$G, (MATCH(48, 輔助計算!$G$2:$G$801, 0)+1)),"0.##"),TEXT(INDEX(ERP資料!$G:$G, (MATCH(48, 輔助計算!$G$2:$G$801, 0)+1)),"0.##")&amp;"+"&amp;TEXT(INDEX(ERP資料!$G:$G, (MATCH(48, 輔助計算!$G$2:$G$801, 0)+1)),"0.##")&amp;"+"&amp;TEXT(INDEX(ERP資料!$G:$G, (MATCH(48, 輔助計算!$G$2:$G$801, 0)+1)),"0.##"))))&amp;"-1")&lt;&gt;""),"  ","")&amp;IF(MOD(INDEX(輔助計算!$D:$D, (MATCH(48, 輔助計算!$G$2:$G$801, 0)+1)),IF(INDEX(ERP資料!$G:$G, (MATCH(48, 輔助計算!$G$2:$G$801, 0)+1))&lt;100, IF(INDEX(ERP資料!$G:$G, (MATCH(48, 輔助計算!$G$2:$G$801, 0)+1))&lt;=31,3,IF(INDEX(ERP資料!$G:$G, (MATCH(48, 輔助計算!$G$2:$G$801, 0)+1))&lt;=46.5,2,1)), IF(INDEX(ERP資料!$G:$G, (MATCH(48, 輔助計算!$G$2:$G$801, 0)+1))&lt;=790,3,IF(INDEX(ERP資料!$G:$G, (MATCH(48, 輔助計算!$G$2:$G$801, 0)+1))&lt;=1181,2,1))))=0,"",IF(MOD(INDEX(輔助計算!$D:$D, (MATCH(48, 輔助計算!$G$2:$G$801, 0)+1)),IF(INDEX(ERP資料!$G:$G, (MATCH(48, 輔助計算!$G$2:$G$801, 0)+1))&lt;100, IF(INDEX(ERP資料!$G:$G, (MATCH(48, 輔助計算!$G$2:$G$801, 0)+1))&lt;=31,3,IF(INDEX(ERP資料!$G:$G, (MATCH(48, 輔助計算!$G$2:$G$801, 0)+1))&lt;=46.5,2,1)), IF(INDEX(ERP資料!$G:$G, (MATCH(48, 輔助計算!$G$2:$G$801, 0)+1))&lt;=790,3,IF(INDEX(ERP資料!$G:$G, (MATCH(48, 輔助計算!$G$2:$G$801, 0)+1))&lt;=1181,2,1))))=0,"",IF(MOD(INDEX(輔助計算!$D:$D, (MATCH(48, 輔助計算!$G$2:$G$801, 0)+1)),IF(INDEX(ERP資料!$G:$G, (MATCH(48, 輔助計算!$G$2:$G$801, 0)+1))&lt;100, IF(INDEX(ERP資料!$G:$G, (MATCH(48, 輔助計算!$G$2:$G$801, 0)+1))&lt;=31,3,IF(INDEX(ERP資料!$G:$G, (MATCH(48, 輔助計算!$G$2:$G$801, 0)+1))&lt;=46.5,2,1)), IF(INDEX(ERP資料!$G:$G, (MATCH(48, 輔助計算!$G$2:$G$801, 0)+1))&lt;=790,3,IF(INDEX(ERP資料!$G:$G, (MATCH(48, 輔助計算!$G$2:$G$801, 0)+1))&lt;=1181,2,1))))=1,TEXT(INDEX(ERP資料!$G:$G, (MATCH(48, 輔助計算!$G$2:$G$801, 0)+1)),"0.##"),IF(MOD(INDEX(輔助計算!$D:$D, (MATCH(48, 輔助計算!$G$2:$G$801, 0)+1)),IF(INDEX(ERP資料!$G:$G, (MATCH(48, 輔助計算!$G$2:$G$801, 0)+1))&lt;100, IF(INDEX(ERP資料!$G:$G, (MATCH(48, 輔助計算!$G$2:$G$801, 0)+1))&lt;=31,3,IF(INDEX(ERP資料!$G:$G, (MATCH(48, 輔助計算!$G$2:$G$801, 0)+1))&lt;=46.5,2,1)), IF(INDEX(ERP資料!$G:$G, (MATCH(48, 輔助計算!$G$2:$G$801, 0)+1))&lt;=790,3,IF(INDEX(ERP資料!$G:$G, (MATCH(48, 輔助計算!$G$2:$G$801, 0)+1))&lt;=1181,2,1))))=2,TEXT(INDEX(ERP資料!$G:$G, (MATCH(48, 輔助計算!$G$2:$G$801, 0)+1)),"0.##")&amp;"+"&amp;TEXT(INDEX(ERP資料!$G:$G, (MATCH(48, 輔助計算!$G$2:$G$801, 0)+1)),"0.##"),TEXT(INDEX(ERP資料!$G:$G, (MATCH(48, 輔助計算!$G$2:$G$801, 0)+1)),"0.##")&amp;"+"&amp;TEXT(INDEX(ERP資料!$G:$G, (MATCH(48, 輔助計算!$G$2:$G$801, 0)+1)),"0.##")&amp;"+"&amp;TEXT(INDEX(ERP資料!$G:$G, (MATCH(48, 輔助計算!$G$2:$G$801, 0)+1)),"0.##"))))&amp;"-1")), ""), "")</f>
        <v/>
      </c>
      <c r="K49" s="16" t="n"/>
      <c r="L49" s="14">
        <f>IFERROR(IF(AND(IFERROR(INDEX(ERP資料!$A:$A, (MATCH(48, 輔助計算!$G$2:$G$801, 0)+1)), "")&lt;&gt;"", IFERROR(INDEX(ERP資料!$A:$A, (MATCH(48, 輔助計算!$G$2:$G$801, 0)+1)), "")&lt;&gt;IFERROR(INDEX(ERP資料!$A:$A, MATCH(47, 輔助計算!$G$2:$G$801, 0)+1), "")), INDEX(ERP資料!$B:$B, (MATCH(48, 輔助計算!$G$2:$G$801, 0)+1)), ""), "")</f>
        <v/>
      </c>
      <c r="M49" s="17" t="n"/>
    </row>
    <row r="50">
      <c r="A50" s="10">
        <f>IFERROR(IF(AND(IFERROR(INDEX(ERP資料!$A:$A, (MATCH(49, 輔助計算!$G$2:$G$801, 0)+1)), "")&lt;&gt;"", IFERROR(INDEX(ERP資料!$A:$A, (MATCH(49, 輔助計算!$G$2:$G$801, 0)+1)), "")&lt;&gt;IFERROR(INDEX(ERP資料!$A:$A, MATCH(48, 輔助計算!$G$2:$G$801, 0)+1), "")), IFERROR(INDEX(ERP資料!$A:$A, (MATCH(49, 輔助計算!$G$2:$G$801, 0)+1)), ""), ""), "")</f>
        <v/>
      </c>
      <c r="B50" s="10">
        <f>IFERROR(IF(AND(IFERROR(INDEX(ERP資料!$A:$A, (MATCH(49, 輔助計算!$G$2:$G$801, 0)+1)), "")&lt;&gt;"", IFERROR(INDEX(ERP資料!$A:$A, (MATCH(49, 輔助計算!$G$2:$G$801, 0)+1)), "")&lt;&gt;IFERROR(INDEX(ERP資料!$A:$A, MATCH(48, 輔助計算!$G$2:$G$801, 0)+1), "")), INDEX(ERP資料!$S:$S, (MATCH(49, 輔助計算!$G$2:$G$801, 0)+1)), ""), "")</f>
        <v/>
      </c>
      <c r="C50" s="19">
        <f>IFERROR(IF(AND(IFERROR(INDEX(ERP資料!$A:$A, (MATCH(49, 輔助計算!$G$2:$G$801, 0)+1)), "")&lt;&gt;"", IFERROR(INDEX(ERP資料!$A:$A, (MATCH(49, 輔助計算!$G$2:$G$801, 0)+1)), "")&lt;&gt;IFERROR(INDEX(ERP資料!$A:$A, MATCH(48, 輔助計算!$G$2:$G$801, 0)+1), "")), IFERROR(VLOOKUP(LEFT(INDEX(ERP資料!$S:$S, (MATCH(49, 輔助計算!$G$2:$G$801, 0)+1)), 4), 紙管對照表!$A:$C, 3, FALSE), ""), ""), "")</f>
        <v/>
      </c>
      <c r="D50" s="16" t="n"/>
      <c r="E50" s="10">
        <f>IFERROR(IF(INDEX(ERP資料!$H:$H, (MATCH(49, 輔助計算!$G$2:$G$801, 0)+1))="","",INDEX(ERP資料!$H:$H, (MATCH(49, 輔助計算!$G$2:$G$801, 0)+1))), "")</f>
        <v/>
      </c>
      <c r="F50" s="10">
        <f>IFERROR(IF(INDEX(ERP資料!$E:$E, (MATCH(49, 輔助計算!$G$2:$G$801, 0)+1))="","",TRIM(INDEX(ERP資料!$E:$E, (MATCH(49, 輔助計算!$G$2:$G$801, 0)+1)))), "")</f>
        <v/>
      </c>
      <c r="G50" s="10">
        <f>IFERROR(IF(INDEX(ERP資料!$F:$F, (MATCH(49, 輔助計算!$G$2:$G$801, 0)+1))="","",INDEX(ERP資料!$F:$F, (MATCH(49, 輔助計算!$G$2:$G$801, 0)+1))), "")</f>
        <v/>
      </c>
      <c r="H50" s="10">
        <f>IFERROR(IF(INDEX(ERP資料!$G:$G, (MATCH(49, 輔助計算!$G$2:$G$801, 0)+1))="","",INDEX(ERP資料!$G:$G, (MATCH(49, 輔助計算!$G$2:$G$801, 0)+1))), "")</f>
        <v/>
      </c>
      <c r="I50" s="15">
        <f>IFERROR(INDEX(輔助計算!$D:$D, (MATCH(49, 輔助計算!$G$2:$G$801, 0)+1)), "")</f>
        <v/>
      </c>
      <c r="J50" s="15">
        <f>IFERROR(IF(AND(INDEX(輔助計算!$D:$D, (MATCH(49, 輔助計算!$G$2:$G$801, 0)+1))&lt;&gt;"", INDEX(ERP資料!$G:$G, (MATCH(49, 輔助計算!$G$2:$G$801, 0)+1))&lt;&gt;""), TRIM(IF(INT(INDEX(輔助計算!$D:$D, (MATCH(49, 輔助計算!$G$2:$G$801, 0)+1))/IF(INDEX(ERP資料!$G:$G, (MATCH(49, 輔助計算!$G$2:$G$801, 0)+1))&lt;100, IF(INDEX(ERP資料!$G:$G, (MATCH(49, 輔助計算!$G$2:$G$801, 0)+1))&lt;=31,3,IF(INDEX(ERP資料!$G:$G, (MATCH(49, 輔助計算!$G$2:$G$801, 0)+1))&lt;=46.5,2,1)), IF(INDEX(ERP資料!$G:$G, (MATCH(49, 輔助計算!$G$2:$G$801, 0)+1))&lt;=790,3,IF(INDEX(ERP資料!$G:$G, (MATCH(49, 輔助計算!$G$2:$G$801, 0)+1))&lt;=1181,2,1))))&gt;0, IF(IF(INDEX(ERP資料!$G:$G, (MATCH(49, 輔助計算!$G$2:$G$801, 0)+1))&lt;100, IF(INDEX(ERP資料!$G:$G, (MATCH(49, 輔助計算!$G$2:$G$801, 0)+1))&lt;=31,3,IF(INDEX(ERP資料!$G:$G, (MATCH(49, 輔助計算!$G$2:$G$801, 0)+1))&lt;=46.5,2,1)), IF(INDEX(ERP資料!$G:$G, (MATCH(49, 輔助計算!$G$2:$G$801, 0)+1))&lt;=790,3,IF(INDEX(ERP資料!$G:$G, (MATCH(49, 輔助計算!$G$2:$G$801, 0)+1))&lt;=1181,2,1)))=1,TEXT(INDEX(ERP資料!$G:$G, (MATCH(49, 輔助計算!$G$2:$G$801, 0)+1)),"0.##"),IF(IF(INDEX(ERP資料!$G:$G, (MATCH(49, 輔助計算!$G$2:$G$801, 0)+1))&lt;100, IF(INDEX(ERP資料!$G:$G, (MATCH(49, 輔助計算!$G$2:$G$801, 0)+1))&lt;=31,3,IF(INDEX(ERP資料!$G:$G, (MATCH(49, 輔助計算!$G$2:$G$801, 0)+1))&lt;=46.5,2,1)), IF(INDEX(ERP資料!$G:$G, (MATCH(49, 輔助計算!$G$2:$G$801, 0)+1))&lt;=790,3,IF(INDEX(ERP資料!$G:$G, (MATCH(49, 輔助計算!$G$2:$G$801, 0)+1))&lt;=1181,2,1)))=2,TEXT(INDEX(ERP資料!$G:$G, (MATCH(49, 輔助計算!$G$2:$G$801, 0)+1)),"0.##")&amp;"+"&amp;TEXT(INDEX(ERP資料!$G:$G, (MATCH(49, 輔助計算!$G$2:$G$801, 0)+1)),"0.##"),TEXT(INDEX(ERP資料!$G:$G, (MATCH(49, 輔助計算!$G$2:$G$801, 0)+1)),"0.##")&amp;"+"&amp;TEXT(INDEX(ERP資料!$G:$G, (MATCH(49, 輔助計算!$G$2:$G$801, 0)+1)),"0.##")&amp;"+"&amp;TEXT(INDEX(ERP資料!$G:$G, (MATCH(49, 輔助計算!$G$2:$G$801, 0)+1)),"0.##")))&amp;"-"&amp;INT(INDEX(輔助計算!$D:$D, (MATCH(49, 輔助計算!$G$2:$G$801, 0)+1))/IF(INDEX(ERP資料!$G:$G, (MATCH(49, 輔助計算!$G$2:$G$801, 0)+1))&lt;100, IF(INDEX(ERP資料!$G:$G, (MATCH(49, 輔助計算!$G$2:$G$801, 0)+1))&lt;=31,3,IF(INDEX(ERP資料!$G:$G, (MATCH(49, 輔助計算!$G$2:$G$801, 0)+1))&lt;=46.5,2,1)), IF(INDEX(ERP資料!$G:$G, (MATCH(49, 輔助計算!$G$2:$G$801, 0)+1))&lt;=790,3,IF(INDEX(ERP資料!$G:$G, (MATCH(49, 輔助計算!$G$2:$G$801, 0)+1))&lt;=1181,2,1)))), "")&amp;IF(AND(IF(INT(INDEX(輔助計算!$D:$D, (MATCH(49, 輔助計算!$G$2:$G$801, 0)+1))/IF(INDEX(ERP資料!$G:$G, (MATCH(49, 輔助計算!$G$2:$G$801, 0)+1))&lt;100, IF(INDEX(ERP資料!$G:$G, (MATCH(49, 輔助計算!$G$2:$G$801, 0)+1))&lt;=31,3,IF(INDEX(ERP資料!$G:$G, (MATCH(49, 輔助計算!$G$2:$G$801, 0)+1))&lt;=46.5,2,1)), IF(INDEX(ERP資料!$G:$G, (MATCH(49, 輔助計算!$G$2:$G$801, 0)+1))&lt;=790,3,IF(INDEX(ERP資料!$G:$G, (MATCH(49, 輔助計算!$G$2:$G$801, 0)+1))&lt;=1181,2,1))))&gt;0, IF(IF(INDEX(ERP資料!$G:$G, (MATCH(49, 輔助計算!$G$2:$G$801, 0)+1))&lt;100, IF(INDEX(ERP資料!$G:$G, (MATCH(49, 輔助計算!$G$2:$G$801, 0)+1))&lt;=31,3,IF(INDEX(ERP資料!$G:$G, (MATCH(49, 輔助計算!$G$2:$G$801, 0)+1))&lt;=46.5,2,1)), IF(INDEX(ERP資料!$G:$G, (MATCH(49, 輔助計算!$G$2:$G$801, 0)+1))&lt;=790,3,IF(INDEX(ERP資料!$G:$G, (MATCH(49, 輔助計算!$G$2:$G$801, 0)+1))&lt;=1181,2,1)))=1,TEXT(INDEX(ERP資料!$G:$G, (MATCH(49, 輔助計算!$G$2:$G$801, 0)+1)),"0.##"),IF(IF(INDEX(ERP資料!$G:$G, (MATCH(49, 輔助計算!$G$2:$G$801, 0)+1))&lt;100, IF(INDEX(ERP資料!$G:$G, (MATCH(49, 輔助計算!$G$2:$G$801, 0)+1))&lt;=31,3,IF(INDEX(ERP資料!$G:$G, (MATCH(49, 輔助計算!$G$2:$G$801, 0)+1))&lt;=46.5,2,1)), IF(INDEX(ERP資料!$G:$G, (MATCH(49, 輔助計算!$G$2:$G$801, 0)+1))&lt;=790,3,IF(INDEX(ERP資料!$G:$G, (MATCH(49, 輔助計算!$G$2:$G$801, 0)+1))&lt;=1181,2,1)))=2,TEXT(INDEX(ERP資料!$G:$G, (MATCH(49, 輔助計算!$G$2:$G$801, 0)+1)),"0.##")&amp;"+"&amp;TEXT(INDEX(ERP資料!$G:$G, (MATCH(49, 輔助計算!$G$2:$G$801, 0)+1)),"0.##"),TEXT(INDEX(ERP資料!$G:$G, (MATCH(49, 輔助計算!$G$2:$G$801, 0)+1)),"0.##")&amp;"+"&amp;TEXT(INDEX(ERP資料!$G:$G, (MATCH(49, 輔助計算!$G$2:$G$801, 0)+1)),"0.##")&amp;"+"&amp;TEXT(INDEX(ERP資料!$G:$G, (MATCH(49, 輔助計算!$G$2:$G$801, 0)+1)),"0.##")))&amp;"-"&amp;INT(INDEX(輔助計算!$D:$D, (MATCH(49, 輔助計算!$G$2:$G$801, 0)+1))/IF(INDEX(ERP資料!$G:$G, (MATCH(49, 輔助計算!$G$2:$G$801, 0)+1))&lt;100, IF(INDEX(ERP資料!$G:$G, (MATCH(49, 輔助計算!$G$2:$G$801, 0)+1))&lt;=31,3,IF(INDEX(ERP資料!$G:$G, (MATCH(49, 輔助計算!$G$2:$G$801, 0)+1))&lt;=46.5,2,1)), IF(INDEX(ERP資料!$G:$G, (MATCH(49, 輔助計算!$G$2:$G$801, 0)+1))&lt;=790,3,IF(INDEX(ERP資料!$G:$G, (MATCH(49, 輔助計算!$G$2:$G$801, 0)+1))&lt;=1181,2,1)))), "")&lt;&gt;"",IF(MOD(INDEX(輔助計算!$D:$D, (MATCH(49, 輔助計算!$G$2:$G$801, 0)+1)),IF(INDEX(ERP資料!$G:$G, (MATCH(49, 輔助計算!$G$2:$G$801, 0)+1))&lt;100, IF(INDEX(ERP資料!$G:$G, (MATCH(49, 輔助計算!$G$2:$G$801, 0)+1))&lt;=31,3,IF(INDEX(ERP資料!$G:$G, (MATCH(49, 輔助計算!$G$2:$G$801, 0)+1))&lt;=46.5,2,1)), IF(INDEX(ERP資料!$G:$G, (MATCH(49, 輔助計算!$G$2:$G$801, 0)+1))&lt;=790,3,IF(INDEX(ERP資料!$G:$G, (MATCH(49, 輔助計算!$G$2:$G$801, 0)+1))&lt;=1181,2,1))))=0,"",IF(MOD(INDEX(輔助計算!$D:$D, (MATCH(49, 輔助計算!$G$2:$G$801, 0)+1)),IF(INDEX(ERP資料!$G:$G, (MATCH(49, 輔助計算!$G$2:$G$801, 0)+1))&lt;100, IF(INDEX(ERP資料!$G:$G, (MATCH(49, 輔助計算!$G$2:$G$801, 0)+1))&lt;=31,3,IF(INDEX(ERP資料!$G:$G, (MATCH(49, 輔助計算!$G$2:$G$801, 0)+1))&lt;=46.5,2,1)), IF(INDEX(ERP資料!$G:$G, (MATCH(49, 輔助計算!$G$2:$G$801, 0)+1))&lt;=790,3,IF(INDEX(ERP資料!$G:$G, (MATCH(49, 輔助計算!$G$2:$G$801, 0)+1))&lt;=1181,2,1))))=0,"",IF(MOD(INDEX(輔助計算!$D:$D, (MATCH(49, 輔助計算!$G$2:$G$801, 0)+1)),IF(INDEX(ERP資料!$G:$G, (MATCH(49, 輔助計算!$G$2:$G$801, 0)+1))&lt;100, IF(INDEX(ERP資料!$G:$G, (MATCH(49, 輔助計算!$G$2:$G$801, 0)+1))&lt;=31,3,IF(INDEX(ERP資料!$G:$G, (MATCH(49, 輔助計算!$G$2:$G$801, 0)+1))&lt;=46.5,2,1)), IF(INDEX(ERP資料!$G:$G, (MATCH(49, 輔助計算!$G$2:$G$801, 0)+1))&lt;=790,3,IF(INDEX(ERP資料!$G:$G, (MATCH(49, 輔助計算!$G$2:$G$801, 0)+1))&lt;=1181,2,1))))=1,TEXT(INDEX(ERP資料!$G:$G, (MATCH(49, 輔助計算!$G$2:$G$801, 0)+1)),"0.##"),IF(MOD(INDEX(輔助計算!$D:$D, (MATCH(49, 輔助計算!$G$2:$G$801, 0)+1)),IF(INDEX(ERP資料!$G:$G, (MATCH(49, 輔助計算!$G$2:$G$801, 0)+1))&lt;100, IF(INDEX(ERP資料!$G:$G, (MATCH(49, 輔助計算!$G$2:$G$801, 0)+1))&lt;=31,3,IF(INDEX(ERP資料!$G:$G, (MATCH(49, 輔助計算!$G$2:$G$801, 0)+1))&lt;=46.5,2,1)), IF(INDEX(ERP資料!$G:$G, (MATCH(49, 輔助計算!$G$2:$G$801, 0)+1))&lt;=790,3,IF(INDEX(ERP資料!$G:$G, (MATCH(49, 輔助計算!$G$2:$G$801, 0)+1))&lt;=1181,2,1))))=2,TEXT(INDEX(ERP資料!$G:$G, (MATCH(49, 輔助計算!$G$2:$G$801, 0)+1)),"0.##")&amp;"+"&amp;TEXT(INDEX(ERP資料!$G:$G, (MATCH(49, 輔助計算!$G$2:$G$801, 0)+1)),"0.##"),TEXT(INDEX(ERP資料!$G:$G, (MATCH(49, 輔助計算!$G$2:$G$801, 0)+1)),"0.##")&amp;"+"&amp;TEXT(INDEX(ERP資料!$G:$G, (MATCH(49, 輔助計算!$G$2:$G$801, 0)+1)),"0.##")&amp;"+"&amp;TEXT(INDEX(ERP資料!$G:$G, (MATCH(49, 輔助計算!$G$2:$G$801, 0)+1)),"0.##"))))&amp;"-1")&lt;&gt;""),"  ","")&amp;IF(MOD(INDEX(輔助計算!$D:$D, (MATCH(49, 輔助計算!$G$2:$G$801, 0)+1)),IF(INDEX(ERP資料!$G:$G, (MATCH(49, 輔助計算!$G$2:$G$801, 0)+1))&lt;100, IF(INDEX(ERP資料!$G:$G, (MATCH(49, 輔助計算!$G$2:$G$801, 0)+1))&lt;=31,3,IF(INDEX(ERP資料!$G:$G, (MATCH(49, 輔助計算!$G$2:$G$801, 0)+1))&lt;=46.5,2,1)), IF(INDEX(ERP資料!$G:$G, (MATCH(49, 輔助計算!$G$2:$G$801, 0)+1))&lt;=790,3,IF(INDEX(ERP資料!$G:$G, (MATCH(49, 輔助計算!$G$2:$G$801, 0)+1))&lt;=1181,2,1))))=0,"",IF(MOD(INDEX(輔助計算!$D:$D, (MATCH(49, 輔助計算!$G$2:$G$801, 0)+1)),IF(INDEX(ERP資料!$G:$G, (MATCH(49, 輔助計算!$G$2:$G$801, 0)+1))&lt;100, IF(INDEX(ERP資料!$G:$G, (MATCH(49, 輔助計算!$G$2:$G$801, 0)+1))&lt;=31,3,IF(INDEX(ERP資料!$G:$G, (MATCH(49, 輔助計算!$G$2:$G$801, 0)+1))&lt;=46.5,2,1)), IF(INDEX(ERP資料!$G:$G, (MATCH(49, 輔助計算!$G$2:$G$801, 0)+1))&lt;=790,3,IF(INDEX(ERP資料!$G:$G, (MATCH(49, 輔助計算!$G$2:$G$801, 0)+1))&lt;=1181,2,1))))=0,"",IF(MOD(INDEX(輔助計算!$D:$D, (MATCH(49, 輔助計算!$G$2:$G$801, 0)+1)),IF(INDEX(ERP資料!$G:$G, (MATCH(49, 輔助計算!$G$2:$G$801, 0)+1))&lt;100, IF(INDEX(ERP資料!$G:$G, (MATCH(49, 輔助計算!$G$2:$G$801, 0)+1))&lt;=31,3,IF(INDEX(ERP資料!$G:$G, (MATCH(49, 輔助計算!$G$2:$G$801, 0)+1))&lt;=46.5,2,1)), IF(INDEX(ERP資料!$G:$G, (MATCH(49, 輔助計算!$G$2:$G$801, 0)+1))&lt;=790,3,IF(INDEX(ERP資料!$G:$G, (MATCH(49, 輔助計算!$G$2:$G$801, 0)+1))&lt;=1181,2,1))))=1,TEXT(INDEX(ERP資料!$G:$G, (MATCH(49, 輔助計算!$G$2:$G$801, 0)+1)),"0.##"),IF(MOD(INDEX(輔助計算!$D:$D, (MATCH(49, 輔助計算!$G$2:$G$801, 0)+1)),IF(INDEX(ERP資料!$G:$G, (MATCH(49, 輔助計算!$G$2:$G$801, 0)+1))&lt;100, IF(INDEX(ERP資料!$G:$G, (MATCH(49, 輔助計算!$G$2:$G$801, 0)+1))&lt;=31,3,IF(INDEX(ERP資料!$G:$G, (MATCH(49, 輔助計算!$G$2:$G$801, 0)+1))&lt;=46.5,2,1)), IF(INDEX(ERP資料!$G:$G, (MATCH(49, 輔助計算!$G$2:$G$801, 0)+1))&lt;=790,3,IF(INDEX(ERP資料!$G:$G, (MATCH(49, 輔助計算!$G$2:$G$801, 0)+1))&lt;=1181,2,1))))=2,TEXT(INDEX(ERP資料!$G:$G, (MATCH(49, 輔助計算!$G$2:$G$801, 0)+1)),"0.##")&amp;"+"&amp;TEXT(INDEX(ERP資料!$G:$G, (MATCH(49, 輔助計算!$G$2:$G$801, 0)+1)),"0.##"),TEXT(INDEX(ERP資料!$G:$G, (MATCH(49, 輔助計算!$G$2:$G$801, 0)+1)),"0.##")&amp;"+"&amp;TEXT(INDEX(ERP資料!$G:$G, (MATCH(49, 輔助計算!$G$2:$G$801, 0)+1)),"0.##")&amp;"+"&amp;TEXT(INDEX(ERP資料!$G:$G, (MATCH(49, 輔助計算!$G$2:$G$801, 0)+1)),"0.##"))))&amp;"-1")), ""), "")</f>
        <v/>
      </c>
      <c r="K50" s="16" t="n"/>
      <c r="L50" s="14">
        <f>IFERROR(IF(AND(IFERROR(INDEX(ERP資料!$A:$A, (MATCH(49, 輔助計算!$G$2:$G$801, 0)+1)), "")&lt;&gt;"", IFERROR(INDEX(ERP資料!$A:$A, (MATCH(49, 輔助計算!$G$2:$G$801, 0)+1)), "")&lt;&gt;IFERROR(INDEX(ERP資料!$A:$A, MATCH(48, 輔助計算!$G$2:$G$801, 0)+1), "")), INDEX(ERP資料!$B:$B, (MATCH(49, 輔助計算!$G$2:$G$801, 0)+1)), ""), "")</f>
        <v/>
      </c>
      <c r="M50" s="17" t="n"/>
    </row>
    <row r="51">
      <c r="A51" s="10">
        <f>IFERROR(IF(AND(IFERROR(INDEX(ERP資料!$A:$A, (MATCH(50, 輔助計算!$G$2:$G$801, 0)+1)), "")&lt;&gt;"", IFERROR(INDEX(ERP資料!$A:$A, (MATCH(50, 輔助計算!$G$2:$G$801, 0)+1)), "")&lt;&gt;IFERROR(INDEX(ERP資料!$A:$A, MATCH(49, 輔助計算!$G$2:$G$801, 0)+1), "")), IFERROR(INDEX(ERP資料!$A:$A, (MATCH(50, 輔助計算!$G$2:$G$801, 0)+1)), ""), ""), "")</f>
        <v/>
      </c>
      <c r="B51" s="10">
        <f>IFERROR(IF(AND(IFERROR(INDEX(ERP資料!$A:$A, (MATCH(50, 輔助計算!$G$2:$G$801, 0)+1)), "")&lt;&gt;"", IFERROR(INDEX(ERP資料!$A:$A, (MATCH(50, 輔助計算!$G$2:$G$801, 0)+1)), "")&lt;&gt;IFERROR(INDEX(ERP資料!$A:$A, MATCH(49, 輔助計算!$G$2:$G$801, 0)+1), "")), INDEX(ERP資料!$S:$S, (MATCH(50, 輔助計算!$G$2:$G$801, 0)+1)), ""), "")</f>
        <v/>
      </c>
      <c r="C51" s="19">
        <f>IFERROR(IF(AND(IFERROR(INDEX(ERP資料!$A:$A, (MATCH(50, 輔助計算!$G$2:$G$801, 0)+1)), "")&lt;&gt;"", IFERROR(INDEX(ERP資料!$A:$A, (MATCH(50, 輔助計算!$G$2:$G$801, 0)+1)), "")&lt;&gt;IFERROR(INDEX(ERP資料!$A:$A, MATCH(49, 輔助計算!$G$2:$G$801, 0)+1), "")), IFERROR(VLOOKUP(LEFT(INDEX(ERP資料!$S:$S, (MATCH(50, 輔助計算!$G$2:$G$801, 0)+1)), 4), 紙管對照表!$A:$C, 3, FALSE), ""), ""), "")</f>
        <v/>
      </c>
      <c r="D51" s="16" t="n"/>
      <c r="E51" s="10">
        <f>IFERROR(IF(INDEX(ERP資料!$H:$H, (MATCH(50, 輔助計算!$G$2:$G$801, 0)+1))="","",INDEX(ERP資料!$H:$H, (MATCH(50, 輔助計算!$G$2:$G$801, 0)+1))), "")</f>
        <v/>
      </c>
      <c r="F51" s="10">
        <f>IFERROR(IF(INDEX(ERP資料!$E:$E, (MATCH(50, 輔助計算!$G$2:$G$801, 0)+1))="","",TRIM(INDEX(ERP資料!$E:$E, (MATCH(50, 輔助計算!$G$2:$G$801, 0)+1)))), "")</f>
        <v/>
      </c>
      <c r="G51" s="10">
        <f>IFERROR(IF(INDEX(ERP資料!$F:$F, (MATCH(50, 輔助計算!$G$2:$G$801, 0)+1))="","",INDEX(ERP資料!$F:$F, (MATCH(50, 輔助計算!$G$2:$G$801, 0)+1))), "")</f>
        <v/>
      </c>
      <c r="H51" s="10">
        <f>IFERROR(IF(INDEX(ERP資料!$G:$G, (MATCH(50, 輔助計算!$G$2:$G$801, 0)+1))="","",INDEX(ERP資料!$G:$G, (MATCH(50, 輔助計算!$G$2:$G$801, 0)+1))), "")</f>
        <v/>
      </c>
      <c r="I51" s="15">
        <f>IFERROR(INDEX(輔助計算!$D:$D, (MATCH(50, 輔助計算!$G$2:$G$801, 0)+1)), "")</f>
        <v/>
      </c>
      <c r="J51" s="15">
        <f>IFERROR(IF(AND(INDEX(輔助計算!$D:$D, (MATCH(50, 輔助計算!$G$2:$G$801, 0)+1))&lt;&gt;"", INDEX(ERP資料!$G:$G, (MATCH(50, 輔助計算!$G$2:$G$801, 0)+1))&lt;&gt;""), TRIM(IF(INT(INDEX(輔助計算!$D:$D, (MATCH(50, 輔助計算!$G$2:$G$801, 0)+1))/IF(INDEX(ERP資料!$G:$G, (MATCH(50, 輔助計算!$G$2:$G$801, 0)+1))&lt;100, IF(INDEX(ERP資料!$G:$G, (MATCH(50, 輔助計算!$G$2:$G$801, 0)+1))&lt;=31,3,IF(INDEX(ERP資料!$G:$G, (MATCH(50, 輔助計算!$G$2:$G$801, 0)+1))&lt;=46.5,2,1)), IF(INDEX(ERP資料!$G:$G, (MATCH(50, 輔助計算!$G$2:$G$801, 0)+1))&lt;=790,3,IF(INDEX(ERP資料!$G:$G, (MATCH(50, 輔助計算!$G$2:$G$801, 0)+1))&lt;=1181,2,1))))&gt;0, IF(IF(INDEX(ERP資料!$G:$G, (MATCH(50, 輔助計算!$G$2:$G$801, 0)+1))&lt;100, IF(INDEX(ERP資料!$G:$G, (MATCH(50, 輔助計算!$G$2:$G$801, 0)+1))&lt;=31,3,IF(INDEX(ERP資料!$G:$G, (MATCH(50, 輔助計算!$G$2:$G$801, 0)+1))&lt;=46.5,2,1)), IF(INDEX(ERP資料!$G:$G, (MATCH(50, 輔助計算!$G$2:$G$801, 0)+1))&lt;=790,3,IF(INDEX(ERP資料!$G:$G, (MATCH(50, 輔助計算!$G$2:$G$801, 0)+1))&lt;=1181,2,1)))=1,TEXT(INDEX(ERP資料!$G:$G, (MATCH(50, 輔助計算!$G$2:$G$801, 0)+1)),"0.##"),IF(IF(INDEX(ERP資料!$G:$G, (MATCH(50, 輔助計算!$G$2:$G$801, 0)+1))&lt;100, IF(INDEX(ERP資料!$G:$G, (MATCH(50, 輔助計算!$G$2:$G$801, 0)+1))&lt;=31,3,IF(INDEX(ERP資料!$G:$G, (MATCH(50, 輔助計算!$G$2:$G$801, 0)+1))&lt;=46.5,2,1)), IF(INDEX(ERP資料!$G:$G, (MATCH(50, 輔助計算!$G$2:$G$801, 0)+1))&lt;=790,3,IF(INDEX(ERP資料!$G:$G, (MATCH(50, 輔助計算!$G$2:$G$801, 0)+1))&lt;=1181,2,1)))=2,TEXT(INDEX(ERP資料!$G:$G, (MATCH(50, 輔助計算!$G$2:$G$801, 0)+1)),"0.##")&amp;"+"&amp;TEXT(INDEX(ERP資料!$G:$G, (MATCH(50, 輔助計算!$G$2:$G$801, 0)+1)),"0.##"),TEXT(INDEX(ERP資料!$G:$G, (MATCH(50, 輔助計算!$G$2:$G$801, 0)+1)),"0.##")&amp;"+"&amp;TEXT(INDEX(ERP資料!$G:$G, (MATCH(50, 輔助計算!$G$2:$G$801, 0)+1)),"0.##")&amp;"+"&amp;TEXT(INDEX(ERP資料!$G:$G, (MATCH(50, 輔助計算!$G$2:$G$801, 0)+1)),"0.##")))&amp;"-"&amp;INT(INDEX(輔助計算!$D:$D, (MATCH(50, 輔助計算!$G$2:$G$801, 0)+1))/IF(INDEX(ERP資料!$G:$G, (MATCH(50, 輔助計算!$G$2:$G$801, 0)+1))&lt;100, IF(INDEX(ERP資料!$G:$G, (MATCH(50, 輔助計算!$G$2:$G$801, 0)+1))&lt;=31,3,IF(INDEX(ERP資料!$G:$G, (MATCH(50, 輔助計算!$G$2:$G$801, 0)+1))&lt;=46.5,2,1)), IF(INDEX(ERP資料!$G:$G, (MATCH(50, 輔助計算!$G$2:$G$801, 0)+1))&lt;=790,3,IF(INDEX(ERP資料!$G:$G, (MATCH(50, 輔助計算!$G$2:$G$801, 0)+1))&lt;=1181,2,1)))), "")&amp;IF(AND(IF(INT(INDEX(輔助計算!$D:$D, (MATCH(50, 輔助計算!$G$2:$G$801, 0)+1))/IF(INDEX(ERP資料!$G:$G, (MATCH(50, 輔助計算!$G$2:$G$801, 0)+1))&lt;100, IF(INDEX(ERP資料!$G:$G, (MATCH(50, 輔助計算!$G$2:$G$801, 0)+1))&lt;=31,3,IF(INDEX(ERP資料!$G:$G, (MATCH(50, 輔助計算!$G$2:$G$801, 0)+1))&lt;=46.5,2,1)), IF(INDEX(ERP資料!$G:$G, (MATCH(50, 輔助計算!$G$2:$G$801, 0)+1))&lt;=790,3,IF(INDEX(ERP資料!$G:$G, (MATCH(50, 輔助計算!$G$2:$G$801, 0)+1))&lt;=1181,2,1))))&gt;0, IF(IF(INDEX(ERP資料!$G:$G, (MATCH(50, 輔助計算!$G$2:$G$801, 0)+1))&lt;100, IF(INDEX(ERP資料!$G:$G, (MATCH(50, 輔助計算!$G$2:$G$801, 0)+1))&lt;=31,3,IF(INDEX(ERP資料!$G:$G, (MATCH(50, 輔助計算!$G$2:$G$801, 0)+1))&lt;=46.5,2,1)), IF(INDEX(ERP資料!$G:$G, (MATCH(50, 輔助計算!$G$2:$G$801, 0)+1))&lt;=790,3,IF(INDEX(ERP資料!$G:$G, (MATCH(50, 輔助計算!$G$2:$G$801, 0)+1))&lt;=1181,2,1)))=1,TEXT(INDEX(ERP資料!$G:$G, (MATCH(50, 輔助計算!$G$2:$G$801, 0)+1)),"0.##"),IF(IF(INDEX(ERP資料!$G:$G, (MATCH(50, 輔助計算!$G$2:$G$801, 0)+1))&lt;100, IF(INDEX(ERP資料!$G:$G, (MATCH(50, 輔助計算!$G$2:$G$801, 0)+1))&lt;=31,3,IF(INDEX(ERP資料!$G:$G, (MATCH(50, 輔助計算!$G$2:$G$801, 0)+1))&lt;=46.5,2,1)), IF(INDEX(ERP資料!$G:$G, (MATCH(50, 輔助計算!$G$2:$G$801, 0)+1))&lt;=790,3,IF(INDEX(ERP資料!$G:$G, (MATCH(50, 輔助計算!$G$2:$G$801, 0)+1))&lt;=1181,2,1)))=2,TEXT(INDEX(ERP資料!$G:$G, (MATCH(50, 輔助計算!$G$2:$G$801, 0)+1)),"0.##")&amp;"+"&amp;TEXT(INDEX(ERP資料!$G:$G, (MATCH(50, 輔助計算!$G$2:$G$801, 0)+1)),"0.##"),TEXT(INDEX(ERP資料!$G:$G, (MATCH(50, 輔助計算!$G$2:$G$801, 0)+1)),"0.##")&amp;"+"&amp;TEXT(INDEX(ERP資料!$G:$G, (MATCH(50, 輔助計算!$G$2:$G$801, 0)+1)),"0.##")&amp;"+"&amp;TEXT(INDEX(ERP資料!$G:$G, (MATCH(50, 輔助計算!$G$2:$G$801, 0)+1)),"0.##")))&amp;"-"&amp;INT(INDEX(輔助計算!$D:$D, (MATCH(50, 輔助計算!$G$2:$G$801, 0)+1))/IF(INDEX(ERP資料!$G:$G, (MATCH(50, 輔助計算!$G$2:$G$801, 0)+1))&lt;100, IF(INDEX(ERP資料!$G:$G, (MATCH(50, 輔助計算!$G$2:$G$801, 0)+1))&lt;=31,3,IF(INDEX(ERP資料!$G:$G, (MATCH(50, 輔助計算!$G$2:$G$801, 0)+1))&lt;=46.5,2,1)), IF(INDEX(ERP資料!$G:$G, (MATCH(50, 輔助計算!$G$2:$G$801, 0)+1))&lt;=790,3,IF(INDEX(ERP資料!$G:$G, (MATCH(50, 輔助計算!$G$2:$G$801, 0)+1))&lt;=1181,2,1)))), "")&lt;&gt;"",IF(MOD(INDEX(輔助計算!$D:$D, (MATCH(50, 輔助計算!$G$2:$G$801, 0)+1)),IF(INDEX(ERP資料!$G:$G, (MATCH(50, 輔助計算!$G$2:$G$801, 0)+1))&lt;100, IF(INDEX(ERP資料!$G:$G, (MATCH(50, 輔助計算!$G$2:$G$801, 0)+1))&lt;=31,3,IF(INDEX(ERP資料!$G:$G, (MATCH(50, 輔助計算!$G$2:$G$801, 0)+1))&lt;=46.5,2,1)), IF(INDEX(ERP資料!$G:$G, (MATCH(50, 輔助計算!$G$2:$G$801, 0)+1))&lt;=790,3,IF(INDEX(ERP資料!$G:$G, (MATCH(50, 輔助計算!$G$2:$G$801, 0)+1))&lt;=1181,2,1))))=0,"",IF(MOD(INDEX(輔助計算!$D:$D, (MATCH(50, 輔助計算!$G$2:$G$801, 0)+1)),IF(INDEX(ERP資料!$G:$G, (MATCH(50, 輔助計算!$G$2:$G$801, 0)+1))&lt;100, IF(INDEX(ERP資料!$G:$G, (MATCH(50, 輔助計算!$G$2:$G$801, 0)+1))&lt;=31,3,IF(INDEX(ERP資料!$G:$G, (MATCH(50, 輔助計算!$G$2:$G$801, 0)+1))&lt;=46.5,2,1)), IF(INDEX(ERP資料!$G:$G, (MATCH(50, 輔助計算!$G$2:$G$801, 0)+1))&lt;=790,3,IF(INDEX(ERP資料!$G:$G, (MATCH(50, 輔助計算!$G$2:$G$801, 0)+1))&lt;=1181,2,1))))=0,"",IF(MOD(INDEX(輔助計算!$D:$D, (MATCH(50, 輔助計算!$G$2:$G$801, 0)+1)),IF(INDEX(ERP資料!$G:$G, (MATCH(50, 輔助計算!$G$2:$G$801, 0)+1))&lt;100, IF(INDEX(ERP資料!$G:$G, (MATCH(50, 輔助計算!$G$2:$G$801, 0)+1))&lt;=31,3,IF(INDEX(ERP資料!$G:$G, (MATCH(50, 輔助計算!$G$2:$G$801, 0)+1))&lt;=46.5,2,1)), IF(INDEX(ERP資料!$G:$G, (MATCH(50, 輔助計算!$G$2:$G$801, 0)+1))&lt;=790,3,IF(INDEX(ERP資料!$G:$G, (MATCH(50, 輔助計算!$G$2:$G$801, 0)+1))&lt;=1181,2,1))))=1,TEXT(INDEX(ERP資料!$G:$G, (MATCH(50, 輔助計算!$G$2:$G$801, 0)+1)),"0.##"),IF(MOD(INDEX(輔助計算!$D:$D, (MATCH(50, 輔助計算!$G$2:$G$801, 0)+1)),IF(INDEX(ERP資料!$G:$G, (MATCH(50, 輔助計算!$G$2:$G$801, 0)+1))&lt;100, IF(INDEX(ERP資料!$G:$G, (MATCH(50, 輔助計算!$G$2:$G$801, 0)+1))&lt;=31,3,IF(INDEX(ERP資料!$G:$G, (MATCH(50, 輔助計算!$G$2:$G$801, 0)+1))&lt;=46.5,2,1)), IF(INDEX(ERP資料!$G:$G, (MATCH(50, 輔助計算!$G$2:$G$801, 0)+1))&lt;=790,3,IF(INDEX(ERP資料!$G:$G, (MATCH(50, 輔助計算!$G$2:$G$801, 0)+1))&lt;=1181,2,1))))=2,TEXT(INDEX(ERP資料!$G:$G, (MATCH(50, 輔助計算!$G$2:$G$801, 0)+1)),"0.##")&amp;"+"&amp;TEXT(INDEX(ERP資料!$G:$G, (MATCH(50, 輔助計算!$G$2:$G$801, 0)+1)),"0.##"),TEXT(INDEX(ERP資料!$G:$G, (MATCH(50, 輔助計算!$G$2:$G$801, 0)+1)),"0.##")&amp;"+"&amp;TEXT(INDEX(ERP資料!$G:$G, (MATCH(50, 輔助計算!$G$2:$G$801, 0)+1)),"0.##")&amp;"+"&amp;TEXT(INDEX(ERP資料!$G:$G, (MATCH(50, 輔助計算!$G$2:$G$801, 0)+1)),"0.##"))))&amp;"-1")&lt;&gt;""),"  ","")&amp;IF(MOD(INDEX(輔助計算!$D:$D, (MATCH(50, 輔助計算!$G$2:$G$801, 0)+1)),IF(INDEX(ERP資料!$G:$G, (MATCH(50, 輔助計算!$G$2:$G$801, 0)+1))&lt;100, IF(INDEX(ERP資料!$G:$G, (MATCH(50, 輔助計算!$G$2:$G$801, 0)+1))&lt;=31,3,IF(INDEX(ERP資料!$G:$G, (MATCH(50, 輔助計算!$G$2:$G$801, 0)+1))&lt;=46.5,2,1)), IF(INDEX(ERP資料!$G:$G, (MATCH(50, 輔助計算!$G$2:$G$801, 0)+1))&lt;=790,3,IF(INDEX(ERP資料!$G:$G, (MATCH(50, 輔助計算!$G$2:$G$801, 0)+1))&lt;=1181,2,1))))=0,"",IF(MOD(INDEX(輔助計算!$D:$D, (MATCH(50, 輔助計算!$G$2:$G$801, 0)+1)),IF(INDEX(ERP資料!$G:$G, (MATCH(50, 輔助計算!$G$2:$G$801, 0)+1))&lt;100, IF(INDEX(ERP資料!$G:$G, (MATCH(50, 輔助計算!$G$2:$G$801, 0)+1))&lt;=31,3,IF(INDEX(ERP資料!$G:$G, (MATCH(50, 輔助計算!$G$2:$G$801, 0)+1))&lt;=46.5,2,1)), IF(INDEX(ERP資料!$G:$G, (MATCH(50, 輔助計算!$G$2:$G$801, 0)+1))&lt;=790,3,IF(INDEX(ERP資料!$G:$G, (MATCH(50, 輔助計算!$G$2:$G$801, 0)+1))&lt;=1181,2,1))))=0,"",IF(MOD(INDEX(輔助計算!$D:$D, (MATCH(50, 輔助計算!$G$2:$G$801, 0)+1)),IF(INDEX(ERP資料!$G:$G, (MATCH(50, 輔助計算!$G$2:$G$801, 0)+1))&lt;100, IF(INDEX(ERP資料!$G:$G, (MATCH(50, 輔助計算!$G$2:$G$801, 0)+1))&lt;=31,3,IF(INDEX(ERP資料!$G:$G, (MATCH(50, 輔助計算!$G$2:$G$801, 0)+1))&lt;=46.5,2,1)), IF(INDEX(ERP資料!$G:$G, (MATCH(50, 輔助計算!$G$2:$G$801, 0)+1))&lt;=790,3,IF(INDEX(ERP資料!$G:$G, (MATCH(50, 輔助計算!$G$2:$G$801, 0)+1))&lt;=1181,2,1))))=1,TEXT(INDEX(ERP資料!$G:$G, (MATCH(50, 輔助計算!$G$2:$G$801, 0)+1)),"0.##"),IF(MOD(INDEX(輔助計算!$D:$D, (MATCH(50, 輔助計算!$G$2:$G$801, 0)+1)),IF(INDEX(ERP資料!$G:$G, (MATCH(50, 輔助計算!$G$2:$G$801, 0)+1))&lt;100, IF(INDEX(ERP資料!$G:$G, (MATCH(50, 輔助計算!$G$2:$G$801, 0)+1))&lt;=31,3,IF(INDEX(ERP資料!$G:$G, (MATCH(50, 輔助計算!$G$2:$G$801, 0)+1))&lt;=46.5,2,1)), IF(INDEX(ERP資料!$G:$G, (MATCH(50, 輔助計算!$G$2:$G$801, 0)+1))&lt;=790,3,IF(INDEX(ERP資料!$G:$G, (MATCH(50, 輔助計算!$G$2:$G$801, 0)+1))&lt;=1181,2,1))))=2,TEXT(INDEX(ERP資料!$G:$G, (MATCH(50, 輔助計算!$G$2:$G$801, 0)+1)),"0.##")&amp;"+"&amp;TEXT(INDEX(ERP資料!$G:$G, (MATCH(50, 輔助計算!$G$2:$G$801, 0)+1)),"0.##"),TEXT(INDEX(ERP資料!$G:$G, (MATCH(50, 輔助計算!$G$2:$G$801, 0)+1)),"0.##")&amp;"+"&amp;TEXT(INDEX(ERP資料!$G:$G, (MATCH(50, 輔助計算!$G$2:$G$801, 0)+1)),"0.##")&amp;"+"&amp;TEXT(INDEX(ERP資料!$G:$G, (MATCH(50, 輔助計算!$G$2:$G$801, 0)+1)),"0.##"))))&amp;"-1")), ""), "")</f>
        <v/>
      </c>
      <c r="K51" s="16" t="n"/>
      <c r="L51" s="14">
        <f>IFERROR(IF(AND(IFERROR(INDEX(ERP資料!$A:$A, (MATCH(50, 輔助計算!$G$2:$G$801, 0)+1)), "")&lt;&gt;"", IFERROR(INDEX(ERP資料!$A:$A, (MATCH(50, 輔助計算!$G$2:$G$801, 0)+1)), "")&lt;&gt;IFERROR(INDEX(ERP資料!$A:$A, MATCH(49, 輔助計算!$G$2:$G$801, 0)+1), "")), INDEX(ERP資料!$B:$B, (MATCH(50, 輔助計算!$G$2:$G$801, 0)+1)), ""), "")</f>
        <v/>
      </c>
      <c r="M51" s="17" t="n"/>
    </row>
    <row r="52">
      <c r="A52" s="10">
        <f>IFERROR(IF(AND(IFERROR(INDEX(ERP資料!$A:$A, (MATCH(51, 輔助計算!$G$2:$G$801, 0)+1)), "")&lt;&gt;"", IFERROR(INDEX(ERP資料!$A:$A, (MATCH(51, 輔助計算!$G$2:$G$801, 0)+1)), "")&lt;&gt;IFERROR(INDEX(ERP資料!$A:$A, MATCH(50, 輔助計算!$G$2:$G$801, 0)+1), "")), IFERROR(INDEX(ERP資料!$A:$A, (MATCH(51, 輔助計算!$G$2:$G$801, 0)+1)), ""), ""), "")</f>
        <v/>
      </c>
      <c r="B52" s="10">
        <f>IFERROR(IF(AND(IFERROR(INDEX(ERP資料!$A:$A, (MATCH(51, 輔助計算!$G$2:$G$801, 0)+1)), "")&lt;&gt;"", IFERROR(INDEX(ERP資料!$A:$A, (MATCH(51, 輔助計算!$G$2:$G$801, 0)+1)), "")&lt;&gt;IFERROR(INDEX(ERP資料!$A:$A, MATCH(50, 輔助計算!$G$2:$G$801, 0)+1), "")), INDEX(ERP資料!$S:$S, (MATCH(51, 輔助計算!$G$2:$G$801, 0)+1)), ""), "")</f>
        <v/>
      </c>
      <c r="C52" s="19">
        <f>IFERROR(IF(AND(IFERROR(INDEX(ERP資料!$A:$A, (MATCH(51, 輔助計算!$G$2:$G$801, 0)+1)), "")&lt;&gt;"", IFERROR(INDEX(ERP資料!$A:$A, (MATCH(51, 輔助計算!$G$2:$G$801, 0)+1)), "")&lt;&gt;IFERROR(INDEX(ERP資料!$A:$A, MATCH(50, 輔助計算!$G$2:$G$801, 0)+1), "")), IFERROR(VLOOKUP(LEFT(INDEX(ERP資料!$S:$S, (MATCH(51, 輔助計算!$G$2:$G$801, 0)+1)), 4), 紙管對照表!$A:$C, 3, FALSE), ""), ""), "")</f>
        <v/>
      </c>
      <c r="D52" s="16" t="n"/>
      <c r="E52" s="10">
        <f>IFERROR(IF(INDEX(ERP資料!$H:$H, (MATCH(51, 輔助計算!$G$2:$G$801, 0)+1))="","",INDEX(ERP資料!$H:$H, (MATCH(51, 輔助計算!$G$2:$G$801, 0)+1))), "")</f>
        <v/>
      </c>
      <c r="F52" s="10">
        <f>IFERROR(IF(INDEX(ERP資料!$E:$E, (MATCH(51, 輔助計算!$G$2:$G$801, 0)+1))="","",TRIM(INDEX(ERP資料!$E:$E, (MATCH(51, 輔助計算!$G$2:$G$801, 0)+1)))), "")</f>
        <v/>
      </c>
      <c r="G52" s="10">
        <f>IFERROR(IF(INDEX(ERP資料!$F:$F, (MATCH(51, 輔助計算!$G$2:$G$801, 0)+1))="","",INDEX(ERP資料!$F:$F, (MATCH(51, 輔助計算!$G$2:$G$801, 0)+1))), "")</f>
        <v/>
      </c>
      <c r="H52" s="10">
        <f>IFERROR(IF(INDEX(ERP資料!$G:$G, (MATCH(51, 輔助計算!$G$2:$G$801, 0)+1))="","",INDEX(ERP資料!$G:$G, (MATCH(51, 輔助計算!$G$2:$G$801, 0)+1))), "")</f>
        <v/>
      </c>
      <c r="I52" s="15">
        <f>IFERROR(INDEX(輔助計算!$D:$D, (MATCH(51, 輔助計算!$G$2:$G$801, 0)+1)), "")</f>
        <v/>
      </c>
      <c r="J52" s="15">
        <f>IFERROR(IF(AND(INDEX(輔助計算!$D:$D, (MATCH(51, 輔助計算!$G$2:$G$801, 0)+1))&lt;&gt;"", INDEX(ERP資料!$G:$G, (MATCH(51, 輔助計算!$G$2:$G$801, 0)+1))&lt;&gt;""), TRIM(IF(INT(INDEX(輔助計算!$D:$D, (MATCH(51, 輔助計算!$G$2:$G$801, 0)+1))/IF(INDEX(ERP資料!$G:$G, (MATCH(51, 輔助計算!$G$2:$G$801, 0)+1))&lt;100, IF(INDEX(ERP資料!$G:$G, (MATCH(51, 輔助計算!$G$2:$G$801, 0)+1))&lt;=31,3,IF(INDEX(ERP資料!$G:$G, (MATCH(51, 輔助計算!$G$2:$G$801, 0)+1))&lt;=46.5,2,1)), IF(INDEX(ERP資料!$G:$G, (MATCH(51, 輔助計算!$G$2:$G$801, 0)+1))&lt;=790,3,IF(INDEX(ERP資料!$G:$G, (MATCH(51, 輔助計算!$G$2:$G$801, 0)+1))&lt;=1181,2,1))))&gt;0, IF(IF(INDEX(ERP資料!$G:$G, (MATCH(51, 輔助計算!$G$2:$G$801, 0)+1))&lt;100, IF(INDEX(ERP資料!$G:$G, (MATCH(51, 輔助計算!$G$2:$G$801, 0)+1))&lt;=31,3,IF(INDEX(ERP資料!$G:$G, (MATCH(51, 輔助計算!$G$2:$G$801, 0)+1))&lt;=46.5,2,1)), IF(INDEX(ERP資料!$G:$G, (MATCH(51, 輔助計算!$G$2:$G$801, 0)+1))&lt;=790,3,IF(INDEX(ERP資料!$G:$G, (MATCH(51, 輔助計算!$G$2:$G$801, 0)+1))&lt;=1181,2,1)))=1,TEXT(INDEX(ERP資料!$G:$G, (MATCH(51, 輔助計算!$G$2:$G$801, 0)+1)),"0.##"),IF(IF(INDEX(ERP資料!$G:$G, (MATCH(51, 輔助計算!$G$2:$G$801, 0)+1))&lt;100, IF(INDEX(ERP資料!$G:$G, (MATCH(51, 輔助計算!$G$2:$G$801, 0)+1))&lt;=31,3,IF(INDEX(ERP資料!$G:$G, (MATCH(51, 輔助計算!$G$2:$G$801, 0)+1))&lt;=46.5,2,1)), IF(INDEX(ERP資料!$G:$G, (MATCH(51, 輔助計算!$G$2:$G$801, 0)+1))&lt;=790,3,IF(INDEX(ERP資料!$G:$G, (MATCH(51, 輔助計算!$G$2:$G$801, 0)+1))&lt;=1181,2,1)))=2,TEXT(INDEX(ERP資料!$G:$G, (MATCH(51, 輔助計算!$G$2:$G$801, 0)+1)),"0.##")&amp;"+"&amp;TEXT(INDEX(ERP資料!$G:$G, (MATCH(51, 輔助計算!$G$2:$G$801, 0)+1)),"0.##"),TEXT(INDEX(ERP資料!$G:$G, (MATCH(51, 輔助計算!$G$2:$G$801, 0)+1)),"0.##")&amp;"+"&amp;TEXT(INDEX(ERP資料!$G:$G, (MATCH(51, 輔助計算!$G$2:$G$801, 0)+1)),"0.##")&amp;"+"&amp;TEXT(INDEX(ERP資料!$G:$G, (MATCH(51, 輔助計算!$G$2:$G$801, 0)+1)),"0.##")))&amp;"-"&amp;INT(INDEX(輔助計算!$D:$D, (MATCH(51, 輔助計算!$G$2:$G$801, 0)+1))/IF(INDEX(ERP資料!$G:$G, (MATCH(51, 輔助計算!$G$2:$G$801, 0)+1))&lt;100, IF(INDEX(ERP資料!$G:$G, (MATCH(51, 輔助計算!$G$2:$G$801, 0)+1))&lt;=31,3,IF(INDEX(ERP資料!$G:$G, (MATCH(51, 輔助計算!$G$2:$G$801, 0)+1))&lt;=46.5,2,1)), IF(INDEX(ERP資料!$G:$G, (MATCH(51, 輔助計算!$G$2:$G$801, 0)+1))&lt;=790,3,IF(INDEX(ERP資料!$G:$G, (MATCH(51, 輔助計算!$G$2:$G$801, 0)+1))&lt;=1181,2,1)))), "")&amp;IF(AND(IF(INT(INDEX(輔助計算!$D:$D, (MATCH(51, 輔助計算!$G$2:$G$801, 0)+1))/IF(INDEX(ERP資料!$G:$G, (MATCH(51, 輔助計算!$G$2:$G$801, 0)+1))&lt;100, IF(INDEX(ERP資料!$G:$G, (MATCH(51, 輔助計算!$G$2:$G$801, 0)+1))&lt;=31,3,IF(INDEX(ERP資料!$G:$G, (MATCH(51, 輔助計算!$G$2:$G$801, 0)+1))&lt;=46.5,2,1)), IF(INDEX(ERP資料!$G:$G, (MATCH(51, 輔助計算!$G$2:$G$801, 0)+1))&lt;=790,3,IF(INDEX(ERP資料!$G:$G, (MATCH(51, 輔助計算!$G$2:$G$801, 0)+1))&lt;=1181,2,1))))&gt;0, IF(IF(INDEX(ERP資料!$G:$G, (MATCH(51, 輔助計算!$G$2:$G$801, 0)+1))&lt;100, IF(INDEX(ERP資料!$G:$G, (MATCH(51, 輔助計算!$G$2:$G$801, 0)+1))&lt;=31,3,IF(INDEX(ERP資料!$G:$G, (MATCH(51, 輔助計算!$G$2:$G$801, 0)+1))&lt;=46.5,2,1)), IF(INDEX(ERP資料!$G:$G, (MATCH(51, 輔助計算!$G$2:$G$801, 0)+1))&lt;=790,3,IF(INDEX(ERP資料!$G:$G, (MATCH(51, 輔助計算!$G$2:$G$801, 0)+1))&lt;=1181,2,1)))=1,TEXT(INDEX(ERP資料!$G:$G, (MATCH(51, 輔助計算!$G$2:$G$801, 0)+1)),"0.##"),IF(IF(INDEX(ERP資料!$G:$G, (MATCH(51, 輔助計算!$G$2:$G$801, 0)+1))&lt;100, IF(INDEX(ERP資料!$G:$G, (MATCH(51, 輔助計算!$G$2:$G$801, 0)+1))&lt;=31,3,IF(INDEX(ERP資料!$G:$G, (MATCH(51, 輔助計算!$G$2:$G$801, 0)+1))&lt;=46.5,2,1)), IF(INDEX(ERP資料!$G:$G, (MATCH(51, 輔助計算!$G$2:$G$801, 0)+1))&lt;=790,3,IF(INDEX(ERP資料!$G:$G, (MATCH(51, 輔助計算!$G$2:$G$801, 0)+1))&lt;=1181,2,1)))=2,TEXT(INDEX(ERP資料!$G:$G, (MATCH(51, 輔助計算!$G$2:$G$801, 0)+1)),"0.##")&amp;"+"&amp;TEXT(INDEX(ERP資料!$G:$G, (MATCH(51, 輔助計算!$G$2:$G$801, 0)+1)),"0.##"),TEXT(INDEX(ERP資料!$G:$G, (MATCH(51, 輔助計算!$G$2:$G$801, 0)+1)),"0.##")&amp;"+"&amp;TEXT(INDEX(ERP資料!$G:$G, (MATCH(51, 輔助計算!$G$2:$G$801, 0)+1)),"0.##")&amp;"+"&amp;TEXT(INDEX(ERP資料!$G:$G, (MATCH(51, 輔助計算!$G$2:$G$801, 0)+1)),"0.##")))&amp;"-"&amp;INT(INDEX(輔助計算!$D:$D, (MATCH(51, 輔助計算!$G$2:$G$801, 0)+1))/IF(INDEX(ERP資料!$G:$G, (MATCH(51, 輔助計算!$G$2:$G$801, 0)+1))&lt;100, IF(INDEX(ERP資料!$G:$G, (MATCH(51, 輔助計算!$G$2:$G$801, 0)+1))&lt;=31,3,IF(INDEX(ERP資料!$G:$G, (MATCH(51, 輔助計算!$G$2:$G$801, 0)+1))&lt;=46.5,2,1)), IF(INDEX(ERP資料!$G:$G, (MATCH(51, 輔助計算!$G$2:$G$801, 0)+1))&lt;=790,3,IF(INDEX(ERP資料!$G:$G, (MATCH(51, 輔助計算!$G$2:$G$801, 0)+1))&lt;=1181,2,1)))), "")&lt;&gt;"",IF(MOD(INDEX(輔助計算!$D:$D, (MATCH(51, 輔助計算!$G$2:$G$801, 0)+1)),IF(INDEX(ERP資料!$G:$G, (MATCH(51, 輔助計算!$G$2:$G$801, 0)+1))&lt;100, IF(INDEX(ERP資料!$G:$G, (MATCH(51, 輔助計算!$G$2:$G$801, 0)+1))&lt;=31,3,IF(INDEX(ERP資料!$G:$G, (MATCH(51, 輔助計算!$G$2:$G$801, 0)+1))&lt;=46.5,2,1)), IF(INDEX(ERP資料!$G:$G, (MATCH(51, 輔助計算!$G$2:$G$801, 0)+1))&lt;=790,3,IF(INDEX(ERP資料!$G:$G, (MATCH(51, 輔助計算!$G$2:$G$801, 0)+1))&lt;=1181,2,1))))=0,"",IF(MOD(INDEX(輔助計算!$D:$D, (MATCH(51, 輔助計算!$G$2:$G$801, 0)+1)),IF(INDEX(ERP資料!$G:$G, (MATCH(51, 輔助計算!$G$2:$G$801, 0)+1))&lt;100, IF(INDEX(ERP資料!$G:$G, (MATCH(51, 輔助計算!$G$2:$G$801, 0)+1))&lt;=31,3,IF(INDEX(ERP資料!$G:$G, (MATCH(51, 輔助計算!$G$2:$G$801, 0)+1))&lt;=46.5,2,1)), IF(INDEX(ERP資料!$G:$G, (MATCH(51, 輔助計算!$G$2:$G$801, 0)+1))&lt;=790,3,IF(INDEX(ERP資料!$G:$G, (MATCH(51, 輔助計算!$G$2:$G$801, 0)+1))&lt;=1181,2,1))))=0,"",IF(MOD(INDEX(輔助計算!$D:$D, (MATCH(51, 輔助計算!$G$2:$G$801, 0)+1)),IF(INDEX(ERP資料!$G:$G, (MATCH(51, 輔助計算!$G$2:$G$801, 0)+1))&lt;100, IF(INDEX(ERP資料!$G:$G, (MATCH(51, 輔助計算!$G$2:$G$801, 0)+1))&lt;=31,3,IF(INDEX(ERP資料!$G:$G, (MATCH(51, 輔助計算!$G$2:$G$801, 0)+1))&lt;=46.5,2,1)), IF(INDEX(ERP資料!$G:$G, (MATCH(51, 輔助計算!$G$2:$G$801, 0)+1))&lt;=790,3,IF(INDEX(ERP資料!$G:$G, (MATCH(51, 輔助計算!$G$2:$G$801, 0)+1))&lt;=1181,2,1))))=1,TEXT(INDEX(ERP資料!$G:$G, (MATCH(51, 輔助計算!$G$2:$G$801, 0)+1)),"0.##"),IF(MOD(INDEX(輔助計算!$D:$D, (MATCH(51, 輔助計算!$G$2:$G$801, 0)+1)),IF(INDEX(ERP資料!$G:$G, (MATCH(51, 輔助計算!$G$2:$G$801, 0)+1))&lt;100, IF(INDEX(ERP資料!$G:$G, (MATCH(51, 輔助計算!$G$2:$G$801, 0)+1))&lt;=31,3,IF(INDEX(ERP資料!$G:$G, (MATCH(51, 輔助計算!$G$2:$G$801, 0)+1))&lt;=46.5,2,1)), IF(INDEX(ERP資料!$G:$G, (MATCH(51, 輔助計算!$G$2:$G$801, 0)+1))&lt;=790,3,IF(INDEX(ERP資料!$G:$G, (MATCH(51, 輔助計算!$G$2:$G$801, 0)+1))&lt;=1181,2,1))))=2,TEXT(INDEX(ERP資料!$G:$G, (MATCH(51, 輔助計算!$G$2:$G$801, 0)+1)),"0.##")&amp;"+"&amp;TEXT(INDEX(ERP資料!$G:$G, (MATCH(51, 輔助計算!$G$2:$G$801, 0)+1)),"0.##"),TEXT(INDEX(ERP資料!$G:$G, (MATCH(51, 輔助計算!$G$2:$G$801, 0)+1)),"0.##")&amp;"+"&amp;TEXT(INDEX(ERP資料!$G:$G, (MATCH(51, 輔助計算!$G$2:$G$801, 0)+1)),"0.##")&amp;"+"&amp;TEXT(INDEX(ERP資料!$G:$G, (MATCH(51, 輔助計算!$G$2:$G$801, 0)+1)),"0.##"))))&amp;"-1")&lt;&gt;""),"  ","")&amp;IF(MOD(INDEX(輔助計算!$D:$D, (MATCH(51, 輔助計算!$G$2:$G$801, 0)+1)),IF(INDEX(ERP資料!$G:$G, (MATCH(51, 輔助計算!$G$2:$G$801, 0)+1))&lt;100, IF(INDEX(ERP資料!$G:$G, (MATCH(51, 輔助計算!$G$2:$G$801, 0)+1))&lt;=31,3,IF(INDEX(ERP資料!$G:$G, (MATCH(51, 輔助計算!$G$2:$G$801, 0)+1))&lt;=46.5,2,1)), IF(INDEX(ERP資料!$G:$G, (MATCH(51, 輔助計算!$G$2:$G$801, 0)+1))&lt;=790,3,IF(INDEX(ERP資料!$G:$G, (MATCH(51, 輔助計算!$G$2:$G$801, 0)+1))&lt;=1181,2,1))))=0,"",IF(MOD(INDEX(輔助計算!$D:$D, (MATCH(51, 輔助計算!$G$2:$G$801, 0)+1)),IF(INDEX(ERP資料!$G:$G, (MATCH(51, 輔助計算!$G$2:$G$801, 0)+1))&lt;100, IF(INDEX(ERP資料!$G:$G, (MATCH(51, 輔助計算!$G$2:$G$801, 0)+1))&lt;=31,3,IF(INDEX(ERP資料!$G:$G, (MATCH(51, 輔助計算!$G$2:$G$801, 0)+1))&lt;=46.5,2,1)), IF(INDEX(ERP資料!$G:$G, (MATCH(51, 輔助計算!$G$2:$G$801, 0)+1))&lt;=790,3,IF(INDEX(ERP資料!$G:$G, (MATCH(51, 輔助計算!$G$2:$G$801, 0)+1))&lt;=1181,2,1))))=0,"",IF(MOD(INDEX(輔助計算!$D:$D, (MATCH(51, 輔助計算!$G$2:$G$801, 0)+1)),IF(INDEX(ERP資料!$G:$G, (MATCH(51, 輔助計算!$G$2:$G$801, 0)+1))&lt;100, IF(INDEX(ERP資料!$G:$G, (MATCH(51, 輔助計算!$G$2:$G$801, 0)+1))&lt;=31,3,IF(INDEX(ERP資料!$G:$G, (MATCH(51, 輔助計算!$G$2:$G$801, 0)+1))&lt;=46.5,2,1)), IF(INDEX(ERP資料!$G:$G, (MATCH(51, 輔助計算!$G$2:$G$801, 0)+1))&lt;=790,3,IF(INDEX(ERP資料!$G:$G, (MATCH(51, 輔助計算!$G$2:$G$801, 0)+1))&lt;=1181,2,1))))=1,TEXT(INDEX(ERP資料!$G:$G, (MATCH(51, 輔助計算!$G$2:$G$801, 0)+1)),"0.##"),IF(MOD(INDEX(輔助計算!$D:$D, (MATCH(51, 輔助計算!$G$2:$G$801, 0)+1)),IF(INDEX(ERP資料!$G:$G, (MATCH(51, 輔助計算!$G$2:$G$801, 0)+1))&lt;100, IF(INDEX(ERP資料!$G:$G, (MATCH(51, 輔助計算!$G$2:$G$801, 0)+1))&lt;=31,3,IF(INDEX(ERP資料!$G:$G, (MATCH(51, 輔助計算!$G$2:$G$801, 0)+1))&lt;=46.5,2,1)), IF(INDEX(ERP資料!$G:$G, (MATCH(51, 輔助計算!$G$2:$G$801, 0)+1))&lt;=790,3,IF(INDEX(ERP資料!$G:$G, (MATCH(51, 輔助計算!$G$2:$G$801, 0)+1))&lt;=1181,2,1))))=2,TEXT(INDEX(ERP資料!$G:$G, (MATCH(51, 輔助計算!$G$2:$G$801, 0)+1)),"0.##")&amp;"+"&amp;TEXT(INDEX(ERP資料!$G:$G, (MATCH(51, 輔助計算!$G$2:$G$801, 0)+1)),"0.##"),TEXT(INDEX(ERP資料!$G:$G, (MATCH(51, 輔助計算!$G$2:$G$801, 0)+1)),"0.##")&amp;"+"&amp;TEXT(INDEX(ERP資料!$G:$G, (MATCH(51, 輔助計算!$G$2:$G$801, 0)+1)),"0.##")&amp;"+"&amp;TEXT(INDEX(ERP資料!$G:$G, (MATCH(51, 輔助計算!$G$2:$G$801, 0)+1)),"0.##"))))&amp;"-1")), ""), "")</f>
        <v/>
      </c>
      <c r="K52" s="16" t="n"/>
      <c r="L52" s="14">
        <f>IFERROR(IF(AND(IFERROR(INDEX(ERP資料!$A:$A, (MATCH(51, 輔助計算!$G$2:$G$801, 0)+1)), "")&lt;&gt;"", IFERROR(INDEX(ERP資料!$A:$A, (MATCH(51, 輔助計算!$G$2:$G$801, 0)+1)), "")&lt;&gt;IFERROR(INDEX(ERP資料!$A:$A, MATCH(50, 輔助計算!$G$2:$G$801, 0)+1), "")), INDEX(ERP資料!$B:$B, (MATCH(51, 輔助計算!$G$2:$G$801, 0)+1)), ""), "")</f>
        <v/>
      </c>
      <c r="M52" s="17" t="n"/>
    </row>
    <row r="53">
      <c r="A53" s="10">
        <f>IFERROR(IF(AND(IFERROR(INDEX(ERP資料!$A:$A, (MATCH(52, 輔助計算!$G$2:$G$801, 0)+1)), "")&lt;&gt;"", IFERROR(INDEX(ERP資料!$A:$A, (MATCH(52, 輔助計算!$G$2:$G$801, 0)+1)), "")&lt;&gt;IFERROR(INDEX(ERP資料!$A:$A, MATCH(51, 輔助計算!$G$2:$G$801, 0)+1), "")), IFERROR(INDEX(ERP資料!$A:$A, (MATCH(52, 輔助計算!$G$2:$G$801, 0)+1)), ""), ""), "")</f>
        <v/>
      </c>
      <c r="B53" s="10">
        <f>IFERROR(IF(AND(IFERROR(INDEX(ERP資料!$A:$A, (MATCH(52, 輔助計算!$G$2:$G$801, 0)+1)), "")&lt;&gt;"", IFERROR(INDEX(ERP資料!$A:$A, (MATCH(52, 輔助計算!$G$2:$G$801, 0)+1)), "")&lt;&gt;IFERROR(INDEX(ERP資料!$A:$A, MATCH(51, 輔助計算!$G$2:$G$801, 0)+1), "")), INDEX(ERP資料!$S:$S, (MATCH(52, 輔助計算!$G$2:$G$801, 0)+1)), ""), "")</f>
        <v/>
      </c>
      <c r="C53" s="19">
        <f>IFERROR(IF(AND(IFERROR(INDEX(ERP資料!$A:$A, (MATCH(52, 輔助計算!$G$2:$G$801, 0)+1)), "")&lt;&gt;"", IFERROR(INDEX(ERP資料!$A:$A, (MATCH(52, 輔助計算!$G$2:$G$801, 0)+1)), "")&lt;&gt;IFERROR(INDEX(ERP資料!$A:$A, MATCH(51, 輔助計算!$G$2:$G$801, 0)+1), "")), IFERROR(VLOOKUP(LEFT(INDEX(ERP資料!$S:$S, (MATCH(52, 輔助計算!$G$2:$G$801, 0)+1)), 4), 紙管對照表!$A:$C, 3, FALSE), ""), ""), "")</f>
        <v/>
      </c>
      <c r="D53" s="16" t="n"/>
      <c r="E53" s="10">
        <f>IFERROR(IF(INDEX(ERP資料!$H:$H, (MATCH(52, 輔助計算!$G$2:$G$801, 0)+1))="","",INDEX(ERP資料!$H:$H, (MATCH(52, 輔助計算!$G$2:$G$801, 0)+1))), "")</f>
        <v/>
      </c>
      <c r="F53" s="10">
        <f>IFERROR(IF(INDEX(ERP資料!$E:$E, (MATCH(52, 輔助計算!$G$2:$G$801, 0)+1))="","",TRIM(INDEX(ERP資料!$E:$E, (MATCH(52, 輔助計算!$G$2:$G$801, 0)+1)))), "")</f>
        <v/>
      </c>
      <c r="G53" s="10">
        <f>IFERROR(IF(INDEX(ERP資料!$F:$F, (MATCH(52, 輔助計算!$G$2:$G$801, 0)+1))="","",INDEX(ERP資料!$F:$F, (MATCH(52, 輔助計算!$G$2:$G$801, 0)+1))), "")</f>
        <v/>
      </c>
      <c r="H53" s="10">
        <f>IFERROR(IF(INDEX(ERP資料!$G:$G, (MATCH(52, 輔助計算!$G$2:$G$801, 0)+1))="","",INDEX(ERP資料!$G:$G, (MATCH(52, 輔助計算!$G$2:$G$801, 0)+1))), "")</f>
        <v/>
      </c>
      <c r="I53" s="15">
        <f>IFERROR(INDEX(輔助計算!$D:$D, (MATCH(52, 輔助計算!$G$2:$G$801, 0)+1)), "")</f>
        <v/>
      </c>
      <c r="J53" s="15">
        <f>IFERROR(IF(AND(INDEX(輔助計算!$D:$D, (MATCH(52, 輔助計算!$G$2:$G$801, 0)+1))&lt;&gt;"", INDEX(ERP資料!$G:$G, (MATCH(52, 輔助計算!$G$2:$G$801, 0)+1))&lt;&gt;""), TRIM(IF(INT(INDEX(輔助計算!$D:$D, (MATCH(52, 輔助計算!$G$2:$G$801, 0)+1))/IF(INDEX(ERP資料!$G:$G, (MATCH(52, 輔助計算!$G$2:$G$801, 0)+1))&lt;100, IF(INDEX(ERP資料!$G:$G, (MATCH(52, 輔助計算!$G$2:$G$801, 0)+1))&lt;=31,3,IF(INDEX(ERP資料!$G:$G, (MATCH(52, 輔助計算!$G$2:$G$801, 0)+1))&lt;=46.5,2,1)), IF(INDEX(ERP資料!$G:$G, (MATCH(52, 輔助計算!$G$2:$G$801, 0)+1))&lt;=790,3,IF(INDEX(ERP資料!$G:$G, (MATCH(52, 輔助計算!$G$2:$G$801, 0)+1))&lt;=1181,2,1))))&gt;0, IF(IF(INDEX(ERP資料!$G:$G, (MATCH(52, 輔助計算!$G$2:$G$801, 0)+1))&lt;100, IF(INDEX(ERP資料!$G:$G, (MATCH(52, 輔助計算!$G$2:$G$801, 0)+1))&lt;=31,3,IF(INDEX(ERP資料!$G:$G, (MATCH(52, 輔助計算!$G$2:$G$801, 0)+1))&lt;=46.5,2,1)), IF(INDEX(ERP資料!$G:$G, (MATCH(52, 輔助計算!$G$2:$G$801, 0)+1))&lt;=790,3,IF(INDEX(ERP資料!$G:$G, (MATCH(52, 輔助計算!$G$2:$G$801, 0)+1))&lt;=1181,2,1)))=1,TEXT(INDEX(ERP資料!$G:$G, (MATCH(52, 輔助計算!$G$2:$G$801, 0)+1)),"0.##"),IF(IF(INDEX(ERP資料!$G:$G, (MATCH(52, 輔助計算!$G$2:$G$801, 0)+1))&lt;100, IF(INDEX(ERP資料!$G:$G, (MATCH(52, 輔助計算!$G$2:$G$801, 0)+1))&lt;=31,3,IF(INDEX(ERP資料!$G:$G, (MATCH(52, 輔助計算!$G$2:$G$801, 0)+1))&lt;=46.5,2,1)), IF(INDEX(ERP資料!$G:$G, (MATCH(52, 輔助計算!$G$2:$G$801, 0)+1))&lt;=790,3,IF(INDEX(ERP資料!$G:$G, (MATCH(52, 輔助計算!$G$2:$G$801, 0)+1))&lt;=1181,2,1)))=2,TEXT(INDEX(ERP資料!$G:$G, (MATCH(52, 輔助計算!$G$2:$G$801, 0)+1)),"0.##")&amp;"+"&amp;TEXT(INDEX(ERP資料!$G:$G, (MATCH(52, 輔助計算!$G$2:$G$801, 0)+1)),"0.##"),TEXT(INDEX(ERP資料!$G:$G, (MATCH(52, 輔助計算!$G$2:$G$801, 0)+1)),"0.##")&amp;"+"&amp;TEXT(INDEX(ERP資料!$G:$G, (MATCH(52, 輔助計算!$G$2:$G$801, 0)+1)),"0.##")&amp;"+"&amp;TEXT(INDEX(ERP資料!$G:$G, (MATCH(52, 輔助計算!$G$2:$G$801, 0)+1)),"0.##")))&amp;"-"&amp;INT(INDEX(輔助計算!$D:$D, (MATCH(52, 輔助計算!$G$2:$G$801, 0)+1))/IF(INDEX(ERP資料!$G:$G, (MATCH(52, 輔助計算!$G$2:$G$801, 0)+1))&lt;100, IF(INDEX(ERP資料!$G:$G, (MATCH(52, 輔助計算!$G$2:$G$801, 0)+1))&lt;=31,3,IF(INDEX(ERP資料!$G:$G, (MATCH(52, 輔助計算!$G$2:$G$801, 0)+1))&lt;=46.5,2,1)), IF(INDEX(ERP資料!$G:$G, (MATCH(52, 輔助計算!$G$2:$G$801, 0)+1))&lt;=790,3,IF(INDEX(ERP資料!$G:$G, (MATCH(52, 輔助計算!$G$2:$G$801, 0)+1))&lt;=1181,2,1)))), "")&amp;IF(AND(IF(INT(INDEX(輔助計算!$D:$D, (MATCH(52, 輔助計算!$G$2:$G$801, 0)+1))/IF(INDEX(ERP資料!$G:$G, (MATCH(52, 輔助計算!$G$2:$G$801, 0)+1))&lt;100, IF(INDEX(ERP資料!$G:$G, (MATCH(52, 輔助計算!$G$2:$G$801, 0)+1))&lt;=31,3,IF(INDEX(ERP資料!$G:$G, (MATCH(52, 輔助計算!$G$2:$G$801, 0)+1))&lt;=46.5,2,1)), IF(INDEX(ERP資料!$G:$G, (MATCH(52, 輔助計算!$G$2:$G$801, 0)+1))&lt;=790,3,IF(INDEX(ERP資料!$G:$G, (MATCH(52, 輔助計算!$G$2:$G$801, 0)+1))&lt;=1181,2,1))))&gt;0, IF(IF(INDEX(ERP資料!$G:$G, (MATCH(52, 輔助計算!$G$2:$G$801, 0)+1))&lt;100, IF(INDEX(ERP資料!$G:$G, (MATCH(52, 輔助計算!$G$2:$G$801, 0)+1))&lt;=31,3,IF(INDEX(ERP資料!$G:$G, (MATCH(52, 輔助計算!$G$2:$G$801, 0)+1))&lt;=46.5,2,1)), IF(INDEX(ERP資料!$G:$G, (MATCH(52, 輔助計算!$G$2:$G$801, 0)+1))&lt;=790,3,IF(INDEX(ERP資料!$G:$G, (MATCH(52, 輔助計算!$G$2:$G$801, 0)+1))&lt;=1181,2,1)))=1,TEXT(INDEX(ERP資料!$G:$G, (MATCH(52, 輔助計算!$G$2:$G$801, 0)+1)),"0.##"),IF(IF(INDEX(ERP資料!$G:$G, (MATCH(52, 輔助計算!$G$2:$G$801, 0)+1))&lt;100, IF(INDEX(ERP資料!$G:$G, (MATCH(52, 輔助計算!$G$2:$G$801, 0)+1))&lt;=31,3,IF(INDEX(ERP資料!$G:$G, (MATCH(52, 輔助計算!$G$2:$G$801, 0)+1))&lt;=46.5,2,1)), IF(INDEX(ERP資料!$G:$G, (MATCH(52, 輔助計算!$G$2:$G$801, 0)+1))&lt;=790,3,IF(INDEX(ERP資料!$G:$G, (MATCH(52, 輔助計算!$G$2:$G$801, 0)+1))&lt;=1181,2,1)))=2,TEXT(INDEX(ERP資料!$G:$G, (MATCH(52, 輔助計算!$G$2:$G$801, 0)+1)),"0.##")&amp;"+"&amp;TEXT(INDEX(ERP資料!$G:$G, (MATCH(52, 輔助計算!$G$2:$G$801, 0)+1)),"0.##"),TEXT(INDEX(ERP資料!$G:$G, (MATCH(52, 輔助計算!$G$2:$G$801, 0)+1)),"0.##")&amp;"+"&amp;TEXT(INDEX(ERP資料!$G:$G, (MATCH(52, 輔助計算!$G$2:$G$801, 0)+1)),"0.##")&amp;"+"&amp;TEXT(INDEX(ERP資料!$G:$G, (MATCH(52, 輔助計算!$G$2:$G$801, 0)+1)),"0.##")))&amp;"-"&amp;INT(INDEX(輔助計算!$D:$D, (MATCH(52, 輔助計算!$G$2:$G$801, 0)+1))/IF(INDEX(ERP資料!$G:$G, (MATCH(52, 輔助計算!$G$2:$G$801, 0)+1))&lt;100, IF(INDEX(ERP資料!$G:$G, (MATCH(52, 輔助計算!$G$2:$G$801, 0)+1))&lt;=31,3,IF(INDEX(ERP資料!$G:$G, (MATCH(52, 輔助計算!$G$2:$G$801, 0)+1))&lt;=46.5,2,1)), IF(INDEX(ERP資料!$G:$G, (MATCH(52, 輔助計算!$G$2:$G$801, 0)+1))&lt;=790,3,IF(INDEX(ERP資料!$G:$G, (MATCH(52, 輔助計算!$G$2:$G$801, 0)+1))&lt;=1181,2,1)))), "")&lt;&gt;"",IF(MOD(INDEX(輔助計算!$D:$D, (MATCH(52, 輔助計算!$G$2:$G$801, 0)+1)),IF(INDEX(ERP資料!$G:$G, (MATCH(52, 輔助計算!$G$2:$G$801, 0)+1))&lt;100, IF(INDEX(ERP資料!$G:$G, (MATCH(52, 輔助計算!$G$2:$G$801, 0)+1))&lt;=31,3,IF(INDEX(ERP資料!$G:$G, (MATCH(52, 輔助計算!$G$2:$G$801, 0)+1))&lt;=46.5,2,1)), IF(INDEX(ERP資料!$G:$G, (MATCH(52, 輔助計算!$G$2:$G$801, 0)+1))&lt;=790,3,IF(INDEX(ERP資料!$G:$G, (MATCH(52, 輔助計算!$G$2:$G$801, 0)+1))&lt;=1181,2,1))))=0,"",IF(MOD(INDEX(輔助計算!$D:$D, (MATCH(52, 輔助計算!$G$2:$G$801, 0)+1)),IF(INDEX(ERP資料!$G:$G, (MATCH(52, 輔助計算!$G$2:$G$801, 0)+1))&lt;100, IF(INDEX(ERP資料!$G:$G, (MATCH(52, 輔助計算!$G$2:$G$801, 0)+1))&lt;=31,3,IF(INDEX(ERP資料!$G:$G, (MATCH(52, 輔助計算!$G$2:$G$801, 0)+1))&lt;=46.5,2,1)), IF(INDEX(ERP資料!$G:$G, (MATCH(52, 輔助計算!$G$2:$G$801, 0)+1))&lt;=790,3,IF(INDEX(ERP資料!$G:$G, (MATCH(52, 輔助計算!$G$2:$G$801, 0)+1))&lt;=1181,2,1))))=0,"",IF(MOD(INDEX(輔助計算!$D:$D, (MATCH(52, 輔助計算!$G$2:$G$801, 0)+1)),IF(INDEX(ERP資料!$G:$G, (MATCH(52, 輔助計算!$G$2:$G$801, 0)+1))&lt;100, IF(INDEX(ERP資料!$G:$G, (MATCH(52, 輔助計算!$G$2:$G$801, 0)+1))&lt;=31,3,IF(INDEX(ERP資料!$G:$G, (MATCH(52, 輔助計算!$G$2:$G$801, 0)+1))&lt;=46.5,2,1)), IF(INDEX(ERP資料!$G:$G, (MATCH(52, 輔助計算!$G$2:$G$801, 0)+1))&lt;=790,3,IF(INDEX(ERP資料!$G:$G, (MATCH(52, 輔助計算!$G$2:$G$801, 0)+1))&lt;=1181,2,1))))=1,TEXT(INDEX(ERP資料!$G:$G, (MATCH(52, 輔助計算!$G$2:$G$801, 0)+1)),"0.##"),IF(MOD(INDEX(輔助計算!$D:$D, (MATCH(52, 輔助計算!$G$2:$G$801, 0)+1)),IF(INDEX(ERP資料!$G:$G, (MATCH(52, 輔助計算!$G$2:$G$801, 0)+1))&lt;100, IF(INDEX(ERP資料!$G:$G, (MATCH(52, 輔助計算!$G$2:$G$801, 0)+1))&lt;=31,3,IF(INDEX(ERP資料!$G:$G, (MATCH(52, 輔助計算!$G$2:$G$801, 0)+1))&lt;=46.5,2,1)), IF(INDEX(ERP資料!$G:$G, (MATCH(52, 輔助計算!$G$2:$G$801, 0)+1))&lt;=790,3,IF(INDEX(ERP資料!$G:$G, (MATCH(52, 輔助計算!$G$2:$G$801, 0)+1))&lt;=1181,2,1))))=2,TEXT(INDEX(ERP資料!$G:$G, (MATCH(52, 輔助計算!$G$2:$G$801, 0)+1)),"0.##")&amp;"+"&amp;TEXT(INDEX(ERP資料!$G:$G, (MATCH(52, 輔助計算!$G$2:$G$801, 0)+1)),"0.##"),TEXT(INDEX(ERP資料!$G:$G, (MATCH(52, 輔助計算!$G$2:$G$801, 0)+1)),"0.##")&amp;"+"&amp;TEXT(INDEX(ERP資料!$G:$G, (MATCH(52, 輔助計算!$G$2:$G$801, 0)+1)),"0.##")&amp;"+"&amp;TEXT(INDEX(ERP資料!$G:$G, (MATCH(52, 輔助計算!$G$2:$G$801, 0)+1)),"0.##"))))&amp;"-1")&lt;&gt;""),"  ","")&amp;IF(MOD(INDEX(輔助計算!$D:$D, (MATCH(52, 輔助計算!$G$2:$G$801, 0)+1)),IF(INDEX(ERP資料!$G:$G, (MATCH(52, 輔助計算!$G$2:$G$801, 0)+1))&lt;100, IF(INDEX(ERP資料!$G:$G, (MATCH(52, 輔助計算!$G$2:$G$801, 0)+1))&lt;=31,3,IF(INDEX(ERP資料!$G:$G, (MATCH(52, 輔助計算!$G$2:$G$801, 0)+1))&lt;=46.5,2,1)), IF(INDEX(ERP資料!$G:$G, (MATCH(52, 輔助計算!$G$2:$G$801, 0)+1))&lt;=790,3,IF(INDEX(ERP資料!$G:$G, (MATCH(52, 輔助計算!$G$2:$G$801, 0)+1))&lt;=1181,2,1))))=0,"",IF(MOD(INDEX(輔助計算!$D:$D, (MATCH(52, 輔助計算!$G$2:$G$801, 0)+1)),IF(INDEX(ERP資料!$G:$G, (MATCH(52, 輔助計算!$G$2:$G$801, 0)+1))&lt;100, IF(INDEX(ERP資料!$G:$G, (MATCH(52, 輔助計算!$G$2:$G$801, 0)+1))&lt;=31,3,IF(INDEX(ERP資料!$G:$G, (MATCH(52, 輔助計算!$G$2:$G$801, 0)+1))&lt;=46.5,2,1)), IF(INDEX(ERP資料!$G:$G, (MATCH(52, 輔助計算!$G$2:$G$801, 0)+1))&lt;=790,3,IF(INDEX(ERP資料!$G:$G, (MATCH(52, 輔助計算!$G$2:$G$801, 0)+1))&lt;=1181,2,1))))=0,"",IF(MOD(INDEX(輔助計算!$D:$D, (MATCH(52, 輔助計算!$G$2:$G$801, 0)+1)),IF(INDEX(ERP資料!$G:$G, (MATCH(52, 輔助計算!$G$2:$G$801, 0)+1))&lt;100, IF(INDEX(ERP資料!$G:$G, (MATCH(52, 輔助計算!$G$2:$G$801, 0)+1))&lt;=31,3,IF(INDEX(ERP資料!$G:$G, (MATCH(52, 輔助計算!$G$2:$G$801, 0)+1))&lt;=46.5,2,1)), IF(INDEX(ERP資料!$G:$G, (MATCH(52, 輔助計算!$G$2:$G$801, 0)+1))&lt;=790,3,IF(INDEX(ERP資料!$G:$G, (MATCH(52, 輔助計算!$G$2:$G$801, 0)+1))&lt;=1181,2,1))))=1,TEXT(INDEX(ERP資料!$G:$G, (MATCH(52, 輔助計算!$G$2:$G$801, 0)+1)),"0.##"),IF(MOD(INDEX(輔助計算!$D:$D, (MATCH(52, 輔助計算!$G$2:$G$801, 0)+1)),IF(INDEX(ERP資料!$G:$G, (MATCH(52, 輔助計算!$G$2:$G$801, 0)+1))&lt;100, IF(INDEX(ERP資料!$G:$G, (MATCH(52, 輔助計算!$G$2:$G$801, 0)+1))&lt;=31,3,IF(INDEX(ERP資料!$G:$G, (MATCH(52, 輔助計算!$G$2:$G$801, 0)+1))&lt;=46.5,2,1)), IF(INDEX(ERP資料!$G:$G, (MATCH(52, 輔助計算!$G$2:$G$801, 0)+1))&lt;=790,3,IF(INDEX(ERP資料!$G:$G, (MATCH(52, 輔助計算!$G$2:$G$801, 0)+1))&lt;=1181,2,1))))=2,TEXT(INDEX(ERP資料!$G:$G, (MATCH(52, 輔助計算!$G$2:$G$801, 0)+1)),"0.##")&amp;"+"&amp;TEXT(INDEX(ERP資料!$G:$G, (MATCH(52, 輔助計算!$G$2:$G$801, 0)+1)),"0.##"),TEXT(INDEX(ERP資料!$G:$G, (MATCH(52, 輔助計算!$G$2:$G$801, 0)+1)),"0.##")&amp;"+"&amp;TEXT(INDEX(ERP資料!$G:$G, (MATCH(52, 輔助計算!$G$2:$G$801, 0)+1)),"0.##")&amp;"+"&amp;TEXT(INDEX(ERP資料!$G:$G, (MATCH(52, 輔助計算!$G$2:$G$801, 0)+1)),"0.##"))))&amp;"-1")), ""), "")</f>
        <v/>
      </c>
      <c r="K53" s="16" t="n"/>
      <c r="L53" s="14">
        <f>IFERROR(IF(AND(IFERROR(INDEX(ERP資料!$A:$A, (MATCH(52, 輔助計算!$G$2:$G$801, 0)+1)), "")&lt;&gt;"", IFERROR(INDEX(ERP資料!$A:$A, (MATCH(52, 輔助計算!$G$2:$G$801, 0)+1)), "")&lt;&gt;IFERROR(INDEX(ERP資料!$A:$A, MATCH(51, 輔助計算!$G$2:$G$801, 0)+1), "")), INDEX(ERP資料!$B:$B, (MATCH(52, 輔助計算!$G$2:$G$801, 0)+1)), ""), "")</f>
        <v/>
      </c>
      <c r="M53" s="17" t="n"/>
    </row>
    <row r="54">
      <c r="A54" s="10">
        <f>IFERROR(IF(AND(IFERROR(INDEX(ERP資料!$A:$A, (MATCH(53, 輔助計算!$G$2:$G$801, 0)+1)), "")&lt;&gt;"", IFERROR(INDEX(ERP資料!$A:$A, (MATCH(53, 輔助計算!$G$2:$G$801, 0)+1)), "")&lt;&gt;IFERROR(INDEX(ERP資料!$A:$A, MATCH(52, 輔助計算!$G$2:$G$801, 0)+1), "")), IFERROR(INDEX(ERP資料!$A:$A, (MATCH(53, 輔助計算!$G$2:$G$801, 0)+1)), ""), ""), "")</f>
        <v/>
      </c>
      <c r="B54" s="10">
        <f>IFERROR(IF(AND(IFERROR(INDEX(ERP資料!$A:$A, (MATCH(53, 輔助計算!$G$2:$G$801, 0)+1)), "")&lt;&gt;"", IFERROR(INDEX(ERP資料!$A:$A, (MATCH(53, 輔助計算!$G$2:$G$801, 0)+1)), "")&lt;&gt;IFERROR(INDEX(ERP資料!$A:$A, MATCH(52, 輔助計算!$G$2:$G$801, 0)+1), "")), INDEX(ERP資料!$S:$S, (MATCH(53, 輔助計算!$G$2:$G$801, 0)+1)), ""), "")</f>
        <v/>
      </c>
      <c r="C54" s="19">
        <f>IFERROR(IF(AND(IFERROR(INDEX(ERP資料!$A:$A, (MATCH(53, 輔助計算!$G$2:$G$801, 0)+1)), "")&lt;&gt;"", IFERROR(INDEX(ERP資料!$A:$A, (MATCH(53, 輔助計算!$G$2:$G$801, 0)+1)), "")&lt;&gt;IFERROR(INDEX(ERP資料!$A:$A, MATCH(52, 輔助計算!$G$2:$G$801, 0)+1), "")), IFERROR(VLOOKUP(LEFT(INDEX(ERP資料!$S:$S, (MATCH(53, 輔助計算!$G$2:$G$801, 0)+1)), 4), 紙管對照表!$A:$C, 3, FALSE), ""), ""), "")</f>
        <v/>
      </c>
      <c r="D54" s="16" t="n"/>
      <c r="E54" s="10">
        <f>IFERROR(IF(INDEX(ERP資料!$H:$H, (MATCH(53, 輔助計算!$G$2:$G$801, 0)+1))="","",INDEX(ERP資料!$H:$H, (MATCH(53, 輔助計算!$G$2:$G$801, 0)+1))), "")</f>
        <v/>
      </c>
      <c r="F54" s="10">
        <f>IFERROR(IF(INDEX(ERP資料!$E:$E, (MATCH(53, 輔助計算!$G$2:$G$801, 0)+1))="","",TRIM(INDEX(ERP資料!$E:$E, (MATCH(53, 輔助計算!$G$2:$G$801, 0)+1)))), "")</f>
        <v/>
      </c>
      <c r="G54" s="10">
        <f>IFERROR(IF(INDEX(ERP資料!$F:$F, (MATCH(53, 輔助計算!$G$2:$G$801, 0)+1))="","",INDEX(ERP資料!$F:$F, (MATCH(53, 輔助計算!$G$2:$G$801, 0)+1))), "")</f>
        <v/>
      </c>
      <c r="H54" s="10">
        <f>IFERROR(IF(INDEX(ERP資料!$G:$G, (MATCH(53, 輔助計算!$G$2:$G$801, 0)+1))="","",INDEX(ERP資料!$G:$G, (MATCH(53, 輔助計算!$G$2:$G$801, 0)+1))), "")</f>
        <v/>
      </c>
      <c r="I54" s="15">
        <f>IFERROR(INDEX(輔助計算!$D:$D, (MATCH(53, 輔助計算!$G$2:$G$801, 0)+1)), "")</f>
        <v/>
      </c>
      <c r="J54" s="15">
        <f>IFERROR(IF(AND(INDEX(輔助計算!$D:$D, (MATCH(53, 輔助計算!$G$2:$G$801, 0)+1))&lt;&gt;"", INDEX(ERP資料!$G:$G, (MATCH(53, 輔助計算!$G$2:$G$801, 0)+1))&lt;&gt;""), TRIM(IF(INT(INDEX(輔助計算!$D:$D, (MATCH(53, 輔助計算!$G$2:$G$801, 0)+1))/IF(INDEX(ERP資料!$G:$G, (MATCH(53, 輔助計算!$G$2:$G$801, 0)+1))&lt;100, IF(INDEX(ERP資料!$G:$G, (MATCH(53, 輔助計算!$G$2:$G$801, 0)+1))&lt;=31,3,IF(INDEX(ERP資料!$G:$G, (MATCH(53, 輔助計算!$G$2:$G$801, 0)+1))&lt;=46.5,2,1)), IF(INDEX(ERP資料!$G:$G, (MATCH(53, 輔助計算!$G$2:$G$801, 0)+1))&lt;=790,3,IF(INDEX(ERP資料!$G:$G, (MATCH(53, 輔助計算!$G$2:$G$801, 0)+1))&lt;=1181,2,1))))&gt;0, IF(IF(INDEX(ERP資料!$G:$G, (MATCH(53, 輔助計算!$G$2:$G$801, 0)+1))&lt;100, IF(INDEX(ERP資料!$G:$G, (MATCH(53, 輔助計算!$G$2:$G$801, 0)+1))&lt;=31,3,IF(INDEX(ERP資料!$G:$G, (MATCH(53, 輔助計算!$G$2:$G$801, 0)+1))&lt;=46.5,2,1)), IF(INDEX(ERP資料!$G:$G, (MATCH(53, 輔助計算!$G$2:$G$801, 0)+1))&lt;=790,3,IF(INDEX(ERP資料!$G:$G, (MATCH(53, 輔助計算!$G$2:$G$801, 0)+1))&lt;=1181,2,1)))=1,TEXT(INDEX(ERP資料!$G:$G, (MATCH(53, 輔助計算!$G$2:$G$801, 0)+1)),"0.##"),IF(IF(INDEX(ERP資料!$G:$G, (MATCH(53, 輔助計算!$G$2:$G$801, 0)+1))&lt;100, IF(INDEX(ERP資料!$G:$G, (MATCH(53, 輔助計算!$G$2:$G$801, 0)+1))&lt;=31,3,IF(INDEX(ERP資料!$G:$G, (MATCH(53, 輔助計算!$G$2:$G$801, 0)+1))&lt;=46.5,2,1)), IF(INDEX(ERP資料!$G:$G, (MATCH(53, 輔助計算!$G$2:$G$801, 0)+1))&lt;=790,3,IF(INDEX(ERP資料!$G:$G, (MATCH(53, 輔助計算!$G$2:$G$801, 0)+1))&lt;=1181,2,1)))=2,TEXT(INDEX(ERP資料!$G:$G, (MATCH(53, 輔助計算!$G$2:$G$801, 0)+1)),"0.##")&amp;"+"&amp;TEXT(INDEX(ERP資料!$G:$G, (MATCH(53, 輔助計算!$G$2:$G$801, 0)+1)),"0.##"),TEXT(INDEX(ERP資料!$G:$G, (MATCH(53, 輔助計算!$G$2:$G$801, 0)+1)),"0.##")&amp;"+"&amp;TEXT(INDEX(ERP資料!$G:$G, (MATCH(53, 輔助計算!$G$2:$G$801, 0)+1)),"0.##")&amp;"+"&amp;TEXT(INDEX(ERP資料!$G:$G, (MATCH(53, 輔助計算!$G$2:$G$801, 0)+1)),"0.##")))&amp;"-"&amp;INT(INDEX(輔助計算!$D:$D, (MATCH(53, 輔助計算!$G$2:$G$801, 0)+1))/IF(INDEX(ERP資料!$G:$G, (MATCH(53, 輔助計算!$G$2:$G$801, 0)+1))&lt;100, IF(INDEX(ERP資料!$G:$G, (MATCH(53, 輔助計算!$G$2:$G$801, 0)+1))&lt;=31,3,IF(INDEX(ERP資料!$G:$G, (MATCH(53, 輔助計算!$G$2:$G$801, 0)+1))&lt;=46.5,2,1)), IF(INDEX(ERP資料!$G:$G, (MATCH(53, 輔助計算!$G$2:$G$801, 0)+1))&lt;=790,3,IF(INDEX(ERP資料!$G:$G, (MATCH(53, 輔助計算!$G$2:$G$801, 0)+1))&lt;=1181,2,1)))), "")&amp;IF(AND(IF(INT(INDEX(輔助計算!$D:$D, (MATCH(53, 輔助計算!$G$2:$G$801, 0)+1))/IF(INDEX(ERP資料!$G:$G, (MATCH(53, 輔助計算!$G$2:$G$801, 0)+1))&lt;100, IF(INDEX(ERP資料!$G:$G, (MATCH(53, 輔助計算!$G$2:$G$801, 0)+1))&lt;=31,3,IF(INDEX(ERP資料!$G:$G, (MATCH(53, 輔助計算!$G$2:$G$801, 0)+1))&lt;=46.5,2,1)), IF(INDEX(ERP資料!$G:$G, (MATCH(53, 輔助計算!$G$2:$G$801, 0)+1))&lt;=790,3,IF(INDEX(ERP資料!$G:$G, (MATCH(53, 輔助計算!$G$2:$G$801, 0)+1))&lt;=1181,2,1))))&gt;0, IF(IF(INDEX(ERP資料!$G:$G, (MATCH(53, 輔助計算!$G$2:$G$801, 0)+1))&lt;100, IF(INDEX(ERP資料!$G:$G, (MATCH(53, 輔助計算!$G$2:$G$801, 0)+1))&lt;=31,3,IF(INDEX(ERP資料!$G:$G, (MATCH(53, 輔助計算!$G$2:$G$801, 0)+1))&lt;=46.5,2,1)), IF(INDEX(ERP資料!$G:$G, (MATCH(53, 輔助計算!$G$2:$G$801, 0)+1))&lt;=790,3,IF(INDEX(ERP資料!$G:$G, (MATCH(53, 輔助計算!$G$2:$G$801, 0)+1))&lt;=1181,2,1)))=1,TEXT(INDEX(ERP資料!$G:$G, (MATCH(53, 輔助計算!$G$2:$G$801, 0)+1)),"0.##"),IF(IF(INDEX(ERP資料!$G:$G, (MATCH(53, 輔助計算!$G$2:$G$801, 0)+1))&lt;100, IF(INDEX(ERP資料!$G:$G, (MATCH(53, 輔助計算!$G$2:$G$801, 0)+1))&lt;=31,3,IF(INDEX(ERP資料!$G:$G, (MATCH(53, 輔助計算!$G$2:$G$801, 0)+1))&lt;=46.5,2,1)), IF(INDEX(ERP資料!$G:$G, (MATCH(53, 輔助計算!$G$2:$G$801, 0)+1))&lt;=790,3,IF(INDEX(ERP資料!$G:$G, (MATCH(53, 輔助計算!$G$2:$G$801, 0)+1))&lt;=1181,2,1)))=2,TEXT(INDEX(ERP資料!$G:$G, (MATCH(53, 輔助計算!$G$2:$G$801, 0)+1)),"0.##")&amp;"+"&amp;TEXT(INDEX(ERP資料!$G:$G, (MATCH(53, 輔助計算!$G$2:$G$801, 0)+1)),"0.##"),TEXT(INDEX(ERP資料!$G:$G, (MATCH(53, 輔助計算!$G$2:$G$801, 0)+1)),"0.##")&amp;"+"&amp;TEXT(INDEX(ERP資料!$G:$G, (MATCH(53, 輔助計算!$G$2:$G$801, 0)+1)),"0.##")&amp;"+"&amp;TEXT(INDEX(ERP資料!$G:$G, (MATCH(53, 輔助計算!$G$2:$G$801, 0)+1)),"0.##")))&amp;"-"&amp;INT(INDEX(輔助計算!$D:$D, (MATCH(53, 輔助計算!$G$2:$G$801, 0)+1))/IF(INDEX(ERP資料!$G:$G, (MATCH(53, 輔助計算!$G$2:$G$801, 0)+1))&lt;100, IF(INDEX(ERP資料!$G:$G, (MATCH(53, 輔助計算!$G$2:$G$801, 0)+1))&lt;=31,3,IF(INDEX(ERP資料!$G:$G, (MATCH(53, 輔助計算!$G$2:$G$801, 0)+1))&lt;=46.5,2,1)), IF(INDEX(ERP資料!$G:$G, (MATCH(53, 輔助計算!$G$2:$G$801, 0)+1))&lt;=790,3,IF(INDEX(ERP資料!$G:$G, (MATCH(53, 輔助計算!$G$2:$G$801, 0)+1))&lt;=1181,2,1)))), "")&lt;&gt;"",IF(MOD(INDEX(輔助計算!$D:$D, (MATCH(53, 輔助計算!$G$2:$G$801, 0)+1)),IF(INDEX(ERP資料!$G:$G, (MATCH(53, 輔助計算!$G$2:$G$801, 0)+1))&lt;100, IF(INDEX(ERP資料!$G:$G, (MATCH(53, 輔助計算!$G$2:$G$801, 0)+1))&lt;=31,3,IF(INDEX(ERP資料!$G:$G, (MATCH(53, 輔助計算!$G$2:$G$801, 0)+1))&lt;=46.5,2,1)), IF(INDEX(ERP資料!$G:$G, (MATCH(53, 輔助計算!$G$2:$G$801, 0)+1))&lt;=790,3,IF(INDEX(ERP資料!$G:$G, (MATCH(53, 輔助計算!$G$2:$G$801, 0)+1))&lt;=1181,2,1))))=0,"",IF(MOD(INDEX(輔助計算!$D:$D, (MATCH(53, 輔助計算!$G$2:$G$801, 0)+1)),IF(INDEX(ERP資料!$G:$G, (MATCH(53, 輔助計算!$G$2:$G$801, 0)+1))&lt;100, IF(INDEX(ERP資料!$G:$G, (MATCH(53, 輔助計算!$G$2:$G$801, 0)+1))&lt;=31,3,IF(INDEX(ERP資料!$G:$G, (MATCH(53, 輔助計算!$G$2:$G$801, 0)+1))&lt;=46.5,2,1)), IF(INDEX(ERP資料!$G:$G, (MATCH(53, 輔助計算!$G$2:$G$801, 0)+1))&lt;=790,3,IF(INDEX(ERP資料!$G:$G, (MATCH(53, 輔助計算!$G$2:$G$801, 0)+1))&lt;=1181,2,1))))=0,"",IF(MOD(INDEX(輔助計算!$D:$D, (MATCH(53, 輔助計算!$G$2:$G$801, 0)+1)),IF(INDEX(ERP資料!$G:$G, (MATCH(53, 輔助計算!$G$2:$G$801, 0)+1))&lt;100, IF(INDEX(ERP資料!$G:$G, (MATCH(53, 輔助計算!$G$2:$G$801, 0)+1))&lt;=31,3,IF(INDEX(ERP資料!$G:$G, (MATCH(53, 輔助計算!$G$2:$G$801, 0)+1))&lt;=46.5,2,1)), IF(INDEX(ERP資料!$G:$G, (MATCH(53, 輔助計算!$G$2:$G$801, 0)+1))&lt;=790,3,IF(INDEX(ERP資料!$G:$G, (MATCH(53, 輔助計算!$G$2:$G$801, 0)+1))&lt;=1181,2,1))))=1,TEXT(INDEX(ERP資料!$G:$G, (MATCH(53, 輔助計算!$G$2:$G$801, 0)+1)),"0.##"),IF(MOD(INDEX(輔助計算!$D:$D, (MATCH(53, 輔助計算!$G$2:$G$801, 0)+1)),IF(INDEX(ERP資料!$G:$G, (MATCH(53, 輔助計算!$G$2:$G$801, 0)+1))&lt;100, IF(INDEX(ERP資料!$G:$G, (MATCH(53, 輔助計算!$G$2:$G$801, 0)+1))&lt;=31,3,IF(INDEX(ERP資料!$G:$G, (MATCH(53, 輔助計算!$G$2:$G$801, 0)+1))&lt;=46.5,2,1)), IF(INDEX(ERP資料!$G:$G, (MATCH(53, 輔助計算!$G$2:$G$801, 0)+1))&lt;=790,3,IF(INDEX(ERP資料!$G:$G, (MATCH(53, 輔助計算!$G$2:$G$801, 0)+1))&lt;=1181,2,1))))=2,TEXT(INDEX(ERP資料!$G:$G, (MATCH(53, 輔助計算!$G$2:$G$801, 0)+1)),"0.##")&amp;"+"&amp;TEXT(INDEX(ERP資料!$G:$G, (MATCH(53, 輔助計算!$G$2:$G$801, 0)+1)),"0.##"),TEXT(INDEX(ERP資料!$G:$G, (MATCH(53, 輔助計算!$G$2:$G$801, 0)+1)),"0.##")&amp;"+"&amp;TEXT(INDEX(ERP資料!$G:$G, (MATCH(53, 輔助計算!$G$2:$G$801, 0)+1)),"0.##")&amp;"+"&amp;TEXT(INDEX(ERP資料!$G:$G, (MATCH(53, 輔助計算!$G$2:$G$801, 0)+1)),"0.##"))))&amp;"-1")&lt;&gt;""),"  ","")&amp;IF(MOD(INDEX(輔助計算!$D:$D, (MATCH(53, 輔助計算!$G$2:$G$801, 0)+1)),IF(INDEX(ERP資料!$G:$G, (MATCH(53, 輔助計算!$G$2:$G$801, 0)+1))&lt;100, IF(INDEX(ERP資料!$G:$G, (MATCH(53, 輔助計算!$G$2:$G$801, 0)+1))&lt;=31,3,IF(INDEX(ERP資料!$G:$G, (MATCH(53, 輔助計算!$G$2:$G$801, 0)+1))&lt;=46.5,2,1)), IF(INDEX(ERP資料!$G:$G, (MATCH(53, 輔助計算!$G$2:$G$801, 0)+1))&lt;=790,3,IF(INDEX(ERP資料!$G:$G, (MATCH(53, 輔助計算!$G$2:$G$801, 0)+1))&lt;=1181,2,1))))=0,"",IF(MOD(INDEX(輔助計算!$D:$D, (MATCH(53, 輔助計算!$G$2:$G$801, 0)+1)),IF(INDEX(ERP資料!$G:$G, (MATCH(53, 輔助計算!$G$2:$G$801, 0)+1))&lt;100, IF(INDEX(ERP資料!$G:$G, (MATCH(53, 輔助計算!$G$2:$G$801, 0)+1))&lt;=31,3,IF(INDEX(ERP資料!$G:$G, (MATCH(53, 輔助計算!$G$2:$G$801, 0)+1))&lt;=46.5,2,1)), IF(INDEX(ERP資料!$G:$G, (MATCH(53, 輔助計算!$G$2:$G$801, 0)+1))&lt;=790,3,IF(INDEX(ERP資料!$G:$G, (MATCH(53, 輔助計算!$G$2:$G$801, 0)+1))&lt;=1181,2,1))))=0,"",IF(MOD(INDEX(輔助計算!$D:$D, (MATCH(53, 輔助計算!$G$2:$G$801, 0)+1)),IF(INDEX(ERP資料!$G:$G, (MATCH(53, 輔助計算!$G$2:$G$801, 0)+1))&lt;100, IF(INDEX(ERP資料!$G:$G, (MATCH(53, 輔助計算!$G$2:$G$801, 0)+1))&lt;=31,3,IF(INDEX(ERP資料!$G:$G, (MATCH(53, 輔助計算!$G$2:$G$801, 0)+1))&lt;=46.5,2,1)), IF(INDEX(ERP資料!$G:$G, (MATCH(53, 輔助計算!$G$2:$G$801, 0)+1))&lt;=790,3,IF(INDEX(ERP資料!$G:$G, (MATCH(53, 輔助計算!$G$2:$G$801, 0)+1))&lt;=1181,2,1))))=1,TEXT(INDEX(ERP資料!$G:$G, (MATCH(53, 輔助計算!$G$2:$G$801, 0)+1)),"0.##"),IF(MOD(INDEX(輔助計算!$D:$D, (MATCH(53, 輔助計算!$G$2:$G$801, 0)+1)),IF(INDEX(ERP資料!$G:$G, (MATCH(53, 輔助計算!$G$2:$G$801, 0)+1))&lt;100, IF(INDEX(ERP資料!$G:$G, (MATCH(53, 輔助計算!$G$2:$G$801, 0)+1))&lt;=31,3,IF(INDEX(ERP資料!$G:$G, (MATCH(53, 輔助計算!$G$2:$G$801, 0)+1))&lt;=46.5,2,1)), IF(INDEX(ERP資料!$G:$G, (MATCH(53, 輔助計算!$G$2:$G$801, 0)+1))&lt;=790,3,IF(INDEX(ERP資料!$G:$G, (MATCH(53, 輔助計算!$G$2:$G$801, 0)+1))&lt;=1181,2,1))))=2,TEXT(INDEX(ERP資料!$G:$G, (MATCH(53, 輔助計算!$G$2:$G$801, 0)+1)),"0.##")&amp;"+"&amp;TEXT(INDEX(ERP資料!$G:$G, (MATCH(53, 輔助計算!$G$2:$G$801, 0)+1)),"0.##"),TEXT(INDEX(ERP資料!$G:$G, (MATCH(53, 輔助計算!$G$2:$G$801, 0)+1)),"0.##")&amp;"+"&amp;TEXT(INDEX(ERP資料!$G:$G, (MATCH(53, 輔助計算!$G$2:$G$801, 0)+1)),"0.##")&amp;"+"&amp;TEXT(INDEX(ERP資料!$G:$G, (MATCH(53, 輔助計算!$G$2:$G$801, 0)+1)),"0.##"))))&amp;"-1")), ""), "")</f>
        <v/>
      </c>
      <c r="K54" s="16" t="n"/>
      <c r="L54" s="14">
        <f>IFERROR(IF(AND(IFERROR(INDEX(ERP資料!$A:$A, (MATCH(53, 輔助計算!$G$2:$G$801, 0)+1)), "")&lt;&gt;"", IFERROR(INDEX(ERP資料!$A:$A, (MATCH(53, 輔助計算!$G$2:$G$801, 0)+1)), "")&lt;&gt;IFERROR(INDEX(ERP資料!$A:$A, MATCH(52, 輔助計算!$G$2:$G$801, 0)+1), "")), INDEX(ERP資料!$B:$B, (MATCH(53, 輔助計算!$G$2:$G$801, 0)+1)), ""), "")</f>
        <v/>
      </c>
      <c r="M54" s="17" t="n"/>
    </row>
    <row r="55">
      <c r="A55" s="10">
        <f>IFERROR(IF(AND(IFERROR(INDEX(ERP資料!$A:$A, (MATCH(54, 輔助計算!$G$2:$G$801, 0)+1)), "")&lt;&gt;"", IFERROR(INDEX(ERP資料!$A:$A, (MATCH(54, 輔助計算!$G$2:$G$801, 0)+1)), "")&lt;&gt;IFERROR(INDEX(ERP資料!$A:$A, MATCH(53, 輔助計算!$G$2:$G$801, 0)+1), "")), IFERROR(INDEX(ERP資料!$A:$A, (MATCH(54, 輔助計算!$G$2:$G$801, 0)+1)), ""), ""), "")</f>
        <v/>
      </c>
      <c r="B55" s="10">
        <f>IFERROR(IF(AND(IFERROR(INDEX(ERP資料!$A:$A, (MATCH(54, 輔助計算!$G$2:$G$801, 0)+1)), "")&lt;&gt;"", IFERROR(INDEX(ERP資料!$A:$A, (MATCH(54, 輔助計算!$G$2:$G$801, 0)+1)), "")&lt;&gt;IFERROR(INDEX(ERP資料!$A:$A, MATCH(53, 輔助計算!$G$2:$G$801, 0)+1), "")), INDEX(ERP資料!$S:$S, (MATCH(54, 輔助計算!$G$2:$G$801, 0)+1)), ""), "")</f>
        <v/>
      </c>
      <c r="C55" s="19">
        <f>IFERROR(IF(AND(IFERROR(INDEX(ERP資料!$A:$A, (MATCH(54, 輔助計算!$G$2:$G$801, 0)+1)), "")&lt;&gt;"", IFERROR(INDEX(ERP資料!$A:$A, (MATCH(54, 輔助計算!$G$2:$G$801, 0)+1)), "")&lt;&gt;IFERROR(INDEX(ERP資料!$A:$A, MATCH(53, 輔助計算!$G$2:$G$801, 0)+1), "")), IFERROR(VLOOKUP(LEFT(INDEX(ERP資料!$S:$S, (MATCH(54, 輔助計算!$G$2:$G$801, 0)+1)), 4), 紙管對照表!$A:$C, 3, FALSE), ""), ""), "")</f>
        <v/>
      </c>
      <c r="D55" s="16" t="n"/>
      <c r="E55" s="10">
        <f>IFERROR(IF(INDEX(ERP資料!$H:$H, (MATCH(54, 輔助計算!$G$2:$G$801, 0)+1))="","",INDEX(ERP資料!$H:$H, (MATCH(54, 輔助計算!$G$2:$G$801, 0)+1))), "")</f>
        <v/>
      </c>
      <c r="F55" s="10">
        <f>IFERROR(IF(INDEX(ERP資料!$E:$E, (MATCH(54, 輔助計算!$G$2:$G$801, 0)+1))="","",TRIM(INDEX(ERP資料!$E:$E, (MATCH(54, 輔助計算!$G$2:$G$801, 0)+1)))), "")</f>
        <v/>
      </c>
      <c r="G55" s="10">
        <f>IFERROR(IF(INDEX(ERP資料!$F:$F, (MATCH(54, 輔助計算!$G$2:$G$801, 0)+1))="","",INDEX(ERP資料!$F:$F, (MATCH(54, 輔助計算!$G$2:$G$801, 0)+1))), "")</f>
        <v/>
      </c>
      <c r="H55" s="10">
        <f>IFERROR(IF(INDEX(ERP資料!$G:$G, (MATCH(54, 輔助計算!$G$2:$G$801, 0)+1))="","",INDEX(ERP資料!$G:$G, (MATCH(54, 輔助計算!$G$2:$G$801, 0)+1))), "")</f>
        <v/>
      </c>
      <c r="I55" s="15">
        <f>IFERROR(INDEX(輔助計算!$D:$D, (MATCH(54, 輔助計算!$G$2:$G$801, 0)+1)), "")</f>
        <v/>
      </c>
      <c r="J55" s="15">
        <f>IFERROR(IF(AND(INDEX(輔助計算!$D:$D, (MATCH(54, 輔助計算!$G$2:$G$801, 0)+1))&lt;&gt;"", INDEX(ERP資料!$G:$G, (MATCH(54, 輔助計算!$G$2:$G$801, 0)+1))&lt;&gt;""), TRIM(IF(INT(INDEX(輔助計算!$D:$D, (MATCH(54, 輔助計算!$G$2:$G$801, 0)+1))/IF(INDEX(ERP資料!$G:$G, (MATCH(54, 輔助計算!$G$2:$G$801, 0)+1))&lt;100, IF(INDEX(ERP資料!$G:$G, (MATCH(54, 輔助計算!$G$2:$G$801, 0)+1))&lt;=31,3,IF(INDEX(ERP資料!$G:$G, (MATCH(54, 輔助計算!$G$2:$G$801, 0)+1))&lt;=46.5,2,1)), IF(INDEX(ERP資料!$G:$G, (MATCH(54, 輔助計算!$G$2:$G$801, 0)+1))&lt;=790,3,IF(INDEX(ERP資料!$G:$G, (MATCH(54, 輔助計算!$G$2:$G$801, 0)+1))&lt;=1181,2,1))))&gt;0, IF(IF(INDEX(ERP資料!$G:$G, (MATCH(54, 輔助計算!$G$2:$G$801, 0)+1))&lt;100, IF(INDEX(ERP資料!$G:$G, (MATCH(54, 輔助計算!$G$2:$G$801, 0)+1))&lt;=31,3,IF(INDEX(ERP資料!$G:$G, (MATCH(54, 輔助計算!$G$2:$G$801, 0)+1))&lt;=46.5,2,1)), IF(INDEX(ERP資料!$G:$G, (MATCH(54, 輔助計算!$G$2:$G$801, 0)+1))&lt;=790,3,IF(INDEX(ERP資料!$G:$G, (MATCH(54, 輔助計算!$G$2:$G$801, 0)+1))&lt;=1181,2,1)))=1,TEXT(INDEX(ERP資料!$G:$G, (MATCH(54, 輔助計算!$G$2:$G$801, 0)+1)),"0.##"),IF(IF(INDEX(ERP資料!$G:$G, (MATCH(54, 輔助計算!$G$2:$G$801, 0)+1))&lt;100, IF(INDEX(ERP資料!$G:$G, (MATCH(54, 輔助計算!$G$2:$G$801, 0)+1))&lt;=31,3,IF(INDEX(ERP資料!$G:$G, (MATCH(54, 輔助計算!$G$2:$G$801, 0)+1))&lt;=46.5,2,1)), IF(INDEX(ERP資料!$G:$G, (MATCH(54, 輔助計算!$G$2:$G$801, 0)+1))&lt;=790,3,IF(INDEX(ERP資料!$G:$G, (MATCH(54, 輔助計算!$G$2:$G$801, 0)+1))&lt;=1181,2,1)))=2,TEXT(INDEX(ERP資料!$G:$G, (MATCH(54, 輔助計算!$G$2:$G$801, 0)+1)),"0.##")&amp;"+"&amp;TEXT(INDEX(ERP資料!$G:$G, (MATCH(54, 輔助計算!$G$2:$G$801, 0)+1)),"0.##"),TEXT(INDEX(ERP資料!$G:$G, (MATCH(54, 輔助計算!$G$2:$G$801, 0)+1)),"0.##")&amp;"+"&amp;TEXT(INDEX(ERP資料!$G:$G, (MATCH(54, 輔助計算!$G$2:$G$801, 0)+1)),"0.##")&amp;"+"&amp;TEXT(INDEX(ERP資料!$G:$G, (MATCH(54, 輔助計算!$G$2:$G$801, 0)+1)),"0.##")))&amp;"-"&amp;INT(INDEX(輔助計算!$D:$D, (MATCH(54, 輔助計算!$G$2:$G$801, 0)+1))/IF(INDEX(ERP資料!$G:$G, (MATCH(54, 輔助計算!$G$2:$G$801, 0)+1))&lt;100, IF(INDEX(ERP資料!$G:$G, (MATCH(54, 輔助計算!$G$2:$G$801, 0)+1))&lt;=31,3,IF(INDEX(ERP資料!$G:$G, (MATCH(54, 輔助計算!$G$2:$G$801, 0)+1))&lt;=46.5,2,1)), IF(INDEX(ERP資料!$G:$G, (MATCH(54, 輔助計算!$G$2:$G$801, 0)+1))&lt;=790,3,IF(INDEX(ERP資料!$G:$G, (MATCH(54, 輔助計算!$G$2:$G$801, 0)+1))&lt;=1181,2,1)))), "")&amp;IF(AND(IF(INT(INDEX(輔助計算!$D:$D, (MATCH(54, 輔助計算!$G$2:$G$801, 0)+1))/IF(INDEX(ERP資料!$G:$G, (MATCH(54, 輔助計算!$G$2:$G$801, 0)+1))&lt;100, IF(INDEX(ERP資料!$G:$G, (MATCH(54, 輔助計算!$G$2:$G$801, 0)+1))&lt;=31,3,IF(INDEX(ERP資料!$G:$G, (MATCH(54, 輔助計算!$G$2:$G$801, 0)+1))&lt;=46.5,2,1)), IF(INDEX(ERP資料!$G:$G, (MATCH(54, 輔助計算!$G$2:$G$801, 0)+1))&lt;=790,3,IF(INDEX(ERP資料!$G:$G, (MATCH(54, 輔助計算!$G$2:$G$801, 0)+1))&lt;=1181,2,1))))&gt;0, IF(IF(INDEX(ERP資料!$G:$G, (MATCH(54, 輔助計算!$G$2:$G$801, 0)+1))&lt;100, IF(INDEX(ERP資料!$G:$G, (MATCH(54, 輔助計算!$G$2:$G$801, 0)+1))&lt;=31,3,IF(INDEX(ERP資料!$G:$G, (MATCH(54, 輔助計算!$G$2:$G$801, 0)+1))&lt;=46.5,2,1)), IF(INDEX(ERP資料!$G:$G, (MATCH(54, 輔助計算!$G$2:$G$801, 0)+1))&lt;=790,3,IF(INDEX(ERP資料!$G:$G, (MATCH(54, 輔助計算!$G$2:$G$801, 0)+1))&lt;=1181,2,1)))=1,TEXT(INDEX(ERP資料!$G:$G, (MATCH(54, 輔助計算!$G$2:$G$801, 0)+1)),"0.##"),IF(IF(INDEX(ERP資料!$G:$G, (MATCH(54, 輔助計算!$G$2:$G$801, 0)+1))&lt;100, IF(INDEX(ERP資料!$G:$G, (MATCH(54, 輔助計算!$G$2:$G$801, 0)+1))&lt;=31,3,IF(INDEX(ERP資料!$G:$G, (MATCH(54, 輔助計算!$G$2:$G$801, 0)+1))&lt;=46.5,2,1)), IF(INDEX(ERP資料!$G:$G, (MATCH(54, 輔助計算!$G$2:$G$801, 0)+1))&lt;=790,3,IF(INDEX(ERP資料!$G:$G, (MATCH(54, 輔助計算!$G$2:$G$801, 0)+1))&lt;=1181,2,1)))=2,TEXT(INDEX(ERP資料!$G:$G, (MATCH(54, 輔助計算!$G$2:$G$801, 0)+1)),"0.##")&amp;"+"&amp;TEXT(INDEX(ERP資料!$G:$G, (MATCH(54, 輔助計算!$G$2:$G$801, 0)+1)),"0.##"),TEXT(INDEX(ERP資料!$G:$G, (MATCH(54, 輔助計算!$G$2:$G$801, 0)+1)),"0.##")&amp;"+"&amp;TEXT(INDEX(ERP資料!$G:$G, (MATCH(54, 輔助計算!$G$2:$G$801, 0)+1)),"0.##")&amp;"+"&amp;TEXT(INDEX(ERP資料!$G:$G, (MATCH(54, 輔助計算!$G$2:$G$801, 0)+1)),"0.##")))&amp;"-"&amp;INT(INDEX(輔助計算!$D:$D, (MATCH(54, 輔助計算!$G$2:$G$801, 0)+1))/IF(INDEX(ERP資料!$G:$G, (MATCH(54, 輔助計算!$G$2:$G$801, 0)+1))&lt;100, IF(INDEX(ERP資料!$G:$G, (MATCH(54, 輔助計算!$G$2:$G$801, 0)+1))&lt;=31,3,IF(INDEX(ERP資料!$G:$G, (MATCH(54, 輔助計算!$G$2:$G$801, 0)+1))&lt;=46.5,2,1)), IF(INDEX(ERP資料!$G:$G, (MATCH(54, 輔助計算!$G$2:$G$801, 0)+1))&lt;=790,3,IF(INDEX(ERP資料!$G:$G, (MATCH(54, 輔助計算!$G$2:$G$801, 0)+1))&lt;=1181,2,1)))), "")&lt;&gt;"",IF(MOD(INDEX(輔助計算!$D:$D, (MATCH(54, 輔助計算!$G$2:$G$801, 0)+1)),IF(INDEX(ERP資料!$G:$G, (MATCH(54, 輔助計算!$G$2:$G$801, 0)+1))&lt;100, IF(INDEX(ERP資料!$G:$G, (MATCH(54, 輔助計算!$G$2:$G$801, 0)+1))&lt;=31,3,IF(INDEX(ERP資料!$G:$G, (MATCH(54, 輔助計算!$G$2:$G$801, 0)+1))&lt;=46.5,2,1)), IF(INDEX(ERP資料!$G:$G, (MATCH(54, 輔助計算!$G$2:$G$801, 0)+1))&lt;=790,3,IF(INDEX(ERP資料!$G:$G, (MATCH(54, 輔助計算!$G$2:$G$801, 0)+1))&lt;=1181,2,1))))=0,"",IF(MOD(INDEX(輔助計算!$D:$D, (MATCH(54, 輔助計算!$G$2:$G$801, 0)+1)),IF(INDEX(ERP資料!$G:$G, (MATCH(54, 輔助計算!$G$2:$G$801, 0)+1))&lt;100, IF(INDEX(ERP資料!$G:$G, (MATCH(54, 輔助計算!$G$2:$G$801, 0)+1))&lt;=31,3,IF(INDEX(ERP資料!$G:$G, (MATCH(54, 輔助計算!$G$2:$G$801, 0)+1))&lt;=46.5,2,1)), IF(INDEX(ERP資料!$G:$G, (MATCH(54, 輔助計算!$G$2:$G$801, 0)+1))&lt;=790,3,IF(INDEX(ERP資料!$G:$G, (MATCH(54, 輔助計算!$G$2:$G$801, 0)+1))&lt;=1181,2,1))))=0,"",IF(MOD(INDEX(輔助計算!$D:$D, (MATCH(54, 輔助計算!$G$2:$G$801, 0)+1)),IF(INDEX(ERP資料!$G:$G, (MATCH(54, 輔助計算!$G$2:$G$801, 0)+1))&lt;100, IF(INDEX(ERP資料!$G:$G, (MATCH(54, 輔助計算!$G$2:$G$801, 0)+1))&lt;=31,3,IF(INDEX(ERP資料!$G:$G, (MATCH(54, 輔助計算!$G$2:$G$801, 0)+1))&lt;=46.5,2,1)), IF(INDEX(ERP資料!$G:$G, (MATCH(54, 輔助計算!$G$2:$G$801, 0)+1))&lt;=790,3,IF(INDEX(ERP資料!$G:$G, (MATCH(54, 輔助計算!$G$2:$G$801, 0)+1))&lt;=1181,2,1))))=1,TEXT(INDEX(ERP資料!$G:$G, (MATCH(54, 輔助計算!$G$2:$G$801, 0)+1)),"0.##"),IF(MOD(INDEX(輔助計算!$D:$D, (MATCH(54, 輔助計算!$G$2:$G$801, 0)+1)),IF(INDEX(ERP資料!$G:$G, (MATCH(54, 輔助計算!$G$2:$G$801, 0)+1))&lt;100, IF(INDEX(ERP資料!$G:$G, (MATCH(54, 輔助計算!$G$2:$G$801, 0)+1))&lt;=31,3,IF(INDEX(ERP資料!$G:$G, (MATCH(54, 輔助計算!$G$2:$G$801, 0)+1))&lt;=46.5,2,1)), IF(INDEX(ERP資料!$G:$G, (MATCH(54, 輔助計算!$G$2:$G$801, 0)+1))&lt;=790,3,IF(INDEX(ERP資料!$G:$G, (MATCH(54, 輔助計算!$G$2:$G$801, 0)+1))&lt;=1181,2,1))))=2,TEXT(INDEX(ERP資料!$G:$G, (MATCH(54, 輔助計算!$G$2:$G$801, 0)+1)),"0.##")&amp;"+"&amp;TEXT(INDEX(ERP資料!$G:$G, (MATCH(54, 輔助計算!$G$2:$G$801, 0)+1)),"0.##"),TEXT(INDEX(ERP資料!$G:$G, (MATCH(54, 輔助計算!$G$2:$G$801, 0)+1)),"0.##")&amp;"+"&amp;TEXT(INDEX(ERP資料!$G:$G, (MATCH(54, 輔助計算!$G$2:$G$801, 0)+1)),"0.##")&amp;"+"&amp;TEXT(INDEX(ERP資料!$G:$G, (MATCH(54, 輔助計算!$G$2:$G$801, 0)+1)),"0.##"))))&amp;"-1")&lt;&gt;""),"  ","")&amp;IF(MOD(INDEX(輔助計算!$D:$D, (MATCH(54, 輔助計算!$G$2:$G$801, 0)+1)),IF(INDEX(ERP資料!$G:$G, (MATCH(54, 輔助計算!$G$2:$G$801, 0)+1))&lt;100, IF(INDEX(ERP資料!$G:$G, (MATCH(54, 輔助計算!$G$2:$G$801, 0)+1))&lt;=31,3,IF(INDEX(ERP資料!$G:$G, (MATCH(54, 輔助計算!$G$2:$G$801, 0)+1))&lt;=46.5,2,1)), IF(INDEX(ERP資料!$G:$G, (MATCH(54, 輔助計算!$G$2:$G$801, 0)+1))&lt;=790,3,IF(INDEX(ERP資料!$G:$G, (MATCH(54, 輔助計算!$G$2:$G$801, 0)+1))&lt;=1181,2,1))))=0,"",IF(MOD(INDEX(輔助計算!$D:$D, (MATCH(54, 輔助計算!$G$2:$G$801, 0)+1)),IF(INDEX(ERP資料!$G:$G, (MATCH(54, 輔助計算!$G$2:$G$801, 0)+1))&lt;100, IF(INDEX(ERP資料!$G:$G, (MATCH(54, 輔助計算!$G$2:$G$801, 0)+1))&lt;=31,3,IF(INDEX(ERP資料!$G:$G, (MATCH(54, 輔助計算!$G$2:$G$801, 0)+1))&lt;=46.5,2,1)), IF(INDEX(ERP資料!$G:$G, (MATCH(54, 輔助計算!$G$2:$G$801, 0)+1))&lt;=790,3,IF(INDEX(ERP資料!$G:$G, (MATCH(54, 輔助計算!$G$2:$G$801, 0)+1))&lt;=1181,2,1))))=0,"",IF(MOD(INDEX(輔助計算!$D:$D, (MATCH(54, 輔助計算!$G$2:$G$801, 0)+1)),IF(INDEX(ERP資料!$G:$G, (MATCH(54, 輔助計算!$G$2:$G$801, 0)+1))&lt;100, IF(INDEX(ERP資料!$G:$G, (MATCH(54, 輔助計算!$G$2:$G$801, 0)+1))&lt;=31,3,IF(INDEX(ERP資料!$G:$G, (MATCH(54, 輔助計算!$G$2:$G$801, 0)+1))&lt;=46.5,2,1)), IF(INDEX(ERP資料!$G:$G, (MATCH(54, 輔助計算!$G$2:$G$801, 0)+1))&lt;=790,3,IF(INDEX(ERP資料!$G:$G, (MATCH(54, 輔助計算!$G$2:$G$801, 0)+1))&lt;=1181,2,1))))=1,TEXT(INDEX(ERP資料!$G:$G, (MATCH(54, 輔助計算!$G$2:$G$801, 0)+1)),"0.##"),IF(MOD(INDEX(輔助計算!$D:$D, (MATCH(54, 輔助計算!$G$2:$G$801, 0)+1)),IF(INDEX(ERP資料!$G:$G, (MATCH(54, 輔助計算!$G$2:$G$801, 0)+1))&lt;100, IF(INDEX(ERP資料!$G:$G, (MATCH(54, 輔助計算!$G$2:$G$801, 0)+1))&lt;=31,3,IF(INDEX(ERP資料!$G:$G, (MATCH(54, 輔助計算!$G$2:$G$801, 0)+1))&lt;=46.5,2,1)), IF(INDEX(ERP資料!$G:$G, (MATCH(54, 輔助計算!$G$2:$G$801, 0)+1))&lt;=790,3,IF(INDEX(ERP資料!$G:$G, (MATCH(54, 輔助計算!$G$2:$G$801, 0)+1))&lt;=1181,2,1))))=2,TEXT(INDEX(ERP資料!$G:$G, (MATCH(54, 輔助計算!$G$2:$G$801, 0)+1)),"0.##")&amp;"+"&amp;TEXT(INDEX(ERP資料!$G:$G, (MATCH(54, 輔助計算!$G$2:$G$801, 0)+1)),"0.##"),TEXT(INDEX(ERP資料!$G:$G, (MATCH(54, 輔助計算!$G$2:$G$801, 0)+1)),"0.##")&amp;"+"&amp;TEXT(INDEX(ERP資料!$G:$G, (MATCH(54, 輔助計算!$G$2:$G$801, 0)+1)),"0.##")&amp;"+"&amp;TEXT(INDEX(ERP資料!$G:$G, (MATCH(54, 輔助計算!$G$2:$G$801, 0)+1)),"0.##"))))&amp;"-1")), ""), "")</f>
        <v/>
      </c>
      <c r="K55" s="16" t="n"/>
      <c r="L55" s="14">
        <f>IFERROR(IF(AND(IFERROR(INDEX(ERP資料!$A:$A, (MATCH(54, 輔助計算!$G$2:$G$801, 0)+1)), "")&lt;&gt;"", IFERROR(INDEX(ERP資料!$A:$A, (MATCH(54, 輔助計算!$G$2:$G$801, 0)+1)), "")&lt;&gt;IFERROR(INDEX(ERP資料!$A:$A, MATCH(53, 輔助計算!$G$2:$G$801, 0)+1), "")), INDEX(ERP資料!$B:$B, (MATCH(54, 輔助計算!$G$2:$G$801, 0)+1)), ""), "")</f>
        <v/>
      </c>
      <c r="M55" s="17" t="n"/>
    </row>
    <row r="56">
      <c r="A56" s="10">
        <f>IFERROR(IF(AND(IFERROR(INDEX(ERP資料!$A:$A, (MATCH(55, 輔助計算!$G$2:$G$801, 0)+1)), "")&lt;&gt;"", IFERROR(INDEX(ERP資料!$A:$A, (MATCH(55, 輔助計算!$G$2:$G$801, 0)+1)), "")&lt;&gt;IFERROR(INDEX(ERP資料!$A:$A, MATCH(54, 輔助計算!$G$2:$G$801, 0)+1), "")), IFERROR(INDEX(ERP資料!$A:$A, (MATCH(55, 輔助計算!$G$2:$G$801, 0)+1)), ""), ""), "")</f>
        <v/>
      </c>
      <c r="B56" s="10">
        <f>IFERROR(IF(AND(IFERROR(INDEX(ERP資料!$A:$A, (MATCH(55, 輔助計算!$G$2:$G$801, 0)+1)), "")&lt;&gt;"", IFERROR(INDEX(ERP資料!$A:$A, (MATCH(55, 輔助計算!$G$2:$G$801, 0)+1)), "")&lt;&gt;IFERROR(INDEX(ERP資料!$A:$A, MATCH(54, 輔助計算!$G$2:$G$801, 0)+1), "")), INDEX(ERP資料!$S:$S, (MATCH(55, 輔助計算!$G$2:$G$801, 0)+1)), ""), "")</f>
        <v/>
      </c>
      <c r="C56" s="19">
        <f>IFERROR(IF(AND(IFERROR(INDEX(ERP資料!$A:$A, (MATCH(55, 輔助計算!$G$2:$G$801, 0)+1)), "")&lt;&gt;"", IFERROR(INDEX(ERP資料!$A:$A, (MATCH(55, 輔助計算!$G$2:$G$801, 0)+1)), "")&lt;&gt;IFERROR(INDEX(ERP資料!$A:$A, MATCH(54, 輔助計算!$G$2:$G$801, 0)+1), "")), IFERROR(VLOOKUP(LEFT(INDEX(ERP資料!$S:$S, (MATCH(55, 輔助計算!$G$2:$G$801, 0)+1)), 4), 紙管對照表!$A:$C, 3, FALSE), ""), ""), "")</f>
        <v/>
      </c>
      <c r="D56" s="16" t="n"/>
      <c r="E56" s="10">
        <f>IFERROR(IF(INDEX(ERP資料!$H:$H, (MATCH(55, 輔助計算!$G$2:$G$801, 0)+1))="","",INDEX(ERP資料!$H:$H, (MATCH(55, 輔助計算!$G$2:$G$801, 0)+1))), "")</f>
        <v/>
      </c>
      <c r="F56" s="10">
        <f>IFERROR(IF(INDEX(ERP資料!$E:$E, (MATCH(55, 輔助計算!$G$2:$G$801, 0)+1))="","",TRIM(INDEX(ERP資料!$E:$E, (MATCH(55, 輔助計算!$G$2:$G$801, 0)+1)))), "")</f>
        <v/>
      </c>
      <c r="G56" s="10">
        <f>IFERROR(IF(INDEX(ERP資料!$F:$F, (MATCH(55, 輔助計算!$G$2:$G$801, 0)+1))="","",INDEX(ERP資料!$F:$F, (MATCH(55, 輔助計算!$G$2:$G$801, 0)+1))), "")</f>
        <v/>
      </c>
      <c r="H56" s="10">
        <f>IFERROR(IF(INDEX(ERP資料!$G:$G, (MATCH(55, 輔助計算!$G$2:$G$801, 0)+1))="","",INDEX(ERP資料!$G:$G, (MATCH(55, 輔助計算!$G$2:$G$801, 0)+1))), "")</f>
        <v/>
      </c>
      <c r="I56" s="15">
        <f>IFERROR(INDEX(輔助計算!$D:$D, (MATCH(55, 輔助計算!$G$2:$G$801, 0)+1)), "")</f>
        <v/>
      </c>
      <c r="J56" s="15">
        <f>IFERROR(IF(AND(INDEX(輔助計算!$D:$D, (MATCH(55, 輔助計算!$G$2:$G$801, 0)+1))&lt;&gt;"", INDEX(ERP資料!$G:$G, (MATCH(55, 輔助計算!$G$2:$G$801, 0)+1))&lt;&gt;""), TRIM(IF(INT(INDEX(輔助計算!$D:$D, (MATCH(55, 輔助計算!$G$2:$G$801, 0)+1))/IF(INDEX(ERP資料!$G:$G, (MATCH(55, 輔助計算!$G$2:$G$801, 0)+1))&lt;100, IF(INDEX(ERP資料!$G:$G, (MATCH(55, 輔助計算!$G$2:$G$801, 0)+1))&lt;=31,3,IF(INDEX(ERP資料!$G:$G, (MATCH(55, 輔助計算!$G$2:$G$801, 0)+1))&lt;=46.5,2,1)), IF(INDEX(ERP資料!$G:$G, (MATCH(55, 輔助計算!$G$2:$G$801, 0)+1))&lt;=790,3,IF(INDEX(ERP資料!$G:$G, (MATCH(55, 輔助計算!$G$2:$G$801, 0)+1))&lt;=1181,2,1))))&gt;0, IF(IF(INDEX(ERP資料!$G:$G, (MATCH(55, 輔助計算!$G$2:$G$801, 0)+1))&lt;100, IF(INDEX(ERP資料!$G:$G, (MATCH(55, 輔助計算!$G$2:$G$801, 0)+1))&lt;=31,3,IF(INDEX(ERP資料!$G:$G, (MATCH(55, 輔助計算!$G$2:$G$801, 0)+1))&lt;=46.5,2,1)), IF(INDEX(ERP資料!$G:$G, (MATCH(55, 輔助計算!$G$2:$G$801, 0)+1))&lt;=790,3,IF(INDEX(ERP資料!$G:$G, (MATCH(55, 輔助計算!$G$2:$G$801, 0)+1))&lt;=1181,2,1)))=1,TEXT(INDEX(ERP資料!$G:$G, (MATCH(55, 輔助計算!$G$2:$G$801, 0)+1)),"0.##"),IF(IF(INDEX(ERP資料!$G:$G, (MATCH(55, 輔助計算!$G$2:$G$801, 0)+1))&lt;100, IF(INDEX(ERP資料!$G:$G, (MATCH(55, 輔助計算!$G$2:$G$801, 0)+1))&lt;=31,3,IF(INDEX(ERP資料!$G:$G, (MATCH(55, 輔助計算!$G$2:$G$801, 0)+1))&lt;=46.5,2,1)), IF(INDEX(ERP資料!$G:$G, (MATCH(55, 輔助計算!$G$2:$G$801, 0)+1))&lt;=790,3,IF(INDEX(ERP資料!$G:$G, (MATCH(55, 輔助計算!$G$2:$G$801, 0)+1))&lt;=1181,2,1)))=2,TEXT(INDEX(ERP資料!$G:$G, (MATCH(55, 輔助計算!$G$2:$G$801, 0)+1)),"0.##")&amp;"+"&amp;TEXT(INDEX(ERP資料!$G:$G, (MATCH(55, 輔助計算!$G$2:$G$801, 0)+1)),"0.##"),TEXT(INDEX(ERP資料!$G:$G, (MATCH(55, 輔助計算!$G$2:$G$801, 0)+1)),"0.##")&amp;"+"&amp;TEXT(INDEX(ERP資料!$G:$G, (MATCH(55, 輔助計算!$G$2:$G$801, 0)+1)),"0.##")&amp;"+"&amp;TEXT(INDEX(ERP資料!$G:$G, (MATCH(55, 輔助計算!$G$2:$G$801, 0)+1)),"0.##")))&amp;"-"&amp;INT(INDEX(輔助計算!$D:$D, (MATCH(55, 輔助計算!$G$2:$G$801, 0)+1))/IF(INDEX(ERP資料!$G:$G, (MATCH(55, 輔助計算!$G$2:$G$801, 0)+1))&lt;100, IF(INDEX(ERP資料!$G:$G, (MATCH(55, 輔助計算!$G$2:$G$801, 0)+1))&lt;=31,3,IF(INDEX(ERP資料!$G:$G, (MATCH(55, 輔助計算!$G$2:$G$801, 0)+1))&lt;=46.5,2,1)), IF(INDEX(ERP資料!$G:$G, (MATCH(55, 輔助計算!$G$2:$G$801, 0)+1))&lt;=790,3,IF(INDEX(ERP資料!$G:$G, (MATCH(55, 輔助計算!$G$2:$G$801, 0)+1))&lt;=1181,2,1)))), "")&amp;IF(AND(IF(INT(INDEX(輔助計算!$D:$D, (MATCH(55, 輔助計算!$G$2:$G$801, 0)+1))/IF(INDEX(ERP資料!$G:$G, (MATCH(55, 輔助計算!$G$2:$G$801, 0)+1))&lt;100, IF(INDEX(ERP資料!$G:$G, (MATCH(55, 輔助計算!$G$2:$G$801, 0)+1))&lt;=31,3,IF(INDEX(ERP資料!$G:$G, (MATCH(55, 輔助計算!$G$2:$G$801, 0)+1))&lt;=46.5,2,1)), IF(INDEX(ERP資料!$G:$G, (MATCH(55, 輔助計算!$G$2:$G$801, 0)+1))&lt;=790,3,IF(INDEX(ERP資料!$G:$G, (MATCH(55, 輔助計算!$G$2:$G$801, 0)+1))&lt;=1181,2,1))))&gt;0, IF(IF(INDEX(ERP資料!$G:$G, (MATCH(55, 輔助計算!$G$2:$G$801, 0)+1))&lt;100, IF(INDEX(ERP資料!$G:$G, (MATCH(55, 輔助計算!$G$2:$G$801, 0)+1))&lt;=31,3,IF(INDEX(ERP資料!$G:$G, (MATCH(55, 輔助計算!$G$2:$G$801, 0)+1))&lt;=46.5,2,1)), IF(INDEX(ERP資料!$G:$G, (MATCH(55, 輔助計算!$G$2:$G$801, 0)+1))&lt;=790,3,IF(INDEX(ERP資料!$G:$G, (MATCH(55, 輔助計算!$G$2:$G$801, 0)+1))&lt;=1181,2,1)))=1,TEXT(INDEX(ERP資料!$G:$G, (MATCH(55, 輔助計算!$G$2:$G$801, 0)+1)),"0.##"),IF(IF(INDEX(ERP資料!$G:$G, (MATCH(55, 輔助計算!$G$2:$G$801, 0)+1))&lt;100, IF(INDEX(ERP資料!$G:$G, (MATCH(55, 輔助計算!$G$2:$G$801, 0)+1))&lt;=31,3,IF(INDEX(ERP資料!$G:$G, (MATCH(55, 輔助計算!$G$2:$G$801, 0)+1))&lt;=46.5,2,1)), IF(INDEX(ERP資料!$G:$G, (MATCH(55, 輔助計算!$G$2:$G$801, 0)+1))&lt;=790,3,IF(INDEX(ERP資料!$G:$G, (MATCH(55, 輔助計算!$G$2:$G$801, 0)+1))&lt;=1181,2,1)))=2,TEXT(INDEX(ERP資料!$G:$G, (MATCH(55, 輔助計算!$G$2:$G$801, 0)+1)),"0.##")&amp;"+"&amp;TEXT(INDEX(ERP資料!$G:$G, (MATCH(55, 輔助計算!$G$2:$G$801, 0)+1)),"0.##"),TEXT(INDEX(ERP資料!$G:$G, (MATCH(55, 輔助計算!$G$2:$G$801, 0)+1)),"0.##")&amp;"+"&amp;TEXT(INDEX(ERP資料!$G:$G, (MATCH(55, 輔助計算!$G$2:$G$801, 0)+1)),"0.##")&amp;"+"&amp;TEXT(INDEX(ERP資料!$G:$G, (MATCH(55, 輔助計算!$G$2:$G$801, 0)+1)),"0.##")))&amp;"-"&amp;INT(INDEX(輔助計算!$D:$D, (MATCH(55, 輔助計算!$G$2:$G$801, 0)+1))/IF(INDEX(ERP資料!$G:$G, (MATCH(55, 輔助計算!$G$2:$G$801, 0)+1))&lt;100, IF(INDEX(ERP資料!$G:$G, (MATCH(55, 輔助計算!$G$2:$G$801, 0)+1))&lt;=31,3,IF(INDEX(ERP資料!$G:$G, (MATCH(55, 輔助計算!$G$2:$G$801, 0)+1))&lt;=46.5,2,1)), IF(INDEX(ERP資料!$G:$G, (MATCH(55, 輔助計算!$G$2:$G$801, 0)+1))&lt;=790,3,IF(INDEX(ERP資料!$G:$G, (MATCH(55, 輔助計算!$G$2:$G$801, 0)+1))&lt;=1181,2,1)))), "")&lt;&gt;"",IF(MOD(INDEX(輔助計算!$D:$D, (MATCH(55, 輔助計算!$G$2:$G$801, 0)+1)),IF(INDEX(ERP資料!$G:$G, (MATCH(55, 輔助計算!$G$2:$G$801, 0)+1))&lt;100, IF(INDEX(ERP資料!$G:$G, (MATCH(55, 輔助計算!$G$2:$G$801, 0)+1))&lt;=31,3,IF(INDEX(ERP資料!$G:$G, (MATCH(55, 輔助計算!$G$2:$G$801, 0)+1))&lt;=46.5,2,1)), IF(INDEX(ERP資料!$G:$G, (MATCH(55, 輔助計算!$G$2:$G$801, 0)+1))&lt;=790,3,IF(INDEX(ERP資料!$G:$G, (MATCH(55, 輔助計算!$G$2:$G$801, 0)+1))&lt;=1181,2,1))))=0,"",IF(MOD(INDEX(輔助計算!$D:$D, (MATCH(55, 輔助計算!$G$2:$G$801, 0)+1)),IF(INDEX(ERP資料!$G:$G, (MATCH(55, 輔助計算!$G$2:$G$801, 0)+1))&lt;100, IF(INDEX(ERP資料!$G:$G, (MATCH(55, 輔助計算!$G$2:$G$801, 0)+1))&lt;=31,3,IF(INDEX(ERP資料!$G:$G, (MATCH(55, 輔助計算!$G$2:$G$801, 0)+1))&lt;=46.5,2,1)), IF(INDEX(ERP資料!$G:$G, (MATCH(55, 輔助計算!$G$2:$G$801, 0)+1))&lt;=790,3,IF(INDEX(ERP資料!$G:$G, (MATCH(55, 輔助計算!$G$2:$G$801, 0)+1))&lt;=1181,2,1))))=0,"",IF(MOD(INDEX(輔助計算!$D:$D, (MATCH(55, 輔助計算!$G$2:$G$801, 0)+1)),IF(INDEX(ERP資料!$G:$G, (MATCH(55, 輔助計算!$G$2:$G$801, 0)+1))&lt;100, IF(INDEX(ERP資料!$G:$G, (MATCH(55, 輔助計算!$G$2:$G$801, 0)+1))&lt;=31,3,IF(INDEX(ERP資料!$G:$G, (MATCH(55, 輔助計算!$G$2:$G$801, 0)+1))&lt;=46.5,2,1)), IF(INDEX(ERP資料!$G:$G, (MATCH(55, 輔助計算!$G$2:$G$801, 0)+1))&lt;=790,3,IF(INDEX(ERP資料!$G:$G, (MATCH(55, 輔助計算!$G$2:$G$801, 0)+1))&lt;=1181,2,1))))=1,TEXT(INDEX(ERP資料!$G:$G, (MATCH(55, 輔助計算!$G$2:$G$801, 0)+1)),"0.##"),IF(MOD(INDEX(輔助計算!$D:$D, (MATCH(55, 輔助計算!$G$2:$G$801, 0)+1)),IF(INDEX(ERP資料!$G:$G, (MATCH(55, 輔助計算!$G$2:$G$801, 0)+1))&lt;100, IF(INDEX(ERP資料!$G:$G, (MATCH(55, 輔助計算!$G$2:$G$801, 0)+1))&lt;=31,3,IF(INDEX(ERP資料!$G:$G, (MATCH(55, 輔助計算!$G$2:$G$801, 0)+1))&lt;=46.5,2,1)), IF(INDEX(ERP資料!$G:$G, (MATCH(55, 輔助計算!$G$2:$G$801, 0)+1))&lt;=790,3,IF(INDEX(ERP資料!$G:$G, (MATCH(55, 輔助計算!$G$2:$G$801, 0)+1))&lt;=1181,2,1))))=2,TEXT(INDEX(ERP資料!$G:$G, (MATCH(55, 輔助計算!$G$2:$G$801, 0)+1)),"0.##")&amp;"+"&amp;TEXT(INDEX(ERP資料!$G:$G, (MATCH(55, 輔助計算!$G$2:$G$801, 0)+1)),"0.##"),TEXT(INDEX(ERP資料!$G:$G, (MATCH(55, 輔助計算!$G$2:$G$801, 0)+1)),"0.##")&amp;"+"&amp;TEXT(INDEX(ERP資料!$G:$G, (MATCH(55, 輔助計算!$G$2:$G$801, 0)+1)),"0.##")&amp;"+"&amp;TEXT(INDEX(ERP資料!$G:$G, (MATCH(55, 輔助計算!$G$2:$G$801, 0)+1)),"0.##"))))&amp;"-1")&lt;&gt;""),"  ","")&amp;IF(MOD(INDEX(輔助計算!$D:$D, (MATCH(55, 輔助計算!$G$2:$G$801, 0)+1)),IF(INDEX(ERP資料!$G:$G, (MATCH(55, 輔助計算!$G$2:$G$801, 0)+1))&lt;100, IF(INDEX(ERP資料!$G:$G, (MATCH(55, 輔助計算!$G$2:$G$801, 0)+1))&lt;=31,3,IF(INDEX(ERP資料!$G:$G, (MATCH(55, 輔助計算!$G$2:$G$801, 0)+1))&lt;=46.5,2,1)), IF(INDEX(ERP資料!$G:$G, (MATCH(55, 輔助計算!$G$2:$G$801, 0)+1))&lt;=790,3,IF(INDEX(ERP資料!$G:$G, (MATCH(55, 輔助計算!$G$2:$G$801, 0)+1))&lt;=1181,2,1))))=0,"",IF(MOD(INDEX(輔助計算!$D:$D, (MATCH(55, 輔助計算!$G$2:$G$801, 0)+1)),IF(INDEX(ERP資料!$G:$G, (MATCH(55, 輔助計算!$G$2:$G$801, 0)+1))&lt;100, IF(INDEX(ERP資料!$G:$G, (MATCH(55, 輔助計算!$G$2:$G$801, 0)+1))&lt;=31,3,IF(INDEX(ERP資料!$G:$G, (MATCH(55, 輔助計算!$G$2:$G$801, 0)+1))&lt;=46.5,2,1)), IF(INDEX(ERP資料!$G:$G, (MATCH(55, 輔助計算!$G$2:$G$801, 0)+1))&lt;=790,3,IF(INDEX(ERP資料!$G:$G, (MATCH(55, 輔助計算!$G$2:$G$801, 0)+1))&lt;=1181,2,1))))=0,"",IF(MOD(INDEX(輔助計算!$D:$D, (MATCH(55, 輔助計算!$G$2:$G$801, 0)+1)),IF(INDEX(ERP資料!$G:$G, (MATCH(55, 輔助計算!$G$2:$G$801, 0)+1))&lt;100, IF(INDEX(ERP資料!$G:$G, (MATCH(55, 輔助計算!$G$2:$G$801, 0)+1))&lt;=31,3,IF(INDEX(ERP資料!$G:$G, (MATCH(55, 輔助計算!$G$2:$G$801, 0)+1))&lt;=46.5,2,1)), IF(INDEX(ERP資料!$G:$G, (MATCH(55, 輔助計算!$G$2:$G$801, 0)+1))&lt;=790,3,IF(INDEX(ERP資料!$G:$G, (MATCH(55, 輔助計算!$G$2:$G$801, 0)+1))&lt;=1181,2,1))))=1,TEXT(INDEX(ERP資料!$G:$G, (MATCH(55, 輔助計算!$G$2:$G$801, 0)+1)),"0.##"),IF(MOD(INDEX(輔助計算!$D:$D, (MATCH(55, 輔助計算!$G$2:$G$801, 0)+1)),IF(INDEX(ERP資料!$G:$G, (MATCH(55, 輔助計算!$G$2:$G$801, 0)+1))&lt;100, IF(INDEX(ERP資料!$G:$G, (MATCH(55, 輔助計算!$G$2:$G$801, 0)+1))&lt;=31,3,IF(INDEX(ERP資料!$G:$G, (MATCH(55, 輔助計算!$G$2:$G$801, 0)+1))&lt;=46.5,2,1)), IF(INDEX(ERP資料!$G:$G, (MATCH(55, 輔助計算!$G$2:$G$801, 0)+1))&lt;=790,3,IF(INDEX(ERP資料!$G:$G, (MATCH(55, 輔助計算!$G$2:$G$801, 0)+1))&lt;=1181,2,1))))=2,TEXT(INDEX(ERP資料!$G:$G, (MATCH(55, 輔助計算!$G$2:$G$801, 0)+1)),"0.##")&amp;"+"&amp;TEXT(INDEX(ERP資料!$G:$G, (MATCH(55, 輔助計算!$G$2:$G$801, 0)+1)),"0.##"),TEXT(INDEX(ERP資料!$G:$G, (MATCH(55, 輔助計算!$G$2:$G$801, 0)+1)),"0.##")&amp;"+"&amp;TEXT(INDEX(ERP資料!$G:$G, (MATCH(55, 輔助計算!$G$2:$G$801, 0)+1)),"0.##")&amp;"+"&amp;TEXT(INDEX(ERP資料!$G:$G, (MATCH(55, 輔助計算!$G$2:$G$801, 0)+1)),"0.##"))))&amp;"-1")), ""), "")</f>
        <v/>
      </c>
      <c r="K56" s="16" t="n"/>
      <c r="L56" s="14">
        <f>IFERROR(IF(AND(IFERROR(INDEX(ERP資料!$A:$A, (MATCH(55, 輔助計算!$G$2:$G$801, 0)+1)), "")&lt;&gt;"", IFERROR(INDEX(ERP資料!$A:$A, (MATCH(55, 輔助計算!$G$2:$G$801, 0)+1)), "")&lt;&gt;IFERROR(INDEX(ERP資料!$A:$A, MATCH(54, 輔助計算!$G$2:$G$801, 0)+1), "")), INDEX(ERP資料!$B:$B, (MATCH(55, 輔助計算!$G$2:$G$801, 0)+1)), ""), "")</f>
        <v/>
      </c>
      <c r="M56" s="17" t="n"/>
    </row>
    <row r="57">
      <c r="A57" s="10">
        <f>IFERROR(IF(AND(IFERROR(INDEX(ERP資料!$A:$A, (MATCH(56, 輔助計算!$G$2:$G$801, 0)+1)), "")&lt;&gt;"", IFERROR(INDEX(ERP資料!$A:$A, (MATCH(56, 輔助計算!$G$2:$G$801, 0)+1)), "")&lt;&gt;IFERROR(INDEX(ERP資料!$A:$A, MATCH(55, 輔助計算!$G$2:$G$801, 0)+1), "")), IFERROR(INDEX(ERP資料!$A:$A, (MATCH(56, 輔助計算!$G$2:$G$801, 0)+1)), ""), ""), "")</f>
        <v/>
      </c>
      <c r="B57" s="10">
        <f>IFERROR(IF(AND(IFERROR(INDEX(ERP資料!$A:$A, (MATCH(56, 輔助計算!$G$2:$G$801, 0)+1)), "")&lt;&gt;"", IFERROR(INDEX(ERP資料!$A:$A, (MATCH(56, 輔助計算!$G$2:$G$801, 0)+1)), "")&lt;&gt;IFERROR(INDEX(ERP資料!$A:$A, MATCH(55, 輔助計算!$G$2:$G$801, 0)+1), "")), INDEX(ERP資料!$S:$S, (MATCH(56, 輔助計算!$G$2:$G$801, 0)+1)), ""), "")</f>
        <v/>
      </c>
      <c r="C57" s="19">
        <f>IFERROR(IF(AND(IFERROR(INDEX(ERP資料!$A:$A, (MATCH(56, 輔助計算!$G$2:$G$801, 0)+1)), "")&lt;&gt;"", IFERROR(INDEX(ERP資料!$A:$A, (MATCH(56, 輔助計算!$G$2:$G$801, 0)+1)), "")&lt;&gt;IFERROR(INDEX(ERP資料!$A:$A, MATCH(55, 輔助計算!$G$2:$G$801, 0)+1), "")), IFERROR(VLOOKUP(LEFT(INDEX(ERP資料!$S:$S, (MATCH(56, 輔助計算!$G$2:$G$801, 0)+1)), 4), 紙管對照表!$A:$C, 3, FALSE), ""), ""), "")</f>
        <v/>
      </c>
      <c r="D57" s="16" t="n"/>
      <c r="E57" s="10">
        <f>IFERROR(IF(INDEX(ERP資料!$H:$H, (MATCH(56, 輔助計算!$G$2:$G$801, 0)+1))="","",INDEX(ERP資料!$H:$H, (MATCH(56, 輔助計算!$G$2:$G$801, 0)+1))), "")</f>
        <v/>
      </c>
      <c r="F57" s="10">
        <f>IFERROR(IF(INDEX(ERP資料!$E:$E, (MATCH(56, 輔助計算!$G$2:$G$801, 0)+1))="","",TRIM(INDEX(ERP資料!$E:$E, (MATCH(56, 輔助計算!$G$2:$G$801, 0)+1)))), "")</f>
        <v/>
      </c>
      <c r="G57" s="10">
        <f>IFERROR(IF(INDEX(ERP資料!$F:$F, (MATCH(56, 輔助計算!$G$2:$G$801, 0)+1))="","",INDEX(ERP資料!$F:$F, (MATCH(56, 輔助計算!$G$2:$G$801, 0)+1))), "")</f>
        <v/>
      </c>
      <c r="H57" s="10">
        <f>IFERROR(IF(INDEX(ERP資料!$G:$G, (MATCH(56, 輔助計算!$G$2:$G$801, 0)+1))="","",INDEX(ERP資料!$G:$G, (MATCH(56, 輔助計算!$G$2:$G$801, 0)+1))), "")</f>
        <v/>
      </c>
      <c r="I57" s="15">
        <f>IFERROR(INDEX(輔助計算!$D:$D, (MATCH(56, 輔助計算!$G$2:$G$801, 0)+1)), "")</f>
        <v/>
      </c>
      <c r="J57" s="15">
        <f>IFERROR(IF(AND(INDEX(輔助計算!$D:$D, (MATCH(56, 輔助計算!$G$2:$G$801, 0)+1))&lt;&gt;"", INDEX(ERP資料!$G:$G, (MATCH(56, 輔助計算!$G$2:$G$801, 0)+1))&lt;&gt;""), TRIM(IF(INT(INDEX(輔助計算!$D:$D, (MATCH(56, 輔助計算!$G$2:$G$801, 0)+1))/IF(INDEX(ERP資料!$G:$G, (MATCH(56, 輔助計算!$G$2:$G$801, 0)+1))&lt;100, IF(INDEX(ERP資料!$G:$G, (MATCH(56, 輔助計算!$G$2:$G$801, 0)+1))&lt;=31,3,IF(INDEX(ERP資料!$G:$G, (MATCH(56, 輔助計算!$G$2:$G$801, 0)+1))&lt;=46.5,2,1)), IF(INDEX(ERP資料!$G:$G, (MATCH(56, 輔助計算!$G$2:$G$801, 0)+1))&lt;=790,3,IF(INDEX(ERP資料!$G:$G, (MATCH(56, 輔助計算!$G$2:$G$801, 0)+1))&lt;=1181,2,1))))&gt;0, IF(IF(INDEX(ERP資料!$G:$G, (MATCH(56, 輔助計算!$G$2:$G$801, 0)+1))&lt;100, IF(INDEX(ERP資料!$G:$G, (MATCH(56, 輔助計算!$G$2:$G$801, 0)+1))&lt;=31,3,IF(INDEX(ERP資料!$G:$G, (MATCH(56, 輔助計算!$G$2:$G$801, 0)+1))&lt;=46.5,2,1)), IF(INDEX(ERP資料!$G:$G, (MATCH(56, 輔助計算!$G$2:$G$801, 0)+1))&lt;=790,3,IF(INDEX(ERP資料!$G:$G, (MATCH(56, 輔助計算!$G$2:$G$801, 0)+1))&lt;=1181,2,1)))=1,TEXT(INDEX(ERP資料!$G:$G, (MATCH(56, 輔助計算!$G$2:$G$801, 0)+1)),"0.##"),IF(IF(INDEX(ERP資料!$G:$G, (MATCH(56, 輔助計算!$G$2:$G$801, 0)+1))&lt;100, IF(INDEX(ERP資料!$G:$G, (MATCH(56, 輔助計算!$G$2:$G$801, 0)+1))&lt;=31,3,IF(INDEX(ERP資料!$G:$G, (MATCH(56, 輔助計算!$G$2:$G$801, 0)+1))&lt;=46.5,2,1)), IF(INDEX(ERP資料!$G:$G, (MATCH(56, 輔助計算!$G$2:$G$801, 0)+1))&lt;=790,3,IF(INDEX(ERP資料!$G:$G, (MATCH(56, 輔助計算!$G$2:$G$801, 0)+1))&lt;=1181,2,1)))=2,TEXT(INDEX(ERP資料!$G:$G, (MATCH(56, 輔助計算!$G$2:$G$801, 0)+1)),"0.##")&amp;"+"&amp;TEXT(INDEX(ERP資料!$G:$G, (MATCH(56, 輔助計算!$G$2:$G$801, 0)+1)),"0.##"),TEXT(INDEX(ERP資料!$G:$G, (MATCH(56, 輔助計算!$G$2:$G$801, 0)+1)),"0.##")&amp;"+"&amp;TEXT(INDEX(ERP資料!$G:$G, (MATCH(56, 輔助計算!$G$2:$G$801, 0)+1)),"0.##")&amp;"+"&amp;TEXT(INDEX(ERP資料!$G:$G, (MATCH(56, 輔助計算!$G$2:$G$801, 0)+1)),"0.##")))&amp;"-"&amp;INT(INDEX(輔助計算!$D:$D, (MATCH(56, 輔助計算!$G$2:$G$801, 0)+1))/IF(INDEX(ERP資料!$G:$G, (MATCH(56, 輔助計算!$G$2:$G$801, 0)+1))&lt;100, IF(INDEX(ERP資料!$G:$G, (MATCH(56, 輔助計算!$G$2:$G$801, 0)+1))&lt;=31,3,IF(INDEX(ERP資料!$G:$G, (MATCH(56, 輔助計算!$G$2:$G$801, 0)+1))&lt;=46.5,2,1)), IF(INDEX(ERP資料!$G:$G, (MATCH(56, 輔助計算!$G$2:$G$801, 0)+1))&lt;=790,3,IF(INDEX(ERP資料!$G:$G, (MATCH(56, 輔助計算!$G$2:$G$801, 0)+1))&lt;=1181,2,1)))), "")&amp;IF(AND(IF(INT(INDEX(輔助計算!$D:$D, (MATCH(56, 輔助計算!$G$2:$G$801, 0)+1))/IF(INDEX(ERP資料!$G:$G, (MATCH(56, 輔助計算!$G$2:$G$801, 0)+1))&lt;100, IF(INDEX(ERP資料!$G:$G, (MATCH(56, 輔助計算!$G$2:$G$801, 0)+1))&lt;=31,3,IF(INDEX(ERP資料!$G:$G, (MATCH(56, 輔助計算!$G$2:$G$801, 0)+1))&lt;=46.5,2,1)), IF(INDEX(ERP資料!$G:$G, (MATCH(56, 輔助計算!$G$2:$G$801, 0)+1))&lt;=790,3,IF(INDEX(ERP資料!$G:$G, (MATCH(56, 輔助計算!$G$2:$G$801, 0)+1))&lt;=1181,2,1))))&gt;0, IF(IF(INDEX(ERP資料!$G:$G, (MATCH(56, 輔助計算!$G$2:$G$801, 0)+1))&lt;100, IF(INDEX(ERP資料!$G:$G, (MATCH(56, 輔助計算!$G$2:$G$801, 0)+1))&lt;=31,3,IF(INDEX(ERP資料!$G:$G, (MATCH(56, 輔助計算!$G$2:$G$801, 0)+1))&lt;=46.5,2,1)), IF(INDEX(ERP資料!$G:$G, (MATCH(56, 輔助計算!$G$2:$G$801, 0)+1))&lt;=790,3,IF(INDEX(ERP資料!$G:$G, (MATCH(56, 輔助計算!$G$2:$G$801, 0)+1))&lt;=1181,2,1)))=1,TEXT(INDEX(ERP資料!$G:$G, (MATCH(56, 輔助計算!$G$2:$G$801, 0)+1)),"0.##"),IF(IF(INDEX(ERP資料!$G:$G, (MATCH(56, 輔助計算!$G$2:$G$801, 0)+1))&lt;100, IF(INDEX(ERP資料!$G:$G, (MATCH(56, 輔助計算!$G$2:$G$801, 0)+1))&lt;=31,3,IF(INDEX(ERP資料!$G:$G, (MATCH(56, 輔助計算!$G$2:$G$801, 0)+1))&lt;=46.5,2,1)), IF(INDEX(ERP資料!$G:$G, (MATCH(56, 輔助計算!$G$2:$G$801, 0)+1))&lt;=790,3,IF(INDEX(ERP資料!$G:$G, (MATCH(56, 輔助計算!$G$2:$G$801, 0)+1))&lt;=1181,2,1)))=2,TEXT(INDEX(ERP資料!$G:$G, (MATCH(56, 輔助計算!$G$2:$G$801, 0)+1)),"0.##")&amp;"+"&amp;TEXT(INDEX(ERP資料!$G:$G, (MATCH(56, 輔助計算!$G$2:$G$801, 0)+1)),"0.##"),TEXT(INDEX(ERP資料!$G:$G, (MATCH(56, 輔助計算!$G$2:$G$801, 0)+1)),"0.##")&amp;"+"&amp;TEXT(INDEX(ERP資料!$G:$G, (MATCH(56, 輔助計算!$G$2:$G$801, 0)+1)),"0.##")&amp;"+"&amp;TEXT(INDEX(ERP資料!$G:$G, (MATCH(56, 輔助計算!$G$2:$G$801, 0)+1)),"0.##")))&amp;"-"&amp;INT(INDEX(輔助計算!$D:$D, (MATCH(56, 輔助計算!$G$2:$G$801, 0)+1))/IF(INDEX(ERP資料!$G:$G, (MATCH(56, 輔助計算!$G$2:$G$801, 0)+1))&lt;100, IF(INDEX(ERP資料!$G:$G, (MATCH(56, 輔助計算!$G$2:$G$801, 0)+1))&lt;=31,3,IF(INDEX(ERP資料!$G:$G, (MATCH(56, 輔助計算!$G$2:$G$801, 0)+1))&lt;=46.5,2,1)), IF(INDEX(ERP資料!$G:$G, (MATCH(56, 輔助計算!$G$2:$G$801, 0)+1))&lt;=790,3,IF(INDEX(ERP資料!$G:$G, (MATCH(56, 輔助計算!$G$2:$G$801, 0)+1))&lt;=1181,2,1)))), "")&lt;&gt;"",IF(MOD(INDEX(輔助計算!$D:$D, (MATCH(56, 輔助計算!$G$2:$G$801, 0)+1)),IF(INDEX(ERP資料!$G:$G, (MATCH(56, 輔助計算!$G$2:$G$801, 0)+1))&lt;100, IF(INDEX(ERP資料!$G:$G, (MATCH(56, 輔助計算!$G$2:$G$801, 0)+1))&lt;=31,3,IF(INDEX(ERP資料!$G:$G, (MATCH(56, 輔助計算!$G$2:$G$801, 0)+1))&lt;=46.5,2,1)), IF(INDEX(ERP資料!$G:$G, (MATCH(56, 輔助計算!$G$2:$G$801, 0)+1))&lt;=790,3,IF(INDEX(ERP資料!$G:$G, (MATCH(56, 輔助計算!$G$2:$G$801, 0)+1))&lt;=1181,2,1))))=0,"",IF(MOD(INDEX(輔助計算!$D:$D, (MATCH(56, 輔助計算!$G$2:$G$801, 0)+1)),IF(INDEX(ERP資料!$G:$G, (MATCH(56, 輔助計算!$G$2:$G$801, 0)+1))&lt;100, IF(INDEX(ERP資料!$G:$G, (MATCH(56, 輔助計算!$G$2:$G$801, 0)+1))&lt;=31,3,IF(INDEX(ERP資料!$G:$G, (MATCH(56, 輔助計算!$G$2:$G$801, 0)+1))&lt;=46.5,2,1)), IF(INDEX(ERP資料!$G:$G, (MATCH(56, 輔助計算!$G$2:$G$801, 0)+1))&lt;=790,3,IF(INDEX(ERP資料!$G:$G, (MATCH(56, 輔助計算!$G$2:$G$801, 0)+1))&lt;=1181,2,1))))=0,"",IF(MOD(INDEX(輔助計算!$D:$D, (MATCH(56, 輔助計算!$G$2:$G$801, 0)+1)),IF(INDEX(ERP資料!$G:$G, (MATCH(56, 輔助計算!$G$2:$G$801, 0)+1))&lt;100, IF(INDEX(ERP資料!$G:$G, (MATCH(56, 輔助計算!$G$2:$G$801, 0)+1))&lt;=31,3,IF(INDEX(ERP資料!$G:$G, (MATCH(56, 輔助計算!$G$2:$G$801, 0)+1))&lt;=46.5,2,1)), IF(INDEX(ERP資料!$G:$G, (MATCH(56, 輔助計算!$G$2:$G$801, 0)+1))&lt;=790,3,IF(INDEX(ERP資料!$G:$G, (MATCH(56, 輔助計算!$G$2:$G$801, 0)+1))&lt;=1181,2,1))))=1,TEXT(INDEX(ERP資料!$G:$G, (MATCH(56, 輔助計算!$G$2:$G$801, 0)+1)),"0.##"),IF(MOD(INDEX(輔助計算!$D:$D, (MATCH(56, 輔助計算!$G$2:$G$801, 0)+1)),IF(INDEX(ERP資料!$G:$G, (MATCH(56, 輔助計算!$G$2:$G$801, 0)+1))&lt;100, IF(INDEX(ERP資料!$G:$G, (MATCH(56, 輔助計算!$G$2:$G$801, 0)+1))&lt;=31,3,IF(INDEX(ERP資料!$G:$G, (MATCH(56, 輔助計算!$G$2:$G$801, 0)+1))&lt;=46.5,2,1)), IF(INDEX(ERP資料!$G:$G, (MATCH(56, 輔助計算!$G$2:$G$801, 0)+1))&lt;=790,3,IF(INDEX(ERP資料!$G:$G, (MATCH(56, 輔助計算!$G$2:$G$801, 0)+1))&lt;=1181,2,1))))=2,TEXT(INDEX(ERP資料!$G:$G, (MATCH(56, 輔助計算!$G$2:$G$801, 0)+1)),"0.##")&amp;"+"&amp;TEXT(INDEX(ERP資料!$G:$G, (MATCH(56, 輔助計算!$G$2:$G$801, 0)+1)),"0.##"),TEXT(INDEX(ERP資料!$G:$G, (MATCH(56, 輔助計算!$G$2:$G$801, 0)+1)),"0.##")&amp;"+"&amp;TEXT(INDEX(ERP資料!$G:$G, (MATCH(56, 輔助計算!$G$2:$G$801, 0)+1)),"0.##")&amp;"+"&amp;TEXT(INDEX(ERP資料!$G:$G, (MATCH(56, 輔助計算!$G$2:$G$801, 0)+1)),"0.##"))))&amp;"-1")&lt;&gt;""),"  ","")&amp;IF(MOD(INDEX(輔助計算!$D:$D, (MATCH(56, 輔助計算!$G$2:$G$801, 0)+1)),IF(INDEX(ERP資料!$G:$G, (MATCH(56, 輔助計算!$G$2:$G$801, 0)+1))&lt;100, IF(INDEX(ERP資料!$G:$G, (MATCH(56, 輔助計算!$G$2:$G$801, 0)+1))&lt;=31,3,IF(INDEX(ERP資料!$G:$G, (MATCH(56, 輔助計算!$G$2:$G$801, 0)+1))&lt;=46.5,2,1)), IF(INDEX(ERP資料!$G:$G, (MATCH(56, 輔助計算!$G$2:$G$801, 0)+1))&lt;=790,3,IF(INDEX(ERP資料!$G:$G, (MATCH(56, 輔助計算!$G$2:$G$801, 0)+1))&lt;=1181,2,1))))=0,"",IF(MOD(INDEX(輔助計算!$D:$D, (MATCH(56, 輔助計算!$G$2:$G$801, 0)+1)),IF(INDEX(ERP資料!$G:$G, (MATCH(56, 輔助計算!$G$2:$G$801, 0)+1))&lt;100, IF(INDEX(ERP資料!$G:$G, (MATCH(56, 輔助計算!$G$2:$G$801, 0)+1))&lt;=31,3,IF(INDEX(ERP資料!$G:$G, (MATCH(56, 輔助計算!$G$2:$G$801, 0)+1))&lt;=46.5,2,1)), IF(INDEX(ERP資料!$G:$G, (MATCH(56, 輔助計算!$G$2:$G$801, 0)+1))&lt;=790,3,IF(INDEX(ERP資料!$G:$G, (MATCH(56, 輔助計算!$G$2:$G$801, 0)+1))&lt;=1181,2,1))))=0,"",IF(MOD(INDEX(輔助計算!$D:$D, (MATCH(56, 輔助計算!$G$2:$G$801, 0)+1)),IF(INDEX(ERP資料!$G:$G, (MATCH(56, 輔助計算!$G$2:$G$801, 0)+1))&lt;100, IF(INDEX(ERP資料!$G:$G, (MATCH(56, 輔助計算!$G$2:$G$801, 0)+1))&lt;=31,3,IF(INDEX(ERP資料!$G:$G, (MATCH(56, 輔助計算!$G$2:$G$801, 0)+1))&lt;=46.5,2,1)), IF(INDEX(ERP資料!$G:$G, (MATCH(56, 輔助計算!$G$2:$G$801, 0)+1))&lt;=790,3,IF(INDEX(ERP資料!$G:$G, (MATCH(56, 輔助計算!$G$2:$G$801, 0)+1))&lt;=1181,2,1))))=1,TEXT(INDEX(ERP資料!$G:$G, (MATCH(56, 輔助計算!$G$2:$G$801, 0)+1)),"0.##"),IF(MOD(INDEX(輔助計算!$D:$D, (MATCH(56, 輔助計算!$G$2:$G$801, 0)+1)),IF(INDEX(ERP資料!$G:$G, (MATCH(56, 輔助計算!$G$2:$G$801, 0)+1))&lt;100, IF(INDEX(ERP資料!$G:$G, (MATCH(56, 輔助計算!$G$2:$G$801, 0)+1))&lt;=31,3,IF(INDEX(ERP資料!$G:$G, (MATCH(56, 輔助計算!$G$2:$G$801, 0)+1))&lt;=46.5,2,1)), IF(INDEX(ERP資料!$G:$G, (MATCH(56, 輔助計算!$G$2:$G$801, 0)+1))&lt;=790,3,IF(INDEX(ERP資料!$G:$G, (MATCH(56, 輔助計算!$G$2:$G$801, 0)+1))&lt;=1181,2,1))))=2,TEXT(INDEX(ERP資料!$G:$G, (MATCH(56, 輔助計算!$G$2:$G$801, 0)+1)),"0.##")&amp;"+"&amp;TEXT(INDEX(ERP資料!$G:$G, (MATCH(56, 輔助計算!$G$2:$G$801, 0)+1)),"0.##"),TEXT(INDEX(ERP資料!$G:$G, (MATCH(56, 輔助計算!$G$2:$G$801, 0)+1)),"0.##")&amp;"+"&amp;TEXT(INDEX(ERP資料!$G:$G, (MATCH(56, 輔助計算!$G$2:$G$801, 0)+1)),"0.##")&amp;"+"&amp;TEXT(INDEX(ERP資料!$G:$G, (MATCH(56, 輔助計算!$G$2:$G$801, 0)+1)),"0.##"))))&amp;"-1")), ""), "")</f>
        <v/>
      </c>
      <c r="K57" s="16" t="n"/>
      <c r="L57" s="14">
        <f>IFERROR(IF(AND(IFERROR(INDEX(ERP資料!$A:$A, (MATCH(56, 輔助計算!$G$2:$G$801, 0)+1)), "")&lt;&gt;"", IFERROR(INDEX(ERP資料!$A:$A, (MATCH(56, 輔助計算!$G$2:$G$801, 0)+1)), "")&lt;&gt;IFERROR(INDEX(ERP資料!$A:$A, MATCH(55, 輔助計算!$G$2:$G$801, 0)+1), "")), INDEX(ERP資料!$B:$B, (MATCH(56, 輔助計算!$G$2:$G$801, 0)+1)), ""), "")</f>
        <v/>
      </c>
      <c r="M57" s="17" t="n"/>
    </row>
    <row r="58">
      <c r="A58" s="10">
        <f>IFERROR(IF(AND(IFERROR(INDEX(ERP資料!$A:$A, (MATCH(57, 輔助計算!$G$2:$G$801, 0)+1)), "")&lt;&gt;"", IFERROR(INDEX(ERP資料!$A:$A, (MATCH(57, 輔助計算!$G$2:$G$801, 0)+1)), "")&lt;&gt;IFERROR(INDEX(ERP資料!$A:$A, MATCH(56, 輔助計算!$G$2:$G$801, 0)+1), "")), IFERROR(INDEX(ERP資料!$A:$A, (MATCH(57, 輔助計算!$G$2:$G$801, 0)+1)), ""), ""), "")</f>
        <v/>
      </c>
      <c r="B58" s="10">
        <f>IFERROR(IF(AND(IFERROR(INDEX(ERP資料!$A:$A, (MATCH(57, 輔助計算!$G$2:$G$801, 0)+1)), "")&lt;&gt;"", IFERROR(INDEX(ERP資料!$A:$A, (MATCH(57, 輔助計算!$G$2:$G$801, 0)+1)), "")&lt;&gt;IFERROR(INDEX(ERP資料!$A:$A, MATCH(56, 輔助計算!$G$2:$G$801, 0)+1), "")), INDEX(ERP資料!$S:$S, (MATCH(57, 輔助計算!$G$2:$G$801, 0)+1)), ""), "")</f>
        <v/>
      </c>
      <c r="C58" s="19">
        <f>IFERROR(IF(AND(IFERROR(INDEX(ERP資料!$A:$A, (MATCH(57, 輔助計算!$G$2:$G$801, 0)+1)), "")&lt;&gt;"", IFERROR(INDEX(ERP資料!$A:$A, (MATCH(57, 輔助計算!$G$2:$G$801, 0)+1)), "")&lt;&gt;IFERROR(INDEX(ERP資料!$A:$A, MATCH(56, 輔助計算!$G$2:$G$801, 0)+1), "")), IFERROR(VLOOKUP(LEFT(INDEX(ERP資料!$S:$S, (MATCH(57, 輔助計算!$G$2:$G$801, 0)+1)), 4), 紙管對照表!$A:$C, 3, FALSE), ""), ""), "")</f>
        <v/>
      </c>
      <c r="D58" s="16" t="n"/>
      <c r="E58" s="10">
        <f>IFERROR(IF(INDEX(ERP資料!$H:$H, (MATCH(57, 輔助計算!$G$2:$G$801, 0)+1))="","",INDEX(ERP資料!$H:$H, (MATCH(57, 輔助計算!$G$2:$G$801, 0)+1))), "")</f>
        <v/>
      </c>
      <c r="F58" s="10">
        <f>IFERROR(IF(INDEX(ERP資料!$E:$E, (MATCH(57, 輔助計算!$G$2:$G$801, 0)+1))="","",TRIM(INDEX(ERP資料!$E:$E, (MATCH(57, 輔助計算!$G$2:$G$801, 0)+1)))), "")</f>
        <v/>
      </c>
      <c r="G58" s="10">
        <f>IFERROR(IF(INDEX(ERP資料!$F:$F, (MATCH(57, 輔助計算!$G$2:$G$801, 0)+1))="","",INDEX(ERP資料!$F:$F, (MATCH(57, 輔助計算!$G$2:$G$801, 0)+1))), "")</f>
        <v/>
      </c>
      <c r="H58" s="10">
        <f>IFERROR(IF(INDEX(ERP資料!$G:$G, (MATCH(57, 輔助計算!$G$2:$G$801, 0)+1))="","",INDEX(ERP資料!$G:$G, (MATCH(57, 輔助計算!$G$2:$G$801, 0)+1))), "")</f>
        <v/>
      </c>
      <c r="I58" s="15">
        <f>IFERROR(INDEX(輔助計算!$D:$D, (MATCH(57, 輔助計算!$G$2:$G$801, 0)+1)), "")</f>
        <v/>
      </c>
      <c r="J58" s="15">
        <f>IFERROR(IF(AND(INDEX(輔助計算!$D:$D, (MATCH(57, 輔助計算!$G$2:$G$801, 0)+1))&lt;&gt;"", INDEX(ERP資料!$G:$G, (MATCH(57, 輔助計算!$G$2:$G$801, 0)+1))&lt;&gt;""), TRIM(IF(INT(INDEX(輔助計算!$D:$D, (MATCH(57, 輔助計算!$G$2:$G$801, 0)+1))/IF(INDEX(ERP資料!$G:$G, (MATCH(57, 輔助計算!$G$2:$G$801, 0)+1))&lt;100, IF(INDEX(ERP資料!$G:$G, (MATCH(57, 輔助計算!$G$2:$G$801, 0)+1))&lt;=31,3,IF(INDEX(ERP資料!$G:$G, (MATCH(57, 輔助計算!$G$2:$G$801, 0)+1))&lt;=46.5,2,1)), IF(INDEX(ERP資料!$G:$G, (MATCH(57, 輔助計算!$G$2:$G$801, 0)+1))&lt;=790,3,IF(INDEX(ERP資料!$G:$G, (MATCH(57, 輔助計算!$G$2:$G$801, 0)+1))&lt;=1181,2,1))))&gt;0, IF(IF(INDEX(ERP資料!$G:$G, (MATCH(57, 輔助計算!$G$2:$G$801, 0)+1))&lt;100, IF(INDEX(ERP資料!$G:$G, (MATCH(57, 輔助計算!$G$2:$G$801, 0)+1))&lt;=31,3,IF(INDEX(ERP資料!$G:$G, (MATCH(57, 輔助計算!$G$2:$G$801, 0)+1))&lt;=46.5,2,1)), IF(INDEX(ERP資料!$G:$G, (MATCH(57, 輔助計算!$G$2:$G$801, 0)+1))&lt;=790,3,IF(INDEX(ERP資料!$G:$G, (MATCH(57, 輔助計算!$G$2:$G$801, 0)+1))&lt;=1181,2,1)))=1,TEXT(INDEX(ERP資料!$G:$G, (MATCH(57, 輔助計算!$G$2:$G$801, 0)+1)),"0.##"),IF(IF(INDEX(ERP資料!$G:$G, (MATCH(57, 輔助計算!$G$2:$G$801, 0)+1))&lt;100, IF(INDEX(ERP資料!$G:$G, (MATCH(57, 輔助計算!$G$2:$G$801, 0)+1))&lt;=31,3,IF(INDEX(ERP資料!$G:$G, (MATCH(57, 輔助計算!$G$2:$G$801, 0)+1))&lt;=46.5,2,1)), IF(INDEX(ERP資料!$G:$G, (MATCH(57, 輔助計算!$G$2:$G$801, 0)+1))&lt;=790,3,IF(INDEX(ERP資料!$G:$G, (MATCH(57, 輔助計算!$G$2:$G$801, 0)+1))&lt;=1181,2,1)))=2,TEXT(INDEX(ERP資料!$G:$G, (MATCH(57, 輔助計算!$G$2:$G$801, 0)+1)),"0.##")&amp;"+"&amp;TEXT(INDEX(ERP資料!$G:$G, (MATCH(57, 輔助計算!$G$2:$G$801, 0)+1)),"0.##"),TEXT(INDEX(ERP資料!$G:$G, (MATCH(57, 輔助計算!$G$2:$G$801, 0)+1)),"0.##")&amp;"+"&amp;TEXT(INDEX(ERP資料!$G:$G, (MATCH(57, 輔助計算!$G$2:$G$801, 0)+1)),"0.##")&amp;"+"&amp;TEXT(INDEX(ERP資料!$G:$G, (MATCH(57, 輔助計算!$G$2:$G$801, 0)+1)),"0.##")))&amp;"-"&amp;INT(INDEX(輔助計算!$D:$D, (MATCH(57, 輔助計算!$G$2:$G$801, 0)+1))/IF(INDEX(ERP資料!$G:$G, (MATCH(57, 輔助計算!$G$2:$G$801, 0)+1))&lt;100, IF(INDEX(ERP資料!$G:$G, (MATCH(57, 輔助計算!$G$2:$G$801, 0)+1))&lt;=31,3,IF(INDEX(ERP資料!$G:$G, (MATCH(57, 輔助計算!$G$2:$G$801, 0)+1))&lt;=46.5,2,1)), IF(INDEX(ERP資料!$G:$G, (MATCH(57, 輔助計算!$G$2:$G$801, 0)+1))&lt;=790,3,IF(INDEX(ERP資料!$G:$G, (MATCH(57, 輔助計算!$G$2:$G$801, 0)+1))&lt;=1181,2,1)))), "")&amp;IF(AND(IF(INT(INDEX(輔助計算!$D:$D, (MATCH(57, 輔助計算!$G$2:$G$801, 0)+1))/IF(INDEX(ERP資料!$G:$G, (MATCH(57, 輔助計算!$G$2:$G$801, 0)+1))&lt;100, IF(INDEX(ERP資料!$G:$G, (MATCH(57, 輔助計算!$G$2:$G$801, 0)+1))&lt;=31,3,IF(INDEX(ERP資料!$G:$G, (MATCH(57, 輔助計算!$G$2:$G$801, 0)+1))&lt;=46.5,2,1)), IF(INDEX(ERP資料!$G:$G, (MATCH(57, 輔助計算!$G$2:$G$801, 0)+1))&lt;=790,3,IF(INDEX(ERP資料!$G:$G, (MATCH(57, 輔助計算!$G$2:$G$801, 0)+1))&lt;=1181,2,1))))&gt;0, IF(IF(INDEX(ERP資料!$G:$G, (MATCH(57, 輔助計算!$G$2:$G$801, 0)+1))&lt;100, IF(INDEX(ERP資料!$G:$G, (MATCH(57, 輔助計算!$G$2:$G$801, 0)+1))&lt;=31,3,IF(INDEX(ERP資料!$G:$G, (MATCH(57, 輔助計算!$G$2:$G$801, 0)+1))&lt;=46.5,2,1)), IF(INDEX(ERP資料!$G:$G, (MATCH(57, 輔助計算!$G$2:$G$801, 0)+1))&lt;=790,3,IF(INDEX(ERP資料!$G:$G, (MATCH(57, 輔助計算!$G$2:$G$801, 0)+1))&lt;=1181,2,1)))=1,TEXT(INDEX(ERP資料!$G:$G, (MATCH(57, 輔助計算!$G$2:$G$801, 0)+1)),"0.##"),IF(IF(INDEX(ERP資料!$G:$G, (MATCH(57, 輔助計算!$G$2:$G$801, 0)+1))&lt;100, IF(INDEX(ERP資料!$G:$G, (MATCH(57, 輔助計算!$G$2:$G$801, 0)+1))&lt;=31,3,IF(INDEX(ERP資料!$G:$G, (MATCH(57, 輔助計算!$G$2:$G$801, 0)+1))&lt;=46.5,2,1)), IF(INDEX(ERP資料!$G:$G, (MATCH(57, 輔助計算!$G$2:$G$801, 0)+1))&lt;=790,3,IF(INDEX(ERP資料!$G:$G, (MATCH(57, 輔助計算!$G$2:$G$801, 0)+1))&lt;=1181,2,1)))=2,TEXT(INDEX(ERP資料!$G:$G, (MATCH(57, 輔助計算!$G$2:$G$801, 0)+1)),"0.##")&amp;"+"&amp;TEXT(INDEX(ERP資料!$G:$G, (MATCH(57, 輔助計算!$G$2:$G$801, 0)+1)),"0.##"),TEXT(INDEX(ERP資料!$G:$G, (MATCH(57, 輔助計算!$G$2:$G$801, 0)+1)),"0.##")&amp;"+"&amp;TEXT(INDEX(ERP資料!$G:$G, (MATCH(57, 輔助計算!$G$2:$G$801, 0)+1)),"0.##")&amp;"+"&amp;TEXT(INDEX(ERP資料!$G:$G, (MATCH(57, 輔助計算!$G$2:$G$801, 0)+1)),"0.##")))&amp;"-"&amp;INT(INDEX(輔助計算!$D:$D, (MATCH(57, 輔助計算!$G$2:$G$801, 0)+1))/IF(INDEX(ERP資料!$G:$G, (MATCH(57, 輔助計算!$G$2:$G$801, 0)+1))&lt;100, IF(INDEX(ERP資料!$G:$G, (MATCH(57, 輔助計算!$G$2:$G$801, 0)+1))&lt;=31,3,IF(INDEX(ERP資料!$G:$G, (MATCH(57, 輔助計算!$G$2:$G$801, 0)+1))&lt;=46.5,2,1)), IF(INDEX(ERP資料!$G:$G, (MATCH(57, 輔助計算!$G$2:$G$801, 0)+1))&lt;=790,3,IF(INDEX(ERP資料!$G:$G, (MATCH(57, 輔助計算!$G$2:$G$801, 0)+1))&lt;=1181,2,1)))), "")&lt;&gt;"",IF(MOD(INDEX(輔助計算!$D:$D, (MATCH(57, 輔助計算!$G$2:$G$801, 0)+1)),IF(INDEX(ERP資料!$G:$G, (MATCH(57, 輔助計算!$G$2:$G$801, 0)+1))&lt;100, IF(INDEX(ERP資料!$G:$G, (MATCH(57, 輔助計算!$G$2:$G$801, 0)+1))&lt;=31,3,IF(INDEX(ERP資料!$G:$G, (MATCH(57, 輔助計算!$G$2:$G$801, 0)+1))&lt;=46.5,2,1)), IF(INDEX(ERP資料!$G:$G, (MATCH(57, 輔助計算!$G$2:$G$801, 0)+1))&lt;=790,3,IF(INDEX(ERP資料!$G:$G, (MATCH(57, 輔助計算!$G$2:$G$801, 0)+1))&lt;=1181,2,1))))=0,"",IF(MOD(INDEX(輔助計算!$D:$D, (MATCH(57, 輔助計算!$G$2:$G$801, 0)+1)),IF(INDEX(ERP資料!$G:$G, (MATCH(57, 輔助計算!$G$2:$G$801, 0)+1))&lt;100, IF(INDEX(ERP資料!$G:$G, (MATCH(57, 輔助計算!$G$2:$G$801, 0)+1))&lt;=31,3,IF(INDEX(ERP資料!$G:$G, (MATCH(57, 輔助計算!$G$2:$G$801, 0)+1))&lt;=46.5,2,1)), IF(INDEX(ERP資料!$G:$G, (MATCH(57, 輔助計算!$G$2:$G$801, 0)+1))&lt;=790,3,IF(INDEX(ERP資料!$G:$G, (MATCH(57, 輔助計算!$G$2:$G$801, 0)+1))&lt;=1181,2,1))))=0,"",IF(MOD(INDEX(輔助計算!$D:$D, (MATCH(57, 輔助計算!$G$2:$G$801, 0)+1)),IF(INDEX(ERP資料!$G:$G, (MATCH(57, 輔助計算!$G$2:$G$801, 0)+1))&lt;100, IF(INDEX(ERP資料!$G:$G, (MATCH(57, 輔助計算!$G$2:$G$801, 0)+1))&lt;=31,3,IF(INDEX(ERP資料!$G:$G, (MATCH(57, 輔助計算!$G$2:$G$801, 0)+1))&lt;=46.5,2,1)), IF(INDEX(ERP資料!$G:$G, (MATCH(57, 輔助計算!$G$2:$G$801, 0)+1))&lt;=790,3,IF(INDEX(ERP資料!$G:$G, (MATCH(57, 輔助計算!$G$2:$G$801, 0)+1))&lt;=1181,2,1))))=1,TEXT(INDEX(ERP資料!$G:$G, (MATCH(57, 輔助計算!$G$2:$G$801, 0)+1)),"0.##"),IF(MOD(INDEX(輔助計算!$D:$D, (MATCH(57, 輔助計算!$G$2:$G$801, 0)+1)),IF(INDEX(ERP資料!$G:$G, (MATCH(57, 輔助計算!$G$2:$G$801, 0)+1))&lt;100, IF(INDEX(ERP資料!$G:$G, (MATCH(57, 輔助計算!$G$2:$G$801, 0)+1))&lt;=31,3,IF(INDEX(ERP資料!$G:$G, (MATCH(57, 輔助計算!$G$2:$G$801, 0)+1))&lt;=46.5,2,1)), IF(INDEX(ERP資料!$G:$G, (MATCH(57, 輔助計算!$G$2:$G$801, 0)+1))&lt;=790,3,IF(INDEX(ERP資料!$G:$G, (MATCH(57, 輔助計算!$G$2:$G$801, 0)+1))&lt;=1181,2,1))))=2,TEXT(INDEX(ERP資料!$G:$G, (MATCH(57, 輔助計算!$G$2:$G$801, 0)+1)),"0.##")&amp;"+"&amp;TEXT(INDEX(ERP資料!$G:$G, (MATCH(57, 輔助計算!$G$2:$G$801, 0)+1)),"0.##"),TEXT(INDEX(ERP資料!$G:$G, (MATCH(57, 輔助計算!$G$2:$G$801, 0)+1)),"0.##")&amp;"+"&amp;TEXT(INDEX(ERP資料!$G:$G, (MATCH(57, 輔助計算!$G$2:$G$801, 0)+1)),"0.##")&amp;"+"&amp;TEXT(INDEX(ERP資料!$G:$G, (MATCH(57, 輔助計算!$G$2:$G$801, 0)+1)),"0.##"))))&amp;"-1")&lt;&gt;""),"  ","")&amp;IF(MOD(INDEX(輔助計算!$D:$D, (MATCH(57, 輔助計算!$G$2:$G$801, 0)+1)),IF(INDEX(ERP資料!$G:$G, (MATCH(57, 輔助計算!$G$2:$G$801, 0)+1))&lt;100, IF(INDEX(ERP資料!$G:$G, (MATCH(57, 輔助計算!$G$2:$G$801, 0)+1))&lt;=31,3,IF(INDEX(ERP資料!$G:$G, (MATCH(57, 輔助計算!$G$2:$G$801, 0)+1))&lt;=46.5,2,1)), IF(INDEX(ERP資料!$G:$G, (MATCH(57, 輔助計算!$G$2:$G$801, 0)+1))&lt;=790,3,IF(INDEX(ERP資料!$G:$G, (MATCH(57, 輔助計算!$G$2:$G$801, 0)+1))&lt;=1181,2,1))))=0,"",IF(MOD(INDEX(輔助計算!$D:$D, (MATCH(57, 輔助計算!$G$2:$G$801, 0)+1)),IF(INDEX(ERP資料!$G:$G, (MATCH(57, 輔助計算!$G$2:$G$801, 0)+1))&lt;100, IF(INDEX(ERP資料!$G:$G, (MATCH(57, 輔助計算!$G$2:$G$801, 0)+1))&lt;=31,3,IF(INDEX(ERP資料!$G:$G, (MATCH(57, 輔助計算!$G$2:$G$801, 0)+1))&lt;=46.5,2,1)), IF(INDEX(ERP資料!$G:$G, (MATCH(57, 輔助計算!$G$2:$G$801, 0)+1))&lt;=790,3,IF(INDEX(ERP資料!$G:$G, (MATCH(57, 輔助計算!$G$2:$G$801, 0)+1))&lt;=1181,2,1))))=0,"",IF(MOD(INDEX(輔助計算!$D:$D, (MATCH(57, 輔助計算!$G$2:$G$801, 0)+1)),IF(INDEX(ERP資料!$G:$G, (MATCH(57, 輔助計算!$G$2:$G$801, 0)+1))&lt;100, IF(INDEX(ERP資料!$G:$G, (MATCH(57, 輔助計算!$G$2:$G$801, 0)+1))&lt;=31,3,IF(INDEX(ERP資料!$G:$G, (MATCH(57, 輔助計算!$G$2:$G$801, 0)+1))&lt;=46.5,2,1)), IF(INDEX(ERP資料!$G:$G, (MATCH(57, 輔助計算!$G$2:$G$801, 0)+1))&lt;=790,3,IF(INDEX(ERP資料!$G:$G, (MATCH(57, 輔助計算!$G$2:$G$801, 0)+1))&lt;=1181,2,1))))=1,TEXT(INDEX(ERP資料!$G:$G, (MATCH(57, 輔助計算!$G$2:$G$801, 0)+1)),"0.##"),IF(MOD(INDEX(輔助計算!$D:$D, (MATCH(57, 輔助計算!$G$2:$G$801, 0)+1)),IF(INDEX(ERP資料!$G:$G, (MATCH(57, 輔助計算!$G$2:$G$801, 0)+1))&lt;100, IF(INDEX(ERP資料!$G:$G, (MATCH(57, 輔助計算!$G$2:$G$801, 0)+1))&lt;=31,3,IF(INDEX(ERP資料!$G:$G, (MATCH(57, 輔助計算!$G$2:$G$801, 0)+1))&lt;=46.5,2,1)), IF(INDEX(ERP資料!$G:$G, (MATCH(57, 輔助計算!$G$2:$G$801, 0)+1))&lt;=790,3,IF(INDEX(ERP資料!$G:$G, (MATCH(57, 輔助計算!$G$2:$G$801, 0)+1))&lt;=1181,2,1))))=2,TEXT(INDEX(ERP資料!$G:$G, (MATCH(57, 輔助計算!$G$2:$G$801, 0)+1)),"0.##")&amp;"+"&amp;TEXT(INDEX(ERP資料!$G:$G, (MATCH(57, 輔助計算!$G$2:$G$801, 0)+1)),"0.##"),TEXT(INDEX(ERP資料!$G:$G, (MATCH(57, 輔助計算!$G$2:$G$801, 0)+1)),"0.##")&amp;"+"&amp;TEXT(INDEX(ERP資料!$G:$G, (MATCH(57, 輔助計算!$G$2:$G$801, 0)+1)),"0.##")&amp;"+"&amp;TEXT(INDEX(ERP資料!$G:$G, (MATCH(57, 輔助計算!$G$2:$G$801, 0)+1)),"0.##"))))&amp;"-1")), ""), "")</f>
        <v/>
      </c>
      <c r="K58" s="16" t="n"/>
      <c r="L58" s="14">
        <f>IFERROR(IF(AND(IFERROR(INDEX(ERP資料!$A:$A, (MATCH(57, 輔助計算!$G$2:$G$801, 0)+1)), "")&lt;&gt;"", IFERROR(INDEX(ERP資料!$A:$A, (MATCH(57, 輔助計算!$G$2:$G$801, 0)+1)), "")&lt;&gt;IFERROR(INDEX(ERP資料!$A:$A, MATCH(56, 輔助計算!$G$2:$G$801, 0)+1), "")), INDEX(ERP資料!$B:$B, (MATCH(57, 輔助計算!$G$2:$G$801, 0)+1)), ""), "")</f>
        <v/>
      </c>
      <c r="M58" s="17" t="n"/>
    </row>
    <row r="59">
      <c r="A59" s="10">
        <f>IFERROR(IF(AND(IFERROR(INDEX(ERP資料!$A:$A, (MATCH(58, 輔助計算!$G$2:$G$801, 0)+1)), "")&lt;&gt;"", IFERROR(INDEX(ERP資料!$A:$A, (MATCH(58, 輔助計算!$G$2:$G$801, 0)+1)), "")&lt;&gt;IFERROR(INDEX(ERP資料!$A:$A, MATCH(57, 輔助計算!$G$2:$G$801, 0)+1), "")), IFERROR(INDEX(ERP資料!$A:$A, (MATCH(58, 輔助計算!$G$2:$G$801, 0)+1)), ""), ""), "")</f>
        <v/>
      </c>
      <c r="B59" s="10">
        <f>IFERROR(IF(AND(IFERROR(INDEX(ERP資料!$A:$A, (MATCH(58, 輔助計算!$G$2:$G$801, 0)+1)), "")&lt;&gt;"", IFERROR(INDEX(ERP資料!$A:$A, (MATCH(58, 輔助計算!$G$2:$G$801, 0)+1)), "")&lt;&gt;IFERROR(INDEX(ERP資料!$A:$A, MATCH(57, 輔助計算!$G$2:$G$801, 0)+1), "")), INDEX(ERP資料!$S:$S, (MATCH(58, 輔助計算!$G$2:$G$801, 0)+1)), ""), "")</f>
        <v/>
      </c>
      <c r="C59" s="19">
        <f>IFERROR(IF(AND(IFERROR(INDEX(ERP資料!$A:$A, (MATCH(58, 輔助計算!$G$2:$G$801, 0)+1)), "")&lt;&gt;"", IFERROR(INDEX(ERP資料!$A:$A, (MATCH(58, 輔助計算!$G$2:$G$801, 0)+1)), "")&lt;&gt;IFERROR(INDEX(ERP資料!$A:$A, MATCH(57, 輔助計算!$G$2:$G$801, 0)+1), "")), IFERROR(VLOOKUP(LEFT(INDEX(ERP資料!$S:$S, (MATCH(58, 輔助計算!$G$2:$G$801, 0)+1)), 4), 紙管對照表!$A:$C, 3, FALSE), ""), ""), "")</f>
        <v/>
      </c>
      <c r="D59" s="16" t="n"/>
      <c r="E59" s="10">
        <f>IFERROR(IF(INDEX(ERP資料!$H:$H, (MATCH(58, 輔助計算!$G$2:$G$801, 0)+1))="","",INDEX(ERP資料!$H:$H, (MATCH(58, 輔助計算!$G$2:$G$801, 0)+1))), "")</f>
        <v/>
      </c>
      <c r="F59" s="10">
        <f>IFERROR(IF(INDEX(ERP資料!$E:$E, (MATCH(58, 輔助計算!$G$2:$G$801, 0)+1))="","",TRIM(INDEX(ERP資料!$E:$E, (MATCH(58, 輔助計算!$G$2:$G$801, 0)+1)))), "")</f>
        <v/>
      </c>
      <c r="G59" s="10">
        <f>IFERROR(IF(INDEX(ERP資料!$F:$F, (MATCH(58, 輔助計算!$G$2:$G$801, 0)+1))="","",INDEX(ERP資料!$F:$F, (MATCH(58, 輔助計算!$G$2:$G$801, 0)+1))), "")</f>
        <v/>
      </c>
      <c r="H59" s="10">
        <f>IFERROR(IF(INDEX(ERP資料!$G:$G, (MATCH(58, 輔助計算!$G$2:$G$801, 0)+1))="","",INDEX(ERP資料!$G:$G, (MATCH(58, 輔助計算!$G$2:$G$801, 0)+1))), "")</f>
        <v/>
      </c>
      <c r="I59" s="15">
        <f>IFERROR(INDEX(輔助計算!$D:$D, (MATCH(58, 輔助計算!$G$2:$G$801, 0)+1)), "")</f>
        <v/>
      </c>
      <c r="J59" s="15">
        <f>IFERROR(IF(AND(INDEX(輔助計算!$D:$D, (MATCH(58, 輔助計算!$G$2:$G$801, 0)+1))&lt;&gt;"", INDEX(ERP資料!$G:$G, (MATCH(58, 輔助計算!$G$2:$G$801, 0)+1))&lt;&gt;""), TRIM(IF(INT(INDEX(輔助計算!$D:$D, (MATCH(58, 輔助計算!$G$2:$G$801, 0)+1))/IF(INDEX(ERP資料!$G:$G, (MATCH(58, 輔助計算!$G$2:$G$801, 0)+1))&lt;100, IF(INDEX(ERP資料!$G:$G, (MATCH(58, 輔助計算!$G$2:$G$801, 0)+1))&lt;=31,3,IF(INDEX(ERP資料!$G:$G, (MATCH(58, 輔助計算!$G$2:$G$801, 0)+1))&lt;=46.5,2,1)), IF(INDEX(ERP資料!$G:$G, (MATCH(58, 輔助計算!$G$2:$G$801, 0)+1))&lt;=790,3,IF(INDEX(ERP資料!$G:$G, (MATCH(58, 輔助計算!$G$2:$G$801, 0)+1))&lt;=1181,2,1))))&gt;0, IF(IF(INDEX(ERP資料!$G:$G, (MATCH(58, 輔助計算!$G$2:$G$801, 0)+1))&lt;100, IF(INDEX(ERP資料!$G:$G, (MATCH(58, 輔助計算!$G$2:$G$801, 0)+1))&lt;=31,3,IF(INDEX(ERP資料!$G:$G, (MATCH(58, 輔助計算!$G$2:$G$801, 0)+1))&lt;=46.5,2,1)), IF(INDEX(ERP資料!$G:$G, (MATCH(58, 輔助計算!$G$2:$G$801, 0)+1))&lt;=790,3,IF(INDEX(ERP資料!$G:$G, (MATCH(58, 輔助計算!$G$2:$G$801, 0)+1))&lt;=1181,2,1)))=1,TEXT(INDEX(ERP資料!$G:$G, (MATCH(58, 輔助計算!$G$2:$G$801, 0)+1)),"0.##"),IF(IF(INDEX(ERP資料!$G:$G, (MATCH(58, 輔助計算!$G$2:$G$801, 0)+1))&lt;100, IF(INDEX(ERP資料!$G:$G, (MATCH(58, 輔助計算!$G$2:$G$801, 0)+1))&lt;=31,3,IF(INDEX(ERP資料!$G:$G, (MATCH(58, 輔助計算!$G$2:$G$801, 0)+1))&lt;=46.5,2,1)), IF(INDEX(ERP資料!$G:$G, (MATCH(58, 輔助計算!$G$2:$G$801, 0)+1))&lt;=790,3,IF(INDEX(ERP資料!$G:$G, (MATCH(58, 輔助計算!$G$2:$G$801, 0)+1))&lt;=1181,2,1)))=2,TEXT(INDEX(ERP資料!$G:$G, (MATCH(58, 輔助計算!$G$2:$G$801, 0)+1)),"0.##")&amp;"+"&amp;TEXT(INDEX(ERP資料!$G:$G, (MATCH(58, 輔助計算!$G$2:$G$801, 0)+1)),"0.##"),TEXT(INDEX(ERP資料!$G:$G, (MATCH(58, 輔助計算!$G$2:$G$801, 0)+1)),"0.##")&amp;"+"&amp;TEXT(INDEX(ERP資料!$G:$G, (MATCH(58, 輔助計算!$G$2:$G$801, 0)+1)),"0.##")&amp;"+"&amp;TEXT(INDEX(ERP資料!$G:$G, (MATCH(58, 輔助計算!$G$2:$G$801, 0)+1)),"0.##")))&amp;"-"&amp;INT(INDEX(輔助計算!$D:$D, (MATCH(58, 輔助計算!$G$2:$G$801, 0)+1))/IF(INDEX(ERP資料!$G:$G, (MATCH(58, 輔助計算!$G$2:$G$801, 0)+1))&lt;100, IF(INDEX(ERP資料!$G:$G, (MATCH(58, 輔助計算!$G$2:$G$801, 0)+1))&lt;=31,3,IF(INDEX(ERP資料!$G:$G, (MATCH(58, 輔助計算!$G$2:$G$801, 0)+1))&lt;=46.5,2,1)), IF(INDEX(ERP資料!$G:$G, (MATCH(58, 輔助計算!$G$2:$G$801, 0)+1))&lt;=790,3,IF(INDEX(ERP資料!$G:$G, (MATCH(58, 輔助計算!$G$2:$G$801, 0)+1))&lt;=1181,2,1)))), "")&amp;IF(AND(IF(INT(INDEX(輔助計算!$D:$D, (MATCH(58, 輔助計算!$G$2:$G$801, 0)+1))/IF(INDEX(ERP資料!$G:$G, (MATCH(58, 輔助計算!$G$2:$G$801, 0)+1))&lt;100, IF(INDEX(ERP資料!$G:$G, (MATCH(58, 輔助計算!$G$2:$G$801, 0)+1))&lt;=31,3,IF(INDEX(ERP資料!$G:$G, (MATCH(58, 輔助計算!$G$2:$G$801, 0)+1))&lt;=46.5,2,1)), IF(INDEX(ERP資料!$G:$G, (MATCH(58, 輔助計算!$G$2:$G$801, 0)+1))&lt;=790,3,IF(INDEX(ERP資料!$G:$G, (MATCH(58, 輔助計算!$G$2:$G$801, 0)+1))&lt;=1181,2,1))))&gt;0, IF(IF(INDEX(ERP資料!$G:$G, (MATCH(58, 輔助計算!$G$2:$G$801, 0)+1))&lt;100, IF(INDEX(ERP資料!$G:$G, (MATCH(58, 輔助計算!$G$2:$G$801, 0)+1))&lt;=31,3,IF(INDEX(ERP資料!$G:$G, (MATCH(58, 輔助計算!$G$2:$G$801, 0)+1))&lt;=46.5,2,1)), IF(INDEX(ERP資料!$G:$G, (MATCH(58, 輔助計算!$G$2:$G$801, 0)+1))&lt;=790,3,IF(INDEX(ERP資料!$G:$G, (MATCH(58, 輔助計算!$G$2:$G$801, 0)+1))&lt;=1181,2,1)))=1,TEXT(INDEX(ERP資料!$G:$G, (MATCH(58, 輔助計算!$G$2:$G$801, 0)+1)),"0.##"),IF(IF(INDEX(ERP資料!$G:$G, (MATCH(58, 輔助計算!$G$2:$G$801, 0)+1))&lt;100, IF(INDEX(ERP資料!$G:$G, (MATCH(58, 輔助計算!$G$2:$G$801, 0)+1))&lt;=31,3,IF(INDEX(ERP資料!$G:$G, (MATCH(58, 輔助計算!$G$2:$G$801, 0)+1))&lt;=46.5,2,1)), IF(INDEX(ERP資料!$G:$G, (MATCH(58, 輔助計算!$G$2:$G$801, 0)+1))&lt;=790,3,IF(INDEX(ERP資料!$G:$G, (MATCH(58, 輔助計算!$G$2:$G$801, 0)+1))&lt;=1181,2,1)))=2,TEXT(INDEX(ERP資料!$G:$G, (MATCH(58, 輔助計算!$G$2:$G$801, 0)+1)),"0.##")&amp;"+"&amp;TEXT(INDEX(ERP資料!$G:$G, (MATCH(58, 輔助計算!$G$2:$G$801, 0)+1)),"0.##"),TEXT(INDEX(ERP資料!$G:$G, (MATCH(58, 輔助計算!$G$2:$G$801, 0)+1)),"0.##")&amp;"+"&amp;TEXT(INDEX(ERP資料!$G:$G, (MATCH(58, 輔助計算!$G$2:$G$801, 0)+1)),"0.##")&amp;"+"&amp;TEXT(INDEX(ERP資料!$G:$G, (MATCH(58, 輔助計算!$G$2:$G$801, 0)+1)),"0.##")))&amp;"-"&amp;INT(INDEX(輔助計算!$D:$D, (MATCH(58, 輔助計算!$G$2:$G$801, 0)+1))/IF(INDEX(ERP資料!$G:$G, (MATCH(58, 輔助計算!$G$2:$G$801, 0)+1))&lt;100, IF(INDEX(ERP資料!$G:$G, (MATCH(58, 輔助計算!$G$2:$G$801, 0)+1))&lt;=31,3,IF(INDEX(ERP資料!$G:$G, (MATCH(58, 輔助計算!$G$2:$G$801, 0)+1))&lt;=46.5,2,1)), IF(INDEX(ERP資料!$G:$G, (MATCH(58, 輔助計算!$G$2:$G$801, 0)+1))&lt;=790,3,IF(INDEX(ERP資料!$G:$G, (MATCH(58, 輔助計算!$G$2:$G$801, 0)+1))&lt;=1181,2,1)))), "")&lt;&gt;"",IF(MOD(INDEX(輔助計算!$D:$D, (MATCH(58, 輔助計算!$G$2:$G$801, 0)+1)),IF(INDEX(ERP資料!$G:$G, (MATCH(58, 輔助計算!$G$2:$G$801, 0)+1))&lt;100, IF(INDEX(ERP資料!$G:$G, (MATCH(58, 輔助計算!$G$2:$G$801, 0)+1))&lt;=31,3,IF(INDEX(ERP資料!$G:$G, (MATCH(58, 輔助計算!$G$2:$G$801, 0)+1))&lt;=46.5,2,1)), IF(INDEX(ERP資料!$G:$G, (MATCH(58, 輔助計算!$G$2:$G$801, 0)+1))&lt;=790,3,IF(INDEX(ERP資料!$G:$G, (MATCH(58, 輔助計算!$G$2:$G$801, 0)+1))&lt;=1181,2,1))))=0,"",IF(MOD(INDEX(輔助計算!$D:$D, (MATCH(58, 輔助計算!$G$2:$G$801, 0)+1)),IF(INDEX(ERP資料!$G:$G, (MATCH(58, 輔助計算!$G$2:$G$801, 0)+1))&lt;100, IF(INDEX(ERP資料!$G:$G, (MATCH(58, 輔助計算!$G$2:$G$801, 0)+1))&lt;=31,3,IF(INDEX(ERP資料!$G:$G, (MATCH(58, 輔助計算!$G$2:$G$801, 0)+1))&lt;=46.5,2,1)), IF(INDEX(ERP資料!$G:$G, (MATCH(58, 輔助計算!$G$2:$G$801, 0)+1))&lt;=790,3,IF(INDEX(ERP資料!$G:$G, (MATCH(58, 輔助計算!$G$2:$G$801, 0)+1))&lt;=1181,2,1))))=0,"",IF(MOD(INDEX(輔助計算!$D:$D, (MATCH(58, 輔助計算!$G$2:$G$801, 0)+1)),IF(INDEX(ERP資料!$G:$G, (MATCH(58, 輔助計算!$G$2:$G$801, 0)+1))&lt;100, IF(INDEX(ERP資料!$G:$G, (MATCH(58, 輔助計算!$G$2:$G$801, 0)+1))&lt;=31,3,IF(INDEX(ERP資料!$G:$G, (MATCH(58, 輔助計算!$G$2:$G$801, 0)+1))&lt;=46.5,2,1)), IF(INDEX(ERP資料!$G:$G, (MATCH(58, 輔助計算!$G$2:$G$801, 0)+1))&lt;=790,3,IF(INDEX(ERP資料!$G:$G, (MATCH(58, 輔助計算!$G$2:$G$801, 0)+1))&lt;=1181,2,1))))=1,TEXT(INDEX(ERP資料!$G:$G, (MATCH(58, 輔助計算!$G$2:$G$801, 0)+1)),"0.##"),IF(MOD(INDEX(輔助計算!$D:$D, (MATCH(58, 輔助計算!$G$2:$G$801, 0)+1)),IF(INDEX(ERP資料!$G:$G, (MATCH(58, 輔助計算!$G$2:$G$801, 0)+1))&lt;100, IF(INDEX(ERP資料!$G:$G, (MATCH(58, 輔助計算!$G$2:$G$801, 0)+1))&lt;=31,3,IF(INDEX(ERP資料!$G:$G, (MATCH(58, 輔助計算!$G$2:$G$801, 0)+1))&lt;=46.5,2,1)), IF(INDEX(ERP資料!$G:$G, (MATCH(58, 輔助計算!$G$2:$G$801, 0)+1))&lt;=790,3,IF(INDEX(ERP資料!$G:$G, (MATCH(58, 輔助計算!$G$2:$G$801, 0)+1))&lt;=1181,2,1))))=2,TEXT(INDEX(ERP資料!$G:$G, (MATCH(58, 輔助計算!$G$2:$G$801, 0)+1)),"0.##")&amp;"+"&amp;TEXT(INDEX(ERP資料!$G:$G, (MATCH(58, 輔助計算!$G$2:$G$801, 0)+1)),"0.##"),TEXT(INDEX(ERP資料!$G:$G, (MATCH(58, 輔助計算!$G$2:$G$801, 0)+1)),"0.##")&amp;"+"&amp;TEXT(INDEX(ERP資料!$G:$G, (MATCH(58, 輔助計算!$G$2:$G$801, 0)+1)),"0.##")&amp;"+"&amp;TEXT(INDEX(ERP資料!$G:$G, (MATCH(58, 輔助計算!$G$2:$G$801, 0)+1)),"0.##"))))&amp;"-1")&lt;&gt;""),"  ","")&amp;IF(MOD(INDEX(輔助計算!$D:$D, (MATCH(58, 輔助計算!$G$2:$G$801, 0)+1)),IF(INDEX(ERP資料!$G:$G, (MATCH(58, 輔助計算!$G$2:$G$801, 0)+1))&lt;100, IF(INDEX(ERP資料!$G:$G, (MATCH(58, 輔助計算!$G$2:$G$801, 0)+1))&lt;=31,3,IF(INDEX(ERP資料!$G:$G, (MATCH(58, 輔助計算!$G$2:$G$801, 0)+1))&lt;=46.5,2,1)), IF(INDEX(ERP資料!$G:$G, (MATCH(58, 輔助計算!$G$2:$G$801, 0)+1))&lt;=790,3,IF(INDEX(ERP資料!$G:$G, (MATCH(58, 輔助計算!$G$2:$G$801, 0)+1))&lt;=1181,2,1))))=0,"",IF(MOD(INDEX(輔助計算!$D:$D, (MATCH(58, 輔助計算!$G$2:$G$801, 0)+1)),IF(INDEX(ERP資料!$G:$G, (MATCH(58, 輔助計算!$G$2:$G$801, 0)+1))&lt;100, IF(INDEX(ERP資料!$G:$G, (MATCH(58, 輔助計算!$G$2:$G$801, 0)+1))&lt;=31,3,IF(INDEX(ERP資料!$G:$G, (MATCH(58, 輔助計算!$G$2:$G$801, 0)+1))&lt;=46.5,2,1)), IF(INDEX(ERP資料!$G:$G, (MATCH(58, 輔助計算!$G$2:$G$801, 0)+1))&lt;=790,3,IF(INDEX(ERP資料!$G:$G, (MATCH(58, 輔助計算!$G$2:$G$801, 0)+1))&lt;=1181,2,1))))=0,"",IF(MOD(INDEX(輔助計算!$D:$D, (MATCH(58, 輔助計算!$G$2:$G$801, 0)+1)),IF(INDEX(ERP資料!$G:$G, (MATCH(58, 輔助計算!$G$2:$G$801, 0)+1))&lt;100, IF(INDEX(ERP資料!$G:$G, (MATCH(58, 輔助計算!$G$2:$G$801, 0)+1))&lt;=31,3,IF(INDEX(ERP資料!$G:$G, (MATCH(58, 輔助計算!$G$2:$G$801, 0)+1))&lt;=46.5,2,1)), IF(INDEX(ERP資料!$G:$G, (MATCH(58, 輔助計算!$G$2:$G$801, 0)+1))&lt;=790,3,IF(INDEX(ERP資料!$G:$G, (MATCH(58, 輔助計算!$G$2:$G$801, 0)+1))&lt;=1181,2,1))))=1,TEXT(INDEX(ERP資料!$G:$G, (MATCH(58, 輔助計算!$G$2:$G$801, 0)+1)),"0.##"),IF(MOD(INDEX(輔助計算!$D:$D, (MATCH(58, 輔助計算!$G$2:$G$801, 0)+1)),IF(INDEX(ERP資料!$G:$G, (MATCH(58, 輔助計算!$G$2:$G$801, 0)+1))&lt;100, IF(INDEX(ERP資料!$G:$G, (MATCH(58, 輔助計算!$G$2:$G$801, 0)+1))&lt;=31,3,IF(INDEX(ERP資料!$G:$G, (MATCH(58, 輔助計算!$G$2:$G$801, 0)+1))&lt;=46.5,2,1)), IF(INDEX(ERP資料!$G:$G, (MATCH(58, 輔助計算!$G$2:$G$801, 0)+1))&lt;=790,3,IF(INDEX(ERP資料!$G:$G, (MATCH(58, 輔助計算!$G$2:$G$801, 0)+1))&lt;=1181,2,1))))=2,TEXT(INDEX(ERP資料!$G:$G, (MATCH(58, 輔助計算!$G$2:$G$801, 0)+1)),"0.##")&amp;"+"&amp;TEXT(INDEX(ERP資料!$G:$G, (MATCH(58, 輔助計算!$G$2:$G$801, 0)+1)),"0.##"),TEXT(INDEX(ERP資料!$G:$G, (MATCH(58, 輔助計算!$G$2:$G$801, 0)+1)),"0.##")&amp;"+"&amp;TEXT(INDEX(ERP資料!$G:$G, (MATCH(58, 輔助計算!$G$2:$G$801, 0)+1)),"0.##")&amp;"+"&amp;TEXT(INDEX(ERP資料!$G:$G, (MATCH(58, 輔助計算!$G$2:$G$801, 0)+1)),"0.##"))))&amp;"-1")), ""), "")</f>
        <v/>
      </c>
      <c r="K59" s="16" t="n"/>
      <c r="L59" s="14">
        <f>IFERROR(IF(AND(IFERROR(INDEX(ERP資料!$A:$A, (MATCH(58, 輔助計算!$G$2:$G$801, 0)+1)), "")&lt;&gt;"", IFERROR(INDEX(ERP資料!$A:$A, (MATCH(58, 輔助計算!$G$2:$G$801, 0)+1)), "")&lt;&gt;IFERROR(INDEX(ERP資料!$A:$A, MATCH(57, 輔助計算!$G$2:$G$801, 0)+1), "")), INDEX(ERP資料!$B:$B, (MATCH(58, 輔助計算!$G$2:$G$801, 0)+1)), ""), "")</f>
        <v/>
      </c>
      <c r="M59" s="17" t="n"/>
    </row>
    <row r="60">
      <c r="A60" s="10">
        <f>IFERROR(IF(AND(IFERROR(INDEX(ERP資料!$A:$A, (MATCH(59, 輔助計算!$G$2:$G$801, 0)+1)), "")&lt;&gt;"", IFERROR(INDEX(ERP資料!$A:$A, (MATCH(59, 輔助計算!$G$2:$G$801, 0)+1)), "")&lt;&gt;IFERROR(INDEX(ERP資料!$A:$A, MATCH(58, 輔助計算!$G$2:$G$801, 0)+1), "")), IFERROR(INDEX(ERP資料!$A:$A, (MATCH(59, 輔助計算!$G$2:$G$801, 0)+1)), ""), ""), "")</f>
        <v/>
      </c>
      <c r="B60" s="10">
        <f>IFERROR(IF(AND(IFERROR(INDEX(ERP資料!$A:$A, (MATCH(59, 輔助計算!$G$2:$G$801, 0)+1)), "")&lt;&gt;"", IFERROR(INDEX(ERP資料!$A:$A, (MATCH(59, 輔助計算!$G$2:$G$801, 0)+1)), "")&lt;&gt;IFERROR(INDEX(ERP資料!$A:$A, MATCH(58, 輔助計算!$G$2:$G$801, 0)+1), "")), INDEX(ERP資料!$S:$S, (MATCH(59, 輔助計算!$G$2:$G$801, 0)+1)), ""), "")</f>
        <v/>
      </c>
      <c r="C60" s="19">
        <f>IFERROR(IF(AND(IFERROR(INDEX(ERP資料!$A:$A, (MATCH(59, 輔助計算!$G$2:$G$801, 0)+1)), "")&lt;&gt;"", IFERROR(INDEX(ERP資料!$A:$A, (MATCH(59, 輔助計算!$G$2:$G$801, 0)+1)), "")&lt;&gt;IFERROR(INDEX(ERP資料!$A:$A, MATCH(58, 輔助計算!$G$2:$G$801, 0)+1), "")), IFERROR(VLOOKUP(LEFT(INDEX(ERP資料!$S:$S, (MATCH(59, 輔助計算!$G$2:$G$801, 0)+1)), 4), 紙管對照表!$A:$C, 3, FALSE), ""), ""), "")</f>
        <v/>
      </c>
      <c r="D60" s="16" t="n"/>
      <c r="E60" s="10">
        <f>IFERROR(IF(INDEX(ERP資料!$H:$H, (MATCH(59, 輔助計算!$G$2:$G$801, 0)+1))="","",INDEX(ERP資料!$H:$H, (MATCH(59, 輔助計算!$G$2:$G$801, 0)+1))), "")</f>
        <v/>
      </c>
      <c r="F60" s="10">
        <f>IFERROR(IF(INDEX(ERP資料!$E:$E, (MATCH(59, 輔助計算!$G$2:$G$801, 0)+1))="","",TRIM(INDEX(ERP資料!$E:$E, (MATCH(59, 輔助計算!$G$2:$G$801, 0)+1)))), "")</f>
        <v/>
      </c>
      <c r="G60" s="10">
        <f>IFERROR(IF(INDEX(ERP資料!$F:$F, (MATCH(59, 輔助計算!$G$2:$G$801, 0)+1))="","",INDEX(ERP資料!$F:$F, (MATCH(59, 輔助計算!$G$2:$G$801, 0)+1))), "")</f>
        <v/>
      </c>
      <c r="H60" s="10">
        <f>IFERROR(IF(INDEX(ERP資料!$G:$G, (MATCH(59, 輔助計算!$G$2:$G$801, 0)+1))="","",INDEX(ERP資料!$G:$G, (MATCH(59, 輔助計算!$G$2:$G$801, 0)+1))), "")</f>
        <v/>
      </c>
      <c r="I60" s="15">
        <f>IFERROR(INDEX(輔助計算!$D:$D, (MATCH(59, 輔助計算!$G$2:$G$801, 0)+1)), "")</f>
        <v/>
      </c>
      <c r="J60" s="15">
        <f>IFERROR(IF(AND(INDEX(輔助計算!$D:$D, (MATCH(59, 輔助計算!$G$2:$G$801, 0)+1))&lt;&gt;"", INDEX(ERP資料!$G:$G, (MATCH(59, 輔助計算!$G$2:$G$801, 0)+1))&lt;&gt;""), TRIM(IF(INT(INDEX(輔助計算!$D:$D, (MATCH(59, 輔助計算!$G$2:$G$801, 0)+1))/IF(INDEX(ERP資料!$G:$G, (MATCH(59, 輔助計算!$G$2:$G$801, 0)+1))&lt;100, IF(INDEX(ERP資料!$G:$G, (MATCH(59, 輔助計算!$G$2:$G$801, 0)+1))&lt;=31,3,IF(INDEX(ERP資料!$G:$G, (MATCH(59, 輔助計算!$G$2:$G$801, 0)+1))&lt;=46.5,2,1)), IF(INDEX(ERP資料!$G:$G, (MATCH(59, 輔助計算!$G$2:$G$801, 0)+1))&lt;=790,3,IF(INDEX(ERP資料!$G:$G, (MATCH(59, 輔助計算!$G$2:$G$801, 0)+1))&lt;=1181,2,1))))&gt;0, IF(IF(INDEX(ERP資料!$G:$G, (MATCH(59, 輔助計算!$G$2:$G$801, 0)+1))&lt;100, IF(INDEX(ERP資料!$G:$G, (MATCH(59, 輔助計算!$G$2:$G$801, 0)+1))&lt;=31,3,IF(INDEX(ERP資料!$G:$G, (MATCH(59, 輔助計算!$G$2:$G$801, 0)+1))&lt;=46.5,2,1)), IF(INDEX(ERP資料!$G:$G, (MATCH(59, 輔助計算!$G$2:$G$801, 0)+1))&lt;=790,3,IF(INDEX(ERP資料!$G:$G, (MATCH(59, 輔助計算!$G$2:$G$801, 0)+1))&lt;=1181,2,1)))=1,TEXT(INDEX(ERP資料!$G:$G, (MATCH(59, 輔助計算!$G$2:$G$801, 0)+1)),"0.##"),IF(IF(INDEX(ERP資料!$G:$G, (MATCH(59, 輔助計算!$G$2:$G$801, 0)+1))&lt;100, IF(INDEX(ERP資料!$G:$G, (MATCH(59, 輔助計算!$G$2:$G$801, 0)+1))&lt;=31,3,IF(INDEX(ERP資料!$G:$G, (MATCH(59, 輔助計算!$G$2:$G$801, 0)+1))&lt;=46.5,2,1)), IF(INDEX(ERP資料!$G:$G, (MATCH(59, 輔助計算!$G$2:$G$801, 0)+1))&lt;=790,3,IF(INDEX(ERP資料!$G:$G, (MATCH(59, 輔助計算!$G$2:$G$801, 0)+1))&lt;=1181,2,1)))=2,TEXT(INDEX(ERP資料!$G:$G, (MATCH(59, 輔助計算!$G$2:$G$801, 0)+1)),"0.##")&amp;"+"&amp;TEXT(INDEX(ERP資料!$G:$G, (MATCH(59, 輔助計算!$G$2:$G$801, 0)+1)),"0.##"),TEXT(INDEX(ERP資料!$G:$G, (MATCH(59, 輔助計算!$G$2:$G$801, 0)+1)),"0.##")&amp;"+"&amp;TEXT(INDEX(ERP資料!$G:$G, (MATCH(59, 輔助計算!$G$2:$G$801, 0)+1)),"0.##")&amp;"+"&amp;TEXT(INDEX(ERP資料!$G:$G, (MATCH(59, 輔助計算!$G$2:$G$801, 0)+1)),"0.##")))&amp;"-"&amp;INT(INDEX(輔助計算!$D:$D, (MATCH(59, 輔助計算!$G$2:$G$801, 0)+1))/IF(INDEX(ERP資料!$G:$G, (MATCH(59, 輔助計算!$G$2:$G$801, 0)+1))&lt;100, IF(INDEX(ERP資料!$G:$G, (MATCH(59, 輔助計算!$G$2:$G$801, 0)+1))&lt;=31,3,IF(INDEX(ERP資料!$G:$G, (MATCH(59, 輔助計算!$G$2:$G$801, 0)+1))&lt;=46.5,2,1)), IF(INDEX(ERP資料!$G:$G, (MATCH(59, 輔助計算!$G$2:$G$801, 0)+1))&lt;=790,3,IF(INDEX(ERP資料!$G:$G, (MATCH(59, 輔助計算!$G$2:$G$801, 0)+1))&lt;=1181,2,1)))), "")&amp;IF(AND(IF(INT(INDEX(輔助計算!$D:$D, (MATCH(59, 輔助計算!$G$2:$G$801, 0)+1))/IF(INDEX(ERP資料!$G:$G, (MATCH(59, 輔助計算!$G$2:$G$801, 0)+1))&lt;100, IF(INDEX(ERP資料!$G:$G, (MATCH(59, 輔助計算!$G$2:$G$801, 0)+1))&lt;=31,3,IF(INDEX(ERP資料!$G:$G, (MATCH(59, 輔助計算!$G$2:$G$801, 0)+1))&lt;=46.5,2,1)), IF(INDEX(ERP資料!$G:$G, (MATCH(59, 輔助計算!$G$2:$G$801, 0)+1))&lt;=790,3,IF(INDEX(ERP資料!$G:$G, (MATCH(59, 輔助計算!$G$2:$G$801, 0)+1))&lt;=1181,2,1))))&gt;0, IF(IF(INDEX(ERP資料!$G:$G, (MATCH(59, 輔助計算!$G$2:$G$801, 0)+1))&lt;100, IF(INDEX(ERP資料!$G:$G, (MATCH(59, 輔助計算!$G$2:$G$801, 0)+1))&lt;=31,3,IF(INDEX(ERP資料!$G:$G, (MATCH(59, 輔助計算!$G$2:$G$801, 0)+1))&lt;=46.5,2,1)), IF(INDEX(ERP資料!$G:$G, (MATCH(59, 輔助計算!$G$2:$G$801, 0)+1))&lt;=790,3,IF(INDEX(ERP資料!$G:$G, (MATCH(59, 輔助計算!$G$2:$G$801, 0)+1))&lt;=1181,2,1)))=1,TEXT(INDEX(ERP資料!$G:$G, (MATCH(59, 輔助計算!$G$2:$G$801, 0)+1)),"0.##"),IF(IF(INDEX(ERP資料!$G:$G, (MATCH(59, 輔助計算!$G$2:$G$801, 0)+1))&lt;100, IF(INDEX(ERP資料!$G:$G, (MATCH(59, 輔助計算!$G$2:$G$801, 0)+1))&lt;=31,3,IF(INDEX(ERP資料!$G:$G, (MATCH(59, 輔助計算!$G$2:$G$801, 0)+1))&lt;=46.5,2,1)), IF(INDEX(ERP資料!$G:$G, (MATCH(59, 輔助計算!$G$2:$G$801, 0)+1))&lt;=790,3,IF(INDEX(ERP資料!$G:$G, (MATCH(59, 輔助計算!$G$2:$G$801, 0)+1))&lt;=1181,2,1)))=2,TEXT(INDEX(ERP資料!$G:$G, (MATCH(59, 輔助計算!$G$2:$G$801, 0)+1)),"0.##")&amp;"+"&amp;TEXT(INDEX(ERP資料!$G:$G, (MATCH(59, 輔助計算!$G$2:$G$801, 0)+1)),"0.##"),TEXT(INDEX(ERP資料!$G:$G, (MATCH(59, 輔助計算!$G$2:$G$801, 0)+1)),"0.##")&amp;"+"&amp;TEXT(INDEX(ERP資料!$G:$G, (MATCH(59, 輔助計算!$G$2:$G$801, 0)+1)),"0.##")&amp;"+"&amp;TEXT(INDEX(ERP資料!$G:$G, (MATCH(59, 輔助計算!$G$2:$G$801, 0)+1)),"0.##")))&amp;"-"&amp;INT(INDEX(輔助計算!$D:$D, (MATCH(59, 輔助計算!$G$2:$G$801, 0)+1))/IF(INDEX(ERP資料!$G:$G, (MATCH(59, 輔助計算!$G$2:$G$801, 0)+1))&lt;100, IF(INDEX(ERP資料!$G:$G, (MATCH(59, 輔助計算!$G$2:$G$801, 0)+1))&lt;=31,3,IF(INDEX(ERP資料!$G:$G, (MATCH(59, 輔助計算!$G$2:$G$801, 0)+1))&lt;=46.5,2,1)), IF(INDEX(ERP資料!$G:$G, (MATCH(59, 輔助計算!$G$2:$G$801, 0)+1))&lt;=790,3,IF(INDEX(ERP資料!$G:$G, (MATCH(59, 輔助計算!$G$2:$G$801, 0)+1))&lt;=1181,2,1)))), "")&lt;&gt;"",IF(MOD(INDEX(輔助計算!$D:$D, (MATCH(59, 輔助計算!$G$2:$G$801, 0)+1)),IF(INDEX(ERP資料!$G:$G, (MATCH(59, 輔助計算!$G$2:$G$801, 0)+1))&lt;100, IF(INDEX(ERP資料!$G:$G, (MATCH(59, 輔助計算!$G$2:$G$801, 0)+1))&lt;=31,3,IF(INDEX(ERP資料!$G:$G, (MATCH(59, 輔助計算!$G$2:$G$801, 0)+1))&lt;=46.5,2,1)), IF(INDEX(ERP資料!$G:$G, (MATCH(59, 輔助計算!$G$2:$G$801, 0)+1))&lt;=790,3,IF(INDEX(ERP資料!$G:$G, (MATCH(59, 輔助計算!$G$2:$G$801, 0)+1))&lt;=1181,2,1))))=0,"",IF(MOD(INDEX(輔助計算!$D:$D, (MATCH(59, 輔助計算!$G$2:$G$801, 0)+1)),IF(INDEX(ERP資料!$G:$G, (MATCH(59, 輔助計算!$G$2:$G$801, 0)+1))&lt;100, IF(INDEX(ERP資料!$G:$G, (MATCH(59, 輔助計算!$G$2:$G$801, 0)+1))&lt;=31,3,IF(INDEX(ERP資料!$G:$G, (MATCH(59, 輔助計算!$G$2:$G$801, 0)+1))&lt;=46.5,2,1)), IF(INDEX(ERP資料!$G:$G, (MATCH(59, 輔助計算!$G$2:$G$801, 0)+1))&lt;=790,3,IF(INDEX(ERP資料!$G:$G, (MATCH(59, 輔助計算!$G$2:$G$801, 0)+1))&lt;=1181,2,1))))=0,"",IF(MOD(INDEX(輔助計算!$D:$D, (MATCH(59, 輔助計算!$G$2:$G$801, 0)+1)),IF(INDEX(ERP資料!$G:$G, (MATCH(59, 輔助計算!$G$2:$G$801, 0)+1))&lt;100, IF(INDEX(ERP資料!$G:$G, (MATCH(59, 輔助計算!$G$2:$G$801, 0)+1))&lt;=31,3,IF(INDEX(ERP資料!$G:$G, (MATCH(59, 輔助計算!$G$2:$G$801, 0)+1))&lt;=46.5,2,1)), IF(INDEX(ERP資料!$G:$G, (MATCH(59, 輔助計算!$G$2:$G$801, 0)+1))&lt;=790,3,IF(INDEX(ERP資料!$G:$G, (MATCH(59, 輔助計算!$G$2:$G$801, 0)+1))&lt;=1181,2,1))))=1,TEXT(INDEX(ERP資料!$G:$G, (MATCH(59, 輔助計算!$G$2:$G$801, 0)+1)),"0.##"),IF(MOD(INDEX(輔助計算!$D:$D, (MATCH(59, 輔助計算!$G$2:$G$801, 0)+1)),IF(INDEX(ERP資料!$G:$G, (MATCH(59, 輔助計算!$G$2:$G$801, 0)+1))&lt;100, IF(INDEX(ERP資料!$G:$G, (MATCH(59, 輔助計算!$G$2:$G$801, 0)+1))&lt;=31,3,IF(INDEX(ERP資料!$G:$G, (MATCH(59, 輔助計算!$G$2:$G$801, 0)+1))&lt;=46.5,2,1)), IF(INDEX(ERP資料!$G:$G, (MATCH(59, 輔助計算!$G$2:$G$801, 0)+1))&lt;=790,3,IF(INDEX(ERP資料!$G:$G, (MATCH(59, 輔助計算!$G$2:$G$801, 0)+1))&lt;=1181,2,1))))=2,TEXT(INDEX(ERP資料!$G:$G, (MATCH(59, 輔助計算!$G$2:$G$801, 0)+1)),"0.##")&amp;"+"&amp;TEXT(INDEX(ERP資料!$G:$G, (MATCH(59, 輔助計算!$G$2:$G$801, 0)+1)),"0.##"),TEXT(INDEX(ERP資料!$G:$G, (MATCH(59, 輔助計算!$G$2:$G$801, 0)+1)),"0.##")&amp;"+"&amp;TEXT(INDEX(ERP資料!$G:$G, (MATCH(59, 輔助計算!$G$2:$G$801, 0)+1)),"0.##")&amp;"+"&amp;TEXT(INDEX(ERP資料!$G:$G, (MATCH(59, 輔助計算!$G$2:$G$801, 0)+1)),"0.##"))))&amp;"-1")&lt;&gt;""),"  ","")&amp;IF(MOD(INDEX(輔助計算!$D:$D, (MATCH(59, 輔助計算!$G$2:$G$801, 0)+1)),IF(INDEX(ERP資料!$G:$G, (MATCH(59, 輔助計算!$G$2:$G$801, 0)+1))&lt;100, IF(INDEX(ERP資料!$G:$G, (MATCH(59, 輔助計算!$G$2:$G$801, 0)+1))&lt;=31,3,IF(INDEX(ERP資料!$G:$G, (MATCH(59, 輔助計算!$G$2:$G$801, 0)+1))&lt;=46.5,2,1)), IF(INDEX(ERP資料!$G:$G, (MATCH(59, 輔助計算!$G$2:$G$801, 0)+1))&lt;=790,3,IF(INDEX(ERP資料!$G:$G, (MATCH(59, 輔助計算!$G$2:$G$801, 0)+1))&lt;=1181,2,1))))=0,"",IF(MOD(INDEX(輔助計算!$D:$D, (MATCH(59, 輔助計算!$G$2:$G$801, 0)+1)),IF(INDEX(ERP資料!$G:$G, (MATCH(59, 輔助計算!$G$2:$G$801, 0)+1))&lt;100, IF(INDEX(ERP資料!$G:$G, (MATCH(59, 輔助計算!$G$2:$G$801, 0)+1))&lt;=31,3,IF(INDEX(ERP資料!$G:$G, (MATCH(59, 輔助計算!$G$2:$G$801, 0)+1))&lt;=46.5,2,1)), IF(INDEX(ERP資料!$G:$G, (MATCH(59, 輔助計算!$G$2:$G$801, 0)+1))&lt;=790,3,IF(INDEX(ERP資料!$G:$G, (MATCH(59, 輔助計算!$G$2:$G$801, 0)+1))&lt;=1181,2,1))))=0,"",IF(MOD(INDEX(輔助計算!$D:$D, (MATCH(59, 輔助計算!$G$2:$G$801, 0)+1)),IF(INDEX(ERP資料!$G:$G, (MATCH(59, 輔助計算!$G$2:$G$801, 0)+1))&lt;100, IF(INDEX(ERP資料!$G:$G, (MATCH(59, 輔助計算!$G$2:$G$801, 0)+1))&lt;=31,3,IF(INDEX(ERP資料!$G:$G, (MATCH(59, 輔助計算!$G$2:$G$801, 0)+1))&lt;=46.5,2,1)), IF(INDEX(ERP資料!$G:$G, (MATCH(59, 輔助計算!$G$2:$G$801, 0)+1))&lt;=790,3,IF(INDEX(ERP資料!$G:$G, (MATCH(59, 輔助計算!$G$2:$G$801, 0)+1))&lt;=1181,2,1))))=1,TEXT(INDEX(ERP資料!$G:$G, (MATCH(59, 輔助計算!$G$2:$G$801, 0)+1)),"0.##"),IF(MOD(INDEX(輔助計算!$D:$D, (MATCH(59, 輔助計算!$G$2:$G$801, 0)+1)),IF(INDEX(ERP資料!$G:$G, (MATCH(59, 輔助計算!$G$2:$G$801, 0)+1))&lt;100, IF(INDEX(ERP資料!$G:$G, (MATCH(59, 輔助計算!$G$2:$G$801, 0)+1))&lt;=31,3,IF(INDEX(ERP資料!$G:$G, (MATCH(59, 輔助計算!$G$2:$G$801, 0)+1))&lt;=46.5,2,1)), IF(INDEX(ERP資料!$G:$G, (MATCH(59, 輔助計算!$G$2:$G$801, 0)+1))&lt;=790,3,IF(INDEX(ERP資料!$G:$G, (MATCH(59, 輔助計算!$G$2:$G$801, 0)+1))&lt;=1181,2,1))))=2,TEXT(INDEX(ERP資料!$G:$G, (MATCH(59, 輔助計算!$G$2:$G$801, 0)+1)),"0.##")&amp;"+"&amp;TEXT(INDEX(ERP資料!$G:$G, (MATCH(59, 輔助計算!$G$2:$G$801, 0)+1)),"0.##"),TEXT(INDEX(ERP資料!$G:$G, (MATCH(59, 輔助計算!$G$2:$G$801, 0)+1)),"0.##")&amp;"+"&amp;TEXT(INDEX(ERP資料!$G:$G, (MATCH(59, 輔助計算!$G$2:$G$801, 0)+1)),"0.##")&amp;"+"&amp;TEXT(INDEX(ERP資料!$G:$G, (MATCH(59, 輔助計算!$G$2:$G$801, 0)+1)),"0.##"))))&amp;"-1")), ""), "")</f>
        <v/>
      </c>
      <c r="K60" s="16" t="n"/>
      <c r="L60" s="14">
        <f>IFERROR(IF(AND(IFERROR(INDEX(ERP資料!$A:$A, (MATCH(59, 輔助計算!$G$2:$G$801, 0)+1)), "")&lt;&gt;"", IFERROR(INDEX(ERP資料!$A:$A, (MATCH(59, 輔助計算!$G$2:$G$801, 0)+1)), "")&lt;&gt;IFERROR(INDEX(ERP資料!$A:$A, MATCH(58, 輔助計算!$G$2:$G$801, 0)+1), "")), INDEX(ERP資料!$B:$B, (MATCH(59, 輔助計算!$G$2:$G$801, 0)+1)), ""), "")</f>
        <v/>
      </c>
      <c r="M60" s="17" t="n"/>
    </row>
    <row r="61">
      <c r="A61" s="10">
        <f>IFERROR(IF(AND(IFERROR(INDEX(ERP資料!$A:$A, (MATCH(60, 輔助計算!$G$2:$G$801, 0)+1)), "")&lt;&gt;"", IFERROR(INDEX(ERP資料!$A:$A, (MATCH(60, 輔助計算!$G$2:$G$801, 0)+1)), "")&lt;&gt;IFERROR(INDEX(ERP資料!$A:$A, MATCH(59, 輔助計算!$G$2:$G$801, 0)+1), "")), IFERROR(INDEX(ERP資料!$A:$A, (MATCH(60, 輔助計算!$G$2:$G$801, 0)+1)), ""), ""), "")</f>
        <v/>
      </c>
      <c r="B61" s="10">
        <f>IFERROR(IF(AND(IFERROR(INDEX(ERP資料!$A:$A, (MATCH(60, 輔助計算!$G$2:$G$801, 0)+1)), "")&lt;&gt;"", IFERROR(INDEX(ERP資料!$A:$A, (MATCH(60, 輔助計算!$G$2:$G$801, 0)+1)), "")&lt;&gt;IFERROR(INDEX(ERP資料!$A:$A, MATCH(59, 輔助計算!$G$2:$G$801, 0)+1), "")), INDEX(ERP資料!$S:$S, (MATCH(60, 輔助計算!$G$2:$G$801, 0)+1)), ""), "")</f>
        <v/>
      </c>
      <c r="C61" s="19">
        <f>IFERROR(IF(AND(IFERROR(INDEX(ERP資料!$A:$A, (MATCH(60, 輔助計算!$G$2:$G$801, 0)+1)), "")&lt;&gt;"", IFERROR(INDEX(ERP資料!$A:$A, (MATCH(60, 輔助計算!$G$2:$G$801, 0)+1)), "")&lt;&gt;IFERROR(INDEX(ERP資料!$A:$A, MATCH(59, 輔助計算!$G$2:$G$801, 0)+1), "")), IFERROR(VLOOKUP(LEFT(INDEX(ERP資料!$S:$S, (MATCH(60, 輔助計算!$G$2:$G$801, 0)+1)), 4), 紙管對照表!$A:$C, 3, FALSE), ""), ""), "")</f>
        <v/>
      </c>
      <c r="D61" s="16" t="n"/>
      <c r="E61" s="10">
        <f>IFERROR(IF(INDEX(ERP資料!$H:$H, (MATCH(60, 輔助計算!$G$2:$G$801, 0)+1))="","",INDEX(ERP資料!$H:$H, (MATCH(60, 輔助計算!$G$2:$G$801, 0)+1))), "")</f>
        <v/>
      </c>
      <c r="F61" s="10">
        <f>IFERROR(IF(INDEX(ERP資料!$E:$E, (MATCH(60, 輔助計算!$G$2:$G$801, 0)+1))="","",TRIM(INDEX(ERP資料!$E:$E, (MATCH(60, 輔助計算!$G$2:$G$801, 0)+1)))), "")</f>
        <v/>
      </c>
      <c r="G61" s="10">
        <f>IFERROR(IF(INDEX(ERP資料!$F:$F, (MATCH(60, 輔助計算!$G$2:$G$801, 0)+1))="","",INDEX(ERP資料!$F:$F, (MATCH(60, 輔助計算!$G$2:$G$801, 0)+1))), "")</f>
        <v/>
      </c>
      <c r="H61" s="10">
        <f>IFERROR(IF(INDEX(ERP資料!$G:$G, (MATCH(60, 輔助計算!$G$2:$G$801, 0)+1))="","",INDEX(ERP資料!$G:$G, (MATCH(60, 輔助計算!$G$2:$G$801, 0)+1))), "")</f>
        <v/>
      </c>
      <c r="I61" s="15">
        <f>IFERROR(INDEX(輔助計算!$D:$D, (MATCH(60, 輔助計算!$G$2:$G$801, 0)+1)), "")</f>
        <v/>
      </c>
      <c r="J61" s="15">
        <f>IFERROR(IF(AND(INDEX(輔助計算!$D:$D, (MATCH(60, 輔助計算!$G$2:$G$801, 0)+1))&lt;&gt;"", INDEX(ERP資料!$G:$G, (MATCH(60, 輔助計算!$G$2:$G$801, 0)+1))&lt;&gt;""), TRIM(IF(INT(INDEX(輔助計算!$D:$D, (MATCH(60, 輔助計算!$G$2:$G$801, 0)+1))/IF(INDEX(ERP資料!$G:$G, (MATCH(60, 輔助計算!$G$2:$G$801, 0)+1))&lt;100, IF(INDEX(ERP資料!$G:$G, (MATCH(60, 輔助計算!$G$2:$G$801, 0)+1))&lt;=31,3,IF(INDEX(ERP資料!$G:$G, (MATCH(60, 輔助計算!$G$2:$G$801, 0)+1))&lt;=46.5,2,1)), IF(INDEX(ERP資料!$G:$G, (MATCH(60, 輔助計算!$G$2:$G$801, 0)+1))&lt;=790,3,IF(INDEX(ERP資料!$G:$G, (MATCH(60, 輔助計算!$G$2:$G$801, 0)+1))&lt;=1181,2,1))))&gt;0, IF(IF(INDEX(ERP資料!$G:$G, (MATCH(60, 輔助計算!$G$2:$G$801, 0)+1))&lt;100, IF(INDEX(ERP資料!$G:$G, (MATCH(60, 輔助計算!$G$2:$G$801, 0)+1))&lt;=31,3,IF(INDEX(ERP資料!$G:$G, (MATCH(60, 輔助計算!$G$2:$G$801, 0)+1))&lt;=46.5,2,1)), IF(INDEX(ERP資料!$G:$G, (MATCH(60, 輔助計算!$G$2:$G$801, 0)+1))&lt;=790,3,IF(INDEX(ERP資料!$G:$G, (MATCH(60, 輔助計算!$G$2:$G$801, 0)+1))&lt;=1181,2,1)))=1,TEXT(INDEX(ERP資料!$G:$G, (MATCH(60, 輔助計算!$G$2:$G$801, 0)+1)),"0.##"),IF(IF(INDEX(ERP資料!$G:$G, (MATCH(60, 輔助計算!$G$2:$G$801, 0)+1))&lt;100, IF(INDEX(ERP資料!$G:$G, (MATCH(60, 輔助計算!$G$2:$G$801, 0)+1))&lt;=31,3,IF(INDEX(ERP資料!$G:$G, (MATCH(60, 輔助計算!$G$2:$G$801, 0)+1))&lt;=46.5,2,1)), IF(INDEX(ERP資料!$G:$G, (MATCH(60, 輔助計算!$G$2:$G$801, 0)+1))&lt;=790,3,IF(INDEX(ERP資料!$G:$G, (MATCH(60, 輔助計算!$G$2:$G$801, 0)+1))&lt;=1181,2,1)))=2,TEXT(INDEX(ERP資料!$G:$G, (MATCH(60, 輔助計算!$G$2:$G$801, 0)+1)),"0.##")&amp;"+"&amp;TEXT(INDEX(ERP資料!$G:$G, (MATCH(60, 輔助計算!$G$2:$G$801, 0)+1)),"0.##"),TEXT(INDEX(ERP資料!$G:$G, (MATCH(60, 輔助計算!$G$2:$G$801, 0)+1)),"0.##")&amp;"+"&amp;TEXT(INDEX(ERP資料!$G:$G, (MATCH(60, 輔助計算!$G$2:$G$801, 0)+1)),"0.##")&amp;"+"&amp;TEXT(INDEX(ERP資料!$G:$G, (MATCH(60, 輔助計算!$G$2:$G$801, 0)+1)),"0.##")))&amp;"-"&amp;INT(INDEX(輔助計算!$D:$D, (MATCH(60, 輔助計算!$G$2:$G$801, 0)+1))/IF(INDEX(ERP資料!$G:$G, (MATCH(60, 輔助計算!$G$2:$G$801, 0)+1))&lt;100, IF(INDEX(ERP資料!$G:$G, (MATCH(60, 輔助計算!$G$2:$G$801, 0)+1))&lt;=31,3,IF(INDEX(ERP資料!$G:$G, (MATCH(60, 輔助計算!$G$2:$G$801, 0)+1))&lt;=46.5,2,1)), IF(INDEX(ERP資料!$G:$G, (MATCH(60, 輔助計算!$G$2:$G$801, 0)+1))&lt;=790,3,IF(INDEX(ERP資料!$G:$G, (MATCH(60, 輔助計算!$G$2:$G$801, 0)+1))&lt;=1181,2,1)))), "")&amp;IF(AND(IF(INT(INDEX(輔助計算!$D:$D, (MATCH(60, 輔助計算!$G$2:$G$801, 0)+1))/IF(INDEX(ERP資料!$G:$G, (MATCH(60, 輔助計算!$G$2:$G$801, 0)+1))&lt;100, IF(INDEX(ERP資料!$G:$G, (MATCH(60, 輔助計算!$G$2:$G$801, 0)+1))&lt;=31,3,IF(INDEX(ERP資料!$G:$G, (MATCH(60, 輔助計算!$G$2:$G$801, 0)+1))&lt;=46.5,2,1)), IF(INDEX(ERP資料!$G:$G, (MATCH(60, 輔助計算!$G$2:$G$801, 0)+1))&lt;=790,3,IF(INDEX(ERP資料!$G:$G, (MATCH(60, 輔助計算!$G$2:$G$801, 0)+1))&lt;=1181,2,1))))&gt;0, IF(IF(INDEX(ERP資料!$G:$G, (MATCH(60, 輔助計算!$G$2:$G$801, 0)+1))&lt;100, IF(INDEX(ERP資料!$G:$G, (MATCH(60, 輔助計算!$G$2:$G$801, 0)+1))&lt;=31,3,IF(INDEX(ERP資料!$G:$G, (MATCH(60, 輔助計算!$G$2:$G$801, 0)+1))&lt;=46.5,2,1)), IF(INDEX(ERP資料!$G:$G, (MATCH(60, 輔助計算!$G$2:$G$801, 0)+1))&lt;=790,3,IF(INDEX(ERP資料!$G:$G, (MATCH(60, 輔助計算!$G$2:$G$801, 0)+1))&lt;=1181,2,1)))=1,TEXT(INDEX(ERP資料!$G:$G, (MATCH(60, 輔助計算!$G$2:$G$801, 0)+1)),"0.##"),IF(IF(INDEX(ERP資料!$G:$G, (MATCH(60, 輔助計算!$G$2:$G$801, 0)+1))&lt;100, IF(INDEX(ERP資料!$G:$G, (MATCH(60, 輔助計算!$G$2:$G$801, 0)+1))&lt;=31,3,IF(INDEX(ERP資料!$G:$G, (MATCH(60, 輔助計算!$G$2:$G$801, 0)+1))&lt;=46.5,2,1)), IF(INDEX(ERP資料!$G:$G, (MATCH(60, 輔助計算!$G$2:$G$801, 0)+1))&lt;=790,3,IF(INDEX(ERP資料!$G:$G, (MATCH(60, 輔助計算!$G$2:$G$801, 0)+1))&lt;=1181,2,1)))=2,TEXT(INDEX(ERP資料!$G:$G, (MATCH(60, 輔助計算!$G$2:$G$801, 0)+1)),"0.##")&amp;"+"&amp;TEXT(INDEX(ERP資料!$G:$G, (MATCH(60, 輔助計算!$G$2:$G$801, 0)+1)),"0.##"),TEXT(INDEX(ERP資料!$G:$G, (MATCH(60, 輔助計算!$G$2:$G$801, 0)+1)),"0.##")&amp;"+"&amp;TEXT(INDEX(ERP資料!$G:$G, (MATCH(60, 輔助計算!$G$2:$G$801, 0)+1)),"0.##")&amp;"+"&amp;TEXT(INDEX(ERP資料!$G:$G, (MATCH(60, 輔助計算!$G$2:$G$801, 0)+1)),"0.##")))&amp;"-"&amp;INT(INDEX(輔助計算!$D:$D, (MATCH(60, 輔助計算!$G$2:$G$801, 0)+1))/IF(INDEX(ERP資料!$G:$G, (MATCH(60, 輔助計算!$G$2:$G$801, 0)+1))&lt;100, IF(INDEX(ERP資料!$G:$G, (MATCH(60, 輔助計算!$G$2:$G$801, 0)+1))&lt;=31,3,IF(INDEX(ERP資料!$G:$G, (MATCH(60, 輔助計算!$G$2:$G$801, 0)+1))&lt;=46.5,2,1)), IF(INDEX(ERP資料!$G:$G, (MATCH(60, 輔助計算!$G$2:$G$801, 0)+1))&lt;=790,3,IF(INDEX(ERP資料!$G:$G, (MATCH(60, 輔助計算!$G$2:$G$801, 0)+1))&lt;=1181,2,1)))), "")&lt;&gt;"",IF(MOD(INDEX(輔助計算!$D:$D, (MATCH(60, 輔助計算!$G$2:$G$801, 0)+1)),IF(INDEX(ERP資料!$G:$G, (MATCH(60, 輔助計算!$G$2:$G$801, 0)+1))&lt;100, IF(INDEX(ERP資料!$G:$G, (MATCH(60, 輔助計算!$G$2:$G$801, 0)+1))&lt;=31,3,IF(INDEX(ERP資料!$G:$G, (MATCH(60, 輔助計算!$G$2:$G$801, 0)+1))&lt;=46.5,2,1)), IF(INDEX(ERP資料!$G:$G, (MATCH(60, 輔助計算!$G$2:$G$801, 0)+1))&lt;=790,3,IF(INDEX(ERP資料!$G:$G, (MATCH(60, 輔助計算!$G$2:$G$801, 0)+1))&lt;=1181,2,1))))=0,"",IF(MOD(INDEX(輔助計算!$D:$D, (MATCH(60, 輔助計算!$G$2:$G$801, 0)+1)),IF(INDEX(ERP資料!$G:$G, (MATCH(60, 輔助計算!$G$2:$G$801, 0)+1))&lt;100, IF(INDEX(ERP資料!$G:$G, (MATCH(60, 輔助計算!$G$2:$G$801, 0)+1))&lt;=31,3,IF(INDEX(ERP資料!$G:$G, (MATCH(60, 輔助計算!$G$2:$G$801, 0)+1))&lt;=46.5,2,1)), IF(INDEX(ERP資料!$G:$G, (MATCH(60, 輔助計算!$G$2:$G$801, 0)+1))&lt;=790,3,IF(INDEX(ERP資料!$G:$G, (MATCH(60, 輔助計算!$G$2:$G$801, 0)+1))&lt;=1181,2,1))))=0,"",IF(MOD(INDEX(輔助計算!$D:$D, (MATCH(60, 輔助計算!$G$2:$G$801, 0)+1)),IF(INDEX(ERP資料!$G:$G, (MATCH(60, 輔助計算!$G$2:$G$801, 0)+1))&lt;100, IF(INDEX(ERP資料!$G:$G, (MATCH(60, 輔助計算!$G$2:$G$801, 0)+1))&lt;=31,3,IF(INDEX(ERP資料!$G:$G, (MATCH(60, 輔助計算!$G$2:$G$801, 0)+1))&lt;=46.5,2,1)), IF(INDEX(ERP資料!$G:$G, (MATCH(60, 輔助計算!$G$2:$G$801, 0)+1))&lt;=790,3,IF(INDEX(ERP資料!$G:$G, (MATCH(60, 輔助計算!$G$2:$G$801, 0)+1))&lt;=1181,2,1))))=1,TEXT(INDEX(ERP資料!$G:$G, (MATCH(60, 輔助計算!$G$2:$G$801, 0)+1)),"0.##"),IF(MOD(INDEX(輔助計算!$D:$D, (MATCH(60, 輔助計算!$G$2:$G$801, 0)+1)),IF(INDEX(ERP資料!$G:$G, (MATCH(60, 輔助計算!$G$2:$G$801, 0)+1))&lt;100, IF(INDEX(ERP資料!$G:$G, (MATCH(60, 輔助計算!$G$2:$G$801, 0)+1))&lt;=31,3,IF(INDEX(ERP資料!$G:$G, (MATCH(60, 輔助計算!$G$2:$G$801, 0)+1))&lt;=46.5,2,1)), IF(INDEX(ERP資料!$G:$G, (MATCH(60, 輔助計算!$G$2:$G$801, 0)+1))&lt;=790,3,IF(INDEX(ERP資料!$G:$G, (MATCH(60, 輔助計算!$G$2:$G$801, 0)+1))&lt;=1181,2,1))))=2,TEXT(INDEX(ERP資料!$G:$G, (MATCH(60, 輔助計算!$G$2:$G$801, 0)+1)),"0.##")&amp;"+"&amp;TEXT(INDEX(ERP資料!$G:$G, (MATCH(60, 輔助計算!$G$2:$G$801, 0)+1)),"0.##"),TEXT(INDEX(ERP資料!$G:$G, (MATCH(60, 輔助計算!$G$2:$G$801, 0)+1)),"0.##")&amp;"+"&amp;TEXT(INDEX(ERP資料!$G:$G, (MATCH(60, 輔助計算!$G$2:$G$801, 0)+1)),"0.##")&amp;"+"&amp;TEXT(INDEX(ERP資料!$G:$G, (MATCH(60, 輔助計算!$G$2:$G$801, 0)+1)),"0.##"))))&amp;"-1")&lt;&gt;""),"  ","")&amp;IF(MOD(INDEX(輔助計算!$D:$D, (MATCH(60, 輔助計算!$G$2:$G$801, 0)+1)),IF(INDEX(ERP資料!$G:$G, (MATCH(60, 輔助計算!$G$2:$G$801, 0)+1))&lt;100, IF(INDEX(ERP資料!$G:$G, (MATCH(60, 輔助計算!$G$2:$G$801, 0)+1))&lt;=31,3,IF(INDEX(ERP資料!$G:$G, (MATCH(60, 輔助計算!$G$2:$G$801, 0)+1))&lt;=46.5,2,1)), IF(INDEX(ERP資料!$G:$G, (MATCH(60, 輔助計算!$G$2:$G$801, 0)+1))&lt;=790,3,IF(INDEX(ERP資料!$G:$G, (MATCH(60, 輔助計算!$G$2:$G$801, 0)+1))&lt;=1181,2,1))))=0,"",IF(MOD(INDEX(輔助計算!$D:$D, (MATCH(60, 輔助計算!$G$2:$G$801, 0)+1)),IF(INDEX(ERP資料!$G:$G, (MATCH(60, 輔助計算!$G$2:$G$801, 0)+1))&lt;100, IF(INDEX(ERP資料!$G:$G, (MATCH(60, 輔助計算!$G$2:$G$801, 0)+1))&lt;=31,3,IF(INDEX(ERP資料!$G:$G, (MATCH(60, 輔助計算!$G$2:$G$801, 0)+1))&lt;=46.5,2,1)), IF(INDEX(ERP資料!$G:$G, (MATCH(60, 輔助計算!$G$2:$G$801, 0)+1))&lt;=790,3,IF(INDEX(ERP資料!$G:$G, (MATCH(60, 輔助計算!$G$2:$G$801, 0)+1))&lt;=1181,2,1))))=0,"",IF(MOD(INDEX(輔助計算!$D:$D, (MATCH(60, 輔助計算!$G$2:$G$801, 0)+1)),IF(INDEX(ERP資料!$G:$G, (MATCH(60, 輔助計算!$G$2:$G$801, 0)+1))&lt;100, IF(INDEX(ERP資料!$G:$G, (MATCH(60, 輔助計算!$G$2:$G$801, 0)+1))&lt;=31,3,IF(INDEX(ERP資料!$G:$G, (MATCH(60, 輔助計算!$G$2:$G$801, 0)+1))&lt;=46.5,2,1)), IF(INDEX(ERP資料!$G:$G, (MATCH(60, 輔助計算!$G$2:$G$801, 0)+1))&lt;=790,3,IF(INDEX(ERP資料!$G:$G, (MATCH(60, 輔助計算!$G$2:$G$801, 0)+1))&lt;=1181,2,1))))=1,TEXT(INDEX(ERP資料!$G:$G, (MATCH(60, 輔助計算!$G$2:$G$801, 0)+1)),"0.##"),IF(MOD(INDEX(輔助計算!$D:$D, (MATCH(60, 輔助計算!$G$2:$G$801, 0)+1)),IF(INDEX(ERP資料!$G:$G, (MATCH(60, 輔助計算!$G$2:$G$801, 0)+1))&lt;100, IF(INDEX(ERP資料!$G:$G, (MATCH(60, 輔助計算!$G$2:$G$801, 0)+1))&lt;=31,3,IF(INDEX(ERP資料!$G:$G, (MATCH(60, 輔助計算!$G$2:$G$801, 0)+1))&lt;=46.5,2,1)), IF(INDEX(ERP資料!$G:$G, (MATCH(60, 輔助計算!$G$2:$G$801, 0)+1))&lt;=790,3,IF(INDEX(ERP資料!$G:$G, (MATCH(60, 輔助計算!$G$2:$G$801, 0)+1))&lt;=1181,2,1))))=2,TEXT(INDEX(ERP資料!$G:$G, (MATCH(60, 輔助計算!$G$2:$G$801, 0)+1)),"0.##")&amp;"+"&amp;TEXT(INDEX(ERP資料!$G:$G, (MATCH(60, 輔助計算!$G$2:$G$801, 0)+1)),"0.##"),TEXT(INDEX(ERP資料!$G:$G, (MATCH(60, 輔助計算!$G$2:$G$801, 0)+1)),"0.##")&amp;"+"&amp;TEXT(INDEX(ERP資料!$G:$G, (MATCH(60, 輔助計算!$G$2:$G$801, 0)+1)),"0.##")&amp;"+"&amp;TEXT(INDEX(ERP資料!$G:$G, (MATCH(60, 輔助計算!$G$2:$G$801, 0)+1)),"0.##"))))&amp;"-1")), ""), "")</f>
        <v/>
      </c>
      <c r="K61" s="16" t="n"/>
      <c r="L61" s="14">
        <f>IFERROR(IF(AND(IFERROR(INDEX(ERP資料!$A:$A, (MATCH(60, 輔助計算!$G$2:$G$801, 0)+1)), "")&lt;&gt;"", IFERROR(INDEX(ERP資料!$A:$A, (MATCH(60, 輔助計算!$G$2:$G$801, 0)+1)), "")&lt;&gt;IFERROR(INDEX(ERP資料!$A:$A, MATCH(59, 輔助計算!$G$2:$G$801, 0)+1), "")), INDEX(ERP資料!$B:$B, (MATCH(60, 輔助計算!$G$2:$G$801, 0)+1)), ""), "")</f>
        <v/>
      </c>
      <c r="M61" s="17" t="n"/>
    </row>
    <row r="62">
      <c r="A62" s="10">
        <f>IFERROR(IF(AND(IFERROR(INDEX(ERP資料!$A:$A, (MATCH(61, 輔助計算!$G$2:$G$801, 0)+1)), "")&lt;&gt;"", IFERROR(INDEX(ERP資料!$A:$A, (MATCH(61, 輔助計算!$G$2:$G$801, 0)+1)), "")&lt;&gt;IFERROR(INDEX(ERP資料!$A:$A, MATCH(60, 輔助計算!$G$2:$G$801, 0)+1), "")), IFERROR(INDEX(ERP資料!$A:$A, (MATCH(61, 輔助計算!$G$2:$G$801, 0)+1)), ""), ""), "")</f>
        <v/>
      </c>
      <c r="B62" s="10">
        <f>IFERROR(IF(AND(IFERROR(INDEX(ERP資料!$A:$A, (MATCH(61, 輔助計算!$G$2:$G$801, 0)+1)), "")&lt;&gt;"", IFERROR(INDEX(ERP資料!$A:$A, (MATCH(61, 輔助計算!$G$2:$G$801, 0)+1)), "")&lt;&gt;IFERROR(INDEX(ERP資料!$A:$A, MATCH(60, 輔助計算!$G$2:$G$801, 0)+1), "")), INDEX(ERP資料!$S:$S, (MATCH(61, 輔助計算!$G$2:$G$801, 0)+1)), ""), "")</f>
        <v/>
      </c>
      <c r="C62" s="19">
        <f>IFERROR(IF(AND(IFERROR(INDEX(ERP資料!$A:$A, (MATCH(61, 輔助計算!$G$2:$G$801, 0)+1)), "")&lt;&gt;"", IFERROR(INDEX(ERP資料!$A:$A, (MATCH(61, 輔助計算!$G$2:$G$801, 0)+1)), "")&lt;&gt;IFERROR(INDEX(ERP資料!$A:$A, MATCH(60, 輔助計算!$G$2:$G$801, 0)+1), "")), IFERROR(VLOOKUP(LEFT(INDEX(ERP資料!$S:$S, (MATCH(61, 輔助計算!$G$2:$G$801, 0)+1)), 4), 紙管對照表!$A:$C, 3, FALSE), ""), ""), "")</f>
        <v/>
      </c>
      <c r="D62" s="16" t="n"/>
      <c r="E62" s="10">
        <f>IFERROR(IF(INDEX(ERP資料!$H:$H, (MATCH(61, 輔助計算!$G$2:$G$801, 0)+1))="","",INDEX(ERP資料!$H:$H, (MATCH(61, 輔助計算!$G$2:$G$801, 0)+1))), "")</f>
        <v/>
      </c>
      <c r="F62" s="10">
        <f>IFERROR(IF(INDEX(ERP資料!$E:$E, (MATCH(61, 輔助計算!$G$2:$G$801, 0)+1))="","",TRIM(INDEX(ERP資料!$E:$E, (MATCH(61, 輔助計算!$G$2:$G$801, 0)+1)))), "")</f>
        <v/>
      </c>
      <c r="G62" s="10">
        <f>IFERROR(IF(INDEX(ERP資料!$F:$F, (MATCH(61, 輔助計算!$G$2:$G$801, 0)+1))="","",INDEX(ERP資料!$F:$F, (MATCH(61, 輔助計算!$G$2:$G$801, 0)+1))), "")</f>
        <v/>
      </c>
      <c r="H62" s="10">
        <f>IFERROR(IF(INDEX(ERP資料!$G:$G, (MATCH(61, 輔助計算!$G$2:$G$801, 0)+1))="","",INDEX(ERP資料!$G:$G, (MATCH(61, 輔助計算!$G$2:$G$801, 0)+1))), "")</f>
        <v/>
      </c>
      <c r="I62" s="15">
        <f>IFERROR(INDEX(輔助計算!$D:$D, (MATCH(61, 輔助計算!$G$2:$G$801, 0)+1)), "")</f>
        <v/>
      </c>
      <c r="J62" s="15">
        <f>IFERROR(IF(AND(INDEX(輔助計算!$D:$D, (MATCH(61, 輔助計算!$G$2:$G$801, 0)+1))&lt;&gt;"", INDEX(ERP資料!$G:$G, (MATCH(61, 輔助計算!$G$2:$G$801, 0)+1))&lt;&gt;""), TRIM(IF(INT(INDEX(輔助計算!$D:$D, (MATCH(61, 輔助計算!$G$2:$G$801, 0)+1))/IF(INDEX(ERP資料!$G:$G, (MATCH(61, 輔助計算!$G$2:$G$801, 0)+1))&lt;100, IF(INDEX(ERP資料!$G:$G, (MATCH(61, 輔助計算!$G$2:$G$801, 0)+1))&lt;=31,3,IF(INDEX(ERP資料!$G:$G, (MATCH(61, 輔助計算!$G$2:$G$801, 0)+1))&lt;=46.5,2,1)), IF(INDEX(ERP資料!$G:$G, (MATCH(61, 輔助計算!$G$2:$G$801, 0)+1))&lt;=790,3,IF(INDEX(ERP資料!$G:$G, (MATCH(61, 輔助計算!$G$2:$G$801, 0)+1))&lt;=1181,2,1))))&gt;0, IF(IF(INDEX(ERP資料!$G:$G, (MATCH(61, 輔助計算!$G$2:$G$801, 0)+1))&lt;100, IF(INDEX(ERP資料!$G:$G, (MATCH(61, 輔助計算!$G$2:$G$801, 0)+1))&lt;=31,3,IF(INDEX(ERP資料!$G:$G, (MATCH(61, 輔助計算!$G$2:$G$801, 0)+1))&lt;=46.5,2,1)), IF(INDEX(ERP資料!$G:$G, (MATCH(61, 輔助計算!$G$2:$G$801, 0)+1))&lt;=790,3,IF(INDEX(ERP資料!$G:$G, (MATCH(61, 輔助計算!$G$2:$G$801, 0)+1))&lt;=1181,2,1)))=1,TEXT(INDEX(ERP資料!$G:$G, (MATCH(61, 輔助計算!$G$2:$G$801, 0)+1)),"0.##"),IF(IF(INDEX(ERP資料!$G:$G, (MATCH(61, 輔助計算!$G$2:$G$801, 0)+1))&lt;100, IF(INDEX(ERP資料!$G:$G, (MATCH(61, 輔助計算!$G$2:$G$801, 0)+1))&lt;=31,3,IF(INDEX(ERP資料!$G:$G, (MATCH(61, 輔助計算!$G$2:$G$801, 0)+1))&lt;=46.5,2,1)), IF(INDEX(ERP資料!$G:$G, (MATCH(61, 輔助計算!$G$2:$G$801, 0)+1))&lt;=790,3,IF(INDEX(ERP資料!$G:$G, (MATCH(61, 輔助計算!$G$2:$G$801, 0)+1))&lt;=1181,2,1)))=2,TEXT(INDEX(ERP資料!$G:$G, (MATCH(61, 輔助計算!$G$2:$G$801, 0)+1)),"0.##")&amp;"+"&amp;TEXT(INDEX(ERP資料!$G:$G, (MATCH(61, 輔助計算!$G$2:$G$801, 0)+1)),"0.##"),TEXT(INDEX(ERP資料!$G:$G, (MATCH(61, 輔助計算!$G$2:$G$801, 0)+1)),"0.##")&amp;"+"&amp;TEXT(INDEX(ERP資料!$G:$G, (MATCH(61, 輔助計算!$G$2:$G$801, 0)+1)),"0.##")&amp;"+"&amp;TEXT(INDEX(ERP資料!$G:$G, (MATCH(61, 輔助計算!$G$2:$G$801, 0)+1)),"0.##")))&amp;"-"&amp;INT(INDEX(輔助計算!$D:$D, (MATCH(61, 輔助計算!$G$2:$G$801, 0)+1))/IF(INDEX(ERP資料!$G:$G, (MATCH(61, 輔助計算!$G$2:$G$801, 0)+1))&lt;100, IF(INDEX(ERP資料!$G:$G, (MATCH(61, 輔助計算!$G$2:$G$801, 0)+1))&lt;=31,3,IF(INDEX(ERP資料!$G:$G, (MATCH(61, 輔助計算!$G$2:$G$801, 0)+1))&lt;=46.5,2,1)), IF(INDEX(ERP資料!$G:$G, (MATCH(61, 輔助計算!$G$2:$G$801, 0)+1))&lt;=790,3,IF(INDEX(ERP資料!$G:$G, (MATCH(61, 輔助計算!$G$2:$G$801, 0)+1))&lt;=1181,2,1)))), "")&amp;IF(AND(IF(INT(INDEX(輔助計算!$D:$D, (MATCH(61, 輔助計算!$G$2:$G$801, 0)+1))/IF(INDEX(ERP資料!$G:$G, (MATCH(61, 輔助計算!$G$2:$G$801, 0)+1))&lt;100, IF(INDEX(ERP資料!$G:$G, (MATCH(61, 輔助計算!$G$2:$G$801, 0)+1))&lt;=31,3,IF(INDEX(ERP資料!$G:$G, (MATCH(61, 輔助計算!$G$2:$G$801, 0)+1))&lt;=46.5,2,1)), IF(INDEX(ERP資料!$G:$G, (MATCH(61, 輔助計算!$G$2:$G$801, 0)+1))&lt;=790,3,IF(INDEX(ERP資料!$G:$G, (MATCH(61, 輔助計算!$G$2:$G$801, 0)+1))&lt;=1181,2,1))))&gt;0, IF(IF(INDEX(ERP資料!$G:$G, (MATCH(61, 輔助計算!$G$2:$G$801, 0)+1))&lt;100, IF(INDEX(ERP資料!$G:$G, (MATCH(61, 輔助計算!$G$2:$G$801, 0)+1))&lt;=31,3,IF(INDEX(ERP資料!$G:$G, (MATCH(61, 輔助計算!$G$2:$G$801, 0)+1))&lt;=46.5,2,1)), IF(INDEX(ERP資料!$G:$G, (MATCH(61, 輔助計算!$G$2:$G$801, 0)+1))&lt;=790,3,IF(INDEX(ERP資料!$G:$G, (MATCH(61, 輔助計算!$G$2:$G$801, 0)+1))&lt;=1181,2,1)))=1,TEXT(INDEX(ERP資料!$G:$G, (MATCH(61, 輔助計算!$G$2:$G$801, 0)+1)),"0.##"),IF(IF(INDEX(ERP資料!$G:$G, (MATCH(61, 輔助計算!$G$2:$G$801, 0)+1))&lt;100, IF(INDEX(ERP資料!$G:$G, (MATCH(61, 輔助計算!$G$2:$G$801, 0)+1))&lt;=31,3,IF(INDEX(ERP資料!$G:$G, (MATCH(61, 輔助計算!$G$2:$G$801, 0)+1))&lt;=46.5,2,1)), IF(INDEX(ERP資料!$G:$G, (MATCH(61, 輔助計算!$G$2:$G$801, 0)+1))&lt;=790,3,IF(INDEX(ERP資料!$G:$G, (MATCH(61, 輔助計算!$G$2:$G$801, 0)+1))&lt;=1181,2,1)))=2,TEXT(INDEX(ERP資料!$G:$G, (MATCH(61, 輔助計算!$G$2:$G$801, 0)+1)),"0.##")&amp;"+"&amp;TEXT(INDEX(ERP資料!$G:$G, (MATCH(61, 輔助計算!$G$2:$G$801, 0)+1)),"0.##"),TEXT(INDEX(ERP資料!$G:$G, (MATCH(61, 輔助計算!$G$2:$G$801, 0)+1)),"0.##")&amp;"+"&amp;TEXT(INDEX(ERP資料!$G:$G, (MATCH(61, 輔助計算!$G$2:$G$801, 0)+1)),"0.##")&amp;"+"&amp;TEXT(INDEX(ERP資料!$G:$G, (MATCH(61, 輔助計算!$G$2:$G$801, 0)+1)),"0.##")))&amp;"-"&amp;INT(INDEX(輔助計算!$D:$D, (MATCH(61, 輔助計算!$G$2:$G$801, 0)+1))/IF(INDEX(ERP資料!$G:$G, (MATCH(61, 輔助計算!$G$2:$G$801, 0)+1))&lt;100, IF(INDEX(ERP資料!$G:$G, (MATCH(61, 輔助計算!$G$2:$G$801, 0)+1))&lt;=31,3,IF(INDEX(ERP資料!$G:$G, (MATCH(61, 輔助計算!$G$2:$G$801, 0)+1))&lt;=46.5,2,1)), IF(INDEX(ERP資料!$G:$G, (MATCH(61, 輔助計算!$G$2:$G$801, 0)+1))&lt;=790,3,IF(INDEX(ERP資料!$G:$G, (MATCH(61, 輔助計算!$G$2:$G$801, 0)+1))&lt;=1181,2,1)))), "")&lt;&gt;"",IF(MOD(INDEX(輔助計算!$D:$D, (MATCH(61, 輔助計算!$G$2:$G$801, 0)+1)),IF(INDEX(ERP資料!$G:$G, (MATCH(61, 輔助計算!$G$2:$G$801, 0)+1))&lt;100, IF(INDEX(ERP資料!$G:$G, (MATCH(61, 輔助計算!$G$2:$G$801, 0)+1))&lt;=31,3,IF(INDEX(ERP資料!$G:$G, (MATCH(61, 輔助計算!$G$2:$G$801, 0)+1))&lt;=46.5,2,1)), IF(INDEX(ERP資料!$G:$G, (MATCH(61, 輔助計算!$G$2:$G$801, 0)+1))&lt;=790,3,IF(INDEX(ERP資料!$G:$G, (MATCH(61, 輔助計算!$G$2:$G$801, 0)+1))&lt;=1181,2,1))))=0,"",IF(MOD(INDEX(輔助計算!$D:$D, (MATCH(61, 輔助計算!$G$2:$G$801, 0)+1)),IF(INDEX(ERP資料!$G:$G, (MATCH(61, 輔助計算!$G$2:$G$801, 0)+1))&lt;100, IF(INDEX(ERP資料!$G:$G, (MATCH(61, 輔助計算!$G$2:$G$801, 0)+1))&lt;=31,3,IF(INDEX(ERP資料!$G:$G, (MATCH(61, 輔助計算!$G$2:$G$801, 0)+1))&lt;=46.5,2,1)), IF(INDEX(ERP資料!$G:$G, (MATCH(61, 輔助計算!$G$2:$G$801, 0)+1))&lt;=790,3,IF(INDEX(ERP資料!$G:$G, (MATCH(61, 輔助計算!$G$2:$G$801, 0)+1))&lt;=1181,2,1))))=0,"",IF(MOD(INDEX(輔助計算!$D:$D, (MATCH(61, 輔助計算!$G$2:$G$801, 0)+1)),IF(INDEX(ERP資料!$G:$G, (MATCH(61, 輔助計算!$G$2:$G$801, 0)+1))&lt;100, IF(INDEX(ERP資料!$G:$G, (MATCH(61, 輔助計算!$G$2:$G$801, 0)+1))&lt;=31,3,IF(INDEX(ERP資料!$G:$G, (MATCH(61, 輔助計算!$G$2:$G$801, 0)+1))&lt;=46.5,2,1)), IF(INDEX(ERP資料!$G:$G, (MATCH(61, 輔助計算!$G$2:$G$801, 0)+1))&lt;=790,3,IF(INDEX(ERP資料!$G:$G, (MATCH(61, 輔助計算!$G$2:$G$801, 0)+1))&lt;=1181,2,1))))=1,TEXT(INDEX(ERP資料!$G:$G, (MATCH(61, 輔助計算!$G$2:$G$801, 0)+1)),"0.##"),IF(MOD(INDEX(輔助計算!$D:$D, (MATCH(61, 輔助計算!$G$2:$G$801, 0)+1)),IF(INDEX(ERP資料!$G:$G, (MATCH(61, 輔助計算!$G$2:$G$801, 0)+1))&lt;100, IF(INDEX(ERP資料!$G:$G, (MATCH(61, 輔助計算!$G$2:$G$801, 0)+1))&lt;=31,3,IF(INDEX(ERP資料!$G:$G, (MATCH(61, 輔助計算!$G$2:$G$801, 0)+1))&lt;=46.5,2,1)), IF(INDEX(ERP資料!$G:$G, (MATCH(61, 輔助計算!$G$2:$G$801, 0)+1))&lt;=790,3,IF(INDEX(ERP資料!$G:$G, (MATCH(61, 輔助計算!$G$2:$G$801, 0)+1))&lt;=1181,2,1))))=2,TEXT(INDEX(ERP資料!$G:$G, (MATCH(61, 輔助計算!$G$2:$G$801, 0)+1)),"0.##")&amp;"+"&amp;TEXT(INDEX(ERP資料!$G:$G, (MATCH(61, 輔助計算!$G$2:$G$801, 0)+1)),"0.##"),TEXT(INDEX(ERP資料!$G:$G, (MATCH(61, 輔助計算!$G$2:$G$801, 0)+1)),"0.##")&amp;"+"&amp;TEXT(INDEX(ERP資料!$G:$G, (MATCH(61, 輔助計算!$G$2:$G$801, 0)+1)),"0.##")&amp;"+"&amp;TEXT(INDEX(ERP資料!$G:$G, (MATCH(61, 輔助計算!$G$2:$G$801, 0)+1)),"0.##"))))&amp;"-1")&lt;&gt;""),"  ","")&amp;IF(MOD(INDEX(輔助計算!$D:$D, (MATCH(61, 輔助計算!$G$2:$G$801, 0)+1)),IF(INDEX(ERP資料!$G:$G, (MATCH(61, 輔助計算!$G$2:$G$801, 0)+1))&lt;100, IF(INDEX(ERP資料!$G:$G, (MATCH(61, 輔助計算!$G$2:$G$801, 0)+1))&lt;=31,3,IF(INDEX(ERP資料!$G:$G, (MATCH(61, 輔助計算!$G$2:$G$801, 0)+1))&lt;=46.5,2,1)), IF(INDEX(ERP資料!$G:$G, (MATCH(61, 輔助計算!$G$2:$G$801, 0)+1))&lt;=790,3,IF(INDEX(ERP資料!$G:$G, (MATCH(61, 輔助計算!$G$2:$G$801, 0)+1))&lt;=1181,2,1))))=0,"",IF(MOD(INDEX(輔助計算!$D:$D, (MATCH(61, 輔助計算!$G$2:$G$801, 0)+1)),IF(INDEX(ERP資料!$G:$G, (MATCH(61, 輔助計算!$G$2:$G$801, 0)+1))&lt;100, IF(INDEX(ERP資料!$G:$G, (MATCH(61, 輔助計算!$G$2:$G$801, 0)+1))&lt;=31,3,IF(INDEX(ERP資料!$G:$G, (MATCH(61, 輔助計算!$G$2:$G$801, 0)+1))&lt;=46.5,2,1)), IF(INDEX(ERP資料!$G:$G, (MATCH(61, 輔助計算!$G$2:$G$801, 0)+1))&lt;=790,3,IF(INDEX(ERP資料!$G:$G, (MATCH(61, 輔助計算!$G$2:$G$801, 0)+1))&lt;=1181,2,1))))=0,"",IF(MOD(INDEX(輔助計算!$D:$D, (MATCH(61, 輔助計算!$G$2:$G$801, 0)+1)),IF(INDEX(ERP資料!$G:$G, (MATCH(61, 輔助計算!$G$2:$G$801, 0)+1))&lt;100, IF(INDEX(ERP資料!$G:$G, (MATCH(61, 輔助計算!$G$2:$G$801, 0)+1))&lt;=31,3,IF(INDEX(ERP資料!$G:$G, (MATCH(61, 輔助計算!$G$2:$G$801, 0)+1))&lt;=46.5,2,1)), IF(INDEX(ERP資料!$G:$G, (MATCH(61, 輔助計算!$G$2:$G$801, 0)+1))&lt;=790,3,IF(INDEX(ERP資料!$G:$G, (MATCH(61, 輔助計算!$G$2:$G$801, 0)+1))&lt;=1181,2,1))))=1,TEXT(INDEX(ERP資料!$G:$G, (MATCH(61, 輔助計算!$G$2:$G$801, 0)+1)),"0.##"),IF(MOD(INDEX(輔助計算!$D:$D, (MATCH(61, 輔助計算!$G$2:$G$801, 0)+1)),IF(INDEX(ERP資料!$G:$G, (MATCH(61, 輔助計算!$G$2:$G$801, 0)+1))&lt;100, IF(INDEX(ERP資料!$G:$G, (MATCH(61, 輔助計算!$G$2:$G$801, 0)+1))&lt;=31,3,IF(INDEX(ERP資料!$G:$G, (MATCH(61, 輔助計算!$G$2:$G$801, 0)+1))&lt;=46.5,2,1)), IF(INDEX(ERP資料!$G:$G, (MATCH(61, 輔助計算!$G$2:$G$801, 0)+1))&lt;=790,3,IF(INDEX(ERP資料!$G:$G, (MATCH(61, 輔助計算!$G$2:$G$801, 0)+1))&lt;=1181,2,1))))=2,TEXT(INDEX(ERP資料!$G:$G, (MATCH(61, 輔助計算!$G$2:$G$801, 0)+1)),"0.##")&amp;"+"&amp;TEXT(INDEX(ERP資料!$G:$G, (MATCH(61, 輔助計算!$G$2:$G$801, 0)+1)),"0.##"),TEXT(INDEX(ERP資料!$G:$G, (MATCH(61, 輔助計算!$G$2:$G$801, 0)+1)),"0.##")&amp;"+"&amp;TEXT(INDEX(ERP資料!$G:$G, (MATCH(61, 輔助計算!$G$2:$G$801, 0)+1)),"0.##")&amp;"+"&amp;TEXT(INDEX(ERP資料!$G:$G, (MATCH(61, 輔助計算!$G$2:$G$801, 0)+1)),"0.##"))))&amp;"-1")), ""), "")</f>
        <v/>
      </c>
      <c r="K62" s="16" t="n"/>
      <c r="L62" s="14">
        <f>IFERROR(IF(AND(IFERROR(INDEX(ERP資料!$A:$A, (MATCH(61, 輔助計算!$G$2:$G$801, 0)+1)), "")&lt;&gt;"", IFERROR(INDEX(ERP資料!$A:$A, (MATCH(61, 輔助計算!$G$2:$G$801, 0)+1)), "")&lt;&gt;IFERROR(INDEX(ERP資料!$A:$A, MATCH(60, 輔助計算!$G$2:$G$801, 0)+1), "")), INDEX(ERP資料!$B:$B, (MATCH(61, 輔助計算!$G$2:$G$801, 0)+1)), ""), "")</f>
        <v/>
      </c>
      <c r="M62" s="17" t="n"/>
    </row>
    <row r="63">
      <c r="A63" s="10">
        <f>IFERROR(IF(AND(IFERROR(INDEX(ERP資料!$A:$A, (MATCH(62, 輔助計算!$G$2:$G$801, 0)+1)), "")&lt;&gt;"", IFERROR(INDEX(ERP資料!$A:$A, (MATCH(62, 輔助計算!$G$2:$G$801, 0)+1)), "")&lt;&gt;IFERROR(INDEX(ERP資料!$A:$A, MATCH(61, 輔助計算!$G$2:$G$801, 0)+1), "")), IFERROR(INDEX(ERP資料!$A:$A, (MATCH(62, 輔助計算!$G$2:$G$801, 0)+1)), ""), ""), "")</f>
        <v/>
      </c>
      <c r="B63" s="10">
        <f>IFERROR(IF(AND(IFERROR(INDEX(ERP資料!$A:$A, (MATCH(62, 輔助計算!$G$2:$G$801, 0)+1)), "")&lt;&gt;"", IFERROR(INDEX(ERP資料!$A:$A, (MATCH(62, 輔助計算!$G$2:$G$801, 0)+1)), "")&lt;&gt;IFERROR(INDEX(ERP資料!$A:$A, MATCH(61, 輔助計算!$G$2:$G$801, 0)+1), "")), INDEX(ERP資料!$S:$S, (MATCH(62, 輔助計算!$G$2:$G$801, 0)+1)), ""), "")</f>
        <v/>
      </c>
      <c r="C63" s="19">
        <f>IFERROR(IF(AND(IFERROR(INDEX(ERP資料!$A:$A, (MATCH(62, 輔助計算!$G$2:$G$801, 0)+1)), "")&lt;&gt;"", IFERROR(INDEX(ERP資料!$A:$A, (MATCH(62, 輔助計算!$G$2:$G$801, 0)+1)), "")&lt;&gt;IFERROR(INDEX(ERP資料!$A:$A, MATCH(61, 輔助計算!$G$2:$G$801, 0)+1), "")), IFERROR(VLOOKUP(LEFT(INDEX(ERP資料!$S:$S, (MATCH(62, 輔助計算!$G$2:$G$801, 0)+1)), 4), 紙管對照表!$A:$C, 3, FALSE), ""), ""), "")</f>
        <v/>
      </c>
      <c r="D63" s="16" t="n"/>
      <c r="E63" s="10">
        <f>IFERROR(IF(INDEX(ERP資料!$H:$H, (MATCH(62, 輔助計算!$G$2:$G$801, 0)+1))="","",INDEX(ERP資料!$H:$H, (MATCH(62, 輔助計算!$G$2:$G$801, 0)+1))), "")</f>
        <v/>
      </c>
      <c r="F63" s="10">
        <f>IFERROR(IF(INDEX(ERP資料!$E:$E, (MATCH(62, 輔助計算!$G$2:$G$801, 0)+1))="","",TRIM(INDEX(ERP資料!$E:$E, (MATCH(62, 輔助計算!$G$2:$G$801, 0)+1)))), "")</f>
        <v/>
      </c>
      <c r="G63" s="10">
        <f>IFERROR(IF(INDEX(ERP資料!$F:$F, (MATCH(62, 輔助計算!$G$2:$G$801, 0)+1))="","",INDEX(ERP資料!$F:$F, (MATCH(62, 輔助計算!$G$2:$G$801, 0)+1))), "")</f>
        <v/>
      </c>
      <c r="H63" s="10">
        <f>IFERROR(IF(INDEX(ERP資料!$G:$G, (MATCH(62, 輔助計算!$G$2:$G$801, 0)+1))="","",INDEX(ERP資料!$G:$G, (MATCH(62, 輔助計算!$G$2:$G$801, 0)+1))), "")</f>
        <v/>
      </c>
      <c r="I63" s="15">
        <f>IFERROR(INDEX(輔助計算!$D:$D, (MATCH(62, 輔助計算!$G$2:$G$801, 0)+1)), "")</f>
        <v/>
      </c>
      <c r="J63" s="15">
        <f>IFERROR(IF(AND(INDEX(輔助計算!$D:$D, (MATCH(62, 輔助計算!$G$2:$G$801, 0)+1))&lt;&gt;"", INDEX(ERP資料!$G:$G, (MATCH(62, 輔助計算!$G$2:$G$801, 0)+1))&lt;&gt;""), TRIM(IF(INT(INDEX(輔助計算!$D:$D, (MATCH(62, 輔助計算!$G$2:$G$801, 0)+1))/IF(INDEX(ERP資料!$G:$G, (MATCH(62, 輔助計算!$G$2:$G$801, 0)+1))&lt;100, IF(INDEX(ERP資料!$G:$G, (MATCH(62, 輔助計算!$G$2:$G$801, 0)+1))&lt;=31,3,IF(INDEX(ERP資料!$G:$G, (MATCH(62, 輔助計算!$G$2:$G$801, 0)+1))&lt;=46.5,2,1)), IF(INDEX(ERP資料!$G:$G, (MATCH(62, 輔助計算!$G$2:$G$801, 0)+1))&lt;=790,3,IF(INDEX(ERP資料!$G:$G, (MATCH(62, 輔助計算!$G$2:$G$801, 0)+1))&lt;=1181,2,1))))&gt;0, IF(IF(INDEX(ERP資料!$G:$G, (MATCH(62, 輔助計算!$G$2:$G$801, 0)+1))&lt;100, IF(INDEX(ERP資料!$G:$G, (MATCH(62, 輔助計算!$G$2:$G$801, 0)+1))&lt;=31,3,IF(INDEX(ERP資料!$G:$G, (MATCH(62, 輔助計算!$G$2:$G$801, 0)+1))&lt;=46.5,2,1)), IF(INDEX(ERP資料!$G:$G, (MATCH(62, 輔助計算!$G$2:$G$801, 0)+1))&lt;=790,3,IF(INDEX(ERP資料!$G:$G, (MATCH(62, 輔助計算!$G$2:$G$801, 0)+1))&lt;=1181,2,1)))=1,TEXT(INDEX(ERP資料!$G:$G, (MATCH(62, 輔助計算!$G$2:$G$801, 0)+1)),"0.##"),IF(IF(INDEX(ERP資料!$G:$G, (MATCH(62, 輔助計算!$G$2:$G$801, 0)+1))&lt;100, IF(INDEX(ERP資料!$G:$G, (MATCH(62, 輔助計算!$G$2:$G$801, 0)+1))&lt;=31,3,IF(INDEX(ERP資料!$G:$G, (MATCH(62, 輔助計算!$G$2:$G$801, 0)+1))&lt;=46.5,2,1)), IF(INDEX(ERP資料!$G:$G, (MATCH(62, 輔助計算!$G$2:$G$801, 0)+1))&lt;=790,3,IF(INDEX(ERP資料!$G:$G, (MATCH(62, 輔助計算!$G$2:$G$801, 0)+1))&lt;=1181,2,1)))=2,TEXT(INDEX(ERP資料!$G:$G, (MATCH(62, 輔助計算!$G$2:$G$801, 0)+1)),"0.##")&amp;"+"&amp;TEXT(INDEX(ERP資料!$G:$G, (MATCH(62, 輔助計算!$G$2:$G$801, 0)+1)),"0.##"),TEXT(INDEX(ERP資料!$G:$G, (MATCH(62, 輔助計算!$G$2:$G$801, 0)+1)),"0.##")&amp;"+"&amp;TEXT(INDEX(ERP資料!$G:$G, (MATCH(62, 輔助計算!$G$2:$G$801, 0)+1)),"0.##")&amp;"+"&amp;TEXT(INDEX(ERP資料!$G:$G, (MATCH(62, 輔助計算!$G$2:$G$801, 0)+1)),"0.##")))&amp;"-"&amp;INT(INDEX(輔助計算!$D:$D, (MATCH(62, 輔助計算!$G$2:$G$801, 0)+1))/IF(INDEX(ERP資料!$G:$G, (MATCH(62, 輔助計算!$G$2:$G$801, 0)+1))&lt;100, IF(INDEX(ERP資料!$G:$G, (MATCH(62, 輔助計算!$G$2:$G$801, 0)+1))&lt;=31,3,IF(INDEX(ERP資料!$G:$G, (MATCH(62, 輔助計算!$G$2:$G$801, 0)+1))&lt;=46.5,2,1)), IF(INDEX(ERP資料!$G:$G, (MATCH(62, 輔助計算!$G$2:$G$801, 0)+1))&lt;=790,3,IF(INDEX(ERP資料!$G:$G, (MATCH(62, 輔助計算!$G$2:$G$801, 0)+1))&lt;=1181,2,1)))), "")&amp;IF(AND(IF(INT(INDEX(輔助計算!$D:$D, (MATCH(62, 輔助計算!$G$2:$G$801, 0)+1))/IF(INDEX(ERP資料!$G:$G, (MATCH(62, 輔助計算!$G$2:$G$801, 0)+1))&lt;100, IF(INDEX(ERP資料!$G:$G, (MATCH(62, 輔助計算!$G$2:$G$801, 0)+1))&lt;=31,3,IF(INDEX(ERP資料!$G:$G, (MATCH(62, 輔助計算!$G$2:$G$801, 0)+1))&lt;=46.5,2,1)), IF(INDEX(ERP資料!$G:$G, (MATCH(62, 輔助計算!$G$2:$G$801, 0)+1))&lt;=790,3,IF(INDEX(ERP資料!$G:$G, (MATCH(62, 輔助計算!$G$2:$G$801, 0)+1))&lt;=1181,2,1))))&gt;0, IF(IF(INDEX(ERP資料!$G:$G, (MATCH(62, 輔助計算!$G$2:$G$801, 0)+1))&lt;100, IF(INDEX(ERP資料!$G:$G, (MATCH(62, 輔助計算!$G$2:$G$801, 0)+1))&lt;=31,3,IF(INDEX(ERP資料!$G:$G, (MATCH(62, 輔助計算!$G$2:$G$801, 0)+1))&lt;=46.5,2,1)), IF(INDEX(ERP資料!$G:$G, (MATCH(62, 輔助計算!$G$2:$G$801, 0)+1))&lt;=790,3,IF(INDEX(ERP資料!$G:$G, (MATCH(62, 輔助計算!$G$2:$G$801, 0)+1))&lt;=1181,2,1)))=1,TEXT(INDEX(ERP資料!$G:$G, (MATCH(62, 輔助計算!$G$2:$G$801, 0)+1)),"0.##"),IF(IF(INDEX(ERP資料!$G:$G, (MATCH(62, 輔助計算!$G$2:$G$801, 0)+1))&lt;100, IF(INDEX(ERP資料!$G:$G, (MATCH(62, 輔助計算!$G$2:$G$801, 0)+1))&lt;=31,3,IF(INDEX(ERP資料!$G:$G, (MATCH(62, 輔助計算!$G$2:$G$801, 0)+1))&lt;=46.5,2,1)), IF(INDEX(ERP資料!$G:$G, (MATCH(62, 輔助計算!$G$2:$G$801, 0)+1))&lt;=790,3,IF(INDEX(ERP資料!$G:$G, (MATCH(62, 輔助計算!$G$2:$G$801, 0)+1))&lt;=1181,2,1)))=2,TEXT(INDEX(ERP資料!$G:$G, (MATCH(62, 輔助計算!$G$2:$G$801, 0)+1)),"0.##")&amp;"+"&amp;TEXT(INDEX(ERP資料!$G:$G, (MATCH(62, 輔助計算!$G$2:$G$801, 0)+1)),"0.##"),TEXT(INDEX(ERP資料!$G:$G, (MATCH(62, 輔助計算!$G$2:$G$801, 0)+1)),"0.##")&amp;"+"&amp;TEXT(INDEX(ERP資料!$G:$G, (MATCH(62, 輔助計算!$G$2:$G$801, 0)+1)),"0.##")&amp;"+"&amp;TEXT(INDEX(ERP資料!$G:$G, (MATCH(62, 輔助計算!$G$2:$G$801, 0)+1)),"0.##")))&amp;"-"&amp;INT(INDEX(輔助計算!$D:$D, (MATCH(62, 輔助計算!$G$2:$G$801, 0)+1))/IF(INDEX(ERP資料!$G:$G, (MATCH(62, 輔助計算!$G$2:$G$801, 0)+1))&lt;100, IF(INDEX(ERP資料!$G:$G, (MATCH(62, 輔助計算!$G$2:$G$801, 0)+1))&lt;=31,3,IF(INDEX(ERP資料!$G:$G, (MATCH(62, 輔助計算!$G$2:$G$801, 0)+1))&lt;=46.5,2,1)), IF(INDEX(ERP資料!$G:$G, (MATCH(62, 輔助計算!$G$2:$G$801, 0)+1))&lt;=790,3,IF(INDEX(ERP資料!$G:$G, (MATCH(62, 輔助計算!$G$2:$G$801, 0)+1))&lt;=1181,2,1)))), "")&lt;&gt;"",IF(MOD(INDEX(輔助計算!$D:$D, (MATCH(62, 輔助計算!$G$2:$G$801, 0)+1)),IF(INDEX(ERP資料!$G:$G, (MATCH(62, 輔助計算!$G$2:$G$801, 0)+1))&lt;100, IF(INDEX(ERP資料!$G:$G, (MATCH(62, 輔助計算!$G$2:$G$801, 0)+1))&lt;=31,3,IF(INDEX(ERP資料!$G:$G, (MATCH(62, 輔助計算!$G$2:$G$801, 0)+1))&lt;=46.5,2,1)), IF(INDEX(ERP資料!$G:$G, (MATCH(62, 輔助計算!$G$2:$G$801, 0)+1))&lt;=790,3,IF(INDEX(ERP資料!$G:$G, (MATCH(62, 輔助計算!$G$2:$G$801, 0)+1))&lt;=1181,2,1))))=0,"",IF(MOD(INDEX(輔助計算!$D:$D, (MATCH(62, 輔助計算!$G$2:$G$801, 0)+1)),IF(INDEX(ERP資料!$G:$G, (MATCH(62, 輔助計算!$G$2:$G$801, 0)+1))&lt;100, IF(INDEX(ERP資料!$G:$G, (MATCH(62, 輔助計算!$G$2:$G$801, 0)+1))&lt;=31,3,IF(INDEX(ERP資料!$G:$G, (MATCH(62, 輔助計算!$G$2:$G$801, 0)+1))&lt;=46.5,2,1)), IF(INDEX(ERP資料!$G:$G, (MATCH(62, 輔助計算!$G$2:$G$801, 0)+1))&lt;=790,3,IF(INDEX(ERP資料!$G:$G, (MATCH(62, 輔助計算!$G$2:$G$801, 0)+1))&lt;=1181,2,1))))=0,"",IF(MOD(INDEX(輔助計算!$D:$D, (MATCH(62, 輔助計算!$G$2:$G$801, 0)+1)),IF(INDEX(ERP資料!$G:$G, (MATCH(62, 輔助計算!$G$2:$G$801, 0)+1))&lt;100, IF(INDEX(ERP資料!$G:$G, (MATCH(62, 輔助計算!$G$2:$G$801, 0)+1))&lt;=31,3,IF(INDEX(ERP資料!$G:$G, (MATCH(62, 輔助計算!$G$2:$G$801, 0)+1))&lt;=46.5,2,1)), IF(INDEX(ERP資料!$G:$G, (MATCH(62, 輔助計算!$G$2:$G$801, 0)+1))&lt;=790,3,IF(INDEX(ERP資料!$G:$G, (MATCH(62, 輔助計算!$G$2:$G$801, 0)+1))&lt;=1181,2,1))))=1,TEXT(INDEX(ERP資料!$G:$G, (MATCH(62, 輔助計算!$G$2:$G$801, 0)+1)),"0.##"),IF(MOD(INDEX(輔助計算!$D:$D, (MATCH(62, 輔助計算!$G$2:$G$801, 0)+1)),IF(INDEX(ERP資料!$G:$G, (MATCH(62, 輔助計算!$G$2:$G$801, 0)+1))&lt;100, IF(INDEX(ERP資料!$G:$G, (MATCH(62, 輔助計算!$G$2:$G$801, 0)+1))&lt;=31,3,IF(INDEX(ERP資料!$G:$G, (MATCH(62, 輔助計算!$G$2:$G$801, 0)+1))&lt;=46.5,2,1)), IF(INDEX(ERP資料!$G:$G, (MATCH(62, 輔助計算!$G$2:$G$801, 0)+1))&lt;=790,3,IF(INDEX(ERP資料!$G:$G, (MATCH(62, 輔助計算!$G$2:$G$801, 0)+1))&lt;=1181,2,1))))=2,TEXT(INDEX(ERP資料!$G:$G, (MATCH(62, 輔助計算!$G$2:$G$801, 0)+1)),"0.##")&amp;"+"&amp;TEXT(INDEX(ERP資料!$G:$G, (MATCH(62, 輔助計算!$G$2:$G$801, 0)+1)),"0.##"),TEXT(INDEX(ERP資料!$G:$G, (MATCH(62, 輔助計算!$G$2:$G$801, 0)+1)),"0.##")&amp;"+"&amp;TEXT(INDEX(ERP資料!$G:$G, (MATCH(62, 輔助計算!$G$2:$G$801, 0)+1)),"0.##")&amp;"+"&amp;TEXT(INDEX(ERP資料!$G:$G, (MATCH(62, 輔助計算!$G$2:$G$801, 0)+1)),"0.##"))))&amp;"-1")&lt;&gt;""),"  ","")&amp;IF(MOD(INDEX(輔助計算!$D:$D, (MATCH(62, 輔助計算!$G$2:$G$801, 0)+1)),IF(INDEX(ERP資料!$G:$G, (MATCH(62, 輔助計算!$G$2:$G$801, 0)+1))&lt;100, IF(INDEX(ERP資料!$G:$G, (MATCH(62, 輔助計算!$G$2:$G$801, 0)+1))&lt;=31,3,IF(INDEX(ERP資料!$G:$G, (MATCH(62, 輔助計算!$G$2:$G$801, 0)+1))&lt;=46.5,2,1)), IF(INDEX(ERP資料!$G:$G, (MATCH(62, 輔助計算!$G$2:$G$801, 0)+1))&lt;=790,3,IF(INDEX(ERP資料!$G:$G, (MATCH(62, 輔助計算!$G$2:$G$801, 0)+1))&lt;=1181,2,1))))=0,"",IF(MOD(INDEX(輔助計算!$D:$D, (MATCH(62, 輔助計算!$G$2:$G$801, 0)+1)),IF(INDEX(ERP資料!$G:$G, (MATCH(62, 輔助計算!$G$2:$G$801, 0)+1))&lt;100, IF(INDEX(ERP資料!$G:$G, (MATCH(62, 輔助計算!$G$2:$G$801, 0)+1))&lt;=31,3,IF(INDEX(ERP資料!$G:$G, (MATCH(62, 輔助計算!$G$2:$G$801, 0)+1))&lt;=46.5,2,1)), IF(INDEX(ERP資料!$G:$G, (MATCH(62, 輔助計算!$G$2:$G$801, 0)+1))&lt;=790,3,IF(INDEX(ERP資料!$G:$G, (MATCH(62, 輔助計算!$G$2:$G$801, 0)+1))&lt;=1181,2,1))))=0,"",IF(MOD(INDEX(輔助計算!$D:$D, (MATCH(62, 輔助計算!$G$2:$G$801, 0)+1)),IF(INDEX(ERP資料!$G:$G, (MATCH(62, 輔助計算!$G$2:$G$801, 0)+1))&lt;100, IF(INDEX(ERP資料!$G:$G, (MATCH(62, 輔助計算!$G$2:$G$801, 0)+1))&lt;=31,3,IF(INDEX(ERP資料!$G:$G, (MATCH(62, 輔助計算!$G$2:$G$801, 0)+1))&lt;=46.5,2,1)), IF(INDEX(ERP資料!$G:$G, (MATCH(62, 輔助計算!$G$2:$G$801, 0)+1))&lt;=790,3,IF(INDEX(ERP資料!$G:$G, (MATCH(62, 輔助計算!$G$2:$G$801, 0)+1))&lt;=1181,2,1))))=1,TEXT(INDEX(ERP資料!$G:$G, (MATCH(62, 輔助計算!$G$2:$G$801, 0)+1)),"0.##"),IF(MOD(INDEX(輔助計算!$D:$D, (MATCH(62, 輔助計算!$G$2:$G$801, 0)+1)),IF(INDEX(ERP資料!$G:$G, (MATCH(62, 輔助計算!$G$2:$G$801, 0)+1))&lt;100, IF(INDEX(ERP資料!$G:$G, (MATCH(62, 輔助計算!$G$2:$G$801, 0)+1))&lt;=31,3,IF(INDEX(ERP資料!$G:$G, (MATCH(62, 輔助計算!$G$2:$G$801, 0)+1))&lt;=46.5,2,1)), IF(INDEX(ERP資料!$G:$G, (MATCH(62, 輔助計算!$G$2:$G$801, 0)+1))&lt;=790,3,IF(INDEX(ERP資料!$G:$G, (MATCH(62, 輔助計算!$G$2:$G$801, 0)+1))&lt;=1181,2,1))))=2,TEXT(INDEX(ERP資料!$G:$G, (MATCH(62, 輔助計算!$G$2:$G$801, 0)+1)),"0.##")&amp;"+"&amp;TEXT(INDEX(ERP資料!$G:$G, (MATCH(62, 輔助計算!$G$2:$G$801, 0)+1)),"0.##"),TEXT(INDEX(ERP資料!$G:$G, (MATCH(62, 輔助計算!$G$2:$G$801, 0)+1)),"0.##")&amp;"+"&amp;TEXT(INDEX(ERP資料!$G:$G, (MATCH(62, 輔助計算!$G$2:$G$801, 0)+1)),"0.##")&amp;"+"&amp;TEXT(INDEX(ERP資料!$G:$G, (MATCH(62, 輔助計算!$G$2:$G$801, 0)+1)),"0.##"))))&amp;"-1")), ""), "")</f>
        <v/>
      </c>
      <c r="K63" s="16" t="n"/>
      <c r="L63" s="14">
        <f>IFERROR(IF(AND(IFERROR(INDEX(ERP資料!$A:$A, (MATCH(62, 輔助計算!$G$2:$G$801, 0)+1)), "")&lt;&gt;"", IFERROR(INDEX(ERP資料!$A:$A, (MATCH(62, 輔助計算!$G$2:$G$801, 0)+1)), "")&lt;&gt;IFERROR(INDEX(ERP資料!$A:$A, MATCH(61, 輔助計算!$G$2:$G$801, 0)+1), "")), INDEX(ERP資料!$B:$B, (MATCH(62, 輔助計算!$G$2:$G$801, 0)+1)), ""), "")</f>
        <v/>
      </c>
      <c r="M63" s="17" t="n"/>
    </row>
    <row r="64">
      <c r="A64" s="10">
        <f>IFERROR(IF(AND(IFERROR(INDEX(ERP資料!$A:$A, (MATCH(63, 輔助計算!$G$2:$G$801, 0)+1)), "")&lt;&gt;"", IFERROR(INDEX(ERP資料!$A:$A, (MATCH(63, 輔助計算!$G$2:$G$801, 0)+1)), "")&lt;&gt;IFERROR(INDEX(ERP資料!$A:$A, MATCH(62, 輔助計算!$G$2:$G$801, 0)+1), "")), IFERROR(INDEX(ERP資料!$A:$A, (MATCH(63, 輔助計算!$G$2:$G$801, 0)+1)), ""), ""), "")</f>
        <v/>
      </c>
      <c r="B64" s="10">
        <f>IFERROR(IF(AND(IFERROR(INDEX(ERP資料!$A:$A, (MATCH(63, 輔助計算!$G$2:$G$801, 0)+1)), "")&lt;&gt;"", IFERROR(INDEX(ERP資料!$A:$A, (MATCH(63, 輔助計算!$G$2:$G$801, 0)+1)), "")&lt;&gt;IFERROR(INDEX(ERP資料!$A:$A, MATCH(62, 輔助計算!$G$2:$G$801, 0)+1), "")), INDEX(ERP資料!$S:$S, (MATCH(63, 輔助計算!$G$2:$G$801, 0)+1)), ""), "")</f>
        <v/>
      </c>
      <c r="C64" s="19">
        <f>IFERROR(IF(AND(IFERROR(INDEX(ERP資料!$A:$A, (MATCH(63, 輔助計算!$G$2:$G$801, 0)+1)), "")&lt;&gt;"", IFERROR(INDEX(ERP資料!$A:$A, (MATCH(63, 輔助計算!$G$2:$G$801, 0)+1)), "")&lt;&gt;IFERROR(INDEX(ERP資料!$A:$A, MATCH(62, 輔助計算!$G$2:$G$801, 0)+1), "")), IFERROR(VLOOKUP(LEFT(INDEX(ERP資料!$S:$S, (MATCH(63, 輔助計算!$G$2:$G$801, 0)+1)), 4), 紙管對照表!$A:$C, 3, FALSE), ""), ""), "")</f>
        <v/>
      </c>
      <c r="D64" s="16" t="n"/>
      <c r="E64" s="10">
        <f>IFERROR(IF(INDEX(ERP資料!$H:$H, (MATCH(63, 輔助計算!$G$2:$G$801, 0)+1))="","",INDEX(ERP資料!$H:$H, (MATCH(63, 輔助計算!$G$2:$G$801, 0)+1))), "")</f>
        <v/>
      </c>
      <c r="F64" s="10">
        <f>IFERROR(IF(INDEX(ERP資料!$E:$E, (MATCH(63, 輔助計算!$G$2:$G$801, 0)+1))="","",TRIM(INDEX(ERP資料!$E:$E, (MATCH(63, 輔助計算!$G$2:$G$801, 0)+1)))), "")</f>
        <v/>
      </c>
      <c r="G64" s="10">
        <f>IFERROR(IF(INDEX(ERP資料!$F:$F, (MATCH(63, 輔助計算!$G$2:$G$801, 0)+1))="","",INDEX(ERP資料!$F:$F, (MATCH(63, 輔助計算!$G$2:$G$801, 0)+1))), "")</f>
        <v/>
      </c>
      <c r="H64" s="10">
        <f>IFERROR(IF(INDEX(ERP資料!$G:$G, (MATCH(63, 輔助計算!$G$2:$G$801, 0)+1))="","",INDEX(ERP資料!$G:$G, (MATCH(63, 輔助計算!$G$2:$G$801, 0)+1))), "")</f>
        <v/>
      </c>
      <c r="I64" s="15">
        <f>IFERROR(INDEX(輔助計算!$D:$D, (MATCH(63, 輔助計算!$G$2:$G$801, 0)+1)), "")</f>
        <v/>
      </c>
      <c r="J64" s="15">
        <f>IFERROR(IF(AND(INDEX(輔助計算!$D:$D, (MATCH(63, 輔助計算!$G$2:$G$801, 0)+1))&lt;&gt;"", INDEX(ERP資料!$G:$G, (MATCH(63, 輔助計算!$G$2:$G$801, 0)+1))&lt;&gt;""), TRIM(IF(INT(INDEX(輔助計算!$D:$D, (MATCH(63, 輔助計算!$G$2:$G$801, 0)+1))/IF(INDEX(ERP資料!$G:$G, (MATCH(63, 輔助計算!$G$2:$G$801, 0)+1))&lt;100, IF(INDEX(ERP資料!$G:$G, (MATCH(63, 輔助計算!$G$2:$G$801, 0)+1))&lt;=31,3,IF(INDEX(ERP資料!$G:$G, (MATCH(63, 輔助計算!$G$2:$G$801, 0)+1))&lt;=46.5,2,1)), IF(INDEX(ERP資料!$G:$G, (MATCH(63, 輔助計算!$G$2:$G$801, 0)+1))&lt;=790,3,IF(INDEX(ERP資料!$G:$G, (MATCH(63, 輔助計算!$G$2:$G$801, 0)+1))&lt;=1181,2,1))))&gt;0, IF(IF(INDEX(ERP資料!$G:$G, (MATCH(63, 輔助計算!$G$2:$G$801, 0)+1))&lt;100, IF(INDEX(ERP資料!$G:$G, (MATCH(63, 輔助計算!$G$2:$G$801, 0)+1))&lt;=31,3,IF(INDEX(ERP資料!$G:$G, (MATCH(63, 輔助計算!$G$2:$G$801, 0)+1))&lt;=46.5,2,1)), IF(INDEX(ERP資料!$G:$G, (MATCH(63, 輔助計算!$G$2:$G$801, 0)+1))&lt;=790,3,IF(INDEX(ERP資料!$G:$G, (MATCH(63, 輔助計算!$G$2:$G$801, 0)+1))&lt;=1181,2,1)))=1,TEXT(INDEX(ERP資料!$G:$G, (MATCH(63, 輔助計算!$G$2:$G$801, 0)+1)),"0.##"),IF(IF(INDEX(ERP資料!$G:$G, (MATCH(63, 輔助計算!$G$2:$G$801, 0)+1))&lt;100, IF(INDEX(ERP資料!$G:$G, (MATCH(63, 輔助計算!$G$2:$G$801, 0)+1))&lt;=31,3,IF(INDEX(ERP資料!$G:$G, (MATCH(63, 輔助計算!$G$2:$G$801, 0)+1))&lt;=46.5,2,1)), IF(INDEX(ERP資料!$G:$G, (MATCH(63, 輔助計算!$G$2:$G$801, 0)+1))&lt;=790,3,IF(INDEX(ERP資料!$G:$G, (MATCH(63, 輔助計算!$G$2:$G$801, 0)+1))&lt;=1181,2,1)))=2,TEXT(INDEX(ERP資料!$G:$G, (MATCH(63, 輔助計算!$G$2:$G$801, 0)+1)),"0.##")&amp;"+"&amp;TEXT(INDEX(ERP資料!$G:$G, (MATCH(63, 輔助計算!$G$2:$G$801, 0)+1)),"0.##"),TEXT(INDEX(ERP資料!$G:$G, (MATCH(63, 輔助計算!$G$2:$G$801, 0)+1)),"0.##")&amp;"+"&amp;TEXT(INDEX(ERP資料!$G:$G, (MATCH(63, 輔助計算!$G$2:$G$801, 0)+1)),"0.##")&amp;"+"&amp;TEXT(INDEX(ERP資料!$G:$G, (MATCH(63, 輔助計算!$G$2:$G$801, 0)+1)),"0.##")))&amp;"-"&amp;INT(INDEX(輔助計算!$D:$D, (MATCH(63, 輔助計算!$G$2:$G$801, 0)+1))/IF(INDEX(ERP資料!$G:$G, (MATCH(63, 輔助計算!$G$2:$G$801, 0)+1))&lt;100, IF(INDEX(ERP資料!$G:$G, (MATCH(63, 輔助計算!$G$2:$G$801, 0)+1))&lt;=31,3,IF(INDEX(ERP資料!$G:$G, (MATCH(63, 輔助計算!$G$2:$G$801, 0)+1))&lt;=46.5,2,1)), IF(INDEX(ERP資料!$G:$G, (MATCH(63, 輔助計算!$G$2:$G$801, 0)+1))&lt;=790,3,IF(INDEX(ERP資料!$G:$G, (MATCH(63, 輔助計算!$G$2:$G$801, 0)+1))&lt;=1181,2,1)))), "")&amp;IF(AND(IF(INT(INDEX(輔助計算!$D:$D, (MATCH(63, 輔助計算!$G$2:$G$801, 0)+1))/IF(INDEX(ERP資料!$G:$G, (MATCH(63, 輔助計算!$G$2:$G$801, 0)+1))&lt;100, IF(INDEX(ERP資料!$G:$G, (MATCH(63, 輔助計算!$G$2:$G$801, 0)+1))&lt;=31,3,IF(INDEX(ERP資料!$G:$G, (MATCH(63, 輔助計算!$G$2:$G$801, 0)+1))&lt;=46.5,2,1)), IF(INDEX(ERP資料!$G:$G, (MATCH(63, 輔助計算!$G$2:$G$801, 0)+1))&lt;=790,3,IF(INDEX(ERP資料!$G:$G, (MATCH(63, 輔助計算!$G$2:$G$801, 0)+1))&lt;=1181,2,1))))&gt;0, IF(IF(INDEX(ERP資料!$G:$G, (MATCH(63, 輔助計算!$G$2:$G$801, 0)+1))&lt;100, IF(INDEX(ERP資料!$G:$G, (MATCH(63, 輔助計算!$G$2:$G$801, 0)+1))&lt;=31,3,IF(INDEX(ERP資料!$G:$G, (MATCH(63, 輔助計算!$G$2:$G$801, 0)+1))&lt;=46.5,2,1)), IF(INDEX(ERP資料!$G:$G, (MATCH(63, 輔助計算!$G$2:$G$801, 0)+1))&lt;=790,3,IF(INDEX(ERP資料!$G:$G, (MATCH(63, 輔助計算!$G$2:$G$801, 0)+1))&lt;=1181,2,1)))=1,TEXT(INDEX(ERP資料!$G:$G, (MATCH(63, 輔助計算!$G$2:$G$801, 0)+1)),"0.##"),IF(IF(INDEX(ERP資料!$G:$G, (MATCH(63, 輔助計算!$G$2:$G$801, 0)+1))&lt;100, IF(INDEX(ERP資料!$G:$G, (MATCH(63, 輔助計算!$G$2:$G$801, 0)+1))&lt;=31,3,IF(INDEX(ERP資料!$G:$G, (MATCH(63, 輔助計算!$G$2:$G$801, 0)+1))&lt;=46.5,2,1)), IF(INDEX(ERP資料!$G:$G, (MATCH(63, 輔助計算!$G$2:$G$801, 0)+1))&lt;=790,3,IF(INDEX(ERP資料!$G:$G, (MATCH(63, 輔助計算!$G$2:$G$801, 0)+1))&lt;=1181,2,1)))=2,TEXT(INDEX(ERP資料!$G:$G, (MATCH(63, 輔助計算!$G$2:$G$801, 0)+1)),"0.##")&amp;"+"&amp;TEXT(INDEX(ERP資料!$G:$G, (MATCH(63, 輔助計算!$G$2:$G$801, 0)+1)),"0.##"),TEXT(INDEX(ERP資料!$G:$G, (MATCH(63, 輔助計算!$G$2:$G$801, 0)+1)),"0.##")&amp;"+"&amp;TEXT(INDEX(ERP資料!$G:$G, (MATCH(63, 輔助計算!$G$2:$G$801, 0)+1)),"0.##")&amp;"+"&amp;TEXT(INDEX(ERP資料!$G:$G, (MATCH(63, 輔助計算!$G$2:$G$801, 0)+1)),"0.##")))&amp;"-"&amp;INT(INDEX(輔助計算!$D:$D, (MATCH(63, 輔助計算!$G$2:$G$801, 0)+1))/IF(INDEX(ERP資料!$G:$G, (MATCH(63, 輔助計算!$G$2:$G$801, 0)+1))&lt;100, IF(INDEX(ERP資料!$G:$G, (MATCH(63, 輔助計算!$G$2:$G$801, 0)+1))&lt;=31,3,IF(INDEX(ERP資料!$G:$G, (MATCH(63, 輔助計算!$G$2:$G$801, 0)+1))&lt;=46.5,2,1)), IF(INDEX(ERP資料!$G:$G, (MATCH(63, 輔助計算!$G$2:$G$801, 0)+1))&lt;=790,3,IF(INDEX(ERP資料!$G:$G, (MATCH(63, 輔助計算!$G$2:$G$801, 0)+1))&lt;=1181,2,1)))), "")&lt;&gt;"",IF(MOD(INDEX(輔助計算!$D:$D, (MATCH(63, 輔助計算!$G$2:$G$801, 0)+1)),IF(INDEX(ERP資料!$G:$G, (MATCH(63, 輔助計算!$G$2:$G$801, 0)+1))&lt;100, IF(INDEX(ERP資料!$G:$G, (MATCH(63, 輔助計算!$G$2:$G$801, 0)+1))&lt;=31,3,IF(INDEX(ERP資料!$G:$G, (MATCH(63, 輔助計算!$G$2:$G$801, 0)+1))&lt;=46.5,2,1)), IF(INDEX(ERP資料!$G:$G, (MATCH(63, 輔助計算!$G$2:$G$801, 0)+1))&lt;=790,3,IF(INDEX(ERP資料!$G:$G, (MATCH(63, 輔助計算!$G$2:$G$801, 0)+1))&lt;=1181,2,1))))=0,"",IF(MOD(INDEX(輔助計算!$D:$D, (MATCH(63, 輔助計算!$G$2:$G$801, 0)+1)),IF(INDEX(ERP資料!$G:$G, (MATCH(63, 輔助計算!$G$2:$G$801, 0)+1))&lt;100, IF(INDEX(ERP資料!$G:$G, (MATCH(63, 輔助計算!$G$2:$G$801, 0)+1))&lt;=31,3,IF(INDEX(ERP資料!$G:$G, (MATCH(63, 輔助計算!$G$2:$G$801, 0)+1))&lt;=46.5,2,1)), IF(INDEX(ERP資料!$G:$G, (MATCH(63, 輔助計算!$G$2:$G$801, 0)+1))&lt;=790,3,IF(INDEX(ERP資料!$G:$G, (MATCH(63, 輔助計算!$G$2:$G$801, 0)+1))&lt;=1181,2,1))))=0,"",IF(MOD(INDEX(輔助計算!$D:$D, (MATCH(63, 輔助計算!$G$2:$G$801, 0)+1)),IF(INDEX(ERP資料!$G:$G, (MATCH(63, 輔助計算!$G$2:$G$801, 0)+1))&lt;100, IF(INDEX(ERP資料!$G:$G, (MATCH(63, 輔助計算!$G$2:$G$801, 0)+1))&lt;=31,3,IF(INDEX(ERP資料!$G:$G, (MATCH(63, 輔助計算!$G$2:$G$801, 0)+1))&lt;=46.5,2,1)), IF(INDEX(ERP資料!$G:$G, (MATCH(63, 輔助計算!$G$2:$G$801, 0)+1))&lt;=790,3,IF(INDEX(ERP資料!$G:$G, (MATCH(63, 輔助計算!$G$2:$G$801, 0)+1))&lt;=1181,2,1))))=1,TEXT(INDEX(ERP資料!$G:$G, (MATCH(63, 輔助計算!$G$2:$G$801, 0)+1)),"0.##"),IF(MOD(INDEX(輔助計算!$D:$D, (MATCH(63, 輔助計算!$G$2:$G$801, 0)+1)),IF(INDEX(ERP資料!$G:$G, (MATCH(63, 輔助計算!$G$2:$G$801, 0)+1))&lt;100, IF(INDEX(ERP資料!$G:$G, (MATCH(63, 輔助計算!$G$2:$G$801, 0)+1))&lt;=31,3,IF(INDEX(ERP資料!$G:$G, (MATCH(63, 輔助計算!$G$2:$G$801, 0)+1))&lt;=46.5,2,1)), IF(INDEX(ERP資料!$G:$G, (MATCH(63, 輔助計算!$G$2:$G$801, 0)+1))&lt;=790,3,IF(INDEX(ERP資料!$G:$G, (MATCH(63, 輔助計算!$G$2:$G$801, 0)+1))&lt;=1181,2,1))))=2,TEXT(INDEX(ERP資料!$G:$G, (MATCH(63, 輔助計算!$G$2:$G$801, 0)+1)),"0.##")&amp;"+"&amp;TEXT(INDEX(ERP資料!$G:$G, (MATCH(63, 輔助計算!$G$2:$G$801, 0)+1)),"0.##"),TEXT(INDEX(ERP資料!$G:$G, (MATCH(63, 輔助計算!$G$2:$G$801, 0)+1)),"0.##")&amp;"+"&amp;TEXT(INDEX(ERP資料!$G:$G, (MATCH(63, 輔助計算!$G$2:$G$801, 0)+1)),"0.##")&amp;"+"&amp;TEXT(INDEX(ERP資料!$G:$G, (MATCH(63, 輔助計算!$G$2:$G$801, 0)+1)),"0.##"))))&amp;"-1")&lt;&gt;""),"  ","")&amp;IF(MOD(INDEX(輔助計算!$D:$D, (MATCH(63, 輔助計算!$G$2:$G$801, 0)+1)),IF(INDEX(ERP資料!$G:$G, (MATCH(63, 輔助計算!$G$2:$G$801, 0)+1))&lt;100, IF(INDEX(ERP資料!$G:$G, (MATCH(63, 輔助計算!$G$2:$G$801, 0)+1))&lt;=31,3,IF(INDEX(ERP資料!$G:$G, (MATCH(63, 輔助計算!$G$2:$G$801, 0)+1))&lt;=46.5,2,1)), IF(INDEX(ERP資料!$G:$G, (MATCH(63, 輔助計算!$G$2:$G$801, 0)+1))&lt;=790,3,IF(INDEX(ERP資料!$G:$G, (MATCH(63, 輔助計算!$G$2:$G$801, 0)+1))&lt;=1181,2,1))))=0,"",IF(MOD(INDEX(輔助計算!$D:$D, (MATCH(63, 輔助計算!$G$2:$G$801, 0)+1)),IF(INDEX(ERP資料!$G:$G, (MATCH(63, 輔助計算!$G$2:$G$801, 0)+1))&lt;100, IF(INDEX(ERP資料!$G:$G, (MATCH(63, 輔助計算!$G$2:$G$801, 0)+1))&lt;=31,3,IF(INDEX(ERP資料!$G:$G, (MATCH(63, 輔助計算!$G$2:$G$801, 0)+1))&lt;=46.5,2,1)), IF(INDEX(ERP資料!$G:$G, (MATCH(63, 輔助計算!$G$2:$G$801, 0)+1))&lt;=790,3,IF(INDEX(ERP資料!$G:$G, (MATCH(63, 輔助計算!$G$2:$G$801, 0)+1))&lt;=1181,2,1))))=0,"",IF(MOD(INDEX(輔助計算!$D:$D, (MATCH(63, 輔助計算!$G$2:$G$801, 0)+1)),IF(INDEX(ERP資料!$G:$G, (MATCH(63, 輔助計算!$G$2:$G$801, 0)+1))&lt;100, IF(INDEX(ERP資料!$G:$G, (MATCH(63, 輔助計算!$G$2:$G$801, 0)+1))&lt;=31,3,IF(INDEX(ERP資料!$G:$G, (MATCH(63, 輔助計算!$G$2:$G$801, 0)+1))&lt;=46.5,2,1)), IF(INDEX(ERP資料!$G:$G, (MATCH(63, 輔助計算!$G$2:$G$801, 0)+1))&lt;=790,3,IF(INDEX(ERP資料!$G:$G, (MATCH(63, 輔助計算!$G$2:$G$801, 0)+1))&lt;=1181,2,1))))=1,TEXT(INDEX(ERP資料!$G:$G, (MATCH(63, 輔助計算!$G$2:$G$801, 0)+1)),"0.##"),IF(MOD(INDEX(輔助計算!$D:$D, (MATCH(63, 輔助計算!$G$2:$G$801, 0)+1)),IF(INDEX(ERP資料!$G:$G, (MATCH(63, 輔助計算!$G$2:$G$801, 0)+1))&lt;100, IF(INDEX(ERP資料!$G:$G, (MATCH(63, 輔助計算!$G$2:$G$801, 0)+1))&lt;=31,3,IF(INDEX(ERP資料!$G:$G, (MATCH(63, 輔助計算!$G$2:$G$801, 0)+1))&lt;=46.5,2,1)), IF(INDEX(ERP資料!$G:$G, (MATCH(63, 輔助計算!$G$2:$G$801, 0)+1))&lt;=790,3,IF(INDEX(ERP資料!$G:$G, (MATCH(63, 輔助計算!$G$2:$G$801, 0)+1))&lt;=1181,2,1))))=2,TEXT(INDEX(ERP資料!$G:$G, (MATCH(63, 輔助計算!$G$2:$G$801, 0)+1)),"0.##")&amp;"+"&amp;TEXT(INDEX(ERP資料!$G:$G, (MATCH(63, 輔助計算!$G$2:$G$801, 0)+1)),"0.##"),TEXT(INDEX(ERP資料!$G:$G, (MATCH(63, 輔助計算!$G$2:$G$801, 0)+1)),"0.##")&amp;"+"&amp;TEXT(INDEX(ERP資料!$G:$G, (MATCH(63, 輔助計算!$G$2:$G$801, 0)+1)),"0.##")&amp;"+"&amp;TEXT(INDEX(ERP資料!$G:$G, (MATCH(63, 輔助計算!$G$2:$G$801, 0)+1)),"0.##"))))&amp;"-1")), ""), "")</f>
        <v/>
      </c>
      <c r="K64" s="16" t="n"/>
      <c r="L64" s="14">
        <f>IFERROR(IF(AND(IFERROR(INDEX(ERP資料!$A:$A, (MATCH(63, 輔助計算!$G$2:$G$801, 0)+1)), "")&lt;&gt;"", IFERROR(INDEX(ERP資料!$A:$A, (MATCH(63, 輔助計算!$G$2:$G$801, 0)+1)), "")&lt;&gt;IFERROR(INDEX(ERP資料!$A:$A, MATCH(62, 輔助計算!$G$2:$G$801, 0)+1), "")), INDEX(ERP資料!$B:$B, (MATCH(63, 輔助計算!$G$2:$G$801, 0)+1)), ""), "")</f>
        <v/>
      </c>
      <c r="M64" s="17" t="n"/>
    </row>
    <row r="65">
      <c r="A65" s="10">
        <f>IFERROR(IF(AND(IFERROR(INDEX(ERP資料!$A:$A, (MATCH(64, 輔助計算!$G$2:$G$801, 0)+1)), "")&lt;&gt;"", IFERROR(INDEX(ERP資料!$A:$A, (MATCH(64, 輔助計算!$G$2:$G$801, 0)+1)), "")&lt;&gt;IFERROR(INDEX(ERP資料!$A:$A, MATCH(63, 輔助計算!$G$2:$G$801, 0)+1), "")), IFERROR(INDEX(ERP資料!$A:$A, (MATCH(64, 輔助計算!$G$2:$G$801, 0)+1)), ""), ""), "")</f>
        <v/>
      </c>
      <c r="B65" s="10">
        <f>IFERROR(IF(AND(IFERROR(INDEX(ERP資料!$A:$A, (MATCH(64, 輔助計算!$G$2:$G$801, 0)+1)), "")&lt;&gt;"", IFERROR(INDEX(ERP資料!$A:$A, (MATCH(64, 輔助計算!$G$2:$G$801, 0)+1)), "")&lt;&gt;IFERROR(INDEX(ERP資料!$A:$A, MATCH(63, 輔助計算!$G$2:$G$801, 0)+1), "")), INDEX(ERP資料!$S:$S, (MATCH(64, 輔助計算!$G$2:$G$801, 0)+1)), ""), "")</f>
        <v/>
      </c>
      <c r="C65" s="19">
        <f>IFERROR(IF(AND(IFERROR(INDEX(ERP資料!$A:$A, (MATCH(64, 輔助計算!$G$2:$G$801, 0)+1)), "")&lt;&gt;"", IFERROR(INDEX(ERP資料!$A:$A, (MATCH(64, 輔助計算!$G$2:$G$801, 0)+1)), "")&lt;&gt;IFERROR(INDEX(ERP資料!$A:$A, MATCH(63, 輔助計算!$G$2:$G$801, 0)+1), "")), IFERROR(VLOOKUP(LEFT(INDEX(ERP資料!$S:$S, (MATCH(64, 輔助計算!$G$2:$G$801, 0)+1)), 4), 紙管對照表!$A:$C, 3, FALSE), ""), ""), "")</f>
        <v/>
      </c>
      <c r="D65" s="16" t="n"/>
      <c r="E65" s="10">
        <f>IFERROR(IF(INDEX(ERP資料!$H:$H, (MATCH(64, 輔助計算!$G$2:$G$801, 0)+1))="","",INDEX(ERP資料!$H:$H, (MATCH(64, 輔助計算!$G$2:$G$801, 0)+1))), "")</f>
        <v/>
      </c>
      <c r="F65" s="10">
        <f>IFERROR(IF(INDEX(ERP資料!$E:$E, (MATCH(64, 輔助計算!$G$2:$G$801, 0)+1))="","",TRIM(INDEX(ERP資料!$E:$E, (MATCH(64, 輔助計算!$G$2:$G$801, 0)+1)))), "")</f>
        <v/>
      </c>
      <c r="G65" s="10">
        <f>IFERROR(IF(INDEX(ERP資料!$F:$F, (MATCH(64, 輔助計算!$G$2:$G$801, 0)+1))="","",INDEX(ERP資料!$F:$F, (MATCH(64, 輔助計算!$G$2:$G$801, 0)+1))), "")</f>
        <v/>
      </c>
      <c r="H65" s="10">
        <f>IFERROR(IF(INDEX(ERP資料!$G:$G, (MATCH(64, 輔助計算!$G$2:$G$801, 0)+1))="","",INDEX(ERP資料!$G:$G, (MATCH(64, 輔助計算!$G$2:$G$801, 0)+1))), "")</f>
        <v/>
      </c>
      <c r="I65" s="15">
        <f>IFERROR(INDEX(輔助計算!$D:$D, (MATCH(64, 輔助計算!$G$2:$G$801, 0)+1)), "")</f>
        <v/>
      </c>
      <c r="J65" s="15">
        <f>IFERROR(IF(AND(INDEX(輔助計算!$D:$D, (MATCH(64, 輔助計算!$G$2:$G$801, 0)+1))&lt;&gt;"", INDEX(ERP資料!$G:$G, (MATCH(64, 輔助計算!$G$2:$G$801, 0)+1))&lt;&gt;""), TRIM(IF(INT(INDEX(輔助計算!$D:$D, (MATCH(64, 輔助計算!$G$2:$G$801, 0)+1))/IF(INDEX(ERP資料!$G:$G, (MATCH(64, 輔助計算!$G$2:$G$801, 0)+1))&lt;100, IF(INDEX(ERP資料!$G:$G, (MATCH(64, 輔助計算!$G$2:$G$801, 0)+1))&lt;=31,3,IF(INDEX(ERP資料!$G:$G, (MATCH(64, 輔助計算!$G$2:$G$801, 0)+1))&lt;=46.5,2,1)), IF(INDEX(ERP資料!$G:$G, (MATCH(64, 輔助計算!$G$2:$G$801, 0)+1))&lt;=790,3,IF(INDEX(ERP資料!$G:$G, (MATCH(64, 輔助計算!$G$2:$G$801, 0)+1))&lt;=1181,2,1))))&gt;0, IF(IF(INDEX(ERP資料!$G:$G, (MATCH(64, 輔助計算!$G$2:$G$801, 0)+1))&lt;100, IF(INDEX(ERP資料!$G:$G, (MATCH(64, 輔助計算!$G$2:$G$801, 0)+1))&lt;=31,3,IF(INDEX(ERP資料!$G:$G, (MATCH(64, 輔助計算!$G$2:$G$801, 0)+1))&lt;=46.5,2,1)), IF(INDEX(ERP資料!$G:$G, (MATCH(64, 輔助計算!$G$2:$G$801, 0)+1))&lt;=790,3,IF(INDEX(ERP資料!$G:$G, (MATCH(64, 輔助計算!$G$2:$G$801, 0)+1))&lt;=1181,2,1)))=1,TEXT(INDEX(ERP資料!$G:$G, (MATCH(64, 輔助計算!$G$2:$G$801, 0)+1)),"0.##"),IF(IF(INDEX(ERP資料!$G:$G, (MATCH(64, 輔助計算!$G$2:$G$801, 0)+1))&lt;100, IF(INDEX(ERP資料!$G:$G, (MATCH(64, 輔助計算!$G$2:$G$801, 0)+1))&lt;=31,3,IF(INDEX(ERP資料!$G:$G, (MATCH(64, 輔助計算!$G$2:$G$801, 0)+1))&lt;=46.5,2,1)), IF(INDEX(ERP資料!$G:$G, (MATCH(64, 輔助計算!$G$2:$G$801, 0)+1))&lt;=790,3,IF(INDEX(ERP資料!$G:$G, (MATCH(64, 輔助計算!$G$2:$G$801, 0)+1))&lt;=1181,2,1)))=2,TEXT(INDEX(ERP資料!$G:$G, (MATCH(64, 輔助計算!$G$2:$G$801, 0)+1)),"0.##")&amp;"+"&amp;TEXT(INDEX(ERP資料!$G:$G, (MATCH(64, 輔助計算!$G$2:$G$801, 0)+1)),"0.##"),TEXT(INDEX(ERP資料!$G:$G, (MATCH(64, 輔助計算!$G$2:$G$801, 0)+1)),"0.##")&amp;"+"&amp;TEXT(INDEX(ERP資料!$G:$G, (MATCH(64, 輔助計算!$G$2:$G$801, 0)+1)),"0.##")&amp;"+"&amp;TEXT(INDEX(ERP資料!$G:$G, (MATCH(64, 輔助計算!$G$2:$G$801, 0)+1)),"0.##")))&amp;"-"&amp;INT(INDEX(輔助計算!$D:$D, (MATCH(64, 輔助計算!$G$2:$G$801, 0)+1))/IF(INDEX(ERP資料!$G:$G, (MATCH(64, 輔助計算!$G$2:$G$801, 0)+1))&lt;100, IF(INDEX(ERP資料!$G:$G, (MATCH(64, 輔助計算!$G$2:$G$801, 0)+1))&lt;=31,3,IF(INDEX(ERP資料!$G:$G, (MATCH(64, 輔助計算!$G$2:$G$801, 0)+1))&lt;=46.5,2,1)), IF(INDEX(ERP資料!$G:$G, (MATCH(64, 輔助計算!$G$2:$G$801, 0)+1))&lt;=790,3,IF(INDEX(ERP資料!$G:$G, (MATCH(64, 輔助計算!$G$2:$G$801, 0)+1))&lt;=1181,2,1)))), "")&amp;IF(AND(IF(INT(INDEX(輔助計算!$D:$D, (MATCH(64, 輔助計算!$G$2:$G$801, 0)+1))/IF(INDEX(ERP資料!$G:$G, (MATCH(64, 輔助計算!$G$2:$G$801, 0)+1))&lt;100, IF(INDEX(ERP資料!$G:$G, (MATCH(64, 輔助計算!$G$2:$G$801, 0)+1))&lt;=31,3,IF(INDEX(ERP資料!$G:$G, (MATCH(64, 輔助計算!$G$2:$G$801, 0)+1))&lt;=46.5,2,1)), IF(INDEX(ERP資料!$G:$G, (MATCH(64, 輔助計算!$G$2:$G$801, 0)+1))&lt;=790,3,IF(INDEX(ERP資料!$G:$G, (MATCH(64, 輔助計算!$G$2:$G$801, 0)+1))&lt;=1181,2,1))))&gt;0, IF(IF(INDEX(ERP資料!$G:$G, (MATCH(64, 輔助計算!$G$2:$G$801, 0)+1))&lt;100, IF(INDEX(ERP資料!$G:$G, (MATCH(64, 輔助計算!$G$2:$G$801, 0)+1))&lt;=31,3,IF(INDEX(ERP資料!$G:$G, (MATCH(64, 輔助計算!$G$2:$G$801, 0)+1))&lt;=46.5,2,1)), IF(INDEX(ERP資料!$G:$G, (MATCH(64, 輔助計算!$G$2:$G$801, 0)+1))&lt;=790,3,IF(INDEX(ERP資料!$G:$G, (MATCH(64, 輔助計算!$G$2:$G$801, 0)+1))&lt;=1181,2,1)))=1,TEXT(INDEX(ERP資料!$G:$G, (MATCH(64, 輔助計算!$G$2:$G$801, 0)+1)),"0.##"),IF(IF(INDEX(ERP資料!$G:$G, (MATCH(64, 輔助計算!$G$2:$G$801, 0)+1))&lt;100, IF(INDEX(ERP資料!$G:$G, (MATCH(64, 輔助計算!$G$2:$G$801, 0)+1))&lt;=31,3,IF(INDEX(ERP資料!$G:$G, (MATCH(64, 輔助計算!$G$2:$G$801, 0)+1))&lt;=46.5,2,1)), IF(INDEX(ERP資料!$G:$G, (MATCH(64, 輔助計算!$G$2:$G$801, 0)+1))&lt;=790,3,IF(INDEX(ERP資料!$G:$G, (MATCH(64, 輔助計算!$G$2:$G$801, 0)+1))&lt;=1181,2,1)))=2,TEXT(INDEX(ERP資料!$G:$G, (MATCH(64, 輔助計算!$G$2:$G$801, 0)+1)),"0.##")&amp;"+"&amp;TEXT(INDEX(ERP資料!$G:$G, (MATCH(64, 輔助計算!$G$2:$G$801, 0)+1)),"0.##"),TEXT(INDEX(ERP資料!$G:$G, (MATCH(64, 輔助計算!$G$2:$G$801, 0)+1)),"0.##")&amp;"+"&amp;TEXT(INDEX(ERP資料!$G:$G, (MATCH(64, 輔助計算!$G$2:$G$801, 0)+1)),"0.##")&amp;"+"&amp;TEXT(INDEX(ERP資料!$G:$G, (MATCH(64, 輔助計算!$G$2:$G$801, 0)+1)),"0.##")))&amp;"-"&amp;INT(INDEX(輔助計算!$D:$D, (MATCH(64, 輔助計算!$G$2:$G$801, 0)+1))/IF(INDEX(ERP資料!$G:$G, (MATCH(64, 輔助計算!$G$2:$G$801, 0)+1))&lt;100, IF(INDEX(ERP資料!$G:$G, (MATCH(64, 輔助計算!$G$2:$G$801, 0)+1))&lt;=31,3,IF(INDEX(ERP資料!$G:$G, (MATCH(64, 輔助計算!$G$2:$G$801, 0)+1))&lt;=46.5,2,1)), IF(INDEX(ERP資料!$G:$G, (MATCH(64, 輔助計算!$G$2:$G$801, 0)+1))&lt;=790,3,IF(INDEX(ERP資料!$G:$G, (MATCH(64, 輔助計算!$G$2:$G$801, 0)+1))&lt;=1181,2,1)))), "")&lt;&gt;"",IF(MOD(INDEX(輔助計算!$D:$D, (MATCH(64, 輔助計算!$G$2:$G$801, 0)+1)),IF(INDEX(ERP資料!$G:$G, (MATCH(64, 輔助計算!$G$2:$G$801, 0)+1))&lt;100, IF(INDEX(ERP資料!$G:$G, (MATCH(64, 輔助計算!$G$2:$G$801, 0)+1))&lt;=31,3,IF(INDEX(ERP資料!$G:$G, (MATCH(64, 輔助計算!$G$2:$G$801, 0)+1))&lt;=46.5,2,1)), IF(INDEX(ERP資料!$G:$G, (MATCH(64, 輔助計算!$G$2:$G$801, 0)+1))&lt;=790,3,IF(INDEX(ERP資料!$G:$G, (MATCH(64, 輔助計算!$G$2:$G$801, 0)+1))&lt;=1181,2,1))))=0,"",IF(MOD(INDEX(輔助計算!$D:$D, (MATCH(64, 輔助計算!$G$2:$G$801, 0)+1)),IF(INDEX(ERP資料!$G:$G, (MATCH(64, 輔助計算!$G$2:$G$801, 0)+1))&lt;100, IF(INDEX(ERP資料!$G:$G, (MATCH(64, 輔助計算!$G$2:$G$801, 0)+1))&lt;=31,3,IF(INDEX(ERP資料!$G:$G, (MATCH(64, 輔助計算!$G$2:$G$801, 0)+1))&lt;=46.5,2,1)), IF(INDEX(ERP資料!$G:$G, (MATCH(64, 輔助計算!$G$2:$G$801, 0)+1))&lt;=790,3,IF(INDEX(ERP資料!$G:$G, (MATCH(64, 輔助計算!$G$2:$G$801, 0)+1))&lt;=1181,2,1))))=0,"",IF(MOD(INDEX(輔助計算!$D:$D, (MATCH(64, 輔助計算!$G$2:$G$801, 0)+1)),IF(INDEX(ERP資料!$G:$G, (MATCH(64, 輔助計算!$G$2:$G$801, 0)+1))&lt;100, IF(INDEX(ERP資料!$G:$G, (MATCH(64, 輔助計算!$G$2:$G$801, 0)+1))&lt;=31,3,IF(INDEX(ERP資料!$G:$G, (MATCH(64, 輔助計算!$G$2:$G$801, 0)+1))&lt;=46.5,2,1)), IF(INDEX(ERP資料!$G:$G, (MATCH(64, 輔助計算!$G$2:$G$801, 0)+1))&lt;=790,3,IF(INDEX(ERP資料!$G:$G, (MATCH(64, 輔助計算!$G$2:$G$801, 0)+1))&lt;=1181,2,1))))=1,TEXT(INDEX(ERP資料!$G:$G, (MATCH(64, 輔助計算!$G$2:$G$801, 0)+1)),"0.##"),IF(MOD(INDEX(輔助計算!$D:$D, (MATCH(64, 輔助計算!$G$2:$G$801, 0)+1)),IF(INDEX(ERP資料!$G:$G, (MATCH(64, 輔助計算!$G$2:$G$801, 0)+1))&lt;100, IF(INDEX(ERP資料!$G:$G, (MATCH(64, 輔助計算!$G$2:$G$801, 0)+1))&lt;=31,3,IF(INDEX(ERP資料!$G:$G, (MATCH(64, 輔助計算!$G$2:$G$801, 0)+1))&lt;=46.5,2,1)), IF(INDEX(ERP資料!$G:$G, (MATCH(64, 輔助計算!$G$2:$G$801, 0)+1))&lt;=790,3,IF(INDEX(ERP資料!$G:$G, (MATCH(64, 輔助計算!$G$2:$G$801, 0)+1))&lt;=1181,2,1))))=2,TEXT(INDEX(ERP資料!$G:$G, (MATCH(64, 輔助計算!$G$2:$G$801, 0)+1)),"0.##")&amp;"+"&amp;TEXT(INDEX(ERP資料!$G:$G, (MATCH(64, 輔助計算!$G$2:$G$801, 0)+1)),"0.##"),TEXT(INDEX(ERP資料!$G:$G, (MATCH(64, 輔助計算!$G$2:$G$801, 0)+1)),"0.##")&amp;"+"&amp;TEXT(INDEX(ERP資料!$G:$G, (MATCH(64, 輔助計算!$G$2:$G$801, 0)+1)),"0.##")&amp;"+"&amp;TEXT(INDEX(ERP資料!$G:$G, (MATCH(64, 輔助計算!$G$2:$G$801, 0)+1)),"0.##"))))&amp;"-1")&lt;&gt;""),"  ","")&amp;IF(MOD(INDEX(輔助計算!$D:$D, (MATCH(64, 輔助計算!$G$2:$G$801, 0)+1)),IF(INDEX(ERP資料!$G:$G, (MATCH(64, 輔助計算!$G$2:$G$801, 0)+1))&lt;100, IF(INDEX(ERP資料!$G:$G, (MATCH(64, 輔助計算!$G$2:$G$801, 0)+1))&lt;=31,3,IF(INDEX(ERP資料!$G:$G, (MATCH(64, 輔助計算!$G$2:$G$801, 0)+1))&lt;=46.5,2,1)), IF(INDEX(ERP資料!$G:$G, (MATCH(64, 輔助計算!$G$2:$G$801, 0)+1))&lt;=790,3,IF(INDEX(ERP資料!$G:$G, (MATCH(64, 輔助計算!$G$2:$G$801, 0)+1))&lt;=1181,2,1))))=0,"",IF(MOD(INDEX(輔助計算!$D:$D, (MATCH(64, 輔助計算!$G$2:$G$801, 0)+1)),IF(INDEX(ERP資料!$G:$G, (MATCH(64, 輔助計算!$G$2:$G$801, 0)+1))&lt;100, IF(INDEX(ERP資料!$G:$G, (MATCH(64, 輔助計算!$G$2:$G$801, 0)+1))&lt;=31,3,IF(INDEX(ERP資料!$G:$G, (MATCH(64, 輔助計算!$G$2:$G$801, 0)+1))&lt;=46.5,2,1)), IF(INDEX(ERP資料!$G:$G, (MATCH(64, 輔助計算!$G$2:$G$801, 0)+1))&lt;=790,3,IF(INDEX(ERP資料!$G:$G, (MATCH(64, 輔助計算!$G$2:$G$801, 0)+1))&lt;=1181,2,1))))=0,"",IF(MOD(INDEX(輔助計算!$D:$D, (MATCH(64, 輔助計算!$G$2:$G$801, 0)+1)),IF(INDEX(ERP資料!$G:$G, (MATCH(64, 輔助計算!$G$2:$G$801, 0)+1))&lt;100, IF(INDEX(ERP資料!$G:$G, (MATCH(64, 輔助計算!$G$2:$G$801, 0)+1))&lt;=31,3,IF(INDEX(ERP資料!$G:$G, (MATCH(64, 輔助計算!$G$2:$G$801, 0)+1))&lt;=46.5,2,1)), IF(INDEX(ERP資料!$G:$G, (MATCH(64, 輔助計算!$G$2:$G$801, 0)+1))&lt;=790,3,IF(INDEX(ERP資料!$G:$G, (MATCH(64, 輔助計算!$G$2:$G$801, 0)+1))&lt;=1181,2,1))))=1,TEXT(INDEX(ERP資料!$G:$G, (MATCH(64, 輔助計算!$G$2:$G$801, 0)+1)),"0.##"),IF(MOD(INDEX(輔助計算!$D:$D, (MATCH(64, 輔助計算!$G$2:$G$801, 0)+1)),IF(INDEX(ERP資料!$G:$G, (MATCH(64, 輔助計算!$G$2:$G$801, 0)+1))&lt;100, IF(INDEX(ERP資料!$G:$G, (MATCH(64, 輔助計算!$G$2:$G$801, 0)+1))&lt;=31,3,IF(INDEX(ERP資料!$G:$G, (MATCH(64, 輔助計算!$G$2:$G$801, 0)+1))&lt;=46.5,2,1)), IF(INDEX(ERP資料!$G:$G, (MATCH(64, 輔助計算!$G$2:$G$801, 0)+1))&lt;=790,3,IF(INDEX(ERP資料!$G:$G, (MATCH(64, 輔助計算!$G$2:$G$801, 0)+1))&lt;=1181,2,1))))=2,TEXT(INDEX(ERP資料!$G:$G, (MATCH(64, 輔助計算!$G$2:$G$801, 0)+1)),"0.##")&amp;"+"&amp;TEXT(INDEX(ERP資料!$G:$G, (MATCH(64, 輔助計算!$G$2:$G$801, 0)+1)),"0.##"),TEXT(INDEX(ERP資料!$G:$G, (MATCH(64, 輔助計算!$G$2:$G$801, 0)+1)),"0.##")&amp;"+"&amp;TEXT(INDEX(ERP資料!$G:$G, (MATCH(64, 輔助計算!$G$2:$G$801, 0)+1)),"0.##")&amp;"+"&amp;TEXT(INDEX(ERP資料!$G:$G, (MATCH(64, 輔助計算!$G$2:$G$801, 0)+1)),"0.##"))))&amp;"-1")), ""), "")</f>
        <v/>
      </c>
      <c r="K65" s="16" t="n"/>
      <c r="L65" s="14">
        <f>IFERROR(IF(AND(IFERROR(INDEX(ERP資料!$A:$A, (MATCH(64, 輔助計算!$G$2:$G$801, 0)+1)), "")&lt;&gt;"", IFERROR(INDEX(ERP資料!$A:$A, (MATCH(64, 輔助計算!$G$2:$G$801, 0)+1)), "")&lt;&gt;IFERROR(INDEX(ERP資料!$A:$A, MATCH(63, 輔助計算!$G$2:$G$801, 0)+1), "")), INDEX(ERP資料!$B:$B, (MATCH(64, 輔助計算!$G$2:$G$801, 0)+1)), ""), "")</f>
        <v/>
      </c>
      <c r="M65" s="17" t="n"/>
    </row>
    <row r="66">
      <c r="A66" s="10">
        <f>IFERROR(IF(AND(IFERROR(INDEX(ERP資料!$A:$A, (MATCH(65, 輔助計算!$G$2:$G$801, 0)+1)), "")&lt;&gt;"", IFERROR(INDEX(ERP資料!$A:$A, (MATCH(65, 輔助計算!$G$2:$G$801, 0)+1)), "")&lt;&gt;IFERROR(INDEX(ERP資料!$A:$A, MATCH(64, 輔助計算!$G$2:$G$801, 0)+1), "")), IFERROR(INDEX(ERP資料!$A:$A, (MATCH(65, 輔助計算!$G$2:$G$801, 0)+1)), ""), ""), "")</f>
        <v/>
      </c>
      <c r="B66" s="10">
        <f>IFERROR(IF(AND(IFERROR(INDEX(ERP資料!$A:$A, (MATCH(65, 輔助計算!$G$2:$G$801, 0)+1)), "")&lt;&gt;"", IFERROR(INDEX(ERP資料!$A:$A, (MATCH(65, 輔助計算!$G$2:$G$801, 0)+1)), "")&lt;&gt;IFERROR(INDEX(ERP資料!$A:$A, MATCH(64, 輔助計算!$G$2:$G$801, 0)+1), "")), INDEX(ERP資料!$S:$S, (MATCH(65, 輔助計算!$G$2:$G$801, 0)+1)), ""), "")</f>
        <v/>
      </c>
      <c r="C66" s="19">
        <f>IFERROR(IF(AND(IFERROR(INDEX(ERP資料!$A:$A, (MATCH(65, 輔助計算!$G$2:$G$801, 0)+1)), "")&lt;&gt;"", IFERROR(INDEX(ERP資料!$A:$A, (MATCH(65, 輔助計算!$G$2:$G$801, 0)+1)), "")&lt;&gt;IFERROR(INDEX(ERP資料!$A:$A, MATCH(64, 輔助計算!$G$2:$G$801, 0)+1), "")), IFERROR(VLOOKUP(LEFT(INDEX(ERP資料!$S:$S, (MATCH(65, 輔助計算!$G$2:$G$801, 0)+1)), 4), 紙管對照表!$A:$C, 3, FALSE), ""), ""), "")</f>
        <v/>
      </c>
      <c r="D66" s="16" t="n"/>
      <c r="E66" s="10">
        <f>IFERROR(IF(INDEX(ERP資料!$H:$H, (MATCH(65, 輔助計算!$G$2:$G$801, 0)+1))="","",INDEX(ERP資料!$H:$H, (MATCH(65, 輔助計算!$G$2:$G$801, 0)+1))), "")</f>
        <v/>
      </c>
      <c r="F66" s="10">
        <f>IFERROR(IF(INDEX(ERP資料!$E:$E, (MATCH(65, 輔助計算!$G$2:$G$801, 0)+1))="","",TRIM(INDEX(ERP資料!$E:$E, (MATCH(65, 輔助計算!$G$2:$G$801, 0)+1)))), "")</f>
        <v/>
      </c>
      <c r="G66" s="10">
        <f>IFERROR(IF(INDEX(ERP資料!$F:$F, (MATCH(65, 輔助計算!$G$2:$G$801, 0)+1))="","",INDEX(ERP資料!$F:$F, (MATCH(65, 輔助計算!$G$2:$G$801, 0)+1))), "")</f>
        <v/>
      </c>
      <c r="H66" s="10">
        <f>IFERROR(IF(INDEX(ERP資料!$G:$G, (MATCH(65, 輔助計算!$G$2:$G$801, 0)+1))="","",INDEX(ERP資料!$G:$G, (MATCH(65, 輔助計算!$G$2:$G$801, 0)+1))), "")</f>
        <v/>
      </c>
      <c r="I66" s="15">
        <f>IFERROR(INDEX(輔助計算!$D:$D, (MATCH(65, 輔助計算!$G$2:$G$801, 0)+1)), "")</f>
        <v/>
      </c>
      <c r="J66" s="15">
        <f>IFERROR(IF(AND(INDEX(輔助計算!$D:$D, (MATCH(65, 輔助計算!$G$2:$G$801, 0)+1))&lt;&gt;"", INDEX(ERP資料!$G:$G, (MATCH(65, 輔助計算!$G$2:$G$801, 0)+1))&lt;&gt;""), TRIM(IF(INT(INDEX(輔助計算!$D:$D, (MATCH(65, 輔助計算!$G$2:$G$801, 0)+1))/IF(INDEX(ERP資料!$G:$G, (MATCH(65, 輔助計算!$G$2:$G$801, 0)+1))&lt;100, IF(INDEX(ERP資料!$G:$G, (MATCH(65, 輔助計算!$G$2:$G$801, 0)+1))&lt;=31,3,IF(INDEX(ERP資料!$G:$G, (MATCH(65, 輔助計算!$G$2:$G$801, 0)+1))&lt;=46.5,2,1)), IF(INDEX(ERP資料!$G:$G, (MATCH(65, 輔助計算!$G$2:$G$801, 0)+1))&lt;=790,3,IF(INDEX(ERP資料!$G:$G, (MATCH(65, 輔助計算!$G$2:$G$801, 0)+1))&lt;=1181,2,1))))&gt;0, IF(IF(INDEX(ERP資料!$G:$G, (MATCH(65, 輔助計算!$G$2:$G$801, 0)+1))&lt;100, IF(INDEX(ERP資料!$G:$G, (MATCH(65, 輔助計算!$G$2:$G$801, 0)+1))&lt;=31,3,IF(INDEX(ERP資料!$G:$G, (MATCH(65, 輔助計算!$G$2:$G$801, 0)+1))&lt;=46.5,2,1)), IF(INDEX(ERP資料!$G:$G, (MATCH(65, 輔助計算!$G$2:$G$801, 0)+1))&lt;=790,3,IF(INDEX(ERP資料!$G:$G, (MATCH(65, 輔助計算!$G$2:$G$801, 0)+1))&lt;=1181,2,1)))=1,TEXT(INDEX(ERP資料!$G:$G, (MATCH(65, 輔助計算!$G$2:$G$801, 0)+1)),"0.##"),IF(IF(INDEX(ERP資料!$G:$G, (MATCH(65, 輔助計算!$G$2:$G$801, 0)+1))&lt;100, IF(INDEX(ERP資料!$G:$G, (MATCH(65, 輔助計算!$G$2:$G$801, 0)+1))&lt;=31,3,IF(INDEX(ERP資料!$G:$G, (MATCH(65, 輔助計算!$G$2:$G$801, 0)+1))&lt;=46.5,2,1)), IF(INDEX(ERP資料!$G:$G, (MATCH(65, 輔助計算!$G$2:$G$801, 0)+1))&lt;=790,3,IF(INDEX(ERP資料!$G:$G, (MATCH(65, 輔助計算!$G$2:$G$801, 0)+1))&lt;=1181,2,1)))=2,TEXT(INDEX(ERP資料!$G:$G, (MATCH(65, 輔助計算!$G$2:$G$801, 0)+1)),"0.##")&amp;"+"&amp;TEXT(INDEX(ERP資料!$G:$G, (MATCH(65, 輔助計算!$G$2:$G$801, 0)+1)),"0.##"),TEXT(INDEX(ERP資料!$G:$G, (MATCH(65, 輔助計算!$G$2:$G$801, 0)+1)),"0.##")&amp;"+"&amp;TEXT(INDEX(ERP資料!$G:$G, (MATCH(65, 輔助計算!$G$2:$G$801, 0)+1)),"0.##")&amp;"+"&amp;TEXT(INDEX(ERP資料!$G:$G, (MATCH(65, 輔助計算!$G$2:$G$801, 0)+1)),"0.##")))&amp;"-"&amp;INT(INDEX(輔助計算!$D:$D, (MATCH(65, 輔助計算!$G$2:$G$801, 0)+1))/IF(INDEX(ERP資料!$G:$G, (MATCH(65, 輔助計算!$G$2:$G$801, 0)+1))&lt;100, IF(INDEX(ERP資料!$G:$G, (MATCH(65, 輔助計算!$G$2:$G$801, 0)+1))&lt;=31,3,IF(INDEX(ERP資料!$G:$G, (MATCH(65, 輔助計算!$G$2:$G$801, 0)+1))&lt;=46.5,2,1)), IF(INDEX(ERP資料!$G:$G, (MATCH(65, 輔助計算!$G$2:$G$801, 0)+1))&lt;=790,3,IF(INDEX(ERP資料!$G:$G, (MATCH(65, 輔助計算!$G$2:$G$801, 0)+1))&lt;=1181,2,1)))), "")&amp;IF(AND(IF(INT(INDEX(輔助計算!$D:$D, (MATCH(65, 輔助計算!$G$2:$G$801, 0)+1))/IF(INDEX(ERP資料!$G:$G, (MATCH(65, 輔助計算!$G$2:$G$801, 0)+1))&lt;100, IF(INDEX(ERP資料!$G:$G, (MATCH(65, 輔助計算!$G$2:$G$801, 0)+1))&lt;=31,3,IF(INDEX(ERP資料!$G:$G, (MATCH(65, 輔助計算!$G$2:$G$801, 0)+1))&lt;=46.5,2,1)), IF(INDEX(ERP資料!$G:$G, (MATCH(65, 輔助計算!$G$2:$G$801, 0)+1))&lt;=790,3,IF(INDEX(ERP資料!$G:$G, (MATCH(65, 輔助計算!$G$2:$G$801, 0)+1))&lt;=1181,2,1))))&gt;0, IF(IF(INDEX(ERP資料!$G:$G, (MATCH(65, 輔助計算!$G$2:$G$801, 0)+1))&lt;100, IF(INDEX(ERP資料!$G:$G, (MATCH(65, 輔助計算!$G$2:$G$801, 0)+1))&lt;=31,3,IF(INDEX(ERP資料!$G:$G, (MATCH(65, 輔助計算!$G$2:$G$801, 0)+1))&lt;=46.5,2,1)), IF(INDEX(ERP資料!$G:$G, (MATCH(65, 輔助計算!$G$2:$G$801, 0)+1))&lt;=790,3,IF(INDEX(ERP資料!$G:$G, (MATCH(65, 輔助計算!$G$2:$G$801, 0)+1))&lt;=1181,2,1)))=1,TEXT(INDEX(ERP資料!$G:$G, (MATCH(65, 輔助計算!$G$2:$G$801, 0)+1)),"0.##"),IF(IF(INDEX(ERP資料!$G:$G, (MATCH(65, 輔助計算!$G$2:$G$801, 0)+1))&lt;100, IF(INDEX(ERP資料!$G:$G, (MATCH(65, 輔助計算!$G$2:$G$801, 0)+1))&lt;=31,3,IF(INDEX(ERP資料!$G:$G, (MATCH(65, 輔助計算!$G$2:$G$801, 0)+1))&lt;=46.5,2,1)), IF(INDEX(ERP資料!$G:$G, (MATCH(65, 輔助計算!$G$2:$G$801, 0)+1))&lt;=790,3,IF(INDEX(ERP資料!$G:$G, (MATCH(65, 輔助計算!$G$2:$G$801, 0)+1))&lt;=1181,2,1)))=2,TEXT(INDEX(ERP資料!$G:$G, (MATCH(65, 輔助計算!$G$2:$G$801, 0)+1)),"0.##")&amp;"+"&amp;TEXT(INDEX(ERP資料!$G:$G, (MATCH(65, 輔助計算!$G$2:$G$801, 0)+1)),"0.##"),TEXT(INDEX(ERP資料!$G:$G, (MATCH(65, 輔助計算!$G$2:$G$801, 0)+1)),"0.##")&amp;"+"&amp;TEXT(INDEX(ERP資料!$G:$G, (MATCH(65, 輔助計算!$G$2:$G$801, 0)+1)),"0.##")&amp;"+"&amp;TEXT(INDEX(ERP資料!$G:$G, (MATCH(65, 輔助計算!$G$2:$G$801, 0)+1)),"0.##")))&amp;"-"&amp;INT(INDEX(輔助計算!$D:$D, (MATCH(65, 輔助計算!$G$2:$G$801, 0)+1))/IF(INDEX(ERP資料!$G:$G, (MATCH(65, 輔助計算!$G$2:$G$801, 0)+1))&lt;100, IF(INDEX(ERP資料!$G:$G, (MATCH(65, 輔助計算!$G$2:$G$801, 0)+1))&lt;=31,3,IF(INDEX(ERP資料!$G:$G, (MATCH(65, 輔助計算!$G$2:$G$801, 0)+1))&lt;=46.5,2,1)), IF(INDEX(ERP資料!$G:$G, (MATCH(65, 輔助計算!$G$2:$G$801, 0)+1))&lt;=790,3,IF(INDEX(ERP資料!$G:$G, (MATCH(65, 輔助計算!$G$2:$G$801, 0)+1))&lt;=1181,2,1)))), "")&lt;&gt;"",IF(MOD(INDEX(輔助計算!$D:$D, (MATCH(65, 輔助計算!$G$2:$G$801, 0)+1)),IF(INDEX(ERP資料!$G:$G, (MATCH(65, 輔助計算!$G$2:$G$801, 0)+1))&lt;100, IF(INDEX(ERP資料!$G:$G, (MATCH(65, 輔助計算!$G$2:$G$801, 0)+1))&lt;=31,3,IF(INDEX(ERP資料!$G:$G, (MATCH(65, 輔助計算!$G$2:$G$801, 0)+1))&lt;=46.5,2,1)), IF(INDEX(ERP資料!$G:$G, (MATCH(65, 輔助計算!$G$2:$G$801, 0)+1))&lt;=790,3,IF(INDEX(ERP資料!$G:$G, (MATCH(65, 輔助計算!$G$2:$G$801, 0)+1))&lt;=1181,2,1))))=0,"",IF(MOD(INDEX(輔助計算!$D:$D, (MATCH(65, 輔助計算!$G$2:$G$801, 0)+1)),IF(INDEX(ERP資料!$G:$G, (MATCH(65, 輔助計算!$G$2:$G$801, 0)+1))&lt;100, IF(INDEX(ERP資料!$G:$G, (MATCH(65, 輔助計算!$G$2:$G$801, 0)+1))&lt;=31,3,IF(INDEX(ERP資料!$G:$G, (MATCH(65, 輔助計算!$G$2:$G$801, 0)+1))&lt;=46.5,2,1)), IF(INDEX(ERP資料!$G:$G, (MATCH(65, 輔助計算!$G$2:$G$801, 0)+1))&lt;=790,3,IF(INDEX(ERP資料!$G:$G, (MATCH(65, 輔助計算!$G$2:$G$801, 0)+1))&lt;=1181,2,1))))=0,"",IF(MOD(INDEX(輔助計算!$D:$D, (MATCH(65, 輔助計算!$G$2:$G$801, 0)+1)),IF(INDEX(ERP資料!$G:$G, (MATCH(65, 輔助計算!$G$2:$G$801, 0)+1))&lt;100, IF(INDEX(ERP資料!$G:$G, (MATCH(65, 輔助計算!$G$2:$G$801, 0)+1))&lt;=31,3,IF(INDEX(ERP資料!$G:$G, (MATCH(65, 輔助計算!$G$2:$G$801, 0)+1))&lt;=46.5,2,1)), IF(INDEX(ERP資料!$G:$G, (MATCH(65, 輔助計算!$G$2:$G$801, 0)+1))&lt;=790,3,IF(INDEX(ERP資料!$G:$G, (MATCH(65, 輔助計算!$G$2:$G$801, 0)+1))&lt;=1181,2,1))))=1,TEXT(INDEX(ERP資料!$G:$G, (MATCH(65, 輔助計算!$G$2:$G$801, 0)+1)),"0.##"),IF(MOD(INDEX(輔助計算!$D:$D, (MATCH(65, 輔助計算!$G$2:$G$801, 0)+1)),IF(INDEX(ERP資料!$G:$G, (MATCH(65, 輔助計算!$G$2:$G$801, 0)+1))&lt;100, IF(INDEX(ERP資料!$G:$G, (MATCH(65, 輔助計算!$G$2:$G$801, 0)+1))&lt;=31,3,IF(INDEX(ERP資料!$G:$G, (MATCH(65, 輔助計算!$G$2:$G$801, 0)+1))&lt;=46.5,2,1)), IF(INDEX(ERP資料!$G:$G, (MATCH(65, 輔助計算!$G$2:$G$801, 0)+1))&lt;=790,3,IF(INDEX(ERP資料!$G:$G, (MATCH(65, 輔助計算!$G$2:$G$801, 0)+1))&lt;=1181,2,1))))=2,TEXT(INDEX(ERP資料!$G:$G, (MATCH(65, 輔助計算!$G$2:$G$801, 0)+1)),"0.##")&amp;"+"&amp;TEXT(INDEX(ERP資料!$G:$G, (MATCH(65, 輔助計算!$G$2:$G$801, 0)+1)),"0.##"),TEXT(INDEX(ERP資料!$G:$G, (MATCH(65, 輔助計算!$G$2:$G$801, 0)+1)),"0.##")&amp;"+"&amp;TEXT(INDEX(ERP資料!$G:$G, (MATCH(65, 輔助計算!$G$2:$G$801, 0)+1)),"0.##")&amp;"+"&amp;TEXT(INDEX(ERP資料!$G:$G, (MATCH(65, 輔助計算!$G$2:$G$801, 0)+1)),"0.##"))))&amp;"-1")&lt;&gt;""),"  ","")&amp;IF(MOD(INDEX(輔助計算!$D:$D, (MATCH(65, 輔助計算!$G$2:$G$801, 0)+1)),IF(INDEX(ERP資料!$G:$G, (MATCH(65, 輔助計算!$G$2:$G$801, 0)+1))&lt;100, IF(INDEX(ERP資料!$G:$G, (MATCH(65, 輔助計算!$G$2:$G$801, 0)+1))&lt;=31,3,IF(INDEX(ERP資料!$G:$G, (MATCH(65, 輔助計算!$G$2:$G$801, 0)+1))&lt;=46.5,2,1)), IF(INDEX(ERP資料!$G:$G, (MATCH(65, 輔助計算!$G$2:$G$801, 0)+1))&lt;=790,3,IF(INDEX(ERP資料!$G:$G, (MATCH(65, 輔助計算!$G$2:$G$801, 0)+1))&lt;=1181,2,1))))=0,"",IF(MOD(INDEX(輔助計算!$D:$D, (MATCH(65, 輔助計算!$G$2:$G$801, 0)+1)),IF(INDEX(ERP資料!$G:$G, (MATCH(65, 輔助計算!$G$2:$G$801, 0)+1))&lt;100, IF(INDEX(ERP資料!$G:$G, (MATCH(65, 輔助計算!$G$2:$G$801, 0)+1))&lt;=31,3,IF(INDEX(ERP資料!$G:$G, (MATCH(65, 輔助計算!$G$2:$G$801, 0)+1))&lt;=46.5,2,1)), IF(INDEX(ERP資料!$G:$G, (MATCH(65, 輔助計算!$G$2:$G$801, 0)+1))&lt;=790,3,IF(INDEX(ERP資料!$G:$G, (MATCH(65, 輔助計算!$G$2:$G$801, 0)+1))&lt;=1181,2,1))))=0,"",IF(MOD(INDEX(輔助計算!$D:$D, (MATCH(65, 輔助計算!$G$2:$G$801, 0)+1)),IF(INDEX(ERP資料!$G:$G, (MATCH(65, 輔助計算!$G$2:$G$801, 0)+1))&lt;100, IF(INDEX(ERP資料!$G:$G, (MATCH(65, 輔助計算!$G$2:$G$801, 0)+1))&lt;=31,3,IF(INDEX(ERP資料!$G:$G, (MATCH(65, 輔助計算!$G$2:$G$801, 0)+1))&lt;=46.5,2,1)), IF(INDEX(ERP資料!$G:$G, (MATCH(65, 輔助計算!$G$2:$G$801, 0)+1))&lt;=790,3,IF(INDEX(ERP資料!$G:$G, (MATCH(65, 輔助計算!$G$2:$G$801, 0)+1))&lt;=1181,2,1))))=1,TEXT(INDEX(ERP資料!$G:$G, (MATCH(65, 輔助計算!$G$2:$G$801, 0)+1)),"0.##"),IF(MOD(INDEX(輔助計算!$D:$D, (MATCH(65, 輔助計算!$G$2:$G$801, 0)+1)),IF(INDEX(ERP資料!$G:$G, (MATCH(65, 輔助計算!$G$2:$G$801, 0)+1))&lt;100, IF(INDEX(ERP資料!$G:$G, (MATCH(65, 輔助計算!$G$2:$G$801, 0)+1))&lt;=31,3,IF(INDEX(ERP資料!$G:$G, (MATCH(65, 輔助計算!$G$2:$G$801, 0)+1))&lt;=46.5,2,1)), IF(INDEX(ERP資料!$G:$G, (MATCH(65, 輔助計算!$G$2:$G$801, 0)+1))&lt;=790,3,IF(INDEX(ERP資料!$G:$G, (MATCH(65, 輔助計算!$G$2:$G$801, 0)+1))&lt;=1181,2,1))))=2,TEXT(INDEX(ERP資料!$G:$G, (MATCH(65, 輔助計算!$G$2:$G$801, 0)+1)),"0.##")&amp;"+"&amp;TEXT(INDEX(ERP資料!$G:$G, (MATCH(65, 輔助計算!$G$2:$G$801, 0)+1)),"0.##"),TEXT(INDEX(ERP資料!$G:$G, (MATCH(65, 輔助計算!$G$2:$G$801, 0)+1)),"0.##")&amp;"+"&amp;TEXT(INDEX(ERP資料!$G:$G, (MATCH(65, 輔助計算!$G$2:$G$801, 0)+1)),"0.##")&amp;"+"&amp;TEXT(INDEX(ERP資料!$G:$G, (MATCH(65, 輔助計算!$G$2:$G$801, 0)+1)),"0.##"))))&amp;"-1")), ""), "")</f>
        <v/>
      </c>
      <c r="K66" s="16" t="n"/>
      <c r="L66" s="14">
        <f>IFERROR(IF(AND(IFERROR(INDEX(ERP資料!$A:$A, (MATCH(65, 輔助計算!$G$2:$G$801, 0)+1)), "")&lt;&gt;"", IFERROR(INDEX(ERP資料!$A:$A, (MATCH(65, 輔助計算!$G$2:$G$801, 0)+1)), "")&lt;&gt;IFERROR(INDEX(ERP資料!$A:$A, MATCH(64, 輔助計算!$G$2:$G$801, 0)+1), "")), INDEX(ERP資料!$B:$B, (MATCH(65, 輔助計算!$G$2:$G$801, 0)+1)), ""), "")</f>
        <v/>
      </c>
      <c r="M66" s="17" t="n"/>
    </row>
    <row r="67">
      <c r="A67" s="10">
        <f>IFERROR(IF(AND(IFERROR(INDEX(ERP資料!$A:$A, (MATCH(66, 輔助計算!$G$2:$G$801, 0)+1)), "")&lt;&gt;"", IFERROR(INDEX(ERP資料!$A:$A, (MATCH(66, 輔助計算!$G$2:$G$801, 0)+1)), "")&lt;&gt;IFERROR(INDEX(ERP資料!$A:$A, MATCH(65, 輔助計算!$G$2:$G$801, 0)+1), "")), IFERROR(INDEX(ERP資料!$A:$A, (MATCH(66, 輔助計算!$G$2:$G$801, 0)+1)), ""), ""), "")</f>
        <v/>
      </c>
      <c r="B67" s="10">
        <f>IFERROR(IF(AND(IFERROR(INDEX(ERP資料!$A:$A, (MATCH(66, 輔助計算!$G$2:$G$801, 0)+1)), "")&lt;&gt;"", IFERROR(INDEX(ERP資料!$A:$A, (MATCH(66, 輔助計算!$G$2:$G$801, 0)+1)), "")&lt;&gt;IFERROR(INDEX(ERP資料!$A:$A, MATCH(65, 輔助計算!$G$2:$G$801, 0)+1), "")), INDEX(ERP資料!$S:$S, (MATCH(66, 輔助計算!$G$2:$G$801, 0)+1)), ""), "")</f>
        <v/>
      </c>
      <c r="C67" s="19">
        <f>IFERROR(IF(AND(IFERROR(INDEX(ERP資料!$A:$A, (MATCH(66, 輔助計算!$G$2:$G$801, 0)+1)), "")&lt;&gt;"", IFERROR(INDEX(ERP資料!$A:$A, (MATCH(66, 輔助計算!$G$2:$G$801, 0)+1)), "")&lt;&gt;IFERROR(INDEX(ERP資料!$A:$A, MATCH(65, 輔助計算!$G$2:$G$801, 0)+1), "")), IFERROR(VLOOKUP(LEFT(INDEX(ERP資料!$S:$S, (MATCH(66, 輔助計算!$G$2:$G$801, 0)+1)), 4), 紙管對照表!$A:$C, 3, FALSE), ""), ""), "")</f>
        <v/>
      </c>
      <c r="D67" s="16" t="n"/>
      <c r="E67" s="10">
        <f>IFERROR(IF(INDEX(ERP資料!$H:$H, (MATCH(66, 輔助計算!$G$2:$G$801, 0)+1))="","",INDEX(ERP資料!$H:$H, (MATCH(66, 輔助計算!$G$2:$G$801, 0)+1))), "")</f>
        <v/>
      </c>
      <c r="F67" s="10">
        <f>IFERROR(IF(INDEX(ERP資料!$E:$E, (MATCH(66, 輔助計算!$G$2:$G$801, 0)+1))="","",TRIM(INDEX(ERP資料!$E:$E, (MATCH(66, 輔助計算!$G$2:$G$801, 0)+1)))), "")</f>
        <v/>
      </c>
      <c r="G67" s="10">
        <f>IFERROR(IF(INDEX(ERP資料!$F:$F, (MATCH(66, 輔助計算!$G$2:$G$801, 0)+1))="","",INDEX(ERP資料!$F:$F, (MATCH(66, 輔助計算!$G$2:$G$801, 0)+1))), "")</f>
        <v/>
      </c>
      <c r="H67" s="10">
        <f>IFERROR(IF(INDEX(ERP資料!$G:$G, (MATCH(66, 輔助計算!$G$2:$G$801, 0)+1))="","",INDEX(ERP資料!$G:$G, (MATCH(66, 輔助計算!$G$2:$G$801, 0)+1))), "")</f>
        <v/>
      </c>
      <c r="I67" s="15">
        <f>IFERROR(INDEX(輔助計算!$D:$D, (MATCH(66, 輔助計算!$G$2:$G$801, 0)+1)), "")</f>
        <v/>
      </c>
      <c r="J67" s="15">
        <f>IFERROR(IF(AND(INDEX(輔助計算!$D:$D, (MATCH(66, 輔助計算!$G$2:$G$801, 0)+1))&lt;&gt;"", INDEX(ERP資料!$G:$G, (MATCH(66, 輔助計算!$G$2:$G$801, 0)+1))&lt;&gt;""), TRIM(IF(INT(INDEX(輔助計算!$D:$D, (MATCH(66, 輔助計算!$G$2:$G$801, 0)+1))/IF(INDEX(ERP資料!$G:$G, (MATCH(66, 輔助計算!$G$2:$G$801, 0)+1))&lt;100, IF(INDEX(ERP資料!$G:$G, (MATCH(66, 輔助計算!$G$2:$G$801, 0)+1))&lt;=31,3,IF(INDEX(ERP資料!$G:$G, (MATCH(66, 輔助計算!$G$2:$G$801, 0)+1))&lt;=46.5,2,1)), IF(INDEX(ERP資料!$G:$G, (MATCH(66, 輔助計算!$G$2:$G$801, 0)+1))&lt;=790,3,IF(INDEX(ERP資料!$G:$G, (MATCH(66, 輔助計算!$G$2:$G$801, 0)+1))&lt;=1181,2,1))))&gt;0, IF(IF(INDEX(ERP資料!$G:$G, (MATCH(66, 輔助計算!$G$2:$G$801, 0)+1))&lt;100, IF(INDEX(ERP資料!$G:$G, (MATCH(66, 輔助計算!$G$2:$G$801, 0)+1))&lt;=31,3,IF(INDEX(ERP資料!$G:$G, (MATCH(66, 輔助計算!$G$2:$G$801, 0)+1))&lt;=46.5,2,1)), IF(INDEX(ERP資料!$G:$G, (MATCH(66, 輔助計算!$G$2:$G$801, 0)+1))&lt;=790,3,IF(INDEX(ERP資料!$G:$G, (MATCH(66, 輔助計算!$G$2:$G$801, 0)+1))&lt;=1181,2,1)))=1,TEXT(INDEX(ERP資料!$G:$G, (MATCH(66, 輔助計算!$G$2:$G$801, 0)+1)),"0.##"),IF(IF(INDEX(ERP資料!$G:$G, (MATCH(66, 輔助計算!$G$2:$G$801, 0)+1))&lt;100, IF(INDEX(ERP資料!$G:$G, (MATCH(66, 輔助計算!$G$2:$G$801, 0)+1))&lt;=31,3,IF(INDEX(ERP資料!$G:$G, (MATCH(66, 輔助計算!$G$2:$G$801, 0)+1))&lt;=46.5,2,1)), IF(INDEX(ERP資料!$G:$G, (MATCH(66, 輔助計算!$G$2:$G$801, 0)+1))&lt;=790,3,IF(INDEX(ERP資料!$G:$G, (MATCH(66, 輔助計算!$G$2:$G$801, 0)+1))&lt;=1181,2,1)))=2,TEXT(INDEX(ERP資料!$G:$G, (MATCH(66, 輔助計算!$G$2:$G$801, 0)+1)),"0.##")&amp;"+"&amp;TEXT(INDEX(ERP資料!$G:$G, (MATCH(66, 輔助計算!$G$2:$G$801, 0)+1)),"0.##"),TEXT(INDEX(ERP資料!$G:$G, (MATCH(66, 輔助計算!$G$2:$G$801, 0)+1)),"0.##")&amp;"+"&amp;TEXT(INDEX(ERP資料!$G:$G, (MATCH(66, 輔助計算!$G$2:$G$801, 0)+1)),"0.##")&amp;"+"&amp;TEXT(INDEX(ERP資料!$G:$G, (MATCH(66, 輔助計算!$G$2:$G$801, 0)+1)),"0.##")))&amp;"-"&amp;INT(INDEX(輔助計算!$D:$D, (MATCH(66, 輔助計算!$G$2:$G$801, 0)+1))/IF(INDEX(ERP資料!$G:$G, (MATCH(66, 輔助計算!$G$2:$G$801, 0)+1))&lt;100, IF(INDEX(ERP資料!$G:$G, (MATCH(66, 輔助計算!$G$2:$G$801, 0)+1))&lt;=31,3,IF(INDEX(ERP資料!$G:$G, (MATCH(66, 輔助計算!$G$2:$G$801, 0)+1))&lt;=46.5,2,1)), IF(INDEX(ERP資料!$G:$G, (MATCH(66, 輔助計算!$G$2:$G$801, 0)+1))&lt;=790,3,IF(INDEX(ERP資料!$G:$G, (MATCH(66, 輔助計算!$G$2:$G$801, 0)+1))&lt;=1181,2,1)))), "")&amp;IF(AND(IF(INT(INDEX(輔助計算!$D:$D, (MATCH(66, 輔助計算!$G$2:$G$801, 0)+1))/IF(INDEX(ERP資料!$G:$G, (MATCH(66, 輔助計算!$G$2:$G$801, 0)+1))&lt;100, IF(INDEX(ERP資料!$G:$G, (MATCH(66, 輔助計算!$G$2:$G$801, 0)+1))&lt;=31,3,IF(INDEX(ERP資料!$G:$G, (MATCH(66, 輔助計算!$G$2:$G$801, 0)+1))&lt;=46.5,2,1)), IF(INDEX(ERP資料!$G:$G, (MATCH(66, 輔助計算!$G$2:$G$801, 0)+1))&lt;=790,3,IF(INDEX(ERP資料!$G:$G, (MATCH(66, 輔助計算!$G$2:$G$801, 0)+1))&lt;=1181,2,1))))&gt;0, IF(IF(INDEX(ERP資料!$G:$G, (MATCH(66, 輔助計算!$G$2:$G$801, 0)+1))&lt;100, IF(INDEX(ERP資料!$G:$G, (MATCH(66, 輔助計算!$G$2:$G$801, 0)+1))&lt;=31,3,IF(INDEX(ERP資料!$G:$G, (MATCH(66, 輔助計算!$G$2:$G$801, 0)+1))&lt;=46.5,2,1)), IF(INDEX(ERP資料!$G:$G, (MATCH(66, 輔助計算!$G$2:$G$801, 0)+1))&lt;=790,3,IF(INDEX(ERP資料!$G:$G, (MATCH(66, 輔助計算!$G$2:$G$801, 0)+1))&lt;=1181,2,1)))=1,TEXT(INDEX(ERP資料!$G:$G, (MATCH(66, 輔助計算!$G$2:$G$801, 0)+1)),"0.##"),IF(IF(INDEX(ERP資料!$G:$G, (MATCH(66, 輔助計算!$G$2:$G$801, 0)+1))&lt;100, IF(INDEX(ERP資料!$G:$G, (MATCH(66, 輔助計算!$G$2:$G$801, 0)+1))&lt;=31,3,IF(INDEX(ERP資料!$G:$G, (MATCH(66, 輔助計算!$G$2:$G$801, 0)+1))&lt;=46.5,2,1)), IF(INDEX(ERP資料!$G:$G, (MATCH(66, 輔助計算!$G$2:$G$801, 0)+1))&lt;=790,3,IF(INDEX(ERP資料!$G:$G, (MATCH(66, 輔助計算!$G$2:$G$801, 0)+1))&lt;=1181,2,1)))=2,TEXT(INDEX(ERP資料!$G:$G, (MATCH(66, 輔助計算!$G$2:$G$801, 0)+1)),"0.##")&amp;"+"&amp;TEXT(INDEX(ERP資料!$G:$G, (MATCH(66, 輔助計算!$G$2:$G$801, 0)+1)),"0.##"),TEXT(INDEX(ERP資料!$G:$G, (MATCH(66, 輔助計算!$G$2:$G$801, 0)+1)),"0.##")&amp;"+"&amp;TEXT(INDEX(ERP資料!$G:$G, (MATCH(66, 輔助計算!$G$2:$G$801, 0)+1)),"0.##")&amp;"+"&amp;TEXT(INDEX(ERP資料!$G:$G, (MATCH(66, 輔助計算!$G$2:$G$801, 0)+1)),"0.##")))&amp;"-"&amp;INT(INDEX(輔助計算!$D:$D, (MATCH(66, 輔助計算!$G$2:$G$801, 0)+1))/IF(INDEX(ERP資料!$G:$G, (MATCH(66, 輔助計算!$G$2:$G$801, 0)+1))&lt;100, IF(INDEX(ERP資料!$G:$G, (MATCH(66, 輔助計算!$G$2:$G$801, 0)+1))&lt;=31,3,IF(INDEX(ERP資料!$G:$G, (MATCH(66, 輔助計算!$G$2:$G$801, 0)+1))&lt;=46.5,2,1)), IF(INDEX(ERP資料!$G:$G, (MATCH(66, 輔助計算!$G$2:$G$801, 0)+1))&lt;=790,3,IF(INDEX(ERP資料!$G:$G, (MATCH(66, 輔助計算!$G$2:$G$801, 0)+1))&lt;=1181,2,1)))), "")&lt;&gt;"",IF(MOD(INDEX(輔助計算!$D:$D, (MATCH(66, 輔助計算!$G$2:$G$801, 0)+1)),IF(INDEX(ERP資料!$G:$G, (MATCH(66, 輔助計算!$G$2:$G$801, 0)+1))&lt;100, IF(INDEX(ERP資料!$G:$G, (MATCH(66, 輔助計算!$G$2:$G$801, 0)+1))&lt;=31,3,IF(INDEX(ERP資料!$G:$G, (MATCH(66, 輔助計算!$G$2:$G$801, 0)+1))&lt;=46.5,2,1)), IF(INDEX(ERP資料!$G:$G, (MATCH(66, 輔助計算!$G$2:$G$801, 0)+1))&lt;=790,3,IF(INDEX(ERP資料!$G:$G, (MATCH(66, 輔助計算!$G$2:$G$801, 0)+1))&lt;=1181,2,1))))=0,"",IF(MOD(INDEX(輔助計算!$D:$D, (MATCH(66, 輔助計算!$G$2:$G$801, 0)+1)),IF(INDEX(ERP資料!$G:$G, (MATCH(66, 輔助計算!$G$2:$G$801, 0)+1))&lt;100, IF(INDEX(ERP資料!$G:$G, (MATCH(66, 輔助計算!$G$2:$G$801, 0)+1))&lt;=31,3,IF(INDEX(ERP資料!$G:$G, (MATCH(66, 輔助計算!$G$2:$G$801, 0)+1))&lt;=46.5,2,1)), IF(INDEX(ERP資料!$G:$G, (MATCH(66, 輔助計算!$G$2:$G$801, 0)+1))&lt;=790,3,IF(INDEX(ERP資料!$G:$G, (MATCH(66, 輔助計算!$G$2:$G$801, 0)+1))&lt;=1181,2,1))))=0,"",IF(MOD(INDEX(輔助計算!$D:$D, (MATCH(66, 輔助計算!$G$2:$G$801, 0)+1)),IF(INDEX(ERP資料!$G:$G, (MATCH(66, 輔助計算!$G$2:$G$801, 0)+1))&lt;100, IF(INDEX(ERP資料!$G:$G, (MATCH(66, 輔助計算!$G$2:$G$801, 0)+1))&lt;=31,3,IF(INDEX(ERP資料!$G:$G, (MATCH(66, 輔助計算!$G$2:$G$801, 0)+1))&lt;=46.5,2,1)), IF(INDEX(ERP資料!$G:$G, (MATCH(66, 輔助計算!$G$2:$G$801, 0)+1))&lt;=790,3,IF(INDEX(ERP資料!$G:$G, (MATCH(66, 輔助計算!$G$2:$G$801, 0)+1))&lt;=1181,2,1))))=1,TEXT(INDEX(ERP資料!$G:$G, (MATCH(66, 輔助計算!$G$2:$G$801, 0)+1)),"0.##"),IF(MOD(INDEX(輔助計算!$D:$D, (MATCH(66, 輔助計算!$G$2:$G$801, 0)+1)),IF(INDEX(ERP資料!$G:$G, (MATCH(66, 輔助計算!$G$2:$G$801, 0)+1))&lt;100, IF(INDEX(ERP資料!$G:$G, (MATCH(66, 輔助計算!$G$2:$G$801, 0)+1))&lt;=31,3,IF(INDEX(ERP資料!$G:$G, (MATCH(66, 輔助計算!$G$2:$G$801, 0)+1))&lt;=46.5,2,1)), IF(INDEX(ERP資料!$G:$G, (MATCH(66, 輔助計算!$G$2:$G$801, 0)+1))&lt;=790,3,IF(INDEX(ERP資料!$G:$G, (MATCH(66, 輔助計算!$G$2:$G$801, 0)+1))&lt;=1181,2,1))))=2,TEXT(INDEX(ERP資料!$G:$G, (MATCH(66, 輔助計算!$G$2:$G$801, 0)+1)),"0.##")&amp;"+"&amp;TEXT(INDEX(ERP資料!$G:$G, (MATCH(66, 輔助計算!$G$2:$G$801, 0)+1)),"0.##"),TEXT(INDEX(ERP資料!$G:$G, (MATCH(66, 輔助計算!$G$2:$G$801, 0)+1)),"0.##")&amp;"+"&amp;TEXT(INDEX(ERP資料!$G:$G, (MATCH(66, 輔助計算!$G$2:$G$801, 0)+1)),"0.##")&amp;"+"&amp;TEXT(INDEX(ERP資料!$G:$G, (MATCH(66, 輔助計算!$G$2:$G$801, 0)+1)),"0.##"))))&amp;"-1")&lt;&gt;""),"  ","")&amp;IF(MOD(INDEX(輔助計算!$D:$D, (MATCH(66, 輔助計算!$G$2:$G$801, 0)+1)),IF(INDEX(ERP資料!$G:$G, (MATCH(66, 輔助計算!$G$2:$G$801, 0)+1))&lt;100, IF(INDEX(ERP資料!$G:$G, (MATCH(66, 輔助計算!$G$2:$G$801, 0)+1))&lt;=31,3,IF(INDEX(ERP資料!$G:$G, (MATCH(66, 輔助計算!$G$2:$G$801, 0)+1))&lt;=46.5,2,1)), IF(INDEX(ERP資料!$G:$G, (MATCH(66, 輔助計算!$G$2:$G$801, 0)+1))&lt;=790,3,IF(INDEX(ERP資料!$G:$G, (MATCH(66, 輔助計算!$G$2:$G$801, 0)+1))&lt;=1181,2,1))))=0,"",IF(MOD(INDEX(輔助計算!$D:$D, (MATCH(66, 輔助計算!$G$2:$G$801, 0)+1)),IF(INDEX(ERP資料!$G:$G, (MATCH(66, 輔助計算!$G$2:$G$801, 0)+1))&lt;100, IF(INDEX(ERP資料!$G:$G, (MATCH(66, 輔助計算!$G$2:$G$801, 0)+1))&lt;=31,3,IF(INDEX(ERP資料!$G:$G, (MATCH(66, 輔助計算!$G$2:$G$801, 0)+1))&lt;=46.5,2,1)), IF(INDEX(ERP資料!$G:$G, (MATCH(66, 輔助計算!$G$2:$G$801, 0)+1))&lt;=790,3,IF(INDEX(ERP資料!$G:$G, (MATCH(66, 輔助計算!$G$2:$G$801, 0)+1))&lt;=1181,2,1))))=0,"",IF(MOD(INDEX(輔助計算!$D:$D, (MATCH(66, 輔助計算!$G$2:$G$801, 0)+1)),IF(INDEX(ERP資料!$G:$G, (MATCH(66, 輔助計算!$G$2:$G$801, 0)+1))&lt;100, IF(INDEX(ERP資料!$G:$G, (MATCH(66, 輔助計算!$G$2:$G$801, 0)+1))&lt;=31,3,IF(INDEX(ERP資料!$G:$G, (MATCH(66, 輔助計算!$G$2:$G$801, 0)+1))&lt;=46.5,2,1)), IF(INDEX(ERP資料!$G:$G, (MATCH(66, 輔助計算!$G$2:$G$801, 0)+1))&lt;=790,3,IF(INDEX(ERP資料!$G:$G, (MATCH(66, 輔助計算!$G$2:$G$801, 0)+1))&lt;=1181,2,1))))=1,TEXT(INDEX(ERP資料!$G:$G, (MATCH(66, 輔助計算!$G$2:$G$801, 0)+1)),"0.##"),IF(MOD(INDEX(輔助計算!$D:$D, (MATCH(66, 輔助計算!$G$2:$G$801, 0)+1)),IF(INDEX(ERP資料!$G:$G, (MATCH(66, 輔助計算!$G$2:$G$801, 0)+1))&lt;100, IF(INDEX(ERP資料!$G:$G, (MATCH(66, 輔助計算!$G$2:$G$801, 0)+1))&lt;=31,3,IF(INDEX(ERP資料!$G:$G, (MATCH(66, 輔助計算!$G$2:$G$801, 0)+1))&lt;=46.5,2,1)), IF(INDEX(ERP資料!$G:$G, (MATCH(66, 輔助計算!$G$2:$G$801, 0)+1))&lt;=790,3,IF(INDEX(ERP資料!$G:$G, (MATCH(66, 輔助計算!$G$2:$G$801, 0)+1))&lt;=1181,2,1))))=2,TEXT(INDEX(ERP資料!$G:$G, (MATCH(66, 輔助計算!$G$2:$G$801, 0)+1)),"0.##")&amp;"+"&amp;TEXT(INDEX(ERP資料!$G:$G, (MATCH(66, 輔助計算!$G$2:$G$801, 0)+1)),"0.##"),TEXT(INDEX(ERP資料!$G:$G, (MATCH(66, 輔助計算!$G$2:$G$801, 0)+1)),"0.##")&amp;"+"&amp;TEXT(INDEX(ERP資料!$G:$G, (MATCH(66, 輔助計算!$G$2:$G$801, 0)+1)),"0.##")&amp;"+"&amp;TEXT(INDEX(ERP資料!$G:$G, (MATCH(66, 輔助計算!$G$2:$G$801, 0)+1)),"0.##"))))&amp;"-1")), ""), "")</f>
        <v/>
      </c>
      <c r="K67" s="16" t="n"/>
      <c r="L67" s="14">
        <f>IFERROR(IF(AND(IFERROR(INDEX(ERP資料!$A:$A, (MATCH(66, 輔助計算!$G$2:$G$801, 0)+1)), "")&lt;&gt;"", IFERROR(INDEX(ERP資料!$A:$A, (MATCH(66, 輔助計算!$G$2:$G$801, 0)+1)), "")&lt;&gt;IFERROR(INDEX(ERP資料!$A:$A, MATCH(65, 輔助計算!$G$2:$G$801, 0)+1), "")), INDEX(ERP資料!$B:$B, (MATCH(66, 輔助計算!$G$2:$G$801, 0)+1)), ""), "")</f>
        <v/>
      </c>
      <c r="M67" s="17" t="n"/>
    </row>
    <row r="68">
      <c r="A68" s="10">
        <f>IFERROR(IF(AND(IFERROR(INDEX(ERP資料!$A:$A, (MATCH(67, 輔助計算!$G$2:$G$801, 0)+1)), "")&lt;&gt;"", IFERROR(INDEX(ERP資料!$A:$A, (MATCH(67, 輔助計算!$G$2:$G$801, 0)+1)), "")&lt;&gt;IFERROR(INDEX(ERP資料!$A:$A, MATCH(66, 輔助計算!$G$2:$G$801, 0)+1), "")), IFERROR(INDEX(ERP資料!$A:$A, (MATCH(67, 輔助計算!$G$2:$G$801, 0)+1)), ""), ""), "")</f>
        <v/>
      </c>
      <c r="B68" s="10">
        <f>IFERROR(IF(AND(IFERROR(INDEX(ERP資料!$A:$A, (MATCH(67, 輔助計算!$G$2:$G$801, 0)+1)), "")&lt;&gt;"", IFERROR(INDEX(ERP資料!$A:$A, (MATCH(67, 輔助計算!$G$2:$G$801, 0)+1)), "")&lt;&gt;IFERROR(INDEX(ERP資料!$A:$A, MATCH(66, 輔助計算!$G$2:$G$801, 0)+1), "")), INDEX(ERP資料!$S:$S, (MATCH(67, 輔助計算!$G$2:$G$801, 0)+1)), ""), "")</f>
        <v/>
      </c>
      <c r="C68" s="19">
        <f>IFERROR(IF(AND(IFERROR(INDEX(ERP資料!$A:$A, (MATCH(67, 輔助計算!$G$2:$G$801, 0)+1)), "")&lt;&gt;"", IFERROR(INDEX(ERP資料!$A:$A, (MATCH(67, 輔助計算!$G$2:$G$801, 0)+1)), "")&lt;&gt;IFERROR(INDEX(ERP資料!$A:$A, MATCH(66, 輔助計算!$G$2:$G$801, 0)+1), "")), IFERROR(VLOOKUP(LEFT(INDEX(ERP資料!$S:$S, (MATCH(67, 輔助計算!$G$2:$G$801, 0)+1)), 4), 紙管對照表!$A:$C, 3, FALSE), ""), ""), "")</f>
        <v/>
      </c>
      <c r="D68" s="16" t="n"/>
      <c r="E68" s="10">
        <f>IFERROR(IF(INDEX(ERP資料!$H:$H, (MATCH(67, 輔助計算!$G$2:$G$801, 0)+1))="","",INDEX(ERP資料!$H:$H, (MATCH(67, 輔助計算!$G$2:$G$801, 0)+1))), "")</f>
        <v/>
      </c>
      <c r="F68" s="10">
        <f>IFERROR(IF(INDEX(ERP資料!$E:$E, (MATCH(67, 輔助計算!$G$2:$G$801, 0)+1))="","",TRIM(INDEX(ERP資料!$E:$E, (MATCH(67, 輔助計算!$G$2:$G$801, 0)+1)))), "")</f>
        <v/>
      </c>
      <c r="G68" s="10">
        <f>IFERROR(IF(INDEX(ERP資料!$F:$F, (MATCH(67, 輔助計算!$G$2:$G$801, 0)+1))="","",INDEX(ERP資料!$F:$F, (MATCH(67, 輔助計算!$G$2:$G$801, 0)+1))), "")</f>
        <v/>
      </c>
      <c r="H68" s="10">
        <f>IFERROR(IF(INDEX(ERP資料!$G:$G, (MATCH(67, 輔助計算!$G$2:$G$801, 0)+1))="","",INDEX(ERP資料!$G:$G, (MATCH(67, 輔助計算!$G$2:$G$801, 0)+1))), "")</f>
        <v/>
      </c>
      <c r="I68" s="15">
        <f>IFERROR(INDEX(輔助計算!$D:$D, (MATCH(67, 輔助計算!$G$2:$G$801, 0)+1)), "")</f>
        <v/>
      </c>
      <c r="J68" s="15">
        <f>IFERROR(IF(AND(INDEX(輔助計算!$D:$D, (MATCH(67, 輔助計算!$G$2:$G$801, 0)+1))&lt;&gt;"", INDEX(ERP資料!$G:$G, (MATCH(67, 輔助計算!$G$2:$G$801, 0)+1))&lt;&gt;""), TRIM(IF(INT(INDEX(輔助計算!$D:$D, (MATCH(67, 輔助計算!$G$2:$G$801, 0)+1))/IF(INDEX(ERP資料!$G:$G, (MATCH(67, 輔助計算!$G$2:$G$801, 0)+1))&lt;100, IF(INDEX(ERP資料!$G:$G, (MATCH(67, 輔助計算!$G$2:$G$801, 0)+1))&lt;=31,3,IF(INDEX(ERP資料!$G:$G, (MATCH(67, 輔助計算!$G$2:$G$801, 0)+1))&lt;=46.5,2,1)), IF(INDEX(ERP資料!$G:$G, (MATCH(67, 輔助計算!$G$2:$G$801, 0)+1))&lt;=790,3,IF(INDEX(ERP資料!$G:$G, (MATCH(67, 輔助計算!$G$2:$G$801, 0)+1))&lt;=1181,2,1))))&gt;0, IF(IF(INDEX(ERP資料!$G:$G, (MATCH(67, 輔助計算!$G$2:$G$801, 0)+1))&lt;100, IF(INDEX(ERP資料!$G:$G, (MATCH(67, 輔助計算!$G$2:$G$801, 0)+1))&lt;=31,3,IF(INDEX(ERP資料!$G:$G, (MATCH(67, 輔助計算!$G$2:$G$801, 0)+1))&lt;=46.5,2,1)), IF(INDEX(ERP資料!$G:$G, (MATCH(67, 輔助計算!$G$2:$G$801, 0)+1))&lt;=790,3,IF(INDEX(ERP資料!$G:$G, (MATCH(67, 輔助計算!$G$2:$G$801, 0)+1))&lt;=1181,2,1)))=1,TEXT(INDEX(ERP資料!$G:$G, (MATCH(67, 輔助計算!$G$2:$G$801, 0)+1)),"0.##"),IF(IF(INDEX(ERP資料!$G:$G, (MATCH(67, 輔助計算!$G$2:$G$801, 0)+1))&lt;100, IF(INDEX(ERP資料!$G:$G, (MATCH(67, 輔助計算!$G$2:$G$801, 0)+1))&lt;=31,3,IF(INDEX(ERP資料!$G:$G, (MATCH(67, 輔助計算!$G$2:$G$801, 0)+1))&lt;=46.5,2,1)), IF(INDEX(ERP資料!$G:$G, (MATCH(67, 輔助計算!$G$2:$G$801, 0)+1))&lt;=790,3,IF(INDEX(ERP資料!$G:$G, (MATCH(67, 輔助計算!$G$2:$G$801, 0)+1))&lt;=1181,2,1)))=2,TEXT(INDEX(ERP資料!$G:$G, (MATCH(67, 輔助計算!$G$2:$G$801, 0)+1)),"0.##")&amp;"+"&amp;TEXT(INDEX(ERP資料!$G:$G, (MATCH(67, 輔助計算!$G$2:$G$801, 0)+1)),"0.##"),TEXT(INDEX(ERP資料!$G:$G, (MATCH(67, 輔助計算!$G$2:$G$801, 0)+1)),"0.##")&amp;"+"&amp;TEXT(INDEX(ERP資料!$G:$G, (MATCH(67, 輔助計算!$G$2:$G$801, 0)+1)),"0.##")&amp;"+"&amp;TEXT(INDEX(ERP資料!$G:$G, (MATCH(67, 輔助計算!$G$2:$G$801, 0)+1)),"0.##")))&amp;"-"&amp;INT(INDEX(輔助計算!$D:$D, (MATCH(67, 輔助計算!$G$2:$G$801, 0)+1))/IF(INDEX(ERP資料!$G:$G, (MATCH(67, 輔助計算!$G$2:$G$801, 0)+1))&lt;100, IF(INDEX(ERP資料!$G:$G, (MATCH(67, 輔助計算!$G$2:$G$801, 0)+1))&lt;=31,3,IF(INDEX(ERP資料!$G:$G, (MATCH(67, 輔助計算!$G$2:$G$801, 0)+1))&lt;=46.5,2,1)), IF(INDEX(ERP資料!$G:$G, (MATCH(67, 輔助計算!$G$2:$G$801, 0)+1))&lt;=790,3,IF(INDEX(ERP資料!$G:$G, (MATCH(67, 輔助計算!$G$2:$G$801, 0)+1))&lt;=1181,2,1)))), "")&amp;IF(AND(IF(INT(INDEX(輔助計算!$D:$D, (MATCH(67, 輔助計算!$G$2:$G$801, 0)+1))/IF(INDEX(ERP資料!$G:$G, (MATCH(67, 輔助計算!$G$2:$G$801, 0)+1))&lt;100, IF(INDEX(ERP資料!$G:$G, (MATCH(67, 輔助計算!$G$2:$G$801, 0)+1))&lt;=31,3,IF(INDEX(ERP資料!$G:$G, (MATCH(67, 輔助計算!$G$2:$G$801, 0)+1))&lt;=46.5,2,1)), IF(INDEX(ERP資料!$G:$G, (MATCH(67, 輔助計算!$G$2:$G$801, 0)+1))&lt;=790,3,IF(INDEX(ERP資料!$G:$G, (MATCH(67, 輔助計算!$G$2:$G$801, 0)+1))&lt;=1181,2,1))))&gt;0, IF(IF(INDEX(ERP資料!$G:$G, (MATCH(67, 輔助計算!$G$2:$G$801, 0)+1))&lt;100, IF(INDEX(ERP資料!$G:$G, (MATCH(67, 輔助計算!$G$2:$G$801, 0)+1))&lt;=31,3,IF(INDEX(ERP資料!$G:$G, (MATCH(67, 輔助計算!$G$2:$G$801, 0)+1))&lt;=46.5,2,1)), IF(INDEX(ERP資料!$G:$G, (MATCH(67, 輔助計算!$G$2:$G$801, 0)+1))&lt;=790,3,IF(INDEX(ERP資料!$G:$G, (MATCH(67, 輔助計算!$G$2:$G$801, 0)+1))&lt;=1181,2,1)))=1,TEXT(INDEX(ERP資料!$G:$G, (MATCH(67, 輔助計算!$G$2:$G$801, 0)+1)),"0.##"),IF(IF(INDEX(ERP資料!$G:$G, (MATCH(67, 輔助計算!$G$2:$G$801, 0)+1))&lt;100, IF(INDEX(ERP資料!$G:$G, (MATCH(67, 輔助計算!$G$2:$G$801, 0)+1))&lt;=31,3,IF(INDEX(ERP資料!$G:$G, (MATCH(67, 輔助計算!$G$2:$G$801, 0)+1))&lt;=46.5,2,1)), IF(INDEX(ERP資料!$G:$G, (MATCH(67, 輔助計算!$G$2:$G$801, 0)+1))&lt;=790,3,IF(INDEX(ERP資料!$G:$G, (MATCH(67, 輔助計算!$G$2:$G$801, 0)+1))&lt;=1181,2,1)))=2,TEXT(INDEX(ERP資料!$G:$G, (MATCH(67, 輔助計算!$G$2:$G$801, 0)+1)),"0.##")&amp;"+"&amp;TEXT(INDEX(ERP資料!$G:$G, (MATCH(67, 輔助計算!$G$2:$G$801, 0)+1)),"0.##"),TEXT(INDEX(ERP資料!$G:$G, (MATCH(67, 輔助計算!$G$2:$G$801, 0)+1)),"0.##")&amp;"+"&amp;TEXT(INDEX(ERP資料!$G:$G, (MATCH(67, 輔助計算!$G$2:$G$801, 0)+1)),"0.##")&amp;"+"&amp;TEXT(INDEX(ERP資料!$G:$G, (MATCH(67, 輔助計算!$G$2:$G$801, 0)+1)),"0.##")))&amp;"-"&amp;INT(INDEX(輔助計算!$D:$D, (MATCH(67, 輔助計算!$G$2:$G$801, 0)+1))/IF(INDEX(ERP資料!$G:$G, (MATCH(67, 輔助計算!$G$2:$G$801, 0)+1))&lt;100, IF(INDEX(ERP資料!$G:$G, (MATCH(67, 輔助計算!$G$2:$G$801, 0)+1))&lt;=31,3,IF(INDEX(ERP資料!$G:$G, (MATCH(67, 輔助計算!$G$2:$G$801, 0)+1))&lt;=46.5,2,1)), IF(INDEX(ERP資料!$G:$G, (MATCH(67, 輔助計算!$G$2:$G$801, 0)+1))&lt;=790,3,IF(INDEX(ERP資料!$G:$G, (MATCH(67, 輔助計算!$G$2:$G$801, 0)+1))&lt;=1181,2,1)))), "")&lt;&gt;"",IF(MOD(INDEX(輔助計算!$D:$D, (MATCH(67, 輔助計算!$G$2:$G$801, 0)+1)),IF(INDEX(ERP資料!$G:$G, (MATCH(67, 輔助計算!$G$2:$G$801, 0)+1))&lt;100, IF(INDEX(ERP資料!$G:$G, (MATCH(67, 輔助計算!$G$2:$G$801, 0)+1))&lt;=31,3,IF(INDEX(ERP資料!$G:$G, (MATCH(67, 輔助計算!$G$2:$G$801, 0)+1))&lt;=46.5,2,1)), IF(INDEX(ERP資料!$G:$G, (MATCH(67, 輔助計算!$G$2:$G$801, 0)+1))&lt;=790,3,IF(INDEX(ERP資料!$G:$G, (MATCH(67, 輔助計算!$G$2:$G$801, 0)+1))&lt;=1181,2,1))))=0,"",IF(MOD(INDEX(輔助計算!$D:$D, (MATCH(67, 輔助計算!$G$2:$G$801, 0)+1)),IF(INDEX(ERP資料!$G:$G, (MATCH(67, 輔助計算!$G$2:$G$801, 0)+1))&lt;100, IF(INDEX(ERP資料!$G:$G, (MATCH(67, 輔助計算!$G$2:$G$801, 0)+1))&lt;=31,3,IF(INDEX(ERP資料!$G:$G, (MATCH(67, 輔助計算!$G$2:$G$801, 0)+1))&lt;=46.5,2,1)), IF(INDEX(ERP資料!$G:$G, (MATCH(67, 輔助計算!$G$2:$G$801, 0)+1))&lt;=790,3,IF(INDEX(ERP資料!$G:$G, (MATCH(67, 輔助計算!$G$2:$G$801, 0)+1))&lt;=1181,2,1))))=0,"",IF(MOD(INDEX(輔助計算!$D:$D, (MATCH(67, 輔助計算!$G$2:$G$801, 0)+1)),IF(INDEX(ERP資料!$G:$G, (MATCH(67, 輔助計算!$G$2:$G$801, 0)+1))&lt;100, IF(INDEX(ERP資料!$G:$G, (MATCH(67, 輔助計算!$G$2:$G$801, 0)+1))&lt;=31,3,IF(INDEX(ERP資料!$G:$G, (MATCH(67, 輔助計算!$G$2:$G$801, 0)+1))&lt;=46.5,2,1)), IF(INDEX(ERP資料!$G:$G, (MATCH(67, 輔助計算!$G$2:$G$801, 0)+1))&lt;=790,3,IF(INDEX(ERP資料!$G:$G, (MATCH(67, 輔助計算!$G$2:$G$801, 0)+1))&lt;=1181,2,1))))=1,TEXT(INDEX(ERP資料!$G:$G, (MATCH(67, 輔助計算!$G$2:$G$801, 0)+1)),"0.##"),IF(MOD(INDEX(輔助計算!$D:$D, (MATCH(67, 輔助計算!$G$2:$G$801, 0)+1)),IF(INDEX(ERP資料!$G:$G, (MATCH(67, 輔助計算!$G$2:$G$801, 0)+1))&lt;100, IF(INDEX(ERP資料!$G:$G, (MATCH(67, 輔助計算!$G$2:$G$801, 0)+1))&lt;=31,3,IF(INDEX(ERP資料!$G:$G, (MATCH(67, 輔助計算!$G$2:$G$801, 0)+1))&lt;=46.5,2,1)), IF(INDEX(ERP資料!$G:$G, (MATCH(67, 輔助計算!$G$2:$G$801, 0)+1))&lt;=790,3,IF(INDEX(ERP資料!$G:$G, (MATCH(67, 輔助計算!$G$2:$G$801, 0)+1))&lt;=1181,2,1))))=2,TEXT(INDEX(ERP資料!$G:$G, (MATCH(67, 輔助計算!$G$2:$G$801, 0)+1)),"0.##")&amp;"+"&amp;TEXT(INDEX(ERP資料!$G:$G, (MATCH(67, 輔助計算!$G$2:$G$801, 0)+1)),"0.##"),TEXT(INDEX(ERP資料!$G:$G, (MATCH(67, 輔助計算!$G$2:$G$801, 0)+1)),"0.##")&amp;"+"&amp;TEXT(INDEX(ERP資料!$G:$G, (MATCH(67, 輔助計算!$G$2:$G$801, 0)+1)),"0.##")&amp;"+"&amp;TEXT(INDEX(ERP資料!$G:$G, (MATCH(67, 輔助計算!$G$2:$G$801, 0)+1)),"0.##"))))&amp;"-1")&lt;&gt;""),"  ","")&amp;IF(MOD(INDEX(輔助計算!$D:$D, (MATCH(67, 輔助計算!$G$2:$G$801, 0)+1)),IF(INDEX(ERP資料!$G:$G, (MATCH(67, 輔助計算!$G$2:$G$801, 0)+1))&lt;100, IF(INDEX(ERP資料!$G:$G, (MATCH(67, 輔助計算!$G$2:$G$801, 0)+1))&lt;=31,3,IF(INDEX(ERP資料!$G:$G, (MATCH(67, 輔助計算!$G$2:$G$801, 0)+1))&lt;=46.5,2,1)), IF(INDEX(ERP資料!$G:$G, (MATCH(67, 輔助計算!$G$2:$G$801, 0)+1))&lt;=790,3,IF(INDEX(ERP資料!$G:$G, (MATCH(67, 輔助計算!$G$2:$G$801, 0)+1))&lt;=1181,2,1))))=0,"",IF(MOD(INDEX(輔助計算!$D:$D, (MATCH(67, 輔助計算!$G$2:$G$801, 0)+1)),IF(INDEX(ERP資料!$G:$G, (MATCH(67, 輔助計算!$G$2:$G$801, 0)+1))&lt;100, IF(INDEX(ERP資料!$G:$G, (MATCH(67, 輔助計算!$G$2:$G$801, 0)+1))&lt;=31,3,IF(INDEX(ERP資料!$G:$G, (MATCH(67, 輔助計算!$G$2:$G$801, 0)+1))&lt;=46.5,2,1)), IF(INDEX(ERP資料!$G:$G, (MATCH(67, 輔助計算!$G$2:$G$801, 0)+1))&lt;=790,3,IF(INDEX(ERP資料!$G:$G, (MATCH(67, 輔助計算!$G$2:$G$801, 0)+1))&lt;=1181,2,1))))=0,"",IF(MOD(INDEX(輔助計算!$D:$D, (MATCH(67, 輔助計算!$G$2:$G$801, 0)+1)),IF(INDEX(ERP資料!$G:$G, (MATCH(67, 輔助計算!$G$2:$G$801, 0)+1))&lt;100, IF(INDEX(ERP資料!$G:$G, (MATCH(67, 輔助計算!$G$2:$G$801, 0)+1))&lt;=31,3,IF(INDEX(ERP資料!$G:$G, (MATCH(67, 輔助計算!$G$2:$G$801, 0)+1))&lt;=46.5,2,1)), IF(INDEX(ERP資料!$G:$G, (MATCH(67, 輔助計算!$G$2:$G$801, 0)+1))&lt;=790,3,IF(INDEX(ERP資料!$G:$G, (MATCH(67, 輔助計算!$G$2:$G$801, 0)+1))&lt;=1181,2,1))))=1,TEXT(INDEX(ERP資料!$G:$G, (MATCH(67, 輔助計算!$G$2:$G$801, 0)+1)),"0.##"),IF(MOD(INDEX(輔助計算!$D:$D, (MATCH(67, 輔助計算!$G$2:$G$801, 0)+1)),IF(INDEX(ERP資料!$G:$G, (MATCH(67, 輔助計算!$G$2:$G$801, 0)+1))&lt;100, IF(INDEX(ERP資料!$G:$G, (MATCH(67, 輔助計算!$G$2:$G$801, 0)+1))&lt;=31,3,IF(INDEX(ERP資料!$G:$G, (MATCH(67, 輔助計算!$G$2:$G$801, 0)+1))&lt;=46.5,2,1)), IF(INDEX(ERP資料!$G:$G, (MATCH(67, 輔助計算!$G$2:$G$801, 0)+1))&lt;=790,3,IF(INDEX(ERP資料!$G:$G, (MATCH(67, 輔助計算!$G$2:$G$801, 0)+1))&lt;=1181,2,1))))=2,TEXT(INDEX(ERP資料!$G:$G, (MATCH(67, 輔助計算!$G$2:$G$801, 0)+1)),"0.##")&amp;"+"&amp;TEXT(INDEX(ERP資料!$G:$G, (MATCH(67, 輔助計算!$G$2:$G$801, 0)+1)),"0.##"),TEXT(INDEX(ERP資料!$G:$G, (MATCH(67, 輔助計算!$G$2:$G$801, 0)+1)),"0.##")&amp;"+"&amp;TEXT(INDEX(ERP資料!$G:$G, (MATCH(67, 輔助計算!$G$2:$G$801, 0)+1)),"0.##")&amp;"+"&amp;TEXT(INDEX(ERP資料!$G:$G, (MATCH(67, 輔助計算!$G$2:$G$801, 0)+1)),"0.##"))))&amp;"-1")), ""), "")</f>
        <v/>
      </c>
      <c r="K68" s="16" t="n"/>
      <c r="L68" s="14">
        <f>IFERROR(IF(AND(IFERROR(INDEX(ERP資料!$A:$A, (MATCH(67, 輔助計算!$G$2:$G$801, 0)+1)), "")&lt;&gt;"", IFERROR(INDEX(ERP資料!$A:$A, (MATCH(67, 輔助計算!$G$2:$G$801, 0)+1)), "")&lt;&gt;IFERROR(INDEX(ERP資料!$A:$A, MATCH(66, 輔助計算!$G$2:$G$801, 0)+1), "")), INDEX(ERP資料!$B:$B, (MATCH(67, 輔助計算!$G$2:$G$801, 0)+1)), ""), "")</f>
        <v/>
      </c>
      <c r="M68" s="17" t="n"/>
    </row>
    <row r="69">
      <c r="A69" s="10">
        <f>IFERROR(IF(AND(IFERROR(INDEX(ERP資料!$A:$A, (MATCH(68, 輔助計算!$G$2:$G$801, 0)+1)), "")&lt;&gt;"", IFERROR(INDEX(ERP資料!$A:$A, (MATCH(68, 輔助計算!$G$2:$G$801, 0)+1)), "")&lt;&gt;IFERROR(INDEX(ERP資料!$A:$A, MATCH(67, 輔助計算!$G$2:$G$801, 0)+1), "")), IFERROR(INDEX(ERP資料!$A:$A, (MATCH(68, 輔助計算!$G$2:$G$801, 0)+1)), ""), ""), "")</f>
        <v/>
      </c>
      <c r="B69" s="10">
        <f>IFERROR(IF(AND(IFERROR(INDEX(ERP資料!$A:$A, (MATCH(68, 輔助計算!$G$2:$G$801, 0)+1)), "")&lt;&gt;"", IFERROR(INDEX(ERP資料!$A:$A, (MATCH(68, 輔助計算!$G$2:$G$801, 0)+1)), "")&lt;&gt;IFERROR(INDEX(ERP資料!$A:$A, MATCH(67, 輔助計算!$G$2:$G$801, 0)+1), "")), INDEX(ERP資料!$S:$S, (MATCH(68, 輔助計算!$G$2:$G$801, 0)+1)), ""), "")</f>
        <v/>
      </c>
      <c r="C69" s="19">
        <f>IFERROR(IF(AND(IFERROR(INDEX(ERP資料!$A:$A, (MATCH(68, 輔助計算!$G$2:$G$801, 0)+1)), "")&lt;&gt;"", IFERROR(INDEX(ERP資料!$A:$A, (MATCH(68, 輔助計算!$G$2:$G$801, 0)+1)), "")&lt;&gt;IFERROR(INDEX(ERP資料!$A:$A, MATCH(67, 輔助計算!$G$2:$G$801, 0)+1), "")), IFERROR(VLOOKUP(LEFT(INDEX(ERP資料!$S:$S, (MATCH(68, 輔助計算!$G$2:$G$801, 0)+1)), 4), 紙管對照表!$A:$C, 3, FALSE), ""), ""), "")</f>
        <v/>
      </c>
      <c r="D69" s="16" t="n"/>
      <c r="E69" s="10">
        <f>IFERROR(IF(INDEX(ERP資料!$H:$H, (MATCH(68, 輔助計算!$G$2:$G$801, 0)+1))="","",INDEX(ERP資料!$H:$H, (MATCH(68, 輔助計算!$G$2:$G$801, 0)+1))), "")</f>
        <v/>
      </c>
      <c r="F69" s="10">
        <f>IFERROR(IF(INDEX(ERP資料!$E:$E, (MATCH(68, 輔助計算!$G$2:$G$801, 0)+1))="","",TRIM(INDEX(ERP資料!$E:$E, (MATCH(68, 輔助計算!$G$2:$G$801, 0)+1)))), "")</f>
        <v/>
      </c>
      <c r="G69" s="10">
        <f>IFERROR(IF(INDEX(ERP資料!$F:$F, (MATCH(68, 輔助計算!$G$2:$G$801, 0)+1))="","",INDEX(ERP資料!$F:$F, (MATCH(68, 輔助計算!$G$2:$G$801, 0)+1))), "")</f>
        <v/>
      </c>
      <c r="H69" s="10">
        <f>IFERROR(IF(INDEX(ERP資料!$G:$G, (MATCH(68, 輔助計算!$G$2:$G$801, 0)+1))="","",INDEX(ERP資料!$G:$G, (MATCH(68, 輔助計算!$G$2:$G$801, 0)+1))), "")</f>
        <v/>
      </c>
      <c r="I69" s="15">
        <f>IFERROR(INDEX(輔助計算!$D:$D, (MATCH(68, 輔助計算!$G$2:$G$801, 0)+1)), "")</f>
        <v/>
      </c>
      <c r="J69" s="15">
        <f>IFERROR(IF(AND(INDEX(輔助計算!$D:$D, (MATCH(68, 輔助計算!$G$2:$G$801, 0)+1))&lt;&gt;"", INDEX(ERP資料!$G:$G, (MATCH(68, 輔助計算!$G$2:$G$801, 0)+1))&lt;&gt;""), TRIM(IF(INT(INDEX(輔助計算!$D:$D, (MATCH(68, 輔助計算!$G$2:$G$801, 0)+1))/IF(INDEX(ERP資料!$G:$G, (MATCH(68, 輔助計算!$G$2:$G$801, 0)+1))&lt;100, IF(INDEX(ERP資料!$G:$G, (MATCH(68, 輔助計算!$G$2:$G$801, 0)+1))&lt;=31,3,IF(INDEX(ERP資料!$G:$G, (MATCH(68, 輔助計算!$G$2:$G$801, 0)+1))&lt;=46.5,2,1)), IF(INDEX(ERP資料!$G:$G, (MATCH(68, 輔助計算!$G$2:$G$801, 0)+1))&lt;=790,3,IF(INDEX(ERP資料!$G:$G, (MATCH(68, 輔助計算!$G$2:$G$801, 0)+1))&lt;=1181,2,1))))&gt;0, IF(IF(INDEX(ERP資料!$G:$G, (MATCH(68, 輔助計算!$G$2:$G$801, 0)+1))&lt;100, IF(INDEX(ERP資料!$G:$G, (MATCH(68, 輔助計算!$G$2:$G$801, 0)+1))&lt;=31,3,IF(INDEX(ERP資料!$G:$G, (MATCH(68, 輔助計算!$G$2:$G$801, 0)+1))&lt;=46.5,2,1)), IF(INDEX(ERP資料!$G:$G, (MATCH(68, 輔助計算!$G$2:$G$801, 0)+1))&lt;=790,3,IF(INDEX(ERP資料!$G:$G, (MATCH(68, 輔助計算!$G$2:$G$801, 0)+1))&lt;=1181,2,1)))=1,TEXT(INDEX(ERP資料!$G:$G, (MATCH(68, 輔助計算!$G$2:$G$801, 0)+1)),"0.##"),IF(IF(INDEX(ERP資料!$G:$G, (MATCH(68, 輔助計算!$G$2:$G$801, 0)+1))&lt;100, IF(INDEX(ERP資料!$G:$G, (MATCH(68, 輔助計算!$G$2:$G$801, 0)+1))&lt;=31,3,IF(INDEX(ERP資料!$G:$G, (MATCH(68, 輔助計算!$G$2:$G$801, 0)+1))&lt;=46.5,2,1)), IF(INDEX(ERP資料!$G:$G, (MATCH(68, 輔助計算!$G$2:$G$801, 0)+1))&lt;=790,3,IF(INDEX(ERP資料!$G:$G, (MATCH(68, 輔助計算!$G$2:$G$801, 0)+1))&lt;=1181,2,1)))=2,TEXT(INDEX(ERP資料!$G:$G, (MATCH(68, 輔助計算!$G$2:$G$801, 0)+1)),"0.##")&amp;"+"&amp;TEXT(INDEX(ERP資料!$G:$G, (MATCH(68, 輔助計算!$G$2:$G$801, 0)+1)),"0.##"),TEXT(INDEX(ERP資料!$G:$G, (MATCH(68, 輔助計算!$G$2:$G$801, 0)+1)),"0.##")&amp;"+"&amp;TEXT(INDEX(ERP資料!$G:$G, (MATCH(68, 輔助計算!$G$2:$G$801, 0)+1)),"0.##")&amp;"+"&amp;TEXT(INDEX(ERP資料!$G:$G, (MATCH(68, 輔助計算!$G$2:$G$801, 0)+1)),"0.##")))&amp;"-"&amp;INT(INDEX(輔助計算!$D:$D, (MATCH(68, 輔助計算!$G$2:$G$801, 0)+1))/IF(INDEX(ERP資料!$G:$G, (MATCH(68, 輔助計算!$G$2:$G$801, 0)+1))&lt;100, IF(INDEX(ERP資料!$G:$G, (MATCH(68, 輔助計算!$G$2:$G$801, 0)+1))&lt;=31,3,IF(INDEX(ERP資料!$G:$G, (MATCH(68, 輔助計算!$G$2:$G$801, 0)+1))&lt;=46.5,2,1)), IF(INDEX(ERP資料!$G:$G, (MATCH(68, 輔助計算!$G$2:$G$801, 0)+1))&lt;=790,3,IF(INDEX(ERP資料!$G:$G, (MATCH(68, 輔助計算!$G$2:$G$801, 0)+1))&lt;=1181,2,1)))), "")&amp;IF(AND(IF(INT(INDEX(輔助計算!$D:$D, (MATCH(68, 輔助計算!$G$2:$G$801, 0)+1))/IF(INDEX(ERP資料!$G:$G, (MATCH(68, 輔助計算!$G$2:$G$801, 0)+1))&lt;100, IF(INDEX(ERP資料!$G:$G, (MATCH(68, 輔助計算!$G$2:$G$801, 0)+1))&lt;=31,3,IF(INDEX(ERP資料!$G:$G, (MATCH(68, 輔助計算!$G$2:$G$801, 0)+1))&lt;=46.5,2,1)), IF(INDEX(ERP資料!$G:$G, (MATCH(68, 輔助計算!$G$2:$G$801, 0)+1))&lt;=790,3,IF(INDEX(ERP資料!$G:$G, (MATCH(68, 輔助計算!$G$2:$G$801, 0)+1))&lt;=1181,2,1))))&gt;0, IF(IF(INDEX(ERP資料!$G:$G, (MATCH(68, 輔助計算!$G$2:$G$801, 0)+1))&lt;100, IF(INDEX(ERP資料!$G:$G, (MATCH(68, 輔助計算!$G$2:$G$801, 0)+1))&lt;=31,3,IF(INDEX(ERP資料!$G:$G, (MATCH(68, 輔助計算!$G$2:$G$801, 0)+1))&lt;=46.5,2,1)), IF(INDEX(ERP資料!$G:$G, (MATCH(68, 輔助計算!$G$2:$G$801, 0)+1))&lt;=790,3,IF(INDEX(ERP資料!$G:$G, (MATCH(68, 輔助計算!$G$2:$G$801, 0)+1))&lt;=1181,2,1)))=1,TEXT(INDEX(ERP資料!$G:$G, (MATCH(68, 輔助計算!$G$2:$G$801, 0)+1)),"0.##"),IF(IF(INDEX(ERP資料!$G:$G, (MATCH(68, 輔助計算!$G$2:$G$801, 0)+1))&lt;100, IF(INDEX(ERP資料!$G:$G, (MATCH(68, 輔助計算!$G$2:$G$801, 0)+1))&lt;=31,3,IF(INDEX(ERP資料!$G:$G, (MATCH(68, 輔助計算!$G$2:$G$801, 0)+1))&lt;=46.5,2,1)), IF(INDEX(ERP資料!$G:$G, (MATCH(68, 輔助計算!$G$2:$G$801, 0)+1))&lt;=790,3,IF(INDEX(ERP資料!$G:$G, (MATCH(68, 輔助計算!$G$2:$G$801, 0)+1))&lt;=1181,2,1)))=2,TEXT(INDEX(ERP資料!$G:$G, (MATCH(68, 輔助計算!$G$2:$G$801, 0)+1)),"0.##")&amp;"+"&amp;TEXT(INDEX(ERP資料!$G:$G, (MATCH(68, 輔助計算!$G$2:$G$801, 0)+1)),"0.##"),TEXT(INDEX(ERP資料!$G:$G, (MATCH(68, 輔助計算!$G$2:$G$801, 0)+1)),"0.##")&amp;"+"&amp;TEXT(INDEX(ERP資料!$G:$G, (MATCH(68, 輔助計算!$G$2:$G$801, 0)+1)),"0.##")&amp;"+"&amp;TEXT(INDEX(ERP資料!$G:$G, (MATCH(68, 輔助計算!$G$2:$G$801, 0)+1)),"0.##")))&amp;"-"&amp;INT(INDEX(輔助計算!$D:$D, (MATCH(68, 輔助計算!$G$2:$G$801, 0)+1))/IF(INDEX(ERP資料!$G:$G, (MATCH(68, 輔助計算!$G$2:$G$801, 0)+1))&lt;100, IF(INDEX(ERP資料!$G:$G, (MATCH(68, 輔助計算!$G$2:$G$801, 0)+1))&lt;=31,3,IF(INDEX(ERP資料!$G:$G, (MATCH(68, 輔助計算!$G$2:$G$801, 0)+1))&lt;=46.5,2,1)), IF(INDEX(ERP資料!$G:$G, (MATCH(68, 輔助計算!$G$2:$G$801, 0)+1))&lt;=790,3,IF(INDEX(ERP資料!$G:$G, (MATCH(68, 輔助計算!$G$2:$G$801, 0)+1))&lt;=1181,2,1)))), "")&lt;&gt;"",IF(MOD(INDEX(輔助計算!$D:$D, (MATCH(68, 輔助計算!$G$2:$G$801, 0)+1)),IF(INDEX(ERP資料!$G:$G, (MATCH(68, 輔助計算!$G$2:$G$801, 0)+1))&lt;100, IF(INDEX(ERP資料!$G:$G, (MATCH(68, 輔助計算!$G$2:$G$801, 0)+1))&lt;=31,3,IF(INDEX(ERP資料!$G:$G, (MATCH(68, 輔助計算!$G$2:$G$801, 0)+1))&lt;=46.5,2,1)), IF(INDEX(ERP資料!$G:$G, (MATCH(68, 輔助計算!$G$2:$G$801, 0)+1))&lt;=790,3,IF(INDEX(ERP資料!$G:$G, (MATCH(68, 輔助計算!$G$2:$G$801, 0)+1))&lt;=1181,2,1))))=0,"",IF(MOD(INDEX(輔助計算!$D:$D, (MATCH(68, 輔助計算!$G$2:$G$801, 0)+1)),IF(INDEX(ERP資料!$G:$G, (MATCH(68, 輔助計算!$G$2:$G$801, 0)+1))&lt;100, IF(INDEX(ERP資料!$G:$G, (MATCH(68, 輔助計算!$G$2:$G$801, 0)+1))&lt;=31,3,IF(INDEX(ERP資料!$G:$G, (MATCH(68, 輔助計算!$G$2:$G$801, 0)+1))&lt;=46.5,2,1)), IF(INDEX(ERP資料!$G:$G, (MATCH(68, 輔助計算!$G$2:$G$801, 0)+1))&lt;=790,3,IF(INDEX(ERP資料!$G:$G, (MATCH(68, 輔助計算!$G$2:$G$801, 0)+1))&lt;=1181,2,1))))=0,"",IF(MOD(INDEX(輔助計算!$D:$D, (MATCH(68, 輔助計算!$G$2:$G$801, 0)+1)),IF(INDEX(ERP資料!$G:$G, (MATCH(68, 輔助計算!$G$2:$G$801, 0)+1))&lt;100, IF(INDEX(ERP資料!$G:$G, (MATCH(68, 輔助計算!$G$2:$G$801, 0)+1))&lt;=31,3,IF(INDEX(ERP資料!$G:$G, (MATCH(68, 輔助計算!$G$2:$G$801, 0)+1))&lt;=46.5,2,1)), IF(INDEX(ERP資料!$G:$G, (MATCH(68, 輔助計算!$G$2:$G$801, 0)+1))&lt;=790,3,IF(INDEX(ERP資料!$G:$G, (MATCH(68, 輔助計算!$G$2:$G$801, 0)+1))&lt;=1181,2,1))))=1,TEXT(INDEX(ERP資料!$G:$G, (MATCH(68, 輔助計算!$G$2:$G$801, 0)+1)),"0.##"),IF(MOD(INDEX(輔助計算!$D:$D, (MATCH(68, 輔助計算!$G$2:$G$801, 0)+1)),IF(INDEX(ERP資料!$G:$G, (MATCH(68, 輔助計算!$G$2:$G$801, 0)+1))&lt;100, IF(INDEX(ERP資料!$G:$G, (MATCH(68, 輔助計算!$G$2:$G$801, 0)+1))&lt;=31,3,IF(INDEX(ERP資料!$G:$G, (MATCH(68, 輔助計算!$G$2:$G$801, 0)+1))&lt;=46.5,2,1)), IF(INDEX(ERP資料!$G:$G, (MATCH(68, 輔助計算!$G$2:$G$801, 0)+1))&lt;=790,3,IF(INDEX(ERP資料!$G:$G, (MATCH(68, 輔助計算!$G$2:$G$801, 0)+1))&lt;=1181,2,1))))=2,TEXT(INDEX(ERP資料!$G:$G, (MATCH(68, 輔助計算!$G$2:$G$801, 0)+1)),"0.##")&amp;"+"&amp;TEXT(INDEX(ERP資料!$G:$G, (MATCH(68, 輔助計算!$G$2:$G$801, 0)+1)),"0.##"),TEXT(INDEX(ERP資料!$G:$G, (MATCH(68, 輔助計算!$G$2:$G$801, 0)+1)),"0.##")&amp;"+"&amp;TEXT(INDEX(ERP資料!$G:$G, (MATCH(68, 輔助計算!$G$2:$G$801, 0)+1)),"0.##")&amp;"+"&amp;TEXT(INDEX(ERP資料!$G:$G, (MATCH(68, 輔助計算!$G$2:$G$801, 0)+1)),"0.##"))))&amp;"-1")&lt;&gt;""),"  ","")&amp;IF(MOD(INDEX(輔助計算!$D:$D, (MATCH(68, 輔助計算!$G$2:$G$801, 0)+1)),IF(INDEX(ERP資料!$G:$G, (MATCH(68, 輔助計算!$G$2:$G$801, 0)+1))&lt;100, IF(INDEX(ERP資料!$G:$G, (MATCH(68, 輔助計算!$G$2:$G$801, 0)+1))&lt;=31,3,IF(INDEX(ERP資料!$G:$G, (MATCH(68, 輔助計算!$G$2:$G$801, 0)+1))&lt;=46.5,2,1)), IF(INDEX(ERP資料!$G:$G, (MATCH(68, 輔助計算!$G$2:$G$801, 0)+1))&lt;=790,3,IF(INDEX(ERP資料!$G:$G, (MATCH(68, 輔助計算!$G$2:$G$801, 0)+1))&lt;=1181,2,1))))=0,"",IF(MOD(INDEX(輔助計算!$D:$D, (MATCH(68, 輔助計算!$G$2:$G$801, 0)+1)),IF(INDEX(ERP資料!$G:$G, (MATCH(68, 輔助計算!$G$2:$G$801, 0)+1))&lt;100, IF(INDEX(ERP資料!$G:$G, (MATCH(68, 輔助計算!$G$2:$G$801, 0)+1))&lt;=31,3,IF(INDEX(ERP資料!$G:$G, (MATCH(68, 輔助計算!$G$2:$G$801, 0)+1))&lt;=46.5,2,1)), IF(INDEX(ERP資料!$G:$G, (MATCH(68, 輔助計算!$G$2:$G$801, 0)+1))&lt;=790,3,IF(INDEX(ERP資料!$G:$G, (MATCH(68, 輔助計算!$G$2:$G$801, 0)+1))&lt;=1181,2,1))))=0,"",IF(MOD(INDEX(輔助計算!$D:$D, (MATCH(68, 輔助計算!$G$2:$G$801, 0)+1)),IF(INDEX(ERP資料!$G:$G, (MATCH(68, 輔助計算!$G$2:$G$801, 0)+1))&lt;100, IF(INDEX(ERP資料!$G:$G, (MATCH(68, 輔助計算!$G$2:$G$801, 0)+1))&lt;=31,3,IF(INDEX(ERP資料!$G:$G, (MATCH(68, 輔助計算!$G$2:$G$801, 0)+1))&lt;=46.5,2,1)), IF(INDEX(ERP資料!$G:$G, (MATCH(68, 輔助計算!$G$2:$G$801, 0)+1))&lt;=790,3,IF(INDEX(ERP資料!$G:$G, (MATCH(68, 輔助計算!$G$2:$G$801, 0)+1))&lt;=1181,2,1))))=1,TEXT(INDEX(ERP資料!$G:$G, (MATCH(68, 輔助計算!$G$2:$G$801, 0)+1)),"0.##"),IF(MOD(INDEX(輔助計算!$D:$D, (MATCH(68, 輔助計算!$G$2:$G$801, 0)+1)),IF(INDEX(ERP資料!$G:$G, (MATCH(68, 輔助計算!$G$2:$G$801, 0)+1))&lt;100, IF(INDEX(ERP資料!$G:$G, (MATCH(68, 輔助計算!$G$2:$G$801, 0)+1))&lt;=31,3,IF(INDEX(ERP資料!$G:$G, (MATCH(68, 輔助計算!$G$2:$G$801, 0)+1))&lt;=46.5,2,1)), IF(INDEX(ERP資料!$G:$G, (MATCH(68, 輔助計算!$G$2:$G$801, 0)+1))&lt;=790,3,IF(INDEX(ERP資料!$G:$G, (MATCH(68, 輔助計算!$G$2:$G$801, 0)+1))&lt;=1181,2,1))))=2,TEXT(INDEX(ERP資料!$G:$G, (MATCH(68, 輔助計算!$G$2:$G$801, 0)+1)),"0.##")&amp;"+"&amp;TEXT(INDEX(ERP資料!$G:$G, (MATCH(68, 輔助計算!$G$2:$G$801, 0)+1)),"0.##"),TEXT(INDEX(ERP資料!$G:$G, (MATCH(68, 輔助計算!$G$2:$G$801, 0)+1)),"0.##")&amp;"+"&amp;TEXT(INDEX(ERP資料!$G:$G, (MATCH(68, 輔助計算!$G$2:$G$801, 0)+1)),"0.##")&amp;"+"&amp;TEXT(INDEX(ERP資料!$G:$G, (MATCH(68, 輔助計算!$G$2:$G$801, 0)+1)),"0.##"))))&amp;"-1")), ""), "")</f>
        <v/>
      </c>
      <c r="K69" s="16" t="n"/>
      <c r="L69" s="14">
        <f>IFERROR(IF(AND(IFERROR(INDEX(ERP資料!$A:$A, (MATCH(68, 輔助計算!$G$2:$G$801, 0)+1)), "")&lt;&gt;"", IFERROR(INDEX(ERP資料!$A:$A, (MATCH(68, 輔助計算!$G$2:$G$801, 0)+1)), "")&lt;&gt;IFERROR(INDEX(ERP資料!$A:$A, MATCH(67, 輔助計算!$G$2:$G$801, 0)+1), "")), INDEX(ERP資料!$B:$B, (MATCH(68, 輔助計算!$G$2:$G$801, 0)+1)), ""), "")</f>
        <v/>
      </c>
      <c r="M69" s="17" t="n"/>
    </row>
    <row r="70">
      <c r="A70" s="10">
        <f>IFERROR(IF(AND(IFERROR(INDEX(ERP資料!$A:$A, (MATCH(69, 輔助計算!$G$2:$G$801, 0)+1)), "")&lt;&gt;"", IFERROR(INDEX(ERP資料!$A:$A, (MATCH(69, 輔助計算!$G$2:$G$801, 0)+1)), "")&lt;&gt;IFERROR(INDEX(ERP資料!$A:$A, MATCH(68, 輔助計算!$G$2:$G$801, 0)+1), "")), IFERROR(INDEX(ERP資料!$A:$A, (MATCH(69, 輔助計算!$G$2:$G$801, 0)+1)), ""), ""), "")</f>
        <v/>
      </c>
      <c r="B70" s="10">
        <f>IFERROR(IF(AND(IFERROR(INDEX(ERP資料!$A:$A, (MATCH(69, 輔助計算!$G$2:$G$801, 0)+1)), "")&lt;&gt;"", IFERROR(INDEX(ERP資料!$A:$A, (MATCH(69, 輔助計算!$G$2:$G$801, 0)+1)), "")&lt;&gt;IFERROR(INDEX(ERP資料!$A:$A, MATCH(68, 輔助計算!$G$2:$G$801, 0)+1), "")), INDEX(ERP資料!$S:$S, (MATCH(69, 輔助計算!$G$2:$G$801, 0)+1)), ""), "")</f>
        <v/>
      </c>
      <c r="C70" s="19">
        <f>IFERROR(IF(AND(IFERROR(INDEX(ERP資料!$A:$A, (MATCH(69, 輔助計算!$G$2:$G$801, 0)+1)), "")&lt;&gt;"", IFERROR(INDEX(ERP資料!$A:$A, (MATCH(69, 輔助計算!$G$2:$G$801, 0)+1)), "")&lt;&gt;IFERROR(INDEX(ERP資料!$A:$A, MATCH(68, 輔助計算!$G$2:$G$801, 0)+1), "")), IFERROR(VLOOKUP(LEFT(INDEX(ERP資料!$S:$S, (MATCH(69, 輔助計算!$G$2:$G$801, 0)+1)), 4), 紙管對照表!$A:$C, 3, FALSE), ""), ""), "")</f>
        <v/>
      </c>
      <c r="D70" s="16" t="n"/>
      <c r="E70" s="10">
        <f>IFERROR(IF(INDEX(ERP資料!$H:$H, (MATCH(69, 輔助計算!$G$2:$G$801, 0)+1))="","",INDEX(ERP資料!$H:$H, (MATCH(69, 輔助計算!$G$2:$G$801, 0)+1))), "")</f>
        <v/>
      </c>
      <c r="F70" s="10">
        <f>IFERROR(IF(INDEX(ERP資料!$E:$E, (MATCH(69, 輔助計算!$G$2:$G$801, 0)+1))="","",TRIM(INDEX(ERP資料!$E:$E, (MATCH(69, 輔助計算!$G$2:$G$801, 0)+1)))), "")</f>
        <v/>
      </c>
      <c r="G70" s="10">
        <f>IFERROR(IF(INDEX(ERP資料!$F:$F, (MATCH(69, 輔助計算!$G$2:$G$801, 0)+1))="","",INDEX(ERP資料!$F:$F, (MATCH(69, 輔助計算!$G$2:$G$801, 0)+1))), "")</f>
        <v/>
      </c>
      <c r="H70" s="10">
        <f>IFERROR(IF(INDEX(ERP資料!$G:$G, (MATCH(69, 輔助計算!$G$2:$G$801, 0)+1))="","",INDEX(ERP資料!$G:$G, (MATCH(69, 輔助計算!$G$2:$G$801, 0)+1))), "")</f>
        <v/>
      </c>
      <c r="I70" s="15">
        <f>IFERROR(INDEX(輔助計算!$D:$D, (MATCH(69, 輔助計算!$G$2:$G$801, 0)+1)), "")</f>
        <v/>
      </c>
      <c r="J70" s="15">
        <f>IFERROR(IF(AND(INDEX(輔助計算!$D:$D, (MATCH(69, 輔助計算!$G$2:$G$801, 0)+1))&lt;&gt;"", INDEX(ERP資料!$G:$G, (MATCH(69, 輔助計算!$G$2:$G$801, 0)+1))&lt;&gt;""), TRIM(IF(INT(INDEX(輔助計算!$D:$D, (MATCH(69, 輔助計算!$G$2:$G$801, 0)+1))/IF(INDEX(ERP資料!$G:$G, (MATCH(69, 輔助計算!$G$2:$G$801, 0)+1))&lt;100, IF(INDEX(ERP資料!$G:$G, (MATCH(69, 輔助計算!$G$2:$G$801, 0)+1))&lt;=31,3,IF(INDEX(ERP資料!$G:$G, (MATCH(69, 輔助計算!$G$2:$G$801, 0)+1))&lt;=46.5,2,1)), IF(INDEX(ERP資料!$G:$G, (MATCH(69, 輔助計算!$G$2:$G$801, 0)+1))&lt;=790,3,IF(INDEX(ERP資料!$G:$G, (MATCH(69, 輔助計算!$G$2:$G$801, 0)+1))&lt;=1181,2,1))))&gt;0, IF(IF(INDEX(ERP資料!$G:$G, (MATCH(69, 輔助計算!$G$2:$G$801, 0)+1))&lt;100, IF(INDEX(ERP資料!$G:$G, (MATCH(69, 輔助計算!$G$2:$G$801, 0)+1))&lt;=31,3,IF(INDEX(ERP資料!$G:$G, (MATCH(69, 輔助計算!$G$2:$G$801, 0)+1))&lt;=46.5,2,1)), IF(INDEX(ERP資料!$G:$G, (MATCH(69, 輔助計算!$G$2:$G$801, 0)+1))&lt;=790,3,IF(INDEX(ERP資料!$G:$G, (MATCH(69, 輔助計算!$G$2:$G$801, 0)+1))&lt;=1181,2,1)))=1,TEXT(INDEX(ERP資料!$G:$G, (MATCH(69, 輔助計算!$G$2:$G$801, 0)+1)),"0.##"),IF(IF(INDEX(ERP資料!$G:$G, (MATCH(69, 輔助計算!$G$2:$G$801, 0)+1))&lt;100, IF(INDEX(ERP資料!$G:$G, (MATCH(69, 輔助計算!$G$2:$G$801, 0)+1))&lt;=31,3,IF(INDEX(ERP資料!$G:$G, (MATCH(69, 輔助計算!$G$2:$G$801, 0)+1))&lt;=46.5,2,1)), IF(INDEX(ERP資料!$G:$G, (MATCH(69, 輔助計算!$G$2:$G$801, 0)+1))&lt;=790,3,IF(INDEX(ERP資料!$G:$G, (MATCH(69, 輔助計算!$G$2:$G$801, 0)+1))&lt;=1181,2,1)))=2,TEXT(INDEX(ERP資料!$G:$G, (MATCH(69, 輔助計算!$G$2:$G$801, 0)+1)),"0.##")&amp;"+"&amp;TEXT(INDEX(ERP資料!$G:$G, (MATCH(69, 輔助計算!$G$2:$G$801, 0)+1)),"0.##"),TEXT(INDEX(ERP資料!$G:$G, (MATCH(69, 輔助計算!$G$2:$G$801, 0)+1)),"0.##")&amp;"+"&amp;TEXT(INDEX(ERP資料!$G:$G, (MATCH(69, 輔助計算!$G$2:$G$801, 0)+1)),"0.##")&amp;"+"&amp;TEXT(INDEX(ERP資料!$G:$G, (MATCH(69, 輔助計算!$G$2:$G$801, 0)+1)),"0.##")))&amp;"-"&amp;INT(INDEX(輔助計算!$D:$D, (MATCH(69, 輔助計算!$G$2:$G$801, 0)+1))/IF(INDEX(ERP資料!$G:$G, (MATCH(69, 輔助計算!$G$2:$G$801, 0)+1))&lt;100, IF(INDEX(ERP資料!$G:$G, (MATCH(69, 輔助計算!$G$2:$G$801, 0)+1))&lt;=31,3,IF(INDEX(ERP資料!$G:$G, (MATCH(69, 輔助計算!$G$2:$G$801, 0)+1))&lt;=46.5,2,1)), IF(INDEX(ERP資料!$G:$G, (MATCH(69, 輔助計算!$G$2:$G$801, 0)+1))&lt;=790,3,IF(INDEX(ERP資料!$G:$G, (MATCH(69, 輔助計算!$G$2:$G$801, 0)+1))&lt;=1181,2,1)))), "")&amp;IF(AND(IF(INT(INDEX(輔助計算!$D:$D, (MATCH(69, 輔助計算!$G$2:$G$801, 0)+1))/IF(INDEX(ERP資料!$G:$G, (MATCH(69, 輔助計算!$G$2:$G$801, 0)+1))&lt;100, IF(INDEX(ERP資料!$G:$G, (MATCH(69, 輔助計算!$G$2:$G$801, 0)+1))&lt;=31,3,IF(INDEX(ERP資料!$G:$G, (MATCH(69, 輔助計算!$G$2:$G$801, 0)+1))&lt;=46.5,2,1)), IF(INDEX(ERP資料!$G:$G, (MATCH(69, 輔助計算!$G$2:$G$801, 0)+1))&lt;=790,3,IF(INDEX(ERP資料!$G:$G, (MATCH(69, 輔助計算!$G$2:$G$801, 0)+1))&lt;=1181,2,1))))&gt;0, IF(IF(INDEX(ERP資料!$G:$G, (MATCH(69, 輔助計算!$G$2:$G$801, 0)+1))&lt;100, IF(INDEX(ERP資料!$G:$G, (MATCH(69, 輔助計算!$G$2:$G$801, 0)+1))&lt;=31,3,IF(INDEX(ERP資料!$G:$G, (MATCH(69, 輔助計算!$G$2:$G$801, 0)+1))&lt;=46.5,2,1)), IF(INDEX(ERP資料!$G:$G, (MATCH(69, 輔助計算!$G$2:$G$801, 0)+1))&lt;=790,3,IF(INDEX(ERP資料!$G:$G, (MATCH(69, 輔助計算!$G$2:$G$801, 0)+1))&lt;=1181,2,1)))=1,TEXT(INDEX(ERP資料!$G:$G, (MATCH(69, 輔助計算!$G$2:$G$801, 0)+1)),"0.##"),IF(IF(INDEX(ERP資料!$G:$G, (MATCH(69, 輔助計算!$G$2:$G$801, 0)+1))&lt;100, IF(INDEX(ERP資料!$G:$G, (MATCH(69, 輔助計算!$G$2:$G$801, 0)+1))&lt;=31,3,IF(INDEX(ERP資料!$G:$G, (MATCH(69, 輔助計算!$G$2:$G$801, 0)+1))&lt;=46.5,2,1)), IF(INDEX(ERP資料!$G:$G, (MATCH(69, 輔助計算!$G$2:$G$801, 0)+1))&lt;=790,3,IF(INDEX(ERP資料!$G:$G, (MATCH(69, 輔助計算!$G$2:$G$801, 0)+1))&lt;=1181,2,1)))=2,TEXT(INDEX(ERP資料!$G:$G, (MATCH(69, 輔助計算!$G$2:$G$801, 0)+1)),"0.##")&amp;"+"&amp;TEXT(INDEX(ERP資料!$G:$G, (MATCH(69, 輔助計算!$G$2:$G$801, 0)+1)),"0.##"),TEXT(INDEX(ERP資料!$G:$G, (MATCH(69, 輔助計算!$G$2:$G$801, 0)+1)),"0.##")&amp;"+"&amp;TEXT(INDEX(ERP資料!$G:$G, (MATCH(69, 輔助計算!$G$2:$G$801, 0)+1)),"0.##")&amp;"+"&amp;TEXT(INDEX(ERP資料!$G:$G, (MATCH(69, 輔助計算!$G$2:$G$801, 0)+1)),"0.##")))&amp;"-"&amp;INT(INDEX(輔助計算!$D:$D, (MATCH(69, 輔助計算!$G$2:$G$801, 0)+1))/IF(INDEX(ERP資料!$G:$G, (MATCH(69, 輔助計算!$G$2:$G$801, 0)+1))&lt;100, IF(INDEX(ERP資料!$G:$G, (MATCH(69, 輔助計算!$G$2:$G$801, 0)+1))&lt;=31,3,IF(INDEX(ERP資料!$G:$G, (MATCH(69, 輔助計算!$G$2:$G$801, 0)+1))&lt;=46.5,2,1)), IF(INDEX(ERP資料!$G:$G, (MATCH(69, 輔助計算!$G$2:$G$801, 0)+1))&lt;=790,3,IF(INDEX(ERP資料!$G:$G, (MATCH(69, 輔助計算!$G$2:$G$801, 0)+1))&lt;=1181,2,1)))), "")&lt;&gt;"",IF(MOD(INDEX(輔助計算!$D:$D, (MATCH(69, 輔助計算!$G$2:$G$801, 0)+1)),IF(INDEX(ERP資料!$G:$G, (MATCH(69, 輔助計算!$G$2:$G$801, 0)+1))&lt;100, IF(INDEX(ERP資料!$G:$G, (MATCH(69, 輔助計算!$G$2:$G$801, 0)+1))&lt;=31,3,IF(INDEX(ERP資料!$G:$G, (MATCH(69, 輔助計算!$G$2:$G$801, 0)+1))&lt;=46.5,2,1)), IF(INDEX(ERP資料!$G:$G, (MATCH(69, 輔助計算!$G$2:$G$801, 0)+1))&lt;=790,3,IF(INDEX(ERP資料!$G:$G, (MATCH(69, 輔助計算!$G$2:$G$801, 0)+1))&lt;=1181,2,1))))=0,"",IF(MOD(INDEX(輔助計算!$D:$D, (MATCH(69, 輔助計算!$G$2:$G$801, 0)+1)),IF(INDEX(ERP資料!$G:$G, (MATCH(69, 輔助計算!$G$2:$G$801, 0)+1))&lt;100, IF(INDEX(ERP資料!$G:$G, (MATCH(69, 輔助計算!$G$2:$G$801, 0)+1))&lt;=31,3,IF(INDEX(ERP資料!$G:$G, (MATCH(69, 輔助計算!$G$2:$G$801, 0)+1))&lt;=46.5,2,1)), IF(INDEX(ERP資料!$G:$G, (MATCH(69, 輔助計算!$G$2:$G$801, 0)+1))&lt;=790,3,IF(INDEX(ERP資料!$G:$G, (MATCH(69, 輔助計算!$G$2:$G$801, 0)+1))&lt;=1181,2,1))))=0,"",IF(MOD(INDEX(輔助計算!$D:$D, (MATCH(69, 輔助計算!$G$2:$G$801, 0)+1)),IF(INDEX(ERP資料!$G:$G, (MATCH(69, 輔助計算!$G$2:$G$801, 0)+1))&lt;100, IF(INDEX(ERP資料!$G:$G, (MATCH(69, 輔助計算!$G$2:$G$801, 0)+1))&lt;=31,3,IF(INDEX(ERP資料!$G:$G, (MATCH(69, 輔助計算!$G$2:$G$801, 0)+1))&lt;=46.5,2,1)), IF(INDEX(ERP資料!$G:$G, (MATCH(69, 輔助計算!$G$2:$G$801, 0)+1))&lt;=790,3,IF(INDEX(ERP資料!$G:$G, (MATCH(69, 輔助計算!$G$2:$G$801, 0)+1))&lt;=1181,2,1))))=1,TEXT(INDEX(ERP資料!$G:$G, (MATCH(69, 輔助計算!$G$2:$G$801, 0)+1)),"0.##"),IF(MOD(INDEX(輔助計算!$D:$D, (MATCH(69, 輔助計算!$G$2:$G$801, 0)+1)),IF(INDEX(ERP資料!$G:$G, (MATCH(69, 輔助計算!$G$2:$G$801, 0)+1))&lt;100, IF(INDEX(ERP資料!$G:$G, (MATCH(69, 輔助計算!$G$2:$G$801, 0)+1))&lt;=31,3,IF(INDEX(ERP資料!$G:$G, (MATCH(69, 輔助計算!$G$2:$G$801, 0)+1))&lt;=46.5,2,1)), IF(INDEX(ERP資料!$G:$G, (MATCH(69, 輔助計算!$G$2:$G$801, 0)+1))&lt;=790,3,IF(INDEX(ERP資料!$G:$G, (MATCH(69, 輔助計算!$G$2:$G$801, 0)+1))&lt;=1181,2,1))))=2,TEXT(INDEX(ERP資料!$G:$G, (MATCH(69, 輔助計算!$G$2:$G$801, 0)+1)),"0.##")&amp;"+"&amp;TEXT(INDEX(ERP資料!$G:$G, (MATCH(69, 輔助計算!$G$2:$G$801, 0)+1)),"0.##"),TEXT(INDEX(ERP資料!$G:$G, (MATCH(69, 輔助計算!$G$2:$G$801, 0)+1)),"0.##")&amp;"+"&amp;TEXT(INDEX(ERP資料!$G:$G, (MATCH(69, 輔助計算!$G$2:$G$801, 0)+1)),"0.##")&amp;"+"&amp;TEXT(INDEX(ERP資料!$G:$G, (MATCH(69, 輔助計算!$G$2:$G$801, 0)+1)),"0.##"))))&amp;"-1")&lt;&gt;""),"  ","")&amp;IF(MOD(INDEX(輔助計算!$D:$D, (MATCH(69, 輔助計算!$G$2:$G$801, 0)+1)),IF(INDEX(ERP資料!$G:$G, (MATCH(69, 輔助計算!$G$2:$G$801, 0)+1))&lt;100, IF(INDEX(ERP資料!$G:$G, (MATCH(69, 輔助計算!$G$2:$G$801, 0)+1))&lt;=31,3,IF(INDEX(ERP資料!$G:$G, (MATCH(69, 輔助計算!$G$2:$G$801, 0)+1))&lt;=46.5,2,1)), IF(INDEX(ERP資料!$G:$G, (MATCH(69, 輔助計算!$G$2:$G$801, 0)+1))&lt;=790,3,IF(INDEX(ERP資料!$G:$G, (MATCH(69, 輔助計算!$G$2:$G$801, 0)+1))&lt;=1181,2,1))))=0,"",IF(MOD(INDEX(輔助計算!$D:$D, (MATCH(69, 輔助計算!$G$2:$G$801, 0)+1)),IF(INDEX(ERP資料!$G:$G, (MATCH(69, 輔助計算!$G$2:$G$801, 0)+1))&lt;100, IF(INDEX(ERP資料!$G:$G, (MATCH(69, 輔助計算!$G$2:$G$801, 0)+1))&lt;=31,3,IF(INDEX(ERP資料!$G:$G, (MATCH(69, 輔助計算!$G$2:$G$801, 0)+1))&lt;=46.5,2,1)), IF(INDEX(ERP資料!$G:$G, (MATCH(69, 輔助計算!$G$2:$G$801, 0)+1))&lt;=790,3,IF(INDEX(ERP資料!$G:$G, (MATCH(69, 輔助計算!$G$2:$G$801, 0)+1))&lt;=1181,2,1))))=0,"",IF(MOD(INDEX(輔助計算!$D:$D, (MATCH(69, 輔助計算!$G$2:$G$801, 0)+1)),IF(INDEX(ERP資料!$G:$G, (MATCH(69, 輔助計算!$G$2:$G$801, 0)+1))&lt;100, IF(INDEX(ERP資料!$G:$G, (MATCH(69, 輔助計算!$G$2:$G$801, 0)+1))&lt;=31,3,IF(INDEX(ERP資料!$G:$G, (MATCH(69, 輔助計算!$G$2:$G$801, 0)+1))&lt;=46.5,2,1)), IF(INDEX(ERP資料!$G:$G, (MATCH(69, 輔助計算!$G$2:$G$801, 0)+1))&lt;=790,3,IF(INDEX(ERP資料!$G:$G, (MATCH(69, 輔助計算!$G$2:$G$801, 0)+1))&lt;=1181,2,1))))=1,TEXT(INDEX(ERP資料!$G:$G, (MATCH(69, 輔助計算!$G$2:$G$801, 0)+1)),"0.##"),IF(MOD(INDEX(輔助計算!$D:$D, (MATCH(69, 輔助計算!$G$2:$G$801, 0)+1)),IF(INDEX(ERP資料!$G:$G, (MATCH(69, 輔助計算!$G$2:$G$801, 0)+1))&lt;100, IF(INDEX(ERP資料!$G:$G, (MATCH(69, 輔助計算!$G$2:$G$801, 0)+1))&lt;=31,3,IF(INDEX(ERP資料!$G:$G, (MATCH(69, 輔助計算!$G$2:$G$801, 0)+1))&lt;=46.5,2,1)), IF(INDEX(ERP資料!$G:$G, (MATCH(69, 輔助計算!$G$2:$G$801, 0)+1))&lt;=790,3,IF(INDEX(ERP資料!$G:$G, (MATCH(69, 輔助計算!$G$2:$G$801, 0)+1))&lt;=1181,2,1))))=2,TEXT(INDEX(ERP資料!$G:$G, (MATCH(69, 輔助計算!$G$2:$G$801, 0)+1)),"0.##")&amp;"+"&amp;TEXT(INDEX(ERP資料!$G:$G, (MATCH(69, 輔助計算!$G$2:$G$801, 0)+1)),"0.##"),TEXT(INDEX(ERP資料!$G:$G, (MATCH(69, 輔助計算!$G$2:$G$801, 0)+1)),"0.##")&amp;"+"&amp;TEXT(INDEX(ERP資料!$G:$G, (MATCH(69, 輔助計算!$G$2:$G$801, 0)+1)),"0.##")&amp;"+"&amp;TEXT(INDEX(ERP資料!$G:$G, (MATCH(69, 輔助計算!$G$2:$G$801, 0)+1)),"0.##"))))&amp;"-1")), ""), "")</f>
        <v/>
      </c>
      <c r="K70" s="16" t="n"/>
      <c r="L70" s="14">
        <f>IFERROR(IF(AND(IFERROR(INDEX(ERP資料!$A:$A, (MATCH(69, 輔助計算!$G$2:$G$801, 0)+1)), "")&lt;&gt;"", IFERROR(INDEX(ERP資料!$A:$A, (MATCH(69, 輔助計算!$G$2:$G$801, 0)+1)), "")&lt;&gt;IFERROR(INDEX(ERP資料!$A:$A, MATCH(68, 輔助計算!$G$2:$G$801, 0)+1), "")), INDEX(ERP資料!$B:$B, (MATCH(69, 輔助計算!$G$2:$G$801, 0)+1)), ""), "")</f>
        <v/>
      </c>
      <c r="M70" s="17" t="n"/>
    </row>
    <row r="71">
      <c r="A71" s="10">
        <f>IFERROR(IF(AND(IFERROR(INDEX(ERP資料!$A:$A, (MATCH(70, 輔助計算!$G$2:$G$801, 0)+1)), "")&lt;&gt;"", IFERROR(INDEX(ERP資料!$A:$A, (MATCH(70, 輔助計算!$G$2:$G$801, 0)+1)), "")&lt;&gt;IFERROR(INDEX(ERP資料!$A:$A, MATCH(69, 輔助計算!$G$2:$G$801, 0)+1), "")), IFERROR(INDEX(ERP資料!$A:$A, (MATCH(70, 輔助計算!$G$2:$G$801, 0)+1)), ""), ""), "")</f>
        <v/>
      </c>
      <c r="B71" s="10">
        <f>IFERROR(IF(AND(IFERROR(INDEX(ERP資料!$A:$A, (MATCH(70, 輔助計算!$G$2:$G$801, 0)+1)), "")&lt;&gt;"", IFERROR(INDEX(ERP資料!$A:$A, (MATCH(70, 輔助計算!$G$2:$G$801, 0)+1)), "")&lt;&gt;IFERROR(INDEX(ERP資料!$A:$A, MATCH(69, 輔助計算!$G$2:$G$801, 0)+1), "")), INDEX(ERP資料!$S:$S, (MATCH(70, 輔助計算!$G$2:$G$801, 0)+1)), ""), "")</f>
        <v/>
      </c>
      <c r="C71" s="19">
        <f>IFERROR(IF(AND(IFERROR(INDEX(ERP資料!$A:$A, (MATCH(70, 輔助計算!$G$2:$G$801, 0)+1)), "")&lt;&gt;"", IFERROR(INDEX(ERP資料!$A:$A, (MATCH(70, 輔助計算!$G$2:$G$801, 0)+1)), "")&lt;&gt;IFERROR(INDEX(ERP資料!$A:$A, MATCH(69, 輔助計算!$G$2:$G$801, 0)+1), "")), IFERROR(VLOOKUP(LEFT(INDEX(ERP資料!$S:$S, (MATCH(70, 輔助計算!$G$2:$G$801, 0)+1)), 4), 紙管對照表!$A:$C, 3, FALSE), ""), ""), "")</f>
        <v/>
      </c>
      <c r="D71" s="16" t="n"/>
      <c r="E71" s="10">
        <f>IFERROR(IF(INDEX(ERP資料!$H:$H, (MATCH(70, 輔助計算!$G$2:$G$801, 0)+1))="","",INDEX(ERP資料!$H:$H, (MATCH(70, 輔助計算!$G$2:$G$801, 0)+1))), "")</f>
        <v/>
      </c>
      <c r="F71" s="10">
        <f>IFERROR(IF(INDEX(ERP資料!$E:$E, (MATCH(70, 輔助計算!$G$2:$G$801, 0)+1))="","",TRIM(INDEX(ERP資料!$E:$E, (MATCH(70, 輔助計算!$G$2:$G$801, 0)+1)))), "")</f>
        <v/>
      </c>
      <c r="G71" s="10">
        <f>IFERROR(IF(INDEX(ERP資料!$F:$F, (MATCH(70, 輔助計算!$G$2:$G$801, 0)+1))="","",INDEX(ERP資料!$F:$F, (MATCH(70, 輔助計算!$G$2:$G$801, 0)+1))), "")</f>
        <v/>
      </c>
      <c r="H71" s="10">
        <f>IFERROR(IF(INDEX(ERP資料!$G:$G, (MATCH(70, 輔助計算!$G$2:$G$801, 0)+1))="","",INDEX(ERP資料!$G:$G, (MATCH(70, 輔助計算!$G$2:$G$801, 0)+1))), "")</f>
        <v/>
      </c>
      <c r="I71" s="15">
        <f>IFERROR(INDEX(輔助計算!$D:$D, (MATCH(70, 輔助計算!$G$2:$G$801, 0)+1)), "")</f>
        <v/>
      </c>
      <c r="J71" s="15">
        <f>IFERROR(IF(AND(INDEX(輔助計算!$D:$D, (MATCH(70, 輔助計算!$G$2:$G$801, 0)+1))&lt;&gt;"", INDEX(ERP資料!$G:$G, (MATCH(70, 輔助計算!$G$2:$G$801, 0)+1))&lt;&gt;""), TRIM(IF(INT(INDEX(輔助計算!$D:$D, (MATCH(70, 輔助計算!$G$2:$G$801, 0)+1))/IF(INDEX(ERP資料!$G:$G, (MATCH(70, 輔助計算!$G$2:$G$801, 0)+1))&lt;100, IF(INDEX(ERP資料!$G:$G, (MATCH(70, 輔助計算!$G$2:$G$801, 0)+1))&lt;=31,3,IF(INDEX(ERP資料!$G:$G, (MATCH(70, 輔助計算!$G$2:$G$801, 0)+1))&lt;=46.5,2,1)), IF(INDEX(ERP資料!$G:$G, (MATCH(70, 輔助計算!$G$2:$G$801, 0)+1))&lt;=790,3,IF(INDEX(ERP資料!$G:$G, (MATCH(70, 輔助計算!$G$2:$G$801, 0)+1))&lt;=1181,2,1))))&gt;0, IF(IF(INDEX(ERP資料!$G:$G, (MATCH(70, 輔助計算!$G$2:$G$801, 0)+1))&lt;100, IF(INDEX(ERP資料!$G:$G, (MATCH(70, 輔助計算!$G$2:$G$801, 0)+1))&lt;=31,3,IF(INDEX(ERP資料!$G:$G, (MATCH(70, 輔助計算!$G$2:$G$801, 0)+1))&lt;=46.5,2,1)), IF(INDEX(ERP資料!$G:$G, (MATCH(70, 輔助計算!$G$2:$G$801, 0)+1))&lt;=790,3,IF(INDEX(ERP資料!$G:$G, (MATCH(70, 輔助計算!$G$2:$G$801, 0)+1))&lt;=1181,2,1)))=1,TEXT(INDEX(ERP資料!$G:$G, (MATCH(70, 輔助計算!$G$2:$G$801, 0)+1)),"0.##"),IF(IF(INDEX(ERP資料!$G:$G, (MATCH(70, 輔助計算!$G$2:$G$801, 0)+1))&lt;100, IF(INDEX(ERP資料!$G:$G, (MATCH(70, 輔助計算!$G$2:$G$801, 0)+1))&lt;=31,3,IF(INDEX(ERP資料!$G:$G, (MATCH(70, 輔助計算!$G$2:$G$801, 0)+1))&lt;=46.5,2,1)), IF(INDEX(ERP資料!$G:$G, (MATCH(70, 輔助計算!$G$2:$G$801, 0)+1))&lt;=790,3,IF(INDEX(ERP資料!$G:$G, (MATCH(70, 輔助計算!$G$2:$G$801, 0)+1))&lt;=1181,2,1)))=2,TEXT(INDEX(ERP資料!$G:$G, (MATCH(70, 輔助計算!$G$2:$G$801, 0)+1)),"0.##")&amp;"+"&amp;TEXT(INDEX(ERP資料!$G:$G, (MATCH(70, 輔助計算!$G$2:$G$801, 0)+1)),"0.##"),TEXT(INDEX(ERP資料!$G:$G, (MATCH(70, 輔助計算!$G$2:$G$801, 0)+1)),"0.##")&amp;"+"&amp;TEXT(INDEX(ERP資料!$G:$G, (MATCH(70, 輔助計算!$G$2:$G$801, 0)+1)),"0.##")&amp;"+"&amp;TEXT(INDEX(ERP資料!$G:$G, (MATCH(70, 輔助計算!$G$2:$G$801, 0)+1)),"0.##")))&amp;"-"&amp;INT(INDEX(輔助計算!$D:$D, (MATCH(70, 輔助計算!$G$2:$G$801, 0)+1))/IF(INDEX(ERP資料!$G:$G, (MATCH(70, 輔助計算!$G$2:$G$801, 0)+1))&lt;100, IF(INDEX(ERP資料!$G:$G, (MATCH(70, 輔助計算!$G$2:$G$801, 0)+1))&lt;=31,3,IF(INDEX(ERP資料!$G:$G, (MATCH(70, 輔助計算!$G$2:$G$801, 0)+1))&lt;=46.5,2,1)), IF(INDEX(ERP資料!$G:$G, (MATCH(70, 輔助計算!$G$2:$G$801, 0)+1))&lt;=790,3,IF(INDEX(ERP資料!$G:$G, (MATCH(70, 輔助計算!$G$2:$G$801, 0)+1))&lt;=1181,2,1)))), "")&amp;IF(AND(IF(INT(INDEX(輔助計算!$D:$D, (MATCH(70, 輔助計算!$G$2:$G$801, 0)+1))/IF(INDEX(ERP資料!$G:$G, (MATCH(70, 輔助計算!$G$2:$G$801, 0)+1))&lt;100, IF(INDEX(ERP資料!$G:$G, (MATCH(70, 輔助計算!$G$2:$G$801, 0)+1))&lt;=31,3,IF(INDEX(ERP資料!$G:$G, (MATCH(70, 輔助計算!$G$2:$G$801, 0)+1))&lt;=46.5,2,1)), IF(INDEX(ERP資料!$G:$G, (MATCH(70, 輔助計算!$G$2:$G$801, 0)+1))&lt;=790,3,IF(INDEX(ERP資料!$G:$G, (MATCH(70, 輔助計算!$G$2:$G$801, 0)+1))&lt;=1181,2,1))))&gt;0, IF(IF(INDEX(ERP資料!$G:$G, (MATCH(70, 輔助計算!$G$2:$G$801, 0)+1))&lt;100, IF(INDEX(ERP資料!$G:$G, (MATCH(70, 輔助計算!$G$2:$G$801, 0)+1))&lt;=31,3,IF(INDEX(ERP資料!$G:$G, (MATCH(70, 輔助計算!$G$2:$G$801, 0)+1))&lt;=46.5,2,1)), IF(INDEX(ERP資料!$G:$G, (MATCH(70, 輔助計算!$G$2:$G$801, 0)+1))&lt;=790,3,IF(INDEX(ERP資料!$G:$G, (MATCH(70, 輔助計算!$G$2:$G$801, 0)+1))&lt;=1181,2,1)))=1,TEXT(INDEX(ERP資料!$G:$G, (MATCH(70, 輔助計算!$G$2:$G$801, 0)+1)),"0.##"),IF(IF(INDEX(ERP資料!$G:$G, (MATCH(70, 輔助計算!$G$2:$G$801, 0)+1))&lt;100, IF(INDEX(ERP資料!$G:$G, (MATCH(70, 輔助計算!$G$2:$G$801, 0)+1))&lt;=31,3,IF(INDEX(ERP資料!$G:$G, (MATCH(70, 輔助計算!$G$2:$G$801, 0)+1))&lt;=46.5,2,1)), IF(INDEX(ERP資料!$G:$G, (MATCH(70, 輔助計算!$G$2:$G$801, 0)+1))&lt;=790,3,IF(INDEX(ERP資料!$G:$G, (MATCH(70, 輔助計算!$G$2:$G$801, 0)+1))&lt;=1181,2,1)))=2,TEXT(INDEX(ERP資料!$G:$G, (MATCH(70, 輔助計算!$G$2:$G$801, 0)+1)),"0.##")&amp;"+"&amp;TEXT(INDEX(ERP資料!$G:$G, (MATCH(70, 輔助計算!$G$2:$G$801, 0)+1)),"0.##"),TEXT(INDEX(ERP資料!$G:$G, (MATCH(70, 輔助計算!$G$2:$G$801, 0)+1)),"0.##")&amp;"+"&amp;TEXT(INDEX(ERP資料!$G:$G, (MATCH(70, 輔助計算!$G$2:$G$801, 0)+1)),"0.##")&amp;"+"&amp;TEXT(INDEX(ERP資料!$G:$G, (MATCH(70, 輔助計算!$G$2:$G$801, 0)+1)),"0.##")))&amp;"-"&amp;INT(INDEX(輔助計算!$D:$D, (MATCH(70, 輔助計算!$G$2:$G$801, 0)+1))/IF(INDEX(ERP資料!$G:$G, (MATCH(70, 輔助計算!$G$2:$G$801, 0)+1))&lt;100, IF(INDEX(ERP資料!$G:$G, (MATCH(70, 輔助計算!$G$2:$G$801, 0)+1))&lt;=31,3,IF(INDEX(ERP資料!$G:$G, (MATCH(70, 輔助計算!$G$2:$G$801, 0)+1))&lt;=46.5,2,1)), IF(INDEX(ERP資料!$G:$G, (MATCH(70, 輔助計算!$G$2:$G$801, 0)+1))&lt;=790,3,IF(INDEX(ERP資料!$G:$G, (MATCH(70, 輔助計算!$G$2:$G$801, 0)+1))&lt;=1181,2,1)))), "")&lt;&gt;"",IF(MOD(INDEX(輔助計算!$D:$D, (MATCH(70, 輔助計算!$G$2:$G$801, 0)+1)),IF(INDEX(ERP資料!$G:$G, (MATCH(70, 輔助計算!$G$2:$G$801, 0)+1))&lt;100, IF(INDEX(ERP資料!$G:$G, (MATCH(70, 輔助計算!$G$2:$G$801, 0)+1))&lt;=31,3,IF(INDEX(ERP資料!$G:$G, (MATCH(70, 輔助計算!$G$2:$G$801, 0)+1))&lt;=46.5,2,1)), IF(INDEX(ERP資料!$G:$G, (MATCH(70, 輔助計算!$G$2:$G$801, 0)+1))&lt;=790,3,IF(INDEX(ERP資料!$G:$G, (MATCH(70, 輔助計算!$G$2:$G$801, 0)+1))&lt;=1181,2,1))))=0,"",IF(MOD(INDEX(輔助計算!$D:$D, (MATCH(70, 輔助計算!$G$2:$G$801, 0)+1)),IF(INDEX(ERP資料!$G:$G, (MATCH(70, 輔助計算!$G$2:$G$801, 0)+1))&lt;100, IF(INDEX(ERP資料!$G:$G, (MATCH(70, 輔助計算!$G$2:$G$801, 0)+1))&lt;=31,3,IF(INDEX(ERP資料!$G:$G, (MATCH(70, 輔助計算!$G$2:$G$801, 0)+1))&lt;=46.5,2,1)), IF(INDEX(ERP資料!$G:$G, (MATCH(70, 輔助計算!$G$2:$G$801, 0)+1))&lt;=790,3,IF(INDEX(ERP資料!$G:$G, (MATCH(70, 輔助計算!$G$2:$G$801, 0)+1))&lt;=1181,2,1))))=0,"",IF(MOD(INDEX(輔助計算!$D:$D, (MATCH(70, 輔助計算!$G$2:$G$801, 0)+1)),IF(INDEX(ERP資料!$G:$G, (MATCH(70, 輔助計算!$G$2:$G$801, 0)+1))&lt;100, IF(INDEX(ERP資料!$G:$G, (MATCH(70, 輔助計算!$G$2:$G$801, 0)+1))&lt;=31,3,IF(INDEX(ERP資料!$G:$G, (MATCH(70, 輔助計算!$G$2:$G$801, 0)+1))&lt;=46.5,2,1)), IF(INDEX(ERP資料!$G:$G, (MATCH(70, 輔助計算!$G$2:$G$801, 0)+1))&lt;=790,3,IF(INDEX(ERP資料!$G:$G, (MATCH(70, 輔助計算!$G$2:$G$801, 0)+1))&lt;=1181,2,1))))=1,TEXT(INDEX(ERP資料!$G:$G, (MATCH(70, 輔助計算!$G$2:$G$801, 0)+1)),"0.##"),IF(MOD(INDEX(輔助計算!$D:$D, (MATCH(70, 輔助計算!$G$2:$G$801, 0)+1)),IF(INDEX(ERP資料!$G:$G, (MATCH(70, 輔助計算!$G$2:$G$801, 0)+1))&lt;100, IF(INDEX(ERP資料!$G:$G, (MATCH(70, 輔助計算!$G$2:$G$801, 0)+1))&lt;=31,3,IF(INDEX(ERP資料!$G:$G, (MATCH(70, 輔助計算!$G$2:$G$801, 0)+1))&lt;=46.5,2,1)), IF(INDEX(ERP資料!$G:$G, (MATCH(70, 輔助計算!$G$2:$G$801, 0)+1))&lt;=790,3,IF(INDEX(ERP資料!$G:$G, (MATCH(70, 輔助計算!$G$2:$G$801, 0)+1))&lt;=1181,2,1))))=2,TEXT(INDEX(ERP資料!$G:$G, (MATCH(70, 輔助計算!$G$2:$G$801, 0)+1)),"0.##")&amp;"+"&amp;TEXT(INDEX(ERP資料!$G:$G, (MATCH(70, 輔助計算!$G$2:$G$801, 0)+1)),"0.##"),TEXT(INDEX(ERP資料!$G:$G, (MATCH(70, 輔助計算!$G$2:$G$801, 0)+1)),"0.##")&amp;"+"&amp;TEXT(INDEX(ERP資料!$G:$G, (MATCH(70, 輔助計算!$G$2:$G$801, 0)+1)),"0.##")&amp;"+"&amp;TEXT(INDEX(ERP資料!$G:$G, (MATCH(70, 輔助計算!$G$2:$G$801, 0)+1)),"0.##"))))&amp;"-1")&lt;&gt;""),"  ","")&amp;IF(MOD(INDEX(輔助計算!$D:$D, (MATCH(70, 輔助計算!$G$2:$G$801, 0)+1)),IF(INDEX(ERP資料!$G:$G, (MATCH(70, 輔助計算!$G$2:$G$801, 0)+1))&lt;100, IF(INDEX(ERP資料!$G:$G, (MATCH(70, 輔助計算!$G$2:$G$801, 0)+1))&lt;=31,3,IF(INDEX(ERP資料!$G:$G, (MATCH(70, 輔助計算!$G$2:$G$801, 0)+1))&lt;=46.5,2,1)), IF(INDEX(ERP資料!$G:$G, (MATCH(70, 輔助計算!$G$2:$G$801, 0)+1))&lt;=790,3,IF(INDEX(ERP資料!$G:$G, (MATCH(70, 輔助計算!$G$2:$G$801, 0)+1))&lt;=1181,2,1))))=0,"",IF(MOD(INDEX(輔助計算!$D:$D, (MATCH(70, 輔助計算!$G$2:$G$801, 0)+1)),IF(INDEX(ERP資料!$G:$G, (MATCH(70, 輔助計算!$G$2:$G$801, 0)+1))&lt;100, IF(INDEX(ERP資料!$G:$G, (MATCH(70, 輔助計算!$G$2:$G$801, 0)+1))&lt;=31,3,IF(INDEX(ERP資料!$G:$G, (MATCH(70, 輔助計算!$G$2:$G$801, 0)+1))&lt;=46.5,2,1)), IF(INDEX(ERP資料!$G:$G, (MATCH(70, 輔助計算!$G$2:$G$801, 0)+1))&lt;=790,3,IF(INDEX(ERP資料!$G:$G, (MATCH(70, 輔助計算!$G$2:$G$801, 0)+1))&lt;=1181,2,1))))=0,"",IF(MOD(INDEX(輔助計算!$D:$D, (MATCH(70, 輔助計算!$G$2:$G$801, 0)+1)),IF(INDEX(ERP資料!$G:$G, (MATCH(70, 輔助計算!$G$2:$G$801, 0)+1))&lt;100, IF(INDEX(ERP資料!$G:$G, (MATCH(70, 輔助計算!$G$2:$G$801, 0)+1))&lt;=31,3,IF(INDEX(ERP資料!$G:$G, (MATCH(70, 輔助計算!$G$2:$G$801, 0)+1))&lt;=46.5,2,1)), IF(INDEX(ERP資料!$G:$G, (MATCH(70, 輔助計算!$G$2:$G$801, 0)+1))&lt;=790,3,IF(INDEX(ERP資料!$G:$G, (MATCH(70, 輔助計算!$G$2:$G$801, 0)+1))&lt;=1181,2,1))))=1,TEXT(INDEX(ERP資料!$G:$G, (MATCH(70, 輔助計算!$G$2:$G$801, 0)+1)),"0.##"),IF(MOD(INDEX(輔助計算!$D:$D, (MATCH(70, 輔助計算!$G$2:$G$801, 0)+1)),IF(INDEX(ERP資料!$G:$G, (MATCH(70, 輔助計算!$G$2:$G$801, 0)+1))&lt;100, IF(INDEX(ERP資料!$G:$G, (MATCH(70, 輔助計算!$G$2:$G$801, 0)+1))&lt;=31,3,IF(INDEX(ERP資料!$G:$G, (MATCH(70, 輔助計算!$G$2:$G$801, 0)+1))&lt;=46.5,2,1)), IF(INDEX(ERP資料!$G:$G, (MATCH(70, 輔助計算!$G$2:$G$801, 0)+1))&lt;=790,3,IF(INDEX(ERP資料!$G:$G, (MATCH(70, 輔助計算!$G$2:$G$801, 0)+1))&lt;=1181,2,1))))=2,TEXT(INDEX(ERP資料!$G:$G, (MATCH(70, 輔助計算!$G$2:$G$801, 0)+1)),"0.##")&amp;"+"&amp;TEXT(INDEX(ERP資料!$G:$G, (MATCH(70, 輔助計算!$G$2:$G$801, 0)+1)),"0.##"),TEXT(INDEX(ERP資料!$G:$G, (MATCH(70, 輔助計算!$G$2:$G$801, 0)+1)),"0.##")&amp;"+"&amp;TEXT(INDEX(ERP資料!$G:$G, (MATCH(70, 輔助計算!$G$2:$G$801, 0)+1)),"0.##")&amp;"+"&amp;TEXT(INDEX(ERP資料!$G:$G, (MATCH(70, 輔助計算!$G$2:$G$801, 0)+1)),"0.##"))))&amp;"-1")), ""), "")</f>
        <v/>
      </c>
      <c r="K71" s="16" t="n"/>
      <c r="L71" s="14">
        <f>IFERROR(IF(AND(IFERROR(INDEX(ERP資料!$A:$A, (MATCH(70, 輔助計算!$G$2:$G$801, 0)+1)), "")&lt;&gt;"", IFERROR(INDEX(ERP資料!$A:$A, (MATCH(70, 輔助計算!$G$2:$G$801, 0)+1)), "")&lt;&gt;IFERROR(INDEX(ERP資料!$A:$A, MATCH(69, 輔助計算!$G$2:$G$801, 0)+1), "")), INDEX(ERP資料!$B:$B, (MATCH(70, 輔助計算!$G$2:$G$801, 0)+1)), ""), "")</f>
        <v/>
      </c>
      <c r="M71" s="17" t="n"/>
    </row>
    <row r="72">
      <c r="A72" s="10">
        <f>IFERROR(IF(AND(IFERROR(INDEX(ERP資料!$A:$A, (MATCH(71, 輔助計算!$G$2:$G$801, 0)+1)), "")&lt;&gt;"", IFERROR(INDEX(ERP資料!$A:$A, (MATCH(71, 輔助計算!$G$2:$G$801, 0)+1)), "")&lt;&gt;IFERROR(INDEX(ERP資料!$A:$A, MATCH(70, 輔助計算!$G$2:$G$801, 0)+1), "")), IFERROR(INDEX(ERP資料!$A:$A, (MATCH(71, 輔助計算!$G$2:$G$801, 0)+1)), ""), ""), "")</f>
        <v/>
      </c>
      <c r="B72" s="10">
        <f>IFERROR(IF(AND(IFERROR(INDEX(ERP資料!$A:$A, (MATCH(71, 輔助計算!$G$2:$G$801, 0)+1)), "")&lt;&gt;"", IFERROR(INDEX(ERP資料!$A:$A, (MATCH(71, 輔助計算!$G$2:$G$801, 0)+1)), "")&lt;&gt;IFERROR(INDEX(ERP資料!$A:$A, MATCH(70, 輔助計算!$G$2:$G$801, 0)+1), "")), INDEX(ERP資料!$S:$S, (MATCH(71, 輔助計算!$G$2:$G$801, 0)+1)), ""), "")</f>
        <v/>
      </c>
      <c r="C72" s="19">
        <f>IFERROR(IF(AND(IFERROR(INDEX(ERP資料!$A:$A, (MATCH(71, 輔助計算!$G$2:$G$801, 0)+1)), "")&lt;&gt;"", IFERROR(INDEX(ERP資料!$A:$A, (MATCH(71, 輔助計算!$G$2:$G$801, 0)+1)), "")&lt;&gt;IFERROR(INDEX(ERP資料!$A:$A, MATCH(70, 輔助計算!$G$2:$G$801, 0)+1), "")), IFERROR(VLOOKUP(LEFT(INDEX(ERP資料!$S:$S, (MATCH(71, 輔助計算!$G$2:$G$801, 0)+1)), 4), 紙管對照表!$A:$C, 3, FALSE), ""), ""), "")</f>
        <v/>
      </c>
      <c r="D72" s="16" t="n"/>
      <c r="E72" s="10">
        <f>IFERROR(IF(INDEX(ERP資料!$H:$H, (MATCH(71, 輔助計算!$G$2:$G$801, 0)+1))="","",INDEX(ERP資料!$H:$H, (MATCH(71, 輔助計算!$G$2:$G$801, 0)+1))), "")</f>
        <v/>
      </c>
      <c r="F72" s="10">
        <f>IFERROR(IF(INDEX(ERP資料!$E:$E, (MATCH(71, 輔助計算!$G$2:$G$801, 0)+1))="","",TRIM(INDEX(ERP資料!$E:$E, (MATCH(71, 輔助計算!$G$2:$G$801, 0)+1)))), "")</f>
        <v/>
      </c>
      <c r="G72" s="10">
        <f>IFERROR(IF(INDEX(ERP資料!$F:$F, (MATCH(71, 輔助計算!$G$2:$G$801, 0)+1))="","",INDEX(ERP資料!$F:$F, (MATCH(71, 輔助計算!$G$2:$G$801, 0)+1))), "")</f>
        <v/>
      </c>
      <c r="H72" s="10">
        <f>IFERROR(IF(INDEX(ERP資料!$G:$G, (MATCH(71, 輔助計算!$G$2:$G$801, 0)+1))="","",INDEX(ERP資料!$G:$G, (MATCH(71, 輔助計算!$G$2:$G$801, 0)+1))), "")</f>
        <v/>
      </c>
      <c r="I72" s="15">
        <f>IFERROR(INDEX(輔助計算!$D:$D, (MATCH(71, 輔助計算!$G$2:$G$801, 0)+1)), "")</f>
        <v/>
      </c>
      <c r="J72" s="15">
        <f>IFERROR(IF(AND(INDEX(輔助計算!$D:$D, (MATCH(71, 輔助計算!$G$2:$G$801, 0)+1))&lt;&gt;"", INDEX(ERP資料!$G:$G, (MATCH(71, 輔助計算!$G$2:$G$801, 0)+1))&lt;&gt;""), TRIM(IF(INT(INDEX(輔助計算!$D:$D, (MATCH(71, 輔助計算!$G$2:$G$801, 0)+1))/IF(INDEX(ERP資料!$G:$G, (MATCH(71, 輔助計算!$G$2:$G$801, 0)+1))&lt;100, IF(INDEX(ERP資料!$G:$G, (MATCH(71, 輔助計算!$G$2:$G$801, 0)+1))&lt;=31,3,IF(INDEX(ERP資料!$G:$G, (MATCH(71, 輔助計算!$G$2:$G$801, 0)+1))&lt;=46.5,2,1)), IF(INDEX(ERP資料!$G:$G, (MATCH(71, 輔助計算!$G$2:$G$801, 0)+1))&lt;=790,3,IF(INDEX(ERP資料!$G:$G, (MATCH(71, 輔助計算!$G$2:$G$801, 0)+1))&lt;=1181,2,1))))&gt;0, IF(IF(INDEX(ERP資料!$G:$G, (MATCH(71, 輔助計算!$G$2:$G$801, 0)+1))&lt;100, IF(INDEX(ERP資料!$G:$G, (MATCH(71, 輔助計算!$G$2:$G$801, 0)+1))&lt;=31,3,IF(INDEX(ERP資料!$G:$G, (MATCH(71, 輔助計算!$G$2:$G$801, 0)+1))&lt;=46.5,2,1)), IF(INDEX(ERP資料!$G:$G, (MATCH(71, 輔助計算!$G$2:$G$801, 0)+1))&lt;=790,3,IF(INDEX(ERP資料!$G:$G, (MATCH(71, 輔助計算!$G$2:$G$801, 0)+1))&lt;=1181,2,1)))=1,TEXT(INDEX(ERP資料!$G:$G, (MATCH(71, 輔助計算!$G$2:$G$801, 0)+1)),"0.##"),IF(IF(INDEX(ERP資料!$G:$G, (MATCH(71, 輔助計算!$G$2:$G$801, 0)+1))&lt;100, IF(INDEX(ERP資料!$G:$G, (MATCH(71, 輔助計算!$G$2:$G$801, 0)+1))&lt;=31,3,IF(INDEX(ERP資料!$G:$G, (MATCH(71, 輔助計算!$G$2:$G$801, 0)+1))&lt;=46.5,2,1)), IF(INDEX(ERP資料!$G:$G, (MATCH(71, 輔助計算!$G$2:$G$801, 0)+1))&lt;=790,3,IF(INDEX(ERP資料!$G:$G, (MATCH(71, 輔助計算!$G$2:$G$801, 0)+1))&lt;=1181,2,1)))=2,TEXT(INDEX(ERP資料!$G:$G, (MATCH(71, 輔助計算!$G$2:$G$801, 0)+1)),"0.##")&amp;"+"&amp;TEXT(INDEX(ERP資料!$G:$G, (MATCH(71, 輔助計算!$G$2:$G$801, 0)+1)),"0.##"),TEXT(INDEX(ERP資料!$G:$G, (MATCH(71, 輔助計算!$G$2:$G$801, 0)+1)),"0.##")&amp;"+"&amp;TEXT(INDEX(ERP資料!$G:$G, (MATCH(71, 輔助計算!$G$2:$G$801, 0)+1)),"0.##")&amp;"+"&amp;TEXT(INDEX(ERP資料!$G:$G, (MATCH(71, 輔助計算!$G$2:$G$801, 0)+1)),"0.##")))&amp;"-"&amp;INT(INDEX(輔助計算!$D:$D, (MATCH(71, 輔助計算!$G$2:$G$801, 0)+1))/IF(INDEX(ERP資料!$G:$G, (MATCH(71, 輔助計算!$G$2:$G$801, 0)+1))&lt;100, IF(INDEX(ERP資料!$G:$G, (MATCH(71, 輔助計算!$G$2:$G$801, 0)+1))&lt;=31,3,IF(INDEX(ERP資料!$G:$G, (MATCH(71, 輔助計算!$G$2:$G$801, 0)+1))&lt;=46.5,2,1)), IF(INDEX(ERP資料!$G:$G, (MATCH(71, 輔助計算!$G$2:$G$801, 0)+1))&lt;=790,3,IF(INDEX(ERP資料!$G:$G, (MATCH(71, 輔助計算!$G$2:$G$801, 0)+1))&lt;=1181,2,1)))), "")&amp;IF(AND(IF(INT(INDEX(輔助計算!$D:$D, (MATCH(71, 輔助計算!$G$2:$G$801, 0)+1))/IF(INDEX(ERP資料!$G:$G, (MATCH(71, 輔助計算!$G$2:$G$801, 0)+1))&lt;100, IF(INDEX(ERP資料!$G:$G, (MATCH(71, 輔助計算!$G$2:$G$801, 0)+1))&lt;=31,3,IF(INDEX(ERP資料!$G:$G, (MATCH(71, 輔助計算!$G$2:$G$801, 0)+1))&lt;=46.5,2,1)), IF(INDEX(ERP資料!$G:$G, (MATCH(71, 輔助計算!$G$2:$G$801, 0)+1))&lt;=790,3,IF(INDEX(ERP資料!$G:$G, (MATCH(71, 輔助計算!$G$2:$G$801, 0)+1))&lt;=1181,2,1))))&gt;0, IF(IF(INDEX(ERP資料!$G:$G, (MATCH(71, 輔助計算!$G$2:$G$801, 0)+1))&lt;100, IF(INDEX(ERP資料!$G:$G, (MATCH(71, 輔助計算!$G$2:$G$801, 0)+1))&lt;=31,3,IF(INDEX(ERP資料!$G:$G, (MATCH(71, 輔助計算!$G$2:$G$801, 0)+1))&lt;=46.5,2,1)), IF(INDEX(ERP資料!$G:$G, (MATCH(71, 輔助計算!$G$2:$G$801, 0)+1))&lt;=790,3,IF(INDEX(ERP資料!$G:$G, (MATCH(71, 輔助計算!$G$2:$G$801, 0)+1))&lt;=1181,2,1)))=1,TEXT(INDEX(ERP資料!$G:$G, (MATCH(71, 輔助計算!$G$2:$G$801, 0)+1)),"0.##"),IF(IF(INDEX(ERP資料!$G:$G, (MATCH(71, 輔助計算!$G$2:$G$801, 0)+1))&lt;100, IF(INDEX(ERP資料!$G:$G, (MATCH(71, 輔助計算!$G$2:$G$801, 0)+1))&lt;=31,3,IF(INDEX(ERP資料!$G:$G, (MATCH(71, 輔助計算!$G$2:$G$801, 0)+1))&lt;=46.5,2,1)), IF(INDEX(ERP資料!$G:$G, (MATCH(71, 輔助計算!$G$2:$G$801, 0)+1))&lt;=790,3,IF(INDEX(ERP資料!$G:$G, (MATCH(71, 輔助計算!$G$2:$G$801, 0)+1))&lt;=1181,2,1)))=2,TEXT(INDEX(ERP資料!$G:$G, (MATCH(71, 輔助計算!$G$2:$G$801, 0)+1)),"0.##")&amp;"+"&amp;TEXT(INDEX(ERP資料!$G:$G, (MATCH(71, 輔助計算!$G$2:$G$801, 0)+1)),"0.##"),TEXT(INDEX(ERP資料!$G:$G, (MATCH(71, 輔助計算!$G$2:$G$801, 0)+1)),"0.##")&amp;"+"&amp;TEXT(INDEX(ERP資料!$G:$G, (MATCH(71, 輔助計算!$G$2:$G$801, 0)+1)),"0.##")&amp;"+"&amp;TEXT(INDEX(ERP資料!$G:$G, (MATCH(71, 輔助計算!$G$2:$G$801, 0)+1)),"0.##")))&amp;"-"&amp;INT(INDEX(輔助計算!$D:$D, (MATCH(71, 輔助計算!$G$2:$G$801, 0)+1))/IF(INDEX(ERP資料!$G:$G, (MATCH(71, 輔助計算!$G$2:$G$801, 0)+1))&lt;100, IF(INDEX(ERP資料!$G:$G, (MATCH(71, 輔助計算!$G$2:$G$801, 0)+1))&lt;=31,3,IF(INDEX(ERP資料!$G:$G, (MATCH(71, 輔助計算!$G$2:$G$801, 0)+1))&lt;=46.5,2,1)), IF(INDEX(ERP資料!$G:$G, (MATCH(71, 輔助計算!$G$2:$G$801, 0)+1))&lt;=790,3,IF(INDEX(ERP資料!$G:$G, (MATCH(71, 輔助計算!$G$2:$G$801, 0)+1))&lt;=1181,2,1)))), "")&lt;&gt;"",IF(MOD(INDEX(輔助計算!$D:$D, (MATCH(71, 輔助計算!$G$2:$G$801, 0)+1)),IF(INDEX(ERP資料!$G:$G, (MATCH(71, 輔助計算!$G$2:$G$801, 0)+1))&lt;100, IF(INDEX(ERP資料!$G:$G, (MATCH(71, 輔助計算!$G$2:$G$801, 0)+1))&lt;=31,3,IF(INDEX(ERP資料!$G:$G, (MATCH(71, 輔助計算!$G$2:$G$801, 0)+1))&lt;=46.5,2,1)), IF(INDEX(ERP資料!$G:$G, (MATCH(71, 輔助計算!$G$2:$G$801, 0)+1))&lt;=790,3,IF(INDEX(ERP資料!$G:$G, (MATCH(71, 輔助計算!$G$2:$G$801, 0)+1))&lt;=1181,2,1))))=0,"",IF(MOD(INDEX(輔助計算!$D:$D, (MATCH(71, 輔助計算!$G$2:$G$801, 0)+1)),IF(INDEX(ERP資料!$G:$G, (MATCH(71, 輔助計算!$G$2:$G$801, 0)+1))&lt;100, IF(INDEX(ERP資料!$G:$G, (MATCH(71, 輔助計算!$G$2:$G$801, 0)+1))&lt;=31,3,IF(INDEX(ERP資料!$G:$G, (MATCH(71, 輔助計算!$G$2:$G$801, 0)+1))&lt;=46.5,2,1)), IF(INDEX(ERP資料!$G:$G, (MATCH(71, 輔助計算!$G$2:$G$801, 0)+1))&lt;=790,3,IF(INDEX(ERP資料!$G:$G, (MATCH(71, 輔助計算!$G$2:$G$801, 0)+1))&lt;=1181,2,1))))=0,"",IF(MOD(INDEX(輔助計算!$D:$D, (MATCH(71, 輔助計算!$G$2:$G$801, 0)+1)),IF(INDEX(ERP資料!$G:$G, (MATCH(71, 輔助計算!$G$2:$G$801, 0)+1))&lt;100, IF(INDEX(ERP資料!$G:$G, (MATCH(71, 輔助計算!$G$2:$G$801, 0)+1))&lt;=31,3,IF(INDEX(ERP資料!$G:$G, (MATCH(71, 輔助計算!$G$2:$G$801, 0)+1))&lt;=46.5,2,1)), IF(INDEX(ERP資料!$G:$G, (MATCH(71, 輔助計算!$G$2:$G$801, 0)+1))&lt;=790,3,IF(INDEX(ERP資料!$G:$G, (MATCH(71, 輔助計算!$G$2:$G$801, 0)+1))&lt;=1181,2,1))))=1,TEXT(INDEX(ERP資料!$G:$G, (MATCH(71, 輔助計算!$G$2:$G$801, 0)+1)),"0.##"),IF(MOD(INDEX(輔助計算!$D:$D, (MATCH(71, 輔助計算!$G$2:$G$801, 0)+1)),IF(INDEX(ERP資料!$G:$G, (MATCH(71, 輔助計算!$G$2:$G$801, 0)+1))&lt;100, IF(INDEX(ERP資料!$G:$G, (MATCH(71, 輔助計算!$G$2:$G$801, 0)+1))&lt;=31,3,IF(INDEX(ERP資料!$G:$G, (MATCH(71, 輔助計算!$G$2:$G$801, 0)+1))&lt;=46.5,2,1)), IF(INDEX(ERP資料!$G:$G, (MATCH(71, 輔助計算!$G$2:$G$801, 0)+1))&lt;=790,3,IF(INDEX(ERP資料!$G:$G, (MATCH(71, 輔助計算!$G$2:$G$801, 0)+1))&lt;=1181,2,1))))=2,TEXT(INDEX(ERP資料!$G:$G, (MATCH(71, 輔助計算!$G$2:$G$801, 0)+1)),"0.##")&amp;"+"&amp;TEXT(INDEX(ERP資料!$G:$G, (MATCH(71, 輔助計算!$G$2:$G$801, 0)+1)),"0.##"),TEXT(INDEX(ERP資料!$G:$G, (MATCH(71, 輔助計算!$G$2:$G$801, 0)+1)),"0.##")&amp;"+"&amp;TEXT(INDEX(ERP資料!$G:$G, (MATCH(71, 輔助計算!$G$2:$G$801, 0)+1)),"0.##")&amp;"+"&amp;TEXT(INDEX(ERP資料!$G:$G, (MATCH(71, 輔助計算!$G$2:$G$801, 0)+1)),"0.##"))))&amp;"-1")&lt;&gt;""),"  ","")&amp;IF(MOD(INDEX(輔助計算!$D:$D, (MATCH(71, 輔助計算!$G$2:$G$801, 0)+1)),IF(INDEX(ERP資料!$G:$G, (MATCH(71, 輔助計算!$G$2:$G$801, 0)+1))&lt;100, IF(INDEX(ERP資料!$G:$G, (MATCH(71, 輔助計算!$G$2:$G$801, 0)+1))&lt;=31,3,IF(INDEX(ERP資料!$G:$G, (MATCH(71, 輔助計算!$G$2:$G$801, 0)+1))&lt;=46.5,2,1)), IF(INDEX(ERP資料!$G:$G, (MATCH(71, 輔助計算!$G$2:$G$801, 0)+1))&lt;=790,3,IF(INDEX(ERP資料!$G:$G, (MATCH(71, 輔助計算!$G$2:$G$801, 0)+1))&lt;=1181,2,1))))=0,"",IF(MOD(INDEX(輔助計算!$D:$D, (MATCH(71, 輔助計算!$G$2:$G$801, 0)+1)),IF(INDEX(ERP資料!$G:$G, (MATCH(71, 輔助計算!$G$2:$G$801, 0)+1))&lt;100, IF(INDEX(ERP資料!$G:$G, (MATCH(71, 輔助計算!$G$2:$G$801, 0)+1))&lt;=31,3,IF(INDEX(ERP資料!$G:$G, (MATCH(71, 輔助計算!$G$2:$G$801, 0)+1))&lt;=46.5,2,1)), IF(INDEX(ERP資料!$G:$G, (MATCH(71, 輔助計算!$G$2:$G$801, 0)+1))&lt;=790,3,IF(INDEX(ERP資料!$G:$G, (MATCH(71, 輔助計算!$G$2:$G$801, 0)+1))&lt;=1181,2,1))))=0,"",IF(MOD(INDEX(輔助計算!$D:$D, (MATCH(71, 輔助計算!$G$2:$G$801, 0)+1)),IF(INDEX(ERP資料!$G:$G, (MATCH(71, 輔助計算!$G$2:$G$801, 0)+1))&lt;100, IF(INDEX(ERP資料!$G:$G, (MATCH(71, 輔助計算!$G$2:$G$801, 0)+1))&lt;=31,3,IF(INDEX(ERP資料!$G:$G, (MATCH(71, 輔助計算!$G$2:$G$801, 0)+1))&lt;=46.5,2,1)), IF(INDEX(ERP資料!$G:$G, (MATCH(71, 輔助計算!$G$2:$G$801, 0)+1))&lt;=790,3,IF(INDEX(ERP資料!$G:$G, (MATCH(71, 輔助計算!$G$2:$G$801, 0)+1))&lt;=1181,2,1))))=1,TEXT(INDEX(ERP資料!$G:$G, (MATCH(71, 輔助計算!$G$2:$G$801, 0)+1)),"0.##"),IF(MOD(INDEX(輔助計算!$D:$D, (MATCH(71, 輔助計算!$G$2:$G$801, 0)+1)),IF(INDEX(ERP資料!$G:$G, (MATCH(71, 輔助計算!$G$2:$G$801, 0)+1))&lt;100, IF(INDEX(ERP資料!$G:$G, (MATCH(71, 輔助計算!$G$2:$G$801, 0)+1))&lt;=31,3,IF(INDEX(ERP資料!$G:$G, (MATCH(71, 輔助計算!$G$2:$G$801, 0)+1))&lt;=46.5,2,1)), IF(INDEX(ERP資料!$G:$G, (MATCH(71, 輔助計算!$G$2:$G$801, 0)+1))&lt;=790,3,IF(INDEX(ERP資料!$G:$G, (MATCH(71, 輔助計算!$G$2:$G$801, 0)+1))&lt;=1181,2,1))))=2,TEXT(INDEX(ERP資料!$G:$G, (MATCH(71, 輔助計算!$G$2:$G$801, 0)+1)),"0.##")&amp;"+"&amp;TEXT(INDEX(ERP資料!$G:$G, (MATCH(71, 輔助計算!$G$2:$G$801, 0)+1)),"0.##"),TEXT(INDEX(ERP資料!$G:$G, (MATCH(71, 輔助計算!$G$2:$G$801, 0)+1)),"0.##")&amp;"+"&amp;TEXT(INDEX(ERP資料!$G:$G, (MATCH(71, 輔助計算!$G$2:$G$801, 0)+1)),"0.##")&amp;"+"&amp;TEXT(INDEX(ERP資料!$G:$G, (MATCH(71, 輔助計算!$G$2:$G$801, 0)+1)),"0.##"))))&amp;"-1")), ""), "")</f>
        <v/>
      </c>
      <c r="K72" s="16" t="n"/>
      <c r="L72" s="14">
        <f>IFERROR(IF(AND(IFERROR(INDEX(ERP資料!$A:$A, (MATCH(71, 輔助計算!$G$2:$G$801, 0)+1)), "")&lt;&gt;"", IFERROR(INDEX(ERP資料!$A:$A, (MATCH(71, 輔助計算!$G$2:$G$801, 0)+1)), "")&lt;&gt;IFERROR(INDEX(ERP資料!$A:$A, MATCH(70, 輔助計算!$G$2:$G$801, 0)+1), "")), INDEX(ERP資料!$B:$B, (MATCH(71, 輔助計算!$G$2:$G$801, 0)+1)), ""), "")</f>
        <v/>
      </c>
      <c r="M72" s="17" t="n"/>
    </row>
    <row r="73">
      <c r="A73" s="10">
        <f>IFERROR(IF(AND(IFERROR(INDEX(ERP資料!$A:$A, (MATCH(72, 輔助計算!$G$2:$G$801, 0)+1)), "")&lt;&gt;"", IFERROR(INDEX(ERP資料!$A:$A, (MATCH(72, 輔助計算!$G$2:$G$801, 0)+1)), "")&lt;&gt;IFERROR(INDEX(ERP資料!$A:$A, MATCH(71, 輔助計算!$G$2:$G$801, 0)+1), "")), IFERROR(INDEX(ERP資料!$A:$A, (MATCH(72, 輔助計算!$G$2:$G$801, 0)+1)), ""), ""), "")</f>
        <v/>
      </c>
      <c r="B73" s="10">
        <f>IFERROR(IF(AND(IFERROR(INDEX(ERP資料!$A:$A, (MATCH(72, 輔助計算!$G$2:$G$801, 0)+1)), "")&lt;&gt;"", IFERROR(INDEX(ERP資料!$A:$A, (MATCH(72, 輔助計算!$G$2:$G$801, 0)+1)), "")&lt;&gt;IFERROR(INDEX(ERP資料!$A:$A, MATCH(71, 輔助計算!$G$2:$G$801, 0)+1), "")), INDEX(ERP資料!$S:$S, (MATCH(72, 輔助計算!$G$2:$G$801, 0)+1)), ""), "")</f>
        <v/>
      </c>
      <c r="C73" s="19">
        <f>IFERROR(IF(AND(IFERROR(INDEX(ERP資料!$A:$A, (MATCH(72, 輔助計算!$G$2:$G$801, 0)+1)), "")&lt;&gt;"", IFERROR(INDEX(ERP資料!$A:$A, (MATCH(72, 輔助計算!$G$2:$G$801, 0)+1)), "")&lt;&gt;IFERROR(INDEX(ERP資料!$A:$A, MATCH(71, 輔助計算!$G$2:$G$801, 0)+1), "")), IFERROR(VLOOKUP(LEFT(INDEX(ERP資料!$S:$S, (MATCH(72, 輔助計算!$G$2:$G$801, 0)+1)), 4), 紙管對照表!$A:$C, 3, FALSE), ""), ""), "")</f>
        <v/>
      </c>
      <c r="D73" s="16" t="n"/>
      <c r="E73" s="10">
        <f>IFERROR(IF(INDEX(ERP資料!$H:$H, (MATCH(72, 輔助計算!$G$2:$G$801, 0)+1))="","",INDEX(ERP資料!$H:$H, (MATCH(72, 輔助計算!$G$2:$G$801, 0)+1))), "")</f>
        <v/>
      </c>
      <c r="F73" s="10">
        <f>IFERROR(IF(INDEX(ERP資料!$E:$E, (MATCH(72, 輔助計算!$G$2:$G$801, 0)+1))="","",TRIM(INDEX(ERP資料!$E:$E, (MATCH(72, 輔助計算!$G$2:$G$801, 0)+1)))), "")</f>
        <v/>
      </c>
      <c r="G73" s="10">
        <f>IFERROR(IF(INDEX(ERP資料!$F:$F, (MATCH(72, 輔助計算!$G$2:$G$801, 0)+1))="","",INDEX(ERP資料!$F:$F, (MATCH(72, 輔助計算!$G$2:$G$801, 0)+1))), "")</f>
        <v/>
      </c>
      <c r="H73" s="10">
        <f>IFERROR(IF(INDEX(ERP資料!$G:$G, (MATCH(72, 輔助計算!$G$2:$G$801, 0)+1))="","",INDEX(ERP資料!$G:$G, (MATCH(72, 輔助計算!$G$2:$G$801, 0)+1))), "")</f>
        <v/>
      </c>
      <c r="I73" s="15">
        <f>IFERROR(INDEX(輔助計算!$D:$D, (MATCH(72, 輔助計算!$G$2:$G$801, 0)+1)), "")</f>
        <v/>
      </c>
      <c r="J73" s="15">
        <f>IFERROR(IF(AND(INDEX(輔助計算!$D:$D, (MATCH(72, 輔助計算!$G$2:$G$801, 0)+1))&lt;&gt;"", INDEX(ERP資料!$G:$G, (MATCH(72, 輔助計算!$G$2:$G$801, 0)+1))&lt;&gt;""), TRIM(IF(INT(INDEX(輔助計算!$D:$D, (MATCH(72, 輔助計算!$G$2:$G$801, 0)+1))/IF(INDEX(ERP資料!$G:$G, (MATCH(72, 輔助計算!$G$2:$G$801, 0)+1))&lt;100, IF(INDEX(ERP資料!$G:$G, (MATCH(72, 輔助計算!$G$2:$G$801, 0)+1))&lt;=31,3,IF(INDEX(ERP資料!$G:$G, (MATCH(72, 輔助計算!$G$2:$G$801, 0)+1))&lt;=46.5,2,1)), IF(INDEX(ERP資料!$G:$G, (MATCH(72, 輔助計算!$G$2:$G$801, 0)+1))&lt;=790,3,IF(INDEX(ERP資料!$G:$G, (MATCH(72, 輔助計算!$G$2:$G$801, 0)+1))&lt;=1181,2,1))))&gt;0, IF(IF(INDEX(ERP資料!$G:$G, (MATCH(72, 輔助計算!$G$2:$G$801, 0)+1))&lt;100, IF(INDEX(ERP資料!$G:$G, (MATCH(72, 輔助計算!$G$2:$G$801, 0)+1))&lt;=31,3,IF(INDEX(ERP資料!$G:$G, (MATCH(72, 輔助計算!$G$2:$G$801, 0)+1))&lt;=46.5,2,1)), IF(INDEX(ERP資料!$G:$G, (MATCH(72, 輔助計算!$G$2:$G$801, 0)+1))&lt;=790,3,IF(INDEX(ERP資料!$G:$G, (MATCH(72, 輔助計算!$G$2:$G$801, 0)+1))&lt;=1181,2,1)))=1,TEXT(INDEX(ERP資料!$G:$G, (MATCH(72, 輔助計算!$G$2:$G$801, 0)+1)),"0.##"),IF(IF(INDEX(ERP資料!$G:$G, (MATCH(72, 輔助計算!$G$2:$G$801, 0)+1))&lt;100, IF(INDEX(ERP資料!$G:$G, (MATCH(72, 輔助計算!$G$2:$G$801, 0)+1))&lt;=31,3,IF(INDEX(ERP資料!$G:$G, (MATCH(72, 輔助計算!$G$2:$G$801, 0)+1))&lt;=46.5,2,1)), IF(INDEX(ERP資料!$G:$G, (MATCH(72, 輔助計算!$G$2:$G$801, 0)+1))&lt;=790,3,IF(INDEX(ERP資料!$G:$G, (MATCH(72, 輔助計算!$G$2:$G$801, 0)+1))&lt;=1181,2,1)))=2,TEXT(INDEX(ERP資料!$G:$G, (MATCH(72, 輔助計算!$G$2:$G$801, 0)+1)),"0.##")&amp;"+"&amp;TEXT(INDEX(ERP資料!$G:$G, (MATCH(72, 輔助計算!$G$2:$G$801, 0)+1)),"0.##"),TEXT(INDEX(ERP資料!$G:$G, (MATCH(72, 輔助計算!$G$2:$G$801, 0)+1)),"0.##")&amp;"+"&amp;TEXT(INDEX(ERP資料!$G:$G, (MATCH(72, 輔助計算!$G$2:$G$801, 0)+1)),"0.##")&amp;"+"&amp;TEXT(INDEX(ERP資料!$G:$G, (MATCH(72, 輔助計算!$G$2:$G$801, 0)+1)),"0.##")))&amp;"-"&amp;INT(INDEX(輔助計算!$D:$D, (MATCH(72, 輔助計算!$G$2:$G$801, 0)+1))/IF(INDEX(ERP資料!$G:$G, (MATCH(72, 輔助計算!$G$2:$G$801, 0)+1))&lt;100, IF(INDEX(ERP資料!$G:$G, (MATCH(72, 輔助計算!$G$2:$G$801, 0)+1))&lt;=31,3,IF(INDEX(ERP資料!$G:$G, (MATCH(72, 輔助計算!$G$2:$G$801, 0)+1))&lt;=46.5,2,1)), IF(INDEX(ERP資料!$G:$G, (MATCH(72, 輔助計算!$G$2:$G$801, 0)+1))&lt;=790,3,IF(INDEX(ERP資料!$G:$G, (MATCH(72, 輔助計算!$G$2:$G$801, 0)+1))&lt;=1181,2,1)))), "")&amp;IF(AND(IF(INT(INDEX(輔助計算!$D:$D, (MATCH(72, 輔助計算!$G$2:$G$801, 0)+1))/IF(INDEX(ERP資料!$G:$G, (MATCH(72, 輔助計算!$G$2:$G$801, 0)+1))&lt;100, IF(INDEX(ERP資料!$G:$G, (MATCH(72, 輔助計算!$G$2:$G$801, 0)+1))&lt;=31,3,IF(INDEX(ERP資料!$G:$G, (MATCH(72, 輔助計算!$G$2:$G$801, 0)+1))&lt;=46.5,2,1)), IF(INDEX(ERP資料!$G:$G, (MATCH(72, 輔助計算!$G$2:$G$801, 0)+1))&lt;=790,3,IF(INDEX(ERP資料!$G:$G, (MATCH(72, 輔助計算!$G$2:$G$801, 0)+1))&lt;=1181,2,1))))&gt;0, IF(IF(INDEX(ERP資料!$G:$G, (MATCH(72, 輔助計算!$G$2:$G$801, 0)+1))&lt;100, IF(INDEX(ERP資料!$G:$G, (MATCH(72, 輔助計算!$G$2:$G$801, 0)+1))&lt;=31,3,IF(INDEX(ERP資料!$G:$G, (MATCH(72, 輔助計算!$G$2:$G$801, 0)+1))&lt;=46.5,2,1)), IF(INDEX(ERP資料!$G:$G, (MATCH(72, 輔助計算!$G$2:$G$801, 0)+1))&lt;=790,3,IF(INDEX(ERP資料!$G:$G, (MATCH(72, 輔助計算!$G$2:$G$801, 0)+1))&lt;=1181,2,1)))=1,TEXT(INDEX(ERP資料!$G:$G, (MATCH(72, 輔助計算!$G$2:$G$801, 0)+1)),"0.##"),IF(IF(INDEX(ERP資料!$G:$G, (MATCH(72, 輔助計算!$G$2:$G$801, 0)+1))&lt;100, IF(INDEX(ERP資料!$G:$G, (MATCH(72, 輔助計算!$G$2:$G$801, 0)+1))&lt;=31,3,IF(INDEX(ERP資料!$G:$G, (MATCH(72, 輔助計算!$G$2:$G$801, 0)+1))&lt;=46.5,2,1)), IF(INDEX(ERP資料!$G:$G, (MATCH(72, 輔助計算!$G$2:$G$801, 0)+1))&lt;=790,3,IF(INDEX(ERP資料!$G:$G, (MATCH(72, 輔助計算!$G$2:$G$801, 0)+1))&lt;=1181,2,1)))=2,TEXT(INDEX(ERP資料!$G:$G, (MATCH(72, 輔助計算!$G$2:$G$801, 0)+1)),"0.##")&amp;"+"&amp;TEXT(INDEX(ERP資料!$G:$G, (MATCH(72, 輔助計算!$G$2:$G$801, 0)+1)),"0.##"),TEXT(INDEX(ERP資料!$G:$G, (MATCH(72, 輔助計算!$G$2:$G$801, 0)+1)),"0.##")&amp;"+"&amp;TEXT(INDEX(ERP資料!$G:$G, (MATCH(72, 輔助計算!$G$2:$G$801, 0)+1)),"0.##")&amp;"+"&amp;TEXT(INDEX(ERP資料!$G:$G, (MATCH(72, 輔助計算!$G$2:$G$801, 0)+1)),"0.##")))&amp;"-"&amp;INT(INDEX(輔助計算!$D:$D, (MATCH(72, 輔助計算!$G$2:$G$801, 0)+1))/IF(INDEX(ERP資料!$G:$G, (MATCH(72, 輔助計算!$G$2:$G$801, 0)+1))&lt;100, IF(INDEX(ERP資料!$G:$G, (MATCH(72, 輔助計算!$G$2:$G$801, 0)+1))&lt;=31,3,IF(INDEX(ERP資料!$G:$G, (MATCH(72, 輔助計算!$G$2:$G$801, 0)+1))&lt;=46.5,2,1)), IF(INDEX(ERP資料!$G:$G, (MATCH(72, 輔助計算!$G$2:$G$801, 0)+1))&lt;=790,3,IF(INDEX(ERP資料!$G:$G, (MATCH(72, 輔助計算!$G$2:$G$801, 0)+1))&lt;=1181,2,1)))), "")&lt;&gt;"",IF(MOD(INDEX(輔助計算!$D:$D, (MATCH(72, 輔助計算!$G$2:$G$801, 0)+1)),IF(INDEX(ERP資料!$G:$G, (MATCH(72, 輔助計算!$G$2:$G$801, 0)+1))&lt;100, IF(INDEX(ERP資料!$G:$G, (MATCH(72, 輔助計算!$G$2:$G$801, 0)+1))&lt;=31,3,IF(INDEX(ERP資料!$G:$G, (MATCH(72, 輔助計算!$G$2:$G$801, 0)+1))&lt;=46.5,2,1)), IF(INDEX(ERP資料!$G:$G, (MATCH(72, 輔助計算!$G$2:$G$801, 0)+1))&lt;=790,3,IF(INDEX(ERP資料!$G:$G, (MATCH(72, 輔助計算!$G$2:$G$801, 0)+1))&lt;=1181,2,1))))=0,"",IF(MOD(INDEX(輔助計算!$D:$D, (MATCH(72, 輔助計算!$G$2:$G$801, 0)+1)),IF(INDEX(ERP資料!$G:$G, (MATCH(72, 輔助計算!$G$2:$G$801, 0)+1))&lt;100, IF(INDEX(ERP資料!$G:$G, (MATCH(72, 輔助計算!$G$2:$G$801, 0)+1))&lt;=31,3,IF(INDEX(ERP資料!$G:$G, (MATCH(72, 輔助計算!$G$2:$G$801, 0)+1))&lt;=46.5,2,1)), IF(INDEX(ERP資料!$G:$G, (MATCH(72, 輔助計算!$G$2:$G$801, 0)+1))&lt;=790,3,IF(INDEX(ERP資料!$G:$G, (MATCH(72, 輔助計算!$G$2:$G$801, 0)+1))&lt;=1181,2,1))))=0,"",IF(MOD(INDEX(輔助計算!$D:$D, (MATCH(72, 輔助計算!$G$2:$G$801, 0)+1)),IF(INDEX(ERP資料!$G:$G, (MATCH(72, 輔助計算!$G$2:$G$801, 0)+1))&lt;100, IF(INDEX(ERP資料!$G:$G, (MATCH(72, 輔助計算!$G$2:$G$801, 0)+1))&lt;=31,3,IF(INDEX(ERP資料!$G:$G, (MATCH(72, 輔助計算!$G$2:$G$801, 0)+1))&lt;=46.5,2,1)), IF(INDEX(ERP資料!$G:$G, (MATCH(72, 輔助計算!$G$2:$G$801, 0)+1))&lt;=790,3,IF(INDEX(ERP資料!$G:$G, (MATCH(72, 輔助計算!$G$2:$G$801, 0)+1))&lt;=1181,2,1))))=1,TEXT(INDEX(ERP資料!$G:$G, (MATCH(72, 輔助計算!$G$2:$G$801, 0)+1)),"0.##"),IF(MOD(INDEX(輔助計算!$D:$D, (MATCH(72, 輔助計算!$G$2:$G$801, 0)+1)),IF(INDEX(ERP資料!$G:$G, (MATCH(72, 輔助計算!$G$2:$G$801, 0)+1))&lt;100, IF(INDEX(ERP資料!$G:$G, (MATCH(72, 輔助計算!$G$2:$G$801, 0)+1))&lt;=31,3,IF(INDEX(ERP資料!$G:$G, (MATCH(72, 輔助計算!$G$2:$G$801, 0)+1))&lt;=46.5,2,1)), IF(INDEX(ERP資料!$G:$G, (MATCH(72, 輔助計算!$G$2:$G$801, 0)+1))&lt;=790,3,IF(INDEX(ERP資料!$G:$G, (MATCH(72, 輔助計算!$G$2:$G$801, 0)+1))&lt;=1181,2,1))))=2,TEXT(INDEX(ERP資料!$G:$G, (MATCH(72, 輔助計算!$G$2:$G$801, 0)+1)),"0.##")&amp;"+"&amp;TEXT(INDEX(ERP資料!$G:$G, (MATCH(72, 輔助計算!$G$2:$G$801, 0)+1)),"0.##"),TEXT(INDEX(ERP資料!$G:$G, (MATCH(72, 輔助計算!$G$2:$G$801, 0)+1)),"0.##")&amp;"+"&amp;TEXT(INDEX(ERP資料!$G:$G, (MATCH(72, 輔助計算!$G$2:$G$801, 0)+1)),"0.##")&amp;"+"&amp;TEXT(INDEX(ERP資料!$G:$G, (MATCH(72, 輔助計算!$G$2:$G$801, 0)+1)),"0.##"))))&amp;"-1")&lt;&gt;""),"  ","")&amp;IF(MOD(INDEX(輔助計算!$D:$D, (MATCH(72, 輔助計算!$G$2:$G$801, 0)+1)),IF(INDEX(ERP資料!$G:$G, (MATCH(72, 輔助計算!$G$2:$G$801, 0)+1))&lt;100, IF(INDEX(ERP資料!$G:$G, (MATCH(72, 輔助計算!$G$2:$G$801, 0)+1))&lt;=31,3,IF(INDEX(ERP資料!$G:$G, (MATCH(72, 輔助計算!$G$2:$G$801, 0)+1))&lt;=46.5,2,1)), IF(INDEX(ERP資料!$G:$G, (MATCH(72, 輔助計算!$G$2:$G$801, 0)+1))&lt;=790,3,IF(INDEX(ERP資料!$G:$G, (MATCH(72, 輔助計算!$G$2:$G$801, 0)+1))&lt;=1181,2,1))))=0,"",IF(MOD(INDEX(輔助計算!$D:$D, (MATCH(72, 輔助計算!$G$2:$G$801, 0)+1)),IF(INDEX(ERP資料!$G:$G, (MATCH(72, 輔助計算!$G$2:$G$801, 0)+1))&lt;100, IF(INDEX(ERP資料!$G:$G, (MATCH(72, 輔助計算!$G$2:$G$801, 0)+1))&lt;=31,3,IF(INDEX(ERP資料!$G:$G, (MATCH(72, 輔助計算!$G$2:$G$801, 0)+1))&lt;=46.5,2,1)), IF(INDEX(ERP資料!$G:$G, (MATCH(72, 輔助計算!$G$2:$G$801, 0)+1))&lt;=790,3,IF(INDEX(ERP資料!$G:$G, (MATCH(72, 輔助計算!$G$2:$G$801, 0)+1))&lt;=1181,2,1))))=0,"",IF(MOD(INDEX(輔助計算!$D:$D, (MATCH(72, 輔助計算!$G$2:$G$801, 0)+1)),IF(INDEX(ERP資料!$G:$G, (MATCH(72, 輔助計算!$G$2:$G$801, 0)+1))&lt;100, IF(INDEX(ERP資料!$G:$G, (MATCH(72, 輔助計算!$G$2:$G$801, 0)+1))&lt;=31,3,IF(INDEX(ERP資料!$G:$G, (MATCH(72, 輔助計算!$G$2:$G$801, 0)+1))&lt;=46.5,2,1)), IF(INDEX(ERP資料!$G:$G, (MATCH(72, 輔助計算!$G$2:$G$801, 0)+1))&lt;=790,3,IF(INDEX(ERP資料!$G:$G, (MATCH(72, 輔助計算!$G$2:$G$801, 0)+1))&lt;=1181,2,1))))=1,TEXT(INDEX(ERP資料!$G:$G, (MATCH(72, 輔助計算!$G$2:$G$801, 0)+1)),"0.##"),IF(MOD(INDEX(輔助計算!$D:$D, (MATCH(72, 輔助計算!$G$2:$G$801, 0)+1)),IF(INDEX(ERP資料!$G:$G, (MATCH(72, 輔助計算!$G$2:$G$801, 0)+1))&lt;100, IF(INDEX(ERP資料!$G:$G, (MATCH(72, 輔助計算!$G$2:$G$801, 0)+1))&lt;=31,3,IF(INDEX(ERP資料!$G:$G, (MATCH(72, 輔助計算!$G$2:$G$801, 0)+1))&lt;=46.5,2,1)), IF(INDEX(ERP資料!$G:$G, (MATCH(72, 輔助計算!$G$2:$G$801, 0)+1))&lt;=790,3,IF(INDEX(ERP資料!$G:$G, (MATCH(72, 輔助計算!$G$2:$G$801, 0)+1))&lt;=1181,2,1))))=2,TEXT(INDEX(ERP資料!$G:$G, (MATCH(72, 輔助計算!$G$2:$G$801, 0)+1)),"0.##")&amp;"+"&amp;TEXT(INDEX(ERP資料!$G:$G, (MATCH(72, 輔助計算!$G$2:$G$801, 0)+1)),"0.##"),TEXT(INDEX(ERP資料!$G:$G, (MATCH(72, 輔助計算!$G$2:$G$801, 0)+1)),"0.##")&amp;"+"&amp;TEXT(INDEX(ERP資料!$G:$G, (MATCH(72, 輔助計算!$G$2:$G$801, 0)+1)),"0.##")&amp;"+"&amp;TEXT(INDEX(ERP資料!$G:$G, (MATCH(72, 輔助計算!$G$2:$G$801, 0)+1)),"0.##"))))&amp;"-1")), ""), "")</f>
        <v/>
      </c>
      <c r="K73" s="16" t="n"/>
      <c r="L73" s="14">
        <f>IFERROR(IF(AND(IFERROR(INDEX(ERP資料!$A:$A, (MATCH(72, 輔助計算!$G$2:$G$801, 0)+1)), "")&lt;&gt;"", IFERROR(INDEX(ERP資料!$A:$A, (MATCH(72, 輔助計算!$G$2:$G$801, 0)+1)), "")&lt;&gt;IFERROR(INDEX(ERP資料!$A:$A, MATCH(71, 輔助計算!$G$2:$G$801, 0)+1), "")), INDEX(ERP資料!$B:$B, (MATCH(72, 輔助計算!$G$2:$G$801, 0)+1)), ""), "")</f>
        <v/>
      </c>
      <c r="M73" s="17" t="n"/>
    </row>
    <row r="74">
      <c r="A74" s="10">
        <f>IFERROR(IF(AND(IFERROR(INDEX(ERP資料!$A:$A, (MATCH(73, 輔助計算!$G$2:$G$801, 0)+1)), "")&lt;&gt;"", IFERROR(INDEX(ERP資料!$A:$A, (MATCH(73, 輔助計算!$G$2:$G$801, 0)+1)), "")&lt;&gt;IFERROR(INDEX(ERP資料!$A:$A, MATCH(72, 輔助計算!$G$2:$G$801, 0)+1), "")), IFERROR(INDEX(ERP資料!$A:$A, (MATCH(73, 輔助計算!$G$2:$G$801, 0)+1)), ""), ""), "")</f>
        <v/>
      </c>
      <c r="B74" s="10">
        <f>IFERROR(IF(AND(IFERROR(INDEX(ERP資料!$A:$A, (MATCH(73, 輔助計算!$G$2:$G$801, 0)+1)), "")&lt;&gt;"", IFERROR(INDEX(ERP資料!$A:$A, (MATCH(73, 輔助計算!$G$2:$G$801, 0)+1)), "")&lt;&gt;IFERROR(INDEX(ERP資料!$A:$A, MATCH(72, 輔助計算!$G$2:$G$801, 0)+1), "")), INDEX(ERP資料!$S:$S, (MATCH(73, 輔助計算!$G$2:$G$801, 0)+1)), ""), "")</f>
        <v/>
      </c>
      <c r="C74" s="19">
        <f>IFERROR(IF(AND(IFERROR(INDEX(ERP資料!$A:$A, (MATCH(73, 輔助計算!$G$2:$G$801, 0)+1)), "")&lt;&gt;"", IFERROR(INDEX(ERP資料!$A:$A, (MATCH(73, 輔助計算!$G$2:$G$801, 0)+1)), "")&lt;&gt;IFERROR(INDEX(ERP資料!$A:$A, MATCH(72, 輔助計算!$G$2:$G$801, 0)+1), "")), IFERROR(VLOOKUP(LEFT(INDEX(ERP資料!$S:$S, (MATCH(73, 輔助計算!$G$2:$G$801, 0)+1)), 4), 紙管對照表!$A:$C, 3, FALSE), ""), ""), "")</f>
        <v/>
      </c>
      <c r="D74" s="16" t="n"/>
      <c r="E74" s="10">
        <f>IFERROR(IF(INDEX(ERP資料!$H:$H, (MATCH(73, 輔助計算!$G$2:$G$801, 0)+1))="","",INDEX(ERP資料!$H:$H, (MATCH(73, 輔助計算!$G$2:$G$801, 0)+1))), "")</f>
        <v/>
      </c>
      <c r="F74" s="10">
        <f>IFERROR(IF(INDEX(ERP資料!$E:$E, (MATCH(73, 輔助計算!$G$2:$G$801, 0)+1))="","",TRIM(INDEX(ERP資料!$E:$E, (MATCH(73, 輔助計算!$G$2:$G$801, 0)+1)))), "")</f>
        <v/>
      </c>
      <c r="G74" s="10">
        <f>IFERROR(IF(INDEX(ERP資料!$F:$F, (MATCH(73, 輔助計算!$G$2:$G$801, 0)+1))="","",INDEX(ERP資料!$F:$F, (MATCH(73, 輔助計算!$G$2:$G$801, 0)+1))), "")</f>
        <v/>
      </c>
      <c r="H74" s="10">
        <f>IFERROR(IF(INDEX(ERP資料!$G:$G, (MATCH(73, 輔助計算!$G$2:$G$801, 0)+1))="","",INDEX(ERP資料!$G:$G, (MATCH(73, 輔助計算!$G$2:$G$801, 0)+1))), "")</f>
        <v/>
      </c>
      <c r="I74" s="15">
        <f>IFERROR(INDEX(輔助計算!$D:$D, (MATCH(73, 輔助計算!$G$2:$G$801, 0)+1)), "")</f>
        <v/>
      </c>
      <c r="J74" s="15">
        <f>IFERROR(IF(AND(INDEX(輔助計算!$D:$D, (MATCH(73, 輔助計算!$G$2:$G$801, 0)+1))&lt;&gt;"", INDEX(ERP資料!$G:$G, (MATCH(73, 輔助計算!$G$2:$G$801, 0)+1))&lt;&gt;""), TRIM(IF(INT(INDEX(輔助計算!$D:$D, (MATCH(73, 輔助計算!$G$2:$G$801, 0)+1))/IF(INDEX(ERP資料!$G:$G, (MATCH(73, 輔助計算!$G$2:$G$801, 0)+1))&lt;100, IF(INDEX(ERP資料!$G:$G, (MATCH(73, 輔助計算!$G$2:$G$801, 0)+1))&lt;=31,3,IF(INDEX(ERP資料!$G:$G, (MATCH(73, 輔助計算!$G$2:$G$801, 0)+1))&lt;=46.5,2,1)), IF(INDEX(ERP資料!$G:$G, (MATCH(73, 輔助計算!$G$2:$G$801, 0)+1))&lt;=790,3,IF(INDEX(ERP資料!$G:$G, (MATCH(73, 輔助計算!$G$2:$G$801, 0)+1))&lt;=1181,2,1))))&gt;0, IF(IF(INDEX(ERP資料!$G:$G, (MATCH(73, 輔助計算!$G$2:$G$801, 0)+1))&lt;100, IF(INDEX(ERP資料!$G:$G, (MATCH(73, 輔助計算!$G$2:$G$801, 0)+1))&lt;=31,3,IF(INDEX(ERP資料!$G:$G, (MATCH(73, 輔助計算!$G$2:$G$801, 0)+1))&lt;=46.5,2,1)), IF(INDEX(ERP資料!$G:$G, (MATCH(73, 輔助計算!$G$2:$G$801, 0)+1))&lt;=790,3,IF(INDEX(ERP資料!$G:$G, (MATCH(73, 輔助計算!$G$2:$G$801, 0)+1))&lt;=1181,2,1)))=1,TEXT(INDEX(ERP資料!$G:$G, (MATCH(73, 輔助計算!$G$2:$G$801, 0)+1)),"0.##"),IF(IF(INDEX(ERP資料!$G:$G, (MATCH(73, 輔助計算!$G$2:$G$801, 0)+1))&lt;100, IF(INDEX(ERP資料!$G:$G, (MATCH(73, 輔助計算!$G$2:$G$801, 0)+1))&lt;=31,3,IF(INDEX(ERP資料!$G:$G, (MATCH(73, 輔助計算!$G$2:$G$801, 0)+1))&lt;=46.5,2,1)), IF(INDEX(ERP資料!$G:$G, (MATCH(73, 輔助計算!$G$2:$G$801, 0)+1))&lt;=790,3,IF(INDEX(ERP資料!$G:$G, (MATCH(73, 輔助計算!$G$2:$G$801, 0)+1))&lt;=1181,2,1)))=2,TEXT(INDEX(ERP資料!$G:$G, (MATCH(73, 輔助計算!$G$2:$G$801, 0)+1)),"0.##")&amp;"+"&amp;TEXT(INDEX(ERP資料!$G:$G, (MATCH(73, 輔助計算!$G$2:$G$801, 0)+1)),"0.##"),TEXT(INDEX(ERP資料!$G:$G, (MATCH(73, 輔助計算!$G$2:$G$801, 0)+1)),"0.##")&amp;"+"&amp;TEXT(INDEX(ERP資料!$G:$G, (MATCH(73, 輔助計算!$G$2:$G$801, 0)+1)),"0.##")&amp;"+"&amp;TEXT(INDEX(ERP資料!$G:$G, (MATCH(73, 輔助計算!$G$2:$G$801, 0)+1)),"0.##")))&amp;"-"&amp;INT(INDEX(輔助計算!$D:$D, (MATCH(73, 輔助計算!$G$2:$G$801, 0)+1))/IF(INDEX(ERP資料!$G:$G, (MATCH(73, 輔助計算!$G$2:$G$801, 0)+1))&lt;100, IF(INDEX(ERP資料!$G:$G, (MATCH(73, 輔助計算!$G$2:$G$801, 0)+1))&lt;=31,3,IF(INDEX(ERP資料!$G:$G, (MATCH(73, 輔助計算!$G$2:$G$801, 0)+1))&lt;=46.5,2,1)), IF(INDEX(ERP資料!$G:$G, (MATCH(73, 輔助計算!$G$2:$G$801, 0)+1))&lt;=790,3,IF(INDEX(ERP資料!$G:$G, (MATCH(73, 輔助計算!$G$2:$G$801, 0)+1))&lt;=1181,2,1)))), "")&amp;IF(AND(IF(INT(INDEX(輔助計算!$D:$D, (MATCH(73, 輔助計算!$G$2:$G$801, 0)+1))/IF(INDEX(ERP資料!$G:$G, (MATCH(73, 輔助計算!$G$2:$G$801, 0)+1))&lt;100, IF(INDEX(ERP資料!$G:$G, (MATCH(73, 輔助計算!$G$2:$G$801, 0)+1))&lt;=31,3,IF(INDEX(ERP資料!$G:$G, (MATCH(73, 輔助計算!$G$2:$G$801, 0)+1))&lt;=46.5,2,1)), IF(INDEX(ERP資料!$G:$G, (MATCH(73, 輔助計算!$G$2:$G$801, 0)+1))&lt;=790,3,IF(INDEX(ERP資料!$G:$G, (MATCH(73, 輔助計算!$G$2:$G$801, 0)+1))&lt;=1181,2,1))))&gt;0, IF(IF(INDEX(ERP資料!$G:$G, (MATCH(73, 輔助計算!$G$2:$G$801, 0)+1))&lt;100, IF(INDEX(ERP資料!$G:$G, (MATCH(73, 輔助計算!$G$2:$G$801, 0)+1))&lt;=31,3,IF(INDEX(ERP資料!$G:$G, (MATCH(73, 輔助計算!$G$2:$G$801, 0)+1))&lt;=46.5,2,1)), IF(INDEX(ERP資料!$G:$G, (MATCH(73, 輔助計算!$G$2:$G$801, 0)+1))&lt;=790,3,IF(INDEX(ERP資料!$G:$G, (MATCH(73, 輔助計算!$G$2:$G$801, 0)+1))&lt;=1181,2,1)))=1,TEXT(INDEX(ERP資料!$G:$G, (MATCH(73, 輔助計算!$G$2:$G$801, 0)+1)),"0.##"),IF(IF(INDEX(ERP資料!$G:$G, (MATCH(73, 輔助計算!$G$2:$G$801, 0)+1))&lt;100, IF(INDEX(ERP資料!$G:$G, (MATCH(73, 輔助計算!$G$2:$G$801, 0)+1))&lt;=31,3,IF(INDEX(ERP資料!$G:$G, (MATCH(73, 輔助計算!$G$2:$G$801, 0)+1))&lt;=46.5,2,1)), IF(INDEX(ERP資料!$G:$G, (MATCH(73, 輔助計算!$G$2:$G$801, 0)+1))&lt;=790,3,IF(INDEX(ERP資料!$G:$G, (MATCH(73, 輔助計算!$G$2:$G$801, 0)+1))&lt;=1181,2,1)))=2,TEXT(INDEX(ERP資料!$G:$G, (MATCH(73, 輔助計算!$G$2:$G$801, 0)+1)),"0.##")&amp;"+"&amp;TEXT(INDEX(ERP資料!$G:$G, (MATCH(73, 輔助計算!$G$2:$G$801, 0)+1)),"0.##"),TEXT(INDEX(ERP資料!$G:$G, (MATCH(73, 輔助計算!$G$2:$G$801, 0)+1)),"0.##")&amp;"+"&amp;TEXT(INDEX(ERP資料!$G:$G, (MATCH(73, 輔助計算!$G$2:$G$801, 0)+1)),"0.##")&amp;"+"&amp;TEXT(INDEX(ERP資料!$G:$G, (MATCH(73, 輔助計算!$G$2:$G$801, 0)+1)),"0.##")))&amp;"-"&amp;INT(INDEX(輔助計算!$D:$D, (MATCH(73, 輔助計算!$G$2:$G$801, 0)+1))/IF(INDEX(ERP資料!$G:$G, (MATCH(73, 輔助計算!$G$2:$G$801, 0)+1))&lt;100, IF(INDEX(ERP資料!$G:$G, (MATCH(73, 輔助計算!$G$2:$G$801, 0)+1))&lt;=31,3,IF(INDEX(ERP資料!$G:$G, (MATCH(73, 輔助計算!$G$2:$G$801, 0)+1))&lt;=46.5,2,1)), IF(INDEX(ERP資料!$G:$G, (MATCH(73, 輔助計算!$G$2:$G$801, 0)+1))&lt;=790,3,IF(INDEX(ERP資料!$G:$G, (MATCH(73, 輔助計算!$G$2:$G$801, 0)+1))&lt;=1181,2,1)))), "")&lt;&gt;"",IF(MOD(INDEX(輔助計算!$D:$D, (MATCH(73, 輔助計算!$G$2:$G$801, 0)+1)),IF(INDEX(ERP資料!$G:$G, (MATCH(73, 輔助計算!$G$2:$G$801, 0)+1))&lt;100, IF(INDEX(ERP資料!$G:$G, (MATCH(73, 輔助計算!$G$2:$G$801, 0)+1))&lt;=31,3,IF(INDEX(ERP資料!$G:$G, (MATCH(73, 輔助計算!$G$2:$G$801, 0)+1))&lt;=46.5,2,1)), IF(INDEX(ERP資料!$G:$G, (MATCH(73, 輔助計算!$G$2:$G$801, 0)+1))&lt;=790,3,IF(INDEX(ERP資料!$G:$G, (MATCH(73, 輔助計算!$G$2:$G$801, 0)+1))&lt;=1181,2,1))))=0,"",IF(MOD(INDEX(輔助計算!$D:$D, (MATCH(73, 輔助計算!$G$2:$G$801, 0)+1)),IF(INDEX(ERP資料!$G:$G, (MATCH(73, 輔助計算!$G$2:$G$801, 0)+1))&lt;100, IF(INDEX(ERP資料!$G:$G, (MATCH(73, 輔助計算!$G$2:$G$801, 0)+1))&lt;=31,3,IF(INDEX(ERP資料!$G:$G, (MATCH(73, 輔助計算!$G$2:$G$801, 0)+1))&lt;=46.5,2,1)), IF(INDEX(ERP資料!$G:$G, (MATCH(73, 輔助計算!$G$2:$G$801, 0)+1))&lt;=790,3,IF(INDEX(ERP資料!$G:$G, (MATCH(73, 輔助計算!$G$2:$G$801, 0)+1))&lt;=1181,2,1))))=0,"",IF(MOD(INDEX(輔助計算!$D:$D, (MATCH(73, 輔助計算!$G$2:$G$801, 0)+1)),IF(INDEX(ERP資料!$G:$G, (MATCH(73, 輔助計算!$G$2:$G$801, 0)+1))&lt;100, IF(INDEX(ERP資料!$G:$G, (MATCH(73, 輔助計算!$G$2:$G$801, 0)+1))&lt;=31,3,IF(INDEX(ERP資料!$G:$G, (MATCH(73, 輔助計算!$G$2:$G$801, 0)+1))&lt;=46.5,2,1)), IF(INDEX(ERP資料!$G:$G, (MATCH(73, 輔助計算!$G$2:$G$801, 0)+1))&lt;=790,3,IF(INDEX(ERP資料!$G:$G, (MATCH(73, 輔助計算!$G$2:$G$801, 0)+1))&lt;=1181,2,1))))=1,TEXT(INDEX(ERP資料!$G:$G, (MATCH(73, 輔助計算!$G$2:$G$801, 0)+1)),"0.##"),IF(MOD(INDEX(輔助計算!$D:$D, (MATCH(73, 輔助計算!$G$2:$G$801, 0)+1)),IF(INDEX(ERP資料!$G:$G, (MATCH(73, 輔助計算!$G$2:$G$801, 0)+1))&lt;100, IF(INDEX(ERP資料!$G:$G, (MATCH(73, 輔助計算!$G$2:$G$801, 0)+1))&lt;=31,3,IF(INDEX(ERP資料!$G:$G, (MATCH(73, 輔助計算!$G$2:$G$801, 0)+1))&lt;=46.5,2,1)), IF(INDEX(ERP資料!$G:$G, (MATCH(73, 輔助計算!$G$2:$G$801, 0)+1))&lt;=790,3,IF(INDEX(ERP資料!$G:$G, (MATCH(73, 輔助計算!$G$2:$G$801, 0)+1))&lt;=1181,2,1))))=2,TEXT(INDEX(ERP資料!$G:$G, (MATCH(73, 輔助計算!$G$2:$G$801, 0)+1)),"0.##")&amp;"+"&amp;TEXT(INDEX(ERP資料!$G:$G, (MATCH(73, 輔助計算!$G$2:$G$801, 0)+1)),"0.##"),TEXT(INDEX(ERP資料!$G:$G, (MATCH(73, 輔助計算!$G$2:$G$801, 0)+1)),"0.##")&amp;"+"&amp;TEXT(INDEX(ERP資料!$G:$G, (MATCH(73, 輔助計算!$G$2:$G$801, 0)+1)),"0.##")&amp;"+"&amp;TEXT(INDEX(ERP資料!$G:$G, (MATCH(73, 輔助計算!$G$2:$G$801, 0)+1)),"0.##"))))&amp;"-1")&lt;&gt;""),"  ","")&amp;IF(MOD(INDEX(輔助計算!$D:$D, (MATCH(73, 輔助計算!$G$2:$G$801, 0)+1)),IF(INDEX(ERP資料!$G:$G, (MATCH(73, 輔助計算!$G$2:$G$801, 0)+1))&lt;100, IF(INDEX(ERP資料!$G:$G, (MATCH(73, 輔助計算!$G$2:$G$801, 0)+1))&lt;=31,3,IF(INDEX(ERP資料!$G:$G, (MATCH(73, 輔助計算!$G$2:$G$801, 0)+1))&lt;=46.5,2,1)), IF(INDEX(ERP資料!$G:$G, (MATCH(73, 輔助計算!$G$2:$G$801, 0)+1))&lt;=790,3,IF(INDEX(ERP資料!$G:$G, (MATCH(73, 輔助計算!$G$2:$G$801, 0)+1))&lt;=1181,2,1))))=0,"",IF(MOD(INDEX(輔助計算!$D:$D, (MATCH(73, 輔助計算!$G$2:$G$801, 0)+1)),IF(INDEX(ERP資料!$G:$G, (MATCH(73, 輔助計算!$G$2:$G$801, 0)+1))&lt;100, IF(INDEX(ERP資料!$G:$G, (MATCH(73, 輔助計算!$G$2:$G$801, 0)+1))&lt;=31,3,IF(INDEX(ERP資料!$G:$G, (MATCH(73, 輔助計算!$G$2:$G$801, 0)+1))&lt;=46.5,2,1)), IF(INDEX(ERP資料!$G:$G, (MATCH(73, 輔助計算!$G$2:$G$801, 0)+1))&lt;=790,3,IF(INDEX(ERP資料!$G:$G, (MATCH(73, 輔助計算!$G$2:$G$801, 0)+1))&lt;=1181,2,1))))=0,"",IF(MOD(INDEX(輔助計算!$D:$D, (MATCH(73, 輔助計算!$G$2:$G$801, 0)+1)),IF(INDEX(ERP資料!$G:$G, (MATCH(73, 輔助計算!$G$2:$G$801, 0)+1))&lt;100, IF(INDEX(ERP資料!$G:$G, (MATCH(73, 輔助計算!$G$2:$G$801, 0)+1))&lt;=31,3,IF(INDEX(ERP資料!$G:$G, (MATCH(73, 輔助計算!$G$2:$G$801, 0)+1))&lt;=46.5,2,1)), IF(INDEX(ERP資料!$G:$G, (MATCH(73, 輔助計算!$G$2:$G$801, 0)+1))&lt;=790,3,IF(INDEX(ERP資料!$G:$G, (MATCH(73, 輔助計算!$G$2:$G$801, 0)+1))&lt;=1181,2,1))))=1,TEXT(INDEX(ERP資料!$G:$G, (MATCH(73, 輔助計算!$G$2:$G$801, 0)+1)),"0.##"),IF(MOD(INDEX(輔助計算!$D:$D, (MATCH(73, 輔助計算!$G$2:$G$801, 0)+1)),IF(INDEX(ERP資料!$G:$G, (MATCH(73, 輔助計算!$G$2:$G$801, 0)+1))&lt;100, IF(INDEX(ERP資料!$G:$G, (MATCH(73, 輔助計算!$G$2:$G$801, 0)+1))&lt;=31,3,IF(INDEX(ERP資料!$G:$G, (MATCH(73, 輔助計算!$G$2:$G$801, 0)+1))&lt;=46.5,2,1)), IF(INDEX(ERP資料!$G:$G, (MATCH(73, 輔助計算!$G$2:$G$801, 0)+1))&lt;=790,3,IF(INDEX(ERP資料!$G:$G, (MATCH(73, 輔助計算!$G$2:$G$801, 0)+1))&lt;=1181,2,1))))=2,TEXT(INDEX(ERP資料!$G:$G, (MATCH(73, 輔助計算!$G$2:$G$801, 0)+1)),"0.##")&amp;"+"&amp;TEXT(INDEX(ERP資料!$G:$G, (MATCH(73, 輔助計算!$G$2:$G$801, 0)+1)),"0.##"),TEXT(INDEX(ERP資料!$G:$G, (MATCH(73, 輔助計算!$G$2:$G$801, 0)+1)),"0.##")&amp;"+"&amp;TEXT(INDEX(ERP資料!$G:$G, (MATCH(73, 輔助計算!$G$2:$G$801, 0)+1)),"0.##")&amp;"+"&amp;TEXT(INDEX(ERP資料!$G:$G, (MATCH(73, 輔助計算!$G$2:$G$801, 0)+1)),"0.##"))))&amp;"-1")), ""), "")</f>
        <v/>
      </c>
      <c r="K74" s="16" t="n"/>
      <c r="L74" s="14">
        <f>IFERROR(IF(AND(IFERROR(INDEX(ERP資料!$A:$A, (MATCH(73, 輔助計算!$G$2:$G$801, 0)+1)), "")&lt;&gt;"", IFERROR(INDEX(ERP資料!$A:$A, (MATCH(73, 輔助計算!$G$2:$G$801, 0)+1)), "")&lt;&gt;IFERROR(INDEX(ERP資料!$A:$A, MATCH(72, 輔助計算!$G$2:$G$801, 0)+1), "")), INDEX(ERP資料!$B:$B, (MATCH(73, 輔助計算!$G$2:$G$801, 0)+1)), ""), "")</f>
        <v/>
      </c>
      <c r="M74" s="17" t="n"/>
    </row>
    <row r="75">
      <c r="A75" s="10">
        <f>IFERROR(IF(AND(IFERROR(INDEX(ERP資料!$A:$A, (MATCH(74, 輔助計算!$G$2:$G$801, 0)+1)), "")&lt;&gt;"", IFERROR(INDEX(ERP資料!$A:$A, (MATCH(74, 輔助計算!$G$2:$G$801, 0)+1)), "")&lt;&gt;IFERROR(INDEX(ERP資料!$A:$A, MATCH(73, 輔助計算!$G$2:$G$801, 0)+1), "")), IFERROR(INDEX(ERP資料!$A:$A, (MATCH(74, 輔助計算!$G$2:$G$801, 0)+1)), ""), ""), "")</f>
        <v/>
      </c>
      <c r="B75" s="10">
        <f>IFERROR(IF(AND(IFERROR(INDEX(ERP資料!$A:$A, (MATCH(74, 輔助計算!$G$2:$G$801, 0)+1)), "")&lt;&gt;"", IFERROR(INDEX(ERP資料!$A:$A, (MATCH(74, 輔助計算!$G$2:$G$801, 0)+1)), "")&lt;&gt;IFERROR(INDEX(ERP資料!$A:$A, MATCH(73, 輔助計算!$G$2:$G$801, 0)+1), "")), INDEX(ERP資料!$S:$S, (MATCH(74, 輔助計算!$G$2:$G$801, 0)+1)), ""), "")</f>
        <v/>
      </c>
      <c r="C75" s="19">
        <f>IFERROR(IF(AND(IFERROR(INDEX(ERP資料!$A:$A, (MATCH(74, 輔助計算!$G$2:$G$801, 0)+1)), "")&lt;&gt;"", IFERROR(INDEX(ERP資料!$A:$A, (MATCH(74, 輔助計算!$G$2:$G$801, 0)+1)), "")&lt;&gt;IFERROR(INDEX(ERP資料!$A:$A, MATCH(73, 輔助計算!$G$2:$G$801, 0)+1), "")), IFERROR(VLOOKUP(LEFT(INDEX(ERP資料!$S:$S, (MATCH(74, 輔助計算!$G$2:$G$801, 0)+1)), 4), 紙管對照表!$A:$C, 3, FALSE), ""), ""), "")</f>
        <v/>
      </c>
      <c r="D75" s="16" t="n"/>
      <c r="E75" s="10">
        <f>IFERROR(IF(INDEX(ERP資料!$H:$H, (MATCH(74, 輔助計算!$G$2:$G$801, 0)+1))="","",INDEX(ERP資料!$H:$H, (MATCH(74, 輔助計算!$G$2:$G$801, 0)+1))), "")</f>
        <v/>
      </c>
      <c r="F75" s="10">
        <f>IFERROR(IF(INDEX(ERP資料!$E:$E, (MATCH(74, 輔助計算!$G$2:$G$801, 0)+1))="","",TRIM(INDEX(ERP資料!$E:$E, (MATCH(74, 輔助計算!$G$2:$G$801, 0)+1)))), "")</f>
        <v/>
      </c>
      <c r="G75" s="10">
        <f>IFERROR(IF(INDEX(ERP資料!$F:$F, (MATCH(74, 輔助計算!$G$2:$G$801, 0)+1))="","",INDEX(ERP資料!$F:$F, (MATCH(74, 輔助計算!$G$2:$G$801, 0)+1))), "")</f>
        <v/>
      </c>
      <c r="H75" s="10">
        <f>IFERROR(IF(INDEX(ERP資料!$G:$G, (MATCH(74, 輔助計算!$G$2:$G$801, 0)+1))="","",INDEX(ERP資料!$G:$G, (MATCH(74, 輔助計算!$G$2:$G$801, 0)+1))), "")</f>
        <v/>
      </c>
      <c r="I75" s="15">
        <f>IFERROR(INDEX(輔助計算!$D:$D, (MATCH(74, 輔助計算!$G$2:$G$801, 0)+1)), "")</f>
        <v/>
      </c>
      <c r="J75" s="15">
        <f>IFERROR(IF(AND(INDEX(輔助計算!$D:$D, (MATCH(74, 輔助計算!$G$2:$G$801, 0)+1))&lt;&gt;"", INDEX(ERP資料!$G:$G, (MATCH(74, 輔助計算!$G$2:$G$801, 0)+1))&lt;&gt;""), TRIM(IF(INT(INDEX(輔助計算!$D:$D, (MATCH(74, 輔助計算!$G$2:$G$801, 0)+1))/IF(INDEX(ERP資料!$G:$G, (MATCH(74, 輔助計算!$G$2:$G$801, 0)+1))&lt;100, IF(INDEX(ERP資料!$G:$G, (MATCH(74, 輔助計算!$G$2:$G$801, 0)+1))&lt;=31,3,IF(INDEX(ERP資料!$G:$G, (MATCH(74, 輔助計算!$G$2:$G$801, 0)+1))&lt;=46.5,2,1)), IF(INDEX(ERP資料!$G:$G, (MATCH(74, 輔助計算!$G$2:$G$801, 0)+1))&lt;=790,3,IF(INDEX(ERP資料!$G:$G, (MATCH(74, 輔助計算!$G$2:$G$801, 0)+1))&lt;=1181,2,1))))&gt;0, IF(IF(INDEX(ERP資料!$G:$G, (MATCH(74, 輔助計算!$G$2:$G$801, 0)+1))&lt;100, IF(INDEX(ERP資料!$G:$G, (MATCH(74, 輔助計算!$G$2:$G$801, 0)+1))&lt;=31,3,IF(INDEX(ERP資料!$G:$G, (MATCH(74, 輔助計算!$G$2:$G$801, 0)+1))&lt;=46.5,2,1)), IF(INDEX(ERP資料!$G:$G, (MATCH(74, 輔助計算!$G$2:$G$801, 0)+1))&lt;=790,3,IF(INDEX(ERP資料!$G:$G, (MATCH(74, 輔助計算!$G$2:$G$801, 0)+1))&lt;=1181,2,1)))=1,TEXT(INDEX(ERP資料!$G:$G, (MATCH(74, 輔助計算!$G$2:$G$801, 0)+1)),"0.##"),IF(IF(INDEX(ERP資料!$G:$G, (MATCH(74, 輔助計算!$G$2:$G$801, 0)+1))&lt;100, IF(INDEX(ERP資料!$G:$G, (MATCH(74, 輔助計算!$G$2:$G$801, 0)+1))&lt;=31,3,IF(INDEX(ERP資料!$G:$G, (MATCH(74, 輔助計算!$G$2:$G$801, 0)+1))&lt;=46.5,2,1)), IF(INDEX(ERP資料!$G:$G, (MATCH(74, 輔助計算!$G$2:$G$801, 0)+1))&lt;=790,3,IF(INDEX(ERP資料!$G:$G, (MATCH(74, 輔助計算!$G$2:$G$801, 0)+1))&lt;=1181,2,1)))=2,TEXT(INDEX(ERP資料!$G:$G, (MATCH(74, 輔助計算!$G$2:$G$801, 0)+1)),"0.##")&amp;"+"&amp;TEXT(INDEX(ERP資料!$G:$G, (MATCH(74, 輔助計算!$G$2:$G$801, 0)+1)),"0.##"),TEXT(INDEX(ERP資料!$G:$G, (MATCH(74, 輔助計算!$G$2:$G$801, 0)+1)),"0.##")&amp;"+"&amp;TEXT(INDEX(ERP資料!$G:$G, (MATCH(74, 輔助計算!$G$2:$G$801, 0)+1)),"0.##")&amp;"+"&amp;TEXT(INDEX(ERP資料!$G:$G, (MATCH(74, 輔助計算!$G$2:$G$801, 0)+1)),"0.##")))&amp;"-"&amp;INT(INDEX(輔助計算!$D:$D, (MATCH(74, 輔助計算!$G$2:$G$801, 0)+1))/IF(INDEX(ERP資料!$G:$G, (MATCH(74, 輔助計算!$G$2:$G$801, 0)+1))&lt;100, IF(INDEX(ERP資料!$G:$G, (MATCH(74, 輔助計算!$G$2:$G$801, 0)+1))&lt;=31,3,IF(INDEX(ERP資料!$G:$G, (MATCH(74, 輔助計算!$G$2:$G$801, 0)+1))&lt;=46.5,2,1)), IF(INDEX(ERP資料!$G:$G, (MATCH(74, 輔助計算!$G$2:$G$801, 0)+1))&lt;=790,3,IF(INDEX(ERP資料!$G:$G, (MATCH(74, 輔助計算!$G$2:$G$801, 0)+1))&lt;=1181,2,1)))), "")&amp;IF(AND(IF(INT(INDEX(輔助計算!$D:$D, (MATCH(74, 輔助計算!$G$2:$G$801, 0)+1))/IF(INDEX(ERP資料!$G:$G, (MATCH(74, 輔助計算!$G$2:$G$801, 0)+1))&lt;100, IF(INDEX(ERP資料!$G:$G, (MATCH(74, 輔助計算!$G$2:$G$801, 0)+1))&lt;=31,3,IF(INDEX(ERP資料!$G:$G, (MATCH(74, 輔助計算!$G$2:$G$801, 0)+1))&lt;=46.5,2,1)), IF(INDEX(ERP資料!$G:$G, (MATCH(74, 輔助計算!$G$2:$G$801, 0)+1))&lt;=790,3,IF(INDEX(ERP資料!$G:$G, (MATCH(74, 輔助計算!$G$2:$G$801, 0)+1))&lt;=1181,2,1))))&gt;0, IF(IF(INDEX(ERP資料!$G:$G, (MATCH(74, 輔助計算!$G$2:$G$801, 0)+1))&lt;100, IF(INDEX(ERP資料!$G:$G, (MATCH(74, 輔助計算!$G$2:$G$801, 0)+1))&lt;=31,3,IF(INDEX(ERP資料!$G:$G, (MATCH(74, 輔助計算!$G$2:$G$801, 0)+1))&lt;=46.5,2,1)), IF(INDEX(ERP資料!$G:$G, (MATCH(74, 輔助計算!$G$2:$G$801, 0)+1))&lt;=790,3,IF(INDEX(ERP資料!$G:$G, (MATCH(74, 輔助計算!$G$2:$G$801, 0)+1))&lt;=1181,2,1)))=1,TEXT(INDEX(ERP資料!$G:$G, (MATCH(74, 輔助計算!$G$2:$G$801, 0)+1)),"0.##"),IF(IF(INDEX(ERP資料!$G:$G, (MATCH(74, 輔助計算!$G$2:$G$801, 0)+1))&lt;100, IF(INDEX(ERP資料!$G:$G, (MATCH(74, 輔助計算!$G$2:$G$801, 0)+1))&lt;=31,3,IF(INDEX(ERP資料!$G:$G, (MATCH(74, 輔助計算!$G$2:$G$801, 0)+1))&lt;=46.5,2,1)), IF(INDEX(ERP資料!$G:$G, (MATCH(74, 輔助計算!$G$2:$G$801, 0)+1))&lt;=790,3,IF(INDEX(ERP資料!$G:$G, (MATCH(74, 輔助計算!$G$2:$G$801, 0)+1))&lt;=1181,2,1)))=2,TEXT(INDEX(ERP資料!$G:$G, (MATCH(74, 輔助計算!$G$2:$G$801, 0)+1)),"0.##")&amp;"+"&amp;TEXT(INDEX(ERP資料!$G:$G, (MATCH(74, 輔助計算!$G$2:$G$801, 0)+1)),"0.##"),TEXT(INDEX(ERP資料!$G:$G, (MATCH(74, 輔助計算!$G$2:$G$801, 0)+1)),"0.##")&amp;"+"&amp;TEXT(INDEX(ERP資料!$G:$G, (MATCH(74, 輔助計算!$G$2:$G$801, 0)+1)),"0.##")&amp;"+"&amp;TEXT(INDEX(ERP資料!$G:$G, (MATCH(74, 輔助計算!$G$2:$G$801, 0)+1)),"0.##")))&amp;"-"&amp;INT(INDEX(輔助計算!$D:$D, (MATCH(74, 輔助計算!$G$2:$G$801, 0)+1))/IF(INDEX(ERP資料!$G:$G, (MATCH(74, 輔助計算!$G$2:$G$801, 0)+1))&lt;100, IF(INDEX(ERP資料!$G:$G, (MATCH(74, 輔助計算!$G$2:$G$801, 0)+1))&lt;=31,3,IF(INDEX(ERP資料!$G:$G, (MATCH(74, 輔助計算!$G$2:$G$801, 0)+1))&lt;=46.5,2,1)), IF(INDEX(ERP資料!$G:$G, (MATCH(74, 輔助計算!$G$2:$G$801, 0)+1))&lt;=790,3,IF(INDEX(ERP資料!$G:$G, (MATCH(74, 輔助計算!$G$2:$G$801, 0)+1))&lt;=1181,2,1)))), "")&lt;&gt;"",IF(MOD(INDEX(輔助計算!$D:$D, (MATCH(74, 輔助計算!$G$2:$G$801, 0)+1)),IF(INDEX(ERP資料!$G:$G, (MATCH(74, 輔助計算!$G$2:$G$801, 0)+1))&lt;100, IF(INDEX(ERP資料!$G:$G, (MATCH(74, 輔助計算!$G$2:$G$801, 0)+1))&lt;=31,3,IF(INDEX(ERP資料!$G:$G, (MATCH(74, 輔助計算!$G$2:$G$801, 0)+1))&lt;=46.5,2,1)), IF(INDEX(ERP資料!$G:$G, (MATCH(74, 輔助計算!$G$2:$G$801, 0)+1))&lt;=790,3,IF(INDEX(ERP資料!$G:$G, (MATCH(74, 輔助計算!$G$2:$G$801, 0)+1))&lt;=1181,2,1))))=0,"",IF(MOD(INDEX(輔助計算!$D:$D, (MATCH(74, 輔助計算!$G$2:$G$801, 0)+1)),IF(INDEX(ERP資料!$G:$G, (MATCH(74, 輔助計算!$G$2:$G$801, 0)+1))&lt;100, IF(INDEX(ERP資料!$G:$G, (MATCH(74, 輔助計算!$G$2:$G$801, 0)+1))&lt;=31,3,IF(INDEX(ERP資料!$G:$G, (MATCH(74, 輔助計算!$G$2:$G$801, 0)+1))&lt;=46.5,2,1)), IF(INDEX(ERP資料!$G:$G, (MATCH(74, 輔助計算!$G$2:$G$801, 0)+1))&lt;=790,3,IF(INDEX(ERP資料!$G:$G, (MATCH(74, 輔助計算!$G$2:$G$801, 0)+1))&lt;=1181,2,1))))=0,"",IF(MOD(INDEX(輔助計算!$D:$D, (MATCH(74, 輔助計算!$G$2:$G$801, 0)+1)),IF(INDEX(ERP資料!$G:$G, (MATCH(74, 輔助計算!$G$2:$G$801, 0)+1))&lt;100, IF(INDEX(ERP資料!$G:$G, (MATCH(74, 輔助計算!$G$2:$G$801, 0)+1))&lt;=31,3,IF(INDEX(ERP資料!$G:$G, (MATCH(74, 輔助計算!$G$2:$G$801, 0)+1))&lt;=46.5,2,1)), IF(INDEX(ERP資料!$G:$G, (MATCH(74, 輔助計算!$G$2:$G$801, 0)+1))&lt;=790,3,IF(INDEX(ERP資料!$G:$G, (MATCH(74, 輔助計算!$G$2:$G$801, 0)+1))&lt;=1181,2,1))))=1,TEXT(INDEX(ERP資料!$G:$G, (MATCH(74, 輔助計算!$G$2:$G$801, 0)+1)),"0.##"),IF(MOD(INDEX(輔助計算!$D:$D, (MATCH(74, 輔助計算!$G$2:$G$801, 0)+1)),IF(INDEX(ERP資料!$G:$G, (MATCH(74, 輔助計算!$G$2:$G$801, 0)+1))&lt;100, IF(INDEX(ERP資料!$G:$G, (MATCH(74, 輔助計算!$G$2:$G$801, 0)+1))&lt;=31,3,IF(INDEX(ERP資料!$G:$G, (MATCH(74, 輔助計算!$G$2:$G$801, 0)+1))&lt;=46.5,2,1)), IF(INDEX(ERP資料!$G:$G, (MATCH(74, 輔助計算!$G$2:$G$801, 0)+1))&lt;=790,3,IF(INDEX(ERP資料!$G:$G, (MATCH(74, 輔助計算!$G$2:$G$801, 0)+1))&lt;=1181,2,1))))=2,TEXT(INDEX(ERP資料!$G:$G, (MATCH(74, 輔助計算!$G$2:$G$801, 0)+1)),"0.##")&amp;"+"&amp;TEXT(INDEX(ERP資料!$G:$G, (MATCH(74, 輔助計算!$G$2:$G$801, 0)+1)),"0.##"),TEXT(INDEX(ERP資料!$G:$G, (MATCH(74, 輔助計算!$G$2:$G$801, 0)+1)),"0.##")&amp;"+"&amp;TEXT(INDEX(ERP資料!$G:$G, (MATCH(74, 輔助計算!$G$2:$G$801, 0)+1)),"0.##")&amp;"+"&amp;TEXT(INDEX(ERP資料!$G:$G, (MATCH(74, 輔助計算!$G$2:$G$801, 0)+1)),"0.##"))))&amp;"-1")&lt;&gt;""),"  ","")&amp;IF(MOD(INDEX(輔助計算!$D:$D, (MATCH(74, 輔助計算!$G$2:$G$801, 0)+1)),IF(INDEX(ERP資料!$G:$G, (MATCH(74, 輔助計算!$G$2:$G$801, 0)+1))&lt;100, IF(INDEX(ERP資料!$G:$G, (MATCH(74, 輔助計算!$G$2:$G$801, 0)+1))&lt;=31,3,IF(INDEX(ERP資料!$G:$G, (MATCH(74, 輔助計算!$G$2:$G$801, 0)+1))&lt;=46.5,2,1)), IF(INDEX(ERP資料!$G:$G, (MATCH(74, 輔助計算!$G$2:$G$801, 0)+1))&lt;=790,3,IF(INDEX(ERP資料!$G:$G, (MATCH(74, 輔助計算!$G$2:$G$801, 0)+1))&lt;=1181,2,1))))=0,"",IF(MOD(INDEX(輔助計算!$D:$D, (MATCH(74, 輔助計算!$G$2:$G$801, 0)+1)),IF(INDEX(ERP資料!$G:$G, (MATCH(74, 輔助計算!$G$2:$G$801, 0)+1))&lt;100, IF(INDEX(ERP資料!$G:$G, (MATCH(74, 輔助計算!$G$2:$G$801, 0)+1))&lt;=31,3,IF(INDEX(ERP資料!$G:$G, (MATCH(74, 輔助計算!$G$2:$G$801, 0)+1))&lt;=46.5,2,1)), IF(INDEX(ERP資料!$G:$G, (MATCH(74, 輔助計算!$G$2:$G$801, 0)+1))&lt;=790,3,IF(INDEX(ERP資料!$G:$G, (MATCH(74, 輔助計算!$G$2:$G$801, 0)+1))&lt;=1181,2,1))))=0,"",IF(MOD(INDEX(輔助計算!$D:$D, (MATCH(74, 輔助計算!$G$2:$G$801, 0)+1)),IF(INDEX(ERP資料!$G:$G, (MATCH(74, 輔助計算!$G$2:$G$801, 0)+1))&lt;100, IF(INDEX(ERP資料!$G:$G, (MATCH(74, 輔助計算!$G$2:$G$801, 0)+1))&lt;=31,3,IF(INDEX(ERP資料!$G:$G, (MATCH(74, 輔助計算!$G$2:$G$801, 0)+1))&lt;=46.5,2,1)), IF(INDEX(ERP資料!$G:$G, (MATCH(74, 輔助計算!$G$2:$G$801, 0)+1))&lt;=790,3,IF(INDEX(ERP資料!$G:$G, (MATCH(74, 輔助計算!$G$2:$G$801, 0)+1))&lt;=1181,2,1))))=1,TEXT(INDEX(ERP資料!$G:$G, (MATCH(74, 輔助計算!$G$2:$G$801, 0)+1)),"0.##"),IF(MOD(INDEX(輔助計算!$D:$D, (MATCH(74, 輔助計算!$G$2:$G$801, 0)+1)),IF(INDEX(ERP資料!$G:$G, (MATCH(74, 輔助計算!$G$2:$G$801, 0)+1))&lt;100, IF(INDEX(ERP資料!$G:$G, (MATCH(74, 輔助計算!$G$2:$G$801, 0)+1))&lt;=31,3,IF(INDEX(ERP資料!$G:$G, (MATCH(74, 輔助計算!$G$2:$G$801, 0)+1))&lt;=46.5,2,1)), IF(INDEX(ERP資料!$G:$G, (MATCH(74, 輔助計算!$G$2:$G$801, 0)+1))&lt;=790,3,IF(INDEX(ERP資料!$G:$G, (MATCH(74, 輔助計算!$G$2:$G$801, 0)+1))&lt;=1181,2,1))))=2,TEXT(INDEX(ERP資料!$G:$G, (MATCH(74, 輔助計算!$G$2:$G$801, 0)+1)),"0.##")&amp;"+"&amp;TEXT(INDEX(ERP資料!$G:$G, (MATCH(74, 輔助計算!$G$2:$G$801, 0)+1)),"0.##"),TEXT(INDEX(ERP資料!$G:$G, (MATCH(74, 輔助計算!$G$2:$G$801, 0)+1)),"0.##")&amp;"+"&amp;TEXT(INDEX(ERP資料!$G:$G, (MATCH(74, 輔助計算!$G$2:$G$801, 0)+1)),"0.##")&amp;"+"&amp;TEXT(INDEX(ERP資料!$G:$G, (MATCH(74, 輔助計算!$G$2:$G$801, 0)+1)),"0.##"))))&amp;"-1")), ""), "")</f>
        <v/>
      </c>
      <c r="K75" s="16" t="n"/>
      <c r="L75" s="14">
        <f>IFERROR(IF(AND(IFERROR(INDEX(ERP資料!$A:$A, (MATCH(74, 輔助計算!$G$2:$G$801, 0)+1)), "")&lt;&gt;"", IFERROR(INDEX(ERP資料!$A:$A, (MATCH(74, 輔助計算!$G$2:$G$801, 0)+1)), "")&lt;&gt;IFERROR(INDEX(ERP資料!$A:$A, MATCH(73, 輔助計算!$G$2:$G$801, 0)+1), "")), INDEX(ERP資料!$B:$B, (MATCH(74, 輔助計算!$G$2:$G$801, 0)+1)), ""), "")</f>
        <v/>
      </c>
      <c r="M75" s="17" t="n"/>
    </row>
    <row r="76">
      <c r="A76" s="10">
        <f>IFERROR(IF(AND(IFERROR(INDEX(ERP資料!$A:$A, (MATCH(75, 輔助計算!$G$2:$G$801, 0)+1)), "")&lt;&gt;"", IFERROR(INDEX(ERP資料!$A:$A, (MATCH(75, 輔助計算!$G$2:$G$801, 0)+1)), "")&lt;&gt;IFERROR(INDEX(ERP資料!$A:$A, MATCH(74, 輔助計算!$G$2:$G$801, 0)+1), "")), IFERROR(INDEX(ERP資料!$A:$A, (MATCH(75, 輔助計算!$G$2:$G$801, 0)+1)), ""), ""), "")</f>
        <v/>
      </c>
      <c r="B76" s="10">
        <f>IFERROR(IF(AND(IFERROR(INDEX(ERP資料!$A:$A, (MATCH(75, 輔助計算!$G$2:$G$801, 0)+1)), "")&lt;&gt;"", IFERROR(INDEX(ERP資料!$A:$A, (MATCH(75, 輔助計算!$G$2:$G$801, 0)+1)), "")&lt;&gt;IFERROR(INDEX(ERP資料!$A:$A, MATCH(74, 輔助計算!$G$2:$G$801, 0)+1), "")), INDEX(ERP資料!$S:$S, (MATCH(75, 輔助計算!$G$2:$G$801, 0)+1)), ""), "")</f>
        <v/>
      </c>
      <c r="C76" s="19">
        <f>IFERROR(IF(AND(IFERROR(INDEX(ERP資料!$A:$A, (MATCH(75, 輔助計算!$G$2:$G$801, 0)+1)), "")&lt;&gt;"", IFERROR(INDEX(ERP資料!$A:$A, (MATCH(75, 輔助計算!$G$2:$G$801, 0)+1)), "")&lt;&gt;IFERROR(INDEX(ERP資料!$A:$A, MATCH(74, 輔助計算!$G$2:$G$801, 0)+1), "")), IFERROR(VLOOKUP(LEFT(INDEX(ERP資料!$S:$S, (MATCH(75, 輔助計算!$G$2:$G$801, 0)+1)), 4), 紙管對照表!$A:$C, 3, FALSE), ""), ""), "")</f>
        <v/>
      </c>
      <c r="D76" s="16" t="n"/>
      <c r="E76" s="10">
        <f>IFERROR(IF(INDEX(ERP資料!$H:$H, (MATCH(75, 輔助計算!$G$2:$G$801, 0)+1))="","",INDEX(ERP資料!$H:$H, (MATCH(75, 輔助計算!$G$2:$G$801, 0)+1))), "")</f>
        <v/>
      </c>
      <c r="F76" s="10">
        <f>IFERROR(IF(INDEX(ERP資料!$E:$E, (MATCH(75, 輔助計算!$G$2:$G$801, 0)+1))="","",TRIM(INDEX(ERP資料!$E:$E, (MATCH(75, 輔助計算!$G$2:$G$801, 0)+1)))), "")</f>
        <v/>
      </c>
      <c r="G76" s="10">
        <f>IFERROR(IF(INDEX(ERP資料!$F:$F, (MATCH(75, 輔助計算!$G$2:$G$801, 0)+1))="","",INDEX(ERP資料!$F:$F, (MATCH(75, 輔助計算!$G$2:$G$801, 0)+1))), "")</f>
        <v/>
      </c>
      <c r="H76" s="10">
        <f>IFERROR(IF(INDEX(ERP資料!$G:$G, (MATCH(75, 輔助計算!$G$2:$G$801, 0)+1))="","",INDEX(ERP資料!$G:$G, (MATCH(75, 輔助計算!$G$2:$G$801, 0)+1))), "")</f>
        <v/>
      </c>
      <c r="I76" s="15">
        <f>IFERROR(INDEX(輔助計算!$D:$D, (MATCH(75, 輔助計算!$G$2:$G$801, 0)+1)), "")</f>
        <v/>
      </c>
      <c r="J76" s="15">
        <f>IFERROR(IF(AND(INDEX(輔助計算!$D:$D, (MATCH(75, 輔助計算!$G$2:$G$801, 0)+1))&lt;&gt;"", INDEX(ERP資料!$G:$G, (MATCH(75, 輔助計算!$G$2:$G$801, 0)+1))&lt;&gt;""), TRIM(IF(INT(INDEX(輔助計算!$D:$D, (MATCH(75, 輔助計算!$G$2:$G$801, 0)+1))/IF(INDEX(ERP資料!$G:$G, (MATCH(75, 輔助計算!$G$2:$G$801, 0)+1))&lt;100, IF(INDEX(ERP資料!$G:$G, (MATCH(75, 輔助計算!$G$2:$G$801, 0)+1))&lt;=31,3,IF(INDEX(ERP資料!$G:$G, (MATCH(75, 輔助計算!$G$2:$G$801, 0)+1))&lt;=46.5,2,1)), IF(INDEX(ERP資料!$G:$G, (MATCH(75, 輔助計算!$G$2:$G$801, 0)+1))&lt;=790,3,IF(INDEX(ERP資料!$G:$G, (MATCH(75, 輔助計算!$G$2:$G$801, 0)+1))&lt;=1181,2,1))))&gt;0, IF(IF(INDEX(ERP資料!$G:$G, (MATCH(75, 輔助計算!$G$2:$G$801, 0)+1))&lt;100, IF(INDEX(ERP資料!$G:$G, (MATCH(75, 輔助計算!$G$2:$G$801, 0)+1))&lt;=31,3,IF(INDEX(ERP資料!$G:$G, (MATCH(75, 輔助計算!$G$2:$G$801, 0)+1))&lt;=46.5,2,1)), IF(INDEX(ERP資料!$G:$G, (MATCH(75, 輔助計算!$G$2:$G$801, 0)+1))&lt;=790,3,IF(INDEX(ERP資料!$G:$G, (MATCH(75, 輔助計算!$G$2:$G$801, 0)+1))&lt;=1181,2,1)))=1,TEXT(INDEX(ERP資料!$G:$G, (MATCH(75, 輔助計算!$G$2:$G$801, 0)+1)),"0.##"),IF(IF(INDEX(ERP資料!$G:$G, (MATCH(75, 輔助計算!$G$2:$G$801, 0)+1))&lt;100, IF(INDEX(ERP資料!$G:$G, (MATCH(75, 輔助計算!$G$2:$G$801, 0)+1))&lt;=31,3,IF(INDEX(ERP資料!$G:$G, (MATCH(75, 輔助計算!$G$2:$G$801, 0)+1))&lt;=46.5,2,1)), IF(INDEX(ERP資料!$G:$G, (MATCH(75, 輔助計算!$G$2:$G$801, 0)+1))&lt;=790,3,IF(INDEX(ERP資料!$G:$G, (MATCH(75, 輔助計算!$G$2:$G$801, 0)+1))&lt;=1181,2,1)))=2,TEXT(INDEX(ERP資料!$G:$G, (MATCH(75, 輔助計算!$G$2:$G$801, 0)+1)),"0.##")&amp;"+"&amp;TEXT(INDEX(ERP資料!$G:$G, (MATCH(75, 輔助計算!$G$2:$G$801, 0)+1)),"0.##"),TEXT(INDEX(ERP資料!$G:$G, (MATCH(75, 輔助計算!$G$2:$G$801, 0)+1)),"0.##")&amp;"+"&amp;TEXT(INDEX(ERP資料!$G:$G, (MATCH(75, 輔助計算!$G$2:$G$801, 0)+1)),"0.##")&amp;"+"&amp;TEXT(INDEX(ERP資料!$G:$G, (MATCH(75, 輔助計算!$G$2:$G$801, 0)+1)),"0.##")))&amp;"-"&amp;INT(INDEX(輔助計算!$D:$D, (MATCH(75, 輔助計算!$G$2:$G$801, 0)+1))/IF(INDEX(ERP資料!$G:$G, (MATCH(75, 輔助計算!$G$2:$G$801, 0)+1))&lt;100, IF(INDEX(ERP資料!$G:$G, (MATCH(75, 輔助計算!$G$2:$G$801, 0)+1))&lt;=31,3,IF(INDEX(ERP資料!$G:$G, (MATCH(75, 輔助計算!$G$2:$G$801, 0)+1))&lt;=46.5,2,1)), IF(INDEX(ERP資料!$G:$G, (MATCH(75, 輔助計算!$G$2:$G$801, 0)+1))&lt;=790,3,IF(INDEX(ERP資料!$G:$G, (MATCH(75, 輔助計算!$G$2:$G$801, 0)+1))&lt;=1181,2,1)))), "")&amp;IF(AND(IF(INT(INDEX(輔助計算!$D:$D, (MATCH(75, 輔助計算!$G$2:$G$801, 0)+1))/IF(INDEX(ERP資料!$G:$G, (MATCH(75, 輔助計算!$G$2:$G$801, 0)+1))&lt;100, IF(INDEX(ERP資料!$G:$G, (MATCH(75, 輔助計算!$G$2:$G$801, 0)+1))&lt;=31,3,IF(INDEX(ERP資料!$G:$G, (MATCH(75, 輔助計算!$G$2:$G$801, 0)+1))&lt;=46.5,2,1)), IF(INDEX(ERP資料!$G:$G, (MATCH(75, 輔助計算!$G$2:$G$801, 0)+1))&lt;=790,3,IF(INDEX(ERP資料!$G:$G, (MATCH(75, 輔助計算!$G$2:$G$801, 0)+1))&lt;=1181,2,1))))&gt;0, IF(IF(INDEX(ERP資料!$G:$G, (MATCH(75, 輔助計算!$G$2:$G$801, 0)+1))&lt;100, IF(INDEX(ERP資料!$G:$G, (MATCH(75, 輔助計算!$G$2:$G$801, 0)+1))&lt;=31,3,IF(INDEX(ERP資料!$G:$G, (MATCH(75, 輔助計算!$G$2:$G$801, 0)+1))&lt;=46.5,2,1)), IF(INDEX(ERP資料!$G:$G, (MATCH(75, 輔助計算!$G$2:$G$801, 0)+1))&lt;=790,3,IF(INDEX(ERP資料!$G:$G, (MATCH(75, 輔助計算!$G$2:$G$801, 0)+1))&lt;=1181,2,1)))=1,TEXT(INDEX(ERP資料!$G:$G, (MATCH(75, 輔助計算!$G$2:$G$801, 0)+1)),"0.##"),IF(IF(INDEX(ERP資料!$G:$G, (MATCH(75, 輔助計算!$G$2:$G$801, 0)+1))&lt;100, IF(INDEX(ERP資料!$G:$G, (MATCH(75, 輔助計算!$G$2:$G$801, 0)+1))&lt;=31,3,IF(INDEX(ERP資料!$G:$G, (MATCH(75, 輔助計算!$G$2:$G$801, 0)+1))&lt;=46.5,2,1)), IF(INDEX(ERP資料!$G:$G, (MATCH(75, 輔助計算!$G$2:$G$801, 0)+1))&lt;=790,3,IF(INDEX(ERP資料!$G:$G, (MATCH(75, 輔助計算!$G$2:$G$801, 0)+1))&lt;=1181,2,1)))=2,TEXT(INDEX(ERP資料!$G:$G, (MATCH(75, 輔助計算!$G$2:$G$801, 0)+1)),"0.##")&amp;"+"&amp;TEXT(INDEX(ERP資料!$G:$G, (MATCH(75, 輔助計算!$G$2:$G$801, 0)+1)),"0.##"),TEXT(INDEX(ERP資料!$G:$G, (MATCH(75, 輔助計算!$G$2:$G$801, 0)+1)),"0.##")&amp;"+"&amp;TEXT(INDEX(ERP資料!$G:$G, (MATCH(75, 輔助計算!$G$2:$G$801, 0)+1)),"0.##")&amp;"+"&amp;TEXT(INDEX(ERP資料!$G:$G, (MATCH(75, 輔助計算!$G$2:$G$801, 0)+1)),"0.##")))&amp;"-"&amp;INT(INDEX(輔助計算!$D:$D, (MATCH(75, 輔助計算!$G$2:$G$801, 0)+1))/IF(INDEX(ERP資料!$G:$G, (MATCH(75, 輔助計算!$G$2:$G$801, 0)+1))&lt;100, IF(INDEX(ERP資料!$G:$G, (MATCH(75, 輔助計算!$G$2:$G$801, 0)+1))&lt;=31,3,IF(INDEX(ERP資料!$G:$G, (MATCH(75, 輔助計算!$G$2:$G$801, 0)+1))&lt;=46.5,2,1)), IF(INDEX(ERP資料!$G:$G, (MATCH(75, 輔助計算!$G$2:$G$801, 0)+1))&lt;=790,3,IF(INDEX(ERP資料!$G:$G, (MATCH(75, 輔助計算!$G$2:$G$801, 0)+1))&lt;=1181,2,1)))), "")&lt;&gt;"",IF(MOD(INDEX(輔助計算!$D:$D, (MATCH(75, 輔助計算!$G$2:$G$801, 0)+1)),IF(INDEX(ERP資料!$G:$G, (MATCH(75, 輔助計算!$G$2:$G$801, 0)+1))&lt;100, IF(INDEX(ERP資料!$G:$G, (MATCH(75, 輔助計算!$G$2:$G$801, 0)+1))&lt;=31,3,IF(INDEX(ERP資料!$G:$G, (MATCH(75, 輔助計算!$G$2:$G$801, 0)+1))&lt;=46.5,2,1)), IF(INDEX(ERP資料!$G:$G, (MATCH(75, 輔助計算!$G$2:$G$801, 0)+1))&lt;=790,3,IF(INDEX(ERP資料!$G:$G, (MATCH(75, 輔助計算!$G$2:$G$801, 0)+1))&lt;=1181,2,1))))=0,"",IF(MOD(INDEX(輔助計算!$D:$D, (MATCH(75, 輔助計算!$G$2:$G$801, 0)+1)),IF(INDEX(ERP資料!$G:$G, (MATCH(75, 輔助計算!$G$2:$G$801, 0)+1))&lt;100, IF(INDEX(ERP資料!$G:$G, (MATCH(75, 輔助計算!$G$2:$G$801, 0)+1))&lt;=31,3,IF(INDEX(ERP資料!$G:$G, (MATCH(75, 輔助計算!$G$2:$G$801, 0)+1))&lt;=46.5,2,1)), IF(INDEX(ERP資料!$G:$G, (MATCH(75, 輔助計算!$G$2:$G$801, 0)+1))&lt;=790,3,IF(INDEX(ERP資料!$G:$G, (MATCH(75, 輔助計算!$G$2:$G$801, 0)+1))&lt;=1181,2,1))))=0,"",IF(MOD(INDEX(輔助計算!$D:$D, (MATCH(75, 輔助計算!$G$2:$G$801, 0)+1)),IF(INDEX(ERP資料!$G:$G, (MATCH(75, 輔助計算!$G$2:$G$801, 0)+1))&lt;100, IF(INDEX(ERP資料!$G:$G, (MATCH(75, 輔助計算!$G$2:$G$801, 0)+1))&lt;=31,3,IF(INDEX(ERP資料!$G:$G, (MATCH(75, 輔助計算!$G$2:$G$801, 0)+1))&lt;=46.5,2,1)), IF(INDEX(ERP資料!$G:$G, (MATCH(75, 輔助計算!$G$2:$G$801, 0)+1))&lt;=790,3,IF(INDEX(ERP資料!$G:$G, (MATCH(75, 輔助計算!$G$2:$G$801, 0)+1))&lt;=1181,2,1))))=1,TEXT(INDEX(ERP資料!$G:$G, (MATCH(75, 輔助計算!$G$2:$G$801, 0)+1)),"0.##"),IF(MOD(INDEX(輔助計算!$D:$D, (MATCH(75, 輔助計算!$G$2:$G$801, 0)+1)),IF(INDEX(ERP資料!$G:$G, (MATCH(75, 輔助計算!$G$2:$G$801, 0)+1))&lt;100, IF(INDEX(ERP資料!$G:$G, (MATCH(75, 輔助計算!$G$2:$G$801, 0)+1))&lt;=31,3,IF(INDEX(ERP資料!$G:$G, (MATCH(75, 輔助計算!$G$2:$G$801, 0)+1))&lt;=46.5,2,1)), IF(INDEX(ERP資料!$G:$G, (MATCH(75, 輔助計算!$G$2:$G$801, 0)+1))&lt;=790,3,IF(INDEX(ERP資料!$G:$G, (MATCH(75, 輔助計算!$G$2:$G$801, 0)+1))&lt;=1181,2,1))))=2,TEXT(INDEX(ERP資料!$G:$G, (MATCH(75, 輔助計算!$G$2:$G$801, 0)+1)),"0.##")&amp;"+"&amp;TEXT(INDEX(ERP資料!$G:$G, (MATCH(75, 輔助計算!$G$2:$G$801, 0)+1)),"0.##"),TEXT(INDEX(ERP資料!$G:$G, (MATCH(75, 輔助計算!$G$2:$G$801, 0)+1)),"0.##")&amp;"+"&amp;TEXT(INDEX(ERP資料!$G:$G, (MATCH(75, 輔助計算!$G$2:$G$801, 0)+1)),"0.##")&amp;"+"&amp;TEXT(INDEX(ERP資料!$G:$G, (MATCH(75, 輔助計算!$G$2:$G$801, 0)+1)),"0.##"))))&amp;"-1")&lt;&gt;""),"  ","")&amp;IF(MOD(INDEX(輔助計算!$D:$D, (MATCH(75, 輔助計算!$G$2:$G$801, 0)+1)),IF(INDEX(ERP資料!$G:$G, (MATCH(75, 輔助計算!$G$2:$G$801, 0)+1))&lt;100, IF(INDEX(ERP資料!$G:$G, (MATCH(75, 輔助計算!$G$2:$G$801, 0)+1))&lt;=31,3,IF(INDEX(ERP資料!$G:$G, (MATCH(75, 輔助計算!$G$2:$G$801, 0)+1))&lt;=46.5,2,1)), IF(INDEX(ERP資料!$G:$G, (MATCH(75, 輔助計算!$G$2:$G$801, 0)+1))&lt;=790,3,IF(INDEX(ERP資料!$G:$G, (MATCH(75, 輔助計算!$G$2:$G$801, 0)+1))&lt;=1181,2,1))))=0,"",IF(MOD(INDEX(輔助計算!$D:$D, (MATCH(75, 輔助計算!$G$2:$G$801, 0)+1)),IF(INDEX(ERP資料!$G:$G, (MATCH(75, 輔助計算!$G$2:$G$801, 0)+1))&lt;100, IF(INDEX(ERP資料!$G:$G, (MATCH(75, 輔助計算!$G$2:$G$801, 0)+1))&lt;=31,3,IF(INDEX(ERP資料!$G:$G, (MATCH(75, 輔助計算!$G$2:$G$801, 0)+1))&lt;=46.5,2,1)), IF(INDEX(ERP資料!$G:$G, (MATCH(75, 輔助計算!$G$2:$G$801, 0)+1))&lt;=790,3,IF(INDEX(ERP資料!$G:$G, (MATCH(75, 輔助計算!$G$2:$G$801, 0)+1))&lt;=1181,2,1))))=0,"",IF(MOD(INDEX(輔助計算!$D:$D, (MATCH(75, 輔助計算!$G$2:$G$801, 0)+1)),IF(INDEX(ERP資料!$G:$G, (MATCH(75, 輔助計算!$G$2:$G$801, 0)+1))&lt;100, IF(INDEX(ERP資料!$G:$G, (MATCH(75, 輔助計算!$G$2:$G$801, 0)+1))&lt;=31,3,IF(INDEX(ERP資料!$G:$G, (MATCH(75, 輔助計算!$G$2:$G$801, 0)+1))&lt;=46.5,2,1)), IF(INDEX(ERP資料!$G:$G, (MATCH(75, 輔助計算!$G$2:$G$801, 0)+1))&lt;=790,3,IF(INDEX(ERP資料!$G:$G, (MATCH(75, 輔助計算!$G$2:$G$801, 0)+1))&lt;=1181,2,1))))=1,TEXT(INDEX(ERP資料!$G:$G, (MATCH(75, 輔助計算!$G$2:$G$801, 0)+1)),"0.##"),IF(MOD(INDEX(輔助計算!$D:$D, (MATCH(75, 輔助計算!$G$2:$G$801, 0)+1)),IF(INDEX(ERP資料!$G:$G, (MATCH(75, 輔助計算!$G$2:$G$801, 0)+1))&lt;100, IF(INDEX(ERP資料!$G:$G, (MATCH(75, 輔助計算!$G$2:$G$801, 0)+1))&lt;=31,3,IF(INDEX(ERP資料!$G:$G, (MATCH(75, 輔助計算!$G$2:$G$801, 0)+1))&lt;=46.5,2,1)), IF(INDEX(ERP資料!$G:$G, (MATCH(75, 輔助計算!$G$2:$G$801, 0)+1))&lt;=790,3,IF(INDEX(ERP資料!$G:$G, (MATCH(75, 輔助計算!$G$2:$G$801, 0)+1))&lt;=1181,2,1))))=2,TEXT(INDEX(ERP資料!$G:$G, (MATCH(75, 輔助計算!$G$2:$G$801, 0)+1)),"0.##")&amp;"+"&amp;TEXT(INDEX(ERP資料!$G:$G, (MATCH(75, 輔助計算!$G$2:$G$801, 0)+1)),"0.##"),TEXT(INDEX(ERP資料!$G:$G, (MATCH(75, 輔助計算!$G$2:$G$801, 0)+1)),"0.##")&amp;"+"&amp;TEXT(INDEX(ERP資料!$G:$G, (MATCH(75, 輔助計算!$G$2:$G$801, 0)+1)),"0.##")&amp;"+"&amp;TEXT(INDEX(ERP資料!$G:$G, (MATCH(75, 輔助計算!$G$2:$G$801, 0)+1)),"0.##"))))&amp;"-1")), ""), "")</f>
        <v/>
      </c>
      <c r="K76" s="16" t="n"/>
      <c r="L76" s="14">
        <f>IFERROR(IF(AND(IFERROR(INDEX(ERP資料!$A:$A, (MATCH(75, 輔助計算!$G$2:$G$801, 0)+1)), "")&lt;&gt;"", IFERROR(INDEX(ERP資料!$A:$A, (MATCH(75, 輔助計算!$G$2:$G$801, 0)+1)), "")&lt;&gt;IFERROR(INDEX(ERP資料!$A:$A, MATCH(74, 輔助計算!$G$2:$G$801, 0)+1), "")), INDEX(ERP資料!$B:$B, (MATCH(75, 輔助計算!$G$2:$G$801, 0)+1)), ""), "")</f>
        <v/>
      </c>
      <c r="M76" s="17" t="n"/>
    </row>
    <row r="77">
      <c r="A77" s="10">
        <f>IFERROR(IF(AND(IFERROR(INDEX(ERP資料!$A:$A, (MATCH(76, 輔助計算!$G$2:$G$801, 0)+1)), "")&lt;&gt;"", IFERROR(INDEX(ERP資料!$A:$A, (MATCH(76, 輔助計算!$G$2:$G$801, 0)+1)), "")&lt;&gt;IFERROR(INDEX(ERP資料!$A:$A, MATCH(75, 輔助計算!$G$2:$G$801, 0)+1), "")), IFERROR(INDEX(ERP資料!$A:$A, (MATCH(76, 輔助計算!$G$2:$G$801, 0)+1)), ""), ""), "")</f>
        <v/>
      </c>
      <c r="B77" s="10">
        <f>IFERROR(IF(AND(IFERROR(INDEX(ERP資料!$A:$A, (MATCH(76, 輔助計算!$G$2:$G$801, 0)+1)), "")&lt;&gt;"", IFERROR(INDEX(ERP資料!$A:$A, (MATCH(76, 輔助計算!$G$2:$G$801, 0)+1)), "")&lt;&gt;IFERROR(INDEX(ERP資料!$A:$A, MATCH(75, 輔助計算!$G$2:$G$801, 0)+1), "")), INDEX(ERP資料!$S:$S, (MATCH(76, 輔助計算!$G$2:$G$801, 0)+1)), ""), "")</f>
        <v/>
      </c>
      <c r="C77" s="19">
        <f>IFERROR(IF(AND(IFERROR(INDEX(ERP資料!$A:$A, (MATCH(76, 輔助計算!$G$2:$G$801, 0)+1)), "")&lt;&gt;"", IFERROR(INDEX(ERP資料!$A:$A, (MATCH(76, 輔助計算!$G$2:$G$801, 0)+1)), "")&lt;&gt;IFERROR(INDEX(ERP資料!$A:$A, MATCH(75, 輔助計算!$G$2:$G$801, 0)+1), "")), IFERROR(VLOOKUP(LEFT(INDEX(ERP資料!$S:$S, (MATCH(76, 輔助計算!$G$2:$G$801, 0)+1)), 4), 紙管對照表!$A:$C, 3, FALSE), ""), ""), "")</f>
        <v/>
      </c>
      <c r="D77" s="16" t="n"/>
      <c r="E77" s="10">
        <f>IFERROR(IF(INDEX(ERP資料!$H:$H, (MATCH(76, 輔助計算!$G$2:$G$801, 0)+1))="","",INDEX(ERP資料!$H:$H, (MATCH(76, 輔助計算!$G$2:$G$801, 0)+1))), "")</f>
        <v/>
      </c>
      <c r="F77" s="10">
        <f>IFERROR(IF(INDEX(ERP資料!$E:$E, (MATCH(76, 輔助計算!$G$2:$G$801, 0)+1))="","",TRIM(INDEX(ERP資料!$E:$E, (MATCH(76, 輔助計算!$G$2:$G$801, 0)+1)))), "")</f>
        <v/>
      </c>
      <c r="G77" s="10">
        <f>IFERROR(IF(INDEX(ERP資料!$F:$F, (MATCH(76, 輔助計算!$G$2:$G$801, 0)+1))="","",INDEX(ERP資料!$F:$F, (MATCH(76, 輔助計算!$G$2:$G$801, 0)+1))), "")</f>
        <v/>
      </c>
      <c r="H77" s="10">
        <f>IFERROR(IF(INDEX(ERP資料!$G:$G, (MATCH(76, 輔助計算!$G$2:$G$801, 0)+1))="","",INDEX(ERP資料!$G:$G, (MATCH(76, 輔助計算!$G$2:$G$801, 0)+1))), "")</f>
        <v/>
      </c>
      <c r="I77" s="15">
        <f>IFERROR(INDEX(輔助計算!$D:$D, (MATCH(76, 輔助計算!$G$2:$G$801, 0)+1)), "")</f>
        <v/>
      </c>
      <c r="J77" s="15">
        <f>IFERROR(IF(AND(INDEX(輔助計算!$D:$D, (MATCH(76, 輔助計算!$G$2:$G$801, 0)+1))&lt;&gt;"", INDEX(ERP資料!$G:$G, (MATCH(76, 輔助計算!$G$2:$G$801, 0)+1))&lt;&gt;""), TRIM(IF(INT(INDEX(輔助計算!$D:$D, (MATCH(76, 輔助計算!$G$2:$G$801, 0)+1))/IF(INDEX(ERP資料!$G:$G, (MATCH(76, 輔助計算!$G$2:$G$801, 0)+1))&lt;100, IF(INDEX(ERP資料!$G:$G, (MATCH(76, 輔助計算!$G$2:$G$801, 0)+1))&lt;=31,3,IF(INDEX(ERP資料!$G:$G, (MATCH(76, 輔助計算!$G$2:$G$801, 0)+1))&lt;=46.5,2,1)), IF(INDEX(ERP資料!$G:$G, (MATCH(76, 輔助計算!$G$2:$G$801, 0)+1))&lt;=790,3,IF(INDEX(ERP資料!$G:$G, (MATCH(76, 輔助計算!$G$2:$G$801, 0)+1))&lt;=1181,2,1))))&gt;0, IF(IF(INDEX(ERP資料!$G:$G, (MATCH(76, 輔助計算!$G$2:$G$801, 0)+1))&lt;100, IF(INDEX(ERP資料!$G:$G, (MATCH(76, 輔助計算!$G$2:$G$801, 0)+1))&lt;=31,3,IF(INDEX(ERP資料!$G:$G, (MATCH(76, 輔助計算!$G$2:$G$801, 0)+1))&lt;=46.5,2,1)), IF(INDEX(ERP資料!$G:$G, (MATCH(76, 輔助計算!$G$2:$G$801, 0)+1))&lt;=790,3,IF(INDEX(ERP資料!$G:$G, (MATCH(76, 輔助計算!$G$2:$G$801, 0)+1))&lt;=1181,2,1)))=1,TEXT(INDEX(ERP資料!$G:$G, (MATCH(76, 輔助計算!$G$2:$G$801, 0)+1)),"0.##"),IF(IF(INDEX(ERP資料!$G:$G, (MATCH(76, 輔助計算!$G$2:$G$801, 0)+1))&lt;100, IF(INDEX(ERP資料!$G:$G, (MATCH(76, 輔助計算!$G$2:$G$801, 0)+1))&lt;=31,3,IF(INDEX(ERP資料!$G:$G, (MATCH(76, 輔助計算!$G$2:$G$801, 0)+1))&lt;=46.5,2,1)), IF(INDEX(ERP資料!$G:$G, (MATCH(76, 輔助計算!$G$2:$G$801, 0)+1))&lt;=790,3,IF(INDEX(ERP資料!$G:$G, (MATCH(76, 輔助計算!$G$2:$G$801, 0)+1))&lt;=1181,2,1)))=2,TEXT(INDEX(ERP資料!$G:$G, (MATCH(76, 輔助計算!$G$2:$G$801, 0)+1)),"0.##")&amp;"+"&amp;TEXT(INDEX(ERP資料!$G:$G, (MATCH(76, 輔助計算!$G$2:$G$801, 0)+1)),"0.##"),TEXT(INDEX(ERP資料!$G:$G, (MATCH(76, 輔助計算!$G$2:$G$801, 0)+1)),"0.##")&amp;"+"&amp;TEXT(INDEX(ERP資料!$G:$G, (MATCH(76, 輔助計算!$G$2:$G$801, 0)+1)),"0.##")&amp;"+"&amp;TEXT(INDEX(ERP資料!$G:$G, (MATCH(76, 輔助計算!$G$2:$G$801, 0)+1)),"0.##")))&amp;"-"&amp;INT(INDEX(輔助計算!$D:$D, (MATCH(76, 輔助計算!$G$2:$G$801, 0)+1))/IF(INDEX(ERP資料!$G:$G, (MATCH(76, 輔助計算!$G$2:$G$801, 0)+1))&lt;100, IF(INDEX(ERP資料!$G:$G, (MATCH(76, 輔助計算!$G$2:$G$801, 0)+1))&lt;=31,3,IF(INDEX(ERP資料!$G:$G, (MATCH(76, 輔助計算!$G$2:$G$801, 0)+1))&lt;=46.5,2,1)), IF(INDEX(ERP資料!$G:$G, (MATCH(76, 輔助計算!$G$2:$G$801, 0)+1))&lt;=790,3,IF(INDEX(ERP資料!$G:$G, (MATCH(76, 輔助計算!$G$2:$G$801, 0)+1))&lt;=1181,2,1)))), "")&amp;IF(AND(IF(INT(INDEX(輔助計算!$D:$D, (MATCH(76, 輔助計算!$G$2:$G$801, 0)+1))/IF(INDEX(ERP資料!$G:$G, (MATCH(76, 輔助計算!$G$2:$G$801, 0)+1))&lt;100, IF(INDEX(ERP資料!$G:$G, (MATCH(76, 輔助計算!$G$2:$G$801, 0)+1))&lt;=31,3,IF(INDEX(ERP資料!$G:$G, (MATCH(76, 輔助計算!$G$2:$G$801, 0)+1))&lt;=46.5,2,1)), IF(INDEX(ERP資料!$G:$G, (MATCH(76, 輔助計算!$G$2:$G$801, 0)+1))&lt;=790,3,IF(INDEX(ERP資料!$G:$G, (MATCH(76, 輔助計算!$G$2:$G$801, 0)+1))&lt;=1181,2,1))))&gt;0, IF(IF(INDEX(ERP資料!$G:$G, (MATCH(76, 輔助計算!$G$2:$G$801, 0)+1))&lt;100, IF(INDEX(ERP資料!$G:$G, (MATCH(76, 輔助計算!$G$2:$G$801, 0)+1))&lt;=31,3,IF(INDEX(ERP資料!$G:$G, (MATCH(76, 輔助計算!$G$2:$G$801, 0)+1))&lt;=46.5,2,1)), IF(INDEX(ERP資料!$G:$G, (MATCH(76, 輔助計算!$G$2:$G$801, 0)+1))&lt;=790,3,IF(INDEX(ERP資料!$G:$G, (MATCH(76, 輔助計算!$G$2:$G$801, 0)+1))&lt;=1181,2,1)))=1,TEXT(INDEX(ERP資料!$G:$G, (MATCH(76, 輔助計算!$G$2:$G$801, 0)+1)),"0.##"),IF(IF(INDEX(ERP資料!$G:$G, (MATCH(76, 輔助計算!$G$2:$G$801, 0)+1))&lt;100, IF(INDEX(ERP資料!$G:$G, (MATCH(76, 輔助計算!$G$2:$G$801, 0)+1))&lt;=31,3,IF(INDEX(ERP資料!$G:$G, (MATCH(76, 輔助計算!$G$2:$G$801, 0)+1))&lt;=46.5,2,1)), IF(INDEX(ERP資料!$G:$G, (MATCH(76, 輔助計算!$G$2:$G$801, 0)+1))&lt;=790,3,IF(INDEX(ERP資料!$G:$G, (MATCH(76, 輔助計算!$G$2:$G$801, 0)+1))&lt;=1181,2,1)))=2,TEXT(INDEX(ERP資料!$G:$G, (MATCH(76, 輔助計算!$G$2:$G$801, 0)+1)),"0.##")&amp;"+"&amp;TEXT(INDEX(ERP資料!$G:$G, (MATCH(76, 輔助計算!$G$2:$G$801, 0)+1)),"0.##"),TEXT(INDEX(ERP資料!$G:$G, (MATCH(76, 輔助計算!$G$2:$G$801, 0)+1)),"0.##")&amp;"+"&amp;TEXT(INDEX(ERP資料!$G:$G, (MATCH(76, 輔助計算!$G$2:$G$801, 0)+1)),"0.##")&amp;"+"&amp;TEXT(INDEX(ERP資料!$G:$G, (MATCH(76, 輔助計算!$G$2:$G$801, 0)+1)),"0.##")))&amp;"-"&amp;INT(INDEX(輔助計算!$D:$D, (MATCH(76, 輔助計算!$G$2:$G$801, 0)+1))/IF(INDEX(ERP資料!$G:$G, (MATCH(76, 輔助計算!$G$2:$G$801, 0)+1))&lt;100, IF(INDEX(ERP資料!$G:$G, (MATCH(76, 輔助計算!$G$2:$G$801, 0)+1))&lt;=31,3,IF(INDEX(ERP資料!$G:$G, (MATCH(76, 輔助計算!$G$2:$G$801, 0)+1))&lt;=46.5,2,1)), IF(INDEX(ERP資料!$G:$G, (MATCH(76, 輔助計算!$G$2:$G$801, 0)+1))&lt;=790,3,IF(INDEX(ERP資料!$G:$G, (MATCH(76, 輔助計算!$G$2:$G$801, 0)+1))&lt;=1181,2,1)))), "")&lt;&gt;"",IF(MOD(INDEX(輔助計算!$D:$D, (MATCH(76, 輔助計算!$G$2:$G$801, 0)+1)),IF(INDEX(ERP資料!$G:$G, (MATCH(76, 輔助計算!$G$2:$G$801, 0)+1))&lt;100, IF(INDEX(ERP資料!$G:$G, (MATCH(76, 輔助計算!$G$2:$G$801, 0)+1))&lt;=31,3,IF(INDEX(ERP資料!$G:$G, (MATCH(76, 輔助計算!$G$2:$G$801, 0)+1))&lt;=46.5,2,1)), IF(INDEX(ERP資料!$G:$G, (MATCH(76, 輔助計算!$G$2:$G$801, 0)+1))&lt;=790,3,IF(INDEX(ERP資料!$G:$G, (MATCH(76, 輔助計算!$G$2:$G$801, 0)+1))&lt;=1181,2,1))))=0,"",IF(MOD(INDEX(輔助計算!$D:$D, (MATCH(76, 輔助計算!$G$2:$G$801, 0)+1)),IF(INDEX(ERP資料!$G:$G, (MATCH(76, 輔助計算!$G$2:$G$801, 0)+1))&lt;100, IF(INDEX(ERP資料!$G:$G, (MATCH(76, 輔助計算!$G$2:$G$801, 0)+1))&lt;=31,3,IF(INDEX(ERP資料!$G:$G, (MATCH(76, 輔助計算!$G$2:$G$801, 0)+1))&lt;=46.5,2,1)), IF(INDEX(ERP資料!$G:$G, (MATCH(76, 輔助計算!$G$2:$G$801, 0)+1))&lt;=790,3,IF(INDEX(ERP資料!$G:$G, (MATCH(76, 輔助計算!$G$2:$G$801, 0)+1))&lt;=1181,2,1))))=0,"",IF(MOD(INDEX(輔助計算!$D:$D, (MATCH(76, 輔助計算!$G$2:$G$801, 0)+1)),IF(INDEX(ERP資料!$G:$G, (MATCH(76, 輔助計算!$G$2:$G$801, 0)+1))&lt;100, IF(INDEX(ERP資料!$G:$G, (MATCH(76, 輔助計算!$G$2:$G$801, 0)+1))&lt;=31,3,IF(INDEX(ERP資料!$G:$G, (MATCH(76, 輔助計算!$G$2:$G$801, 0)+1))&lt;=46.5,2,1)), IF(INDEX(ERP資料!$G:$G, (MATCH(76, 輔助計算!$G$2:$G$801, 0)+1))&lt;=790,3,IF(INDEX(ERP資料!$G:$G, (MATCH(76, 輔助計算!$G$2:$G$801, 0)+1))&lt;=1181,2,1))))=1,TEXT(INDEX(ERP資料!$G:$G, (MATCH(76, 輔助計算!$G$2:$G$801, 0)+1)),"0.##"),IF(MOD(INDEX(輔助計算!$D:$D, (MATCH(76, 輔助計算!$G$2:$G$801, 0)+1)),IF(INDEX(ERP資料!$G:$G, (MATCH(76, 輔助計算!$G$2:$G$801, 0)+1))&lt;100, IF(INDEX(ERP資料!$G:$G, (MATCH(76, 輔助計算!$G$2:$G$801, 0)+1))&lt;=31,3,IF(INDEX(ERP資料!$G:$G, (MATCH(76, 輔助計算!$G$2:$G$801, 0)+1))&lt;=46.5,2,1)), IF(INDEX(ERP資料!$G:$G, (MATCH(76, 輔助計算!$G$2:$G$801, 0)+1))&lt;=790,3,IF(INDEX(ERP資料!$G:$G, (MATCH(76, 輔助計算!$G$2:$G$801, 0)+1))&lt;=1181,2,1))))=2,TEXT(INDEX(ERP資料!$G:$G, (MATCH(76, 輔助計算!$G$2:$G$801, 0)+1)),"0.##")&amp;"+"&amp;TEXT(INDEX(ERP資料!$G:$G, (MATCH(76, 輔助計算!$G$2:$G$801, 0)+1)),"0.##"),TEXT(INDEX(ERP資料!$G:$G, (MATCH(76, 輔助計算!$G$2:$G$801, 0)+1)),"0.##")&amp;"+"&amp;TEXT(INDEX(ERP資料!$G:$G, (MATCH(76, 輔助計算!$G$2:$G$801, 0)+1)),"0.##")&amp;"+"&amp;TEXT(INDEX(ERP資料!$G:$G, (MATCH(76, 輔助計算!$G$2:$G$801, 0)+1)),"0.##"))))&amp;"-1")&lt;&gt;""),"  ","")&amp;IF(MOD(INDEX(輔助計算!$D:$D, (MATCH(76, 輔助計算!$G$2:$G$801, 0)+1)),IF(INDEX(ERP資料!$G:$G, (MATCH(76, 輔助計算!$G$2:$G$801, 0)+1))&lt;100, IF(INDEX(ERP資料!$G:$G, (MATCH(76, 輔助計算!$G$2:$G$801, 0)+1))&lt;=31,3,IF(INDEX(ERP資料!$G:$G, (MATCH(76, 輔助計算!$G$2:$G$801, 0)+1))&lt;=46.5,2,1)), IF(INDEX(ERP資料!$G:$G, (MATCH(76, 輔助計算!$G$2:$G$801, 0)+1))&lt;=790,3,IF(INDEX(ERP資料!$G:$G, (MATCH(76, 輔助計算!$G$2:$G$801, 0)+1))&lt;=1181,2,1))))=0,"",IF(MOD(INDEX(輔助計算!$D:$D, (MATCH(76, 輔助計算!$G$2:$G$801, 0)+1)),IF(INDEX(ERP資料!$G:$G, (MATCH(76, 輔助計算!$G$2:$G$801, 0)+1))&lt;100, IF(INDEX(ERP資料!$G:$G, (MATCH(76, 輔助計算!$G$2:$G$801, 0)+1))&lt;=31,3,IF(INDEX(ERP資料!$G:$G, (MATCH(76, 輔助計算!$G$2:$G$801, 0)+1))&lt;=46.5,2,1)), IF(INDEX(ERP資料!$G:$G, (MATCH(76, 輔助計算!$G$2:$G$801, 0)+1))&lt;=790,3,IF(INDEX(ERP資料!$G:$G, (MATCH(76, 輔助計算!$G$2:$G$801, 0)+1))&lt;=1181,2,1))))=0,"",IF(MOD(INDEX(輔助計算!$D:$D, (MATCH(76, 輔助計算!$G$2:$G$801, 0)+1)),IF(INDEX(ERP資料!$G:$G, (MATCH(76, 輔助計算!$G$2:$G$801, 0)+1))&lt;100, IF(INDEX(ERP資料!$G:$G, (MATCH(76, 輔助計算!$G$2:$G$801, 0)+1))&lt;=31,3,IF(INDEX(ERP資料!$G:$G, (MATCH(76, 輔助計算!$G$2:$G$801, 0)+1))&lt;=46.5,2,1)), IF(INDEX(ERP資料!$G:$G, (MATCH(76, 輔助計算!$G$2:$G$801, 0)+1))&lt;=790,3,IF(INDEX(ERP資料!$G:$G, (MATCH(76, 輔助計算!$G$2:$G$801, 0)+1))&lt;=1181,2,1))))=1,TEXT(INDEX(ERP資料!$G:$G, (MATCH(76, 輔助計算!$G$2:$G$801, 0)+1)),"0.##"),IF(MOD(INDEX(輔助計算!$D:$D, (MATCH(76, 輔助計算!$G$2:$G$801, 0)+1)),IF(INDEX(ERP資料!$G:$G, (MATCH(76, 輔助計算!$G$2:$G$801, 0)+1))&lt;100, IF(INDEX(ERP資料!$G:$G, (MATCH(76, 輔助計算!$G$2:$G$801, 0)+1))&lt;=31,3,IF(INDEX(ERP資料!$G:$G, (MATCH(76, 輔助計算!$G$2:$G$801, 0)+1))&lt;=46.5,2,1)), IF(INDEX(ERP資料!$G:$G, (MATCH(76, 輔助計算!$G$2:$G$801, 0)+1))&lt;=790,3,IF(INDEX(ERP資料!$G:$G, (MATCH(76, 輔助計算!$G$2:$G$801, 0)+1))&lt;=1181,2,1))))=2,TEXT(INDEX(ERP資料!$G:$G, (MATCH(76, 輔助計算!$G$2:$G$801, 0)+1)),"0.##")&amp;"+"&amp;TEXT(INDEX(ERP資料!$G:$G, (MATCH(76, 輔助計算!$G$2:$G$801, 0)+1)),"0.##"),TEXT(INDEX(ERP資料!$G:$G, (MATCH(76, 輔助計算!$G$2:$G$801, 0)+1)),"0.##")&amp;"+"&amp;TEXT(INDEX(ERP資料!$G:$G, (MATCH(76, 輔助計算!$G$2:$G$801, 0)+1)),"0.##")&amp;"+"&amp;TEXT(INDEX(ERP資料!$G:$G, (MATCH(76, 輔助計算!$G$2:$G$801, 0)+1)),"0.##"))))&amp;"-1")), ""), "")</f>
        <v/>
      </c>
      <c r="K77" s="16" t="n"/>
      <c r="L77" s="14">
        <f>IFERROR(IF(AND(IFERROR(INDEX(ERP資料!$A:$A, (MATCH(76, 輔助計算!$G$2:$G$801, 0)+1)), "")&lt;&gt;"", IFERROR(INDEX(ERP資料!$A:$A, (MATCH(76, 輔助計算!$G$2:$G$801, 0)+1)), "")&lt;&gt;IFERROR(INDEX(ERP資料!$A:$A, MATCH(75, 輔助計算!$G$2:$G$801, 0)+1), "")), INDEX(ERP資料!$B:$B, (MATCH(76, 輔助計算!$G$2:$G$801, 0)+1)), ""), "")</f>
        <v/>
      </c>
      <c r="M77" s="17" t="n"/>
    </row>
    <row r="78">
      <c r="A78" s="10">
        <f>IFERROR(IF(AND(IFERROR(INDEX(ERP資料!$A:$A, (MATCH(77, 輔助計算!$G$2:$G$801, 0)+1)), "")&lt;&gt;"", IFERROR(INDEX(ERP資料!$A:$A, (MATCH(77, 輔助計算!$G$2:$G$801, 0)+1)), "")&lt;&gt;IFERROR(INDEX(ERP資料!$A:$A, MATCH(76, 輔助計算!$G$2:$G$801, 0)+1), "")), IFERROR(INDEX(ERP資料!$A:$A, (MATCH(77, 輔助計算!$G$2:$G$801, 0)+1)), ""), ""), "")</f>
        <v/>
      </c>
      <c r="B78" s="10">
        <f>IFERROR(IF(AND(IFERROR(INDEX(ERP資料!$A:$A, (MATCH(77, 輔助計算!$G$2:$G$801, 0)+1)), "")&lt;&gt;"", IFERROR(INDEX(ERP資料!$A:$A, (MATCH(77, 輔助計算!$G$2:$G$801, 0)+1)), "")&lt;&gt;IFERROR(INDEX(ERP資料!$A:$A, MATCH(76, 輔助計算!$G$2:$G$801, 0)+1), "")), INDEX(ERP資料!$S:$S, (MATCH(77, 輔助計算!$G$2:$G$801, 0)+1)), ""), "")</f>
        <v/>
      </c>
      <c r="C78" s="19">
        <f>IFERROR(IF(AND(IFERROR(INDEX(ERP資料!$A:$A, (MATCH(77, 輔助計算!$G$2:$G$801, 0)+1)), "")&lt;&gt;"", IFERROR(INDEX(ERP資料!$A:$A, (MATCH(77, 輔助計算!$G$2:$G$801, 0)+1)), "")&lt;&gt;IFERROR(INDEX(ERP資料!$A:$A, MATCH(76, 輔助計算!$G$2:$G$801, 0)+1), "")), IFERROR(VLOOKUP(LEFT(INDEX(ERP資料!$S:$S, (MATCH(77, 輔助計算!$G$2:$G$801, 0)+1)), 4), 紙管對照表!$A:$C, 3, FALSE), ""), ""), "")</f>
        <v/>
      </c>
      <c r="D78" s="16" t="n"/>
      <c r="E78" s="10">
        <f>IFERROR(IF(INDEX(ERP資料!$H:$H, (MATCH(77, 輔助計算!$G$2:$G$801, 0)+1))="","",INDEX(ERP資料!$H:$H, (MATCH(77, 輔助計算!$G$2:$G$801, 0)+1))), "")</f>
        <v/>
      </c>
      <c r="F78" s="10">
        <f>IFERROR(IF(INDEX(ERP資料!$E:$E, (MATCH(77, 輔助計算!$G$2:$G$801, 0)+1))="","",TRIM(INDEX(ERP資料!$E:$E, (MATCH(77, 輔助計算!$G$2:$G$801, 0)+1)))), "")</f>
        <v/>
      </c>
      <c r="G78" s="10">
        <f>IFERROR(IF(INDEX(ERP資料!$F:$F, (MATCH(77, 輔助計算!$G$2:$G$801, 0)+1))="","",INDEX(ERP資料!$F:$F, (MATCH(77, 輔助計算!$G$2:$G$801, 0)+1))), "")</f>
        <v/>
      </c>
      <c r="H78" s="10">
        <f>IFERROR(IF(INDEX(ERP資料!$G:$G, (MATCH(77, 輔助計算!$G$2:$G$801, 0)+1))="","",INDEX(ERP資料!$G:$G, (MATCH(77, 輔助計算!$G$2:$G$801, 0)+1))), "")</f>
        <v/>
      </c>
      <c r="I78" s="15">
        <f>IFERROR(INDEX(輔助計算!$D:$D, (MATCH(77, 輔助計算!$G$2:$G$801, 0)+1)), "")</f>
        <v/>
      </c>
      <c r="J78" s="15">
        <f>IFERROR(IF(AND(INDEX(輔助計算!$D:$D, (MATCH(77, 輔助計算!$G$2:$G$801, 0)+1))&lt;&gt;"", INDEX(ERP資料!$G:$G, (MATCH(77, 輔助計算!$G$2:$G$801, 0)+1))&lt;&gt;""), TRIM(IF(INT(INDEX(輔助計算!$D:$D, (MATCH(77, 輔助計算!$G$2:$G$801, 0)+1))/IF(INDEX(ERP資料!$G:$G, (MATCH(77, 輔助計算!$G$2:$G$801, 0)+1))&lt;100, IF(INDEX(ERP資料!$G:$G, (MATCH(77, 輔助計算!$G$2:$G$801, 0)+1))&lt;=31,3,IF(INDEX(ERP資料!$G:$G, (MATCH(77, 輔助計算!$G$2:$G$801, 0)+1))&lt;=46.5,2,1)), IF(INDEX(ERP資料!$G:$G, (MATCH(77, 輔助計算!$G$2:$G$801, 0)+1))&lt;=790,3,IF(INDEX(ERP資料!$G:$G, (MATCH(77, 輔助計算!$G$2:$G$801, 0)+1))&lt;=1181,2,1))))&gt;0, IF(IF(INDEX(ERP資料!$G:$G, (MATCH(77, 輔助計算!$G$2:$G$801, 0)+1))&lt;100, IF(INDEX(ERP資料!$G:$G, (MATCH(77, 輔助計算!$G$2:$G$801, 0)+1))&lt;=31,3,IF(INDEX(ERP資料!$G:$G, (MATCH(77, 輔助計算!$G$2:$G$801, 0)+1))&lt;=46.5,2,1)), IF(INDEX(ERP資料!$G:$G, (MATCH(77, 輔助計算!$G$2:$G$801, 0)+1))&lt;=790,3,IF(INDEX(ERP資料!$G:$G, (MATCH(77, 輔助計算!$G$2:$G$801, 0)+1))&lt;=1181,2,1)))=1,TEXT(INDEX(ERP資料!$G:$G, (MATCH(77, 輔助計算!$G$2:$G$801, 0)+1)),"0.##"),IF(IF(INDEX(ERP資料!$G:$G, (MATCH(77, 輔助計算!$G$2:$G$801, 0)+1))&lt;100, IF(INDEX(ERP資料!$G:$G, (MATCH(77, 輔助計算!$G$2:$G$801, 0)+1))&lt;=31,3,IF(INDEX(ERP資料!$G:$G, (MATCH(77, 輔助計算!$G$2:$G$801, 0)+1))&lt;=46.5,2,1)), IF(INDEX(ERP資料!$G:$G, (MATCH(77, 輔助計算!$G$2:$G$801, 0)+1))&lt;=790,3,IF(INDEX(ERP資料!$G:$G, (MATCH(77, 輔助計算!$G$2:$G$801, 0)+1))&lt;=1181,2,1)))=2,TEXT(INDEX(ERP資料!$G:$G, (MATCH(77, 輔助計算!$G$2:$G$801, 0)+1)),"0.##")&amp;"+"&amp;TEXT(INDEX(ERP資料!$G:$G, (MATCH(77, 輔助計算!$G$2:$G$801, 0)+1)),"0.##"),TEXT(INDEX(ERP資料!$G:$G, (MATCH(77, 輔助計算!$G$2:$G$801, 0)+1)),"0.##")&amp;"+"&amp;TEXT(INDEX(ERP資料!$G:$G, (MATCH(77, 輔助計算!$G$2:$G$801, 0)+1)),"0.##")&amp;"+"&amp;TEXT(INDEX(ERP資料!$G:$G, (MATCH(77, 輔助計算!$G$2:$G$801, 0)+1)),"0.##")))&amp;"-"&amp;INT(INDEX(輔助計算!$D:$D, (MATCH(77, 輔助計算!$G$2:$G$801, 0)+1))/IF(INDEX(ERP資料!$G:$G, (MATCH(77, 輔助計算!$G$2:$G$801, 0)+1))&lt;100, IF(INDEX(ERP資料!$G:$G, (MATCH(77, 輔助計算!$G$2:$G$801, 0)+1))&lt;=31,3,IF(INDEX(ERP資料!$G:$G, (MATCH(77, 輔助計算!$G$2:$G$801, 0)+1))&lt;=46.5,2,1)), IF(INDEX(ERP資料!$G:$G, (MATCH(77, 輔助計算!$G$2:$G$801, 0)+1))&lt;=790,3,IF(INDEX(ERP資料!$G:$G, (MATCH(77, 輔助計算!$G$2:$G$801, 0)+1))&lt;=1181,2,1)))), "")&amp;IF(AND(IF(INT(INDEX(輔助計算!$D:$D, (MATCH(77, 輔助計算!$G$2:$G$801, 0)+1))/IF(INDEX(ERP資料!$G:$G, (MATCH(77, 輔助計算!$G$2:$G$801, 0)+1))&lt;100, IF(INDEX(ERP資料!$G:$G, (MATCH(77, 輔助計算!$G$2:$G$801, 0)+1))&lt;=31,3,IF(INDEX(ERP資料!$G:$G, (MATCH(77, 輔助計算!$G$2:$G$801, 0)+1))&lt;=46.5,2,1)), IF(INDEX(ERP資料!$G:$G, (MATCH(77, 輔助計算!$G$2:$G$801, 0)+1))&lt;=790,3,IF(INDEX(ERP資料!$G:$G, (MATCH(77, 輔助計算!$G$2:$G$801, 0)+1))&lt;=1181,2,1))))&gt;0, IF(IF(INDEX(ERP資料!$G:$G, (MATCH(77, 輔助計算!$G$2:$G$801, 0)+1))&lt;100, IF(INDEX(ERP資料!$G:$G, (MATCH(77, 輔助計算!$G$2:$G$801, 0)+1))&lt;=31,3,IF(INDEX(ERP資料!$G:$G, (MATCH(77, 輔助計算!$G$2:$G$801, 0)+1))&lt;=46.5,2,1)), IF(INDEX(ERP資料!$G:$G, (MATCH(77, 輔助計算!$G$2:$G$801, 0)+1))&lt;=790,3,IF(INDEX(ERP資料!$G:$G, (MATCH(77, 輔助計算!$G$2:$G$801, 0)+1))&lt;=1181,2,1)))=1,TEXT(INDEX(ERP資料!$G:$G, (MATCH(77, 輔助計算!$G$2:$G$801, 0)+1)),"0.##"),IF(IF(INDEX(ERP資料!$G:$G, (MATCH(77, 輔助計算!$G$2:$G$801, 0)+1))&lt;100, IF(INDEX(ERP資料!$G:$G, (MATCH(77, 輔助計算!$G$2:$G$801, 0)+1))&lt;=31,3,IF(INDEX(ERP資料!$G:$G, (MATCH(77, 輔助計算!$G$2:$G$801, 0)+1))&lt;=46.5,2,1)), IF(INDEX(ERP資料!$G:$G, (MATCH(77, 輔助計算!$G$2:$G$801, 0)+1))&lt;=790,3,IF(INDEX(ERP資料!$G:$G, (MATCH(77, 輔助計算!$G$2:$G$801, 0)+1))&lt;=1181,2,1)))=2,TEXT(INDEX(ERP資料!$G:$G, (MATCH(77, 輔助計算!$G$2:$G$801, 0)+1)),"0.##")&amp;"+"&amp;TEXT(INDEX(ERP資料!$G:$G, (MATCH(77, 輔助計算!$G$2:$G$801, 0)+1)),"0.##"),TEXT(INDEX(ERP資料!$G:$G, (MATCH(77, 輔助計算!$G$2:$G$801, 0)+1)),"0.##")&amp;"+"&amp;TEXT(INDEX(ERP資料!$G:$G, (MATCH(77, 輔助計算!$G$2:$G$801, 0)+1)),"0.##")&amp;"+"&amp;TEXT(INDEX(ERP資料!$G:$G, (MATCH(77, 輔助計算!$G$2:$G$801, 0)+1)),"0.##")))&amp;"-"&amp;INT(INDEX(輔助計算!$D:$D, (MATCH(77, 輔助計算!$G$2:$G$801, 0)+1))/IF(INDEX(ERP資料!$G:$G, (MATCH(77, 輔助計算!$G$2:$G$801, 0)+1))&lt;100, IF(INDEX(ERP資料!$G:$G, (MATCH(77, 輔助計算!$G$2:$G$801, 0)+1))&lt;=31,3,IF(INDEX(ERP資料!$G:$G, (MATCH(77, 輔助計算!$G$2:$G$801, 0)+1))&lt;=46.5,2,1)), IF(INDEX(ERP資料!$G:$G, (MATCH(77, 輔助計算!$G$2:$G$801, 0)+1))&lt;=790,3,IF(INDEX(ERP資料!$G:$G, (MATCH(77, 輔助計算!$G$2:$G$801, 0)+1))&lt;=1181,2,1)))), "")&lt;&gt;"",IF(MOD(INDEX(輔助計算!$D:$D, (MATCH(77, 輔助計算!$G$2:$G$801, 0)+1)),IF(INDEX(ERP資料!$G:$G, (MATCH(77, 輔助計算!$G$2:$G$801, 0)+1))&lt;100, IF(INDEX(ERP資料!$G:$G, (MATCH(77, 輔助計算!$G$2:$G$801, 0)+1))&lt;=31,3,IF(INDEX(ERP資料!$G:$G, (MATCH(77, 輔助計算!$G$2:$G$801, 0)+1))&lt;=46.5,2,1)), IF(INDEX(ERP資料!$G:$G, (MATCH(77, 輔助計算!$G$2:$G$801, 0)+1))&lt;=790,3,IF(INDEX(ERP資料!$G:$G, (MATCH(77, 輔助計算!$G$2:$G$801, 0)+1))&lt;=1181,2,1))))=0,"",IF(MOD(INDEX(輔助計算!$D:$D, (MATCH(77, 輔助計算!$G$2:$G$801, 0)+1)),IF(INDEX(ERP資料!$G:$G, (MATCH(77, 輔助計算!$G$2:$G$801, 0)+1))&lt;100, IF(INDEX(ERP資料!$G:$G, (MATCH(77, 輔助計算!$G$2:$G$801, 0)+1))&lt;=31,3,IF(INDEX(ERP資料!$G:$G, (MATCH(77, 輔助計算!$G$2:$G$801, 0)+1))&lt;=46.5,2,1)), IF(INDEX(ERP資料!$G:$G, (MATCH(77, 輔助計算!$G$2:$G$801, 0)+1))&lt;=790,3,IF(INDEX(ERP資料!$G:$G, (MATCH(77, 輔助計算!$G$2:$G$801, 0)+1))&lt;=1181,2,1))))=0,"",IF(MOD(INDEX(輔助計算!$D:$D, (MATCH(77, 輔助計算!$G$2:$G$801, 0)+1)),IF(INDEX(ERP資料!$G:$G, (MATCH(77, 輔助計算!$G$2:$G$801, 0)+1))&lt;100, IF(INDEX(ERP資料!$G:$G, (MATCH(77, 輔助計算!$G$2:$G$801, 0)+1))&lt;=31,3,IF(INDEX(ERP資料!$G:$G, (MATCH(77, 輔助計算!$G$2:$G$801, 0)+1))&lt;=46.5,2,1)), IF(INDEX(ERP資料!$G:$G, (MATCH(77, 輔助計算!$G$2:$G$801, 0)+1))&lt;=790,3,IF(INDEX(ERP資料!$G:$G, (MATCH(77, 輔助計算!$G$2:$G$801, 0)+1))&lt;=1181,2,1))))=1,TEXT(INDEX(ERP資料!$G:$G, (MATCH(77, 輔助計算!$G$2:$G$801, 0)+1)),"0.##"),IF(MOD(INDEX(輔助計算!$D:$D, (MATCH(77, 輔助計算!$G$2:$G$801, 0)+1)),IF(INDEX(ERP資料!$G:$G, (MATCH(77, 輔助計算!$G$2:$G$801, 0)+1))&lt;100, IF(INDEX(ERP資料!$G:$G, (MATCH(77, 輔助計算!$G$2:$G$801, 0)+1))&lt;=31,3,IF(INDEX(ERP資料!$G:$G, (MATCH(77, 輔助計算!$G$2:$G$801, 0)+1))&lt;=46.5,2,1)), IF(INDEX(ERP資料!$G:$G, (MATCH(77, 輔助計算!$G$2:$G$801, 0)+1))&lt;=790,3,IF(INDEX(ERP資料!$G:$G, (MATCH(77, 輔助計算!$G$2:$G$801, 0)+1))&lt;=1181,2,1))))=2,TEXT(INDEX(ERP資料!$G:$G, (MATCH(77, 輔助計算!$G$2:$G$801, 0)+1)),"0.##")&amp;"+"&amp;TEXT(INDEX(ERP資料!$G:$G, (MATCH(77, 輔助計算!$G$2:$G$801, 0)+1)),"0.##"),TEXT(INDEX(ERP資料!$G:$G, (MATCH(77, 輔助計算!$G$2:$G$801, 0)+1)),"0.##")&amp;"+"&amp;TEXT(INDEX(ERP資料!$G:$G, (MATCH(77, 輔助計算!$G$2:$G$801, 0)+1)),"0.##")&amp;"+"&amp;TEXT(INDEX(ERP資料!$G:$G, (MATCH(77, 輔助計算!$G$2:$G$801, 0)+1)),"0.##"))))&amp;"-1")&lt;&gt;""),"  ","")&amp;IF(MOD(INDEX(輔助計算!$D:$D, (MATCH(77, 輔助計算!$G$2:$G$801, 0)+1)),IF(INDEX(ERP資料!$G:$G, (MATCH(77, 輔助計算!$G$2:$G$801, 0)+1))&lt;100, IF(INDEX(ERP資料!$G:$G, (MATCH(77, 輔助計算!$G$2:$G$801, 0)+1))&lt;=31,3,IF(INDEX(ERP資料!$G:$G, (MATCH(77, 輔助計算!$G$2:$G$801, 0)+1))&lt;=46.5,2,1)), IF(INDEX(ERP資料!$G:$G, (MATCH(77, 輔助計算!$G$2:$G$801, 0)+1))&lt;=790,3,IF(INDEX(ERP資料!$G:$G, (MATCH(77, 輔助計算!$G$2:$G$801, 0)+1))&lt;=1181,2,1))))=0,"",IF(MOD(INDEX(輔助計算!$D:$D, (MATCH(77, 輔助計算!$G$2:$G$801, 0)+1)),IF(INDEX(ERP資料!$G:$G, (MATCH(77, 輔助計算!$G$2:$G$801, 0)+1))&lt;100, IF(INDEX(ERP資料!$G:$G, (MATCH(77, 輔助計算!$G$2:$G$801, 0)+1))&lt;=31,3,IF(INDEX(ERP資料!$G:$G, (MATCH(77, 輔助計算!$G$2:$G$801, 0)+1))&lt;=46.5,2,1)), IF(INDEX(ERP資料!$G:$G, (MATCH(77, 輔助計算!$G$2:$G$801, 0)+1))&lt;=790,3,IF(INDEX(ERP資料!$G:$G, (MATCH(77, 輔助計算!$G$2:$G$801, 0)+1))&lt;=1181,2,1))))=0,"",IF(MOD(INDEX(輔助計算!$D:$D, (MATCH(77, 輔助計算!$G$2:$G$801, 0)+1)),IF(INDEX(ERP資料!$G:$G, (MATCH(77, 輔助計算!$G$2:$G$801, 0)+1))&lt;100, IF(INDEX(ERP資料!$G:$G, (MATCH(77, 輔助計算!$G$2:$G$801, 0)+1))&lt;=31,3,IF(INDEX(ERP資料!$G:$G, (MATCH(77, 輔助計算!$G$2:$G$801, 0)+1))&lt;=46.5,2,1)), IF(INDEX(ERP資料!$G:$G, (MATCH(77, 輔助計算!$G$2:$G$801, 0)+1))&lt;=790,3,IF(INDEX(ERP資料!$G:$G, (MATCH(77, 輔助計算!$G$2:$G$801, 0)+1))&lt;=1181,2,1))))=1,TEXT(INDEX(ERP資料!$G:$G, (MATCH(77, 輔助計算!$G$2:$G$801, 0)+1)),"0.##"),IF(MOD(INDEX(輔助計算!$D:$D, (MATCH(77, 輔助計算!$G$2:$G$801, 0)+1)),IF(INDEX(ERP資料!$G:$G, (MATCH(77, 輔助計算!$G$2:$G$801, 0)+1))&lt;100, IF(INDEX(ERP資料!$G:$G, (MATCH(77, 輔助計算!$G$2:$G$801, 0)+1))&lt;=31,3,IF(INDEX(ERP資料!$G:$G, (MATCH(77, 輔助計算!$G$2:$G$801, 0)+1))&lt;=46.5,2,1)), IF(INDEX(ERP資料!$G:$G, (MATCH(77, 輔助計算!$G$2:$G$801, 0)+1))&lt;=790,3,IF(INDEX(ERP資料!$G:$G, (MATCH(77, 輔助計算!$G$2:$G$801, 0)+1))&lt;=1181,2,1))))=2,TEXT(INDEX(ERP資料!$G:$G, (MATCH(77, 輔助計算!$G$2:$G$801, 0)+1)),"0.##")&amp;"+"&amp;TEXT(INDEX(ERP資料!$G:$G, (MATCH(77, 輔助計算!$G$2:$G$801, 0)+1)),"0.##"),TEXT(INDEX(ERP資料!$G:$G, (MATCH(77, 輔助計算!$G$2:$G$801, 0)+1)),"0.##")&amp;"+"&amp;TEXT(INDEX(ERP資料!$G:$G, (MATCH(77, 輔助計算!$G$2:$G$801, 0)+1)),"0.##")&amp;"+"&amp;TEXT(INDEX(ERP資料!$G:$G, (MATCH(77, 輔助計算!$G$2:$G$801, 0)+1)),"0.##"))))&amp;"-1")), ""), "")</f>
        <v/>
      </c>
      <c r="K78" s="16" t="n"/>
      <c r="L78" s="14">
        <f>IFERROR(IF(AND(IFERROR(INDEX(ERP資料!$A:$A, (MATCH(77, 輔助計算!$G$2:$G$801, 0)+1)), "")&lt;&gt;"", IFERROR(INDEX(ERP資料!$A:$A, (MATCH(77, 輔助計算!$G$2:$G$801, 0)+1)), "")&lt;&gt;IFERROR(INDEX(ERP資料!$A:$A, MATCH(76, 輔助計算!$G$2:$G$801, 0)+1), "")), INDEX(ERP資料!$B:$B, (MATCH(77, 輔助計算!$G$2:$G$801, 0)+1)), ""), "")</f>
        <v/>
      </c>
      <c r="M78" s="17" t="n"/>
    </row>
    <row r="79">
      <c r="A79" s="10">
        <f>IFERROR(IF(AND(IFERROR(INDEX(ERP資料!$A:$A, (MATCH(78, 輔助計算!$G$2:$G$801, 0)+1)), "")&lt;&gt;"", IFERROR(INDEX(ERP資料!$A:$A, (MATCH(78, 輔助計算!$G$2:$G$801, 0)+1)), "")&lt;&gt;IFERROR(INDEX(ERP資料!$A:$A, MATCH(77, 輔助計算!$G$2:$G$801, 0)+1), "")), IFERROR(INDEX(ERP資料!$A:$A, (MATCH(78, 輔助計算!$G$2:$G$801, 0)+1)), ""), ""), "")</f>
        <v/>
      </c>
      <c r="B79" s="10">
        <f>IFERROR(IF(AND(IFERROR(INDEX(ERP資料!$A:$A, (MATCH(78, 輔助計算!$G$2:$G$801, 0)+1)), "")&lt;&gt;"", IFERROR(INDEX(ERP資料!$A:$A, (MATCH(78, 輔助計算!$G$2:$G$801, 0)+1)), "")&lt;&gt;IFERROR(INDEX(ERP資料!$A:$A, MATCH(77, 輔助計算!$G$2:$G$801, 0)+1), "")), INDEX(ERP資料!$S:$S, (MATCH(78, 輔助計算!$G$2:$G$801, 0)+1)), ""), "")</f>
        <v/>
      </c>
      <c r="C79" s="19">
        <f>IFERROR(IF(AND(IFERROR(INDEX(ERP資料!$A:$A, (MATCH(78, 輔助計算!$G$2:$G$801, 0)+1)), "")&lt;&gt;"", IFERROR(INDEX(ERP資料!$A:$A, (MATCH(78, 輔助計算!$G$2:$G$801, 0)+1)), "")&lt;&gt;IFERROR(INDEX(ERP資料!$A:$A, MATCH(77, 輔助計算!$G$2:$G$801, 0)+1), "")), IFERROR(VLOOKUP(LEFT(INDEX(ERP資料!$S:$S, (MATCH(78, 輔助計算!$G$2:$G$801, 0)+1)), 4), 紙管對照表!$A:$C, 3, FALSE), ""), ""), "")</f>
        <v/>
      </c>
      <c r="D79" s="16" t="n"/>
      <c r="E79" s="10">
        <f>IFERROR(IF(INDEX(ERP資料!$H:$H, (MATCH(78, 輔助計算!$G$2:$G$801, 0)+1))="","",INDEX(ERP資料!$H:$H, (MATCH(78, 輔助計算!$G$2:$G$801, 0)+1))), "")</f>
        <v/>
      </c>
      <c r="F79" s="10">
        <f>IFERROR(IF(INDEX(ERP資料!$E:$E, (MATCH(78, 輔助計算!$G$2:$G$801, 0)+1))="","",TRIM(INDEX(ERP資料!$E:$E, (MATCH(78, 輔助計算!$G$2:$G$801, 0)+1)))), "")</f>
        <v/>
      </c>
      <c r="G79" s="10">
        <f>IFERROR(IF(INDEX(ERP資料!$F:$F, (MATCH(78, 輔助計算!$G$2:$G$801, 0)+1))="","",INDEX(ERP資料!$F:$F, (MATCH(78, 輔助計算!$G$2:$G$801, 0)+1))), "")</f>
        <v/>
      </c>
      <c r="H79" s="10">
        <f>IFERROR(IF(INDEX(ERP資料!$G:$G, (MATCH(78, 輔助計算!$G$2:$G$801, 0)+1))="","",INDEX(ERP資料!$G:$G, (MATCH(78, 輔助計算!$G$2:$G$801, 0)+1))), "")</f>
        <v/>
      </c>
      <c r="I79" s="15">
        <f>IFERROR(INDEX(輔助計算!$D:$D, (MATCH(78, 輔助計算!$G$2:$G$801, 0)+1)), "")</f>
        <v/>
      </c>
      <c r="J79" s="15">
        <f>IFERROR(IF(AND(INDEX(輔助計算!$D:$D, (MATCH(78, 輔助計算!$G$2:$G$801, 0)+1))&lt;&gt;"", INDEX(ERP資料!$G:$G, (MATCH(78, 輔助計算!$G$2:$G$801, 0)+1))&lt;&gt;""), TRIM(IF(INT(INDEX(輔助計算!$D:$D, (MATCH(78, 輔助計算!$G$2:$G$801, 0)+1))/IF(INDEX(ERP資料!$G:$G, (MATCH(78, 輔助計算!$G$2:$G$801, 0)+1))&lt;100, IF(INDEX(ERP資料!$G:$G, (MATCH(78, 輔助計算!$G$2:$G$801, 0)+1))&lt;=31,3,IF(INDEX(ERP資料!$G:$G, (MATCH(78, 輔助計算!$G$2:$G$801, 0)+1))&lt;=46.5,2,1)), IF(INDEX(ERP資料!$G:$G, (MATCH(78, 輔助計算!$G$2:$G$801, 0)+1))&lt;=790,3,IF(INDEX(ERP資料!$G:$G, (MATCH(78, 輔助計算!$G$2:$G$801, 0)+1))&lt;=1181,2,1))))&gt;0, IF(IF(INDEX(ERP資料!$G:$G, (MATCH(78, 輔助計算!$G$2:$G$801, 0)+1))&lt;100, IF(INDEX(ERP資料!$G:$G, (MATCH(78, 輔助計算!$G$2:$G$801, 0)+1))&lt;=31,3,IF(INDEX(ERP資料!$G:$G, (MATCH(78, 輔助計算!$G$2:$G$801, 0)+1))&lt;=46.5,2,1)), IF(INDEX(ERP資料!$G:$G, (MATCH(78, 輔助計算!$G$2:$G$801, 0)+1))&lt;=790,3,IF(INDEX(ERP資料!$G:$G, (MATCH(78, 輔助計算!$G$2:$G$801, 0)+1))&lt;=1181,2,1)))=1,TEXT(INDEX(ERP資料!$G:$G, (MATCH(78, 輔助計算!$G$2:$G$801, 0)+1)),"0.##"),IF(IF(INDEX(ERP資料!$G:$G, (MATCH(78, 輔助計算!$G$2:$G$801, 0)+1))&lt;100, IF(INDEX(ERP資料!$G:$G, (MATCH(78, 輔助計算!$G$2:$G$801, 0)+1))&lt;=31,3,IF(INDEX(ERP資料!$G:$G, (MATCH(78, 輔助計算!$G$2:$G$801, 0)+1))&lt;=46.5,2,1)), IF(INDEX(ERP資料!$G:$G, (MATCH(78, 輔助計算!$G$2:$G$801, 0)+1))&lt;=790,3,IF(INDEX(ERP資料!$G:$G, (MATCH(78, 輔助計算!$G$2:$G$801, 0)+1))&lt;=1181,2,1)))=2,TEXT(INDEX(ERP資料!$G:$G, (MATCH(78, 輔助計算!$G$2:$G$801, 0)+1)),"0.##")&amp;"+"&amp;TEXT(INDEX(ERP資料!$G:$G, (MATCH(78, 輔助計算!$G$2:$G$801, 0)+1)),"0.##"),TEXT(INDEX(ERP資料!$G:$G, (MATCH(78, 輔助計算!$G$2:$G$801, 0)+1)),"0.##")&amp;"+"&amp;TEXT(INDEX(ERP資料!$G:$G, (MATCH(78, 輔助計算!$G$2:$G$801, 0)+1)),"0.##")&amp;"+"&amp;TEXT(INDEX(ERP資料!$G:$G, (MATCH(78, 輔助計算!$G$2:$G$801, 0)+1)),"0.##")))&amp;"-"&amp;INT(INDEX(輔助計算!$D:$D, (MATCH(78, 輔助計算!$G$2:$G$801, 0)+1))/IF(INDEX(ERP資料!$G:$G, (MATCH(78, 輔助計算!$G$2:$G$801, 0)+1))&lt;100, IF(INDEX(ERP資料!$G:$G, (MATCH(78, 輔助計算!$G$2:$G$801, 0)+1))&lt;=31,3,IF(INDEX(ERP資料!$G:$G, (MATCH(78, 輔助計算!$G$2:$G$801, 0)+1))&lt;=46.5,2,1)), IF(INDEX(ERP資料!$G:$G, (MATCH(78, 輔助計算!$G$2:$G$801, 0)+1))&lt;=790,3,IF(INDEX(ERP資料!$G:$G, (MATCH(78, 輔助計算!$G$2:$G$801, 0)+1))&lt;=1181,2,1)))), "")&amp;IF(AND(IF(INT(INDEX(輔助計算!$D:$D, (MATCH(78, 輔助計算!$G$2:$G$801, 0)+1))/IF(INDEX(ERP資料!$G:$G, (MATCH(78, 輔助計算!$G$2:$G$801, 0)+1))&lt;100, IF(INDEX(ERP資料!$G:$G, (MATCH(78, 輔助計算!$G$2:$G$801, 0)+1))&lt;=31,3,IF(INDEX(ERP資料!$G:$G, (MATCH(78, 輔助計算!$G$2:$G$801, 0)+1))&lt;=46.5,2,1)), IF(INDEX(ERP資料!$G:$G, (MATCH(78, 輔助計算!$G$2:$G$801, 0)+1))&lt;=790,3,IF(INDEX(ERP資料!$G:$G, (MATCH(78, 輔助計算!$G$2:$G$801, 0)+1))&lt;=1181,2,1))))&gt;0, IF(IF(INDEX(ERP資料!$G:$G, (MATCH(78, 輔助計算!$G$2:$G$801, 0)+1))&lt;100, IF(INDEX(ERP資料!$G:$G, (MATCH(78, 輔助計算!$G$2:$G$801, 0)+1))&lt;=31,3,IF(INDEX(ERP資料!$G:$G, (MATCH(78, 輔助計算!$G$2:$G$801, 0)+1))&lt;=46.5,2,1)), IF(INDEX(ERP資料!$G:$G, (MATCH(78, 輔助計算!$G$2:$G$801, 0)+1))&lt;=790,3,IF(INDEX(ERP資料!$G:$G, (MATCH(78, 輔助計算!$G$2:$G$801, 0)+1))&lt;=1181,2,1)))=1,TEXT(INDEX(ERP資料!$G:$G, (MATCH(78, 輔助計算!$G$2:$G$801, 0)+1)),"0.##"),IF(IF(INDEX(ERP資料!$G:$G, (MATCH(78, 輔助計算!$G$2:$G$801, 0)+1))&lt;100, IF(INDEX(ERP資料!$G:$G, (MATCH(78, 輔助計算!$G$2:$G$801, 0)+1))&lt;=31,3,IF(INDEX(ERP資料!$G:$G, (MATCH(78, 輔助計算!$G$2:$G$801, 0)+1))&lt;=46.5,2,1)), IF(INDEX(ERP資料!$G:$G, (MATCH(78, 輔助計算!$G$2:$G$801, 0)+1))&lt;=790,3,IF(INDEX(ERP資料!$G:$G, (MATCH(78, 輔助計算!$G$2:$G$801, 0)+1))&lt;=1181,2,1)))=2,TEXT(INDEX(ERP資料!$G:$G, (MATCH(78, 輔助計算!$G$2:$G$801, 0)+1)),"0.##")&amp;"+"&amp;TEXT(INDEX(ERP資料!$G:$G, (MATCH(78, 輔助計算!$G$2:$G$801, 0)+1)),"0.##"),TEXT(INDEX(ERP資料!$G:$G, (MATCH(78, 輔助計算!$G$2:$G$801, 0)+1)),"0.##")&amp;"+"&amp;TEXT(INDEX(ERP資料!$G:$G, (MATCH(78, 輔助計算!$G$2:$G$801, 0)+1)),"0.##")&amp;"+"&amp;TEXT(INDEX(ERP資料!$G:$G, (MATCH(78, 輔助計算!$G$2:$G$801, 0)+1)),"0.##")))&amp;"-"&amp;INT(INDEX(輔助計算!$D:$D, (MATCH(78, 輔助計算!$G$2:$G$801, 0)+1))/IF(INDEX(ERP資料!$G:$G, (MATCH(78, 輔助計算!$G$2:$G$801, 0)+1))&lt;100, IF(INDEX(ERP資料!$G:$G, (MATCH(78, 輔助計算!$G$2:$G$801, 0)+1))&lt;=31,3,IF(INDEX(ERP資料!$G:$G, (MATCH(78, 輔助計算!$G$2:$G$801, 0)+1))&lt;=46.5,2,1)), IF(INDEX(ERP資料!$G:$G, (MATCH(78, 輔助計算!$G$2:$G$801, 0)+1))&lt;=790,3,IF(INDEX(ERP資料!$G:$G, (MATCH(78, 輔助計算!$G$2:$G$801, 0)+1))&lt;=1181,2,1)))), "")&lt;&gt;"",IF(MOD(INDEX(輔助計算!$D:$D, (MATCH(78, 輔助計算!$G$2:$G$801, 0)+1)),IF(INDEX(ERP資料!$G:$G, (MATCH(78, 輔助計算!$G$2:$G$801, 0)+1))&lt;100, IF(INDEX(ERP資料!$G:$G, (MATCH(78, 輔助計算!$G$2:$G$801, 0)+1))&lt;=31,3,IF(INDEX(ERP資料!$G:$G, (MATCH(78, 輔助計算!$G$2:$G$801, 0)+1))&lt;=46.5,2,1)), IF(INDEX(ERP資料!$G:$G, (MATCH(78, 輔助計算!$G$2:$G$801, 0)+1))&lt;=790,3,IF(INDEX(ERP資料!$G:$G, (MATCH(78, 輔助計算!$G$2:$G$801, 0)+1))&lt;=1181,2,1))))=0,"",IF(MOD(INDEX(輔助計算!$D:$D, (MATCH(78, 輔助計算!$G$2:$G$801, 0)+1)),IF(INDEX(ERP資料!$G:$G, (MATCH(78, 輔助計算!$G$2:$G$801, 0)+1))&lt;100, IF(INDEX(ERP資料!$G:$G, (MATCH(78, 輔助計算!$G$2:$G$801, 0)+1))&lt;=31,3,IF(INDEX(ERP資料!$G:$G, (MATCH(78, 輔助計算!$G$2:$G$801, 0)+1))&lt;=46.5,2,1)), IF(INDEX(ERP資料!$G:$G, (MATCH(78, 輔助計算!$G$2:$G$801, 0)+1))&lt;=790,3,IF(INDEX(ERP資料!$G:$G, (MATCH(78, 輔助計算!$G$2:$G$801, 0)+1))&lt;=1181,2,1))))=0,"",IF(MOD(INDEX(輔助計算!$D:$D, (MATCH(78, 輔助計算!$G$2:$G$801, 0)+1)),IF(INDEX(ERP資料!$G:$G, (MATCH(78, 輔助計算!$G$2:$G$801, 0)+1))&lt;100, IF(INDEX(ERP資料!$G:$G, (MATCH(78, 輔助計算!$G$2:$G$801, 0)+1))&lt;=31,3,IF(INDEX(ERP資料!$G:$G, (MATCH(78, 輔助計算!$G$2:$G$801, 0)+1))&lt;=46.5,2,1)), IF(INDEX(ERP資料!$G:$G, (MATCH(78, 輔助計算!$G$2:$G$801, 0)+1))&lt;=790,3,IF(INDEX(ERP資料!$G:$G, (MATCH(78, 輔助計算!$G$2:$G$801, 0)+1))&lt;=1181,2,1))))=1,TEXT(INDEX(ERP資料!$G:$G, (MATCH(78, 輔助計算!$G$2:$G$801, 0)+1)),"0.##"),IF(MOD(INDEX(輔助計算!$D:$D, (MATCH(78, 輔助計算!$G$2:$G$801, 0)+1)),IF(INDEX(ERP資料!$G:$G, (MATCH(78, 輔助計算!$G$2:$G$801, 0)+1))&lt;100, IF(INDEX(ERP資料!$G:$G, (MATCH(78, 輔助計算!$G$2:$G$801, 0)+1))&lt;=31,3,IF(INDEX(ERP資料!$G:$G, (MATCH(78, 輔助計算!$G$2:$G$801, 0)+1))&lt;=46.5,2,1)), IF(INDEX(ERP資料!$G:$G, (MATCH(78, 輔助計算!$G$2:$G$801, 0)+1))&lt;=790,3,IF(INDEX(ERP資料!$G:$G, (MATCH(78, 輔助計算!$G$2:$G$801, 0)+1))&lt;=1181,2,1))))=2,TEXT(INDEX(ERP資料!$G:$G, (MATCH(78, 輔助計算!$G$2:$G$801, 0)+1)),"0.##")&amp;"+"&amp;TEXT(INDEX(ERP資料!$G:$G, (MATCH(78, 輔助計算!$G$2:$G$801, 0)+1)),"0.##"),TEXT(INDEX(ERP資料!$G:$G, (MATCH(78, 輔助計算!$G$2:$G$801, 0)+1)),"0.##")&amp;"+"&amp;TEXT(INDEX(ERP資料!$G:$G, (MATCH(78, 輔助計算!$G$2:$G$801, 0)+1)),"0.##")&amp;"+"&amp;TEXT(INDEX(ERP資料!$G:$G, (MATCH(78, 輔助計算!$G$2:$G$801, 0)+1)),"0.##"))))&amp;"-1")&lt;&gt;""),"  ","")&amp;IF(MOD(INDEX(輔助計算!$D:$D, (MATCH(78, 輔助計算!$G$2:$G$801, 0)+1)),IF(INDEX(ERP資料!$G:$G, (MATCH(78, 輔助計算!$G$2:$G$801, 0)+1))&lt;100, IF(INDEX(ERP資料!$G:$G, (MATCH(78, 輔助計算!$G$2:$G$801, 0)+1))&lt;=31,3,IF(INDEX(ERP資料!$G:$G, (MATCH(78, 輔助計算!$G$2:$G$801, 0)+1))&lt;=46.5,2,1)), IF(INDEX(ERP資料!$G:$G, (MATCH(78, 輔助計算!$G$2:$G$801, 0)+1))&lt;=790,3,IF(INDEX(ERP資料!$G:$G, (MATCH(78, 輔助計算!$G$2:$G$801, 0)+1))&lt;=1181,2,1))))=0,"",IF(MOD(INDEX(輔助計算!$D:$D, (MATCH(78, 輔助計算!$G$2:$G$801, 0)+1)),IF(INDEX(ERP資料!$G:$G, (MATCH(78, 輔助計算!$G$2:$G$801, 0)+1))&lt;100, IF(INDEX(ERP資料!$G:$G, (MATCH(78, 輔助計算!$G$2:$G$801, 0)+1))&lt;=31,3,IF(INDEX(ERP資料!$G:$G, (MATCH(78, 輔助計算!$G$2:$G$801, 0)+1))&lt;=46.5,2,1)), IF(INDEX(ERP資料!$G:$G, (MATCH(78, 輔助計算!$G$2:$G$801, 0)+1))&lt;=790,3,IF(INDEX(ERP資料!$G:$G, (MATCH(78, 輔助計算!$G$2:$G$801, 0)+1))&lt;=1181,2,1))))=0,"",IF(MOD(INDEX(輔助計算!$D:$D, (MATCH(78, 輔助計算!$G$2:$G$801, 0)+1)),IF(INDEX(ERP資料!$G:$G, (MATCH(78, 輔助計算!$G$2:$G$801, 0)+1))&lt;100, IF(INDEX(ERP資料!$G:$G, (MATCH(78, 輔助計算!$G$2:$G$801, 0)+1))&lt;=31,3,IF(INDEX(ERP資料!$G:$G, (MATCH(78, 輔助計算!$G$2:$G$801, 0)+1))&lt;=46.5,2,1)), IF(INDEX(ERP資料!$G:$G, (MATCH(78, 輔助計算!$G$2:$G$801, 0)+1))&lt;=790,3,IF(INDEX(ERP資料!$G:$G, (MATCH(78, 輔助計算!$G$2:$G$801, 0)+1))&lt;=1181,2,1))))=1,TEXT(INDEX(ERP資料!$G:$G, (MATCH(78, 輔助計算!$G$2:$G$801, 0)+1)),"0.##"),IF(MOD(INDEX(輔助計算!$D:$D, (MATCH(78, 輔助計算!$G$2:$G$801, 0)+1)),IF(INDEX(ERP資料!$G:$G, (MATCH(78, 輔助計算!$G$2:$G$801, 0)+1))&lt;100, IF(INDEX(ERP資料!$G:$G, (MATCH(78, 輔助計算!$G$2:$G$801, 0)+1))&lt;=31,3,IF(INDEX(ERP資料!$G:$G, (MATCH(78, 輔助計算!$G$2:$G$801, 0)+1))&lt;=46.5,2,1)), IF(INDEX(ERP資料!$G:$G, (MATCH(78, 輔助計算!$G$2:$G$801, 0)+1))&lt;=790,3,IF(INDEX(ERP資料!$G:$G, (MATCH(78, 輔助計算!$G$2:$G$801, 0)+1))&lt;=1181,2,1))))=2,TEXT(INDEX(ERP資料!$G:$G, (MATCH(78, 輔助計算!$G$2:$G$801, 0)+1)),"0.##")&amp;"+"&amp;TEXT(INDEX(ERP資料!$G:$G, (MATCH(78, 輔助計算!$G$2:$G$801, 0)+1)),"0.##"),TEXT(INDEX(ERP資料!$G:$G, (MATCH(78, 輔助計算!$G$2:$G$801, 0)+1)),"0.##")&amp;"+"&amp;TEXT(INDEX(ERP資料!$G:$G, (MATCH(78, 輔助計算!$G$2:$G$801, 0)+1)),"0.##")&amp;"+"&amp;TEXT(INDEX(ERP資料!$G:$G, (MATCH(78, 輔助計算!$G$2:$G$801, 0)+1)),"0.##"))))&amp;"-1")), ""), "")</f>
        <v/>
      </c>
      <c r="K79" s="16" t="n"/>
      <c r="L79" s="14">
        <f>IFERROR(IF(AND(IFERROR(INDEX(ERP資料!$A:$A, (MATCH(78, 輔助計算!$G$2:$G$801, 0)+1)), "")&lt;&gt;"", IFERROR(INDEX(ERP資料!$A:$A, (MATCH(78, 輔助計算!$G$2:$G$801, 0)+1)), "")&lt;&gt;IFERROR(INDEX(ERP資料!$A:$A, MATCH(77, 輔助計算!$G$2:$G$801, 0)+1), "")), INDEX(ERP資料!$B:$B, (MATCH(78, 輔助計算!$G$2:$G$801, 0)+1)), ""), "")</f>
        <v/>
      </c>
      <c r="M79" s="17" t="n"/>
    </row>
    <row r="80">
      <c r="A80" s="10">
        <f>IFERROR(IF(AND(IFERROR(INDEX(ERP資料!$A:$A, (MATCH(79, 輔助計算!$G$2:$G$801, 0)+1)), "")&lt;&gt;"", IFERROR(INDEX(ERP資料!$A:$A, (MATCH(79, 輔助計算!$G$2:$G$801, 0)+1)), "")&lt;&gt;IFERROR(INDEX(ERP資料!$A:$A, MATCH(78, 輔助計算!$G$2:$G$801, 0)+1), "")), IFERROR(INDEX(ERP資料!$A:$A, (MATCH(79, 輔助計算!$G$2:$G$801, 0)+1)), ""), ""), "")</f>
        <v/>
      </c>
      <c r="B80" s="10">
        <f>IFERROR(IF(AND(IFERROR(INDEX(ERP資料!$A:$A, (MATCH(79, 輔助計算!$G$2:$G$801, 0)+1)), "")&lt;&gt;"", IFERROR(INDEX(ERP資料!$A:$A, (MATCH(79, 輔助計算!$G$2:$G$801, 0)+1)), "")&lt;&gt;IFERROR(INDEX(ERP資料!$A:$A, MATCH(78, 輔助計算!$G$2:$G$801, 0)+1), "")), INDEX(ERP資料!$S:$S, (MATCH(79, 輔助計算!$G$2:$G$801, 0)+1)), ""), "")</f>
        <v/>
      </c>
      <c r="C80" s="19">
        <f>IFERROR(IF(AND(IFERROR(INDEX(ERP資料!$A:$A, (MATCH(79, 輔助計算!$G$2:$G$801, 0)+1)), "")&lt;&gt;"", IFERROR(INDEX(ERP資料!$A:$A, (MATCH(79, 輔助計算!$G$2:$G$801, 0)+1)), "")&lt;&gt;IFERROR(INDEX(ERP資料!$A:$A, MATCH(78, 輔助計算!$G$2:$G$801, 0)+1), "")), IFERROR(VLOOKUP(LEFT(INDEX(ERP資料!$S:$S, (MATCH(79, 輔助計算!$G$2:$G$801, 0)+1)), 4), 紙管對照表!$A:$C, 3, FALSE), ""), ""), "")</f>
        <v/>
      </c>
      <c r="D80" s="16" t="n"/>
      <c r="E80" s="10">
        <f>IFERROR(IF(INDEX(ERP資料!$H:$H, (MATCH(79, 輔助計算!$G$2:$G$801, 0)+1))="","",INDEX(ERP資料!$H:$H, (MATCH(79, 輔助計算!$G$2:$G$801, 0)+1))), "")</f>
        <v/>
      </c>
      <c r="F80" s="10">
        <f>IFERROR(IF(INDEX(ERP資料!$E:$E, (MATCH(79, 輔助計算!$G$2:$G$801, 0)+1))="","",TRIM(INDEX(ERP資料!$E:$E, (MATCH(79, 輔助計算!$G$2:$G$801, 0)+1)))), "")</f>
        <v/>
      </c>
      <c r="G80" s="10">
        <f>IFERROR(IF(INDEX(ERP資料!$F:$F, (MATCH(79, 輔助計算!$G$2:$G$801, 0)+1))="","",INDEX(ERP資料!$F:$F, (MATCH(79, 輔助計算!$G$2:$G$801, 0)+1))), "")</f>
        <v/>
      </c>
      <c r="H80" s="10">
        <f>IFERROR(IF(INDEX(ERP資料!$G:$G, (MATCH(79, 輔助計算!$G$2:$G$801, 0)+1))="","",INDEX(ERP資料!$G:$G, (MATCH(79, 輔助計算!$G$2:$G$801, 0)+1))), "")</f>
        <v/>
      </c>
      <c r="I80" s="15">
        <f>IFERROR(INDEX(輔助計算!$D:$D, (MATCH(79, 輔助計算!$G$2:$G$801, 0)+1)), "")</f>
        <v/>
      </c>
      <c r="J80" s="15">
        <f>IFERROR(IF(AND(INDEX(輔助計算!$D:$D, (MATCH(79, 輔助計算!$G$2:$G$801, 0)+1))&lt;&gt;"", INDEX(ERP資料!$G:$G, (MATCH(79, 輔助計算!$G$2:$G$801, 0)+1))&lt;&gt;""), TRIM(IF(INT(INDEX(輔助計算!$D:$D, (MATCH(79, 輔助計算!$G$2:$G$801, 0)+1))/IF(INDEX(ERP資料!$G:$G, (MATCH(79, 輔助計算!$G$2:$G$801, 0)+1))&lt;100, IF(INDEX(ERP資料!$G:$G, (MATCH(79, 輔助計算!$G$2:$G$801, 0)+1))&lt;=31,3,IF(INDEX(ERP資料!$G:$G, (MATCH(79, 輔助計算!$G$2:$G$801, 0)+1))&lt;=46.5,2,1)), IF(INDEX(ERP資料!$G:$G, (MATCH(79, 輔助計算!$G$2:$G$801, 0)+1))&lt;=790,3,IF(INDEX(ERP資料!$G:$G, (MATCH(79, 輔助計算!$G$2:$G$801, 0)+1))&lt;=1181,2,1))))&gt;0, IF(IF(INDEX(ERP資料!$G:$G, (MATCH(79, 輔助計算!$G$2:$G$801, 0)+1))&lt;100, IF(INDEX(ERP資料!$G:$G, (MATCH(79, 輔助計算!$G$2:$G$801, 0)+1))&lt;=31,3,IF(INDEX(ERP資料!$G:$G, (MATCH(79, 輔助計算!$G$2:$G$801, 0)+1))&lt;=46.5,2,1)), IF(INDEX(ERP資料!$G:$G, (MATCH(79, 輔助計算!$G$2:$G$801, 0)+1))&lt;=790,3,IF(INDEX(ERP資料!$G:$G, (MATCH(79, 輔助計算!$G$2:$G$801, 0)+1))&lt;=1181,2,1)))=1,TEXT(INDEX(ERP資料!$G:$G, (MATCH(79, 輔助計算!$G$2:$G$801, 0)+1)),"0.##"),IF(IF(INDEX(ERP資料!$G:$G, (MATCH(79, 輔助計算!$G$2:$G$801, 0)+1))&lt;100, IF(INDEX(ERP資料!$G:$G, (MATCH(79, 輔助計算!$G$2:$G$801, 0)+1))&lt;=31,3,IF(INDEX(ERP資料!$G:$G, (MATCH(79, 輔助計算!$G$2:$G$801, 0)+1))&lt;=46.5,2,1)), IF(INDEX(ERP資料!$G:$G, (MATCH(79, 輔助計算!$G$2:$G$801, 0)+1))&lt;=790,3,IF(INDEX(ERP資料!$G:$G, (MATCH(79, 輔助計算!$G$2:$G$801, 0)+1))&lt;=1181,2,1)))=2,TEXT(INDEX(ERP資料!$G:$G, (MATCH(79, 輔助計算!$G$2:$G$801, 0)+1)),"0.##")&amp;"+"&amp;TEXT(INDEX(ERP資料!$G:$G, (MATCH(79, 輔助計算!$G$2:$G$801, 0)+1)),"0.##"),TEXT(INDEX(ERP資料!$G:$G, (MATCH(79, 輔助計算!$G$2:$G$801, 0)+1)),"0.##")&amp;"+"&amp;TEXT(INDEX(ERP資料!$G:$G, (MATCH(79, 輔助計算!$G$2:$G$801, 0)+1)),"0.##")&amp;"+"&amp;TEXT(INDEX(ERP資料!$G:$G, (MATCH(79, 輔助計算!$G$2:$G$801, 0)+1)),"0.##")))&amp;"-"&amp;INT(INDEX(輔助計算!$D:$D, (MATCH(79, 輔助計算!$G$2:$G$801, 0)+1))/IF(INDEX(ERP資料!$G:$G, (MATCH(79, 輔助計算!$G$2:$G$801, 0)+1))&lt;100, IF(INDEX(ERP資料!$G:$G, (MATCH(79, 輔助計算!$G$2:$G$801, 0)+1))&lt;=31,3,IF(INDEX(ERP資料!$G:$G, (MATCH(79, 輔助計算!$G$2:$G$801, 0)+1))&lt;=46.5,2,1)), IF(INDEX(ERP資料!$G:$G, (MATCH(79, 輔助計算!$G$2:$G$801, 0)+1))&lt;=790,3,IF(INDEX(ERP資料!$G:$G, (MATCH(79, 輔助計算!$G$2:$G$801, 0)+1))&lt;=1181,2,1)))), "")&amp;IF(AND(IF(INT(INDEX(輔助計算!$D:$D, (MATCH(79, 輔助計算!$G$2:$G$801, 0)+1))/IF(INDEX(ERP資料!$G:$G, (MATCH(79, 輔助計算!$G$2:$G$801, 0)+1))&lt;100, IF(INDEX(ERP資料!$G:$G, (MATCH(79, 輔助計算!$G$2:$G$801, 0)+1))&lt;=31,3,IF(INDEX(ERP資料!$G:$G, (MATCH(79, 輔助計算!$G$2:$G$801, 0)+1))&lt;=46.5,2,1)), IF(INDEX(ERP資料!$G:$G, (MATCH(79, 輔助計算!$G$2:$G$801, 0)+1))&lt;=790,3,IF(INDEX(ERP資料!$G:$G, (MATCH(79, 輔助計算!$G$2:$G$801, 0)+1))&lt;=1181,2,1))))&gt;0, IF(IF(INDEX(ERP資料!$G:$G, (MATCH(79, 輔助計算!$G$2:$G$801, 0)+1))&lt;100, IF(INDEX(ERP資料!$G:$G, (MATCH(79, 輔助計算!$G$2:$G$801, 0)+1))&lt;=31,3,IF(INDEX(ERP資料!$G:$G, (MATCH(79, 輔助計算!$G$2:$G$801, 0)+1))&lt;=46.5,2,1)), IF(INDEX(ERP資料!$G:$G, (MATCH(79, 輔助計算!$G$2:$G$801, 0)+1))&lt;=790,3,IF(INDEX(ERP資料!$G:$G, (MATCH(79, 輔助計算!$G$2:$G$801, 0)+1))&lt;=1181,2,1)))=1,TEXT(INDEX(ERP資料!$G:$G, (MATCH(79, 輔助計算!$G$2:$G$801, 0)+1)),"0.##"),IF(IF(INDEX(ERP資料!$G:$G, (MATCH(79, 輔助計算!$G$2:$G$801, 0)+1))&lt;100, IF(INDEX(ERP資料!$G:$G, (MATCH(79, 輔助計算!$G$2:$G$801, 0)+1))&lt;=31,3,IF(INDEX(ERP資料!$G:$G, (MATCH(79, 輔助計算!$G$2:$G$801, 0)+1))&lt;=46.5,2,1)), IF(INDEX(ERP資料!$G:$G, (MATCH(79, 輔助計算!$G$2:$G$801, 0)+1))&lt;=790,3,IF(INDEX(ERP資料!$G:$G, (MATCH(79, 輔助計算!$G$2:$G$801, 0)+1))&lt;=1181,2,1)))=2,TEXT(INDEX(ERP資料!$G:$G, (MATCH(79, 輔助計算!$G$2:$G$801, 0)+1)),"0.##")&amp;"+"&amp;TEXT(INDEX(ERP資料!$G:$G, (MATCH(79, 輔助計算!$G$2:$G$801, 0)+1)),"0.##"),TEXT(INDEX(ERP資料!$G:$G, (MATCH(79, 輔助計算!$G$2:$G$801, 0)+1)),"0.##")&amp;"+"&amp;TEXT(INDEX(ERP資料!$G:$G, (MATCH(79, 輔助計算!$G$2:$G$801, 0)+1)),"0.##")&amp;"+"&amp;TEXT(INDEX(ERP資料!$G:$G, (MATCH(79, 輔助計算!$G$2:$G$801, 0)+1)),"0.##")))&amp;"-"&amp;INT(INDEX(輔助計算!$D:$D, (MATCH(79, 輔助計算!$G$2:$G$801, 0)+1))/IF(INDEX(ERP資料!$G:$G, (MATCH(79, 輔助計算!$G$2:$G$801, 0)+1))&lt;100, IF(INDEX(ERP資料!$G:$G, (MATCH(79, 輔助計算!$G$2:$G$801, 0)+1))&lt;=31,3,IF(INDEX(ERP資料!$G:$G, (MATCH(79, 輔助計算!$G$2:$G$801, 0)+1))&lt;=46.5,2,1)), IF(INDEX(ERP資料!$G:$G, (MATCH(79, 輔助計算!$G$2:$G$801, 0)+1))&lt;=790,3,IF(INDEX(ERP資料!$G:$G, (MATCH(79, 輔助計算!$G$2:$G$801, 0)+1))&lt;=1181,2,1)))), "")&lt;&gt;"",IF(MOD(INDEX(輔助計算!$D:$D, (MATCH(79, 輔助計算!$G$2:$G$801, 0)+1)),IF(INDEX(ERP資料!$G:$G, (MATCH(79, 輔助計算!$G$2:$G$801, 0)+1))&lt;100, IF(INDEX(ERP資料!$G:$G, (MATCH(79, 輔助計算!$G$2:$G$801, 0)+1))&lt;=31,3,IF(INDEX(ERP資料!$G:$G, (MATCH(79, 輔助計算!$G$2:$G$801, 0)+1))&lt;=46.5,2,1)), IF(INDEX(ERP資料!$G:$G, (MATCH(79, 輔助計算!$G$2:$G$801, 0)+1))&lt;=790,3,IF(INDEX(ERP資料!$G:$G, (MATCH(79, 輔助計算!$G$2:$G$801, 0)+1))&lt;=1181,2,1))))=0,"",IF(MOD(INDEX(輔助計算!$D:$D, (MATCH(79, 輔助計算!$G$2:$G$801, 0)+1)),IF(INDEX(ERP資料!$G:$G, (MATCH(79, 輔助計算!$G$2:$G$801, 0)+1))&lt;100, IF(INDEX(ERP資料!$G:$G, (MATCH(79, 輔助計算!$G$2:$G$801, 0)+1))&lt;=31,3,IF(INDEX(ERP資料!$G:$G, (MATCH(79, 輔助計算!$G$2:$G$801, 0)+1))&lt;=46.5,2,1)), IF(INDEX(ERP資料!$G:$G, (MATCH(79, 輔助計算!$G$2:$G$801, 0)+1))&lt;=790,3,IF(INDEX(ERP資料!$G:$G, (MATCH(79, 輔助計算!$G$2:$G$801, 0)+1))&lt;=1181,2,1))))=0,"",IF(MOD(INDEX(輔助計算!$D:$D, (MATCH(79, 輔助計算!$G$2:$G$801, 0)+1)),IF(INDEX(ERP資料!$G:$G, (MATCH(79, 輔助計算!$G$2:$G$801, 0)+1))&lt;100, IF(INDEX(ERP資料!$G:$G, (MATCH(79, 輔助計算!$G$2:$G$801, 0)+1))&lt;=31,3,IF(INDEX(ERP資料!$G:$G, (MATCH(79, 輔助計算!$G$2:$G$801, 0)+1))&lt;=46.5,2,1)), IF(INDEX(ERP資料!$G:$G, (MATCH(79, 輔助計算!$G$2:$G$801, 0)+1))&lt;=790,3,IF(INDEX(ERP資料!$G:$G, (MATCH(79, 輔助計算!$G$2:$G$801, 0)+1))&lt;=1181,2,1))))=1,TEXT(INDEX(ERP資料!$G:$G, (MATCH(79, 輔助計算!$G$2:$G$801, 0)+1)),"0.##"),IF(MOD(INDEX(輔助計算!$D:$D, (MATCH(79, 輔助計算!$G$2:$G$801, 0)+1)),IF(INDEX(ERP資料!$G:$G, (MATCH(79, 輔助計算!$G$2:$G$801, 0)+1))&lt;100, IF(INDEX(ERP資料!$G:$G, (MATCH(79, 輔助計算!$G$2:$G$801, 0)+1))&lt;=31,3,IF(INDEX(ERP資料!$G:$G, (MATCH(79, 輔助計算!$G$2:$G$801, 0)+1))&lt;=46.5,2,1)), IF(INDEX(ERP資料!$G:$G, (MATCH(79, 輔助計算!$G$2:$G$801, 0)+1))&lt;=790,3,IF(INDEX(ERP資料!$G:$G, (MATCH(79, 輔助計算!$G$2:$G$801, 0)+1))&lt;=1181,2,1))))=2,TEXT(INDEX(ERP資料!$G:$G, (MATCH(79, 輔助計算!$G$2:$G$801, 0)+1)),"0.##")&amp;"+"&amp;TEXT(INDEX(ERP資料!$G:$G, (MATCH(79, 輔助計算!$G$2:$G$801, 0)+1)),"0.##"),TEXT(INDEX(ERP資料!$G:$G, (MATCH(79, 輔助計算!$G$2:$G$801, 0)+1)),"0.##")&amp;"+"&amp;TEXT(INDEX(ERP資料!$G:$G, (MATCH(79, 輔助計算!$G$2:$G$801, 0)+1)),"0.##")&amp;"+"&amp;TEXT(INDEX(ERP資料!$G:$G, (MATCH(79, 輔助計算!$G$2:$G$801, 0)+1)),"0.##"))))&amp;"-1")&lt;&gt;""),"  ","")&amp;IF(MOD(INDEX(輔助計算!$D:$D, (MATCH(79, 輔助計算!$G$2:$G$801, 0)+1)),IF(INDEX(ERP資料!$G:$G, (MATCH(79, 輔助計算!$G$2:$G$801, 0)+1))&lt;100, IF(INDEX(ERP資料!$G:$G, (MATCH(79, 輔助計算!$G$2:$G$801, 0)+1))&lt;=31,3,IF(INDEX(ERP資料!$G:$G, (MATCH(79, 輔助計算!$G$2:$G$801, 0)+1))&lt;=46.5,2,1)), IF(INDEX(ERP資料!$G:$G, (MATCH(79, 輔助計算!$G$2:$G$801, 0)+1))&lt;=790,3,IF(INDEX(ERP資料!$G:$G, (MATCH(79, 輔助計算!$G$2:$G$801, 0)+1))&lt;=1181,2,1))))=0,"",IF(MOD(INDEX(輔助計算!$D:$D, (MATCH(79, 輔助計算!$G$2:$G$801, 0)+1)),IF(INDEX(ERP資料!$G:$G, (MATCH(79, 輔助計算!$G$2:$G$801, 0)+1))&lt;100, IF(INDEX(ERP資料!$G:$G, (MATCH(79, 輔助計算!$G$2:$G$801, 0)+1))&lt;=31,3,IF(INDEX(ERP資料!$G:$G, (MATCH(79, 輔助計算!$G$2:$G$801, 0)+1))&lt;=46.5,2,1)), IF(INDEX(ERP資料!$G:$G, (MATCH(79, 輔助計算!$G$2:$G$801, 0)+1))&lt;=790,3,IF(INDEX(ERP資料!$G:$G, (MATCH(79, 輔助計算!$G$2:$G$801, 0)+1))&lt;=1181,2,1))))=0,"",IF(MOD(INDEX(輔助計算!$D:$D, (MATCH(79, 輔助計算!$G$2:$G$801, 0)+1)),IF(INDEX(ERP資料!$G:$G, (MATCH(79, 輔助計算!$G$2:$G$801, 0)+1))&lt;100, IF(INDEX(ERP資料!$G:$G, (MATCH(79, 輔助計算!$G$2:$G$801, 0)+1))&lt;=31,3,IF(INDEX(ERP資料!$G:$G, (MATCH(79, 輔助計算!$G$2:$G$801, 0)+1))&lt;=46.5,2,1)), IF(INDEX(ERP資料!$G:$G, (MATCH(79, 輔助計算!$G$2:$G$801, 0)+1))&lt;=790,3,IF(INDEX(ERP資料!$G:$G, (MATCH(79, 輔助計算!$G$2:$G$801, 0)+1))&lt;=1181,2,1))))=1,TEXT(INDEX(ERP資料!$G:$G, (MATCH(79, 輔助計算!$G$2:$G$801, 0)+1)),"0.##"),IF(MOD(INDEX(輔助計算!$D:$D, (MATCH(79, 輔助計算!$G$2:$G$801, 0)+1)),IF(INDEX(ERP資料!$G:$G, (MATCH(79, 輔助計算!$G$2:$G$801, 0)+1))&lt;100, IF(INDEX(ERP資料!$G:$G, (MATCH(79, 輔助計算!$G$2:$G$801, 0)+1))&lt;=31,3,IF(INDEX(ERP資料!$G:$G, (MATCH(79, 輔助計算!$G$2:$G$801, 0)+1))&lt;=46.5,2,1)), IF(INDEX(ERP資料!$G:$G, (MATCH(79, 輔助計算!$G$2:$G$801, 0)+1))&lt;=790,3,IF(INDEX(ERP資料!$G:$G, (MATCH(79, 輔助計算!$G$2:$G$801, 0)+1))&lt;=1181,2,1))))=2,TEXT(INDEX(ERP資料!$G:$G, (MATCH(79, 輔助計算!$G$2:$G$801, 0)+1)),"0.##")&amp;"+"&amp;TEXT(INDEX(ERP資料!$G:$G, (MATCH(79, 輔助計算!$G$2:$G$801, 0)+1)),"0.##"),TEXT(INDEX(ERP資料!$G:$G, (MATCH(79, 輔助計算!$G$2:$G$801, 0)+1)),"0.##")&amp;"+"&amp;TEXT(INDEX(ERP資料!$G:$G, (MATCH(79, 輔助計算!$G$2:$G$801, 0)+1)),"0.##")&amp;"+"&amp;TEXT(INDEX(ERP資料!$G:$G, (MATCH(79, 輔助計算!$G$2:$G$801, 0)+1)),"0.##"))))&amp;"-1")), ""), "")</f>
        <v/>
      </c>
      <c r="K80" s="16" t="n"/>
      <c r="L80" s="14">
        <f>IFERROR(IF(AND(IFERROR(INDEX(ERP資料!$A:$A, (MATCH(79, 輔助計算!$G$2:$G$801, 0)+1)), "")&lt;&gt;"", IFERROR(INDEX(ERP資料!$A:$A, (MATCH(79, 輔助計算!$G$2:$G$801, 0)+1)), "")&lt;&gt;IFERROR(INDEX(ERP資料!$A:$A, MATCH(78, 輔助計算!$G$2:$G$801, 0)+1), "")), INDEX(ERP資料!$B:$B, (MATCH(79, 輔助計算!$G$2:$G$801, 0)+1)), ""), "")</f>
        <v/>
      </c>
      <c r="M80" s="17" t="n"/>
    </row>
    <row r="81">
      <c r="A81" s="10">
        <f>IFERROR(IF(AND(IFERROR(INDEX(ERP資料!$A:$A, (MATCH(80, 輔助計算!$G$2:$G$801, 0)+1)), "")&lt;&gt;"", IFERROR(INDEX(ERP資料!$A:$A, (MATCH(80, 輔助計算!$G$2:$G$801, 0)+1)), "")&lt;&gt;IFERROR(INDEX(ERP資料!$A:$A, MATCH(79, 輔助計算!$G$2:$G$801, 0)+1), "")), IFERROR(INDEX(ERP資料!$A:$A, (MATCH(80, 輔助計算!$G$2:$G$801, 0)+1)), ""), ""), "")</f>
        <v/>
      </c>
      <c r="B81" s="10">
        <f>IFERROR(IF(AND(IFERROR(INDEX(ERP資料!$A:$A, (MATCH(80, 輔助計算!$G$2:$G$801, 0)+1)), "")&lt;&gt;"", IFERROR(INDEX(ERP資料!$A:$A, (MATCH(80, 輔助計算!$G$2:$G$801, 0)+1)), "")&lt;&gt;IFERROR(INDEX(ERP資料!$A:$A, MATCH(79, 輔助計算!$G$2:$G$801, 0)+1), "")), INDEX(ERP資料!$S:$S, (MATCH(80, 輔助計算!$G$2:$G$801, 0)+1)), ""), "")</f>
        <v/>
      </c>
      <c r="C81" s="19">
        <f>IFERROR(IF(AND(IFERROR(INDEX(ERP資料!$A:$A, (MATCH(80, 輔助計算!$G$2:$G$801, 0)+1)), "")&lt;&gt;"", IFERROR(INDEX(ERP資料!$A:$A, (MATCH(80, 輔助計算!$G$2:$G$801, 0)+1)), "")&lt;&gt;IFERROR(INDEX(ERP資料!$A:$A, MATCH(79, 輔助計算!$G$2:$G$801, 0)+1), "")), IFERROR(VLOOKUP(LEFT(INDEX(ERP資料!$S:$S, (MATCH(80, 輔助計算!$G$2:$G$801, 0)+1)), 4), 紙管對照表!$A:$C, 3, FALSE), ""), ""), "")</f>
        <v/>
      </c>
      <c r="D81" s="16" t="n"/>
      <c r="E81" s="10">
        <f>IFERROR(IF(INDEX(ERP資料!$H:$H, (MATCH(80, 輔助計算!$G$2:$G$801, 0)+1))="","",INDEX(ERP資料!$H:$H, (MATCH(80, 輔助計算!$G$2:$G$801, 0)+1))), "")</f>
        <v/>
      </c>
      <c r="F81" s="10">
        <f>IFERROR(IF(INDEX(ERP資料!$E:$E, (MATCH(80, 輔助計算!$G$2:$G$801, 0)+1))="","",TRIM(INDEX(ERP資料!$E:$E, (MATCH(80, 輔助計算!$G$2:$G$801, 0)+1)))), "")</f>
        <v/>
      </c>
      <c r="G81" s="10">
        <f>IFERROR(IF(INDEX(ERP資料!$F:$F, (MATCH(80, 輔助計算!$G$2:$G$801, 0)+1))="","",INDEX(ERP資料!$F:$F, (MATCH(80, 輔助計算!$G$2:$G$801, 0)+1))), "")</f>
        <v/>
      </c>
      <c r="H81" s="10">
        <f>IFERROR(IF(INDEX(ERP資料!$G:$G, (MATCH(80, 輔助計算!$G$2:$G$801, 0)+1))="","",INDEX(ERP資料!$G:$G, (MATCH(80, 輔助計算!$G$2:$G$801, 0)+1))), "")</f>
        <v/>
      </c>
      <c r="I81" s="15">
        <f>IFERROR(INDEX(輔助計算!$D:$D, (MATCH(80, 輔助計算!$G$2:$G$801, 0)+1)), "")</f>
        <v/>
      </c>
      <c r="J81" s="15">
        <f>IFERROR(IF(AND(INDEX(輔助計算!$D:$D, (MATCH(80, 輔助計算!$G$2:$G$801, 0)+1))&lt;&gt;"", INDEX(ERP資料!$G:$G, (MATCH(80, 輔助計算!$G$2:$G$801, 0)+1))&lt;&gt;""), TRIM(IF(INT(INDEX(輔助計算!$D:$D, (MATCH(80, 輔助計算!$G$2:$G$801, 0)+1))/IF(INDEX(ERP資料!$G:$G, (MATCH(80, 輔助計算!$G$2:$G$801, 0)+1))&lt;100, IF(INDEX(ERP資料!$G:$G, (MATCH(80, 輔助計算!$G$2:$G$801, 0)+1))&lt;=31,3,IF(INDEX(ERP資料!$G:$G, (MATCH(80, 輔助計算!$G$2:$G$801, 0)+1))&lt;=46.5,2,1)), IF(INDEX(ERP資料!$G:$G, (MATCH(80, 輔助計算!$G$2:$G$801, 0)+1))&lt;=790,3,IF(INDEX(ERP資料!$G:$G, (MATCH(80, 輔助計算!$G$2:$G$801, 0)+1))&lt;=1181,2,1))))&gt;0, IF(IF(INDEX(ERP資料!$G:$G, (MATCH(80, 輔助計算!$G$2:$G$801, 0)+1))&lt;100, IF(INDEX(ERP資料!$G:$G, (MATCH(80, 輔助計算!$G$2:$G$801, 0)+1))&lt;=31,3,IF(INDEX(ERP資料!$G:$G, (MATCH(80, 輔助計算!$G$2:$G$801, 0)+1))&lt;=46.5,2,1)), IF(INDEX(ERP資料!$G:$G, (MATCH(80, 輔助計算!$G$2:$G$801, 0)+1))&lt;=790,3,IF(INDEX(ERP資料!$G:$G, (MATCH(80, 輔助計算!$G$2:$G$801, 0)+1))&lt;=1181,2,1)))=1,TEXT(INDEX(ERP資料!$G:$G, (MATCH(80, 輔助計算!$G$2:$G$801, 0)+1)),"0.##"),IF(IF(INDEX(ERP資料!$G:$G, (MATCH(80, 輔助計算!$G$2:$G$801, 0)+1))&lt;100, IF(INDEX(ERP資料!$G:$G, (MATCH(80, 輔助計算!$G$2:$G$801, 0)+1))&lt;=31,3,IF(INDEX(ERP資料!$G:$G, (MATCH(80, 輔助計算!$G$2:$G$801, 0)+1))&lt;=46.5,2,1)), IF(INDEX(ERP資料!$G:$G, (MATCH(80, 輔助計算!$G$2:$G$801, 0)+1))&lt;=790,3,IF(INDEX(ERP資料!$G:$G, (MATCH(80, 輔助計算!$G$2:$G$801, 0)+1))&lt;=1181,2,1)))=2,TEXT(INDEX(ERP資料!$G:$G, (MATCH(80, 輔助計算!$G$2:$G$801, 0)+1)),"0.##")&amp;"+"&amp;TEXT(INDEX(ERP資料!$G:$G, (MATCH(80, 輔助計算!$G$2:$G$801, 0)+1)),"0.##"),TEXT(INDEX(ERP資料!$G:$G, (MATCH(80, 輔助計算!$G$2:$G$801, 0)+1)),"0.##")&amp;"+"&amp;TEXT(INDEX(ERP資料!$G:$G, (MATCH(80, 輔助計算!$G$2:$G$801, 0)+1)),"0.##")&amp;"+"&amp;TEXT(INDEX(ERP資料!$G:$G, (MATCH(80, 輔助計算!$G$2:$G$801, 0)+1)),"0.##")))&amp;"-"&amp;INT(INDEX(輔助計算!$D:$D, (MATCH(80, 輔助計算!$G$2:$G$801, 0)+1))/IF(INDEX(ERP資料!$G:$G, (MATCH(80, 輔助計算!$G$2:$G$801, 0)+1))&lt;100, IF(INDEX(ERP資料!$G:$G, (MATCH(80, 輔助計算!$G$2:$G$801, 0)+1))&lt;=31,3,IF(INDEX(ERP資料!$G:$G, (MATCH(80, 輔助計算!$G$2:$G$801, 0)+1))&lt;=46.5,2,1)), IF(INDEX(ERP資料!$G:$G, (MATCH(80, 輔助計算!$G$2:$G$801, 0)+1))&lt;=790,3,IF(INDEX(ERP資料!$G:$G, (MATCH(80, 輔助計算!$G$2:$G$801, 0)+1))&lt;=1181,2,1)))), "")&amp;IF(AND(IF(INT(INDEX(輔助計算!$D:$D, (MATCH(80, 輔助計算!$G$2:$G$801, 0)+1))/IF(INDEX(ERP資料!$G:$G, (MATCH(80, 輔助計算!$G$2:$G$801, 0)+1))&lt;100, IF(INDEX(ERP資料!$G:$G, (MATCH(80, 輔助計算!$G$2:$G$801, 0)+1))&lt;=31,3,IF(INDEX(ERP資料!$G:$G, (MATCH(80, 輔助計算!$G$2:$G$801, 0)+1))&lt;=46.5,2,1)), IF(INDEX(ERP資料!$G:$G, (MATCH(80, 輔助計算!$G$2:$G$801, 0)+1))&lt;=790,3,IF(INDEX(ERP資料!$G:$G, (MATCH(80, 輔助計算!$G$2:$G$801, 0)+1))&lt;=1181,2,1))))&gt;0, IF(IF(INDEX(ERP資料!$G:$G, (MATCH(80, 輔助計算!$G$2:$G$801, 0)+1))&lt;100, IF(INDEX(ERP資料!$G:$G, (MATCH(80, 輔助計算!$G$2:$G$801, 0)+1))&lt;=31,3,IF(INDEX(ERP資料!$G:$G, (MATCH(80, 輔助計算!$G$2:$G$801, 0)+1))&lt;=46.5,2,1)), IF(INDEX(ERP資料!$G:$G, (MATCH(80, 輔助計算!$G$2:$G$801, 0)+1))&lt;=790,3,IF(INDEX(ERP資料!$G:$G, (MATCH(80, 輔助計算!$G$2:$G$801, 0)+1))&lt;=1181,2,1)))=1,TEXT(INDEX(ERP資料!$G:$G, (MATCH(80, 輔助計算!$G$2:$G$801, 0)+1)),"0.##"),IF(IF(INDEX(ERP資料!$G:$G, (MATCH(80, 輔助計算!$G$2:$G$801, 0)+1))&lt;100, IF(INDEX(ERP資料!$G:$G, (MATCH(80, 輔助計算!$G$2:$G$801, 0)+1))&lt;=31,3,IF(INDEX(ERP資料!$G:$G, (MATCH(80, 輔助計算!$G$2:$G$801, 0)+1))&lt;=46.5,2,1)), IF(INDEX(ERP資料!$G:$G, (MATCH(80, 輔助計算!$G$2:$G$801, 0)+1))&lt;=790,3,IF(INDEX(ERP資料!$G:$G, (MATCH(80, 輔助計算!$G$2:$G$801, 0)+1))&lt;=1181,2,1)))=2,TEXT(INDEX(ERP資料!$G:$G, (MATCH(80, 輔助計算!$G$2:$G$801, 0)+1)),"0.##")&amp;"+"&amp;TEXT(INDEX(ERP資料!$G:$G, (MATCH(80, 輔助計算!$G$2:$G$801, 0)+1)),"0.##"),TEXT(INDEX(ERP資料!$G:$G, (MATCH(80, 輔助計算!$G$2:$G$801, 0)+1)),"0.##")&amp;"+"&amp;TEXT(INDEX(ERP資料!$G:$G, (MATCH(80, 輔助計算!$G$2:$G$801, 0)+1)),"0.##")&amp;"+"&amp;TEXT(INDEX(ERP資料!$G:$G, (MATCH(80, 輔助計算!$G$2:$G$801, 0)+1)),"0.##")))&amp;"-"&amp;INT(INDEX(輔助計算!$D:$D, (MATCH(80, 輔助計算!$G$2:$G$801, 0)+1))/IF(INDEX(ERP資料!$G:$G, (MATCH(80, 輔助計算!$G$2:$G$801, 0)+1))&lt;100, IF(INDEX(ERP資料!$G:$G, (MATCH(80, 輔助計算!$G$2:$G$801, 0)+1))&lt;=31,3,IF(INDEX(ERP資料!$G:$G, (MATCH(80, 輔助計算!$G$2:$G$801, 0)+1))&lt;=46.5,2,1)), IF(INDEX(ERP資料!$G:$G, (MATCH(80, 輔助計算!$G$2:$G$801, 0)+1))&lt;=790,3,IF(INDEX(ERP資料!$G:$G, (MATCH(80, 輔助計算!$G$2:$G$801, 0)+1))&lt;=1181,2,1)))), "")&lt;&gt;"",IF(MOD(INDEX(輔助計算!$D:$D, (MATCH(80, 輔助計算!$G$2:$G$801, 0)+1)),IF(INDEX(ERP資料!$G:$G, (MATCH(80, 輔助計算!$G$2:$G$801, 0)+1))&lt;100, IF(INDEX(ERP資料!$G:$G, (MATCH(80, 輔助計算!$G$2:$G$801, 0)+1))&lt;=31,3,IF(INDEX(ERP資料!$G:$G, (MATCH(80, 輔助計算!$G$2:$G$801, 0)+1))&lt;=46.5,2,1)), IF(INDEX(ERP資料!$G:$G, (MATCH(80, 輔助計算!$G$2:$G$801, 0)+1))&lt;=790,3,IF(INDEX(ERP資料!$G:$G, (MATCH(80, 輔助計算!$G$2:$G$801, 0)+1))&lt;=1181,2,1))))=0,"",IF(MOD(INDEX(輔助計算!$D:$D, (MATCH(80, 輔助計算!$G$2:$G$801, 0)+1)),IF(INDEX(ERP資料!$G:$G, (MATCH(80, 輔助計算!$G$2:$G$801, 0)+1))&lt;100, IF(INDEX(ERP資料!$G:$G, (MATCH(80, 輔助計算!$G$2:$G$801, 0)+1))&lt;=31,3,IF(INDEX(ERP資料!$G:$G, (MATCH(80, 輔助計算!$G$2:$G$801, 0)+1))&lt;=46.5,2,1)), IF(INDEX(ERP資料!$G:$G, (MATCH(80, 輔助計算!$G$2:$G$801, 0)+1))&lt;=790,3,IF(INDEX(ERP資料!$G:$G, (MATCH(80, 輔助計算!$G$2:$G$801, 0)+1))&lt;=1181,2,1))))=0,"",IF(MOD(INDEX(輔助計算!$D:$D, (MATCH(80, 輔助計算!$G$2:$G$801, 0)+1)),IF(INDEX(ERP資料!$G:$G, (MATCH(80, 輔助計算!$G$2:$G$801, 0)+1))&lt;100, IF(INDEX(ERP資料!$G:$G, (MATCH(80, 輔助計算!$G$2:$G$801, 0)+1))&lt;=31,3,IF(INDEX(ERP資料!$G:$G, (MATCH(80, 輔助計算!$G$2:$G$801, 0)+1))&lt;=46.5,2,1)), IF(INDEX(ERP資料!$G:$G, (MATCH(80, 輔助計算!$G$2:$G$801, 0)+1))&lt;=790,3,IF(INDEX(ERP資料!$G:$G, (MATCH(80, 輔助計算!$G$2:$G$801, 0)+1))&lt;=1181,2,1))))=1,TEXT(INDEX(ERP資料!$G:$G, (MATCH(80, 輔助計算!$G$2:$G$801, 0)+1)),"0.##"),IF(MOD(INDEX(輔助計算!$D:$D, (MATCH(80, 輔助計算!$G$2:$G$801, 0)+1)),IF(INDEX(ERP資料!$G:$G, (MATCH(80, 輔助計算!$G$2:$G$801, 0)+1))&lt;100, IF(INDEX(ERP資料!$G:$G, (MATCH(80, 輔助計算!$G$2:$G$801, 0)+1))&lt;=31,3,IF(INDEX(ERP資料!$G:$G, (MATCH(80, 輔助計算!$G$2:$G$801, 0)+1))&lt;=46.5,2,1)), IF(INDEX(ERP資料!$G:$G, (MATCH(80, 輔助計算!$G$2:$G$801, 0)+1))&lt;=790,3,IF(INDEX(ERP資料!$G:$G, (MATCH(80, 輔助計算!$G$2:$G$801, 0)+1))&lt;=1181,2,1))))=2,TEXT(INDEX(ERP資料!$G:$G, (MATCH(80, 輔助計算!$G$2:$G$801, 0)+1)),"0.##")&amp;"+"&amp;TEXT(INDEX(ERP資料!$G:$G, (MATCH(80, 輔助計算!$G$2:$G$801, 0)+1)),"0.##"),TEXT(INDEX(ERP資料!$G:$G, (MATCH(80, 輔助計算!$G$2:$G$801, 0)+1)),"0.##")&amp;"+"&amp;TEXT(INDEX(ERP資料!$G:$G, (MATCH(80, 輔助計算!$G$2:$G$801, 0)+1)),"0.##")&amp;"+"&amp;TEXT(INDEX(ERP資料!$G:$G, (MATCH(80, 輔助計算!$G$2:$G$801, 0)+1)),"0.##"))))&amp;"-1")&lt;&gt;""),"  ","")&amp;IF(MOD(INDEX(輔助計算!$D:$D, (MATCH(80, 輔助計算!$G$2:$G$801, 0)+1)),IF(INDEX(ERP資料!$G:$G, (MATCH(80, 輔助計算!$G$2:$G$801, 0)+1))&lt;100, IF(INDEX(ERP資料!$G:$G, (MATCH(80, 輔助計算!$G$2:$G$801, 0)+1))&lt;=31,3,IF(INDEX(ERP資料!$G:$G, (MATCH(80, 輔助計算!$G$2:$G$801, 0)+1))&lt;=46.5,2,1)), IF(INDEX(ERP資料!$G:$G, (MATCH(80, 輔助計算!$G$2:$G$801, 0)+1))&lt;=790,3,IF(INDEX(ERP資料!$G:$G, (MATCH(80, 輔助計算!$G$2:$G$801, 0)+1))&lt;=1181,2,1))))=0,"",IF(MOD(INDEX(輔助計算!$D:$D, (MATCH(80, 輔助計算!$G$2:$G$801, 0)+1)),IF(INDEX(ERP資料!$G:$G, (MATCH(80, 輔助計算!$G$2:$G$801, 0)+1))&lt;100, IF(INDEX(ERP資料!$G:$G, (MATCH(80, 輔助計算!$G$2:$G$801, 0)+1))&lt;=31,3,IF(INDEX(ERP資料!$G:$G, (MATCH(80, 輔助計算!$G$2:$G$801, 0)+1))&lt;=46.5,2,1)), IF(INDEX(ERP資料!$G:$G, (MATCH(80, 輔助計算!$G$2:$G$801, 0)+1))&lt;=790,3,IF(INDEX(ERP資料!$G:$G, (MATCH(80, 輔助計算!$G$2:$G$801, 0)+1))&lt;=1181,2,1))))=0,"",IF(MOD(INDEX(輔助計算!$D:$D, (MATCH(80, 輔助計算!$G$2:$G$801, 0)+1)),IF(INDEX(ERP資料!$G:$G, (MATCH(80, 輔助計算!$G$2:$G$801, 0)+1))&lt;100, IF(INDEX(ERP資料!$G:$G, (MATCH(80, 輔助計算!$G$2:$G$801, 0)+1))&lt;=31,3,IF(INDEX(ERP資料!$G:$G, (MATCH(80, 輔助計算!$G$2:$G$801, 0)+1))&lt;=46.5,2,1)), IF(INDEX(ERP資料!$G:$G, (MATCH(80, 輔助計算!$G$2:$G$801, 0)+1))&lt;=790,3,IF(INDEX(ERP資料!$G:$G, (MATCH(80, 輔助計算!$G$2:$G$801, 0)+1))&lt;=1181,2,1))))=1,TEXT(INDEX(ERP資料!$G:$G, (MATCH(80, 輔助計算!$G$2:$G$801, 0)+1)),"0.##"),IF(MOD(INDEX(輔助計算!$D:$D, (MATCH(80, 輔助計算!$G$2:$G$801, 0)+1)),IF(INDEX(ERP資料!$G:$G, (MATCH(80, 輔助計算!$G$2:$G$801, 0)+1))&lt;100, IF(INDEX(ERP資料!$G:$G, (MATCH(80, 輔助計算!$G$2:$G$801, 0)+1))&lt;=31,3,IF(INDEX(ERP資料!$G:$G, (MATCH(80, 輔助計算!$G$2:$G$801, 0)+1))&lt;=46.5,2,1)), IF(INDEX(ERP資料!$G:$G, (MATCH(80, 輔助計算!$G$2:$G$801, 0)+1))&lt;=790,3,IF(INDEX(ERP資料!$G:$G, (MATCH(80, 輔助計算!$G$2:$G$801, 0)+1))&lt;=1181,2,1))))=2,TEXT(INDEX(ERP資料!$G:$G, (MATCH(80, 輔助計算!$G$2:$G$801, 0)+1)),"0.##")&amp;"+"&amp;TEXT(INDEX(ERP資料!$G:$G, (MATCH(80, 輔助計算!$G$2:$G$801, 0)+1)),"0.##"),TEXT(INDEX(ERP資料!$G:$G, (MATCH(80, 輔助計算!$G$2:$G$801, 0)+1)),"0.##")&amp;"+"&amp;TEXT(INDEX(ERP資料!$G:$G, (MATCH(80, 輔助計算!$G$2:$G$801, 0)+1)),"0.##")&amp;"+"&amp;TEXT(INDEX(ERP資料!$G:$G, (MATCH(80, 輔助計算!$G$2:$G$801, 0)+1)),"0.##"))))&amp;"-1")), ""), "")</f>
        <v/>
      </c>
      <c r="K81" s="16" t="n"/>
      <c r="L81" s="14">
        <f>IFERROR(IF(AND(IFERROR(INDEX(ERP資料!$A:$A, (MATCH(80, 輔助計算!$G$2:$G$801, 0)+1)), "")&lt;&gt;"", IFERROR(INDEX(ERP資料!$A:$A, (MATCH(80, 輔助計算!$G$2:$G$801, 0)+1)), "")&lt;&gt;IFERROR(INDEX(ERP資料!$A:$A, MATCH(79, 輔助計算!$G$2:$G$801, 0)+1), "")), INDEX(ERP資料!$B:$B, (MATCH(80, 輔助計算!$G$2:$G$801, 0)+1)), ""), "")</f>
        <v/>
      </c>
      <c r="M81" s="17" t="n"/>
    </row>
    <row r="82">
      <c r="A82" s="10">
        <f>IFERROR(IF(AND(IFERROR(INDEX(ERP資料!$A:$A, (MATCH(81, 輔助計算!$G$2:$G$801, 0)+1)), "")&lt;&gt;"", IFERROR(INDEX(ERP資料!$A:$A, (MATCH(81, 輔助計算!$G$2:$G$801, 0)+1)), "")&lt;&gt;IFERROR(INDEX(ERP資料!$A:$A, MATCH(80, 輔助計算!$G$2:$G$801, 0)+1), "")), IFERROR(INDEX(ERP資料!$A:$A, (MATCH(81, 輔助計算!$G$2:$G$801, 0)+1)), ""), ""), "")</f>
        <v/>
      </c>
      <c r="B82" s="10">
        <f>IFERROR(IF(AND(IFERROR(INDEX(ERP資料!$A:$A, (MATCH(81, 輔助計算!$G$2:$G$801, 0)+1)), "")&lt;&gt;"", IFERROR(INDEX(ERP資料!$A:$A, (MATCH(81, 輔助計算!$G$2:$G$801, 0)+1)), "")&lt;&gt;IFERROR(INDEX(ERP資料!$A:$A, MATCH(80, 輔助計算!$G$2:$G$801, 0)+1), "")), INDEX(ERP資料!$S:$S, (MATCH(81, 輔助計算!$G$2:$G$801, 0)+1)), ""), "")</f>
        <v/>
      </c>
      <c r="C82" s="19">
        <f>IFERROR(IF(AND(IFERROR(INDEX(ERP資料!$A:$A, (MATCH(81, 輔助計算!$G$2:$G$801, 0)+1)), "")&lt;&gt;"", IFERROR(INDEX(ERP資料!$A:$A, (MATCH(81, 輔助計算!$G$2:$G$801, 0)+1)), "")&lt;&gt;IFERROR(INDEX(ERP資料!$A:$A, MATCH(80, 輔助計算!$G$2:$G$801, 0)+1), "")), IFERROR(VLOOKUP(LEFT(INDEX(ERP資料!$S:$S, (MATCH(81, 輔助計算!$G$2:$G$801, 0)+1)), 4), 紙管對照表!$A:$C, 3, FALSE), ""), ""), "")</f>
        <v/>
      </c>
      <c r="D82" s="16" t="n"/>
      <c r="E82" s="10">
        <f>IFERROR(IF(INDEX(ERP資料!$H:$H, (MATCH(81, 輔助計算!$G$2:$G$801, 0)+1))="","",INDEX(ERP資料!$H:$H, (MATCH(81, 輔助計算!$G$2:$G$801, 0)+1))), "")</f>
        <v/>
      </c>
      <c r="F82" s="10">
        <f>IFERROR(IF(INDEX(ERP資料!$E:$E, (MATCH(81, 輔助計算!$G$2:$G$801, 0)+1))="","",TRIM(INDEX(ERP資料!$E:$E, (MATCH(81, 輔助計算!$G$2:$G$801, 0)+1)))), "")</f>
        <v/>
      </c>
      <c r="G82" s="10">
        <f>IFERROR(IF(INDEX(ERP資料!$F:$F, (MATCH(81, 輔助計算!$G$2:$G$801, 0)+1))="","",INDEX(ERP資料!$F:$F, (MATCH(81, 輔助計算!$G$2:$G$801, 0)+1))), "")</f>
        <v/>
      </c>
      <c r="H82" s="10">
        <f>IFERROR(IF(INDEX(ERP資料!$G:$G, (MATCH(81, 輔助計算!$G$2:$G$801, 0)+1))="","",INDEX(ERP資料!$G:$G, (MATCH(81, 輔助計算!$G$2:$G$801, 0)+1))), "")</f>
        <v/>
      </c>
      <c r="I82" s="15">
        <f>IFERROR(INDEX(輔助計算!$D:$D, (MATCH(81, 輔助計算!$G$2:$G$801, 0)+1)), "")</f>
        <v/>
      </c>
      <c r="J82" s="15">
        <f>IFERROR(IF(AND(INDEX(輔助計算!$D:$D, (MATCH(81, 輔助計算!$G$2:$G$801, 0)+1))&lt;&gt;"", INDEX(ERP資料!$G:$G, (MATCH(81, 輔助計算!$G$2:$G$801, 0)+1))&lt;&gt;""), TRIM(IF(INT(INDEX(輔助計算!$D:$D, (MATCH(81, 輔助計算!$G$2:$G$801, 0)+1))/IF(INDEX(ERP資料!$G:$G, (MATCH(81, 輔助計算!$G$2:$G$801, 0)+1))&lt;100, IF(INDEX(ERP資料!$G:$G, (MATCH(81, 輔助計算!$G$2:$G$801, 0)+1))&lt;=31,3,IF(INDEX(ERP資料!$G:$G, (MATCH(81, 輔助計算!$G$2:$G$801, 0)+1))&lt;=46.5,2,1)), IF(INDEX(ERP資料!$G:$G, (MATCH(81, 輔助計算!$G$2:$G$801, 0)+1))&lt;=790,3,IF(INDEX(ERP資料!$G:$G, (MATCH(81, 輔助計算!$G$2:$G$801, 0)+1))&lt;=1181,2,1))))&gt;0, IF(IF(INDEX(ERP資料!$G:$G, (MATCH(81, 輔助計算!$G$2:$G$801, 0)+1))&lt;100, IF(INDEX(ERP資料!$G:$G, (MATCH(81, 輔助計算!$G$2:$G$801, 0)+1))&lt;=31,3,IF(INDEX(ERP資料!$G:$G, (MATCH(81, 輔助計算!$G$2:$G$801, 0)+1))&lt;=46.5,2,1)), IF(INDEX(ERP資料!$G:$G, (MATCH(81, 輔助計算!$G$2:$G$801, 0)+1))&lt;=790,3,IF(INDEX(ERP資料!$G:$G, (MATCH(81, 輔助計算!$G$2:$G$801, 0)+1))&lt;=1181,2,1)))=1,TEXT(INDEX(ERP資料!$G:$G, (MATCH(81, 輔助計算!$G$2:$G$801, 0)+1)),"0.##"),IF(IF(INDEX(ERP資料!$G:$G, (MATCH(81, 輔助計算!$G$2:$G$801, 0)+1))&lt;100, IF(INDEX(ERP資料!$G:$G, (MATCH(81, 輔助計算!$G$2:$G$801, 0)+1))&lt;=31,3,IF(INDEX(ERP資料!$G:$G, (MATCH(81, 輔助計算!$G$2:$G$801, 0)+1))&lt;=46.5,2,1)), IF(INDEX(ERP資料!$G:$G, (MATCH(81, 輔助計算!$G$2:$G$801, 0)+1))&lt;=790,3,IF(INDEX(ERP資料!$G:$G, (MATCH(81, 輔助計算!$G$2:$G$801, 0)+1))&lt;=1181,2,1)))=2,TEXT(INDEX(ERP資料!$G:$G, (MATCH(81, 輔助計算!$G$2:$G$801, 0)+1)),"0.##")&amp;"+"&amp;TEXT(INDEX(ERP資料!$G:$G, (MATCH(81, 輔助計算!$G$2:$G$801, 0)+1)),"0.##"),TEXT(INDEX(ERP資料!$G:$G, (MATCH(81, 輔助計算!$G$2:$G$801, 0)+1)),"0.##")&amp;"+"&amp;TEXT(INDEX(ERP資料!$G:$G, (MATCH(81, 輔助計算!$G$2:$G$801, 0)+1)),"0.##")&amp;"+"&amp;TEXT(INDEX(ERP資料!$G:$G, (MATCH(81, 輔助計算!$G$2:$G$801, 0)+1)),"0.##")))&amp;"-"&amp;INT(INDEX(輔助計算!$D:$D, (MATCH(81, 輔助計算!$G$2:$G$801, 0)+1))/IF(INDEX(ERP資料!$G:$G, (MATCH(81, 輔助計算!$G$2:$G$801, 0)+1))&lt;100, IF(INDEX(ERP資料!$G:$G, (MATCH(81, 輔助計算!$G$2:$G$801, 0)+1))&lt;=31,3,IF(INDEX(ERP資料!$G:$G, (MATCH(81, 輔助計算!$G$2:$G$801, 0)+1))&lt;=46.5,2,1)), IF(INDEX(ERP資料!$G:$G, (MATCH(81, 輔助計算!$G$2:$G$801, 0)+1))&lt;=790,3,IF(INDEX(ERP資料!$G:$G, (MATCH(81, 輔助計算!$G$2:$G$801, 0)+1))&lt;=1181,2,1)))), "")&amp;IF(AND(IF(INT(INDEX(輔助計算!$D:$D, (MATCH(81, 輔助計算!$G$2:$G$801, 0)+1))/IF(INDEX(ERP資料!$G:$G, (MATCH(81, 輔助計算!$G$2:$G$801, 0)+1))&lt;100, IF(INDEX(ERP資料!$G:$G, (MATCH(81, 輔助計算!$G$2:$G$801, 0)+1))&lt;=31,3,IF(INDEX(ERP資料!$G:$G, (MATCH(81, 輔助計算!$G$2:$G$801, 0)+1))&lt;=46.5,2,1)), IF(INDEX(ERP資料!$G:$G, (MATCH(81, 輔助計算!$G$2:$G$801, 0)+1))&lt;=790,3,IF(INDEX(ERP資料!$G:$G, (MATCH(81, 輔助計算!$G$2:$G$801, 0)+1))&lt;=1181,2,1))))&gt;0, IF(IF(INDEX(ERP資料!$G:$G, (MATCH(81, 輔助計算!$G$2:$G$801, 0)+1))&lt;100, IF(INDEX(ERP資料!$G:$G, (MATCH(81, 輔助計算!$G$2:$G$801, 0)+1))&lt;=31,3,IF(INDEX(ERP資料!$G:$G, (MATCH(81, 輔助計算!$G$2:$G$801, 0)+1))&lt;=46.5,2,1)), IF(INDEX(ERP資料!$G:$G, (MATCH(81, 輔助計算!$G$2:$G$801, 0)+1))&lt;=790,3,IF(INDEX(ERP資料!$G:$G, (MATCH(81, 輔助計算!$G$2:$G$801, 0)+1))&lt;=1181,2,1)))=1,TEXT(INDEX(ERP資料!$G:$G, (MATCH(81, 輔助計算!$G$2:$G$801, 0)+1)),"0.##"),IF(IF(INDEX(ERP資料!$G:$G, (MATCH(81, 輔助計算!$G$2:$G$801, 0)+1))&lt;100, IF(INDEX(ERP資料!$G:$G, (MATCH(81, 輔助計算!$G$2:$G$801, 0)+1))&lt;=31,3,IF(INDEX(ERP資料!$G:$G, (MATCH(81, 輔助計算!$G$2:$G$801, 0)+1))&lt;=46.5,2,1)), IF(INDEX(ERP資料!$G:$G, (MATCH(81, 輔助計算!$G$2:$G$801, 0)+1))&lt;=790,3,IF(INDEX(ERP資料!$G:$G, (MATCH(81, 輔助計算!$G$2:$G$801, 0)+1))&lt;=1181,2,1)))=2,TEXT(INDEX(ERP資料!$G:$G, (MATCH(81, 輔助計算!$G$2:$G$801, 0)+1)),"0.##")&amp;"+"&amp;TEXT(INDEX(ERP資料!$G:$G, (MATCH(81, 輔助計算!$G$2:$G$801, 0)+1)),"0.##"),TEXT(INDEX(ERP資料!$G:$G, (MATCH(81, 輔助計算!$G$2:$G$801, 0)+1)),"0.##")&amp;"+"&amp;TEXT(INDEX(ERP資料!$G:$G, (MATCH(81, 輔助計算!$G$2:$G$801, 0)+1)),"0.##")&amp;"+"&amp;TEXT(INDEX(ERP資料!$G:$G, (MATCH(81, 輔助計算!$G$2:$G$801, 0)+1)),"0.##")))&amp;"-"&amp;INT(INDEX(輔助計算!$D:$D, (MATCH(81, 輔助計算!$G$2:$G$801, 0)+1))/IF(INDEX(ERP資料!$G:$G, (MATCH(81, 輔助計算!$G$2:$G$801, 0)+1))&lt;100, IF(INDEX(ERP資料!$G:$G, (MATCH(81, 輔助計算!$G$2:$G$801, 0)+1))&lt;=31,3,IF(INDEX(ERP資料!$G:$G, (MATCH(81, 輔助計算!$G$2:$G$801, 0)+1))&lt;=46.5,2,1)), IF(INDEX(ERP資料!$G:$G, (MATCH(81, 輔助計算!$G$2:$G$801, 0)+1))&lt;=790,3,IF(INDEX(ERP資料!$G:$G, (MATCH(81, 輔助計算!$G$2:$G$801, 0)+1))&lt;=1181,2,1)))), "")&lt;&gt;"",IF(MOD(INDEX(輔助計算!$D:$D, (MATCH(81, 輔助計算!$G$2:$G$801, 0)+1)),IF(INDEX(ERP資料!$G:$G, (MATCH(81, 輔助計算!$G$2:$G$801, 0)+1))&lt;100, IF(INDEX(ERP資料!$G:$G, (MATCH(81, 輔助計算!$G$2:$G$801, 0)+1))&lt;=31,3,IF(INDEX(ERP資料!$G:$G, (MATCH(81, 輔助計算!$G$2:$G$801, 0)+1))&lt;=46.5,2,1)), IF(INDEX(ERP資料!$G:$G, (MATCH(81, 輔助計算!$G$2:$G$801, 0)+1))&lt;=790,3,IF(INDEX(ERP資料!$G:$G, (MATCH(81, 輔助計算!$G$2:$G$801, 0)+1))&lt;=1181,2,1))))=0,"",IF(MOD(INDEX(輔助計算!$D:$D, (MATCH(81, 輔助計算!$G$2:$G$801, 0)+1)),IF(INDEX(ERP資料!$G:$G, (MATCH(81, 輔助計算!$G$2:$G$801, 0)+1))&lt;100, IF(INDEX(ERP資料!$G:$G, (MATCH(81, 輔助計算!$G$2:$G$801, 0)+1))&lt;=31,3,IF(INDEX(ERP資料!$G:$G, (MATCH(81, 輔助計算!$G$2:$G$801, 0)+1))&lt;=46.5,2,1)), IF(INDEX(ERP資料!$G:$G, (MATCH(81, 輔助計算!$G$2:$G$801, 0)+1))&lt;=790,3,IF(INDEX(ERP資料!$G:$G, (MATCH(81, 輔助計算!$G$2:$G$801, 0)+1))&lt;=1181,2,1))))=0,"",IF(MOD(INDEX(輔助計算!$D:$D, (MATCH(81, 輔助計算!$G$2:$G$801, 0)+1)),IF(INDEX(ERP資料!$G:$G, (MATCH(81, 輔助計算!$G$2:$G$801, 0)+1))&lt;100, IF(INDEX(ERP資料!$G:$G, (MATCH(81, 輔助計算!$G$2:$G$801, 0)+1))&lt;=31,3,IF(INDEX(ERP資料!$G:$G, (MATCH(81, 輔助計算!$G$2:$G$801, 0)+1))&lt;=46.5,2,1)), IF(INDEX(ERP資料!$G:$G, (MATCH(81, 輔助計算!$G$2:$G$801, 0)+1))&lt;=790,3,IF(INDEX(ERP資料!$G:$G, (MATCH(81, 輔助計算!$G$2:$G$801, 0)+1))&lt;=1181,2,1))))=1,TEXT(INDEX(ERP資料!$G:$G, (MATCH(81, 輔助計算!$G$2:$G$801, 0)+1)),"0.##"),IF(MOD(INDEX(輔助計算!$D:$D, (MATCH(81, 輔助計算!$G$2:$G$801, 0)+1)),IF(INDEX(ERP資料!$G:$G, (MATCH(81, 輔助計算!$G$2:$G$801, 0)+1))&lt;100, IF(INDEX(ERP資料!$G:$G, (MATCH(81, 輔助計算!$G$2:$G$801, 0)+1))&lt;=31,3,IF(INDEX(ERP資料!$G:$G, (MATCH(81, 輔助計算!$G$2:$G$801, 0)+1))&lt;=46.5,2,1)), IF(INDEX(ERP資料!$G:$G, (MATCH(81, 輔助計算!$G$2:$G$801, 0)+1))&lt;=790,3,IF(INDEX(ERP資料!$G:$G, (MATCH(81, 輔助計算!$G$2:$G$801, 0)+1))&lt;=1181,2,1))))=2,TEXT(INDEX(ERP資料!$G:$G, (MATCH(81, 輔助計算!$G$2:$G$801, 0)+1)),"0.##")&amp;"+"&amp;TEXT(INDEX(ERP資料!$G:$G, (MATCH(81, 輔助計算!$G$2:$G$801, 0)+1)),"0.##"),TEXT(INDEX(ERP資料!$G:$G, (MATCH(81, 輔助計算!$G$2:$G$801, 0)+1)),"0.##")&amp;"+"&amp;TEXT(INDEX(ERP資料!$G:$G, (MATCH(81, 輔助計算!$G$2:$G$801, 0)+1)),"0.##")&amp;"+"&amp;TEXT(INDEX(ERP資料!$G:$G, (MATCH(81, 輔助計算!$G$2:$G$801, 0)+1)),"0.##"))))&amp;"-1")&lt;&gt;""),"  ","")&amp;IF(MOD(INDEX(輔助計算!$D:$D, (MATCH(81, 輔助計算!$G$2:$G$801, 0)+1)),IF(INDEX(ERP資料!$G:$G, (MATCH(81, 輔助計算!$G$2:$G$801, 0)+1))&lt;100, IF(INDEX(ERP資料!$G:$G, (MATCH(81, 輔助計算!$G$2:$G$801, 0)+1))&lt;=31,3,IF(INDEX(ERP資料!$G:$G, (MATCH(81, 輔助計算!$G$2:$G$801, 0)+1))&lt;=46.5,2,1)), IF(INDEX(ERP資料!$G:$G, (MATCH(81, 輔助計算!$G$2:$G$801, 0)+1))&lt;=790,3,IF(INDEX(ERP資料!$G:$G, (MATCH(81, 輔助計算!$G$2:$G$801, 0)+1))&lt;=1181,2,1))))=0,"",IF(MOD(INDEX(輔助計算!$D:$D, (MATCH(81, 輔助計算!$G$2:$G$801, 0)+1)),IF(INDEX(ERP資料!$G:$G, (MATCH(81, 輔助計算!$G$2:$G$801, 0)+1))&lt;100, IF(INDEX(ERP資料!$G:$G, (MATCH(81, 輔助計算!$G$2:$G$801, 0)+1))&lt;=31,3,IF(INDEX(ERP資料!$G:$G, (MATCH(81, 輔助計算!$G$2:$G$801, 0)+1))&lt;=46.5,2,1)), IF(INDEX(ERP資料!$G:$G, (MATCH(81, 輔助計算!$G$2:$G$801, 0)+1))&lt;=790,3,IF(INDEX(ERP資料!$G:$G, (MATCH(81, 輔助計算!$G$2:$G$801, 0)+1))&lt;=1181,2,1))))=0,"",IF(MOD(INDEX(輔助計算!$D:$D, (MATCH(81, 輔助計算!$G$2:$G$801, 0)+1)),IF(INDEX(ERP資料!$G:$G, (MATCH(81, 輔助計算!$G$2:$G$801, 0)+1))&lt;100, IF(INDEX(ERP資料!$G:$G, (MATCH(81, 輔助計算!$G$2:$G$801, 0)+1))&lt;=31,3,IF(INDEX(ERP資料!$G:$G, (MATCH(81, 輔助計算!$G$2:$G$801, 0)+1))&lt;=46.5,2,1)), IF(INDEX(ERP資料!$G:$G, (MATCH(81, 輔助計算!$G$2:$G$801, 0)+1))&lt;=790,3,IF(INDEX(ERP資料!$G:$G, (MATCH(81, 輔助計算!$G$2:$G$801, 0)+1))&lt;=1181,2,1))))=1,TEXT(INDEX(ERP資料!$G:$G, (MATCH(81, 輔助計算!$G$2:$G$801, 0)+1)),"0.##"),IF(MOD(INDEX(輔助計算!$D:$D, (MATCH(81, 輔助計算!$G$2:$G$801, 0)+1)),IF(INDEX(ERP資料!$G:$G, (MATCH(81, 輔助計算!$G$2:$G$801, 0)+1))&lt;100, IF(INDEX(ERP資料!$G:$G, (MATCH(81, 輔助計算!$G$2:$G$801, 0)+1))&lt;=31,3,IF(INDEX(ERP資料!$G:$G, (MATCH(81, 輔助計算!$G$2:$G$801, 0)+1))&lt;=46.5,2,1)), IF(INDEX(ERP資料!$G:$G, (MATCH(81, 輔助計算!$G$2:$G$801, 0)+1))&lt;=790,3,IF(INDEX(ERP資料!$G:$G, (MATCH(81, 輔助計算!$G$2:$G$801, 0)+1))&lt;=1181,2,1))))=2,TEXT(INDEX(ERP資料!$G:$G, (MATCH(81, 輔助計算!$G$2:$G$801, 0)+1)),"0.##")&amp;"+"&amp;TEXT(INDEX(ERP資料!$G:$G, (MATCH(81, 輔助計算!$G$2:$G$801, 0)+1)),"0.##"),TEXT(INDEX(ERP資料!$G:$G, (MATCH(81, 輔助計算!$G$2:$G$801, 0)+1)),"0.##")&amp;"+"&amp;TEXT(INDEX(ERP資料!$G:$G, (MATCH(81, 輔助計算!$G$2:$G$801, 0)+1)),"0.##")&amp;"+"&amp;TEXT(INDEX(ERP資料!$G:$G, (MATCH(81, 輔助計算!$G$2:$G$801, 0)+1)),"0.##"))))&amp;"-1")), ""), "")</f>
        <v/>
      </c>
      <c r="K82" s="16" t="n"/>
      <c r="L82" s="14">
        <f>IFERROR(IF(AND(IFERROR(INDEX(ERP資料!$A:$A, (MATCH(81, 輔助計算!$G$2:$G$801, 0)+1)), "")&lt;&gt;"", IFERROR(INDEX(ERP資料!$A:$A, (MATCH(81, 輔助計算!$G$2:$G$801, 0)+1)), "")&lt;&gt;IFERROR(INDEX(ERP資料!$A:$A, MATCH(80, 輔助計算!$G$2:$G$801, 0)+1), "")), INDEX(ERP資料!$B:$B, (MATCH(81, 輔助計算!$G$2:$G$801, 0)+1)), ""), "")</f>
        <v/>
      </c>
      <c r="M82" s="17" t="n"/>
    </row>
    <row r="83">
      <c r="A83" s="10">
        <f>IFERROR(IF(AND(IFERROR(INDEX(ERP資料!$A:$A, (MATCH(82, 輔助計算!$G$2:$G$801, 0)+1)), "")&lt;&gt;"", IFERROR(INDEX(ERP資料!$A:$A, (MATCH(82, 輔助計算!$G$2:$G$801, 0)+1)), "")&lt;&gt;IFERROR(INDEX(ERP資料!$A:$A, MATCH(81, 輔助計算!$G$2:$G$801, 0)+1), "")), IFERROR(INDEX(ERP資料!$A:$A, (MATCH(82, 輔助計算!$G$2:$G$801, 0)+1)), ""), ""), "")</f>
        <v/>
      </c>
      <c r="B83" s="10">
        <f>IFERROR(IF(AND(IFERROR(INDEX(ERP資料!$A:$A, (MATCH(82, 輔助計算!$G$2:$G$801, 0)+1)), "")&lt;&gt;"", IFERROR(INDEX(ERP資料!$A:$A, (MATCH(82, 輔助計算!$G$2:$G$801, 0)+1)), "")&lt;&gt;IFERROR(INDEX(ERP資料!$A:$A, MATCH(81, 輔助計算!$G$2:$G$801, 0)+1), "")), INDEX(ERP資料!$S:$S, (MATCH(82, 輔助計算!$G$2:$G$801, 0)+1)), ""), "")</f>
        <v/>
      </c>
      <c r="C83" s="19">
        <f>IFERROR(IF(AND(IFERROR(INDEX(ERP資料!$A:$A, (MATCH(82, 輔助計算!$G$2:$G$801, 0)+1)), "")&lt;&gt;"", IFERROR(INDEX(ERP資料!$A:$A, (MATCH(82, 輔助計算!$G$2:$G$801, 0)+1)), "")&lt;&gt;IFERROR(INDEX(ERP資料!$A:$A, MATCH(81, 輔助計算!$G$2:$G$801, 0)+1), "")), IFERROR(VLOOKUP(LEFT(INDEX(ERP資料!$S:$S, (MATCH(82, 輔助計算!$G$2:$G$801, 0)+1)), 4), 紙管對照表!$A:$C, 3, FALSE), ""), ""), "")</f>
        <v/>
      </c>
      <c r="D83" s="16" t="n"/>
      <c r="E83" s="10">
        <f>IFERROR(IF(INDEX(ERP資料!$H:$H, (MATCH(82, 輔助計算!$G$2:$G$801, 0)+1))="","",INDEX(ERP資料!$H:$H, (MATCH(82, 輔助計算!$G$2:$G$801, 0)+1))), "")</f>
        <v/>
      </c>
      <c r="F83" s="10">
        <f>IFERROR(IF(INDEX(ERP資料!$E:$E, (MATCH(82, 輔助計算!$G$2:$G$801, 0)+1))="","",TRIM(INDEX(ERP資料!$E:$E, (MATCH(82, 輔助計算!$G$2:$G$801, 0)+1)))), "")</f>
        <v/>
      </c>
      <c r="G83" s="10">
        <f>IFERROR(IF(INDEX(ERP資料!$F:$F, (MATCH(82, 輔助計算!$G$2:$G$801, 0)+1))="","",INDEX(ERP資料!$F:$F, (MATCH(82, 輔助計算!$G$2:$G$801, 0)+1))), "")</f>
        <v/>
      </c>
      <c r="H83" s="10">
        <f>IFERROR(IF(INDEX(ERP資料!$G:$G, (MATCH(82, 輔助計算!$G$2:$G$801, 0)+1))="","",INDEX(ERP資料!$G:$G, (MATCH(82, 輔助計算!$G$2:$G$801, 0)+1))), "")</f>
        <v/>
      </c>
      <c r="I83" s="15">
        <f>IFERROR(INDEX(輔助計算!$D:$D, (MATCH(82, 輔助計算!$G$2:$G$801, 0)+1)), "")</f>
        <v/>
      </c>
      <c r="J83" s="15">
        <f>IFERROR(IF(AND(INDEX(輔助計算!$D:$D, (MATCH(82, 輔助計算!$G$2:$G$801, 0)+1))&lt;&gt;"", INDEX(ERP資料!$G:$G, (MATCH(82, 輔助計算!$G$2:$G$801, 0)+1))&lt;&gt;""), TRIM(IF(INT(INDEX(輔助計算!$D:$D, (MATCH(82, 輔助計算!$G$2:$G$801, 0)+1))/IF(INDEX(ERP資料!$G:$G, (MATCH(82, 輔助計算!$G$2:$G$801, 0)+1))&lt;100, IF(INDEX(ERP資料!$G:$G, (MATCH(82, 輔助計算!$G$2:$G$801, 0)+1))&lt;=31,3,IF(INDEX(ERP資料!$G:$G, (MATCH(82, 輔助計算!$G$2:$G$801, 0)+1))&lt;=46.5,2,1)), IF(INDEX(ERP資料!$G:$G, (MATCH(82, 輔助計算!$G$2:$G$801, 0)+1))&lt;=790,3,IF(INDEX(ERP資料!$G:$G, (MATCH(82, 輔助計算!$G$2:$G$801, 0)+1))&lt;=1181,2,1))))&gt;0, IF(IF(INDEX(ERP資料!$G:$G, (MATCH(82, 輔助計算!$G$2:$G$801, 0)+1))&lt;100, IF(INDEX(ERP資料!$G:$G, (MATCH(82, 輔助計算!$G$2:$G$801, 0)+1))&lt;=31,3,IF(INDEX(ERP資料!$G:$G, (MATCH(82, 輔助計算!$G$2:$G$801, 0)+1))&lt;=46.5,2,1)), IF(INDEX(ERP資料!$G:$G, (MATCH(82, 輔助計算!$G$2:$G$801, 0)+1))&lt;=790,3,IF(INDEX(ERP資料!$G:$G, (MATCH(82, 輔助計算!$G$2:$G$801, 0)+1))&lt;=1181,2,1)))=1,TEXT(INDEX(ERP資料!$G:$G, (MATCH(82, 輔助計算!$G$2:$G$801, 0)+1)),"0.##"),IF(IF(INDEX(ERP資料!$G:$G, (MATCH(82, 輔助計算!$G$2:$G$801, 0)+1))&lt;100, IF(INDEX(ERP資料!$G:$G, (MATCH(82, 輔助計算!$G$2:$G$801, 0)+1))&lt;=31,3,IF(INDEX(ERP資料!$G:$G, (MATCH(82, 輔助計算!$G$2:$G$801, 0)+1))&lt;=46.5,2,1)), IF(INDEX(ERP資料!$G:$G, (MATCH(82, 輔助計算!$G$2:$G$801, 0)+1))&lt;=790,3,IF(INDEX(ERP資料!$G:$G, (MATCH(82, 輔助計算!$G$2:$G$801, 0)+1))&lt;=1181,2,1)))=2,TEXT(INDEX(ERP資料!$G:$G, (MATCH(82, 輔助計算!$G$2:$G$801, 0)+1)),"0.##")&amp;"+"&amp;TEXT(INDEX(ERP資料!$G:$G, (MATCH(82, 輔助計算!$G$2:$G$801, 0)+1)),"0.##"),TEXT(INDEX(ERP資料!$G:$G, (MATCH(82, 輔助計算!$G$2:$G$801, 0)+1)),"0.##")&amp;"+"&amp;TEXT(INDEX(ERP資料!$G:$G, (MATCH(82, 輔助計算!$G$2:$G$801, 0)+1)),"0.##")&amp;"+"&amp;TEXT(INDEX(ERP資料!$G:$G, (MATCH(82, 輔助計算!$G$2:$G$801, 0)+1)),"0.##")))&amp;"-"&amp;INT(INDEX(輔助計算!$D:$D, (MATCH(82, 輔助計算!$G$2:$G$801, 0)+1))/IF(INDEX(ERP資料!$G:$G, (MATCH(82, 輔助計算!$G$2:$G$801, 0)+1))&lt;100, IF(INDEX(ERP資料!$G:$G, (MATCH(82, 輔助計算!$G$2:$G$801, 0)+1))&lt;=31,3,IF(INDEX(ERP資料!$G:$G, (MATCH(82, 輔助計算!$G$2:$G$801, 0)+1))&lt;=46.5,2,1)), IF(INDEX(ERP資料!$G:$G, (MATCH(82, 輔助計算!$G$2:$G$801, 0)+1))&lt;=790,3,IF(INDEX(ERP資料!$G:$G, (MATCH(82, 輔助計算!$G$2:$G$801, 0)+1))&lt;=1181,2,1)))), "")&amp;IF(AND(IF(INT(INDEX(輔助計算!$D:$D, (MATCH(82, 輔助計算!$G$2:$G$801, 0)+1))/IF(INDEX(ERP資料!$G:$G, (MATCH(82, 輔助計算!$G$2:$G$801, 0)+1))&lt;100, IF(INDEX(ERP資料!$G:$G, (MATCH(82, 輔助計算!$G$2:$G$801, 0)+1))&lt;=31,3,IF(INDEX(ERP資料!$G:$G, (MATCH(82, 輔助計算!$G$2:$G$801, 0)+1))&lt;=46.5,2,1)), IF(INDEX(ERP資料!$G:$G, (MATCH(82, 輔助計算!$G$2:$G$801, 0)+1))&lt;=790,3,IF(INDEX(ERP資料!$G:$G, (MATCH(82, 輔助計算!$G$2:$G$801, 0)+1))&lt;=1181,2,1))))&gt;0, IF(IF(INDEX(ERP資料!$G:$G, (MATCH(82, 輔助計算!$G$2:$G$801, 0)+1))&lt;100, IF(INDEX(ERP資料!$G:$G, (MATCH(82, 輔助計算!$G$2:$G$801, 0)+1))&lt;=31,3,IF(INDEX(ERP資料!$G:$G, (MATCH(82, 輔助計算!$G$2:$G$801, 0)+1))&lt;=46.5,2,1)), IF(INDEX(ERP資料!$G:$G, (MATCH(82, 輔助計算!$G$2:$G$801, 0)+1))&lt;=790,3,IF(INDEX(ERP資料!$G:$G, (MATCH(82, 輔助計算!$G$2:$G$801, 0)+1))&lt;=1181,2,1)))=1,TEXT(INDEX(ERP資料!$G:$G, (MATCH(82, 輔助計算!$G$2:$G$801, 0)+1)),"0.##"),IF(IF(INDEX(ERP資料!$G:$G, (MATCH(82, 輔助計算!$G$2:$G$801, 0)+1))&lt;100, IF(INDEX(ERP資料!$G:$G, (MATCH(82, 輔助計算!$G$2:$G$801, 0)+1))&lt;=31,3,IF(INDEX(ERP資料!$G:$G, (MATCH(82, 輔助計算!$G$2:$G$801, 0)+1))&lt;=46.5,2,1)), IF(INDEX(ERP資料!$G:$G, (MATCH(82, 輔助計算!$G$2:$G$801, 0)+1))&lt;=790,3,IF(INDEX(ERP資料!$G:$G, (MATCH(82, 輔助計算!$G$2:$G$801, 0)+1))&lt;=1181,2,1)))=2,TEXT(INDEX(ERP資料!$G:$G, (MATCH(82, 輔助計算!$G$2:$G$801, 0)+1)),"0.##")&amp;"+"&amp;TEXT(INDEX(ERP資料!$G:$G, (MATCH(82, 輔助計算!$G$2:$G$801, 0)+1)),"0.##"),TEXT(INDEX(ERP資料!$G:$G, (MATCH(82, 輔助計算!$G$2:$G$801, 0)+1)),"0.##")&amp;"+"&amp;TEXT(INDEX(ERP資料!$G:$G, (MATCH(82, 輔助計算!$G$2:$G$801, 0)+1)),"0.##")&amp;"+"&amp;TEXT(INDEX(ERP資料!$G:$G, (MATCH(82, 輔助計算!$G$2:$G$801, 0)+1)),"0.##")))&amp;"-"&amp;INT(INDEX(輔助計算!$D:$D, (MATCH(82, 輔助計算!$G$2:$G$801, 0)+1))/IF(INDEX(ERP資料!$G:$G, (MATCH(82, 輔助計算!$G$2:$G$801, 0)+1))&lt;100, IF(INDEX(ERP資料!$G:$G, (MATCH(82, 輔助計算!$G$2:$G$801, 0)+1))&lt;=31,3,IF(INDEX(ERP資料!$G:$G, (MATCH(82, 輔助計算!$G$2:$G$801, 0)+1))&lt;=46.5,2,1)), IF(INDEX(ERP資料!$G:$G, (MATCH(82, 輔助計算!$G$2:$G$801, 0)+1))&lt;=790,3,IF(INDEX(ERP資料!$G:$G, (MATCH(82, 輔助計算!$G$2:$G$801, 0)+1))&lt;=1181,2,1)))), "")&lt;&gt;"",IF(MOD(INDEX(輔助計算!$D:$D, (MATCH(82, 輔助計算!$G$2:$G$801, 0)+1)),IF(INDEX(ERP資料!$G:$G, (MATCH(82, 輔助計算!$G$2:$G$801, 0)+1))&lt;100, IF(INDEX(ERP資料!$G:$G, (MATCH(82, 輔助計算!$G$2:$G$801, 0)+1))&lt;=31,3,IF(INDEX(ERP資料!$G:$G, (MATCH(82, 輔助計算!$G$2:$G$801, 0)+1))&lt;=46.5,2,1)), IF(INDEX(ERP資料!$G:$G, (MATCH(82, 輔助計算!$G$2:$G$801, 0)+1))&lt;=790,3,IF(INDEX(ERP資料!$G:$G, (MATCH(82, 輔助計算!$G$2:$G$801, 0)+1))&lt;=1181,2,1))))=0,"",IF(MOD(INDEX(輔助計算!$D:$D, (MATCH(82, 輔助計算!$G$2:$G$801, 0)+1)),IF(INDEX(ERP資料!$G:$G, (MATCH(82, 輔助計算!$G$2:$G$801, 0)+1))&lt;100, IF(INDEX(ERP資料!$G:$G, (MATCH(82, 輔助計算!$G$2:$G$801, 0)+1))&lt;=31,3,IF(INDEX(ERP資料!$G:$G, (MATCH(82, 輔助計算!$G$2:$G$801, 0)+1))&lt;=46.5,2,1)), IF(INDEX(ERP資料!$G:$G, (MATCH(82, 輔助計算!$G$2:$G$801, 0)+1))&lt;=790,3,IF(INDEX(ERP資料!$G:$G, (MATCH(82, 輔助計算!$G$2:$G$801, 0)+1))&lt;=1181,2,1))))=0,"",IF(MOD(INDEX(輔助計算!$D:$D, (MATCH(82, 輔助計算!$G$2:$G$801, 0)+1)),IF(INDEX(ERP資料!$G:$G, (MATCH(82, 輔助計算!$G$2:$G$801, 0)+1))&lt;100, IF(INDEX(ERP資料!$G:$G, (MATCH(82, 輔助計算!$G$2:$G$801, 0)+1))&lt;=31,3,IF(INDEX(ERP資料!$G:$G, (MATCH(82, 輔助計算!$G$2:$G$801, 0)+1))&lt;=46.5,2,1)), IF(INDEX(ERP資料!$G:$G, (MATCH(82, 輔助計算!$G$2:$G$801, 0)+1))&lt;=790,3,IF(INDEX(ERP資料!$G:$G, (MATCH(82, 輔助計算!$G$2:$G$801, 0)+1))&lt;=1181,2,1))))=1,TEXT(INDEX(ERP資料!$G:$G, (MATCH(82, 輔助計算!$G$2:$G$801, 0)+1)),"0.##"),IF(MOD(INDEX(輔助計算!$D:$D, (MATCH(82, 輔助計算!$G$2:$G$801, 0)+1)),IF(INDEX(ERP資料!$G:$G, (MATCH(82, 輔助計算!$G$2:$G$801, 0)+1))&lt;100, IF(INDEX(ERP資料!$G:$G, (MATCH(82, 輔助計算!$G$2:$G$801, 0)+1))&lt;=31,3,IF(INDEX(ERP資料!$G:$G, (MATCH(82, 輔助計算!$G$2:$G$801, 0)+1))&lt;=46.5,2,1)), IF(INDEX(ERP資料!$G:$G, (MATCH(82, 輔助計算!$G$2:$G$801, 0)+1))&lt;=790,3,IF(INDEX(ERP資料!$G:$G, (MATCH(82, 輔助計算!$G$2:$G$801, 0)+1))&lt;=1181,2,1))))=2,TEXT(INDEX(ERP資料!$G:$G, (MATCH(82, 輔助計算!$G$2:$G$801, 0)+1)),"0.##")&amp;"+"&amp;TEXT(INDEX(ERP資料!$G:$G, (MATCH(82, 輔助計算!$G$2:$G$801, 0)+1)),"0.##"),TEXT(INDEX(ERP資料!$G:$G, (MATCH(82, 輔助計算!$G$2:$G$801, 0)+1)),"0.##")&amp;"+"&amp;TEXT(INDEX(ERP資料!$G:$G, (MATCH(82, 輔助計算!$G$2:$G$801, 0)+1)),"0.##")&amp;"+"&amp;TEXT(INDEX(ERP資料!$G:$G, (MATCH(82, 輔助計算!$G$2:$G$801, 0)+1)),"0.##"))))&amp;"-1")&lt;&gt;""),"  ","")&amp;IF(MOD(INDEX(輔助計算!$D:$D, (MATCH(82, 輔助計算!$G$2:$G$801, 0)+1)),IF(INDEX(ERP資料!$G:$G, (MATCH(82, 輔助計算!$G$2:$G$801, 0)+1))&lt;100, IF(INDEX(ERP資料!$G:$G, (MATCH(82, 輔助計算!$G$2:$G$801, 0)+1))&lt;=31,3,IF(INDEX(ERP資料!$G:$G, (MATCH(82, 輔助計算!$G$2:$G$801, 0)+1))&lt;=46.5,2,1)), IF(INDEX(ERP資料!$G:$G, (MATCH(82, 輔助計算!$G$2:$G$801, 0)+1))&lt;=790,3,IF(INDEX(ERP資料!$G:$G, (MATCH(82, 輔助計算!$G$2:$G$801, 0)+1))&lt;=1181,2,1))))=0,"",IF(MOD(INDEX(輔助計算!$D:$D, (MATCH(82, 輔助計算!$G$2:$G$801, 0)+1)),IF(INDEX(ERP資料!$G:$G, (MATCH(82, 輔助計算!$G$2:$G$801, 0)+1))&lt;100, IF(INDEX(ERP資料!$G:$G, (MATCH(82, 輔助計算!$G$2:$G$801, 0)+1))&lt;=31,3,IF(INDEX(ERP資料!$G:$G, (MATCH(82, 輔助計算!$G$2:$G$801, 0)+1))&lt;=46.5,2,1)), IF(INDEX(ERP資料!$G:$G, (MATCH(82, 輔助計算!$G$2:$G$801, 0)+1))&lt;=790,3,IF(INDEX(ERP資料!$G:$G, (MATCH(82, 輔助計算!$G$2:$G$801, 0)+1))&lt;=1181,2,1))))=0,"",IF(MOD(INDEX(輔助計算!$D:$D, (MATCH(82, 輔助計算!$G$2:$G$801, 0)+1)),IF(INDEX(ERP資料!$G:$G, (MATCH(82, 輔助計算!$G$2:$G$801, 0)+1))&lt;100, IF(INDEX(ERP資料!$G:$G, (MATCH(82, 輔助計算!$G$2:$G$801, 0)+1))&lt;=31,3,IF(INDEX(ERP資料!$G:$G, (MATCH(82, 輔助計算!$G$2:$G$801, 0)+1))&lt;=46.5,2,1)), IF(INDEX(ERP資料!$G:$G, (MATCH(82, 輔助計算!$G$2:$G$801, 0)+1))&lt;=790,3,IF(INDEX(ERP資料!$G:$G, (MATCH(82, 輔助計算!$G$2:$G$801, 0)+1))&lt;=1181,2,1))))=1,TEXT(INDEX(ERP資料!$G:$G, (MATCH(82, 輔助計算!$G$2:$G$801, 0)+1)),"0.##"),IF(MOD(INDEX(輔助計算!$D:$D, (MATCH(82, 輔助計算!$G$2:$G$801, 0)+1)),IF(INDEX(ERP資料!$G:$G, (MATCH(82, 輔助計算!$G$2:$G$801, 0)+1))&lt;100, IF(INDEX(ERP資料!$G:$G, (MATCH(82, 輔助計算!$G$2:$G$801, 0)+1))&lt;=31,3,IF(INDEX(ERP資料!$G:$G, (MATCH(82, 輔助計算!$G$2:$G$801, 0)+1))&lt;=46.5,2,1)), IF(INDEX(ERP資料!$G:$G, (MATCH(82, 輔助計算!$G$2:$G$801, 0)+1))&lt;=790,3,IF(INDEX(ERP資料!$G:$G, (MATCH(82, 輔助計算!$G$2:$G$801, 0)+1))&lt;=1181,2,1))))=2,TEXT(INDEX(ERP資料!$G:$G, (MATCH(82, 輔助計算!$G$2:$G$801, 0)+1)),"0.##")&amp;"+"&amp;TEXT(INDEX(ERP資料!$G:$G, (MATCH(82, 輔助計算!$G$2:$G$801, 0)+1)),"0.##"),TEXT(INDEX(ERP資料!$G:$G, (MATCH(82, 輔助計算!$G$2:$G$801, 0)+1)),"0.##")&amp;"+"&amp;TEXT(INDEX(ERP資料!$G:$G, (MATCH(82, 輔助計算!$G$2:$G$801, 0)+1)),"0.##")&amp;"+"&amp;TEXT(INDEX(ERP資料!$G:$G, (MATCH(82, 輔助計算!$G$2:$G$801, 0)+1)),"0.##"))))&amp;"-1")), ""), "")</f>
        <v/>
      </c>
      <c r="K83" s="16" t="n"/>
      <c r="L83" s="14">
        <f>IFERROR(IF(AND(IFERROR(INDEX(ERP資料!$A:$A, (MATCH(82, 輔助計算!$G$2:$G$801, 0)+1)), "")&lt;&gt;"", IFERROR(INDEX(ERP資料!$A:$A, (MATCH(82, 輔助計算!$G$2:$G$801, 0)+1)), "")&lt;&gt;IFERROR(INDEX(ERP資料!$A:$A, MATCH(81, 輔助計算!$G$2:$G$801, 0)+1), "")), INDEX(ERP資料!$B:$B, (MATCH(82, 輔助計算!$G$2:$G$801, 0)+1)), ""), "")</f>
        <v/>
      </c>
      <c r="M83" s="17" t="n"/>
    </row>
    <row r="84">
      <c r="A84" s="10">
        <f>IFERROR(IF(AND(IFERROR(INDEX(ERP資料!$A:$A, (MATCH(83, 輔助計算!$G$2:$G$801, 0)+1)), "")&lt;&gt;"", IFERROR(INDEX(ERP資料!$A:$A, (MATCH(83, 輔助計算!$G$2:$G$801, 0)+1)), "")&lt;&gt;IFERROR(INDEX(ERP資料!$A:$A, MATCH(82, 輔助計算!$G$2:$G$801, 0)+1), "")), IFERROR(INDEX(ERP資料!$A:$A, (MATCH(83, 輔助計算!$G$2:$G$801, 0)+1)), ""), ""), "")</f>
        <v/>
      </c>
      <c r="B84" s="10">
        <f>IFERROR(IF(AND(IFERROR(INDEX(ERP資料!$A:$A, (MATCH(83, 輔助計算!$G$2:$G$801, 0)+1)), "")&lt;&gt;"", IFERROR(INDEX(ERP資料!$A:$A, (MATCH(83, 輔助計算!$G$2:$G$801, 0)+1)), "")&lt;&gt;IFERROR(INDEX(ERP資料!$A:$A, MATCH(82, 輔助計算!$G$2:$G$801, 0)+1), "")), INDEX(ERP資料!$S:$S, (MATCH(83, 輔助計算!$G$2:$G$801, 0)+1)), ""), "")</f>
        <v/>
      </c>
      <c r="C84" s="19">
        <f>IFERROR(IF(AND(IFERROR(INDEX(ERP資料!$A:$A, (MATCH(83, 輔助計算!$G$2:$G$801, 0)+1)), "")&lt;&gt;"", IFERROR(INDEX(ERP資料!$A:$A, (MATCH(83, 輔助計算!$G$2:$G$801, 0)+1)), "")&lt;&gt;IFERROR(INDEX(ERP資料!$A:$A, MATCH(82, 輔助計算!$G$2:$G$801, 0)+1), "")), IFERROR(VLOOKUP(LEFT(INDEX(ERP資料!$S:$S, (MATCH(83, 輔助計算!$G$2:$G$801, 0)+1)), 4), 紙管對照表!$A:$C, 3, FALSE), ""), ""), "")</f>
        <v/>
      </c>
      <c r="D84" s="16" t="n"/>
      <c r="E84" s="10">
        <f>IFERROR(IF(INDEX(ERP資料!$H:$H, (MATCH(83, 輔助計算!$G$2:$G$801, 0)+1))="","",INDEX(ERP資料!$H:$H, (MATCH(83, 輔助計算!$G$2:$G$801, 0)+1))), "")</f>
        <v/>
      </c>
      <c r="F84" s="10">
        <f>IFERROR(IF(INDEX(ERP資料!$E:$E, (MATCH(83, 輔助計算!$G$2:$G$801, 0)+1))="","",TRIM(INDEX(ERP資料!$E:$E, (MATCH(83, 輔助計算!$G$2:$G$801, 0)+1)))), "")</f>
        <v/>
      </c>
      <c r="G84" s="10">
        <f>IFERROR(IF(INDEX(ERP資料!$F:$F, (MATCH(83, 輔助計算!$G$2:$G$801, 0)+1))="","",INDEX(ERP資料!$F:$F, (MATCH(83, 輔助計算!$G$2:$G$801, 0)+1))), "")</f>
        <v/>
      </c>
      <c r="H84" s="10">
        <f>IFERROR(IF(INDEX(ERP資料!$G:$G, (MATCH(83, 輔助計算!$G$2:$G$801, 0)+1))="","",INDEX(ERP資料!$G:$G, (MATCH(83, 輔助計算!$G$2:$G$801, 0)+1))), "")</f>
        <v/>
      </c>
      <c r="I84" s="15">
        <f>IFERROR(INDEX(輔助計算!$D:$D, (MATCH(83, 輔助計算!$G$2:$G$801, 0)+1)), "")</f>
        <v/>
      </c>
      <c r="J84" s="15">
        <f>IFERROR(IF(AND(INDEX(輔助計算!$D:$D, (MATCH(83, 輔助計算!$G$2:$G$801, 0)+1))&lt;&gt;"", INDEX(ERP資料!$G:$G, (MATCH(83, 輔助計算!$G$2:$G$801, 0)+1))&lt;&gt;""), TRIM(IF(INT(INDEX(輔助計算!$D:$D, (MATCH(83, 輔助計算!$G$2:$G$801, 0)+1))/IF(INDEX(ERP資料!$G:$G, (MATCH(83, 輔助計算!$G$2:$G$801, 0)+1))&lt;100, IF(INDEX(ERP資料!$G:$G, (MATCH(83, 輔助計算!$G$2:$G$801, 0)+1))&lt;=31,3,IF(INDEX(ERP資料!$G:$G, (MATCH(83, 輔助計算!$G$2:$G$801, 0)+1))&lt;=46.5,2,1)), IF(INDEX(ERP資料!$G:$G, (MATCH(83, 輔助計算!$G$2:$G$801, 0)+1))&lt;=790,3,IF(INDEX(ERP資料!$G:$G, (MATCH(83, 輔助計算!$G$2:$G$801, 0)+1))&lt;=1181,2,1))))&gt;0, IF(IF(INDEX(ERP資料!$G:$G, (MATCH(83, 輔助計算!$G$2:$G$801, 0)+1))&lt;100, IF(INDEX(ERP資料!$G:$G, (MATCH(83, 輔助計算!$G$2:$G$801, 0)+1))&lt;=31,3,IF(INDEX(ERP資料!$G:$G, (MATCH(83, 輔助計算!$G$2:$G$801, 0)+1))&lt;=46.5,2,1)), IF(INDEX(ERP資料!$G:$G, (MATCH(83, 輔助計算!$G$2:$G$801, 0)+1))&lt;=790,3,IF(INDEX(ERP資料!$G:$G, (MATCH(83, 輔助計算!$G$2:$G$801, 0)+1))&lt;=1181,2,1)))=1,TEXT(INDEX(ERP資料!$G:$G, (MATCH(83, 輔助計算!$G$2:$G$801, 0)+1)),"0.##"),IF(IF(INDEX(ERP資料!$G:$G, (MATCH(83, 輔助計算!$G$2:$G$801, 0)+1))&lt;100, IF(INDEX(ERP資料!$G:$G, (MATCH(83, 輔助計算!$G$2:$G$801, 0)+1))&lt;=31,3,IF(INDEX(ERP資料!$G:$G, (MATCH(83, 輔助計算!$G$2:$G$801, 0)+1))&lt;=46.5,2,1)), IF(INDEX(ERP資料!$G:$G, (MATCH(83, 輔助計算!$G$2:$G$801, 0)+1))&lt;=790,3,IF(INDEX(ERP資料!$G:$G, (MATCH(83, 輔助計算!$G$2:$G$801, 0)+1))&lt;=1181,2,1)))=2,TEXT(INDEX(ERP資料!$G:$G, (MATCH(83, 輔助計算!$G$2:$G$801, 0)+1)),"0.##")&amp;"+"&amp;TEXT(INDEX(ERP資料!$G:$G, (MATCH(83, 輔助計算!$G$2:$G$801, 0)+1)),"0.##"),TEXT(INDEX(ERP資料!$G:$G, (MATCH(83, 輔助計算!$G$2:$G$801, 0)+1)),"0.##")&amp;"+"&amp;TEXT(INDEX(ERP資料!$G:$G, (MATCH(83, 輔助計算!$G$2:$G$801, 0)+1)),"0.##")&amp;"+"&amp;TEXT(INDEX(ERP資料!$G:$G, (MATCH(83, 輔助計算!$G$2:$G$801, 0)+1)),"0.##")))&amp;"-"&amp;INT(INDEX(輔助計算!$D:$D, (MATCH(83, 輔助計算!$G$2:$G$801, 0)+1))/IF(INDEX(ERP資料!$G:$G, (MATCH(83, 輔助計算!$G$2:$G$801, 0)+1))&lt;100, IF(INDEX(ERP資料!$G:$G, (MATCH(83, 輔助計算!$G$2:$G$801, 0)+1))&lt;=31,3,IF(INDEX(ERP資料!$G:$G, (MATCH(83, 輔助計算!$G$2:$G$801, 0)+1))&lt;=46.5,2,1)), IF(INDEX(ERP資料!$G:$G, (MATCH(83, 輔助計算!$G$2:$G$801, 0)+1))&lt;=790,3,IF(INDEX(ERP資料!$G:$G, (MATCH(83, 輔助計算!$G$2:$G$801, 0)+1))&lt;=1181,2,1)))), "")&amp;IF(AND(IF(INT(INDEX(輔助計算!$D:$D, (MATCH(83, 輔助計算!$G$2:$G$801, 0)+1))/IF(INDEX(ERP資料!$G:$G, (MATCH(83, 輔助計算!$G$2:$G$801, 0)+1))&lt;100, IF(INDEX(ERP資料!$G:$G, (MATCH(83, 輔助計算!$G$2:$G$801, 0)+1))&lt;=31,3,IF(INDEX(ERP資料!$G:$G, (MATCH(83, 輔助計算!$G$2:$G$801, 0)+1))&lt;=46.5,2,1)), IF(INDEX(ERP資料!$G:$G, (MATCH(83, 輔助計算!$G$2:$G$801, 0)+1))&lt;=790,3,IF(INDEX(ERP資料!$G:$G, (MATCH(83, 輔助計算!$G$2:$G$801, 0)+1))&lt;=1181,2,1))))&gt;0, IF(IF(INDEX(ERP資料!$G:$G, (MATCH(83, 輔助計算!$G$2:$G$801, 0)+1))&lt;100, IF(INDEX(ERP資料!$G:$G, (MATCH(83, 輔助計算!$G$2:$G$801, 0)+1))&lt;=31,3,IF(INDEX(ERP資料!$G:$G, (MATCH(83, 輔助計算!$G$2:$G$801, 0)+1))&lt;=46.5,2,1)), IF(INDEX(ERP資料!$G:$G, (MATCH(83, 輔助計算!$G$2:$G$801, 0)+1))&lt;=790,3,IF(INDEX(ERP資料!$G:$G, (MATCH(83, 輔助計算!$G$2:$G$801, 0)+1))&lt;=1181,2,1)))=1,TEXT(INDEX(ERP資料!$G:$G, (MATCH(83, 輔助計算!$G$2:$G$801, 0)+1)),"0.##"),IF(IF(INDEX(ERP資料!$G:$G, (MATCH(83, 輔助計算!$G$2:$G$801, 0)+1))&lt;100, IF(INDEX(ERP資料!$G:$G, (MATCH(83, 輔助計算!$G$2:$G$801, 0)+1))&lt;=31,3,IF(INDEX(ERP資料!$G:$G, (MATCH(83, 輔助計算!$G$2:$G$801, 0)+1))&lt;=46.5,2,1)), IF(INDEX(ERP資料!$G:$G, (MATCH(83, 輔助計算!$G$2:$G$801, 0)+1))&lt;=790,3,IF(INDEX(ERP資料!$G:$G, (MATCH(83, 輔助計算!$G$2:$G$801, 0)+1))&lt;=1181,2,1)))=2,TEXT(INDEX(ERP資料!$G:$G, (MATCH(83, 輔助計算!$G$2:$G$801, 0)+1)),"0.##")&amp;"+"&amp;TEXT(INDEX(ERP資料!$G:$G, (MATCH(83, 輔助計算!$G$2:$G$801, 0)+1)),"0.##"),TEXT(INDEX(ERP資料!$G:$G, (MATCH(83, 輔助計算!$G$2:$G$801, 0)+1)),"0.##")&amp;"+"&amp;TEXT(INDEX(ERP資料!$G:$G, (MATCH(83, 輔助計算!$G$2:$G$801, 0)+1)),"0.##")&amp;"+"&amp;TEXT(INDEX(ERP資料!$G:$G, (MATCH(83, 輔助計算!$G$2:$G$801, 0)+1)),"0.##")))&amp;"-"&amp;INT(INDEX(輔助計算!$D:$D, (MATCH(83, 輔助計算!$G$2:$G$801, 0)+1))/IF(INDEX(ERP資料!$G:$G, (MATCH(83, 輔助計算!$G$2:$G$801, 0)+1))&lt;100, IF(INDEX(ERP資料!$G:$G, (MATCH(83, 輔助計算!$G$2:$G$801, 0)+1))&lt;=31,3,IF(INDEX(ERP資料!$G:$G, (MATCH(83, 輔助計算!$G$2:$G$801, 0)+1))&lt;=46.5,2,1)), IF(INDEX(ERP資料!$G:$G, (MATCH(83, 輔助計算!$G$2:$G$801, 0)+1))&lt;=790,3,IF(INDEX(ERP資料!$G:$G, (MATCH(83, 輔助計算!$G$2:$G$801, 0)+1))&lt;=1181,2,1)))), "")&lt;&gt;"",IF(MOD(INDEX(輔助計算!$D:$D, (MATCH(83, 輔助計算!$G$2:$G$801, 0)+1)),IF(INDEX(ERP資料!$G:$G, (MATCH(83, 輔助計算!$G$2:$G$801, 0)+1))&lt;100, IF(INDEX(ERP資料!$G:$G, (MATCH(83, 輔助計算!$G$2:$G$801, 0)+1))&lt;=31,3,IF(INDEX(ERP資料!$G:$G, (MATCH(83, 輔助計算!$G$2:$G$801, 0)+1))&lt;=46.5,2,1)), IF(INDEX(ERP資料!$G:$G, (MATCH(83, 輔助計算!$G$2:$G$801, 0)+1))&lt;=790,3,IF(INDEX(ERP資料!$G:$G, (MATCH(83, 輔助計算!$G$2:$G$801, 0)+1))&lt;=1181,2,1))))=0,"",IF(MOD(INDEX(輔助計算!$D:$D, (MATCH(83, 輔助計算!$G$2:$G$801, 0)+1)),IF(INDEX(ERP資料!$G:$G, (MATCH(83, 輔助計算!$G$2:$G$801, 0)+1))&lt;100, IF(INDEX(ERP資料!$G:$G, (MATCH(83, 輔助計算!$G$2:$G$801, 0)+1))&lt;=31,3,IF(INDEX(ERP資料!$G:$G, (MATCH(83, 輔助計算!$G$2:$G$801, 0)+1))&lt;=46.5,2,1)), IF(INDEX(ERP資料!$G:$G, (MATCH(83, 輔助計算!$G$2:$G$801, 0)+1))&lt;=790,3,IF(INDEX(ERP資料!$G:$G, (MATCH(83, 輔助計算!$G$2:$G$801, 0)+1))&lt;=1181,2,1))))=0,"",IF(MOD(INDEX(輔助計算!$D:$D, (MATCH(83, 輔助計算!$G$2:$G$801, 0)+1)),IF(INDEX(ERP資料!$G:$G, (MATCH(83, 輔助計算!$G$2:$G$801, 0)+1))&lt;100, IF(INDEX(ERP資料!$G:$G, (MATCH(83, 輔助計算!$G$2:$G$801, 0)+1))&lt;=31,3,IF(INDEX(ERP資料!$G:$G, (MATCH(83, 輔助計算!$G$2:$G$801, 0)+1))&lt;=46.5,2,1)), IF(INDEX(ERP資料!$G:$G, (MATCH(83, 輔助計算!$G$2:$G$801, 0)+1))&lt;=790,3,IF(INDEX(ERP資料!$G:$G, (MATCH(83, 輔助計算!$G$2:$G$801, 0)+1))&lt;=1181,2,1))))=1,TEXT(INDEX(ERP資料!$G:$G, (MATCH(83, 輔助計算!$G$2:$G$801, 0)+1)),"0.##"),IF(MOD(INDEX(輔助計算!$D:$D, (MATCH(83, 輔助計算!$G$2:$G$801, 0)+1)),IF(INDEX(ERP資料!$G:$G, (MATCH(83, 輔助計算!$G$2:$G$801, 0)+1))&lt;100, IF(INDEX(ERP資料!$G:$G, (MATCH(83, 輔助計算!$G$2:$G$801, 0)+1))&lt;=31,3,IF(INDEX(ERP資料!$G:$G, (MATCH(83, 輔助計算!$G$2:$G$801, 0)+1))&lt;=46.5,2,1)), IF(INDEX(ERP資料!$G:$G, (MATCH(83, 輔助計算!$G$2:$G$801, 0)+1))&lt;=790,3,IF(INDEX(ERP資料!$G:$G, (MATCH(83, 輔助計算!$G$2:$G$801, 0)+1))&lt;=1181,2,1))))=2,TEXT(INDEX(ERP資料!$G:$G, (MATCH(83, 輔助計算!$G$2:$G$801, 0)+1)),"0.##")&amp;"+"&amp;TEXT(INDEX(ERP資料!$G:$G, (MATCH(83, 輔助計算!$G$2:$G$801, 0)+1)),"0.##"),TEXT(INDEX(ERP資料!$G:$G, (MATCH(83, 輔助計算!$G$2:$G$801, 0)+1)),"0.##")&amp;"+"&amp;TEXT(INDEX(ERP資料!$G:$G, (MATCH(83, 輔助計算!$G$2:$G$801, 0)+1)),"0.##")&amp;"+"&amp;TEXT(INDEX(ERP資料!$G:$G, (MATCH(83, 輔助計算!$G$2:$G$801, 0)+1)),"0.##"))))&amp;"-1")&lt;&gt;""),"  ","")&amp;IF(MOD(INDEX(輔助計算!$D:$D, (MATCH(83, 輔助計算!$G$2:$G$801, 0)+1)),IF(INDEX(ERP資料!$G:$G, (MATCH(83, 輔助計算!$G$2:$G$801, 0)+1))&lt;100, IF(INDEX(ERP資料!$G:$G, (MATCH(83, 輔助計算!$G$2:$G$801, 0)+1))&lt;=31,3,IF(INDEX(ERP資料!$G:$G, (MATCH(83, 輔助計算!$G$2:$G$801, 0)+1))&lt;=46.5,2,1)), IF(INDEX(ERP資料!$G:$G, (MATCH(83, 輔助計算!$G$2:$G$801, 0)+1))&lt;=790,3,IF(INDEX(ERP資料!$G:$G, (MATCH(83, 輔助計算!$G$2:$G$801, 0)+1))&lt;=1181,2,1))))=0,"",IF(MOD(INDEX(輔助計算!$D:$D, (MATCH(83, 輔助計算!$G$2:$G$801, 0)+1)),IF(INDEX(ERP資料!$G:$G, (MATCH(83, 輔助計算!$G$2:$G$801, 0)+1))&lt;100, IF(INDEX(ERP資料!$G:$G, (MATCH(83, 輔助計算!$G$2:$G$801, 0)+1))&lt;=31,3,IF(INDEX(ERP資料!$G:$G, (MATCH(83, 輔助計算!$G$2:$G$801, 0)+1))&lt;=46.5,2,1)), IF(INDEX(ERP資料!$G:$G, (MATCH(83, 輔助計算!$G$2:$G$801, 0)+1))&lt;=790,3,IF(INDEX(ERP資料!$G:$G, (MATCH(83, 輔助計算!$G$2:$G$801, 0)+1))&lt;=1181,2,1))))=0,"",IF(MOD(INDEX(輔助計算!$D:$D, (MATCH(83, 輔助計算!$G$2:$G$801, 0)+1)),IF(INDEX(ERP資料!$G:$G, (MATCH(83, 輔助計算!$G$2:$G$801, 0)+1))&lt;100, IF(INDEX(ERP資料!$G:$G, (MATCH(83, 輔助計算!$G$2:$G$801, 0)+1))&lt;=31,3,IF(INDEX(ERP資料!$G:$G, (MATCH(83, 輔助計算!$G$2:$G$801, 0)+1))&lt;=46.5,2,1)), IF(INDEX(ERP資料!$G:$G, (MATCH(83, 輔助計算!$G$2:$G$801, 0)+1))&lt;=790,3,IF(INDEX(ERP資料!$G:$G, (MATCH(83, 輔助計算!$G$2:$G$801, 0)+1))&lt;=1181,2,1))))=1,TEXT(INDEX(ERP資料!$G:$G, (MATCH(83, 輔助計算!$G$2:$G$801, 0)+1)),"0.##"),IF(MOD(INDEX(輔助計算!$D:$D, (MATCH(83, 輔助計算!$G$2:$G$801, 0)+1)),IF(INDEX(ERP資料!$G:$G, (MATCH(83, 輔助計算!$G$2:$G$801, 0)+1))&lt;100, IF(INDEX(ERP資料!$G:$G, (MATCH(83, 輔助計算!$G$2:$G$801, 0)+1))&lt;=31,3,IF(INDEX(ERP資料!$G:$G, (MATCH(83, 輔助計算!$G$2:$G$801, 0)+1))&lt;=46.5,2,1)), IF(INDEX(ERP資料!$G:$G, (MATCH(83, 輔助計算!$G$2:$G$801, 0)+1))&lt;=790,3,IF(INDEX(ERP資料!$G:$G, (MATCH(83, 輔助計算!$G$2:$G$801, 0)+1))&lt;=1181,2,1))))=2,TEXT(INDEX(ERP資料!$G:$G, (MATCH(83, 輔助計算!$G$2:$G$801, 0)+1)),"0.##")&amp;"+"&amp;TEXT(INDEX(ERP資料!$G:$G, (MATCH(83, 輔助計算!$G$2:$G$801, 0)+1)),"0.##"),TEXT(INDEX(ERP資料!$G:$G, (MATCH(83, 輔助計算!$G$2:$G$801, 0)+1)),"0.##")&amp;"+"&amp;TEXT(INDEX(ERP資料!$G:$G, (MATCH(83, 輔助計算!$G$2:$G$801, 0)+1)),"0.##")&amp;"+"&amp;TEXT(INDEX(ERP資料!$G:$G, (MATCH(83, 輔助計算!$G$2:$G$801, 0)+1)),"0.##"))))&amp;"-1")), ""), "")</f>
        <v/>
      </c>
      <c r="K84" s="16" t="n"/>
      <c r="L84" s="14">
        <f>IFERROR(IF(AND(IFERROR(INDEX(ERP資料!$A:$A, (MATCH(83, 輔助計算!$G$2:$G$801, 0)+1)), "")&lt;&gt;"", IFERROR(INDEX(ERP資料!$A:$A, (MATCH(83, 輔助計算!$G$2:$G$801, 0)+1)), "")&lt;&gt;IFERROR(INDEX(ERP資料!$A:$A, MATCH(82, 輔助計算!$G$2:$G$801, 0)+1), "")), INDEX(ERP資料!$B:$B, (MATCH(83, 輔助計算!$G$2:$G$801, 0)+1)), ""), "")</f>
        <v/>
      </c>
      <c r="M84" s="17" t="n"/>
    </row>
    <row r="85">
      <c r="A85" s="10">
        <f>IFERROR(IF(AND(IFERROR(INDEX(ERP資料!$A:$A, (MATCH(84, 輔助計算!$G$2:$G$801, 0)+1)), "")&lt;&gt;"", IFERROR(INDEX(ERP資料!$A:$A, (MATCH(84, 輔助計算!$G$2:$G$801, 0)+1)), "")&lt;&gt;IFERROR(INDEX(ERP資料!$A:$A, MATCH(83, 輔助計算!$G$2:$G$801, 0)+1), "")), IFERROR(INDEX(ERP資料!$A:$A, (MATCH(84, 輔助計算!$G$2:$G$801, 0)+1)), ""), ""), "")</f>
        <v/>
      </c>
      <c r="B85" s="10">
        <f>IFERROR(IF(AND(IFERROR(INDEX(ERP資料!$A:$A, (MATCH(84, 輔助計算!$G$2:$G$801, 0)+1)), "")&lt;&gt;"", IFERROR(INDEX(ERP資料!$A:$A, (MATCH(84, 輔助計算!$G$2:$G$801, 0)+1)), "")&lt;&gt;IFERROR(INDEX(ERP資料!$A:$A, MATCH(83, 輔助計算!$G$2:$G$801, 0)+1), "")), INDEX(ERP資料!$S:$S, (MATCH(84, 輔助計算!$G$2:$G$801, 0)+1)), ""), "")</f>
        <v/>
      </c>
      <c r="C85" s="19">
        <f>IFERROR(IF(AND(IFERROR(INDEX(ERP資料!$A:$A, (MATCH(84, 輔助計算!$G$2:$G$801, 0)+1)), "")&lt;&gt;"", IFERROR(INDEX(ERP資料!$A:$A, (MATCH(84, 輔助計算!$G$2:$G$801, 0)+1)), "")&lt;&gt;IFERROR(INDEX(ERP資料!$A:$A, MATCH(83, 輔助計算!$G$2:$G$801, 0)+1), "")), IFERROR(VLOOKUP(LEFT(INDEX(ERP資料!$S:$S, (MATCH(84, 輔助計算!$G$2:$G$801, 0)+1)), 4), 紙管對照表!$A:$C, 3, FALSE), ""), ""), "")</f>
        <v/>
      </c>
      <c r="D85" s="16" t="n"/>
      <c r="E85" s="10">
        <f>IFERROR(IF(INDEX(ERP資料!$H:$H, (MATCH(84, 輔助計算!$G$2:$G$801, 0)+1))="","",INDEX(ERP資料!$H:$H, (MATCH(84, 輔助計算!$G$2:$G$801, 0)+1))), "")</f>
        <v/>
      </c>
      <c r="F85" s="10">
        <f>IFERROR(IF(INDEX(ERP資料!$E:$E, (MATCH(84, 輔助計算!$G$2:$G$801, 0)+1))="","",TRIM(INDEX(ERP資料!$E:$E, (MATCH(84, 輔助計算!$G$2:$G$801, 0)+1)))), "")</f>
        <v/>
      </c>
      <c r="G85" s="10">
        <f>IFERROR(IF(INDEX(ERP資料!$F:$F, (MATCH(84, 輔助計算!$G$2:$G$801, 0)+1))="","",INDEX(ERP資料!$F:$F, (MATCH(84, 輔助計算!$G$2:$G$801, 0)+1))), "")</f>
        <v/>
      </c>
      <c r="H85" s="10">
        <f>IFERROR(IF(INDEX(ERP資料!$G:$G, (MATCH(84, 輔助計算!$G$2:$G$801, 0)+1))="","",INDEX(ERP資料!$G:$G, (MATCH(84, 輔助計算!$G$2:$G$801, 0)+1))), "")</f>
        <v/>
      </c>
      <c r="I85" s="15">
        <f>IFERROR(INDEX(輔助計算!$D:$D, (MATCH(84, 輔助計算!$G$2:$G$801, 0)+1)), "")</f>
        <v/>
      </c>
      <c r="J85" s="15">
        <f>IFERROR(IF(AND(INDEX(輔助計算!$D:$D, (MATCH(84, 輔助計算!$G$2:$G$801, 0)+1))&lt;&gt;"", INDEX(ERP資料!$G:$G, (MATCH(84, 輔助計算!$G$2:$G$801, 0)+1))&lt;&gt;""), TRIM(IF(INT(INDEX(輔助計算!$D:$D, (MATCH(84, 輔助計算!$G$2:$G$801, 0)+1))/IF(INDEX(ERP資料!$G:$G, (MATCH(84, 輔助計算!$G$2:$G$801, 0)+1))&lt;100, IF(INDEX(ERP資料!$G:$G, (MATCH(84, 輔助計算!$G$2:$G$801, 0)+1))&lt;=31,3,IF(INDEX(ERP資料!$G:$G, (MATCH(84, 輔助計算!$G$2:$G$801, 0)+1))&lt;=46.5,2,1)), IF(INDEX(ERP資料!$G:$G, (MATCH(84, 輔助計算!$G$2:$G$801, 0)+1))&lt;=790,3,IF(INDEX(ERP資料!$G:$G, (MATCH(84, 輔助計算!$G$2:$G$801, 0)+1))&lt;=1181,2,1))))&gt;0, IF(IF(INDEX(ERP資料!$G:$G, (MATCH(84, 輔助計算!$G$2:$G$801, 0)+1))&lt;100, IF(INDEX(ERP資料!$G:$G, (MATCH(84, 輔助計算!$G$2:$G$801, 0)+1))&lt;=31,3,IF(INDEX(ERP資料!$G:$G, (MATCH(84, 輔助計算!$G$2:$G$801, 0)+1))&lt;=46.5,2,1)), IF(INDEX(ERP資料!$G:$G, (MATCH(84, 輔助計算!$G$2:$G$801, 0)+1))&lt;=790,3,IF(INDEX(ERP資料!$G:$G, (MATCH(84, 輔助計算!$G$2:$G$801, 0)+1))&lt;=1181,2,1)))=1,TEXT(INDEX(ERP資料!$G:$G, (MATCH(84, 輔助計算!$G$2:$G$801, 0)+1)),"0.##"),IF(IF(INDEX(ERP資料!$G:$G, (MATCH(84, 輔助計算!$G$2:$G$801, 0)+1))&lt;100, IF(INDEX(ERP資料!$G:$G, (MATCH(84, 輔助計算!$G$2:$G$801, 0)+1))&lt;=31,3,IF(INDEX(ERP資料!$G:$G, (MATCH(84, 輔助計算!$G$2:$G$801, 0)+1))&lt;=46.5,2,1)), IF(INDEX(ERP資料!$G:$G, (MATCH(84, 輔助計算!$G$2:$G$801, 0)+1))&lt;=790,3,IF(INDEX(ERP資料!$G:$G, (MATCH(84, 輔助計算!$G$2:$G$801, 0)+1))&lt;=1181,2,1)))=2,TEXT(INDEX(ERP資料!$G:$G, (MATCH(84, 輔助計算!$G$2:$G$801, 0)+1)),"0.##")&amp;"+"&amp;TEXT(INDEX(ERP資料!$G:$G, (MATCH(84, 輔助計算!$G$2:$G$801, 0)+1)),"0.##"),TEXT(INDEX(ERP資料!$G:$G, (MATCH(84, 輔助計算!$G$2:$G$801, 0)+1)),"0.##")&amp;"+"&amp;TEXT(INDEX(ERP資料!$G:$G, (MATCH(84, 輔助計算!$G$2:$G$801, 0)+1)),"0.##")&amp;"+"&amp;TEXT(INDEX(ERP資料!$G:$G, (MATCH(84, 輔助計算!$G$2:$G$801, 0)+1)),"0.##")))&amp;"-"&amp;INT(INDEX(輔助計算!$D:$D, (MATCH(84, 輔助計算!$G$2:$G$801, 0)+1))/IF(INDEX(ERP資料!$G:$G, (MATCH(84, 輔助計算!$G$2:$G$801, 0)+1))&lt;100, IF(INDEX(ERP資料!$G:$G, (MATCH(84, 輔助計算!$G$2:$G$801, 0)+1))&lt;=31,3,IF(INDEX(ERP資料!$G:$G, (MATCH(84, 輔助計算!$G$2:$G$801, 0)+1))&lt;=46.5,2,1)), IF(INDEX(ERP資料!$G:$G, (MATCH(84, 輔助計算!$G$2:$G$801, 0)+1))&lt;=790,3,IF(INDEX(ERP資料!$G:$G, (MATCH(84, 輔助計算!$G$2:$G$801, 0)+1))&lt;=1181,2,1)))), "")&amp;IF(AND(IF(INT(INDEX(輔助計算!$D:$D, (MATCH(84, 輔助計算!$G$2:$G$801, 0)+1))/IF(INDEX(ERP資料!$G:$G, (MATCH(84, 輔助計算!$G$2:$G$801, 0)+1))&lt;100, IF(INDEX(ERP資料!$G:$G, (MATCH(84, 輔助計算!$G$2:$G$801, 0)+1))&lt;=31,3,IF(INDEX(ERP資料!$G:$G, (MATCH(84, 輔助計算!$G$2:$G$801, 0)+1))&lt;=46.5,2,1)), IF(INDEX(ERP資料!$G:$G, (MATCH(84, 輔助計算!$G$2:$G$801, 0)+1))&lt;=790,3,IF(INDEX(ERP資料!$G:$G, (MATCH(84, 輔助計算!$G$2:$G$801, 0)+1))&lt;=1181,2,1))))&gt;0, IF(IF(INDEX(ERP資料!$G:$G, (MATCH(84, 輔助計算!$G$2:$G$801, 0)+1))&lt;100, IF(INDEX(ERP資料!$G:$G, (MATCH(84, 輔助計算!$G$2:$G$801, 0)+1))&lt;=31,3,IF(INDEX(ERP資料!$G:$G, (MATCH(84, 輔助計算!$G$2:$G$801, 0)+1))&lt;=46.5,2,1)), IF(INDEX(ERP資料!$G:$G, (MATCH(84, 輔助計算!$G$2:$G$801, 0)+1))&lt;=790,3,IF(INDEX(ERP資料!$G:$G, (MATCH(84, 輔助計算!$G$2:$G$801, 0)+1))&lt;=1181,2,1)))=1,TEXT(INDEX(ERP資料!$G:$G, (MATCH(84, 輔助計算!$G$2:$G$801, 0)+1)),"0.##"),IF(IF(INDEX(ERP資料!$G:$G, (MATCH(84, 輔助計算!$G$2:$G$801, 0)+1))&lt;100, IF(INDEX(ERP資料!$G:$G, (MATCH(84, 輔助計算!$G$2:$G$801, 0)+1))&lt;=31,3,IF(INDEX(ERP資料!$G:$G, (MATCH(84, 輔助計算!$G$2:$G$801, 0)+1))&lt;=46.5,2,1)), IF(INDEX(ERP資料!$G:$G, (MATCH(84, 輔助計算!$G$2:$G$801, 0)+1))&lt;=790,3,IF(INDEX(ERP資料!$G:$G, (MATCH(84, 輔助計算!$G$2:$G$801, 0)+1))&lt;=1181,2,1)))=2,TEXT(INDEX(ERP資料!$G:$G, (MATCH(84, 輔助計算!$G$2:$G$801, 0)+1)),"0.##")&amp;"+"&amp;TEXT(INDEX(ERP資料!$G:$G, (MATCH(84, 輔助計算!$G$2:$G$801, 0)+1)),"0.##"),TEXT(INDEX(ERP資料!$G:$G, (MATCH(84, 輔助計算!$G$2:$G$801, 0)+1)),"0.##")&amp;"+"&amp;TEXT(INDEX(ERP資料!$G:$G, (MATCH(84, 輔助計算!$G$2:$G$801, 0)+1)),"0.##")&amp;"+"&amp;TEXT(INDEX(ERP資料!$G:$G, (MATCH(84, 輔助計算!$G$2:$G$801, 0)+1)),"0.##")))&amp;"-"&amp;INT(INDEX(輔助計算!$D:$D, (MATCH(84, 輔助計算!$G$2:$G$801, 0)+1))/IF(INDEX(ERP資料!$G:$G, (MATCH(84, 輔助計算!$G$2:$G$801, 0)+1))&lt;100, IF(INDEX(ERP資料!$G:$G, (MATCH(84, 輔助計算!$G$2:$G$801, 0)+1))&lt;=31,3,IF(INDEX(ERP資料!$G:$G, (MATCH(84, 輔助計算!$G$2:$G$801, 0)+1))&lt;=46.5,2,1)), IF(INDEX(ERP資料!$G:$G, (MATCH(84, 輔助計算!$G$2:$G$801, 0)+1))&lt;=790,3,IF(INDEX(ERP資料!$G:$G, (MATCH(84, 輔助計算!$G$2:$G$801, 0)+1))&lt;=1181,2,1)))), "")&lt;&gt;"",IF(MOD(INDEX(輔助計算!$D:$D, (MATCH(84, 輔助計算!$G$2:$G$801, 0)+1)),IF(INDEX(ERP資料!$G:$G, (MATCH(84, 輔助計算!$G$2:$G$801, 0)+1))&lt;100, IF(INDEX(ERP資料!$G:$G, (MATCH(84, 輔助計算!$G$2:$G$801, 0)+1))&lt;=31,3,IF(INDEX(ERP資料!$G:$G, (MATCH(84, 輔助計算!$G$2:$G$801, 0)+1))&lt;=46.5,2,1)), IF(INDEX(ERP資料!$G:$G, (MATCH(84, 輔助計算!$G$2:$G$801, 0)+1))&lt;=790,3,IF(INDEX(ERP資料!$G:$G, (MATCH(84, 輔助計算!$G$2:$G$801, 0)+1))&lt;=1181,2,1))))=0,"",IF(MOD(INDEX(輔助計算!$D:$D, (MATCH(84, 輔助計算!$G$2:$G$801, 0)+1)),IF(INDEX(ERP資料!$G:$G, (MATCH(84, 輔助計算!$G$2:$G$801, 0)+1))&lt;100, IF(INDEX(ERP資料!$G:$G, (MATCH(84, 輔助計算!$G$2:$G$801, 0)+1))&lt;=31,3,IF(INDEX(ERP資料!$G:$G, (MATCH(84, 輔助計算!$G$2:$G$801, 0)+1))&lt;=46.5,2,1)), IF(INDEX(ERP資料!$G:$G, (MATCH(84, 輔助計算!$G$2:$G$801, 0)+1))&lt;=790,3,IF(INDEX(ERP資料!$G:$G, (MATCH(84, 輔助計算!$G$2:$G$801, 0)+1))&lt;=1181,2,1))))=0,"",IF(MOD(INDEX(輔助計算!$D:$D, (MATCH(84, 輔助計算!$G$2:$G$801, 0)+1)),IF(INDEX(ERP資料!$G:$G, (MATCH(84, 輔助計算!$G$2:$G$801, 0)+1))&lt;100, IF(INDEX(ERP資料!$G:$G, (MATCH(84, 輔助計算!$G$2:$G$801, 0)+1))&lt;=31,3,IF(INDEX(ERP資料!$G:$G, (MATCH(84, 輔助計算!$G$2:$G$801, 0)+1))&lt;=46.5,2,1)), IF(INDEX(ERP資料!$G:$G, (MATCH(84, 輔助計算!$G$2:$G$801, 0)+1))&lt;=790,3,IF(INDEX(ERP資料!$G:$G, (MATCH(84, 輔助計算!$G$2:$G$801, 0)+1))&lt;=1181,2,1))))=1,TEXT(INDEX(ERP資料!$G:$G, (MATCH(84, 輔助計算!$G$2:$G$801, 0)+1)),"0.##"),IF(MOD(INDEX(輔助計算!$D:$D, (MATCH(84, 輔助計算!$G$2:$G$801, 0)+1)),IF(INDEX(ERP資料!$G:$G, (MATCH(84, 輔助計算!$G$2:$G$801, 0)+1))&lt;100, IF(INDEX(ERP資料!$G:$G, (MATCH(84, 輔助計算!$G$2:$G$801, 0)+1))&lt;=31,3,IF(INDEX(ERP資料!$G:$G, (MATCH(84, 輔助計算!$G$2:$G$801, 0)+1))&lt;=46.5,2,1)), IF(INDEX(ERP資料!$G:$G, (MATCH(84, 輔助計算!$G$2:$G$801, 0)+1))&lt;=790,3,IF(INDEX(ERP資料!$G:$G, (MATCH(84, 輔助計算!$G$2:$G$801, 0)+1))&lt;=1181,2,1))))=2,TEXT(INDEX(ERP資料!$G:$G, (MATCH(84, 輔助計算!$G$2:$G$801, 0)+1)),"0.##")&amp;"+"&amp;TEXT(INDEX(ERP資料!$G:$G, (MATCH(84, 輔助計算!$G$2:$G$801, 0)+1)),"0.##"),TEXT(INDEX(ERP資料!$G:$G, (MATCH(84, 輔助計算!$G$2:$G$801, 0)+1)),"0.##")&amp;"+"&amp;TEXT(INDEX(ERP資料!$G:$G, (MATCH(84, 輔助計算!$G$2:$G$801, 0)+1)),"0.##")&amp;"+"&amp;TEXT(INDEX(ERP資料!$G:$G, (MATCH(84, 輔助計算!$G$2:$G$801, 0)+1)),"0.##"))))&amp;"-1")&lt;&gt;""),"  ","")&amp;IF(MOD(INDEX(輔助計算!$D:$D, (MATCH(84, 輔助計算!$G$2:$G$801, 0)+1)),IF(INDEX(ERP資料!$G:$G, (MATCH(84, 輔助計算!$G$2:$G$801, 0)+1))&lt;100, IF(INDEX(ERP資料!$G:$G, (MATCH(84, 輔助計算!$G$2:$G$801, 0)+1))&lt;=31,3,IF(INDEX(ERP資料!$G:$G, (MATCH(84, 輔助計算!$G$2:$G$801, 0)+1))&lt;=46.5,2,1)), IF(INDEX(ERP資料!$G:$G, (MATCH(84, 輔助計算!$G$2:$G$801, 0)+1))&lt;=790,3,IF(INDEX(ERP資料!$G:$G, (MATCH(84, 輔助計算!$G$2:$G$801, 0)+1))&lt;=1181,2,1))))=0,"",IF(MOD(INDEX(輔助計算!$D:$D, (MATCH(84, 輔助計算!$G$2:$G$801, 0)+1)),IF(INDEX(ERP資料!$G:$G, (MATCH(84, 輔助計算!$G$2:$G$801, 0)+1))&lt;100, IF(INDEX(ERP資料!$G:$G, (MATCH(84, 輔助計算!$G$2:$G$801, 0)+1))&lt;=31,3,IF(INDEX(ERP資料!$G:$G, (MATCH(84, 輔助計算!$G$2:$G$801, 0)+1))&lt;=46.5,2,1)), IF(INDEX(ERP資料!$G:$G, (MATCH(84, 輔助計算!$G$2:$G$801, 0)+1))&lt;=790,3,IF(INDEX(ERP資料!$G:$G, (MATCH(84, 輔助計算!$G$2:$G$801, 0)+1))&lt;=1181,2,1))))=0,"",IF(MOD(INDEX(輔助計算!$D:$D, (MATCH(84, 輔助計算!$G$2:$G$801, 0)+1)),IF(INDEX(ERP資料!$G:$G, (MATCH(84, 輔助計算!$G$2:$G$801, 0)+1))&lt;100, IF(INDEX(ERP資料!$G:$G, (MATCH(84, 輔助計算!$G$2:$G$801, 0)+1))&lt;=31,3,IF(INDEX(ERP資料!$G:$G, (MATCH(84, 輔助計算!$G$2:$G$801, 0)+1))&lt;=46.5,2,1)), IF(INDEX(ERP資料!$G:$G, (MATCH(84, 輔助計算!$G$2:$G$801, 0)+1))&lt;=790,3,IF(INDEX(ERP資料!$G:$G, (MATCH(84, 輔助計算!$G$2:$G$801, 0)+1))&lt;=1181,2,1))))=1,TEXT(INDEX(ERP資料!$G:$G, (MATCH(84, 輔助計算!$G$2:$G$801, 0)+1)),"0.##"),IF(MOD(INDEX(輔助計算!$D:$D, (MATCH(84, 輔助計算!$G$2:$G$801, 0)+1)),IF(INDEX(ERP資料!$G:$G, (MATCH(84, 輔助計算!$G$2:$G$801, 0)+1))&lt;100, IF(INDEX(ERP資料!$G:$G, (MATCH(84, 輔助計算!$G$2:$G$801, 0)+1))&lt;=31,3,IF(INDEX(ERP資料!$G:$G, (MATCH(84, 輔助計算!$G$2:$G$801, 0)+1))&lt;=46.5,2,1)), IF(INDEX(ERP資料!$G:$G, (MATCH(84, 輔助計算!$G$2:$G$801, 0)+1))&lt;=790,3,IF(INDEX(ERP資料!$G:$G, (MATCH(84, 輔助計算!$G$2:$G$801, 0)+1))&lt;=1181,2,1))))=2,TEXT(INDEX(ERP資料!$G:$G, (MATCH(84, 輔助計算!$G$2:$G$801, 0)+1)),"0.##")&amp;"+"&amp;TEXT(INDEX(ERP資料!$G:$G, (MATCH(84, 輔助計算!$G$2:$G$801, 0)+1)),"0.##"),TEXT(INDEX(ERP資料!$G:$G, (MATCH(84, 輔助計算!$G$2:$G$801, 0)+1)),"0.##")&amp;"+"&amp;TEXT(INDEX(ERP資料!$G:$G, (MATCH(84, 輔助計算!$G$2:$G$801, 0)+1)),"0.##")&amp;"+"&amp;TEXT(INDEX(ERP資料!$G:$G, (MATCH(84, 輔助計算!$G$2:$G$801, 0)+1)),"0.##"))))&amp;"-1")), ""), "")</f>
        <v/>
      </c>
      <c r="K85" s="16" t="n"/>
      <c r="L85" s="14">
        <f>IFERROR(IF(AND(IFERROR(INDEX(ERP資料!$A:$A, (MATCH(84, 輔助計算!$G$2:$G$801, 0)+1)), "")&lt;&gt;"", IFERROR(INDEX(ERP資料!$A:$A, (MATCH(84, 輔助計算!$G$2:$G$801, 0)+1)), "")&lt;&gt;IFERROR(INDEX(ERP資料!$A:$A, MATCH(83, 輔助計算!$G$2:$G$801, 0)+1), "")), INDEX(ERP資料!$B:$B, (MATCH(84, 輔助計算!$G$2:$G$801, 0)+1)), ""), "")</f>
        <v/>
      </c>
      <c r="M85" s="17" t="n"/>
    </row>
    <row r="86">
      <c r="A86" s="10">
        <f>IFERROR(IF(AND(IFERROR(INDEX(ERP資料!$A:$A, (MATCH(85, 輔助計算!$G$2:$G$801, 0)+1)), "")&lt;&gt;"", IFERROR(INDEX(ERP資料!$A:$A, (MATCH(85, 輔助計算!$G$2:$G$801, 0)+1)), "")&lt;&gt;IFERROR(INDEX(ERP資料!$A:$A, MATCH(84, 輔助計算!$G$2:$G$801, 0)+1), "")), IFERROR(INDEX(ERP資料!$A:$A, (MATCH(85, 輔助計算!$G$2:$G$801, 0)+1)), ""), ""), "")</f>
        <v/>
      </c>
      <c r="B86" s="10">
        <f>IFERROR(IF(AND(IFERROR(INDEX(ERP資料!$A:$A, (MATCH(85, 輔助計算!$G$2:$G$801, 0)+1)), "")&lt;&gt;"", IFERROR(INDEX(ERP資料!$A:$A, (MATCH(85, 輔助計算!$G$2:$G$801, 0)+1)), "")&lt;&gt;IFERROR(INDEX(ERP資料!$A:$A, MATCH(84, 輔助計算!$G$2:$G$801, 0)+1), "")), INDEX(ERP資料!$S:$S, (MATCH(85, 輔助計算!$G$2:$G$801, 0)+1)), ""), "")</f>
        <v/>
      </c>
      <c r="C86" s="19">
        <f>IFERROR(IF(AND(IFERROR(INDEX(ERP資料!$A:$A, (MATCH(85, 輔助計算!$G$2:$G$801, 0)+1)), "")&lt;&gt;"", IFERROR(INDEX(ERP資料!$A:$A, (MATCH(85, 輔助計算!$G$2:$G$801, 0)+1)), "")&lt;&gt;IFERROR(INDEX(ERP資料!$A:$A, MATCH(84, 輔助計算!$G$2:$G$801, 0)+1), "")), IFERROR(VLOOKUP(LEFT(INDEX(ERP資料!$S:$S, (MATCH(85, 輔助計算!$G$2:$G$801, 0)+1)), 4), 紙管對照表!$A:$C, 3, FALSE), ""), ""), "")</f>
        <v/>
      </c>
      <c r="D86" s="16" t="n"/>
      <c r="E86" s="10">
        <f>IFERROR(IF(INDEX(ERP資料!$H:$H, (MATCH(85, 輔助計算!$G$2:$G$801, 0)+1))="","",INDEX(ERP資料!$H:$H, (MATCH(85, 輔助計算!$G$2:$G$801, 0)+1))), "")</f>
        <v/>
      </c>
      <c r="F86" s="10">
        <f>IFERROR(IF(INDEX(ERP資料!$E:$E, (MATCH(85, 輔助計算!$G$2:$G$801, 0)+1))="","",TRIM(INDEX(ERP資料!$E:$E, (MATCH(85, 輔助計算!$G$2:$G$801, 0)+1)))), "")</f>
        <v/>
      </c>
      <c r="G86" s="10">
        <f>IFERROR(IF(INDEX(ERP資料!$F:$F, (MATCH(85, 輔助計算!$G$2:$G$801, 0)+1))="","",INDEX(ERP資料!$F:$F, (MATCH(85, 輔助計算!$G$2:$G$801, 0)+1))), "")</f>
        <v/>
      </c>
      <c r="H86" s="10">
        <f>IFERROR(IF(INDEX(ERP資料!$G:$G, (MATCH(85, 輔助計算!$G$2:$G$801, 0)+1))="","",INDEX(ERP資料!$G:$G, (MATCH(85, 輔助計算!$G$2:$G$801, 0)+1))), "")</f>
        <v/>
      </c>
      <c r="I86" s="15">
        <f>IFERROR(INDEX(輔助計算!$D:$D, (MATCH(85, 輔助計算!$G$2:$G$801, 0)+1)), "")</f>
        <v/>
      </c>
      <c r="J86" s="15">
        <f>IFERROR(IF(AND(INDEX(輔助計算!$D:$D, (MATCH(85, 輔助計算!$G$2:$G$801, 0)+1))&lt;&gt;"", INDEX(ERP資料!$G:$G, (MATCH(85, 輔助計算!$G$2:$G$801, 0)+1))&lt;&gt;""), TRIM(IF(INT(INDEX(輔助計算!$D:$D, (MATCH(85, 輔助計算!$G$2:$G$801, 0)+1))/IF(INDEX(ERP資料!$G:$G, (MATCH(85, 輔助計算!$G$2:$G$801, 0)+1))&lt;100, IF(INDEX(ERP資料!$G:$G, (MATCH(85, 輔助計算!$G$2:$G$801, 0)+1))&lt;=31,3,IF(INDEX(ERP資料!$G:$G, (MATCH(85, 輔助計算!$G$2:$G$801, 0)+1))&lt;=46.5,2,1)), IF(INDEX(ERP資料!$G:$G, (MATCH(85, 輔助計算!$G$2:$G$801, 0)+1))&lt;=790,3,IF(INDEX(ERP資料!$G:$G, (MATCH(85, 輔助計算!$G$2:$G$801, 0)+1))&lt;=1181,2,1))))&gt;0, IF(IF(INDEX(ERP資料!$G:$G, (MATCH(85, 輔助計算!$G$2:$G$801, 0)+1))&lt;100, IF(INDEX(ERP資料!$G:$G, (MATCH(85, 輔助計算!$G$2:$G$801, 0)+1))&lt;=31,3,IF(INDEX(ERP資料!$G:$G, (MATCH(85, 輔助計算!$G$2:$G$801, 0)+1))&lt;=46.5,2,1)), IF(INDEX(ERP資料!$G:$G, (MATCH(85, 輔助計算!$G$2:$G$801, 0)+1))&lt;=790,3,IF(INDEX(ERP資料!$G:$G, (MATCH(85, 輔助計算!$G$2:$G$801, 0)+1))&lt;=1181,2,1)))=1,TEXT(INDEX(ERP資料!$G:$G, (MATCH(85, 輔助計算!$G$2:$G$801, 0)+1)),"0.##"),IF(IF(INDEX(ERP資料!$G:$G, (MATCH(85, 輔助計算!$G$2:$G$801, 0)+1))&lt;100, IF(INDEX(ERP資料!$G:$G, (MATCH(85, 輔助計算!$G$2:$G$801, 0)+1))&lt;=31,3,IF(INDEX(ERP資料!$G:$G, (MATCH(85, 輔助計算!$G$2:$G$801, 0)+1))&lt;=46.5,2,1)), IF(INDEX(ERP資料!$G:$G, (MATCH(85, 輔助計算!$G$2:$G$801, 0)+1))&lt;=790,3,IF(INDEX(ERP資料!$G:$G, (MATCH(85, 輔助計算!$G$2:$G$801, 0)+1))&lt;=1181,2,1)))=2,TEXT(INDEX(ERP資料!$G:$G, (MATCH(85, 輔助計算!$G$2:$G$801, 0)+1)),"0.##")&amp;"+"&amp;TEXT(INDEX(ERP資料!$G:$G, (MATCH(85, 輔助計算!$G$2:$G$801, 0)+1)),"0.##"),TEXT(INDEX(ERP資料!$G:$G, (MATCH(85, 輔助計算!$G$2:$G$801, 0)+1)),"0.##")&amp;"+"&amp;TEXT(INDEX(ERP資料!$G:$G, (MATCH(85, 輔助計算!$G$2:$G$801, 0)+1)),"0.##")&amp;"+"&amp;TEXT(INDEX(ERP資料!$G:$G, (MATCH(85, 輔助計算!$G$2:$G$801, 0)+1)),"0.##")))&amp;"-"&amp;INT(INDEX(輔助計算!$D:$D, (MATCH(85, 輔助計算!$G$2:$G$801, 0)+1))/IF(INDEX(ERP資料!$G:$G, (MATCH(85, 輔助計算!$G$2:$G$801, 0)+1))&lt;100, IF(INDEX(ERP資料!$G:$G, (MATCH(85, 輔助計算!$G$2:$G$801, 0)+1))&lt;=31,3,IF(INDEX(ERP資料!$G:$G, (MATCH(85, 輔助計算!$G$2:$G$801, 0)+1))&lt;=46.5,2,1)), IF(INDEX(ERP資料!$G:$G, (MATCH(85, 輔助計算!$G$2:$G$801, 0)+1))&lt;=790,3,IF(INDEX(ERP資料!$G:$G, (MATCH(85, 輔助計算!$G$2:$G$801, 0)+1))&lt;=1181,2,1)))), "")&amp;IF(AND(IF(INT(INDEX(輔助計算!$D:$D, (MATCH(85, 輔助計算!$G$2:$G$801, 0)+1))/IF(INDEX(ERP資料!$G:$G, (MATCH(85, 輔助計算!$G$2:$G$801, 0)+1))&lt;100, IF(INDEX(ERP資料!$G:$G, (MATCH(85, 輔助計算!$G$2:$G$801, 0)+1))&lt;=31,3,IF(INDEX(ERP資料!$G:$G, (MATCH(85, 輔助計算!$G$2:$G$801, 0)+1))&lt;=46.5,2,1)), IF(INDEX(ERP資料!$G:$G, (MATCH(85, 輔助計算!$G$2:$G$801, 0)+1))&lt;=790,3,IF(INDEX(ERP資料!$G:$G, (MATCH(85, 輔助計算!$G$2:$G$801, 0)+1))&lt;=1181,2,1))))&gt;0, IF(IF(INDEX(ERP資料!$G:$G, (MATCH(85, 輔助計算!$G$2:$G$801, 0)+1))&lt;100, IF(INDEX(ERP資料!$G:$G, (MATCH(85, 輔助計算!$G$2:$G$801, 0)+1))&lt;=31,3,IF(INDEX(ERP資料!$G:$G, (MATCH(85, 輔助計算!$G$2:$G$801, 0)+1))&lt;=46.5,2,1)), IF(INDEX(ERP資料!$G:$G, (MATCH(85, 輔助計算!$G$2:$G$801, 0)+1))&lt;=790,3,IF(INDEX(ERP資料!$G:$G, (MATCH(85, 輔助計算!$G$2:$G$801, 0)+1))&lt;=1181,2,1)))=1,TEXT(INDEX(ERP資料!$G:$G, (MATCH(85, 輔助計算!$G$2:$G$801, 0)+1)),"0.##"),IF(IF(INDEX(ERP資料!$G:$G, (MATCH(85, 輔助計算!$G$2:$G$801, 0)+1))&lt;100, IF(INDEX(ERP資料!$G:$G, (MATCH(85, 輔助計算!$G$2:$G$801, 0)+1))&lt;=31,3,IF(INDEX(ERP資料!$G:$G, (MATCH(85, 輔助計算!$G$2:$G$801, 0)+1))&lt;=46.5,2,1)), IF(INDEX(ERP資料!$G:$G, (MATCH(85, 輔助計算!$G$2:$G$801, 0)+1))&lt;=790,3,IF(INDEX(ERP資料!$G:$G, (MATCH(85, 輔助計算!$G$2:$G$801, 0)+1))&lt;=1181,2,1)))=2,TEXT(INDEX(ERP資料!$G:$G, (MATCH(85, 輔助計算!$G$2:$G$801, 0)+1)),"0.##")&amp;"+"&amp;TEXT(INDEX(ERP資料!$G:$G, (MATCH(85, 輔助計算!$G$2:$G$801, 0)+1)),"0.##"),TEXT(INDEX(ERP資料!$G:$G, (MATCH(85, 輔助計算!$G$2:$G$801, 0)+1)),"0.##")&amp;"+"&amp;TEXT(INDEX(ERP資料!$G:$G, (MATCH(85, 輔助計算!$G$2:$G$801, 0)+1)),"0.##")&amp;"+"&amp;TEXT(INDEX(ERP資料!$G:$G, (MATCH(85, 輔助計算!$G$2:$G$801, 0)+1)),"0.##")))&amp;"-"&amp;INT(INDEX(輔助計算!$D:$D, (MATCH(85, 輔助計算!$G$2:$G$801, 0)+1))/IF(INDEX(ERP資料!$G:$G, (MATCH(85, 輔助計算!$G$2:$G$801, 0)+1))&lt;100, IF(INDEX(ERP資料!$G:$G, (MATCH(85, 輔助計算!$G$2:$G$801, 0)+1))&lt;=31,3,IF(INDEX(ERP資料!$G:$G, (MATCH(85, 輔助計算!$G$2:$G$801, 0)+1))&lt;=46.5,2,1)), IF(INDEX(ERP資料!$G:$G, (MATCH(85, 輔助計算!$G$2:$G$801, 0)+1))&lt;=790,3,IF(INDEX(ERP資料!$G:$G, (MATCH(85, 輔助計算!$G$2:$G$801, 0)+1))&lt;=1181,2,1)))), "")&lt;&gt;"",IF(MOD(INDEX(輔助計算!$D:$D, (MATCH(85, 輔助計算!$G$2:$G$801, 0)+1)),IF(INDEX(ERP資料!$G:$G, (MATCH(85, 輔助計算!$G$2:$G$801, 0)+1))&lt;100, IF(INDEX(ERP資料!$G:$G, (MATCH(85, 輔助計算!$G$2:$G$801, 0)+1))&lt;=31,3,IF(INDEX(ERP資料!$G:$G, (MATCH(85, 輔助計算!$G$2:$G$801, 0)+1))&lt;=46.5,2,1)), IF(INDEX(ERP資料!$G:$G, (MATCH(85, 輔助計算!$G$2:$G$801, 0)+1))&lt;=790,3,IF(INDEX(ERP資料!$G:$G, (MATCH(85, 輔助計算!$G$2:$G$801, 0)+1))&lt;=1181,2,1))))=0,"",IF(MOD(INDEX(輔助計算!$D:$D, (MATCH(85, 輔助計算!$G$2:$G$801, 0)+1)),IF(INDEX(ERP資料!$G:$G, (MATCH(85, 輔助計算!$G$2:$G$801, 0)+1))&lt;100, IF(INDEX(ERP資料!$G:$G, (MATCH(85, 輔助計算!$G$2:$G$801, 0)+1))&lt;=31,3,IF(INDEX(ERP資料!$G:$G, (MATCH(85, 輔助計算!$G$2:$G$801, 0)+1))&lt;=46.5,2,1)), IF(INDEX(ERP資料!$G:$G, (MATCH(85, 輔助計算!$G$2:$G$801, 0)+1))&lt;=790,3,IF(INDEX(ERP資料!$G:$G, (MATCH(85, 輔助計算!$G$2:$G$801, 0)+1))&lt;=1181,2,1))))=0,"",IF(MOD(INDEX(輔助計算!$D:$D, (MATCH(85, 輔助計算!$G$2:$G$801, 0)+1)),IF(INDEX(ERP資料!$G:$G, (MATCH(85, 輔助計算!$G$2:$G$801, 0)+1))&lt;100, IF(INDEX(ERP資料!$G:$G, (MATCH(85, 輔助計算!$G$2:$G$801, 0)+1))&lt;=31,3,IF(INDEX(ERP資料!$G:$G, (MATCH(85, 輔助計算!$G$2:$G$801, 0)+1))&lt;=46.5,2,1)), IF(INDEX(ERP資料!$G:$G, (MATCH(85, 輔助計算!$G$2:$G$801, 0)+1))&lt;=790,3,IF(INDEX(ERP資料!$G:$G, (MATCH(85, 輔助計算!$G$2:$G$801, 0)+1))&lt;=1181,2,1))))=1,TEXT(INDEX(ERP資料!$G:$G, (MATCH(85, 輔助計算!$G$2:$G$801, 0)+1)),"0.##"),IF(MOD(INDEX(輔助計算!$D:$D, (MATCH(85, 輔助計算!$G$2:$G$801, 0)+1)),IF(INDEX(ERP資料!$G:$G, (MATCH(85, 輔助計算!$G$2:$G$801, 0)+1))&lt;100, IF(INDEX(ERP資料!$G:$G, (MATCH(85, 輔助計算!$G$2:$G$801, 0)+1))&lt;=31,3,IF(INDEX(ERP資料!$G:$G, (MATCH(85, 輔助計算!$G$2:$G$801, 0)+1))&lt;=46.5,2,1)), IF(INDEX(ERP資料!$G:$G, (MATCH(85, 輔助計算!$G$2:$G$801, 0)+1))&lt;=790,3,IF(INDEX(ERP資料!$G:$G, (MATCH(85, 輔助計算!$G$2:$G$801, 0)+1))&lt;=1181,2,1))))=2,TEXT(INDEX(ERP資料!$G:$G, (MATCH(85, 輔助計算!$G$2:$G$801, 0)+1)),"0.##")&amp;"+"&amp;TEXT(INDEX(ERP資料!$G:$G, (MATCH(85, 輔助計算!$G$2:$G$801, 0)+1)),"0.##"),TEXT(INDEX(ERP資料!$G:$G, (MATCH(85, 輔助計算!$G$2:$G$801, 0)+1)),"0.##")&amp;"+"&amp;TEXT(INDEX(ERP資料!$G:$G, (MATCH(85, 輔助計算!$G$2:$G$801, 0)+1)),"0.##")&amp;"+"&amp;TEXT(INDEX(ERP資料!$G:$G, (MATCH(85, 輔助計算!$G$2:$G$801, 0)+1)),"0.##"))))&amp;"-1")&lt;&gt;""),"  ","")&amp;IF(MOD(INDEX(輔助計算!$D:$D, (MATCH(85, 輔助計算!$G$2:$G$801, 0)+1)),IF(INDEX(ERP資料!$G:$G, (MATCH(85, 輔助計算!$G$2:$G$801, 0)+1))&lt;100, IF(INDEX(ERP資料!$G:$G, (MATCH(85, 輔助計算!$G$2:$G$801, 0)+1))&lt;=31,3,IF(INDEX(ERP資料!$G:$G, (MATCH(85, 輔助計算!$G$2:$G$801, 0)+1))&lt;=46.5,2,1)), IF(INDEX(ERP資料!$G:$G, (MATCH(85, 輔助計算!$G$2:$G$801, 0)+1))&lt;=790,3,IF(INDEX(ERP資料!$G:$G, (MATCH(85, 輔助計算!$G$2:$G$801, 0)+1))&lt;=1181,2,1))))=0,"",IF(MOD(INDEX(輔助計算!$D:$D, (MATCH(85, 輔助計算!$G$2:$G$801, 0)+1)),IF(INDEX(ERP資料!$G:$G, (MATCH(85, 輔助計算!$G$2:$G$801, 0)+1))&lt;100, IF(INDEX(ERP資料!$G:$G, (MATCH(85, 輔助計算!$G$2:$G$801, 0)+1))&lt;=31,3,IF(INDEX(ERP資料!$G:$G, (MATCH(85, 輔助計算!$G$2:$G$801, 0)+1))&lt;=46.5,2,1)), IF(INDEX(ERP資料!$G:$G, (MATCH(85, 輔助計算!$G$2:$G$801, 0)+1))&lt;=790,3,IF(INDEX(ERP資料!$G:$G, (MATCH(85, 輔助計算!$G$2:$G$801, 0)+1))&lt;=1181,2,1))))=0,"",IF(MOD(INDEX(輔助計算!$D:$D, (MATCH(85, 輔助計算!$G$2:$G$801, 0)+1)),IF(INDEX(ERP資料!$G:$G, (MATCH(85, 輔助計算!$G$2:$G$801, 0)+1))&lt;100, IF(INDEX(ERP資料!$G:$G, (MATCH(85, 輔助計算!$G$2:$G$801, 0)+1))&lt;=31,3,IF(INDEX(ERP資料!$G:$G, (MATCH(85, 輔助計算!$G$2:$G$801, 0)+1))&lt;=46.5,2,1)), IF(INDEX(ERP資料!$G:$G, (MATCH(85, 輔助計算!$G$2:$G$801, 0)+1))&lt;=790,3,IF(INDEX(ERP資料!$G:$G, (MATCH(85, 輔助計算!$G$2:$G$801, 0)+1))&lt;=1181,2,1))))=1,TEXT(INDEX(ERP資料!$G:$G, (MATCH(85, 輔助計算!$G$2:$G$801, 0)+1)),"0.##"),IF(MOD(INDEX(輔助計算!$D:$D, (MATCH(85, 輔助計算!$G$2:$G$801, 0)+1)),IF(INDEX(ERP資料!$G:$G, (MATCH(85, 輔助計算!$G$2:$G$801, 0)+1))&lt;100, IF(INDEX(ERP資料!$G:$G, (MATCH(85, 輔助計算!$G$2:$G$801, 0)+1))&lt;=31,3,IF(INDEX(ERP資料!$G:$G, (MATCH(85, 輔助計算!$G$2:$G$801, 0)+1))&lt;=46.5,2,1)), IF(INDEX(ERP資料!$G:$G, (MATCH(85, 輔助計算!$G$2:$G$801, 0)+1))&lt;=790,3,IF(INDEX(ERP資料!$G:$G, (MATCH(85, 輔助計算!$G$2:$G$801, 0)+1))&lt;=1181,2,1))))=2,TEXT(INDEX(ERP資料!$G:$G, (MATCH(85, 輔助計算!$G$2:$G$801, 0)+1)),"0.##")&amp;"+"&amp;TEXT(INDEX(ERP資料!$G:$G, (MATCH(85, 輔助計算!$G$2:$G$801, 0)+1)),"0.##"),TEXT(INDEX(ERP資料!$G:$G, (MATCH(85, 輔助計算!$G$2:$G$801, 0)+1)),"0.##")&amp;"+"&amp;TEXT(INDEX(ERP資料!$G:$G, (MATCH(85, 輔助計算!$G$2:$G$801, 0)+1)),"0.##")&amp;"+"&amp;TEXT(INDEX(ERP資料!$G:$G, (MATCH(85, 輔助計算!$G$2:$G$801, 0)+1)),"0.##"))))&amp;"-1")), ""), "")</f>
        <v/>
      </c>
      <c r="K86" s="16" t="n"/>
      <c r="L86" s="14">
        <f>IFERROR(IF(AND(IFERROR(INDEX(ERP資料!$A:$A, (MATCH(85, 輔助計算!$G$2:$G$801, 0)+1)), "")&lt;&gt;"", IFERROR(INDEX(ERP資料!$A:$A, (MATCH(85, 輔助計算!$G$2:$G$801, 0)+1)), "")&lt;&gt;IFERROR(INDEX(ERP資料!$A:$A, MATCH(84, 輔助計算!$G$2:$G$801, 0)+1), "")), INDEX(ERP資料!$B:$B, (MATCH(85, 輔助計算!$G$2:$G$801, 0)+1)), ""), "")</f>
        <v/>
      </c>
      <c r="M86" s="17" t="n"/>
    </row>
    <row r="87">
      <c r="A87" s="10">
        <f>IFERROR(IF(AND(IFERROR(INDEX(ERP資料!$A:$A, (MATCH(86, 輔助計算!$G$2:$G$801, 0)+1)), "")&lt;&gt;"", IFERROR(INDEX(ERP資料!$A:$A, (MATCH(86, 輔助計算!$G$2:$G$801, 0)+1)), "")&lt;&gt;IFERROR(INDEX(ERP資料!$A:$A, MATCH(85, 輔助計算!$G$2:$G$801, 0)+1), "")), IFERROR(INDEX(ERP資料!$A:$A, (MATCH(86, 輔助計算!$G$2:$G$801, 0)+1)), ""), ""), "")</f>
        <v/>
      </c>
      <c r="B87" s="10">
        <f>IFERROR(IF(AND(IFERROR(INDEX(ERP資料!$A:$A, (MATCH(86, 輔助計算!$G$2:$G$801, 0)+1)), "")&lt;&gt;"", IFERROR(INDEX(ERP資料!$A:$A, (MATCH(86, 輔助計算!$G$2:$G$801, 0)+1)), "")&lt;&gt;IFERROR(INDEX(ERP資料!$A:$A, MATCH(85, 輔助計算!$G$2:$G$801, 0)+1), "")), INDEX(ERP資料!$S:$S, (MATCH(86, 輔助計算!$G$2:$G$801, 0)+1)), ""), "")</f>
        <v/>
      </c>
      <c r="C87" s="19">
        <f>IFERROR(IF(AND(IFERROR(INDEX(ERP資料!$A:$A, (MATCH(86, 輔助計算!$G$2:$G$801, 0)+1)), "")&lt;&gt;"", IFERROR(INDEX(ERP資料!$A:$A, (MATCH(86, 輔助計算!$G$2:$G$801, 0)+1)), "")&lt;&gt;IFERROR(INDEX(ERP資料!$A:$A, MATCH(85, 輔助計算!$G$2:$G$801, 0)+1), "")), IFERROR(VLOOKUP(LEFT(INDEX(ERP資料!$S:$S, (MATCH(86, 輔助計算!$G$2:$G$801, 0)+1)), 4), 紙管對照表!$A:$C, 3, FALSE), ""), ""), "")</f>
        <v/>
      </c>
      <c r="D87" s="16" t="n"/>
      <c r="E87" s="10">
        <f>IFERROR(IF(INDEX(ERP資料!$H:$H, (MATCH(86, 輔助計算!$G$2:$G$801, 0)+1))="","",INDEX(ERP資料!$H:$H, (MATCH(86, 輔助計算!$G$2:$G$801, 0)+1))), "")</f>
        <v/>
      </c>
      <c r="F87" s="10">
        <f>IFERROR(IF(INDEX(ERP資料!$E:$E, (MATCH(86, 輔助計算!$G$2:$G$801, 0)+1))="","",TRIM(INDEX(ERP資料!$E:$E, (MATCH(86, 輔助計算!$G$2:$G$801, 0)+1)))), "")</f>
        <v/>
      </c>
      <c r="G87" s="10">
        <f>IFERROR(IF(INDEX(ERP資料!$F:$F, (MATCH(86, 輔助計算!$G$2:$G$801, 0)+1))="","",INDEX(ERP資料!$F:$F, (MATCH(86, 輔助計算!$G$2:$G$801, 0)+1))), "")</f>
        <v/>
      </c>
      <c r="H87" s="10">
        <f>IFERROR(IF(INDEX(ERP資料!$G:$G, (MATCH(86, 輔助計算!$G$2:$G$801, 0)+1))="","",INDEX(ERP資料!$G:$G, (MATCH(86, 輔助計算!$G$2:$G$801, 0)+1))), "")</f>
        <v/>
      </c>
      <c r="I87" s="15">
        <f>IFERROR(INDEX(輔助計算!$D:$D, (MATCH(86, 輔助計算!$G$2:$G$801, 0)+1)), "")</f>
        <v/>
      </c>
      <c r="J87" s="15">
        <f>IFERROR(IF(AND(INDEX(輔助計算!$D:$D, (MATCH(86, 輔助計算!$G$2:$G$801, 0)+1))&lt;&gt;"", INDEX(ERP資料!$G:$G, (MATCH(86, 輔助計算!$G$2:$G$801, 0)+1))&lt;&gt;""), TRIM(IF(INT(INDEX(輔助計算!$D:$D, (MATCH(86, 輔助計算!$G$2:$G$801, 0)+1))/IF(INDEX(ERP資料!$G:$G, (MATCH(86, 輔助計算!$G$2:$G$801, 0)+1))&lt;100, IF(INDEX(ERP資料!$G:$G, (MATCH(86, 輔助計算!$G$2:$G$801, 0)+1))&lt;=31,3,IF(INDEX(ERP資料!$G:$G, (MATCH(86, 輔助計算!$G$2:$G$801, 0)+1))&lt;=46.5,2,1)), IF(INDEX(ERP資料!$G:$G, (MATCH(86, 輔助計算!$G$2:$G$801, 0)+1))&lt;=790,3,IF(INDEX(ERP資料!$G:$G, (MATCH(86, 輔助計算!$G$2:$G$801, 0)+1))&lt;=1181,2,1))))&gt;0, IF(IF(INDEX(ERP資料!$G:$G, (MATCH(86, 輔助計算!$G$2:$G$801, 0)+1))&lt;100, IF(INDEX(ERP資料!$G:$G, (MATCH(86, 輔助計算!$G$2:$G$801, 0)+1))&lt;=31,3,IF(INDEX(ERP資料!$G:$G, (MATCH(86, 輔助計算!$G$2:$G$801, 0)+1))&lt;=46.5,2,1)), IF(INDEX(ERP資料!$G:$G, (MATCH(86, 輔助計算!$G$2:$G$801, 0)+1))&lt;=790,3,IF(INDEX(ERP資料!$G:$G, (MATCH(86, 輔助計算!$G$2:$G$801, 0)+1))&lt;=1181,2,1)))=1,TEXT(INDEX(ERP資料!$G:$G, (MATCH(86, 輔助計算!$G$2:$G$801, 0)+1)),"0.##"),IF(IF(INDEX(ERP資料!$G:$G, (MATCH(86, 輔助計算!$G$2:$G$801, 0)+1))&lt;100, IF(INDEX(ERP資料!$G:$G, (MATCH(86, 輔助計算!$G$2:$G$801, 0)+1))&lt;=31,3,IF(INDEX(ERP資料!$G:$G, (MATCH(86, 輔助計算!$G$2:$G$801, 0)+1))&lt;=46.5,2,1)), IF(INDEX(ERP資料!$G:$G, (MATCH(86, 輔助計算!$G$2:$G$801, 0)+1))&lt;=790,3,IF(INDEX(ERP資料!$G:$G, (MATCH(86, 輔助計算!$G$2:$G$801, 0)+1))&lt;=1181,2,1)))=2,TEXT(INDEX(ERP資料!$G:$G, (MATCH(86, 輔助計算!$G$2:$G$801, 0)+1)),"0.##")&amp;"+"&amp;TEXT(INDEX(ERP資料!$G:$G, (MATCH(86, 輔助計算!$G$2:$G$801, 0)+1)),"0.##"),TEXT(INDEX(ERP資料!$G:$G, (MATCH(86, 輔助計算!$G$2:$G$801, 0)+1)),"0.##")&amp;"+"&amp;TEXT(INDEX(ERP資料!$G:$G, (MATCH(86, 輔助計算!$G$2:$G$801, 0)+1)),"0.##")&amp;"+"&amp;TEXT(INDEX(ERP資料!$G:$G, (MATCH(86, 輔助計算!$G$2:$G$801, 0)+1)),"0.##")))&amp;"-"&amp;INT(INDEX(輔助計算!$D:$D, (MATCH(86, 輔助計算!$G$2:$G$801, 0)+1))/IF(INDEX(ERP資料!$G:$G, (MATCH(86, 輔助計算!$G$2:$G$801, 0)+1))&lt;100, IF(INDEX(ERP資料!$G:$G, (MATCH(86, 輔助計算!$G$2:$G$801, 0)+1))&lt;=31,3,IF(INDEX(ERP資料!$G:$G, (MATCH(86, 輔助計算!$G$2:$G$801, 0)+1))&lt;=46.5,2,1)), IF(INDEX(ERP資料!$G:$G, (MATCH(86, 輔助計算!$G$2:$G$801, 0)+1))&lt;=790,3,IF(INDEX(ERP資料!$G:$G, (MATCH(86, 輔助計算!$G$2:$G$801, 0)+1))&lt;=1181,2,1)))), "")&amp;IF(AND(IF(INT(INDEX(輔助計算!$D:$D, (MATCH(86, 輔助計算!$G$2:$G$801, 0)+1))/IF(INDEX(ERP資料!$G:$G, (MATCH(86, 輔助計算!$G$2:$G$801, 0)+1))&lt;100, IF(INDEX(ERP資料!$G:$G, (MATCH(86, 輔助計算!$G$2:$G$801, 0)+1))&lt;=31,3,IF(INDEX(ERP資料!$G:$G, (MATCH(86, 輔助計算!$G$2:$G$801, 0)+1))&lt;=46.5,2,1)), IF(INDEX(ERP資料!$G:$G, (MATCH(86, 輔助計算!$G$2:$G$801, 0)+1))&lt;=790,3,IF(INDEX(ERP資料!$G:$G, (MATCH(86, 輔助計算!$G$2:$G$801, 0)+1))&lt;=1181,2,1))))&gt;0, IF(IF(INDEX(ERP資料!$G:$G, (MATCH(86, 輔助計算!$G$2:$G$801, 0)+1))&lt;100, IF(INDEX(ERP資料!$G:$G, (MATCH(86, 輔助計算!$G$2:$G$801, 0)+1))&lt;=31,3,IF(INDEX(ERP資料!$G:$G, (MATCH(86, 輔助計算!$G$2:$G$801, 0)+1))&lt;=46.5,2,1)), IF(INDEX(ERP資料!$G:$G, (MATCH(86, 輔助計算!$G$2:$G$801, 0)+1))&lt;=790,3,IF(INDEX(ERP資料!$G:$G, (MATCH(86, 輔助計算!$G$2:$G$801, 0)+1))&lt;=1181,2,1)))=1,TEXT(INDEX(ERP資料!$G:$G, (MATCH(86, 輔助計算!$G$2:$G$801, 0)+1)),"0.##"),IF(IF(INDEX(ERP資料!$G:$G, (MATCH(86, 輔助計算!$G$2:$G$801, 0)+1))&lt;100, IF(INDEX(ERP資料!$G:$G, (MATCH(86, 輔助計算!$G$2:$G$801, 0)+1))&lt;=31,3,IF(INDEX(ERP資料!$G:$G, (MATCH(86, 輔助計算!$G$2:$G$801, 0)+1))&lt;=46.5,2,1)), IF(INDEX(ERP資料!$G:$G, (MATCH(86, 輔助計算!$G$2:$G$801, 0)+1))&lt;=790,3,IF(INDEX(ERP資料!$G:$G, (MATCH(86, 輔助計算!$G$2:$G$801, 0)+1))&lt;=1181,2,1)))=2,TEXT(INDEX(ERP資料!$G:$G, (MATCH(86, 輔助計算!$G$2:$G$801, 0)+1)),"0.##")&amp;"+"&amp;TEXT(INDEX(ERP資料!$G:$G, (MATCH(86, 輔助計算!$G$2:$G$801, 0)+1)),"0.##"),TEXT(INDEX(ERP資料!$G:$G, (MATCH(86, 輔助計算!$G$2:$G$801, 0)+1)),"0.##")&amp;"+"&amp;TEXT(INDEX(ERP資料!$G:$G, (MATCH(86, 輔助計算!$G$2:$G$801, 0)+1)),"0.##")&amp;"+"&amp;TEXT(INDEX(ERP資料!$G:$G, (MATCH(86, 輔助計算!$G$2:$G$801, 0)+1)),"0.##")))&amp;"-"&amp;INT(INDEX(輔助計算!$D:$D, (MATCH(86, 輔助計算!$G$2:$G$801, 0)+1))/IF(INDEX(ERP資料!$G:$G, (MATCH(86, 輔助計算!$G$2:$G$801, 0)+1))&lt;100, IF(INDEX(ERP資料!$G:$G, (MATCH(86, 輔助計算!$G$2:$G$801, 0)+1))&lt;=31,3,IF(INDEX(ERP資料!$G:$G, (MATCH(86, 輔助計算!$G$2:$G$801, 0)+1))&lt;=46.5,2,1)), IF(INDEX(ERP資料!$G:$G, (MATCH(86, 輔助計算!$G$2:$G$801, 0)+1))&lt;=790,3,IF(INDEX(ERP資料!$G:$G, (MATCH(86, 輔助計算!$G$2:$G$801, 0)+1))&lt;=1181,2,1)))), "")&lt;&gt;"",IF(MOD(INDEX(輔助計算!$D:$D, (MATCH(86, 輔助計算!$G$2:$G$801, 0)+1)),IF(INDEX(ERP資料!$G:$G, (MATCH(86, 輔助計算!$G$2:$G$801, 0)+1))&lt;100, IF(INDEX(ERP資料!$G:$G, (MATCH(86, 輔助計算!$G$2:$G$801, 0)+1))&lt;=31,3,IF(INDEX(ERP資料!$G:$G, (MATCH(86, 輔助計算!$G$2:$G$801, 0)+1))&lt;=46.5,2,1)), IF(INDEX(ERP資料!$G:$G, (MATCH(86, 輔助計算!$G$2:$G$801, 0)+1))&lt;=790,3,IF(INDEX(ERP資料!$G:$G, (MATCH(86, 輔助計算!$G$2:$G$801, 0)+1))&lt;=1181,2,1))))=0,"",IF(MOD(INDEX(輔助計算!$D:$D, (MATCH(86, 輔助計算!$G$2:$G$801, 0)+1)),IF(INDEX(ERP資料!$G:$G, (MATCH(86, 輔助計算!$G$2:$G$801, 0)+1))&lt;100, IF(INDEX(ERP資料!$G:$G, (MATCH(86, 輔助計算!$G$2:$G$801, 0)+1))&lt;=31,3,IF(INDEX(ERP資料!$G:$G, (MATCH(86, 輔助計算!$G$2:$G$801, 0)+1))&lt;=46.5,2,1)), IF(INDEX(ERP資料!$G:$G, (MATCH(86, 輔助計算!$G$2:$G$801, 0)+1))&lt;=790,3,IF(INDEX(ERP資料!$G:$G, (MATCH(86, 輔助計算!$G$2:$G$801, 0)+1))&lt;=1181,2,1))))=0,"",IF(MOD(INDEX(輔助計算!$D:$D, (MATCH(86, 輔助計算!$G$2:$G$801, 0)+1)),IF(INDEX(ERP資料!$G:$G, (MATCH(86, 輔助計算!$G$2:$G$801, 0)+1))&lt;100, IF(INDEX(ERP資料!$G:$G, (MATCH(86, 輔助計算!$G$2:$G$801, 0)+1))&lt;=31,3,IF(INDEX(ERP資料!$G:$G, (MATCH(86, 輔助計算!$G$2:$G$801, 0)+1))&lt;=46.5,2,1)), IF(INDEX(ERP資料!$G:$G, (MATCH(86, 輔助計算!$G$2:$G$801, 0)+1))&lt;=790,3,IF(INDEX(ERP資料!$G:$G, (MATCH(86, 輔助計算!$G$2:$G$801, 0)+1))&lt;=1181,2,1))))=1,TEXT(INDEX(ERP資料!$G:$G, (MATCH(86, 輔助計算!$G$2:$G$801, 0)+1)),"0.##"),IF(MOD(INDEX(輔助計算!$D:$D, (MATCH(86, 輔助計算!$G$2:$G$801, 0)+1)),IF(INDEX(ERP資料!$G:$G, (MATCH(86, 輔助計算!$G$2:$G$801, 0)+1))&lt;100, IF(INDEX(ERP資料!$G:$G, (MATCH(86, 輔助計算!$G$2:$G$801, 0)+1))&lt;=31,3,IF(INDEX(ERP資料!$G:$G, (MATCH(86, 輔助計算!$G$2:$G$801, 0)+1))&lt;=46.5,2,1)), IF(INDEX(ERP資料!$G:$G, (MATCH(86, 輔助計算!$G$2:$G$801, 0)+1))&lt;=790,3,IF(INDEX(ERP資料!$G:$G, (MATCH(86, 輔助計算!$G$2:$G$801, 0)+1))&lt;=1181,2,1))))=2,TEXT(INDEX(ERP資料!$G:$G, (MATCH(86, 輔助計算!$G$2:$G$801, 0)+1)),"0.##")&amp;"+"&amp;TEXT(INDEX(ERP資料!$G:$G, (MATCH(86, 輔助計算!$G$2:$G$801, 0)+1)),"0.##"),TEXT(INDEX(ERP資料!$G:$G, (MATCH(86, 輔助計算!$G$2:$G$801, 0)+1)),"0.##")&amp;"+"&amp;TEXT(INDEX(ERP資料!$G:$G, (MATCH(86, 輔助計算!$G$2:$G$801, 0)+1)),"0.##")&amp;"+"&amp;TEXT(INDEX(ERP資料!$G:$G, (MATCH(86, 輔助計算!$G$2:$G$801, 0)+1)),"0.##"))))&amp;"-1")&lt;&gt;""),"  ","")&amp;IF(MOD(INDEX(輔助計算!$D:$D, (MATCH(86, 輔助計算!$G$2:$G$801, 0)+1)),IF(INDEX(ERP資料!$G:$G, (MATCH(86, 輔助計算!$G$2:$G$801, 0)+1))&lt;100, IF(INDEX(ERP資料!$G:$G, (MATCH(86, 輔助計算!$G$2:$G$801, 0)+1))&lt;=31,3,IF(INDEX(ERP資料!$G:$G, (MATCH(86, 輔助計算!$G$2:$G$801, 0)+1))&lt;=46.5,2,1)), IF(INDEX(ERP資料!$G:$G, (MATCH(86, 輔助計算!$G$2:$G$801, 0)+1))&lt;=790,3,IF(INDEX(ERP資料!$G:$G, (MATCH(86, 輔助計算!$G$2:$G$801, 0)+1))&lt;=1181,2,1))))=0,"",IF(MOD(INDEX(輔助計算!$D:$D, (MATCH(86, 輔助計算!$G$2:$G$801, 0)+1)),IF(INDEX(ERP資料!$G:$G, (MATCH(86, 輔助計算!$G$2:$G$801, 0)+1))&lt;100, IF(INDEX(ERP資料!$G:$G, (MATCH(86, 輔助計算!$G$2:$G$801, 0)+1))&lt;=31,3,IF(INDEX(ERP資料!$G:$G, (MATCH(86, 輔助計算!$G$2:$G$801, 0)+1))&lt;=46.5,2,1)), IF(INDEX(ERP資料!$G:$G, (MATCH(86, 輔助計算!$G$2:$G$801, 0)+1))&lt;=790,3,IF(INDEX(ERP資料!$G:$G, (MATCH(86, 輔助計算!$G$2:$G$801, 0)+1))&lt;=1181,2,1))))=0,"",IF(MOD(INDEX(輔助計算!$D:$D, (MATCH(86, 輔助計算!$G$2:$G$801, 0)+1)),IF(INDEX(ERP資料!$G:$G, (MATCH(86, 輔助計算!$G$2:$G$801, 0)+1))&lt;100, IF(INDEX(ERP資料!$G:$G, (MATCH(86, 輔助計算!$G$2:$G$801, 0)+1))&lt;=31,3,IF(INDEX(ERP資料!$G:$G, (MATCH(86, 輔助計算!$G$2:$G$801, 0)+1))&lt;=46.5,2,1)), IF(INDEX(ERP資料!$G:$G, (MATCH(86, 輔助計算!$G$2:$G$801, 0)+1))&lt;=790,3,IF(INDEX(ERP資料!$G:$G, (MATCH(86, 輔助計算!$G$2:$G$801, 0)+1))&lt;=1181,2,1))))=1,TEXT(INDEX(ERP資料!$G:$G, (MATCH(86, 輔助計算!$G$2:$G$801, 0)+1)),"0.##"),IF(MOD(INDEX(輔助計算!$D:$D, (MATCH(86, 輔助計算!$G$2:$G$801, 0)+1)),IF(INDEX(ERP資料!$G:$G, (MATCH(86, 輔助計算!$G$2:$G$801, 0)+1))&lt;100, IF(INDEX(ERP資料!$G:$G, (MATCH(86, 輔助計算!$G$2:$G$801, 0)+1))&lt;=31,3,IF(INDEX(ERP資料!$G:$G, (MATCH(86, 輔助計算!$G$2:$G$801, 0)+1))&lt;=46.5,2,1)), IF(INDEX(ERP資料!$G:$G, (MATCH(86, 輔助計算!$G$2:$G$801, 0)+1))&lt;=790,3,IF(INDEX(ERP資料!$G:$G, (MATCH(86, 輔助計算!$G$2:$G$801, 0)+1))&lt;=1181,2,1))))=2,TEXT(INDEX(ERP資料!$G:$G, (MATCH(86, 輔助計算!$G$2:$G$801, 0)+1)),"0.##")&amp;"+"&amp;TEXT(INDEX(ERP資料!$G:$G, (MATCH(86, 輔助計算!$G$2:$G$801, 0)+1)),"0.##"),TEXT(INDEX(ERP資料!$G:$G, (MATCH(86, 輔助計算!$G$2:$G$801, 0)+1)),"0.##")&amp;"+"&amp;TEXT(INDEX(ERP資料!$G:$G, (MATCH(86, 輔助計算!$G$2:$G$801, 0)+1)),"0.##")&amp;"+"&amp;TEXT(INDEX(ERP資料!$G:$G, (MATCH(86, 輔助計算!$G$2:$G$801, 0)+1)),"0.##"))))&amp;"-1")), ""), "")</f>
        <v/>
      </c>
      <c r="K87" s="16" t="n"/>
      <c r="L87" s="14">
        <f>IFERROR(IF(AND(IFERROR(INDEX(ERP資料!$A:$A, (MATCH(86, 輔助計算!$G$2:$G$801, 0)+1)), "")&lt;&gt;"", IFERROR(INDEX(ERP資料!$A:$A, (MATCH(86, 輔助計算!$G$2:$G$801, 0)+1)), "")&lt;&gt;IFERROR(INDEX(ERP資料!$A:$A, MATCH(85, 輔助計算!$G$2:$G$801, 0)+1), "")), INDEX(ERP資料!$B:$B, (MATCH(86, 輔助計算!$G$2:$G$801, 0)+1)), ""), "")</f>
        <v/>
      </c>
      <c r="M87" s="17" t="n"/>
    </row>
    <row r="88">
      <c r="A88" s="10">
        <f>IFERROR(IF(AND(IFERROR(INDEX(ERP資料!$A:$A, (MATCH(87, 輔助計算!$G$2:$G$801, 0)+1)), "")&lt;&gt;"", IFERROR(INDEX(ERP資料!$A:$A, (MATCH(87, 輔助計算!$G$2:$G$801, 0)+1)), "")&lt;&gt;IFERROR(INDEX(ERP資料!$A:$A, MATCH(86, 輔助計算!$G$2:$G$801, 0)+1), "")), IFERROR(INDEX(ERP資料!$A:$A, (MATCH(87, 輔助計算!$G$2:$G$801, 0)+1)), ""), ""), "")</f>
        <v/>
      </c>
      <c r="B88" s="10">
        <f>IFERROR(IF(AND(IFERROR(INDEX(ERP資料!$A:$A, (MATCH(87, 輔助計算!$G$2:$G$801, 0)+1)), "")&lt;&gt;"", IFERROR(INDEX(ERP資料!$A:$A, (MATCH(87, 輔助計算!$G$2:$G$801, 0)+1)), "")&lt;&gt;IFERROR(INDEX(ERP資料!$A:$A, MATCH(86, 輔助計算!$G$2:$G$801, 0)+1), "")), INDEX(ERP資料!$S:$S, (MATCH(87, 輔助計算!$G$2:$G$801, 0)+1)), ""), "")</f>
        <v/>
      </c>
      <c r="C88" s="19">
        <f>IFERROR(IF(AND(IFERROR(INDEX(ERP資料!$A:$A, (MATCH(87, 輔助計算!$G$2:$G$801, 0)+1)), "")&lt;&gt;"", IFERROR(INDEX(ERP資料!$A:$A, (MATCH(87, 輔助計算!$G$2:$G$801, 0)+1)), "")&lt;&gt;IFERROR(INDEX(ERP資料!$A:$A, MATCH(86, 輔助計算!$G$2:$G$801, 0)+1), "")), IFERROR(VLOOKUP(LEFT(INDEX(ERP資料!$S:$S, (MATCH(87, 輔助計算!$G$2:$G$801, 0)+1)), 4), 紙管對照表!$A:$C, 3, FALSE), ""), ""), "")</f>
        <v/>
      </c>
      <c r="D88" s="16" t="n"/>
      <c r="E88" s="10">
        <f>IFERROR(IF(INDEX(ERP資料!$H:$H, (MATCH(87, 輔助計算!$G$2:$G$801, 0)+1))="","",INDEX(ERP資料!$H:$H, (MATCH(87, 輔助計算!$G$2:$G$801, 0)+1))), "")</f>
        <v/>
      </c>
      <c r="F88" s="10">
        <f>IFERROR(IF(INDEX(ERP資料!$E:$E, (MATCH(87, 輔助計算!$G$2:$G$801, 0)+1))="","",TRIM(INDEX(ERP資料!$E:$E, (MATCH(87, 輔助計算!$G$2:$G$801, 0)+1)))), "")</f>
        <v/>
      </c>
      <c r="G88" s="10">
        <f>IFERROR(IF(INDEX(ERP資料!$F:$F, (MATCH(87, 輔助計算!$G$2:$G$801, 0)+1))="","",INDEX(ERP資料!$F:$F, (MATCH(87, 輔助計算!$G$2:$G$801, 0)+1))), "")</f>
        <v/>
      </c>
      <c r="H88" s="10">
        <f>IFERROR(IF(INDEX(ERP資料!$G:$G, (MATCH(87, 輔助計算!$G$2:$G$801, 0)+1))="","",INDEX(ERP資料!$G:$G, (MATCH(87, 輔助計算!$G$2:$G$801, 0)+1))), "")</f>
        <v/>
      </c>
      <c r="I88" s="15">
        <f>IFERROR(INDEX(輔助計算!$D:$D, (MATCH(87, 輔助計算!$G$2:$G$801, 0)+1)), "")</f>
        <v/>
      </c>
      <c r="J88" s="15">
        <f>IFERROR(IF(AND(INDEX(輔助計算!$D:$D, (MATCH(87, 輔助計算!$G$2:$G$801, 0)+1))&lt;&gt;"", INDEX(ERP資料!$G:$G, (MATCH(87, 輔助計算!$G$2:$G$801, 0)+1))&lt;&gt;""), TRIM(IF(INT(INDEX(輔助計算!$D:$D, (MATCH(87, 輔助計算!$G$2:$G$801, 0)+1))/IF(INDEX(ERP資料!$G:$G, (MATCH(87, 輔助計算!$G$2:$G$801, 0)+1))&lt;100, IF(INDEX(ERP資料!$G:$G, (MATCH(87, 輔助計算!$G$2:$G$801, 0)+1))&lt;=31,3,IF(INDEX(ERP資料!$G:$G, (MATCH(87, 輔助計算!$G$2:$G$801, 0)+1))&lt;=46.5,2,1)), IF(INDEX(ERP資料!$G:$G, (MATCH(87, 輔助計算!$G$2:$G$801, 0)+1))&lt;=790,3,IF(INDEX(ERP資料!$G:$G, (MATCH(87, 輔助計算!$G$2:$G$801, 0)+1))&lt;=1181,2,1))))&gt;0, IF(IF(INDEX(ERP資料!$G:$G, (MATCH(87, 輔助計算!$G$2:$G$801, 0)+1))&lt;100, IF(INDEX(ERP資料!$G:$G, (MATCH(87, 輔助計算!$G$2:$G$801, 0)+1))&lt;=31,3,IF(INDEX(ERP資料!$G:$G, (MATCH(87, 輔助計算!$G$2:$G$801, 0)+1))&lt;=46.5,2,1)), IF(INDEX(ERP資料!$G:$G, (MATCH(87, 輔助計算!$G$2:$G$801, 0)+1))&lt;=790,3,IF(INDEX(ERP資料!$G:$G, (MATCH(87, 輔助計算!$G$2:$G$801, 0)+1))&lt;=1181,2,1)))=1,TEXT(INDEX(ERP資料!$G:$G, (MATCH(87, 輔助計算!$G$2:$G$801, 0)+1)),"0.##"),IF(IF(INDEX(ERP資料!$G:$G, (MATCH(87, 輔助計算!$G$2:$G$801, 0)+1))&lt;100, IF(INDEX(ERP資料!$G:$G, (MATCH(87, 輔助計算!$G$2:$G$801, 0)+1))&lt;=31,3,IF(INDEX(ERP資料!$G:$G, (MATCH(87, 輔助計算!$G$2:$G$801, 0)+1))&lt;=46.5,2,1)), IF(INDEX(ERP資料!$G:$G, (MATCH(87, 輔助計算!$G$2:$G$801, 0)+1))&lt;=790,3,IF(INDEX(ERP資料!$G:$G, (MATCH(87, 輔助計算!$G$2:$G$801, 0)+1))&lt;=1181,2,1)))=2,TEXT(INDEX(ERP資料!$G:$G, (MATCH(87, 輔助計算!$G$2:$G$801, 0)+1)),"0.##")&amp;"+"&amp;TEXT(INDEX(ERP資料!$G:$G, (MATCH(87, 輔助計算!$G$2:$G$801, 0)+1)),"0.##"),TEXT(INDEX(ERP資料!$G:$G, (MATCH(87, 輔助計算!$G$2:$G$801, 0)+1)),"0.##")&amp;"+"&amp;TEXT(INDEX(ERP資料!$G:$G, (MATCH(87, 輔助計算!$G$2:$G$801, 0)+1)),"0.##")&amp;"+"&amp;TEXT(INDEX(ERP資料!$G:$G, (MATCH(87, 輔助計算!$G$2:$G$801, 0)+1)),"0.##")))&amp;"-"&amp;INT(INDEX(輔助計算!$D:$D, (MATCH(87, 輔助計算!$G$2:$G$801, 0)+1))/IF(INDEX(ERP資料!$G:$G, (MATCH(87, 輔助計算!$G$2:$G$801, 0)+1))&lt;100, IF(INDEX(ERP資料!$G:$G, (MATCH(87, 輔助計算!$G$2:$G$801, 0)+1))&lt;=31,3,IF(INDEX(ERP資料!$G:$G, (MATCH(87, 輔助計算!$G$2:$G$801, 0)+1))&lt;=46.5,2,1)), IF(INDEX(ERP資料!$G:$G, (MATCH(87, 輔助計算!$G$2:$G$801, 0)+1))&lt;=790,3,IF(INDEX(ERP資料!$G:$G, (MATCH(87, 輔助計算!$G$2:$G$801, 0)+1))&lt;=1181,2,1)))), "")&amp;IF(AND(IF(INT(INDEX(輔助計算!$D:$D, (MATCH(87, 輔助計算!$G$2:$G$801, 0)+1))/IF(INDEX(ERP資料!$G:$G, (MATCH(87, 輔助計算!$G$2:$G$801, 0)+1))&lt;100, IF(INDEX(ERP資料!$G:$G, (MATCH(87, 輔助計算!$G$2:$G$801, 0)+1))&lt;=31,3,IF(INDEX(ERP資料!$G:$G, (MATCH(87, 輔助計算!$G$2:$G$801, 0)+1))&lt;=46.5,2,1)), IF(INDEX(ERP資料!$G:$G, (MATCH(87, 輔助計算!$G$2:$G$801, 0)+1))&lt;=790,3,IF(INDEX(ERP資料!$G:$G, (MATCH(87, 輔助計算!$G$2:$G$801, 0)+1))&lt;=1181,2,1))))&gt;0, IF(IF(INDEX(ERP資料!$G:$G, (MATCH(87, 輔助計算!$G$2:$G$801, 0)+1))&lt;100, IF(INDEX(ERP資料!$G:$G, (MATCH(87, 輔助計算!$G$2:$G$801, 0)+1))&lt;=31,3,IF(INDEX(ERP資料!$G:$G, (MATCH(87, 輔助計算!$G$2:$G$801, 0)+1))&lt;=46.5,2,1)), IF(INDEX(ERP資料!$G:$G, (MATCH(87, 輔助計算!$G$2:$G$801, 0)+1))&lt;=790,3,IF(INDEX(ERP資料!$G:$G, (MATCH(87, 輔助計算!$G$2:$G$801, 0)+1))&lt;=1181,2,1)))=1,TEXT(INDEX(ERP資料!$G:$G, (MATCH(87, 輔助計算!$G$2:$G$801, 0)+1)),"0.##"),IF(IF(INDEX(ERP資料!$G:$G, (MATCH(87, 輔助計算!$G$2:$G$801, 0)+1))&lt;100, IF(INDEX(ERP資料!$G:$G, (MATCH(87, 輔助計算!$G$2:$G$801, 0)+1))&lt;=31,3,IF(INDEX(ERP資料!$G:$G, (MATCH(87, 輔助計算!$G$2:$G$801, 0)+1))&lt;=46.5,2,1)), IF(INDEX(ERP資料!$G:$G, (MATCH(87, 輔助計算!$G$2:$G$801, 0)+1))&lt;=790,3,IF(INDEX(ERP資料!$G:$G, (MATCH(87, 輔助計算!$G$2:$G$801, 0)+1))&lt;=1181,2,1)))=2,TEXT(INDEX(ERP資料!$G:$G, (MATCH(87, 輔助計算!$G$2:$G$801, 0)+1)),"0.##")&amp;"+"&amp;TEXT(INDEX(ERP資料!$G:$G, (MATCH(87, 輔助計算!$G$2:$G$801, 0)+1)),"0.##"),TEXT(INDEX(ERP資料!$G:$G, (MATCH(87, 輔助計算!$G$2:$G$801, 0)+1)),"0.##")&amp;"+"&amp;TEXT(INDEX(ERP資料!$G:$G, (MATCH(87, 輔助計算!$G$2:$G$801, 0)+1)),"0.##")&amp;"+"&amp;TEXT(INDEX(ERP資料!$G:$G, (MATCH(87, 輔助計算!$G$2:$G$801, 0)+1)),"0.##")))&amp;"-"&amp;INT(INDEX(輔助計算!$D:$D, (MATCH(87, 輔助計算!$G$2:$G$801, 0)+1))/IF(INDEX(ERP資料!$G:$G, (MATCH(87, 輔助計算!$G$2:$G$801, 0)+1))&lt;100, IF(INDEX(ERP資料!$G:$G, (MATCH(87, 輔助計算!$G$2:$G$801, 0)+1))&lt;=31,3,IF(INDEX(ERP資料!$G:$G, (MATCH(87, 輔助計算!$G$2:$G$801, 0)+1))&lt;=46.5,2,1)), IF(INDEX(ERP資料!$G:$G, (MATCH(87, 輔助計算!$G$2:$G$801, 0)+1))&lt;=790,3,IF(INDEX(ERP資料!$G:$G, (MATCH(87, 輔助計算!$G$2:$G$801, 0)+1))&lt;=1181,2,1)))), "")&lt;&gt;"",IF(MOD(INDEX(輔助計算!$D:$D, (MATCH(87, 輔助計算!$G$2:$G$801, 0)+1)),IF(INDEX(ERP資料!$G:$G, (MATCH(87, 輔助計算!$G$2:$G$801, 0)+1))&lt;100, IF(INDEX(ERP資料!$G:$G, (MATCH(87, 輔助計算!$G$2:$G$801, 0)+1))&lt;=31,3,IF(INDEX(ERP資料!$G:$G, (MATCH(87, 輔助計算!$G$2:$G$801, 0)+1))&lt;=46.5,2,1)), IF(INDEX(ERP資料!$G:$G, (MATCH(87, 輔助計算!$G$2:$G$801, 0)+1))&lt;=790,3,IF(INDEX(ERP資料!$G:$G, (MATCH(87, 輔助計算!$G$2:$G$801, 0)+1))&lt;=1181,2,1))))=0,"",IF(MOD(INDEX(輔助計算!$D:$D, (MATCH(87, 輔助計算!$G$2:$G$801, 0)+1)),IF(INDEX(ERP資料!$G:$G, (MATCH(87, 輔助計算!$G$2:$G$801, 0)+1))&lt;100, IF(INDEX(ERP資料!$G:$G, (MATCH(87, 輔助計算!$G$2:$G$801, 0)+1))&lt;=31,3,IF(INDEX(ERP資料!$G:$G, (MATCH(87, 輔助計算!$G$2:$G$801, 0)+1))&lt;=46.5,2,1)), IF(INDEX(ERP資料!$G:$G, (MATCH(87, 輔助計算!$G$2:$G$801, 0)+1))&lt;=790,3,IF(INDEX(ERP資料!$G:$G, (MATCH(87, 輔助計算!$G$2:$G$801, 0)+1))&lt;=1181,2,1))))=0,"",IF(MOD(INDEX(輔助計算!$D:$D, (MATCH(87, 輔助計算!$G$2:$G$801, 0)+1)),IF(INDEX(ERP資料!$G:$G, (MATCH(87, 輔助計算!$G$2:$G$801, 0)+1))&lt;100, IF(INDEX(ERP資料!$G:$G, (MATCH(87, 輔助計算!$G$2:$G$801, 0)+1))&lt;=31,3,IF(INDEX(ERP資料!$G:$G, (MATCH(87, 輔助計算!$G$2:$G$801, 0)+1))&lt;=46.5,2,1)), IF(INDEX(ERP資料!$G:$G, (MATCH(87, 輔助計算!$G$2:$G$801, 0)+1))&lt;=790,3,IF(INDEX(ERP資料!$G:$G, (MATCH(87, 輔助計算!$G$2:$G$801, 0)+1))&lt;=1181,2,1))))=1,TEXT(INDEX(ERP資料!$G:$G, (MATCH(87, 輔助計算!$G$2:$G$801, 0)+1)),"0.##"),IF(MOD(INDEX(輔助計算!$D:$D, (MATCH(87, 輔助計算!$G$2:$G$801, 0)+1)),IF(INDEX(ERP資料!$G:$G, (MATCH(87, 輔助計算!$G$2:$G$801, 0)+1))&lt;100, IF(INDEX(ERP資料!$G:$G, (MATCH(87, 輔助計算!$G$2:$G$801, 0)+1))&lt;=31,3,IF(INDEX(ERP資料!$G:$G, (MATCH(87, 輔助計算!$G$2:$G$801, 0)+1))&lt;=46.5,2,1)), IF(INDEX(ERP資料!$G:$G, (MATCH(87, 輔助計算!$G$2:$G$801, 0)+1))&lt;=790,3,IF(INDEX(ERP資料!$G:$G, (MATCH(87, 輔助計算!$G$2:$G$801, 0)+1))&lt;=1181,2,1))))=2,TEXT(INDEX(ERP資料!$G:$G, (MATCH(87, 輔助計算!$G$2:$G$801, 0)+1)),"0.##")&amp;"+"&amp;TEXT(INDEX(ERP資料!$G:$G, (MATCH(87, 輔助計算!$G$2:$G$801, 0)+1)),"0.##"),TEXT(INDEX(ERP資料!$G:$G, (MATCH(87, 輔助計算!$G$2:$G$801, 0)+1)),"0.##")&amp;"+"&amp;TEXT(INDEX(ERP資料!$G:$G, (MATCH(87, 輔助計算!$G$2:$G$801, 0)+1)),"0.##")&amp;"+"&amp;TEXT(INDEX(ERP資料!$G:$G, (MATCH(87, 輔助計算!$G$2:$G$801, 0)+1)),"0.##"))))&amp;"-1")&lt;&gt;""),"  ","")&amp;IF(MOD(INDEX(輔助計算!$D:$D, (MATCH(87, 輔助計算!$G$2:$G$801, 0)+1)),IF(INDEX(ERP資料!$G:$G, (MATCH(87, 輔助計算!$G$2:$G$801, 0)+1))&lt;100, IF(INDEX(ERP資料!$G:$G, (MATCH(87, 輔助計算!$G$2:$G$801, 0)+1))&lt;=31,3,IF(INDEX(ERP資料!$G:$G, (MATCH(87, 輔助計算!$G$2:$G$801, 0)+1))&lt;=46.5,2,1)), IF(INDEX(ERP資料!$G:$G, (MATCH(87, 輔助計算!$G$2:$G$801, 0)+1))&lt;=790,3,IF(INDEX(ERP資料!$G:$G, (MATCH(87, 輔助計算!$G$2:$G$801, 0)+1))&lt;=1181,2,1))))=0,"",IF(MOD(INDEX(輔助計算!$D:$D, (MATCH(87, 輔助計算!$G$2:$G$801, 0)+1)),IF(INDEX(ERP資料!$G:$G, (MATCH(87, 輔助計算!$G$2:$G$801, 0)+1))&lt;100, IF(INDEX(ERP資料!$G:$G, (MATCH(87, 輔助計算!$G$2:$G$801, 0)+1))&lt;=31,3,IF(INDEX(ERP資料!$G:$G, (MATCH(87, 輔助計算!$G$2:$G$801, 0)+1))&lt;=46.5,2,1)), IF(INDEX(ERP資料!$G:$G, (MATCH(87, 輔助計算!$G$2:$G$801, 0)+1))&lt;=790,3,IF(INDEX(ERP資料!$G:$G, (MATCH(87, 輔助計算!$G$2:$G$801, 0)+1))&lt;=1181,2,1))))=0,"",IF(MOD(INDEX(輔助計算!$D:$D, (MATCH(87, 輔助計算!$G$2:$G$801, 0)+1)),IF(INDEX(ERP資料!$G:$G, (MATCH(87, 輔助計算!$G$2:$G$801, 0)+1))&lt;100, IF(INDEX(ERP資料!$G:$G, (MATCH(87, 輔助計算!$G$2:$G$801, 0)+1))&lt;=31,3,IF(INDEX(ERP資料!$G:$G, (MATCH(87, 輔助計算!$G$2:$G$801, 0)+1))&lt;=46.5,2,1)), IF(INDEX(ERP資料!$G:$G, (MATCH(87, 輔助計算!$G$2:$G$801, 0)+1))&lt;=790,3,IF(INDEX(ERP資料!$G:$G, (MATCH(87, 輔助計算!$G$2:$G$801, 0)+1))&lt;=1181,2,1))))=1,TEXT(INDEX(ERP資料!$G:$G, (MATCH(87, 輔助計算!$G$2:$G$801, 0)+1)),"0.##"),IF(MOD(INDEX(輔助計算!$D:$D, (MATCH(87, 輔助計算!$G$2:$G$801, 0)+1)),IF(INDEX(ERP資料!$G:$G, (MATCH(87, 輔助計算!$G$2:$G$801, 0)+1))&lt;100, IF(INDEX(ERP資料!$G:$G, (MATCH(87, 輔助計算!$G$2:$G$801, 0)+1))&lt;=31,3,IF(INDEX(ERP資料!$G:$G, (MATCH(87, 輔助計算!$G$2:$G$801, 0)+1))&lt;=46.5,2,1)), IF(INDEX(ERP資料!$G:$G, (MATCH(87, 輔助計算!$G$2:$G$801, 0)+1))&lt;=790,3,IF(INDEX(ERP資料!$G:$G, (MATCH(87, 輔助計算!$G$2:$G$801, 0)+1))&lt;=1181,2,1))))=2,TEXT(INDEX(ERP資料!$G:$G, (MATCH(87, 輔助計算!$G$2:$G$801, 0)+1)),"0.##")&amp;"+"&amp;TEXT(INDEX(ERP資料!$G:$G, (MATCH(87, 輔助計算!$G$2:$G$801, 0)+1)),"0.##"),TEXT(INDEX(ERP資料!$G:$G, (MATCH(87, 輔助計算!$G$2:$G$801, 0)+1)),"0.##")&amp;"+"&amp;TEXT(INDEX(ERP資料!$G:$G, (MATCH(87, 輔助計算!$G$2:$G$801, 0)+1)),"0.##")&amp;"+"&amp;TEXT(INDEX(ERP資料!$G:$G, (MATCH(87, 輔助計算!$G$2:$G$801, 0)+1)),"0.##"))))&amp;"-1")), ""), "")</f>
        <v/>
      </c>
      <c r="K88" s="16" t="n"/>
      <c r="L88" s="14">
        <f>IFERROR(IF(AND(IFERROR(INDEX(ERP資料!$A:$A, (MATCH(87, 輔助計算!$G$2:$G$801, 0)+1)), "")&lt;&gt;"", IFERROR(INDEX(ERP資料!$A:$A, (MATCH(87, 輔助計算!$G$2:$G$801, 0)+1)), "")&lt;&gt;IFERROR(INDEX(ERP資料!$A:$A, MATCH(86, 輔助計算!$G$2:$G$801, 0)+1), "")), INDEX(ERP資料!$B:$B, (MATCH(87, 輔助計算!$G$2:$G$801, 0)+1)), ""), "")</f>
        <v/>
      </c>
      <c r="M88" s="17" t="n"/>
    </row>
    <row r="89">
      <c r="A89" s="10">
        <f>IFERROR(IF(AND(IFERROR(INDEX(ERP資料!$A:$A, (MATCH(88, 輔助計算!$G$2:$G$801, 0)+1)), "")&lt;&gt;"", IFERROR(INDEX(ERP資料!$A:$A, (MATCH(88, 輔助計算!$G$2:$G$801, 0)+1)), "")&lt;&gt;IFERROR(INDEX(ERP資料!$A:$A, MATCH(87, 輔助計算!$G$2:$G$801, 0)+1), "")), IFERROR(INDEX(ERP資料!$A:$A, (MATCH(88, 輔助計算!$G$2:$G$801, 0)+1)), ""), ""), "")</f>
        <v/>
      </c>
      <c r="B89" s="10">
        <f>IFERROR(IF(AND(IFERROR(INDEX(ERP資料!$A:$A, (MATCH(88, 輔助計算!$G$2:$G$801, 0)+1)), "")&lt;&gt;"", IFERROR(INDEX(ERP資料!$A:$A, (MATCH(88, 輔助計算!$G$2:$G$801, 0)+1)), "")&lt;&gt;IFERROR(INDEX(ERP資料!$A:$A, MATCH(87, 輔助計算!$G$2:$G$801, 0)+1), "")), INDEX(ERP資料!$S:$S, (MATCH(88, 輔助計算!$G$2:$G$801, 0)+1)), ""), "")</f>
        <v/>
      </c>
      <c r="C89" s="19">
        <f>IFERROR(IF(AND(IFERROR(INDEX(ERP資料!$A:$A, (MATCH(88, 輔助計算!$G$2:$G$801, 0)+1)), "")&lt;&gt;"", IFERROR(INDEX(ERP資料!$A:$A, (MATCH(88, 輔助計算!$G$2:$G$801, 0)+1)), "")&lt;&gt;IFERROR(INDEX(ERP資料!$A:$A, MATCH(87, 輔助計算!$G$2:$G$801, 0)+1), "")), IFERROR(VLOOKUP(LEFT(INDEX(ERP資料!$S:$S, (MATCH(88, 輔助計算!$G$2:$G$801, 0)+1)), 4), 紙管對照表!$A:$C, 3, FALSE), ""), ""), "")</f>
        <v/>
      </c>
      <c r="D89" s="16" t="n"/>
      <c r="E89" s="10">
        <f>IFERROR(IF(INDEX(ERP資料!$H:$H, (MATCH(88, 輔助計算!$G$2:$G$801, 0)+1))="","",INDEX(ERP資料!$H:$H, (MATCH(88, 輔助計算!$G$2:$G$801, 0)+1))), "")</f>
        <v/>
      </c>
      <c r="F89" s="10">
        <f>IFERROR(IF(INDEX(ERP資料!$E:$E, (MATCH(88, 輔助計算!$G$2:$G$801, 0)+1))="","",TRIM(INDEX(ERP資料!$E:$E, (MATCH(88, 輔助計算!$G$2:$G$801, 0)+1)))), "")</f>
        <v/>
      </c>
      <c r="G89" s="10">
        <f>IFERROR(IF(INDEX(ERP資料!$F:$F, (MATCH(88, 輔助計算!$G$2:$G$801, 0)+1))="","",INDEX(ERP資料!$F:$F, (MATCH(88, 輔助計算!$G$2:$G$801, 0)+1))), "")</f>
        <v/>
      </c>
      <c r="H89" s="10">
        <f>IFERROR(IF(INDEX(ERP資料!$G:$G, (MATCH(88, 輔助計算!$G$2:$G$801, 0)+1))="","",INDEX(ERP資料!$G:$G, (MATCH(88, 輔助計算!$G$2:$G$801, 0)+1))), "")</f>
        <v/>
      </c>
      <c r="I89" s="15">
        <f>IFERROR(INDEX(輔助計算!$D:$D, (MATCH(88, 輔助計算!$G$2:$G$801, 0)+1)), "")</f>
        <v/>
      </c>
      <c r="J89" s="15">
        <f>IFERROR(IF(AND(INDEX(輔助計算!$D:$D, (MATCH(88, 輔助計算!$G$2:$G$801, 0)+1))&lt;&gt;"", INDEX(ERP資料!$G:$G, (MATCH(88, 輔助計算!$G$2:$G$801, 0)+1))&lt;&gt;""), TRIM(IF(INT(INDEX(輔助計算!$D:$D, (MATCH(88, 輔助計算!$G$2:$G$801, 0)+1))/IF(INDEX(ERP資料!$G:$G, (MATCH(88, 輔助計算!$G$2:$G$801, 0)+1))&lt;100, IF(INDEX(ERP資料!$G:$G, (MATCH(88, 輔助計算!$G$2:$G$801, 0)+1))&lt;=31,3,IF(INDEX(ERP資料!$G:$G, (MATCH(88, 輔助計算!$G$2:$G$801, 0)+1))&lt;=46.5,2,1)), IF(INDEX(ERP資料!$G:$G, (MATCH(88, 輔助計算!$G$2:$G$801, 0)+1))&lt;=790,3,IF(INDEX(ERP資料!$G:$G, (MATCH(88, 輔助計算!$G$2:$G$801, 0)+1))&lt;=1181,2,1))))&gt;0, IF(IF(INDEX(ERP資料!$G:$G, (MATCH(88, 輔助計算!$G$2:$G$801, 0)+1))&lt;100, IF(INDEX(ERP資料!$G:$G, (MATCH(88, 輔助計算!$G$2:$G$801, 0)+1))&lt;=31,3,IF(INDEX(ERP資料!$G:$G, (MATCH(88, 輔助計算!$G$2:$G$801, 0)+1))&lt;=46.5,2,1)), IF(INDEX(ERP資料!$G:$G, (MATCH(88, 輔助計算!$G$2:$G$801, 0)+1))&lt;=790,3,IF(INDEX(ERP資料!$G:$G, (MATCH(88, 輔助計算!$G$2:$G$801, 0)+1))&lt;=1181,2,1)))=1,TEXT(INDEX(ERP資料!$G:$G, (MATCH(88, 輔助計算!$G$2:$G$801, 0)+1)),"0.##"),IF(IF(INDEX(ERP資料!$G:$G, (MATCH(88, 輔助計算!$G$2:$G$801, 0)+1))&lt;100, IF(INDEX(ERP資料!$G:$G, (MATCH(88, 輔助計算!$G$2:$G$801, 0)+1))&lt;=31,3,IF(INDEX(ERP資料!$G:$G, (MATCH(88, 輔助計算!$G$2:$G$801, 0)+1))&lt;=46.5,2,1)), IF(INDEX(ERP資料!$G:$G, (MATCH(88, 輔助計算!$G$2:$G$801, 0)+1))&lt;=790,3,IF(INDEX(ERP資料!$G:$G, (MATCH(88, 輔助計算!$G$2:$G$801, 0)+1))&lt;=1181,2,1)))=2,TEXT(INDEX(ERP資料!$G:$G, (MATCH(88, 輔助計算!$G$2:$G$801, 0)+1)),"0.##")&amp;"+"&amp;TEXT(INDEX(ERP資料!$G:$G, (MATCH(88, 輔助計算!$G$2:$G$801, 0)+1)),"0.##"),TEXT(INDEX(ERP資料!$G:$G, (MATCH(88, 輔助計算!$G$2:$G$801, 0)+1)),"0.##")&amp;"+"&amp;TEXT(INDEX(ERP資料!$G:$G, (MATCH(88, 輔助計算!$G$2:$G$801, 0)+1)),"0.##")&amp;"+"&amp;TEXT(INDEX(ERP資料!$G:$G, (MATCH(88, 輔助計算!$G$2:$G$801, 0)+1)),"0.##")))&amp;"-"&amp;INT(INDEX(輔助計算!$D:$D, (MATCH(88, 輔助計算!$G$2:$G$801, 0)+1))/IF(INDEX(ERP資料!$G:$G, (MATCH(88, 輔助計算!$G$2:$G$801, 0)+1))&lt;100, IF(INDEX(ERP資料!$G:$G, (MATCH(88, 輔助計算!$G$2:$G$801, 0)+1))&lt;=31,3,IF(INDEX(ERP資料!$G:$G, (MATCH(88, 輔助計算!$G$2:$G$801, 0)+1))&lt;=46.5,2,1)), IF(INDEX(ERP資料!$G:$G, (MATCH(88, 輔助計算!$G$2:$G$801, 0)+1))&lt;=790,3,IF(INDEX(ERP資料!$G:$G, (MATCH(88, 輔助計算!$G$2:$G$801, 0)+1))&lt;=1181,2,1)))), "")&amp;IF(AND(IF(INT(INDEX(輔助計算!$D:$D, (MATCH(88, 輔助計算!$G$2:$G$801, 0)+1))/IF(INDEX(ERP資料!$G:$G, (MATCH(88, 輔助計算!$G$2:$G$801, 0)+1))&lt;100, IF(INDEX(ERP資料!$G:$G, (MATCH(88, 輔助計算!$G$2:$G$801, 0)+1))&lt;=31,3,IF(INDEX(ERP資料!$G:$G, (MATCH(88, 輔助計算!$G$2:$G$801, 0)+1))&lt;=46.5,2,1)), IF(INDEX(ERP資料!$G:$G, (MATCH(88, 輔助計算!$G$2:$G$801, 0)+1))&lt;=790,3,IF(INDEX(ERP資料!$G:$G, (MATCH(88, 輔助計算!$G$2:$G$801, 0)+1))&lt;=1181,2,1))))&gt;0, IF(IF(INDEX(ERP資料!$G:$G, (MATCH(88, 輔助計算!$G$2:$G$801, 0)+1))&lt;100, IF(INDEX(ERP資料!$G:$G, (MATCH(88, 輔助計算!$G$2:$G$801, 0)+1))&lt;=31,3,IF(INDEX(ERP資料!$G:$G, (MATCH(88, 輔助計算!$G$2:$G$801, 0)+1))&lt;=46.5,2,1)), IF(INDEX(ERP資料!$G:$G, (MATCH(88, 輔助計算!$G$2:$G$801, 0)+1))&lt;=790,3,IF(INDEX(ERP資料!$G:$G, (MATCH(88, 輔助計算!$G$2:$G$801, 0)+1))&lt;=1181,2,1)))=1,TEXT(INDEX(ERP資料!$G:$G, (MATCH(88, 輔助計算!$G$2:$G$801, 0)+1)),"0.##"),IF(IF(INDEX(ERP資料!$G:$G, (MATCH(88, 輔助計算!$G$2:$G$801, 0)+1))&lt;100, IF(INDEX(ERP資料!$G:$G, (MATCH(88, 輔助計算!$G$2:$G$801, 0)+1))&lt;=31,3,IF(INDEX(ERP資料!$G:$G, (MATCH(88, 輔助計算!$G$2:$G$801, 0)+1))&lt;=46.5,2,1)), IF(INDEX(ERP資料!$G:$G, (MATCH(88, 輔助計算!$G$2:$G$801, 0)+1))&lt;=790,3,IF(INDEX(ERP資料!$G:$G, (MATCH(88, 輔助計算!$G$2:$G$801, 0)+1))&lt;=1181,2,1)))=2,TEXT(INDEX(ERP資料!$G:$G, (MATCH(88, 輔助計算!$G$2:$G$801, 0)+1)),"0.##")&amp;"+"&amp;TEXT(INDEX(ERP資料!$G:$G, (MATCH(88, 輔助計算!$G$2:$G$801, 0)+1)),"0.##"),TEXT(INDEX(ERP資料!$G:$G, (MATCH(88, 輔助計算!$G$2:$G$801, 0)+1)),"0.##")&amp;"+"&amp;TEXT(INDEX(ERP資料!$G:$G, (MATCH(88, 輔助計算!$G$2:$G$801, 0)+1)),"0.##")&amp;"+"&amp;TEXT(INDEX(ERP資料!$G:$G, (MATCH(88, 輔助計算!$G$2:$G$801, 0)+1)),"0.##")))&amp;"-"&amp;INT(INDEX(輔助計算!$D:$D, (MATCH(88, 輔助計算!$G$2:$G$801, 0)+1))/IF(INDEX(ERP資料!$G:$G, (MATCH(88, 輔助計算!$G$2:$G$801, 0)+1))&lt;100, IF(INDEX(ERP資料!$G:$G, (MATCH(88, 輔助計算!$G$2:$G$801, 0)+1))&lt;=31,3,IF(INDEX(ERP資料!$G:$G, (MATCH(88, 輔助計算!$G$2:$G$801, 0)+1))&lt;=46.5,2,1)), IF(INDEX(ERP資料!$G:$G, (MATCH(88, 輔助計算!$G$2:$G$801, 0)+1))&lt;=790,3,IF(INDEX(ERP資料!$G:$G, (MATCH(88, 輔助計算!$G$2:$G$801, 0)+1))&lt;=1181,2,1)))), "")&lt;&gt;"",IF(MOD(INDEX(輔助計算!$D:$D, (MATCH(88, 輔助計算!$G$2:$G$801, 0)+1)),IF(INDEX(ERP資料!$G:$G, (MATCH(88, 輔助計算!$G$2:$G$801, 0)+1))&lt;100, IF(INDEX(ERP資料!$G:$G, (MATCH(88, 輔助計算!$G$2:$G$801, 0)+1))&lt;=31,3,IF(INDEX(ERP資料!$G:$G, (MATCH(88, 輔助計算!$G$2:$G$801, 0)+1))&lt;=46.5,2,1)), IF(INDEX(ERP資料!$G:$G, (MATCH(88, 輔助計算!$G$2:$G$801, 0)+1))&lt;=790,3,IF(INDEX(ERP資料!$G:$G, (MATCH(88, 輔助計算!$G$2:$G$801, 0)+1))&lt;=1181,2,1))))=0,"",IF(MOD(INDEX(輔助計算!$D:$D, (MATCH(88, 輔助計算!$G$2:$G$801, 0)+1)),IF(INDEX(ERP資料!$G:$G, (MATCH(88, 輔助計算!$G$2:$G$801, 0)+1))&lt;100, IF(INDEX(ERP資料!$G:$G, (MATCH(88, 輔助計算!$G$2:$G$801, 0)+1))&lt;=31,3,IF(INDEX(ERP資料!$G:$G, (MATCH(88, 輔助計算!$G$2:$G$801, 0)+1))&lt;=46.5,2,1)), IF(INDEX(ERP資料!$G:$G, (MATCH(88, 輔助計算!$G$2:$G$801, 0)+1))&lt;=790,3,IF(INDEX(ERP資料!$G:$G, (MATCH(88, 輔助計算!$G$2:$G$801, 0)+1))&lt;=1181,2,1))))=0,"",IF(MOD(INDEX(輔助計算!$D:$D, (MATCH(88, 輔助計算!$G$2:$G$801, 0)+1)),IF(INDEX(ERP資料!$G:$G, (MATCH(88, 輔助計算!$G$2:$G$801, 0)+1))&lt;100, IF(INDEX(ERP資料!$G:$G, (MATCH(88, 輔助計算!$G$2:$G$801, 0)+1))&lt;=31,3,IF(INDEX(ERP資料!$G:$G, (MATCH(88, 輔助計算!$G$2:$G$801, 0)+1))&lt;=46.5,2,1)), IF(INDEX(ERP資料!$G:$G, (MATCH(88, 輔助計算!$G$2:$G$801, 0)+1))&lt;=790,3,IF(INDEX(ERP資料!$G:$G, (MATCH(88, 輔助計算!$G$2:$G$801, 0)+1))&lt;=1181,2,1))))=1,TEXT(INDEX(ERP資料!$G:$G, (MATCH(88, 輔助計算!$G$2:$G$801, 0)+1)),"0.##"),IF(MOD(INDEX(輔助計算!$D:$D, (MATCH(88, 輔助計算!$G$2:$G$801, 0)+1)),IF(INDEX(ERP資料!$G:$G, (MATCH(88, 輔助計算!$G$2:$G$801, 0)+1))&lt;100, IF(INDEX(ERP資料!$G:$G, (MATCH(88, 輔助計算!$G$2:$G$801, 0)+1))&lt;=31,3,IF(INDEX(ERP資料!$G:$G, (MATCH(88, 輔助計算!$G$2:$G$801, 0)+1))&lt;=46.5,2,1)), IF(INDEX(ERP資料!$G:$G, (MATCH(88, 輔助計算!$G$2:$G$801, 0)+1))&lt;=790,3,IF(INDEX(ERP資料!$G:$G, (MATCH(88, 輔助計算!$G$2:$G$801, 0)+1))&lt;=1181,2,1))))=2,TEXT(INDEX(ERP資料!$G:$G, (MATCH(88, 輔助計算!$G$2:$G$801, 0)+1)),"0.##")&amp;"+"&amp;TEXT(INDEX(ERP資料!$G:$G, (MATCH(88, 輔助計算!$G$2:$G$801, 0)+1)),"0.##"),TEXT(INDEX(ERP資料!$G:$G, (MATCH(88, 輔助計算!$G$2:$G$801, 0)+1)),"0.##")&amp;"+"&amp;TEXT(INDEX(ERP資料!$G:$G, (MATCH(88, 輔助計算!$G$2:$G$801, 0)+1)),"0.##")&amp;"+"&amp;TEXT(INDEX(ERP資料!$G:$G, (MATCH(88, 輔助計算!$G$2:$G$801, 0)+1)),"0.##"))))&amp;"-1")&lt;&gt;""),"  ","")&amp;IF(MOD(INDEX(輔助計算!$D:$D, (MATCH(88, 輔助計算!$G$2:$G$801, 0)+1)),IF(INDEX(ERP資料!$G:$G, (MATCH(88, 輔助計算!$G$2:$G$801, 0)+1))&lt;100, IF(INDEX(ERP資料!$G:$G, (MATCH(88, 輔助計算!$G$2:$G$801, 0)+1))&lt;=31,3,IF(INDEX(ERP資料!$G:$G, (MATCH(88, 輔助計算!$G$2:$G$801, 0)+1))&lt;=46.5,2,1)), IF(INDEX(ERP資料!$G:$G, (MATCH(88, 輔助計算!$G$2:$G$801, 0)+1))&lt;=790,3,IF(INDEX(ERP資料!$G:$G, (MATCH(88, 輔助計算!$G$2:$G$801, 0)+1))&lt;=1181,2,1))))=0,"",IF(MOD(INDEX(輔助計算!$D:$D, (MATCH(88, 輔助計算!$G$2:$G$801, 0)+1)),IF(INDEX(ERP資料!$G:$G, (MATCH(88, 輔助計算!$G$2:$G$801, 0)+1))&lt;100, IF(INDEX(ERP資料!$G:$G, (MATCH(88, 輔助計算!$G$2:$G$801, 0)+1))&lt;=31,3,IF(INDEX(ERP資料!$G:$G, (MATCH(88, 輔助計算!$G$2:$G$801, 0)+1))&lt;=46.5,2,1)), IF(INDEX(ERP資料!$G:$G, (MATCH(88, 輔助計算!$G$2:$G$801, 0)+1))&lt;=790,3,IF(INDEX(ERP資料!$G:$G, (MATCH(88, 輔助計算!$G$2:$G$801, 0)+1))&lt;=1181,2,1))))=0,"",IF(MOD(INDEX(輔助計算!$D:$D, (MATCH(88, 輔助計算!$G$2:$G$801, 0)+1)),IF(INDEX(ERP資料!$G:$G, (MATCH(88, 輔助計算!$G$2:$G$801, 0)+1))&lt;100, IF(INDEX(ERP資料!$G:$G, (MATCH(88, 輔助計算!$G$2:$G$801, 0)+1))&lt;=31,3,IF(INDEX(ERP資料!$G:$G, (MATCH(88, 輔助計算!$G$2:$G$801, 0)+1))&lt;=46.5,2,1)), IF(INDEX(ERP資料!$G:$G, (MATCH(88, 輔助計算!$G$2:$G$801, 0)+1))&lt;=790,3,IF(INDEX(ERP資料!$G:$G, (MATCH(88, 輔助計算!$G$2:$G$801, 0)+1))&lt;=1181,2,1))))=1,TEXT(INDEX(ERP資料!$G:$G, (MATCH(88, 輔助計算!$G$2:$G$801, 0)+1)),"0.##"),IF(MOD(INDEX(輔助計算!$D:$D, (MATCH(88, 輔助計算!$G$2:$G$801, 0)+1)),IF(INDEX(ERP資料!$G:$G, (MATCH(88, 輔助計算!$G$2:$G$801, 0)+1))&lt;100, IF(INDEX(ERP資料!$G:$G, (MATCH(88, 輔助計算!$G$2:$G$801, 0)+1))&lt;=31,3,IF(INDEX(ERP資料!$G:$G, (MATCH(88, 輔助計算!$G$2:$G$801, 0)+1))&lt;=46.5,2,1)), IF(INDEX(ERP資料!$G:$G, (MATCH(88, 輔助計算!$G$2:$G$801, 0)+1))&lt;=790,3,IF(INDEX(ERP資料!$G:$G, (MATCH(88, 輔助計算!$G$2:$G$801, 0)+1))&lt;=1181,2,1))))=2,TEXT(INDEX(ERP資料!$G:$G, (MATCH(88, 輔助計算!$G$2:$G$801, 0)+1)),"0.##")&amp;"+"&amp;TEXT(INDEX(ERP資料!$G:$G, (MATCH(88, 輔助計算!$G$2:$G$801, 0)+1)),"0.##"),TEXT(INDEX(ERP資料!$G:$G, (MATCH(88, 輔助計算!$G$2:$G$801, 0)+1)),"0.##")&amp;"+"&amp;TEXT(INDEX(ERP資料!$G:$G, (MATCH(88, 輔助計算!$G$2:$G$801, 0)+1)),"0.##")&amp;"+"&amp;TEXT(INDEX(ERP資料!$G:$G, (MATCH(88, 輔助計算!$G$2:$G$801, 0)+1)),"0.##"))))&amp;"-1")), ""), "")</f>
        <v/>
      </c>
      <c r="K89" s="16" t="n"/>
      <c r="L89" s="14">
        <f>IFERROR(IF(AND(IFERROR(INDEX(ERP資料!$A:$A, (MATCH(88, 輔助計算!$G$2:$G$801, 0)+1)), "")&lt;&gt;"", IFERROR(INDEX(ERP資料!$A:$A, (MATCH(88, 輔助計算!$G$2:$G$801, 0)+1)), "")&lt;&gt;IFERROR(INDEX(ERP資料!$A:$A, MATCH(87, 輔助計算!$G$2:$G$801, 0)+1), "")), INDEX(ERP資料!$B:$B, (MATCH(88, 輔助計算!$G$2:$G$801, 0)+1)), ""), "")</f>
        <v/>
      </c>
      <c r="M89" s="17" t="n"/>
    </row>
    <row r="90">
      <c r="A90" s="10">
        <f>IFERROR(IF(AND(IFERROR(INDEX(ERP資料!$A:$A, (MATCH(89, 輔助計算!$G$2:$G$801, 0)+1)), "")&lt;&gt;"", IFERROR(INDEX(ERP資料!$A:$A, (MATCH(89, 輔助計算!$G$2:$G$801, 0)+1)), "")&lt;&gt;IFERROR(INDEX(ERP資料!$A:$A, MATCH(88, 輔助計算!$G$2:$G$801, 0)+1), "")), IFERROR(INDEX(ERP資料!$A:$A, (MATCH(89, 輔助計算!$G$2:$G$801, 0)+1)), ""), ""), "")</f>
        <v/>
      </c>
      <c r="B90" s="10">
        <f>IFERROR(IF(AND(IFERROR(INDEX(ERP資料!$A:$A, (MATCH(89, 輔助計算!$G$2:$G$801, 0)+1)), "")&lt;&gt;"", IFERROR(INDEX(ERP資料!$A:$A, (MATCH(89, 輔助計算!$G$2:$G$801, 0)+1)), "")&lt;&gt;IFERROR(INDEX(ERP資料!$A:$A, MATCH(88, 輔助計算!$G$2:$G$801, 0)+1), "")), INDEX(ERP資料!$S:$S, (MATCH(89, 輔助計算!$G$2:$G$801, 0)+1)), ""), "")</f>
        <v/>
      </c>
      <c r="C90" s="19">
        <f>IFERROR(IF(AND(IFERROR(INDEX(ERP資料!$A:$A, (MATCH(89, 輔助計算!$G$2:$G$801, 0)+1)), "")&lt;&gt;"", IFERROR(INDEX(ERP資料!$A:$A, (MATCH(89, 輔助計算!$G$2:$G$801, 0)+1)), "")&lt;&gt;IFERROR(INDEX(ERP資料!$A:$A, MATCH(88, 輔助計算!$G$2:$G$801, 0)+1), "")), IFERROR(VLOOKUP(LEFT(INDEX(ERP資料!$S:$S, (MATCH(89, 輔助計算!$G$2:$G$801, 0)+1)), 4), 紙管對照表!$A:$C, 3, FALSE), ""), ""), "")</f>
        <v/>
      </c>
      <c r="D90" s="16" t="n"/>
      <c r="E90" s="10">
        <f>IFERROR(IF(INDEX(ERP資料!$H:$H, (MATCH(89, 輔助計算!$G$2:$G$801, 0)+1))="","",INDEX(ERP資料!$H:$H, (MATCH(89, 輔助計算!$G$2:$G$801, 0)+1))), "")</f>
        <v/>
      </c>
      <c r="F90" s="10">
        <f>IFERROR(IF(INDEX(ERP資料!$E:$E, (MATCH(89, 輔助計算!$G$2:$G$801, 0)+1))="","",TRIM(INDEX(ERP資料!$E:$E, (MATCH(89, 輔助計算!$G$2:$G$801, 0)+1)))), "")</f>
        <v/>
      </c>
      <c r="G90" s="10">
        <f>IFERROR(IF(INDEX(ERP資料!$F:$F, (MATCH(89, 輔助計算!$G$2:$G$801, 0)+1))="","",INDEX(ERP資料!$F:$F, (MATCH(89, 輔助計算!$G$2:$G$801, 0)+1))), "")</f>
        <v/>
      </c>
      <c r="H90" s="10">
        <f>IFERROR(IF(INDEX(ERP資料!$G:$G, (MATCH(89, 輔助計算!$G$2:$G$801, 0)+1))="","",INDEX(ERP資料!$G:$G, (MATCH(89, 輔助計算!$G$2:$G$801, 0)+1))), "")</f>
        <v/>
      </c>
      <c r="I90" s="15">
        <f>IFERROR(INDEX(輔助計算!$D:$D, (MATCH(89, 輔助計算!$G$2:$G$801, 0)+1)), "")</f>
        <v/>
      </c>
      <c r="J90" s="15">
        <f>IFERROR(IF(AND(INDEX(輔助計算!$D:$D, (MATCH(89, 輔助計算!$G$2:$G$801, 0)+1))&lt;&gt;"", INDEX(ERP資料!$G:$G, (MATCH(89, 輔助計算!$G$2:$G$801, 0)+1))&lt;&gt;""), TRIM(IF(INT(INDEX(輔助計算!$D:$D, (MATCH(89, 輔助計算!$G$2:$G$801, 0)+1))/IF(INDEX(ERP資料!$G:$G, (MATCH(89, 輔助計算!$G$2:$G$801, 0)+1))&lt;100, IF(INDEX(ERP資料!$G:$G, (MATCH(89, 輔助計算!$G$2:$G$801, 0)+1))&lt;=31,3,IF(INDEX(ERP資料!$G:$G, (MATCH(89, 輔助計算!$G$2:$G$801, 0)+1))&lt;=46.5,2,1)), IF(INDEX(ERP資料!$G:$G, (MATCH(89, 輔助計算!$G$2:$G$801, 0)+1))&lt;=790,3,IF(INDEX(ERP資料!$G:$G, (MATCH(89, 輔助計算!$G$2:$G$801, 0)+1))&lt;=1181,2,1))))&gt;0, IF(IF(INDEX(ERP資料!$G:$G, (MATCH(89, 輔助計算!$G$2:$G$801, 0)+1))&lt;100, IF(INDEX(ERP資料!$G:$G, (MATCH(89, 輔助計算!$G$2:$G$801, 0)+1))&lt;=31,3,IF(INDEX(ERP資料!$G:$G, (MATCH(89, 輔助計算!$G$2:$G$801, 0)+1))&lt;=46.5,2,1)), IF(INDEX(ERP資料!$G:$G, (MATCH(89, 輔助計算!$G$2:$G$801, 0)+1))&lt;=790,3,IF(INDEX(ERP資料!$G:$G, (MATCH(89, 輔助計算!$G$2:$G$801, 0)+1))&lt;=1181,2,1)))=1,TEXT(INDEX(ERP資料!$G:$G, (MATCH(89, 輔助計算!$G$2:$G$801, 0)+1)),"0.##"),IF(IF(INDEX(ERP資料!$G:$G, (MATCH(89, 輔助計算!$G$2:$G$801, 0)+1))&lt;100, IF(INDEX(ERP資料!$G:$G, (MATCH(89, 輔助計算!$G$2:$G$801, 0)+1))&lt;=31,3,IF(INDEX(ERP資料!$G:$G, (MATCH(89, 輔助計算!$G$2:$G$801, 0)+1))&lt;=46.5,2,1)), IF(INDEX(ERP資料!$G:$G, (MATCH(89, 輔助計算!$G$2:$G$801, 0)+1))&lt;=790,3,IF(INDEX(ERP資料!$G:$G, (MATCH(89, 輔助計算!$G$2:$G$801, 0)+1))&lt;=1181,2,1)))=2,TEXT(INDEX(ERP資料!$G:$G, (MATCH(89, 輔助計算!$G$2:$G$801, 0)+1)),"0.##")&amp;"+"&amp;TEXT(INDEX(ERP資料!$G:$G, (MATCH(89, 輔助計算!$G$2:$G$801, 0)+1)),"0.##"),TEXT(INDEX(ERP資料!$G:$G, (MATCH(89, 輔助計算!$G$2:$G$801, 0)+1)),"0.##")&amp;"+"&amp;TEXT(INDEX(ERP資料!$G:$G, (MATCH(89, 輔助計算!$G$2:$G$801, 0)+1)),"0.##")&amp;"+"&amp;TEXT(INDEX(ERP資料!$G:$G, (MATCH(89, 輔助計算!$G$2:$G$801, 0)+1)),"0.##")))&amp;"-"&amp;INT(INDEX(輔助計算!$D:$D, (MATCH(89, 輔助計算!$G$2:$G$801, 0)+1))/IF(INDEX(ERP資料!$G:$G, (MATCH(89, 輔助計算!$G$2:$G$801, 0)+1))&lt;100, IF(INDEX(ERP資料!$G:$G, (MATCH(89, 輔助計算!$G$2:$G$801, 0)+1))&lt;=31,3,IF(INDEX(ERP資料!$G:$G, (MATCH(89, 輔助計算!$G$2:$G$801, 0)+1))&lt;=46.5,2,1)), IF(INDEX(ERP資料!$G:$G, (MATCH(89, 輔助計算!$G$2:$G$801, 0)+1))&lt;=790,3,IF(INDEX(ERP資料!$G:$G, (MATCH(89, 輔助計算!$G$2:$G$801, 0)+1))&lt;=1181,2,1)))), "")&amp;IF(AND(IF(INT(INDEX(輔助計算!$D:$D, (MATCH(89, 輔助計算!$G$2:$G$801, 0)+1))/IF(INDEX(ERP資料!$G:$G, (MATCH(89, 輔助計算!$G$2:$G$801, 0)+1))&lt;100, IF(INDEX(ERP資料!$G:$G, (MATCH(89, 輔助計算!$G$2:$G$801, 0)+1))&lt;=31,3,IF(INDEX(ERP資料!$G:$G, (MATCH(89, 輔助計算!$G$2:$G$801, 0)+1))&lt;=46.5,2,1)), IF(INDEX(ERP資料!$G:$G, (MATCH(89, 輔助計算!$G$2:$G$801, 0)+1))&lt;=790,3,IF(INDEX(ERP資料!$G:$G, (MATCH(89, 輔助計算!$G$2:$G$801, 0)+1))&lt;=1181,2,1))))&gt;0, IF(IF(INDEX(ERP資料!$G:$G, (MATCH(89, 輔助計算!$G$2:$G$801, 0)+1))&lt;100, IF(INDEX(ERP資料!$G:$G, (MATCH(89, 輔助計算!$G$2:$G$801, 0)+1))&lt;=31,3,IF(INDEX(ERP資料!$G:$G, (MATCH(89, 輔助計算!$G$2:$G$801, 0)+1))&lt;=46.5,2,1)), IF(INDEX(ERP資料!$G:$G, (MATCH(89, 輔助計算!$G$2:$G$801, 0)+1))&lt;=790,3,IF(INDEX(ERP資料!$G:$G, (MATCH(89, 輔助計算!$G$2:$G$801, 0)+1))&lt;=1181,2,1)))=1,TEXT(INDEX(ERP資料!$G:$G, (MATCH(89, 輔助計算!$G$2:$G$801, 0)+1)),"0.##"),IF(IF(INDEX(ERP資料!$G:$G, (MATCH(89, 輔助計算!$G$2:$G$801, 0)+1))&lt;100, IF(INDEX(ERP資料!$G:$G, (MATCH(89, 輔助計算!$G$2:$G$801, 0)+1))&lt;=31,3,IF(INDEX(ERP資料!$G:$G, (MATCH(89, 輔助計算!$G$2:$G$801, 0)+1))&lt;=46.5,2,1)), IF(INDEX(ERP資料!$G:$G, (MATCH(89, 輔助計算!$G$2:$G$801, 0)+1))&lt;=790,3,IF(INDEX(ERP資料!$G:$G, (MATCH(89, 輔助計算!$G$2:$G$801, 0)+1))&lt;=1181,2,1)))=2,TEXT(INDEX(ERP資料!$G:$G, (MATCH(89, 輔助計算!$G$2:$G$801, 0)+1)),"0.##")&amp;"+"&amp;TEXT(INDEX(ERP資料!$G:$G, (MATCH(89, 輔助計算!$G$2:$G$801, 0)+1)),"0.##"),TEXT(INDEX(ERP資料!$G:$G, (MATCH(89, 輔助計算!$G$2:$G$801, 0)+1)),"0.##")&amp;"+"&amp;TEXT(INDEX(ERP資料!$G:$G, (MATCH(89, 輔助計算!$G$2:$G$801, 0)+1)),"0.##")&amp;"+"&amp;TEXT(INDEX(ERP資料!$G:$G, (MATCH(89, 輔助計算!$G$2:$G$801, 0)+1)),"0.##")))&amp;"-"&amp;INT(INDEX(輔助計算!$D:$D, (MATCH(89, 輔助計算!$G$2:$G$801, 0)+1))/IF(INDEX(ERP資料!$G:$G, (MATCH(89, 輔助計算!$G$2:$G$801, 0)+1))&lt;100, IF(INDEX(ERP資料!$G:$G, (MATCH(89, 輔助計算!$G$2:$G$801, 0)+1))&lt;=31,3,IF(INDEX(ERP資料!$G:$G, (MATCH(89, 輔助計算!$G$2:$G$801, 0)+1))&lt;=46.5,2,1)), IF(INDEX(ERP資料!$G:$G, (MATCH(89, 輔助計算!$G$2:$G$801, 0)+1))&lt;=790,3,IF(INDEX(ERP資料!$G:$G, (MATCH(89, 輔助計算!$G$2:$G$801, 0)+1))&lt;=1181,2,1)))), "")&lt;&gt;"",IF(MOD(INDEX(輔助計算!$D:$D, (MATCH(89, 輔助計算!$G$2:$G$801, 0)+1)),IF(INDEX(ERP資料!$G:$G, (MATCH(89, 輔助計算!$G$2:$G$801, 0)+1))&lt;100, IF(INDEX(ERP資料!$G:$G, (MATCH(89, 輔助計算!$G$2:$G$801, 0)+1))&lt;=31,3,IF(INDEX(ERP資料!$G:$G, (MATCH(89, 輔助計算!$G$2:$G$801, 0)+1))&lt;=46.5,2,1)), IF(INDEX(ERP資料!$G:$G, (MATCH(89, 輔助計算!$G$2:$G$801, 0)+1))&lt;=790,3,IF(INDEX(ERP資料!$G:$G, (MATCH(89, 輔助計算!$G$2:$G$801, 0)+1))&lt;=1181,2,1))))=0,"",IF(MOD(INDEX(輔助計算!$D:$D, (MATCH(89, 輔助計算!$G$2:$G$801, 0)+1)),IF(INDEX(ERP資料!$G:$G, (MATCH(89, 輔助計算!$G$2:$G$801, 0)+1))&lt;100, IF(INDEX(ERP資料!$G:$G, (MATCH(89, 輔助計算!$G$2:$G$801, 0)+1))&lt;=31,3,IF(INDEX(ERP資料!$G:$G, (MATCH(89, 輔助計算!$G$2:$G$801, 0)+1))&lt;=46.5,2,1)), IF(INDEX(ERP資料!$G:$G, (MATCH(89, 輔助計算!$G$2:$G$801, 0)+1))&lt;=790,3,IF(INDEX(ERP資料!$G:$G, (MATCH(89, 輔助計算!$G$2:$G$801, 0)+1))&lt;=1181,2,1))))=0,"",IF(MOD(INDEX(輔助計算!$D:$D, (MATCH(89, 輔助計算!$G$2:$G$801, 0)+1)),IF(INDEX(ERP資料!$G:$G, (MATCH(89, 輔助計算!$G$2:$G$801, 0)+1))&lt;100, IF(INDEX(ERP資料!$G:$G, (MATCH(89, 輔助計算!$G$2:$G$801, 0)+1))&lt;=31,3,IF(INDEX(ERP資料!$G:$G, (MATCH(89, 輔助計算!$G$2:$G$801, 0)+1))&lt;=46.5,2,1)), IF(INDEX(ERP資料!$G:$G, (MATCH(89, 輔助計算!$G$2:$G$801, 0)+1))&lt;=790,3,IF(INDEX(ERP資料!$G:$G, (MATCH(89, 輔助計算!$G$2:$G$801, 0)+1))&lt;=1181,2,1))))=1,TEXT(INDEX(ERP資料!$G:$G, (MATCH(89, 輔助計算!$G$2:$G$801, 0)+1)),"0.##"),IF(MOD(INDEX(輔助計算!$D:$D, (MATCH(89, 輔助計算!$G$2:$G$801, 0)+1)),IF(INDEX(ERP資料!$G:$G, (MATCH(89, 輔助計算!$G$2:$G$801, 0)+1))&lt;100, IF(INDEX(ERP資料!$G:$G, (MATCH(89, 輔助計算!$G$2:$G$801, 0)+1))&lt;=31,3,IF(INDEX(ERP資料!$G:$G, (MATCH(89, 輔助計算!$G$2:$G$801, 0)+1))&lt;=46.5,2,1)), IF(INDEX(ERP資料!$G:$G, (MATCH(89, 輔助計算!$G$2:$G$801, 0)+1))&lt;=790,3,IF(INDEX(ERP資料!$G:$G, (MATCH(89, 輔助計算!$G$2:$G$801, 0)+1))&lt;=1181,2,1))))=2,TEXT(INDEX(ERP資料!$G:$G, (MATCH(89, 輔助計算!$G$2:$G$801, 0)+1)),"0.##")&amp;"+"&amp;TEXT(INDEX(ERP資料!$G:$G, (MATCH(89, 輔助計算!$G$2:$G$801, 0)+1)),"0.##"),TEXT(INDEX(ERP資料!$G:$G, (MATCH(89, 輔助計算!$G$2:$G$801, 0)+1)),"0.##")&amp;"+"&amp;TEXT(INDEX(ERP資料!$G:$G, (MATCH(89, 輔助計算!$G$2:$G$801, 0)+1)),"0.##")&amp;"+"&amp;TEXT(INDEX(ERP資料!$G:$G, (MATCH(89, 輔助計算!$G$2:$G$801, 0)+1)),"0.##"))))&amp;"-1")&lt;&gt;""),"  ","")&amp;IF(MOD(INDEX(輔助計算!$D:$D, (MATCH(89, 輔助計算!$G$2:$G$801, 0)+1)),IF(INDEX(ERP資料!$G:$G, (MATCH(89, 輔助計算!$G$2:$G$801, 0)+1))&lt;100, IF(INDEX(ERP資料!$G:$G, (MATCH(89, 輔助計算!$G$2:$G$801, 0)+1))&lt;=31,3,IF(INDEX(ERP資料!$G:$G, (MATCH(89, 輔助計算!$G$2:$G$801, 0)+1))&lt;=46.5,2,1)), IF(INDEX(ERP資料!$G:$G, (MATCH(89, 輔助計算!$G$2:$G$801, 0)+1))&lt;=790,3,IF(INDEX(ERP資料!$G:$G, (MATCH(89, 輔助計算!$G$2:$G$801, 0)+1))&lt;=1181,2,1))))=0,"",IF(MOD(INDEX(輔助計算!$D:$D, (MATCH(89, 輔助計算!$G$2:$G$801, 0)+1)),IF(INDEX(ERP資料!$G:$G, (MATCH(89, 輔助計算!$G$2:$G$801, 0)+1))&lt;100, IF(INDEX(ERP資料!$G:$G, (MATCH(89, 輔助計算!$G$2:$G$801, 0)+1))&lt;=31,3,IF(INDEX(ERP資料!$G:$G, (MATCH(89, 輔助計算!$G$2:$G$801, 0)+1))&lt;=46.5,2,1)), IF(INDEX(ERP資料!$G:$G, (MATCH(89, 輔助計算!$G$2:$G$801, 0)+1))&lt;=790,3,IF(INDEX(ERP資料!$G:$G, (MATCH(89, 輔助計算!$G$2:$G$801, 0)+1))&lt;=1181,2,1))))=0,"",IF(MOD(INDEX(輔助計算!$D:$D, (MATCH(89, 輔助計算!$G$2:$G$801, 0)+1)),IF(INDEX(ERP資料!$G:$G, (MATCH(89, 輔助計算!$G$2:$G$801, 0)+1))&lt;100, IF(INDEX(ERP資料!$G:$G, (MATCH(89, 輔助計算!$G$2:$G$801, 0)+1))&lt;=31,3,IF(INDEX(ERP資料!$G:$G, (MATCH(89, 輔助計算!$G$2:$G$801, 0)+1))&lt;=46.5,2,1)), IF(INDEX(ERP資料!$G:$G, (MATCH(89, 輔助計算!$G$2:$G$801, 0)+1))&lt;=790,3,IF(INDEX(ERP資料!$G:$G, (MATCH(89, 輔助計算!$G$2:$G$801, 0)+1))&lt;=1181,2,1))))=1,TEXT(INDEX(ERP資料!$G:$G, (MATCH(89, 輔助計算!$G$2:$G$801, 0)+1)),"0.##"),IF(MOD(INDEX(輔助計算!$D:$D, (MATCH(89, 輔助計算!$G$2:$G$801, 0)+1)),IF(INDEX(ERP資料!$G:$G, (MATCH(89, 輔助計算!$G$2:$G$801, 0)+1))&lt;100, IF(INDEX(ERP資料!$G:$G, (MATCH(89, 輔助計算!$G$2:$G$801, 0)+1))&lt;=31,3,IF(INDEX(ERP資料!$G:$G, (MATCH(89, 輔助計算!$G$2:$G$801, 0)+1))&lt;=46.5,2,1)), IF(INDEX(ERP資料!$G:$G, (MATCH(89, 輔助計算!$G$2:$G$801, 0)+1))&lt;=790,3,IF(INDEX(ERP資料!$G:$G, (MATCH(89, 輔助計算!$G$2:$G$801, 0)+1))&lt;=1181,2,1))))=2,TEXT(INDEX(ERP資料!$G:$G, (MATCH(89, 輔助計算!$G$2:$G$801, 0)+1)),"0.##")&amp;"+"&amp;TEXT(INDEX(ERP資料!$G:$G, (MATCH(89, 輔助計算!$G$2:$G$801, 0)+1)),"0.##"),TEXT(INDEX(ERP資料!$G:$G, (MATCH(89, 輔助計算!$G$2:$G$801, 0)+1)),"0.##")&amp;"+"&amp;TEXT(INDEX(ERP資料!$G:$G, (MATCH(89, 輔助計算!$G$2:$G$801, 0)+1)),"0.##")&amp;"+"&amp;TEXT(INDEX(ERP資料!$G:$G, (MATCH(89, 輔助計算!$G$2:$G$801, 0)+1)),"0.##"))))&amp;"-1")), ""), "")</f>
        <v/>
      </c>
      <c r="K90" s="16" t="n"/>
      <c r="L90" s="14">
        <f>IFERROR(IF(AND(IFERROR(INDEX(ERP資料!$A:$A, (MATCH(89, 輔助計算!$G$2:$G$801, 0)+1)), "")&lt;&gt;"", IFERROR(INDEX(ERP資料!$A:$A, (MATCH(89, 輔助計算!$G$2:$G$801, 0)+1)), "")&lt;&gt;IFERROR(INDEX(ERP資料!$A:$A, MATCH(88, 輔助計算!$G$2:$G$801, 0)+1), "")), INDEX(ERP資料!$B:$B, (MATCH(89, 輔助計算!$G$2:$G$801, 0)+1)), ""), "")</f>
        <v/>
      </c>
      <c r="M90" s="17" t="n"/>
    </row>
    <row r="91">
      <c r="A91" s="10">
        <f>IFERROR(IF(AND(IFERROR(INDEX(ERP資料!$A:$A, (MATCH(90, 輔助計算!$G$2:$G$801, 0)+1)), "")&lt;&gt;"", IFERROR(INDEX(ERP資料!$A:$A, (MATCH(90, 輔助計算!$G$2:$G$801, 0)+1)), "")&lt;&gt;IFERROR(INDEX(ERP資料!$A:$A, MATCH(89, 輔助計算!$G$2:$G$801, 0)+1), "")), IFERROR(INDEX(ERP資料!$A:$A, (MATCH(90, 輔助計算!$G$2:$G$801, 0)+1)), ""), ""), "")</f>
        <v/>
      </c>
      <c r="B91" s="10">
        <f>IFERROR(IF(AND(IFERROR(INDEX(ERP資料!$A:$A, (MATCH(90, 輔助計算!$G$2:$G$801, 0)+1)), "")&lt;&gt;"", IFERROR(INDEX(ERP資料!$A:$A, (MATCH(90, 輔助計算!$G$2:$G$801, 0)+1)), "")&lt;&gt;IFERROR(INDEX(ERP資料!$A:$A, MATCH(89, 輔助計算!$G$2:$G$801, 0)+1), "")), INDEX(ERP資料!$S:$S, (MATCH(90, 輔助計算!$G$2:$G$801, 0)+1)), ""), "")</f>
        <v/>
      </c>
      <c r="C91" s="19">
        <f>IFERROR(IF(AND(IFERROR(INDEX(ERP資料!$A:$A, (MATCH(90, 輔助計算!$G$2:$G$801, 0)+1)), "")&lt;&gt;"", IFERROR(INDEX(ERP資料!$A:$A, (MATCH(90, 輔助計算!$G$2:$G$801, 0)+1)), "")&lt;&gt;IFERROR(INDEX(ERP資料!$A:$A, MATCH(89, 輔助計算!$G$2:$G$801, 0)+1), "")), IFERROR(VLOOKUP(LEFT(INDEX(ERP資料!$S:$S, (MATCH(90, 輔助計算!$G$2:$G$801, 0)+1)), 4), 紙管對照表!$A:$C, 3, FALSE), ""), ""), "")</f>
        <v/>
      </c>
      <c r="D91" s="16" t="n"/>
      <c r="E91" s="10">
        <f>IFERROR(IF(INDEX(ERP資料!$H:$H, (MATCH(90, 輔助計算!$G$2:$G$801, 0)+1))="","",INDEX(ERP資料!$H:$H, (MATCH(90, 輔助計算!$G$2:$G$801, 0)+1))), "")</f>
        <v/>
      </c>
      <c r="F91" s="10">
        <f>IFERROR(IF(INDEX(ERP資料!$E:$E, (MATCH(90, 輔助計算!$G$2:$G$801, 0)+1))="","",TRIM(INDEX(ERP資料!$E:$E, (MATCH(90, 輔助計算!$G$2:$G$801, 0)+1)))), "")</f>
        <v/>
      </c>
      <c r="G91" s="10">
        <f>IFERROR(IF(INDEX(ERP資料!$F:$F, (MATCH(90, 輔助計算!$G$2:$G$801, 0)+1))="","",INDEX(ERP資料!$F:$F, (MATCH(90, 輔助計算!$G$2:$G$801, 0)+1))), "")</f>
        <v/>
      </c>
      <c r="H91" s="10">
        <f>IFERROR(IF(INDEX(ERP資料!$G:$G, (MATCH(90, 輔助計算!$G$2:$G$801, 0)+1))="","",INDEX(ERP資料!$G:$G, (MATCH(90, 輔助計算!$G$2:$G$801, 0)+1))), "")</f>
        <v/>
      </c>
      <c r="I91" s="15">
        <f>IFERROR(INDEX(輔助計算!$D:$D, (MATCH(90, 輔助計算!$G$2:$G$801, 0)+1)), "")</f>
        <v/>
      </c>
      <c r="J91" s="15">
        <f>IFERROR(IF(AND(INDEX(輔助計算!$D:$D, (MATCH(90, 輔助計算!$G$2:$G$801, 0)+1))&lt;&gt;"", INDEX(ERP資料!$G:$G, (MATCH(90, 輔助計算!$G$2:$G$801, 0)+1))&lt;&gt;""), TRIM(IF(INT(INDEX(輔助計算!$D:$D, (MATCH(90, 輔助計算!$G$2:$G$801, 0)+1))/IF(INDEX(ERP資料!$G:$G, (MATCH(90, 輔助計算!$G$2:$G$801, 0)+1))&lt;100, IF(INDEX(ERP資料!$G:$G, (MATCH(90, 輔助計算!$G$2:$G$801, 0)+1))&lt;=31,3,IF(INDEX(ERP資料!$G:$G, (MATCH(90, 輔助計算!$G$2:$G$801, 0)+1))&lt;=46.5,2,1)), IF(INDEX(ERP資料!$G:$G, (MATCH(90, 輔助計算!$G$2:$G$801, 0)+1))&lt;=790,3,IF(INDEX(ERP資料!$G:$G, (MATCH(90, 輔助計算!$G$2:$G$801, 0)+1))&lt;=1181,2,1))))&gt;0, IF(IF(INDEX(ERP資料!$G:$G, (MATCH(90, 輔助計算!$G$2:$G$801, 0)+1))&lt;100, IF(INDEX(ERP資料!$G:$G, (MATCH(90, 輔助計算!$G$2:$G$801, 0)+1))&lt;=31,3,IF(INDEX(ERP資料!$G:$G, (MATCH(90, 輔助計算!$G$2:$G$801, 0)+1))&lt;=46.5,2,1)), IF(INDEX(ERP資料!$G:$G, (MATCH(90, 輔助計算!$G$2:$G$801, 0)+1))&lt;=790,3,IF(INDEX(ERP資料!$G:$G, (MATCH(90, 輔助計算!$G$2:$G$801, 0)+1))&lt;=1181,2,1)))=1,TEXT(INDEX(ERP資料!$G:$G, (MATCH(90, 輔助計算!$G$2:$G$801, 0)+1)),"0.##"),IF(IF(INDEX(ERP資料!$G:$G, (MATCH(90, 輔助計算!$G$2:$G$801, 0)+1))&lt;100, IF(INDEX(ERP資料!$G:$G, (MATCH(90, 輔助計算!$G$2:$G$801, 0)+1))&lt;=31,3,IF(INDEX(ERP資料!$G:$G, (MATCH(90, 輔助計算!$G$2:$G$801, 0)+1))&lt;=46.5,2,1)), IF(INDEX(ERP資料!$G:$G, (MATCH(90, 輔助計算!$G$2:$G$801, 0)+1))&lt;=790,3,IF(INDEX(ERP資料!$G:$G, (MATCH(90, 輔助計算!$G$2:$G$801, 0)+1))&lt;=1181,2,1)))=2,TEXT(INDEX(ERP資料!$G:$G, (MATCH(90, 輔助計算!$G$2:$G$801, 0)+1)),"0.##")&amp;"+"&amp;TEXT(INDEX(ERP資料!$G:$G, (MATCH(90, 輔助計算!$G$2:$G$801, 0)+1)),"0.##"),TEXT(INDEX(ERP資料!$G:$G, (MATCH(90, 輔助計算!$G$2:$G$801, 0)+1)),"0.##")&amp;"+"&amp;TEXT(INDEX(ERP資料!$G:$G, (MATCH(90, 輔助計算!$G$2:$G$801, 0)+1)),"0.##")&amp;"+"&amp;TEXT(INDEX(ERP資料!$G:$G, (MATCH(90, 輔助計算!$G$2:$G$801, 0)+1)),"0.##")))&amp;"-"&amp;INT(INDEX(輔助計算!$D:$D, (MATCH(90, 輔助計算!$G$2:$G$801, 0)+1))/IF(INDEX(ERP資料!$G:$G, (MATCH(90, 輔助計算!$G$2:$G$801, 0)+1))&lt;100, IF(INDEX(ERP資料!$G:$G, (MATCH(90, 輔助計算!$G$2:$G$801, 0)+1))&lt;=31,3,IF(INDEX(ERP資料!$G:$G, (MATCH(90, 輔助計算!$G$2:$G$801, 0)+1))&lt;=46.5,2,1)), IF(INDEX(ERP資料!$G:$G, (MATCH(90, 輔助計算!$G$2:$G$801, 0)+1))&lt;=790,3,IF(INDEX(ERP資料!$G:$G, (MATCH(90, 輔助計算!$G$2:$G$801, 0)+1))&lt;=1181,2,1)))), "")&amp;IF(AND(IF(INT(INDEX(輔助計算!$D:$D, (MATCH(90, 輔助計算!$G$2:$G$801, 0)+1))/IF(INDEX(ERP資料!$G:$G, (MATCH(90, 輔助計算!$G$2:$G$801, 0)+1))&lt;100, IF(INDEX(ERP資料!$G:$G, (MATCH(90, 輔助計算!$G$2:$G$801, 0)+1))&lt;=31,3,IF(INDEX(ERP資料!$G:$G, (MATCH(90, 輔助計算!$G$2:$G$801, 0)+1))&lt;=46.5,2,1)), IF(INDEX(ERP資料!$G:$G, (MATCH(90, 輔助計算!$G$2:$G$801, 0)+1))&lt;=790,3,IF(INDEX(ERP資料!$G:$G, (MATCH(90, 輔助計算!$G$2:$G$801, 0)+1))&lt;=1181,2,1))))&gt;0, IF(IF(INDEX(ERP資料!$G:$G, (MATCH(90, 輔助計算!$G$2:$G$801, 0)+1))&lt;100, IF(INDEX(ERP資料!$G:$G, (MATCH(90, 輔助計算!$G$2:$G$801, 0)+1))&lt;=31,3,IF(INDEX(ERP資料!$G:$G, (MATCH(90, 輔助計算!$G$2:$G$801, 0)+1))&lt;=46.5,2,1)), IF(INDEX(ERP資料!$G:$G, (MATCH(90, 輔助計算!$G$2:$G$801, 0)+1))&lt;=790,3,IF(INDEX(ERP資料!$G:$G, (MATCH(90, 輔助計算!$G$2:$G$801, 0)+1))&lt;=1181,2,1)))=1,TEXT(INDEX(ERP資料!$G:$G, (MATCH(90, 輔助計算!$G$2:$G$801, 0)+1)),"0.##"),IF(IF(INDEX(ERP資料!$G:$G, (MATCH(90, 輔助計算!$G$2:$G$801, 0)+1))&lt;100, IF(INDEX(ERP資料!$G:$G, (MATCH(90, 輔助計算!$G$2:$G$801, 0)+1))&lt;=31,3,IF(INDEX(ERP資料!$G:$G, (MATCH(90, 輔助計算!$G$2:$G$801, 0)+1))&lt;=46.5,2,1)), IF(INDEX(ERP資料!$G:$G, (MATCH(90, 輔助計算!$G$2:$G$801, 0)+1))&lt;=790,3,IF(INDEX(ERP資料!$G:$G, (MATCH(90, 輔助計算!$G$2:$G$801, 0)+1))&lt;=1181,2,1)))=2,TEXT(INDEX(ERP資料!$G:$G, (MATCH(90, 輔助計算!$G$2:$G$801, 0)+1)),"0.##")&amp;"+"&amp;TEXT(INDEX(ERP資料!$G:$G, (MATCH(90, 輔助計算!$G$2:$G$801, 0)+1)),"0.##"),TEXT(INDEX(ERP資料!$G:$G, (MATCH(90, 輔助計算!$G$2:$G$801, 0)+1)),"0.##")&amp;"+"&amp;TEXT(INDEX(ERP資料!$G:$G, (MATCH(90, 輔助計算!$G$2:$G$801, 0)+1)),"0.##")&amp;"+"&amp;TEXT(INDEX(ERP資料!$G:$G, (MATCH(90, 輔助計算!$G$2:$G$801, 0)+1)),"0.##")))&amp;"-"&amp;INT(INDEX(輔助計算!$D:$D, (MATCH(90, 輔助計算!$G$2:$G$801, 0)+1))/IF(INDEX(ERP資料!$G:$G, (MATCH(90, 輔助計算!$G$2:$G$801, 0)+1))&lt;100, IF(INDEX(ERP資料!$G:$G, (MATCH(90, 輔助計算!$G$2:$G$801, 0)+1))&lt;=31,3,IF(INDEX(ERP資料!$G:$G, (MATCH(90, 輔助計算!$G$2:$G$801, 0)+1))&lt;=46.5,2,1)), IF(INDEX(ERP資料!$G:$G, (MATCH(90, 輔助計算!$G$2:$G$801, 0)+1))&lt;=790,3,IF(INDEX(ERP資料!$G:$G, (MATCH(90, 輔助計算!$G$2:$G$801, 0)+1))&lt;=1181,2,1)))), "")&lt;&gt;"",IF(MOD(INDEX(輔助計算!$D:$D, (MATCH(90, 輔助計算!$G$2:$G$801, 0)+1)),IF(INDEX(ERP資料!$G:$G, (MATCH(90, 輔助計算!$G$2:$G$801, 0)+1))&lt;100, IF(INDEX(ERP資料!$G:$G, (MATCH(90, 輔助計算!$G$2:$G$801, 0)+1))&lt;=31,3,IF(INDEX(ERP資料!$G:$G, (MATCH(90, 輔助計算!$G$2:$G$801, 0)+1))&lt;=46.5,2,1)), IF(INDEX(ERP資料!$G:$G, (MATCH(90, 輔助計算!$G$2:$G$801, 0)+1))&lt;=790,3,IF(INDEX(ERP資料!$G:$G, (MATCH(90, 輔助計算!$G$2:$G$801, 0)+1))&lt;=1181,2,1))))=0,"",IF(MOD(INDEX(輔助計算!$D:$D, (MATCH(90, 輔助計算!$G$2:$G$801, 0)+1)),IF(INDEX(ERP資料!$G:$G, (MATCH(90, 輔助計算!$G$2:$G$801, 0)+1))&lt;100, IF(INDEX(ERP資料!$G:$G, (MATCH(90, 輔助計算!$G$2:$G$801, 0)+1))&lt;=31,3,IF(INDEX(ERP資料!$G:$G, (MATCH(90, 輔助計算!$G$2:$G$801, 0)+1))&lt;=46.5,2,1)), IF(INDEX(ERP資料!$G:$G, (MATCH(90, 輔助計算!$G$2:$G$801, 0)+1))&lt;=790,3,IF(INDEX(ERP資料!$G:$G, (MATCH(90, 輔助計算!$G$2:$G$801, 0)+1))&lt;=1181,2,1))))=0,"",IF(MOD(INDEX(輔助計算!$D:$D, (MATCH(90, 輔助計算!$G$2:$G$801, 0)+1)),IF(INDEX(ERP資料!$G:$G, (MATCH(90, 輔助計算!$G$2:$G$801, 0)+1))&lt;100, IF(INDEX(ERP資料!$G:$G, (MATCH(90, 輔助計算!$G$2:$G$801, 0)+1))&lt;=31,3,IF(INDEX(ERP資料!$G:$G, (MATCH(90, 輔助計算!$G$2:$G$801, 0)+1))&lt;=46.5,2,1)), IF(INDEX(ERP資料!$G:$G, (MATCH(90, 輔助計算!$G$2:$G$801, 0)+1))&lt;=790,3,IF(INDEX(ERP資料!$G:$G, (MATCH(90, 輔助計算!$G$2:$G$801, 0)+1))&lt;=1181,2,1))))=1,TEXT(INDEX(ERP資料!$G:$G, (MATCH(90, 輔助計算!$G$2:$G$801, 0)+1)),"0.##"),IF(MOD(INDEX(輔助計算!$D:$D, (MATCH(90, 輔助計算!$G$2:$G$801, 0)+1)),IF(INDEX(ERP資料!$G:$G, (MATCH(90, 輔助計算!$G$2:$G$801, 0)+1))&lt;100, IF(INDEX(ERP資料!$G:$G, (MATCH(90, 輔助計算!$G$2:$G$801, 0)+1))&lt;=31,3,IF(INDEX(ERP資料!$G:$G, (MATCH(90, 輔助計算!$G$2:$G$801, 0)+1))&lt;=46.5,2,1)), IF(INDEX(ERP資料!$G:$G, (MATCH(90, 輔助計算!$G$2:$G$801, 0)+1))&lt;=790,3,IF(INDEX(ERP資料!$G:$G, (MATCH(90, 輔助計算!$G$2:$G$801, 0)+1))&lt;=1181,2,1))))=2,TEXT(INDEX(ERP資料!$G:$G, (MATCH(90, 輔助計算!$G$2:$G$801, 0)+1)),"0.##")&amp;"+"&amp;TEXT(INDEX(ERP資料!$G:$G, (MATCH(90, 輔助計算!$G$2:$G$801, 0)+1)),"0.##"),TEXT(INDEX(ERP資料!$G:$G, (MATCH(90, 輔助計算!$G$2:$G$801, 0)+1)),"0.##")&amp;"+"&amp;TEXT(INDEX(ERP資料!$G:$G, (MATCH(90, 輔助計算!$G$2:$G$801, 0)+1)),"0.##")&amp;"+"&amp;TEXT(INDEX(ERP資料!$G:$G, (MATCH(90, 輔助計算!$G$2:$G$801, 0)+1)),"0.##"))))&amp;"-1")&lt;&gt;""),"  ","")&amp;IF(MOD(INDEX(輔助計算!$D:$D, (MATCH(90, 輔助計算!$G$2:$G$801, 0)+1)),IF(INDEX(ERP資料!$G:$G, (MATCH(90, 輔助計算!$G$2:$G$801, 0)+1))&lt;100, IF(INDEX(ERP資料!$G:$G, (MATCH(90, 輔助計算!$G$2:$G$801, 0)+1))&lt;=31,3,IF(INDEX(ERP資料!$G:$G, (MATCH(90, 輔助計算!$G$2:$G$801, 0)+1))&lt;=46.5,2,1)), IF(INDEX(ERP資料!$G:$G, (MATCH(90, 輔助計算!$G$2:$G$801, 0)+1))&lt;=790,3,IF(INDEX(ERP資料!$G:$G, (MATCH(90, 輔助計算!$G$2:$G$801, 0)+1))&lt;=1181,2,1))))=0,"",IF(MOD(INDEX(輔助計算!$D:$D, (MATCH(90, 輔助計算!$G$2:$G$801, 0)+1)),IF(INDEX(ERP資料!$G:$G, (MATCH(90, 輔助計算!$G$2:$G$801, 0)+1))&lt;100, IF(INDEX(ERP資料!$G:$G, (MATCH(90, 輔助計算!$G$2:$G$801, 0)+1))&lt;=31,3,IF(INDEX(ERP資料!$G:$G, (MATCH(90, 輔助計算!$G$2:$G$801, 0)+1))&lt;=46.5,2,1)), IF(INDEX(ERP資料!$G:$G, (MATCH(90, 輔助計算!$G$2:$G$801, 0)+1))&lt;=790,3,IF(INDEX(ERP資料!$G:$G, (MATCH(90, 輔助計算!$G$2:$G$801, 0)+1))&lt;=1181,2,1))))=0,"",IF(MOD(INDEX(輔助計算!$D:$D, (MATCH(90, 輔助計算!$G$2:$G$801, 0)+1)),IF(INDEX(ERP資料!$G:$G, (MATCH(90, 輔助計算!$G$2:$G$801, 0)+1))&lt;100, IF(INDEX(ERP資料!$G:$G, (MATCH(90, 輔助計算!$G$2:$G$801, 0)+1))&lt;=31,3,IF(INDEX(ERP資料!$G:$G, (MATCH(90, 輔助計算!$G$2:$G$801, 0)+1))&lt;=46.5,2,1)), IF(INDEX(ERP資料!$G:$G, (MATCH(90, 輔助計算!$G$2:$G$801, 0)+1))&lt;=790,3,IF(INDEX(ERP資料!$G:$G, (MATCH(90, 輔助計算!$G$2:$G$801, 0)+1))&lt;=1181,2,1))))=1,TEXT(INDEX(ERP資料!$G:$G, (MATCH(90, 輔助計算!$G$2:$G$801, 0)+1)),"0.##"),IF(MOD(INDEX(輔助計算!$D:$D, (MATCH(90, 輔助計算!$G$2:$G$801, 0)+1)),IF(INDEX(ERP資料!$G:$G, (MATCH(90, 輔助計算!$G$2:$G$801, 0)+1))&lt;100, IF(INDEX(ERP資料!$G:$G, (MATCH(90, 輔助計算!$G$2:$G$801, 0)+1))&lt;=31,3,IF(INDEX(ERP資料!$G:$G, (MATCH(90, 輔助計算!$G$2:$G$801, 0)+1))&lt;=46.5,2,1)), IF(INDEX(ERP資料!$G:$G, (MATCH(90, 輔助計算!$G$2:$G$801, 0)+1))&lt;=790,3,IF(INDEX(ERP資料!$G:$G, (MATCH(90, 輔助計算!$G$2:$G$801, 0)+1))&lt;=1181,2,1))))=2,TEXT(INDEX(ERP資料!$G:$G, (MATCH(90, 輔助計算!$G$2:$G$801, 0)+1)),"0.##")&amp;"+"&amp;TEXT(INDEX(ERP資料!$G:$G, (MATCH(90, 輔助計算!$G$2:$G$801, 0)+1)),"0.##"),TEXT(INDEX(ERP資料!$G:$G, (MATCH(90, 輔助計算!$G$2:$G$801, 0)+1)),"0.##")&amp;"+"&amp;TEXT(INDEX(ERP資料!$G:$G, (MATCH(90, 輔助計算!$G$2:$G$801, 0)+1)),"0.##")&amp;"+"&amp;TEXT(INDEX(ERP資料!$G:$G, (MATCH(90, 輔助計算!$G$2:$G$801, 0)+1)),"0.##"))))&amp;"-1")), ""), "")</f>
        <v/>
      </c>
      <c r="K91" s="16" t="n"/>
      <c r="L91" s="14">
        <f>IFERROR(IF(AND(IFERROR(INDEX(ERP資料!$A:$A, (MATCH(90, 輔助計算!$G$2:$G$801, 0)+1)), "")&lt;&gt;"", IFERROR(INDEX(ERP資料!$A:$A, (MATCH(90, 輔助計算!$G$2:$G$801, 0)+1)), "")&lt;&gt;IFERROR(INDEX(ERP資料!$A:$A, MATCH(89, 輔助計算!$G$2:$G$801, 0)+1), "")), INDEX(ERP資料!$B:$B, (MATCH(90, 輔助計算!$G$2:$G$801, 0)+1)), ""), "")</f>
        <v/>
      </c>
      <c r="M91" s="17" t="n"/>
    </row>
    <row r="92">
      <c r="A92" s="10">
        <f>IFERROR(IF(AND(IFERROR(INDEX(ERP資料!$A:$A, (MATCH(91, 輔助計算!$G$2:$G$801, 0)+1)), "")&lt;&gt;"", IFERROR(INDEX(ERP資料!$A:$A, (MATCH(91, 輔助計算!$G$2:$G$801, 0)+1)), "")&lt;&gt;IFERROR(INDEX(ERP資料!$A:$A, MATCH(90, 輔助計算!$G$2:$G$801, 0)+1), "")), IFERROR(INDEX(ERP資料!$A:$A, (MATCH(91, 輔助計算!$G$2:$G$801, 0)+1)), ""), ""), "")</f>
        <v/>
      </c>
      <c r="B92" s="10">
        <f>IFERROR(IF(AND(IFERROR(INDEX(ERP資料!$A:$A, (MATCH(91, 輔助計算!$G$2:$G$801, 0)+1)), "")&lt;&gt;"", IFERROR(INDEX(ERP資料!$A:$A, (MATCH(91, 輔助計算!$G$2:$G$801, 0)+1)), "")&lt;&gt;IFERROR(INDEX(ERP資料!$A:$A, MATCH(90, 輔助計算!$G$2:$G$801, 0)+1), "")), INDEX(ERP資料!$S:$S, (MATCH(91, 輔助計算!$G$2:$G$801, 0)+1)), ""), "")</f>
        <v/>
      </c>
      <c r="C92" s="19">
        <f>IFERROR(IF(AND(IFERROR(INDEX(ERP資料!$A:$A, (MATCH(91, 輔助計算!$G$2:$G$801, 0)+1)), "")&lt;&gt;"", IFERROR(INDEX(ERP資料!$A:$A, (MATCH(91, 輔助計算!$G$2:$G$801, 0)+1)), "")&lt;&gt;IFERROR(INDEX(ERP資料!$A:$A, MATCH(90, 輔助計算!$G$2:$G$801, 0)+1), "")), IFERROR(VLOOKUP(LEFT(INDEX(ERP資料!$S:$S, (MATCH(91, 輔助計算!$G$2:$G$801, 0)+1)), 4), 紙管對照表!$A:$C, 3, FALSE), ""), ""), "")</f>
        <v/>
      </c>
      <c r="D92" s="16" t="n"/>
      <c r="E92" s="10">
        <f>IFERROR(IF(INDEX(ERP資料!$H:$H, (MATCH(91, 輔助計算!$G$2:$G$801, 0)+1))="","",INDEX(ERP資料!$H:$H, (MATCH(91, 輔助計算!$G$2:$G$801, 0)+1))), "")</f>
        <v/>
      </c>
      <c r="F92" s="10">
        <f>IFERROR(IF(INDEX(ERP資料!$E:$E, (MATCH(91, 輔助計算!$G$2:$G$801, 0)+1))="","",TRIM(INDEX(ERP資料!$E:$E, (MATCH(91, 輔助計算!$G$2:$G$801, 0)+1)))), "")</f>
        <v/>
      </c>
      <c r="G92" s="10">
        <f>IFERROR(IF(INDEX(ERP資料!$F:$F, (MATCH(91, 輔助計算!$G$2:$G$801, 0)+1))="","",INDEX(ERP資料!$F:$F, (MATCH(91, 輔助計算!$G$2:$G$801, 0)+1))), "")</f>
        <v/>
      </c>
      <c r="H92" s="10">
        <f>IFERROR(IF(INDEX(ERP資料!$G:$G, (MATCH(91, 輔助計算!$G$2:$G$801, 0)+1))="","",INDEX(ERP資料!$G:$G, (MATCH(91, 輔助計算!$G$2:$G$801, 0)+1))), "")</f>
        <v/>
      </c>
      <c r="I92" s="15">
        <f>IFERROR(INDEX(輔助計算!$D:$D, (MATCH(91, 輔助計算!$G$2:$G$801, 0)+1)), "")</f>
        <v/>
      </c>
      <c r="J92" s="15">
        <f>IFERROR(IF(AND(INDEX(輔助計算!$D:$D, (MATCH(91, 輔助計算!$G$2:$G$801, 0)+1))&lt;&gt;"", INDEX(ERP資料!$G:$G, (MATCH(91, 輔助計算!$G$2:$G$801, 0)+1))&lt;&gt;""), TRIM(IF(INT(INDEX(輔助計算!$D:$D, (MATCH(91, 輔助計算!$G$2:$G$801, 0)+1))/IF(INDEX(ERP資料!$G:$G, (MATCH(91, 輔助計算!$G$2:$G$801, 0)+1))&lt;100, IF(INDEX(ERP資料!$G:$G, (MATCH(91, 輔助計算!$G$2:$G$801, 0)+1))&lt;=31,3,IF(INDEX(ERP資料!$G:$G, (MATCH(91, 輔助計算!$G$2:$G$801, 0)+1))&lt;=46.5,2,1)), IF(INDEX(ERP資料!$G:$G, (MATCH(91, 輔助計算!$G$2:$G$801, 0)+1))&lt;=790,3,IF(INDEX(ERP資料!$G:$G, (MATCH(91, 輔助計算!$G$2:$G$801, 0)+1))&lt;=1181,2,1))))&gt;0, IF(IF(INDEX(ERP資料!$G:$G, (MATCH(91, 輔助計算!$G$2:$G$801, 0)+1))&lt;100, IF(INDEX(ERP資料!$G:$G, (MATCH(91, 輔助計算!$G$2:$G$801, 0)+1))&lt;=31,3,IF(INDEX(ERP資料!$G:$G, (MATCH(91, 輔助計算!$G$2:$G$801, 0)+1))&lt;=46.5,2,1)), IF(INDEX(ERP資料!$G:$G, (MATCH(91, 輔助計算!$G$2:$G$801, 0)+1))&lt;=790,3,IF(INDEX(ERP資料!$G:$G, (MATCH(91, 輔助計算!$G$2:$G$801, 0)+1))&lt;=1181,2,1)))=1,TEXT(INDEX(ERP資料!$G:$G, (MATCH(91, 輔助計算!$G$2:$G$801, 0)+1)),"0.##"),IF(IF(INDEX(ERP資料!$G:$G, (MATCH(91, 輔助計算!$G$2:$G$801, 0)+1))&lt;100, IF(INDEX(ERP資料!$G:$G, (MATCH(91, 輔助計算!$G$2:$G$801, 0)+1))&lt;=31,3,IF(INDEX(ERP資料!$G:$G, (MATCH(91, 輔助計算!$G$2:$G$801, 0)+1))&lt;=46.5,2,1)), IF(INDEX(ERP資料!$G:$G, (MATCH(91, 輔助計算!$G$2:$G$801, 0)+1))&lt;=790,3,IF(INDEX(ERP資料!$G:$G, (MATCH(91, 輔助計算!$G$2:$G$801, 0)+1))&lt;=1181,2,1)))=2,TEXT(INDEX(ERP資料!$G:$G, (MATCH(91, 輔助計算!$G$2:$G$801, 0)+1)),"0.##")&amp;"+"&amp;TEXT(INDEX(ERP資料!$G:$G, (MATCH(91, 輔助計算!$G$2:$G$801, 0)+1)),"0.##"),TEXT(INDEX(ERP資料!$G:$G, (MATCH(91, 輔助計算!$G$2:$G$801, 0)+1)),"0.##")&amp;"+"&amp;TEXT(INDEX(ERP資料!$G:$G, (MATCH(91, 輔助計算!$G$2:$G$801, 0)+1)),"0.##")&amp;"+"&amp;TEXT(INDEX(ERP資料!$G:$G, (MATCH(91, 輔助計算!$G$2:$G$801, 0)+1)),"0.##")))&amp;"-"&amp;INT(INDEX(輔助計算!$D:$D, (MATCH(91, 輔助計算!$G$2:$G$801, 0)+1))/IF(INDEX(ERP資料!$G:$G, (MATCH(91, 輔助計算!$G$2:$G$801, 0)+1))&lt;100, IF(INDEX(ERP資料!$G:$G, (MATCH(91, 輔助計算!$G$2:$G$801, 0)+1))&lt;=31,3,IF(INDEX(ERP資料!$G:$G, (MATCH(91, 輔助計算!$G$2:$G$801, 0)+1))&lt;=46.5,2,1)), IF(INDEX(ERP資料!$G:$G, (MATCH(91, 輔助計算!$G$2:$G$801, 0)+1))&lt;=790,3,IF(INDEX(ERP資料!$G:$G, (MATCH(91, 輔助計算!$G$2:$G$801, 0)+1))&lt;=1181,2,1)))), "")&amp;IF(AND(IF(INT(INDEX(輔助計算!$D:$D, (MATCH(91, 輔助計算!$G$2:$G$801, 0)+1))/IF(INDEX(ERP資料!$G:$G, (MATCH(91, 輔助計算!$G$2:$G$801, 0)+1))&lt;100, IF(INDEX(ERP資料!$G:$G, (MATCH(91, 輔助計算!$G$2:$G$801, 0)+1))&lt;=31,3,IF(INDEX(ERP資料!$G:$G, (MATCH(91, 輔助計算!$G$2:$G$801, 0)+1))&lt;=46.5,2,1)), IF(INDEX(ERP資料!$G:$G, (MATCH(91, 輔助計算!$G$2:$G$801, 0)+1))&lt;=790,3,IF(INDEX(ERP資料!$G:$G, (MATCH(91, 輔助計算!$G$2:$G$801, 0)+1))&lt;=1181,2,1))))&gt;0, IF(IF(INDEX(ERP資料!$G:$G, (MATCH(91, 輔助計算!$G$2:$G$801, 0)+1))&lt;100, IF(INDEX(ERP資料!$G:$G, (MATCH(91, 輔助計算!$G$2:$G$801, 0)+1))&lt;=31,3,IF(INDEX(ERP資料!$G:$G, (MATCH(91, 輔助計算!$G$2:$G$801, 0)+1))&lt;=46.5,2,1)), IF(INDEX(ERP資料!$G:$G, (MATCH(91, 輔助計算!$G$2:$G$801, 0)+1))&lt;=790,3,IF(INDEX(ERP資料!$G:$G, (MATCH(91, 輔助計算!$G$2:$G$801, 0)+1))&lt;=1181,2,1)))=1,TEXT(INDEX(ERP資料!$G:$G, (MATCH(91, 輔助計算!$G$2:$G$801, 0)+1)),"0.##"),IF(IF(INDEX(ERP資料!$G:$G, (MATCH(91, 輔助計算!$G$2:$G$801, 0)+1))&lt;100, IF(INDEX(ERP資料!$G:$G, (MATCH(91, 輔助計算!$G$2:$G$801, 0)+1))&lt;=31,3,IF(INDEX(ERP資料!$G:$G, (MATCH(91, 輔助計算!$G$2:$G$801, 0)+1))&lt;=46.5,2,1)), IF(INDEX(ERP資料!$G:$G, (MATCH(91, 輔助計算!$G$2:$G$801, 0)+1))&lt;=790,3,IF(INDEX(ERP資料!$G:$G, (MATCH(91, 輔助計算!$G$2:$G$801, 0)+1))&lt;=1181,2,1)))=2,TEXT(INDEX(ERP資料!$G:$G, (MATCH(91, 輔助計算!$G$2:$G$801, 0)+1)),"0.##")&amp;"+"&amp;TEXT(INDEX(ERP資料!$G:$G, (MATCH(91, 輔助計算!$G$2:$G$801, 0)+1)),"0.##"),TEXT(INDEX(ERP資料!$G:$G, (MATCH(91, 輔助計算!$G$2:$G$801, 0)+1)),"0.##")&amp;"+"&amp;TEXT(INDEX(ERP資料!$G:$G, (MATCH(91, 輔助計算!$G$2:$G$801, 0)+1)),"0.##")&amp;"+"&amp;TEXT(INDEX(ERP資料!$G:$G, (MATCH(91, 輔助計算!$G$2:$G$801, 0)+1)),"0.##")))&amp;"-"&amp;INT(INDEX(輔助計算!$D:$D, (MATCH(91, 輔助計算!$G$2:$G$801, 0)+1))/IF(INDEX(ERP資料!$G:$G, (MATCH(91, 輔助計算!$G$2:$G$801, 0)+1))&lt;100, IF(INDEX(ERP資料!$G:$G, (MATCH(91, 輔助計算!$G$2:$G$801, 0)+1))&lt;=31,3,IF(INDEX(ERP資料!$G:$G, (MATCH(91, 輔助計算!$G$2:$G$801, 0)+1))&lt;=46.5,2,1)), IF(INDEX(ERP資料!$G:$G, (MATCH(91, 輔助計算!$G$2:$G$801, 0)+1))&lt;=790,3,IF(INDEX(ERP資料!$G:$G, (MATCH(91, 輔助計算!$G$2:$G$801, 0)+1))&lt;=1181,2,1)))), "")&lt;&gt;"",IF(MOD(INDEX(輔助計算!$D:$D, (MATCH(91, 輔助計算!$G$2:$G$801, 0)+1)),IF(INDEX(ERP資料!$G:$G, (MATCH(91, 輔助計算!$G$2:$G$801, 0)+1))&lt;100, IF(INDEX(ERP資料!$G:$G, (MATCH(91, 輔助計算!$G$2:$G$801, 0)+1))&lt;=31,3,IF(INDEX(ERP資料!$G:$G, (MATCH(91, 輔助計算!$G$2:$G$801, 0)+1))&lt;=46.5,2,1)), IF(INDEX(ERP資料!$G:$G, (MATCH(91, 輔助計算!$G$2:$G$801, 0)+1))&lt;=790,3,IF(INDEX(ERP資料!$G:$G, (MATCH(91, 輔助計算!$G$2:$G$801, 0)+1))&lt;=1181,2,1))))=0,"",IF(MOD(INDEX(輔助計算!$D:$D, (MATCH(91, 輔助計算!$G$2:$G$801, 0)+1)),IF(INDEX(ERP資料!$G:$G, (MATCH(91, 輔助計算!$G$2:$G$801, 0)+1))&lt;100, IF(INDEX(ERP資料!$G:$G, (MATCH(91, 輔助計算!$G$2:$G$801, 0)+1))&lt;=31,3,IF(INDEX(ERP資料!$G:$G, (MATCH(91, 輔助計算!$G$2:$G$801, 0)+1))&lt;=46.5,2,1)), IF(INDEX(ERP資料!$G:$G, (MATCH(91, 輔助計算!$G$2:$G$801, 0)+1))&lt;=790,3,IF(INDEX(ERP資料!$G:$G, (MATCH(91, 輔助計算!$G$2:$G$801, 0)+1))&lt;=1181,2,1))))=0,"",IF(MOD(INDEX(輔助計算!$D:$D, (MATCH(91, 輔助計算!$G$2:$G$801, 0)+1)),IF(INDEX(ERP資料!$G:$G, (MATCH(91, 輔助計算!$G$2:$G$801, 0)+1))&lt;100, IF(INDEX(ERP資料!$G:$G, (MATCH(91, 輔助計算!$G$2:$G$801, 0)+1))&lt;=31,3,IF(INDEX(ERP資料!$G:$G, (MATCH(91, 輔助計算!$G$2:$G$801, 0)+1))&lt;=46.5,2,1)), IF(INDEX(ERP資料!$G:$G, (MATCH(91, 輔助計算!$G$2:$G$801, 0)+1))&lt;=790,3,IF(INDEX(ERP資料!$G:$G, (MATCH(91, 輔助計算!$G$2:$G$801, 0)+1))&lt;=1181,2,1))))=1,TEXT(INDEX(ERP資料!$G:$G, (MATCH(91, 輔助計算!$G$2:$G$801, 0)+1)),"0.##"),IF(MOD(INDEX(輔助計算!$D:$D, (MATCH(91, 輔助計算!$G$2:$G$801, 0)+1)),IF(INDEX(ERP資料!$G:$G, (MATCH(91, 輔助計算!$G$2:$G$801, 0)+1))&lt;100, IF(INDEX(ERP資料!$G:$G, (MATCH(91, 輔助計算!$G$2:$G$801, 0)+1))&lt;=31,3,IF(INDEX(ERP資料!$G:$G, (MATCH(91, 輔助計算!$G$2:$G$801, 0)+1))&lt;=46.5,2,1)), IF(INDEX(ERP資料!$G:$G, (MATCH(91, 輔助計算!$G$2:$G$801, 0)+1))&lt;=790,3,IF(INDEX(ERP資料!$G:$G, (MATCH(91, 輔助計算!$G$2:$G$801, 0)+1))&lt;=1181,2,1))))=2,TEXT(INDEX(ERP資料!$G:$G, (MATCH(91, 輔助計算!$G$2:$G$801, 0)+1)),"0.##")&amp;"+"&amp;TEXT(INDEX(ERP資料!$G:$G, (MATCH(91, 輔助計算!$G$2:$G$801, 0)+1)),"0.##"),TEXT(INDEX(ERP資料!$G:$G, (MATCH(91, 輔助計算!$G$2:$G$801, 0)+1)),"0.##")&amp;"+"&amp;TEXT(INDEX(ERP資料!$G:$G, (MATCH(91, 輔助計算!$G$2:$G$801, 0)+1)),"0.##")&amp;"+"&amp;TEXT(INDEX(ERP資料!$G:$G, (MATCH(91, 輔助計算!$G$2:$G$801, 0)+1)),"0.##"))))&amp;"-1")&lt;&gt;""),"  ","")&amp;IF(MOD(INDEX(輔助計算!$D:$D, (MATCH(91, 輔助計算!$G$2:$G$801, 0)+1)),IF(INDEX(ERP資料!$G:$G, (MATCH(91, 輔助計算!$G$2:$G$801, 0)+1))&lt;100, IF(INDEX(ERP資料!$G:$G, (MATCH(91, 輔助計算!$G$2:$G$801, 0)+1))&lt;=31,3,IF(INDEX(ERP資料!$G:$G, (MATCH(91, 輔助計算!$G$2:$G$801, 0)+1))&lt;=46.5,2,1)), IF(INDEX(ERP資料!$G:$G, (MATCH(91, 輔助計算!$G$2:$G$801, 0)+1))&lt;=790,3,IF(INDEX(ERP資料!$G:$G, (MATCH(91, 輔助計算!$G$2:$G$801, 0)+1))&lt;=1181,2,1))))=0,"",IF(MOD(INDEX(輔助計算!$D:$D, (MATCH(91, 輔助計算!$G$2:$G$801, 0)+1)),IF(INDEX(ERP資料!$G:$G, (MATCH(91, 輔助計算!$G$2:$G$801, 0)+1))&lt;100, IF(INDEX(ERP資料!$G:$G, (MATCH(91, 輔助計算!$G$2:$G$801, 0)+1))&lt;=31,3,IF(INDEX(ERP資料!$G:$G, (MATCH(91, 輔助計算!$G$2:$G$801, 0)+1))&lt;=46.5,2,1)), IF(INDEX(ERP資料!$G:$G, (MATCH(91, 輔助計算!$G$2:$G$801, 0)+1))&lt;=790,3,IF(INDEX(ERP資料!$G:$G, (MATCH(91, 輔助計算!$G$2:$G$801, 0)+1))&lt;=1181,2,1))))=0,"",IF(MOD(INDEX(輔助計算!$D:$D, (MATCH(91, 輔助計算!$G$2:$G$801, 0)+1)),IF(INDEX(ERP資料!$G:$G, (MATCH(91, 輔助計算!$G$2:$G$801, 0)+1))&lt;100, IF(INDEX(ERP資料!$G:$G, (MATCH(91, 輔助計算!$G$2:$G$801, 0)+1))&lt;=31,3,IF(INDEX(ERP資料!$G:$G, (MATCH(91, 輔助計算!$G$2:$G$801, 0)+1))&lt;=46.5,2,1)), IF(INDEX(ERP資料!$G:$G, (MATCH(91, 輔助計算!$G$2:$G$801, 0)+1))&lt;=790,3,IF(INDEX(ERP資料!$G:$G, (MATCH(91, 輔助計算!$G$2:$G$801, 0)+1))&lt;=1181,2,1))))=1,TEXT(INDEX(ERP資料!$G:$G, (MATCH(91, 輔助計算!$G$2:$G$801, 0)+1)),"0.##"),IF(MOD(INDEX(輔助計算!$D:$D, (MATCH(91, 輔助計算!$G$2:$G$801, 0)+1)),IF(INDEX(ERP資料!$G:$G, (MATCH(91, 輔助計算!$G$2:$G$801, 0)+1))&lt;100, IF(INDEX(ERP資料!$G:$G, (MATCH(91, 輔助計算!$G$2:$G$801, 0)+1))&lt;=31,3,IF(INDEX(ERP資料!$G:$G, (MATCH(91, 輔助計算!$G$2:$G$801, 0)+1))&lt;=46.5,2,1)), IF(INDEX(ERP資料!$G:$G, (MATCH(91, 輔助計算!$G$2:$G$801, 0)+1))&lt;=790,3,IF(INDEX(ERP資料!$G:$G, (MATCH(91, 輔助計算!$G$2:$G$801, 0)+1))&lt;=1181,2,1))))=2,TEXT(INDEX(ERP資料!$G:$G, (MATCH(91, 輔助計算!$G$2:$G$801, 0)+1)),"0.##")&amp;"+"&amp;TEXT(INDEX(ERP資料!$G:$G, (MATCH(91, 輔助計算!$G$2:$G$801, 0)+1)),"0.##"),TEXT(INDEX(ERP資料!$G:$G, (MATCH(91, 輔助計算!$G$2:$G$801, 0)+1)),"0.##")&amp;"+"&amp;TEXT(INDEX(ERP資料!$G:$G, (MATCH(91, 輔助計算!$G$2:$G$801, 0)+1)),"0.##")&amp;"+"&amp;TEXT(INDEX(ERP資料!$G:$G, (MATCH(91, 輔助計算!$G$2:$G$801, 0)+1)),"0.##"))))&amp;"-1")), ""), "")</f>
        <v/>
      </c>
      <c r="K92" s="16" t="n"/>
      <c r="L92" s="14">
        <f>IFERROR(IF(AND(IFERROR(INDEX(ERP資料!$A:$A, (MATCH(91, 輔助計算!$G$2:$G$801, 0)+1)), "")&lt;&gt;"", IFERROR(INDEX(ERP資料!$A:$A, (MATCH(91, 輔助計算!$G$2:$G$801, 0)+1)), "")&lt;&gt;IFERROR(INDEX(ERP資料!$A:$A, MATCH(90, 輔助計算!$G$2:$G$801, 0)+1), "")), INDEX(ERP資料!$B:$B, (MATCH(91, 輔助計算!$G$2:$G$801, 0)+1)), ""), "")</f>
        <v/>
      </c>
      <c r="M92" s="17" t="n"/>
    </row>
    <row r="93">
      <c r="A93" s="10">
        <f>IFERROR(IF(AND(IFERROR(INDEX(ERP資料!$A:$A, (MATCH(92, 輔助計算!$G$2:$G$801, 0)+1)), "")&lt;&gt;"", IFERROR(INDEX(ERP資料!$A:$A, (MATCH(92, 輔助計算!$G$2:$G$801, 0)+1)), "")&lt;&gt;IFERROR(INDEX(ERP資料!$A:$A, MATCH(91, 輔助計算!$G$2:$G$801, 0)+1), "")), IFERROR(INDEX(ERP資料!$A:$A, (MATCH(92, 輔助計算!$G$2:$G$801, 0)+1)), ""), ""), "")</f>
        <v/>
      </c>
      <c r="B93" s="10">
        <f>IFERROR(IF(AND(IFERROR(INDEX(ERP資料!$A:$A, (MATCH(92, 輔助計算!$G$2:$G$801, 0)+1)), "")&lt;&gt;"", IFERROR(INDEX(ERP資料!$A:$A, (MATCH(92, 輔助計算!$G$2:$G$801, 0)+1)), "")&lt;&gt;IFERROR(INDEX(ERP資料!$A:$A, MATCH(91, 輔助計算!$G$2:$G$801, 0)+1), "")), INDEX(ERP資料!$S:$S, (MATCH(92, 輔助計算!$G$2:$G$801, 0)+1)), ""), "")</f>
        <v/>
      </c>
      <c r="C93" s="19">
        <f>IFERROR(IF(AND(IFERROR(INDEX(ERP資料!$A:$A, (MATCH(92, 輔助計算!$G$2:$G$801, 0)+1)), "")&lt;&gt;"", IFERROR(INDEX(ERP資料!$A:$A, (MATCH(92, 輔助計算!$G$2:$G$801, 0)+1)), "")&lt;&gt;IFERROR(INDEX(ERP資料!$A:$A, MATCH(91, 輔助計算!$G$2:$G$801, 0)+1), "")), IFERROR(VLOOKUP(LEFT(INDEX(ERP資料!$S:$S, (MATCH(92, 輔助計算!$G$2:$G$801, 0)+1)), 4), 紙管對照表!$A:$C, 3, FALSE), ""), ""), "")</f>
        <v/>
      </c>
      <c r="D93" s="16" t="n"/>
      <c r="E93" s="10">
        <f>IFERROR(IF(INDEX(ERP資料!$H:$H, (MATCH(92, 輔助計算!$G$2:$G$801, 0)+1))="","",INDEX(ERP資料!$H:$H, (MATCH(92, 輔助計算!$G$2:$G$801, 0)+1))), "")</f>
        <v/>
      </c>
      <c r="F93" s="10">
        <f>IFERROR(IF(INDEX(ERP資料!$E:$E, (MATCH(92, 輔助計算!$G$2:$G$801, 0)+1))="","",TRIM(INDEX(ERP資料!$E:$E, (MATCH(92, 輔助計算!$G$2:$G$801, 0)+1)))), "")</f>
        <v/>
      </c>
      <c r="G93" s="10">
        <f>IFERROR(IF(INDEX(ERP資料!$F:$F, (MATCH(92, 輔助計算!$G$2:$G$801, 0)+1))="","",INDEX(ERP資料!$F:$F, (MATCH(92, 輔助計算!$G$2:$G$801, 0)+1))), "")</f>
        <v/>
      </c>
      <c r="H93" s="10">
        <f>IFERROR(IF(INDEX(ERP資料!$G:$G, (MATCH(92, 輔助計算!$G$2:$G$801, 0)+1))="","",INDEX(ERP資料!$G:$G, (MATCH(92, 輔助計算!$G$2:$G$801, 0)+1))), "")</f>
        <v/>
      </c>
      <c r="I93" s="15">
        <f>IFERROR(INDEX(輔助計算!$D:$D, (MATCH(92, 輔助計算!$G$2:$G$801, 0)+1)), "")</f>
        <v/>
      </c>
      <c r="J93" s="15">
        <f>IFERROR(IF(AND(INDEX(輔助計算!$D:$D, (MATCH(92, 輔助計算!$G$2:$G$801, 0)+1))&lt;&gt;"", INDEX(ERP資料!$G:$G, (MATCH(92, 輔助計算!$G$2:$G$801, 0)+1))&lt;&gt;""), TRIM(IF(INT(INDEX(輔助計算!$D:$D, (MATCH(92, 輔助計算!$G$2:$G$801, 0)+1))/IF(INDEX(ERP資料!$G:$G, (MATCH(92, 輔助計算!$G$2:$G$801, 0)+1))&lt;100, IF(INDEX(ERP資料!$G:$G, (MATCH(92, 輔助計算!$G$2:$G$801, 0)+1))&lt;=31,3,IF(INDEX(ERP資料!$G:$G, (MATCH(92, 輔助計算!$G$2:$G$801, 0)+1))&lt;=46.5,2,1)), IF(INDEX(ERP資料!$G:$G, (MATCH(92, 輔助計算!$G$2:$G$801, 0)+1))&lt;=790,3,IF(INDEX(ERP資料!$G:$G, (MATCH(92, 輔助計算!$G$2:$G$801, 0)+1))&lt;=1181,2,1))))&gt;0, IF(IF(INDEX(ERP資料!$G:$G, (MATCH(92, 輔助計算!$G$2:$G$801, 0)+1))&lt;100, IF(INDEX(ERP資料!$G:$G, (MATCH(92, 輔助計算!$G$2:$G$801, 0)+1))&lt;=31,3,IF(INDEX(ERP資料!$G:$G, (MATCH(92, 輔助計算!$G$2:$G$801, 0)+1))&lt;=46.5,2,1)), IF(INDEX(ERP資料!$G:$G, (MATCH(92, 輔助計算!$G$2:$G$801, 0)+1))&lt;=790,3,IF(INDEX(ERP資料!$G:$G, (MATCH(92, 輔助計算!$G$2:$G$801, 0)+1))&lt;=1181,2,1)))=1,TEXT(INDEX(ERP資料!$G:$G, (MATCH(92, 輔助計算!$G$2:$G$801, 0)+1)),"0.##"),IF(IF(INDEX(ERP資料!$G:$G, (MATCH(92, 輔助計算!$G$2:$G$801, 0)+1))&lt;100, IF(INDEX(ERP資料!$G:$G, (MATCH(92, 輔助計算!$G$2:$G$801, 0)+1))&lt;=31,3,IF(INDEX(ERP資料!$G:$G, (MATCH(92, 輔助計算!$G$2:$G$801, 0)+1))&lt;=46.5,2,1)), IF(INDEX(ERP資料!$G:$G, (MATCH(92, 輔助計算!$G$2:$G$801, 0)+1))&lt;=790,3,IF(INDEX(ERP資料!$G:$G, (MATCH(92, 輔助計算!$G$2:$G$801, 0)+1))&lt;=1181,2,1)))=2,TEXT(INDEX(ERP資料!$G:$G, (MATCH(92, 輔助計算!$G$2:$G$801, 0)+1)),"0.##")&amp;"+"&amp;TEXT(INDEX(ERP資料!$G:$G, (MATCH(92, 輔助計算!$G$2:$G$801, 0)+1)),"0.##"),TEXT(INDEX(ERP資料!$G:$G, (MATCH(92, 輔助計算!$G$2:$G$801, 0)+1)),"0.##")&amp;"+"&amp;TEXT(INDEX(ERP資料!$G:$G, (MATCH(92, 輔助計算!$G$2:$G$801, 0)+1)),"0.##")&amp;"+"&amp;TEXT(INDEX(ERP資料!$G:$G, (MATCH(92, 輔助計算!$G$2:$G$801, 0)+1)),"0.##")))&amp;"-"&amp;INT(INDEX(輔助計算!$D:$D, (MATCH(92, 輔助計算!$G$2:$G$801, 0)+1))/IF(INDEX(ERP資料!$G:$G, (MATCH(92, 輔助計算!$G$2:$G$801, 0)+1))&lt;100, IF(INDEX(ERP資料!$G:$G, (MATCH(92, 輔助計算!$G$2:$G$801, 0)+1))&lt;=31,3,IF(INDEX(ERP資料!$G:$G, (MATCH(92, 輔助計算!$G$2:$G$801, 0)+1))&lt;=46.5,2,1)), IF(INDEX(ERP資料!$G:$G, (MATCH(92, 輔助計算!$G$2:$G$801, 0)+1))&lt;=790,3,IF(INDEX(ERP資料!$G:$G, (MATCH(92, 輔助計算!$G$2:$G$801, 0)+1))&lt;=1181,2,1)))), "")&amp;IF(AND(IF(INT(INDEX(輔助計算!$D:$D, (MATCH(92, 輔助計算!$G$2:$G$801, 0)+1))/IF(INDEX(ERP資料!$G:$G, (MATCH(92, 輔助計算!$G$2:$G$801, 0)+1))&lt;100, IF(INDEX(ERP資料!$G:$G, (MATCH(92, 輔助計算!$G$2:$G$801, 0)+1))&lt;=31,3,IF(INDEX(ERP資料!$G:$G, (MATCH(92, 輔助計算!$G$2:$G$801, 0)+1))&lt;=46.5,2,1)), IF(INDEX(ERP資料!$G:$G, (MATCH(92, 輔助計算!$G$2:$G$801, 0)+1))&lt;=790,3,IF(INDEX(ERP資料!$G:$G, (MATCH(92, 輔助計算!$G$2:$G$801, 0)+1))&lt;=1181,2,1))))&gt;0, IF(IF(INDEX(ERP資料!$G:$G, (MATCH(92, 輔助計算!$G$2:$G$801, 0)+1))&lt;100, IF(INDEX(ERP資料!$G:$G, (MATCH(92, 輔助計算!$G$2:$G$801, 0)+1))&lt;=31,3,IF(INDEX(ERP資料!$G:$G, (MATCH(92, 輔助計算!$G$2:$G$801, 0)+1))&lt;=46.5,2,1)), IF(INDEX(ERP資料!$G:$G, (MATCH(92, 輔助計算!$G$2:$G$801, 0)+1))&lt;=790,3,IF(INDEX(ERP資料!$G:$G, (MATCH(92, 輔助計算!$G$2:$G$801, 0)+1))&lt;=1181,2,1)))=1,TEXT(INDEX(ERP資料!$G:$G, (MATCH(92, 輔助計算!$G$2:$G$801, 0)+1)),"0.##"),IF(IF(INDEX(ERP資料!$G:$G, (MATCH(92, 輔助計算!$G$2:$G$801, 0)+1))&lt;100, IF(INDEX(ERP資料!$G:$G, (MATCH(92, 輔助計算!$G$2:$G$801, 0)+1))&lt;=31,3,IF(INDEX(ERP資料!$G:$G, (MATCH(92, 輔助計算!$G$2:$G$801, 0)+1))&lt;=46.5,2,1)), IF(INDEX(ERP資料!$G:$G, (MATCH(92, 輔助計算!$G$2:$G$801, 0)+1))&lt;=790,3,IF(INDEX(ERP資料!$G:$G, (MATCH(92, 輔助計算!$G$2:$G$801, 0)+1))&lt;=1181,2,1)))=2,TEXT(INDEX(ERP資料!$G:$G, (MATCH(92, 輔助計算!$G$2:$G$801, 0)+1)),"0.##")&amp;"+"&amp;TEXT(INDEX(ERP資料!$G:$G, (MATCH(92, 輔助計算!$G$2:$G$801, 0)+1)),"0.##"),TEXT(INDEX(ERP資料!$G:$G, (MATCH(92, 輔助計算!$G$2:$G$801, 0)+1)),"0.##")&amp;"+"&amp;TEXT(INDEX(ERP資料!$G:$G, (MATCH(92, 輔助計算!$G$2:$G$801, 0)+1)),"0.##")&amp;"+"&amp;TEXT(INDEX(ERP資料!$G:$G, (MATCH(92, 輔助計算!$G$2:$G$801, 0)+1)),"0.##")))&amp;"-"&amp;INT(INDEX(輔助計算!$D:$D, (MATCH(92, 輔助計算!$G$2:$G$801, 0)+1))/IF(INDEX(ERP資料!$G:$G, (MATCH(92, 輔助計算!$G$2:$G$801, 0)+1))&lt;100, IF(INDEX(ERP資料!$G:$G, (MATCH(92, 輔助計算!$G$2:$G$801, 0)+1))&lt;=31,3,IF(INDEX(ERP資料!$G:$G, (MATCH(92, 輔助計算!$G$2:$G$801, 0)+1))&lt;=46.5,2,1)), IF(INDEX(ERP資料!$G:$G, (MATCH(92, 輔助計算!$G$2:$G$801, 0)+1))&lt;=790,3,IF(INDEX(ERP資料!$G:$G, (MATCH(92, 輔助計算!$G$2:$G$801, 0)+1))&lt;=1181,2,1)))), "")&lt;&gt;"",IF(MOD(INDEX(輔助計算!$D:$D, (MATCH(92, 輔助計算!$G$2:$G$801, 0)+1)),IF(INDEX(ERP資料!$G:$G, (MATCH(92, 輔助計算!$G$2:$G$801, 0)+1))&lt;100, IF(INDEX(ERP資料!$G:$G, (MATCH(92, 輔助計算!$G$2:$G$801, 0)+1))&lt;=31,3,IF(INDEX(ERP資料!$G:$G, (MATCH(92, 輔助計算!$G$2:$G$801, 0)+1))&lt;=46.5,2,1)), IF(INDEX(ERP資料!$G:$G, (MATCH(92, 輔助計算!$G$2:$G$801, 0)+1))&lt;=790,3,IF(INDEX(ERP資料!$G:$G, (MATCH(92, 輔助計算!$G$2:$G$801, 0)+1))&lt;=1181,2,1))))=0,"",IF(MOD(INDEX(輔助計算!$D:$D, (MATCH(92, 輔助計算!$G$2:$G$801, 0)+1)),IF(INDEX(ERP資料!$G:$G, (MATCH(92, 輔助計算!$G$2:$G$801, 0)+1))&lt;100, IF(INDEX(ERP資料!$G:$G, (MATCH(92, 輔助計算!$G$2:$G$801, 0)+1))&lt;=31,3,IF(INDEX(ERP資料!$G:$G, (MATCH(92, 輔助計算!$G$2:$G$801, 0)+1))&lt;=46.5,2,1)), IF(INDEX(ERP資料!$G:$G, (MATCH(92, 輔助計算!$G$2:$G$801, 0)+1))&lt;=790,3,IF(INDEX(ERP資料!$G:$G, (MATCH(92, 輔助計算!$G$2:$G$801, 0)+1))&lt;=1181,2,1))))=0,"",IF(MOD(INDEX(輔助計算!$D:$D, (MATCH(92, 輔助計算!$G$2:$G$801, 0)+1)),IF(INDEX(ERP資料!$G:$G, (MATCH(92, 輔助計算!$G$2:$G$801, 0)+1))&lt;100, IF(INDEX(ERP資料!$G:$G, (MATCH(92, 輔助計算!$G$2:$G$801, 0)+1))&lt;=31,3,IF(INDEX(ERP資料!$G:$G, (MATCH(92, 輔助計算!$G$2:$G$801, 0)+1))&lt;=46.5,2,1)), IF(INDEX(ERP資料!$G:$G, (MATCH(92, 輔助計算!$G$2:$G$801, 0)+1))&lt;=790,3,IF(INDEX(ERP資料!$G:$G, (MATCH(92, 輔助計算!$G$2:$G$801, 0)+1))&lt;=1181,2,1))))=1,TEXT(INDEX(ERP資料!$G:$G, (MATCH(92, 輔助計算!$G$2:$G$801, 0)+1)),"0.##"),IF(MOD(INDEX(輔助計算!$D:$D, (MATCH(92, 輔助計算!$G$2:$G$801, 0)+1)),IF(INDEX(ERP資料!$G:$G, (MATCH(92, 輔助計算!$G$2:$G$801, 0)+1))&lt;100, IF(INDEX(ERP資料!$G:$G, (MATCH(92, 輔助計算!$G$2:$G$801, 0)+1))&lt;=31,3,IF(INDEX(ERP資料!$G:$G, (MATCH(92, 輔助計算!$G$2:$G$801, 0)+1))&lt;=46.5,2,1)), IF(INDEX(ERP資料!$G:$G, (MATCH(92, 輔助計算!$G$2:$G$801, 0)+1))&lt;=790,3,IF(INDEX(ERP資料!$G:$G, (MATCH(92, 輔助計算!$G$2:$G$801, 0)+1))&lt;=1181,2,1))))=2,TEXT(INDEX(ERP資料!$G:$G, (MATCH(92, 輔助計算!$G$2:$G$801, 0)+1)),"0.##")&amp;"+"&amp;TEXT(INDEX(ERP資料!$G:$G, (MATCH(92, 輔助計算!$G$2:$G$801, 0)+1)),"0.##"),TEXT(INDEX(ERP資料!$G:$G, (MATCH(92, 輔助計算!$G$2:$G$801, 0)+1)),"0.##")&amp;"+"&amp;TEXT(INDEX(ERP資料!$G:$G, (MATCH(92, 輔助計算!$G$2:$G$801, 0)+1)),"0.##")&amp;"+"&amp;TEXT(INDEX(ERP資料!$G:$G, (MATCH(92, 輔助計算!$G$2:$G$801, 0)+1)),"0.##"))))&amp;"-1")&lt;&gt;""),"  ","")&amp;IF(MOD(INDEX(輔助計算!$D:$D, (MATCH(92, 輔助計算!$G$2:$G$801, 0)+1)),IF(INDEX(ERP資料!$G:$G, (MATCH(92, 輔助計算!$G$2:$G$801, 0)+1))&lt;100, IF(INDEX(ERP資料!$G:$G, (MATCH(92, 輔助計算!$G$2:$G$801, 0)+1))&lt;=31,3,IF(INDEX(ERP資料!$G:$G, (MATCH(92, 輔助計算!$G$2:$G$801, 0)+1))&lt;=46.5,2,1)), IF(INDEX(ERP資料!$G:$G, (MATCH(92, 輔助計算!$G$2:$G$801, 0)+1))&lt;=790,3,IF(INDEX(ERP資料!$G:$G, (MATCH(92, 輔助計算!$G$2:$G$801, 0)+1))&lt;=1181,2,1))))=0,"",IF(MOD(INDEX(輔助計算!$D:$D, (MATCH(92, 輔助計算!$G$2:$G$801, 0)+1)),IF(INDEX(ERP資料!$G:$G, (MATCH(92, 輔助計算!$G$2:$G$801, 0)+1))&lt;100, IF(INDEX(ERP資料!$G:$G, (MATCH(92, 輔助計算!$G$2:$G$801, 0)+1))&lt;=31,3,IF(INDEX(ERP資料!$G:$G, (MATCH(92, 輔助計算!$G$2:$G$801, 0)+1))&lt;=46.5,2,1)), IF(INDEX(ERP資料!$G:$G, (MATCH(92, 輔助計算!$G$2:$G$801, 0)+1))&lt;=790,3,IF(INDEX(ERP資料!$G:$G, (MATCH(92, 輔助計算!$G$2:$G$801, 0)+1))&lt;=1181,2,1))))=0,"",IF(MOD(INDEX(輔助計算!$D:$D, (MATCH(92, 輔助計算!$G$2:$G$801, 0)+1)),IF(INDEX(ERP資料!$G:$G, (MATCH(92, 輔助計算!$G$2:$G$801, 0)+1))&lt;100, IF(INDEX(ERP資料!$G:$G, (MATCH(92, 輔助計算!$G$2:$G$801, 0)+1))&lt;=31,3,IF(INDEX(ERP資料!$G:$G, (MATCH(92, 輔助計算!$G$2:$G$801, 0)+1))&lt;=46.5,2,1)), IF(INDEX(ERP資料!$G:$G, (MATCH(92, 輔助計算!$G$2:$G$801, 0)+1))&lt;=790,3,IF(INDEX(ERP資料!$G:$G, (MATCH(92, 輔助計算!$G$2:$G$801, 0)+1))&lt;=1181,2,1))))=1,TEXT(INDEX(ERP資料!$G:$G, (MATCH(92, 輔助計算!$G$2:$G$801, 0)+1)),"0.##"),IF(MOD(INDEX(輔助計算!$D:$D, (MATCH(92, 輔助計算!$G$2:$G$801, 0)+1)),IF(INDEX(ERP資料!$G:$G, (MATCH(92, 輔助計算!$G$2:$G$801, 0)+1))&lt;100, IF(INDEX(ERP資料!$G:$G, (MATCH(92, 輔助計算!$G$2:$G$801, 0)+1))&lt;=31,3,IF(INDEX(ERP資料!$G:$G, (MATCH(92, 輔助計算!$G$2:$G$801, 0)+1))&lt;=46.5,2,1)), IF(INDEX(ERP資料!$G:$G, (MATCH(92, 輔助計算!$G$2:$G$801, 0)+1))&lt;=790,3,IF(INDEX(ERP資料!$G:$G, (MATCH(92, 輔助計算!$G$2:$G$801, 0)+1))&lt;=1181,2,1))))=2,TEXT(INDEX(ERP資料!$G:$G, (MATCH(92, 輔助計算!$G$2:$G$801, 0)+1)),"0.##")&amp;"+"&amp;TEXT(INDEX(ERP資料!$G:$G, (MATCH(92, 輔助計算!$G$2:$G$801, 0)+1)),"0.##"),TEXT(INDEX(ERP資料!$G:$G, (MATCH(92, 輔助計算!$G$2:$G$801, 0)+1)),"0.##")&amp;"+"&amp;TEXT(INDEX(ERP資料!$G:$G, (MATCH(92, 輔助計算!$G$2:$G$801, 0)+1)),"0.##")&amp;"+"&amp;TEXT(INDEX(ERP資料!$G:$G, (MATCH(92, 輔助計算!$G$2:$G$801, 0)+1)),"0.##"))))&amp;"-1")), ""), "")</f>
        <v/>
      </c>
      <c r="K93" s="16" t="n"/>
      <c r="L93" s="14">
        <f>IFERROR(IF(AND(IFERROR(INDEX(ERP資料!$A:$A, (MATCH(92, 輔助計算!$G$2:$G$801, 0)+1)), "")&lt;&gt;"", IFERROR(INDEX(ERP資料!$A:$A, (MATCH(92, 輔助計算!$G$2:$G$801, 0)+1)), "")&lt;&gt;IFERROR(INDEX(ERP資料!$A:$A, MATCH(91, 輔助計算!$G$2:$G$801, 0)+1), "")), INDEX(ERP資料!$B:$B, (MATCH(92, 輔助計算!$G$2:$G$801, 0)+1)), ""), "")</f>
        <v/>
      </c>
      <c r="M93" s="17" t="n"/>
    </row>
    <row r="94">
      <c r="A94" s="10">
        <f>IFERROR(IF(AND(IFERROR(INDEX(ERP資料!$A:$A, (MATCH(93, 輔助計算!$G$2:$G$801, 0)+1)), "")&lt;&gt;"", IFERROR(INDEX(ERP資料!$A:$A, (MATCH(93, 輔助計算!$G$2:$G$801, 0)+1)), "")&lt;&gt;IFERROR(INDEX(ERP資料!$A:$A, MATCH(92, 輔助計算!$G$2:$G$801, 0)+1), "")), IFERROR(INDEX(ERP資料!$A:$A, (MATCH(93, 輔助計算!$G$2:$G$801, 0)+1)), ""), ""), "")</f>
        <v/>
      </c>
      <c r="B94" s="10">
        <f>IFERROR(IF(AND(IFERROR(INDEX(ERP資料!$A:$A, (MATCH(93, 輔助計算!$G$2:$G$801, 0)+1)), "")&lt;&gt;"", IFERROR(INDEX(ERP資料!$A:$A, (MATCH(93, 輔助計算!$G$2:$G$801, 0)+1)), "")&lt;&gt;IFERROR(INDEX(ERP資料!$A:$A, MATCH(92, 輔助計算!$G$2:$G$801, 0)+1), "")), INDEX(ERP資料!$S:$S, (MATCH(93, 輔助計算!$G$2:$G$801, 0)+1)), ""), "")</f>
        <v/>
      </c>
      <c r="C94" s="19">
        <f>IFERROR(IF(AND(IFERROR(INDEX(ERP資料!$A:$A, (MATCH(93, 輔助計算!$G$2:$G$801, 0)+1)), "")&lt;&gt;"", IFERROR(INDEX(ERP資料!$A:$A, (MATCH(93, 輔助計算!$G$2:$G$801, 0)+1)), "")&lt;&gt;IFERROR(INDEX(ERP資料!$A:$A, MATCH(92, 輔助計算!$G$2:$G$801, 0)+1), "")), IFERROR(VLOOKUP(LEFT(INDEX(ERP資料!$S:$S, (MATCH(93, 輔助計算!$G$2:$G$801, 0)+1)), 4), 紙管對照表!$A:$C, 3, FALSE), ""), ""), "")</f>
        <v/>
      </c>
      <c r="D94" s="16" t="n"/>
      <c r="E94" s="10">
        <f>IFERROR(IF(INDEX(ERP資料!$H:$H, (MATCH(93, 輔助計算!$G$2:$G$801, 0)+1))="","",INDEX(ERP資料!$H:$H, (MATCH(93, 輔助計算!$G$2:$G$801, 0)+1))), "")</f>
        <v/>
      </c>
      <c r="F94" s="10">
        <f>IFERROR(IF(INDEX(ERP資料!$E:$E, (MATCH(93, 輔助計算!$G$2:$G$801, 0)+1))="","",TRIM(INDEX(ERP資料!$E:$E, (MATCH(93, 輔助計算!$G$2:$G$801, 0)+1)))), "")</f>
        <v/>
      </c>
      <c r="G94" s="10">
        <f>IFERROR(IF(INDEX(ERP資料!$F:$F, (MATCH(93, 輔助計算!$G$2:$G$801, 0)+1))="","",INDEX(ERP資料!$F:$F, (MATCH(93, 輔助計算!$G$2:$G$801, 0)+1))), "")</f>
        <v/>
      </c>
      <c r="H94" s="10">
        <f>IFERROR(IF(INDEX(ERP資料!$G:$G, (MATCH(93, 輔助計算!$G$2:$G$801, 0)+1))="","",INDEX(ERP資料!$G:$G, (MATCH(93, 輔助計算!$G$2:$G$801, 0)+1))), "")</f>
        <v/>
      </c>
      <c r="I94" s="15">
        <f>IFERROR(INDEX(輔助計算!$D:$D, (MATCH(93, 輔助計算!$G$2:$G$801, 0)+1)), "")</f>
        <v/>
      </c>
      <c r="J94" s="15">
        <f>IFERROR(IF(AND(INDEX(輔助計算!$D:$D, (MATCH(93, 輔助計算!$G$2:$G$801, 0)+1))&lt;&gt;"", INDEX(ERP資料!$G:$G, (MATCH(93, 輔助計算!$G$2:$G$801, 0)+1))&lt;&gt;""), TRIM(IF(INT(INDEX(輔助計算!$D:$D, (MATCH(93, 輔助計算!$G$2:$G$801, 0)+1))/IF(INDEX(ERP資料!$G:$G, (MATCH(93, 輔助計算!$G$2:$G$801, 0)+1))&lt;100, IF(INDEX(ERP資料!$G:$G, (MATCH(93, 輔助計算!$G$2:$G$801, 0)+1))&lt;=31,3,IF(INDEX(ERP資料!$G:$G, (MATCH(93, 輔助計算!$G$2:$G$801, 0)+1))&lt;=46.5,2,1)), IF(INDEX(ERP資料!$G:$G, (MATCH(93, 輔助計算!$G$2:$G$801, 0)+1))&lt;=790,3,IF(INDEX(ERP資料!$G:$G, (MATCH(93, 輔助計算!$G$2:$G$801, 0)+1))&lt;=1181,2,1))))&gt;0, IF(IF(INDEX(ERP資料!$G:$G, (MATCH(93, 輔助計算!$G$2:$G$801, 0)+1))&lt;100, IF(INDEX(ERP資料!$G:$G, (MATCH(93, 輔助計算!$G$2:$G$801, 0)+1))&lt;=31,3,IF(INDEX(ERP資料!$G:$G, (MATCH(93, 輔助計算!$G$2:$G$801, 0)+1))&lt;=46.5,2,1)), IF(INDEX(ERP資料!$G:$G, (MATCH(93, 輔助計算!$G$2:$G$801, 0)+1))&lt;=790,3,IF(INDEX(ERP資料!$G:$G, (MATCH(93, 輔助計算!$G$2:$G$801, 0)+1))&lt;=1181,2,1)))=1,TEXT(INDEX(ERP資料!$G:$G, (MATCH(93, 輔助計算!$G$2:$G$801, 0)+1)),"0.##"),IF(IF(INDEX(ERP資料!$G:$G, (MATCH(93, 輔助計算!$G$2:$G$801, 0)+1))&lt;100, IF(INDEX(ERP資料!$G:$G, (MATCH(93, 輔助計算!$G$2:$G$801, 0)+1))&lt;=31,3,IF(INDEX(ERP資料!$G:$G, (MATCH(93, 輔助計算!$G$2:$G$801, 0)+1))&lt;=46.5,2,1)), IF(INDEX(ERP資料!$G:$G, (MATCH(93, 輔助計算!$G$2:$G$801, 0)+1))&lt;=790,3,IF(INDEX(ERP資料!$G:$G, (MATCH(93, 輔助計算!$G$2:$G$801, 0)+1))&lt;=1181,2,1)))=2,TEXT(INDEX(ERP資料!$G:$G, (MATCH(93, 輔助計算!$G$2:$G$801, 0)+1)),"0.##")&amp;"+"&amp;TEXT(INDEX(ERP資料!$G:$G, (MATCH(93, 輔助計算!$G$2:$G$801, 0)+1)),"0.##"),TEXT(INDEX(ERP資料!$G:$G, (MATCH(93, 輔助計算!$G$2:$G$801, 0)+1)),"0.##")&amp;"+"&amp;TEXT(INDEX(ERP資料!$G:$G, (MATCH(93, 輔助計算!$G$2:$G$801, 0)+1)),"0.##")&amp;"+"&amp;TEXT(INDEX(ERP資料!$G:$G, (MATCH(93, 輔助計算!$G$2:$G$801, 0)+1)),"0.##")))&amp;"-"&amp;INT(INDEX(輔助計算!$D:$D, (MATCH(93, 輔助計算!$G$2:$G$801, 0)+1))/IF(INDEX(ERP資料!$G:$G, (MATCH(93, 輔助計算!$G$2:$G$801, 0)+1))&lt;100, IF(INDEX(ERP資料!$G:$G, (MATCH(93, 輔助計算!$G$2:$G$801, 0)+1))&lt;=31,3,IF(INDEX(ERP資料!$G:$G, (MATCH(93, 輔助計算!$G$2:$G$801, 0)+1))&lt;=46.5,2,1)), IF(INDEX(ERP資料!$G:$G, (MATCH(93, 輔助計算!$G$2:$G$801, 0)+1))&lt;=790,3,IF(INDEX(ERP資料!$G:$G, (MATCH(93, 輔助計算!$G$2:$G$801, 0)+1))&lt;=1181,2,1)))), "")&amp;IF(AND(IF(INT(INDEX(輔助計算!$D:$D, (MATCH(93, 輔助計算!$G$2:$G$801, 0)+1))/IF(INDEX(ERP資料!$G:$G, (MATCH(93, 輔助計算!$G$2:$G$801, 0)+1))&lt;100, IF(INDEX(ERP資料!$G:$G, (MATCH(93, 輔助計算!$G$2:$G$801, 0)+1))&lt;=31,3,IF(INDEX(ERP資料!$G:$G, (MATCH(93, 輔助計算!$G$2:$G$801, 0)+1))&lt;=46.5,2,1)), IF(INDEX(ERP資料!$G:$G, (MATCH(93, 輔助計算!$G$2:$G$801, 0)+1))&lt;=790,3,IF(INDEX(ERP資料!$G:$G, (MATCH(93, 輔助計算!$G$2:$G$801, 0)+1))&lt;=1181,2,1))))&gt;0, IF(IF(INDEX(ERP資料!$G:$G, (MATCH(93, 輔助計算!$G$2:$G$801, 0)+1))&lt;100, IF(INDEX(ERP資料!$G:$G, (MATCH(93, 輔助計算!$G$2:$G$801, 0)+1))&lt;=31,3,IF(INDEX(ERP資料!$G:$G, (MATCH(93, 輔助計算!$G$2:$G$801, 0)+1))&lt;=46.5,2,1)), IF(INDEX(ERP資料!$G:$G, (MATCH(93, 輔助計算!$G$2:$G$801, 0)+1))&lt;=790,3,IF(INDEX(ERP資料!$G:$G, (MATCH(93, 輔助計算!$G$2:$G$801, 0)+1))&lt;=1181,2,1)))=1,TEXT(INDEX(ERP資料!$G:$G, (MATCH(93, 輔助計算!$G$2:$G$801, 0)+1)),"0.##"),IF(IF(INDEX(ERP資料!$G:$G, (MATCH(93, 輔助計算!$G$2:$G$801, 0)+1))&lt;100, IF(INDEX(ERP資料!$G:$G, (MATCH(93, 輔助計算!$G$2:$G$801, 0)+1))&lt;=31,3,IF(INDEX(ERP資料!$G:$G, (MATCH(93, 輔助計算!$G$2:$G$801, 0)+1))&lt;=46.5,2,1)), IF(INDEX(ERP資料!$G:$G, (MATCH(93, 輔助計算!$G$2:$G$801, 0)+1))&lt;=790,3,IF(INDEX(ERP資料!$G:$G, (MATCH(93, 輔助計算!$G$2:$G$801, 0)+1))&lt;=1181,2,1)))=2,TEXT(INDEX(ERP資料!$G:$G, (MATCH(93, 輔助計算!$G$2:$G$801, 0)+1)),"0.##")&amp;"+"&amp;TEXT(INDEX(ERP資料!$G:$G, (MATCH(93, 輔助計算!$G$2:$G$801, 0)+1)),"0.##"),TEXT(INDEX(ERP資料!$G:$G, (MATCH(93, 輔助計算!$G$2:$G$801, 0)+1)),"0.##")&amp;"+"&amp;TEXT(INDEX(ERP資料!$G:$G, (MATCH(93, 輔助計算!$G$2:$G$801, 0)+1)),"0.##")&amp;"+"&amp;TEXT(INDEX(ERP資料!$G:$G, (MATCH(93, 輔助計算!$G$2:$G$801, 0)+1)),"0.##")))&amp;"-"&amp;INT(INDEX(輔助計算!$D:$D, (MATCH(93, 輔助計算!$G$2:$G$801, 0)+1))/IF(INDEX(ERP資料!$G:$G, (MATCH(93, 輔助計算!$G$2:$G$801, 0)+1))&lt;100, IF(INDEX(ERP資料!$G:$G, (MATCH(93, 輔助計算!$G$2:$G$801, 0)+1))&lt;=31,3,IF(INDEX(ERP資料!$G:$G, (MATCH(93, 輔助計算!$G$2:$G$801, 0)+1))&lt;=46.5,2,1)), IF(INDEX(ERP資料!$G:$G, (MATCH(93, 輔助計算!$G$2:$G$801, 0)+1))&lt;=790,3,IF(INDEX(ERP資料!$G:$G, (MATCH(93, 輔助計算!$G$2:$G$801, 0)+1))&lt;=1181,2,1)))), "")&lt;&gt;"",IF(MOD(INDEX(輔助計算!$D:$D, (MATCH(93, 輔助計算!$G$2:$G$801, 0)+1)),IF(INDEX(ERP資料!$G:$G, (MATCH(93, 輔助計算!$G$2:$G$801, 0)+1))&lt;100, IF(INDEX(ERP資料!$G:$G, (MATCH(93, 輔助計算!$G$2:$G$801, 0)+1))&lt;=31,3,IF(INDEX(ERP資料!$G:$G, (MATCH(93, 輔助計算!$G$2:$G$801, 0)+1))&lt;=46.5,2,1)), IF(INDEX(ERP資料!$G:$G, (MATCH(93, 輔助計算!$G$2:$G$801, 0)+1))&lt;=790,3,IF(INDEX(ERP資料!$G:$G, (MATCH(93, 輔助計算!$G$2:$G$801, 0)+1))&lt;=1181,2,1))))=0,"",IF(MOD(INDEX(輔助計算!$D:$D, (MATCH(93, 輔助計算!$G$2:$G$801, 0)+1)),IF(INDEX(ERP資料!$G:$G, (MATCH(93, 輔助計算!$G$2:$G$801, 0)+1))&lt;100, IF(INDEX(ERP資料!$G:$G, (MATCH(93, 輔助計算!$G$2:$G$801, 0)+1))&lt;=31,3,IF(INDEX(ERP資料!$G:$G, (MATCH(93, 輔助計算!$G$2:$G$801, 0)+1))&lt;=46.5,2,1)), IF(INDEX(ERP資料!$G:$G, (MATCH(93, 輔助計算!$G$2:$G$801, 0)+1))&lt;=790,3,IF(INDEX(ERP資料!$G:$G, (MATCH(93, 輔助計算!$G$2:$G$801, 0)+1))&lt;=1181,2,1))))=0,"",IF(MOD(INDEX(輔助計算!$D:$D, (MATCH(93, 輔助計算!$G$2:$G$801, 0)+1)),IF(INDEX(ERP資料!$G:$G, (MATCH(93, 輔助計算!$G$2:$G$801, 0)+1))&lt;100, IF(INDEX(ERP資料!$G:$G, (MATCH(93, 輔助計算!$G$2:$G$801, 0)+1))&lt;=31,3,IF(INDEX(ERP資料!$G:$G, (MATCH(93, 輔助計算!$G$2:$G$801, 0)+1))&lt;=46.5,2,1)), IF(INDEX(ERP資料!$G:$G, (MATCH(93, 輔助計算!$G$2:$G$801, 0)+1))&lt;=790,3,IF(INDEX(ERP資料!$G:$G, (MATCH(93, 輔助計算!$G$2:$G$801, 0)+1))&lt;=1181,2,1))))=1,TEXT(INDEX(ERP資料!$G:$G, (MATCH(93, 輔助計算!$G$2:$G$801, 0)+1)),"0.##"),IF(MOD(INDEX(輔助計算!$D:$D, (MATCH(93, 輔助計算!$G$2:$G$801, 0)+1)),IF(INDEX(ERP資料!$G:$G, (MATCH(93, 輔助計算!$G$2:$G$801, 0)+1))&lt;100, IF(INDEX(ERP資料!$G:$G, (MATCH(93, 輔助計算!$G$2:$G$801, 0)+1))&lt;=31,3,IF(INDEX(ERP資料!$G:$G, (MATCH(93, 輔助計算!$G$2:$G$801, 0)+1))&lt;=46.5,2,1)), IF(INDEX(ERP資料!$G:$G, (MATCH(93, 輔助計算!$G$2:$G$801, 0)+1))&lt;=790,3,IF(INDEX(ERP資料!$G:$G, (MATCH(93, 輔助計算!$G$2:$G$801, 0)+1))&lt;=1181,2,1))))=2,TEXT(INDEX(ERP資料!$G:$G, (MATCH(93, 輔助計算!$G$2:$G$801, 0)+1)),"0.##")&amp;"+"&amp;TEXT(INDEX(ERP資料!$G:$G, (MATCH(93, 輔助計算!$G$2:$G$801, 0)+1)),"0.##"),TEXT(INDEX(ERP資料!$G:$G, (MATCH(93, 輔助計算!$G$2:$G$801, 0)+1)),"0.##")&amp;"+"&amp;TEXT(INDEX(ERP資料!$G:$G, (MATCH(93, 輔助計算!$G$2:$G$801, 0)+1)),"0.##")&amp;"+"&amp;TEXT(INDEX(ERP資料!$G:$G, (MATCH(93, 輔助計算!$G$2:$G$801, 0)+1)),"0.##"))))&amp;"-1")&lt;&gt;""),"  ","")&amp;IF(MOD(INDEX(輔助計算!$D:$D, (MATCH(93, 輔助計算!$G$2:$G$801, 0)+1)),IF(INDEX(ERP資料!$G:$G, (MATCH(93, 輔助計算!$G$2:$G$801, 0)+1))&lt;100, IF(INDEX(ERP資料!$G:$G, (MATCH(93, 輔助計算!$G$2:$G$801, 0)+1))&lt;=31,3,IF(INDEX(ERP資料!$G:$G, (MATCH(93, 輔助計算!$G$2:$G$801, 0)+1))&lt;=46.5,2,1)), IF(INDEX(ERP資料!$G:$G, (MATCH(93, 輔助計算!$G$2:$G$801, 0)+1))&lt;=790,3,IF(INDEX(ERP資料!$G:$G, (MATCH(93, 輔助計算!$G$2:$G$801, 0)+1))&lt;=1181,2,1))))=0,"",IF(MOD(INDEX(輔助計算!$D:$D, (MATCH(93, 輔助計算!$G$2:$G$801, 0)+1)),IF(INDEX(ERP資料!$G:$G, (MATCH(93, 輔助計算!$G$2:$G$801, 0)+1))&lt;100, IF(INDEX(ERP資料!$G:$G, (MATCH(93, 輔助計算!$G$2:$G$801, 0)+1))&lt;=31,3,IF(INDEX(ERP資料!$G:$G, (MATCH(93, 輔助計算!$G$2:$G$801, 0)+1))&lt;=46.5,2,1)), IF(INDEX(ERP資料!$G:$G, (MATCH(93, 輔助計算!$G$2:$G$801, 0)+1))&lt;=790,3,IF(INDEX(ERP資料!$G:$G, (MATCH(93, 輔助計算!$G$2:$G$801, 0)+1))&lt;=1181,2,1))))=0,"",IF(MOD(INDEX(輔助計算!$D:$D, (MATCH(93, 輔助計算!$G$2:$G$801, 0)+1)),IF(INDEX(ERP資料!$G:$G, (MATCH(93, 輔助計算!$G$2:$G$801, 0)+1))&lt;100, IF(INDEX(ERP資料!$G:$G, (MATCH(93, 輔助計算!$G$2:$G$801, 0)+1))&lt;=31,3,IF(INDEX(ERP資料!$G:$G, (MATCH(93, 輔助計算!$G$2:$G$801, 0)+1))&lt;=46.5,2,1)), IF(INDEX(ERP資料!$G:$G, (MATCH(93, 輔助計算!$G$2:$G$801, 0)+1))&lt;=790,3,IF(INDEX(ERP資料!$G:$G, (MATCH(93, 輔助計算!$G$2:$G$801, 0)+1))&lt;=1181,2,1))))=1,TEXT(INDEX(ERP資料!$G:$G, (MATCH(93, 輔助計算!$G$2:$G$801, 0)+1)),"0.##"),IF(MOD(INDEX(輔助計算!$D:$D, (MATCH(93, 輔助計算!$G$2:$G$801, 0)+1)),IF(INDEX(ERP資料!$G:$G, (MATCH(93, 輔助計算!$G$2:$G$801, 0)+1))&lt;100, IF(INDEX(ERP資料!$G:$G, (MATCH(93, 輔助計算!$G$2:$G$801, 0)+1))&lt;=31,3,IF(INDEX(ERP資料!$G:$G, (MATCH(93, 輔助計算!$G$2:$G$801, 0)+1))&lt;=46.5,2,1)), IF(INDEX(ERP資料!$G:$G, (MATCH(93, 輔助計算!$G$2:$G$801, 0)+1))&lt;=790,3,IF(INDEX(ERP資料!$G:$G, (MATCH(93, 輔助計算!$G$2:$G$801, 0)+1))&lt;=1181,2,1))))=2,TEXT(INDEX(ERP資料!$G:$G, (MATCH(93, 輔助計算!$G$2:$G$801, 0)+1)),"0.##")&amp;"+"&amp;TEXT(INDEX(ERP資料!$G:$G, (MATCH(93, 輔助計算!$G$2:$G$801, 0)+1)),"0.##"),TEXT(INDEX(ERP資料!$G:$G, (MATCH(93, 輔助計算!$G$2:$G$801, 0)+1)),"0.##")&amp;"+"&amp;TEXT(INDEX(ERP資料!$G:$G, (MATCH(93, 輔助計算!$G$2:$G$801, 0)+1)),"0.##")&amp;"+"&amp;TEXT(INDEX(ERP資料!$G:$G, (MATCH(93, 輔助計算!$G$2:$G$801, 0)+1)),"0.##"))))&amp;"-1")), ""), "")</f>
        <v/>
      </c>
      <c r="K94" s="16" t="n"/>
      <c r="L94" s="14">
        <f>IFERROR(IF(AND(IFERROR(INDEX(ERP資料!$A:$A, (MATCH(93, 輔助計算!$G$2:$G$801, 0)+1)), "")&lt;&gt;"", IFERROR(INDEX(ERP資料!$A:$A, (MATCH(93, 輔助計算!$G$2:$G$801, 0)+1)), "")&lt;&gt;IFERROR(INDEX(ERP資料!$A:$A, MATCH(92, 輔助計算!$G$2:$G$801, 0)+1), "")), INDEX(ERP資料!$B:$B, (MATCH(93, 輔助計算!$G$2:$G$801, 0)+1)), ""), "")</f>
        <v/>
      </c>
      <c r="M94" s="17" t="n"/>
    </row>
    <row r="95">
      <c r="A95" s="10">
        <f>IFERROR(IF(AND(IFERROR(INDEX(ERP資料!$A:$A, (MATCH(94, 輔助計算!$G$2:$G$801, 0)+1)), "")&lt;&gt;"", IFERROR(INDEX(ERP資料!$A:$A, (MATCH(94, 輔助計算!$G$2:$G$801, 0)+1)), "")&lt;&gt;IFERROR(INDEX(ERP資料!$A:$A, MATCH(93, 輔助計算!$G$2:$G$801, 0)+1), "")), IFERROR(INDEX(ERP資料!$A:$A, (MATCH(94, 輔助計算!$G$2:$G$801, 0)+1)), ""), ""), "")</f>
        <v/>
      </c>
      <c r="B95" s="10">
        <f>IFERROR(IF(AND(IFERROR(INDEX(ERP資料!$A:$A, (MATCH(94, 輔助計算!$G$2:$G$801, 0)+1)), "")&lt;&gt;"", IFERROR(INDEX(ERP資料!$A:$A, (MATCH(94, 輔助計算!$G$2:$G$801, 0)+1)), "")&lt;&gt;IFERROR(INDEX(ERP資料!$A:$A, MATCH(93, 輔助計算!$G$2:$G$801, 0)+1), "")), INDEX(ERP資料!$S:$S, (MATCH(94, 輔助計算!$G$2:$G$801, 0)+1)), ""), "")</f>
        <v/>
      </c>
      <c r="C95" s="19">
        <f>IFERROR(IF(AND(IFERROR(INDEX(ERP資料!$A:$A, (MATCH(94, 輔助計算!$G$2:$G$801, 0)+1)), "")&lt;&gt;"", IFERROR(INDEX(ERP資料!$A:$A, (MATCH(94, 輔助計算!$G$2:$G$801, 0)+1)), "")&lt;&gt;IFERROR(INDEX(ERP資料!$A:$A, MATCH(93, 輔助計算!$G$2:$G$801, 0)+1), "")), IFERROR(VLOOKUP(LEFT(INDEX(ERP資料!$S:$S, (MATCH(94, 輔助計算!$G$2:$G$801, 0)+1)), 4), 紙管對照表!$A:$C, 3, FALSE), ""), ""), "")</f>
        <v/>
      </c>
      <c r="D95" s="16" t="n"/>
      <c r="E95" s="10">
        <f>IFERROR(IF(INDEX(ERP資料!$H:$H, (MATCH(94, 輔助計算!$G$2:$G$801, 0)+1))="","",INDEX(ERP資料!$H:$H, (MATCH(94, 輔助計算!$G$2:$G$801, 0)+1))), "")</f>
        <v/>
      </c>
      <c r="F95" s="10">
        <f>IFERROR(IF(INDEX(ERP資料!$E:$E, (MATCH(94, 輔助計算!$G$2:$G$801, 0)+1))="","",TRIM(INDEX(ERP資料!$E:$E, (MATCH(94, 輔助計算!$G$2:$G$801, 0)+1)))), "")</f>
        <v/>
      </c>
      <c r="G95" s="10">
        <f>IFERROR(IF(INDEX(ERP資料!$F:$F, (MATCH(94, 輔助計算!$G$2:$G$801, 0)+1))="","",INDEX(ERP資料!$F:$F, (MATCH(94, 輔助計算!$G$2:$G$801, 0)+1))), "")</f>
        <v/>
      </c>
      <c r="H95" s="10">
        <f>IFERROR(IF(INDEX(ERP資料!$G:$G, (MATCH(94, 輔助計算!$G$2:$G$801, 0)+1))="","",INDEX(ERP資料!$G:$G, (MATCH(94, 輔助計算!$G$2:$G$801, 0)+1))), "")</f>
        <v/>
      </c>
      <c r="I95" s="15">
        <f>IFERROR(INDEX(輔助計算!$D:$D, (MATCH(94, 輔助計算!$G$2:$G$801, 0)+1)), "")</f>
        <v/>
      </c>
      <c r="J95" s="15">
        <f>IFERROR(IF(AND(INDEX(輔助計算!$D:$D, (MATCH(94, 輔助計算!$G$2:$G$801, 0)+1))&lt;&gt;"", INDEX(ERP資料!$G:$G, (MATCH(94, 輔助計算!$G$2:$G$801, 0)+1))&lt;&gt;""), TRIM(IF(INT(INDEX(輔助計算!$D:$D, (MATCH(94, 輔助計算!$G$2:$G$801, 0)+1))/IF(INDEX(ERP資料!$G:$G, (MATCH(94, 輔助計算!$G$2:$G$801, 0)+1))&lt;100, IF(INDEX(ERP資料!$G:$G, (MATCH(94, 輔助計算!$G$2:$G$801, 0)+1))&lt;=31,3,IF(INDEX(ERP資料!$G:$G, (MATCH(94, 輔助計算!$G$2:$G$801, 0)+1))&lt;=46.5,2,1)), IF(INDEX(ERP資料!$G:$G, (MATCH(94, 輔助計算!$G$2:$G$801, 0)+1))&lt;=790,3,IF(INDEX(ERP資料!$G:$G, (MATCH(94, 輔助計算!$G$2:$G$801, 0)+1))&lt;=1181,2,1))))&gt;0, IF(IF(INDEX(ERP資料!$G:$G, (MATCH(94, 輔助計算!$G$2:$G$801, 0)+1))&lt;100, IF(INDEX(ERP資料!$G:$G, (MATCH(94, 輔助計算!$G$2:$G$801, 0)+1))&lt;=31,3,IF(INDEX(ERP資料!$G:$G, (MATCH(94, 輔助計算!$G$2:$G$801, 0)+1))&lt;=46.5,2,1)), IF(INDEX(ERP資料!$G:$G, (MATCH(94, 輔助計算!$G$2:$G$801, 0)+1))&lt;=790,3,IF(INDEX(ERP資料!$G:$G, (MATCH(94, 輔助計算!$G$2:$G$801, 0)+1))&lt;=1181,2,1)))=1,TEXT(INDEX(ERP資料!$G:$G, (MATCH(94, 輔助計算!$G$2:$G$801, 0)+1)),"0.##"),IF(IF(INDEX(ERP資料!$G:$G, (MATCH(94, 輔助計算!$G$2:$G$801, 0)+1))&lt;100, IF(INDEX(ERP資料!$G:$G, (MATCH(94, 輔助計算!$G$2:$G$801, 0)+1))&lt;=31,3,IF(INDEX(ERP資料!$G:$G, (MATCH(94, 輔助計算!$G$2:$G$801, 0)+1))&lt;=46.5,2,1)), IF(INDEX(ERP資料!$G:$G, (MATCH(94, 輔助計算!$G$2:$G$801, 0)+1))&lt;=790,3,IF(INDEX(ERP資料!$G:$G, (MATCH(94, 輔助計算!$G$2:$G$801, 0)+1))&lt;=1181,2,1)))=2,TEXT(INDEX(ERP資料!$G:$G, (MATCH(94, 輔助計算!$G$2:$G$801, 0)+1)),"0.##")&amp;"+"&amp;TEXT(INDEX(ERP資料!$G:$G, (MATCH(94, 輔助計算!$G$2:$G$801, 0)+1)),"0.##"),TEXT(INDEX(ERP資料!$G:$G, (MATCH(94, 輔助計算!$G$2:$G$801, 0)+1)),"0.##")&amp;"+"&amp;TEXT(INDEX(ERP資料!$G:$G, (MATCH(94, 輔助計算!$G$2:$G$801, 0)+1)),"0.##")&amp;"+"&amp;TEXT(INDEX(ERP資料!$G:$G, (MATCH(94, 輔助計算!$G$2:$G$801, 0)+1)),"0.##")))&amp;"-"&amp;INT(INDEX(輔助計算!$D:$D, (MATCH(94, 輔助計算!$G$2:$G$801, 0)+1))/IF(INDEX(ERP資料!$G:$G, (MATCH(94, 輔助計算!$G$2:$G$801, 0)+1))&lt;100, IF(INDEX(ERP資料!$G:$G, (MATCH(94, 輔助計算!$G$2:$G$801, 0)+1))&lt;=31,3,IF(INDEX(ERP資料!$G:$G, (MATCH(94, 輔助計算!$G$2:$G$801, 0)+1))&lt;=46.5,2,1)), IF(INDEX(ERP資料!$G:$G, (MATCH(94, 輔助計算!$G$2:$G$801, 0)+1))&lt;=790,3,IF(INDEX(ERP資料!$G:$G, (MATCH(94, 輔助計算!$G$2:$G$801, 0)+1))&lt;=1181,2,1)))), "")&amp;IF(AND(IF(INT(INDEX(輔助計算!$D:$D, (MATCH(94, 輔助計算!$G$2:$G$801, 0)+1))/IF(INDEX(ERP資料!$G:$G, (MATCH(94, 輔助計算!$G$2:$G$801, 0)+1))&lt;100, IF(INDEX(ERP資料!$G:$G, (MATCH(94, 輔助計算!$G$2:$G$801, 0)+1))&lt;=31,3,IF(INDEX(ERP資料!$G:$G, (MATCH(94, 輔助計算!$G$2:$G$801, 0)+1))&lt;=46.5,2,1)), IF(INDEX(ERP資料!$G:$G, (MATCH(94, 輔助計算!$G$2:$G$801, 0)+1))&lt;=790,3,IF(INDEX(ERP資料!$G:$G, (MATCH(94, 輔助計算!$G$2:$G$801, 0)+1))&lt;=1181,2,1))))&gt;0, IF(IF(INDEX(ERP資料!$G:$G, (MATCH(94, 輔助計算!$G$2:$G$801, 0)+1))&lt;100, IF(INDEX(ERP資料!$G:$G, (MATCH(94, 輔助計算!$G$2:$G$801, 0)+1))&lt;=31,3,IF(INDEX(ERP資料!$G:$G, (MATCH(94, 輔助計算!$G$2:$G$801, 0)+1))&lt;=46.5,2,1)), IF(INDEX(ERP資料!$G:$G, (MATCH(94, 輔助計算!$G$2:$G$801, 0)+1))&lt;=790,3,IF(INDEX(ERP資料!$G:$G, (MATCH(94, 輔助計算!$G$2:$G$801, 0)+1))&lt;=1181,2,1)))=1,TEXT(INDEX(ERP資料!$G:$G, (MATCH(94, 輔助計算!$G$2:$G$801, 0)+1)),"0.##"),IF(IF(INDEX(ERP資料!$G:$G, (MATCH(94, 輔助計算!$G$2:$G$801, 0)+1))&lt;100, IF(INDEX(ERP資料!$G:$G, (MATCH(94, 輔助計算!$G$2:$G$801, 0)+1))&lt;=31,3,IF(INDEX(ERP資料!$G:$G, (MATCH(94, 輔助計算!$G$2:$G$801, 0)+1))&lt;=46.5,2,1)), IF(INDEX(ERP資料!$G:$G, (MATCH(94, 輔助計算!$G$2:$G$801, 0)+1))&lt;=790,3,IF(INDEX(ERP資料!$G:$G, (MATCH(94, 輔助計算!$G$2:$G$801, 0)+1))&lt;=1181,2,1)))=2,TEXT(INDEX(ERP資料!$G:$G, (MATCH(94, 輔助計算!$G$2:$G$801, 0)+1)),"0.##")&amp;"+"&amp;TEXT(INDEX(ERP資料!$G:$G, (MATCH(94, 輔助計算!$G$2:$G$801, 0)+1)),"0.##"),TEXT(INDEX(ERP資料!$G:$G, (MATCH(94, 輔助計算!$G$2:$G$801, 0)+1)),"0.##")&amp;"+"&amp;TEXT(INDEX(ERP資料!$G:$G, (MATCH(94, 輔助計算!$G$2:$G$801, 0)+1)),"0.##")&amp;"+"&amp;TEXT(INDEX(ERP資料!$G:$G, (MATCH(94, 輔助計算!$G$2:$G$801, 0)+1)),"0.##")))&amp;"-"&amp;INT(INDEX(輔助計算!$D:$D, (MATCH(94, 輔助計算!$G$2:$G$801, 0)+1))/IF(INDEX(ERP資料!$G:$G, (MATCH(94, 輔助計算!$G$2:$G$801, 0)+1))&lt;100, IF(INDEX(ERP資料!$G:$G, (MATCH(94, 輔助計算!$G$2:$G$801, 0)+1))&lt;=31,3,IF(INDEX(ERP資料!$G:$G, (MATCH(94, 輔助計算!$G$2:$G$801, 0)+1))&lt;=46.5,2,1)), IF(INDEX(ERP資料!$G:$G, (MATCH(94, 輔助計算!$G$2:$G$801, 0)+1))&lt;=790,3,IF(INDEX(ERP資料!$G:$G, (MATCH(94, 輔助計算!$G$2:$G$801, 0)+1))&lt;=1181,2,1)))), "")&lt;&gt;"",IF(MOD(INDEX(輔助計算!$D:$D, (MATCH(94, 輔助計算!$G$2:$G$801, 0)+1)),IF(INDEX(ERP資料!$G:$G, (MATCH(94, 輔助計算!$G$2:$G$801, 0)+1))&lt;100, IF(INDEX(ERP資料!$G:$G, (MATCH(94, 輔助計算!$G$2:$G$801, 0)+1))&lt;=31,3,IF(INDEX(ERP資料!$G:$G, (MATCH(94, 輔助計算!$G$2:$G$801, 0)+1))&lt;=46.5,2,1)), IF(INDEX(ERP資料!$G:$G, (MATCH(94, 輔助計算!$G$2:$G$801, 0)+1))&lt;=790,3,IF(INDEX(ERP資料!$G:$G, (MATCH(94, 輔助計算!$G$2:$G$801, 0)+1))&lt;=1181,2,1))))=0,"",IF(MOD(INDEX(輔助計算!$D:$D, (MATCH(94, 輔助計算!$G$2:$G$801, 0)+1)),IF(INDEX(ERP資料!$G:$G, (MATCH(94, 輔助計算!$G$2:$G$801, 0)+1))&lt;100, IF(INDEX(ERP資料!$G:$G, (MATCH(94, 輔助計算!$G$2:$G$801, 0)+1))&lt;=31,3,IF(INDEX(ERP資料!$G:$G, (MATCH(94, 輔助計算!$G$2:$G$801, 0)+1))&lt;=46.5,2,1)), IF(INDEX(ERP資料!$G:$G, (MATCH(94, 輔助計算!$G$2:$G$801, 0)+1))&lt;=790,3,IF(INDEX(ERP資料!$G:$G, (MATCH(94, 輔助計算!$G$2:$G$801, 0)+1))&lt;=1181,2,1))))=0,"",IF(MOD(INDEX(輔助計算!$D:$D, (MATCH(94, 輔助計算!$G$2:$G$801, 0)+1)),IF(INDEX(ERP資料!$G:$G, (MATCH(94, 輔助計算!$G$2:$G$801, 0)+1))&lt;100, IF(INDEX(ERP資料!$G:$G, (MATCH(94, 輔助計算!$G$2:$G$801, 0)+1))&lt;=31,3,IF(INDEX(ERP資料!$G:$G, (MATCH(94, 輔助計算!$G$2:$G$801, 0)+1))&lt;=46.5,2,1)), IF(INDEX(ERP資料!$G:$G, (MATCH(94, 輔助計算!$G$2:$G$801, 0)+1))&lt;=790,3,IF(INDEX(ERP資料!$G:$G, (MATCH(94, 輔助計算!$G$2:$G$801, 0)+1))&lt;=1181,2,1))))=1,TEXT(INDEX(ERP資料!$G:$G, (MATCH(94, 輔助計算!$G$2:$G$801, 0)+1)),"0.##"),IF(MOD(INDEX(輔助計算!$D:$D, (MATCH(94, 輔助計算!$G$2:$G$801, 0)+1)),IF(INDEX(ERP資料!$G:$G, (MATCH(94, 輔助計算!$G$2:$G$801, 0)+1))&lt;100, IF(INDEX(ERP資料!$G:$G, (MATCH(94, 輔助計算!$G$2:$G$801, 0)+1))&lt;=31,3,IF(INDEX(ERP資料!$G:$G, (MATCH(94, 輔助計算!$G$2:$G$801, 0)+1))&lt;=46.5,2,1)), IF(INDEX(ERP資料!$G:$G, (MATCH(94, 輔助計算!$G$2:$G$801, 0)+1))&lt;=790,3,IF(INDEX(ERP資料!$G:$G, (MATCH(94, 輔助計算!$G$2:$G$801, 0)+1))&lt;=1181,2,1))))=2,TEXT(INDEX(ERP資料!$G:$G, (MATCH(94, 輔助計算!$G$2:$G$801, 0)+1)),"0.##")&amp;"+"&amp;TEXT(INDEX(ERP資料!$G:$G, (MATCH(94, 輔助計算!$G$2:$G$801, 0)+1)),"0.##"),TEXT(INDEX(ERP資料!$G:$G, (MATCH(94, 輔助計算!$G$2:$G$801, 0)+1)),"0.##")&amp;"+"&amp;TEXT(INDEX(ERP資料!$G:$G, (MATCH(94, 輔助計算!$G$2:$G$801, 0)+1)),"0.##")&amp;"+"&amp;TEXT(INDEX(ERP資料!$G:$G, (MATCH(94, 輔助計算!$G$2:$G$801, 0)+1)),"0.##"))))&amp;"-1")&lt;&gt;""),"  ","")&amp;IF(MOD(INDEX(輔助計算!$D:$D, (MATCH(94, 輔助計算!$G$2:$G$801, 0)+1)),IF(INDEX(ERP資料!$G:$G, (MATCH(94, 輔助計算!$G$2:$G$801, 0)+1))&lt;100, IF(INDEX(ERP資料!$G:$G, (MATCH(94, 輔助計算!$G$2:$G$801, 0)+1))&lt;=31,3,IF(INDEX(ERP資料!$G:$G, (MATCH(94, 輔助計算!$G$2:$G$801, 0)+1))&lt;=46.5,2,1)), IF(INDEX(ERP資料!$G:$G, (MATCH(94, 輔助計算!$G$2:$G$801, 0)+1))&lt;=790,3,IF(INDEX(ERP資料!$G:$G, (MATCH(94, 輔助計算!$G$2:$G$801, 0)+1))&lt;=1181,2,1))))=0,"",IF(MOD(INDEX(輔助計算!$D:$D, (MATCH(94, 輔助計算!$G$2:$G$801, 0)+1)),IF(INDEX(ERP資料!$G:$G, (MATCH(94, 輔助計算!$G$2:$G$801, 0)+1))&lt;100, IF(INDEX(ERP資料!$G:$G, (MATCH(94, 輔助計算!$G$2:$G$801, 0)+1))&lt;=31,3,IF(INDEX(ERP資料!$G:$G, (MATCH(94, 輔助計算!$G$2:$G$801, 0)+1))&lt;=46.5,2,1)), IF(INDEX(ERP資料!$G:$G, (MATCH(94, 輔助計算!$G$2:$G$801, 0)+1))&lt;=790,3,IF(INDEX(ERP資料!$G:$G, (MATCH(94, 輔助計算!$G$2:$G$801, 0)+1))&lt;=1181,2,1))))=0,"",IF(MOD(INDEX(輔助計算!$D:$D, (MATCH(94, 輔助計算!$G$2:$G$801, 0)+1)),IF(INDEX(ERP資料!$G:$G, (MATCH(94, 輔助計算!$G$2:$G$801, 0)+1))&lt;100, IF(INDEX(ERP資料!$G:$G, (MATCH(94, 輔助計算!$G$2:$G$801, 0)+1))&lt;=31,3,IF(INDEX(ERP資料!$G:$G, (MATCH(94, 輔助計算!$G$2:$G$801, 0)+1))&lt;=46.5,2,1)), IF(INDEX(ERP資料!$G:$G, (MATCH(94, 輔助計算!$G$2:$G$801, 0)+1))&lt;=790,3,IF(INDEX(ERP資料!$G:$G, (MATCH(94, 輔助計算!$G$2:$G$801, 0)+1))&lt;=1181,2,1))))=1,TEXT(INDEX(ERP資料!$G:$G, (MATCH(94, 輔助計算!$G$2:$G$801, 0)+1)),"0.##"),IF(MOD(INDEX(輔助計算!$D:$D, (MATCH(94, 輔助計算!$G$2:$G$801, 0)+1)),IF(INDEX(ERP資料!$G:$G, (MATCH(94, 輔助計算!$G$2:$G$801, 0)+1))&lt;100, IF(INDEX(ERP資料!$G:$G, (MATCH(94, 輔助計算!$G$2:$G$801, 0)+1))&lt;=31,3,IF(INDEX(ERP資料!$G:$G, (MATCH(94, 輔助計算!$G$2:$G$801, 0)+1))&lt;=46.5,2,1)), IF(INDEX(ERP資料!$G:$G, (MATCH(94, 輔助計算!$G$2:$G$801, 0)+1))&lt;=790,3,IF(INDEX(ERP資料!$G:$G, (MATCH(94, 輔助計算!$G$2:$G$801, 0)+1))&lt;=1181,2,1))))=2,TEXT(INDEX(ERP資料!$G:$G, (MATCH(94, 輔助計算!$G$2:$G$801, 0)+1)),"0.##")&amp;"+"&amp;TEXT(INDEX(ERP資料!$G:$G, (MATCH(94, 輔助計算!$G$2:$G$801, 0)+1)),"0.##"),TEXT(INDEX(ERP資料!$G:$G, (MATCH(94, 輔助計算!$G$2:$G$801, 0)+1)),"0.##")&amp;"+"&amp;TEXT(INDEX(ERP資料!$G:$G, (MATCH(94, 輔助計算!$G$2:$G$801, 0)+1)),"0.##")&amp;"+"&amp;TEXT(INDEX(ERP資料!$G:$G, (MATCH(94, 輔助計算!$G$2:$G$801, 0)+1)),"0.##"))))&amp;"-1")), ""), "")</f>
        <v/>
      </c>
      <c r="K95" s="16" t="n"/>
      <c r="L95" s="14">
        <f>IFERROR(IF(AND(IFERROR(INDEX(ERP資料!$A:$A, (MATCH(94, 輔助計算!$G$2:$G$801, 0)+1)), "")&lt;&gt;"", IFERROR(INDEX(ERP資料!$A:$A, (MATCH(94, 輔助計算!$G$2:$G$801, 0)+1)), "")&lt;&gt;IFERROR(INDEX(ERP資料!$A:$A, MATCH(93, 輔助計算!$G$2:$G$801, 0)+1), "")), INDEX(ERP資料!$B:$B, (MATCH(94, 輔助計算!$G$2:$G$801, 0)+1)), ""), "")</f>
        <v/>
      </c>
      <c r="M95" s="17" t="n"/>
    </row>
    <row r="96">
      <c r="A96" s="10">
        <f>IFERROR(IF(AND(IFERROR(INDEX(ERP資料!$A:$A, (MATCH(95, 輔助計算!$G$2:$G$801, 0)+1)), "")&lt;&gt;"", IFERROR(INDEX(ERP資料!$A:$A, (MATCH(95, 輔助計算!$G$2:$G$801, 0)+1)), "")&lt;&gt;IFERROR(INDEX(ERP資料!$A:$A, MATCH(94, 輔助計算!$G$2:$G$801, 0)+1), "")), IFERROR(INDEX(ERP資料!$A:$A, (MATCH(95, 輔助計算!$G$2:$G$801, 0)+1)), ""), ""), "")</f>
        <v/>
      </c>
      <c r="B96" s="10">
        <f>IFERROR(IF(AND(IFERROR(INDEX(ERP資料!$A:$A, (MATCH(95, 輔助計算!$G$2:$G$801, 0)+1)), "")&lt;&gt;"", IFERROR(INDEX(ERP資料!$A:$A, (MATCH(95, 輔助計算!$G$2:$G$801, 0)+1)), "")&lt;&gt;IFERROR(INDEX(ERP資料!$A:$A, MATCH(94, 輔助計算!$G$2:$G$801, 0)+1), "")), INDEX(ERP資料!$S:$S, (MATCH(95, 輔助計算!$G$2:$G$801, 0)+1)), ""), "")</f>
        <v/>
      </c>
      <c r="C96" s="19">
        <f>IFERROR(IF(AND(IFERROR(INDEX(ERP資料!$A:$A, (MATCH(95, 輔助計算!$G$2:$G$801, 0)+1)), "")&lt;&gt;"", IFERROR(INDEX(ERP資料!$A:$A, (MATCH(95, 輔助計算!$G$2:$G$801, 0)+1)), "")&lt;&gt;IFERROR(INDEX(ERP資料!$A:$A, MATCH(94, 輔助計算!$G$2:$G$801, 0)+1), "")), IFERROR(VLOOKUP(LEFT(INDEX(ERP資料!$S:$S, (MATCH(95, 輔助計算!$G$2:$G$801, 0)+1)), 4), 紙管對照表!$A:$C, 3, FALSE), ""), ""), "")</f>
        <v/>
      </c>
      <c r="D96" s="16" t="n"/>
      <c r="E96" s="10">
        <f>IFERROR(IF(INDEX(ERP資料!$H:$H, (MATCH(95, 輔助計算!$G$2:$G$801, 0)+1))="","",INDEX(ERP資料!$H:$H, (MATCH(95, 輔助計算!$G$2:$G$801, 0)+1))), "")</f>
        <v/>
      </c>
      <c r="F96" s="10">
        <f>IFERROR(IF(INDEX(ERP資料!$E:$E, (MATCH(95, 輔助計算!$G$2:$G$801, 0)+1))="","",TRIM(INDEX(ERP資料!$E:$E, (MATCH(95, 輔助計算!$G$2:$G$801, 0)+1)))), "")</f>
        <v/>
      </c>
      <c r="G96" s="10">
        <f>IFERROR(IF(INDEX(ERP資料!$F:$F, (MATCH(95, 輔助計算!$G$2:$G$801, 0)+1))="","",INDEX(ERP資料!$F:$F, (MATCH(95, 輔助計算!$G$2:$G$801, 0)+1))), "")</f>
        <v/>
      </c>
      <c r="H96" s="10">
        <f>IFERROR(IF(INDEX(ERP資料!$G:$G, (MATCH(95, 輔助計算!$G$2:$G$801, 0)+1))="","",INDEX(ERP資料!$G:$G, (MATCH(95, 輔助計算!$G$2:$G$801, 0)+1))), "")</f>
        <v/>
      </c>
      <c r="I96" s="15">
        <f>IFERROR(INDEX(輔助計算!$D:$D, (MATCH(95, 輔助計算!$G$2:$G$801, 0)+1)), "")</f>
        <v/>
      </c>
      <c r="J96" s="15">
        <f>IFERROR(IF(AND(INDEX(輔助計算!$D:$D, (MATCH(95, 輔助計算!$G$2:$G$801, 0)+1))&lt;&gt;"", INDEX(ERP資料!$G:$G, (MATCH(95, 輔助計算!$G$2:$G$801, 0)+1))&lt;&gt;""), TRIM(IF(INT(INDEX(輔助計算!$D:$D, (MATCH(95, 輔助計算!$G$2:$G$801, 0)+1))/IF(INDEX(ERP資料!$G:$G, (MATCH(95, 輔助計算!$G$2:$G$801, 0)+1))&lt;100, IF(INDEX(ERP資料!$G:$G, (MATCH(95, 輔助計算!$G$2:$G$801, 0)+1))&lt;=31,3,IF(INDEX(ERP資料!$G:$G, (MATCH(95, 輔助計算!$G$2:$G$801, 0)+1))&lt;=46.5,2,1)), IF(INDEX(ERP資料!$G:$G, (MATCH(95, 輔助計算!$G$2:$G$801, 0)+1))&lt;=790,3,IF(INDEX(ERP資料!$G:$G, (MATCH(95, 輔助計算!$G$2:$G$801, 0)+1))&lt;=1181,2,1))))&gt;0, IF(IF(INDEX(ERP資料!$G:$G, (MATCH(95, 輔助計算!$G$2:$G$801, 0)+1))&lt;100, IF(INDEX(ERP資料!$G:$G, (MATCH(95, 輔助計算!$G$2:$G$801, 0)+1))&lt;=31,3,IF(INDEX(ERP資料!$G:$G, (MATCH(95, 輔助計算!$G$2:$G$801, 0)+1))&lt;=46.5,2,1)), IF(INDEX(ERP資料!$G:$G, (MATCH(95, 輔助計算!$G$2:$G$801, 0)+1))&lt;=790,3,IF(INDEX(ERP資料!$G:$G, (MATCH(95, 輔助計算!$G$2:$G$801, 0)+1))&lt;=1181,2,1)))=1,TEXT(INDEX(ERP資料!$G:$G, (MATCH(95, 輔助計算!$G$2:$G$801, 0)+1)),"0.##"),IF(IF(INDEX(ERP資料!$G:$G, (MATCH(95, 輔助計算!$G$2:$G$801, 0)+1))&lt;100, IF(INDEX(ERP資料!$G:$G, (MATCH(95, 輔助計算!$G$2:$G$801, 0)+1))&lt;=31,3,IF(INDEX(ERP資料!$G:$G, (MATCH(95, 輔助計算!$G$2:$G$801, 0)+1))&lt;=46.5,2,1)), IF(INDEX(ERP資料!$G:$G, (MATCH(95, 輔助計算!$G$2:$G$801, 0)+1))&lt;=790,3,IF(INDEX(ERP資料!$G:$G, (MATCH(95, 輔助計算!$G$2:$G$801, 0)+1))&lt;=1181,2,1)))=2,TEXT(INDEX(ERP資料!$G:$G, (MATCH(95, 輔助計算!$G$2:$G$801, 0)+1)),"0.##")&amp;"+"&amp;TEXT(INDEX(ERP資料!$G:$G, (MATCH(95, 輔助計算!$G$2:$G$801, 0)+1)),"0.##"),TEXT(INDEX(ERP資料!$G:$G, (MATCH(95, 輔助計算!$G$2:$G$801, 0)+1)),"0.##")&amp;"+"&amp;TEXT(INDEX(ERP資料!$G:$G, (MATCH(95, 輔助計算!$G$2:$G$801, 0)+1)),"0.##")&amp;"+"&amp;TEXT(INDEX(ERP資料!$G:$G, (MATCH(95, 輔助計算!$G$2:$G$801, 0)+1)),"0.##")))&amp;"-"&amp;INT(INDEX(輔助計算!$D:$D, (MATCH(95, 輔助計算!$G$2:$G$801, 0)+1))/IF(INDEX(ERP資料!$G:$G, (MATCH(95, 輔助計算!$G$2:$G$801, 0)+1))&lt;100, IF(INDEX(ERP資料!$G:$G, (MATCH(95, 輔助計算!$G$2:$G$801, 0)+1))&lt;=31,3,IF(INDEX(ERP資料!$G:$G, (MATCH(95, 輔助計算!$G$2:$G$801, 0)+1))&lt;=46.5,2,1)), IF(INDEX(ERP資料!$G:$G, (MATCH(95, 輔助計算!$G$2:$G$801, 0)+1))&lt;=790,3,IF(INDEX(ERP資料!$G:$G, (MATCH(95, 輔助計算!$G$2:$G$801, 0)+1))&lt;=1181,2,1)))), "")&amp;IF(AND(IF(INT(INDEX(輔助計算!$D:$D, (MATCH(95, 輔助計算!$G$2:$G$801, 0)+1))/IF(INDEX(ERP資料!$G:$G, (MATCH(95, 輔助計算!$G$2:$G$801, 0)+1))&lt;100, IF(INDEX(ERP資料!$G:$G, (MATCH(95, 輔助計算!$G$2:$G$801, 0)+1))&lt;=31,3,IF(INDEX(ERP資料!$G:$G, (MATCH(95, 輔助計算!$G$2:$G$801, 0)+1))&lt;=46.5,2,1)), IF(INDEX(ERP資料!$G:$G, (MATCH(95, 輔助計算!$G$2:$G$801, 0)+1))&lt;=790,3,IF(INDEX(ERP資料!$G:$G, (MATCH(95, 輔助計算!$G$2:$G$801, 0)+1))&lt;=1181,2,1))))&gt;0, IF(IF(INDEX(ERP資料!$G:$G, (MATCH(95, 輔助計算!$G$2:$G$801, 0)+1))&lt;100, IF(INDEX(ERP資料!$G:$G, (MATCH(95, 輔助計算!$G$2:$G$801, 0)+1))&lt;=31,3,IF(INDEX(ERP資料!$G:$G, (MATCH(95, 輔助計算!$G$2:$G$801, 0)+1))&lt;=46.5,2,1)), IF(INDEX(ERP資料!$G:$G, (MATCH(95, 輔助計算!$G$2:$G$801, 0)+1))&lt;=790,3,IF(INDEX(ERP資料!$G:$G, (MATCH(95, 輔助計算!$G$2:$G$801, 0)+1))&lt;=1181,2,1)))=1,TEXT(INDEX(ERP資料!$G:$G, (MATCH(95, 輔助計算!$G$2:$G$801, 0)+1)),"0.##"),IF(IF(INDEX(ERP資料!$G:$G, (MATCH(95, 輔助計算!$G$2:$G$801, 0)+1))&lt;100, IF(INDEX(ERP資料!$G:$G, (MATCH(95, 輔助計算!$G$2:$G$801, 0)+1))&lt;=31,3,IF(INDEX(ERP資料!$G:$G, (MATCH(95, 輔助計算!$G$2:$G$801, 0)+1))&lt;=46.5,2,1)), IF(INDEX(ERP資料!$G:$G, (MATCH(95, 輔助計算!$G$2:$G$801, 0)+1))&lt;=790,3,IF(INDEX(ERP資料!$G:$G, (MATCH(95, 輔助計算!$G$2:$G$801, 0)+1))&lt;=1181,2,1)))=2,TEXT(INDEX(ERP資料!$G:$G, (MATCH(95, 輔助計算!$G$2:$G$801, 0)+1)),"0.##")&amp;"+"&amp;TEXT(INDEX(ERP資料!$G:$G, (MATCH(95, 輔助計算!$G$2:$G$801, 0)+1)),"0.##"),TEXT(INDEX(ERP資料!$G:$G, (MATCH(95, 輔助計算!$G$2:$G$801, 0)+1)),"0.##")&amp;"+"&amp;TEXT(INDEX(ERP資料!$G:$G, (MATCH(95, 輔助計算!$G$2:$G$801, 0)+1)),"0.##")&amp;"+"&amp;TEXT(INDEX(ERP資料!$G:$G, (MATCH(95, 輔助計算!$G$2:$G$801, 0)+1)),"0.##")))&amp;"-"&amp;INT(INDEX(輔助計算!$D:$D, (MATCH(95, 輔助計算!$G$2:$G$801, 0)+1))/IF(INDEX(ERP資料!$G:$G, (MATCH(95, 輔助計算!$G$2:$G$801, 0)+1))&lt;100, IF(INDEX(ERP資料!$G:$G, (MATCH(95, 輔助計算!$G$2:$G$801, 0)+1))&lt;=31,3,IF(INDEX(ERP資料!$G:$G, (MATCH(95, 輔助計算!$G$2:$G$801, 0)+1))&lt;=46.5,2,1)), IF(INDEX(ERP資料!$G:$G, (MATCH(95, 輔助計算!$G$2:$G$801, 0)+1))&lt;=790,3,IF(INDEX(ERP資料!$G:$G, (MATCH(95, 輔助計算!$G$2:$G$801, 0)+1))&lt;=1181,2,1)))), "")&lt;&gt;"",IF(MOD(INDEX(輔助計算!$D:$D, (MATCH(95, 輔助計算!$G$2:$G$801, 0)+1)),IF(INDEX(ERP資料!$G:$G, (MATCH(95, 輔助計算!$G$2:$G$801, 0)+1))&lt;100, IF(INDEX(ERP資料!$G:$G, (MATCH(95, 輔助計算!$G$2:$G$801, 0)+1))&lt;=31,3,IF(INDEX(ERP資料!$G:$G, (MATCH(95, 輔助計算!$G$2:$G$801, 0)+1))&lt;=46.5,2,1)), IF(INDEX(ERP資料!$G:$G, (MATCH(95, 輔助計算!$G$2:$G$801, 0)+1))&lt;=790,3,IF(INDEX(ERP資料!$G:$G, (MATCH(95, 輔助計算!$G$2:$G$801, 0)+1))&lt;=1181,2,1))))=0,"",IF(MOD(INDEX(輔助計算!$D:$D, (MATCH(95, 輔助計算!$G$2:$G$801, 0)+1)),IF(INDEX(ERP資料!$G:$G, (MATCH(95, 輔助計算!$G$2:$G$801, 0)+1))&lt;100, IF(INDEX(ERP資料!$G:$G, (MATCH(95, 輔助計算!$G$2:$G$801, 0)+1))&lt;=31,3,IF(INDEX(ERP資料!$G:$G, (MATCH(95, 輔助計算!$G$2:$G$801, 0)+1))&lt;=46.5,2,1)), IF(INDEX(ERP資料!$G:$G, (MATCH(95, 輔助計算!$G$2:$G$801, 0)+1))&lt;=790,3,IF(INDEX(ERP資料!$G:$G, (MATCH(95, 輔助計算!$G$2:$G$801, 0)+1))&lt;=1181,2,1))))=0,"",IF(MOD(INDEX(輔助計算!$D:$D, (MATCH(95, 輔助計算!$G$2:$G$801, 0)+1)),IF(INDEX(ERP資料!$G:$G, (MATCH(95, 輔助計算!$G$2:$G$801, 0)+1))&lt;100, IF(INDEX(ERP資料!$G:$G, (MATCH(95, 輔助計算!$G$2:$G$801, 0)+1))&lt;=31,3,IF(INDEX(ERP資料!$G:$G, (MATCH(95, 輔助計算!$G$2:$G$801, 0)+1))&lt;=46.5,2,1)), IF(INDEX(ERP資料!$G:$G, (MATCH(95, 輔助計算!$G$2:$G$801, 0)+1))&lt;=790,3,IF(INDEX(ERP資料!$G:$G, (MATCH(95, 輔助計算!$G$2:$G$801, 0)+1))&lt;=1181,2,1))))=1,TEXT(INDEX(ERP資料!$G:$G, (MATCH(95, 輔助計算!$G$2:$G$801, 0)+1)),"0.##"),IF(MOD(INDEX(輔助計算!$D:$D, (MATCH(95, 輔助計算!$G$2:$G$801, 0)+1)),IF(INDEX(ERP資料!$G:$G, (MATCH(95, 輔助計算!$G$2:$G$801, 0)+1))&lt;100, IF(INDEX(ERP資料!$G:$G, (MATCH(95, 輔助計算!$G$2:$G$801, 0)+1))&lt;=31,3,IF(INDEX(ERP資料!$G:$G, (MATCH(95, 輔助計算!$G$2:$G$801, 0)+1))&lt;=46.5,2,1)), IF(INDEX(ERP資料!$G:$G, (MATCH(95, 輔助計算!$G$2:$G$801, 0)+1))&lt;=790,3,IF(INDEX(ERP資料!$G:$G, (MATCH(95, 輔助計算!$G$2:$G$801, 0)+1))&lt;=1181,2,1))))=2,TEXT(INDEX(ERP資料!$G:$G, (MATCH(95, 輔助計算!$G$2:$G$801, 0)+1)),"0.##")&amp;"+"&amp;TEXT(INDEX(ERP資料!$G:$G, (MATCH(95, 輔助計算!$G$2:$G$801, 0)+1)),"0.##"),TEXT(INDEX(ERP資料!$G:$G, (MATCH(95, 輔助計算!$G$2:$G$801, 0)+1)),"0.##")&amp;"+"&amp;TEXT(INDEX(ERP資料!$G:$G, (MATCH(95, 輔助計算!$G$2:$G$801, 0)+1)),"0.##")&amp;"+"&amp;TEXT(INDEX(ERP資料!$G:$G, (MATCH(95, 輔助計算!$G$2:$G$801, 0)+1)),"0.##"))))&amp;"-1")&lt;&gt;""),"  ","")&amp;IF(MOD(INDEX(輔助計算!$D:$D, (MATCH(95, 輔助計算!$G$2:$G$801, 0)+1)),IF(INDEX(ERP資料!$G:$G, (MATCH(95, 輔助計算!$G$2:$G$801, 0)+1))&lt;100, IF(INDEX(ERP資料!$G:$G, (MATCH(95, 輔助計算!$G$2:$G$801, 0)+1))&lt;=31,3,IF(INDEX(ERP資料!$G:$G, (MATCH(95, 輔助計算!$G$2:$G$801, 0)+1))&lt;=46.5,2,1)), IF(INDEX(ERP資料!$G:$G, (MATCH(95, 輔助計算!$G$2:$G$801, 0)+1))&lt;=790,3,IF(INDEX(ERP資料!$G:$G, (MATCH(95, 輔助計算!$G$2:$G$801, 0)+1))&lt;=1181,2,1))))=0,"",IF(MOD(INDEX(輔助計算!$D:$D, (MATCH(95, 輔助計算!$G$2:$G$801, 0)+1)),IF(INDEX(ERP資料!$G:$G, (MATCH(95, 輔助計算!$G$2:$G$801, 0)+1))&lt;100, IF(INDEX(ERP資料!$G:$G, (MATCH(95, 輔助計算!$G$2:$G$801, 0)+1))&lt;=31,3,IF(INDEX(ERP資料!$G:$G, (MATCH(95, 輔助計算!$G$2:$G$801, 0)+1))&lt;=46.5,2,1)), IF(INDEX(ERP資料!$G:$G, (MATCH(95, 輔助計算!$G$2:$G$801, 0)+1))&lt;=790,3,IF(INDEX(ERP資料!$G:$G, (MATCH(95, 輔助計算!$G$2:$G$801, 0)+1))&lt;=1181,2,1))))=0,"",IF(MOD(INDEX(輔助計算!$D:$D, (MATCH(95, 輔助計算!$G$2:$G$801, 0)+1)),IF(INDEX(ERP資料!$G:$G, (MATCH(95, 輔助計算!$G$2:$G$801, 0)+1))&lt;100, IF(INDEX(ERP資料!$G:$G, (MATCH(95, 輔助計算!$G$2:$G$801, 0)+1))&lt;=31,3,IF(INDEX(ERP資料!$G:$G, (MATCH(95, 輔助計算!$G$2:$G$801, 0)+1))&lt;=46.5,2,1)), IF(INDEX(ERP資料!$G:$G, (MATCH(95, 輔助計算!$G$2:$G$801, 0)+1))&lt;=790,3,IF(INDEX(ERP資料!$G:$G, (MATCH(95, 輔助計算!$G$2:$G$801, 0)+1))&lt;=1181,2,1))))=1,TEXT(INDEX(ERP資料!$G:$G, (MATCH(95, 輔助計算!$G$2:$G$801, 0)+1)),"0.##"),IF(MOD(INDEX(輔助計算!$D:$D, (MATCH(95, 輔助計算!$G$2:$G$801, 0)+1)),IF(INDEX(ERP資料!$G:$G, (MATCH(95, 輔助計算!$G$2:$G$801, 0)+1))&lt;100, IF(INDEX(ERP資料!$G:$G, (MATCH(95, 輔助計算!$G$2:$G$801, 0)+1))&lt;=31,3,IF(INDEX(ERP資料!$G:$G, (MATCH(95, 輔助計算!$G$2:$G$801, 0)+1))&lt;=46.5,2,1)), IF(INDEX(ERP資料!$G:$G, (MATCH(95, 輔助計算!$G$2:$G$801, 0)+1))&lt;=790,3,IF(INDEX(ERP資料!$G:$G, (MATCH(95, 輔助計算!$G$2:$G$801, 0)+1))&lt;=1181,2,1))))=2,TEXT(INDEX(ERP資料!$G:$G, (MATCH(95, 輔助計算!$G$2:$G$801, 0)+1)),"0.##")&amp;"+"&amp;TEXT(INDEX(ERP資料!$G:$G, (MATCH(95, 輔助計算!$G$2:$G$801, 0)+1)),"0.##"),TEXT(INDEX(ERP資料!$G:$G, (MATCH(95, 輔助計算!$G$2:$G$801, 0)+1)),"0.##")&amp;"+"&amp;TEXT(INDEX(ERP資料!$G:$G, (MATCH(95, 輔助計算!$G$2:$G$801, 0)+1)),"0.##")&amp;"+"&amp;TEXT(INDEX(ERP資料!$G:$G, (MATCH(95, 輔助計算!$G$2:$G$801, 0)+1)),"0.##"))))&amp;"-1")), ""), "")</f>
        <v/>
      </c>
      <c r="K96" s="16" t="n"/>
      <c r="L96" s="14">
        <f>IFERROR(IF(AND(IFERROR(INDEX(ERP資料!$A:$A, (MATCH(95, 輔助計算!$G$2:$G$801, 0)+1)), "")&lt;&gt;"", IFERROR(INDEX(ERP資料!$A:$A, (MATCH(95, 輔助計算!$G$2:$G$801, 0)+1)), "")&lt;&gt;IFERROR(INDEX(ERP資料!$A:$A, MATCH(94, 輔助計算!$G$2:$G$801, 0)+1), "")), INDEX(ERP資料!$B:$B, (MATCH(95, 輔助計算!$G$2:$G$801, 0)+1)), ""), "")</f>
        <v/>
      </c>
      <c r="M96" s="17" t="n"/>
    </row>
    <row r="97">
      <c r="A97" s="10">
        <f>IFERROR(IF(AND(IFERROR(INDEX(ERP資料!$A:$A, (MATCH(96, 輔助計算!$G$2:$G$801, 0)+1)), "")&lt;&gt;"", IFERROR(INDEX(ERP資料!$A:$A, (MATCH(96, 輔助計算!$G$2:$G$801, 0)+1)), "")&lt;&gt;IFERROR(INDEX(ERP資料!$A:$A, MATCH(95, 輔助計算!$G$2:$G$801, 0)+1), "")), IFERROR(INDEX(ERP資料!$A:$A, (MATCH(96, 輔助計算!$G$2:$G$801, 0)+1)), ""), ""), "")</f>
        <v/>
      </c>
      <c r="B97" s="10">
        <f>IFERROR(IF(AND(IFERROR(INDEX(ERP資料!$A:$A, (MATCH(96, 輔助計算!$G$2:$G$801, 0)+1)), "")&lt;&gt;"", IFERROR(INDEX(ERP資料!$A:$A, (MATCH(96, 輔助計算!$G$2:$G$801, 0)+1)), "")&lt;&gt;IFERROR(INDEX(ERP資料!$A:$A, MATCH(95, 輔助計算!$G$2:$G$801, 0)+1), "")), INDEX(ERP資料!$S:$S, (MATCH(96, 輔助計算!$G$2:$G$801, 0)+1)), ""), "")</f>
        <v/>
      </c>
      <c r="C97" s="19">
        <f>IFERROR(IF(AND(IFERROR(INDEX(ERP資料!$A:$A, (MATCH(96, 輔助計算!$G$2:$G$801, 0)+1)), "")&lt;&gt;"", IFERROR(INDEX(ERP資料!$A:$A, (MATCH(96, 輔助計算!$G$2:$G$801, 0)+1)), "")&lt;&gt;IFERROR(INDEX(ERP資料!$A:$A, MATCH(95, 輔助計算!$G$2:$G$801, 0)+1), "")), IFERROR(VLOOKUP(LEFT(INDEX(ERP資料!$S:$S, (MATCH(96, 輔助計算!$G$2:$G$801, 0)+1)), 4), 紙管對照表!$A:$C, 3, FALSE), ""), ""), "")</f>
        <v/>
      </c>
      <c r="D97" s="16" t="n"/>
      <c r="E97" s="10">
        <f>IFERROR(IF(INDEX(ERP資料!$H:$H, (MATCH(96, 輔助計算!$G$2:$G$801, 0)+1))="","",INDEX(ERP資料!$H:$H, (MATCH(96, 輔助計算!$G$2:$G$801, 0)+1))), "")</f>
        <v/>
      </c>
      <c r="F97" s="10">
        <f>IFERROR(IF(INDEX(ERP資料!$E:$E, (MATCH(96, 輔助計算!$G$2:$G$801, 0)+1))="","",TRIM(INDEX(ERP資料!$E:$E, (MATCH(96, 輔助計算!$G$2:$G$801, 0)+1)))), "")</f>
        <v/>
      </c>
      <c r="G97" s="10">
        <f>IFERROR(IF(INDEX(ERP資料!$F:$F, (MATCH(96, 輔助計算!$G$2:$G$801, 0)+1))="","",INDEX(ERP資料!$F:$F, (MATCH(96, 輔助計算!$G$2:$G$801, 0)+1))), "")</f>
        <v/>
      </c>
      <c r="H97" s="10">
        <f>IFERROR(IF(INDEX(ERP資料!$G:$G, (MATCH(96, 輔助計算!$G$2:$G$801, 0)+1))="","",INDEX(ERP資料!$G:$G, (MATCH(96, 輔助計算!$G$2:$G$801, 0)+1))), "")</f>
        <v/>
      </c>
      <c r="I97" s="15">
        <f>IFERROR(INDEX(輔助計算!$D:$D, (MATCH(96, 輔助計算!$G$2:$G$801, 0)+1)), "")</f>
        <v/>
      </c>
      <c r="J97" s="15">
        <f>IFERROR(IF(AND(INDEX(輔助計算!$D:$D, (MATCH(96, 輔助計算!$G$2:$G$801, 0)+1))&lt;&gt;"", INDEX(ERP資料!$G:$G, (MATCH(96, 輔助計算!$G$2:$G$801, 0)+1))&lt;&gt;""), TRIM(IF(INT(INDEX(輔助計算!$D:$D, (MATCH(96, 輔助計算!$G$2:$G$801, 0)+1))/IF(INDEX(ERP資料!$G:$G, (MATCH(96, 輔助計算!$G$2:$G$801, 0)+1))&lt;100, IF(INDEX(ERP資料!$G:$G, (MATCH(96, 輔助計算!$G$2:$G$801, 0)+1))&lt;=31,3,IF(INDEX(ERP資料!$G:$G, (MATCH(96, 輔助計算!$G$2:$G$801, 0)+1))&lt;=46.5,2,1)), IF(INDEX(ERP資料!$G:$G, (MATCH(96, 輔助計算!$G$2:$G$801, 0)+1))&lt;=790,3,IF(INDEX(ERP資料!$G:$G, (MATCH(96, 輔助計算!$G$2:$G$801, 0)+1))&lt;=1181,2,1))))&gt;0, IF(IF(INDEX(ERP資料!$G:$G, (MATCH(96, 輔助計算!$G$2:$G$801, 0)+1))&lt;100, IF(INDEX(ERP資料!$G:$G, (MATCH(96, 輔助計算!$G$2:$G$801, 0)+1))&lt;=31,3,IF(INDEX(ERP資料!$G:$G, (MATCH(96, 輔助計算!$G$2:$G$801, 0)+1))&lt;=46.5,2,1)), IF(INDEX(ERP資料!$G:$G, (MATCH(96, 輔助計算!$G$2:$G$801, 0)+1))&lt;=790,3,IF(INDEX(ERP資料!$G:$G, (MATCH(96, 輔助計算!$G$2:$G$801, 0)+1))&lt;=1181,2,1)))=1,TEXT(INDEX(ERP資料!$G:$G, (MATCH(96, 輔助計算!$G$2:$G$801, 0)+1)),"0.##"),IF(IF(INDEX(ERP資料!$G:$G, (MATCH(96, 輔助計算!$G$2:$G$801, 0)+1))&lt;100, IF(INDEX(ERP資料!$G:$G, (MATCH(96, 輔助計算!$G$2:$G$801, 0)+1))&lt;=31,3,IF(INDEX(ERP資料!$G:$G, (MATCH(96, 輔助計算!$G$2:$G$801, 0)+1))&lt;=46.5,2,1)), IF(INDEX(ERP資料!$G:$G, (MATCH(96, 輔助計算!$G$2:$G$801, 0)+1))&lt;=790,3,IF(INDEX(ERP資料!$G:$G, (MATCH(96, 輔助計算!$G$2:$G$801, 0)+1))&lt;=1181,2,1)))=2,TEXT(INDEX(ERP資料!$G:$G, (MATCH(96, 輔助計算!$G$2:$G$801, 0)+1)),"0.##")&amp;"+"&amp;TEXT(INDEX(ERP資料!$G:$G, (MATCH(96, 輔助計算!$G$2:$G$801, 0)+1)),"0.##"),TEXT(INDEX(ERP資料!$G:$G, (MATCH(96, 輔助計算!$G$2:$G$801, 0)+1)),"0.##")&amp;"+"&amp;TEXT(INDEX(ERP資料!$G:$G, (MATCH(96, 輔助計算!$G$2:$G$801, 0)+1)),"0.##")&amp;"+"&amp;TEXT(INDEX(ERP資料!$G:$G, (MATCH(96, 輔助計算!$G$2:$G$801, 0)+1)),"0.##")))&amp;"-"&amp;INT(INDEX(輔助計算!$D:$D, (MATCH(96, 輔助計算!$G$2:$G$801, 0)+1))/IF(INDEX(ERP資料!$G:$G, (MATCH(96, 輔助計算!$G$2:$G$801, 0)+1))&lt;100, IF(INDEX(ERP資料!$G:$G, (MATCH(96, 輔助計算!$G$2:$G$801, 0)+1))&lt;=31,3,IF(INDEX(ERP資料!$G:$G, (MATCH(96, 輔助計算!$G$2:$G$801, 0)+1))&lt;=46.5,2,1)), IF(INDEX(ERP資料!$G:$G, (MATCH(96, 輔助計算!$G$2:$G$801, 0)+1))&lt;=790,3,IF(INDEX(ERP資料!$G:$G, (MATCH(96, 輔助計算!$G$2:$G$801, 0)+1))&lt;=1181,2,1)))), "")&amp;IF(AND(IF(INT(INDEX(輔助計算!$D:$D, (MATCH(96, 輔助計算!$G$2:$G$801, 0)+1))/IF(INDEX(ERP資料!$G:$G, (MATCH(96, 輔助計算!$G$2:$G$801, 0)+1))&lt;100, IF(INDEX(ERP資料!$G:$G, (MATCH(96, 輔助計算!$G$2:$G$801, 0)+1))&lt;=31,3,IF(INDEX(ERP資料!$G:$G, (MATCH(96, 輔助計算!$G$2:$G$801, 0)+1))&lt;=46.5,2,1)), IF(INDEX(ERP資料!$G:$G, (MATCH(96, 輔助計算!$G$2:$G$801, 0)+1))&lt;=790,3,IF(INDEX(ERP資料!$G:$G, (MATCH(96, 輔助計算!$G$2:$G$801, 0)+1))&lt;=1181,2,1))))&gt;0, IF(IF(INDEX(ERP資料!$G:$G, (MATCH(96, 輔助計算!$G$2:$G$801, 0)+1))&lt;100, IF(INDEX(ERP資料!$G:$G, (MATCH(96, 輔助計算!$G$2:$G$801, 0)+1))&lt;=31,3,IF(INDEX(ERP資料!$G:$G, (MATCH(96, 輔助計算!$G$2:$G$801, 0)+1))&lt;=46.5,2,1)), IF(INDEX(ERP資料!$G:$G, (MATCH(96, 輔助計算!$G$2:$G$801, 0)+1))&lt;=790,3,IF(INDEX(ERP資料!$G:$G, (MATCH(96, 輔助計算!$G$2:$G$801, 0)+1))&lt;=1181,2,1)))=1,TEXT(INDEX(ERP資料!$G:$G, (MATCH(96, 輔助計算!$G$2:$G$801, 0)+1)),"0.##"),IF(IF(INDEX(ERP資料!$G:$G, (MATCH(96, 輔助計算!$G$2:$G$801, 0)+1))&lt;100, IF(INDEX(ERP資料!$G:$G, (MATCH(96, 輔助計算!$G$2:$G$801, 0)+1))&lt;=31,3,IF(INDEX(ERP資料!$G:$G, (MATCH(96, 輔助計算!$G$2:$G$801, 0)+1))&lt;=46.5,2,1)), IF(INDEX(ERP資料!$G:$G, (MATCH(96, 輔助計算!$G$2:$G$801, 0)+1))&lt;=790,3,IF(INDEX(ERP資料!$G:$G, (MATCH(96, 輔助計算!$G$2:$G$801, 0)+1))&lt;=1181,2,1)))=2,TEXT(INDEX(ERP資料!$G:$G, (MATCH(96, 輔助計算!$G$2:$G$801, 0)+1)),"0.##")&amp;"+"&amp;TEXT(INDEX(ERP資料!$G:$G, (MATCH(96, 輔助計算!$G$2:$G$801, 0)+1)),"0.##"),TEXT(INDEX(ERP資料!$G:$G, (MATCH(96, 輔助計算!$G$2:$G$801, 0)+1)),"0.##")&amp;"+"&amp;TEXT(INDEX(ERP資料!$G:$G, (MATCH(96, 輔助計算!$G$2:$G$801, 0)+1)),"0.##")&amp;"+"&amp;TEXT(INDEX(ERP資料!$G:$G, (MATCH(96, 輔助計算!$G$2:$G$801, 0)+1)),"0.##")))&amp;"-"&amp;INT(INDEX(輔助計算!$D:$D, (MATCH(96, 輔助計算!$G$2:$G$801, 0)+1))/IF(INDEX(ERP資料!$G:$G, (MATCH(96, 輔助計算!$G$2:$G$801, 0)+1))&lt;100, IF(INDEX(ERP資料!$G:$G, (MATCH(96, 輔助計算!$G$2:$G$801, 0)+1))&lt;=31,3,IF(INDEX(ERP資料!$G:$G, (MATCH(96, 輔助計算!$G$2:$G$801, 0)+1))&lt;=46.5,2,1)), IF(INDEX(ERP資料!$G:$G, (MATCH(96, 輔助計算!$G$2:$G$801, 0)+1))&lt;=790,3,IF(INDEX(ERP資料!$G:$G, (MATCH(96, 輔助計算!$G$2:$G$801, 0)+1))&lt;=1181,2,1)))), "")&lt;&gt;"",IF(MOD(INDEX(輔助計算!$D:$D, (MATCH(96, 輔助計算!$G$2:$G$801, 0)+1)),IF(INDEX(ERP資料!$G:$G, (MATCH(96, 輔助計算!$G$2:$G$801, 0)+1))&lt;100, IF(INDEX(ERP資料!$G:$G, (MATCH(96, 輔助計算!$G$2:$G$801, 0)+1))&lt;=31,3,IF(INDEX(ERP資料!$G:$G, (MATCH(96, 輔助計算!$G$2:$G$801, 0)+1))&lt;=46.5,2,1)), IF(INDEX(ERP資料!$G:$G, (MATCH(96, 輔助計算!$G$2:$G$801, 0)+1))&lt;=790,3,IF(INDEX(ERP資料!$G:$G, (MATCH(96, 輔助計算!$G$2:$G$801, 0)+1))&lt;=1181,2,1))))=0,"",IF(MOD(INDEX(輔助計算!$D:$D, (MATCH(96, 輔助計算!$G$2:$G$801, 0)+1)),IF(INDEX(ERP資料!$G:$G, (MATCH(96, 輔助計算!$G$2:$G$801, 0)+1))&lt;100, IF(INDEX(ERP資料!$G:$G, (MATCH(96, 輔助計算!$G$2:$G$801, 0)+1))&lt;=31,3,IF(INDEX(ERP資料!$G:$G, (MATCH(96, 輔助計算!$G$2:$G$801, 0)+1))&lt;=46.5,2,1)), IF(INDEX(ERP資料!$G:$G, (MATCH(96, 輔助計算!$G$2:$G$801, 0)+1))&lt;=790,3,IF(INDEX(ERP資料!$G:$G, (MATCH(96, 輔助計算!$G$2:$G$801, 0)+1))&lt;=1181,2,1))))=0,"",IF(MOD(INDEX(輔助計算!$D:$D, (MATCH(96, 輔助計算!$G$2:$G$801, 0)+1)),IF(INDEX(ERP資料!$G:$G, (MATCH(96, 輔助計算!$G$2:$G$801, 0)+1))&lt;100, IF(INDEX(ERP資料!$G:$G, (MATCH(96, 輔助計算!$G$2:$G$801, 0)+1))&lt;=31,3,IF(INDEX(ERP資料!$G:$G, (MATCH(96, 輔助計算!$G$2:$G$801, 0)+1))&lt;=46.5,2,1)), IF(INDEX(ERP資料!$G:$G, (MATCH(96, 輔助計算!$G$2:$G$801, 0)+1))&lt;=790,3,IF(INDEX(ERP資料!$G:$G, (MATCH(96, 輔助計算!$G$2:$G$801, 0)+1))&lt;=1181,2,1))))=1,TEXT(INDEX(ERP資料!$G:$G, (MATCH(96, 輔助計算!$G$2:$G$801, 0)+1)),"0.##"),IF(MOD(INDEX(輔助計算!$D:$D, (MATCH(96, 輔助計算!$G$2:$G$801, 0)+1)),IF(INDEX(ERP資料!$G:$G, (MATCH(96, 輔助計算!$G$2:$G$801, 0)+1))&lt;100, IF(INDEX(ERP資料!$G:$G, (MATCH(96, 輔助計算!$G$2:$G$801, 0)+1))&lt;=31,3,IF(INDEX(ERP資料!$G:$G, (MATCH(96, 輔助計算!$G$2:$G$801, 0)+1))&lt;=46.5,2,1)), IF(INDEX(ERP資料!$G:$G, (MATCH(96, 輔助計算!$G$2:$G$801, 0)+1))&lt;=790,3,IF(INDEX(ERP資料!$G:$G, (MATCH(96, 輔助計算!$G$2:$G$801, 0)+1))&lt;=1181,2,1))))=2,TEXT(INDEX(ERP資料!$G:$G, (MATCH(96, 輔助計算!$G$2:$G$801, 0)+1)),"0.##")&amp;"+"&amp;TEXT(INDEX(ERP資料!$G:$G, (MATCH(96, 輔助計算!$G$2:$G$801, 0)+1)),"0.##"),TEXT(INDEX(ERP資料!$G:$G, (MATCH(96, 輔助計算!$G$2:$G$801, 0)+1)),"0.##")&amp;"+"&amp;TEXT(INDEX(ERP資料!$G:$G, (MATCH(96, 輔助計算!$G$2:$G$801, 0)+1)),"0.##")&amp;"+"&amp;TEXT(INDEX(ERP資料!$G:$G, (MATCH(96, 輔助計算!$G$2:$G$801, 0)+1)),"0.##"))))&amp;"-1")&lt;&gt;""),"  ","")&amp;IF(MOD(INDEX(輔助計算!$D:$D, (MATCH(96, 輔助計算!$G$2:$G$801, 0)+1)),IF(INDEX(ERP資料!$G:$G, (MATCH(96, 輔助計算!$G$2:$G$801, 0)+1))&lt;100, IF(INDEX(ERP資料!$G:$G, (MATCH(96, 輔助計算!$G$2:$G$801, 0)+1))&lt;=31,3,IF(INDEX(ERP資料!$G:$G, (MATCH(96, 輔助計算!$G$2:$G$801, 0)+1))&lt;=46.5,2,1)), IF(INDEX(ERP資料!$G:$G, (MATCH(96, 輔助計算!$G$2:$G$801, 0)+1))&lt;=790,3,IF(INDEX(ERP資料!$G:$G, (MATCH(96, 輔助計算!$G$2:$G$801, 0)+1))&lt;=1181,2,1))))=0,"",IF(MOD(INDEX(輔助計算!$D:$D, (MATCH(96, 輔助計算!$G$2:$G$801, 0)+1)),IF(INDEX(ERP資料!$G:$G, (MATCH(96, 輔助計算!$G$2:$G$801, 0)+1))&lt;100, IF(INDEX(ERP資料!$G:$G, (MATCH(96, 輔助計算!$G$2:$G$801, 0)+1))&lt;=31,3,IF(INDEX(ERP資料!$G:$G, (MATCH(96, 輔助計算!$G$2:$G$801, 0)+1))&lt;=46.5,2,1)), IF(INDEX(ERP資料!$G:$G, (MATCH(96, 輔助計算!$G$2:$G$801, 0)+1))&lt;=790,3,IF(INDEX(ERP資料!$G:$G, (MATCH(96, 輔助計算!$G$2:$G$801, 0)+1))&lt;=1181,2,1))))=0,"",IF(MOD(INDEX(輔助計算!$D:$D, (MATCH(96, 輔助計算!$G$2:$G$801, 0)+1)),IF(INDEX(ERP資料!$G:$G, (MATCH(96, 輔助計算!$G$2:$G$801, 0)+1))&lt;100, IF(INDEX(ERP資料!$G:$G, (MATCH(96, 輔助計算!$G$2:$G$801, 0)+1))&lt;=31,3,IF(INDEX(ERP資料!$G:$G, (MATCH(96, 輔助計算!$G$2:$G$801, 0)+1))&lt;=46.5,2,1)), IF(INDEX(ERP資料!$G:$G, (MATCH(96, 輔助計算!$G$2:$G$801, 0)+1))&lt;=790,3,IF(INDEX(ERP資料!$G:$G, (MATCH(96, 輔助計算!$G$2:$G$801, 0)+1))&lt;=1181,2,1))))=1,TEXT(INDEX(ERP資料!$G:$G, (MATCH(96, 輔助計算!$G$2:$G$801, 0)+1)),"0.##"),IF(MOD(INDEX(輔助計算!$D:$D, (MATCH(96, 輔助計算!$G$2:$G$801, 0)+1)),IF(INDEX(ERP資料!$G:$G, (MATCH(96, 輔助計算!$G$2:$G$801, 0)+1))&lt;100, IF(INDEX(ERP資料!$G:$G, (MATCH(96, 輔助計算!$G$2:$G$801, 0)+1))&lt;=31,3,IF(INDEX(ERP資料!$G:$G, (MATCH(96, 輔助計算!$G$2:$G$801, 0)+1))&lt;=46.5,2,1)), IF(INDEX(ERP資料!$G:$G, (MATCH(96, 輔助計算!$G$2:$G$801, 0)+1))&lt;=790,3,IF(INDEX(ERP資料!$G:$G, (MATCH(96, 輔助計算!$G$2:$G$801, 0)+1))&lt;=1181,2,1))))=2,TEXT(INDEX(ERP資料!$G:$G, (MATCH(96, 輔助計算!$G$2:$G$801, 0)+1)),"0.##")&amp;"+"&amp;TEXT(INDEX(ERP資料!$G:$G, (MATCH(96, 輔助計算!$G$2:$G$801, 0)+1)),"0.##"),TEXT(INDEX(ERP資料!$G:$G, (MATCH(96, 輔助計算!$G$2:$G$801, 0)+1)),"0.##")&amp;"+"&amp;TEXT(INDEX(ERP資料!$G:$G, (MATCH(96, 輔助計算!$G$2:$G$801, 0)+1)),"0.##")&amp;"+"&amp;TEXT(INDEX(ERP資料!$G:$G, (MATCH(96, 輔助計算!$G$2:$G$801, 0)+1)),"0.##"))))&amp;"-1")), ""), "")</f>
        <v/>
      </c>
      <c r="K97" s="16" t="n"/>
      <c r="L97" s="14">
        <f>IFERROR(IF(AND(IFERROR(INDEX(ERP資料!$A:$A, (MATCH(96, 輔助計算!$G$2:$G$801, 0)+1)), "")&lt;&gt;"", IFERROR(INDEX(ERP資料!$A:$A, (MATCH(96, 輔助計算!$G$2:$G$801, 0)+1)), "")&lt;&gt;IFERROR(INDEX(ERP資料!$A:$A, MATCH(95, 輔助計算!$G$2:$G$801, 0)+1), "")), INDEX(ERP資料!$B:$B, (MATCH(96, 輔助計算!$G$2:$G$801, 0)+1)), ""), "")</f>
        <v/>
      </c>
      <c r="M97" s="17" t="n"/>
    </row>
    <row r="98">
      <c r="A98" s="10">
        <f>IFERROR(IF(AND(IFERROR(INDEX(ERP資料!$A:$A, (MATCH(97, 輔助計算!$G$2:$G$801, 0)+1)), "")&lt;&gt;"", IFERROR(INDEX(ERP資料!$A:$A, (MATCH(97, 輔助計算!$G$2:$G$801, 0)+1)), "")&lt;&gt;IFERROR(INDEX(ERP資料!$A:$A, MATCH(96, 輔助計算!$G$2:$G$801, 0)+1), "")), IFERROR(INDEX(ERP資料!$A:$A, (MATCH(97, 輔助計算!$G$2:$G$801, 0)+1)), ""), ""), "")</f>
        <v/>
      </c>
      <c r="B98" s="10">
        <f>IFERROR(IF(AND(IFERROR(INDEX(ERP資料!$A:$A, (MATCH(97, 輔助計算!$G$2:$G$801, 0)+1)), "")&lt;&gt;"", IFERROR(INDEX(ERP資料!$A:$A, (MATCH(97, 輔助計算!$G$2:$G$801, 0)+1)), "")&lt;&gt;IFERROR(INDEX(ERP資料!$A:$A, MATCH(96, 輔助計算!$G$2:$G$801, 0)+1), "")), INDEX(ERP資料!$S:$S, (MATCH(97, 輔助計算!$G$2:$G$801, 0)+1)), ""), "")</f>
        <v/>
      </c>
      <c r="C98" s="19">
        <f>IFERROR(IF(AND(IFERROR(INDEX(ERP資料!$A:$A, (MATCH(97, 輔助計算!$G$2:$G$801, 0)+1)), "")&lt;&gt;"", IFERROR(INDEX(ERP資料!$A:$A, (MATCH(97, 輔助計算!$G$2:$G$801, 0)+1)), "")&lt;&gt;IFERROR(INDEX(ERP資料!$A:$A, MATCH(96, 輔助計算!$G$2:$G$801, 0)+1), "")), IFERROR(VLOOKUP(LEFT(INDEX(ERP資料!$S:$S, (MATCH(97, 輔助計算!$G$2:$G$801, 0)+1)), 4), 紙管對照表!$A:$C, 3, FALSE), ""), ""), "")</f>
        <v/>
      </c>
      <c r="D98" s="16" t="n"/>
      <c r="E98" s="10">
        <f>IFERROR(IF(INDEX(ERP資料!$H:$H, (MATCH(97, 輔助計算!$G$2:$G$801, 0)+1))="","",INDEX(ERP資料!$H:$H, (MATCH(97, 輔助計算!$G$2:$G$801, 0)+1))), "")</f>
        <v/>
      </c>
      <c r="F98" s="10">
        <f>IFERROR(IF(INDEX(ERP資料!$E:$E, (MATCH(97, 輔助計算!$G$2:$G$801, 0)+1))="","",TRIM(INDEX(ERP資料!$E:$E, (MATCH(97, 輔助計算!$G$2:$G$801, 0)+1)))), "")</f>
        <v/>
      </c>
      <c r="G98" s="10">
        <f>IFERROR(IF(INDEX(ERP資料!$F:$F, (MATCH(97, 輔助計算!$G$2:$G$801, 0)+1))="","",INDEX(ERP資料!$F:$F, (MATCH(97, 輔助計算!$G$2:$G$801, 0)+1))), "")</f>
        <v/>
      </c>
      <c r="H98" s="10">
        <f>IFERROR(IF(INDEX(ERP資料!$G:$G, (MATCH(97, 輔助計算!$G$2:$G$801, 0)+1))="","",INDEX(ERP資料!$G:$G, (MATCH(97, 輔助計算!$G$2:$G$801, 0)+1))), "")</f>
        <v/>
      </c>
      <c r="I98" s="15">
        <f>IFERROR(INDEX(輔助計算!$D:$D, (MATCH(97, 輔助計算!$G$2:$G$801, 0)+1)), "")</f>
        <v/>
      </c>
      <c r="J98" s="15">
        <f>IFERROR(IF(AND(INDEX(輔助計算!$D:$D, (MATCH(97, 輔助計算!$G$2:$G$801, 0)+1))&lt;&gt;"", INDEX(ERP資料!$G:$G, (MATCH(97, 輔助計算!$G$2:$G$801, 0)+1))&lt;&gt;""), TRIM(IF(INT(INDEX(輔助計算!$D:$D, (MATCH(97, 輔助計算!$G$2:$G$801, 0)+1))/IF(INDEX(ERP資料!$G:$G, (MATCH(97, 輔助計算!$G$2:$G$801, 0)+1))&lt;100, IF(INDEX(ERP資料!$G:$G, (MATCH(97, 輔助計算!$G$2:$G$801, 0)+1))&lt;=31,3,IF(INDEX(ERP資料!$G:$G, (MATCH(97, 輔助計算!$G$2:$G$801, 0)+1))&lt;=46.5,2,1)), IF(INDEX(ERP資料!$G:$G, (MATCH(97, 輔助計算!$G$2:$G$801, 0)+1))&lt;=790,3,IF(INDEX(ERP資料!$G:$G, (MATCH(97, 輔助計算!$G$2:$G$801, 0)+1))&lt;=1181,2,1))))&gt;0, IF(IF(INDEX(ERP資料!$G:$G, (MATCH(97, 輔助計算!$G$2:$G$801, 0)+1))&lt;100, IF(INDEX(ERP資料!$G:$G, (MATCH(97, 輔助計算!$G$2:$G$801, 0)+1))&lt;=31,3,IF(INDEX(ERP資料!$G:$G, (MATCH(97, 輔助計算!$G$2:$G$801, 0)+1))&lt;=46.5,2,1)), IF(INDEX(ERP資料!$G:$G, (MATCH(97, 輔助計算!$G$2:$G$801, 0)+1))&lt;=790,3,IF(INDEX(ERP資料!$G:$G, (MATCH(97, 輔助計算!$G$2:$G$801, 0)+1))&lt;=1181,2,1)))=1,TEXT(INDEX(ERP資料!$G:$G, (MATCH(97, 輔助計算!$G$2:$G$801, 0)+1)),"0.##"),IF(IF(INDEX(ERP資料!$G:$G, (MATCH(97, 輔助計算!$G$2:$G$801, 0)+1))&lt;100, IF(INDEX(ERP資料!$G:$G, (MATCH(97, 輔助計算!$G$2:$G$801, 0)+1))&lt;=31,3,IF(INDEX(ERP資料!$G:$G, (MATCH(97, 輔助計算!$G$2:$G$801, 0)+1))&lt;=46.5,2,1)), IF(INDEX(ERP資料!$G:$G, (MATCH(97, 輔助計算!$G$2:$G$801, 0)+1))&lt;=790,3,IF(INDEX(ERP資料!$G:$G, (MATCH(97, 輔助計算!$G$2:$G$801, 0)+1))&lt;=1181,2,1)))=2,TEXT(INDEX(ERP資料!$G:$G, (MATCH(97, 輔助計算!$G$2:$G$801, 0)+1)),"0.##")&amp;"+"&amp;TEXT(INDEX(ERP資料!$G:$G, (MATCH(97, 輔助計算!$G$2:$G$801, 0)+1)),"0.##"),TEXT(INDEX(ERP資料!$G:$G, (MATCH(97, 輔助計算!$G$2:$G$801, 0)+1)),"0.##")&amp;"+"&amp;TEXT(INDEX(ERP資料!$G:$G, (MATCH(97, 輔助計算!$G$2:$G$801, 0)+1)),"0.##")&amp;"+"&amp;TEXT(INDEX(ERP資料!$G:$G, (MATCH(97, 輔助計算!$G$2:$G$801, 0)+1)),"0.##")))&amp;"-"&amp;INT(INDEX(輔助計算!$D:$D, (MATCH(97, 輔助計算!$G$2:$G$801, 0)+1))/IF(INDEX(ERP資料!$G:$G, (MATCH(97, 輔助計算!$G$2:$G$801, 0)+1))&lt;100, IF(INDEX(ERP資料!$G:$G, (MATCH(97, 輔助計算!$G$2:$G$801, 0)+1))&lt;=31,3,IF(INDEX(ERP資料!$G:$G, (MATCH(97, 輔助計算!$G$2:$G$801, 0)+1))&lt;=46.5,2,1)), IF(INDEX(ERP資料!$G:$G, (MATCH(97, 輔助計算!$G$2:$G$801, 0)+1))&lt;=790,3,IF(INDEX(ERP資料!$G:$G, (MATCH(97, 輔助計算!$G$2:$G$801, 0)+1))&lt;=1181,2,1)))), "")&amp;IF(AND(IF(INT(INDEX(輔助計算!$D:$D, (MATCH(97, 輔助計算!$G$2:$G$801, 0)+1))/IF(INDEX(ERP資料!$G:$G, (MATCH(97, 輔助計算!$G$2:$G$801, 0)+1))&lt;100, IF(INDEX(ERP資料!$G:$G, (MATCH(97, 輔助計算!$G$2:$G$801, 0)+1))&lt;=31,3,IF(INDEX(ERP資料!$G:$G, (MATCH(97, 輔助計算!$G$2:$G$801, 0)+1))&lt;=46.5,2,1)), IF(INDEX(ERP資料!$G:$G, (MATCH(97, 輔助計算!$G$2:$G$801, 0)+1))&lt;=790,3,IF(INDEX(ERP資料!$G:$G, (MATCH(97, 輔助計算!$G$2:$G$801, 0)+1))&lt;=1181,2,1))))&gt;0, IF(IF(INDEX(ERP資料!$G:$G, (MATCH(97, 輔助計算!$G$2:$G$801, 0)+1))&lt;100, IF(INDEX(ERP資料!$G:$G, (MATCH(97, 輔助計算!$G$2:$G$801, 0)+1))&lt;=31,3,IF(INDEX(ERP資料!$G:$G, (MATCH(97, 輔助計算!$G$2:$G$801, 0)+1))&lt;=46.5,2,1)), IF(INDEX(ERP資料!$G:$G, (MATCH(97, 輔助計算!$G$2:$G$801, 0)+1))&lt;=790,3,IF(INDEX(ERP資料!$G:$G, (MATCH(97, 輔助計算!$G$2:$G$801, 0)+1))&lt;=1181,2,1)))=1,TEXT(INDEX(ERP資料!$G:$G, (MATCH(97, 輔助計算!$G$2:$G$801, 0)+1)),"0.##"),IF(IF(INDEX(ERP資料!$G:$G, (MATCH(97, 輔助計算!$G$2:$G$801, 0)+1))&lt;100, IF(INDEX(ERP資料!$G:$G, (MATCH(97, 輔助計算!$G$2:$G$801, 0)+1))&lt;=31,3,IF(INDEX(ERP資料!$G:$G, (MATCH(97, 輔助計算!$G$2:$G$801, 0)+1))&lt;=46.5,2,1)), IF(INDEX(ERP資料!$G:$G, (MATCH(97, 輔助計算!$G$2:$G$801, 0)+1))&lt;=790,3,IF(INDEX(ERP資料!$G:$G, (MATCH(97, 輔助計算!$G$2:$G$801, 0)+1))&lt;=1181,2,1)))=2,TEXT(INDEX(ERP資料!$G:$G, (MATCH(97, 輔助計算!$G$2:$G$801, 0)+1)),"0.##")&amp;"+"&amp;TEXT(INDEX(ERP資料!$G:$G, (MATCH(97, 輔助計算!$G$2:$G$801, 0)+1)),"0.##"),TEXT(INDEX(ERP資料!$G:$G, (MATCH(97, 輔助計算!$G$2:$G$801, 0)+1)),"0.##")&amp;"+"&amp;TEXT(INDEX(ERP資料!$G:$G, (MATCH(97, 輔助計算!$G$2:$G$801, 0)+1)),"0.##")&amp;"+"&amp;TEXT(INDEX(ERP資料!$G:$G, (MATCH(97, 輔助計算!$G$2:$G$801, 0)+1)),"0.##")))&amp;"-"&amp;INT(INDEX(輔助計算!$D:$D, (MATCH(97, 輔助計算!$G$2:$G$801, 0)+1))/IF(INDEX(ERP資料!$G:$G, (MATCH(97, 輔助計算!$G$2:$G$801, 0)+1))&lt;100, IF(INDEX(ERP資料!$G:$G, (MATCH(97, 輔助計算!$G$2:$G$801, 0)+1))&lt;=31,3,IF(INDEX(ERP資料!$G:$G, (MATCH(97, 輔助計算!$G$2:$G$801, 0)+1))&lt;=46.5,2,1)), IF(INDEX(ERP資料!$G:$G, (MATCH(97, 輔助計算!$G$2:$G$801, 0)+1))&lt;=790,3,IF(INDEX(ERP資料!$G:$G, (MATCH(97, 輔助計算!$G$2:$G$801, 0)+1))&lt;=1181,2,1)))), "")&lt;&gt;"",IF(MOD(INDEX(輔助計算!$D:$D, (MATCH(97, 輔助計算!$G$2:$G$801, 0)+1)),IF(INDEX(ERP資料!$G:$G, (MATCH(97, 輔助計算!$G$2:$G$801, 0)+1))&lt;100, IF(INDEX(ERP資料!$G:$G, (MATCH(97, 輔助計算!$G$2:$G$801, 0)+1))&lt;=31,3,IF(INDEX(ERP資料!$G:$G, (MATCH(97, 輔助計算!$G$2:$G$801, 0)+1))&lt;=46.5,2,1)), IF(INDEX(ERP資料!$G:$G, (MATCH(97, 輔助計算!$G$2:$G$801, 0)+1))&lt;=790,3,IF(INDEX(ERP資料!$G:$G, (MATCH(97, 輔助計算!$G$2:$G$801, 0)+1))&lt;=1181,2,1))))=0,"",IF(MOD(INDEX(輔助計算!$D:$D, (MATCH(97, 輔助計算!$G$2:$G$801, 0)+1)),IF(INDEX(ERP資料!$G:$G, (MATCH(97, 輔助計算!$G$2:$G$801, 0)+1))&lt;100, IF(INDEX(ERP資料!$G:$G, (MATCH(97, 輔助計算!$G$2:$G$801, 0)+1))&lt;=31,3,IF(INDEX(ERP資料!$G:$G, (MATCH(97, 輔助計算!$G$2:$G$801, 0)+1))&lt;=46.5,2,1)), IF(INDEX(ERP資料!$G:$G, (MATCH(97, 輔助計算!$G$2:$G$801, 0)+1))&lt;=790,3,IF(INDEX(ERP資料!$G:$G, (MATCH(97, 輔助計算!$G$2:$G$801, 0)+1))&lt;=1181,2,1))))=0,"",IF(MOD(INDEX(輔助計算!$D:$D, (MATCH(97, 輔助計算!$G$2:$G$801, 0)+1)),IF(INDEX(ERP資料!$G:$G, (MATCH(97, 輔助計算!$G$2:$G$801, 0)+1))&lt;100, IF(INDEX(ERP資料!$G:$G, (MATCH(97, 輔助計算!$G$2:$G$801, 0)+1))&lt;=31,3,IF(INDEX(ERP資料!$G:$G, (MATCH(97, 輔助計算!$G$2:$G$801, 0)+1))&lt;=46.5,2,1)), IF(INDEX(ERP資料!$G:$G, (MATCH(97, 輔助計算!$G$2:$G$801, 0)+1))&lt;=790,3,IF(INDEX(ERP資料!$G:$G, (MATCH(97, 輔助計算!$G$2:$G$801, 0)+1))&lt;=1181,2,1))))=1,TEXT(INDEX(ERP資料!$G:$G, (MATCH(97, 輔助計算!$G$2:$G$801, 0)+1)),"0.##"),IF(MOD(INDEX(輔助計算!$D:$D, (MATCH(97, 輔助計算!$G$2:$G$801, 0)+1)),IF(INDEX(ERP資料!$G:$G, (MATCH(97, 輔助計算!$G$2:$G$801, 0)+1))&lt;100, IF(INDEX(ERP資料!$G:$G, (MATCH(97, 輔助計算!$G$2:$G$801, 0)+1))&lt;=31,3,IF(INDEX(ERP資料!$G:$G, (MATCH(97, 輔助計算!$G$2:$G$801, 0)+1))&lt;=46.5,2,1)), IF(INDEX(ERP資料!$G:$G, (MATCH(97, 輔助計算!$G$2:$G$801, 0)+1))&lt;=790,3,IF(INDEX(ERP資料!$G:$G, (MATCH(97, 輔助計算!$G$2:$G$801, 0)+1))&lt;=1181,2,1))))=2,TEXT(INDEX(ERP資料!$G:$G, (MATCH(97, 輔助計算!$G$2:$G$801, 0)+1)),"0.##")&amp;"+"&amp;TEXT(INDEX(ERP資料!$G:$G, (MATCH(97, 輔助計算!$G$2:$G$801, 0)+1)),"0.##"),TEXT(INDEX(ERP資料!$G:$G, (MATCH(97, 輔助計算!$G$2:$G$801, 0)+1)),"0.##")&amp;"+"&amp;TEXT(INDEX(ERP資料!$G:$G, (MATCH(97, 輔助計算!$G$2:$G$801, 0)+1)),"0.##")&amp;"+"&amp;TEXT(INDEX(ERP資料!$G:$G, (MATCH(97, 輔助計算!$G$2:$G$801, 0)+1)),"0.##"))))&amp;"-1")&lt;&gt;""),"  ","")&amp;IF(MOD(INDEX(輔助計算!$D:$D, (MATCH(97, 輔助計算!$G$2:$G$801, 0)+1)),IF(INDEX(ERP資料!$G:$G, (MATCH(97, 輔助計算!$G$2:$G$801, 0)+1))&lt;100, IF(INDEX(ERP資料!$G:$G, (MATCH(97, 輔助計算!$G$2:$G$801, 0)+1))&lt;=31,3,IF(INDEX(ERP資料!$G:$G, (MATCH(97, 輔助計算!$G$2:$G$801, 0)+1))&lt;=46.5,2,1)), IF(INDEX(ERP資料!$G:$G, (MATCH(97, 輔助計算!$G$2:$G$801, 0)+1))&lt;=790,3,IF(INDEX(ERP資料!$G:$G, (MATCH(97, 輔助計算!$G$2:$G$801, 0)+1))&lt;=1181,2,1))))=0,"",IF(MOD(INDEX(輔助計算!$D:$D, (MATCH(97, 輔助計算!$G$2:$G$801, 0)+1)),IF(INDEX(ERP資料!$G:$G, (MATCH(97, 輔助計算!$G$2:$G$801, 0)+1))&lt;100, IF(INDEX(ERP資料!$G:$G, (MATCH(97, 輔助計算!$G$2:$G$801, 0)+1))&lt;=31,3,IF(INDEX(ERP資料!$G:$G, (MATCH(97, 輔助計算!$G$2:$G$801, 0)+1))&lt;=46.5,2,1)), IF(INDEX(ERP資料!$G:$G, (MATCH(97, 輔助計算!$G$2:$G$801, 0)+1))&lt;=790,3,IF(INDEX(ERP資料!$G:$G, (MATCH(97, 輔助計算!$G$2:$G$801, 0)+1))&lt;=1181,2,1))))=0,"",IF(MOD(INDEX(輔助計算!$D:$D, (MATCH(97, 輔助計算!$G$2:$G$801, 0)+1)),IF(INDEX(ERP資料!$G:$G, (MATCH(97, 輔助計算!$G$2:$G$801, 0)+1))&lt;100, IF(INDEX(ERP資料!$G:$G, (MATCH(97, 輔助計算!$G$2:$G$801, 0)+1))&lt;=31,3,IF(INDEX(ERP資料!$G:$G, (MATCH(97, 輔助計算!$G$2:$G$801, 0)+1))&lt;=46.5,2,1)), IF(INDEX(ERP資料!$G:$G, (MATCH(97, 輔助計算!$G$2:$G$801, 0)+1))&lt;=790,3,IF(INDEX(ERP資料!$G:$G, (MATCH(97, 輔助計算!$G$2:$G$801, 0)+1))&lt;=1181,2,1))))=1,TEXT(INDEX(ERP資料!$G:$G, (MATCH(97, 輔助計算!$G$2:$G$801, 0)+1)),"0.##"),IF(MOD(INDEX(輔助計算!$D:$D, (MATCH(97, 輔助計算!$G$2:$G$801, 0)+1)),IF(INDEX(ERP資料!$G:$G, (MATCH(97, 輔助計算!$G$2:$G$801, 0)+1))&lt;100, IF(INDEX(ERP資料!$G:$G, (MATCH(97, 輔助計算!$G$2:$G$801, 0)+1))&lt;=31,3,IF(INDEX(ERP資料!$G:$G, (MATCH(97, 輔助計算!$G$2:$G$801, 0)+1))&lt;=46.5,2,1)), IF(INDEX(ERP資料!$G:$G, (MATCH(97, 輔助計算!$G$2:$G$801, 0)+1))&lt;=790,3,IF(INDEX(ERP資料!$G:$G, (MATCH(97, 輔助計算!$G$2:$G$801, 0)+1))&lt;=1181,2,1))))=2,TEXT(INDEX(ERP資料!$G:$G, (MATCH(97, 輔助計算!$G$2:$G$801, 0)+1)),"0.##")&amp;"+"&amp;TEXT(INDEX(ERP資料!$G:$G, (MATCH(97, 輔助計算!$G$2:$G$801, 0)+1)),"0.##"),TEXT(INDEX(ERP資料!$G:$G, (MATCH(97, 輔助計算!$G$2:$G$801, 0)+1)),"0.##")&amp;"+"&amp;TEXT(INDEX(ERP資料!$G:$G, (MATCH(97, 輔助計算!$G$2:$G$801, 0)+1)),"0.##")&amp;"+"&amp;TEXT(INDEX(ERP資料!$G:$G, (MATCH(97, 輔助計算!$G$2:$G$801, 0)+1)),"0.##"))))&amp;"-1")), ""), "")</f>
        <v/>
      </c>
      <c r="K98" s="16" t="n"/>
      <c r="L98" s="14">
        <f>IFERROR(IF(AND(IFERROR(INDEX(ERP資料!$A:$A, (MATCH(97, 輔助計算!$G$2:$G$801, 0)+1)), "")&lt;&gt;"", IFERROR(INDEX(ERP資料!$A:$A, (MATCH(97, 輔助計算!$G$2:$G$801, 0)+1)), "")&lt;&gt;IFERROR(INDEX(ERP資料!$A:$A, MATCH(96, 輔助計算!$G$2:$G$801, 0)+1), "")), INDEX(ERP資料!$B:$B, (MATCH(97, 輔助計算!$G$2:$G$801, 0)+1)), ""), "")</f>
        <v/>
      </c>
      <c r="M98" s="17" t="n"/>
    </row>
    <row r="99">
      <c r="A99" s="10">
        <f>IFERROR(IF(AND(IFERROR(INDEX(ERP資料!$A:$A, (MATCH(98, 輔助計算!$G$2:$G$801, 0)+1)), "")&lt;&gt;"", IFERROR(INDEX(ERP資料!$A:$A, (MATCH(98, 輔助計算!$G$2:$G$801, 0)+1)), "")&lt;&gt;IFERROR(INDEX(ERP資料!$A:$A, MATCH(97, 輔助計算!$G$2:$G$801, 0)+1), "")), IFERROR(INDEX(ERP資料!$A:$A, (MATCH(98, 輔助計算!$G$2:$G$801, 0)+1)), ""), ""), "")</f>
        <v/>
      </c>
      <c r="B99" s="10">
        <f>IFERROR(IF(AND(IFERROR(INDEX(ERP資料!$A:$A, (MATCH(98, 輔助計算!$G$2:$G$801, 0)+1)), "")&lt;&gt;"", IFERROR(INDEX(ERP資料!$A:$A, (MATCH(98, 輔助計算!$G$2:$G$801, 0)+1)), "")&lt;&gt;IFERROR(INDEX(ERP資料!$A:$A, MATCH(97, 輔助計算!$G$2:$G$801, 0)+1), "")), INDEX(ERP資料!$S:$S, (MATCH(98, 輔助計算!$G$2:$G$801, 0)+1)), ""), "")</f>
        <v/>
      </c>
      <c r="C99" s="19">
        <f>IFERROR(IF(AND(IFERROR(INDEX(ERP資料!$A:$A, (MATCH(98, 輔助計算!$G$2:$G$801, 0)+1)), "")&lt;&gt;"", IFERROR(INDEX(ERP資料!$A:$A, (MATCH(98, 輔助計算!$G$2:$G$801, 0)+1)), "")&lt;&gt;IFERROR(INDEX(ERP資料!$A:$A, MATCH(97, 輔助計算!$G$2:$G$801, 0)+1), "")), IFERROR(VLOOKUP(LEFT(INDEX(ERP資料!$S:$S, (MATCH(98, 輔助計算!$G$2:$G$801, 0)+1)), 4), 紙管對照表!$A:$C, 3, FALSE), ""), ""), "")</f>
        <v/>
      </c>
      <c r="D99" s="16" t="n"/>
      <c r="E99" s="10">
        <f>IFERROR(IF(INDEX(ERP資料!$H:$H, (MATCH(98, 輔助計算!$G$2:$G$801, 0)+1))="","",INDEX(ERP資料!$H:$H, (MATCH(98, 輔助計算!$G$2:$G$801, 0)+1))), "")</f>
        <v/>
      </c>
      <c r="F99" s="10">
        <f>IFERROR(IF(INDEX(ERP資料!$E:$E, (MATCH(98, 輔助計算!$G$2:$G$801, 0)+1))="","",TRIM(INDEX(ERP資料!$E:$E, (MATCH(98, 輔助計算!$G$2:$G$801, 0)+1)))), "")</f>
        <v/>
      </c>
      <c r="G99" s="10">
        <f>IFERROR(IF(INDEX(ERP資料!$F:$F, (MATCH(98, 輔助計算!$G$2:$G$801, 0)+1))="","",INDEX(ERP資料!$F:$F, (MATCH(98, 輔助計算!$G$2:$G$801, 0)+1))), "")</f>
        <v/>
      </c>
      <c r="H99" s="10">
        <f>IFERROR(IF(INDEX(ERP資料!$G:$G, (MATCH(98, 輔助計算!$G$2:$G$801, 0)+1))="","",INDEX(ERP資料!$G:$G, (MATCH(98, 輔助計算!$G$2:$G$801, 0)+1))), "")</f>
        <v/>
      </c>
      <c r="I99" s="15">
        <f>IFERROR(INDEX(輔助計算!$D:$D, (MATCH(98, 輔助計算!$G$2:$G$801, 0)+1)), "")</f>
        <v/>
      </c>
      <c r="J99" s="15">
        <f>IFERROR(IF(AND(INDEX(輔助計算!$D:$D, (MATCH(98, 輔助計算!$G$2:$G$801, 0)+1))&lt;&gt;"", INDEX(ERP資料!$G:$G, (MATCH(98, 輔助計算!$G$2:$G$801, 0)+1))&lt;&gt;""), TRIM(IF(INT(INDEX(輔助計算!$D:$D, (MATCH(98, 輔助計算!$G$2:$G$801, 0)+1))/IF(INDEX(ERP資料!$G:$G, (MATCH(98, 輔助計算!$G$2:$G$801, 0)+1))&lt;100, IF(INDEX(ERP資料!$G:$G, (MATCH(98, 輔助計算!$G$2:$G$801, 0)+1))&lt;=31,3,IF(INDEX(ERP資料!$G:$G, (MATCH(98, 輔助計算!$G$2:$G$801, 0)+1))&lt;=46.5,2,1)), IF(INDEX(ERP資料!$G:$G, (MATCH(98, 輔助計算!$G$2:$G$801, 0)+1))&lt;=790,3,IF(INDEX(ERP資料!$G:$G, (MATCH(98, 輔助計算!$G$2:$G$801, 0)+1))&lt;=1181,2,1))))&gt;0, IF(IF(INDEX(ERP資料!$G:$G, (MATCH(98, 輔助計算!$G$2:$G$801, 0)+1))&lt;100, IF(INDEX(ERP資料!$G:$G, (MATCH(98, 輔助計算!$G$2:$G$801, 0)+1))&lt;=31,3,IF(INDEX(ERP資料!$G:$G, (MATCH(98, 輔助計算!$G$2:$G$801, 0)+1))&lt;=46.5,2,1)), IF(INDEX(ERP資料!$G:$G, (MATCH(98, 輔助計算!$G$2:$G$801, 0)+1))&lt;=790,3,IF(INDEX(ERP資料!$G:$G, (MATCH(98, 輔助計算!$G$2:$G$801, 0)+1))&lt;=1181,2,1)))=1,TEXT(INDEX(ERP資料!$G:$G, (MATCH(98, 輔助計算!$G$2:$G$801, 0)+1)),"0.##"),IF(IF(INDEX(ERP資料!$G:$G, (MATCH(98, 輔助計算!$G$2:$G$801, 0)+1))&lt;100, IF(INDEX(ERP資料!$G:$G, (MATCH(98, 輔助計算!$G$2:$G$801, 0)+1))&lt;=31,3,IF(INDEX(ERP資料!$G:$G, (MATCH(98, 輔助計算!$G$2:$G$801, 0)+1))&lt;=46.5,2,1)), IF(INDEX(ERP資料!$G:$G, (MATCH(98, 輔助計算!$G$2:$G$801, 0)+1))&lt;=790,3,IF(INDEX(ERP資料!$G:$G, (MATCH(98, 輔助計算!$G$2:$G$801, 0)+1))&lt;=1181,2,1)))=2,TEXT(INDEX(ERP資料!$G:$G, (MATCH(98, 輔助計算!$G$2:$G$801, 0)+1)),"0.##")&amp;"+"&amp;TEXT(INDEX(ERP資料!$G:$G, (MATCH(98, 輔助計算!$G$2:$G$801, 0)+1)),"0.##"),TEXT(INDEX(ERP資料!$G:$G, (MATCH(98, 輔助計算!$G$2:$G$801, 0)+1)),"0.##")&amp;"+"&amp;TEXT(INDEX(ERP資料!$G:$G, (MATCH(98, 輔助計算!$G$2:$G$801, 0)+1)),"0.##")&amp;"+"&amp;TEXT(INDEX(ERP資料!$G:$G, (MATCH(98, 輔助計算!$G$2:$G$801, 0)+1)),"0.##")))&amp;"-"&amp;INT(INDEX(輔助計算!$D:$D, (MATCH(98, 輔助計算!$G$2:$G$801, 0)+1))/IF(INDEX(ERP資料!$G:$G, (MATCH(98, 輔助計算!$G$2:$G$801, 0)+1))&lt;100, IF(INDEX(ERP資料!$G:$G, (MATCH(98, 輔助計算!$G$2:$G$801, 0)+1))&lt;=31,3,IF(INDEX(ERP資料!$G:$G, (MATCH(98, 輔助計算!$G$2:$G$801, 0)+1))&lt;=46.5,2,1)), IF(INDEX(ERP資料!$G:$G, (MATCH(98, 輔助計算!$G$2:$G$801, 0)+1))&lt;=790,3,IF(INDEX(ERP資料!$G:$G, (MATCH(98, 輔助計算!$G$2:$G$801, 0)+1))&lt;=1181,2,1)))), "")&amp;IF(AND(IF(INT(INDEX(輔助計算!$D:$D, (MATCH(98, 輔助計算!$G$2:$G$801, 0)+1))/IF(INDEX(ERP資料!$G:$G, (MATCH(98, 輔助計算!$G$2:$G$801, 0)+1))&lt;100, IF(INDEX(ERP資料!$G:$G, (MATCH(98, 輔助計算!$G$2:$G$801, 0)+1))&lt;=31,3,IF(INDEX(ERP資料!$G:$G, (MATCH(98, 輔助計算!$G$2:$G$801, 0)+1))&lt;=46.5,2,1)), IF(INDEX(ERP資料!$G:$G, (MATCH(98, 輔助計算!$G$2:$G$801, 0)+1))&lt;=790,3,IF(INDEX(ERP資料!$G:$G, (MATCH(98, 輔助計算!$G$2:$G$801, 0)+1))&lt;=1181,2,1))))&gt;0, IF(IF(INDEX(ERP資料!$G:$G, (MATCH(98, 輔助計算!$G$2:$G$801, 0)+1))&lt;100, IF(INDEX(ERP資料!$G:$G, (MATCH(98, 輔助計算!$G$2:$G$801, 0)+1))&lt;=31,3,IF(INDEX(ERP資料!$G:$G, (MATCH(98, 輔助計算!$G$2:$G$801, 0)+1))&lt;=46.5,2,1)), IF(INDEX(ERP資料!$G:$G, (MATCH(98, 輔助計算!$G$2:$G$801, 0)+1))&lt;=790,3,IF(INDEX(ERP資料!$G:$G, (MATCH(98, 輔助計算!$G$2:$G$801, 0)+1))&lt;=1181,2,1)))=1,TEXT(INDEX(ERP資料!$G:$G, (MATCH(98, 輔助計算!$G$2:$G$801, 0)+1)),"0.##"),IF(IF(INDEX(ERP資料!$G:$G, (MATCH(98, 輔助計算!$G$2:$G$801, 0)+1))&lt;100, IF(INDEX(ERP資料!$G:$G, (MATCH(98, 輔助計算!$G$2:$G$801, 0)+1))&lt;=31,3,IF(INDEX(ERP資料!$G:$G, (MATCH(98, 輔助計算!$G$2:$G$801, 0)+1))&lt;=46.5,2,1)), IF(INDEX(ERP資料!$G:$G, (MATCH(98, 輔助計算!$G$2:$G$801, 0)+1))&lt;=790,3,IF(INDEX(ERP資料!$G:$G, (MATCH(98, 輔助計算!$G$2:$G$801, 0)+1))&lt;=1181,2,1)))=2,TEXT(INDEX(ERP資料!$G:$G, (MATCH(98, 輔助計算!$G$2:$G$801, 0)+1)),"0.##")&amp;"+"&amp;TEXT(INDEX(ERP資料!$G:$G, (MATCH(98, 輔助計算!$G$2:$G$801, 0)+1)),"0.##"),TEXT(INDEX(ERP資料!$G:$G, (MATCH(98, 輔助計算!$G$2:$G$801, 0)+1)),"0.##")&amp;"+"&amp;TEXT(INDEX(ERP資料!$G:$G, (MATCH(98, 輔助計算!$G$2:$G$801, 0)+1)),"0.##")&amp;"+"&amp;TEXT(INDEX(ERP資料!$G:$G, (MATCH(98, 輔助計算!$G$2:$G$801, 0)+1)),"0.##")))&amp;"-"&amp;INT(INDEX(輔助計算!$D:$D, (MATCH(98, 輔助計算!$G$2:$G$801, 0)+1))/IF(INDEX(ERP資料!$G:$G, (MATCH(98, 輔助計算!$G$2:$G$801, 0)+1))&lt;100, IF(INDEX(ERP資料!$G:$G, (MATCH(98, 輔助計算!$G$2:$G$801, 0)+1))&lt;=31,3,IF(INDEX(ERP資料!$G:$G, (MATCH(98, 輔助計算!$G$2:$G$801, 0)+1))&lt;=46.5,2,1)), IF(INDEX(ERP資料!$G:$G, (MATCH(98, 輔助計算!$G$2:$G$801, 0)+1))&lt;=790,3,IF(INDEX(ERP資料!$G:$G, (MATCH(98, 輔助計算!$G$2:$G$801, 0)+1))&lt;=1181,2,1)))), "")&lt;&gt;"",IF(MOD(INDEX(輔助計算!$D:$D, (MATCH(98, 輔助計算!$G$2:$G$801, 0)+1)),IF(INDEX(ERP資料!$G:$G, (MATCH(98, 輔助計算!$G$2:$G$801, 0)+1))&lt;100, IF(INDEX(ERP資料!$G:$G, (MATCH(98, 輔助計算!$G$2:$G$801, 0)+1))&lt;=31,3,IF(INDEX(ERP資料!$G:$G, (MATCH(98, 輔助計算!$G$2:$G$801, 0)+1))&lt;=46.5,2,1)), IF(INDEX(ERP資料!$G:$G, (MATCH(98, 輔助計算!$G$2:$G$801, 0)+1))&lt;=790,3,IF(INDEX(ERP資料!$G:$G, (MATCH(98, 輔助計算!$G$2:$G$801, 0)+1))&lt;=1181,2,1))))=0,"",IF(MOD(INDEX(輔助計算!$D:$D, (MATCH(98, 輔助計算!$G$2:$G$801, 0)+1)),IF(INDEX(ERP資料!$G:$G, (MATCH(98, 輔助計算!$G$2:$G$801, 0)+1))&lt;100, IF(INDEX(ERP資料!$G:$G, (MATCH(98, 輔助計算!$G$2:$G$801, 0)+1))&lt;=31,3,IF(INDEX(ERP資料!$G:$G, (MATCH(98, 輔助計算!$G$2:$G$801, 0)+1))&lt;=46.5,2,1)), IF(INDEX(ERP資料!$G:$G, (MATCH(98, 輔助計算!$G$2:$G$801, 0)+1))&lt;=790,3,IF(INDEX(ERP資料!$G:$G, (MATCH(98, 輔助計算!$G$2:$G$801, 0)+1))&lt;=1181,2,1))))=0,"",IF(MOD(INDEX(輔助計算!$D:$D, (MATCH(98, 輔助計算!$G$2:$G$801, 0)+1)),IF(INDEX(ERP資料!$G:$G, (MATCH(98, 輔助計算!$G$2:$G$801, 0)+1))&lt;100, IF(INDEX(ERP資料!$G:$G, (MATCH(98, 輔助計算!$G$2:$G$801, 0)+1))&lt;=31,3,IF(INDEX(ERP資料!$G:$G, (MATCH(98, 輔助計算!$G$2:$G$801, 0)+1))&lt;=46.5,2,1)), IF(INDEX(ERP資料!$G:$G, (MATCH(98, 輔助計算!$G$2:$G$801, 0)+1))&lt;=790,3,IF(INDEX(ERP資料!$G:$G, (MATCH(98, 輔助計算!$G$2:$G$801, 0)+1))&lt;=1181,2,1))))=1,TEXT(INDEX(ERP資料!$G:$G, (MATCH(98, 輔助計算!$G$2:$G$801, 0)+1)),"0.##"),IF(MOD(INDEX(輔助計算!$D:$D, (MATCH(98, 輔助計算!$G$2:$G$801, 0)+1)),IF(INDEX(ERP資料!$G:$G, (MATCH(98, 輔助計算!$G$2:$G$801, 0)+1))&lt;100, IF(INDEX(ERP資料!$G:$G, (MATCH(98, 輔助計算!$G$2:$G$801, 0)+1))&lt;=31,3,IF(INDEX(ERP資料!$G:$G, (MATCH(98, 輔助計算!$G$2:$G$801, 0)+1))&lt;=46.5,2,1)), IF(INDEX(ERP資料!$G:$G, (MATCH(98, 輔助計算!$G$2:$G$801, 0)+1))&lt;=790,3,IF(INDEX(ERP資料!$G:$G, (MATCH(98, 輔助計算!$G$2:$G$801, 0)+1))&lt;=1181,2,1))))=2,TEXT(INDEX(ERP資料!$G:$G, (MATCH(98, 輔助計算!$G$2:$G$801, 0)+1)),"0.##")&amp;"+"&amp;TEXT(INDEX(ERP資料!$G:$G, (MATCH(98, 輔助計算!$G$2:$G$801, 0)+1)),"0.##"),TEXT(INDEX(ERP資料!$G:$G, (MATCH(98, 輔助計算!$G$2:$G$801, 0)+1)),"0.##")&amp;"+"&amp;TEXT(INDEX(ERP資料!$G:$G, (MATCH(98, 輔助計算!$G$2:$G$801, 0)+1)),"0.##")&amp;"+"&amp;TEXT(INDEX(ERP資料!$G:$G, (MATCH(98, 輔助計算!$G$2:$G$801, 0)+1)),"0.##"))))&amp;"-1")&lt;&gt;""),"  ","")&amp;IF(MOD(INDEX(輔助計算!$D:$D, (MATCH(98, 輔助計算!$G$2:$G$801, 0)+1)),IF(INDEX(ERP資料!$G:$G, (MATCH(98, 輔助計算!$G$2:$G$801, 0)+1))&lt;100, IF(INDEX(ERP資料!$G:$G, (MATCH(98, 輔助計算!$G$2:$G$801, 0)+1))&lt;=31,3,IF(INDEX(ERP資料!$G:$G, (MATCH(98, 輔助計算!$G$2:$G$801, 0)+1))&lt;=46.5,2,1)), IF(INDEX(ERP資料!$G:$G, (MATCH(98, 輔助計算!$G$2:$G$801, 0)+1))&lt;=790,3,IF(INDEX(ERP資料!$G:$G, (MATCH(98, 輔助計算!$G$2:$G$801, 0)+1))&lt;=1181,2,1))))=0,"",IF(MOD(INDEX(輔助計算!$D:$D, (MATCH(98, 輔助計算!$G$2:$G$801, 0)+1)),IF(INDEX(ERP資料!$G:$G, (MATCH(98, 輔助計算!$G$2:$G$801, 0)+1))&lt;100, IF(INDEX(ERP資料!$G:$G, (MATCH(98, 輔助計算!$G$2:$G$801, 0)+1))&lt;=31,3,IF(INDEX(ERP資料!$G:$G, (MATCH(98, 輔助計算!$G$2:$G$801, 0)+1))&lt;=46.5,2,1)), IF(INDEX(ERP資料!$G:$G, (MATCH(98, 輔助計算!$G$2:$G$801, 0)+1))&lt;=790,3,IF(INDEX(ERP資料!$G:$G, (MATCH(98, 輔助計算!$G$2:$G$801, 0)+1))&lt;=1181,2,1))))=0,"",IF(MOD(INDEX(輔助計算!$D:$D, (MATCH(98, 輔助計算!$G$2:$G$801, 0)+1)),IF(INDEX(ERP資料!$G:$G, (MATCH(98, 輔助計算!$G$2:$G$801, 0)+1))&lt;100, IF(INDEX(ERP資料!$G:$G, (MATCH(98, 輔助計算!$G$2:$G$801, 0)+1))&lt;=31,3,IF(INDEX(ERP資料!$G:$G, (MATCH(98, 輔助計算!$G$2:$G$801, 0)+1))&lt;=46.5,2,1)), IF(INDEX(ERP資料!$G:$G, (MATCH(98, 輔助計算!$G$2:$G$801, 0)+1))&lt;=790,3,IF(INDEX(ERP資料!$G:$G, (MATCH(98, 輔助計算!$G$2:$G$801, 0)+1))&lt;=1181,2,1))))=1,TEXT(INDEX(ERP資料!$G:$G, (MATCH(98, 輔助計算!$G$2:$G$801, 0)+1)),"0.##"),IF(MOD(INDEX(輔助計算!$D:$D, (MATCH(98, 輔助計算!$G$2:$G$801, 0)+1)),IF(INDEX(ERP資料!$G:$G, (MATCH(98, 輔助計算!$G$2:$G$801, 0)+1))&lt;100, IF(INDEX(ERP資料!$G:$G, (MATCH(98, 輔助計算!$G$2:$G$801, 0)+1))&lt;=31,3,IF(INDEX(ERP資料!$G:$G, (MATCH(98, 輔助計算!$G$2:$G$801, 0)+1))&lt;=46.5,2,1)), IF(INDEX(ERP資料!$G:$G, (MATCH(98, 輔助計算!$G$2:$G$801, 0)+1))&lt;=790,3,IF(INDEX(ERP資料!$G:$G, (MATCH(98, 輔助計算!$G$2:$G$801, 0)+1))&lt;=1181,2,1))))=2,TEXT(INDEX(ERP資料!$G:$G, (MATCH(98, 輔助計算!$G$2:$G$801, 0)+1)),"0.##")&amp;"+"&amp;TEXT(INDEX(ERP資料!$G:$G, (MATCH(98, 輔助計算!$G$2:$G$801, 0)+1)),"0.##"),TEXT(INDEX(ERP資料!$G:$G, (MATCH(98, 輔助計算!$G$2:$G$801, 0)+1)),"0.##")&amp;"+"&amp;TEXT(INDEX(ERP資料!$G:$G, (MATCH(98, 輔助計算!$G$2:$G$801, 0)+1)),"0.##")&amp;"+"&amp;TEXT(INDEX(ERP資料!$G:$G, (MATCH(98, 輔助計算!$G$2:$G$801, 0)+1)),"0.##"))))&amp;"-1")), ""), "")</f>
        <v/>
      </c>
      <c r="K99" s="16" t="n"/>
      <c r="L99" s="14">
        <f>IFERROR(IF(AND(IFERROR(INDEX(ERP資料!$A:$A, (MATCH(98, 輔助計算!$G$2:$G$801, 0)+1)), "")&lt;&gt;"", IFERROR(INDEX(ERP資料!$A:$A, (MATCH(98, 輔助計算!$G$2:$G$801, 0)+1)), "")&lt;&gt;IFERROR(INDEX(ERP資料!$A:$A, MATCH(97, 輔助計算!$G$2:$G$801, 0)+1), "")), INDEX(ERP資料!$B:$B, (MATCH(98, 輔助計算!$G$2:$G$801, 0)+1)), ""), "")</f>
        <v/>
      </c>
      <c r="M99" s="17" t="n"/>
    </row>
    <row r="100">
      <c r="A100" s="10">
        <f>IFERROR(IF(AND(IFERROR(INDEX(ERP資料!$A:$A, (MATCH(99, 輔助計算!$G$2:$G$801, 0)+1)), "")&lt;&gt;"", IFERROR(INDEX(ERP資料!$A:$A, (MATCH(99, 輔助計算!$G$2:$G$801, 0)+1)), "")&lt;&gt;IFERROR(INDEX(ERP資料!$A:$A, MATCH(98, 輔助計算!$G$2:$G$801, 0)+1), "")), IFERROR(INDEX(ERP資料!$A:$A, (MATCH(99, 輔助計算!$G$2:$G$801, 0)+1)), ""), ""), "")</f>
        <v/>
      </c>
      <c r="B100" s="10">
        <f>IFERROR(IF(AND(IFERROR(INDEX(ERP資料!$A:$A, (MATCH(99, 輔助計算!$G$2:$G$801, 0)+1)), "")&lt;&gt;"", IFERROR(INDEX(ERP資料!$A:$A, (MATCH(99, 輔助計算!$G$2:$G$801, 0)+1)), "")&lt;&gt;IFERROR(INDEX(ERP資料!$A:$A, MATCH(98, 輔助計算!$G$2:$G$801, 0)+1), "")), INDEX(ERP資料!$S:$S, (MATCH(99, 輔助計算!$G$2:$G$801, 0)+1)), ""), "")</f>
        <v/>
      </c>
      <c r="C100" s="19">
        <f>IFERROR(IF(AND(IFERROR(INDEX(ERP資料!$A:$A, (MATCH(99, 輔助計算!$G$2:$G$801, 0)+1)), "")&lt;&gt;"", IFERROR(INDEX(ERP資料!$A:$A, (MATCH(99, 輔助計算!$G$2:$G$801, 0)+1)), "")&lt;&gt;IFERROR(INDEX(ERP資料!$A:$A, MATCH(98, 輔助計算!$G$2:$G$801, 0)+1), "")), IFERROR(VLOOKUP(LEFT(INDEX(ERP資料!$S:$S, (MATCH(99, 輔助計算!$G$2:$G$801, 0)+1)), 4), 紙管對照表!$A:$C, 3, FALSE), ""), ""), "")</f>
        <v/>
      </c>
      <c r="D100" s="16" t="n"/>
      <c r="E100" s="10">
        <f>IFERROR(IF(INDEX(ERP資料!$H:$H, (MATCH(99, 輔助計算!$G$2:$G$801, 0)+1))="","",INDEX(ERP資料!$H:$H, (MATCH(99, 輔助計算!$G$2:$G$801, 0)+1))), "")</f>
        <v/>
      </c>
      <c r="F100" s="10">
        <f>IFERROR(IF(INDEX(ERP資料!$E:$E, (MATCH(99, 輔助計算!$G$2:$G$801, 0)+1))="","",TRIM(INDEX(ERP資料!$E:$E, (MATCH(99, 輔助計算!$G$2:$G$801, 0)+1)))), "")</f>
        <v/>
      </c>
      <c r="G100" s="10">
        <f>IFERROR(IF(INDEX(ERP資料!$F:$F, (MATCH(99, 輔助計算!$G$2:$G$801, 0)+1))="","",INDEX(ERP資料!$F:$F, (MATCH(99, 輔助計算!$G$2:$G$801, 0)+1))), "")</f>
        <v/>
      </c>
      <c r="H100" s="10">
        <f>IFERROR(IF(INDEX(ERP資料!$G:$G, (MATCH(99, 輔助計算!$G$2:$G$801, 0)+1))="","",INDEX(ERP資料!$G:$G, (MATCH(99, 輔助計算!$G$2:$G$801, 0)+1))), "")</f>
        <v/>
      </c>
      <c r="I100" s="15">
        <f>IFERROR(INDEX(輔助計算!$D:$D, (MATCH(99, 輔助計算!$G$2:$G$801, 0)+1)), "")</f>
        <v/>
      </c>
      <c r="J100" s="15">
        <f>IFERROR(IF(AND(INDEX(輔助計算!$D:$D, (MATCH(99, 輔助計算!$G$2:$G$801, 0)+1))&lt;&gt;"", INDEX(ERP資料!$G:$G, (MATCH(99, 輔助計算!$G$2:$G$801, 0)+1))&lt;&gt;""), TRIM(IF(INT(INDEX(輔助計算!$D:$D, (MATCH(99, 輔助計算!$G$2:$G$801, 0)+1))/IF(INDEX(ERP資料!$G:$G, (MATCH(99, 輔助計算!$G$2:$G$801, 0)+1))&lt;100, IF(INDEX(ERP資料!$G:$G, (MATCH(99, 輔助計算!$G$2:$G$801, 0)+1))&lt;=31,3,IF(INDEX(ERP資料!$G:$G, (MATCH(99, 輔助計算!$G$2:$G$801, 0)+1))&lt;=46.5,2,1)), IF(INDEX(ERP資料!$G:$G, (MATCH(99, 輔助計算!$G$2:$G$801, 0)+1))&lt;=790,3,IF(INDEX(ERP資料!$G:$G, (MATCH(99, 輔助計算!$G$2:$G$801, 0)+1))&lt;=1181,2,1))))&gt;0, IF(IF(INDEX(ERP資料!$G:$G, (MATCH(99, 輔助計算!$G$2:$G$801, 0)+1))&lt;100, IF(INDEX(ERP資料!$G:$G, (MATCH(99, 輔助計算!$G$2:$G$801, 0)+1))&lt;=31,3,IF(INDEX(ERP資料!$G:$G, (MATCH(99, 輔助計算!$G$2:$G$801, 0)+1))&lt;=46.5,2,1)), IF(INDEX(ERP資料!$G:$G, (MATCH(99, 輔助計算!$G$2:$G$801, 0)+1))&lt;=790,3,IF(INDEX(ERP資料!$G:$G, (MATCH(99, 輔助計算!$G$2:$G$801, 0)+1))&lt;=1181,2,1)))=1,TEXT(INDEX(ERP資料!$G:$G, (MATCH(99, 輔助計算!$G$2:$G$801, 0)+1)),"0.##"),IF(IF(INDEX(ERP資料!$G:$G, (MATCH(99, 輔助計算!$G$2:$G$801, 0)+1))&lt;100, IF(INDEX(ERP資料!$G:$G, (MATCH(99, 輔助計算!$G$2:$G$801, 0)+1))&lt;=31,3,IF(INDEX(ERP資料!$G:$G, (MATCH(99, 輔助計算!$G$2:$G$801, 0)+1))&lt;=46.5,2,1)), IF(INDEX(ERP資料!$G:$G, (MATCH(99, 輔助計算!$G$2:$G$801, 0)+1))&lt;=790,3,IF(INDEX(ERP資料!$G:$G, (MATCH(99, 輔助計算!$G$2:$G$801, 0)+1))&lt;=1181,2,1)))=2,TEXT(INDEX(ERP資料!$G:$G, (MATCH(99, 輔助計算!$G$2:$G$801, 0)+1)),"0.##")&amp;"+"&amp;TEXT(INDEX(ERP資料!$G:$G, (MATCH(99, 輔助計算!$G$2:$G$801, 0)+1)),"0.##"),TEXT(INDEX(ERP資料!$G:$G, (MATCH(99, 輔助計算!$G$2:$G$801, 0)+1)),"0.##")&amp;"+"&amp;TEXT(INDEX(ERP資料!$G:$G, (MATCH(99, 輔助計算!$G$2:$G$801, 0)+1)),"0.##")&amp;"+"&amp;TEXT(INDEX(ERP資料!$G:$G, (MATCH(99, 輔助計算!$G$2:$G$801, 0)+1)),"0.##")))&amp;"-"&amp;INT(INDEX(輔助計算!$D:$D, (MATCH(99, 輔助計算!$G$2:$G$801, 0)+1))/IF(INDEX(ERP資料!$G:$G, (MATCH(99, 輔助計算!$G$2:$G$801, 0)+1))&lt;100, IF(INDEX(ERP資料!$G:$G, (MATCH(99, 輔助計算!$G$2:$G$801, 0)+1))&lt;=31,3,IF(INDEX(ERP資料!$G:$G, (MATCH(99, 輔助計算!$G$2:$G$801, 0)+1))&lt;=46.5,2,1)), IF(INDEX(ERP資料!$G:$G, (MATCH(99, 輔助計算!$G$2:$G$801, 0)+1))&lt;=790,3,IF(INDEX(ERP資料!$G:$G, (MATCH(99, 輔助計算!$G$2:$G$801, 0)+1))&lt;=1181,2,1)))), "")&amp;IF(AND(IF(INT(INDEX(輔助計算!$D:$D, (MATCH(99, 輔助計算!$G$2:$G$801, 0)+1))/IF(INDEX(ERP資料!$G:$G, (MATCH(99, 輔助計算!$G$2:$G$801, 0)+1))&lt;100, IF(INDEX(ERP資料!$G:$G, (MATCH(99, 輔助計算!$G$2:$G$801, 0)+1))&lt;=31,3,IF(INDEX(ERP資料!$G:$G, (MATCH(99, 輔助計算!$G$2:$G$801, 0)+1))&lt;=46.5,2,1)), IF(INDEX(ERP資料!$G:$G, (MATCH(99, 輔助計算!$G$2:$G$801, 0)+1))&lt;=790,3,IF(INDEX(ERP資料!$G:$G, (MATCH(99, 輔助計算!$G$2:$G$801, 0)+1))&lt;=1181,2,1))))&gt;0, IF(IF(INDEX(ERP資料!$G:$G, (MATCH(99, 輔助計算!$G$2:$G$801, 0)+1))&lt;100, IF(INDEX(ERP資料!$G:$G, (MATCH(99, 輔助計算!$G$2:$G$801, 0)+1))&lt;=31,3,IF(INDEX(ERP資料!$G:$G, (MATCH(99, 輔助計算!$G$2:$G$801, 0)+1))&lt;=46.5,2,1)), IF(INDEX(ERP資料!$G:$G, (MATCH(99, 輔助計算!$G$2:$G$801, 0)+1))&lt;=790,3,IF(INDEX(ERP資料!$G:$G, (MATCH(99, 輔助計算!$G$2:$G$801, 0)+1))&lt;=1181,2,1)))=1,TEXT(INDEX(ERP資料!$G:$G, (MATCH(99, 輔助計算!$G$2:$G$801, 0)+1)),"0.##"),IF(IF(INDEX(ERP資料!$G:$G, (MATCH(99, 輔助計算!$G$2:$G$801, 0)+1))&lt;100, IF(INDEX(ERP資料!$G:$G, (MATCH(99, 輔助計算!$G$2:$G$801, 0)+1))&lt;=31,3,IF(INDEX(ERP資料!$G:$G, (MATCH(99, 輔助計算!$G$2:$G$801, 0)+1))&lt;=46.5,2,1)), IF(INDEX(ERP資料!$G:$G, (MATCH(99, 輔助計算!$G$2:$G$801, 0)+1))&lt;=790,3,IF(INDEX(ERP資料!$G:$G, (MATCH(99, 輔助計算!$G$2:$G$801, 0)+1))&lt;=1181,2,1)))=2,TEXT(INDEX(ERP資料!$G:$G, (MATCH(99, 輔助計算!$G$2:$G$801, 0)+1)),"0.##")&amp;"+"&amp;TEXT(INDEX(ERP資料!$G:$G, (MATCH(99, 輔助計算!$G$2:$G$801, 0)+1)),"0.##"),TEXT(INDEX(ERP資料!$G:$G, (MATCH(99, 輔助計算!$G$2:$G$801, 0)+1)),"0.##")&amp;"+"&amp;TEXT(INDEX(ERP資料!$G:$G, (MATCH(99, 輔助計算!$G$2:$G$801, 0)+1)),"0.##")&amp;"+"&amp;TEXT(INDEX(ERP資料!$G:$G, (MATCH(99, 輔助計算!$G$2:$G$801, 0)+1)),"0.##")))&amp;"-"&amp;INT(INDEX(輔助計算!$D:$D, (MATCH(99, 輔助計算!$G$2:$G$801, 0)+1))/IF(INDEX(ERP資料!$G:$G, (MATCH(99, 輔助計算!$G$2:$G$801, 0)+1))&lt;100, IF(INDEX(ERP資料!$G:$G, (MATCH(99, 輔助計算!$G$2:$G$801, 0)+1))&lt;=31,3,IF(INDEX(ERP資料!$G:$G, (MATCH(99, 輔助計算!$G$2:$G$801, 0)+1))&lt;=46.5,2,1)), IF(INDEX(ERP資料!$G:$G, (MATCH(99, 輔助計算!$G$2:$G$801, 0)+1))&lt;=790,3,IF(INDEX(ERP資料!$G:$G, (MATCH(99, 輔助計算!$G$2:$G$801, 0)+1))&lt;=1181,2,1)))), "")&lt;&gt;"",IF(MOD(INDEX(輔助計算!$D:$D, (MATCH(99, 輔助計算!$G$2:$G$801, 0)+1)),IF(INDEX(ERP資料!$G:$G, (MATCH(99, 輔助計算!$G$2:$G$801, 0)+1))&lt;100, IF(INDEX(ERP資料!$G:$G, (MATCH(99, 輔助計算!$G$2:$G$801, 0)+1))&lt;=31,3,IF(INDEX(ERP資料!$G:$G, (MATCH(99, 輔助計算!$G$2:$G$801, 0)+1))&lt;=46.5,2,1)), IF(INDEX(ERP資料!$G:$G, (MATCH(99, 輔助計算!$G$2:$G$801, 0)+1))&lt;=790,3,IF(INDEX(ERP資料!$G:$G, (MATCH(99, 輔助計算!$G$2:$G$801, 0)+1))&lt;=1181,2,1))))=0,"",IF(MOD(INDEX(輔助計算!$D:$D, (MATCH(99, 輔助計算!$G$2:$G$801, 0)+1)),IF(INDEX(ERP資料!$G:$G, (MATCH(99, 輔助計算!$G$2:$G$801, 0)+1))&lt;100, IF(INDEX(ERP資料!$G:$G, (MATCH(99, 輔助計算!$G$2:$G$801, 0)+1))&lt;=31,3,IF(INDEX(ERP資料!$G:$G, (MATCH(99, 輔助計算!$G$2:$G$801, 0)+1))&lt;=46.5,2,1)), IF(INDEX(ERP資料!$G:$G, (MATCH(99, 輔助計算!$G$2:$G$801, 0)+1))&lt;=790,3,IF(INDEX(ERP資料!$G:$G, (MATCH(99, 輔助計算!$G$2:$G$801, 0)+1))&lt;=1181,2,1))))=0,"",IF(MOD(INDEX(輔助計算!$D:$D, (MATCH(99, 輔助計算!$G$2:$G$801, 0)+1)),IF(INDEX(ERP資料!$G:$G, (MATCH(99, 輔助計算!$G$2:$G$801, 0)+1))&lt;100, IF(INDEX(ERP資料!$G:$G, (MATCH(99, 輔助計算!$G$2:$G$801, 0)+1))&lt;=31,3,IF(INDEX(ERP資料!$G:$G, (MATCH(99, 輔助計算!$G$2:$G$801, 0)+1))&lt;=46.5,2,1)), IF(INDEX(ERP資料!$G:$G, (MATCH(99, 輔助計算!$G$2:$G$801, 0)+1))&lt;=790,3,IF(INDEX(ERP資料!$G:$G, (MATCH(99, 輔助計算!$G$2:$G$801, 0)+1))&lt;=1181,2,1))))=1,TEXT(INDEX(ERP資料!$G:$G, (MATCH(99, 輔助計算!$G$2:$G$801, 0)+1)),"0.##"),IF(MOD(INDEX(輔助計算!$D:$D, (MATCH(99, 輔助計算!$G$2:$G$801, 0)+1)),IF(INDEX(ERP資料!$G:$G, (MATCH(99, 輔助計算!$G$2:$G$801, 0)+1))&lt;100, IF(INDEX(ERP資料!$G:$G, (MATCH(99, 輔助計算!$G$2:$G$801, 0)+1))&lt;=31,3,IF(INDEX(ERP資料!$G:$G, (MATCH(99, 輔助計算!$G$2:$G$801, 0)+1))&lt;=46.5,2,1)), IF(INDEX(ERP資料!$G:$G, (MATCH(99, 輔助計算!$G$2:$G$801, 0)+1))&lt;=790,3,IF(INDEX(ERP資料!$G:$G, (MATCH(99, 輔助計算!$G$2:$G$801, 0)+1))&lt;=1181,2,1))))=2,TEXT(INDEX(ERP資料!$G:$G, (MATCH(99, 輔助計算!$G$2:$G$801, 0)+1)),"0.##")&amp;"+"&amp;TEXT(INDEX(ERP資料!$G:$G, (MATCH(99, 輔助計算!$G$2:$G$801, 0)+1)),"0.##"),TEXT(INDEX(ERP資料!$G:$G, (MATCH(99, 輔助計算!$G$2:$G$801, 0)+1)),"0.##")&amp;"+"&amp;TEXT(INDEX(ERP資料!$G:$G, (MATCH(99, 輔助計算!$G$2:$G$801, 0)+1)),"0.##")&amp;"+"&amp;TEXT(INDEX(ERP資料!$G:$G, (MATCH(99, 輔助計算!$G$2:$G$801, 0)+1)),"0.##"))))&amp;"-1")&lt;&gt;""),"  ","")&amp;IF(MOD(INDEX(輔助計算!$D:$D, (MATCH(99, 輔助計算!$G$2:$G$801, 0)+1)),IF(INDEX(ERP資料!$G:$G, (MATCH(99, 輔助計算!$G$2:$G$801, 0)+1))&lt;100, IF(INDEX(ERP資料!$G:$G, (MATCH(99, 輔助計算!$G$2:$G$801, 0)+1))&lt;=31,3,IF(INDEX(ERP資料!$G:$G, (MATCH(99, 輔助計算!$G$2:$G$801, 0)+1))&lt;=46.5,2,1)), IF(INDEX(ERP資料!$G:$G, (MATCH(99, 輔助計算!$G$2:$G$801, 0)+1))&lt;=790,3,IF(INDEX(ERP資料!$G:$G, (MATCH(99, 輔助計算!$G$2:$G$801, 0)+1))&lt;=1181,2,1))))=0,"",IF(MOD(INDEX(輔助計算!$D:$D, (MATCH(99, 輔助計算!$G$2:$G$801, 0)+1)),IF(INDEX(ERP資料!$G:$G, (MATCH(99, 輔助計算!$G$2:$G$801, 0)+1))&lt;100, IF(INDEX(ERP資料!$G:$G, (MATCH(99, 輔助計算!$G$2:$G$801, 0)+1))&lt;=31,3,IF(INDEX(ERP資料!$G:$G, (MATCH(99, 輔助計算!$G$2:$G$801, 0)+1))&lt;=46.5,2,1)), IF(INDEX(ERP資料!$G:$G, (MATCH(99, 輔助計算!$G$2:$G$801, 0)+1))&lt;=790,3,IF(INDEX(ERP資料!$G:$G, (MATCH(99, 輔助計算!$G$2:$G$801, 0)+1))&lt;=1181,2,1))))=0,"",IF(MOD(INDEX(輔助計算!$D:$D, (MATCH(99, 輔助計算!$G$2:$G$801, 0)+1)),IF(INDEX(ERP資料!$G:$G, (MATCH(99, 輔助計算!$G$2:$G$801, 0)+1))&lt;100, IF(INDEX(ERP資料!$G:$G, (MATCH(99, 輔助計算!$G$2:$G$801, 0)+1))&lt;=31,3,IF(INDEX(ERP資料!$G:$G, (MATCH(99, 輔助計算!$G$2:$G$801, 0)+1))&lt;=46.5,2,1)), IF(INDEX(ERP資料!$G:$G, (MATCH(99, 輔助計算!$G$2:$G$801, 0)+1))&lt;=790,3,IF(INDEX(ERP資料!$G:$G, (MATCH(99, 輔助計算!$G$2:$G$801, 0)+1))&lt;=1181,2,1))))=1,TEXT(INDEX(ERP資料!$G:$G, (MATCH(99, 輔助計算!$G$2:$G$801, 0)+1)),"0.##"),IF(MOD(INDEX(輔助計算!$D:$D, (MATCH(99, 輔助計算!$G$2:$G$801, 0)+1)),IF(INDEX(ERP資料!$G:$G, (MATCH(99, 輔助計算!$G$2:$G$801, 0)+1))&lt;100, IF(INDEX(ERP資料!$G:$G, (MATCH(99, 輔助計算!$G$2:$G$801, 0)+1))&lt;=31,3,IF(INDEX(ERP資料!$G:$G, (MATCH(99, 輔助計算!$G$2:$G$801, 0)+1))&lt;=46.5,2,1)), IF(INDEX(ERP資料!$G:$G, (MATCH(99, 輔助計算!$G$2:$G$801, 0)+1))&lt;=790,3,IF(INDEX(ERP資料!$G:$G, (MATCH(99, 輔助計算!$G$2:$G$801, 0)+1))&lt;=1181,2,1))))=2,TEXT(INDEX(ERP資料!$G:$G, (MATCH(99, 輔助計算!$G$2:$G$801, 0)+1)),"0.##")&amp;"+"&amp;TEXT(INDEX(ERP資料!$G:$G, (MATCH(99, 輔助計算!$G$2:$G$801, 0)+1)),"0.##"),TEXT(INDEX(ERP資料!$G:$G, (MATCH(99, 輔助計算!$G$2:$G$801, 0)+1)),"0.##")&amp;"+"&amp;TEXT(INDEX(ERP資料!$G:$G, (MATCH(99, 輔助計算!$G$2:$G$801, 0)+1)),"0.##")&amp;"+"&amp;TEXT(INDEX(ERP資料!$G:$G, (MATCH(99, 輔助計算!$G$2:$G$801, 0)+1)),"0.##"))))&amp;"-1")), ""), "")</f>
        <v/>
      </c>
      <c r="K100" s="16" t="n"/>
      <c r="L100" s="14">
        <f>IFERROR(IF(AND(IFERROR(INDEX(ERP資料!$A:$A, (MATCH(99, 輔助計算!$G$2:$G$801, 0)+1)), "")&lt;&gt;"", IFERROR(INDEX(ERP資料!$A:$A, (MATCH(99, 輔助計算!$G$2:$G$801, 0)+1)), "")&lt;&gt;IFERROR(INDEX(ERP資料!$A:$A, MATCH(98, 輔助計算!$G$2:$G$801, 0)+1), "")), INDEX(ERP資料!$B:$B, (MATCH(99, 輔助計算!$G$2:$G$801, 0)+1)), ""), "")</f>
        <v/>
      </c>
      <c r="M100" s="17" t="n"/>
    </row>
    <row r="101">
      <c r="A101" s="10">
        <f>IFERROR(IF(AND(IFERROR(INDEX(ERP資料!$A:$A, (MATCH(100, 輔助計算!$G$2:$G$801, 0)+1)), "")&lt;&gt;"", IFERROR(INDEX(ERP資料!$A:$A, (MATCH(100, 輔助計算!$G$2:$G$801, 0)+1)), "")&lt;&gt;IFERROR(INDEX(ERP資料!$A:$A, MATCH(99, 輔助計算!$G$2:$G$801, 0)+1), "")), IFERROR(INDEX(ERP資料!$A:$A, (MATCH(100, 輔助計算!$G$2:$G$801, 0)+1)), ""), ""), "")</f>
        <v/>
      </c>
      <c r="B101" s="10">
        <f>IFERROR(IF(AND(IFERROR(INDEX(ERP資料!$A:$A, (MATCH(100, 輔助計算!$G$2:$G$801, 0)+1)), "")&lt;&gt;"", IFERROR(INDEX(ERP資料!$A:$A, (MATCH(100, 輔助計算!$G$2:$G$801, 0)+1)), "")&lt;&gt;IFERROR(INDEX(ERP資料!$A:$A, MATCH(99, 輔助計算!$G$2:$G$801, 0)+1), "")), INDEX(ERP資料!$S:$S, (MATCH(100, 輔助計算!$G$2:$G$801, 0)+1)), ""), "")</f>
        <v/>
      </c>
      <c r="C101" s="19">
        <f>IFERROR(IF(AND(IFERROR(INDEX(ERP資料!$A:$A, (MATCH(100, 輔助計算!$G$2:$G$801, 0)+1)), "")&lt;&gt;"", IFERROR(INDEX(ERP資料!$A:$A, (MATCH(100, 輔助計算!$G$2:$G$801, 0)+1)), "")&lt;&gt;IFERROR(INDEX(ERP資料!$A:$A, MATCH(99, 輔助計算!$G$2:$G$801, 0)+1), "")), IFERROR(VLOOKUP(LEFT(INDEX(ERP資料!$S:$S, (MATCH(100, 輔助計算!$G$2:$G$801, 0)+1)), 4), 紙管對照表!$A:$C, 3, FALSE), ""), ""), "")</f>
        <v/>
      </c>
      <c r="D101" s="16" t="n"/>
      <c r="E101" s="10">
        <f>IFERROR(IF(INDEX(ERP資料!$H:$H, (MATCH(100, 輔助計算!$G$2:$G$801, 0)+1))="","",INDEX(ERP資料!$H:$H, (MATCH(100, 輔助計算!$G$2:$G$801, 0)+1))), "")</f>
        <v/>
      </c>
      <c r="F101" s="10">
        <f>IFERROR(IF(INDEX(ERP資料!$E:$E, (MATCH(100, 輔助計算!$G$2:$G$801, 0)+1))="","",TRIM(INDEX(ERP資料!$E:$E, (MATCH(100, 輔助計算!$G$2:$G$801, 0)+1)))), "")</f>
        <v/>
      </c>
      <c r="G101" s="10">
        <f>IFERROR(IF(INDEX(ERP資料!$F:$F, (MATCH(100, 輔助計算!$G$2:$G$801, 0)+1))="","",INDEX(ERP資料!$F:$F, (MATCH(100, 輔助計算!$G$2:$G$801, 0)+1))), "")</f>
        <v/>
      </c>
      <c r="H101" s="10">
        <f>IFERROR(IF(INDEX(ERP資料!$G:$G, (MATCH(100, 輔助計算!$G$2:$G$801, 0)+1))="","",INDEX(ERP資料!$G:$G, (MATCH(100, 輔助計算!$G$2:$G$801, 0)+1))), "")</f>
        <v/>
      </c>
      <c r="I101" s="15">
        <f>IFERROR(INDEX(輔助計算!$D:$D, (MATCH(100, 輔助計算!$G$2:$G$801, 0)+1)), "")</f>
        <v/>
      </c>
      <c r="J101" s="15">
        <f>IFERROR(IF(AND(INDEX(輔助計算!$D:$D, (MATCH(100, 輔助計算!$G$2:$G$801, 0)+1))&lt;&gt;"", INDEX(ERP資料!$G:$G, (MATCH(100, 輔助計算!$G$2:$G$801, 0)+1))&lt;&gt;""), TRIM(IF(INT(INDEX(輔助計算!$D:$D, (MATCH(100, 輔助計算!$G$2:$G$801, 0)+1))/IF(INDEX(ERP資料!$G:$G, (MATCH(100, 輔助計算!$G$2:$G$801, 0)+1))&lt;100, IF(INDEX(ERP資料!$G:$G, (MATCH(100, 輔助計算!$G$2:$G$801, 0)+1))&lt;=31,3,IF(INDEX(ERP資料!$G:$G, (MATCH(100, 輔助計算!$G$2:$G$801, 0)+1))&lt;=46.5,2,1)), IF(INDEX(ERP資料!$G:$G, (MATCH(100, 輔助計算!$G$2:$G$801, 0)+1))&lt;=790,3,IF(INDEX(ERP資料!$G:$G, (MATCH(100, 輔助計算!$G$2:$G$801, 0)+1))&lt;=1181,2,1))))&gt;0, IF(IF(INDEX(ERP資料!$G:$G, (MATCH(100, 輔助計算!$G$2:$G$801, 0)+1))&lt;100, IF(INDEX(ERP資料!$G:$G, (MATCH(100, 輔助計算!$G$2:$G$801, 0)+1))&lt;=31,3,IF(INDEX(ERP資料!$G:$G, (MATCH(100, 輔助計算!$G$2:$G$801, 0)+1))&lt;=46.5,2,1)), IF(INDEX(ERP資料!$G:$G, (MATCH(100, 輔助計算!$G$2:$G$801, 0)+1))&lt;=790,3,IF(INDEX(ERP資料!$G:$G, (MATCH(100, 輔助計算!$G$2:$G$801, 0)+1))&lt;=1181,2,1)))=1,TEXT(INDEX(ERP資料!$G:$G, (MATCH(100, 輔助計算!$G$2:$G$801, 0)+1)),"0.##"),IF(IF(INDEX(ERP資料!$G:$G, (MATCH(100, 輔助計算!$G$2:$G$801, 0)+1))&lt;100, IF(INDEX(ERP資料!$G:$G, (MATCH(100, 輔助計算!$G$2:$G$801, 0)+1))&lt;=31,3,IF(INDEX(ERP資料!$G:$G, (MATCH(100, 輔助計算!$G$2:$G$801, 0)+1))&lt;=46.5,2,1)), IF(INDEX(ERP資料!$G:$G, (MATCH(100, 輔助計算!$G$2:$G$801, 0)+1))&lt;=790,3,IF(INDEX(ERP資料!$G:$G, (MATCH(100, 輔助計算!$G$2:$G$801, 0)+1))&lt;=1181,2,1)))=2,TEXT(INDEX(ERP資料!$G:$G, (MATCH(100, 輔助計算!$G$2:$G$801, 0)+1)),"0.##")&amp;"+"&amp;TEXT(INDEX(ERP資料!$G:$G, (MATCH(100, 輔助計算!$G$2:$G$801, 0)+1)),"0.##"),TEXT(INDEX(ERP資料!$G:$G, (MATCH(100, 輔助計算!$G$2:$G$801, 0)+1)),"0.##")&amp;"+"&amp;TEXT(INDEX(ERP資料!$G:$G, (MATCH(100, 輔助計算!$G$2:$G$801, 0)+1)),"0.##")&amp;"+"&amp;TEXT(INDEX(ERP資料!$G:$G, (MATCH(100, 輔助計算!$G$2:$G$801, 0)+1)),"0.##")))&amp;"-"&amp;INT(INDEX(輔助計算!$D:$D, (MATCH(100, 輔助計算!$G$2:$G$801, 0)+1))/IF(INDEX(ERP資料!$G:$G, (MATCH(100, 輔助計算!$G$2:$G$801, 0)+1))&lt;100, IF(INDEX(ERP資料!$G:$G, (MATCH(100, 輔助計算!$G$2:$G$801, 0)+1))&lt;=31,3,IF(INDEX(ERP資料!$G:$G, (MATCH(100, 輔助計算!$G$2:$G$801, 0)+1))&lt;=46.5,2,1)), IF(INDEX(ERP資料!$G:$G, (MATCH(100, 輔助計算!$G$2:$G$801, 0)+1))&lt;=790,3,IF(INDEX(ERP資料!$G:$G, (MATCH(100, 輔助計算!$G$2:$G$801, 0)+1))&lt;=1181,2,1)))), "")&amp;IF(AND(IF(INT(INDEX(輔助計算!$D:$D, (MATCH(100, 輔助計算!$G$2:$G$801, 0)+1))/IF(INDEX(ERP資料!$G:$G, (MATCH(100, 輔助計算!$G$2:$G$801, 0)+1))&lt;100, IF(INDEX(ERP資料!$G:$G, (MATCH(100, 輔助計算!$G$2:$G$801, 0)+1))&lt;=31,3,IF(INDEX(ERP資料!$G:$G, (MATCH(100, 輔助計算!$G$2:$G$801, 0)+1))&lt;=46.5,2,1)), IF(INDEX(ERP資料!$G:$G, (MATCH(100, 輔助計算!$G$2:$G$801, 0)+1))&lt;=790,3,IF(INDEX(ERP資料!$G:$G, (MATCH(100, 輔助計算!$G$2:$G$801, 0)+1))&lt;=1181,2,1))))&gt;0, IF(IF(INDEX(ERP資料!$G:$G, (MATCH(100, 輔助計算!$G$2:$G$801, 0)+1))&lt;100, IF(INDEX(ERP資料!$G:$G, (MATCH(100, 輔助計算!$G$2:$G$801, 0)+1))&lt;=31,3,IF(INDEX(ERP資料!$G:$G, (MATCH(100, 輔助計算!$G$2:$G$801, 0)+1))&lt;=46.5,2,1)), IF(INDEX(ERP資料!$G:$G, (MATCH(100, 輔助計算!$G$2:$G$801, 0)+1))&lt;=790,3,IF(INDEX(ERP資料!$G:$G, (MATCH(100, 輔助計算!$G$2:$G$801, 0)+1))&lt;=1181,2,1)))=1,TEXT(INDEX(ERP資料!$G:$G, (MATCH(100, 輔助計算!$G$2:$G$801, 0)+1)),"0.##"),IF(IF(INDEX(ERP資料!$G:$G, (MATCH(100, 輔助計算!$G$2:$G$801, 0)+1))&lt;100, IF(INDEX(ERP資料!$G:$G, (MATCH(100, 輔助計算!$G$2:$G$801, 0)+1))&lt;=31,3,IF(INDEX(ERP資料!$G:$G, (MATCH(100, 輔助計算!$G$2:$G$801, 0)+1))&lt;=46.5,2,1)), IF(INDEX(ERP資料!$G:$G, (MATCH(100, 輔助計算!$G$2:$G$801, 0)+1))&lt;=790,3,IF(INDEX(ERP資料!$G:$G, (MATCH(100, 輔助計算!$G$2:$G$801, 0)+1))&lt;=1181,2,1)))=2,TEXT(INDEX(ERP資料!$G:$G, (MATCH(100, 輔助計算!$G$2:$G$801, 0)+1)),"0.##")&amp;"+"&amp;TEXT(INDEX(ERP資料!$G:$G, (MATCH(100, 輔助計算!$G$2:$G$801, 0)+1)),"0.##"),TEXT(INDEX(ERP資料!$G:$G, (MATCH(100, 輔助計算!$G$2:$G$801, 0)+1)),"0.##")&amp;"+"&amp;TEXT(INDEX(ERP資料!$G:$G, (MATCH(100, 輔助計算!$G$2:$G$801, 0)+1)),"0.##")&amp;"+"&amp;TEXT(INDEX(ERP資料!$G:$G, (MATCH(100, 輔助計算!$G$2:$G$801, 0)+1)),"0.##")))&amp;"-"&amp;INT(INDEX(輔助計算!$D:$D, (MATCH(100, 輔助計算!$G$2:$G$801, 0)+1))/IF(INDEX(ERP資料!$G:$G, (MATCH(100, 輔助計算!$G$2:$G$801, 0)+1))&lt;100, IF(INDEX(ERP資料!$G:$G, (MATCH(100, 輔助計算!$G$2:$G$801, 0)+1))&lt;=31,3,IF(INDEX(ERP資料!$G:$G, (MATCH(100, 輔助計算!$G$2:$G$801, 0)+1))&lt;=46.5,2,1)), IF(INDEX(ERP資料!$G:$G, (MATCH(100, 輔助計算!$G$2:$G$801, 0)+1))&lt;=790,3,IF(INDEX(ERP資料!$G:$G, (MATCH(100, 輔助計算!$G$2:$G$801, 0)+1))&lt;=1181,2,1)))), "")&lt;&gt;"",IF(MOD(INDEX(輔助計算!$D:$D, (MATCH(100, 輔助計算!$G$2:$G$801, 0)+1)),IF(INDEX(ERP資料!$G:$G, (MATCH(100, 輔助計算!$G$2:$G$801, 0)+1))&lt;100, IF(INDEX(ERP資料!$G:$G, (MATCH(100, 輔助計算!$G$2:$G$801, 0)+1))&lt;=31,3,IF(INDEX(ERP資料!$G:$G, (MATCH(100, 輔助計算!$G$2:$G$801, 0)+1))&lt;=46.5,2,1)), IF(INDEX(ERP資料!$G:$G, (MATCH(100, 輔助計算!$G$2:$G$801, 0)+1))&lt;=790,3,IF(INDEX(ERP資料!$G:$G, (MATCH(100, 輔助計算!$G$2:$G$801, 0)+1))&lt;=1181,2,1))))=0,"",IF(MOD(INDEX(輔助計算!$D:$D, (MATCH(100, 輔助計算!$G$2:$G$801, 0)+1)),IF(INDEX(ERP資料!$G:$G, (MATCH(100, 輔助計算!$G$2:$G$801, 0)+1))&lt;100, IF(INDEX(ERP資料!$G:$G, (MATCH(100, 輔助計算!$G$2:$G$801, 0)+1))&lt;=31,3,IF(INDEX(ERP資料!$G:$G, (MATCH(100, 輔助計算!$G$2:$G$801, 0)+1))&lt;=46.5,2,1)), IF(INDEX(ERP資料!$G:$G, (MATCH(100, 輔助計算!$G$2:$G$801, 0)+1))&lt;=790,3,IF(INDEX(ERP資料!$G:$G, (MATCH(100, 輔助計算!$G$2:$G$801, 0)+1))&lt;=1181,2,1))))=0,"",IF(MOD(INDEX(輔助計算!$D:$D, (MATCH(100, 輔助計算!$G$2:$G$801, 0)+1)),IF(INDEX(ERP資料!$G:$G, (MATCH(100, 輔助計算!$G$2:$G$801, 0)+1))&lt;100, IF(INDEX(ERP資料!$G:$G, (MATCH(100, 輔助計算!$G$2:$G$801, 0)+1))&lt;=31,3,IF(INDEX(ERP資料!$G:$G, (MATCH(100, 輔助計算!$G$2:$G$801, 0)+1))&lt;=46.5,2,1)), IF(INDEX(ERP資料!$G:$G, (MATCH(100, 輔助計算!$G$2:$G$801, 0)+1))&lt;=790,3,IF(INDEX(ERP資料!$G:$G, (MATCH(100, 輔助計算!$G$2:$G$801, 0)+1))&lt;=1181,2,1))))=1,TEXT(INDEX(ERP資料!$G:$G, (MATCH(100, 輔助計算!$G$2:$G$801, 0)+1)),"0.##"),IF(MOD(INDEX(輔助計算!$D:$D, (MATCH(100, 輔助計算!$G$2:$G$801, 0)+1)),IF(INDEX(ERP資料!$G:$G, (MATCH(100, 輔助計算!$G$2:$G$801, 0)+1))&lt;100, IF(INDEX(ERP資料!$G:$G, (MATCH(100, 輔助計算!$G$2:$G$801, 0)+1))&lt;=31,3,IF(INDEX(ERP資料!$G:$G, (MATCH(100, 輔助計算!$G$2:$G$801, 0)+1))&lt;=46.5,2,1)), IF(INDEX(ERP資料!$G:$G, (MATCH(100, 輔助計算!$G$2:$G$801, 0)+1))&lt;=790,3,IF(INDEX(ERP資料!$G:$G, (MATCH(100, 輔助計算!$G$2:$G$801, 0)+1))&lt;=1181,2,1))))=2,TEXT(INDEX(ERP資料!$G:$G, (MATCH(100, 輔助計算!$G$2:$G$801, 0)+1)),"0.##")&amp;"+"&amp;TEXT(INDEX(ERP資料!$G:$G, (MATCH(100, 輔助計算!$G$2:$G$801, 0)+1)),"0.##"),TEXT(INDEX(ERP資料!$G:$G, (MATCH(100, 輔助計算!$G$2:$G$801, 0)+1)),"0.##")&amp;"+"&amp;TEXT(INDEX(ERP資料!$G:$G, (MATCH(100, 輔助計算!$G$2:$G$801, 0)+1)),"0.##")&amp;"+"&amp;TEXT(INDEX(ERP資料!$G:$G, (MATCH(100, 輔助計算!$G$2:$G$801, 0)+1)),"0.##"))))&amp;"-1")&lt;&gt;""),"  ","")&amp;IF(MOD(INDEX(輔助計算!$D:$D, (MATCH(100, 輔助計算!$G$2:$G$801, 0)+1)),IF(INDEX(ERP資料!$G:$G, (MATCH(100, 輔助計算!$G$2:$G$801, 0)+1))&lt;100, IF(INDEX(ERP資料!$G:$G, (MATCH(100, 輔助計算!$G$2:$G$801, 0)+1))&lt;=31,3,IF(INDEX(ERP資料!$G:$G, (MATCH(100, 輔助計算!$G$2:$G$801, 0)+1))&lt;=46.5,2,1)), IF(INDEX(ERP資料!$G:$G, (MATCH(100, 輔助計算!$G$2:$G$801, 0)+1))&lt;=790,3,IF(INDEX(ERP資料!$G:$G, (MATCH(100, 輔助計算!$G$2:$G$801, 0)+1))&lt;=1181,2,1))))=0,"",IF(MOD(INDEX(輔助計算!$D:$D, (MATCH(100, 輔助計算!$G$2:$G$801, 0)+1)),IF(INDEX(ERP資料!$G:$G, (MATCH(100, 輔助計算!$G$2:$G$801, 0)+1))&lt;100, IF(INDEX(ERP資料!$G:$G, (MATCH(100, 輔助計算!$G$2:$G$801, 0)+1))&lt;=31,3,IF(INDEX(ERP資料!$G:$G, (MATCH(100, 輔助計算!$G$2:$G$801, 0)+1))&lt;=46.5,2,1)), IF(INDEX(ERP資料!$G:$G, (MATCH(100, 輔助計算!$G$2:$G$801, 0)+1))&lt;=790,3,IF(INDEX(ERP資料!$G:$G, (MATCH(100, 輔助計算!$G$2:$G$801, 0)+1))&lt;=1181,2,1))))=0,"",IF(MOD(INDEX(輔助計算!$D:$D, (MATCH(100, 輔助計算!$G$2:$G$801, 0)+1)),IF(INDEX(ERP資料!$G:$G, (MATCH(100, 輔助計算!$G$2:$G$801, 0)+1))&lt;100, IF(INDEX(ERP資料!$G:$G, (MATCH(100, 輔助計算!$G$2:$G$801, 0)+1))&lt;=31,3,IF(INDEX(ERP資料!$G:$G, (MATCH(100, 輔助計算!$G$2:$G$801, 0)+1))&lt;=46.5,2,1)), IF(INDEX(ERP資料!$G:$G, (MATCH(100, 輔助計算!$G$2:$G$801, 0)+1))&lt;=790,3,IF(INDEX(ERP資料!$G:$G, (MATCH(100, 輔助計算!$G$2:$G$801, 0)+1))&lt;=1181,2,1))))=1,TEXT(INDEX(ERP資料!$G:$G, (MATCH(100, 輔助計算!$G$2:$G$801, 0)+1)),"0.##"),IF(MOD(INDEX(輔助計算!$D:$D, (MATCH(100, 輔助計算!$G$2:$G$801, 0)+1)),IF(INDEX(ERP資料!$G:$G, (MATCH(100, 輔助計算!$G$2:$G$801, 0)+1))&lt;100, IF(INDEX(ERP資料!$G:$G, (MATCH(100, 輔助計算!$G$2:$G$801, 0)+1))&lt;=31,3,IF(INDEX(ERP資料!$G:$G, (MATCH(100, 輔助計算!$G$2:$G$801, 0)+1))&lt;=46.5,2,1)), IF(INDEX(ERP資料!$G:$G, (MATCH(100, 輔助計算!$G$2:$G$801, 0)+1))&lt;=790,3,IF(INDEX(ERP資料!$G:$G, (MATCH(100, 輔助計算!$G$2:$G$801, 0)+1))&lt;=1181,2,1))))=2,TEXT(INDEX(ERP資料!$G:$G, (MATCH(100, 輔助計算!$G$2:$G$801, 0)+1)),"0.##")&amp;"+"&amp;TEXT(INDEX(ERP資料!$G:$G, (MATCH(100, 輔助計算!$G$2:$G$801, 0)+1)),"0.##"),TEXT(INDEX(ERP資料!$G:$G, (MATCH(100, 輔助計算!$G$2:$G$801, 0)+1)),"0.##")&amp;"+"&amp;TEXT(INDEX(ERP資料!$G:$G, (MATCH(100, 輔助計算!$G$2:$G$801, 0)+1)),"0.##")&amp;"+"&amp;TEXT(INDEX(ERP資料!$G:$G, (MATCH(100, 輔助計算!$G$2:$G$801, 0)+1)),"0.##"))))&amp;"-1")), ""), "")</f>
        <v/>
      </c>
      <c r="K101" s="16" t="n"/>
      <c r="L101" s="14">
        <f>IFERROR(IF(AND(IFERROR(INDEX(ERP資料!$A:$A, (MATCH(100, 輔助計算!$G$2:$G$801, 0)+1)), "")&lt;&gt;"", IFERROR(INDEX(ERP資料!$A:$A, (MATCH(100, 輔助計算!$G$2:$G$801, 0)+1)), "")&lt;&gt;IFERROR(INDEX(ERP資料!$A:$A, MATCH(99, 輔助計算!$G$2:$G$801, 0)+1), "")), INDEX(ERP資料!$B:$B, (MATCH(100, 輔助計算!$G$2:$G$801, 0)+1)), ""), "")</f>
        <v/>
      </c>
      <c r="M101" s="17" t="n"/>
    </row>
    <row r="102">
      <c r="A102" s="10">
        <f>IFERROR(IF(AND(IFERROR(INDEX(ERP資料!$A:$A, (MATCH(101, 輔助計算!$G$2:$G$801, 0)+1)), "")&lt;&gt;"", IFERROR(INDEX(ERP資料!$A:$A, (MATCH(101, 輔助計算!$G$2:$G$801, 0)+1)), "")&lt;&gt;IFERROR(INDEX(ERP資料!$A:$A, MATCH(100, 輔助計算!$G$2:$G$801, 0)+1), "")), IFERROR(INDEX(ERP資料!$A:$A, (MATCH(101, 輔助計算!$G$2:$G$801, 0)+1)), ""), ""), "")</f>
        <v/>
      </c>
      <c r="B102" s="10">
        <f>IFERROR(IF(AND(IFERROR(INDEX(ERP資料!$A:$A, (MATCH(101, 輔助計算!$G$2:$G$801, 0)+1)), "")&lt;&gt;"", IFERROR(INDEX(ERP資料!$A:$A, (MATCH(101, 輔助計算!$G$2:$G$801, 0)+1)), "")&lt;&gt;IFERROR(INDEX(ERP資料!$A:$A, MATCH(100, 輔助計算!$G$2:$G$801, 0)+1), "")), INDEX(ERP資料!$S:$S, (MATCH(101, 輔助計算!$G$2:$G$801, 0)+1)), ""), "")</f>
        <v/>
      </c>
      <c r="C102" s="19">
        <f>IFERROR(IF(AND(IFERROR(INDEX(ERP資料!$A:$A, (MATCH(101, 輔助計算!$G$2:$G$801, 0)+1)), "")&lt;&gt;"", IFERROR(INDEX(ERP資料!$A:$A, (MATCH(101, 輔助計算!$G$2:$G$801, 0)+1)), "")&lt;&gt;IFERROR(INDEX(ERP資料!$A:$A, MATCH(100, 輔助計算!$G$2:$G$801, 0)+1), "")), IFERROR(VLOOKUP(LEFT(INDEX(ERP資料!$S:$S, (MATCH(101, 輔助計算!$G$2:$G$801, 0)+1)), 4), 紙管對照表!$A:$C, 3, FALSE), ""), ""), "")</f>
        <v/>
      </c>
      <c r="D102" s="16" t="n"/>
      <c r="E102" s="10">
        <f>IFERROR(IF(INDEX(ERP資料!$H:$H, (MATCH(101, 輔助計算!$G$2:$G$801, 0)+1))="","",INDEX(ERP資料!$H:$H, (MATCH(101, 輔助計算!$G$2:$G$801, 0)+1))), "")</f>
        <v/>
      </c>
      <c r="F102" s="10">
        <f>IFERROR(IF(INDEX(ERP資料!$E:$E, (MATCH(101, 輔助計算!$G$2:$G$801, 0)+1))="","",TRIM(INDEX(ERP資料!$E:$E, (MATCH(101, 輔助計算!$G$2:$G$801, 0)+1)))), "")</f>
        <v/>
      </c>
      <c r="G102" s="10">
        <f>IFERROR(IF(INDEX(ERP資料!$F:$F, (MATCH(101, 輔助計算!$G$2:$G$801, 0)+1))="","",INDEX(ERP資料!$F:$F, (MATCH(101, 輔助計算!$G$2:$G$801, 0)+1))), "")</f>
        <v/>
      </c>
      <c r="H102" s="10">
        <f>IFERROR(IF(INDEX(ERP資料!$G:$G, (MATCH(101, 輔助計算!$G$2:$G$801, 0)+1))="","",INDEX(ERP資料!$G:$G, (MATCH(101, 輔助計算!$G$2:$G$801, 0)+1))), "")</f>
        <v/>
      </c>
      <c r="I102" s="15">
        <f>IFERROR(INDEX(輔助計算!$D:$D, (MATCH(101, 輔助計算!$G$2:$G$801, 0)+1)), "")</f>
        <v/>
      </c>
      <c r="J102" s="15">
        <f>IFERROR(IF(AND(INDEX(輔助計算!$D:$D, (MATCH(101, 輔助計算!$G$2:$G$801, 0)+1))&lt;&gt;"", INDEX(ERP資料!$G:$G, (MATCH(101, 輔助計算!$G$2:$G$801, 0)+1))&lt;&gt;""), TRIM(IF(INT(INDEX(輔助計算!$D:$D, (MATCH(101, 輔助計算!$G$2:$G$801, 0)+1))/IF(INDEX(ERP資料!$G:$G, (MATCH(101, 輔助計算!$G$2:$G$801, 0)+1))&lt;100, IF(INDEX(ERP資料!$G:$G, (MATCH(101, 輔助計算!$G$2:$G$801, 0)+1))&lt;=31,3,IF(INDEX(ERP資料!$G:$G, (MATCH(101, 輔助計算!$G$2:$G$801, 0)+1))&lt;=46.5,2,1)), IF(INDEX(ERP資料!$G:$G, (MATCH(101, 輔助計算!$G$2:$G$801, 0)+1))&lt;=790,3,IF(INDEX(ERP資料!$G:$G, (MATCH(101, 輔助計算!$G$2:$G$801, 0)+1))&lt;=1181,2,1))))&gt;0, IF(IF(INDEX(ERP資料!$G:$G, (MATCH(101, 輔助計算!$G$2:$G$801, 0)+1))&lt;100, IF(INDEX(ERP資料!$G:$G, (MATCH(101, 輔助計算!$G$2:$G$801, 0)+1))&lt;=31,3,IF(INDEX(ERP資料!$G:$G, (MATCH(101, 輔助計算!$G$2:$G$801, 0)+1))&lt;=46.5,2,1)), IF(INDEX(ERP資料!$G:$G, (MATCH(101, 輔助計算!$G$2:$G$801, 0)+1))&lt;=790,3,IF(INDEX(ERP資料!$G:$G, (MATCH(101, 輔助計算!$G$2:$G$801, 0)+1))&lt;=1181,2,1)))=1,TEXT(INDEX(ERP資料!$G:$G, (MATCH(101, 輔助計算!$G$2:$G$801, 0)+1)),"0.##"),IF(IF(INDEX(ERP資料!$G:$G, (MATCH(101, 輔助計算!$G$2:$G$801, 0)+1))&lt;100, IF(INDEX(ERP資料!$G:$G, (MATCH(101, 輔助計算!$G$2:$G$801, 0)+1))&lt;=31,3,IF(INDEX(ERP資料!$G:$G, (MATCH(101, 輔助計算!$G$2:$G$801, 0)+1))&lt;=46.5,2,1)), IF(INDEX(ERP資料!$G:$G, (MATCH(101, 輔助計算!$G$2:$G$801, 0)+1))&lt;=790,3,IF(INDEX(ERP資料!$G:$G, (MATCH(101, 輔助計算!$G$2:$G$801, 0)+1))&lt;=1181,2,1)))=2,TEXT(INDEX(ERP資料!$G:$G, (MATCH(101, 輔助計算!$G$2:$G$801, 0)+1)),"0.##")&amp;"+"&amp;TEXT(INDEX(ERP資料!$G:$G, (MATCH(101, 輔助計算!$G$2:$G$801, 0)+1)),"0.##"),TEXT(INDEX(ERP資料!$G:$G, (MATCH(101, 輔助計算!$G$2:$G$801, 0)+1)),"0.##")&amp;"+"&amp;TEXT(INDEX(ERP資料!$G:$G, (MATCH(101, 輔助計算!$G$2:$G$801, 0)+1)),"0.##")&amp;"+"&amp;TEXT(INDEX(ERP資料!$G:$G, (MATCH(101, 輔助計算!$G$2:$G$801, 0)+1)),"0.##")))&amp;"-"&amp;INT(INDEX(輔助計算!$D:$D, (MATCH(101, 輔助計算!$G$2:$G$801, 0)+1))/IF(INDEX(ERP資料!$G:$G, (MATCH(101, 輔助計算!$G$2:$G$801, 0)+1))&lt;100, IF(INDEX(ERP資料!$G:$G, (MATCH(101, 輔助計算!$G$2:$G$801, 0)+1))&lt;=31,3,IF(INDEX(ERP資料!$G:$G, (MATCH(101, 輔助計算!$G$2:$G$801, 0)+1))&lt;=46.5,2,1)), IF(INDEX(ERP資料!$G:$G, (MATCH(101, 輔助計算!$G$2:$G$801, 0)+1))&lt;=790,3,IF(INDEX(ERP資料!$G:$G, (MATCH(101, 輔助計算!$G$2:$G$801, 0)+1))&lt;=1181,2,1)))), "")&amp;IF(AND(IF(INT(INDEX(輔助計算!$D:$D, (MATCH(101, 輔助計算!$G$2:$G$801, 0)+1))/IF(INDEX(ERP資料!$G:$G, (MATCH(101, 輔助計算!$G$2:$G$801, 0)+1))&lt;100, IF(INDEX(ERP資料!$G:$G, (MATCH(101, 輔助計算!$G$2:$G$801, 0)+1))&lt;=31,3,IF(INDEX(ERP資料!$G:$G, (MATCH(101, 輔助計算!$G$2:$G$801, 0)+1))&lt;=46.5,2,1)), IF(INDEX(ERP資料!$G:$G, (MATCH(101, 輔助計算!$G$2:$G$801, 0)+1))&lt;=790,3,IF(INDEX(ERP資料!$G:$G, (MATCH(101, 輔助計算!$G$2:$G$801, 0)+1))&lt;=1181,2,1))))&gt;0, IF(IF(INDEX(ERP資料!$G:$G, (MATCH(101, 輔助計算!$G$2:$G$801, 0)+1))&lt;100, IF(INDEX(ERP資料!$G:$G, (MATCH(101, 輔助計算!$G$2:$G$801, 0)+1))&lt;=31,3,IF(INDEX(ERP資料!$G:$G, (MATCH(101, 輔助計算!$G$2:$G$801, 0)+1))&lt;=46.5,2,1)), IF(INDEX(ERP資料!$G:$G, (MATCH(101, 輔助計算!$G$2:$G$801, 0)+1))&lt;=790,3,IF(INDEX(ERP資料!$G:$G, (MATCH(101, 輔助計算!$G$2:$G$801, 0)+1))&lt;=1181,2,1)))=1,TEXT(INDEX(ERP資料!$G:$G, (MATCH(101, 輔助計算!$G$2:$G$801, 0)+1)),"0.##"),IF(IF(INDEX(ERP資料!$G:$G, (MATCH(101, 輔助計算!$G$2:$G$801, 0)+1))&lt;100, IF(INDEX(ERP資料!$G:$G, (MATCH(101, 輔助計算!$G$2:$G$801, 0)+1))&lt;=31,3,IF(INDEX(ERP資料!$G:$G, (MATCH(101, 輔助計算!$G$2:$G$801, 0)+1))&lt;=46.5,2,1)), IF(INDEX(ERP資料!$G:$G, (MATCH(101, 輔助計算!$G$2:$G$801, 0)+1))&lt;=790,3,IF(INDEX(ERP資料!$G:$G, (MATCH(101, 輔助計算!$G$2:$G$801, 0)+1))&lt;=1181,2,1)))=2,TEXT(INDEX(ERP資料!$G:$G, (MATCH(101, 輔助計算!$G$2:$G$801, 0)+1)),"0.##")&amp;"+"&amp;TEXT(INDEX(ERP資料!$G:$G, (MATCH(101, 輔助計算!$G$2:$G$801, 0)+1)),"0.##"),TEXT(INDEX(ERP資料!$G:$G, (MATCH(101, 輔助計算!$G$2:$G$801, 0)+1)),"0.##")&amp;"+"&amp;TEXT(INDEX(ERP資料!$G:$G, (MATCH(101, 輔助計算!$G$2:$G$801, 0)+1)),"0.##")&amp;"+"&amp;TEXT(INDEX(ERP資料!$G:$G, (MATCH(101, 輔助計算!$G$2:$G$801, 0)+1)),"0.##")))&amp;"-"&amp;INT(INDEX(輔助計算!$D:$D, (MATCH(101, 輔助計算!$G$2:$G$801, 0)+1))/IF(INDEX(ERP資料!$G:$G, (MATCH(101, 輔助計算!$G$2:$G$801, 0)+1))&lt;100, IF(INDEX(ERP資料!$G:$G, (MATCH(101, 輔助計算!$G$2:$G$801, 0)+1))&lt;=31,3,IF(INDEX(ERP資料!$G:$G, (MATCH(101, 輔助計算!$G$2:$G$801, 0)+1))&lt;=46.5,2,1)), IF(INDEX(ERP資料!$G:$G, (MATCH(101, 輔助計算!$G$2:$G$801, 0)+1))&lt;=790,3,IF(INDEX(ERP資料!$G:$G, (MATCH(101, 輔助計算!$G$2:$G$801, 0)+1))&lt;=1181,2,1)))), "")&lt;&gt;"",IF(MOD(INDEX(輔助計算!$D:$D, (MATCH(101, 輔助計算!$G$2:$G$801, 0)+1)),IF(INDEX(ERP資料!$G:$G, (MATCH(101, 輔助計算!$G$2:$G$801, 0)+1))&lt;100, IF(INDEX(ERP資料!$G:$G, (MATCH(101, 輔助計算!$G$2:$G$801, 0)+1))&lt;=31,3,IF(INDEX(ERP資料!$G:$G, (MATCH(101, 輔助計算!$G$2:$G$801, 0)+1))&lt;=46.5,2,1)), IF(INDEX(ERP資料!$G:$G, (MATCH(101, 輔助計算!$G$2:$G$801, 0)+1))&lt;=790,3,IF(INDEX(ERP資料!$G:$G, (MATCH(101, 輔助計算!$G$2:$G$801, 0)+1))&lt;=1181,2,1))))=0,"",IF(MOD(INDEX(輔助計算!$D:$D, (MATCH(101, 輔助計算!$G$2:$G$801, 0)+1)),IF(INDEX(ERP資料!$G:$G, (MATCH(101, 輔助計算!$G$2:$G$801, 0)+1))&lt;100, IF(INDEX(ERP資料!$G:$G, (MATCH(101, 輔助計算!$G$2:$G$801, 0)+1))&lt;=31,3,IF(INDEX(ERP資料!$G:$G, (MATCH(101, 輔助計算!$G$2:$G$801, 0)+1))&lt;=46.5,2,1)), IF(INDEX(ERP資料!$G:$G, (MATCH(101, 輔助計算!$G$2:$G$801, 0)+1))&lt;=790,3,IF(INDEX(ERP資料!$G:$G, (MATCH(101, 輔助計算!$G$2:$G$801, 0)+1))&lt;=1181,2,1))))=0,"",IF(MOD(INDEX(輔助計算!$D:$D, (MATCH(101, 輔助計算!$G$2:$G$801, 0)+1)),IF(INDEX(ERP資料!$G:$G, (MATCH(101, 輔助計算!$G$2:$G$801, 0)+1))&lt;100, IF(INDEX(ERP資料!$G:$G, (MATCH(101, 輔助計算!$G$2:$G$801, 0)+1))&lt;=31,3,IF(INDEX(ERP資料!$G:$G, (MATCH(101, 輔助計算!$G$2:$G$801, 0)+1))&lt;=46.5,2,1)), IF(INDEX(ERP資料!$G:$G, (MATCH(101, 輔助計算!$G$2:$G$801, 0)+1))&lt;=790,3,IF(INDEX(ERP資料!$G:$G, (MATCH(101, 輔助計算!$G$2:$G$801, 0)+1))&lt;=1181,2,1))))=1,TEXT(INDEX(ERP資料!$G:$G, (MATCH(101, 輔助計算!$G$2:$G$801, 0)+1)),"0.##"),IF(MOD(INDEX(輔助計算!$D:$D, (MATCH(101, 輔助計算!$G$2:$G$801, 0)+1)),IF(INDEX(ERP資料!$G:$G, (MATCH(101, 輔助計算!$G$2:$G$801, 0)+1))&lt;100, IF(INDEX(ERP資料!$G:$G, (MATCH(101, 輔助計算!$G$2:$G$801, 0)+1))&lt;=31,3,IF(INDEX(ERP資料!$G:$G, (MATCH(101, 輔助計算!$G$2:$G$801, 0)+1))&lt;=46.5,2,1)), IF(INDEX(ERP資料!$G:$G, (MATCH(101, 輔助計算!$G$2:$G$801, 0)+1))&lt;=790,3,IF(INDEX(ERP資料!$G:$G, (MATCH(101, 輔助計算!$G$2:$G$801, 0)+1))&lt;=1181,2,1))))=2,TEXT(INDEX(ERP資料!$G:$G, (MATCH(101, 輔助計算!$G$2:$G$801, 0)+1)),"0.##")&amp;"+"&amp;TEXT(INDEX(ERP資料!$G:$G, (MATCH(101, 輔助計算!$G$2:$G$801, 0)+1)),"0.##"),TEXT(INDEX(ERP資料!$G:$G, (MATCH(101, 輔助計算!$G$2:$G$801, 0)+1)),"0.##")&amp;"+"&amp;TEXT(INDEX(ERP資料!$G:$G, (MATCH(101, 輔助計算!$G$2:$G$801, 0)+1)),"0.##")&amp;"+"&amp;TEXT(INDEX(ERP資料!$G:$G, (MATCH(101, 輔助計算!$G$2:$G$801, 0)+1)),"0.##"))))&amp;"-1")&lt;&gt;""),"  ","")&amp;IF(MOD(INDEX(輔助計算!$D:$D, (MATCH(101, 輔助計算!$G$2:$G$801, 0)+1)),IF(INDEX(ERP資料!$G:$G, (MATCH(101, 輔助計算!$G$2:$G$801, 0)+1))&lt;100, IF(INDEX(ERP資料!$G:$G, (MATCH(101, 輔助計算!$G$2:$G$801, 0)+1))&lt;=31,3,IF(INDEX(ERP資料!$G:$G, (MATCH(101, 輔助計算!$G$2:$G$801, 0)+1))&lt;=46.5,2,1)), IF(INDEX(ERP資料!$G:$G, (MATCH(101, 輔助計算!$G$2:$G$801, 0)+1))&lt;=790,3,IF(INDEX(ERP資料!$G:$G, (MATCH(101, 輔助計算!$G$2:$G$801, 0)+1))&lt;=1181,2,1))))=0,"",IF(MOD(INDEX(輔助計算!$D:$D, (MATCH(101, 輔助計算!$G$2:$G$801, 0)+1)),IF(INDEX(ERP資料!$G:$G, (MATCH(101, 輔助計算!$G$2:$G$801, 0)+1))&lt;100, IF(INDEX(ERP資料!$G:$G, (MATCH(101, 輔助計算!$G$2:$G$801, 0)+1))&lt;=31,3,IF(INDEX(ERP資料!$G:$G, (MATCH(101, 輔助計算!$G$2:$G$801, 0)+1))&lt;=46.5,2,1)), IF(INDEX(ERP資料!$G:$G, (MATCH(101, 輔助計算!$G$2:$G$801, 0)+1))&lt;=790,3,IF(INDEX(ERP資料!$G:$G, (MATCH(101, 輔助計算!$G$2:$G$801, 0)+1))&lt;=1181,2,1))))=0,"",IF(MOD(INDEX(輔助計算!$D:$D, (MATCH(101, 輔助計算!$G$2:$G$801, 0)+1)),IF(INDEX(ERP資料!$G:$G, (MATCH(101, 輔助計算!$G$2:$G$801, 0)+1))&lt;100, IF(INDEX(ERP資料!$G:$G, (MATCH(101, 輔助計算!$G$2:$G$801, 0)+1))&lt;=31,3,IF(INDEX(ERP資料!$G:$G, (MATCH(101, 輔助計算!$G$2:$G$801, 0)+1))&lt;=46.5,2,1)), IF(INDEX(ERP資料!$G:$G, (MATCH(101, 輔助計算!$G$2:$G$801, 0)+1))&lt;=790,3,IF(INDEX(ERP資料!$G:$G, (MATCH(101, 輔助計算!$G$2:$G$801, 0)+1))&lt;=1181,2,1))))=1,TEXT(INDEX(ERP資料!$G:$G, (MATCH(101, 輔助計算!$G$2:$G$801, 0)+1)),"0.##"),IF(MOD(INDEX(輔助計算!$D:$D, (MATCH(101, 輔助計算!$G$2:$G$801, 0)+1)),IF(INDEX(ERP資料!$G:$G, (MATCH(101, 輔助計算!$G$2:$G$801, 0)+1))&lt;100, IF(INDEX(ERP資料!$G:$G, (MATCH(101, 輔助計算!$G$2:$G$801, 0)+1))&lt;=31,3,IF(INDEX(ERP資料!$G:$G, (MATCH(101, 輔助計算!$G$2:$G$801, 0)+1))&lt;=46.5,2,1)), IF(INDEX(ERP資料!$G:$G, (MATCH(101, 輔助計算!$G$2:$G$801, 0)+1))&lt;=790,3,IF(INDEX(ERP資料!$G:$G, (MATCH(101, 輔助計算!$G$2:$G$801, 0)+1))&lt;=1181,2,1))))=2,TEXT(INDEX(ERP資料!$G:$G, (MATCH(101, 輔助計算!$G$2:$G$801, 0)+1)),"0.##")&amp;"+"&amp;TEXT(INDEX(ERP資料!$G:$G, (MATCH(101, 輔助計算!$G$2:$G$801, 0)+1)),"0.##"),TEXT(INDEX(ERP資料!$G:$G, (MATCH(101, 輔助計算!$G$2:$G$801, 0)+1)),"0.##")&amp;"+"&amp;TEXT(INDEX(ERP資料!$G:$G, (MATCH(101, 輔助計算!$G$2:$G$801, 0)+1)),"0.##")&amp;"+"&amp;TEXT(INDEX(ERP資料!$G:$G, (MATCH(101, 輔助計算!$G$2:$G$801, 0)+1)),"0.##"))))&amp;"-1")), ""), "")</f>
        <v/>
      </c>
      <c r="K102" s="16" t="n"/>
      <c r="L102" s="14">
        <f>IFERROR(IF(AND(IFERROR(INDEX(ERP資料!$A:$A, (MATCH(101, 輔助計算!$G$2:$G$801, 0)+1)), "")&lt;&gt;"", IFERROR(INDEX(ERP資料!$A:$A, (MATCH(101, 輔助計算!$G$2:$G$801, 0)+1)), "")&lt;&gt;IFERROR(INDEX(ERP資料!$A:$A, MATCH(100, 輔助計算!$G$2:$G$801, 0)+1), "")), INDEX(ERP資料!$B:$B, (MATCH(101, 輔助計算!$G$2:$G$801, 0)+1)), ""), "")</f>
        <v/>
      </c>
      <c r="M102" s="17" t="n"/>
    </row>
    <row r="103">
      <c r="A103" s="10">
        <f>IFERROR(IF(AND(IFERROR(INDEX(ERP資料!$A:$A, (MATCH(102, 輔助計算!$G$2:$G$801, 0)+1)), "")&lt;&gt;"", IFERROR(INDEX(ERP資料!$A:$A, (MATCH(102, 輔助計算!$G$2:$G$801, 0)+1)), "")&lt;&gt;IFERROR(INDEX(ERP資料!$A:$A, MATCH(101, 輔助計算!$G$2:$G$801, 0)+1), "")), IFERROR(INDEX(ERP資料!$A:$A, (MATCH(102, 輔助計算!$G$2:$G$801, 0)+1)), ""), ""), "")</f>
        <v/>
      </c>
      <c r="B103" s="10">
        <f>IFERROR(IF(AND(IFERROR(INDEX(ERP資料!$A:$A, (MATCH(102, 輔助計算!$G$2:$G$801, 0)+1)), "")&lt;&gt;"", IFERROR(INDEX(ERP資料!$A:$A, (MATCH(102, 輔助計算!$G$2:$G$801, 0)+1)), "")&lt;&gt;IFERROR(INDEX(ERP資料!$A:$A, MATCH(101, 輔助計算!$G$2:$G$801, 0)+1), "")), INDEX(ERP資料!$S:$S, (MATCH(102, 輔助計算!$G$2:$G$801, 0)+1)), ""), "")</f>
        <v/>
      </c>
      <c r="C103" s="19">
        <f>IFERROR(IF(AND(IFERROR(INDEX(ERP資料!$A:$A, (MATCH(102, 輔助計算!$G$2:$G$801, 0)+1)), "")&lt;&gt;"", IFERROR(INDEX(ERP資料!$A:$A, (MATCH(102, 輔助計算!$G$2:$G$801, 0)+1)), "")&lt;&gt;IFERROR(INDEX(ERP資料!$A:$A, MATCH(101, 輔助計算!$G$2:$G$801, 0)+1), "")), IFERROR(VLOOKUP(LEFT(INDEX(ERP資料!$S:$S, (MATCH(102, 輔助計算!$G$2:$G$801, 0)+1)), 4), 紙管對照表!$A:$C, 3, FALSE), ""), ""), "")</f>
        <v/>
      </c>
      <c r="D103" s="16" t="n"/>
      <c r="E103" s="10">
        <f>IFERROR(IF(INDEX(ERP資料!$H:$H, (MATCH(102, 輔助計算!$G$2:$G$801, 0)+1))="","",INDEX(ERP資料!$H:$H, (MATCH(102, 輔助計算!$G$2:$G$801, 0)+1))), "")</f>
        <v/>
      </c>
      <c r="F103" s="10">
        <f>IFERROR(IF(INDEX(ERP資料!$E:$E, (MATCH(102, 輔助計算!$G$2:$G$801, 0)+1))="","",TRIM(INDEX(ERP資料!$E:$E, (MATCH(102, 輔助計算!$G$2:$G$801, 0)+1)))), "")</f>
        <v/>
      </c>
      <c r="G103" s="10">
        <f>IFERROR(IF(INDEX(ERP資料!$F:$F, (MATCH(102, 輔助計算!$G$2:$G$801, 0)+1))="","",INDEX(ERP資料!$F:$F, (MATCH(102, 輔助計算!$G$2:$G$801, 0)+1))), "")</f>
        <v/>
      </c>
      <c r="H103" s="10">
        <f>IFERROR(IF(INDEX(ERP資料!$G:$G, (MATCH(102, 輔助計算!$G$2:$G$801, 0)+1))="","",INDEX(ERP資料!$G:$G, (MATCH(102, 輔助計算!$G$2:$G$801, 0)+1))), "")</f>
        <v/>
      </c>
      <c r="I103" s="15">
        <f>IFERROR(INDEX(輔助計算!$D:$D, (MATCH(102, 輔助計算!$G$2:$G$801, 0)+1)), "")</f>
        <v/>
      </c>
      <c r="J103" s="15">
        <f>IFERROR(IF(AND(INDEX(輔助計算!$D:$D, (MATCH(102, 輔助計算!$G$2:$G$801, 0)+1))&lt;&gt;"", INDEX(ERP資料!$G:$G, (MATCH(102, 輔助計算!$G$2:$G$801, 0)+1))&lt;&gt;""), TRIM(IF(INT(INDEX(輔助計算!$D:$D, (MATCH(102, 輔助計算!$G$2:$G$801, 0)+1))/IF(INDEX(ERP資料!$G:$G, (MATCH(102, 輔助計算!$G$2:$G$801, 0)+1))&lt;100, IF(INDEX(ERP資料!$G:$G, (MATCH(102, 輔助計算!$G$2:$G$801, 0)+1))&lt;=31,3,IF(INDEX(ERP資料!$G:$G, (MATCH(102, 輔助計算!$G$2:$G$801, 0)+1))&lt;=46.5,2,1)), IF(INDEX(ERP資料!$G:$G, (MATCH(102, 輔助計算!$G$2:$G$801, 0)+1))&lt;=790,3,IF(INDEX(ERP資料!$G:$G, (MATCH(102, 輔助計算!$G$2:$G$801, 0)+1))&lt;=1181,2,1))))&gt;0, IF(IF(INDEX(ERP資料!$G:$G, (MATCH(102, 輔助計算!$G$2:$G$801, 0)+1))&lt;100, IF(INDEX(ERP資料!$G:$G, (MATCH(102, 輔助計算!$G$2:$G$801, 0)+1))&lt;=31,3,IF(INDEX(ERP資料!$G:$G, (MATCH(102, 輔助計算!$G$2:$G$801, 0)+1))&lt;=46.5,2,1)), IF(INDEX(ERP資料!$G:$G, (MATCH(102, 輔助計算!$G$2:$G$801, 0)+1))&lt;=790,3,IF(INDEX(ERP資料!$G:$G, (MATCH(102, 輔助計算!$G$2:$G$801, 0)+1))&lt;=1181,2,1)))=1,TEXT(INDEX(ERP資料!$G:$G, (MATCH(102, 輔助計算!$G$2:$G$801, 0)+1)),"0.##"),IF(IF(INDEX(ERP資料!$G:$G, (MATCH(102, 輔助計算!$G$2:$G$801, 0)+1))&lt;100, IF(INDEX(ERP資料!$G:$G, (MATCH(102, 輔助計算!$G$2:$G$801, 0)+1))&lt;=31,3,IF(INDEX(ERP資料!$G:$G, (MATCH(102, 輔助計算!$G$2:$G$801, 0)+1))&lt;=46.5,2,1)), IF(INDEX(ERP資料!$G:$G, (MATCH(102, 輔助計算!$G$2:$G$801, 0)+1))&lt;=790,3,IF(INDEX(ERP資料!$G:$G, (MATCH(102, 輔助計算!$G$2:$G$801, 0)+1))&lt;=1181,2,1)))=2,TEXT(INDEX(ERP資料!$G:$G, (MATCH(102, 輔助計算!$G$2:$G$801, 0)+1)),"0.##")&amp;"+"&amp;TEXT(INDEX(ERP資料!$G:$G, (MATCH(102, 輔助計算!$G$2:$G$801, 0)+1)),"0.##"),TEXT(INDEX(ERP資料!$G:$G, (MATCH(102, 輔助計算!$G$2:$G$801, 0)+1)),"0.##")&amp;"+"&amp;TEXT(INDEX(ERP資料!$G:$G, (MATCH(102, 輔助計算!$G$2:$G$801, 0)+1)),"0.##")&amp;"+"&amp;TEXT(INDEX(ERP資料!$G:$G, (MATCH(102, 輔助計算!$G$2:$G$801, 0)+1)),"0.##")))&amp;"-"&amp;INT(INDEX(輔助計算!$D:$D, (MATCH(102, 輔助計算!$G$2:$G$801, 0)+1))/IF(INDEX(ERP資料!$G:$G, (MATCH(102, 輔助計算!$G$2:$G$801, 0)+1))&lt;100, IF(INDEX(ERP資料!$G:$G, (MATCH(102, 輔助計算!$G$2:$G$801, 0)+1))&lt;=31,3,IF(INDEX(ERP資料!$G:$G, (MATCH(102, 輔助計算!$G$2:$G$801, 0)+1))&lt;=46.5,2,1)), IF(INDEX(ERP資料!$G:$G, (MATCH(102, 輔助計算!$G$2:$G$801, 0)+1))&lt;=790,3,IF(INDEX(ERP資料!$G:$G, (MATCH(102, 輔助計算!$G$2:$G$801, 0)+1))&lt;=1181,2,1)))), "")&amp;IF(AND(IF(INT(INDEX(輔助計算!$D:$D, (MATCH(102, 輔助計算!$G$2:$G$801, 0)+1))/IF(INDEX(ERP資料!$G:$G, (MATCH(102, 輔助計算!$G$2:$G$801, 0)+1))&lt;100, IF(INDEX(ERP資料!$G:$G, (MATCH(102, 輔助計算!$G$2:$G$801, 0)+1))&lt;=31,3,IF(INDEX(ERP資料!$G:$G, (MATCH(102, 輔助計算!$G$2:$G$801, 0)+1))&lt;=46.5,2,1)), IF(INDEX(ERP資料!$G:$G, (MATCH(102, 輔助計算!$G$2:$G$801, 0)+1))&lt;=790,3,IF(INDEX(ERP資料!$G:$G, (MATCH(102, 輔助計算!$G$2:$G$801, 0)+1))&lt;=1181,2,1))))&gt;0, IF(IF(INDEX(ERP資料!$G:$G, (MATCH(102, 輔助計算!$G$2:$G$801, 0)+1))&lt;100, IF(INDEX(ERP資料!$G:$G, (MATCH(102, 輔助計算!$G$2:$G$801, 0)+1))&lt;=31,3,IF(INDEX(ERP資料!$G:$G, (MATCH(102, 輔助計算!$G$2:$G$801, 0)+1))&lt;=46.5,2,1)), IF(INDEX(ERP資料!$G:$G, (MATCH(102, 輔助計算!$G$2:$G$801, 0)+1))&lt;=790,3,IF(INDEX(ERP資料!$G:$G, (MATCH(102, 輔助計算!$G$2:$G$801, 0)+1))&lt;=1181,2,1)))=1,TEXT(INDEX(ERP資料!$G:$G, (MATCH(102, 輔助計算!$G$2:$G$801, 0)+1)),"0.##"),IF(IF(INDEX(ERP資料!$G:$G, (MATCH(102, 輔助計算!$G$2:$G$801, 0)+1))&lt;100, IF(INDEX(ERP資料!$G:$G, (MATCH(102, 輔助計算!$G$2:$G$801, 0)+1))&lt;=31,3,IF(INDEX(ERP資料!$G:$G, (MATCH(102, 輔助計算!$G$2:$G$801, 0)+1))&lt;=46.5,2,1)), IF(INDEX(ERP資料!$G:$G, (MATCH(102, 輔助計算!$G$2:$G$801, 0)+1))&lt;=790,3,IF(INDEX(ERP資料!$G:$G, (MATCH(102, 輔助計算!$G$2:$G$801, 0)+1))&lt;=1181,2,1)))=2,TEXT(INDEX(ERP資料!$G:$G, (MATCH(102, 輔助計算!$G$2:$G$801, 0)+1)),"0.##")&amp;"+"&amp;TEXT(INDEX(ERP資料!$G:$G, (MATCH(102, 輔助計算!$G$2:$G$801, 0)+1)),"0.##"),TEXT(INDEX(ERP資料!$G:$G, (MATCH(102, 輔助計算!$G$2:$G$801, 0)+1)),"0.##")&amp;"+"&amp;TEXT(INDEX(ERP資料!$G:$G, (MATCH(102, 輔助計算!$G$2:$G$801, 0)+1)),"0.##")&amp;"+"&amp;TEXT(INDEX(ERP資料!$G:$G, (MATCH(102, 輔助計算!$G$2:$G$801, 0)+1)),"0.##")))&amp;"-"&amp;INT(INDEX(輔助計算!$D:$D, (MATCH(102, 輔助計算!$G$2:$G$801, 0)+1))/IF(INDEX(ERP資料!$G:$G, (MATCH(102, 輔助計算!$G$2:$G$801, 0)+1))&lt;100, IF(INDEX(ERP資料!$G:$G, (MATCH(102, 輔助計算!$G$2:$G$801, 0)+1))&lt;=31,3,IF(INDEX(ERP資料!$G:$G, (MATCH(102, 輔助計算!$G$2:$G$801, 0)+1))&lt;=46.5,2,1)), IF(INDEX(ERP資料!$G:$G, (MATCH(102, 輔助計算!$G$2:$G$801, 0)+1))&lt;=790,3,IF(INDEX(ERP資料!$G:$G, (MATCH(102, 輔助計算!$G$2:$G$801, 0)+1))&lt;=1181,2,1)))), "")&lt;&gt;"",IF(MOD(INDEX(輔助計算!$D:$D, (MATCH(102, 輔助計算!$G$2:$G$801, 0)+1)),IF(INDEX(ERP資料!$G:$G, (MATCH(102, 輔助計算!$G$2:$G$801, 0)+1))&lt;100, IF(INDEX(ERP資料!$G:$G, (MATCH(102, 輔助計算!$G$2:$G$801, 0)+1))&lt;=31,3,IF(INDEX(ERP資料!$G:$G, (MATCH(102, 輔助計算!$G$2:$G$801, 0)+1))&lt;=46.5,2,1)), IF(INDEX(ERP資料!$G:$G, (MATCH(102, 輔助計算!$G$2:$G$801, 0)+1))&lt;=790,3,IF(INDEX(ERP資料!$G:$G, (MATCH(102, 輔助計算!$G$2:$G$801, 0)+1))&lt;=1181,2,1))))=0,"",IF(MOD(INDEX(輔助計算!$D:$D, (MATCH(102, 輔助計算!$G$2:$G$801, 0)+1)),IF(INDEX(ERP資料!$G:$G, (MATCH(102, 輔助計算!$G$2:$G$801, 0)+1))&lt;100, IF(INDEX(ERP資料!$G:$G, (MATCH(102, 輔助計算!$G$2:$G$801, 0)+1))&lt;=31,3,IF(INDEX(ERP資料!$G:$G, (MATCH(102, 輔助計算!$G$2:$G$801, 0)+1))&lt;=46.5,2,1)), IF(INDEX(ERP資料!$G:$G, (MATCH(102, 輔助計算!$G$2:$G$801, 0)+1))&lt;=790,3,IF(INDEX(ERP資料!$G:$G, (MATCH(102, 輔助計算!$G$2:$G$801, 0)+1))&lt;=1181,2,1))))=0,"",IF(MOD(INDEX(輔助計算!$D:$D, (MATCH(102, 輔助計算!$G$2:$G$801, 0)+1)),IF(INDEX(ERP資料!$G:$G, (MATCH(102, 輔助計算!$G$2:$G$801, 0)+1))&lt;100, IF(INDEX(ERP資料!$G:$G, (MATCH(102, 輔助計算!$G$2:$G$801, 0)+1))&lt;=31,3,IF(INDEX(ERP資料!$G:$G, (MATCH(102, 輔助計算!$G$2:$G$801, 0)+1))&lt;=46.5,2,1)), IF(INDEX(ERP資料!$G:$G, (MATCH(102, 輔助計算!$G$2:$G$801, 0)+1))&lt;=790,3,IF(INDEX(ERP資料!$G:$G, (MATCH(102, 輔助計算!$G$2:$G$801, 0)+1))&lt;=1181,2,1))))=1,TEXT(INDEX(ERP資料!$G:$G, (MATCH(102, 輔助計算!$G$2:$G$801, 0)+1)),"0.##"),IF(MOD(INDEX(輔助計算!$D:$D, (MATCH(102, 輔助計算!$G$2:$G$801, 0)+1)),IF(INDEX(ERP資料!$G:$G, (MATCH(102, 輔助計算!$G$2:$G$801, 0)+1))&lt;100, IF(INDEX(ERP資料!$G:$G, (MATCH(102, 輔助計算!$G$2:$G$801, 0)+1))&lt;=31,3,IF(INDEX(ERP資料!$G:$G, (MATCH(102, 輔助計算!$G$2:$G$801, 0)+1))&lt;=46.5,2,1)), IF(INDEX(ERP資料!$G:$G, (MATCH(102, 輔助計算!$G$2:$G$801, 0)+1))&lt;=790,3,IF(INDEX(ERP資料!$G:$G, (MATCH(102, 輔助計算!$G$2:$G$801, 0)+1))&lt;=1181,2,1))))=2,TEXT(INDEX(ERP資料!$G:$G, (MATCH(102, 輔助計算!$G$2:$G$801, 0)+1)),"0.##")&amp;"+"&amp;TEXT(INDEX(ERP資料!$G:$G, (MATCH(102, 輔助計算!$G$2:$G$801, 0)+1)),"0.##"),TEXT(INDEX(ERP資料!$G:$G, (MATCH(102, 輔助計算!$G$2:$G$801, 0)+1)),"0.##")&amp;"+"&amp;TEXT(INDEX(ERP資料!$G:$G, (MATCH(102, 輔助計算!$G$2:$G$801, 0)+1)),"0.##")&amp;"+"&amp;TEXT(INDEX(ERP資料!$G:$G, (MATCH(102, 輔助計算!$G$2:$G$801, 0)+1)),"0.##"))))&amp;"-1")&lt;&gt;""),"  ","")&amp;IF(MOD(INDEX(輔助計算!$D:$D, (MATCH(102, 輔助計算!$G$2:$G$801, 0)+1)),IF(INDEX(ERP資料!$G:$G, (MATCH(102, 輔助計算!$G$2:$G$801, 0)+1))&lt;100, IF(INDEX(ERP資料!$G:$G, (MATCH(102, 輔助計算!$G$2:$G$801, 0)+1))&lt;=31,3,IF(INDEX(ERP資料!$G:$G, (MATCH(102, 輔助計算!$G$2:$G$801, 0)+1))&lt;=46.5,2,1)), IF(INDEX(ERP資料!$G:$G, (MATCH(102, 輔助計算!$G$2:$G$801, 0)+1))&lt;=790,3,IF(INDEX(ERP資料!$G:$G, (MATCH(102, 輔助計算!$G$2:$G$801, 0)+1))&lt;=1181,2,1))))=0,"",IF(MOD(INDEX(輔助計算!$D:$D, (MATCH(102, 輔助計算!$G$2:$G$801, 0)+1)),IF(INDEX(ERP資料!$G:$G, (MATCH(102, 輔助計算!$G$2:$G$801, 0)+1))&lt;100, IF(INDEX(ERP資料!$G:$G, (MATCH(102, 輔助計算!$G$2:$G$801, 0)+1))&lt;=31,3,IF(INDEX(ERP資料!$G:$G, (MATCH(102, 輔助計算!$G$2:$G$801, 0)+1))&lt;=46.5,2,1)), IF(INDEX(ERP資料!$G:$G, (MATCH(102, 輔助計算!$G$2:$G$801, 0)+1))&lt;=790,3,IF(INDEX(ERP資料!$G:$G, (MATCH(102, 輔助計算!$G$2:$G$801, 0)+1))&lt;=1181,2,1))))=0,"",IF(MOD(INDEX(輔助計算!$D:$D, (MATCH(102, 輔助計算!$G$2:$G$801, 0)+1)),IF(INDEX(ERP資料!$G:$G, (MATCH(102, 輔助計算!$G$2:$G$801, 0)+1))&lt;100, IF(INDEX(ERP資料!$G:$G, (MATCH(102, 輔助計算!$G$2:$G$801, 0)+1))&lt;=31,3,IF(INDEX(ERP資料!$G:$G, (MATCH(102, 輔助計算!$G$2:$G$801, 0)+1))&lt;=46.5,2,1)), IF(INDEX(ERP資料!$G:$G, (MATCH(102, 輔助計算!$G$2:$G$801, 0)+1))&lt;=790,3,IF(INDEX(ERP資料!$G:$G, (MATCH(102, 輔助計算!$G$2:$G$801, 0)+1))&lt;=1181,2,1))))=1,TEXT(INDEX(ERP資料!$G:$G, (MATCH(102, 輔助計算!$G$2:$G$801, 0)+1)),"0.##"),IF(MOD(INDEX(輔助計算!$D:$D, (MATCH(102, 輔助計算!$G$2:$G$801, 0)+1)),IF(INDEX(ERP資料!$G:$G, (MATCH(102, 輔助計算!$G$2:$G$801, 0)+1))&lt;100, IF(INDEX(ERP資料!$G:$G, (MATCH(102, 輔助計算!$G$2:$G$801, 0)+1))&lt;=31,3,IF(INDEX(ERP資料!$G:$G, (MATCH(102, 輔助計算!$G$2:$G$801, 0)+1))&lt;=46.5,2,1)), IF(INDEX(ERP資料!$G:$G, (MATCH(102, 輔助計算!$G$2:$G$801, 0)+1))&lt;=790,3,IF(INDEX(ERP資料!$G:$G, (MATCH(102, 輔助計算!$G$2:$G$801, 0)+1))&lt;=1181,2,1))))=2,TEXT(INDEX(ERP資料!$G:$G, (MATCH(102, 輔助計算!$G$2:$G$801, 0)+1)),"0.##")&amp;"+"&amp;TEXT(INDEX(ERP資料!$G:$G, (MATCH(102, 輔助計算!$G$2:$G$801, 0)+1)),"0.##"),TEXT(INDEX(ERP資料!$G:$G, (MATCH(102, 輔助計算!$G$2:$G$801, 0)+1)),"0.##")&amp;"+"&amp;TEXT(INDEX(ERP資料!$G:$G, (MATCH(102, 輔助計算!$G$2:$G$801, 0)+1)),"0.##")&amp;"+"&amp;TEXT(INDEX(ERP資料!$G:$G, (MATCH(102, 輔助計算!$G$2:$G$801, 0)+1)),"0.##"))))&amp;"-1")), ""), "")</f>
        <v/>
      </c>
      <c r="K103" s="16" t="n"/>
      <c r="L103" s="14">
        <f>IFERROR(IF(AND(IFERROR(INDEX(ERP資料!$A:$A, (MATCH(102, 輔助計算!$G$2:$G$801, 0)+1)), "")&lt;&gt;"", IFERROR(INDEX(ERP資料!$A:$A, (MATCH(102, 輔助計算!$G$2:$G$801, 0)+1)), "")&lt;&gt;IFERROR(INDEX(ERP資料!$A:$A, MATCH(101, 輔助計算!$G$2:$G$801, 0)+1), "")), INDEX(ERP資料!$B:$B, (MATCH(102, 輔助計算!$G$2:$G$801, 0)+1)), ""), "")</f>
        <v/>
      </c>
      <c r="M103" s="17" t="n"/>
    </row>
    <row r="104">
      <c r="A104" s="10">
        <f>IFERROR(IF(AND(IFERROR(INDEX(ERP資料!$A:$A, (MATCH(103, 輔助計算!$G$2:$G$801, 0)+1)), "")&lt;&gt;"", IFERROR(INDEX(ERP資料!$A:$A, (MATCH(103, 輔助計算!$G$2:$G$801, 0)+1)), "")&lt;&gt;IFERROR(INDEX(ERP資料!$A:$A, MATCH(102, 輔助計算!$G$2:$G$801, 0)+1), "")), IFERROR(INDEX(ERP資料!$A:$A, (MATCH(103, 輔助計算!$G$2:$G$801, 0)+1)), ""), ""), "")</f>
        <v/>
      </c>
      <c r="B104" s="10">
        <f>IFERROR(IF(AND(IFERROR(INDEX(ERP資料!$A:$A, (MATCH(103, 輔助計算!$G$2:$G$801, 0)+1)), "")&lt;&gt;"", IFERROR(INDEX(ERP資料!$A:$A, (MATCH(103, 輔助計算!$G$2:$G$801, 0)+1)), "")&lt;&gt;IFERROR(INDEX(ERP資料!$A:$A, MATCH(102, 輔助計算!$G$2:$G$801, 0)+1), "")), INDEX(ERP資料!$S:$S, (MATCH(103, 輔助計算!$G$2:$G$801, 0)+1)), ""), "")</f>
        <v/>
      </c>
      <c r="C104" s="19">
        <f>IFERROR(IF(AND(IFERROR(INDEX(ERP資料!$A:$A, (MATCH(103, 輔助計算!$G$2:$G$801, 0)+1)), "")&lt;&gt;"", IFERROR(INDEX(ERP資料!$A:$A, (MATCH(103, 輔助計算!$G$2:$G$801, 0)+1)), "")&lt;&gt;IFERROR(INDEX(ERP資料!$A:$A, MATCH(102, 輔助計算!$G$2:$G$801, 0)+1), "")), IFERROR(VLOOKUP(LEFT(INDEX(ERP資料!$S:$S, (MATCH(103, 輔助計算!$G$2:$G$801, 0)+1)), 4), 紙管對照表!$A:$C, 3, FALSE), ""), ""), "")</f>
        <v/>
      </c>
      <c r="D104" s="16" t="n"/>
      <c r="E104" s="10">
        <f>IFERROR(IF(INDEX(ERP資料!$H:$H, (MATCH(103, 輔助計算!$G$2:$G$801, 0)+1))="","",INDEX(ERP資料!$H:$H, (MATCH(103, 輔助計算!$G$2:$G$801, 0)+1))), "")</f>
        <v/>
      </c>
      <c r="F104" s="10">
        <f>IFERROR(IF(INDEX(ERP資料!$E:$E, (MATCH(103, 輔助計算!$G$2:$G$801, 0)+1))="","",TRIM(INDEX(ERP資料!$E:$E, (MATCH(103, 輔助計算!$G$2:$G$801, 0)+1)))), "")</f>
        <v/>
      </c>
      <c r="G104" s="10">
        <f>IFERROR(IF(INDEX(ERP資料!$F:$F, (MATCH(103, 輔助計算!$G$2:$G$801, 0)+1))="","",INDEX(ERP資料!$F:$F, (MATCH(103, 輔助計算!$G$2:$G$801, 0)+1))), "")</f>
        <v/>
      </c>
      <c r="H104" s="10">
        <f>IFERROR(IF(INDEX(ERP資料!$G:$G, (MATCH(103, 輔助計算!$G$2:$G$801, 0)+1))="","",INDEX(ERP資料!$G:$G, (MATCH(103, 輔助計算!$G$2:$G$801, 0)+1))), "")</f>
        <v/>
      </c>
      <c r="I104" s="15">
        <f>IFERROR(INDEX(輔助計算!$D:$D, (MATCH(103, 輔助計算!$G$2:$G$801, 0)+1)), "")</f>
        <v/>
      </c>
      <c r="J104" s="15">
        <f>IFERROR(IF(AND(INDEX(輔助計算!$D:$D, (MATCH(103, 輔助計算!$G$2:$G$801, 0)+1))&lt;&gt;"", INDEX(ERP資料!$G:$G, (MATCH(103, 輔助計算!$G$2:$G$801, 0)+1))&lt;&gt;""), TRIM(IF(INT(INDEX(輔助計算!$D:$D, (MATCH(103, 輔助計算!$G$2:$G$801, 0)+1))/IF(INDEX(ERP資料!$G:$G, (MATCH(103, 輔助計算!$G$2:$G$801, 0)+1))&lt;100, IF(INDEX(ERP資料!$G:$G, (MATCH(103, 輔助計算!$G$2:$G$801, 0)+1))&lt;=31,3,IF(INDEX(ERP資料!$G:$G, (MATCH(103, 輔助計算!$G$2:$G$801, 0)+1))&lt;=46.5,2,1)), IF(INDEX(ERP資料!$G:$G, (MATCH(103, 輔助計算!$G$2:$G$801, 0)+1))&lt;=790,3,IF(INDEX(ERP資料!$G:$G, (MATCH(103, 輔助計算!$G$2:$G$801, 0)+1))&lt;=1181,2,1))))&gt;0, IF(IF(INDEX(ERP資料!$G:$G, (MATCH(103, 輔助計算!$G$2:$G$801, 0)+1))&lt;100, IF(INDEX(ERP資料!$G:$G, (MATCH(103, 輔助計算!$G$2:$G$801, 0)+1))&lt;=31,3,IF(INDEX(ERP資料!$G:$G, (MATCH(103, 輔助計算!$G$2:$G$801, 0)+1))&lt;=46.5,2,1)), IF(INDEX(ERP資料!$G:$G, (MATCH(103, 輔助計算!$G$2:$G$801, 0)+1))&lt;=790,3,IF(INDEX(ERP資料!$G:$G, (MATCH(103, 輔助計算!$G$2:$G$801, 0)+1))&lt;=1181,2,1)))=1,TEXT(INDEX(ERP資料!$G:$G, (MATCH(103, 輔助計算!$G$2:$G$801, 0)+1)),"0.##"),IF(IF(INDEX(ERP資料!$G:$G, (MATCH(103, 輔助計算!$G$2:$G$801, 0)+1))&lt;100, IF(INDEX(ERP資料!$G:$G, (MATCH(103, 輔助計算!$G$2:$G$801, 0)+1))&lt;=31,3,IF(INDEX(ERP資料!$G:$G, (MATCH(103, 輔助計算!$G$2:$G$801, 0)+1))&lt;=46.5,2,1)), IF(INDEX(ERP資料!$G:$G, (MATCH(103, 輔助計算!$G$2:$G$801, 0)+1))&lt;=790,3,IF(INDEX(ERP資料!$G:$G, (MATCH(103, 輔助計算!$G$2:$G$801, 0)+1))&lt;=1181,2,1)))=2,TEXT(INDEX(ERP資料!$G:$G, (MATCH(103, 輔助計算!$G$2:$G$801, 0)+1)),"0.##")&amp;"+"&amp;TEXT(INDEX(ERP資料!$G:$G, (MATCH(103, 輔助計算!$G$2:$G$801, 0)+1)),"0.##"),TEXT(INDEX(ERP資料!$G:$G, (MATCH(103, 輔助計算!$G$2:$G$801, 0)+1)),"0.##")&amp;"+"&amp;TEXT(INDEX(ERP資料!$G:$G, (MATCH(103, 輔助計算!$G$2:$G$801, 0)+1)),"0.##")&amp;"+"&amp;TEXT(INDEX(ERP資料!$G:$G, (MATCH(103, 輔助計算!$G$2:$G$801, 0)+1)),"0.##")))&amp;"-"&amp;INT(INDEX(輔助計算!$D:$D, (MATCH(103, 輔助計算!$G$2:$G$801, 0)+1))/IF(INDEX(ERP資料!$G:$G, (MATCH(103, 輔助計算!$G$2:$G$801, 0)+1))&lt;100, IF(INDEX(ERP資料!$G:$G, (MATCH(103, 輔助計算!$G$2:$G$801, 0)+1))&lt;=31,3,IF(INDEX(ERP資料!$G:$G, (MATCH(103, 輔助計算!$G$2:$G$801, 0)+1))&lt;=46.5,2,1)), IF(INDEX(ERP資料!$G:$G, (MATCH(103, 輔助計算!$G$2:$G$801, 0)+1))&lt;=790,3,IF(INDEX(ERP資料!$G:$G, (MATCH(103, 輔助計算!$G$2:$G$801, 0)+1))&lt;=1181,2,1)))), "")&amp;IF(AND(IF(INT(INDEX(輔助計算!$D:$D, (MATCH(103, 輔助計算!$G$2:$G$801, 0)+1))/IF(INDEX(ERP資料!$G:$G, (MATCH(103, 輔助計算!$G$2:$G$801, 0)+1))&lt;100, IF(INDEX(ERP資料!$G:$G, (MATCH(103, 輔助計算!$G$2:$G$801, 0)+1))&lt;=31,3,IF(INDEX(ERP資料!$G:$G, (MATCH(103, 輔助計算!$G$2:$G$801, 0)+1))&lt;=46.5,2,1)), IF(INDEX(ERP資料!$G:$G, (MATCH(103, 輔助計算!$G$2:$G$801, 0)+1))&lt;=790,3,IF(INDEX(ERP資料!$G:$G, (MATCH(103, 輔助計算!$G$2:$G$801, 0)+1))&lt;=1181,2,1))))&gt;0, IF(IF(INDEX(ERP資料!$G:$G, (MATCH(103, 輔助計算!$G$2:$G$801, 0)+1))&lt;100, IF(INDEX(ERP資料!$G:$G, (MATCH(103, 輔助計算!$G$2:$G$801, 0)+1))&lt;=31,3,IF(INDEX(ERP資料!$G:$G, (MATCH(103, 輔助計算!$G$2:$G$801, 0)+1))&lt;=46.5,2,1)), IF(INDEX(ERP資料!$G:$G, (MATCH(103, 輔助計算!$G$2:$G$801, 0)+1))&lt;=790,3,IF(INDEX(ERP資料!$G:$G, (MATCH(103, 輔助計算!$G$2:$G$801, 0)+1))&lt;=1181,2,1)))=1,TEXT(INDEX(ERP資料!$G:$G, (MATCH(103, 輔助計算!$G$2:$G$801, 0)+1)),"0.##"),IF(IF(INDEX(ERP資料!$G:$G, (MATCH(103, 輔助計算!$G$2:$G$801, 0)+1))&lt;100, IF(INDEX(ERP資料!$G:$G, (MATCH(103, 輔助計算!$G$2:$G$801, 0)+1))&lt;=31,3,IF(INDEX(ERP資料!$G:$G, (MATCH(103, 輔助計算!$G$2:$G$801, 0)+1))&lt;=46.5,2,1)), IF(INDEX(ERP資料!$G:$G, (MATCH(103, 輔助計算!$G$2:$G$801, 0)+1))&lt;=790,3,IF(INDEX(ERP資料!$G:$G, (MATCH(103, 輔助計算!$G$2:$G$801, 0)+1))&lt;=1181,2,1)))=2,TEXT(INDEX(ERP資料!$G:$G, (MATCH(103, 輔助計算!$G$2:$G$801, 0)+1)),"0.##")&amp;"+"&amp;TEXT(INDEX(ERP資料!$G:$G, (MATCH(103, 輔助計算!$G$2:$G$801, 0)+1)),"0.##"),TEXT(INDEX(ERP資料!$G:$G, (MATCH(103, 輔助計算!$G$2:$G$801, 0)+1)),"0.##")&amp;"+"&amp;TEXT(INDEX(ERP資料!$G:$G, (MATCH(103, 輔助計算!$G$2:$G$801, 0)+1)),"0.##")&amp;"+"&amp;TEXT(INDEX(ERP資料!$G:$G, (MATCH(103, 輔助計算!$G$2:$G$801, 0)+1)),"0.##")))&amp;"-"&amp;INT(INDEX(輔助計算!$D:$D, (MATCH(103, 輔助計算!$G$2:$G$801, 0)+1))/IF(INDEX(ERP資料!$G:$G, (MATCH(103, 輔助計算!$G$2:$G$801, 0)+1))&lt;100, IF(INDEX(ERP資料!$G:$G, (MATCH(103, 輔助計算!$G$2:$G$801, 0)+1))&lt;=31,3,IF(INDEX(ERP資料!$G:$G, (MATCH(103, 輔助計算!$G$2:$G$801, 0)+1))&lt;=46.5,2,1)), IF(INDEX(ERP資料!$G:$G, (MATCH(103, 輔助計算!$G$2:$G$801, 0)+1))&lt;=790,3,IF(INDEX(ERP資料!$G:$G, (MATCH(103, 輔助計算!$G$2:$G$801, 0)+1))&lt;=1181,2,1)))), "")&lt;&gt;"",IF(MOD(INDEX(輔助計算!$D:$D, (MATCH(103, 輔助計算!$G$2:$G$801, 0)+1)),IF(INDEX(ERP資料!$G:$G, (MATCH(103, 輔助計算!$G$2:$G$801, 0)+1))&lt;100, IF(INDEX(ERP資料!$G:$G, (MATCH(103, 輔助計算!$G$2:$G$801, 0)+1))&lt;=31,3,IF(INDEX(ERP資料!$G:$G, (MATCH(103, 輔助計算!$G$2:$G$801, 0)+1))&lt;=46.5,2,1)), IF(INDEX(ERP資料!$G:$G, (MATCH(103, 輔助計算!$G$2:$G$801, 0)+1))&lt;=790,3,IF(INDEX(ERP資料!$G:$G, (MATCH(103, 輔助計算!$G$2:$G$801, 0)+1))&lt;=1181,2,1))))=0,"",IF(MOD(INDEX(輔助計算!$D:$D, (MATCH(103, 輔助計算!$G$2:$G$801, 0)+1)),IF(INDEX(ERP資料!$G:$G, (MATCH(103, 輔助計算!$G$2:$G$801, 0)+1))&lt;100, IF(INDEX(ERP資料!$G:$G, (MATCH(103, 輔助計算!$G$2:$G$801, 0)+1))&lt;=31,3,IF(INDEX(ERP資料!$G:$G, (MATCH(103, 輔助計算!$G$2:$G$801, 0)+1))&lt;=46.5,2,1)), IF(INDEX(ERP資料!$G:$G, (MATCH(103, 輔助計算!$G$2:$G$801, 0)+1))&lt;=790,3,IF(INDEX(ERP資料!$G:$G, (MATCH(103, 輔助計算!$G$2:$G$801, 0)+1))&lt;=1181,2,1))))=0,"",IF(MOD(INDEX(輔助計算!$D:$D, (MATCH(103, 輔助計算!$G$2:$G$801, 0)+1)),IF(INDEX(ERP資料!$G:$G, (MATCH(103, 輔助計算!$G$2:$G$801, 0)+1))&lt;100, IF(INDEX(ERP資料!$G:$G, (MATCH(103, 輔助計算!$G$2:$G$801, 0)+1))&lt;=31,3,IF(INDEX(ERP資料!$G:$G, (MATCH(103, 輔助計算!$G$2:$G$801, 0)+1))&lt;=46.5,2,1)), IF(INDEX(ERP資料!$G:$G, (MATCH(103, 輔助計算!$G$2:$G$801, 0)+1))&lt;=790,3,IF(INDEX(ERP資料!$G:$G, (MATCH(103, 輔助計算!$G$2:$G$801, 0)+1))&lt;=1181,2,1))))=1,TEXT(INDEX(ERP資料!$G:$G, (MATCH(103, 輔助計算!$G$2:$G$801, 0)+1)),"0.##"),IF(MOD(INDEX(輔助計算!$D:$D, (MATCH(103, 輔助計算!$G$2:$G$801, 0)+1)),IF(INDEX(ERP資料!$G:$G, (MATCH(103, 輔助計算!$G$2:$G$801, 0)+1))&lt;100, IF(INDEX(ERP資料!$G:$G, (MATCH(103, 輔助計算!$G$2:$G$801, 0)+1))&lt;=31,3,IF(INDEX(ERP資料!$G:$G, (MATCH(103, 輔助計算!$G$2:$G$801, 0)+1))&lt;=46.5,2,1)), IF(INDEX(ERP資料!$G:$G, (MATCH(103, 輔助計算!$G$2:$G$801, 0)+1))&lt;=790,3,IF(INDEX(ERP資料!$G:$G, (MATCH(103, 輔助計算!$G$2:$G$801, 0)+1))&lt;=1181,2,1))))=2,TEXT(INDEX(ERP資料!$G:$G, (MATCH(103, 輔助計算!$G$2:$G$801, 0)+1)),"0.##")&amp;"+"&amp;TEXT(INDEX(ERP資料!$G:$G, (MATCH(103, 輔助計算!$G$2:$G$801, 0)+1)),"0.##"),TEXT(INDEX(ERP資料!$G:$G, (MATCH(103, 輔助計算!$G$2:$G$801, 0)+1)),"0.##")&amp;"+"&amp;TEXT(INDEX(ERP資料!$G:$G, (MATCH(103, 輔助計算!$G$2:$G$801, 0)+1)),"0.##")&amp;"+"&amp;TEXT(INDEX(ERP資料!$G:$G, (MATCH(103, 輔助計算!$G$2:$G$801, 0)+1)),"0.##"))))&amp;"-1")&lt;&gt;""),"  ","")&amp;IF(MOD(INDEX(輔助計算!$D:$D, (MATCH(103, 輔助計算!$G$2:$G$801, 0)+1)),IF(INDEX(ERP資料!$G:$G, (MATCH(103, 輔助計算!$G$2:$G$801, 0)+1))&lt;100, IF(INDEX(ERP資料!$G:$G, (MATCH(103, 輔助計算!$G$2:$G$801, 0)+1))&lt;=31,3,IF(INDEX(ERP資料!$G:$G, (MATCH(103, 輔助計算!$G$2:$G$801, 0)+1))&lt;=46.5,2,1)), IF(INDEX(ERP資料!$G:$G, (MATCH(103, 輔助計算!$G$2:$G$801, 0)+1))&lt;=790,3,IF(INDEX(ERP資料!$G:$G, (MATCH(103, 輔助計算!$G$2:$G$801, 0)+1))&lt;=1181,2,1))))=0,"",IF(MOD(INDEX(輔助計算!$D:$D, (MATCH(103, 輔助計算!$G$2:$G$801, 0)+1)),IF(INDEX(ERP資料!$G:$G, (MATCH(103, 輔助計算!$G$2:$G$801, 0)+1))&lt;100, IF(INDEX(ERP資料!$G:$G, (MATCH(103, 輔助計算!$G$2:$G$801, 0)+1))&lt;=31,3,IF(INDEX(ERP資料!$G:$G, (MATCH(103, 輔助計算!$G$2:$G$801, 0)+1))&lt;=46.5,2,1)), IF(INDEX(ERP資料!$G:$G, (MATCH(103, 輔助計算!$G$2:$G$801, 0)+1))&lt;=790,3,IF(INDEX(ERP資料!$G:$G, (MATCH(103, 輔助計算!$G$2:$G$801, 0)+1))&lt;=1181,2,1))))=0,"",IF(MOD(INDEX(輔助計算!$D:$D, (MATCH(103, 輔助計算!$G$2:$G$801, 0)+1)),IF(INDEX(ERP資料!$G:$G, (MATCH(103, 輔助計算!$G$2:$G$801, 0)+1))&lt;100, IF(INDEX(ERP資料!$G:$G, (MATCH(103, 輔助計算!$G$2:$G$801, 0)+1))&lt;=31,3,IF(INDEX(ERP資料!$G:$G, (MATCH(103, 輔助計算!$G$2:$G$801, 0)+1))&lt;=46.5,2,1)), IF(INDEX(ERP資料!$G:$G, (MATCH(103, 輔助計算!$G$2:$G$801, 0)+1))&lt;=790,3,IF(INDEX(ERP資料!$G:$G, (MATCH(103, 輔助計算!$G$2:$G$801, 0)+1))&lt;=1181,2,1))))=1,TEXT(INDEX(ERP資料!$G:$G, (MATCH(103, 輔助計算!$G$2:$G$801, 0)+1)),"0.##"),IF(MOD(INDEX(輔助計算!$D:$D, (MATCH(103, 輔助計算!$G$2:$G$801, 0)+1)),IF(INDEX(ERP資料!$G:$G, (MATCH(103, 輔助計算!$G$2:$G$801, 0)+1))&lt;100, IF(INDEX(ERP資料!$G:$G, (MATCH(103, 輔助計算!$G$2:$G$801, 0)+1))&lt;=31,3,IF(INDEX(ERP資料!$G:$G, (MATCH(103, 輔助計算!$G$2:$G$801, 0)+1))&lt;=46.5,2,1)), IF(INDEX(ERP資料!$G:$G, (MATCH(103, 輔助計算!$G$2:$G$801, 0)+1))&lt;=790,3,IF(INDEX(ERP資料!$G:$G, (MATCH(103, 輔助計算!$G$2:$G$801, 0)+1))&lt;=1181,2,1))))=2,TEXT(INDEX(ERP資料!$G:$G, (MATCH(103, 輔助計算!$G$2:$G$801, 0)+1)),"0.##")&amp;"+"&amp;TEXT(INDEX(ERP資料!$G:$G, (MATCH(103, 輔助計算!$G$2:$G$801, 0)+1)),"0.##"),TEXT(INDEX(ERP資料!$G:$G, (MATCH(103, 輔助計算!$G$2:$G$801, 0)+1)),"0.##")&amp;"+"&amp;TEXT(INDEX(ERP資料!$G:$G, (MATCH(103, 輔助計算!$G$2:$G$801, 0)+1)),"0.##")&amp;"+"&amp;TEXT(INDEX(ERP資料!$G:$G, (MATCH(103, 輔助計算!$G$2:$G$801, 0)+1)),"0.##"))))&amp;"-1")), ""), "")</f>
        <v/>
      </c>
      <c r="K104" s="16" t="n"/>
      <c r="L104" s="14">
        <f>IFERROR(IF(AND(IFERROR(INDEX(ERP資料!$A:$A, (MATCH(103, 輔助計算!$G$2:$G$801, 0)+1)), "")&lt;&gt;"", IFERROR(INDEX(ERP資料!$A:$A, (MATCH(103, 輔助計算!$G$2:$G$801, 0)+1)), "")&lt;&gt;IFERROR(INDEX(ERP資料!$A:$A, MATCH(102, 輔助計算!$G$2:$G$801, 0)+1), "")), INDEX(ERP資料!$B:$B, (MATCH(103, 輔助計算!$G$2:$G$801, 0)+1)), ""), "")</f>
        <v/>
      </c>
      <c r="M104" s="17" t="n"/>
    </row>
    <row r="105">
      <c r="A105" s="10">
        <f>IFERROR(IF(AND(IFERROR(INDEX(ERP資料!$A:$A, (MATCH(104, 輔助計算!$G$2:$G$801, 0)+1)), "")&lt;&gt;"", IFERROR(INDEX(ERP資料!$A:$A, (MATCH(104, 輔助計算!$G$2:$G$801, 0)+1)), "")&lt;&gt;IFERROR(INDEX(ERP資料!$A:$A, MATCH(103, 輔助計算!$G$2:$G$801, 0)+1), "")), IFERROR(INDEX(ERP資料!$A:$A, (MATCH(104, 輔助計算!$G$2:$G$801, 0)+1)), ""), ""), "")</f>
        <v/>
      </c>
      <c r="B105" s="10">
        <f>IFERROR(IF(AND(IFERROR(INDEX(ERP資料!$A:$A, (MATCH(104, 輔助計算!$G$2:$G$801, 0)+1)), "")&lt;&gt;"", IFERROR(INDEX(ERP資料!$A:$A, (MATCH(104, 輔助計算!$G$2:$G$801, 0)+1)), "")&lt;&gt;IFERROR(INDEX(ERP資料!$A:$A, MATCH(103, 輔助計算!$G$2:$G$801, 0)+1), "")), INDEX(ERP資料!$S:$S, (MATCH(104, 輔助計算!$G$2:$G$801, 0)+1)), ""), "")</f>
        <v/>
      </c>
      <c r="C105" s="19">
        <f>IFERROR(IF(AND(IFERROR(INDEX(ERP資料!$A:$A, (MATCH(104, 輔助計算!$G$2:$G$801, 0)+1)), "")&lt;&gt;"", IFERROR(INDEX(ERP資料!$A:$A, (MATCH(104, 輔助計算!$G$2:$G$801, 0)+1)), "")&lt;&gt;IFERROR(INDEX(ERP資料!$A:$A, MATCH(103, 輔助計算!$G$2:$G$801, 0)+1), "")), IFERROR(VLOOKUP(LEFT(INDEX(ERP資料!$S:$S, (MATCH(104, 輔助計算!$G$2:$G$801, 0)+1)), 4), 紙管對照表!$A:$C, 3, FALSE), ""), ""), "")</f>
        <v/>
      </c>
      <c r="D105" s="16" t="n"/>
      <c r="E105" s="10">
        <f>IFERROR(IF(INDEX(ERP資料!$H:$H, (MATCH(104, 輔助計算!$G$2:$G$801, 0)+1))="","",INDEX(ERP資料!$H:$H, (MATCH(104, 輔助計算!$G$2:$G$801, 0)+1))), "")</f>
        <v/>
      </c>
      <c r="F105" s="10">
        <f>IFERROR(IF(INDEX(ERP資料!$E:$E, (MATCH(104, 輔助計算!$G$2:$G$801, 0)+1))="","",TRIM(INDEX(ERP資料!$E:$E, (MATCH(104, 輔助計算!$G$2:$G$801, 0)+1)))), "")</f>
        <v/>
      </c>
      <c r="G105" s="10">
        <f>IFERROR(IF(INDEX(ERP資料!$F:$F, (MATCH(104, 輔助計算!$G$2:$G$801, 0)+1))="","",INDEX(ERP資料!$F:$F, (MATCH(104, 輔助計算!$G$2:$G$801, 0)+1))), "")</f>
        <v/>
      </c>
      <c r="H105" s="10">
        <f>IFERROR(IF(INDEX(ERP資料!$G:$G, (MATCH(104, 輔助計算!$G$2:$G$801, 0)+1))="","",INDEX(ERP資料!$G:$G, (MATCH(104, 輔助計算!$G$2:$G$801, 0)+1))), "")</f>
        <v/>
      </c>
      <c r="I105" s="15">
        <f>IFERROR(INDEX(輔助計算!$D:$D, (MATCH(104, 輔助計算!$G$2:$G$801, 0)+1)), "")</f>
        <v/>
      </c>
      <c r="J105" s="15">
        <f>IFERROR(IF(AND(INDEX(輔助計算!$D:$D, (MATCH(104, 輔助計算!$G$2:$G$801, 0)+1))&lt;&gt;"", INDEX(ERP資料!$G:$G, (MATCH(104, 輔助計算!$G$2:$G$801, 0)+1))&lt;&gt;""), TRIM(IF(INT(INDEX(輔助計算!$D:$D, (MATCH(104, 輔助計算!$G$2:$G$801, 0)+1))/IF(INDEX(ERP資料!$G:$G, (MATCH(104, 輔助計算!$G$2:$G$801, 0)+1))&lt;100, IF(INDEX(ERP資料!$G:$G, (MATCH(104, 輔助計算!$G$2:$G$801, 0)+1))&lt;=31,3,IF(INDEX(ERP資料!$G:$G, (MATCH(104, 輔助計算!$G$2:$G$801, 0)+1))&lt;=46.5,2,1)), IF(INDEX(ERP資料!$G:$G, (MATCH(104, 輔助計算!$G$2:$G$801, 0)+1))&lt;=790,3,IF(INDEX(ERP資料!$G:$G, (MATCH(104, 輔助計算!$G$2:$G$801, 0)+1))&lt;=1181,2,1))))&gt;0, IF(IF(INDEX(ERP資料!$G:$G, (MATCH(104, 輔助計算!$G$2:$G$801, 0)+1))&lt;100, IF(INDEX(ERP資料!$G:$G, (MATCH(104, 輔助計算!$G$2:$G$801, 0)+1))&lt;=31,3,IF(INDEX(ERP資料!$G:$G, (MATCH(104, 輔助計算!$G$2:$G$801, 0)+1))&lt;=46.5,2,1)), IF(INDEX(ERP資料!$G:$G, (MATCH(104, 輔助計算!$G$2:$G$801, 0)+1))&lt;=790,3,IF(INDEX(ERP資料!$G:$G, (MATCH(104, 輔助計算!$G$2:$G$801, 0)+1))&lt;=1181,2,1)))=1,TEXT(INDEX(ERP資料!$G:$G, (MATCH(104, 輔助計算!$G$2:$G$801, 0)+1)),"0.##"),IF(IF(INDEX(ERP資料!$G:$G, (MATCH(104, 輔助計算!$G$2:$G$801, 0)+1))&lt;100, IF(INDEX(ERP資料!$G:$G, (MATCH(104, 輔助計算!$G$2:$G$801, 0)+1))&lt;=31,3,IF(INDEX(ERP資料!$G:$G, (MATCH(104, 輔助計算!$G$2:$G$801, 0)+1))&lt;=46.5,2,1)), IF(INDEX(ERP資料!$G:$G, (MATCH(104, 輔助計算!$G$2:$G$801, 0)+1))&lt;=790,3,IF(INDEX(ERP資料!$G:$G, (MATCH(104, 輔助計算!$G$2:$G$801, 0)+1))&lt;=1181,2,1)))=2,TEXT(INDEX(ERP資料!$G:$G, (MATCH(104, 輔助計算!$G$2:$G$801, 0)+1)),"0.##")&amp;"+"&amp;TEXT(INDEX(ERP資料!$G:$G, (MATCH(104, 輔助計算!$G$2:$G$801, 0)+1)),"0.##"),TEXT(INDEX(ERP資料!$G:$G, (MATCH(104, 輔助計算!$G$2:$G$801, 0)+1)),"0.##")&amp;"+"&amp;TEXT(INDEX(ERP資料!$G:$G, (MATCH(104, 輔助計算!$G$2:$G$801, 0)+1)),"0.##")&amp;"+"&amp;TEXT(INDEX(ERP資料!$G:$G, (MATCH(104, 輔助計算!$G$2:$G$801, 0)+1)),"0.##")))&amp;"-"&amp;INT(INDEX(輔助計算!$D:$D, (MATCH(104, 輔助計算!$G$2:$G$801, 0)+1))/IF(INDEX(ERP資料!$G:$G, (MATCH(104, 輔助計算!$G$2:$G$801, 0)+1))&lt;100, IF(INDEX(ERP資料!$G:$G, (MATCH(104, 輔助計算!$G$2:$G$801, 0)+1))&lt;=31,3,IF(INDEX(ERP資料!$G:$G, (MATCH(104, 輔助計算!$G$2:$G$801, 0)+1))&lt;=46.5,2,1)), IF(INDEX(ERP資料!$G:$G, (MATCH(104, 輔助計算!$G$2:$G$801, 0)+1))&lt;=790,3,IF(INDEX(ERP資料!$G:$G, (MATCH(104, 輔助計算!$G$2:$G$801, 0)+1))&lt;=1181,2,1)))), "")&amp;IF(AND(IF(INT(INDEX(輔助計算!$D:$D, (MATCH(104, 輔助計算!$G$2:$G$801, 0)+1))/IF(INDEX(ERP資料!$G:$G, (MATCH(104, 輔助計算!$G$2:$G$801, 0)+1))&lt;100, IF(INDEX(ERP資料!$G:$G, (MATCH(104, 輔助計算!$G$2:$G$801, 0)+1))&lt;=31,3,IF(INDEX(ERP資料!$G:$G, (MATCH(104, 輔助計算!$G$2:$G$801, 0)+1))&lt;=46.5,2,1)), IF(INDEX(ERP資料!$G:$G, (MATCH(104, 輔助計算!$G$2:$G$801, 0)+1))&lt;=790,3,IF(INDEX(ERP資料!$G:$G, (MATCH(104, 輔助計算!$G$2:$G$801, 0)+1))&lt;=1181,2,1))))&gt;0, IF(IF(INDEX(ERP資料!$G:$G, (MATCH(104, 輔助計算!$G$2:$G$801, 0)+1))&lt;100, IF(INDEX(ERP資料!$G:$G, (MATCH(104, 輔助計算!$G$2:$G$801, 0)+1))&lt;=31,3,IF(INDEX(ERP資料!$G:$G, (MATCH(104, 輔助計算!$G$2:$G$801, 0)+1))&lt;=46.5,2,1)), IF(INDEX(ERP資料!$G:$G, (MATCH(104, 輔助計算!$G$2:$G$801, 0)+1))&lt;=790,3,IF(INDEX(ERP資料!$G:$G, (MATCH(104, 輔助計算!$G$2:$G$801, 0)+1))&lt;=1181,2,1)))=1,TEXT(INDEX(ERP資料!$G:$G, (MATCH(104, 輔助計算!$G$2:$G$801, 0)+1)),"0.##"),IF(IF(INDEX(ERP資料!$G:$G, (MATCH(104, 輔助計算!$G$2:$G$801, 0)+1))&lt;100, IF(INDEX(ERP資料!$G:$G, (MATCH(104, 輔助計算!$G$2:$G$801, 0)+1))&lt;=31,3,IF(INDEX(ERP資料!$G:$G, (MATCH(104, 輔助計算!$G$2:$G$801, 0)+1))&lt;=46.5,2,1)), IF(INDEX(ERP資料!$G:$G, (MATCH(104, 輔助計算!$G$2:$G$801, 0)+1))&lt;=790,3,IF(INDEX(ERP資料!$G:$G, (MATCH(104, 輔助計算!$G$2:$G$801, 0)+1))&lt;=1181,2,1)))=2,TEXT(INDEX(ERP資料!$G:$G, (MATCH(104, 輔助計算!$G$2:$G$801, 0)+1)),"0.##")&amp;"+"&amp;TEXT(INDEX(ERP資料!$G:$G, (MATCH(104, 輔助計算!$G$2:$G$801, 0)+1)),"0.##"),TEXT(INDEX(ERP資料!$G:$G, (MATCH(104, 輔助計算!$G$2:$G$801, 0)+1)),"0.##")&amp;"+"&amp;TEXT(INDEX(ERP資料!$G:$G, (MATCH(104, 輔助計算!$G$2:$G$801, 0)+1)),"0.##")&amp;"+"&amp;TEXT(INDEX(ERP資料!$G:$G, (MATCH(104, 輔助計算!$G$2:$G$801, 0)+1)),"0.##")))&amp;"-"&amp;INT(INDEX(輔助計算!$D:$D, (MATCH(104, 輔助計算!$G$2:$G$801, 0)+1))/IF(INDEX(ERP資料!$G:$G, (MATCH(104, 輔助計算!$G$2:$G$801, 0)+1))&lt;100, IF(INDEX(ERP資料!$G:$G, (MATCH(104, 輔助計算!$G$2:$G$801, 0)+1))&lt;=31,3,IF(INDEX(ERP資料!$G:$G, (MATCH(104, 輔助計算!$G$2:$G$801, 0)+1))&lt;=46.5,2,1)), IF(INDEX(ERP資料!$G:$G, (MATCH(104, 輔助計算!$G$2:$G$801, 0)+1))&lt;=790,3,IF(INDEX(ERP資料!$G:$G, (MATCH(104, 輔助計算!$G$2:$G$801, 0)+1))&lt;=1181,2,1)))), "")&lt;&gt;"",IF(MOD(INDEX(輔助計算!$D:$D, (MATCH(104, 輔助計算!$G$2:$G$801, 0)+1)),IF(INDEX(ERP資料!$G:$G, (MATCH(104, 輔助計算!$G$2:$G$801, 0)+1))&lt;100, IF(INDEX(ERP資料!$G:$G, (MATCH(104, 輔助計算!$G$2:$G$801, 0)+1))&lt;=31,3,IF(INDEX(ERP資料!$G:$G, (MATCH(104, 輔助計算!$G$2:$G$801, 0)+1))&lt;=46.5,2,1)), IF(INDEX(ERP資料!$G:$G, (MATCH(104, 輔助計算!$G$2:$G$801, 0)+1))&lt;=790,3,IF(INDEX(ERP資料!$G:$G, (MATCH(104, 輔助計算!$G$2:$G$801, 0)+1))&lt;=1181,2,1))))=0,"",IF(MOD(INDEX(輔助計算!$D:$D, (MATCH(104, 輔助計算!$G$2:$G$801, 0)+1)),IF(INDEX(ERP資料!$G:$G, (MATCH(104, 輔助計算!$G$2:$G$801, 0)+1))&lt;100, IF(INDEX(ERP資料!$G:$G, (MATCH(104, 輔助計算!$G$2:$G$801, 0)+1))&lt;=31,3,IF(INDEX(ERP資料!$G:$G, (MATCH(104, 輔助計算!$G$2:$G$801, 0)+1))&lt;=46.5,2,1)), IF(INDEX(ERP資料!$G:$G, (MATCH(104, 輔助計算!$G$2:$G$801, 0)+1))&lt;=790,3,IF(INDEX(ERP資料!$G:$G, (MATCH(104, 輔助計算!$G$2:$G$801, 0)+1))&lt;=1181,2,1))))=0,"",IF(MOD(INDEX(輔助計算!$D:$D, (MATCH(104, 輔助計算!$G$2:$G$801, 0)+1)),IF(INDEX(ERP資料!$G:$G, (MATCH(104, 輔助計算!$G$2:$G$801, 0)+1))&lt;100, IF(INDEX(ERP資料!$G:$G, (MATCH(104, 輔助計算!$G$2:$G$801, 0)+1))&lt;=31,3,IF(INDEX(ERP資料!$G:$G, (MATCH(104, 輔助計算!$G$2:$G$801, 0)+1))&lt;=46.5,2,1)), IF(INDEX(ERP資料!$G:$G, (MATCH(104, 輔助計算!$G$2:$G$801, 0)+1))&lt;=790,3,IF(INDEX(ERP資料!$G:$G, (MATCH(104, 輔助計算!$G$2:$G$801, 0)+1))&lt;=1181,2,1))))=1,TEXT(INDEX(ERP資料!$G:$G, (MATCH(104, 輔助計算!$G$2:$G$801, 0)+1)),"0.##"),IF(MOD(INDEX(輔助計算!$D:$D, (MATCH(104, 輔助計算!$G$2:$G$801, 0)+1)),IF(INDEX(ERP資料!$G:$G, (MATCH(104, 輔助計算!$G$2:$G$801, 0)+1))&lt;100, IF(INDEX(ERP資料!$G:$G, (MATCH(104, 輔助計算!$G$2:$G$801, 0)+1))&lt;=31,3,IF(INDEX(ERP資料!$G:$G, (MATCH(104, 輔助計算!$G$2:$G$801, 0)+1))&lt;=46.5,2,1)), IF(INDEX(ERP資料!$G:$G, (MATCH(104, 輔助計算!$G$2:$G$801, 0)+1))&lt;=790,3,IF(INDEX(ERP資料!$G:$G, (MATCH(104, 輔助計算!$G$2:$G$801, 0)+1))&lt;=1181,2,1))))=2,TEXT(INDEX(ERP資料!$G:$G, (MATCH(104, 輔助計算!$G$2:$G$801, 0)+1)),"0.##")&amp;"+"&amp;TEXT(INDEX(ERP資料!$G:$G, (MATCH(104, 輔助計算!$G$2:$G$801, 0)+1)),"0.##"),TEXT(INDEX(ERP資料!$G:$G, (MATCH(104, 輔助計算!$G$2:$G$801, 0)+1)),"0.##")&amp;"+"&amp;TEXT(INDEX(ERP資料!$G:$G, (MATCH(104, 輔助計算!$G$2:$G$801, 0)+1)),"0.##")&amp;"+"&amp;TEXT(INDEX(ERP資料!$G:$G, (MATCH(104, 輔助計算!$G$2:$G$801, 0)+1)),"0.##"))))&amp;"-1")&lt;&gt;""),"  ","")&amp;IF(MOD(INDEX(輔助計算!$D:$D, (MATCH(104, 輔助計算!$G$2:$G$801, 0)+1)),IF(INDEX(ERP資料!$G:$G, (MATCH(104, 輔助計算!$G$2:$G$801, 0)+1))&lt;100, IF(INDEX(ERP資料!$G:$G, (MATCH(104, 輔助計算!$G$2:$G$801, 0)+1))&lt;=31,3,IF(INDEX(ERP資料!$G:$G, (MATCH(104, 輔助計算!$G$2:$G$801, 0)+1))&lt;=46.5,2,1)), IF(INDEX(ERP資料!$G:$G, (MATCH(104, 輔助計算!$G$2:$G$801, 0)+1))&lt;=790,3,IF(INDEX(ERP資料!$G:$G, (MATCH(104, 輔助計算!$G$2:$G$801, 0)+1))&lt;=1181,2,1))))=0,"",IF(MOD(INDEX(輔助計算!$D:$D, (MATCH(104, 輔助計算!$G$2:$G$801, 0)+1)),IF(INDEX(ERP資料!$G:$G, (MATCH(104, 輔助計算!$G$2:$G$801, 0)+1))&lt;100, IF(INDEX(ERP資料!$G:$G, (MATCH(104, 輔助計算!$G$2:$G$801, 0)+1))&lt;=31,3,IF(INDEX(ERP資料!$G:$G, (MATCH(104, 輔助計算!$G$2:$G$801, 0)+1))&lt;=46.5,2,1)), IF(INDEX(ERP資料!$G:$G, (MATCH(104, 輔助計算!$G$2:$G$801, 0)+1))&lt;=790,3,IF(INDEX(ERP資料!$G:$G, (MATCH(104, 輔助計算!$G$2:$G$801, 0)+1))&lt;=1181,2,1))))=0,"",IF(MOD(INDEX(輔助計算!$D:$D, (MATCH(104, 輔助計算!$G$2:$G$801, 0)+1)),IF(INDEX(ERP資料!$G:$G, (MATCH(104, 輔助計算!$G$2:$G$801, 0)+1))&lt;100, IF(INDEX(ERP資料!$G:$G, (MATCH(104, 輔助計算!$G$2:$G$801, 0)+1))&lt;=31,3,IF(INDEX(ERP資料!$G:$G, (MATCH(104, 輔助計算!$G$2:$G$801, 0)+1))&lt;=46.5,2,1)), IF(INDEX(ERP資料!$G:$G, (MATCH(104, 輔助計算!$G$2:$G$801, 0)+1))&lt;=790,3,IF(INDEX(ERP資料!$G:$G, (MATCH(104, 輔助計算!$G$2:$G$801, 0)+1))&lt;=1181,2,1))))=1,TEXT(INDEX(ERP資料!$G:$G, (MATCH(104, 輔助計算!$G$2:$G$801, 0)+1)),"0.##"),IF(MOD(INDEX(輔助計算!$D:$D, (MATCH(104, 輔助計算!$G$2:$G$801, 0)+1)),IF(INDEX(ERP資料!$G:$G, (MATCH(104, 輔助計算!$G$2:$G$801, 0)+1))&lt;100, IF(INDEX(ERP資料!$G:$G, (MATCH(104, 輔助計算!$G$2:$G$801, 0)+1))&lt;=31,3,IF(INDEX(ERP資料!$G:$G, (MATCH(104, 輔助計算!$G$2:$G$801, 0)+1))&lt;=46.5,2,1)), IF(INDEX(ERP資料!$G:$G, (MATCH(104, 輔助計算!$G$2:$G$801, 0)+1))&lt;=790,3,IF(INDEX(ERP資料!$G:$G, (MATCH(104, 輔助計算!$G$2:$G$801, 0)+1))&lt;=1181,2,1))))=2,TEXT(INDEX(ERP資料!$G:$G, (MATCH(104, 輔助計算!$G$2:$G$801, 0)+1)),"0.##")&amp;"+"&amp;TEXT(INDEX(ERP資料!$G:$G, (MATCH(104, 輔助計算!$G$2:$G$801, 0)+1)),"0.##"),TEXT(INDEX(ERP資料!$G:$G, (MATCH(104, 輔助計算!$G$2:$G$801, 0)+1)),"0.##")&amp;"+"&amp;TEXT(INDEX(ERP資料!$G:$G, (MATCH(104, 輔助計算!$G$2:$G$801, 0)+1)),"0.##")&amp;"+"&amp;TEXT(INDEX(ERP資料!$G:$G, (MATCH(104, 輔助計算!$G$2:$G$801, 0)+1)),"0.##"))))&amp;"-1")), ""), "")</f>
        <v/>
      </c>
      <c r="K105" s="16" t="n"/>
      <c r="L105" s="14">
        <f>IFERROR(IF(AND(IFERROR(INDEX(ERP資料!$A:$A, (MATCH(104, 輔助計算!$G$2:$G$801, 0)+1)), "")&lt;&gt;"", IFERROR(INDEX(ERP資料!$A:$A, (MATCH(104, 輔助計算!$G$2:$G$801, 0)+1)), "")&lt;&gt;IFERROR(INDEX(ERP資料!$A:$A, MATCH(103, 輔助計算!$G$2:$G$801, 0)+1), "")), INDEX(ERP資料!$B:$B, (MATCH(104, 輔助計算!$G$2:$G$801, 0)+1)), ""), "")</f>
        <v/>
      </c>
      <c r="M105" s="17" t="n"/>
    </row>
    <row r="106">
      <c r="A106" s="10">
        <f>IFERROR(IF(AND(IFERROR(INDEX(ERP資料!$A:$A, (MATCH(105, 輔助計算!$G$2:$G$801, 0)+1)), "")&lt;&gt;"", IFERROR(INDEX(ERP資料!$A:$A, (MATCH(105, 輔助計算!$G$2:$G$801, 0)+1)), "")&lt;&gt;IFERROR(INDEX(ERP資料!$A:$A, MATCH(104, 輔助計算!$G$2:$G$801, 0)+1), "")), IFERROR(INDEX(ERP資料!$A:$A, (MATCH(105, 輔助計算!$G$2:$G$801, 0)+1)), ""), ""), "")</f>
        <v/>
      </c>
      <c r="B106" s="10">
        <f>IFERROR(IF(AND(IFERROR(INDEX(ERP資料!$A:$A, (MATCH(105, 輔助計算!$G$2:$G$801, 0)+1)), "")&lt;&gt;"", IFERROR(INDEX(ERP資料!$A:$A, (MATCH(105, 輔助計算!$G$2:$G$801, 0)+1)), "")&lt;&gt;IFERROR(INDEX(ERP資料!$A:$A, MATCH(104, 輔助計算!$G$2:$G$801, 0)+1), "")), INDEX(ERP資料!$S:$S, (MATCH(105, 輔助計算!$G$2:$G$801, 0)+1)), ""), "")</f>
        <v/>
      </c>
      <c r="C106" s="19">
        <f>IFERROR(IF(AND(IFERROR(INDEX(ERP資料!$A:$A, (MATCH(105, 輔助計算!$G$2:$G$801, 0)+1)), "")&lt;&gt;"", IFERROR(INDEX(ERP資料!$A:$A, (MATCH(105, 輔助計算!$G$2:$G$801, 0)+1)), "")&lt;&gt;IFERROR(INDEX(ERP資料!$A:$A, MATCH(104, 輔助計算!$G$2:$G$801, 0)+1), "")), IFERROR(VLOOKUP(LEFT(INDEX(ERP資料!$S:$S, (MATCH(105, 輔助計算!$G$2:$G$801, 0)+1)), 4), 紙管對照表!$A:$C, 3, FALSE), ""), ""), "")</f>
        <v/>
      </c>
      <c r="D106" s="16" t="n"/>
      <c r="E106" s="10">
        <f>IFERROR(IF(INDEX(ERP資料!$H:$H, (MATCH(105, 輔助計算!$G$2:$G$801, 0)+1))="","",INDEX(ERP資料!$H:$H, (MATCH(105, 輔助計算!$G$2:$G$801, 0)+1))), "")</f>
        <v/>
      </c>
      <c r="F106" s="10">
        <f>IFERROR(IF(INDEX(ERP資料!$E:$E, (MATCH(105, 輔助計算!$G$2:$G$801, 0)+1))="","",TRIM(INDEX(ERP資料!$E:$E, (MATCH(105, 輔助計算!$G$2:$G$801, 0)+1)))), "")</f>
        <v/>
      </c>
      <c r="G106" s="10">
        <f>IFERROR(IF(INDEX(ERP資料!$F:$F, (MATCH(105, 輔助計算!$G$2:$G$801, 0)+1))="","",INDEX(ERP資料!$F:$F, (MATCH(105, 輔助計算!$G$2:$G$801, 0)+1))), "")</f>
        <v/>
      </c>
      <c r="H106" s="10">
        <f>IFERROR(IF(INDEX(ERP資料!$G:$G, (MATCH(105, 輔助計算!$G$2:$G$801, 0)+1))="","",INDEX(ERP資料!$G:$G, (MATCH(105, 輔助計算!$G$2:$G$801, 0)+1))), "")</f>
        <v/>
      </c>
      <c r="I106" s="15">
        <f>IFERROR(INDEX(輔助計算!$D:$D, (MATCH(105, 輔助計算!$G$2:$G$801, 0)+1)), "")</f>
        <v/>
      </c>
      <c r="J106" s="15">
        <f>IFERROR(IF(AND(INDEX(輔助計算!$D:$D, (MATCH(105, 輔助計算!$G$2:$G$801, 0)+1))&lt;&gt;"", INDEX(ERP資料!$G:$G, (MATCH(105, 輔助計算!$G$2:$G$801, 0)+1))&lt;&gt;""), TRIM(IF(INT(INDEX(輔助計算!$D:$D, (MATCH(105, 輔助計算!$G$2:$G$801, 0)+1))/IF(INDEX(ERP資料!$G:$G, (MATCH(105, 輔助計算!$G$2:$G$801, 0)+1))&lt;100, IF(INDEX(ERP資料!$G:$G, (MATCH(105, 輔助計算!$G$2:$G$801, 0)+1))&lt;=31,3,IF(INDEX(ERP資料!$G:$G, (MATCH(105, 輔助計算!$G$2:$G$801, 0)+1))&lt;=46.5,2,1)), IF(INDEX(ERP資料!$G:$G, (MATCH(105, 輔助計算!$G$2:$G$801, 0)+1))&lt;=790,3,IF(INDEX(ERP資料!$G:$G, (MATCH(105, 輔助計算!$G$2:$G$801, 0)+1))&lt;=1181,2,1))))&gt;0, IF(IF(INDEX(ERP資料!$G:$G, (MATCH(105, 輔助計算!$G$2:$G$801, 0)+1))&lt;100, IF(INDEX(ERP資料!$G:$G, (MATCH(105, 輔助計算!$G$2:$G$801, 0)+1))&lt;=31,3,IF(INDEX(ERP資料!$G:$G, (MATCH(105, 輔助計算!$G$2:$G$801, 0)+1))&lt;=46.5,2,1)), IF(INDEX(ERP資料!$G:$G, (MATCH(105, 輔助計算!$G$2:$G$801, 0)+1))&lt;=790,3,IF(INDEX(ERP資料!$G:$G, (MATCH(105, 輔助計算!$G$2:$G$801, 0)+1))&lt;=1181,2,1)))=1,TEXT(INDEX(ERP資料!$G:$G, (MATCH(105, 輔助計算!$G$2:$G$801, 0)+1)),"0.##"),IF(IF(INDEX(ERP資料!$G:$G, (MATCH(105, 輔助計算!$G$2:$G$801, 0)+1))&lt;100, IF(INDEX(ERP資料!$G:$G, (MATCH(105, 輔助計算!$G$2:$G$801, 0)+1))&lt;=31,3,IF(INDEX(ERP資料!$G:$G, (MATCH(105, 輔助計算!$G$2:$G$801, 0)+1))&lt;=46.5,2,1)), IF(INDEX(ERP資料!$G:$G, (MATCH(105, 輔助計算!$G$2:$G$801, 0)+1))&lt;=790,3,IF(INDEX(ERP資料!$G:$G, (MATCH(105, 輔助計算!$G$2:$G$801, 0)+1))&lt;=1181,2,1)))=2,TEXT(INDEX(ERP資料!$G:$G, (MATCH(105, 輔助計算!$G$2:$G$801, 0)+1)),"0.##")&amp;"+"&amp;TEXT(INDEX(ERP資料!$G:$G, (MATCH(105, 輔助計算!$G$2:$G$801, 0)+1)),"0.##"),TEXT(INDEX(ERP資料!$G:$G, (MATCH(105, 輔助計算!$G$2:$G$801, 0)+1)),"0.##")&amp;"+"&amp;TEXT(INDEX(ERP資料!$G:$G, (MATCH(105, 輔助計算!$G$2:$G$801, 0)+1)),"0.##")&amp;"+"&amp;TEXT(INDEX(ERP資料!$G:$G, (MATCH(105, 輔助計算!$G$2:$G$801, 0)+1)),"0.##")))&amp;"-"&amp;INT(INDEX(輔助計算!$D:$D, (MATCH(105, 輔助計算!$G$2:$G$801, 0)+1))/IF(INDEX(ERP資料!$G:$G, (MATCH(105, 輔助計算!$G$2:$G$801, 0)+1))&lt;100, IF(INDEX(ERP資料!$G:$G, (MATCH(105, 輔助計算!$G$2:$G$801, 0)+1))&lt;=31,3,IF(INDEX(ERP資料!$G:$G, (MATCH(105, 輔助計算!$G$2:$G$801, 0)+1))&lt;=46.5,2,1)), IF(INDEX(ERP資料!$G:$G, (MATCH(105, 輔助計算!$G$2:$G$801, 0)+1))&lt;=790,3,IF(INDEX(ERP資料!$G:$G, (MATCH(105, 輔助計算!$G$2:$G$801, 0)+1))&lt;=1181,2,1)))), "")&amp;IF(AND(IF(INT(INDEX(輔助計算!$D:$D, (MATCH(105, 輔助計算!$G$2:$G$801, 0)+1))/IF(INDEX(ERP資料!$G:$G, (MATCH(105, 輔助計算!$G$2:$G$801, 0)+1))&lt;100, IF(INDEX(ERP資料!$G:$G, (MATCH(105, 輔助計算!$G$2:$G$801, 0)+1))&lt;=31,3,IF(INDEX(ERP資料!$G:$G, (MATCH(105, 輔助計算!$G$2:$G$801, 0)+1))&lt;=46.5,2,1)), IF(INDEX(ERP資料!$G:$G, (MATCH(105, 輔助計算!$G$2:$G$801, 0)+1))&lt;=790,3,IF(INDEX(ERP資料!$G:$G, (MATCH(105, 輔助計算!$G$2:$G$801, 0)+1))&lt;=1181,2,1))))&gt;0, IF(IF(INDEX(ERP資料!$G:$G, (MATCH(105, 輔助計算!$G$2:$G$801, 0)+1))&lt;100, IF(INDEX(ERP資料!$G:$G, (MATCH(105, 輔助計算!$G$2:$G$801, 0)+1))&lt;=31,3,IF(INDEX(ERP資料!$G:$G, (MATCH(105, 輔助計算!$G$2:$G$801, 0)+1))&lt;=46.5,2,1)), IF(INDEX(ERP資料!$G:$G, (MATCH(105, 輔助計算!$G$2:$G$801, 0)+1))&lt;=790,3,IF(INDEX(ERP資料!$G:$G, (MATCH(105, 輔助計算!$G$2:$G$801, 0)+1))&lt;=1181,2,1)))=1,TEXT(INDEX(ERP資料!$G:$G, (MATCH(105, 輔助計算!$G$2:$G$801, 0)+1)),"0.##"),IF(IF(INDEX(ERP資料!$G:$G, (MATCH(105, 輔助計算!$G$2:$G$801, 0)+1))&lt;100, IF(INDEX(ERP資料!$G:$G, (MATCH(105, 輔助計算!$G$2:$G$801, 0)+1))&lt;=31,3,IF(INDEX(ERP資料!$G:$G, (MATCH(105, 輔助計算!$G$2:$G$801, 0)+1))&lt;=46.5,2,1)), IF(INDEX(ERP資料!$G:$G, (MATCH(105, 輔助計算!$G$2:$G$801, 0)+1))&lt;=790,3,IF(INDEX(ERP資料!$G:$G, (MATCH(105, 輔助計算!$G$2:$G$801, 0)+1))&lt;=1181,2,1)))=2,TEXT(INDEX(ERP資料!$G:$G, (MATCH(105, 輔助計算!$G$2:$G$801, 0)+1)),"0.##")&amp;"+"&amp;TEXT(INDEX(ERP資料!$G:$G, (MATCH(105, 輔助計算!$G$2:$G$801, 0)+1)),"0.##"),TEXT(INDEX(ERP資料!$G:$G, (MATCH(105, 輔助計算!$G$2:$G$801, 0)+1)),"0.##")&amp;"+"&amp;TEXT(INDEX(ERP資料!$G:$G, (MATCH(105, 輔助計算!$G$2:$G$801, 0)+1)),"0.##")&amp;"+"&amp;TEXT(INDEX(ERP資料!$G:$G, (MATCH(105, 輔助計算!$G$2:$G$801, 0)+1)),"0.##")))&amp;"-"&amp;INT(INDEX(輔助計算!$D:$D, (MATCH(105, 輔助計算!$G$2:$G$801, 0)+1))/IF(INDEX(ERP資料!$G:$G, (MATCH(105, 輔助計算!$G$2:$G$801, 0)+1))&lt;100, IF(INDEX(ERP資料!$G:$G, (MATCH(105, 輔助計算!$G$2:$G$801, 0)+1))&lt;=31,3,IF(INDEX(ERP資料!$G:$G, (MATCH(105, 輔助計算!$G$2:$G$801, 0)+1))&lt;=46.5,2,1)), IF(INDEX(ERP資料!$G:$G, (MATCH(105, 輔助計算!$G$2:$G$801, 0)+1))&lt;=790,3,IF(INDEX(ERP資料!$G:$G, (MATCH(105, 輔助計算!$G$2:$G$801, 0)+1))&lt;=1181,2,1)))), "")&lt;&gt;"",IF(MOD(INDEX(輔助計算!$D:$D, (MATCH(105, 輔助計算!$G$2:$G$801, 0)+1)),IF(INDEX(ERP資料!$G:$G, (MATCH(105, 輔助計算!$G$2:$G$801, 0)+1))&lt;100, IF(INDEX(ERP資料!$G:$G, (MATCH(105, 輔助計算!$G$2:$G$801, 0)+1))&lt;=31,3,IF(INDEX(ERP資料!$G:$G, (MATCH(105, 輔助計算!$G$2:$G$801, 0)+1))&lt;=46.5,2,1)), IF(INDEX(ERP資料!$G:$G, (MATCH(105, 輔助計算!$G$2:$G$801, 0)+1))&lt;=790,3,IF(INDEX(ERP資料!$G:$G, (MATCH(105, 輔助計算!$G$2:$G$801, 0)+1))&lt;=1181,2,1))))=0,"",IF(MOD(INDEX(輔助計算!$D:$D, (MATCH(105, 輔助計算!$G$2:$G$801, 0)+1)),IF(INDEX(ERP資料!$G:$G, (MATCH(105, 輔助計算!$G$2:$G$801, 0)+1))&lt;100, IF(INDEX(ERP資料!$G:$G, (MATCH(105, 輔助計算!$G$2:$G$801, 0)+1))&lt;=31,3,IF(INDEX(ERP資料!$G:$G, (MATCH(105, 輔助計算!$G$2:$G$801, 0)+1))&lt;=46.5,2,1)), IF(INDEX(ERP資料!$G:$G, (MATCH(105, 輔助計算!$G$2:$G$801, 0)+1))&lt;=790,3,IF(INDEX(ERP資料!$G:$G, (MATCH(105, 輔助計算!$G$2:$G$801, 0)+1))&lt;=1181,2,1))))=0,"",IF(MOD(INDEX(輔助計算!$D:$D, (MATCH(105, 輔助計算!$G$2:$G$801, 0)+1)),IF(INDEX(ERP資料!$G:$G, (MATCH(105, 輔助計算!$G$2:$G$801, 0)+1))&lt;100, IF(INDEX(ERP資料!$G:$G, (MATCH(105, 輔助計算!$G$2:$G$801, 0)+1))&lt;=31,3,IF(INDEX(ERP資料!$G:$G, (MATCH(105, 輔助計算!$G$2:$G$801, 0)+1))&lt;=46.5,2,1)), IF(INDEX(ERP資料!$G:$G, (MATCH(105, 輔助計算!$G$2:$G$801, 0)+1))&lt;=790,3,IF(INDEX(ERP資料!$G:$G, (MATCH(105, 輔助計算!$G$2:$G$801, 0)+1))&lt;=1181,2,1))))=1,TEXT(INDEX(ERP資料!$G:$G, (MATCH(105, 輔助計算!$G$2:$G$801, 0)+1)),"0.##"),IF(MOD(INDEX(輔助計算!$D:$D, (MATCH(105, 輔助計算!$G$2:$G$801, 0)+1)),IF(INDEX(ERP資料!$G:$G, (MATCH(105, 輔助計算!$G$2:$G$801, 0)+1))&lt;100, IF(INDEX(ERP資料!$G:$G, (MATCH(105, 輔助計算!$G$2:$G$801, 0)+1))&lt;=31,3,IF(INDEX(ERP資料!$G:$G, (MATCH(105, 輔助計算!$G$2:$G$801, 0)+1))&lt;=46.5,2,1)), IF(INDEX(ERP資料!$G:$G, (MATCH(105, 輔助計算!$G$2:$G$801, 0)+1))&lt;=790,3,IF(INDEX(ERP資料!$G:$G, (MATCH(105, 輔助計算!$G$2:$G$801, 0)+1))&lt;=1181,2,1))))=2,TEXT(INDEX(ERP資料!$G:$G, (MATCH(105, 輔助計算!$G$2:$G$801, 0)+1)),"0.##")&amp;"+"&amp;TEXT(INDEX(ERP資料!$G:$G, (MATCH(105, 輔助計算!$G$2:$G$801, 0)+1)),"0.##"),TEXT(INDEX(ERP資料!$G:$G, (MATCH(105, 輔助計算!$G$2:$G$801, 0)+1)),"0.##")&amp;"+"&amp;TEXT(INDEX(ERP資料!$G:$G, (MATCH(105, 輔助計算!$G$2:$G$801, 0)+1)),"0.##")&amp;"+"&amp;TEXT(INDEX(ERP資料!$G:$G, (MATCH(105, 輔助計算!$G$2:$G$801, 0)+1)),"0.##"))))&amp;"-1")&lt;&gt;""),"  ","")&amp;IF(MOD(INDEX(輔助計算!$D:$D, (MATCH(105, 輔助計算!$G$2:$G$801, 0)+1)),IF(INDEX(ERP資料!$G:$G, (MATCH(105, 輔助計算!$G$2:$G$801, 0)+1))&lt;100, IF(INDEX(ERP資料!$G:$G, (MATCH(105, 輔助計算!$G$2:$G$801, 0)+1))&lt;=31,3,IF(INDEX(ERP資料!$G:$G, (MATCH(105, 輔助計算!$G$2:$G$801, 0)+1))&lt;=46.5,2,1)), IF(INDEX(ERP資料!$G:$G, (MATCH(105, 輔助計算!$G$2:$G$801, 0)+1))&lt;=790,3,IF(INDEX(ERP資料!$G:$G, (MATCH(105, 輔助計算!$G$2:$G$801, 0)+1))&lt;=1181,2,1))))=0,"",IF(MOD(INDEX(輔助計算!$D:$D, (MATCH(105, 輔助計算!$G$2:$G$801, 0)+1)),IF(INDEX(ERP資料!$G:$G, (MATCH(105, 輔助計算!$G$2:$G$801, 0)+1))&lt;100, IF(INDEX(ERP資料!$G:$G, (MATCH(105, 輔助計算!$G$2:$G$801, 0)+1))&lt;=31,3,IF(INDEX(ERP資料!$G:$G, (MATCH(105, 輔助計算!$G$2:$G$801, 0)+1))&lt;=46.5,2,1)), IF(INDEX(ERP資料!$G:$G, (MATCH(105, 輔助計算!$G$2:$G$801, 0)+1))&lt;=790,3,IF(INDEX(ERP資料!$G:$G, (MATCH(105, 輔助計算!$G$2:$G$801, 0)+1))&lt;=1181,2,1))))=0,"",IF(MOD(INDEX(輔助計算!$D:$D, (MATCH(105, 輔助計算!$G$2:$G$801, 0)+1)),IF(INDEX(ERP資料!$G:$G, (MATCH(105, 輔助計算!$G$2:$G$801, 0)+1))&lt;100, IF(INDEX(ERP資料!$G:$G, (MATCH(105, 輔助計算!$G$2:$G$801, 0)+1))&lt;=31,3,IF(INDEX(ERP資料!$G:$G, (MATCH(105, 輔助計算!$G$2:$G$801, 0)+1))&lt;=46.5,2,1)), IF(INDEX(ERP資料!$G:$G, (MATCH(105, 輔助計算!$G$2:$G$801, 0)+1))&lt;=790,3,IF(INDEX(ERP資料!$G:$G, (MATCH(105, 輔助計算!$G$2:$G$801, 0)+1))&lt;=1181,2,1))))=1,TEXT(INDEX(ERP資料!$G:$G, (MATCH(105, 輔助計算!$G$2:$G$801, 0)+1)),"0.##"),IF(MOD(INDEX(輔助計算!$D:$D, (MATCH(105, 輔助計算!$G$2:$G$801, 0)+1)),IF(INDEX(ERP資料!$G:$G, (MATCH(105, 輔助計算!$G$2:$G$801, 0)+1))&lt;100, IF(INDEX(ERP資料!$G:$G, (MATCH(105, 輔助計算!$G$2:$G$801, 0)+1))&lt;=31,3,IF(INDEX(ERP資料!$G:$G, (MATCH(105, 輔助計算!$G$2:$G$801, 0)+1))&lt;=46.5,2,1)), IF(INDEX(ERP資料!$G:$G, (MATCH(105, 輔助計算!$G$2:$G$801, 0)+1))&lt;=790,3,IF(INDEX(ERP資料!$G:$G, (MATCH(105, 輔助計算!$G$2:$G$801, 0)+1))&lt;=1181,2,1))))=2,TEXT(INDEX(ERP資料!$G:$G, (MATCH(105, 輔助計算!$G$2:$G$801, 0)+1)),"0.##")&amp;"+"&amp;TEXT(INDEX(ERP資料!$G:$G, (MATCH(105, 輔助計算!$G$2:$G$801, 0)+1)),"0.##"),TEXT(INDEX(ERP資料!$G:$G, (MATCH(105, 輔助計算!$G$2:$G$801, 0)+1)),"0.##")&amp;"+"&amp;TEXT(INDEX(ERP資料!$G:$G, (MATCH(105, 輔助計算!$G$2:$G$801, 0)+1)),"0.##")&amp;"+"&amp;TEXT(INDEX(ERP資料!$G:$G, (MATCH(105, 輔助計算!$G$2:$G$801, 0)+1)),"0.##"))))&amp;"-1")), ""), "")</f>
        <v/>
      </c>
      <c r="K106" s="16" t="n"/>
      <c r="L106" s="14">
        <f>IFERROR(IF(AND(IFERROR(INDEX(ERP資料!$A:$A, (MATCH(105, 輔助計算!$G$2:$G$801, 0)+1)), "")&lt;&gt;"", IFERROR(INDEX(ERP資料!$A:$A, (MATCH(105, 輔助計算!$G$2:$G$801, 0)+1)), "")&lt;&gt;IFERROR(INDEX(ERP資料!$A:$A, MATCH(104, 輔助計算!$G$2:$G$801, 0)+1), "")), INDEX(ERP資料!$B:$B, (MATCH(105, 輔助計算!$G$2:$G$801, 0)+1)), ""), "")</f>
        <v/>
      </c>
      <c r="M106" s="17" t="n"/>
    </row>
    <row r="107">
      <c r="A107" s="10">
        <f>IFERROR(IF(AND(IFERROR(INDEX(ERP資料!$A:$A, (MATCH(106, 輔助計算!$G$2:$G$801, 0)+1)), "")&lt;&gt;"", IFERROR(INDEX(ERP資料!$A:$A, (MATCH(106, 輔助計算!$G$2:$G$801, 0)+1)), "")&lt;&gt;IFERROR(INDEX(ERP資料!$A:$A, MATCH(105, 輔助計算!$G$2:$G$801, 0)+1), "")), IFERROR(INDEX(ERP資料!$A:$A, (MATCH(106, 輔助計算!$G$2:$G$801, 0)+1)), ""), ""), "")</f>
        <v/>
      </c>
      <c r="B107" s="10">
        <f>IFERROR(IF(AND(IFERROR(INDEX(ERP資料!$A:$A, (MATCH(106, 輔助計算!$G$2:$G$801, 0)+1)), "")&lt;&gt;"", IFERROR(INDEX(ERP資料!$A:$A, (MATCH(106, 輔助計算!$G$2:$G$801, 0)+1)), "")&lt;&gt;IFERROR(INDEX(ERP資料!$A:$A, MATCH(105, 輔助計算!$G$2:$G$801, 0)+1), "")), INDEX(ERP資料!$S:$S, (MATCH(106, 輔助計算!$G$2:$G$801, 0)+1)), ""), "")</f>
        <v/>
      </c>
      <c r="C107" s="19">
        <f>IFERROR(IF(AND(IFERROR(INDEX(ERP資料!$A:$A, (MATCH(106, 輔助計算!$G$2:$G$801, 0)+1)), "")&lt;&gt;"", IFERROR(INDEX(ERP資料!$A:$A, (MATCH(106, 輔助計算!$G$2:$G$801, 0)+1)), "")&lt;&gt;IFERROR(INDEX(ERP資料!$A:$A, MATCH(105, 輔助計算!$G$2:$G$801, 0)+1), "")), IFERROR(VLOOKUP(LEFT(INDEX(ERP資料!$S:$S, (MATCH(106, 輔助計算!$G$2:$G$801, 0)+1)), 4), 紙管對照表!$A:$C, 3, FALSE), ""), ""), "")</f>
        <v/>
      </c>
      <c r="D107" s="16" t="n"/>
      <c r="E107" s="10">
        <f>IFERROR(IF(INDEX(ERP資料!$H:$H, (MATCH(106, 輔助計算!$G$2:$G$801, 0)+1))="","",INDEX(ERP資料!$H:$H, (MATCH(106, 輔助計算!$G$2:$G$801, 0)+1))), "")</f>
        <v/>
      </c>
      <c r="F107" s="10">
        <f>IFERROR(IF(INDEX(ERP資料!$E:$E, (MATCH(106, 輔助計算!$G$2:$G$801, 0)+1))="","",TRIM(INDEX(ERP資料!$E:$E, (MATCH(106, 輔助計算!$G$2:$G$801, 0)+1)))), "")</f>
        <v/>
      </c>
      <c r="G107" s="10">
        <f>IFERROR(IF(INDEX(ERP資料!$F:$F, (MATCH(106, 輔助計算!$G$2:$G$801, 0)+1))="","",INDEX(ERP資料!$F:$F, (MATCH(106, 輔助計算!$G$2:$G$801, 0)+1))), "")</f>
        <v/>
      </c>
      <c r="H107" s="10">
        <f>IFERROR(IF(INDEX(ERP資料!$G:$G, (MATCH(106, 輔助計算!$G$2:$G$801, 0)+1))="","",INDEX(ERP資料!$G:$G, (MATCH(106, 輔助計算!$G$2:$G$801, 0)+1))), "")</f>
        <v/>
      </c>
      <c r="I107" s="15">
        <f>IFERROR(INDEX(輔助計算!$D:$D, (MATCH(106, 輔助計算!$G$2:$G$801, 0)+1)), "")</f>
        <v/>
      </c>
      <c r="J107" s="15">
        <f>IFERROR(IF(AND(INDEX(輔助計算!$D:$D, (MATCH(106, 輔助計算!$G$2:$G$801, 0)+1))&lt;&gt;"", INDEX(ERP資料!$G:$G, (MATCH(106, 輔助計算!$G$2:$G$801, 0)+1))&lt;&gt;""), TRIM(IF(INT(INDEX(輔助計算!$D:$D, (MATCH(106, 輔助計算!$G$2:$G$801, 0)+1))/IF(INDEX(ERP資料!$G:$G, (MATCH(106, 輔助計算!$G$2:$G$801, 0)+1))&lt;100, IF(INDEX(ERP資料!$G:$G, (MATCH(106, 輔助計算!$G$2:$G$801, 0)+1))&lt;=31,3,IF(INDEX(ERP資料!$G:$G, (MATCH(106, 輔助計算!$G$2:$G$801, 0)+1))&lt;=46.5,2,1)), IF(INDEX(ERP資料!$G:$G, (MATCH(106, 輔助計算!$G$2:$G$801, 0)+1))&lt;=790,3,IF(INDEX(ERP資料!$G:$G, (MATCH(106, 輔助計算!$G$2:$G$801, 0)+1))&lt;=1181,2,1))))&gt;0, IF(IF(INDEX(ERP資料!$G:$G, (MATCH(106, 輔助計算!$G$2:$G$801, 0)+1))&lt;100, IF(INDEX(ERP資料!$G:$G, (MATCH(106, 輔助計算!$G$2:$G$801, 0)+1))&lt;=31,3,IF(INDEX(ERP資料!$G:$G, (MATCH(106, 輔助計算!$G$2:$G$801, 0)+1))&lt;=46.5,2,1)), IF(INDEX(ERP資料!$G:$G, (MATCH(106, 輔助計算!$G$2:$G$801, 0)+1))&lt;=790,3,IF(INDEX(ERP資料!$G:$G, (MATCH(106, 輔助計算!$G$2:$G$801, 0)+1))&lt;=1181,2,1)))=1,TEXT(INDEX(ERP資料!$G:$G, (MATCH(106, 輔助計算!$G$2:$G$801, 0)+1)),"0.##"),IF(IF(INDEX(ERP資料!$G:$G, (MATCH(106, 輔助計算!$G$2:$G$801, 0)+1))&lt;100, IF(INDEX(ERP資料!$G:$G, (MATCH(106, 輔助計算!$G$2:$G$801, 0)+1))&lt;=31,3,IF(INDEX(ERP資料!$G:$G, (MATCH(106, 輔助計算!$G$2:$G$801, 0)+1))&lt;=46.5,2,1)), IF(INDEX(ERP資料!$G:$G, (MATCH(106, 輔助計算!$G$2:$G$801, 0)+1))&lt;=790,3,IF(INDEX(ERP資料!$G:$G, (MATCH(106, 輔助計算!$G$2:$G$801, 0)+1))&lt;=1181,2,1)))=2,TEXT(INDEX(ERP資料!$G:$G, (MATCH(106, 輔助計算!$G$2:$G$801, 0)+1)),"0.##")&amp;"+"&amp;TEXT(INDEX(ERP資料!$G:$G, (MATCH(106, 輔助計算!$G$2:$G$801, 0)+1)),"0.##"),TEXT(INDEX(ERP資料!$G:$G, (MATCH(106, 輔助計算!$G$2:$G$801, 0)+1)),"0.##")&amp;"+"&amp;TEXT(INDEX(ERP資料!$G:$G, (MATCH(106, 輔助計算!$G$2:$G$801, 0)+1)),"0.##")&amp;"+"&amp;TEXT(INDEX(ERP資料!$G:$G, (MATCH(106, 輔助計算!$G$2:$G$801, 0)+1)),"0.##")))&amp;"-"&amp;INT(INDEX(輔助計算!$D:$D, (MATCH(106, 輔助計算!$G$2:$G$801, 0)+1))/IF(INDEX(ERP資料!$G:$G, (MATCH(106, 輔助計算!$G$2:$G$801, 0)+1))&lt;100, IF(INDEX(ERP資料!$G:$G, (MATCH(106, 輔助計算!$G$2:$G$801, 0)+1))&lt;=31,3,IF(INDEX(ERP資料!$G:$G, (MATCH(106, 輔助計算!$G$2:$G$801, 0)+1))&lt;=46.5,2,1)), IF(INDEX(ERP資料!$G:$G, (MATCH(106, 輔助計算!$G$2:$G$801, 0)+1))&lt;=790,3,IF(INDEX(ERP資料!$G:$G, (MATCH(106, 輔助計算!$G$2:$G$801, 0)+1))&lt;=1181,2,1)))), "")&amp;IF(AND(IF(INT(INDEX(輔助計算!$D:$D, (MATCH(106, 輔助計算!$G$2:$G$801, 0)+1))/IF(INDEX(ERP資料!$G:$G, (MATCH(106, 輔助計算!$G$2:$G$801, 0)+1))&lt;100, IF(INDEX(ERP資料!$G:$G, (MATCH(106, 輔助計算!$G$2:$G$801, 0)+1))&lt;=31,3,IF(INDEX(ERP資料!$G:$G, (MATCH(106, 輔助計算!$G$2:$G$801, 0)+1))&lt;=46.5,2,1)), IF(INDEX(ERP資料!$G:$G, (MATCH(106, 輔助計算!$G$2:$G$801, 0)+1))&lt;=790,3,IF(INDEX(ERP資料!$G:$G, (MATCH(106, 輔助計算!$G$2:$G$801, 0)+1))&lt;=1181,2,1))))&gt;0, IF(IF(INDEX(ERP資料!$G:$G, (MATCH(106, 輔助計算!$G$2:$G$801, 0)+1))&lt;100, IF(INDEX(ERP資料!$G:$G, (MATCH(106, 輔助計算!$G$2:$G$801, 0)+1))&lt;=31,3,IF(INDEX(ERP資料!$G:$G, (MATCH(106, 輔助計算!$G$2:$G$801, 0)+1))&lt;=46.5,2,1)), IF(INDEX(ERP資料!$G:$G, (MATCH(106, 輔助計算!$G$2:$G$801, 0)+1))&lt;=790,3,IF(INDEX(ERP資料!$G:$G, (MATCH(106, 輔助計算!$G$2:$G$801, 0)+1))&lt;=1181,2,1)))=1,TEXT(INDEX(ERP資料!$G:$G, (MATCH(106, 輔助計算!$G$2:$G$801, 0)+1)),"0.##"),IF(IF(INDEX(ERP資料!$G:$G, (MATCH(106, 輔助計算!$G$2:$G$801, 0)+1))&lt;100, IF(INDEX(ERP資料!$G:$G, (MATCH(106, 輔助計算!$G$2:$G$801, 0)+1))&lt;=31,3,IF(INDEX(ERP資料!$G:$G, (MATCH(106, 輔助計算!$G$2:$G$801, 0)+1))&lt;=46.5,2,1)), IF(INDEX(ERP資料!$G:$G, (MATCH(106, 輔助計算!$G$2:$G$801, 0)+1))&lt;=790,3,IF(INDEX(ERP資料!$G:$G, (MATCH(106, 輔助計算!$G$2:$G$801, 0)+1))&lt;=1181,2,1)))=2,TEXT(INDEX(ERP資料!$G:$G, (MATCH(106, 輔助計算!$G$2:$G$801, 0)+1)),"0.##")&amp;"+"&amp;TEXT(INDEX(ERP資料!$G:$G, (MATCH(106, 輔助計算!$G$2:$G$801, 0)+1)),"0.##"),TEXT(INDEX(ERP資料!$G:$G, (MATCH(106, 輔助計算!$G$2:$G$801, 0)+1)),"0.##")&amp;"+"&amp;TEXT(INDEX(ERP資料!$G:$G, (MATCH(106, 輔助計算!$G$2:$G$801, 0)+1)),"0.##")&amp;"+"&amp;TEXT(INDEX(ERP資料!$G:$G, (MATCH(106, 輔助計算!$G$2:$G$801, 0)+1)),"0.##")))&amp;"-"&amp;INT(INDEX(輔助計算!$D:$D, (MATCH(106, 輔助計算!$G$2:$G$801, 0)+1))/IF(INDEX(ERP資料!$G:$G, (MATCH(106, 輔助計算!$G$2:$G$801, 0)+1))&lt;100, IF(INDEX(ERP資料!$G:$G, (MATCH(106, 輔助計算!$G$2:$G$801, 0)+1))&lt;=31,3,IF(INDEX(ERP資料!$G:$G, (MATCH(106, 輔助計算!$G$2:$G$801, 0)+1))&lt;=46.5,2,1)), IF(INDEX(ERP資料!$G:$G, (MATCH(106, 輔助計算!$G$2:$G$801, 0)+1))&lt;=790,3,IF(INDEX(ERP資料!$G:$G, (MATCH(106, 輔助計算!$G$2:$G$801, 0)+1))&lt;=1181,2,1)))), "")&lt;&gt;"",IF(MOD(INDEX(輔助計算!$D:$D, (MATCH(106, 輔助計算!$G$2:$G$801, 0)+1)),IF(INDEX(ERP資料!$G:$G, (MATCH(106, 輔助計算!$G$2:$G$801, 0)+1))&lt;100, IF(INDEX(ERP資料!$G:$G, (MATCH(106, 輔助計算!$G$2:$G$801, 0)+1))&lt;=31,3,IF(INDEX(ERP資料!$G:$G, (MATCH(106, 輔助計算!$G$2:$G$801, 0)+1))&lt;=46.5,2,1)), IF(INDEX(ERP資料!$G:$G, (MATCH(106, 輔助計算!$G$2:$G$801, 0)+1))&lt;=790,3,IF(INDEX(ERP資料!$G:$G, (MATCH(106, 輔助計算!$G$2:$G$801, 0)+1))&lt;=1181,2,1))))=0,"",IF(MOD(INDEX(輔助計算!$D:$D, (MATCH(106, 輔助計算!$G$2:$G$801, 0)+1)),IF(INDEX(ERP資料!$G:$G, (MATCH(106, 輔助計算!$G$2:$G$801, 0)+1))&lt;100, IF(INDEX(ERP資料!$G:$G, (MATCH(106, 輔助計算!$G$2:$G$801, 0)+1))&lt;=31,3,IF(INDEX(ERP資料!$G:$G, (MATCH(106, 輔助計算!$G$2:$G$801, 0)+1))&lt;=46.5,2,1)), IF(INDEX(ERP資料!$G:$G, (MATCH(106, 輔助計算!$G$2:$G$801, 0)+1))&lt;=790,3,IF(INDEX(ERP資料!$G:$G, (MATCH(106, 輔助計算!$G$2:$G$801, 0)+1))&lt;=1181,2,1))))=0,"",IF(MOD(INDEX(輔助計算!$D:$D, (MATCH(106, 輔助計算!$G$2:$G$801, 0)+1)),IF(INDEX(ERP資料!$G:$G, (MATCH(106, 輔助計算!$G$2:$G$801, 0)+1))&lt;100, IF(INDEX(ERP資料!$G:$G, (MATCH(106, 輔助計算!$G$2:$G$801, 0)+1))&lt;=31,3,IF(INDEX(ERP資料!$G:$G, (MATCH(106, 輔助計算!$G$2:$G$801, 0)+1))&lt;=46.5,2,1)), IF(INDEX(ERP資料!$G:$G, (MATCH(106, 輔助計算!$G$2:$G$801, 0)+1))&lt;=790,3,IF(INDEX(ERP資料!$G:$G, (MATCH(106, 輔助計算!$G$2:$G$801, 0)+1))&lt;=1181,2,1))))=1,TEXT(INDEX(ERP資料!$G:$G, (MATCH(106, 輔助計算!$G$2:$G$801, 0)+1)),"0.##"),IF(MOD(INDEX(輔助計算!$D:$D, (MATCH(106, 輔助計算!$G$2:$G$801, 0)+1)),IF(INDEX(ERP資料!$G:$G, (MATCH(106, 輔助計算!$G$2:$G$801, 0)+1))&lt;100, IF(INDEX(ERP資料!$G:$G, (MATCH(106, 輔助計算!$G$2:$G$801, 0)+1))&lt;=31,3,IF(INDEX(ERP資料!$G:$G, (MATCH(106, 輔助計算!$G$2:$G$801, 0)+1))&lt;=46.5,2,1)), IF(INDEX(ERP資料!$G:$G, (MATCH(106, 輔助計算!$G$2:$G$801, 0)+1))&lt;=790,3,IF(INDEX(ERP資料!$G:$G, (MATCH(106, 輔助計算!$G$2:$G$801, 0)+1))&lt;=1181,2,1))))=2,TEXT(INDEX(ERP資料!$G:$G, (MATCH(106, 輔助計算!$G$2:$G$801, 0)+1)),"0.##")&amp;"+"&amp;TEXT(INDEX(ERP資料!$G:$G, (MATCH(106, 輔助計算!$G$2:$G$801, 0)+1)),"0.##"),TEXT(INDEX(ERP資料!$G:$G, (MATCH(106, 輔助計算!$G$2:$G$801, 0)+1)),"0.##")&amp;"+"&amp;TEXT(INDEX(ERP資料!$G:$G, (MATCH(106, 輔助計算!$G$2:$G$801, 0)+1)),"0.##")&amp;"+"&amp;TEXT(INDEX(ERP資料!$G:$G, (MATCH(106, 輔助計算!$G$2:$G$801, 0)+1)),"0.##"))))&amp;"-1")&lt;&gt;""),"  ","")&amp;IF(MOD(INDEX(輔助計算!$D:$D, (MATCH(106, 輔助計算!$G$2:$G$801, 0)+1)),IF(INDEX(ERP資料!$G:$G, (MATCH(106, 輔助計算!$G$2:$G$801, 0)+1))&lt;100, IF(INDEX(ERP資料!$G:$G, (MATCH(106, 輔助計算!$G$2:$G$801, 0)+1))&lt;=31,3,IF(INDEX(ERP資料!$G:$G, (MATCH(106, 輔助計算!$G$2:$G$801, 0)+1))&lt;=46.5,2,1)), IF(INDEX(ERP資料!$G:$G, (MATCH(106, 輔助計算!$G$2:$G$801, 0)+1))&lt;=790,3,IF(INDEX(ERP資料!$G:$G, (MATCH(106, 輔助計算!$G$2:$G$801, 0)+1))&lt;=1181,2,1))))=0,"",IF(MOD(INDEX(輔助計算!$D:$D, (MATCH(106, 輔助計算!$G$2:$G$801, 0)+1)),IF(INDEX(ERP資料!$G:$G, (MATCH(106, 輔助計算!$G$2:$G$801, 0)+1))&lt;100, IF(INDEX(ERP資料!$G:$G, (MATCH(106, 輔助計算!$G$2:$G$801, 0)+1))&lt;=31,3,IF(INDEX(ERP資料!$G:$G, (MATCH(106, 輔助計算!$G$2:$G$801, 0)+1))&lt;=46.5,2,1)), IF(INDEX(ERP資料!$G:$G, (MATCH(106, 輔助計算!$G$2:$G$801, 0)+1))&lt;=790,3,IF(INDEX(ERP資料!$G:$G, (MATCH(106, 輔助計算!$G$2:$G$801, 0)+1))&lt;=1181,2,1))))=0,"",IF(MOD(INDEX(輔助計算!$D:$D, (MATCH(106, 輔助計算!$G$2:$G$801, 0)+1)),IF(INDEX(ERP資料!$G:$G, (MATCH(106, 輔助計算!$G$2:$G$801, 0)+1))&lt;100, IF(INDEX(ERP資料!$G:$G, (MATCH(106, 輔助計算!$G$2:$G$801, 0)+1))&lt;=31,3,IF(INDEX(ERP資料!$G:$G, (MATCH(106, 輔助計算!$G$2:$G$801, 0)+1))&lt;=46.5,2,1)), IF(INDEX(ERP資料!$G:$G, (MATCH(106, 輔助計算!$G$2:$G$801, 0)+1))&lt;=790,3,IF(INDEX(ERP資料!$G:$G, (MATCH(106, 輔助計算!$G$2:$G$801, 0)+1))&lt;=1181,2,1))))=1,TEXT(INDEX(ERP資料!$G:$G, (MATCH(106, 輔助計算!$G$2:$G$801, 0)+1)),"0.##"),IF(MOD(INDEX(輔助計算!$D:$D, (MATCH(106, 輔助計算!$G$2:$G$801, 0)+1)),IF(INDEX(ERP資料!$G:$G, (MATCH(106, 輔助計算!$G$2:$G$801, 0)+1))&lt;100, IF(INDEX(ERP資料!$G:$G, (MATCH(106, 輔助計算!$G$2:$G$801, 0)+1))&lt;=31,3,IF(INDEX(ERP資料!$G:$G, (MATCH(106, 輔助計算!$G$2:$G$801, 0)+1))&lt;=46.5,2,1)), IF(INDEX(ERP資料!$G:$G, (MATCH(106, 輔助計算!$G$2:$G$801, 0)+1))&lt;=790,3,IF(INDEX(ERP資料!$G:$G, (MATCH(106, 輔助計算!$G$2:$G$801, 0)+1))&lt;=1181,2,1))))=2,TEXT(INDEX(ERP資料!$G:$G, (MATCH(106, 輔助計算!$G$2:$G$801, 0)+1)),"0.##")&amp;"+"&amp;TEXT(INDEX(ERP資料!$G:$G, (MATCH(106, 輔助計算!$G$2:$G$801, 0)+1)),"0.##"),TEXT(INDEX(ERP資料!$G:$G, (MATCH(106, 輔助計算!$G$2:$G$801, 0)+1)),"0.##")&amp;"+"&amp;TEXT(INDEX(ERP資料!$G:$G, (MATCH(106, 輔助計算!$G$2:$G$801, 0)+1)),"0.##")&amp;"+"&amp;TEXT(INDEX(ERP資料!$G:$G, (MATCH(106, 輔助計算!$G$2:$G$801, 0)+1)),"0.##"))))&amp;"-1")), ""), "")</f>
        <v/>
      </c>
      <c r="K107" s="16" t="n"/>
      <c r="L107" s="14">
        <f>IFERROR(IF(AND(IFERROR(INDEX(ERP資料!$A:$A, (MATCH(106, 輔助計算!$G$2:$G$801, 0)+1)), "")&lt;&gt;"", IFERROR(INDEX(ERP資料!$A:$A, (MATCH(106, 輔助計算!$G$2:$G$801, 0)+1)), "")&lt;&gt;IFERROR(INDEX(ERP資料!$A:$A, MATCH(105, 輔助計算!$G$2:$G$801, 0)+1), "")), INDEX(ERP資料!$B:$B, (MATCH(106, 輔助計算!$G$2:$G$801, 0)+1)), ""), "")</f>
        <v/>
      </c>
      <c r="M107" s="17" t="n"/>
    </row>
    <row r="108">
      <c r="A108" s="10">
        <f>IFERROR(IF(AND(IFERROR(INDEX(ERP資料!$A:$A, (MATCH(107, 輔助計算!$G$2:$G$801, 0)+1)), "")&lt;&gt;"", IFERROR(INDEX(ERP資料!$A:$A, (MATCH(107, 輔助計算!$G$2:$G$801, 0)+1)), "")&lt;&gt;IFERROR(INDEX(ERP資料!$A:$A, MATCH(106, 輔助計算!$G$2:$G$801, 0)+1), "")), IFERROR(INDEX(ERP資料!$A:$A, (MATCH(107, 輔助計算!$G$2:$G$801, 0)+1)), ""), ""), "")</f>
        <v/>
      </c>
      <c r="B108" s="10">
        <f>IFERROR(IF(AND(IFERROR(INDEX(ERP資料!$A:$A, (MATCH(107, 輔助計算!$G$2:$G$801, 0)+1)), "")&lt;&gt;"", IFERROR(INDEX(ERP資料!$A:$A, (MATCH(107, 輔助計算!$G$2:$G$801, 0)+1)), "")&lt;&gt;IFERROR(INDEX(ERP資料!$A:$A, MATCH(106, 輔助計算!$G$2:$G$801, 0)+1), "")), INDEX(ERP資料!$S:$S, (MATCH(107, 輔助計算!$G$2:$G$801, 0)+1)), ""), "")</f>
        <v/>
      </c>
      <c r="C108" s="19">
        <f>IFERROR(IF(AND(IFERROR(INDEX(ERP資料!$A:$A, (MATCH(107, 輔助計算!$G$2:$G$801, 0)+1)), "")&lt;&gt;"", IFERROR(INDEX(ERP資料!$A:$A, (MATCH(107, 輔助計算!$G$2:$G$801, 0)+1)), "")&lt;&gt;IFERROR(INDEX(ERP資料!$A:$A, MATCH(106, 輔助計算!$G$2:$G$801, 0)+1), "")), IFERROR(VLOOKUP(LEFT(INDEX(ERP資料!$S:$S, (MATCH(107, 輔助計算!$G$2:$G$801, 0)+1)), 4), 紙管對照表!$A:$C, 3, FALSE), ""), ""), "")</f>
        <v/>
      </c>
      <c r="D108" s="16" t="n"/>
      <c r="E108" s="10">
        <f>IFERROR(IF(INDEX(ERP資料!$H:$H, (MATCH(107, 輔助計算!$G$2:$G$801, 0)+1))="","",INDEX(ERP資料!$H:$H, (MATCH(107, 輔助計算!$G$2:$G$801, 0)+1))), "")</f>
        <v/>
      </c>
      <c r="F108" s="10">
        <f>IFERROR(IF(INDEX(ERP資料!$E:$E, (MATCH(107, 輔助計算!$G$2:$G$801, 0)+1))="","",TRIM(INDEX(ERP資料!$E:$E, (MATCH(107, 輔助計算!$G$2:$G$801, 0)+1)))), "")</f>
        <v/>
      </c>
      <c r="G108" s="10">
        <f>IFERROR(IF(INDEX(ERP資料!$F:$F, (MATCH(107, 輔助計算!$G$2:$G$801, 0)+1))="","",INDEX(ERP資料!$F:$F, (MATCH(107, 輔助計算!$G$2:$G$801, 0)+1))), "")</f>
        <v/>
      </c>
      <c r="H108" s="10">
        <f>IFERROR(IF(INDEX(ERP資料!$G:$G, (MATCH(107, 輔助計算!$G$2:$G$801, 0)+1))="","",INDEX(ERP資料!$G:$G, (MATCH(107, 輔助計算!$G$2:$G$801, 0)+1))), "")</f>
        <v/>
      </c>
      <c r="I108" s="15">
        <f>IFERROR(INDEX(輔助計算!$D:$D, (MATCH(107, 輔助計算!$G$2:$G$801, 0)+1)), "")</f>
        <v/>
      </c>
      <c r="J108" s="15">
        <f>IFERROR(IF(AND(INDEX(輔助計算!$D:$D, (MATCH(107, 輔助計算!$G$2:$G$801, 0)+1))&lt;&gt;"", INDEX(ERP資料!$G:$G, (MATCH(107, 輔助計算!$G$2:$G$801, 0)+1))&lt;&gt;""), TRIM(IF(INT(INDEX(輔助計算!$D:$D, (MATCH(107, 輔助計算!$G$2:$G$801, 0)+1))/IF(INDEX(ERP資料!$G:$G, (MATCH(107, 輔助計算!$G$2:$G$801, 0)+1))&lt;100, IF(INDEX(ERP資料!$G:$G, (MATCH(107, 輔助計算!$G$2:$G$801, 0)+1))&lt;=31,3,IF(INDEX(ERP資料!$G:$G, (MATCH(107, 輔助計算!$G$2:$G$801, 0)+1))&lt;=46.5,2,1)), IF(INDEX(ERP資料!$G:$G, (MATCH(107, 輔助計算!$G$2:$G$801, 0)+1))&lt;=790,3,IF(INDEX(ERP資料!$G:$G, (MATCH(107, 輔助計算!$G$2:$G$801, 0)+1))&lt;=1181,2,1))))&gt;0, IF(IF(INDEX(ERP資料!$G:$G, (MATCH(107, 輔助計算!$G$2:$G$801, 0)+1))&lt;100, IF(INDEX(ERP資料!$G:$G, (MATCH(107, 輔助計算!$G$2:$G$801, 0)+1))&lt;=31,3,IF(INDEX(ERP資料!$G:$G, (MATCH(107, 輔助計算!$G$2:$G$801, 0)+1))&lt;=46.5,2,1)), IF(INDEX(ERP資料!$G:$G, (MATCH(107, 輔助計算!$G$2:$G$801, 0)+1))&lt;=790,3,IF(INDEX(ERP資料!$G:$G, (MATCH(107, 輔助計算!$G$2:$G$801, 0)+1))&lt;=1181,2,1)))=1,TEXT(INDEX(ERP資料!$G:$G, (MATCH(107, 輔助計算!$G$2:$G$801, 0)+1)),"0.##"),IF(IF(INDEX(ERP資料!$G:$G, (MATCH(107, 輔助計算!$G$2:$G$801, 0)+1))&lt;100, IF(INDEX(ERP資料!$G:$G, (MATCH(107, 輔助計算!$G$2:$G$801, 0)+1))&lt;=31,3,IF(INDEX(ERP資料!$G:$G, (MATCH(107, 輔助計算!$G$2:$G$801, 0)+1))&lt;=46.5,2,1)), IF(INDEX(ERP資料!$G:$G, (MATCH(107, 輔助計算!$G$2:$G$801, 0)+1))&lt;=790,3,IF(INDEX(ERP資料!$G:$G, (MATCH(107, 輔助計算!$G$2:$G$801, 0)+1))&lt;=1181,2,1)))=2,TEXT(INDEX(ERP資料!$G:$G, (MATCH(107, 輔助計算!$G$2:$G$801, 0)+1)),"0.##")&amp;"+"&amp;TEXT(INDEX(ERP資料!$G:$G, (MATCH(107, 輔助計算!$G$2:$G$801, 0)+1)),"0.##"),TEXT(INDEX(ERP資料!$G:$G, (MATCH(107, 輔助計算!$G$2:$G$801, 0)+1)),"0.##")&amp;"+"&amp;TEXT(INDEX(ERP資料!$G:$G, (MATCH(107, 輔助計算!$G$2:$G$801, 0)+1)),"0.##")&amp;"+"&amp;TEXT(INDEX(ERP資料!$G:$G, (MATCH(107, 輔助計算!$G$2:$G$801, 0)+1)),"0.##")))&amp;"-"&amp;INT(INDEX(輔助計算!$D:$D, (MATCH(107, 輔助計算!$G$2:$G$801, 0)+1))/IF(INDEX(ERP資料!$G:$G, (MATCH(107, 輔助計算!$G$2:$G$801, 0)+1))&lt;100, IF(INDEX(ERP資料!$G:$G, (MATCH(107, 輔助計算!$G$2:$G$801, 0)+1))&lt;=31,3,IF(INDEX(ERP資料!$G:$G, (MATCH(107, 輔助計算!$G$2:$G$801, 0)+1))&lt;=46.5,2,1)), IF(INDEX(ERP資料!$G:$G, (MATCH(107, 輔助計算!$G$2:$G$801, 0)+1))&lt;=790,3,IF(INDEX(ERP資料!$G:$G, (MATCH(107, 輔助計算!$G$2:$G$801, 0)+1))&lt;=1181,2,1)))), "")&amp;IF(AND(IF(INT(INDEX(輔助計算!$D:$D, (MATCH(107, 輔助計算!$G$2:$G$801, 0)+1))/IF(INDEX(ERP資料!$G:$G, (MATCH(107, 輔助計算!$G$2:$G$801, 0)+1))&lt;100, IF(INDEX(ERP資料!$G:$G, (MATCH(107, 輔助計算!$G$2:$G$801, 0)+1))&lt;=31,3,IF(INDEX(ERP資料!$G:$G, (MATCH(107, 輔助計算!$G$2:$G$801, 0)+1))&lt;=46.5,2,1)), IF(INDEX(ERP資料!$G:$G, (MATCH(107, 輔助計算!$G$2:$G$801, 0)+1))&lt;=790,3,IF(INDEX(ERP資料!$G:$G, (MATCH(107, 輔助計算!$G$2:$G$801, 0)+1))&lt;=1181,2,1))))&gt;0, IF(IF(INDEX(ERP資料!$G:$G, (MATCH(107, 輔助計算!$G$2:$G$801, 0)+1))&lt;100, IF(INDEX(ERP資料!$G:$G, (MATCH(107, 輔助計算!$G$2:$G$801, 0)+1))&lt;=31,3,IF(INDEX(ERP資料!$G:$G, (MATCH(107, 輔助計算!$G$2:$G$801, 0)+1))&lt;=46.5,2,1)), IF(INDEX(ERP資料!$G:$G, (MATCH(107, 輔助計算!$G$2:$G$801, 0)+1))&lt;=790,3,IF(INDEX(ERP資料!$G:$G, (MATCH(107, 輔助計算!$G$2:$G$801, 0)+1))&lt;=1181,2,1)))=1,TEXT(INDEX(ERP資料!$G:$G, (MATCH(107, 輔助計算!$G$2:$G$801, 0)+1)),"0.##"),IF(IF(INDEX(ERP資料!$G:$G, (MATCH(107, 輔助計算!$G$2:$G$801, 0)+1))&lt;100, IF(INDEX(ERP資料!$G:$G, (MATCH(107, 輔助計算!$G$2:$G$801, 0)+1))&lt;=31,3,IF(INDEX(ERP資料!$G:$G, (MATCH(107, 輔助計算!$G$2:$G$801, 0)+1))&lt;=46.5,2,1)), IF(INDEX(ERP資料!$G:$G, (MATCH(107, 輔助計算!$G$2:$G$801, 0)+1))&lt;=790,3,IF(INDEX(ERP資料!$G:$G, (MATCH(107, 輔助計算!$G$2:$G$801, 0)+1))&lt;=1181,2,1)))=2,TEXT(INDEX(ERP資料!$G:$G, (MATCH(107, 輔助計算!$G$2:$G$801, 0)+1)),"0.##")&amp;"+"&amp;TEXT(INDEX(ERP資料!$G:$G, (MATCH(107, 輔助計算!$G$2:$G$801, 0)+1)),"0.##"),TEXT(INDEX(ERP資料!$G:$G, (MATCH(107, 輔助計算!$G$2:$G$801, 0)+1)),"0.##")&amp;"+"&amp;TEXT(INDEX(ERP資料!$G:$G, (MATCH(107, 輔助計算!$G$2:$G$801, 0)+1)),"0.##")&amp;"+"&amp;TEXT(INDEX(ERP資料!$G:$G, (MATCH(107, 輔助計算!$G$2:$G$801, 0)+1)),"0.##")))&amp;"-"&amp;INT(INDEX(輔助計算!$D:$D, (MATCH(107, 輔助計算!$G$2:$G$801, 0)+1))/IF(INDEX(ERP資料!$G:$G, (MATCH(107, 輔助計算!$G$2:$G$801, 0)+1))&lt;100, IF(INDEX(ERP資料!$G:$G, (MATCH(107, 輔助計算!$G$2:$G$801, 0)+1))&lt;=31,3,IF(INDEX(ERP資料!$G:$G, (MATCH(107, 輔助計算!$G$2:$G$801, 0)+1))&lt;=46.5,2,1)), IF(INDEX(ERP資料!$G:$G, (MATCH(107, 輔助計算!$G$2:$G$801, 0)+1))&lt;=790,3,IF(INDEX(ERP資料!$G:$G, (MATCH(107, 輔助計算!$G$2:$G$801, 0)+1))&lt;=1181,2,1)))), "")&lt;&gt;"",IF(MOD(INDEX(輔助計算!$D:$D, (MATCH(107, 輔助計算!$G$2:$G$801, 0)+1)),IF(INDEX(ERP資料!$G:$G, (MATCH(107, 輔助計算!$G$2:$G$801, 0)+1))&lt;100, IF(INDEX(ERP資料!$G:$G, (MATCH(107, 輔助計算!$G$2:$G$801, 0)+1))&lt;=31,3,IF(INDEX(ERP資料!$G:$G, (MATCH(107, 輔助計算!$G$2:$G$801, 0)+1))&lt;=46.5,2,1)), IF(INDEX(ERP資料!$G:$G, (MATCH(107, 輔助計算!$G$2:$G$801, 0)+1))&lt;=790,3,IF(INDEX(ERP資料!$G:$G, (MATCH(107, 輔助計算!$G$2:$G$801, 0)+1))&lt;=1181,2,1))))=0,"",IF(MOD(INDEX(輔助計算!$D:$D, (MATCH(107, 輔助計算!$G$2:$G$801, 0)+1)),IF(INDEX(ERP資料!$G:$G, (MATCH(107, 輔助計算!$G$2:$G$801, 0)+1))&lt;100, IF(INDEX(ERP資料!$G:$G, (MATCH(107, 輔助計算!$G$2:$G$801, 0)+1))&lt;=31,3,IF(INDEX(ERP資料!$G:$G, (MATCH(107, 輔助計算!$G$2:$G$801, 0)+1))&lt;=46.5,2,1)), IF(INDEX(ERP資料!$G:$G, (MATCH(107, 輔助計算!$G$2:$G$801, 0)+1))&lt;=790,3,IF(INDEX(ERP資料!$G:$G, (MATCH(107, 輔助計算!$G$2:$G$801, 0)+1))&lt;=1181,2,1))))=0,"",IF(MOD(INDEX(輔助計算!$D:$D, (MATCH(107, 輔助計算!$G$2:$G$801, 0)+1)),IF(INDEX(ERP資料!$G:$G, (MATCH(107, 輔助計算!$G$2:$G$801, 0)+1))&lt;100, IF(INDEX(ERP資料!$G:$G, (MATCH(107, 輔助計算!$G$2:$G$801, 0)+1))&lt;=31,3,IF(INDEX(ERP資料!$G:$G, (MATCH(107, 輔助計算!$G$2:$G$801, 0)+1))&lt;=46.5,2,1)), IF(INDEX(ERP資料!$G:$G, (MATCH(107, 輔助計算!$G$2:$G$801, 0)+1))&lt;=790,3,IF(INDEX(ERP資料!$G:$G, (MATCH(107, 輔助計算!$G$2:$G$801, 0)+1))&lt;=1181,2,1))))=1,TEXT(INDEX(ERP資料!$G:$G, (MATCH(107, 輔助計算!$G$2:$G$801, 0)+1)),"0.##"),IF(MOD(INDEX(輔助計算!$D:$D, (MATCH(107, 輔助計算!$G$2:$G$801, 0)+1)),IF(INDEX(ERP資料!$G:$G, (MATCH(107, 輔助計算!$G$2:$G$801, 0)+1))&lt;100, IF(INDEX(ERP資料!$G:$G, (MATCH(107, 輔助計算!$G$2:$G$801, 0)+1))&lt;=31,3,IF(INDEX(ERP資料!$G:$G, (MATCH(107, 輔助計算!$G$2:$G$801, 0)+1))&lt;=46.5,2,1)), IF(INDEX(ERP資料!$G:$G, (MATCH(107, 輔助計算!$G$2:$G$801, 0)+1))&lt;=790,3,IF(INDEX(ERP資料!$G:$G, (MATCH(107, 輔助計算!$G$2:$G$801, 0)+1))&lt;=1181,2,1))))=2,TEXT(INDEX(ERP資料!$G:$G, (MATCH(107, 輔助計算!$G$2:$G$801, 0)+1)),"0.##")&amp;"+"&amp;TEXT(INDEX(ERP資料!$G:$G, (MATCH(107, 輔助計算!$G$2:$G$801, 0)+1)),"0.##"),TEXT(INDEX(ERP資料!$G:$G, (MATCH(107, 輔助計算!$G$2:$G$801, 0)+1)),"0.##")&amp;"+"&amp;TEXT(INDEX(ERP資料!$G:$G, (MATCH(107, 輔助計算!$G$2:$G$801, 0)+1)),"0.##")&amp;"+"&amp;TEXT(INDEX(ERP資料!$G:$G, (MATCH(107, 輔助計算!$G$2:$G$801, 0)+1)),"0.##"))))&amp;"-1")&lt;&gt;""),"  ","")&amp;IF(MOD(INDEX(輔助計算!$D:$D, (MATCH(107, 輔助計算!$G$2:$G$801, 0)+1)),IF(INDEX(ERP資料!$G:$G, (MATCH(107, 輔助計算!$G$2:$G$801, 0)+1))&lt;100, IF(INDEX(ERP資料!$G:$G, (MATCH(107, 輔助計算!$G$2:$G$801, 0)+1))&lt;=31,3,IF(INDEX(ERP資料!$G:$G, (MATCH(107, 輔助計算!$G$2:$G$801, 0)+1))&lt;=46.5,2,1)), IF(INDEX(ERP資料!$G:$G, (MATCH(107, 輔助計算!$G$2:$G$801, 0)+1))&lt;=790,3,IF(INDEX(ERP資料!$G:$G, (MATCH(107, 輔助計算!$G$2:$G$801, 0)+1))&lt;=1181,2,1))))=0,"",IF(MOD(INDEX(輔助計算!$D:$D, (MATCH(107, 輔助計算!$G$2:$G$801, 0)+1)),IF(INDEX(ERP資料!$G:$G, (MATCH(107, 輔助計算!$G$2:$G$801, 0)+1))&lt;100, IF(INDEX(ERP資料!$G:$G, (MATCH(107, 輔助計算!$G$2:$G$801, 0)+1))&lt;=31,3,IF(INDEX(ERP資料!$G:$G, (MATCH(107, 輔助計算!$G$2:$G$801, 0)+1))&lt;=46.5,2,1)), IF(INDEX(ERP資料!$G:$G, (MATCH(107, 輔助計算!$G$2:$G$801, 0)+1))&lt;=790,3,IF(INDEX(ERP資料!$G:$G, (MATCH(107, 輔助計算!$G$2:$G$801, 0)+1))&lt;=1181,2,1))))=0,"",IF(MOD(INDEX(輔助計算!$D:$D, (MATCH(107, 輔助計算!$G$2:$G$801, 0)+1)),IF(INDEX(ERP資料!$G:$G, (MATCH(107, 輔助計算!$G$2:$G$801, 0)+1))&lt;100, IF(INDEX(ERP資料!$G:$G, (MATCH(107, 輔助計算!$G$2:$G$801, 0)+1))&lt;=31,3,IF(INDEX(ERP資料!$G:$G, (MATCH(107, 輔助計算!$G$2:$G$801, 0)+1))&lt;=46.5,2,1)), IF(INDEX(ERP資料!$G:$G, (MATCH(107, 輔助計算!$G$2:$G$801, 0)+1))&lt;=790,3,IF(INDEX(ERP資料!$G:$G, (MATCH(107, 輔助計算!$G$2:$G$801, 0)+1))&lt;=1181,2,1))))=1,TEXT(INDEX(ERP資料!$G:$G, (MATCH(107, 輔助計算!$G$2:$G$801, 0)+1)),"0.##"),IF(MOD(INDEX(輔助計算!$D:$D, (MATCH(107, 輔助計算!$G$2:$G$801, 0)+1)),IF(INDEX(ERP資料!$G:$G, (MATCH(107, 輔助計算!$G$2:$G$801, 0)+1))&lt;100, IF(INDEX(ERP資料!$G:$G, (MATCH(107, 輔助計算!$G$2:$G$801, 0)+1))&lt;=31,3,IF(INDEX(ERP資料!$G:$G, (MATCH(107, 輔助計算!$G$2:$G$801, 0)+1))&lt;=46.5,2,1)), IF(INDEX(ERP資料!$G:$G, (MATCH(107, 輔助計算!$G$2:$G$801, 0)+1))&lt;=790,3,IF(INDEX(ERP資料!$G:$G, (MATCH(107, 輔助計算!$G$2:$G$801, 0)+1))&lt;=1181,2,1))))=2,TEXT(INDEX(ERP資料!$G:$G, (MATCH(107, 輔助計算!$G$2:$G$801, 0)+1)),"0.##")&amp;"+"&amp;TEXT(INDEX(ERP資料!$G:$G, (MATCH(107, 輔助計算!$G$2:$G$801, 0)+1)),"0.##"),TEXT(INDEX(ERP資料!$G:$G, (MATCH(107, 輔助計算!$G$2:$G$801, 0)+1)),"0.##")&amp;"+"&amp;TEXT(INDEX(ERP資料!$G:$G, (MATCH(107, 輔助計算!$G$2:$G$801, 0)+1)),"0.##")&amp;"+"&amp;TEXT(INDEX(ERP資料!$G:$G, (MATCH(107, 輔助計算!$G$2:$G$801, 0)+1)),"0.##"))))&amp;"-1")), ""), "")</f>
        <v/>
      </c>
      <c r="K108" s="16" t="n"/>
      <c r="L108" s="14">
        <f>IFERROR(IF(AND(IFERROR(INDEX(ERP資料!$A:$A, (MATCH(107, 輔助計算!$G$2:$G$801, 0)+1)), "")&lt;&gt;"", IFERROR(INDEX(ERP資料!$A:$A, (MATCH(107, 輔助計算!$G$2:$G$801, 0)+1)), "")&lt;&gt;IFERROR(INDEX(ERP資料!$A:$A, MATCH(106, 輔助計算!$G$2:$G$801, 0)+1), "")), INDEX(ERP資料!$B:$B, (MATCH(107, 輔助計算!$G$2:$G$801, 0)+1)), ""), "")</f>
        <v/>
      </c>
      <c r="M108" s="17" t="n"/>
    </row>
    <row r="109">
      <c r="A109" s="10">
        <f>IFERROR(IF(AND(IFERROR(INDEX(ERP資料!$A:$A, (MATCH(108, 輔助計算!$G$2:$G$801, 0)+1)), "")&lt;&gt;"", IFERROR(INDEX(ERP資料!$A:$A, (MATCH(108, 輔助計算!$G$2:$G$801, 0)+1)), "")&lt;&gt;IFERROR(INDEX(ERP資料!$A:$A, MATCH(107, 輔助計算!$G$2:$G$801, 0)+1), "")), IFERROR(INDEX(ERP資料!$A:$A, (MATCH(108, 輔助計算!$G$2:$G$801, 0)+1)), ""), ""), "")</f>
        <v/>
      </c>
      <c r="B109" s="10">
        <f>IFERROR(IF(AND(IFERROR(INDEX(ERP資料!$A:$A, (MATCH(108, 輔助計算!$G$2:$G$801, 0)+1)), "")&lt;&gt;"", IFERROR(INDEX(ERP資料!$A:$A, (MATCH(108, 輔助計算!$G$2:$G$801, 0)+1)), "")&lt;&gt;IFERROR(INDEX(ERP資料!$A:$A, MATCH(107, 輔助計算!$G$2:$G$801, 0)+1), "")), INDEX(ERP資料!$S:$S, (MATCH(108, 輔助計算!$G$2:$G$801, 0)+1)), ""), "")</f>
        <v/>
      </c>
      <c r="C109" s="19">
        <f>IFERROR(IF(AND(IFERROR(INDEX(ERP資料!$A:$A, (MATCH(108, 輔助計算!$G$2:$G$801, 0)+1)), "")&lt;&gt;"", IFERROR(INDEX(ERP資料!$A:$A, (MATCH(108, 輔助計算!$G$2:$G$801, 0)+1)), "")&lt;&gt;IFERROR(INDEX(ERP資料!$A:$A, MATCH(107, 輔助計算!$G$2:$G$801, 0)+1), "")), IFERROR(VLOOKUP(LEFT(INDEX(ERP資料!$S:$S, (MATCH(108, 輔助計算!$G$2:$G$801, 0)+1)), 4), 紙管對照表!$A:$C, 3, FALSE), ""), ""), "")</f>
        <v/>
      </c>
      <c r="D109" s="16" t="n"/>
      <c r="E109" s="10">
        <f>IFERROR(IF(INDEX(ERP資料!$H:$H, (MATCH(108, 輔助計算!$G$2:$G$801, 0)+1))="","",INDEX(ERP資料!$H:$H, (MATCH(108, 輔助計算!$G$2:$G$801, 0)+1))), "")</f>
        <v/>
      </c>
      <c r="F109" s="10">
        <f>IFERROR(IF(INDEX(ERP資料!$E:$E, (MATCH(108, 輔助計算!$G$2:$G$801, 0)+1))="","",TRIM(INDEX(ERP資料!$E:$E, (MATCH(108, 輔助計算!$G$2:$G$801, 0)+1)))), "")</f>
        <v/>
      </c>
      <c r="G109" s="10">
        <f>IFERROR(IF(INDEX(ERP資料!$F:$F, (MATCH(108, 輔助計算!$G$2:$G$801, 0)+1))="","",INDEX(ERP資料!$F:$F, (MATCH(108, 輔助計算!$G$2:$G$801, 0)+1))), "")</f>
        <v/>
      </c>
      <c r="H109" s="10">
        <f>IFERROR(IF(INDEX(ERP資料!$G:$G, (MATCH(108, 輔助計算!$G$2:$G$801, 0)+1))="","",INDEX(ERP資料!$G:$G, (MATCH(108, 輔助計算!$G$2:$G$801, 0)+1))), "")</f>
        <v/>
      </c>
      <c r="I109" s="15">
        <f>IFERROR(INDEX(輔助計算!$D:$D, (MATCH(108, 輔助計算!$G$2:$G$801, 0)+1)), "")</f>
        <v/>
      </c>
      <c r="J109" s="15">
        <f>IFERROR(IF(AND(INDEX(輔助計算!$D:$D, (MATCH(108, 輔助計算!$G$2:$G$801, 0)+1))&lt;&gt;"", INDEX(ERP資料!$G:$G, (MATCH(108, 輔助計算!$G$2:$G$801, 0)+1))&lt;&gt;""), TRIM(IF(INT(INDEX(輔助計算!$D:$D, (MATCH(108, 輔助計算!$G$2:$G$801, 0)+1))/IF(INDEX(ERP資料!$G:$G, (MATCH(108, 輔助計算!$G$2:$G$801, 0)+1))&lt;100, IF(INDEX(ERP資料!$G:$G, (MATCH(108, 輔助計算!$G$2:$G$801, 0)+1))&lt;=31,3,IF(INDEX(ERP資料!$G:$G, (MATCH(108, 輔助計算!$G$2:$G$801, 0)+1))&lt;=46.5,2,1)), IF(INDEX(ERP資料!$G:$G, (MATCH(108, 輔助計算!$G$2:$G$801, 0)+1))&lt;=790,3,IF(INDEX(ERP資料!$G:$G, (MATCH(108, 輔助計算!$G$2:$G$801, 0)+1))&lt;=1181,2,1))))&gt;0, IF(IF(INDEX(ERP資料!$G:$G, (MATCH(108, 輔助計算!$G$2:$G$801, 0)+1))&lt;100, IF(INDEX(ERP資料!$G:$G, (MATCH(108, 輔助計算!$G$2:$G$801, 0)+1))&lt;=31,3,IF(INDEX(ERP資料!$G:$G, (MATCH(108, 輔助計算!$G$2:$G$801, 0)+1))&lt;=46.5,2,1)), IF(INDEX(ERP資料!$G:$G, (MATCH(108, 輔助計算!$G$2:$G$801, 0)+1))&lt;=790,3,IF(INDEX(ERP資料!$G:$G, (MATCH(108, 輔助計算!$G$2:$G$801, 0)+1))&lt;=1181,2,1)))=1,TEXT(INDEX(ERP資料!$G:$G, (MATCH(108, 輔助計算!$G$2:$G$801, 0)+1)),"0.##"),IF(IF(INDEX(ERP資料!$G:$G, (MATCH(108, 輔助計算!$G$2:$G$801, 0)+1))&lt;100, IF(INDEX(ERP資料!$G:$G, (MATCH(108, 輔助計算!$G$2:$G$801, 0)+1))&lt;=31,3,IF(INDEX(ERP資料!$G:$G, (MATCH(108, 輔助計算!$G$2:$G$801, 0)+1))&lt;=46.5,2,1)), IF(INDEX(ERP資料!$G:$G, (MATCH(108, 輔助計算!$G$2:$G$801, 0)+1))&lt;=790,3,IF(INDEX(ERP資料!$G:$G, (MATCH(108, 輔助計算!$G$2:$G$801, 0)+1))&lt;=1181,2,1)))=2,TEXT(INDEX(ERP資料!$G:$G, (MATCH(108, 輔助計算!$G$2:$G$801, 0)+1)),"0.##")&amp;"+"&amp;TEXT(INDEX(ERP資料!$G:$G, (MATCH(108, 輔助計算!$G$2:$G$801, 0)+1)),"0.##"),TEXT(INDEX(ERP資料!$G:$G, (MATCH(108, 輔助計算!$G$2:$G$801, 0)+1)),"0.##")&amp;"+"&amp;TEXT(INDEX(ERP資料!$G:$G, (MATCH(108, 輔助計算!$G$2:$G$801, 0)+1)),"0.##")&amp;"+"&amp;TEXT(INDEX(ERP資料!$G:$G, (MATCH(108, 輔助計算!$G$2:$G$801, 0)+1)),"0.##")))&amp;"-"&amp;INT(INDEX(輔助計算!$D:$D, (MATCH(108, 輔助計算!$G$2:$G$801, 0)+1))/IF(INDEX(ERP資料!$G:$G, (MATCH(108, 輔助計算!$G$2:$G$801, 0)+1))&lt;100, IF(INDEX(ERP資料!$G:$G, (MATCH(108, 輔助計算!$G$2:$G$801, 0)+1))&lt;=31,3,IF(INDEX(ERP資料!$G:$G, (MATCH(108, 輔助計算!$G$2:$G$801, 0)+1))&lt;=46.5,2,1)), IF(INDEX(ERP資料!$G:$G, (MATCH(108, 輔助計算!$G$2:$G$801, 0)+1))&lt;=790,3,IF(INDEX(ERP資料!$G:$G, (MATCH(108, 輔助計算!$G$2:$G$801, 0)+1))&lt;=1181,2,1)))), "")&amp;IF(AND(IF(INT(INDEX(輔助計算!$D:$D, (MATCH(108, 輔助計算!$G$2:$G$801, 0)+1))/IF(INDEX(ERP資料!$G:$G, (MATCH(108, 輔助計算!$G$2:$G$801, 0)+1))&lt;100, IF(INDEX(ERP資料!$G:$G, (MATCH(108, 輔助計算!$G$2:$G$801, 0)+1))&lt;=31,3,IF(INDEX(ERP資料!$G:$G, (MATCH(108, 輔助計算!$G$2:$G$801, 0)+1))&lt;=46.5,2,1)), IF(INDEX(ERP資料!$G:$G, (MATCH(108, 輔助計算!$G$2:$G$801, 0)+1))&lt;=790,3,IF(INDEX(ERP資料!$G:$G, (MATCH(108, 輔助計算!$G$2:$G$801, 0)+1))&lt;=1181,2,1))))&gt;0, IF(IF(INDEX(ERP資料!$G:$G, (MATCH(108, 輔助計算!$G$2:$G$801, 0)+1))&lt;100, IF(INDEX(ERP資料!$G:$G, (MATCH(108, 輔助計算!$G$2:$G$801, 0)+1))&lt;=31,3,IF(INDEX(ERP資料!$G:$G, (MATCH(108, 輔助計算!$G$2:$G$801, 0)+1))&lt;=46.5,2,1)), IF(INDEX(ERP資料!$G:$G, (MATCH(108, 輔助計算!$G$2:$G$801, 0)+1))&lt;=790,3,IF(INDEX(ERP資料!$G:$G, (MATCH(108, 輔助計算!$G$2:$G$801, 0)+1))&lt;=1181,2,1)))=1,TEXT(INDEX(ERP資料!$G:$G, (MATCH(108, 輔助計算!$G$2:$G$801, 0)+1)),"0.##"),IF(IF(INDEX(ERP資料!$G:$G, (MATCH(108, 輔助計算!$G$2:$G$801, 0)+1))&lt;100, IF(INDEX(ERP資料!$G:$G, (MATCH(108, 輔助計算!$G$2:$G$801, 0)+1))&lt;=31,3,IF(INDEX(ERP資料!$G:$G, (MATCH(108, 輔助計算!$G$2:$G$801, 0)+1))&lt;=46.5,2,1)), IF(INDEX(ERP資料!$G:$G, (MATCH(108, 輔助計算!$G$2:$G$801, 0)+1))&lt;=790,3,IF(INDEX(ERP資料!$G:$G, (MATCH(108, 輔助計算!$G$2:$G$801, 0)+1))&lt;=1181,2,1)))=2,TEXT(INDEX(ERP資料!$G:$G, (MATCH(108, 輔助計算!$G$2:$G$801, 0)+1)),"0.##")&amp;"+"&amp;TEXT(INDEX(ERP資料!$G:$G, (MATCH(108, 輔助計算!$G$2:$G$801, 0)+1)),"0.##"),TEXT(INDEX(ERP資料!$G:$G, (MATCH(108, 輔助計算!$G$2:$G$801, 0)+1)),"0.##")&amp;"+"&amp;TEXT(INDEX(ERP資料!$G:$G, (MATCH(108, 輔助計算!$G$2:$G$801, 0)+1)),"0.##")&amp;"+"&amp;TEXT(INDEX(ERP資料!$G:$G, (MATCH(108, 輔助計算!$G$2:$G$801, 0)+1)),"0.##")))&amp;"-"&amp;INT(INDEX(輔助計算!$D:$D, (MATCH(108, 輔助計算!$G$2:$G$801, 0)+1))/IF(INDEX(ERP資料!$G:$G, (MATCH(108, 輔助計算!$G$2:$G$801, 0)+1))&lt;100, IF(INDEX(ERP資料!$G:$G, (MATCH(108, 輔助計算!$G$2:$G$801, 0)+1))&lt;=31,3,IF(INDEX(ERP資料!$G:$G, (MATCH(108, 輔助計算!$G$2:$G$801, 0)+1))&lt;=46.5,2,1)), IF(INDEX(ERP資料!$G:$G, (MATCH(108, 輔助計算!$G$2:$G$801, 0)+1))&lt;=790,3,IF(INDEX(ERP資料!$G:$G, (MATCH(108, 輔助計算!$G$2:$G$801, 0)+1))&lt;=1181,2,1)))), "")&lt;&gt;"",IF(MOD(INDEX(輔助計算!$D:$D, (MATCH(108, 輔助計算!$G$2:$G$801, 0)+1)),IF(INDEX(ERP資料!$G:$G, (MATCH(108, 輔助計算!$G$2:$G$801, 0)+1))&lt;100, IF(INDEX(ERP資料!$G:$G, (MATCH(108, 輔助計算!$G$2:$G$801, 0)+1))&lt;=31,3,IF(INDEX(ERP資料!$G:$G, (MATCH(108, 輔助計算!$G$2:$G$801, 0)+1))&lt;=46.5,2,1)), IF(INDEX(ERP資料!$G:$G, (MATCH(108, 輔助計算!$G$2:$G$801, 0)+1))&lt;=790,3,IF(INDEX(ERP資料!$G:$G, (MATCH(108, 輔助計算!$G$2:$G$801, 0)+1))&lt;=1181,2,1))))=0,"",IF(MOD(INDEX(輔助計算!$D:$D, (MATCH(108, 輔助計算!$G$2:$G$801, 0)+1)),IF(INDEX(ERP資料!$G:$G, (MATCH(108, 輔助計算!$G$2:$G$801, 0)+1))&lt;100, IF(INDEX(ERP資料!$G:$G, (MATCH(108, 輔助計算!$G$2:$G$801, 0)+1))&lt;=31,3,IF(INDEX(ERP資料!$G:$G, (MATCH(108, 輔助計算!$G$2:$G$801, 0)+1))&lt;=46.5,2,1)), IF(INDEX(ERP資料!$G:$G, (MATCH(108, 輔助計算!$G$2:$G$801, 0)+1))&lt;=790,3,IF(INDEX(ERP資料!$G:$G, (MATCH(108, 輔助計算!$G$2:$G$801, 0)+1))&lt;=1181,2,1))))=0,"",IF(MOD(INDEX(輔助計算!$D:$D, (MATCH(108, 輔助計算!$G$2:$G$801, 0)+1)),IF(INDEX(ERP資料!$G:$G, (MATCH(108, 輔助計算!$G$2:$G$801, 0)+1))&lt;100, IF(INDEX(ERP資料!$G:$G, (MATCH(108, 輔助計算!$G$2:$G$801, 0)+1))&lt;=31,3,IF(INDEX(ERP資料!$G:$G, (MATCH(108, 輔助計算!$G$2:$G$801, 0)+1))&lt;=46.5,2,1)), IF(INDEX(ERP資料!$G:$G, (MATCH(108, 輔助計算!$G$2:$G$801, 0)+1))&lt;=790,3,IF(INDEX(ERP資料!$G:$G, (MATCH(108, 輔助計算!$G$2:$G$801, 0)+1))&lt;=1181,2,1))))=1,TEXT(INDEX(ERP資料!$G:$G, (MATCH(108, 輔助計算!$G$2:$G$801, 0)+1)),"0.##"),IF(MOD(INDEX(輔助計算!$D:$D, (MATCH(108, 輔助計算!$G$2:$G$801, 0)+1)),IF(INDEX(ERP資料!$G:$G, (MATCH(108, 輔助計算!$G$2:$G$801, 0)+1))&lt;100, IF(INDEX(ERP資料!$G:$G, (MATCH(108, 輔助計算!$G$2:$G$801, 0)+1))&lt;=31,3,IF(INDEX(ERP資料!$G:$G, (MATCH(108, 輔助計算!$G$2:$G$801, 0)+1))&lt;=46.5,2,1)), IF(INDEX(ERP資料!$G:$G, (MATCH(108, 輔助計算!$G$2:$G$801, 0)+1))&lt;=790,3,IF(INDEX(ERP資料!$G:$G, (MATCH(108, 輔助計算!$G$2:$G$801, 0)+1))&lt;=1181,2,1))))=2,TEXT(INDEX(ERP資料!$G:$G, (MATCH(108, 輔助計算!$G$2:$G$801, 0)+1)),"0.##")&amp;"+"&amp;TEXT(INDEX(ERP資料!$G:$G, (MATCH(108, 輔助計算!$G$2:$G$801, 0)+1)),"0.##"),TEXT(INDEX(ERP資料!$G:$G, (MATCH(108, 輔助計算!$G$2:$G$801, 0)+1)),"0.##")&amp;"+"&amp;TEXT(INDEX(ERP資料!$G:$G, (MATCH(108, 輔助計算!$G$2:$G$801, 0)+1)),"0.##")&amp;"+"&amp;TEXT(INDEX(ERP資料!$G:$G, (MATCH(108, 輔助計算!$G$2:$G$801, 0)+1)),"0.##"))))&amp;"-1")&lt;&gt;""),"  ","")&amp;IF(MOD(INDEX(輔助計算!$D:$D, (MATCH(108, 輔助計算!$G$2:$G$801, 0)+1)),IF(INDEX(ERP資料!$G:$G, (MATCH(108, 輔助計算!$G$2:$G$801, 0)+1))&lt;100, IF(INDEX(ERP資料!$G:$G, (MATCH(108, 輔助計算!$G$2:$G$801, 0)+1))&lt;=31,3,IF(INDEX(ERP資料!$G:$G, (MATCH(108, 輔助計算!$G$2:$G$801, 0)+1))&lt;=46.5,2,1)), IF(INDEX(ERP資料!$G:$G, (MATCH(108, 輔助計算!$G$2:$G$801, 0)+1))&lt;=790,3,IF(INDEX(ERP資料!$G:$G, (MATCH(108, 輔助計算!$G$2:$G$801, 0)+1))&lt;=1181,2,1))))=0,"",IF(MOD(INDEX(輔助計算!$D:$D, (MATCH(108, 輔助計算!$G$2:$G$801, 0)+1)),IF(INDEX(ERP資料!$G:$G, (MATCH(108, 輔助計算!$G$2:$G$801, 0)+1))&lt;100, IF(INDEX(ERP資料!$G:$G, (MATCH(108, 輔助計算!$G$2:$G$801, 0)+1))&lt;=31,3,IF(INDEX(ERP資料!$G:$G, (MATCH(108, 輔助計算!$G$2:$G$801, 0)+1))&lt;=46.5,2,1)), IF(INDEX(ERP資料!$G:$G, (MATCH(108, 輔助計算!$G$2:$G$801, 0)+1))&lt;=790,3,IF(INDEX(ERP資料!$G:$G, (MATCH(108, 輔助計算!$G$2:$G$801, 0)+1))&lt;=1181,2,1))))=0,"",IF(MOD(INDEX(輔助計算!$D:$D, (MATCH(108, 輔助計算!$G$2:$G$801, 0)+1)),IF(INDEX(ERP資料!$G:$G, (MATCH(108, 輔助計算!$G$2:$G$801, 0)+1))&lt;100, IF(INDEX(ERP資料!$G:$G, (MATCH(108, 輔助計算!$G$2:$G$801, 0)+1))&lt;=31,3,IF(INDEX(ERP資料!$G:$G, (MATCH(108, 輔助計算!$G$2:$G$801, 0)+1))&lt;=46.5,2,1)), IF(INDEX(ERP資料!$G:$G, (MATCH(108, 輔助計算!$G$2:$G$801, 0)+1))&lt;=790,3,IF(INDEX(ERP資料!$G:$G, (MATCH(108, 輔助計算!$G$2:$G$801, 0)+1))&lt;=1181,2,1))))=1,TEXT(INDEX(ERP資料!$G:$G, (MATCH(108, 輔助計算!$G$2:$G$801, 0)+1)),"0.##"),IF(MOD(INDEX(輔助計算!$D:$D, (MATCH(108, 輔助計算!$G$2:$G$801, 0)+1)),IF(INDEX(ERP資料!$G:$G, (MATCH(108, 輔助計算!$G$2:$G$801, 0)+1))&lt;100, IF(INDEX(ERP資料!$G:$G, (MATCH(108, 輔助計算!$G$2:$G$801, 0)+1))&lt;=31,3,IF(INDEX(ERP資料!$G:$G, (MATCH(108, 輔助計算!$G$2:$G$801, 0)+1))&lt;=46.5,2,1)), IF(INDEX(ERP資料!$G:$G, (MATCH(108, 輔助計算!$G$2:$G$801, 0)+1))&lt;=790,3,IF(INDEX(ERP資料!$G:$G, (MATCH(108, 輔助計算!$G$2:$G$801, 0)+1))&lt;=1181,2,1))))=2,TEXT(INDEX(ERP資料!$G:$G, (MATCH(108, 輔助計算!$G$2:$G$801, 0)+1)),"0.##")&amp;"+"&amp;TEXT(INDEX(ERP資料!$G:$G, (MATCH(108, 輔助計算!$G$2:$G$801, 0)+1)),"0.##"),TEXT(INDEX(ERP資料!$G:$G, (MATCH(108, 輔助計算!$G$2:$G$801, 0)+1)),"0.##")&amp;"+"&amp;TEXT(INDEX(ERP資料!$G:$G, (MATCH(108, 輔助計算!$G$2:$G$801, 0)+1)),"0.##")&amp;"+"&amp;TEXT(INDEX(ERP資料!$G:$G, (MATCH(108, 輔助計算!$G$2:$G$801, 0)+1)),"0.##"))))&amp;"-1")), ""), "")</f>
        <v/>
      </c>
      <c r="K109" s="16" t="n"/>
      <c r="L109" s="14">
        <f>IFERROR(IF(AND(IFERROR(INDEX(ERP資料!$A:$A, (MATCH(108, 輔助計算!$G$2:$G$801, 0)+1)), "")&lt;&gt;"", IFERROR(INDEX(ERP資料!$A:$A, (MATCH(108, 輔助計算!$G$2:$G$801, 0)+1)), "")&lt;&gt;IFERROR(INDEX(ERP資料!$A:$A, MATCH(107, 輔助計算!$G$2:$G$801, 0)+1), "")), INDEX(ERP資料!$B:$B, (MATCH(108, 輔助計算!$G$2:$G$801, 0)+1)), ""), "")</f>
        <v/>
      </c>
      <c r="M109" s="17" t="n"/>
    </row>
    <row r="110">
      <c r="A110" s="10">
        <f>IFERROR(IF(AND(IFERROR(INDEX(ERP資料!$A:$A, (MATCH(109, 輔助計算!$G$2:$G$801, 0)+1)), "")&lt;&gt;"", IFERROR(INDEX(ERP資料!$A:$A, (MATCH(109, 輔助計算!$G$2:$G$801, 0)+1)), "")&lt;&gt;IFERROR(INDEX(ERP資料!$A:$A, MATCH(108, 輔助計算!$G$2:$G$801, 0)+1), "")), IFERROR(INDEX(ERP資料!$A:$A, (MATCH(109, 輔助計算!$G$2:$G$801, 0)+1)), ""), ""), "")</f>
        <v/>
      </c>
      <c r="B110" s="10">
        <f>IFERROR(IF(AND(IFERROR(INDEX(ERP資料!$A:$A, (MATCH(109, 輔助計算!$G$2:$G$801, 0)+1)), "")&lt;&gt;"", IFERROR(INDEX(ERP資料!$A:$A, (MATCH(109, 輔助計算!$G$2:$G$801, 0)+1)), "")&lt;&gt;IFERROR(INDEX(ERP資料!$A:$A, MATCH(108, 輔助計算!$G$2:$G$801, 0)+1), "")), INDEX(ERP資料!$S:$S, (MATCH(109, 輔助計算!$G$2:$G$801, 0)+1)), ""), "")</f>
        <v/>
      </c>
      <c r="C110" s="19">
        <f>IFERROR(IF(AND(IFERROR(INDEX(ERP資料!$A:$A, (MATCH(109, 輔助計算!$G$2:$G$801, 0)+1)), "")&lt;&gt;"", IFERROR(INDEX(ERP資料!$A:$A, (MATCH(109, 輔助計算!$G$2:$G$801, 0)+1)), "")&lt;&gt;IFERROR(INDEX(ERP資料!$A:$A, MATCH(108, 輔助計算!$G$2:$G$801, 0)+1), "")), IFERROR(VLOOKUP(LEFT(INDEX(ERP資料!$S:$S, (MATCH(109, 輔助計算!$G$2:$G$801, 0)+1)), 4), 紙管對照表!$A:$C, 3, FALSE), ""), ""), "")</f>
        <v/>
      </c>
      <c r="D110" s="16" t="n"/>
      <c r="E110" s="10">
        <f>IFERROR(IF(INDEX(ERP資料!$H:$H, (MATCH(109, 輔助計算!$G$2:$G$801, 0)+1))="","",INDEX(ERP資料!$H:$H, (MATCH(109, 輔助計算!$G$2:$G$801, 0)+1))), "")</f>
        <v/>
      </c>
      <c r="F110" s="10">
        <f>IFERROR(IF(INDEX(ERP資料!$E:$E, (MATCH(109, 輔助計算!$G$2:$G$801, 0)+1))="","",TRIM(INDEX(ERP資料!$E:$E, (MATCH(109, 輔助計算!$G$2:$G$801, 0)+1)))), "")</f>
        <v/>
      </c>
      <c r="G110" s="10">
        <f>IFERROR(IF(INDEX(ERP資料!$F:$F, (MATCH(109, 輔助計算!$G$2:$G$801, 0)+1))="","",INDEX(ERP資料!$F:$F, (MATCH(109, 輔助計算!$G$2:$G$801, 0)+1))), "")</f>
        <v/>
      </c>
      <c r="H110" s="10">
        <f>IFERROR(IF(INDEX(ERP資料!$G:$G, (MATCH(109, 輔助計算!$G$2:$G$801, 0)+1))="","",INDEX(ERP資料!$G:$G, (MATCH(109, 輔助計算!$G$2:$G$801, 0)+1))), "")</f>
        <v/>
      </c>
      <c r="I110" s="15">
        <f>IFERROR(INDEX(輔助計算!$D:$D, (MATCH(109, 輔助計算!$G$2:$G$801, 0)+1)), "")</f>
        <v/>
      </c>
      <c r="J110" s="15">
        <f>IFERROR(IF(AND(INDEX(輔助計算!$D:$D, (MATCH(109, 輔助計算!$G$2:$G$801, 0)+1))&lt;&gt;"", INDEX(ERP資料!$G:$G, (MATCH(109, 輔助計算!$G$2:$G$801, 0)+1))&lt;&gt;""), TRIM(IF(INT(INDEX(輔助計算!$D:$D, (MATCH(109, 輔助計算!$G$2:$G$801, 0)+1))/IF(INDEX(ERP資料!$G:$G, (MATCH(109, 輔助計算!$G$2:$G$801, 0)+1))&lt;100, IF(INDEX(ERP資料!$G:$G, (MATCH(109, 輔助計算!$G$2:$G$801, 0)+1))&lt;=31,3,IF(INDEX(ERP資料!$G:$G, (MATCH(109, 輔助計算!$G$2:$G$801, 0)+1))&lt;=46.5,2,1)), IF(INDEX(ERP資料!$G:$G, (MATCH(109, 輔助計算!$G$2:$G$801, 0)+1))&lt;=790,3,IF(INDEX(ERP資料!$G:$G, (MATCH(109, 輔助計算!$G$2:$G$801, 0)+1))&lt;=1181,2,1))))&gt;0, IF(IF(INDEX(ERP資料!$G:$G, (MATCH(109, 輔助計算!$G$2:$G$801, 0)+1))&lt;100, IF(INDEX(ERP資料!$G:$G, (MATCH(109, 輔助計算!$G$2:$G$801, 0)+1))&lt;=31,3,IF(INDEX(ERP資料!$G:$G, (MATCH(109, 輔助計算!$G$2:$G$801, 0)+1))&lt;=46.5,2,1)), IF(INDEX(ERP資料!$G:$G, (MATCH(109, 輔助計算!$G$2:$G$801, 0)+1))&lt;=790,3,IF(INDEX(ERP資料!$G:$G, (MATCH(109, 輔助計算!$G$2:$G$801, 0)+1))&lt;=1181,2,1)))=1,TEXT(INDEX(ERP資料!$G:$G, (MATCH(109, 輔助計算!$G$2:$G$801, 0)+1)),"0.##"),IF(IF(INDEX(ERP資料!$G:$G, (MATCH(109, 輔助計算!$G$2:$G$801, 0)+1))&lt;100, IF(INDEX(ERP資料!$G:$G, (MATCH(109, 輔助計算!$G$2:$G$801, 0)+1))&lt;=31,3,IF(INDEX(ERP資料!$G:$G, (MATCH(109, 輔助計算!$G$2:$G$801, 0)+1))&lt;=46.5,2,1)), IF(INDEX(ERP資料!$G:$G, (MATCH(109, 輔助計算!$G$2:$G$801, 0)+1))&lt;=790,3,IF(INDEX(ERP資料!$G:$G, (MATCH(109, 輔助計算!$G$2:$G$801, 0)+1))&lt;=1181,2,1)))=2,TEXT(INDEX(ERP資料!$G:$G, (MATCH(109, 輔助計算!$G$2:$G$801, 0)+1)),"0.##")&amp;"+"&amp;TEXT(INDEX(ERP資料!$G:$G, (MATCH(109, 輔助計算!$G$2:$G$801, 0)+1)),"0.##"),TEXT(INDEX(ERP資料!$G:$G, (MATCH(109, 輔助計算!$G$2:$G$801, 0)+1)),"0.##")&amp;"+"&amp;TEXT(INDEX(ERP資料!$G:$G, (MATCH(109, 輔助計算!$G$2:$G$801, 0)+1)),"0.##")&amp;"+"&amp;TEXT(INDEX(ERP資料!$G:$G, (MATCH(109, 輔助計算!$G$2:$G$801, 0)+1)),"0.##")))&amp;"-"&amp;INT(INDEX(輔助計算!$D:$D, (MATCH(109, 輔助計算!$G$2:$G$801, 0)+1))/IF(INDEX(ERP資料!$G:$G, (MATCH(109, 輔助計算!$G$2:$G$801, 0)+1))&lt;100, IF(INDEX(ERP資料!$G:$G, (MATCH(109, 輔助計算!$G$2:$G$801, 0)+1))&lt;=31,3,IF(INDEX(ERP資料!$G:$G, (MATCH(109, 輔助計算!$G$2:$G$801, 0)+1))&lt;=46.5,2,1)), IF(INDEX(ERP資料!$G:$G, (MATCH(109, 輔助計算!$G$2:$G$801, 0)+1))&lt;=790,3,IF(INDEX(ERP資料!$G:$G, (MATCH(109, 輔助計算!$G$2:$G$801, 0)+1))&lt;=1181,2,1)))), "")&amp;IF(AND(IF(INT(INDEX(輔助計算!$D:$D, (MATCH(109, 輔助計算!$G$2:$G$801, 0)+1))/IF(INDEX(ERP資料!$G:$G, (MATCH(109, 輔助計算!$G$2:$G$801, 0)+1))&lt;100, IF(INDEX(ERP資料!$G:$G, (MATCH(109, 輔助計算!$G$2:$G$801, 0)+1))&lt;=31,3,IF(INDEX(ERP資料!$G:$G, (MATCH(109, 輔助計算!$G$2:$G$801, 0)+1))&lt;=46.5,2,1)), IF(INDEX(ERP資料!$G:$G, (MATCH(109, 輔助計算!$G$2:$G$801, 0)+1))&lt;=790,3,IF(INDEX(ERP資料!$G:$G, (MATCH(109, 輔助計算!$G$2:$G$801, 0)+1))&lt;=1181,2,1))))&gt;0, IF(IF(INDEX(ERP資料!$G:$G, (MATCH(109, 輔助計算!$G$2:$G$801, 0)+1))&lt;100, IF(INDEX(ERP資料!$G:$G, (MATCH(109, 輔助計算!$G$2:$G$801, 0)+1))&lt;=31,3,IF(INDEX(ERP資料!$G:$G, (MATCH(109, 輔助計算!$G$2:$G$801, 0)+1))&lt;=46.5,2,1)), IF(INDEX(ERP資料!$G:$G, (MATCH(109, 輔助計算!$G$2:$G$801, 0)+1))&lt;=790,3,IF(INDEX(ERP資料!$G:$G, (MATCH(109, 輔助計算!$G$2:$G$801, 0)+1))&lt;=1181,2,1)))=1,TEXT(INDEX(ERP資料!$G:$G, (MATCH(109, 輔助計算!$G$2:$G$801, 0)+1)),"0.##"),IF(IF(INDEX(ERP資料!$G:$G, (MATCH(109, 輔助計算!$G$2:$G$801, 0)+1))&lt;100, IF(INDEX(ERP資料!$G:$G, (MATCH(109, 輔助計算!$G$2:$G$801, 0)+1))&lt;=31,3,IF(INDEX(ERP資料!$G:$G, (MATCH(109, 輔助計算!$G$2:$G$801, 0)+1))&lt;=46.5,2,1)), IF(INDEX(ERP資料!$G:$G, (MATCH(109, 輔助計算!$G$2:$G$801, 0)+1))&lt;=790,3,IF(INDEX(ERP資料!$G:$G, (MATCH(109, 輔助計算!$G$2:$G$801, 0)+1))&lt;=1181,2,1)))=2,TEXT(INDEX(ERP資料!$G:$G, (MATCH(109, 輔助計算!$G$2:$G$801, 0)+1)),"0.##")&amp;"+"&amp;TEXT(INDEX(ERP資料!$G:$G, (MATCH(109, 輔助計算!$G$2:$G$801, 0)+1)),"0.##"),TEXT(INDEX(ERP資料!$G:$G, (MATCH(109, 輔助計算!$G$2:$G$801, 0)+1)),"0.##")&amp;"+"&amp;TEXT(INDEX(ERP資料!$G:$G, (MATCH(109, 輔助計算!$G$2:$G$801, 0)+1)),"0.##")&amp;"+"&amp;TEXT(INDEX(ERP資料!$G:$G, (MATCH(109, 輔助計算!$G$2:$G$801, 0)+1)),"0.##")))&amp;"-"&amp;INT(INDEX(輔助計算!$D:$D, (MATCH(109, 輔助計算!$G$2:$G$801, 0)+1))/IF(INDEX(ERP資料!$G:$G, (MATCH(109, 輔助計算!$G$2:$G$801, 0)+1))&lt;100, IF(INDEX(ERP資料!$G:$G, (MATCH(109, 輔助計算!$G$2:$G$801, 0)+1))&lt;=31,3,IF(INDEX(ERP資料!$G:$G, (MATCH(109, 輔助計算!$G$2:$G$801, 0)+1))&lt;=46.5,2,1)), IF(INDEX(ERP資料!$G:$G, (MATCH(109, 輔助計算!$G$2:$G$801, 0)+1))&lt;=790,3,IF(INDEX(ERP資料!$G:$G, (MATCH(109, 輔助計算!$G$2:$G$801, 0)+1))&lt;=1181,2,1)))), "")&lt;&gt;"",IF(MOD(INDEX(輔助計算!$D:$D, (MATCH(109, 輔助計算!$G$2:$G$801, 0)+1)),IF(INDEX(ERP資料!$G:$G, (MATCH(109, 輔助計算!$G$2:$G$801, 0)+1))&lt;100, IF(INDEX(ERP資料!$G:$G, (MATCH(109, 輔助計算!$G$2:$G$801, 0)+1))&lt;=31,3,IF(INDEX(ERP資料!$G:$G, (MATCH(109, 輔助計算!$G$2:$G$801, 0)+1))&lt;=46.5,2,1)), IF(INDEX(ERP資料!$G:$G, (MATCH(109, 輔助計算!$G$2:$G$801, 0)+1))&lt;=790,3,IF(INDEX(ERP資料!$G:$G, (MATCH(109, 輔助計算!$G$2:$G$801, 0)+1))&lt;=1181,2,1))))=0,"",IF(MOD(INDEX(輔助計算!$D:$D, (MATCH(109, 輔助計算!$G$2:$G$801, 0)+1)),IF(INDEX(ERP資料!$G:$G, (MATCH(109, 輔助計算!$G$2:$G$801, 0)+1))&lt;100, IF(INDEX(ERP資料!$G:$G, (MATCH(109, 輔助計算!$G$2:$G$801, 0)+1))&lt;=31,3,IF(INDEX(ERP資料!$G:$G, (MATCH(109, 輔助計算!$G$2:$G$801, 0)+1))&lt;=46.5,2,1)), IF(INDEX(ERP資料!$G:$G, (MATCH(109, 輔助計算!$G$2:$G$801, 0)+1))&lt;=790,3,IF(INDEX(ERP資料!$G:$G, (MATCH(109, 輔助計算!$G$2:$G$801, 0)+1))&lt;=1181,2,1))))=0,"",IF(MOD(INDEX(輔助計算!$D:$D, (MATCH(109, 輔助計算!$G$2:$G$801, 0)+1)),IF(INDEX(ERP資料!$G:$G, (MATCH(109, 輔助計算!$G$2:$G$801, 0)+1))&lt;100, IF(INDEX(ERP資料!$G:$G, (MATCH(109, 輔助計算!$G$2:$G$801, 0)+1))&lt;=31,3,IF(INDEX(ERP資料!$G:$G, (MATCH(109, 輔助計算!$G$2:$G$801, 0)+1))&lt;=46.5,2,1)), IF(INDEX(ERP資料!$G:$G, (MATCH(109, 輔助計算!$G$2:$G$801, 0)+1))&lt;=790,3,IF(INDEX(ERP資料!$G:$G, (MATCH(109, 輔助計算!$G$2:$G$801, 0)+1))&lt;=1181,2,1))))=1,TEXT(INDEX(ERP資料!$G:$G, (MATCH(109, 輔助計算!$G$2:$G$801, 0)+1)),"0.##"),IF(MOD(INDEX(輔助計算!$D:$D, (MATCH(109, 輔助計算!$G$2:$G$801, 0)+1)),IF(INDEX(ERP資料!$G:$G, (MATCH(109, 輔助計算!$G$2:$G$801, 0)+1))&lt;100, IF(INDEX(ERP資料!$G:$G, (MATCH(109, 輔助計算!$G$2:$G$801, 0)+1))&lt;=31,3,IF(INDEX(ERP資料!$G:$G, (MATCH(109, 輔助計算!$G$2:$G$801, 0)+1))&lt;=46.5,2,1)), IF(INDEX(ERP資料!$G:$G, (MATCH(109, 輔助計算!$G$2:$G$801, 0)+1))&lt;=790,3,IF(INDEX(ERP資料!$G:$G, (MATCH(109, 輔助計算!$G$2:$G$801, 0)+1))&lt;=1181,2,1))))=2,TEXT(INDEX(ERP資料!$G:$G, (MATCH(109, 輔助計算!$G$2:$G$801, 0)+1)),"0.##")&amp;"+"&amp;TEXT(INDEX(ERP資料!$G:$G, (MATCH(109, 輔助計算!$G$2:$G$801, 0)+1)),"0.##"),TEXT(INDEX(ERP資料!$G:$G, (MATCH(109, 輔助計算!$G$2:$G$801, 0)+1)),"0.##")&amp;"+"&amp;TEXT(INDEX(ERP資料!$G:$G, (MATCH(109, 輔助計算!$G$2:$G$801, 0)+1)),"0.##")&amp;"+"&amp;TEXT(INDEX(ERP資料!$G:$G, (MATCH(109, 輔助計算!$G$2:$G$801, 0)+1)),"0.##"))))&amp;"-1")&lt;&gt;""),"  ","")&amp;IF(MOD(INDEX(輔助計算!$D:$D, (MATCH(109, 輔助計算!$G$2:$G$801, 0)+1)),IF(INDEX(ERP資料!$G:$G, (MATCH(109, 輔助計算!$G$2:$G$801, 0)+1))&lt;100, IF(INDEX(ERP資料!$G:$G, (MATCH(109, 輔助計算!$G$2:$G$801, 0)+1))&lt;=31,3,IF(INDEX(ERP資料!$G:$G, (MATCH(109, 輔助計算!$G$2:$G$801, 0)+1))&lt;=46.5,2,1)), IF(INDEX(ERP資料!$G:$G, (MATCH(109, 輔助計算!$G$2:$G$801, 0)+1))&lt;=790,3,IF(INDEX(ERP資料!$G:$G, (MATCH(109, 輔助計算!$G$2:$G$801, 0)+1))&lt;=1181,2,1))))=0,"",IF(MOD(INDEX(輔助計算!$D:$D, (MATCH(109, 輔助計算!$G$2:$G$801, 0)+1)),IF(INDEX(ERP資料!$G:$G, (MATCH(109, 輔助計算!$G$2:$G$801, 0)+1))&lt;100, IF(INDEX(ERP資料!$G:$G, (MATCH(109, 輔助計算!$G$2:$G$801, 0)+1))&lt;=31,3,IF(INDEX(ERP資料!$G:$G, (MATCH(109, 輔助計算!$G$2:$G$801, 0)+1))&lt;=46.5,2,1)), IF(INDEX(ERP資料!$G:$G, (MATCH(109, 輔助計算!$G$2:$G$801, 0)+1))&lt;=790,3,IF(INDEX(ERP資料!$G:$G, (MATCH(109, 輔助計算!$G$2:$G$801, 0)+1))&lt;=1181,2,1))))=0,"",IF(MOD(INDEX(輔助計算!$D:$D, (MATCH(109, 輔助計算!$G$2:$G$801, 0)+1)),IF(INDEX(ERP資料!$G:$G, (MATCH(109, 輔助計算!$G$2:$G$801, 0)+1))&lt;100, IF(INDEX(ERP資料!$G:$G, (MATCH(109, 輔助計算!$G$2:$G$801, 0)+1))&lt;=31,3,IF(INDEX(ERP資料!$G:$G, (MATCH(109, 輔助計算!$G$2:$G$801, 0)+1))&lt;=46.5,2,1)), IF(INDEX(ERP資料!$G:$G, (MATCH(109, 輔助計算!$G$2:$G$801, 0)+1))&lt;=790,3,IF(INDEX(ERP資料!$G:$G, (MATCH(109, 輔助計算!$G$2:$G$801, 0)+1))&lt;=1181,2,1))))=1,TEXT(INDEX(ERP資料!$G:$G, (MATCH(109, 輔助計算!$G$2:$G$801, 0)+1)),"0.##"),IF(MOD(INDEX(輔助計算!$D:$D, (MATCH(109, 輔助計算!$G$2:$G$801, 0)+1)),IF(INDEX(ERP資料!$G:$G, (MATCH(109, 輔助計算!$G$2:$G$801, 0)+1))&lt;100, IF(INDEX(ERP資料!$G:$G, (MATCH(109, 輔助計算!$G$2:$G$801, 0)+1))&lt;=31,3,IF(INDEX(ERP資料!$G:$G, (MATCH(109, 輔助計算!$G$2:$G$801, 0)+1))&lt;=46.5,2,1)), IF(INDEX(ERP資料!$G:$G, (MATCH(109, 輔助計算!$G$2:$G$801, 0)+1))&lt;=790,3,IF(INDEX(ERP資料!$G:$G, (MATCH(109, 輔助計算!$G$2:$G$801, 0)+1))&lt;=1181,2,1))))=2,TEXT(INDEX(ERP資料!$G:$G, (MATCH(109, 輔助計算!$G$2:$G$801, 0)+1)),"0.##")&amp;"+"&amp;TEXT(INDEX(ERP資料!$G:$G, (MATCH(109, 輔助計算!$G$2:$G$801, 0)+1)),"0.##"),TEXT(INDEX(ERP資料!$G:$G, (MATCH(109, 輔助計算!$G$2:$G$801, 0)+1)),"0.##")&amp;"+"&amp;TEXT(INDEX(ERP資料!$G:$G, (MATCH(109, 輔助計算!$G$2:$G$801, 0)+1)),"0.##")&amp;"+"&amp;TEXT(INDEX(ERP資料!$G:$G, (MATCH(109, 輔助計算!$G$2:$G$801, 0)+1)),"0.##"))))&amp;"-1")), ""), "")</f>
        <v/>
      </c>
      <c r="K110" s="16" t="n"/>
      <c r="L110" s="14">
        <f>IFERROR(IF(AND(IFERROR(INDEX(ERP資料!$A:$A, (MATCH(109, 輔助計算!$G$2:$G$801, 0)+1)), "")&lt;&gt;"", IFERROR(INDEX(ERP資料!$A:$A, (MATCH(109, 輔助計算!$G$2:$G$801, 0)+1)), "")&lt;&gt;IFERROR(INDEX(ERP資料!$A:$A, MATCH(108, 輔助計算!$G$2:$G$801, 0)+1), "")), INDEX(ERP資料!$B:$B, (MATCH(109, 輔助計算!$G$2:$G$801, 0)+1)), ""), "")</f>
        <v/>
      </c>
      <c r="M110" s="17" t="n"/>
    </row>
    <row r="111">
      <c r="A111" s="10">
        <f>IFERROR(IF(AND(IFERROR(INDEX(ERP資料!$A:$A, (MATCH(110, 輔助計算!$G$2:$G$801, 0)+1)), "")&lt;&gt;"", IFERROR(INDEX(ERP資料!$A:$A, (MATCH(110, 輔助計算!$G$2:$G$801, 0)+1)), "")&lt;&gt;IFERROR(INDEX(ERP資料!$A:$A, MATCH(109, 輔助計算!$G$2:$G$801, 0)+1), "")), IFERROR(INDEX(ERP資料!$A:$A, (MATCH(110, 輔助計算!$G$2:$G$801, 0)+1)), ""), ""), "")</f>
        <v/>
      </c>
      <c r="B111" s="10">
        <f>IFERROR(IF(AND(IFERROR(INDEX(ERP資料!$A:$A, (MATCH(110, 輔助計算!$G$2:$G$801, 0)+1)), "")&lt;&gt;"", IFERROR(INDEX(ERP資料!$A:$A, (MATCH(110, 輔助計算!$G$2:$G$801, 0)+1)), "")&lt;&gt;IFERROR(INDEX(ERP資料!$A:$A, MATCH(109, 輔助計算!$G$2:$G$801, 0)+1), "")), INDEX(ERP資料!$S:$S, (MATCH(110, 輔助計算!$G$2:$G$801, 0)+1)), ""), "")</f>
        <v/>
      </c>
      <c r="C111" s="19">
        <f>IFERROR(IF(AND(IFERROR(INDEX(ERP資料!$A:$A, (MATCH(110, 輔助計算!$G$2:$G$801, 0)+1)), "")&lt;&gt;"", IFERROR(INDEX(ERP資料!$A:$A, (MATCH(110, 輔助計算!$G$2:$G$801, 0)+1)), "")&lt;&gt;IFERROR(INDEX(ERP資料!$A:$A, MATCH(109, 輔助計算!$G$2:$G$801, 0)+1), "")), IFERROR(VLOOKUP(LEFT(INDEX(ERP資料!$S:$S, (MATCH(110, 輔助計算!$G$2:$G$801, 0)+1)), 4), 紙管對照表!$A:$C, 3, FALSE), ""), ""), "")</f>
        <v/>
      </c>
      <c r="D111" s="16" t="n"/>
      <c r="E111" s="10">
        <f>IFERROR(IF(INDEX(ERP資料!$H:$H, (MATCH(110, 輔助計算!$G$2:$G$801, 0)+1))="","",INDEX(ERP資料!$H:$H, (MATCH(110, 輔助計算!$G$2:$G$801, 0)+1))), "")</f>
        <v/>
      </c>
      <c r="F111" s="10">
        <f>IFERROR(IF(INDEX(ERP資料!$E:$E, (MATCH(110, 輔助計算!$G$2:$G$801, 0)+1))="","",TRIM(INDEX(ERP資料!$E:$E, (MATCH(110, 輔助計算!$G$2:$G$801, 0)+1)))), "")</f>
        <v/>
      </c>
      <c r="G111" s="10">
        <f>IFERROR(IF(INDEX(ERP資料!$F:$F, (MATCH(110, 輔助計算!$G$2:$G$801, 0)+1))="","",INDEX(ERP資料!$F:$F, (MATCH(110, 輔助計算!$G$2:$G$801, 0)+1))), "")</f>
        <v/>
      </c>
      <c r="H111" s="10">
        <f>IFERROR(IF(INDEX(ERP資料!$G:$G, (MATCH(110, 輔助計算!$G$2:$G$801, 0)+1))="","",INDEX(ERP資料!$G:$G, (MATCH(110, 輔助計算!$G$2:$G$801, 0)+1))), "")</f>
        <v/>
      </c>
      <c r="I111" s="15">
        <f>IFERROR(INDEX(輔助計算!$D:$D, (MATCH(110, 輔助計算!$G$2:$G$801, 0)+1)), "")</f>
        <v/>
      </c>
      <c r="J111" s="15">
        <f>IFERROR(IF(AND(INDEX(輔助計算!$D:$D, (MATCH(110, 輔助計算!$G$2:$G$801, 0)+1))&lt;&gt;"", INDEX(ERP資料!$G:$G, (MATCH(110, 輔助計算!$G$2:$G$801, 0)+1))&lt;&gt;""), TRIM(IF(INT(INDEX(輔助計算!$D:$D, (MATCH(110, 輔助計算!$G$2:$G$801, 0)+1))/IF(INDEX(ERP資料!$G:$G, (MATCH(110, 輔助計算!$G$2:$G$801, 0)+1))&lt;100, IF(INDEX(ERP資料!$G:$G, (MATCH(110, 輔助計算!$G$2:$G$801, 0)+1))&lt;=31,3,IF(INDEX(ERP資料!$G:$G, (MATCH(110, 輔助計算!$G$2:$G$801, 0)+1))&lt;=46.5,2,1)), IF(INDEX(ERP資料!$G:$G, (MATCH(110, 輔助計算!$G$2:$G$801, 0)+1))&lt;=790,3,IF(INDEX(ERP資料!$G:$G, (MATCH(110, 輔助計算!$G$2:$G$801, 0)+1))&lt;=1181,2,1))))&gt;0, IF(IF(INDEX(ERP資料!$G:$G, (MATCH(110, 輔助計算!$G$2:$G$801, 0)+1))&lt;100, IF(INDEX(ERP資料!$G:$G, (MATCH(110, 輔助計算!$G$2:$G$801, 0)+1))&lt;=31,3,IF(INDEX(ERP資料!$G:$G, (MATCH(110, 輔助計算!$G$2:$G$801, 0)+1))&lt;=46.5,2,1)), IF(INDEX(ERP資料!$G:$G, (MATCH(110, 輔助計算!$G$2:$G$801, 0)+1))&lt;=790,3,IF(INDEX(ERP資料!$G:$G, (MATCH(110, 輔助計算!$G$2:$G$801, 0)+1))&lt;=1181,2,1)))=1,TEXT(INDEX(ERP資料!$G:$G, (MATCH(110, 輔助計算!$G$2:$G$801, 0)+1)),"0.##"),IF(IF(INDEX(ERP資料!$G:$G, (MATCH(110, 輔助計算!$G$2:$G$801, 0)+1))&lt;100, IF(INDEX(ERP資料!$G:$G, (MATCH(110, 輔助計算!$G$2:$G$801, 0)+1))&lt;=31,3,IF(INDEX(ERP資料!$G:$G, (MATCH(110, 輔助計算!$G$2:$G$801, 0)+1))&lt;=46.5,2,1)), IF(INDEX(ERP資料!$G:$G, (MATCH(110, 輔助計算!$G$2:$G$801, 0)+1))&lt;=790,3,IF(INDEX(ERP資料!$G:$G, (MATCH(110, 輔助計算!$G$2:$G$801, 0)+1))&lt;=1181,2,1)))=2,TEXT(INDEX(ERP資料!$G:$G, (MATCH(110, 輔助計算!$G$2:$G$801, 0)+1)),"0.##")&amp;"+"&amp;TEXT(INDEX(ERP資料!$G:$G, (MATCH(110, 輔助計算!$G$2:$G$801, 0)+1)),"0.##"),TEXT(INDEX(ERP資料!$G:$G, (MATCH(110, 輔助計算!$G$2:$G$801, 0)+1)),"0.##")&amp;"+"&amp;TEXT(INDEX(ERP資料!$G:$G, (MATCH(110, 輔助計算!$G$2:$G$801, 0)+1)),"0.##")&amp;"+"&amp;TEXT(INDEX(ERP資料!$G:$G, (MATCH(110, 輔助計算!$G$2:$G$801, 0)+1)),"0.##")))&amp;"-"&amp;INT(INDEX(輔助計算!$D:$D, (MATCH(110, 輔助計算!$G$2:$G$801, 0)+1))/IF(INDEX(ERP資料!$G:$G, (MATCH(110, 輔助計算!$G$2:$G$801, 0)+1))&lt;100, IF(INDEX(ERP資料!$G:$G, (MATCH(110, 輔助計算!$G$2:$G$801, 0)+1))&lt;=31,3,IF(INDEX(ERP資料!$G:$G, (MATCH(110, 輔助計算!$G$2:$G$801, 0)+1))&lt;=46.5,2,1)), IF(INDEX(ERP資料!$G:$G, (MATCH(110, 輔助計算!$G$2:$G$801, 0)+1))&lt;=790,3,IF(INDEX(ERP資料!$G:$G, (MATCH(110, 輔助計算!$G$2:$G$801, 0)+1))&lt;=1181,2,1)))), "")&amp;IF(AND(IF(INT(INDEX(輔助計算!$D:$D, (MATCH(110, 輔助計算!$G$2:$G$801, 0)+1))/IF(INDEX(ERP資料!$G:$G, (MATCH(110, 輔助計算!$G$2:$G$801, 0)+1))&lt;100, IF(INDEX(ERP資料!$G:$G, (MATCH(110, 輔助計算!$G$2:$G$801, 0)+1))&lt;=31,3,IF(INDEX(ERP資料!$G:$G, (MATCH(110, 輔助計算!$G$2:$G$801, 0)+1))&lt;=46.5,2,1)), IF(INDEX(ERP資料!$G:$G, (MATCH(110, 輔助計算!$G$2:$G$801, 0)+1))&lt;=790,3,IF(INDEX(ERP資料!$G:$G, (MATCH(110, 輔助計算!$G$2:$G$801, 0)+1))&lt;=1181,2,1))))&gt;0, IF(IF(INDEX(ERP資料!$G:$G, (MATCH(110, 輔助計算!$G$2:$G$801, 0)+1))&lt;100, IF(INDEX(ERP資料!$G:$G, (MATCH(110, 輔助計算!$G$2:$G$801, 0)+1))&lt;=31,3,IF(INDEX(ERP資料!$G:$G, (MATCH(110, 輔助計算!$G$2:$G$801, 0)+1))&lt;=46.5,2,1)), IF(INDEX(ERP資料!$G:$G, (MATCH(110, 輔助計算!$G$2:$G$801, 0)+1))&lt;=790,3,IF(INDEX(ERP資料!$G:$G, (MATCH(110, 輔助計算!$G$2:$G$801, 0)+1))&lt;=1181,2,1)))=1,TEXT(INDEX(ERP資料!$G:$G, (MATCH(110, 輔助計算!$G$2:$G$801, 0)+1)),"0.##"),IF(IF(INDEX(ERP資料!$G:$G, (MATCH(110, 輔助計算!$G$2:$G$801, 0)+1))&lt;100, IF(INDEX(ERP資料!$G:$G, (MATCH(110, 輔助計算!$G$2:$G$801, 0)+1))&lt;=31,3,IF(INDEX(ERP資料!$G:$G, (MATCH(110, 輔助計算!$G$2:$G$801, 0)+1))&lt;=46.5,2,1)), IF(INDEX(ERP資料!$G:$G, (MATCH(110, 輔助計算!$G$2:$G$801, 0)+1))&lt;=790,3,IF(INDEX(ERP資料!$G:$G, (MATCH(110, 輔助計算!$G$2:$G$801, 0)+1))&lt;=1181,2,1)))=2,TEXT(INDEX(ERP資料!$G:$G, (MATCH(110, 輔助計算!$G$2:$G$801, 0)+1)),"0.##")&amp;"+"&amp;TEXT(INDEX(ERP資料!$G:$G, (MATCH(110, 輔助計算!$G$2:$G$801, 0)+1)),"0.##"),TEXT(INDEX(ERP資料!$G:$G, (MATCH(110, 輔助計算!$G$2:$G$801, 0)+1)),"0.##")&amp;"+"&amp;TEXT(INDEX(ERP資料!$G:$G, (MATCH(110, 輔助計算!$G$2:$G$801, 0)+1)),"0.##")&amp;"+"&amp;TEXT(INDEX(ERP資料!$G:$G, (MATCH(110, 輔助計算!$G$2:$G$801, 0)+1)),"0.##")))&amp;"-"&amp;INT(INDEX(輔助計算!$D:$D, (MATCH(110, 輔助計算!$G$2:$G$801, 0)+1))/IF(INDEX(ERP資料!$G:$G, (MATCH(110, 輔助計算!$G$2:$G$801, 0)+1))&lt;100, IF(INDEX(ERP資料!$G:$G, (MATCH(110, 輔助計算!$G$2:$G$801, 0)+1))&lt;=31,3,IF(INDEX(ERP資料!$G:$G, (MATCH(110, 輔助計算!$G$2:$G$801, 0)+1))&lt;=46.5,2,1)), IF(INDEX(ERP資料!$G:$G, (MATCH(110, 輔助計算!$G$2:$G$801, 0)+1))&lt;=790,3,IF(INDEX(ERP資料!$G:$G, (MATCH(110, 輔助計算!$G$2:$G$801, 0)+1))&lt;=1181,2,1)))), "")&lt;&gt;"",IF(MOD(INDEX(輔助計算!$D:$D, (MATCH(110, 輔助計算!$G$2:$G$801, 0)+1)),IF(INDEX(ERP資料!$G:$G, (MATCH(110, 輔助計算!$G$2:$G$801, 0)+1))&lt;100, IF(INDEX(ERP資料!$G:$G, (MATCH(110, 輔助計算!$G$2:$G$801, 0)+1))&lt;=31,3,IF(INDEX(ERP資料!$G:$G, (MATCH(110, 輔助計算!$G$2:$G$801, 0)+1))&lt;=46.5,2,1)), IF(INDEX(ERP資料!$G:$G, (MATCH(110, 輔助計算!$G$2:$G$801, 0)+1))&lt;=790,3,IF(INDEX(ERP資料!$G:$G, (MATCH(110, 輔助計算!$G$2:$G$801, 0)+1))&lt;=1181,2,1))))=0,"",IF(MOD(INDEX(輔助計算!$D:$D, (MATCH(110, 輔助計算!$G$2:$G$801, 0)+1)),IF(INDEX(ERP資料!$G:$G, (MATCH(110, 輔助計算!$G$2:$G$801, 0)+1))&lt;100, IF(INDEX(ERP資料!$G:$G, (MATCH(110, 輔助計算!$G$2:$G$801, 0)+1))&lt;=31,3,IF(INDEX(ERP資料!$G:$G, (MATCH(110, 輔助計算!$G$2:$G$801, 0)+1))&lt;=46.5,2,1)), IF(INDEX(ERP資料!$G:$G, (MATCH(110, 輔助計算!$G$2:$G$801, 0)+1))&lt;=790,3,IF(INDEX(ERP資料!$G:$G, (MATCH(110, 輔助計算!$G$2:$G$801, 0)+1))&lt;=1181,2,1))))=0,"",IF(MOD(INDEX(輔助計算!$D:$D, (MATCH(110, 輔助計算!$G$2:$G$801, 0)+1)),IF(INDEX(ERP資料!$G:$G, (MATCH(110, 輔助計算!$G$2:$G$801, 0)+1))&lt;100, IF(INDEX(ERP資料!$G:$G, (MATCH(110, 輔助計算!$G$2:$G$801, 0)+1))&lt;=31,3,IF(INDEX(ERP資料!$G:$G, (MATCH(110, 輔助計算!$G$2:$G$801, 0)+1))&lt;=46.5,2,1)), IF(INDEX(ERP資料!$G:$G, (MATCH(110, 輔助計算!$G$2:$G$801, 0)+1))&lt;=790,3,IF(INDEX(ERP資料!$G:$G, (MATCH(110, 輔助計算!$G$2:$G$801, 0)+1))&lt;=1181,2,1))))=1,TEXT(INDEX(ERP資料!$G:$G, (MATCH(110, 輔助計算!$G$2:$G$801, 0)+1)),"0.##"),IF(MOD(INDEX(輔助計算!$D:$D, (MATCH(110, 輔助計算!$G$2:$G$801, 0)+1)),IF(INDEX(ERP資料!$G:$G, (MATCH(110, 輔助計算!$G$2:$G$801, 0)+1))&lt;100, IF(INDEX(ERP資料!$G:$G, (MATCH(110, 輔助計算!$G$2:$G$801, 0)+1))&lt;=31,3,IF(INDEX(ERP資料!$G:$G, (MATCH(110, 輔助計算!$G$2:$G$801, 0)+1))&lt;=46.5,2,1)), IF(INDEX(ERP資料!$G:$G, (MATCH(110, 輔助計算!$G$2:$G$801, 0)+1))&lt;=790,3,IF(INDEX(ERP資料!$G:$G, (MATCH(110, 輔助計算!$G$2:$G$801, 0)+1))&lt;=1181,2,1))))=2,TEXT(INDEX(ERP資料!$G:$G, (MATCH(110, 輔助計算!$G$2:$G$801, 0)+1)),"0.##")&amp;"+"&amp;TEXT(INDEX(ERP資料!$G:$G, (MATCH(110, 輔助計算!$G$2:$G$801, 0)+1)),"0.##"),TEXT(INDEX(ERP資料!$G:$G, (MATCH(110, 輔助計算!$G$2:$G$801, 0)+1)),"0.##")&amp;"+"&amp;TEXT(INDEX(ERP資料!$G:$G, (MATCH(110, 輔助計算!$G$2:$G$801, 0)+1)),"0.##")&amp;"+"&amp;TEXT(INDEX(ERP資料!$G:$G, (MATCH(110, 輔助計算!$G$2:$G$801, 0)+1)),"0.##"))))&amp;"-1")&lt;&gt;""),"  ","")&amp;IF(MOD(INDEX(輔助計算!$D:$D, (MATCH(110, 輔助計算!$G$2:$G$801, 0)+1)),IF(INDEX(ERP資料!$G:$G, (MATCH(110, 輔助計算!$G$2:$G$801, 0)+1))&lt;100, IF(INDEX(ERP資料!$G:$G, (MATCH(110, 輔助計算!$G$2:$G$801, 0)+1))&lt;=31,3,IF(INDEX(ERP資料!$G:$G, (MATCH(110, 輔助計算!$G$2:$G$801, 0)+1))&lt;=46.5,2,1)), IF(INDEX(ERP資料!$G:$G, (MATCH(110, 輔助計算!$G$2:$G$801, 0)+1))&lt;=790,3,IF(INDEX(ERP資料!$G:$G, (MATCH(110, 輔助計算!$G$2:$G$801, 0)+1))&lt;=1181,2,1))))=0,"",IF(MOD(INDEX(輔助計算!$D:$D, (MATCH(110, 輔助計算!$G$2:$G$801, 0)+1)),IF(INDEX(ERP資料!$G:$G, (MATCH(110, 輔助計算!$G$2:$G$801, 0)+1))&lt;100, IF(INDEX(ERP資料!$G:$G, (MATCH(110, 輔助計算!$G$2:$G$801, 0)+1))&lt;=31,3,IF(INDEX(ERP資料!$G:$G, (MATCH(110, 輔助計算!$G$2:$G$801, 0)+1))&lt;=46.5,2,1)), IF(INDEX(ERP資料!$G:$G, (MATCH(110, 輔助計算!$G$2:$G$801, 0)+1))&lt;=790,3,IF(INDEX(ERP資料!$G:$G, (MATCH(110, 輔助計算!$G$2:$G$801, 0)+1))&lt;=1181,2,1))))=0,"",IF(MOD(INDEX(輔助計算!$D:$D, (MATCH(110, 輔助計算!$G$2:$G$801, 0)+1)),IF(INDEX(ERP資料!$G:$G, (MATCH(110, 輔助計算!$G$2:$G$801, 0)+1))&lt;100, IF(INDEX(ERP資料!$G:$G, (MATCH(110, 輔助計算!$G$2:$G$801, 0)+1))&lt;=31,3,IF(INDEX(ERP資料!$G:$G, (MATCH(110, 輔助計算!$G$2:$G$801, 0)+1))&lt;=46.5,2,1)), IF(INDEX(ERP資料!$G:$G, (MATCH(110, 輔助計算!$G$2:$G$801, 0)+1))&lt;=790,3,IF(INDEX(ERP資料!$G:$G, (MATCH(110, 輔助計算!$G$2:$G$801, 0)+1))&lt;=1181,2,1))))=1,TEXT(INDEX(ERP資料!$G:$G, (MATCH(110, 輔助計算!$G$2:$G$801, 0)+1)),"0.##"),IF(MOD(INDEX(輔助計算!$D:$D, (MATCH(110, 輔助計算!$G$2:$G$801, 0)+1)),IF(INDEX(ERP資料!$G:$G, (MATCH(110, 輔助計算!$G$2:$G$801, 0)+1))&lt;100, IF(INDEX(ERP資料!$G:$G, (MATCH(110, 輔助計算!$G$2:$G$801, 0)+1))&lt;=31,3,IF(INDEX(ERP資料!$G:$G, (MATCH(110, 輔助計算!$G$2:$G$801, 0)+1))&lt;=46.5,2,1)), IF(INDEX(ERP資料!$G:$G, (MATCH(110, 輔助計算!$G$2:$G$801, 0)+1))&lt;=790,3,IF(INDEX(ERP資料!$G:$G, (MATCH(110, 輔助計算!$G$2:$G$801, 0)+1))&lt;=1181,2,1))))=2,TEXT(INDEX(ERP資料!$G:$G, (MATCH(110, 輔助計算!$G$2:$G$801, 0)+1)),"0.##")&amp;"+"&amp;TEXT(INDEX(ERP資料!$G:$G, (MATCH(110, 輔助計算!$G$2:$G$801, 0)+1)),"0.##"),TEXT(INDEX(ERP資料!$G:$G, (MATCH(110, 輔助計算!$G$2:$G$801, 0)+1)),"0.##")&amp;"+"&amp;TEXT(INDEX(ERP資料!$G:$G, (MATCH(110, 輔助計算!$G$2:$G$801, 0)+1)),"0.##")&amp;"+"&amp;TEXT(INDEX(ERP資料!$G:$G, (MATCH(110, 輔助計算!$G$2:$G$801, 0)+1)),"0.##"))))&amp;"-1")), ""), "")</f>
        <v/>
      </c>
      <c r="K111" s="16" t="n"/>
      <c r="L111" s="14">
        <f>IFERROR(IF(AND(IFERROR(INDEX(ERP資料!$A:$A, (MATCH(110, 輔助計算!$G$2:$G$801, 0)+1)), "")&lt;&gt;"", IFERROR(INDEX(ERP資料!$A:$A, (MATCH(110, 輔助計算!$G$2:$G$801, 0)+1)), "")&lt;&gt;IFERROR(INDEX(ERP資料!$A:$A, MATCH(109, 輔助計算!$G$2:$G$801, 0)+1), "")), INDEX(ERP資料!$B:$B, (MATCH(110, 輔助計算!$G$2:$G$801, 0)+1)), ""), "")</f>
        <v/>
      </c>
      <c r="M111" s="17" t="n"/>
    </row>
    <row r="112">
      <c r="A112" s="10">
        <f>IFERROR(IF(AND(IFERROR(INDEX(ERP資料!$A:$A, (MATCH(111, 輔助計算!$G$2:$G$801, 0)+1)), "")&lt;&gt;"", IFERROR(INDEX(ERP資料!$A:$A, (MATCH(111, 輔助計算!$G$2:$G$801, 0)+1)), "")&lt;&gt;IFERROR(INDEX(ERP資料!$A:$A, MATCH(110, 輔助計算!$G$2:$G$801, 0)+1), "")), IFERROR(INDEX(ERP資料!$A:$A, (MATCH(111, 輔助計算!$G$2:$G$801, 0)+1)), ""), ""), "")</f>
        <v/>
      </c>
      <c r="B112" s="10">
        <f>IFERROR(IF(AND(IFERROR(INDEX(ERP資料!$A:$A, (MATCH(111, 輔助計算!$G$2:$G$801, 0)+1)), "")&lt;&gt;"", IFERROR(INDEX(ERP資料!$A:$A, (MATCH(111, 輔助計算!$G$2:$G$801, 0)+1)), "")&lt;&gt;IFERROR(INDEX(ERP資料!$A:$A, MATCH(110, 輔助計算!$G$2:$G$801, 0)+1), "")), INDEX(ERP資料!$S:$S, (MATCH(111, 輔助計算!$G$2:$G$801, 0)+1)), ""), "")</f>
        <v/>
      </c>
      <c r="C112" s="19">
        <f>IFERROR(IF(AND(IFERROR(INDEX(ERP資料!$A:$A, (MATCH(111, 輔助計算!$G$2:$G$801, 0)+1)), "")&lt;&gt;"", IFERROR(INDEX(ERP資料!$A:$A, (MATCH(111, 輔助計算!$G$2:$G$801, 0)+1)), "")&lt;&gt;IFERROR(INDEX(ERP資料!$A:$A, MATCH(110, 輔助計算!$G$2:$G$801, 0)+1), "")), IFERROR(VLOOKUP(LEFT(INDEX(ERP資料!$S:$S, (MATCH(111, 輔助計算!$G$2:$G$801, 0)+1)), 4), 紙管對照表!$A:$C, 3, FALSE), ""), ""), "")</f>
        <v/>
      </c>
      <c r="D112" s="16" t="n"/>
      <c r="E112" s="10">
        <f>IFERROR(IF(INDEX(ERP資料!$H:$H, (MATCH(111, 輔助計算!$G$2:$G$801, 0)+1))="","",INDEX(ERP資料!$H:$H, (MATCH(111, 輔助計算!$G$2:$G$801, 0)+1))), "")</f>
        <v/>
      </c>
      <c r="F112" s="10">
        <f>IFERROR(IF(INDEX(ERP資料!$E:$E, (MATCH(111, 輔助計算!$G$2:$G$801, 0)+1))="","",TRIM(INDEX(ERP資料!$E:$E, (MATCH(111, 輔助計算!$G$2:$G$801, 0)+1)))), "")</f>
        <v/>
      </c>
      <c r="G112" s="10">
        <f>IFERROR(IF(INDEX(ERP資料!$F:$F, (MATCH(111, 輔助計算!$G$2:$G$801, 0)+1))="","",INDEX(ERP資料!$F:$F, (MATCH(111, 輔助計算!$G$2:$G$801, 0)+1))), "")</f>
        <v/>
      </c>
      <c r="H112" s="10">
        <f>IFERROR(IF(INDEX(ERP資料!$G:$G, (MATCH(111, 輔助計算!$G$2:$G$801, 0)+1))="","",INDEX(ERP資料!$G:$G, (MATCH(111, 輔助計算!$G$2:$G$801, 0)+1))), "")</f>
        <v/>
      </c>
      <c r="I112" s="15">
        <f>IFERROR(INDEX(輔助計算!$D:$D, (MATCH(111, 輔助計算!$G$2:$G$801, 0)+1)), "")</f>
        <v/>
      </c>
      <c r="J112" s="15">
        <f>IFERROR(IF(AND(INDEX(輔助計算!$D:$D, (MATCH(111, 輔助計算!$G$2:$G$801, 0)+1))&lt;&gt;"", INDEX(ERP資料!$G:$G, (MATCH(111, 輔助計算!$G$2:$G$801, 0)+1))&lt;&gt;""), TRIM(IF(INT(INDEX(輔助計算!$D:$D, (MATCH(111, 輔助計算!$G$2:$G$801, 0)+1))/IF(INDEX(ERP資料!$G:$G, (MATCH(111, 輔助計算!$G$2:$G$801, 0)+1))&lt;100, IF(INDEX(ERP資料!$G:$G, (MATCH(111, 輔助計算!$G$2:$G$801, 0)+1))&lt;=31,3,IF(INDEX(ERP資料!$G:$G, (MATCH(111, 輔助計算!$G$2:$G$801, 0)+1))&lt;=46.5,2,1)), IF(INDEX(ERP資料!$G:$G, (MATCH(111, 輔助計算!$G$2:$G$801, 0)+1))&lt;=790,3,IF(INDEX(ERP資料!$G:$G, (MATCH(111, 輔助計算!$G$2:$G$801, 0)+1))&lt;=1181,2,1))))&gt;0, IF(IF(INDEX(ERP資料!$G:$G, (MATCH(111, 輔助計算!$G$2:$G$801, 0)+1))&lt;100, IF(INDEX(ERP資料!$G:$G, (MATCH(111, 輔助計算!$G$2:$G$801, 0)+1))&lt;=31,3,IF(INDEX(ERP資料!$G:$G, (MATCH(111, 輔助計算!$G$2:$G$801, 0)+1))&lt;=46.5,2,1)), IF(INDEX(ERP資料!$G:$G, (MATCH(111, 輔助計算!$G$2:$G$801, 0)+1))&lt;=790,3,IF(INDEX(ERP資料!$G:$G, (MATCH(111, 輔助計算!$G$2:$G$801, 0)+1))&lt;=1181,2,1)))=1,TEXT(INDEX(ERP資料!$G:$G, (MATCH(111, 輔助計算!$G$2:$G$801, 0)+1)),"0.##"),IF(IF(INDEX(ERP資料!$G:$G, (MATCH(111, 輔助計算!$G$2:$G$801, 0)+1))&lt;100, IF(INDEX(ERP資料!$G:$G, (MATCH(111, 輔助計算!$G$2:$G$801, 0)+1))&lt;=31,3,IF(INDEX(ERP資料!$G:$G, (MATCH(111, 輔助計算!$G$2:$G$801, 0)+1))&lt;=46.5,2,1)), IF(INDEX(ERP資料!$G:$G, (MATCH(111, 輔助計算!$G$2:$G$801, 0)+1))&lt;=790,3,IF(INDEX(ERP資料!$G:$G, (MATCH(111, 輔助計算!$G$2:$G$801, 0)+1))&lt;=1181,2,1)))=2,TEXT(INDEX(ERP資料!$G:$G, (MATCH(111, 輔助計算!$G$2:$G$801, 0)+1)),"0.##")&amp;"+"&amp;TEXT(INDEX(ERP資料!$G:$G, (MATCH(111, 輔助計算!$G$2:$G$801, 0)+1)),"0.##"),TEXT(INDEX(ERP資料!$G:$G, (MATCH(111, 輔助計算!$G$2:$G$801, 0)+1)),"0.##")&amp;"+"&amp;TEXT(INDEX(ERP資料!$G:$G, (MATCH(111, 輔助計算!$G$2:$G$801, 0)+1)),"0.##")&amp;"+"&amp;TEXT(INDEX(ERP資料!$G:$G, (MATCH(111, 輔助計算!$G$2:$G$801, 0)+1)),"0.##")))&amp;"-"&amp;INT(INDEX(輔助計算!$D:$D, (MATCH(111, 輔助計算!$G$2:$G$801, 0)+1))/IF(INDEX(ERP資料!$G:$G, (MATCH(111, 輔助計算!$G$2:$G$801, 0)+1))&lt;100, IF(INDEX(ERP資料!$G:$G, (MATCH(111, 輔助計算!$G$2:$G$801, 0)+1))&lt;=31,3,IF(INDEX(ERP資料!$G:$G, (MATCH(111, 輔助計算!$G$2:$G$801, 0)+1))&lt;=46.5,2,1)), IF(INDEX(ERP資料!$G:$G, (MATCH(111, 輔助計算!$G$2:$G$801, 0)+1))&lt;=790,3,IF(INDEX(ERP資料!$G:$G, (MATCH(111, 輔助計算!$G$2:$G$801, 0)+1))&lt;=1181,2,1)))), "")&amp;IF(AND(IF(INT(INDEX(輔助計算!$D:$D, (MATCH(111, 輔助計算!$G$2:$G$801, 0)+1))/IF(INDEX(ERP資料!$G:$G, (MATCH(111, 輔助計算!$G$2:$G$801, 0)+1))&lt;100, IF(INDEX(ERP資料!$G:$G, (MATCH(111, 輔助計算!$G$2:$G$801, 0)+1))&lt;=31,3,IF(INDEX(ERP資料!$G:$G, (MATCH(111, 輔助計算!$G$2:$G$801, 0)+1))&lt;=46.5,2,1)), IF(INDEX(ERP資料!$G:$G, (MATCH(111, 輔助計算!$G$2:$G$801, 0)+1))&lt;=790,3,IF(INDEX(ERP資料!$G:$G, (MATCH(111, 輔助計算!$G$2:$G$801, 0)+1))&lt;=1181,2,1))))&gt;0, IF(IF(INDEX(ERP資料!$G:$G, (MATCH(111, 輔助計算!$G$2:$G$801, 0)+1))&lt;100, IF(INDEX(ERP資料!$G:$G, (MATCH(111, 輔助計算!$G$2:$G$801, 0)+1))&lt;=31,3,IF(INDEX(ERP資料!$G:$G, (MATCH(111, 輔助計算!$G$2:$G$801, 0)+1))&lt;=46.5,2,1)), IF(INDEX(ERP資料!$G:$G, (MATCH(111, 輔助計算!$G$2:$G$801, 0)+1))&lt;=790,3,IF(INDEX(ERP資料!$G:$G, (MATCH(111, 輔助計算!$G$2:$G$801, 0)+1))&lt;=1181,2,1)))=1,TEXT(INDEX(ERP資料!$G:$G, (MATCH(111, 輔助計算!$G$2:$G$801, 0)+1)),"0.##"),IF(IF(INDEX(ERP資料!$G:$G, (MATCH(111, 輔助計算!$G$2:$G$801, 0)+1))&lt;100, IF(INDEX(ERP資料!$G:$G, (MATCH(111, 輔助計算!$G$2:$G$801, 0)+1))&lt;=31,3,IF(INDEX(ERP資料!$G:$G, (MATCH(111, 輔助計算!$G$2:$G$801, 0)+1))&lt;=46.5,2,1)), IF(INDEX(ERP資料!$G:$G, (MATCH(111, 輔助計算!$G$2:$G$801, 0)+1))&lt;=790,3,IF(INDEX(ERP資料!$G:$G, (MATCH(111, 輔助計算!$G$2:$G$801, 0)+1))&lt;=1181,2,1)))=2,TEXT(INDEX(ERP資料!$G:$G, (MATCH(111, 輔助計算!$G$2:$G$801, 0)+1)),"0.##")&amp;"+"&amp;TEXT(INDEX(ERP資料!$G:$G, (MATCH(111, 輔助計算!$G$2:$G$801, 0)+1)),"0.##"),TEXT(INDEX(ERP資料!$G:$G, (MATCH(111, 輔助計算!$G$2:$G$801, 0)+1)),"0.##")&amp;"+"&amp;TEXT(INDEX(ERP資料!$G:$G, (MATCH(111, 輔助計算!$G$2:$G$801, 0)+1)),"0.##")&amp;"+"&amp;TEXT(INDEX(ERP資料!$G:$G, (MATCH(111, 輔助計算!$G$2:$G$801, 0)+1)),"0.##")))&amp;"-"&amp;INT(INDEX(輔助計算!$D:$D, (MATCH(111, 輔助計算!$G$2:$G$801, 0)+1))/IF(INDEX(ERP資料!$G:$G, (MATCH(111, 輔助計算!$G$2:$G$801, 0)+1))&lt;100, IF(INDEX(ERP資料!$G:$G, (MATCH(111, 輔助計算!$G$2:$G$801, 0)+1))&lt;=31,3,IF(INDEX(ERP資料!$G:$G, (MATCH(111, 輔助計算!$G$2:$G$801, 0)+1))&lt;=46.5,2,1)), IF(INDEX(ERP資料!$G:$G, (MATCH(111, 輔助計算!$G$2:$G$801, 0)+1))&lt;=790,3,IF(INDEX(ERP資料!$G:$G, (MATCH(111, 輔助計算!$G$2:$G$801, 0)+1))&lt;=1181,2,1)))), "")&lt;&gt;"",IF(MOD(INDEX(輔助計算!$D:$D, (MATCH(111, 輔助計算!$G$2:$G$801, 0)+1)),IF(INDEX(ERP資料!$G:$G, (MATCH(111, 輔助計算!$G$2:$G$801, 0)+1))&lt;100, IF(INDEX(ERP資料!$G:$G, (MATCH(111, 輔助計算!$G$2:$G$801, 0)+1))&lt;=31,3,IF(INDEX(ERP資料!$G:$G, (MATCH(111, 輔助計算!$G$2:$G$801, 0)+1))&lt;=46.5,2,1)), IF(INDEX(ERP資料!$G:$G, (MATCH(111, 輔助計算!$G$2:$G$801, 0)+1))&lt;=790,3,IF(INDEX(ERP資料!$G:$G, (MATCH(111, 輔助計算!$G$2:$G$801, 0)+1))&lt;=1181,2,1))))=0,"",IF(MOD(INDEX(輔助計算!$D:$D, (MATCH(111, 輔助計算!$G$2:$G$801, 0)+1)),IF(INDEX(ERP資料!$G:$G, (MATCH(111, 輔助計算!$G$2:$G$801, 0)+1))&lt;100, IF(INDEX(ERP資料!$G:$G, (MATCH(111, 輔助計算!$G$2:$G$801, 0)+1))&lt;=31,3,IF(INDEX(ERP資料!$G:$G, (MATCH(111, 輔助計算!$G$2:$G$801, 0)+1))&lt;=46.5,2,1)), IF(INDEX(ERP資料!$G:$G, (MATCH(111, 輔助計算!$G$2:$G$801, 0)+1))&lt;=790,3,IF(INDEX(ERP資料!$G:$G, (MATCH(111, 輔助計算!$G$2:$G$801, 0)+1))&lt;=1181,2,1))))=0,"",IF(MOD(INDEX(輔助計算!$D:$D, (MATCH(111, 輔助計算!$G$2:$G$801, 0)+1)),IF(INDEX(ERP資料!$G:$G, (MATCH(111, 輔助計算!$G$2:$G$801, 0)+1))&lt;100, IF(INDEX(ERP資料!$G:$G, (MATCH(111, 輔助計算!$G$2:$G$801, 0)+1))&lt;=31,3,IF(INDEX(ERP資料!$G:$G, (MATCH(111, 輔助計算!$G$2:$G$801, 0)+1))&lt;=46.5,2,1)), IF(INDEX(ERP資料!$G:$G, (MATCH(111, 輔助計算!$G$2:$G$801, 0)+1))&lt;=790,3,IF(INDEX(ERP資料!$G:$G, (MATCH(111, 輔助計算!$G$2:$G$801, 0)+1))&lt;=1181,2,1))))=1,TEXT(INDEX(ERP資料!$G:$G, (MATCH(111, 輔助計算!$G$2:$G$801, 0)+1)),"0.##"),IF(MOD(INDEX(輔助計算!$D:$D, (MATCH(111, 輔助計算!$G$2:$G$801, 0)+1)),IF(INDEX(ERP資料!$G:$G, (MATCH(111, 輔助計算!$G$2:$G$801, 0)+1))&lt;100, IF(INDEX(ERP資料!$G:$G, (MATCH(111, 輔助計算!$G$2:$G$801, 0)+1))&lt;=31,3,IF(INDEX(ERP資料!$G:$G, (MATCH(111, 輔助計算!$G$2:$G$801, 0)+1))&lt;=46.5,2,1)), IF(INDEX(ERP資料!$G:$G, (MATCH(111, 輔助計算!$G$2:$G$801, 0)+1))&lt;=790,3,IF(INDEX(ERP資料!$G:$G, (MATCH(111, 輔助計算!$G$2:$G$801, 0)+1))&lt;=1181,2,1))))=2,TEXT(INDEX(ERP資料!$G:$G, (MATCH(111, 輔助計算!$G$2:$G$801, 0)+1)),"0.##")&amp;"+"&amp;TEXT(INDEX(ERP資料!$G:$G, (MATCH(111, 輔助計算!$G$2:$G$801, 0)+1)),"0.##"),TEXT(INDEX(ERP資料!$G:$G, (MATCH(111, 輔助計算!$G$2:$G$801, 0)+1)),"0.##")&amp;"+"&amp;TEXT(INDEX(ERP資料!$G:$G, (MATCH(111, 輔助計算!$G$2:$G$801, 0)+1)),"0.##")&amp;"+"&amp;TEXT(INDEX(ERP資料!$G:$G, (MATCH(111, 輔助計算!$G$2:$G$801, 0)+1)),"0.##"))))&amp;"-1")&lt;&gt;""),"  ","")&amp;IF(MOD(INDEX(輔助計算!$D:$D, (MATCH(111, 輔助計算!$G$2:$G$801, 0)+1)),IF(INDEX(ERP資料!$G:$G, (MATCH(111, 輔助計算!$G$2:$G$801, 0)+1))&lt;100, IF(INDEX(ERP資料!$G:$G, (MATCH(111, 輔助計算!$G$2:$G$801, 0)+1))&lt;=31,3,IF(INDEX(ERP資料!$G:$G, (MATCH(111, 輔助計算!$G$2:$G$801, 0)+1))&lt;=46.5,2,1)), IF(INDEX(ERP資料!$G:$G, (MATCH(111, 輔助計算!$G$2:$G$801, 0)+1))&lt;=790,3,IF(INDEX(ERP資料!$G:$G, (MATCH(111, 輔助計算!$G$2:$G$801, 0)+1))&lt;=1181,2,1))))=0,"",IF(MOD(INDEX(輔助計算!$D:$D, (MATCH(111, 輔助計算!$G$2:$G$801, 0)+1)),IF(INDEX(ERP資料!$G:$G, (MATCH(111, 輔助計算!$G$2:$G$801, 0)+1))&lt;100, IF(INDEX(ERP資料!$G:$G, (MATCH(111, 輔助計算!$G$2:$G$801, 0)+1))&lt;=31,3,IF(INDEX(ERP資料!$G:$G, (MATCH(111, 輔助計算!$G$2:$G$801, 0)+1))&lt;=46.5,2,1)), IF(INDEX(ERP資料!$G:$G, (MATCH(111, 輔助計算!$G$2:$G$801, 0)+1))&lt;=790,3,IF(INDEX(ERP資料!$G:$G, (MATCH(111, 輔助計算!$G$2:$G$801, 0)+1))&lt;=1181,2,1))))=0,"",IF(MOD(INDEX(輔助計算!$D:$D, (MATCH(111, 輔助計算!$G$2:$G$801, 0)+1)),IF(INDEX(ERP資料!$G:$G, (MATCH(111, 輔助計算!$G$2:$G$801, 0)+1))&lt;100, IF(INDEX(ERP資料!$G:$G, (MATCH(111, 輔助計算!$G$2:$G$801, 0)+1))&lt;=31,3,IF(INDEX(ERP資料!$G:$G, (MATCH(111, 輔助計算!$G$2:$G$801, 0)+1))&lt;=46.5,2,1)), IF(INDEX(ERP資料!$G:$G, (MATCH(111, 輔助計算!$G$2:$G$801, 0)+1))&lt;=790,3,IF(INDEX(ERP資料!$G:$G, (MATCH(111, 輔助計算!$G$2:$G$801, 0)+1))&lt;=1181,2,1))))=1,TEXT(INDEX(ERP資料!$G:$G, (MATCH(111, 輔助計算!$G$2:$G$801, 0)+1)),"0.##"),IF(MOD(INDEX(輔助計算!$D:$D, (MATCH(111, 輔助計算!$G$2:$G$801, 0)+1)),IF(INDEX(ERP資料!$G:$G, (MATCH(111, 輔助計算!$G$2:$G$801, 0)+1))&lt;100, IF(INDEX(ERP資料!$G:$G, (MATCH(111, 輔助計算!$G$2:$G$801, 0)+1))&lt;=31,3,IF(INDEX(ERP資料!$G:$G, (MATCH(111, 輔助計算!$G$2:$G$801, 0)+1))&lt;=46.5,2,1)), IF(INDEX(ERP資料!$G:$G, (MATCH(111, 輔助計算!$G$2:$G$801, 0)+1))&lt;=790,3,IF(INDEX(ERP資料!$G:$G, (MATCH(111, 輔助計算!$G$2:$G$801, 0)+1))&lt;=1181,2,1))))=2,TEXT(INDEX(ERP資料!$G:$G, (MATCH(111, 輔助計算!$G$2:$G$801, 0)+1)),"0.##")&amp;"+"&amp;TEXT(INDEX(ERP資料!$G:$G, (MATCH(111, 輔助計算!$G$2:$G$801, 0)+1)),"0.##"),TEXT(INDEX(ERP資料!$G:$G, (MATCH(111, 輔助計算!$G$2:$G$801, 0)+1)),"0.##")&amp;"+"&amp;TEXT(INDEX(ERP資料!$G:$G, (MATCH(111, 輔助計算!$G$2:$G$801, 0)+1)),"0.##")&amp;"+"&amp;TEXT(INDEX(ERP資料!$G:$G, (MATCH(111, 輔助計算!$G$2:$G$801, 0)+1)),"0.##"))))&amp;"-1")), ""), "")</f>
        <v/>
      </c>
      <c r="K112" s="16" t="n"/>
      <c r="L112" s="14">
        <f>IFERROR(IF(AND(IFERROR(INDEX(ERP資料!$A:$A, (MATCH(111, 輔助計算!$G$2:$G$801, 0)+1)), "")&lt;&gt;"", IFERROR(INDEX(ERP資料!$A:$A, (MATCH(111, 輔助計算!$G$2:$G$801, 0)+1)), "")&lt;&gt;IFERROR(INDEX(ERP資料!$A:$A, MATCH(110, 輔助計算!$G$2:$G$801, 0)+1), "")), INDEX(ERP資料!$B:$B, (MATCH(111, 輔助計算!$G$2:$G$801, 0)+1)), ""), "")</f>
        <v/>
      </c>
      <c r="M112" s="17" t="n"/>
    </row>
    <row r="113">
      <c r="A113" s="10">
        <f>IFERROR(IF(AND(IFERROR(INDEX(ERP資料!$A:$A, (MATCH(112, 輔助計算!$G$2:$G$801, 0)+1)), "")&lt;&gt;"", IFERROR(INDEX(ERP資料!$A:$A, (MATCH(112, 輔助計算!$G$2:$G$801, 0)+1)), "")&lt;&gt;IFERROR(INDEX(ERP資料!$A:$A, MATCH(111, 輔助計算!$G$2:$G$801, 0)+1), "")), IFERROR(INDEX(ERP資料!$A:$A, (MATCH(112, 輔助計算!$G$2:$G$801, 0)+1)), ""), ""), "")</f>
        <v/>
      </c>
      <c r="B113" s="10">
        <f>IFERROR(IF(AND(IFERROR(INDEX(ERP資料!$A:$A, (MATCH(112, 輔助計算!$G$2:$G$801, 0)+1)), "")&lt;&gt;"", IFERROR(INDEX(ERP資料!$A:$A, (MATCH(112, 輔助計算!$G$2:$G$801, 0)+1)), "")&lt;&gt;IFERROR(INDEX(ERP資料!$A:$A, MATCH(111, 輔助計算!$G$2:$G$801, 0)+1), "")), INDEX(ERP資料!$S:$S, (MATCH(112, 輔助計算!$G$2:$G$801, 0)+1)), ""), "")</f>
        <v/>
      </c>
      <c r="C113" s="19">
        <f>IFERROR(IF(AND(IFERROR(INDEX(ERP資料!$A:$A, (MATCH(112, 輔助計算!$G$2:$G$801, 0)+1)), "")&lt;&gt;"", IFERROR(INDEX(ERP資料!$A:$A, (MATCH(112, 輔助計算!$G$2:$G$801, 0)+1)), "")&lt;&gt;IFERROR(INDEX(ERP資料!$A:$A, MATCH(111, 輔助計算!$G$2:$G$801, 0)+1), "")), IFERROR(VLOOKUP(LEFT(INDEX(ERP資料!$S:$S, (MATCH(112, 輔助計算!$G$2:$G$801, 0)+1)), 4), 紙管對照表!$A:$C, 3, FALSE), ""), ""), "")</f>
        <v/>
      </c>
      <c r="D113" s="16" t="n"/>
      <c r="E113" s="10">
        <f>IFERROR(IF(INDEX(ERP資料!$H:$H, (MATCH(112, 輔助計算!$G$2:$G$801, 0)+1))="","",INDEX(ERP資料!$H:$H, (MATCH(112, 輔助計算!$G$2:$G$801, 0)+1))), "")</f>
        <v/>
      </c>
      <c r="F113" s="10">
        <f>IFERROR(IF(INDEX(ERP資料!$E:$E, (MATCH(112, 輔助計算!$G$2:$G$801, 0)+1))="","",TRIM(INDEX(ERP資料!$E:$E, (MATCH(112, 輔助計算!$G$2:$G$801, 0)+1)))), "")</f>
        <v/>
      </c>
      <c r="G113" s="10">
        <f>IFERROR(IF(INDEX(ERP資料!$F:$F, (MATCH(112, 輔助計算!$G$2:$G$801, 0)+1))="","",INDEX(ERP資料!$F:$F, (MATCH(112, 輔助計算!$G$2:$G$801, 0)+1))), "")</f>
        <v/>
      </c>
      <c r="H113" s="10">
        <f>IFERROR(IF(INDEX(ERP資料!$G:$G, (MATCH(112, 輔助計算!$G$2:$G$801, 0)+1))="","",INDEX(ERP資料!$G:$G, (MATCH(112, 輔助計算!$G$2:$G$801, 0)+1))), "")</f>
        <v/>
      </c>
      <c r="I113" s="15">
        <f>IFERROR(INDEX(輔助計算!$D:$D, (MATCH(112, 輔助計算!$G$2:$G$801, 0)+1)), "")</f>
        <v/>
      </c>
      <c r="J113" s="15">
        <f>IFERROR(IF(AND(INDEX(輔助計算!$D:$D, (MATCH(112, 輔助計算!$G$2:$G$801, 0)+1))&lt;&gt;"", INDEX(ERP資料!$G:$G, (MATCH(112, 輔助計算!$G$2:$G$801, 0)+1))&lt;&gt;""), TRIM(IF(INT(INDEX(輔助計算!$D:$D, (MATCH(112, 輔助計算!$G$2:$G$801, 0)+1))/IF(INDEX(ERP資料!$G:$G, (MATCH(112, 輔助計算!$G$2:$G$801, 0)+1))&lt;100, IF(INDEX(ERP資料!$G:$G, (MATCH(112, 輔助計算!$G$2:$G$801, 0)+1))&lt;=31,3,IF(INDEX(ERP資料!$G:$G, (MATCH(112, 輔助計算!$G$2:$G$801, 0)+1))&lt;=46.5,2,1)), IF(INDEX(ERP資料!$G:$G, (MATCH(112, 輔助計算!$G$2:$G$801, 0)+1))&lt;=790,3,IF(INDEX(ERP資料!$G:$G, (MATCH(112, 輔助計算!$G$2:$G$801, 0)+1))&lt;=1181,2,1))))&gt;0, IF(IF(INDEX(ERP資料!$G:$G, (MATCH(112, 輔助計算!$G$2:$G$801, 0)+1))&lt;100, IF(INDEX(ERP資料!$G:$G, (MATCH(112, 輔助計算!$G$2:$G$801, 0)+1))&lt;=31,3,IF(INDEX(ERP資料!$G:$G, (MATCH(112, 輔助計算!$G$2:$G$801, 0)+1))&lt;=46.5,2,1)), IF(INDEX(ERP資料!$G:$G, (MATCH(112, 輔助計算!$G$2:$G$801, 0)+1))&lt;=790,3,IF(INDEX(ERP資料!$G:$G, (MATCH(112, 輔助計算!$G$2:$G$801, 0)+1))&lt;=1181,2,1)))=1,TEXT(INDEX(ERP資料!$G:$G, (MATCH(112, 輔助計算!$G$2:$G$801, 0)+1)),"0.##"),IF(IF(INDEX(ERP資料!$G:$G, (MATCH(112, 輔助計算!$G$2:$G$801, 0)+1))&lt;100, IF(INDEX(ERP資料!$G:$G, (MATCH(112, 輔助計算!$G$2:$G$801, 0)+1))&lt;=31,3,IF(INDEX(ERP資料!$G:$G, (MATCH(112, 輔助計算!$G$2:$G$801, 0)+1))&lt;=46.5,2,1)), IF(INDEX(ERP資料!$G:$G, (MATCH(112, 輔助計算!$G$2:$G$801, 0)+1))&lt;=790,3,IF(INDEX(ERP資料!$G:$G, (MATCH(112, 輔助計算!$G$2:$G$801, 0)+1))&lt;=1181,2,1)))=2,TEXT(INDEX(ERP資料!$G:$G, (MATCH(112, 輔助計算!$G$2:$G$801, 0)+1)),"0.##")&amp;"+"&amp;TEXT(INDEX(ERP資料!$G:$G, (MATCH(112, 輔助計算!$G$2:$G$801, 0)+1)),"0.##"),TEXT(INDEX(ERP資料!$G:$G, (MATCH(112, 輔助計算!$G$2:$G$801, 0)+1)),"0.##")&amp;"+"&amp;TEXT(INDEX(ERP資料!$G:$G, (MATCH(112, 輔助計算!$G$2:$G$801, 0)+1)),"0.##")&amp;"+"&amp;TEXT(INDEX(ERP資料!$G:$G, (MATCH(112, 輔助計算!$G$2:$G$801, 0)+1)),"0.##")))&amp;"-"&amp;INT(INDEX(輔助計算!$D:$D, (MATCH(112, 輔助計算!$G$2:$G$801, 0)+1))/IF(INDEX(ERP資料!$G:$G, (MATCH(112, 輔助計算!$G$2:$G$801, 0)+1))&lt;100, IF(INDEX(ERP資料!$G:$G, (MATCH(112, 輔助計算!$G$2:$G$801, 0)+1))&lt;=31,3,IF(INDEX(ERP資料!$G:$G, (MATCH(112, 輔助計算!$G$2:$G$801, 0)+1))&lt;=46.5,2,1)), IF(INDEX(ERP資料!$G:$G, (MATCH(112, 輔助計算!$G$2:$G$801, 0)+1))&lt;=790,3,IF(INDEX(ERP資料!$G:$G, (MATCH(112, 輔助計算!$G$2:$G$801, 0)+1))&lt;=1181,2,1)))), "")&amp;IF(AND(IF(INT(INDEX(輔助計算!$D:$D, (MATCH(112, 輔助計算!$G$2:$G$801, 0)+1))/IF(INDEX(ERP資料!$G:$G, (MATCH(112, 輔助計算!$G$2:$G$801, 0)+1))&lt;100, IF(INDEX(ERP資料!$G:$G, (MATCH(112, 輔助計算!$G$2:$G$801, 0)+1))&lt;=31,3,IF(INDEX(ERP資料!$G:$G, (MATCH(112, 輔助計算!$G$2:$G$801, 0)+1))&lt;=46.5,2,1)), IF(INDEX(ERP資料!$G:$G, (MATCH(112, 輔助計算!$G$2:$G$801, 0)+1))&lt;=790,3,IF(INDEX(ERP資料!$G:$G, (MATCH(112, 輔助計算!$G$2:$G$801, 0)+1))&lt;=1181,2,1))))&gt;0, IF(IF(INDEX(ERP資料!$G:$G, (MATCH(112, 輔助計算!$G$2:$G$801, 0)+1))&lt;100, IF(INDEX(ERP資料!$G:$G, (MATCH(112, 輔助計算!$G$2:$G$801, 0)+1))&lt;=31,3,IF(INDEX(ERP資料!$G:$G, (MATCH(112, 輔助計算!$G$2:$G$801, 0)+1))&lt;=46.5,2,1)), IF(INDEX(ERP資料!$G:$G, (MATCH(112, 輔助計算!$G$2:$G$801, 0)+1))&lt;=790,3,IF(INDEX(ERP資料!$G:$G, (MATCH(112, 輔助計算!$G$2:$G$801, 0)+1))&lt;=1181,2,1)))=1,TEXT(INDEX(ERP資料!$G:$G, (MATCH(112, 輔助計算!$G$2:$G$801, 0)+1)),"0.##"),IF(IF(INDEX(ERP資料!$G:$G, (MATCH(112, 輔助計算!$G$2:$G$801, 0)+1))&lt;100, IF(INDEX(ERP資料!$G:$G, (MATCH(112, 輔助計算!$G$2:$G$801, 0)+1))&lt;=31,3,IF(INDEX(ERP資料!$G:$G, (MATCH(112, 輔助計算!$G$2:$G$801, 0)+1))&lt;=46.5,2,1)), IF(INDEX(ERP資料!$G:$G, (MATCH(112, 輔助計算!$G$2:$G$801, 0)+1))&lt;=790,3,IF(INDEX(ERP資料!$G:$G, (MATCH(112, 輔助計算!$G$2:$G$801, 0)+1))&lt;=1181,2,1)))=2,TEXT(INDEX(ERP資料!$G:$G, (MATCH(112, 輔助計算!$G$2:$G$801, 0)+1)),"0.##")&amp;"+"&amp;TEXT(INDEX(ERP資料!$G:$G, (MATCH(112, 輔助計算!$G$2:$G$801, 0)+1)),"0.##"),TEXT(INDEX(ERP資料!$G:$G, (MATCH(112, 輔助計算!$G$2:$G$801, 0)+1)),"0.##")&amp;"+"&amp;TEXT(INDEX(ERP資料!$G:$G, (MATCH(112, 輔助計算!$G$2:$G$801, 0)+1)),"0.##")&amp;"+"&amp;TEXT(INDEX(ERP資料!$G:$G, (MATCH(112, 輔助計算!$G$2:$G$801, 0)+1)),"0.##")))&amp;"-"&amp;INT(INDEX(輔助計算!$D:$D, (MATCH(112, 輔助計算!$G$2:$G$801, 0)+1))/IF(INDEX(ERP資料!$G:$G, (MATCH(112, 輔助計算!$G$2:$G$801, 0)+1))&lt;100, IF(INDEX(ERP資料!$G:$G, (MATCH(112, 輔助計算!$G$2:$G$801, 0)+1))&lt;=31,3,IF(INDEX(ERP資料!$G:$G, (MATCH(112, 輔助計算!$G$2:$G$801, 0)+1))&lt;=46.5,2,1)), IF(INDEX(ERP資料!$G:$G, (MATCH(112, 輔助計算!$G$2:$G$801, 0)+1))&lt;=790,3,IF(INDEX(ERP資料!$G:$G, (MATCH(112, 輔助計算!$G$2:$G$801, 0)+1))&lt;=1181,2,1)))), "")&lt;&gt;"",IF(MOD(INDEX(輔助計算!$D:$D, (MATCH(112, 輔助計算!$G$2:$G$801, 0)+1)),IF(INDEX(ERP資料!$G:$G, (MATCH(112, 輔助計算!$G$2:$G$801, 0)+1))&lt;100, IF(INDEX(ERP資料!$G:$G, (MATCH(112, 輔助計算!$G$2:$G$801, 0)+1))&lt;=31,3,IF(INDEX(ERP資料!$G:$G, (MATCH(112, 輔助計算!$G$2:$G$801, 0)+1))&lt;=46.5,2,1)), IF(INDEX(ERP資料!$G:$G, (MATCH(112, 輔助計算!$G$2:$G$801, 0)+1))&lt;=790,3,IF(INDEX(ERP資料!$G:$G, (MATCH(112, 輔助計算!$G$2:$G$801, 0)+1))&lt;=1181,2,1))))=0,"",IF(MOD(INDEX(輔助計算!$D:$D, (MATCH(112, 輔助計算!$G$2:$G$801, 0)+1)),IF(INDEX(ERP資料!$G:$G, (MATCH(112, 輔助計算!$G$2:$G$801, 0)+1))&lt;100, IF(INDEX(ERP資料!$G:$G, (MATCH(112, 輔助計算!$G$2:$G$801, 0)+1))&lt;=31,3,IF(INDEX(ERP資料!$G:$G, (MATCH(112, 輔助計算!$G$2:$G$801, 0)+1))&lt;=46.5,2,1)), IF(INDEX(ERP資料!$G:$G, (MATCH(112, 輔助計算!$G$2:$G$801, 0)+1))&lt;=790,3,IF(INDEX(ERP資料!$G:$G, (MATCH(112, 輔助計算!$G$2:$G$801, 0)+1))&lt;=1181,2,1))))=0,"",IF(MOD(INDEX(輔助計算!$D:$D, (MATCH(112, 輔助計算!$G$2:$G$801, 0)+1)),IF(INDEX(ERP資料!$G:$G, (MATCH(112, 輔助計算!$G$2:$G$801, 0)+1))&lt;100, IF(INDEX(ERP資料!$G:$G, (MATCH(112, 輔助計算!$G$2:$G$801, 0)+1))&lt;=31,3,IF(INDEX(ERP資料!$G:$G, (MATCH(112, 輔助計算!$G$2:$G$801, 0)+1))&lt;=46.5,2,1)), IF(INDEX(ERP資料!$G:$G, (MATCH(112, 輔助計算!$G$2:$G$801, 0)+1))&lt;=790,3,IF(INDEX(ERP資料!$G:$G, (MATCH(112, 輔助計算!$G$2:$G$801, 0)+1))&lt;=1181,2,1))))=1,TEXT(INDEX(ERP資料!$G:$G, (MATCH(112, 輔助計算!$G$2:$G$801, 0)+1)),"0.##"),IF(MOD(INDEX(輔助計算!$D:$D, (MATCH(112, 輔助計算!$G$2:$G$801, 0)+1)),IF(INDEX(ERP資料!$G:$G, (MATCH(112, 輔助計算!$G$2:$G$801, 0)+1))&lt;100, IF(INDEX(ERP資料!$G:$G, (MATCH(112, 輔助計算!$G$2:$G$801, 0)+1))&lt;=31,3,IF(INDEX(ERP資料!$G:$G, (MATCH(112, 輔助計算!$G$2:$G$801, 0)+1))&lt;=46.5,2,1)), IF(INDEX(ERP資料!$G:$G, (MATCH(112, 輔助計算!$G$2:$G$801, 0)+1))&lt;=790,3,IF(INDEX(ERP資料!$G:$G, (MATCH(112, 輔助計算!$G$2:$G$801, 0)+1))&lt;=1181,2,1))))=2,TEXT(INDEX(ERP資料!$G:$G, (MATCH(112, 輔助計算!$G$2:$G$801, 0)+1)),"0.##")&amp;"+"&amp;TEXT(INDEX(ERP資料!$G:$G, (MATCH(112, 輔助計算!$G$2:$G$801, 0)+1)),"0.##"),TEXT(INDEX(ERP資料!$G:$G, (MATCH(112, 輔助計算!$G$2:$G$801, 0)+1)),"0.##")&amp;"+"&amp;TEXT(INDEX(ERP資料!$G:$G, (MATCH(112, 輔助計算!$G$2:$G$801, 0)+1)),"0.##")&amp;"+"&amp;TEXT(INDEX(ERP資料!$G:$G, (MATCH(112, 輔助計算!$G$2:$G$801, 0)+1)),"0.##"))))&amp;"-1")&lt;&gt;""),"  ","")&amp;IF(MOD(INDEX(輔助計算!$D:$D, (MATCH(112, 輔助計算!$G$2:$G$801, 0)+1)),IF(INDEX(ERP資料!$G:$G, (MATCH(112, 輔助計算!$G$2:$G$801, 0)+1))&lt;100, IF(INDEX(ERP資料!$G:$G, (MATCH(112, 輔助計算!$G$2:$G$801, 0)+1))&lt;=31,3,IF(INDEX(ERP資料!$G:$G, (MATCH(112, 輔助計算!$G$2:$G$801, 0)+1))&lt;=46.5,2,1)), IF(INDEX(ERP資料!$G:$G, (MATCH(112, 輔助計算!$G$2:$G$801, 0)+1))&lt;=790,3,IF(INDEX(ERP資料!$G:$G, (MATCH(112, 輔助計算!$G$2:$G$801, 0)+1))&lt;=1181,2,1))))=0,"",IF(MOD(INDEX(輔助計算!$D:$D, (MATCH(112, 輔助計算!$G$2:$G$801, 0)+1)),IF(INDEX(ERP資料!$G:$G, (MATCH(112, 輔助計算!$G$2:$G$801, 0)+1))&lt;100, IF(INDEX(ERP資料!$G:$G, (MATCH(112, 輔助計算!$G$2:$G$801, 0)+1))&lt;=31,3,IF(INDEX(ERP資料!$G:$G, (MATCH(112, 輔助計算!$G$2:$G$801, 0)+1))&lt;=46.5,2,1)), IF(INDEX(ERP資料!$G:$G, (MATCH(112, 輔助計算!$G$2:$G$801, 0)+1))&lt;=790,3,IF(INDEX(ERP資料!$G:$G, (MATCH(112, 輔助計算!$G$2:$G$801, 0)+1))&lt;=1181,2,1))))=0,"",IF(MOD(INDEX(輔助計算!$D:$D, (MATCH(112, 輔助計算!$G$2:$G$801, 0)+1)),IF(INDEX(ERP資料!$G:$G, (MATCH(112, 輔助計算!$G$2:$G$801, 0)+1))&lt;100, IF(INDEX(ERP資料!$G:$G, (MATCH(112, 輔助計算!$G$2:$G$801, 0)+1))&lt;=31,3,IF(INDEX(ERP資料!$G:$G, (MATCH(112, 輔助計算!$G$2:$G$801, 0)+1))&lt;=46.5,2,1)), IF(INDEX(ERP資料!$G:$G, (MATCH(112, 輔助計算!$G$2:$G$801, 0)+1))&lt;=790,3,IF(INDEX(ERP資料!$G:$G, (MATCH(112, 輔助計算!$G$2:$G$801, 0)+1))&lt;=1181,2,1))))=1,TEXT(INDEX(ERP資料!$G:$G, (MATCH(112, 輔助計算!$G$2:$G$801, 0)+1)),"0.##"),IF(MOD(INDEX(輔助計算!$D:$D, (MATCH(112, 輔助計算!$G$2:$G$801, 0)+1)),IF(INDEX(ERP資料!$G:$G, (MATCH(112, 輔助計算!$G$2:$G$801, 0)+1))&lt;100, IF(INDEX(ERP資料!$G:$G, (MATCH(112, 輔助計算!$G$2:$G$801, 0)+1))&lt;=31,3,IF(INDEX(ERP資料!$G:$G, (MATCH(112, 輔助計算!$G$2:$G$801, 0)+1))&lt;=46.5,2,1)), IF(INDEX(ERP資料!$G:$G, (MATCH(112, 輔助計算!$G$2:$G$801, 0)+1))&lt;=790,3,IF(INDEX(ERP資料!$G:$G, (MATCH(112, 輔助計算!$G$2:$G$801, 0)+1))&lt;=1181,2,1))))=2,TEXT(INDEX(ERP資料!$G:$G, (MATCH(112, 輔助計算!$G$2:$G$801, 0)+1)),"0.##")&amp;"+"&amp;TEXT(INDEX(ERP資料!$G:$G, (MATCH(112, 輔助計算!$G$2:$G$801, 0)+1)),"0.##"),TEXT(INDEX(ERP資料!$G:$G, (MATCH(112, 輔助計算!$G$2:$G$801, 0)+1)),"0.##")&amp;"+"&amp;TEXT(INDEX(ERP資料!$G:$G, (MATCH(112, 輔助計算!$G$2:$G$801, 0)+1)),"0.##")&amp;"+"&amp;TEXT(INDEX(ERP資料!$G:$G, (MATCH(112, 輔助計算!$G$2:$G$801, 0)+1)),"0.##"))))&amp;"-1")), ""), "")</f>
        <v/>
      </c>
      <c r="K113" s="16" t="n"/>
      <c r="L113" s="14">
        <f>IFERROR(IF(AND(IFERROR(INDEX(ERP資料!$A:$A, (MATCH(112, 輔助計算!$G$2:$G$801, 0)+1)), "")&lt;&gt;"", IFERROR(INDEX(ERP資料!$A:$A, (MATCH(112, 輔助計算!$G$2:$G$801, 0)+1)), "")&lt;&gt;IFERROR(INDEX(ERP資料!$A:$A, MATCH(111, 輔助計算!$G$2:$G$801, 0)+1), "")), INDEX(ERP資料!$B:$B, (MATCH(112, 輔助計算!$G$2:$G$801, 0)+1)), ""), "")</f>
        <v/>
      </c>
      <c r="M113" s="17" t="n"/>
    </row>
    <row r="114">
      <c r="A114" s="10">
        <f>IFERROR(IF(AND(IFERROR(INDEX(ERP資料!$A:$A, (MATCH(113, 輔助計算!$G$2:$G$801, 0)+1)), "")&lt;&gt;"", IFERROR(INDEX(ERP資料!$A:$A, (MATCH(113, 輔助計算!$G$2:$G$801, 0)+1)), "")&lt;&gt;IFERROR(INDEX(ERP資料!$A:$A, MATCH(112, 輔助計算!$G$2:$G$801, 0)+1), "")), IFERROR(INDEX(ERP資料!$A:$A, (MATCH(113, 輔助計算!$G$2:$G$801, 0)+1)), ""), ""), "")</f>
        <v/>
      </c>
      <c r="B114" s="10">
        <f>IFERROR(IF(AND(IFERROR(INDEX(ERP資料!$A:$A, (MATCH(113, 輔助計算!$G$2:$G$801, 0)+1)), "")&lt;&gt;"", IFERROR(INDEX(ERP資料!$A:$A, (MATCH(113, 輔助計算!$G$2:$G$801, 0)+1)), "")&lt;&gt;IFERROR(INDEX(ERP資料!$A:$A, MATCH(112, 輔助計算!$G$2:$G$801, 0)+1), "")), INDEX(ERP資料!$S:$S, (MATCH(113, 輔助計算!$G$2:$G$801, 0)+1)), ""), "")</f>
        <v/>
      </c>
      <c r="C114" s="19">
        <f>IFERROR(IF(AND(IFERROR(INDEX(ERP資料!$A:$A, (MATCH(113, 輔助計算!$G$2:$G$801, 0)+1)), "")&lt;&gt;"", IFERROR(INDEX(ERP資料!$A:$A, (MATCH(113, 輔助計算!$G$2:$G$801, 0)+1)), "")&lt;&gt;IFERROR(INDEX(ERP資料!$A:$A, MATCH(112, 輔助計算!$G$2:$G$801, 0)+1), "")), IFERROR(VLOOKUP(LEFT(INDEX(ERP資料!$S:$S, (MATCH(113, 輔助計算!$G$2:$G$801, 0)+1)), 4), 紙管對照表!$A:$C, 3, FALSE), ""), ""), "")</f>
        <v/>
      </c>
      <c r="D114" s="16" t="n"/>
      <c r="E114" s="10">
        <f>IFERROR(IF(INDEX(ERP資料!$H:$H, (MATCH(113, 輔助計算!$G$2:$G$801, 0)+1))="","",INDEX(ERP資料!$H:$H, (MATCH(113, 輔助計算!$G$2:$G$801, 0)+1))), "")</f>
        <v/>
      </c>
      <c r="F114" s="10">
        <f>IFERROR(IF(INDEX(ERP資料!$E:$E, (MATCH(113, 輔助計算!$G$2:$G$801, 0)+1))="","",TRIM(INDEX(ERP資料!$E:$E, (MATCH(113, 輔助計算!$G$2:$G$801, 0)+1)))), "")</f>
        <v/>
      </c>
      <c r="G114" s="10">
        <f>IFERROR(IF(INDEX(ERP資料!$F:$F, (MATCH(113, 輔助計算!$G$2:$G$801, 0)+1))="","",INDEX(ERP資料!$F:$F, (MATCH(113, 輔助計算!$G$2:$G$801, 0)+1))), "")</f>
        <v/>
      </c>
      <c r="H114" s="10">
        <f>IFERROR(IF(INDEX(ERP資料!$G:$G, (MATCH(113, 輔助計算!$G$2:$G$801, 0)+1))="","",INDEX(ERP資料!$G:$G, (MATCH(113, 輔助計算!$G$2:$G$801, 0)+1))), "")</f>
        <v/>
      </c>
      <c r="I114" s="15">
        <f>IFERROR(INDEX(輔助計算!$D:$D, (MATCH(113, 輔助計算!$G$2:$G$801, 0)+1)), "")</f>
        <v/>
      </c>
      <c r="J114" s="15">
        <f>IFERROR(IF(AND(INDEX(輔助計算!$D:$D, (MATCH(113, 輔助計算!$G$2:$G$801, 0)+1))&lt;&gt;"", INDEX(ERP資料!$G:$G, (MATCH(113, 輔助計算!$G$2:$G$801, 0)+1))&lt;&gt;""), TRIM(IF(INT(INDEX(輔助計算!$D:$D, (MATCH(113, 輔助計算!$G$2:$G$801, 0)+1))/IF(INDEX(ERP資料!$G:$G, (MATCH(113, 輔助計算!$G$2:$G$801, 0)+1))&lt;100, IF(INDEX(ERP資料!$G:$G, (MATCH(113, 輔助計算!$G$2:$G$801, 0)+1))&lt;=31,3,IF(INDEX(ERP資料!$G:$G, (MATCH(113, 輔助計算!$G$2:$G$801, 0)+1))&lt;=46.5,2,1)), IF(INDEX(ERP資料!$G:$G, (MATCH(113, 輔助計算!$G$2:$G$801, 0)+1))&lt;=790,3,IF(INDEX(ERP資料!$G:$G, (MATCH(113, 輔助計算!$G$2:$G$801, 0)+1))&lt;=1181,2,1))))&gt;0, IF(IF(INDEX(ERP資料!$G:$G, (MATCH(113, 輔助計算!$G$2:$G$801, 0)+1))&lt;100, IF(INDEX(ERP資料!$G:$G, (MATCH(113, 輔助計算!$G$2:$G$801, 0)+1))&lt;=31,3,IF(INDEX(ERP資料!$G:$G, (MATCH(113, 輔助計算!$G$2:$G$801, 0)+1))&lt;=46.5,2,1)), IF(INDEX(ERP資料!$G:$G, (MATCH(113, 輔助計算!$G$2:$G$801, 0)+1))&lt;=790,3,IF(INDEX(ERP資料!$G:$G, (MATCH(113, 輔助計算!$G$2:$G$801, 0)+1))&lt;=1181,2,1)))=1,TEXT(INDEX(ERP資料!$G:$G, (MATCH(113, 輔助計算!$G$2:$G$801, 0)+1)),"0.##"),IF(IF(INDEX(ERP資料!$G:$G, (MATCH(113, 輔助計算!$G$2:$G$801, 0)+1))&lt;100, IF(INDEX(ERP資料!$G:$G, (MATCH(113, 輔助計算!$G$2:$G$801, 0)+1))&lt;=31,3,IF(INDEX(ERP資料!$G:$G, (MATCH(113, 輔助計算!$G$2:$G$801, 0)+1))&lt;=46.5,2,1)), IF(INDEX(ERP資料!$G:$G, (MATCH(113, 輔助計算!$G$2:$G$801, 0)+1))&lt;=790,3,IF(INDEX(ERP資料!$G:$G, (MATCH(113, 輔助計算!$G$2:$G$801, 0)+1))&lt;=1181,2,1)))=2,TEXT(INDEX(ERP資料!$G:$G, (MATCH(113, 輔助計算!$G$2:$G$801, 0)+1)),"0.##")&amp;"+"&amp;TEXT(INDEX(ERP資料!$G:$G, (MATCH(113, 輔助計算!$G$2:$G$801, 0)+1)),"0.##"),TEXT(INDEX(ERP資料!$G:$G, (MATCH(113, 輔助計算!$G$2:$G$801, 0)+1)),"0.##")&amp;"+"&amp;TEXT(INDEX(ERP資料!$G:$G, (MATCH(113, 輔助計算!$G$2:$G$801, 0)+1)),"0.##")&amp;"+"&amp;TEXT(INDEX(ERP資料!$G:$G, (MATCH(113, 輔助計算!$G$2:$G$801, 0)+1)),"0.##")))&amp;"-"&amp;INT(INDEX(輔助計算!$D:$D, (MATCH(113, 輔助計算!$G$2:$G$801, 0)+1))/IF(INDEX(ERP資料!$G:$G, (MATCH(113, 輔助計算!$G$2:$G$801, 0)+1))&lt;100, IF(INDEX(ERP資料!$G:$G, (MATCH(113, 輔助計算!$G$2:$G$801, 0)+1))&lt;=31,3,IF(INDEX(ERP資料!$G:$G, (MATCH(113, 輔助計算!$G$2:$G$801, 0)+1))&lt;=46.5,2,1)), IF(INDEX(ERP資料!$G:$G, (MATCH(113, 輔助計算!$G$2:$G$801, 0)+1))&lt;=790,3,IF(INDEX(ERP資料!$G:$G, (MATCH(113, 輔助計算!$G$2:$G$801, 0)+1))&lt;=1181,2,1)))), "")&amp;IF(AND(IF(INT(INDEX(輔助計算!$D:$D, (MATCH(113, 輔助計算!$G$2:$G$801, 0)+1))/IF(INDEX(ERP資料!$G:$G, (MATCH(113, 輔助計算!$G$2:$G$801, 0)+1))&lt;100, IF(INDEX(ERP資料!$G:$G, (MATCH(113, 輔助計算!$G$2:$G$801, 0)+1))&lt;=31,3,IF(INDEX(ERP資料!$G:$G, (MATCH(113, 輔助計算!$G$2:$G$801, 0)+1))&lt;=46.5,2,1)), IF(INDEX(ERP資料!$G:$G, (MATCH(113, 輔助計算!$G$2:$G$801, 0)+1))&lt;=790,3,IF(INDEX(ERP資料!$G:$G, (MATCH(113, 輔助計算!$G$2:$G$801, 0)+1))&lt;=1181,2,1))))&gt;0, IF(IF(INDEX(ERP資料!$G:$G, (MATCH(113, 輔助計算!$G$2:$G$801, 0)+1))&lt;100, IF(INDEX(ERP資料!$G:$G, (MATCH(113, 輔助計算!$G$2:$G$801, 0)+1))&lt;=31,3,IF(INDEX(ERP資料!$G:$G, (MATCH(113, 輔助計算!$G$2:$G$801, 0)+1))&lt;=46.5,2,1)), IF(INDEX(ERP資料!$G:$G, (MATCH(113, 輔助計算!$G$2:$G$801, 0)+1))&lt;=790,3,IF(INDEX(ERP資料!$G:$G, (MATCH(113, 輔助計算!$G$2:$G$801, 0)+1))&lt;=1181,2,1)))=1,TEXT(INDEX(ERP資料!$G:$G, (MATCH(113, 輔助計算!$G$2:$G$801, 0)+1)),"0.##"),IF(IF(INDEX(ERP資料!$G:$G, (MATCH(113, 輔助計算!$G$2:$G$801, 0)+1))&lt;100, IF(INDEX(ERP資料!$G:$G, (MATCH(113, 輔助計算!$G$2:$G$801, 0)+1))&lt;=31,3,IF(INDEX(ERP資料!$G:$G, (MATCH(113, 輔助計算!$G$2:$G$801, 0)+1))&lt;=46.5,2,1)), IF(INDEX(ERP資料!$G:$G, (MATCH(113, 輔助計算!$G$2:$G$801, 0)+1))&lt;=790,3,IF(INDEX(ERP資料!$G:$G, (MATCH(113, 輔助計算!$G$2:$G$801, 0)+1))&lt;=1181,2,1)))=2,TEXT(INDEX(ERP資料!$G:$G, (MATCH(113, 輔助計算!$G$2:$G$801, 0)+1)),"0.##")&amp;"+"&amp;TEXT(INDEX(ERP資料!$G:$G, (MATCH(113, 輔助計算!$G$2:$G$801, 0)+1)),"0.##"),TEXT(INDEX(ERP資料!$G:$G, (MATCH(113, 輔助計算!$G$2:$G$801, 0)+1)),"0.##")&amp;"+"&amp;TEXT(INDEX(ERP資料!$G:$G, (MATCH(113, 輔助計算!$G$2:$G$801, 0)+1)),"0.##")&amp;"+"&amp;TEXT(INDEX(ERP資料!$G:$G, (MATCH(113, 輔助計算!$G$2:$G$801, 0)+1)),"0.##")))&amp;"-"&amp;INT(INDEX(輔助計算!$D:$D, (MATCH(113, 輔助計算!$G$2:$G$801, 0)+1))/IF(INDEX(ERP資料!$G:$G, (MATCH(113, 輔助計算!$G$2:$G$801, 0)+1))&lt;100, IF(INDEX(ERP資料!$G:$G, (MATCH(113, 輔助計算!$G$2:$G$801, 0)+1))&lt;=31,3,IF(INDEX(ERP資料!$G:$G, (MATCH(113, 輔助計算!$G$2:$G$801, 0)+1))&lt;=46.5,2,1)), IF(INDEX(ERP資料!$G:$G, (MATCH(113, 輔助計算!$G$2:$G$801, 0)+1))&lt;=790,3,IF(INDEX(ERP資料!$G:$G, (MATCH(113, 輔助計算!$G$2:$G$801, 0)+1))&lt;=1181,2,1)))), "")&lt;&gt;"",IF(MOD(INDEX(輔助計算!$D:$D, (MATCH(113, 輔助計算!$G$2:$G$801, 0)+1)),IF(INDEX(ERP資料!$G:$G, (MATCH(113, 輔助計算!$G$2:$G$801, 0)+1))&lt;100, IF(INDEX(ERP資料!$G:$G, (MATCH(113, 輔助計算!$G$2:$G$801, 0)+1))&lt;=31,3,IF(INDEX(ERP資料!$G:$G, (MATCH(113, 輔助計算!$G$2:$G$801, 0)+1))&lt;=46.5,2,1)), IF(INDEX(ERP資料!$G:$G, (MATCH(113, 輔助計算!$G$2:$G$801, 0)+1))&lt;=790,3,IF(INDEX(ERP資料!$G:$G, (MATCH(113, 輔助計算!$G$2:$G$801, 0)+1))&lt;=1181,2,1))))=0,"",IF(MOD(INDEX(輔助計算!$D:$D, (MATCH(113, 輔助計算!$G$2:$G$801, 0)+1)),IF(INDEX(ERP資料!$G:$G, (MATCH(113, 輔助計算!$G$2:$G$801, 0)+1))&lt;100, IF(INDEX(ERP資料!$G:$G, (MATCH(113, 輔助計算!$G$2:$G$801, 0)+1))&lt;=31,3,IF(INDEX(ERP資料!$G:$G, (MATCH(113, 輔助計算!$G$2:$G$801, 0)+1))&lt;=46.5,2,1)), IF(INDEX(ERP資料!$G:$G, (MATCH(113, 輔助計算!$G$2:$G$801, 0)+1))&lt;=790,3,IF(INDEX(ERP資料!$G:$G, (MATCH(113, 輔助計算!$G$2:$G$801, 0)+1))&lt;=1181,2,1))))=0,"",IF(MOD(INDEX(輔助計算!$D:$D, (MATCH(113, 輔助計算!$G$2:$G$801, 0)+1)),IF(INDEX(ERP資料!$G:$G, (MATCH(113, 輔助計算!$G$2:$G$801, 0)+1))&lt;100, IF(INDEX(ERP資料!$G:$G, (MATCH(113, 輔助計算!$G$2:$G$801, 0)+1))&lt;=31,3,IF(INDEX(ERP資料!$G:$G, (MATCH(113, 輔助計算!$G$2:$G$801, 0)+1))&lt;=46.5,2,1)), IF(INDEX(ERP資料!$G:$G, (MATCH(113, 輔助計算!$G$2:$G$801, 0)+1))&lt;=790,3,IF(INDEX(ERP資料!$G:$G, (MATCH(113, 輔助計算!$G$2:$G$801, 0)+1))&lt;=1181,2,1))))=1,TEXT(INDEX(ERP資料!$G:$G, (MATCH(113, 輔助計算!$G$2:$G$801, 0)+1)),"0.##"),IF(MOD(INDEX(輔助計算!$D:$D, (MATCH(113, 輔助計算!$G$2:$G$801, 0)+1)),IF(INDEX(ERP資料!$G:$G, (MATCH(113, 輔助計算!$G$2:$G$801, 0)+1))&lt;100, IF(INDEX(ERP資料!$G:$G, (MATCH(113, 輔助計算!$G$2:$G$801, 0)+1))&lt;=31,3,IF(INDEX(ERP資料!$G:$G, (MATCH(113, 輔助計算!$G$2:$G$801, 0)+1))&lt;=46.5,2,1)), IF(INDEX(ERP資料!$G:$G, (MATCH(113, 輔助計算!$G$2:$G$801, 0)+1))&lt;=790,3,IF(INDEX(ERP資料!$G:$G, (MATCH(113, 輔助計算!$G$2:$G$801, 0)+1))&lt;=1181,2,1))))=2,TEXT(INDEX(ERP資料!$G:$G, (MATCH(113, 輔助計算!$G$2:$G$801, 0)+1)),"0.##")&amp;"+"&amp;TEXT(INDEX(ERP資料!$G:$G, (MATCH(113, 輔助計算!$G$2:$G$801, 0)+1)),"0.##"),TEXT(INDEX(ERP資料!$G:$G, (MATCH(113, 輔助計算!$G$2:$G$801, 0)+1)),"0.##")&amp;"+"&amp;TEXT(INDEX(ERP資料!$G:$G, (MATCH(113, 輔助計算!$G$2:$G$801, 0)+1)),"0.##")&amp;"+"&amp;TEXT(INDEX(ERP資料!$G:$G, (MATCH(113, 輔助計算!$G$2:$G$801, 0)+1)),"0.##"))))&amp;"-1")&lt;&gt;""),"  ","")&amp;IF(MOD(INDEX(輔助計算!$D:$D, (MATCH(113, 輔助計算!$G$2:$G$801, 0)+1)),IF(INDEX(ERP資料!$G:$G, (MATCH(113, 輔助計算!$G$2:$G$801, 0)+1))&lt;100, IF(INDEX(ERP資料!$G:$G, (MATCH(113, 輔助計算!$G$2:$G$801, 0)+1))&lt;=31,3,IF(INDEX(ERP資料!$G:$G, (MATCH(113, 輔助計算!$G$2:$G$801, 0)+1))&lt;=46.5,2,1)), IF(INDEX(ERP資料!$G:$G, (MATCH(113, 輔助計算!$G$2:$G$801, 0)+1))&lt;=790,3,IF(INDEX(ERP資料!$G:$G, (MATCH(113, 輔助計算!$G$2:$G$801, 0)+1))&lt;=1181,2,1))))=0,"",IF(MOD(INDEX(輔助計算!$D:$D, (MATCH(113, 輔助計算!$G$2:$G$801, 0)+1)),IF(INDEX(ERP資料!$G:$G, (MATCH(113, 輔助計算!$G$2:$G$801, 0)+1))&lt;100, IF(INDEX(ERP資料!$G:$G, (MATCH(113, 輔助計算!$G$2:$G$801, 0)+1))&lt;=31,3,IF(INDEX(ERP資料!$G:$G, (MATCH(113, 輔助計算!$G$2:$G$801, 0)+1))&lt;=46.5,2,1)), IF(INDEX(ERP資料!$G:$G, (MATCH(113, 輔助計算!$G$2:$G$801, 0)+1))&lt;=790,3,IF(INDEX(ERP資料!$G:$G, (MATCH(113, 輔助計算!$G$2:$G$801, 0)+1))&lt;=1181,2,1))))=0,"",IF(MOD(INDEX(輔助計算!$D:$D, (MATCH(113, 輔助計算!$G$2:$G$801, 0)+1)),IF(INDEX(ERP資料!$G:$G, (MATCH(113, 輔助計算!$G$2:$G$801, 0)+1))&lt;100, IF(INDEX(ERP資料!$G:$G, (MATCH(113, 輔助計算!$G$2:$G$801, 0)+1))&lt;=31,3,IF(INDEX(ERP資料!$G:$G, (MATCH(113, 輔助計算!$G$2:$G$801, 0)+1))&lt;=46.5,2,1)), IF(INDEX(ERP資料!$G:$G, (MATCH(113, 輔助計算!$G$2:$G$801, 0)+1))&lt;=790,3,IF(INDEX(ERP資料!$G:$G, (MATCH(113, 輔助計算!$G$2:$G$801, 0)+1))&lt;=1181,2,1))))=1,TEXT(INDEX(ERP資料!$G:$G, (MATCH(113, 輔助計算!$G$2:$G$801, 0)+1)),"0.##"),IF(MOD(INDEX(輔助計算!$D:$D, (MATCH(113, 輔助計算!$G$2:$G$801, 0)+1)),IF(INDEX(ERP資料!$G:$G, (MATCH(113, 輔助計算!$G$2:$G$801, 0)+1))&lt;100, IF(INDEX(ERP資料!$G:$G, (MATCH(113, 輔助計算!$G$2:$G$801, 0)+1))&lt;=31,3,IF(INDEX(ERP資料!$G:$G, (MATCH(113, 輔助計算!$G$2:$G$801, 0)+1))&lt;=46.5,2,1)), IF(INDEX(ERP資料!$G:$G, (MATCH(113, 輔助計算!$G$2:$G$801, 0)+1))&lt;=790,3,IF(INDEX(ERP資料!$G:$G, (MATCH(113, 輔助計算!$G$2:$G$801, 0)+1))&lt;=1181,2,1))))=2,TEXT(INDEX(ERP資料!$G:$G, (MATCH(113, 輔助計算!$G$2:$G$801, 0)+1)),"0.##")&amp;"+"&amp;TEXT(INDEX(ERP資料!$G:$G, (MATCH(113, 輔助計算!$G$2:$G$801, 0)+1)),"0.##"),TEXT(INDEX(ERP資料!$G:$G, (MATCH(113, 輔助計算!$G$2:$G$801, 0)+1)),"0.##")&amp;"+"&amp;TEXT(INDEX(ERP資料!$G:$G, (MATCH(113, 輔助計算!$G$2:$G$801, 0)+1)),"0.##")&amp;"+"&amp;TEXT(INDEX(ERP資料!$G:$G, (MATCH(113, 輔助計算!$G$2:$G$801, 0)+1)),"0.##"))))&amp;"-1")), ""), "")</f>
        <v/>
      </c>
      <c r="K114" s="16" t="n"/>
      <c r="L114" s="14">
        <f>IFERROR(IF(AND(IFERROR(INDEX(ERP資料!$A:$A, (MATCH(113, 輔助計算!$G$2:$G$801, 0)+1)), "")&lt;&gt;"", IFERROR(INDEX(ERP資料!$A:$A, (MATCH(113, 輔助計算!$G$2:$G$801, 0)+1)), "")&lt;&gt;IFERROR(INDEX(ERP資料!$A:$A, MATCH(112, 輔助計算!$G$2:$G$801, 0)+1), "")), INDEX(ERP資料!$B:$B, (MATCH(113, 輔助計算!$G$2:$G$801, 0)+1)), ""), "")</f>
        <v/>
      </c>
      <c r="M114" s="17" t="n"/>
    </row>
    <row r="115">
      <c r="A115" s="10">
        <f>IFERROR(IF(AND(IFERROR(INDEX(ERP資料!$A:$A, (MATCH(114, 輔助計算!$G$2:$G$801, 0)+1)), "")&lt;&gt;"", IFERROR(INDEX(ERP資料!$A:$A, (MATCH(114, 輔助計算!$G$2:$G$801, 0)+1)), "")&lt;&gt;IFERROR(INDEX(ERP資料!$A:$A, MATCH(113, 輔助計算!$G$2:$G$801, 0)+1), "")), IFERROR(INDEX(ERP資料!$A:$A, (MATCH(114, 輔助計算!$G$2:$G$801, 0)+1)), ""), ""), "")</f>
        <v/>
      </c>
      <c r="B115" s="10">
        <f>IFERROR(IF(AND(IFERROR(INDEX(ERP資料!$A:$A, (MATCH(114, 輔助計算!$G$2:$G$801, 0)+1)), "")&lt;&gt;"", IFERROR(INDEX(ERP資料!$A:$A, (MATCH(114, 輔助計算!$G$2:$G$801, 0)+1)), "")&lt;&gt;IFERROR(INDEX(ERP資料!$A:$A, MATCH(113, 輔助計算!$G$2:$G$801, 0)+1), "")), INDEX(ERP資料!$S:$S, (MATCH(114, 輔助計算!$G$2:$G$801, 0)+1)), ""), "")</f>
        <v/>
      </c>
      <c r="C115" s="19">
        <f>IFERROR(IF(AND(IFERROR(INDEX(ERP資料!$A:$A, (MATCH(114, 輔助計算!$G$2:$G$801, 0)+1)), "")&lt;&gt;"", IFERROR(INDEX(ERP資料!$A:$A, (MATCH(114, 輔助計算!$G$2:$G$801, 0)+1)), "")&lt;&gt;IFERROR(INDEX(ERP資料!$A:$A, MATCH(113, 輔助計算!$G$2:$G$801, 0)+1), "")), IFERROR(VLOOKUP(LEFT(INDEX(ERP資料!$S:$S, (MATCH(114, 輔助計算!$G$2:$G$801, 0)+1)), 4), 紙管對照表!$A:$C, 3, FALSE), ""), ""), "")</f>
        <v/>
      </c>
      <c r="D115" s="16" t="n"/>
      <c r="E115" s="10">
        <f>IFERROR(IF(INDEX(ERP資料!$H:$H, (MATCH(114, 輔助計算!$G$2:$G$801, 0)+1))="","",INDEX(ERP資料!$H:$H, (MATCH(114, 輔助計算!$G$2:$G$801, 0)+1))), "")</f>
        <v/>
      </c>
      <c r="F115" s="10">
        <f>IFERROR(IF(INDEX(ERP資料!$E:$E, (MATCH(114, 輔助計算!$G$2:$G$801, 0)+1))="","",TRIM(INDEX(ERP資料!$E:$E, (MATCH(114, 輔助計算!$G$2:$G$801, 0)+1)))), "")</f>
        <v/>
      </c>
      <c r="G115" s="10">
        <f>IFERROR(IF(INDEX(ERP資料!$F:$F, (MATCH(114, 輔助計算!$G$2:$G$801, 0)+1))="","",INDEX(ERP資料!$F:$F, (MATCH(114, 輔助計算!$G$2:$G$801, 0)+1))), "")</f>
        <v/>
      </c>
      <c r="H115" s="10">
        <f>IFERROR(IF(INDEX(ERP資料!$G:$G, (MATCH(114, 輔助計算!$G$2:$G$801, 0)+1))="","",INDEX(ERP資料!$G:$G, (MATCH(114, 輔助計算!$G$2:$G$801, 0)+1))), "")</f>
        <v/>
      </c>
      <c r="I115" s="15">
        <f>IFERROR(INDEX(輔助計算!$D:$D, (MATCH(114, 輔助計算!$G$2:$G$801, 0)+1)), "")</f>
        <v/>
      </c>
      <c r="J115" s="15">
        <f>IFERROR(IF(AND(INDEX(輔助計算!$D:$D, (MATCH(114, 輔助計算!$G$2:$G$801, 0)+1))&lt;&gt;"", INDEX(ERP資料!$G:$G, (MATCH(114, 輔助計算!$G$2:$G$801, 0)+1))&lt;&gt;""), TRIM(IF(INT(INDEX(輔助計算!$D:$D, (MATCH(114, 輔助計算!$G$2:$G$801, 0)+1))/IF(INDEX(ERP資料!$G:$G, (MATCH(114, 輔助計算!$G$2:$G$801, 0)+1))&lt;100, IF(INDEX(ERP資料!$G:$G, (MATCH(114, 輔助計算!$G$2:$G$801, 0)+1))&lt;=31,3,IF(INDEX(ERP資料!$G:$G, (MATCH(114, 輔助計算!$G$2:$G$801, 0)+1))&lt;=46.5,2,1)), IF(INDEX(ERP資料!$G:$G, (MATCH(114, 輔助計算!$G$2:$G$801, 0)+1))&lt;=790,3,IF(INDEX(ERP資料!$G:$G, (MATCH(114, 輔助計算!$G$2:$G$801, 0)+1))&lt;=1181,2,1))))&gt;0, IF(IF(INDEX(ERP資料!$G:$G, (MATCH(114, 輔助計算!$G$2:$G$801, 0)+1))&lt;100, IF(INDEX(ERP資料!$G:$G, (MATCH(114, 輔助計算!$G$2:$G$801, 0)+1))&lt;=31,3,IF(INDEX(ERP資料!$G:$G, (MATCH(114, 輔助計算!$G$2:$G$801, 0)+1))&lt;=46.5,2,1)), IF(INDEX(ERP資料!$G:$G, (MATCH(114, 輔助計算!$G$2:$G$801, 0)+1))&lt;=790,3,IF(INDEX(ERP資料!$G:$G, (MATCH(114, 輔助計算!$G$2:$G$801, 0)+1))&lt;=1181,2,1)))=1,TEXT(INDEX(ERP資料!$G:$G, (MATCH(114, 輔助計算!$G$2:$G$801, 0)+1)),"0.##"),IF(IF(INDEX(ERP資料!$G:$G, (MATCH(114, 輔助計算!$G$2:$G$801, 0)+1))&lt;100, IF(INDEX(ERP資料!$G:$G, (MATCH(114, 輔助計算!$G$2:$G$801, 0)+1))&lt;=31,3,IF(INDEX(ERP資料!$G:$G, (MATCH(114, 輔助計算!$G$2:$G$801, 0)+1))&lt;=46.5,2,1)), IF(INDEX(ERP資料!$G:$G, (MATCH(114, 輔助計算!$G$2:$G$801, 0)+1))&lt;=790,3,IF(INDEX(ERP資料!$G:$G, (MATCH(114, 輔助計算!$G$2:$G$801, 0)+1))&lt;=1181,2,1)))=2,TEXT(INDEX(ERP資料!$G:$G, (MATCH(114, 輔助計算!$G$2:$G$801, 0)+1)),"0.##")&amp;"+"&amp;TEXT(INDEX(ERP資料!$G:$G, (MATCH(114, 輔助計算!$G$2:$G$801, 0)+1)),"0.##"),TEXT(INDEX(ERP資料!$G:$G, (MATCH(114, 輔助計算!$G$2:$G$801, 0)+1)),"0.##")&amp;"+"&amp;TEXT(INDEX(ERP資料!$G:$G, (MATCH(114, 輔助計算!$G$2:$G$801, 0)+1)),"0.##")&amp;"+"&amp;TEXT(INDEX(ERP資料!$G:$G, (MATCH(114, 輔助計算!$G$2:$G$801, 0)+1)),"0.##")))&amp;"-"&amp;INT(INDEX(輔助計算!$D:$D, (MATCH(114, 輔助計算!$G$2:$G$801, 0)+1))/IF(INDEX(ERP資料!$G:$G, (MATCH(114, 輔助計算!$G$2:$G$801, 0)+1))&lt;100, IF(INDEX(ERP資料!$G:$G, (MATCH(114, 輔助計算!$G$2:$G$801, 0)+1))&lt;=31,3,IF(INDEX(ERP資料!$G:$G, (MATCH(114, 輔助計算!$G$2:$G$801, 0)+1))&lt;=46.5,2,1)), IF(INDEX(ERP資料!$G:$G, (MATCH(114, 輔助計算!$G$2:$G$801, 0)+1))&lt;=790,3,IF(INDEX(ERP資料!$G:$G, (MATCH(114, 輔助計算!$G$2:$G$801, 0)+1))&lt;=1181,2,1)))), "")&amp;IF(AND(IF(INT(INDEX(輔助計算!$D:$D, (MATCH(114, 輔助計算!$G$2:$G$801, 0)+1))/IF(INDEX(ERP資料!$G:$G, (MATCH(114, 輔助計算!$G$2:$G$801, 0)+1))&lt;100, IF(INDEX(ERP資料!$G:$G, (MATCH(114, 輔助計算!$G$2:$G$801, 0)+1))&lt;=31,3,IF(INDEX(ERP資料!$G:$G, (MATCH(114, 輔助計算!$G$2:$G$801, 0)+1))&lt;=46.5,2,1)), IF(INDEX(ERP資料!$G:$G, (MATCH(114, 輔助計算!$G$2:$G$801, 0)+1))&lt;=790,3,IF(INDEX(ERP資料!$G:$G, (MATCH(114, 輔助計算!$G$2:$G$801, 0)+1))&lt;=1181,2,1))))&gt;0, IF(IF(INDEX(ERP資料!$G:$G, (MATCH(114, 輔助計算!$G$2:$G$801, 0)+1))&lt;100, IF(INDEX(ERP資料!$G:$G, (MATCH(114, 輔助計算!$G$2:$G$801, 0)+1))&lt;=31,3,IF(INDEX(ERP資料!$G:$G, (MATCH(114, 輔助計算!$G$2:$G$801, 0)+1))&lt;=46.5,2,1)), IF(INDEX(ERP資料!$G:$G, (MATCH(114, 輔助計算!$G$2:$G$801, 0)+1))&lt;=790,3,IF(INDEX(ERP資料!$G:$G, (MATCH(114, 輔助計算!$G$2:$G$801, 0)+1))&lt;=1181,2,1)))=1,TEXT(INDEX(ERP資料!$G:$G, (MATCH(114, 輔助計算!$G$2:$G$801, 0)+1)),"0.##"),IF(IF(INDEX(ERP資料!$G:$G, (MATCH(114, 輔助計算!$G$2:$G$801, 0)+1))&lt;100, IF(INDEX(ERP資料!$G:$G, (MATCH(114, 輔助計算!$G$2:$G$801, 0)+1))&lt;=31,3,IF(INDEX(ERP資料!$G:$G, (MATCH(114, 輔助計算!$G$2:$G$801, 0)+1))&lt;=46.5,2,1)), IF(INDEX(ERP資料!$G:$G, (MATCH(114, 輔助計算!$G$2:$G$801, 0)+1))&lt;=790,3,IF(INDEX(ERP資料!$G:$G, (MATCH(114, 輔助計算!$G$2:$G$801, 0)+1))&lt;=1181,2,1)))=2,TEXT(INDEX(ERP資料!$G:$G, (MATCH(114, 輔助計算!$G$2:$G$801, 0)+1)),"0.##")&amp;"+"&amp;TEXT(INDEX(ERP資料!$G:$G, (MATCH(114, 輔助計算!$G$2:$G$801, 0)+1)),"0.##"),TEXT(INDEX(ERP資料!$G:$G, (MATCH(114, 輔助計算!$G$2:$G$801, 0)+1)),"0.##")&amp;"+"&amp;TEXT(INDEX(ERP資料!$G:$G, (MATCH(114, 輔助計算!$G$2:$G$801, 0)+1)),"0.##")&amp;"+"&amp;TEXT(INDEX(ERP資料!$G:$G, (MATCH(114, 輔助計算!$G$2:$G$801, 0)+1)),"0.##")))&amp;"-"&amp;INT(INDEX(輔助計算!$D:$D, (MATCH(114, 輔助計算!$G$2:$G$801, 0)+1))/IF(INDEX(ERP資料!$G:$G, (MATCH(114, 輔助計算!$G$2:$G$801, 0)+1))&lt;100, IF(INDEX(ERP資料!$G:$G, (MATCH(114, 輔助計算!$G$2:$G$801, 0)+1))&lt;=31,3,IF(INDEX(ERP資料!$G:$G, (MATCH(114, 輔助計算!$G$2:$G$801, 0)+1))&lt;=46.5,2,1)), IF(INDEX(ERP資料!$G:$G, (MATCH(114, 輔助計算!$G$2:$G$801, 0)+1))&lt;=790,3,IF(INDEX(ERP資料!$G:$G, (MATCH(114, 輔助計算!$G$2:$G$801, 0)+1))&lt;=1181,2,1)))), "")&lt;&gt;"",IF(MOD(INDEX(輔助計算!$D:$D, (MATCH(114, 輔助計算!$G$2:$G$801, 0)+1)),IF(INDEX(ERP資料!$G:$G, (MATCH(114, 輔助計算!$G$2:$G$801, 0)+1))&lt;100, IF(INDEX(ERP資料!$G:$G, (MATCH(114, 輔助計算!$G$2:$G$801, 0)+1))&lt;=31,3,IF(INDEX(ERP資料!$G:$G, (MATCH(114, 輔助計算!$G$2:$G$801, 0)+1))&lt;=46.5,2,1)), IF(INDEX(ERP資料!$G:$G, (MATCH(114, 輔助計算!$G$2:$G$801, 0)+1))&lt;=790,3,IF(INDEX(ERP資料!$G:$G, (MATCH(114, 輔助計算!$G$2:$G$801, 0)+1))&lt;=1181,2,1))))=0,"",IF(MOD(INDEX(輔助計算!$D:$D, (MATCH(114, 輔助計算!$G$2:$G$801, 0)+1)),IF(INDEX(ERP資料!$G:$G, (MATCH(114, 輔助計算!$G$2:$G$801, 0)+1))&lt;100, IF(INDEX(ERP資料!$G:$G, (MATCH(114, 輔助計算!$G$2:$G$801, 0)+1))&lt;=31,3,IF(INDEX(ERP資料!$G:$G, (MATCH(114, 輔助計算!$G$2:$G$801, 0)+1))&lt;=46.5,2,1)), IF(INDEX(ERP資料!$G:$G, (MATCH(114, 輔助計算!$G$2:$G$801, 0)+1))&lt;=790,3,IF(INDEX(ERP資料!$G:$G, (MATCH(114, 輔助計算!$G$2:$G$801, 0)+1))&lt;=1181,2,1))))=0,"",IF(MOD(INDEX(輔助計算!$D:$D, (MATCH(114, 輔助計算!$G$2:$G$801, 0)+1)),IF(INDEX(ERP資料!$G:$G, (MATCH(114, 輔助計算!$G$2:$G$801, 0)+1))&lt;100, IF(INDEX(ERP資料!$G:$G, (MATCH(114, 輔助計算!$G$2:$G$801, 0)+1))&lt;=31,3,IF(INDEX(ERP資料!$G:$G, (MATCH(114, 輔助計算!$G$2:$G$801, 0)+1))&lt;=46.5,2,1)), IF(INDEX(ERP資料!$G:$G, (MATCH(114, 輔助計算!$G$2:$G$801, 0)+1))&lt;=790,3,IF(INDEX(ERP資料!$G:$G, (MATCH(114, 輔助計算!$G$2:$G$801, 0)+1))&lt;=1181,2,1))))=1,TEXT(INDEX(ERP資料!$G:$G, (MATCH(114, 輔助計算!$G$2:$G$801, 0)+1)),"0.##"),IF(MOD(INDEX(輔助計算!$D:$D, (MATCH(114, 輔助計算!$G$2:$G$801, 0)+1)),IF(INDEX(ERP資料!$G:$G, (MATCH(114, 輔助計算!$G$2:$G$801, 0)+1))&lt;100, IF(INDEX(ERP資料!$G:$G, (MATCH(114, 輔助計算!$G$2:$G$801, 0)+1))&lt;=31,3,IF(INDEX(ERP資料!$G:$G, (MATCH(114, 輔助計算!$G$2:$G$801, 0)+1))&lt;=46.5,2,1)), IF(INDEX(ERP資料!$G:$G, (MATCH(114, 輔助計算!$G$2:$G$801, 0)+1))&lt;=790,3,IF(INDEX(ERP資料!$G:$G, (MATCH(114, 輔助計算!$G$2:$G$801, 0)+1))&lt;=1181,2,1))))=2,TEXT(INDEX(ERP資料!$G:$G, (MATCH(114, 輔助計算!$G$2:$G$801, 0)+1)),"0.##")&amp;"+"&amp;TEXT(INDEX(ERP資料!$G:$G, (MATCH(114, 輔助計算!$G$2:$G$801, 0)+1)),"0.##"),TEXT(INDEX(ERP資料!$G:$G, (MATCH(114, 輔助計算!$G$2:$G$801, 0)+1)),"0.##")&amp;"+"&amp;TEXT(INDEX(ERP資料!$G:$G, (MATCH(114, 輔助計算!$G$2:$G$801, 0)+1)),"0.##")&amp;"+"&amp;TEXT(INDEX(ERP資料!$G:$G, (MATCH(114, 輔助計算!$G$2:$G$801, 0)+1)),"0.##"))))&amp;"-1")&lt;&gt;""),"  ","")&amp;IF(MOD(INDEX(輔助計算!$D:$D, (MATCH(114, 輔助計算!$G$2:$G$801, 0)+1)),IF(INDEX(ERP資料!$G:$G, (MATCH(114, 輔助計算!$G$2:$G$801, 0)+1))&lt;100, IF(INDEX(ERP資料!$G:$G, (MATCH(114, 輔助計算!$G$2:$G$801, 0)+1))&lt;=31,3,IF(INDEX(ERP資料!$G:$G, (MATCH(114, 輔助計算!$G$2:$G$801, 0)+1))&lt;=46.5,2,1)), IF(INDEX(ERP資料!$G:$G, (MATCH(114, 輔助計算!$G$2:$G$801, 0)+1))&lt;=790,3,IF(INDEX(ERP資料!$G:$G, (MATCH(114, 輔助計算!$G$2:$G$801, 0)+1))&lt;=1181,2,1))))=0,"",IF(MOD(INDEX(輔助計算!$D:$D, (MATCH(114, 輔助計算!$G$2:$G$801, 0)+1)),IF(INDEX(ERP資料!$G:$G, (MATCH(114, 輔助計算!$G$2:$G$801, 0)+1))&lt;100, IF(INDEX(ERP資料!$G:$G, (MATCH(114, 輔助計算!$G$2:$G$801, 0)+1))&lt;=31,3,IF(INDEX(ERP資料!$G:$G, (MATCH(114, 輔助計算!$G$2:$G$801, 0)+1))&lt;=46.5,2,1)), IF(INDEX(ERP資料!$G:$G, (MATCH(114, 輔助計算!$G$2:$G$801, 0)+1))&lt;=790,3,IF(INDEX(ERP資料!$G:$G, (MATCH(114, 輔助計算!$G$2:$G$801, 0)+1))&lt;=1181,2,1))))=0,"",IF(MOD(INDEX(輔助計算!$D:$D, (MATCH(114, 輔助計算!$G$2:$G$801, 0)+1)),IF(INDEX(ERP資料!$G:$G, (MATCH(114, 輔助計算!$G$2:$G$801, 0)+1))&lt;100, IF(INDEX(ERP資料!$G:$G, (MATCH(114, 輔助計算!$G$2:$G$801, 0)+1))&lt;=31,3,IF(INDEX(ERP資料!$G:$G, (MATCH(114, 輔助計算!$G$2:$G$801, 0)+1))&lt;=46.5,2,1)), IF(INDEX(ERP資料!$G:$G, (MATCH(114, 輔助計算!$G$2:$G$801, 0)+1))&lt;=790,3,IF(INDEX(ERP資料!$G:$G, (MATCH(114, 輔助計算!$G$2:$G$801, 0)+1))&lt;=1181,2,1))))=1,TEXT(INDEX(ERP資料!$G:$G, (MATCH(114, 輔助計算!$G$2:$G$801, 0)+1)),"0.##"),IF(MOD(INDEX(輔助計算!$D:$D, (MATCH(114, 輔助計算!$G$2:$G$801, 0)+1)),IF(INDEX(ERP資料!$G:$G, (MATCH(114, 輔助計算!$G$2:$G$801, 0)+1))&lt;100, IF(INDEX(ERP資料!$G:$G, (MATCH(114, 輔助計算!$G$2:$G$801, 0)+1))&lt;=31,3,IF(INDEX(ERP資料!$G:$G, (MATCH(114, 輔助計算!$G$2:$G$801, 0)+1))&lt;=46.5,2,1)), IF(INDEX(ERP資料!$G:$G, (MATCH(114, 輔助計算!$G$2:$G$801, 0)+1))&lt;=790,3,IF(INDEX(ERP資料!$G:$G, (MATCH(114, 輔助計算!$G$2:$G$801, 0)+1))&lt;=1181,2,1))))=2,TEXT(INDEX(ERP資料!$G:$G, (MATCH(114, 輔助計算!$G$2:$G$801, 0)+1)),"0.##")&amp;"+"&amp;TEXT(INDEX(ERP資料!$G:$G, (MATCH(114, 輔助計算!$G$2:$G$801, 0)+1)),"0.##"),TEXT(INDEX(ERP資料!$G:$G, (MATCH(114, 輔助計算!$G$2:$G$801, 0)+1)),"0.##")&amp;"+"&amp;TEXT(INDEX(ERP資料!$G:$G, (MATCH(114, 輔助計算!$G$2:$G$801, 0)+1)),"0.##")&amp;"+"&amp;TEXT(INDEX(ERP資料!$G:$G, (MATCH(114, 輔助計算!$G$2:$G$801, 0)+1)),"0.##"))))&amp;"-1")), ""), "")</f>
        <v/>
      </c>
      <c r="K115" s="16" t="n"/>
      <c r="L115" s="14">
        <f>IFERROR(IF(AND(IFERROR(INDEX(ERP資料!$A:$A, (MATCH(114, 輔助計算!$G$2:$G$801, 0)+1)), "")&lt;&gt;"", IFERROR(INDEX(ERP資料!$A:$A, (MATCH(114, 輔助計算!$G$2:$G$801, 0)+1)), "")&lt;&gt;IFERROR(INDEX(ERP資料!$A:$A, MATCH(113, 輔助計算!$G$2:$G$801, 0)+1), "")), INDEX(ERP資料!$B:$B, (MATCH(114, 輔助計算!$G$2:$G$801, 0)+1)), ""), "")</f>
        <v/>
      </c>
      <c r="M115" s="17" t="n"/>
    </row>
    <row r="116">
      <c r="A116" s="10">
        <f>IFERROR(IF(AND(IFERROR(INDEX(ERP資料!$A:$A, (MATCH(115, 輔助計算!$G$2:$G$801, 0)+1)), "")&lt;&gt;"", IFERROR(INDEX(ERP資料!$A:$A, (MATCH(115, 輔助計算!$G$2:$G$801, 0)+1)), "")&lt;&gt;IFERROR(INDEX(ERP資料!$A:$A, MATCH(114, 輔助計算!$G$2:$G$801, 0)+1), "")), IFERROR(INDEX(ERP資料!$A:$A, (MATCH(115, 輔助計算!$G$2:$G$801, 0)+1)), ""), ""), "")</f>
        <v/>
      </c>
      <c r="B116" s="10">
        <f>IFERROR(IF(AND(IFERROR(INDEX(ERP資料!$A:$A, (MATCH(115, 輔助計算!$G$2:$G$801, 0)+1)), "")&lt;&gt;"", IFERROR(INDEX(ERP資料!$A:$A, (MATCH(115, 輔助計算!$G$2:$G$801, 0)+1)), "")&lt;&gt;IFERROR(INDEX(ERP資料!$A:$A, MATCH(114, 輔助計算!$G$2:$G$801, 0)+1), "")), INDEX(ERP資料!$S:$S, (MATCH(115, 輔助計算!$G$2:$G$801, 0)+1)), ""), "")</f>
        <v/>
      </c>
      <c r="C116" s="19">
        <f>IFERROR(IF(AND(IFERROR(INDEX(ERP資料!$A:$A, (MATCH(115, 輔助計算!$G$2:$G$801, 0)+1)), "")&lt;&gt;"", IFERROR(INDEX(ERP資料!$A:$A, (MATCH(115, 輔助計算!$G$2:$G$801, 0)+1)), "")&lt;&gt;IFERROR(INDEX(ERP資料!$A:$A, MATCH(114, 輔助計算!$G$2:$G$801, 0)+1), "")), IFERROR(VLOOKUP(LEFT(INDEX(ERP資料!$S:$S, (MATCH(115, 輔助計算!$G$2:$G$801, 0)+1)), 4), 紙管對照表!$A:$C, 3, FALSE), ""), ""), "")</f>
        <v/>
      </c>
      <c r="D116" s="16" t="n"/>
      <c r="E116" s="10">
        <f>IFERROR(IF(INDEX(ERP資料!$H:$H, (MATCH(115, 輔助計算!$G$2:$G$801, 0)+1))="","",INDEX(ERP資料!$H:$H, (MATCH(115, 輔助計算!$G$2:$G$801, 0)+1))), "")</f>
        <v/>
      </c>
      <c r="F116" s="10">
        <f>IFERROR(IF(INDEX(ERP資料!$E:$E, (MATCH(115, 輔助計算!$G$2:$G$801, 0)+1))="","",TRIM(INDEX(ERP資料!$E:$E, (MATCH(115, 輔助計算!$G$2:$G$801, 0)+1)))), "")</f>
        <v/>
      </c>
      <c r="G116" s="10">
        <f>IFERROR(IF(INDEX(ERP資料!$F:$F, (MATCH(115, 輔助計算!$G$2:$G$801, 0)+1))="","",INDEX(ERP資料!$F:$F, (MATCH(115, 輔助計算!$G$2:$G$801, 0)+1))), "")</f>
        <v/>
      </c>
      <c r="H116" s="10">
        <f>IFERROR(IF(INDEX(ERP資料!$G:$G, (MATCH(115, 輔助計算!$G$2:$G$801, 0)+1))="","",INDEX(ERP資料!$G:$G, (MATCH(115, 輔助計算!$G$2:$G$801, 0)+1))), "")</f>
        <v/>
      </c>
      <c r="I116" s="15">
        <f>IFERROR(INDEX(輔助計算!$D:$D, (MATCH(115, 輔助計算!$G$2:$G$801, 0)+1)), "")</f>
        <v/>
      </c>
      <c r="J116" s="15">
        <f>IFERROR(IF(AND(INDEX(輔助計算!$D:$D, (MATCH(115, 輔助計算!$G$2:$G$801, 0)+1))&lt;&gt;"", INDEX(ERP資料!$G:$G, (MATCH(115, 輔助計算!$G$2:$G$801, 0)+1))&lt;&gt;""), TRIM(IF(INT(INDEX(輔助計算!$D:$D, (MATCH(115, 輔助計算!$G$2:$G$801, 0)+1))/IF(INDEX(ERP資料!$G:$G, (MATCH(115, 輔助計算!$G$2:$G$801, 0)+1))&lt;100, IF(INDEX(ERP資料!$G:$G, (MATCH(115, 輔助計算!$G$2:$G$801, 0)+1))&lt;=31,3,IF(INDEX(ERP資料!$G:$G, (MATCH(115, 輔助計算!$G$2:$G$801, 0)+1))&lt;=46.5,2,1)), IF(INDEX(ERP資料!$G:$G, (MATCH(115, 輔助計算!$G$2:$G$801, 0)+1))&lt;=790,3,IF(INDEX(ERP資料!$G:$G, (MATCH(115, 輔助計算!$G$2:$G$801, 0)+1))&lt;=1181,2,1))))&gt;0, IF(IF(INDEX(ERP資料!$G:$G, (MATCH(115, 輔助計算!$G$2:$G$801, 0)+1))&lt;100, IF(INDEX(ERP資料!$G:$G, (MATCH(115, 輔助計算!$G$2:$G$801, 0)+1))&lt;=31,3,IF(INDEX(ERP資料!$G:$G, (MATCH(115, 輔助計算!$G$2:$G$801, 0)+1))&lt;=46.5,2,1)), IF(INDEX(ERP資料!$G:$G, (MATCH(115, 輔助計算!$G$2:$G$801, 0)+1))&lt;=790,3,IF(INDEX(ERP資料!$G:$G, (MATCH(115, 輔助計算!$G$2:$G$801, 0)+1))&lt;=1181,2,1)))=1,TEXT(INDEX(ERP資料!$G:$G, (MATCH(115, 輔助計算!$G$2:$G$801, 0)+1)),"0.##"),IF(IF(INDEX(ERP資料!$G:$G, (MATCH(115, 輔助計算!$G$2:$G$801, 0)+1))&lt;100, IF(INDEX(ERP資料!$G:$G, (MATCH(115, 輔助計算!$G$2:$G$801, 0)+1))&lt;=31,3,IF(INDEX(ERP資料!$G:$G, (MATCH(115, 輔助計算!$G$2:$G$801, 0)+1))&lt;=46.5,2,1)), IF(INDEX(ERP資料!$G:$G, (MATCH(115, 輔助計算!$G$2:$G$801, 0)+1))&lt;=790,3,IF(INDEX(ERP資料!$G:$G, (MATCH(115, 輔助計算!$G$2:$G$801, 0)+1))&lt;=1181,2,1)))=2,TEXT(INDEX(ERP資料!$G:$G, (MATCH(115, 輔助計算!$G$2:$G$801, 0)+1)),"0.##")&amp;"+"&amp;TEXT(INDEX(ERP資料!$G:$G, (MATCH(115, 輔助計算!$G$2:$G$801, 0)+1)),"0.##"),TEXT(INDEX(ERP資料!$G:$G, (MATCH(115, 輔助計算!$G$2:$G$801, 0)+1)),"0.##")&amp;"+"&amp;TEXT(INDEX(ERP資料!$G:$G, (MATCH(115, 輔助計算!$G$2:$G$801, 0)+1)),"0.##")&amp;"+"&amp;TEXT(INDEX(ERP資料!$G:$G, (MATCH(115, 輔助計算!$G$2:$G$801, 0)+1)),"0.##")))&amp;"-"&amp;INT(INDEX(輔助計算!$D:$D, (MATCH(115, 輔助計算!$G$2:$G$801, 0)+1))/IF(INDEX(ERP資料!$G:$G, (MATCH(115, 輔助計算!$G$2:$G$801, 0)+1))&lt;100, IF(INDEX(ERP資料!$G:$G, (MATCH(115, 輔助計算!$G$2:$G$801, 0)+1))&lt;=31,3,IF(INDEX(ERP資料!$G:$G, (MATCH(115, 輔助計算!$G$2:$G$801, 0)+1))&lt;=46.5,2,1)), IF(INDEX(ERP資料!$G:$G, (MATCH(115, 輔助計算!$G$2:$G$801, 0)+1))&lt;=790,3,IF(INDEX(ERP資料!$G:$G, (MATCH(115, 輔助計算!$G$2:$G$801, 0)+1))&lt;=1181,2,1)))), "")&amp;IF(AND(IF(INT(INDEX(輔助計算!$D:$D, (MATCH(115, 輔助計算!$G$2:$G$801, 0)+1))/IF(INDEX(ERP資料!$G:$G, (MATCH(115, 輔助計算!$G$2:$G$801, 0)+1))&lt;100, IF(INDEX(ERP資料!$G:$G, (MATCH(115, 輔助計算!$G$2:$G$801, 0)+1))&lt;=31,3,IF(INDEX(ERP資料!$G:$G, (MATCH(115, 輔助計算!$G$2:$G$801, 0)+1))&lt;=46.5,2,1)), IF(INDEX(ERP資料!$G:$G, (MATCH(115, 輔助計算!$G$2:$G$801, 0)+1))&lt;=790,3,IF(INDEX(ERP資料!$G:$G, (MATCH(115, 輔助計算!$G$2:$G$801, 0)+1))&lt;=1181,2,1))))&gt;0, IF(IF(INDEX(ERP資料!$G:$G, (MATCH(115, 輔助計算!$G$2:$G$801, 0)+1))&lt;100, IF(INDEX(ERP資料!$G:$G, (MATCH(115, 輔助計算!$G$2:$G$801, 0)+1))&lt;=31,3,IF(INDEX(ERP資料!$G:$G, (MATCH(115, 輔助計算!$G$2:$G$801, 0)+1))&lt;=46.5,2,1)), IF(INDEX(ERP資料!$G:$G, (MATCH(115, 輔助計算!$G$2:$G$801, 0)+1))&lt;=790,3,IF(INDEX(ERP資料!$G:$G, (MATCH(115, 輔助計算!$G$2:$G$801, 0)+1))&lt;=1181,2,1)))=1,TEXT(INDEX(ERP資料!$G:$G, (MATCH(115, 輔助計算!$G$2:$G$801, 0)+1)),"0.##"),IF(IF(INDEX(ERP資料!$G:$G, (MATCH(115, 輔助計算!$G$2:$G$801, 0)+1))&lt;100, IF(INDEX(ERP資料!$G:$G, (MATCH(115, 輔助計算!$G$2:$G$801, 0)+1))&lt;=31,3,IF(INDEX(ERP資料!$G:$G, (MATCH(115, 輔助計算!$G$2:$G$801, 0)+1))&lt;=46.5,2,1)), IF(INDEX(ERP資料!$G:$G, (MATCH(115, 輔助計算!$G$2:$G$801, 0)+1))&lt;=790,3,IF(INDEX(ERP資料!$G:$G, (MATCH(115, 輔助計算!$G$2:$G$801, 0)+1))&lt;=1181,2,1)))=2,TEXT(INDEX(ERP資料!$G:$G, (MATCH(115, 輔助計算!$G$2:$G$801, 0)+1)),"0.##")&amp;"+"&amp;TEXT(INDEX(ERP資料!$G:$G, (MATCH(115, 輔助計算!$G$2:$G$801, 0)+1)),"0.##"),TEXT(INDEX(ERP資料!$G:$G, (MATCH(115, 輔助計算!$G$2:$G$801, 0)+1)),"0.##")&amp;"+"&amp;TEXT(INDEX(ERP資料!$G:$G, (MATCH(115, 輔助計算!$G$2:$G$801, 0)+1)),"0.##")&amp;"+"&amp;TEXT(INDEX(ERP資料!$G:$G, (MATCH(115, 輔助計算!$G$2:$G$801, 0)+1)),"0.##")))&amp;"-"&amp;INT(INDEX(輔助計算!$D:$D, (MATCH(115, 輔助計算!$G$2:$G$801, 0)+1))/IF(INDEX(ERP資料!$G:$G, (MATCH(115, 輔助計算!$G$2:$G$801, 0)+1))&lt;100, IF(INDEX(ERP資料!$G:$G, (MATCH(115, 輔助計算!$G$2:$G$801, 0)+1))&lt;=31,3,IF(INDEX(ERP資料!$G:$G, (MATCH(115, 輔助計算!$G$2:$G$801, 0)+1))&lt;=46.5,2,1)), IF(INDEX(ERP資料!$G:$G, (MATCH(115, 輔助計算!$G$2:$G$801, 0)+1))&lt;=790,3,IF(INDEX(ERP資料!$G:$G, (MATCH(115, 輔助計算!$G$2:$G$801, 0)+1))&lt;=1181,2,1)))), "")&lt;&gt;"",IF(MOD(INDEX(輔助計算!$D:$D, (MATCH(115, 輔助計算!$G$2:$G$801, 0)+1)),IF(INDEX(ERP資料!$G:$G, (MATCH(115, 輔助計算!$G$2:$G$801, 0)+1))&lt;100, IF(INDEX(ERP資料!$G:$G, (MATCH(115, 輔助計算!$G$2:$G$801, 0)+1))&lt;=31,3,IF(INDEX(ERP資料!$G:$G, (MATCH(115, 輔助計算!$G$2:$G$801, 0)+1))&lt;=46.5,2,1)), IF(INDEX(ERP資料!$G:$G, (MATCH(115, 輔助計算!$G$2:$G$801, 0)+1))&lt;=790,3,IF(INDEX(ERP資料!$G:$G, (MATCH(115, 輔助計算!$G$2:$G$801, 0)+1))&lt;=1181,2,1))))=0,"",IF(MOD(INDEX(輔助計算!$D:$D, (MATCH(115, 輔助計算!$G$2:$G$801, 0)+1)),IF(INDEX(ERP資料!$G:$G, (MATCH(115, 輔助計算!$G$2:$G$801, 0)+1))&lt;100, IF(INDEX(ERP資料!$G:$G, (MATCH(115, 輔助計算!$G$2:$G$801, 0)+1))&lt;=31,3,IF(INDEX(ERP資料!$G:$G, (MATCH(115, 輔助計算!$G$2:$G$801, 0)+1))&lt;=46.5,2,1)), IF(INDEX(ERP資料!$G:$G, (MATCH(115, 輔助計算!$G$2:$G$801, 0)+1))&lt;=790,3,IF(INDEX(ERP資料!$G:$G, (MATCH(115, 輔助計算!$G$2:$G$801, 0)+1))&lt;=1181,2,1))))=0,"",IF(MOD(INDEX(輔助計算!$D:$D, (MATCH(115, 輔助計算!$G$2:$G$801, 0)+1)),IF(INDEX(ERP資料!$G:$G, (MATCH(115, 輔助計算!$G$2:$G$801, 0)+1))&lt;100, IF(INDEX(ERP資料!$G:$G, (MATCH(115, 輔助計算!$G$2:$G$801, 0)+1))&lt;=31,3,IF(INDEX(ERP資料!$G:$G, (MATCH(115, 輔助計算!$G$2:$G$801, 0)+1))&lt;=46.5,2,1)), IF(INDEX(ERP資料!$G:$G, (MATCH(115, 輔助計算!$G$2:$G$801, 0)+1))&lt;=790,3,IF(INDEX(ERP資料!$G:$G, (MATCH(115, 輔助計算!$G$2:$G$801, 0)+1))&lt;=1181,2,1))))=1,TEXT(INDEX(ERP資料!$G:$G, (MATCH(115, 輔助計算!$G$2:$G$801, 0)+1)),"0.##"),IF(MOD(INDEX(輔助計算!$D:$D, (MATCH(115, 輔助計算!$G$2:$G$801, 0)+1)),IF(INDEX(ERP資料!$G:$G, (MATCH(115, 輔助計算!$G$2:$G$801, 0)+1))&lt;100, IF(INDEX(ERP資料!$G:$G, (MATCH(115, 輔助計算!$G$2:$G$801, 0)+1))&lt;=31,3,IF(INDEX(ERP資料!$G:$G, (MATCH(115, 輔助計算!$G$2:$G$801, 0)+1))&lt;=46.5,2,1)), IF(INDEX(ERP資料!$G:$G, (MATCH(115, 輔助計算!$G$2:$G$801, 0)+1))&lt;=790,3,IF(INDEX(ERP資料!$G:$G, (MATCH(115, 輔助計算!$G$2:$G$801, 0)+1))&lt;=1181,2,1))))=2,TEXT(INDEX(ERP資料!$G:$G, (MATCH(115, 輔助計算!$G$2:$G$801, 0)+1)),"0.##")&amp;"+"&amp;TEXT(INDEX(ERP資料!$G:$G, (MATCH(115, 輔助計算!$G$2:$G$801, 0)+1)),"0.##"),TEXT(INDEX(ERP資料!$G:$G, (MATCH(115, 輔助計算!$G$2:$G$801, 0)+1)),"0.##")&amp;"+"&amp;TEXT(INDEX(ERP資料!$G:$G, (MATCH(115, 輔助計算!$G$2:$G$801, 0)+1)),"0.##")&amp;"+"&amp;TEXT(INDEX(ERP資料!$G:$G, (MATCH(115, 輔助計算!$G$2:$G$801, 0)+1)),"0.##"))))&amp;"-1")&lt;&gt;""),"  ","")&amp;IF(MOD(INDEX(輔助計算!$D:$D, (MATCH(115, 輔助計算!$G$2:$G$801, 0)+1)),IF(INDEX(ERP資料!$G:$G, (MATCH(115, 輔助計算!$G$2:$G$801, 0)+1))&lt;100, IF(INDEX(ERP資料!$G:$G, (MATCH(115, 輔助計算!$G$2:$G$801, 0)+1))&lt;=31,3,IF(INDEX(ERP資料!$G:$G, (MATCH(115, 輔助計算!$G$2:$G$801, 0)+1))&lt;=46.5,2,1)), IF(INDEX(ERP資料!$G:$G, (MATCH(115, 輔助計算!$G$2:$G$801, 0)+1))&lt;=790,3,IF(INDEX(ERP資料!$G:$G, (MATCH(115, 輔助計算!$G$2:$G$801, 0)+1))&lt;=1181,2,1))))=0,"",IF(MOD(INDEX(輔助計算!$D:$D, (MATCH(115, 輔助計算!$G$2:$G$801, 0)+1)),IF(INDEX(ERP資料!$G:$G, (MATCH(115, 輔助計算!$G$2:$G$801, 0)+1))&lt;100, IF(INDEX(ERP資料!$G:$G, (MATCH(115, 輔助計算!$G$2:$G$801, 0)+1))&lt;=31,3,IF(INDEX(ERP資料!$G:$G, (MATCH(115, 輔助計算!$G$2:$G$801, 0)+1))&lt;=46.5,2,1)), IF(INDEX(ERP資料!$G:$G, (MATCH(115, 輔助計算!$G$2:$G$801, 0)+1))&lt;=790,3,IF(INDEX(ERP資料!$G:$G, (MATCH(115, 輔助計算!$G$2:$G$801, 0)+1))&lt;=1181,2,1))))=0,"",IF(MOD(INDEX(輔助計算!$D:$D, (MATCH(115, 輔助計算!$G$2:$G$801, 0)+1)),IF(INDEX(ERP資料!$G:$G, (MATCH(115, 輔助計算!$G$2:$G$801, 0)+1))&lt;100, IF(INDEX(ERP資料!$G:$G, (MATCH(115, 輔助計算!$G$2:$G$801, 0)+1))&lt;=31,3,IF(INDEX(ERP資料!$G:$G, (MATCH(115, 輔助計算!$G$2:$G$801, 0)+1))&lt;=46.5,2,1)), IF(INDEX(ERP資料!$G:$G, (MATCH(115, 輔助計算!$G$2:$G$801, 0)+1))&lt;=790,3,IF(INDEX(ERP資料!$G:$G, (MATCH(115, 輔助計算!$G$2:$G$801, 0)+1))&lt;=1181,2,1))))=1,TEXT(INDEX(ERP資料!$G:$G, (MATCH(115, 輔助計算!$G$2:$G$801, 0)+1)),"0.##"),IF(MOD(INDEX(輔助計算!$D:$D, (MATCH(115, 輔助計算!$G$2:$G$801, 0)+1)),IF(INDEX(ERP資料!$G:$G, (MATCH(115, 輔助計算!$G$2:$G$801, 0)+1))&lt;100, IF(INDEX(ERP資料!$G:$G, (MATCH(115, 輔助計算!$G$2:$G$801, 0)+1))&lt;=31,3,IF(INDEX(ERP資料!$G:$G, (MATCH(115, 輔助計算!$G$2:$G$801, 0)+1))&lt;=46.5,2,1)), IF(INDEX(ERP資料!$G:$G, (MATCH(115, 輔助計算!$G$2:$G$801, 0)+1))&lt;=790,3,IF(INDEX(ERP資料!$G:$G, (MATCH(115, 輔助計算!$G$2:$G$801, 0)+1))&lt;=1181,2,1))))=2,TEXT(INDEX(ERP資料!$G:$G, (MATCH(115, 輔助計算!$G$2:$G$801, 0)+1)),"0.##")&amp;"+"&amp;TEXT(INDEX(ERP資料!$G:$G, (MATCH(115, 輔助計算!$G$2:$G$801, 0)+1)),"0.##"),TEXT(INDEX(ERP資料!$G:$G, (MATCH(115, 輔助計算!$G$2:$G$801, 0)+1)),"0.##")&amp;"+"&amp;TEXT(INDEX(ERP資料!$G:$G, (MATCH(115, 輔助計算!$G$2:$G$801, 0)+1)),"0.##")&amp;"+"&amp;TEXT(INDEX(ERP資料!$G:$G, (MATCH(115, 輔助計算!$G$2:$G$801, 0)+1)),"0.##"))))&amp;"-1")), ""), "")</f>
        <v/>
      </c>
      <c r="K116" s="16" t="n"/>
      <c r="L116" s="14">
        <f>IFERROR(IF(AND(IFERROR(INDEX(ERP資料!$A:$A, (MATCH(115, 輔助計算!$G$2:$G$801, 0)+1)), "")&lt;&gt;"", IFERROR(INDEX(ERP資料!$A:$A, (MATCH(115, 輔助計算!$G$2:$G$801, 0)+1)), "")&lt;&gt;IFERROR(INDEX(ERP資料!$A:$A, MATCH(114, 輔助計算!$G$2:$G$801, 0)+1), "")), INDEX(ERP資料!$B:$B, (MATCH(115, 輔助計算!$G$2:$G$801, 0)+1)), ""), "")</f>
        <v/>
      </c>
      <c r="M116" s="17" t="n"/>
    </row>
    <row r="117">
      <c r="A117" s="10">
        <f>IFERROR(IF(AND(IFERROR(INDEX(ERP資料!$A:$A, (MATCH(116, 輔助計算!$G$2:$G$801, 0)+1)), "")&lt;&gt;"", IFERROR(INDEX(ERP資料!$A:$A, (MATCH(116, 輔助計算!$G$2:$G$801, 0)+1)), "")&lt;&gt;IFERROR(INDEX(ERP資料!$A:$A, MATCH(115, 輔助計算!$G$2:$G$801, 0)+1), "")), IFERROR(INDEX(ERP資料!$A:$A, (MATCH(116, 輔助計算!$G$2:$G$801, 0)+1)), ""), ""), "")</f>
        <v/>
      </c>
      <c r="B117" s="10">
        <f>IFERROR(IF(AND(IFERROR(INDEX(ERP資料!$A:$A, (MATCH(116, 輔助計算!$G$2:$G$801, 0)+1)), "")&lt;&gt;"", IFERROR(INDEX(ERP資料!$A:$A, (MATCH(116, 輔助計算!$G$2:$G$801, 0)+1)), "")&lt;&gt;IFERROR(INDEX(ERP資料!$A:$A, MATCH(115, 輔助計算!$G$2:$G$801, 0)+1), "")), INDEX(ERP資料!$S:$S, (MATCH(116, 輔助計算!$G$2:$G$801, 0)+1)), ""), "")</f>
        <v/>
      </c>
      <c r="C117" s="19">
        <f>IFERROR(IF(AND(IFERROR(INDEX(ERP資料!$A:$A, (MATCH(116, 輔助計算!$G$2:$G$801, 0)+1)), "")&lt;&gt;"", IFERROR(INDEX(ERP資料!$A:$A, (MATCH(116, 輔助計算!$G$2:$G$801, 0)+1)), "")&lt;&gt;IFERROR(INDEX(ERP資料!$A:$A, MATCH(115, 輔助計算!$G$2:$G$801, 0)+1), "")), IFERROR(VLOOKUP(LEFT(INDEX(ERP資料!$S:$S, (MATCH(116, 輔助計算!$G$2:$G$801, 0)+1)), 4), 紙管對照表!$A:$C, 3, FALSE), ""), ""), "")</f>
        <v/>
      </c>
      <c r="D117" s="16" t="n"/>
      <c r="E117" s="10">
        <f>IFERROR(IF(INDEX(ERP資料!$H:$H, (MATCH(116, 輔助計算!$G$2:$G$801, 0)+1))="","",INDEX(ERP資料!$H:$H, (MATCH(116, 輔助計算!$G$2:$G$801, 0)+1))), "")</f>
        <v/>
      </c>
      <c r="F117" s="10">
        <f>IFERROR(IF(INDEX(ERP資料!$E:$E, (MATCH(116, 輔助計算!$G$2:$G$801, 0)+1))="","",TRIM(INDEX(ERP資料!$E:$E, (MATCH(116, 輔助計算!$G$2:$G$801, 0)+1)))), "")</f>
        <v/>
      </c>
      <c r="G117" s="10">
        <f>IFERROR(IF(INDEX(ERP資料!$F:$F, (MATCH(116, 輔助計算!$G$2:$G$801, 0)+1))="","",INDEX(ERP資料!$F:$F, (MATCH(116, 輔助計算!$G$2:$G$801, 0)+1))), "")</f>
        <v/>
      </c>
      <c r="H117" s="10">
        <f>IFERROR(IF(INDEX(ERP資料!$G:$G, (MATCH(116, 輔助計算!$G$2:$G$801, 0)+1))="","",INDEX(ERP資料!$G:$G, (MATCH(116, 輔助計算!$G$2:$G$801, 0)+1))), "")</f>
        <v/>
      </c>
      <c r="I117" s="15">
        <f>IFERROR(INDEX(輔助計算!$D:$D, (MATCH(116, 輔助計算!$G$2:$G$801, 0)+1)), "")</f>
        <v/>
      </c>
      <c r="J117" s="15">
        <f>IFERROR(IF(AND(INDEX(輔助計算!$D:$D, (MATCH(116, 輔助計算!$G$2:$G$801, 0)+1))&lt;&gt;"", INDEX(ERP資料!$G:$G, (MATCH(116, 輔助計算!$G$2:$G$801, 0)+1))&lt;&gt;""), TRIM(IF(INT(INDEX(輔助計算!$D:$D, (MATCH(116, 輔助計算!$G$2:$G$801, 0)+1))/IF(INDEX(ERP資料!$G:$G, (MATCH(116, 輔助計算!$G$2:$G$801, 0)+1))&lt;100, IF(INDEX(ERP資料!$G:$G, (MATCH(116, 輔助計算!$G$2:$G$801, 0)+1))&lt;=31,3,IF(INDEX(ERP資料!$G:$G, (MATCH(116, 輔助計算!$G$2:$G$801, 0)+1))&lt;=46.5,2,1)), IF(INDEX(ERP資料!$G:$G, (MATCH(116, 輔助計算!$G$2:$G$801, 0)+1))&lt;=790,3,IF(INDEX(ERP資料!$G:$G, (MATCH(116, 輔助計算!$G$2:$G$801, 0)+1))&lt;=1181,2,1))))&gt;0, IF(IF(INDEX(ERP資料!$G:$G, (MATCH(116, 輔助計算!$G$2:$G$801, 0)+1))&lt;100, IF(INDEX(ERP資料!$G:$G, (MATCH(116, 輔助計算!$G$2:$G$801, 0)+1))&lt;=31,3,IF(INDEX(ERP資料!$G:$G, (MATCH(116, 輔助計算!$G$2:$G$801, 0)+1))&lt;=46.5,2,1)), IF(INDEX(ERP資料!$G:$G, (MATCH(116, 輔助計算!$G$2:$G$801, 0)+1))&lt;=790,3,IF(INDEX(ERP資料!$G:$G, (MATCH(116, 輔助計算!$G$2:$G$801, 0)+1))&lt;=1181,2,1)))=1,TEXT(INDEX(ERP資料!$G:$G, (MATCH(116, 輔助計算!$G$2:$G$801, 0)+1)),"0.##"),IF(IF(INDEX(ERP資料!$G:$G, (MATCH(116, 輔助計算!$G$2:$G$801, 0)+1))&lt;100, IF(INDEX(ERP資料!$G:$G, (MATCH(116, 輔助計算!$G$2:$G$801, 0)+1))&lt;=31,3,IF(INDEX(ERP資料!$G:$G, (MATCH(116, 輔助計算!$G$2:$G$801, 0)+1))&lt;=46.5,2,1)), IF(INDEX(ERP資料!$G:$G, (MATCH(116, 輔助計算!$G$2:$G$801, 0)+1))&lt;=790,3,IF(INDEX(ERP資料!$G:$G, (MATCH(116, 輔助計算!$G$2:$G$801, 0)+1))&lt;=1181,2,1)))=2,TEXT(INDEX(ERP資料!$G:$G, (MATCH(116, 輔助計算!$G$2:$G$801, 0)+1)),"0.##")&amp;"+"&amp;TEXT(INDEX(ERP資料!$G:$G, (MATCH(116, 輔助計算!$G$2:$G$801, 0)+1)),"0.##"),TEXT(INDEX(ERP資料!$G:$G, (MATCH(116, 輔助計算!$G$2:$G$801, 0)+1)),"0.##")&amp;"+"&amp;TEXT(INDEX(ERP資料!$G:$G, (MATCH(116, 輔助計算!$G$2:$G$801, 0)+1)),"0.##")&amp;"+"&amp;TEXT(INDEX(ERP資料!$G:$G, (MATCH(116, 輔助計算!$G$2:$G$801, 0)+1)),"0.##")))&amp;"-"&amp;INT(INDEX(輔助計算!$D:$D, (MATCH(116, 輔助計算!$G$2:$G$801, 0)+1))/IF(INDEX(ERP資料!$G:$G, (MATCH(116, 輔助計算!$G$2:$G$801, 0)+1))&lt;100, IF(INDEX(ERP資料!$G:$G, (MATCH(116, 輔助計算!$G$2:$G$801, 0)+1))&lt;=31,3,IF(INDEX(ERP資料!$G:$G, (MATCH(116, 輔助計算!$G$2:$G$801, 0)+1))&lt;=46.5,2,1)), IF(INDEX(ERP資料!$G:$G, (MATCH(116, 輔助計算!$G$2:$G$801, 0)+1))&lt;=790,3,IF(INDEX(ERP資料!$G:$G, (MATCH(116, 輔助計算!$G$2:$G$801, 0)+1))&lt;=1181,2,1)))), "")&amp;IF(AND(IF(INT(INDEX(輔助計算!$D:$D, (MATCH(116, 輔助計算!$G$2:$G$801, 0)+1))/IF(INDEX(ERP資料!$G:$G, (MATCH(116, 輔助計算!$G$2:$G$801, 0)+1))&lt;100, IF(INDEX(ERP資料!$G:$G, (MATCH(116, 輔助計算!$G$2:$G$801, 0)+1))&lt;=31,3,IF(INDEX(ERP資料!$G:$G, (MATCH(116, 輔助計算!$G$2:$G$801, 0)+1))&lt;=46.5,2,1)), IF(INDEX(ERP資料!$G:$G, (MATCH(116, 輔助計算!$G$2:$G$801, 0)+1))&lt;=790,3,IF(INDEX(ERP資料!$G:$G, (MATCH(116, 輔助計算!$G$2:$G$801, 0)+1))&lt;=1181,2,1))))&gt;0, IF(IF(INDEX(ERP資料!$G:$G, (MATCH(116, 輔助計算!$G$2:$G$801, 0)+1))&lt;100, IF(INDEX(ERP資料!$G:$G, (MATCH(116, 輔助計算!$G$2:$G$801, 0)+1))&lt;=31,3,IF(INDEX(ERP資料!$G:$G, (MATCH(116, 輔助計算!$G$2:$G$801, 0)+1))&lt;=46.5,2,1)), IF(INDEX(ERP資料!$G:$G, (MATCH(116, 輔助計算!$G$2:$G$801, 0)+1))&lt;=790,3,IF(INDEX(ERP資料!$G:$G, (MATCH(116, 輔助計算!$G$2:$G$801, 0)+1))&lt;=1181,2,1)))=1,TEXT(INDEX(ERP資料!$G:$G, (MATCH(116, 輔助計算!$G$2:$G$801, 0)+1)),"0.##"),IF(IF(INDEX(ERP資料!$G:$G, (MATCH(116, 輔助計算!$G$2:$G$801, 0)+1))&lt;100, IF(INDEX(ERP資料!$G:$G, (MATCH(116, 輔助計算!$G$2:$G$801, 0)+1))&lt;=31,3,IF(INDEX(ERP資料!$G:$G, (MATCH(116, 輔助計算!$G$2:$G$801, 0)+1))&lt;=46.5,2,1)), IF(INDEX(ERP資料!$G:$G, (MATCH(116, 輔助計算!$G$2:$G$801, 0)+1))&lt;=790,3,IF(INDEX(ERP資料!$G:$G, (MATCH(116, 輔助計算!$G$2:$G$801, 0)+1))&lt;=1181,2,1)))=2,TEXT(INDEX(ERP資料!$G:$G, (MATCH(116, 輔助計算!$G$2:$G$801, 0)+1)),"0.##")&amp;"+"&amp;TEXT(INDEX(ERP資料!$G:$G, (MATCH(116, 輔助計算!$G$2:$G$801, 0)+1)),"0.##"),TEXT(INDEX(ERP資料!$G:$G, (MATCH(116, 輔助計算!$G$2:$G$801, 0)+1)),"0.##")&amp;"+"&amp;TEXT(INDEX(ERP資料!$G:$G, (MATCH(116, 輔助計算!$G$2:$G$801, 0)+1)),"0.##")&amp;"+"&amp;TEXT(INDEX(ERP資料!$G:$G, (MATCH(116, 輔助計算!$G$2:$G$801, 0)+1)),"0.##")))&amp;"-"&amp;INT(INDEX(輔助計算!$D:$D, (MATCH(116, 輔助計算!$G$2:$G$801, 0)+1))/IF(INDEX(ERP資料!$G:$G, (MATCH(116, 輔助計算!$G$2:$G$801, 0)+1))&lt;100, IF(INDEX(ERP資料!$G:$G, (MATCH(116, 輔助計算!$G$2:$G$801, 0)+1))&lt;=31,3,IF(INDEX(ERP資料!$G:$G, (MATCH(116, 輔助計算!$G$2:$G$801, 0)+1))&lt;=46.5,2,1)), IF(INDEX(ERP資料!$G:$G, (MATCH(116, 輔助計算!$G$2:$G$801, 0)+1))&lt;=790,3,IF(INDEX(ERP資料!$G:$G, (MATCH(116, 輔助計算!$G$2:$G$801, 0)+1))&lt;=1181,2,1)))), "")&lt;&gt;"",IF(MOD(INDEX(輔助計算!$D:$D, (MATCH(116, 輔助計算!$G$2:$G$801, 0)+1)),IF(INDEX(ERP資料!$G:$G, (MATCH(116, 輔助計算!$G$2:$G$801, 0)+1))&lt;100, IF(INDEX(ERP資料!$G:$G, (MATCH(116, 輔助計算!$G$2:$G$801, 0)+1))&lt;=31,3,IF(INDEX(ERP資料!$G:$G, (MATCH(116, 輔助計算!$G$2:$G$801, 0)+1))&lt;=46.5,2,1)), IF(INDEX(ERP資料!$G:$G, (MATCH(116, 輔助計算!$G$2:$G$801, 0)+1))&lt;=790,3,IF(INDEX(ERP資料!$G:$G, (MATCH(116, 輔助計算!$G$2:$G$801, 0)+1))&lt;=1181,2,1))))=0,"",IF(MOD(INDEX(輔助計算!$D:$D, (MATCH(116, 輔助計算!$G$2:$G$801, 0)+1)),IF(INDEX(ERP資料!$G:$G, (MATCH(116, 輔助計算!$G$2:$G$801, 0)+1))&lt;100, IF(INDEX(ERP資料!$G:$G, (MATCH(116, 輔助計算!$G$2:$G$801, 0)+1))&lt;=31,3,IF(INDEX(ERP資料!$G:$G, (MATCH(116, 輔助計算!$G$2:$G$801, 0)+1))&lt;=46.5,2,1)), IF(INDEX(ERP資料!$G:$G, (MATCH(116, 輔助計算!$G$2:$G$801, 0)+1))&lt;=790,3,IF(INDEX(ERP資料!$G:$G, (MATCH(116, 輔助計算!$G$2:$G$801, 0)+1))&lt;=1181,2,1))))=0,"",IF(MOD(INDEX(輔助計算!$D:$D, (MATCH(116, 輔助計算!$G$2:$G$801, 0)+1)),IF(INDEX(ERP資料!$G:$G, (MATCH(116, 輔助計算!$G$2:$G$801, 0)+1))&lt;100, IF(INDEX(ERP資料!$G:$G, (MATCH(116, 輔助計算!$G$2:$G$801, 0)+1))&lt;=31,3,IF(INDEX(ERP資料!$G:$G, (MATCH(116, 輔助計算!$G$2:$G$801, 0)+1))&lt;=46.5,2,1)), IF(INDEX(ERP資料!$G:$G, (MATCH(116, 輔助計算!$G$2:$G$801, 0)+1))&lt;=790,3,IF(INDEX(ERP資料!$G:$G, (MATCH(116, 輔助計算!$G$2:$G$801, 0)+1))&lt;=1181,2,1))))=1,TEXT(INDEX(ERP資料!$G:$G, (MATCH(116, 輔助計算!$G$2:$G$801, 0)+1)),"0.##"),IF(MOD(INDEX(輔助計算!$D:$D, (MATCH(116, 輔助計算!$G$2:$G$801, 0)+1)),IF(INDEX(ERP資料!$G:$G, (MATCH(116, 輔助計算!$G$2:$G$801, 0)+1))&lt;100, IF(INDEX(ERP資料!$G:$G, (MATCH(116, 輔助計算!$G$2:$G$801, 0)+1))&lt;=31,3,IF(INDEX(ERP資料!$G:$G, (MATCH(116, 輔助計算!$G$2:$G$801, 0)+1))&lt;=46.5,2,1)), IF(INDEX(ERP資料!$G:$G, (MATCH(116, 輔助計算!$G$2:$G$801, 0)+1))&lt;=790,3,IF(INDEX(ERP資料!$G:$G, (MATCH(116, 輔助計算!$G$2:$G$801, 0)+1))&lt;=1181,2,1))))=2,TEXT(INDEX(ERP資料!$G:$G, (MATCH(116, 輔助計算!$G$2:$G$801, 0)+1)),"0.##")&amp;"+"&amp;TEXT(INDEX(ERP資料!$G:$G, (MATCH(116, 輔助計算!$G$2:$G$801, 0)+1)),"0.##"),TEXT(INDEX(ERP資料!$G:$G, (MATCH(116, 輔助計算!$G$2:$G$801, 0)+1)),"0.##")&amp;"+"&amp;TEXT(INDEX(ERP資料!$G:$G, (MATCH(116, 輔助計算!$G$2:$G$801, 0)+1)),"0.##")&amp;"+"&amp;TEXT(INDEX(ERP資料!$G:$G, (MATCH(116, 輔助計算!$G$2:$G$801, 0)+1)),"0.##"))))&amp;"-1")&lt;&gt;""),"  ","")&amp;IF(MOD(INDEX(輔助計算!$D:$D, (MATCH(116, 輔助計算!$G$2:$G$801, 0)+1)),IF(INDEX(ERP資料!$G:$G, (MATCH(116, 輔助計算!$G$2:$G$801, 0)+1))&lt;100, IF(INDEX(ERP資料!$G:$G, (MATCH(116, 輔助計算!$G$2:$G$801, 0)+1))&lt;=31,3,IF(INDEX(ERP資料!$G:$G, (MATCH(116, 輔助計算!$G$2:$G$801, 0)+1))&lt;=46.5,2,1)), IF(INDEX(ERP資料!$G:$G, (MATCH(116, 輔助計算!$G$2:$G$801, 0)+1))&lt;=790,3,IF(INDEX(ERP資料!$G:$G, (MATCH(116, 輔助計算!$G$2:$G$801, 0)+1))&lt;=1181,2,1))))=0,"",IF(MOD(INDEX(輔助計算!$D:$D, (MATCH(116, 輔助計算!$G$2:$G$801, 0)+1)),IF(INDEX(ERP資料!$G:$G, (MATCH(116, 輔助計算!$G$2:$G$801, 0)+1))&lt;100, IF(INDEX(ERP資料!$G:$G, (MATCH(116, 輔助計算!$G$2:$G$801, 0)+1))&lt;=31,3,IF(INDEX(ERP資料!$G:$G, (MATCH(116, 輔助計算!$G$2:$G$801, 0)+1))&lt;=46.5,2,1)), IF(INDEX(ERP資料!$G:$G, (MATCH(116, 輔助計算!$G$2:$G$801, 0)+1))&lt;=790,3,IF(INDEX(ERP資料!$G:$G, (MATCH(116, 輔助計算!$G$2:$G$801, 0)+1))&lt;=1181,2,1))))=0,"",IF(MOD(INDEX(輔助計算!$D:$D, (MATCH(116, 輔助計算!$G$2:$G$801, 0)+1)),IF(INDEX(ERP資料!$G:$G, (MATCH(116, 輔助計算!$G$2:$G$801, 0)+1))&lt;100, IF(INDEX(ERP資料!$G:$G, (MATCH(116, 輔助計算!$G$2:$G$801, 0)+1))&lt;=31,3,IF(INDEX(ERP資料!$G:$G, (MATCH(116, 輔助計算!$G$2:$G$801, 0)+1))&lt;=46.5,2,1)), IF(INDEX(ERP資料!$G:$G, (MATCH(116, 輔助計算!$G$2:$G$801, 0)+1))&lt;=790,3,IF(INDEX(ERP資料!$G:$G, (MATCH(116, 輔助計算!$G$2:$G$801, 0)+1))&lt;=1181,2,1))))=1,TEXT(INDEX(ERP資料!$G:$G, (MATCH(116, 輔助計算!$G$2:$G$801, 0)+1)),"0.##"),IF(MOD(INDEX(輔助計算!$D:$D, (MATCH(116, 輔助計算!$G$2:$G$801, 0)+1)),IF(INDEX(ERP資料!$G:$G, (MATCH(116, 輔助計算!$G$2:$G$801, 0)+1))&lt;100, IF(INDEX(ERP資料!$G:$G, (MATCH(116, 輔助計算!$G$2:$G$801, 0)+1))&lt;=31,3,IF(INDEX(ERP資料!$G:$G, (MATCH(116, 輔助計算!$G$2:$G$801, 0)+1))&lt;=46.5,2,1)), IF(INDEX(ERP資料!$G:$G, (MATCH(116, 輔助計算!$G$2:$G$801, 0)+1))&lt;=790,3,IF(INDEX(ERP資料!$G:$G, (MATCH(116, 輔助計算!$G$2:$G$801, 0)+1))&lt;=1181,2,1))))=2,TEXT(INDEX(ERP資料!$G:$G, (MATCH(116, 輔助計算!$G$2:$G$801, 0)+1)),"0.##")&amp;"+"&amp;TEXT(INDEX(ERP資料!$G:$G, (MATCH(116, 輔助計算!$G$2:$G$801, 0)+1)),"0.##"),TEXT(INDEX(ERP資料!$G:$G, (MATCH(116, 輔助計算!$G$2:$G$801, 0)+1)),"0.##")&amp;"+"&amp;TEXT(INDEX(ERP資料!$G:$G, (MATCH(116, 輔助計算!$G$2:$G$801, 0)+1)),"0.##")&amp;"+"&amp;TEXT(INDEX(ERP資料!$G:$G, (MATCH(116, 輔助計算!$G$2:$G$801, 0)+1)),"0.##"))))&amp;"-1")), ""), "")</f>
        <v/>
      </c>
      <c r="K117" s="16" t="n"/>
      <c r="L117" s="14">
        <f>IFERROR(IF(AND(IFERROR(INDEX(ERP資料!$A:$A, (MATCH(116, 輔助計算!$G$2:$G$801, 0)+1)), "")&lt;&gt;"", IFERROR(INDEX(ERP資料!$A:$A, (MATCH(116, 輔助計算!$G$2:$G$801, 0)+1)), "")&lt;&gt;IFERROR(INDEX(ERP資料!$A:$A, MATCH(115, 輔助計算!$G$2:$G$801, 0)+1), "")), INDEX(ERP資料!$B:$B, (MATCH(116, 輔助計算!$G$2:$G$801, 0)+1)), ""), "")</f>
        <v/>
      </c>
      <c r="M117" s="17" t="n"/>
    </row>
    <row r="118">
      <c r="A118" s="10">
        <f>IFERROR(IF(AND(IFERROR(INDEX(ERP資料!$A:$A, (MATCH(117, 輔助計算!$G$2:$G$801, 0)+1)), "")&lt;&gt;"", IFERROR(INDEX(ERP資料!$A:$A, (MATCH(117, 輔助計算!$G$2:$G$801, 0)+1)), "")&lt;&gt;IFERROR(INDEX(ERP資料!$A:$A, MATCH(116, 輔助計算!$G$2:$G$801, 0)+1), "")), IFERROR(INDEX(ERP資料!$A:$A, (MATCH(117, 輔助計算!$G$2:$G$801, 0)+1)), ""), ""), "")</f>
        <v/>
      </c>
      <c r="B118" s="10">
        <f>IFERROR(IF(AND(IFERROR(INDEX(ERP資料!$A:$A, (MATCH(117, 輔助計算!$G$2:$G$801, 0)+1)), "")&lt;&gt;"", IFERROR(INDEX(ERP資料!$A:$A, (MATCH(117, 輔助計算!$G$2:$G$801, 0)+1)), "")&lt;&gt;IFERROR(INDEX(ERP資料!$A:$A, MATCH(116, 輔助計算!$G$2:$G$801, 0)+1), "")), INDEX(ERP資料!$S:$S, (MATCH(117, 輔助計算!$G$2:$G$801, 0)+1)), ""), "")</f>
        <v/>
      </c>
      <c r="C118" s="19">
        <f>IFERROR(IF(AND(IFERROR(INDEX(ERP資料!$A:$A, (MATCH(117, 輔助計算!$G$2:$G$801, 0)+1)), "")&lt;&gt;"", IFERROR(INDEX(ERP資料!$A:$A, (MATCH(117, 輔助計算!$G$2:$G$801, 0)+1)), "")&lt;&gt;IFERROR(INDEX(ERP資料!$A:$A, MATCH(116, 輔助計算!$G$2:$G$801, 0)+1), "")), IFERROR(VLOOKUP(LEFT(INDEX(ERP資料!$S:$S, (MATCH(117, 輔助計算!$G$2:$G$801, 0)+1)), 4), 紙管對照表!$A:$C, 3, FALSE), ""), ""), "")</f>
        <v/>
      </c>
      <c r="D118" s="16" t="n"/>
      <c r="E118" s="10">
        <f>IFERROR(IF(INDEX(ERP資料!$H:$H, (MATCH(117, 輔助計算!$G$2:$G$801, 0)+1))="","",INDEX(ERP資料!$H:$H, (MATCH(117, 輔助計算!$G$2:$G$801, 0)+1))), "")</f>
        <v/>
      </c>
      <c r="F118" s="10">
        <f>IFERROR(IF(INDEX(ERP資料!$E:$E, (MATCH(117, 輔助計算!$G$2:$G$801, 0)+1))="","",TRIM(INDEX(ERP資料!$E:$E, (MATCH(117, 輔助計算!$G$2:$G$801, 0)+1)))), "")</f>
        <v/>
      </c>
      <c r="G118" s="10">
        <f>IFERROR(IF(INDEX(ERP資料!$F:$F, (MATCH(117, 輔助計算!$G$2:$G$801, 0)+1))="","",INDEX(ERP資料!$F:$F, (MATCH(117, 輔助計算!$G$2:$G$801, 0)+1))), "")</f>
        <v/>
      </c>
      <c r="H118" s="10">
        <f>IFERROR(IF(INDEX(ERP資料!$G:$G, (MATCH(117, 輔助計算!$G$2:$G$801, 0)+1))="","",INDEX(ERP資料!$G:$G, (MATCH(117, 輔助計算!$G$2:$G$801, 0)+1))), "")</f>
        <v/>
      </c>
      <c r="I118" s="15">
        <f>IFERROR(INDEX(輔助計算!$D:$D, (MATCH(117, 輔助計算!$G$2:$G$801, 0)+1)), "")</f>
        <v/>
      </c>
      <c r="J118" s="15">
        <f>IFERROR(IF(AND(INDEX(輔助計算!$D:$D, (MATCH(117, 輔助計算!$G$2:$G$801, 0)+1))&lt;&gt;"", INDEX(ERP資料!$G:$G, (MATCH(117, 輔助計算!$G$2:$G$801, 0)+1))&lt;&gt;""), TRIM(IF(INT(INDEX(輔助計算!$D:$D, (MATCH(117, 輔助計算!$G$2:$G$801, 0)+1))/IF(INDEX(ERP資料!$G:$G, (MATCH(117, 輔助計算!$G$2:$G$801, 0)+1))&lt;100, IF(INDEX(ERP資料!$G:$G, (MATCH(117, 輔助計算!$G$2:$G$801, 0)+1))&lt;=31,3,IF(INDEX(ERP資料!$G:$G, (MATCH(117, 輔助計算!$G$2:$G$801, 0)+1))&lt;=46.5,2,1)), IF(INDEX(ERP資料!$G:$G, (MATCH(117, 輔助計算!$G$2:$G$801, 0)+1))&lt;=790,3,IF(INDEX(ERP資料!$G:$G, (MATCH(117, 輔助計算!$G$2:$G$801, 0)+1))&lt;=1181,2,1))))&gt;0, IF(IF(INDEX(ERP資料!$G:$G, (MATCH(117, 輔助計算!$G$2:$G$801, 0)+1))&lt;100, IF(INDEX(ERP資料!$G:$G, (MATCH(117, 輔助計算!$G$2:$G$801, 0)+1))&lt;=31,3,IF(INDEX(ERP資料!$G:$G, (MATCH(117, 輔助計算!$G$2:$G$801, 0)+1))&lt;=46.5,2,1)), IF(INDEX(ERP資料!$G:$G, (MATCH(117, 輔助計算!$G$2:$G$801, 0)+1))&lt;=790,3,IF(INDEX(ERP資料!$G:$G, (MATCH(117, 輔助計算!$G$2:$G$801, 0)+1))&lt;=1181,2,1)))=1,TEXT(INDEX(ERP資料!$G:$G, (MATCH(117, 輔助計算!$G$2:$G$801, 0)+1)),"0.##"),IF(IF(INDEX(ERP資料!$G:$G, (MATCH(117, 輔助計算!$G$2:$G$801, 0)+1))&lt;100, IF(INDEX(ERP資料!$G:$G, (MATCH(117, 輔助計算!$G$2:$G$801, 0)+1))&lt;=31,3,IF(INDEX(ERP資料!$G:$G, (MATCH(117, 輔助計算!$G$2:$G$801, 0)+1))&lt;=46.5,2,1)), IF(INDEX(ERP資料!$G:$G, (MATCH(117, 輔助計算!$G$2:$G$801, 0)+1))&lt;=790,3,IF(INDEX(ERP資料!$G:$G, (MATCH(117, 輔助計算!$G$2:$G$801, 0)+1))&lt;=1181,2,1)))=2,TEXT(INDEX(ERP資料!$G:$G, (MATCH(117, 輔助計算!$G$2:$G$801, 0)+1)),"0.##")&amp;"+"&amp;TEXT(INDEX(ERP資料!$G:$G, (MATCH(117, 輔助計算!$G$2:$G$801, 0)+1)),"0.##"),TEXT(INDEX(ERP資料!$G:$G, (MATCH(117, 輔助計算!$G$2:$G$801, 0)+1)),"0.##")&amp;"+"&amp;TEXT(INDEX(ERP資料!$G:$G, (MATCH(117, 輔助計算!$G$2:$G$801, 0)+1)),"0.##")&amp;"+"&amp;TEXT(INDEX(ERP資料!$G:$G, (MATCH(117, 輔助計算!$G$2:$G$801, 0)+1)),"0.##")))&amp;"-"&amp;INT(INDEX(輔助計算!$D:$D, (MATCH(117, 輔助計算!$G$2:$G$801, 0)+1))/IF(INDEX(ERP資料!$G:$G, (MATCH(117, 輔助計算!$G$2:$G$801, 0)+1))&lt;100, IF(INDEX(ERP資料!$G:$G, (MATCH(117, 輔助計算!$G$2:$G$801, 0)+1))&lt;=31,3,IF(INDEX(ERP資料!$G:$G, (MATCH(117, 輔助計算!$G$2:$G$801, 0)+1))&lt;=46.5,2,1)), IF(INDEX(ERP資料!$G:$G, (MATCH(117, 輔助計算!$G$2:$G$801, 0)+1))&lt;=790,3,IF(INDEX(ERP資料!$G:$G, (MATCH(117, 輔助計算!$G$2:$G$801, 0)+1))&lt;=1181,2,1)))), "")&amp;IF(AND(IF(INT(INDEX(輔助計算!$D:$D, (MATCH(117, 輔助計算!$G$2:$G$801, 0)+1))/IF(INDEX(ERP資料!$G:$G, (MATCH(117, 輔助計算!$G$2:$G$801, 0)+1))&lt;100, IF(INDEX(ERP資料!$G:$G, (MATCH(117, 輔助計算!$G$2:$G$801, 0)+1))&lt;=31,3,IF(INDEX(ERP資料!$G:$G, (MATCH(117, 輔助計算!$G$2:$G$801, 0)+1))&lt;=46.5,2,1)), IF(INDEX(ERP資料!$G:$G, (MATCH(117, 輔助計算!$G$2:$G$801, 0)+1))&lt;=790,3,IF(INDEX(ERP資料!$G:$G, (MATCH(117, 輔助計算!$G$2:$G$801, 0)+1))&lt;=1181,2,1))))&gt;0, IF(IF(INDEX(ERP資料!$G:$G, (MATCH(117, 輔助計算!$G$2:$G$801, 0)+1))&lt;100, IF(INDEX(ERP資料!$G:$G, (MATCH(117, 輔助計算!$G$2:$G$801, 0)+1))&lt;=31,3,IF(INDEX(ERP資料!$G:$G, (MATCH(117, 輔助計算!$G$2:$G$801, 0)+1))&lt;=46.5,2,1)), IF(INDEX(ERP資料!$G:$G, (MATCH(117, 輔助計算!$G$2:$G$801, 0)+1))&lt;=790,3,IF(INDEX(ERP資料!$G:$G, (MATCH(117, 輔助計算!$G$2:$G$801, 0)+1))&lt;=1181,2,1)))=1,TEXT(INDEX(ERP資料!$G:$G, (MATCH(117, 輔助計算!$G$2:$G$801, 0)+1)),"0.##"),IF(IF(INDEX(ERP資料!$G:$G, (MATCH(117, 輔助計算!$G$2:$G$801, 0)+1))&lt;100, IF(INDEX(ERP資料!$G:$G, (MATCH(117, 輔助計算!$G$2:$G$801, 0)+1))&lt;=31,3,IF(INDEX(ERP資料!$G:$G, (MATCH(117, 輔助計算!$G$2:$G$801, 0)+1))&lt;=46.5,2,1)), IF(INDEX(ERP資料!$G:$G, (MATCH(117, 輔助計算!$G$2:$G$801, 0)+1))&lt;=790,3,IF(INDEX(ERP資料!$G:$G, (MATCH(117, 輔助計算!$G$2:$G$801, 0)+1))&lt;=1181,2,1)))=2,TEXT(INDEX(ERP資料!$G:$G, (MATCH(117, 輔助計算!$G$2:$G$801, 0)+1)),"0.##")&amp;"+"&amp;TEXT(INDEX(ERP資料!$G:$G, (MATCH(117, 輔助計算!$G$2:$G$801, 0)+1)),"0.##"),TEXT(INDEX(ERP資料!$G:$G, (MATCH(117, 輔助計算!$G$2:$G$801, 0)+1)),"0.##")&amp;"+"&amp;TEXT(INDEX(ERP資料!$G:$G, (MATCH(117, 輔助計算!$G$2:$G$801, 0)+1)),"0.##")&amp;"+"&amp;TEXT(INDEX(ERP資料!$G:$G, (MATCH(117, 輔助計算!$G$2:$G$801, 0)+1)),"0.##")))&amp;"-"&amp;INT(INDEX(輔助計算!$D:$D, (MATCH(117, 輔助計算!$G$2:$G$801, 0)+1))/IF(INDEX(ERP資料!$G:$G, (MATCH(117, 輔助計算!$G$2:$G$801, 0)+1))&lt;100, IF(INDEX(ERP資料!$G:$G, (MATCH(117, 輔助計算!$G$2:$G$801, 0)+1))&lt;=31,3,IF(INDEX(ERP資料!$G:$G, (MATCH(117, 輔助計算!$G$2:$G$801, 0)+1))&lt;=46.5,2,1)), IF(INDEX(ERP資料!$G:$G, (MATCH(117, 輔助計算!$G$2:$G$801, 0)+1))&lt;=790,3,IF(INDEX(ERP資料!$G:$G, (MATCH(117, 輔助計算!$G$2:$G$801, 0)+1))&lt;=1181,2,1)))), "")&lt;&gt;"",IF(MOD(INDEX(輔助計算!$D:$D, (MATCH(117, 輔助計算!$G$2:$G$801, 0)+1)),IF(INDEX(ERP資料!$G:$G, (MATCH(117, 輔助計算!$G$2:$G$801, 0)+1))&lt;100, IF(INDEX(ERP資料!$G:$G, (MATCH(117, 輔助計算!$G$2:$G$801, 0)+1))&lt;=31,3,IF(INDEX(ERP資料!$G:$G, (MATCH(117, 輔助計算!$G$2:$G$801, 0)+1))&lt;=46.5,2,1)), IF(INDEX(ERP資料!$G:$G, (MATCH(117, 輔助計算!$G$2:$G$801, 0)+1))&lt;=790,3,IF(INDEX(ERP資料!$G:$G, (MATCH(117, 輔助計算!$G$2:$G$801, 0)+1))&lt;=1181,2,1))))=0,"",IF(MOD(INDEX(輔助計算!$D:$D, (MATCH(117, 輔助計算!$G$2:$G$801, 0)+1)),IF(INDEX(ERP資料!$G:$G, (MATCH(117, 輔助計算!$G$2:$G$801, 0)+1))&lt;100, IF(INDEX(ERP資料!$G:$G, (MATCH(117, 輔助計算!$G$2:$G$801, 0)+1))&lt;=31,3,IF(INDEX(ERP資料!$G:$G, (MATCH(117, 輔助計算!$G$2:$G$801, 0)+1))&lt;=46.5,2,1)), IF(INDEX(ERP資料!$G:$G, (MATCH(117, 輔助計算!$G$2:$G$801, 0)+1))&lt;=790,3,IF(INDEX(ERP資料!$G:$G, (MATCH(117, 輔助計算!$G$2:$G$801, 0)+1))&lt;=1181,2,1))))=0,"",IF(MOD(INDEX(輔助計算!$D:$D, (MATCH(117, 輔助計算!$G$2:$G$801, 0)+1)),IF(INDEX(ERP資料!$G:$G, (MATCH(117, 輔助計算!$G$2:$G$801, 0)+1))&lt;100, IF(INDEX(ERP資料!$G:$G, (MATCH(117, 輔助計算!$G$2:$G$801, 0)+1))&lt;=31,3,IF(INDEX(ERP資料!$G:$G, (MATCH(117, 輔助計算!$G$2:$G$801, 0)+1))&lt;=46.5,2,1)), IF(INDEX(ERP資料!$G:$G, (MATCH(117, 輔助計算!$G$2:$G$801, 0)+1))&lt;=790,3,IF(INDEX(ERP資料!$G:$G, (MATCH(117, 輔助計算!$G$2:$G$801, 0)+1))&lt;=1181,2,1))))=1,TEXT(INDEX(ERP資料!$G:$G, (MATCH(117, 輔助計算!$G$2:$G$801, 0)+1)),"0.##"),IF(MOD(INDEX(輔助計算!$D:$D, (MATCH(117, 輔助計算!$G$2:$G$801, 0)+1)),IF(INDEX(ERP資料!$G:$G, (MATCH(117, 輔助計算!$G$2:$G$801, 0)+1))&lt;100, IF(INDEX(ERP資料!$G:$G, (MATCH(117, 輔助計算!$G$2:$G$801, 0)+1))&lt;=31,3,IF(INDEX(ERP資料!$G:$G, (MATCH(117, 輔助計算!$G$2:$G$801, 0)+1))&lt;=46.5,2,1)), IF(INDEX(ERP資料!$G:$G, (MATCH(117, 輔助計算!$G$2:$G$801, 0)+1))&lt;=790,3,IF(INDEX(ERP資料!$G:$G, (MATCH(117, 輔助計算!$G$2:$G$801, 0)+1))&lt;=1181,2,1))))=2,TEXT(INDEX(ERP資料!$G:$G, (MATCH(117, 輔助計算!$G$2:$G$801, 0)+1)),"0.##")&amp;"+"&amp;TEXT(INDEX(ERP資料!$G:$G, (MATCH(117, 輔助計算!$G$2:$G$801, 0)+1)),"0.##"),TEXT(INDEX(ERP資料!$G:$G, (MATCH(117, 輔助計算!$G$2:$G$801, 0)+1)),"0.##")&amp;"+"&amp;TEXT(INDEX(ERP資料!$G:$G, (MATCH(117, 輔助計算!$G$2:$G$801, 0)+1)),"0.##")&amp;"+"&amp;TEXT(INDEX(ERP資料!$G:$G, (MATCH(117, 輔助計算!$G$2:$G$801, 0)+1)),"0.##"))))&amp;"-1")&lt;&gt;""),"  ","")&amp;IF(MOD(INDEX(輔助計算!$D:$D, (MATCH(117, 輔助計算!$G$2:$G$801, 0)+1)),IF(INDEX(ERP資料!$G:$G, (MATCH(117, 輔助計算!$G$2:$G$801, 0)+1))&lt;100, IF(INDEX(ERP資料!$G:$G, (MATCH(117, 輔助計算!$G$2:$G$801, 0)+1))&lt;=31,3,IF(INDEX(ERP資料!$G:$G, (MATCH(117, 輔助計算!$G$2:$G$801, 0)+1))&lt;=46.5,2,1)), IF(INDEX(ERP資料!$G:$G, (MATCH(117, 輔助計算!$G$2:$G$801, 0)+1))&lt;=790,3,IF(INDEX(ERP資料!$G:$G, (MATCH(117, 輔助計算!$G$2:$G$801, 0)+1))&lt;=1181,2,1))))=0,"",IF(MOD(INDEX(輔助計算!$D:$D, (MATCH(117, 輔助計算!$G$2:$G$801, 0)+1)),IF(INDEX(ERP資料!$G:$G, (MATCH(117, 輔助計算!$G$2:$G$801, 0)+1))&lt;100, IF(INDEX(ERP資料!$G:$G, (MATCH(117, 輔助計算!$G$2:$G$801, 0)+1))&lt;=31,3,IF(INDEX(ERP資料!$G:$G, (MATCH(117, 輔助計算!$G$2:$G$801, 0)+1))&lt;=46.5,2,1)), IF(INDEX(ERP資料!$G:$G, (MATCH(117, 輔助計算!$G$2:$G$801, 0)+1))&lt;=790,3,IF(INDEX(ERP資料!$G:$G, (MATCH(117, 輔助計算!$G$2:$G$801, 0)+1))&lt;=1181,2,1))))=0,"",IF(MOD(INDEX(輔助計算!$D:$D, (MATCH(117, 輔助計算!$G$2:$G$801, 0)+1)),IF(INDEX(ERP資料!$G:$G, (MATCH(117, 輔助計算!$G$2:$G$801, 0)+1))&lt;100, IF(INDEX(ERP資料!$G:$G, (MATCH(117, 輔助計算!$G$2:$G$801, 0)+1))&lt;=31,3,IF(INDEX(ERP資料!$G:$G, (MATCH(117, 輔助計算!$G$2:$G$801, 0)+1))&lt;=46.5,2,1)), IF(INDEX(ERP資料!$G:$G, (MATCH(117, 輔助計算!$G$2:$G$801, 0)+1))&lt;=790,3,IF(INDEX(ERP資料!$G:$G, (MATCH(117, 輔助計算!$G$2:$G$801, 0)+1))&lt;=1181,2,1))))=1,TEXT(INDEX(ERP資料!$G:$G, (MATCH(117, 輔助計算!$G$2:$G$801, 0)+1)),"0.##"),IF(MOD(INDEX(輔助計算!$D:$D, (MATCH(117, 輔助計算!$G$2:$G$801, 0)+1)),IF(INDEX(ERP資料!$G:$G, (MATCH(117, 輔助計算!$G$2:$G$801, 0)+1))&lt;100, IF(INDEX(ERP資料!$G:$G, (MATCH(117, 輔助計算!$G$2:$G$801, 0)+1))&lt;=31,3,IF(INDEX(ERP資料!$G:$G, (MATCH(117, 輔助計算!$G$2:$G$801, 0)+1))&lt;=46.5,2,1)), IF(INDEX(ERP資料!$G:$G, (MATCH(117, 輔助計算!$G$2:$G$801, 0)+1))&lt;=790,3,IF(INDEX(ERP資料!$G:$G, (MATCH(117, 輔助計算!$G$2:$G$801, 0)+1))&lt;=1181,2,1))))=2,TEXT(INDEX(ERP資料!$G:$G, (MATCH(117, 輔助計算!$G$2:$G$801, 0)+1)),"0.##")&amp;"+"&amp;TEXT(INDEX(ERP資料!$G:$G, (MATCH(117, 輔助計算!$G$2:$G$801, 0)+1)),"0.##"),TEXT(INDEX(ERP資料!$G:$G, (MATCH(117, 輔助計算!$G$2:$G$801, 0)+1)),"0.##")&amp;"+"&amp;TEXT(INDEX(ERP資料!$G:$G, (MATCH(117, 輔助計算!$G$2:$G$801, 0)+1)),"0.##")&amp;"+"&amp;TEXT(INDEX(ERP資料!$G:$G, (MATCH(117, 輔助計算!$G$2:$G$801, 0)+1)),"0.##"))))&amp;"-1")), ""), "")</f>
        <v/>
      </c>
      <c r="K118" s="16" t="n"/>
      <c r="L118" s="14">
        <f>IFERROR(IF(AND(IFERROR(INDEX(ERP資料!$A:$A, (MATCH(117, 輔助計算!$G$2:$G$801, 0)+1)), "")&lt;&gt;"", IFERROR(INDEX(ERP資料!$A:$A, (MATCH(117, 輔助計算!$G$2:$G$801, 0)+1)), "")&lt;&gt;IFERROR(INDEX(ERP資料!$A:$A, MATCH(116, 輔助計算!$G$2:$G$801, 0)+1), "")), INDEX(ERP資料!$B:$B, (MATCH(117, 輔助計算!$G$2:$G$801, 0)+1)), ""), "")</f>
        <v/>
      </c>
      <c r="M118" s="17" t="n"/>
    </row>
    <row r="119">
      <c r="A119" s="10">
        <f>IFERROR(IF(AND(IFERROR(INDEX(ERP資料!$A:$A, (MATCH(118, 輔助計算!$G$2:$G$801, 0)+1)), "")&lt;&gt;"", IFERROR(INDEX(ERP資料!$A:$A, (MATCH(118, 輔助計算!$G$2:$G$801, 0)+1)), "")&lt;&gt;IFERROR(INDEX(ERP資料!$A:$A, MATCH(117, 輔助計算!$G$2:$G$801, 0)+1), "")), IFERROR(INDEX(ERP資料!$A:$A, (MATCH(118, 輔助計算!$G$2:$G$801, 0)+1)), ""), ""), "")</f>
        <v/>
      </c>
      <c r="B119" s="10">
        <f>IFERROR(IF(AND(IFERROR(INDEX(ERP資料!$A:$A, (MATCH(118, 輔助計算!$G$2:$G$801, 0)+1)), "")&lt;&gt;"", IFERROR(INDEX(ERP資料!$A:$A, (MATCH(118, 輔助計算!$G$2:$G$801, 0)+1)), "")&lt;&gt;IFERROR(INDEX(ERP資料!$A:$A, MATCH(117, 輔助計算!$G$2:$G$801, 0)+1), "")), INDEX(ERP資料!$S:$S, (MATCH(118, 輔助計算!$G$2:$G$801, 0)+1)), ""), "")</f>
        <v/>
      </c>
      <c r="C119" s="19">
        <f>IFERROR(IF(AND(IFERROR(INDEX(ERP資料!$A:$A, (MATCH(118, 輔助計算!$G$2:$G$801, 0)+1)), "")&lt;&gt;"", IFERROR(INDEX(ERP資料!$A:$A, (MATCH(118, 輔助計算!$G$2:$G$801, 0)+1)), "")&lt;&gt;IFERROR(INDEX(ERP資料!$A:$A, MATCH(117, 輔助計算!$G$2:$G$801, 0)+1), "")), IFERROR(VLOOKUP(LEFT(INDEX(ERP資料!$S:$S, (MATCH(118, 輔助計算!$G$2:$G$801, 0)+1)), 4), 紙管對照表!$A:$C, 3, FALSE), ""), ""), "")</f>
        <v/>
      </c>
      <c r="D119" s="16" t="n"/>
      <c r="E119" s="10">
        <f>IFERROR(IF(INDEX(ERP資料!$H:$H, (MATCH(118, 輔助計算!$G$2:$G$801, 0)+1))="","",INDEX(ERP資料!$H:$H, (MATCH(118, 輔助計算!$G$2:$G$801, 0)+1))), "")</f>
        <v/>
      </c>
      <c r="F119" s="10">
        <f>IFERROR(IF(INDEX(ERP資料!$E:$E, (MATCH(118, 輔助計算!$G$2:$G$801, 0)+1))="","",TRIM(INDEX(ERP資料!$E:$E, (MATCH(118, 輔助計算!$G$2:$G$801, 0)+1)))), "")</f>
        <v/>
      </c>
      <c r="G119" s="10">
        <f>IFERROR(IF(INDEX(ERP資料!$F:$F, (MATCH(118, 輔助計算!$G$2:$G$801, 0)+1))="","",INDEX(ERP資料!$F:$F, (MATCH(118, 輔助計算!$G$2:$G$801, 0)+1))), "")</f>
        <v/>
      </c>
      <c r="H119" s="10">
        <f>IFERROR(IF(INDEX(ERP資料!$G:$G, (MATCH(118, 輔助計算!$G$2:$G$801, 0)+1))="","",INDEX(ERP資料!$G:$G, (MATCH(118, 輔助計算!$G$2:$G$801, 0)+1))), "")</f>
        <v/>
      </c>
      <c r="I119" s="15">
        <f>IFERROR(INDEX(輔助計算!$D:$D, (MATCH(118, 輔助計算!$G$2:$G$801, 0)+1)), "")</f>
        <v/>
      </c>
      <c r="J119" s="15">
        <f>IFERROR(IF(AND(INDEX(輔助計算!$D:$D, (MATCH(118, 輔助計算!$G$2:$G$801, 0)+1))&lt;&gt;"", INDEX(ERP資料!$G:$G, (MATCH(118, 輔助計算!$G$2:$G$801, 0)+1))&lt;&gt;""), TRIM(IF(INT(INDEX(輔助計算!$D:$D, (MATCH(118, 輔助計算!$G$2:$G$801, 0)+1))/IF(INDEX(ERP資料!$G:$G, (MATCH(118, 輔助計算!$G$2:$G$801, 0)+1))&lt;100, IF(INDEX(ERP資料!$G:$G, (MATCH(118, 輔助計算!$G$2:$G$801, 0)+1))&lt;=31,3,IF(INDEX(ERP資料!$G:$G, (MATCH(118, 輔助計算!$G$2:$G$801, 0)+1))&lt;=46.5,2,1)), IF(INDEX(ERP資料!$G:$G, (MATCH(118, 輔助計算!$G$2:$G$801, 0)+1))&lt;=790,3,IF(INDEX(ERP資料!$G:$G, (MATCH(118, 輔助計算!$G$2:$G$801, 0)+1))&lt;=1181,2,1))))&gt;0, IF(IF(INDEX(ERP資料!$G:$G, (MATCH(118, 輔助計算!$G$2:$G$801, 0)+1))&lt;100, IF(INDEX(ERP資料!$G:$G, (MATCH(118, 輔助計算!$G$2:$G$801, 0)+1))&lt;=31,3,IF(INDEX(ERP資料!$G:$G, (MATCH(118, 輔助計算!$G$2:$G$801, 0)+1))&lt;=46.5,2,1)), IF(INDEX(ERP資料!$G:$G, (MATCH(118, 輔助計算!$G$2:$G$801, 0)+1))&lt;=790,3,IF(INDEX(ERP資料!$G:$G, (MATCH(118, 輔助計算!$G$2:$G$801, 0)+1))&lt;=1181,2,1)))=1,TEXT(INDEX(ERP資料!$G:$G, (MATCH(118, 輔助計算!$G$2:$G$801, 0)+1)),"0.##"),IF(IF(INDEX(ERP資料!$G:$G, (MATCH(118, 輔助計算!$G$2:$G$801, 0)+1))&lt;100, IF(INDEX(ERP資料!$G:$G, (MATCH(118, 輔助計算!$G$2:$G$801, 0)+1))&lt;=31,3,IF(INDEX(ERP資料!$G:$G, (MATCH(118, 輔助計算!$G$2:$G$801, 0)+1))&lt;=46.5,2,1)), IF(INDEX(ERP資料!$G:$G, (MATCH(118, 輔助計算!$G$2:$G$801, 0)+1))&lt;=790,3,IF(INDEX(ERP資料!$G:$G, (MATCH(118, 輔助計算!$G$2:$G$801, 0)+1))&lt;=1181,2,1)))=2,TEXT(INDEX(ERP資料!$G:$G, (MATCH(118, 輔助計算!$G$2:$G$801, 0)+1)),"0.##")&amp;"+"&amp;TEXT(INDEX(ERP資料!$G:$G, (MATCH(118, 輔助計算!$G$2:$G$801, 0)+1)),"0.##"),TEXT(INDEX(ERP資料!$G:$G, (MATCH(118, 輔助計算!$G$2:$G$801, 0)+1)),"0.##")&amp;"+"&amp;TEXT(INDEX(ERP資料!$G:$G, (MATCH(118, 輔助計算!$G$2:$G$801, 0)+1)),"0.##")&amp;"+"&amp;TEXT(INDEX(ERP資料!$G:$G, (MATCH(118, 輔助計算!$G$2:$G$801, 0)+1)),"0.##")))&amp;"-"&amp;INT(INDEX(輔助計算!$D:$D, (MATCH(118, 輔助計算!$G$2:$G$801, 0)+1))/IF(INDEX(ERP資料!$G:$G, (MATCH(118, 輔助計算!$G$2:$G$801, 0)+1))&lt;100, IF(INDEX(ERP資料!$G:$G, (MATCH(118, 輔助計算!$G$2:$G$801, 0)+1))&lt;=31,3,IF(INDEX(ERP資料!$G:$G, (MATCH(118, 輔助計算!$G$2:$G$801, 0)+1))&lt;=46.5,2,1)), IF(INDEX(ERP資料!$G:$G, (MATCH(118, 輔助計算!$G$2:$G$801, 0)+1))&lt;=790,3,IF(INDEX(ERP資料!$G:$G, (MATCH(118, 輔助計算!$G$2:$G$801, 0)+1))&lt;=1181,2,1)))), "")&amp;IF(AND(IF(INT(INDEX(輔助計算!$D:$D, (MATCH(118, 輔助計算!$G$2:$G$801, 0)+1))/IF(INDEX(ERP資料!$G:$G, (MATCH(118, 輔助計算!$G$2:$G$801, 0)+1))&lt;100, IF(INDEX(ERP資料!$G:$G, (MATCH(118, 輔助計算!$G$2:$G$801, 0)+1))&lt;=31,3,IF(INDEX(ERP資料!$G:$G, (MATCH(118, 輔助計算!$G$2:$G$801, 0)+1))&lt;=46.5,2,1)), IF(INDEX(ERP資料!$G:$G, (MATCH(118, 輔助計算!$G$2:$G$801, 0)+1))&lt;=790,3,IF(INDEX(ERP資料!$G:$G, (MATCH(118, 輔助計算!$G$2:$G$801, 0)+1))&lt;=1181,2,1))))&gt;0, IF(IF(INDEX(ERP資料!$G:$G, (MATCH(118, 輔助計算!$G$2:$G$801, 0)+1))&lt;100, IF(INDEX(ERP資料!$G:$G, (MATCH(118, 輔助計算!$G$2:$G$801, 0)+1))&lt;=31,3,IF(INDEX(ERP資料!$G:$G, (MATCH(118, 輔助計算!$G$2:$G$801, 0)+1))&lt;=46.5,2,1)), IF(INDEX(ERP資料!$G:$G, (MATCH(118, 輔助計算!$G$2:$G$801, 0)+1))&lt;=790,3,IF(INDEX(ERP資料!$G:$G, (MATCH(118, 輔助計算!$G$2:$G$801, 0)+1))&lt;=1181,2,1)))=1,TEXT(INDEX(ERP資料!$G:$G, (MATCH(118, 輔助計算!$G$2:$G$801, 0)+1)),"0.##"),IF(IF(INDEX(ERP資料!$G:$G, (MATCH(118, 輔助計算!$G$2:$G$801, 0)+1))&lt;100, IF(INDEX(ERP資料!$G:$G, (MATCH(118, 輔助計算!$G$2:$G$801, 0)+1))&lt;=31,3,IF(INDEX(ERP資料!$G:$G, (MATCH(118, 輔助計算!$G$2:$G$801, 0)+1))&lt;=46.5,2,1)), IF(INDEX(ERP資料!$G:$G, (MATCH(118, 輔助計算!$G$2:$G$801, 0)+1))&lt;=790,3,IF(INDEX(ERP資料!$G:$G, (MATCH(118, 輔助計算!$G$2:$G$801, 0)+1))&lt;=1181,2,1)))=2,TEXT(INDEX(ERP資料!$G:$G, (MATCH(118, 輔助計算!$G$2:$G$801, 0)+1)),"0.##")&amp;"+"&amp;TEXT(INDEX(ERP資料!$G:$G, (MATCH(118, 輔助計算!$G$2:$G$801, 0)+1)),"0.##"),TEXT(INDEX(ERP資料!$G:$G, (MATCH(118, 輔助計算!$G$2:$G$801, 0)+1)),"0.##")&amp;"+"&amp;TEXT(INDEX(ERP資料!$G:$G, (MATCH(118, 輔助計算!$G$2:$G$801, 0)+1)),"0.##")&amp;"+"&amp;TEXT(INDEX(ERP資料!$G:$G, (MATCH(118, 輔助計算!$G$2:$G$801, 0)+1)),"0.##")))&amp;"-"&amp;INT(INDEX(輔助計算!$D:$D, (MATCH(118, 輔助計算!$G$2:$G$801, 0)+1))/IF(INDEX(ERP資料!$G:$G, (MATCH(118, 輔助計算!$G$2:$G$801, 0)+1))&lt;100, IF(INDEX(ERP資料!$G:$G, (MATCH(118, 輔助計算!$G$2:$G$801, 0)+1))&lt;=31,3,IF(INDEX(ERP資料!$G:$G, (MATCH(118, 輔助計算!$G$2:$G$801, 0)+1))&lt;=46.5,2,1)), IF(INDEX(ERP資料!$G:$G, (MATCH(118, 輔助計算!$G$2:$G$801, 0)+1))&lt;=790,3,IF(INDEX(ERP資料!$G:$G, (MATCH(118, 輔助計算!$G$2:$G$801, 0)+1))&lt;=1181,2,1)))), "")&lt;&gt;"",IF(MOD(INDEX(輔助計算!$D:$D, (MATCH(118, 輔助計算!$G$2:$G$801, 0)+1)),IF(INDEX(ERP資料!$G:$G, (MATCH(118, 輔助計算!$G$2:$G$801, 0)+1))&lt;100, IF(INDEX(ERP資料!$G:$G, (MATCH(118, 輔助計算!$G$2:$G$801, 0)+1))&lt;=31,3,IF(INDEX(ERP資料!$G:$G, (MATCH(118, 輔助計算!$G$2:$G$801, 0)+1))&lt;=46.5,2,1)), IF(INDEX(ERP資料!$G:$G, (MATCH(118, 輔助計算!$G$2:$G$801, 0)+1))&lt;=790,3,IF(INDEX(ERP資料!$G:$G, (MATCH(118, 輔助計算!$G$2:$G$801, 0)+1))&lt;=1181,2,1))))=0,"",IF(MOD(INDEX(輔助計算!$D:$D, (MATCH(118, 輔助計算!$G$2:$G$801, 0)+1)),IF(INDEX(ERP資料!$G:$G, (MATCH(118, 輔助計算!$G$2:$G$801, 0)+1))&lt;100, IF(INDEX(ERP資料!$G:$G, (MATCH(118, 輔助計算!$G$2:$G$801, 0)+1))&lt;=31,3,IF(INDEX(ERP資料!$G:$G, (MATCH(118, 輔助計算!$G$2:$G$801, 0)+1))&lt;=46.5,2,1)), IF(INDEX(ERP資料!$G:$G, (MATCH(118, 輔助計算!$G$2:$G$801, 0)+1))&lt;=790,3,IF(INDEX(ERP資料!$G:$G, (MATCH(118, 輔助計算!$G$2:$G$801, 0)+1))&lt;=1181,2,1))))=0,"",IF(MOD(INDEX(輔助計算!$D:$D, (MATCH(118, 輔助計算!$G$2:$G$801, 0)+1)),IF(INDEX(ERP資料!$G:$G, (MATCH(118, 輔助計算!$G$2:$G$801, 0)+1))&lt;100, IF(INDEX(ERP資料!$G:$G, (MATCH(118, 輔助計算!$G$2:$G$801, 0)+1))&lt;=31,3,IF(INDEX(ERP資料!$G:$G, (MATCH(118, 輔助計算!$G$2:$G$801, 0)+1))&lt;=46.5,2,1)), IF(INDEX(ERP資料!$G:$G, (MATCH(118, 輔助計算!$G$2:$G$801, 0)+1))&lt;=790,3,IF(INDEX(ERP資料!$G:$G, (MATCH(118, 輔助計算!$G$2:$G$801, 0)+1))&lt;=1181,2,1))))=1,TEXT(INDEX(ERP資料!$G:$G, (MATCH(118, 輔助計算!$G$2:$G$801, 0)+1)),"0.##"),IF(MOD(INDEX(輔助計算!$D:$D, (MATCH(118, 輔助計算!$G$2:$G$801, 0)+1)),IF(INDEX(ERP資料!$G:$G, (MATCH(118, 輔助計算!$G$2:$G$801, 0)+1))&lt;100, IF(INDEX(ERP資料!$G:$G, (MATCH(118, 輔助計算!$G$2:$G$801, 0)+1))&lt;=31,3,IF(INDEX(ERP資料!$G:$G, (MATCH(118, 輔助計算!$G$2:$G$801, 0)+1))&lt;=46.5,2,1)), IF(INDEX(ERP資料!$G:$G, (MATCH(118, 輔助計算!$G$2:$G$801, 0)+1))&lt;=790,3,IF(INDEX(ERP資料!$G:$G, (MATCH(118, 輔助計算!$G$2:$G$801, 0)+1))&lt;=1181,2,1))))=2,TEXT(INDEX(ERP資料!$G:$G, (MATCH(118, 輔助計算!$G$2:$G$801, 0)+1)),"0.##")&amp;"+"&amp;TEXT(INDEX(ERP資料!$G:$G, (MATCH(118, 輔助計算!$G$2:$G$801, 0)+1)),"0.##"),TEXT(INDEX(ERP資料!$G:$G, (MATCH(118, 輔助計算!$G$2:$G$801, 0)+1)),"0.##")&amp;"+"&amp;TEXT(INDEX(ERP資料!$G:$G, (MATCH(118, 輔助計算!$G$2:$G$801, 0)+1)),"0.##")&amp;"+"&amp;TEXT(INDEX(ERP資料!$G:$G, (MATCH(118, 輔助計算!$G$2:$G$801, 0)+1)),"0.##"))))&amp;"-1")&lt;&gt;""),"  ","")&amp;IF(MOD(INDEX(輔助計算!$D:$D, (MATCH(118, 輔助計算!$G$2:$G$801, 0)+1)),IF(INDEX(ERP資料!$G:$G, (MATCH(118, 輔助計算!$G$2:$G$801, 0)+1))&lt;100, IF(INDEX(ERP資料!$G:$G, (MATCH(118, 輔助計算!$G$2:$G$801, 0)+1))&lt;=31,3,IF(INDEX(ERP資料!$G:$G, (MATCH(118, 輔助計算!$G$2:$G$801, 0)+1))&lt;=46.5,2,1)), IF(INDEX(ERP資料!$G:$G, (MATCH(118, 輔助計算!$G$2:$G$801, 0)+1))&lt;=790,3,IF(INDEX(ERP資料!$G:$G, (MATCH(118, 輔助計算!$G$2:$G$801, 0)+1))&lt;=1181,2,1))))=0,"",IF(MOD(INDEX(輔助計算!$D:$D, (MATCH(118, 輔助計算!$G$2:$G$801, 0)+1)),IF(INDEX(ERP資料!$G:$G, (MATCH(118, 輔助計算!$G$2:$G$801, 0)+1))&lt;100, IF(INDEX(ERP資料!$G:$G, (MATCH(118, 輔助計算!$G$2:$G$801, 0)+1))&lt;=31,3,IF(INDEX(ERP資料!$G:$G, (MATCH(118, 輔助計算!$G$2:$G$801, 0)+1))&lt;=46.5,2,1)), IF(INDEX(ERP資料!$G:$G, (MATCH(118, 輔助計算!$G$2:$G$801, 0)+1))&lt;=790,3,IF(INDEX(ERP資料!$G:$G, (MATCH(118, 輔助計算!$G$2:$G$801, 0)+1))&lt;=1181,2,1))))=0,"",IF(MOD(INDEX(輔助計算!$D:$D, (MATCH(118, 輔助計算!$G$2:$G$801, 0)+1)),IF(INDEX(ERP資料!$G:$G, (MATCH(118, 輔助計算!$G$2:$G$801, 0)+1))&lt;100, IF(INDEX(ERP資料!$G:$G, (MATCH(118, 輔助計算!$G$2:$G$801, 0)+1))&lt;=31,3,IF(INDEX(ERP資料!$G:$G, (MATCH(118, 輔助計算!$G$2:$G$801, 0)+1))&lt;=46.5,2,1)), IF(INDEX(ERP資料!$G:$G, (MATCH(118, 輔助計算!$G$2:$G$801, 0)+1))&lt;=790,3,IF(INDEX(ERP資料!$G:$G, (MATCH(118, 輔助計算!$G$2:$G$801, 0)+1))&lt;=1181,2,1))))=1,TEXT(INDEX(ERP資料!$G:$G, (MATCH(118, 輔助計算!$G$2:$G$801, 0)+1)),"0.##"),IF(MOD(INDEX(輔助計算!$D:$D, (MATCH(118, 輔助計算!$G$2:$G$801, 0)+1)),IF(INDEX(ERP資料!$G:$G, (MATCH(118, 輔助計算!$G$2:$G$801, 0)+1))&lt;100, IF(INDEX(ERP資料!$G:$G, (MATCH(118, 輔助計算!$G$2:$G$801, 0)+1))&lt;=31,3,IF(INDEX(ERP資料!$G:$G, (MATCH(118, 輔助計算!$G$2:$G$801, 0)+1))&lt;=46.5,2,1)), IF(INDEX(ERP資料!$G:$G, (MATCH(118, 輔助計算!$G$2:$G$801, 0)+1))&lt;=790,3,IF(INDEX(ERP資料!$G:$G, (MATCH(118, 輔助計算!$G$2:$G$801, 0)+1))&lt;=1181,2,1))))=2,TEXT(INDEX(ERP資料!$G:$G, (MATCH(118, 輔助計算!$G$2:$G$801, 0)+1)),"0.##")&amp;"+"&amp;TEXT(INDEX(ERP資料!$G:$G, (MATCH(118, 輔助計算!$G$2:$G$801, 0)+1)),"0.##"),TEXT(INDEX(ERP資料!$G:$G, (MATCH(118, 輔助計算!$G$2:$G$801, 0)+1)),"0.##")&amp;"+"&amp;TEXT(INDEX(ERP資料!$G:$G, (MATCH(118, 輔助計算!$G$2:$G$801, 0)+1)),"0.##")&amp;"+"&amp;TEXT(INDEX(ERP資料!$G:$G, (MATCH(118, 輔助計算!$G$2:$G$801, 0)+1)),"0.##"))))&amp;"-1")), ""), "")</f>
        <v/>
      </c>
      <c r="K119" s="16" t="n"/>
      <c r="L119" s="14">
        <f>IFERROR(IF(AND(IFERROR(INDEX(ERP資料!$A:$A, (MATCH(118, 輔助計算!$G$2:$G$801, 0)+1)), "")&lt;&gt;"", IFERROR(INDEX(ERP資料!$A:$A, (MATCH(118, 輔助計算!$G$2:$G$801, 0)+1)), "")&lt;&gt;IFERROR(INDEX(ERP資料!$A:$A, MATCH(117, 輔助計算!$G$2:$G$801, 0)+1), "")), INDEX(ERP資料!$B:$B, (MATCH(118, 輔助計算!$G$2:$G$801, 0)+1)), ""), "")</f>
        <v/>
      </c>
      <c r="M119" s="17" t="n"/>
    </row>
    <row r="120">
      <c r="A120" s="10">
        <f>IFERROR(IF(AND(IFERROR(INDEX(ERP資料!$A:$A, (MATCH(119, 輔助計算!$G$2:$G$801, 0)+1)), "")&lt;&gt;"", IFERROR(INDEX(ERP資料!$A:$A, (MATCH(119, 輔助計算!$G$2:$G$801, 0)+1)), "")&lt;&gt;IFERROR(INDEX(ERP資料!$A:$A, MATCH(118, 輔助計算!$G$2:$G$801, 0)+1), "")), IFERROR(INDEX(ERP資料!$A:$A, (MATCH(119, 輔助計算!$G$2:$G$801, 0)+1)), ""), ""), "")</f>
        <v/>
      </c>
      <c r="B120" s="10">
        <f>IFERROR(IF(AND(IFERROR(INDEX(ERP資料!$A:$A, (MATCH(119, 輔助計算!$G$2:$G$801, 0)+1)), "")&lt;&gt;"", IFERROR(INDEX(ERP資料!$A:$A, (MATCH(119, 輔助計算!$G$2:$G$801, 0)+1)), "")&lt;&gt;IFERROR(INDEX(ERP資料!$A:$A, MATCH(118, 輔助計算!$G$2:$G$801, 0)+1), "")), INDEX(ERP資料!$S:$S, (MATCH(119, 輔助計算!$G$2:$G$801, 0)+1)), ""), "")</f>
        <v/>
      </c>
      <c r="C120" s="19">
        <f>IFERROR(IF(AND(IFERROR(INDEX(ERP資料!$A:$A, (MATCH(119, 輔助計算!$G$2:$G$801, 0)+1)), "")&lt;&gt;"", IFERROR(INDEX(ERP資料!$A:$A, (MATCH(119, 輔助計算!$G$2:$G$801, 0)+1)), "")&lt;&gt;IFERROR(INDEX(ERP資料!$A:$A, MATCH(118, 輔助計算!$G$2:$G$801, 0)+1), "")), IFERROR(VLOOKUP(LEFT(INDEX(ERP資料!$S:$S, (MATCH(119, 輔助計算!$G$2:$G$801, 0)+1)), 4), 紙管對照表!$A:$C, 3, FALSE), ""), ""), "")</f>
        <v/>
      </c>
      <c r="D120" s="16" t="n"/>
      <c r="E120" s="10">
        <f>IFERROR(IF(INDEX(ERP資料!$H:$H, (MATCH(119, 輔助計算!$G$2:$G$801, 0)+1))="","",INDEX(ERP資料!$H:$H, (MATCH(119, 輔助計算!$G$2:$G$801, 0)+1))), "")</f>
        <v/>
      </c>
      <c r="F120" s="10">
        <f>IFERROR(IF(INDEX(ERP資料!$E:$E, (MATCH(119, 輔助計算!$G$2:$G$801, 0)+1))="","",TRIM(INDEX(ERP資料!$E:$E, (MATCH(119, 輔助計算!$G$2:$G$801, 0)+1)))), "")</f>
        <v/>
      </c>
      <c r="G120" s="10">
        <f>IFERROR(IF(INDEX(ERP資料!$F:$F, (MATCH(119, 輔助計算!$G$2:$G$801, 0)+1))="","",INDEX(ERP資料!$F:$F, (MATCH(119, 輔助計算!$G$2:$G$801, 0)+1))), "")</f>
        <v/>
      </c>
      <c r="H120" s="10">
        <f>IFERROR(IF(INDEX(ERP資料!$G:$G, (MATCH(119, 輔助計算!$G$2:$G$801, 0)+1))="","",INDEX(ERP資料!$G:$G, (MATCH(119, 輔助計算!$G$2:$G$801, 0)+1))), "")</f>
        <v/>
      </c>
      <c r="I120" s="15">
        <f>IFERROR(INDEX(輔助計算!$D:$D, (MATCH(119, 輔助計算!$G$2:$G$801, 0)+1)), "")</f>
        <v/>
      </c>
      <c r="J120" s="15">
        <f>IFERROR(IF(AND(INDEX(輔助計算!$D:$D, (MATCH(119, 輔助計算!$G$2:$G$801, 0)+1))&lt;&gt;"", INDEX(ERP資料!$G:$G, (MATCH(119, 輔助計算!$G$2:$G$801, 0)+1))&lt;&gt;""), TRIM(IF(INT(INDEX(輔助計算!$D:$D, (MATCH(119, 輔助計算!$G$2:$G$801, 0)+1))/IF(INDEX(ERP資料!$G:$G, (MATCH(119, 輔助計算!$G$2:$G$801, 0)+1))&lt;100, IF(INDEX(ERP資料!$G:$G, (MATCH(119, 輔助計算!$G$2:$G$801, 0)+1))&lt;=31,3,IF(INDEX(ERP資料!$G:$G, (MATCH(119, 輔助計算!$G$2:$G$801, 0)+1))&lt;=46.5,2,1)), IF(INDEX(ERP資料!$G:$G, (MATCH(119, 輔助計算!$G$2:$G$801, 0)+1))&lt;=790,3,IF(INDEX(ERP資料!$G:$G, (MATCH(119, 輔助計算!$G$2:$G$801, 0)+1))&lt;=1181,2,1))))&gt;0, IF(IF(INDEX(ERP資料!$G:$G, (MATCH(119, 輔助計算!$G$2:$G$801, 0)+1))&lt;100, IF(INDEX(ERP資料!$G:$G, (MATCH(119, 輔助計算!$G$2:$G$801, 0)+1))&lt;=31,3,IF(INDEX(ERP資料!$G:$G, (MATCH(119, 輔助計算!$G$2:$G$801, 0)+1))&lt;=46.5,2,1)), IF(INDEX(ERP資料!$G:$G, (MATCH(119, 輔助計算!$G$2:$G$801, 0)+1))&lt;=790,3,IF(INDEX(ERP資料!$G:$G, (MATCH(119, 輔助計算!$G$2:$G$801, 0)+1))&lt;=1181,2,1)))=1,TEXT(INDEX(ERP資料!$G:$G, (MATCH(119, 輔助計算!$G$2:$G$801, 0)+1)),"0.##"),IF(IF(INDEX(ERP資料!$G:$G, (MATCH(119, 輔助計算!$G$2:$G$801, 0)+1))&lt;100, IF(INDEX(ERP資料!$G:$G, (MATCH(119, 輔助計算!$G$2:$G$801, 0)+1))&lt;=31,3,IF(INDEX(ERP資料!$G:$G, (MATCH(119, 輔助計算!$G$2:$G$801, 0)+1))&lt;=46.5,2,1)), IF(INDEX(ERP資料!$G:$G, (MATCH(119, 輔助計算!$G$2:$G$801, 0)+1))&lt;=790,3,IF(INDEX(ERP資料!$G:$G, (MATCH(119, 輔助計算!$G$2:$G$801, 0)+1))&lt;=1181,2,1)))=2,TEXT(INDEX(ERP資料!$G:$G, (MATCH(119, 輔助計算!$G$2:$G$801, 0)+1)),"0.##")&amp;"+"&amp;TEXT(INDEX(ERP資料!$G:$G, (MATCH(119, 輔助計算!$G$2:$G$801, 0)+1)),"0.##"),TEXT(INDEX(ERP資料!$G:$G, (MATCH(119, 輔助計算!$G$2:$G$801, 0)+1)),"0.##")&amp;"+"&amp;TEXT(INDEX(ERP資料!$G:$G, (MATCH(119, 輔助計算!$G$2:$G$801, 0)+1)),"0.##")&amp;"+"&amp;TEXT(INDEX(ERP資料!$G:$G, (MATCH(119, 輔助計算!$G$2:$G$801, 0)+1)),"0.##")))&amp;"-"&amp;INT(INDEX(輔助計算!$D:$D, (MATCH(119, 輔助計算!$G$2:$G$801, 0)+1))/IF(INDEX(ERP資料!$G:$G, (MATCH(119, 輔助計算!$G$2:$G$801, 0)+1))&lt;100, IF(INDEX(ERP資料!$G:$G, (MATCH(119, 輔助計算!$G$2:$G$801, 0)+1))&lt;=31,3,IF(INDEX(ERP資料!$G:$G, (MATCH(119, 輔助計算!$G$2:$G$801, 0)+1))&lt;=46.5,2,1)), IF(INDEX(ERP資料!$G:$G, (MATCH(119, 輔助計算!$G$2:$G$801, 0)+1))&lt;=790,3,IF(INDEX(ERP資料!$G:$G, (MATCH(119, 輔助計算!$G$2:$G$801, 0)+1))&lt;=1181,2,1)))), "")&amp;IF(AND(IF(INT(INDEX(輔助計算!$D:$D, (MATCH(119, 輔助計算!$G$2:$G$801, 0)+1))/IF(INDEX(ERP資料!$G:$G, (MATCH(119, 輔助計算!$G$2:$G$801, 0)+1))&lt;100, IF(INDEX(ERP資料!$G:$G, (MATCH(119, 輔助計算!$G$2:$G$801, 0)+1))&lt;=31,3,IF(INDEX(ERP資料!$G:$G, (MATCH(119, 輔助計算!$G$2:$G$801, 0)+1))&lt;=46.5,2,1)), IF(INDEX(ERP資料!$G:$G, (MATCH(119, 輔助計算!$G$2:$G$801, 0)+1))&lt;=790,3,IF(INDEX(ERP資料!$G:$G, (MATCH(119, 輔助計算!$G$2:$G$801, 0)+1))&lt;=1181,2,1))))&gt;0, IF(IF(INDEX(ERP資料!$G:$G, (MATCH(119, 輔助計算!$G$2:$G$801, 0)+1))&lt;100, IF(INDEX(ERP資料!$G:$G, (MATCH(119, 輔助計算!$G$2:$G$801, 0)+1))&lt;=31,3,IF(INDEX(ERP資料!$G:$G, (MATCH(119, 輔助計算!$G$2:$G$801, 0)+1))&lt;=46.5,2,1)), IF(INDEX(ERP資料!$G:$G, (MATCH(119, 輔助計算!$G$2:$G$801, 0)+1))&lt;=790,3,IF(INDEX(ERP資料!$G:$G, (MATCH(119, 輔助計算!$G$2:$G$801, 0)+1))&lt;=1181,2,1)))=1,TEXT(INDEX(ERP資料!$G:$G, (MATCH(119, 輔助計算!$G$2:$G$801, 0)+1)),"0.##"),IF(IF(INDEX(ERP資料!$G:$G, (MATCH(119, 輔助計算!$G$2:$G$801, 0)+1))&lt;100, IF(INDEX(ERP資料!$G:$G, (MATCH(119, 輔助計算!$G$2:$G$801, 0)+1))&lt;=31,3,IF(INDEX(ERP資料!$G:$G, (MATCH(119, 輔助計算!$G$2:$G$801, 0)+1))&lt;=46.5,2,1)), IF(INDEX(ERP資料!$G:$G, (MATCH(119, 輔助計算!$G$2:$G$801, 0)+1))&lt;=790,3,IF(INDEX(ERP資料!$G:$G, (MATCH(119, 輔助計算!$G$2:$G$801, 0)+1))&lt;=1181,2,1)))=2,TEXT(INDEX(ERP資料!$G:$G, (MATCH(119, 輔助計算!$G$2:$G$801, 0)+1)),"0.##")&amp;"+"&amp;TEXT(INDEX(ERP資料!$G:$G, (MATCH(119, 輔助計算!$G$2:$G$801, 0)+1)),"0.##"),TEXT(INDEX(ERP資料!$G:$G, (MATCH(119, 輔助計算!$G$2:$G$801, 0)+1)),"0.##")&amp;"+"&amp;TEXT(INDEX(ERP資料!$G:$G, (MATCH(119, 輔助計算!$G$2:$G$801, 0)+1)),"0.##")&amp;"+"&amp;TEXT(INDEX(ERP資料!$G:$G, (MATCH(119, 輔助計算!$G$2:$G$801, 0)+1)),"0.##")))&amp;"-"&amp;INT(INDEX(輔助計算!$D:$D, (MATCH(119, 輔助計算!$G$2:$G$801, 0)+1))/IF(INDEX(ERP資料!$G:$G, (MATCH(119, 輔助計算!$G$2:$G$801, 0)+1))&lt;100, IF(INDEX(ERP資料!$G:$G, (MATCH(119, 輔助計算!$G$2:$G$801, 0)+1))&lt;=31,3,IF(INDEX(ERP資料!$G:$G, (MATCH(119, 輔助計算!$G$2:$G$801, 0)+1))&lt;=46.5,2,1)), IF(INDEX(ERP資料!$G:$G, (MATCH(119, 輔助計算!$G$2:$G$801, 0)+1))&lt;=790,3,IF(INDEX(ERP資料!$G:$G, (MATCH(119, 輔助計算!$G$2:$G$801, 0)+1))&lt;=1181,2,1)))), "")&lt;&gt;"",IF(MOD(INDEX(輔助計算!$D:$D, (MATCH(119, 輔助計算!$G$2:$G$801, 0)+1)),IF(INDEX(ERP資料!$G:$G, (MATCH(119, 輔助計算!$G$2:$G$801, 0)+1))&lt;100, IF(INDEX(ERP資料!$G:$G, (MATCH(119, 輔助計算!$G$2:$G$801, 0)+1))&lt;=31,3,IF(INDEX(ERP資料!$G:$G, (MATCH(119, 輔助計算!$G$2:$G$801, 0)+1))&lt;=46.5,2,1)), IF(INDEX(ERP資料!$G:$G, (MATCH(119, 輔助計算!$G$2:$G$801, 0)+1))&lt;=790,3,IF(INDEX(ERP資料!$G:$G, (MATCH(119, 輔助計算!$G$2:$G$801, 0)+1))&lt;=1181,2,1))))=0,"",IF(MOD(INDEX(輔助計算!$D:$D, (MATCH(119, 輔助計算!$G$2:$G$801, 0)+1)),IF(INDEX(ERP資料!$G:$G, (MATCH(119, 輔助計算!$G$2:$G$801, 0)+1))&lt;100, IF(INDEX(ERP資料!$G:$G, (MATCH(119, 輔助計算!$G$2:$G$801, 0)+1))&lt;=31,3,IF(INDEX(ERP資料!$G:$G, (MATCH(119, 輔助計算!$G$2:$G$801, 0)+1))&lt;=46.5,2,1)), IF(INDEX(ERP資料!$G:$G, (MATCH(119, 輔助計算!$G$2:$G$801, 0)+1))&lt;=790,3,IF(INDEX(ERP資料!$G:$G, (MATCH(119, 輔助計算!$G$2:$G$801, 0)+1))&lt;=1181,2,1))))=0,"",IF(MOD(INDEX(輔助計算!$D:$D, (MATCH(119, 輔助計算!$G$2:$G$801, 0)+1)),IF(INDEX(ERP資料!$G:$G, (MATCH(119, 輔助計算!$G$2:$G$801, 0)+1))&lt;100, IF(INDEX(ERP資料!$G:$G, (MATCH(119, 輔助計算!$G$2:$G$801, 0)+1))&lt;=31,3,IF(INDEX(ERP資料!$G:$G, (MATCH(119, 輔助計算!$G$2:$G$801, 0)+1))&lt;=46.5,2,1)), IF(INDEX(ERP資料!$G:$G, (MATCH(119, 輔助計算!$G$2:$G$801, 0)+1))&lt;=790,3,IF(INDEX(ERP資料!$G:$G, (MATCH(119, 輔助計算!$G$2:$G$801, 0)+1))&lt;=1181,2,1))))=1,TEXT(INDEX(ERP資料!$G:$G, (MATCH(119, 輔助計算!$G$2:$G$801, 0)+1)),"0.##"),IF(MOD(INDEX(輔助計算!$D:$D, (MATCH(119, 輔助計算!$G$2:$G$801, 0)+1)),IF(INDEX(ERP資料!$G:$G, (MATCH(119, 輔助計算!$G$2:$G$801, 0)+1))&lt;100, IF(INDEX(ERP資料!$G:$G, (MATCH(119, 輔助計算!$G$2:$G$801, 0)+1))&lt;=31,3,IF(INDEX(ERP資料!$G:$G, (MATCH(119, 輔助計算!$G$2:$G$801, 0)+1))&lt;=46.5,2,1)), IF(INDEX(ERP資料!$G:$G, (MATCH(119, 輔助計算!$G$2:$G$801, 0)+1))&lt;=790,3,IF(INDEX(ERP資料!$G:$G, (MATCH(119, 輔助計算!$G$2:$G$801, 0)+1))&lt;=1181,2,1))))=2,TEXT(INDEX(ERP資料!$G:$G, (MATCH(119, 輔助計算!$G$2:$G$801, 0)+1)),"0.##")&amp;"+"&amp;TEXT(INDEX(ERP資料!$G:$G, (MATCH(119, 輔助計算!$G$2:$G$801, 0)+1)),"0.##"),TEXT(INDEX(ERP資料!$G:$G, (MATCH(119, 輔助計算!$G$2:$G$801, 0)+1)),"0.##")&amp;"+"&amp;TEXT(INDEX(ERP資料!$G:$G, (MATCH(119, 輔助計算!$G$2:$G$801, 0)+1)),"0.##")&amp;"+"&amp;TEXT(INDEX(ERP資料!$G:$G, (MATCH(119, 輔助計算!$G$2:$G$801, 0)+1)),"0.##"))))&amp;"-1")&lt;&gt;""),"  ","")&amp;IF(MOD(INDEX(輔助計算!$D:$D, (MATCH(119, 輔助計算!$G$2:$G$801, 0)+1)),IF(INDEX(ERP資料!$G:$G, (MATCH(119, 輔助計算!$G$2:$G$801, 0)+1))&lt;100, IF(INDEX(ERP資料!$G:$G, (MATCH(119, 輔助計算!$G$2:$G$801, 0)+1))&lt;=31,3,IF(INDEX(ERP資料!$G:$G, (MATCH(119, 輔助計算!$G$2:$G$801, 0)+1))&lt;=46.5,2,1)), IF(INDEX(ERP資料!$G:$G, (MATCH(119, 輔助計算!$G$2:$G$801, 0)+1))&lt;=790,3,IF(INDEX(ERP資料!$G:$G, (MATCH(119, 輔助計算!$G$2:$G$801, 0)+1))&lt;=1181,2,1))))=0,"",IF(MOD(INDEX(輔助計算!$D:$D, (MATCH(119, 輔助計算!$G$2:$G$801, 0)+1)),IF(INDEX(ERP資料!$G:$G, (MATCH(119, 輔助計算!$G$2:$G$801, 0)+1))&lt;100, IF(INDEX(ERP資料!$G:$G, (MATCH(119, 輔助計算!$G$2:$G$801, 0)+1))&lt;=31,3,IF(INDEX(ERP資料!$G:$G, (MATCH(119, 輔助計算!$G$2:$G$801, 0)+1))&lt;=46.5,2,1)), IF(INDEX(ERP資料!$G:$G, (MATCH(119, 輔助計算!$G$2:$G$801, 0)+1))&lt;=790,3,IF(INDEX(ERP資料!$G:$G, (MATCH(119, 輔助計算!$G$2:$G$801, 0)+1))&lt;=1181,2,1))))=0,"",IF(MOD(INDEX(輔助計算!$D:$D, (MATCH(119, 輔助計算!$G$2:$G$801, 0)+1)),IF(INDEX(ERP資料!$G:$G, (MATCH(119, 輔助計算!$G$2:$G$801, 0)+1))&lt;100, IF(INDEX(ERP資料!$G:$G, (MATCH(119, 輔助計算!$G$2:$G$801, 0)+1))&lt;=31,3,IF(INDEX(ERP資料!$G:$G, (MATCH(119, 輔助計算!$G$2:$G$801, 0)+1))&lt;=46.5,2,1)), IF(INDEX(ERP資料!$G:$G, (MATCH(119, 輔助計算!$G$2:$G$801, 0)+1))&lt;=790,3,IF(INDEX(ERP資料!$G:$G, (MATCH(119, 輔助計算!$G$2:$G$801, 0)+1))&lt;=1181,2,1))))=1,TEXT(INDEX(ERP資料!$G:$G, (MATCH(119, 輔助計算!$G$2:$G$801, 0)+1)),"0.##"),IF(MOD(INDEX(輔助計算!$D:$D, (MATCH(119, 輔助計算!$G$2:$G$801, 0)+1)),IF(INDEX(ERP資料!$G:$G, (MATCH(119, 輔助計算!$G$2:$G$801, 0)+1))&lt;100, IF(INDEX(ERP資料!$G:$G, (MATCH(119, 輔助計算!$G$2:$G$801, 0)+1))&lt;=31,3,IF(INDEX(ERP資料!$G:$G, (MATCH(119, 輔助計算!$G$2:$G$801, 0)+1))&lt;=46.5,2,1)), IF(INDEX(ERP資料!$G:$G, (MATCH(119, 輔助計算!$G$2:$G$801, 0)+1))&lt;=790,3,IF(INDEX(ERP資料!$G:$G, (MATCH(119, 輔助計算!$G$2:$G$801, 0)+1))&lt;=1181,2,1))))=2,TEXT(INDEX(ERP資料!$G:$G, (MATCH(119, 輔助計算!$G$2:$G$801, 0)+1)),"0.##")&amp;"+"&amp;TEXT(INDEX(ERP資料!$G:$G, (MATCH(119, 輔助計算!$G$2:$G$801, 0)+1)),"0.##"),TEXT(INDEX(ERP資料!$G:$G, (MATCH(119, 輔助計算!$G$2:$G$801, 0)+1)),"0.##")&amp;"+"&amp;TEXT(INDEX(ERP資料!$G:$G, (MATCH(119, 輔助計算!$G$2:$G$801, 0)+1)),"0.##")&amp;"+"&amp;TEXT(INDEX(ERP資料!$G:$G, (MATCH(119, 輔助計算!$G$2:$G$801, 0)+1)),"0.##"))))&amp;"-1")), ""), "")</f>
        <v/>
      </c>
      <c r="K120" s="16" t="n"/>
      <c r="L120" s="14">
        <f>IFERROR(IF(AND(IFERROR(INDEX(ERP資料!$A:$A, (MATCH(119, 輔助計算!$G$2:$G$801, 0)+1)), "")&lt;&gt;"", IFERROR(INDEX(ERP資料!$A:$A, (MATCH(119, 輔助計算!$G$2:$G$801, 0)+1)), "")&lt;&gt;IFERROR(INDEX(ERP資料!$A:$A, MATCH(118, 輔助計算!$G$2:$G$801, 0)+1), "")), INDEX(ERP資料!$B:$B, (MATCH(119, 輔助計算!$G$2:$G$801, 0)+1)), ""), "")</f>
        <v/>
      </c>
      <c r="M120" s="17" t="n"/>
    </row>
    <row r="121">
      <c r="A121" s="10">
        <f>IFERROR(IF(AND(IFERROR(INDEX(ERP資料!$A:$A, (MATCH(120, 輔助計算!$G$2:$G$801, 0)+1)), "")&lt;&gt;"", IFERROR(INDEX(ERP資料!$A:$A, (MATCH(120, 輔助計算!$G$2:$G$801, 0)+1)), "")&lt;&gt;IFERROR(INDEX(ERP資料!$A:$A, MATCH(119, 輔助計算!$G$2:$G$801, 0)+1), "")), IFERROR(INDEX(ERP資料!$A:$A, (MATCH(120, 輔助計算!$G$2:$G$801, 0)+1)), ""), ""), "")</f>
        <v/>
      </c>
      <c r="B121" s="10">
        <f>IFERROR(IF(AND(IFERROR(INDEX(ERP資料!$A:$A, (MATCH(120, 輔助計算!$G$2:$G$801, 0)+1)), "")&lt;&gt;"", IFERROR(INDEX(ERP資料!$A:$A, (MATCH(120, 輔助計算!$G$2:$G$801, 0)+1)), "")&lt;&gt;IFERROR(INDEX(ERP資料!$A:$A, MATCH(119, 輔助計算!$G$2:$G$801, 0)+1), "")), INDEX(ERP資料!$S:$S, (MATCH(120, 輔助計算!$G$2:$G$801, 0)+1)), ""), "")</f>
        <v/>
      </c>
      <c r="C121" s="19">
        <f>IFERROR(IF(AND(IFERROR(INDEX(ERP資料!$A:$A, (MATCH(120, 輔助計算!$G$2:$G$801, 0)+1)), "")&lt;&gt;"", IFERROR(INDEX(ERP資料!$A:$A, (MATCH(120, 輔助計算!$G$2:$G$801, 0)+1)), "")&lt;&gt;IFERROR(INDEX(ERP資料!$A:$A, MATCH(119, 輔助計算!$G$2:$G$801, 0)+1), "")), IFERROR(VLOOKUP(LEFT(INDEX(ERP資料!$S:$S, (MATCH(120, 輔助計算!$G$2:$G$801, 0)+1)), 4), 紙管對照表!$A:$C, 3, FALSE), ""), ""), "")</f>
        <v/>
      </c>
      <c r="D121" s="16" t="n"/>
      <c r="E121" s="10">
        <f>IFERROR(IF(INDEX(ERP資料!$H:$H, (MATCH(120, 輔助計算!$G$2:$G$801, 0)+1))="","",INDEX(ERP資料!$H:$H, (MATCH(120, 輔助計算!$G$2:$G$801, 0)+1))), "")</f>
        <v/>
      </c>
      <c r="F121" s="10">
        <f>IFERROR(IF(INDEX(ERP資料!$E:$E, (MATCH(120, 輔助計算!$G$2:$G$801, 0)+1))="","",TRIM(INDEX(ERP資料!$E:$E, (MATCH(120, 輔助計算!$G$2:$G$801, 0)+1)))), "")</f>
        <v/>
      </c>
      <c r="G121" s="10">
        <f>IFERROR(IF(INDEX(ERP資料!$F:$F, (MATCH(120, 輔助計算!$G$2:$G$801, 0)+1))="","",INDEX(ERP資料!$F:$F, (MATCH(120, 輔助計算!$G$2:$G$801, 0)+1))), "")</f>
        <v/>
      </c>
      <c r="H121" s="10">
        <f>IFERROR(IF(INDEX(ERP資料!$G:$G, (MATCH(120, 輔助計算!$G$2:$G$801, 0)+1))="","",INDEX(ERP資料!$G:$G, (MATCH(120, 輔助計算!$G$2:$G$801, 0)+1))), "")</f>
        <v/>
      </c>
      <c r="I121" s="15">
        <f>IFERROR(INDEX(輔助計算!$D:$D, (MATCH(120, 輔助計算!$G$2:$G$801, 0)+1)), "")</f>
        <v/>
      </c>
      <c r="J121" s="15">
        <f>IFERROR(IF(AND(INDEX(輔助計算!$D:$D, (MATCH(120, 輔助計算!$G$2:$G$801, 0)+1))&lt;&gt;"", INDEX(ERP資料!$G:$G, (MATCH(120, 輔助計算!$G$2:$G$801, 0)+1))&lt;&gt;""), TRIM(IF(INT(INDEX(輔助計算!$D:$D, (MATCH(120, 輔助計算!$G$2:$G$801, 0)+1))/IF(INDEX(ERP資料!$G:$G, (MATCH(120, 輔助計算!$G$2:$G$801, 0)+1))&lt;100, IF(INDEX(ERP資料!$G:$G, (MATCH(120, 輔助計算!$G$2:$G$801, 0)+1))&lt;=31,3,IF(INDEX(ERP資料!$G:$G, (MATCH(120, 輔助計算!$G$2:$G$801, 0)+1))&lt;=46.5,2,1)), IF(INDEX(ERP資料!$G:$G, (MATCH(120, 輔助計算!$G$2:$G$801, 0)+1))&lt;=790,3,IF(INDEX(ERP資料!$G:$G, (MATCH(120, 輔助計算!$G$2:$G$801, 0)+1))&lt;=1181,2,1))))&gt;0, IF(IF(INDEX(ERP資料!$G:$G, (MATCH(120, 輔助計算!$G$2:$G$801, 0)+1))&lt;100, IF(INDEX(ERP資料!$G:$G, (MATCH(120, 輔助計算!$G$2:$G$801, 0)+1))&lt;=31,3,IF(INDEX(ERP資料!$G:$G, (MATCH(120, 輔助計算!$G$2:$G$801, 0)+1))&lt;=46.5,2,1)), IF(INDEX(ERP資料!$G:$G, (MATCH(120, 輔助計算!$G$2:$G$801, 0)+1))&lt;=790,3,IF(INDEX(ERP資料!$G:$G, (MATCH(120, 輔助計算!$G$2:$G$801, 0)+1))&lt;=1181,2,1)))=1,TEXT(INDEX(ERP資料!$G:$G, (MATCH(120, 輔助計算!$G$2:$G$801, 0)+1)),"0.##"),IF(IF(INDEX(ERP資料!$G:$G, (MATCH(120, 輔助計算!$G$2:$G$801, 0)+1))&lt;100, IF(INDEX(ERP資料!$G:$G, (MATCH(120, 輔助計算!$G$2:$G$801, 0)+1))&lt;=31,3,IF(INDEX(ERP資料!$G:$G, (MATCH(120, 輔助計算!$G$2:$G$801, 0)+1))&lt;=46.5,2,1)), IF(INDEX(ERP資料!$G:$G, (MATCH(120, 輔助計算!$G$2:$G$801, 0)+1))&lt;=790,3,IF(INDEX(ERP資料!$G:$G, (MATCH(120, 輔助計算!$G$2:$G$801, 0)+1))&lt;=1181,2,1)))=2,TEXT(INDEX(ERP資料!$G:$G, (MATCH(120, 輔助計算!$G$2:$G$801, 0)+1)),"0.##")&amp;"+"&amp;TEXT(INDEX(ERP資料!$G:$G, (MATCH(120, 輔助計算!$G$2:$G$801, 0)+1)),"0.##"),TEXT(INDEX(ERP資料!$G:$G, (MATCH(120, 輔助計算!$G$2:$G$801, 0)+1)),"0.##")&amp;"+"&amp;TEXT(INDEX(ERP資料!$G:$G, (MATCH(120, 輔助計算!$G$2:$G$801, 0)+1)),"0.##")&amp;"+"&amp;TEXT(INDEX(ERP資料!$G:$G, (MATCH(120, 輔助計算!$G$2:$G$801, 0)+1)),"0.##")))&amp;"-"&amp;INT(INDEX(輔助計算!$D:$D, (MATCH(120, 輔助計算!$G$2:$G$801, 0)+1))/IF(INDEX(ERP資料!$G:$G, (MATCH(120, 輔助計算!$G$2:$G$801, 0)+1))&lt;100, IF(INDEX(ERP資料!$G:$G, (MATCH(120, 輔助計算!$G$2:$G$801, 0)+1))&lt;=31,3,IF(INDEX(ERP資料!$G:$G, (MATCH(120, 輔助計算!$G$2:$G$801, 0)+1))&lt;=46.5,2,1)), IF(INDEX(ERP資料!$G:$G, (MATCH(120, 輔助計算!$G$2:$G$801, 0)+1))&lt;=790,3,IF(INDEX(ERP資料!$G:$G, (MATCH(120, 輔助計算!$G$2:$G$801, 0)+1))&lt;=1181,2,1)))), "")&amp;IF(AND(IF(INT(INDEX(輔助計算!$D:$D, (MATCH(120, 輔助計算!$G$2:$G$801, 0)+1))/IF(INDEX(ERP資料!$G:$G, (MATCH(120, 輔助計算!$G$2:$G$801, 0)+1))&lt;100, IF(INDEX(ERP資料!$G:$G, (MATCH(120, 輔助計算!$G$2:$G$801, 0)+1))&lt;=31,3,IF(INDEX(ERP資料!$G:$G, (MATCH(120, 輔助計算!$G$2:$G$801, 0)+1))&lt;=46.5,2,1)), IF(INDEX(ERP資料!$G:$G, (MATCH(120, 輔助計算!$G$2:$G$801, 0)+1))&lt;=790,3,IF(INDEX(ERP資料!$G:$G, (MATCH(120, 輔助計算!$G$2:$G$801, 0)+1))&lt;=1181,2,1))))&gt;0, IF(IF(INDEX(ERP資料!$G:$G, (MATCH(120, 輔助計算!$G$2:$G$801, 0)+1))&lt;100, IF(INDEX(ERP資料!$G:$G, (MATCH(120, 輔助計算!$G$2:$G$801, 0)+1))&lt;=31,3,IF(INDEX(ERP資料!$G:$G, (MATCH(120, 輔助計算!$G$2:$G$801, 0)+1))&lt;=46.5,2,1)), IF(INDEX(ERP資料!$G:$G, (MATCH(120, 輔助計算!$G$2:$G$801, 0)+1))&lt;=790,3,IF(INDEX(ERP資料!$G:$G, (MATCH(120, 輔助計算!$G$2:$G$801, 0)+1))&lt;=1181,2,1)))=1,TEXT(INDEX(ERP資料!$G:$G, (MATCH(120, 輔助計算!$G$2:$G$801, 0)+1)),"0.##"),IF(IF(INDEX(ERP資料!$G:$G, (MATCH(120, 輔助計算!$G$2:$G$801, 0)+1))&lt;100, IF(INDEX(ERP資料!$G:$G, (MATCH(120, 輔助計算!$G$2:$G$801, 0)+1))&lt;=31,3,IF(INDEX(ERP資料!$G:$G, (MATCH(120, 輔助計算!$G$2:$G$801, 0)+1))&lt;=46.5,2,1)), IF(INDEX(ERP資料!$G:$G, (MATCH(120, 輔助計算!$G$2:$G$801, 0)+1))&lt;=790,3,IF(INDEX(ERP資料!$G:$G, (MATCH(120, 輔助計算!$G$2:$G$801, 0)+1))&lt;=1181,2,1)))=2,TEXT(INDEX(ERP資料!$G:$G, (MATCH(120, 輔助計算!$G$2:$G$801, 0)+1)),"0.##")&amp;"+"&amp;TEXT(INDEX(ERP資料!$G:$G, (MATCH(120, 輔助計算!$G$2:$G$801, 0)+1)),"0.##"),TEXT(INDEX(ERP資料!$G:$G, (MATCH(120, 輔助計算!$G$2:$G$801, 0)+1)),"0.##")&amp;"+"&amp;TEXT(INDEX(ERP資料!$G:$G, (MATCH(120, 輔助計算!$G$2:$G$801, 0)+1)),"0.##")&amp;"+"&amp;TEXT(INDEX(ERP資料!$G:$G, (MATCH(120, 輔助計算!$G$2:$G$801, 0)+1)),"0.##")))&amp;"-"&amp;INT(INDEX(輔助計算!$D:$D, (MATCH(120, 輔助計算!$G$2:$G$801, 0)+1))/IF(INDEX(ERP資料!$G:$G, (MATCH(120, 輔助計算!$G$2:$G$801, 0)+1))&lt;100, IF(INDEX(ERP資料!$G:$G, (MATCH(120, 輔助計算!$G$2:$G$801, 0)+1))&lt;=31,3,IF(INDEX(ERP資料!$G:$G, (MATCH(120, 輔助計算!$G$2:$G$801, 0)+1))&lt;=46.5,2,1)), IF(INDEX(ERP資料!$G:$G, (MATCH(120, 輔助計算!$G$2:$G$801, 0)+1))&lt;=790,3,IF(INDEX(ERP資料!$G:$G, (MATCH(120, 輔助計算!$G$2:$G$801, 0)+1))&lt;=1181,2,1)))), "")&lt;&gt;"",IF(MOD(INDEX(輔助計算!$D:$D, (MATCH(120, 輔助計算!$G$2:$G$801, 0)+1)),IF(INDEX(ERP資料!$G:$G, (MATCH(120, 輔助計算!$G$2:$G$801, 0)+1))&lt;100, IF(INDEX(ERP資料!$G:$G, (MATCH(120, 輔助計算!$G$2:$G$801, 0)+1))&lt;=31,3,IF(INDEX(ERP資料!$G:$G, (MATCH(120, 輔助計算!$G$2:$G$801, 0)+1))&lt;=46.5,2,1)), IF(INDEX(ERP資料!$G:$G, (MATCH(120, 輔助計算!$G$2:$G$801, 0)+1))&lt;=790,3,IF(INDEX(ERP資料!$G:$G, (MATCH(120, 輔助計算!$G$2:$G$801, 0)+1))&lt;=1181,2,1))))=0,"",IF(MOD(INDEX(輔助計算!$D:$D, (MATCH(120, 輔助計算!$G$2:$G$801, 0)+1)),IF(INDEX(ERP資料!$G:$G, (MATCH(120, 輔助計算!$G$2:$G$801, 0)+1))&lt;100, IF(INDEX(ERP資料!$G:$G, (MATCH(120, 輔助計算!$G$2:$G$801, 0)+1))&lt;=31,3,IF(INDEX(ERP資料!$G:$G, (MATCH(120, 輔助計算!$G$2:$G$801, 0)+1))&lt;=46.5,2,1)), IF(INDEX(ERP資料!$G:$G, (MATCH(120, 輔助計算!$G$2:$G$801, 0)+1))&lt;=790,3,IF(INDEX(ERP資料!$G:$G, (MATCH(120, 輔助計算!$G$2:$G$801, 0)+1))&lt;=1181,2,1))))=0,"",IF(MOD(INDEX(輔助計算!$D:$D, (MATCH(120, 輔助計算!$G$2:$G$801, 0)+1)),IF(INDEX(ERP資料!$G:$G, (MATCH(120, 輔助計算!$G$2:$G$801, 0)+1))&lt;100, IF(INDEX(ERP資料!$G:$G, (MATCH(120, 輔助計算!$G$2:$G$801, 0)+1))&lt;=31,3,IF(INDEX(ERP資料!$G:$G, (MATCH(120, 輔助計算!$G$2:$G$801, 0)+1))&lt;=46.5,2,1)), IF(INDEX(ERP資料!$G:$G, (MATCH(120, 輔助計算!$G$2:$G$801, 0)+1))&lt;=790,3,IF(INDEX(ERP資料!$G:$G, (MATCH(120, 輔助計算!$G$2:$G$801, 0)+1))&lt;=1181,2,1))))=1,TEXT(INDEX(ERP資料!$G:$G, (MATCH(120, 輔助計算!$G$2:$G$801, 0)+1)),"0.##"),IF(MOD(INDEX(輔助計算!$D:$D, (MATCH(120, 輔助計算!$G$2:$G$801, 0)+1)),IF(INDEX(ERP資料!$G:$G, (MATCH(120, 輔助計算!$G$2:$G$801, 0)+1))&lt;100, IF(INDEX(ERP資料!$G:$G, (MATCH(120, 輔助計算!$G$2:$G$801, 0)+1))&lt;=31,3,IF(INDEX(ERP資料!$G:$G, (MATCH(120, 輔助計算!$G$2:$G$801, 0)+1))&lt;=46.5,2,1)), IF(INDEX(ERP資料!$G:$G, (MATCH(120, 輔助計算!$G$2:$G$801, 0)+1))&lt;=790,3,IF(INDEX(ERP資料!$G:$G, (MATCH(120, 輔助計算!$G$2:$G$801, 0)+1))&lt;=1181,2,1))))=2,TEXT(INDEX(ERP資料!$G:$G, (MATCH(120, 輔助計算!$G$2:$G$801, 0)+1)),"0.##")&amp;"+"&amp;TEXT(INDEX(ERP資料!$G:$G, (MATCH(120, 輔助計算!$G$2:$G$801, 0)+1)),"0.##"),TEXT(INDEX(ERP資料!$G:$G, (MATCH(120, 輔助計算!$G$2:$G$801, 0)+1)),"0.##")&amp;"+"&amp;TEXT(INDEX(ERP資料!$G:$G, (MATCH(120, 輔助計算!$G$2:$G$801, 0)+1)),"0.##")&amp;"+"&amp;TEXT(INDEX(ERP資料!$G:$G, (MATCH(120, 輔助計算!$G$2:$G$801, 0)+1)),"0.##"))))&amp;"-1")&lt;&gt;""),"  ","")&amp;IF(MOD(INDEX(輔助計算!$D:$D, (MATCH(120, 輔助計算!$G$2:$G$801, 0)+1)),IF(INDEX(ERP資料!$G:$G, (MATCH(120, 輔助計算!$G$2:$G$801, 0)+1))&lt;100, IF(INDEX(ERP資料!$G:$G, (MATCH(120, 輔助計算!$G$2:$G$801, 0)+1))&lt;=31,3,IF(INDEX(ERP資料!$G:$G, (MATCH(120, 輔助計算!$G$2:$G$801, 0)+1))&lt;=46.5,2,1)), IF(INDEX(ERP資料!$G:$G, (MATCH(120, 輔助計算!$G$2:$G$801, 0)+1))&lt;=790,3,IF(INDEX(ERP資料!$G:$G, (MATCH(120, 輔助計算!$G$2:$G$801, 0)+1))&lt;=1181,2,1))))=0,"",IF(MOD(INDEX(輔助計算!$D:$D, (MATCH(120, 輔助計算!$G$2:$G$801, 0)+1)),IF(INDEX(ERP資料!$G:$G, (MATCH(120, 輔助計算!$G$2:$G$801, 0)+1))&lt;100, IF(INDEX(ERP資料!$G:$G, (MATCH(120, 輔助計算!$G$2:$G$801, 0)+1))&lt;=31,3,IF(INDEX(ERP資料!$G:$G, (MATCH(120, 輔助計算!$G$2:$G$801, 0)+1))&lt;=46.5,2,1)), IF(INDEX(ERP資料!$G:$G, (MATCH(120, 輔助計算!$G$2:$G$801, 0)+1))&lt;=790,3,IF(INDEX(ERP資料!$G:$G, (MATCH(120, 輔助計算!$G$2:$G$801, 0)+1))&lt;=1181,2,1))))=0,"",IF(MOD(INDEX(輔助計算!$D:$D, (MATCH(120, 輔助計算!$G$2:$G$801, 0)+1)),IF(INDEX(ERP資料!$G:$G, (MATCH(120, 輔助計算!$G$2:$G$801, 0)+1))&lt;100, IF(INDEX(ERP資料!$G:$G, (MATCH(120, 輔助計算!$G$2:$G$801, 0)+1))&lt;=31,3,IF(INDEX(ERP資料!$G:$G, (MATCH(120, 輔助計算!$G$2:$G$801, 0)+1))&lt;=46.5,2,1)), IF(INDEX(ERP資料!$G:$G, (MATCH(120, 輔助計算!$G$2:$G$801, 0)+1))&lt;=790,3,IF(INDEX(ERP資料!$G:$G, (MATCH(120, 輔助計算!$G$2:$G$801, 0)+1))&lt;=1181,2,1))))=1,TEXT(INDEX(ERP資料!$G:$G, (MATCH(120, 輔助計算!$G$2:$G$801, 0)+1)),"0.##"),IF(MOD(INDEX(輔助計算!$D:$D, (MATCH(120, 輔助計算!$G$2:$G$801, 0)+1)),IF(INDEX(ERP資料!$G:$G, (MATCH(120, 輔助計算!$G$2:$G$801, 0)+1))&lt;100, IF(INDEX(ERP資料!$G:$G, (MATCH(120, 輔助計算!$G$2:$G$801, 0)+1))&lt;=31,3,IF(INDEX(ERP資料!$G:$G, (MATCH(120, 輔助計算!$G$2:$G$801, 0)+1))&lt;=46.5,2,1)), IF(INDEX(ERP資料!$G:$G, (MATCH(120, 輔助計算!$G$2:$G$801, 0)+1))&lt;=790,3,IF(INDEX(ERP資料!$G:$G, (MATCH(120, 輔助計算!$G$2:$G$801, 0)+1))&lt;=1181,2,1))))=2,TEXT(INDEX(ERP資料!$G:$G, (MATCH(120, 輔助計算!$G$2:$G$801, 0)+1)),"0.##")&amp;"+"&amp;TEXT(INDEX(ERP資料!$G:$G, (MATCH(120, 輔助計算!$G$2:$G$801, 0)+1)),"0.##"),TEXT(INDEX(ERP資料!$G:$G, (MATCH(120, 輔助計算!$G$2:$G$801, 0)+1)),"0.##")&amp;"+"&amp;TEXT(INDEX(ERP資料!$G:$G, (MATCH(120, 輔助計算!$G$2:$G$801, 0)+1)),"0.##")&amp;"+"&amp;TEXT(INDEX(ERP資料!$G:$G, (MATCH(120, 輔助計算!$G$2:$G$801, 0)+1)),"0.##"))))&amp;"-1")), ""), "")</f>
        <v/>
      </c>
      <c r="K121" s="16" t="n"/>
      <c r="L121" s="14">
        <f>IFERROR(IF(AND(IFERROR(INDEX(ERP資料!$A:$A, (MATCH(120, 輔助計算!$G$2:$G$801, 0)+1)), "")&lt;&gt;"", IFERROR(INDEX(ERP資料!$A:$A, (MATCH(120, 輔助計算!$G$2:$G$801, 0)+1)), "")&lt;&gt;IFERROR(INDEX(ERP資料!$A:$A, MATCH(119, 輔助計算!$G$2:$G$801, 0)+1), "")), INDEX(ERP資料!$B:$B, (MATCH(120, 輔助計算!$G$2:$G$801, 0)+1)), ""), "")</f>
        <v/>
      </c>
      <c r="M121" s="17" t="n"/>
    </row>
    <row r="122">
      <c r="A122" s="10">
        <f>IFERROR(IF(AND(IFERROR(INDEX(ERP資料!$A:$A, (MATCH(121, 輔助計算!$G$2:$G$801, 0)+1)), "")&lt;&gt;"", IFERROR(INDEX(ERP資料!$A:$A, (MATCH(121, 輔助計算!$G$2:$G$801, 0)+1)), "")&lt;&gt;IFERROR(INDEX(ERP資料!$A:$A, MATCH(120, 輔助計算!$G$2:$G$801, 0)+1), "")), IFERROR(INDEX(ERP資料!$A:$A, (MATCH(121, 輔助計算!$G$2:$G$801, 0)+1)), ""), ""), "")</f>
        <v/>
      </c>
      <c r="B122" s="10">
        <f>IFERROR(IF(AND(IFERROR(INDEX(ERP資料!$A:$A, (MATCH(121, 輔助計算!$G$2:$G$801, 0)+1)), "")&lt;&gt;"", IFERROR(INDEX(ERP資料!$A:$A, (MATCH(121, 輔助計算!$G$2:$G$801, 0)+1)), "")&lt;&gt;IFERROR(INDEX(ERP資料!$A:$A, MATCH(120, 輔助計算!$G$2:$G$801, 0)+1), "")), INDEX(ERP資料!$S:$S, (MATCH(121, 輔助計算!$G$2:$G$801, 0)+1)), ""), "")</f>
        <v/>
      </c>
      <c r="C122" s="19">
        <f>IFERROR(IF(AND(IFERROR(INDEX(ERP資料!$A:$A, (MATCH(121, 輔助計算!$G$2:$G$801, 0)+1)), "")&lt;&gt;"", IFERROR(INDEX(ERP資料!$A:$A, (MATCH(121, 輔助計算!$G$2:$G$801, 0)+1)), "")&lt;&gt;IFERROR(INDEX(ERP資料!$A:$A, MATCH(120, 輔助計算!$G$2:$G$801, 0)+1), "")), IFERROR(VLOOKUP(LEFT(INDEX(ERP資料!$S:$S, (MATCH(121, 輔助計算!$G$2:$G$801, 0)+1)), 4), 紙管對照表!$A:$C, 3, FALSE), ""), ""), "")</f>
        <v/>
      </c>
      <c r="D122" s="16" t="n"/>
      <c r="E122" s="10">
        <f>IFERROR(IF(INDEX(ERP資料!$H:$H, (MATCH(121, 輔助計算!$G$2:$G$801, 0)+1))="","",INDEX(ERP資料!$H:$H, (MATCH(121, 輔助計算!$G$2:$G$801, 0)+1))), "")</f>
        <v/>
      </c>
      <c r="F122" s="10">
        <f>IFERROR(IF(INDEX(ERP資料!$E:$E, (MATCH(121, 輔助計算!$G$2:$G$801, 0)+1))="","",TRIM(INDEX(ERP資料!$E:$E, (MATCH(121, 輔助計算!$G$2:$G$801, 0)+1)))), "")</f>
        <v/>
      </c>
      <c r="G122" s="10">
        <f>IFERROR(IF(INDEX(ERP資料!$F:$F, (MATCH(121, 輔助計算!$G$2:$G$801, 0)+1))="","",INDEX(ERP資料!$F:$F, (MATCH(121, 輔助計算!$G$2:$G$801, 0)+1))), "")</f>
        <v/>
      </c>
      <c r="H122" s="10">
        <f>IFERROR(IF(INDEX(ERP資料!$G:$G, (MATCH(121, 輔助計算!$G$2:$G$801, 0)+1))="","",INDEX(ERP資料!$G:$G, (MATCH(121, 輔助計算!$G$2:$G$801, 0)+1))), "")</f>
        <v/>
      </c>
      <c r="I122" s="15">
        <f>IFERROR(INDEX(輔助計算!$D:$D, (MATCH(121, 輔助計算!$G$2:$G$801, 0)+1)), "")</f>
        <v/>
      </c>
      <c r="J122" s="15">
        <f>IFERROR(IF(AND(INDEX(輔助計算!$D:$D, (MATCH(121, 輔助計算!$G$2:$G$801, 0)+1))&lt;&gt;"", INDEX(ERP資料!$G:$G, (MATCH(121, 輔助計算!$G$2:$G$801, 0)+1))&lt;&gt;""), TRIM(IF(INT(INDEX(輔助計算!$D:$D, (MATCH(121, 輔助計算!$G$2:$G$801, 0)+1))/IF(INDEX(ERP資料!$G:$G, (MATCH(121, 輔助計算!$G$2:$G$801, 0)+1))&lt;100, IF(INDEX(ERP資料!$G:$G, (MATCH(121, 輔助計算!$G$2:$G$801, 0)+1))&lt;=31,3,IF(INDEX(ERP資料!$G:$G, (MATCH(121, 輔助計算!$G$2:$G$801, 0)+1))&lt;=46.5,2,1)), IF(INDEX(ERP資料!$G:$G, (MATCH(121, 輔助計算!$G$2:$G$801, 0)+1))&lt;=790,3,IF(INDEX(ERP資料!$G:$G, (MATCH(121, 輔助計算!$G$2:$G$801, 0)+1))&lt;=1181,2,1))))&gt;0, IF(IF(INDEX(ERP資料!$G:$G, (MATCH(121, 輔助計算!$G$2:$G$801, 0)+1))&lt;100, IF(INDEX(ERP資料!$G:$G, (MATCH(121, 輔助計算!$G$2:$G$801, 0)+1))&lt;=31,3,IF(INDEX(ERP資料!$G:$G, (MATCH(121, 輔助計算!$G$2:$G$801, 0)+1))&lt;=46.5,2,1)), IF(INDEX(ERP資料!$G:$G, (MATCH(121, 輔助計算!$G$2:$G$801, 0)+1))&lt;=790,3,IF(INDEX(ERP資料!$G:$G, (MATCH(121, 輔助計算!$G$2:$G$801, 0)+1))&lt;=1181,2,1)))=1,TEXT(INDEX(ERP資料!$G:$G, (MATCH(121, 輔助計算!$G$2:$G$801, 0)+1)),"0.##"),IF(IF(INDEX(ERP資料!$G:$G, (MATCH(121, 輔助計算!$G$2:$G$801, 0)+1))&lt;100, IF(INDEX(ERP資料!$G:$G, (MATCH(121, 輔助計算!$G$2:$G$801, 0)+1))&lt;=31,3,IF(INDEX(ERP資料!$G:$G, (MATCH(121, 輔助計算!$G$2:$G$801, 0)+1))&lt;=46.5,2,1)), IF(INDEX(ERP資料!$G:$G, (MATCH(121, 輔助計算!$G$2:$G$801, 0)+1))&lt;=790,3,IF(INDEX(ERP資料!$G:$G, (MATCH(121, 輔助計算!$G$2:$G$801, 0)+1))&lt;=1181,2,1)))=2,TEXT(INDEX(ERP資料!$G:$G, (MATCH(121, 輔助計算!$G$2:$G$801, 0)+1)),"0.##")&amp;"+"&amp;TEXT(INDEX(ERP資料!$G:$G, (MATCH(121, 輔助計算!$G$2:$G$801, 0)+1)),"0.##"),TEXT(INDEX(ERP資料!$G:$G, (MATCH(121, 輔助計算!$G$2:$G$801, 0)+1)),"0.##")&amp;"+"&amp;TEXT(INDEX(ERP資料!$G:$G, (MATCH(121, 輔助計算!$G$2:$G$801, 0)+1)),"0.##")&amp;"+"&amp;TEXT(INDEX(ERP資料!$G:$G, (MATCH(121, 輔助計算!$G$2:$G$801, 0)+1)),"0.##")))&amp;"-"&amp;INT(INDEX(輔助計算!$D:$D, (MATCH(121, 輔助計算!$G$2:$G$801, 0)+1))/IF(INDEX(ERP資料!$G:$G, (MATCH(121, 輔助計算!$G$2:$G$801, 0)+1))&lt;100, IF(INDEX(ERP資料!$G:$G, (MATCH(121, 輔助計算!$G$2:$G$801, 0)+1))&lt;=31,3,IF(INDEX(ERP資料!$G:$G, (MATCH(121, 輔助計算!$G$2:$G$801, 0)+1))&lt;=46.5,2,1)), IF(INDEX(ERP資料!$G:$G, (MATCH(121, 輔助計算!$G$2:$G$801, 0)+1))&lt;=790,3,IF(INDEX(ERP資料!$G:$G, (MATCH(121, 輔助計算!$G$2:$G$801, 0)+1))&lt;=1181,2,1)))), "")&amp;IF(AND(IF(INT(INDEX(輔助計算!$D:$D, (MATCH(121, 輔助計算!$G$2:$G$801, 0)+1))/IF(INDEX(ERP資料!$G:$G, (MATCH(121, 輔助計算!$G$2:$G$801, 0)+1))&lt;100, IF(INDEX(ERP資料!$G:$G, (MATCH(121, 輔助計算!$G$2:$G$801, 0)+1))&lt;=31,3,IF(INDEX(ERP資料!$G:$G, (MATCH(121, 輔助計算!$G$2:$G$801, 0)+1))&lt;=46.5,2,1)), IF(INDEX(ERP資料!$G:$G, (MATCH(121, 輔助計算!$G$2:$G$801, 0)+1))&lt;=790,3,IF(INDEX(ERP資料!$G:$G, (MATCH(121, 輔助計算!$G$2:$G$801, 0)+1))&lt;=1181,2,1))))&gt;0, IF(IF(INDEX(ERP資料!$G:$G, (MATCH(121, 輔助計算!$G$2:$G$801, 0)+1))&lt;100, IF(INDEX(ERP資料!$G:$G, (MATCH(121, 輔助計算!$G$2:$G$801, 0)+1))&lt;=31,3,IF(INDEX(ERP資料!$G:$G, (MATCH(121, 輔助計算!$G$2:$G$801, 0)+1))&lt;=46.5,2,1)), IF(INDEX(ERP資料!$G:$G, (MATCH(121, 輔助計算!$G$2:$G$801, 0)+1))&lt;=790,3,IF(INDEX(ERP資料!$G:$G, (MATCH(121, 輔助計算!$G$2:$G$801, 0)+1))&lt;=1181,2,1)))=1,TEXT(INDEX(ERP資料!$G:$G, (MATCH(121, 輔助計算!$G$2:$G$801, 0)+1)),"0.##"),IF(IF(INDEX(ERP資料!$G:$G, (MATCH(121, 輔助計算!$G$2:$G$801, 0)+1))&lt;100, IF(INDEX(ERP資料!$G:$G, (MATCH(121, 輔助計算!$G$2:$G$801, 0)+1))&lt;=31,3,IF(INDEX(ERP資料!$G:$G, (MATCH(121, 輔助計算!$G$2:$G$801, 0)+1))&lt;=46.5,2,1)), IF(INDEX(ERP資料!$G:$G, (MATCH(121, 輔助計算!$G$2:$G$801, 0)+1))&lt;=790,3,IF(INDEX(ERP資料!$G:$G, (MATCH(121, 輔助計算!$G$2:$G$801, 0)+1))&lt;=1181,2,1)))=2,TEXT(INDEX(ERP資料!$G:$G, (MATCH(121, 輔助計算!$G$2:$G$801, 0)+1)),"0.##")&amp;"+"&amp;TEXT(INDEX(ERP資料!$G:$G, (MATCH(121, 輔助計算!$G$2:$G$801, 0)+1)),"0.##"),TEXT(INDEX(ERP資料!$G:$G, (MATCH(121, 輔助計算!$G$2:$G$801, 0)+1)),"0.##")&amp;"+"&amp;TEXT(INDEX(ERP資料!$G:$G, (MATCH(121, 輔助計算!$G$2:$G$801, 0)+1)),"0.##")&amp;"+"&amp;TEXT(INDEX(ERP資料!$G:$G, (MATCH(121, 輔助計算!$G$2:$G$801, 0)+1)),"0.##")))&amp;"-"&amp;INT(INDEX(輔助計算!$D:$D, (MATCH(121, 輔助計算!$G$2:$G$801, 0)+1))/IF(INDEX(ERP資料!$G:$G, (MATCH(121, 輔助計算!$G$2:$G$801, 0)+1))&lt;100, IF(INDEX(ERP資料!$G:$G, (MATCH(121, 輔助計算!$G$2:$G$801, 0)+1))&lt;=31,3,IF(INDEX(ERP資料!$G:$G, (MATCH(121, 輔助計算!$G$2:$G$801, 0)+1))&lt;=46.5,2,1)), IF(INDEX(ERP資料!$G:$G, (MATCH(121, 輔助計算!$G$2:$G$801, 0)+1))&lt;=790,3,IF(INDEX(ERP資料!$G:$G, (MATCH(121, 輔助計算!$G$2:$G$801, 0)+1))&lt;=1181,2,1)))), "")&lt;&gt;"",IF(MOD(INDEX(輔助計算!$D:$D, (MATCH(121, 輔助計算!$G$2:$G$801, 0)+1)),IF(INDEX(ERP資料!$G:$G, (MATCH(121, 輔助計算!$G$2:$G$801, 0)+1))&lt;100, IF(INDEX(ERP資料!$G:$G, (MATCH(121, 輔助計算!$G$2:$G$801, 0)+1))&lt;=31,3,IF(INDEX(ERP資料!$G:$G, (MATCH(121, 輔助計算!$G$2:$G$801, 0)+1))&lt;=46.5,2,1)), IF(INDEX(ERP資料!$G:$G, (MATCH(121, 輔助計算!$G$2:$G$801, 0)+1))&lt;=790,3,IF(INDEX(ERP資料!$G:$G, (MATCH(121, 輔助計算!$G$2:$G$801, 0)+1))&lt;=1181,2,1))))=0,"",IF(MOD(INDEX(輔助計算!$D:$D, (MATCH(121, 輔助計算!$G$2:$G$801, 0)+1)),IF(INDEX(ERP資料!$G:$G, (MATCH(121, 輔助計算!$G$2:$G$801, 0)+1))&lt;100, IF(INDEX(ERP資料!$G:$G, (MATCH(121, 輔助計算!$G$2:$G$801, 0)+1))&lt;=31,3,IF(INDEX(ERP資料!$G:$G, (MATCH(121, 輔助計算!$G$2:$G$801, 0)+1))&lt;=46.5,2,1)), IF(INDEX(ERP資料!$G:$G, (MATCH(121, 輔助計算!$G$2:$G$801, 0)+1))&lt;=790,3,IF(INDEX(ERP資料!$G:$G, (MATCH(121, 輔助計算!$G$2:$G$801, 0)+1))&lt;=1181,2,1))))=0,"",IF(MOD(INDEX(輔助計算!$D:$D, (MATCH(121, 輔助計算!$G$2:$G$801, 0)+1)),IF(INDEX(ERP資料!$G:$G, (MATCH(121, 輔助計算!$G$2:$G$801, 0)+1))&lt;100, IF(INDEX(ERP資料!$G:$G, (MATCH(121, 輔助計算!$G$2:$G$801, 0)+1))&lt;=31,3,IF(INDEX(ERP資料!$G:$G, (MATCH(121, 輔助計算!$G$2:$G$801, 0)+1))&lt;=46.5,2,1)), IF(INDEX(ERP資料!$G:$G, (MATCH(121, 輔助計算!$G$2:$G$801, 0)+1))&lt;=790,3,IF(INDEX(ERP資料!$G:$G, (MATCH(121, 輔助計算!$G$2:$G$801, 0)+1))&lt;=1181,2,1))))=1,TEXT(INDEX(ERP資料!$G:$G, (MATCH(121, 輔助計算!$G$2:$G$801, 0)+1)),"0.##"),IF(MOD(INDEX(輔助計算!$D:$D, (MATCH(121, 輔助計算!$G$2:$G$801, 0)+1)),IF(INDEX(ERP資料!$G:$G, (MATCH(121, 輔助計算!$G$2:$G$801, 0)+1))&lt;100, IF(INDEX(ERP資料!$G:$G, (MATCH(121, 輔助計算!$G$2:$G$801, 0)+1))&lt;=31,3,IF(INDEX(ERP資料!$G:$G, (MATCH(121, 輔助計算!$G$2:$G$801, 0)+1))&lt;=46.5,2,1)), IF(INDEX(ERP資料!$G:$G, (MATCH(121, 輔助計算!$G$2:$G$801, 0)+1))&lt;=790,3,IF(INDEX(ERP資料!$G:$G, (MATCH(121, 輔助計算!$G$2:$G$801, 0)+1))&lt;=1181,2,1))))=2,TEXT(INDEX(ERP資料!$G:$G, (MATCH(121, 輔助計算!$G$2:$G$801, 0)+1)),"0.##")&amp;"+"&amp;TEXT(INDEX(ERP資料!$G:$G, (MATCH(121, 輔助計算!$G$2:$G$801, 0)+1)),"0.##"),TEXT(INDEX(ERP資料!$G:$G, (MATCH(121, 輔助計算!$G$2:$G$801, 0)+1)),"0.##")&amp;"+"&amp;TEXT(INDEX(ERP資料!$G:$G, (MATCH(121, 輔助計算!$G$2:$G$801, 0)+1)),"0.##")&amp;"+"&amp;TEXT(INDEX(ERP資料!$G:$G, (MATCH(121, 輔助計算!$G$2:$G$801, 0)+1)),"0.##"))))&amp;"-1")&lt;&gt;""),"  ","")&amp;IF(MOD(INDEX(輔助計算!$D:$D, (MATCH(121, 輔助計算!$G$2:$G$801, 0)+1)),IF(INDEX(ERP資料!$G:$G, (MATCH(121, 輔助計算!$G$2:$G$801, 0)+1))&lt;100, IF(INDEX(ERP資料!$G:$G, (MATCH(121, 輔助計算!$G$2:$G$801, 0)+1))&lt;=31,3,IF(INDEX(ERP資料!$G:$G, (MATCH(121, 輔助計算!$G$2:$G$801, 0)+1))&lt;=46.5,2,1)), IF(INDEX(ERP資料!$G:$G, (MATCH(121, 輔助計算!$G$2:$G$801, 0)+1))&lt;=790,3,IF(INDEX(ERP資料!$G:$G, (MATCH(121, 輔助計算!$G$2:$G$801, 0)+1))&lt;=1181,2,1))))=0,"",IF(MOD(INDEX(輔助計算!$D:$D, (MATCH(121, 輔助計算!$G$2:$G$801, 0)+1)),IF(INDEX(ERP資料!$G:$G, (MATCH(121, 輔助計算!$G$2:$G$801, 0)+1))&lt;100, IF(INDEX(ERP資料!$G:$G, (MATCH(121, 輔助計算!$G$2:$G$801, 0)+1))&lt;=31,3,IF(INDEX(ERP資料!$G:$G, (MATCH(121, 輔助計算!$G$2:$G$801, 0)+1))&lt;=46.5,2,1)), IF(INDEX(ERP資料!$G:$G, (MATCH(121, 輔助計算!$G$2:$G$801, 0)+1))&lt;=790,3,IF(INDEX(ERP資料!$G:$G, (MATCH(121, 輔助計算!$G$2:$G$801, 0)+1))&lt;=1181,2,1))))=0,"",IF(MOD(INDEX(輔助計算!$D:$D, (MATCH(121, 輔助計算!$G$2:$G$801, 0)+1)),IF(INDEX(ERP資料!$G:$G, (MATCH(121, 輔助計算!$G$2:$G$801, 0)+1))&lt;100, IF(INDEX(ERP資料!$G:$G, (MATCH(121, 輔助計算!$G$2:$G$801, 0)+1))&lt;=31,3,IF(INDEX(ERP資料!$G:$G, (MATCH(121, 輔助計算!$G$2:$G$801, 0)+1))&lt;=46.5,2,1)), IF(INDEX(ERP資料!$G:$G, (MATCH(121, 輔助計算!$G$2:$G$801, 0)+1))&lt;=790,3,IF(INDEX(ERP資料!$G:$G, (MATCH(121, 輔助計算!$G$2:$G$801, 0)+1))&lt;=1181,2,1))))=1,TEXT(INDEX(ERP資料!$G:$G, (MATCH(121, 輔助計算!$G$2:$G$801, 0)+1)),"0.##"),IF(MOD(INDEX(輔助計算!$D:$D, (MATCH(121, 輔助計算!$G$2:$G$801, 0)+1)),IF(INDEX(ERP資料!$G:$G, (MATCH(121, 輔助計算!$G$2:$G$801, 0)+1))&lt;100, IF(INDEX(ERP資料!$G:$G, (MATCH(121, 輔助計算!$G$2:$G$801, 0)+1))&lt;=31,3,IF(INDEX(ERP資料!$G:$G, (MATCH(121, 輔助計算!$G$2:$G$801, 0)+1))&lt;=46.5,2,1)), IF(INDEX(ERP資料!$G:$G, (MATCH(121, 輔助計算!$G$2:$G$801, 0)+1))&lt;=790,3,IF(INDEX(ERP資料!$G:$G, (MATCH(121, 輔助計算!$G$2:$G$801, 0)+1))&lt;=1181,2,1))))=2,TEXT(INDEX(ERP資料!$G:$G, (MATCH(121, 輔助計算!$G$2:$G$801, 0)+1)),"0.##")&amp;"+"&amp;TEXT(INDEX(ERP資料!$G:$G, (MATCH(121, 輔助計算!$G$2:$G$801, 0)+1)),"0.##"),TEXT(INDEX(ERP資料!$G:$G, (MATCH(121, 輔助計算!$G$2:$G$801, 0)+1)),"0.##")&amp;"+"&amp;TEXT(INDEX(ERP資料!$G:$G, (MATCH(121, 輔助計算!$G$2:$G$801, 0)+1)),"0.##")&amp;"+"&amp;TEXT(INDEX(ERP資料!$G:$G, (MATCH(121, 輔助計算!$G$2:$G$801, 0)+1)),"0.##"))))&amp;"-1")), ""), "")</f>
        <v/>
      </c>
      <c r="K122" s="16" t="n"/>
      <c r="L122" s="14">
        <f>IFERROR(IF(AND(IFERROR(INDEX(ERP資料!$A:$A, (MATCH(121, 輔助計算!$G$2:$G$801, 0)+1)), "")&lt;&gt;"", IFERROR(INDEX(ERP資料!$A:$A, (MATCH(121, 輔助計算!$G$2:$G$801, 0)+1)), "")&lt;&gt;IFERROR(INDEX(ERP資料!$A:$A, MATCH(120, 輔助計算!$G$2:$G$801, 0)+1), "")), INDEX(ERP資料!$B:$B, (MATCH(121, 輔助計算!$G$2:$G$801, 0)+1)), ""), "")</f>
        <v/>
      </c>
      <c r="M122" s="17" t="n"/>
    </row>
    <row r="123">
      <c r="A123" s="10">
        <f>IFERROR(IF(AND(IFERROR(INDEX(ERP資料!$A:$A, (MATCH(122, 輔助計算!$G$2:$G$801, 0)+1)), "")&lt;&gt;"", IFERROR(INDEX(ERP資料!$A:$A, (MATCH(122, 輔助計算!$G$2:$G$801, 0)+1)), "")&lt;&gt;IFERROR(INDEX(ERP資料!$A:$A, MATCH(121, 輔助計算!$G$2:$G$801, 0)+1), "")), IFERROR(INDEX(ERP資料!$A:$A, (MATCH(122, 輔助計算!$G$2:$G$801, 0)+1)), ""), ""), "")</f>
        <v/>
      </c>
      <c r="B123" s="10">
        <f>IFERROR(IF(AND(IFERROR(INDEX(ERP資料!$A:$A, (MATCH(122, 輔助計算!$G$2:$G$801, 0)+1)), "")&lt;&gt;"", IFERROR(INDEX(ERP資料!$A:$A, (MATCH(122, 輔助計算!$G$2:$G$801, 0)+1)), "")&lt;&gt;IFERROR(INDEX(ERP資料!$A:$A, MATCH(121, 輔助計算!$G$2:$G$801, 0)+1), "")), INDEX(ERP資料!$S:$S, (MATCH(122, 輔助計算!$G$2:$G$801, 0)+1)), ""), "")</f>
        <v/>
      </c>
      <c r="C123" s="19">
        <f>IFERROR(IF(AND(IFERROR(INDEX(ERP資料!$A:$A, (MATCH(122, 輔助計算!$G$2:$G$801, 0)+1)), "")&lt;&gt;"", IFERROR(INDEX(ERP資料!$A:$A, (MATCH(122, 輔助計算!$G$2:$G$801, 0)+1)), "")&lt;&gt;IFERROR(INDEX(ERP資料!$A:$A, MATCH(121, 輔助計算!$G$2:$G$801, 0)+1), "")), IFERROR(VLOOKUP(LEFT(INDEX(ERP資料!$S:$S, (MATCH(122, 輔助計算!$G$2:$G$801, 0)+1)), 4), 紙管對照表!$A:$C, 3, FALSE), ""), ""), "")</f>
        <v/>
      </c>
      <c r="D123" s="16" t="n"/>
      <c r="E123" s="10">
        <f>IFERROR(IF(INDEX(ERP資料!$H:$H, (MATCH(122, 輔助計算!$G$2:$G$801, 0)+1))="","",INDEX(ERP資料!$H:$H, (MATCH(122, 輔助計算!$G$2:$G$801, 0)+1))), "")</f>
        <v/>
      </c>
      <c r="F123" s="10">
        <f>IFERROR(IF(INDEX(ERP資料!$E:$E, (MATCH(122, 輔助計算!$G$2:$G$801, 0)+1))="","",TRIM(INDEX(ERP資料!$E:$E, (MATCH(122, 輔助計算!$G$2:$G$801, 0)+1)))), "")</f>
        <v/>
      </c>
      <c r="G123" s="10">
        <f>IFERROR(IF(INDEX(ERP資料!$F:$F, (MATCH(122, 輔助計算!$G$2:$G$801, 0)+1))="","",INDEX(ERP資料!$F:$F, (MATCH(122, 輔助計算!$G$2:$G$801, 0)+1))), "")</f>
        <v/>
      </c>
      <c r="H123" s="10">
        <f>IFERROR(IF(INDEX(ERP資料!$G:$G, (MATCH(122, 輔助計算!$G$2:$G$801, 0)+1))="","",INDEX(ERP資料!$G:$G, (MATCH(122, 輔助計算!$G$2:$G$801, 0)+1))), "")</f>
        <v/>
      </c>
      <c r="I123" s="15">
        <f>IFERROR(INDEX(輔助計算!$D:$D, (MATCH(122, 輔助計算!$G$2:$G$801, 0)+1)), "")</f>
        <v/>
      </c>
      <c r="J123" s="15">
        <f>IFERROR(IF(AND(INDEX(輔助計算!$D:$D, (MATCH(122, 輔助計算!$G$2:$G$801, 0)+1))&lt;&gt;"", INDEX(ERP資料!$G:$G, (MATCH(122, 輔助計算!$G$2:$G$801, 0)+1))&lt;&gt;""), TRIM(IF(INT(INDEX(輔助計算!$D:$D, (MATCH(122, 輔助計算!$G$2:$G$801, 0)+1))/IF(INDEX(ERP資料!$G:$G, (MATCH(122, 輔助計算!$G$2:$G$801, 0)+1))&lt;100, IF(INDEX(ERP資料!$G:$G, (MATCH(122, 輔助計算!$G$2:$G$801, 0)+1))&lt;=31,3,IF(INDEX(ERP資料!$G:$G, (MATCH(122, 輔助計算!$G$2:$G$801, 0)+1))&lt;=46.5,2,1)), IF(INDEX(ERP資料!$G:$G, (MATCH(122, 輔助計算!$G$2:$G$801, 0)+1))&lt;=790,3,IF(INDEX(ERP資料!$G:$G, (MATCH(122, 輔助計算!$G$2:$G$801, 0)+1))&lt;=1181,2,1))))&gt;0, IF(IF(INDEX(ERP資料!$G:$G, (MATCH(122, 輔助計算!$G$2:$G$801, 0)+1))&lt;100, IF(INDEX(ERP資料!$G:$G, (MATCH(122, 輔助計算!$G$2:$G$801, 0)+1))&lt;=31,3,IF(INDEX(ERP資料!$G:$G, (MATCH(122, 輔助計算!$G$2:$G$801, 0)+1))&lt;=46.5,2,1)), IF(INDEX(ERP資料!$G:$G, (MATCH(122, 輔助計算!$G$2:$G$801, 0)+1))&lt;=790,3,IF(INDEX(ERP資料!$G:$G, (MATCH(122, 輔助計算!$G$2:$G$801, 0)+1))&lt;=1181,2,1)))=1,TEXT(INDEX(ERP資料!$G:$G, (MATCH(122, 輔助計算!$G$2:$G$801, 0)+1)),"0.##"),IF(IF(INDEX(ERP資料!$G:$G, (MATCH(122, 輔助計算!$G$2:$G$801, 0)+1))&lt;100, IF(INDEX(ERP資料!$G:$G, (MATCH(122, 輔助計算!$G$2:$G$801, 0)+1))&lt;=31,3,IF(INDEX(ERP資料!$G:$G, (MATCH(122, 輔助計算!$G$2:$G$801, 0)+1))&lt;=46.5,2,1)), IF(INDEX(ERP資料!$G:$G, (MATCH(122, 輔助計算!$G$2:$G$801, 0)+1))&lt;=790,3,IF(INDEX(ERP資料!$G:$G, (MATCH(122, 輔助計算!$G$2:$G$801, 0)+1))&lt;=1181,2,1)))=2,TEXT(INDEX(ERP資料!$G:$G, (MATCH(122, 輔助計算!$G$2:$G$801, 0)+1)),"0.##")&amp;"+"&amp;TEXT(INDEX(ERP資料!$G:$G, (MATCH(122, 輔助計算!$G$2:$G$801, 0)+1)),"0.##"),TEXT(INDEX(ERP資料!$G:$G, (MATCH(122, 輔助計算!$G$2:$G$801, 0)+1)),"0.##")&amp;"+"&amp;TEXT(INDEX(ERP資料!$G:$G, (MATCH(122, 輔助計算!$G$2:$G$801, 0)+1)),"0.##")&amp;"+"&amp;TEXT(INDEX(ERP資料!$G:$G, (MATCH(122, 輔助計算!$G$2:$G$801, 0)+1)),"0.##")))&amp;"-"&amp;INT(INDEX(輔助計算!$D:$D, (MATCH(122, 輔助計算!$G$2:$G$801, 0)+1))/IF(INDEX(ERP資料!$G:$G, (MATCH(122, 輔助計算!$G$2:$G$801, 0)+1))&lt;100, IF(INDEX(ERP資料!$G:$G, (MATCH(122, 輔助計算!$G$2:$G$801, 0)+1))&lt;=31,3,IF(INDEX(ERP資料!$G:$G, (MATCH(122, 輔助計算!$G$2:$G$801, 0)+1))&lt;=46.5,2,1)), IF(INDEX(ERP資料!$G:$G, (MATCH(122, 輔助計算!$G$2:$G$801, 0)+1))&lt;=790,3,IF(INDEX(ERP資料!$G:$G, (MATCH(122, 輔助計算!$G$2:$G$801, 0)+1))&lt;=1181,2,1)))), "")&amp;IF(AND(IF(INT(INDEX(輔助計算!$D:$D, (MATCH(122, 輔助計算!$G$2:$G$801, 0)+1))/IF(INDEX(ERP資料!$G:$G, (MATCH(122, 輔助計算!$G$2:$G$801, 0)+1))&lt;100, IF(INDEX(ERP資料!$G:$G, (MATCH(122, 輔助計算!$G$2:$G$801, 0)+1))&lt;=31,3,IF(INDEX(ERP資料!$G:$G, (MATCH(122, 輔助計算!$G$2:$G$801, 0)+1))&lt;=46.5,2,1)), IF(INDEX(ERP資料!$G:$G, (MATCH(122, 輔助計算!$G$2:$G$801, 0)+1))&lt;=790,3,IF(INDEX(ERP資料!$G:$G, (MATCH(122, 輔助計算!$G$2:$G$801, 0)+1))&lt;=1181,2,1))))&gt;0, IF(IF(INDEX(ERP資料!$G:$G, (MATCH(122, 輔助計算!$G$2:$G$801, 0)+1))&lt;100, IF(INDEX(ERP資料!$G:$G, (MATCH(122, 輔助計算!$G$2:$G$801, 0)+1))&lt;=31,3,IF(INDEX(ERP資料!$G:$G, (MATCH(122, 輔助計算!$G$2:$G$801, 0)+1))&lt;=46.5,2,1)), IF(INDEX(ERP資料!$G:$G, (MATCH(122, 輔助計算!$G$2:$G$801, 0)+1))&lt;=790,3,IF(INDEX(ERP資料!$G:$G, (MATCH(122, 輔助計算!$G$2:$G$801, 0)+1))&lt;=1181,2,1)))=1,TEXT(INDEX(ERP資料!$G:$G, (MATCH(122, 輔助計算!$G$2:$G$801, 0)+1)),"0.##"),IF(IF(INDEX(ERP資料!$G:$G, (MATCH(122, 輔助計算!$G$2:$G$801, 0)+1))&lt;100, IF(INDEX(ERP資料!$G:$G, (MATCH(122, 輔助計算!$G$2:$G$801, 0)+1))&lt;=31,3,IF(INDEX(ERP資料!$G:$G, (MATCH(122, 輔助計算!$G$2:$G$801, 0)+1))&lt;=46.5,2,1)), IF(INDEX(ERP資料!$G:$G, (MATCH(122, 輔助計算!$G$2:$G$801, 0)+1))&lt;=790,3,IF(INDEX(ERP資料!$G:$G, (MATCH(122, 輔助計算!$G$2:$G$801, 0)+1))&lt;=1181,2,1)))=2,TEXT(INDEX(ERP資料!$G:$G, (MATCH(122, 輔助計算!$G$2:$G$801, 0)+1)),"0.##")&amp;"+"&amp;TEXT(INDEX(ERP資料!$G:$G, (MATCH(122, 輔助計算!$G$2:$G$801, 0)+1)),"0.##"),TEXT(INDEX(ERP資料!$G:$G, (MATCH(122, 輔助計算!$G$2:$G$801, 0)+1)),"0.##")&amp;"+"&amp;TEXT(INDEX(ERP資料!$G:$G, (MATCH(122, 輔助計算!$G$2:$G$801, 0)+1)),"0.##")&amp;"+"&amp;TEXT(INDEX(ERP資料!$G:$G, (MATCH(122, 輔助計算!$G$2:$G$801, 0)+1)),"0.##")))&amp;"-"&amp;INT(INDEX(輔助計算!$D:$D, (MATCH(122, 輔助計算!$G$2:$G$801, 0)+1))/IF(INDEX(ERP資料!$G:$G, (MATCH(122, 輔助計算!$G$2:$G$801, 0)+1))&lt;100, IF(INDEX(ERP資料!$G:$G, (MATCH(122, 輔助計算!$G$2:$G$801, 0)+1))&lt;=31,3,IF(INDEX(ERP資料!$G:$G, (MATCH(122, 輔助計算!$G$2:$G$801, 0)+1))&lt;=46.5,2,1)), IF(INDEX(ERP資料!$G:$G, (MATCH(122, 輔助計算!$G$2:$G$801, 0)+1))&lt;=790,3,IF(INDEX(ERP資料!$G:$G, (MATCH(122, 輔助計算!$G$2:$G$801, 0)+1))&lt;=1181,2,1)))), "")&lt;&gt;"",IF(MOD(INDEX(輔助計算!$D:$D, (MATCH(122, 輔助計算!$G$2:$G$801, 0)+1)),IF(INDEX(ERP資料!$G:$G, (MATCH(122, 輔助計算!$G$2:$G$801, 0)+1))&lt;100, IF(INDEX(ERP資料!$G:$G, (MATCH(122, 輔助計算!$G$2:$G$801, 0)+1))&lt;=31,3,IF(INDEX(ERP資料!$G:$G, (MATCH(122, 輔助計算!$G$2:$G$801, 0)+1))&lt;=46.5,2,1)), IF(INDEX(ERP資料!$G:$G, (MATCH(122, 輔助計算!$G$2:$G$801, 0)+1))&lt;=790,3,IF(INDEX(ERP資料!$G:$G, (MATCH(122, 輔助計算!$G$2:$G$801, 0)+1))&lt;=1181,2,1))))=0,"",IF(MOD(INDEX(輔助計算!$D:$D, (MATCH(122, 輔助計算!$G$2:$G$801, 0)+1)),IF(INDEX(ERP資料!$G:$G, (MATCH(122, 輔助計算!$G$2:$G$801, 0)+1))&lt;100, IF(INDEX(ERP資料!$G:$G, (MATCH(122, 輔助計算!$G$2:$G$801, 0)+1))&lt;=31,3,IF(INDEX(ERP資料!$G:$G, (MATCH(122, 輔助計算!$G$2:$G$801, 0)+1))&lt;=46.5,2,1)), IF(INDEX(ERP資料!$G:$G, (MATCH(122, 輔助計算!$G$2:$G$801, 0)+1))&lt;=790,3,IF(INDEX(ERP資料!$G:$G, (MATCH(122, 輔助計算!$G$2:$G$801, 0)+1))&lt;=1181,2,1))))=0,"",IF(MOD(INDEX(輔助計算!$D:$D, (MATCH(122, 輔助計算!$G$2:$G$801, 0)+1)),IF(INDEX(ERP資料!$G:$G, (MATCH(122, 輔助計算!$G$2:$G$801, 0)+1))&lt;100, IF(INDEX(ERP資料!$G:$G, (MATCH(122, 輔助計算!$G$2:$G$801, 0)+1))&lt;=31,3,IF(INDEX(ERP資料!$G:$G, (MATCH(122, 輔助計算!$G$2:$G$801, 0)+1))&lt;=46.5,2,1)), IF(INDEX(ERP資料!$G:$G, (MATCH(122, 輔助計算!$G$2:$G$801, 0)+1))&lt;=790,3,IF(INDEX(ERP資料!$G:$G, (MATCH(122, 輔助計算!$G$2:$G$801, 0)+1))&lt;=1181,2,1))))=1,TEXT(INDEX(ERP資料!$G:$G, (MATCH(122, 輔助計算!$G$2:$G$801, 0)+1)),"0.##"),IF(MOD(INDEX(輔助計算!$D:$D, (MATCH(122, 輔助計算!$G$2:$G$801, 0)+1)),IF(INDEX(ERP資料!$G:$G, (MATCH(122, 輔助計算!$G$2:$G$801, 0)+1))&lt;100, IF(INDEX(ERP資料!$G:$G, (MATCH(122, 輔助計算!$G$2:$G$801, 0)+1))&lt;=31,3,IF(INDEX(ERP資料!$G:$G, (MATCH(122, 輔助計算!$G$2:$G$801, 0)+1))&lt;=46.5,2,1)), IF(INDEX(ERP資料!$G:$G, (MATCH(122, 輔助計算!$G$2:$G$801, 0)+1))&lt;=790,3,IF(INDEX(ERP資料!$G:$G, (MATCH(122, 輔助計算!$G$2:$G$801, 0)+1))&lt;=1181,2,1))))=2,TEXT(INDEX(ERP資料!$G:$G, (MATCH(122, 輔助計算!$G$2:$G$801, 0)+1)),"0.##")&amp;"+"&amp;TEXT(INDEX(ERP資料!$G:$G, (MATCH(122, 輔助計算!$G$2:$G$801, 0)+1)),"0.##"),TEXT(INDEX(ERP資料!$G:$G, (MATCH(122, 輔助計算!$G$2:$G$801, 0)+1)),"0.##")&amp;"+"&amp;TEXT(INDEX(ERP資料!$G:$G, (MATCH(122, 輔助計算!$G$2:$G$801, 0)+1)),"0.##")&amp;"+"&amp;TEXT(INDEX(ERP資料!$G:$G, (MATCH(122, 輔助計算!$G$2:$G$801, 0)+1)),"0.##"))))&amp;"-1")&lt;&gt;""),"  ","")&amp;IF(MOD(INDEX(輔助計算!$D:$D, (MATCH(122, 輔助計算!$G$2:$G$801, 0)+1)),IF(INDEX(ERP資料!$G:$G, (MATCH(122, 輔助計算!$G$2:$G$801, 0)+1))&lt;100, IF(INDEX(ERP資料!$G:$G, (MATCH(122, 輔助計算!$G$2:$G$801, 0)+1))&lt;=31,3,IF(INDEX(ERP資料!$G:$G, (MATCH(122, 輔助計算!$G$2:$G$801, 0)+1))&lt;=46.5,2,1)), IF(INDEX(ERP資料!$G:$G, (MATCH(122, 輔助計算!$G$2:$G$801, 0)+1))&lt;=790,3,IF(INDEX(ERP資料!$G:$G, (MATCH(122, 輔助計算!$G$2:$G$801, 0)+1))&lt;=1181,2,1))))=0,"",IF(MOD(INDEX(輔助計算!$D:$D, (MATCH(122, 輔助計算!$G$2:$G$801, 0)+1)),IF(INDEX(ERP資料!$G:$G, (MATCH(122, 輔助計算!$G$2:$G$801, 0)+1))&lt;100, IF(INDEX(ERP資料!$G:$G, (MATCH(122, 輔助計算!$G$2:$G$801, 0)+1))&lt;=31,3,IF(INDEX(ERP資料!$G:$G, (MATCH(122, 輔助計算!$G$2:$G$801, 0)+1))&lt;=46.5,2,1)), IF(INDEX(ERP資料!$G:$G, (MATCH(122, 輔助計算!$G$2:$G$801, 0)+1))&lt;=790,3,IF(INDEX(ERP資料!$G:$G, (MATCH(122, 輔助計算!$G$2:$G$801, 0)+1))&lt;=1181,2,1))))=0,"",IF(MOD(INDEX(輔助計算!$D:$D, (MATCH(122, 輔助計算!$G$2:$G$801, 0)+1)),IF(INDEX(ERP資料!$G:$G, (MATCH(122, 輔助計算!$G$2:$G$801, 0)+1))&lt;100, IF(INDEX(ERP資料!$G:$G, (MATCH(122, 輔助計算!$G$2:$G$801, 0)+1))&lt;=31,3,IF(INDEX(ERP資料!$G:$G, (MATCH(122, 輔助計算!$G$2:$G$801, 0)+1))&lt;=46.5,2,1)), IF(INDEX(ERP資料!$G:$G, (MATCH(122, 輔助計算!$G$2:$G$801, 0)+1))&lt;=790,3,IF(INDEX(ERP資料!$G:$G, (MATCH(122, 輔助計算!$G$2:$G$801, 0)+1))&lt;=1181,2,1))))=1,TEXT(INDEX(ERP資料!$G:$G, (MATCH(122, 輔助計算!$G$2:$G$801, 0)+1)),"0.##"),IF(MOD(INDEX(輔助計算!$D:$D, (MATCH(122, 輔助計算!$G$2:$G$801, 0)+1)),IF(INDEX(ERP資料!$G:$G, (MATCH(122, 輔助計算!$G$2:$G$801, 0)+1))&lt;100, IF(INDEX(ERP資料!$G:$G, (MATCH(122, 輔助計算!$G$2:$G$801, 0)+1))&lt;=31,3,IF(INDEX(ERP資料!$G:$G, (MATCH(122, 輔助計算!$G$2:$G$801, 0)+1))&lt;=46.5,2,1)), IF(INDEX(ERP資料!$G:$G, (MATCH(122, 輔助計算!$G$2:$G$801, 0)+1))&lt;=790,3,IF(INDEX(ERP資料!$G:$G, (MATCH(122, 輔助計算!$G$2:$G$801, 0)+1))&lt;=1181,2,1))))=2,TEXT(INDEX(ERP資料!$G:$G, (MATCH(122, 輔助計算!$G$2:$G$801, 0)+1)),"0.##")&amp;"+"&amp;TEXT(INDEX(ERP資料!$G:$G, (MATCH(122, 輔助計算!$G$2:$G$801, 0)+1)),"0.##"),TEXT(INDEX(ERP資料!$G:$G, (MATCH(122, 輔助計算!$G$2:$G$801, 0)+1)),"0.##")&amp;"+"&amp;TEXT(INDEX(ERP資料!$G:$G, (MATCH(122, 輔助計算!$G$2:$G$801, 0)+1)),"0.##")&amp;"+"&amp;TEXT(INDEX(ERP資料!$G:$G, (MATCH(122, 輔助計算!$G$2:$G$801, 0)+1)),"0.##"))))&amp;"-1")), ""), "")</f>
        <v/>
      </c>
      <c r="K123" s="16" t="n"/>
      <c r="L123" s="14">
        <f>IFERROR(IF(AND(IFERROR(INDEX(ERP資料!$A:$A, (MATCH(122, 輔助計算!$G$2:$G$801, 0)+1)), "")&lt;&gt;"", IFERROR(INDEX(ERP資料!$A:$A, (MATCH(122, 輔助計算!$G$2:$G$801, 0)+1)), "")&lt;&gt;IFERROR(INDEX(ERP資料!$A:$A, MATCH(121, 輔助計算!$G$2:$G$801, 0)+1), "")), INDEX(ERP資料!$B:$B, (MATCH(122, 輔助計算!$G$2:$G$801, 0)+1)), ""), "")</f>
        <v/>
      </c>
      <c r="M123" s="17" t="n"/>
    </row>
    <row r="124">
      <c r="A124" s="10">
        <f>IFERROR(IF(AND(IFERROR(INDEX(ERP資料!$A:$A, (MATCH(123, 輔助計算!$G$2:$G$801, 0)+1)), "")&lt;&gt;"", IFERROR(INDEX(ERP資料!$A:$A, (MATCH(123, 輔助計算!$G$2:$G$801, 0)+1)), "")&lt;&gt;IFERROR(INDEX(ERP資料!$A:$A, MATCH(122, 輔助計算!$G$2:$G$801, 0)+1), "")), IFERROR(INDEX(ERP資料!$A:$A, (MATCH(123, 輔助計算!$G$2:$G$801, 0)+1)), ""), ""), "")</f>
        <v/>
      </c>
      <c r="B124" s="10">
        <f>IFERROR(IF(AND(IFERROR(INDEX(ERP資料!$A:$A, (MATCH(123, 輔助計算!$G$2:$G$801, 0)+1)), "")&lt;&gt;"", IFERROR(INDEX(ERP資料!$A:$A, (MATCH(123, 輔助計算!$G$2:$G$801, 0)+1)), "")&lt;&gt;IFERROR(INDEX(ERP資料!$A:$A, MATCH(122, 輔助計算!$G$2:$G$801, 0)+1), "")), INDEX(ERP資料!$S:$S, (MATCH(123, 輔助計算!$G$2:$G$801, 0)+1)), ""), "")</f>
        <v/>
      </c>
      <c r="C124" s="19">
        <f>IFERROR(IF(AND(IFERROR(INDEX(ERP資料!$A:$A, (MATCH(123, 輔助計算!$G$2:$G$801, 0)+1)), "")&lt;&gt;"", IFERROR(INDEX(ERP資料!$A:$A, (MATCH(123, 輔助計算!$G$2:$G$801, 0)+1)), "")&lt;&gt;IFERROR(INDEX(ERP資料!$A:$A, MATCH(122, 輔助計算!$G$2:$G$801, 0)+1), "")), IFERROR(VLOOKUP(LEFT(INDEX(ERP資料!$S:$S, (MATCH(123, 輔助計算!$G$2:$G$801, 0)+1)), 4), 紙管對照表!$A:$C, 3, FALSE), ""), ""), "")</f>
        <v/>
      </c>
      <c r="D124" s="16" t="n"/>
      <c r="E124" s="10">
        <f>IFERROR(IF(INDEX(ERP資料!$H:$H, (MATCH(123, 輔助計算!$G$2:$G$801, 0)+1))="","",INDEX(ERP資料!$H:$H, (MATCH(123, 輔助計算!$G$2:$G$801, 0)+1))), "")</f>
        <v/>
      </c>
      <c r="F124" s="10">
        <f>IFERROR(IF(INDEX(ERP資料!$E:$E, (MATCH(123, 輔助計算!$G$2:$G$801, 0)+1))="","",TRIM(INDEX(ERP資料!$E:$E, (MATCH(123, 輔助計算!$G$2:$G$801, 0)+1)))), "")</f>
        <v/>
      </c>
      <c r="G124" s="10">
        <f>IFERROR(IF(INDEX(ERP資料!$F:$F, (MATCH(123, 輔助計算!$G$2:$G$801, 0)+1))="","",INDEX(ERP資料!$F:$F, (MATCH(123, 輔助計算!$G$2:$G$801, 0)+1))), "")</f>
        <v/>
      </c>
      <c r="H124" s="10">
        <f>IFERROR(IF(INDEX(ERP資料!$G:$G, (MATCH(123, 輔助計算!$G$2:$G$801, 0)+1))="","",INDEX(ERP資料!$G:$G, (MATCH(123, 輔助計算!$G$2:$G$801, 0)+1))), "")</f>
        <v/>
      </c>
      <c r="I124" s="15">
        <f>IFERROR(INDEX(輔助計算!$D:$D, (MATCH(123, 輔助計算!$G$2:$G$801, 0)+1)), "")</f>
        <v/>
      </c>
      <c r="J124" s="15">
        <f>IFERROR(IF(AND(INDEX(輔助計算!$D:$D, (MATCH(123, 輔助計算!$G$2:$G$801, 0)+1))&lt;&gt;"", INDEX(ERP資料!$G:$G, (MATCH(123, 輔助計算!$G$2:$G$801, 0)+1))&lt;&gt;""), TRIM(IF(INT(INDEX(輔助計算!$D:$D, (MATCH(123, 輔助計算!$G$2:$G$801, 0)+1))/IF(INDEX(ERP資料!$G:$G, (MATCH(123, 輔助計算!$G$2:$G$801, 0)+1))&lt;100, IF(INDEX(ERP資料!$G:$G, (MATCH(123, 輔助計算!$G$2:$G$801, 0)+1))&lt;=31,3,IF(INDEX(ERP資料!$G:$G, (MATCH(123, 輔助計算!$G$2:$G$801, 0)+1))&lt;=46.5,2,1)), IF(INDEX(ERP資料!$G:$G, (MATCH(123, 輔助計算!$G$2:$G$801, 0)+1))&lt;=790,3,IF(INDEX(ERP資料!$G:$G, (MATCH(123, 輔助計算!$G$2:$G$801, 0)+1))&lt;=1181,2,1))))&gt;0, IF(IF(INDEX(ERP資料!$G:$G, (MATCH(123, 輔助計算!$G$2:$G$801, 0)+1))&lt;100, IF(INDEX(ERP資料!$G:$G, (MATCH(123, 輔助計算!$G$2:$G$801, 0)+1))&lt;=31,3,IF(INDEX(ERP資料!$G:$G, (MATCH(123, 輔助計算!$G$2:$G$801, 0)+1))&lt;=46.5,2,1)), IF(INDEX(ERP資料!$G:$G, (MATCH(123, 輔助計算!$G$2:$G$801, 0)+1))&lt;=790,3,IF(INDEX(ERP資料!$G:$G, (MATCH(123, 輔助計算!$G$2:$G$801, 0)+1))&lt;=1181,2,1)))=1,TEXT(INDEX(ERP資料!$G:$G, (MATCH(123, 輔助計算!$G$2:$G$801, 0)+1)),"0.##"),IF(IF(INDEX(ERP資料!$G:$G, (MATCH(123, 輔助計算!$G$2:$G$801, 0)+1))&lt;100, IF(INDEX(ERP資料!$G:$G, (MATCH(123, 輔助計算!$G$2:$G$801, 0)+1))&lt;=31,3,IF(INDEX(ERP資料!$G:$G, (MATCH(123, 輔助計算!$G$2:$G$801, 0)+1))&lt;=46.5,2,1)), IF(INDEX(ERP資料!$G:$G, (MATCH(123, 輔助計算!$G$2:$G$801, 0)+1))&lt;=790,3,IF(INDEX(ERP資料!$G:$G, (MATCH(123, 輔助計算!$G$2:$G$801, 0)+1))&lt;=1181,2,1)))=2,TEXT(INDEX(ERP資料!$G:$G, (MATCH(123, 輔助計算!$G$2:$G$801, 0)+1)),"0.##")&amp;"+"&amp;TEXT(INDEX(ERP資料!$G:$G, (MATCH(123, 輔助計算!$G$2:$G$801, 0)+1)),"0.##"),TEXT(INDEX(ERP資料!$G:$G, (MATCH(123, 輔助計算!$G$2:$G$801, 0)+1)),"0.##")&amp;"+"&amp;TEXT(INDEX(ERP資料!$G:$G, (MATCH(123, 輔助計算!$G$2:$G$801, 0)+1)),"0.##")&amp;"+"&amp;TEXT(INDEX(ERP資料!$G:$G, (MATCH(123, 輔助計算!$G$2:$G$801, 0)+1)),"0.##")))&amp;"-"&amp;INT(INDEX(輔助計算!$D:$D, (MATCH(123, 輔助計算!$G$2:$G$801, 0)+1))/IF(INDEX(ERP資料!$G:$G, (MATCH(123, 輔助計算!$G$2:$G$801, 0)+1))&lt;100, IF(INDEX(ERP資料!$G:$G, (MATCH(123, 輔助計算!$G$2:$G$801, 0)+1))&lt;=31,3,IF(INDEX(ERP資料!$G:$G, (MATCH(123, 輔助計算!$G$2:$G$801, 0)+1))&lt;=46.5,2,1)), IF(INDEX(ERP資料!$G:$G, (MATCH(123, 輔助計算!$G$2:$G$801, 0)+1))&lt;=790,3,IF(INDEX(ERP資料!$G:$G, (MATCH(123, 輔助計算!$G$2:$G$801, 0)+1))&lt;=1181,2,1)))), "")&amp;IF(AND(IF(INT(INDEX(輔助計算!$D:$D, (MATCH(123, 輔助計算!$G$2:$G$801, 0)+1))/IF(INDEX(ERP資料!$G:$G, (MATCH(123, 輔助計算!$G$2:$G$801, 0)+1))&lt;100, IF(INDEX(ERP資料!$G:$G, (MATCH(123, 輔助計算!$G$2:$G$801, 0)+1))&lt;=31,3,IF(INDEX(ERP資料!$G:$G, (MATCH(123, 輔助計算!$G$2:$G$801, 0)+1))&lt;=46.5,2,1)), IF(INDEX(ERP資料!$G:$G, (MATCH(123, 輔助計算!$G$2:$G$801, 0)+1))&lt;=790,3,IF(INDEX(ERP資料!$G:$G, (MATCH(123, 輔助計算!$G$2:$G$801, 0)+1))&lt;=1181,2,1))))&gt;0, IF(IF(INDEX(ERP資料!$G:$G, (MATCH(123, 輔助計算!$G$2:$G$801, 0)+1))&lt;100, IF(INDEX(ERP資料!$G:$G, (MATCH(123, 輔助計算!$G$2:$G$801, 0)+1))&lt;=31,3,IF(INDEX(ERP資料!$G:$G, (MATCH(123, 輔助計算!$G$2:$G$801, 0)+1))&lt;=46.5,2,1)), IF(INDEX(ERP資料!$G:$G, (MATCH(123, 輔助計算!$G$2:$G$801, 0)+1))&lt;=790,3,IF(INDEX(ERP資料!$G:$G, (MATCH(123, 輔助計算!$G$2:$G$801, 0)+1))&lt;=1181,2,1)))=1,TEXT(INDEX(ERP資料!$G:$G, (MATCH(123, 輔助計算!$G$2:$G$801, 0)+1)),"0.##"),IF(IF(INDEX(ERP資料!$G:$G, (MATCH(123, 輔助計算!$G$2:$G$801, 0)+1))&lt;100, IF(INDEX(ERP資料!$G:$G, (MATCH(123, 輔助計算!$G$2:$G$801, 0)+1))&lt;=31,3,IF(INDEX(ERP資料!$G:$G, (MATCH(123, 輔助計算!$G$2:$G$801, 0)+1))&lt;=46.5,2,1)), IF(INDEX(ERP資料!$G:$G, (MATCH(123, 輔助計算!$G$2:$G$801, 0)+1))&lt;=790,3,IF(INDEX(ERP資料!$G:$G, (MATCH(123, 輔助計算!$G$2:$G$801, 0)+1))&lt;=1181,2,1)))=2,TEXT(INDEX(ERP資料!$G:$G, (MATCH(123, 輔助計算!$G$2:$G$801, 0)+1)),"0.##")&amp;"+"&amp;TEXT(INDEX(ERP資料!$G:$G, (MATCH(123, 輔助計算!$G$2:$G$801, 0)+1)),"0.##"),TEXT(INDEX(ERP資料!$G:$G, (MATCH(123, 輔助計算!$G$2:$G$801, 0)+1)),"0.##")&amp;"+"&amp;TEXT(INDEX(ERP資料!$G:$G, (MATCH(123, 輔助計算!$G$2:$G$801, 0)+1)),"0.##")&amp;"+"&amp;TEXT(INDEX(ERP資料!$G:$G, (MATCH(123, 輔助計算!$G$2:$G$801, 0)+1)),"0.##")))&amp;"-"&amp;INT(INDEX(輔助計算!$D:$D, (MATCH(123, 輔助計算!$G$2:$G$801, 0)+1))/IF(INDEX(ERP資料!$G:$G, (MATCH(123, 輔助計算!$G$2:$G$801, 0)+1))&lt;100, IF(INDEX(ERP資料!$G:$G, (MATCH(123, 輔助計算!$G$2:$G$801, 0)+1))&lt;=31,3,IF(INDEX(ERP資料!$G:$G, (MATCH(123, 輔助計算!$G$2:$G$801, 0)+1))&lt;=46.5,2,1)), IF(INDEX(ERP資料!$G:$G, (MATCH(123, 輔助計算!$G$2:$G$801, 0)+1))&lt;=790,3,IF(INDEX(ERP資料!$G:$G, (MATCH(123, 輔助計算!$G$2:$G$801, 0)+1))&lt;=1181,2,1)))), "")&lt;&gt;"",IF(MOD(INDEX(輔助計算!$D:$D, (MATCH(123, 輔助計算!$G$2:$G$801, 0)+1)),IF(INDEX(ERP資料!$G:$G, (MATCH(123, 輔助計算!$G$2:$G$801, 0)+1))&lt;100, IF(INDEX(ERP資料!$G:$G, (MATCH(123, 輔助計算!$G$2:$G$801, 0)+1))&lt;=31,3,IF(INDEX(ERP資料!$G:$G, (MATCH(123, 輔助計算!$G$2:$G$801, 0)+1))&lt;=46.5,2,1)), IF(INDEX(ERP資料!$G:$G, (MATCH(123, 輔助計算!$G$2:$G$801, 0)+1))&lt;=790,3,IF(INDEX(ERP資料!$G:$G, (MATCH(123, 輔助計算!$G$2:$G$801, 0)+1))&lt;=1181,2,1))))=0,"",IF(MOD(INDEX(輔助計算!$D:$D, (MATCH(123, 輔助計算!$G$2:$G$801, 0)+1)),IF(INDEX(ERP資料!$G:$G, (MATCH(123, 輔助計算!$G$2:$G$801, 0)+1))&lt;100, IF(INDEX(ERP資料!$G:$G, (MATCH(123, 輔助計算!$G$2:$G$801, 0)+1))&lt;=31,3,IF(INDEX(ERP資料!$G:$G, (MATCH(123, 輔助計算!$G$2:$G$801, 0)+1))&lt;=46.5,2,1)), IF(INDEX(ERP資料!$G:$G, (MATCH(123, 輔助計算!$G$2:$G$801, 0)+1))&lt;=790,3,IF(INDEX(ERP資料!$G:$G, (MATCH(123, 輔助計算!$G$2:$G$801, 0)+1))&lt;=1181,2,1))))=0,"",IF(MOD(INDEX(輔助計算!$D:$D, (MATCH(123, 輔助計算!$G$2:$G$801, 0)+1)),IF(INDEX(ERP資料!$G:$G, (MATCH(123, 輔助計算!$G$2:$G$801, 0)+1))&lt;100, IF(INDEX(ERP資料!$G:$G, (MATCH(123, 輔助計算!$G$2:$G$801, 0)+1))&lt;=31,3,IF(INDEX(ERP資料!$G:$G, (MATCH(123, 輔助計算!$G$2:$G$801, 0)+1))&lt;=46.5,2,1)), IF(INDEX(ERP資料!$G:$G, (MATCH(123, 輔助計算!$G$2:$G$801, 0)+1))&lt;=790,3,IF(INDEX(ERP資料!$G:$G, (MATCH(123, 輔助計算!$G$2:$G$801, 0)+1))&lt;=1181,2,1))))=1,TEXT(INDEX(ERP資料!$G:$G, (MATCH(123, 輔助計算!$G$2:$G$801, 0)+1)),"0.##"),IF(MOD(INDEX(輔助計算!$D:$D, (MATCH(123, 輔助計算!$G$2:$G$801, 0)+1)),IF(INDEX(ERP資料!$G:$G, (MATCH(123, 輔助計算!$G$2:$G$801, 0)+1))&lt;100, IF(INDEX(ERP資料!$G:$G, (MATCH(123, 輔助計算!$G$2:$G$801, 0)+1))&lt;=31,3,IF(INDEX(ERP資料!$G:$G, (MATCH(123, 輔助計算!$G$2:$G$801, 0)+1))&lt;=46.5,2,1)), IF(INDEX(ERP資料!$G:$G, (MATCH(123, 輔助計算!$G$2:$G$801, 0)+1))&lt;=790,3,IF(INDEX(ERP資料!$G:$G, (MATCH(123, 輔助計算!$G$2:$G$801, 0)+1))&lt;=1181,2,1))))=2,TEXT(INDEX(ERP資料!$G:$G, (MATCH(123, 輔助計算!$G$2:$G$801, 0)+1)),"0.##")&amp;"+"&amp;TEXT(INDEX(ERP資料!$G:$G, (MATCH(123, 輔助計算!$G$2:$G$801, 0)+1)),"0.##"),TEXT(INDEX(ERP資料!$G:$G, (MATCH(123, 輔助計算!$G$2:$G$801, 0)+1)),"0.##")&amp;"+"&amp;TEXT(INDEX(ERP資料!$G:$G, (MATCH(123, 輔助計算!$G$2:$G$801, 0)+1)),"0.##")&amp;"+"&amp;TEXT(INDEX(ERP資料!$G:$G, (MATCH(123, 輔助計算!$G$2:$G$801, 0)+1)),"0.##"))))&amp;"-1")&lt;&gt;""),"  ","")&amp;IF(MOD(INDEX(輔助計算!$D:$D, (MATCH(123, 輔助計算!$G$2:$G$801, 0)+1)),IF(INDEX(ERP資料!$G:$G, (MATCH(123, 輔助計算!$G$2:$G$801, 0)+1))&lt;100, IF(INDEX(ERP資料!$G:$G, (MATCH(123, 輔助計算!$G$2:$G$801, 0)+1))&lt;=31,3,IF(INDEX(ERP資料!$G:$G, (MATCH(123, 輔助計算!$G$2:$G$801, 0)+1))&lt;=46.5,2,1)), IF(INDEX(ERP資料!$G:$G, (MATCH(123, 輔助計算!$G$2:$G$801, 0)+1))&lt;=790,3,IF(INDEX(ERP資料!$G:$G, (MATCH(123, 輔助計算!$G$2:$G$801, 0)+1))&lt;=1181,2,1))))=0,"",IF(MOD(INDEX(輔助計算!$D:$D, (MATCH(123, 輔助計算!$G$2:$G$801, 0)+1)),IF(INDEX(ERP資料!$G:$G, (MATCH(123, 輔助計算!$G$2:$G$801, 0)+1))&lt;100, IF(INDEX(ERP資料!$G:$G, (MATCH(123, 輔助計算!$G$2:$G$801, 0)+1))&lt;=31,3,IF(INDEX(ERP資料!$G:$G, (MATCH(123, 輔助計算!$G$2:$G$801, 0)+1))&lt;=46.5,2,1)), IF(INDEX(ERP資料!$G:$G, (MATCH(123, 輔助計算!$G$2:$G$801, 0)+1))&lt;=790,3,IF(INDEX(ERP資料!$G:$G, (MATCH(123, 輔助計算!$G$2:$G$801, 0)+1))&lt;=1181,2,1))))=0,"",IF(MOD(INDEX(輔助計算!$D:$D, (MATCH(123, 輔助計算!$G$2:$G$801, 0)+1)),IF(INDEX(ERP資料!$G:$G, (MATCH(123, 輔助計算!$G$2:$G$801, 0)+1))&lt;100, IF(INDEX(ERP資料!$G:$G, (MATCH(123, 輔助計算!$G$2:$G$801, 0)+1))&lt;=31,3,IF(INDEX(ERP資料!$G:$G, (MATCH(123, 輔助計算!$G$2:$G$801, 0)+1))&lt;=46.5,2,1)), IF(INDEX(ERP資料!$G:$G, (MATCH(123, 輔助計算!$G$2:$G$801, 0)+1))&lt;=790,3,IF(INDEX(ERP資料!$G:$G, (MATCH(123, 輔助計算!$G$2:$G$801, 0)+1))&lt;=1181,2,1))))=1,TEXT(INDEX(ERP資料!$G:$G, (MATCH(123, 輔助計算!$G$2:$G$801, 0)+1)),"0.##"),IF(MOD(INDEX(輔助計算!$D:$D, (MATCH(123, 輔助計算!$G$2:$G$801, 0)+1)),IF(INDEX(ERP資料!$G:$G, (MATCH(123, 輔助計算!$G$2:$G$801, 0)+1))&lt;100, IF(INDEX(ERP資料!$G:$G, (MATCH(123, 輔助計算!$G$2:$G$801, 0)+1))&lt;=31,3,IF(INDEX(ERP資料!$G:$G, (MATCH(123, 輔助計算!$G$2:$G$801, 0)+1))&lt;=46.5,2,1)), IF(INDEX(ERP資料!$G:$G, (MATCH(123, 輔助計算!$G$2:$G$801, 0)+1))&lt;=790,3,IF(INDEX(ERP資料!$G:$G, (MATCH(123, 輔助計算!$G$2:$G$801, 0)+1))&lt;=1181,2,1))))=2,TEXT(INDEX(ERP資料!$G:$G, (MATCH(123, 輔助計算!$G$2:$G$801, 0)+1)),"0.##")&amp;"+"&amp;TEXT(INDEX(ERP資料!$G:$G, (MATCH(123, 輔助計算!$G$2:$G$801, 0)+1)),"0.##"),TEXT(INDEX(ERP資料!$G:$G, (MATCH(123, 輔助計算!$G$2:$G$801, 0)+1)),"0.##")&amp;"+"&amp;TEXT(INDEX(ERP資料!$G:$G, (MATCH(123, 輔助計算!$G$2:$G$801, 0)+1)),"0.##")&amp;"+"&amp;TEXT(INDEX(ERP資料!$G:$G, (MATCH(123, 輔助計算!$G$2:$G$801, 0)+1)),"0.##"))))&amp;"-1")), ""), "")</f>
        <v/>
      </c>
      <c r="K124" s="16" t="n"/>
      <c r="L124" s="14">
        <f>IFERROR(IF(AND(IFERROR(INDEX(ERP資料!$A:$A, (MATCH(123, 輔助計算!$G$2:$G$801, 0)+1)), "")&lt;&gt;"", IFERROR(INDEX(ERP資料!$A:$A, (MATCH(123, 輔助計算!$G$2:$G$801, 0)+1)), "")&lt;&gt;IFERROR(INDEX(ERP資料!$A:$A, MATCH(122, 輔助計算!$G$2:$G$801, 0)+1), "")), INDEX(ERP資料!$B:$B, (MATCH(123, 輔助計算!$G$2:$G$801, 0)+1)), ""), "")</f>
        <v/>
      </c>
      <c r="M124" s="17" t="n"/>
    </row>
    <row r="125">
      <c r="A125" s="10">
        <f>IFERROR(IF(AND(IFERROR(INDEX(ERP資料!$A:$A, (MATCH(124, 輔助計算!$G$2:$G$801, 0)+1)), "")&lt;&gt;"", IFERROR(INDEX(ERP資料!$A:$A, (MATCH(124, 輔助計算!$G$2:$G$801, 0)+1)), "")&lt;&gt;IFERROR(INDEX(ERP資料!$A:$A, MATCH(123, 輔助計算!$G$2:$G$801, 0)+1), "")), IFERROR(INDEX(ERP資料!$A:$A, (MATCH(124, 輔助計算!$G$2:$G$801, 0)+1)), ""), ""), "")</f>
        <v/>
      </c>
      <c r="B125" s="10">
        <f>IFERROR(IF(AND(IFERROR(INDEX(ERP資料!$A:$A, (MATCH(124, 輔助計算!$G$2:$G$801, 0)+1)), "")&lt;&gt;"", IFERROR(INDEX(ERP資料!$A:$A, (MATCH(124, 輔助計算!$G$2:$G$801, 0)+1)), "")&lt;&gt;IFERROR(INDEX(ERP資料!$A:$A, MATCH(123, 輔助計算!$G$2:$G$801, 0)+1), "")), INDEX(ERP資料!$S:$S, (MATCH(124, 輔助計算!$G$2:$G$801, 0)+1)), ""), "")</f>
        <v/>
      </c>
      <c r="C125" s="19">
        <f>IFERROR(IF(AND(IFERROR(INDEX(ERP資料!$A:$A, (MATCH(124, 輔助計算!$G$2:$G$801, 0)+1)), "")&lt;&gt;"", IFERROR(INDEX(ERP資料!$A:$A, (MATCH(124, 輔助計算!$G$2:$G$801, 0)+1)), "")&lt;&gt;IFERROR(INDEX(ERP資料!$A:$A, MATCH(123, 輔助計算!$G$2:$G$801, 0)+1), "")), IFERROR(VLOOKUP(LEFT(INDEX(ERP資料!$S:$S, (MATCH(124, 輔助計算!$G$2:$G$801, 0)+1)), 4), 紙管對照表!$A:$C, 3, FALSE), ""), ""), "")</f>
        <v/>
      </c>
      <c r="D125" s="16" t="n"/>
      <c r="E125" s="10">
        <f>IFERROR(IF(INDEX(ERP資料!$H:$H, (MATCH(124, 輔助計算!$G$2:$G$801, 0)+1))="","",INDEX(ERP資料!$H:$H, (MATCH(124, 輔助計算!$G$2:$G$801, 0)+1))), "")</f>
        <v/>
      </c>
      <c r="F125" s="10">
        <f>IFERROR(IF(INDEX(ERP資料!$E:$E, (MATCH(124, 輔助計算!$G$2:$G$801, 0)+1))="","",TRIM(INDEX(ERP資料!$E:$E, (MATCH(124, 輔助計算!$G$2:$G$801, 0)+1)))), "")</f>
        <v/>
      </c>
      <c r="G125" s="10">
        <f>IFERROR(IF(INDEX(ERP資料!$F:$F, (MATCH(124, 輔助計算!$G$2:$G$801, 0)+1))="","",INDEX(ERP資料!$F:$F, (MATCH(124, 輔助計算!$G$2:$G$801, 0)+1))), "")</f>
        <v/>
      </c>
      <c r="H125" s="10">
        <f>IFERROR(IF(INDEX(ERP資料!$G:$G, (MATCH(124, 輔助計算!$G$2:$G$801, 0)+1))="","",INDEX(ERP資料!$G:$G, (MATCH(124, 輔助計算!$G$2:$G$801, 0)+1))), "")</f>
        <v/>
      </c>
      <c r="I125" s="15">
        <f>IFERROR(INDEX(輔助計算!$D:$D, (MATCH(124, 輔助計算!$G$2:$G$801, 0)+1)), "")</f>
        <v/>
      </c>
      <c r="J125" s="15">
        <f>IFERROR(IF(AND(INDEX(輔助計算!$D:$D, (MATCH(124, 輔助計算!$G$2:$G$801, 0)+1))&lt;&gt;"", INDEX(ERP資料!$G:$G, (MATCH(124, 輔助計算!$G$2:$G$801, 0)+1))&lt;&gt;""), TRIM(IF(INT(INDEX(輔助計算!$D:$D, (MATCH(124, 輔助計算!$G$2:$G$801, 0)+1))/IF(INDEX(ERP資料!$G:$G, (MATCH(124, 輔助計算!$G$2:$G$801, 0)+1))&lt;100, IF(INDEX(ERP資料!$G:$G, (MATCH(124, 輔助計算!$G$2:$G$801, 0)+1))&lt;=31,3,IF(INDEX(ERP資料!$G:$G, (MATCH(124, 輔助計算!$G$2:$G$801, 0)+1))&lt;=46.5,2,1)), IF(INDEX(ERP資料!$G:$G, (MATCH(124, 輔助計算!$G$2:$G$801, 0)+1))&lt;=790,3,IF(INDEX(ERP資料!$G:$G, (MATCH(124, 輔助計算!$G$2:$G$801, 0)+1))&lt;=1181,2,1))))&gt;0, IF(IF(INDEX(ERP資料!$G:$G, (MATCH(124, 輔助計算!$G$2:$G$801, 0)+1))&lt;100, IF(INDEX(ERP資料!$G:$G, (MATCH(124, 輔助計算!$G$2:$G$801, 0)+1))&lt;=31,3,IF(INDEX(ERP資料!$G:$G, (MATCH(124, 輔助計算!$G$2:$G$801, 0)+1))&lt;=46.5,2,1)), IF(INDEX(ERP資料!$G:$G, (MATCH(124, 輔助計算!$G$2:$G$801, 0)+1))&lt;=790,3,IF(INDEX(ERP資料!$G:$G, (MATCH(124, 輔助計算!$G$2:$G$801, 0)+1))&lt;=1181,2,1)))=1,TEXT(INDEX(ERP資料!$G:$G, (MATCH(124, 輔助計算!$G$2:$G$801, 0)+1)),"0.##"),IF(IF(INDEX(ERP資料!$G:$G, (MATCH(124, 輔助計算!$G$2:$G$801, 0)+1))&lt;100, IF(INDEX(ERP資料!$G:$G, (MATCH(124, 輔助計算!$G$2:$G$801, 0)+1))&lt;=31,3,IF(INDEX(ERP資料!$G:$G, (MATCH(124, 輔助計算!$G$2:$G$801, 0)+1))&lt;=46.5,2,1)), IF(INDEX(ERP資料!$G:$G, (MATCH(124, 輔助計算!$G$2:$G$801, 0)+1))&lt;=790,3,IF(INDEX(ERP資料!$G:$G, (MATCH(124, 輔助計算!$G$2:$G$801, 0)+1))&lt;=1181,2,1)))=2,TEXT(INDEX(ERP資料!$G:$G, (MATCH(124, 輔助計算!$G$2:$G$801, 0)+1)),"0.##")&amp;"+"&amp;TEXT(INDEX(ERP資料!$G:$G, (MATCH(124, 輔助計算!$G$2:$G$801, 0)+1)),"0.##"),TEXT(INDEX(ERP資料!$G:$G, (MATCH(124, 輔助計算!$G$2:$G$801, 0)+1)),"0.##")&amp;"+"&amp;TEXT(INDEX(ERP資料!$G:$G, (MATCH(124, 輔助計算!$G$2:$G$801, 0)+1)),"0.##")&amp;"+"&amp;TEXT(INDEX(ERP資料!$G:$G, (MATCH(124, 輔助計算!$G$2:$G$801, 0)+1)),"0.##")))&amp;"-"&amp;INT(INDEX(輔助計算!$D:$D, (MATCH(124, 輔助計算!$G$2:$G$801, 0)+1))/IF(INDEX(ERP資料!$G:$G, (MATCH(124, 輔助計算!$G$2:$G$801, 0)+1))&lt;100, IF(INDEX(ERP資料!$G:$G, (MATCH(124, 輔助計算!$G$2:$G$801, 0)+1))&lt;=31,3,IF(INDEX(ERP資料!$G:$G, (MATCH(124, 輔助計算!$G$2:$G$801, 0)+1))&lt;=46.5,2,1)), IF(INDEX(ERP資料!$G:$G, (MATCH(124, 輔助計算!$G$2:$G$801, 0)+1))&lt;=790,3,IF(INDEX(ERP資料!$G:$G, (MATCH(124, 輔助計算!$G$2:$G$801, 0)+1))&lt;=1181,2,1)))), "")&amp;IF(AND(IF(INT(INDEX(輔助計算!$D:$D, (MATCH(124, 輔助計算!$G$2:$G$801, 0)+1))/IF(INDEX(ERP資料!$G:$G, (MATCH(124, 輔助計算!$G$2:$G$801, 0)+1))&lt;100, IF(INDEX(ERP資料!$G:$G, (MATCH(124, 輔助計算!$G$2:$G$801, 0)+1))&lt;=31,3,IF(INDEX(ERP資料!$G:$G, (MATCH(124, 輔助計算!$G$2:$G$801, 0)+1))&lt;=46.5,2,1)), IF(INDEX(ERP資料!$G:$G, (MATCH(124, 輔助計算!$G$2:$G$801, 0)+1))&lt;=790,3,IF(INDEX(ERP資料!$G:$G, (MATCH(124, 輔助計算!$G$2:$G$801, 0)+1))&lt;=1181,2,1))))&gt;0, IF(IF(INDEX(ERP資料!$G:$G, (MATCH(124, 輔助計算!$G$2:$G$801, 0)+1))&lt;100, IF(INDEX(ERP資料!$G:$G, (MATCH(124, 輔助計算!$G$2:$G$801, 0)+1))&lt;=31,3,IF(INDEX(ERP資料!$G:$G, (MATCH(124, 輔助計算!$G$2:$G$801, 0)+1))&lt;=46.5,2,1)), IF(INDEX(ERP資料!$G:$G, (MATCH(124, 輔助計算!$G$2:$G$801, 0)+1))&lt;=790,3,IF(INDEX(ERP資料!$G:$G, (MATCH(124, 輔助計算!$G$2:$G$801, 0)+1))&lt;=1181,2,1)))=1,TEXT(INDEX(ERP資料!$G:$G, (MATCH(124, 輔助計算!$G$2:$G$801, 0)+1)),"0.##"),IF(IF(INDEX(ERP資料!$G:$G, (MATCH(124, 輔助計算!$G$2:$G$801, 0)+1))&lt;100, IF(INDEX(ERP資料!$G:$G, (MATCH(124, 輔助計算!$G$2:$G$801, 0)+1))&lt;=31,3,IF(INDEX(ERP資料!$G:$G, (MATCH(124, 輔助計算!$G$2:$G$801, 0)+1))&lt;=46.5,2,1)), IF(INDEX(ERP資料!$G:$G, (MATCH(124, 輔助計算!$G$2:$G$801, 0)+1))&lt;=790,3,IF(INDEX(ERP資料!$G:$G, (MATCH(124, 輔助計算!$G$2:$G$801, 0)+1))&lt;=1181,2,1)))=2,TEXT(INDEX(ERP資料!$G:$G, (MATCH(124, 輔助計算!$G$2:$G$801, 0)+1)),"0.##")&amp;"+"&amp;TEXT(INDEX(ERP資料!$G:$G, (MATCH(124, 輔助計算!$G$2:$G$801, 0)+1)),"0.##"),TEXT(INDEX(ERP資料!$G:$G, (MATCH(124, 輔助計算!$G$2:$G$801, 0)+1)),"0.##")&amp;"+"&amp;TEXT(INDEX(ERP資料!$G:$G, (MATCH(124, 輔助計算!$G$2:$G$801, 0)+1)),"0.##")&amp;"+"&amp;TEXT(INDEX(ERP資料!$G:$G, (MATCH(124, 輔助計算!$G$2:$G$801, 0)+1)),"0.##")))&amp;"-"&amp;INT(INDEX(輔助計算!$D:$D, (MATCH(124, 輔助計算!$G$2:$G$801, 0)+1))/IF(INDEX(ERP資料!$G:$G, (MATCH(124, 輔助計算!$G$2:$G$801, 0)+1))&lt;100, IF(INDEX(ERP資料!$G:$G, (MATCH(124, 輔助計算!$G$2:$G$801, 0)+1))&lt;=31,3,IF(INDEX(ERP資料!$G:$G, (MATCH(124, 輔助計算!$G$2:$G$801, 0)+1))&lt;=46.5,2,1)), IF(INDEX(ERP資料!$G:$G, (MATCH(124, 輔助計算!$G$2:$G$801, 0)+1))&lt;=790,3,IF(INDEX(ERP資料!$G:$G, (MATCH(124, 輔助計算!$G$2:$G$801, 0)+1))&lt;=1181,2,1)))), "")&lt;&gt;"",IF(MOD(INDEX(輔助計算!$D:$D, (MATCH(124, 輔助計算!$G$2:$G$801, 0)+1)),IF(INDEX(ERP資料!$G:$G, (MATCH(124, 輔助計算!$G$2:$G$801, 0)+1))&lt;100, IF(INDEX(ERP資料!$G:$G, (MATCH(124, 輔助計算!$G$2:$G$801, 0)+1))&lt;=31,3,IF(INDEX(ERP資料!$G:$G, (MATCH(124, 輔助計算!$G$2:$G$801, 0)+1))&lt;=46.5,2,1)), IF(INDEX(ERP資料!$G:$G, (MATCH(124, 輔助計算!$G$2:$G$801, 0)+1))&lt;=790,3,IF(INDEX(ERP資料!$G:$G, (MATCH(124, 輔助計算!$G$2:$G$801, 0)+1))&lt;=1181,2,1))))=0,"",IF(MOD(INDEX(輔助計算!$D:$D, (MATCH(124, 輔助計算!$G$2:$G$801, 0)+1)),IF(INDEX(ERP資料!$G:$G, (MATCH(124, 輔助計算!$G$2:$G$801, 0)+1))&lt;100, IF(INDEX(ERP資料!$G:$G, (MATCH(124, 輔助計算!$G$2:$G$801, 0)+1))&lt;=31,3,IF(INDEX(ERP資料!$G:$G, (MATCH(124, 輔助計算!$G$2:$G$801, 0)+1))&lt;=46.5,2,1)), IF(INDEX(ERP資料!$G:$G, (MATCH(124, 輔助計算!$G$2:$G$801, 0)+1))&lt;=790,3,IF(INDEX(ERP資料!$G:$G, (MATCH(124, 輔助計算!$G$2:$G$801, 0)+1))&lt;=1181,2,1))))=0,"",IF(MOD(INDEX(輔助計算!$D:$D, (MATCH(124, 輔助計算!$G$2:$G$801, 0)+1)),IF(INDEX(ERP資料!$G:$G, (MATCH(124, 輔助計算!$G$2:$G$801, 0)+1))&lt;100, IF(INDEX(ERP資料!$G:$G, (MATCH(124, 輔助計算!$G$2:$G$801, 0)+1))&lt;=31,3,IF(INDEX(ERP資料!$G:$G, (MATCH(124, 輔助計算!$G$2:$G$801, 0)+1))&lt;=46.5,2,1)), IF(INDEX(ERP資料!$G:$G, (MATCH(124, 輔助計算!$G$2:$G$801, 0)+1))&lt;=790,3,IF(INDEX(ERP資料!$G:$G, (MATCH(124, 輔助計算!$G$2:$G$801, 0)+1))&lt;=1181,2,1))))=1,TEXT(INDEX(ERP資料!$G:$G, (MATCH(124, 輔助計算!$G$2:$G$801, 0)+1)),"0.##"),IF(MOD(INDEX(輔助計算!$D:$D, (MATCH(124, 輔助計算!$G$2:$G$801, 0)+1)),IF(INDEX(ERP資料!$G:$G, (MATCH(124, 輔助計算!$G$2:$G$801, 0)+1))&lt;100, IF(INDEX(ERP資料!$G:$G, (MATCH(124, 輔助計算!$G$2:$G$801, 0)+1))&lt;=31,3,IF(INDEX(ERP資料!$G:$G, (MATCH(124, 輔助計算!$G$2:$G$801, 0)+1))&lt;=46.5,2,1)), IF(INDEX(ERP資料!$G:$G, (MATCH(124, 輔助計算!$G$2:$G$801, 0)+1))&lt;=790,3,IF(INDEX(ERP資料!$G:$G, (MATCH(124, 輔助計算!$G$2:$G$801, 0)+1))&lt;=1181,2,1))))=2,TEXT(INDEX(ERP資料!$G:$G, (MATCH(124, 輔助計算!$G$2:$G$801, 0)+1)),"0.##")&amp;"+"&amp;TEXT(INDEX(ERP資料!$G:$G, (MATCH(124, 輔助計算!$G$2:$G$801, 0)+1)),"0.##"),TEXT(INDEX(ERP資料!$G:$G, (MATCH(124, 輔助計算!$G$2:$G$801, 0)+1)),"0.##")&amp;"+"&amp;TEXT(INDEX(ERP資料!$G:$G, (MATCH(124, 輔助計算!$G$2:$G$801, 0)+1)),"0.##")&amp;"+"&amp;TEXT(INDEX(ERP資料!$G:$G, (MATCH(124, 輔助計算!$G$2:$G$801, 0)+1)),"0.##"))))&amp;"-1")&lt;&gt;""),"  ","")&amp;IF(MOD(INDEX(輔助計算!$D:$D, (MATCH(124, 輔助計算!$G$2:$G$801, 0)+1)),IF(INDEX(ERP資料!$G:$G, (MATCH(124, 輔助計算!$G$2:$G$801, 0)+1))&lt;100, IF(INDEX(ERP資料!$G:$G, (MATCH(124, 輔助計算!$G$2:$G$801, 0)+1))&lt;=31,3,IF(INDEX(ERP資料!$G:$G, (MATCH(124, 輔助計算!$G$2:$G$801, 0)+1))&lt;=46.5,2,1)), IF(INDEX(ERP資料!$G:$G, (MATCH(124, 輔助計算!$G$2:$G$801, 0)+1))&lt;=790,3,IF(INDEX(ERP資料!$G:$G, (MATCH(124, 輔助計算!$G$2:$G$801, 0)+1))&lt;=1181,2,1))))=0,"",IF(MOD(INDEX(輔助計算!$D:$D, (MATCH(124, 輔助計算!$G$2:$G$801, 0)+1)),IF(INDEX(ERP資料!$G:$G, (MATCH(124, 輔助計算!$G$2:$G$801, 0)+1))&lt;100, IF(INDEX(ERP資料!$G:$G, (MATCH(124, 輔助計算!$G$2:$G$801, 0)+1))&lt;=31,3,IF(INDEX(ERP資料!$G:$G, (MATCH(124, 輔助計算!$G$2:$G$801, 0)+1))&lt;=46.5,2,1)), IF(INDEX(ERP資料!$G:$G, (MATCH(124, 輔助計算!$G$2:$G$801, 0)+1))&lt;=790,3,IF(INDEX(ERP資料!$G:$G, (MATCH(124, 輔助計算!$G$2:$G$801, 0)+1))&lt;=1181,2,1))))=0,"",IF(MOD(INDEX(輔助計算!$D:$D, (MATCH(124, 輔助計算!$G$2:$G$801, 0)+1)),IF(INDEX(ERP資料!$G:$G, (MATCH(124, 輔助計算!$G$2:$G$801, 0)+1))&lt;100, IF(INDEX(ERP資料!$G:$G, (MATCH(124, 輔助計算!$G$2:$G$801, 0)+1))&lt;=31,3,IF(INDEX(ERP資料!$G:$G, (MATCH(124, 輔助計算!$G$2:$G$801, 0)+1))&lt;=46.5,2,1)), IF(INDEX(ERP資料!$G:$G, (MATCH(124, 輔助計算!$G$2:$G$801, 0)+1))&lt;=790,3,IF(INDEX(ERP資料!$G:$G, (MATCH(124, 輔助計算!$G$2:$G$801, 0)+1))&lt;=1181,2,1))))=1,TEXT(INDEX(ERP資料!$G:$G, (MATCH(124, 輔助計算!$G$2:$G$801, 0)+1)),"0.##"),IF(MOD(INDEX(輔助計算!$D:$D, (MATCH(124, 輔助計算!$G$2:$G$801, 0)+1)),IF(INDEX(ERP資料!$G:$G, (MATCH(124, 輔助計算!$G$2:$G$801, 0)+1))&lt;100, IF(INDEX(ERP資料!$G:$G, (MATCH(124, 輔助計算!$G$2:$G$801, 0)+1))&lt;=31,3,IF(INDEX(ERP資料!$G:$G, (MATCH(124, 輔助計算!$G$2:$G$801, 0)+1))&lt;=46.5,2,1)), IF(INDEX(ERP資料!$G:$G, (MATCH(124, 輔助計算!$G$2:$G$801, 0)+1))&lt;=790,3,IF(INDEX(ERP資料!$G:$G, (MATCH(124, 輔助計算!$G$2:$G$801, 0)+1))&lt;=1181,2,1))))=2,TEXT(INDEX(ERP資料!$G:$G, (MATCH(124, 輔助計算!$G$2:$G$801, 0)+1)),"0.##")&amp;"+"&amp;TEXT(INDEX(ERP資料!$G:$G, (MATCH(124, 輔助計算!$G$2:$G$801, 0)+1)),"0.##"),TEXT(INDEX(ERP資料!$G:$G, (MATCH(124, 輔助計算!$G$2:$G$801, 0)+1)),"0.##")&amp;"+"&amp;TEXT(INDEX(ERP資料!$G:$G, (MATCH(124, 輔助計算!$G$2:$G$801, 0)+1)),"0.##")&amp;"+"&amp;TEXT(INDEX(ERP資料!$G:$G, (MATCH(124, 輔助計算!$G$2:$G$801, 0)+1)),"0.##"))))&amp;"-1")), ""), "")</f>
        <v/>
      </c>
      <c r="K125" s="16" t="n"/>
      <c r="L125" s="14">
        <f>IFERROR(IF(AND(IFERROR(INDEX(ERP資料!$A:$A, (MATCH(124, 輔助計算!$G$2:$G$801, 0)+1)), "")&lt;&gt;"", IFERROR(INDEX(ERP資料!$A:$A, (MATCH(124, 輔助計算!$G$2:$G$801, 0)+1)), "")&lt;&gt;IFERROR(INDEX(ERP資料!$A:$A, MATCH(123, 輔助計算!$G$2:$G$801, 0)+1), "")), INDEX(ERP資料!$B:$B, (MATCH(124, 輔助計算!$G$2:$G$801, 0)+1)), ""), "")</f>
        <v/>
      </c>
      <c r="M125" s="17" t="n"/>
    </row>
    <row r="126">
      <c r="A126" s="10">
        <f>IFERROR(IF(AND(IFERROR(INDEX(ERP資料!$A:$A, (MATCH(125, 輔助計算!$G$2:$G$801, 0)+1)), "")&lt;&gt;"", IFERROR(INDEX(ERP資料!$A:$A, (MATCH(125, 輔助計算!$G$2:$G$801, 0)+1)), "")&lt;&gt;IFERROR(INDEX(ERP資料!$A:$A, MATCH(124, 輔助計算!$G$2:$G$801, 0)+1), "")), IFERROR(INDEX(ERP資料!$A:$A, (MATCH(125, 輔助計算!$G$2:$G$801, 0)+1)), ""), ""), "")</f>
        <v/>
      </c>
      <c r="B126" s="10">
        <f>IFERROR(IF(AND(IFERROR(INDEX(ERP資料!$A:$A, (MATCH(125, 輔助計算!$G$2:$G$801, 0)+1)), "")&lt;&gt;"", IFERROR(INDEX(ERP資料!$A:$A, (MATCH(125, 輔助計算!$G$2:$G$801, 0)+1)), "")&lt;&gt;IFERROR(INDEX(ERP資料!$A:$A, MATCH(124, 輔助計算!$G$2:$G$801, 0)+1), "")), INDEX(ERP資料!$S:$S, (MATCH(125, 輔助計算!$G$2:$G$801, 0)+1)), ""), "")</f>
        <v/>
      </c>
      <c r="C126" s="19">
        <f>IFERROR(IF(AND(IFERROR(INDEX(ERP資料!$A:$A, (MATCH(125, 輔助計算!$G$2:$G$801, 0)+1)), "")&lt;&gt;"", IFERROR(INDEX(ERP資料!$A:$A, (MATCH(125, 輔助計算!$G$2:$G$801, 0)+1)), "")&lt;&gt;IFERROR(INDEX(ERP資料!$A:$A, MATCH(124, 輔助計算!$G$2:$G$801, 0)+1), "")), IFERROR(VLOOKUP(LEFT(INDEX(ERP資料!$S:$S, (MATCH(125, 輔助計算!$G$2:$G$801, 0)+1)), 4), 紙管對照表!$A:$C, 3, FALSE), ""), ""), "")</f>
        <v/>
      </c>
      <c r="D126" s="16" t="n"/>
      <c r="E126" s="10">
        <f>IFERROR(IF(INDEX(ERP資料!$H:$H, (MATCH(125, 輔助計算!$G$2:$G$801, 0)+1))="","",INDEX(ERP資料!$H:$H, (MATCH(125, 輔助計算!$G$2:$G$801, 0)+1))), "")</f>
        <v/>
      </c>
      <c r="F126" s="10">
        <f>IFERROR(IF(INDEX(ERP資料!$E:$E, (MATCH(125, 輔助計算!$G$2:$G$801, 0)+1))="","",TRIM(INDEX(ERP資料!$E:$E, (MATCH(125, 輔助計算!$G$2:$G$801, 0)+1)))), "")</f>
        <v/>
      </c>
      <c r="G126" s="10">
        <f>IFERROR(IF(INDEX(ERP資料!$F:$F, (MATCH(125, 輔助計算!$G$2:$G$801, 0)+1))="","",INDEX(ERP資料!$F:$F, (MATCH(125, 輔助計算!$G$2:$G$801, 0)+1))), "")</f>
        <v/>
      </c>
      <c r="H126" s="10">
        <f>IFERROR(IF(INDEX(ERP資料!$G:$G, (MATCH(125, 輔助計算!$G$2:$G$801, 0)+1))="","",INDEX(ERP資料!$G:$G, (MATCH(125, 輔助計算!$G$2:$G$801, 0)+1))), "")</f>
        <v/>
      </c>
      <c r="I126" s="15">
        <f>IFERROR(INDEX(輔助計算!$D:$D, (MATCH(125, 輔助計算!$G$2:$G$801, 0)+1)), "")</f>
        <v/>
      </c>
      <c r="J126" s="15">
        <f>IFERROR(IF(AND(INDEX(輔助計算!$D:$D, (MATCH(125, 輔助計算!$G$2:$G$801, 0)+1))&lt;&gt;"", INDEX(ERP資料!$G:$G, (MATCH(125, 輔助計算!$G$2:$G$801, 0)+1))&lt;&gt;""), TRIM(IF(INT(INDEX(輔助計算!$D:$D, (MATCH(125, 輔助計算!$G$2:$G$801, 0)+1))/IF(INDEX(ERP資料!$G:$G, (MATCH(125, 輔助計算!$G$2:$G$801, 0)+1))&lt;100, IF(INDEX(ERP資料!$G:$G, (MATCH(125, 輔助計算!$G$2:$G$801, 0)+1))&lt;=31,3,IF(INDEX(ERP資料!$G:$G, (MATCH(125, 輔助計算!$G$2:$G$801, 0)+1))&lt;=46.5,2,1)), IF(INDEX(ERP資料!$G:$G, (MATCH(125, 輔助計算!$G$2:$G$801, 0)+1))&lt;=790,3,IF(INDEX(ERP資料!$G:$G, (MATCH(125, 輔助計算!$G$2:$G$801, 0)+1))&lt;=1181,2,1))))&gt;0, IF(IF(INDEX(ERP資料!$G:$G, (MATCH(125, 輔助計算!$G$2:$G$801, 0)+1))&lt;100, IF(INDEX(ERP資料!$G:$G, (MATCH(125, 輔助計算!$G$2:$G$801, 0)+1))&lt;=31,3,IF(INDEX(ERP資料!$G:$G, (MATCH(125, 輔助計算!$G$2:$G$801, 0)+1))&lt;=46.5,2,1)), IF(INDEX(ERP資料!$G:$G, (MATCH(125, 輔助計算!$G$2:$G$801, 0)+1))&lt;=790,3,IF(INDEX(ERP資料!$G:$G, (MATCH(125, 輔助計算!$G$2:$G$801, 0)+1))&lt;=1181,2,1)))=1,TEXT(INDEX(ERP資料!$G:$G, (MATCH(125, 輔助計算!$G$2:$G$801, 0)+1)),"0.##"),IF(IF(INDEX(ERP資料!$G:$G, (MATCH(125, 輔助計算!$G$2:$G$801, 0)+1))&lt;100, IF(INDEX(ERP資料!$G:$G, (MATCH(125, 輔助計算!$G$2:$G$801, 0)+1))&lt;=31,3,IF(INDEX(ERP資料!$G:$G, (MATCH(125, 輔助計算!$G$2:$G$801, 0)+1))&lt;=46.5,2,1)), IF(INDEX(ERP資料!$G:$G, (MATCH(125, 輔助計算!$G$2:$G$801, 0)+1))&lt;=790,3,IF(INDEX(ERP資料!$G:$G, (MATCH(125, 輔助計算!$G$2:$G$801, 0)+1))&lt;=1181,2,1)))=2,TEXT(INDEX(ERP資料!$G:$G, (MATCH(125, 輔助計算!$G$2:$G$801, 0)+1)),"0.##")&amp;"+"&amp;TEXT(INDEX(ERP資料!$G:$G, (MATCH(125, 輔助計算!$G$2:$G$801, 0)+1)),"0.##"),TEXT(INDEX(ERP資料!$G:$G, (MATCH(125, 輔助計算!$G$2:$G$801, 0)+1)),"0.##")&amp;"+"&amp;TEXT(INDEX(ERP資料!$G:$G, (MATCH(125, 輔助計算!$G$2:$G$801, 0)+1)),"0.##")&amp;"+"&amp;TEXT(INDEX(ERP資料!$G:$G, (MATCH(125, 輔助計算!$G$2:$G$801, 0)+1)),"0.##")))&amp;"-"&amp;INT(INDEX(輔助計算!$D:$D, (MATCH(125, 輔助計算!$G$2:$G$801, 0)+1))/IF(INDEX(ERP資料!$G:$G, (MATCH(125, 輔助計算!$G$2:$G$801, 0)+1))&lt;100, IF(INDEX(ERP資料!$G:$G, (MATCH(125, 輔助計算!$G$2:$G$801, 0)+1))&lt;=31,3,IF(INDEX(ERP資料!$G:$G, (MATCH(125, 輔助計算!$G$2:$G$801, 0)+1))&lt;=46.5,2,1)), IF(INDEX(ERP資料!$G:$G, (MATCH(125, 輔助計算!$G$2:$G$801, 0)+1))&lt;=790,3,IF(INDEX(ERP資料!$G:$G, (MATCH(125, 輔助計算!$G$2:$G$801, 0)+1))&lt;=1181,2,1)))), "")&amp;IF(AND(IF(INT(INDEX(輔助計算!$D:$D, (MATCH(125, 輔助計算!$G$2:$G$801, 0)+1))/IF(INDEX(ERP資料!$G:$G, (MATCH(125, 輔助計算!$G$2:$G$801, 0)+1))&lt;100, IF(INDEX(ERP資料!$G:$G, (MATCH(125, 輔助計算!$G$2:$G$801, 0)+1))&lt;=31,3,IF(INDEX(ERP資料!$G:$G, (MATCH(125, 輔助計算!$G$2:$G$801, 0)+1))&lt;=46.5,2,1)), IF(INDEX(ERP資料!$G:$G, (MATCH(125, 輔助計算!$G$2:$G$801, 0)+1))&lt;=790,3,IF(INDEX(ERP資料!$G:$G, (MATCH(125, 輔助計算!$G$2:$G$801, 0)+1))&lt;=1181,2,1))))&gt;0, IF(IF(INDEX(ERP資料!$G:$G, (MATCH(125, 輔助計算!$G$2:$G$801, 0)+1))&lt;100, IF(INDEX(ERP資料!$G:$G, (MATCH(125, 輔助計算!$G$2:$G$801, 0)+1))&lt;=31,3,IF(INDEX(ERP資料!$G:$G, (MATCH(125, 輔助計算!$G$2:$G$801, 0)+1))&lt;=46.5,2,1)), IF(INDEX(ERP資料!$G:$G, (MATCH(125, 輔助計算!$G$2:$G$801, 0)+1))&lt;=790,3,IF(INDEX(ERP資料!$G:$G, (MATCH(125, 輔助計算!$G$2:$G$801, 0)+1))&lt;=1181,2,1)))=1,TEXT(INDEX(ERP資料!$G:$G, (MATCH(125, 輔助計算!$G$2:$G$801, 0)+1)),"0.##"),IF(IF(INDEX(ERP資料!$G:$G, (MATCH(125, 輔助計算!$G$2:$G$801, 0)+1))&lt;100, IF(INDEX(ERP資料!$G:$G, (MATCH(125, 輔助計算!$G$2:$G$801, 0)+1))&lt;=31,3,IF(INDEX(ERP資料!$G:$G, (MATCH(125, 輔助計算!$G$2:$G$801, 0)+1))&lt;=46.5,2,1)), IF(INDEX(ERP資料!$G:$G, (MATCH(125, 輔助計算!$G$2:$G$801, 0)+1))&lt;=790,3,IF(INDEX(ERP資料!$G:$G, (MATCH(125, 輔助計算!$G$2:$G$801, 0)+1))&lt;=1181,2,1)))=2,TEXT(INDEX(ERP資料!$G:$G, (MATCH(125, 輔助計算!$G$2:$G$801, 0)+1)),"0.##")&amp;"+"&amp;TEXT(INDEX(ERP資料!$G:$G, (MATCH(125, 輔助計算!$G$2:$G$801, 0)+1)),"0.##"),TEXT(INDEX(ERP資料!$G:$G, (MATCH(125, 輔助計算!$G$2:$G$801, 0)+1)),"0.##")&amp;"+"&amp;TEXT(INDEX(ERP資料!$G:$G, (MATCH(125, 輔助計算!$G$2:$G$801, 0)+1)),"0.##")&amp;"+"&amp;TEXT(INDEX(ERP資料!$G:$G, (MATCH(125, 輔助計算!$G$2:$G$801, 0)+1)),"0.##")))&amp;"-"&amp;INT(INDEX(輔助計算!$D:$D, (MATCH(125, 輔助計算!$G$2:$G$801, 0)+1))/IF(INDEX(ERP資料!$G:$G, (MATCH(125, 輔助計算!$G$2:$G$801, 0)+1))&lt;100, IF(INDEX(ERP資料!$G:$G, (MATCH(125, 輔助計算!$G$2:$G$801, 0)+1))&lt;=31,3,IF(INDEX(ERP資料!$G:$G, (MATCH(125, 輔助計算!$G$2:$G$801, 0)+1))&lt;=46.5,2,1)), IF(INDEX(ERP資料!$G:$G, (MATCH(125, 輔助計算!$G$2:$G$801, 0)+1))&lt;=790,3,IF(INDEX(ERP資料!$G:$G, (MATCH(125, 輔助計算!$G$2:$G$801, 0)+1))&lt;=1181,2,1)))), "")&lt;&gt;"",IF(MOD(INDEX(輔助計算!$D:$D, (MATCH(125, 輔助計算!$G$2:$G$801, 0)+1)),IF(INDEX(ERP資料!$G:$G, (MATCH(125, 輔助計算!$G$2:$G$801, 0)+1))&lt;100, IF(INDEX(ERP資料!$G:$G, (MATCH(125, 輔助計算!$G$2:$G$801, 0)+1))&lt;=31,3,IF(INDEX(ERP資料!$G:$G, (MATCH(125, 輔助計算!$G$2:$G$801, 0)+1))&lt;=46.5,2,1)), IF(INDEX(ERP資料!$G:$G, (MATCH(125, 輔助計算!$G$2:$G$801, 0)+1))&lt;=790,3,IF(INDEX(ERP資料!$G:$G, (MATCH(125, 輔助計算!$G$2:$G$801, 0)+1))&lt;=1181,2,1))))=0,"",IF(MOD(INDEX(輔助計算!$D:$D, (MATCH(125, 輔助計算!$G$2:$G$801, 0)+1)),IF(INDEX(ERP資料!$G:$G, (MATCH(125, 輔助計算!$G$2:$G$801, 0)+1))&lt;100, IF(INDEX(ERP資料!$G:$G, (MATCH(125, 輔助計算!$G$2:$G$801, 0)+1))&lt;=31,3,IF(INDEX(ERP資料!$G:$G, (MATCH(125, 輔助計算!$G$2:$G$801, 0)+1))&lt;=46.5,2,1)), IF(INDEX(ERP資料!$G:$G, (MATCH(125, 輔助計算!$G$2:$G$801, 0)+1))&lt;=790,3,IF(INDEX(ERP資料!$G:$G, (MATCH(125, 輔助計算!$G$2:$G$801, 0)+1))&lt;=1181,2,1))))=0,"",IF(MOD(INDEX(輔助計算!$D:$D, (MATCH(125, 輔助計算!$G$2:$G$801, 0)+1)),IF(INDEX(ERP資料!$G:$G, (MATCH(125, 輔助計算!$G$2:$G$801, 0)+1))&lt;100, IF(INDEX(ERP資料!$G:$G, (MATCH(125, 輔助計算!$G$2:$G$801, 0)+1))&lt;=31,3,IF(INDEX(ERP資料!$G:$G, (MATCH(125, 輔助計算!$G$2:$G$801, 0)+1))&lt;=46.5,2,1)), IF(INDEX(ERP資料!$G:$G, (MATCH(125, 輔助計算!$G$2:$G$801, 0)+1))&lt;=790,3,IF(INDEX(ERP資料!$G:$G, (MATCH(125, 輔助計算!$G$2:$G$801, 0)+1))&lt;=1181,2,1))))=1,TEXT(INDEX(ERP資料!$G:$G, (MATCH(125, 輔助計算!$G$2:$G$801, 0)+1)),"0.##"),IF(MOD(INDEX(輔助計算!$D:$D, (MATCH(125, 輔助計算!$G$2:$G$801, 0)+1)),IF(INDEX(ERP資料!$G:$G, (MATCH(125, 輔助計算!$G$2:$G$801, 0)+1))&lt;100, IF(INDEX(ERP資料!$G:$G, (MATCH(125, 輔助計算!$G$2:$G$801, 0)+1))&lt;=31,3,IF(INDEX(ERP資料!$G:$G, (MATCH(125, 輔助計算!$G$2:$G$801, 0)+1))&lt;=46.5,2,1)), IF(INDEX(ERP資料!$G:$G, (MATCH(125, 輔助計算!$G$2:$G$801, 0)+1))&lt;=790,3,IF(INDEX(ERP資料!$G:$G, (MATCH(125, 輔助計算!$G$2:$G$801, 0)+1))&lt;=1181,2,1))))=2,TEXT(INDEX(ERP資料!$G:$G, (MATCH(125, 輔助計算!$G$2:$G$801, 0)+1)),"0.##")&amp;"+"&amp;TEXT(INDEX(ERP資料!$G:$G, (MATCH(125, 輔助計算!$G$2:$G$801, 0)+1)),"0.##"),TEXT(INDEX(ERP資料!$G:$G, (MATCH(125, 輔助計算!$G$2:$G$801, 0)+1)),"0.##")&amp;"+"&amp;TEXT(INDEX(ERP資料!$G:$G, (MATCH(125, 輔助計算!$G$2:$G$801, 0)+1)),"0.##")&amp;"+"&amp;TEXT(INDEX(ERP資料!$G:$G, (MATCH(125, 輔助計算!$G$2:$G$801, 0)+1)),"0.##"))))&amp;"-1")&lt;&gt;""),"  ","")&amp;IF(MOD(INDEX(輔助計算!$D:$D, (MATCH(125, 輔助計算!$G$2:$G$801, 0)+1)),IF(INDEX(ERP資料!$G:$G, (MATCH(125, 輔助計算!$G$2:$G$801, 0)+1))&lt;100, IF(INDEX(ERP資料!$G:$G, (MATCH(125, 輔助計算!$G$2:$G$801, 0)+1))&lt;=31,3,IF(INDEX(ERP資料!$G:$G, (MATCH(125, 輔助計算!$G$2:$G$801, 0)+1))&lt;=46.5,2,1)), IF(INDEX(ERP資料!$G:$G, (MATCH(125, 輔助計算!$G$2:$G$801, 0)+1))&lt;=790,3,IF(INDEX(ERP資料!$G:$G, (MATCH(125, 輔助計算!$G$2:$G$801, 0)+1))&lt;=1181,2,1))))=0,"",IF(MOD(INDEX(輔助計算!$D:$D, (MATCH(125, 輔助計算!$G$2:$G$801, 0)+1)),IF(INDEX(ERP資料!$G:$G, (MATCH(125, 輔助計算!$G$2:$G$801, 0)+1))&lt;100, IF(INDEX(ERP資料!$G:$G, (MATCH(125, 輔助計算!$G$2:$G$801, 0)+1))&lt;=31,3,IF(INDEX(ERP資料!$G:$G, (MATCH(125, 輔助計算!$G$2:$G$801, 0)+1))&lt;=46.5,2,1)), IF(INDEX(ERP資料!$G:$G, (MATCH(125, 輔助計算!$G$2:$G$801, 0)+1))&lt;=790,3,IF(INDEX(ERP資料!$G:$G, (MATCH(125, 輔助計算!$G$2:$G$801, 0)+1))&lt;=1181,2,1))))=0,"",IF(MOD(INDEX(輔助計算!$D:$D, (MATCH(125, 輔助計算!$G$2:$G$801, 0)+1)),IF(INDEX(ERP資料!$G:$G, (MATCH(125, 輔助計算!$G$2:$G$801, 0)+1))&lt;100, IF(INDEX(ERP資料!$G:$G, (MATCH(125, 輔助計算!$G$2:$G$801, 0)+1))&lt;=31,3,IF(INDEX(ERP資料!$G:$G, (MATCH(125, 輔助計算!$G$2:$G$801, 0)+1))&lt;=46.5,2,1)), IF(INDEX(ERP資料!$G:$G, (MATCH(125, 輔助計算!$G$2:$G$801, 0)+1))&lt;=790,3,IF(INDEX(ERP資料!$G:$G, (MATCH(125, 輔助計算!$G$2:$G$801, 0)+1))&lt;=1181,2,1))))=1,TEXT(INDEX(ERP資料!$G:$G, (MATCH(125, 輔助計算!$G$2:$G$801, 0)+1)),"0.##"),IF(MOD(INDEX(輔助計算!$D:$D, (MATCH(125, 輔助計算!$G$2:$G$801, 0)+1)),IF(INDEX(ERP資料!$G:$G, (MATCH(125, 輔助計算!$G$2:$G$801, 0)+1))&lt;100, IF(INDEX(ERP資料!$G:$G, (MATCH(125, 輔助計算!$G$2:$G$801, 0)+1))&lt;=31,3,IF(INDEX(ERP資料!$G:$G, (MATCH(125, 輔助計算!$G$2:$G$801, 0)+1))&lt;=46.5,2,1)), IF(INDEX(ERP資料!$G:$G, (MATCH(125, 輔助計算!$G$2:$G$801, 0)+1))&lt;=790,3,IF(INDEX(ERP資料!$G:$G, (MATCH(125, 輔助計算!$G$2:$G$801, 0)+1))&lt;=1181,2,1))))=2,TEXT(INDEX(ERP資料!$G:$G, (MATCH(125, 輔助計算!$G$2:$G$801, 0)+1)),"0.##")&amp;"+"&amp;TEXT(INDEX(ERP資料!$G:$G, (MATCH(125, 輔助計算!$G$2:$G$801, 0)+1)),"0.##"),TEXT(INDEX(ERP資料!$G:$G, (MATCH(125, 輔助計算!$G$2:$G$801, 0)+1)),"0.##")&amp;"+"&amp;TEXT(INDEX(ERP資料!$G:$G, (MATCH(125, 輔助計算!$G$2:$G$801, 0)+1)),"0.##")&amp;"+"&amp;TEXT(INDEX(ERP資料!$G:$G, (MATCH(125, 輔助計算!$G$2:$G$801, 0)+1)),"0.##"))))&amp;"-1")), ""), "")</f>
        <v/>
      </c>
      <c r="K126" s="16" t="n"/>
      <c r="L126" s="14">
        <f>IFERROR(IF(AND(IFERROR(INDEX(ERP資料!$A:$A, (MATCH(125, 輔助計算!$G$2:$G$801, 0)+1)), "")&lt;&gt;"", IFERROR(INDEX(ERP資料!$A:$A, (MATCH(125, 輔助計算!$G$2:$G$801, 0)+1)), "")&lt;&gt;IFERROR(INDEX(ERP資料!$A:$A, MATCH(124, 輔助計算!$G$2:$G$801, 0)+1), "")), INDEX(ERP資料!$B:$B, (MATCH(125, 輔助計算!$G$2:$G$801, 0)+1)), ""), "")</f>
        <v/>
      </c>
      <c r="M126" s="17" t="n"/>
    </row>
    <row r="127">
      <c r="A127" s="10">
        <f>IFERROR(IF(AND(IFERROR(INDEX(ERP資料!$A:$A, (MATCH(126, 輔助計算!$G$2:$G$801, 0)+1)), "")&lt;&gt;"", IFERROR(INDEX(ERP資料!$A:$A, (MATCH(126, 輔助計算!$G$2:$G$801, 0)+1)), "")&lt;&gt;IFERROR(INDEX(ERP資料!$A:$A, MATCH(125, 輔助計算!$G$2:$G$801, 0)+1), "")), IFERROR(INDEX(ERP資料!$A:$A, (MATCH(126, 輔助計算!$G$2:$G$801, 0)+1)), ""), ""), "")</f>
        <v/>
      </c>
      <c r="B127" s="10">
        <f>IFERROR(IF(AND(IFERROR(INDEX(ERP資料!$A:$A, (MATCH(126, 輔助計算!$G$2:$G$801, 0)+1)), "")&lt;&gt;"", IFERROR(INDEX(ERP資料!$A:$A, (MATCH(126, 輔助計算!$G$2:$G$801, 0)+1)), "")&lt;&gt;IFERROR(INDEX(ERP資料!$A:$A, MATCH(125, 輔助計算!$G$2:$G$801, 0)+1), "")), INDEX(ERP資料!$S:$S, (MATCH(126, 輔助計算!$G$2:$G$801, 0)+1)), ""), "")</f>
        <v/>
      </c>
      <c r="C127" s="19">
        <f>IFERROR(IF(AND(IFERROR(INDEX(ERP資料!$A:$A, (MATCH(126, 輔助計算!$G$2:$G$801, 0)+1)), "")&lt;&gt;"", IFERROR(INDEX(ERP資料!$A:$A, (MATCH(126, 輔助計算!$G$2:$G$801, 0)+1)), "")&lt;&gt;IFERROR(INDEX(ERP資料!$A:$A, MATCH(125, 輔助計算!$G$2:$G$801, 0)+1), "")), IFERROR(VLOOKUP(LEFT(INDEX(ERP資料!$S:$S, (MATCH(126, 輔助計算!$G$2:$G$801, 0)+1)), 4), 紙管對照表!$A:$C, 3, FALSE), ""), ""), "")</f>
        <v/>
      </c>
      <c r="D127" s="16" t="n"/>
      <c r="E127" s="10">
        <f>IFERROR(IF(INDEX(ERP資料!$H:$H, (MATCH(126, 輔助計算!$G$2:$G$801, 0)+1))="","",INDEX(ERP資料!$H:$H, (MATCH(126, 輔助計算!$G$2:$G$801, 0)+1))), "")</f>
        <v/>
      </c>
      <c r="F127" s="10">
        <f>IFERROR(IF(INDEX(ERP資料!$E:$E, (MATCH(126, 輔助計算!$G$2:$G$801, 0)+1))="","",TRIM(INDEX(ERP資料!$E:$E, (MATCH(126, 輔助計算!$G$2:$G$801, 0)+1)))), "")</f>
        <v/>
      </c>
      <c r="G127" s="10">
        <f>IFERROR(IF(INDEX(ERP資料!$F:$F, (MATCH(126, 輔助計算!$G$2:$G$801, 0)+1))="","",INDEX(ERP資料!$F:$F, (MATCH(126, 輔助計算!$G$2:$G$801, 0)+1))), "")</f>
        <v/>
      </c>
      <c r="H127" s="10">
        <f>IFERROR(IF(INDEX(ERP資料!$G:$G, (MATCH(126, 輔助計算!$G$2:$G$801, 0)+1))="","",INDEX(ERP資料!$G:$G, (MATCH(126, 輔助計算!$G$2:$G$801, 0)+1))), "")</f>
        <v/>
      </c>
      <c r="I127" s="15">
        <f>IFERROR(INDEX(輔助計算!$D:$D, (MATCH(126, 輔助計算!$G$2:$G$801, 0)+1)), "")</f>
        <v/>
      </c>
      <c r="J127" s="15">
        <f>IFERROR(IF(AND(INDEX(輔助計算!$D:$D, (MATCH(126, 輔助計算!$G$2:$G$801, 0)+1))&lt;&gt;"", INDEX(ERP資料!$G:$G, (MATCH(126, 輔助計算!$G$2:$G$801, 0)+1))&lt;&gt;""), TRIM(IF(INT(INDEX(輔助計算!$D:$D, (MATCH(126, 輔助計算!$G$2:$G$801, 0)+1))/IF(INDEX(ERP資料!$G:$G, (MATCH(126, 輔助計算!$G$2:$G$801, 0)+1))&lt;100, IF(INDEX(ERP資料!$G:$G, (MATCH(126, 輔助計算!$G$2:$G$801, 0)+1))&lt;=31,3,IF(INDEX(ERP資料!$G:$G, (MATCH(126, 輔助計算!$G$2:$G$801, 0)+1))&lt;=46.5,2,1)), IF(INDEX(ERP資料!$G:$G, (MATCH(126, 輔助計算!$G$2:$G$801, 0)+1))&lt;=790,3,IF(INDEX(ERP資料!$G:$G, (MATCH(126, 輔助計算!$G$2:$G$801, 0)+1))&lt;=1181,2,1))))&gt;0, IF(IF(INDEX(ERP資料!$G:$G, (MATCH(126, 輔助計算!$G$2:$G$801, 0)+1))&lt;100, IF(INDEX(ERP資料!$G:$G, (MATCH(126, 輔助計算!$G$2:$G$801, 0)+1))&lt;=31,3,IF(INDEX(ERP資料!$G:$G, (MATCH(126, 輔助計算!$G$2:$G$801, 0)+1))&lt;=46.5,2,1)), IF(INDEX(ERP資料!$G:$G, (MATCH(126, 輔助計算!$G$2:$G$801, 0)+1))&lt;=790,3,IF(INDEX(ERP資料!$G:$G, (MATCH(126, 輔助計算!$G$2:$G$801, 0)+1))&lt;=1181,2,1)))=1,TEXT(INDEX(ERP資料!$G:$G, (MATCH(126, 輔助計算!$G$2:$G$801, 0)+1)),"0.##"),IF(IF(INDEX(ERP資料!$G:$G, (MATCH(126, 輔助計算!$G$2:$G$801, 0)+1))&lt;100, IF(INDEX(ERP資料!$G:$G, (MATCH(126, 輔助計算!$G$2:$G$801, 0)+1))&lt;=31,3,IF(INDEX(ERP資料!$G:$G, (MATCH(126, 輔助計算!$G$2:$G$801, 0)+1))&lt;=46.5,2,1)), IF(INDEX(ERP資料!$G:$G, (MATCH(126, 輔助計算!$G$2:$G$801, 0)+1))&lt;=790,3,IF(INDEX(ERP資料!$G:$G, (MATCH(126, 輔助計算!$G$2:$G$801, 0)+1))&lt;=1181,2,1)))=2,TEXT(INDEX(ERP資料!$G:$G, (MATCH(126, 輔助計算!$G$2:$G$801, 0)+1)),"0.##")&amp;"+"&amp;TEXT(INDEX(ERP資料!$G:$G, (MATCH(126, 輔助計算!$G$2:$G$801, 0)+1)),"0.##"),TEXT(INDEX(ERP資料!$G:$G, (MATCH(126, 輔助計算!$G$2:$G$801, 0)+1)),"0.##")&amp;"+"&amp;TEXT(INDEX(ERP資料!$G:$G, (MATCH(126, 輔助計算!$G$2:$G$801, 0)+1)),"0.##")&amp;"+"&amp;TEXT(INDEX(ERP資料!$G:$G, (MATCH(126, 輔助計算!$G$2:$G$801, 0)+1)),"0.##")))&amp;"-"&amp;INT(INDEX(輔助計算!$D:$D, (MATCH(126, 輔助計算!$G$2:$G$801, 0)+1))/IF(INDEX(ERP資料!$G:$G, (MATCH(126, 輔助計算!$G$2:$G$801, 0)+1))&lt;100, IF(INDEX(ERP資料!$G:$G, (MATCH(126, 輔助計算!$G$2:$G$801, 0)+1))&lt;=31,3,IF(INDEX(ERP資料!$G:$G, (MATCH(126, 輔助計算!$G$2:$G$801, 0)+1))&lt;=46.5,2,1)), IF(INDEX(ERP資料!$G:$G, (MATCH(126, 輔助計算!$G$2:$G$801, 0)+1))&lt;=790,3,IF(INDEX(ERP資料!$G:$G, (MATCH(126, 輔助計算!$G$2:$G$801, 0)+1))&lt;=1181,2,1)))), "")&amp;IF(AND(IF(INT(INDEX(輔助計算!$D:$D, (MATCH(126, 輔助計算!$G$2:$G$801, 0)+1))/IF(INDEX(ERP資料!$G:$G, (MATCH(126, 輔助計算!$G$2:$G$801, 0)+1))&lt;100, IF(INDEX(ERP資料!$G:$G, (MATCH(126, 輔助計算!$G$2:$G$801, 0)+1))&lt;=31,3,IF(INDEX(ERP資料!$G:$G, (MATCH(126, 輔助計算!$G$2:$G$801, 0)+1))&lt;=46.5,2,1)), IF(INDEX(ERP資料!$G:$G, (MATCH(126, 輔助計算!$G$2:$G$801, 0)+1))&lt;=790,3,IF(INDEX(ERP資料!$G:$G, (MATCH(126, 輔助計算!$G$2:$G$801, 0)+1))&lt;=1181,2,1))))&gt;0, IF(IF(INDEX(ERP資料!$G:$G, (MATCH(126, 輔助計算!$G$2:$G$801, 0)+1))&lt;100, IF(INDEX(ERP資料!$G:$G, (MATCH(126, 輔助計算!$G$2:$G$801, 0)+1))&lt;=31,3,IF(INDEX(ERP資料!$G:$G, (MATCH(126, 輔助計算!$G$2:$G$801, 0)+1))&lt;=46.5,2,1)), IF(INDEX(ERP資料!$G:$G, (MATCH(126, 輔助計算!$G$2:$G$801, 0)+1))&lt;=790,3,IF(INDEX(ERP資料!$G:$G, (MATCH(126, 輔助計算!$G$2:$G$801, 0)+1))&lt;=1181,2,1)))=1,TEXT(INDEX(ERP資料!$G:$G, (MATCH(126, 輔助計算!$G$2:$G$801, 0)+1)),"0.##"),IF(IF(INDEX(ERP資料!$G:$G, (MATCH(126, 輔助計算!$G$2:$G$801, 0)+1))&lt;100, IF(INDEX(ERP資料!$G:$G, (MATCH(126, 輔助計算!$G$2:$G$801, 0)+1))&lt;=31,3,IF(INDEX(ERP資料!$G:$G, (MATCH(126, 輔助計算!$G$2:$G$801, 0)+1))&lt;=46.5,2,1)), IF(INDEX(ERP資料!$G:$G, (MATCH(126, 輔助計算!$G$2:$G$801, 0)+1))&lt;=790,3,IF(INDEX(ERP資料!$G:$G, (MATCH(126, 輔助計算!$G$2:$G$801, 0)+1))&lt;=1181,2,1)))=2,TEXT(INDEX(ERP資料!$G:$G, (MATCH(126, 輔助計算!$G$2:$G$801, 0)+1)),"0.##")&amp;"+"&amp;TEXT(INDEX(ERP資料!$G:$G, (MATCH(126, 輔助計算!$G$2:$G$801, 0)+1)),"0.##"),TEXT(INDEX(ERP資料!$G:$G, (MATCH(126, 輔助計算!$G$2:$G$801, 0)+1)),"0.##")&amp;"+"&amp;TEXT(INDEX(ERP資料!$G:$G, (MATCH(126, 輔助計算!$G$2:$G$801, 0)+1)),"0.##")&amp;"+"&amp;TEXT(INDEX(ERP資料!$G:$G, (MATCH(126, 輔助計算!$G$2:$G$801, 0)+1)),"0.##")))&amp;"-"&amp;INT(INDEX(輔助計算!$D:$D, (MATCH(126, 輔助計算!$G$2:$G$801, 0)+1))/IF(INDEX(ERP資料!$G:$G, (MATCH(126, 輔助計算!$G$2:$G$801, 0)+1))&lt;100, IF(INDEX(ERP資料!$G:$G, (MATCH(126, 輔助計算!$G$2:$G$801, 0)+1))&lt;=31,3,IF(INDEX(ERP資料!$G:$G, (MATCH(126, 輔助計算!$G$2:$G$801, 0)+1))&lt;=46.5,2,1)), IF(INDEX(ERP資料!$G:$G, (MATCH(126, 輔助計算!$G$2:$G$801, 0)+1))&lt;=790,3,IF(INDEX(ERP資料!$G:$G, (MATCH(126, 輔助計算!$G$2:$G$801, 0)+1))&lt;=1181,2,1)))), "")&lt;&gt;"",IF(MOD(INDEX(輔助計算!$D:$D, (MATCH(126, 輔助計算!$G$2:$G$801, 0)+1)),IF(INDEX(ERP資料!$G:$G, (MATCH(126, 輔助計算!$G$2:$G$801, 0)+1))&lt;100, IF(INDEX(ERP資料!$G:$G, (MATCH(126, 輔助計算!$G$2:$G$801, 0)+1))&lt;=31,3,IF(INDEX(ERP資料!$G:$G, (MATCH(126, 輔助計算!$G$2:$G$801, 0)+1))&lt;=46.5,2,1)), IF(INDEX(ERP資料!$G:$G, (MATCH(126, 輔助計算!$G$2:$G$801, 0)+1))&lt;=790,3,IF(INDEX(ERP資料!$G:$G, (MATCH(126, 輔助計算!$G$2:$G$801, 0)+1))&lt;=1181,2,1))))=0,"",IF(MOD(INDEX(輔助計算!$D:$D, (MATCH(126, 輔助計算!$G$2:$G$801, 0)+1)),IF(INDEX(ERP資料!$G:$G, (MATCH(126, 輔助計算!$G$2:$G$801, 0)+1))&lt;100, IF(INDEX(ERP資料!$G:$G, (MATCH(126, 輔助計算!$G$2:$G$801, 0)+1))&lt;=31,3,IF(INDEX(ERP資料!$G:$G, (MATCH(126, 輔助計算!$G$2:$G$801, 0)+1))&lt;=46.5,2,1)), IF(INDEX(ERP資料!$G:$G, (MATCH(126, 輔助計算!$G$2:$G$801, 0)+1))&lt;=790,3,IF(INDEX(ERP資料!$G:$G, (MATCH(126, 輔助計算!$G$2:$G$801, 0)+1))&lt;=1181,2,1))))=0,"",IF(MOD(INDEX(輔助計算!$D:$D, (MATCH(126, 輔助計算!$G$2:$G$801, 0)+1)),IF(INDEX(ERP資料!$G:$G, (MATCH(126, 輔助計算!$G$2:$G$801, 0)+1))&lt;100, IF(INDEX(ERP資料!$G:$G, (MATCH(126, 輔助計算!$G$2:$G$801, 0)+1))&lt;=31,3,IF(INDEX(ERP資料!$G:$G, (MATCH(126, 輔助計算!$G$2:$G$801, 0)+1))&lt;=46.5,2,1)), IF(INDEX(ERP資料!$G:$G, (MATCH(126, 輔助計算!$G$2:$G$801, 0)+1))&lt;=790,3,IF(INDEX(ERP資料!$G:$G, (MATCH(126, 輔助計算!$G$2:$G$801, 0)+1))&lt;=1181,2,1))))=1,TEXT(INDEX(ERP資料!$G:$G, (MATCH(126, 輔助計算!$G$2:$G$801, 0)+1)),"0.##"),IF(MOD(INDEX(輔助計算!$D:$D, (MATCH(126, 輔助計算!$G$2:$G$801, 0)+1)),IF(INDEX(ERP資料!$G:$G, (MATCH(126, 輔助計算!$G$2:$G$801, 0)+1))&lt;100, IF(INDEX(ERP資料!$G:$G, (MATCH(126, 輔助計算!$G$2:$G$801, 0)+1))&lt;=31,3,IF(INDEX(ERP資料!$G:$G, (MATCH(126, 輔助計算!$G$2:$G$801, 0)+1))&lt;=46.5,2,1)), IF(INDEX(ERP資料!$G:$G, (MATCH(126, 輔助計算!$G$2:$G$801, 0)+1))&lt;=790,3,IF(INDEX(ERP資料!$G:$G, (MATCH(126, 輔助計算!$G$2:$G$801, 0)+1))&lt;=1181,2,1))))=2,TEXT(INDEX(ERP資料!$G:$G, (MATCH(126, 輔助計算!$G$2:$G$801, 0)+1)),"0.##")&amp;"+"&amp;TEXT(INDEX(ERP資料!$G:$G, (MATCH(126, 輔助計算!$G$2:$G$801, 0)+1)),"0.##"),TEXT(INDEX(ERP資料!$G:$G, (MATCH(126, 輔助計算!$G$2:$G$801, 0)+1)),"0.##")&amp;"+"&amp;TEXT(INDEX(ERP資料!$G:$G, (MATCH(126, 輔助計算!$G$2:$G$801, 0)+1)),"0.##")&amp;"+"&amp;TEXT(INDEX(ERP資料!$G:$G, (MATCH(126, 輔助計算!$G$2:$G$801, 0)+1)),"0.##"))))&amp;"-1")&lt;&gt;""),"  ","")&amp;IF(MOD(INDEX(輔助計算!$D:$D, (MATCH(126, 輔助計算!$G$2:$G$801, 0)+1)),IF(INDEX(ERP資料!$G:$G, (MATCH(126, 輔助計算!$G$2:$G$801, 0)+1))&lt;100, IF(INDEX(ERP資料!$G:$G, (MATCH(126, 輔助計算!$G$2:$G$801, 0)+1))&lt;=31,3,IF(INDEX(ERP資料!$G:$G, (MATCH(126, 輔助計算!$G$2:$G$801, 0)+1))&lt;=46.5,2,1)), IF(INDEX(ERP資料!$G:$G, (MATCH(126, 輔助計算!$G$2:$G$801, 0)+1))&lt;=790,3,IF(INDEX(ERP資料!$G:$G, (MATCH(126, 輔助計算!$G$2:$G$801, 0)+1))&lt;=1181,2,1))))=0,"",IF(MOD(INDEX(輔助計算!$D:$D, (MATCH(126, 輔助計算!$G$2:$G$801, 0)+1)),IF(INDEX(ERP資料!$G:$G, (MATCH(126, 輔助計算!$G$2:$G$801, 0)+1))&lt;100, IF(INDEX(ERP資料!$G:$G, (MATCH(126, 輔助計算!$G$2:$G$801, 0)+1))&lt;=31,3,IF(INDEX(ERP資料!$G:$G, (MATCH(126, 輔助計算!$G$2:$G$801, 0)+1))&lt;=46.5,2,1)), IF(INDEX(ERP資料!$G:$G, (MATCH(126, 輔助計算!$G$2:$G$801, 0)+1))&lt;=790,3,IF(INDEX(ERP資料!$G:$G, (MATCH(126, 輔助計算!$G$2:$G$801, 0)+1))&lt;=1181,2,1))))=0,"",IF(MOD(INDEX(輔助計算!$D:$D, (MATCH(126, 輔助計算!$G$2:$G$801, 0)+1)),IF(INDEX(ERP資料!$G:$G, (MATCH(126, 輔助計算!$G$2:$G$801, 0)+1))&lt;100, IF(INDEX(ERP資料!$G:$G, (MATCH(126, 輔助計算!$G$2:$G$801, 0)+1))&lt;=31,3,IF(INDEX(ERP資料!$G:$G, (MATCH(126, 輔助計算!$G$2:$G$801, 0)+1))&lt;=46.5,2,1)), IF(INDEX(ERP資料!$G:$G, (MATCH(126, 輔助計算!$G$2:$G$801, 0)+1))&lt;=790,3,IF(INDEX(ERP資料!$G:$G, (MATCH(126, 輔助計算!$G$2:$G$801, 0)+1))&lt;=1181,2,1))))=1,TEXT(INDEX(ERP資料!$G:$G, (MATCH(126, 輔助計算!$G$2:$G$801, 0)+1)),"0.##"),IF(MOD(INDEX(輔助計算!$D:$D, (MATCH(126, 輔助計算!$G$2:$G$801, 0)+1)),IF(INDEX(ERP資料!$G:$G, (MATCH(126, 輔助計算!$G$2:$G$801, 0)+1))&lt;100, IF(INDEX(ERP資料!$G:$G, (MATCH(126, 輔助計算!$G$2:$G$801, 0)+1))&lt;=31,3,IF(INDEX(ERP資料!$G:$G, (MATCH(126, 輔助計算!$G$2:$G$801, 0)+1))&lt;=46.5,2,1)), IF(INDEX(ERP資料!$G:$G, (MATCH(126, 輔助計算!$G$2:$G$801, 0)+1))&lt;=790,3,IF(INDEX(ERP資料!$G:$G, (MATCH(126, 輔助計算!$G$2:$G$801, 0)+1))&lt;=1181,2,1))))=2,TEXT(INDEX(ERP資料!$G:$G, (MATCH(126, 輔助計算!$G$2:$G$801, 0)+1)),"0.##")&amp;"+"&amp;TEXT(INDEX(ERP資料!$G:$G, (MATCH(126, 輔助計算!$G$2:$G$801, 0)+1)),"0.##"),TEXT(INDEX(ERP資料!$G:$G, (MATCH(126, 輔助計算!$G$2:$G$801, 0)+1)),"0.##")&amp;"+"&amp;TEXT(INDEX(ERP資料!$G:$G, (MATCH(126, 輔助計算!$G$2:$G$801, 0)+1)),"0.##")&amp;"+"&amp;TEXT(INDEX(ERP資料!$G:$G, (MATCH(126, 輔助計算!$G$2:$G$801, 0)+1)),"0.##"))))&amp;"-1")), ""), "")</f>
        <v/>
      </c>
      <c r="K127" s="16" t="n"/>
      <c r="L127" s="14">
        <f>IFERROR(IF(AND(IFERROR(INDEX(ERP資料!$A:$A, (MATCH(126, 輔助計算!$G$2:$G$801, 0)+1)), "")&lt;&gt;"", IFERROR(INDEX(ERP資料!$A:$A, (MATCH(126, 輔助計算!$G$2:$G$801, 0)+1)), "")&lt;&gt;IFERROR(INDEX(ERP資料!$A:$A, MATCH(125, 輔助計算!$G$2:$G$801, 0)+1), "")), INDEX(ERP資料!$B:$B, (MATCH(126, 輔助計算!$G$2:$G$801, 0)+1)), ""), "")</f>
        <v/>
      </c>
      <c r="M127" s="17" t="n"/>
    </row>
    <row r="128">
      <c r="A128" s="10">
        <f>IFERROR(IF(AND(IFERROR(INDEX(ERP資料!$A:$A, (MATCH(127, 輔助計算!$G$2:$G$801, 0)+1)), "")&lt;&gt;"", IFERROR(INDEX(ERP資料!$A:$A, (MATCH(127, 輔助計算!$G$2:$G$801, 0)+1)), "")&lt;&gt;IFERROR(INDEX(ERP資料!$A:$A, MATCH(126, 輔助計算!$G$2:$G$801, 0)+1), "")), IFERROR(INDEX(ERP資料!$A:$A, (MATCH(127, 輔助計算!$G$2:$G$801, 0)+1)), ""), ""), "")</f>
        <v/>
      </c>
      <c r="B128" s="10">
        <f>IFERROR(IF(AND(IFERROR(INDEX(ERP資料!$A:$A, (MATCH(127, 輔助計算!$G$2:$G$801, 0)+1)), "")&lt;&gt;"", IFERROR(INDEX(ERP資料!$A:$A, (MATCH(127, 輔助計算!$G$2:$G$801, 0)+1)), "")&lt;&gt;IFERROR(INDEX(ERP資料!$A:$A, MATCH(126, 輔助計算!$G$2:$G$801, 0)+1), "")), INDEX(ERP資料!$S:$S, (MATCH(127, 輔助計算!$G$2:$G$801, 0)+1)), ""), "")</f>
        <v/>
      </c>
      <c r="C128" s="19">
        <f>IFERROR(IF(AND(IFERROR(INDEX(ERP資料!$A:$A, (MATCH(127, 輔助計算!$G$2:$G$801, 0)+1)), "")&lt;&gt;"", IFERROR(INDEX(ERP資料!$A:$A, (MATCH(127, 輔助計算!$G$2:$G$801, 0)+1)), "")&lt;&gt;IFERROR(INDEX(ERP資料!$A:$A, MATCH(126, 輔助計算!$G$2:$G$801, 0)+1), "")), IFERROR(VLOOKUP(LEFT(INDEX(ERP資料!$S:$S, (MATCH(127, 輔助計算!$G$2:$G$801, 0)+1)), 4), 紙管對照表!$A:$C, 3, FALSE), ""), ""), "")</f>
        <v/>
      </c>
      <c r="D128" s="16" t="n"/>
      <c r="E128" s="10">
        <f>IFERROR(IF(INDEX(ERP資料!$H:$H, (MATCH(127, 輔助計算!$G$2:$G$801, 0)+1))="","",INDEX(ERP資料!$H:$H, (MATCH(127, 輔助計算!$G$2:$G$801, 0)+1))), "")</f>
        <v/>
      </c>
      <c r="F128" s="10">
        <f>IFERROR(IF(INDEX(ERP資料!$E:$E, (MATCH(127, 輔助計算!$G$2:$G$801, 0)+1))="","",TRIM(INDEX(ERP資料!$E:$E, (MATCH(127, 輔助計算!$G$2:$G$801, 0)+1)))), "")</f>
        <v/>
      </c>
      <c r="G128" s="10">
        <f>IFERROR(IF(INDEX(ERP資料!$F:$F, (MATCH(127, 輔助計算!$G$2:$G$801, 0)+1))="","",INDEX(ERP資料!$F:$F, (MATCH(127, 輔助計算!$G$2:$G$801, 0)+1))), "")</f>
        <v/>
      </c>
      <c r="H128" s="10">
        <f>IFERROR(IF(INDEX(ERP資料!$G:$G, (MATCH(127, 輔助計算!$G$2:$G$801, 0)+1))="","",INDEX(ERP資料!$G:$G, (MATCH(127, 輔助計算!$G$2:$G$801, 0)+1))), "")</f>
        <v/>
      </c>
      <c r="I128" s="15">
        <f>IFERROR(INDEX(輔助計算!$D:$D, (MATCH(127, 輔助計算!$G$2:$G$801, 0)+1)), "")</f>
        <v/>
      </c>
      <c r="J128" s="15">
        <f>IFERROR(IF(AND(INDEX(輔助計算!$D:$D, (MATCH(127, 輔助計算!$G$2:$G$801, 0)+1))&lt;&gt;"", INDEX(ERP資料!$G:$G, (MATCH(127, 輔助計算!$G$2:$G$801, 0)+1))&lt;&gt;""), TRIM(IF(INT(INDEX(輔助計算!$D:$D, (MATCH(127, 輔助計算!$G$2:$G$801, 0)+1))/IF(INDEX(ERP資料!$G:$G, (MATCH(127, 輔助計算!$G$2:$G$801, 0)+1))&lt;100, IF(INDEX(ERP資料!$G:$G, (MATCH(127, 輔助計算!$G$2:$G$801, 0)+1))&lt;=31,3,IF(INDEX(ERP資料!$G:$G, (MATCH(127, 輔助計算!$G$2:$G$801, 0)+1))&lt;=46.5,2,1)), IF(INDEX(ERP資料!$G:$G, (MATCH(127, 輔助計算!$G$2:$G$801, 0)+1))&lt;=790,3,IF(INDEX(ERP資料!$G:$G, (MATCH(127, 輔助計算!$G$2:$G$801, 0)+1))&lt;=1181,2,1))))&gt;0, IF(IF(INDEX(ERP資料!$G:$G, (MATCH(127, 輔助計算!$G$2:$G$801, 0)+1))&lt;100, IF(INDEX(ERP資料!$G:$G, (MATCH(127, 輔助計算!$G$2:$G$801, 0)+1))&lt;=31,3,IF(INDEX(ERP資料!$G:$G, (MATCH(127, 輔助計算!$G$2:$G$801, 0)+1))&lt;=46.5,2,1)), IF(INDEX(ERP資料!$G:$G, (MATCH(127, 輔助計算!$G$2:$G$801, 0)+1))&lt;=790,3,IF(INDEX(ERP資料!$G:$G, (MATCH(127, 輔助計算!$G$2:$G$801, 0)+1))&lt;=1181,2,1)))=1,TEXT(INDEX(ERP資料!$G:$G, (MATCH(127, 輔助計算!$G$2:$G$801, 0)+1)),"0.##"),IF(IF(INDEX(ERP資料!$G:$G, (MATCH(127, 輔助計算!$G$2:$G$801, 0)+1))&lt;100, IF(INDEX(ERP資料!$G:$G, (MATCH(127, 輔助計算!$G$2:$G$801, 0)+1))&lt;=31,3,IF(INDEX(ERP資料!$G:$G, (MATCH(127, 輔助計算!$G$2:$G$801, 0)+1))&lt;=46.5,2,1)), IF(INDEX(ERP資料!$G:$G, (MATCH(127, 輔助計算!$G$2:$G$801, 0)+1))&lt;=790,3,IF(INDEX(ERP資料!$G:$G, (MATCH(127, 輔助計算!$G$2:$G$801, 0)+1))&lt;=1181,2,1)))=2,TEXT(INDEX(ERP資料!$G:$G, (MATCH(127, 輔助計算!$G$2:$G$801, 0)+1)),"0.##")&amp;"+"&amp;TEXT(INDEX(ERP資料!$G:$G, (MATCH(127, 輔助計算!$G$2:$G$801, 0)+1)),"0.##"),TEXT(INDEX(ERP資料!$G:$G, (MATCH(127, 輔助計算!$G$2:$G$801, 0)+1)),"0.##")&amp;"+"&amp;TEXT(INDEX(ERP資料!$G:$G, (MATCH(127, 輔助計算!$G$2:$G$801, 0)+1)),"0.##")&amp;"+"&amp;TEXT(INDEX(ERP資料!$G:$G, (MATCH(127, 輔助計算!$G$2:$G$801, 0)+1)),"0.##")))&amp;"-"&amp;INT(INDEX(輔助計算!$D:$D, (MATCH(127, 輔助計算!$G$2:$G$801, 0)+1))/IF(INDEX(ERP資料!$G:$G, (MATCH(127, 輔助計算!$G$2:$G$801, 0)+1))&lt;100, IF(INDEX(ERP資料!$G:$G, (MATCH(127, 輔助計算!$G$2:$G$801, 0)+1))&lt;=31,3,IF(INDEX(ERP資料!$G:$G, (MATCH(127, 輔助計算!$G$2:$G$801, 0)+1))&lt;=46.5,2,1)), IF(INDEX(ERP資料!$G:$G, (MATCH(127, 輔助計算!$G$2:$G$801, 0)+1))&lt;=790,3,IF(INDEX(ERP資料!$G:$G, (MATCH(127, 輔助計算!$G$2:$G$801, 0)+1))&lt;=1181,2,1)))), "")&amp;IF(AND(IF(INT(INDEX(輔助計算!$D:$D, (MATCH(127, 輔助計算!$G$2:$G$801, 0)+1))/IF(INDEX(ERP資料!$G:$G, (MATCH(127, 輔助計算!$G$2:$G$801, 0)+1))&lt;100, IF(INDEX(ERP資料!$G:$G, (MATCH(127, 輔助計算!$G$2:$G$801, 0)+1))&lt;=31,3,IF(INDEX(ERP資料!$G:$G, (MATCH(127, 輔助計算!$G$2:$G$801, 0)+1))&lt;=46.5,2,1)), IF(INDEX(ERP資料!$G:$G, (MATCH(127, 輔助計算!$G$2:$G$801, 0)+1))&lt;=790,3,IF(INDEX(ERP資料!$G:$G, (MATCH(127, 輔助計算!$G$2:$G$801, 0)+1))&lt;=1181,2,1))))&gt;0, IF(IF(INDEX(ERP資料!$G:$G, (MATCH(127, 輔助計算!$G$2:$G$801, 0)+1))&lt;100, IF(INDEX(ERP資料!$G:$G, (MATCH(127, 輔助計算!$G$2:$G$801, 0)+1))&lt;=31,3,IF(INDEX(ERP資料!$G:$G, (MATCH(127, 輔助計算!$G$2:$G$801, 0)+1))&lt;=46.5,2,1)), IF(INDEX(ERP資料!$G:$G, (MATCH(127, 輔助計算!$G$2:$G$801, 0)+1))&lt;=790,3,IF(INDEX(ERP資料!$G:$G, (MATCH(127, 輔助計算!$G$2:$G$801, 0)+1))&lt;=1181,2,1)))=1,TEXT(INDEX(ERP資料!$G:$G, (MATCH(127, 輔助計算!$G$2:$G$801, 0)+1)),"0.##"),IF(IF(INDEX(ERP資料!$G:$G, (MATCH(127, 輔助計算!$G$2:$G$801, 0)+1))&lt;100, IF(INDEX(ERP資料!$G:$G, (MATCH(127, 輔助計算!$G$2:$G$801, 0)+1))&lt;=31,3,IF(INDEX(ERP資料!$G:$G, (MATCH(127, 輔助計算!$G$2:$G$801, 0)+1))&lt;=46.5,2,1)), IF(INDEX(ERP資料!$G:$G, (MATCH(127, 輔助計算!$G$2:$G$801, 0)+1))&lt;=790,3,IF(INDEX(ERP資料!$G:$G, (MATCH(127, 輔助計算!$G$2:$G$801, 0)+1))&lt;=1181,2,1)))=2,TEXT(INDEX(ERP資料!$G:$G, (MATCH(127, 輔助計算!$G$2:$G$801, 0)+1)),"0.##")&amp;"+"&amp;TEXT(INDEX(ERP資料!$G:$G, (MATCH(127, 輔助計算!$G$2:$G$801, 0)+1)),"0.##"),TEXT(INDEX(ERP資料!$G:$G, (MATCH(127, 輔助計算!$G$2:$G$801, 0)+1)),"0.##")&amp;"+"&amp;TEXT(INDEX(ERP資料!$G:$G, (MATCH(127, 輔助計算!$G$2:$G$801, 0)+1)),"0.##")&amp;"+"&amp;TEXT(INDEX(ERP資料!$G:$G, (MATCH(127, 輔助計算!$G$2:$G$801, 0)+1)),"0.##")))&amp;"-"&amp;INT(INDEX(輔助計算!$D:$D, (MATCH(127, 輔助計算!$G$2:$G$801, 0)+1))/IF(INDEX(ERP資料!$G:$G, (MATCH(127, 輔助計算!$G$2:$G$801, 0)+1))&lt;100, IF(INDEX(ERP資料!$G:$G, (MATCH(127, 輔助計算!$G$2:$G$801, 0)+1))&lt;=31,3,IF(INDEX(ERP資料!$G:$G, (MATCH(127, 輔助計算!$G$2:$G$801, 0)+1))&lt;=46.5,2,1)), IF(INDEX(ERP資料!$G:$G, (MATCH(127, 輔助計算!$G$2:$G$801, 0)+1))&lt;=790,3,IF(INDEX(ERP資料!$G:$G, (MATCH(127, 輔助計算!$G$2:$G$801, 0)+1))&lt;=1181,2,1)))), "")&lt;&gt;"",IF(MOD(INDEX(輔助計算!$D:$D, (MATCH(127, 輔助計算!$G$2:$G$801, 0)+1)),IF(INDEX(ERP資料!$G:$G, (MATCH(127, 輔助計算!$G$2:$G$801, 0)+1))&lt;100, IF(INDEX(ERP資料!$G:$G, (MATCH(127, 輔助計算!$G$2:$G$801, 0)+1))&lt;=31,3,IF(INDEX(ERP資料!$G:$G, (MATCH(127, 輔助計算!$G$2:$G$801, 0)+1))&lt;=46.5,2,1)), IF(INDEX(ERP資料!$G:$G, (MATCH(127, 輔助計算!$G$2:$G$801, 0)+1))&lt;=790,3,IF(INDEX(ERP資料!$G:$G, (MATCH(127, 輔助計算!$G$2:$G$801, 0)+1))&lt;=1181,2,1))))=0,"",IF(MOD(INDEX(輔助計算!$D:$D, (MATCH(127, 輔助計算!$G$2:$G$801, 0)+1)),IF(INDEX(ERP資料!$G:$G, (MATCH(127, 輔助計算!$G$2:$G$801, 0)+1))&lt;100, IF(INDEX(ERP資料!$G:$G, (MATCH(127, 輔助計算!$G$2:$G$801, 0)+1))&lt;=31,3,IF(INDEX(ERP資料!$G:$G, (MATCH(127, 輔助計算!$G$2:$G$801, 0)+1))&lt;=46.5,2,1)), IF(INDEX(ERP資料!$G:$G, (MATCH(127, 輔助計算!$G$2:$G$801, 0)+1))&lt;=790,3,IF(INDEX(ERP資料!$G:$G, (MATCH(127, 輔助計算!$G$2:$G$801, 0)+1))&lt;=1181,2,1))))=0,"",IF(MOD(INDEX(輔助計算!$D:$D, (MATCH(127, 輔助計算!$G$2:$G$801, 0)+1)),IF(INDEX(ERP資料!$G:$G, (MATCH(127, 輔助計算!$G$2:$G$801, 0)+1))&lt;100, IF(INDEX(ERP資料!$G:$G, (MATCH(127, 輔助計算!$G$2:$G$801, 0)+1))&lt;=31,3,IF(INDEX(ERP資料!$G:$G, (MATCH(127, 輔助計算!$G$2:$G$801, 0)+1))&lt;=46.5,2,1)), IF(INDEX(ERP資料!$G:$G, (MATCH(127, 輔助計算!$G$2:$G$801, 0)+1))&lt;=790,3,IF(INDEX(ERP資料!$G:$G, (MATCH(127, 輔助計算!$G$2:$G$801, 0)+1))&lt;=1181,2,1))))=1,TEXT(INDEX(ERP資料!$G:$G, (MATCH(127, 輔助計算!$G$2:$G$801, 0)+1)),"0.##"),IF(MOD(INDEX(輔助計算!$D:$D, (MATCH(127, 輔助計算!$G$2:$G$801, 0)+1)),IF(INDEX(ERP資料!$G:$G, (MATCH(127, 輔助計算!$G$2:$G$801, 0)+1))&lt;100, IF(INDEX(ERP資料!$G:$G, (MATCH(127, 輔助計算!$G$2:$G$801, 0)+1))&lt;=31,3,IF(INDEX(ERP資料!$G:$G, (MATCH(127, 輔助計算!$G$2:$G$801, 0)+1))&lt;=46.5,2,1)), IF(INDEX(ERP資料!$G:$G, (MATCH(127, 輔助計算!$G$2:$G$801, 0)+1))&lt;=790,3,IF(INDEX(ERP資料!$G:$G, (MATCH(127, 輔助計算!$G$2:$G$801, 0)+1))&lt;=1181,2,1))))=2,TEXT(INDEX(ERP資料!$G:$G, (MATCH(127, 輔助計算!$G$2:$G$801, 0)+1)),"0.##")&amp;"+"&amp;TEXT(INDEX(ERP資料!$G:$G, (MATCH(127, 輔助計算!$G$2:$G$801, 0)+1)),"0.##"),TEXT(INDEX(ERP資料!$G:$G, (MATCH(127, 輔助計算!$G$2:$G$801, 0)+1)),"0.##")&amp;"+"&amp;TEXT(INDEX(ERP資料!$G:$G, (MATCH(127, 輔助計算!$G$2:$G$801, 0)+1)),"0.##")&amp;"+"&amp;TEXT(INDEX(ERP資料!$G:$G, (MATCH(127, 輔助計算!$G$2:$G$801, 0)+1)),"0.##"))))&amp;"-1")&lt;&gt;""),"  ","")&amp;IF(MOD(INDEX(輔助計算!$D:$D, (MATCH(127, 輔助計算!$G$2:$G$801, 0)+1)),IF(INDEX(ERP資料!$G:$G, (MATCH(127, 輔助計算!$G$2:$G$801, 0)+1))&lt;100, IF(INDEX(ERP資料!$G:$G, (MATCH(127, 輔助計算!$G$2:$G$801, 0)+1))&lt;=31,3,IF(INDEX(ERP資料!$G:$G, (MATCH(127, 輔助計算!$G$2:$G$801, 0)+1))&lt;=46.5,2,1)), IF(INDEX(ERP資料!$G:$G, (MATCH(127, 輔助計算!$G$2:$G$801, 0)+1))&lt;=790,3,IF(INDEX(ERP資料!$G:$G, (MATCH(127, 輔助計算!$G$2:$G$801, 0)+1))&lt;=1181,2,1))))=0,"",IF(MOD(INDEX(輔助計算!$D:$D, (MATCH(127, 輔助計算!$G$2:$G$801, 0)+1)),IF(INDEX(ERP資料!$G:$G, (MATCH(127, 輔助計算!$G$2:$G$801, 0)+1))&lt;100, IF(INDEX(ERP資料!$G:$G, (MATCH(127, 輔助計算!$G$2:$G$801, 0)+1))&lt;=31,3,IF(INDEX(ERP資料!$G:$G, (MATCH(127, 輔助計算!$G$2:$G$801, 0)+1))&lt;=46.5,2,1)), IF(INDEX(ERP資料!$G:$G, (MATCH(127, 輔助計算!$G$2:$G$801, 0)+1))&lt;=790,3,IF(INDEX(ERP資料!$G:$G, (MATCH(127, 輔助計算!$G$2:$G$801, 0)+1))&lt;=1181,2,1))))=0,"",IF(MOD(INDEX(輔助計算!$D:$D, (MATCH(127, 輔助計算!$G$2:$G$801, 0)+1)),IF(INDEX(ERP資料!$G:$G, (MATCH(127, 輔助計算!$G$2:$G$801, 0)+1))&lt;100, IF(INDEX(ERP資料!$G:$G, (MATCH(127, 輔助計算!$G$2:$G$801, 0)+1))&lt;=31,3,IF(INDEX(ERP資料!$G:$G, (MATCH(127, 輔助計算!$G$2:$G$801, 0)+1))&lt;=46.5,2,1)), IF(INDEX(ERP資料!$G:$G, (MATCH(127, 輔助計算!$G$2:$G$801, 0)+1))&lt;=790,3,IF(INDEX(ERP資料!$G:$G, (MATCH(127, 輔助計算!$G$2:$G$801, 0)+1))&lt;=1181,2,1))))=1,TEXT(INDEX(ERP資料!$G:$G, (MATCH(127, 輔助計算!$G$2:$G$801, 0)+1)),"0.##"),IF(MOD(INDEX(輔助計算!$D:$D, (MATCH(127, 輔助計算!$G$2:$G$801, 0)+1)),IF(INDEX(ERP資料!$G:$G, (MATCH(127, 輔助計算!$G$2:$G$801, 0)+1))&lt;100, IF(INDEX(ERP資料!$G:$G, (MATCH(127, 輔助計算!$G$2:$G$801, 0)+1))&lt;=31,3,IF(INDEX(ERP資料!$G:$G, (MATCH(127, 輔助計算!$G$2:$G$801, 0)+1))&lt;=46.5,2,1)), IF(INDEX(ERP資料!$G:$G, (MATCH(127, 輔助計算!$G$2:$G$801, 0)+1))&lt;=790,3,IF(INDEX(ERP資料!$G:$G, (MATCH(127, 輔助計算!$G$2:$G$801, 0)+1))&lt;=1181,2,1))))=2,TEXT(INDEX(ERP資料!$G:$G, (MATCH(127, 輔助計算!$G$2:$G$801, 0)+1)),"0.##")&amp;"+"&amp;TEXT(INDEX(ERP資料!$G:$G, (MATCH(127, 輔助計算!$G$2:$G$801, 0)+1)),"0.##"),TEXT(INDEX(ERP資料!$G:$G, (MATCH(127, 輔助計算!$G$2:$G$801, 0)+1)),"0.##")&amp;"+"&amp;TEXT(INDEX(ERP資料!$G:$G, (MATCH(127, 輔助計算!$G$2:$G$801, 0)+1)),"0.##")&amp;"+"&amp;TEXT(INDEX(ERP資料!$G:$G, (MATCH(127, 輔助計算!$G$2:$G$801, 0)+1)),"0.##"))))&amp;"-1")), ""), "")</f>
        <v/>
      </c>
      <c r="K128" s="16" t="n"/>
      <c r="L128" s="14">
        <f>IFERROR(IF(AND(IFERROR(INDEX(ERP資料!$A:$A, (MATCH(127, 輔助計算!$G$2:$G$801, 0)+1)), "")&lt;&gt;"", IFERROR(INDEX(ERP資料!$A:$A, (MATCH(127, 輔助計算!$G$2:$G$801, 0)+1)), "")&lt;&gt;IFERROR(INDEX(ERP資料!$A:$A, MATCH(126, 輔助計算!$G$2:$G$801, 0)+1), "")), INDEX(ERP資料!$B:$B, (MATCH(127, 輔助計算!$G$2:$G$801, 0)+1)), ""), "")</f>
        <v/>
      </c>
      <c r="M128" s="17" t="n"/>
    </row>
    <row r="129">
      <c r="A129" s="10">
        <f>IFERROR(IF(AND(IFERROR(INDEX(ERP資料!$A:$A, (MATCH(128, 輔助計算!$G$2:$G$801, 0)+1)), "")&lt;&gt;"", IFERROR(INDEX(ERP資料!$A:$A, (MATCH(128, 輔助計算!$G$2:$G$801, 0)+1)), "")&lt;&gt;IFERROR(INDEX(ERP資料!$A:$A, MATCH(127, 輔助計算!$G$2:$G$801, 0)+1), "")), IFERROR(INDEX(ERP資料!$A:$A, (MATCH(128, 輔助計算!$G$2:$G$801, 0)+1)), ""), ""), "")</f>
        <v/>
      </c>
      <c r="B129" s="10">
        <f>IFERROR(IF(AND(IFERROR(INDEX(ERP資料!$A:$A, (MATCH(128, 輔助計算!$G$2:$G$801, 0)+1)), "")&lt;&gt;"", IFERROR(INDEX(ERP資料!$A:$A, (MATCH(128, 輔助計算!$G$2:$G$801, 0)+1)), "")&lt;&gt;IFERROR(INDEX(ERP資料!$A:$A, MATCH(127, 輔助計算!$G$2:$G$801, 0)+1), "")), INDEX(ERP資料!$S:$S, (MATCH(128, 輔助計算!$G$2:$G$801, 0)+1)), ""), "")</f>
        <v/>
      </c>
      <c r="C129" s="19">
        <f>IFERROR(IF(AND(IFERROR(INDEX(ERP資料!$A:$A, (MATCH(128, 輔助計算!$G$2:$G$801, 0)+1)), "")&lt;&gt;"", IFERROR(INDEX(ERP資料!$A:$A, (MATCH(128, 輔助計算!$G$2:$G$801, 0)+1)), "")&lt;&gt;IFERROR(INDEX(ERP資料!$A:$A, MATCH(127, 輔助計算!$G$2:$G$801, 0)+1), "")), IFERROR(VLOOKUP(LEFT(INDEX(ERP資料!$S:$S, (MATCH(128, 輔助計算!$G$2:$G$801, 0)+1)), 4), 紙管對照表!$A:$C, 3, FALSE), ""), ""), "")</f>
        <v/>
      </c>
      <c r="D129" s="16" t="n"/>
      <c r="E129" s="10">
        <f>IFERROR(IF(INDEX(ERP資料!$H:$H, (MATCH(128, 輔助計算!$G$2:$G$801, 0)+1))="","",INDEX(ERP資料!$H:$H, (MATCH(128, 輔助計算!$G$2:$G$801, 0)+1))), "")</f>
        <v/>
      </c>
      <c r="F129" s="10">
        <f>IFERROR(IF(INDEX(ERP資料!$E:$E, (MATCH(128, 輔助計算!$G$2:$G$801, 0)+1))="","",TRIM(INDEX(ERP資料!$E:$E, (MATCH(128, 輔助計算!$G$2:$G$801, 0)+1)))), "")</f>
        <v/>
      </c>
      <c r="G129" s="10">
        <f>IFERROR(IF(INDEX(ERP資料!$F:$F, (MATCH(128, 輔助計算!$G$2:$G$801, 0)+1))="","",INDEX(ERP資料!$F:$F, (MATCH(128, 輔助計算!$G$2:$G$801, 0)+1))), "")</f>
        <v/>
      </c>
      <c r="H129" s="10">
        <f>IFERROR(IF(INDEX(ERP資料!$G:$G, (MATCH(128, 輔助計算!$G$2:$G$801, 0)+1))="","",INDEX(ERP資料!$G:$G, (MATCH(128, 輔助計算!$G$2:$G$801, 0)+1))), "")</f>
        <v/>
      </c>
      <c r="I129" s="15">
        <f>IFERROR(INDEX(輔助計算!$D:$D, (MATCH(128, 輔助計算!$G$2:$G$801, 0)+1)), "")</f>
        <v/>
      </c>
      <c r="J129" s="15">
        <f>IFERROR(IF(AND(INDEX(輔助計算!$D:$D, (MATCH(128, 輔助計算!$G$2:$G$801, 0)+1))&lt;&gt;"", INDEX(ERP資料!$G:$G, (MATCH(128, 輔助計算!$G$2:$G$801, 0)+1))&lt;&gt;""), TRIM(IF(INT(INDEX(輔助計算!$D:$D, (MATCH(128, 輔助計算!$G$2:$G$801, 0)+1))/IF(INDEX(ERP資料!$G:$G, (MATCH(128, 輔助計算!$G$2:$G$801, 0)+1))&lt;100, IF(INDEX(ERP資料!$G:$G, (MATCH(128, 輔助計算!$G$2:$G$801, 0)+1))&lt;=31,3,IF(INDEX(ERP資料!$G:$G, (MATCH(128, 輔助計算!$G$2:$G$801, 0)+1))&lt;=46.5,2,1)), IF(INDEX(ERP資料!$G:$G, (MATCH(128, 輔助計算!$G$2:$G$801, 0)+1))&lt;=790,3,IF(INDEX(ERP資料!$G:$G, (MATCH(128, 輔助計算!$G$2:$G$801, 0)+1))&lt;=1181,2,1))))&gt;0, IF(IF(INDEX(ERP資料!$G:$G, (MATCH(128, 輔助計算!$G$2:$G$801, 0)+1))&lt;100, IF(INDEX(ERP資料!$G:$G, (MATCH(128, 輔助計算!$G$2:$G$801, 0)+1))&lt;=31,3,IF(INDEX(ERP資料!$G:$G, (MATCH(128, 輔助計算!$G$2:$G$801, 0)+1))&lt;=46.5,2,1)), IF(INDEX(ERP資料!$G:$G, (MATCH(128, 輔助計算!$G$2:$G$801, 0)+1))&lt;=790,3,IF(INDEX(ERP資料!$G:$G, (MATCH(128, 輔助計算!$G$2:$G$801, 0)+1))&lt;=1181,2,1)))=1,TEXT(INDEX(ERP資料!$G:$G, (MATCH(128, 輔助計算!$G$2:$G$801, 0)+1)),"0.##"),IF(IF(INDEX(ERP資料!$G:$G, (MATCH(128, 輔助計算!$G$2:$G$801, 0)+1))&lt;100, IF(INDEX(ERP資料!$G:$G, (MATCH(128, 輔助計算!$G$2:$G$801, 0)+1))&lt;=31,3,IF(INDEX(ERP資料!$G:$G, (MATCH(128, 輔助計算!$G$2:$G$801, 0)+1))&lt;=46.5,2,1)), IF(INDEX(ERP資料!$G:$G, (MATCH(128, 輔助計算!$G$2:$G$801, 0)+1))&lt;=790,3,IF(INDEX(ERP資料!$G:$G, (MATCH(128, 輔助計算!$G$2:$G$801, 0)+1))&lt;=1181,2,1)))=2,TEXT(INDEX(ERP資料!$G:$G, (MATCH(128, 輔助計算!$G$2:$G$801, 0)+1)),"0.##")&amp;"+"&amp;TEXT(INDEX(ERP資料!$G:$G, (MATCH(128, 輔助計算!$G$2:$G$801, 0)+1)),"0.##"),TEXT(INDEX(ERP資料!$G:$G, (MATCH(128, 輔助計算!$G$2:$G$801, 0)+1)),"0.##")&amp;"+"&amp;TEXT(INDEX(ERP資料!$G:$G, (MATCH(128, 輔助計算!$G$2:$G$801, 0)+1)),"0.##")&amp;"+"&amp;TEXT(INDEX(ERP資料!$G:$G, (MATCH(128, 輔助計算!$G$2:$G$801, 0)+1)),"0.##")))&amp;"-"&amp;INT(INDEX(輔助計算!$D:$D, (MATCH(128, 輔助計算!$G$2:$G$801, 0)+1))/IF(INDEX(ERP資料!$G:$G, (MATCH(128, 輔助計算!$G$2:$G$801, 0)+1))&lt;100, IF(INDEX(ERP資料!$G:$G, (MATCH(128, 輔助計算!$G$2:$G$801, 0)+1))&lt;=31,3,IF(INDEX(ERP資料!$G:$G, (MATCH(128, 輔助計算!$G$2:$G$801, 0)+1))&lt;=46.5,2,1)), IF(INDEX(ERP資料!$G:$G, (MATCH(128, 輔助計算!$G$2:$G$801, 0)+1))&lt;=790,3,IF(INDEX(ERP資料!$G:$G, (MATCH(128, 輔助計算!$G$2:$G$801, 0)+1))&lt;=1181,2,1)))), "")&amp;IF(AND(IF(INT(INDEX(輔助計算!$D:$D, (MATCH(128, 輔助計算!$G$2:$G$801, 0)+1))/IF(INDEX(ERP資料!$G:$G, (MATCH(128, 輔助計算!$G$2:$G$801, 0)+1))&lt;100, IF(INDEX(ERP資料!$G:$G, (MATCH(128, 輔助計算!$G$2:$G$801, 0)+1))&lt;=31,3,IF(INDEX(ERP資料!$G:$G, (MATCH(128, 輔助計算!$G$2:$G$801, 0)+1))&lt;=46.5,2,1)), IF(INDEX(ERP資料!$G:$G, (MATCH(128, 輔助計算!$G$2:$G$801, 0)+1))&lt;=790,3,IF(INDEX(ERP資料!$G:$G, (MATCH(128, 輔助計算!$G$2:$G$801, 0)+1))&lt;=1181,2,1))))&gt;0, IF(IF(INDEX(ERP資料!$G:$G, (MATCH(128, 輔助計算!$G$2:$G$801, 0)+1))&lt;100, IF(INDEX(ERP資料!$G:$G, (MATCH(128, 輔助計算!$G$2:$G$801, 0)+1))&lt;=31,3,IF(INDEX(ERP資料!$G:$G, (MATCH(128, 輔助計算!$G$2:$G$801, 0)+1))&lt;=46.5,2,1)), IF(INDEX(ERP資料!$G:$G, (MATCH(128, 輔助計算!$G$2:$G$801, 0)+1))&lt;=790,3,IF(INDEX(ERP資料!$G:$G, (MATCH(128, 輔助計算!$G$2:$G$801, 0)+1))&lt;=1181,2,1)))=1,TEXT(INDEX(ERP資料!$G:$G, (MATCH(128, 輔助計算!$G$2:$G$801, 0)+1)),"0.##"),IF(IF(INDEX(ERP資料!$G:$G, (MATCH(128, 輔助計算!$G$2:$G$801, 0)+1))&lt;100, IF(INDEX(ERP資料!$G:$G, (MATCH(128, 輔助計算!$G$2:$G$801, 0)+1))&lt;=31,3,IF(INDEX(ERP資料!$G:$G, (MATCH(128, 輔助計算!$G$2:$G$801, 0)+1))&lt;=46.5,2,1)), IF(INDEX(ERP資料!$G:$G, (MATCH(128, 輔助計算!$G$2:$G$801, 0)+1))&lt;=790,3,IF(INDEX(ERP資料!$G:$G, (MATCH(128, 輔助計算!$G$2:$G$801, 0)+1))&lt;=1181,2,1)))=2,TEXT(INDEX(ERP資料!$G:$G, (MATCH(128, 輔助計算!$G$2:$G$801, 0)+1)),"0.##")&amp;"+"&amp;TEXT(INDEX(ERP資料!$G:$G, (MATCH(128, 輔助計算!$G$2:$G$801, 0)+1)),"0.##"),TEXT(INDEX(ERP資料!$G:$G, (MATCH(128, 輔助計算!$G$2:$G$801, 0)+1)),"0.##")&amp;"+"&amp;TEXT(INDEX(ERP資料!$G:$G, (MATCH(128, 輔助計算!$G$2:$G$801, 0)+1)),"0.##")&amp;"+"&amp;TEXT(INDEX(ERP資料!$G:$G, (MATCH(128, 輔助計算!$G$2:$G$801, 0)+1)),"0.##")))&amp;"-"&amp;INT(INDEX(輔助計算!$D:$D, (MATCH(128, 輔助計算!$G$2:$G$801, 0)+1))/IF(INDEX(ERP資料!$G:$G, (MATCH(128, 輔助計算!$G$2:$G$801, 0)+1))&lt;100, IF(INDEX(ERP資料!$G:$G, (MATCH(128, 輔助計算!$G$2:$G$801, 0)+1))&lt;=31,3,IF(INDEX(ERP資料!$G:$G, (MATCH(128, 輔助計算!$G$2:$G$801, 0)+1))&lt;=46.5,2,1)), IF(INDEX(ERP資料!$G:$G, (MATCH(128, 輔助計算!$G$2:$G$801, 0)+1))&lt;=790,3,IF(INDEX(ERP資料!$G:$G, (MATCH(128, 輔助計算!$G$2:$G$801, 0)+1))&lt;=1181,2,1)))), "")&lt;&gt;"",IF(MOD(INDEX(輔助計算!$D:$D, (MATCH(128, 輔助計算!$G$2:$G$801, 0)+1)),IF(INDEX(ERP資料!$G:$G, (MATCH(128, 輔助計算!$G$2:$G$801, 0)+1))&lt;100, IF(INDEX(ERP資料!$G:$G, (MATCH(128, 輔助計算!$G$2:$G$801, 0)+1))&lt;=31,3,IF(INDEX(ERP資料!$G:$G, (MATCH(128, 輔助計算!$G$2:$G$801, 0)+1))&lt;=46.5,2,1)), IF(INDEX(ERP資料!$G:$G, (MATCH(128, 輔助計算!$G$2:$G$801, 0)+1))&lt;=790,3,IF(INDEX(ERP資料!$G:$G, (MATCH(128, 輔助計算!$G$2:$G$801, 0)+1))&lt;=1181,2,1))))=0,"",IF(MOD(INDEX(輔助計算!$D:$D, (MATCH(128, 輔助計算!$G$2:$G$801, 0)+1)),IF(INDEX(ERP資料!$G:$G, (MATCH(128, 輔助計算!$G$2:$G$801, 0)+1))&lt;100, IF(INDEX(ERP資料!$G:$G, (MATCH(128, 輔助計算!$G$2:$G$801, 0)+1))&lt;=31,3,IF(INDEX(ERP資料!$G:$G, (MATCH(128, 輔助計算!$G$2:$G$801, 0)+1))&lt;=46.5,2,1)), IF(INDEX(ERP資料!$G:$G, (MATCH(128, 輔助計算!$G$2:$G$801, 0)+1))&lt;=790,3,IF(INDEX(ERP資料!$G:$G, (MATCH(128, 輔助計算!$G$2:$G$801, 0)+1))&lt;=1181,2,1))))=0,"",IF(MOD(INDEX(輔助計算!$D:$D, (MATCH(128, 輔助計算!$G$2:$G$801, 0)+1)),IF(INDEX(ERP資料!$G:$G, (MATCH(128, 輔助計算!$G$2:$G$801, 0)+1))&lt;100, IF(INDEX(ERP資料!$G:$G, (MATCH(128, 輔助計算!$G$2:$G$801, 0)+1))&lt;=31,3,IF(INDEX(ERP資料!$G:$G, (MATCH(128, 輔助計算!$G$2:$G$801, 0)+1))&lt;=46.5,2,1)), IF(INDEX(ERP資料!$G:$G, (MATCH(128, 輔助計算!$G$2:$G$801, 0)+1))&lt;=790,3,IF(INDEX(ERP資料!$G:$G, (MATCH(128, 輔助計算!$G$2:$G$801, 0)+1))&lt;=1181,2,1))))=1,TEXT(INDEX(ERP資料!$G:$G, (MATCH(128, 輔助計算!$G$2:$G$801, 0)+1)),"0.##"),IF(MOD(INDEX(輔助計算!$D:$D, (MATCH(128, 輔助計算!$G$2:$G$801, 0)+1)),IF(INDEX(ERP資料!$G:$G, (MATCH(128, 輔助計算!$G$2:$G$801, 0)+1))&lt;100, IF(INDEX(ERP資料!$G:$G, (MATCH(128, 輔助計算!$G$2:$G$801, 0)+1))&lt;=31,3,IF(INDEX(ERP資料!$G:$G, (MATCH(128, 輔助計算!$G$2:$G$801, 0)+1))&lt;=46.5,2,1)), IF(INDEX(ERP資料!$G:$G, (MATCH(128, 輔助計算!$G$2:$G$801, 0)+1))&lt;=790,3,IF(INDEX(ERP資料!$G:$G, (MATCH(128, 輔助計算!$G$2:$G$801, 0)+1))&lt;=1181,2,1))))=2,TEXT(INDEX(ERP資料!$G:$G, (MATCH(128, 輔助計算!$G$2:$G$801, 0)+1)),"0.##")&amp;"+"&amp;TEXT(INDEX(ERP資料!$G:$G, (MATCH(128, 輔助計算!$G$2:$G$801, 0)+1)),"0.##"),TEXT(INDEX(ERP資料!$G:$G, (MATCH(128, 輔助計算!$G$2:$G$801, 0)+1)),"0.##")&amp;"+"&amp;TEXT(INDEX(ERP資料!$G:$G, (MATCH(128, 輔助計算!$G$2:$G$801, 0)+1)),"0.##")&amp;"+"&amp;TEXT(INDEX(ERP資料!$G:$G, (MATCH(128, 輔助計算!$G$2:$G$801, 0)+1)),"0.##"))))&amp;"-1")&lt;&gt;""),"  ","")&amp;IF(MOD(INDEX(輔助計算!$D:$D, (MATCH(128, 輔助計算!$G$2:$G$801, 0)+1)),IF(INDEX(ERP資料!$G:$G, (MATCH(128, 輔助計算!$G$2:$G$801, 0)+1))&lt;100, IF(INDEX(ERP資料!$G:$G, (MATCH(128, 輔助計算!$G$2:$G$801, 0)+1))&lt;=31,3,IF(INDEX(ERP資料!$G:$G, (MATCH(128, 輔助計算!$G$2:$G$801, 0)+1))&lt;=46.5,2,1)), IF(INDEX(ERP資料!$G:$G, (MATCH(128, 輔助計算!$G$2:$G$801, 0)+1))&lt;=790,3,IF(INDEX(ERP資料!$G:$G, (MATCH(128, 輔助計算!$G$2:$G$801, 0)+1))&lt;=1181,2,1))))=0,"",IF(MOD(INDEX(輔助計算!$D:$D, (MATCH(128, 輔助計算!$G$2:$G$801, 0)+1)),IF(INDEX(ERP資料!$G:$G, (MATCH(128, 輔助計算!$G$2:$G$801, 0)+1))&lt;100, IF(INDEX(ERP資料!$G:$G, (MATCH(128, 輔助計算!$G$2:$G$801, 0)+1))&lt;=31,3,IF(INDEX(ERP資料!$G:$G, (MATCH(128, 輔助計算!$G$2:$G$801, 0)+1))&lt;=46.5,2,1)), IF(INDEX(ERP資料!$G:$G, (MATCH(128, 輔助計算!$G$2:$G$801, 0)+1))&lt;=790,3,IF(INDEX(ERP資料!$G:$G, (MATCH(128, 輔助計算!$G$2:$G$801, 0)+1))&lt;=1181,2,1))))=0,"",IF(MOD(INDEX(輔助計算!$D:$D, (MATCH(128, 輔助計算!$G$2:$G$801, 0)+1)),IF(INDEX(ERP資料!$G:$G, (MATCH(128, 輔助計算!$G$2:$G$801, 0)+1))&lt;100, IF(INDEX(ERP資料!$G:$G, (MATCH(128, 輔助計算!$G$2:$G$801, 0)+1))&lt;=31,3,IF(INDEX(ERP資料!$G:$G, (MATCH(128, 輔助計算!$G$2:$G$801, 0)+1))&lt;=46.5,2,1)), IF(INDEX(ERP資料!$G:$G, (MATCH(128, 輔助計算!$G$2:$G$801, 0)+1))&lt;=790,3,IF(INDEX(ERP資料!$G:$G, (MATCH(128, 輔助計算!$G$2:$G$801, 0)+1))&lt;=1181,2,1))))=1,TEXT(INDEX(ERP資料!$G:$G, (MATCH(128, 輔助計算!$G$2:$G$801, 0)+1)),"0.##"),IF(MOD(INDEX(輔助計算!$D:$D, (MATCH(128, 輔助計算!$G$2:$G$801, 0)+1)),IF(INDEX(ERP資料!$G:$G, (MATCH(128, 輔助計算!$G$2:$G$801, 0)+1))&lt;100, IF(INDEX(ERP資料!$G:$G, (MATCH(128, 輔助計算!$G$2:$G$801, 0)+1))&lt;=31,3,IF(INDEX(ERP資料!$G:$G, (MATCH(128, 輔助計算!$G$2:$G$801, 0)+1))&lt;=46.5,2,1)), IF(INDEX(ERP資料!$G:$G, (MATCH(128, 輔助計算!$G$2:$G$801, 0)+1))&lt;=790,3,IF(INDEX(ERP資料!$G:$G, (MATCH(128, 輔助計算!$G$2:$G$801, 0)+1))&lt;=1181,2,1))))=2,TEXT(INDEX(ERP資料!$G:$G, (MATCH(128, 輔助計算!$G$2:$G$801, 0)+1)),"0.##")&amp;"+"&amp;TEXT(INDEX(ERP資料!$G:$G, (MATCH(128, 輔助計算!$G$2:$G$801, 0)+1)),"0.##"),TEXT(INDEX(ERP資料!$G:$G, (MATCH(128, 輔助計算!$G$2:$G$801, 0)+1)),"0.##")&amp;"+"&amp;TEXT(INDEX(ERP資料!$G:$G, (MATCH(128, 輔助計算!$G$2:$G$801, 0)+1)),"0.##")&amp;"+"&amp;TEXT(INDEX(ERP資料!$G:$G, (MATCH(128, 輔助計算!$G$2:$G$801, 0)+1)),"0.##"))))&amp;"-1")), ""), "")</f>
        <v/>
      </c>
      <c r="K129" s="16" t="n"/>
      <c r="L129" s="14">
        <f>IFERROR(IF(AND(IFERROR(INDEX(ERP資料!$A:$A, (MATCH(128, 輔助計算!$G$2:$G$801, 0)+1)), "")&lt;&gt;"", IFERROR(INDEX(ERP資料!$A:$A, (MATCH(128, 輔助計算!$G$2:$G$801, 0)+1)), "")&lt;&gt;IFERROR(INDEX(ERP資料!$A:$A, MATCH(127, 輔助計算!$G$2:$G$801, 0)+1), "")), INDEX(ERP資料!$B:$B, (MATCH(128, 輔助計算!$G$2:$G$801, 0)+1)), ""), "")</f>
        <v/>
      </c>
      <c r="M129" s="17" t="n"/>
    </row>
    <row r="130">
      <c r="A130" s="10">
        <f>IFERROR(IF(AND(IFERROR(INDEX(ERP資料!$A:$A, (MATCH(129, 輔助計算!$G$2:$G$801, 0)+1)), "")&lt;&gt;"", IFERROR(INDEX(ERP資料!$A:$A, (MATCH(129, 輔助計算!$G$2:$G$801, 0)+1)), "")&lt;&gt;IFERROR(INDEX(ERP資料!$A:$A, MATCH(128, 輔助計算!$G$2:$G$801, 0)+1), "")), IFERROR(INDEX(ERP資料!$A:$A, (MATCH(129, 輔助計算!$G$2:$G$801, 0)+1)), ""), ""), "")</f>
        <v/>
      </c>
      <c r="B130" s="10">
        <f>IFERROR(IF(AND(IFERROR(INDEX(ERP資料!$A:$A, (MATCH(129, 輔助計算!$G$2:$G$801, 0)+1)), "")&lt;&gt;"", IFERROR(INDEX(ERP資料!$A:$A, (MATCH(129, 輔助計算!$G$2:$G$801, 0)+1)), "")&lt;&gt;IFERROR(INDEX(ERP資料!$A:$A, MATCH(128, 輔助計算!$G$2:$G$801, 0)+1), "")), INDEX(ERP資料!$S:$S, (MATCH(129, 輔助計算!$G$2:$G$801, 0)+1)), ""), "")</f>
        <v/>
      </c>
      <c r="C130" s="19">
        <f>IFERROR(IF(AND(IFERROR(INDEX(ERP資料!$A:$A, (MATCH(129, 輔助計算!$G$2:$G$801, 0)+1)), "")&lt;&gt;"", IFERROR(INDEX(ERP資料!$A:$A, (MATCH(129, 輔助計算!$G$2:$G$801, 0)+1)), "")&lt;&gt;IFERROR(INDEX(ERP資料!$A:$A, MATCH(128, 輔助計算!$G$2:$G$801, 0)+1), "")), IFERROR(VLOOKUP(LEFT(INDEX(ERP資料!$S:$S, (MATCH(129, 輔助計算!$G$2:$G$801, 0)+1)), 4), 紙管對照表!$A:$C, 3, FALSE), ""), ""), "")</f>
        <v/>
      </c>
      <c r="D130" s="16" t="n"/>
      <c r="E130" s="10">
        <f>IFERROR(IF(INDEX(ERP資料!$H:$H, (MATCH(129, 輔助計算!$G$2:$G$801, 0)+1))="","",INDEX(ERP資料!$H:$H, (MATCH(129, 輔助計算!$G$2:$G$801, 0)+1))), "")</f>
        <v/>
      </c>
      <c r="F130" s="10">
        <f>IFERROR(IF(INDEX(ERP資料!$E:$E, (MATCH(129, 輔助計算!$G$2:$G$801, 0)+1))="","",TRIM(INDEX(ERP資料!$E:$E, (MATCH(129, 輔助計算!$G$2:$G$801, 0)+1)))), "")</f>
        <v/>
      </c>
      <c r="G130" s="10">
        <f>IFERROR(IF(INDEX(ERP資料!$F:$F, (MATCH(129, 輔助計算!$G$2:$G$801, 0)+1))="","",INDEX(ERP資料!$F:$F, (MATCH(129, 輔助計算!$G$2:$G$801, 0)+1))), "")</f>
        <v/>
      </c>
      <c r="H130" s="10">
        <f>IFERROR(IF(INDEX(ERP資料!$G:$G, (MATCH(129, 輔助計算!$G$2:$G$801, 0)+1))="","",INDEX(ERP資料!$G:$G, (MATCH(129, 輔助計算!$G$2:$G$801, 0)+1))), "")</f>
        <v/>
      </c>
      <c r="I130" s="15">
        <f>IFERROR(INDEX(輔助計算!$D:$D, (MATCH(129, 輔助計算!$G$2:$G$801, 0)+1)), "")</f>
        <v/>
      </c>
      <c r="J130" s="15">
        <f>IFERROR(IF(AND(INDEX(輔助計算!$D:$D, (MATCH(129, 輔助計算!$G$2:$G$801, 0)+1))&lt;&gt;"", INDEX(ERP資料!$G:$G, (MATCH(129, 輔助計算!$G$2:$G$801, 0)+1))&lt;&gt;""), TRIM(IF(INT(INDEX(輔助計算!$D:$D, (MATCH(129, 輔助計算!$G$2:$G$801, 0)+1))/IF(INDEX(ERP資料!$G:$G, (MATCH(129, 輔助計算!$G$2:$G$801, 0)+1))&lt;100, IF(INDEX(ERP資料!$G:$G, (MATCH(129, 輔助計算!$G$2:$G$801, 0)+1))&lt;=31,3,IF(INDEX(ERP資料!$G:$G, (MATCH(129, 輔助計算!$G$2:$G$801, 0)+1))&lt;=46.5,2,1)), IF(INDEX(ERP資料!$G:$G, (MATCH(129, 輔助計算!$G$2:$G$801, 0)+1))&lt;=790,3,IF(INDEX(ERP資料!$G:$G, (MATCH(129, 輔助計算!$G$2:$G$801, 0)+1))&lt;=1181,2,1))))&gt;0, IF(IF(INDEX(ERP資料!$G:$G, (MATCH(129, 輔助計算!$G$2:$G$801, 0)+1))&lt;100, IF(INDEX(ERP資料!$G:$G, (MATCH(129, 輔助計算!$G$2:$G$801, 0)+1))&lt;=31,3,IF(INDEX(ERP資料!$G:$G, (MATCH(129, 輔助計算!$G$2:$G$801, 0)+1))&lt;=46.5,2,1)), IF(INDEX(ERP資料!$G:$G, (MATCH(129, 輔助計算!$G$2:$G$801, 0)+1))&lt;=790,3,IF(INDEX(ERP資料!$G:$G, (MATCH(129, 輔助計算!$G$2:$G$801, 0)+1))&lt;=1181,2,1)))=1,TEXT(INDEX(ERP資料!$G:$G, (MATCH(129, 輔助計算!$G$2:$G$801, 0)+1)),"0.##"),IF(IF(INDEX(ERP資料!$G:$G, (MATCH(129, 輔助計算!$G$2:$G$801, 0)+1))&lt;100, IF(INDEX(ERP資料!$G:$G, (MATCH(129, 輔助計算!$G$2:$G$801, 0)+1))&lt;=31,3,IF(INDEX(ERP資料!$G:$G, (MATCH(129, 輔助計算!$G$2:$G$801, 0)+1))&lt;=46.5,2,1)), IF(INDEX(ERP資料!$G:$G, (MATCH(129, 輔助計算!$G$2:$G$801, 0)+1))&lt;=790,3,IF(INDEX(ERP資料!$G:$G, (MATCH(129, 輔助計算!$G$2:$G$801, 0)+1))&lt;=1181,2,1)))=2,TEXT(INDEX(ERP資料!$G:$G, (MATCH(129, 輔助計算!$G$2:$G$801, 0)+1)),"0.##")&amp;"+"&amp;TEXT(INDEX(ERP資料!$G:$G, (MATCH(129, 輔助計算!$G$2:$G$801, 0)+1)),"0.##"),TEXT(INDEX(ERP資料!$G:$G, (MATCH(129, 輔助計算!$G$2:$G$801, 0)+1)),"0.##")&amp;"+"&amp;TEXT(INDEX(ERP資料!$G:$G, (MATCH(129, 輔助計算!$G$2:$G$801, 0)+1)),"0.##")&amp;"+"&amp;TEXT(INDEX(ERP資料!$G:$G, (MATCH(129, 輔助計算!$G$2:$G$801, 0)+1)),"0.##")))&amp;"-"&amp;INT(INDEX(輔助計算!$D:$D, (MATCH(129, 輔助計算!$G$2:$G$801, 0)+1))/IF(INDEX(ERP資料!$G:$G, (MATCH(129, 輔助計算!$G$2:$G$801, 0)+1))&lt;100, IF(INDEX(ERP資料!$G:$G, (MATCH(129, 輔助計算!$G$2:$G$801, 0)+1))&lt;=31,3,IF(INDEX(ERP資料!$G:$G, (MATCH(129, 輔助計算!$G$2:$G$801, 0)+1))&lt;=46.5,2,1)), IF(INDEX(ERP資料!$G:$G, (MATCH(129, 輔助計算!$G$2:$G$801, 0)+1))&lt;=790,3,IF(INDEX(ERP資料!$G:$G, (MATCH(129, 輔助計算!$G$2:$G$801, 0)+1))&lt;=1181,2,1)))), "")&amp;IF(AND(IF(INT(INDEX(輔助計算!$D:$D, (MATCH(129, 輔助計算!$G$2:$G$801, 0)+1))/IF(INDEX(ERP資料!$G:$G, (MATCH(129, 輔助計算!$G$2:$G$801, 0)+1))&lt;100, IF(INDEX(ERP資料!$G:$G, (MATCH(129, 輔助計算!$G$2:$G$801, 0)+1))&lt;=31,3,IF(INDEX(ERP資料!$G:$G, (MATCH(129, 輔助計算!$G$2:$G$801, 0)+1))&lt;=46.5,2,1)), IF(INDEX(ERP資料!$G:$G, (MATCH(129, 輔助計算!$G$2:$G$801, 0)+1))&lt;=790,3,IF(INDEX(ERP資料!$G:$G, (MATCH(129, 輔助計算!$G$2:$G$801, 0)+1))&lt;=1181,2,1))))&gt;0, IF(IF(INDEX(ERP資料!$G:$G, (MATCH(129, 輔助計算!$G$2:$G$801, 0)+1))&lt;100, IF(INDEX(ERP資料!$G:$G, (MATCH(129, 輔助計算!$G$2:$G$801, 0)+1))&lt;=31,3,IF(INDEX(ERP資料!$G:$G, (MATCH(129, 輔助計算!$G$2:$G$801, 0)+1))&lt;=46.5,2,1)), IF(INDEX(ERP資料!$G:$G, (MATCH(129, 輔助計算!$G$2:$G$801, 0)+1))&lt;=790,3,IF(INDEX(ERP資料!$G:$G, (MATCH(129, 輔助計算!$G$2:$G$801, 0)+1))&lt;=1181,2,1)))=1,TEXT(INDEX(ERP資料!$G:$G, (MATCH(129, 輔助計算!$G$2:$G$801, 0)+1)),"0.##"),IF(IF(INDEX(ERP資料!$G:$G, (MATCH(129, 輔助計算!$G$2:$G$801, 0)+1))&lt;100, IF(INDEX(ERP資料!$G:$G, (MATCH(129, 輔助計算!$G$2:$G$801, 0)+1))&lt;=31,3,IF(INDEX(ERP資料!$G:$G, (MATCH(129, 輔助計算!$G$2:$G$801, 0)+1))&lt;=46.5,2,1)), IF(INDEX(ERP資料!$G:$G, (MATCH(129, 輔助計算!$G$2:$G$801, 0)+1))&lt;=790,3,IF(INDEX(ERP資料!$G:$G, (MATCH(129, 輔助計算!$G$2:$G$801, 0)+1))&lt;=1181,2,1)))=2,TEXT(INDEX(ERP資料!$G:$G, (MATCH(129, 輔助計算!$G$2:$G$801, 0)+1)),"0.##")&amp;"+"&amp;TEXT(INDEX(ERP資料!$G:$G, (MATCH(129, 輔助計算!$G$2:$G$801, 0)+1)),"0.##"),TEXT(INDEX(ERP資料!$G:$G, (MATCH(129, 輔助計算!$G$2:$G$801, 0)+1)),"0.##")&amp;"+"&amp;TEXT(INDEX(ERP資料!$G:$G, (MATCH(129, 輔助計算!$G$2:$G$801, 0)+1)),"0.##")&amp;"+"&amp;TEXT(INDEX(ERP資料!$G:$G, (MATCH(129, 輔助計算!$G$2:$G$801, 0)+1)),"0.##")))&amp;"-"&amp;INT(INDEX(輔助計算!$D:$D, (MATCH(129, 輔助計算!$G$2:$G$801, 0)+1))/IF(INDEX(ERP資料!$G:$G, (MATCH(129, 輔助計算!$G$2:$G$801, 0)+1))&lt;100, IF(INDEX(ERP資料!$G:$G, (MATCH(129, 輔助計算!$G$2:$G$801, 0)+1))&lt;=31,3,IF(INDEX(ERP資料!$G:$G, (MATCH(129, 輔助計算!$G$2:$G$801, 0)+1))&lt;=46.5,2,1)), IF(INDEX(ERP資料!$G:$G, (MATCH(129, 輔助計算!$G$2:$G$801, 0)+1))&lt;=790,3,IF(INDEX(ERP資料!$G:$G, (MATCH(129, 輔助計算!$G$2:$G$801, 0)+1))&lt;=1181,2,1)))), "")&lt;&gt;"",IF(MOD(INDEX(輔助計算!$D:$D, (MATCH(129, 輔助計算!$G$2:$G$801, 0)+1)),IF(INDEX(ERP資料!$G:$G, (MATCH(129, 輔助計算!$G$2:$G$801, 0)+1))&lt;100, IF(INDEX(ERP資料!$G:$G, (MATCH(129, 輔助計算!$G$2:$G$801, 0)+1))&lt;=31,3,IF(INDEX(ERP資料!$G:$G, (MATCH(129, 輔助計算!$G$2:$G$801, 0)+1))&lt;=46.5,2,1)), IF(INDEX(ERP資料!$G:$G, (MATCH(129, 輔助計算!$G$2:$G$801, 0)+1))&lt;=790,3,IF(INDEX(ERP資料!$G:$G, (MATCH(129, 輔助計算!$G$2:$G$801, 0)+1))&lt;=1181,2,1))))=0,"",IF(MOD(INDEX(輔助計算!$D:$D, (MATCH(129, 輔助計算!$G$2:$G$801, 0)+1)),IF(INDEX(ERP資料!$G:$G, (MATCH(129, 輔助計算!$G$2:$G$801, 0)+1))&lt;100, IF(INDEX(ERP資料!$G:$G, (MATCH(129, 輔助計算!$G$2:$G$801, 0)+1))&lt;=31,3,IF(INDEX(ERP資料!$G:$G, (MATCH(129, 輔助計算!$G$2:$G$801, 0)+1))&lt;=46.5,2,1)), IF(INDEX(ERP資料!$G:$G, (MATCH(129, 輔助計算!$G$2:$G$801, 0)+1))&lt;=790,3,IF(INDEX(ERP資料!$G:$G, (MATCH(129, 輔助計算!$G$2:$G$801, 0)+1))&lt;=1181,2,1))))=0,"",IF(MOD(INDEX(輔助計算!$D:$D, (MATCH(129, 輔助計算!$G$2:$G$801, 0)+1)),IF(INDEX(ERP資料!$G:$G, (MATCH(129, 輔助計算!$G$2:$G$801, 0)+1))&lt;100, IF(INDEX(ERP資料!$G:$G, (MATCH(129, 輔助計算!$G$2:$G$801, 0)+1))&lt;=31,3,IF(INDEX(ERP資料!$G:$G, (MATCH(129, 輔助計算!$G$2:$G$801, 0)+1))&lt;=46.5,2,1)), IF(INDEX(ERP資料!$G:$G, (MATCH(129, 輔助計算!$G$2:$G$801, 0)+1))&lt;=790,3,IF(INDEX(ERP資料!$G:$G, (MATCH(129, 輔助計算!$G$2:$G$801, 0)+1))&lt;=1181,2,1))))=1,TEXT(INDEX(ERP資料!$G:$G, (MATCH(129, 輔助計算!$G$2:$G$801, 0)+1)),"0.##"),IF(MOD(INDEX(輔助計算!$D:$D, (MATCH(129, 輔助計算!$G$2:$G$801, 0)+1)),IF(INDEX(ERP資料!$G:$G, (MATCH(129, 輔助計算!$G$2:$G$801, 0)+1))&lt;100, IF(INDEX(ERP資料!$G:$G, (MATCH(129, 輔助計算!$G$2:$G$801, 0)+1))&lt;=31,3,IF(INDEX(ERP資料!$G:$G, (MATCH(129, 輔助計算!$G$2:$G$801, 0)+1))&lt;=46.5,2,1)), IF(INDEX(ERP資料!$G:$G, (MATCH(129, 輔助計算!$G$2:$G$801, 0)+1))&lt;=790,3,IF(INDEX(ERP資料!$G:$G, (MATCH(129, 輔助計算!$G$2:$G$801, 0)+1))&lt;=1181,2,1))))=2,TEXT(INDEX(ERP資料!$G:$G, (MATCH(129, 輔助計算!$G$2:$G$801, 0)+1)),"0.##")&amp;"+"&amp;TEXT(INDEX(ERP資料!$G:$G, (MATCH(129, 輔助計算!$G$2:$G$801, 0)+1)),"0.##"),TEXT(INDEX(ERP資料!$G:$G, (MATCH(129, 輔助計算!$G$2:$G$801, 0)+1)),"0.##")&amp;"+"&amp;TEXT(INDEX(ERP資料!$G:$G, (MATCH(129, 輔助計算!$G$2:$G$801, 0)+1)),"0.##")&amp;"+"&amp;TEXT(INDEX(ERP資料!$G:$G, (MATCH(129, 輔助計算!$G$2:$G$801, 0)+1)),"0.##"))))&amp;"-1")&lt;&gt;""),"  ","")&amp;IF(MOD(INDEX(輔助計算!$D:$D, (MATCH(129, 輔助計算!$G$2:$G$801, 0)+1)),IF(INDEX(ERP資料!$G:$G, (MATCH(129, 輔助計算!$G$2:$G$801, 0)+1))&lt;100, IF(INDEX(ERP資料!$G:$G, (MATCH(129, 輔助計算!$G$2:$G$801, 0)+1))&lt;=31,3,IF(INDEX(ERP資料!$G:$G, (MATCH(129, 輔助計算!$G$2:$G$801, 0)+1))&lt;=46.5,2,1)), IF(INDEX(ERP資料!$G:$G, (MATCH(129, 輔助計算!$G$2:$G$801, 0)+1))&lt;=790,3,IF(INDEX(ERP資料!$G:$G, (MATCH(129, 輔助計算!$G$2:$G$801, 0)+1))&lt;=1181,2,1))))=0,"",IF(MOD(INDEX(輔助計算!$D:$D, (MATCH(129, 輔助計算!$G$2:$G$801, 0)+1)),IF(INDEX(ERP資料!$G:$G, (MATCH(129, 輔助計算!$G$2:$G$801, 0)+1))&lt;100, IF(INDEX(ERP資料!$G:$G, (MATCH(129, 輔助計算!$G$2:$G$801, 0)+1))&lt;=31,3,IF(INDEX(ERP資料!$G:$G, (MATCH(129, 輔助計算!$G$2:$G$801, 0)+1))&lt;=46.5,2,1)), IF(INDEX(ERP資料!$G:$G, (MATCH(129, 輔助計算!$G$2:$G$801, 0)+1))&lt;=790,3,IF(INDEX(ERP資料!$G:$G, (MATCH(129, 輔助計算!$G$2:$G$801, 0)+1))&lt;=1181,2,1))))=0,"",IF(MOD(INDEX(輔助計算!$D:$D, (MATCH(129, 輔助計算!$G$2:$G$801, 0)+1)),IF(INDEX(ERP資料!$G:$G, (MATCH(129, 輔助計算!$G$2:$G$801, 0)+1))&lt;100, IF(INDEX(ERP資料!$G:$G, (MATCH(129, 輔助計算!$G$2:$G$801, 0)+1))&lt;=31,3,IF(INDEX(ERP資料!$G:$G, (MATCH(129, 輔助計算!$G$2:$G$801, 0)+1))&lt;=46.5,2,1)), IF(INDEX(ERP資料!$G:$G, (MATCH(129, 輔助計算!$G$2:$G$801, 0)+1))&lt;=790,3,IF(INDEX(ERP資料!$G:$G, (MATCH(129, 輔助計算!$G$2:$G$801, 0)+1))&lt;=1181,2,1))))=1,TEXT(INDEX(ERP資料!$G:$G, (MATCH(129, 輔助計算!$G$2:$G$801, 0)+1)),"0.##"),IF(MOD(INDEX(輔助計算!$D:$D, (MATCH(129, 輔助計算!$G$2:$G$801, 0)+1)),IF(INDEX(ERP資料!$G:$G, (MATCH(129, 輔助計算!$G$2:$G$801, 0)+1))&lt;100, IF(INDEX(ERP資料!$G:$G, (MATCH(129, 輔助計算!$G$2:$G$801, 0)+1))&lt;=31,3,IF(INDEX(ERP資料!$G:$G, (MATCH(129, 輔助計算!$G$2:$G$801, 0)+1))&lt;=46.5,2,1)), IF(INDEX(ERP資料!$G:$G, (MATCH(129, 輔助計算!$G$2:$G$801, 0)+1))&lt;=790,3,IF(INDEX(ERP資料!$G:$G, (MATCH(129, 輔助計算!$G$2:$G$801, 0)+1))&lt;=1181,2,1))))=2,TEXT(INDEX(ERP資料!$G:$G, (MATCH(129, 輔助計算!$G$2:$G$801, 0)+1)),"0.##")&amp;"+"&amp;TEXT(INDEX(ERP資料!$G:$G, (MATCH(129, 輔助計算!$G$2:$G$801, 0)+1)),"0.##"),TEXT(INDEX(ERP資料!$G:$G, (MATCH(129, 輔助計算!$G$2:$G$801, 0)+1)),"0.##")&amp;"+"&amp;TEXT(INDEX(ERP資料!$G:$G, (MATCH(129, 輔助計算!$G$2:$G$801, 0)+1)),"0.##")&amp;"+"&amp;TEXT(INDEX(ERP資料!$G:$G, (MATCH(129, 輔助計算!$G$2:$G$801, 0)+1)),"0.##"))))&amp;"-1")), ""), "")</f>
        <v/>
      </c>
      <c r="K130" s="16" t="n"/>
      <c r="L130" s="14">
        <f>IFERROR(IF(AND(IFERROR(INDEX(ERP資料!$A:$A, (MATCH(129, 輔助計算!$G$2:$G$801, 0)+1)), "")&lt;&gt;"", IFERROR(INDEX(ERP資料!$A:$A, (MATCH(129, 輔助計算!$G$2:$G$801, 0)+1)), "")&lt;&gt;IFERROR(INDEX(ERP資料!$A:$A, MATCH(128, 輔助計算!$G$2:$G$801, 0)+1), "")), INDEX(ERP資料!$B:$B, (MATCH(129, 輔助計算!$G$2:$G$801, 0)+1)), ""), "")</f>
        <v/>
      </c>
      <c r="M130" s="17" t="n"/>
    </row>
    <row r="131">
      <c r="A131" s="10">
        <f>IFERROR(IF(AND(IFERROR(INDEX(ERP資料!$A:$A, (MATCH(130, 輔助計算!$G$2:$G$801, 0)+1)), "")&lt;&gt;"", IFERROR(INDEX(ERP資料!$A:$A, (MATCH(130, 輔助計算!$G$2:$G$801, 0)+1)), "")&lt;&gt;IFERROR(INDEX(ERP資料!$A:$A, MATCH(129, 輔助計算!$G$2:$G$801, 0)+1), "")), IFERROR(INDEX(ERP資料!$A:$A, (MATCH(130, 輔助計算!$G$2:$G$801, 0)+1)), ""), ""), "")</f>
        <v/>
      </c>
      <c r="B131" s="10">
        <f>IFERROR(IF(AND(IFERROR(INDEX(ERP資料!$A:$A, (MATCH(130, 輔助計算!$G$2:$G$801, 0)+1)), "")&lt;&gt;"", IFERROR(INDEX(ERP資料!$A:$A, (MATCH(130, 輔助計算!$G$2:$G$801, 0)+1)), "")&lt;&gt;IFERROR(INDEX(ERP資料!$A:$A, MATCH(129, 輔助計算!$G$2:$G$801, 0)+1), "")), INDEX(ERP資料!$S:$S, (MATCH(130, 輔助計算!$G$2:$G$801, 0)+1)), ""), "")</f>
        <v/>
      </c>
      <c r="C131" s="19">
        <f>IFERROR(IF(AND(IFERROR(INDEX(ERP資料!$A:$A, (MATCH(130, 輔助計算!$G$2:$G$801, 0)+1)), "")&lt;&gt;"", IFERROR(INDEX(ERP資料!$A:$A, (MATCH(130, 輔助計算!$G$2:$G$801, 0)+1)), "")&lt;&gt;IFERROR(INDEX(ERP資料!$A:$A, MATCH(129, 輔助計算!$G$2:$G$801, 0)+1), "")), IFERROR(VLOOKUP(LEFT(INDEX(ERP資料!$S:$S, (MATCH(130, 輔助計算!$G$2:$G$801, 0)+1)), 4), 紙管對照表!$A:$C, 3, FALSE), ""), ""), "")</f>
        <v/>
      </c>
      <c r="D131" s="16" t="n"/>
      <c r="E131" s="10">
        <f>IFERROR(IF(INDEX(ERP資料!$H:$H, (MATCH(130, 輔助計算!$G$2:$G$801, 0)+1))="","",INDEX(ERP資料!$H:$H, (MATCH(130, 輔助計算!$G$2:$G$801, 0)+1))), "")</f>
        <v/>
      </c>
      <c r="F131" s="10">
        <f>IFERROR(IF(INDEX(ERP資料!$E:$E, (MATCH(130, 輔助計算!$G$2:$G$801, 0)+1))="","",TRIM(INDEX(ERP資料!$E:$E, (MATCH(130, 輔助計算!$G$2:$G$801, 0)+1)))), "")</f>
        <v/>
      </c>
      <c r="G131" s="10">
        <f>IFERROR(IF(INDEX(ERP資料!$F:$F, (MATCH(130, 輔助計算!$G$2:$G$801, 0)+1))="","",INDEX(ERP資料!$F:$F, (MATCH(130, 輔助計算!$G$2:$G$801, 0)+1))), "")</f>
        <v/>
      </c>
      <c r="H131" s="10">
        <f>IFERROR(IF(INDEX(ERP資料!$G:$G, (MATCH(130, 輔助計算!$G$2:$G$801, 0)+1))="","",INDEX(ERP資料!$G:$G, (MATCH(130, 輔助計算!$G$2:$G$801, 0)+1))), "")</f>
        <v/>
      </c>
      <c r="I131" s="15">
        <f>IFERROR(INDEX(輔助計算!$D:$D, (MATCH(130, 輔助計算!$G$2:$G$801, 0)+1)), "")</f>
        <v/>
      </c>
      <c r="J131" s="15">
        <f>IFERROR(IF(AND(INDEX(輔助計算!$D:$D, (MATCH(130, 輔助計算!$G$2:$G$801, 0)+1))&lt;&gt;"", INDEX(ERP資料!$G:$G, (MATCH(130, 輔助計算!$G$2:$G$801, 0)+1))&lt;&gt;""), TRIM(IF(INT(INDEX(輔助計算!$D:$D, (MATCH(130, 輔助計算!$G$2:$G$801, 0)+1))/IF(INDEX(ERP資料!$G:$G, (MATCH(130, 輔助計算!$G$2:$G$801, 0)+1))&lt;100, IF(INDEX(ERP資料!$G:$G, (MATCH(130, 輔助計算!$G$2:$G$801, 0)+1))&lt;=31,3,IF(INDEX(ERP資料!$G:$G, (MATCH(130, 輔助計算!$G$2:$G$801, 0)+1))&lt;=46.5,2,1)), IF(INDEX(ERP資料!$G:$G, (MATCH(130, 輔助計算!$G$2:$G$801, 0)+1))&lt;=790,3,IF(INDEX(ERP資料!$G:$G, (MATCH(130, 輔助計算!$G$2:$G$801, 0)+1))&lt;=1181,2,1))))&gt;0, IF(IF(INDEX(ERP資料!$G:$G, (MATCH(130, 輔助計算!$G$2:$G$801, 0)+1))&lt;100, IF(INDEX(ERP資料!$G:$G, (MATCH(130, 輔助計算!$G$2:$G$801, 0)+1))&lt;=31,3,IF(INDEX(ERP資料!$G:$G, (MATCH(130, 輔助計算!$G$2:$G$801, 0)+1))&lt;=46.5,2,1)), IF(INDEX(ERP資料!$G:$G, (MATCH(130, 輔助計算!$G$2:$G$801, 0)+1))&lt;=790,3,IF(INDEX(ERP資料!$G:$G, (MATCH(130, 輔助計算!$G$2:$G$801, 0)+1))&lt;=1181,2,1)))=1,TEXT(INDEX(ERP資料!$G:$G, (MATCH(130, 輔助計算!$G$2:$G$801, 0)+1)),"0.##"),IF(IF(INDEX(ERP資料!$G:$G, (MATCH(130, 輔助計算!$G$2:$G$801, 0)+1))&lt;100, IF(INDEX(ERP資料!$G:$G, (MATCH(130, 輔助計算!$G$2:$G$801, 0)+1))&lt;=31,3,IF(INDEX(ERP資料!$G:$G, (MATCH(130, 輔助計算!$G$2:$G$801, 0)+1))&lt;=46.5,2,1)), IF(INDEX(ERP資料!$G:$G, (MATCH(130, 輔助計算!$G$2:$G$801, 0)+1))&lt;=790,3,IF(INDEX(ERP資料!$G:$G, (MATCH(130, 輔助計算!$G$2:$G$801, 0)+1))&lt;=1181,2,1)))=2,TEXT(INDEX(ERP資料!$G:$G, (MATCH(130, 輔助計算!$G$2:$G$801, 0)+1)),"0.##")&amp;"+"&amp;TEXT(INDEX(ERP資料!$G:$G, (MATCH(130, 輔助計算!$G$2:$G$801, 0)+1)),"0.##"),TEXT(INDEX(ERP資料!$G:$G, (MATCH(130, 輔助計算!$G$2:$G$801, 0)+1)),"0.##")&amp;"+"&amp;TEXT(INDEX(ERP資料!$G:$G, (MATCH(130, 輔助計算!$G$2:$G$801, 0)+1)),"0.##")&amp;"+"&amp;TEXT(INDEX(ERP資料!$G:$G, (MATCH(130, 輔助計算!$G$2:$G$801, 0)+1)),"0.##")))&amp;"-"&amp;INT(INDEX(輔助計算!$D:$D, (MATCH(130, 輔助計算!$G$2:$G$801, 0)+1))/IF(INDEX(ERP資料!$G:$G, (MATCH(130, 輔助計算!$G$2:$G$801, 0)+1))&lt;100, IF(INDEX(ERP資料!$G:$G, (MATCH(130, 輔助計算!$G$2:$G$801, 0)+1))&lt;=31,3,IF(INDEX(ERP資料!$G:$G, (MATCH(130, 輔助計算!$G$2:$G$801, 0)+1))&lt;=46.5,2,1)), IF(INDEX(ERP資料!$G:$G, (MATCH(130, 輔助計算!$G$2:$G$801, 0)+1))&lt;=790,3,IF(INDEX(ERP資料!$G:$G, (MATCH(130, 輔助計算!$G$2:$G$801, 0)+1))&lt;=1181,2,1)))), "")&amp;IF(AND(IF(INT(INDEX(輔助計算!$D:$D, (MATCH(130, 輔助計算!$G$2:$G$801, 0)+1))/IF(INDEX(ERP資料!$G:$G, (MATCH(130, 輔助計算!$G$2:$G$801, 0)+1))&lt;100, IF(INDEX(ERP資料!$G:$G, (MATCH(130, 輔助計算!$G$2:$G$801, 0)+1))&lt;=31,3,IF(INDEX(ERP資料!$G:$G, (MATCH(130, 輔助計算!$G$2:$G$801, 0)+1))&lt;=46.5,2,1)), IF(INDEX(ERP資料!$G:$G, (MATCH(130, 輔助計算!$G$2:$G$801, 0)+1))&lt;=790,3,IF(INDEX(ERP資料!$G:$G, (MATCH(130, 輔助計算!$G$2:$G$801, 0)+1))&lt;=1181,2,1))))&gt;0, IF(IF(INDEX(ERP資料!$G:$G, (MATCH(130, 輔助計算!$G$2:$G$801, 0)+1))&lt;100, IF(INDEX(ERP資料!$G:$G, (MATCH(130, 輔助計算!$G$2:$G$801, 0)+1))&lt;=31,3,IF(INDEX(ERP資料!$G:$G, (MATCH(130, 輔助計算!$G$2:$G$801, 0)+1))&lt;=46.5,2,1)), IF(INDEX(ERP資料!$G:$G, (MATCH(130, 輔助計算!$G$2:$G$801, 0)+1))&lt;=790,3,IF(INDEX(ERP資料!$G:$G, (MATCH(130, 輔助計算!$G$2:$G$801, 0)+1))&lt;=1181,2,1)))=1,TEXT(INDEX(ERP資料!$G:$G, (MATCH(130, 輔助計算!$G$2:$G$801, 0)+1)),"0.##"),IF(IF(INDEX(ERP資料!$G:$G, (MATCH(130, 輔助計算!$G$2:$G$801, 0)+1))&lt;100, IF(INDEX(ERP資料!$G:$G, (MATCH(130, 輔助計算!$G$2:$G$801, 0)+1))&lt;=31,3,IF(INDEX(ERP資料!$G:$G, (MATCH(130, 輔助計算!$G$2:$G$801, 0)+1))&lt;=46.5,2,1)), IF(INDEX(ERP資料!$G:$G, (MATCH(130, 輔助計算!$G$2:$G$801, 0)+1))&lt;=790,3,IF(INDEX(ERP資料!$G:$G, (MATCH(130, 輔助計算!$G$2:$G$801, 0)+1))&lt;=1181,2,1)))=2,TEXT(INDEX(ERP資料!$G:$G, (MATCH(130, 輔助計算!$G$2:$G$801, 0)+1)),"0.##")&amp;"+"&amp;TEXT(INDEX(ERP資料!$G:$G, (MATCH(130, 輔助計算!$G$2:$G$801, 0)+1)),"0.##"),TEXT(INDEX(ERP資料!$G:$G, (MATCH(130, 輔助計算!$G$2:$G$801, 0)+1)),"0.##")&amp;"+"&amp;TEXT(INDEX(ERP資料!$G:$G, (MATCH(130, 輔助計算!$G$2:$G$801, 0)+1)),"0.##")&amp;"+"&amp;TEXT(INDEX(ERP資料!$G:$G, (MATCH(130, 輔助計算!$G$2:$G$801, 0)+1)),"0.##")))&amp;"-"&amp;INT(INDEX(輔助計算!$D:$D, (MATCH(130, 輔助計算!$G$2:$G$801, 0)+1))/IF(INDEX(ERP資料!$G:$G, (MATCH(130, 輔助計算!$G$2:$G$801, 0)+1))&lt;100, IF(INDEX(ERP資料!$G:$G, (MATCH(130, 輔助計算!$G$2:$G$801, 0)+1))&lt;=31,3,IF(INDEX(ERP資料!$G:$G, (MATCH(130, 輔助計算!$G$2:$G$801, 0)+1))&lt;=46.5,2,1)), IF(INDEX(ERP資料!$G:$G, (MATCH(130, 輔助計算!$G$2:$G$801, 0)+1))&lt;=790,3,IF(INDEX(ERP資料!$G:$G, (MATCH(130, 輔助計算!$G$2:$G$801, 0)+1))&lt;=1181,2,1)))), "")&lt;&gt;"",IF(MOD(INDEX(輔助計算!$D:$D, (MATCH(130, 輔助計算!$G$2:$G$801, 0)+1)),IF(INDEX(ERP資料!$G:$G, (MATCH(130, 輔助計算!$G$2:$G$801, 0)+1))&lt;100, IF(INDEX(ERP資料!$G:$G, (MATCH(130, 輔助計算!$G$2:$G$801, 0)+1))&lt;=31,3,IF(INDEX(ERP資料!$G:$G, (MATCH(130, 輔助計算!$G$2:$G$801, 0)+1))&lt;=46.5,2,1)), IF(INDEX(ERP資料!$G:$G, (MATCH(130, 輔助計算!$G$2:$G$801, 0)+1))&lt;=790,3,IF(INDEX(ERP資料!$G:$G, (MATCH(130, 輔助計算!$G$2:$G$801, 0)+1))&lt;=1181,2,1))))=0,"",IF(MOD(INDEX(輔助計算!$D:$D, (MATCH(130, 輔助計算!$G$2:$G$801, 0)+1)),IF(INDEX(ERP資料!$G:$G, (MATCH(130, 輔助計算!$G$2:$G$801, 0)+1))&lt;100, IF(INDEX(ERP資料!$G:$G, (MATCH(130, 輔助計算!$G$2:$G$801, 0)+1))&lt;=31,3,IF(INDEX(ERP資料!$G:$G, (MATCH(130, 輔助計算!$G$2:$G$801, 0)+1))&lt;=46.5,2,1)), IF(INDEX(ERP資料!$G:$G, (MATCH(130, 輔助計算!$G$2:$G$801, 0)+1))&lt;=790,3,IF(INDEX(ERP資料!$G:$G, (MATCH(130, 輔助計算!$G$2:$G$801, 0)+1))&lt;=1181,2,1))))=0,"",IF(MOD(INDEX(輔助計算!$D:$D, (MATCH(130, 輔助計算!$G$2:$G$801, 0)+1)),IF(INDEX(ERP資料!$G:$G, (MATCH(130, 輔助計算!$G$2:$G$801, 0)+1))&lt;100, IF(INDEX(ERP資料!$G:$G, (MATCH(130, 輔助計算!$G$2:$G$801, 0)+1))&lt;=31,3,IF(INDEX(ERP資料!$G:$G, (MATCH(130, 輔助計算!$G$2:$G$801, 0)+1))&lt;=46.5,2,1)), IF(INDEX(ERP資料!$G:$G, (MATCH(130, 輔助計算!$G$2:$G$801, 0)+1))&lt;=790,3,IF(INDEX(ERP資料!$G:$G, (MATCH(130, 輔助計算!$G$2:$G$801, 0)+1))&lt;=1181,2,1))))=1,TEXT(INDEX(ERP資料!$G:$G, (MATCH(130, 輔助計算!$G$2:$G$801, 0)+1)),"0.##"),IF(MOD(INDEX(輔助計算!$D:$D, (MATCH(130, 輔助計算!$G$2:$G$801, 0)+1)),IF(INDEX(ERP資料!$G:$G, (MATCH(130, 輔助計算!$G$2:$G$801, 0)+1))&lt;100, IF(INDEX(ERP資料!$G:$G, (MATCH(130, 輔助計算!$G$2:$G$801, 0)+1))&lt;=31,3,IF(INDEX(ERP資料!$G:$G, (MATCH(130, 輔助計算!$G$2:$G$801, 0)+1))&lt;=46.5,2,1)), IF(INDEX(ERP資料!$G:$G, (MATCH(130, 輔助計算!$G$2:$G$801, 0)+1))&lt;=790,3,IF(INDEX(ERP資料!$G:$G, (MATCH(130, 輔助計算!$G$2:$G$801, 0)+1))&lt;=1181,2,1))))=2,TEXT(INDEX(ERP資料!$G:$G, (MATCH(130, 輔助計算!$G$2:$G$801, 0)+1)),"0.##")&amp;"+"&amp;TEXT(INDEX(ERP資料!$G:$G, (MATCH(130, 輔助計算!$G$2:$G$801, 0)+1)),"0.##"),TEXT(INDEX(ERP資料!$G:$G, (MATCH(130, 輔助計算!$G$2:$G$801, 0)+1)),"0.##")&amp;"+"&amp;TEXT(INDEX(ERP資料!$G:$G, (MATCH(130, 輔助計算!$G$2:$G$801, 0)+1)),"0.##")&amp;"+"&amp;TEXT(INDEX(ERP資料!$G:$G, (MATCH(130, 輔助計算!$G$2:$G$801, 0)+1)),"0.##"))))&amp;"-1")&lt;&gt;""),"  ","")&amp;IF(MOD(INDEX(輔助計算!$D:$D, (MATCH(130, 輔助計算!$G$2:$G$801, 0)+1)),IF(INDEX(ERP資料!$G:$G, (MATCH(130, 輔助計算!$G$2:$G$801, 0)+1))&lt;100, IF(INDEX(ERP資料!$G:$G, (MATCH(130, 輔助計算!$G$2:$G$801, 0)+1))&lt;=31,3,IF(INDEX(ERP資料!$G:$G, (MATCH(130, 輔助計算!$G$2:$G$801, 0)+1))&lt;=46.5,2,1)), IF(INDEX(ERP資料!$G:$G, (MATCH(130, 輔助計算!$G$2:$G$801, 0)+1))&lt;=790,3,IF(INDEX(ERP資料!$G:$G, (MATCH(130, 輔助計算!$G$2:$G$801, 0)+1))&lt;=1181,2,1))))=0,"",IF(MOD(INDEX(輔助計算!$D:$D, (MATCH(130, 輔助計算!$G$2:$G$801, 0)+1)),IF(INDEX(ERP資料!$G:$G, (MATCH(130, 輔助計算!$G$2:$G$801, 0)+1))&lt;100, IF(INDEX(ERP資料!$G:$G, (MATCH(130, 輔助計算!$G$2:$G$801, 0)+1))&lt;=31,3,IF(INDEX(ERP資料!$G:$G, (MATCH(130, 輔助計算!$G$2:$G$801, 0)+1))&lt;=46.5,2,1)), IF(INDEX(ERP資料!$G:$G, (MATCH(130, 輔助計算!$G$2:$G$801, 0)+1))&lt;=790,3,IF(INDEX(ERP資料!$G:$G, (MATCH(130, 輔助計算!$G$2:$G$801, 0)+1))&lt;=1181,2,1))))=0,"",IF(MOD(INDEX(輔助計算!$D:$D, (MATCH(130, 輔助計算!$G$2:$G$801, 0)+1)),IF(INDEX(ERP資料!$G:$G, (MATCH(130, 輔助計算!$G$2:$G$801, 0)+1))&lt;100, IF(INDEX(ERP資料!$G:$G, (MATCH(130, 輔助計算!$G$2:$G$801, 0)+1))&lt;=31,3,IF(INDEX(ERP資料!$G:$G, (MATCH(130, 輔助計算!$G$2:$G$801, 0)+1))&lt;=46.5,2,1)), IF(INDEX(ERP資料!$G:$G, (MATCH(130, 輔助計算!$G$2:$G$801, 0)+1))&lt;=790,3,IF(INDEX(ERP資料!$G:$G, (MATCH(130, 輔助計算!$G$2:$G$801, 0)+1))&lt;=1181,2,1))))=1,TEXT(INDEX(ERP資料!$G:$G, (MATCH(130, 輔助計算!$G$2:$G$801, 0)+1)),"0.##"),IF(MOD(INDEX(輔助計算!$D:$D, (MATCH(130, 輔助計算!$G$2:$G$801, 0)+1)),IF(INDEX(ERP資料!$G:$G, (MATCH(130, 輔助計算!$G$2:$G$801, 0)+1))&lt;100, IF(INDEX(ERP資料!$G:$G, (MATCH(130, 輔助計算!$G$2:$G$801, 0)+1))&lt;=31,3,IF(INDEX(ERP資料!$G:$G, (MATCH(130, 輔助計算!$G$2:$G$801, 0)+1))&lt;=46.5,2,1)), IF(INDEX(ERP資料!$G:$G, (MATCH(130, 輔助計算!$G$2:$G$801, 0)+1))&lt;=790,3,IF(INDEX(ERP資料!$G:$G, (MATCH(130, 輔助計算!$G$2:$G$801, 0)+1))&lt;=1181,2,1))))=2,TEXT(INDEX(ERP資料!$G:$G, (MATCH(130, 輔助計算!$G$2:$G$801, 0)+1)),"0.##")&amp;"+"&amp;TEXT(INDEX(ERP資料!$G:$G, (MATCH(130, 輔助計算!$G$2:$G$801, 0)+1)),"0.##"),TEXT(INDEX(ERP資料!$G:$G, (MATCH(130, 輔助計算!$G$2:$G$801, 0)+1)),"0.##")&amp;"+"&amp;TEXT(INDEX(ERP資料!$G:$G, (MATCH(130, 輔助計算!$G$2:$G$801, 0)+1)),"0.##")&amp;"+"&amp;TEXT(INDEX(ERP資料!$G:$G, (MATCH(130, 輔助計算!$G$2:$G$801, 0)+1)),"0.##"))))&amp;"-1")), ""), "")</f>
        <v/>
      </c>
      <c r="K131" s="16" t="n"/>
      <c r="L131" s="14">
        <f>IFERROR(IF(AND(IFERROR(INDEX(ERP資料!$A:$A, (MATCH(130, 輔助計算!$G$2:$G$801, 0)+1)), "")&lt;&gt;"", IFERROR(INDEX(ERP資料!$A:$A, (MATCH(130, 輔助計算!$G$2:$G$801, 0)+1)), "")&lt;&gt;IFERROR(INDEX(ERP資料!$A:$A, MATCH(129, 輔助計算!$G$2:$G$801, 0)+1), "")), INDEX(ERP資料!$B:$B, (MATCH(130, 輔助計算!$G$2:$G$801, 0)+1)), ""), "")</f>
        <v/>
      </c>
      <c r="M131" s="17" t="n"/>
    </row>
    <row r="132">
      <c r="A132" s="10">
        <f>IFERROR(IF(AND(IFERROR(INDEX(ERP資料!$A:$A, (MATCH(131, 輔助計算!$G$2:$G$801, 0)+1)), "")&lt;&gt;"", IFERROR(INDEX(ERP資料!$A:$A, (MATCH(131, 輔助計算!$G$2:$G$801, 0)+1)), "")&lt;&gt;IFERROR(INDEX(ERP資料!$A:$A, MATCH(130, 輔助計算!$G$2:$G$801, 0)+1), "")), IFERROR(INDEX(ERP資料!$A:$A, (MATCH(131, 輔助計算!$G$2:$G$801, 0)+1)), ""), ""), "")</f>
        <v/>
      </c>
      <c r="B132" s="10">
        <f>IFERROR(IF(AND(IFERROR(INDEX(ERP資料!$A:$A, (MATCH(131, 輔助計算!$G$2:$G$801, 0)+1)), "")&lt;&gt;"", IFERROR(INDEX(ERP資料!$A:$A, (MATCH(131, 輔助計算!$G$2:$G$801, 0)+1)), "")&lt;&gt;IFERROR(INDEX(ERP資料!$A:$A, MATCH(130, 輔助計算!$G$2:$G$801, 0)+1), "")), INDEX(ERP資料!$S:$S, (MATCH(131, 輔助計算!$G$2:$G$801, 0)+1)), ""), "")</f>
        <v/>
      </c>
      <c r="C132" s="19">
        <f>IFERROR(IF(AND(IFERROR(INDEX(ERP資料!$A:$A, (MATCH(131, 輔助計算!$G$2:$G$801, 0)+1)), "")&lt;&gt;"", IFERROR(INDEX(ERP資料!$A:$A, (MATCH(131, 輔助計算!$G$2:$G$801, 0)+1)), "")&lt;&gt;IFERROR(INDEX(ERP資料!$A:$A, MATCH(130, 輔助計算!$G$2:$G$801, 0)+1), "")), IFERROR(VLOOKUP(LEFT(INDEX(ERP資料!$S:$S, (MATCH(131, 輔助計算!$G$2:$G$801, 0)+1)), 4), 紙管對照表!$A:$C, 3, FALSE), ""), ""), "")</f>
        <v/>
      </c>
      <c r="D132" s="16" t="n"/>
      <c r="E132" s="10">
        <f>IFERROR(IF(INDEX(ERP資料!$H:$H, (MATCH(131, 輔助計算!$G$2:$G$801, 0)+1))="","",INDEX(ERP資料!$H:$H, (MATCH(131, 輔助計算!$G$2:$G$801, 0)+1))), "")</f>
        <v/>
      </c>
      <c r="F132" s="10">
        <f>IFERROR(IF(INDEX(ERP資料!$E:$E, (MATCH(131, 輔助計算!$G$2:$G$801, 0)+1))="","",TRIM(INDEX(ERP資料!$E:$E, (MATCH(131, 輔助計算!$G$2:$G$801, 0)+1)))), "")</f>
        <v/>
      </c>
      <c r="G132" s="10">
        <f>IFERROR(IF(INDEX(ERP資料!$F:$F, (MATCH(131, 輔助計算!$G$2:$G$801, 0)+1))="","",INDEX(ERP資料!$F:$F, (MATCH(131, 輔助計算!$G$2:$G$801, 0)+1))), "")</f>
        <v/>
      </c>
      <c r="H132" s="10">
        <f>IFERROR(IF(INDEX(ERP資料!$G:$G, (MATCH(131, 輔助計算!$G$2:$G$801, 0)+1))="","",INDEX(ERP資料!$G:$G, (MATCH(131, 輔助計算!$G$2:$G$801, 0)+1))), "")</f>
        <v/>
      </c>
      <c r="I132" s="15">
        <f>IFERROR(INDEX(輔助計算!$D:$D, (MATCH(131, 輔助計算!$G$2:$G$801, 0)+1)), "")</f>
        <v/>
      </c>
      <c r="J132" s="15">
        <f>IFERROR(IF(AND(INDEX(輔助計算!$D:$D, (MATCH(131, 輔助計算!$G$2:$G$801, 0)+1))&lt;&gt;"", INDEX(ERP資料!$G:$G, (MATCH(131, 輔助計算!$G$2:$G$801, 0)+1))&lt;&gt;""), TRIM(IF(INT(INDEX(輔助計算!$D:$D, (MATCH(131, 輔助計算!$G$2:$G$801, 0)+1))/IF(INDEX(ERP資料!$G:$G, (MATCH(131, 輔助計算!$G$2:$G$801, 0)+1))&lt;100, IF(INDEX(ERP資料!$G:$G, (MATCH(131, 輔助計算!$G$2:$G$801, 0)+1))&lt;=31,3,IF(INDEX(ERP資料!$G:$G, (MATCH(131, 輔助計算!$G$2:$G$801, 0)+1))&lt;=46.5,2,1)), IF(INDEX(ERP資料!$G:$G, (MATCH(131, 輔助計算!$G$2:$G$801, 0)+1))&lt;=790,3,IF(INDEX(ERP資料!$G:$G, (MATCH(131, 輔助計算!$G$2:$G$801, 0)+1))&lt;=1181,2,1))))&gt;0, IF(IF(INDEX(ERP資料!$G:$G, (MATCH(131, 輔助計算!$G$2:$G$801, 0)+1))&lt;100, IF(INDEX(ERP資料!$G:$G, (MATCH(131, 輔助計算!$G$2:$G$801, 0)+1))&lt;=31,3,IF(INDEX(ERP資料!$G:$G, (MATCH(131, 輔助計算!$G$2:$G$801, 0)+1))&lt;=46.5,2,1)), IF(INDEX(ERP資料!$G:$G, (MATCH(131, 輔助計算!$G$2:$G$801, 0)+1))&lt;=790,3,IF(INDEX(ERP資料!$G:$G, (MATCH(131, 輔助計算!$G$2:$G$801, 0)+1))&lt;=1181,2,1)))=1,TEXT(INDEX(ERP資料!$G:$G, (MATCH(131, 輔助計算!$G$2:$G$801, 0)+1)),"0.##"),IF(IF(INDEX(ERP資料!$G:$G, (MATCH(131, 輔助計算!$G$2:$G$801, 0)+1))&lt;100, IF(INDEX(ERP資料!$G:$G, (MATCH(131, 輔助計算!$G$2:$G$801, 0)+1))&lt;=31,3,IF(INDEX(ERP資料!$G:$G, (MATCH(131, 輔助計算!$G$2:$G$801, 0)+1))&lt;=46.5,2,1)), IF(INDEX(ERP資料!$G:$G, (MATCH(131, 輔助計算!$G$2:$G$801, 0)+1))&lt;=790,3,IF(INDEX(ERP資料!$G:$G, (MATCH(131, 輔助計算!$G$2:$G$801, 0)+1))&lt;=1181,2,1)))=2,TEXT(INDEX(ERP資料!$G:$G, (MATCH(131, 輔助計算!$G$2:$G$801, 0)+1)),"0.##")&amp;"+"&amp;TEXT(INDEX(ERP資料!$G:$G, (MATCH(131, 輔助計算!$G$2:$G$801, 0)+1)),"0.##"),TEXT(INDEX(ERP資料!$G:$G, (MATCH(131, 輔助計算!$G$2:$G$801, 0)+1)),"0.##")&amp;"+"&amp;TEXT(INDEX(ERP資料!$G:$G, (MATCH(131, 輔助計算!$G$2:$G$801, 0)+1)),"0.##")&amp;"+"&amp;TEXT(INDEX(ERP資料!$G:$G, (MATCH(131, 輔助計算!$G$2:$G$801, 0)+1)),"0.##")))&amp;"-"&amp;INT(INDEX(輔助計算!$D:$D, (MATCH(131, 輔助計算!$G$2:$G$801, 0)+1))/IF(INDEX(ERP資料!$G:$G, (MATCH(131, 輔助計算!$G$2:$G$801, 0)+1))&lt;100, IF(INDEX(ERP資料!$G:$G, (MATCH(131, 輔助計算!$G$2:$G$801, 0)+1))&lt;=31,3,IF(INDEX(ERP資料!$G:$G, (MATCH(131, 輔助計算!$G$2:$G$801, 0)+1))&lt;=46.5,2,1)), IF(INDEX(ERP資料!$G:$G, (MATCH(131, 輔助計算!$G$2:$G$801, 0)+1))&lt;=790,3,IF(INDEX(ERP資料!$G:$G, (MATCH(131, 輔助計算!$G$2:$G$801, 0)+1))&lt;=1181,2,1)))), "")&amp;IF(AND(IF(INT(INDEX(輔助計算!$D:$D, (MATCH(131, 輔助計算!$G$2:$G$801, 0)+1))/IF(INDEX(ERP資料!$G:$G, (MATCH(131, 輔助計算!$G$2:$G$801, 0)+1))&lt;100, IF(INDEX(ERP資料!$G:$G, (MATCH(131, 輔助計算!$G$2:$G$801, 0)+1))&lt;=31,3,IF(INDEX(ERP資料!$G:$G, (MATCH(131, 輔助計算!$G$2:$G$801, 0)+1))&lt;=46.5,2,1)), IF(INDEX(ERP資料!$G:$G, (MATCH(131, 輔助計算!$G$2:$G$801, 0)+1))&lt;=790,3,IF(INDEX(ERP資料!$G:$G, (MATCH(131, 輔助計算!$G$2:$G$801, 0)+1))&lt;=1181,2,1))))&gt;0, IF(IF(INDEX(ERP資料!$G:$G, (MATCH(131, 輔助計算!$G$2:$G$801, 0)+1))&lt;100, IF(INDEX(ERP資料!$G:$G, (MATCH(131, 輔助計算!$G$2:$G$801, 0)+1))&lt;=31,3,IF(INDEX(ERP資料!$G:$G, (MATCH(131, 輔助計算!$G$2:$G$801, 0)+1))&lt;=46.5,2,1)), IF(INDEX(ERP資料!$G:$G, (MATCH(131, 輔助計算!$G$2:$G$801, 0)+1))&lt;=790,3,IF(INDEX(ERP資料!$G:$G, (MATCH(131, 輔助計算!$G$2:$G$801, 0)+1))&lt;=1181,2,1)))=1,TEXT(INDEX(ERP資料!$G:$G, (MATCH(131, 輔助計算!$G$2:$G$801, 0)+1)),"0.##"),IF(IF(INDEX(ERP資料!$G:$G, (MATCH(131, 輔助計算!$G$2:$G$801, 0)+1))&lt;100, IF(INDEX(ERP資料!$G:$G, (MATCH(131, 輔助計算!$G$2:$G$801, 0)+1))&lt;=31,3,IF(INDEX(ERP資料!$G:$G, (MATCH(131, 輔助計算!$G$2:$G$801, 0)+1))&lt;=46.5,2,1)), IF(INDEX(ERP資料!$G:$G, (MATCH(131, 輔助計算!$G$2:$G$801, 0)+1))&lt;=790,3,IF(INDEX(ERP資料!$G:$G, (MATCH(131, 輔助計算!$G$2:$G$801, 0)+1))&lt;=1181,2,1)))=2,TEXT(INDEX(ERP資料!$G:$G, (MATCH(131, 輔助計算!$G$2:$G$801, 0)+1)),"0.##")&amp;"+"&amp;TEXT(INDEX(ERP資料!$G:$G, (MATCH(131, 輔助計算!$G$2:$G$801, 0)+1)),"0.##"),TEXT(INDEX(ERP資料!$G:$G, (MATCH(131, 輔助計算!$G$2:$G$801, 0)+1)),"0.##")&amp;"+"&amp;TEXT(INDEX(ERP資料!$G:$G, (MATCH(131, 輔助計算!$G$2:$G$801, 0)+1)),"0.##")&amp;"+"&amp;TEXT(INDEX(ERP資料!$G:$G, (MATCH(131, 輔助計算!$G$2:$G$801, 0)+1)),"0.##")))&amp;"-"&amp;INT(INDEX(輔助計算!$D:$D, (MATCH(131, 輔助計算!$G$2:$G$801, 0)+1))/IF(INDEX(ERP資料!$G:$G, (MATCH(131, 輔助計算!$G$2:$G$801, 0)+1))&lt;100, IF(INDEX(ERP資料!$G:$G, (MATCH(131, 輔助計算!$G$2:$G$801, 0)+1))&lt;=31,3,IF(INDEX(ERP資料!$G:$G, (MATCH(131, 輔助計算!$G$2:$G$801, 0)+1))&lt;=46.5,2,1)), IF(INDEX(ERP資料!$G:$G, (MATCH(131, 輔助計算!$G$2:$G$801, 0)+1))&lt;=790,3,IF(INDEX(ERP資料!$G:$G, (MATCH(131, 輔助計算!$G$2:$G$801, 0)+1))&lt;=1181,2,1)))), "")&lt;&gt;"",IF(MOD(INDEX(輔助計算!$D:$D, (MATCH(131, 輔助計算!$G$2:$G$801, 0)+1)),IF(INDEX(ERP資料!$G:$G, (MATCH(131, 輔助計算!$G$2:$G$801, 0)+1))&lt;100, IF(INDEX(ERP資料!$G:$G, (MATCH(131, 輔助計算!$G$2:$G$801, 0)+1))&lt;=31,3,IF(INDEX(ERP資料!$G:$G, (MATCH(131, 輔助計算!$G$2:$G$801, 0)+1))&lt;=46.5,2,1)), IF(INDEX(ERP資料!$G:$G, (MATCH(131, 輔助計算!$G$2:$G$801, 0)+1))&lt;=790,3,IF(INDEX(ERP資料!$G:$G, (MATCH(131, 輔助計算!$G$2:$G$801, 0)+1))&lt;=1181,2,1))))=0,"",IF(MOD(INDEX(輔助計算!$D:$D, (MATCH(131, 輔助計算!$G$2:$G$801, 0)+1)),IF(INDEX(ERP資料!$G:$G, (MATCH(131, 輔助計算!$G$2:$G$801, 0)+1))&lt;100, IF(INDEX(ERP資料!$G:$G, (MATCH(131, 輔助計算!$G$2:$G$801, 0)+1))&lt;=31,3,IF(INDEX(ERP資料!$G:$G, (MATCH(131, 輔助計算!$G$2:$G$801, 0)+1))&lt;=46.5,2,1)), IF(INDEX(ERP資料!$G:$G, (MATCH(131, 輔助計算!$G$2:$G$801, 0)+1))&lt;=790,3,IF(INDEX(ERP資料!$G:$G, (MATCH(131, 輔助計算!$G$2:$G$801, 0)+1))&lt;=1181,2,1))))=0,"",IF(MOD(INDEX(輔助計算!$D:$D, (MATCH(131, 輔助計算!$G$2:$G$801, 0)+1)),IF(INDEX(ERP資料!$G:$G, (MATCH(131, 輔助計算!$G$2:$G$801, 0)+1))&lt;100, IF(INDEX(ERP資料!$G:$G, (MATCH(131, 輔助計算!$G$2:$G$801, 0)+1))&lt;=31,3,IF(INDEX(ERP資料!$G:$G, (MATCH(131, 輔助計算!$G$2:$G$801, 0)+1))&lt;=46.5,2,1)), IF(INDEX(ERP資料!$G:$G, (MATCH(131, 輔助計算!$G$2:$G$801, 0)+1))&lt;=790,3,IF(INDEX(ERP資料!$G:$G, (MATCH(131, 輔助計算!$G$2:$G$801, 0)+1))&lt;=1181,2,1))))=1,TEXT(INDEX(ERP資料!$G:$G, (MATCH(131, 輔助計算!$G$2:$G$801, 0)+1)),"0.##"),IF(MOD(INDEX(輔助計算!$D:$D, (MATCH(131, 輔助計算!$G$2:$G$801, 0)+1)),IF(INDEX(ERP資料!$G:$G, (MATCH(131, 輔助計算!$G$2:$G$801, 0)+1))&lt;100, IF(INDEX(ERP資料!$G:$G, (MATCH(131, 輔助計算!$G$2:$G$801, 0)+1))&lt;=31,3,IF(INDEX(ERP資料!$G:$G, (MATCH(131, 輔助計算!$G$2:$G$801, 0)+1))&lt;=46.5,2,1)), IF(INDEX(ERP資料!$G:$G, (MATCH(131, 輔助計算!$G$2:$G$801, 0)+1))&lt;=790,3,IF(INDEX(ERP資料!$G:$G, (MATCH(131, 輔助計算!$G$2:$G$801, 0)+1))&lt;=1181,2,1))))=2,TEXT(INDEX(ERP資料!$G:$G, (MATCH(131, 輔助計算!$G$2:$G$801, 0)+1)),"0.##")&amp;"+"&amp;TEXT(INDEX(ERP資料!$G:$G, (MATCH(131, 輔助計算!$G$2:$G$801, 0)+1)),"0.##"),TEXT(INDEX(ERP資料!$G:$G, (MATCH(131, 輔助計算!$G$2:$G$801, 0)+1)),"0.##")&amp;"+"&amp;TEXT(INDEX(ERP資料!$G:$G, (MATCH(131, 輔助計算!$G$2:$G$801, 0)+1)),"0.##")&amp;"+"&amp;TEXT(INDEX(ERP資料!$G:$G, (MATCH(131, 輔助計算!$G$2:$G$801, 0)+1)),"0.##"))))&amp;"-1")&lt;&gt;""),"  ","")&amp;IF(MOD(INDEX(輔助計算!$D:$D, (MATCH(131, 輔助計算!$G$2:$G$801, 0)+1)),IF(INDEX(ERP資料!$G:$G, (MATCH(131, 輔助計算!$G$2:$G$801, 0)+1))&lt;100, IF(INDEX(ERP資料!$G:$G, (MATCH(131, 輔助計算!$G$2:$G$801, 0)+1))&lt;=31,3,IF(INDEX(ERP資料!$G:$G, (MATCH(131, 輔助計算!$G$2:$G$801, 0)+1))&lt;=46.5,2,1)), IF(INDEX(ERP資料!$G:$G, (MATCH(131, 輔助計算!$G$2:$G$801, 0)+1))&lt;=790,3,IF(INDEX(ERP資料!$G:$G, (MATCH(131, 輔助計算!$G$2:$G$801, 0)+1))&lt;=1181,2,1))))=0,"",IF(MOD(INDEX(輔助計算!$D:$D, (MATCH(131, 輔助計算!$G$2:$G$801, 0)+1)),IF(INDEX(ERP資料!$G:$G, (MATCH(131, 輔助計算!$G$2:$G$801, 0)+1))&lt;100, IF(INDEX(ERP資料!$G:$G, (MATCH(131, 輔助計算!$G$2:$G$801, 0)+1))&lt;=31,3,IF(INDEX(ERP資料!$G:$G, (MATCH(131, 輔助計算!$G$2:$G$801, 0)+1))&lt;=46.5,2,1)), IF(INDEX(ERP資料!$G:$G, (MATCH(131, 輔助計算!$G$2:$G$801, 0)+1))&lt;=790,3,IF(INDEX(ERP資料!$G:$G, (MATCH(131, 輔助計算!$G$2:$G$801, 0)+1))&lt;=1181,2,1))))=0,"",IF(MOD(INDEX(輔助計算!$D:$D, (MATCH(131, 輔助計算!$G$2:$G$801, 0)+1)),IF(INDEX(ERP資料!$G:$G, (MATCH(131, 輔助計算!$G$2:$G$801, 0)+1))&lt;100, IF(INDEX(ERP資料!$G:$G, (MATCH(131, 輔助計算!$G$2:$G$801, 0)+1))&lt;=31,3,IF(INDEX(ERP資料!$G:$G, (MATCH(131, 輔助計算!$G$2:$G$801, 0)+1))&lt;=46.5,2,1)), IF(INDEX(ERP資料!$G:$G, (MATCH(131, 輔助計算!$G$2:$G$801, 0)+1))&lt;=790,3,IF(INDEX(ERP資料!$G:$G, (MATCH(131, 輔助計算!$G$2:$G$801, 0)+1))&lt;=1181,2,1))))=1,TEXT(INDEX(ERP資料!$G:$G, (MATCH(131, 輔助計算!$G$2:$G$801, 0)+1)),"0.##"),IF(MOD(INDEX(輔助計算!$D:$D, (MATCH(131, 輔助計算!$G$2:$G$801, 0)+1)),IF(INDEX(ERP資料!$G:$G, (MATCH(131, 輔助計算!$G$2:$G$801, 0)+1))&lt;100, IF(INDEX(ERP資料!$G:$G, (MATCH(131, 輔助計算!$G$2:$G$801, 0)+1))&lt;=31,3,IF(INDEX(ERP資料!$G:$G, (MATCH(131, 輔助計算!$G$2:$G$801, 0)+1))&lt;=46.5,2,1)), IF(INDEX(ERP資料!$G:$G, (MATCH(131, 輔助計算!$G$2:$G$801, 0)+1))&lt;=790,3,IF(INDEX(ERP資料!$G:$G, (MATCH(131, 輔助計算!$G$2:$G$801, 0)+1))&lt;=1181,2,1))))=2,TEXT(INDEX(ERP資料!$G:$G, (MATCH(131, 輔助計算!$G$2:$G$801, 0)+1)),"0.##")&amp;"+"&amp;TEXT(INDEX(ERP資料!$G:$G, (MATCH(131, 輔助計算!$G$2:$G$801, 0)+1)),"0.##"),TEXT(INDEX(ERP資料!$G:$G, (MATCH(131, 輔助計算!$G$2:$G$801, 0)+1)),"0.##")&amp;"+"&amp;TEXT(INDEX(ERP資料!$G:$G, (MATCH(131, 輔助計算!$G$2:$G$801, 0)+1)),"0.##")&amp;"+"&amp;TEXT(INDEX(ERP資料!$G:$G, (MATCH(131, 輔助計算!$G$2:$G$801, 0)+1)),"0.##"))))&amp;"-1")), ""), "")</f>
        <v/>
      </c>
      <c r="K132" s="16" t="n"/>
      <c r="L132" s="14">
        <f>IFERROR(IF(AND(IFERROR(INDEX(ERP資料!$A:$A, (MATCH(131, 輔助計算!$G$2:$G$801, 0)+1)), "")&lt;&gt;"", IFERROR(INDEX(ERP資料!$A:$A, (MATCH(131, 輔助計算!$G$2:$G$801, 0)+1)), "")&lt;&gt;IFERROR(INDEX(ERP資料!$A:$A, MATCH(130, 輔助計算!$G$2:$G$801, 0)+1), "")), INDEX(ERP資料!$B:$B, (MATCH(131, 輔助計算!$G$2:$G$801, 0)+1)), ""), "")</f>
        <v/>
      </c>
      <c r="M132" s="17" t="n"/>
    </row>
    <row r="133">
      <c r="A133" s="10">
        <f>IFERROR(IF(AND(IFERROR(INDEX(ERP資料!$A:$A, (MATCH(132, 輔助計算!$G$2:$G$801, 0)+1)), "")&lt;&gt;"", IFERROR(INDEX(ERP資料!$A:$A, (MATCH(132, 輔助計算!$G$2:$G$801, 0)+1)), "")&lt;&gt;IFERROR(INDEX(ERP資料!$A:$A, MATCH(131, 輔助計算!$G$2:$G$801, 0)+1), "")), IFERROR(INDEX(ERP資料!$A:$A, (MATCH(132, 輔助計算!$G$2:$G$801, 0)+1)), ""), ""), "")</f>
        <v/>
      </c>
      <c r="B133" s="10">
        <f>IFERROR(IF(AND(IFERROR(INDEX(ERP資料!$A:$A, (MATCH(132, 輔助計算!$G$2:$G$801, 0)+1)), "")&lt;&gt;"", IFERROR(INDEX(ERP資料!$A:$A, (MATCH(132, 輔助計算!$G$2:$G$801, 0)+1)), "")&lt;&gt;IFERROR(INDEX(ERP資料!$A:$A, MATCH(131, 輔助計算!$G$2:$G$801, 0)+1), "")), INDEX(ERP資料!$S:$S, (MATCH(132, 輔助計算!$G$2:$G$801, 0)+1)), ""), "")</f>
        <v/>
      </c>
      <c r="C133" s="19">
        <f>IFERROR(IF(AND(IFERROR(INDEX(ERP資料!$A:$A, (MATCH(132, 輔助計算!$G$2:$G$801, 0)+1)), "")&lt;&gt;"", IFERROR(INDEX(ERP資料!$A:$A, (MATCH(132, 輔助計算!$G$2:$G$801, 0)+1)), "")&lt;&gt;IFERROR(INDEX(ERP資料!$A:$A, MATCH(131, 輔助計算!$G$2:$G$801, 0)+1), "")), IFERROR(VLOOKUP(LEFT(INDEX(ERP資料!$S:$S, (MATCH(132, 輔助計算!$G$2:$G$801, 0)+1)), 4), 紙管對照表!$A:$C, 3, FALSE), ""), ""), "")</f>
        <v/>
      </c>
      <c r="D133" s="16" t="n"/>
      <c r="E133" s="10">
        <f>IFERROR(IF(INDEX(ERP資料!$H:$H, (MATCH(132, 輔助計算!$G$2:$G$801, 0)+1))="","",INDEX(ERP資料!$H:$H, (MATCH(132, 輔助計算!$G$2:$G$801, 0)+1))), "")</f>
        <v/>
      </c>
      <c r="F133" s="10">
        <f>IFERROR(IF(INDEX(ERP資料!$E:$E, (MATCH(132, 輔助計算!$G$2:$G$801, 0)+1))="","",TRIM(INDEX(ERP資料!$E:$E, (MATCH(132, 輔助計算!$G$2:$G$801, 0)+1)))), "")</f>
        <v/>
      </c>
      <c r="G133" s="10">
        <f>IFERROR(IF(INDEX(ERP資料!$F:$F, (MATCH(132, 輔助計算!$G$2:$G$801, 0)+1))="","",INDEX(ERP資料!$F:$F, (MATCH(132, 輔助計算!$G$2:$G$801, 0)+1))), "")</f>
        <v/>
      </c>
      <c r="H133" s="10">
        <f>IFERROR(IF(INDEX(ERP資料!$G:$G, (MATCH(132, 輔助計算!$G$2:$G$801, 0)+1))="","",INDEX(ERP資料!$G:$G, (MATCH(132, 輔助計算!$G$2:$G$801, 0)+1))), "")</f>
        <v/>
      </c>
      <c r="I133" s="15">
        <f>IFERROR(INDEX(輔助計算!$D:$D, (MATCH(132, 輔助計算!$G$2:$G$801, 0)+1)), "")</f>
        <v/>
      </c>
      <c r="J133" s="15">
        <f>IFERROR(IF(AND(INDEX(輔助計算!$D:$D, (MATCH(132, 輔助計算!$G$2:$G$801, 0)+1))&lt;&gt;"", INDEX(ERP資料!$G:$G, (MATCH(132, 輔助計算!$G$2:$G$801, 0)+1))&lt;&gt;""), TRIM(IF(INT(INDEX(輔助計算!$D:$D, (MATCH(132, 輔助計算!$G$2:$G$801, 0)+1))/IF(INDEX(ERP資料!$G:$G, (MATCH(132, 輔助計算!$G$2:$G$801, 0)+1))&lt;100, IF(INDEX(ERP資料!$G:$G, (MATCH(132, 輔助計算!$G$2:$G$801, 0)+1))&lt;=31,3,IF(INDEX(ERP資料!$G:$G, (MATCH(132, 輔助計算!$G$2:$G$801, 0)+1))&lt;=46.5,2,1)), IF(INDEX(ERP資料!$G:$G, (MATCH(132, 輔助計算!$G$2:$G$801, 0)+1))&lt;=790,3,IF(INDEX(ERP資料!$G:$G, (MATCH(132, 輔助計算!$G$2:$G$801, 0)+1))&lt;=1181,2,1))))&gt;0, IF(IF(INDEX(ERP資料!$G:$G, (MATCH(132, 輔助計算!$G$2:$G$801, 0)+1))&lt;100, IF(INDEX(ERP資料!$G:$G, (MATCH(132, 輔助計算!$G$2:$G$801, 0)+1))&lt;=31,3,IF(INDEX(ERP資料!$G:$G, (MATCH(132, 輔助計算!$G$2:$G$801, 0)+1))&lt;=46.5,2,1)), IF(INDEX(ERP資料!$G:$G, (MATCH(132, 輔助計算!$G$2:$G$801, 0)+1))&lt;=790,3,IF(INDEX(ERP資料!$G:$G, (MATCH(132, 輔助計算!$G$2:$G$801, 0)+1))&lt;=1181,2,1)))=1,TEXT(INDEX(ERP資料!$G:$G, (MATCH(132, 輔助計算!$G$2:$G$801, 0)+1)),"0.##"),IF(IF(INDEX(ERP資料!$G:$G, (MATCH(132, 輔助計算!$G$2:$G$801, 0)+1))&lt;100, IF(INDEX(ERP資料!$G:$G, (MATCH(132, 輔助計算!$G$2:$G$801, 0)+1))&lt;=31,3,IF(INDEX(ERP資料!$G:$G, (MATCH(132, 輔助計算!$G$2:$G$801, 0)+1))&lt;=46.5,2,1)), IF(INDEX(ERP資料!$G:$G, (MATCH(132, 輔助計算!$G$2:$G$801, 0)+1))&lt;=790,3,IF(INDEX(ERP資料!$G:$G, (MATCH(132, 輔助計算!$G$2:$G$801, 0)+1))&lt;=1181,2,1)))=2,TEXT(INDEX(ERP資料!$G:$G, (MATCH(132, 輔助計算!$G$2:$G$801, 0)+1)),"0.##")&amp;"+"&amp;TEXT(INDEX(ERP資料!$G:$G, (MATCH(132, 輔助計算!$G$2:$G$801, 0)+1)),"0.##"),TEXT(INDEX(ERP資料!$G:$G, (MATCH(132, 輔助計算!$G$2:$G$801, 0)+1)),"0.##")&amp;"+"&amp;TEXT(INDEX(ERP資料!$G:$G, (MATCH(132, 輔助計算!$G$2:$G$801, 0)+1)),"0.##")&amp;"+"&amp;TEXT(INDEX(ERP資料!$G:$G, (MATCH(132, 輔助計算!$G$2:$G$801, 0)+1)),"0.##")))&amp;"-"&amp;INT(INDEX(輔助計算!$D:$D, (MATCH(132, 輔助計算!$G$2:$G$801, 0)+1))/IF(INDEX(ERP資料!$G:$G, (MATCH(132, 輔助計算!$G$2:$G$801, 0)+1))&lt;100, IF(INDEX(ERP資料!$G:$G, (MATCH(132, 輔助計算!$G$2:$G$801, 0)+1))&lt;=31,3,IF(INDEX(ERP資料!$G:$G, (MATCH(132, 輔助計算!$G$2:$G$801, 0)+1))&lt;=46.5,2,1)), IF(INDEX(ERP資料!$G:$G, (MATCH(132, 輔助計算!$G$2:$G$801, 0)+1))&lt;=790,3,IF(INDEX(ERP資料!$G:$G, (MATCH(132, 輔助計算!$G$2:$G$801, 0)+1))&lt;=1181,2,1)))), "")&amp;IF(AND(IF(INT(INDEX(輔助計算!$D:$D, (MATCH(132, 輔助計算!$G$2:$G$801, 0)+1))/IF(INDEX(ERP資料!$G:$G, (MATCH(132, 輔助計算!$G$2:$G$801, 0)+1))&lt;100, IF(INDEX(ERP資料!$G:$G, (MATCH(132, 輔助計算!$G$2:$G$801, 0)+1))&lt;=31,3,IF(INDEX(ERP資料!$G:$G, (MATCH(132, 輔助計算!$G$2:$G$801, 0)+1))&lt;=46.5,2,1)), IF(INDEX(ERP資料!$G:$G, (MATCH(132, 輔助計算!$G$2:$G$801, 0)+1))&lt;=790,3,IF(INDEX(ERP資料!$G:$G, (MATCH(132, 輔助計算!$G$2:$G$801, 0)+1))&lt;=1181,2,1))))&gt;0, IF(IF(INDEX(ERP資料!$G:$G, (MATCH(132, 輔助計算!$G$2:$G$801, 0)+1))&lt;100, IF(INDEX(ERP資料!$G:$G, (MATCH(132, 輔助計算!$G$2:$G$801, 0)+1))&lt;=31,3,IF(INDEX(ERP資料!$G:$G, (MATCH(132, 輔助計算!$G$2:$G$801, 0)+1))&lt;=46.5,2,1)), IF(INDEX(ERP資料!$G:$G, (MATCH(132, 輔助計算!$G$2:$G$801, 0)+1))&lt;=790,3,IF(INDEX(ERP資料!$G:$G, (MATCH(132, 輔助計算!$G$2:$G$801, 0)+1))&lt;=1181,2,1)))=1,TEXT(INDEX(ERP資料!$G:$G, (MATCH(132, 輔助計算!$G$2:$G$801, 0)+1)),"0.##"),IF(IF(INDEX(ERP資料!$G:$G, (MATCH(132, 輔助計算!$G$2:$G$801, 0)+1))&lt;100, IF(INDEX(ERP資料!$G:$G, (MATCH(132, 輔助計算!$G$2:$G$801, 0)+1))&lt;=31,3,IF(INDEX(ERP資料!$G:$G, (MATCH(132, 輔助計算!$G$2:$G$801, 0)+1))&lt;=46.5,2,1)), IF(INDEX(ERP資料!$G:$G, (MATCH(132, 輔助計算!$G$2:$G$801, 0)+1))&lt;=790,3,IF(INDEX(ERP資料!$G:$G, (MATCH(132, 輔助計算!$G$2:$G$801, 0)+1))&lt;=1181,2,1)))=2,TEXT(INDEX(ERP資料!$G:$G, (MATCH(132, 輔助計算!$G$2:$G$801, 0)+1)),"0.##")&amp;"+"&amp;TEXT(INDEX(ERP資料!$G:$G, (MATCH(132, 輔助計算!$G$2:$G$801, 0)+1)),"0.##"),TEXT(INDEX(ERP資料!$G:$G, (MATCH(132, 輔助計算!$G$2:$G$801, 0)+1)),"0.##")&amp;"+"&amp;TEXT(INDEX(ERP資料!$G:$G, (MATCH(132, 輔助計算!$G$2:$G$801, 0)+1)),"0.##")&amp;"+"&amp;TEXT(INDEX(ERP資料!$G:$G, (MATCH(132, 輔助計算!$G$2:$G$801, 0)+1)),"0.##")))&amp;"-"&amp;INT(INDEX(輔助計算!$D:$D, (MATCH(132, 輔助計算!$G$2:$G$801, 0)+1))/IF(INDEX(ERP資料!$G:$G, (MATCH(132, 輔助計算!$G$2:$G$801, 0)+1))&lt;100, IF(INDEX(ERP資料!$G:$G, (MATCH(132, 輔助計算!$G$2:$G$801, 0)+1))&lt;=31,3,IF(INDEX(ERP資料!$G:$G, (MATCH(132, 輔助計算!$G$2:$G$801, 0)+1))&lt;=46.5,2,1)), IF(INDEX(ERP資料!$G:$G, (MATCH(132, 輔助計算!$G$2:$G$801, 0)+1))&lt;=790,3,IF(INDEX(ERP資料!$G:$G, (MATCH(132, 輔助計算!$G$2:$G$801, 0)+1))&lt;=1181,2,1)))), "")&lt;&gt;"",IF(MOD(INDEX(輔助計算!$D:$D, (MATCH(132, 輔助計算!$G$2:$G$801, 0)+1)),IF(INDEX(ERP資料!$G:$G, (MATCH(132, 輔助計算!$G$2:$G$801, 0)+1))&lt;100, IF(INDEX(ERP資料!$G:$G, (MATCH(132, 輔助計算!$G$2:$G$801, 0)+1))&lt;=31,3,IF(INDEX(ERP資料!$G:$G, (MATCH(132, 輔助計算!$G$2:$G$801, 0)+1))&lt;=46.5,2,1)), IF(INDEX(ERP資料!$G:$G, (MATCH(132, 輔助計算!$G$2:$G$801, 0)+1))&lt;=790,3,IF(INDEX(ERP資料!$G:$G, (MATCH(132, 輔助計算!$G$2:$G$801, 0)+1))&lt;=1181,2,1))))=0,"",IF(MOD(INDEX(輔助計算!$D:$D, (MATCH(132, 輔助計算!$G$2:$G$801, 0)+1)),IF(INDEX(ERP資料!$G:$G, (MATCH(132, 輔助計算!$G$2:$G$801, 0)+1))&lt;100, IF(INDEX(ERP資料!$G:$G, (MATCH(132, 輔助計算!$G$2:$G$801, 0)+1))&lt;=31,3,IF(INDEX(ERP資料!$G:$G, (MATCH(132, 輔助計算!$G$2:$G$801, 0)+1))&lt;=46.5,2,1)), IF(INDEX(ERP資料!$G:$G, (MATCH(132, 輔助計算!$G$2:$G$801, 0)+1))&lt;=790,3,IF(INDEX(ERP資料!$G:$G, (MATCH(132, 輔助計算!$G$2:$G$801, 0)+1))&lt;=1181,2,1))))=0,"",IF(MOD(INDEX(輔助計算!$D:$D, (MATCH(132, 輔助計算!$G$2:$G$801, 0)+1)),IF(INDEX(ERP資料!$G:$G, (MATCH(132, 輔助計算!$G$2:$G$801, 0)+1))&lt;100, IF(INDEX(ERP資料!$G:$G, (MATCH(132, 輔助計算!$G$2:$G$801, 0)+1))&lt;=31,3,IF(INDEX(ERP資料!$G:$G, (MATCH(132, 輔助計算!$G$2:$G$801, 0)+1))&lt;=46.5,2,1)), IF(INDEX(ERP資料!$G:$G, (MATCH(132, 輔助計算!$G$2:$G$801, 0)+1))&lt;=790,3,IF(INDEX(ERP資料!$G:$G, (MATCH(132, 輔助計算!$G$2:$G$801, 0)+1))&lt;=1181,2,1))))=1,TEXT(INDEX(ERP資料!$G:$G, (MATCH(132, 輔助計算!$G$2:$G$801, 0)+1)),"0.##"),IF(MOD(INDEX(輔助計算!$D:$D, (MATCH(132, 輔助計算!$G$2:$G$801, 0)+1)),IF(INDEX(ERP資料!$G:$G, (MATCH(132, 輔助計算!$G$2:$G$801, 0)+1))&lt;100, IF(INDEX(ERP資料!$G:$G, (MATCH(132, 輔助計算!$G$2:$G$801, 0)+1))&lt;=31,3,IF(INDEX(ERP資料!$G:$G, (MATCH(132, 輔助計算!$G$2:$G$801, 0)+1))&lt;=46.5,2,1)), IF(INDEX(ERP資料!$G:$G, (MATCH(132, 輔助計算!$G$2:$G$801, 0)+1))&lt;=790,3,IF(INDEX(ERP資料!$G:$G, (MATCH(132, 輔助計算!$G$2:$G$801, 0)+1))&lt;=1181,2,1))))=2,TEXT(INDEX(ERP資料!$G:$G, (MATCH(132, 輔助計算!$G$2:$G$801, 0)+1)),"0.##")&amp;"+"&amp;TEXT(INDEX(ERP資料!$G:$G, (MATCH(132, 輔助計算!$G$2:$G$801, 0)+1)),"0.##"),TEXT(INDEX(ERP資料!$G:$G, (MATCH(132, 輔助計算!$G$2:$G$801, 0)+1)),"0.##")&amp;"+"&amp;TEXT(INDEX(ERP資料!$G:$G, (MATCH(132, 輔助計算!$G$2:$G$801, 0)+1)),"0.##")&amp;"+"&amp;TEXT(INDEX(ERP資料!$G:$G, (MATCH(132, 輔助計算!$G$2:$G$801, 0)+1)),"0.##"))))&amp;"-1")&lt;&gt;""),"  ","")&amp;IF(MOD(INDEX(輔助計算!$D:$D, (MATCH(132, 輔助計算!$G$2:$G$801, 0)+1)),IF(INDEX(ERP資料!$G:$G, (MATCH(132, 輔助計算!$G$2:$G$801, 0)+1))&lt;100, IF(INDEX(ERP資料!$G:$G, (MATCH(132, 輔助計算!$G$2:$G$801, 0)+1))&lt;=31,3,IF(INDEX(ERP資料!$G:$G, (MATCH(132, 輔助計算!$G$2:$G$801, 0)+1))&lt;=46.5,2,1)), IF(INDEX(ERP資料!$G:$G, (MATCH(132, 輔助計算!$G$2:$G$801, 0)+1))&lt;=790,3,IF(INDEX(ERP資料!$G:$G, (MATCH(132, 輔助計算!$G$2:$G$801, 0)+1))&lt;=1181,2,1))))=0,"",IF(MOD(INDEX(輔助計算!$D:$D, (MATCH(132, 輔助計算!$G$2:$G$801, 0)+1)),IF(INDEX(ERP資料!$G:$G, (MATCH(132, 輔助計算!$G$2:$G$801, 0)+1))&lt;100, IF(INDEX(ERP資料!$G:$G, (MATCH(132, 輔助計算!$G$2:$G$801, 0)+1))&lt;=31,3,IF(INDEX(ERP資料!$G:$G, (MATCH(132, 輔助計算!$G$2:$G$801, 0)+1))&lt;=46.5,2,1)), IF(INDEX(ERP資料!$G:$G, (MATCH(132, 輔助計算!$G$2:$G$801, 0)+1))&lt;=790,3,IF(INDEX(ERP資料!$G:$G, (MATCH(132, 輔助計算!$G$2:$G$801, 0)+1))&lt;=1181,2,1))))=0,"",IF(MOD(INDEX(輔助計算!$D:$D, (MATCH(132, 輔助計算!$G$2:$G$801, 0)+1)),IF(INDEX(ERP資料!$G:$G, (MATCH(132, 輔助計算!$G$2:$G$801, 0)+1))&lt;100, IF(INDEX(ERP資料!$G:$G, (MATCH(132, 輔助計算!$G$2:$G$801, 0)+1))&lt;=31,3,IF(INDEX(ERP資料!$G:$G, (MATCH(132, 輔助計算!$G$2:$G$801, 0)+1))&lt;=46.5,2,1)), IF(INDEX(ERP資料!$G:$G, (MATCH(132, 輔助計算!$G$2:$G$801, 0)+1))&lt;=790,3,IF(INDEX(ERP資料!$G:$G, (MATCH(132, 輔助計算!$G$2:$G$801, 0)+1))&lt;=1181,2,1))))=1,TEXT(INDEX(ERP資料!$G:$G, (MATCH(132, 輔助計算!$G$2:$G$801, 0)+1)),"0.##"),IF(MOD(INDEX(輔助計算!$D:$D, (MATCH(132, 輔助計算!$G$2:$G$801, 0)+1)),IF(INDEX(ERP資料!$G:$G, (MATCH(132, 輔助計算!$G$2:$G$801, 0)+1))&lt;100, IF(INDEX(ERP資料!$G:$G, (MATCH(132, 輔助計算!$G$2:$G$801, 0)+1))&lt;=31,3,IF(INDEX(ERP資料!$G:$G, (MATCH(132, 輔助計算!$G$2:$G$801, 0)+1))&lt;=46.5,2,1)), IF(INDEX(ERP資料!$G:$G, (MATCH(132, 輔助計算!$G$2:$G$801, 0)+1))&lt;=790,3,IF(INDEX(ERP資料!$G:$G, (MATCH(132, 輔助計算!$G$2:$G$801, 0)+1))&lt;=1181,2,1))))=2,TEXT(INDEX(ERP資料!$G:$G, (MATCH(132, 輔助計算!$G$2:$G$801, 0)+1)),"0.##")&amp;"+"&amp;TEXT(INDEX(ERP資料!$G:$G, (MATCH(132, 輔助計算!$G$2:$G$801, 0)+1)),"0.##"),TEXT(INDEX(ERP資料!$G:$G, (MATCH(132, 輔助計算!$G$2:$G$801, 0)+1)),"0.##")&amp;"+"&amp;TEXT(INDEX(ERP資料!$G:$G, (MATCH(132, 輔助計算!$G$2:$G$801, 0)+1)),"0.##")&amp;"+"&amp;TEXT(INDEX(ERP資料!$G:$G, (MATCH(132, 輔助計算!$G$2:$G$801, 0)+1)),"0.##"))))&amp;"-1")), ""), "")</f>
        <v/>
      </c>
      <c r="K133" s="16" t="n"/>
      <c r="L133" s="14">
        <f>IFERROR(IF(AND(IFERROR(INDEX(ERP資料!$A:$A, (MATCH(132, 輔助計算!$G$2:$G$801, 0)+1)), "")&lt;&gt;"", IFERROR(INDEX(ERP資料!$A:$A, (MATCH(132, 輔助計算!$G$2:$G$801, 0)+1)), "")&lt;&gt;IFERROR(INDEX(ERP資料!$A:$A, MATCH(131, 輔助計算!$G$2:$G$801, 0)+1), "")), INDEX(ERP資料!$B:$B, (MATCH(132, 輔助計算!$G$2:$G$801, 0)+1)), ""), "")</f>
        <v/>
      </c>
      <c r="M133" s="17" t="n"/>
    </row>
    <row r="134">
      <c r="A134" s="10">
        <f>IFERROR(IF(AND(IFERROR(INDEX(ERP資料!$A:$A, (MATCH(133, 輔助計算!$G$2:$G$801, 0)+1)), "")&lt;&gt;"", IFERROR(INDEX(ERP資料!$A:$A, (MATCH(133, 輔助計算!$G$2:$G$801, 0)+1)), "")&lt;&gt;IFERROR(INDEX(ERP資料!$A:$A, MATCH(132, 輔助計算!$G$2:$G$801, 0)+1), "")), IFERROR(INDEX(ERP資料!$A:$A, (MATCH(133, 輔助計算!$G$2:$G$801, 0)+1)), ""), ""), "")</f>
        <v/>
      </c>
      <c r="B134" s="10">
        <f>IFERROR(IF(AND(IFERROR(INDEX(ERP資料!$A:$A, (MATCH(133, 輔助計算!$G$2:$G$801, 0)+1)), "")&lt;&gt;"", IFERROR(INDEX(ERP資料!$A:$A, (MATCH(133, 輔助計算!$G$2:$G$801, 0)+1)), "")&lt;&gt;IFERROR(INDEX(ERP資料!$A:$A, MATCH(132, 輔助計算!$G$2:$G$801, 0)+1), "")), INDEX(ERP資料!$S:$S, (MATCH(133, 輔助計算!$G$2:$G$801, 0)+1)), ""), "")</f>
        <v/>
      </c>
      <c r="C134" s="19">
        <f>IFERROR(IF(AND(IFERROR(INDEX(ERP資料!$A:$A, (MATCH(133, 輔助計算!$G$2:$G$801, 0)+1)), "")&lt;&gt;"", IFERROR(INDEX(ERP資料!$A:$A, (MATCH(133, 輔助計算!$G$2:$G$801, 0)+1)), "")&lt;&gt;IFERROR(INDEX(ERP資料!$A:$A, MATCH(132, 輔助計算!$G$2:$G$801, 0)+1), "")), IFERROR(VLOOKUP(LEFT(INDEX(ERP資料!$S:$S, (MATCH(133, 輔助計算!$G$2:$G$801, 0)+1)), 4), 紙管對照表!$A:$C, 3, FALSE), ""), ""), "")</f>
        <v/>
      </c>
      <c r="D134" s="16" t="n"/>
      <c r="E134" s="10">
        <f>IFERROR(IF(INDEX(ERP資料!$H:$H, (MATCH(133, 輔助計算!$G$2:$G$801, 0)+1))="","",INDEX(ERP資料!$H:$H, (MATCH(133, 輔助計算!$G$2:$G$801, 0)+1))), "")</f>
        <v/>
      </c>
      <c r="F134" s="10">
        <f>IFERROR(IF(INDEX(ERP資料!$E:$E, (MATCH(133, 輔助計算!$G$2:$G$801, 0)+1))="","",TRIM(INDEX(ERP資料!$E:$E, (MATCH(133, 輔助計算!$G$2:$G$801, 0)+1)))), "")</f>
        <v/>
      </c>
      <c r="G134" s="10">
        <f>IFERROR(IF(INDEX(ERP資料!$F:$F, (MATCH(133, 輔助計算!$G$2:$G$801, 0)+1))="","",INDEX(ERP資料!$F:$F, (MATCH(133, 輔助計算!$G$2:$G$801, 0)+1))), "")</f>
        <v/>
      </c>
      <c r="H134" s="10">
        <f>IFERROR(IF(INDEX(ERP資料!$G:$G, (MATCH(133, 輔助計算!$G$2:$G$801, 0)+1))="","",INDEX(ERP資料!$G:$G, (MATCH(133, 輔助計算!$G$2:$G$801, 0)+1))), "")</f>
        <v/>
      </c>
      <c r="I134" s="15">
        <f>IFERROR(INDEX(輔助計算!$D:$D, (MATCH(133, 輔助計算!$G$2:$G$801, 0)+1)), "")</f>
        <v/>
      </c>
      <c r="J134" s="15">
        <f>IFERROR(IF(AND(INDEX(輔助計算!$D:$D, (MATCH(133, 輔助計算!$G$2:$G$801, 0)+1))&lt;&gt;"", INDEX(ERP資料!$G:$G, (MATCH(133, 輔助計算!$G$2:$G$801, 0)+1))&lt;&gt;""), TRIM(IF(INT(INDEX(輔助計算!$D:$D, (MATCH(133, 輔助計算!$G$2:$G$801, 0)+1))/IF(INDEX(ERP資料!$G:$G, (MATCH(133, 輔助計算!$G$2:$G$801, 0)+1))&lt;100, IF(INDEX(ERP資料!$G:$G, (MATCH(133, 輔助計算!$G$2:$G$801, 0)+1))&lt;=31,3,IF(INDEX(ERP資料!$G:$G, (MATCH(133, 輔助計算!$G$2:$G$801, 0)+1))&lt;=46.5,2,1)), IF(INDEX(ERP資料!$G:$G, (MATCH(133, 輔助計算!$G$2:$G$801, 0)+1))&lt;=790,3,IF(INDEX(ERP資料!$G:$G, (MATCH(133, 輔助計算!$G$2:$G$801, 0)+1))&lt;=1181,2,1))))&gt;0, IF(IF(INDEX(ERP資料!$G:$G, (MATCH(133, 輔助計算!$G$2:$G$801, 0)+1))&lt;100, IF(INDEX(ERP資料!$G:$G, (MATCH(133, 輔助計算!$G$2:$G$801, 0)+1))&lt;=31,3,IF(INDEX(ERP資料!$G:$G, (MATCH(133, 輔助計算!$G$2:$G$801, 0)+1))&lt;=46.5,2,1)), IF(INDEX(ERP資料!$G:$G, (MATCH(133, 輔助計算!$G$2:$G$801, 0)+1))&lt;=790,3,IF(INDEX(ERP資料!$G:$G, (MATCH(133, 輔助計算!$G$2:$G$801, 0)+1))&lt;=1181,2,1)))=1,TEXT(INDEX(ERP資料!$G:$G, (MATCH(133, 輔助計算!$G$2:$G$801, 0)+1)),"0.##"),IF(IF(INDEX(ERP資料!$G:$G, (MATCH(133, 輔助計算!$G$2:$G$801, 0)+1))&lt;100, IF(INDEX(ERP資料!$G:$G, (MATCH(133, 輔助計算!$G$2:$G$801, 0)+1))&lt;=31,3,IF(INDEX(ERP資料!$G:$G, (MATCH(133, 輔助計算!$G$2:$G$801, 0)+1))&lt;=46.5,2,1)), IF(INDEX(ERP資料!$G:$G, (MATCH(133, 輔助計算!$G$2:$G$801, 0)+1))&lt;=790,3,IF(INDEX(ERP資料!$G:$G, (MATCH(133, 輔助計算!$G$2:$G$801, 0)+1))&lt;=1181,2,1)))=2,TEXT(INDEX(ERP資料!$G:$G, (MATCH(133, 輔助計算!$G$2:$G$801, 0)+1)),"0.##")&amp;"+"&amp;TEXT(INDEX(ERP資料!$G:$G, (MATCH(133, 輔助計算!$G$2:$G$801, 0)+1)),"0.##"),TEXT(INDEX(ERP資料!$G:$G, (MATCH(133, 輔助計算!$G$2:$G$801, 0)+1)),"0.##")&amp;"+"&amp;TEXT(INDEX(ERP資料!$G:$G, (MATCH(133, 輔助計算!$G$2:$G$801, 0)+1)),"0.##")&amp;"+"&amp;TEXT(INDEX(ERP資料!$G:$G, (MATCH(133, 輔助計算!$G$2:$G$801, 0)+1)),"0.##")))&amp;"-"&amp;INT(INDEX(輔助計算!$D:$D, (MATCH(133, 輔助計算!$G$2:$G$801, 0)+1))/IF(INDEX(ERP資料!$G:$G, (MATCH(133, 輔助計算!$G$2:$G$801, 0)+1))&lt;100, IF(INDEX(ERP資料!$G:$G, (MATCH(133, 輔助計算!$G$2:$G$801, 0)+1))&lt;=31,3,IF(INDEX(ERP資料!$G:$G, (MATCH(133, 輔助計算!$G$2:$G$801, 0)+1))&lt;=46.5,2,1)), IF(INDEX(ERP資料!$G:$G, (MATCH(133, 輔助計算!$G$2:$G$801, 0)+1))&lt;=790,3,IF(INDEX(ERP資料!$G:$G, (MATCH(133, 輔助計算!$G$2:$G$801, 0)+1))&lt;=1181,2,1)))), "")&amp;IF(AND(IF(INT(INDEX(輔助計算!$D:$D, (MATCH(133, 輔助計算!$G$2:$G$801, 0)+1))/IF(INDEX(ERP資料!$G:$G, (MATCH(133, 輔助計算!$G$2:$G$801, 0)+1))&lt;100, IF(INDEX(ERP資料!$G:$G, (MATCH(133, 輔助計算!$G$2:$G$801, 0)+1))&lt;=31,3,IF(INDEX(ERP資料!$G:$G, (MATCH(133, 輔助計算!$G$2:$G$801, 0)+1))&lt;=46.5,2,1)), IF(INDEX(ERP資料!$G:$G, (MATCH(133, 輔助計算!$G$2:$G$801, 0)+1))&lt;=790,3,IF(INDEX(ERP資料!$G:$G, (MATCH(133, 輔助計算!$G$2:$G$801, 0)+1))&lt;=1181,2,1))))&gt;0, IF(IF(INDEX(ERP資料!$G:$G, (MATCH(133, 輔助計算!$G$2:$G$801, 0)+1))&lt;100, IF(INDEX(ERP資料!$G:$G, (MATCH(133, 輔助計算!$G$2:$G$801, 0)+1))&lt;=31,3,IF(INDEX(ERP資料!$G:$G, (MATCH(133, 輔助計算!$G$2:$G$801, 0)+1))&lt;=46.5,2,1)), IF(INDEX(ERP資料!$G:$G, (MATCH(133, 輔助計算!$G$2:$G$801, 0)+1))&lt;=790,3,IF(INDEX(ERP資料!$G:$G, (MATCH(133, 輔助計算!$G$2:$G$801, 0)+1))&lt;=1181,2,1)))=1,TEXT(INDEX(ERP資料!$G:$G, (MATCH(133, 輔助計算!$G$2:$G$801, 0)+1)),"0.##"),IF(IF(INDEX(ERP資料!$G:$G, (MATCH(133, 輔助計算!$G$2:$G$801, 0)+1))&lt;100, IF(INDEX(ERP資料!$G:$G, (MATCH(133, 輔助計算!$G$2:$G$801, 0)+1))&lt;=31,3,IF(INDEX(ERP資料!$G:$G, (MATCH(133, 輔助計算!$G$2:$G$801, 0)+1))&lt;=46.5,2,1)), IF(INDEX(ERP資料!$G:$G, (MATCH(133, 輔助計算!$G$2:$G$801, 0)+1))&lt;=790,3,IF(INDEX(ERP資料!$G:$G, (MATCH(133, 輔助計算!$G$2:$G$801, 0)+1))&lt;=1181,2,1)))=2,TEXT(INDEX(ERP資料!$G:$G, (MATCH(133, 輔助計算!$G$2:$G$801, 0)+1)),"0.##")&amp;"+"&amp;TEXT(INDEX(ERP資料!$G:$G, (MATCH(133, 輔助計算!$G$2:$G$801, 0)+1)),"0.##"),TEXT(INDEX(ERP資料!$G:$G, (MATCH(133, 輔助計算!$G$2:$G$801, 0)+1)),"0.##")&amp;"+"&amp;TEXT(INDEX(ERP資料!$G:$G, (MATCH(133, 輔助計算!$G$2:$G$801, 0)+1)),"0.##")&amp;"+"&amp;TEXT(INDEX(ERP資料!$G:$G, (MATCH(133, 輔助計算!$G$2:$G$801, 0)+1)),"0.##")))&amp;"-"&amp;INT(INDEX(輔助計算!$D:$D, (MATCH(133, 輔助計算!$G$2:$G$801, 0)+1))/IF(INDEX(ERP資料!$G:$G, (MATCH(133, 輔助計算!$G$2:$G$801, 0)+1))&lt;100, IF(INDEX(ERP資料!$G:$G, (MATCH(133, 輔助計算!$G$2:$G$801, 0)+1))&lt;=31,3,IF(INDEX(ERP資料!$G:$G, (MATCH(133, 輔助計算!$G$2:$G$801, 0)+1))&lt;=46.5,2,1)), IF(INDEX(ERP資料!$G:$G, (MATCH(133, 輔助計算!$G$2:$G$801, 0)+1))&lt;=790,3,IF(INDEX(ERP資料!$G:$G, (MATCH(133, 輔助計算!$G$2:$G$801, 0)+1))&lt;=1181,2,1)))), "")&lt;&gt;"",IF(MOD(INDEX(輔助計算!$D:$D, (MATCH(133, 輔助計算!$G$2:$G$801, 0)+1)),IF(INDEX(ERP資料!$G:$G, (MATCH(133, 輔助計算!$G$2:$G$801, 0)+1))&lt;100, IF(INDEX(ERP資料!$G:$G, (MATCH(133, 輔助計算!$G$2:$G$801, 0)+1))&lt;=31,3,IF(INDEX(ERP資料!$G:$G, (MATCH(133, 輔助計算!$G$2:$G$801, 0)+1))&lt;=46.5,2,1)), IF(INDEX(ERP資料!$G:$G, (MATCH(133, 輔助計算!$G$2:$G$801, 0)+1))&lt;=790,3,IF(INDEX(ERP資料!$G:$G, (MATCH(133, 輔助計算!$G$2:$G$801, 0)+1))&lt;=1181,2,1))))=0,"",IF(MOD(INDEX(輔助計算!$D:$D, (MATCH(133, 輔助計算!$G$2:$G$801, 0)+1)),IF(INDEX(ERP資料!$G:$G, (MATCH(133, 輔助計算!$G$2:$G$801, 0)+1))&lt;100, IF(INDEX(ERP資料!$G:$G, (MATCH(133, 輔助計算!$G$2:$G$801, 0)+1))&lt;=31,3,IF(INDEX(ERP資料!$G:$G, (MATCH(133, 輔助計算!$G$2:$G$801, 0)+1))&lt;=46.5,2,1)), IF(INDEX(ERP資料!$G:$G, (MATCH(133, 輔助計算!$G$2:$G$801, 0)+1))&lt;=790,3,IF(INDEX(ERP資料!$G:$G, (MATCH(133, 輔助計算!$G$2:$G$801, 0)+1))&lt;=1181,2,1))))=0,"",IF(MOD(INDEX(輔助計算!$D:$D, (MATCH(133, 輔助計算!$G$2:$G$801, 0)+1)),IF(INDEX(ERP資料!$G:$G, (MATCH(133, 輔助計算!$G$2:$G$801, 0)+1))&lt;100, IF(INDEX(ERP資料!$G:$G, (MATCH(133, 輔助計算!$G$2:$G$801, 0)+1))&lt;=31,3,IF(INDEX(ERP資料!$G:$G, (MATCH(133, 輔助計算!$G$2:$G$801, 0)+1))&lt;=46.5,2,1)), IF(INDEX(ERP資料!$G:$G, (MATCH(133, 輔助計算!$G$2:$G$801, 0)+1))&lt;=790,3,IF(INDEX(ERP資料!$G:$G, (MATCH(133, 輔助計算!$G$2:$G$801, 0)+1))&lt;=1181,2,1))))=1,TEXT(INDEX(ERP資料!$G:$G, (MATCH(133, 輔助計算!$G$2:$G$801, 0)+1)),"0.##"),IF(MOD(INDEX(輔助計算!$D:$D, (MATCH(133, 輔助計算!$G$2:$G$801, 0)+1)),IF(INDEX(ERP資料!$G:$G, (MATCH(133, 輔助計算!$G$2:$G$801, 0)+1))&lt;100, IF(INDEX(ERP資料!$G:$G, (MATCH(133, 輔助計算!$G$2:$G$801, 0)+1))&lt;=31,3,IF(INDEX(ERP資料!$G:$G, (MATCH(133, 輔助計算!$G$2:$G$801, 0)+1))&lt;=46.5,2,1)), IF(INDEX(ERP資料!$G:$G, (MATCH(133, 輔助計算!$G$2:$G$801, 0)+1))&lt;=790,3,IF(INDEX(ERP資料!$G:$G, (MATCH(133, 輔助計算!$G$2:$G$801, 0)+1))&lt;=1181,2,1))))=2,TEXT(INDEX(ERP資料!$G:$G, (MATCH(133, 輔助計算!$G$2:$G$801, 0)+1)),"0.##")&amp;"+"&amp;TEXT(INDEX(ERP資料!$G:$G, (MATCH(133, 輔助計算!$G$2:$G$801, 0)+1)),"0.##"),TEXT(INDEX(ERP資料!$G:$G, (MATCH(133, 輔助計算!$G$2:$G$801, 0)+1)),"0.##")&amp;"+"&amp;TEXT(INDEX(ERP資料!$G:$G, (MATCH(133, 輔助計算!$G$2:$G$801, 0)+1)),"0.##")&amp;"+"&amp;TEXT(INDEX(ERP資料!$G:$G, (MATCH(133, 輔助計算!$G$2:$G$801, 0)+1)),"0.##"))))&amp;"-1")&lt;&gt;""),"  ","")&amp;IF(MOD(INDEX(輔助計算!$D:$D, (MATCH(133, 輔助計算!$G$2:$G$801, 0)+1)),IF(INDEX(ERP資料!$G:$G, (MATCH(133, 輔助計算!$G$2:$G$801, 0)+1))&lt;100, IF(INDEX(ERP資料!$G:$G, (MATCH(133, 輔助計算!$G$2:$G$801, 0)+1))&lt;=31,3,IF(INDEX(ERP資料!$G:$G, (MATCH(133, 輔助計算!$G$2:$G$801, 0)+1))&lt;=46.5,2,1)), IF(INDEX(ERP資料!$G:$G, (MATCH(133, 輔助計算!$G$2:$G$801, 0)+1))&lt;=790,3,IF(INDEX(ERP資料!$G:$G, (MATCH(133, 輔助計算!$G$2:$G$801, 0)+1))&lt;=1181,2,1))))=0,"",IF(MOD(INDEX(輔助計算!$D:$D, (MATCH(133, 輔助計算!$G$2:$G$801, 0)+1)),IF(INDEX(ERP資料!$G:$G, (MATCH(133, 輔助計算!$G$2:$G$801, 0)+1))&lt;100, IF(INDEX(ERP資料!$G:$G, (MATCH(133, 輔助計算!$G$2:$G$801, 0)+1))&lt;=31,3,IF(INDEX(ERP資料!$G:$G, (MATCH(133, 輔助計算!$G$2:$G$801, 0)+1))&lt;=46.5,2,1)), IF(INDEX(ERP資料!$G:$G, (MATCH(133, 輔助計算!$G$2:$G$801, 0)+1))&lt;=790,3,IF(INDEX(ERP資料!$G:$G, (MATCH(133, 輔助計算!$G$2:$G$801, 0)+1))&lt;=1181,2,1))))=0,"",IF(MOD(INDEX(輔助計算!$D:$D, (MATCH(133, 輔助計算!$G$2:$G$801, 0)+1)),IF(INDEX(ERP資料!$G:$G, (MATCH(133, 輔助計算!$G$2:$G$801, 0)+1))&lt;100, IF(INDEX(ERP資料!$G:$G, (MATCH(133, 輔助計算!$G$2:$G$801, 0)+1))&lt;=31,3,IF(INDEX(ERP資料!$G:$G, (MATCH(133, 輔助計算!$G$2:$G$801, 0)+1))&lt;=46.5,2,1)), IF(INDEX(ERP資料!$G:$G, (MATCH(133, 輔助計算!$G$2:$G$801, 0)+1))&lt;=790,3,IF(INDEX(ERP資料!$G:$G, (MATCH(133, 輔助計算!$G$2:$G$801, 0)+1))&lt;=1181,2,1))))=1,TEXT(INDEX(ERP資料!$G:$G, (MATCH(133, 輔助計算!$G$2:$G$801, 0)+1)),"0.##"),IF(MOD(INDEX(輔助計算!$D:$D, (MATCH(133, 輔助計算!$G$2:$G$801, 0)+1)),IF(INDEX(ERP資料!$G:$G, (MATCH(133, 輔助計算!$G$2:$G$801, 0)+1))&lt;100, IF(INDEX(ERP資料!$G:$G, (MATCH(133, 輔助計算!$G$2:$G$801, 0)+1))&lt;=31,3,IF(INDEX(ERP資料!$G:$G, (MATCH(133, 輔助計算!$G$2:$G$801, 0)+1))&lt;=46.5,2,1)), IF(INDEX(ERP資料!$G:$G, (MATCH(133, 輔助計算!$G$2:$G$801, 0)+1))&lt;=790,3,IF(INDEX(ERP資料!$G:$G, (MATCH(133, 輔助計算!$G$2:$G$801, 0)+1))&lt;=1181,2,1))))=2,TEXT(INDEX(ERP資料!$G:$G, (MATCH(133, 輔助計算!$G$2:$G$801, 0)+1)),"0.##")&amp;"+"&amp;TEXT(INDEX(ERP資料!$G:$G, (MATCH(133, 輔助計算!$G$2:$G$801, 0)+1)),"0.##"),TEXT(INDEX(ERP資料!$G:$G, (MATCH(133, 輔助計算!$G$2:$G$801, 0)+1)),"0.##")&amp;"+"&amp;TEXT(INDEX(ERP資料!$G:$G, (MATCH(133, 輔助計算!$G$2:$G$801, 0)+1)),"0.##")&amp;"+"&amp;TEXT(INDEX(ERP資料!$G:$G, (MATCH(133, 輔助計算!$G$2:$G$801, 0)+1)),"0.##"))))&amp;"-1")), ""), "")</f>
        <v/>
      </c>
      <c r="K134" s="16" t="n"/>
      <c r="L134" s="14">
        <f>IFERROR(IF(AND(IFERROR(INDEX(ERP資料!$A:$A, (MATCH(133, 輔助計算!$G$2:$G$801, 0)+1)), "")&lt;&gt;"", IFERROR(INDEX(ERP資料!$A:$A, (MATCH(133, 輔助計算!$G$2:$G$801, 0)+1)), "")&lt;&gt;IFERROR(INDEX(ERP資料!$A:$A, MATCH(132, 輔助計算!$G$2:$G$801, 0)+1), "")), INDEX(ERP資料!$B:$B, (MATCH(133, 輔助計算!$G$2:$G$801, 0)+1)), ""), "")</f>
        <v/>
      </c>
      <c r="M134" s="17" t="n"/>
    </row>
    <row r="135">
      <c r="A135" s="10">
        <f>IFERROR(IF(AND(IFERROR(INDEX(ERP資料!$A:$A, (MATCH(134, 輔助計算!$G$2:$G$801, 0)+1)), "")&lt;&gt;"", IFERROR(INDEX(ERP資料!$A:$A, (MATCH(134, 輔助計算!$G$2:$G$801, 0)+1)), "")&lt;&gt;IFERROR(INDEX(ERP資料!$A:$A, MATCH(133, 輔助計算!$G$2:$G$801, 0)+1), "")), IFERROR(INDEX(ERP資料!$A:$A, (MATCH(134, 輔助計算!$G$2:$G$801, 0)+1)), ""), ""), "")</f>
        <v/>
      </c>
      <c r="B135" s="10">
        <f>IFERROR(IF(AND(IFERROR(INDEX(ERP資料!$A:$A, (MATCH(134, 輔助計算!$G$2:$G$801, 0)+1)), "")&lt;&gt;"", IFERROR(INDEX(ERP資料!$A:$A, (MATCH(134, 輔助計算!$G$2:$G$801, 0)+1)), "")&lt;&gt;IFERROR(INDEX(ERP資料!$A:$A, MATCH(133, 輔助計算!$G$2:$G$801, 0)+1), "")), INDEX(ERP資料!$S:$S, (MATCH(134, 輔助計算!$G$2:$G$801, 0)+1)), ""), "")</f>
        <v/>
      </c>
      <c r="C135" s="19">
        <f>IFERROR(IF(AND(IFERROR(INDEX(ERP資料!$A:$A, (MATCH(134, 輔助計算!$G$2:$G$801, 0)+1)), "")&lt;&gt;"", IFERROR(INDEX(ERP資料!$A:$A, (MATCH(134, 輔助計算!$G$2:$G$801, 0)+1)), "")&lt;&gt;IFERROR(INDEX(ERP資料!$A:$A, MATCH(133, 輔助計算!$G$2:$G$801, 0)+1), "")), IFERROR(VLOOKUP(LEFT(INDEX(ERP資料!$S:$S, (MATCH(134, 輔助計算!$G$2:$G$801, 0)+1)), 4), 紙管對照表!$A:$C, 3, FALSE), ""), ""), "")</f>
        <v/>
      </c>
      <c r="D135" s="16" t="n"/>
      <c r="E135" s="10">
        <f>IFERROR(IF(INDEX(ERP資料!$H:$H, (MATCH(134, 輔助計算!$G$2:$G$801, 0)+1))="","",INDEX(ERP資料!$H:$H, (MATCH(134, 輔助計算!$G$2:$G$801, 0)+1))), "")</f>
        <v/>
      </c>
      <c r="F135" s="10">
        <f>IFERROR(IF(INDEX(ERP資料!$E:$E, (MATCH(134, 輔助計算!$G$2:$G$801, 0)+1))="","",TRIM(INDEX(ERP資料!$E:$E, (MATCH(134, 輔助計算!$G$2:$G$801, 0)+1)))), "")</f>
        <v/>
      </c>
      <c r="G135" s="10">
        <f>IFERROR(IF(INDEX(ERP資料!$F:$F, (MATCH(134, 輔助計算!$G$2:$G$801, 0)+1))="","",INDEX(ERP資料!$F:$F, (MATCH(134, 輔助計算!$G$2:$G$801, 0)+1))), "")</f>
        <v/>
      </c>
      <c r="H135" s="10">
        <f>IFERROR(IF(INDEX(ERP資料!$G:$G, (MATCH(134, 輔助計算!$G$2:$G$801, 0)+1))="","",INDEX(ERP資料!$G:$G, (MATCH(134, 輔助計算!$G$2:$G$801, 0)+1))), "")</f>
        <v/>
      </c>
      <c r="I135" s="15">
        <f>IFERROR(INDEX(輔助計算!$D:$D, (MATCH(134, 輔助計算!$G$2:$G$801, 0)+1)), "")</f>
        <v/>
      </c>
      <c r="J135" s="15">
        <f>IFERROR(IF(AND(INDEX(輔助計算!$D:$D, (MATCH(134, 輔助計算!$G$2:$G$801, 0)+1))&lt;&gt;"", INDEX(ERP資料!$G:$G, (MATCH(134, 輔助計算!$G$2:$G$801, 0)+1))&lt;&gt;""), TRIM(IF(INT(INDEX(輔助計算!$D:$D, (MATCH(134, 輔助計算!$G$2:$G$801, 0)+1))/IF(INDEX(ERP資料!$G:$G, (MATCH(134, 輔助計算!$G$2:$G$801, 0)+1))&lt;100, IF(INDEX(ERP資料!$G:$G, (MATCH(134, 輔助計算!$G$2:$G$801, 0)+1))&lt;=31,3,IF(INDEX(ERP資料!$G:$G, (MATCH(134, 輔助計算!$G$2:$G$801, 0)+1))&lt;=46.5,2,1)), IF(INDEX(ERP資料!$G:$G, (MATCH(134, 輔助計算!$G$2:$G$801, 0)+1))&lt;=790,3,IF(INDEX(ERP資料!$G:$G, (MATCH(134, 輔助計算!$G$2:$G$801, 0)+1))&lt;=1181,2,1))))&gt;0, IF(IF(INDEX(ERP資料!$G:$G, (MATCH(134, 輔助計算!$G$2:$G$801, 0)+1))&lt;100, IF(INDEX(ERP資料!$G:$G, (MATCH(134, 輔助計算!$G$2:$G$801, 0)+1))&lt;=31,3,IF(INDEX(ERP資料!$G:$G, (MATCH(134, 輔助計算!$G$2:$G$801, 0)+1))&lt;=46.5,2,1)), IF(INDEX(ERP資料!$G:$G, (MATCH(134, 輔助計算!$G$2:$G$801, 0)+1))&lt;=790,3,IF(INDEX(ERP資料!$G:$G, (MATCH(134, 輔助計算!$G$2:$G$801, 0)+1))&lt;=1181,2,1)))=1,TEXT(INDEX(ERP資料!$G:$G, (MATCH(134, 輔助計算!$G$2:$G$801, 0)+1)),"0.##"),IF(IF(INDEX(ERP資料!$G:$G, (MATCH(134, 輔助計算!$G$2:$G$801, 0)+1))&lt;100, IF(INDEX(ERP資料!$G:$G, (MATCH(134, 輔助計算!$G$2:$G$801, 0)+1))&lt;=31,3,IF(INDEX(ERP資料!$G:$G, (MATCH(134, 輔助計算!$G$2:$G$801, 0)+1))&lt;=46.5,2,1)), IF(INDEX(ERP資料!$G:$G, (MATCH(134, 輔助計算!$G$2:$G$801, 0)+1))&lt;=790,3,IF(INDEX(ERP資料!$G:$G, (MATCH(134, 輔助計算!$G$2:$G$801, 0)+1))&lt;=1181,2,1)))=2,TEXT(INDEX(ERP資料!$G:$G, (MATCH(134, 輔助計算!$G$2:$G$801, 0)+1)),"0.##")&amp;"+"&amp;TEXT(INDEX(ERP資料!$G:$G, (MATCH(134, 輔助計算!$G$2:$G$801, 0)+1)),"0.##"),TEXT(INDEX(ERP資料!$G:$G, (MATCH(134, 輔助計算!$G$2:$G$801, 0)+1)),"0.##")&amp;"+"&amp;TEXT(INDEX(ERP資料!$G:$G, (MATCH(134, 輔助計算!$G$2:$G$801, 0)+1)),"0.##")&amp;"+"&amp;TEXT(INDEX(ERP資料!$G:$G, (MATCH(134, 輔助計算!$G$2:$G$801, 0)+1)),"0.##")))&amp;"-"&amp;INT(INDEX(輔助計算!$D:$D, (MATCH(134, 輔助計算!$G$2:$G$801, 0)+1))/IF(INDEX(ERP資料!$G:$G, (MATCH(134, 輔助計算!$G$2:$G$801, 0)+1))&lt;100, IF(INDEX(ERP資料!$G:$G, (MATCH(134, 輔助計算!$G$2:$G$801, 0)+1))&lt;=31,3,IF(INDEX(ERP資料!$G:$G, (MATCH(134, 輔助計算!$G$2:$G$801, 0)+1))&lt;=46.5,2,1)), IF(INDEX(ERP資料!$G:$G, (MATCH(134, 輔助計算!$G$2:$G$801, 0)+1))&lt;=790,3,IF(INDEX(ERP資料!$G:$G, (MATCH(134, 輔助計算!$G$2:$G$801, 0)+1))&lt;=1181,2,1)))), "")&amp;IF(AND(IF(INT(INDEX(輔助計算!$D:$D, (MATCH(134, 輔助計算!$G$2:$G$801, 0)+1))/IF(INDEX(ERP資料!$G:$G, (MATCH(134, 輔助計算!$G$2:$G$801, 0)+1))&lt;100, IF(INDEX(ERP資料!$G:$G, (MATCH(134, 輔助計算!$G$2:$G$801, 0)+1))&lt;=31,3,IF(INDEX(ERP資料!$G:$G, (MATCH(134, 輔助計算!$G$2:$G$801, 0)+1))&lt;=46.5,2,1)), IF(INDEX(ERP資料!$G:$G, (MATCH(134, 輔助計算!$G$2:$G$801, 0)+1))&lt;=790,3,IF(INDEX(ERP資料!$G:$G, (MATCH(134, 輔助計算!$G$2:$G$801, 0)+1))&lt;=1181,2,1))))&gt;0, IF(IF(INDEX(ERP資料!$G:$G, (MATCH(134, 輔助計算!$G$2:$G$801, 0)+1))&lt;100, IF(INDEX(ERP資料!$G:$G, (MATCH(134, 輔助計算!$G$2:$G$801, 0)+1))&lt;=31,3,IF(INDEX(ERP資料!$G:$G, (MATCH(134, 輔助計算!$G$2:$G$801, 0)+1))&lt;=46.5,2,1)), IF(INDEX(ERP資料!$G:$G, (MATCH(134, 輔助計算!$G$2:$G$801, 0)+1))&lt;=790,3,IF(INDEX(ERP資料!$G:$G, (MATCH(134, 輔助計算!$G$2:$G$801, 0)+1))&lt;=1181,2,1)))=1,TEXT(INDEX(ERP資料!$G:$G, (MATCH(134, 輔助計算!$G$2:$G$801, 0)+1)),"0.##"),IF(IF(INDEX(ERP資料!$G:$G, (MATCH(134, 輔助計算!$G$2:$G$801, 0)+1))&lt;100, IF(INDEX(ERP資料!$G:$G, (MATCH(134, 輔助計算!$G$2:$G$801, 0)+1))&lt;=31,3,IF(INDEX(ERP資料!$G:$G, (MATCH(134, 輔助計算!$G$2:$G$801, 0)+1))&lt;=46.5,2,1)), IF(INDEX(ERP資料!$G:$G, (MATCH(134, 輔助計算!$G$2:$G$801, 0)+1))&lt;=790,3,IF(INDEX(ERP資料!$G:$G, (MATCH(134, 輔助計算!$G$2:$G$801, 0)+1))&lt;=1181,2,1)))=2,TEXT(INDEX(ERP資料!$G:$G, (MATCH(134, 輔助計算!$G$2:$G$801, 0)+1)),"0.##")&amp;"+"&amp;TEXT(INDEX(ERP資料!$G:$G, (MATCH(134, 輔助計算!$G$2:$G$801, 0)+1)),"0.##"),TEXT(INDEX(ERP資料!$G:$G, (MATCH(134, 輔助計算!$G$2:$G$801, 0)+1)),"0.##")&amp;"+"&amp;TEXT(INDEX(ERP資料!$G:$G, (MATCH(134, 輔助計算!$G$2:$G$801, 0)+1)),"0.##")&amp;"+"&amp;TEXT(INDEX(ERP資料!$G:$G, (MATCH(134, 輔助計算!$G$2:$G$801, 0)+1)),"0.##")))&amp;"-"&amp;INT(INDEX(輔助計算!$D:$D, (MATCH(134, 輔助計算!$G$2:$G$801, 0)+1))/IF(INDEX(ERP資料!$G:$G, (MATCH(134, 輔助計算!$G$2:$G$801, 0)+1))&lt;100, IF(INDEX(ERP資料!$G:$G, (MATCH(134, 輔助計算!$G$2:$G$801, 0)+1))&lt;=31,3,IF(INDEX(ERP資料!$G:$G, (MATCH(134, 輔助計算!$G$2:$G$801, 0)+1))&lt;=46.5,2,1)), IF(INDEX(ERP資料!$G:$G, (MATCH(134, 輔助計算!$G$2:$G$801, 0)+1))&lt;=790,3,IF(INDEX(ERP資料!$G:$G, (MATCH(134, 輔助計算!$G$2:$G$801, 0)+1))&lt;=1181,2,1)))), "")&lt;&gt;"",IF(MOD(INDEX(輔助計算!$D:$D, (MATCH(134, 輔助計算!$G$2:$G$801, 0)+1)),IF(INDEX(ERP資料!$G:$G, (MATCH(134, 輔助計算!$G$2:$G$801, 0)+1))&lt;100, IF(INDEX(ERP資料!$G:$G, (MATCH(134, 輔助計算!$G$2:$G$801, 0)+1))&lt;=31,3,IF(INDEX(ERP資料!$G:$G, (MATCH(134, 輔助計算!$G$2:$G$801, 0)+1))&lt;=46.5,2,1)), IF(INDEX(ERP資料!$G:$G, (MATCH(134, 輔助計算!$G$2:$G$801, 0)+1))&lt;=790,3,IF(INDEX(ERP資料!$G:$G, (MATCH(134, 輔助計算!$G$2:$G$801, 0)+1))&lt;=1181,2,1))))=0,"",IF(MOD(INDEX(輔助計算!$D:$D, (MATCH(134, 輔助計算!$G$2:$G$801, 0)+1)),IF(INDEX(ERP資料!$G:$G, (MATCH(134, 輔助計算!$G$2:$G$801, 0)+1))&lt;100, IF(INDEX(ERP資料!$G:$G, (MATCH(134, 輔助計算!$G$2:$G$801, 0)+1))&lt;=31,3,IF(INDEX(ERP資料!$G:$G, (MATCH(134, 輔助計算!$G$2:$G$801, 0)+1))&lt;=46.5,2,1)), IF(INDEX(ERP資料!$G:$G, (MATCH(134, 輔助計算!$G$2:$G$801, 0)+1))&lt;=790,3,IF(INDEX(ERP資料!$G:$G, (MATCH(134, 輔助計算!$G$2:$G$801, 0)+1))&lt;=1181,2,1))))=0,"",IF(MOD(INDEX(輔助計算!$D:$D, (MATCH(134, 輔助計算!$G$2:$G$801, 0)+1)),IF(INDEX(ERP資料!$G:$G, (MATCH(134, 輔助計算!$G$2:$G$801, 0)+1))&lt;100, IF(INDEX(ERP資料!$G:$G, (MATCH(134, 輔助計算!$G$2:$G$801, 0)+1))&lt;=31,3,IF(INDEX(ERP資料!$G:$G, (MATCH(134, 輔助計算!$G$2:$G$801, 0)+1))&lt;=46.5,2,1)), IF(INDEX(ERP資料!$G:$G, (MATCH(134, 輔助計算!$G$2:$G$801, 0)+1))&lt;=790,3,IF(INDEX(ERP資料!$G:$G, (MATCH(134, 輔助計算!$G$2:$G$801, 0)+1))&lt;=1181,2,1))))=1,TEXT(INDEX(ERP資料!$G:$G, (MATCH(134, 輔助計算!$G$2:$G$801, 0)+1)),"0.##"),IF(MOD(INDEX(輔助計算!$D:$D, (MATCH(134, 輔助計算!$G$2:$G$801, 0)+1)),IF(INDEX(ERP資料!$G:$G, (MATCH(134, 輔助計算!$G$2:$G$801, 0)+1))&lt;100, IF(INDEX(ERP資料!$G:$G, (MATCH(134, 輔助計算!$G$2:$G$801, 0)+1))&lt;=31,3,IF(INDEX(ERP資料!$G:$G, (MATCH(134, 輔助計算!$G$2:$G$801, 0)+1))&lt;=46.5,2,1)), IF(INDEX(ERP資料!$G:$G, (MATCH(134, 輔助計算!$G$2:$G$801, 0)+1))&lt;=790,3,IF(INDEX(ERP資料!$G:$G, (MATCH(134, 輔助計算!$G$2:$G$801, 0)+1))&lt;=1181,2,1))))=2,TEXT(INDEX(ERP資料!$G:$G, (MATCH(134, 輔助計算!$G$2:$G$801, 0)+1)),"0.##")&amp;"+"&amp;TEXT(INDEX(ERP資料!$G:$G, (MATCH(134, 輔助計算!$G$2:$G$801, 0)+1)),"0.##"),TEXT(INDEX(ERP資料!$G:$G, (MATCH(134, 輔助計算!$G$2:$G$801, 0)+1)),"0.##")&amp;"+"&amp;TEXT(INDEX(ERP資料!$G:$G, (MATCH(134, 輔助計算!$G$2:$G$801, 0)+1)),"0.##")&amp;"+"&amp;TEXT(INDEX(ERP資料!$G:$G, (MATCH(134, 輔助計算!$G$2:$G$801, 0)+1)),"0.##"))))&amp;"-1")&lt;&gt;""),"  ","")&amp;IF(MOD(INDEX(輔助計算!$D:$D, (MATCH(134, 輔助計算!$G$2:$G$801, 0)+1)),IF(INDEX(ERP資料!$G:$G, (MATCH(134, 輔助計算!$G$2:$G$801, 0)+1))&lt;100, IF(INDEX(ERP資料!$G:$G, (MATCH(134, 輔助計算!$G$2:$G$801, 0)+1))&lt;=31,3,IF(INDEX(ERP資料!$G:$G, (MATCH(134, 輔助計算!$G$2:$G$801, 0)+1))&lt;=46.5,2,1)), IF(INDEX(ERP資料!$G:$G, (MATCH(134, 輔助計算!$G$2:$G$801, 0)+1))&lt;=790,3,IF(INDEX(ERP資料!$G:$G, (MATCH(134, 輔助計算!$G$2:$G$801, 0)+1))&lt;=1181,2,1))))=0,"",IF(MOD(INDEX(輔助計算!$D:$D, (MATCH(134, 輔助計算!$G$2:$G$801, 0)+1)),IF(INDEX(ERP資料!$G:$G, (MATCH(134, 輔助計算!$G$2:$G$801, 0)+1))&lt;100, IF(INDEX(ERP資料!$G:$G, (MATCH(134, 輔助計算!$G$2:$G$801, 0)+1))&lt;=31,3,IF(INDEX(ERP資料!$G:$G, (MATCH(134, 輔助計算!$G$2:$G$801, 0)+1))&lt;=46.5,2,1)), IF(INDEX(ERP資料!$G:$G, (MATCH(134, 輔助計算!$G$2:$G$801, 0)+1))&lt;=790,3,IF(INDEX(ERP資料!$G:$G, (MATCH(134, 輔助計算!$G$2:$G$801, 0)+1))&lt;=1181,2,1))))=0,"",IF(MOD(INDEX(輔助計算!$D:$D, (MATCH(134, 輔助計算!$G$2:$G$801, 0)+1)),IF(INDEX(ERP資料!$G:$G, (MATCH(134, 輔助計算!$G$2:$G$801, 0)+1))&lt;100, IF(INDEX(ERP資料!$G:$G, (MATCH(134, 輔助計算!$G$2:$G$801, 0)+1))&lt;=31,3,IF(INDEX(ERP資料!$G:$G, (MATCH(134, 輔助計算!$G$2:$G$801, 0)+1))&lt;=46.5,2,1)), IF(INDEX(ERP資料!$G:$G, (MATCH(134, 輔助計算!$G$2:$G$801, 0)+1))&lt;=790,3,IF(INDEX(ERP資料!$G:$G, (MATCH(134, 輔助計算!$G$2:$G$801, 0)+1))&lt;=1181,2,1))))=1,TEXT(INDEX(ERP資料!$G:$G, (MATCH(134, 輔助計算!$G$2:$G$801, 0)+1)),"0.##"),IF(MOD(INDEX(輔助計算!$D:$D, (MATCH(134, 輔助計算!$G$2:$G$801, 0)+1)),IF(INDEX(ERP資料!$G:$G, (MATCH(134, 輔助計算!$G$2:$G$801, 0)+1))&lt;100, IF(INDEX(ERP資料!$G:$G, (MATCH(134, 輔助計算!$G$2:$G$801, 0)+1))&lt;=31,3,IF(INDEX(ERP資料!$G:$G, (MATCH(134, 輔助計算!$G$2:$G$801, 0)+1))&lt;=46.5,2,1)), IF(INDEX(ERP資料!$G:$G, (MATCH(134, 輔助計算!$G$2:$G$801, 0)+1))&lt;=790,3,IF(INDEX(ERP資料!$G:$G, (MATCH(134, 輔助計算!$G$2:$G$801, 0)+1))&lt;=1181,2,1))))=2,TEXT(INDEX(ERP資料!$G:$G, (MATCH(134, 輔助計算!$G$2:$G$801, 0)+1)),"0.##")&amp;"+"&amp;TEXT(INDEX(ERP資料!$G:$G, (MATCH(134, 輔助計算!$G$2:$G$801, 0)+1)),"0.##"),TEXT(INDEX(ERP資料!$G:$G, (MATCH(134, 輔助計算!$G$2:$G$801, 0)+1)),"0.##")&amp;"+"&amp;TEXT(INDEX(ERP資料!$G:$G, (MATCH(134, 輔助計算!$G$2:$G$801, 0)+1)),"0.##")&amp;"+"&amp;TEXT(INDEX(ERP資料!$G:$G, (MATCH(134, 輔助計算!$G$2:$G$801, 0)+1)),"0.##"))))&amp;"-1")), ""), "")</f>
        <v/>
      </c>
      <c r="K135" s="16" t="n"/>
      <c r="L135" s="14">
        <f>IFERROR(IF(AND(IFERROR(INDEX(ERP資料!$A:$A, (MATCH(134, 輔助計算!$G$2:$G$801, 0)+1)), "")&lt;&gt;"", IFERROR(INDEX(ERP資料!$A:$A, (MATCH(134, 輔助計算!$G$2:$G$801, 0)+1)), "")&lt;&gt;IFERROR(INDEX(ERP資料!$A:$A, MATCH(133, 輔助計算!$G$2:$G$801, 0)+1), "")), INDEX(ERP資料!$B:$B, (MATCH(134, 輔助計算!$G$2:$G$801, 0)+1)), ""), "")</f>
        <v/>
      </c>
      <c r="M135" s="17" t="n"/>
    </row>
    <row r="136">
      <c r="A136" s="10">
        <f>IFERROR(IF(AND(IFERROR(INDEX(ERP資料!$A:$A, (MATCH(135, 輔助計算!$G$2:$G$801, 0)+1)), "")&lt;&gt;"", IFERROR(INDEX(ERP資料!$A:$A, (MATCH(135, 輔助計算!$G$2:$G$801, 0)+1)), "")&lt;&gt;IFERROR(INDEX(ERP資料!$A:$A, MATCH(134, 輔助計算!$G$2:$G$801, 0)+1), "")), IFERROR(INDEX(ERP資料!$A:$A, (MATCH(135, 輔助計算!$G$2:$G$801, 0)+1)), ""), ""), "")</f>
        <v/>
      </c>
      <c r="B136" s="10">
        <f>IFERROR(IF(AND(IFERROR(INDEX(ERP資料!$A:$A, (MATCH(135, 輔助計算!$G$2:$G$801, 0)+1)), "")&lt;&gt;"", IFERROR(INDEX(ERP資料!$A:$A, (MATCH(135, 輔助計算!$G$2:$G$801, 0)+1)), "")&lt;&gt;IFERROR(INDEX(ERP資料!$A:$A, MATCH(134, 輔助計算!$G$2:$G$801, 0)+1), "")), INDEX(ERP資料!$S:$S, (MATCH(135, 輔助計算!$G$2:$G$801, 0)+1)), ""), "")</f>
        <v/>
      </c>
      <c r="C136" s="19">
        <f>IFERROR(IF(AND(IFERROR(INDEX(ERP資料!$A:$A, (MATCH(135, 輔助計算!$G$2:$G$801, 0)+1)), "")&lt;&gt;"", IFERROR(INDEX(ERP資料!$A:$A, (MATCH(135, 輔助計算!$G$2:$G$801, 0)+1)), "")&lt;&gt;IFERROR(INDEX(ERP資料!$A:$A, MATCH(134, 輔助計算!$G$2:$G$801, 0)+1), "")), IFERROR(VLOOKUP(LEFT(INDEX(ERP資料!$S:$S, (MATCH(135, 輔助計算!$G$2:$G$801, 0)+1)), 4), 紙管對照表!$A:$C, 3, FALSE), ""), ""), "")</f>
        <v/>
      </c>
      <c r="D136" s="16" t="n"/>
      <c r="E136" s="10">
        <f>IFERROR(IF(INDEX(ERP資料!$H:$H, (MATCH(135, 輔助計算!$G$2:$G$801, 0)+1))="","",INDEX(ERP資料!$H:$H, (MATCH(135, 輔助計算!$G$2:$G$801, 0)+1))), "")</f>
        <v/>
      </c>
      <c r="F136" s="10">
        <f>IFERROR(IF(INDEX(ERP資料!$E:$E, (MATCH(135, 輔助計算!$G$2:$G$801, 0)+1))="","",TRIM(INDEX(ERP資料!$E:$E, (MATCH(135, 輔助計算!$G$2:$G$801, 0)+1)))), "")</f>
        <v/>
      </c>
      <c r="G136" s="10">
        <f>IFERROR(IF(INDEX(ERP資料!$F:$F, (MATCH(135, 輔助計算!$G$2:$G$801, 0)+1))="","",INDEX(ERP資料!$F:$F, (MATCH(135, 輔助計算!$G$2:$G$801, 0)+1))), "")</f>
        <v/>
      </c>
      <c r="H136" s="10">
        <f>IFERROR(IF(INDEX(ERP資料!$G:$G, (MATCH(135, 輔助計算!$G$2:$G$801, 0)+1))="","",INDEX(ERP資料!$G:$G, (MATCH(135, 輔助計算!$G$2:$G$801, 0)+1))), "")</f>
        <v/>
      </c>
      <c r="I136" s="15">
        <f>IFERROR(INDEX(輔助計算!$D:$D, (MATCH(135, 輔助計算!$G$2:$G$801, 0)+1)), "")</f>
        <v/>
      </c>
      <c r="J136" s="15">
        <f>IFERROR(IF(AND(INDEX(輔助計算!$D:$D, (MATCH(135, 輔助計算!$G$2:$G$801, 0)+1))&lt;&gt;"", INDEX(ERP資料!$G:$G, (MATCH(135, 輔助計算!$G$2:$G$801, 0)+1))&lt;&gt;""), TRIM(IF(INT(INDEX(輔助計算!$D:$D, (MATCH(135, 輔助計算!$G$2:$G$801, 0)+1))/IF(INDEX(ERP資料!$G:$G, (MATCH(135, 輔助計算!$G$2:$G$801, 0)+1))&lt;100, IF(INDEX(ERP資料!$G:$G, (MATCH(135, 輔助計算!$G$2:$G$801, 0)+1))&lt;=31,3,IF(INDEX(ERP資料!$G:$G, (MATCH(135, 輔助計算!$G$2:$G$801, 0)+1))&lt;=46.5,2,1)), IF(INDEX(ERP資料!$G:$G, (MATCH(135, 輔助計算!$G$2:$G$801, 0)+1))&lt;=790,3,IF(INDEX(ERP資料!$G:$G, (MATCH(135, 輔助計算!$G$2:$G$801, 0)+1))&lt;=1181,2,1))))&gt;0, IF(IF(INDEX(ERP資料!$G:$G, (MATCH(135, 輔助計算!$G$2:$G$801, 0)+1))&lt;100, IF(INDEX(ERP資料!$G:$G, (MATCH(135, 輔助計算!$G$2:$G$801, 0)+1))&lt;=31,3,IF(INDEX(ERP資料!$G:$G, (MATCH(135, 輔助計算!$G$2:$G$801, 0)+1))&lt;=46.5,2,1)), IF(INDEX(ERP資料!$G:$G, (MATCH(135, 輔助計算!$G$2:$G$801, 0)+1))&lt;=790,3,IF(INDEX(ERP資料!$G:$G, (MATCH(135, 輔助計算!$G$2:$G$801, 0)+1))&lt;=1181,2,1)))=1,TEXT(INDEX(ERP資料!$G:$G, (MATCH(135, 輔助計算!$G$2:$G$801, 0)+1)),"0.##"),IF(IF(INDEX(ERP資料!$G:$G, (MATCH(135, 輔助計算!$G$2:$G$801, 0)+1))&lt;100, IF(INDEX(ERP資料!$G:$G, (MATCH(135, 輔助計算!$G$2:$G$801, 0)+1))&lt;=31,3,IF(INDEX(ERP資料!$G:$G, (MATCH(135, 輔助計算!$G$2:$G$801, 0)+1))&lt;=46.5,2,1)), IF(INDEX(ERP資料!$G:$G, (MATCH(135, 輔助計算!$G$2:$G$801, 0)+1))&lt;=790,3,IF(INDEX(ERP資料!$G:$G, (MATCH(135, 輔助計算!$G$2:$G$801, 0)+1))&lt;=1181,2,1)))=2,TEXT(INDEX(ERP資料!$G:$G, (MATCH(135, 輔助計算!$G$2:$G$801, 0)+1)),"0.##")&amp;"+"&amp;TEXT(INDEX(ERP資料!$G:$G, (MATCH(135, 輔助計算!$G$2:$G$801, 0)+1)),"0.##"),TEXT(INDEX(ERP資料!$G:$G, (MATCH(135, 輔助計算!$G$2:$G$801, 0)+1)),"0.##")&amp;"+"&amp;TEXT(INDEX(ERP資料!$G:$G, (MATCH(135, 輔助計算!$G$2:$G$801, 0)+1)),"0.##")&amp;"+"&amp;TEXT(INDEX(ERP資料!$G:$G, (MATCH(135, 輔助計算!$G$2:$G$801, 0)+1)),"0.##")))&amp;"-"&amp;INT(INDEX(輔助計算!$D:$D, (MATCH(135, 輔助計算!$G$2:$G$801, 0)+1))/IF(INDEX(ERP資料!$G:$G, (MATCH(135, 輔助計算!$G$2:$G$801, 0)+1))&lt;100, IF(INDEX(ERP資料!$G:$G, (MATCH(135, 輔助計算!$G$2:$G$801, 0)+1))&lt;=31,3,IF(INDEX(ERP資料!$G:$G, (MATCH(135, 輔助計算!$G$2:$G$801, 0)+1))&lt;=46.5,2,1)), IF(INDEX(ERP資料!$G:$G, (MATCH(135, 輔助計算!$G$2:$G$801, 0)+1))&lt;=790,3,IF(INDEX(ERP資料!$G:$G, (MATCH(135, 輔助計算!$G$2:$G$801, 0)+1))&lt;=1181,2,1)))), "")&amp;IF(AND(IF(INT(INDEX(輔助計算!$D:$D, (MATCH(135, 輔助計算!$G$2:$G$801, 0)+1))/IF(INDEX(ERP資料!$G:$G, (MATCH(135, 輔助計算!$G$2:$G$801, 0)+1))&lt;100, IF(INDEX(ERP資料!$G:$G, (MATCH(135, 輔助計算!$G$2:$G$801, 0)+1))&lt;=31,3,IF(INDEX(ERP資料!$G:$G, (MATCH(135, 輔助計算!$G$2:$G$801, 0)+1))&lt;=46.5,2,1)), IF(INDEX(ERP資料!$G:$G, (MATCH(135, 輔助計算!$G$2:$G$801, 0)+1))&lt;=790,3,IF(INDEX(ERP資料!$G:$G, (MATCH(135, 輔助計算!$G$2:$G$801, 0)+1))&lt;=1181,2,1))))&gt;0, IF(IF(INDEX(ERP資料!$G:$G, (MATCH(135, 輔助計算!$G$2:$G$801, 0)+1))&lt;100, IF(INDEX(ERP資料!$G:$G, (MATCH(135, 輔助計算!$G$2:$G$801, 0)+1))&lt;=31,3,IF(INDEX(ERP資料!$G:$G, (MATCH(135, 輔助計算!$G$2:$G$801, 0)+1))&lt;=46.5,2,1)), IF(INDEX(ERP資料!$G:$G, (MATCH(135, 輔助計算!$G$2:$G$801, 0)+1))&lt;=790,3,IF(INDEX(ERP資料!$G:$G, (MATCH(135, 輔助計算!$G$2:$G$801, 0)+1))&lt;=1181,2,1)))=1,TEXT(INDEX(ERP資料!$G:$G, (MATCH(135, 輔助計算!$G$2:$G$801, 0)+1)),"0.##"),IF(IF(INDEX(ERP資料!$G:$G, (MATCH(135, 輔助計算!$G$2:$G$801, 0)+1))&lt;100, IF(INDEX(ERP資料!$G:$G, (MATCH(135, 輔助計算!$G$2:$G$801, 0)+1))&lt;=31,3,IF(INDEX(ERP資料!$G:$G, (MATCH(135, 輔助計算!$G$2:$G$801, 0)+1))&lt;=46.5,2,1)), IF(INDEX(ERP資料!$G:$G, (MATCH(135, 輔助計算!$G$2:$G$801, 0)+1))&lt;=790,3,IF(INDEX(ERP資料!$G:$G, (MATCH(135, 輔助計算!$G$2:$G$801, 0)+1))&lt;=1181,2,1)))=2,TEXT(INDEX(ERP資料!$G:$G, (MATCH(135, 輔助計算!$G$2:$G$801, 0)+1)),"0.##")&amp;"+"&amp;TEXT(INDEX(ERP資料!$G:$G, (MATCH(135, 輔助計算!$G$2:$G$801, 0)+1)),"0.##"),TEXT(INDEX(ERP資料!$G:$G, (MATCH(135, 輔助計算!$G$2:$G$801, 0)+1)),"0.##")&amp;"+"&amp;TEXT(INDEX(ERP資料!$G:$G, (MATCH(135, 輔助計算!$G$2:$G$801, 0)+1)),"0.##")&amp;"+"&amp;TEXT(INDEX(ERP資料!$G:$G, (MATCH(135, 輔助計算!$G$2:$G$801, 0)+1)),"0.##")))&amp;"-"&amp;INT(INDEX(輔助計算!$D:$D, (MATCH(135, 輔助計算!$G$2:$G$801, 0)+1))/IF(INDEX(ERP資料!$G:$G, (MATCH(135, 輔助計算!$G$2:$G$801, 0)+1))&lt;100, IF(INDEX(ERP資料!$G:$G, (MATCH(135, 輔助計算!$G$2:$G$801, 0)+1))&lt;=31,3,IF(INDEX(ERP資料!$G:$G, (MATCH(135, 輔助計算!$G$2:$G$801, 0)+1))&lt;=46.5,2,1)), IF(INDEX(ERP資料!$G:$G, (MATCH(135, 輔助計算!$G$2:$G$801, 0)+1))&lt;=790,3,IF(INDEX(ERP資料!$G:$G, (MATCH(135, 輔助計算!$G$2:$G$801, 0)+1))&lt;=1181,2,1)))), "")&lt;&gt;"",IF(MOD(INDEX(輔助計算!$D:$D, (MATCH(135, 輔助計算!$G$2:$G$801, 0)+1)),IF(INDEX(ERP資料!$G:$G, (MATCH(135, 輔助計算!$G$2:$G$801, 0)+1))&lt;100, IF(INDEX(ERP資料!$G:$G, (MATCH(135, 輔助計算!$G$2:$G$801, 0)+1))&lt;=31,3,IF(INDEX(ERP資料!$G:$G, (MATCH(135, 輔助計算!$G$2:$G$801, 0)+1))&lt;=46.5,2,1)), IF(INDEX(ERP資料!$G:$G, (MATCH(135, 輔助計算!$G$2:$G$801, 0)+1))&lt;=790,3,IF(INDEX(ERP資料!$G:$G, (MATCH(135, 輔助計算!$G$2:$G$801, 0)+1))&lt;=1181,2,1))))=0,"",IF(MOD(INDEX(輔助計算!$D:$D, (MATCH(135, 輔助計算!$G$2:$G$801, 0)+1)),IF(INDEX(ERP資料!$G:$G, (MATCH(135, 輔助計算!$G$2:$G$801, 0)+1))&lt;100, IF(INDEX(ERP資料!$G:$G, (MATCH(135, 輔助計算!$G$2:$G$801, 0)+1))&lt;=31,3,IF(INDEX(ERP資料!$G:$G, (MATCH(135, 輔助計算!$G$2:$G$801, 0)+1))&lt;=46.5,2,1)), IF(INDEX(ERP資料!$G:$G, (MATCH(135, 輔助計算!$G$2:$G$801, 0)+1))&lt;=790,3,IF(INDEX(ERP資料!$G:$G, (MATCH(135, 輔助計算!$G$2:$G$801, 0)+1))&lt;=1181,2,1))))=0,"",IF(MOD(INDEX(輔助計算!$D:$D, (MATCH(135, 輔助計算!$G$2:$G$801, 0)+1)),IF(INDEX(ERP資料!$G:$G, (MATCH(135, 輔助計算!$G$2:$G$801, 0)+1))&lt;100, IF(INDEX(ERP資料!$G:$G, (MATCH(135, 輔助計算!$G$2:$G$801, 0)+1))&lt;=31,3,IF(INDEX(ERP資料!$G:$G, (MATCH(135, 輔助計算!$G$2:$G$801, 0)+1))&lt;=46.5,2,1)), IF(INDEX(ERP資料!$G:$G, (MATCH(135, 輔助計算!$G$2:$G$801, 0)+1))&lt;=790,3,IF(INDEX(ERP資料!$G:$G, (MATCH(135, 輔助計算!$G$2:$G$801, 0)+1))&lt;=1181,2,1))))=1,TEXT(INDEX(ERP資料!$G:$G, (MATCH(135, 輔助計算!$G$2:$G$801, 0)+1)),"0.##"),IF(MOD(INDEX(輔助計算!$D:$D, (MATCH(135, 輔助計算!$G$2:$G$801, 0)+1)),IF(INDEX(ERP資料!$G:$G, (MATCH(135, 輔助計算!$G$2:$G$801, 0)+1))&lt;100, IF(INDEX(ERP資料!$G:$G, (MATCH(135, 輔助計算!$G$2:$G$801, 0)+1))&lt;=31,3,IF(INDEX(ERP資料!$G:$G, (MATCH(135, 輔助計算!$G$2:$G$801, 0)+1))&lt;=46.5,2,1)), IF(INDEX(ERP資料!$G:$G, (MATCH(135, 輔助計算!$G$2:$G$801, 0)+1))&lt;=790,3,IF(INDEX(ERP資料!$G:$G, (MATCH(135, 輔助計算!$G$2:$G$801, 0)+1))&lt;=1181,2,1))))=2,TEXT(INDEX(ERP資料!$G:$G, (MATCH(135, 輔助計算!$G$2:$G$801, 0)+1)),"0.##")&amp;"+"&amp;TEXT(INDEX(ERP資料!$G:$G, (MATCH(135, 輔助計算!$G$2:$G$801, 0)+1)),"0.##"),TEXT(INDEX(ERP資料!$G:$G, (MATCH(135, 輔助計算!$G$2:$G$801, 0)+1)),"0.##")&amp;"+"&amp;TEXT(INDEX(ERP資料!$G:$G, (MATCH(135, 輔助計算!$G$2:$G$801, 0)+1)),"0.##")&amp;"+"&amp;TEXT(INDEX(ERP資料!$G:$G, (MATCH(135, 輔助計算!$G$2:$G$801, 0)+1)),"0.##"))))&amp;"-1")&lt;&gt;""),"  ","")&amp;IF(MOD(INDEX(輔助計算!$D:$D, (MATCH(135, 輔助計算!$G$2:$G$801, 0)+1)),IF(INDEX(ERP資料!$G:$G, (MATCH(135, 輔助計算!$G$2:$G$801, 0)+1))&lt;100, IF(INDEX(ERP資料!$G:$G, (MATCH(135, 輔助計算!$G$2:$G$801, 0)+1))&lt;=31,3,IF(INDEX(ERP資料!$G:$G, (MATCH(135, 輔助計算!$G$2:$G$801, 0)+1))&lt;=46.5,2,1)), IF(INDEX(ERP資料!$G:$G, (MATCH(135, 輔助計算!$G$2:$G$801, 0)+1))&lt;=790,3,IF(INDEX(ERP資料!$G:$G, (MATCH(135, 輔助計算!$G$2:$G$801, 0)+1))&lt;=1181,2,1))))=0,"",IF(MOD(INDEX(輔助計算!$D:$D, (MATCH(135, 輔助計算!$G$2:$G$801, 0)+1)),IF(INDEX(ERP資料!$G:$G, (MATCH(135, 輔助計算!$G$2:$G$801, 0)+1))&lt;100, IF(INDEX(ERP資料!$G:$G, (MATCH(135, 輔助計算!$G$2:$G$801, 0)+1))&lt;=31,3,IF(INDEX(ERP資料!$G:$G, (MATCH(135, 輔助計算!$G$2:$G$801, 0)+1))&lt;=46.5,2,1)), IF(INDEX(ERP資料!$G:$G, (MATCH(135, 輔助計算!$G$2:$G$801, 0)+1))&lt;=790,3,IF(INDEX(ERP資料!$G:$G, (MATCH(135, 輔助計算!$G$2:$G$801, 0)+1))&lt;=1181,2,1))))=0,"",IF(MOD(INDEX(輔助計算!$D:$D, (MATCH(135, 輔助計算!$G$2:$G$801, 0)+1)),IF(INDEX(ERP資料!$G:$G, (MATCH(135, 輔助計算!$G$2:$G$801, 0)+1))&lt;100, IF(INDEX(ERP資料!$G:$G, (MATCH(135, 輔助計算!$G$2:$G$801, 0)+1))&lt;=31,3,IF(INDEX(ERP資料!$G:$G, (MATCH(135, 輔助計算!$G$2:$G$801, 0)+1))&lt;=46.5,2,1)), IF(INDEX(ERP資料!$G:$G, (MATCH(135, 輔助計算!$G$2:$G$801, 0)+1))&lt;=790,3,IF(INDEX(ERP資料!$G:$G, (MATCH(135, 輔助計算!$G$2:$G$801, 0)+1))&lt;=1181,2,1))))=1,TEXT(INDEX(ERP資料!$G:$G, (MATCH(135, 輔助計算!$G$2:$G$801, 0)+1)),"0.##"),IF(MOD(INDEX(輔助計算!$D:$D, (MATCH(135, 輔助計算!$G$2:$G$801, 0)+1)),IF(INDEX(ERP資料!$G:$G, (MATCH(135, 輔助計算!$G$2:$G$801, 0)+1))&lt;100, IF(INDEX(ERP資料!$G:$G, (MATCH(135, 輔助計算!$G$2:$G$801, 0)+1))&lt;=31,3,IF(INDEX(ERP資料!$G:$G, (MATCH(135, 輔助計算!$G$2:$G$801, 0)+1))&lt;=46.5,2,1)), IF(INDEX(ERP資料!$G:$G, (MATCH(135, 輔助計算!$G$2:$G$801, 0)+1))&lt;=790,3,IF(INDEX(ERP資料!$G:$G, (MATCH(135, 輔助計算!$G$2:$G$801, 0)+1))&lt;=1181,2,1))))=2,TEXT(INDEX(ERP資料!$G:$G, (MATCH(135, 輔助計算!$G$2:$G$801, 0)+1)),"0.##")&amp;"+"&amp;TEXT(INDEX(ERP資料!$G:$G, (MATCH(135, 輔助計算!$G$2:$G$801, 0)+1)),"0.##"),TEXT(INDEX(ERP資料!$G:$G, (MATCH(135, 輔助計算!$G$2:$G$801, 0)+1)),"0.##")&amp;"+"&amp;TEXT(INDEX(ERP資料!$G:$G, (MATCH(135, 輔助計算!$G$2:$G$801, 0)+1)),"0.##")&amp;"+"&amp;TEXT(INDEX(ERP資料!$G:$G, (MATCH(135, 輔助計算!$G$2:$G$801, 0)+1)),"0.##"))))&amp;"-1")), ""), "")</f>
        <v/>
      </c>
      <c r="K136" s="16" t="n"/>
      <c r="L136" s="14">
        <f>IFERROR(IF(AND(IFERROR(INDEX(ERP資料!$A:$A, (MATCH(135, 輔助計算!$G$2:$G$801, 0)+1)), "")&lt;&gt;"", IFERROR(INDEX(ERP資料!$A:$A, (MATCH(135, 輔助計算!$G$2:$G$801, 0)+1)), "")&lt;&gt;IFERROR(INDEX(ERP資料!$A:$A, MATCH(134, 輔助計算!$G$2:$G$801, 0)+1), "")), INDEX(ERP資料!$B:$B, (MATCH(135, 輔助計算!$G$2:$G$801, 0)+1)), ""), "")</f>
        <v/>
      </c>
      <c r="M136" s="17" t="n"/>
    </row>
    <row r="137">
      <c r="A137" s="10">
        <f>IFERROR(IF(AND(IFERROR(INDEX(ERP資料!$A:$A, (MATCH(136, 輔助計算!$G$2:$G$801, 0)+1)), "")&lt;&gt;"", IFERROR(INDEX(ERP資料!$A:$A, (MATCH(136, 輔助計算!$G$2:$G$801, 0)+1)), "")&lt;&gt;IFERROR(INDEX(ERP資料!$A:$A, MATCH(135, 輔助計算!$G$2:$G$801, 0)+1), "")), IFERROR(INDEX(ERP資料!$A:$A, (MATCH(136, 輔助計算!$G$2:$G$801, 0)+1)), ""), ""), "")</f>
        <v/>
      </c>
      <c r="B137" s="10">
        <f>IFERROR(IF(AND(IFERROR(INDEX(ERP資料!$A:$A, (MATCH(136, 輔助計算!$G$2:$G$801, 0)+1)), "")&lt;&gt;"", IFERROR(INDEX(ERP資料!$A:$A, (MATCH(136, 輔助計算!$G$2:$G$801, 0)+1)), "")&lt;&gt;IFERROR(INDEX(ERP資料!$A:$A, MATCH(135, 輔助計算!$G$2:$G$801, 0)+1), "")), INDEX(ERP資料!$S:$S, (MATCH(136, 輔助計算!$G$2:$G$801, 0)+1)), ""), "")</f>
        <v/>
      </c>
      <c r="C137" s="19">
        <f>IFERROR(IF(AND(IFERROR(INDEX(ERP資料!$A:$A, (MATCH(136, 輔助計算!$G$2:$G$801, 0)+1)), "")&lt;&gt;"", IFERROR(INDEX(ERP資料!$A:$A, (MATCH(136, 輔助計算!$G$2:$G$801, 0)+1)), "")&lt;&gt;IFERROR(INDEX(ERP資料!$A:$A, MATCH(135, 輔助計算!$G$2:$G$801, 0)+1), "")), IFERROR(VLOOKUP(LEFT(INDEX(ERP資料!$S:$S, (MATCH(136, 輔助計算!$G$2:$G$801, 0)+1)), 4), 紙管對照表!$A:$C, 3, FALSE), ""), ""), "")</f>
        <v/>
      </c>
      <c r="D137" s="16" t="n"/>
      <c r="E137" s="10">
        <f>IFERROR(IF(INDEX(ERP資料!$H:$H, (MATCH(136, 輔助計算!$G$2:$G$801, 0)+1))="","",INDEX(ERP資料!$H:$H, (MATCH(136, 輔助計算!$G$2:$G$801, 0)+1))), "")</f>
        <v/>
      </c>
      <c r="F137" s="10">
        <f>IFERROR(IF(INDEX(ERP資料!$E:$E, (MATCH(136, 輔助計算!$G$2:$G$801, 0)+1))="","",TRIM(INDEX(ERP資料!$E:$E, (MATCH(136, 輔助計算!$G$2:$G$801, 0)+1)))), "")</f>
        <v/>
      </c>
      <c r="G137" s="10">
        <f>IFERROR(IF(INDEX(ERP資料!$F:$F, (MATCH(136, 輔助計算!$G$2:$G$801, 0)+1))="","",INDEX(ERP資料!$F:$F, (MATCH(136, 輔助計算!$G$2:$G$801, 0)+1))), "")</f>
        <v/>
      </c>
      <c r="H137" s="10">
        <f>IFERROR(IF(INDEX(ERP資料!$G:$G, (MATCH(136, 輔助計算!$G$2:$G$801, 0)+1))="","",INDEX(ERP資料!$G:$G, (MATCH(136, 輔助計算!$G$2:$G$801, 0)+1))), "")</f>
        <v/>
      </c>
      <c r="I137" s="15">
        <f>IFERROR(INDEX(輔助計算!$D:$D, (MATCH(136, 輔助計算!$G$2:$G$801, 0)+1)), "")</f>
        <v/>
      </c>
      <c r="J137" s="15">
        <f>IFERROR(IF(AND(INDEX(輔助計算!$D:$D, (MATCH(136, 輔助計算!$G$2:$G$801, 0)+1))&lt;&gt;"", INDEX(ERP資料!$G:$G, (MATCH(136, 輔助計算!$G$2:$G$801, 0)+1))&lt;&gt;""), TRIM(IF(INT(INDEX(輔助計算!$D:$D, (MATCH(136, 輔助計算!$G$2:$G$801, 0)+1))/IF(INDEX(ERP資料!$G:$G, (MATCH(136, 輔助計算!$G$2:$G$801, 0)+1))&lt;100, IF(INDEX(ERP資料!$G:$G, (MATCH(136, 輔助計算!$G$2:$G$801, 0)+1))&lt;=31,3,IF(INDEX(ERP資料!$G:$G, (MATCH(136, 輔助計算!$G$2:$G$801, 0)+1))&lt;=46.5,2,1)), IF(INDEX(ERP資料!$G:$G, (MATCH(136, 輔助計算!$G$2:$G$801, 0)+1))&lt;=790,3,IF(INDEX(ERP資料!$G:$G, (MATCH(136, 輔助計算!$G$2:$G$801, 0)+1))&lt;=1181,2,1))))&gt;0, IF(IF(INDEX(ERP資料!$G:$G, (MATCH(136, 輔助計算!$G$2:$G$801, 0)+1))&lt;100, IF(INDEX(ERP資料!$G:$G, (MATCH(136, 輔助計算!$G$2:$G$801, 0)+1))&lt;=31,3,IF(INDEX(ERP資料!$G:$G, (MATCH(136, 輔助計算!$G$2:$G$801, 0)+1))&lt;=46.5,2,1)), IF(INDEX(ERP資料!$G:$G, (MATCH(136, 輔助計算!$G$2:$G$801, 0)+1))&lt;=790,3,IF(INDEX(ERP資料!$G:$G, (MATCH(136, 輔助計算!$G$2:$G$801, 0)+1))&lt;=1181,2,1)))=1,TEXT(INDEX(ERP資料!$G:$G, (MATCH(136, 輔助計算!$G$2:$G$801, 0)+1)),"0.##"),IF(IF(INDEX(ERP資料!$G:$G, (MATCH(136, 輔助計算!$G$2:$G$801, 0)+1))&lt;100, IF(INDEX(ERP資料!$G:$G, (MATCH(136, 輔助計算!$G$2:$G$801, 0)+1))&lt;=31,3,IF(INDEX(ERP資料!$G:$G, (MATCH(136, 輔助計算!$G$2:$G$801, 0)+1))&lt;=46.5,2,1)), IF(INDEX(ERP資料!$G:$G, (MATCH(136, 輔助計算!$G$2:$G$801, 0)+1))&lt;=790,3,IF(INDEX(ERP資料!$G:$G, (MATCH(136, 輔助計算!$G$2:$G$801, 0)+1))&lt;=1181,2,1)))=2,TEXT(INDEX(ERP資料!$G:$G, (MATCH(136, 輔助計算!$G$2:$G$801, 0)+1)),"0.##")&amp;"+"&amp;TEXT(INDEX(ERP資料!$G:$G, (MATCH(136, 輔助計算!$G$2:$G$801, 0)+1)),"0.##"),TEXT(INDEX(ERP資料!$G:$G, (MATCH(136, 輔助計算!$G$2:$G$801, 0)+1)),"0.##")&amp;"+"&amp;TEXT(INDEX(ERP資料!$G:$G, (MATCH(136, 輔助計算!$G$2:$G$801, 0)+1)),"0.##")&amp;"+"&amp;TEXT(INDEX(ERP資料!$G:$G, (MATCH(136, 輔助計算!$G$2:$G$801, 0)+1)),"0.##")))&amp;"-"&amp;INT(INDEX(輔助計算!$D:$D, (MATCH(136, 輔助計算!$G$2:$G$801, 0)+1))/IF(INDEX(ERP資料!$G:$G, (MATCH(136, 輔助計算!$G$2:$G$801, 0)+1))&lt;100, IF(INDEX(ERP資料!$G:$G, (MATCH(136, 輔助計算!$G$2:$G$801, 0)+1))&lt;=31,3,IF(INDEX(ERP資料!$G:$G, (MATCH(136, 輔助計算!$G$2:$G$801, 0)+1))&lt;=46.5,2,1)), IF(INDEX(ERP資料!$G:$G, (MATCH(136, 輔助計算!$G$2:$G$801, 0)+1))&lt;=790,3,IF(INDEX(ERP資料!$G:$G, (MATCH(136, 輔助計算!$G$2:$G$801, 0)+1))&lt;=1181,2,1)))), "")&amp;IF(AND(IF(INT(INDEX(輔助計算!$D:$D, (MATCH(136, 輔助計算!$G$2:$G$801, 0)+1))/IF(INDEX(ERP資料!$G:$G, (MATCH(136, 輔助計算!$G$2:$G$801, 0)+1))&lt;100, IF(INDEX(ERP資料!$G:$G, (MATCH(136, 輔助計算!$G$2:$G$801, 0)+1))&lt;=31,3,IF(INDEX(ERP資料!$G:$G, (MATCH(136, 輔助計算!$G$2:$G$801, 0)+1))&lt;=46.5,2,1)), IF(INDEX(ERP資料!$G:$G, (MATCH(136, 輔助計算!$G$2:$G$801, 0)+1))&lt;=790,3,IF(INDEX(ERP資料!$G:$G, (MATCH(136, 輔助計算!$G$2:$G$801, 0)+1))&lt;=1181,2,1))))&gt;0, IF(IF(INDEX(ERP資料!$G:$G, (MATCH(136, 輔助計算!$G$2:$G$801, 0)+1))&lt;100, IF(INDEX(ERP資料!$G:$G, (MATCH(136, 輔助計算!$G$2:$G$801, 0)+1))&lt;=31,3,IF(INDEX(ERP資料!$G:$G, (MATCH(136, 輔助計算!$G$2:$G$801, 0)+1))&lt;=46.5,2,1)), IF(INDEX(ERP資料!$G:$G, (MATCH(136, 輔助計算!$G$2:$G$801, 0)+1))&lt;=790,3,IF(INDEX(ERP資料!$G:$G, (MATCH(136, 輔助計算!$G$2:$G$801, 0)+1))&lt;=1181,2,1)))=1,TEXT(INDEX(ERP資料!$G:$G, (MATCH(136, 輔助計算!$G$2:$G$801, 0)+1)),"0.##"),IF(IF(INDEX(ERP資料!$G:$G, (MATCH(136, 輔助計算!$G$2:$G$801, 0)+1))&lt;100, IF(INDEX(ERP資料!$G:$G, (MATCH(136, 輔助計算!$G$2:$G$801, 0)+1))&lt;=31,3,IF(INDEX(ERP資料!$G:$G, (MATCH(136, 輔助計算!$G$2:$G$801, 0)+1))&lt;=46.5,2,1)), IF(INDEX(ERP資料!$G:$G, (MATCH(136, 輔助計算!$G$2:$G$801, 0)+1))&lt;=790,3,IF(INDEX(ERP資料!$G:$G, (MATCH(136, 輔助計算!$G$2:$G$801, 0)+1))&lt;=1181,2,1)))=2,TEXT(INDEX(ERP資料!$G:$G, (MATCH(136, 輔助計算!$G$2:$G$801, 0)+1)),"0.##")&amp;"+"&amp;TEXT(INDEX(ERP資料!$G:$G, (MATCH(136, 輔助計算!$G$2:$G$801, 0)+1)),"0.##"),TEXT(INDEX(ERP資料!$G:$G, (MATCH(136, 輔助計算!$G$2:$G$801, 0)+1)),"0.##")&amp;"+"&amp;TEXT(INDEX(ERP資料!$G:$G, (MATCH(136, 輔助計算!$G$2:$G$801, 0)+1)),"0.##")&amp;"+"&amp;TEXT(INDEX(ERP資料!$G:$G, (MATCH(136, 輔助計算!$G$2:$G$801, 0)+1)),"0.##")))&amp;"-"&amp;INT(INDEX(輔助計算!$D:$D, (MATCH(136, 輔助計算!$G$2:$G$801, 0)+1))/IF(INDEX(ERP資料!$G:$G, (MATCH(136, 輔助計算!$G$2:$G$801, 0)+1))&lt;100, IF(INDEX(ERP資料!$G:$G, (MATCH(136, 輔助計算!$G$2:$G$801, 0)+1))&lt;=31,3,IF(INDEX(ERP資料!$G:$G, (MATCH(136, 輔助計算!$G$2:$G$801, 0)+1))&lt;=46.5,2,1)), IF(INDEX(ERP資料!$G:$G, (MATCH(136, 輔助計算!$G$2:$G$801, 0)+1))&lt;=790,3,IF(INDEX(ERP資料!$G:$G, (MATCH(136, 輔助計算!$G$2:$G$801, 0)+1))&lt;=1181,2,1)))), "")&lt;&gt;"",IF(MOD(INDEX(輔助計算!$D:$D, (MATCH(136, 輔助計算!$G$2:$G$801, 0)+1)),IF(INDEX(ERP資料!$G:$G, (MATCH(136, 輔助計算!$G$2:$G$801, 0)+1))&lt;100, IF(INDEX(ERP資料!$G:$G, (MATCH(136, 輔助計算!$G$2:$G$801, 0)+1))&lt;=31,3,IF(INDEX(ERP資料!$G:$G, (MATCH(136, 輔助計算!$G$2:$G$801, 0)+1))&lt;=46.5,2,1)), IF(INDEX(ERP資料!$G:$G, (MATCH(136, 輔助計算!$G$2:$G$801, 0)+1))&lt;=790,3,IF(INDEX(ERP資料!$G:$G, (MATCH(136, 輔助計算!$G$2:$G$801, 0)+1))&lt;=1181,2,1))))=0,"",IF(MOD(INDEX(輔助計算!$D:$D, (MATCH(136, 輔助計算!$G$2:$G$801, 0)+1)),IF(INDEX(ERP資料!$G:$G, (MATCH(136, 輔助計算!$G$2:$G$801, 0)+1))&lt;100, IF(INDEX(ERP資料!$G:$G, (MATCH(136, 輔助計算!$G$2:$G$801, 0)+1))&lt;=31,3,IF(INDEX(ERP資料!$G:$G, (MATCH(136, 輔助計算!$G$2:$G$801, 0)+1))&lt;=46.5,2,1)), IF(INDEX(ERP資料!$G:$G, (MATCH(136, 輔助計算!$G$2:$G$801, 0)+1))&lt;=790,3,IF(INDEX(ERP資料!$G:$G, (MATCH(136, 輔助計算!$G$2:$G$801, 0)+1))&lt;=1181,2,1))))=0,"",IF(MOD(INDEX(輔助計算!$D:$D, (MATCH(136, 輔助計算!$G$2:$G$801, 0)+1)),IF(INDEX(ERP資料!$G:$G, (MATCH(136, 輔助計算!$G$2:$G$801, 0)+1))&lt;100, IF(INDEX(ERP資料!$G:$G, (MATCH(136, 輔助計算!$G$2:$G$801, 0)+1))&lt;=31,3,IF(INDEX(ERP資料!$G:$G, (MATCH(136, 輔助計算!$G$2:$G$801, 0)+1))&lt;=46.5,2,1)), IF(INDEX(ERP資料!$G:$G, (MATCH(136, 輔助計算!$G$2:$G$801, 0)+1))&lt;=790,3,IF(INDEX(ERP資料!$G:$G, (MATCH(136, 輔助計算!$G$2:$G$801, 0)+1))&lt;=1181,2,1))))=1,TEXT(INDEX(ERP資料!$G:$G, (MATCH(136, 輔助計算!$G$2:$G$801, 0)+1)),"0.##"),IF(MOD(INDEX(輔助計算!$D:$D, (MATCH(136, 輔助計算!$G$2:$G$801, 0)+1)),IF(INDEX(ERP資料!$G:$G, (MATCH(136, 輔助計算!$G$2:$G$801, 0)+1))&lt;100, IF(INDEX(ERP資料!$G:$G, (MATCH(136, 輔助計算!$G$2:$G$801, 0)+1))&lt;=31,3,IF(INDEX(ERP資料!$G:$G, (MATCH(136, 輔助計算!$G$2:$G$801, 0)+1))&lt;=46.5,2,1)), IF(INDEX(ERP資料!$G:$G, (MATCH(136, 輔助計算!$G$2:$G$801, 0)+1))&lt;=790,3,IF(INDEX(ERP資料!$G:$G, (MATCH(136, 輔助計算!$G$2:$G$801, 0)+1))&lt;=1181,2,1))))=2,TEXT(INDEX(ERP資料!$G:$G, (MATCH(136, 輔助計算!$G$2:$G$801, 0)+1)),"0.##")&amp;"+"&amp;TEXT(INDEX(ERP資料!$G:$G, (MATCH(136, 輔助計算!$G$2:$G$801, 0)+1)),"0.##"),TEXT(INDEX(ERP資料!$G:$G, (MATCH(136, 輔助計算!$G$2:$G$801, 0)+1)),"0.##")&amp;"+"&amp;TEXT(INDEX(ERP資料!$G:$G, (MATCH(136, 輔助計算!$G$2:$G$801, 0)+1)),"0.##")&amp;"+"&amp;TEXT(INDEX(ERP資料!$G:$G, (MATCH(136, 輔助計算!$G$2:$G$801, 0)+1)),"0.##"))))&amp;"-1")&lt;&gt;""),"  ","")&amp;IF(MOD(INDEX(輔助計算!$D:$D, (MATCH(136, 輔助計算!$G$2:$G$801, 0)+1)),IF(INDEX(ERP資料!$G:$G, (MATCH(136, 輔助計算!$G$2:$G$801, 0)+1))&lt;100, IF(INDEX(ERP資料!$G:$G, (MATCH(136, 輔助計算!$G$2:$G$801, 0)+1))&lt;=31,3,IF(INDEX(ERP資料!$G:$G, (MATCH(136, 輔助計算!$G$2:$G$801, 0)+1))&lt;=46.5,2,1)), IF(INDEX(ERP資料!$G:$G, (MATCH(136, 輔助計算!$G$2:$G$801, 0)+1))&lt;=790,3,IF(INDEX(ERP資料!$G:$G, (MATCH(136, 輔助計算!$G$2:$G$801, 0)+1))&lt;=1181,2,1))))=0,"",IF(MOD(INDEX(輔助計算!$D:$D, (MATCH(136, 輔助計算!$G$2:$G$801, 0)+1)),IF(INDEX(ERP資料!$G:$G, (MATCH(136, 輔助計算!$G$2:$G$801, 0)+1))&lt;100, IF(INDEX(ERP資料!$G:$G, (MATCH(136, 輔助計算!$G$2:$G$801, 0)+1))&lt;=31,3,IF(INDEX(ERP資料!$G:$G, (MATCH(136, 輔助計算!$G$2:$G$801, 0)+1))&lt;=46.5,2,1)), IF(INDEX(ERP資料!$G:$G, (MATCH(136, 輔助計算!$G$2:$G$801, 0)+1))&lt;=790,3,IF(INDEX(ERP資料!$G:$G, (MATCH(136, 輔助計算!$G$2:$G$801, 0)+1))&lt;=1181,2,1))))=0,"",IF(MOD(INDEX(輔助計算!$D:$D, (MATCH(136, 輔助計算!$G$2:$G$801, 0)+1)),IF(INDEX(ERP資料!$G:$G, (MATCH(136, 輔助計算!$G$2:$G$801, 0)+1))&lt;100, IF(INDEX(ERP資料!$G:$G, (MATCH(136, 輔助計算!$G$2:$G$801, 0)+1))&lt;=31,3,IF(INDEX(ERP資料!$G:$G, (MATCH(136, 輔助計算!$G$2:$G$801, 0)+1))&lt;=46.5,2,1)), IF(INDEX(ERP資料!$G:$G, (MATCH(136, 輔助計算!$G$2:$G$801, 0)+1))&lt;=790,3,IF(INDEX(ERP資料!$G:$G, (MATCH(136, 輔助計算!$G$2:$G$801, 0)+1))&lt;=1181,2,1))))=1,TEXT(INDEX(ERP資料!$G:$G, (MATCH(136, 輔助計算!$G$2:$G$801, 0)+1)),"0.##"),IF(MOD(INDEX(輔助計算!$D:$D, (MATCH(136, 輔助計算!$G$2:$G$801, 0)+1)),IF(INDEX(ERP資料!$G:$G, (MATCH(136, 輔助計算!$G$2:$G$801, 0)+1))&lt;100, IF(INDEX(ERP資料!$G:$G, (MATCH(136, 輔助計算!$G$2:$G$801, 0)+1))&lt;=31,3,IF(INDEX(ERP資料!$G:$G, (MATCH(136, 輔助計算!$G$2:$G$801, 0)+1))&lt;=46.5,2,1)), IF(INDEX(ERP資料!$G:$G, (MATCH(136, 輔助計算!$G$2:$G$801, 0)+1))&lt;=790,3,IF(INDEX(ERP資料!$G:$G, (MATCH(136, 輔助計算!$G$2:$G$801, 0)+1))&lt;=1181,2,1))))=2,TEXT(INDEX(ERP資料!$G:$G, (MATCH(136, 輔助計算!$G$2:$G$801, 0)+1)),"0.##")&amp;"+"&amp;TEXT(INDEX(ERP資料!$G:$G, (MATCH(136, 輔助計算!$G$2:$G$801, 0)+1)),"0.##"),TEXT(INDEX(ERP資料!$G:$G, (MATCH(136, 輔助計算!$G$2:$G$801, 0)+1)),"0.##")&amp;"+"&amp;TEXT(INDEX(ERP資料!$G:$G, (MATCH(136, 輔助計算!$G$2:$G$801, 0)+1)),"0.##")&amp;"+"&amp;TEXT(INDEX(ERP資料!$G:$G, (MATCH(136, 輔助計算!$G$2:$G$801, 0)+1)),"0.##"))))&amp;"-1")), ""), "")</f>
        <v/>
      </c>
      <c r="K137" s="16" t="n"/>
      <c r="L137" s="14">
        <f>IFERROR(IF(AND(IFERROR(INDEX(ERP資料!$A:$A, (MATCH(136, 輔助計算!$G$2:$G$801, 0)+1)), "")&lt;&gt;"", IFERROR(INDEX(ERP資料!$A:$A, (MATCH(136, 輔助計算!$G$2:$G$801, 0)+1)), "")&lt;&gt;IFERROR(INDEX(ERP資料!$A:$A, MATCH(135, 輔助計算!$G$2:$G$801, 0)+1), "")), INDEX(ERP資料!$B:$B, (MATCH(136, 輔助計算!$G$2:$G$801, 0)+1)), ""), "")</f>
        <v/>
      </c>
      <c r="M137" s="17" t="n"/>
    </row>
    <row r="138">
      <c r="A138" s="10">
        <f>IFERROR(IF(AND(IFERROR(INDEX(ERP資料!$A:$A, (MATCH(137, 輔助計算!$G$2:$G$801, 0)+1)), "")&lt;&gt;"", IFERROR(INDEX(ERP資料!$A:$A, (MATCH(137, 輔助計算!$G$2:$G$801, 0)+1)), "")&lt;&gt;IFERROR(INDEX(ERP資料!$A:$A, MATCH(136, 輔助計算!$G$2:$G$801, 0)+1), "")), IFERROR(INDEX(ERP資料!$A:$A, (MATCH(137, 輔助計算!$G$2:$G$801, 0)+1)), ""), ""), "")</f>
        <v/>
      </c>
      <c r="B138" s="10">
        <f>IFERROR(IF(AND(IFERROR(INDEX(ERP資料!$A:$A, (MATCH(137, 輔助計算!$G$2:$G$801, 0)+1)), "")&lt;&gt;"", IFERROR(INDEX(ERP資料!$A:$A, (MATCH(137, 輔助計算!$G$2:$G$801, 0)+1)), "")&lt;&gt;IFERROR(INDEX(ERP資料!$A:$A, MATCH(136, 輔助計算!$G$2:$G$801, 0)+1), "")), INDEX(ERP資料!$S:$S, (MATCH(137, 輔助計算!$G$2:$G$801, 0)+1)), ""), "")</f>
        <v/>
      </c>
      <c r="C138" s="19">
        <f>IFERROR(IF(AND(IFERROR(INDEX(ERP資料!$A:$A, (MATCH(137, 輔助計算!$G$2:$G$801, 0)+1)), "")&lt;&gt;"", IFERROR(INDEX(ERP資料!$A:$A, (MATCH(137, 輔助計算!$G$2:$G$801, 0)+1)), "")&lt;&gt;IFERROR(INDEX(ERP資料!$A:$A, MATCH(136, 輔助計算!$G$2:$G$801, 0)+1), "")), IFERROR(VLOOKUP(LEFT(INDEX(ERP資料!$S:$S, (MATCH(137, 輔助計算!$G$2:$G$801, 0)+1)), 4), 紙管對照表!$A:$C, 3, FALSE), ""), ""), "")</f>
        <v/>
      </c>
      <c r="D138" s="16" t="n"/>
      <c r="E138" s="10">
        <f>IFERROR(IF(INDEX(ERP資料!$H:$H, (MATCH(137, 輔助計算!$G$2:$G$801, 0)+1))="","",INDEX(ERP資料!$H:$H, (MATCH(137, 輔助計算!$G$2:$G$801, 0)+1))), "")</f>
        <v/>
      </c>
      <c r="F138" s="10">
        <f>IFERROR(IF(INDEX(ERP資料!$E:$E, (MATCH(137, 輔助計算!$G$2:$G$801, 0)+1))="","",TRIM(INDEX(ERP資料!$E:$E, (MATCH(137, 輔助計算!$G$2:$G$801, 0)+1)))), "")</f>
        <v/>
      </c>
      <c r="G138" s="10">
        <f>IFERROR(IF(INDEX(ERP資料!$F:$F, (MATCH(137, 輔助計算!$G$2:$G$801, 0)+1))="","",INDEX(ERP資料!$F:$F, (MATCH(137, 輔助計算!$G$2:$G$801, 0)+1))), "")</f>
        <v/>
      </c>
      <c r="H138" s="10">
        <f>IFERROR(IF(INDEX(ERP資料!$G:$G, (MATCH(137, 輔助計算!$G$2:$G$801, 0)+1))="","",INDEX(ERP資料!$G:$G, (MATCH(137, 輔助計算!$G$2:$G$801, 0)+1))), "")</f>
        <v/>
      </c>
      <c r="I138" s="15">
        <f>IFERROR(INDEX(輔助計算!$D:$D, (MATCH(137, 輔助計算!$G$2:$G$801, 0)+1)), "")</f>
        <v/>
      </c>
      <c r="J138" s="15">
        <f>IFERROR(IF(AND(INDEX(輔助計算!$D:$D, (MATCH(137, 輔助計算!$G$2:$G$801, 0)+1))&lt;&gt;"", INDEX(ERP資料!$G:$G, (MATCH(137, 輔助計算!$G$2:$G$801, 0)+1))&lt;&gt;""), TRIM(IF(INT(INDEX(輔助計算!$D:$D, (MATCH(137, 輔助計算!$G$2:$G$801, 0)+1))/IF(INDEX(ERP資料!$G:$G, (MATCH(137, 輔助計算!$G$2:$G$801, 0)+1))&lt;100, IF(INDEX(ERP資料!$G:$G, (MATCH(137, 輔助計算!$G$2:$G$801, 0)+1))&lt;=31,3,IF(INDEX(ERP資料!$G:$G, (MATCH(137, 輔助計算!$G$2:$G$801, 0)+1))&lt;=46.5,2,1)), IF(INDEX(ERP資料!$G:$G, (MATCH(137, 輔助計算!$G$2:$G$801, 0)+1))&lt;=790,3,IF(INDEX(ERP資料!$G:$G, (MATCH(137, 輔助計算!$G$2:$G$801, 0)+1))&lt;=1181,2,1))))&gt;0, IF(IF(INDEX(ERP資料!$G:$G, (MATCH(137, 輔助計算!$G$2:$G$801, 0)+1))&lt;100, IF(INDEX(ERP資料!$G:$G, (MATCH(137, 輔助計算!$G$2:$G$801, 0)+1))&lt;=31,3,IF(INDEX(ERP資料!$G:$G, (MATCH(137, 輔助計算!$G$2:$G$801, 0)+1))&lt;=46.5,2,1)), IF(INDEX(ERP資料!$G:$G, (MATCH(137, 輔助計算!$G$2:$G$801, 0)+1))&lt;=790,3,IF(INDEX(ERP資料!$G:$G, (MATCH(137, 輔助計算!$G$2:$G$801, 0)+1))&lt;=1181,2,1)))=1,TEXT(INDEX(ERP資料!$G:$G, (MATCH(137, 輔助計算!$G$2:$G$801, 0)+1)),"0.##"),IF(IF(INDEX(ERP資料!$G:$G, (MATCH(137, 輔助計算!$G$2:$G$801, 0)+1))&lt;100, IF(INDEX(ERP資料!$G:$G, (MATCH(137, 輔助計算!$G$2:$G$801, 0)+1))&lt;=31,3,IF(INDEX(ERP資料!$G:$G, (MATCH(137, 輔助計算!$G$2:$G$801, 0)+1))&lt;=46.5,2,1)), IF(INDEX(ERP資料!$G:$G, (MATCH(137, 輔助計算!$G$2:$G$801, 0)+1))&lt;=790,3,IF(INDEX(ERP資料!$G:$G, (MATCH(137, 輔助計算!$G$2:$G$801, 0)+1))&lt;=1181,2,1)))=2,TEXT(INDEX(ERP資料!$G:$G, (MATCH(137, 輔助計算!$G$2:$G$801, 0)+1)),"0.##")&amp;"+"&amp;TEXT(INDEX(ERP資料!$G:$G, (MATCH(137, 輔助計算!$G$2:$G$801, 0)+1)),"0.##"),TEXT(INDEX(ERP資料!$G:$G, (MATCH(137, 輔助計算!$G$2:$G$801, 0)+1)),"0.##")&amp;"+"&amp;TEXT(INDEX(ERP資料!$G:$G, (MATCH(137, 輔助計算!$G$2:$G$801, 0)+1)),"0.##")&amp;"+"&amp;TEXT(INDEX(ERP資料!$G:$G, (MATCH(137, 輔助計算!$G$2:$G$801, 0)+1)),"0.##")))&amp;"-"&amp;INT(INDEX(輔助計算!$D:$D, (MATCH(137, 輔助計算!$G$2:$G$801, 0)+1))/IF(INDEX(ERP資料!$G:$G, (MATCH(137, 輔助計算!$G$2:$G$801, 0)+1))&lt;100, IF(INDEX(ERP資料!$G:$G, (MATCH(137, 輔助計算!$G$2:$G$801, 0)+1))&lt;=31,3,IF(INDEX(ERP資料!$G:$G, (MATCH(137, 輔助計算!$G$2:$G$801, 0)+1))&lt;=46.5,2,1)), IF(INDEX(ERP資料!$G:$G, (MATCH(137, 輔助計算!$G$2:$G$801, 0)+1))&lt;=790,3,IF(INDEX(ERP資料!$G:$G, (MATCH(137, 輔助計算!$G$2:$G$801, 0)+1))&lt;=1181,2,1)))), "")&amp;IF(AND(IF(INT(INDEX(輔助計算!$D:$D, (MATCH(137, 輔助計算!$G$2:$G$801, 0)+1))/IF(INDEX(ERP資料!$G:$G, (MATCH(137, 輔助計算!$G$2:$G$801, 0)+1))&lt;100, IF(INDEX(ERP資料!$G:$G, (MATCH(137, 輔助計算!$G$2:$G$801, 0)+1))&lt;=31,3,IF(INDEX(ERP資料!$G:$G, (MATCH(137, 輔助計算!$G$2:$G$801, 0)+1))&lt;=46.5,2,1)), IF(INDEX(ERP資料!$G:$G, (MATCH(137, 輔助計算!$G$2:$G$801, 0)+1))&lt;=790,3,IF(INDEX(ERP資料!$G:$G, (MATCH(137, 輔助計算!$G$2:$G$801, 0)+1))&lt;=1181,2,1))))&gt;0, IF(IF(INDEX(ERP資料!$G:$G, (MATCH(137, 輔助計算!$G$2:$G$801, 0)+1))&lt;100, IF(INDEX(ERP資料!$G:$G, (MATCH(137, 輔助計算!$G$2:$G$801, 0)+1))&lt;=31,3,IF(INDEX(ERP資料!$G:$G, (MATCH(137, 輔助計算!$G$2:$G$801, 0)+1))&lt;=46.5,2,1)), IF(INDEX(ERP資料!$G:$G, (MATCH(137, 輔助計算!$G$2:$G$801, 0)+1))&lt;=790,3,IF(INDEX(ERP資料!$G:$G, (MATCH(137, 輔助計算!$G$2:$G$801, 0)+1))&lt;=1181,2,1)))=1,TEXT(INDEX(ERP資料!$G:$G, (MATCH(137, 輔助計算!$G$2:$G$801, 0)+1)),"0.##"),IF(IF(INDEX(ERP資料!$G:$G, (MATCH(137, 輔助計算!$G$2:$G$801, 0)+1))&lt;100, IF(INDEX(ERP資料!$G:$G, (MATCH(137, 輔助計算!$G$2:$G$801, 0)+1))&lt;=31,3,IF(INDEX(ERP資料!$G:$G, (MATCH(137, 輔助計算!$G$2:$G$801, 0)+1))&lt;=46.5,2,1)), IF(INDEX(ERP資料!$G:$G, (MATCH(137, 輔助計算!$G$2:$G$801, 0)+1))&lt;=790,3,IF(INDEX(ERP資料!$G:$G, (MATCH(137, 輔助計算!$G$2:$G$801, 0)+1))&lt;=1181,2,1)))=2,TEXT(INDEX(ERP資料!$G:$G, (MATCH(137, 輔助計算!$G$2:$G$801, 0)+1)),"0.##")&amp;"+"&amp;TEXT(INDEX(ERP資料!$G:$G, (MATCH(137, 輔助計算!$G$2:$G$801, 0)+1)),"0.##"),TEXT(INDEX(ERP資料!$G:$G, (MATCH(137, 輔助計算!$G$2:$G$801, 0)+1)),"0.##")&amp;"+"&amp;TEXT(INDEX(ERP資料!$G:$G, (MATCH(137, 輔助計算!$G$2:$G$801, 0)+1)),"0.##")&amp;"+"&amp;TEXT(INDEX(ERP資料!$G:$G, (MATCH(137, 輔助計算!$G$2:$G$801, 0)+1)),"0.##")))&amp;"-"&amp;INT(INDEX(輔助計算!$D:$D, (MATCH(137, 輔助計算!$G$2:$G$801, 0)+1))/IF(INDEX(ERP資料!$G:$G, (MATCH(137, 輔助計算!$G$2:$G$801, 0)+1))&lt;100, IF(INDEX(ERP資料!$G:$G, (MATCH(137, 輔助計算!$G$2:$G$801, 0)+1))&lt;=31,3,IF(INDEX(ERP資料!$G:$G, (MATCH(137, 輔助計算!$G$2:$G$801, 0)+1))&lt;=46.5,2,1)), IF(INDEX(ERP資料!$G:$G, (MATCH(137, 輔助計算!$G$2:$G$801, 0)+1))&lt;=790,3,IF(INDEX(ERP資料!$G:$G, (MATCH(137, 輔助計算!$G$2:$G$801, 0)+1))&lt;=1181,2,1)))), "")&lt;&gt;"",IF(MOD(INDEX(輔助計算!$D:$D, (MATCH(137, 輔助計算!$G$2:$G$801, 0)+1)),IF(INDEX(ERP資料!$G:$G, (MATCH(137, 輔助計算!$G$2:$G$801, 0)+1))&lt;100, IF(INDEX(ERP資料!$G:$G, (MATCH(137, 輔助計算!$G$2:$G$801, 0)+1))&lt;=31,3,IF(INDEX(ERP資料!$G:$G, (MATCH(137, 輔助計算!$G$2:$G$801, 0)+1))&lt;=46.5,2,1)), IF(INDEX(ERP資料!$G:$G, (MATCH(137, 輔助計算!$G$2:$G$801, 0)+1))&lt;=790,3,IF(INDEX(ERP資料!$G:$G, (MATCH(137, 輔助計算!$G$2:$G$801, 0)+1))&lt;=1181,2,1))))=0,"",IF(MOD(INDEX(輔助計算!$D:$D, (MATCH(137, 輔助計算!$G$2:$G$801, 0)+1)),IF(INDEX(ERP資料!$G:$G, (MATCH(137, 輔助計算!$G$2:$G$801, 0)+1))&lt;100, IF(INDEX(ERP資料!$G:$G, (MATCH(137, 輔助計算!$G$2:$G$801, 0)+1))&lt;=31,3,IF(INDEX(ERP資料!$G:$G, (MATCH(137, 輔助計算!$G$2:$G$801, 0)+1))&lt;=46.5,2,1)), IF(INDEX(ERP資料!$G:$G, (MATCH(137, 輔助計算!$G$2:$G$801, 0)+1))&lt;=790,3,IF(INDEX(ERP資料!$G:$G, (MATCH(137, 輔助計算!$G$2:$G$801, 0)+1))&lt;=1181,2,1))))=0,"",IF(MOD(INDEX(輔助計算!$D:$D, (MATCH(137, 輔助計算!$G$2:$G$801, 0)+1)),IF(INDEX(ERP資料!$G:$G, (MATCH(137, 輔助計算!$G$2:$G$801, 0)+1))&lt;100, IF(INDEX(ERP資料!$G:$G, (MATCH(137, 輔助計算!$G$2:$G$801, 0)+1))&lt;=31,3,IF(INDEX(ERP資料!$G:$G, (MATCH(137, 輔助計算!$G$2:$G$801, 0)+1))&lt;=46.5,2,1)), IF(INDEX(ERP資料!$G:$G, (MATCH(137, 輔助計算!$G$2:$G$801, 0)+1))&lt;=790,3,IF(INDEX(ERP資料!$G:$G, (MATCH(137, 輔助計算!$G$2:$G$801, 0)+1))&lt;=1181,2,1))))=1,TEXT(INDEX(ERP資料!$G:$G, (MATCH(137, 輔助計算!$G$2:$G$801, 0)+1)),"0.##"),IF(MOD(INDEX(輔助計算!$D:$D, (MATCH(137, 輔助計算!$G$2:$G$801, 0)+1)),IF(INDEX(ERP資料!$G:$G, (MATCH(137, 輔助計算!$G$2:$G$801, 0)+1))&lt;100, IF(INDEX(ERP資料!$G:$G, (MATCH(137, 輔助計算!$G$2:$G$801, 0)+1))&lt;=31,3,IF(INDEX(ERP資料!$G:$G, (MATCH(137, 輔助計算!$G$2:$G$801, 0)+1))&lt;=46.5,2,1)), IF(INDEX(ERP資料!$G:$G, (MATCH(137, 輔助計算!$G$2:$G$801, 0)+1))&lt;=790,3,IF(INDEX(ERP資料!$G:$G, (MATCH(137, 輔助計算!$G$2:$G$801, 0)+1))&lt;=1181,2,1))))=2,TEXT(INDEX(ERP資料!$G:$G, (MATCH(137, 輔助計算!$G$2:$G$801, 0)+1)),"0.##")&amp;"+"&amp;TEXT(INDEX(ERP資料!$G:$G, (MATCH(137, 輔助計算!$G$2:$G$801, 0)+1)),"0.##"),TEXT(INDEX(ERP資料!$G:$G, (MATCH(137, 輔助計算!$G$2:$G$801, 0)+1)),"0.##")&amp;"+"&amp;TEXT(INDEX(ERP資料!$G:$G, (MATCH(137, 輔助計算!$G$2:$G$801, 0)+1)),"0.##")&amp;"+"&amp;TEXT(INDEX(ERP資料!$G:$G, (MATCH(137, 輔助計算!$G$2:$G$801, 0)+1)),"0.##"))))&amp;"-1")&lt;&gt;""),"  ","")&amp;IF(MOD(INDEX(輔助計算!$D:$D, (MATCH(137, 輔助計算!$G$2:$G$801, 0)+1)),IF(INDEX(ERP資料!$G:$G, (MATCH(137, 輔助計算!$G$2:$G$801, 0)+1))&lt;100, IF(INDEX(ERP資料!$G:$G, (MATCH(137, 輔助計算!$G$2:$G$801, 0)+1))&lt;=31,3,IF(INDEX(ERP資料!$G:$G, (MATCH(137, 輔助計算!$G$2:$G$801, 0)+1))&lt;=46.5,2,1)), IF(INDEX(ERP資料!$G:$G, (MATCH(137, 輔助計算!$G$2:$G$801, 0)+1))&lt;=790,3,IF(INDEX(ERP資料!$G:$G, (MATCH(137, 輔助計算!$G$2:$G$801, 0)+1))&lt;=1181,2,1))))=0,"",IF(MOD(INDEX(輔助計算!$D:$D, (MATCH(137, 輔助計算!$G$2:$G$801, 0)+1)),IF(INDEX(ERP資料!$G:$G, (MATCH(137, 輔助計算!$G$2:$G$801, 0)+1))&lt;100, IF(INDEX(ERP資料!$G:$G, (MATCH(137, 輔助計算!$G$2:$G$801, 0)+1))&lt;=31,3,IF(INDEX(ERP資料!$G:$G, (MATCH(137, 輔助計算!$G$2:$G$801, 0)+1))&lt;=46.5,2,1)), IF(INDEX(ERP資料!$G:$G, (MATCH(137, 輔助計算!$G$2:$G$801, 0)+1))&lt;=790,3,IF(INDEX(ERP資料!$G:$G, (MATCH(137, 輔助計算!$G$2:$G$801, 0)+1))&lt;=1181,2,1))))=0,"",IF(MOD(INDEX(輔助計算!$D:$D, (MATCH(137, 輔助計算!$G$2:$G$801, 0)+1)),IF(INDEX(ERP資料!$G:$G, (MATCH(137, 輔助計算!$G$2:$G$801, 0)+1))&lt;100, IF(INDEX(ERP資料!$G:$G, (MATCH(137, 輔助計算!$G$2:$G$801, 0)+1))&lt;=31,3,IF(INDEX(ERP資料!$G:$G, (MATCH(137, 輔助計算!$G$2:$G$801, 0)+1))&lt;=46.5,2,1)), IF(INDEX(ERP資料!$G:$G, (MATCH(137, 輔助計算!$G$2:$G$801, 0)+1))&lt;=790,3,IF(INDEX(ERP資料!$G:$G, (MATCH(137, 輔助計算!$G$2:$G$801, 0)+1))&lt;=1181,2,1))))=1,TEXT(INDEX(ERP資料!$G:$G, (MATCH(137, 輔助計算!$G$2:$G$801, 0)+1)),"0.##"),IF(MOD(INDEX(輔助計算!$D:$D, (MATCH(137, 輔助計算!$G$2:$G$801, 0)+1)),IF(INDEX(ERP資料!$G:$G, (MATCH(137, 輔助計算!$G$2:$G$801, 0)+1))&lt;100, IF(INDEX(ERP資料!$G:$G, (MATCH(137, 輔助計算!$G$2:$G$801, 0)+1))&lt;=31,3,IF(INDEX(ERP資料!$G:$G, (MATCH(137, 輔助計算!$G$2:$G$801, 0)+1))&lt;=46.5,2,1)), IF(INDEX(ERP資料!$G:$G, (MATCH(137, 輔助計算!$G$2:$G$801, 0)+1))&lt;=790,3,IF(INDEX(ERP資料!$G:$G, (MATCH(137, 輔助計算!$G$2:$G$801, 0)+1))&lt;=1181,2,1))))=2,TEXT(INDEX(ERP資料!$G:$G, (MATCH(137, 輔助計算!$G$2:$G$801, 0)+1)),"0.##")&amp;"+"&amp;TEXT(INDEX(ERP資料!$G:$G, (MATCH(137, 輔助計算!$G$2:$G$801, 0)+1)),"0.##"),TEXT(INDEX(ERP資料!$G:$G, (MATCH(137, 輔助計算!$G$2:$G$801, 0)+1)),"0.##")&amp;"+"&amp;TEXT(INDEX(ERP資料!$G:$G, (MATCH(137, 輔助計算!$G$2:$G$801, 0)+1)),"0.##")&amp;"+"&amp;TEXT(INDEX(ERP資料!$G:$G, (MATCH(137, 輔助計算!$G$2:$G$801, 0)+1)),"0.##"))))&amp;"-1")), ""), "")</f>
        <v/>
      </c>
      <c r="K138" s="16" t="n"/>
      <c r="L138" s="14">
        <f>IFERROR(IF(AND(IFERROR(INDEX(ERP資料!$A:$A, (MATCH(137, 輔助計算!$G$2:$G$801, 0)+1)), "")&lt;&gt;"", IFERROR(INDEX(ERP資料!$A:$A, (MATCH(137, 輔助計算!$G$2:$G$801, 0)+1)), "")&lt;&gt;IFERROR(INDEX(ERP資料!$A:$A, MATCH(136, 輔助計算!$G$2:$G$801, 0)+1), "")), INDEX(ERP資料!$B:$B, (MATCH(137, 輔助計算!$G$2:$G$801, 0)+1)), ""), "")</f>
        <v/>
      </c>
      <c r="M138" s="17" t="n"/>
    </row>
    <row r="139">
      <c r="A139" s="10">
        <f>IFERROR(IF(AND(IFERROR(INDEX(ERP資料!$A:$A, (MATCH(138, 輔助計算!$G$2:$G$801, 0)+1)), "")&lt;&gt;"", IFERROR(INDEX(ERP資料!$A:$A, (MATCH(138, 輔助計算!$G$2:$G$801, 0)+1)), "")&lt;&gt;IFERROR(INDEX(ERP資料!$A:$A, MATCH(137, 輔助計算!$G$2:$G$801, 0)+1), "")), IFERROR(INDEX(ERP資料!$A:$A, (MATCH(138, 輔助計算!$G$2:$G$801, 0)+1)), ""), ""), "")</f>
        <v/>
      </c>
      <c r="B139" s="10">
        <f>IFERROR(IF(AND(IFERROR(INDEX(ERP資料!$A:$A, (MATCH(138, 輔助計算!$G$2:$G$801, 0)+1)), "")&lt;&gt;"", IFERROR(INDEX(ERP資料!$A:$A, (MATCH(138, 輔助計算!$G$2:$G$801, 0)+1)), "")&lt;&gt;IFERROR(INDEX(ERP資料!$A:$A, MATCH(137, 輔助計算!$G$2:$G$801, 0)+1), "")), INDEX(ERP資料!$S:$S, (MATCH(138, 輔助計算!$G$2:$G$801, 0)+1)), ""), "")</f>
        <v/>
      </c>
      <c r="C139" s="19">
        <f>IFERROR(IF(AND(IFERROR(INDEX(ERP資料!$A:$A, (MATCH(138, 輔助計算!$G$2:$G$801, 0)+1)), "")&lt;&gt;"", IFERROR(INDEX(ERP資料!$A:$A, (MATCH(138, 輔助計算!$G$2:$G$801, 0)+1)), "")&lt;&gt;IFERROR(INDEX(ERP資料!$A:$A, MATCH(137, 輔助計算!$G$2:$G$801, 0)+1), "")), IFERROR(VLOOKUP(LEFT(INDEX(ERP資料!$S:$S, (MATCH(138, 輔助計算!$G$2:$G$801, 0)+1)), 4), 紙管對照表!$A:$C, 3, FALSE), ""), ""), "")</f>
        <v/>
      </c>
      <c r="D139" s="16" t="n"/>
      <c r="E139" s="10">
        <f>IFERROR(IF(INDEX(ERP資料!$H:$H, (MATCH(138, 輔助計算!$G$2:$G$801, 0)+1))="","",INDEX(ERP資料!$H:$H, (MATCH(138, 輔助計算!$G$2:$G$801, 0)+1))), "")</f>
        <v/>
      </c>
      <c r="F139" s="10">
        <f>IFERROR(IF(INDEX(ERP資料!$E:$E, (MATCH(138, 輔助計算!$G$2:$G$801, 0)+1))="","",TRIM(INDEX(ERP資料!$E:$E, (MATCH(138, 輔助計算!$G$2:$G$801, 0)+1)))), "")</f>
        <v/>
      </c>
      <c r="G139" s="10">
        <f>IFERROR(IF(INDEX(ERP資料!$F:$F, (MATCH(138, 輔助計算!$G$2:$G$801, 0)+1))="","",INDEX(ERP資料!$F:$F, (MATCH(138, 輔助計算!$G$2:$G$801, 0)+1))), "")</f>
        <v/>
      </c>
      <c r="H139" s="10">
        <f>IFERROR(IF(INDEX(ERP資料!$G:$G, (MATCH(138, 輔助計算!$G$2:$G$801, 0)+1))="","",INDEX(ERP資料!$G:$G, (MATCH(138, 輔助計算!$G$2:$G$801, 0)+1))), "")</f>
        <v/>
      </c>
      <c r="I139" s="15">
        <f>IFERROR(INDEX(輔助計算!$D:$D, (MATCH(138, 輔助計算!$G$2:$G$801, 0)+1)), "")</f>
        <v/>
      </c>
      <c r="J139" s="15">
        <f>IFERROR(IF(AND(INDEX(輔助計算!$D:$D, (MATCH(138, 輔助計算!$G$2:$G$801, 0)+1))&lt;&gt;"", INDEX(ERP資料!$G:$G, (MATCH(138, 輔助計算!$G$2:$G$801, 0)+1))&lt;&gt;""), TRIM(IF(INT(INDEX(輔助計算!$D:$D, (MATCH(138, 輔助計算!$G$2:$G$801, 0)+1))/IF(INDEX(ERP資料!$G:$G, (MATCH(138, 輔助計算!$G$2:$G$801, 0)+1))&lt;100, IF(INDEX(ERP資料!$G:$G, (MATCH(138, 輔助計算!$G$2:$G$801, 0)+1))&lt;=31,3,IF(INDEX(ERP資料!$G:$G, (MATCH(138, 輔助計算!$G$2:$G$801, 0)+1))&lt;=46.5,2,1)), IF(INDEX(ERP資料!$G:$G, (MATCH(138, 輔助計算!$G$2:$G$801, 0)+1))&lt;=790,3,IF(INDEX(ERP資料!$G:$G, (MATCH(138, 輔助計算!$G$2:$G$801, 0)+1))&lt;=1181,2,1))))&gt;0, IF(IF(INDEX(ERP資料!$G:$G, (MATCH(138, 輔助計算!$G$2:$G$801, 0)+1))&lt;100, IF(INDEX(ERP資料!$G:$G, (MATCH(138, 輔助計算!$G$2:$G$801, 0)+1))&lt;=31,3,IF(INDEX(ERP資料!$G:$G, (MATCH(138, 輔助計算!$G$2:$G$801, 0)+1))&lt;=46.5,2,1)), IF(INDEX(ERP資料!$G:$G, (MATCH(138, 輔助計算!$G$2:$G$801, 0)+1))&lt;=790,3,IF(INDEX(ERP資料!$G:$G, (MATCH(138, 輔助計算!$G$2:$G$801, 0)+1))&lt;=1181,2,1)))=1,TEXT(INDEX(ERP資料!$G:$G, (MATCH(138, 輔助計算!$G$2:$G$801, 0)+1)),"0.##"),IF(IF(INDEX(ERP資料!$G:$G, (MATCH(138, 輔助計算!$G$2:$G$801, 0)+1))&lt;100, IF(INDEX(ERP資料!$G:$G, (MATCH(138, 輔助計算!$G$2:$G$801, 0)+1))&lt;=31,3,IF(INDEX(ERP資料!$G:$G, (MATCH(138, 輔助計算!$G$2:$G$801, 0)+1))&lt;=46.5,2,1)), IF(INDEX(ERP資料!$G:$G, (MATCH(138, 輔助計算!$G$2:$G$801, 0)+1))&lt;=790,3,IF(INDEX(ERP資料!$G:$G, (MATCH(138, 輔助計算!$G$2:$G$801, 0)+1))&lt;=1181,2,1)))=2,TEXT(INDEX(ERP資料!$G:$G, (MATCH(138, 輔助計算!$G$2:$G$801, 0)+1)),"0.##")&amp;"+"&amp;TEXT(INDEX(ERP資料!$G:$G, (MATCH(138, 輔助計算!$G$2:$G$801, 0)+1)),"0.##"),TEXT(INDEX(ERP資料!$G:$G, (MATCH(138, 輔助計算!$G$2:$G$801, 0)+1)),"0.##")&amp;"+"&amp;TEXT(INDEX(ERP資料!$G:$G, (MATCH(138, 輔助計算!$G$2:$G$801, 0)+1)),"0.##")&amp;"+"&amp;TEXT(INDEX(ERP資料!$G:$G, (MATCH(138, 輔助計算!$G$2:$G$801, 0)+1)),"0.##")))&amp;"-"&amp;INT(INDEX(輔助計算!$D:$D, (MATCH(138, 輔助計算!$G$2:$G$801, 0)+1))/IF(INDEX(ERP資料!$G:$G, (MATCH(138, 輔助計算!$G$2:$G$801, 0)+1))&lt;100, IF(INDEX(ERP資料!$G:$G, (MATCH(138, 輔助計算!$G$2:$G$801, 0)+1))&lt;=31,3,IF(INDEX(ERP資料!$G:$G, (MATCH(138, 輔助計算!$G$2:$G$801, 0)+1))&lt;=46.5,2,1)), IF(INDEX(ERP資料!$G:$G, (MATCH(138, 輔助計算!$G$2:$G$801, 0)+1))&lt;=790,3,IF(INDEX(ERP資料!$G:$G, (MATCH(138, 輔助計算!$G$2:$G$801, 0)+1))&lt;=1181,2,1)))), "")&amp;IF(AND(IF(INT(INDEX(輔助計算!$D:$D, (MATCH(138, 輔助計算!$G$2:$G$801, 0)+1))/IF(INDEX(ERP資料!$G:$G, (MATCH(138, 輔助計算!$G$2:$G$801, 0)+1))&lt;100, IF(INDEX(ERP資料!$G:$G, (MATCH(138, 輔助計算!$G$2:$G$801, 0)+1))&lt;=31,3,IF(INDEX(ERP資料!$G:$G, (MATCH(138, 輔助計算!$G$2:$G$801, 0)+1))&lt;=46.5,2,1)), IF(INDEX(ERP資料!$G:$G, (MATCH(138, 輔助計算!$G$2:$G$801, 0)+1))&lt;=790,3,IF(INDEX(ERP資料!$G:$G, (MATCH(138, 輔助計算!$G$2:$G$801, 0)+1))&lt;=1181,2,1))))&gt;0, IF(IF(INDEX(ERP資料!$G:$G, (MATCH(138, 輔助計算!$G$2:$G$801, 0)+1))&lt;100, IF(INDEX(ERP資料!$G:$G, (MATCH(138, 輔助計算!$G$2:$G$801, 0)+1))&lt;=31,3,IF(INDEX(ERP資料!$G:$G, (MATCH(138, 輔助計算!$G$2:$G$801, 0)+1))&lt;=46.5,2,1)), IF(INDEX(ERP資料!$G:$G, (MATCH(138, 輔助計算!$G$2:$G$801, 0)+1))&lt;=790,3,IF(INDEX(ERP資料!$G:$G, (MATCH(138, 輔助計算!$G$2:$G$801, 0)+1))&lt;=1181,2,1)))=1,TEXT(INDEX(ERP資料!$G:$G, (MATCH(138, 輔助計算!$G$2:$G$801, 0)+1)),"0.##"),IF(IF(INDEX(ERP資料!$G:$G, (MATCH(138, 輔助計算!$G$2:$G$801, 0)+1))&lt;100, IF(INDEX(ERP資料!$G:$G, (MATCH(138, 輔助計算!$G$2:$G$801, 0)+1))&lt;=31,3,IF(INDEX(ERP資料!$G:$G, (MATCH(138, 輔助計算!$G$2:$G$801, 0)+1))&lt;=46.5,2,1)), IF(INDEX(ERP資料!$G:$G, (MATCH(138, 輔助計算!$G$2:$G$801, 0)+1))&lt;=790,3,IF(INDEX(ERP資料!$G:$G, (MATCH(138, 輔助計算!$G$2:$G$801, 0)+1))&lt;=1181,2,1)))=2,TEXT(INDEX(ERP資料!$G:$G, (MATCH(138, 輔助計算!$G$2:$G$801, 0)+1)),"0.##")&amp;"+"&amp;TEXT(INDEX(ERP資料!$G:$G, (MATCH(138, 輔助計算!$G$2:$G$801, 0)+1)),"0.##"),TEXT(INDEX(ERP資料!$G:$G, (MATCH(138, 輔助計算!$G$2:$G$801, 0)+1)),"0.##")&amp;"+"&amp;TEXT(INDEX(ERP資料!$G:$G, (MATCH(138, 輔助計算!$G$2:$G$801, 0)+1)),"0.##")&amp;"+"&amp;TEXT(INDEX(ERP資料!$G:$G, (MATCH(138, 輔助計算!$G$2:$G$801, 0)+1)),"0.##")))&amp;"-"&amp;INT(INDEX(輔助計算!$D:$D, (MATCH(138, 輔助計算!$G$2:$G$801, 0)+1))/IF(INDEX(ERP資料!$G:$G, (MATCH(138, 輔助計算!$G$2:$G$801, 0)+1))&lt;100, IF(INDEX(ERP資料!$G:$G, (MATCH(138, 輔助計算!$G$2:$G$801, 0)+1))&lt;=31,3,IF(INDEX(ERP資料!$G:$G, (MATCH(138, 輔助計算!$G$2:$G$801, 0)+1))&lt;=46.5,2,1)), IF(INDEX(ERP資料!$G:$G, (MATCH(138, 輔助計算!$G$2:$G$801, 0)+1))&lt;=790,3,IF(INDEX(ERP資料!$G:$G, (MATCH(138, 輔助計算!$G$2:$G$801, 0)+1))&lt;=1181,2,1)))), "")&lt;&gt;"",IF(MOD(INDEX(輔助計算!$D:$D, (MATCH(138, 輔助計算!$G$2:$G$801, 0)+1)),IF(INDEX(ERP資料!$G:$G, (MATCH(138, 輔助計算!$G$2:$G$801, 0)+1))&lt;100, IF(INDEX(ERP資料!$G:$G, (MATCH(138, 輔助計算!$G$2:$G$801, 0)+1))&lt;=31,3,IF(INDEX(ERP資料!$G:$G, (MATCH(138, 輔助計算!$G$2:$G$801, 0)+1))&lt;=46.5,2,1)), IF(INDEX(ERP資料!$G:$G, (MATCH(138, 輔助計算!$G$2:$G$801, 0)+1))&lt;=790,3,IF(INDEX(ERP資料!$G:$G, (MATCH(138, 輔助計算!$G$2:$G$801, 0)+1))&lt;=1181,2,1))))=0,"",IF(MOD(INDEX(輔助計算!$D:$D, (MATCH(138, 輔助計算!$G$2:$G$801, 0)+1)),IF(INDEX(ERP資料!$G:$G, (MATCH(138, 輔助計算!$G$2:$G$801, 0)+1))&lt;100, IF(INDEX(ERP資料!$G:$G, (MATCH(138, 輔助計算!$G$2:$G$801, 0)+1))&lt;=31,3,IF(INDEX(ERP資料!$G:$G, (MATCH(138, 輔助計算!$G$2:$G$801, 0)+1))&lt;=46.5,2,1)), IF(INDEX(ERP資料!$G:$G, (MATCH(138, 輔助計算!$G$2:$G$801, 0)+1))&lt;=790,3,IF(INDEX(ERP資料!$G:$G, (MATCH(138, 輔助計算!$G$2:$G$801, 0)+1))&lt;=1181,2,1))))=0,"",IF(MOD(INDEX(輔助計算!$D:$D, (MATCH(138, 輔助計算!$G$2:$G$801, 0)+1)),IF(INDEX(ERP資料!$G:$G, (MATCH(138, 輔助計算!$G$2:$G$801, 0)+1))&lt;100, IF(INDEX(ERP資料!$G:$G, (MATCH(138, 輔助計算!$G$2:$G$801, 0)+1))&lt;=31,3,IF(INDEX(ERP資料!$G:$G, (MATCH(138, 輔助計算!$G$2:$G$801, 0)+1))&lt;=46.5,2,1)), IF(INDEX(ERP資料!$G:$G, (MATCH(138, 輔助計算!$G$2:$G$801, 0)+1))&lt;=790,3,IF(INDEX(ERP資料!$G:$G, (MATCH(138, 輔助計算!$G$2:$G$801, 0)+1))&lt;=1181,2,1))))=1,TEXT(INDEX(ERP資料!$G:$G, (MATCH(138, 輔助計算!$G$2:$G$801, 0)+1)),"0.##"),IF(MOD(INDEX(輔助計算!$D:$D, (MATCH(138, 輔助計算!$G$2:$G$801, 0)+1)),IF(INDEX(ERP資料!$G:$G, (MATCH(138, 輔助計算!$G$2:$G$801, 0)+1))&lt;100, IF(INDEX(ERP資料!$G:$G, (MATCH(138, 輔助計算!$G$2:$G$801, 0)+1))&lt;=31,3,IF(INDEX(ERP資料!$G:$G, (MATCH(138, 輔助計算!$G$2:$G$801, 0)+1))&lt;=46.5,2,1)), IF(INDEX(ERP資料!$G:$G, (MATCH(138, 輔助計算!$G$2:$G$801, 0)+1))&lt;=790,3,IF(INDEX(ERP資料!$G:$G, (MATCH(138, 輔助計算!$G$2:$G$801, 0)+1))&lt;=1181,2,1))))=2,TEXT(INDEX(ERP資料!$G:$G, (MATCH(138, 輔助計算!$G$2:$G$801, 0)+1)),"0.##")&amp;"+"&amp;TEXT(INDEX(ERP資料!$G:$G, (MATCH(138, 輔助計算!$G$2:$G$801, 0)+1)),"0.##"),TEXT(INDEX(ERP資料!$G:$G, (MATCH(138, 輔助計算!$G$2:$G$801, 0)+1)),"0.##")&amp;"+"&amp;TEXT(INDEX(ERP資料!$G:$G, (MATCH(138, 輔助計算!$G$2:$G$801, 0)+1)),"0.##")&amp;"+"&amp;TEXT(INDEX(ERP資料!$G:$G, (MATCH(138, 輔助計算!$G$2:$G$801, 0)+1)),"0.##"))))&amp;"-1")&lt;&gt;""),"  ","")&amp;IF(MOD(INDEX(輔助計算!$D:$D, (MATCH(138, 輔助計算!$G$2:$G$801, 0)+1)),IF(INDEX(ERP資料!$G:$G, (MATCH(138, 輔助計算!$G$2:$G$801, 0)+1))&lt;100, IF(INDEX(ERP資料!$G:$G, (MATCH(138, 輔助計算!$G$2:$G$801, 0)+1))&lt;=31,3,IF(INDEX(ERP資料!$G:$G, (MATCH(138, 輔助計算!$G$2:$G$801, 0)+1))&lt;=46.5,2,1)), IF(INDEX(ERP資料!$G:$G, (MATCH(138, 輔助計算!$G$2:$G$801, 0)+1))&lt;=790,3,IF(INDEX(ERP資料!$G:$G, (MATCH(138, 輔助計算!$G$2:$G$801, 0)+1))&lt;=1181,2,1))))=0,"",IF(MOD(INDEX(輔助計算!$D:$D, (MATCH(138, 輔助計算!$G$2:$G$801, 0)+1)),IF(INDEX(ERP資料!$G:$G, (MATCH(138, 輔助計算!$G$2:$G$801, 0)+1))&lt;100, IF(INDEX(ERP資料!$G:$G, (MATCH(138, 輔助計算!$G$2:$G$801, 0)+1))&lt;=31,3,IF(INDEX(ERP資料!$G:$G, (MATCH(138, 輔助計算!$G$2:$G$801, 0)+1))&lt;=46.5,2,1)), IF(INDEX(ERP資料!$G:$G, (MATCH(138, 輔助計算!$G$2:$G$801, 0)+1))&lt;=790,3,IF(INDEX(ERP資料!$G:$G, (MATCH(138, 輔助計算!$G$2:$G$801, 0)+1))&lt;=1181,2,1))))=0,"",IF(MOD(INDEX(輔助計算!$D:$D, (MATCH(138, 輔助計算!$G$2:$G$801, 0)+1)),IF(INDEX(ERP資料!$G:$G, (MATCH(138, 輔助計算!$G$2:$G$801, 0)+1))&lt;100, IF(INDEX(ERP資料!$G:$G, (MATCH(138, 輔助計算!$G$2:$G$801, 0)+1))&lt;=31,3,IF(INDEX(ERP資料!$G:$G, (MATCH(138, 輔助計算!$G$2:$G$801, 0)+1))&lt;=46.5,2,1)), IF(INDEX(ERP資料!$G:$G, (MATCH(138, 輔助計算!$G$2:$G$801, 0)+1))&lt;=790,3,IF(INDEX(ERP資料!$G:$G, (MATCH(138, 輔助計算!$G$2:$G$801, 0)+1))&lt;=1181,2,1))))=1,TEXT(INDEX(ERP資料!$G:$G, (MATCH(138, 輔助計算!$G$2:$G$801, 0)+1)),"0.##"),IF(MOD(INDEX(輔助計算!$D:$D, (MATCH(138, 輔助計算!$G$2:$G$801, 0)+1)),IF(INDEX(ERP資料!$G:$G, (MATCH(138, 輔助計算!$G$2:$G$801, 0)+1))&lt;100, IF(INDEX(ERP資料!$G:$G, (MATCH(138, 輔助計算!$G$2:$G$801, 0)+1))&lt;=31,3,IF(INDEX(ERP資料!$G:$G, (MATCH(138, 輔助計算!$G$2:$G$801, 0)+1))&lt;=46.5,2,1)), IF(INDEX(ERP資料!$G:$G, (MATCH(138, 輔助計算!$G$2:$G$801, 0)+1))&lt;=790,3,IF(INDEX(ERP資料!$G:$G, (MATCH(138, 輔助計算!$G$2:$G$801, 0)+1))&lt;=1181,2,1))))=2,TEXT(INDEX(ERP資料!$G:$G, (MATCH(138, 輔助計算!$G$2:$G$801, 0)+1)),"0.##")&amp;"+"&amp;TEXT(INDEX(ERP資料!$G:$G, (MATCH(138, 輔助計算!$G$2:$G$801, 0)+1)),"0.##"),TEXT(INDEX(ERP資料!$G:$G, (MATCH(138, 輔助計算!$G$2:$G$801, 0)+1)),"0.##")&amp;"+"&amp;TEXT(INDEX(ERP資料!$G:$G, (MATCH(138, 輔助計算!$G$2:$G$801, 0)+1)),"0.##")&amp;"+"&amp;TEXT(INDEX(ERP資料!$G:$G, (MATCH(138, 輔助計算!$G$2:$G$801, 0)+1)),"0.##"))))&amp;"-1")), ""), "")</f>
        <v/>
      </c>
      <c r="K139" s="16" t="n"/>
      <c r="L139" s="14">
        <f>IFERROR(IF(AND(IFERROR(INDEX(ERP資料!$A:$A, (MATCH(138, 輔助計算!$G$2:$G$801, 0)+1)), "")&lt;&gt;"", IFERROR(INDEX(ERP資料!$A:$A, (MATCH(138, 輔助計算!$G$2:$G$801, 0)+1)), "")&lt;&gt;IFERROR(INDEX(ERP資料!$A:$A, MATCH(137, 輔助計算!$G$2:$G$801, 0)+1), "")), INDEX(ERP資料!$B:$B, (MATCH(138, 輔助計算!$G$2:$G$801, 0)+1)), ""), "")</f>
        <v/>
      </c>
      <c r="M139" s="17" t="n"/>
    </row>
    <row r="140">
      <c r="A140" s="10">
        <f>IFERROR(IF(AND(IFERROR(INDEX(ERP資料!$A:$A, (MATCH(139, 輔助計算!$G$2:$G$801, 0)+1)), "")&lt;&gt;"", IFERROR(INDEX(ERP資料!$A:$A, (MATCH(139, 輔助計算!$G$2:$G$801, 0)+1)), "")&lt;&gt;IFERROR(INDEX(ERP資料!$A:$A, MATCH(138, 輔助計算!$G$2:$G$801, 0)+1), "")), IFERROR(INDEX(ERP資料!$A:$A, (MATCH(139, 輔助計算!$G$2:$G$801, 0)+1)), ""), ""), "")</f>
        <v/>
      </c>
      <c r="B140" s="10">
        <f>IFERROR(IF(AND(IFERROR(INDEX(ERP資料!$A:$A, (MATCH(139, 輔助計算!$G$2:$G$801, 0)+1)), "")&lt;&gt;"", IFERROR(INDEX(ERP資料!$A:$A, (MATCH(139, 輔助計算!$G$2:$G$801, 0)+1)), "")&lt;&gt;IFERROR(INDEX(ERP資料!$A:$A, MATCH(138, 輔助計算!$G$2:$G$801, 0)+1), "")), INDEX(ERP資料!$S:$S, (MATCH(139, 輔助計算!$G$2:$G$801, 0)+1)), ""), "")</f>
        <v/>
      </c>
      <c r="C140" s="19">
        <f>IFERROR(IF(AND(IFERROR(INDEX(ERP資料!$A:$A, (MATCH(139, 輔助計算!$G$2:$G$801, 0)+1)), "")&lt;&gt;"", IFERROR(INDEX(ERP資料!$A:$A, (MATCH(139, 輔助計算!$G$2:$G$801, 0)+1)), "")&lt;&gt;IFERROR(INDEX(ERP資料!$A:$A, MATCH(138, 輔助計算!$G$2:$G$801, 0)+1), "")), IFERROR(VLOOKUP(LEFT(INDEX(ERP資料!$S:$S, (MATCH(139, 輔助計算!$G$2:$G$801, 0)+1)), 4), 紙管對照表!$A:$C, 3, FALSE), ""), ""), "")</f>
        <v/>
      </c>
      <c r="D140" s="16" t="n"/>
      <c r="E140" s="10">
        <f>IFERROR(IF(INDEX(ERP資料!$H:$H, (MATCH(139, 輔助計算!$G$2:$G$801, 0)+1))="","",INDEX(ERP資料!$H:$H, (MATCH(139, 輔助計算!$G$2:$G$801, 0)+1))), "")</f>
        <v/>
      </c>
      <c r="F140" s="10">
        <f>IFERROR(IF(INDEX(ERP資料!$E:$E, (MATCH(139, 輔助計算!$G$2:$G$801, 0)+1))="","",TRIM(INDEX(ERP資料!$E:$E, (MATCH(139, 輔助計算!$G$2:$G$801, 0)+1)))), "")</f>
        <v/>
      </c>
      <c r="G140" s="10">
        <f>IFERROR(IF(INDEX(ERP資料!$F:$F, (MATCH(139, 輔助計算!$G$2:$G$801, 0)+1))="","",INDEX(ERP資料!$F:$F, (MATCH(139, 輔助計算!$G$2:$G$801, 0)+1))), "")</f>
        <v/>
      </c>
      <c r="H140" s="10">
        <f>IFERROR(IF(INDEX(ERP資料!$G:$G, (MATCH(139, 輔助計算!$G$2:$G$801, 0)+1))="","",INDEX(ERP資料!$G:$G, (MATCH(139, 輔助計算!$G$2:$G$801, 0)+1))), "")</f>
        <v/>
      </c>
      <c r="I140" s="15">
        <f>IFERROR(INDEX(輔助計算!$D:$D, (MATCH(139, 輔助計算!$G$2:$G$801, 0)+1)), "")</f>
        <v/>
      </c>
      <c r="J140" s="15">
        <f>IFERROR(IF(AND(INDEX(輔助計算!$D:$D, (MATCH(139, 輔助計算!$G$2:$G$801, 0)+1))&lt;&gt;"", INDEX(ERP資料!$G:$G, (MATCH(139, 輔助計算!$G$2:$G$801, 0)+1))&lt;&gt;""), TRIM(IF(INT(INDEX(輔助計算!$D:$D, (MATCH(139, 輔助計算!$G$2:$G$801, 0)+1))/IF(INDEX(ERP資料!$G:$G, (MATCH(139, 輔助計算!$G$2:$G$801, 0)+1))&lt;100, IF(INDEX(ERP資料!$G:$G, (MATCH(139, 輔助計算!$G$2:$G$801, 0)+1))&lt;=31,3,IF(INDEX(ERP資料!$G:$G, (MATCH(139, 輔助計算!$G$2:$G$801, 0)+1))&lt;=46.5,2,1)), IF(INDEX(ERP資料!$G:$G, (MATCH(139, 輔助計算!$G$2:$G$801, 0)+1))&lt;=790,3,IF(INDEX(ERP資料!$G:$G, (MATCH(139, 輔助計算!$G$2:$G$801, 0)+1))&lt;=1181,2,1))))&gt;0, IF(IF(INDEX(ERP資料!$G:$G, (MATCH(139, 輔助計算!$G$2:$G$801, 0)+1))&lt;100, IF(INDEX(ERP資料!$G:$G, (MATCH(139, 輔助計算!$G$2:$G$801, 0)+1))&lt;=31,3,IF(INDEX(ERP資料!$G:$G, (MATCH(139, 輔助計算!$G$2:$G$801, 0)+1))&lt;=46.5,2,1)), IF(INDEX(ERP資料!$G:$G, (MATCH(139, 輔助計算!$G$2:$G$801, 0)+1))&lt;=790,3,IF(INDEX(ERP資料!$G:$G, (MATCH(139, 輔助計算!$G$2:$G$801, 0)+1))&lt;=1181,2,1)))=1,TEXT(INDEX(ERP資料!$G:$G, (MATCH(139, 輔助計算!$G$2:$G$801, 0)+1)),"0.##"),IF(IF(INDEX(ERP資料!$G:$G, (MATCH(139, 輔助計算!$G$2:$G$801, 0)+1))&lt;100, IF(INDEX(ERP資料!$G:$G, (MATCH(139, 輔助計算!$G$2:$G$801, 0)+1))&lt;=31,3,IF(INDEX(ERP資料!$G:$G, (MATCH(139, 輔助計算!$G$2:$G$801, 0)+1))&lt;=46.5,2,1)), IF(INDEX(ERP資料!$G:$G, (MATCH(139, 輔助計算!$G$2:$G$801, 0)+1))&lt;=790,3,IF(INDEX(ERP資料!$G:$G, (MATCH(139, 輔助計算!$G$2:$G$801, 0)+1))&lt;=1181,2,1)))=2,TEXT(INDEX(ERP資料!$G:$G, (MATCH(139, 輔助計算!$G$2:$G$801, 0)+1)),"0.##")&amp;"+"&amp;TEXT(INDEX(ERP資料!$G:$G, (MATCH(139, 輔助計算!$G$2:$G$801, 0)+1)),"0.##"),TEXT(INDEX(ERP資料!$G:$G, (MATCH(139, 輔助計算!$G$2:$G$801, 0)+1)),"0.##")&amp;"+"&amp;TEXT(INDEX(ERP資料!$G:$G, (MATCH(139, 輔助計算!$G$2:$G$801, 0)+1)),"0.##")&amp;"+"&amp;TEXT(INDEX(ERP資料!$G:$G, (MATCH(139, 輔助計算!$G$2:$G$801, 0)+1)),"0.##")))&amp;"-"&amp;INT(INDEX(輔助計算!$D:$D, (MATCH(139, 輔助計算!$G$2:$G$801, 0)+1))/IF(INDEX(ERP資料!$G:$G, (MATCH(139, 輔助計算!$G$2:$G$801, 0)+1))&lt;100, IF(INDEX(ERP資料!$G:$G, (MATCH(139, 輔助計算!$G$2:$G$801, 0)+1))&lt;=31,3,IF(INDEX(ERP資料!$G:$G, (MATCH(139, 輔助計算!$G$2:$G$801, 0)+1))&lt;=46.5,2,1)), IF(INDEX(ERP資料!$G:$G, (MATCH(139, 輔助計算!$G$2:$G$801, 0)+1))&lt;=790,3,IF(INDEX(ERP資料!$G:$G, (MATCH(139, 輔助計算!$G$2:$G$801, 0)+1))&lt;=1181,2,1)))), "")&amp;IF(AND(IF(INT(INDEX(輔助計算!$D:$D, (MATCH(139, 輔助計算!$G$2:$G$801, 0)+1))/IF(INDEX(ERP資料!$G:$G, (MATCH(139, 輔助計算!$G$2:$G$801, 0)+1))&lt;100, IF(INDEX(ERP資料!$G:$G, (MATCH(139, 輔助計算!$G$2:$G$801, 0)+1))&lt;=31,3,IF(INDEX(ERP資料!$G:$G, (MATCH(139, 輔助計算!$G$2:$G$801, 0)+1))&lt;=46.5,2,1)), IF(INDEX(ERP資料!$G:$G, (MATCH(139, 輔助計算!$G$2:$G$801, 0)+1))&lt;=790,3,IF(INDEX(ERP資料!$G:$G, (MATCH(139, 輔助計算!$G$2:$G$801, 0)+1))&lt;=1181,2,1))))&gt;0, IF(IF(INDEX(ERP資料!$G:$G, (MATCH(139, 輔助計算!$G$2:$G$801, 0)+1))&lt;100, IF(INDEX(ERP資料!$G:$G, (MATCH(139, 輔助計算!$G$2:$G$801, 0)+1))&lt;=31,3,IF(INDEX(ERP資料!$G:$G, (MATCH(139, 輔助計算!$G$2:$G$801, 0)+1))&lt;=46.5,2,1)), IF(INDEX(ERP資料!$G:$G, (MATCH(139, 輔助計算!$G$2:$G$801, 0)+1))&lt;=790,3,IF(INDEX(ERP資料!$G:$G, (MATCH(139, 輔助計算!$G$2:$G$801, 0)+1))&lt;=1181,2,1)))=1,TEXT(INDEX(ERP資料!$G:$G, (MATCH(139, 輔助計算!$G$2:$G$801, 0)+1)),"0.##"),IF(IF(INDEX(ERP資料!$G:$G, (MATCH(139, 輔助計算!$G$2:$G$801, 0)+1))&lt;100, IF(INDEX(ERP資料!$G:$G, (MATCH(139, 輔助計算!$G$2:$G$801, 0)+1))&lt;=31,3,IF(INDEX(ERP資料!$G:$G, (MATCH(139, 輔助計算!$G$2:$G$801, 0)+1))&lt;=46.5,2,1)), IF(INDEX(ERP資料!$G:$G, (MATCH(139, 輔助計算!$G$2:$G$801, 0)+1))&lt;=790,3,IF(INDEX(ERP資料!$G:$G, (MATCH(139, 輔助計算!$G$2:$G$801, 0)+1))&lt;=1181,2,1)))=2,TEXT(INDEX(ERP資料!$G:$G, (MATCH(139, 輔助計算!$G$2:$G$801, 0)+1)),"0.##")&amp;"+"&amp;TEXT(INDEX(ERP資料!$G:$G, (MATCH(139, 輔助計算!$G$2:$G$801, 0)+1)),"0.##"),TEXT(INDEX(ERP資料!$G:$G, (MATCH(139, 輔助計算!$G$2:$G$801, 0)+1)),"0.##")&amp;"+"&amp;TEXT(INDEX(ERP資料!$G:$G, (MATCH(139, 輔助計算!$G$2:$G$801, 0)+1)),"0.##")&amp;"+"&amp;TEXT(INDEX(ERP資料!$G:$G, (MATCH(139, 輔助計算!$G$2:$G$801, 0)+1)),"0.##")))&amp;"-"&amp;INT(INDEX(輔助計算!$D:$D, (MATCH(139, 輔助計算!$G$2:$G$801, 0)+1))/IF(INDEX(ERP資料!$G:$G, (MATCH(139, 輔助計算!$G$2:$G$801, 0)+1))&lt;100, IF(INDEX(ERP資料!$G:$G, (MATCH(139, 輔助計算!$G$2:$G$801, 0)+1))&lt;=31,3,IF(INDEX(ERP資料!$G:$G, (MATCH(139, 輔助計算!$G$2:$G$801, 0)+1))&lt;=46.5,2,1)), IF(INDEX(ERP資料!$G:$G, (MATCH(139, 輔助計算!$G$2:$G$801, 0)+1))&lt;=790,3,IF(INDEX(ERP資料!$G:$G, (MATCH(139, 輔助計算!$G$2:$G$801, 0)+1))&lt;=1181,2,1)))), "")&lt;&gt;"",IF(MOD(INDEX(輔助計算!$D:$D, (MATCH(139, 輔助計算!$G$2:$G$801, 0)+1)),IF(INDEX(ERP資料!$G:$G, (MATCH(139, 輔助計算!$G$2:$G$801, 0)+1))&lt;100, IF(INDEX(ERP資料!$G:$G, (MATCH(139, 輔助計算!$G$2:$G$801, 0)+1))&lt;=31,3,IF(INDEX(ERP資料!$G:$G, (MATCH(139, 輔助計算!$G$2:$G$801, 0)+1))&lt;=46.5,2,1)), IF(INDEX(ERP資料!$G:$G, (MATCH(139, 輔助計算!$G$2:$G$801, 0)+1))&lt;=790,3,IF(INDEX(ERP資料!$G:$G, (MATCH(139, 輔助計算!$G$2:$G$801, 0)+1))&lt;=1181,2,1))))=0,"",IF(MOD(INDEX(輔助計算!$D:$D, (MATCH(139, 輔助計算!$G$2:$G$801, 0)+1)),IF(INDEX(ERP資料!$G:$G, (MATCH(139, 輔助計算!$G$2:$G$801, 0)+1))&lt;100, IF(INDEX(ERP資料!$G:$G, (MATCH(139, 輔助計算!$G$2:$G$801, 0)+1))&lt;=31,3,IF(INDEX(ERP資料!$G:$G, (MATCH(139, 輔助計算!$G$2:$G$801, 0)+1))&lt;=46.5,2,1)), IF(INDEX(ERP資料!$G:$G, (MATCH(139, 輔助計算!$G$2:$G$801, 0)+1))&lt;=790,3,IF(INDEX(ERP資料!$G:$G, (MATCH(139, 輔助計算!$G$2:$G$801, 0)+1))&lt;=1181,2,1))))=0,"",IF(MOD(INDEX(輔助計算!$D:$D, (MATCH(139, 輔助計算!$G$2:$G$801, 0)+1)),IF(INDEX(ERP資料!$G:$G, (MATCH(139, 輔助計算!$G$2:$G$801, 0)+1))&lt;100, IF(INDEX(ERP資料!$G:$G, (MATCH(139, 輔助計算!$G$2:$G$801, 0)+1))&lt;=31,3,IF(INDEX(ERP資料!$G:$G, (MATCH(139, 輔助計算!$G$2:$G$801, 0)+1))&lt;=46.5,2,1)), IF(INDEX(ERP資料!$G:$G, (MATCH(139, 輔助計算!$G$2:$G$801, 0)+1))&lt;=790,3,IF(INDEX(ERP資料!$G:$G, (MATCH(139, 輔助計算!$G$2:$G$801, 0)+1))&lt;=1181,2,1))))=1,TEXT(INDEX(ERP資料!$G:$G, (MATCH(139, 輔助計算!$G$2:$G$801, 0)+1)),"0.##"),IF(MOD(INDEX(輔助計算!$D:$D, (MATCH(139, 輔助計算!$G$2:$G$801, 0)+1)),IF(INDEX(ERP資料!$G:$G, (MATCH(139, 輔助計算!$G$2:$G$801, 0)+1))&lt;100, IF(INDEX(ERP資料!$G:$G, (MATCH(139, 輔助計算!$G$2:$G$801, 0)+1))&lt;=31,3,IF(INDEX(ERP資料!$G:$G, (MATCH(139, 輔助計算!$G$2:$G$801, 0)+1))&lt;=46.5,2,1)), IF(INDEX(ERP資料!$G:$G, (MATCH(139, 輔助計算!$G$2:$G$801, 0)+1))&lt;=790,3,IF(INDEX(ERP資料!$G:$G, (MATCH(139, 輔助計算!$G$2:$G$801, 0)+1))&lt;=1181,2,1))))=2,TEXT(INDEX(ERP資料!$G:$G, (MATCH(139, 輔助計算!$G$2:$G$801, 0)+1)),"0.##")&amp;"+"&amp;TEXT(INDEX(ERP資料!$G:$G, (MATCH(139, 輔助計算!$G$2:$G$801, 0)+1)),"0.##"),TEXT(INDEX(ERP資料!$G:$G, (MATCH(139, 輔助計算!$G$2:$G$801, 0)+1)),"0.##")&amp;"+"&amp;TEXT(INDEX(ERP資料!$G:$G, (MATCH(139, 輔助計算!$G$2:$G$801, 0)+1)),"0.##")&amp;"+"&amp;TEXT(INDEX(ERP資料!$G:$G, (MATCH(139, 輔助計算!$G$2:$G$801, 0)+1)),"0.##"))))&amp;"-1")&lt;&gt;""),"  ","")&amp;IF(MOD(INDEX(輔助計算!$D:$D, (MATCH(139, 輔助計算!$G$2:$G$801, 0)+1)),IF(INDEX(ERP資料!$G:$G, (MATCH(139, 輔助計算!$G$2:$G$801, 0)+1))&lt;100, IF(INDEX(ERP資料!$G:$G, (MATCH(139, 輔助計算!$G$2:$G$801, 0)+1))&lt;=31,3,IF(INDEX(ERP資料!$G:$G, (MATCH(139, 輔助計算!$G$2:$G$801, 0)+1))&lt;=46.5,2,1)), IF(INDEX(ERP資料!$G:$G, (MATCH(139, 輔助計算!$G$2:$G$801, 0)+1))&lt;=790,3,IF(INDEX(ERP資料!$G:$G, (MATCH(139, 輔助計算!$G$2:$G$801, 0)+1))&lt;=1181,2,1))))=0,"",IF(MOD(INDEX(輔助計算!$D:$D, (MATCH(139, 輔助計算!$G$2:$G$801, 0)+1)),IF(INDEX(ERP資料!$G:$G, (MATCH(139, 輔助計算!$G$2:$G$801, 0)+1))&lt;100, IF(INDEX(ERP資料!$G:$G, (MATCH(139, 輔助計算!$G$2:$G$801, 0)+1))&lt;=31,3,IF(INDEX(ERP資料!$G:$G, (MATCH(139, 輔助計算!$G$2:$G$801, 0)+1))&lt;=46.5,2,1)), IF(INDEX(ERP資料!$G:$G, (MATCH(139, 輔助計算!$G$2:$G$801, 0)+1))&lt;=790,3,IF(INDEX(ERP資料!$G:$G, (MATCH(139, 輔助計算!$G$2:$G$801, 0)+1))&lt;=1181,2,1))))=0,"",IF(MOD(INDEX(輔助計算!$D:$D, (MATCH(139, 輔助計算!$G$2:$G$801, 0)+1)),IF(INDEX(ERP資料!$G:$G, (MATCH(139, 輔助計算!$G$2:$G$801, 0)+1))&lt;100, IF(INDEX(ERP資料!$G:$G, (MATCH(139, 輔助計算!$G$2:$G$801, 0)+1))&lt;=31,3,IF(INDEX(ERP資料!$G:$G, (MATCH(139, 輔助計算!$G$2:$G$801, 0)+1))&lt;=46.5,2,1)), IF(INDEX(ERP資料!$G:$G, (MATCH(139, 輔助計算!$G$2:$G$801, 0)+1))&lt;=790,3,IF(INDEX(ERP資料!$G:$G, (MATCH(139, 輔助計算!$G$2:$G$801, 0)+1))&lt;=1181,2,1))))=1,TEXT(INDEX(ERP資料!$G:$G, (MATCH(139, 輔助計算!$G$2:$G$801, 0)+1)),"0.##"),IF(MOD(INDEX(輔助計算!$D:$D, (MATCH(139, 輔助計算!$G$2:$G$801, 0)+1)),IF(INDEX(ERP資料!$G:$G, (MATCH(139, 輔助計算!$G$2:$G$801, 0)+1))&lt;100, IF(INDEX(ERP資料!$G:$G, (MATCH(139, 輔助計算!$G$2:$G$801, 0)+1))&lt;=31,3,IF(INDEX(ERP資料!$G:$G, (MATCH(139, 輔助計算!$G$2:$G$801, 0)+1))&lt;=46.5,2,1)), IF(INDEX(ERP資料!$G:$G, (MATCH(139, 輔助計算!$G$2:$G$801, 0)+1))&lt;=790,3,IF(INDEX(ERP資料!$G:$G, (MATCH(139, 輔助計算!$G$2:$G$801, 0)+1))&lt;=1181,2,1))))=2,TEXT(INDEX(ERP資料!$G:$G, (MATCH(139, 輔助計算!$G$2:$G$801, 0)+1)),"0.##")&amp;"+"&amp;TEXT(INDEX(ERP資料!$G:$G, (MATCH(139, 輔助計算!$G$2:$G$801, 0)+1)),"0.##"),TEXT(INDEX(ERP資料!$G:$G, (MATCH(139, 輔助計算!$G$2:$G$801, 0)+1)),"0.##")&amp;"+"&amp;TEXT(INDEX(ERP資料!$G:$G, (MATCH(139, 輔助計算!$G$2:$G$801, 0)+1)),"0.##")&amp;"+"&amp;TEXT(INDEX(ERP資料!$G:$G, (MATCH(139, 輔助計算!$G$2:$G$801, 0)+1)),"0.##"))))&amp;"-1")), ""), "")</f>
        <v/>
      </c>
      <c r="K140" s="16" t="n"/>
      <c r="L140" s="14">
        <f>IFERROR(IF(AND(IFERROR(INDEX(ERP資料!$A:$A, (MATCH(139, 輔助計算!$G$2:$G$801, 0)+1)), "")&lt;&gt;"", IFERROR(INDEX(ERP資料!$A:$A, (MATCH(139, 輔助計算!$G$2:$G$801, 0)+1)), "")&lt;&gt;IFERROR(INDEX(ERP資料!$A:$A, MATCH(138, 輔助計算!$G$2:$G$801, 0)+1), "")), INDEX(ERP資料!$B:$B, (MATCH(139, 輔助計算!$G$2:$G$801, 0)+1)), ""), "")</f>
        <v/>
      </c>
      <c r="M140" s="17" t="n"/>
    </row>
    <row r="141">
      <c r="A141" s="10">
        <f>IFERROR(IF(AND(IFERROR(INDEX(ERP資料!$A:$A, (MATCH(140, 輔助計算!$G$2:$G$801, 0)+1)), "")&lt;&gt;"", IFERROR(INDEX(ERP資料!$A:$A, (MATCH(140, 輔助計算!$G$2:$G$801, 0)+1)), "")&lt;&gt;IFERROR(INDEX(ERP資料!$A:$A, MATCH(139, 輔助計算!$G$2:$G$801, 0)+1), "")), IFERROR(INDEX(ERP資料!$A:$A, (MATCH(140, 輔助計算!$G$2:$G$801, 0)+1)), ""), ""), "")</f>
        <v/>
      </c>
      <c r="B141" s="10">
        <f>IFERROR(IF(AND(IFERROR(INDEX(ERP資料!$A:$A, (MATCH(140, 輔助計算!$G$2:$G$801, 0)+1)), "")&lt;&gt;"", IFERROR(INDEX(ERP資料!$A:$A, (MATCH(140, 輔助計算!$G$2:$G$801, 0)+1)), "")&lt;&gt;IFERROR(INDEX(ERP資料!$A:$A, MATCH(139, 輔助計算!$G$2:$G$801, 0)+1), "")), INDEX(ERP資料!$S:$S, (MATCH(140, 輔助計算!$G$2:$G$801, 0)+1)), ""), "")</f>
        <v/>
      </c>
      <c r="C141" s="19">
        <f>IFERROR(IF(AND(IFERROR(INDEX(ERP資料!$A:$A, (MATCH(140, 輔助計算!$G$2:$G$801, 0)+1)), "")&lt;&gt;"", IFERROR(INDEX(ERP資料!$A:$A, (MATCH(140, 輔助計算!$G$2:$G$801, 0)+1)), "")&lt;&gt;IFERROR(INDEX(ERP資料!$A:$A, MATCH(139, 輔助計算!$G$2:$G$801, 0)+1), "")), IFERROR(VLOOKUP(LEFT(INDEX(ERP資料!$S:$S, (MATCH(140, 輔助計算!$G$2:$G$801, 0)+1)), 4), 紙管對照表!$A:$C, 3, FALSE), ""), ""), "")</f>
        <v/>
      </c>
      <c r="D141" s="16" t="n"/>
      <c r="E141" s="10">
        <f>IFERROR(IF(INDEX(ERP資料!$H:$H, (MATCH(140, 輔助計算!$G$2:$G$801, 0)+1))="","",INDEX(ERP資料!$H:$H, (MATCH(140, 輔助計算!$G$2:$G$801, 0)+1))), "")</f>
        <v/>
      </c>
      <c r="F141" s="10">
        <f>IFERROR(IF(INDEX(ERP資料!$E:$E, (MATCH(140, 輔助計算!$G$2:$G$801, 0)+1))="","",TRIM(INDEX(ERP資料!$E:$E, (MATCH(140, 輔助計算!$G$2:$G$801, 0)+1)))), "")</f>
        <v/>
      </c>
      <c r="G141" s="10">
        <f>IFERROR(IF(INDEX(ERP資料!$F:$F, (MATCH(140, 輔助計算!$G$2:$G$801, 0)+1))="","",INDEX(ERP資料!$F:$F, (MATCH(140, 輔助計算!$G$2:$G$801, 0)+1))), "")</f>
        <v/>
      </c>
      <c r="H141" s="10">
        <f>IFERROR(IF(INDEX(ERP資料!$G:$G, (MATCH(140, 輔助計算!$G$2:$G$801, 0)+1))="","",INDEX(ERP資料!$G:$G, (MATCH(140, 輔助計算!$G$2:$G$801, 0)+1))), "")</f>
        <v/>
      </c>
      <c r="I141" s="15">
        <f>IFERROR(INDEX(輔助計算!$D:$D, (MATCH(140, 輔助計算!$G$2:$G$801, 0)+1)), "")</f>
        <v/>
      </c>
      <c r="J141" s="15">
        <f>IFERROR(IF(AND(INDEX(輔助計算!$D:$D, (MATCH(140, 輔助計算!$G$2:$G$801, 0)+1))&lt;&gt;"", INDEX(ERP資料!$G:$G, (MATCH(140, 輔助計算!$G$2:$G$801, 0)+1))&lt;&gt;""), TRIM(IF(INT(INDEX(輔助計算!$D:$D, (MATCH(140, 輔助計算!$G$2:$G$801, 0)+1))/IF(INDEX(ERP資料!$G:$G, (MATCH(140, 輔助計算!$G$2:$G$801, 0)+1))&lt;100, IF(INDEX(ERP資料!$G:$G, (MATCH(140, 輔助計算!$G$2:$G$801, 0)+1))&lt;=31,3,IF(INDEX(ERP資料!$G:$G, (MATCH(140, 輔助計算!$G$2:$G$801, 0)+1))&lt;=46.5,2,1)), IF(INDEX(ERP資料!$G:$G, (MATCH(140, 輔助計算!$G$2:$G$801, 0)+1))&lt;=790,3,IF(INDEX(ERP資料!$G:$G, (MATCH(140, 輔助計算!$G$2:$G$801, 0)+1))&lt;=1181,2,1))))&gt;0, IF(IF(INDEX(ERP資料!$G:$G, (MATCH(140, 輔助計算!$G$2:$G$801, 0)+1))&lt;100, IF(INDEX(ERP資料!$G:$G, (MATCH(140, 輔助計算!$G$2:$G$801, 0)+1))&lt;=31,3,IF(INDEX(ERP資料!$G:$G, (MATCH(140, 輔助計算!$G$2:$G$801, 0)+1))&lt;=46.5,2,1)), IF(INDEX(ERP資料!$G:$G, (MATCH(140, 輔助計算!$G$2:$G$801, 0)+1))&lt;=790,3,IF(INDEX(ERP資料!$G:$G, (MATCH(140, 輔助計算!$G$2:$G$801, 0)+1))&lt;=1181,2,1)))=1,TEXT(INDEX(ERP資料!$G:$G, (MATCH(140, 輔助計算!$G$2:$G$801, 0)+1)),"0.##"),IF(IF(INDEX(ERP資料!$G:$G, (MATCH(140, 輔助計算!$G$2:$G$801, 0)+1))&lt;100, IF(INDEX(ERP資料!$G:$G, (MATCH(140, 輔助計算!$G$2:$G$801, 0)+1))&lt;=31,3,IF(INDEX(ERP資料!$G:$G, (MATCH(140, 輔助計算!$G$2:$G$801, 0)+1))&lt;=46.5,2,1)), IF(INDEX(ERP資料!$G:$G, (MATCH(140, 輔助計算!$G$2:$G$801, 0)+1))&lt;=790,3,IF(INDEX(ERP資料!$G:$G, (MATCH(140, 輔助計算!$G$2:$G$801, 0)+1))&lt;=1181,2,1)))=2,TEXT(INDEX(ERP資料!$G:$G, (MATCH(140, 輔助計算!$G$2:$G$801, 0)+1)),"0.##")&amp;"+"&amp;TEXT(INDEX(ERP資料!$G:$G, (MATCH(140, 輔助計算!$G$2:$G$801, 0)+1)),"0.##"),TEXT(INDEX(ERP資料!$G:$G, (MATCH(140, 輔助計算!$G$2:$G$801, 0)+1)),"0.##")&amp;"+"&amp;TEXT(INDEX(ERP資料!$G:$G, (MATCH(140, 輔助計算!$G$2:$G$801, 0)+1)),"0.##")&amp;"+"&amp;TEXT(INDEX(ERP資料!$G:$G, (MATCH(140, 輔助計算!$G$2:$G$801, 0)+1)),"0.##")))&amp;"-"&amp;INT(INDEX(輔助計算!$D:$D, (MATCH(140, 輔助計算!$G$2:$G$801, 0)+1))/IF(INDEX(ERP資料!$G:$G, (MATCH(140, 輔助計算!$G$2:$G$801, 0)+1))&lt;100, IF(INDEX(ERP資料!$G:$G, (MATCH(140, 輔助計算!$G$2:$G$801, 0)+1))&lt;=31,3,IF(INDEX(ERP資料!$G:$G, (MATCH(140, 輔助計算!$G$2:$G$801, 0)+1))&lt;=46.5,2,1)), IF(INDEX(ERP資料!$G:$G, (MATCH(140, 輔助計算!$G$2:$G$801, 0)+1))&lt;=790,3,IF(INDEX(ERP資料!$G:$G, (MATCH(140, 輔助計算!$G$2:$G$801, 0)+1))&lt;=1181,2,1)))), "")&amp;IF(AND(IF(INT(INDEX(輔助計算!$D:$D, (MATCH(140, 輔助計算!$G$2:$G$801, 0)+1))/IF(INDEX(ERP資料!$G:$G, (MATCH(140, 輔助計算!$G$2:$G$801, 0)+1))&lt;100, IF(INDEX(ERP資料!$G:$G, (MATCH(140, 輔助計算!$G$2:$G$801, 0)+1))&lt;=31,3,IF(INDEX(ERP資料!$G:$G, (MATCH(140, 輔助計算!$G$2:$G$801, 0)+1))&lt;=46.5,2,1)), IF(INDEX(ERP資料!$G:$G, (MATCH(140, 輔助計算!$G$2:$G$801, 0)+1))&lt;=790,3,IF(INDEX(ERP資料!$G:$G, (MATCH(140, 輔助計算!$G$2:$G$801, 0)+1))&lt;=1181,2,1))))&gt;0, IF(IF(INDEX(ERP資料!$G:$G, (MATCH(140, 輔助計算!$G$2:$G$801, 0)+1))&lt;100, IF(INDEX(ERP資料!$G:$G, (MATCH(140, 輔助計算!$G$2:$G$801, 0)+1))&lt;=31,3,IF(INDEX(ERP資料!$G:$G, (MATCH(140, 輔助計算!$G$2:$G$801, 0)+1))&lt;=46.5,2,1)), IF(INDEX(ERP資料!$G:$G, (MATCH(140, 輔助計算!$G$2:$G$801, 0)+1))&lt;=790,3,IF(INDEX(ERP資料!$G:$G, (MATCH(140, 輔助計算!$G$2:$G$801, 0)+1))&lt;=1181,2,1)))=1,TEXT(INDEX(ERP資料!$G:$G, (MATCH(140, 輔助計算!$G$2:$G$801, 0)+1)),"0.##"),IF(IF(INDEX(ERP資料!$G:$G, (MATCH(140, 輔助計算!$G$2:$G$801, 0)+1))&lt;100, IF(INDEX(ERP資料!$G:$G, (MATCH(140, 輔助計算!$G$2:$G$801, 0)+1))&lt;=31,3,IF(INDEX(ERP資料!$G:$G, (MATCH(140, 輔助計算!$G$2:$G$801, 0)+1))&lt;=46.5,2,1)), IF(INDEX(ERP資料!$G:$G, (MATCH(140, 輔助計算!$G$2:$G$801, 0)+1))&lt;=790,3,IF(INDEX(ERP資料!$G:$G, (MATCH(140, 輔助計算!$G$2:$G$801, 0)+1))&lt;=1181,2,1)))=2,TEXT(INDEX(ERP資料!$G:$G, (MATCH(140, 輔助計算!$G$2:$G$801, 0)+1)),"0.##")&amp;"+"&amp;TEXT(INDEX(ERP資料!$G:$G, (MATCH(140, 輔助計算!$G$2:$G$801, 0)+1)),"0.##"),TEXT(INDEX(ERP資料!$G:$G, (MATCH(140, 輔助計算!$G$2:$G$801, 0)+1)),"0.##")&amp;"+"&amp;TEXT(INDEX(ERP資料!$G:$G, (MATCH(140, 輔助計算!$G$2:$G$801, 0)+1)),"0.##")&amp;"+"&amp;TEXT(INDEX(ERP資料!$G:$G, (MATCH(140, 輔助計算!$G$2:$G$801, 0)+1)),"0.##")))&amp;"-"&amp;INT(INDEX(輔助計算!$D:$D, (MATCH(140, 輔助計算!$G$2:$G$801, 0)+1))/IF(INDEX(ERP資料!$G:$G, (MATCH(140, 輔助計算!$G$2:$G$801, 0)+1))&lt;100, IF(INDEX(ERP資料!$G:$G, (MATCH(140, 輔助計算!$G$2:$G$801, 0)+1))&lt;=31,3,IF(INDEX(ERP資料!$G:$G, (MATCH(140, 輔助計算!$G$2:$G$801, 0)+1))&lt;=46.5,2,1)), IF(INDEX(ERP資料!$G:$G, (MATCH(140, 輔助計算!$G$2:$G$801, 0)+1))&lt;=790,3,IF(INDEX(ERP資料!$G:$G, (MATCH(140, 輔助計算!$G$2:$G$801, 0)+1))&lt;=1181,2,1)))), "")&lt;&gt;"",IF(MOD(INDEX(輔助計算!$D:$D, (MATCH(140, 輔助計算!$G$2:$G$801, 0)+1)),IF(INDEX(ERP資料!$G:$G, (MATCH(140, 輔助計算!$G$2:$G$801, 0)+1))&lt;100, IF(INDEX(ERP資料!$G:$G, (MATCH(140, 輔助計算!$G$2:$G$801, 0)+1))&lt;=31,3,IF(INDEX(ERP資料!$G:$G, (MATCH(140, 輔助計算!$G$2:$G$801, 0)+1))&lt;=46.5,2,1)), IF(INDEX(ERP資料!$G:$G, (MATCH(140, 輔助計算!$G$2:$G$801, 0)+1))&lt;=790,3,IF(INDEX(ERP資料!$G:$G, (MATCH(140, 輔助計算!$G$2:$G$801, 0)+1))&lt;=1181,2,1))))=0,"",IF(MOD(INDEX(輔助計算!$D:$D, (MATCH(140, 輔助計算!$G$2:$G$801, 0)+1)),IF(INDEX(ERP資料!$G:$G, (MATCH(140, 輔助計算!$G$2:$G$801, 0)+1))&lt;100, IF(INDEX(ERP資料!$G:$G, (MATCH(140, 輔助計算!$G$2:$G$801, 0)+1))&lt;=31,3,IF(INDEX(ERP資料!$G:$G, (MATCH(140, 輔助計算!$G$2:$G$801, 0)+1))&lt;=46.5,2,1)), IF(INDEX(ERP資料!$G:$G, (MATCH(140, 輔助計算!$G$2:$G$801, 0)+1))&lt;=790,3,IF(INDEX(ERP資料!$G:$G, (MATCH(140, 輔助計算!$G$2:$G$801, 0)+1))&lt;=1181,2,1))))=0,"",IF(MOD(INDEX(輔助計算!$D:$D, (MATCH(140, 輔助計算!$G$2:$G$801, 0)+1)),IF(INDEX(ERP資料!$G:$G, (MATCH(140, 輔助計算!$G$2:$G$801, 0)+1))&lt;100, IF(INDEX(ERP資料!$G:$G, (MATCH(140, 輔助計算!$G$2:$G$801, 0)+1))&lt;=31,3,IF(INDEX(ERP資料!$G:$G, (MATCH(140, 輔助計算!$G$2:$G$801, 0)+1))&lt;=46.5,2,1)), IF(INDEX(ERP資料!$G:$G, (MATCH(140, 輔助計算!$G$2:$G$801, 0)+1))&lt;=790,3,IF(INDEX(ERP資料!$G:$G, (MATCH(140, 輔助計算!$G$2:$G$801, 0)+1))&lt;=1181,2,1))))=1,TEXT(INDEX(ERP資料!$G:$G, (MATCH(140, 輔助計算!$G$2:$G$801, 0)+1)),"0.##"),IF(MOD(INDEX(輔助計算!$D:$D, (MATCH(140, 輔助計算!$G$2:$G$801, 0)+1)),IF(INDEX(ERP資料!$G:$G, (MATCH(140, 輔助計算!$G$2:$G$801, 0)+1))&lt;100, IF(INDEX(ERP資料!$G:$G, (MATCH(140, 輔助計算!$G$2:$G$801, 0)+1))&lt;=31,3,IF(INDEX(ERP資料!$G:$G, (MATCH(140, 輔助計算!$G$2:$G$801, 0)+1))&lt;=46.5,2,1)), IF(INDEX(ERP資料!$G:$G, (MATCH(140, 輔助計算!$G$2:$G$801, 0)+1))&lt;=790,3,IF(INDEX(ERP資料!$G:$G, (MATCH(140, 輔助計算!$G$2:$G$801, 0)+1))&lt;=1181,2,1))))=2,TEXT(INDEX(ERP資料!$G:$G, (MATCH(140, 輔助計算!$G$2:$G$801, 0)+1)),"0.##")&amp;"+"&amp;TEXT(INDEX(ERP資料!$G:$G, (MATCH(140, 輔助計算!$G$2:$G$801, 0)+1)),"0.##"),TEXT(INDEX(ERP資料!$G:$G, (MATCH(140, 輔助計算!$G$2:$G$801, 0)+1)),"0.##")&amp;"+"&amp;TEXT(INDEX(ERP資料!$G:$G, (MATCH(140, 輔助計算!$G$2:$G$801, 0)+1)),"0.##")&amp;"+"&amp;TEXT(INDEX(ERP資料!$G:$G, (MATCH(140, 輔助計算!$G$2:$G$801, 0)+1)),"0.##"))))&amp;"-1")&lt;&gt;""),"  ","")&amp;IF(MOD(INDEX(輔助計算!$D:$D, (MATCH(140, 輔助計算!$G$2:$G$801, 0)+1)),IF(INDEX(ERP資料!$G:$G, (MATCH(140, 輔助計算!$G$2:$G$801, 0)+1))&lt;100, IF(INDEX(ERP資料!$G:$G, (MATCH(140, 輔助計算!$G$2:$G$801, 0)+1))&lt;=31,3,IF(INDEX(ERP資料!$G:$G, (MATCH(140, 輔助計算!$G$2:$G$801, 0)+1))&lt;=46.5,2,1)), IF(INDEX(ERP資料!$G:$G, (MATCH(140, 輔助計算!$G$2:$G$801, 0)+1))&lt;=790,3,IF(INDEX(ERP資料!$G:$G, (MATCH(140, 輔助計算!$G$2:$G$801, 0)+1))&lt;=1181,2,1))))=0,"",IF(MOD(INDEX(輔助計算!$D:$D, (MATCH(140, 輔助計算!$G$2:$G$801, 0)+1)),IF(INDEX(ERP資料!$G:$G, (MATCH(140, 輔助計算!$G$2:$G$801, 0)+1))&lt;100, IF(INDEX(ERP資料!$G:$G, (MATCH(140, 輔助計算!$G$2:$G$801, 0)+1))&lt;=31,3,IF(INDEX(ERP資料!$G:$G, (MATCH(140, 輔助計算!$G$2:$G$801, 0)+1))&lt;=46.5,2,1)), IF(INDEX(ERP資料!$G:$G, (MATCH(140, 輔助計算!$G$2:$G$801, 0)+1))&lt;=790,3,IF(INDEX(ERP資料!$G:$G, (MATCH(140, 輔助計算!$G$2:$G$801, 0)+1))&lt;=1181,2,1))))=0,"",IF(MOD(INDEX(輔助計算!$D:$D, (MATCH(140, 輔助計算!$G$2:$G$801, 0)+1)),IF(INDEX(ERP資料!$G:$G, (MATCH(140, 輔助計算!$G$2:$G$801, 0)+1))&lt;100, IF(INDEX(ERP資料!$G:$G, (MATCH(140, 輔助計算!$G$2:$G$801, 0)+1))&lt;=31,3,IF(INDEX(ERP資料!$G:$G, (MATCH(140, 輔助計算!$G$2:$G$801, 0)+1))&lt;=46.5,2,1)), IF(INDEX(ERP資料!$G:$G, (MATCH(140, 輔助計算!$G$2:$G$801, 0)+1))&lt;=790,3,IF(INDEX(ERP資料!$G:$G, (MATCH(140, 輔助計算!$G$2:$G$801, 0)+1))&lt;=1181,2,1))))=1,TEXT(INDEX(ERP資料!$G:$G, (MATCH(140, 輔助計算!$G$2:$G$801, 0)+1)),"0.##"),IF(MOD(INDEX(輔助計算!$D:$D, (MATCH(140, 輔助計算!$G$2:$G$801, 0)+1)),IF(INDEX(ERP資料!$G:$G, (MATCH(140, 輔助計算!$G$2:$G$801, 0)+1))&lt;100, IF(INDEX(ERP資料!$G:$G, (MATCH(140, 輔助計算!$G$2:$G$801, 0)+1))&lt;=31,3,IF(INDEX(ERP資料!$G:$G, (MATCH(140, 輔助計算!$G$2:$G$801, 0)+1))&lt;=46.5,2,1)), IF(INDEX(ERP資料!$G:$G, (MATCH(140, 輔助計算!$G$2:$G$801, 0)+1))&lt;=790,3,IF(INDEX(ERP資料!$G:$G, (MATCH(140, 輔助計算!$G$2:$G$801, 0)+1))&lt;=1181,2,1))))=2,TEXT(INDEX(ERP資料!$G:$G, (MATCH(140, 輔助計算!$G$2:$G$801, 0)+1)),"0.##")&amp;"+"&amp;TEXT(INDEX(ERP資料!$G:$G, (MATCH(140, 輔助計算!$G$2:$G$801, 0)+1)),"0.##"),TEXT(INDEX(ERP資料!$G:$G, (MATCH(140, 輔助計算!$G$2:$G$801, 0)+1)),"0.##")&amp;"+"&amp;TEXT(INDEX(ERP資料!$G:$G, (MATCH(140, 輔助計算!$G$2:$G$801, 0)+1)),"0.##")&amp;"+"&amp;TEXT(INDEX(ERP資料!$G:$G, (MATCH(140, 輔助計算!$G$2:$G$801, 0)+1)),"0.##"))))&amp;"-1")), ""), "")</f>
        <v/>
      </c>
      <c r="K141" s="16" t="n"/>
      <c r="L141" s="14">
        <f>IFERROR(IF(AND(IFERROR(INDEX(ERP資料!$A:$A, (MATCH(140, 輔助計算!$G$2:$G$801, 0)+1)), "")&lt;&gt;"", IFERROR(INDEX(ERP資料!$A:$A, (MATCH(140, 輔助計算!$G$2:$G$801, 0)+1)), "")&lt;&gt;IFERROR(INDEX(ERP資料!$A:$A, MATCH(139, 輔助計算!$G$2:$G$801, 0)+1), "")), INDEX(ERP資料!$B:$B, (MATCH(140, 輔助計算!$G$2:$G$801, 0)+1)), ""), "")</f>
        <v/>
      </c>
      <c r="M141" s="17" t="n"/>
    </row>
    <row r="142">
      <c r="A142" s="10">
        <f>IFERROR(IF(AND(IFERROR(INDEX(ERP資料!$A:$A, (MATCH(141, 輔助計算!$G$2:$G$801, 0)+1)), "")&lt;&gt;"", IFERROR(INDEX(ERP資料!$A:$A, (MATCH(141, 輔助計算!$G$2:$G$801, 0)+1)), "")&lt;&gt;IFERROR(INDEX(ERP資料!$A:$A, MATCH(140, 輔助計算!$G$2:$G$801, 0)+1), "")), IFERROR(INDEX(ERP資料!$A:$A, (MATCH(141, 輔助計算!$G$2:$G$801, 0)+1)), ""), ""), "")</f>
        <v/>
      </c>
      <c r="B142" s="10">
        <f>IFERROR(IF(AND(IFERROR(INDEX(ERP資料!$A:$A, (MATCH(141, 輔助計算!$G$2:$G$801, 0)+1)), "")&lt;&gt;"", IFERROR(INDEX(ERP資料!$A:$A, (MATCH(141, 輔助計算!$G$2:$G$801, 0)+1)), "")&lt;&gt;IFERROR(INDEX(ERP資料!$A:$A, MATCH(140, 輔助計算!$G$2:$G$801, 0)+1), "")), INDEX(ERP資料!$S:$S, (MATCH(141, 輔助計算!$G$2:$G$801, 0)+1)), ""), "")</f>
        <v/>
      </c>
      <c r="C142" s="19">
        <f>IFERROR(IF(AND(IFERROR(INDEX(ERP資料!$A:$A, (MATCH(141, 輔助計算!$G$2:$G$801, 0)+1)), "")&lt;&gt;"", IFERROR(INDEX(ERP資料!$A:$A, (MATCH(141, 輔助計算!$G$2:$G$801, 0)+1)), "")&lt;&gt;IFERROR(INDEX(ERP資料!$A:$A, MATCH(140, 輔助計算!$G$2:$G$801, 0)+1), "")), IFERROR(VLOOKUP(LEFT(INDEX(ERP資料!$S:$S, (MATCH(141, 輔助計算!$G$2:$G$801, 0)+1)), 4), 紙管對照表!$A:$C, 3, FALSE), ""), ""), "")</f>
        <v/>
      </c>
      <c r="D142" s="16" t="n"/>
      <c r="E142" s="10">
        <f>IFERROR(IF(INDEX(ERP資料!$H:$H, (MATCH(141, 輔助計算!$G$2:$G$801, 0)+1))="","",INDEX(ERP資料!$H:$H, (MATCH(141, 輔助計算!$G$2:$G$801, 0)+1))), "")</f>
        <v/>
      </c>
      <c r="F142" s="10">
        <f>IFERROR(IF(INDEX(ERP資料!$E:$E, (MATCH(141, 輔助計算!$G$2:$G$801, 0)+1))="","",TRIM(INDEX(ERP資料!$E:$E, (MATCH(141, 輔助計算!$G$2:$G$801, 0)+1)))), "")</f>
        <v/>
      </c>
      <c r="G142" s="10">
        <f>IFERROR(IF(INDEX(ERP資料!$F:$F, (MATCH(141, 輔助計算!$G$2:$G$801, 0)+1))="","",INDEX(ERP資料!$F:$F, (MATCH(141, 輔助計算!$G$2:$G$801, 0)+1))), "")</f>
        <v/>
      </c>
      <c r="H142" s="10">
        <f>IFERROR(IF(INDEX(ERP資料!$G:$G, (MATCH(141, 輔助計算!$G$2:$G$801, 0)+1))="","",INDEX(ERP資料!$G:$G, (MATCH(141, 輔助計算!$G$2:$G$801, 0)+1))), "")</f>
        <v/>
      </c>
      <c r="I142" s="15">
        <f>IFERROR(INDEX(輔助計算!$D:$D, (MATCH(141, 輔助計算!$G$2:$G$801, 0)+1)), "")</f>
        <v/>
      </c>
      <c r="J142" s="15">
        <f>IFERROR(IF(AND(INDEX(輔助計算!$D:$D, (MATCH(141, 輔助計算!$G$2:$G$801, 0)+1))&lt;&gt;"", INDEX(ERP資料!$G:$G, (MATCH(141, 輔助計算!$G$2:$G$801, 0)+1))&lt;&gt;""), TRIM(IF(INT(INDEX(輔助計算!$D:$D, (MATCH(141, 輔助計算!$G$2:$G$801, 0)+1))/IF(INDEX(ERP資料!$G:$G, (MATCH(141, 輔助計算!$G$2:$G$801, 0)+1))&lt;100, IF(INDEX(ERP資料!$G:$G, (MATCH(141, 輔助計算!$G$2:$G$801, 0)+1))&lt;=31,3,IF(INDEX(ERP資料!$G:$G, (MATCH(141, 輔助計算!$G$2:$G$801, 0)+1))&lt;=46.5,2,1)), IF(INDEX(ERP資料!$G:$G, (MATCH(141, 輔助計算!$G$2:$G$801, 0)+1))&lt;=790,3,IF(INDEX(ERP資料!$G:$G, (MATCH(141, 輔助計算!$G$2:$G$801, 0)+1))&lt;=1181,2,1))))&gt;0, IF(IF(INDEX(ERP資料!$G:$G, (MATCH(141, 輔助計算!$G$2:$G$801, 0)+1))&lt;100, IF(INDEX(ERP資料!$G:$G, (MATCH(141, 輔助計算!$G$2:$G$801, 0)+1))&lt;=31,3,IF(INDEX(ERP資料!$G:$G, (MATCH(141, 輔助計算!$G$2:$G$801, 0)+1))&lt;=46.5,2,1)), IF(INDEX(ERP資料!$G:$G, (MATCH(141, 輔助計算!$G$2:$G$801, 0)+1))&lt;=790,3,IF(INDEX(ERP資料!$G:$G, (MATCH(141, 輔助計算!$G$2:$G$801, 0)+1))&lt;=1181,2,1)))=1,TEXT(INDEX(ERP資料!$G:$G, (MATCH(141, 輔助計算!$G$2:$G$801, 0)+1)),"0.##"),IF(IF(INDEX(ERP資料!$G:$G, (MATCH(141, 輔助計算!$G$2:$G$801, 0)+1))&lt;100, IF(INDEX(ERP資料!$G:$G, (MATCH(141, 輔助計算!$G$2:$G$801, 0)+1))&lt;=31,3,IF(INDEX(ERP資料!$G:$G, (MATCH(141, 輔助計算!$G$2:$G$801, 0)+1))&lt;=46.5,2,1)), IF(INDEX(ERP資料!$G:$G, (MATCH(141, 輔助計算!$G$2:$G$801, 0)+1))&lt;=790,3,IF(INDEX(ERP資料!$G:$G, (MATCH(141, 輔助計算!$G$2:$G$801, 0)+1))&lt;=1181,2,1)))=2,TEXT(INDEX(ERP資料!$G:$G, (MATCH(141, 輔助計算!$G$2:$G$801, 0)+1)),"0.##")&amp;"+"&amp;TEXT(INDEX(ERP資料!$G:$G, (MATCH(141, 輔助計算!$G$2:$G$801, 0)+1)),"0.##"),TEXT(INDEX(ERP資料!$G:$G, (MATCH(141, 輔助計算!$G$2:$G$801, 0)+1)),"0.##")&amp;"+"&amp;TEXT(INDEX(ERP資料!$G:$G, (MATCH(141, 輔助計算!$G$2:$G$801, 0)+1)),"0.##")&amp;"+"&amp;TEXT(INDEX(ERP資料!$G:$G, (MATCH(141, 輔助計算!$G$2:$G$801, 0)+1)),"0.##")))&amp;"-"&amp;INT(INDEX(輔助計算!$D:$D, (MATCH(141, 輔助計算!$G$2:$G$801, 0)+1))/IF(INDEX(ERP資料!$G:$G, (MATCH(141, 輔助計算!$G$2:$G$801, 0)+1))&lt;100, IF(INDEX(ERP資料!$G:$G, (MATCH(141, 輔助計算!$G$2:$G$801, 0)+1))&lt;=31,3,IF(INDEX(ERP資料!$G:$G, (MATCH(141, 輔助計算!$G$2:$G$801, 0)+1))&lt;=46.5,2,1)), IF(INDEX(ERP資料!$G:$G, (MATCH(141, 輔助計算!$G$2:$G$801, 0)+1))&lt;=790,3,IF(INDEX(ERP資料!$G:$G, (MATCH(141, 輔助計算!$G$2:$G$801, 0)+1))&lt;=1181,2,1)))), "")&amp;IF(AND(IF(INT(INDEX(輔助計算!$D:$D, (MATCH(141, 輔助計算!$G$2:$G$801, 0)+1))/IF(INDEX(ERP資料!$G:$G, (MATCH(141, 輔助計算!$G$2:$G$801, 0)+1))&lt;100, IF(INDEX(ERP資料!$G:$G, (MATCH(141, 輔助計算!$G$2:$G$801, 0)+1))&lt;=31,3,IF(INDEX(ERP資料!$G:$G, (MATCH(141, 輔助計算!$G$2:$G$801, 0)+1))&lt;=46.5,2,1)), IF(INDEX(ERP資料!$G:$G, (MATCH(141, 輔助計算!$G$2:$G$801, 0)+1))&lt;=790,3,IF(INDEX(ERP資料!$G:$G, (MATCH(141, 輔助計算!$G$2:$G$801, 0)+1))&lt;=1181,2,1))))&gt;0, IF(IF(INDEX(ERP資料!$G:$G, (MATCH(141, 輔助計算!$G$2:$G$801, 0)+1))&lt;100, IF(INDEX(ERP資料!$G:$G, (MATCH(141, 輔助計算!$G$2:$G$801, 0)+1))&lt;=31,3,IF(INDEX(ERP資料!$G:$G, (MATCH(141, 輔助計算!$G$2:$G$801, 0)+1))&lt;=46.5,2,1)), IF(INDEX(ERP資料!$G:$G, (MATCH(141, 輔助計算!$G$2:$G$801, 0)+1))&lt;=790,3,IF(INDEX(ERP資料!$G:$G, (MATCH(141, 輔助計算!$G$2:$G$801, 0)+1))&lt;=1181,2,1)))=1,TEXT(INDEX(ERP資料!$G:$G, (MATCH(141, 輔助計算!$G$2:$G$801, 0)+1)),"0.##"),IF(IF(INDEX(ERP資料!$G:$G, (MATCH(141, 輔助計算!$G$2:$G$801, 0)+1))&lt;100, IF(INDEX(ERP資料!$G:$G, (MATCH(141, 輔助計算!$G$2:$G$801, 0)+1))&lt;=31,3,IF(INDEX(ERP資料!$G:$G, (MATCH(141, 輔助計算!$G$2:$G$801, 0)+1))&lt;=46.5,2,1)), IF(INDEX(ERP資料!$G:$G, (MATCH(141, 輔助計算!$G$2:$G$801, 0)+1))&lt;=790,3,IF(INDEX(ERP資料!$G:$G, (MATCH(141, 輔助計算!$G$2:$G$801, 0)+1))&lt;=1181,2,1)))=2,TEXT(INDEX(ERP資料!$G:$G, (MATCH(141, 輔助計算!$G$2:$G$801, 0)+1)),"0.##")&amp;"+"&amp;TEXT(INDEX(ERP資料!$G:$G, (MATCH(141, 輔助計算!$G$2:$G$801, 0)+1)),"0.##"),TEXT(INDEX(ERP資料!$G:$G, (MATCH(141, 輔助計算!$G$2:$G$801, 0)+1)),"0.##")&amp;"+"&amp;TEXT(INDEX(ERP資料!$G:$G, (MATCH(141, 輔助計算!$G$2:$G$801, 0)+1)),"0.##")&amp;"+"&amp;TEXT(INDEX(ERP資料!$G:$G, (MATCH(141, 輔助計算!$G$2:$G$801, 0)+1)),"0.##")))&amp;"-"&amp;INT(INDEX(輔助計算!$D:$D, (MATCH(141, 輔助計算!$G$2:$G$801, 0)+1))/IF(INDEX(ERP資料!$G:$G, (MATCH(141, 輔助計算!$G$2:$G$801, 0)+1))&lt;100, IF(INDEX(ERP資料!$G:$G, (MATCH(141, 輔助計算!$G$2:$G$801, 0)+1))&lt;=31,3,IF(INDEX(ERP資料!$G:$G, (MATCH(141, 輔助計算!$G$2:$G$801, 0)+1))&lt;=46.5,2,1)), IF(INDEX(ERP資料!$G:$G, (MATCH(141, 輔助計算!$G$2:$G$801, 0)+1))&lt;=790,3,IF(INDEX(ERP資料!$G:$G, (MATCH(141, 輔助計算!$G$2:$G$801, 0)+1))&lt;=1181,2,1)))), "")&lt;&gt;"",IF(MOD(INDEX(輔助計算!$D:$D, (MATCH(141, 輔助計算!$G$2:$G$801, 0)+1)),IF(INDEX(ERP資料!$G:$G, (MATCH(141, 輔助計算!$G$2:$G$801, 0)+1))&lt;100, IF(INDEX(ERP資料!$G:$G, (MATCH(141, 輔助計算!$G$2:$G$801, 0)+1))&lt;=31,3,IF(INDEX(ERP資料!$G:$G, (MATCH(141, 輔助計算!$G$2:$G$801, 0)+1))&lt;=46.5,2,1)), IF(INDEX(ERP資料!$G:$G, (MATCH(141, 輔助計算!$G$2:$G$801, 0)+1))&lt;=790,3,IF(INDEX(ERP資料!$G:$G, (MATCH(141, 輔助計算!$G$2:$G$801, 0)+1))&lt;=1181,2,1))))=0,"",IF(MOD(INDEX(輔助計算!$D:$D, (MATCH(141, 輔助計算!$G$2:$G$801, 0)+1)),IF(INDEX(ERP資料!$G:$G, (MATCH(141, 輔助計算!$G$2:$G$801, 0)+1))&lt;100, IF(INDEX(ERP資料!$G:$G, (MATCH(141, 輔助計算!$G$2:$G$801, 0)+1))&lt;=31,3,IF(INDEX(ERP資料!$G:$G, (MATCH(141, 輔助計算!$G$2:$G$801, 0)+1))&lt;=46.5,2,1)), IF(INDEX(ERP資料!$G:$G, (MATCH(141, 輔助計算!$G$2:$G$801, 0)+1))&lt;=790,3,IF(INDEX(ERP資料!$G:$G, (MATCH(141, 輔助計算!$G$2:$G$801, 0)+1))&lt;=1181,2,1))))=0,"",IF(MOD(INDEX(輔助計算!$D:$D, (MATCH(141, 輔助計算!$G$2:$G$801, 0)+1)),IF(INDEX(ERP資料!$G:$G, (MATCH(141, 輔助計算!$G$2:$G$801, 0)+1))&lt;100, IF(INDEX(ERP資料!$G:$G, (MATCH(141, 輔助計算!$G$2:$G$801, 0)+1))&lt;=31,3,IF(INDEX(ERP資料!$G:$G, (MATCH(141, 輔助計算!$G$2:$G$801, 0)+1))&lt;=46.5,2,1)), IF(INDEX(ERP資料!$G:$G, (MATCH(141, 輔助計算!$G$2:$G$801, 0)+1))&lt;=790,3,IF(INDEX(ERP資料!$G:$G, (MATCH(141, 輔助計算!$G$2:$G$801, 0)+1))&lt;=1181,2,1))))=1,TEXT(INDEX(ERP資料!$G:$G, (MATCH(141, 輔助計算!$G$2:$G$801, 0)+1)),"0.##"),IF(MOD(INDEX(輔助計算!$D:$D, (MATCH(141, 輔助計算!$G$2:$G$801, 0)+1)),IF(INDEX(ERP資料!$G:$G, (MATCH(141, 輔助計算!$G$2:$G$801, 0)+1))&lt;100, IF(INDEX(ERP資料!$G:$G, (MATCH(141, 輔助計算!$G$2:$G$801, 0)+1))&lt;=31,3,IF(INDEX(ERP資料!$G:$G, (MATCH(141, 輔助計算!$G$2:$G$801, 0)+1))&lt;=46.5,2,1)), IF(INDEX(ERP資料!$G:$G, (MATCH(141, 輔助計算!$G$2:$G$801, 0)+1))&lt;=790,3,IF(INDEX(ERP資料!$G:$G, (MATCH(141, 輔助計算!$G$2:$G$801, 0)+1))&lt;=1181,2,1))))=2,TEXT(INDEX(ERP資料!$G:$G, (MATCH(141, 輔助計算!$G$2:$G$801, 0)+1)),"0.##")&amp;"+"&amp;TEXT(INDEX(ERP資料!$G:$G, (MATCH(141, 輔助計算!$G$2:$G$801, 0)+1)),"0.##"),TEXT(INDEX(ERP資料!$G:$G, (MATCH(141, 輔助計算!$G$2:$G$801, 0)+1)),"0.##")&amp;"+"&amp;TEXT(INDEX(ERP資料!$G:$G, (MATCH(141, 輔助計算!$G$2:$G$801, 0)+1)),"0.##")&amp;"+"&amp;TEXT(INDEX(ERP資料!$G:$G, (MATCH(141, 輔助計算!$G$2:$G$801, 0)+1)),"0.##"))))&amp;"-1")&lt;&gt;""),"  ","")&amp;IF(MOD(INDEX(輔助計算!$D:$D, (MATCH(141, 輔助計算!$G$2:$G$801, 0)+1)),IF(INDEX(ERP資料!$G:$G, (MATCH(141, 輔助計算!$G$2:$G$801, 0)+1))&lt;100, IF(INDEX(ERP資料!$G:$G, (MATCH(141, 輔助計算!$G$2:$G$801, 0)+1))&lt;=31,3,IF(INDEX(ERP資料!$G:$G, (MATCH(141, 輔助計算!$G$2:$G$801, 0)+1))&lt;=46.5,2,1)), IF(INDEX(ERP資料!$G:$G, (MATCH(141, 輔助計算!$G$2:$G$801, 0)+1))&lt;=790,3,IF(INDEX(ERP資料!$G:$G, (MATCH(141, 輔助計算!$G$2:$G$801, 0)+1))&lt;=1181,2,1))))=0,"",IF(MOD(INDEX(輔助計算!$D:$D, (MATCH(141, 輔助計算!$G$2:$G$801, 0)+1)),IF(INDEX(ERP資料!$G:$G, (MATCH(141, 輔助計算!$G$2:$G$801, 0)+1))&lt;100, IF(INDEX(ERP資料!$G:$G, (MATCH(141, 輔助計算!$G$2:$G$801, 0)+1))&lt;=31,3,IF(INDEX(ERP資料!$G:$G, (MATCH(141, 輔助計算!$G$2:$G$801, 0)+1))&lt;=46.5,2,1)), IF(INDEX(ERP資料!$G:$G, (MATCH(141, 輔助計算!$G$2:$G$801, 0)+1))&lt;=790,3,IF(INDEX(ERP資料!$G:$G, (MATCH(141, 輔助計算!$G$2:$G$801, 0)+1))&lt;=1181,2,1))))=0,"",IF(MOD(INDEX(輔助計算!$D:$D, (MATCH(141, 輔助計算!$G$2:$G$801, 0)+1)),IF(INDEX(ERP資料!$G:$G, (MATCH(141, 輔助計算!$G$2:$G$801, 0)+1))&lt;100, IF(INDEX(ERP資料!$G:$G, (MATCH(141, 輔助計算!$G$2:$G$801, 0)+1))&lt;=31,3,IF(INDEX(ERP資料!$G:$G, (MATCH(141, 輔助計算!$G$2:$G$801, 0)+1))&lt;=46.5,2,1)), IF(INDEX(ERP資料!$G:$G, (MATCH(141, 輔助計算!$G$2:$G$801, 0)+1))&lt;=790,3,IF(INDEX(ERP資料!$G:$G, (MATCH(141, 輔助計算!$G$2:$G$801, 0)+1))&lt;=1181,2,1))))=1,TEXT(INDEX(ERP資料!$G:$G, (MATCH(141, 輔助計算!$G$2:$G$801, 0)+1)),"0.##"),IF(MOD(INDEX(輔助計算!$D:$D, (MATCH(141, 輔助計算!$G$2:$G$801, 0)+1)),IF(INDEX(ERP資料!$G:$G, (MATCH(141, 輔助計算!$G$2:$G$801, 0)+1))&lt;100, IF(INDEX(ERP資料!$G:$G, (MATCH(141, 輔助計算!$G$2:$G$801, 0)+1))&lt;=31,3,IF(INDEX(ERP資料!$G:$G, (MATCH(141, 輔助計算!$G$2:$G$801, 0)+1))&lt;=46.5,2,1)), IF(INDEX(ERP資料!$G:$G, (MATCH(141, 輔助計算!$G$2:$G$801, 0)+1))&lt;=790,3,IF(INDEX(ERP資料!$G:$G, (MATCH(141, 輔助計算!$G$2:$G$801, 0)+1))&lt;=1181,2,1))))=2,TEXT(INDEX(ERP資料!$G:$G, (MATCH(141, 輔助計算!$G$2:$G$801, 0)+1)),"0.##")&amp;"+"&amp;TEXT(INDEX(ERP資料!$G:$G, (MATCH(141, 輔助計算!$G$2:$G$801, 0)+1)),"0.##"),TEXT(INDEX(ERP資料!$G:$G, (MATCH(141, 輔助計算!$G$2:$G$801, 0)+1)),"0.##")&amp;"+"&amp;TEXT(INDEX(ERP資料!$G:$G, (MATCH(141, 輔助計算!$G$2:$G$801, 0)+1)),"0.##")&amp;"+"&amp;TEXT(INDEX(ERP資料!$G:$G, (MATCH(141, 輔助計算!$G$2:$G$801, 0)+1)),"0.##"))))&amp;"-1")), ""), "")</f>
        <v/>
      </c>
      <c r="K142" s="16" t="n"/>
      <c r="L142" s="14">
        <f>IFERROR(IF(AND(IFERROR(INDEX(ERP資料!$A:$A, (MATCH(141, 輔助計算!$G$2:$G$801, 0)+1)), "")&lt;&gt;"", IFERROR(INDEX(ERP資料!$A:$A, (MATCH(141, 輔助計算!$G$2:$G$801, 0)+1)), "")&lt;&gt;IFERROR(INDEX(ERP資料!$A:$A, MATCH(140, 輔助計算!$G$2:$G$801, 0)+1), "")), INDEX(ERP資料!$B:$B, (MATCH(141, 輔助計算!$G$2:$G$801, 0)+1)), ""), "")</f>
        <v/>
      </c>
      <c r="M142" s="17" t="n"/>
    </row>
    <row r="143">
      <c r="A143" s="10">
        <f>IFERROR(IF(AND(IFERROR(INDEX(ERP資料!$A:$A, (MATCH(142, 輔助計算!$G$2:$G$801, 0)+1)), "")&lt;&gt;"", IFERROR(INDEX(ERP資料!$A:$A, (MATCH(142, 輔助計算!$G$2:$G$801, 0)+1)), "")&lt;&gt;IFERROR(INDEX(ERP資料!$A:$A, MATCH(141, 輔助計算!$G$2:$G$801, 0)+1), "")), IFERROR(INDEX(ERP資料!$A:$A, (MATCH(142, 輔助計算!$G$2:$G$801, 0)+1)), ""), ""), "")</f>
        <v/>
      </c>
      <c r="B143" s="10">
        <f>IFERROR(IF(AND(IFERROR(INDEX(ERP資料!$A:$A, (MATCH(142, 輔助計算!$G$2:$G$801, 0)+1)), "")&lt;&gt;"", IFERROR(INDEX(ERP資料!$A:$A, (MATCH(142, 輔助計算!$G$2:$G$801, 0)+1)), "")&lt;&gt;IFERROR(INDEX(ERP資料!$A:$A, MATCH(141, 輔助計算!$G$2:$G$801, 0)+1), "")), INDEX(ERP資料!$S:$S, (MATCH(142, 輔助計算!$G$2:$G$801, 0)+1)), ""), "")</f>
        <v/>
      </c>
      <c r="C143" s="19">
        <f>IFERROR(IF(AND(IFERROR(INDEX(ERP資料!$A:$A, (MATCH(142, 輔助計算!$G$2:$G$801, 0)+1)), "")&lt;&gt;"", IFERROR(INDEX(ERP資料!$A:$A, (MATCH(142, 輔助計算!$G$2:$G$801, 0)+1)), "")&lt;&gt;IFERROR(INDEX(ERP資料!$A:$A, MATCH(141, 輔助計算!$G$2:$G$801, 0)+1), "")), IFERROR(VLOOKUP(LEFT(INDEX(ERP資料!$S:$S, (MATCH(142, 輔助計算!$G$2:$G$801, 0)+1)), 4), 紙管對照表!$A:$C, 3, FALSE), ""), ""), "")</f>
        <v/>
      </c>
      <c r="D143" s="16" t="n"/>
      <c r="E143" s="10">
        <f>IFERROR(IF(INDEX(ERP資料!$H:$H, (MATCH(142, 輔助計算!$G$2:$G$801, 0)+1))="","",INDEX(ERP資料!$H:$H, (MATCH(142, 輔助計算!$G$2:$G$801, 0)+1))), "")</f>
        <v/>
      </c>
      <c r="F143" s="10">
        <f>IFERROR(IF(INDEX(ERP資料!$E:$E, (MATCH(142, 輔助計算!$G$2:$G$801, 0)+1))="","",TRIM(INDEX(ERP資料!$E:$E, (MATCH(142, 輔助計算!$G$2:$G$801, 0)+1)))), "")</f>
        <v/>
      </c>
      <c r="G143" s="10">
        <f>IFERROR(IF(INDEX(ERP資料!$F:$F, (MATCH(142, 輔助計算!$G$2:$G$801, 0)+1))="","",INDEX(ERP資料!$F:$F, (MATCH(142, 輔助計算!$G$2:$G$801, 0)+1))), "")</f>
        <v/>
      </c>
      <c r="H143" s="10">
        <f>IFERROR(IF(INDEX(ERP資料!$G:$G, (MATCH(142, 輔助計算!$G$2:$G$801, 0)+1))="","",INDEX(ERP資料!$G:$G, (MATCH(142, 輔助計算!$G$2:$G$801, 0)+1))), "")</f>
        <v/>
      </c>
      <c r="I143" s="15">
        <f>IFERROR(INDEX(輔助計算!$D:$D, (MATCH(142, 輔助計算!$G$2:$G$801, 0)+1)), "")</f>
        <v/>
      </c>
      <c r="J143" s="15">
        <f>IFERROR(IF(AND(INDEX(輔助計算!$D:$D, (MATCH(142, 輔助計算!$G$2:$G$801, 0)+1))&lt;&gt;"", INDEX(ERP資料!$G:$G, (MATCH(142, 輔助計算!$G$2:$G$801, 0)+1))&lt;&gt;""), TRIM(IF(INT(INDEX(輔助計算!$D:$D, (MATCH(142, 輔助計算!$G$2:$G$801, 0)+1))/IF(INDEX(ERP資料!$G:$G, (MATCH(142, 輔助計算!$G$2:$G$801, 0)+1))&lt;100, IF(INDEX(ERP資料!$G:$G, (MATCH(142, 輔助計算!$G$2:$G$801, 0)+1))&lt;=31,3,IF(INDEX(ERP資料!$G:$G, (MATCH(142, 輔助計算!$G$2:$G$801, 0)+1))&lt;=46.5,2,1)), IF(INDEX(ERP資料!$G:$G, (MATCH(142, 輔助計算!$G$2:$G$801, 0)+1))&lt;=790,3,IF(INDEX(ERP資料!$G:$G, (MATCH(142, 輔助計算!$G$2:$G$801, 0)+1))&lt;=1181,2,1))))&gt;0, IF(IF(INDEX(ERP資料!$G:$G, (MATCH(142, 輔助計算!$G$2:$G$801, 0)+1))&lt;100, IF(INDEX(ERP資料!$G:$G, (MATCH(142, 輔助計算!$G$2:$G$801, 0)+1))&lt;=31,3,IF(INDEX(ERP資料!$G:$G, (MATCH(142, 輔助計算!$G$2:$G$801, 0)+1))&lt;=46.5,2,1)), IF(INDEX(ERP資料!$G:$G, (MATCH(142, 輔助計算!$G$2:$G$801, 0)+1))&lt;=790,3,IF(INDEX(ERP資料!$G:$G, (MATCH(142, 輔助計算!$G$2:$G$801, 0)+1))&lt;=1181,2,1)))=1,TEXT(INDEX(ERP資料!$G:$G, (MATCH(142, 輔助計算!$G$2:$G$801, 0)+1)),"0.##"),IF(IF(INDEX(ERP資料!$G:$G, (MATCH(142, 輔助計算!$G$2:$G$801, 0)+1))&lt;100, IF(INDEX(ERP資料!$G:$G, (MATCH(142, 輔助計算!$G$2:$G$801, 0)+1))&lt;=31,3,IF(INDEX(ERP資料!$G:$G, (MATCH(142, 輔助計算!$G$2:$G$801, 0)+1))&lt;=46.5,2,1)), IF(INDEX(ERP資料!$G:$G, (MATCH(142, 輔助計算!$G$2:$G$801, 0)+1))&lt;=790,3,IF(INDEX(ERP資料!$G:$G, (MATCH(142, 輔助計算!$G$2:$G$801, 0)+1))&lt;=1181,2,1)))=2,TEXT(INDEX(ERP資料!$G:$G, (MATCH(142, 輔助計算!$G$2:$G$801, 0)+1)),"0.##")&amp;"+"&amp;TEXT(INDEX(ERP資料!$G:$G, (MATCH(142, 輔助計算!$G$2:$G$801, 0)+1)),"0.##"),TEXT(INDEX(ERP資料!$G:$G, (MATCH(142, 輔助計算!$G$2:$G$801, 0)+1)),"0.##")&amp;"+"&amp;TEXT(INDEX(ERP資料!$G:$G, (MATCH(142, 輔助計算!$G$2:$G$801, 0)+1)),"0.##")&amp;"+"&amp;TEXT(INDEX(ERP資料!$G:$G, (MATCH(142, 輔助計算!$G$2:$G$801, 0)+1)),"0.##")))&amp;"-"&amp;INT(INDEX(輔助計算!$D:$D, (MATCH(142, 輔助計算!$G$2:$G$801, 0)+1))/IF(INDEX(ERP資料!$G:$G, (MATCH(142, 輔助計算!$G$2:$G$801, 0)+1))&lt;100, IF(INDEX(ERP資料!$G:$G, (MATCH(142, 輔助計算!$G$2:$G$801, 0)+1))&lt;=31,3,IF(INDEX(ERP資料!$G:$G, (MATCH(142, 輔助計算!$G$2:$G$801, 0)+1))&lt;=46.5,2,1)), IF(INDEX(ERP資料!$G:$G, (MATCH(142, 輔助計算!$G$2:$G$801, 0)+1))&lt;=790,3,IF(INDEX(ERP資料!$G:$G, (MATCH(142, 輔助計算!$G$2:$G$801, 0)+1))&lt;=1181,2,1)))), "")&amp;IF(AND(IF(INT(INDEX(輔助計算!$D:$D, (MATCH(142, 輔助計算!$G$2:$G$801, 0)+1))/IF(INDEX(ERP資料!$G:$G, (MATCH(142, 輔助計算!$G$2:$G$801, 0)+1))&lt;100, IF(INDEX(ERP資料!$G:$G, (MATCH(142, 輔助計算!$G$2:$G$801, 0)+1))&lt;=31,3,IF(INDEX(ERP資料!$G:$G, (MATCH(142, 輔助計算!$G$2:$G$801, 0)+1))&lt;=46.5,2,1)), IF(INDEX(ERP資料!$G:$G, (MATCH(142, 輔助計算!$G$2:$G$801, 0)+1))&lt;=790,3,IF(INDEX(ERP資料!$G:$G, (MATCH(142, 輔助計算!$G$2:$G$801, 0)+1))&lt;=1181,2,1))))&gt;0, IF(IF(INDEX(ERP資料!$G:$G, (MATCH(142, 輔助計算!$G$2:$G$801, 0)+1))&lt;100, IF(INDEX(ERP資料!$G:$G, (MATCH(142, 輔助計算!$G$2:$G$801, 0)+1))&lt;=31,3,IF(INDEX(ERP資料!$G:$G, (MATCH(142, 輔助計算!$G$2:$G$801, 0)+1))&lt;=46.5,2,1)), IF(INDEX(ERP資料!$G:$G, (MATCH(142, 輔助計算!$G$2:$G$801, 0)+1))&lt;=790,3,IF(INDEX(ERP資料!$G:$G, (MATCH(142, 輔助計算!$G$2:$G$801, 0)+1))&lt;=1181,2,1)))=1,TEXT(INDEX(ERP資料!$G:$G, (MATCH(142, 輔助計算!$G$2:$G$801, 0)+1)),"0.##"),IF(IF(INDEX(ERP資料!$G:$G, (MATCH(142, 輔助計算!$G$2:$G$801, 0)+1))&lt;100, IF(INDEX(ERP資料!$G:$G, (MATCH(142, 輔助計算!$G$2:$G$801, 0)+1))&lt;=31,3,IF(INDEX(ERP資料!$G:$G, (MATCH(142, 輔助計算!$G$2:$G$801, 0)+1))&lt;=46.5,2,1)), IF(INDEX(ERP資料!$G:$G, (MATCH(142, 輔助計算!$G$2:$G$801, 0)+1))&lt;=790,3,IF(INDEX(ERP資料!$G:$G, (MATCH(142, 輔助計算!$G$2:$G$801, 0)+1))&lt;=1181,2,1)))=2,TEXT(INDEX(ERP資料!$G:$G, (MATCH(142, 輔助計算!$G$2:$G$801, 0)+1)),"0.##")&amp;"+"&amp;TEXT(INDEX(ERP資料!$G:$G, (MATCH(142, 輔助計算!$G$2:$G$801, 0)+1)),"0.##"),TEXT(INDEX(ERP資料!$G:$G, (MATCH(142, 輔助計算!$G$2:$G$801, 0)+1)),"0.##")&amp;"+"&amp;TEXT(INDEX(ERP資料!$G:$G, (MATCH(142, 輔助計算!$G$2:$G$801, 0)+1)),"0.##")&amp;"+"&amp;TEXT(INDEX(ERP資料!$G:$G, (MATCH(142, 輔助計算!$G$2:$G$801, 0)+1)),"0.##")))&amp;"-"&amp;INT(INDEX(輔助計算!$D:$D, (MATCH(142, 輔助計算!$G$2:$G$801, 0)+1))/IF(INDEX(ERP資料!$G:$G, (MATCH(142, 輔助計算!$G$2:$G$801, 0)+1))&lt;100, IF(INDEX(ERP資料!$G:$G, (MATCH(142, 輔助計算!$G$2:$G$801, 0)+1))&lt;=31,3,IF(INDEX(ERP資料!$G:$G, (MATCH(142, 輔助計算!$G$2:$G$801, 0)+1))&lt;=46.5,2,1)), IF(INDEX(ERP資料!$G:$G, (MATCH(142, 輔助計算!$G$2:$G$801, 0)+1))&lt;=790,3,IF(INDEX(ERP資料!$G:$G, (MATCH(142, 輔助計算!$G$2:$G$801, 0)+1))&lt;=1181,2,1)))), "")&lt;&gt;"",IF(MOD(INDEX(輔助計算!$D:$D, (MATCH(142, 輔助計算!$G$2:$G$801, 0)+1)),IF(INDEX(ERP資料!$G:$G, (MATCH(142, 輔助計算!$G$2:$G$801, 0)+1))&lt;100, IF(INDEX(ERP資料!$G:$G, (MATCH(142, 輔助計算!$G$2:$G$801, 0)+1))&lt;=31,3,IF(INDEX(ERP資料!$G:$G, (MATCH(142, 輔助計算!$G$2:$G$801, 0)+1))&lt;=46.5,2,1)), IF(INDEX(ERP資料!$G:$G, (MATCH(142, 輔助計算!$G$2:$G$801, 0)+1))&lt;=790,3,IF(INDEX(ERP資料!$G:$G, (MATCH(142, 輔助計算!$G$2:$G$801, 0)+1))&lt;=1181,2,1))))=0,"",IF(MOD(INDEX(輔助計算!$D:$D, (MATCH(142, 輔助計算!$G$2:$G$801, 0)+1)),IF(INDEX(ERP資料!$G:$G, (MATCH(142, 輔助計算!$G$2:$G$801, 0)+1))&lt;100, IF(INDEX(ERP資料!$G:$G, (MATCH(142, 輔助計算!$G$2:$G$801, 0)+1))&lt;=31,3,IF(INDEX(ERP資料!$G:$G, (MATCH(142, 輔助計算!$G$2:$G$801, 0)+1))&lt;=46.5,2,1)), IF(INDEX(ERP資料!$G:$G, (MATCH(142, 輔助計算!$G$2:$G$801, 0)+1))&lt;=790,3,IF(INDEX(ERP資料!$G:$G, (MATCH(142, 輔助計算!$G$2:$G$801, 0)+1))&lt;=1181,2,1))))=0,"",IF(MOD(INDEX(輔助計算!$D:$D, (MATCH(142, 輔助計算!$G$2:$G$801, 0)+1)),IF(INDEX(ERP資料!$G:$G, (MATCH(142, 輔助計算!$G$2:$G$801, 0)+1))&lt;100, IF(INDEX(ERP資料!$G:$G, (MATCH(142, 輔助計算!$G$2:$G$801, 0)+1))&lt;=31,3,IF(INDEX(ERP資料!$G:$G, (MATCH(142, 輔助計算!$G$2:$G$801, 0)+1))&lt;=46.5,2,1)), IF(INDEX(ERP資料!$G:$G, (MATCH(142, 輔助計算!$G$2:$G$801, 0)+1))&lt;=790,3,IF(INDEX(ERP資料!$G:$G, (MATCH(142, 輔助計算!$G$2:$G$801, 0)+1))&lt;=1181,2,1))))=1,TEXT(INDEX(ERP資料!$G:$G, (MATCH(142, 輔助計算!$G$2:$G$801, 0)+1)),"0.##"),IF(MOD(INDEX(輔助計算!$D:$D, (MATCH(142, 輔助計算!$G$2:$G$801, 0)+1)),IF(INDEX(ERP資料!$G:$G, (MATCH(142, 輔助計算!$G$2:$G$801, 0)+1))&lt;100, IF(INDEX(ERP資料!$G:$G, (MATCH(142, 輔助計算!$G$2:$G$801, 0)+1))&lt;=31,3,IF(INDEX(ERP資料!$G:$G, (MATCH(142, 輔助計算!$G$2:$G$801, 0)+1))&lt;=46.5,2,1)), IF(INDEX(ERP資料!$G:$G, (MATCH(142, 輔助計算!$G$2:$G$801, 0)+1))&lt;=790,3,IF(INDEX(ERP資料!$G:$G, (MATCH(142, 輔助計算!$G$2:$G$801, 0)+1))&lt;=1181,2,1))))=2,TEXT(INDEX(ERP資料!$G:$G, (MATCH(142, 輔助計算!$G$2:$G$801, 0)+1)),"0.##")&amp;"+"&amp;TEXT(INDEX(ERP資料!$G:$G, (MATCH(142, 輔助計算!$G$2:$G$801, 0)+1)),"0.##"),TEXT(INDEX(ERP資料!$G:$G, (MATCH(142, 輔助計算!$G$2:$G$801, 0)+1)),"0.##")&amp;"+"&amp;TEXT(INDEX(ERP資料!$G:$G, (MATCH(142, 輔助計算!$G$2:$G$801, 0)+1)),"0.##")&amp;"+"&amp;TEXT(INDEX(ERP資料!$G:$G, (MATCH(142, 輔助計算!$G$2:$G$801, 0)+1)),"0.##"))))&amp;"-1")&lt;&gt;""),"  ","")&amp;IF(MOD(INDEX(輔助計算!$D:$D, (MATCH(142, 輔助計算!$G$2:$G$801, 0)+1)),IF(INDEX(ERP資料!$G:$G, (MATCH(142, 輔助計算!$G$2:$G$801, 0)+1))&lt;100, IF(INDEX(ERP資料!$G:$G, (MATCH(142, 輔助計算!$G$2:$G$801, 0)+1))&lt;=31,3,IF(INDEX(ERP資料!$G:$G, (MATCH(142, 輔助計算!$G$2:$G$801, 0)+1))&lt;=46.5,2,1)), IF(INDEX(ERP資料!$G:$G, (MATCH(142, 輔助計算!$G$2:$G$801, 0)+1))&lt;=790,3,IF(INDEX(ERP資料!$G:$G, (MATCH(142, 輔助計算!$G$2:$G$801, 0)+1))&lt;=1181,2,1))))=0,"",IF(MOD(INDEX(輔助計算!$D:$D, (MATCH(142, 輔助計算!$G$2:$G$801, 0)+1)),IF(INDEX(ERP資料!$G:$G, (MATCH(142, 輔助計算!$G$2:$G$801, 0)+1))&lt;100, IF(INDEX(ERP資料!$G:$G, (MATCH(142, 輔助計算!$G$2:$G$801, 0)+1))&lt;=31,3,IF(INDEX(ERP資料!$G:$G, (MATCH(142, 輔助計算!$G$2:$G$801, 0)+1))&lt;=46.5,2,1)), IF(INDEX(ERP資料!$G:$G, (MATCH(142, 輔助計算!$G$2:$G$801, 0)+1))&lt;=790,3,IF(INDEX(ERP資料!$G:$G, (MATCH(142, 輔助計算!$G$2:$G$801, 0)+1))&lt;=1181,2,1))))=0,"",IF(MOD(INDEX(輔助計算!$D:$D, (MATCH(142, 輔助計算!$G$2:$G$801, 0)+1)),IF(INDEX(ERP資料!$G:$G, (MATCH(142, 輔助計算!$G$2:$G$801, 0)+1))&lt;100, IF(INDEX(ERP資料!$G:$G, (MATCH(142, 輔助計算!$G$2:$G$801, 0)+1))&lt;=31,3,IF(INDEX(ERP資料!$G:$G, (MATCH(142, 輔助計算!$G$2:$G$801, 0)+1))&lt;=46.5,2,1)), IF(INDEX(ERP資料!$G:$G, (MATCH(142, 輔助計算!$G$2:$G$801, 0)+1))&lt;=790,3,IF(INDEX(ERP資料!$G:$G, (MATCH(142, 輔助計算!$G$2:$G$801, 0)+1))&lt;=1181,2,1))))=1,TEXT(INDEX(ERP資料!$G:$G, (MATCH(142, 輔助計算!$G$2:$G$801, 0)+1)),"0.##"),IF(MOD(INDEX(輔助計算!$D:$D, (MATCH(142, 輔助計算!$G$2:$G$801, 0)+1)),IF(INDEX(ERP資料!$G:$G, (MATCH(142, 輔助計算!$G$2:$G$801, 0)+1))&lt;100, IF(INDEX(ERP資料!$G:$G, (MATCH(142, 輔助計算!$G$2:$G$801, 0)+1))&lt;=31,3,IF(INDEX(ERP資料!$G:$G, (MATCH(142, 輔助計算!$G$2:$G$801, 0)+1))&lt;=46.5,2,1)), IF(INDEX(ERP資料!$G:$G, (MATCH(142, 輔助計算!$G$2:$G$801, 0)+1))&lt;=790,3,IF(INDEX(ERP資料!$G:$G, (MATCH(142, 輔助計算!$G$2:$G$801, 0)+1))&lt;=1181,2,1))))=2,TEXT(INDEX(ERP資料!$G:$G, (MATCH(142, 輔助計算!$G$2:$G$801, 0)+1)),"0.##")&amp;"+"&amp;TEXT(INDEX(ERP資料!$G:$G, (MATCH(142, 輔助計算!$G$2:$G$801, 0)+1)),"0.##"),TEXT(INDEX(ERP資料!$G:$G, (MATCH(142, 輔助計算!$G$2:$G$801, 0)+1)),"0.##")&amp;"+"&amp;TEXT(INDEX(ERP資料!$G:$G, (MATCH(142, 輔助計算!$G$2:$G$801, 0)+1)),"0.##")&amp;"+"&amp;TEXT(INDEX(ERP資料!$G:$G, (MATCH(142, 輔助計算!$G$2:$G$801, 0)+1)),"0.##"))))&amp;"-1")), ""), "")</f>
        <v/>
      </c>
      <c r="K143" s="16" t="n"/>
      <c r="L143" s="14">
        <f>IFERROR(IF(AND(IFERROR(INDEX(ERP資料!$A:$A, (MATCH(142, 輔助計算!$G$2:$G$801, 0)+1)), "")&lt;&gt;"", IFERROR(INDEX(ERP資料!$A:$A, (MATCH(142, 輔助計算!$G$2:$G$801, 0)+1)), "")&lt;&gt;IFERROR(INDEX(ERP資料!$A:$A, MATCH(141, 輔助計算!$G$2:$G$801, 0)+1), "")), INDEX(ERP資料!$B:$B, (MATCH(142, 輔助計算!$G$2:$G$801, 0)+1)), ""), "")</f>
        <v/>
      </c>
      <c r="M143" s="17" t="n"/>
    </row>
    <row r="144">
      <c r="A144" s="10">
        <f>IFERROR(IF(AND(IFERROR(INDEX(ERP資料!$A:$A, (MATCH(143, 輔助計算!$G$2:$G$801, 0)+1)), "")&lt;&gt;"", IFERROR(INDEX(ERP資料!$A:$A, (MATCH(143, 輔助計算!$G$2:$G$801, 0)+1)), "")&lt;&gt;IFERROR(INDEX(ERP資料!$A:$A, MATCH(142, 輔助計算!$G$2:$G$801, 0)+1), "")), IFERROR(INDEX(ERP資料!$A:$A, (MATCH(143, 輔助計算!$G$2:$G$801, 0)+1)), ""), ""), "")</f>
        <v/>
      </c>
      <c r="B144" s="10">
        <f>IFERROR(IF(AND(IFERROR(INDEX(ERP資料!$A:$A, (MATCH(143, 輔助計算!$G$2:$G$801, 0)+1)), "")&lt;&gt;"", IFERROR(INDEX(ERP資料!$A:$A, (MATCH(143, 輔助計算!$G$2:$G$801, 0)+1)), "")&lt;&gt;IFERROR(INDEX(ERP資料!$A:$A, MATCH(142, 輔助計算!$G$2:$G$801, 0)+1), "")), INDEX(ERP資料!$S:$S, (MATCH(143, 輔助計算!$G$2:$G$801, 0)+1)), ""), "")</f>
        <v/>
      </c>
      <c r="C144" s="19">
        <f>IFERROR(IF(AND(IFERROR(INDEX(ERP資料!$A:$A, (MATCH(143, 輔助計算!$G$2:$G$801, 0)+1)), "")&lt;&gt;"", IFERROR(INDEX(ERP資料!$A:$A, (MATCH(143, 輔助計算!$G$2:$G$801, 0)+1)), "")&lt;&gt;IFERROR(INDEX(ERP資料!$A:$A, MATCH(142, 輔助計算!$G$2:$G$801, 0)+1), "")), IFERROR(VLOOKUP(LEFT(INDEX(ERP資料!$S:$S, (MATCH(143, 輔助計算!$G$2:$G$801, 0)+1)), 4), 紙管對照表!$A:$C, 3, FALSE), ""), ""), "")</f>
        <v/>
      </c>
      <c r="D144" s="16" t="n"/>
      <c r="E144" s="10">
        <f>IFERROR(IF(INDEX(ERP資料!$H:$H, (MATCH(143, 輔助計算!$G$2:$G$801, 0)+1))="","",INDEX(ERP資料!$H:$H, (MATCH(143, 輔助計算!$G$2:$G$801, 0)+1))), "")</f>
        <v/>
      </c>
      <c r="F144" s="10">
        <f>IFERROR(IF(INDEX(ERP資料!$E:$E, (MATCH(143, 輔助計算!$G$2:$G$801, 0)+1))="","",TRIM(INDEX(ERP資料!$E:$E, (MATCH(143, 輔助計算!$G$2:$G$801, 0)+1)))), "")</f>
        <v/>
      </c>
      <c r="G144" s="10">
        <f>IFERROR(IF(INDEX(ERP資料!$F:$F, (MATCH(143, 輔助計算!$G$2:$G$801, 0)+1))="","",INDEX(ERP資料!$F:$F, (MATCH(143, 輔助計算!$G$2:$G$801, 0)+1))), "")</f>
        <v/>
      </c>
      <c r="H144" s="10">
        <f>IFERROR(IF(INDEX(ERP資料!$G:$G, (MATCH(143, 輔助計算!$G$2:$G$801, 0)+1))="","",INDEX(ERP資料!$G:$G, (MATCH(143, 輔助計算!$G$2:$G$801, 0)+1))), "")</f>
        <v/>
      </c>
      <c r="I144" s="15">
        <f>IFERROR(INDEX(輔助計算!$D:$D, (MATCH(143, 輔助計算!$G$2:$G$801, 0)+1)), "")</f>
        <v/>
      </c>
      <c r="J144" s="15">
        <f>IFERROR(IF(AND(INDEX(輔助計算!$D:$D, (MATCH(143, 輔助計算!$G$2:$G$801, 0)+1))&lt;&gt;"", INDEX(ERP資料!$G:$G, (MATCH(143, 輔助計算!$G$2:$G$801, 0)+1))&lt;&gt;""), TRIM(IF(INT(INDEX(輔助計算!$D:$D, (MATCH(143, 輔助計算!$G$2:$G$801, 0)+1))/IF(INDEX(ERP資料!$G:$G, (MATCH(143, 輔助計算!$G$2:$G$801, 0)+1))&lt;100, IF(INDEX(ERP資料!$G:$G, (MATCH(143, 輔助計算!$G$2:$G$801, 0)+1))&lt;=31,3,IF(INDEX(ERP資料!$G:$G, (MATCH(143, 輔助計算!$G$2:$G$801, 0)+1))&lt;=46.5,2,1)), IF(INDEX(ERP資料!$G:$G, (MATCH(143, 輔助計算!$G$2:$G$801, 0)+1))&lt;=790,3,IF(INDEX(ERP資料!$G:$G, (MATCH(143, 輔助計算!$G$2:$G$801, 0)+1))&lt;=1181,2,1))))&gt;0, IF(IF(INDEX(ERP資料!$G:$G, (MATCH(143, 輔助計算!$G$2:$G$801, 0)+1))&lt;100, IF(INDEX(ERP資料!$G:$G, (MATCH(143, 輔助計算!$G$2:$G$801, 0)+1))&lt;=31,3,IF(INDEX(ERP資料!$G:$G, (MATCH(143, 輔助計算!$G$2:$G$801, 0)+1))&lt;=46.5,2,1)), IF(INDEX(ERP資料!$G:$G, (MATCH(143, 輔助計算!$G$2:$G$801, 0)+1))&lt;=790,3,IF(INDEX(ERP資料!$G:$G, (MATCH(143, 輔助計算!$G$2:$G$801, 0)+1))&lt;=1181,2,1)))=1,TEXT(INDEX(ERP資料!$G:$G, (MATCH(143, 輔助計算!$G$2:$G$801, 0)+1)),"0.##"),IF(IF(INDEX(ERP資料!$G:$G, (MATCH(143, 輔助計算!$G$2:$G$801, 0)+1))&lt;100, IF(INDEX(ERP資料!$G:$G, (MATCH(143, 輔助計算!$G$2:$G$801, 0)+1))&lt;=31,3,IF(INDEX(ERP資料!$G:$G, (MATCH(143, 輔助計算!$G$2:$G$801, 0)+1))&lt;=46.5,2,1)), IF(INDEX(ERP資料!$G:$G, (MATCH(143, 輔助計算!$G$2:$G$801, 0)+1))&lt;=790,3,IF(INDEX(ERP資料!$G:$G, (MATCH(143, 輔助計算!$G$2:$G$801, 0)+1))&lt;=1181,2,1)))=2,TEXT(INDEX(ERP資料!$G:$G, (MATCH(143, 輔助計算!$G$2:$G$801, 0)+1)),"0.##")&amp;"+"&amp;TEXT(INDEX(ERP資料!$G:$G, (MATCH(143, 輔助計算!$G$2:$G$801, 0)+1)),"0.##"),TEXT(INDEX(ERP資料!$G:$G, (MATCH(143, 輔助計算!$G$2:$G$801, 0)+1)),"0.##")&amp;"+"&amp;TEXT(INDEX(ERP資料!$G:$G, (MATCH(143, 輔助計算!$G$2:$G$801, 0)+1)),"0.##")&amp;"+"&amp;TEXT(INDEX(ERP資料!$G:$G, (MATCH(143, 輔助計算!$G$2:$G$801, 0)+1)),"0.##")))&amp;"-"&amp;INT(INDEX(輔助計算!$D:$D, (MATCH(143, 輔助計算!$G$2:$G$801, 0)+1))/IF(INDEX(ERP資料!$G:$G, (MATCH(143, 輔助計算!$G$2:$G$801, 0)+1))&lt;100, IF(INDEX(ERP資料!$G:$G, (MATCH(143, 輔助計算!$G$2:$G$801, 0)+1))&lt;=31,3,IF(INDEX(ERP資料!$G:$G, (MATCH(143, 輔助計算!$G$2:$G$801, 0)+1))&lt;=46.5,2,1)), IF(INDEX(ERP資料!$G:$G, (MATCH(143, 輔助計算!$G$2:$G$801, 0)+1))&lt;=790,3,IF(INDEX(ERP資料!$G:$G, (MATCH(143, 輔助計算!$G$2:$G$801, 0)+1))&lt;=1181,2,1)))), "")&amp;IF(AND(IF(INT(INDEX(輔助計算!$D:$D, (MATCH(143, 輔助計算!$G$2:$G$801, 0)+1))/IF(INDEX(ERP資料!$G:$G, (MATCH(143, 輔助計算!$G$2:$G$801, 0)+1))&lt;100, IF(INDEX(ERP資料!$G:$G, (MATCH(143, 輔助計算!$G$2:$G$801, 0)+1))&lt;=31,3,IF(INDEX(ERP資料!$G:$G, (MATCH(143, 輔助計算!$G$2:$G$801, 0)+1))&lt;=46.5,2,1)), IF(INDEX(ERP資料!$G:$G, (MATCH(143, 輔助計算!$G$2:$G$801, 0)+1))&lt;=790,3,IF(INDEX(ERP資料!$G:$G, (MATCH(143, 輔助計算!$G$2:$G$801, 0)+1))&lt;=1181,2,1))))&gt;0, IF(IF(INDEX(ERP資料!$G:$G, (MATCH(143, 輔助計算!$G$2:$G$801, 0)+1))&lt;100, IF(INDEX(ERP資料!$G:$G, (MATCH(143, 輔助計算!$G$2:$G$801, 0)+1))&lt;=31,3,IF(INDEX(ERP資料!$G:$G, (MATCH(143, 輔助計算!$G$2:$G$801, 0)+1))&lt;=46.5,2,1)), IF(INDEX(ERP資料!$G:$G, (MATCH(143, 輔助計算!$G$2:$G$801, 0)+1))&lt;=790,3,IF(INDEX(ERP資料!$G:$G, (MATCH(143, 輔助計算!$G$2:$G$801, 0)+1))&lt;=1181,2,1)))=1,TEXT(INDEX(ERP資料!$G:$G, (MATCH(143, 輔助計算!$G$2:$G$801, 0)+1)),"0.##"),IF(IF(INDEX(ERP資料!$G:$G, (MATCH(143, 輔助計算!$G$2:$G$801, 0)+1))&lt;100, IF(INDEX(ERP資料!$G:$G, (MATCH(143, 輔助計算!$G$2:$G$801, 0)+1))&lt;=31,3,IF(INDEX(ERP資料!$G:$G, (MATCH(143, 輔助計算!$G$2:$G$801, 0)+1))&lt;=46.5,2,1)), IF(INDEX(ERP資料!$G:$G, (MATCH(143, 輔助計算!$G$2:$G$801, 0)+1))&lt;=790,3,IF(INDEX(ERP資料!$G:$G, (MATCH(143, 輔助計算!$G$2:$G$801, 0)+1))&lt;=1181,2,1)))=2,TEXT(INDEX(ERP資料!$G:$G, (MATCH(143, 輔助計算!$G$2:$G$801, 0)+1)),"0.##")&amp;"+"&amp;TEXT(INDEX(ERP資料!$G:$G, (MATCH(143, 輔助計算!$G$2:$G$801, 0)+1)),"0.##"),TEXT(INDEX(ERP資料!$G:$G, (MATCH(143, 輔助計算!$G$2:$G$801, 0)+1)),"0.##")&amp;"+"&amp;TEXT(INDEX(ERP資料!$G:$G, (MATCH(143, 輔助計算!$G$2:$G$801, 0)+1)),"0.##")&amp;"+"&amp;TEXT(INDEX(ERP資料!$G:$G, (MATCH(143, 輔助計算!$G$2:$G$801, 0)+1)),"0.##")))&amp;"-"&amp;INT(INDEX(輔助計算!$D:$D, (MATCH(143, 輔助計算!$G$2:$G$801, 0)+1))/IF(INDEX(ERP資料!$G:$G, (MATCH(143, 輔助計算!$G$2:$G$801, 0)+1))&lt;100, IF(INDEX(ERP資料!$G:$G, (MATCH(143, 輔助計算!$G$2:$G$801, 0)+1))&lt;=31,3,IF(INDEX(ERP資料!$G:$G, (MATCH(143, 輔助計算!$G$2:$G$801, 0)+1))&lt;=46.5,2,1)), IF(INDEX(ERP資料!$G:$G, (MATCH(143, 輔助計算!$G$2:$G$801, 0)+1))&lt;=790,3,IF(INDEX(ERP資料!$G:$G, (MATCH(143, 輔助計算!$G$2:$G$801, 0)+1))&lt;=1181,2,1)))), "")&lt;&gt;"",IF(MOD(INDEX(輔助計算!$D:$D, (MATCH(143, 輔助計算!$G$2:$G$801, 0)+1)),IF(INDEX(ERP資料!$G:$G, (MATCH(143, 輔助計算!$G$2:$G$801, 0)+1))&lt;100, IF(INDEX(ERP資料!$G:$G, (MATCH(143, 輔助計算!$G$2:$G$801, 0)+1))&lt;=31,3,IF(INDEX(ERP資料!$G:$G, (MATCH(143, 輔助計算!$G$2:$G$801, 0)+1))&lt;=46.5,2,1)), IF(INDEX(ERP資料!$G:$G, (MATCH(143, 輔助計算!$G$2:$G$801, 0)+1))&lt;=790,3,IF(INDEX(ERP資料!$G:$G, (MATCH(143, 輔助計算!$G$2:$G$801, 0)+1))&lt;=1181,2,1))))=0,"",IF(MOD(INDEX(輔助計算!$D:$D, (MATCH(143, 輔助計算!$G$2:$G$801, 0)+1)),IF(INDEX(ERP資料!$G:$G, (MATCH(143, 輔助計算!$G$2:$G$801, 0)+1))&lt;100, IF(INDEX(ERP資料!$G:$G, (MATCH(143, 輔助計算!$G$2:$G$801, 0)+1))&lt;=31,3,IF(INDEX(ERP資料!$G:$G, (MATCH(143, 輔助計算!$G$2:$G$801, 0)+1))&lt;=46.5,2,1)), IF(INDEX(ERP資料!$G:$G, (MATCH(143, 輔助計算!$G$2:$G$801, 0)+1))&lt;=790,3,IF(INDEX(ERP資料!$G:$G, (MATCH(143, 輔助計算!$G$2:$G$801, 0)+1))&lt;=1181,2,1))))=0,"",IF(MOD(INDEX(輔助計算!$D:$D, (MATCH(143, 輔助計算!$G$2:$G$801, 0)+1)),IF(INDEX(ERP資料!$G:$G, (MATCH(143, 輔助計算!$G$2:$G$801, 0)+1))&lt;100, IF(INDEX(ERP資料!$G:$G, (MATCH(143, 輔助計算!$G$2:$G$801, 0)+1))&lt;=31,3,IF(INDEX(ERP資料!$G:$G, (MATCH(143, 輔助計算!$G$2:$G$801, 0)+1))&lt;=46.5,2,1)), IF(INDEX(ERP資料!$G:$G, (MATCH(143, 輔助計算!$G$2:$G$801, 0)+1))&lt;=790,3,IF(INDEX(ERP資料!$G:$G, (MATCH(143, 輔助計算!$G$2:$G$801, 0)+1))&lt;=1181,2,1))))=1,TEXT(INDEX(ERP資料!$G:$G, (MATCH(143, 輔助計算!$G$2:$G$801, 0)+1)),"0.##"),IF(MOD(INDEX(輔助計算!$D:$D, (MATCH(143, 輔助計算!$G$2:$G$801, 0)+1)),IF(INDEX(ERP資料!$G:$G, (MATCH(143, 輔助計算!$G$2:$G$801, 0)+1))&lt;100, IF(INDEX(ERP資料!$G:$G, (MATCH(143, 輔助計算!$G$2:$G$801, 0)+1))&lt;=31,3,IF(INDEX(ERP資料!$G:$G, (MATCH(143, 輔助計算!$G$2:$G$801, 0)+1))&lt;=46.5,2,1)), IF(INDEX(ERP資料!$G:$G, (MATCH(143, 輔助計算!$G$2:$G$801, 0)+1))&lt;=790,3,IF(INDEX(ERP資料!$G:$G, (MATCH(143, 輔助計算!$G$2:$G$801, 0)+1))&lt;=1181,2,1))))=2,TEXT(INDEX(ERP資料!$G:$G, (MATCH(143, 輔助計算!$G$2:$G$801, 0)+1)),"0.##")&amp;"+"&amp;TEXT(INDEX(ERP資料!$G:$G, (MATCH(143, 輔助計算!$G$2:$G$801, 0)+1)),"0.##"),TEXT(INDEX(ERP資料!$G:$G, (MATCH(143, 輔助計算!$G$2:$G$801, 0)+1)),"0.##")&amp;"+"&amp;TEXT(INDEX(ERP資料!$G:$G, (MATCH(143, 輔助計算!$G$2:$G$801, 0)+1)),"0.##")&amp;"+"&amp;TEXT(INDEX(ERP資料!$G:$G, (MATCH(143, 輔助計算!$G$2:$G$801, 0)+1)),"0.##"))))&amp;"-1")&lt;&gt;""),"  ","")&amp;IF(MOD(INDEX(輔助計算!$D:$D, (MATCH(143, 輔助計算!$G$2:$G$801, 0)+1)),IF(INDEX(ERP資料!$G:$G, (MATCH(143, 輔助計算!$G$2:$G$801, 0)+1))&lt;100, IF(INDEX(ERP資料!$G:$G, (MATCH(143, 輔助計算!$G$2:$G$801, 0)+1))&lt;=31,3,IF(INDEX(ERP資料!$G:$G, (MATCH(143, 輔助計算!$G$2:$G$801, 0)+1))&lt;=46.5,2,1)), IF(INDEX(ERP資料!$G:$G, (MATCH(143, 輔助計算!$G$2:$G$801, 0)+1))&lt;=790,3,IF(INDEX(ERP資料!$G:$G, (MATCH(143, 輔助計算!$G$2:$G$801, 0)+1))&lt;=1181,2,1))))=0,"",IF(MOD(INDEX(輔助計算!$D:$D, (MATCH(143, 輔助計算!$G$2:$G$801, 0)+1)),IF(INDEX(ERP資料!$G:$G, (MATCH(143, 輔助計算!$G$2:$G$801, 0)+1))&lt;100, IF(INDEX(ERP資料!$G:$G, (MATCH(143, 輔助計算!$G$2:$G$801, 0)+1))&lt;=31,3,IF(INDEX(ERP資料!$G:$G, (MATCH(143, 輔助計算!$G$2:$G$801, 0)+1))&lt;=46.5,2,1)), IF(INDEX(ERP資料!$G:$G, (MATCH(143, 輔助計算!$G$2:$G$801, 0)+1))&lt;=790,3,IF(INDEX(ERP資料!$G:$G, (MATCH(143, 輔助計算!$G$2:$G$801, 0)+1))&lt;=1181,2,1))))=0,"",IF(MOD(INDEX(輔助計算!$D:$D, (MATCH(143, 輔助計算!$G$2:$G$801, 0)+1)),IF(INDEX(ERP資料!$G:$G, (MATCH(143, 輔助計算!$G$2:$G$801, 0)+1))&lt;100, IF(INDEX(ERP資料!$G:$G, (MATCH(143, 輔助計算!$G$2:$G$801, 0)+1))&lt;=31,3,IF(INDEX(ERP資料!$G:$G, (MATCH(143, 輔助計算!$G$2:$G$801, 0)+1))&lt;=46.5,2,1)), IF(INDEX(ERP資料!$G:$G, (MATCH(143, 輔助計算!$G$2:$G$801, 0)+1))&lt;=790,3,IF(INDEX(ERP資料!$G:$G, (MATCH(143, 輔助計算!$G$2:$G$801, 0)+1))&lt;=1181,2,1))))=1,TEXT(INDEX(ERP資料!$G:$G, (MATCH(143, 輔助計算!$G$2:$G$801, 0)+1)),"0.##"),IF(MOD(INDEX(輔助計算!$D:$D, (MATCH(143, 輔助計算!$G$2:$G$801, 0)+1)),IF(INDEX(ERP資料!$G:$G, (MATCH(143, 輔助計算!$G$2:$G$801, 0)+1))&lt;100, IF(INDEX(ERP資料!$G:$G, (MATCH(143, 輔助計算!$G$2:$G$801, 0)+1))&lt;=31,3,IF(INDEX(ERP資料!$G:$G, (MATCH(143, 輔助計算!$G$2:$G$801, 0)+1))&lt;=46.5,2,1)), IF(INDEX(ERP資料!$G:$G, (MATCH(143, 輔助計算!$G$2:$G$801, 0)+1))&lt;=790,3,IF(INDEX(ERP資料!$G:$G, (MATCH(143, 輔助計算!$G$2:$G$801, 0)+1))&lt;=1181,2,1))))=2,TEXT(INDEX(ERP資料!$G:$G, (MATCH(143, 輔助計算!$G$2:$G$801, 0)+1)),"0.##")&amp;"+"&amp;TEXT(INDEX(ERP資料!$G:$G, (MATCH(143, 輔助計算!$G$2:$G$801, 0)+1)),"0.##"),TEXT(INDEX(ERP資料!$G:$G, (MATCH(143, 輔助計算!$G$2:$G$801, 0)+1)),"0.##")&amp;"+"&amp;TEXT(INDEX(ERP資料!$G:$G, (MATCH(143, 輔助計算!$G$2:$G$801, 0)+1)),"0.##")&amp;"+"&amp;TEXT(INDEX(ERP資料!$G:$G, (MATCH(143, 輔助計算!$G$2:$G$801, 0)+1)),"0.##"))))&amp;"-1")), ""), "")</f>
        <v/>
      </c>
      <c r="K144" s="16" t="n"/>
      <c r="L144" s="14">
        <f>IFERROR(IF(AND(IFERROR(INDEX(ERP資料!$A:$A, (MATCH(143, 輔助計算!$G$2:$G$801, 0)+1)), "")&lt;&gt;"", IFERROR(INDEX(ERP資料!$A:$A, (MATCH(143, 輔助計算!$G$2:$G$801, 0)+1)), "")&lt;&gt;IFERROR(INDEX(ERP資料!$A:$A, MATCH(142, 輔助計算!$G$2:$G$801, 0)+1), "")), INDEX(ERP資料!$B:$B, (MATCH(143, 輔助計算!$G$2:$G$801, 0)+1)), ""), "")</f>
        <v/>
      </c>
      <c r="M144" s="17" t="n"/>
    </row>
    <row r="145">
      <c r="A145" s="10">
        <f>IFERROR(IF(AND(IFERROR(INDEX(ERP資料!$A:$A, (MATCH(144, 輔助計算!$G$2:$G$801, 0)+1)), "")&lt;&gt;"", IFERROR(INDEX(ERP資料!$A:$A, (MATCH(144, 輔助計算!$G$2:$G$801, 0)+1)), "")&lt;&gt;IFERROR(INDEX(ERP資料!$A:$A, MATCH(143, 輔助計算!$G$2:$G$801, 0)+1), "")), IFERROR(INDEX(ERP資料!$A:$A, (MATCH(144, 輔助計算!$G$2:$G$801, 0)+1)), ""), ""), "")</f>
        <v/>
      </c>
      <c r="B145" s="10">
        <f>IFERROR(IF(AND(IFERROR(INDEX(ERP資料!$A:$A, (MATCH(144, 輔助計算!$G$2:$G$801, 0)+1)), "")&lt;&gt;"", IFERROR(INDEX(ERP資料!$A:$A, (MATCH(144, 輔助計算!$G$2:$G$801, 0)+1)), "")&lt;&gt;IFERROR(INDEX(ERP資料!$A:$A, MATCH(143, 輔助計算!$G$2:$G$801, 0)+1), "")), INDEX(ERP資料!$S:$S, (MATCH(144, 輔助計算!$G$2:$G$801, 0)+1)), ""), "")</f>
        <v/>
      </c>
      <c r="C145" s="19">
        <f>IFERROR(IF(AND(IFERROR(INDEX(ERP資料!$A:$A, (MATCH(144, 輔助計算!$G$2:$G$801, 0)+1)), "")&lt;&gt;"", IFERROR(INDEX(ERP資料!$A:$A, (MATCH(144, 輔助計算!$G$2:$G$801, 0)+1)), "")&lt;&gt;IFERROR(INDEX(ERP資料!$A:$A, MATCH(143, 輔助計算!$G$2:$G$801, 0)+1), "")), IFERROR(VLOOKUP(LEFT(INDEX(ERP資料!$S:$S, (MATCH(144, 輔助計算!$G$2:$G$801, 0)+1)), 4), 紙管對照表!$A:$C, 3, FALSE), ""), ""), "")</f>
        <v/>
      </c>
      <c r="D145" s="16" t="n"/>
      <c r="E145" s="10">
        <f>IFERROR(IF(INDEX(ERP資料!$H:$H, (MATCH(144, 輔助計算!$G$2:$G$801, 0)+1))="","",INDEX(ERP資料!$H:$H, (MATCH(144, 輔助計算!$G$2:$G$801, 0)+1))), "")</f>
        <v/>
      </c>
      <c r="F145" s="10">
        <f>IFERROR(IF(INDEX(ERP資料!$E:$E, (MATCH(144, 輔助計算!$G$2:$G$801, 0)+1))="","",TRIM(INDEX(ERP資料!$E:$E, (MATCH(144, 輔助計算!$G$2:$G$801, 0)+1)))), "")</f>
        <v/>
      </c>
      <c r="G145" s="10">
        <f>IFERROR(IF(INDEX(ERP資料!$F:$F, (MATCH(144, 輔助計算!$G$2:$G$801, 0)+1))="","",INDEX(ERP資料!$F:$F, (MATCH(144, 輔助計算!$G$2:$G$801, 0)+1))), "")</f>
        <v/>
      </c>
      <c r="H145" s="10">
        <f>IFERROR(IF(INDEX(ERP資料!$G:$G, (MATCH(144, 輔助計算!$G$2:$G$801, 0)+1))="","",INDEX(ERP資料!$G:$G, (MATCH(144, 輔助計算!$G$2:$G$801, 0)+1))), "")</f>
        <v/>
      </c>
      <c r="I145" s="15">
        <f>IFERROR(INDEX(輔助計算!$D:$D, (MATCH(144, 輔助計算!$G$2:$G$801, 0)+1)), "")</f>
        <v/>
      </c>
      <c r="J145" s="15">
        <f>IFERROR(IF(AND(INDEX(輔助計算!$D:$D, (MATCH(144, 輔助計算!$G$2:$G$801, 0)+1))&lt;&gt;"", INDEX(ERP資料!$G:$G, (MATCH(144, 輔助計算!$G$2:$G$801, 0)+1))&lt;&gt;""), TRIM(IF(INT(INDEX(輔助計算!$D:$D, (MATCH(144, 輔助計算!$G$2:$G$801, 0)+1))/IF(INDEX(ERP資料!$G:$G, (MATCH(144, 輔助計算!$G$2:$G$801, 0)+1))&lt;100, IF(INDEX(ERP資料!$G:$G, (MATCH(144, 輔助計算!$G$2:$G$801, 0)+1))&lt;=31,3,IF(INDEX(ERP資料!$G:$G, (MATCH(144, 輔助計算!$G$2:$G$801, 0)+1))&lt;=46.5,2,1)), IF(INDEX(ERP資料!$G:$G, (MATCH(144, 輔助計算!$G$2:$G$801, 0)+1))&lt;=790,3,IF(INDEX(ERP資料!$G:$G, (MATCH(144, 輔助計算!$G$2:$G$801, 0)+1))&lt;=1181,2,1))))&gt;0, IF(IF(INDEX(ERP資料!$G:$G, (MATCH(144, 輔助計算!$G$2:$G$801, 0)+1))&lt;100, IF(INDEX(ERP資料!$G:$G, (MATCH(144, 輔助計算!$G$2:$G$801, 0)+1))&lt;=31,3,IF(INDEX(ERP資料!$G:$G, (MATCH(144, 輔助計算!$G$2:$G$801, 0)+1))&lt;=46.5,2,1)), IF(INDEX(ERP資料!$G:$G, (MATCH(144, 輔助計算!$G$2:$G$801, 0)+1))&lt;=790,3,IF(INDEX(ERP資料!$G:$G, (MATCH(144, 輔助計算!$G$2:$G$801, 0)+1))&lt;=1181,2,1)))=1,TEXT(INDEX(ERP資料!$G:$G, (MATCH(144, 輔助計算!$G$2:$G$801, 0)+1)),"0.##"),IF(IF(INDEX(ERP資料!$G:$G, (MATCH(144, 輔助計算!$G$2:$G$801, 0)+1))&lt;100, IF(INDEX(ERP資料!$G:$G, (MATCH(144, 輔助計算!$G$2:$G$801, 0)+1))&lt;=31,3,IF(INDEX(ERP資料!$G:$G, (MATCH(144, 輔助計算!$G$2:$G$801, 0)+1))&lt;=46.5,2,1)), IF(INDEX(ERP資料!$G:$G, (MATCH(144, 輔助計算!$G$2:$G$801, 0)+1))&lt;=790,3,IF(INDEX(ERP資料!$G:$G, (MATCH(144, 輔助計算!$G$2:$G$801, 0)+1))&lt;=1181,2,1)))=2,TEXT(INDEX(ERP資料!$G:$G, (MATCH(144, 輔助計算!$G$2:$G$801, 0)+1)),"0.##")&amp;"+"&amp;TEXT(INDEX(ERP資料!$G:$G, (MATCH(144, 輔助計算!$G$2:$G$801, 0)+1)),"0.##"),TEXT(INDEX(ERP資料!$G:$G, (MATCH(144, 輔助計算!$G$2:$G$801, 0)+1)),"0.##")&amp;"+"&amp;TEXT(INDEX(ERP資料!$G:$G, (MATCH(144, 輔助計算!$G$2:$G$801, 0)+1)),"0.##")&amp;"+"&amp;TEXT(INDEX(ERP資料!$G:$G, (MATCH(144, 輔助計算!$G$2:$G$801, 0)+1)),"0.##")))&amp;"-"&amp;INT(INDEX(輔助計算!$D:$D, (MATCH(144, 輔助計算!$G$2:$G$801, 0)+1))/IF(INDEX(ERP資料!$G:$G, (MATCH(144, 輔助計算!$G$2:$G$801, 0)+1))&lt;100, IF(INDEX(ERP資料!$G:$G, (MATCH(144, 輔助計算!$G$2:$G$801, 0)+1))&lt;=31,3,IF(INDEX(ERP資料!$G:$G, (MATCH(144, 輔助計算!$G$2:$G$801, 0)+1))&lt;=46.5,2,1)), IF(INDEX(ERP資料!$G:$G, (MATCH(144, 輔助計算!$G$2:$G$801, 0)+1))&lt;=790,3,IF(INDEX(ERP資料!$G:$G, (MATCH(144, 輔助計算!$G$2:$G$801, 0)+1))&lt;=1181,2,1)))), "")&amp;IF(AND(IF(INT(INDEX(輔助計算!$D:$D, (MATCH(144, 輔助計算!$G$2:$G$801, 0)+1))/IF(INDEX(ERP資料!$G:$G, (MATCH(144, 輔助計算!$G$2:$G$801, 0)+1))&lt;100, IF(INDEX(ERP資料!$G:$G, (MATCH(144, 輔助計算!$G$2:$G$801, 0)+1))&lt;=31,3,IF(INDEX(ERP資料!$G:$G, (MATCH(144, 輔助計算!$G$2:$G$801, 0)+1))&lt;=46.5,2,1)), IF(INDEX(ERP資料!$G:$G, (MATCH(144, 輔助計算!$G$2:$G$801, 0)+1))&lt;=790,3,IF(INDEX(ERP資料!$G:$G, (MATCH(144, 輔助計算!$G$2:$G$801, 0)+1))&lt;=1181,2,1))))&gt;0, IF(IF(INDEX(ERP資料!$G:$G, (MATCH(144, 輔助計算!$G$2:$G$801, 0)+1))&lt;100, IF(INDEX(ERP資料!$G:$G, (MATCH(144, 輔助計算!$G$2:$G$801, 0)+1))&lt;=31,3,IF(INDEX(ERP資料!$G:$G, (MATCH(144, 輔助計算!$G$2:$G$801, 0)+1))&lt;=46.5,2,1)), IF(INDEX(ERP資料!$G:$G, (MATCH(144, 輔助計算!$G$2:$G$801, 0)+1))&lt;=790,3,IF(INDEX(ERP資料!$G:$G, (MATCH(144, 輔助計算!$G$2:$G$801, 0)+1))&lt;=1181,2,1)))=1,TEXT(INDEX(ERP資料!$G:$G, (MATCH(144, 輔助計算!$G$2:$G$801, 0)+1)),"0.##"),IF(IF(INDEX(ERP資料!$G:$G, (MATCH(144, 輔助計算!$G$2:$G$801, 0)+1))&lt;100, IF(INDEX(ERP資料!$G:$G, (MATCH(144, 輔助計算!$G$2:$G$801, 0)+1))&lt;=31,3,IF(INDEX(ERP資料!$G:$G, (MATCH(144, 輔助計算!$G$2:$G$801, 0)+1))&lt;=46.5,2,1)), IF(INDEX(ERP資料!$G:$G, (MATCH(144, 輔助計算!$G$2:$G$801, 0)+1))&lt;=790,3,IF(INDEX(ERP資料!$G:$G, (MATCH(144, 輔助計算!$G$2:$G$801, 0)+1))&lt;=1181,2,1)))=2,TEXT(INDEX(ERP資料!$G:$G, (MATCH(144, 輔助計算!$G$2:$G$801, 0)+1)),"0.##")&amp;"+"&amp;TEXT(INDEX(ERP資料!$G:$G, (MATCH(144, 輔助計算!$G$2:$G$801, 0)+1)),"0.##"),TEXT(INDEX(ERP資料!$G:$G, (MATCH(144, 輔助計算!$G$2:$G$801, 0)+1)),"0.##")&amp;"+"&amp;TEXT(INDEX(ERP資料!$G:$G, (MATCH(144, 輔助計算!$G$2:$G$801, 0)+1)),"0.##")&amp;"+"&amp;TEXT(INDEX(ERP資料!$G:$G, (MATCH(144, 輔助計算!$G$2:$G$801, 0)+1)),"0.##")))&amp;"-"&amp;INT(INDEX(輔助計算!$D:$D, (MATCH(144, 輔助計算!$G$2:$G$801, 0)+1))/IF(INDEX(ERP資料!$G:$G, (MATCH(144, 輔助計算!$G$2:$G$801, 0)+1))&lt;100, IF(INDEX(ERP資料!$G:$G, (MATCH(144, 輔助計算!$G$2:$G$801, 0)+1))&lt;=31,3,IF(INDEX(ERP資料!$G:$G, (MATCH(144, 輔助計算!$G$2:$G$801, 0)+1))&lt;=46.5,2,1)), IF(INDEX(ERP資料!$G:$G, (MATCH(144, 輔助計算!$G$2:$G$801, 0)+1))&lt;=790,3,IF(INDEX(ERP資料!$G:$G, (MATCH(144, 輔助計算!$G$2:$G$801, 0)+1))&lt;=1181,2,1)))), "")&lt;&gt;"",IF(MOD(INDEX(輔助計算!$D:$D, (MATCH(144, 輔助計算!$G$2:$G$801, 0)+1)),IF(INDEX(ERP資料!$G:$G, (MATCH(144, 輔助計算!$G$2:$G$801, 0)+1))&lt;100, IF(INDEX(ERP資料!$G:$G, (MATCH(144, 輔助計算!$G$2:$G$801, 0)+1))&lt;=31,3,IF(INDEX(ERP資料!$G:$G, (MATCH(144, 輔助計算!$G$2:$G$801, 0)+1))&lt;=46.5,2,1)), IF(INDEX(ERP資料!$G:$G, (MATCH(144, 輔助計算!$G$2:$G$801, 0)+1))&lt;=790,3,IF(INDEX(ERP資料!$G:$G, (MATCH(144, 輔助計算!$G$2:$G$801, 0)+1))&lt;=1181,2,1))))=0,"",IF(MOD(INDEX(輔助計算!$D:$D, (MATCH(144, 輔助計算!$G$2:$G$801, 0)+1)),IF(INDEX(ERP資料!$G:$G, (MATCH(144, 輔助計算!$G$2:$G$801, 0)+1))&lt;100, IF(INDEX(ERP資料!$G:$G, (MATCH(144, 輔助計算!$G$2:$G$801, 0)+1))&lt;=31,3,IF(INDEX(ERP資料!$G:$G, (MATCH(144, 輔助計算!$G$2:$G$801, 0)+1))&lt;=46.5,2,1)), IF(INDEX(ERP資料!$G:$G, (MATCH(144, 輔助計算!$G$2:$G$801, 0)+1))&lt;=790,3,IF(INDEX(ERP資料!$G:$G, (MATCH(144, 輔助計算!$G$2:$G$801, 0)+1))&lt;=1181,2,1))))=0,"",IF(MOD(INDEX(輔助計算!$D:$D, (MATCH(144, 輔助計算!$G$2:$G$801, 0)+1)),IF(INDEX(ERP資料!$G:$G, (MATCH(144, 輔助計算!$G$2:$G$801, 0)+1))&lt;100, IF(INDEX(ERP資料!$G:$G, (MATCH(144, 輔助計算!$G$2:$G$801, 0)+1))&lt;=31,3,IF(INDEX(ERP資料!$G:$G, (MATCH(144, 輔助計算!$G$2:$G$801, 0)+1))&lt;=46.5,2,1)), IF(INDEX(ERP資料!$G:$G, (MATCH(144, 輔助計算!$G$2:$G$801, 0)+1))&lt;=790,3,IF(INDEX(ERP資料!$G:$G, (MATCH(144, 輔助計算!$G$2:$G$801, 0)+1))&lt;=1181,2,1))))=1,TEXT(INDEX(ERP資料!$G:$G, (MATCH(144, 輔助計算!$G$2:$G$801, 0)+1)),"0.##"),IF(MOD(INDEX(輔助計算!$D:$D, (MATCH(144, 輔助計算!$G$2:$G$801, 0)+1)),IF(INDEX(ERP資料!$G:$G, (MATCH(144, 輔助計算!$G$2:$G$801, 0)+1))&lt;100, IF(INDEX(ERP資料!$G:$G, (MATCH(144, 輔助計算!$G$2:$G$801, 0)+1))&lt;=31,3,IF(INDEX(ERP資料!$G:$G, (MATCH(144, 輔助計算!$G$2:$G$801, 0)+1))&lt;=46.5,2,1)), IF(INDEX(ERP資料!$G:$G, (MATCH(144, 輔助計算!$G$2:$G$801, 0)+1))&lt;=790,3,IF(INDEX(ERP資料!$G:$G, (MATCH(144, 輔助計算!$G$2:$G$801, 0)+1))&lt;=1181,2,1))))=2,TEXT(INDEX(ERP資料!$G:$G, (MATCH(144, 輔助計算!$G$2:$G$801, 0)+1)),"0.##")&amp;"+"&amp;TEXT(INDEX(ERP資料!$G:$G, (MATCH(144, 輔助計算!$G$2:$G$801, 0)+1)),"0.##"),TEXT(INDEX(ERP資料!$G:$G, (MATCH(144, 輔助計算!$G$2:$G$801, 0)+1)),"0.##")&amp;"+"&amp;TEXT(INDEX(ERP資料!$G:$G, (MATCH(144, 輔助計算!$G$2:$G$801, 0)+1)),"0.##")&amp;"+"&amp;TEXT(INDEX(ERP資料!$G:$G, (MATCH(144, 輔助計算!$G$2:$G$801, 0)+1)),"0.##"))))&amp;"-1")&lt;&gt;""),"  ","")&amp;IF(MOD(INDEX(輔助計算!$D:$D, (MATCH(144, 輔助計算!$G$2:$G$801, 0)+1)),IF(INDEX(ERP資料!$G:$G, (MATCH(144, 輔助計算!$G$2:$G$801, 0)+1))&lt;100, IF(INDEX(ERP資料!$G:$G, (MATCH(144, 輔助計算!$G$2:$G$801, 0)+1))&lt;=31,3,IF(INDEX(ERP資料!$G:$G, (MATCH(144, 輔助計算!$G$2:$G$801, 0)+1))&lt;=46.5,2,1)), IF(INDEX(ERP資料!$G:$G, (MATCH(144, 輔助計算!$G$2:$G$801, 0)+1))&lt;=790,3,IF(INDEX(ERP資料!$G:$G, (MATCH(144, 輔助計算!$G$2:$G$801, 0)+1))&lt;=1181,2,1))))=0,"",IF(MOD(INDEX(輔助計算!$D:$D, (MATCH(144, 輔助計算!$G$2:$G$801, 0)+1)),IF(INDEX(ERP資料!$G:$G, (MATCH(144, 輔助計算!$G$2:$G$801, 0)+1))&lt;100, IF(INDEX(ERP資料!$G:$G, (MATCH(144, 輔助計算!$G$2:$G$801, 0)+1))&lt;=31,3,IF(INDEX(ERP資料!$G:$G, (MATCH(144, 輔助計算!$G$2:$G$801, 0)+1))&lt;=46.5,2,1)), IF(INDEX(ERP資料!$G:$G, (MATCH(144, 輔助計算!$G$2:$G$801, 0)+1))&lt;=790,3,IF(INDEX(ERP資料!$G:$G, (MATCH(144, 輔助計算!$G$2:$G$801, 0)+1))&lt;=1181,2,1))))=0,"",IF(MOD(INDEX(輔助計算!$D:$D, (MATCH(144, 輔助計算!$G$2:$G$801, 0)+1)),IF(INDEX(ERP資料!$G:$G, (MATCH(144, 輔助計算!$G$2:$G$801, 0)+1))&lt;100, IF(INDEX(ERP資料!$G:$G, (MATCH(144, 輔助計算!$G$2:$G$801, 0)+1))&lt;=31,3,IF(INDEX(ERP資料!$G:$G, (MATCH(144, 輔助計算!$G$2:$G$801, 0)+1))&lt;=46.5,2,1)), IF(INDEX(ERP資料!$G:$G, (MATCH(144, 輔助計算!$G$2:$G$801, 0)+1))&lt;=790,3,IF(INDEX(ERP資料!$G:$G, (MATCH(144, 輔助計算!$G$2:$G$801, 0)+1))&lt;=1181,2,1))))=1,TEXT(INDEX(ERP資料!$G:$G, (MATCH(144, 輔助計算!$G$2:$G$801, 0)+1)),"0.##"),IF(MOD(INDEX(輔助計算!$D:$D, (MATCH(144, 輔助計算!$G$2:$G$801, 0)+1)),IF(INDEX(ERP資料!$G:$G, (MATCH(144, 輔助計算!$G$2:$G$801, 0)+1))&lt;100, IF(INDEX(ERP資料!$G:$G, (MATCH(144, 輔助計算!$G$2:$G$801, 0)+1))&lt;=31,3,IF(INDEX(ERP資料!$G:$G, (MATCH(144, 輔助計算!$G$2:$G$801, 0)+1))&lt;=46.5,2,1)), IF(INDEX(ERP資料!$G:$G, (MATCH(144, 輔助計算!$G$2:$G$801, 0)+1))&lt;=790,3,IF(INDEX(ERP資料!$G:$G, (MATCH(144, 輔助計算!$G$2:$G$801, 0)+1))&lt;=1181,2,1))))=2,TEXT(INDEX(ERP資料!$G:$G, (MATCH(144, 輔助計算!$G$2:$G$801, 0)+1)),"0.##")&amp;"+"&amp;TEXT(INDEX(ERP資料!$G:$G, (MATCH(144, 輔助計算!$G$2:$G$801, 0)+1)),"0.##"),TEXT(INDEX(ERP資料!$G:$G, (MATCH(144, 輔助計算!$G$2:$G$801, 0)+1)),"0.##")&amp;"+"&amp;TEXT(INDEX(ERP資料!$G:$G, (MATCH(144, 輔助計算!$G$2:$G$801, 0)+1)),"0.##")&amp;"+"&amp;TEXT(INDEX(ERP資料!$G:$G, (MATCH(144, 輔助計算!$G$2:$G$801, 0)+1)),"0.##"))))&amp;"-1")), ""), "")</f>
        <v/>
      </c>
      <c r="K145" s="16" t="n"/>
      <c r="L145" s="14">
        <f>IFERROR(IF(AND(IFERROR(INDEX(ERP資料!$A:$A, (MATCH(144, 輔助計算!$G$2:$G$801, 0)+1)), "")&lt;&gt;"", IFERROR(INDEX(ERP資料!$A:$A, (MATCH(144, 輔助計算!$G$2:$G$801, 0)+1)), "")&lt;&gt;IFERROR(INDEX(ERP資料!$A:$A, MATCH(143, 輔助計算!$G$2:$G$801, 0)+1), "")), INDEX(ERP資料!$B:$B, (MATCH(144, 輔助計算!$G$2:$G$801, 0)+1)), ""), "")</f>
        <v/>
      </c>
      <c r="M145" s="17" t="n"/>
    </row>
    <row r="146">
      <c r="A146" s="10">
        <f>IFERROR(IF(AND(IFERROR(INDEX(ERP資料!$A:$A, (MATCH(145, 輔助計算!$G$2:$G$801, 0)+1)), "")&lt;&gt;"", IFERROR(INDEX(ERP資料!$A:$A, (MATCH(145, 輔助計算!$G$2:$G$801, 0)+1)), "")&lt;&gt;IFERROR(INDEX(ERP資料!$A:$A, MATCH(144, 輔助計算!$G$2:$G$801, 0)+1), "")), IFERROR(INDEX(ERP資料!$A:$A, (MATCH(145, 輔助計算!$G$2:$G$801, 0)+1)), ""), ""), "")</f>
        <v/>
      </c>
      <c r="B146" s="10">
        <f>IFERROR(IF(AND(IFERROR(INDEX(ERP資料!$A:$A, (MATCH(145, 輔助計算!$G$2:$G$801, 0)+1)), "")&lt;&gt;"", IFERROR(INDEX(ERP資料!$A:$A, (MATCH(145, 輔助計算!$G$2:$G$801, 0)+1)), "")&lt;&gt;IFERROR(INDEX(ERP資料!$A:$A, MATCH(144, 輔助計算!$G$2:$G$801, 0)+1), "")), INDEX(ERP資料!$S:$S, (MATCH(145, 輔助計算!$G$2:$G$801, 0)+1)), ""), "")</f>
        <v/>
      </c>
      <c r="C146" s="19">
        <f>IFERROR(IF(AND(IFERROR(INDEX(ERP資料!$A:$A, (MATCH(145, 輔助計算!$G$2:$G$801, 0)+1)), "")&lt;&gt;"", IFERROR(INDEX(ERP資料!$A:$A, (MATCH(145, 輔助計算!$G$2:$G$801, 0)+1)), "")&lt;&gt;IFERROR(INDEX(ERP資料!$A:$A, MATCH(144, 輔助計算!$G$2:$G$801, 0)+1), "")), IFERROR(VLOOKUP(LEFT(INDEX(ERP資料!$S:$S, (MATCH(145, 輔助計算!$G$2:$G$801, 0)+1)), 4), 紙管對照表!$A:$C, 3, FALSE), ""), ""), "")</f>
        <v/>
      </c>
      <c r="D146" s="16" t="n"/>
      <c r="E146" s="10">
        <f>IFERROR(IF(INDEX(ERP資料!$H:$H, (MATCH(145, 輔助計算!$G$2:$G$801, 0)+1))="","",INDEX(ERP資料!$H:$H, (MATCH(145, 輔助計算!$G$2:$G$801, 0)+1))), "")</f>
        <v/>
      </c>
      <c r="F146" s="10">
        <f>IFERROR(IF(INDEX(ERP資料!$E:$E, (MATCH(145, 輔助計算!$G$2:$G$801, 0)+1))="","",TRIM(INDEX(ERP資料!$E:$E, (MATCH(145, 輔助計算!$G$2:$G$801, 0)+1)))), "")</f>
        <v/>
      </c>
      <c r="G146" s="10">
        <f>IFERROR(IF(INDEX(ERP資料!$F:$F, (MATCH(145, 輔助計算!$G$2:$G$801, 0)+1))="","",INDEX(ERP資料!$F:$F, (MATCH(145, 輔助計算!$G$2:$G$801, 0)+1))), "")</f>
        <v/>
      </c>
      <c r="H146" s="10">
        <f>IFERROR(IF(INDEX(ERP資料!$G:$G, (MATCH(145, 輔助計算!$G$2:$G$801, 0)+1))="","",INDEX(ERP資料!$G:$G, (MATCH(145, 輔助計算!$G$2:$G$801, 0)+1))), "")</f>
        <v/>
      </c>
      <c r="I146" s="15">
        <f>IFERROR(INDEX(輔助計算!$D:$D, (MATCH(145, 輔助計算!$G$2:$G$801, 0)+1)), "")</f>
        <v/>
      </c>
      <c r="J146" s="15">
        <f>IFERROR(IF(AND(INDEX(輔助計算!$D:$D, (MATCH(145, 輔助計算!$G$2:$G$801, 0)+1))&lt;&gt;"", INDEX(ERP資料!$G:$G, (MATCH(145, 輔助計算!$G$2:$G$801, 0)+1))&lt;&gt;""), TRIM(IF(INT(INDEX(輔助計算!$D:$D, (MATCH(145, 輔助計算!$G$2:$G$801, 0)+1))/IF(INDEX(ERP資料!$G:$G, (MATCH(145, 輔助計算!$G$2:$G$801, 0)+1))&lt;100, IF(INDEX(ERP資料!$G:$G, (MATCH(145, 輔助計算!$G$2:$G$801, 0)+1))&lt;=31,3,IF(INDEX(ERP資料!$G:$G, (MATCH(145, 輔助計算!$G$2:$G$801, 0)+1))&lt;=46.5,2,1)), IF(INDEX(ERP資料!$G:$G, (MATCH(145, 輔助計算!$G$2:$G$801, 0)+1))&lt;=790,3,IF(INDEX(ERP資料!$G:$G, (MATCH(145, 輔助計算!$G$2:$G$801, 0)+1))&lt;=1181,2,1))))&gt;0, IF(IF(INDEX(ERP資料!$G:$G, (MATCH(145, 輔助計算!$G$2:$G$801, 0)+1))&lt;100, IF(INDEX(ERP資料!$G:$G, (MATCH(145, 輔助計算!$G$2:$G$801, 0)+1))&lt;=31,3,IF(INDEX(ERP資料!$G:$G, (MATCH(145, 輔助計算!$G$2:$G$801, 0)+1))&lt;=46.5,2,1)), IF(INDEX(ERP資料!$G:$G, (MATCH(145, 輔助計算!$G$2:$G$801, 0)+1))&lt;=790,3,IF(INDEX(ERP資料!$G:$G, (MATCH(145, 輔助計算!$G$2:$G$801, 0)+1))&lt;=1181,2,1)))=1,TEXT(INDEX(ERP資料!$G:$G, (MATCH(145, 輔助計算!$G$2:$G$801, 0)+1)),"0.##"),IF(IF(INDEX(ERP資料!$G:$G, (MATCH(145, 輔助計算!$G$2:$G$801, 0)+1))&lt;100, IF(INDEX(ERP資料!$G:$G, (MATCH(145, 輔助計算!$G$2:$G$801, 0)+1))&lt;=31,3,IF(INDEX(ERP資料!$G:$G, (MATCH(145, 輔助計算!$G$2:$G$801, 0)+1))&lt;=46.5,2,1)), IF(INDEX(ERP資料!$G:$G, (MATCH(145, 輔助計算!$G$2:$G$801, 0)+1))&lt;=790,3,IF(INDEX(ERP資料!$G:$G, (MATCH(145, 輔助計算!$G$2:$G$801, 0)+1))&lt;=1181,2,1)))=2,TEXT(INDEX(ERP資料!$G:$G, (MATCH(145, 輔助計算!$G$2:$G$801, 0)+1)),"0.##")&amp;"+"&amp;TEXT(INDEX(ERP資料!$G:$G, (MATCH(145, 輔助計算!$G$2:$G$801, 0)+1)),"0.##"),TEXT(INDEX(ERP資料!$G:$G, (MATCH(145, 輔助計算!$G$2:$G$801, 0)+1)),"0.##")&amp;"+"&amp;TEXT(INDEX(ERP資料!$G:$G, (MATCH(145, 輔助計算!$G$2:$G$801, 0)+1)),"0.##")&amp;"+"&amp;TEXT(INDEX(ERP資料!$G:$G, (MATCH(145, 輔助計算!$G$2:$G$801, 0)+1)),"0.##")))&amp;"-"&amp;INT(INDEX(輔助計算!$D:$D, (MATCH(145, 輔助計算!$G$2:$G$801, 0)+1))/IF(INDEX(ERP資料!$G:$G, (MATCH(145, 輔助計算!$G$2:$G$801, 0)+1))&lt;100, IF(INDEX(ERP資料!$G:$G, (MATCH(145, 輔助計算!$G$2:$G$801, 0)+1))&lt;=31,3,IF(INDEX(ERP資料!$G:$G, (MATCH(145, 輔助計算!$G$2:$G$801, 0)+1))&lt;=46.5,2,1)), IF(INDEX(ERP資料!$G:$G, (MATCH(145, 輔助計算!$G$2:$G$801, 0)+1))&lt;=790,3,IF(INDEX(ERP資料!$G:$G, (MATCH(145, 輔助計算!$G$2:$G$801, 0)+1))&lt;=1181,2,1)))), "")&amp;IF(AND(IF(INT(INDEX(輔助計算!$D:$D, (MATCH(145, 輔助計算!$G$2:$G$801, 0)+1))/IF(INDEX(ERP資料!$G:$G, (MATCH(145, 輔助計算!$G$2:$G$801, 0)+1))&lt;100, IF(INDEX(ERP資料!$G:$G, (MATCH(145, 輔助計算!$G$2:$G$801, 0)+1))&lt;=31,3,IF(INDEX(ERP資料!$G:$G, (MATCH(145, 輔助計算!$G$2:$G$801, 0)+1))&lt;=46.5,2,1)), IF(INDEX(ERP資料!$G:$G, (MATCH(145, 輔助計算!$G$2:$G$801, 0)+1))&lt;=790,3,IF(INDEX(ERP資料!$G:$G, (MATCH(145, 輔助計算!$G$2:$G$801, 0)+1))&lt;=1181,2,1))))&gt;0, IF(IF(INDEX(ERP資料!$G:$G, (MATCH(145, 輔助計算!$G$2:$G$801, 0)+1))&lt;100, IF(INDEX(ERP資料!$G:$G, (MATCH(145, 輔助計算!$G$2:$G$801, 0)+1))&lt;=31,3,IF(INDEX(ERP資料!$G:$G, (MATCH(145, 輔助計算!$G$2:$G$801, 0)+1))&lt;=46.5,2,1)), IF(INDEX(ERP資料!$G:$G, (MATCH(145, 輔助計算!$G$2:$G$801, 0)+1))&lt;=790,3,IF(INDEX(ERP資料!$G:$G, (MATCH(145, 輔助計算!$G$2:$G$801, 0)+1))&lt;=1181,2,1)))=1,TEXT(INDEX(ERP資料!$G:$G, (MATCH(145, 輔助計算!$G$2:$G$801, 0)+1)),"0.##"),IF(IF(INDEX(ERP資料!$G:$G, (MATCH(145, 輔助計算!$G$2:$G$801, 0)+1))&lt;100, IF(INDEX(ERP資料!$G:$G, (MATCH(145, 輔助計算!$G$2:$G$801, 0)+1))&lt;=31,3,IF(INDEX(ERP資料!$G:$G, (MATCH(145, 輔助計算!$G$2:$G$801, 0)+1))&lt;=46.5,2,1)), IF(INDEX(ERP資料!$G:$G, (MATCH(145, 輔助計算!$G$2:$G$801, 0)+1))&lt;=790,3,IF(INDEX(ERP資料!$G:$G, (MATCH(145, 輔助計算!$G$2:$G$801, 0)+1))&lt;=1181,2,1)))=2,TEXT(INDEX(ERP資料!$G:$G, (MATCH(145, 輔助計算!$G$2:$G$801, 0)+1)),"0.##")&amp;"+"&amp;TEXT(INDEX(ERP資料!$G:$G, (MATCH(145, 輔助計算!$G$2:$G$801, 0)+1)),"0.##"),TEXT(INDEX(ERP資料!$G:$G, (MATCH(145, 輔助計算!$G$2:$G$801, 0)+1)),"0.##")&amp;"+"&amp;TEXT(INDEX(ERP資料!$G:$G, (MATCH(145, 輔助計算!$G$2:$G$801, 0)+1)),"0.##")&amp;"+"&amp;TEXT(INDEX(ERP資料!$G:$G, (MATCH(145, 輔助計算!$G$2:$G$801, 0)+1)),"0.##")))&amp;"-"&amp;INT(INDEX(輔助計算!$D:$D, (MATCH(145, 輔助計算!$G$2:$G$801, 0)+1))/IF(INDEX(ERP資料!$G:$G, (MATCH(145, 輔助計算!$G$2:$G$801, 0)+1))&lt;100, IF(INDEX(ERP資料!$G:$G, (MATCH(145, 輔助計算!$G$2:$G$801, 0)+1))&lt;=31,3,IF(INDEX(ERP資料!$G:$G, (MATCH(145, 輔助計算!$G$2:$G$801, 0)+1))&lt;=46.5,2,1)), IF(INDEX(ERP資料!$G:$G, (MATCH(145, 輔助計算!$G$2:$G$801, 0)+1))&lt;=790,3,IF(INDEX(ERP資料!$G:$G, (MATCH(145, 輔助計算!$G$2:$G$801, 0)+1))&lt;=1181,2,1)))), "")&lt;&gt;"",IF(MOD(INDEX(輔助計算!$D:$D, (MATCH(145, 輔助計算!$G$2:$G$801, 0)+1)),IF(INDEX(ERP資料!$G:$G, (MATCH(145, 輔助計算!$G$2:$G$801, 0)+1))&lt;100, IF(INDEX(ERP資料!$G:$G, (MATCH(145, 輔助計算!$G$2:$G$801, 0)+1))&lt;=31,3,IF(INDEX(ERP資料!$G:$G, (MATCH(145, 輔助計算!$G$2:$G$801, 0)+1))&lt;=46.5,2,1)), IF(INDEX(ERP資料!$G:$G, (MATCH(145, 輔助計算!$G$2:$G$801, 0)+1))&lt;=790,3,IF(INDEX(ERP資料!$G:$G, (MATCH(145, 輔助計算!$G$2:$G$801, 0)+1))&lt;=1181,2,1))))=0,"",IF(MOD(INDEX(輔助計算!$D:$D, (MATCH(145, 輔助計算!$G$2:$G$801, 0)+1)),IF(INDEX(ERP資料!$G:$G, (MATCH(145, 輔助計算!$G$2:$G$801, 0)+1))&lt;100, IF(INDEX(ERP資料!$G:$G, (MATCH(145, 輔助計算!$G$2:$G$801, 0)+1))&lt;=31,3,IF(INDEX(ERP資料!$G:$G, (MATCH(145, 輔助計算!$G$2:$G$801, 0)+1))&lt;=46.5,2,1)), IF(INDEX(ERP資料!$G:$G, (MATCH(145, 輔助計算!$G$2:$G$801, 0)+1))&lt;=790,3,IF(INDEX(ERP資料!$G:$G, (MATCH(145, 輔助計算!$G$2:$G$801, 0)+1))&lt;=1181,2,1))))=0,"",IF(MOD(INDEX(輔助計算!$D:$D, (MATCH(145, 輔助計算!$G$2:$G$801, 0)+1)),IF(INDEX(ERP資料!$G:$G, (MATCH(145, 輔助計算!$G$2:$G$801, 0)+1))&lt;100, IF(INDEX(ERP資料!$G:$G, (MATCH(145, 輔助計算!$G$2:$G$801, 0)+1))&lt;=31,3,IF(INDEX(ERP資料!$G:$G, (MATCH(145, 輔助計算!$G$2:$G$801, 0)+1))&lt;=46.5,2,1)), IF(INDEX(ERP資料!$G:$G, (MATCH(145, 輔助計算!$G$2:$G$801, 0)+1))&lt;=790,3,IF(INDEX(ERP資料!$G:$G, (MATCH(145, 輔助計算!$G$2:$G$801, 0)+1))&lt;=1181,2,1))))=1,TEXT(INDEX(ERP資料!$G:$G, (MATCH(145, 輔助計算!$G$2:$G$801, 0)+1)),"0.##"),IF(MOD(INDEX(輔助計算!$D:$D, (MATCH(145, 輔助計算!$G$2:$G$801, 0)+1)),IF(INDEX(ERP資料!$G:$G, (MATCH(145, 輔助計算!$G$2:$G$801, 0)+1))&lt;100, IF(INDEX(ERP資料!$G:$G, (MATCH(145, 輔助計算!$G$2:$G$801, 0)+1))&lt;=31,3,IF(INDEX(ERP資料!$G:$G, (MATCH(145, 輔助計算!$G$2:$G$801, 0)+1))&lt;=46.5,2,1)), IF(INDEX(ERP資料!$G:$G, (MATCH(145, 輔助計算!$G$2:$G$801, 0)+1))&lt;=790,3,IF(INDEX(ERP資料!$G:$G, (MATCH(145, 輔助計算!$G$2:$G$801, 0)+1))&lt;=1181,2,1))))=2,TEXT(INDEX(ERP資料!$G:$G, (MATCH(145, 輔助計算!$G$2:$G$801, 0)+1)),"0.##")&amp;"+"&amp;TEXT(INDEX(ERP資料!$G:$G, (MATCH(145, 輔助計算!$G$2:$G$801, 0)+1)),"0.##"),TEXT(INDEX(ERP資料!$G:$G, (MATCH(145, 輔助計算!$G$2:$G$801, 0)+1)),"0.##")&amp;"+"&amp;TEXT(INDEX(ERP資料!$G:$G, (MATCH(145, 輔助計算!$G$2:$G$801, 0)+1)),"0.##")&amp;"+"&amp;TEXT(INDEX(ERP資料!$G:$G, (MATCH(145, 輔助計算!$G$2:$G$801, 0)+1)),"0.##"))))&amp;"-1")&lt;&gt;""),"  ","")&amp;IF(MOD(INDEX(輔助計算!$D:$D, (MATCH(145, 輔助計算!$G$2:$G$801, 0)+1)),IF(INDEX(ERP資料!$G:$G, (MATCH(145, 輔助計算!$G$2:$G$801, 0)+1))&lt;100, IF(INDEX(ERP資料!$G:$G, (MATCH(145, 輔助計算!$G$2:$G$801, 0)+1))&lt;=31,3,IF(INDEX(ERP資料!$G:$G, (MATCH(145, 輔助計算!$G$2:$G$801, 0)+1))&lt;=46.5,2,1)), IF(INDEX(ERP資料!$G:$G, (MATCH(145, 輔助計算!$G$2:$G$801, 0)+1))&lt;=790,3,IF(INDEX(ERP資料!$G:$G, (MATCH(145, 輔助計算!$G$2:$G$801, 0)+1))&lt;=1181,2,1))))=0,"",IF(MOD(INDEX(輔助計算!$D:$D, (MATCH(145, 輔助計算!$G$2:$G$801, 0)+1)),IF(INDEX(ERP資料!$G:$G, (MATCH(145, 輔助計算!$G$2:$G$801, 0)+1))&lt;100, IF(INDEX(ERP資料!$G:$G, (MATCH(145, 輔助計算!$G$2:$G$801, 0)+1))&lt;=31,3,IF(INDEX(ERP資料!$G:$G, (MATCH(145, 輔助計算!$G$2:$G$801, 0)+1))&lt;=46.5,2,1)), IF(INDEX(ERP資料!$G:$G, (MATCH(145, 輔助計算!$G$2:$G$801, 0)+1))&lt;=790,3,IF(INDEX(ERP資料!$G:$G, (MATCH(145, 輔助計算!$G$2:$G$801, 0)+1))&lt;=1181,2,1))))=0,"",IF(MOD(INDEX(輔助計算!$D:$D, (MATCH(145, 輔助計算!$G$2:$G$801, 0)+1)),IF(INDEX(ERP資料!$G:$G, (MATCH(145, 輔助計算!$G$2:$G$801, 0)+1))&lt;100, IF(INDEX(ERP資料!$G:$G, (MATCH(145, 輔助計算!$G$2:$G$801, 0)+1))&lt;=31,3,IF(INDEX(ERP資料!$G:$G, (MATCH(145, 輔助計算!$G$2:$G$801, 0)+1))&lt;=46.5,2,1)), IF(INDEX(ERP資料!$G:$G, (MATCH(145, 輔助計算!$G$2:$G$801, 0)+1))&lt;=790,3,IF(INDEX(ERP資料!$G:$G, (MATCH(145, 輔助計算!$G$2:$G$801, 0)+1))&lt;=1181,2,1))))=1,TEXT(INDEX(ERP資料!$G:$G, (MATCH(145, 輔助計算!$G$2:$G$801, 0)+1)),"0.##"),IF(MOD(INDEX(輔助計算!$D:$D, (MATCH(145, 輔助計算!$G$2:$G$801, 0)+1)),IF(INDEX(ERP資料!$G:$G, (MATCH(145, 輔助計算!$G$2:$G$801, 0)+1))&lt;100, IF(INDEX(ERP資料!$G:$G, (MATCH(145, 輔助計算!$G$2:$G$801, 0)+1))&lt;=31,3,IF(INDEX(ERP資料!$G:$G, (MATCH(145, 輔助計算!$G$2:$G$801, 0)+1))&lt;=46.5,2,1)), IF(INDEX(ERP資料!$G:$G, (MATCH(145, 輔助計算!$G$2:$G$801, 0)+1))&lt;=790,3,IF(INDEX(ERP資料!$G:$G, (MATCH(145, 輔助計算!$G$2:$G$801, 0)+1))&lt;=1181,2,1))))=2,TEXT(INDEX(ERP資料!$G:$G, (MATCH(145, 輔助計算!$G$2:$G$801, 0)+1)),"0.##")&amp;"+"&amp;TEXT(INDEX(ERP資料!$G:$G, (MATCH(145, 輔助計算!$G$2:$G$801, 0)+1)),"0.##"),TEXT(INDEX(ERP資料!$G:$G, (MATCH(145, 輔助計算!$G$2:$G$801, 0)+1)),"0.##")&amp;"+"&amp;TEXT(INDEX(ERP資料!$G:$G, (MATCH(145, 輔助計算!$G$2:$G$801, 0)+1)),"0.##")&amp;"+"&amp;TEXT(INDEX(ERP資料!$G:$G, (MATCH(145, 輔助計算!$G$2:$G$801, 0)+1)),"0.##"))))&amp;"-1")), ""), "")</f>
        <v/>
      </c>
      <c r="K146" s="16" t="n"/>
      <c r="L146" s="14">
        <f>IFERROR(IF(AND(IFERROR(INDEX(ERP資料!$A:$A, (MATCH(145, 輔助計算!$G$2:$G$801, 0)+1)), "")&lt;&gt;"", IFERROR(INDEX(ERP資料!$A:$A, (MATCH(145, 輔助計算!$G$2:$G$801, 0)+1)), "")&lt;&gt;IFERROR(INDEX(ERP資料!$A:$A, MATCH(144, 輔助計算!$G$2:$G$801, 0)+1), "")), INDEX(ERP資料!$B:$B, (MATCH(145, 輔助計算!$G$2:$G$801, 0)+1)), ""), "")</f>
        <v/>
      </c>
      <c r="M146" s="17" t="n"/>
    </row>
    <row r="147">
      <c r="A147" s="10">
        <f>IFERROR(IF(AND(IFERROR(INDEX(ERP資料!$A:$A, (MATCH(146, 輔助計算!$G$2:$G$801, 0)+1)), "")&lt;&gt;"", IFERROR(INDEX(ERP資料!$A:$A, (MATCH(146, 輔助計算!$G$2:$G$801, 0)+1)), "")&lt;&gt;IFERROR(INDEX(ERP資料!$A:$A, MATCH(145, 輔助計算!$G$2:$G$801, 0)+1), "")), IFERROR(INDEX(ERP資料!$A:$A, (MATCH(146, 輔助計算!$G$2:$G$801, 0)+1)), ""), ""), "")</f>
        <v/>
      </c>
      <c r="B147" s="10">
        <f>IFERROR(IF(AND(IFERROR(INDEX(ERP資料!$A:$A, (MATCH(146, 輔助計算!$G$2:$G$801, 0)+1)), "")&lt;&gt;"", IFERROR(INDEX(ERP資料!$A:$A, (MATCH(146, 輔助計算!$G$2:$G$801, 0)+1)), "")&lt;&gt;IFERROR(INDEX(ERP資料!$A:$A, MATCH(145, 輔助計算!$G$2:$G$801, 0)+1), "")), INDEX(ERP資料!$S:$S, (MATCH(146, 輔助計算!$G$2:$G$801, 0)+1)), ""), "")</f>
        <v/>
      </c>
      <c r="C147" s="19">
        <f>IFERROR(IF(AND(IFERROR(INDEX(ERP資料!$A:$A, (MATCH(146, 輔助計算!$G$2:$G$801, 0)+1)), "")&lt;&gt;"", IFERROR(INDEX(ERP資料!$A:$A, (MATCH(146, 輔助計算!$G$2:$G$801, 0)+1)), "")&lt;&gt;IFERROR(INDEX(ERP資料!$A:$A, MATCH(145, 輔助計算!$G$2:$G$801, 0)+1), "")), IFERROR(VLOOKUP(LEFT(INDEX(ERP資料!$S:$S, (MATCH(146, 輔助計算!$G$2:$G$801, 0)+1)), 4), 紙管對照表!$A:$C, 3, FALSE), ""), ""), "")</f>
        <v/>
      </c>
      <c r="D147" s="16" t="n"/>
      <c r="E147" s="10">
        <f>IFERROR(IF(INDEX(ERP資料!$H:$H, (MATCH(146, 輔助計算!$G$2:$G$801, 0)+1))="","",INDEX(ERP資料!$H:$H, (MATCH(146, 輔助計算!$G$2:$G$801, 0)+1))), "")</f>
        <v/>
      </c>
      <c r="F147" s="10">
        <f>IFERROR(IF(INDEX(ERP資料!$E:$E, (MATCH(146, 輔助計算!$G$2:$G$801, 0)+1))="","",TRIM(INDEX(ERP資料!$E:$E, (MATCH(146, 輔助計算!$G$2:$G$801, 0)+1)))), "")</f>
        <v/>
      </c>
      <c r="G147" s="10">
        <f>IFERROR(IF(INDEX(ERP資料!$F:$F, (MATCH(146, 輔助計算!$G$2:$G$801, 0)+1))="","",INDEX(ERP資料!$F:$F, (MATCH(146, 輔助計算!$G$2:$G$801, 0)+1))), "")</f>
        <v/>
      </c>
      <c r="H147" s="10">
        <f>IFERROR(IF(INDEX(ERP資料!$G:$G, (MATCH(146, 輔助計算!$G$2:$G$801, 0)+1))="","",INDEX(ERP資料!$G:$G, (MATCH(146, 輔助計算!$G$2:$G$801, 0)+1))), "")</f>
        <v/>
      </c>
      <c r="I147" s="15">
        <f>IFERROR(INDEX(輔助計算!$D:$D, (MATCH(146, 輔助計算!$G$2:$G$801, 0)+1)), "")</f>
        <v/>
      </c>
      <c r="J147" s="15">
        <f>IFERROR(IF(AND(INDEX(輔助計算!$D:$D, (MATCH(146, 輔助計算!$G$2:$G$801, 0)+1))&lt;&gt;"", INDEX(ERP資料!$G:$G, (MATCH(146, 輔助計算!$G$2:$G$801, 0)+1))&lt;&gt;""), TRIM(IF(INT(INDEX(輔助計算!$D:$D, (MATCH(146, 輔助計算!$G$2:$G$801, 0)+1))/IF(INDEX(ERP資料!$G:$G, (MATCH(146, 輔助計算!$G$2:$G$801, 0)+1))&lt;100, IF(INDEX(ERP資料!$G:$G, (MATCH(146, 輔助計算!$G$2:$G$801, 0)+1))&lt;=31,3,IF(INDEX(ERP資料!$G:$G, (MATCH(146, 輔助計算!$G$2:$G$801, 0)+1))&lt;=46.5,2,1)), IF(INDEX(ERP資料!$G:$G, (MATCH(146, 輔助計算!$G$2:$G$801, 0)+1))&lt;=790,3,IF(INDEX(ERP資料!$G:$G, (MATCH(146, 輔助計算!$G$2:$G$801, 0)+1))&lt;=1181,2,1))))&gt;0, IF(IF(INDEX(ERP資料!$G:$G, (MATCH(146, 輔助計算!$G$2:$G$801, 0)+1))&lt;100, IF(INDEX(ERP資料!$G:$G, (MATCH(146, 輔助計算!$G$2:$G$801, 0)+1))&lt;=31,3,IF(INDEX(ERP資料!$G:$G, (MATCH(146, 輔助計算!$G$2:$G$801, 0)+1))&lt;=46.5,2,1)), IF(INDEX(ERP資料!$G:$G, (MATCH(146, 輔助計算!$G$2:$G$801, 0)+1))&lt;=790,3,IF(INDEX(ERP資料!$G:$G, (MATCH(146, 輔助計算!$G$2:$G$801, 0)+1))&lt;=1181,2,1)))=1,TEXT(INDEX(ERP資料!$G:$G, (MATCH(146, 輔助計算!$G$2:$G$801, 0)+1)),"0.##"),IF(IF(INDEX(ERP資料!$G:$G, (MATCH(146, 輔助計算!$G$2:$G$801, 0)+1))&lt;100, IF(INDEX(ERP資料!$G:$G, (MATCH(146, 輔助計算!$G$2:$G$801, 0)+1))&lt;=31,3,IF(INDEX(ERP資料!$G:$G, (MATCH(146, 輔助計算!$G$2:$G$801, 0)+1))&lt;=46.5,2,1)), IF(INDEX(ERP資料!$G:$G, (MATCH(146, 輔助計算!$G$2:$G$801, 0)+1))&lt;=790,3,IF(INDEX(ERP資料!$G:$G, (MATCH(146, 輔助計算!$G$2:$G$801, 0)+1))&lt;=1181,2,1)))=2,TEXT(INDEX(ERP資料!$G:$G, (MATCH(146, 輔助計算!$G$2:$G$801, 0)+1)),"0.##")&amp;"+"&amp;TEXT(INDEX(ERP資料!$G:$G, (MATCH(146, 輔助計算!$G$2:$G$801, 0)+1)),"0.##"),TEXT(INDEX(ERP資料!$G:$G, (MATCH(146, 輔助計算!$G$2:$G$801, 0)+1)),"0.##")&amp;"+"&amp;TEXT(INDEX(ERP資料!$G:$G, (MATCH(146, 輔助計算!$G$2:$G$801, 0)+1)),"0.##")&amp;"+"&amp;TEXT(INDEX(ERP資料!$G:$G, (MATCH(146, 輔助計算!$G$2:$G$801, 0)+1)),"0.##")))&amp;"-"&amp;INT(INDEX(輔助計算!$D:$D, (MATCH(146, 輔助計算!$G$2:$G$801, 0)+1))/IF(INDEX(ERP資料!$G:$G, (MATCH(146, 輔助計算!$G$2:$G$801, 0)+1))&lt;100, IF(INDEX(ERP資料!$G:$G, (MATCH(146, 輔助計算!$G$2:$G$801, 0)+1))&lt;=31,3,IF(INDEX(ERP資料!$G:$G, (MATCH(146, 輔助計算!$G$2:$G$801, 0)+1))&lt;=46.5,2,1)), IF(INDEX(ERP資料!$G:$G, (MATCH(146, 輔助計算!$G$2:$G$801, 0)+1))&lt;=790,3,IF(INDEX(ERP資料!$G:$G, (MATCH(146, 輔助計算!$G$2:$G$801, 0)+1))&lt;=1181,2,1)))), "")&amp;IF(AND(IF(INT(INDEX(輔助計算!$D:$D, (MATCH(146, 輔助計算!$G$2:$G$801, 0)+1))/IF(INDEX(ERP資料!$G:$G, (MATCH(146, 輔助計算!$G$2:$G$801, 0)+1))&lt;100, IF(INDEX(ERP資料!$G:$G, (MATCH(146, 輔助計算!$G$2:$G$801, 0)+1))&lt;=31,3,IF(INDEX(ERP資料!$G:$G, (MATCH(146, 輔助計算!$G$2:$G$801, 0)+1))&lt;=46.5,2,1)), IF(INDEX(ERP資料!$G:$G, (MATCH(146, 輔助計算!$G$2:$G$801, 0)+1))&lt;=790,3,IF(INDEX(ERP資料!$G:$G, (MATCH(146, 輔助計算!$G$2:$G$801, 0)+1))&lt;=1181,2,1))))&gt;0, IF(IF(INDEX(ERP資料!$G:$G, (MATCH(146, 輔助計算!$G$2:$G$801, 0)+1))&lt;100, IF(INDEX(ERP資料!$G:$G, (MATCH(146, 輔助計算!$G$2:$G$801, 0)+1))&lt;=31,3,IF(INDEX(ERP資料!$G:$G, (MATCH(146, 輔助計算!$G$2:$G$801, 0)+1))&lt;=46.5,2,1)), IF(INDEX(ERP資料!$G:$G, (MATCH(146, 輔助計算!$G$2:$G$801, 0)+1))&lt;=790,3,IF(INDEX(ERP資料!$G:$G, (MATCH(146, 輔助計算!$G$2:$G$801, 0)+1))&lt;=1181,2,1)))=1,TEXT(INDEX(ERP資料!$G:$G, (MATCH(146, 輔助計算!$G$2:$G$801, 0)+1)),"0.##"),IF(IF(INDEX(ERP資料!$G:$G, (MATCH(146, 輔助計算!$G$2:$G$801, 0)+1))&lt;100, IF(INDEX(ERP資料!$G:$G, (MATCH(146, 輔助計算!$G$2:$G$801, 0)+1))&lt;=31,3,IF(INDEX(ERP資料!$G:$G, (MATCH(146, 輔助計算!$G$2:$G$801, 0)+1))&lt;=46.5,2,1)), IF(INDEX(ERP資料!$G:$G, (MATCH(146, 輔助計算!$G$2:$G$801, 0)+1))&lt;=790,3,IF(INDEX(ERP資料!$G:$G, (MATCH(146, 輔助計算!$G$2:$G$801, 0)+1))&lt;=1181,2,1)))=2,TEXT(INDEX(ERP資料!$G:$G, (MATCH(146, 輔助計算!$G$2:$G$801, 0)+1)),"0.##")&amp;"+"&amp;TEXT(INDEX(ERP資料!$G:$G, (MATCH(146, 輔助計算!$G$2:$G$801, 0)+1)),"0.##"),TEXT(INDEX(ERP資料!$G:$G, (MATCH(146, 輔助計算!$G$2:$G$801, 0)+1)),"0.##")&amp;"+"&amp;TEXT(INDEX(ERP資料!$G:$G, (MATCH(146, 輔助計算!$G$2:$G$801, 0)+1)),"0.##")&amp;"+"&amp;TEXT(INDEX(ERP資料!$G:$G, (MATCH(146, 輔助計算!$G$2:$G$801, 0)+1)),"0.##")))&amp;"-"&amp;INT(INDEX(輔助計算!$D:$D, (MATCH(146, 輔助計算!$G$2:$G$801, 0)+1))/IF(INDEX(ERP資料!$G:$G, (MATCH(146, 輔助計算!$G$2:$G$801, 0)+1))&lt;100, IF(INDEX(ERP資料!$G:$G, (MATCH(146, 輔助計算!$G$2:$G$801, 0)+1))&lt;=31,3,IF(INDEX(ERP資料!$G:$G, (MATCH(146, 輔助計算!$G$2:$G$801, 0)+1))&lt;=46.5,2,1)), IF(INDEX(ERP資料!$G:$G, (MATCH(146, 輔助計算!$G$2:$G$801, 0)+1))&lt;=790,3,IF(INDEX(ERP資料!$G:$G, (MATCH(146, 輔助計算!$G$2:$G$801, 0)+1))&lt;=1181,2,1)))), "")&lt;&gt;"",IF(MOD(INDEX(輔助計算!$D:$D, (MATCH(146, 輔助計算!$G$2:$G$801, 0)+1)),IF(INDEX(ERP資料!$G:$G, (MATCH(146, 輔助計算!$G$2:$G$801, 0)+1))&lt;100, IF(INDEX(ERP資料!$G:$G, (MATCH(146, 輔助計算!$G$2:$G$801, 0)+1))&lt;=31,3,IF(INDEX(ERP資料!$G:$G, (MATCH(146, 輔助計算!$G$2:$G$801, 0)+1))&lt;=46.5,2,1)), IF(INDEX(ERP資料!$G:$G, (MATCH(146, 輔助計算!$G$2:$G$801, 0)+1))&lt;=790,3,IF(INDEX(ERP資料!$G:$G, (MATCH(146, 輔助計算!$G$2:$G$801, 0)+1))&lt;=1181,2,1))))=0,"",IF(MOD(INDEX(輔助計算!$D:$D, (MATCH(146, 輔助計算!$G$2:$G$801, 0)+1)),IF(INDEX(ERP資料!$G:$G, (MATCH(146, 輔助計算!$G$2:$G$801, 0)+1))&lt;100, IF(INDEX(ERP資料!$G:$G, (MATCH(146, 輔助計算!$G$2:$G$801, 0)+1))&lt;=31,3,IF(INDEX(ERP資料!$G:$G, (MATCH(146, 輔助計算!$G$2:$G$801, 0)+1))&lt;=46.5,2,1)), IF(INDEX(ERP資料!$G:$G, (MATCH(146, 輔助計算!$G$2:$G$801, 0)+1))&lt;=790,3,IF(INDEX(ERP資料!$G:$G, (MATCH(146, 輔助計算!$G$2:$G$801, 0)+1))&lt;=1181,2,1))))=0,"",IF(MOD(INDEX(輔助計算!$D:$D, (MATCH(146, 輔助計算!$G$2:$G$801, 0)+1)),IF(INDEX(ERP資料!$G:$G, (MATCH(146, 輔助計算!$G$2:$G$801, 0)+1))&lt;100, IF(INDEX(ERP資料!$G:$G, (MATCH(146, 輔助計算!$G$2:$G$801, 0)+1))&lt;=31,3,IF(INDEX(ERP資料!$G:$G, (MATCH(146, 輔助計算!$G$2:$G$801, 0)+1))&lt;=46.5,2,1)), IF(INDEX(ERP資料!$G:$G, (MATCH(146, 輔助計算!$G$2:$G$801, 0)+1))&lt;=790,3,IF(INDEX(ERP資料!$G:$G, (MATCH(146, 輔助計算!$G$2:$G$801, 0)+1))&lt;=1181,2,1))))=1,TEXT(INDEX(ERP資料!$G:$G, (MATCH(146, 輔助計算!$G$2:$G$801, 0)+1)),"0.##"),IF(MOD(INDEX(輔助計算!$D:$D, (MATCH(146, 輔助計算!$G$2:$G$801, 0)+1)),IF(INDEX(ERP資料!$G:$G, (MATCH(146, 輔助計算!$G$2:$G$801, 0)+1))&lt;100, IF(INDEX(ERP資料!$G:$G, (MATCH(146, 輔助計算!$G$2:$G$801, 0)+1))&lt;=31,3,IF(INDEX(ERP資料!$G:$G, (MATCH(146, 輔助計算!$G$2:$G$801, 0)+1))&lt;=46.5,2,1)), IF(INDEX(ERP資料!$G:$G, (MATCH(146, 輔助計算!$G$2:$G$801, 0)+1))&lt;=790,3,IF(INDEX(ERP資料!$G:$G, (MATCH(146, 輔助計算!$G$2:$G$801, 0)+1))&lt;=1181,2,1))))=2,TEXT(INDEX(ERP資料!$G:$G, (MATCH(146, 輔助計算!$G$2:$G$801, 0)+1)),"0.##")&amp;"+"&amp;TEXT(INDEX(ERP資料!$G:$G, (MATCH(146, 輔助計算!$G$2:$G$801, 0)+1)),"0.##"),TEXT(INDEX(ERP資料!$G:$G, (MATCH(146, 輔助計算!$G$2:$G$801, 0)+1)),"0.##")&amp;"+"&amp;TEXT(INDEX(ERP資料!$G:$G, (MATCH(146, 輔助計算!$G$2:$G$801, 0)+1)),"0.##")&amp;"+"&amp;TEXT(INDEX(ERP資料!$G:$G, (MATCH(146, 輔助計算!$G$2:$G$801, 0)+1)),"0.##"))))&amp;"-1")&lt;&gt;""),"  ","")&amp;IF(MOD(INDEX(輔助計算!$D:$D, (MATCH(146, 輔助計算!$G$2:$G$801, 0)+1)),IF(INDEX(ERP資料!$G:$G, (MATCH(146, 輔助計算!$G$2:$G$801, 0)+1))&lt;100, IF(INDEX(ERP資料!$G:$G, (MATCH(146, 輔助計算!$G$2:$G$801, 0)+1))&lt;=31,3,IF(INDEX(ERP資料!$G:$G, (MATCH(146, 輔助計算!$G$2:$G$801, 0)+1))&lt;=46.5,2,1)), IF(INDEX(ERP資料!$G:$G, (MATCH(146, 輔助計算!$G$2:$G$801, 0)+1))&lt;=790,3,IF(INDEX(ERP資料!$G:$G, (MATCH(146, 輔助計算!$G$2:$G$801, 0)+1))&lt;=1181,2,1))))=0,"",IF(MOD(INDEX(輔助計算!$D:$D, (MATCH(146, 輔助計算!$G$2:$G$801, 0)+1)),IF(INDEX(ERP資料!$G:$G, (MATCH(146, 輔助計算!$G$2:$G$801, 0)+1))&lt;100, IF(INDEX(ERP資料!$G:$G, (MATCH(146, 輔助計算!$G$2:$G$801, 0)+1))&lt;=31,3,IF(INDEX(ERP資料!$G:$G, (MATCH(146, 輔助計算!$G$2:$G$801, 0)+1))&lt;=46.5,2,1)), IF(INDEX(ERP資料!$G:$G, (MATCH(146, 輔助計算!$G$2:$G$801, 0)+1))&lt;=790,3,IF(INDEX(ERP資料!$G:$G, (MATCH(146, 輔助計算!$G$2:$G$801, 0)+1))&lt;=1181,2,1))))=0,"",IF(MOD(INDEX(輔助計算!$D:$D, (MATCH(146, 輔助計算!$G$2:$G$801, 0)+1)),IF(INDEX(ERP資料!$G:$G, (MATCH(146, 輔助計算!$G$2:$G$801, 0)+1))&lt;100, IF(INDEX(ERP資料!$G:$G, (MATCH(146, 輔助計算!$G$2:$G$801, 0)+1))&lt;=31,3,IF(INDEX(ERP資料!$G:$G, (MATCH(146, 輔助計算!$G$2:$G$801, 0)+1))&lt;=46.5,2,1)), IF(INDEX(ERP資料!$G:$G, (MATCH(146, 輔助計算!$G$2:$G$801, 0)+1))&lt;=790,3,IF(INDEX(ERP資料!$G:$G, (MATCH(146, 輔助計算!$G$2:$G$801, 0)+1))&lt;=1181,2,1))))=1,TEXT(INDEX(ERP資料!$G:$G, (MATCH(146, 輔助計算!$G$2:$G$801, 0)+1)),"0.##"),IF(MOD(INDEX(輔助計算!$D:$D, (MATCH(146, 輔助計算!$G$2:$G$801, 0)+1)),IF(INDEX(ERP資料!$G:$G, (MATCH(146, 輔助計算!$G$2:$G$801, 0)+1))&lt;100, IF(INDEX(ERP資料!$G:$G, (MATCH(146, 輔助計算!$G$2:$G$801, 0)+1))&lt;=31,3,IF(INDEX(ERP資料!$G:$G, (MATCH(146, 輔助計算!$G$2:$G$801, 0)+1))&lt;=46.5,2,1)), IF(INDEX(ERP資料!$G:$G, (MATCH(146, 輔助計算!$G$2:$G$801, 0)+1))&lt;=790,3,IF(INDEX(ERP資料!$G:$G, (MATCH(146, 輔助計算!$G$2:$G$801, 0)+1))&lt;=1181,2,1))))=2,TEXT(INDEX(ERP資料!$G:$G, (MATCH(146, 輔助計算!$G$2:$G$801, 0)+1)),"0.##")&amp;"+"&amp;TEXT(INDEX(ERP資料!$G:$G, (MATCH(146, 輔助計算!$G$2:$G$801, 0)+1)),"0.##"),TEXT(INDEX(ERP資料!$G:$G, (MATCH(146, 輔助計算!$G$2:$G$801, 0)+1)),"0.##")&amp;"+"&amp;TEXT(INDEX(ERP資料!$G:$G, (MATCH(146, 輔助計算!$G$2:$G$801, 0)+1)),"0.##")&amp;"+"&amp;TEXT(INDEX(ERP資料!$G:$G, (MATCH(146, 輔助計算!$G$2:$G$801, 0)+1)),"0.##"))))&amp;"-1")), ""), "")</f>
        <v/>
      </c>
      <c r="K147" s="16" t="n"/>
      <c r="L147" s="14">
        <f>IFERROR(IF(AND(IFERROR(INDEX(ERP資料!$A:$A, (MATCH(146, 輔助計算!$G$2:$G$801, 0)+1)), "")&lt;&gt;"", IFERROR(INDEX(ERP資料!$A:$A, (MATCH(146, 輔助計算!$G$2:$G$801, 0)+1)), "")&lt;&gt;IFERROR(INDEX(ERP資料!$A:$A, MATCH(145, 輔助計算!$G$2:$G$801, 0)+1), "")), INDEX(ERP資料!$B:$B, (MATCH(146, 輔助計算!$G$2:$G$801, 0)+1)), ""), "")</f>
        <v/>
      </c>
      <c r="M147" s="17" t="n"/>
    </row>
    <row r="148">
      <c r="A148" s="10">
        <f>IFERROR(IF(AND(IFERROR(INDEX(ERP資料!$A:$A, (MATCH(147, 輔助計算!$G$2:$G$801, 0)+1)), "")&lt;&gt;"", IFERROR(INDEX(ERP資料!$A:$A, (MATCH(147, 輔助計算!$G$2:$G$801, 0)+1)), "")&lt;&gt;IFERROR(INDEX(ERP資料!$A:$A, MATCH(146, 輔助計算!$G$2:$G$801, 0)+1), "")), IFERROR(INDEX(ERP資料!$A:$A, (MATCH(147, 輔助計算!$G$2:$G$801, 0)+1)), ""), ""), "")</f>
        <v/>
      </c>
      <c r="B148" s="10">
        <f>IFERROR(IF(AND(IFERROR(INDEX(ERP資料!$A:$A, (MATCH(147, 輔助計算!$G$2:$G$801, 0)+1)), "")&lt;&gt;"", IFERROR(INDEX(ERP資料!$A:$A, (MATCH(147, 輔助計算!$G$2:$G$801, 0)+1)), "")&lt;&gt;IFERROR(INDEX(ERP資料!$A:$A, MATCH(146, 輔助計算!$G$2:$G$801, 0)+1), "")), INDEX(ERP資料!$S:$S, (MATCH(147, 輔助計算!$G$2:$G$801, 0)+1)), ""), "")</f>
        <v/>
      </c>
      <c r="C148" s="19">
        <f>IFERROR(IF(AND(IFERROR(INDEX(ERP資料!$A:$A, (MATCH(147, 輔助計算!$G$2:$G$801, 0)+1)), "")&lt;&gt;"", IFERROR(INDEX(ERP資料!$A:$A, (MATCH(147, 輔助計算!$G$2:$G$801, 0)+1)), "")&lt;&gt;IFERROR(INDEX(ERP資料!$A:$A, MATCH(146, 輔助計算!$G$2:$G$801, 0)+1), "")), IFERROR(VLOOKUP(LEFT(INDEX(ERP資料!$S:$S, (MATCH(147, 輔助計算!$G$2:$G$801, 0)+1)), 4), 紙管對照表!$A:$C, 3, FALSE), ""), ""), "")</f>
        <v/>
      </c>
      <c r="D148" s="16" t="n"/>
      <c r="E148" s="10">
        <f>IFERROR(IF(INDEX(ERP資料!$H:$H, (MATCH(147, 輔助計算!$G$2:$G$801, 0)+1))="","",INDEX(ERP資料!$H:$H, (MATCH(147, 輔助計算!$G$2:$G$801, 0)+1))), "")</f>
        <v/>
      </c>
      <c r="F148" s="10">
        <f>IFERROR(IF(INDEX(ERP資料!$E:$E, (MATCH(147, 輔助計算!$G$2:$G$801, 0)+1))="","",TRIM(INDEX(ERP資料!$E:$E, (MATCH(147, 輔助計算!$G$2:$G$801, 0)+1)))), "")</f>
        <v/>
      </c>
      <c r="G148" s="10">
        <f>IFERROR(IF(INDEX(ERP資料!$F:$F, (MATCH(147, 輔助計算!$G$2:$G$801, 0)+1))="","",INDEX(ERP資料!$F:$F, (MATCH(147, 輔助計算!$G$2:$G$801, 0)+1))), "")</f>
        <v/>
      </c>
      <c r="H148" s="10">
        <f>IFERROR(IF(INDEX(ERP資料!$G:$G, (MATCH(147, 輔助計算!$G$2:$G$801, 0)+1))="","",INDEX(ERP資料!$G:$G, (MATCH(147, 輔助計算!$G$2:$G$801, 0)+1))), "")</f>
        <v/>
      </c>
      <c r="I148" s="15">
        <f>IFERROR(INDEX(輔助計算!$D:$D, (MATCH(147, 輔助計算!$G$2:$G$801, 0)+1)), "")</f>
        <v/>
      </c>
      <c r="J148" s="15">
        <f>IFERROR(IF(AND(INDEX(輔助計算!$D:$D, (MATCH(147, 輔助計算!$G$2:$G$801, 0)+1))&lt;&gt;"", INDEX(ERP資料!$G:$G, (MATCH(147, 輔助計算!$G$2:$G$801, 0)+1))&lt;&gt;""), TRIM(IF(INT(INDEX(輔助計算!$D:$D, (MATCH(147, 輔助計算!$G$2:$G$801, 0)+1))/IF(INDEX(ERP資料!$G:$G, (MATCH(147, 輔助計算!$G$2:$G$801, 0)+1))&lt;100, IF(INDEX(ERP資料!$G:$G, (MATCH(147, 輔助計算!$G$2:$G$801, 0)+1))&lt;=31,3,IF(INDEX(ERP資料!$G:$G, (MATCH(147, 輔助計算!$G$2:$G$801, 0)+1))&lt;=46.5,2,1)), IF(INDEX(ERP資料!$G:$G, (MATCH(147, 輔助計算!$G$2:$G$801, 0)+1))&lt;=790,3,IF(INDEX(ERP資料!$G:$G, (MATCH(147, 輔助計算!$G$2:$G$801, 0)+1))&lt;=1181,2,1))))&gt;0, IF(IF(INDEX(ERP資料!$G:$G, (MATCH(147, 輔助計算!$G$2:$G$801, 0)+1))&lt;100, IF(INDEX(ERP資料!$G:$G, (MATCH(147, 輔助計算!$G$2:$G$801, 0)+1))&lt;=31,3,IF(INDEX(ERP資料!$G:$G, (MATCH(147, 輔助計算!$G$2:$G$801, 0)+1))&lt;=46.5,2,1)), IF(INDEX(ERP資料!$G:$G, (MATCH(147, 輔助計算!$G$2:$G$801, 0)+1))&lt;=790,3,IF(INDEX(ERP資料!$G:$G, (MATCH(147, 輔助計算!$G$2:$G$801, 0)+1))&lt;=1181,2,1)))=1,TEXT(INDEX(ERP資料!$G:$G, (MATCH(147, 輔助計算!$G$2:$G$801, 0)+1)),"0.##"),IF(IF(INDEX(ERP資料!$G:$G, (MATCH(147, 輔助計算!$G$2:$G$801, 0)+1))&lt;100, IF(INDEX(ERP資料!$G:$G, (MATCH(147, 輔助計算!$G$2:$G$801, 0)+1))&lt;=31,3,IF(INDEX(ERP資料!$G:$G, (MATCH(147, 輔助計算!$G$2:$G$801, 0)+1))&lt;=46.5,2,1)), IF(INDEX(ERP資料!$G:$G, (MATCH(147, 輔助計算!$G$2:$G$801, 0)+1))&lt;=790,3,IF(INDEX(ERP資料!$G:$G, (MATCH(147, 輔助計算!$G$2:$G$801, 0)+1))&lt;=1181,2,1)))=2,TEXT(INDEX(ERP資料!$G:$G, (MATCH(147, 輔助計算!$G$2:$G$801, 0)+1)),"0.##")&amp;"+"&amp;TEXT(INDEX(ERP資料!$G:$G, (MATCH(147, 輔助計算!$G$2:$G$801, 0)+1)),"0.##"),TEXT(INDEX(ERP資料!$G:$G, (MATCH(147, 輔助計算!$G$2:$G$801, 0)+1)),"0.##")&amp;"+"&amp;TEXT(INDEX(ERP資料!$G:$G, (MATCH(147, 輔助計算!$G$2:$G$801, 0)+1)),"0.##")&amp;"+"&amp;TEXT(INDEX(ERP資料!$G:$G, (MATCH(147, 輔助計算!$G$2:$G$801, 0)+1)),"0.##")))&amp;"-"&amp;INT(INDEX(輔助計算!$D:$D, (MATCH(147, 輔助計算!$G$2:$G$801, 0)+1))/IF(INDEX(ERP資料!$G:$G, (MATCH(147, 輔助計算!$G$2:$G$801, 0)+1))&lt;100, IF(INDEX(ERP資料!$G:$G, (MATCH(147, 輔助計算!$G$2:$G$801, 0)+1))&lt;=31,3,IF(INDEX(ERP資料!$G:$G, (MATCH(147, 輔助計算!$G$2:$G$801, 0)+1))&lt;=46.5,2,1)), IF(INDEX(ERP資料!$G:$G, (MATCH(147, 輔助計算!$G$2:$G$801, 0)+1))&lt;=790,3,IF(INDEX(ERP資料!$G:$G, (MATCH(147, 輔助計算!$G$2:$G$801, 0)+1))&lt;=1181,2,1)))), "")&amp;IF(AND(IF(INT(INDEX(輔助計算!$D:$D, (MATCH(147, 輔助計算!$G$2:$G$801, 0)+1))/IF(INDEX(ERP資料!$G:$G, (MATCH(147, 輔助計算!$G$2:$G$801, 0)+1))&lt;100, IF(INDEX(ERP資料!$G:$G, (MATCH(147, 輔助計算!$G$2:$G$801, 0)+1))&lt;=31,3,IF(INDEX(ERP資料!$G:$G, (MATCH(147, 輔助計算!$G$2:$G$801, 0)+1))&lt;=46.5,2,1)), IF(INDEX(ERP資料!$G:$G, (MATCH(147, 輔助計算!$G$2:$G$801, 0)+1))&lt;=790,3,IF(INDEX(ERP資料!$G:$G, (MATCH(147, 輔助計算!$G$2:$G$801, 0)+1))&lt;=1181,2,1))))&gt;0, IF(IF(INDEX(ERP資料!$G:$G, (MATCH(147, 輔助計算!$G$2:$G$801, 0)+1))&lt;100, IF(INDEX(ERP資料!$G:$G, (MATCH(147, 輔助計算!$G$2:$G$801, 0)+1))&lt;=31,3,IF(INDEX(ERP資料!$G:$G, (MATCH(147, 輔助計算!$G$2:$G$801, 0)+1))&lt;=46.5,2,1)), IF(INDEX(ERP資料!$G:$G, (MATCH(147, 輔助計算!$G$2:$G$801, 0)+1))&lt;=790,3,IF(INDEX(ERP資料!$G:$G, (MATCH(147, 輔助計算!$G$2:$G$801, 0)+1))&lt;=1181,2,1)))=1,TEXT(INDEX(ERP資料!$G:$G, (MATCH(147, 輔助計算!$G$2:$G$801, 0)+1)),"0.##"),IF(IF(INDEX(ERP資料!$G:$G, (MATCH(147, 輔助計算!$G$2:$G$801, 0)+1))&lt;100, IF(INDEX(ERP資料!$G:$G, (MATCH(147, 輔助計算!$G$2:$G$801, 0)+1))&lt;=31,3,IF(INDEX(ERP資料!$G:$G, (MATCH(147, 輔助計算!$G$2:$G$801, 0)+1))&lt;=46.5,2,1)), IF(INDEX(ERP資料!$G:$G, (MATCH(147, 輔助計算!$G$2:$G$801, 0)+1))&lt;=790,3,IF(INDEX(ERP資料!$G:$G, (MATCH(147, 輔助計算!$G$2:$G$801, 0)+1))&lt;=1181,2,1)))=2,TEXT(INDEX(ERP資料!$G:$G, (MATCH(147, 輔助計算!$G$2:$G$801, 0)+1)),"0.##")&amp;"+"&amp;TEXT(INDEX(ERP資料!$G:$G, (MATCH(147, 輔助計算!$G$2:$G$801, 0)+1)),"0.##"),TEXT(INDEX(ERP資料!$G:$G, (MATCH(147, 輔助計算!$G$2:$G$801, 0)+1)),"0.##")&amp;"+"&amp;TEXT(INDEX(ERP資料!$G:$G, (MATCH(147, 輔助計算!$G$2:$G$801, 0)+1)),"0.##")&amp;"+"&amp;TEXT(INDEX(ERP資料!$G:$G, (MATCH(147, 輔助計算!$G$2:$G$801, 0)+1)),"0.##")))&amp;"-"&amp;INT(INDEX(輔助計算!$D:$D, (MATCH(147, 輔助計算!$G$2:$G$801, 0)+1))/IF(INDEX(ERP資料!$G:$G, (MATCH(147, 輔助計算!$G$2:$G$801, 0)+1))&lt;100, IF(INDEX(ERP資料!$G:$G, (MATCH(147, 輔助計算!$G$2:$G$801, 0)+1))&lt;=31,3,IF(INDEX(ERP資料!$G:$G, (MATCH(147, 輔助計算!$G$2:$G$801, 0)+1))&lt;=46.5,2,1)), IF(INDEX(ERP資料!$G:$G, (MATCH(147, 輔助計算!$G$2:$G$801, 0)+1))&lt;=790,3,IF(INDEX(ERP資料!$G:$G, (MATCH(147, 輔助計算!$G$2:$G$801, 0)+1))&lt;=1181,2,1)))), "")&lt;&gt;"",IF(MOD(INDEX(輔助計算!$D:$D, (MATCH(147, 輔助計算!$G$2:$G$801, 0)+1)),IF(INDEX(ERP資料!$G:$G, (MATCH(147, 輔助計算!$G$2:$G$801, 0)+1))&lt;100, IF(INDEX(ERP資料!$G:$G, (MATCH(147, 輔助計算!$G$2:$G$801, 0)+1))&lt;=31,3,IF(INDEX(ERP資料!$G:$G, (MATCH(147, 輔助計算!$G$2:$G$801, 0)+1))&lt;=46.5,2,1)), IF(INDEX(ERP資料!$G:$G, (MATCH(147, 輔助計算!$G$2:$G$801, 0)+1))&lt;=790,3,IF(INDEX(ERP資料!$G:$G, (MATCH(147, 輔助計算!$G$2:$G$801, 0)+1))&lt;=1181,2,1))))=0,"",IF(MOD(INDEX(輔助計算!$D:$D, (MATCH(147, 輔助計算!$G$2:$G$801, 0)+1)),IF(INDEX(ERP資料!$G:$G, (MATCH(147, 輔助計算!$G$2:$G$801, 0)+1))&lt;100, IF(INDEX(ERP資料!$G:$G, (MATCH(147, 輔助計算!$G$2:$G$801, 0)+1))&lt;=31,3,IF(INDEX(ERP資料!$G:$G, (MATCH(147, 輔助計算!$G$2:$G$801, 0)+1))&lt;=46.5,2,1)), IF(INDEX(ERP資料!$G:$G, (MATCH(147, 輔助計算!$G$2:$G$801, 0)+1))&lt;=790,3,IF(INDEX(ERP資料!$G:$G, (MATCH(147, 輔助計算!$G$2:$G$801, 0)+1))&lt;=1181,2,1))))=0,"",IF(MOD(INDEX(輔助計算!$D:$D, (MATCH(147, 輔助計算!$G$2:$G$801, 0)+1)),IF(INDEX(ERP資料!$G:$G, (MATCH(147, 輔助計算!$G$2:$G$801, 0)+1))&lt;100, IF(INDEX(ERP資料!$G:$G, (MATCH(147, 輔助計算!$G$2:$G$801, 0)+1))&lt;=31,3,IF(INDEX(ERP資料!$G:$G, (MATCH(147, 輔助計算!$G$2:$G$801, 0)+1))&lt;=46.5,2,1)), IF(INDEX(ERP資料!$G:$G, (MATCH(147, 輔助計算!$G$2:$G$801, 0)+1))&lt;=790,3,IF(INDEX(ERP資料!$G:$G, (MATCH(147, 輔助計算!$G$2:$G$801, 0)+1))&lt;=1181,2,1))))=1,TEXT(INDEX(ERP資料!$G:$G, (MATCH(147, 輔助計算!$G$2:$G$801, 0)+1)),"0.##"),IF(MOD(INDEX(輔助計算!$D:$D, (MATCH(147, 輔助計算!$G$2:$G$801, 0)+1)),IF(INDEX(ERP資料!$G:$G, (MATCH(147, 輔助計算!$G$2:$G$801, 0)+1))&lt;100, IF(INDEX(ERP資料!$G:$G, (MATCH(147, 輔助計算!$G$2:$G$801, 0)+1))&lt;=31,3,IF(INDEX(ERP資料!$G:$G, (MATCH(147, 輔助計算!$G$2:$G$801, 0)+1))&lt;=46.5,2,1)), IF(INDEX(ERP資料!$G:$G, (MATCH(147, 輔助計算!$G$2:$G$801, 0)+1))&lt;=790,3,IF(INDEX(ERP資料!$G:$G, (MATCH(147, 輔助計算!$G$2:$G$801, 0)+1))&lt;=1181,2,1))))=2,TEXT(INDEX(ERP資料!$G:$G, (MATCH(147, 輔助計算!$G$2:$G$801, 0)+1)),"0.##")&amp;"+"&amp;TEXT(INDEX(ERP資料!$G:$G, (MATCH(147, 輔助計算!$G$2:$G$801, 0)+1)),"0.##"),TEXT(INDEX(ERP資料!$G:$G, (MATCH(147, 輔助計算!$G$2:$G$801, 0)+1)),"0.##")&amp;"+"&amp;TEXT(INDEX(ERP資料!$G:$G, (MATCH(147, 輔助計算!$G$2:$G$801, 0)+1)),"0.##")&amp;"+"&amp;TEXT(INDEX(ERP資料!$G:$G, (MATCH(147, 輔助計算!$G$2:$G$801, 0)+1)),"0.##"))))&amp;"-1")&lt;&gt;""),"  ","")&amp;IF(MOD(INDEX(輔助計算!$D:$D, (MATCH(147, 輔助計算!$G$2:$G$801, 0)+1)),IF(INDEX(ERP資料!$G:$G, (MATCH(147, 輔助計算!$G$2:$G$801, 0)+1))&lt;100, IF(INDEX(ERP資料!$G:$G, (MATCH(147, 輔助計算!$G$2:$G$801, 0)+1))&lt;=31,3,IF(INDEX(ERP資料!$G:$G, (MATCH(147, 輔助計算!$G$2:$G$801, 0)+1))&lt;=46.5,2,1)), IF(INDEX(ERP資料!$G:$G, (MATCH(147, 輔助計算!$G$2:$G$801, 0)+1))&lt;=790,3,IF(INDEX(ERP資料!$G:$G, (MATCH(147, 輔助計算!$G$2:$G$801, 0)+1))&lt;=1181,2,1))))=0,"",IF(MOD(INDEX(輔助計算!$D:$D, (MATCH(147, 輔助計算!$G$2:$G$801, 0)+1)),IF(INDEX(ERP資料!$G:$G, (MATCH(147, 輔助計算!$G$2:$G$801, 0)+1))&lt;100, IF(INDEX(ERP資料!$G:$G, (MATCH(147, 輔助計算!$G$2:$G$801, 0)+1))&lt;=31,3,IF(INDEX(ERP資料!$G:$G, (MATCH(147, 輔助計算!$G$2:$G$801, 0)+1))&lt;=46.5,2,1)), IF(INDEX(ERP資料!$G:$G, (MATCH(147, 輔助計算!$G$2:$G$801, 0)+1))&lt;=790,3,IF(INDEX(ERP資料!$G:$G, (MATCH(147, 輔助計算!$G$2:$G$801, 0)+1))&lt;=1181,2,1))))=0,"",IF(MOD(INDEX(輔助計算!$D:$D, (MATCH(147, 輔助計算!$G$2:$G$801, 0)+1)),IF(INDEX(ERP資料!$G:$G, (MATCH(147, 輔助計算!$G$2:$G$801, 0)+1))&lt;100, IF(INDEX(ERP資料!$G:$G, (MATCH(147, 輔助計算!$G$2:$G$801, 0)+1))&lt;=31,3,IF(INDEX(ERP資料!$G:$G, (MATCH(147, 輔助計算!$G$2:$G$801, 0)+1))&lt;=46.5,2,1)), IF(INDEX(ERP資料!$G:$G, (MATCH(147, 輔助計算!$G$2:$G$801, 0)+1))&lt;=790,3,IF(INDEX(ERP資料!$G:$G, (MATCH(147, 輔助計算!$G$2:$G$801, 0)+1))&lt;=1181,2,1))))=1,TEXT(INDEX(ERP資料!$G:$G, (MATCH(147, 輔助計算!$G$2:$G$801, 0)+1)),"0.##"),IF(MOD(INDEX(輔助計算!$D:$D, (MATCH(147, 輔助計算!$G$2:$G$801, 0)+1)),IF(INDEX(ERP資料!$G:$G, (MATCH(147, 輔助計算!$G$2:$G$801, 0)+1))&lt;100, IF(INDEX(ERP資料!$G:$G, (MATCH(147, 輔助計算!$G$2:$G$801, 0)+1))&lt;=31,3,IF(INDEX(ERP資料!$G:$G, (MATCH(147, 輔助計算!$G$2:$G$801, 0)+1))&lt;=46.5,2,1)), IF(INDEX(ERP資料!$G:$G, (MATCH(147, 輔助計算!$G$2:$G$801, 0)+1))&lt;=790,3,IF(INDEX(ERP資料!$G:$G, (MATCH(147, 輔助計算!$G$2:$G$801, 0)+1))&lt;=1181,2,1))))=2,TEXT(INDEX(ERP資料!$G:$G, (MATCH(147, 輔助計算!$G$2:$G$801, 0)+1)),"0.##")&amp;"+"&amp;TEXT(INDEX(ERP資料!$G:$G, (MATCH(147, 輔助計算!$G$2:$G$801, 0)+1)),"0.##"),TEXT(INDEX(ERP資料!$G:$G, (MATCH(147, 輔助計算!$G$2:$G$801, 0)+1)),"0.##")&amp;"+"&amp;TEXT(INDEX(ERP資料!$G:$G, (MATCH(147, 輔助計算!$G$2:$G$801, 0)+1)),"0.##")&amp;"+"&amp;TEXT(INDEX(ERP資料!$G:$G, (MATCH(147, 輔助計算!$G$2:$G$801, 0)+1)),"0.##"))))&amp;"-1")), ""), "")</f>
        <v/>
      </c>
      <c r="K148" s="16" t="n"/>
      <c r="L148" s="14">
        <f>IFERROR(IF(AND(IFERROR(INDEX(ERP資料!$A:$A, (MATCH(147, 輔助計算!$G$2:$G$801, 0)+1)), "")&lt;&gt;"", IFERROR(INDEX(ERP資料!$A:$A, (MATCH(147, 輔助計算!$G$2:$G$801, 0)+1)), "")&lt;&gt;IFERROR(INDEX(ERP資料!$A:$A, MATCH(146, 輔助計算!$G$2:$G$801, 0)+1), "")), INDEX(ERP資料!$B:$B, (MATCH(147, 輔助計算!$G$2:$G$801, 0)+1)), ""), "")</f>
        <v/>
      </c>
      <c r="M148" s="17" t="n"/>
    </row>
    <row r="149">
      <c r="A149" s="10">
        <f>IFERROR(IF(AND(IFERROR(INDEX(ERP資料!$A:$A, (MATCH(148, 輔助計算!$G$2:$G$801, 0)+1)), "")&lt;&gt;"", IFERROR(INDEX(ERP資料!$A:$A, (MATCH(148, 輔助計算!$G$2:$G$801, 0)+1)), "")&lt;&gt;IFERROR(INDEX(ERP資料!$A:$A, MATCH(147, 輔助計算!$G$2:$G$801, 0)+1), "")), IFERROR(INDEX(ERP資料!$A:$A, (MATCH(148, 輔助計算!$G$2:$G$801, 0)+1)), ""), ""), "")</f>
        <v/>
      </c>
      <c r="B149" s="10">
        <f>IFERROR(IF(AND(IFERROR(INDEX(ERP資料!$A:$A, (MATCH(148, 輔助計算!$G$2:$G$801, 0)+1)), "")&lt;&gt;"", IFERROR(INDEX(ERP資料!$A:$A, (MATCH(148, 輔助計算!$G$2:$G$801, 0)+1)), "")&lt;&gt;IFERROR(INDEX(ERP資料!$A:$A, MATCH(147, 輔助計算!$G$2:$G$801, 0)+1), "")), INDEX(ERP資料!$S:$S, (MATCH(148, 輔助計算!$G$2:$G$801, 0)+1)), ""), "")</f>
        <v/>
      </c>
      <c r="C149" s="19">
        <f>IFERROR(IF(AND(IFERROR(INDEX(ERP資料!$A:$A, (MATCH(148, 輔助計算!$G$2:$G$801, 0)+1)), "")&lt;&gt;"", IFERROR(INDEX(ERP資料!$A:$A, (MATCH(148, 輔助計算!$G$2:$G$801, 0)+1)), "")&lt;&gt;IFERROR(INDEX(ERP資料!$A:$A, MATCH(147, 輔助計算!$G$2:$G$801, 0)+1), "")), IFERROR(VLOOKUP(LEFT(INDEX(ERP資料!$S:$S, (MATCH(148, 輔助計算!$G$2:$G$801, 0)+1)), 4), 紙管對照表!$A:$C, 3, FALSE), ""), ""), "")</f>
        <v/>
      </c>
      <c r="D149" s="16" t="n"/>
      <c r="E149" s="10">
        <f>IFERROR(IF(INDEX(ERP資料!$H:$H, (MATCH(148, 輔助計算!$G$2:$G$801, 0)+1))="","",INDEX(ERP資料!$H:$H, (MATCH(148, 輔助計算!$G$2:$G$801, 0)+1))), "")</f>
        <v/>
      </c>
      <c r="F149" s="10">
        <f>IFERROR(IF(INDEX(ERP資料!$E:$E, (MATCH(148, 輔助計算!$G$2:$G$801, 0)+1))="","",TRIM(INDEX(ERP資料!$E:$E, (MATCH(148, 輔助計算!$G$2:$G$801, 0)+1)))), "")</f>
        <v/>
      </c>
      <c r="G149" s="10">
        <f>IFERROR(IF(INDEX(ERP資料!$F:$F, (MATCH(148, 輔助計算!$G$2:$G$801, 0)+1))="","",INDEX(ERP資料!$F:$F, (MATCH(148, 輔助計算!$G$2:$G$801, 0)+1))), "")</f>
        <v/>
      </c>
      <c r="H149" s="10">
        <f>IFERROR(IF(INDEX(ERP資料!$G:$G, (MATCH(148, 輔助計算!$G$2:$G$801, 0)+1))="","",INDEX(ERP資料!$G:$G, (MATCH(148, 輔助計算!$G$2:$G$801, 0)+1))), "")</f>
        <v/>
      </c>
      <c r="I149" s="15">
        <f>IFERROR(INDEX(輔助計算!$D:$D, (MATCH(148, 輔助計算!$G$2:$G$801, 0)+1)), "")</f>
        <v/>
      </c>
      <c r="J149" s="15">
        <f>IFERROR(IF(AND(INDEX(輔助計算!$D:$D, (MATCH(148, 輔助計算!$G$2:$G$801, 0)+1))&lt;&gt;"", INDEX(ERP資料!$G:$G, (MATCH(148, 輔助計算!$G$2:$G$801, 0)+1))&lt;&gt;""), TRIM(IF(INT(INDEX(輔助計算!$D:$D, (MATCH(148, 輔助計算!$G$2:$G$801, 0)+1))/IF(INDEX(ERP資料!$G:$G, (MATCH(148, 輔助計算!$G$2:$G$801, 0)+1))&lt;100, IF(INDEX(ERP資料!$G:$G, (MATCH(148, 輔助計算!$G$2:$G$801, 0)+1))&lt;=31,3,IF(INDEX(ERP資料!$G:$G, (MATCH(148, 輔助計算!$G$2:$G$801, 0)+1))&lt;=46.5,2,1)), IF(INDEX(ERP資料!$G:$G, (MATCH(148, 輔助計算!$G$2:$G$801, 0)+1))&lt;=790,3,IF(INDEX(ERP資料!$G:$G, (MATCH(148, 輔助計算!$G$2:$G$801, 0)+1))&lt;=1181,2,1))))&gt;0, IF(IF(INDEX(ERP資料!$G:$G, (MATCH(148, 輔助計算!$G$2:$G$801, 0)+1))&lt;100, IF(INDEX(ERP資料!$G:$G, (MATCH(148, 輔助計算!$G$2:$G$801, 0)+1))&lt;=31,3,IF(INDEX(ERP資料!$G:$G, (MATCH(148, 輔助計算!$G$2:$G$801, 0)+1))&lt;=46.5,2,1)), IF(INDEX(ERP資料!$G:$G, (MATCH(148, 輔助計算!$G$2:$G$801, 0)+1))&lt;=790,3,IF(INDEX(ERP資料!$G:$G, (MATCH(148, 輔助計算!$G$2:$G$801, 0)+1))&lt;=1181,2,1)))=1,TEXT(INDEX(ERP資料!$G:$G, (MATCH(148, 輔助計算!$G$2:$G$801, 0)+1)),"0.##"),IF(IF(INDEX(ERP資料!$G:$G, (MATCH(148, 輔助計算!$G$2:$G$801, 0)+1))&lt;100, IF(INDEX(ERP資料!$G:$G, (MATCH(148, 輔助計算!$G$2:$G$801, 0)+1))&lt;=31,3,IF(INDEX(ERP資料!$G:$G, (MATCH(148, 輔助計算!$G$2:$G$801, 0)+1))&lt;=46.5,2,1)), IF(INDEX(ERP資料!$G:$G, (MATCH(148, 輔助計算!$G$2:$G$801, 0)+1))&lt;=790,3,IF(INDEX(ERP資料!$G:$G, (MATCH(148, 輔助計算!$G$2:$G$801, 0)+1))&lt;=1181,2,1)))=2,TEXT(INDEX(ERP資料!$G:$G, (MATCH(148, 輔助計算!$G$2:$G$801, 0)+1)),"0.##")&amp;"+"&amp;TEXT(INDEX(ERP資料!$G:$G, (MATCH(148, 輔助計算!$G$2:$G$801, 0)+1)),"0.##"),TEXT(INDEX(ERP資料!$G:$G, (MATCH(148, 輔助計算!$G$2:$G$801, 0)+1)),"0.##")&amp;"+"&amp;TEXT(INDEX(ERP資料!$G:$G, (MATCH(148, 輔助計算!$G$2:$G$801, 0)+1)),"0.##")&amp;"+"&amp;TEXT(INDEX(ERP資料!$G:$G, (MATCH(148, 輔助計算!$G$2:$G$801, 0)+1)),"0.##")))&amp;"-"&amp;INT(INDEX(輔助計算!$D:$D, (MATCH(148, 輔助計算!$G$2:$G$801, 0)+1))/IF(INDEX(ERP資料!$G:$G, (MATCH(148, 輔助計算!$G$2:$G$801, 0)+1))&lt;100, IF(INDEX(ERP資料!$G:$G, (MATCH(148, 輔助計算!$G$2:$G$801, 0)+1))&lt;=31,3,IF(INDEX(ERP資料!$G:$G, (MATCH(148, 輔助計算!$G$2:$G$801, 0)+1))&lt;=46.5,2,1)), IF(INDEX(ERP資料!$G:$G, (MATCH(148, 輔助計算!$G$2:$G$801, 0)+1))&lt;=790,3,IF(INDEX(ERP資料!$G:$G, (MATCH(148, 輔助計算!$G$2:$G$801, 0)+1))&lt;=1181,2,1)))), "")&amp;IF(AND(IF(INT(INDEX(輔助計算!$D:$D, (MATCH(148, 輔助計算!$G$2:$G$801, 0)+1))/IF(INDEX(ERP資料!$G:$G, (MATCH(148, 輔助計算!$G$2:$G$801, 0)+1))&lt;100, IF(INDEX(ERP資料!$G:$G, (MATCH(148, 輔助計算!$G$2:$G$801, 0)+1))&lt;=31,3,IF(INDEX(ERP資料!$G:$G, (MATCH(148, 輔助計算!$G$2:$G$801, 0)+1))&lt;=46.5,2,1)), IF(INDEX(ERP資料!$G:$G, (MATCH(148, 輔助計算!$G$2:$G$801, 0)+1))&lt;=790,3,IF(INDEX(ERP資料!$G:$G, (MATCH(148, 輔助計算!$G$2:$G$801, 0)+1))&lt;=1181,2,1))))&gt;0, IF(IF(INDEX(ERP資料!$G:$G, (MATCH(148, 輔助計算!$G$2:$G$801, 0)+1))&lt;100, IF(INDEX(ERP資料!$G:$G, (MATCH(148, 輔助計算!$G$2:$G$801, 0)+1))&lt;=31,3,IF(INDEX(ERP資料!$G:$G, (MATCH(148, 輔助計算!$G$2:$G$801, 0)+1))&lt;=46.5,2,1)), IF(INDEX(ERP資料!$G:$G, (MATCH(148, 輔助計算!$G$2:$G$801, 0)+1))&lt;=790,3,IF(INDEX(ERP資料!$G:$G, (MATCH(148, 輔助計算!$G$2:$G$801, 0)+1))&lt;=1181,2,1)))=1,TEXT(INDEX(ERP資料!$G:$G, (MATCH(148, 輔助計算!$G$2:$G$801, 0)+1)),"0.##"),IF(IF(INDEX(ERP資料!$G:$G, (MATCH(148, 輔助計算!$G$2:$G$801, 0)+1))&lt;100, IF(INDEX(ERP資料!$G:$G, (MATCH(148, 輔助計算!$G$2:$G$801, 0)+1))&lt;=31,3,IF(INDEX(ERP資料!$G:$G, (MATCH(148, 輔助計算!$G$2:$G$801, 0)+1))&lt;=46.5,2,1)), IF(INDEX(ERP資料!$G:$G, (MATCH(148, 輔助計算!$G$2:$G$801, 0)+1))&lt;=790,3,IF(INDEX(ERP資料!$G:$G, (MATCH(148, 輔助計算!$G$2:$G$801, 0)+1))&lt;=1181,2,1)))=2,TEXT(INDEX(ERP資料!$G:$G, (MATCH(148, 輔助計算!$G$2:$G$801, 0)+1)),"0.##")&amp;"+"&amp;TEXT(INDEX(ERP資料!$G:$G, (MATCH(148, 輔助計算!$G$2:$G$801, 0)+1)),"0.##"),TEXT(INDEX(ERP資料!$G:$G, (MATCH(148, 輔助計算!$G$2:$G$801, 0)+1)),"0.##")&amp;"+"&amp;TEXT(INDEX(ERP資料!$G:$G, (MATCH(148, 輔助計算!$G$2:$G$801, 0)+1)),"0.##")&amp;"+"&amp;TEXT(INDEX(ERP資料!$G:$G, (MATCH(148, 輔助計算!$G$2:$G$801, 0)+1)),"0.##")))&amp;"-"&amp;INT(INDEX(輔助計算!$D:$D, (MATCH(148, 輔助計算!$G$2:$G$801, 0)+1))/IF(INDEX(ERP資料!$G:$G, (MATCH(148, 輔助計算!$G$2:$G$801, 0)+1))&lt;100, IF(INDEX(ERP資料!$G:$G, (MATCH(148, 輔助計算!$G$2:$G$801, 0)+1))&lt;=31,3,IF(INDEX(ERP資料!$G:$G, (MATCH(148, 輔助計算!$G$2:$G$801, 0)+1))&lt;=46.5,2,1)), IF(INDEX(ERP資料!$G:$G, (MATCH(148, 輔助計算!$G$2:$G$801, 0)+1))&lt;=790,3,IF(INDEX(ERP資料!$G:$G, (MATCH(148, 輔助計算!$G$2:$G$801, 0)+1))&lt;=1181,2,1)))), "")&lt;&gt;"",IF(MOD(INDEX(輔助計算!$D:$D, (MATCH(148, 輔助計算!$G$2:$G$801, 0)+1)),IF(INDEX(ERP資料!$G:$G, (MATCH(148, 輔助計算!$G$2:$G$801, 0)+1))&lt;100, IF(INDEX(ERP資料!$G:$G, (MATCH(148, 輔助計算!$G$2:$G$801, 0)+1))&lt;=31,3,IF(INDEX(ERP資料!$G:$G, (MATCH(148, 輔助計算!$G$2:$G$801, 0)+1))&lt;=46.5,2,1)), IF(INDEX(ERP資料!$G:$G, (MATCH(148, 輔助計算!$G$2:$G$801, 0)+1))&lt;=790,3,IF(INDEX(ERP資料!$G:$G, (MATCH(148, 輔助計算!$G$2:$G$801, 0)+1))&lt;=1181,2,1))))=0,"",IF(MOD(INDEX(輔助計算!$D:$D, (MATCH(148, 輔助計算!$G$2:$G$801, 0)+1)),IF(INDEX(ERP資料!$G:$G, (MATCH(148, 輔助計算!$G$2:$G$801, 0)+1))&lt;100, IF(INDEX(ERP資料!$G:$G, (MATCH(148, 輔助計算!$G$2:$G$801, 0)+1))&lt;=31,3,IF(INDEX(ERP資料!$G:$G, (MATCH(148, 輔助計算!$G$2:$G$801, 0)+1))&lt;=46.5,2,1)), IF(INDEX(ERP資料!$G:$G, (MATCH(148, 輔助計算!$G$2:$G$801, 0)+1))&lt;=790,3,IF(INDEX(ERP資料!$G:$G, (MATCH(148, 輔助計算!$G$2:$G$801, 0)+1))&lt;=1181,2,1))))=0,"",IF(MOD(INDEX(輔助計算!$D:$D, (MATCH(148, 輔助計算!$G$2:$G$801, 0)+1)),IF(INDEX(ERP資料!$G:$G, (MATCH(148, 輔助計算!$G$2:$G$801, 0)+1))&lt;100, IF(INDEX(ERP資料!$G:$G, (MATCH(148, 輔助計算!$G$2:$G$801, 0)+1))&lt;=31,3,IF(INDEX(ERP資料!$G:$G, (MATCH(148, 輔助計算!$G$2:$G$801, 0)+1))&lt;=46.5,2,1)), IF(INDEX(ERP資料!$G:$G, (MATCH(148, 輔助計算!$G$2:$G$801, 0)+1))&lt;=790,3,IF(INDEX(ERP資料!$G:$G, (MATCH(148, 輔助計算!$G$2:$G$801, 0)+1))&lt;=1181,2,1))))=1,TEXT(INDEX(ERP資料!$G:$G, (MATCH(148, 輔助計算!$G$2:$G$801, 0)+1)),"0.##"),IF(MOD(INDEX(輔助計算!$D:$D, (MATCH(148, 輔助計算!$G$2:$G$801, 0)+1)),IF(INDEX(ERP資料!$G:$G, (MATCH(148, 輔助計算!$G$2:$G$801, 0)+1))&lt;100, IF(INDEX(ERP資料!$G:$G, (MATCH(148, 輔助計算!$G$2:$G$801, 0)+1))&lt;=31,3,IF(INDEX(ERP資料!$G:$G, (MATCH(148, 輔助計算!$G$2:$G$801, 0)+1))&lt;=46.5,2,1)), IF(INDEX(ERP資料!$G:$G, (MATCH(148, 輔助計算!$G$2:$G$801, 0)+1))&lt;=790,3,IF(INDEX(ERP資料!$G:$G, (MATCH(148, 輔助計算!$G$2:$G$801, 0)+1))&lt;=1181,2,1))))=2,TEXT(INDEX(ERP資料!$G:$G, (MATCH(148, 輔助計算!$G$2:$G$801, 0)+1)),"0.##")&amp;"+"&amp;TEXT(INDEX(ERP資料!$G:$G, (MATCH(148, 輔助計算!$G$2:$G$801, 0)+1)),"0.##"),TEXT(INDEX(ERP資料!$G:$G, (MATCH(148, 輔助計算!$G$2:$G$801, 0)+1)),"0.##")&amp;"+"&amp;TEXT(INDEX(ERP資料!$G:$G, (MATCH(148, 輔助計算!$G$2:$G$801, 0)+1)),"0.##")&amp;"+"&amp;TEXT(INDEX(ERP資料!$G:$G, (MATCH(148, 輔助計算!$G$2:$G$801, 0)+1)),"0.##"))))&amp;"-1")&lt;&gt;""),"  ","")&amp;IF(MOD(INDEX(輔助計算!$D:$D, (MATCH(148, 輔助計算!$G$2:$G$801, 0)+1)),IF(INDEX(ERP資料!$G:$G, (MATCH(148, 輔助計算!$G$2:$G$801, 0)+1))&lt;100, IF(INDEX(ERP資料!$G:$G, (MATCH(148, 輔助計算!$G$2:$G$801, 0)+1))&lt;=31,3,IF(INDEX(ERP資料!$G:$G, (MATCH(148, 輔助計算!$G$2:$G$801, 0)+1))&lt;=46.5,2,1)), IF(INDEX(ERP資料!$G:$G, (MATCH(148, 輔助計算!$G$2:$G$801, 0)+1))&lt;=790,3,IF(INDEX(ERP資料!$G:$G, (MATCH(148, 輔助計算!$G$2:$G$801, 0)+1))&lt;=1181,2,1))))=0,"",IF(MOD(INDEX(輔助計算!$D:$D, (MATCH(148, 輔助計算!$G$2:$G$801, 0)+1)),IF(INDEX(ERP資料!$G:$G, (MATCH(148, 輔助計算!$G$2:$G$801, 0)+1))&lt;100, IF(INDEX(ERP資料!$G:$G, (MATCH(148, 輔助計算!$G$2:$G$801, 0)+1))&lt;=31,3,IF(INDEX(ERP資料!$G:$G, (MATCH(148, 輔助計算!$G$2:$G$801, 0)+1))&lt;=46.5,2,1)), IF(INDEX(ERP資料!$G:$G, (MATCH(148, 輔助計算!$G$2:$G$801, 0)+1))&lt;=790,3,IF(INDEX(ERP資料!$G:$G, (MATCH(148, 輔助計算!$G$2:$G$801, 0)+1))&lt;=1181,2,1))))=0,"",IF(MOD(INDEX(輔助計算!$D:$D, (MATCH(148, 輔助計算!$G$2:$G$801, 0)+1)),IF(INDEX(ERP資料!$G:$G, (MATCH(148, 輔助計算!$G$2:$G$801, 0)+1))&lt;100, IF(INDEX(ERP資料!$G:$G, (MATCH(148, 輔助計算!$G$2:$G$801, 0)+1))&lt;=31,3,IF(INDEX(ERP資料!$G:$G, (MATCH(148, 輔助計算!$G$2:$G$801, 0)+1))&lt;=46.5,2,1)), IF(INDEX(ERP資料!$G:$G, (MATCH(148, 輔助計算!$G$2:$G$801, 0)+1))&lt;=790,3,IF(INDEX(ERP資料!$G:$G, (MATCH(148, 輔助計算!$G$2:$G$801, 0)+1))&lt;=1181,2,1))))=1,TEXT(INDEX(ERP資料!$G:$G, (MATCH(148, 輔助計算!$G$2:$G$801, 0)+1)),"0.##"),IF(MOD(INDEX(輔助計算!$D:$D, (MATCH(148, 輔助計算!$G$2:$G$801, 0)+1)),IF(INDEX(ERP資料!$G:$G, (MATCH(148, 輔助計算!$G$2:$G$801, 0)+1))&lt;100, IF(INDEX(ERP資料!$G:$G, (MATCH(148, 輔助計算!$G$2:$G$801, 0)+1))&lt;=31,3,IF(INDEX(ERP資料!$G:$G, (MATCH(148, 輔助計算!$G$2:$G$801, 0)+1))&lt;=46.5,2,1)), IF(INDEX(ERP資料!$G:$G, (MATCH(148, 輔助計算!$G$2:$G$801, 0)+1))&lt;=790,3,IF(INDEX(ERP資料!$G:$G, (MATCH(148, 輔助計算!$G$2:$G$801, 0)+1))&lt;=1181,2,1))))=2,TEXT(INDEX(ERP資料!$G:$G, (MATCH(148, 輔助計算!$G$2:$G$801, 0)+1)),"0.##")&amp;"+"&amp;TEXT(INDEX(ERP資料!$G:$G, (MATCH(148, 輔助計算!$G$2:$G$801, 0)+1)),"0.##"),TEXT(INDEX(ERP資料!$G:$G, (MATCH(148, 輔助計算!$G$2:$G$801, 0)+1)),"0.##")&amp;"+"&amp;TEXT(INDEX(ERP資料!$G:$G, (MATCH(148, 輔助計算!$G$2:$G$801, 0)+1)),"0.##")&amp;"+"&amp;TEXT(INDEX(ERP資料!$G:$G, (MATCH(148, 輔助計算!$G$2:$G$801, 0)+1)),"0.##"))))&amp;"-1")), ""), "")</f>
        <v/>
      </c>
      <c r="K149" s="16" t="n"/>
      <c r="L149" s="14">
        <f>IFERROR(IF(AND(IFERROR(INDEX(ERP資料!$A:$A, (MATCH(148, 輔助計算!$G$2:$G$801, 0)+1)), "")&lt;&gt;"", IFERROR(INDEX(ERP資料!$A:$A, (MATCH(148, 輔助計算!$G$2:$G$801, 0)+1)), "")&lt;&gt;IFERROR(INDEX(ERP資料!$A:$A, MATCH(147, 輔助計算!$G$2:$G$801, 0)+1), "")), INDEX(ERP資料!$B:$B, (MATCH(148, 輔助計算!$G$2:$G$801, 0)+1)), ""), "")</f>
        <v/>
      </c>
      <c r="M149" s="17" t="n"/>
    </row>
    <row r="150">
      <c r="A150" s="10">
        <f>IFERROR(IF(AND(IFERROR(INDEX(ERP資料!$A:$A, (MATCH(149, 輔助計算!$G$2:$G$801, 0)+1)), "")&lt;&gt;"", IFERROR(INDEX(ERP資料!$A:$A, (MATCH(149, 輔助計算!$G$2:$G$801, 0)+1)), "")&lt;&gt;IFERROR(INDEX(ERP資料!$A:$A, MATCH(148, 輔助計算!$G$2:$G$801, 0)+1), "")), IFERROR(INDEX(ERP資料!$A:$A, (MATCH(149, 輔助計算!$G$2:$G$801, 0)+1)), ""), ""), "")</f>
        <v/>
      </c>
      <c r="B150" s="10">
        <f>IFERROR(IF(AND(IFERROR(INDEX(ERP資料!$A:$A, (MATCH(149, 輔助計算!$G$2:$G$801, 0)+1)), "")&lt;&gt;"", IFERROR(INDEX(ERP資料!$A:$A, (MATCH(149, 輔助計算!$G$2:$G$801, 0)+1)), "")&lt;&gt;IFERROR(INDEX(ERP資料!$A:$A, MATCH(148, 輔助計算!$G$2:$G$801, 0)+1), "")), INDEX(ERP資料!$S:$S, (MATCH(149, 輔助計算!$G$2:$G$801, 0)+1)), ""), "")</f>
        <v/>
      </c>
      <c r="C150" s="19">
        <f>IFERROR(IF(AND(IFERROR(INDEX(ERP資料!$A:$A, (MATCH(149, 輔助計算!$G$2:$G$801, 0)+1)), "")&lt;&gt;"", IFERROR(INDEX(ERP資料!$A:$A, (MATCH(149, 輔助計算!$G$2:$G$801, 0)+1)), "")&lt;&gt;IFERROR(INDEX(ERP資料!$A:$A, MATCH(148, 輔助計算!$G$2:$G$801, 0)+1), "")), IFERROR(VLOOKUP(LEFT(INDEX(ERP資料!$S:$S, (MATCH(149, 輔助計算!$G$2:$G$801, 0)+1)), 4), 紙管對照表!$A:$C, 3, FALSE), ""), ""), "")</f>
        <v/>
      </c>
      <c r="D150" s="16" t="n"/>
      <c r="E150" s="10">
        <f>IFERROR(IF(INDEX(ERP資料!$H:$H, (MATCH(149, 輔助計算!$G$2:$G$801, 0)+1))="","",INDEX(ERP資料!$H:$H, (MATCH(149, 輔助計算!$G$2:$G$801, 0)+1))), "")</f>
        <v/>
      </c>
      <c r="F150" s="10">
        <f>IFERROR(IF(INDEX(ERP資料!$E:$E, (MATCH(149, 輔助計算!$G$2:$G$801, 0)+1))="","",TRIM(INDEX(ERP資料!$E:$E, (MATCH(149, 輔助計算!$G$2:$G$801, 0)+1)))), "")</f>
        <v/>
      </c>
      <c r="G150" s="10">
        <f>IFERROR(IF(INDEX(ERP資料!$F:$F, (MATCH(149, 輔助計算!$G$2:$G$801, 0)+1))="","",INDEX(ERP資料!$F:$F, (MATCH(149, 輔助計算!$G$2:$G$801, 0)+1))), "")</f>
        <v/>
      </c>
      <c r="H150" s="10">
        <f>IFERROR(IF(INDEX(ERP資料!$G:$G, (MATCH(149, 輔助計算!$G$2:$G$801, 0)+1))="","",INDEX(ERP資料!$G:$G, (MATCH(149, 輔助計算!$G$2:$G$801, 0)+1))), "")</f>
        <v/>
      </c>
      <c r="I150" s="15">
        <f>IFERROR(INDEX(輔助計算!$D:$D, (MATCH(149, 輔助計算!$G$2:$G$801, 0)+1)), "")</f>
        <v/>
      </c>
      <c r="J150" s="15">
        <f>IFERROR(IF(AND(INDEX(輔助計算!$D:$D, (MATCH(149, 輔助計算!$G$2:$G$801, 0)+1))&lt;&gt;"", INDEX(ERP資料!$G:$G, (MATCH(149, 輔助計算!$G$2:$G$801, 0)+1))&lt;&gt;""), TRIM(IF(INT(INDEX(輔助計算!$D:$D, (MATCH(149, 輔助計算!$G$2:$G$801, 0)+1))/IF(INDEX(ERP資料!$G:$G, (MATCH(149, 輔助計算!$G$2:$G$801, 0)+1))&lt;100, IF(INDEX(ERP資料!$G:$G, (MATCH(149, 輔助計算!$G$2:$G$801, 0)+1))&lt;=31,3,IF(INDEX(ERP資料!$G:$G, (MATCH(149, 輔助計算!$G$2:$G$801, 0)+1))&lt;=46.5,2,1)), IF(INDEX(ERP資料!$G:$G, (MATCH(149, 輔助計算!$G$2:$G$801, 0)+1))&lt;=790,3,IF(INDEX(ERP資料!$G:$G, (MATCH(149, 輔助計算!$G$2:$G$801, 0)+1))&lt;=1181,2,1))))&gt;0, IF(IF(INDEX(ERP資料!$G:$G, (MATCH(149, 輔助計算!$G$2:$G$801, 0)+1))&lt;100, IF(INDEX(ERP資料!$G:$G, (MATCH(149, 輔助計算!$G$2:$G$801, 0)+1))&lt;=31,3,IF(INDEX(ERP資料!$G:$G, (MATCH(149, 輔助計算!$G$2:$G$801, 0)+1))&lt;=46.5,2,1)), IF(INDEX(ERP資料!$G:$G, (MATCH(149, 輔助計算!$G$2:$G$801, 0)+1))&lt;=790,3,IF(INDEX(ERP資料!$G:$G, (MATCH(149, 輔助計算!$G$2:$G$801, 0)+1))&lt;=1181,2,1)))=1,TEXT(INDEX(ERP資料!$G:$G, (MATCH(149, 輔助計算!$G$2:$G$801, 0)+1)),"0.##"),IF(IF(INDEX(ERP資料!$G:$G, (MATCH(149, 輔助計算!$G$2:$G$801, 0)+1))&lt;100, IF(INDEX(ERP資料!$G:$G, (MATCH(149, 輔助計算!$G$2:$G$801, 0)+1))&lt;=31,3,IF(INDEX(ERP資料!$G:$G, (MATCH(149, 輔助計算!$G$2:$G$801, 0)+1))&lt;=46.5,2,1)), IF(INDEX(ERP資料!$G:$G, (MATCH(149, 輔助計算!$G$2:$G$801, 0)+1))&lt;=790,3,IF(INDEX(ERP資料!$G:$G, (MATCH(149, 輔助計算!$G$2:$G$801, 0)+1))&lt;=1181,2,1)))=2,TEXT(INDEX(ERP資料!$G:$G, (MATCH(149, 輔助計算!$G$2:$G$801, 0)+1)),"0.##")&amp;"+"&amp;TEXT(INDEX(ERP資料!$G:$G, (MATCH(149, 輔助計算!$G$2:$G$801, 0)+1)),"0.##"),TEXT(INDEX(ERP資料!$G:$G, (MATCH(149, 輔助計算!$G$2:$G$801, 0)+1)),"0.##")&amp;"+"&amp;TEXT(INDEX(ERP資料!$G:$G, (MATCH(149, 輔助計算!$G$2:$G$801, 0)+1)),"0.##")&amp;"+"&amp;TEXT(INDEX(ERP資料!$G:$G, (MATCH(149, 輔助計算!$G$2:$G$801, 0)+1)),"0.##")))&amp;"-"&amp;INT(INDEX(輔助計算!$D:$D, (MATCH(149, 輔助計算!$G$2:$G$801, 0)+1))/IF(INDEX(ERP資料!$G:$G, (MATCH(149, 輔助計算!$G$2:$G$801, 0)+1))&lt;100, IF(INDEX(ERP資料!$G:$G, (MATCH(149, 輔助計算!$G$2:$G$801, 0)+1))&lt;=31,3,IF(INDEX(ERP資料!$G:$G, (MATCH(149, 輔助計算!$G$2:$G$801, 0)+1))&lt;=46.5,2,1)), IF(INDEX(ERP資料!$G:$G, (MATCH(149, 輔助計算!$G$2:$G$801, 0)+1))&lt;=790,3,IF(INDEX(ERP資料!$G:$G, (MATCH(149, 輔助計算!$G$2:$G$801, 0)+1))&lt;=1181,2,1)))), "")&amp;IF(AND(IF(INT(INDEX(輔助計算!$D:$D, (MATCH(149, 輔助計算!$G$2:$G$801, 0)+1))/IF(INDEX(ERP資料!$G:$G, (MATCH(149, 輔助計算!$G$2:$G$801, 0)+1))&lt;100, IF(INDEX(ERP資料!$G:$G, (MATCH(149, 輔助計算!$G$2:$G$801, 0)+1))&lt;=31,3,IF(INDEX(ERP資料!$G:$G, (MATCH(149, 輔助計算!$G$2:$G$801, 0)+1))&lt;=46.5,2,1)), IF(INDEX(ERP資料!$G:$G, (MATCH(149, 輔助計算!$G$2:$G$801, 0)+1))&lt;=790,3,IF(INDEX(ERP資料!$G:$G, (MATCH(149, 輔助計算!$G$2:$G$801, 0)+1))&lt;=1181,2,1))))&gt;0, IF(IF(INDEX(ERP資料!$G:$G, (MATCH(149, 輔助計算!$G$2:$G$801, 0)+1))&lt;100, IF(INDEX(ERP資料!$G:$G, (MATCH(149, 輔助計算!$G$2:$G$801, 0)+1))&lt;=31,3,IF(INDEX(ERP資料!$G:$G, (MATCH(149, 輔助計算!$G$2:$G$801, 0)+1))&lt;=46.5,2,1)), IF(INDEX(ERP資料!$G:$G, (MATCH(149, 輔助計算!$G$2:$G$801, 0)+1))&lt;=790,3,IF(INDEX(ERP資料!$G:$G, (MATCH(149, 輔助計算!$G$2:$G$801, 0)+1))&lt;=1181,2,1)))=1,TEXT(INDEX(ERP資料!$G:$G, (MATCH(149, 輔助計算!$G$2:$G$801, 0)+1)),"0.##"),IF(IF(INDEX(ERP資料!$G:$G, (MATCH(149, 輔助計算!$G$2:$G$801, 0)+1))&lt;100, IF(INDEX(ERP資料!$G:$G, (MATCH(149, 輔助計算!$G$2:$G$801, 0)+1))&lt;=31,3,IF(INDEX(ERP資料!$G:$G, (MATCH(149, 輔助計算!$G$2:$G$801, 0)+1))&lt;=46.5,2,1)), IF(INDEX(ERP資料!$G:$G, (MATCH(149, 輔助計算!$G$2:$G$801, 0)+1))&lt;=790,3,IF(INDEX(ERP資料!$G:$G, (MATCH(149, 輔助計算!$G$2:$G$801, 0)+1))&lt;=1181,2,1)))=2,TEXT(INDEX(ERP資料!$G:$G, (MATCH(149, 輔助計算!$G$2:$G$801, 0)+1)),"0.##")&amp;"+"&amp;TEXT(INDEX(ERP資料!$G:$G, (MATCH(149, 輔助計算!$G$2:$G$801, 0)+1)),"0.##"),TEXT(INDEX(ERP資料!$G:$G, (MATCH(149, 輔助計算!$G$2:$G$801, 0)+1)),"0.##")&amp;"+"&amp;TEXT(INDEX(ERP資料!$G:$G, (MATCH(149, 輔助計算!$G$2:$G$801, 0)+1)),"0.##")&amp;"+"&amp;TEXT(INDEX(ERP資料!$G:$G, (MATCH(149, 輔助計算!$G$2:$G$801, 0)+1)),"0.##")))&amp;"-"&amp;INT(INDEX(輔助計算!$D:$D, (MATCH(149, 輔助計算!$G$2:$G$801, 0)+1))/IF(INDEX(ERP資料!$G:$G, (MATCH(149, 輔助計算!$G$2:$G$801, 0)+1))&lt;100, IF(INDEX(ERP資料!$G:$G, (MATCH(149, 輔助計算!$G$2:$G$801, 0)+1))&lt;=31,3,IF(INDEX(ERP資料!$G:$G, (MATCH(149, 輔助計算!$G$2:$G$801, 0)+1))&lt;=46.5,2,1)), IF(INDEX(ERP資料!$G:$G, (MATCH(149, 輔助計算!$G$2:$G$801, 0)+1))&lt;=790,3,IF(INDEX(ERP資料!$G:$G, (MATCH(149, 輔助計算!$G$2:$G$801, 0)+1))&lt;=1181,2,1)))), "")&lt;&gt;"",IF(MOD(INDEX(輔助計算!$D:$D, (MATCH(149, 輔助計算!$G$2:$G$801, 0)+1)),IF(INDEX(ERP資料!$G:$G, (MATCH(149, 輔助計算!$G$2:$G$801, 0)+1))&lt;100, IF(INDEX(ERP資料!$G:$G, (MATCH(149, 輔助計算!$G$2:$G$801, 0)+1))&lt;=31,3,IF(INDEX(ERP資料!$G:$G, (MATCH(149, 輔助計算!$G$2:$G$801, 0)+1))&lt;=46.5,2,1)), IF(INDEX(ERP資料!$G:$G, (MATCH(149, 輔助計算!$G$2:$G$801, 0)+1))&lt;=790,3,IF(INDEX(ERP資料!$G:$G, (MATCH(149, 輔助計算!$G$2:$G$801, 0)+1))&lt;=1181,2,1))))=0,"",IF(MOD(INDEX(輔助計算!$D:$D, (MATCH(149, 輔助計算!$G$2:$G$801, 0)+1)),IF(INDEX(ERP資料!$G:$G, (MATCH(149, 輔助計算!$G$2:$G$801, 0)+1))&lt;100, IF(INDEX(ERP資料!$G:$G, (MATCH(149, 輔助計算!$G$2:$G$801, 0)+1))&lt;=31,3,IF(INDEX(ERP資料!$G:$G, (MATCH(149, 輔助計算!$G$2:$G$801, 0)+1))&lt;=46.5,2,1)), IF(INDEX(ERP資料!$G:$G, (MATCH(149, 輔助計算!$G$2:$G$801, 0)+1))&lt;=790,3,IF(INDEX(ERP資料!$G:$G, (MATCH(149, 輔助計算!$G$2:$G$801, 0)+1))&lt;=1181,2,1))))=0,"",IF(MOD(INDEX(輔助計算!$D:$D, (MATCH(149, 輔助計算!$G$2:$G$801, 0)+1)),IF(INDEX(ERP資料!$G:$G, (MATCH(149, 輔助計算!$G$2:$G$801, 0)+1))&lt;100, IF(INDEX(ERP資料!$G:$G, (MATCH(149, 輔助計算!$G$2:$G$801, 0)+1))&lt;=31,3,IF(INDEX(ERP資料!$G:$G, (MATCH(149, 輔助計算!$G$2:$G$801, 0)+1))&lt;=46.5,2,1)), IF(INDEX(ERP資料!$G:$G, (MATCH(149, 輔助計算!$G$2:$G$801, 0)+1))&lt;=790,3,IF(INDEX(ERP資料!$G:$G, (MATCH(149, 輔助計算!$G$2:$G$801, 0)+1))&lt;=1181,2,1))))=1,TEXT(INDEX(ERP資料!$G:$G, (MATCH(149, 輔助計算!$G$2:$G$801, 0)+1)),"0.##"),IF(MOD(INDEX(輔助計算!$D:$D, (MATCH(149, 輔助計算!$G$2:$G$801, 0)+1)),IF(INDEX(ERP資料!$G:$G, (MATCH(149, 輔助計算!$G$2:$G$801, 0)+1))&lt;100, IF(INDEX(ERP資料!$G:$G, (MATCH(149, 輔助計算!$G$2:$G$801, 0)+1))&lt;=31,3,IF(INDEX(ERP資料!$G:$G, (MATCH(149, 輔助計算!$G$2:$G$801, 0)+1))&lt;=46.5,2,1)), IF(INDEX(ERP資料!$G:$G, (MATCH(149, 輔助計算!$G$2:$G$801, 0)+1))&lt;=790,3,IF(INDEX(ERP資料!$G:$G, (MATCH(149, 輔助計算!$G$2:$G$801, 0)+1))&lt;=1181,2,1))))=2,TEXT(INDEX(ERP資料!$G:$G, (MATCH(149, 輔助計算!$G$2:$G$801, 0)+1)),"0.##")&amp;"+"&amp;TEXT(INDEX(ERP資料!$G:$G, (MATCH(149, 輔助計算!$G$2:$G$801, 0)+1)),"0.##"),TEXT(INDEX(ERP資料!$G:$G, (MATCH(149, 輔助計算!$G$2:$G$801, 0)+1)),"0.##")&amp;"+"&amp;TEXT(INDEX(ERP資料!$G:$G, (MATCH(149, 輔助計算!$G$2:$G$801, 0)+1)),"0.##")&amp;"+"&amp;TEXT(INDEX(ERP資料!$G:$G, (MATCH(149, 輔助計算!$G$2:$G$801, 0)+1)),"0.##"))))&amp;"-1")&lt;&gt;""),"  ","")&amp;IF(MOD(INDEX(輔助計算!$D:$D, (MATCH(149, 輔助計算!$G$2:$G$801, 0)+1)),IF(INDEX(ERP資料!$G:$G, (MATCH(149, 輔助計算!$G$2:$G$801, 0)+1))&lt;100, IF(INDEX(ERP資料!$G:$G, (MATCH(149, 輔助計算!$G$2:$G$801, 0)+1))&lt;=31,3,IF(INDEX(ERP資料!$G:$G, (MATCH(149, 輔助計算!$G$2:$G$801, 0)+1))&lt;=46.5,2,1)), IF(INDEX(ERP資料!$G:$G, (MATCH(149, 輔助計算!$G$2:$G$801, 0)+1))&lt;=790,3,IF(INDEX(ERP資料!$G:$G, (MATCH(149, 輔助計算!$G$2:$G$801, 0)+1))&lt;=1181,2,1))))=0,"",IF(MOD(INDEX(輔助計算!$D:$D, (MATCH(149, 輔助計算!$G$2:$G$801, 0)+1)),IF(INDEX(ERP資料!$G:$G, (MATCH(149, 輔助計算!$G$2:$G$801, 0)+1))&lt;100, IF(INDEX(ERP資料!$G:$G, (MATCH(149, 輔助計算!$G$2:$G$801, 0)+1))&lt;=31,3,IF(INDEX(ERP資料!$G:$G, (MATCH(149, 輔助計算!$G$2:$G$801, 0)+1))&lt;=46.5,2,1)), IF(INDEX(ERP資料!$G:$G, (MATCH(149, 輔助計算!$G$2:$G$801, 0)+1))&lt;=790,3,IF(INDEX(ERP資料!$G:$G, (MATCH(149, 輔助計算!$G$2:$G$801, 0)+1))&lt;=1181,2,1))))=0,"",IF(MOD(INDEX(輔助計算!$D:$D, (MATCH(149, 輔助計算!$G$2:$G$801, 0)+1)),IF(INDEX(ERP資料!$G:$G, (MATCH(149, 輔助計算!$G$2:$G$801, 0)+1))&lt;100, IF(INDEX(ERP資料!$G:$G, (MATCH(149, 輔助計算!$G$2:$G$801, 0)+1))&lt;=31,3,IF(INDEX(ERP資料!$G:$G, (MATCH(149, 輔助計算!$G$2:$G$801, 0)+1))&lt;=46.5,2,1)), IF(INDEX(ERP資料!$G:$G, (MATCH(149, 輔助計算!$G$2:$G$801, 0)+1))&lt;=790,3,IF(INDEX(ERP資料!$G:$G, (MATCH(149, 輔助計算!$G$2:$G$801, 0)+1))&lt;=1181,2,1))))=1,TEXT(INDEX(ERP資料!$G:$G, (MATCH(149, 輔助計算!$G$2:$G$801, 0)+1)),"0.##"),IF(MOD(INDEX(輔助計算!$D:$D, (MATCH(149, 輔助計算!$G$2:$G$801, 0)+1)),IF(INDEX(ERP資料!$G:$G, (MATCH(149, 輔助計算!$G$2:$G$801, 0)+1))&lt;100, IF(INDEX(ERP資料!$G:$G, (MATCH(149, 輔助計算!$G$2:$G$801, 0)+1))&lt;=31,3,IF(INDEX(ERP資料!$G:$G, (MATCH(149, 輔助計算!$G$2:$G$801, 0)+1))&lt;=46.5,2,1)), IF(INDEX(ERP資料!$G:$G, (MATCH(149, 輔助計算!$G$2:$G$801, 0)+1))&lt;=790,3,IF(INDEX(ERP資料!$G:$G, (MATCH(149, 輔助計算!$G$2:$G$801, 0)+1))&lt;=1181,2,1))))=2,TEXT(INDEX(ERP資料!$G:$G, (MATCH(149, 輔助計算!$G$2:$G$801, 0)+1)),"0.##")&amp;"+"&amp;TEXT(INDEX(ERP資料!$G:$G, (MATCH(149, 輔助計算!$G$2:$G$801, 0)+1)),"0.##"),TEXT(INDEX(ERP資料!$G:$G, (MATCH(149, 輔助計算!$G$2:$G$801, 0)+1)),"0.##")&amp;"+"&amp;TEXT(INDEX(ERP資料!$G:$G, (MATCH(149, 輔助計算!$G$2:$G$801, 0)+1)),"0.##")&amp;"+"&amp;TEXT(INDEX(ERP資料!$G:$G, (MATCH(149, 輔助計算!$G$2:$G$801, 0)+1)),"0.##"))))&amp;"-1")), ""), "")</f>
        <v/>
      </c>
      <c r="K150" s="16" t="n"/>
      <c r="L150" s="14">
        <f>IFERROR(IF(AND(IFERROR(INDEX(ERP資料!$A:$A, (MATCH(149, 輔助計算!$G$2:$G$801, 0)+1)), "")&lt;&gt;"", IFERROR(INDEX(ERP資料!$A:$A, (MATCH(149, 輔助計算!$G$2:$G$801, 0)+1)), "")&lt;&gt;IFERROR(INDEX(ERP資料!$A:$A, MATCH(148, 輔助計算!$G$2:$G$801, 0)+1), "")), INDEX(ERP資料!$B:$B, (MATCH(149, 輔助計算!$G$2:$G$801, 0)+1)), ""), "")</f>
        <v/>
      </c>
      <c r="M150" s="17" t="n"/>
    </row>
    <row r="151">
      <c r="A151" s="10">
        <f>IFERROR(IF(AND(IFERROR(INDEX(ERP資料!$A:$A, (MATCH(150, 輔助計算!$G$2:$G$801, 0)+1)), "")&lt;&gt;"", IFERROR(INDEX(ERP資料!$A:$A, (MATCH(150, 輔助計算!$G$2:$G$801, 0)+1)), "")&lt;&gt;IFERROR(INDEX(ERP資料!$A:$A, MATCH(149, 輔助計算!$G$2:$G$801, 0)+1), "")), IFERROR(INDEX(ERP資料!$A:$A, (MATCH(150, 輔助計算!$G$2:$G$801, 0)+1)), ""), ""), "")</f>
        <v/>
      </c>
      <c r="B151" s="10">
        <f>IFERROR(IF(AND(IFERROR(INDEX(ERP資料!$A:$A, (MATCH(150, 輔助計算!$G$2:$G$801, 0)+1)), "")&lt;&gt;"", IFERROR(INDEX(ERP資料!$A:$A, (MATCH(150, 輔助計算!$G$2:$G$801, 0)+1)), "")&lt;&gt;IFERROR(INDEX(ERP資料!$A:$A, MATCH(149, 輔助計算!$G$2:$G$801, 0)+1), "")), INDEX(ERP資料!$S:$S, (MATCH(150, 輔助計算!$G$2:$G$801, 0)+1)), ""), "")</f>
        <v/>
      </c>
      <c r="C151" s="19">
        <f>IFERROR(IF(AND(IFERROR(INDEX(ERP資料!$A:$A, (MATCH(150, 輔助計算!$G$2:$G$801, 0)+1)), "")&lt;&gt;"", IFERROR(INDEX(ERP資料!$A:$A, (MATCH(150, 輔助計算!$G$2:$G$801, 0)+1)), "")&lt;&gt;IFERROR(INDEX(ERP資料!$A:$A, MATCH(149, 輔助計算!$G$2:$G$801, 0)+1), "")), IFERROR(VLOOKUP(LEFT(INDEX(ERP資料!$S:$S, (MATCH(150, 輔助計算!$G$2:$G$801, 0)+1)), 4), 紙管對照表!$A:$C, 3, FALSE), ""), ""), "")</f>
        <v/>
      </c>
      <c r="D151" s="16" t="n"/>
      <c r="E151" s="10">
        <f>IFERROR(IF(INDEX(ERP資料!$H:$H, (MATCH(150, 輔助計算!$G$2:$G$801, 0)+1))="","",INDEX(ERP資料!$H:$H, (MATCH(150, 輔助計算!$G$2:$G$801, 0)+1))), "")</f>
        <v/>
      </c>
      <c r="F151" s="10">
        <f>IFERROR(IF(INDEX(ERP資料!$E:$E, (MATCH(150, 輔助計算!$G$2:$G$801, 0)+1))="","",TRIM(INDEX(ERP資料!$E:$E, (MATCH(150, 輔助計算!$G$2:$G$801, 0)+1)))), "")</f>
        <v/>
      </c>
      <c r="G151" s="10">
        <f>IFERROR(IF(INDEX(ERP資料!$F:$F, (MATCH(150, 輔助計算!$G$2:$G$801, 0)+1))="","",INDEX(ERP資料!$F:$F, (MATCH(150, 輔助計算!$G$2:$G$801, 0)+1))), "")</f>
        <v/>
      </c>
      <c r="H151" s="10">
        <f>IFERROR(IF(INDEX(ERP資料!$G:$G, (MATCH(150, 輔助計算!$G$2:$G$801, 0)+1))="","",INDEX(ERP資料!$G:$G, (MATCH(150, 輔助計算!$G$2:$G$801, 0)+1))), "")</f>
        <v/>
      </c>
      <c r="I151" s="15">
        <f>IFERROR(INDEX(輔助計算!$D:$D, (MATCH(150, 輔助計算!$G$2:$G$801, 0)+1)), "")</f>
        <v/>
      </c>
      <c r="J151" s="15">
        <f>IFERROR(IF(AND(INDEX(輔助計算!$D:$D, (MATCH(150, 輔助計算!$G$2:$G$801, 0)+1))&lt;&gt;"", INDEX(ERP資料!$G:$G, (MATCH(150, 輔助計算!$G$2:$G$801, 0)+1))&lt;&gt;""), TRIM(IF(INT(INDEX(輔助計算!$D:$D, (MATCH(150, 輔助計算!$G$2:$G$801, 0)+1))/IF(INDEX(ERP資料!$G:$G, (MATCH(150, 輔助計算!$G$2:$G$801, 0)+1))&lt;100, IF(INDEX(ERP資料!$G:$G, (MATCH(150, 輔助計算!$G$2:$G$801, 0)+1))&lt;=31,3,IF(INDEX(ERP資料!$G:$G, (MATCH(150, 輔助計算!$G$2:$G$801, 0)+1))&lt;=46.5,2,1)), IF(INDEX(ERP資料!$G:$G, (MATCH(150, 輔助計算!$G$2:$G$801, 0)+1))&lt;=790,3,IF(INDEX(ERP資料!$G:$G, (MATCH(150, 輔助計算!$G$2:$G$801, 0)+1))&lt;=1181,2,1))))&gt;0, IF(IF(INDEX(ERP資料!$G:$G, (MATCH(150, 輔助計算!$G$2:$G$801, 0)+1))&lt;100, IF(INDEX(ERP資料!$G:$G, (MATCH(150, 輔助計算!$G$2:$G$801, 0)+1))&lt;=31,3,IF(INDEX(ERP資料!$G:$G, (MATCH(150, 輔助計算!$G$2:$G$801, 0)+1))&lt;=46.5,2,1)), IF(INDEX(ERP資料!$G:$G, (MATCH(150, 輔助計算!$G$2:$G$801, 0)+1))&lt;=790,3,IF(INDEX(ERP資料!$G:$G, (MATCH(150, 輔助計算!$G$2:$G$801, 0)+1))&lt;=1181,2,1)))=1,TEXT(INDEX(ERP資料!$G:$G, (MATCH(150, 輔助計算!$G$2:$G$801, 0)+1)),"0.##"),IF(IF(INDEX(ERP資料!$G:$G, (MATCH(150, 輔助計算!$G$2:$G$801, 0)+1))&lt;100, IF(INDEX(ERP資料!$G:$G, (MATCH(150, 輔助計算!$G$2:$G$801, 0)+1))&lt;=31,3,IF(INDEX(ERP資料!$G:$G, (MATCH(150, 輔助計算!$G$2:$G$801, 0)+1))&lt;=46.5,2,1)), IF(INDEX(ERP資料!$G:$G, (MATCH(150, 輔助計算!$G$2:$G$801, 0)+1))&lt;=790,3,IF(INDEX(ERP資料!$G:$G, (MATCH(150, 輔助計算!$G$2:$G$801, 0)+1))&lt;=1181,2,1)))=2,TEXT(INDEX(ERP資料!$G:$G, (MATCH(150, 輔助計算!$G$2:$G$801, 0)+1)),"0.##")&amp;"+"&amp;TEXT(INDEX(ERP資料!$G:$G, (MATCH(150, 輔助計算!$G$2:$G$801, 0)+1)),"0.##"),TEXT(INDEX(ERP資料!$G:$G, (MATCH(150, 輔助計算!$G$2:$G$801, 0)+1)),"0.##")&amp;"+"&amp;TEXT(INDEX(ERP資料!$G:$G, (MATCH(150, 輔助計算!$G$2:$G$801, 0)+1)),"0.##")&amp;"+"&amp;TEXT(INDEX(ERP資料!$G:$G, (MATCH(150, 輔助計算!$G$2:$G$801, 0)+1)),"0.##")))&amp;"-"&amp;INT(INDEX(輔助計算!$D:$D, (MATCH(150, 輔助計算!$G$2:$G$801, 0)+1))/IF(INDEX(ERP資料!$G:$G, (MATCH(150, 輔助計算!$G$2:$G$801, 0)+1))&lt;100, IF(INDEX(ERP資料!$G:$G, (MATCH(150, 輔助計算!$G$2:$G$801, 0)+1))&lt;=31,3,IF(INDEX(ERP資料!$G:$G, (MATCH(150, 輔助計算!$G$2:$G$801, 0)+1))&lt;=46.5,2,1)), IF(INDEX(ERP資料!$G:$G, (MATCH(150, 輔助計算!$G$2:$G$801, 0)+1))&lt;=790,3,IF(INDEX(ERP資料!$G:$G, (MATCH(150, 輔助計算!$G$2:$G$801, 0)+1))&lt;=1181,2,1)))), "")&amp;IF(AND(IF(INT(INDEX(輔助計算!$D:$D, (MATCH(150, 輔助計算!$G$2:$G$801, 0)+1))/IF(INDEX(ERP資料!$G:$G, (MATCH(150, 輔助計算!$G$2:$G$801, 0)+1))&lt;100, IF(INDEX(ERP資料!$G:$G, (MATCH(150, 輔助計算!$G$2:$G$801, 0)+1))&lt;=31,3,IF(INDEX(ERP資料!$G:$G, (MATCH(150, 輔助計算!$G$2:$G$801, 0)+1))&lt;=46.5,2,1)), IF(INDEX(ERP資料!$G:$G, (MATCH(150, 輔助計算!$G$2:$G$801, 0)+1))&lt;=790,3,IF(INDEX(ERP資料!$G:$G, (MATCH(150, 輔助計算!$G$2:$G$801, 0)+1))&lt;=1181,2,1))))&gt;0, IF(IF(INDEX(ERP資料!$G:$G, (MATCH(150, 輔助計算!$G$2:$G$801, 0)+1))&lt;100, IF(INDEX(ERP資料!$G:$G, (MATCH(150, 輔助計算!$G$2:$G$801, 0)+1))&lt;=31,3,IF(INDEX(ERP資料!$G:$G, (MATCH(150, 輔助計算!$G$2:$G$801, 0)+1))&lt;=46.5,2,1)), IF(INDEX(ERP資料!$G:$G, (MATCH(150, 輔助計算!$G$2:$G$801, 0)+1))&lt;=790,3,IF(INDEX(ERP資料!$G:$G, (MATCH(150, 輔助計算!$G$2:$G$801, 0)+1))&lt;=1181,2,1)))=1,TEXT(INDEX(ERP資料!$G:$G, (MATCH(150, 輔助計算!$G$2:$G$801, 0)+1)),"0.##"),IF(IF(INDEX(ERP資料!$G:$G, (MATCH(150, 輔助計算!$G$2:$G$801, 0)+1))&lt;100, IF(INDEX(ERP資料!$G:$G, (MATCH(150, 輔助計算!$G$2:$G$801, 0)+1))&lt;=31,3,IF(INDEX(ERP資料!$G:$G, (MATCH(150, 輔助計算!$G$2:$G$801, 0)+1))&lt;=46.5,2,1)), IF(INDEX(ERP資料!$G:$G, (MATCH(150, 輔助計算!$G$2:$G$801, 0)+1))&lt;=790,3,IF(INDEX(ERP資料!$G:$G, (MATCH(150, 輔助計算!$G$2:$G$801, 0)+1))&lt;=1181,2,1)))=2,TEXT(INDEX(ERP資料!$G:$G, (MATCH(150, 輔助計算!$G$2:$G$801, 0)+1)),"0.##")&amp;"+"&amp;TEXT(INDEX(ERP資料!$G:$G, (MATCH(150, 輔助計算!$G$2:$G$801, 0)+1)),"0.##"),TEXT(INDEX(ERP資料!$G:$G, (MATCH(150, 輔助計算!$G$2:$G$801, 0)+1)),"0.##")&amp;"+"&amp;TEXT(INDEX(ERP資料!$G:$G, (MATCH(150, 輔助計算!$G$2:$G$801, 0)+1)),"0.##")&amp;"+"&amp;TEXT(INDEX(ERP資料!$G:$G, (MATCH(150, 輔助計算!$G$2:$G$801, 0)+1)),"0.##")))&amp;"-"&amp;INT(INDEX(輔助計算!$D:$D, (MATCH(150, 輔助計算!$G$2:$G$801, 0)+1))/IF(INDEX(ERP資料!$G:$G, (MATCH(150, 輔助計算!$G$2:$G$801, 0)+1))&lt;100, IF(INDEX(ERP資料!$G:$G, (MATCH(150, 輔助計算!$G$2:$G$801, 0)+1))&lt;=31,3,IF(INDEX(ERP資料!$G:$G, (MATCH(150, 輔助計算!$G$2:$G$801, 0)+1))&lt;=46.5,2,1)), IF(INDEX(ERP資料!$G:$G, (MATCH(150, 輔助計算!$G$2:$G$801, 0)+1))&lt;=790,3,IF(INDEX(ERP資料!$G:$G, (MATCH(150, 輔助計算!$G$2:$G$801, 0)+1))&lt;=1181,2,1)))), "")&lt;&gt;"",IF(MOD(INDEX(輔助計算!$D:$D, (MATCH(150, 輔助計算!$G$2:$G$801, 0)+1)),IF(INDEX(ERP資料!$G:$G, (MATCH(150, 輔助計算!$G$2:$G$801, 0)+1))&lt;100, IF(INDEX(ERP資料!$G:$G, (MATCH(150, 輔助計算!$G$2:$G$801, 0)+1))&lt;=31,3,IF(INDEX(ERP資料!$G:$G, (MATCH(150, 輔助計算!$G$2:$G$801, 0)+1))&lt;=46.5,2,1)), IF(INDEX(ERP資料!$G:$G, (MATCH(150, 輔助計算!$G$2:$G$801, 0)+1))&lt;=790,3,IF(INDEX(ERP資料!$G:$G, (MATCH(150, 輔助計算!$G$2:$G$801, 0)+1))&lt;=1181,2,1))))=0,"",IF(MOD(INDEX(輔助計算!$D:$D, (MATCH(150, 輔助計算!$G$2:$G$801, 0)+1)),IF(INDEX(ERP資料!$G:$G, (MATCH(150, 輔助計算!$G$2:$G$801, 0)+1))&lt;100, IF(INDEX(ERP資料!$G:$G, (MATCH(150, 輔助計算!$G$2:$G$801, 0)+1))&lt;=31,3,IF(INDEX(ERP資料!$G:$G, (MATCH(150, 輔助計算!$G$2:$G$801, 0)+1))&lt;=46.5,2,1)), IF(INDEX(ERP資料!$G:$G, (MATCH(150, 輔助計算!$G$2:$G$801, 0)+1))&lt;=790,3,IF(INDEX(ERP資料!$G:$G, (MATCH(150, 輔助計算!$G$2:$G$801, 0)+1))&lt;=1181,2,1))))=0,"",IF(MOD(INDEX(輔助計算!$D:$D, (MATCH(150, 輔助計算!$G$2:$G$801, 0)+1)),IF(INDEX(ERP資料!$G:$G, (MATCH(150, 輔助計算!$G$2:$G$801, 0)+1))&lt;100, IF(INDEX(ERP資料!$G:$G, (MATCH(150, 輔助計算!$G$2:$G$801, 0)+1))&lt;=31,3,IF(INDEX(ERP資料!$G:$G, (MATCH(150, 輔助計算!$G$2:$G$801, 0)+1))&lt;=46.5,2,1)), IF(INDEX(ERP資料!$G:$G, (MATCH(150, 輔助計算!$G$2:$G$801, 0)+1))&lt;=790,3,IF(INDEX(ERP資料!$G:$G, (MATCH(150, 輔助計算!$G$2:$G$801, 0)+1))&lt;=1181,2,1))))=1,TEXT(INDEX(ERP資料!$G:$G, (MATCH(150, 輔助計算!$G$2:$G$801, 0)+1)),"0.##"),IF(MOD(INDEX(輔助計算!$D:$D, (MATCH(150, 輔助計算!$G$2:$G$801, 0)+1)),IF(INDEX(ERP資料!$G:$G, (MATCH(150, 輔助計算!$G$2:$G$801, 0)+1))&lt;100, IF(INDEX(ERP資料!$G:$G, (MATCH(150, 輔助計算!$G$2:$G$801, 0)+1))&lt;=31,3,IF(INDEX(ERP資料!$G:$G, (MATCH(150, 輔助計算!$G$2:$G$801, 0)+1))&lt;=46.5,2,1)), IF(INDEX(ERP資料!$G:$G, (MATCH(150, 輔助計算!$G$2:$G$801, 0)+1))&lt;=790,3,IF(INDEX(ERP資料!$G:$G, (MATCH(150, 輔助計算!$G$2:$G$801, 0)+1))&lt;=1181,2,1))))=2,TEXT(INDEX(ERP資料!$G:$G, (MATCH(150, 輔助計算!$G$2:$G$801, 0)+1)),"0.##")&amp;"+"&amp;TEXT(INDEX(ERP資料!$G:$G, (MATCH(150, 輔助計算!$G$2:$G$801, 0)+1)),"0.##"),TEXT(INDEX(ERP資料!$G:$G, (MATCH(150, 輔助計算!$G$2:$G$801, 0)+1)),"0.##")&amp;"+"&amp;TEXT(INDEX(ERP資料!$G:$G, (MATCH(150, 輔助計算!$G$2:$G$801, 0)+1)),"0.##")&amp;"+"&amp;TEXT(INDEX(ERP資料!$G:$G, (MATCH(150, 輔助計算!$G$2:$G$801, 0)+1)),"0.##"))))&amp;"-1")&lt;&gt;""),"  ","")&amp;IF(MOD(INDEX(輔助計算!$D:$D, (MATCH(150, 輔助計算!$G$2:$G$801, 0)+1)),IF(INDEX(ERP資料!$G:$G, (MATCH(150, 輔助計算!$G$2:$G$801, 0)+1))&lt;100, IF(INDEX(ERP資料!$G:$G, (MATCH(150, 輔助計算!$G$2:$G$801, 0)+1))&lt;=31,3,IF(INDEX(ERP資料!$G:$G, (MATCH(150, 輔助計算!$G$2:$G$801, 0)+1))&lt;=46.5,2,1)), IF(INDEX(ERP資料!$G:$G, (MATCH(150, 輔助計算!$G$2:$G$801, 0)+1))&lt;=790,3,IF(INDEX(ERP資料!$G:$G, (MATCH(150, 輔助計算!$G$2:$G$801, 0)+1))&lt;=1181,2,1))))=0,"",IF(MOD(INDEX(輔助計算!$D:$D, (MATCH(150, 輔助計算!$G$2:$G$801, 0)+1)),IF(INDEX(ERP資料!$G:$G, (MATCH(150, 輔助計算!$G$2:$G$801, 0)+1))&lt;100, IF(INDEX(ERP資料!$G:$G, (MATCH(150, 輔助計算!$G$2:$G$801, 0)+1))&lt;=31,3,IF(INDEX(ERP資料!$G:$G, (MATCH(150, 輔助計算!$G$2:$G$801, 0)+1))&lt;=46.5,2,1)), IF(INDEX(ERP資料!$G:$G, (MATCH(150, 輔助計算!$G$2:$G$801, 0)+1))&lt;=790,3,IF(INDEX(ERP資料!$G:$G, (MATCH(150, 輔助計算!$G$2:$G$801, 0)+1))&lt;=1181,2,1))))=0,"",IF(MOD(INDEX(輔助計算!$D:$D, (MATCH(150, 輔助計算!$G$2:$G$801, 0)+1)),IF(INDEX(ERP資料!$G:$G, (MATCH(150, 輔助計算!$G$2:$G$801, 0)+1))&lt;100, IF(INDEX(ERP資料!$G:$G, (MATCH(150, 輔助計算!$G$2:$G$801, 0)+1))&lt;=31,3,IF(INDEX(ERP資料!$G:$G, (MATCH(150, 輔助計算!$G$2:$G$801, 0)+1))&lt;=46.5,2,1)), IF(INDEX(ERP資料!$G:$G, (MATCH(150, 輔助計算!$G$2:$G$801, 0)+1))&lt;=790,3,IF(INDEX(ERP資料!$G:$G, (MATCH(150, 輔助計算!$G$2:$G$801, 0)+1))&lt;=1181,2,1))))=1,TEXT(INDEX(ERP資料!$G:$G, (MATCH(150, 輔助計算!$G$2:$G$801, 0)+1)),"0.##"),IF(MOD(INDEX(輔助計算!$D:$D, (MATCH(150, 輔助計算!$G$2:$G$801, 0)+1)),IF(INDEX(ERP資料!$G:$G, (MATCH(150, 輔助計算!$G$2:$G$801, 0)+1))&lt;100, IF(INDEX(ERP資料!$G:$G, (MATCH(150, 輔助計算!$G$2:$G$801, 0)+1))&lt;=31,3,IF(INDEX(ERP資料!$G:$G, (MATCH(150, 輔助計算!$G$2:$G$801, 0)+1))&lt;=46.5,2,1)), IF(INDEX(ERP資料!$G:$G, (MATCH(150, 輔助計算!$G$2:$G$801, 0)+1))&lt;=790,3,IF(INDEX(ERP資料!$G:$G, (MATCH(150, 輔助計算!$G$2:$G$801, 0)+1))&lt;=1181,2,1))))=2,TEXT(INDEX(ERP資料!$G:$G, (MATCH(150, 輔助計算!$G$2:$G$801, 0)+1)),"0.##")&amp;"+"&amp;TEXT(INDEX(ERP資料!$G:$G, (MATCH(150, 輔助計算!$G$2:$G$801, 0)+1)),"0.##"),TEXT(INDEX(ERP資料!$G:$G, (MATCH(150, 輔助計算!$G$2:$G$801, 0)+1)),"0.##")&amp;"+"&amp;TEXT(INDEX(ERP資料!$G:$G, (MATCH(150, 輔助計算!$G$2:$G$801, 0)+1)),"0.##")&amp;"+"&amp;TEXT(INDEX(ERP資料!$G:$G, (MATCH(150, 輔助計算!$G$2:$G$801, 0)+1)),"0.##"))))&amp;"-1")), ""), "")</f>
        <v/>
      </c>
      <c r="K151" s="16" t="n"/>
      <c r="L151" s="14">
        <f>IFERROR(IF(AND(IFERROR(INDEX(ERP資料!$A:$A, (MATCH(150, 輔助計算!$G$2:$G$801, 0)+1)), "")&lt;&gt;"", IFERROR(INDEX(ERP資料!$A:$A, (MATCH(150, 輔助計算!$G$2:$G$801, 0)+1)), "")&lt;&gt;IFERROR(INDEX(ERP資料!$A:$A, MATCH(149, 輔助計算!$G$2:$G$801, 0)+1), "")), INDEX(ERP資料!$B:$B, (MATCH(150, 輔助計算!$G$2:$G$801, 0)+1)), ""), "")</f>
        <v/>
      </c>
      <c r="M151" s="17" t="n"/>
    </row>
    <row r="152">
      <c r="A152" s="10">
        <f>IFERROR(IF(AND(IFERROR(INDEX(ERP資料!$A:$A, (MATCH(151, 輔助計算!$G$2:$G$801, 0)+1)), "")&lt;&gt;"", IFERROR(INDEX(ERP資料!$A:$A, (MATCH(151, 輔助計算!$G$2:$G$801, 0)+1)), "")&lt;&gt;IFERROR(INDEX(ERP資料!$A:$A, MATCH(150, 輔助計算!$G$2:$G$801, 0)+1), "")), IFERROR(INDEX(ERP資料!$A:$A, (MATCH(151, 輔助計算!$G$2:$G$801, 0)+1)), ""), ""), "")</f>
        <v/>
      </c>
      <c r="B152" s="10">
        <f>IFERROR(IF(AND(IFERROR(INDEX(ERP資料!$A:$A, (MATCH(151, 輔助計算!$G$2:$G$801, 0)+1)), "")&lt;&gt;"", IFERROR(INDEX(ERP資料!$A:$A, (MATCH(151, 輔助計算!$G$2:$G$801, 0)+1)), "")&lt;&gt;IFERROR(INDEX(ERP資料!$A:$A, MATCH(150, 輔助計算!$G$2:$G$801, 0)+1), "")), INDEX(ERP資料!$S:$S, (MATCH(151, 輔助計算!$G$2:$G$801, 0)+1)), ""), "")</f>
        <v/>
      </c>
      <c r="C152" s="19">
        <f>IFERROR(IF(AND(IFERROR(INDEX(ERP資料!$A:$A, (MATCH(151, 輔助計算!$G$2:$G$801, 0)+1)), "")&lt;&gt;"", IFERROR(INDEX(ERP資料!$A:$A, (MATCH(151, 輔助計算!$G$2:$G$801, 0)+1)), "")&lt;&gt;IFERROR(INDEX(ERP資料!$A:$A, MATCH(150, 輔助計算!$G$2:$G$801, 0)+1), "")), IFERROR(VLOOKUP(LEFT(INDEX(ERP資料!$S:$S, (MATCH(151, 輔助計算!$G$2:$G$801, 0)+1)), 4), 紙管對照表!$A:$C, 3, FALSE), ""), ""), "")</f>
        <v/>
      </c>
      <c r="D152" s="16" t="n"/>
      <c r="E152" s="10">
        <f>IFERROR(IF(INDEX(ERP資料!$H:$H, (MATCH(151, 輔助計算!$G$2:$G$801, 0)+1))="","",INDEX(ERP資料!$H:$H, (MATCH(151, 輔助計算!$G$2:$G$801, 0)+1))), "")</f>
        <v/>
      </c>
      <c r="F152" s="10">
        <f>IFERROR(IF(INDEX(ERP資料!$E:$E, (MATCH(151, 輔助計算!$G$2:$G$801, 0)+1))="","",TRIM(INDEX(ERP資料!$E:$E, (MATCH(151, 輔助計算!$G$2:$G$801, 0)+1)))), "")</f>
        <v/>
      </c>
      <c r="G152" s="10">
        <f>IFERROR(IF(INDEX(ERP資料!$F:$F, (MATCH(151, 輔助計算!$G$2:$G$801, 0)+1))="","",INDEX(ERP資料!$F:$F, (MATCH(151, 輔助計算!$G$2:$G$801, 0)+1))), "")</f>
        <v/>
      </c>
      <c r="H152" s="10">
        <f>IFERROR(IF(INDEX(ERP資料!$G:$G, (MATCH(151, 輔助計算!$G$2:$G$801, 0)+1))="","",INDEX(ERP資料!$G:$G, (MATCH(151, 輔助計算!$G$2:$G$801, 0)+1))), "")</f>
        <v/>
      </c>
      <c r="I152" s="15">
        <f>IFERROR(INDEX(輔助計算!$D:$D, (MATCH(151, 輔助計算!$G$2:$G$801, 0)+1)), "")</f>
        <v/>
      </c>
      <c r="J152" s="15">
        <f>IFERROR(IF(AND(INDEX(輔助計算!$D:$D, (MATCH(151, 輔助計算!$G$2:$G$801, 0)+1))&lt;&gt;"", INDEX(ERP資料!$G:$G, (MATCH(151, 輔助計算!$G$2:$G$801, 0)+1))&lt;&gt;""), TRIM(IF(INT(INDEX(輔助計算!$D:$D, (MATCH(151, 輔助計算!$G$2:$G$801, 0)+1))/IF(INDEX(ERP資料!$G:$G, (MATCH(151, 輔助計算!$G$2:$G$801, 0)+1))&lt;100, IF(INDEX(ERP資料!$G:$G, (MATCH(151, 輔助計算!$G$2:$G$801, 0)+1))&lt;=31,3,IF(INDEX(ERP資料!$G:$G, (MATCH(151, 輔助計算!$G$2:$G$801, 0)+1))&lt;=46.5,2,1)), IF(INDEX(ERP資料!$G:$G, (MATCH(151, 輔助計算!$G$2:$G$801, 0)+1))&lt;=790,3,IF(INDEX(ERP資料!$G:$G, (MATCH(151, 輔助計算!$G$2:$G$801, 0)+1))&lt;=1181,2,1))))&gt;0, IF(IF(INDEX(ERP資料!$G:$G, (MATCH(151, 輔助計算!$G$2:$G$801, 0)+1))&lt;100, IF(INDEX(ERP資料!$G:$G, (MATCH(151, 輔助計算!$G$2:$G$801, 0)+1))&lt;=31,3,IF(INDEX(ERP資料!$G:$G, (MATCH(151, 輔助計算!$G$2:$G$801, 0)+1))&lt;=46.5,2,1)), IF(INDEX(ERP資料!$G:$G, (MATCH(151, 輔助計算!$G$2:$G$801, 0)+1))&lt;=790,3,IF(INDEX(ERP資料!$G:$G, (MATCH(151, 輔助計算!$G$2:$G$801, 0)+1))&lt;=1181,2,1)))=1,TEXT(INDEX(ERP資料!$G:$G, (MATCH(151, 輔助計算!$G$2:$G$801, 0)+1)),"0.##"),IF(IF(INDEX(ERP資料!$G:$G, (MATCH(151, 輔助計算!$G$2:$G$801, 0)+1))&lt;100, IF(INDEX(ERP資料!$G:$G, (MATCH(151, 輔助計算!$G$2:$G$801, 0)+1))&lt;=31,3,IF(INDEX(ERP資料!$G:$G, (MATCH(151, 輔助計算!$G$2:$G$801, 0)+1))&lt;=46.5,2,1)), IF(INDEX(ERP資料!$G:$G, (MATCH(151, 輔助計算!$G$2:$G$801, 0)+1))&lt;=790,3,IF(INDEX(ERP資料!$G:$G, (MATCH(151, 輔助計算!$G$2:$G$801, 0)+1))&lt;=1181,2,1)))=2,TEXT(INDEX(ERP資料!$G:$G, (MATCH(151, 輔助計算!$G$2:$G$801, 0)+1)),"0.##")&amp;"+"&amp;TEXT(INDEX(ERP資料!$G:$G, (MATCH(151, 輔助計算!$G$2:$G$801, 0)+1)),"0.##"),TEXT(INDEX(ERP資料!$G:$G, (MATCH(151, 輔助計算!$G$2:$G$801, 0)+1)),"0.##")&amp;"+"&amp;TEXT(INDEX(ERP資料!$G:$G, (MATCH(151, 輔助計算!$G$2:$G$801, 0)+1)),"0.##")&amp;"+"&amp;TEXT(INDEX(ERP資料!$G:$G, (MATCH(151, 輔助計算!$G$2:$G$801, 0)+1)),"0.##")))&amp;"-"&amp;INT(INDEX(輔助計算!$D:$D, (MATCH(151, 輔助計算!$G$2:$G$801, 0)+1))/IF(INDEX(ERP資料!$G:$G, (MATCH(151, 輔助計算!$G$2:$G$801, 0)+1))&lt;100, IF(INDEX(ERP資料!$G:$G, (MATCH(151, 輔助計算!$G$2:$G$801, 0)+1))&lt;=31,3,IF(INDEX(ERP資料!$G:$G, (MATCH(151, 輔助計算!$G$2:$G$801, 0)+1))&lt;=46.5,2,1)), IF(INDEX(ERP資料!$G:$G, (MATCH(151, 輔助計算!$G$2:$G$801, 0)+1))&lt;=790,3,IF(INDEX(ERP資料!$G:$G, (MATCH(151, 輔助計算!$G$2:$G$801, 0)+1))&lt;=1181,2,1)))), "")&amp;IF(AND(IF(INT(INDEX(輔助計算!$D:$D, (MATCH(151, 輔助計算!$G$2:$G$801, 0)+1))/IF(INDEX(ERP資料!$G:$G, (MATCH(151, 輔助計算!$G$2:$G$801, 0)+1))&lt;100, IF(INDEX(ERP資料!$G:$G, (MATCH(151, 輔助計算!$G$2:$G$801, 0)+1))&lt;=31,3,IF(INDEX(ERP資料!$G:$G, (MATCH(151, 輔助計算!$G$2:$G$801, 0)+1))&lt;=46.5,2,1)), IF(INDEX(ERP資料!$G:$G, (MATCH(151, 輔助計算!$G$2:$G$801, 0)+1))&lt;=790,3,IF(INDEX(ERP資料!$G:$G, (MATCH(151, 輔助計算!$G$2:$G$801, 0)+1))&lt;=1181,2,1))))&gt;0, IF(IF(INDEX(ERP資料!$G:$G, (MATCH(151, 輔助計算!$G$2:$G$801, 0)+1))&lt;100, IF(INDEX(ERP資料!$G:$G, (MATCH(151, 輔助計算!$G$2:$G$801, 0)+1))&lt;=31,3,IF(INDEX(ERP資料!$G:$G, (MATCH(151, 輔助計算!$G$2:$G$801, 0)+1))&lt;=46.5,2,1)), IF(INDEX(ERP資料!$G:$G, (MATCH(151, 輔助計算!$G$2:$G$801, 0)+1))&lt;=790,3,IF(INDEX(ERP資料!$G:$G, (MATCH(151, 輔助計算!$G$2:$G$801, 0)+1))&lt;=1181,2,1)))=1,TEXT(INDEX(ERP資料!$G:$G, (MATCH(151, 輔助計算!$G$2:$G$801, 0)+1)),"0.##"),IF(IF(INDEX(ERP資料!$G:$G, (MATCH(151, 輔助計算!$G$2:$G$801, 0)+1))&lt;100, IF(INDEX(ERP資料!$G:$G, (MATCH(151, 輔助計算!$G$2:$G$801, 0)+1))&lt;=31,3,IF(INDEX(ERP資料!$G:$G, (MATCH(151, 輔助計算!$G$2:$G$801, 0)+1))&lt;=46.5,2,1)), IF(INDEX(ERP資料!$G:$G, (MATCH(151, 輔助計算!$G$2:$G$801, 0)+1))&lt;=790,3,IF(INDEX(ERP資料!$G:$G, (MATCH(151, 輔助計算!$G$2:$G$801, 0)+1))&lt;=1181,2,1)))=2,TEXT(INDEX(ERP資料!$G:$G, (MATCH(151, 輔助計算!$G$2:$G$801, 0)+1)),"0.##")&amp;"+"&amp;TEXT(INDEX(ERP資料!$G:$G, (MATCH(151, 輔助計算!$G$2:$G$801, 0)+1)),"0.##"),TEXT(INDEX(ERP資料!$G:$G, (MATCH(151, 輔助計算!$G$2:$G$801, 0)+1)),"0.##")&amp;"+"&amp;TEXT(INDEX(ERP資料!$G:$G, (MATCH(151, 輔助計算!$G$2:$G$801, 0)+1)),"0.##")&amp;"+"&amp;TEXT(INDEX(ERP資料!$G:$G, (MATCH(151, 輔助計算!$G$2:$G$801, 0)+1)),"0.##")))&amp;"-"&amp;INT(INDEX(輔助計算!$D:$D, (MATCH(151, 輔助計算!$G$2:$G$801, 0)+1))/IF(INDEX(ERP資料!$G:$G, (MATCH(151, 輔助計算!$G$2:$G$801, 0)+1))&lt;100, IF(INDEX(ERP資料!$G:$G, (MATCH(151, 輔助計算!$G$2:$G$801, 0)+1))&lt;=31,3,IF(INDEX(ERP資料!$G:$G, (MATCH(151, 輔助計算!$G$2:$G$801, 0)+1))&lt;=46.5,2,1)), IF(INDEX(ERP資料!$G:$G, (MATCH(151, 輔助計算!$G$2:$G$801, 0)+1))&lt;=790,3,IF(INDEX(ERP資料!$G:$G, (MATCH(151, 輔助計算!$G$2:$G$801, 0)+1))&lt;=1181,2,1)))), "")&lt;&gt;"",IF(MOD(INDEX(輔助計算!$D:$D, (MATCH(151, 輔助計算!$G$2:$G$801, 0)+1)),IF(INDEX(ERP資料!$G:$G, (MATCH(151, 輔助計算!$G$2:$G$801, 0)+1))&lt;100, IF(INDEX(ERP資料!$G:$G, (MATCH(151, 輔助計算!$G$2:$G$801, 0)+1))&lt;=31,3,IF(INDEX(ERP資料!$G:$G, (MATCH(151, 輔助計算!$G$2:$G$801, 0)+1))&lt;=46.5,2,1)), IF(INDEX(ERP資料!$G:$G, (MATCH(151, 輔助計算!$G$2:$G$801, 0)+1))&lt;=790,3,IF(INDEX(ERP資料!$G:$G, (MATCH(151, 輔助計算!$G$2:$G$801, 0)+1))&lt;=1181,2,1))))=0,"",IF(MOD(INDEX(輔助計算!$D:$D, (MATCH(151, 輔助計算!$G$2:$G$801, 0)+1)),IF(INDEX(ERP資料!$G:$G, (MATCH(151, 輔助計算!$G$2:$G$801, 0)+1))&lt;100, IF(INDEX(ERP資料!$G:$G, (MATCH(151, 輔助計算!$G$2:$G$801, 0)+1))&lt;=31,3,IF(INDEX(ERP資料!$G:$G, (MATCH(151, 輔助計算!$G$2:$G$801, 0)+1))&lt;=46.5,2,1)), IF(INDEX(ERP資料!$G:$G, (MATCH(151, 輔助計算!$G$2:$G$801, 0)+1))&lt;=790,3,IF(INDEX(ERP資料!$G:$G, (MATCH(151, 輔助計算!$G$2:$G$801, 0)+1))&lt;=1181,2,1))))=0,"",IF(MOD(INDEX(輔助計算!$D:$D, (MATCH(151, 輔助計算!$G$2:$G$801, 0)+1)),IF(INDEX(ERP資料!$G:$G, (MATCH(151, 輔助計算!$G$2:$G$801, 0)+1))&lt;100, IF(INDEX(ERP資料!$G:$G, (MATCH(151, 輔助計算!$G$2:$G$801, 0)+1))&lt;=31,3,IF(INDEX(ERP資料!$G:$G, (MATCH(151, 輔助計算!$G$2:$G$801, 0)+1))&lt;=46.5,2,1)), IF(INDEX(ERP資料!$G:$G, (MATCH(151, 輔助計算!$G$2:$G$801, 0)+1))&lt;=790,3,IF(INDEX(ERP資料!$G:$G, (MATCH(151, 輔助計算!$G$2:$G$801, 0)+1))&lt;=1181,2,1))))=1,TEXT(INDEX(ERP資料!$G:$G, (MATCH(151, 輔助計算!$G$2:$G$801, 0)+1)),"0.##"),IF(MOD(INDEX(輔助計算!$D:$D, (MATCH(151, 輔助計算!$G$2:$G$801, 0)+1)),IF(INDEX(ERP資料!$G:$G, (MATCH(151, 輔助計算!$G$2:$G$801, 0)+1))&lt;100, IF(INDEX(ERP資料!$G:$G, (MATCH(151, 輔助計算!$G$2:$G$801, 0)+1))&lt;=31,3,IF(INDEX(ERP資料!$G:$G, (MATCH(151, 輔助計算!$G$2:$G$801, 0)+1))&lt;=46.5,2,1)), IF(INDEX(ERP資料!$G:$G, (MATCH(151, 輔助計算!$G$2:$G$801, 0)+1))&lt;=790,3,IF(INDEX(ERP資料!$G:$G, (MATCH(151, 輔助計算!$G$2:$G$801, 0)+1))&lt;=1181,2,1))))=2,TEXT(INDEX(ERP資料!$G:$G, (MATCH(151, 輔助計算!$G$2:$G$801, 0)+1)),"0.##")&amp;"+"&amp;TEXT(INDEX(ERP資料!$G:$G, (MATCH(151, 輔助計算!$G$2:$G$801, 0)+1)),"0.##"),TEXT(INDEX(ERP資料!$G:$G, (MATCH(151, 輔助計算!$G$2:$G$801, 0)+1)),"0.##")&amp;"+"&amp;TEXT(INDEX(ERP資料!$G:$G, (MATCH(151, 輔助計算!$G$2:$G$801, 0)+1)),"0.##")&amp;"+"&amp;TEXT(INDEX(ERP資料!$G:$G, (MATCH(151, 輔助計算!$G$2:$G$801, 0)+1)),"0.##"))))&amp;"-1")&lt;&gt;""),"  ","")&amp;IF(MOD(INDEX(輔助計算!$D:$D, (MATCH(151, 輔助計算!$G$2:$G$801, 0)+1)),IF(INDEX(ERP資料!$G:$G, (MATCH(151, 輔助計算!$G$2:$G$801, 0)+1))&lt;100, IF(INDEX(ERP資料!$G:$G, (MATCH(151, 輔助計算!$G$2:$G$801, 0)+1))&lt;=31,3,IF(INDEX(ERP資料!$G:$G, (MATCH(151, 輔助計算!$G$2:$G$801, 0)+1))&lt;=46.5,2,1)), IF(INDEX(ERP資料!$G:$G, (MATCH(151, 輔助計算!$G$2:$G$801, 0)+1))&lt;=790,3,IF(INDEX(ERP資料!$G:$G, (MATCH(151, 輔助計算!$G$2:$G$801, 0)+1))&lt;=1181,2,1))))=0,"",IF(MOD(INDEX(輔助計算!$D:$D, (MATCH(151, 輔助計算!$G$2:$G$801, 0)+1)),IF(INDEX(ERP資料!$G:$G, (MATCH(151, 輔助計算!$G$2:$G$801, 0)+1))&lt;100, IF(INDEX(ERP資料!$G:$G, (MATCH(151, 輔助計算!$G$2:$G$801, 0)+1))&lt;=31,3,IF(INDEX(ERP資料!$G:$G, (MATCH(151, 輔助計算!$G$2:$G$801, 0)+1))&lt;=46.5,2,1)), IF(INDEX(ERP資料!$G:$G, (MATCH(151, 輔助計算!$G$2:$G$801, 0)+1))&lt;=790,3,IF(INDEX(ERP資料!$G:$G, (MATCH(151, 輔助計算!$G$2:$G$801, 0)+1))&lt;=1181,2,1))))=0,"",IF(MOD(INDEX(輔助計算!$D:$D, (MATCH(151, 輔助計算!$G$2:$G$801, 0)+1)),IF(INDEX(ERP資料!$G:$G, (MATCH(151, 輔助計算!$G$2:$G$801, 0)+1))&lt;100, IF(INDEX(ERP資料!$G:$G, (MATCH(151, 輔助計算!$G$2:$G$801, 0)+1))&lt;=31,3,IF(INDEX(ERP資料!$G:$G, (MATCH(151, 輔助計算!$G$2:$G$801, 0)+1))&lt;=46.5,2,1)), IF(INDEX(ERP資料!$G:$G, (MATCH(151, 輔助計算!$G$2:$G$801, 0)+1))&lt;=790,3,IF(INDEX(ERP資料!$G:$G, (MATCH(151, 輔助計算!$G$2:$G$801, 0)+1))&lt;=1181,2,1))))=1,TEXT(INDEX(ERP資料!$G:$G, (MATCH(151, 輔助計算!$G$2:$G$801, 0)+1)),"0.##"),IF(MOD(INDEX(輔助計算!$D:$D, (MATCH(151, 輔助計算!$G$2:$G$801, 0)+1)),IF(INDEX(ERP資料!$G:$G, (MATCH(151, 輔助計算!$G$2:$G$801, 0)+1))&lt;100, IF(INDEX(ERP資料!$G:$G, (MATCH(151, 輔助計算!$G$2:$G$801, 0)+1))&lt;=31,3,IF(INDEX(ERP資料!$G:$G, (MATCH(151, 輔助計算!$G$2:$G$801, 0)+1))&lt;=46.5,2,1)), IF(INDEX(ERP資料!$G:$G, (MATCH(151, 輔助計算!$G$2:$G$801, 0)+1))&lt;=790,3,IF(INDEX(ERP資料!$G:$G, (MATCH(151, 輔助計算!$G$2:$G$801, 0)+1))&lt;=1181,2,1))))=2,TEXT(INDEX(ERP資料!$G:$G, (MATCH(151, 輔助計算!$G$2:$G$801, 0)+1)),"0.##")&amp;"+"&amp;TEXT(INDEX(ERP資料!$G:$G, (MATCH(151, 輔助計算!$G$2:$G$801, 0)+1)),"0.##"),TEXT(INDEX(ERP資料!$G:$G, (MATCH(151, 輔助計算!$G$2:$G$801, 0)+1)),"0.##")&amp;"+"&amp;TEXT(INDEX(ERP資料!$G:$G, (MATCH(151, 輔助計算!$G$2:$G$801, 0)+1)),"0.##")&amp;"+"&amp;TEXT(INDEX(ERP資料!$G:$G, (MATCH(151, 輔助計算!$G$2:$G$801, 0)+1)),"0.##"))))&amp;"-1")), ""), "")</f>
        <v/>
      </c>
      <c r="K152" s="16" t="n"/>
      <c r="L152" s="14">
        <f>IFERROR(IF(AND(IFERROR(INDEX(ERP資料!$A:$A, (MATCH(151, 輔助計算!$G$2:$G$801, 0)+1)), "")&lt;&gt;"", IFERROR(INDEX(ERP資料!$A:$A, (MATCH(151, 輔助計算!$G$2:$G$801, 0)+1)), "")&lt;&gt;IFERROR(INDEX(ERP資料!$A:$A, MATCH(150, 輔助計算!$G$2:$G$801, 0)+1), "")), INDEX(ERP資料!$B:$B, (MATCH(151, 輔助計算!$G$2:$G$801, 0)+1)), ""), "")</f>
        <v/>
      </c>
      <c r="M152" s="17" t="n"/>
    </row>
    <row r="153">
      <c r="A153" s="10">
        <f>IFERROR(IF(AND(IFERROR(INDEX(ERP資料!$A:$A, (MATCH(152, 輔助計算!$G$2:$G$801, 0)+1)), "")&lt;&gt;"", IFERROR(INDEX(ERP資料!$A:$A, (MATCH(152, 輔助計算!$G$2:$G$801, 0)+1)), "")&lt;&gt;IFERROR(INDEX(ERP資料!$A:$A, MATCH(151, 輔助計算!$G$2:$G$801, 0)+1), "")), IFERROR(INDEX(ERP資料!$A:$A, (MATCH(152, 輔助計算!$G$2:$G$801, 0)+1)), ""), ""), "")</f>
        <v/>
      </c>
      <c r="B153" s="10">
        <f>IFERROR(IF(AND(IFERROR(INDEX(ERP資料!$A:$A, (MATCH(152, 輔助計算!$G$2:$G$801, 0)+1)), "")&lt;&gt;"", IFERROR(INDEX(ERP資料!$A:$A, (MATCH(152, 輔助計算!$G$2:$G$801, 0)+1)), "")&lt;&gt;IFERROR(INDEX(ERP資料!$A:$A, MATCH(151, 輔助計算!$G$2:$G$801, 0)+1), "")), INDEX(ERP資料!$S:$S, (MATCH(152, 輔助計算!$G$2:$G$801, 0)+1)), ""), "")</f>
        <v/>
      </c>
      <c r="C153" s="19">
        <f>IFERROR(IF(AND(IFERROR(INDEX(ERP資料!$A:$A, (MATCH(152, 輔助計算!$G$2:$G$801, 0)+1)), "")&lt;&gt;"", IFERROR(INDEX(ERP資料!$A:$A, (MATCH(152, 輔助計算!$G$2:$G$801, 0)+1)), "")&lt;&gt;IFERROR(INDEX(ERP資料!$A:$A, MATCH(151, 輔助計算!$G$2:$G$801, 0)+1), "")), IFERROR(VLOOKUP(LEFT(INDEX(ERP資料!$S:$S, (MATCH(152, 輔助計算!$G$2:$G$801, 0)+1)), 4), 紙管對照表!$A:$C, 3, FALSE), ""), ""), "")</f>
        <v/>
      </c>
      <c r="D153" s="16" t="n"/>
      <c r="E153" s="10">
        <f>IFERROR(IF(INDEX(ERP資料!$H:$H, (MATCH(152, 輔助計算!$G$2:$G$801, 0)+1))="","",INDEX(ERP資料!$H:$H, (MATCH(152, 輔助計算!$G$2:$G$801, 0)+1))), "")</f>
        <v/>
      </c>
      <c r="F153" s="10">
        <f>IFERROR(IF(INDEX(ERP資料!$E:$E, (MATCH(152, 輔助計算!$G$2:$G$801, 0)+1))="","",TRIM(INDEX(ERP資料!$E:$E, (MATCH(152, 輔助計算!$G$2:$G$801, 0)+1)))), "")</f>
        <v/>
      </c>
      <c r="G153" s="10">
        <f>IFERROR(IF(INDEX(ERP資料!$F:$F, (MATCH(152, 輔助計算!$G$2:$G$801, 0)+1))="","",INDEX(ERP資料!$F:$F, (MATCH(152, 輔助計算!$G$2:$G$801, 0)+1))), "")</f>
        <v/>
      </c>
      <c r="H153" s="10">
        <f>IFERROR(IF(INDEX(ERP資料!$G:$G, (MATCH(152, 輔助計算!$G$2:$G$801, 0)+1))="","",INDEX(ERP資料!$G:$G, (MATCH(152, 輔助計算!$G$2:$G$801, 0)+1))), "")</f>
        <v/>
      </c>
      <c r="I153" s="15">
        <f>IFERROR(INDEX(輔助計算!$D:$D, (MATCH(152, 輔助計算!$G$2:$G$801, 0)+1)), "")</f>
        <v/>
      </c>
      <c r="J153" s="15">
        <f>IFERROR(IF(AND(INDEX(輔助計算!$D:$D, (MATCH(152, 輔助計算!$G$2:$G$801, 0)+1))&lt;&gt;"", INDEX(ERP資料!$G:$G, (MATCH(152, 輔助計算!$G$2:$G$801, 0)+1))&lt;&gt;""), TRIM(IF(INT(INDEX(輔助計算!$D:$D, (MATCH(152, 輔助計算!$G$2:$G$801, 0)+1))/IF(INDEX(ERP資料!$G:$G, (MATCH(152, 輔助計算!$G$2:$G$801, 0)+1))&lt;100, IF(INDEX(ERP資料!$G:$G, (MATCH(152, 輔助計算!$G$2:$G$801, 0)+1))&lt;=31,3,IF(INDEX(ERP資料!$G:$G, (MATCH(152, 輔助計算!$G$2:$G$801, 0)+1))&lt;=46.5,2,1)), IF(INDEX(ERP資料!$G:$G, (MATCH(152, 輔助計算!$G$2:$G$801, 0)+1))&lt;=790,3,IF(INDEX(ERP資料!$G:$G, (MATCH(152, 輔助計算!$G$2:$G$801, 0)+1))&lt;=1181,2,1))))&gt;0, IF(IF(INDEX(ERP資料!$G:$G, (MATCH(152, 輔助計算!$G$2:$G$801, 0)+1))&lt;100, IF(INDEX(ERP資料!$G:$G, (MATCH(152, 輔助計算!$G$2:$G$801, 0)+1))&lt;=31,3,IF(INDEX(ERP資料!$G:$G, (MATCH(152, 輔助計算!$G$2:$G$801, 0)+1))&lt;=46.5,2,1)), IF(INDEX(ERP資料!$G:$G, (MATCH(152, 輔助計算!$G$2:$G$801, 0)+1))&lt;=790,3,IF(INDEX(ERP資料!$G:$G, (MATCH(152, 輔助計算!$G$2:$G$801, 0)+1))&lt;=1181,2,1)))=1,TEXT(INDEX(ERP資料!$G:$G, (MATCH(152, 輔助計算!$G$2:$G$801, 0)+1)),"0.##"),IF(IF(INDEX(ERP資料!$G:$G, (MATCH(152, 輔助計算!$G$2:$G$801, 0)+1))&lt;100, IF(INDEX(ERP資料!$G:$G, (MATCH(152, 輔助計算!$G$2:$G$801, 0)+1))&lt;=31,3,IF(INDEX(ERP資料!$G:$G, (MATCH(152, 輔助計算!$G$2:$G$801, 0)+1))&lt;=46.5,2,1)), IF(INDEX(ERP資料!$G:$G, (MATCH(152, 輔助計算!$G$2:$G$801, 0)+1))&lt;=790,3,IF(INDEX(ERP資料!$G:$G, (MATCH(152, 輔助計算!$G$2:$G$801, 0)+1))&lt;=1181,2,1)))=2,TEXT(INDEX(ERP資料!$G:$G, (MATCH(152, 輔助計算!$G$2:$G$801, 0)+1)),"0.##")&amp;"+"&amp;TEXT(INDEX(ERP資料!$G:$G, (MATCH(152, 輔助計算!$G$2:$G$801, 0)+1)),"0.##"),TEXT(INDEX(ERP資料!$G:$G, (MATCH(152, 輔助計算!$G$2:$G$801, 0)+1)),"0.##")&amp;"+"&amp;TEXT(INDEX(ERP資料!$G:$G, (MATCH(152, 輔助計算!$G$2:$G$801, 0)+1)),"0.##")&amp;"+"&amp;TEXT(INDEX(ERP資料!$G:$G, (MATCH(152, 輔助計算!$G$2:$G$801, 0)+1)),"0.##")))&amp;"-"&amp;INT(INDEX(輔助計算!$D:$D, (MATCH(152, 輔助計算!$G$2:$G$801, 0)+1))/IF(INDEX(ERP資料!$G:$G, (MATCH(152, 輔助計算!$G$2:$G$801, 0)+1))&lt;100, IF(INDEX(ERP資料!$G:$G, (MATCH(152, 輔助計算!$G$2:$G$801, 0)+1))&lt;=31,3,IF(INDEX(ERP資料!$G:$G, (MATCH(152, 輔助計算!$G$2:$G$801, 0)+1))&lt;=46.5,2,1)), IF(INDEX(ERP資料!$G:$G, (MATCH(152, 輔助計算!$G$2:$G$801, 0)+1))&lt;=790,3,IF(INDEX(ERP資料!$G:$G, (MATCH(152, 輔助計算!$G$2:$G$801, 0)+1))&lt;=1181,2,1)))), "")&amp;IF(AND(IF(INT(INDEX(輔助計算!$D:$D, (MATCH(152, 輔助計算!$G$2:$G$801, 0)+1))/IF(INDEX(ERP資料!$G:$G, (MATCH(152, 輔助計算!$G$2:$G$801, 0)+1))&lt;100, IF(INDEX(ERP資料!$G:$G, (MATCH(152, 輔助計算!$G$2:$G$801, 0)+1))&lt;=31,3,IF(INDEX(ERP資料!$G:$G, (MATCH(152, 輔助計算!$G$2:$G$801, 0)+1))&lt;=46.5,2,1)), IF(INDEX(ERP資料!$G:$G, (MATCH(152, 輔助計算!$G$2:$G$801, 0)+1))&lt;=790,3,IF(INDEX(ERP資料!$G:$G, (MATCH(152, 輔助計算!$G$2:$G$801, 0)+1))&lt;=1181,2,1))))&gt;0, IF(IF(INDEX(ERP資料!$G:$G, (MATCH(152, 輔助計算!$G$2:$G$801, 0)+1))&lt;100, IF(INDEX(ERP資料!$G:$G, (MATCH(152, 輔助計算!$G$2:$G$801, 0)+1))&lt;=31,3,IF(INDEX(ERP資料!$G:$G, (MATCH(152, 輔助計算!$G$2:$G$801, 0)+1))&lt;=46.5,2,1)), IF(INDEX(ERP資料!$G:$G, (MATCH(152, 輔助計算!$G$2:$G$801, 0)+1))&lt;=790,3,IF(INDEX(ERP資料!$G:$G, (MATCH(152, 輔助計算!$G$2:$G$801, 0)+1))&lt;=1181,2,1)))=1,TEXT(INDEX(ERP資料!$G:$G, (MATCH(152, 輔助計算!$G$2:$G$801, 0)+1)),"0.##"),IF(IF(INDEX(ERP資料!$G:$G, (MATCH(152, 輔助計算!$G$2:$G$801, 0)+1))&lt;100, IF(INDEX(ERP資料!$G:$G, (MATCH(152, 輔助計算!$G$2:$G$801, 0)+1))&lt;=31,3,IF(INDEX(ERP資料!$G:$G, (MATCH(152, 輔助計算!$G$2:$G$801, 0)+1))&lt;=46.5,2,1)), IF(INDEX(ERP資料!$G:$G, (MATCH(152, 輔助計算!$G$2:$G$801, 0)+1))&lt;=790,3,IF(INDEX(ERP資料!$G:$G, (MATCH(152, 輔助計算!$G$2:$G$801, 0)+1))&lt;=1181,2,1)))=2,TEXT(INDEX(ERP資料!$G:$G, (MATCH(152, 輔助計算!$G$2:$G$801, 0)+1)),"0.##")&amp;"+"&amp;TEXT(INDEX(ERP資料!$G:$G, (MATCH(152, 輔助計算!$G$2:$G$801, 0)+1)),"0.##"),TEXT(INDEX(ERP資料!$G:$G, (MATCH(152, 輔助計算!$G$2:$G$801, 0)+1)),"0.##")&amp;"+"&amp;TEXT(INDEX(ERP資料!$G:$G, (MATCH(152, 輔助計算!$G$2:$G$801, 0)+1)),"0.##")&amp;"+"&amp;TEXT(INDEX(ERP資料!$G:$G, (MATCH(152, 輔助計算!$G$2:$G$801, 0)+1)),"0.##")))&amp;"-"&amp;INT(INDEX(輔助計算!$D:$D, (MATCH(152, 輔助計算!$G$2:$G$801, 0)+1))/IF(INDEX(ERP資料!$G:$G, (MATCH(152, 輔助計算!$G$2:$G$801, 0)+1))&lt;100, IF(INDEX(ERP資料!$G:$G, (MATCH(152, 輔助計算!$G$2:$G$801, 0)+1))&lt;=31,3,IF(INDEX(ERP資料!$G:$G, (MATCH(152, 輔助計算!$G$2:$G$801, 0)+1))&lt;=46.5,2,1)), IF(INDEX(ERP資料!$G:$G, (MATCH(152, 輔助計算!$G$2:$G$801, 0)+1))&lt;=790,3,IF(INDEX(ERP資料!$G:$G, (MATCH(152, 輔助計算!$G$2:$G$801, 0)+1))&lt;=1181,2,1)))), "")&lt;&gt;"",IF(MOD(INDEX(輔助計算!$D:$D, (MATCH(152, 輔助計算!$G$2:$G$801, 0)+1)),IF(INDEX(ERP資料!$G:$G, (MATCH(152, 輔助計算!$G$2:$G$801, 0)+1))&lt;100, IF(INDEX(ERP資料!$G:$G, (MATCH(152, 輔助計算!$G$2:$G$801, 0)+1))&lt;=31,3,IF(INDEX(ERP資料!$G:$G, (MATCH(152, 輔助計算!$G$2:$G$801, 0)+1))&lt;=46.5,2,1)), IF(INDEX(ERP資料!$G:$G, (MATCH(152, 輔助計算!$G$2:$G$801, 0)+1))&lt;=790,3,IF(INDEX(ERP資料!$G:$G, (MATCH(152, 輔助計算!$G$2:$G$801, 0)+1))&lt;=1181,2,1))))=0,"",IF(MOD(INDEX(輔助計算!$D:$D, (MATCH(152, 輔助計算!$G$2:$G$801, 0)+1)),IF(INDEX(ERP資料!$G:$G, (MATCH(152, 輔助計算!$G$2:$G$801, 0)+1))&lt;100, IF(INDEX(ERP資料!$G:$G, (MATCH(152, 輔助計算!$G$2:$G$801, 0)+1))&lt;=31,3,IF(INDEX(ERP資料!$G:$G, (MATCH(152, 輔助計算!$G$2:$G$801, 0)+1))&lt;=46.5,2,1)), IF(INDEX(ERP資料!$G:$G, (MATCH(152, 輔助計算!$G$2:$G$801, 0)+1))&lt;=790,3,IF(INDEX(ERP資料!$G:$G, (MATCH(152, 輔助計算!$G$2:$G$801, 0)+1))&lt;=1181,2,1))))=0,"",IF(MOD(INDEX(輔助計算!$D:$D, (MATCH(152, 輔助計算!$G$2:$G$801, 0)+1)),IF(INDEX(ERP資料!$G:$G, (MATCH(152, 輔助計算!$G$2:$G$801, 0)+1))&lt;100, IF(INDEX(ERP資料!$G:$G, (MATCH(152, 輔助計算!$G$2:$G$801, 0)+1))&lt;=31,3,IF(INDEX(ERP資料!$G:$G, (MATCH(152, 輔助計算!$G$2:$G$801, 0)+1))&lt;=46.5,2,1)), IF(INDEX(ERP資料!$G:$G, (MATCH(152, 輔助計算!$G$2:$G$801, 0)+1))&lt;=790,3,IF(INDEX(ERP資料!$G:$G, (MATCH(152, 輔助計算!$G$2:$G$801, 0)+1))&lt;=1181,2,1))))=1,TEXT(INDEX(ERP資料!$G:$G, (MATCH(152, 輔助計算!$G$2:$G$801, 0)+1)),"0.##"),IF(MOD(INDEX(輔助計算!$D:$D, (MATCH(152, 輔助計算!$G$2:$G$801, 0)+1)),IF(INDEX(ERP資料!$G:$G, (MATCH(152, 輔助計算!$G$2:$G$801, 0)+1))&lt;100, IF(INDEX(ERP資料!$G:$G, (MATCH(152, 輔助計算!$G$2:$G$801, 0)+1))&lt;=31,3,IF(INDEX(ERP資料!$G:$G, (MATCH(152, 輔助計算!$G$2:$G$801, 0)+1))&lt;=46.5,2,1)), IF(INDEX(ERP資料!$G:$G, (MATCH(152, 輔助計算!$G$2:$G$801, 0)+1))&lt;=790,3,IF(INDEX(ERP資料!$G:$G, (MATCH(152, 輔助計算!$G$2:$G$801, 0)+1))&lt;=1181,2,1))))=2,TEXT(INDEX(ERP資料!$G:$G, (MATCH(152, 輔助計算!$G$2:$G$801, 0)+1)),"0.##")&amp;"+"&amp;TEXT(INDEX(ERP資料!$G:$G, (MATCH(152, 輔助計算!$G$2:$G$801, 0)+1)),"0.##"),TEXT(INDEX(ERP資料!$G:$G, (MATCH(152, 輔助計算!$G$2:$G$801, 0)+1)),"0.##")&amp;"+"&amp;TEXT(INDEX(ERP資料!$G:$G, (MATCH(152, 輔助計算!$G$2:$G$801, 0)+1)),"0.##")&amp;"+"&amp;TEXT(INDEX(ERP資料!$G:$G, (MATCH(152, 輔助計算!$G$2:$G$801, 0)+1)),"0.##"))))&amp;"-1")&lt;&gt;""),"  ","")&amp;IF(MOD(INDEX(輔助計算!$D:$D, (MATCH(152, 輔助計算!$G$2:$G$801, 0)+1)),IF(INDEX(ERP資料!$G:$G, (MATCH(152, 輔助計算!$G$2:$G$801, 0)+1))&lt;100, IF(INDEX(ERP資料!$G:$G, (MATCH(152, 輔助計算!$G$2:$G$801, 0)+1))&lt;=31,3,IF(INDEX(ERP資料!$G:$G, (MATCH(152, 輔助計算!$G$2:$G$801, 0)+1))&lt;=46.5,2,1)), IF(INDEX(ERP資料!$G:$G, (MATCH(152, 輔助計算!$G$2:$G$801, 0)+1))&lt;=790,3,IF(INDEX(ERP資料!$G:$G, (MATCH(152, 輔助計算!$G$2:$G$801, 0)+1))&lt;=1181,2,1))))=0,"",IF(MOD(INDEX(輔助計算!$D:$D, (MATCH(152, 輔助計算!$G$2:$G$801, 0)+1)),IF(INDEX(ERP資料!$G:$G, (MATCH(152, 輔助計算!$G$2:$G$801, 0)+1))&lt;100, IF(INDEX(ERP資料!$G:$G, (MATCH(152, 輔助計算!$G$2:$G$801, 0)+1))&lt;=31,3,IF(INDEX(ERP資料!$G:$G, (MATCH(152, 輔助計算!$G$2:$G$801, 0)+1))&lt;=46.5,2,1)), IF(INDEX(ERP資料!$G:$G, (MATCH(152, 輔助計算!$G$2:$G$801, 0)+1))&lt;=790,3,IF(INDEX(ERP資料!$G:$G, (MATCH(152, 輔助計算!$G$2:$G$801, 0)+1))&lt;=1181,2,1))))=0,"",IF(MOD(INDEX(輔助計算!$D:$D, (MATCH(152, 輔助計算!$G$2:$G$801, 0)+1)),IF(INDEX(ERP資料!$G:$G, (MATCH(152, 輔助計算!$G$2:$G$801, 0)+1))&lt;100, IF(INDEX(ERP資料!$G:$G, (MATCH(152, 輔助計算!$G$2:$G$801, 0)+1))&lt;=31,3,IF(INDEX(ERP資料!$G:$G, (MATCH(152, 輔助計算!$G$2:$G$801, 0)+1))&lt;=46.5,2,1)), IF(INDEX(ERP資料!$G:$G, (MATCH(152, 輔助計算!$G$2:$G$801, 0)+1))&lt;=790,3,IF(INDEX(ERP資料!$G:$G, (MATCH(152, 輔助計算!$G$2:$G$801, 0)+1))&lt;=1181,2,1))))=1,TEXT(INDEX(ERP資料!$G:$G, (MATCH(152, 輔助計算!$G$2:$G$801, 0)+1)),"0.##"),IF(MOD(INDEX(輔助計算!$D:$D, (MATCH(152, 輔助計算!$G$2:$G$801, 0)+1)),IF(INDEX(ERP資料!$G:$G, (MATCH(152, 輔助計算!$G$2:$G$801, 0)+1))&lt;100, IF(INDEX(ERP資料!$G:$G, (MATCH(152, 輔助計算!$G$2:$G$801, 0)+1))&lt;=31,3,IF(INDEX(ERP資料!$G:$G, (MATCH(152, 輔助計算!$G$2:$G$801, 0)+1))&lt;=46.5,2,1)), IF(INDEX(ERP資料!$G:$G, (MATCH(152, 輔助計算!$G$2:$G$801, 0)+1))&lt;=790,3,IF(INDEX(ERP資料!$G:$G, (MATCH(152, 輔助計算!$G$2:$G$801, 0)+1))&lt;=1181,2,1))))=2,TEXT(INDEX(ERP資料!$G:$G, (MATCH(152, 輔助計算!$G$2:$G$801, 0)+1)),"0.##")&amp;"+"&amp;TEXT(INDEX(ERP資料!$G:$G, (MATCH(152, 輔助計算!$G$2:$G$801, 0)+1)),"0.##"),TEXT(INDEX(ERP資料!$G:$G, (MATCH(152, 輔助計算!$G$2:$G$801, 0)+1)),"0.##")&amp;"+"&amp;TEXT(INDEX(ERP資料!$G:$G, (MATCH(152, 輔助計算!$G$2:$G$801, 0)+1)),"0.##")&amp;"+"&amp;TEXT(INDEX(ERP資料!$G:$G, (MATCH(152, 輔助計算!$G$2:$G$801, 0)+1)),"0.##"))))&amp;"-1")), ""), "")</f>
        <v/>
      </c>
      <c r="K153" s="16" t="n"/>
      <c r="L153" s="14">
        <f>IFERROR(IF(AND(IFERROR(INDEX(ERP資料!$A:$A, (MATCH(152, 輔助計算!$G$2:$G$801, 0)+1)), "")&lt;&gt;"", IFERROR(INDEX(ERP資料!$A:$A, (MATCH(152, 輔助計算!$G$2:$G$801, 0)+1)), "")&lt;&gt;IFERROR(INDEX(ERP資料!$A:$A, MATCH(151, 輔助計算!$G$2:$G$801, 0)+1), "")), INDEX(ERP資料!$B:$B, (MATCH(152, 輔助計算!$G$2:$G$801, 0)+1)), ""), "")</f>
        <v/>
      </c>
      <c r="M153" s="17" t="n"/>
    </row>
    <row r="154">
      <c r="A154" s="10">
        <f>IFERROR(IF(AND(IFERROR(INDEX(ERP資料!$A:$A, (MATCH(153, 輔助計算!$G$2:$G$801, 0)+1)), "")&lt;&gt;"", IFERROR(INDEX(ERP資料!$A:$A, (MATCH(153, 輔助計算!$G$2:$G$801, 0)+1)), "")&lt;&gt;IFERROR(INDEX(ERP資料!$A:$A, MATCH(152, 輔助計算!$G$2:$G$801, 0)+1), "")), IFERROR(INDEX(ERP資料!$A:$A, (MATCH(153, 輔助計算!$G$2:$G$801, 0)+1)), ""), ""), "")</f>
        <v/>
      </c>
      <c r="B154" s="10">
        <f>IFERROR(IF(AND(IFERROR(INDEX(ERP資料!$A:$A, (MATCH(153, 輔助計算!$G$2:$G$801, 0)+1)), "")&lt;&gt;"", IFERROR(INDEX(ERP資料!$A:$A, (MATCH(153, 輔助計算!$G$2:$G$801, 0)+1)), "")&lt;&gt;IFERROR(INDEX(ERP資料!$A:$A, MATCH(152, 輔助計算!$G$2:$G$801, 0)+1), "")), INDEX(ERP資料!$S:$S, (MATCH(153, 輔助計算!$G$2:$G$801, 0)+1)), ""), "")</f>
        <v/>
      </c>
      <c r="C154" s="19">
        <f>IFERROR(IF(AND(IFERROR(INDEX(ERP資料!$A:$A, (MATCH(153, 輔助計算!$G$2:$G$801, 0)+1)), "")&lt;&gt;"", IFERROR(INDEX(ERP資料!$A:$A, (MATCH(153, 輔助計算!$G$2:$G$801, 0)+1)), "")&lt;&gt;IFERROR(INDEX(ERP資料!$A:$A, MATCH(152, 輔助計算!$G$2:$G$801, 0)+1), "")), IFERROR(VLOOKUP(LEFT(INDEX(ERP資料!$S:$S, (MATCH(153, 輔助計算!$G$2:$G$801, 0)+1)), 4), 紙管對照表!$A:$C, 3, FALSE), ""), ""), "")</f>
        <v/>
      </c>
      <c r="D154" s="16" t="n"/>
      <c r="E154" s="10">
        <f>IFERROR(IF(INDEX(ERP資料!$H:$H, (MATCH(153, 輔助計算!$G$2:$G$801, 0)+1))="","",INDEX(ERP資料!$H:$H, (MATCH(153, 輔助計算!$G$2:$G$801, 0)+1))), "")</f>
        <v/>
      </c>
      <c r="F154" s="10">
        <f>IFERROR(IF(INDEX(ERP資料!$E:$E, (MATCH(153, 輔助計算!$G$2:$G$801, 0)+1))="","",TRIM(INDEX(ERP資料!$E:$E, (MATCH(153, 輔助計算!$G$2:$G$801, 0)+1)))), "")</f>
        <v/>
      </c>
      <c r="G154" s="10">
        <f>IFERROR(IF(INDEX(ERP資料!$F:$F, (MATCH(153, 輔助計算!$G$2:$G$801, 0)+1))="","",INDEX(ERP資料!$F:$F, (MATCH(153, 輔助計算!$G$2:$G$801, 0)+1))), "")</f>
        <v/>
      </c>
      <c r="H154" s="10">
        <f>IFERROR(IF(INDEX(ERP資料!$G:$G, (MATCH(153, 輔助計算!$G$2:$G$801, 0)+1))="","",INDEX(ERP資料!$G:$G, (MATCH(153, 輔助計算!$G$2:$G$801, 0)+1))), "")</f>
        <v/>
      </c>
      <c r="I154" s="15">
        <f>IFERROR(INDEX(輔助計算!$D:$D, (MATCH(153, 輔助計算!$G$2:$G$801, 0)+1)), "")</f>
        <v/>
      </c>
      <c r="J154" s="15">
        <f>IFERROR(IF(AND(INDEX(輔助計算!$D:$D, (MATCH(153, 輔助計算!$G$2:$G$801, 0)+1))&lt;&gt;"", INDEX(ERP資料!$G:$G, (MATCH(153, 輔助計算!$G$2:$G$801, 0)+1))&lt;&gt;""), TRIM(IF(INT(INDEX(輔助計算!$D:$D, (MATCH(153, 輔助計算!$G$2:$G$801, 0)+1))/IF(INDEX(ERP資料!$G:$G, (MATCH(153, 輔助計算!$G$2:$G$801, 0)+1))&lt;100, IF(INDEX(ERP資料!$G:$G, (MATCH(153, 輔助計算!$G$2:$G$801, 0)+1))&lt;=31,3,IF(INDEX(ERP資料!$G:$G, (MATCH(153, 輔助計算!$G$2:$G$801, 0)+1))&lt;=46.5,2,1)), IF(INDEX(ERP資料!$G:$G, (MATCH(153, 輔助計算!$G$2:$G$801, 0)+1))&lt;=790,3,IF(INDEX(ERP資料!$G:$G, (MATCH(153, 輔助計算!$G$2:$G$801, 0)+1))&lt;=1181,2,1))))&gt;0, IF(IF(INDEX(ERP資料!$G:$G, (MATCH(153, 輔助計算!$G$2:$G$801, 0)+1))&lt;100, IF(INDEX(ERP資料!$G:$G, (MATCH(153, 輔助計算!$G$2:$G$801, 0)+1))&lt;=31,3,IF(INDEX(ERP資料!$G:$G, (MATCH(153, 輔助計算!$G$2:$G$801, 0)+1))&lt;=46.5,2,1)), IF(INDEX(ERP資料!$G:$G, (MATCH(153, 輔助計算!$G$2:$G$801, 0)+1))&lt;=790,3,IF(INDEX(ERP資料!$G:$G, (MATCH(153, 輔助計算!$G$2:$G$801, 0)+1))&lt;=1181,2,1)))=1,TEXT(INDEX(ERP資料!$G:$G, (MATCH(153, 輔助計算!$G$2:$G$801, 0)+1)),"0.##"),IF(IF(INDEX(ERP資料!$G:$G, (MATCH(153, 輔助計算!$G$2:$G$801, 0)+1))&lt;100, IF(INDEX(ERP資料!$G:$G, (MATCH(153, 輔助計算!$G$2:$G$801, 0)+1))&lt;=31,3,IF(INDEX(ERP資料!$G:$G, (MATCH(153, 輔助計算!$G$2:$G$801, 0)+1))&lt;=46.5,2,1)), IF(INDEX(ERP資料!$G:$G, (MATCH(153, 輔助計算!$G$2:$G$801, 0)+1))&lt;=790,3,IF(INDEX(ERP資料!$G:$G, (MATCH(153, 輔助計算!$G$2:$G$801, 0)+1))&lt;=1181,2,1)))=2,TEXT(INDEX(ERP資料!$G:$G, (MATCH(153, 輔助計算!$G$2:$G$801, 0)+1)),"0.##")&amp;"+"&amp;TEXT(INDEX(ERP資料!$G:$G, (MATCH(153, 輔助計算!$G$2:$G$801, 0)+1)),"0.##"),TEXT(INDEX(ERP資料!$G:$G, (MATCH(153, 輔助計算!$G$2:$G$801, 0)+1)),"0.##")&amp;"+"&amp;TEXT(INDEX(ERP資料!$G:$G, (MATCH(153, 輔助計算!$G$2:$G$801, 0)+1)),"0.##")&amp;"+"&amp;TEXT(INDEX(ERP資料!$G:$G, (MATCH(153, 輔助計算!$G$2:$G$801, 0)+1)),"0.##")))&amp;"-"&amp;INT(INDEX(輔助計算!$D:$D, (MATCH(153, 輔助計算!$G$2:$G$801, 0)+1))/IF(INDEX(ERP資料!$G:$G, (MATCH(153, 輔助計算!$G$2:$G$801, 0)+1))&lt;100, IF(INDEX(ERP資料!$G:$G, (MATCH(153, 輔助計算!$G$2:$G$801, 0)+1))&lt;=31,3,IF(INDEX(ERP資料!$G:$G, (MATCH(153, 輔助計算!$G$2:$G$801, 0)+1))&lt;=46.5,2,1)), IF(INDEX(ERP資料!$G:$G, (MATCH(153, 輔助計算!$G$2:$G$801, 0)+1))&lt;=790,3,IF(INDEX(ERP資料!$G:$G, (MATCH(153, 輔助計算!$G$2:$G$801, 0)+1))&lt;=1181,2,1)))), "")&amp;IF(AND(IF(INT(INDEX(輔助計算!$D:$D, (MATCH(153, 輔助計算!$G$2:$G$801, 0)+1))/IF(INDEX(ERP資料!$G:$G, (MATCH(153, 輔助計算!$G$2:$G$801, 0)+1))&lt;100, IF(INDEX(ERP資料!$G:$G, (MATCH(153, 輔助計算!$G$2:$G$801, 0)+1))&lt;=31,3,IF(INDEX(ERP資料!$G:$G, (MATCH(153, 輔助計算!$G$2:$G$801, 0)+1))&lt;=46.5,2,1)), IF(INDEX(ERP資料!$G:$G, (MATCH(153, 輔助計算!$G$2:$G$801, 0)+1))&lt;=790,3,IF(INDEX(ERP資料!$G:$G, (MATCH(153, 輔助計算!$G$2:$G$801, 0)+1))&lt;=1181,2,1))))&gt;0, IF(IF(INDEX(ERP資料!$G:$G, (MATCH(153, 輔助計算!$G$2:$G$801, 0)+1))&lt;100, IF(INDEX(ERP資料!$G:$G, (MATCH(153, 輔助計算!$G$2:$G$801, 0)+1))&lt;=31,3,IF(INDEX(ERP資料!$G:$G, (MATCH(153, 輔助計算!$G$2:$G$801, 0)+1))&lt;=46.5,2,1)), IF(INDEX(ERP資料!$G:$G, (MATCH(153, 輔助計算!$G$2:$G$801, 0)+1))&lt;=790,3,IF(INDEX(ERP資料!$G:$G, (MATCH(153, 輔助計算!$G$2:$G$801, 0)+1))&lt;=1181,2,1)))=1,TEXT(INDEX(ERP資料!$G:$G, (MATCH(153, 輔助計算!$G$2:$G$801, 0)+1)),"0.##"),IF(IF(INDEX(ERP資料!$G:$G, (MATCH(153, 輔助計算!$G$2:$G$801, 0)+1))&lt;100, IF(INDEX(ERP資料!$G:$G, (MATCH(153, 輔助計算!$G$2:$G$801, 0)+1))&lt;=31,3,IF(INDEX(ERP資料!$G:$G, (MATCH(153, 輔助計算!$G$2:$G$801, 0)+1))&lt;=46.5,2,1)), IF(INDEX(ERP資料!$G:$G, (MATCH(153, 輔助計算!$G$2:$G$801, 0)+1))&lt;=790,3,IF(INDEX(ERP資料!$G:$G, (MATCH(153, 輔助計算!$G$2:$G$801, 0)+1))&lt;=1181,2,1)))=2,TEXT(INDEX(ERP資料!$G:$G, (MATCH(153, 輔助計算!$G$2:$G$801, 0)+1)),"0.##")&amp;"+"&amp;TEXT(INDEX(ERP資料!$G:$G, (MATCH(153, 輔助計算!$G$2:$G$801, 0)+1)),"0.##"),TEXT(INDEX(ERP資料!$G:$G, (MATCH(153, 輔助計算!$G$2:$G$801, 0)+1)),"0.##")&amp;"+"&amp;TEXT(INDEX(ERP資料!$G:$G, (MATCH(153, 輔助計算!$G$2:$G$801, 0)+1)),"0.##")&amp;"+"&amp;TEXT(INDEX(ERP資料!$G:$G, (MATCH(153, 輔助計算!$G$2:$G$801, 0)+1)),"0.##")))&amp;"-"&amp;INT(INDEX(輔助計算!$D:$D, (MATCH(153, 輔助計算!$G$2:$G$801, 0)+1))/IF(INDEX(ERP資料!$G:$G, (MATCH(153, 輔助計算!$G$2:$G$801, 0)+1))&lt;100, IF(INDEX(ERP資料!$G:$G, (MATCH(153, 輔助計算!$G$2:$G$801, 0)+1))&lt;=31,3,IF(INDEX(ERP資料!$G:$G, (MATCH(153, 輔助計算!$G$2:$G$801, 0)+1))&lt;=46.5,2,1)), IF(INDEX(ERP資料!$G:$G, (MATCH(153, 輔助計算!$G$2:$G$801, 0)+1))&lt;=790,3,IF(INDEX(ERP資料!$G:$G, (MATCH(153, 輔助計算!$G$2:$G$801, 0)+1))&lt;=1181,2,1)))), "")&lt;&gt;"",IF(MOD(INDEX(輔助計算!$D:$D, (MATCH(153, 輔助計算!$G$2:$G$801, 0)+1)),IF(INDEX(ERP資料!$G:$G, (MATCH(153, 輔助計算!$G$2:$G$801, 0)+1))&lt;100, IF(INDEX(ERP資料!$G:$G, (MATCH(153, 輔助計算!$G$2:$G$801, 0)+1))&lt;=31,3,IF(INDEX(ERP資料!$G:$G, (MATCH(153, 輔助計算!$G$2:$G$801, 0)+1))&lt;=46.5,2,1)), IF(INDEX(ERP資料!$G:$G, (MATCH(153, 輔助計算!$G$2:$G$801, 0)+1))&lt;=790,3,IF(INDEX(ERP資料!$G:$G, (MATCH(153, 輔助計算!$G$2:$G$801, 0)+1))&lt;=1181,2,1))))=0,"",IF(MOD(INDEX(輔助計算!$D:$D, (MATCH(153, 輔助計算!$G$2:$G$801, 0)+1)),IF(INDEX(ERP資料!$G:$G, (MATCH(153, 輔助計算!$G$2:$G$801, 0)+1))&lt;100, IF(INDEX(ERP資料!$G:$G, (MATCH(153, 輔助計算!$G$2:$G$801, 0)+1))&lt;=31,3,IF(INDEX(ERP資料!$G:$G, (MATCH(153, 輔助計算!$G$2:$G$801, 0)+1))&lt;=46.5,2,1)), IF(INDEX(ERP資料!$G:$G, (MATCH(153, 輔助計算!$G$2:$G$801, 0)+1))&lt;=790,3,IF(INDEX(ERP資料!$G:$G, (MATCH(153, 輔助計算!$G$2:$G$801, 0)+1))&lt;=1181,2,1))))=0,"",IF(MOD(INDEX(輔助計算!$D:$D, (MATCH(153, 輔助計算!$G$2:$G$801, 0)+1)),IF(INDEX(ERP資料!$G:$G, (MATCH(153, 輔助計算!$G$2:$G$801, 0)+1))&lt;100, IF(INDEX(ERP資料!$G:$G, (MATCH(153, 輔助計算!$G$2:$G$801, 0)+1))&lt;=31,3,IF(INDEX(ERP資料!$G:$G, (MATCH(153, 輔助計算!$G$2:$G$801, 0)+1))&lt;=46.5,2,1)), IF(INDEX(ERP資料!$G:$G, (MATCH(153, 輔助計算!$G$2:$G$801, 0)+1))&lt;=790,3,IF(INDEX(ERP資料!$G:$G, (MATCH(153, 輔助計算!$G$2:$G$801, 0)+1))&lt;=1181,2,1))))=1,TEXT(INDEX(ERP資料!$G:$G, (MATCH(153, 輔助計算!$G$2:$G$801, 0)+1)),"0.##"),IF(MOD(INDEX(輔助計算!$D:$D, (MATCH(153, 輔助計算!$G$2:$G$801, 0)+1)),IF(INDEX(ERP資料!$G:$G, (MATCH(153, 輔助計算!$G$2:$G$801, 0)+1))&lt;100, IF(INDEX(ERP資料!$G:$G, (MATCH(153, 輔助計算!$G$2:$G$801, 0)+1))&lt;=31,3,IF(INDEX(ERP資料!$G:$G, (MATCH(153, 輔助計算!$G$2:$G$801, 0)+1))&lt;=46.5,2,1)), IF(INDEX(ERP資料!$G:$G, (MATCH(153, 輔助計算!$G$2:$G$801, 0)+1))&lt;=790,3,IF(INDEX(ERP資料!$G:$G, (MATCH(153, 輔助計算!$G$2:$G$801, 0)+1))&lt;=1181,2,1))))=2,TEXT(INDEX(ERP資料!$G:$G, (MATCH(153, 輔助計算!$G$2:$G$801, 0)+1)),"0.##")&amp;"+"&amp;TEXT(INDEX(ERP資料!$G:$G, (MATCH(153, 輔助計算!$G$2:$G$801, 0)+1)),"0.##"),TEXT(INDEX(ERP資料!$G:$G, (MATCH(153, 輔助計算!$G$2:$G$801, 0)+1)),"0.##")&amp;"+"&amp;TEXT(INDEX(ERP資料!$G:$G, (MATCH(153, 輔助計算!$G$2:$G$801, 0)+1)),"0.##")&amp;"+"&amp;TEXT(INDEX(ERP資料!$G:$G, (MATCH(153, 輔助計算!$G$2:$G$801, 0)+1)),"0.##"))))&amp;"-1")&lt;&gt;""),"  ","")&amp;IF(MOD(INDEX(輔助計算!$D:$D, (MATCH(153, 輔助計算!$G$2:$G$801, 0)+1)),IF(INDEX(ERP資料!$G:$G, (MATCH(153, 輔助計算!$G$2:$G$801, 0)+1))&lt;100, IF(INDEX(ERP資料!$G:$G, (MATCH(153, 輔助計算!$G$2:$G$801, 0)+1))&lt;=31,3,IF(INDEX(ERP資料!$G:$G, (MATCH(153, 輔助計算!$G$2:$G$801, 0)+1))&lt;=46.5,2,1)), IF(INDEX(ERP資料!$G:$G, (MATCH(153, 輔助計算!$G$2:$G$801, 0)+1))&lt;=790,3,IF(INDEX(ERP資料!$G:$G, (MATCH(153, 輔助計算!$G$2:$G$801, 0)+1))&lt;=1181,2,1))))=0,"",IF(MOD(INDEX(輔助計算!$D:$D, (MATCH(153, 輔助計算!$G$2:$G$801, 0)+1)),IF(INDEX(ERP資料!$G:$G, (MATCH(153, 輔助計算!$G$2:$G$801, 0)+1))&lt;100, IF(INDEX(ERP資料!$G:$G, (MATCH(153, 輔助計算!$G$2:$G$801, 0)+1))&lt;=31,3,IF(INDEX(ERP資料!$G:$G, (MATCH(153, 輔助計算!$G$2:$G$801, 0)+1))&lt;=46.5,2,1)), IF(INDEX(ERP資料!$G:$G, (MATCH(153, 輔助計算!$G$2:$G$801, 0)+1))&lt;=790,3,IF(INDEX(ERP資料!$G:$G, (MATCH(153, 輔助計算!$G$2:$G$801, 0)+1))&lt;=1181,2,1))))=0,"",IF(MOD(INDEX(輔助計算!$D:$D, (MATCH(153, 輔助計算!$G$2:$G$801, 0)+1)),IF(INDEX(ERP資料!$G:$G, (MATCH(153, 輔助計算!$G$2:$G$801, 0)+1))&lt;100, IF(INDEX(ERP資料!$G:$G, (MATCH(153, 輔助計算!$G$2:$G$801, 0)+1))&lt;=31,3,IF(INDEX(ERP資料!$G:$G, (MATCH(153, 輔助計算!$G$2:$G$801, 0)+1))&lt;=46.5,2,1)), IF(INDEX(ERP資料!$G:$G, (MATCH(153, 輔助計算!$G$2:$G$801, 0)+1))&lt;=790,3,IF(INDEX(ERP資料!$G:$G, (MATCH(153, 輔助計算!$G$2:$G$801, 0)+1))&lt;=1181,2,1))))=1,TEXT(INDEX(ERP資料!$G:$G, (MATCH(153, 輔助計算!$G$2:$G$801, 0)+1)),"0.##"),IF(MOD(INDEX(輔助計算!$D:$D, (MATCH(153, 輔助計算!$G$2:$G$801, 0)+1)),IF(INDEX(ERP資料!$G:$G, (MATCH(153, 輔助計算!$G$2:$G$801, 0)+1))&lt;100, IF(INDEX(ERP資料!$G:$G, (MATCH(153, 輔助計算!$G$2:$G$801, 0)+1))&lt;=31,3,IF(INDEX(ERP資料!$G:$G, (MATCH(153, 輔助計算!$G$2:$G$801, 0)+1))&lt;=46.5,2,1)), IF(INDEX(ERP資料!$G:$G, (MATCH(153, 輔助計算!$G$2:$G$801, 0)+1))&lt;=790,3,IF(INDEX(ERP資料!$G:$G, (MATCH(153, 輔助計算!$G$2:$G$801, 0)+1))&lt;=1181,2,1))))=2,TEXT(INDEX(ERP資料!$G:$G, (MATCH(153, 輔助計算!$G$2:$G$801, 0)+1)),"0.##")&amp;"+"&amp;TEXT(INDEX(ERP資料!$G:$G, (MATCH(153, 輔助計算!$G$2:$G$801, 0)+1)),"0.##"),TEXT(INDEX(ERP資料!$G:$G, (MATCH(153, 輔助計算!$G$2:$G$801, 0)+1)),"0.##")&amp;"+"&amp;TEXT(INDEX(ERP資料!$G:$G, (MATCH(153, 輔助計算!$G$2:$G$801, 0)+1)),"0.##")&amp;"+"&amp;TEXT(INDEX(ERP資料!$G:$G, (MATCH(153, 輔助計算!$G$2:$G$801, 0)+1)),"0.##"))))&amp;"-1")), ""), "")</f>
        <v/>
      </c>
      <c r="K154" s="16" t="n"/>
      <c r="L154" s="14">
        <f>IFERROR(IF(AND(IFERROR(INDEX(ERP資料!$A:$A, (MATCH(153, 輔助計算!$G$2:$G$801, 0)+1)), "")&lt;&gt;"", IFERROR(INDEX(ERP資料!$A:$A, (MATCH(153, 輔助計算!$G$2:$G$801, 0)+1)), "")&lt;&gt;IFERROR(INDEX(ERP資料!$A:$A, MATCH(152, 輔助計算!$G$2:$G$801, 0)+1), "")), INDEX(ERP資料!$B:$B, (MATCH(153, 輔助計算!$G$2:$G$801, 0)+1)), ""), "")</f>
        <v/>
      </c>
      <c r="M154" s="17" t="n"/>
    </row>
    <row r="155">
      <c r="A155" s="10">
        <f>IFERROR(IF(AND(IFERROR(INDEX(ERP資料!$A:$A, (MATCH(154, 輔助計算!$G$2:$G$801, 0)+1)), "")&lt;&gt;"", IFERROR(INDEX(ERP資料!$A:$A, (MATCH(154, 輔助計算!$G$2:$G$801, 0)+1)), "")&lt;&gt;IFERROR(INDEX(ERP資料!$A:$A, MATCH(153, 輔助計算!$G$2:$G$801, 0)+1), "")), IFERROR(INDEX(ERP資料!$A:$A, (MATCH(154, 輔助計算!$G$2:$G$801, 0)+1)), ""), ""), "")</f>
        <v/>
      </c>
      <c r="B155" s="10">
        <f>IFERROR(IF(AND(IFERROR(INDEX(ERP資料!$A:$A, (MATCH(154, 輔助計算!$G$2:$G$801, 0)+1)), "")&lt;&gt;"", IFERROR(INDEX(ERP資料!$A:$A, (MATCH(154, 輔助計算!$G$2:$G$801, 0)+1)), "")&lt;&gt;IFERROR(INDEX(ERP資料!$A:$A, MATCH(153, 輔助計算!$G$2:$G$801, 0)+1), "")), INDEX(ERP資料!$S:$S, (MATCH(154, 輔助計算!$G$2:$G$801, 0)+1)), ""), "")</f>
        <v/>
      </c>
      <c r="C155" s="19">
        <f>IFERROR(IF(AND(IFERROR(INDEX(ERP資料!$A:$A, (MATCH(154, 輔助計算!$G$2:$G$801, 0)+1)), "")&lt;&gt;"", IFERROR(INDEX(ERP資料!$A:$A, (MATCH(154, 輔助計算!$G$2:$G$801, 0)+1)), "")&lt;&gt;IFERROR(INDEX(ERP資料!$A:$A, MATCH(153, 輔助計算!$G$2:$G$801, 0)+1), "")), IFERROR(VLOOKUP(LEFT(INDEX(ERP資料!$S:$S, (MATCH(154, 輔助計算!$G$2:$G$801, 0)+1)), 4), 紙管對照表!$A:$C, 3, FALSE), ""), ""), "")</f>
        <v/>
      </c>
      <c r="D155" s="16" t="n"/>
      <c r="E155" s="10">
        <f>IFERROR(IF(INDEX(ERP資料!$H:$H, (MATCH(154, 輔助計算!$G$2:$G$801, 0)+1))="","",INDEX(ERP資料!$H:$H, (MATCH(154, 輔助計算!$G$2:$G$801, 0)+1))), "")</f>
        <v/>
      </c>
      <c r="F155" s="10">
        <f>IFERROR(IF(INDEX(ERP資料!$E:$E, (MATCH(154, 輔助計算!$G$2:$G$801, 0)+1))="","",TRIM(INDEX(ERP資料!$E:$E, (MATCH(154, 輔助計算!$G$2:$G$801, 0)+1)))), "")</f>
        <v/>
      </c>
      <c r="G155" s="10">
        <f>IFERROR(IF(INDEX(ERP資料!$F:$F, (MATCH(154, 輔助計算!$G$2:$G$801, 0)+1))="","",INDEX(ERP資料!$F:$F, (MATCH(154, 輔助計算!$G$2:$G$801, 0)+1))), "")</f>
        <v/>
      </c>
      <c r="H155" s="10">
        <f>IFERROR(IF(INDEX(ERP資料!$G:$G, (MATCH(154, 輔助計算!$G$2:$G$801, 0)+1))="","",INDEX(ERP資料!$G:$G, (MATCH(154, 輔助計算!$G$2:$G$801, 0)+1))), "")</f>
        <v/>
      </c>
      <c r="I155" s="15">
        <f>IFERROR(INDEX(輔助計算!$D:$D, (MATCH(154, 輔助計算!$G$2:$G$801, 0)+1)), "")</f>
        <v/>
      </c>
      <c r="J155" s="15">
        <f>IFERROR(IF(AND(INDEX(輔助計算!$D:$D, (MATCH(154, 輔助計算!$G$2:$G$801, 0)+1))&lt;&gt;"", INDEX(ERP資料!$G:$G, (MATCH(154, 輔助計算!$G$2:$G$801, 0)+1))&lt;&gt;""), TRIM(IF(INT(INDEX(輔助計算!$D:$D, (MATCH(154, 輔助計算!$G$2:$G$801, 0)+1))/IF(INDEX(ERP資料!$G:$G, (MATCH(154, 輔助計算!$G$2:$G$801, 0)+1))&lt;100, IF(INDEX(ERP資料!$G:$G, (MATCH(154, 輔助計算!$G$2:$G$801, 0)+1))&lt;=31,3,IF(INDEX(ERP資料!$G:$G, (MATCH(154, 輔助計算!$G$2:$G$801, 0)+1))&lt;=46.5,2,1)), IF(INDEX(ERP資料!$G:$G, (MATCH(154, 輔助計算!$G$2:$G$801, 0)+1))&lt;=790,3,IF(INDEX(ERP資料!$G:$G, (MATCH(154, 輔助計算!$G$2:$G$801, 0)+1))&lt;=1181,2,1))))&gt;0, IF(IF(INDEX(ERP資料!$G:$G, (MATCH(154, 輔助計算!$G$2:$G$801, 0)+1))&lt;100, IF(INDEX(ERP資料!$G:$G, (MATCH(154, 輔助計算!$G$2:$G$801, 0)+1))&lt;=31,3,IF(INDEX(ERP資料!$G:$G, (MATCH(154, 輔助計算!$G$2:$G$801, 0)+1))&lt;=46.5,2,1)), IF(INDEX(ERP資料!$G:$G, (MATCH(154, 輔助計算!$G$2:$G$801, 0)+1))&lt;=790,3,IF(INDEX(ERP資料!$G:$G, (MATCH(154, 輔助計算!$G$2:$G$801, 0)+1))&lt;=1181,2,1)))=1,TEXT(INDEX(ERP資料!$G:$G, (MATCH(154, 輔助計算!$G$2:$G$801, 0)+1)),"0.##"),IF(IF(INDEX(ERP資料!$G:$G, (MATCH(154, 輔助計算!$G$2:$G$801, 0)+1))&lt;100, IF(INDEX(ERP資料!$G:$G, (MATCH(154, 輔助計算!$G$2:$G$801, 0)+1))&lt;=31,3,IF(INDEX(ERP資料!$G:$G, (MATCH(154, 輔助計算!$G$2:$G$801, 0)+1))&lt;=46.5,2,1)), IF(INDEX(ERP資料!$G:$G, (MATCH(154, 輔助計算!$G$2:$G$801, 0)+1))&lt;=790,3,IF(INDEX(ERP資料!$G:$G, (MATCH(154, 輔助計算!$G$2:$G$801, 0)+1))&lt;=1181,2,1)))=2,TEXT(INDEX(ERP資料!$G:$G, (MATCH(154, 輔助計算!$G$2:$G$801, 0)+1)),"0.##")&amp;"+"&amp;TEXT(INDEX(ERP資料!$G:$G, (MATCH(154, 輔助計算!$G$2:$G$801, 0)+1)),"0.##"),TEXT(INDEX(ERP資料!$G:$G, (MATCH(154, 輔助計算!$G$2:$G$801, 0)+1)),"0.##")&amp;"+"&amp;TEXT(INDEX(ERP資料!$G:$G, (MATCH(154, 輔助計算!$G$2:$G$801, 0)+1)),"0.##")&amp;"+"&amp;TEXT(INDEX(ERP資料!$G:$G, (MATCH(154, 輔助計算!$G$2:$G$801, 0)+1)),"0.##")))&amp;"-"&amp;INT(INDEX(輔助計算!$D:$D, (MATCH(154, 輔助計算!$G$2:$G$801, 0)+1))/IF(INDEX(ERP資料!$G:$G, (MATCH(154, 輔助計算!$G$2:$G$801, 0)+1))&lt;100, IF(INDEX(ERP資料!$G:$G, (MATCH(154, 輔助計算!$G$2:$G$801, 0)+1))&lt;=31,3,IF(INDEX(ERP資料!$G:$G, (MATCH(154, 輔助計算!$G$2:$G$801, 0)+1))&lt;=46.5,2,1)), IF(INDEX(ERP資料!$G:$G, (MATCH(154, 輔助計算!$G$2:$G$801, 0)+1))&lt;=790,3,IF(INDEX(ERP資料!$G:$G, (MATCH(154, 輔助計算!$G$2:$G$801, 0)+1))&lt;=1181,2,1)))), "")&amp;IF(AND(IF(INT(INDEX(輔助計算!$D:$D, (MATCH(154, 輔助計算!$G$2:$G$801, 0)+1))/IF(INDEX(ERP資料!$G:$G, (MATCH(154, 輔助計算!$G$2:$G$801, 0)+1))&lt;100, IF(INDEX(ERP資料!$G:$G, (MATCH(154, 輔助計算!$G$2:$G$801, 0)+1))&lt;=31,3,IF(INDEX(ERP資料!$G:$G, (MATCH(154, 輔助計算!$G$2:$G$801, 0)+1))&lt;=46.5,2,1)), IF(INDEX(ERP資料!$G:$G, (MATCH(154, 輔助計算!$G$2:$G$801, 0)+1))&lt;=790,3,IF(INDEX(ERP資料!$G:$G, (MATCH(154, 輔助計算!$G$2:$G$801, 0)+1))&lt;=1181,2,1))))&gt;0, IF(IF(INDEX(ERP資料!$G:$G, (MATCH(154, 輔助計算!$G$2:$G$801, 0)+1))&lt;100, IF(INDEX(ERP資料!$G:$G, (MATCH(154, 輔助計算!$G$2:$G$801, 0)+1))&lt;=31,3,IF(INDEX(ERP資料!$G:$G, (MATCH(154, 輔助計算!$G$2:$G$801, 0)+1))&lt;=46.5,2,1)), IF(INDEX(ERP資料!$G:$G, (MATCH(154, 輔助計算!$G$2:$G$801, 0)+1))&lt;=790,3,IF(INDEX(ERP資料!$G:$G, (MATCH(154, 輔助計算!$G$2:$G$801, 0)+1))&lt;=1181,2,1)))=1,TEXT(INDEX(ERP資料!$G:$G, (MATCH(154, 輔助計算!$G$2:$G$801, 0)+1)),"0.##"),IF(IF(INDEX(ERP資料!$G:$G, (MATCH(154, 輔助計算!$G$2:$G$801, 0)+1))&lt;100, IF(INDEX(ERP資料!$G:$G, (MATCH(154, 輔助計算!$G$2:$G$801, 0)+1))&lt;=31,3,IF(INDEX(ERP資料!$G:$G, (MATCH(154, 輔助計算!$G$2:$G$801, 0)+1))&lt;=46.5,2,1)), IF(INDEX(ERP資料!$G:$G, (MATCH(154, 輔助計算!$G$2:$G$801, 0)+1))&lt;=790,3,IF(INDEX(ERP資料!$G:$G, (MATCH(154, 輔助計算!$G$2:$G$801, 0)+1))&lt;=1181,2,1)))=2,TEXT(INDEX(ERP資料!$G:$G, (MATCH(154, 輔助計算!$G$2:$G$801, 0)+1)),"0.##")&amp;"+"&amp;TEXT(INDEX(ERP資料!$G:$G, (MATCH(154, 輔助計算!$G$2:$G$801, 0)+1)),"0.##"),TEXT(INDEX(ERP資料!$G:$G, (MATCH(154, 輔助計算!$G$2:$G$801, 0)+1)),"0.##")&amp;"+"&amp;TEXT(INDEX(ERP資料!$G:$G, (MATCH(154, 輔助計算!$G$2:$G$801, 0)+1)),"0.##")&amp;"+"&amp;TEXT(INDEX(ERP資料!$G:$G, (MATCH(154, 輔助計算!$G$2:$G$801, 0)+1)),"0.##")))&amp;"-"&amp;INT(INDEX(輔助計算!$D:$D, (MATCH(154, 輔助計算!$G$2:$G$801, 0)+1))/IF(INDEX(ERP資料!$G:$G, (MATCH(154, 輔助計算!$G$2:$G$801, 0)+1))&lt;100, IF(INDEX(ERP資料!$G:$G, (MATCH(154, 輔助計算!$G$2:$G$801, 0)+1))&lt;=31,3,IF(INDEX(ERP資料!$G:$G, (MATCH(154, 輔助計算!$G$2:$G$801, 0)+1))&lt;=46.5,2,1)), IF(INDEX(ERP資料!$G:$G, (MATCH(154, 輔助計算!$G$2:$G$801, 0)+1))&lt;=790,3,IF(INDEX(ERP資料!$G:$G, (MATCH(154, 輔助計算!$G$2:$G$801, 0)+1))&lt;=1181,2,1)))), "")&lt;&gt;"",IF(MOD(INDEX(輔助計算!$D:$D, (MATCH(154, 輔助計算!$G$2:$G$801, 0)+1)),IF(INDEX(ERP資料!$G:$G, (MATCH(154, 輔助計算!$G$2:$G$801, 0)+1))&lt;100, IF(INDEX(ERP資料!$G:$G, (MATCH(154, 輔助計算!$G$2:$G$801, 0)+1))&lt;=31,3,IF(INDEX(ERP資料!$G:$G, (MATCH(154, 輔助計算!$G$2:$G$801, 0)+1))&lt;=46.5,2,1)), IF(INDEX(ERP資料!$G:$G, (MATCH(154, 輔助計算!$G$2:$G$801, 0)+1))&lt;=790,3,IF(INDEX(ERP資料!$G:$G, (MATCH(154, 輔助計算!$G$2:$G$801, 0)+1))&lt;=1181,2,1))))=0,"",IF(MOD(INDEX(輔助計算!$D:$D, (MATCH(154, 輔助計算!$G$2:$G$801, 0)+1)),IF(INDEX(ERP資料!$G:$G, (MATCH(154, 輔助計算!$G$2:$G$801, 0)+1))&lt;100, IF(INDEX(ERP資料!$G:$G, (MATCH(154, 輔助計算!$G$2:$G$801, 0)+1))&lt;=31,3,IF(INDEX(ERP資料!$G:$G, (MATCH(154, 輔助計算!$G$2:$G$801, 0)+1))&lt;=46.5,2,1)), IF(INDEX(ERP資料!$G:$G, (MATCH(154, 輔助計算!$G$2:$G$801, 0)+1))&lt;=790,3,IF(INDEX(ERP資料!$G:$G, (MATCH(154, 輔助計算!$G$2:$G$801, 0)+1))&lt;=1181,2,1))))=0,"",IF(MOD(INDEX(輔助計算!$D:$D, (MATCH(154, 輔助計算!$G$2:$G$801, 0)+1)),IF(INDEX(ERP資料!$G:$G, (MATCH(154, 輔助計算!$G$2:$G$801, 0)+1))&lt;100, IF(INDEX(ERP資料!$G:$G, (MATCH(154, 輔助計算!$G$2:$G$801, 0)+1))&lt;=31,3,IF(INDEX(ERP資料!$G:$G, (MATCH(154, 輔助計算!$G$2:$G$801, 0)+1))&lt;=46.5,2,1)), IF(INDEX(ERP資料!$G:$G, (MATCH(154, 輔助計算!$G$2:$G$801, 0)+1))&lt;=790,3,IF(INDEX(ERP資料!$G:$G, (MATCH(154, 輔助計算!$G$2:$G$801, 0)+1))&lt;=1181,2,1))))=1,TEXT(INDEX(ERP資料!$G:$G, (MATCH(154, 輔助計算!$G$2:$G$801, 0)+1)),"0.##"),IF(MOD(INDEX(輔助計算!$D:$D, (MATCH(154, 輔助計算!$G$2:$G$801, 0)+1)),IF(INDEX(ERP資料!$G:$G, (MATCH(154, 輔助計算!$G$2:$G$801, 0)+1))&lt;100, IF(INDEX(ERP資料!$G:$G, (MATCH(154, 輔助計算!$G$2:$G$801, 0)+1))&lt;=31,3,IF(INDEX(ERP資料!$G:$G, (MATCH(154, 輔助計算!$G$2:$G$801, 0)+1))&lt;=46.5,2,1)), IF(INDEX(ERP資料!$G:$G, (MATCH(154, 輔助計算!$G$2:$G$801, 0)+1))&lt;=790,3,IF(INDEX(ERP資料!$G:$G, (MATCH(154, 輔助計算!$G$2:$G$801, 0)+1))&lt;=1181,2,1))))=2,TEXT(INDEX(ERP資料!$G:$G, (MATCH(154, 輔助計算!$G$2:$G$801, 0)+1)),"0.##")&amp;"+"&amp;TEXT(INDEX(ERP資料!$G:$G, (MATCH(154, 輔助計算!$G$2:$G$801, 0)+1)),"0.##"),TEXT(INDEX(ERP資料!$G:$G, (MATCH(154, 輔助計算!$G$2:$G$801, 0)+1)),"0.##")&amp;"+"&amp;TEXT(INDEX(ERP資料!$G:$G, (MATCH(154, 輔助計算!$G$2:$G$801, 0)+1)),"0.##")&amp;"+"&amp;TEXT(INDEX(ERP資料!$G:$G, (MATCH(154, 輔助計算!$G$2:$G$801, 0)+1)),"0.##"))))&amp;"-1")&lt;&gt;""),"  ","")&amp;IF(MOD(INDEX(輔助計算!$D:$D, (MATCH(154, 輔助計算!$G$2:$G$801, 0)+1)),IF(INDEX(ERP資料!$G:$G, (MATCH(154, 輔助計算!$G$2:$G$801, 0)+1))&lt;100, IF(INDEX(ERP資料!$G:$G, (MATCH(154, 輔助計算!$G$2:$G$801, 0)+1))&lt;=31,3,IF(INDEX(ERP資料!$G:$G, (MATCH(154, 輔助計算!$G$2:$G$801, 0)+1))&lt;=46.5,2,1)), IF(INDEX(ERP資料!$G:$G, (MATCH(154, 輔助計算!$G$2:$G$801, 0)+1))&lt;=790,3,IF(INDEX(ERP資料!$G:$G, (MATCH(154, 輔助計算!$G$2:$G$801, 0)+1))&lt;=1181,2,1))))=0,"",IF(MOD(INDEX(輔助計算!$D:$D, (MATCH(154, 輔助計算!$G$2:$G$801, 0)+1)),IF(INDEX(ERP資料!$G:$G, (MATCH(154, 輔助計算!$G$2:$G$801, 0)+1))&lt;100, IF(INDEX(ERP資料!$G:$G, (MATCH(154, 輔助計算!$G$2:$G$801, 0)+1))&lt;=31,3,IF(INDEX(ERP資料!$G:$G, (MATCH(154, 輔助計算!$G$2:$G$801, 0)+1))&lt;=46.5,2,1)), IF(INDEX(ERP資料!$G:$G, (MATCH(154, 輔助計算!$G$2:$G$801, 0)+1))&lt;=790,3,IF(INDEX(ERP資料!$G:$G, (MATCH(154, 輔助計算!$G$2:$G$801, 0)+1))&lt;=1181,2,1))))=0,"",IF(MOD(INDEX(輔助計算!$D:$D, (MATCH(154, 輔助計算!$G$2:$G$801, 0)+1)),IF(INDEX(ERP資料!$G:$G, (MATCH(154, 輔助計算!$G$2:$G$801, 0)+1))&lt;100, IF(INDEX(ERP資料!$G:$G, (MATCH(154, 輔助計算!$G$2:$G$801, 0)+1))&lt;=31,3,IF(INDEX(ERP資料!$G:$G, (MATCH(154, 輔助計算!$G$2:$G$801, 0)+1))&lt;=46.5,2,1)), IF(INDEX(ERP資料!$G:$G, (MATCH(154, 輔助計算!$G$2:$G$801, 0)+1))&lt;=790,3,IF(INDEX(ERP資料!$G:$G, (MATCH(154, 輔助計算!$G$2:$G$801, 0)+1))&lt;=1181,2,1))))=1,TEXT(INDEX(ERP資料!$G:$G, (MATCH(154, 輔助計算!$G$2:$G$801, 0)+1)),"0.##"),IF(MOD(INDEX(輔助計算!$D:$D, (MATCH(154, 輔助計算!$G$2:$G$801, 0)+1)),IF(INDEX(ERP資料!$G:$G, (MATCH(154, 輔助計算!$G$2:$G$801, 0)+1))&lt;100, IF(INDEX(ERP資料!$G:$G, (MATCH(154, 輔助計算!$G$2:$G$801, 0)+1))&lt;=31,3,IF(INDEX(ERP資料!$G:$G, (MATCH(154, 輔助計算!$G$2:$G$801, 0)+1))&lt;=46.5,2,1)), IF(INDEX(ERP資料!$G:$G, (MATCH(154, 輔助計算!$G$2:$G$801, 0)+1))&lt;=790,3,IF(INDEX(ERP資料!$G:$G, (MATCH(154, 輔助計算!$G$2:$G$801, 0)+1))&lt;=1181,2,1))))=2,TEXT(INDEX(ERP資料!$G:$G, (MATCH(154, 輔助計算!$G$2:$G$801, 0)+1)),"0.##")&amp;"+"&amp;TEXT(INDEX(ERP資料!$G:$G, (MATCH(154, 輔助計算!$G$2:$G$801, 0)+1)),"0.##"),TEXT(INDEX(ERP資料!$G:$G, (MATCH(154, 輔助計算!$G$2:$G$801, 0)+1)),"0.##")&amp;"+"&amp;TEXT(INDEX(ERP資料!$G:$G, (MATCH(154, 輔助計算!$G$2:$G$801, 0)+1)),"0.##")&amp;"+"&amp;TEXT(INDEX(ERP資料!$G:$G, (MATCH(154, 輔助計算!$G$2:$G$801, 0)+1)),"0.##"))))&amp;"-1")), ""), "")</f>
        <v/>
      </c>
      <c r="K155" s="16" t="n"/>
      <c r="L155" s="14">
        <f>IFERROR(IF(AND(IFERROR(INDEX(ERP資料!$A:$A, (MATCH(154, 輔助計算!$G$2:$G$801, 0)+1)), "")&lt;&gt;"", IFERROR(INDEX(ERP資料!$A:$A, (MATCH(154, 輔助計算!$G$2:$G$801, 0)+1)), "")&lt;&gt;IFERROR(INDEX(ERP資料!$A:$A, MATCH(153, 輔助計算!$G$2:$G$801, 0)+1), "")), INDEX(ERP資料!$B:$B, (MATCH(154, 輔助計算!$G$2:$G$801, 0)+1)), ""), "")</f>
        <v/>
      </c>
      <c r="M155" s="17" t="n"/>
    </row>
    <row r="156">
      <c r="A156" s="10">
        <f>IFERROR(IF(AND(IFERROR(INDEX(ERP資料!$A:$A, (MATCH(155, 輔助計算!$G$2:$G$801, 0)+1)), "")&lt;&gt;"", IFERROR(INDEX(ERP資料!$A:$A, (MATCH(155, 輔助計算!$G$2:$G$801, 0)+1)), "")&lt;&gt;IFERROR(INDEX(ERP資料!$A:$A, MATCH(154, 輔助計算!$G$2:$G$801, 0)+1), "")), IFERROR(INDEX(ERP資料!$A:$A, (MATCH(155, 輔助計算!$G$2:$G$801, 0)+1)), ""), ""), "")</f>
        <v/>
      </c>
      <c r="B156" s="10">
        <f>IFERROR(IF(AND(IFERROR(INDEX(ERP資料!$A:$A, (MATCH(155, 輔助計算!$G$2:$G$801, 0)+1)), "")&lt;&gt;"", IFERROR(INDEX(ERP資料!$A:$A, (MATCH(155, 輔助計算!$G$2:$G$801, 0)+1)), "")&lt;&gt;IFERROR(INDEX(ERP資料!$A:$A, MATCH(154, 輔助計算!$G$2:$G$801, 0)+1), "")), INDEX(ERP資料!$S:$S, (MATCH(155, 輔助計算!$G$2:$G$801, 0)+1)), ""), "")</f>
        <v/>
      </c>
      <c r="C156" s="19">
        <f>IFERROR(IF(AND(IFERROR(INDEX(ERP資料!$A:$A, (MATCH(155, 輔助計算!$G$2:$G$801, 0)+1)), "")&lt;&gt;"", IFERROR(INDEX(ERP資料!$A:$A, (MATCH(155, 輔助計算!$G$2:$G$801, 0)+1)), "")&lt;&gt;IFERROR(INDEX(ERP資料!$A:$A, MATCH(154, 輔助計算!$G$2:$G$801, 0)+1), "")), IFERROR(VLOOKUP(LEFT(INDEX(ERP資料!$S:$S, (MATCH(155, 輔助計算!$G$2:$G$801, 0)+1)), 4), 紙管對照表!$A:$C, 3, FALSE), ""), ""), "")</f>
        <v/>
      </c>
      <c r="D156" s="16" t="n"/>
      <c r="E156" s="10">
        <f>IFERROR(IF(INDEX(ERP資料!$H:$H, (MATCH(155, 輔助計算!$G$2:$G$801, 0)+1))="","",INDEX(ERP資料!$H:$H, (MATCH(155, 輔助計算!$G$2:$G$801, 0)+1))), "")</f>
        <v/>
      </c>
      <c r="F156" s="10">
        <f>IFERROR(IF(INDEX(ERP資料!$E:$E, (MATCH(155, 輔助計算!$G$2:$G$801, 0)+1))="","",TRIM(INDEX(ERP資料!$E:$E, (MATCH(155, 輔助計算!$G$2:$G$801, 0)+1)))), "")</f>
        <v/>
      </c>
      <c r="G156" s="10">
        <f>IFERROR(IF(INDEX(ERP資料!$F:$F, (MATCH(155, 輔助計算!$G$2:$G$801, 0)+1))="","",INDEX(ERP資料!$F:$F, (MATCH(155, 輔助計算!$G$2:$G$801, 0)+1))), "")</f>
        <v/>
      </c>
      <c r="H156" s="10">
        <f>IFERROR(IF(INDEX(ERP資料!$G:$G, (MATCH(155, 輔助計算!$G$2:$G$801, 0)+1))="","",INDEX(ERP資料!$G:$G, (MATCH(155, 輔助計算!$G$2:$G$801, 0)+1))), "")</f>
        <v/>
      </c>
      <c r="I156" s="15">
        <f>IFERROR(INDEX(輔助計算!$D:$D, (MATCH(155, 輔助計算!$G$2:$G$801, 0)+1)), "")</f>
        <v/>
      </c>
      <c r="J156" s="15">
        <f>IFERROR(IF(AND(INDEX(輔助計算!$D:$D, (MATCH(155, 輔助計算!$G$2:$G$801, 0)+1))&lt;&gt;"", INDEX(ERP資料!$G:$G, (MATCH(155, 輔助計算!$G$2:$G$801, 0)+1))&lt;&gt;""), TRIM(IF(INT(INDEX(輔助計算!$D:$D, (MATCH(155, 輔助計算!$G$2:$G$801, 0)+1))/IF(INDEX(ERP資料!$G:$G, (MATCH(155, 輔助計算!$G$2:$G$801, 0)+1))&lt;100, IF(INDEX(ERP資料!$G:$G, (MATCH(155, 輔助計算!$G$2:$G$801, 0)+1))&lt;=31,3,IF(INDEX(ERP資料!$G:$G, (MATCH(155, 輔助計算!$G$2:$G$801, 0)+1))&lt;=46.5,2,1)), IF(INDEX(ERP資料!$G:$G, (MATCH(155, 輔助計算!$G$2:$G$801, 0)+1))&lt;=790,3,IF(INDEX(ERP資料!$G:$G, (MATCH(155, 輔助計算!$G$2:$G$801, 0)+1))&lt;=1181,2,1))))&gt;0, IF(IF(INDEX(ERP資料!$G:$G, (MATCH(155, 輔助計算!$G$2:$G$801, 0)+1))&lt;100, IF(INDEX(ERP資料!$G:$G, (MATCH(155, 輔助計算!$G$2:$G$801, 0)+1))&lt;=31,3,IF(INDEX(ERP資料!$G:$G, (MATCH(155, 輔助計算!$G$2:$G$801, 0)+1))&lt;=46.5,2,1)), IF(INDEX(ERP資料!$G:$G, (MATCH(155, 輔助計算!$G$2:$G$801, 0)+1))&lt;=790,3,IF(INDEX(ERP資料!$G:$G, (MATCH(155, 輔助計算!$G$2:$G$801, 0)+1))&lt;=1181,2,1)))=1,TEXT(INDEX(ERP資料!$G:$G, (MATCH(155, 輔助計算!$G$2:$G$801, 0)+1)),"0.##"),IF(IF(INDEX(ERP資料!$G:$G, (MATCH(155, 輔助計算!$G$2:$G$801, 0)+1))&lt;100, IF(INDEX(ERP資料!$G:$G, (MATCH(155, 輔助計算!$G$2:$G$801, 0)+1))&lt;=31,3,IF(INDEX(ERP資料!$G:$G, (MATCH(155, 輔助計算!$G$2:$G$801, 0)+1))&lt;=46.5,2,1)), IF(INDEX(ERP資料!$G:$G, (MATCH(155, 輔助計算!$G$2:$G$801, 0)+1))&lt;=790,3,IF(INDEX(ERP資料!$G:$G, (MATCH(155, 輔助計算!$G$2:$G$801, 0)+1))&lt;=1181,2,1)))=2,TEXT(INDEX(ERP資料!$G:$G, (MATCH(155, 輔助計算!$G$2:$G$801, 0)+1)),"0.##")&amp;"+"&amp;TEXT(INDEX(ERP資料!$G:$G, (MATCH(155, 輔助計算!$G$2:$G$801, 0)+1)),"0.##"),TEXT(INDEX(ERP資料!$G:$G, (MATCH(155, 輔助計算!$G$2:$G$801, 0)+1)),"0.##")&amp;"+"&amp;TEXT(INDEX(ERP資料!$G:$G, (MATCH(155, 輔助計算!$G$2:$G$801, 0)+1)),"0.##")&amp;"+"&amp;TEXT(INDEX(ERP資料!$G:$G, (MATCH(155, 輔助計算!$G$2:$G$801, 0)+1)),"0.##")))&amp;"-"&amp;INT(INDEX(輔助計算!$D:$D, (MATCH(155, 輔助計算!$G$2:$G$801, 0)+1))/IF(INDEX(ERP資料!$G:$G, (MATCH(155, 輔助計算!$G$2:$G$801, 0)+1))&lt;100, IF(INDEX(ERP資料!$G:$G, (MATCH(155, 輔助計算!$G$2:$G$801, 0)+1))&lt;=31,3,IF(INDEX(ERP資料!$G:$G, (MATCH(155, 輔助計算!$G$2:$G$801, 0)+1))&lt;=46.5,2,1)), IF(INDEX(ERP資料!$G:$G, (MATCH(155, 輔助計算!$G$2:$G$801, 0)+1))&lt;=790,3,IF(INDEX(ERP資料!$G:$G, (MATCH(155, 輔助計算!$G$2:$G$801, 0)+1))&lt;=1181,2,1)))), "")&amp;IF(AND(IF(INT(INDEX(輔助計算!$D:$D, (MATCH(155, 輔助計算!$G$2:$G$801, 0)+1))/IF(INDEX(ERP資料!$G:$G, (MATCH(155, 輔助計算!$G$2:$G$801, 0)+1))&lt;100, IF(INDEX(ERP資料!$G:$G, (MATCH(155, 輔助計算!$G$2:$G$801, 0)+1))&lt;=31,3,IF(INDEX(ERP資料!$G:$G, (MATCH(155, 輔助計算!$G$2:$G$801, 0)+1))&lt;=46.5,2,1)), IF(INDEX(ERP資料!$G:$G, (MATCH(155, 輔助計算!$G$2:$G$801, 0)+1))&lt;=790,3,IF(INDEX(ERP資料!$G:$G, (MATCH(155, 輔助計算!$G$2:$G$801, 0)+1))&lt;=1181,2,1))))&gt;0, IF(IF(INDEX(ERP資料!$G:$G, (MATCH(155, 輔助計算!$G$2:$G$801, 0)+1))&lt;100, IF(INDEX(ERP資料!$G:$G, (MATCH(155, 輔助計算!$G$2:$G$801, 0)+1))&lt;=31,3,IF(INDEX(ERP資料!$G:$G, (MATCH(155, 輔助計算!$G$2:$G$801, 0)+1))&lt;=46.5,2,1)), IF(INDEX(ERP資料!$G:$G, (MATCH(155, 輔助計算!$G$2:$G$801, 0)+1))&lt;=790,3,IF(INDEX(ERP資料!$G:$G, (MATCH(155, 輔助計算!$G$2:$G$801, 0)+1))&lt;=1181,2,1)))=1,TEXT(INDEX(ERP資料!$G:$G, (MATCH(155, 輔助計算!$G$2:$G$801, 0)+1)),"0.##"),IF(IF(INDEX(ERP資料!$G:$G, (MATCH(155, 輔助計算!$G$2:$G$801, 0)+1))&lt;100, IF(INDEX(ERP資料!$G:$G, (MATCH(155, 輔助計算!$G$2:$G$801, 0)+1))&lt;=31,3,IF(INDEX(ERP資料!$G:$G, (MATCH(155, 輔助計算!$G$2:$G$801, 0)+1))&lt;=46.5,2,1)), IF(INDEX(ERP資料!$G:$G, (MATCH(155, 輔助計算!$G$2:$G$801, 0)+1))&lt;=790,3,IF(INDEX(ERP資料!$G:$G, (MATCH(155, 輔助計算!$G$2:$G$801, 0)+1))&lt;=1181,2,1)))=2,TEXT(INDEX(ERP資料!$G:$G, (MATCH(155, 輔助計算!$G$2:$G$801, 0)+1)),"0.##")&amp;"+"&amp;TEXT(INDEX(ERP資料!$G:$G, (MATCH(155, 輔助計算!$G$2:$G$801, 0)+1)),"0.##"),TEXT(INDEX(ERP資料!$G:$G, (MATCH(155, 輔助計算!$G$2:$G$801, 0)+1)),"0.##")&amp;"+"&amp;TEXT(INDEX(ERP資料!$G:$G, (MATCH(155, 輔助計算!$G$2:$G$801, 0)+1)),"0.##")&amp;"+"&amp;TEXT(INDEX(ERP資料!$G:$G, (MATCH(155, 輔助計算!$G$2:$G$801, 0)+1)),"0.##")))&amp;"-"&amp;INT(INDEX(輔助計算!$D:$D, (MATCH(155, 輔助計算!$G$2:$G$801, 0)+1))/IF(INDEX(ERP資料!$G:$G, (MATCH(155, 輔助計算!$G$2:$G$801, 0)+1))&lt;100, IF(INDEX(ERP資料!$G:$G, (MATCH(155, 輔助計算!$G$2:$G$801, 0)+1))&lt;=31,3,IF(INDEX(ERP資料!$G:$G, (MATCH(155, 輔助計算!$G$2:$G$801, 0)+1))&lt;=46.5,2,1)), IF(INDEX(ERP資料!$G:$G, (MATCH(155, 輔助計算!$G$2:$G$801, 0)+1))&lt;=790,3,IF(INDEX(ERP資料!$G:$G, (MATCH(155, 輔助計算!$G$2:$G$801, 0)+1))&lt;=1181,2,1)))), "")&lt;&gt;"",IF(MOD(INDEX(輔助計算!$D:$D, (MATCH(155, 輔助計算!$G$2:$G$801, 0)+1)),IF(INDEX(ERP資料!$G:$G, (MATCH(155, 輔助計算!$G$2:$G$801, 0)+1))&lt;100, IF(INDEX(ERP資料!$G:$G, (MATCH(155, 輔助計算!$G$2:$G$801, 0)+1))&lt;=31,3,IF(INDEX(ERP資料!$G:$G, (MATCH(155, 輔助計算!$G$2:$G$801, 0)+1))&lt;=46.5,2,1)), IF(INDEX(ERP資料!$G:$G, (MATCH(155, 輔助計算!$G$2:$G$801, 0)+1))&lt;=790,3,IF(INDEX(ERP資料!$G:$G, (MATCH(155, 輔助計算!$G$2:$G$801, 0)+1))&lt;=1181,2,1))))=0,"",IF(MOD(INDEX(輔助計算!$D:$D, (MATCH(155, 輔助計算!$G$2:$G$801, 0)+1)),IF(INDEX(ERP資料!$G:$G, (MATCH(155, 輔助計算!$G$2:$G$801, 0)+1))&lt;100, IF(INDEX(ERP資料!$G:$G, (MATCH(155, 輔助計算!$G$2:$G$801, 0)+1))&lt;=31,3,IF(INDEX(ERP資料!$G:$G, (MATCH(155, 輔助計算!$G$2:$G$801, 0)+1))&lt;=46.5,2,1)), IF(INDEX(ERP資料!$G:$G, (MATCH(155, 輔助計算!$G$2:$G$801, 0)+1))&lt;=790,3,IF(INDEX(ERP資料!$G:$G, (MATCH(155, 輔助計算!$G$2:$G$801, 0)+1))&lt;=1181,2,1))))=0,"",IF(MOD(INDEX(輔助計算!$D:$D, (MATCH(155, 輔助計算!$G$2:$G$801, 0)+1)),IF(INDEX(ERP資料!$G:$G, (MATCH(155, 輔助計算!$G$2:$G$801, 0)+1))&lt;100, IF(INDEX(ERP資料!$G:$G, (MATCH(155, 輔助計算!$G$2:$G$801, 0)+1))&lt;=31,3,IF(INDEX(ERP資料!$G:$G, (MATCH(155, 輔助計算!$G$2:$G$801, 0)+1))&lt;=46.5,2,1)), IF(INDEX(ERP資料!$G:$G, (MATCH(155, 輔助計算!$G$2:$G$801, 0)+1))&lt;=790,3,IF(INDEX(ERP資料!$G:$G, (MATCH(155, 輔助計算!$G$2:$G$801, 0)+1))&lt;=1181,2,1))))=1,TEXT(INDEX(ERP資料!$G:$G, (MATCH(155, 輔助計算!$G$2:$G$801, 0)+1)),"0.##"),IF(MOD(INDEX(輔助計算!$D:$D, (MATCH(155, 輔助計算!$G$2:$G$801, 0)+1)),IF(INDEX(ERP資料!$G:$G, (MATCH(155, 輔助計算!$G$2:$G$801, 0)+1))&lt;100, IF(INDEX(ERP資料!$G:$G, (MATCH(155, 輔助計算!$G$2:$G$801, 0)+1))&lt;=31,3,IF(INDEX(ERP資料!$G:$G, (MATCH(155, 輔助計算!$G$2:$G$801, 0)+1))&lt;=46.5,2,1)), IF(INDEX(ERP資料!$G:$G, (MATCH(155, 輔助計算!$G$2:$G$801, 0)+1))&lt;=790,3,IF(INDEX(ERP資料!$G:$G, (MATCH(155, 輔助計算!$G$2:$G$801, 0)+1))&lt;=1181,2,1))))=2,TEXT(INDEX(ERP資料!$G:$G, (MATCH(155, 輔助計算!$G$2:$G$801, 0)+1)),"0.##")&amp;"+"&amp;TEXT(INDEX(ERP資料!$G:$G, (MATCH(155, 輔助計算!$G$2:$G$801, 0)+1)),"0.##"),TEXT(INDEX(ERP資料!$G:$G, (MATCH(155, 輔助計算!$G$2:$G$801, 0)+1)),"0.##")&amp;"+"&amp;TEXT(INDEX(ERP資料!$G:$G, (MATCH(155, 輔助計算!$G$2:$G$801, 0)+1)),"0.##")&amp;"+"&amp;TEXT(INDEX(ERP資料!$G:$G, (MATCH(155, 輔助計算!$G$2:$G$801, 0)+1)),"0.##"))))&amp;"-1")&lt;&gt;""),"  ","")&amp;IF(MOD(INDEX(輔助計算!$D:$D, (MATCH(155, 輔助計算!$G$2:$G$801, 0)+1)),IF(INDEX(ERP資料!$G:$G, (MATCH(155, 輔助計算!$G$2:$G$801, 0)+1))&lt;100, IF(INDEX(ERP資料!$G:$G, (MATCH(155, 輔助計算!$G$2:$G$801, 0)+1))&lt;=31,3,IF(INDEX(ERP資料!$G:$G, (MATCH(155, 輔助計算!$G$2:$G$801, 0)+1))&lt;=46.5,2,1)), IF(INDEX(ERP資料!$G:$G, (MATCH(155, 輔助計算!$G$2:$G$801, 0)+1))&lt;=790,3,IF(INDEX(ERP資料!$G:$G, (MATCH(155, 輔助計算!$G$2:$G$801, 0)+1))&lt;=1181,2,1))))=0,"",IF(MOD(INDEX(輔助計算!$D:$D, (MATCH(155, 輔助計算!$G$2:$G$801, 0)+1)),IF(INDEX(ERP資料!$G:$G, (MATCH(155, 輔助計算!$G$2:$G$801, 0)+1))&lt;100, IF(INDEX(ERP資料!$G:$G, (MATCH(155, 輔助計算!$G$2:$G$801, 0)+1))&lt;=31,3,IF(INDEX(ERP資料!$G:$G, (MATCH(155, 輔助計算!$G$2:$G$801, 0)+1))&lt;=46.5,2,1)), IF(INDEX(ERP資料!$G:$G, (MATCH(155, 輔助計算!$G$2:$G$801, 0)+1))&lt;=790,3,IF(INDEX(ERP資料!$G:$G, (MATCH(155, 輔助計算!$G$2:$G$801, 0)+1))&lt;=1181,2,1))))=0,"",IF(MOD(INDEX(輔助計算!$D:$D, (MATCH(155, 輔助計算!$G$2:$G$801, 0)+1)),IF(INDEX(ERP資料!$G:$G, (MATCH(155, 輔助計算!$G$2:$G$801, 0)+1))&lt;100, IF(INDEX(ERP資料!$G:$G, (MATCH(155, 輔助計算!$G$2:$G$801, 0)+1))&lt;=31,3,IF(INDEX(ERP資料!$G:$G, (MATCH(155, 輔助計算!$G$2:$G$801, 0)+1))&lt;=46.5,2,1)), IF(INDEX(ERP資料!$G:$G, (MATCH(155, 輔助計算!$G$2:$G$801, 0)+1))&lt;=790,3,IF(INDEX(ERP資料!$G:$G, (MATCH(155, 輔助計算!$G$2:$G$801, 0)+1))&lt;=1181,2,1))))=1,TEXT(INDEX(ERP資料!$G:$G, (MATCH(155, 輔助計算!$G$2:$G$801, 0)+1)),"0.##"),IF(MOD(INDEX(輔助計算!$D:$D, (MATCH(155, 輔助計算!$G$2:$G$801, 0)+1)),IF(INDEX(ERP資料!$G:$G, (MATCH(155, 輔助計算!$G$2:$G$801, 0)+1))&lt;100, IF(INDEX(ERP資料!$G:$G, (MATCH(155, 輔助計算!$G$2:$G$801, 0)+1))&lt;=31,3,IF(INDEX(ERP資料!$G:$G, (MATCH(155, 輔助計算!$G$2:$G$801, 0)+1))&lt;=46.5,2,1)), IF(INDEX(ERP資料!$G:$G, (MATCH(155, 輔助計算!$G$2:$G$801, 0)+1))&lt;=790,3,IF(INDEX(ERP資料!$G:$G, (MATCH(155, 輔助計算!$G$2:$G$801, 0)+1))&lt;=1181,2,1))))=2,TEXT(INDEX(ERP資料!$G:$G, (MATCH(155, 輔助計算!$G$2:$G$801, 0)+1)),"0.##")&amp;"+"&amp;TEXT(INDEX(ERP資料!$G:$G, (MATCH(155, 輔助計算!$G$2:$G$801, 0)+1)),"0.##"),TEXT(INDEX(ERP資料!$G:$G, (MATCH(155, 輔助計算!$G$2:$G$801, 0)+1)),"0.##")&amp;"+"&amp;TEXT(INDEX(ERP資料!$G:$G, (MATCH(155, 輔助計算!$G$2:$G$801, 0)+1)),"0.##")&amp;"+"&amp;TEXT(INDEX(ERP資料!$G:$G, (MATCH(155, 輔助計算!$G$2:$G$801, 0)+1)),"0.##"))))&amp;"-1")), ""), "")</f>
        <v/>
      </c>
      <c r="K156" s="16" t="n"/>
      <c r="L156" s="14">
        <f>IFERROR(IF(AND(IFERROR(INDEX(ERP資料!$A:$A, (MATCH(155, 輔助計算!$G$2:$G$801, 0)+1)), "")&lt;&gt;"", IFERROR(INDEX(ERP資料!$A:$A, (MATCH(155, 輔助計算!$G$2:$G$801, 0)+1)), "")&lt;&gt;IFERROR(INDEX(ERP資料!$A:$A, MATCH(154, 輔助計算!$G$2:$G$801, 0)+1), "")), INDEX(ERP資料!$B:$B, (MATCH(155, 輔助計算!$G$2:$G$801, 0)+1)), ""), "")</f>
        <v/>
      </c>
      <c r="M156" s="17" t="n"/>
    </row>
    <row r="157">
      <c r="A157" s="10">
        <f>IFERROR(IF(AND(IFERROR(INDEX(ERP資料!$A:$A, (MATCH(156, 輔助計算!$G$2:$G$801, 0)+1)), "")&lt;&gt;"", IFERROR(INDEX(ERP資料!$A:$A, (MATCH(156, 輔助計算!$G$2:$G$801, 0)+1)), "")&lt;&gt;IFERROR(INDEX(ERP資料!$A:$A, MATCH(155, 輔助計算!$G$2:$G$801, 0)+1), "")), IFERROR(INDEX(ERP資料!$A:$A, (MATCH(156, 輔助計算!$G$2:$G$801, 0)+1)), ""), ""), "")</f>
        <v/>
      </c>
      <c r="B157" s="10">
        <f>IFERROR(IF(AND(IFERROR(INDEX(ERP資料!$A:$A, (MATCH(156, 輔助計算!$G$2:$G$801, 0)+1)), "")&lt;&gt;"", IFERROR(INDEX(ERP資料!$A:$A, (MATCH(156, 輔助計算!$G$2:$G$801, 0)+1)), "")&lt;&gt;IFERROR(INDEX(ERP資料!$A:$A, MATCH(155, 輔助計算!$G$2:$G$801, 0)+1), "")), INDEX(ERP資料!$S:$S, (MATCH(156, 輔助計算!$G$2:$G$801, 0)+1)), ""), "")</f>
        <v/>
      </c>
      <c r="C157" s="19">
        <f>IFERROR(IF(AND(IFERROR(INDEX(ERP資料!$A:$A, (MATCH(156, 輔助計算!$G$2:$G$801, 0)+1)), "")&lt;&gt;"", IFERROR(INDEX(ERP資料!$A:$A, (MATCH(156, 輔助計算!$G$2:$G$801, 0)+1)), "")&lt;&gt;IFERROR(INDEX(ERP資料!$A:$A, MATCH(155, 輔助計算!$G$2:$G$801, 0)+1), "")), IFERROR(VLOOKUP(LEFT(INDEX(ERP資料!$S:$S, (MATCH(156, 輔助計算!$G$2:$G$801, 0)+1)), 4), 紙管對照表!$A:$C, 3, FALSE), ""), ""), "")</f>
        <v/>
      </c>
      <c r="D157" s="16" t="n"/>
      <c r="E157" s="10">
        <f>IFERROR(IF(INDEX(ERP資料!$H:$H, (MATCH(156, 輔助計算!$G$2:$G$801, 0)+1))="","",INDEX(ERP資料!$H:$H, (MATCH(156, 輔助計算!$G$2:$G$801, 0)+1))), "")</f>
        <v/>
      </c>
      <c r="F157" s="10">
        <f>IFERROR(IF(INDEX(ERP資料!$E:$E, (MATCH(156, 輔助計算!$G$2:$G$801, 0)+1))="","",TRIM(INDEX(ERP資料!$E:$E, (MATCH(156, 輔助計算!$G$2:$G$801, 0)+1)))), "")</f>
        <v/>
      </c>
      <c r="G157" s="10">
        <f>IFERROR(IF(INDEX(ERP資料!$F:$F, (MATCH(156, 輔助計算!$G$2:$G$801, 0)+1))="","",INDEX(ERP資料!$F:$F, (MATCH(156, 輔助計算!$G$2:$G$801, 0)+1))), "")</f>
        <v/>
      </c>
      <c r="H157" s="10">
        <f>IFERROR(IF(INDEX(ERP資料!$G:$G, (MATCH(156, 輔助計算!$G$2:$G$801, 0)+1))="","",INDEX(ERP資料!$G:$G, (MATCH(156, 輔助計算!$G$2:$G$801, 0)+1))), "")</f>
        <v/>
      </c>
      <c r="I157" s="15">
        <f>IFERROR(INDEX(輔助計算!$D:$D, (MATCH(156, 輔助計算!$G$2:$G$801, 0)+1)), "")</f>
        <v/>
      </c>
      <c r="J157" s="15">
        <f>IFERROR(IF(AND(INDEX(輔助計算!$D:$D, (MATCH(156, 輔助計算!$G$2:$G$801, 0)+1))&lt;&gt;"", INDEX(ERP資料!$G:$G, (MATCH(156, 輔助計算!$G$2:$G$801, 0)+1))&lt;&gt;""), TRIM(IF(INT(INDEX(輔助計算!$D:$D, (MATCH(156, 輔助計算!$G$2:$G$801, 0)+1))/IF(INDEX(ERP資料!$G:$G, (MATCH(156, 輔助計算!$G$2:$G$801, 0)+1))&lt;100, IF(INDEX(ERP資料!$G:$G, (MATCH(156, 輔助計算!$G$2:$G$801, 0)+1))&lt;=31,3,IF(INDEX(ERP資料!$G:$G, (MATCH(156, 輔助計算!$G$2:$G$801, 0)+1))&lt;=46.5,2,1)), IF(INDEX(ERP資料!$G:$G, (MATCH(156, 輔助計算!$G$2:$G$801, 0)+1))&lt;=790,3,IF(INDEX(ERP資料!$G:$G, (MATCH(156, 輔助計算!$G$2:$G$801, 0)+1))&lt;=1181,2,1))))&gt;0, IF(IF(INDEX(ERP資料!$G:$G, (MATCH(156, 輔助計算!$G$2:$G$801, 0)+1))&lt;100, IF(INDEX(ERP資料!$G:$G, (MATCH(156, 輔助計算!$G$2:$G$801, 0)+1))&lt;=31,3,IF(INDEX(ERP資料!$G:$G, (MATCH(156, 輔助計算!$G$2:$G$801, 0)+1))&lt;=46.5,2,1)), IF(INDEX(ERP資料!$G:$G, (MATCH(156, 輔助計算!$G$2:$G$801, 0)+1))&lt;=790,3,IF(INDEX(ERP資料!$G:$G, (MATCH(156, 輔助計算!$G$2:$G$801, 0)+1))&lt;=1181,2,1)))=1,TEXT(INDEX(ERP資料!$G:$G, (MATCH(156, 輔助計算!$G$2:$G$801, 0)+1)),"0.##"),IF(IF(INDEX(ERP資料!$G:$G, (MATCH(156, 輔助計算!$G$2:$G$801, 0)+1))&lt;100, IF(INDEX(ERP資料!$G:$G, (MATCH(156, 輔助計算!$G$2:$G$801, 0)+1))&lt;=31,3,IF(INDEX(ERP資料!$G:$G, (MATCH(156, 輔助計算!$G$2:$G$801, 0)+1))&lt;=46.5,2,1)), IF(INDEX(ERP資料!$G:$G, (MATCH(156, 輔助計算!$G$2:$G$801, 0)+1))&lt;=790,3,IF(INDEX(ERP資料!$G:$G, (MATCH(156, 輔助計算!$G$2:$G$801, 0)+1))&lt;=1181,2,1)))=2,TEXT(INDEX(ERP資料!$G:$G, (MATCH(156, 輔助計算!$G$2:$G$801, 0)+1)),"0.##")&amp;"+"&amp;TEXT(INDEX(ERP資料!$G:$G, (MATCH(156, 輔助計算!$G$2:$G$801, 0)+1)),"0.##"),TEXT(INDEX(ERP資料!$G:$G, (MATCH(156, 輔助計算!$G$2:$G$801, 0)+1)),"0.##")&amp;"+"&amp;TEXT(INDEX(ERP資料!$G:$G, (MATCH(156, 輔助計算!$G$2:$G$801, 0)+1)),"0.##")&amp;"+"&amp;TEXT(INDEX(ERP資料!$G:$G, (MATCH(156, 輔助計算!$G$2:$G$801, 0)+1)),"0.##")))&amp;"-"&amp;INT(INDEX(輔助計算!$D:$D, (MATCH(156, 輔助計算!$G$2:$G$801, 0)+1))/IF(INDEX(ERP資料!$G:$G, (MATCH(156, 輔助計算!$G$2:$G$801, 0)+1))&lt;100, IF(INDEX(ERP資料!$G:$G, (MATCH(156, 輔助計算!$G$2:$G$801, 0)+1))&lt;=31,3,IF(INDEX(ERP資料!$G:$G, (MATCH(156, 輔助計算!$G$2:$G$801, 0)+1))&lt;=46.5,2,1)), IF(INDEX(ERP資料!$G:$G, (MATCH(156, 輔助計算!$G$2:$G$801, 0)+1))&lt;=790,3,IF(INDEX(ERP資料!$G:$G, (MATCH(156, 輔助計算!$G$2:$G$801, 0)+1))&lt;=1181,2,1)))), "")&amp;IF(AND(IF(INT(INDEX(輔助計算!$D:$D, (MATCH(156, 輔助計算!$G$2:$G$801, 0)+1))/IF(INDEX(ERP資料!$G:$G, (MATCH(156, 輔助計算!$G$2:$G$801, 0)+1))&lt;100, IF(INDEX(ERP資料!$G:$G, (MATCH(156, 輔助計算!$G$2:$G$801, 0)+1))&lt;=31,3,IF(INDEX(ERP資料!$G:$G, (MATCH(156, 輔助計算!$G$2:$G$801, 0)+1))&lt;=46.5,2,1)), IF(INDEX(ERP資料!$G:$G, (MATCH(156, 輔助計算!$G$2:$G$801, 0)+1))&lt;=790,3,IF(INDEX(ERP資料!$G:$G, (MATCH(156, 輔助計算!$G$2:$G$801, 0)+1))&lt;=1181,2,1))))&gt;0, IF(IF(INDEX(ERP資料!$G:$G, (MATCH(156, 輔助計算!$G$2:$G$801, 0)+1))&lt;100, IF(INDEX(ERP資料!$G:$G, (MATCH(156, 輔助計算!$G$2:$G$801, 0)+1))&lt;=31,3,IF(INDEX(ERP資料!$G:$G, (MATCH(156, 輔助計算!$G$2:$G$801, 0)+1))&lt;=46.5,2,1)), IF(INDEX(ERP資料!$G:$G, (MATCH(156, 輔助計算!$G$2:$G$801, 0)+1))&lt;=790,3,IF(INDEX(ERP資料!$G:$G, (MATCH(156, 輔助計算!$G$2:$G$801, 0)+1))&lt;=1181,2,1)))=1,TEXT(INDEX(ERP資料!$G:$G, (MATCH(156, 輔助計算!$G$2:$G$801, 0)+1)),"0.##"),IF(IF(INDEX(ERP資料!$G:$G, (MATCH(156, 輔助計算!$G$2:$G$801, 0)+1))&lt;100, IF(INDEX(ERP資料!$G:$G, (MATCH(156, 輔助計算!$G$2:$G$801, 0)+1))&lt;=31,3,IF(INDEX(ERP資料!$G:$G, (MATCH(156, 輔助計算!$G$2:$G$801, 0)+1))&lt;=46.5,2,1)), IF(INDEX(ERP資料!$G:$G, (MATCH(156, 輔助計算!$G$2:$G$801, 0)+1))&lt;=790,3,IF(INDEX(ERP資料!$G:$G, (MATCH(156, 輔助計算!$G$2:$G$801, 0)+1))&lt;=1181,2,1)))=2,TEXT(INDEX(ERP資料!$G:$G, (MATCH(156, 輔助計算!$G$2:$G$801, 0)+1)),"0.##")&amp;"+"&amp;TEXT(INDEX(ERP資料!$G:$G, (MATCH(156, 輔助計算!$G$2:$G$801, 0)+1)),"0.##"),TEXT(INDEX(ERP資料!$G:$G, (MATCH(156, 輔助計算!$G$2:$G$801, 0)+1)),"0.##")&amp;"+"&amp;TEXT(INDEX(ERP資料!$G:$G, (MATCH(156, 輔助計算!$G$2:$G$801, 0)+1)),"0.##")&amp;"+"&amp;TEXT(INDEX(ERP資料!$G:$G, (MATCH(156, 輔助計算!$G$2:$G$801, 0)+1)),"0.##")))&amp;"-"&amp;INT(INDEX(輔助計算!$D:$D, (MATCH(156, 輔助計算!$G$2:$G$801, 0)+1))/IF(INDEX(ERP資料!$G:$G, (MATCH(156, 輔助計算!$G$2:$G$801, 0)+1))&lt;100, IF(INDEX(ERP資料!$G:$G, (MATCH(156, 輔助計算!$G$2:$G$801, 0)+1))&lt;=31,3,IF(INDEX(ERP資料!$G:$G, (MATCH(156, 輔助計算!$G$2:$G$801, 0)+1))&lt;=46.5,2,1)), IF(INDEX(ERP資料!$G:$G, (MATCH(156, 輔助計算!$G$2:$G$801, 0)+1))&lt;=790,3,IF(INDEX(ERP資料!$G:$G, (MATCH(156, 輔助計算!$G$2:$G$801, 0)+1))&lt;=1181,2,1)))), "")&lt;&gt;"",IF(MOD(INDEX(輔助計算!$D:$D, (MATCH(156, 輔助計算!$G$2:$G$801, 0)+1)),IF(INDEX(ERP資料!$G:$G, (MATCH(156, 輔助計算!$G$2:$G$801, 0)+1))&lt;100, IF(INDEX(ERP資料!$G:$G, (MATCH(156, 輔助計算!$G$2:$G$801, 0)+1))&lt;=31,3,IF(INDEX(ERP資料!$G:$G, (MATCH(156, 輔助計算!$G$2:$G$801, 0)+1))&lt;=46.5,2,1)), IF(INDEX(ERP資料!$G:$G, (MATCH(156, 輔助計算!$G$2:$G$801, 0)+1))&lt;=790,3,IF(INDEX(ERP資料!$G:$G, (MATCH(156, 輔助計算!$G$2:$G$801, 0)+1))&lt;=1181,2,1))))=0,"",IF(MOD(INDEX(輔助計算!$D:$D, (MATCH(156, 輔助計算!$G$2:$G$801, 0)+1)),IF(INDEX(ERP資料!$G:$G, (MATCH(156, 輔助計算!$G$2:$G$801, 0)+1))&lt;100, IF(INDEX(ERP資料!$G:$G, (MATCH(156, 輔助計算!$G$2:$G$801, 0)+1))&lt;=31,3,IF(INDEX(ERP資料!$G:$G, (MATCH(156, 輔助計算!$G$2:$G$801, 0)+1))&lt;=46.5,2,1)), IF(INDEX(ERP資料!$G:$G, (MATCH(156, 輔助計算!$G$2:$G$801, 0)+1))&lt;=790,3,IF(INDEX(ERP資料!$G:$G, (MATCH(156, 輔助計算!$G$2:$G$801, 0)+1))&lt;=1181,2,1))))=0,"",IF(MOD(INDEX(輔助計算!$D:$D, (MATCH(156, 輔助計算!$G$2:$G$801, 0)+1)),IF(INDEX(ERP資料!$G:$G, (MATCH(156, 輔助計算!$G$2:$G$801, 0)+1))&lt;100, IF(INDEX(ERP資料!$G:$G, (MATCH(156, 輔助計算!$G$2:$G$801, 0)+1))&lt;=31,3,IF(INDEX(ERP資料!$G:$G, (MATCH(156, 輔助計算!$G$2:$G$801, 0)+1))&lt;=46.5,2,1)), IF(INDEX(ERP資料!$G:$G, (MATCH(156, 輔助計算!$G$2:$G$801, 0)+1))&lt;=790,3,IF(INDEX(ERP資料!$G:$G, (MATCH(156, 輔助計算!$G$2:$G$801, 0)+1))&lt;=1181,2,1))))=1,TEXT(INDEX(ERP資料!$G:$G, (MATCH(156, 輔助計算!$G$2:$G$801, 0)+1)),"0.##"),IF(MOD(INDEX(輔助計算!$D:$D, (MATCH(156, 輔助計算!$G$2:$G$801, 0)+1)),IF(INDEX(ERP資料!$G:$G, (MATCH(156, 輔助計算!$G$2:$G$801, 0)+1))&lt;100, IF(INDEX(ERP資料!$G:$G, (MATCH(156, 輔助計算!$G$2:$G$801, 0)+1))&lt;=31,3,IF(INDEX(ERP資料!$G:$G, (MATCH(156, 輔助計算!$G$2:$G$801, 0)+1))&lt;=46.5,2,1)), IF(INDEX(ERP資料!$G:$G, (MATCH(156, 輔助計算!$G$2:$G$801, 0)+1))&lt;=790,3,IF(INDEX(ERP資料!$G:$G, (MATCH(156, 輔助計算!$G$2:$G$801, 0)+1))&lt;=1181,2,1))))=2,TEXT(INDEX(ERP資料!$G:$G, (MATCH(156, 輔助計算!$G$2:$G$801, 0)+1)),"0.##")&amp;"+"&amp;TEXT(INDEX(ERP資料!$G:$G, (MATCH(156, 輔助計算!$G$2:$G$801, 0)+1)),"0.##"),TEXT(INDEX(ERP資料!$G:$G, (MATCH(156, 輔助計算!$G$2:$G$801, 0)+1)),"0.##")&amp;"+"&amp;TEXT(INDEX(ERP資料!$G:$G, (MATCH(156, 輔助計算!$G$2:$G$801, 0)+1)),"0.##")&amp;"+"&amp;TEXT(INDEX(ERP資料!$G:$G, (MATCH(156, 輔助計算!$G$2:$G$801, 0)+1)),"0.##"))))&amp;"-1")&lt;&gt;""),"  ","")&amp;IF(MOD(INDEX(輔助計算!$D:$D, (MATCH(156, 輔助計算!$G$2:$G$801, 0)+1)),IF(INDEX(ERP資料!$G:$G, (MATCH(156, 輔助計算!$G$2:$G$801, 0)+1))&lt;100, IF(INDEX(ERP資料!$G:$G, (MATCH(156, 輔助計算!$G$2:$G$801, 0)+1))&lt;=31,3,IF(INDEX(ERP資料!$G:$G, (MATCH(156, 輔助計算!$G$2:$G$801, 0)+1))&lt;=46.5,2,1)), IF(INDEX(ERP資料!$G:$G, (MATCH(156, 輔助計算!$G$2:$G$801, 0)+1))&lt;=790,3,IF(INDEX(ERP資料!$G:$G, (MATCH(156, 輔助計算!$G$2:$G$801, 0)+1))&lt;=1181,2,1))))=0,"",IF(MOD(INDEX(輔助計算!$D:$D, (MATCH(156, 輔助計算!$G$2:$G$801, 0)+1)),IF(INDEX(ERP資料!$G:$G, (MATCH(156, 輔助計算!$G$2:$G$801, 0)+1))&lt;100, IF(INDEX(ERP資料!$G:$G, (MATCH(156, 輔助計算!$G$2:$G$801, 0)+1))&lt;=31,3,IF(INDEX(ERP資料!$G:$G, (MATCH(156, 輔助計算!$G$2:$G$801, 0)+1))&lt;=46.5,2,1)), IF(INDEX(ERP資料!$G:$G, (MATCH(156, 輔助計算!$G$2:$G$801, 0)+1))&lt;=790,3,IF(INDEX(ERP資料!$G:$G, (MATCH(156, 輔助計算!$G$2:$G$801, 0)+1))&lt;=1181,2,1))))=0,"",IF(MOD(INDEX(輔助計算!$D:$D, (MATCH(156, 輔助計算!$G$2:$G$801, 0)+1)),IF(INDEX(ERP資料!$G:$G, (MATCH(156, 輔助計算!$G$2:$G$801, 0)+1))&lt;100, IF(INDEX(ERP資料!$G:$G, (MATCH(156, 輔助計算!$G$2:$G$801, 0)+1))&lt;=31,3,IF(INDEX(ERP資料!$G:$G, (MATCH(156, 輔助計算!$G$2:$G$801, 0)+1))&lt;=46.5,2,1)), IF(INDEX(ERP資料!$G:$G, (MATCH(156, 輔助計算!$G$2:$G$801, 0)+1))&lt;=790,3,IF(INDEX(ERP資料!$G:$G, (MATCH(156, 輔助計算!$G$2:$G$801, 0)+1))&lt;=1181,2,1))))=1,TEXT(INDEX(ERP資料!$G:$G, (MATCH(156, 輔助計算!$G$2:$G$801, 0)+1)),"0.##"),IF(MOD(INDEX(輔助計算!$D:$D, (MATCH(156, 輔助計算!$G$2:$G$801, 0)+1)),IF(INDEX(ERP資料!$G:$G, (MATCH(156, 輔助計算!$G$2:$G$801, 0)+1))&lt;100, IF(INDEX(ERP資料!$G:$G, (MATCH(156, 輔助計算!$G$2:$G$801, 0)+1))&lt;=31,3,IF(INDEX(ERP資料!$G:$G, (MATCH(156, 輔助計算!$G$2:$G$801, 0)+1))&lt;=46.5,2,1)), IF(INDEX(ERP資料!$G:$G, (MATCH(156, 輔助計算!$G$2:$G$801, 0)+1))&lt;=790,3,IF(INDEX(ERP資料!$G:$G, (MATCH(156, 輔助計算!$G$2:$G$801, 0)+1))&lt;=1181,2,1))))=2,TEXT(INDEX(ERP資料!$G:$G, (MATCH(156, 輔助計算!$G$2:$G$801, 0)+1)),"0.##")&amp;"+"&amp;TEXT(INDEX(ERP資料!$G:$G, (MATCH(156, 輔助計算!$G$2:$G$801, 0)+1)),"0.##"),TEXT(INDEX(ERP資料!$G:$G, (MATCH(156, 輔助計算!$G$2:$G$801, 0)+1)),"0.##")&amp;"+"&amp;TEXT(INDEX(ERP資料!$G:$G, (MATCH(156, 輔助計算!$G$2:$G$801, 0)+1)),"0.##")&amp;"+"&amp;TEXT(INDEX(ERP資料!$G:$G, (MATCH(156, 輔助計算!$G$2:$G$801, 0)+1)),"0.##"))))&amp;"-1")), ""), "")</f>
        <v/>
      </c>
      <c r="K157" s="16" t="n"/>
      <c r="L157" s="14">
        <f>IFERROR(IF(AND(IFERROR(INDEX(ERP資料!$A:$A, (MATCH(156, 輔助計算!$G$2:$G$801, 0)+1)), "")&lt;&gt;"", IFERROR(INDEX(ERP資料!$A:$A, (MATCH(156, 輔助計算!$G$2:$G$801, 0)+1)), "")&lt;&gt;IFERROR(INDEX(ERP資料!$A:$A, MATCH(155, 輔助計算!$G$2:$G$801, 0)+1), "")), INDEX(ERP資料!$B:$B, (MATCH(156, 輔助計算!$G$2:$G$801, 0)+1)), ""), "")</f>
        <v/>
      </c>
      <c r="M157" s="17" t="n"/>
    </row>
    <row r="158">
      <c r="A158" s="10">
        <f>IFERROR(IF(AND(IFERROR(INDEX(ERP資料!$A:$A, (MATCH(157, 輔助計算!$G$2:$G$801, 0)+1)), "")&lt;&gt;"", IFERROR(INDEX(ERP資料!$A:$A, (MATCH(157, 輔助計算!$G$2:$G$801, 0)+1)), "")&lt;&gt;IFERROR(INDEX(ERP資料!$A:$A, MATCH(156, 輔助計算!$G$2:$G$801, 0)+1), "")), IFERROR(INDEX(ERP資料!$A:$A, (MATCH(157, 輔助計算!$G$2:$G$801, 0)+1)), ""), ""), "")</f>
        <v/>
      </c>
      <c r="B158" s="10">
        <f>IFERROR(IF(AND(IFERROR(INDEX(ERP資料!$A:$A, (MATCH(157, 輔助計算!$G$2:$G$801, 0)+1)), "")&lt;&gt;"", IFERROR(INDEX(ERP資料!$A:$A, (MATCH(157, 輔助計算!$G$2:$G$801, 0)+1)), "")&lt;&gt;IFERROR(INDEX(ERP資料!$A:$A, MATCH(156, 輔助計算!$G$2:$G$801, 0)+1), "")), INDEX(ERP資料!$S:$S, (MATCH(157, 輔助計算!$G$2:$G$801, 0)+1)), ""), "")</f>
        <v/>
      </c>
      <c r="C158" s="19">
        <f>IFERROR(IF(AND(IFERROR(INDEX(ERP資料!$A:$A, (MATCH(157, 輔助計算!$G$2:$G$801, 0)+1)), "")&lt;&gt;"", IFERROR(INDEX(ERP資料!$A:$A, (MATCH(157, 輔助計算!$G$2:$G$801, 0)+1)), "")&lt;&gt;IFERROR(INDEX(ERP資料!$A:$A, MATCH(156, 輔助計算!$G$2:$G$801, 0)+1), "")), IFERROR(VLOOKUP(LEFT(INDEX(ERP資料!$S:$S, (MATCH(157, 輔助計算!$G$2:$G$801, 0)+1)), 4), 紙管對照表!$A:$C, 3, FALSE), ""), ""), "")</f>
        <v/>
      </c>
      <c r="D158" s="16" t="n"/>
      <c r="E158" s="10">
        <f>IFERROR(IF(INDEX(ERP資料!$H:$H, (MATCH(157, 輔助計算!$G$2:$G$801, 0)+1))="","",INDEX(ERP資料!$H:$H, (MATCH(157, 輔助計算!$G$2:$G$801, 0)+1))), "")</f>
        <v/>
      </c>
      <c r="F158" s="10">
        <f>IFERROR(IF(INDEX(ERP資料!$E:$E, (MATCH(157, 輔助計算!$G$2:$G$801, 0)+1))="","",TRIM(INDEX(ERP資料!$E:$E, (MATCH(157, 輔助計算!$G$2:$G$801, 0)+1)))), "")</f>
        <v/>
      </c>
      <c r="G158" s="10">
        <f>IFERROR(IF(INDEX(ERP資料!$F:$F, (MATCH(157, 輔助計算!$G$2:$G$801, 0)+1))="","",INDEX(ERP資料!$F:$F, (MATCH(157, 輔助計算!$G$2:$G$801, 0)+1))), "")</f>
        <v/>
      </c>
      <c r="H158" s="10">
        <f>IFERROR(IF(INDEX(ERP資料!$G:$G, (MATCH(157, 輔助計算!$G$2:$G$801, 0)+1))="","",INDEX(ERP資料!$G:$G, (MATCH(157, 輔助計算!$G$2:$G$801, 0)+1))), "")</f>
        <v/>
      </c>
      <c r="I158" s="15">
        <f>IFERROR(INDEX(輔助計算!$D:$D, (MATCH(157, 輔助計算!$G$2:$G$801, 0)+1)), "")</f>
        <v/>
      </c>
      <c r="J158" s="15">
        <f>IFERROR(IF(AND(INDEX(輔助計算!$D:$D, (MATCH(157, 輔助計算!$G$2:$G$801, 0)+1))&lt;&gt;"", INDEX(ERP資料!$G:$G, (MATCH(157, 輔助計算!$G$2:$G$801, 0)+1))&lt;&gt;""), TRIM(IF(INT(INDEX(輔助計算!$D:$D, (MATCH(157, 輔助計算!$G$2:$G$801, 0)+1))/IF(INDEX(ERP資料!$G:$G, (MATCH(157, 輔助計算!$G$2:$G$801, 0)+1))&lt;100, IF(INDEX(ERP資料!$G:$G, (MATCH(157, 輔助計算!$G$2:$G$801, 0)+1))&lt;=31,3,IF(INDEX(ERP資料!$G:$G, (MATCH(157, 輔助計算!$G$2:$G$801, 0)+1))&lt;=46.5,2,1)), IF(INDEX(ERP資料!$G:$G, (MATCH(157, 輔助計算!$G$2:$G$801, 0)+1))&lt;=790,3,IF(INDEX(ERP資料!$G:$G, (MATCH(157, 輔助計算!$G$2:$G$801, 0)+1))&lt;=1181,2,1))))&gt;0, IF(IF(INDEX(ERP資料!$G:$G, (MATCH(157, 輔助計算!$G$2:$G$801, 0)+1))&lt;100, IF(INDEX(ERP資料!$G:$G, (MATCH(157, 輔助計算!$G$2:$G$801, 0)+1))&lt;=31,3,IF(INDEX(ERP資料!$G:$G, (MATCH(157, 輔助計算!$G$2:$G$801, 0)+1))&lt;=46.5,2,1)), IF(INDEX(ERP資料!$G:$G, (MATCH(157, 輔助計算!$G$2:$G$801, 0)+1))&lt;=790,3,IF(INDEX(ERP資料!$G:$G, (MATCH(157, 輔助計算!$G$2:$G$801, 0)+1))&lt;=1181,2,1)))=1,TEXT(INDEX(ERP資料!$G:$G, (MATCH(157, 輔助計算!$G$2:$G$801, 0)+1)),"0.##"),IF(IF(INDEX(ERP資料!$G:$G, (MATCH(157, 輔助計算!$G$2:$G$801, 0)+1))&lt;100, IF(INDEX(ERP資料!$G:$G, (MATCH(157, 輔助計算!$G$2:$G$801, 0)+1))&lt;=31,3,IF(INDEX(ERP資料!$G:$G, (MATCH(157, 輔助計算!$G$2:$G$801, 0)+1))&lt;=46.5,2,1)), IF(INDEX(ERP資料!$G:$G, (MATCH(157, 輔助計算!$G$2:$G$801, 0)+1))&lt;=790,3,IF(INDEX(ERP資料!$G:$G, (MATCH(157, 輔助計算!$G$2:$G$801, 0)+1))&lt;=1181,2,1)))=2,TEXT(INDEX(ERP資料!$G:$G, (MATCH(157, 輔助計算!$G$2:$G$801, 0)+1)),"0.##")&amp;"+"&amp;TEXT(INDEX(ERP資料!$G:$G, (MATCH(157, 輔助計算!$G$2:$G$801, 0)+1)),"0.##"),TEXT(INDEX(ERP資料!$G:$G, (MATCH(157, 輔助計算!$G$2:$G$801, 0)+1)),"0.##")&amp;"+"&amp;TEXT(INDEX(ERP資料!$G:$G, (MATCH(157, 輔助計算!$G$2:$G$801, 0)+1)),"0.##")&amp;"+"&amp;TEXT(INDEX(ERP資料!$G:$G, (MATCH(157, 輔助計算!$G$2:$G$801, 0)+1)),"0.##")))&amp;"-"&amp;INT(INDEX(輔助計算!$D:$D, (MATCH(157, 輔助計算!$G$2:$G$801, 0)+1))/IF(INDEX(ERP資料!$G:$G, (MATCH(157, 輔助計算!$G$2:$G$801, 0)+1))&lt;100, IF(INDEX(ERP資料!$G:$G, (MATCH(157, 輔助計算!$G$2:$G$801, 0)+1))&lt;=31,3,IF(INDEX(ERP資料!$G:$G, (MATCH(157, 輔助計算!$G$2:$G$801, 0)+1))&lt;=46.5,2,1)), IF(INDEX(ERP資料!$G:$G, (MATCH(157, 輔助計算!$G$2:$G$801, 0)+1))&lt;=790,3,IF(INDEX(ERP資料!$G:$G, (MATCH(157, 輔助計算!$G$2:$G$801, 0)+1))&lt;=1181,2,1)))), "")&amp;IF(AND(IF(INT(INDEX(輔助計算!$D:$D, (MATCH(157, 輔助計算!$G$2:$G$801, 0)+1))/IF(INDEX(ERP資料!$G:$G, (MATCH(157, 輔助計算!$G$2:$G$801, 0)+1))&lt;100, IF(INDEX(ERP資料!$G:$G, (MATCH(157, 輔助計算!$G$2:$G$801, 0)+1))&lt;=31,3,IF(INDEX(ERP資料!$G:$G, (MATCH(157, 輔助計算!$G$2:$G$801, 0)+1))&lt;=46.5,2,1)), IF(INDEX(ERP資料!$G:$G, (MATCH(157, 輔助計算!$G$2:$G$801, 0)+1))&lt;=790,3,IF(INDEX(ERP資料!$G:$G, (MATCH(157, 輔助計算!$G$2:$G$801, 0)+1))&lt;=1181,2,1))))&gt;0, IF(IF(INDEX(ERP資料!$G:$G, (MATCH(157, 輔助計算!$G$2:$G$801, 0)+1))&lt;100, IF(INDEX(ERP資料!$G:$G, (MATCH(157, 輔助計算!$G$2:$G$801, 0)+1))&lt;=31,3,IF(INDEX(ERP資料!$G:$G, (MATCH(157, 輔助計算!$G$2:$G$801, 0)+1))&lt;=46.5,2,1)), IF(INDEX(ERP資料!$G:$G, (MATCH(157, 輔助計算!$G$2:$G$801, 0)+1))&lt;=790,3,IF(INDEX(ERP資料!$G:$G, (MATCH(157, 輔助計算!$G$2:$G$801, 0)+1))&lt;=1181,2,1)))=1,TEXT(INDEX(ERP資料!$G:$G, (MATCH(157, 輔助計算!$G$2:$G$801, 0)+1)),"0.##"),IF(IF(INDEX(ERP資料!$G:$G, (MATCH(157, 輔助計算!$G$2:$G$801, 0)+1))&lt;100, IF(INDEX(ERP資料!$G:$G, (MATCH(157, 輔助計算!$G$2:$G$801, 0)+1))&lt;=31,3,IF(INDEX(ERP資料!$G:$G, (MATCH(157, 輔助計算!$G$2:$G$801, 0)+1))&lt;=46.5,2,1)), IF(INDEX(ERP資料!$G:$G, (MATCH(157, 輔助計算!$G$2:$G$801, 0)+1))&lt;=790,3,IF(INDEX(ERP資料!$G:$G, (MATCH(157, 輔助計算!$G$2:$G$801, 0)+1))&lt;=1181,2,1)))=2,TEXT(INDEX(ERP資料!$G:$G, (MATCH(157, 輔助計算!$G$2:$G$801, 0)+1)),"0.##")&amp;"+"&amp;TEXT(INDEX(ERP資料!$G:$G, (MATCH(157, 輔助計算!$G$2:$G$801, 0)+1)),"0.##"),TEXT(INDEX(ERP資料!$G:$G, (MATCH(157, 輔助計算!$G$2:$G$801, 0)+1)),"0.##")&amp;"+"&amp;TEXT(INDEX(ERP資料!$G:$G, (MATCH(157, 輔助計算!$G$2:$G$801, 0)+1)),"0.##")&amp;"+"&amp;TEXT(INDEX(ERP資料!$G:$G, (MATCH(157, 輔助計算!$G$2:$G$801, 0)+1)),"0.##")))&amp;"-"&amp;INT(INDEX(輔助計算!$D:$D, (MATCH(157, 輔助計算!$G$2:$G$801, 0)+1))/IF(INDEX(ERP資料!$G:$G, (MATCH(157, 輔助計算!$G$2:$G$801, 0)+1))&lt;100, IF(INDEX(ERP資料!$G:$G, (MATCH(157, 輔助計算!$G$2:$G$801, 0)+1))&lt;=31,3,IF(INDEX(ERP資料!$G:$G, (MATCH(157, 輔助計算!$G$2:$G$801, 0)+1))&lt;=46.5,2,1)), IF(INDEX(ERP資料!$G:$G, (MATCH(157, 輔助計算!$G$2:$G$801, 0)+1))&lt;=790,3,IF(INDEX(ERP資料!$G:$G, (MATCH(157, 輔助計算!$G$2:$G$801, 0)+1))&lt;=1181,2,1)))), "")&lt;&gt;"",IF(MOD(INDEX(輔助計算!$D:$D, (MATCH(157, 輔助計算!$G$2:$G$801, 0)+1)),IF(INDEX(ERP資料!$G:$G, (MATCH(157, 輔助計算!$G$2:$G$801, 0)+1))&lt;100, IF(INDEX(ERP資料!$G:$G, (MATCH(157, 輔助計算!$G$2:$G$801, 0)+1))&lt;=31,3,IF(INDEX(ERP資料!$G:$G, (MATCH(157, 輔助計算!$G$2:$G$801, 0)+1))&lt;=46.5,2,1)), IF(INDEX(ERP資料!$G:$G, (MATCH(157, 輔助計算!$G$2:$G$801, 0)+1))&lt;=790,3,IF(INDEX(ERP資料!$G:$G, (MATCH(157, 輔助計算!$G$2:$G$801, 0)+1))&lt;=1181,2,1))))=0,"",IF(MOD(INDEX(輔助計算!$D:$D, (MATCH(157, 輔助計算!$G$2:$G$801, 0)+1)),IF(INDEX(ERP資料!$G:$G, (MATCH(157, 輔助計算!$G$2:$G$801, 0)+1))&lt;100, IF(INDEX(ERP資料!$G:$G, (MATCH(157, 輔助計算!$G$2:$G$801, 0)+1))&lt;=31,3,IF(INDEX(ERP資料!$G:$G, (MATCH(157, 輔助計算!$G$2:$G$801, 0)+1))&lt;=46.5,2,1)), IF(INDEX(ERP資料!$G:$G, (MATCH(157, 輔助計算!$G$2:$G$801, 0)+1))&lt;=790,3,IF(INDEX(ERP資料!$G:$G, (MATCH(157, 輔助計算!$G$2:$G$801, 0)+1))&lt;=1181,2,1))))=0,"",IF(MOD(INDEX(輔助計算!$D:$D, (MATCH(157, 輔助計算!$G$2:$G$801, 0)+1)),IF(INDEX(ERP資料!$G:$G, (MATCH(157, 輔助計算!$G$2:$G$801, 0)+1))&lt;100, IF(INDEX(ERP資料!$G:$G, (MATCH(157, 輔助計算!$G$2:$G$801, 0)+1))&lt;=31,3,IF(INDEX(ERP資料!$G:$G, (MATCH(157, 輔助計算!$G$2:$G$801, 0)+1))&lt;=46.5,2,1)), IF(INDEX(ERP資料!$G:$G, (MATCH(157, 輔助計算!$G$2:$G$801, 0)+1))&lt;=790,3,IF(INDEX(ERP資料!$G:$G, (MATCH(157, 輔助計算!$G$2:$G$801, 0)+1))&lt;=1181,2,1))))=1,TEXT(INDEX(ERP資料!$G:$G, (MATCH(157, 輔助計算!$G$2:$G$801, 0)+1)),"0.##"),IF(MOD(INDEX(輔助計算!$D:$D, (MATCH(157, 輔助計算!$G$2:$G$801, 0)+1)),IF(INDEX(ERP資料!$G:$G, (MATCH(157, 輔助計算!$G$2:$G$801, 0)+1))&lt;100, IF(INDEX(ERP資料!$G:$G, (MATCH(157, 輔助計算!$G$2:$G$801, 0)+1))&lt;=31,3,IF(INDEX(ERP資料!$G:$G, (MATCH(157, 輔助計算!$G$2:$G$801, 0)+1))&lt;=46.5,2,1)), IF(INDEX(ERP資料!$G:$G, (MATCH(157, 輔助計算!$G$2:$G$801, 0)+1))&lt;=790,3,IF(INDEX(ERP資料!$G:$G, (MATCH(157, 輔助計算!$G$2:$G$801, 0)+1))&lt;=1181,2,1))))=2,TEXT(INDEX(ERP資料!$G:$G, (MATCH(157, 輔助計算!$G$2:$G$801, 0)+1)),"0.##")&amp;"+"&amp;TEXT(INDEX(ERP資料!$G:$G, (MATCH(157, 輔助計算!$G$2:$G$801, 0)+1)),"0.##"),TEXT(INDEX(ERP資料!$G:$G, (MATCH(157, 輔助計算!$G$2:$G$801, 0)+1)),"0.##")&amp;"+"&amp;TEXT(INDEX(ERP資料!$G:$G, (MATCH(157, 輔助計算!$G$2:$G$801, 0)+1)),"0.##")&amp;"+"&amp;TEXT(INDEX(ERP資料!$G:$G, (MATCH(157, 輔助計算!$G$2:$G$801, 0)+1)),"0.##"))))&amp;"-1")&lt;&gt;""),"  ","")&amp;IF(MOD(INDEX(輔助計算!$D:$D, (MATCH(157, 輔助計算!$G$2:$G$801, 0)+1)),IF(INDEX(ERP資料!$G:$G, (MATCH(157, 輔助計算!$G$2:$G$801, 0)+1))&lt;100, IF(INDEX(ERP資料!$G:$G, (MATCH(157, 輔助計算!$G$2:$G$801, 0)+1))&lt;=31,3,IF(INDEX(ERP資料!$G:$G, (MATCH(157, 輔助計算!$G$2:$G$801, 0)+1))&lt;=46.5,2,1)), IF(INDEX(ERP資料!$G:$G, (MATCH(157, 輔助計算!$G$2:$G$801, 0)+1))&lt;=790,3,IF(INDEX(ERP資料!$G:$G, (MATCH(157, 輔助計算!$G$2:$G$801, 0)+1))&lt;=1181,2,1))))=0,"",IF(MOD(INDEX(輔助計算!$D:$D, (MATCH(157, 輔助計算!$G$2:$G$801, 0)+1)),IF(INDEX(ERP資料!$G:$G, (MATCH(157, 輔助計算!$G$2:$G$801, 0)+1))&lt;100, IF(INDEX(ERP資料!$G:$G, (MATCH(157, 輔助計算!$G$2:$G$801, 0)+1))&lt;=31,3,IF(INDEX(ERP資料!$G:$G, (MATCH(157, 輔助計算!$G$2:$G$801, 0)+1))&lt;=46.5,2,1)), IF(INDEX(ERP資料!$G:$G, (MATCH(157, 輔助計算!$G$2:$G$801, 0)+1))&lt;=790,3,IF(INDEX(ERP資料!$G:$G, (MATCH(157, 輔助計算!$G$2:$G$801, 0)+1))&lt;=1181,2,1))))=0,"",IF(MOD(INDEX(輔助計算!$D:$D, (MATCH(157, 輔助計算!$G$2:$G$801, 0)+1)),IF(INDEX(ERP資料!$G:$G, (MATCH(157, 輔助計算!$G$2:$G$801, 0)+1))&lt;100, IF(INDEX(ERP資料!$G:$G, (MATCH(157, 輔助計算!$G$2:$G$801, 0)+1))&lt;=31,3,IF(INDEX(ERP資料!$G:$G, (MATCH(157, 輔助計算!$G$2:$G$801, 0)+1))&lt;=46.5,2,1)), IF(INDEX(ERP資料!$G:$G, (MATCH(157, 輔助計算!$G$2:$G$801, 0)+1))&lt;=790,3,IF(INDEX(ERP資料!$G:$G, (MATCH(157, 輔助計算!$G$2:$G$801, 0)+1))&lt;=1181,2,1))))=1,TEXT(INDEX(ERP資料!$G:$G, (MATCH(157, 輔助計算!$G$2:$G$801, 0)+1)),"0.##"),IF(MOD(INDEX(輔助計算!$D:$D, (MATCH(157, 輔助計算!$G$2:$G$801, 0)+1)),IF(INDEX(ERP資料!$G:$G, (MATCH(157, 輔助計算!$G$2:$G$801, 0)+1))&lt;100, IF(INDEX(ERP資料!$G:$G, (MATCH(157, 輔助計算!$G$2:$G$801, 0)+1))&lt;=31,3,IF(INDEX(ERP資料!$G:$G, (MATCH(157, 輔助計算!$G$2:$G$801, 0)+1))&lt;=46.5,2,1)), IF(INDEX(ERP資料!$G:$G, (MATCH(157, 輔助計算!$G$2:$G$801, 0)+1))&lt;=790,3,IF(INDEX(ERP資料!$G:$G, (MATCH(157, 輔助計算!$G$2:$G$801, 0)+1))&lt;=1181,2,1))))=2,TEXT(INDEX(ERP資料!$G:$G, (MATCH(157, 輔助計算!$G$2:$G$801, 0)+1)),"0.##")&amp;"+"&amp;TEXT(INDEX(ERP資料!$G:$G, (MATCH(157, 輔助計算!$G$2:$G$801, 0)+1)),"0.##"),TEXT(INDEX(ERP資料!$G:$G, (MATCH(157, 輔助計算!$G$2:$G$801, 0)+1)),"0.##")&amp;"+"&amp;TEXT(INDEX(ERP資料!$G:$G, (MATCH(157, 輔助計算!$G$2:$G$801, 0)+1)),"0.##")&amp;"+"&amp;TEXT(INDEX(ERP資料!$G:$G, (MATCH(157, 輔助計算!$G$2:$G$801, 0)+1)),"0.##"))))&amp;"-1")), ""), "")</f>
        <v/>
      </c>
      <c r="K158" s="16" t="n"/>
      <c r="L158" s="14">
        <f>IFERROR(IF(AND(IFERROR(INDEX(ERP資料!$A:$A, (MATCH(157, 輔助計算!$G$2:$G$801, 0)+1)), "")&lt;&gt;"", IFERROR(INDEX(ERP資料!$A:$A, (MATCH(157, 輔助計算!$G$2:$G$801, 0)+1)), "")&lt;&gt;IFERROR(INDEX(ERP資料!$A:$A, MATCH(156, 輔助計算!$G$2:$G$801, 0)+1), "")), INDEX(ERP資料!$B:$B, (MATCH(157, 輔助計算!$G$2:$G$801, 0)+1)), ""), "")</f>
        <v/>
      </c>
      <c r="M158" s="17" t="n"/>
    </row>
    <row r="159">
      <c r="A159" s="10">
        <f>IFERROR(IF(AND(IFERROR(INDEX(ERP資料!$A:$A, (MATCH(158, 輔助計算!$G$2:$G$801, 0)+1)), "")&lt;&gt;"", IFERROR(INDEX(ERP資料!$A:$A, (MATCH(158, 輔助計算!$G$2:$G$801, 0)+1)), "")&lt;&gt;IFERROR(INDEX(ERP資料!$A:$A, MATCH(157, 輔助計算!$G$2:$G$801, 0)+1), "")), IFERROR(INDEX(ERP資料!$A:$A, (MATCH(158, 輔助計算!$G$2:$G$801, 0)+1)), ""), ""), "")</f>
        <v/>
      </c>
      <c r="B159" s="10">
        <f>IFERROR(IF(AND(IFERROR(INDEX(ERP資料!$A:$A, (MATCH(158, 輔助計算!$G$2:$G$801, 0)+1)), "")&lt;&gt;"", IFERROR(INDEX(ERP資料!$A:$A, (MATCH(158, 輔助計算!$G$2:$G$801, 0)+1)), "")&lt;&gt;IFERROR(INDEX(ERP資料!$A:$A, MATCH(157, 輔助計算!$G$2:$G$801, 0)+1), "")), INDEX(ERP資料!$S:$S, (MATCH(158, 輔助計算!$G$2:$G$801, 0)+1)), ""), "")</f>
        <v/>
      </c>
      <c r="C159" s="19">
        <f>IFERROR(IF(AND(IFERROR(INDEX(ERP資料!$A:$A, (MATCH(158, 輔助計算!$G$2:$G$801, 0)+1)), "")&lt;&gt;"", IFERROR(INDEX(ERP資料!$A:$A, (MATCH(158, 輔助計算!$G$2:$G$801, 0)+1)), "")&lt;&gt;IFERROR(INDEX(ERP資料!$A:$A, MATCH(157, 輔助計算!$G$2:$G$801, 0)+1), "")), IFERROR(VLOOKUP(LEFT(INDEX(ERP資料!$S:$S, (MATCH(158, 輔助計算!$G$2:$G$801, 0)+1)), 4), 紙管對照表!$A:$C, 3, FALSE), ""), ""), "")</f>
        <v/>
      </c>
      <c r="D159" s="16" t="n"/>
      <c r="E159" s="10">
        <f>IFERROR(IF(INDEX(ERP資料!$H:$H, (MATCH(158, 輔助計算!$G$2:$G$801, 0)+1))="","",INDEX(ERP資料!$H:$H, (MATCH(158, 輔助計算!$G$2:$G$801, 0)+1))), "")</f>
        <v/>
      </c>
      <c r="F159" s="10">
        <f>IFERROR(IF(INDEX(ERP資料!$E:$E, (MATCH(158, 輔助計算!$G$2:$G$801, 0)+1))="","",TRIM(INDEX(ERP資料!$E:$E, (MATCH(158, 輔助計算!$G$2:$G$801, 0)+1)))), "")</f>
        <v/>
      </c>
      <c r="G159" s="10">
        <f>IFERROR(IF(INDEX(ERP資料!$F:$F, (MATCH(158, 輔助計算!$G$2:$G$801, 0)+1))="","",INDEX(ERP資料!$F:$F, (MATCH(158, 輔助計算!$G$2:$G$801, 0)+1))), "")</f>
        <v/>
      </c>
      <c r="H159" s="10">
        <f>IFERROR(IF(INDEX(ERP資料!$G:$G, (MATCH(158, 輔助計算!$G$2:$G$801, 0)+1))="","",INDEX(ERP資料!$G:$G, (MATCH(158, 輔助計算!$G$2:$G$801, 0)+1))), "")</f>
        <v/>
      </c>
      <c r="I159" s="15">
        <f>IFERROR(INDEX(輔助計算!$D:$D, (MATCH(158, 輔助計算!$G$2:$G$801, 0)+1)), "")</f>
        <v/>
      </c>
      <c r="J159" s="15">
        <f>IFERROR(IF(AND(INDEX(輔助計算!$D:$D, (MATCH(158, 輔助計算!$G$2:$G$801, 0)+1))&lt;&gt;"", INDEX(ERP資料!$G:$G, (MATCH(158, 輔助計算!$G$2:$G$801, 0)+1))&lt;&gt;""), TRIM(IF(INT(INDEX(輔助計算!$D:$D, (MATCH(158, 輔助計算!$G$2:$G$801, 0)+1))/IF(INDEX(ERP資料!$G:$G, (MATCH(158, 輔助計算!$G$2:$G$801, 0)+1))&lt;100, IF(INDEX(ERP資料!$G:$G, (MATCH(158, 輔助計算!$G$2:$G$801, 0)+1))&lt;=31,3,IF(INDEX(ERP資料!$G:$G, (MATCH(158, 輔助計算!$G$2:$G$801, 0)+1))&lt;=46.5,2,1)), IF(INDEX(ERP資料!$G:$G, (MATCH(158, 輔助計算!$G$2:$G$801, 0)+1))&lt;=790,3,IF(INDEX(ERP資料!$G:$G, (MATCH(158, 輔助計算!$G$2:$G$801, 0)+1))&lt;=1181,2,1))))&gt;0, IF(IF(INDEX(ERP資料!$G:$G, (MATCH(158, 輔助計算!$G$2:$G$801, 0)+1))&lt;100, IF(INDEX(ERP資料!$G:$G, (MATCH(158, 輔助計算!$G$2:$G$801, 0)+1))&lt;=31,3,IF(INDEX(ERP資料!$G:$G, (MATCH(158, 輔助計算!$G$2:$G$801, 0)+1))&lt;=46.5,2,1)), IF(INDEX(ERP資料!$G:$G, (MATCH(158, 輔助計算!$G$2:$G$801, 0)+1))&lt;=790,3,IF(INDEX(ERP資料!$G:$G, (MATCH(158, 輔助計算!$G$2:$G$801, 0)+1))&lt;=1181,2,1)))=1,TEXT(INDEX(ERP資料!$G:$G, (MATCH(158, 輔助計算!$G$2:$G$801, 0)+1)),"0.##"),IF(IF(INDEX(ERP資料!$G:$G, (MATCH(158, 輔助計算!$G$2:$G$801, 0)+1))&lt;100, IF(INDEX(ERP資料!$G:$G, (MATCH(158, 輔助計算!$G$2:$G$801, 0)+1))&lt;=31,3,IF(INDEX(ERP資料!$G:$G, (MATCH(158, 輔助計算!$G$2:$G$801, 0)+1))&lt;=46.5,2,1)), IF(INDEX(ERP資料!$G:$G, (MATCH(158, 輔助計算!$G$2:$G$801, 0)+1))&lt;=790,3,IF(INDEX(ERP資料!$G:$G, (MATCH(158, 輔助計算!$G$2:$G$801, 0)+1))&lt;=1181,2,1)))=2,TEXT(INDEX(ERP資料!$G:$G, (MATCH(158, 輔助計算!$G$2:$G$801, 0)+1)),"0.##")&amp;"+"&amp;TEXT(INDEX(ERP資料!$G:$G, (MATCH(158, 輔助計算!$G$2:$G$801, 0)+1)),"0.##"),TEXT(INDEX(ERP資料!$G:$G, (MATCH(158, 輔助計算!$G$2:$G$801, 0)+1)),"0.##")&amp;"+"&amp;TEXT(INDEX(ERP資料!$G:$G, (MATCH(158, 輔助計算!$G$2:$G$801, 0)+1)),"0.##")&amp;"+"&amp;TEXT(INDEX(ERP資料!$G:$G, (MATCH(158, 輔助計算!$G$2:$G$801, 0)+1)),"0.##")))&amp;"-"&amp;INT(INDEX(輔助計算!$D:$D, (MATCH(158, 輔助計算!$G$2:$G$801, 0)+1))/IF(INDEX(ERP資料!$G:$G, (MATCH(158, 輔助計算!$G$2:$G$801, 0)+1))&lt;100, IF(INDEX(ERP資料!$G:$G, (MATCH(158, 輔助計算!$G$2:$G$801, 0)+1))&lt;=31,3,IF(INDEX(ERP資料!$G:$G, (MATCH(158, 輔助計算!$G$2:$G$801, 0)+1))&lt;=46.5,2,1)), IF(INDEX(ERP資料!$G:$G, (MATCH(158, 輔助計算!$G$2:$G$801, 0)+1))&lt;=790,3,IF(INDEX(ERP資料!$G:$G, (MATCH(158, 輔助計算!$G$2:$G$801, 0)+1))&lt;=1181,2,1)))), "")&amp;IF(AND(IF(INT(INDEX(輔助計算!$D:$D, (MATCH(158, 輔助計算!$G$2:$G$801, 0)+1))/IF(INDEX(ERP資料!$G:$G, (MATCH(158, 輔助計算!$G$2:$G$801, 0)+1))&lt;100, IF(INDEX(ERP資料!$G:$G, (MATCH(158, 輔助計算!$G$2:$G$801, 0)+1))&lt;=31,3,IF(INDEX(ERP資料!$G:$G, (MATCH(158, 輔助計算!$G$2:$G$801, 0)+1))&lt;=46.5,2,1)), IF(INDEX(ERP資料!$G:$G, (MATCH(158, 輔助計算!$G$2:$G$801, 0)+1))&lt;=790,3,IF(INDEX(ERP資料!$G:$G, (MATCH(158, 輔助計算!$G$2:$G$801, 0)+1))&lt;=1181,2,1))))&gt;0, IF(IF(INDEX(ERP資料!$G:$G, (MATCH(158, 輔助計算!$G$2:$G$801, 0)+1))&lt;100, IF(INDEX(ERP資料!$G:$G, (MATCH(158, 輔助計算!$G$2:$G$801, 0)+1))&lt;=31,3,IF(INDEX(ERP資料!$G:$G, (MATCH(158, 輔助計算!$G$2:$G$801, 0)+1))&lt;=46.5,2,1)), IF(INDEX(ERP資料!$G:$G, (MATCH(158, 輔助計算!$G$2:$G$801, 0)+1))&lt;=790,3,IF(INDEX(ERP資料!$G:$G, (MATCH(158, 輔助計算!$G$2:$G$801, 0)+1))&lt;=1181,2,1)))=1,TEXT(INDEX(ERP資料!$G:$G, (MATCH(158, 輔助計算!$G$2:$G$801, 0)+1)),"0.##"),IF(IF(INDEX(ERP資料!$G:$G, (MATCH(158, 輔助計算!$G$2:$G$801, 0)+1))&lt;100, IF(INDEX(ERP資料!$G:$G, (MATCH(158, 輔助計算!$G$2:$G$801, 0)+1))&lt;=31,3,IF(INDEX(ERP資料!$G:$G, (MATCH(158, 輔助計算!$G$2:$G$801, 0)+1))&lt;=46.5,2,1)), IF(INDEX(ERP資料!$G:$G, (MATCH(158, 輔助計算!$G$2:$G$801, 0)+1))&lt;=790,3,IF(INDEX(ERP資料!$G:$G, (MATCH(158, 輔助計算!$G$2:$G$801, 0)+1))&lt;=1181,2,1)))=2,TEXT(INDEX(ERP資料!$G:$G, (MATCH(158, 輔助計算!$G$2:$G$801, 0)+1)),"0.##")&amp;"+"&amp;TEXT(INDEX(ERP資料!$G:$G, (MATCH(158, 輔助計算!$G$2:$G$801, 0)+1)),"0.##"),TEXT(INDEX(ERP資料!$G:$G, (MATCH(158, 輔助計算!$G$2:$G$801, 0)+1)),"0.##")&amp;"+"&amp;TEXT(INDEX(ERP資料!$G:$G, (MATCH(158, 輔助計算!$G$2:$G$801, 0)+1)),"0.##")&amp;"+"&amp;TEXT(INDEX(ERP資料!$G:$G, (MATCH(158, 輔助計算!$G$2:$G$801, 0)+1)),"0.##")))&amp;"-"&amp;INT(INDEX(輔助計算!$D:$D, (MATCH(158, 輔助計算!$G$2:$G$801, 0)+1))/IF(INDEX(ERP資料!$G:$G, (MATCH(158, 輔助計算!$G$2:$G$801, 0)+1))&lt;100, IF(INDEX(ERP資料!$G:$G, (MATCH(158, 輔助計算!$G$2:$G$801, 0)+1))&lt;=31,3,IF(INDEX(ERP資料!$G:$G, (MATCH(158, 輔助計算!$G$2:$G$801, 0)+1))&lt;=46.5,2,1)), IF(INDEX(ERP資料!$G:$G, (MATCH(158, 輔助計算!$G$2:$G$801, 0)+1))&lt;=790,3,IF(INDEX(ERP資料!$G:$G, (MATCH(158, 輔助計算!$G$2:$G$801, 0)+1))&lt;=1181,2,1)))), "")&lt;&gt;"",IF(MOD(INDEX(輔助計算!$D:$D, (MATCH(158, 輔助計算!$G$2:$G$801, 0)+1)),IF(INDEX(ERP資料!$G:$G, (MATCH(158, 輔助計算!$G$2:$G$801, 0)+1))&lt;100, IF(INDEX(ERP資料!$G:$G, (MATCH(158, 輔助計算!$G$2:$G$801, 0)+1))&lt;=31,3,IF(INDEX(ERP資料!$G:$G, (MATCH(158, 輔助計算!$G$2:$G$801, 0)+1))&lt;=46.5,2,1)), IF(INDEX(ERP資料!$G:$G, (MATCH(158, 輔助計算!$G$2:$G$801, 0)+1))&lt;=790,3,IF(INDEX(ERP資料!$G:$G, (MATCH(158, 輔助計算!$G$2:$G$801, 0)+1))&lt;=1181,2,1))))=0,"",IF(MOD(INDEX(輔助計算!$D:$D, (MATCH(158, 輔助計算!$G$2:$G$801, 0)+1)),IF(INDEX(ERP資料!$G:$G, (MATCH(158, 輔助計算!$G$2:$G$801, 0)+1))&lt;100, IF(INDEX(ERP資料!$G:$G, (MATCH(158, 輔助計算!$G$2:$G$801, 0)+1))&lt;=31,3,IF(INDEX(ERP資料!$G:$G, (MATCH(158, 輔助計算!$G$2:$G$801, 0)+1))&lt;=46.5,2,1)), IF(INDEX(ERP資料!$G:$G, (MATCH(158, 輔助計算!$G$2:$G$801, 0)+1))&lt;=790,3,IF(INDEX(ERP資料!$G:$G, (MATCH(158, 輔助計算!$G$2:$G$801, 0)+1))&lt;=1181,2,1))))=0,"",IF(MOD(INDEX(輔助計算!$D:$D, (MATCH(158, 輔助計算!$G$2:$G$801, 0)+1)),IF(INDEX(ERP資料!$G:$G, (MATCH(158, 輔助計算!$G$2:$G$801, 0)+1))&lt;100, IF(INDEX(ERP資料!$G:$G, (MATCH(158, 輔助計算!$G$2:$G$801, 0)+1))&lt;=31,3,IF(INDEX(ERP資料!$G:$G, (MATCH(158, 輔助計算!$G$2:$G$801, 0)+1))&lt;=46.5,2,1)), IF(INDEX(ERP資料!$G:$G, (MATCH(158, 輔助計算!$G$2:$G$801, 0)+1))&lt;=790,3,IF(INDEX(ERP資料!$G:$G, (MATCH(158, 輔助計算!$G$2:$G$801, 0)+1))&lt;=1181,2,1))))=1,TEXT(INDEX(ERP資料!$G:$G, (MATCH(158, 輔助計算!$G$2:$G$801, 0)+1)),"0.##"),IF(MOD(INDEX(輔助計算!$D:$D, (MATCH(158, 輔助計算!$G$2:$G$801, 0)+1)),IF(INDEX(ERP資料!$G:$G, (MATCH(158, 輔助計算!$G$2:$G$801, 0)+1))&lt;100, IF(INDEX(ERP資料!$G:$G, (MATCH(158, 輔助計算!$G$2:$G$801, 0)+1))&lt;=31,3,IF(INDEX(ERP資料!$G:$G, (MATCH(158, 輔助計算!$G$2:$G$801, 0)+1))&lt;=46.5,2,1)), IF(INDEX(ERP資料!$G:$G, (MATCH(158, 輔助計算!$G$2:$G$801, 0)+1))&lt;=790,3,IF(INDEX(ERP資料!$G:$G, (MATCH(158, 輔助計算!$G$2:$G$801, 0)+1))&lt;=1181,2,1))))=2,TEXT(INDEX(ERP資料!$G:$G, (MATCH(158, 輔助計算!$G$2:$G$801, 0)+1)),"0.##")&amp;"+"&amp;TEXT(INDEX(ERP資料!$G:$G, (MATCH(158, 輔助計算!$G$2:$G$801, 0)+1)),"0.##"),TEXT(INDEX(ERP資料!$G:$G, (MATCH(158, 輔助計算!$G$2:$G$801, 0)+1)),"0.##")&amp;"+"&amp;TEXT(INDEX(ERP資料!$G:$G, (MATCH(158, 輔助計算!$G$2:$G$801, 0)+1)),"0.##")&amp;"+"&amp;TEXT(INDEX(ERP資料!$G:$G, (MATCH(158, 輔助計算!$G$2:$G$801, 0)+1)),"0.##"))))&amp;"-1")&lt;&gt;""),"  ","")&amp;IF(MOD(INDEX(輔助計算!$D:$D, (MATCH(158, 輔助計算!$G$2:$G$801, 0)+1)),IF(INDEX(ERP資料!$G:$G, (MATCH(158, 輔助計算!$G$2:$G$801, 0)+1))&lt;100, IF(INDEX(ERP資料!$G:$G, (MATCH(158, 輔助計算!$G$2:$G$801, 0)+1))&lt;=31,3,IF(INDEX(ERP資料!$G:$G, (MATCH(158, 輔助計算!$G$2:$G$801, 0)+1))&lt;=46.5,2,1)), IF(INDEX(ERP資料!$G:$G, (MATCH(158, 輔助計算!$G$2:$G$801, 0)+1))&lt;=790,3,IF(INDEX(ERP資料!$G:$G, (MATCH(158, 輔助計算!$G$2:$G$801, 0)+1))&lt;=1181,2,1))))=0,"",IF(MOD(INDEX(輔助計算!$D:$D, (MATCH(158, 輔助計算!$G$2:$G$801, 0)+1)),IF(INDEX(ERP資料!$G:$G, (MATCH(158, 輔助計算!$G$2:$G$801, 0)+1))&lt;100, IF(INDEX(ERP資料!$G:$G, (MATCH(158, 輔助計算!$G$2:$G$801, 0)+1))&lt;=31,3,IF(INDEX(ERP資料!$G:$G, (MATCH(158, 輔助計算!$G$2:$G$801, 0)+1))&lt;=46.5,2,1)), IF(INDEX(ERP資料!$G:$G, (MATCH(158, 輔助計算!$G$2:$G$801, 0)+1))&lt;=790,3,IF(INDEX(ERP資料!$G:$G, (MATCH(158, 輔助計算!$G$2:$G$801, 0)+1))&lt;=1181,2,1))))=0,"",IF(MOD(INDEX(輔助計算!$D:$D, (MATCH(158, 輔助計算!$G$2:$G$801, 0)+1)),IF(INDEX(ERP資料!$G:$G, (MATCH(158, 輔助計算!$G$2:$G$801, 0)+1))&lt;100, IF(INDEX(ERP資料!$G:$G, (MATCH(158, 輔助計算!$G$2:$G$801, 0)+1))&lt;=31,3,IF(INDEX(ERP資料!$G:$G, (MATCH(158, 輔助計算!$G$2:$G$801, 0)+1))&lt;=46.5,2,1)), IF(INDEX(ERP資料!$G:$G, (MATCH(158, 輔助計算!$G$2:$G$801, 0)+1))&lt;=790,3,IF(INDEX(ERP資料!$G:$G, (MATCH(158, 輔助計算!$G$2:$G$801, 0)+1))&lt;=1181,2,1))))=1,TEXT(INDEX(ERP資料!$G:$G, (MATCH(158, 輔助計算!$G$2:$G$801, 0)+1)),"0.##"),IF(MOD(INDEX(輔助計算!$D:$D, (MATCH(158, 輔助計算!$G$2:$G$801, 0)+1)),IF(INDEX(ERP資料!$G:$G, (MATCH(158, 輔助計算!$G$2:$G$801, 0)+1))&lt;100, IF(INDEX(ERP資料!$G:$G, (MATCH(158, 輔助計算!$G$2:$G$801, 0)+1))&lt;=31,3,IF(INDEX(ERP資料!$G:$G, (MATCH(158, 輔助計算!$G$2:$G$801, 0)+1))&lt;=46.5,2,1)), IF(INDEX(ERP資料!$G:$G, (MATCH(158, 輔助計算!$G$2:$G$801, 0)+1))&lt;=790,3,IF(INDEX(ERP資料!$G:$G, (MATCH(158, 輔助計算!$G$2:$G$801, 0)+1))&lt;=1181,2,1))))=2,TEXT(INDEX(ERP資料!$G:$G, (MATCH(158, 輔助計算!$G$2:$G$801, 0)+1)),"0.##")&amp;"+"&amp;TEXT(INDEX(ERP資料!$G:$G, (MATCH(158, 輔助計算!$G$2:$G$801, 0)+1)),"0.##"),TEXT(INDEX(ERP資料!$G:$G, (MATCH(158, 輔助計算!$G$2:$G$801, 0)+1)),"0.##")&amp;"+"&amp;TEXT(INDEX(ERP資料!$G:$G, (MATCH(158, 輔助計算!$G$2:$G$801, 0)+1)),"0.##")&amp;"+"&amp;TEXT(INDEX(ERP資料!$G:$G, (MATCH(158, 輔助計算!$G$2:$G$801, 0)+1)),"0.##"))))&amp;"-1")), ""), "")</f>
        <v/>
      </c>
      <c r="K159" s="16" t="n"/>
      <c r="L159" s="14">
        <f>IFERROR(IF(AND(IFERROR(INDEX(ERP資料!$A:$A, (MATCH(158, 輔助計算!$G$2:$G$801, 0)+1)), "")&lt;&gt;"", IFERROR(INDEX(ERP資料!$A:$A, (MATCH(158, 輔助計算!$G$2:$G$801, 0)+1)), "")&lt;&gt;IFERROR(INDEX(ERP資料!$A:$A, MATCH(157, 輔助計算!$G$2:$G$801, 0)+1), "")), INDEX(ERP資料!$B:$B, (MATCH(158, 輔助計算!$G$2:$G$801, 0)+1)), ""), "")</f>
        <v/>
      </c>
      <c r="M159" s="17" t="n"/>
    </row>
    <row r="160">
      <c r="A160" s="10">
        <f>IFERROR(IF(AND(IFERROR(INDEX(ERP資料!$A:$A, (MATCH(159, 輔助計算!$G$2:$G$801, 0)+1)), "")&lt;&gt;"", IFERROR(INDEX(ERP資料!$A:$A, (MATCH(159, 輔助計算!$G$2:$G$801, 0)+1)), "")&lt;&gt;IFERROR(INDEX(ERP資料!$A:$A, MATCH(158, 輔助計算!$G$2:$G$801, 0)+1), "")), IFERROR(INDEX(ERP資料!$A:$A, (MATCH(159, 輔助計算!$G$2:$G$801, 0)+1)), ""), ""), "")</f>
        <v/>
      </c>
      <c r="B160" s="10">
        <f>IFERROR(IF(AND(IFERROR(INDEX(ERP資料!$A:$A, (MATCH(159, 輔助計算!$G$2:$G$801, 0)+1)), "")&lt;&gt;"", IFERROR(INDEX(ERP資料!$A:$A, (MATCH(159, 輔助計算!$G$2:$G$801, 0)+1)), "")&lt;&gt;IFERROR(INDEX(ERP資料!$A:$A, MATCH(158, 輔助計算!$G$2:$G$801, 0)+1), "")), INDEX(ERP資料!$S:$S, (MATCH(159, 輔助計算!$G$2:$G$801, 0)+1)), ""), "")</f>
        <v/>
      </c>
      <c r="C160" s="19">
        <f>IFERROR(IF(AND(IFERROR(INDEX(ERP資料!$A:$A, (MATCH(159, 輔助計算!$G$2:$G$801, 0)+1)), "")&lt;&gt;"", IFERROR(INDEX(ERP資料!$A:$A, (MATCH(159, 輔助計算!$G$2:$G$801, 0)+1)), "")&lt;&gt;IFERROR(INDEX(ERP資料!$A:$A, MATCH(158, 輔助計算!$G$2:$G$801, 0)+1), "")), IFERROR(VLOOKUP(LEFT(INDEX(ERP資料!$S:$S, (MATCH(159, 輔助計算!$G$2:$G$801, 0)+1)), 4), 紙管對照表!$A:$C, 3, FALSE), ""), ""), "")</f>
        <v/>
      </c>
      <c r="D160" s="16" t="n"/>
      <c r="E160" s="10">
        <f>IFERROR(IF(INDEX(ERP資料!$H:$H, (MATCH(159, 輔助計算!$G$2:$G$801, 0)+1))="","",INDEX(ERP資料!$H:$H, (MATCH(159, 輔助計算!$G$2:$G$801, 0)+1))), "")</f>
        <v/>
      </c>
      <c r="F160" s="10">
        <f>IFERROR(IF(INDEX(ERP資料!$E:$E, (MATCH(159, 輔助計算!$G$2:$G$801, 0)+1))="","",TRIM(INDEX(ERP資料!$E:$E, (MATCH(159, 輔助計算!$G$2:$G$801, 0)+1)))), "")</f>
        <v/>
      </c>
      <c r="G160" s="10">
        <f>IFERROR(IF(INDEX(ERP資料!$F:$F, (MATCH(159, 輔助計算!$G$2:$G$801, 0)+1))="","",INDEX(ERP資料!$F:$F, (MATCH(159, 輔助計算!$G$2:$G$801, 0)+1))), "")</f>
        <v/>
      </c>
      <c r="H160" s="10">
        <f>IFERROR(IF(INDEX(ERP資料!$G:$G, (MATCH(159, 輔助計算!$G$2:$G$801, 0)+1))="","",INDEX(ERP資料!$G:$G, (MATCH(159, 輔助計算!$G$2:$G$801, 0)+1))), "")</f>
        <v/>
      </c>
      <c r="I160" s="15">
        <f>IFERROR(INDEX(輔助計算!$D:$D, (MATCH(159, 輔助計算!$G$2:$G$801, 0)+1)), "")</f>
        <v/>
      </c>
      <c r="J160" s="15">
        <f>IFERROR(IF(AND(INDEX(輔助計算!$D:$D, (MATCH(159, 輔助計算!$G$2:$G$801, 0)+1))&lt;&gt;"", INDEX(ERP資料!$G:$G, (MATCH(159, 輔助計算!$G$2:$G$801, 0)+1))&lt;&gt;""), TRIM(IF(INT(INDEX(輔助計算!$D:$D, (MATCH(159, 輔助計算!$G$2:$G$801, 0)+1))/IF(INDEX(ERP資料!$G:$G, (MATCH(159, 輔助計算!$G$2:$G$801, 0)+1))&lt;100, IF(INDEX(ERP資料!$G:$G, (MATCH(159, 輔助計算!$G$2:$G$801, 0)+1))&lt;=31,3,IF(INDEX(ERP資料!$G:$G, (MATCH(159, 輔助計算!$G$2:$G$801, 0)+1))&lt;=46.5,2,1)), IF(INDEX(ERP資料!$G:$G, (MATCH(159, 輔助計算!$G$2:$G$801, 0)+1))&lt;=790,3,IF(INDEX(ERP資料!$G:$G, (MATCH(159, 輔助計算!$G$2:$G$801, 0)+1))&lt;=1181,2,1))))&gt;0, IF(IF(INDEX(ERP資料!$G:$G, (MATCH(159, 輔助計算!$G$2:$G$801, 0)+1))&lt;100, IF(INDEX(ERP資料!$G:$G, (MATCH(159, 輔助計算!$G$2:$G$801, 0)+1))&lt;=31,3,IF(INDEX(ERP資料!$G:$G, (MATCH(159, 輔助計算!$G$2:$G$801, 0)+1))&lt;=46.5,2,1)), IF(INDEX(ERP資料!$G:$G, (MATCH(159, 輔助計算!$G$2:$G$801, 0)+1))&lt;=790,3,IF(INDEX(ERP資料!$G:$G, (MATCH(159, 輔助計算!$G$2:$G$801, 0)+1))&lt;=1181,2,1)))=1,TEXT(INDEX(ERP資料!$G:$G, (MATCH(159, 輔助計算!$G$2:$G$801, 0)+1)),"0.##"),IF(IF(INDEX(ERP資料!$G:$G, (MATCH(159, 輔助計算!$G$2:$G$801, 0)+1))&lt;100, IF(INDEX(ERP資料!$G:$G, (MATCH(159, 輔助計算!$G$2:$G$801, 0)+1))&lt;=31,3,IF(INDEX(ERP資料!$G:$G, (MATCH(159, 輔助計算!$G$2:$G$801, 0)+1))&lt;=46.5,2,1)), IF(INDEX(ERP資料!$G:$G, (MATCH(159, 輔助計算!$G$2:$G$801, 0)+1))&lt;=790,3,IF(INDEX(ERP資料!$G:$G, (MATCH(159, 輔助計算!$G$2:$G$801, 0)+1))&lt;=1181,2,1)))=2,TEXT(INDEX(ERP資料!$G:$G, (MATCH(159, 輔助計算!$G$2:$G$801, 0)+1)),"0.##")&amp;"+"&amp;TEXT(INDEX(ERP資料!$G:$G, (MATCH(159, 輔助計算!$G$2:$G$801, 0)+1)),"0.##"),TEXT(INDEX(ERP資料!$G:$G, (MATCH(159, 輔助計算!$G$2:$G$801, 0)+1)),"0.##")&amp;"+"&amp;TEXT(INDEX(ERP資料!$G:$G, (MATCH(159, 輔助計算!$G$2:$G$801, 0)+1)),"0.##")&amp;"+"&amp;TEXT(INDEX(ERP資料!$G:$G, (MATCH(159, 輔助計算!$G$2:$G$801, 0)+1)),"0.##")))&amp;"-"&amp;INT(INDEX(輔助計算!$D:$D, (MATCH(159, 輔助計算!$G$2:$G$801, 0)+1))/IF(INDEX(ERP資料!$G:$G, (MATCH(159, 輔助計算!$G$2:$G$801, 0)+1))&lt;100, IF(INDEX(ERP資料!$G:$G, (MATCH(159, 輔助計算!$G$2:$G$801, 0)+1))&lt;=31,3,IF(INDEX(ERP資料!$G:$G, (MATCH(159, 輔助計算!$G$2:$G$801, 0)+1))&lt;=46.5,2,1)), IF(INDEX(ERP資料!$G:$G, (MATCH(159, 輔助計算!$G$2:$G$801, 0)+1))&lt;=790,3,IF(INDEX(ERP資料!$G:$G, (MATCH(159, 輔助計算!$G$2:$G$801, 0)+1))&lt;=1181,2,1)))), "")&amp;IF(AND(IF(INT(INDEX(輔助計算!$D:$D, (MATCH(159, 輔助計算!$G$2:$G$801, 0)+1))/IF(INDEX(ERP資料!$G:$G, (MATCH(159, 輔助計算!$G$2:$G$801, 0)+1))&lt;100, IF(INDEX(ERP資料!$G:$G, (MATCH(159, 輔助計算!$G$2:$G$801, 0)+1))&lt;=31,3,IF(INDEX(ERP資料!$G:$G, (MATCH(159, 輔助計算!$G$2:$G$801, 0)+1))&lt;=46.5,2,1)), IF(INDEX(ERP資料!$G:$G, (MATCH(159, 輔助計算!$G$2:$G$801, 0)+1))&lt;=790,3,IF(INDEX(ERP資料!$G:$G, (MATCH(159, 輔助計算!$G$2:$G$801, 0)+1))&lt;=1181,2,1))))&gt;0, IF(IF(INDEX(ERP資料!$G:$G, (MATCH(159, 輔助計算!$G$2:$G$801, 0)+1))&lt;100, IF(INDEX(ERP資料!$G:$G, (MATCH(159, 輔助計算!$G$2:$G$801, 0)+1))&lt;=31,3,IF(INDEX(ERP資料!$G:$G, (MATCH(159, 輔助計算!$G$2:$G$801, 0)+1))&lt;=46.5,2,1)), IF(INDEX(ERP資料!$G:$G, (MATCH(159, 輔助計算!$G$2:$G$801, 0)+1))&lt;=790,3,IF(INDEX(ERP資料!$G:$G, (MATCH(159, 輔助計算!$G$2:$G$801, 0)+1))&lt;=1181,2,1)))=1,TEXT(INDEX(ERP資料!$G:$G, (MATCH(159, 輔助計算!$G$2:$G$801, 0)+1)),"0.##"),IF(IF(INDEX(ERP資料!$G:$G, (MATCH(159, 輔助計算!$G$2:$G$801, 0)+1))&lt;100, IF(INDEX(ERP資料!$G:$G, (MATCH(159, 輔助計算!$G$2:$G$801, 0)+1))&lt;=31,3,IF(INDEX(ERP資料!$G:$G, (MATCH(159, 輔助計算!$G$2:$G$801, 0)+1))&lt;=46.5,2,1)), IF(INDEX(ERP資料!$G:$G, (MATCH(159, 輔助計算!$G$2:$G$801, 0)+1))&lt;=790,3,IF(INDEX(ERP資料!$G:$G, (MATCH(159, 輔助計算!$G$2:$G$801, 0)+1))&lt;=1181,2,1)))=2,TEXT(INDEX(ERP資料!$G:$G, (MATCH(159, 輔助計算!$G$2:$G$801, 0)+1)),"0.##")&amp;"+"&amp;TEXT(INDEX(ERP資料!$G:$G, (MATCH(159, 輔助計算!$G$2:$G$801, 0)+1)),"0.##"),TEXT(INDEX(ERP資料!$G:$G, (MATCH(159, 輔助計算!$G$2:$G$801, 0)+1)),"0.##")&amp;"+"&amp;TEXT(INDEX(ERP資料!$G:$G, (MATCH(159, 輔助計算!$G$2:$G$801, 0)+1)),"0.##")&amp;"+"&amp;TEXT(INDEX(ERP資料!$G:$G, (MATCH(159, 輔助計算!$G$2:$G$801, 0)+1)),"0.##")))&amp;"-"&amp;INT(INDEX(輔助計算!$D:$D, (MATCH(159, 輔助計算!$G$2:$G$801, 0)+1))/IF(INDEX(ERP資料!$G:$G, (MATCH(159, 輔助計算!$G$2:$G$801, 0)+1))&lt;100, IF(INDEX(ERP資料!$G:$G, (MATCH(159, 輔助計算!$G$2:$G$801, 0)+1))&lt;=31,3,IF(INDEX(ERP資料!$G:$G, (MATCH(159, 輔助計算!$G$2:$G$801, 0)+1))&lt;=46.5,2,1)), IF(INDEX(ERP資料!$G:$G, (MATCH(159, 輔助計算!$G$2:$G$801, 0)+1))&lt;=790,3,IF(INDEX(ERP資料!$G:$G, (MATCH(159, 輔助計算!$G$2:$G$801, 0)+1))&lt;=1181,2,1)))), "")&lt;&gt;"",IF(MOD(INDEX(輔助計算!$D:$D, (MATCH(159, 輔助計算!$G$2:$G$801, 0)+1)),IF(INDEX(ERP資料!$G:$G, (MATCH(159, 輔助計算!$G$2:$G$801, 0)+1))&lt;100, IF(INDEX(ERP資料!$G:$G, (MATCH(159, 輔助計算!$G$2:$G$801, 0)+1))&lt;=31,3,IF(INDEX(ERP資料!$G:$G, (MATCH(159, 輔助計算!$G$2:$G$801, 0)+1))&lt;=46.5,2,1)), IF(INDEX(ERP資料!$G:$G, (MATCH(159, 輔助計算!$G$2:$G$801, 0)+1))&lt;=790,3,IF(INDEX(ERP資料!$G:$G, (MATCH(159, 輔助計算!$G$2:$G$801, 0)+1))&lt;=1181,2,1))))=0,"",IF(MOD(INDEX(輔助計算!$D:$D, (MATCH(159, 輔助計算!$G$2:$G$801, 0)+1)),IF(INDEX(ERP資料!$G:$G, (MATCH(159, 輔助計算!$G$2:$G$801, 0)+1))&lt;100, IF(INDEX(ERP資料!$G:$G, (MATCH(159, 輔助計算!$G$2:$G$801, 0)+1))&lt;=31,3,IF(INDEX(ERP資料!$G:$G, (MATCH(159, 輔助計算!$G$2:$G$801, 0)+1))&lt;=46.5,2,1)), IF(INDEX(ERP資料!$G:$G, (MATCH(159, 輔助計算!$G$2:$G$801, 0)+1))&lt;=790,3,IF(INDEX(ERP資料!$G:$G, (MATCH(159, 輔助計算!$G$2:$G$801, 0)+1))&lt;=1181,2,1))))=0,"",IF(MOD(INDEX(輔助計算!$D:$D, (MATCH(159, 輔助計算!$G$2:$G$801, 0)+1)),IF(INDEX(ERP資料!$G:$G, (MATCH(159, 輔助計算!$G$2:$G$801, 0)+1))&lt;100, IF(INDEX(ERP資料!$G:$G, (MATCH(159, 輔助計算!$G$2:$G$801, 0)+1))&lt;=31,3,IF(INDEX(ERP資料!$G:$G, (MATCH(159, 輔助計算!$G$2:$G$801, 0)+1))&lt;=46.5,2,1)), IF(INDEX(ERP資料!$G:$G, (MATCH(159, 輔助計算!$G$2:$G$801, 0)+1))&lt;=790,3,IF(INDEX(ERP資料!$G:$G, (MATCH(159, 輔助計算!$G$2:$G$801, 0)+1))&lt;=1181,2,1))))=1,TEXT(INDEX(ERP資料!$G:$G, (MATCH(159, 輔助計算!$G$2:$G$801, 0)+1)),"0.##"),IF(MOD(INDEX(輔助計算!$D:$D, (MATCH(159, 輔助計算!$G$2:$G$801, 0)+1)),IF(INDEX(ERP資料!$G:$G, (MATCH(159, 輔助計算!$G$2:$G$801, 0)+1))&lt;100, IF(INDEX(ERP資料!$G:$G, (MATCH(159, 輔助計算!$G$2:$G$801, 0)+1))&lt;=31,3,IF(INDEX(ERP資料!$G:$G, (MATCH(159, 輔助計算!$G$2:$G$801, 0)+1))&lt;=46.5,2,1)), IF(INDEX(ERP資料!$G:$G, (MATCH(159, 輔助計算!$G$2:$G$801, 0)+1))&lt;=790,3,IF(INDEX(ERP資料!$G:$G, (MATCH(159, 輔助計算!$G$2:$G$801, 0)+1))&lt;=1181,2,1))))=2,TEXT(INDEX(ERP資料!$G:$G, (MATCH(159, 輔助計算!$G$2:$G$801, 0)+1)),"0.##")&amp;"+"&amp;TEXT(INDEX(ERP資料!$G:$G, (MATCH(159, 輔助計算!$G$2:$G$801, 0)+1)),"0.##"),TEXT(INDEX(ERP資料!$G:$G, (MATCH(159, 輔助計算!$G$2:$G$801, 0)+1)),"0.##")&amp;"+"&amp;TEXT(INDEX(ERP資料!$G:$G, (MATCH(159, 輔助計算!$G$2:$G$801, 0)+1)),"0.##")&amp;"+"&amp;TEXT(INDEX(ERP資料!$G:$G, (MATCH(159, 輔助計算!$G$2:$G$801, 0)+1)),"0.##"))))&amp;"-1")&lt;&gt;""),"  ","")&amp;IF(MOD(INDEX(輔助計算!$D:$D, (MATCH(159, 輔助計算!$G$2:$G$801, 0)+1)),IF(INDEX(ERP資料!$G:$G, (MATCH(159, 輔助計算!$G$2:$G$801, 0)+1))&lt;100, IF(INDEX(ERP資料!$G:$G, (MATCH(159, 輔助計算!$G$2:$G$801, 0)+1))&lt;=31,3,IF(INDEX(ERP資料!$G:$G, (MATCH(159, 輔助計算!$G$2:$G$801, 0)+1))&lt;=46.5,2,1)), IF(INDEX(ERP資料!$G:$G, (MATCH(159, 輔助計算!$G$2:$G$801, 0)+1))&lt;=790,3,IF(INDEX(ERP資料!$G:$G, (MATCH(159, 輔助計算!$G$2:$G$801, 0)+1))&lt;=1181,2,1))))=0,"",IF(MOD(INDEX(輔助計算!$D:$D, (MATCH(159, 輔助計算!$G$2:$G$801, 0)+1)),IF(INDEX(ERP資料!$G:$G, (MATCH(159, 輔助計算!$G$2:$G$801, 0)+1))&lt;100, IF(INDEX(ERP資料!$G:$G, (MATCH(159, 輔助計算!$G$2:$G$801, 0)+1))&lt;=31,3,IF(INDEX(ERP資料!$G:$G, (MATCH(159, 輔助計算!$G$2:$G$801, 0)+1))&lt;=46.5,2,1)), IF(INDEX(ERP資料!$G:$G, (MATCH(159, 輔助計算!$G$2:$G$801, 0)+1))&lt;=790,3,IF(INDEX(ERP資料!$G:$G, (MATCH(159, 輔助計算!$G$2:$G$801, 0)+1))&lt;=1181,2,1))))=0,"",IF(MOD(INDEX(輔助計算!$D:$D, (MATCH(159, 輔助計算!$G$2:$G$801, 0)+1)),IF(INDEX(ERP資料!$G:$G, (MATCH(159, 輔助計算!$G$2:$G$801, 0)+1))&lt;100, IF(INDEX(ERP資料!$G:$G, (MATCH(159, 輔助計算!$G$2:$G$801, 0)+1))&lt;=31,3,IF(INDEX(ERP資料!$G:$G, (MATCH(159, 輔助計算!$G$2:$G$801, 0)+1))&lt;=46.5,2,1)), IF(INDEX(ERP資料!$G:$G, (MATCH(159, 輔助計算!$G$2:$G$801, 0)+1))&lt;=790,3,IF(INDEX(ERP資料!$G:$G, (MATCH(159, 輔助計算!$G$2:$G$801, 0)+1))&lt;=1181,2,1))))=1,TEXT(INDEX(ERP資料!$G:$G, (MATCH(159, 輔助計算!$G$2:$G$801, 0)+1)),"0.##"),IF(MOD(INDEX(輔助計算!$D:$D, (MATCH(159, 輔助計算!$G$2:$G$801, 0)+1)),IF(INDEX(ERP資料!$G:$G, (MATCH(159, 輔助計算!$G$2:$G$801, 0)+1))&lt;100, IF(INDEX(ERP資料!$G:$G, (MATCH(159, 輔助計算!$G$2:$G$801, 0)+1))&lt;=31,3,IF(INDEX(ERP資料!$G:$G, (MATCH(159, 輔助計算!$G$2:$G$801, 0)+1))&lt;=46.5,2,1)), IF(INDEX(ERP資料!$G:$G, (MATCH(159, 輔助計算!$G$2:$G$801, 0)+1))&lt;=790,3,IF(INDEX(ERP資料!$G:$G, (MATCH(159, 輔助計算!$G$2:$G$801, 0)+1))&lt;=1181,2,1))))=2,TEXT(INDEX(ERP資料!$G:$G, (MATCH(159, 輔助計算!$G$2:$G$801, 0)+1)),"0.##")&amp;"+"&amp;TEXT(INDEX(ERP資料!$G:$G, (MATCH(159, 輔助計算!$G$2:$G$801, 0)+1)),"0.##"),TEXT(INDEX(ERP資料!$G:$G, (MATCH(159, 輔助計算!$G$2:$G$801, 0)+1)),"0.##")&amp;"+"&amp;TEXT(INDEX(ERP資料!$G:$G, (MATCH(159, 輔助計算!$G$2:$G$801, 0)+1)),"0.##")&amp;"+"&amp;TEXT(INDEX(ERP資料!$G:$G, (MATCH(159, 輔助計算!$G$2:$G$801, 0)+1)),"0.##"))))&amp;"-1")), ""), "")</f>
        <v/>
      </c>
      <c r="K160" s="16" t="n"/>
      <c r="L160" s="14">
        <f>IFERROR(IF(AND(IFERROR(INDEX(ERP資料!$A:$A, (MATCH(159, 輔助計算!$G$2:$G$801, 0)+1)), "")&lt;&gt;"", IFERROR(INDEX(ERP資料!$A:$A, (MATCH(159, 輔助計算!$G$2:$G$801, 0)+1)), "")&lt;&gt;IFERROR(INDEX(ERP資料!$A:$A, MATCH(158, 輔助計算!$G$2:$G$801, 0)+1), "")), INDEX(ERP資料!$B:$B, (MATCH(159, 輔助計算!$G$2:$G$801, 0)+1)), ""), "")</f>
        <v/>
      </c>
      <c r="M160" s="17" t="n"/>
    </row>
    <row r="161">
      <c r="A161" s="10">
        <f>IFERROR(IF(AND(IFERROR(INDEX(ERP資料!$A:$A, (MATCH(160, 輔助計算!$G$2:$G$801, 0)+1)), "")&lt;&gt;"", IFERROR(INDEX(ERP資料!$A:$A, (MATCH(160, 輔助計算!$G$2:$G$801, 0)+1)), "")&lt;&gt;IFERROR(INDEX(ERP資料!$A:$A, MATCH(159, 輔助計算!$G$2:$G$801, 0)+1), "")), IFERROR(INDEX(ERP資料!$A:$A, (MATCH(160, 輔助計算!$G$2:$G$801, 0)+1)), ""), ""), "")</f>
        <v/>
      </c>
      <c r="B161" s="10">
        <f>IFERROR(IF(AND(IFERROR(INDEX(ERP資料!$A:$A, (MATCH(160, 輔助計算!$G$2:$G$801, 0)+1)), "")&lt;&gt;"", IFERROR(INDEX(ERP資料!$A:$A, (MATCH(160, 輔助計算!$G$2:$G$801, 0)+1)), "")&lt;&gt;IFERROR(INDEX(ERP資料!$A:$A, MATCH(159, 輔助計算!$G$2:$G$801, 0)+1), "")), INDEX(ERP資料!$S:$S, (MATCH(160, 輔助計算!$G$2:$G$801, 0)+1)), ""), "")</f>
        <v/>
      </c>
      <c r="C161" s="19">
        <f>IFERROR(IF(AND(IFERROR(INDEX(ERP資料!$A:$A, (MATCH(160, 輔助計算!$G$2:$G$801, 0)+1)), "")&lt;&gt;"", IFERROR(INDEX(ERP資料!$A:$A, (MATCH(160, 輔助計算!$G$2:$G$801, 0)+1)), "")&lt;&gt;IFERROR(INDEX(ERP資料!$A:$A, MATCH(159, 輔助計算!$G$2:$G$801, 0)+1), "")), IFERROR(VLOOKUP(LEFT(INDEX(ERP資料!$S:$S, (MATCH(160, 輔助計算!$G$2:$G$801, 0)+1)), 4), 紙管對照表!$A:$C, 3, FALSE), ""), ""), "")</f>
        <v/>
      </c>
      <c r="D161" s="16" t="n"/>
      <c r="E161" s="10">
        <f>IFERROR(IF(INDEX(ERP資料!$H:$H, (MATCH(160, 輔助計算!$G$2:$G$801, 0)+1))="","",INDEX(ERP資料!$H:$H, (MATCH(160, 輔助計算!$G$2:$G$801, 0)+1))), "")</f>
        <v/>
      </c>
      <c r="F161" s="10">
        <f>IFERROR(IF(INDEX(ERP資料!$E:$E, (MATCH(160, 輔助計算!$G$2:$G$801, 0)+1))="","",TRIM(INDEX(ERP資料!$E:$E, (MATCH(160, 輔助計算!$G$2:$G$801, 0)+1)))), "")</f>
        <v/>
      </c>
      <c r="G161" s="10">
        <f>IFERROR(IF(INDEX(ERP資料!$F:$F, (MATCH(160, 輔助計算!$G$2:$G$801, 0)+1))="","",INDEX(ERP資料!$F:$F, (MATCH(160, 輔助計算!$G$2:$G$801, 0)+1))), "")</f>
        <v/>
      </c>
      <c r="H161" s="10">
        <f>IFERROR(IF(INDEX(ERP資料!$G:$G, (MATCH(160, 輔助計算!$G$2:$G$801, 0)+1))="","",INDEX(ERP資料!$G:$G, (MATCH(160, 輔助計算!$G$2:$G$801, 0)+1))), "")</f>
        <v/>
      </c>
      <c r="I161" s="15">
        <f>IFERROR(INDEX(輔助計算!$D:$D, (MATCH(160, 輔助計算!$G$2:$G$801, 0)+1)), "")</f>
        <v/>
      </c>
      <c r="J161" s="15">
        <f>IFERROR(IF(AND(INDEX(輔助計算!$D:$D, (MATCH(160, 輔助計算!$G$2:$G$801, 0)+1))&lt;&gt;"", INDEX(ERP資料!$G:$G, (MATCH(160, 輔助計算!$G$2:$G$801, 0)+1))&lt;&gt;""), TRIM(IF(INT(INDEX(輔助計算!$D:$D, (MATCH(160, 輔助計算!$G$2:$G$801, 0)+1))/IF(INDEX(ERP資料!$G:$G, (MATCH(160, 輔助計算!$G$2:$G$801, 0)+1))&lt;100, IF(INDEX(ERP資料!$G:$G, (MATCH(160, 輔助計算!$G$2:$G$801, 0)+1))&lt;=31,3,IF(INDEX(ERP資料!$G:$G, (MATCH(160, 輔助計算!$G$2:$G$801, 0)+1))&lt;=46.5,2,1)), IF(INDEX(ERP資料!$G:$G, (MATCH(160, 輔助計算!$G$2:$G$801, 0)+1))&lt;=790,3,IF(INDEX(ERP資料!$G:$G, (MATCH(160, 輔助計算!$G$2:$G$801, 0)+1))&lt;=1181,2,1))))&gt;0, IF(IF(INDEX(ERP資料!$G:$G, (MATCH(160, 輔助計算!$G$2:$G$801, 0)+1))&lt;100, IF(INDEX(ERP資料!$G:$G, (MATCH(160, 輔助計算!$G$2:$G$801, 0)+1))&lt;=31,3,IF(INDEX(ERP資料!$G:$G, (MATCH(160, 輔助計算!$G$2:$G$801, 0)+1))&lt;=46.5,2,1)), IF(INDEX(ERP資料!$G:$G, (MATCH(160, 輔助計算!$G$2:$G$801, 0)+1))&lt;=790,3,IF(INDEX(ERP資料!$G:$G, (MATCH(160, 輔助計算!$G$2:$G$801, 0)+1))&lt;=1181,2,1)))=1,TEXT(INDEX(ERP資料!$G:$G, (MATCH(160, 輔助計算!$G$2:$G$801, 0)+1)),"0.##"),IF(IF(INDEX(ERP資料!$G:$G, (MATCH(160, 輔助計算!$G$2:$G$801, 0)+1))&lt;100, IF(INDEX(ERP資料!$G:$G, (MATCH(160, 輔助計算!$G$2:$G$801, 0)+1))&lt;=31,3,IF(INDEX(ERP資料!$G:$G, (MATCH(160, 輔助計算!$G$2:$G$801, 0)+1))&lt;=46.5,2,1)), IF(INDEX(ERP資料!$G:$G, (MATCH(160, 輔助計算!$G$2:$G$801, 0)+1))&lt;=790,3,IF(INDEX(ERP資料!$G:$G, (MATCH(160, 輔助計算!$G$2:$G$801, 0)+1))&lt;=1181,2,1)))=2,TEXT(INDEX(ERP資料!$G:$G, (MATCH(160, 輔助計算!$G$2:$G$801, 0)+1)),"0.##")&amp;"+"&amp;TEXT(INDEX(ERP資料!$G:$G, (MATCH(160, 輔助計算!$G$2:$G$801, 0)+1)),"0.##"),TEXT(INDEX(ERP資料!$G:$G, (MATCH(160, 輔助計算!$G$2:$G$801, 0)+1)),"0.##")&amp;"+"&amp;TEXT(INDEX(ERP資料!$G:$G, (MATCH(160, 輔助計算!$G$2:$G$801, 0)+1)),"0.##")&amp;"+"&amp;TEXT(INDEX(ERP資料!$G:$G, (MATCH(160, 輔助計算!$G$2:$G$801, 0)+1)),"0.##")))&amp;"-"&amp;INT(INDEX(輔助計算!$D:$D, (MATCH(160, 輔助計算!$G$2:$G$801, 0)+1))/IF(INDEX(ERP資料!$G:$G, (MATCH(160, 輔助計算!$G$2:$G$801, 0)+1))&lt;100, IF(INDEX(ERP資料!$G:$G, (MATCH(160, 輔助計算!$G$2:$G$801, 0)+1))&lt;=31,3,IF(INDEX(ERP資料!$G:$G, (MATCH(160, 輔助計算!$G$2:$G$801, 0)+1))&lt;=46.5,2,1)), IF(INDEX(ERP資料!$G:$G, (MATCH(160, 輔助計算!$G$2:$G$801, 0)+1))&lt;=790,3,IF(INDEX(ERP資料!$G:$G, (MATCH(160, 輔助計算!$G$2:$G$801, 0)+1))&lt;=1181,2,1)))), "")&amp;IF(AND(IF(INT(INDEX(輔助計算!$D:$D, (MATCH(160, 輔助計算!$G$2:$G$801, 0)+1))/IF(INDEX(ERP資料!$G:$G, (MATCH(160, 輔助計算!$G$2:$G$801, 0)+1))&lt;100, IF(INDEX(ERP資料!$G:$G, (MATCH(160, 輔助計算!$G$2:$G$801, 0)+1))&lt;=31,3,IF(INDEX(ERP資料!$G:$G, (MATCH(160, 輔助計算!$G$2:$G$801, 0)+1))&lt;=46.5,2,1)), IF(INDEX(ERP資料!$G:$G, (MATCH(160, 輔助計算!$G$2:$G$801, 0)+1))&lt;=790,3,IF(INDEX(ERP資料!$G:$G, (MATCH(160, 輔助計算!$G$2:$G$801, 0)+1))&lt;=1181,2,1))))&gt;0, IF(IF(INDEX(ERP資料!$G:$G, (MATCH(160, 輔助計算!$G$2:$G$801, 0)+1))&lt;100, IF(INDEX(ERP資料!$G:$G, (MATCH(160, 輔助計算!$G$2:$G$801, 0)+1))&lt;=31,3,IF(INDEX(ERP資料!$G:$G, (MATCH(160, 輔助計算!$G$2:$G$801, 0)+1))&lt;=46.5,2,1)), IF(INDEX(ERP資料!$G:$G, (MATCH(160, 輔助計算!$G$2:$G$801, 0)+1))&lt;=790,3,IF(INDEX(ERP資料!$G:$G, (MATCH(160, 輔助計算!$G$2:$G$801, 0)+1))&lt;=1181,2,1)))=1,TEXT(INDEX(ERP資料!$G:$G, (MATCH(160, 輔助計算!$G$2:$G$801, 0)+1)),"0.##"),IF(IF(INDEX(ERP資料!$G:$G, (MATCH(160, 輔助計算!$G$2:$G$801, 0)+1))&lt;100, IF(INDEX(ERP資料!$G:$G, (MATCH(160, 輔助計算!$G$2:$G$801, 0)+1))&lt;=31,3,IF(INDEX(ERP資料!$G:$G, (MATCH(160, 輔助計算!$G$2:$G$801, 0)+1))&lt;=46.5,2,1)), IF(INDEX(ERP資料!$G:$G, (MATCH(160, 輔助計算!$G$2:$G$801, 0)+1))&lt;=790,3,IF(INDEX(ERP資料!$G:$G, (MATCH(160, 輔助計算!$G$2:$G$801, 0)+1))&lt;=1181,2,1)))=2,TEXT(INDEX(ERP資料!$G:$G, (MATCH(160, 輔助計算!$G$2:$G$801, 0)+1)),"0.##")&amp;"+"&amp;TEXT(INDEX(ERP資料!$G:$G, (MATCH(160, 輔助計算!$G$2:$G$801, 0)+1)),"0.##"),TEXT(INDEX(ERP資料!$G:$G, (MATCH(160, 輔助計算!$G$2:$G$801, 0)+1)),"0.##")&amp;"+"&amp;TEXT(INDEX(ERP資料!$G:$G, (MATCH(160, 輔助計算!$G$2:$G$801, 0)+1)),"0.##")&amp;"+"&amp;TEXT(INDEX(ERP資料!$G:$G, (MATCH(160, 輔助計算!$G$2:$G$801, 0)+1)),"0.##")))&amp;"-"&amp;INT(INDEX(輔助計算!$D:$D, (MATCH(160, 輔助計算!$G$2:$G$801, 0)+1))/IF(INDEX(ERP資料!$G:$G, (MATCH(160, 輔助計算!$G$2:$G$801, 0)+1))&lt;100, IF(INDEX(ERP資料!$G:$G, (MATCH(160, 輔助計算!$G$2:$G$801, 0)+1))&lt;=31,3,IF(INDEX(ERP資料!$G:$G, (MATCH(160, 輔助計算!$G$2:$G$801, 0)+1))&lt;=46.5,2,1)), IF(INDEX(ERP資料!$G:$G, (MATCH(160, 輔助計算!$G$2:$G$801, 0)+1))&lt;=790,3,IF(INDEX(ERP資料!$G:$G, (MATCH(160, 輔助計算!$G$2:$G$801, 0)+1))&lt;=1181,2,1)))), "")&lt;&gt;"",IF(MOD(INDEX(輔助計算!$D:$D, (MATCH(160, 輔助計算!$G$2:$G$801, 0)+1)),IF(INDEX(ERP資料!$G:$G, (MATCH(160, 輔助計算!$G$2:$G$801, 0)+1))&lt;100, IF(INDEX(ERP資料!$G:$G, (MATCH(160, 輔助計算!$G$2:$G$801, 0)+1))&lt;=31,3,IF(INDEX(ERP資料!$G:$G, (MATCH(160, 輔助計算!$G$2:$G$801, 0)+1))&lt;=46.5,2,1)), IF(INDEX(ERP資料!$G:$G, (MATCH(160, 輔助計算!$G$2:$G$801, 0)+1))&lt;=790,3,IF(INDEX(ERP資料!$G:$G, (MATCH(160, 輔助計算!$G$2:$G$801, 0)+1))&lt;=1181,2,1))))=0,"",IF(MOD(INDEX(輔助計算!$D:$D, (MATCH(160, 輔助計算!$G$2:$G$801, 0)+1)),IF(INDEX(ERP資料!$G:$G, (MATCH(160, 輔助計算!$G$2:$G$801, 0)+1))&lt;100, IF(INDEX(ERP資料!$G:$G, (MATCH(160, 輔助計算!$G$2:$G$801, 0)+1))&lt;=31,3,IF(INDEX(ERP資料!$G:$G, (MATCH(160, 輔助計算!$G$2:$G$801, 0)+1))&lt;=46.5,2,1)), IF(INDEX(ERP資料!$G:$G, (MATCH(160, 輔助計算!$G$2:$G$801, 0)+1))&lt;=790,3,IF(INDEX(ERP資料!$G:$G, (MATCH(160, 輔助計算!$G$2:$G$801, 0)+1))&lt;=1181,2,1))))=0,"",IF(MOD(INDEX(輔助計算!$D:$D, (MATCH(160, 輔助計算!$G$2:$G$801, 0)+1)),IF(INDEX(ERP資料!$G:$G, (MATCH(160, 輔助計算!$G$2:$G$801, 0)+1))&lt;100, IF(INDEX(ERP資料!$G:$G, (MATCH(160, 輔助計算!$G$2:$G$801, 0)+1))&lt;=31,3,IF(INDEX(ERP資料!$G:$G, (MATCH(160, 輔助計算!$G$2:$G$801, 0)+1))&lt;=46.5,2,1)), IF(INDEX(ERP資料!$G:$G, (MATCH(160, 輔助計算!$G$2:$G$801, 0)+1))&lt;=790,3,IF(INDEX(ERP資料!$G:$G, (MATCH(160, 輔助計算!$G$2:$G$801, 0)+1))&lt;=1181,2,1))))=1,TEXT(INDEX(ERP資料!$G:$G, (MATCH(160, 輔助計算!$G$2:$G$801, 0)+1)),"0.##"),IF(MOD(INDEX(輔助計算!$D:$D, (MATCH(160, 輔助計算!$G$2:$G$801, 0)+1)),IF(INDEX(ERP資料!$G:$G, (MATCH(160, 輔助計算!$G$2:$G$801, 0)+1))&lt;100, IF(INDEX(ERP資料!$G:$G, (MATCH(160, 輔助計算!$G$2:$G$801, 0)+1))&lt;=31,3,IF(INDEX(ERP資料!$G:$G, (MATCH(160, 輔助計算!$G$2:$G$801, 0)+1))&lt;=46.5,2,1)), IF(INDEX(ERP資料!$G:$G, (MATCH(160, 輔助計算!$G$2:$G$801, 0)+1))&lt;=790,3,IF(INDEX(ERP資料!$G:$G, (MATCH(160, 輔助計算!$G$2:$G$801, 0)+1))&lt;=1181,2,1))))=2,TEXT(INDEX(ERP資料!$G:$G, (MATCH(160, 輔助計算!$G$2:$G$801, 0)+1)),"0.##")&amp;"+"&amp;TEXT(INDEX(ERP資料!$G:$G, (MATCH(160, 輔助計算!$G$2:$G$801, 0)+1)),"0.##"),TEXT(INDEX(ERP資料!$G:$G, (MATCH(160, 輔助計算!$G$2:$G$801, 0)+1)),"0.##")&amp;"+"&amp;TEXT(INDEX(ERP資料!$G:$G, (MATCH(160, 輔助計算!$G$2:$G$801, 0)+1)),"0.##")&amp;"+"&amp;TEXT(INDEX(ERP資料!$G:$G, (MATCH(160, 輔助計算!$G$2:$G$801, 0)+1)),"0.##"))))&amp;"-1")&lt;&gt;""),"  ","")&amp;IF(MOD(INDEX(輔助計算!$D:$D, (MATCH(160, 輔助計算!$G$2:$G$801, 0)+1)),IF(INDEX(ERP資料!$G:$G, (MATCH(160, 輔助計算!$G$2:$G$801, 0)+1))&lt;100, IF(INDEX(ERP資料!$G:$G, (MATCH(160, 輔助計算!$G$2:$G$801, 0)+1))&lt;=31,3,IF(INDEX(ERP資料!$G:$G, (MATCH(160, 輔助計算!$G$2:$G$801, 0)+1))&lt;=46.5,2,1)), IF(INDEX(ERP資料!$G:$G, (MATCH(160, 輔助計算!$G$2:$G$801, 0)+1))&lt;=790,3,IF(INDEX(ERP資料!$G:$G, (MATCH(160, 輔助計算!$G$2:$G$801, 0)+1))&lt;=1181,2,1))))=0,"",IF(MOD(INDEX(輔助計算!$D:$D, (MATCH(160, 輔助計算!$G$2:$G$801, 0)+1)),IF(INDEX(ERP資料!$G:$G, (MATCH(160, 輔助計算!$G$2:$G$801, 0)+1))&lt;100, IF(INDEX(ERP資料!$G:$G, (MATCH(160, 輔助計算!$G$2:$G$801, 0)+1))&lt;=31,3,IF(INDEX(ERP資料!$G:$G, (MATCH(160, 輔助計算!$G$2:$G$801, 0)+1))&lt;=46.5,2,1)), IF(INDEX(ERP資料!$G:$G, (MATCH(160, 輔助計算!$G$2:$G$801, 0)+1))&lt;=790,3,IF(INDEX(ERP資料!$G:$G, (MATCH(160, 輔助計算!$G$2:$G$801, 0)+1))&lt;=1181,2,1))))=0,"",IF(MOD(INDEX(輔助計算!$D:$D, (MATCH(160, 輔助計算!$G$2:$G$801, 0)+1)),IF(INDEX(ERP資料!$G:$G, (MATCH(160, 輔助計算!$G$2:$G$801, 0)+1))&lt;100, IF(INDEX(ERP資料!$G:$G, (MATCH(160, 輔助計算!$G$2:$G$801, 0)+1))&lt;=31,3,IF(INDEX(ERP資料!$G:$G, (MATCH(160, 輔助計算!$G$2:$G$801, 0)+1))&lt;=46.5,2,1)), IF(INDEX(ERP資料!$G:$G, (MATCH(160, 輔助計算!$G$2:$G$801, 0)+1))&lt;=790,3,IF(INDEX(ERP資料!$G:$G, (MATCH(160, 輔助計算!$G$2:$G$801, 0)+1))&lt;=1181,2,1))))=1,TEXT(INDEX(ERP資料!$G:$G, (MATCH(160, 輔助計算!$G$2:$G$801, 0)+1)),"0.##"),IF(MOD(INDEX(輔助計算!$D:$D, (MATCH(160, 輔助計算!$G$2:$G$801, 0)+1)),IF(INDEX(ERP資料!$G:$G, (MATCH(160, 輔助計算!$G$2:$G$801, 0)+1))&lt;100, IF(INDEX(ERP資料!$G:$G, (MATCH(160, 輔助計算!$G$2:$G$801, 0)+1))&lt;=31,3,IF(INDEX(ERP資料!$G:$G, (MATCH(160, 輔助計算!$G$2:$G$801, 0)+1))&lt;=46.5,2,1)), IF(INDEX(ERP資料!$G:$G, (MATCH(160, 輔助計算!$G$2:$G$801, 0)+1))&lt;=790,3,IF(INDEX(ERP資料!$G:$G, (MATCH(160, 輔助計算!$G$2:$G$801, 0)+1))&lt;=1181,2,1))))=2,TEXT(INDEX(ERP資料!$G:$G, (MATCH(160, 輔助計算!$G$2:$G$801, 0)+1)),"0.##")&amp;"+"&amp;TEXT(INDEX(ERP資料!$G:$G, (MATCH(160, 輔助計算!$G$2:$G$801, 0)+1)),"0.##"),TEXT(INDEX(ERP資料!$G:$G, (MATCH(160, 輔助計算!$G$2:$G$801, 0)+1)),"0.##")&amp;"+"&amp;TEXT(INDEX(ERP資料!$G:$G, (MATCH(160, 輔助計算!$G$2:$G$801, 0)+1)),"0.##")&amp;"+"&amp;TEXT(INDEX(ERP資料!$G:$G, (MATCH(160, 輔助計算!$G$2:$G$801, 0)+1)),"0.##"))))&amp;"-1")), ""), "")</f>
        <v/>
      </c>
      <c r="K161" s="16" t="n"/>
      <c r="L161" s="14">
        <f>IFERROR(IF(AND(IFERROR(INDEX(ERP資料!$A:$A, (MATCH(160, 輔助計算!$G$2:$G$801, 0)+1)), "")&lt;&gt;"", IFERROR(INDEX(ERP資料!$A:$A, (MATCH(160, 輔助計算!$G$2:$G$801, 0)+1)), "")&lt;&gt;IFERROR(INDEX(ERP資料!$A:$A, MATCH(159, 輔助計算!$G$2:$G$801, 0)+1), "")), INDEX(ERP資料!$B:$B, (MATCH(160, 輔助計算!$G$2:$G$801, 0)+1)), ""), "")</f>
        <v/>
      </c>
      <c r="M161" s="17" t="n"/>
    </row>
    <row r="162">
      <c r="A162" s="10">
        <f>IFERROR(IF(AND(IFERROR(INDEX(ERP資料!$A:$A, (MATCH(161, 輔助計算!$G$2:$G$801, 0)+1)), "")&lt;&gt;"", IFERROR(INDEX(ERP資料!$A:$A, (MATCH(161, 輔助計算!$G$2:$G$801, 0)+1)), "")&lt;&gt;IFERROR(INDEX(ERP資料!$A:$A, MATCH(160, 輔助計算!$G$2:$G$801, 0)+1), "")), IFERROR(INDEX(ERP資料!$A:$A, (MATCH(161, 輔助計算!$G$2:$G$801, 0)+1)), ""), ""), "")</f>
        <v/>
      </c>
      <c r="B162" s="10">
        <f>IFERROR(IF(AND(IFERROR(INDEX(ERP資料!$A:$A, (MATCH(161, 輔助計算!$G$2:$G$801, 0)+1)), "")&lt;&gt;"", IFERROR(INDEX(ERP資料!$A:$A, (MATCH(161, 輔助計算!$G$2:$G$801, 0)+1)), "")&lt;&gt;IFERROR(INDEX(ERP資料!$A:$A, MATCH(160, 輔助計算!$G$2:$G$801, 0)+1), "")), INDEX(ERP資料!$S:$S, (MATCH(161, 輔助計算!$G$2:$G$801, 0)+1)), ""), "")</f>
        <v/>
      </c>
      <c r="C162" s="19">
        <f>IFERROR(IF(AND(IFERROR(INDEX(ERP資料!$A:$A, (MATCH(161, 輔助計算!$G$2:$G$801, 0)+1)), "")&lt;&gt;"", IFERROR(INDEX(ERP資料!$A:$A, (MATCH(161, 輔助計算!$G$2:$G$801, 0)+1)), "")&lt;&gt;IFERROR(INDEX(ERP資料!$A:$A, MATCH(160, 輔助計算!$G$2:$G$801, 0)+1), "")), IFERROR(VLOOKUP(LEFT(INDEX(ERP資料!$S:$S, (MATCH(161, 輔助計算!$G$2:$G$801, 0)+1)), 4), 紙管對照表!$A:$C, 3, FALSE), ""), ""), "")</f>
        <v/>
      </c>
      <c r="D162" s="16" t="n"/>
      <c r="E162" s="10">
        <f>IFERROR(IF(INDEX(ERP資料!$H:$H, (MATCH(161, 輔助計算!$G$2:$G$801, 0)+1))="","",INDEX(ERP資料!$H:$H, (MATCH(161, 輔助計算!$G$2:$G$801, 0)+1))), "")</f>
        <v/>
      </c>
      <c r="F162" s="10">
        <f>IFERROR(IF(INDEX(ERP資料!$E:$E, (MATCH(161, 輔助計算!$G$2:$G$801, 0)+1))="","",TRIM(INDEX(ERP資料!$E:$E, (MATCH(161, 輔助計算!$G$2:$G$801, 0)+1)))), "")</f>
        <v/>
      </c>
      <c r="G162" s="10">
        <f>IFERROR(IF(INDEX(ERP資料!$F:$F, (MATCH(161, 輔助計算!$G$2:$G$801, 0)+1))="","",INDEX(ERP資料!$F:$F, (MATCH(161, 輔助計算!$G$2:$G$801, 0)+1))), "")</f>
        <v/>
      </c>
      <c r="H162" s="10">
        <f>IFERROR(IF(INDEX(ERP資料!$G:$G, (MATCH(161, 輔助計算!$G$2:$G$801, 0)+1))="","",INDEX(ERP資料!$G:$G, (MATCH(161, 輔助計算!$G$2:$G$801, 0)+1))), "")</f>
        <v/>
      </c>
      <c r="I162" s="15">
        <f>IFERROR(INDEX(輔助計算!$D:$D, (MATCH(161, 輔助計算!$G$2:$G$801, 0)+1)), "")</f>
        <v/>
      </c>
      <c r="J162" s="15">
        <f>IFERROR(IF(AND(INDEX(輔助計算!$D:$D, (MATCH(161, 輔助計算!$G$2:$G$801, 0)+1))&lt;&gt;"", INDEX(ERP資料!$G:$G, (MATCH(161, 輔助計算!$G$2:$G$801, 0)+1))&lt;&gt;""), TRIM(IF(INT(INDEX(輔助計算!$D:$D, (MATCH(161, 輔助計算!$G$2:$G$801, 0)+1))/IF(INDEX(ERP資料!$G:$G, (MATCH(161, 輔助計算!$G$2:$G$801, 0)+1))&lt;100, IF(INDEX(ERP資料!$G:$G, (MATCH(161, 輔助計算!$G$2:$G$801, 0)+1))&lt;=31,3,IF(INDEX(ERP資料!$G:$G, (MATCH(161, 輔助計算!$G$2:$G$801, 0)+1))&lt;=46.5,2,1)), IF(INDEX(ERP資料!$G:$G, (MATCH(161, 輔助計算!$G$2:$G$801, 0)+1))&lt;=790,3,IF(INDEX(ERP資料!$G:$G, (MATCH(161, 輔助計算!$G$2:$G$801, 0)+1))&lt;=1181,2,1))))&gt;0, IF(IF(INDEX(ERP資料!$G:$G, (MATCH(161, 輔助計算!$G$2:$G$801, 0)+1))&lt;100, IF(INDEX(ERP資料!$G:$G, (MATCH(161, 輔助計算!$G$2:$G$801, 0)+1))&lt;=31,3,IF(INDEX(ERP資料!$G:$G, (MATCH(161, 輔助計算!$G$2:$G$801, 0)+1))&lt;=46.5,2,1)), IF(INDEX(ERP資料!$G:$G, (MATCH(161, 輔助計算!$G$2:$G$801, 0)+1))&lt;=790,3,IF(INDEX(ERP資料!$G:$G, (MATCH(161, 輔助計算!$G$2:$G$801, 0)+1))&lt;=1181,2,1)))=1,TEXT(INDEX(ERP資料!$G:$G, (MATCH(161, 輔助計算!$G$2:$G$801, 0)+1)),"0.##"),IF(IF(INDEX(ERP資料!$G:$G, (MATCH(161, 輔助計算!$G$2:$G$801, 0)+1))&lt;100, IF(INDEX(ERP資料!$G:$G, (MATCH(161, 輔助計算!$G$2:$G$801, 0)+1))&lt;=31,3,IF(INDEX(ERP資料!$G:$G, (MATCH(161, 輔助計算!$G$2:$G$801, 0)+1))&lt;=46.5,2,1)), IF(INDEX(ERP資料!$G:$G, (MATCH(161, 輔助計算!$G$2:$G$801, 0)+1))&lt;=790,3,IF(INDEX(ERP資料!$G:$G, (MATCH(161, 輔助計算!$G$2:$G$801, 0)+1))&lt;=1181,2,1)))=2,TEXT(INDEX(ERP資料!$G:$G, (MATCH(161, 輔助計算!$G$2:$G$801, 0)+1)),"0.##")&amp;"+"&amp;TEXT(INDEX(ERP資料!$G:$G, (MATCH(161, 輔助計算!$G$2:$G$801, 0)+1)),"0.##"),TEXT(INDEX(ERP資料!$G:$G, (MATCH(161, 輔助計算!$G$2:$G$801, 0)+1)),"0.##")&amp;"+"&amp;TEXT(INDEX(ERP資料!$G:$G, (MATCH(161, 輔助計算!$G$2:$G$801, 0)+1)),"0.##")&amp;"+"&amp;TEXT(INDEX(ERP資料!$G:$G, (MATCH(161, 輔助計算!$G$2:$G$801, 0)+1)),"0.##")))&amp;"-"&amp;INT(INDEX(輔助計算!$D:$D, (MATCH(161, 輔助計算!$G$2:$G$801, 0)+1))/IF(INDEX(ERP資料!$G:$G, (MATCH(161, 輔助計算!$G$2:$G$801, 0)+1))&lt;100, IF(INDEX(ERP資料!$G:$G, (MATCH(161, 輔助計算!$G$2:$G$801, 0)+1))&lt;=31,3,IF(INDEX(ERP資料!$G:$G, (MATCH(161, 輔助計算!$G$2:$G$801, 0)+1))&lt;=46.5,2,1)), IF(INDEX(ERP資料!$G:$G, (MATCH(161, 輔助計算!$G$2:$G$801, 0)+1))&lt;=790,3,IF(INDEX(ERP資料!$G:$G, (MATCH(161, 輔助計算!$G$2:$G$801, 0)+1))&lt;=1181,2,1)))), "")&amp;IF(AND(IF(INT(INDEX(輔助計算!$D:$D, (MATCH(161, 輔助計算!$G$2:$G$801, 0)+1))/IF(INDEX(ERP資料!$G:$G, (MATCH(161, 輔助計算!$G$2:$G$801, 0)+1))&lt;100, IF(INDEX(ERP資料!$G:$G, (MATCH(161, 輔助計算!$G$2:$G$801, 0)+1))&lt;=31,3,IF(INDEX(ERP資料!$G:$G, (MATCH(161, 輔助計算!$G$2:$G$801, 0)+1))&lt;=46.5,2,1)), IF(INDEX(ERP資料!$G:$G, (MATCH(161, 輔助計算!$G$2:$G$801, 0)+1))&lt;=790,3,IF(INDEX(ERP資料!$G:$G, (MATCH(161, 輔助計算!$G$2:$G$801, 0)+1))&lt;=1181,2,1))))&gt;0, IF(IF(INDEX(ERP資料!$G:$G, (MATCH(161, 輔助計算!$G$2:$G$801, 0)+1))&lt;100, IF(INDEX(ERP資料!$G:$G, (MATCH(161, 輔助計算!$G$2:$G$801, 0)+1))&lt;=31,3,IF(INDEX(ERP資料!$G:$G, (MATCH(161, 輔助計算!$G$2:$G$801, 0)+1))&lt;=46.5,2,1)), IF(INDEX(ERP資料!$G:$G, (MATCH(161, 輔助計算!$G$2:$G$801, 0)+1))&lt;=790,3,IF(INDEX(ERP資料!$G:$G, (MATCH(161, 輔助計算!$G$2:$G$801, 0)+1))&lt;=1181,2,1)))=1,TEXT(INDEX(ERP資料!$G:$G, (MATCH(161, 輔助計算!$G$2:$G$801, 0)+1)),"0.##"),IF(IF(INDEX(ERP資料!$G:$G, (MATCH(161, 輔助計算!$G$2:$G$801, 0)+1))&lt;100, IF(INDEX(ERP資料!$G:$G, (MATCH(161, 輔助計算!$G$2:$G$801, 0)+1))&lt;=31,3,IF(INDEX(ERP資料!$G:$G, (MATCH(161, 輔助計算!$G$2:$G$801, 0)+1))&lt;=46.5,2,1)), IF(INDEX(ERP資料!$G:$G, (MATCH(161, 輔助計算!$G$2:$G$801, 0)+1))&lt;=790,3,IF(INDEX(ERP資料!$G:$G, (MATCH(161, 輔助計算!$G$2:$G$801, 0)+1))&lt;=1181,2,1)))=2,TEXT(INDEX(ERP資料!$G:$G, (MATCH(161, 輔助計算!$G$2:$G$801, 0)+1)),"0.##")&amp;"+"&amp;TEXT(INDEX(ERP資料!$G:$G, (MATCH(161, 輔助計算!$G$2:$G$801, 0)+1)),"0.##"),TEXT(INDEX(ERP資料!$G:$G, (MATCH(161, 輔助計算!$G$2:$G$801, 0)+1)),"0.##")&amp;"+"&amp;TEXT(INDEX(ERP資料!$G:$G, (MATCH(161, 輔助計算!$G$2:$G$801, 0)+1)),"0.##")&amp;"+"&amp;TEXT(INDEX(ERP資料!$G:$G, (MATCH(161, 輔助計算!$G$2:$G$801, 0)+1)),"0.##")))&amp;"-"&amp;INT(INDEX(輔助計算!$D:$D, (MATCH(161, 輔助計算!$G$2:$G$801, 0)+1))/IF(INDEX(ERP資料!$G:$G, (MATCH(161, 輔助計算!$G$2:$G$801, 0)+1))&lt;100, IF(INDEX(ERP資料!$G:$G, (MATCH(161, 輔助計算!$G$2:$G$801, 0)+1))&lt;=31,3,IF(INDEX(ERP資料!$G:$G, (MATCH(161, 輔助計算!$G$2:$G$801, 0)+1))&lt;=46.5,2,1)), IF(INDEX(ERP資料!$G:$G, (MATCH(161, 輔助計算!$G$2:$G$801, 0)+1))&lt;=790,3,IF(INDEX(ERP資料!$G:$G, (MATCH(161, 輔助計算!$G$2:$G$801, 0)+1))&lt;=1181,2,1)))), "")&lt;&gt;"",IF(MOD(INDEX(輔助計算!$D:$D, (MATCH(161, 輔助計算!$G$2:$G$801, 0)+1)),IF(INDEX(ERP資料!$G:$G, (MATCH(161, 輔助計算!$G$2:$G$801, 0)+1))&lt;100, IF(INDEX(ERP資料!$G:$G, (MATCH(161, 輔助計算!$G$2:$G$801, 0)+1))&lt;=31,3,IF(INDEX(ERP資料!$G:$G, (MATCH(161, 輔助計算!$G$2:$G$801, 0)+1))&lt;=46.5,2,1)), IF(INDEX(ERP資料!$G:$G, (MATCH(161, 輔助計算!$G$2:$G$801, 0)+1))&lt;=790,3,IF(INDEX(ERP資料!$G:$G, (MATCH(161, 輔助計算!$G$2:$G$801, 0)+1))&lt;=1181,2,1))))=0,"",IF(MOD(INDEX(輔助計算!$D:$D, (MATCH(161, 輔助計算!$G$2:$G$801, 0)+1)),IF(INDEX(ERP資料!$G:$G, (MATCH(161, 輔助計算!$G$2:$G$801, 0)+1))&lt;100, IF(INDEX(ERP資料!$G:$G, (MATCH(161, 輔助計算!$G$2:$G$801, 0)+1))&lt;=31,3,IF(INDEX(ERP資料!$G:$G, (MATCH(161, 輔助計算!$G$2:$G$801, 0)+1))&lt;=46.5,2,1)), IF(INDEX(ERP資料!$G:$G, (MATCH(161, 輔助計算!$G$2:$G$801, 0)+1))&lt;=790,3,IF(INDEX(ERP資料!$G:$G, (MATCH(161, 輔助計算!$G$2:$G$801, 0)+1))&lt;=1181,2,1))))=0,"",IF(MOD(INDEX(輔助計算!$D:$D, (MATCH(161, 輔助計算!$G$2:$G$801, 0)+1)),IF(INDEX(ERP資料!$G:$G, (MATCH(161, 輔助計算!$G$2:$G$801, 0)+1))&lt;100, IF(INDEX(ERP資料!$G:$G, (MATCH(161, 輔助計算!$G$2:$G$801, 0)+1))&lt;=31,3,IF(INDEX(ERP資料!$G:$G, (MATCH(161, 輔助計算!$G$2:$G$801, 0)+1))&lt;=46.5,2,1)), IF(INDEX(ERP資料!$G:$G, (MATCH(161, 輔助計算!$G$2:$G$801, 0)+1))&lt;=790,3,IF(INDEX(ERP資料!$G:$G, (MATCH(161, 輔助計算!$G$2:$G$801, 0)+1))&lt;=1181,2,1))))=1,TEXT(INDEX(ERP資料!$G:$G, (MATCH(161, 輔助計算!$G$2:$G$801, 0)+1)),"0.##"),IF(MOD(INDEX(輔助計算!$D:$D, (MATCH(161, 輔助計算!$G$2:$G$801, 0)+1)),IF(INDEX(ERP資料!$G:$G, (MATCH(161, 輔助計算!$G$2:$G$801, 0)+1))&lt;100, IF(INDEX(ERP資料!$G:$G, (MATCH(161, 輔助計算!$G$2:$G$801, 0)+1))&lt;=31,3,IF(INDEX(ERP資料!$G:$G, (MATCH(161, 輔助計算!$G$2:$G$801, 0)+1))&lt;=46.5,2,1)), IF(INDEX(ERP資料!$G:$G, (MATCH(161, 輔助計算!$G$2:$G$801, 0)+1))&lt;=790,3,IF(INDEX(ERP資料!$G:$G, (MATCH(161, 輔助計算!$G$2:$G$801, 0)+1))&lt;=1181,2,1))))=2,TEXT(INDEX(ERP資料!$G:$G, (MATCH(161, 輔助計算!$G$2:$G$801, 0)+1)),"0.##")&amp;"+"&amp;TEXT(INDEX(ERP資料!$G:$G, (MATCH(161, 輔助計算!$G$2:$G$801, 0)+1)),"0.##"),TEXT(INDEX(ERP資料!$G:$G, (MATCH(161, 輔助計算!$G$2:$G$801, 0)+1)),"0.##")&amp;"+"&amp;TEXT(INDEX(ERP資料!$G:$G, (MATCH(161, 輔助計算!$G$2:$G$801, 0)+1)),"0.##")&amp;"+"&amp;TEXT(INDEX(ERP資料!$G:$G, (MATCH(161, 輔助計算!$G$2:$G$801, 0)+1)),"0.##"))))&amp;"-1")&lt;&gt;""),"  ","")&amp;IF(MOD(INDEX(輔助計算!$D:$D, (MATCH(161, 輔助計算!$G$2:$G$801, 0)+1)),IF(INDEX(ERP資料!$G:$G, (MATCH(161, 輔助計算!$G$2:$G$801, 0)+1))&lt;100, IF(INDEX(ERP資料!$G:$G, (MATCH(161, 輔助計算!$G$2:$G$801, 0)+1))&lt;=31,3,IF(INDEX(ERP資料!$G:$G, (MATCH(161, 輔助計算!$G$2:$G$801, 0)+1))&lt;=46.5,2,1)), IF(INDEX(ERP資料!$G:$G, (MATCH(161, 輔助計算!$G$2:$G$801, 0)+1))&lt;=790,3,IF(INDEX(ERP資料!$G:$G, (MATCH(161, 輔助計算!$G$2:$G$801, 0)+1))&lt;=1181,2,1))))=0,"",IF(MOD(INDEX(輔助計算!$D:$D, (MATCH(161, 輔助計算!$G$2:$G$801, 0)+1)),IF(INDEX(ERP資料!$G:$G, (MATCH(161, 輔助計算!$G$2:$G$801, 0)+1))&lt;100, IF(INDEX(ERP資料!$G:$G, (MATCH(161, 輔助計算!$G$2:$G$801, 0)+1))&lt;=31,3,IF(INDEX(ERP資料!$G:$G, (MATCH(161, 輔助計算!$G$2:$G$801, 0)+1))&lt;=46.5,2,1)), IF(INDEX(ERP資料!$G:$G, (MATCH(161, 輔助計算!$G$2:$G$801, 0)+1))&lt;=790,3,IF(INDEX(ERP資料!$G:$G, (MATCH(161, 輔助計算!$G$2:$G$801, 0)+1))&lt;=1181,2,1))))=0,"",IF(MOD(INDEX(輔助計算!$D:$D, (MATCH(161, 輔助計算!$G$2:$G$801, 0)+1)),IF(INDEX(ERP資料!$G:$G, (MATCH(161, 輔助計算!$G$2:$G$801, 0)+1))&lt;100, IF(INDEX(ERP資料!$G:$G, (MATCH(161, 輔助計算!$G$2:$G$801, 0)+1))&lt;=31,3,IF(INDEX(ERP資料!$G:$G, (MATCH(161, 輔助計算!$G$2:$G$801, 0)+1))&lt;=46.5,2,1)), IF(INDEX(ERP資料!$G:$G, (MATCH(161, 輔助計算!$G$2:$G$801, 0)+1))&lt;=790,3,IF(INDEX(ERP資料!$G:$G, (MATCH(161, 輔助計算!$G$2:$G$801, 0)+1))&lt;=1181,2,1))))=1,TEXT(INDEX(ERP資料!$G:$G, (MATCH(161, 輔助計算!$G$2:$G$801, 0)+1)),"0.##"),IF(MOD(INDEX(輔助計算!$D:$D, (MATCH(161, 輔助計算!$G$2:$G$801, 0)+1)),IF(INDEX(ERP資料!$G:$G, (MATCH(161, 輔助計算!$G$2:$G$801, 0)+1))&lt;100, IF(INDEX(ERP資料!$G:$G, (MATCH(161, 輔助計算!$G$2:$G$801, 0)+1))&lt;=31,3,IF(INDEX(ERP資料!$G:$G, (MATCH(161, 輔助計算!$G$2:$G$801, 0)+1))&lt;=46.5,2,1)), IF(INDEX(ERP資料!$G:$G, (MATCH(161, 輔助計算!$G$2:$G$801, 0)+1))&lt;=790,3,IF(INDEX(ERP資料!$G:$G, (MATCH(161, 輔助計算!$G$2:$G$801, 0)+1))&lt;=1181,2,1))))=2,TEXT(INDEX(ERP資料!$G:$G, (MATCH(161, 輔助計算!$G$2:$G$801, 0)+1)),"0.##")&amp;"+"&amp;TEXT(INDEX(ERP資料!$G:$G, (MATCH(161, 輔助計算!$G$2:$G$801, 0)+1)),"0.##"),TEXT(INDEX(ERP資料!$G:$G, (MATCH(161, 輔助計算!$G$2:$G$801, 0)+1)),"0.##")&amp;"+"&amp;TEXT(INDEX(ERP資料!$G:$G, (MATCH(161, 輔助計算!$G$2:$G$801, 0)+1)),"0.##")&amp;"+"&amp;TEXT(INDEX(ERP資料!$G:$G, (MATCH(161, 輔助計算!$G$2:$G$801, 0)+1)),"0.##"))))&amp;"-1")), ""), "")</f>
        <v/>
      </c>
      <c r="K162" s="16" t="n"/>
      <c r="L162" s="14">
        <f>IFERROR(IF(AND(IFERROR(INDEX(ERP資料!$A:$A, (MATCH(161, 輔助計算!$G$2:$G$801, 0)+1)), "")&lt;&gt;"", IFERROR(INDEX(ERP資料!$A:$A, (MATCH(161, 輔助計算!$G$2:$G$801, 0)+1)), "")&lt;&gt;IFERROR(INDEX(ERP資料!$A:$A, MATCH(160, 輔助計算!$G$2:$G$801, 0)+1), "")), INDEX(ERP資料!$B:$B, (MATCH(161, 輔助計算!$G$2:$G$801, 0)+1)), ""), "")</f>
        <v/>
      </c>
      <c r="M162" s="17" t="n"/>
    </row>
    <row r="163">
      <c r="A163" s="10">
        <f>IFERROR(IF(AND(IFERROR(INDEX(ERP資料!$A:$A, (MATCH(162, 輔助計算!$G$2:$G$801, 0)+1)), "")&lt;&gt;"", IFERROR(INDEX(ERP資料!$A:$A, (MATCH(162, 輔助計算!$G$2:$G$801, 0)+1)), "")&lt;&gt;IFERROR(INDEX(ERP資料!$A:$A, MATCH(161, 輔助計算!$G$2:$G$801, 0)+1), "")), IFERROR(INDEX(ERP資料!$A:$A, (MATCH(162, 輔助計算!$G$2:$G$801, 0)+1)), ""), ""), "")</f>
        <v/>
      </c>
      <c r="B163" s="10">
        <f>IFERROR(IF(AND(IFERROR(INDEX(ERP資料!$A:$A, (MATCH(162, 輔助計算!$G$2:$G$801, 0)+1)), "")&lt;&gt;"", IFERROR(INDEX(ERP資料!$A:$A, (MATCH(162, 輔助計算!$G$2:$G$801, 0)+1)), "")&lt;&gt;IFERROR(INDEX(ERP資料!$A:$A, MATCH(161, 輔助計算!$G$2:$G$801, 0)+1), "")), INDEX(ERP資料!$S:$S, (MATCH(162, 輔助計算!$G$2:$G$801, 0)+1)), ""), "")</f>
        <v/>
      </c>
      <c r="C163" s="19">
        <f>IFERROR(IF(AND(IFERROR(INDEX(ERP資料!$A:$A, (MATCH(162, 輔助計算!$G$2:$G$801, 0)+1)), "")&lt;&gt;"", IFERROR(INDEX(ERP資料!$A:$A, (MATCH(162, 輔助計算!$G$2:$G$801, 0)+1)), "")&lt;&gt;IFERROR(INDEX(ERP資料!$A:$A, MATCH(161, 輔助計算!$G$2:$G$801, 0)+1), "")), IFERROR(VLOOKUP(LEFT(INDEX(ERP資料!$S:$S, (MATCH(162, 輔助計算!$G$2:$G$801, 0)+1)), 4), 紙管對照表!$A:$C, 3, FALSE), ""), ""), "")</f>
        <v/>
      </c>
      <c r="D163" s="16" t="n"/>
      <c r="E163" s="10">
        <f>IFERROR(IF(INDEX(ERP資料!$H:$H, (MATCH(162, 輔助計算!$G$2:$G$801, 0)+1))="","",INDEX(ERP資料!$H:$H, (MATCH(162, 輔助計算!$G$2:$G$801, 0)+1))), "")</f>
        <v/>
      </c>
      <c r="F163" s="10">
        <f>IFERROR(IF(INDEX(ERP資料!$E:$E, (MATCH(162, 輔助計算!$G$2:$G$801, 0)+1))="","",TRIM(INDEX(ERP資料!$E:$E, (MATCH(162, 輔助計算!$G$2:$G$801, 0)+1)))), "")</f>
        <v/>
      </c>
      <c r="G163" s="10">
        <f>IFERROR(IF(INDEX(ERP資料!$F:$F, (MATCH(162, 輔助計算!$G$2:$G$801, 0)+1))="","",INDEX(ERP資料!$F:$F, (MATCH(162, 輔助計算!$G$2:$G$801, 0)+1))), "")</f>
        <v/>
      </c>
      <c r="H163" s="10">
        <f>IFERROR(IF(INDEX(ERP資料!$G:$G, (MATCH(162, 輔助計算!$G$2:$G$801, 0)+1))="","",INDEX(ERP資料!$G:$G, (MATCH(162, 輔助計算!$G$2:$G$801, 0)+1))), "")</f>
        <v/>
      </c>
      <c r="I163" s="15">
        <f>IFERROR(INDEX(輔助計算!$D:$D, (MATCH(162, 輔助計算!$G$2:$G$801, 0)+1)), "")</f>
        <v/>
      </c>
      <c r="J163" s="15">
        <f>IFERROR(IF(AND(INDEX(輔助計算!$D:$D, (MATCH(162, 輔助計算!$G$2:$G$801, 0)+1))&lt;&gt;"", INDEX(ERP資料!$G:$G, (MATCH(162, 輔助計算!$G$2:$G$801, 0)+1))&lt;&gt;""), TRIM(IF(INT(INDEX(輔助計算!$D:$D, (MATCH(162, 輔助計算!$G$2:$G$801, 0)+1))/IF(INDEX(ERP資料!$G:$G, (MATCH(162, 輔助計算!$G$2:$G$801, 0)+1))&lt;100, IF(INDEX(ERP資料!$G:$G, (MATCH(162, 輔助計算!$G$2:$G$801, 0)+1))&lt;=31,3,IF(INDEX(ERP資料!$G:$G, (MATCH(162, 輔助計算!$G$2:$G$801, 0)+1))&lt;=46.5,2,1)), IF(INDEX(ERP資料!$G:$G, (MATCH(162, 輔助計算!$G$2:$G$801, 0)+1))&lt;=790,3,IF(INDEX(ERP資料!$G:$G, (MATCH(162, 輔助計算!$G$2:$G$801, 0)+1))&lt;=1181,2,1))))&gt;0, IF(IF(INDEX(ERP資料!$G:$G, (MATCH(162, 輔助計算!$G$2:$G$801, 0)+1))&lt;100, IF(INDEX(ERP資料!$G:$G, (MATCH(162, 輔助計算!$G$2:$G$801, 0)+1))&lt;=31,3,IF(INDEX(ERP資料!$G:$G, (MATCH(162, 輔助計算!$G$2:$G$801, 0)+1))&lt;=46.5,2,1)), IF(INDEX(ERP資料!$G:$G, (MATCH(162, 輔助計算!$G$2:$G$801, 0)+1))&lt;=790,3,IF(INDEX(ERP資料!$G:$G, (MATCH(162, 輔助計算!$G$2:$G$801, 0)+1))&lt;=1181,2,1)))=1,TEXT(INDEX(ERP資料!$G:$G, (MATCH(162, 輔助計算!$G$2:$G$801, 0)+1)),"0.##"),IF(IF(INDEX(ERP資料!$G:$G, (MATCH(162, 輔助計算!$G$2:$G$801, 0)+1))&lt;100, IF(INDEX(ERP資料!$G:$G, (MATCH(162, 輔助計算!$G$2:$G$801, 0)+1))&lt;=31,3,IF(INDEX(ERP資料!$G:$G, (MATCH(162, 輔助計算!$G$2:$G$801, 0)+1))&lt;=46.5,2,1)), IF(INDEX(ERP資料!$G:$G, (MATCH(162, 輔助計算!$G$2:$G$801, 0)+1))&lt;=790,3,IF(INDEX(ERP資料!$G:$G, (MATCH(162, 輔助計算!$G$2:$G$801, 0)+1))&lt;=1181,2,1)))=2,TEXT(INDEX(ERP資料!$G:$G, (MATCH(162, 輔助計算!$G$2:$G$801, 0)+1)),"0.##")&amp;"+"&amp;TEXT(INDEX(ERP資料!$G:$G, (MATCH(162, 輔助計算!$G$2:$G$801, 0)+1)),"0.##"),TEXT(INDEX(ERP資料!$G:$G, (MATCH(162, 輔助計算!$G$2:$G$801, 0)+1)),"0.##")&amp;"+"&amp;TEXT(INDEX(ERP資料!$G:$G, (MATCH(162, 輔助計算!$G$2:$G$801, 0)+1)),"0.##")&amp;"+"&amp;TEXT(INDEX(ERP資料!$G:$G, (MATCH(162, 輔助計算!$G$2:$G$801, 0)+1)),"0.##")))&amp;"-"&amp;INT(INDEX(輔助計算!$D:$D, (MATCH(162, 輔助計算!$G$2:$G$801, 0)+1))/IF(INDEX(ERP資料!$G:$G, (MATCH(162, 輔助計算!$G$2:$G$801, 0)+1))&lt;100, IF(INDEX(ERP資料!$G:$G, (MATCH(162, 輔助計算!$G$2:$G$801, 0)+1))&lt;=31,3,IF(INDEX(ERP資料!$G:$G, (MATCH(162, 輔助計算!$G$2:$G$801, 0)+1))&lt;=46.5,2,1)), IF(INDEX(ERP資料!$G:$G, (MATCH(162, 輔助計算!$G$2:$G$801, 0)+1))&lt;=790,3,IF(INDEX(ERP資料!$G:$G, (MATCH(162, 輔助計算!$G$2:$G$801, 0)+1))&lt;=1181,2,1)))), "")&amp;IF(AND(IF(INT(INDEX(輔助計算!$D:$D, (MATCH(162, 輔助計算!$G$2:$G$801, 0)+1))/IF(INDEX(ERP資料!$G:$G, (MATCH(162, 輔助計算!$G$2:$G$801, 0)+1))&lt;100, IF(INDEX(ERP資料!$G:$G, (MATCH(162, 輔助計算!$G$2:$G$801, 0)+1))&lt;=31,3,IF(INDEX(ERP資料!$G:$G, (MATCH(162, 輔助計算!$G$2:$G$801, 0)+1))&lt;=46.5,2,1)), IF(INDEX(ERP資料!$G:$G, (MATCH(162, 輔助計算!$G$2:$G$801, 0)+1))&lt;=790,3,IF(INDEX(ERP資料!$G:$G, (MATCH(162, 輔助計算!$G$2:$G$801, 0)+1))&lt;=1181,2,1))))&gt;0, IF(IF(INDEX(ERP資料!$G:$G, (MATCH(162, 輔助計算!$G$2:$G$801, 0)+1))&lt;100, IF(INDEX(ERP資料!$G:$G, (MATCH(162, 輔助計算!$G$2:$G$801, 0)+1))&lt;=31,3,IF(INDEX(ERP資料!$G:$G, (MATCH(162, 輔助計算!$G$2:$G$801, 0)+1))&lt;=46.5,2,1)), IF(INDEX(ERP資料!$G:$G, (MATCH(162, 輔助計算!$G$2:$G$801, 0)+1))&lt;=790,3,IF(INDEX(ERP資料!$G:$G, (MATCH(162, 輔助計算!$G$2:$G$801, 0)+1))&lt;=1181,2,1)))=1,TEXT(INDEX(ERP資料!$G:$G, (MATCH(162, 輔助計算!$G$2:$G$801, 0)+1)),"0.##"),IF(IF(INDEX(ERP資料!$G:$G, (MATCH(162, 輔助計算!$G$2:$G$801, 0)+1))&lt;100, IF(INDEX(ERP資料!$G:$G, (MATCH(162, 輔助計算!$G$2:$G$801, 0)+1))&lt;=31,3,IF(INDEX(ERP資料!$G:$G, (MATCH(162, 輔助計算!$G$2:$G$801, 0)+1))&lt;=46.5,2,1)), IF(INDEX(ERP資料!$G:$G, (MATCH(162, 輔助計算!$G$2:$G$801, 0)+1))&lt;=790,3,IF(INDEX(ERP資料!$G:$G, (MATCH(162, 輔助計算!$G$2:$G$801, 0)+1))&lt;=1181,2,1)))=2,TEXT(INDEX(ERP資料!$G:$G, (MATCH(162, 輔助計算!$G$2:$G$801, 0)+1)),"0.##")&amp;"+"&amp;TEXT(INDEX(ERP資料!$G:$G, (MATCH(162, 輔助計算!$G$2:$G$801, 0)+1)),"0.##"),TEXT(INDEX(ERP資料!$G:$G, (MATCH(162, 輔助計算!$G$2:$G$801, 0)+1)),"0.##")&amp;"+"&amp;TEXT(INDEX(ERP資料!$G:$G, (MATCH(162, 輔助計算!$G$2:$G$801, 0)+1)),"0.##")&amp;"+"&amp;TEXT(INDEX(ERP資料!$G:$G, (MATCH(162, 輔助計算!$G$2:$G$801, 0)+1)),"0.##")))&amp;"-"&amp;INT(INDEX(輔助計算!$D:$D, (MATCH(162, 輔助計算!$G$2:$G$801, 0)+1))/IF(INDEX(ERP資料!$G:$G, (MATCH(162, 輔助計算!$G$2:$G$801, 0)+1))&lt;100, IF(INDEX(ERP資料!$G:$G, (MATCH(162, 輔助計算!$G$2:$G$801, 0)+1))&lt;=31,3,IF(INDEX(ERP資料!$G:$G, (MATCH(162, 輔助計算!$G$2:$G$801, 0)+1))&lt;=46.5,2,1)), IF(INDEX(ERP資料!$G:$G, (MATCH(162, 輔助計算!$G$2:$G$801, 0)+1))&lt;=790,3,IF(INDEX(ERP資料!$G:$G, (MATCH(162, 輔助計算!$G$2:$G$801, 0)+1))&lt;=1181,2,1)))), "")&lt;&gt;"",IF(MOD(INDEX(輔助計算!$D:$D, (MATCH(162, 輔助計算!$G$2:$G$801, 0)+1)),IF(INDEX(ERP資料!$G:$G, (MATCH(162, 輔助計算!$G$2:$G$801, 0)+1))&lt;100, IF(INDEX(ERP資料!$G:$G, (MATCH(162, 輔助計算!$G$2:$G$801, 0)+1))&lt;=31,3,IF(INDEX(ERP資料!$G:$G, (MATCH(162, 輔助計算!$G$2:$G$801, 0)+1))&lt;=46.5,2,1)), IF(INDEX(ERP資料!$G:$G, (MATCH(162, 輔助計算!$G$2:$G$801, 0)+1))&lt;=790,3,IF(INDEX(ERP資料!$G:$G, (MATCH(162, 輔助計算!$G$2:$G$801, 0)+1))&lt;=1181,2,1))))=0,"",IF(MOD(INDEX(輔助計算!$D:$D, (MATCH(162, 輔助計算!$G$2:$G$801, 0)+1)),IF(INDEX(ERP資料!$G:$G, (MATCH(162, 輔助計算!$G$2:$G$801, 0)+1))&lt;100, IF(INDEX(ERP資料!$G:$G, (MATCH(162, 輔助計算!$G$2:$G$801, 0)+1))&lt;=31,3,IF(INDEX(ERP資料!$G:$G, (MATCH(162, 輔助計算!$G$2:$G$801, 0)+1))&lt;=46.5,2,1)), IF(INDEX(ERP資料!$G:$G, (MATCH(162, 輔助計算!$G$2:$G$801, 0)+1))&lt;=790,3,IF(INDEX(ERP資料!$G:$G, (MATCH(162, 輔助計算!$G$2:$G$801, 0)+1))&lt;=1181,2,1))))=0,"",IF(MOD(INDEX(輔助計算!$D:$D, (MATCH(162, 輔助計算!$G$2:$G$801, 0)+1)),IF(INDEX(ERP資料!$G:$G, (MATCH(162, 輔助計算!$G$2:$G$801, 0)+1))&lt;100, IF(INDEX(ERP資料!$G:$G, (MATCH(162, 輔助計算!$G$2:$G$801, 0)+1))&lt;=31,3,IF(INDEX(ERP資料!$G:$G, (MATCH(162, 輔助計算!$G$2:$G$801, 0)+1))&lt;=46.5,2,1)), IF(INDEX(ERP資料!$G:$G, (MATCH(162, 輔助計算!$G$2:$G$801, 0)+1))&lt;=790,3,IF(INDEX(ERP資料!$G:$G, (MATCH(162, 輔助計算!$G$2:$G$801, 0)+1))&lt;=1181,2,1))))=1,TEXT(INDEX(ERP資料!$G:$G, (MATCH(162, 輔助計算!$G$2:$G$801, 0)+1)),"0.##"),IF(MOD(INDEX(輔助計算!$D:$D, (MATCH(162, 輔助計算!$G$2:$G$801, 0)+1)),IF(INDEX(ERP資料!$G:$G, (MATCH(162, 輔助計算!$G$2:$G$801, 0)+1))&lt;100, IF(INDEX(ERP資料!$G:$G, (MATCH(162, 輔助計算!$G$2:$G$801, 0)+1))&lt;=31,3,IF(INDEX(ERP資料!$G:$G, (MATCH(162, 輔助計算!$G$2:$G$801, 0)+1))&lt;=46.5,2,1)), IF(INDEX(ERP資料!$G:$G, (MATCH(162, 輔助計算!$G$2:$G$801, 0)+1))&lt;=790,3,IF(INDEX(ERP資料!$G:$G, (MATCH(162, 輔助計算!$G$2:$G$801, 0)+1))&lt;=1181,2,1))))=2,TEXT(INDEX(ERP資料!$G:$G, (MATCH(162, 輔助計算!$G$2:$G$801, 0)+1)),"0.##")&amp;"+"&amp;TEXT(INDEX(ERP資料!$G:$G, (MATCH(162, 輔助計算!$G$2:$G$801, 0)+1)),"0.##"),TEXT(INDEX(ERP資料!$G:$G, (MATCH(162, 輔助計算!$G$2:$G$801, 0)+1)),"0.##")&amp;"+"&amp;TEXT(INDEX(ERP資料!$G:$G, (MATCH(162, 輔助計算!$G$2:$G$801, 0)+1)),"0.##")&amp;"+"&amp;TEXT(INDEX(ERP資料!$G:$G, (MATCH(162, 輔助計算!$G$2:$G$801, 0)+1)),"0.##"))))&amp;"-1")&lt;&gt;""),"  ","")&amp;IF(MOD(INDEX(輔助計算!$D:$D, (MATCH(162, 輔助計算!$G$2:$G$801, 0)+1)),IF(INDEX(ERP資料!$G:$G, (MATCH(162, 輔助計算!$G$2:$G$801, 0)+1))&lt;100, IF(INDEX(ERP資料!$G:$G, (MATCH(162, 輔助計算!$G$2:$G$801, 0)+1))&lt;=31,3,IF(INDEX(ERP資料!$G:$G, (MATCH(162, 輔助計算!$G$2:$G$801, 0)+1))&lt;=46.5,2,1)), IF(INDEX(ERP資料!$G:$G, (MATCH(162, 輔助計算!$G$2:$G$801, 0)+1))&lt;=790,3,IF(INDEX(ERP資料!$G:$G, (MATCH(162, 輔助計算!$G$2:$G$801, 0)+1))&lt;=1181,2,1))))=0,"",IF(MOD(INDEX(輔助計算!$D:$D, (MATCH(162, 輔助計算!$G$2:$G$801, 0)+1)),IF(INDEX(ERP資料!$G:$G, (MATCH(162, 輔助計算!$G$2:$G$801, 0)+1))&lt;100, IF(INDEX(ERP資料!$G:$G, (MATCH(162, 輔助計算!$G$2:$G$801, 0)+1))&lt;=31,3,IF(INDEX(ERP資料!$G:$G, (MATCH(162, 輔助計算!$G$2:$G$801, 0)+1))&lt;=46.5,2,1)), IF(INDEX(ERP資料!$G:$G, (MATCH(162, 輔助計算!$G$2:$G$801, 0)+1))&lt;=790,3,IF(INDEX(ERP資料!$G:$G, (MATCH(162, 輔助計算!$G$2:$G$801, 0)+1))&lt;=1181,2,1))))=0,"",IF(MOD(INDEX(輔助計算!$D:$D, (MATCH(162, 輔助計算!$G$2:$G$801, 0)+1)),IF(INDEX(ERP資料!$G:$G, (MATCH(162, 輔助計算!$G$2:$G$801, 0)+1))&lt;100, IF(INDEX(ERP資料!$G:$G, (MATCH(162, 輔助計算!$G$2:$G$801, 0)+1))&lt;=31,3,IF(INDEX(ERP資料!$G:$G, (MATCH(162, 輔助計算!$G$2:$G$801, 0)+1))&lt;=46.5,2,1)), IF(INDEX(ERP資料!$G:$G, (MATCH(162, 輔助計算!$G$2:$G$801, 0)+1))&lt;=790,3,IF(INDEX(ERP資料!$G:$G, (MATCH(162, 輔助計算!$G$2:$G$801, 0)+1))&lt;=1181,2,1))))=1,TEXT(INDEX(ERP資料!$G:$G, (MATCH(162, 輔助計算!$G$2:$G$801, 0)+1)),"0.##"),IF(MOD(INDEX(輔助計算!$D:$D, (MATCH(162, 輔助計算!$G$2:$G$801, 0)+1)),IF(INDEX(ERP資料!$G:$G, (MATCH(162, 輔助計算!$G$2:$G$801, 0)+1))&lt;100, IF(INDEX(ERP資料!$G:$G, (MATCH(162, 輔助計算!$G$2:$G$801, 0)+1))&lt;=31,3,IF(INDEX(ERP資料!$G:$G, (MATCH(162, 輔助計算!$G$2:$G$801, 0)+1))&lt;=46.5,2,1)), IF(INDEX(ERP資料!$G:$G, (MATCH(162, 輔助計算!$G$2:$G$801, 0)+1))&lt;=790,3,IF(INDEX(ERP資料!$G:$G, (MATCH(162, 輔助計算!$G$2:$G$801, 0)+1))&lt;=1181,2,1))))=2,TEXT(INDEX(ERP資料!$G:$G, (MATCH(162, 輔助計算!$G$2:$G$801, 0)+1)),"0.##")&amp;"+"&amp;TEXT(INDEX(ERP資料!$G:$G, (MATCH(162, 輔助計算!$G$2:$G$801, 0)+1)),"0.##"),TEXT(INDEX(ERP資料!$G:$G, (MATCH(162, 輔助計算!$G$2:$G$801, 0)+1)),"0.##")&amp;"+"&amp;TEXT(INDEX(ERP資料!$G:$G, (MATCH(162, 輔助計算!$G$2:$G$801, 0)+1)),"0.##")&amp;"+"&amp;TEXT(INDEX(ERP資料!$G:$G, (MATCH(162, 輔助計算!$G$2:$G$801, 0)+1)),"0.##"))))&amp;"-1")), ""), "")</f>
        <v/>
      </c>
      <c r="K163" s="16" t="n"/>
      <c r="L163" s="14">
        <f>IFERROR(IF(AND(IFERROR(INDEX(ERP資料!$A:$A, (MATCH(162, 輔助計算!$G$2:$G$801, 0)+1)), "")&lt;&gt;"", IFERROR(INDEX(ERP資料!$A:$A, (MATCH(162, 輔助計算!$G$2:$G$801, 0)+1)), "")&lt;&gt;IFERROR(INDEX(ERP資料!$A:$A, MATCH(161, 輔助計算!$G$2:$G$801, 0)+1), "")), INDEX(ERP資料!$B:$B, (MATCH(162, 輔助計算!$G$2:$G$801, 0)+1)), ""), "")</f>
        <v/>
      </c>
      <c r="M163" s="17" t="n"/>
    </row>
    <row r="164">
      <c r="A164" s="10">
        <f>IFERROR(IF(AND(IFERROR(INDEX(ERP資料!$A:$A, (MATCH(163, 輔助計算!$G$2:$G$801, 0)+1)), "")&lt;&gt;"", IFERROR(INDEX(ERP資料!$A:$A, (MATCH(163, 輔助計算!$G$2:$G$801, 0)+1)), "")&lt;&gt;IFERROR(INDEX(ERP資料!$A:$A, MATCH(162, 輔助計算!$G$2:$G$801, 0)+1), "")), IFERROR(INDEX(ERP資料!$A:$A, (MATCH(163, 輔助計算!$G$2:$G$801, 0)+1)), ""), ""), "")</f>
        <v/>
      </c>
      <c r="B164" s="10">
        <f>IFERROR(IF(AND(IFERROR(INDEX(ERP資料!$A:$A, (MATCH(163, 輔助計算!$G$2:$G$801, 0)+1)), "")&lt;&gt;"", IFERROR(INDEX(ERP資料!$A:$A, (MATCH(163, 輔助計算!$G$2:$G$801, 0)+1)), "")&lt;&gt;IFERROR(INDEX(ERP資料!$A:$A, MATCH(162, 輔助計算!$G$2:$G$801, 0)+1), "")), INDEX(ERP資料!$S:$S, (MATCH(163, 輔助計算!$G$2:$G$801, 0)+1)), ""), "")</f>
        <v/>
      </c>
      <c r="C164" s="19">
        <f>IFERROR(IF(AND(IFERROR(INDEX(ERP資料!$A:$A, (MATCH(163, 輔助計算!$G$2:$G$801, 0)+1)), "")&lt;&gt;"", IFERROR(INDEX(ERP資料!$A:$A, (MATCH(163, 輔助計算!$G$2:$G$801, 0)+1)), "")&lt;&gt;IFERROR(INDEX(ERP資料!$A:$A, MATCH(162, 輔助計算!$G$2:$G$801, 0)+1), "")), IFERROR(VLOOKUP(LEFT(INDEX(ERP資料!$S:$S, (MATCH(163, 輔助計算!$G$2:$G$801, 0)+1)), 4), 紙管對照表!$A:$C, 3, FALSE), ""), ""), "")</f>
        <v/>
      </c>
      <c r="D164" s="16" t="n"/>
      <c r="E164" s="10">
        <f>IFERROR(IF(INDEX(ERP資料!$H:$H, (MATCH(163, 輔助計算!$G$2:$G$801, 0)+1))="","",INDEX(ERP資料!$H:$H, (MATCH(163, 輔助計算!$G$2:$G$801, 0)+1))), "")</f>
        <v/>
      </c>
      <c r="F164" s="10">
        <f>IFERROR(IF(INDEX(ERP資料!$E:$E, (MATCH(163, 輔助計算!$G$2:$G$801, 0)+1))="","",TRIM(INDEX(ERP資料!$E:$E, (MATCH(163, 輔助計算!$G$2:$G$801, 0)+1)))), "")</f>
        <v/>
      </c>
      <c r="G164" s="10">
        <f>IFERROR(IF(INDEX(ERP資料!$F:$F, (MATCH(163, 輔助計算!$G$2:$G$801, 0)+1))="","",INDEX(ERP資料!$F:$F, (MATCH(163, 輔助計算!$G$2:$G$801, 0)+1))), "")</f>
        <v/>
      </c>
      <c r="H164" s="10">
        <f>IFERROR(IF(INDEX(ERP資料!$G:$G, (MATCH(163, 輔助計算!$G$2:$G$801, 0)+1))="","",INDEX(ERP資料!$G:$G, (MATCH(163, 輔助計算!$G$2:$G$801, 0)+1))), "")</f>
        <v/>
      </c>
      <c r="I164" s="15">
        <f>IFERROR(INDEX(輔助計算!$D:$D, (MATCH(163, 輔助計算!$G$2:$G$801, 0)+1)), "")</f>
        <v/>
      </c>
      <c r="J164" s="15">
        <f>IFERROR(IF(AND(INDEX(輔助計算!$D:$D, (MATCH(163, 輔助計算!$G$2:$G$801, 0)+1))&lt;&gt;"", INDEX(ERP資料!$G:$G, (MATCH(163, 輔助計算!$G$2:$G$801, 0)+1))&lt;&gt;""), TRIM(IF(INT(INDEX(輔助計算!$D:$D, (MATCH(163, 輔助計算!$G$2:$G$801, 0)+1))/IF(INDEX(ERP資料!$G:$G, (MATCH(163, 輔助計算!$G$2:$G$801, 0)+1))&lt;100, IF(INDEX(ERP資料!$G:$G, (MATCH(163, 輔助計算!$G$2:$G$801, 0)+1))&lt;=31,3,IF(INDEX(ERP資料!$G:$G, (MATCH(163, 輔助計算!$G$2:$G$801, 0)+1))&lt;=46.5,2,1)), IF(INDEX(ERP資料!$G:$G, (MATCH(163, 輔助計算!$G$2:$G$801, 0)+1))&lt;=790,3,IF(INDEX(ERP資料!$G:$G, (MATCH(163, 輔助計算!$G$2:$G$801, 0)+1))&lt;=1181,2,1))))&gt;0, IF(IF(INDEX(ERP資料!$G:$G, (MATCH(163, 輔助計算!$G$2:$G$801, 0)+1))&lt;100, IF(INDEX(ERP資料!$G:$G, (MATCH(163, 輔助計算!$G$2:$G$801, 0)+1))&lt;=31,3,IF(INDEX(ERP資料!$G:$G, (MATCH(163, 輔助計算!$G$2:$G$801, 0)+1))&lt;=46.5,2,1)), IF(INDEX(ERP資料!$G:$G, (MATCH(163, 輔助計算!$G$2:$G$801, 0)+1))&lt;=790,3,IF(INDEX(ERP資料!$G:$G, (MATCH(163, 輔助計算!$G$2:$G$801, 0)+1))&lt;=1181,2,1)))=1,TEXT(INDEX(ERP資料!$G:$G, (MATCH(163, 輔助計算!$G$2:$G$801, 0)+1)),"0.##"),IF(IF(INDEX(ERP資料!$G:$G, (MATCH(163, 輔助計算!$G$2:$G$801, 0)+1))&lt;100, IF(INDEX(ERP資料!$G:$G, (MATCH(163, 輔助計算!$G$2:$G$801, 0)+1))&lt;=31,3,IF(INDEX(ERP資料!$G:$G, (MATCH(163, 輔助計算!$G$2:$G$801, 0)+1))&lt;=46.5,2,1)), IF(INDEX(ERP資料!$G:$G, (MATCH(163, 輔助計算!$G$2:$G$801, 0)+1))&lt;=790,3,IF(INDEX(ERP資料!$G:$G, (MATCH(163, 輔助計算!$G$2:$G$801, 0)+1))&lt;=1181,2,1)))=2,TEXT(INDEX(ERP資料!$G:$G, (MATCH(163, 輔助計算!$G$2:$G$801, 0)+1)),"0.##")&amp;"+"&amp;TEXT(INDEX(ERP資料!$G:$G, (MATCH(163, 輔助計算!$G$2:$G$801, 0)+1)),"0.##"),TEXT(INDEX(ERP資料!$G:$G, (MATCH(163, 輔助計算!$G$2:$G$801, 0)+1)),"0.##")&amp;"+"&amp;TEXT(INDEX(ERP資料!$G:$G, (MATCH(163, 輔助計算!$G$2:$G$801, 0)+1)),"0.##")&amp;"+"&amp;TEXT(INDEX(ERP資料!$G:$G, (MATCH(163, 輔助計算!$G$2:$G$801, 0)+1)),"0.##")))&amp;"-"&amp;INT(INDEX(輔助計算!$D:$D, (MATCH(163, 輔助計算!$G$2:$G$801, 0)+1))/IF(INDEX(ERP資料!$G:$G, (MATCH(163, 輔助計算!$G$2:$G$801, 0)+1))&lt;100, IF(INDEX(ERP資料!$G:$G, (MATCH(163, 輔助計算!$G$2:$G$801, 0)+1))&lt;=31,3,IF(INDEX(ERP資料!$G:$G, (MATCH(163, 輔助計算!$G$2:$G$801, 0)+1))&lt;=46.5,2,1)), IF(INDEX(ERP資料!$G:$G, (MATCH(163, 輔助計算!$G$2:$G$801, 0)+1))&lt;=790,3,IF(INDEX(ERP資料!$G:$G, (MATCH(163, 輔助計算!$G$2:$G$801, 0)+1))&lt;=1181,2,1)))), "")&amp;IF(AND(IF(INT(INDEX(輔助計算!$D:$D, (MATCH(163, 輔助計算!$G$2:$G$801, 0)+1))/IF(INDEX(ERP資料!$G:$G, (MATCH(163, 輔助計算!$G$2:$G$801, 0)+1))&lt;100, IF(INDEX(ERP資料!$G:$G, (MATCH(163, 輔助計算!$G$2:$G$801, 0)+1))&lt;=31,3,IF(INDEX(ERP資料!$G:$G, (MATCH(163, 輔助計算!$G$2:$G$801, 0)+1))&lt;=46.5,2,1)), IF(INDEX(ERP資料!$G:$G, (MATCH(163, 輔助計算!$G$2:$G$801, 0)+1))&lt;=790,3,IF(INDEX(ERP資料!$G:$G, (MATCH(163, 輔助計算!$G$2:$G$801, 0)+1))&lt;=1181,2,1))))&gt;0, IF(IF(INDEX(ERP資料!$G:$G, (MATCH(163, 輔助計算!$G$2:$G$801, 0)+1))&lt;100, IF(INDEX(ERP資料!$G:$G, (MATCH(163, 輔助計算!$G$2:$G$801, 0)+1))&lt;=31,3,IF(INDEX(ERP資料!$G:$G, (MATCH(163, 輔助計算!$G$2:$G$801, 0)+1))&lt;=46.5,2,1)), IF(INDEX(ERP資料!$G:$G, (MATCH(163, 輔助計算!$G$2:$G$801, 0)+1))&lt;=790,3,IF(INDEX(ERP資料!$G:$G, (MATCH(163, 輔助計算!$G$2:$G$801, 0)+1))&lt;=1181,2,1)))=1,TEXT(INDEX(ERP資料!$G:$G, (MATCH(163, 輔助計算!$G$2:$G$801, 0)+1)),"0.##"),IF(IF(INDEX(ERP資料!$G:$G, (MATCH(163, 輔助計算!$G$2:$G$801, 0)+1))&lt;100, IF(INDEX(ERP資料!$G:$G, (MATCH(163, 輔助計算!$G$2:$G$801, 0)+1))&lt;=31,3,IF(INDEX(ERP資料!$G:$G, (MATCH(163, 輔助計算!$G$2:$G$801, 0)+1))&lt;=46.5,2,1)), IF(INDEX(ERP資料!$G:$G, (MATCH(163, 輔助計算!$G$2:$G$801, 0)+1))&lt;=790,3,IF(INDEX(ERP資料!$G:$G, (MATCH(163, 輔助計算!$G$2:$G$801, 0)+1))&lt;=1181,2,1)))=2,TEXT(INDEX(ERP資料!$G:$G, (MATCH(163, 輔助計算!$G$2:$G$801, 0)+1)),"0.##")&amp;"+"&amp;TEXT(INDEX(ERP資料!$G:$G, (MATCH(163, 輔助計算!$G$2:$G$801, 0)+1)),"0.##"),TEXT(INDEX(ERP資料!$G:$G, (MATCH(163, 輔助計算!$G$2:$G$801, 0)+1)),"0.##")&amp;"+"&amp;TEXT(INDEX(ERP資料!$G:$G, (MATCH(163, 輔助計算!$G$2:$G$801, 0)+1)),"0.##")&amp;"+"&amp;TEXT(INDEX(ERP資料!$G:$G, (MATCH(163, 輔助計算!$G$2:$G$801, 0)+1)),"0.##")))&amp;"-"&amp;INT(INDEX(輔助計算!$D:$D, (MATCH(163, 輔助計算!$G$2:$G$801, 0)+1))/IF(INDEX(ERP資料!$G:$G, (MATCH(163, 輔助計算!$G$2:$G$801, 0)+1))&lt;100, IF(INDEX(ERP資料!$G:$G, (MATCH(163, 輔助計算!$G$2:$G$801, 0)+1))&lt;=31,3,IF(INDEX(ERP資料!$G:$G, (MATCH(163, 輔助計算!$G$2:$G$801, 0)+1))&lt;=46.5,2,1)), IF(INDEX(ERP資料!$G:$G, (MATCH(163, 輔助計算!$G$2:$G$801, 0)+1))&lt;=790,3,IF(INDEX(ERP資料!$G:$G, (MATCH(163, 輔助計算!$G$2:$G$801, 0)+1))&lt;=1181,2,1)))), "")&lt;&gt;"",IF(MOD(INDEX(輔助計算!$D:$D, (MATCH(163, 輔助計算!$G$2:$G$801, 0)+1)),IF(INDEX(ERP資料!$G:$G, (MATCH(163, 輔助計算!$G$2:$G$801, 0)+1))&lt;100, IF(INDEX(ERP資料!$G:$G, (MATCH(163, 輔助計算!$G$2:$G$801, 0)+1))&lt;=31,3,IF(INDEX(ERP資料!$G:$G, (MATCH(163, 輔助計算!$G$2:$G$801, 0)+1))&lt;=46.5,2,1)), IF(INDEX(ERP資料!$G:$G, (MATCH(163, 輔助計算!$G$2:$G$801, 0)+1))&lt;=790,3,IF(INDEX(ERP資料!$G:$G, (MATCH(163, 輔助計算!$G$2:$G$801, 0)+1))&lt;=1181,2,1))))=0,"",IF(MOD(INDEX(輔助計算!$D:$D, (MATCH(163, 輔助計算!$G$2:$G$801, 0)+1)),IF(INDEX(ERP資料!$G:$G, (MATCH(163, 輔助計算!$G$2:$G$801, 0)+1))&lt;100, IF(INDEX(ERP資料!$G:$G, (MATCH(163, 輔助計算!$G$2:$G$801, 0)+1))&lt;=31,3,IF(INDEX(ERP資料!$G:$G, (MATCH(163, 輔助計算!$G$2:$G$801, 0)+1))&lt;=46.5,2,1)), IF(INDEX(ERP資料!$G:$G, (MATCH(163, 輔助計算!$G$2:$G$801, 0)+1))&lt;=790,3,IF(INDEX(ERP資料!$G:$G, (MATCH(163, 輔助計算!$G$2:$G$801, 0)+1))&lt;=1181,2,1))))=0,"",IF(MOD(INDEX(輔助計算!$D:$D, (MATCH(163, 輔助計算!$G$2:$G$801, 0)+1)),IF(INDEX(ERP資料!$G:$G, (MATCH(163, 輔助計算!$G$2:$G$801, 0)+1))&lt;100, IF(INDEX(ERP資料!$G:$G, (MATCH(163, 輔助計算!$G$2:$G$801, 0)+1))&lt;=31,3,IF(INDEX(ERP資料!$G:$G, (MATCH(163, 輔助計算!$G$2:$G$801, 0)+1))&lt;=46.5,2,1)), IF(INDEX(ERP資料!$G:$G, (MATCH(163, 輔助計算!$G$2:$G$801, 0)+1))&lt;=790,3,IF(INDEX(ERP資料!$G:$G, (MATCH(163, 輔助計算!$G$2:$G$801, 0)+1))&lt;=1181,2,1))))=1,TEXT(INDEX(ERP資料!$G:$G, (MATCH(163, 輔助計算!$G$2:$G$801, 0)+1)),"0.##"),IF(MOD(INDEX(輔助計算!$D:$D, (MATCH(163, 輔助計算!$G$2:$G$801, 0)+1)),IF(INDEX(ERP資料!$G:$G, (MATCH(163, 輔助計算!$G$2:$G$801, 0)+1))&lt;100, IF(INDEX(ERP資料!$G:$G, (MATCH(163, 輔助計算!$G$2:$G$801, 0)+1))&lt;=31,3,IF(INDEX(ERP資料!$G:$G, (MATCH(163, 輔助計算!$G$2:$G$801, 0)+1))&lt;=46.5,2,1)), IF(INDEX(ERP資料!$G:$G, (MATCH(163, 輔助計算!$G$2:$G$801, 0)+1))&lt;=790,3,IF(INDEX(ERP資料!$G:$G, (MATCH(163, 輔助計算!$G$2:$G$801, 0)+1))&lt;=1181,2,1))))=2,TEXT(INDEX(ERP資料!$G:$G, (MATCH(163, 輔助計算!$G$2:$G$801, 0)+1)),"0.##")&amp;"+"&amp;TEXT(INDEX(ERP資料!$G:$G, (MATCH(163, 輔助計算!$G$2:$G$801, 0)+1)),"0.##"),TEXT(INDEX(ERP資料!$G:$G, (MATCH(163, 輔助計算!$G$2:$G$801, 0)+1)),"0.##")&amp;"+"&amp;TEXT(INDEX(ERP資料!$G:$G, (MATCH(163, 輔助計算!$G$2:$G$801, 0)+1)),"0.##")&amp;"+"&amp;TEXT(INDEX(ERP資料!$G:$G, (MATCH(163, 輔助計算!$G$2:$G$801, 0)+1)),"0.##"))))&amp;"-1")&lt;&gt;""),"  ","")&amp;IF(MOD(INDEX(輔助計算!$D:$D, (MATCH(163, 輔助計算!$G$2:$G$801, 0)+1)),IF(INDEX(ERP資料!$G:$G, (MATCH(163, 輔助計算!$G$2:$G$801, 0)+1))&lt;100, IF(INDEX(ERP資料!$G:$G, (MATCH(163, 輔助計算!$G$2:$G$801, 0)+1))&lt;=31,3,IF(INDEX(ERP資料!$G:$G, (MATCH(163, 輔助計算!$G$2:$G$801, 0)+1))&lt;=46.5,2,1)), IF(INDEX(ERP資料!$G:$G, (MATCH(163, 輔助計算!$G$2:$G$801, 0)+1))&lt;=790,3,IF(INDEX(ERP資料!$G:$G, (MATCH(163, 輔助計算!$G$2:$G$801, 0)+1))&lt;=1181,2,1))))=0,"",IF(MOD(INDEX(輔助計算!$D:$D, (MATCH(163, 輔助計算!$G$2:$G$801, 0)+1)),IF(INDEX(ERP資料!$G:$G, (MATCH(163, 輔助計算!$G$2:$G$801, 0)+1))&lt;100, IF(INDEX(ERP資料!$G:$G, (MATCH(163, 輔助計算!$G$2:$G$801, 0)+1))&lt;=31,3,IF(INDEX(ERP資料!$G:$G, (MATCH(163, 輔助計算!$G$2:$G$801, 0)+1))&lt;=46.5,2,1)), IF(INDEX(ERP資料!$G:$G, (MATCH(163, 輔助計算!$G$2:$G$801, 0)+1))&lt;=790,3,IF(INDEX(ERP資料!$G:$G, (MATCH(163, 輔助計算!$G$2:$G$801, 0)+1))&lt;=1181,2,1))))=0,"",IF(MOD(INDEX(輔助計算!$D:$D, (MATCH(163, 輔助計算!$G$2:$G$801, 0)+1)),IF(INDEX(ERP資料!$G:$G, (MATCH(163, 輔助計算!$G$2:$G$801, 0)+1))&lt;100, IF(INDEX(ERP資料!$G:$G, (MATCH(163, 輔助計算!$G$2:$G$801, 0)+1))&lt;=31,3,IF(INDEX(ERP資料!$G:$G, (MATCH(163, 輔助計算!$G$2:$G$801, 0)+1))&lt;=46.5,2,1)), IF(INDEX(ERP資料!$G:$G, (MATCH(163, 輔助計算!$G$2:$G$801, 0)+1))&lt;=790,3,IF(INDEX(ERP資料!$G:$G, (MATCH(163, 輔助計算!$G$2:$G$801, 0)+1))&lt;=1181,2,1))))=1,TEXT(INDEX(ERP資料!$G:$G, (MATCH(163, 輔助計算!$G$2:$G$801, 0)+1)),"0.##"),IF(MOD(INDEX(輔助計算!$D:$D, (MATCH(163, 輔助計算!$G$2:$G$801, 0)+1)),IF(INDEX(ERP資料!$G:$G, (MATCH(163, 輔助計算!$G$2:$G$801, 0)+1))&lt;100, IF(INDEX(ERP資料!$G:$G, (MATCH(163, 輔助計算!$G$2:$G$801, 0)+1))&lt;=31,3,IF(INDEX(ERP資料!$G:$G, (MATCH(163, 輔助計算!$G$2:$G$801, 0)+1))&lt;=46.5,2,1)), IF(INDEX(ERP資料!$G:$G, (MATCH(163, 輔助計算!$G$2:$G$801, 0)+1))&lt;=790,3,IF(INDEX(ERP資料!$G:$G, (MATCH(163, 輔助計算!$G$2:$G$801, 0)+1))&lt;=1181,2,1))))=2,TEXT(INDEX(ERP資料!$G:$G, (MATCH(163, 輔助計算!$G$2:$G$801, 0)+1)),"0.##")&amp;"+"&amp;TEXT(INDEX(ERP資料!$G:$G, (MATCH(163, 輔助計算!$G$2:$G$801, 0)+1)),"0.##"),TEXT(INDEX(ERP資料!$G:$G, (MATCH(163, 輔助計算!$G$2:$G$801, 0)+1)),"0.##")&amp;"+"&amp;TEXT(INDEX(ERP資料!$G:$G, (MATCH(163, 輔助計算!$G$2:$G$801, 0)+1)),"0.##")&amp;"+"&amp;TEXT(INDEX(ERP資料!$G:$G, (MATCH(163, 輔助計算!$G$2:$G$801, 0)+1)),"0.##"))))&amp;"-1")), ""), "")</f>
        <v/>
      </c>
      <c r="K164" s="16" t="n"/>
      <c r="L164" s="14">
        <f>IFERROR(IF(AND(IFERROR(INDEX(ERP資料!$A:$A, (MATCH(163, 輔助計算!$G$2:$G$801, 0)+1)), "")&lt;&gt;"", IFERROR(INDEX(ERP資料!$A:$A, (MATCH(163, 輔助計算!$G$2:$G$801, 0)+1)), "")&lt;&gt;IFERROR(INDEX(ERP資料!$A:$A, MATCH(162, 輔助計算!$G$2:$G$801, 0)+1), "")), INDEX(ERP資料!$B:$B, (MATCH(163, 輔助計算!$G$2:$G$801, 0)+1)), ""), "")</f>
        <v/>
      </c>
      <c r="M164" s="17" t="n"/>
    </row>
    <row r="165">
      <c r="A165" s="10">
        <f>IFERROR(IF(AND(IFERROR(INDEX(ERP資料!$A:$A, (MATCH(164, 輔助計算!$G$2:$G$801, 0)+1)), "")&lt;&gt;"", IFERROR(INDEX(ERP資料!$A:$A, (MATCH(164, 輔助計算!$G$2:$G$801, 0)+1)), "")&lt;&gt;IFERROR(INDEX(ERP資料!$A:$A, MATCH(163, 輔助計算!$G$2:$G$801, 0)+1), "")), IFERROR(INDEX(ERP資料!$A:$A, (MATCH(164, 輔助計算!$G$2:$G$801, 0)+1)), ""), ""), "")</f>
        <v/>
      </c>
      <c r="B165" s="10">
        <f>IFERROR(IF(AND(IFERROR(INDEX(ERP資料!$A:$A, (MATCH(164, 輔助計算!$G$2:$G$801, 0)+1)), "")&lt;&gt;"", IFERROR(INDEX(ERP資料!$A:$A, (MATCH(164, 輔助計算!$G$2:$G$801, 0)+1)), "")&lt;&gt;IFERROR(INDEX(ERP資料!$A:$A, MATCH(163, 輔助計算!$G$2:$G$801, 0)+1), "")), INDEX(ERP資料!$S:$S, (MATCH(164, 輔助計算!$G$2:$G$801, 0)+1)), ""), "")</f>
        <v/>
      </c>
      <c r="C165" s="19">
        <f>IFERROR(IF(AND(IFERROR(INDEX(ERP資料!$A:$A, (MATCH(164, 輔助計算!$G$2:$G$801, 0)+1)), "")&lt;&gt;"", IFERROR(INDEX(ERP資料!$A:$A, (MATCH(164, 輔助計算!$G$2:$G$801, 0)+1)), "")&lt;&gt;IFERROR(INDEX(ERP資料!$A:$A, MATCH(163, 輔助計算!$G$2:$G$801, 0)+1), "")), IFERROR(VLOOKUP(LEFT(INDEX(ERP資料!$S:$S, (MATCH(164, 輔助計算!$G$2:$G$801, 0)+1)), 4), 紙管對照表!$A:$C, 3, FALSE), ""), ""), "")</f>
        <v/>
      </c>
      <c r="D165" s="16" t="n"/>
      <c r="E165" s="10">
        <f>IFERROR(IF(INDEX(ERP資料!$H:$H, (MATCH(164, 輔助計算!$G$2:$G$801, 0)+1))="","",INDEX(ERP資料!$H:$H, (MATCH(164, 輔助計算!$G$2:$G$801, 0)+1))), "")</f>
        <v/>
      </c>
      <c r="F165" s="10">
        <f>IFERROR(IF(INDEX(ERP資料!$E:$E, (MATCH(164, 輔助計算!$G$2:$G$801, 0)+1))="","",TRIM(INDEX(ERP資料!$E:$E, (MATCH(164, 輔助計算!$G$2:$G$801, 0)+1)))), "")</f>
        <v/>
      </c>
      <c r="G165" s="10">
        <f>IFERROR(IF(INDEX(ERP資料!$F:$F, (MATCH(164, 輔助計算!$G$2:$G$801, 0)+1))="","",INDEX(ERP資料!$F:$F, (MATCH(164, 輔助計算!$G$2:$G$801, 0)+1))), "")</f>
        <v/>
      </c>
      <c r="H165" s="10">
        <f>IFERROR(IF(INDEX(ERP資料!$G:$G, (MATCH(164, 輔助計算!$G$2:$G$801, 0)+1))="","",INDEX(ERP資料!$G:$G, (MATCH(164, 輔助計算!$G$2:$G$801, 0)+1))), "")</f>
        <v/>
      </c>
      <c r="I165" s="15">
        <f>IFERROR(INDEX(輔助計算!$D:$D, (MATCH(164, 輔助計算!$G$2:$G$801, 0)+1)), "")</f>
        <v/>
      </c>
      <c r="J165" s="15">
        <f>IFERROR(IF(AND(INDEX(輔助計算!$D:$D, (MATCH(164, 輔助計算!$G$2:$G$801, 0)+1))&lt;&gt;"", INDEX(ERP資料!$G:$G, (MATCH(164, 輔助計算!$G$2:$G$801, 0)+1))&lt;&gt;""), TRIM(IF(INT(INDEX(輔助計算!$D:$D, (MATCH(164, 輔助計算!$G$2:$G$801, 0)+1))/IF(INDEX(ERP資料!$G:$G, (MATCH(164, 輔助計算!$G$2:$G$801, 0)+1))&lt;100, IF(INDEX(ERP資料!$G:$G, (MATCH(164, 輔助計算!$G$2:$G$801, 0)+1))&lt;=31,3,IF(INDEX(ERP資料!$G:$G, (MATCH(164, 輔助計算!$G$2:$G$801, 0)+1))&lt;=46.5,2,1)), IF(INDEX(ERP資料!$G:$G, (MATCH(164, 輔助計算!$G$2:$G$801, 0)+1))&lt;=790,3,IF(INDEX(ERP資料!$G:$G, (MATCH(164, 輔助計算!$G$2:$G$801, 0)+1))&lt;=1181,2,1))))&gt;0, IF(IF(INDEX(ERP資料!$G:$G, (MATCH(164, 輔助計算!$G$2:$G$801, 0)+1))&lt;100, IF(INDEX(ERP資料!$G:$G, (MATCH(164, 輔助計算!$G$2:$G$801, 0)+1))&lt;=31,3,IF(INDEX(ERP資料!$G:$G, (MATCH(164, 輔助計算!$G$2:$G$801, 0)+1))&lt;=46.5,2,1)), IF(INDEX(ERP資料!$G:$G, (MATCH(164, 輔助計算!$G$2:$G$801, 0)+1))&lt;=790,3,IF(INDEX(ERP資料!$G:$G, (MATCH(164, 輔助計算!$G$2:$G$801, 0)+1))&lt;=1181,2,1)))=1,TEXT(INDEX(ERP資料!$G:$G, (MATCH(164, 輔助計算!$G$2:$G$801, 0)+1)),"0.##"),IF(IF(INDEX(ERP資料!$G:$G, (MATCH(164, 輔助計算!$G$2:$G$801, 0)+1))&lt;100, IF(INDEX(ERP資料!$G:$G, (MATCH(164, 輔助計算!$G$2:$G$801, 0)+1))&lt;=31,3,IF(INDEX(ERP資料!$G:$G, (MATCH(164, 輔助計算!$G$2:$G$801, 0)+1))&lt;=46.5,2,1)), IF(INDEX(ERP資料!$G:$G, (MATCH(164, 輔助計算!$G$2:$G$801, 0)+1))&lt;=790,3,IF(INDEX(ERP資料!$G:$G, (MATCH(164, 輔助計算!$G$2:$G$801, 0)+1))&lt;=1181,2,1)))=2,TEXT(INDEX(ERP資料!$G:$G, (MATCH(164, 輔助計算!$G$2:$G$801, 0)+1)),"0.##")&amp;"+"&amp;TEXT(INDEX(ERP資料!$G:$G, (MATCH(164, 輔助計算!$G$2:$G$801, 0)+1)),"0.##"),TEXT(INDEX(ERP資料!$G:$G, (MATCH(164, 輔助計算!$G$2:$G$801, 0)+1)),"0.##")&amp;"+"&amp;TEXT(INDEX(ERP資料!$G:$G, (MATCH(164, 輔助計算!$G$2:$G$801, 0)+1)),"0.##")&amp;"+"&amp;TEXT(INDEX(ERP資料!$G:$G, (MATCH(164, 輔助計算!$G$2:$G$801, 0)+1)),"0.##")))&amp;"-"&amp;INT(INDEX(輔助計算!$D:$D, (MATCH(164, 輔助計算!$G$2:$G$801, 0)+1))/IF(INDEX(ERP資料!$G:$G, (MATCH(164, 輔助計算!$G$2:$G$801, 0)+1))&lt;100, IF(INDEX(ERP資料!$G:$G, (MATCH(164, 輔助計算!$G$2:$G$801, 0)+1))&lt;=31,3,IF(INDEX(ERP資料!$G:$G, (MATCH(164, 輔助計算!$G$2:$G$801, 0)+1))&lt;=46.5,2,1)), IF(INDEX(ERP資料!$G:$G, (MATCH(164, 輔助計算!$G$2:$G$801, 0)+1))&lt;=790,3,IF(INDEX(ERP資料!$G:$G, (MATCH(164, 輔助計算!$G$2:$G$801, 0)+1))&lt;=1181,2,1)))), "")&amp;IF(AND(IF(INT(INDEX(輔助計算!$D:$D, (MATCH(164, 輔助計算!$G$2:$G$801, 0)+1))/IF(INDEX(ERP資料!$G:$G, (MATCH(164, 輔助計算!$G$2:$G$801, 0)+1))&lt;100, IF(INDEX(ERP資料!$G:$G, (MATCH(164, 輔助計算!$G$2:$G$801, 0)+1))&lt;=31,3,IF(INDEX(ERP資料!$G:$G, (MATCH(164, 輔助計算!$G$2:$G$801, 0)+1))&lt;=46.5,2,1)), IF(INDEX(ERP資料!$G:$G, (MATCH(164, 輔助計算!$G$2:$G$801, 0)+1))&lt;=790,3,IF(INDEX(ERP資料!$G:$G, (MATCH(164, 輔助計算!$G$2:$G$801, 0)+1))&lt;=1181,2,1))))&gt;0, IF(IF(INDEX(ERP資料!$G:$G, (MATCH(164, 輔助計算!$G$2:$G$801, 0)+1))&lt;100, IF(INDEX(ERP資料!$G:$G, (MATCH(164, 輔助計算!$G$2:$G$801, 0)+1))&lt;=31,3,IF(INDEX(ERP資料!$G:$G, (MATCH(164, 輔助計算!$G$2:$G$801, 0)+1))&lt;=46.5,2,1)), IF(INDEX(ERP資料!$G:$G, (MATCH(164, 輔助計算!$G$2:$G$801, 0)+1))&lt;=790,3,IF(INDEX(ERP資料!$G:$G, (MATCH(164, 輔助計算!$G$2:$G$801, 0)+1))&lt;=1181,2,1)))=1,TEXT(INDEX(ERP資料!$G:$G, (MATCH(164, 輔助計算!$G$2:$G$801, 0)+1)),"0.##"),IF(IF(INDEX(ERP資料!$G:$G, (MATCH(164, 輔助計算!$G$2:$G$801, 0)+1))&lt;100, IF(INDEX(ERP資料!$G:$G, (MATCH(164, 輔助計算!$G$2:$G$801, 0)+1))&lt;=31,3,IF(INDEX(ERP資料!$G:$G, (MATCH(164, 輔助計算!$G$2:$G$801, 0)+1))&lt;=46.5,2,1)), IF(INDEX(ERP資料!$G:$G, (MATCH(164, 輔助計算!$G$2:$G$801, 0)+1))&lt;=790,3,IF(INDEX(ERP資料!$G:$G, (MATCH(164, 輔助計算!$G$2:$G$801, 0)+1))&lt;=1181,2,1)))=2,TEXT(INDEX(ERP資料!$G:$G, (MATCH(164, 輔助計算!$G$2:$G$801, 0)+1)),"0.##")&amp;"+"&amp;TEXT(INDEX(ERP資料!$G:$G, (MATCH(164, 輔助計算!$G$2:$G$801, 0)+1)),"0.##"),TEXT(INDEX(ERP資料!$G:$G, (MATCH(164, 輔助計算!$G$2:$G$801, 0)+1)),"0.##")&amp;"+"&amp;TEXT(INDEX(ERP資料!$G:$G, (MATCH(164, 輔助計算!$G$2:$G$801, 0)+1)),"0.##")&amp;"+"&amp;TEXT(INDEX(ERP資料!$G:$G, (MATCH(164, 輔助計算!$G$2:$G$801, 0)+1)),"0.##")))&amp;"-"&amp;INT(INDEX(輔助計算!$D:$D, (MATCH(164, 輔助計算!$G$2:$G$801, 0)+1))/IF(INDEX(ERP資料!$G:$G, (MATCH(164, 輔助計算!$G$2:$G$801, 0)+1))&lt;100, IF(INDEX(ERP資料!$G:$G, (MATCH(164, 輔助計算!$G$2:$G$801, 0)+1))&lt;=31,3,IF(INDEX(ERP資料!$G:$G, (MATCH(164, 輔助計算!$G$2:$G$801, 0)+1))&lt;=46.5,2,1)), IF(INDEX(ERP資料!$G:$G, (MATCH(164, 輔助計算!$G$2:$G$801, 0)+1))&lt;=790,3,IF(INDEX(ERP資料!$G:$G, (MATCH(164, 輔助計算!$G$2:$G$801, 0)+1))&lt;=1181,2,1)))), "")&lt;&gt;"",IF(MOD(INDEX(輔助計算!$D:$D, (MATCH(164, 輔助計算!$G$2:$G$801, 0)+1)),IF(INDEX(ERP資料!$G:$G, (MATCH(164, 輔助計算!$G$2:$G$801, 0)+1))&lt;100, IF(INDEX(ERP資料!$G:$G, (MATCH(164, 輔助計算!$G$2:$G$801, 0)+1))&lt;=31,3,IF(INDEX(ERP資料!$G:$G, (MATCH(164, 輔助計算!$G$2:$G$801, 0)+1))&lt;=46.5,2,1)), IF(INDEX(ERP資料!$G:$G, (MATCH(164, 輔助計算!$G$2:$G$801, 0)+1))&lt;=790,3,IF(INDEX(ERP資料!$G:$G, (MATCH(164, 輔助計算!$G$2:$G$801, 0)+1))&lt;=1181,2,1))))=0,"",IF(MOD(INDEX(輔助計算!$D:$D, (MATCH(164, 輔助計算!$G$2:$G$801, 0)+1)),IF(INDEX(ERP資料!$G:$G, (MATCH(164, 輔助計算!$G$2:$G$801, 0)+1))&lt;100, IF(INDEX(ERP資料!$G:$G, (MATCH(164, 輔助計算!$G$2:$G$801, 0)+1))&lt;=31,3,IF(INDEX(ERP資料!$G:$G, (MATCH(164, 輔助計算!$G$2:$G$801, 0)+1))&lt;=46.5,2,1)), IF(INDEX(ERP資料!$G:$G, (MATCH(164, 輔助計算!$G$2:$G$801, 0)+1))&lt;=790,3,IF(INDEX(ERP資料!$G:$G, (MATCH(164, 輔助計算!$G$2:$G$801, 0)+1))&lt;=1181,2,1))))=0,"",IF(MOD(INDEX(輔助計算!$D:$D, (MATCH(164, 輔助計算!$G$2:$G$801, 0)+1)),IF(INDEX(ERP資料!$G:$G, (MATCH(164, 輔助計算!$G$2:$G$801, 0)+1))&lt;100, IF(INDEX(ERP資料!$G:$G, (MATCH(164, 輔助計算!$G$2:$G$801, 0)+1))&lt;=31,3,IF(INDEX(ERP資料!$G:$G, (MATCH(164, 輔助計算!$G$2:$G$801, 0)+1))&lt;=46.5,2,1)), IF(INDEX(ERP資料!$G:$G, (MATCH(164, 輔助計算!$G$2:$G$801, 0)+1))&lt;=790,3,IF(INDEX(ERP資料!$G:$G, (MATCH(164, 輔助計算!$G$2:$G$801, 0)+1))&lt;=1181,2,1))))=1,TEXT(INDEX(ERP資料!$G:$G, (MATCH(164, 輔助計算!$G$2:$G$801, 0)+1)),"0.##"),IF(MOD(INDEX(輔助計算!$D:$D, (MATCH(164, 輔助計算!$G$2:$G$801, 0)+1)),IF(INDEX(ERP資料!$G:$G, (MATCH(164, 輔助計算!$G$2:$G$801, 0)+1))&lt;100, IF(INDEX(ERP資料!$G:$G, (MATCH(164, 輔助計算!$G$2:$G$801, 0)+1))&lt;=31,3,IF(INDEX(ERP資料!$G:$G, (MATCH(164, 輔助計算!$G$2:$G$801, 0)+1))&lt;=46.5,2,1)), IF(INDEX(ERP資料!$G:$G, (MATCH(164, 輔助計算!$G$2:$G$801, 0)+1))&lt;=790,3,IF(INDEX(ERP資料!$G:$G, (MATCH(164, 輔助計算!$G$2:$G$801, 0)+1))&lt;=1181,2,1))))=2,TEXT(INDEX(ERP資料!$G:$G, (MATCH(164, 輔助計算!$G$2:$G$801, 0)+1)),"0.##")&amp;"+"&amp;TEXT(INDEX(ERP資料!$G:$G, (MATCH(164, 輔助計算!$G$2:$G$801, 0)+1)),"0.##"),TEXT(INDEX(ERP資料!$G:$G, (MATCH(164, 輔助計算!$G$2:$G$801, 0)+1)),"0.##")&amp;"+"&amp;TEXT(INDEX(ERP資料!$G:$G, (MATCH(164, 輔助計算!$G$2:$G$801, 0)+1)),"0.##")&amp;"+"&amp;TEXT(INDEX(ERP資料!$G:$G, (MATCH(164, 輔助計算!$G$2:$G$801, 0)+1)),"0.##"))))&amp;"-1")&lt;&gt;""),"  ","")&amp;IF(MOD(INDEX(輔助計算!$D:$D, (MATCH(164, 輔助計算!$G$2:$G$801, 0)+1)),IF(INDEX(ERP資料!$G:$G, (MATCH(164, 輔助計算!$G$2:$G$801, 0)+1))&lt;100, IF(INDEX(ERP資料!$G:$G, (MATCH(164, 輔助計算!$G$2:$G$801, 0)+1))&lt;=31,3,IF(INDEX(ERP資料!$G:$G, (MATCH(164, 輔助計算!$G$2:$G$801, 0)+1))&lt;=46.5,2,1)), IF(INDEX(ERP資料!$G:$G, (MATCH(164, 輔助計算!$G$2:$G$801, 0)+1))&lt;=790,3,IF(INDEX(ERP資料!$G:$G, (MATCH(164, 輔助計算!$G$2:$G$801, 0)+1))&lt;=1181,2,1))))=0,"",IF(MOD(INDEX(輔助計算!$D:$D, (MATCH(164, 輔助計算!$G$2:$G$801, 0)+1)),IF(INDEX(ERP資料!$G:$G, (MATCH(164, 輔助計算!$G$2:$G$801, 0)+1))&lt;100, IF(INDEX(ERP資料!$G:$G, (MATCH(164, 輔助計算!$G$2:$G$801, 0)+1))&lt;=31,3,IF(INDEX(ERP資料!$G:$G, (MATCH(164, 輔助計算!$G$2:$G$801, 0)+1))&lt;=46.5,2,1)), IF(INDEX(ERP資料!$G:$G, (MATCH(164, 輔助計算!$G$2:$G$801, 0)+1))&lt;=790,3,IF(INDEX(ERP資料!$G:$G, (MATCH(164, 輔助計算!$G$2:$G$801, 0)+1))&lt;=1181,2,1))))=0,"",IF(MOD(INDEX(輔助計算!$D:$D, (MATCH(164, 輔助計算!$G$2:$G$801, 0)+1)),IF(INDEX(ERP資料!$G:$G, (MATCH(164, 輔助計算!$G$2:$G$801, 0)+1))&lt;100, IF(INDEX(ERP資料!$G:$G, (MATCH(164, 輔助計算!$G$2:$G$801, 0)+1))&lt;=31,3,IF(INDEX(ERP資料!$G:$G, (MATCH(164, 輔助計算!$G$2:$G$801, 0)+1))&lt;=46.5,2,1)), IF(INDEX(ERP資料!$G:$G, (MATCH(164, 輔助計算!$G$2:$G$801, 0)+1))&lt;=790,3,IF(INDEX(ERP資料!$G:$G, (MATCH(164, 輔助計算!$G$2:$G$801, 0)+1))&lt;=1181,2,1))))=1,TEXT(INDEX(ERP資料!$G:$G, (MATCH(164, 輔助計算!$G$2:$G$801, 0)+1)),"0.##"),IF(MOD(INDEX(輔助計算!$D:$D, (MATCH(164, 輔助計算!$G$2:$G$801, 0)+1)),IF(INDEX(ERP資料!$G:$G, (MATCH(164, 輔助計算!$G$2:$G$801, 0)+1))&lt;100, IF(INDEX(ERP資料!$G:$G, (MATCH(164, 輔助計算!$G$2:$G$801, 0)+1))&lt;=31,3,IF(INDEX(ERP資料!$G:$G, (MATCH(164, 輔助計算!$G$2:$G$801, 0)+1))&lt;=46.5,2,1)), IF(INDEX(ERP資料!$G:$G, (MATCH(164, 輔助計算!$G$2:$G$801, 0)+1))&lt;=790,3,IF(INDEX(ERP資料!$G:$G, (MATCH(164, 輔助計算!$G$2:$G$801, 0)+1))&lt;=1181,2,1))))=2,TEXT(INDEX(ERP資料!$G:$G, (MATCH(164, 輔助計算!$G$2:$G$801, 0)+1)),"0.##")&amp;"+"&amp;TEXT(INDEX(ERP資料!$G:$G, (MATCH(164, 輔助計算!$G$2:$G$801, 0)+1)),"0.##"),TEXT(INDEX(ERP資料!$G:$G, (MATCH(164, 輔助計算!$G$2:$G$801, 0)+1)),"0.##")&amp;"+"&amp;TEXT(INDEX(ERP資料!$G:$G, (MATCH(164, 輔助計算!$G$2:$G$801, 0)+1)),"0.##")&amp;"+"&amp;TEXT(INDEX(ERP資料!$G:$G, (MATCH(164, 輔助計算!$G$2:$G$801, 0)+1)),"0.##"))))&amp;"-1")), ""), "")</f>
        <v/>
      </c>
      <c r="K165" s="16" t="n"/>
      <c r="L165" s="14">
        <f>IFERROR(IF(AND(IFERROR(INDEX(ERP資料!$A:$A, (MATCH(164, 輔助計算!$G$2:$G$801, 0)+1)), "")&lt;&gt;"", IFERROR(INDEX(ERP資料!$A:$A, (MATCH(164, 輔助計算!$G$2:$G$801, 0)+1)), "")&lt;&gt;IFERROR(INDEX(ERP資料!$A:$A, MATCH(163, 輔助計算!$G$2:$G$801, 0)+1), "")), INDEX(ERP資料!$B:$B, (MATCH(164, 輔助計算!$G$2:$G$801, 0)+1)), ""), "")</f>
        <v/>
      </c>
      <c r="M165" s="17" t="n"/>
    </row>
    <row r="166">
      <c r="A166" s="10">
        <f>IFERROR(IF(AND(IFERROR(INDEX(ERP資料!$A:$A, (MATCH(165, 輔助計算!$G$2:$G$801, 0)+1)), "")&lt;&gt;"", IFERROR(INDEX(ERP資料!$A:$A, (MATCH(165, 輔助計算!$G$2:$G$801, 0)+1)), "")&lt;&gt;IFERROR(INDEX(ERP資料!$A:$A, MATCH(164, 輔助計算!$G$2:$G$801, 0)+1), "")), IFERROR(INDEX(ERP資料!$A:$A, (MATCH(165, 輔助計算!$G$2:$G$801, 0)+1)), ""), ""), "")</f>
        <v/>
      </c>
      <c r="B166" s="10">
        <f>IFERROR(IF(AND(IFERROR(INDEX(ERP資料!$A:$A, (MATCH(165, 輔助計算!$G$2:$G$801, 0)+1)), "")&lt;&gt;"", IFERROR(INDEX(ERP資料!$A:$A, (MATCH(165, 輔助計算!$G$2:$G$801, 0)+1)), "")&lt;&gt;IFERROR(INDEX(ERP資料!$A:$A, MATCH(164, 輔助計算!$G$2:$G$801, 0)+1), "")), INDEX(ERP資料!$S:$S, (MATCH(165, 輔助計算!$G$2:$G$801, 0)+1)), ""), "")</f>
        <v/>
      </c>
      <c r="C166" s="19">
        <f>IFERROR(IF(AND(IFERROR(INDEX(ERP資料!$A:$A, (MATCH(165, 輔助計算!$G$2:$G$801, 0)+1)), "")&lt;&gt;"", IFERROR(INDEX(ERP資料!$A:$A, (MATCH(165, 輔助計算!$G$2:$G$801, 0)+1)), "")&lt;&gt;IFERROR(INDEX(ERP資料!$A:$A, MATCH(164, 輔助計算!$G$2:$G$801, 0)+1), "")), IFERROR(VLOOKUP(LEFT(INDEX(ERP資料!$S:$S, (MATCH(165, 輔助計算!$G$2:$G$801, 0)+1)), 4), 紙管對照表!$A:$C, 3, FALSE), ""), ""), "")</f>
        <v/>
      </c>
      <c r="D166" s="16" t="n"/>
      <c r="E166" s="10">
        <f>IFERROR(IF(INDEX(ERP資料!$H:$H, (MATCH(165, 輔助計算!$G$2:$G$801, 0)+1))="","",INDEX(ERP資料!$H:$H, (MATCH(165, 輔助計算!$G$2:$G$801, 0)+1))), "")</f>
        <v/>
      </c>
      <c r="F166" s="10">
        <f>IFERROR(IF(INDEX(ERP資料!$E:$E, (MATCH(165, 輔助計算!$G$2:$G$801, 0)+1))="","",TRIM(INDEX(ERP資料!$E:$E, (MATCH(165, 輔助計算!$G$2:$G$801, 0)+1)))), "")</f>
        <v/>
      </c>
      <c r="G166" s="10">
        <f>IFERROR(IF(INDEX(ERP資料!$F:$F, (MATCH(165, 輔助計算!$G$2:$G$801, 0)+1))="","",INDEX(ERP資料!$F:$F, (MATCH(165, 輔助計算!$G$2:$G$801, 0)+1))), "")</f>
        <v/>
      </c>
      <c r="H166" s="10">
        <f>IFERROR(IF(INDEX(ERP資料!$G:$G, (MATCH(165, 輔助計算!$G$2:$G$801, 0)+1))="","",INDEX(ERP資料!$G:$G, (MATCH(165, 輔助計算!$G$2:$G$801, 0)+1))), "")</f>
        <v/>
      </c>
      <c r="I166" s="15">
        <f>IFERROR(INDEX(輔助計算!$D:$D, (MATCH(165, 輔助計算!$G$2:$G$801, 0)+1)), "")</f>
        <v/>
      </c>
      <c r="J166" s="15">
        <f>IFERROR(IF(AND(INDEX(輔助計算!$D:$D, (MATCH(165, 輔助計算!$G$2:$G$801, 0)+1))&lt;&gt;"", INDEX(ERP資料!$G:$G, (MATCH(165, 輔助計算!$G$2:$G$801, 0)+1))&lt;&gt;""), TRIM(IF(INT(INDEX(輔助計算!$D:$D, (MATCH(165, 輔助計算!$G$2:$G$801, 0)+1))/IF(INDEX(ERP資料!$G:$G, (MATCH(165, 輔助計算!$G$2:$G$801, 0)+1))&lt;100, IF(INDEX(ERP資料!$G:$G, (MATCH(165, 輔助計算!$G$2:$G$801, 0)+1))&lt;=31,3,IF(INDEX(ERP資料!$G:$G, (MATCH(165, 輔助計算!$G$2:$G$801, 0)+1))&lt;=46.5,2,1)), IF(INDEX(ERP資料!$G:$G, (MATCH(165, 輔助計算!$G$2:$G$801, 0)+1))&lt;=790,3,IF(INDEX(ERP資料!$G:$G, (MATCH(165, 輔助計算!$G$2:$G$801, 0)+1))&lt;=1181,2,1))))&gt;0, IF(IF(INDEX(ERP資料!$G:$G, (MATCH(165, 輔助計算!$G$2:$G$801, 0)+1))&lt;100, IF(INDEX(ERP資料!$G:$G, (MATCH(165, 輔助計算!$G$2:$G$801, 0)+1))&lt;=31,3,IF(INDEX(ERP資料!$G:$G, (MATCH(165, 輔助計算!$G$2:$G$801, 0)+1))&lt;=46.5,2,1)), IF(INDEX(ERP資料!$G:$G, (MATCH(165, 輔助計算!$G$2:$G$801, 0)+1))&lt;=790,3,IF(INDEX(ERP資料!$G:$G, (MATCH(165, 輔助計算!$G$2:$G$801, 0)+1))&lt;=1181,2,1)))=1,TEXT(INDEX(ERP資料!$G:$G, (MATCH(165, 輔助計算!$G$2:$G$801, 0)+1)),"0.##"),IF(IF(INDEX(ERP資料!$G:$G, (MATCH(165, 輔助計算!$G$2:$G$801, 0)+1))&lt;100, IF(INDEX(ERP資料!$G:$G, (MATCH(165, 輔助計算!$G$2:$G$801, 0)+1))&lt;=31,3,IF(INDEX(ERP資料!$G:$G, (MATCH(165, 輔助計算!$G$2:$G$801, 0)+1))&lt;=46.5,2,1)), IF(INDEX(ERP資料!$G:$G, (MATCH(165, 輔助計算!$G$2:$G$801, 0)+1))&lt;=790,3,IF(INDEX(ERP資料!$G:$G, (MATCH(165, 輔助計算!$G$2:$G$801, 0)+1))&lt;=1181,2,1)))=2,TEXT(INDEX(ERP資料!$G:$G, (MATCH(165, 輔助計算!$G$2:$G$801, 0)+1)),"0.##")&amp;"+"&amp;TEXT(INDEX(ERP資料!$G:$G, (MATCH(165, 輔助計算!$G$2:$G$801, 0)+1)),"0.##"),TEXT(INDEX(ERP資料!$G:$G, (MATCH(165, 輔助計算!$G$2:$G$801, 0)+1)),"0.##")&amp;"+"&amp;TEXT(INDEX(ERP資料!$G:$G, (MATCH(165, 輔助計算!$G$2:$G$801, 0)+1)),"0.##")&amp;"+"&amp;TEXT(INDEX(ERP資料!$G:$G, (MATCH(165, 輔助計算!$G$2:$G$801, 0)+1)),"0.##")))&amp;"-"&amp;INT(INDEX(輔助計算!$D:$D, (MATCH(165, 輔助計算!$G$2:$G$801, 0)+1))/IF(INDEX(ERP資料!$G:$G, (MATCH(165, 輔助計算!$G$2:$G$801, 0)+1))&lt;100, IF(INDEX(ERP資料!$G:$G, (MATCH(165, 輔助計算!$G$2:$G$801, 0)+1))&lt;=31,3,IF(INDEX(ERP資料!$G:$G, (MATCH(165, 輔助計算!$G$2:$G$801, 0)+1))&lt;=46.5,2,1)), IF(INDEX(ERP資料!$G:$G, (MATCH(165, 輔助計算!$G$2:$G$801, 0)+1))&lt;=790,3,IF(INDEX(ERP資料!$G:$G, (MATCH(165, 輔助計算!$G$2:$G$801, 0)+1))&lt;=1181,2,1)))), "")&amp;IF(AND(IF(INT(INDEX(輔助計算!$D:$D, (MATCH(165, 輔助計算!$G$2:$G$801, 0)+1))/IF(INDEX(ERP資料!$G:$G, (MATCH(165, 輔助計算!$G$2:$G$801, 0)+1))&lt;100, IF(INDEX(ERP資料!$G:$G, (MATCH(165, 輔助計算!$G$2:$G$801, 0)+1))&lt;=31,3,IF(INDEX(ERP資料!$G:$G, (MATCH(165, 輔助計算!$G$2:$G$801, 0)+1))&lt;=46.5,2,1)), IF(INDEX(ERP資料!$G:$G, (MATCH(165, 輔助計算!$G$2:$G$801, 0)+1))&lt;=790,3,IF(INDEX(ERP資料!$G:$G, (MATCH(165, 輔助計算!$G$2:$G$801, 0)+1))&lt;=1181,2,1))))&gt;0, IF(IF(INDEX(ERP資料!$G:$G, (MATCH(165, 輔助計算!$G$2:$G$801, 0)+1))&lt;100, IF(INDEX(ERP資料!$G:$G, (MATCH(165, 輔助計算!$G$2:$G$801, 0)+1))&lt;=31,3,IF(INDEX(ERP資料!$G:$G, (MATCH(165, 輔助計算!$G$2:$G$801, 0)+1))&lt;=46.5,2,1)), IF(INDEX(ERP資料!$G:$G, (MATCH(165, 輔助計算!$G$2:$G$801, 0)+1))&lt;=790,3,IF(INDEX(ERP資料!$G:$G, (MATCH(165, 輔助計算!$G$2:$G$801, 0)+1))&lt;=1181,2,1)))=1,TEXT(INDEX(ERP資料!$G:$G, (MATCH(165, 輔助計算!$G$2:$G$801, 0)+1)),"0.##"),IF(IF(INDEX(ERP資料!$G:$G, (MATCH(165, 輔助計算!$G$2:$G$801, 0)+1))&lt;100, IF(INDEX(ERP資料!$G:$G, (MATCH(165, 輔助計算!$G$2:$G$801, 0)+1))&lt;=31,3,IF(INDEX(ERP資料!$G:$G, (MATCH(165, 輔助計算!$G$2:$G$801, 0)+1))&lt;=46.5,2,1)), IF(INDEX(ERP資料!$G:$G, (MATCH(165, 輔助計算!$G$2:$G$801, 0)+1))&lt;=790,3,IF(INDEX(ERP資料!$G:$G, (MATCH(165, 輔助計算!$G$2:$G$801, 0)+1))&lt;=1181,2,1)))=2,TEXT(INDEX(ERP資料!$G:$G, (MATCH(165, 輔助計算!$G$2:$G$801, 0)+1)),"0.##")&amp;"+"&amp;TEXT(INDEX(ERP資料!$G:$G, (MATCH(165, 輔助計算!$G$2:$G$801, 0)+1)),"0.##"),TEXT(INDEX(ERP資料!$G:$G, (MATCH(165, 輔助計算!$G$2:$G$801, 0)+1)),"0.##")&amp;"+"&amp;TEXT(INDEX(ERP資料!$G:$G, (MATCH(165, 輔助計算!$G$2:$G$801, 0)+1)),"0.##")&amp;"+"&amp;TEXT(INDEX(ERP資料!$G:$G, (MATCH(165, 輔助計算!$G$2:$G$801, 0)+1)),"0.##")))&amp;"-"&amp;INT(INDEX(輔助計算!$D:$D, (MATCH(165, 輔助計算!$G$2:$G$801, 0)+1))/IF(INDEX(ERP資料!$G:$G, (MATCH(165, 輔助計算!$G$2:$G$801, 0)+1))&lt;100, IF(INDEX(ERP資料!$G:$G, (MATCH(165, 輔助計算!$G$2:$G$801, 0)+1))&lt;=31,3,IF(INDEX(ERP資料!$G:$G, (MATCH(165, 輔助計算!$G$2:$G$801, 0)+1))&lt;=46.5,2,1)), IF(INDEX(ERP資料!$G:$G, (MATCH(165, 輔助計算!$G$2:$G$801, 0)+1))&lt;=790,3,IF(INDEX(ERP資料!$G:$G, (MATCH(165, 輔助計算!$G$2:$G$801, 0)+1))&lt;=1181,2,1)))), "")&lt;&gt;"",IF(MOD(INDEX(輔助計算!$D:$D, (MATCH(165, 輔助計算!$G$2:$G$801, 0)+1)),IF(INDEX(ERP資料!$G:$G, (MATCH(165, 輔助計算!$G$2:$G$801, 0)+1))&lt;100, IF(INDEX(ERP資料!$G:$G, (MATCH(165, 輔助計算!$G$2:$G$801, 0)+1))&lt;=31,3,IF(INDEX(ERP資料!$G:$G, (MATCH(165, 輔助計算!$G$2:$G$801, 0)+1))&lt;=46.5,2,1)), IF(INDEX(ERP資料!$G:$G, (MATCH(165, 輔助計算!$G$2:$G$801, 0)+1))&lt;=790,3,IF(INDEX(ERP資料!$G:$G, (MATCH(165, 輔助計算!$G$2:$G$801, 0)+1))&lt;=1181,2,1))))=0,"",IF(MOD(INDEX(輔助計算!$D:$D, (MATCH(165, 輔助計算!$G$2:$G$801, 0)+1)),IF(INDEX(ERP資料!$G:$G, (MATCH(165, 輔助計算!$G$2:$G$801, 0)+1))&lt;100, IF(INDEX(ERP資料!$G:$G, (MATCH(165, 輔助計算!$G$2:$G$801, 0)+1))&lt;=31,3,IF(INDEX(ERP資料!$G:$G, (MATCH(165, 輔助計算!$G$2:$G$801, 0)+1))&lt;=46.5,2,1)), IF(INDEX(ERP資料!$G:$G, (MATCH(165, 輔助計算!$G$2:$G$801, 0)+1))&lt;=790,3,IF(INDEX(ERP資料!$G:$G, (MATCH(165, 輔助計算!$G$2:$G$801, 0)+1))&lt;=1181,2,1))))=0,"",IF(MOD(INDEX(輔助計算!$D:$D, (MATCH(165, 輔助計算!$G$2:$G$801, 0)+1)),IF(INDEX(ERP資料!$G:$G, (MATCH(165, 輔助計算!$G$2:$G$801, 0)+1))&lt;100, IF(INDEX(ERP資料!$G:$G, (MATCH(165, 輔助計算!$G$2:$G$801, 0)+1))&lt;=31,3,IF(INDEX(ERP資料!$G:$G, (MATCH(165, 輔助計算!$G$2:$G$801, 0)+1))&lt;=46.5,2,1)), IF(INDEX(ERP資料!$G:$G, (MATCH(165, 輔助計算!$G$2:$G$801, 0)+1))&lt;=790,3,IF(INDEX(ERP資料!$G:$G, (MATCH(165, 輔助計算!$G$2:$G$801, 0)+1))&lt;=1181,2,1))))=1,TEXT(INDEX(ERP資料!$G:$G, (MATCH(165, 輔助計算!$G$2:$G$801, 0)+1)),"0.##"),IF(MOD(INDEX(輔助計算!$D:$D, (MATCH(165, 輔助計算!$G$2:$G$801, 0)+1)),IF(INDEX(ERP資料!$G:$G, (MATCH(165, 輔助計算!$G$2:$G$801, 0)+1))&lt;100, IF(INDEX(ERP資料!$G:$G, (MATCH(165, 輔助計算!$G$2:$G$801, 0)+1))&lt;=31,3,IF(INDEX(ERP資料!$G:$G, (MATCH(165, 輔助計算!$G$2:$G$801, 0)+1))&lt;=46.5,2,1)), IF(INDEX(ERP資料!$G:$G, (MATCH(165, 輔助計算!$G$2:$G$801, 0)+1))&lt;=790,3,IF(INDEX(ERP資料!$G:$G, (MATCH(165, 輔助計算!$G$2:$G$801, 0)+1))&lt;=1181,2,1))))=2,TEXT(INDEX(ERP資料!$G:$G, (MATCH(165, 輔助計算!$G$2:$G$801, 0)+1)),"0.##")&amp;"+"&amp;TEXT(INDEX(ERP資料!$G:$G, (MATCH(165, 輔助計算!$G$2:$G$801, 0)+1)),"0.##"),TEXT(INDEX(ERP資料!$G:$G, (MATCH(165, 輔助計算!$G$2:$G$801, 0)+1)),"0.##")&amp;"+"&amp;TEXT(INDEX(ERP資料!$G:$G, (MATCH(165, 輔助計算!$G$2:$G$801, 0)+1)),"0.##")&amp;"+"&amp;TEXT(INDEX(ERP資料!$G:$G, (MATCH(165, 輔助計算!$G$2:$G$801, 0)+1)),"0.##"))))&amp;"-1")&lt;&gt;""),"  ","")&amp;IF(MOD(INDEX(輔助計算!$D:$D, (MATCH(165, 輔助計算!$G$2:$G$801, 0)+1)),IF(INDEX(ERP資料!$G:$G, (MATCH(165, 輔助計算!$G$2:$G$801, 0)+1))&lt;100, IF(INDEX(ERP資料!$G:$G, (MATCH(165, 輔助計算!$G$2:$G$801, 0)+1))&lt;=31,3,IF(INDEX(ERP資料!$G:$G, (MATCH(165, 輔助計算!$G$2:$G$801, 0)+1))&lt;=46.5,2,1)), IF(INDEX(ERP資料!$G:$G, (MATCH(165, 輔助計算!$G$2:$G$801, 0)+1))&lt;=790,3,IF(INDEX(ERP資料!$G:$G, (MATCH(165, 輔助計算!$G$2:$G$801, 0)+1))&lt;=1181,2,1))))=0,"",IF(MOD(INDEX(輔助計算!$D:$D, (MATCH(165, 輔助計算!$G$2:$G$801, 0)+1)),IF(INDEX(ERP資料!$G:$G, (MATCH(165, 輔助計算!$G$2:$G$801, 0)+1))&lt;100, IF(INDEX(ERP資料!$G:$G, (MATCH(165, 輔助計算!$G$2:$G$801, 0)+1))&lt;=31,3,IF(INDEX(ERP資料!$G:$G, (MATCH(165, 輔助計算!$G$2:$G$801, 0)+1))&lt;=46.5,2,1)), IF(INDEX(ERP資料!$G:$G, (MATCH(165, 輔助計算!$G$2:$G$801, 0)+1))&lt;=790,3,IF(INDEX(ERP資料!$G:$G, (MATCH(165, 輔助計算!$G$2:$G$801, 0)+1))&lt;=1181,2,1))))=0,"",IF(MOD(INDEX(輔助計算!$D:$D, (MATCH(165, 輔助計算!$G$2:$G$801, 0)+1)),IF(INDEX(ERP資料!$G:$G, (MATCH(165, 輔助計算!$G$2:$G$801, 0)+1))&lt;100, IF(INDEX(ERP資料!$G:$G, (MATCH(165, 輔助計算!$G$2:$G$801, 0)+1))&lt;=31,3,IF(INDEX(ERP資料!$G:$G, (MATCH(165, 輔助計算!$G$2:$G$801, 0)+1))&lt;=46.5,2,1)), IF(INDEX(ERP資料!$G:$G, (MATCH(165, 輔助計算!$G$2:$G$801, 0)+1))&lt;=790,3,IF(INDEX(ERP資料!$G:$G, (MATCH(165, 輔助計算!$G$2:$G$801, 0)+1))&lt;=1181,2,1))))=1,TEXT(INDEX(ERP資料!$G:$G, (MATCH(165, 輔助計算!$G$2:$G$801, 0)+1)),"0.##"),IF(MOD(INDEX(輔助計算!$D:$D, (MATCH(165, 輔助計算!$G$2:$G$801, 0)+1)),IF(INDEX(ERP資料!$G:$G, (MATCH(165, 輔助計算!$G$2:$G$801, 0)+1))&lt;100, IF(INDEX(ERP資料!$G:$G, (MATCH(165, 輔助計算!$G$2:$G$801, 0)+1))&lt;=31,3,IF(INDEX(ERP資料!$G:$G, (MATCH(165, 輔助計算!$G$2:$G$801, 0)+1))&lt;=46.5,2,1)), IF(INDEX(ERP資料!$G:$G, (MATCH(165, 輔助計算!$G$2:$G$801, 0)+1))&lt;=790,3,IF(INDEX(ERP資料!$G:$G, (MATCH(165, 輔助計算!$G$2:$G$801, 0)+1))&lt;=1181,2,1))))=2,TEXT(INDEX(ERP資料!$G:$G, (MATCH(165, 輔助計算!$G$2:$G$801, 0)+1)),"0.##")&amp;"+"&amp;TEXT(INDEX(ERP資料!$G:$G, (MATCH(165, 輔助計算!$G$2:$G$801, 0)+1)),"0.##"),TEXT(INDEX(ERP資料!$G:$G, (MATCH(165, 輔助計算!$G$2:$G$801, 0)+1)),"0.##")&amp;"+"&amp;TEXT(INDEX(ERP資料!$G:$G, (MATCH(165, 輔助計算!$G$2:$G$801, 0)+1)),"0.##")&amp;"+"&amp;TEXT(INDEX(ERP資料!$G:$G, (MATCH(165, 輔助計算!$G$2:$G$801, 0)+1)),"0.##"))))&amp;"-1")), ""), "")</f>
        <v/>
      </c>
      <c r="K166" s="16" t="n"/>
      <c r="L166" s="14">
        <f>IFERROR(IF(AND(IFERROR(INDEX(ERP資料!$A:$A, (MATCH(165, 輔助計算!$G$2:$G$801, 0)+1)), "")&lt;&gt;"", IFERROR(INDEX(ERP資料!$A:$A, (MATCH(165, 輔助計算!$G$2:$G$801, 0)+1)), "")&lt;&gt;IFERROR(INDEX(ERP資料!$A:$A, MATCH(164, 輔助計算!$G$2:$G$801, 0)+1), "")), INDEX(ERP資料!$B:$B, (MATCH(165, 輔助計算!$G$2:$G$801, 0)+1)), ""), "")</f>
        <v/>
      </c>
      <c r="M166" s="17" t="n"/>
    </row>
    <row r="167">
      <c r="A167" s="10">
        <f>IFERROR(IF(AND(IFERROR(INDEX(ERP資料!$A:$A, (MATCH(166, 輔助計算!$G$2:$G$801, 0)+1)), "")&lt;&gt;"", IFERROR(INDEX(ERP資料!$A:$A, (MATCH(166, 輔助計算!$G$2:$G$801, 0)+1)), "")&lt;&gt;IFERROR(INDEX(ERP資料!$A:$A, MATCH(165, 輔助計算!$G$2:$G$801, 0)+1), "")), IFERROR(INDEX(ERP資料!$A:$A, (MATCH(166, 輔助計算!$G$2:$G$801, 0)+1)), ""), ""), "")</f>
        <v/>
      </c>
      <c r="B167" s="10">
        <f>IFERROR(IF(AND(IFERROR(INDEX(ERP資料!$A:$A, (MATCH(166, 輔助計算!$G$2:$G$801, 0)+1)), "")&lt;&gt;"", IFERROR(INDEX(ERP資料!$A:$A, (MATCH(166, 輔助計算!$G$2:$G$801, 0)+1)), "")&lt;&gt;IFERROR(INDEX(ERP資料!$A:$A, MATCH(165, 輔助計算!$G$2:$G$801, 0)+1), "")), INDEX(ERP資料!$S:$S, (MATCH(166, 輔助計算!$G$2:$G$801, 0)+1)), ""), "")</f>
        <v/>
      </c>
      <c r="C167" s="19">
        <f>IFERROR(IF(AND(IFERROR(INDEX(ERP資料!$A:$A, (MATCH(166, 輔助計算!$G$2:$G$801, 0)+1)), "")&lt;&gt;"", IFERROR(INDEX(ERP資料!$A:$A, (MATCH(166, 輔助計算!$G$2:$G$801, 0)+1)), "")&lt;&gt;IFERROR(INDEX(ERP資料!$A:$A, MATCH(165, 輔助計算!$G$2:$G$801, 0)+1), "")), IFERROR(VLOOKUP(LEFT(INDEX(ERP資料!$S:$S, (MATCH(166, 輔助計算!$G$2:$G$801, 0)+1)), 4), 紙管對照表!$A:$C, 3, FALSE), ""), ""), "")</f>
        <v/>
      </c>
      <c r="D167" s="16" t="n"/>
      <c r="E167" s="10">
        <f>IFERROR(IF(INDEX(ERP資料!$H:$H, (MATCH(166, 輔助計算!$G$2:$G$801, 0)+1))="","",INDEX(ERP資料!$H:$H, (MATCH(166, 輔助計算!$G$2:$G$801, 0)+1))), "")</f>
        <v/>
      </c>
      <c r="F167" s="10">
        <f>IFERROR(IF(INDEX(ERP資料!$E:$E, (MATCH(166, 輔助計算!$G$2:$G$801, 0)+1))="","",TRIM(INDEX(ERP資料!$E:$E, (MATCH(166, 輔助計算!$G$2:$G$801, 0)+1)))), "")</f>
        <v/>
      </c>
      <c r="G167" s="10">
        <f>IFERROR(IF(INDEX(ERP資料!$F:$F, (MATCH(166, 輔助計算!$G$2:$G$801, 0)+1))="","",INDEX(ERP資料!$F:$F, (MATCH(166, 輔助計算!$G$2:$G$801, 0)+1))), "")</f>
        <v/>
      </c>
      <c r="H167" s="10">
        <f>IFERROR(IF(INDEX(ERP資料!$G:$G, (MATCH(166, 輔助計算!$G$2:$G$801, 0)+1))="","",INDEX(ERP資料!$G:$G, (MATCH(166, 輔助計算!$G$2:$G$801, 0)+1))), "")</f>
        <v/>
      </c>
      <c r="I167" s="15">
        <f>IFERROR(INDEX(輔助計算!$D:$D, (MATCH(166, 輔助計算!$G$2:$G$801, 0)+1)), "")</f>
        <v/>
      </c>
      <c r="J167" s="15">
        <f>IFERROR(IF(AND(INDEX(輔助計算!$D:$D, (MATCH(166, 輔助計算!$G$2:$G$801, 0)+1))&lt;&gt;"", INDEX(ERP資料!$G:$G, (MATCH(166, 輔助計算!$G$2:$G$801, 0)+1))&lt;&gt;""), TRIM(IF(INT(INDEX(輔助計算!$D:$D, (MATCH(166, 輔助計算!$G$2:$G$801, 0)+1))/IF(INDEX(ERP資料!$G:$G, (MATCH(166, 輔助計算!$G$2:$G$801, 0)+1))&lt;100, IF(INDEX(ERP資料!$G:$G, (MATCH(166, 輔助計算!$G$2:$G$801, 0)+1))&lt;=31,3,IF(INDEX(ERP資料!$G:$G, (MATCH(166, 輔助計算!$G$2:$G$801, 0)+1))&lt;=46.5,2,1)), IF(INDEX(ERP資料!$G:$G, (MATCH(166, 輔助計算!$G$2:$G$801, 0)+1))&lt;=790,3,IF(INDEX(ERP資料!$G:$G, (MATCH(166, 輔助計算!$G$2:$G$801, 0)+1))&lt;=1181,2,1))))&gt;0, IF(IF(INDEX(ERP資料!$G:$G, (MATCH(166, 輔助計算!$G$2:$G$801, 0)+1))&lt;100, IF(INDEX(ERP資料!$G:$G, (MATCH(166, 輔助計算!$G$2:$G$801, 0)+1))&lt;=31,3,IF(INDEX(ERP資料!$G:$G, (MATCH(166, 輔助計算!$G$2:$G$801, 0)+1))&lt;=46.5,2,1)), IF(INDEX(ERP資料!$G:$G, (MATCH(166, 輔助計算!$G$2:$G$801, 0)+1))&lt;=790,3,IF(INDEX(ERP資料!$G:$G, (MATCH(166, 輔助計算!$G$2:$G$801, 0)+1))&lt;=1181,2,1)))=1,TEXT(INDEX(ERP資料!$G:$G, (MATCH(166, 輔助計算!$G$2:$G$801, 0)+1)),"0.##"),IF(IF(INDEX(ERP資料!$G:$G, (MATCH(166, 輔助計算!$G$2:$G$801, 0)+1))&lt;100, IF(INDEX(ERP資料!$G:$G, (MATCH(166, 輔助計算!$G$2:$G$801, 0)+1))&lt;=31,3,IF(INDEX(ERP資料!$G:$G, (MATCH(166, 輔助計算!$G$2:$G$801, 0)+1))&lt;=46.5,2,1)), IF(INDEX(ERP資料!$G:$G, (MATCH(166, 輔助計算!$G$2:$G$801, 0)+1))&lt;=790,3,IF(INDEX(ERP資料!$G:$G, (MATCH(166, 輔助計算!$G$2:$G$801, 0)+1))&lt;=1181,2,1)))=2,TEXT(INDEX(ERP資料!$G:$G, (MATCH(166, 輔助計算!$G$2:$G$801, 0)+1)),"0.##")&amp;"+"&amp;TEXT(INDEX(ERP資料!$G:$G, (MATCH(166, 輔助計算!$G$2:$G$801, 0)+1)),"0.##"),TEXT(INDEX(ERP資料!$G:$G, (MATCH(166, 輔助計算!$G$2:$G$801, 0)+1)),"0.##")&amp;"+"&amp;TEXT(INDEX(ERP資料!$G:$G, (MATCH(166, 輔助計算!$G$2:$G$801, 0)+1)),"0.##")&amp;"+"&amp;TEXT(INDEX(ERP資料!$G:$G, (MATCH(166, 輔助計算!$G$2:$G$801, 0)+1)),"0.##")))&amp;"-"&amp;INT(INDEX(輔助計算!$D:$D, (MATCH(166, 輔助計算!$G$2:$G$801, 0)+1))/IF(INDEX(ERP資料!$G:$G, (MATCH(166, 輔助計算!$G$2:$G$801, 0)+1))&lt;100, IF(INDEX(ERP資料!$G:$G, (MATCH(166, 輔助計算!$G$2:$G$801, 0)+1))&lt;=31,3,IF(INDEX(ERP資料!$G:$G, (MATCH(166, 輔助計算!$G$2:$G$801, 0)+1))&lt;=46.5,2,1)), IF(INDEX(ERP資料!$G:$G, (MATCH(166, 輔助計算!$G$2:$G$801, 0)+1))&lt;=790,3,IF(INDEX(ERP資料!$G:$G, (MATCH(166, 輔助計算!$G$2:$G$801, 0)+1))&lt;=1181,2,1)))), "")&amp;IF(AND(IF(INT(INDEX(輔助計算!$D:$D, (MATCH(166, 輔助計算!$G$2:$G$801, 0)+1))/IF(INDEX(ERP資料!$G:$G, (MATCH(166, 輔助計算!$G$2:$G$801, 0)+1))&lt;100, IF(INDEX(ERP資料!$G:$G, (MATCH(166, 輔助計算!$G$2:$G$801, 0)+1))&lt;=31,3,IF(INDEX(ERP資料!$G:$G, (MATCH(166, 輔助計算!$G$2:$G$801, 0)+1))&lt;=46.5,2,1)), IF(INDEX(ERP資料!$G:$G, (MATCH(166, 輔助計算!$G$2:$G$801, 0)+1))&lt;=790,3,IF(INDEX(ERP資料!$G:$G, (MATCH(166, 輔助計算!$G$2:$G$801, 0)+1))&lt;=1181,2,1))))&gt;0, IF(IF(INDEX(ERP資料!$G:$G, (MATCH(166, 輔助計算!$G$2:$G$801, 0)+1))&lt;100, IF(INDEX(ERP資料!$G:$G, (MATCH(166, 輔助計算!$G$2:$G$801, 0)+1))&lt;=31,3,IF(INDEX(ERP資料!$G:$G, (MATCH(166, 輔助計算!$G$2:$G$801, 0)+1))&lt;=46.5,2,1)), IF(INDEX(ERP資料!$G:$G, (MATCH(166, 輔助計算!$G$2:$G$801, 0)+1))&lt;=790,3,IF(INDEX(ERP資料!$G:$G, (MATCH(166, 輔助計算!$G$2:$G$801, 0)+1))&lt;=1181,2,1)))=1,TEXT(INDEX(ERP資料!$G:$G, (MATCH(166, 輔助計算!$G$2:$G$801, 0)+1)),"0.##"),IF(IF(INDEX(ERP資料!$G:$G, (MATCH(166, 輔助計算!$G$2:$G$801, 0)+1))&lt;100, IF(INDEX(ERP資料!$G:$G, (MATCH(166, 輔助計算!$G$2:$G$801, 0)+1))&lt;=31,3,IF(INDEX(ERP資料!$G:$G, (MATCH(166, 輔助計算!$G$2:$G$801, 0)+1))&lt;=46.5,2,1)), IF(INDEX(ERP資料!$G:$G, (MATCH(166, 輔助計算!$G$2:$G$801, 0)+1))&lt;=790,3,IF(INDEX(ERP資料!$G:$G, (MATCH(166, 輔助計算!$G$2:$G$801, 0)+1))&lt;=1181,2,1)))=2,TEXT(INDEX(ERP資料!$G:$G, (MATCH(166, 輔助計算!$G$2:$G$801, 0)+1)),"0.##")&amp;"+"&amp;TEXT(INDEX(ERP資料!$G:$G, (MATCH(166, 輔助計算!$G$2:$G$801, 0)+1)),"0.##"),TEXT(INDEX(ERP資料!$G:$G, (MATCH(166, 輔助計算!$G$2:$G$801, 0)+1)),"0.##")&amp;"+"&amp;TEXT(INDEX(ERP資料!$G:$G, (MATCH(166, 輔助計算!$G$2:$G$801, 0)+1)),"0.##")&amp;"+"&amp;TEXT(INDEX(ERP資料!$G:$G, (MATCH(166, 輔助計算!$G$2:$G$801, 0)+1)),"0.##")))&amp;"-"&amp;INT(INDEX(輔助計算!$D:$D, (MATCH(166, 輔助計算!$G$2:$G$801, 0)+1))/IF(INDEX(ERP資料!$G:$G, (MATCH(166, 輔助計算!$G$2:$G$801, 0)+1))&lt;100, IF(INDEX(ERP資料!$G:$G, (MATCH(166, 輔助計算!$G$2:$G$801, 0)+1))&lt;=31,3,IF(INDEX(ERP資料!$G:$G, (MATCH(166, 輔助計算!$G$2:$G$801, 0)+1))&lt;=46.5,2,1)), IF(INDEX(ERP資料!$G:$G, (MATCH(166, 輔助計算!$G$2:$G$801, 0)+1))&lt;=790,3,IF(INDEX(ERP資料!$G:$G, (MATCH(166, 輔助計算!$G$2:$G$801, 0)+1))&lt;=1181,2,1)))), "")&lt;&gt;"",IF(MOD(INDEX(輔助計算!$D:$D, (MATCH(166, 輔助計算!$G$2:$G$801, 0)+1)),IF(INDEX(ERP資料!$G:$G, (MATCH(166, 輔助計算!$G$2:$G$801, 0)+1))&lt;100, IF(INDEX(ERP資料!$G:$G, (MATCH(166, 輔助計算!$G$2:$G$801, 0)+1))&lt;=31,3,IF(INDEX(ERP資料!$G:$G, (MATCH(166, 輔助計算!$G$2:$G$801, 0)+1))&lt;=46.5,2,1)), IF(INDEX(ERP資料!$G:$G, (MATCH(166, 輔助計算!$G$2:$G$801, 0)+1))&lt;=790,3,IF(INDEX(ERP資料!$G:$G, (MATCH(166, 輔助計算!$G$2:$G$801, 0)+1))&lt;=1181,2,1))))=0,"",IF(MOD(INDEX(輔助計算!$D:$D, (MATCH(166, 輔助計算!$G$2:$G$801, 0)+1)),IF(INDEX(ERP資料!$G:$G, (MATCH(166, 輔助計算!$G$2:$G$801, 0)+1))&lt;100, IF(INDEX(ERP資料!$G:$G, (MATCH(166, 輔助計算!$G$2:$G$801, 0)+1))&lt;=31,3,IF(INDEX(ERP資料!$G:$G, (MATCH(166, 輔助計算!$G$2:$G$801, 0)+1))&lt;=46.5,2,1)), IF(INDEX(ERP資料!$G:$G, (MATCH(166, 輔助計算!$G$2:$G$801, 0)+1))&lt;=790,3,IF(INDEX(ERP資料!$G:$G, (MATCH(166, 輔助計算!$G$2:$G$801, 0)+1))&lt;=1181,2,1))))=0,"",IF(MOD(INDEX(輔助計算!$D:$D, (MATCH(166, 輔助計算!$G$2:$G$801, 0)+1)),IF(INDEX(ERP資料!$G:$G, (MATCH(166, 輔助計算!$G$2:$G$801, 0)+1))&lt;100, IF(INDEX(ERP資料!$G:$G, (MATCH(166, 輔助計算!$G$2:$G$801, 0)+1))&lt;=31,3,IF(INDEX(ERP資料!$G:$G, (MATCH(166, 輔助計算!$G$2:$G$801, 0)+1))&lt;=46.5,2,1)), IF(INDEX(ERP資料!$G:$G, (MATCH(166, 輔助計算!$G$2:$G$801, 0)+1))&lt;=790,3,IF(INDEX(ERP資料!$G:$G, (MATCH(166, 輔助計算!$G$2:$G$801, 0)+1))&lt;=1181,2,1))))=1,TEXT(INDEX(ERP資料!$G:$G, (MATCH(166, 輔助計算!$G$2:$G$801, 0)+1)),"0.##"),IF(MOD(INDEX(輔助計算!$D:$D, (MATCH(166, 輔助計算!$G$2:$G$801, 0)+1)),IF(INDEX(ERP資料!$G:$G, (MATCH(166, 輔助計算!$G$2:$G$801, 0)+1))&lt;100, IF(INDEX(ERP資料!$G:$G, (MATCH(166, 輔助計算!$G$2:$G$801, 0)+1))&lt;=31,3,IF(INDEX(ERP資料!$G:$G, (MATCH(166, 輔助計算!$G$2:$G$801, 0)+1))&lt;=46.5,2,1)), IF(INDEX(ERP資料!$G:$G, (MATCH(166, 輔助計算!$G$2:$G$801, 0)+1))&lt;=790,3,IF(INDEX(ERP資料!$G:$G, (MATCH(166, 輔助計算!$G$2:$G$801, 0)+1))&lt;=1181,2,1))))=2,TEXT(INDEX(ERP資料!$G:$G, (MATCH(166, 輔助計算!$G$2:$G$801, 0)+1)),"0.##")&amp;"+"&amp;TEXT(INDEX(ERP資料!$G:$G, (MATCH(166, 輔助計算!$G$2:$G$801, 0)+1)),"0.##"),TEXT(INDEX(ERP資料!$G:$G, (MATCH(166, 輔助計算!$G$2:$G$801, 0)+1)),"0.##")&amp;"+"&amp;TEXT(INDEX(ERP資料!$G:$G, (MATCH(166, 輔助計算!$G$2:$G$801, 0)+1)),"0.##")&amp;"+"&amp;TEXT(INDEX(ERP資料!$G:$G, (MATCH(166, 輔助計算!$G$2:$G$801, 0)+1)),"0.##"))))&amp;"-1")&lt;&gt;""),"  ","")&amp;IF(MOD(INDEX(輔助計算!$D:$D, (MATCH(166, 輔助計算!$G$2:$G$801, 0)+1)),IF(INDEX(ERP資料!$G:$G, (MATCH(166, 輔助計算!$G$2:$G$801, 0)+1))&lt;100, IF(INDEX(ERP資料!$G:$G, (MATCH(166, 輔助計算!$G$2:$G$801, 0)+1))&lt;=31,3,IF(INDEX(ERP資料!$G:$G, (MATCH(166, 輔助計算!$G$2:$G$801, 0)+1))&lt;=46.5,2,1)), IF(INDEX(ERP資料!$G:$G, (MATCH(166, 輔助計算!$G$2:$G$801, 0)+1))&lt;=790,3,IF(INDEX(ERP資料!$G:$G, (MATCH(166, 輔助計算!$G$2:$G$801, 0)+1))&lt;=1181,2,1))))=0,"",IF(MOD(INDEX(輔助計算!$D:$D, (MATCH(166, 輔助計算!$G$2:$G$801, 0)+1)),IF(INDEX(ERP資料!$G:$G, (MATCH(166, 輔助計算!$G$2:$G$801, 0)+1))&lt;100, IF(INDEX(ERP資料!$G:$G, (MATCH(166, 輔助計算!$G$2:$G$801, 0)+1))&lt;=31,3,IF(INDEX(ERP資料!$G:$G, (MATCH(166, 輔助計算!$G$2:$G$801, 0)+1))&lt;=46.5,2,1)), IF(INDEX(ERP資料!$G:$G, (MATCH(166, 輔助計算!$G$2:$G$801, 0)+1))&lt;=790,3,IF(INDEX(ERP資料!$G:$G, (MATCH(166, 輔助計算!$G$2:$G$801, 0)+1))&lt;=1181,2,1))))=0,"",IF(MOD(INDEX(輔助計算!$D:$D, (MATCH(166, 輔助計算!$G$2:$G$801, 0)+1)),IF(INDEX(ERP資料!$G:$G, (MATCH(166, 輔助計算!$G$2:$G$801, 0)+1))&lt;100, IF(INDEX(ERP資料!$G:$G, (MATCH(166, 輔助計算!$G$2:$G$801, 0)+1))&lt;=31,3,IF(INDEX(ERP資料!$G:$G, (MATCH(166, 輔助計算!$G$2:$G$801, 0)+1))&lt;=46.5,2,1)), IF(INDEX(ERP資料!$G:$G, (MATCH(166, 輔助計算!$G$2:$G$801, 0)+1))&lt;=790,3,IF(INDEX(ERP資料!$G:$G, (MATCH(166, 輔助計算!$G$2:$G$801, 0)+1))&lt;=1181,2,1))))=1,TEXT(INDEX(ERP資料!$G:$G, (MATCH(166, 輔助計算!$G$2:$G$801, 0)+1)),"0.##"),IF(MOD(INDEX(輔助計算!$D:$D, (MATCH(166, 輔助計算!$G$2:$G$801, 0)+1)),IF(INDEX(ERP資料!$G:$G, (MATCH(166, 輔助計算!$G$2:$G$801, 0)+1))&lt;100, IF(INDEX(ERP資料!$G:$G, (MATCH(166, 輔助計算!$G$2:$G$801, 0)+1))&lt;=31,3,IF(INDEX(ERP資料!$G:$G, (MATCH(166, 輔助計算!$G$2:$G$801, 0)+1))&lt;=46.5,2,1)), IF(INDEX(ERP資料!$G:$G, (MATCH(166, 輔助計算!$G$2:$G$801, 0)+1))&lt;=790,3,IF(INDEX(ERP資料!$G:$G, (MATCH(166, 輔助計算!$G$2:$G$801, 0)+1))&lt;=1181,2,1))))=2,TEXT(INDEX(ERP資料!$G:$G, (MATCH(166, 輔助計算!$G$2:$G$801, 0)+1)),"0.##")&amp;"+"&amp;TEXT(INDEX(ERP資料!$G:$G, (MATCH(166, 輔助計算!$G$2:$G$801, 0)+1)),"0.##"),TEXT(INDEX(ERP資料!$G:$G, (MATCH(166, 輔助計算!$G$2:$G$801, 0)+1)),"0.##")&amp;"+"&amp;TEXT(INDEX(ERP資料!$G:$G, (MATCH(166, 輔助計算!$G$2:$G$801, 0)+1)),"0.##")&amp;"+"&amp;TEXT(INDEX(ERP資料!$G:$G, (MATCH(166, 輔助計算!$G$2:$G$801, 0)+1)),"0.##"))))&amp;"-1")), ""), "")</f>
        <v/>
      </c>
      <c r="K167" s="16" t="n"/>
      <c r="L167" s="14">
        <f>IFERROR(IF(AND(IFERROR(INDEX(ERP資料!$A:$A, (MATCH(166, 輔助計算!$G$2:$G$801, 0)+1)), "")&lt;&gt;"", IFERROR(INDEX(ERP資料!$A:$A, (MATCH(166, 輔助計算!$G$2:$G$801, 0)+1)), "")&lt;&gt;IFERROR(INDEX(ERP資料!$A:$A, MATCH(165, 輔助計算!$G$2:$G$801, 0)+1), "")), INDEX(ERP資料!$B:$B, (MATCH(166, 輔助計算!$G$2:$G$801, 0)+1)), ""), "")</f>
        <v/>
      </c>
      <c r="M167" s="17" t="n"/>
    </row>
    <row r="168">
      <c r="A168" s="10">
        <f>IFERROR(IF(AND(IFERROR(INDEX(ERP資料!$A:$A, (MATCH(167, 輔助計算!$G$2:$G$801, 0)+1)), "")&lt;&gt;"", IFERROR(INDEX(ERP資料!$A:$A, (MATCH(167, 輔助計算!$G$2:$G$801, 0)+1)), "")&lt;&gt;IFERROR(INDEX(ERP資料!$A:$A, MATCH(166, 輔助計算!$G$2:$G$801, 0)+1), "")), IFERROR(INDEX(ERP資料!$A:$A, (MATCH(167, 輔助計算!$G$2:$G$801, 0)+1)), ""), ""), "")</f>
        <v/>
      </c>
      <c r="B168" s="10">
        <f>IFERROR(IF(AND(IFERROR(INDEX(ERP資料!$A:$A, (MATCH(167, 輔助計算!$G$2:$G$801, 0)+1)), "")&lt;&gt;"", IFERROR(INDEX(ERP資料!$A:$A, (MATCH(167, 輔助計算!$G$2:$G$801, 0)+1)), "")&lt;&gt;IFERROR(INDEX(ERP資料!$A:$A, MATCH(166, 輔助計算!$G$2:$G$801, 0)+1), "")), INDEX(ERP資料!$S:$S, (MATCH(167, 輔助計算!$G$2:$G$801, 0)+1)), ""), "")</f>
        <v/>
      </c>
      <c r="C168" s="19">
        <f>IFERROR(IF(AND(IFERROR(INDEX(ERP資料!$A:$A, (MATCH(167, 輔助計算!$G$2:$G$801, 0)+1)), "")&lt;&gt;"", IFERROR(INDEX(ERP資料!$A:$A, (MATCH(167, 輔助計算!$G$2:$G$801, 0)+1)), "")&lt;&gt;IFERROR(INDEX(ERP資料!$A:$A, MATCH(166, 輔助計算!$G$2:$G$801, 0)+1), "")), IFERROR(VLOOKUP(LEFT(INDEX(ERP資料!$S:$S, (MATCH(167, 輔助計算!$G$2:$G$801, 0)+1)), 4), 紙管對照表!$A:$C, 3, FALSE), ""), ""), "")</f>
        <v/>
      </c>
      <c r="D168" s="16" t="n"/>
      <c r="E168" s="10">
        <f>IFERROR(IF(INDEX(ERP資料!$H:$H, (MATCH(167, 輔助計算!$G$2:$G$801, 0)+1))="","",INDEX(ERP資料!$H:$H, (MATCH(167, 輔助計算!$G$2:$G$801, 0)+1))), "")</f>
        <v/>
      </c>
      <c r="F168" s="10">
        <f>IFERROR(IF(INDEX(ERP資料!$E:$E, (MATCH(167, 輔助計算!$G$2:$G$801, 0)+1))="","",TRIM(INDEX(ERP資料!$E:$E, (MATCH(167, 輔助計算!$G$2:$G$801, 0)+1)))), "")</f>
        <v/>
      </c>
      <c r="G168" s="10">
        <f>IFERROR(IF(INDEX(ERP資料!$F:$F, (MATCH(167, 輔助計算!$G$2:$G$801, 0)+1))="","",INDEX(ERP資料!$F:$F, (MATCH(167, 輔助計算!$G$2:$G$801, 0)+1))), "")</f>
        <v/>
      </c>
      <c r="H168" s="10">
        <f>IFERROR(IF(INDEX(ERP資料!$G:$G, (MATCH(167, 輔助計算!$G$2:$G$801, 0)+1))="","",INDEX(ERP資料!$G:$G, (MATCH(167, 輔助計算!$G$2:$G$801, 0)+1))), "")</f>
        <v/>
      </c>
      <c r="I168" s="15">
        <f>IFERROR(INDEX(輔助計算!$D:$D, (MATCH(167, 輔助計算!$G$2:$G$801, 0)+1)), "")</f>
        <v/>
      </c>
      <c r="J168" s="15">
        <f>IFERROR(IF(AND(INDEX(輔助計算!$D:$D, (MATCH(167, 輔助計算!$G$2:$G$801, 0)+1))&lt;&gt;"", INDEX(ERP資料!$G:$G, (MATCH(167, 輔助計算!$G$2:$G$801, 0)+1))&lt;&gt;""), TRIM(IF(INT(INDEX(輔助計算!$D:$D, (MATCH(167, 輔助計算!$G$2:$G$801, 0)+1))/IF(INDEX(ERP資料!$G:$G, (MATCH(167, 輔助計算!$G$2:$G$801, 0)+1))&lt;100, IF(INDEX(ERP資料!$G:$G, (MATCH(167, 輔助計算!$G$2:$G$801, 0)+1))&lt;=31,3,IF(INDEX(ERP資料!$G:$G, (MATCH(167, 輔助計算!$G$2:$G$801, 0)+1))&lt;=46.5,2,1)), IF(INDEX(ERP資料!$G:$G, (MATCH(167, 輔助計算!$G$2:$G$801, 0)+1))&lt;=790,3,IF(INDEX(ERP資料!$G:$G, (MATCH(167, 輔助計算!$G$2:$G$801, 0)+1))&lt;=1181,2,1))))&gt;0, IF(IF(INDEX(ERP資料!$G:$G, (MATCH(167, 輔助計算!$G$2:$G$801, 0)+1))&lt;100, IF(INDEX(ERP資料!$G:$G, (MATCH(167, 輔助計算!$G$2:$G$801, 0)+1))&lt;=31,3,IF(INDEX(ERP資料!$G:$G, (MATCH(167, 輔助計算!$G$2:$G$801, 0)+1))&lt;=46.5,2,1)), IF(INDEX(ERP資料!$G:$G, (MATCH(167, 輔助計算!$G$2:$G$801, 0)+1))&lt;=790,3,IF(INDEX(ERP資料!$G:$G, (MATCH(167, 輔助計算!$G$2:$G$801, 0)+1))&lt;=1181,2,1)))=1,TEXT(INDEX(ERP資料!$G:$G, (MATCH(167, 輔助計算!$G$2:$G$801, 0)+1)),"0.##"),IF(IF(INDEX(ERP資料!$G:$G, (MATCH(167, 輔助計算!$G$2:$G$801, 0)+1))&lt;100, IF(INDEX(ERP資料!$G:$G, (MATCH(167, 輔助計算!$G$2:$G$801, 0)+1))&lt;=31,3,IF(INDEX(ERP資料!$G:$G, (MATCH(167, 輔助計算!$G$2:$G$801, 0)+1))&lt;=46.5,2,1)), IF(INDEX(ERP資料!$G:$G, (MATCH(167, 輔助計算!$G$2:$G$801, 0)+1))&lt;=790,3,IF(INDEX(ERP資料!$G:$G, (MATCH(167, 輔助計算!$G$2:$G$801, 0)+1))&lt;=1181,2,1)))=2,TEXT(INDEX(ERP資料!$G:$G, (MATCH(167, 輔助計算!$G$2:$G$801, 0)+1)),"0.##")&amp;"+"&amp;TEXT(INDEX(ERP資料!$G:$G, (MATCH(167, 輔助計算!$G$2:$G$801, 0)+1)),"0.##"),TEXT(INDEX(ERP資料!$G:$G, (MATCH(167, 輔助計算!$G$2:$G$801, 0)+1)),"0.##")&amp;"+"&amp;TEXT(INDEX(ERP資料!$G:$G, (MATCH(167, 輔助計算!$G$2:$G$801, 0)+1)),"0.##")&amp;"+"&amp;TEXT(INDEX(ERP資料!$G:$G, (MATCH(167, 輔助計算!$G$2:$G$801, 0)+1)),"0.##")))&amp;"-"&amp;INT(INDEX(輔助計算!$D:$D, (MATCH(167, 輔助計算!$G$2:$G$801, 0)+1))/IF(INDEX(ERP資料!$G:$G, (MATCH(167, 輔助計算!$G$2:$G$801, 0)+1))&lt;100, IF(INDEX(ERP資料!$G:$G, (MATCH(167, 輔助計算!$G$2:$G$801, 0)+1))&lt;=31,3,IF(INDEX(ERP資料!$G:$G, (MATCH(167, 輔助計算!$G$2:$G$801, 0)+1))&lt;=46.5,2,1)), IF(INDEX(ERP資料!$G:$G, (MATCH(167, 輔助計算!$G$2:$G$801, 0)+1))&lt;=790,3,IF(INDEX(ERP資料!$G:$G, (MATCH(167, 輔助計算!$G$2:$G$801, 0)+1))&lt;=1181,2,1)))), "")&amp;IF(AND(IF(INT(INDEX(輔助計算!$D:$D, (MATCH(167, 輔助計算!$G$2:$G$801, 0)+1))/IF(INDEX(ERP資料!$G:$G, (MATCH(167, 輔助計算!$G$2:$G$801, 0)+1))&lt;100, IF(INDEX(ERP資料!$G:$G, (MATCH(167, 輔助計算!$G$2:$G$801, 0)+1))&lt;=31,3,IF(INDEX(ERP資料!$G:$G, (MATCH(167, 輔助計算!$G$2:$G$801, 0)+1))&lt;=46.5,2,1)), IF(INDEX(ERP資料!$G:$G, (MATCH(167, 輔助計算!$G$2:$G$801, 0)+1))&lt;=790,3,IF(INDEX(ERP資料!$G:$G, (MATCH(167, 輔助計算!$G$2:$G$801, 0)+1))&lt;=1181,2,1))))&gt;0, IF(IF(INDEX(ERP資料!$G:$G, (MATCH(167, 輔助計算!$G$2:$G$801, 0)+1))&lt;100, IF(INDEX(ERP資料!$G:$G, (MATCH(167, 輔助計算!$G$2:$G$801, 0)+1))&lt;=31,3,IF(INDEX(ERP資料!$G:$G, (MATCH(167, 輔助計算!$G$2:$G$801, 0)+1))&lt;=46.5,2,1)), IF(INDEX(ERP資料!$G:$G, (MATCH(167, 輔助計算!$G$2:$G$801, 0)+1))&lt;=790,3,IF(INDEX(ERP資料!$G:$G, (MATCH(167, 輔助計算!$G$2:$G$801, 0)+1))&lt;=1181,2,1)))=1,TEXT(INDEX(ERP資料!$G:$G, (MATCH(167, 輔助計算!$G$2:$G$801, 0)+1)),"0.##"),IF(IF(INDEX(ERP資料!$G:$G, (MATCH(167, 輔助計算!$G$2:$G$801, 0)+1))&lt;100, IF(INDEX(ERP資料!$G:$G, (MATCH(167, 輔助計算!$G$2:$G$801, 0)+1))&lt;=31,3,IF(INDEX(ERP資料!$G:$G, (MATCH(167, 輔助計算!$G$2:$G$801, 0)+1))&lt;=46.5,2,1)), IF(INDEX(ERP資料!$G:$G, (MATCH(167, 輔助計算!$G$2:$G$801, 0)+1))&lt;=790,3,IF(INDEX(ERP資料!$G:$G, (MATCH(167, 輔助計算!$G$2:$G$801, 0)+1))&lt;=1181,2,1)))=2,TEXT(INDEX(ERP資料!$G:$G, (MATCH(167, 輔助計算!$G$2:$G$801, 0)+1)),"0.##")&amp;"+"&amp;TEXT(INDEX(ERP資料!$G:$G, (MATCH(167, 輔助計算!$G$2:$G$801, 0)+1)),"0.##"),TEXT(INDEX(ERP資料!$G:$G, (MATCH(167, 輔助計算!$G$2:$G$801, 0)+1)),"0.##")&amp;"+"&amp;TEXT(INDEX(ERP資料!$G:$G, (MATCH(167, 輔助計算!$G$2:$G$801, 0)+1)),"0.##")&amp;"+"&amp;TEXT(INDEX(ERP資料!$G:$G, (MATCH(167, 輔助計算!$G$2:$G$801, 0)+1)),"0.##")))&amp;"-"&amp;INT(INDEX(輔助計算!$D:$D, (MATCH(167, 輔助計算!$G$2:$G$801, 0)+1))/IF(INDEX(ERP資料!$G:$G, (MATCH(167, 輔助計算!$G$2:$G$801, 0)+1))&lt;100, IF(INDEX(ERP資料!$G:$G, (MATCH(167, 輔助計算!$G$2:$G$801, 0)+1))&lt;=31,3,IF(INDEX(ERP資料!$G:$G, (MATCH(167, 輔助計算!$G$2:$G$801, 0)+1))&lt;=46.5,2,1)), IF(INDEX(ERP資料!$G:$G, (MATCH(167, 輔助計算!$G$2:$G$801, 0)+1))&lt;=790,3,IF(INDEX(ERP資料!$G:$G, (MATCH(167, 輔助計算!$G$2:$G$801, 0)+1))&lt;=1181,2,1)))), "")&lt;&gt;"",IF(MOD(INDEX(輔助計算!$D:$D, (MATCH(167, 輔助計算!$G$2:$G$801, 0)+1)),IF(INDEX(ERP資料!$G:$G, (MATCH(167, 輔助計算!$G$2:$G$801, 0)+1))&lt;100, IF(INDEX(ERP資料!$G:$G, (MATCH(167, 輔助計算!$G$2:$G$801, 0)+1))&lt;=31,3,IF(INDEX(ERP資料!$G:$G, (MATCH(167, 輔助計算!$G$2:$G$801, 0)+1))&lt;=46.5,2,1)), IF(INDEX(ERP資料!$G:$G, (MATCH(167, 輔助計算!$G$2:$G$801, 0)+1))&lt;=790,3,IF(INDEX(ERP資料!$G:$G, (MATCH(167, 輔助計算!$G$2:$G$801, 0)+1))&lt;=1181,2,1))))=0,"",IF(MOD(INDEX(輔助計算!$D:$D, (MATCH(167, 輔助計算!$G$2:$G$801, 0)+1)),IF(INDEX(ERP資料!$G:$G, (MATCH(167, 輔助計算!$G$2:$G$801, 0)+1))&lt;100, IF(INDEX(ERP資料!$G:$G, (MATCH(167, 輔助計算!$G$2:$G$801, 0)+1))&lt;=31,3,IF(INDEX(ERP資料!$G:$G, (MATCH(167, 輔助計算!$G$2:$G$801, 0)+1))&lt;=46.5,2,1)), IF(INDEX(ERP資料!$G:$G, (MATCH(167, 輔助計算!$G$2:$G$801, 0)+1))&lt;=790,3,IF(INDEX(ERP資料!$G:$G, (MATCH(167, 輔助計算!$G$2:$G$801, 0)+1))&lt;=1181,2,1))))=0,"",IF(MOD(INDEX(輔助計算!$D:$D, (MATCH(167, 輔助計算!$G$2:$G$801, 0)+1)),IF(INDEX(ERP資料!$G:$G, (MATCH(167, 輔助計算!$G$2:$G$801, 0)+1))&lt;100, IF(INDEX(ERP資料!$G:$G, (MATCH(167, 輔助計算!$G$2:$G$801, 0)+1))&lt;=31,3,IF(INDEX(ERP資料!$G:$G, (MATCH(167, 輔助計算!$G$2:$G$801, 0)+1))&lt;=46.5,2,1)), IF(INDEX(ERP資料!$G:$G, (MATCH(167, 輔助計算!$G$2:$G$801, 0)+1))&lt;=790,3,IF(INDEX(ERP資料!$G:$G, (MATCH(167, 輔助計算!$G$2:$G$801, 0)+1))&lt;=1181,2,1))))=1,TEXT(INDEX(ERP資料!$G:$G, (MATCH(167, 輔助計算!$G$2:$G$801, 0)+1)),"0.##"),IF(MOD(INDEX(輔助計算!$D:$D, (MATCH(167, 輔助計算!$G$2:$G$801, 0)+1)),IF(INDEX(ERP資料!$G:$G, (MATCH(167, 輔助計算!$G$2:$G$801, 0)+1))&lt;100, IF(INDEX(ERP資料!$G:$G, (MATCH(167, 輔助計算!$G$2:$G$801, 0)+1))&lt;=31,3,IF(INDEX(ERP資料!$G:$G, (MATCH(167, 輔助計算!$G$2:$G$801, 0)+1))&lt;=46.5,2,1)), IF(INDEX(ERP資料!$G:$G, (MATCH(167, 輔助計算!$G$2:$G$801, 0)+1))&lt;=790,3,IF(INDEX(ERP資料!$G:$G, (MATCH(167, 輔助計算!$G$2:$G$801, 0)+1))&lt;=1181,2,1))))=2,TEXT(INDEX(ERP資料!$G:$G, (MATCH(167, 輔助計算!$G$2:$G$801, 0)+1)),"0.##")&amp;"+"&amp;TEXT(INDEX(ERP資料!$G:$G, (MATCH(167, 輔助計算!$G$2:$G$801, 0)+1)),"0.##"),TEXT(INDEX(ERP資料!$G:$G, (MATCH(167, 輔助計算!$G$2:$G$801, 0)+1)),"0.##")&amp;"+"&amp;TEXT(INDEX(ERP資料!$G:$G, (MATCH(167, 輔助計算!$G$2:$G$801, 0)+1)),"0.##")&amp;"+"&amp;TEXT(INDEX(ERP資料!$G:$G, (MATCH(167, 輔助計算!$G$2:$G$801, 0)+1)),"0.##"))))&amp;"-1")&lt;&gt;""),"  ","")&amp;IF(MOD(INDEX(輔助計算!$D:$D, (MATCH(167, 輔助計算!$G$2:$G$801, 0)+1)),IF(INDEX(ERP資料!$G:$G, (MATCH(167, 輔助計算!$G$2:$G$801, 0)+1))&lt;100, IF(INDEX(ERP資料!$G:$G, (MATCH(167, 輔助計算!$G$2:$G$801, 0)+1))&lt;=31,3,IF(INDEX(ERP資料!$G:$G, (MATCH(167, 輔助計算!$G$2:$G$801, 0)+1))&lt;=46.5,2,1)), IF(INDEX(ERP資料!$G:$G, (MATCH(167, 輔助計算!$G$2:$G$801, 0)+1))&lt;=790,3,IF(INDEX(ERP資料!$G:$G, (MATCH(167, 輔助計算!$G$2:$G$801, 0)+1))&lt;=1181,2,1))))=0,"",IF(MOD(INDEX(輔助計算!$D:$D, (MATCH(167, 輔助計算!$G$2:$G$801, 0)+1)),IF(INDEX(ERP資料!$G:$G, (MATCH(167, 輔助計算!$G$2:$G$801, 0)+1))&lt;100, IF(INDEX(ERP資料!$G:$G, (MATCH(167, 輔助計算!$G$2:$G$801, 0)+1))&lt;=31,3,IF(INDEX(ERP資料!$G:$G, (MATCH(167, 輔助計算!$G$2:$G$801, 0)+1))&lt;=46.5,2,1)), IF(INDEX(ERP資料!$G:$G, (MATCH(167, 輔助計算!$G$2:$G$801, 0)+1))&lt;=790,3,IF(INDEX(ERP資料!$G:$G, (MATCH(167, 輔助計算!$G$2:$G$801, 0)+1))&lt;=1181,2,1))))=0,"",IF(MOD(INDEX(輔助計算!$D:$D, (MATCH(167, 輔助計算!$G$2:$G$801, 0)+1)),IF(INDEX(ERP資料!$G:$G, (MATCH(167, 輔助計算!$G$2:$G$801, 0)+1))&lt;100, IF(INDEX(ERP資料!$G:$G, (MATCH(167, 輔助計算!$G$2:$G$801, 0)+1))&lt;=31,3,IF(INDEX(ERP資料!$G:$G, (MATCH(167, 輔助計算!$G$2:$G$801, 0)+1))&lt;=46.5,2,1)), IF(INDEX(ERP資料!$G:$G, (MATCH(167, 輔助計算!$G$2:$G$801, 0)+1))&lt;=790,3,IF(INDEX(ERP資料!$G:$G, (MATCH(167, 輔助計算!$G$2:$G$801, 0)+1))&lt;=1181,2,1))))=1,TEXT(INDEX(ERP資料!$G:$G, (MATCH(167, 輔助計算!$G$2:$G$801, 0)+1)),"0.##"),IF(MOD(INDEX(輔助計算!$D:$D, (MATCH(167, 輔助計算!$G$2:$G$801, 0)+1)),IF(INDEX(ERP資料!$G:$G, (MATCH(167, 輔助計算!$G$2:$G$801, 0)+1))&lt;100, IF(INDEX(ERP資料!$G:$G, (MATCH(167, 輔助計算!$G$2:$G$801, 0)+1))&lt;=31,3,IF(INDEX(ERP資料!$G:$G, (MATCH(167, 輔助計算!$G$2:$G$801, 0)+1))&lt;=46.5,2,1)), IF(INDEX(ERP資料!$G:$G, (MATCH(167, 輔助計算!$G$2:$G$801, 0)+1))&lt;=790,3,IF(INDEX(ERP資料!$G:$G, (MATCH(167, 輔助計算!$G$2:$G$801, 0)+1))&lt;=1181,2,1))))=2,TEXT(INDEX(ERP資料!$G:$G, (MATCH(167, 輔助計算!$G$2:$G$801, 0)+1)),"0.##")&amp;"+"&amp;TEXT(INDEX(ERP資料!$G:$G, (MATCH(167, 輔助計算!$G$2:$G$801, 0)+1)),"0.##"),TEXT(INDEX(ERP資料!$G:$G, (MATCH(167, 輔助計算!$G$2:$G$801, 0)+1)),"0.##")&amp;"+"&amp;TEXT(INDEX(ERP資料!$G:$G, (MATCH(167, 輔助計算!$G$2:$G$801, 0)+1)),"0.##")&amp;"+"&amp;TEXT(INDEX(ERP資料!$G:$G, (MATCH(167, 輔助計算!$G$2:$G$801, 0)+1)),"0.##"))))&amp;"-1")), ""), "")</f>
        <v/>
      </c>
      <c r="K168" s="16" t="n"/>
      <c r="L168" s="14">
        <f>IFERROR(IF(AND(IFERROR(INDEX(ERP資料!$A:$A, (MATCH(167, 輔助計算!$G$2:$G$801, 0)+1)), "")&lt;&gt;"", IFERROR(INDEX(ERP資料!$A:$A, (MATCH(167, 輔助計算!$G$2:$G$801, 0)+1)), "")&lt;&gt;IFERROR(INDEX(ERP資料!$A:$A, MATCH(166, 輔助計算!$G$2:$G$801, 0)+1), "")), INDEX(ERP資料!$B:$B, (MATCH(167, 輔助計算!$G$2:$G$801, 0)+1)), ""), "")</f>
        <v/>
      </c>
      <c r="M168" s="17" t="n"/>
    </row>
    <row r="169">
      <c r="A169" s="10">
        <f>IFERROR(IF(AND(IFERROR(INDEX(ERP資料!$A:$A, (MATCH(168, 輔助計算!$G$2:$G$801, 0)+1)), "")&lt;&gt;"", IFERROR(INDEX(ERP資料!$A:$A, (MATCH(168, 輔助計算!$G$2:$G$801, 0)+1)), "")&lt;&gt;IFERROR(INDEX(ERP資料!$A:$A, MATCH(167, 輔助計算!$G$2:$G$801, 0)+1), "")), IFERROR(INDEX(ERP資料!$A:$A, (MATCH(168, 輔助計算!$G$2:$G$801, 0)+1)), ""), ""), "")</f>
        <v/>
      </c>
      <c r="B169" s="10">
        <f>IFERROR(IF(AND(IFERROR(INDEX(ERP資料!$A:$A, (MATCH(168, 輔助計算!$G$2:$G$801, 0)+1)), "")&lt;&gt;"", IFERROR(INDEX(ERP資料!$A:$A, (MATCH(168, 輔助計算!$G$2:$G$801, 0)+1)), "")&lt;&gt;IFERROR(INDEX(ERP資料!$A:$A, MATCH(167, 輔助計算!$G$2:$G$801, 0)+1), "")), INDEX(ERP資料!$S:$S, (MATCH(168, 輔助計算!$G$2:$G$801, 0)+1)), ""), "")</f>
        <v/>
      </c>
      <c r="C169" s="19">
        <f>IFERROR(IF(AND(IFERROR(INDEX(ERP資料!$A:$A, (MATCH(168, 輔助計算!$G$2:$G$801, 0)+1)), "")&lt;&gt;"", IFERROR(INDEX(ERP資料!$A:$A, (MATCH(168, 輔助計算!$G$2:$G$801, 0)+1)), "")&lt;&gt;IFERROR(INDEX(ERP資料!$A:$A, MATCH(167, 輔助計算!$G$2:$G$801, 0)+1), "")), IFERROR(VLOOKUP(LEFT(INDEX(ERP資料!$S:$S, (MATCH(168, 輔助計算!$G$2:$G$801, 0)+1)), 4), 紙管對照表!$A:$C, 3, FALSE), ""), ""), "")</f>
        <v/>
      </c>
      <c r="D169" s="16" t="n"/>
      <c r="E169" s="10">
        <f>IFERROR(IF(INDEX(ERP資料!$H:$H, (MATCH(168, 輔助計算!$G$2:$G$801, 0)+1))="","",INDEX(ERP資料!$H:$H, (MATCH(168, 輔助計算!$G$2:$G$801, 0)+1))), "")</f>
        <v/>
      </c>
      <c r="F169" s="10">
        <f>IFERROR(IF(INDEX(ERP資料!$E:$E, (MATCH(168, 輔助計算!$G$2:$G$801, 0)+1))="","",TRIM(INDEX(ERP資料!$E:$E, (MATCH(168, 輔助計算!$G$2:$G$801, 0)+1)))), "")</f>
        <v/>
      </c>
      <c r="G169" s="10">
        <f>IFERROR(IF(INDEX(ERP資料!$F:$F, (MATCH(168, 輔助計算!$G$2:$G$801, 0)+1))="","",INDEX(ERP資料!$F:$F, (MATCH(168, 輔助計算!$G$2:$G$801, 0)+1))), "")</f>
        <v/>
      </c>
      <c r="H169" s="10">
        <f>IFERROR(IF(INDEX(ERP資料!$G:$G, (MATCH(168, 輔助計算!$G$2:$G$801, 0)+1))="","",INDEX(ERP資料!$G:$G, (MATCH(168, 輔助計算!$G$2:$G$801, 0)+1))), "")</f>
        <v/>
      </c>
      <c r="I169" s="15">
        <f>IFERROR(INDEX(輔助計算!$D:$D, (MATCH(168, 輔助計算!$G$2:$G$801, 0)+1)), "")</f>
        <v/>
      </c>
      <c r="J169" s="15">
        <f>IFERROR(IF(AND(INDEX(輔助計算!$D:$D, (MATCH(168, 輔助計算!$G$2:$G$801, 0)+1))&lt;&gt;"", INDEX(ERP資料!$G:$G, (MATCH(168, 輔助計算!$G$2:$G$801, 0)+1))&lt;&gt;""), TRIM(IF(INT(INDEX(輔助計算!$D:$D, (MATCH(168, 輔助計算!$G$2:$G$801, 0)+1))/IF(INDEX(ERP資料!$G:$G, (MATCH(168, 輔助計算!$G$2:$G$801, 0)+1))&lt;100, IF(INDEX(ERP資料!$G:$G, (MATCH(168, 輔助計算!$G$2:$G$801, 0)+1))&lt;=31,3,IF(INDEX(ERP資料!$G:$G, (MATCH(168, 輔助計算!$G$2:$G$801, 0)+1))&lt;=46.5,2,1)), IF(INDEX(ERP資料!$G:$G, (MATCH(168, 輔助計算!$G$2:$G$801, 0)+1))&lt;=790,3,IF(INDEX(ERP資料!$G:$G, (MATCH(168, 輔助計算!$G$2:$G$801, 0)+1))&lt;=1181,2,1))))&gt;0, IF(IF(INDEX(ERP資料!$G:$G, (MATCH(168, 輔助計算!$G$2:$G$801, 0)+1))&lt;100, IF(INDEX(ERP資料!$G:$G, (MATCH(168, 輔助計算!$G$2:$G$801, 0)+1))&lt;=31,3,IF(INDEX(ERP資料!$G:$G, (MATCH(168, 輔助計算!$G$2:$G$801, 0)+1))&lt;=46.5,2,1)), IF(INDEX(ERP資料!$G:$G, (MATCH(168, 輔助計算!$G$2:$G$801, 0)+1))&lt;=790,3,IF(INDEX(ERP資料!$G:$G, (MATCH(168, 輔助計算!$G$2:$G$801, 0)+1))&lt;=1181,2,1)))=1,TEXT(INDEX(ERP資料!$G:$G, (MATCH(168, 輔助計算!$G$2:$G$801, 0)+1)),"0.##"),IF(IF(INDEX(ERP資料!$G:$G, (MATCH(168, 輔助計算!$G$2:$G$801, 0)+1))&lt;100, IF(INDEX(ERP資料!$G:$G, (MATCH(168, 輔助計算!$G$2:$G$801, 0)+1))&lt;=31,3,IF(INDEX(ERP資料!$G:$G, (MATCH(168, 輔助計算!$G$2:$G$801, 0)+1))&lt;=46.5,2,1)), IF(INDEX(ERP資料!$G:$G, (MATCH(168, 輔助計算!$G$2:$G$801, 0)+1))&lt;=790,3,IF(INDEX(ERP資料!$G:$G, (MATCH(168, 輔助計算!$G$2:$G$801, 0)+1))&lt;=1181,2,1)))=2,TEXT(INDEX(ERP資料!$G:$G, (MATCH(168, 輔助計算!$G$2:$G$801, 0)+1)),"0.##")&amp;"+"&amp;TEXT(INDEX(ERP資料!$G:$G, (MATCH(168, 輔助計算!$G$2:$G$801, 0)+1)),"0.##"),TEXT(INDEX(ERP資料!$G:$G, (MATCH(168, 輔助計算!$G$2:$G$801, 0)+1)),"0.##")&amp;"+"&amp;TEXT(INDEX(ERP資料!$G:$G, (MATCH(168, 輔助計算!$G$2:$G$801, 0)+1)),"0.##")&amp;"+"&amp;TEXT(INDEX(ERP資料!$G:$G, (MATCH(168, 輔助計算!$G$2:$G$801, 0)+1)),"0.##")))&amp;"-"&amp;INT(INDEX(輔助計算!$D:$D, (MATCH(168, 輔助計算!$G$2:$G$801, 0)+1))/IF(INDEX(ERP資料!$G:$G, (MATCH(168, 輔助計算!$G$2:$G$801, 0)+1))&lt;100, IF(INDEX(ERP資料!$G:$G, (MATCH(168, 輔助計算!$G$2:$G$801, 0)+1))&lt;=31,3,IF(INDEX(ERP資料!$G:$G, (MATCH(168, 輔助計算!$G$2:$G$801, 0)+1))&lt;=46.5,2,1)), IF(INDEX(ERP資料!$G:$G, (MATCH(168, 輔助計算!$G$2:$G$801, 0)+1))&lt;=790,3,IF(INDEX(ERP資料!$G:$G, (MATCH(168, 輔助計算!$G$2:$G$801, 0)+1))&lt;=1181,2,1)))), "")&amp;IF(AND(IF(INT(INDEX(輔助計算!$D:$D, (MATCH(168, 輔助計算!$G$2:$G$801, 0)+1))/IF(INDEX(ERP資料!$G:$G, (MATCH(168, 輔助計算!$G$2:$G$801, 0)+1))&lt;100, IF(INDEX(ERP資料!$G:$G, (MATCH(168, 輔助計算!$G$2:$G$801, 0)+1))&lt;=31,3,IF(INDEX(ERP資料!$G:$G, (MATCH(168, 輔助計算!$G$2:$G$801, 0)+1))&lt;=46.5,2,1)), IF(INDEX(ERP資料!$G:$G, (MATCH(168, 輔助計算!$G$2:$G$801, 0)+1))&lt;=790,3,IF(INDEX(ERP資料!$G:$G, (MATCH(168, 輔助計算!$G$2:$G$801, 0)+1))&lt;=1181,2,1))))&gt;0, IF(IF(INDEX(ERP資料!$G:$G, (MATCH(168, 輔助計算!$G$2:$G$801, 0)+1))&lt;100, IF(INDEX(ERP資料!$G:$G, (MATCH(168, 輔助計算!$G$2:$G$801, 0)+1))&lt;=31,3,IF(INDEX(ERP資料!$G:$G, (MATCH(168, 輔助計算!$G$2:$G$801, 0)+1))&lt;=46.5,2,1)), IF(INDEX(ERP資料!$G:$G, (MATCH(168, 輔助計算!$G$2:$G$801, 0)+1))&lt;=790,3,IF(INDEX(ERP資料!$G:$G, (MATCH(168, 輔助計算!$G$2:$G$801, 0)+1))&lt;=1181,2,1)))=1,TEXT(INDEX(ERP資料!$G:$G, (MATCH(168, 輔助計算!$G$2:$G$801, 0)+1)),"0.##"),IF(IF(INDEX(ERP資料!$G:$G, (MATCH(168, 輔助計算!$G$2:$G$801, 0)+1))&lt;100, IF(INDEX(ERP資料!$G:$G, (MATCH(168, 輔助計算!$G$2:$G$801, 0)+1))&lt;=31,3,IF(INDEX(ERP資料!$G:$G, (MATCH(168, 輔助計算!$G$2:$G$801, 0)+1))&lt;=46.5,2,1)), IF(INDEX(ERP資料!$G:$G, (MATCH(168, 輔助計算!$G$2:$G$801, 0)+1))&lt;=790,3,IF(INDEX(ERP資料!$G:$G, (MATCH(168, 輔助計算!$G$2:$G$801, 0)+1))&lt;=1181,2,1)))=2,TEXT(INDEX(ERP資料!$G:$G, (MATCH(168, 輔助計算!$G$2:$G$801, 0)+1)),"0.##")&amp;"+"&amp;TEXT(INDEX(ERP資料!$G:$G, (MATCH(168, 輔助計算!$G$2:$G$801, 0)+1)),"0.##"),TEXT(INDEX(ERP資料!$G:$G, (MATCH(168, 輔助計算!$G$2:$G$801, 0)+1)),"0.##")&amp;"+"&amp;TEXT(INDEX(ERP資料!$G:$G, (MATCH(168, 輔助計算!$G$2:$G$801, 0)+1)),"0.##")&amp;"+"&amp;TEXT(INDEX(ERP資料!$G:$G, (MATCH(168, 輔助計算!$G$2:$G$801, 0)+1)),"0.##")))&amp;"-"&amp;INT(INDEX(輔助計算!$D:$D, (MATCH(168, 輔助計算!$G$2:$G$801, 0)+1))/IF(INDEX(ERP資料!$G:$G, (MATCH(168, 輔助計算!$G$2:$G$801, 0)+1))&lt;100, IF(INDEX(ERP資料!$G:$G, (MATCH(168, 輔助計算!$G$2:$G$801, 0)+1))&lt;=31,3,IF(INDEX(ERP資料!$G:$G, (MATCH(168, 輔助計算!$G$2:$G$801, 0)+1))&lt;=46.5,2,1)), IF(INDEX(ERP資料!$G:$G, (MATCH(168, 輔助計算!$G$2:$G$801, 0)+1))&lt;=790,3,IF(INDEX(ERP資料!$G:$G, (MATCH(168, 輔助計算!$G$2:$G$801, 0)+1))&lt;=1181,2,1)))), "")&lt;&gt;"",IF(MOD(INDEX(輔助計算!$D:$D, (MATCH(168, 輔助計算!$G$2:$G$801, 0)+1)),IF(INDEX(ERP資料!$G:$G, (MATCH(168, 輔助計算!$G$2:$G$801, 0)+1))&lt;100, IF(INDEX(ERP資料!$G:$G, (MATCH(168, 輔助計算!$G$2:$G$801, 0)+1))&lt;=31,3,IF(INDEX(ERP資料!$G:$G, (MATCH(168, 輔助計算!$G$2:$G$801, 0)+1))&lt;=46.5,2,1)), IF(INDEX(ERP資料!$G:$G, (MATCH(168, 輔助計算!$G$2:$G$801, 0)+1))&lt;=790,3,IF(INDEX(ERP資料!$G:$G, (MATCH(168, 輔助計算!$G$2:$G$801, 0)+1))&lt;=1181,2,1))))=0,"",IF(MOD(INDEX(輔助計算!$D:$D, (MATCH(168, 輔助計算!$G$2:$G$801, 0)+1)),IF(INDEX(ERP資料!$G:$G, (MATCH(168, 輔助計算!$G$2:$G$801, 0)+1))&lt;100, IF(INDEX(ERP資料!$G:$G, (MATCH(168, 輔助計算!$G$2:$G$801, 0)+1))&lt;=31,3,IF(INDEX(ERP資料!$G:$G, (MATCH(168, 輔助計算!$G$2:$G$801, 0)+1))&lt;=46.5,2,1)), IF(INDEX(ERP資料!$G:$G, (MATCH(168, 輔助計算!$G$2:$G$801, 0)+1))&lt;=790,3,IF(INDEX(ERP資料!$G:$G, (MATCH(168, 輔助計算!$G$2:$G$801, 0)+1))&lt;=1181,2,1))))=0,"",IF(MOD(INDEX(輔助計算!$D:$D, (MATCH(168, 輔助計算!$G$2:$G$801, 0)+1)),IF(INDEX(ERP資料!$G:$G, (MATCH(168, 輔助計算!$G$2:$G$801, 0)+1))&lt;100, IF(INDEX(ERP資料!$G:$G, (MATCH(168, 輔助計算!$G$2:$G$801, 0)+1))&lt;=31,3,IF(INDEX(ERP資料!$G:$G, (MATCH(168, 輔助計算!$G$2:$G$801, 0)+1))&lt;=46.5,2,1)), IF(INDEX(ERP資料!$G:$G, (MATCH(168, 輔助計算!$G$2:$G$801, 0)+1))&lt;=790,3,IF(INDEX(ERP資料!$G:$G, (MATCH(168, 輔助計算!$G$2:$G$801, 0)+1))&lt;=1181,2,1))))=1,TEXT(INDEX(ERP資料!$G:$G, (MATCH(168, 輔助計算!$G$2:$G$801, 0)+1)),"0.##"),IF(MOD(INDEX(輔助計算!$D:$D, (MATCH(168, 輔助計算!$G$2:$G$801, 0)+1)),IF(INDEX(ERP資料!$G:$G, (MATCH(168, 輔助計算!$G$2:$G$801, 0)+1))&lt;100, IF(INDEX(ERP資料!$G:$G, (MATCH(168, 輔助計算!$G$2:$G$801, 0)+1))&lt;=31,3,IF(INDEX(ERP資料!$G:$G, (MATCH(168, 輔助計算!$G$2:$G$801, 0)+1))&lt;=46.5,2,1)), IF(INDEX(ERP資料!$G:$G, (MATCH(168, 輔助計算!$G$2:$G$801, 0)+1))&lt;=790,3,IF(INDEX(ERP資料!$G:$G, (MATCH(168, 輔助計算!$G$2:$G$801, 0)+1))&lt;=1181,2,1))))=2,TEXT(INDEX(ERP資料!$G:$G, (MATCH(168, 輔助計算!$G$2:$G$801, 0)+1)),"0.##")&amp;"+"&amp;TEXT(INDEX(ERP資料!$G:$G, (MATCH(168, 輔助計算!$G$2:$G$801, 0)+1)),"0.##"),TEXT(INDEX(ERP資料!$G:$G, (MATCH(168, 輔助計算!$G$2:$G$801, 0)+1)),"0.##")&amp;"+"&amp;TEXT(INDEX(ERP資料!$G:$G, (MATCH(168, 輔助計算!$G$2:$G$801, 0)+1)),"0.##")&amp;"+"&amp;TEXT(INDEX(ERP資料!$G:$G, (MATCH(168, 輔助計算!$G$2:$G$801, 0)+1)),"0.##"))))&amp;"-1")&lt;&gt;""),"  ","")&amp;IF(MOD(INDEX(輔助計算!$D:$D, (MATCH(168, 輔助計算!$G$2:$G$801, 0)+1)),IF(INDEX(ERP資料!$G:$G, (MATCH(168, 輔助計算!$G$2:$G$801, 0)+1))&lt;100, IF(INDEX(ERP資料!$G:$G, (MATCH(168, 輔助計算!$G$2:$G$801, 0)+1))&lt;=31,3,IF(INDEX(ERP資料!$G:$G, (MATCH(168, 輔助計算!$G$2:$G$801, 0)+1))&lt;=46.5,2,1)), IF(INDEX(ERP資料!$G:$G, (MATCH(168, 輔助計算!$G$2:$G$801, 0)+1))&lt;=790,3,IF(INDEX(ERP資料!$G:$G, (MATCH(168, 輔助計算!$G$2:$G$801, 0)+1))&lt;=1181,2,1))))=0,"",IF(MOD(INDEX(輔助計算!$D:$D, (MATCH(168, 輔助計算!$G$2:$G$801, 0)+1)),IF(INDEX(ERP資料!$G:$G, (MATCH(168, 輔助計算!$G$2:$G$801, 0)+1))&lt;100, IF(INDEX(ERP資料!$G:$G, (MATCH(168, 輔助計算!$G$2:$G$801, 0)+1))&lt;=31,3,IF(INDEX(ERP資料!$G:$G, (MATCH(168, 輔助計算!$G$2:$G$801, 0)+1))&lt;=46.5,2,1)), IF(INDEX(ERP資料!$G:$G, (MATCH(168, 輔助計算!$G$2:$G$801, 0)+1))&lt;=790,3,IF(INDEX(ERP資料!$G:$G, (MATCH(168, 輔助計算!$G$2:$G$801, 0)+1))&lt;=1181,2,1))))=0,"",IF(MOD(INDEX(輔助計算!$D:$D, (MATCH(168, 輔助計算!$G$2:$G$801, 0)+1)),IF(INDEX(ERP資料!$G:$G, (MATCH(168, 輔助計算!$G$2:$G$801, 0)+1))&lt;100, IF(INDEX(ERP資料!$G:$G, (MATCH(168, 輔助計算!$G$2:$G$801, 0)+1))&lt;=31,3,IF(INDEX(ERP資料!$G:$G, (MATCH(168, 輔助計算!$G$2:$G$801, 0)+1))&lt;=46.5,2,1)), IF(INDEX(ERP資料!$G:$G, (MATCH(168, 輔助計算!$G$2:$G$801, 0)+1))&lt;=790,3,IF(INDEX(ERP資料!$G:$G, (MATCH(168, 輔助計算!$G$2:$G$801, 0)+1))&lt;=1181,2,1))))=1,TEXT(INDEX(ERP資料!$G:$G, (MATCH(168, 輔助計算!$G$2:$G$801, 0)+1)),"0.##"),IF(MOD(INDEX(輔助計算!$D:$D, (MATCH(168, 輔助計算!$G$2:$G$801, 0)+1)),IF(INDEX(ERP資料!$G:$G, (MATCH(168, 輔助計算!$G$2:$G$801, 0)+1))&lt;100, IF(INDEX(ERP資料!$G:$G, (MATCH(168, 輔助計算!$G$2:$G$801, 0)+1))&lt;=31,3,IF(INDEX(ERP資料!$G:$G, (MATCH(168, 輔助計算!$G$2:$G$801, 0)+1))&lt;=46.5,2,1)), IF(INDEX(ERP資料!$G:$G, (MATCH(168, 輔助計算!$G$2:$G$801, 0)+1))&lt;=790,3,IF(INDEX(ERP資料!$G:$G, (MATCH(168, 輔助計算!$G$2:$G$801, 0)+1))&lt;=1181,2,1))))=2,TEXT(INDEX(ERP資料!$G:$G, (MATCH(168, 輔助計算!$G$2:$G$801, 0)+1)),"0.##")&amp;"+"&amp;TEXT(INDEX(ERP資料!$G:$G, (MATCH(168, 輔助計算!$G$2:$G$801, 0)+1)),"0.##"),TEXT(INDEX(ERP資料!$G:$G, (MATCH(168, 輔助計算!$G$2:$G$801, 0)+1)),"0.##")&amp;"+"&amp;TEXT(INDEX(ERP資料!$G:$G, (MATCH(168, 輔助計算!$G$2:$G$801, 0)+1)),"0.##")&amp;"+"&amp;TEXT(INDEX(ERP資料!$G:$G, (MATCH(168, 輔助計算!$G$2:$G$801, 0)+1)),"0.##"))))&amp;"-1")), ""), "")</f>
        <v/>
      </c>
      <c r="K169" s="16" t="n"/>
      <c r="L169" s="14">
        <f>IFERROR(IF(AND(IFERROR(INDEX(ERP資料!$A:$A, (MATCH(168, 輔助計算!$G$2:$G$801, 0)+1)), "")&lt;&gt;"", IFERROR(INDEX(ERP資料!$A:$A, (MATCH(168, 輔助計算!$G$2:$G$801, 0)+1)), "")&lt;&gt;IFERROR(INDEX(ERP資料!$A:$A, MATCH(167, 輔助計算!$G$2:$G$801, 0)+1), "")), INDEX(ERP資料!$B:$B, (MATCH(168, 輔助計算!$G$2:$G$801, 0)+1)), ""), "")</f>
        <v/>
      </c>
      <c r="M169" s="17" t="n"/>
    </row>
    <row r="170">
      <c r="A170" s="10">
        <f>IFERROR(IF(AND(IFERROR(INDEX(ERP資料!$A:$A, (MATCH(169, 輔助計算!$G$2:$G$801, 0)+1)), "")&lt;&gt;"", IFERROR(INDEX(ERP資料!$A:$A, (MATCH(169, 輔助計算!$G$2:$G$801, 0)+1)), "")&lt;&gt;IFERROR(INDEX(ERP資料!$A:$A, MATCH(168, 輔助計算!$G$2:$G$801, 0)+1), "")), IFERROR(INDEX(ERP資料!$A:$A, (MATCH(169, 輔助計算!$G$2:$G$801, 0)+1)), ""), ""), "")</f>
        <v/>
      </c>
      <c r="B170" s="10">
        <f>IFERROR(IF(AND(IFERROR(INDEX(ERP資料!$A:$A, (MATCH(169, 輔助計算!$G$2:$G$801, 0)+1)), "")&lt;&gt;"", IFERROR(INDEX(ERP資料!$A:$A, (MATCH(169, 輔助計算!$G$2:$G$801, 0)+1)), "")&lt;&gt;IFERROR(INDEX(ERP資料!$A:$A, MATCH(168, 輔助計算!$G$2:$G$801, 0)+1), "")), INDEX(ERP資料!$S:$S, (MATCH(169, 輔助計算!$G$2:$G$801, 0)+1)), ""), "")</f>
        <v/>
      </c>
      <c r="C170" s="19">
        <f>IFERROR(IF(AND(IFERROR(INDEX(ERP資料!$A:$A, (MATCH(169, 輔助計算!$G$2:$G$801, 0)+1)), "")&lt;&gt;"", IFERROR(INDEX(ERP資料!$A:$A, (MATCH(169, 輔助計算!$G$2:$G$801, 0)+1)), "")&lt;&gt;IFERROR(INDEX(ERP資料!$A:$A, MATCH(168, 輔助計算!$G$2:$G$801, 0)+1), "")), IFERROR(VLOOKUP(LEFT(INDEX(ERP資料!$S:$S, (MATCH(169, 輔助計算!$G$2:$G$801, 0)+1)), 4), 紙管對照表!$A:$C, 3, FALSE), ""), ""), "")</f>
        <v/>
      </c>
      <c r="D170" s="16" t="n"/>
      <c r="E170" s="10">
        <f>IFERROR(IF(INDEX(ERP資料!$H:$H, (MATCH(169, 輔助計算!$G$2:$G$801, 0)+1))="","",INDEX(ERP資料!$H:$H, (MATCH(169, 輔助計算!$G$2:$G$801, 0)+1))), "")</f>
        <v/>
      </c>
      <c r="F170" s="10">
        <f>IFERROR(IF(INDEX(ERP資料!$E:$E, (MATCH(169, 輔助計算!$G$2:$G$801, 0)+1))="","",TRIM(INDEX(ERP資料!$E:$E, (MATCH(169, 輔助計算!$G$2:$G$801, 0)+1)))), "")</f>
        <v/>
      </c>
      <c r="G170" s="10">
        <f>IFERROR(IF(INDEX(ERP資料!$F:$F, (MATCH(169, 輔助計算!$G$2:$G$801, 0)+1))="","",INDEX(ERP資料!$F:$F, (MATCH(169, 輔助計算!$G$2:$G$801, 0)+1))), "")</f>
        <v/>
      </c>
      <c r="H170" s="10">
        <f>IFERROR(IF(INDEX(ERP資料!$G:$G, (MATCH(169, 輔助計算!$G$2:$G$801, 0)+1))="","",INDEX(ERP資料!$G:$G, (MATCH(169, 輔助計算!$G$2:$G$801, 0)+1))), "")</f>
        <v/>
      </c>
      <c r="I170" s="15">
        <f>IFERROR(INDEX(輔助計算!$D:$D, (MATCH(169, 輔助計算!$G$2:$G$801, 0)+1)), "")</f>
        <v/>
      </c>
      <c r="J170" s="15">
        <f>IFERROR(IF(AND(INDEX(輔助計算!$D:$D, (MATCH(169, 輔助計算!$G$2:$G$801, 0)+1))&lt;&gt;"", INDEX(ERP資料!$G:$G, (MATCH(169, 輔助計算!$G$2:$G$801, 0)+1))&lt;&gt;""), TRIM(IF(INT(INDEX(輔助計算!$D:$D, (MATCH(169, 輔助計算!$G$2:$G$801, 0)+1))/IF(INDEX(ERP資料!$G:$G, (MATCH(169, 輔助計算!$G$2:$G$801, 0)+1))&lt;100, IF(INDEX(ERP資料!$G:$G, (MATCH(169, 輔助計算!$G$2:$G$801, 0)+1))&lt;=31,3,IF(INDEX(ERP資料!$G:$G, (MATCH(169, 輔助計算!$G$2:$G$801, 0)+1))&lt;=46.5,2,1)), IF(INDEX(ERP資料!$G:$G, (MATCH(169, 輔助計算!$G$2:$G$801, 0)+1))&lt;=790,3,IF(INDEX(ERP資料!$G:$G, (MATCH(169, 輔助計算!$G$2:$G$801, 0)+1))&lt;=1181,2,1))))&gt;0, IF(IF(INDEX(ERP資料!$G:$G, (MATCH(169, 輔助計算!$G$2:$G$801, 0)+1))&lt;100, IF(INDEX(ERP資料!$G:$G, (MATCH(169, 輔助計算!$G$2:$G$801, 0)+1))&lt;=31,3,IF(INDEX(ERP資料!$G:$G, (MATCH(169, 輔助計算!$G$2:$G$801, 0)+1))&lt;=46.5,2,1)), IF(INDEX(ERP資料!$G:$G, (MATCH(169, 輔助計算!$G$2:$G$801, 0)+1))&lt;=790,3,IF(INDEX(ERP資料!$G:$G, (MATCH(169, 輔助計算!$G$2:$G$801, 0)+1))&lt;=1181,2,1)))=1,TEXT(INDEX(ERP資料!$G:$G, (MATCH(169, 輔助計算!$G$2:$G$801, 0)+1)),"0.##"),IF(IF(INDEX(ERP資料!$G:$G, (MATCH(169, 輔助計算!$G$2:$G$801, 0)+1))&lt;100, IF(INDEX(ERP資料!$G:$G, (MATCH(169, 輔助計算!$G$2:$G$801, 0)+1))&lt;=31,3,IF(INDEX(ERP資料!$G:$G, (MATCH(169, 輔助計算!$G$2:$G$801, 0)+1))&lt;=46.5,2,1)), IF(INDEX(ERP資料!$G:$G, (MATCH(169, 輔助計算!$G$2:$G$801, 0)+1))&lt;=790,3,IF(INDEX(ERP資料!$G:$G, (MATCH(169, 輔助計算!$G$2:$G$801, 0)+1))&lt;=1181,2,1)))=2,TEXT(INDEX(ERP資料!$G:$G, (MATCH(169, 輔助計算!$G$2:$G$801, 0)+1)),"0.##")&amp;"+"&amp;TEXT(INDEX(ERP資料!$G:$G, (MATCH(169, 輔助計算!$G$2:$G$801, 0)+1)),"0.##"),TEXT(INDEX(ERP資料!$G:$G, (MATCH(169, 輔助計算!$G$2:$G$801, 0)+1)),"0.##")&amp;"+"&amp;TEXT(INDEX(ERP資料!$G:$G, (MATCH(169, 輔助計算!$G$2:$G$801, 0)+1)),"0.##")&amp;"+"&amp;TEXT(INDEX(ERP資料!$G:$G, (MATCH(169, 輔助計算!$G$2:$G$801, 0)+1)),"0.##")))&amp;"-"&amp;INT(INDEX(輔助計算!$D:$D, (MATCH(169, 輔助計算!$G$2:$G$801, 0)+1))/IF(INDEX(ERP資料!$G:$G, (MATCH(169, 輔助計算!$G$2:$G$801, 0)+1))&lt;100, IF(INDEX(ERP資料!$G:$G, (MATCH(169, 輔助計算!$G$2:$G$801, 0)+1))&lt;=31,3,IF(INDEX(ERP資料!$G:$G, (MATCH(169, 輔助計算!$G$2:$G$801, 0)+1))&lt;=46.5,2,1)), IF(INDEX(ERP資料!$G:$G, (MATCH(169, 輔助計算!$G$2:$G$801, 0)+1))&lt;=790,3,IF(INDEX(ERP資料!$G:$G, (MATCH(169, 輔助計算!$G$2:$G$801, 0)+1))&lt;=1181,2,1)))), "")&amp;IF(AND(IF(INT(INDEX(輔助計算!$D:$D, (MATCH(169, 輔助計算!$G$2:$G$801, 0)+1))/IF(INDEX(ERP資料!$G:$G, (MATCH(169, 輔助計算!$G$2:$G$801, 0)+1))&lt;100, IF(INDEX(ERP資料!$G:$G, (MATCH(169, 輔助計算!$G$2:$G$801, 0)+1))&lt;=31,3,IF(INDEX(ERP資料!$G:$G, (MATCH(169, 輔助計算!$G$2:$G$801, 0)+1))&lt;=46.5,2,1)), IF(INDEX(ERP資料!$G:$G, (MATCH(169, 輔助計算!$G$2:$G$801, 0)+1))&lt;=790,3,IF(INDEX(ERP資料!$G:$G, (MATCH(169, 輔助計算!$G$2:$G$801, 0)+1))&lt;=1181,2,1))))&gt;0, IF(IF(INDEX(ERP資料!$G:$G, (MATCH(169, 輔助計算!$G$2:$G$801, 0)+1))&lt;100, IF(INDEX(ERP資料!$G:$G, (MATCH(169, 輔助計算!$G$2:$G$801, 0)+1))&lt;=31,3,IF(INDEX(ERP資料!$G:$G, (MATCH(169, 輔助計算!$G$2:$G$801, 0)+1))&lt;=46.5,2,1)), IF(INDEX(ERP資料!$G:$G, (MATCH(169, 輔助計算!$G$2:$G$801, 0)+1))&lt;=790,3,IF(INDEX(ERP資料!$G:$G, (MATCH(169, 輔助計算!$G$2:$G$801, 0)+1))&lt;=1181,2,1)))=1,TEXT(INDEX(ERP資料!$G:$G, (MATCH(169, 輔助計算!$G$2:$G$801, 0)+1)),"0.##"),IF(IF(INDEX(ERP資料!$G:$G, (MATCH(169, 輔助計算!$G$2:$G$801, 0)+1))&lt;100, IF(INDEX(ERP資料!$G:$G, (MATCH(169, 輔助計算!$G$2:$G$801, 0)+1))&lt;=31,3,IF(INDEX(ERP資料!$G:$G, (MATCH(169, 輔助計算!$G$2:$G$801, 0)+1))&lt;=46.5,2,1)), IF(INDEX(ERP資料!$G:$G, (MATCH(169, 輔助計算!$G$2:$G$801, 0)+1))&lt;=790,3,IF(INDEX(ERP資料!$G:$G, (MATCH(169, 輔助計算!$G$2:$G$801, 0)+1))&lt;=1181,2,1)))=2,TEXT(INDEX(ERP資料!$G:$G, (MATCH(169, 輔助計算!$G$2:$G$801, 0)+1)),"0.##")&amp;"+"&amp;TEXT(INDEX(ERP資料!$G:$G, (MATCH(169, 輔助計算!$G$2:$G$801, 0)+1)),"0.##"),TEXT(INDEX(ERP資料!$G:$G, (MATCH(169, 輔助計算!$G$2:$G$801, 0)+1)),"0.##")&amp;"+"&amp;TEXT(INDEX(ERP資料!$G:$G, (MATCH(169, 輔助計算!$G$2:$G$801, 0)+1)),"0.##")&amp;"+"&amp;TEXT(INDEX(ERP資料!$G:$G, (MATCH(169, 輔助計算!$G$2:$G$801, 0)+1)),"0.##")))&amp;"-"&amp;INT(INDEX(輔助計算!$D:$D, (MATCH(169, 輔助計算!$G$2:$G$801, 0)+1))/IF(INDEX(ERP資料!$G:$G, (MATCH(169, 輔助計算!$G$2:$G$801, 0)+1))&lt;100, IF(INDEX(ERP資料!$G:$G, (MATCH(169, 輔助計算!$G$2:$G$801, 0)+1))&lt;=31,3,IF(INDEX(ERP資料!$G:$G, (MATCH(169, 輔助計算!$G$2:$G$801, 0)+1))&lt;=46.5,2,1)), IF(INDEX(ERP資料!$G:$G, (MATCH(169, 輔助計算!$G$2:$G$801, 0)+1))&lt;=790,3,IF(INDEX(ERP資料!$G:$G, (MATCH(169, 輔助計算!$G$2:$G$801, 0)+1))&lt;=1181,2,1)))), "")&lt;&gt;"",IF(MOD(INDEX(輔助計算!$D:$D, (MATCH(169, 輔助計算!$G$2:$G$801, 0)+1)),IF(INDEX(ERP資料!$G:$G, (MATCH(169, 輔助計算!$G$2:$G$801, 0)+1))&lt;100, IF(INDEX(ERP資料!$G:$G, (MATCH(169, 輔助計算!$G$2:$G$801, 0)+1))&lt;=31,3,IF(INDEX(ERP資料!$G:$G, (MATCH(169, 輔助計算!$G$2:$G$801, 0)+1))&lt;=46.5,2,1)), IF(INDEX(ERP資料!$G:$G, (MATCH(169, 輔助計算!$G$2:$G$801, 0)+1))&lt;=790,3,IF(INDEX(ERP資料!$G:$G, (MATCH(169, 輔助計算!$G$2:$G$801, 0)+1))&lt;=1181,2,1))))=0,"",IF(MOD(INDEX(輔助計算!$D:$D, (MATCH(169, 輔助計算!$G$2:$G$801, 0)+1)),IF(INDEX(ERP資料!$G:$G, (MATCH(169, 輔助計算!$G$2:$G$801, 0)+1))&lt;100, IF(INDEX(ERP資料!$G:$G, (MATCH(169, 輔助計算!$G$2:$G$801, 0)+1))&lt;=31,3,IF(INDEX(ERP資料!$G:$G, (MATCH(169, 輔助計算!$G$2:$G$801, 0)+1))&lt;=46.5,2,1)), IF(INDEX(ERP資料!$G:$G, (MATCH(169, 輔助計算!$G$2:$G$801, 0)+1))&lt;=790,3,IF(INDEX(ERP資料!$G:$G, (MATCH(169, 輔助計算!$G$2:$G$801, 0)+1))&lt;=1181,2,1))))=0,"",IF(MOD(INDEX(輔助計算!$D:$D, (MATCH(169, 輔助計算!$G$2:$G$801, 0)+1)),IF(INDEX(ERP資料!$G:$G, (MATCH(169, 輔助計算!$G$2:$G$801, 0)+1))&lt;100, IF(INDEX(ERP資料!$G:$G, (MATCH(169, 輔助計算!$G$2:$G$801, 0)+1))&lt;=31,3,IF(INDEX(ERP資料!$G:$G, (MATCH(169, 輔助計算!$G$2:$G$801, 0)+1))&lt;=46.5,2,1)), IF(INDEX(ERP資料!$G:$G, (MATCH(169, 輔助計算!$G$2:$G$801, 0)+1))&lt;=790,3,IF(INDEX(ERP資料!$G:$G, (MATCH(169, 輔助計算!$G$2:$G$801, 0)+1))&lt;=1181,2,1))))=1,TEXT(INDEX(ERP資料!$G:$G, (MATCH(169, 輔助計算!$G$2:$G$801, 0)+1)),"0.##"),IF(MOD(INDEX(輔助計算!$D:$D, (MATCH(169, 輔助計算!$G$2:$G$801, 0)+1)),IF(INDEX(ERP資料!$G:$G, (MATCH(169, 輔助計算!$G$2:$G$801, 0)+1))&lt;100, IF(INDEX(ERP資料!$G:$G, (MATCH(169, 輔助計算!$G$2:$G$801, 0)+1))&lt;=31,3,IF(INDEX(ERP資料!$G:$G, (MATCH(169, 輔助計算!$G$2:$G$801, 0)+1))&lt;=46.5,2,1)), IF(INDEX(ERP資料!$G:$G, (MATCH(169, 輔助計算!$G$2:$G$801, 0)+1))&lt;=790,3,IF(INDEX(ERP資料!$G:$G, (MATCH(169, 輔助計算!$G$2:$G$801, 0)+1))&lt;=1181,2,1))))=2,TEXT(INDEX(ERP資料!$G:$G, (MATCH(169, 輔助計算!$G$2:$G$801, 0)+1)),"0.##")&amp;"+"&amp;TEXT(INDEX(ERP資料!$G:$G, (MATCH(169, 輔助計算!$G$2:$G$801, 0)+1)),"0.##"),TEXT(INDEX(ERP資料!$G:$G, (MATCH(169, 輔助計算!$G$2:$G$801, 0)+1)),"0.##")&amp;"+"&amp;TEXT(INDEX(ERP資料!$G:$G, (MATCH(169, 輔助計算!$G$2:$G$801, 0)+1)),"0.##")&amp;"+"&amp;TEXT(INDEX(ERP資料!$G:$G, (MATCH(169, 輔助計算!$G$2:$G$801, 0)+1)),"0.##"))))&amp;"-1")&lt;&gt;""),"  ","")&amp;IF(MOD(INDEX(輔助計算!$D:$D, (MATCH(169, 輔助計算!$G$2:$G$801, 0)+1)),IF(INDEX(ERP資料!$G:$G, (MATCH(169, 輔助計算!$G$2:$G$801, 0)+1))&lt;100, IF(INDEX(ERP資料!$G:$G, (MATCH(169, 輔助計算!$G$2:$G$801, 0)+1))&lt;=31,3,IF(INDEX(ERP資料!$G:$G, (MATCH(169, 輔助計算!$G$2:$G$801, 0)+1))&lt;=46.5,2,1)), IF(INDEX(ERP資料!$G:$G, (MATCH(169, 輔助計算!$G$2:$G$801, 0)+1))&lt;=790,3,IF(INDEX(ERP資料!$G:$G, (MATCH(169, 輔助計算!$G$2:$G$801, 0)+1))&lt;=1181,2,1))))=0,"",IF(MOD(INDEX(輔助計算!$D:$D, (MATCH(169, 輔助計算!$G$2:$G$801, 0)+1)),IF(INDEX(ERP資料!$G:$G, (MATCH(169, 輔助計算!$G$2:$G$801, 0)+1))&lt;100, IF(INDEX(ERP資料!$G:$G, (MATCH(169, 輔助計算!$G$2:$G$801, 0)+1))&lt;=31,3,IF(INDEX(ERP資料!$G:$G, (MATCH(169, 輔助計算!$G$2:$G$801, 0)+1))&lt;=46.5,2,1)), IF(INDEX(ERP資料!$G:$G, (MATCH(169, 輔助計算!$G$2:$G$801, 0)+1))&lt;=790,3,IF(INDEX(ERP資料!$G:$G, (MATCH(169, 輔助計算!$G$2:$G$801, 0)+1))&lt;=1181,2,1))))=0,"",IF(MOD(INDEX(輔助計算!$D:$D, (MATCH(169, 輔助計算!$G$2:$G$801, 0)+1)),IF(INDEX(ERP資料!$G:$G, (MATCH(169, 輔助計算!$G$2:$G$801, 0)+1))&lt;100, IF(INDEX(ERP資料!$G:$G, (MATCH(169, 輔助計算!$G$2:$G$801, 0)+1))&lt;=31,3,IF(INDEX(ERP資料!$G:$G, (MATCH(169, 輔助計算!$G$2:$G$801, 0)+1))&lt;=46.5,2,1)), IF(INDEX(ERP資料!$G:$G, (MATCH(169, 輔助計算!$G$2:$G$801, 0)+1))&lt;=790,3,IF(INDEX(ERP資料!$G:$G, (MATCH(169, 輔助計算!$G$2:$G$801, 0)+1))&lt;=1181,2,1))))=1,TEXT(INDEX(ERP資料!$G:$G, (MATCH(169, 輔助計算!$G$2:$G$801, 0)+1)),"0.##"),IF(MOD(INDEX(輔助計算!$D:$D, (MATCH(169, 輔助計算!$G$2:$G$801, 0)+1)),IF(INDEX(ERP資料!$G:$G, (MATCH(169, 輔助計算!$G$2:$G$801, 0)+1))&lt;100, IF(INDEX(ERP資料!$G:$G, (MATCH(169, 輔助計算!$G$2:$G$801, 0)+1))&lt;=31,3,IF(INDEX(ERP資料!$G:$G, (MATCH(169, 輔助計算!$G$2:$G$801, 0)+1))&lt;=46.5,2,1)), IF(INDEX(ERP資料!$G:$G, (MATCH(169, 輔助計算!$G$2:$G$801, 0)+1))&lt;=790,3,IF(INDEX(ERP資料!$G:$G, (MATCH(169, 輔助計算!$G$2:$G$801, 0)+1))&lt;=1181,2,1))))=2,TEXT(INDEX(ERP資料!$G:$G, (MATCH(169, 輔助計算!$G$2:$G$801, 0)+1)),"0.##")&amp;"+"&amp;TEXT(INDEX(ERP資料!$G:$G, (MATCH(169, 輔助計算!$G$2:$G$801, 0)+1)),"0.##"),TEXT(INDEX(ERP資料!$G:$G, (MATCH(169, 輔助計算!$G$2:$G$801, 0)+1)),"0.##")&amp;"+"&amp;TEXT(INDEX(ERP資料!$G:$G, (MATCH(169, 輔助計算!$G$2:$G$801, 0)+1)),"0.##")&amp;"+"&amp;TEXT(INDEX(ERP資料!$G:$G, (MATCH(169, 輔助計算!$G$2:$G$801, 0)+1)),"0.##"))))&amp;"-1")), ""), "")</f>
        <v/>
      </c>
      <c r="K170" s="16" t="n"/>
      <c r="L170" s="14">
        <f>IFERROR(IF(AND(IFERROR(INDEX(ERP資料!$A:$A, (MATCH(169, 輔助計算!$G$2:$G$801, 0)+1)), "")&lt;&gt;"", IFERROR(INDEX(ERP資料!$A:$A, (MATCH(169, 輔助計算!$G$2:$G$801, 0)+1)), "")&lt;&gt;IFERROR(INDEX(ERP資料!$A:$A, MATCH(168, 輔助計算!$G$2:$G$801, 0)+1), "")), INDEX(ERP資料!$B:$B, (MATCH(169, 輔助計算!$G$2:$G$801, 0)+1)), ""), "")</f>
        <v/>
      </c>
      <c r="M170" s="17" t="n"/>
    </row>
    <row r="171">
      <c r="A171" s="10">
        <f>IFERROR(IF(AND(IFERROR(INDEX(ERP資料!$A:$A, (MATCH(170, 輔助計算!$G$2:$G$801, 0)+1)), "")&lt;&gt;"", IFERROR(INDEX(ERP資料!$A:$A, (MATCH(170, 輔助計算!$G$2:$G$801, 0)+1)), "")&lt;&gt;IFERROR(INDEX(ERP資料!$A:$A, MATCH(169, 輔助計算!$G$2:$G$801, 0)+1), "")), IFERROR(INDEX(ERP資料!$A:$A, (MATCH(170, 輔助計算!$G$2:$G$801, 0)+1)), ""), ""), "")</f>
        <v/>
      </c>
      <c r="B171" s="10">
        <f>IFERROR(IF(AND(IFERROR(INDEX(ERP資料!$A:$A, (MATCH(170, 輔助計算!$G$2:$G$801, 0)+1)), "")&lt;&gt;"", IFERROR(INDEX(ERP資料!$A:$A, (MATCH(170, 輔助計算!$G$2:$G$801, 0)+1)), "")&lt;&gt;IFERROR(INDEX(ERP資料!$A:$A, MATCH(169, 輔助計算!$G$2:$G$801, 0)+1), "")), INDEX(ERP資料!$S:$S, (MATCH(170, 輔助計算!$G$2:$G$801, 0)+1)), ""), "")</f>
        <v/>
      </c>
      <c r="C171" s="19">
        <f>IFERROR(IF(AND(IFERROR(INDEX(ERP資料!$A:$A, (MATCH(170, 輔助計算!$G$2:$G$801, 0)+1)), "")&lt;&gt;"", IFERROR(INDEX(ERP資料!$A:$A, (MATCH(170, 輔助計算!$G$2:$G$801, 0)+1)), "")&lt;&gt;IFERROR(INDEX(ERP資料!$A:$A, MATCH(169, 輔助計算!$G$2:$G$801, 0)+1), "")), IFERROR(VLOOKUP(LEFT(INDEX(ERP資料!$S:$S, (MATCH(170, 輔助計算!$G$2:$G$801, 0)+1)), 4), 紙管對照表!$A:$C, 3, FALSE), ""), ""), "")</f>
        <v/>
      </c>
      <c r="D171" s="16" t="n"/>
      <c r="E171" s="10">
        <f>IFERROR(IF(INDEX(ERP資料!$H:$H, (MATCH(170, 輔助計算!$G$2:$G$801, 0)+1))="","",INDEX(ERP資料!$H:$H, (MATCH(170, 輔助計算!$G$2:$G$801, 0)+1))), "")</f>
        <v/>
      </c>
      <c r="F171" s="10">
        <f>IFERROR(IF(INDEX(ERP資料!$E:$E, (MATCH(170, 輔助計算!$G$2:$G$801, 0)+1))="","",TRIM(INDEX(ERP資料!$E:$E, (MATCH(170, 輔助計算!$G$2:$G$801, 0)+1)))), "")</f>
        <v/>
      </c>
      <c r="G171" s="10">
        <f>IFERROR(IF(INDEX(ERP資料!$F:$F, (MATCH(170, 輔助計算!$G$2:$G$801, 0)+1))="","",INDEX(ERP資料!$F:$F, (MATCH(170, 輔助計算!$G$2:$G$801, 0)+1))), "")</f>
        <v/>
      </c>
      <c r="H171" s="10">
        <f>IFERROR(IF(INDEX(ERP資料!$G:$G, (MATCH(170, 輔助計算!$G$2:$G$801, 0)+1))="","",INDEX(ERP資料!$G:$G, (MATCH(170, 輔助計算!$G$2:$G$801, 0)+1))), "")</f>
        <v/>
      </c>
      <c r="I171" s="15">
        <f>IFERROR(INDEX(輔助計算!$D:$D, (MATCH(170, 輔助計算!$G$2:$G$801, 0)+1)), "")</f>
        <v/>
      </c>
      <c r="J171" s="15">
        <f>IFERROR(IF(AND(INDEX(輔助計算!$D:$D, (MATCH(170, 輔助計算!$G$2:$G$801, 0)+1))&lt;&gt;"", INDEX(ERP資料!$G:$G, (MATCH(170, 輔助計算!$G$2:$G$801, 0)+1))&lt;&gt;""), TRIM(IF(INT(INDEX(輔助計算!$D:$D, (MATCH(170, 輔助計算!$G$2:$G$801, 0)+1))/IF(INDEX(ERP資料!$G:$G, (MATCH(170, 輔助計算!$G$2:$G$801, 0)+1))&lt;100, IF(INDEX(ERP資料!$G:$G, (MATCH(170, 輔助計算!$G$2:$G$801, 0)+1))&lt;=31,3,IF(INDEX(ERP資料!$G:$G, (MATCH(170, 輔助計算!$G$2:$G$801, 0)+1))&lt;=46.5,2,1)), IF(INDEX(ERP資料!$G:$G, (MATCH(170, 輔助計算!$G$2:$G$801, 0)+1))&lt;=790,3,IF(INDEX(ERP資料!$G:$G, (MATCH(170, 輔助計算!$G$2:$G$801, 0)+1))&lt;=1181,2,1))))&gt;0, IF(IF(INDEX(ERP資料!$G:$G, (MATCH(170, 輔助計算!$G$2:$G$801, 0)+1))&lt;100, IF(INDEX(ERP資料!$G:$G, (MATCH(170, 輔助計算!$G$2:$G$801, 0)+1))&lt;=31,3,IF(INDEX(ERP資料!$G:$G, (MATCH(170, 輔助計算!$G$2:$G$801, 0)+1))&lt;=46.5,2,1)), IF(INDEX(ERP資料!$G:$G, (MATCH(170, 輔助計算!$G$2:$G$801, 0)+1))&lt;=790,3,IF(INDEX(ERP資料!$G:$G, (MATCH(170, 輔助計算!$G$2:$G$801, 0)+1))&lt;=1181,2,1)))=1,TEXT(INDEX(ERP資料!$G:$G, (MATCH(170, 輔助計算!$G$2:$G$801, 0)+1)),"0.##"),IF(IF(INDEX(ERP資料!$G:$G, (MATCH(170, 輔助計算!$G$2:$G$801, 0)+1))&lt;100, IF(INDEX(ERP資料!$G:$G, (MATCH(170, 輔助計算!$G$2:$G$801, 0)+1))&lt;=31,3,IF(INDEX(ERP資料!$G:$G, (MATCH(170, 輔助計算!$G$2:$G$801, 0)+1))&lt;=46.5,2,1)), IF(INDEX(ERP資料!$G:$G, (MATCH(170, 輔助計算!$G$2:$G$801, 0)+1))&lt;=790,3,IF(INDEX(ERP資料!$G:$G, (MATCH(170, 輔助計算!$G$2:$G$801, 0)+1))&lt;=1181,2,1)))=2,TEXT(INDEX(ERP資料!$G:$G, (MATCH(170, 輔助計算!$G$2:$G$801, 0)+1)),"0.##")&amp;"+"&amp;TEXT(INDEX(ERP資料!$G:$G, (MATCH(170, 輔助計算!$G$2:$G$801, 0)+1)),"0.##"),TEXT(INDEX(ERP資料!$G:$G, (MATCH(170, 輔助計算!$G$2:$G$801, 0)+1)),"0.##")&amp;"+"&amp;TEXT(INDEX(ERP資料!$G:$G, (MATCH(170, 輔助計算!$G$2:$G$801, 0)+1)),"0.##")&amp;"+"&amp;TEXT(INDEX(ERP資料!$G:$G, (MATCH(170, 輔助計算!$G$2:$G$801, 0)+1)),"0.##")))&amp;"-"&amp;INT(INDEX(輔助計算!$D:$D, (MATCH(170, 輔助計算!$G$2:$G$801, 0)+1))/IF(INDEX(ERP資料!$G:$G, (MATCH(170, 輔助計算!$G$2:$G$801, 0)+1))&lt;100, IF(INDEX(ERP資料!$G:$G, (MATCH(170, 輔助計算!$G$2:$G$801, 0)+1))&lt;=31,3,IF(INDEX(ERP資料!$G:$G, (MATCH(170, 輔助計算!$G$2:$G$801, 0)+1))&lt;=46.5,2,1)), IF(INDEX(ERP資料!$G:$G, (MATCH(170, 輔助計算!$G$2:$G$801, 0)+1))&lt;=790,3,IF(INDEX(ERP資料!$G:$G, (MATCH(170, 輔助計算!$G$2:$G$801, 0)+1))&lt;=1181,2,1)))), "")&amp;IF(AND(IF(INT(INDEX(輔助計算!$D:$D, (MATCH(170, 輔助計算!$G$2:$G$801, 0)+1))/IF(INDEX(ERP資料!$G:$G, (MATCH(170, 輔助計算!$G$2:$G$801, 0)+1))&lt;100, IF(INDEX(ERP資料!$G:$G, (MATCH(170, 輔助計算!$G$2:$G$801, 0)+1))&lt;=31,3,IF(INDEX(ERP資料!$G:$G, (MATCH(170, 輔助計算!$G$2:$G$801, 0)+1))&lt;=46.5,2,1)), IF(INDEX(ERP資料!$G:$G, (MATCH(170, 輔助計算!$G$2:$G$801, 0)+1))&lt;=790,3,IF(INDEX(ERP資料!$G:$G, (MATCH(170, 輔助計算!$G$2:$G$801, 0)+1))&lt;=1181,2,1))))&gt;0, IF(IF(INDEX(ERP資料!$G:$G, (MATCH(170, 輔助計算!$G$2:$G$801, 0)+1))&lt;100, IF(INDEX(ERP資料!$G:$G, (MATCH(170, 輔助計算!$G$2:$G$801, 0)+1))&lt;=31,3,IF(INDEX(ERP資料!$G:$G, (MATCH(170, 輔助計算!$G$2:$G$801, 0)+1))&lt;=46.5,2,1)), IF(INDEX(ERP資料!$G:$G, (MATCH(170, 輔助計算!$G$2:$G$801, 0)+1))&lt;=790,3,IF(INDEX(ERP資料!$G:$G, (MATCH(170, 輔助計算!$G$2:$G$801, 0)+1))&lt;=1181,2,1)))=1,TEXT(INDEX(ERP資料!$G:$G, (MATCH(170, 輔助計算!$G$2:$G$801, 0)+1)),"0.##"),IF(IF(INDEX(ERP資料!$G:$G, (MATCH(170, 輔助計算!$G$2:$G$801, 0)+1))&lt;100, IF(INDEX(ERP資料!$G:$G, (MATCH(170, 輔助計算!$G$2:$G$801, 0)+1))&lt;=31,3,IF(INDEX(ERP資料!$G:$G, (MATCH(170, 輔助計算!$G$2:$G$801, 0)+1))&lt;=46.5,2,1)), IF(INDEX(ERP資料!$G:$G, (MATCH(170, 輔助計算!$G$2:$G$801, 0)+1))&lt;=790,3,IF(INDEX(ERP資料!$G:$G, (MATCH(170, 輔助計算!$G$2:$G$801, 0)+1))&lt;=1181,2,1)))=2,TEXT(INDEX(ERP資料!$G:$G, (MATCH(170, 輔助計算!$G$2:$G$801, 0)+1)),"0.##")&amp;"+"&amp;TEXT(INDEX(ERP資料!$G:$G, (MATCH(170, 輔助計算!$G$2:$G$801, 0)+1)),"0.##"),TEXT(INDEX(ERP資料!$G:$G, (MATCH(170, 輔助計算!$G$2:$G$801, 0)+1)),"0.##")&amp;"+"&amp;TEXT(INDEX(ERP資料!$G:$G, (MATCH(170, 輔助計算!$G$2:$G$801, 0)+1)),"0.##")&amp;"+"&amp;TEXT(INDEX(ERP資料!$G:$G, (MATCH(170, 輔助計算!$G$2:$G$801, 0)+1)),"0.##")))&amp;"-"&amp;INT(INDEX(輔助計算!$D:$D, (MATCH(170, 輔助計算!$G$2:$G$801, 0)+1))/IF(INDEX(ERP資料!$G:$G, (MATCH(170, 輔助計算!$G$2:$G$801, 0)+1))&lt;100, IF(INDEX(ERP資料!$G:$G, (MATCH(170, 輔助計算!$G$2:$G$801, 0)+1))&lt;=31,3,IF(INDEX(ERP資料!$G:$G, (MATCH(170, 輔助計算!$G$2:$G$801, 0)+1))&lt;=46.5,2,1)), IF(INDEX(ERP資料!$G:$G, (MATCH(170, 輔助計算!$G$2:$G$801, 0)+1))&lt;=790,3,IF(INDEX(ERP資料!$G:$G, (MATCH(170, 輔助計算!$G$2:$G$801, 0)+1))&lt;=1181,2,1)))), "")&lt;&gt;"",IF(MOD(INDEX(輔助計算!$D:$D, (MATCH(170, 輔助計算!$G$2:$G$801, 0)+1)),IF(INDEX(ERP資料!$G:$G, (MATCH(170, 輔助計算!$G$2:$G$801, 0)+1))&lt;100, IF(INDEX(ERP資料!$G:$G, (MATCH(170, 輔助計算!$G$2:$G$801, 0)+1))&lt;=31,3,IF(INDEX(ERP資料!$G:$G, (MATCH(170, 輔助計算!$G$2:$G$801, 0)+1))&lt;=46.5,2,1)), IF(INDEX(ERP資料!$G:$G, (MATCH(170, 輔助計算!$G$2:$G$801, 0)+1))&lt;=790,3,IF(INDEX(ERP資料!$G:$G, (MATCH(170, 輔助計算!$G$2:$G$801, 0)+1))&lt;=1181,2,1))))=0,"",IF(MOD(INDEX(輔助計算!$D:$D, (MATCH(170, 輔助計算!$G$2:$G$801, 0)+1)),IF(INDEX(ERP資料!$G:$G, (MATCH(170, 輔助計算!$G$2:$G$801, 0)+1))&lt;100, IF(INDEX(ERP資料!$G:$G, (MATCH(170, 輔助計算!$G$2:$G$801, 0)+1))&lt;=31,3,IF(INDEX(ERP資料!$G:$G, (MATCH(170, 輔助計算!$G$2:$G$801, 0)+1))&lt;=46.5,2,1)), IF(INDEX(ERP資料!$G:$G, (MATCH(170, 輔助計算!$G$2:$G$801, 0)+1))&lt;=790,3,IF(INDEX(ERP資料!$G:$G, (MATCH(170, 輔助計算!$G$2:$G$801, 0)+1))&lt;=1181,2,1))))=0,"",IF(MOD(INDEX(輔助計算!$D:$D, (MATCH(170, 輔助計算!$G$2:$G$801, 0)+1)),IF(INDEX(ERP資料!$G:$G, (MATCH(170, 輔助計算!$G$2:$G$801, 0)+1))&lt;100, IF(INDEX(ERP資料!$G:$G, (MATCH(170, 輔助計算!$G$2:$G$801, 0)+1))&lt;=31,3,IF(INDEX(ERP資料!$G:$G, (MATCH(170, 輔助計算!$G$2:$G$801, 0)+1))&lt;=46.5,2,1)), IF(INDEX(ERP資料!$G:$G, (MATCH(170, 輔助計算!$G$2:$G$801, 0)+1))&lt;=790,3,IF(INDEX(ERP資料!$G:$G, (MATCH(170, 輔助計算!$G$2:$G$801, 0)+1))&lt;=1181,2,1))))=1,TEXT(INDEX(ERP資料!$G:$G, (MATCH(170, 輔助計算!$G$2:$G$801, 0)+1)),"0.##"),IF(MOD(INDEX(輔助計算!$D:$D, (MATCH(170, 輔助計算!$G$2:$G$801, 0)+1)),IF(INDEX(ERP資料!$G:$G, (MATCH(170, 輔助計算!$G$2:$G$801, 0)+1))&lt;100, IF(INDEX(ERP資料!$G:$G, (MATCH(170, 輔助計算!$G$2:$G$801, 0)+1))&lt;=31,3,IF(INDEX(ERP資料!$G:$G, (MATCH(170, 輔助計算!$G$2:$G$801, 0)+1))&lt;=46.5,2,1)), IF(INDEX(ERP資料!$G:$G, (MATCH(170, 輔助計算!$G$2:$G$801, 0)+1))&lt;=790,3,IF(INDEX(ERP資料!$G:$G, (MATCH(170, 輔助計算!$G$2:$G$801, 0)+1))&lt;=1181,2,1))))=2,TEXT(INDEX(ERP資料!$G:$G, (MATCH(170, 輔助計算!$G$2:$G$801, 0)+1)),"0.##")&amp;"+"&amp;TEXT(INDEX(ERP資料!$G:$G, (MATCH(170, 輔助計算!$G$2:$G$801, 0)+1)),"0.##"),TEXT(INDEX(ERP資料!$G:$G, (MATCH(170, 輔助計算!$G$2:$G$801, 0)+1)),"0.##")&amp;"+"&amp;TEXT(INDEX(ERP資料!$G:$G, (MATCH(170, 輔助計算!$G$2:$G$801, 0)+1)),"0.##")&amp;"+"&amp;TEXT(INDEX(ERP資料!$G:$G, (MATCH(170, 輔助計算!$G$2:$G$801, 0)+1)),"0.##"))))&amp;"-1")&lt;&gt;""),"  ","")&amp;IF(MOD(INDEX(輔助計算!$D:$D, (MATCH(170, 輔助計算!$G$2:$G$801, 0)+1)),IF(INDEX(ERP資料!$G:$G, (MATCH(170, 輔助計算!$G$2:$G$801, 0)+1))&lt;100, IF(INDEX(ERP資料!$G:$G, (MATCH(170, 輔助計算!$G$2:$G$801, 0)+1))&lt;=31,3,IF(INDEX(ERP資料!$G:$G, (MATCH(170, 輔助計算!$G$2:$G$801, 0)+1))&lt;=46.5,2,1)), IF(INDEX(ERP資料!$G:$G, (MATCH(170, 輔助計算!$G$2:$G$801, 0)+1))&lt;=790,3,IF(INDEX(ERP資料!$G:$G, (MATCH(170, 輔助計算!$G$2:$G$801, 0)+1))&lt;=1181,2,1))))=0,"",IF(MOD(INDEX(輔助計算!$D:$D, (MATCH(170, 輔助計算!$G$2:$G$801, 0)+1)),IF(INDEX(ERP資料!$G:$G, (MATCH(170, 輔助計算!$G$2:$G$801, 0)+1))&lt;100, IF(INDEX(ERP資料!$G:$G, (MATCH(170, 輔助計算!$G$2:$G$801, 0)+1))&lt;=31,3,IF(INDEX(ERP資料!$G:$G, (MATCH(170, 輔助計算!$G$2:$G$801, 0)+1))&lt;=46.5,2,1)), IF(INDEX(ERP資料!$G:$G, (MATCH(170, 輔助計算!$G$2:$G$801, 0)+1))&lt;=790,3,IF(INDEX(ERP資料!$G:$G, (MATCH(170, 輔助計算!$G$2:$G$801, 0)+1))&lt;=1181,2,1))))=0,"",IF(MOD(INDEX(輔助計算!$D:$D, (MATCH(170, 輔助計算!$G$2:$G$801, 0)+1)),IF(INDEX(ERP資料!$G:$G, (MATCH(170, 輔助計算!$G$2:$G$801, 0)+1))&lt;100, IF(INDEX(ERP資料!$G:$G, (MATCH(170, 輔助計算!$G$2:$G$801, 0)+1))&lt;=31,3,IF(INDEX(ERP資料!$G:$G, (MATCH(170, 輔助計算!$G$2:$G$801, 0)+1))&lt;=46.5,2,1)), IF(INDEX(ERP資料!$G:$G, (MATCH(170, 輔助計算!$G$2:$G$801, 0)+1))&lt;=790,3,IF(INDEX(ERP資料!$G:$G, (MATCH(170, 輔助計算!$G$2:$G$801, 0)+1))&lt;=1181,2,1))))=1,TEXT(INDEX(ERP資料!$G:$G, (MATCH(170, 輔助計算!$G$2:$G$801, 0)+1)),"0.##"),IF(MOD(INDEX(輔助計算!$D:$D, (MATCH(170, 輔助計算!$G$2:$G$801, 0)+1)),IF(INDEX(ERP資料!$G:$G, (MATCH(170, 輔助計算!$G$2:$G$801, 0)+1))&lt;100, IF(INDEX(ERP資料!$G:$G, (MATCH(170, 輔助計算!$G$2:$G$801, 0)+1))&lt;=31,3,IF(INDEX(ERP資料!$G:$G, (MATCH(170, 輔助計算!$G$2:$G$801, 0)+1))&lt;=46.5,2,1)), IF(INDEX(ERP資料!$G:$G, (MATCH(170, 輔助計算!$G$2:$G$801, 0)+1))&lt;=790,3,IF(INDEX(ERP資料!$G:$G, (MATCH(170, 輔助計算!$G$2:$G$801, 0)+1))&lt;=1181,2,1))))=2,TEXT(INDEX(ERP資料!$G:$G, (MATCH(170, 輔助計算!$G$2:$G$801, 0)+1)),"0.##")&amp;"+"&amp;TEXT(INDEX(ERP資料!$G:$G, (MATCH(170, 輔助計算!$G$2:$G$801, 0)+1)),"0.##"),TEXT(INDEX(ERP資料!$G:$G, (MATCH(170, 輔助計算!$G$2:$G$801, 0)+1)),"0.##")&amp;"+"&amp;TEXT(INDEX(ERP資料!$G:$G, (MATCH(170, 輔助計算!$G$2:$G$801, 0)+1)),"0.##")&amp;"+"&amp;TEXT(INDEX(ERP資料!$G:$G, (MATCH(170, 輔助計算!$G$2:$G$801, 0)+1)),"0.##"))))&amp;"-1")), ""), "")</f>
        <v/>
      </c>
      <c r="K171" s="16" t="n"/>
      <c r="L171" s="14">
        <f>IFERROR(IF(AND(IFERROR(INDEX(ERP資料!$A:$A, (MATCH(170, 輔助計算!$G$2:$G$801, 0)+1)), "")&lt;&gt;"", IFERROR(INDEX(ERP資料!$A:$A, (MATCH(170, 輔助計算!$G$2:$G$801, 0)+1)), "")&lt;&gt;IFERROR(INDEX(ERP資料!$A:$A, MATCH(169, 輔助計算!$G$2:$G$801, 0)+1), "")), INDEX(ERP資料!$B:$B, (MATCH(170, 輔助計算!$G$2:$G$801, 0)+1)), ""), "")</f>
        <v/>
      </c>
      <c r="M171" s="17" t="n"/>
    </row>
    <row r="172">
      <c r="A172" s="10">
        <f>IFERROR(IF(AND(IFERROR(INDEX(ERP資料!$A:$A, (MATCH(171, 輔助計算!$G$2:$G$801, 0)+1)), "")&lt;&gt;"", IFERROR(INDEX(ERP資料!$A:$A, (MATCH(171, 輔助計算!$G$2:$G$801, 0)+1)), "")&lt;&gt;IFERROR(INDEX(ERP資料!$A:$A, MATCH(170, 輔助計算!$G$2:$G$801, 0)+1), "")), IFERROR(INDEX(ERP資料!$A:$A, (MATCH(171, 輔助計算!$G$2:$G$801, 0)+1)), ""), ""), "")</f>
        <v/>
      </c>
      <c r="B172" s="10">
        <f>IFERROR(IF(AND(IFERROR(INDEX(ERP資料!$A:$A, (MATCH(171, 輔助計算!$G$2:$G$801, 0)+1)), "")&lt;&gt;"", IFERROR(INDEX(ERP資料!$A:$A, (MATCH(171, 輔助計算!$G$2:$G$801, 0)+1)), "")&lt;&gt;IFERROR(INDEX(ERP資料!$A:$A, MATCH(170, 輔助計算!$G$2:$G$801, 0)+1), "")), INDEX(ERP資料!$S:$S, (MATCH(171, 輔助計算!$G$2:$G$801, 0)+1)), ""), "")</f>
        <v/>
      </c>
      <c r="C172" s="19">
        <f>IFERROR(IF(AND(IFERROR(INDEX(ERP資料!$A:$A, (MATCH(171, 輔助計算!$G$2:$G$801, 0)+1)), "")&lt;&gt;"", IFERROR(INDEX(ERP資料!$A:$A, (MATCH(171, 輔助計算!$G$2:$G$801, 0)+1)), "")&lt;&gt;IFERROR(INDEX(ERP資料!$A:$A, MATCH(170, 輔助計算!$G$2:$G$801, 0)+1), "")), IFERROR(VLOOKUP(LEFT(INDEX(ERP資料!$S:$S, (MATCH(171, 輔助計算!$G$2:$G$801, 0)+1)), 4), 紙管對照表!$A:$C, 3, FALSE), ""), ""), "")</f>
        <v/>
      </c>
      <c r="D172" s="16" t="n"/>
      <c r="E172" s="10">
        <f>IFERROR(IF(INDEX(ERP資料!$H:$H, (MATCH(171, 輔助計算!$G$2:$G$801, 0)+1))="","",INDEX(ERP資料!$H:$H, (MATCH(171, 輔助計算!$G$2:$G$801, 0)+1))), "")</f>
        <v/>
      </c>
      <c r="F172" s="10">
        <f>IFERROR(IF(INDEX(ERP資料!$E:$E, (MATCH(171, 輔助計算!$G$2:$G$801, 0)+1))="","",TRIM(INDEX(ERP資料!$E:$E, (MATCH(171, 輔助計算!$G$2:$G$801, 0)+1)))), "")</f>
        <v/>
      </c>
      <c r="G172" s="10">
        <f>IFERROR(IF(INDEX(ERP資料!$F:$F, (MATCH(171, 輔助計算!$G$2:$G$801, 0)+1))="","",INDEX(ERP資料!$F:$F, (MATCH(171, 輔助計算!$G$2:$G$801, 0)+1))), "")</f>
        <v/>
      </c>
      <c r="H172" s="10">
        <f>IFERROR(IF(INDEX(ERP資料!$G:$G, (MATCH(171, 輔助計算!$G$2:$G$801, 0)+1))="","",INDEX(ERP資料!$G:$G, (MATCH(171, 輔助計算!$G$2:$G$801, 0)+1))), "")</f>
        <v/>
      </c>
      <c r="I172" s="15">
        <f>IFERROR(INDEX(輔助計算!$D:$D, (MATCH(171, 輔助計算!$G$2:$G$801, 0)+1)), "")</f>
        <v/>
      </c>
      <c r="J172" s="15">
        <f>IFERROR(IF(AND(INDEX(輔助計算!$D:$D, (MATCH(171, 輔助計算!$G$2:$G$801, 0)+1))&lt;&gt;"", INDEX(ERP資料!$G:$G, (MATCH(171, 輔助計算!$G$2:$G$801, 0)+1))&lt;&gt;""), TRIM(IF(INT(INDEX(輔助計算!$D:$D, (MATCH(171, 輔助計算!$G$2:$G$801, 0)+1))/IF(INDEX(ERP資料!$G:$G, (MATCH(171, 輔助計算!$G$2:$G$801, 0)+1))&lt;100, IF(INDEX(ERP資料!$G:$G, (MATCH(171, 輔助計算!$G$2:$G$801, 0)+1))&lt;=31,3,IF(INDEX(ERP資料!$G:$G, (MATCH(171, 輔助計算!$G$2:$G$801, 0)+1))&lt;=46.5,2,1)), IF(INDEX(ERP資料!$G:$G, (MATCH(171, 輔助計算!$G$2:$G$801, 0)+1))&lt;=790,3,IF(INDEX(ERP資料!$G:$G, (MATCH(171, 輔助計算!$G$2:$G$801, 0)+1))&lt;=1181,2,1))))&gt;0, IF(IF(INDEX(ERP資料!$G:$G, (MATCH(171, 輔助計算!$G$2:$G$801, 0)+1))&lt;100, IF(INDEX(ERP資料!$G:$G, (MATCH(171, 輔助計算!$G$2:$G$801, 0)+1))&lt;=31,3,IF(INDEX(ERP資料!$G:$G, (MATCH(171, 輔助計算!$G$2:$G$801, 0)+1))&lt;=46.5,2,1)), IF(INDEX(ERP資料!$G:$G, (MATCH(171, 輔助計算!$G$2:$G$801, 0)+1))&lt;=790,3,IF(INDEX(ERP資料!$G:$G, (MATCH(171, 輔助計算!$G$2:$G$801, 0)+1))&lt;=1181,2,1)))=1,TEXT(INDEX(ERP資料!$G:$G, (MATCH(171, 輔助計算!$G$2:$G$801, 0)+1)),"0.##"),IF(IF(INDEX(ERP資料!$G:$G, (MATCH(171, 輔助計算!$G$2:$G$801, 0)+1))&lt;100, IF(INDEX(ERP資料!$G:$G, (MATCH(171, 輔助計算!$G$2:$G$801, 0)+1))&lt;=31,3,IF(INDEX(ERP資料!$G:$G, (MATCH(171, 輔助計算!$G$2:$G$801, 0)+1))&lt;=46.5,2,1)), IF(INDEX(ERP資料!$G:$G, (MATCH(171, 輔助計算!$G$2:$G$801, 0)+1))&lt;=790,3,IF(INDEX(ERP資料!$G:$G, (MATCH(171, 輔助計算!$G$2:$G$801, 0)+1))&lt;=1181,2,1)))=2,TEXT(INDEX(ERP資料!$G:$G, (MATCH(171, 輔助計算!$G$2:$G$801, 0)+1)),"0.##")&amp;"+"&amp;TEXT(INDEX(ERP資料!$G:$G, (MATCH(171, 輔助計算!$G$2:$G$801, 0)+1)),"0.##"),TEXT(INDEX(ERP資料!$G:$G, (MATCH(171, 輔助計算!$G$2:$G$801, 0)+1)),"0.##")&amp;"+"&amp;TEXT(INDEX(ERP資料!$G:$G, (MATCH(171, 輔助計算!$G$2:$G$801, 0)+1)),"0.##")&amp;"+"&amp;TEXT(INDEX(ERP資料!$G:$G, (MATCH(171, 輔助計算!$G$2:$G$801, 0)+1)),"0.##")))&amp;"-"&amp;INT(INDEX(輔助計算!$D:$D, (MATCH(171, 輔助計算!$G$2:$G$801, 0)+1))/IF(INDEX(ERP資料!$G:$G, (MATCH(171, 輔助計算!$G$2:$G$801, 0)+1))&lt;100, IF(INDEX(ERP資料!$G:$G, (MATCH(171, 輔助計算!$G$2:$G$801, 0)+1))&lt;=31,3,IF(INDEX(ERP資料!$G:$G, (MATCH(171, 輔助計算!$G$2:$G$801, 0)+1))&lt;=46.5,2,1)), IF(INDEX(ERP資料!$G:$G, (MATCH(171, 輔助計算!$G$2:$G$801, 0)+1))&lt;=790,3,IF(INDEX(ERP資料!$G:$G, (MATCH(171, 輔助計算!$G$2:$G$801, 0)+1))&lt;=1181,2,1)))), "")&amp;IF(AND(IF(INT(INDEX(輔助計算!$D:$D, (MATCH(171, 輔助計算!$G$2:$G$801, 0)+1))/IF(INDEX(ERP資料!$G:$G, (MATCH(171, 輔助計算!$G$2:$G$801, 0)+1))&lt;100, IF(INDEX(ERP資料!$G:$G, (MATCH(171, 輔助計算!$G$2:$G$801, 0)+1))&lt;=31,3,IF(INDEX(ERP資料!$G:$G, (MATCH(171, 輔助計算!$G$2:$G$801, 0)+1))&lt;=46.5,2,1)), IF(INDEX(ERP資料!$G:$G, (MATCH(171, 輔助計算!$G$2:$G$801, 0)+1))&lt;=790,3,IF(INDEX(ERP資料!$G:$G, (MATCH(171, 輔助計算!$G$2:$G$801, 0)+1))&lt;=1181,2,1))))&gt;0, IF(IF(INDEX(ERP資料!$G:$G, (MATCH(171, 輔助計算!$G$2:$G$801, 0)+1))&lt;100, IF(INDEX(ERP資料!$G:$G, (MATCH(171, 輔助計算!$G$2:$G$801, 0)+1))&lt;=31,3,IF(INDEX(ERP資料!$G:$G, (MATCH(171, 輔助計算!$G$2:$G$801, 0)+1))&lt;=46.5,2,1)), IF(INDEX(ERP資料!$G:$G, (MATCH(171, 輔助計算!$G$2:$G$801, 0)+1))&lt;=790,3,IF(INDEX(ERP資料!$G:$G, (MATCH(171, 輔助計算!$G$2:$G$801, 0)+1))&lt;=1181,2,1)))=1,TEXT(INDEX(ERP資料!$G:$G, (MATCH(171, 輔助計算!$G$2:$G$801, 0)+1)),"0.##"),IF(IF(INDEX(ERP資料!$G:$G, (MATCH(171, 輔助計算!$G$2:$G$801, 0)+1))&lt;100, IF(INDEX(ERP資料!$G:$G, (MATCH(171, 輔助計算!$G$2:$G$801, 0)+1))&lt;=31,3,IF(INDEX(ERP資料!$G:$G, (MATCH(171, 輔助計算!$G$2:$G$801, 0)+1))&lt;=46.5,2,1)), IF(INDEX(ERP資料!$G:$G, (MATCH(171, 輔助計算!$G$2:$G$801, 0)+1))&lt;=790,3,IF(INDEX(ERP資料!$G:$G, (MATCH(171, 輔助計算!$G$2:$G$801, 0)+1))&lt;=1181,2,1)))=2,TEXT(INDEX(ERP資料!$G:$G, (MATCH(171, 輔助計算!$G$2:$G$801, 0)+1)),"0.##")&amp;"+"&amp;TEXT(INDEX(ERP資料!$G:$G, (MATCH(171, 輔助計算!$G$2:$G$801, 0)+1)),"0.##"),TEXT(INDEX(ERP資料!$G:$G, (MATCH(171, 輔助計算!$G$2:$G$801, 0)+1)),"0.##")&amp;"+"&amp;TEXT(INDEX(ERP資料!$G:$G, (MATCH(171, 輔助計算!$G$2:$G$801, 0)+1)),"0.##")&amp;"+"&amp;TEXT(INDEX(ERP資料!$G:$G, (MATCH(171, 輔助計算!$G$2:$G$801, 0)+1)),"0.##")))&amp;"-"&amp;INT(INDEX(輔助計算!$D:$D, (MATCH(171, 輔助計算!$G$2:$G$801, 0)+1))/IF(INDEX(ERP資料!$G:$G, (MATCH(171, 輔助計算!$G$2:$G$801, 0)+1))&lt;100, IF(INDEX(ERP資料!$G:$G, (MATCH(171, 輔助計算!$G$2:$G$801, 0)+1))&lt;=31,3,IF(INDEX(ERP資料!$G:$G, (MATCH(171, 輔助計算!$G$2:$G$801, 0)+1))&lt;=46.5,2,1)), IF(INDEX(ERP資料!$G:$G, (MATCH(171, 輔助計算!$G$2:$G$801, 0)+1))&lt;=790,3,IF(INDEX(ERP資料!$G:$G, (MATCH(171, 輔助計算!$G$2:$G$801, 0)+1))&lt;=1181,2,1)))), "")&lt;&gt;"",IF(MOD(INDEX(輔助計算!$D:$D, (MATCH(171, 輔助計算!$G$2:$G$801, 0)+1)),IF(INDEX(ERP資料!$G:$G, (MATCH(171, 輔助計算!$G$2:$G$801, 0)+1))&lt;100, IF(INDEX(ERP資料!$G:$G, (MATCH(171, 輔助計算!$G$2:$G$801, 0)+1))&lt;=31,3,IF(INDEX(ERP資料!$G:$G, (MATCH(171, 輔助計算!$G$2:$G$801, 0)+1))&lt;=46.5,2,1)), IF(INDEX(ERP資料!$G:$G, (MATCH(171, 輔助計算!$G$2:$G$801, 0)+1))&lt;=790,3,IF(INDEX(ERP資料!$G:$G, (MATCH(171, 輔助計算!$G$2:$G$801, 0)+1))&lt;=1181,2,1))))=0,"",IF(MOD(INDEX(輔助計算!$D:$D, (MATCH(171, 輔助計算!$G$2:$G$801, 0)+1)),IF(INDEX(ERP資料!$G:$G, (MATCH(171, 輔助計算!$G$2:$G$801, 0)+1))&lt;100, IF(INDEX(ERP資料!$G:$G, (MATCH(171, 輔助計算!$G$2:$G$801, 0)+1))&lt;=31,3,IF(INDEX(ERP資料!$G:$G, (MATCH(171, 輔助計算!$G$2:$G$801, 0)+1))&lt;=46.5,2,1)), IF(INDEX(ERP資料!$G:$G, (MATCH(171, 輔助計算!$G$2:$G$801, 0)+1))&lt;=790,3,IF(INDEX(ERP資料!$G:$G, (MATCH(171, 輔助計算!$G$2:$G$801, 0)+1))&lt;=1181,2,1))))=0,"",IF(MOD(INDEX(輔助計算!$D:$D, (MATCH(171, 輔助計算!$G$2:$G$801, 0)+1)),IF(INDEX(ERP資料!$G:$G, (MATCH(171, 輔助計算!$G$2:$G$801, 0)+1))&lt;100, IF(INDEX(ERP資料!$G:$G, (MATCH(171, 輔助計算!$G$2:$G$801, 0)+1))&lt;=31,3,IF(INDEX(ERP資料!$G:$G, (MATCH(171, 輔助計算!$G$2:$G$801, 0)+1))&lt;=46.5,2,1)), IF(INDEX(ERP資料!$G:$G, (MATCH(171, 輔助計算!$G$2:$G$801, 0)+1))&lt;=790,3,IF(INDEX(ERP資料!$G:$G, (MATCH(171, 輔助計算!$G$2:$G$801, 0)+1))&lt;=1181,2,1))))=1,TEXT(INDEX(ERP資料!$G:$G, (MATCH(171, 輔助計算!$G$2:$G$801, 0)+1)),"0.##"),IF(MOD(INDEX(輔助計算!$D:$D, (MATCH(171, 輔助計算!$G$2:$G$801, 0)+1)),IF(INDEX(ERP資料!$G:$G, (MATCH(171, 輔助計算!$G$2:$G$801, 0)+1))&lt;100, IF(INDEX(ERP資料!$G:$G, (MATCH(171, 輔助計算!$G$2:$G$801, 0)+1))&lt;=31,3,IF(INDEX(ERP資料!$G:$G, (MATCH(171, 輔助計算!$G$2:$G$801, 0)+1))&lt;=46.5,2,1)), IF(INDEX(ERP資料!$G:$G, (MATCH(171, 輔助計算!$G$2:$G$801, 0)+1))&lt;=790,3,IF(INDEX(ERP資料!$G:$G, (MATCH(171, 輔助計算!$G$2:$G$801, 0)+1))&lt;=1181,2,1))))=2,TEXT(INDEX(ERP資料!$G:$G, (MATCH(171, 輔助計算!$G$2:$G$801, 0)+1)),"0.##")&amp;"+"&amp;TEXT(INDEX(ERP資料!$G:$G, (MATCH(171, 輔助計算!$G$2:$G$801, 0)+1)),"0.##"),TEXT(INDEX(ERP資料!$G:$G, (MATCH(171, 輔助計算!$G$2:$G$801, 0)+1)),"0.##")&amp;"+"&amp;TEXT(INDEX(ERP資料!$G:$G, (MATCH(171, 輔助計算!$G$2:$G$801, 0)+1)),"0.##")&amp;"+"&amp;TEXT(INDEX(ERP資料!$G:$G, (MATCH(171, 輔助計算!$G$2:$G$801, 0)+1)),"0.##"))))&amp;"-1")&lt;&gt;""),"  ","")&amp;IF(MOD(INDEX(輔助計算!$D:$D, (MATCH(171, 輔助計算!$G$2:$G$801, 0)+1)),IF(INDEX(ERP資料!$G:$G, (MATCH(171, 輔助計算!$G$2:$G$801, 0)+1))&lt;100, IF(INDEX(ERP資料!$G:$G, (MATCH(171, 輔助計算!$G$2:$G$801, 0)+1))&lt;=31,3,IF(INDEX(ERP資料!$G:$G, (MATCH(171, 輔助計算!$G$2:$G$801, 0)+1))&lt;=46.5,2,1)), IF(INDEX(ERP資料!$G:$G, (MATCH(171, 輔助計算!$G$2:$G$801, 0)+1))&lt;=790,3,IF(INDEX(ERP資料!$G:$G, (MATCH(171, 輔助計算!$G$2:$G$801, 0)+1))&lt;=1181,2,1))))=0,"",IF(MOD(INDEX(輔助計算!$D:$D, (MATCH(171, 輔助計算!$G$2:$G$801, 0)+1)),IF(INDEX(ERP資料!$G:$G, (MATCH(171, 輔助計算!$G$2:$G$801, 0)+1))&lt;100, IF(INDEX(ERP資料!$G:$G, (MATCH(171, 輔助計算!$G$2:$G$801, 0)+1))&lt;=31,3,IF(INDEX(ERP資料!$G:$G, (MATCH(171, 輔助計算!$G$2:$G$801, 0)+1))&lt;=46.5,2,1)), IF(INDEX(ERP資料!$G:$G, (MATCH(171, 輔助計算!$G$2:$G$801, 0)+1))&lt;=790,3,IF(INDEX(ERP資料!$G:$G, (MATCH(171, 輔助計算!$G$2:$G$801, 0)+1))&lt;=1181,2,1))))=0,"",IF(MOD(INDEX(輔助計算!$D:$D, (MATCH(171, 輔助計算!$G$2:$G$801, 0)+1)),IF(INDEX(ERP資料!$G:$G, (MATCH(171, 輔助計算!$G$2:$G$801, 0)+1))&lt;100, IF(INDEX(ERP資料!$G:$G, (MATCH(171, 輔助計算!$G$2:$G$801, 0)+1))&lt;=31,3,IF(INDEX(ERP資料!$G:$G, (MATCH(171, 輔助計算!$G$2:$G$801, 0)+1))&lt;=46.5,2,1)), IF(INDEX(ERP資料!$G:$G, (MATCH(171, 輔助計算!$G$2:$G$801, 0)+1))&lt;=790,3,IF(INDEX(ERP資料!$G:$G, (MATCH(171, 輔助計算!$G$2:$G$801, 0)+1))&lt;=1181,2,1))))=1,TEXT(INDEX(ERP資料!$G:$G, (MATCH(171, 輔助計算!$G$2:$G$801, 0)+1)),"0.##"),IF(MOD(INDEX(輔助計算!$D:$D, (MATCH(171, 輔助計算!$G$2:$G$801, 0)+1)),IF(INDEX(ERP資料!$G:$G, (MATCH(171, 輔助計算!$G$2:$G$801, 0)+1))&lt;100, IF(INDEX(ERP資料!$G:$G, (MATCH(171, 輔助計算!$G$2:$G$801, 0)+1))&lt;=31,3,IF(INDEX(ERP資料!$G:$G, (MATCH(171, 輔助計算!$G$2:$G$801, 0)+1))&lt;=46.5,2,1)), IF(INDEX(ERP資料!$G:$G, (MATCH(171, 輔助計算!$G$2:$G$801, 0)+1))&lt;=790,3,IF(INDEX(ERP資料!$G:$G, (MATCH(171, 輔助計算!$G$2:$G$801, 0)+1))&lt;=1181,2,1))))=2,TEXT(INDEX(ERP資料!$G:$G, (MATCH(171, 輔助計算!$G$2:$G$801, 0)+1)),"0.##")&amp;"+"&amp;TEXT(INDEX(ERP資料!$G:$G, (MATCH(171, 輔助計算!$G$2:$G$801, 0)+1)),"0.##"),TEXT(INDEX(ERP資料!$G:$G, (MATCH(171, 輔助計算!$G$2:$G$801, 0)+1)),"0.##")&amp;"+"&amp;TEXT(INDEX(ERP資料!$G:$G, (MATCH(171, 輔助計算!$G$2:$G$801, 0)+1)),"0.##")&amp;"+"&amp;TEXT(INDEX(ERP資料!$G:$G, (MATCH(171, 輔助計算!$G$2:$G$801, 0)+1)),"0.##"))))&amp;"-1")), ""), "")</f>
        <v/>
      </c>
      <c r="K172" s="16" t="n"/>
      <c r="L172" s="14">
        <f>IFERROR(IF(AND(IFERROR(INDEX(ERP資料!$A:$A, (MATCH(171, 輔助計算!$G$2:$G$801, 0)+1)), "")&lt;&gt;"", IFERROR(INDEX(ERP資料!$A:$A, (MATCH(171, 輔助計算!$G$2:$G$801, 0)+1)), "")&lt;&gt;IFERROR(INDEX(ERP資料!$A:$A, MATCH(170, 輔助計算!$G$2:$G$801, 0)+1), "")), INDEX(ERP資料!$B:$B, (MATCH(171, 輔助計算!$G$2:$G$801, 0)+1)), ""), "")</f>
        <v/>
      </c>
      <c r="M172" s="17" t="n"/>
    </row>
    <row r="173">
      <c r="A173" s="10">
        <f>IFERROR(IF(AND(IFERROR(INDEX(ERP資料!$A:$A, (MATCH(172, 輔助計算!$G$2:$G$801, 0)+1)), "")&lt;&gt;"", IFERROR(INDEX(ERP資料!$A:$A, (MATCH(172, 輔助計算!$G$2:$G$801, 0)+1)), "")&lt;&gt;IFERROR(INDEX(ERP資料!$A:$A, MATCH(171, 輔助計算!$G$2:$G$801, 0)+1), "")), IFERROR(INDEX(ERP資料!$A:$A, (MATCH(172, 輔助計算!$G$2:$G$801, 0)+1)), ""), ""), "")</f>
        <v/>
      </c>
      <c r="B173" s="10">
        <f>IFERROR(IF(AND(IFERROR(INDEX(ERP資料!$A:$A, (MATCH(172, 輔助計算!$G$2:$G$801, 0)+1)), "")&lt;&gt;"", IFERROR(INDEX(ERP資料!$A:$A, (MATCH(172, 輔助計算!$G$2:$G$801, 0)+1)), "")&lt;&gt;IFERROR(INDEX(ERP資料!$A:$A, MATCH(171, 輔助計算!$G$2:$G$801, 0)+1), "")), INDEX(ERP資料!$S:$S, (MATCH(172, 輔助計算!$G$2:$G$801, 0)+1)), ""), "")</f>
        <v/>
      </c>
      <c r="C173" s="19">
        <f>IFERROR(IF(AND(IFERROR(INDEX(ERP資料!$A:$A, (MATCH(172, 輔助計算!$G$2:$G$801, 0)+1)), "")&lt;&gt;"", IFERROR(INDEX(ERP資料!$A:$A, (MATCH(172, 輔助計算!$G$2:$G$801, 0)+1)), "")&lt;&gt;IFERROR(INDEX(ERP資料!$A:$A, MATCH(171, 輔助計算!$G$2:$G$801, 0)+1), "")), IFERROR(VLOOKUP(LEFT(INDEX(ERP資料!$S:$S, (MATCH(172, 輔助計算!$G$2:$G$801, 0)+1)), 4), 紙管對照表!$A:$C, 3, FALSE), ""), ""), "")</f>
        <v/>
      </c>
      <c r="D173" s="16" t="n"/>
      <c r="E173" s="10">
        <f>IFERROR(IF(INDEX(ERP資料!$H:$H, (MATCH(172, 輔助計算!$G$2:$G$801, 0)+1))="","",INDEX(ERP資料!$H:$H, (MATCH(172, 輔助計算!$G$2:$G$801, 0)+1))), "")</f>
        <v/>
      </c>
      <c r="F173" s="10">
        <f>IFERROR(IF(INDEX(ERP資料!$E:$E, (MATCH(172, 輔助計算!$G$2:$G$801, 0)+1))="","",TRIM(INDEX(ERP資料!$E:$E, (MATCH(172, 輔助計算!$G$2:$G$801, 0)+1)))), "")</f>
        <v/>
      </c>
      <c r="G173" s="10">
        <f>IFERROR(IF(INDEX(ERP資料!$F:$F, (MATCH(172, 輔助計算!$G$2:$G$801, 0)+1))="","",INDEX(ERP資料!$F:$F, (MATCH(172, 輔助計算!$G$2:$G$801, 0)+1))), "")</f>
        <v/>
      </c>
      <c r="H173" s="10">
        <f>IFERROR(IF(INDEX(ERP資料!$G:$G, (MATCH(172, 輔助計算!$G$2:$G$801, 0)+1))="","",INDEX(ERP資料!$G:$G, (MATCH(172, 輔助計算!$G$2:$G$801, 0)+1))), "")</f>
        <v/>
      </c>
      <c r="I173" s="15">
        <f>IFERROR(INDEX(輔助計算!$D:$D, (MATCH(172, 輔助計算!$G$2:$G$801, 0)+1)), "")</f>
        <v/>
      </c>
      <c r="J173" s="15">
        <f>IFERROR(IF(AND(INDEX(輔助計算!$D:$D, (MATCH(172, 輔助計算!$G$2:$G$801, 0)+1))&lt;&gt;"", INDEX(ERP資料!$G:$G, (MATCH(172, 輔助計算!$G$2:$G$801, 0)+1))&lt;&gt;""), TRIM(IF(INT(INDEX(輔助計算!$D:$D, (MATCH(172, 輔助計算!$G$2:$G$801, 0)+1))/IF(INDEX(ERP資料!$G:$G, (MATCH(172, 輔助計算!$G$2:$G$801, 0)+1))&lt;100, IF(INDEX(ERP資料!$G:$G, (MATCH(172, 輔助計算!$G$2:$G$801, 0)+1))&lt;=31,3,IF(INDEX(ERP資料!$G:$G, (MATCH(172, 輔助計算!$G$2:$G$801, 0)+1))&lt;=46.5,2,1)), IF(INDEX(ERP資料!$G:$G, (MATCH(172, 輔助計算!$G$2:$G$801, 0)+1))&lt;=790,3,IF(INDEX(ERP資料!$G:$G, (MATCH(172, 輔助計算!$G$2:$G$801, 0)+1))&lt;=1181,2,1))))&gt;0, IF(IF(INDEX(ERP資料!$G:$G, (MATCH(172, 輔助計算!$G$2:$G$801, 0)+1))&lt;100, IF(INDEX(ERP資料!$G:$G, (MATCH(172, 輔助計算!$G$2:$G$801, 0)+1))&lt;=31,3,IF(INDEX(ERP資料!$G:$G, (MATCH(172, 輔助計算!$G$2:$G$801, 0)+1))&lt;=46.5,2,1)), IF(INDEX(ERP資料!$G:$G, (MATCH(172, 輔助計算!$G$2:$G$801, 0)+1))&lt;=790,3,IF(INDEX(ERP資料!$G:$G, (MATCH(172, 輔助計算!$G$2:$G$801, 0)+1))&lt;=1181,2,1)))=1,TEXT(INDEX(ERP資料!$G:$G, (MATCH(172, 輔助計算!$G$2:$G$801, 0)+1)),"0.##"),IF(IF(INDEX(ERP資料!$G:$G, (MATCH(172, 輔助計算!$G$2:$G$801, 0)+1))&lt;100, IF(INDEX(ERP資料!$G:$G, (MATCH(172, 輔助計算!$G$2:$G$801, 0)+1))&lt;=31,3,IF(INDEX(ERP資料!$G:$G, (MATCH(172, 輔助計算!$G$2:$G$801, 0)+1))&lt;=46.5,2,1)), IF(INDEX(ERP資料!$G:$G, (MATCH(172, 輔助計算!$G$2:$G$801, 0)+1))&lt;=790,3,IF(INDEX(ERP資料!$G:$G, (MATCH(172, 輔助計算!$G$2:$G$801, 0)+1))&lt;=1181,2,1)))=2,TEXT(INDEX(ERP資料!$G:$G, (MATCH(172, 輔助計算!$G$2:$G$801, 0)+1)),"0.##")&amp;"+"&amp;TEXT(INDEX(ERP資料!$G:$G, (MATCH(172, 輔助計算!$G$2:$G$801, 0)+1)),"0.##"),TEXT(INDEX(ERP資料!$G:$G, (MATCH(172, 輔助計算!$G$2:$G$801, 0)+1)),"0.##")&amp;"+"&amp;TEXT(INDEX(ERP資料!$G:$G, (MATCH(172, 輔助計算!$G$2:$G$801, 0)+1)),"0.##")&amp;"+"&amp;TEXT(INDEX(ERP資料!$G:$G, (MATCH(172, 輔助計算!$G$2:$G$801, 0)+1)),"0.##")))&amp;"-"&amp;INT(INDEX(輔助計算!$D:$D, (MATCH(172, 輔助計算!$G$2:$G$801, 0)+1))/IF(INDEX(ERP資料!$G:$G, (MATCH(172, 輔助計算!$G$2:$G$801, 0)+1))&lt;100, IF(INDEX(ERP資料!$G:$G, (MATCH(172, 輔助計算!$G$2:$G$801, 0)+1))&lt;=31,3,IF(INDEX(ERP資料!$G:$G, (MATCH(172, 輔助計算!$G$2:$G$801, 0)+1))&lt;=46.5,2,1)), IF(INDEX(ERP資料!$G:$G, (MATCH(172, 輔助計算!$G$2:$G$801, 0)+1))&lt;=790,3,IF(INDEX(ERP資料!$G:$G, (MATCH(172, 輔助計算!$G$2:$G$801, 0)+1))&lt;=1181,2,1)))), "")&amp;IF(AND(IF(INT(INDEX(輔助計算!$D:$D, (MATCH(172, 輔助計算!$G$2:$G$801, 0)+1))/IF(INDEX(ERP資料!$G:$G, (MATCH(172, 輔助計算!$G$2:$G$801, 0)+1))&lt;100, IF(INDEX(ERP資料!$G:$G, (MATCH(172, 輔助計算!$G$2:$G$801, 0)+1))&lt;=31,3,IF(INDEX(ERP資料!$G:$G, (MATCH(172, 輔助計算!$G$2:$G$801, 0)+1))&lt;=46.5,2,1)), IF(INDEX(ERP資料!$G:$G, (MATCH(172, 輔助計算!$G$2:$G$801, 0)+1))&lt;=790,3,IF(INDEX(ERP資料!$G:$G, (MATCH(172, 輔助計算!$G$2:$G$801, 0)+1))&lt;=1181,2,1))))&gt;0, IF(IF(INDEX(ERP資料!$G:$G, (MATCH(172, 輔助計算!$G$2:$G$801, 0)+1))&lt;100, IF(INDEX(ERP資料!$G:$G, (MATCH(172, 輔助計算!$G$2:$G$801, 0)+1))&lt;=31,3,IF(INDEX(ERP資料!$G:$G, (MATCH(172, 輔助計算!$G$2:$G$801, 0)+1))&lt;=46.5,2,1)), IF(INDEX(ERP資料!$G:$G, (MATCH(172, 輔助計算!$G$2:$G$801, 0)+1))&lt;=790,3,IF(INDEX(ERP資料!$G:$G, (MATCH(172, 輔助計算!$G$2:$G$801, 0)+1))&lt;=1181,2,1)))=1,TEXT(INDEX(ERP資料!$G:$G, (MATCH(172, 輔助計算!$G$2:$G$801, 0)+1)),"0.##"),IF(IF(INDEX(ERP資料!$G:$G, (MATCH(172, 輔助計算!$G$2:$G$801, 0)+1))&lt;100, IF(INDEX(ERP資料!$G:$G, (MATCH(172, 輔助計算!$G$2:$G$801, 0)+1))&lt;=31,3,IF(INDEX(ERP資料!$G:$G, (MATCH(172, 輔助計算!$G$2:$G$801, 0)+1))&lt;=46.5,2,1)), IF(INDEX(ERP資料!$G:$G, (MATCH(172, 輔助計算!$G$2:$G$801, 0)+1))&lt;=790,3,IF(INDEX(ERP資料!$G:$G, (MATCH(172, 輔助計算!$G$2:$G$801, 0)+1))&lt;=1181,2,1)))=2,TEXT(INDEX(ERP資料!$G:$G, (MATCH(172, 輔助計算!$G$2:$G$801, 0)+1)),"0.##")&amp;"+"&amp;TEXT(INDEX(ERP資料!$G:$G, (MATCH(172, 輔助計算!$G$2:$G$801, 0)+1)),"0.##"),TEXT(INDEX(ERP資料!$G:$G, (MATCH(172, 輔助計算!$G$2:$G$801, 0)+1)),"0.##")&amp;"+"&amp;TEXT(INDEX(ERP資料!$G:$G, (MATCH(172, 輔助計算!$G$2:$G$801, 0)+1)),"0.##")&amp;"+"&amp;TEXT(INDEX(ERP資料!$G:$G, (MATCH(172, 輔助計算!$G$2:$G$801, 0)+1)),"0.##")))&amp;"-"&amp;INT(INDEX(輔助計算!$D:$D, (MATCH(172, 輔助計算!$G$2:$G$801, 0)+1))/IF(INDEX(ERP資料!$G:$G, (MATCH(172, 輔助計算!$G$2:$G$801, 0)+1))&lt;100, IF(INDEX(ERP資料!$G:$G, (MATCH(172, 輔助計算!$G$2:$G$801, 0)+1))&lt;=31,3,IF(INDEX(ERP資料!$G:$G, (MATCH(172, 輔助計算!$G$2:$G$801, 0)+1))&lt;=46.5,2,1)), IF(INDEX(ERP資料!$G:$G, (MATCH(172, 輔助計算!$G$2:$G$801, 0)+1))&lt;=790,3,IF(INDEX(ERP資料!$G:$G, (MATCH(172, 輔助計算!$G$2:$G$801, 0)+1))&lt;=1181,2,1)))), "")&lt;&gt;"",IF(MOD(INDEX(輔助計算!$D:$D, (MATCH(172, 輔助計算!$G$2:$G$801, 0)+1)),IF(INDEX(ERP資料!$G:$G, (MATCH(172, 輔助計算!$G$2:$G$801, 0)+1))&lt;100, IF(INDEX(ERP資料!$G:$G, (MATCH(172, 輔助計算!$G$2:$G$801, 0)+1))&lt;=31,3,IF(INDEX(ERP資料!$G:$G, (MATCH(172, 輔助計算!$G$2:$G$801, 0)+1))&lt;=46.5,2,1)), IF(INDEX(ERP資料!$G:$G, (MATCH(172, 輔助計算!$G$2:$G$801, 0)+1))&lt;=790,3,IF(INDEX(ERP資料!$G:$G, (MATCH(172, 輔助計算!$G$2:$G$801, 0)+1))&lt;=1181,2,1))))=0,"",IF(MOD(INDEX(輔助計算!$D:$D, (MATCH(172, 輔助計算!$G$2:$G$801, 0)+1)),IF(INDEX(ERP資料!$G:$G, (MATCH(172, 輔助計算!$G$2:$G$801, 0)+1))&lt;100, IF(INDEX(ERP資料!$G:$G, (MATCH(172, 輔助計算!$G$2:$G$801, 0)+1))&lt;=31,3,IF(INDEX(ERP資料!$G:$G, (MATCH(172, 輔助計算!$G$2:$G$801, 0)+1))&lt;=46.5,2,1)), IF(INDEX(ERP資料!$G:$G, (MATCH(172, 輔助計算!$G$2:$G$801, 0)+1))&lt;=790,3,IF(INDEX(ERP資料!$G:$G, (MATCH(172, 輔助計算!$G$2:$G$801, 0)+1))&lt;=1181,2,1))))=0,"",IF(MOD(INDEX(輔助計算!$D:$D, (MATCH(172, 輔助計算!$G$2:$G$801, 0)+1)),IF(INDEX(ERP資料!$G:$G, (MATCH(172, 輔助計算!$G$2:$G$801, 0)+1))&lt;100, IF(INDEX(ERP資料!$G:$G, (MATCH(172, 輔助計算!$G$2:$G$801, 0)+1))&lt;=31,3,IF(INDEX(ERP資料!$G:$G, (MATCH(172, 輔助計算!$G$2:$G$801, 0)+1))&lt;=46.5,2,1)), IF(INDEX(ERP資料!$G:$G, (MATCH(172, 輔助計算!$G$2:$G$801, 0)+1))&lt;=790,3,IF(INDEX(ERP資料!$G:$G, (MATCH(172, 輔助計算!$G$2:$G$801, 0)+1))&lt;=1181,2,1))))=1,TEXT(INDEX(ERP資料!$G:$G, (MATCH(172, 輔助計算!$G$2:$G$801, 0)+1)),"0.##"),IF(MOD(INDEX(輔助計算!$D:$D, (MATCH(172, 輔助計算!$G$2:$G$801, 0)+1)),IF(INDEX(ERP資料!$G:$G, (MATCH(172, 輔助計算!$G$2:$G$801, 0)+1))&lt;100, IF(INDEX(ERP資料!$G:$G, (MATCH(172, 輔助計算!$G$2:$G$801, 0)+1))&lt;=31,3,IF(INDEX(ERP資料!$G:$G, (MATCH(172, 輔助計算!$G$2:$G$801, 0)+1))&lt;=46.5,2,1)), IF(INDEX(ERP資料!$G:$G, (MATCH(172, 輔助計算!$G$2:$G$801, 0)+1))&lt;=790,3,IF(INDEX(ERP資料!$G:$G, (MATCH(172, 輔助計算!$G$2:$G$801, 0)+1))&lt;=1181,2,1))))=2,TEXT(INDEX(ERP資料!$G:$G, (MATCH(172, 輔助計算!$G$2:$G$801, 0)+1)),"0.##")&amp;"+"&amp;TEXT(INDEX(ERP資料!$G:$G, (MATCH(172, 輔助計算!$G$2:$G$801, 0)+1)),"0.##"),TEXT(INDEX(ERP資料!$G:$G, (MATCH(172, 輔助計算!$G$2:$G$801, 0)+1)),"0.##")&amp;"+"&amp;TEXT(INDEX(ERP資料!$G:$G, (MATCH(172, 輔助計算!$G$2:$G$801, 0)+1)),"0.##")&amp;"+"&amp;TEXT(INDEX(ERP資料!$G:$G, (MATCH(172, 輔助計算!$G$2:$G$801, 0)+1)),"0.##"))))&amp;"-1")&lt;&gt;""),"  ","")&amp;IF(MOD(INDEX(輔助計算!$D:$D, (MATCH(172, 輔助計算!$G$2:$G$801, 0)+1)),IF(INDEX(ERP資料!$G:$G, (MATCH(172, 輔助計算!$G$2:$G$801, 0)+1))&lt;100, IF(INDEX(ERP資料!$G:$G, (MATCH(172, 輔助計算!$G$2:$G$801, 0)+1))&lt;=31,3,IF(INDEX(ERP資料!$G:$G, (MATCH(172, 輔助計算!$G$2:$G$801, 0)+1))&lt;=46.5,2,1)), IF(INDEX(ERP資料!$G:$G, (MATCH(172, 輔助計算!$G$2:$G$801, 0)+1))&lt;=790,3,IF(INDEX(ERP資料!$G:$G, (MATCH(172, 輔助計算!$G$2:$G$801, 0)+1))&lt;=1181,2,1))))=0,"",IF(MOD(INDEX(輔助計算!$D:$D, (MATCH(172, 輔助計算!$G$2:$G$801, 0)+1)),IF(INDEX(ERP資料!$G:$G, (MATCH(172, 輔助計算!$G$2:$G$801, 0)+1))&lt;100, IF(INDEX(ERP資料!$G:$G, (MATCH(172, 輔助計算!$G$2:$G$801, 0)+1))&lt;=31,3,IF(INDEX(ERP資料!$G:$G, (MATCH(172, 輔助計算!$G$2:$G$801, 0)+1))&lt;=46.5,2,1)), IF(INDEX(ERP資料!$G:$G, (MATCH(172, 輔助計算!$G$2:$G$801, 0)+1))&lt;=790,3,IF(INDEX(ERP資料!$G:$G, (MATCH(172, 輔助計算!$G$2:$G$801, 0)+1))&lt;=1181,2,1))))=0,"",IF(MOD(INDEX(輔助計算!$D:$D, (MATCH(172, 輔助計算!$G$2:$G$801, 0)+1)),IF(INDEX(ERP資料!$G:$G, (MATCH(172, 輔助計算!$G$2:$G$801, 0)+1))&lt;100, IF(INDEX(ERP資料!$G:$G, (MATCH(172, 輔助計算!$G$2:$G$801, 0)+1))&lt;=31,3,IF(INDEX(ERP資料!$G:$G, (MATCH(172, 輔助計算!$G$2:$G$801, 0)+1))&lt;=46.5,2,1)), IF(INDEX(ERP資料!$G:$G, (MATCH(172, 輔助計算!$G$2:$G$801, 0)+1))&lt;=790,3,IF(INDEX(ERP資料!$G:$G, (MATCH(172, 輔助計算!$G$2:$G$801, 0)+1))&lt;=1181,2,1))))=1,TEXT(INDEX(ERP資料!$G:$G, (MATCH(172, 輔助計算!$G$2:$G$801, 0)+1)),"0.##"),IF(MOD(INDEX(輔助計算!$D:$D, (MATCH(172, 輔助計算!$G$2:$G$801, 0)+1)),IF(INDEX(ERP資料!$G:$G, (MATCH(172, 輔助計算!$G$2:$G$801, 0)+1))&lt;100, IF(INDEX(ERP資料!$G:$G, (MATCH(172, 輔助計算!$G$2:$G$801, 0)+1))&lt;=31,3,IF(INDEX(ERP資料!$G:$G, (MATCH(172, 輔助計算!$G$2:$G$801, 0)+1))&lt;=46.5,2,1)), IF(INDEX(ERP資料!$G:$G, (MATCH(172, 輔助計算!$G$2:$G$801, 0)+1))&lt;=790,3,IF(INDEX(ERP資料!$G:$G, (MATCH(172, 輔助計算!$G$2:$G$801, 0)+1))&lt;=1181,2,1))))=2,TEXT(INDEX(ERP資料!$G:$G, (MATCH(172, 輔助計算!$G$2:$G$801, 0)+1)),"0.##")&amp;"+"&amp;TEXT(INDEX(ERP資料!$G:$G, (MATCH(172, 輔助計算!$G$2:$G$801, 0)+1)),"0.##"),TEXT(INDEX(ERP資料!$G:$G, (MATCH(172, 輔助計算!$G$2:$G$801, 0)+1)),"0.##")&amp;"+"&amp;TEXT(INDEX(ERP資料!$G:$G, (MATCH(172, 輔助計算!$G$2:$G$801, 0)+1)),"0.##")&amp;"+"&amp;TEXT(INDEX(ERP資料!$G:$G, (MATCH(172, 輔助計算!$G$2:$G$801, 0)+1)),"0.##"))))&amp;"-1")), ""), "")</f>
        <v/>
      </c>
      <c r="K173" s="16" t="n"/>
      <c r="L173" s="14">
        <f>IFERROR(IF(AND(IFERROR(INDEX(ERP資料!$A:$A, (MATCH(172, 輔助計算!$G$2:$G$801, 0)+1)), "")&lt;&gt;"", IFERROR(INDEX(ERP資料!$A:$A, (MATCH(172, 輔助計算!$G$2:$G$801, 0)+1)), "")&lt;&gt;IFERROR(INDEX(ERP資料!$A:$A, MATCH(171, 輔助計算!$G$2:$G$801, 0)+1), "")), INDEX(ERP資料!$B:$B, (MATCH(172, 輔助計算!$G$2:$G$801, 0)+1)), ""), "")</f>
        <v/>
      </c>
      <c r="M173" s="17" t="n"/>
    </row>
    <row r="174">
      <c r="A174" s="10">
        <f>IFERROR(IF(AND(IFERROR(INDEX(ERP資料!$A:$A, (MATCH(173, 輔助計算!$G$2:$G$801, 0)+1)), "")&lt;&gt;"", IFERROR(INDEX(ERP資料!$A:$A, (MATCH(173, 輔助計算!$G$2:$G$801, 0)+1)), "")&lt;&gt;IFERROR(INDEX(ERP資料!$A:$A, MATCH(172, 輔助計算!$G$2:$G$801, 0)+1), "")), IFERROR(INDEX(ERP資料!$A:$A, (MATCH(173, 輔助計算!$G$2:$G$801, 0)+1)), ""), ""), "")</f>
        <v/>
      </c>
      <c r="B174" s="10">
        <f>IFERROR(IF(AND(IFERROR(INDEX(ERP資料!$A:$A, (MATCH(173, 輔助計算!$G$2:$G$801, 0)+1)), "")&lt;&gt;"", IFERROR(INDEX(ERP資料!$A:$A, (MATCH(173, 輔助計算!$G$2:$G$801, 0)+1)), "")&lt;&gt;IFERROR(INDEX(ERP資料!$A:$A, MATCH(172, 輔助計算!$G$2:$G$801, 0)+1), "")), INDEX(ERP資料!$S:$S, (MATCH(173, 輔助計算!$G$2:$G$801, 0)+1)), ""), "")</f>
        <v/>
      </c>
      <c r="C174" s="19">
        <f>IFERROR(IF(AND(IFERROR(INDEX(ERP資料!$A:$A, (MATCH(173, 輔助計算!$G$2:$G$801, 0)+1)), "")&lt;&gt;"", IFERROR(INDEX(ERP資料!$A:$A, (MATCH(173, 輔助計算!$G$2:$G$801, 0)+1)), "")&lt;&gt;IFERROR(INDEX(ERP資料!$A:$A, MATCH(172, 輔助計算!$G$2:$G$801, 0)+1), "")), IFERROR(VLOOKUP(LEFT(INDEX(ERP資料!$S:$S, (MATCH(173, 輔助計算!$G$2:$G$801, 0)+1)), 4), 紙管對照表!$A:$C, 3, FALSE), ""), ""), "")</f>
        <v/>
      </c>
      <c r="D174" s="16" t="n"/>
      <c r="E174" s="10">
        <f>IFERROR(IF(INDEX(ERP資料!$H:$H, (MATCH(173, 輔助計算!$G$2:$G$801, 0)+1))="","",INDEX(ERP資料!$H:$H, (MATCH(173, 輔助計算!$G$2:$G$801, 0)+1))), "")</f>
        <v/>
      </c>
      <c r="F174" s="10">
        <f>IFERROR(IF(INDEX(ERP資料!$E:$E, (MATCH(173, 輔助計算!$G$2:$G$801, 0)+1))="","",TRIM(INDEX(ERP資料!$E:$E, (MATCH(173, 輔助計算!$G$2:$G$801, 0)+1)))), "")</f>
        <v/>
      </c>
      <c r="G174" s="10">
        <f>IFERROR(IF(INDEX(ERP資料!$F:$F, (MATCH(173, 輔助計算!$G$2:$G$801, 0)+1))="","",INDEX(ERP資料!$F:$F, (MATCH(173, 輔助計算!$G$2:$G$801, 0)+1))), "")</f>
        <v/>
      </c>
      <c r="H174" s="10">
        <f>IFERROR(IF(INDEX(ERP資料!$G:$G, (MATCH(173, 輔助計算!$G$2:$G$801, 0)+1))="","",INDEX(ERP資料!$G:$G, (MATCH(173, 輔助計算!$G$2:$G$801, 0)+1))), "")</f>
        <v/>
      </c>
      <c r="I174" s="15">
        <f>IFERROR(INDEX(輔助計算!$D:$D, (MATCH(173, 輔助計算!$G$2:$G$801, 0)+1)), "")</f>
        <v/>
      </c>
      <c r="J174" s="15">
        <f>IFERROR(IF(AND(INDEX(輔助計算!$D:$D, (MATCH(173, 輔助計算!$G$2:$G$801, 0)+1))&lt;&gt;"", INDEX(ERP資料!$G:$G, (MATCH(173, 輔助計算!$G$2:$G$801, 0)+1))&lt;&gt;""), TRIM(IF(INT(INDEX(輔助計算!$D:$D, (MATCH(173, 輔助計算!$G$2:$G$801, 0)+1))/IF(INDEX(ERP資料!$G:$G, (MATCH(173, 輔助計算!$G$2:$G$801, 0)+1))&lt;100, IF(INDEX(ERP資料!$G:$G, (MATCH(173, 輔助計算!$G$2:$G$801, 0)+1))&lt;=31,3,IF(INDEX(ERP資料!$G:$G, (MATCH(173, 輔助計算!$G$2:$G$801, 0)+1))&lt;=46.5,2,1)), IF(INDEX(ERP資料!$G:$G, (MATCH(173, 輔助計算!$G$2:$G$801, 0)+1))&lt;=790,3,IF(INDEX(ERP資料!$G:$G, (MATCH(173, 輔助計算!$G$2:$G$801, 0)+1))&lt;=1181,2,1))))&gt;0, IF(IF(INDEX(ERP資料!$G:$G, (MATCH(173, 輔助計算!$G$2:$G$801, 0)+1))&lt;100, IF(INDEX(ERP資料!$G:$G, (MATCH(173, 輔助計算!$G$2:$G$801, 0)+1))&lt;=31,3,IF(INDEX(ERP資料!$G:$G, (MATCH(173, 輔助計算!$G$2:$G$801, 0)+1))&lt;=46.5,2,1)), IF(INDEX(ERP資料!$G:$G, (MATCH(173, 輔助計算!$G$2:$G$801, 0)+1))&lt;=790,3,IF(INDEX(ERP資料!$G:$G, (MATCH(173, 輔助計算!$G$2:$G$801, 0)+1))&lt;=1181,2,1)))=1,TEXT(INDEX(ERP資料!$G:$G, (MATCH(173, 輔助計算!$G$2:$G$801, 0)+1)),"0.##"),IF(IF(INDEX(ERP資料!$G:$G, (MATCH(173, 輔助計算!$G$2:$G$801, 0)+1))&lt;100, IF(INDEX(ERP資料!$G:$G, (MATCH(173, 輔助計算!$G$2:$G$801, 0)+1))&lt;=31,3,IF(INDEX(ERP資料!$G:$G, (MATCH(173, 輔助計算!$G$2:$G$801, 0)+1))&lt;=46.5,2,1)), IF(INDEX(ERP資料!$G:$G, (MATCH(173, 輔助計算!$G$2:$G$801, 0)+1))&lt;=790,3,IF(INDEX(ERP資料!$G:$G, (MATCH(173, 輔助計算!$G$2:$G$801, 0)+1))&lt;=1181,2,1)))=2,TEXT(INDEX(ERP資料!$G:$G, (MATCH(173, 輔助計算!$G$2:$G$801, 0)+1)),"0.##")&amp;"+"&amp;TEXT(INDEX(ERP資料!$G:$G, (MATCH(173, 輔助計算!$G$2:$G$801, 0)+1)),"0.##"),TEXT(INDEX(ERP資料!$G:$G, (MATCH(173, 輔助計算!$G$2:$G$801, 0)+1)),"0.##")&amp;"+"&amp;TEXT(INDEX(ERP資料!$G:$G, (MATCH(173, 輔助計算!$G$2:$G$801, 0)+1)),"0.##")&amp;"+"&amp;TEXT(INDEX(ERP資料!$G:$G, (MATCH(173, 輔助計算!$G$2:$G$801, 0)+1)),"0.##")))&amp;"-"&amp;INT(INDEX(輔助計算!$D:$D, (MATCH(173, 輔助計算!$G$2:$G$801, 0)+1))/IF(INDEX(ERP資料!$G:$G, (MATCH(173, 輔助計算!$G$2:$G$801, 0)+1))&lt;100, IF(INDEX(ERP資料!$G:$G, (MATCH(173, 輔助計算!$G$2:$G$801, 0)+1))&lt;=31,3,IF(INDEX(ERP資料!$G:$G, (MATCH(173, 輔助計算!$G$2:$G$801, 0)+1))&lt;=46.5,2,1)), IF(INDEX(ERP資料!$G:$G, (MATCH(173, 輔助計算!$G$2:$G$801, 0)+1))&lt;=790,3,IF(INDEX(ERP資料!$G:$G, (MATCH(173, 輔助計算!$G$2:$G$801, 0)+1))&lt;=1181,2,1)))), "")&amp;IF(AND(IF(INT(INDEX(輔助計算!$D:$D, (MATCH(173, 輔助計算!$G$2:$G$801, 0)+1))/IF(INDEX(ERP資料!$G:$G, (MATCH(173, 輔助計算!$G$2:$G$801, 0)+1))&lt;100, IF(INDEX(ERP資料!$G:$G, (MATCH(173, 輔助計算!$G$2:$G$801, 0)+1))&lt;=31,3,IF(INDEX(ERP資料!$G:$G, (MATCH(173, 輔助計算!$G$2:$G$801, 0)+1))&lt;=46.5,2,1)), IF(INDEX(ERP資料!$G:$G, (MATCH(173, 輔助計算!$G$2:$G$801, 0)+1))&lt;=790,3,IF(INDEX(ERP資料!$G:$G, (MATCH(173, 輔助計算!$G$2:$G$801, 0)+1))&lt;=1181,2,1))))&gt;0, IF(IF(INDEX(ERP資料!$G:$G, (MATCH(173, 輔助計算!$G$2:$G$801, 0)+1))&lt;100, IF(INDEX(ERP資料!$G:$G, (MATCH(173, 輔助計算!$G$2:$G$801, 0)+1))&lt;=31,3,IF(INDEX(ERP資料!$G:$G, (MATCH(173, 輔助計算!$G$2:$G$801, 0)+1))&lt;=46.5,2,1)), IF(INDEX(ERP資料!$G:$G, (MATCH(173, 輔助計算!$G$2:$G$801, 0)+1))&lt;=790,3,IF(INDEX(ERP資料!$G:$G, (MATCH(173, 輔助計算!$G$2:$G$801, 0)+1))&lt;=1181,2,1)))=1,TEXT(INDEX(ERP資料!$G:$G, (MATCH(173, 輔助計算!$G$2:$G$801, 0)+1)),"0.##"),IF(IF(INDEX(ERP資料!$G:$G, (MATCH(173, 輔助計算!$G$2:$G$801, 0)+1))&lt;100, IF(INDEX(ERP資料!$G:$G, (MATCH(173, 輔助計算!$G$2:$G$801, 0)+1))&lt;=31,3,IF(INDEX(ERP資料!$G:$G, (MATCH(173, 輔助計算!$G$2:$G$801, 0)+1))&lt;=46.5,2,1)), IF(INDEX(ERP資料!$G:$G, (MATCH(173, 輔助計算!$G$2:$G$801, 0)+1))&lt;=790,3,IF(INDEX(ERP資料!$G:$G, (MATCH(173, 輔助計算!$G$2:$G$801, 0)+1))&lt;=1181,2,1)))=2,TEXT(INDEX(ERP資料!$G:$G, (MATCH(173, 輔助計算!$G$2:$G$801, 0)+1)),"0.##")&amp;"+"&amp;TEXT(INDEX(ERP資料!$G:$G, (MATCH(173, 輔助計算!$G$2:$G$801, 0)+1)),"0.##"),TEXT(INDEX(ERP資料!$G:$G, (MATCH(173, 輔助計算!$G$2:$G$801, 0)+1)),"0.##")&amp;"+"&amp;TEXT(INDEX(ERP資料!$G:$G, (MATCH(173, 輔助計算!$G$2:$G$801, 0)+1)),"0.##")&amp;"+"&amp;TEXT(INDEX(ERP資料!$G:$G, (MATCH(173, 輔助計算!$G$2:$G$801, 0)+1)),"0.##")))&amp;"-"&amp;INT(INDEX(輔助計算!$D:$D, (MATCH(173, 輔助計算!$G$2:$G$801, 0)+1))/IF(INDEX(ERP資料!$G:$G, (MATCH(173, 輔助計算!$G$2:$G$801, 0)+1))&lt;100, IF(INDEX(ERP資料!$G:$G, (MATCH(173, 輔助計算!$G$2:$G$801, 0)+1))&lt;=31,3,IF(INDEX(ERP資料!$G:$G, (MATCH(173, 輔助計算!$G$2:$G$801, 0)+1))&lt;=46.5,2,1)), IF(INDEX(ERP資料!$G:$G, (MATCH(173, 輔助計算!$G$2:$G$801, 0)+1))&lt;=790,3,IF(INDEX(ERP資料!$G:$G, (MATCH(173, 輔助計算!$G$2:$G$801, 0)+1))&lt;=1181,2,1)))), "")&lt;&gt;"",IF(MOD(INDEX(輔助計算!$D:$D, (MATCH(173, 輔助計算!$G$2:$G$801, 0)+1)),IF(INDEX(ERP資料!$G:$G, (MATCH(173, 輔助計算!$G$2:$G$801, 0)+1))&lt;100, IF(INDEX(ERP資料!$G:$G, (MATCH(173, 輔助計算!$G$2:$G$801, 0)+1))&lt;=31,3,IF(INDEX(ERP資料!$G:$G, (MATCH(173, 輔助計算!$G$2:$G$801, 0)+1))&lt;=46.5,2,1)), IF(INDEX(ERP資料!$G:$G, (MATCH(173, 輔助計算!$G$2:$G$801, 0)+1))&lt;=790,3,IF(INDEX(ERP資料!$G:$G, (MATCH(173, 輔助計算!$G$2:$G$801, 0)+1))&lt;=1181,2,1))))=0,"",IF(MOD(INDEX(輔助計算!$D:$D, (MATCH(173, 輔助計算!$G$2:$G$801, 0)+1)),IF(INDEX(ERP資料!$G:$G, (MATCH(173, 輔助計算!$G$2:$G$801, 0)+1))&lt;100, IF(INDEX(ERP資料!$G:$G, (MATCH(173, 輔助計算!$G$2:$G$801, 0)+1))&lt;=31,3,IF(INDEX(ERP資料!$G:$G, (MATCH(173, 輔助計算!$G$2:$G$801, 0)+1))&lt;=46.5,2,1)), IF(INDEX(ERP資料!$G:$G, (MATCH(173, 輔助計算!$G$2:$G$801, 0)+1))&lt;=790,3,IF(INDEX(ERP資料!$G:$G, (MATCH(173, 輔助計算!$G$2:$G$801, 0)+1))&lt;=1181,2,1))))=0,"",IF(MOD(INDEX(輔助計算!$D:$D, (MATCH(173, 輔助計算!$G$2:$G$801, 0)+1)),IF(INDEX(ERP資料!$G:$G, (MATCH(173, 輔助計算!$G$2:$G$801, 0)+1))&lt;100, IF(INDEX(ERP資料!$G:$G, (MATCH(173, 輔助計算!$G$2:$G$801, 0)+1))&lt;=31,3,IF(INDEX(ERP資料!$G:$G, (MATCH(173, 輔助計算!$G$2:$G$801, 0)+1))&lt;=46.5,2,1)), IF(INDEX(ERP資料!$G:$G, (MATCH(173, 輔助計算!$G$2:$G$801, 0)+1))&lt;=790,3,IF(INDEX(ERP資料!$G:$G, (MATCH(173, 輔助計算!$G$2:$G$801, 0)+1))&lt;=1181,2,1))))=1,TEXT(INDEX(ERP資料!$G:$G, (MATCH(173, 輔助計算!$G$2:$G$801, 0)+1)),"0.##"),IF(MOD(INDEX(輔助計算!$D:$D, (MATCH(173, 輔助計算!$G$2:$G$801, 0)+1)),IF(INDEX(ERP資料!$G:$G, (MATCH(173, 輔助計算!$G$2:$G$801, 0)+1))&lt;100, IF(INDEX(ERP資料!$G:$G, (MATCH(173, 輔助計算!$G$2:$G$801, 0)+1))&lt;=31,3,IF(INDEX(ERP資料!$G:$G, (MATCH(173, 輔助計算!$G$2:$G$801, 0)+1))&lt;=46.5,2,1)), IF(INDEX(ERP資料!$G:$G, (MATCH(173, 輔助計算!$G$2:$G$801, 0)+1))&lt;=790,3,IF(INDEX(ERP資料!$G:$G, (MATCH(173, 輔助計算!$G$2:$G$801, 0)+1))&lt;=1181,2,1))))=2,TEXT(INDEX(ERP資料!$G:$G, (MATCH(173, 輔助計算!$G$2:$G$801, 0)+1)),"0.##")&amp;"+"&amp;TEXT(INDEX(ERP資料!$G:$G, (MATCH(173, 輔助計算!$G$2:$G$801, 0)+1)),"0.##"),TEXT(INDEX(ERP資料!$G:$G, (MATCH(173, 輔助計算!$G$2:$G$801, 0)+1)),"0.##")&amp;"+"&amp;TEXT(INDEX(ERP資料!$G:$G, (MATCH(173, 輔助計算!$G$2:$G$801, 0)+1)),"0.##")&amp;"+"&amp;TEXT(INDEX(ERP資料!$G:$G, (MATCH(173, 輔助計算!$G$2:$G$801, 0)+1)),"0.##"))))&amp;"-1")&lt;&gt;""),"  ","")&amp;IF(MOD(INDEX(輔助計算!$D:$D, (MATCH(173, 輔助計算!$G$2:$G$801, 0)+1)),IF(INDEX(ERP資料!$G:$G, (MATCH(173, 輔助計算!$G$2:$G$801, 0)+1))&lt;100, IF(INDEX(ERP資料!$G:$G, (MATCH(173, 輔助計算!$G$2:$G$801, 0)+1))&lt;=31,3,IF(INDEX(ERP資料!$G:$G, (MATCH(173, 輔助計算!$G$2:$G$801, 0)+1))&lt;=46.5,2,1)), IF(INDEX(ERP資料!$G:$G, (MATCH(173, 輔助計算!$G$2:$G$801, 0)+1))&lt;=790,3,IF(INDEX(ERP資料!$G:$G, (MATCH(173, 輔助計算!$G$2:$G$801, 0)+1))&lt;=1181,2,1))))=0,"",IF(MOD(INDEX(輔助計算!$D:$D, (MATCH(173, 輔助計算!$G$2:$G$801, 0)+1)),IF(INDEX(ERP資料!$G:$G, (MATCH(173, 輔助計算!$G$2:$G$801, 0)+1))&lt;100, IF(INDEX(ERP資料!$G:$G, (MATCH(173, 輔助計算!$G$2:$G$801, 0)+1))&lt;=31,3,IF(INDEX(ERP資料!$G:$G, (MATCH(173, 輔助計算!$G$2:$G$801, 0)+1))&lt;=46.5,2,1)), IF(INDEX(ERP資料!$G:$G, (MATCH(173, 輔助計算!$G$2:$G$801, 0)+1))&lt;=790,3,IF(INDEX(ERP資料!$G:$G, (MATCH(173, 輔助計算!$G$2:$G$801, 0)+1))&lt;=1181,2,1))))=0,"",IF(MOD(INDEX(輔助計算!$D:$D, (MATCH(173, 輔助計算!$G$2:$G$801, 0)+1)),IF(INDEX(ERP資料!$G:$G, (MATCH(173, 輔助計算!$G$2:$G$801, 0)+1))&lt;100, IF(INDEX(ERP資料!$G:$G, (MATCH(173, 輔助計算!$G$2:$G$801, 0)+1))&lt;=31,3,IF(INDEX(ERP資料!$G:$G, (MATCH(173, 輔助計算!$G$2:$G$801, 0)+1))&lt;=46.5,2,1)), IF(INDEX(ERP資料!$G:$G, (MATCH(173, 輔助計算!$G$2:$G$801, 0)+1))&lt;=790,3,IF(INDEX(ERP資料!$G:$G, (MATCH(173, 輔助計算!$G$2:$G$801, 0)+1))&lt;=1181,2,1))))=1,TEXT(INDEX(ERP資料!$G:$G, (MATCH(173, 輔助計算!$G$2:$G$801, 0)+1)),"0.##"),IF(MOD(INDEX(輔助計算!$D:$D, (MATCH(173, 輔助計算!$G$2:$G$801, 0)+1)),IF(INDEX(ERP資料!$G:$G, (MATCH(173, 輔助計算!$G$2:$G$801, 0)+1))&lt;100, IF(INDEX(ERP資料!$G:$G, (MATCH(173, 輔助計算!$G$2:$G$801, 0)+1))&lt;=31,3,IF(INDEX(ERP資料!$G:$G, (MATCH(173, 輔助計算!$G$2:$G$801, 0)+1))&lt;=46.5,2,1)), IF(INDEX(ERP資料!$G:$G, (MATCH(173, 輔助計算!$G$2:$G$801, 0)+1))&lt;=790,3,IF(INDEX(ERP資料!$G:$G, (MATCH(173, 輔助計算!$G$2:$G$801, 0)+1))&lt;=1181,2,1))))=2,TEXT(INDEX(ERP資料!$G:$G, (MATCH(173, 輔助計算!$G$2:$G$801, 0)+1)),"0.##")&amp;"+"&amp;TEXT(INDEX(ERP資料!$G:$G, (MATCH(173, 輔助計算!$G$2:$G$801, 0)+1)),"0.##"),TEXT(INDEX(ERP資料!$G:$G, (MATCH(173, 輔助計算!$G$2:$G$801, 0)+1)),"0.##")&amp;"+"&amp;TEXT(INDEX(ERP資料!$G:$G, (MATCH(173, 輔助計算!$G$2:$G$801, 0)+1)),"0.##")&amp;"+"&amp;TEXT(INDEX(ERP資料!$G:$G, (MATCH(173, 輔助計算!$G$2:$G$801, 0)+1)),"0.##"))))&amp;"-1")), ""), "")</f>
        <v/>
      </c>
      <c r="K174" s="16" t="n"/>
      <c r="L174" s="14">
        <f>IFERROR(IF(AND(IFERROR(INDEX(ERP資料!$A:$A, (MATCH(173, 輔助計算!$G$2:$G$801, 0)+1)), "")&lt;&gt;"", IFERROR(INDEX(ERP資料!$A:$A, (MATCH(173, 輔助計算!$G$2:$G$801, 0)+1)), "")&lt;&gt;IFERROR(INDEX(ERP資料!$A:$A, MATCH(172, 輔助計算!$G$2:$G$801, 0)+1), "")), INDEX(ERP資料!$B:$B, (MATCH(173, 輔助計算!$G$2:$G$801, 0)+1)), ""), "")</f>
        <v/>
      </c>
      <c r="M174" s="17" t="n"/>
    </row>
    <row r="175">
      <c r="A175" s="10">
        <f>IFERROR(IF(AND(IFERROR(INDEX(ERP資料!$A:$A, (MATCH(174, 輔助計算!$G$2:$G$801, 0)+1)), "")&lt;&gt;"", IFERROR(INDEX(ERP資料!$A:$A, (MATCH(174, 輔助計算!$G$2:$G$801, 0)+1)), "")&lt;&gt;IFERROR(INDEX(ERP資料!$A:$A, MATCH(173, 輔助計算!$G$2:$G$801, 0)+1), "")), IFERROR(INDEX(ERP資料!$A:$A, (MATCH(174, 輔助計算!$G$2:$G$801, 0)+1)), ""), ""), "")</f>
        <v/>
      </c>
      <c r="B175" s="10">
        <f>IFERROR(IF(AND(IFERROR(INDEX(ERP資料!$A:$A, (MATCH(174, 輔助計算!$G$2:$G$801, 0)+1)), "")&lt;&gt;"", IFERROR(INDEX(ERP資料!$A:$A, (MATCH(174, 輔助計算!$G$2:$G$801, 0)+1)), "")&lt;&gt;IFERROR(INDEX(ERP資料!$A:$A, MATCH(173, 輔助計算!$G$2:$G$801, 0)+1), "")), INDEX(ERP資料!$S:$S, (MATCH(174, 輔助計算!$G$2:$G$801, 0)+1)), ""), "")</f>
        <v/>
      </c>
      <c r="C175" s="19">
        <f>IFERROR(IF(AND(IFERROR(INDEX(ERP資料!$A:$A, (MATCH(174, 輔助計算!$G$2:$G$801, 0)+1)), "")&lt;&gt;"", IFERROR(INDEX(ERP資料!$A:$A, (MATCH(174, 輔助計算!$G$2:$G$801, 0)+1)), "")&lt;&gt;IFERROR(INDEX(ERP資料!$A:$A, MATCH(173, 輔助計算!$G$2:$G$801, 0)+1), "")), IFERROR(VLOOKUP(LEFT(INDEX(ERP資料!$S:$S, (MATCH(174, 輔助計算!$G$2:$G$801, 0)+1)), 4), 紙管對照表!$A:$C, 3, FALSE), ""), ""), "")</f>
        <v/>
      </c>
      <c r="D175" s="16" t="n"/>
      <c r="E175" s="10">
        <f>IFERROR(IF(INDEX(ERP資料!$H:$H, (MATCH(174, 輔助計算!$G$2:$G$801, 0)+1))="","",INDEX(ERP資料!$H:$H, (MATCH(174, 輔助計算!$G$2:$G$801, 0)+1))), "")</f>
        <v/>
      </c>
      <c r="F175" s="10">
        <f>IFERROR(IF(INDEX(ERP資料!$E:$E, (MATCH(174, 輔助計算!$G$2:$G$801, 0)+1))="","",TRIM(INDEX(ERP資料!$E:$E, (MATCH(174, 輔助計算!$G$2:$G$801, 0)+1)))), "")</f>
        <v/>
      </c>
      <c r="G175" s="10">
        <f>IFERROR(IF(INDEX(ERP資料!$F:$F, (MATCH(174, 輔助計算!$G$2:$G$801, 0)+1))="","",INDEX(ERP資料!$F:$F, (MATCH(174, 輔助計算!$G$2:$G$801, 0)+1))), "")</f>
        <v/>
      </c>
      <c r="H175" s="10">
        <f>IFERROR(IF(INDEX(ERP資料!$G:$G, (MATCH(174, 輔助計算!$G$2:$G$801, 0)+1))="","",INDEX(ERP資料!$G:$G, (MATCH(174, 輔助計算!$G$2:$G$801, 0)+1))), "")</f>
        <v/>
      </c>
      <c r="I175" s="15">
        <f>IFERROR(INDEX(輔助計算!$D:$D, (MATCH(174, 輔助計算!$G$2:$G$801, 0)+1)), "")</f>
        <v/>
      </c>
      <c r="J175" s="15">
        <f>IFERROR(IF(AND(INDEX(輔助計算!$D:$D, (MATCH(174, 輔助計算!$G$2:$G$801, 0)+1))&lt;&gt;"", INDEX(ERP資料!$G:$G, (MATCH(174, 輔助計算!$G$2:$G$801, 0)+1))&lt;&gt;""), TRIM(IF(INT(INDEX(輔助計算!$D:$D, (MATCH(174, 輔助計算!$G$2:$G$801, 0)+1))/IF(INDEX(ERP資料!$G:$G, (MATCH(174, 輔助計算!$G$2:$G$801, 0)+1))&lt;100, IF(INDEX(ERP資料!$G:$G, (MATCH(174, 輔助計算!$G$2:$G$801, 0)+1))&lt;=31,3,IF(INDEX(ERP資料!$G:$G, (MATCH(174, 輔助計算!$G$2:$G$801, 0)+1))&lt;=46.5,2,1)), IF(INDEX(ERP資料!$G:$G, (MATCH(174, 輔助計算!$G$2:$G$801, 0)+1))&lt;=790,3,IF(INDEX(ERP資料!$G:$G, (MATCH(174, 輔助計算!$G$2:$G$801, 0)+1))&lt;=1181,2,1))))&gt;0, IF(IF(INDEX(ERP資料!$G:$G, (MATCH(174, 輔助計算!$G$2:$G$801, 0)+1))&lt;100, IF(INDEX(ERP資料!$G:$G, (MATCH(174, 輔助計算!$G$2:$G$801, 0)+1))&lt;=31,3,IF(INDEX(ERP資料!$G:$G, (MATCH(174, 輔助計算!$G$2:$G$801, 0)+1))&lt;=46.5,2,1)), IF(INDEX(ERP資料!$G:$G, (MATCH(174, 輔助計算!$G$2:$G$801, 0)+1))&lt;=790,3,IF(INDEX(ERP資料!$G:$G, (MATCH(174, 輔助計算!$G$2:$G$801, 0)+1))&lt;=1181,2,1)))=1,TEXT(INDEX(ERP資料!$G:$G, (MATCH(174, 輔助計算!$G$2:$G$801, 0)+1)),"0.##"),IF(IF(INDEX(ERP資料!$G:$G, (MATCH(174, 輔助計算!$G$2:$G$801, 0)+1))&lt;100, IF(INDEX(ERP資料!$G:$G, (MATCH(174, 輔助計算!$G$2:$G$801, 0)+1))&lt;=31,3,IF(INDEX(ERP資料!$G:$G, (MATCH(174, 輔助計算!$G$2:$G$801, 0)+1))&lt;=46.5,2,1)), IF(INDEX(ERP資料!$G:$G, (MATCH(174, 輔助計算!$G$2:$G$801, 0)+1))&lt;=790,3,IF(INDEX(ERP資料!$G:$G, (MATCH(174, 輔助計算!$G$2:$G$801, 0)+1))&lt;=1181,2,1)))=2,TEXT(INDEX(ERP資料!$G:$G, (MATCH(174, 輔助計算!$G$2:$G$801, 0)+1)),"0.##")&amp;"+"&amp;TEXT(INDEX(ERP資料!$G:$G, (MATCH(174, 輔助計算!$G$2:$G$801, 0)+1)),"0.##"),TEXT(INDEX(ERP資料!$G:$G, (MATCH(174, 輔助計算!$G$2:$G$801, 0)+1)),"0.##")&amp;"+"&amp;TEXT(INDEX(ERP資料!$G:$G, (MATCH(174, 輔助計算!$G$2:$G$801, 0)+1)),"0.##")&amp;"+"&amp;TEXT(INDEX(ERP資料!$G:$G, (MATCH(174, 輔助計算!$G$2:$G$801, 0)+1)),"0.##")))&amp;"-"&amp;INT(INDEX(輔助計算!$D:$D, (MATCH(174, 輔助計算!$G$2:$G$801, 0)+1))/IF(INDEX(ERP資料!$G:$G, (MATCH(174, 輔助計算!$G$2:$G$801, 0)+1))&lt;100, IF(INDEX(ERP資料!$G:$G, (MATCH(174, 輔助計算!$G$2:$G$801, 0)+1))&lt;=31,3,IF(INDEX(ERP資料!$G:$G, (MATCH(174, 輔助計算!$G$2:$G$801, 0)+1))&lt;=46.5,2,1)), IF(INDEX(ERP資料!$G:$G, (MATCH(174, 輔助計算!$G$2:$G$801, 0)+1))&lt;=790,3,IF(INDEX(ERP資料!$G:$G, (MATCH(174, 輔助計算!$G$2:$G$801, 0)+1))&lt;=1181,2,1)))), "")&amp;IF(AND(IF(INT(INDEX(輔助計算!$D:$D, (MATCH(174, 輔助計算!$G$2:$G$801, 0)+1))/IF(INDEX(ERP資料!$G:$G, (MATCH(174, 輔助計算!$G$2:$G$801, 0)+1))&lt;100, IF(INDEX(ERP資料!$G:$G, (MATCH(174, 輔助計算!$G$2:$G$801, 0)+1))&lt;=31,3,IF(INDEX(ERP資料!$G:$G, (MATCH(174, 輔助計算!$G$2:$G$801, 0)+1))&lt;=46.5,2,1)), IF(INDEX(ERP資料!$G:$G, (MATCH(174, 輔助計算!$G$2:$G$801, 0)+1))&lt;=790,3,IF(INDEX(ERP資料!$G:$G, (MATCH(174, 輔助計算!$G$2:$G$801, 0)+1))&lt;=1181,2,1))))&gt;0, IF(IF(INDEX(ERP資料!$G:$G, (MATCH(174, 輔助計算!$G$2:$G$801, 0)+1))&lt;100, IF(INDEX(ERP資料!$G:$G, (MATCH(174, 輔助計算!$G$2:$G$801, 0)+1))&lt;=31,3,IF(INDEX(ERP資料!$G:$G, (MATCH(174, 輔助計算!$G$2:$G$801, 0)+1))&lt;=46.5,2,1)), IF(INDEX(ERP資料!$G:$G, (MATCH(174, 輔助計算!$G$2:$G$801, 0)+1))&lt;=790,3,IF(INDEX(ERP資料!$G:$G, (MATCH(174, 輔助計算!$G$2:$G$801, 0)+1))&lt;=1181,2,1)))=1,TEXT(INDEX(ERP資料!$G:$G, (MATCH(174, 輔助計算!$G$2:$G$801, 0)+1)),"0.##"),IF(IF(INDEX(ERP資料!$G:$G, (MATCH(174, 輔助計算!$G$2:$G$801, 0)+1))&lt;100, IF(INDEX(ERP資料!$G:$G, (MATCH(174, 輔助計算!$G$2:$G$801, 0)+1))&lt;=31,3,IF(INDEX(ERP資料!$G:$G, (MATCH(174, 輔助計算!$G$2:$G$801, 0)+1))&lt;=46.5,2,1)), IF(INDEX(ERP資料!$G:$G, (MATCH(174, 輔助計算!$G$2:$G$801, 0)+1))&lt;=790,3,IF(INDEX(ERP資料!$G:$G, (MATCH(174, 輔助計算!$G$2:$G$801, 0)+1))&lt;=1181,2,1)))=2,TEXT(INDEX(ERP資料!$G:$G, (MATCH(174, 輔助計算!$G$2:$G$801, 0)+1)),"0.##")&amp;"+"&amp;TEXT(INDEX(ERP資料!$G:$G, (MATCH(174, 輔助計算!$G$2:$G$801, 0)+1)),"0.##"),TEXT(INDEX(ERP資料!$G:$G, (MATCH(174, 輔助計算!$G$2:$G$801, 0)+1)),"0.##")&amp;"+"&amp;TEXT(INDEX(ERP資料!$G:$G, (MATCH(174, 輔助計算!$G$2:$G$801, 0)+1)),"0.##")&amp;"+"&amp;TEXT(INDEX(ERP資料!$G:$G, (MATCH(174, 輔助計算!$G$2:$G$801, 0)+1)),"0.##")))&amp;"-"&amp;INT(INDEX(輔助計算!$D:$D, (MATCH(174, 輔助計算!$G$2:$G$801, 0)+1))/IF(INDEX(ERP資料!$G:$G, (MATCH(174, 輔助計算!$G$2:$G$801, 0)+1))&lt;100, IF(INDEX(ERP資料!$G:$G, (MATCH(174, 輔助計算!$G$2:$G$801, 0)+1))&lt;=31,3,IF(INDEX(ERP資料!$G:$G, (MATCH(174, 輔助計算!$G$2:$G$801, 0)+1))&lt;=46.5,2,1)), IF(INDEX(ERP資料!$G:$G, (MATCH(174, 輔助計算!$G$2:$G$801, 0)+1))&lt;=790,3,IF(INDEX(ERP資料!$G:$G, (MATCH(174, 輔助計算!$G$2:$G$801, 0)+1))&lt;=1181,2,1)))), "")&lt;&gt;"",IF(MOD(INDEX(輔助計算!$D:$D, (MATCH(174, 輔助計算!$G$2:$G$801, 0)+1)),IF(INDEX(ERP資料!$G:$G, (MATCH(174, 輔助計算!$G$2:$G$801, 0)+1))&lt;100, IF(INDEX(ERP資料!$G:$G, (MATCH(174, 輔助計算!$G$2:$G$801, 0)+1))&lt;=31,3,IF(INDEX(ERP資料!$G:$G, (MATCH(174, 輔助計算!$G$2:$G$801, 0)+1))&lt;=46.5,2,1)), IF(INDEX(ERP資料!$G:$G, (MATCH(174, 輔助計算!$G$2:$G$801, 0)+1))&lt;=790,3,IF(INDEX(ERP資料!$G:$G, (MATCH(174, 輔助計算!$G$2:$G$801, 0)+1))&lt;=1181,2,1))))=0,"",IF(MOD(INDEX(輔助計算!$D:$D, (MATCH(174, 輔助計算!$G$2:$G$801, 0)+1)),IF(INDEX(ERP資料!$G:$G, (MATCH(174, 輔助計算!$G$2:$G$801, 0)+1))&lt;100, IF(INDEX(ERP資料!$G:$G, (MATCH(174, 輔助計算!$G$2:$G$801, 0)+1))&lt;=31,3,IF(INDEX(ERP資料!$G:$G, (MATCH(174, 輔助計算!$G$2:$G$801, 0)+1))&lt;=46.5,2,1)), IF(INDEX(ERP資料!$G:$G, (MATCH(174, 輔助計算!$G$2:$G$801, 0)+1))&lt;=790,3,IF(INDEX(ERP資料!$G:$G, (MATCH(174, 輔助計算!$G$2:$G$801, 0)+1))&lt;=1181,2,1))))=0,"",IF(MOD(INDEX(輔助計算!$D:$D, (MATCH(174, 輔助計算!$G$2:$G$801, 0)+1)),IF(INDEX(ERP資料!$G:$G, (MATCH(174, 輔助計算!$G$2:$G$801, 0)+1))&lt;100, IF(INDEX(ERP資料!$G:$G, (MATCH(174, 輔助計算!$G$2:$G$801, 0)+1))&lt;=31,3,IF(INDEX(ERP資料!$G:$G, (MATCH(174, 輔助計算!$G$2:$G$801, 0)+1))&lt;=46.5,2,1)), IF(INDEX(ERP資料!$G:$G, (MATCH(174, 輔助計算!$G$2:$G$801, 0)+1))&lt;=790,3,IF(INDEX(ERP資料!$G:$G, (MATCH(174, 輔助計算!$G$2:$G$801, 0)+1))&lt;=1181,2,1))))=1,TEXT(INDEX(ERP資料!$G:$G, (MATCH(174, 輔助計算!$G$2:$G$801, 0)+1)),"0.##"),IF(MOD(INDEX(輔助計算!$D:$D, (MATCH(174, 輔助計算!$G$2:$G$801, 0)+1)),IF(INDEX(ERP資料!$G:$G, (MATCH(174, 輔助計算!$G$2:$G$801, 0)+1))&lt;100, IF(INDEX(ERP資料!$G:$G, (MATCH(174, 輔助計算!$G$2:$G$801, 0)+1))&lt;=31,3,IF(INDEX(ERP資料!$G:$G, (MATCH(174, 輔助計算!$G$2:$G$801, 0)+1))&lt;=46.5,2,1)), IF(INDEX(ERP資料!$G:$G, (MATCH(174, 輔助計算!$G$2:$G$801, 0)+1))&lt;=790,3,IF(INDEX(ERP資料!$G:$G, (MATCH(174, 輔助計算!$G$2:$G$801, 0)+1))&lt;=1181,2,1))))=2,TEXT(INDEX(ERP資料!$G:$G, (MATCH(174, 輔助計算!$G$2:$G$801, 0)+1)),"0.##")&amp;"+"&amp;TEXT(INDEX(ERP資料!$G:$G, (MATCH(174, 輔助計算!$G$2:$G$801, 0)+1)),"0.##"),TEXT(INDEX(ERP資料!$G:$G, (MATCH(174, 輔助計算!$G$2:$G$801, 0)+1)),"0.##")&amp;"+"&amp;TEXT(INDEX(ERP資料!$G:$G, (MATCH(174, 輔助計算!$G$2:$G$801, 0)+1)),"0.##")&amp;"+"&amp;TEXT(INDEX(ERP資料!$G:$G, (MATCH(174, 輔助計算!$G$2:$G$801, 0)+1)),"0.##"))))&amp;"-1")&lt;&gt;""),"  ","")&amp;IF(MOD(INDEX(輔助計算!$D:$D, (MATCH(174, 輔助計算!$G$2:$G$801, 0)+1)),IF(INDEX(ERP資料!$G:$G, (MATCH(174, 輔助計算!$G$2:$G$801, 0)+1))&lt;100, IF(INDEX(ERP資料!$G:$G, (MATCH(174, 輔助計算!$G$2:$G$801, 0)+1))&lt;=31,3,IF(INDEX(ERP資料!$G:$G, (MATCH(174, 輔助計算!$G$2:$G$801, 0)+1))&lt;=46.5,2,1)), IF(INDEX(ERP資料!$G:$G, (MATCH(174, 輔助計算!$G$2:$G$801, 0)+1))&lt;=790,3,IF(INDEX(ERP資料!$G:$G, (MATCH(174, 輔助計算!$G$2:$G$801, 0)+1))&lt;=1181,2,1))))=0,"",IF(MOD(INDEX(輔助計算!$D:$D, (MATCH(174, 輔助計算!$G$2:$G$801, 0)+1)),IF(INDEX(ERP資料!$G:$G, (MATCH(174, 輔助計算!$G$2:$G$801, 0)+1))&lt;100, IF(INDEX(ERP資料!$G:$G, (MATCH(174, 輔助計算!$G$2:$G$801, 0)+1))&lt;=31,3,IF(INDEX(ERP資料!$G:$G, (MATCH(174, 輔助計算!$G$2:$G$801, 0)+1))&lt;=46.5,2,1)), IF(INDEX(ERP資料!$G:$G, (MATCH(174, 輔助計算!$G$2:$G$801, 0)+1))&lt;=790,3,IF(INDEX(ERP資料!$G:$G, (MATCH(174, 輔助計算!$G$2:$G$801, 0)+1))&lt;=1181,2,1))))=0,"",IF(MOD(INDEX(輔助計算!$D:$D, (MATCH(174, 輔助計算!$G$2:$G$801, 0)+1)),IF(INDEX(ERP資料!$G:$G, (MATCH(174, 輔助計算!$G$2:$G$801, 0)+1))&lt;100, IF(INDEX(ERP資料!$G:$G, (MATCH(174, 輔助計算!$G$2:$G$801, 0)+1))&lt;=31,3,IF(INDEX(ERP資料!$G:$G, (MATCH(174, 輔助計算!$G$2:$G$801, 0)+1))&lt;=46.5,2,1)), IF(INDEX(ERP資料!$G:$G, (MATCH(174, 輔助計算!$G$2:$G$801, 0)+1))&lt;=790,3,IF(INDEX(ERP資料!$G:$G, (MATCH(174, 輔助計算!$G$2:$G$801, 0)+1))&lt;=1181,2,1))))=1,TEXT(INDEX(ERP資料!$G:$G, (MATCH(174, 輔助計算!$G$2:$G$801, 0)+1)),"0.##"),IF(MOD(INDEX(輔助計算!$D:$D, (MATCH(174, 輔助計算!$G$2:$G$801, 0)+1)),IF(INDEX(ERP資料!$G:$G, (MATCH(174, 輔助計算!$G$2:$G$801, 0)+1))&lt;100, IF(INDEX(ERP資料!$G:$G, (MATCH(174, 輔助計算!$G$2:$G$801, 0)+1))&lt;=31,3,IF(INDEX(ERP資料!$G:$G, (MATCH(174, 輔助計算!$G$2:$G$801, 0)+1))&lt;=46.5,2,1)), IF(INDEX(ERP資料!$G:$G, (MATCH(174, 輔助計算!$G$2:$G$801, 0)+1))&lt;=790,3,IF(INDEX(ERP資料!$G:$G, (MATCH(174, 輔助計算!$G$2:$G$801, 0)+1))&lt;=1181,2,1))))=2,TEXT(INDEX(ERP資料!$G:$G, (MATCH(174, 輔助計算!$G$2:$G$801, 0)+1)),"0.##")&amp;"+"&amp;TEXT(INDEX(ERP資料!$G:$G, (MATCH(174, 輔助計算!$G$2:$G$801, 0)+1)),"0.##"),TEXT(INDEX(ERP資料!$G:$G, (MATCH(174, 輔助計算!$G$2:$G$801, 0)+1)),"0.##")&amp;"+"&amp;TEXT(INDEX(ERP資料!$G:$G, (MATCH(174, 輔助計算!$G$2:$G$801, 0)+1)),"0.##")&amp;"+"&amp;TEXT(INDEX(ERP資料!$G:$G, (MATCH(174, 輔助計算!$G$2:$G$801, 0)+1)),"0.##"))))&amp;"-1")), ""), "")</f>
        <v/>
      </c>
      <c r="K175" s="16" t="n"/>
      <c r="L175" s="14">
        <f>IFERROR(IF(AND(IFERROR(INDEX(ERP資料!$A:$A, (MATCH(174, 輔助計算!$G$2:$G$801, 0)+1)), "")&lt;&gt;"", IFERROR(INDEX(ERP資料!$A:$A, (MATCH(174, 輔助計算!$G$2:$G$801, 0)+1)), "")&lt;&gt;IFERROR(INDEX(ERP資料!$A:$A, MATCH(173, 輔助計算!$G$2:$G$801, 0)+1), "")), INDEX(ERP資料!$B:$B, (MATCH(174, 輔助計算!$G$2:$G$801, 0)+1)), ""), "")</f>
        <v/>
      </c>
      <c r="M175" s="17" t="n"/>
    </row>
    <row r="176">
      <c r="A176" s="10">
        <f>IFERROR(IF(AND(IFERROR(INDEX(ERP資料!$A:$A, (MATCH(175, 輔助計算!$G$2:$G$801, 0)+1)), "")&lt;&gt;"", IFERROR(INDEX(ERP資料!$A:$A, (MATCH(175, 輔助計算!$G$2:$G$801, 0)+1)), "")&lt;&gt;IFERROR(INDEX(ERP資料!$A:$A, MATCH(174, 輔助計算!$G$2:$G$801, 0)+1), "")), IFERROR(INDEX(ERP資料!$A:$A, (MATCH(175, 輔助計算!$G$2:$G$801, 0)+1)), ""), ""), "")</f>
        <v/>
      </c>
      <c r="B176" s="10">
        <f>IFERROR(IF(AND(IFERROR(INDEX(ERP資料!$A:$A, (MATCH(175, 輔助計算!$G$2:$G$801, 0)+1)), "")&lt;&gt;"", IFERROR(INDEX(ERP資料!$A:$A, (MATCH(175, 輔助計算!$G$2:$G$801, 0)+1)), "")&lt;&gt;IFERROR(INDEX(ERP資料!$A:$A, MATCH(174, 輔助計算!$G$2:$G$801, 0)+1), "")), INDEX(ERP資料!$S:$S, (MATCH(175, 輔助計算!$G$2:$G$801, 0)+1)), ""), "")</f>
        <v/>
      </c>
      <c r="C176" s="19">
        <f>IFERROR(IF(AND(IFERROR(INDEX(ERP資料!$A:$A, (MATCH(175, 輔助計算!$G$2:$G$801, 0)+1)), "")&lt;&gt;"", IFERROR(INDEX(ERP資料!$A:$A, (MATCH(175, 輔助計算!$G$2:$G$801, 0)+1)), "")&lt;&gt;IFERROR(INDEX(ERP資料!$A:$A, MATCH(174, 輔助計算!$G$2:$G$801, 0)+1), "")), IFERROR(VLOOKUP(LEFT(INDEX(ERP資料!$S:$S, (MATCH(175, 輔助計算!$G$2:$G$801, 0)+1)), 4), 紙管對照表!$A:$C, 3, FALSE), ""), ""), "")</f>
        <v/>
      </c>
      <c r="D176" s="16" t="n"/>
      <c r="E176" s="10">
        <f>IFERROR(IF(INDEX(ERP資料!$H:$H, (MATCH(175, 輔助計算!$G$2:$G$801, 0)+1))="","",INDEX(ERP資料!$H:$H, (MATCH(175, 輔助計算!$G$2:$G$801, 0)+1))), "")</f>
        <v/>
      </c>
      <c r="F176" s="10">
        <f>IFERROR(IF(INDEX(ERP資料!$E:$E, (MATCH(175, 輔助計算!$G$2:$G$801, 0)+1))="","",TRIM(INDEX(ERP資料!$E:$E, (MATCH(175, 輔助計算!$G$2:$G$801, 0)+1)))), "")</f>
        <v/>
      </c>
      <c r="G176" s="10">
        <f>IFERROR(IF(INDEX(ERP資料!$F:$F, (MATCH(175, 輔助計算!$G$2:$G$801, 0)+1))="","",INDEX(ERP資料!$F:$F, (MATCH(175, 輔助計算!$G$2:$G$801, 0)+1))), "")</f>
        <v/>
      </c>
      <c r="H176" s="10">
        <f>IFERROR(IF(INDEX(ERP資料!$G:$G, (MATCH(175, 輔助計算!$G$2:$G$801, 0)+1))="","",INDEX(ERP資料!$G:$G, (MATCH(175, 輔助計算!$G$2:$G$801, 0)+1))), "")</f>
        <v/>
      </c>
      <c r="I176" s="15">
        <f>IFERROR(INDEX(輔助計算!$D:$D, (MATCH(175, 輔助計算!$G$2:$G$801, 0)+1)), "")</f>
        <v/>
      </c>
      <c r="J176" s="15">
        <f>IFERROR(IF(AND(INDEX(輔助計算!$D:$D, (MATCH(175, 輔助計算!$G$2:$G$801, 0)+1))&lt;&gt;"", INDEX(ERP資料!$G:$G, (MATCH(175, 輔助計算!$G$2:$G$801, 0)+1))&lt;&gt;""), TRIM(IF(INT(INDEX(輔助計算!$D:$D, (MATCH(175, 輔助計算!$G$2:$G$801, 0)+1))/IF(INDEX(ERP資料!$G:$G, (MATCH(175, 輔助計算!$G$2:$G$801, 0)+1))&lt;100, IF(INDEX(ERP資料!$G:$G, (MATCH(175, 輔助計算!$G$2:$G$801, 0)+1))&lt;=31,3,IF(INDEX(ERP資料!$G:$G, (MATCH(175, 輔助計算!$G$2:$G$801, 0)+1))&lt;=46.5,2,1)), IF(INDEX(ERP資料!$G:$G, (MATCH(175, 輔助計算!$G$2:$G$801, 0)+1))&lt;=790,3,IF(INDEX(ERP資料!$G:$G, (MATCH(175, 輔助計算!$G$2:$G$801, 0)+1))&lt;=1181,2,1))))&gt;0, IF(IF(INDEX(ERP資料!$G:$G, (MATCH(175, 輔助計算!$G$2:$G$801, 0)+1))&lt;100, IF(INDEX(ERP資料!$G:$G, (MATCH(175, 輔助計算!$G$2:$G$801, 0)+1))&lt;=31,3,IF(INDEX(ERP資料!$G:$G, (MATCH(175, 輔助計算!$G$2:$G$801, 0)+1))&lt;=46.5,2,1)), IF(INDEX(ERP資料!$G:$G, (MATCH(175, 輔助計算!$G$2:$G$801, 0)+1))&lt;=790,3,IF(INDEX(ERP資料!$G:$G, (MATCH(175, 輔助計算!$G$2:$G$801, 0)+1))&lt;=1181,2,1)))=1,TEXT(INDEX(ERP資料!$G:$G, (MATCH(175, 輔助計算!$G$2:$G$801, 0)+1)),"0.##"),IF(IF(INDEX(ERP資料!$G:$G, (MATCH(175, 輔助計算!$G$2:$G$801, 0)+1))&lt;100, IF(INDEX(ERP資料!$G:$G, (MATCH(175, 輔助計算!$G$2:$G$801, 0)+1))&lt;=31,3,IF(INDEX(ERP資料!$G:$G, (MATCH(175, 輔助計算!$G$2:$G$801, 0)+1))&lt;=46.5,2,1)), IF(INDEX(ERP資料!$G:$G, (MATCH(175, 輔助計算!$G$2:$G$801, 0)+1))&lt;=790,3,IF(INDEX(ERP資料!$G:$G, (MATCH(175, 輔助計算!$G$2:$G$801, 0)+1))&lt;=1181,2,1)))=2,TEXT(INDEX(ERP資料!$G:$G, (MATCH(175, 輔助計算!$G$2:$G$801, 0)+1)),"0.##")&amp;"+"&amp;TEXT(INDEX(ERP資料!$G:$G, (MATCH(175, 輔助計算!$G$2:$G$801, 0)+1)),"0.##"),TEXT(INDEX(ERP資料!$G:$G, (MATCH(175, 輔助計算!$G$2:$G$801, 0)+1)),"0.##")&amp;"+"&amp;TEXT(INDEX(ERP資料!$G:$G, (MATCH(175, 輔助計算!$G$2:$G$801, 0)+1)),"0.##")&amp;"+"&amp;TEXT(INDEX(ERP資料!$G:$G, (MATCH(175, 輔助計算!$G$2:$G$801, 0)+1)),"0.##")))&amp;"-"&amp;INT(INDEX(輔助計算!$D:$D, (MATCH(175, 輔助計算!$G$2:$G$801, 0)+1))/IF(INDEX(ERP資料!$G:$G, (MATCH(175, 輔助計算!$G$2:$G$801, 0)+1))&lt;100, IF(INDEX(ERP資料!$G:$G, (MATCH(175, 輔助計算!$G$2:$G$801, 0)+1))&lt;=31,3,IF(INDEX(ERP資料!$G:$G, (MATCH(175, 輔助計算!$G$2:$G$801, 0)+1))&lt;=46.5,2,1)), IF(INDEX(ERP資料!$G:$G, (MATCH(175, 輔助計算!$G$2:$G$801, 0)+1))&lt;=790,3,IF(INDEX(ERP資料!$G:$G, (MATCH(175, 輔助計算!$G$2:$G$801, 0)+1))&lt;=1181,2,1)))), "")&amp;IF(AND(IF(INT(INDEX(輔助計算!$D:$D, (MATCH(175, 輔助計算!$G$2:$G$801, 0)+1))/IF(INDEX(ERP資料!$G:$G, (MATCH(175, 輔助計算!$G$2:$G$801, 0)+1))&lt;100, IF(INDEX(ERP資料!$G:$G, (MATCH(175, 輔助計算!$G$2:$G$801, 0)+1))&lt;=31,3,IF(INDEX(ERP資料!$G:$G, (MATCH(175, 輔助計算!$G$2:$G$801, 0)+1))&lt;=46.5,2,1)), IF(INDEX(ERP資料!$G:$G, (MATCH(175, 輔助計算!$G$2:$G$801, 0)+1))&lt;=790,3,IF(INDEX(ERP資料!$G:$G, (MATCH(175, 輔助計算!$G$2:$G$801, 0)+1))&lt;=1181,2,1))))&gt;0, IF(IF(INDEX(ERP資料!$G:$G, (MATCH(175, 輔助計算!$G$2:$G$801, 0)+1))&lt;100, IF(INDEX(ERP資料!$G:$G, (MATCH(175, 輔助計算!$G$2:$G$801, 0)+1))&lt;=31,3,IF(INDEX(ERP資料!$G:$G, (MATCH(175, 輔助計算!$G$2:$G$801, 0)+1))&lt;=46.5,2,1)), IF(INDEX(ERP資料!$G:$G, (MATCH(175, 輔助計算!$G$2:$G$801, 0)+1))&lt;=790,3,IF(INDEX(ERP資料!$G:$G, (MATCH(175, 輔助計算!$G$2:$G$801, 0)+1))&lt;=1181,2,1)))=1,TEXT(INDEX(ERP資料!$G:$G, (MATCH(175, 輔助計算!$G$2:$G$801, 0)+1)),"0.##"),IF(IF(INDEX(ERP資料!$G:$G, (MATCH(175, 輔助計算!$G$2:$G$801, 0)+1))&lt;100, IF(INDEX(ERP資料!$G:$G, (MATCH(175, 輔助計算!$G$2:$G$801, 0)+1))&lt;=31,3,IF(INDEX(ERP資料!$G:$G, (MATCH(175, 輔助計算!$G$2:$G$801, 0)+1))&lt;=46.5,2,1)), IF(INDEX(ERP資料!$G:$G, (MATCH(175, 輔助計算!$G$2:$G$801, 0)+1))&lt;=790,3,IF(INDEX(ERP資料!$G:$G, (MATCH(175, 輔助計算!$G$2:$G$801, 0)+1))&lt;=1181,2,1)))=2,TEXT(INDEX(ERP資料!$G:$G, (MATCH(175, 輔助計算!$G$2:$G$801, 0)+1)),"0.##")&amp;"+"&amp;TEXT(INDEX(ERP資料!$G:$G, (MATCH(175, 輔助計算!$G$2:$G$801, 0)+1)),"0.##"),TEXT(INDEX(ERP資料!$G:$G, (MATCH(175, 輔助計算!$G$2:$G$801, 0)+1)),"0.##")&amp;"+"&amp;TEXT(INDEX(ERP資料!$G:$G, (MATCH(175, 輔助計算!$G$2:$G$801, 0)+1)),"0.##")&amp;"+"&amp;TEXT(INDEX(ERP資料!$G:$G, (MATCH(175, 輔助計算!$G$2:$G$801, 0)+1)),"0.##")))&amp;"-"&amp;INT(INDEX(輔助計算!$D:$D, (MATCH(175, 輔助計算!$G$2:$G$801, 0)+1))/IF(INDEX(ERP資料!$G:$G, (MATCH(175, 輔助計算!$G$2:$G$801, 0)+1))&lt;100, IF(INDEX(ERP資料!$G:$G, (MATCH(175, 輔助計算!$G$2:$G$801, 0)+1))&lt;=31,3,IF(INDEX(ERP資料!$G:$G, (MATCH(175, 輔助計算!$G$2:$G$801, 0)+1))&lt;=46.5,2,1)), IF(INDEX(ERP資料!$G:$G, (MATCH(175, 輔助計算!$G$2:$G$801, 0)+1))&lt;=790,3,IF(INDEX(ERP資料!$G:$G, (MATCH(175, 輔助計算!$G$2:$G$801, 0)+1))&lt;=1181,2,1)))), "")&lt;&gt;"",IF(MOD(INDEX(輔助計算!$D:$D, (MATCH(175, 輔助計算!$G$2:$G$801, 0)+1)),IF(INDEX(ERP資料!$G:$G, (MATCH(175, 輔助計算!$G$2:$G$801, 0)+1))&lt;100, IF(INDEX(ERP資料!$G:$G, (MATCH(175, 輔助計算!$G$2:$G$801, 0)+1))&lt;=31,3,IF(INDEX(ERP資料!$G:$G, (MATCH(175, 輔助計算!$G$2:$G$801, 0)+1))&lt;=46.5,2,1)), IF(INDEX(ERP資料!$G:$G, (MATCH(175, 輔助計算!$G$2:$G$801, 0)+1))&lt;=790,3,IF(INDEX(ERP資料!$G:$G, (MATCH(175, 輔助計算!$G$2:$G$801, 0)+1))&lt;=1181,2,1))))=0,"",IF(MOD(INDEX(輔助計算!$D:$D, (MATCH(175, 輔助計算!$G$2:$G$801, 0)+1)),IF(INDEX(ERP資料!$G:$G, (MATCH(175, 輔助計算!$G$2:$G$801, 0)+1))&lt;100, IF(INDEX(ERP資料!$G:$G, (MATCH(175, 輔助計算!$G$2:$G$801, 0)+1))&lt;=31,3,IF(INDEX(ERP資料!$G:$G, (MATCH(175, 輔助計算!$G$2:$G$801, 0)+1))&lt;=46.5,2,1)), IF(INDEX(ERP資料!$G:$G, (MATCH(175, 輔助計算!$G$2:$G$801, 0)+1))&lt;=790,3,IF(INDEX(ERP資料!$G:$G, (MATCH(175, 輔助計算!$G$2:$G$801, 0)+1))&lt;=1181,2,1))))=0,"",IF(MOD(INDEX(輔助計算!$D:$D, (MATCH(175, 輔助計算!$G$2:$G$801, 0)+1)),IF(INDEX(ERP資料!$G:$G, (MATCH(175, 輔助計算!$G$2:$G$801, 0)+1))&lt;100, IF(INDEX(ERP資料!$G:$G, (MATCH(175, 輔助計算!$G$2:$G$801, 0)+1))&lt;=31,3,IF(INDEX(ERP資料!$G:$G, (MATCH(175, 輔助計算!$G$2:$G$801, 0)+1))&lt;=46.5,2,1)), IF(INDEX(ERP資料!$G:$G, (MATCH(175, 輔助計算!$G$2:$G$801, 0)+1))&lt;=790,3,IF(INDEX(ERP資料!$G:$G, (MATCH(175, 輔助計算!$G$2:$G$801, 0)+1))&lt;=1181,2,1))))=1,TEXT(INDEX(ERP資料!$G:$G, (MATCH(175, 輔助計算!$G$2:$G$801, 0)+1)),"0.##"),IF(MOD(INDEX(輔助計算!$D:$D, (MATCH(175, 輔助計算!$G$2:$G$801, 0)+1)),IF(INDEX(ERP資料!$G:$G, (MATCH(175, 輔助計算!$G$2:$G$801, 0)+1))&lt;100, IF(INDEX(ERP資料!$G:$G, (MATCH(175, 輔助計算!$G$2:$G$801, 0)+1))&lt;=31,3,IF(INDEX(ERP資料!$G:$G, (MATCH(175, 輔助計算!$G$2:$G$801, 0)+1))&lt;=46.5,2,1)), IF(INDEX(ERP資料!$G:$G, (MATCH(175, 輔助計算!$G$2:$G$801, 0)+1))&lt;=790,3,IF(INDEX(ERP資料!$G:$G, (MATCH(175, 輔助計算!$G$2:$G$801, 0)+1))&lt;=1181,2,1))))=2,TEXT(INDEX(ERP資料!$G:$G, (MATCH(175, 輔助計算!$G$2:$G$801, 0)+1)),"0.##")&amp;"+"&amp;TEXT(INDEX(ERP資料!$G:$G, (MATCH(175, 輔助計算!$G$2:$G$801, 0)+1)),"0.##"),TEXT(INDEX(ERP資料!$G:$G, (MATCH(175, 輔助計算!$G$2:$G$801, 0)+1)),"0.##")&amp;"+"&amp;TEXT(INDEX(ERP資料!$G:$G, (MATCH(175, 輔助計算!$G$2:$G$801, 0)+1)),"0.##")&amp;"+"&amp;TEXT(INDEX(ERP資料!$G:$G, (MATCH(175, 輔助計算!$G$2:$G$801, 0)+1)),"0.##"))))&amp;"-1")&lt;&gt;""),"  ","")&amp;IF(MOD(INDEX(輔助計算!$D:$D, (MATCH(175, 輔助計算!$G$2:$G$801, 0)+1)),IF(INDEX(ERP資料!$G:$G, (MATCH(175, 輔助計算!$G$2:$G$801, 0)+1))&lt;100, IF(INDEX(ERP資料!$G:$G, (MATCH(175, 輔助計算!$G$2:$G$801, 0)+1))&lt;=31,3,IF(INDEX(ERP資料!$G:$G, (MATCH(175, 輔助計算!$G$2:$G$801, 0)+1))&lt;=46.5,2,1)), IF(INDEX(ERP資料!$G:$G, (MATCH(175, 輔助計算!$G$2:$G$801, 0)+1))&lt;=790,3,IF(INDEX(ERP資料!$G:$G, (MATCH(175, 輔助計算!$G$2:$G$801, 0)+1))&lt;=1181,2,1))))=0,"",IF(MOD(INDEX(輔助計算!$D:$D, (MATCH(175, 輔助計算!$G$2:$G$801, 0)+1)),IF(INDEX(ERP資料!$G:$G, (MATCH(175, 輔助計算!$G$2:$G$801, 0)+1))&lt;100, IF(INDEX(ERP資料!$G:$G, (MATCH(175, 輔助計算!$G$2:$G$801, 0)+1))&lt;=31,3,IF(INDEX(ERP資料!$G:$G, (MATCH(175, 輔助計算!$G$2:$G$801, 0)+1))&lt;=46.5,2,1)), IF(INDEX(ERP資料!$G:$G, (MATCH(175, 輔助計算!$G$2:$G$801, 0)+1))&lt;=790,3,IF(INDEX(ERP資料!$G:$G, (MATCH(175, 輔助計算!$G$2:$G$801, 0)+1))&lt;=1181,2,1))))=0,"",IF(MOD(INDEX(輔助計算!$D:$D, (MATCH(175, 輔助計算!$G$2:$G$801, 0)+1)),IF(INDEX(ERP資料!$G:$G, (MATCH(175, 輔助計算!$G$2:$G$801, 0)+1))&lt;100, IF(INDEX(ERP資料!$G:$G, (MATCH(175, 輔助計算!$G$2:$G$801, 0)+1))&lt;=31,3,IF(INDEX(ERP資料!$G:$G, (MATCH(175, 輔助計算!$G$2:$G$801, 0)+1))&lt;=46.5,2,1)), IF(INDEX(ERP資料!$G:$G, (MATCH(175, 輔助計算!$G$2:$G$801, 0)+1))&lt;=790,3,IF(INDEX(ERP資料!$G:$G, (MATCH(175, 輔助計算!$G$2:$G$801, 0)+1))&lt;=1181,2,1))))=1,TEXT(INDEX(ERP資料!$G:$G, (MATCH(175, 輔助計算!$G$2:$G$801, 0)+1)),"0.##"),IF(MOD(INDEX(輔助計算!$D:$D, (MATCH(175, 輔助計算!$G$2:$G$801, 0)+1)),IF(INDEX(ERP資料!$G:$G, (MATCH(175, 輔助計算!$G$2:$G$801, 0)+1))&lt;100, IF(INDEX(ERP資料!$G:$G, (MATCH(175, 輔助計算!$G$2:$G$801, 0)+1))&lt;=31,3,IF(INDEX(ERP資料!$G:$G, (MATCH(175, 輔助計算!$G$2:$G$801, 0)+1))&lt;=46.5,2,1)), IF(INDEX(ERP資料!$G:$G, (MATCH(175, 輔助計算!$G$2:$G$801, 0)+1))&lt;=790,3,IF(INDEX(ERP資料!$G:$G, (MATCH(175, 輔助計算!$G$2:$G$801, 0)+1))&lt;=1181,2,1))))=2,TEXT(INDEX(ERP資料!$G:$G, (MATCH(175, 輔助計算!$G$2:$G$801, 0)+1)),"0.##")&amp;"+"&amp;TEXT(INDEX(ERP資料!$G:$G, (MATCH(175, 輔助計算!$G$2:$G$801, 0)+1)),"0.##"),TEXT(INDEX(ERP資料!$G:$G, (MATCH(175, 輔助計算!$G$2:$G$801, 0)+1)),"0.##")&amp;"+"&amp;TEXT(INDEX(ERP資料!$G:$G, (MATCH(175, 輔助計算!$G$2:$G$801, 0)+1)),"0.##")&amp;"+"&amp;TEXT(INDEX(ERP資料!$G:$G, (MATCH(175, 輔助計算!$G$2:$G$801, 0)+1)),"0.##"))))&amp;"-1")), ""), "")</f>
        <v/>
      </c>
      <c r="K176" s="16" t="n"/>
      <c r="L176" s="14">
        <f>IFERROR(IF(AND(IFERROR(INDEX(ERP資料!$A:$A, (MATCH(175, 輔助計算!$G$2:$G$801, 0)+1)), "")&lt;&gt;"", IFERROR(INDEX(ERP資料!$A:$A, (MATCH(175, 輔助計算!$G$2:$G$801, 0)+1)), "")&lt;&gt;IFERROR(INDEX(ERP資料!$A:$A, MATCH(174, 輔助計算!$G$2:$G$801, 0)+1), "")), INDEX(ERP資料!$B:$B, (MATCH(175, 輔助計算!$G$2:$G$801, 0)+1)), ""), "")</f>
        <v/>
      </c>
      <c r="M176" s="17" t="n"/>
    </row>
    <row r="177">
      <c r="A177" s="10">
        <f>IFERROR(IF(AND(IFERROR(INDEX(ERP資料!$A:$A, (MATCH(176, 輔助計算!$G$2:$G$801, 0)+1)), "")&lt;&gt;"", IFERROR(INDEX(ERP資料!$A:$A, (MATCH(176, 輔助計算!$G$2:$G$801, 0)+1)), "")&lt;&gt;IFERROR(INDEX(ERP資料!$A:$A, MATCH(175, 輔助計算!$G$2:$G$801, 0)+1), "")), IFERROR(INDEX(ERP資料!$A:$A, (MATCH(176, 輔助計算!$G$2:$G$801, 0)+1)), ""), ""), "")</f>
        <v/>
      </c>
      <c r="B177" s="10">
        <f>IFERROR(IF(AND(IFERROR(INDEX(ERP資料!$A:$A, (MATCH(176, 輔助計算!$G$2:$G$801, 0)+1)), "")&lt;&gt;"", IFERROR(INDEX(ERP資料!$A:$A, (MATCH(176, 輔助計算!$G$2:$G$801, 0)+1)), "")&lt;&gt;IFERROR(INDEX(ERP資料!$A:$A, MATCH(175, 輔助計算!$G$2:$G$801, 0)+1), "")), INDEX(ERP資料!$S:$S, (MATCH(176, 輔助計算!$G$2:$G$801, 0)+1)), ""), "")</f>
        <v/>
      </c>
      <c r="C177" s="19">
        <f>IFERROR(IF(AND(IFERROR(INDEX(ERP資料!$A:$A, (MATCH(176, 輔助計算!$G$2:$G$801, 0)+1)), "")&lt;&gt;"", IFERROR(INDEX(ERP資料!$A:$A, (MATCH(176, 輔助計算!$G$2:$G$801, 0)+1)), "")&lt;&gt;IFERROR(INDEX(ERP資料!$A:$A, MATCH(175, 輔助計算!$G$2:$G$801, 0)+1), "")), IFERROR(VLOOKUP(LEFT(INDEX(ERP資料!$S:$S, (MATCH(176, 輔助計算!$G$2:$G$801, 0)+1)), 4), 紙管對照表!$A:$C, 3, FALSE), ""), ""), "")</f>
        <v/>
      </c>
      <c r="D177" s="16" t="n"/>
      <c r="E177" s="10">
        <f>IFERROR(IF(INDEX(ERP資料!$H:$H, (MATCH(176, 輔助計算!$G$2:$G$801, 0)+1))="","",INDEX(ERP資料!$H:$H, (MATCH(176, 輔助計算!$G$2:$G$801, 0)+1))), "")</f>
        <v/>
      </c>
      <c r="F177" s="10">
        <f>IFERROR(IF(INDEX(ERP資料!$E:$E, (MATCH(176, 輔助計算!$G$2:$G$801, 0)+1))="","",TRIM(INDEX(ERP資料!$E:$E, (MATCH(176, 輔助計算!$G$2:$G$801, 0)+1)))), "")</f>
        <v/>
      </c>
      <c r="G177" s="10">
        <f>IFERROR(IF(INDEX(ERP資料!$F:$F, (MATCH(176, 輔助計算!$G$2:$G$801, 0)+1))="","",INDEX(ERP資料!$F:$F, (MATCH(176, 輔助計算!$G$2:$G$801, 0)+1))), "")</f>
        <v/>
      </c>
      <c r="H177" s="10">
        <f>IFERROR(IF(INDEX(ERP資料!$G:$G, (MATCH(176, 輔助計算!$G$2:$G$801, 0)+1))="","",INDEX(ERP資料!$G:$G, (MATCH(176, 輔助計算!$G$2:$G$801, 0)+1))), "")</f>
        <v/>
      </c>
      <c r="I177" s="15">
        <f>IFERROR(INDEX(輔助計算!$D:$D, (MATCH(176, 輔助計算!$G$2:$G$801, 0)+1)), "")</f>
        <v/>
      </c>
      <c r="J177" s="15">
        <f>IFERROR(IF(AND(INDEX(輔助計算!$D:$D, (MATCH(176, 輔助計算!$G$2:$G$801, 0)+1))&lt;&gt;"", INDEX(ERP資料!$G:$G, (MATCH(176, 輔助計算!$G$2:$G$801, 0)+1))&lt;&gt;""), TRIM(IF(INT(INDEX(輔助計算!$D:$D, (MATCH(176, 輔助計算!$G$2:$G$801, 0)+1))/IF(INDEX(ERP資料!$G:$G, (MATCH(176, 輔助計算!$G$2:$G$801, 0)+1))&lt;100, IF(INDEX(ERP資料!$G:$G, (MATCH(176, 輔助計算!$G$2:$G$801, 0)+1))&lt;=31,3,IF(INDEX(ERP資料!$G:$G, (MATCH(176, 輔助計算!$G$2:$G$801, 0)+1))&lt;=46.5,2,1)), IF(INDEX(ERP資料!$G:$G, (MATCH(176, 輔助計算!$G$2:$G$801, 0)+1))&lt;=790,3,IF(INDEX(ERP資料!$G:$G, (MATCH(176, 輔助計算!$G$2:$G$801, 0)+1))&lt;=1181,2,1))))&gt;0, IF(IF(INDEX(ERP資料!$G:$G, (MATCH(176, 輔助計算!$G$2:$G$801, 0)+1))&lt;100, IF(INDEX(ERP資料!$G:$G, (MATCH(176, 輔助計算!$G$2:$G$801, 0)+1))&lt;=31,3,IF(INDEX(ERP資料!$G:$G, (MATCH(176, 輔助計算!$G$2:$G$801, 0)+1))&lt;=46.5,2,1)), IF(INDEX(ERP資料!$G:$G, (MATCH(176, 輔助計算!$G$2:$G$801, 0)+1))&lt;=790,3,IF(INDEX(ERP資料!$G:$G, (MATCH(176, 輔助計算!$G$2:$G$801, 0)+1))&lt;=1181,2,1)))=1,TEXT(INDEX(ERP資料!$G:$G, (MATCH(176, 輔助計算!$G$2:$G$801, 0)+1)),"0.##"),IF(IF(INDEX(ERP資料!$G:$G, (MATCH(176, 輔助計算!$G$2:$G$801, 0)+1))&lt;100, IF(INDEX(ERP資料!$G:$G, (MATCH(176, 輔助計算!$G$2:$G$801, 0)+1))&lt;=31,3,IF(INDEX(ERP資料!$G:$G, (MATCH(176, 輔助計算!$G$2:$G$801, 0)+1))&lt;=46.5,2,1)), IF(INDEX(ERP資料!$G:$G, (MATCH(176, 輔助計算!$G$2:$G$801, 0)+1))&lt;=790,3,IF(INDEX(ERP資料!$G:$G, (MATCH(176, 輔助計算!$G$2:$G$801, 0)+1))&lt;=1181,2,1)))=2,TEXT(INDEX(ERP資料!$G:$G, (MATCH(176, 輔助計算!$G$2:$G$801, 0)+1)),"0.##")&amp;"+"&amp;TEXT(INDEX(ERP資料!$G:$G, (MATCH(176, 輔助計算!$G$2:$G$801, 0)+1)),"0.##"),TEXT(INDEX(ERP資料!$G:$G, (MATCH(176, 輔助計算!$G$2:$G$801, 0)+1)),"0.##")&amp;"+"&amp;TEXT(INDEX(ERP資料!$G:$G, (MATCH(176, 輔助計算!$G$2:$G$801, 0)+1)),"0.##")&amp;"+"&amp;TEXT(INDEX(ERP資料!$G:$G, (MATCH(176, 輔助計算!$G$2:$G$801, 0)+1)),"0.##")))&amp;"-"&amp;INT(INDEX(輔助計算!$D:$D, (MATCH(176, 輔助計算!$G$2:$G$801, 0)+1))/IF(INDEX(ERP資料!$G:$G, (MATCH(176, 輔助計算!$G$2:$G$801, 0)+1))&lt;100, IF(INDEX(ERP資料!$G:$G, (MATCH(176, 輔助計算!$G$2:$G$801, 0)+1))&lt;=31,3,IF(INDEX(ERP資料!$G:$G, (MATCH(176, 輔助計算!$G$2:$G$801, 0)+1))&lt;=46.5,2,1)), IF(INDEX(ERP資料!$G:$G, (MATCH(176, 輔助計算!$G$2:$G$801, 0)+1))&lt;=790,3,IF(INDEX(ERP資料!$G:$G, (MATCH(176, 輔助計算!$G$2:$G$801, 0)+1))&lt;=1181,2,1)))), "")&amp;IF(AND(IF(INT(INDEX(輔助計算!$D:$D, (MATCH(176, 輔助計算!$G$2:$G$801, 0)+1))/IF(INDEX(ERP資料!$G:$G, (MATCH(176, 輔助計算!$G$2:$G$801, 0)+1))&lt;100, IF(INDEX(ERP資料!$G:$G, (MATCH(176, 輔助計算!$G$2:$G$801, 0)+1))&lt;=31,3,IF(INDEX(ERP資料!$G:$G, (MATCH(176, 輔助計算!$G$2:$G$801, 0)+1))&lt;=46.5,2,1)), IF(INDEX(ERP資料!$G:$G, (MATCH(176, 輔助計算!$G$2:$G$801, 0)+1))&lt;=790,3,IF(INDEX(ERP資料!$G:$G, (MATCH(176, 輔助計算!$G$2:$G$801, 0)+1))&lt;=1181,2,1))))&gt;0, IF(IF(INDEX(ERP資料!$G:$G, (MATCH(176, 輔助計算!$G$2:$G$801, 0)+1))&lt;100, IF(INDEX(ERP資料!$G:$G, (MATCH(176, 輔助計算!$G$2:$G$801, 0)+1))&lt;=31,3,IF(INDEX(ERP資料!$G:$G, (MATCH(176, 輔助計算!$G$2:$G$801, 0)+1))&lt;=46.5,2,1)), IF(INDEX(ERP資料!$G:$G, (MATCH(176, 輔助計算!$G$2:$G$801, 0)+1))&lt;=790,3,IF(INDEX(ERP資料!$G:$G, (MATCH(176, 輔助計算!$G$2:$G$801, 0)+1))&lt;=1181,2,1)))=1,TEXT(INDEX(ERP資料!$G:$G, (MATCH(176, 輔助計算!$G$2:$G$801, 0)+1)),"0.##"),IF(IF(INDEX(ERP資料!$G:$G, (MATCH(176, 輔助計算!$G$2:$G$801, 0)+1))&lt;100, IF(INDEX(ERP資料!$G:$G, (MATCH(176, 輔助計算!$G$2:$G$801, 0)+1))&lt;=31,3,IF(INDEX(ERP資料!$G:$G, (MATCH(176, 輔助計算!$G$2:$G$801, 0)+1))&lt;=46.5,2,1)), IF(INDEX(ERP資料!$G:$G, (MATCH(176, 輔助計算!$G$2:$G$801, 0)+1))&lt;=790,3,IF(INDEX(ERP資料!$G:$G, (MATCH(176, 輔助計算!$G$2:$G$801, 0)+1))&lt;=1181,2,1)))=2,TEXT(INDEX(ERP資料!$G:$G, (MATCH(176, 輔助計算!$G$2:$G$801, 0)+1)),"0.##")&amp;"+"&amp;TEXT(INDEX(ERP資料!$G:$G, (MATCH(176, 輔助計算!$G$2:$G$801, 0)+1)),"0.##"),TEXT(INDEX(ERP資料!$G:$G, (MATCH(176, 輔助計算!$G$2:$G$801, 0)+1)),"0.##")&amp;"+"&amp;TEXT(INDEX(ERP資料!$G:$G, (MATCH(176, 輔助計算!$G$2:$G$801, 0)+1)),"0.##")&amp;"+"&amp;TEXT(INDEX(ERP資料!$G:$G, (MATCH(176, 輔助計算!$G$2:$G$801, 0)+1)),"0.##")))&amp;"-"&amp;INT(INDEX(輔助計算!$D:$D, (MATCH(176, 輔助計算!$G$2:$G$801, 0)+1))/IF(INDEX(ERP資料!$G:$G, (MATCH(176, 輔助計算!$G$2:$G$801, 0)+1))&lt;100, IF(INDEX(ERP資料!$G:$G, (MATCH(176, 輔助計算!$G$2:$G$801, 0)+1))&lt;=31,3,IF(INDEX(ERP資料!$G:$G, (MATCH(176, 輔助計算!$G$2:$G$801, 0)+1))&lt;=46.5,2,1)), IF(INDEX(ERP資料!$G:$G, (MATCH(176, 輔助計算!$G$2:$G$801, 0)+1))&lt;=790,3,IF(INDEX(ERP資料!$G:$G, (MATCH(176, 輔助計算!$G$2:$G$801, 0)+1))&lt;=1181,2,1)))), "")&lt;&gt;"",IF(MOD(INDEX(輔助計算!$D:$D, (MATCH(176, 輔助計算!$G$2:$G$801, 0)+1)),IF(INDEX(ERP資料!$G:$G, (MATCH(176, 輔助計算!$G$2:$G$801, 0)+1))&lt;100, IF(INDEX(ERP資料!$G:$G, (MATCH(176, 輔助計算!$G$2:$G$801, 0)+1))&lt;=31,3,IF(INDEX(ERP資料!$G:$G, (MATCH(176, 輔助計算!$G$2:$G$801, 0)+1))&lt;=46.5,2,1)), IF(INDEX(ERP資料!$G:$G, (MATCH(176, 輔助計算!$G$2:$G$801, 0)+1))&lt;=790,3,IF(INDEX(ERP資料!$G:$G, (MATCH(176, 輔助計算!$G$2:$G$801, 0)+1))&lt;=1181,2,1))))=0,"",IF(MOD(INDEX(輔助計算!$D:$D, (MATCH(176, 輔助計算!$G$2:$G$801, 0)+1)),IF(INDEX(ERP資料!$G:$G, (MATCH(176, 輔助計算!$G$2:$G$801, 0)+1))&lt;100, IF(INDEX(ERP資料!$G:$G, (MATCH(176, 輔助計算!$G$2:$G$801, 0)+1))&lt;=31,3,IF(INDEX(ERP資料!$G:$G, (MATCH(176, 輔助計算!$G$2:$G$801, 0)+1))&lt;=46.5,2,1)), IF(INDEX(ERP資料!$G:$G, (MATCH(176, 輔助計算!$G$2:$G$801, 0)+1))&lt;=790,3,IF(INDEX(ERP資料!$G:$G, (MATCH(176, 輔助計算!$G$2:$G$801, 0)+1))&lt;=1181,2,1))))=0,"",IF(MOD(INDEX(輔助計算!$D:$D, (MATCH(176, 輔助計算!$G$2:$G$801, 0)+1)),IF(INDEX(ERP資料!$G:$G, (MATCH(176, 輔助計算!$G$2:$G$801, 0)+1))&lt;100, IF(INDEX(ERP資料!$G:$G, (MATCH(176, 輔助計算!$G$2:$G$801, 0)+1))&lt;=31,3,IF(INDEX(ERP資料!$G:$G, (MATCH(176, 輔助計算!$G$2:$G$801, 0)+1))&lt;=46.5,2,1)), IF(INDEX(ERP資料!$G:$G, (MATCH(176, 輔助計算!$G$2:$G$801, 0)+1))&lt;=790,3,IF(INDEX(ERP資料!$G:$G, (MATCH(176, 輔助計算!$G$2:$G$801, 0)+1))&lt;=1181,2,1))))=1,TEXT(INDEX(ERP資料!$G:$G, (MATCH(176, 輔助計算!$G$2:$G$801, 0)+1)),"0.##"),IF(MOD(INDEX(輔助計算!$D:$D, (MATCH(176, 輔助計算!$G$2:$G$801, 0)+1)),IF(INDEX(ERP資料!$G:$G, (MATCH(176, 輔助計算!$G$2:$G$801, 0)+1))&lt;100, IF(INDEX(ERP資料!$G:$G, (MATCH(176, 輔助計算!$G$2:$G$801, 0)+1))&lt;=31,3,IF(INDEX(ERP資料!$G:$G, (MATCH(176, 輔助計算!$G$2:$G$801, 0)+1))&lt;=46.5,2,1)), IF(INDEX(ERP資料!$G:$G, (MATCH(176, 輔助計算!$G$2:$G$801, 0)+1))&lt;=790,3,IF(INDEX(ERP資料!$G:$G, (MATCH(176, 輔助計算!$G$2:$G$801, 0)+1))&lt;=1181,2,1))))=2,TEXT(INDEX(ERP資料!$G:$G, (MATCH(176, 輔助計算!$G$2:$G$801, 0)+1)),"0.##")&amp;"+"&amp;TEXT(INDEX(ERP資料!$G:$G, (MATCH(176, 輔助計算!$G$2:$G$801, 0)+1)),"0.##"),TEXT(INDEX(ERP資料!$G:$G, (MATCH(176, 輔助計算!$G$2:$G$801, 0)+1)),"0.##")&amp;"+"&amp;TEXT(INDEX(ERP資料!$G:$G, (MATCH(176, 輔助計算!$G$2:$G$801, 0)+1)),"0.##")&amp;"+"&amp;TEXT(INDEX(ERP資料!$G:$G, (MATCH(176, 輔助計算!$G$2:$G$801, 0)+1)),"0.##"))))&amp;"-1")&lt;&gt;""),"  ","")&amp;IF(MOD(INDEX(輔助計算!$D:$D, (MATCH(176, 輔助計算!$G$2:$G$801, 0)+1)),IF(INDEX(ERP資料!$G:$G, (MATCH(176, 輔助計算!$G$2:$G$801, 0)+1))&lt;100, IF(INDEX(ERP資料!$G:$G, (MATCH(176, 輔助計算!$G$2:$G$801, 0)+1))&lt;=31,3,IF(INDEX(ERP資料!$G:$G, (MATCH(176, 輔助計算!$G$2:$G$801, 0)+1))&lt;=46.5,2,1)), IF(INDEX(ERP資料!$G:$G, (MATCH(176, 輔助計算!$G$2:$G$801, 0)+1))&lt;=790,3,IF(INDEX(ERP資料!$G:$G, (MATCH(176, 輔助計算!$G$2:$G$801, 0)+1))&lt;=1181,2,1))))=0,"",IF(MOD(INDEX(輔助計算!$D:$D, (MATCH(176, 輔助計算!$G$2:$G$801, 0)+1)),IF(INDEX(ERP資料!$G:$G, (MATCH(176, 輔助計算!$G$2:$G$801, 0)+1))&lt;100, IF(INDEX(ERP資料!$G:$G, (MATCH(176, 輔助計算!$G$2:$G$801, 0)+1))&lt;=31,3,IF(INDEX(ERP資料!$G:$G, (MATCH(176, 輔助計算!$G$2:$G$801, 0)+1))&lt;=46.5,2,1)), IF(INDEX(ERP資料!$G:$G, (MATCH(176, 輔助計算!$G$2:$G$801, 0)+1))&lt;=790,3,IF(INDEX(ERP資料!$G:$G, (MATCH(176, 輔助計算!$G$2:$G$801, 0)+1))&lt;=1181,2,1))))=0,"",IF(MOD(INDEX(輔助計算!$D:$D, (MATCH(176, 輔助計算!$G$2:$G$801, 0)+1)),IF(INDEX(ERP資料!$G:$G, (MATCH(176, 輔助計算!$G$2:$G$801, 0)+1))&lt;100, IF(INDEX(ERP資料!$G:$G, (MATCH(176, 輔助計算!$G$2:$G$801, 0)+1))&lt;=31,3,IF(INDEX(ERP資料!$G:$G, (MATCH(176, 輔助計算!$G$2:$G$801, 0)+1))&lt;=46.5,2,1)), IF(INDEX(ERP資料!$G:$G, (MATCH(176, 輔助計算!$G$2:$G$801, 0)+1))&lt;=790,3,IF(INDEX(ERP資料!$G:$G, (MATCH(176, 輔助計算!$G$2:$G$801, 0)+1))&lt;=1181,2,1))))=1,TEXT(INDEX(ERP資料!$G:$G, (MATCH(176, 輔助計算!$G$2:$G$801, 0)+1)),"0.##"),IF(MOD(INDEX(輔助計算!$D:$D, (MATCH(176, 輔助計算!$G$2:$G$801, 0)+1)),IF(INDEX(ERP資料!$G:$G, (MATCH(176, 輔助計算!$G$2:$G$801, 0)+1))&lt;100, IF(INDEX(ERP資料!$G:$G, (MATCH(176, 輔助計算!$G$2:$G$801, 0)+1))&lt;=31,3,IF(INDEX(ERP資料!$G:$G, (MATCH(176, 輔助計算!$G$2:$G$801, 0)+1))&lt;=46.5,2,1)), IF(INDEX(ERP資料!$G:$G, (MATCH(176, 輔助計算!$G$2:$G$801, 0)+1))&lt;=790,3,IF(INDEX(ERP資料!$G:$G, (MATCH(176, 輔助計算!$G$2:$G$801, 0)+1))&lt;=1181,2,1))))=2,TEXT(INDEX(ERP資料!$G:$G, (MATCH(176, 輔助計算!$G$2:$G$801, 0)+1)),"0.##")&amp;"+"&amp;TEXT(INDEX(ERP資料!$G:$G, (MATCH(176, 輔助計算!$G$2:$G$801, 0)+1)),"0.##"),TEXT(INDEX(ERP資料!$G:$G, (MATCH(176, 輔助計算!$G$2:$G$801, 0)+1)),"0.##")&amp;"+"&amp;TEXT(INDEX(ERP資料!$G:$G, (MATCH(176, 輔助計算!$G$2:$G$801, 0)+1)),"0.##")&amp;"+"&amp;TEXT(INDEX(ERP資料!$G:$G, (MATCH(176, 輔助計算!$G$2:$G$801, 0)+1)),"0.##"))))&amp;"-1")), ""), "")</f>
        <v/>
      </c>
      <c r="K177" s="16" t="n"/>
      <c r="L177" s="14">
        <f>IFERROR(IF(AND(IFERROR(INDEX(ERP資料!$A:$A, (MATCH(176, 輔助計算!$G$2:$G$801, 0)+1)), "")&lt;&gt;"", IFERROR(INDEX(ERP資料!$A:$A, (MATCH(176, 輔助計算!$G$2:$G$801, 0)+1)), "")&lt;&gt;IFERROR(INDEX(ERP資料!$A:$A, MATCH(175, 輔助計算!$G$2:$G$801, 0)+1), "")), INDEX(ERP資料!$B:$B, (MATCH(176, 輔助計算!$G$2:$G$801, 0)+1)), ""), "")</f>
        <v/>
      </c>
      <c r="M177" s="17" t="n"/>
    </row>
    <row r="178">
      <c r="A178" s="10">
        <f>IFERROR(IF(AND(IFERROR(INDEX(ERP資料!$A:$A, (MATCH(177, 輔助計算!$G$2:$G$801, 0)+1)), "")&lt;&gt;"", IFERROR(INDEX(ERP資料!$A:$A, (MATCH(177, 輔助計算!$G$2:$G$801, 0)+1)), "")&lt;&gt;IFERROR(INDEX(ERP資料!$A:$A, MATCH(176, 輔助計算!$G$2:$G$801, 0)+1), "")), IFERROR(INDEX(ERP資料!$A:$A, (MATCH(177, 輔助計算!$G$2:$G$801, 0)+1)), ""), ""), "")</f>
        <v/>
      </c>
      <c r="B178" s="10">
        <f>IFERROR(IF(AND(IFERROR(INDEX(ERP資料!$A:$A, (MATCH(177, 輔助計算!$G$2:$G$801, 0)+1)), "")&lt;&gt;"", IFERROR(INDEX(ERP資料!$A:$A, (MATCH(177, 輔助計算!$G$2:$G$801, 0)+1)), "")&lt;&gt;IFERROR(INDEX(ERP資料!$A:$A, MATCH(176, 輔助計算!$G$2:$G$801, 0)+1), "")), INDEX(ERP資料!$S:$S, (MATCH(177, 輔助計算!$G$2:$G$801, 0)+1)), ""), "")</f>
        <v/>
      </c>
      <c r="C178" s="19">
        <f>IFERROR(IF(AND(IFERROR(INDEX(ERP資料!$A:$A, (MATCH(177, 輔助計算!$G$2:$G$801, 0)+1)), "")&lt;&gt;"", IFERROR(INDEX(ERP資料!$A:$A, (MATCH(177, 輔助計算!$G$2:$G$801, 0)+1)), "")&lt;&gt;IFERROR(INDEX(ERP資料!$A:$A, MATCH(176, 輔助計算!$G$2:$G$801, 0)+1), "")), IFERROR(VLOOKUP(LEFT(INDEX(ERP資料!$S:$S, (MATCH(177, 輔助計算!$G$2:$G$801, 0)+1)), 4), 紙管對照表!$A:$C, 3, FALSE), ""), ""), "")</f>
        <v/>
      </c>
      <c r="D178" s="16" t="n"/>
      <c r="E178" s="10">
        <f>IFERROR(IF(INDEX(ERP資料!$H:$H, (MATCH(177, 輔助計算!$G$2:$G$801, 0)+1))="","",INDEX(ERP資料!$H:$H, (MATCH(177, 輔助計算!$G$2:$G$801, 0)+1))), "")</f>
        <v/>
      </c>
      <c r="F178" s="10">
        <f>IFERROR(IF(INDEX(ERP資料!$E:$E, (MATCH(177, 輔助計算!$G$2:$G$801, 0)+1))="","",TRIM(INDEX(ERP資料!$E:$E, (MATCH(177, 輔助計算!$G$2:$G$801, 0)+1)))), "")</f>
        <v/>
      </c>
      <c r="G178" s="10">
        <f>IFERROR(IF(INDEX(ERP資料!$F:$F, (MATCH(177, 輔助計算!$G$2:$G$801, 0)+1))="","",INDEX(ERP資料!$F:$F, (MATCH(177, 輔助計算!$G$2:$G$801, 0)+1))), "")</f>
        <v/>
      </c>
      <c r="H178" s="10">
        <f>IFERROR(IF(INDEX(ERP資料!$G:$G, (MATCH(177, 輔助計算!$G$2:$G$801, 0)+1))="","",INDEX(ERP資料!$G:$G, (MATCH(177, 輔助計算!$G$2:$G$801, 0)+1))), "")</f>
        <v/>
      </c>
      <c r="I178" s="15">
        <f>IFERROR(INDEX(輔助計算!$D:$D, (MATCH(177, 輔助計算!$G$2:$G$801, 0)+1)), "")</f>
        <v/>
      </c>
      <c r="J178" s="15">
        <f>IFERROR(IF(AND(INDEX(輔助計算!$D:$D, (MATCH(177, 輔助計算!$G$2:$G$801, 0)+1))&lt;&gt;"", INDEX(ERP資料!$G:$G, (MATCH(177, 輔助計算!$G$2:$G$801, 0)+1))&lt;&gt;""), TRIM(IF(INT(INDEX(輔助計算!$D:$D, (MATCH(177, 輔助計算!$G$2:$G$801, 0)+1))/IF(INDEX(ERP資料!$G:$G, (MATCH(177, 輔助計算!$G$2:$G$801, 0)+1))&lt;100, IF(INDEX(ERP資料!$G:$G, (MATCH(177, 輔助計算!$G$2:$G$801, 0)+1))&lt;=31,3,IF(INDEX(ERP資料!$G:$G, (MATCH(177, 輔助計算!$G$2:$G$801, 0)+1))&lt;=46.5,2,1)), IF(INDEX(ERP資料!$G:$G, (MATCH(177, 輔助計算!$G$2:$G$801, 0)+1))&lt;=790,3,IF(INDEX(ERP資料!$G:$G, (MATCH(177, 輔助計算!$G$2:$G$801, 0)+1))&lt;=1181,2,1))))&gt;0, IF(IF(INDEX(ERP資料!$G:$G, (MATCH(177, 輔助計算!$G$2:$G$801, 0)+1))&lt;100, IF(INDEX(ERP資料!$G:$G, (MATCH(177, 輔助計算!$G$2:$G$801, 0)+1))&lt;=31,3,IF(INDEX(ERP資料!$G:$G, (MATCH(177, 輔助計算!$G$2:$G$801, 0)+1))&lt;=46.5,2,1)), IF(INDEX(ERP資料!$G:$G, (MATCH(177, 輔助計算!$G$2:$G$801, 0)+1))&lt;=790,3,IF(INDEX(ERP資料!$G:$G, (MATCH(177, 輔助計算!$G$2:$G$801, 0)+1))&lt;=1181,2,1)))=1,TEXT(INDEX(ERP資料!$G:$G, (MATCH(177, 輔助計算!$G$2:$G$801, 0)+1)),"0.##"),IF(IF(INDEX(ERP資料!$G:$G, (MATCH(177, 輔助計算!$G$2:$G$801, 0)+1))&lt;100, IF(INDEX(ERP資料!$G:$G, (MATCH(177, 輔助計算!$G$2:$G$801, 0)+1))&lt;=31,3,IF(INDEX(ERP資料!$G:$G, (MATCH(177, 輔助計算!$G$2:$G$801, 0)+1))&lt;=46.5,2,1)), IF(INDEX(ERP資料!$G:$G, (MATCH(177, 輔助計算!$G$2:$G$801, 0)+1))&lt;=790,3,IF(INDEX(ERP資料!$G:$G, (MATCH(177, 輔助計算!$G$2:$G$801, 0)+1))&lt;=1181,2,1)))=2,TEXT(INDEX(ERP資料!$G:$G, (MATCH(177, 輔助計算!$G$2:$G$801, 0)+1)),"0.##")&amp;"+"&amp;TEXT(INDEX(ERP資料!$G:$G, (MATCH(177, 輔助計算!$G$2:$G$801, 0)+1)),"0.##"),TEXT(INDEX(ERP資料!$G:$G, (MATCH(177, 輔助計算!$G$2:$G$801, 0)+1)),"0.##")&amp;"+"&amp;TEXT(INDEX(ERP資料!$G:$G, (MATCH(177, 輔助計算!$G$2:$G$801, 0)+1)),"0.##")&amp;"+"&amp;TEXT(INDEX(ERP資料!$G:$G, (MATCH(177, 輔助計算!$G$2:$G$801, 0)+1)),"0.##")))&amp;"-"&amp;INT(INDEX(輔助計算!$D:$D, (MATCH(177, 輔助計算!$G$2:$G$801, 0)+1))/IF(INDEX(ERP資料!$G:$G, (MATCH(177, 輔助計算!$G$2:$G$801, 0)+1))&lt;100, IF(INDEX(ERP資料!$G:$G, (MATCH(177, 輔助計算!$G$2:$G$801, 0)+1))&lt;=31,3,IF(INDEX(ERP資料!$G:$G, (MATCH(177, 輔助計算!$G$2:$G$801, 0)+1))&lt;=46.5,2,1)), IF(INDEX(ERP資料!$G:$G, (MATCH(177, 輔助計算!$G$2:$G$801, 0)+1))&lt;=790,3,IF(INDEX(ERP資料!$G:$G, (MATCH(177, 輔助計算!$G$2:$G$801, 0)+1))&lt;=1181,2,1)))), "")&amp;IF(AND(IF(INT(INDEX(輔助計算!$D:$D, (MATCH(177, 輔助計算!$G$2:$G$801, 0)+1))/IF(INDEX(ERP資料!$G:$G, (MATCH(177, 輔助計算!$G$2:$G$801, 0)+1))&lt;100, IF(INDEX(ERP資料!$G:$G, (MATCH(177, 輔助計算!$G$2:$G$801, 0)+1))&lt;=31,3,IF(INDEX(ERP資料!$G:$G, (MATCH(177, 輔助計算!$G$2:$G$801, 0)+1))&lt;=46.5,2,1)), IF(INDEX(ERP資料!$G:$G, (MATCH(177, 輔助計算!$G$2:$G$801, 0)+1))&lt;=790,3,IF(INDEX(ERP資料!$G:$G, (MATCH(177, 輔助計算!$G$2:$G$801, 0)+1))&lt;=1181,2,1))))&gt;0, IF(IF(INDEX(ERP資料!$G:$G, (MATCH(177, 輔助計算!$G$2:$G$801, 0)+1))&lt;100, IF(INDEX(ERP資料!$G:$G, (MATCH(177, 輔助計算!$G$2:$G$801, 0)+1))&lt;=31,3,IF(INDEX(ERP資料!$G:$G, (MATCH(177, 輔助計算!$G$2:$G$801, 0)+1))&lt;=46.5,2,1)), IF(INDEX(ERP資料!$G:$G, (MATCH(177, 輔助計算!$G$2:$G$801, 0)+1))&lt;=790,3,IF(INDEX(ERP資料!$G:$G, (MATCH(177, 輔助計算!$G$2:$G$801, 0)+1))&lt;=1181,2,1)))=1,TEXT(INDEX(ERP資料!$G:$G, (MATCH(177, 輔助計算!$G$2:$G$801, 0)+1)),"0.##"),IF(IF(INDEX(ERP資料!$G:$G, (MATCH(177, 輔助計算!$G$2:$G$801, 0)+1))&lt;100, IF(INDEX(ERP資料!$G:$G, (MATCH(177, 輔助計算!$G$2:$G$801, 0)+1))&lt;=31,3,IF(INDEX(ERP資料!$G:$G, (MATCH(177, 輔助計算!$G$2:$G$801, 0)+1))&lt;=46.5,2,1)), IF(INDEX(ERP資料!$G:$G, (MATCH(177, 輔助計算!$G$2:$G$801, 0)+1))&lt;=790,3,IF(INDEX(ERP資料!$G:$G, (MATCH(177, 輔助計算!$G$2:$G$801, 0)+1))&lt;=1181,2,1)))=2,TEXT(INDEX(ERP資料!$G:$G, (MATCH(177, 輔助計算!$G$2:$G$801, 0)+1)),"0.##")&amp;"+"&amp;TEXT(INDEX(ERP資料!$G:$G, (MATCH(177, 輔助計算!$G$2:$G$801, 0)+1)),"0.##"),TEXT(INDEX(ERP資料!$G:$G, (MATCH(177, 輔助計算!$G$2:$G$801, 0)+1)),"0.##")&amp;"+"&amp;TEXT(INDEX(ERP資料!$G:$G, (MATCH(177, 輔助計算!$G$2:$G$801, 0)+1)),"0.##")&amp;"+"&amp;TEXT(INDEX(ERP資料!$G:$G, (MATCH(177, 輔助計算!$G$2:$G$801, 0)+1)),"0.##")))&amp;"-"&amp;INT(INDEX(輔助計算!$D:$D, (MATCH(177, 輔助計算!$G$2:$G$801, 0)+1))/IF(INDEX(ERP資料!$G:$G, (MATCH(177, 輔助計算!$G$2:$G$801, 0)+1))&lt;100, IF(INDEX(ERP資料!$G:$G, (MATCH(177, 輔助計算!$G$2:$G$801, 0)+1))&lt;=31,3,IF(INDEX(ERP資料!$G:$G, (MATCH(177, 輔助計算!$G$2:$G$801, 0)+1))&lt;=46.5,2,1)), IF(INDEX(ERP資料!$G:$G, (MATCH(177, 輔助計算!$G$2:$G$801, 0)+1))&lt;=790,3,IF(INDEX(ERP資料!$G:$G, (MATCH(177, 輔助計算!$G$2:$G$801, 0)+1))&lt;=1181,2,1)))), "")&lt;&gt;"",IF(MOD(INDEX(輔助計算!$D:$D, (MATCH(177, 輔助計算!$G$2:$G$801, 0)+1)),IF(INDEX(ERP資料!$G:$G, (MATCH(177, 輔助計算!$G$2:$G$801, 0)+1))&lt;100, IF(INDEX(ERP資料!$G:$G, (MATCH(177, 輔助計算!$G$2:$G$801, 0)+1))&lt;=31,3,IF(INDEX(ERP資料!$G:$G, (MATCH(177, 輔助計算!$G$2:$G$801, 0)+1))&lt;=46.5,2,1)), IF(INDEX(ERP資料!$G:$G, (MATCH(177, 輔助計算!$G$2:$G$801, 0)+1))&lt;=790,3,IF(INDEX(ERP資料!$G:$G, (MATCH(177, 輔助計算!$G$2:$G$801, 0)+1))&lt;=1181,2,1))))=0,"",IF(MOD(INDEX(輔助計算!$D:$D, (MATCH(177, 輔助計算!$G$2:$G$801, 0)+1)),IF(INDEX(ERP資料!$G:$G, (MATCH(177, 輔助計算!$G$2:$G$801, 0)+1))&lt;100, IF(INDEX(ERP資料!$G:$G, (MATCH(177, 輔助計算!$G$2:$G$801, 0)+1))&lt;=31,3,IF(INDEX(ERP資料!$G:$G, (MATCH(177, 輔助計算!$G$2:$G$801, 0)+1))&lt;=46.5,2,1)), IF(INDEX(ERP資料!$G:$G, (MATCH(177, 輔助計算!$G$2:$G$801, 0)+1))&lt;=790,3,IF(INDEX(ERP資料!$G:$G, (MATCH(177, 輔助計算!$G$2:$G$801, 0)+1))&lt;=1181,2,1))))=0,"",IF(MOD(INDEX(輔助計算!$D:$D, (MATCH(177, 輔助計算!$G$2:$G$801, 0)+1)),IF(INDEX(ERP資料!$G:$G, (MATCH(177, 輔助計算!$G$2:$G$801, 0)+1))&lt;100, IF(INDEX(ERP資料!$G:$G, (MATCH(177, 輔助計算!$G$2:$G$801, 0)+1))&lt;=31,3,IF(INDEX(ERP資料!$G:$G, (MATCH(177, 輔助計算!$G$2:$G$801, 0)+1))&lt;=46.5,2,1)), IF(INDEX(ERP資料!$G:$G, (MATCH(177, 輔助計算!$G$2:$G$801, 0)+1))&lt;=790,3,IF(INDEX(ERP資料!$G:$G, (MATCH(177, 輔助計算!$G$2:$G$801, 0)+1))&lt;=1181,2,1))))=1,TEXT(INDEX(ERP資料!$G:$G, (MATCH(177, 輔助計算!$G$2:$G$801, 0)+1)),"0.##"),IF(MOD(INDEX(輔助計算!$D:$D, (MATCH(177, 輔助計算!$G$2:$G$801, 0)+1)),IF(INDEX(ERP資料!$G:$G, (MATCH(177, 輔助計算!$G$2:$G$801, 0)+1))&lt;100, IF(INDEX(ERP資料!$G:$G, (MATCH(177, 輔助計算!$G$2:$G$801, 0)+1))&lt;=31,3,IF(INDEX(ERP資料!$G:$G, (MATCH(177, 輔助計算!$G$2:$G$801, 0)+1))&lt;=46.5,2,1)), IF(INDEX(ERP資料!$G:$G, (MATCH(177, 輔助計算!$G$2:$G$801, 0)+1))&lt;=790,3,IF(INDEX(ERP資料!$G:$G, (MATCH(177, 輔助計算!$G$2:$G$801, 0)+1))&lt;=1181,2,1))))=2,TEXT(INDEX(ERP資料!$G:$G, (MATCH(177, 輔助計算!$G$2:$G$801, 0)+1)),"0.##")&amp;"+"&amp;TEXT(INDEX(ERP資料!$G:$G, (MATCH(177, 輔助計算!$G$2:$G$801, 0)+1)),"0.##"),TEXT(INDEX(ERP資料!$G:$G, (MATCH(177, 輔助計算!$G$2:$G$801, 0)+1)),"0.##")&amp;"+"&amp;TEXT(INDEX(ERP資料!$G:$G, (MATCH(177, 輔助計算!$G$2:$G$801, 0)+1)),"0.##")&amp;"+"&amp;TEXT(INDEX(ERP資料!$G:$G, (MATCH(177, 輔助計算!$G$2:$G$801, 0)+1)),"0.##"))))&amp;"-1")&lt;&gt;""),"  ","")&amp;IF(MOD(INDEX(輔助計算!$D:$D, (MATCH(177, 輔助計算!$G$2:$G$801, 0)+1)),IF(INDEX(ERP資料!$G:$G, (MATCH(177, 輔助計算!$G$2:$G$801, 0)+1))&lt;100, IF(INDEX(ERP資料!$G:$G, (MATCH(177, 輔助計算!$G$2:$G$801, 0)+1))&lt;=31,3,IF(INDEX(ERP資料!$G:$G, (MATCH(177, 輔助計算!$G$2:$G$801, 0)+1))&lt;=46.5,2,1)), IF(INDEX(ERP資料!$G:$G, (MATCH(177, 輔助計算!$G$2:$G$801, 0)+1))&lt;=790,3,IF(INDEX(ERP資料!$G:$G, (MATCH(177, 輔助計算!$G$2:$G$801, 0)+1))&lt;=1181,2,1))))=0,"",IF(MOD(INDEX(輔助計算!$D:$D, (MATCH(177, 輔助計算!$G$2:$G$801, 0)+1)),IF(INDEX(ERP資料!$G:$G, (MATCH(177, 輔助計算!$G$2:$G$801, 0)+1))&lt;100, IF(INDEX(ERP資料!$G:$G, (MATCH(177, 輔助計算!$G$2:$G$801, 0)+1))&lt;=31,3,IF(INDEX(ERP資料!$G:$G, (MATCH(177, 輔助計算!$G$2:$G$801, 0)+1))&lt;=46.5,2,1)), IF(INDEX(ERP資料!$G:$G, (MATCH(177, 輔助計算!$G$2:$G$801, 0)+1))&lt;=790,3,IF(INDEX(ERP資料!$G:$G, (MATCH(177, 輔助計算!$G$2:$G$801, 0)+1))&lt;=1181,2,1))))=0,"",IF(MOD(INDEX(輔助計算!$D:$D, (MATCH(177, 輔助計算!$G$2:$G$801, 0)+1)),IF(INDEX(ERP資料!$G:$G, (MATCH(177, 輔助計算!$G$2:$G$801, 0)+1))&lt;100, IF(INDEX(ERP資料!$G:$G, (MATCH(177, 輔助計算!$G$2:$G$801, 0)+1))&lt;=31,3,IF(INDEX(ERP資料!$G:$G, (MATCH(177, 輔助計算!$G$2:$G$801, 0)+1))&lt;=46.5,2,1)), IF(INDEX(ERP資料!$G:$G, (MATCH(177, 輔助計算!$G$2:$G$801, 0)+1))&lt;=790,3,IF(INDEX(ERP資料!$G:$G, (MATCH(177, 輔助計算!$G$2:$G$801, 0)+1))&lt;=1181,2,1))))=1,TEXT(INDEX(ERP資料!$G:$G, (MATCH(177, 輔助計算!$G$2:$G$801, 0)+1)),"0.##"),IF(MOD(INDEX(輔助計算!$D:$D, (MATCH(177, 輔助計算!$G$2:$G$801, 0)+1)),IF(INDEX(ERP資料!$G:$G, (MATCH(177, 輔助計算!$G$2:$G$801, 0)+1))&lt;100, IF(INDEX(ERP資料!$G:$G, (MATCH(177, 輔助計算!$G$2:$G$801, 0)+1))&lt;=31,3,IF(INDEX(ERP資料!$G:$G, (MATCH(177, 輔助計算!$G$2:$G$801, 0)+1))&lt;=46.5,2,1)), IF(INDEX(ERP資料!$G:$G, (MATCH(177, 輔助計算!$G$2:$G$801, 0)+1))&lt;=790,3,IF(INDEX(ERP資料!$G:$G, (MATCH(177, 輔助計算!$G$2:$G$801, 0)+1))&lt;=1181,2,1))))=2,TEXT(INDEX(ERP資料!$G:$G, (MATCH(177, 輔助計算!$G$2:$G$801, 0)+1)),"0.##")&amp;"+"&amp;TEXT(INDEX(ERP資料!$G:$G, (MATCH(177, 輔助計算!$G$2:$G$801, 0)+1)),"0.##"),TEXT(INDEX(ERP資料!$G:$G, (MATCH(177, 輔助計算!$G$2:$G$801, 0)+1)),"0.##")&amp;"+"&amp;TEXT(INDEX(ERP資料!$G:$G, (MATCH(177, 輔助計算!$G$2:$G$801, 0)+1)),"0.##")&amp;"+"&amp;TEXT(INDEX(ERP資料!$G:$G, (MATCH(177, 輔助計算!$G$2:$G$801, 0)+1)),"0.##"))))&amp;"-1")), ""), "")</f>
        <v/>
      </c>
      <c r="K178" s="16" t="n"/>
      <c r="L178" s="14">
        <f>IFERROR(IF(AND(IFERROR(INDEX(ERP資料!$A:$A, (MATCH(177, 輔助計算!$G$2:$G$801, 0)+1)), "")&lt;&gt;"", IFERROR(INDEX(ERP資料!$A:$A, (MATCH(177, 輔助計算!$G$2:$G$801, 0)+1)), "")&lt;&gt;IFERROR(INDEX(ERP資料!$A:$A, MATCH(176, 輔助計算!$G$2:$G$801, 0)+1), "")), INDEX(ERP資料!$B:$B, (MATCH(177, 輔助計算!$G$2:$G$801, 0)+1)), ""), "")</f>
        <v/>
      </c>
      <c r="M178" s="17" t="n"/>
    </row>
    <row r="179">
      <c r="A179" s="10">
        <f>IFERROR(IF(AND(IFERROR(INDEX(ERP資料!$A:$A, (MATCH(178, 輔助計算!$G$2:$G$801, 0)+1)), "")&lt;&gt;"", IFERROR(INDEX(ERP資料!$A:$A, (MATCH(178, 輔助計算!$G$2:$G$801, 0)+1)), "")&lt;&gt;IFERROR(INDEX(ERP資料!$A:$A, MATCH(177, 輔助計算!$G$2:$G$801, 0)+1), "")), IFERROR(INDEX(ERP資料!$A:$A, (MATCH(178, 輔助計算!$G$2:$G$801, 0)+1)), ""), ""), "")</f>
        <v/>
      </c>
      <c r="B179" s="10">
        <f>IFERROR(IF(AND(IFERROR(INDEX(ERP資料!$A:$A, (MATCH(178, 輔助計算!$G$2:$G$801, 0)+1)), "")&lt;&gt;"", IFERROR(INDEX(ERP資料!$A:$A, (MATCH(178, 輔助計算!$G$2:$G$801, 0)+1)), "")&lt;&gt;IFERROR(INDEX(ERP資料!$A:$A, MATCH(177, 輔助計算!$G$2:$G$801, 0)+1), "")), INDEX(ERP資料!$S:$S, (MATCH(178, 輔助計算!$G$2:$G$801, 0)+1)), ""), "")</f>
        <v/>
      </c>
      <c r="C179" s="19">
        <f>IFERROR(IF(AND(IFERROR(INDEX(ERP資料!$A:$A, (MATCH(178, 輔助計算!$G$2:$G$801, 0)+1)), "")&lt;&gt;"", IFERROR(INDEX(ERP資料!$A:$A, (MATCH(178, 輔助計算!$G$2:$G$801, 0)+1)), "")&lt;&gt;IFERROR(INDEX(ERP資料!$A:$A, MATCH(177, 輔助計算!$G$2:$G$801, 0)+1), "")), IFERROR(VLOOKUP(LEFT(INDEX(ERP資料!$S:$S, (MATCH(178, 輔助計算!$G$2:$G$801, 0)+1)), 4), 紙管對照表!$A:$C, 3, FALSE), ""), ""), "")</f>
        <v/>
      </c>
      <c r="D179" s="16" t="n"/>
      <c r="E179" s="10">
        <f>IFERROR(IF(INDEX(ERP資料!$H:$H, (MATCH(178, 輔助計算!$G$2:$G$801, 0)+1))="","",INDEX(ERP資料!$H:$H, (MATCH(178, 輔助計算!$G$2:$G$801, 0)+1))), "")</f>
        <v/>
      </c>
      <c r="F179" s="10">
        <f>IFERROR(IF(INDEX(ERP資料!$E:$E, (MATCH(178, 輔助計算!$G$2:$G$801, 0)+1))="","",TRIM(INDEX(ERP資料!$E:$E, (MATCH(178, 輔助計算!$G$2:$G$801, 0)+1)))), "")</f>
        <v/>
      </c>
      <c r="G179" s="10">
        <f>IFERROR(IF(INDEX(ERP資料!$F:$F, (MATCH(178, 輔助計算!$G$2:$G$801, 0)+1))="","",INDEX(ERP資料!$F:$F, (MATCH(178, 輔助計算!$G$2:$G$801, 0)+1))), "")</f>
        <v/>
      </c>
      <c r="H179" s="10">
        <f>IFERROR(IF(INDEX(ERP資料!$G:$G, (MATCH(178, 輔助計算!$G$2:$G$801, 0)+1))="","",INDEX(ERP資料!$G:$G, (MATCH(178, 輔助計算!$G$2:$G$801, 0)+1))), "")</f>
        <v/>
      </c>
      <c r="I179" s="15">
        <f>IFERROR(INDEX(輔助計算!$D:$D, (MATCH(178, 輔助計算!$G$2:$G$801, 0)+1)), "")</f>
        <v/>
      </c>
      <c r="J179" s="15">
        <f>IFERROR(IF(AND(INDEX(輔助計算!$D:$D, (MATCH(178, 輔助計算!$G$2:$G$801, 0)+1))&lt;&gt;"", INDEX(ERP資料!$G:$G, (MATCH(178, 輔助計算!$G$2:$G$801, 0)+1))&lt;&gt;""), TRIM(IF(INT(INDEX(輔助計算!$D:$D, (MATCH(178, 輔助計算!$G$2:$G$801, 0)+1))/IF(INDEX(ERP資料!$G:$G, (MATCH(178, 輔助計算!$G$2:$G$801, 0)+1))&lt;100, IF(INDEX(ERP資料!$G:$G, (MATCH(178, 輔助計算!$G$2:$G$801, 0)+1))&lt;=31,3,IF(INDEX(ERP資料!$G:$G, (MATCH(178, 輔助計算!$G$2:$G$801, 0)+1))&lt;=46.5,2,1)), IF(INDEX(ERP資料!$G:$G, (MATCH(178, 輔助計算!$G$2:$G$801, 0)+1))&lt;=790,3,IF(INDEX(ERP資料!$G:$G, (MATCH(178, 輔助計算!$G$2:$G$801, 0)+1))&lt;=1181,2,1))))&gt;0, IF(IF(INDEX(ERP資料!$G:$G, (MATCH(178, 輔助計算!$G$2:$G$801, 0)+1))&lt;100, IF(INDEX(ERP資料!$G:$G, (MATCH(178, 輔助計算!$G$2:$G$801, 0)+1))&lt;=31,3,IF(INDEX(ERP資料!$G:$G, (MATCH(178, 輔助計算!$G$2:$G$801, 0)+1))&lt;=46.5,2,1)), IF(INDEX(ERP資料!$G:$G, (MATCH(178, 輔助計算!$G$2:$G$801, 0)+1))&lt;=790,3,IF(INDEX(ERP資料!$G:$G, (MATCH(178, 輔助計算!$G$2:$G$801, 0)+1))&lt;=1181,2,1)))=1,TEXT(INDEX(ERP資料!$G:$G, (MATCH(178, 輔助計算!$G$2:$G$801, 0)+1)),"0.##"),IF(IF(INDEX(ERP資料!$G:$G, (MATCH(178, 輔助計算!$G$2:$G$801, 0)+1))&lt;100, IF(INDEX(ERP資料!$G:$G, (MATCH(178, 輔助計算!$G$2:$G$801, 0)+1))&lt;=31,3,IF(INDEX(ERP資料!$G:$G, (MATCH(178, 輔助計算!$G$2:$G$801, 0)+1))&lt;=46.5,2,1)), IF(INDEX(ERP資料!$G:$G, (MATCH(178, 輔助計算!$G$2:$G$801, 0)+1))&lt;=790,3,IF(INDEX(ERP資料!$G:$G, (MATCH(178, 輔助計算!$G$2:$G$801, 0)+1))&lt;=1181,2,1)))=2,TEXT(INDEX(ERP資料!$G:$G, (MATCH(178, 輔助計算!$G$2:$G$801, 0)+1)),"0.##")&amp;"+"&amp;TEXT(INDEX(ERP資料!$G:$G, (MATCH(178, 輔助計算!$G$2:$G$801, 0)+1)),"0.##"),TEXT(INDEX(ERP資料!$G:$G, (MATCH(178, 輔助計算!$G$2:$G$801, 0)+1)),"0.##")&amp;"+"&amp;TEXT(INDEX(ERP資料!$G:$G, (MATCH(178, 輔助計算!$G$2:$G$801, 0)+1)),"0.##")&amp;"+"&amp;TEXT(INDEX(ERP資料!$G:$G, (MATCH(178, 輔助計算!$G$2:$G$801, 0)+1)),"0.##")))&amp;"-"&amp;INT(INDEX(輔助計算!$D:$D, (MATCH(178, 輔助計算!$G$2:$G$801, 0)+1))/IF(INDEX(ERP資料!$G:$G, (MATCH(178, 輔助計算!$G$2:$G$801, 0)+1))&lt;100, IF(INDEX(ERP資料!$G:$G, (MATCH(178, 輔助計算!$G$2:$G$801, 0)+1))&lt;=31,3,IF(INDEX(ERP資料!$G:$G, (MATCH(178, 輔助計算!$G$2:$G$801, 0)+1))&lt;=46.5,2,1)), IF(INDEX(ERP資料!$G:$G, (MATCH(178, 輔助計算!$G$2:$G$801, 0)+1))&lt;=790,3,IF(INDEX(ERP資料!$G:$G, (MATCH(178, 輔助計算!$G$2:$G$801, 0)+1))&lt;=1181,2,1)))), "")&amp;IF(AND(IF(INT(INDEX(輔助計算!$D:$D, (MATCH(178, 輔助計算!$G$2:$G$801, 0)+1))/IF(INDEX(ERP資料!$G:$G, (MATCH(178, 輔助計算!$G$2:$G$801, 0)+1))&lt;100, IF(INDEX(ERP資料!$G:$G, (MATCH(178, 輔助計算!$G$2:$G$801, 0)+1))&lt;=31,3,IF(INDEX(ERP資料!$G:$G, (MATCH(178, 輔助計算!$G$2:$G$801, 0)+1))&lt;=46.5,2,1)), IF(INDEX(ERP資料!$G:$G, (MATCH(178, 輔助計算!$G$2:$G$801, 0)+1))&lt;=790,3,IF(INDEX(ERP資料!$G:$G, (MATCH(178, 輔助計算!$G$2:$G$801, 0)+1))&lt;=1181,2,1))))&gt;0, IF(IF(INDEX(ERP資料!$G:$G, (MATCH(178, 輔助計算!$G$2:$G$801, 0)+1))&lt;100, IF(INDEX(ERP資料!$G:$G, (MATCH(178, 輔助計算!$G$2:$G$801, 0)+1))&lt;=31,3,IF(INDEX(ERP資料!$G:$G, (MATCH(178, 輔助計算!$G$2:$G$801, 0)+1))&lt;=46.5,2,1)), IF(INDEX(ERP資料!$G:$G, (MATCH(178, 輔助計算!$G$2:$G$801, 0)+1))&lt;=790,3,IF(INDEX(ERP資料!$G:$G, (MATCH(178, 輔助計算!$G$2:$G$801, 0)+1))&lt;=1181,2,1)))=1,TEXT(INDEX(ERP資料!$G:$G, (MATCH(178, 輔助計算!$G$2:$G$801, 0)+1)),"0.##"),IF(IF(INDEX(ERP資料!$G:$G, (MATCH(178, 輔助計算!$G$2:$G$801, 0)+1))&lt;100, IF(INDEX(ERP資料!$G:$G, (MATCH(178, 輔助計算!$G$2:$G$801, 0)+1))&lt;=31,3,IF(INDEX(ERP資料!$G:$G, (MATCH(178, 輔助計算!$G$2:$G$801, 0)+1))&lt;=46.5,2,1)), IF(INDEX(ERP資料!$G:$G, (MATCH(178, 輔助計算!$G$2:$G$801, 0)+1))&lt;=790,3,IF(INDEX(ERP資料!$G:$G, (MATCH(178, 輔助計算!$G$2:$G$801, 0)+1))&lt;=1181,2,1)))=2,TEXT(INDEX(ERP資料!$G:$G, (MATCH(178, 輔助計算!$G$2:$G$801, 0)+1)),"0.##")&amp;"+"&amp;TEXT(INDEX(ERP資料!$G:$G, (MATCH(178, 輔助計算!$G$2:$G$801, 0)+1)),"0.##"),TEXT(INDEX(ERP資料!$G:$G, (MATCH(178, 輔助計算!$G$2:$G$801, 0)+1)),"0.##")&amp;"+"&amp;TEXT(INDEX(ERP資料!$G:$G, (MATCH(178, 輔助計算!$G$2:$G$801, 0)+1)),"0.##")&amp;"+"&amp;TEXT(INDEX(ERP資料!$G:$G, (MATCH(178, 輔助計算!$G$2:$G$801, 0)+1)),"0.##")))&amp;"-"&amp;INT(INDEX(輔助計算!$D:$D, (MATCH(178, 輔助計算!$G$2:$G$801, 0)+1))/IF(INDEX(ERP資料!$G:$G, (MATCH(178, 輔助計算!$G$2:$G$801, 0)+1))&lt;100, IF(INDEX(ERP資料!$G:$G, (MATCH(178, 輔助計算!$G$2:$G$801, 0)+1))&lt;=31,3,IF(INDEX(ERP資料!$G:$G, (MATCH(178, 輔助計算!$G$2:$G$801, 0)+1))&lt;=46.5,2,1)), IF(INDEX(ERP資料!$G:$G, (MATCH(178, 輔助計算!$G$2:$G$801, 0)+1))&lt;=790,3,IF(INDEX(ERP資料!$G:$G, (MATCH(178, 輔助計算!$G$2:$G$801, 0)+1))&lt;=1181,2,1)))), "")&lt;&gt;"",IF(MOD(INDEX(輔助計算!$D:$D, (MATCH(178, 輔助計算!$G$2:$G$801, 0)+1)),IF(INDEX(ERP資料!$G:$G, (MATCH(178, 輔助計算!$G$2:$G$801, 0)+1))&lt;100, IF(INDEX(ERP資料!$G:$G, (MATCH(178, 輔助計算!$G$2:$G$801, 0)+1))&lt;=31,3,IF(INDEX(ERP資料!$G:$G, (MATCH(178, 輔助計算!$G$2:$G$801, 0)+1))&lt;=46.5,2,1)), IF(INDEX(ERP資料!$G:$G, (MATCH(178, 輔助計算!$G$2:$G$801, 0)+1))&lt;=790,3,IF(INDEX(ERP資料!$G:$G, (MATCH(178, 輔助計算!$G$2:$G$801, 0)+1))&lt;=1181,2,1))))=0,"",IF(MOD(INDEX(輔助計算!$D:$D, (MATCH(178, 輔助計算!$G$2:$G$801, 0)+1)),IF(INDEX(ERP資料!$G:$G, (MATCH(178, 輔助計算!$G$2:$G$801, 0)+1))&lt;100, IF(INDEX(ERP資料!$G:$G, (MATCH(178, 輔助計算!$G$2:$G$801, 0)+1))&lt;=31,3,IF(INDEX(ERP資料!$G:$G, (MATCH(178, 輔助計算!$G$2:$G$801, 0)+1))&lt;=46.5,2,1)), IF(INDEX(ERP資料!$G:$G, (MATCH(178, 輔助計算!$G$2:$G$801, 0)+1))&lt;=790,3,IF(INDEX(ERP資料!$G:$G, (MATCH(178, 輔助計算!$G$2:$G$801, 0)+1))&lt;=1181,2,1))))=0,"",IF(MOD(INDEX(輔助計算!$D:$D, (MATCH(178, 輔助計算!$G$2:$G$801, 0)+1)),IF(INDEX(ERP資料!$G:$G, (MATCH(178, 輔助計算!$G$2:$G$801, 0)+1))&lt;100, IF(INDEX(ERP資料!$G:$G, (MATCH(178, 輔助計算!$G$2:$G$801, 0)+1))&lt;=31,3,IF(INDEX(ERP資料!$G:$G, (MATCH(178, 輔助計算!$G$2:$G$801, 0)+1))&lt;=46.5,2,1)), IF(INDEX(ERP資料!$G:$G, (MATCH(178, 輔助計算!$G$2:$G$801, 0)+1))&lt;=790,3,IF(INDEX(ERP資料!$G:$G, (MATCH(178, 輔助計算!$G$2:$G$801, 0)+1))&lt;=1181,2,1))))=1,TEXT(INDEX(ERP資料!$G:$G, (MATCH(178, 輔助計算!$G$2:$G$801, 0)+1)),"0.##"),IF(MOD(INDEX(輔助計算!$D:$D, (MATCH(178, 輔助計算!$G$2:$G$801, 0)+1)),IF(INDEX(ERP資料!$G:$G, (MATCH(178, 輔助計算!$G$2:$G$801, 0)+1))&lt;100, IF(INDEX(ERP資料!$G:$G, (MATCH(178, 輔助計算!$G$2:$G$801, 0)+1))&lt;=31,3,IF(INDEX(ERP資料!$G:$G, (MATCH(178, 輔助計算!$G$2:$G$801, 0)+1))&lt;=46.5,2,1)), IF(INDEX(ERP資料!$G:$G, (MATCH(178, 輔助計算!$G$2:$G$801, 0)+1))&lt;=790,3,IF(INDEX(ERP資料!$G:$G, (MATCH(178, 輔助計算!$G$2:$G$801, 0)+1))&lt;=1181,2,1))))=2,TEXT(INDEX(ERP資料!$G:$G, (MATCH(178, 輔助計算!$G$2:$G$801, 0)+1)),"0.##")&amp;"+"&amp;TEXT(INDEX(ERP資料!$G:$G, (MATCH(178, 輔助計算!$G$2:$G$801, 0)+1)),"0.##"),TEXT(INDEX(ERP資料!$G:$G, (MATCH(178, 輔助計算!$G$2:$G$801, 0)+1)),"0.##")&amp;"+"&amp;TEXT(INDEX(ERP資料!$G:$G, (MATCH(178, 輔助計算!$G$2:$G$801, 0)+1)),"0.##")&amp;"+"&amp;TEXT(INDEX(ERP資料!$G:$G, (MATCH(178, 輔助計算!$G$2:$G$801, 0)+1)),"0.##"))))&amp;"-1")&lt;&gt;""),"  ","")&amp;IF(MOD(INDEX(輔助計算!$D:$D, (MATCH(178, 輔助計算!$G$2:$G$801, 0)+1)),IF(INDEX(ERP資料!$G:$G, (MATCH(178, 輔助計算!$G$2:$G$801, 0)+1))&lt;100, IF(INDEX(ERP資料!$G:$G, (MATCH(178, 輔助計算!$G$2:$G$801, 0)+1))&lt;=31,3,IF(INDEX(ERP資料!$G:$G, (MATCH(178, 輔助計算!$G$2:$G$801, 0)+1))&lt;=46.5,2,1)), IF(INDEX(ERP資料!$G:$G, (MATCH(178, 輔助計算!$G$2:$G$801, 0)+1))&lt;=790,3,IF(INDEX(ERP資料!$G:$G, (MATCH(178, 輔助計算!$G$2:$G$801, 0)+1))&lt;=1181,2,1))))=0,"",IF(MOD(INDEX(輔助計算!$D:$D, (MATCH(178, 輔助計算!$G$2:$G$801, 0)+1)),IF(INDEX(ERP資料!$G:$G, (MATCH(178, 輔助計算!$G$2:$G$801, 0)+1))&lt;100, IF(INDEX(ERP資料!$G:$G, (MATCH(178, 輔助計算!$G$2:$G$801, 0)+1))&lt;=31,3,IF(INDEX(ERP資料!$G:$G, (MATCH(178, 輔助計算!$G$2:$G$801, 0)+1))&lt;=46.5,2,1)), IF(INDEX(ERP資料!$G:$G, (MATCH(178, 輔助計算!$G$2:$G$801, 0)+1))&lt;=790,3,IF(INDEX(ERP資料!$G:$G, (MATCH(178, 輔助計算!$G$2:$G$801, 0)+1))&lt;=1181,2,1))))=0,"",IF(MOD(INDEX(輔助計算!$D:$D, (MATCH(178, 輔助計算!$G$2:$G$801, 0)+1)),IF(INDEX(ERP資料!$G:$G, (MATCH(178, 輔助計算!$G$2:$G$801, 0)+1))&lt;100, IF(INDEX(ERP資料!$G:$G, (MATCH(178, 輔助計算!$G$2:$G$801, 0)+1))&lt;=31,3,IF(INDEX(ERP資料!$G:$G, (MATCH(178, 輔助計算!$G$2:$G$801, 0)+1))&lt;=46.5,2,1)), IF(INDEX(ERP資料!$G:$G, (MATCH(178, 輔助計算!$G$2:$G$801, 0)+1))&lt;=790,3,IF(INDEX(ERP資料!$G:$G, (MATCH(178, 輔助計算!$G$2:$G$801, 0)+1))&lt;=1181,2,1))))=1,TEXT(INDEX(ERP資料!$G:$G, (MATCH(178, 輔助計算!$G$2:$G$801, 0)+1)),"0.##"),IF(MOD(INDEX(輔助計算!$D:$D, (MATCH(178, 輔助計算!$G$2:$G$801, 0)+1)),IF(INDEX(ERP資料!$G:$G, (MATCH(178, 輔助計算!$G$2:$G$801, 0)+1))&lt;100, IF(INDEX(ERP資料!$G:$G, (MATCH(178, 輔助計算!$G$2:$G$801, 0)+1))&lt;=31,3,IF(INDEX(ERP資料!$G:$G, (MATCH(178, 輔助計算!$G$2:$G$801, 0)+1))&lt;=46.5,2,1)), IF(INDEX(ERP資料!$G:$G, (MATCH(178, 輔助計算!$G$2:$G$801, 0)+1))&lt;=790,3,IF(INDEX(ERP資料!$G:$G, (MATCH(178, 輔助計算!$G$2:$G$801, 0)+1))&lt;=1181,2,1))))=2,TEXT(INDEX(ERP資料!$G:$G, (MATCH(178, 輔助計算!$G$2:$G$801, 0)+1)),"0.##")&amp;"+"&amp;TEXT(INDEX(ERP資料!$G:$G, (MATCH(178, 輔助計算!$G$2:$G$801, 0)+1)),"0.##"),TEXT(INDEX(ERP資料!$G:$G, (MATCH(178, 輔助計算!$G$2:$G$801, 0)+1)),"0.##")&amp;"+"&amp;TEXT(INDEX(ERP資料!$G:$G, (MATCH(178, 輔助計算!$G$2:$G$801, 0)+1)),"0.##")&amp;"+"&amp;TEXT(INDEX(ERP資料!$G:$G, (MATCH(178, 輔助計算!$G$2:$G$801, 0)+1)),"0.##"))))&amp;"-1")), ""), "")</f>
        <v/>
      </c>
      <c r="K179" s="16" t="n"/>
      <c r="L179" s="14">
        <f>IFERROR(IF(AND(IFERROR(INDEX(ERP資料!$A:$A, (MATCH(178, 輔助計算!$G$2:$G$801, 0)+1)), "")&lt;&gt;"", IFERROR(INDEX(ERP資料!$A:$A, (MATCH(178, 輔助計算!$G$2:$G$801, 0)+1)), "")&lt;&gt;IFERROR(INDEX(ERP資料!$A:$A, MATCH(177, 輔助計算!$G$2:$G$801, 0)+1), "")), INDEX(ERP資料!$B:$B, (MATCH(178, 輔助計算!$G$2:$G$801, 0)+1)), ""), "")</f>
        <v/>
      </c>
      <c r="M179" s="17" t="n"/>
    </row>
    <row r="180">
      <c r="A180" s="10">
        <f>IFERROR(IF(AND(IFERROR(INDEX(ERP資料!$A:$A, (MATCH(179, 輔助計算!$G$2:$G$801, 0)+1)), "")&lt;&gt;"", IFERROR(INDEX(ERP資料!$A:$A, (MATCH(179, 輔助計算!$G$2:$G$801, 0)+1)), "")&lt;&gt;IFERROR(INDEX(ERP資料!$A:$A, MATCH(178, 輔助計算!$G$2:$G$801, 0)+1), "")), IFERROR(INDEX(ERP資料!$A:$A, (MATCH(179, 輔助計算!$G$2:$G$801, 0)+1)), ""), ""), "")</f>
        <v/>
      </c>
      <c r="B180" s="10">
        <f>IFERROR(IF(AND(IFERROR(INDEX(ERP資料!$A:$A, (MATCH(179, 輔助計算!$G$2:$G$801, 0)+1)), "")&lt;&gt;"", IFERROR(INDEX(ERP資料!$A:$A, (MATCH(179, 輔助計算!$G$2:$G$801, 0)+1)), "")&lt;&gt;IFERROR(INDEX(ERP資料!$A:$A, MATCH(178, 輔助計算!$G$2:$G$801, 0)+1), "")), INDEX(ERP資料!$S:$S, (MATCH(179, 輔助計算!$G$2:$G$801, 0)+1)), ""), "")</f>
        <v/>
      </c>
      <c r="C180" s="19">
        <f>IFERROR(IF(AND(IFERROR(INDEX(ERP資料!$A:$A, (MATCH(179, 輔助計算!$G$2:$G$801, 0)+1)), "")&lt;&gt;"", IFERROR(INDEX(ERP資料!$A:$A, (MATCH(179, 輔助計算!$G$2:$G$801, 0)+1)), "")&lt;&gt;IFERROR(INDEX(ERP資料!$A:$A, MATCH(178, 輔助計算!$G$2:$G$801, 0)+1), "")), IFERROR(VLOOKUP(LEFT(INDEX(ERP資料!$S:$S, (MATCH(179, 輔助計算!$G$2:$G$801, 0)+1)), 4), 紙管對照表!$A:$C, 3, FALSE), ""), ""), "")</f>
        <v/>
      </c>
      <c r="D180" s="16" t="n"/>
      <c r="E180" s="10">
        <f>IFERROR(IF(INDEX(ERP資料!$H:$H, (MATCH(179, 輔助計算!$G$2:$G$801, 0)+1))="","",INDEX(ERP資料!$H:$H, (MATCH(179, 輔助計算!$G$2:$G$801, 0)+1))), "")</f>
        <v/>
      </c>
      <c r="F180" s="10">
        <f>IFERROR(IF(INDEX(ERP資料!$E:$E, (MATCH(179, 輔助計算!$G$2:$G$801, 0)+1))="","",TRIM(INDEX(ERP資料!$E:$E, (MATCH(179, 輔助計算!$G$2:$G$801, 0)+1)))), "")</f>
        <v/>
      </c>
      <c r="G180" s="10">
        <f>IFERROR(IF(INDEX(ERP資料!$F:$F, (MATCH(179, 輔助計算!$G$2:$G$801, 0)+1))="","",INDEX(ERP資料!$F:$F, (MATCH(179, 輔助計算!$G$2:$G$801, 0)+1))), "")</f>
        <v/>
      </c>
      <c r="H180" s="10">
        <f>IFERROR(IF(INDEX(ERP資料!$G:$G, (MATCH(179, 輔助計算!$G$2:$G$801, 0)+1))="","",INDEX(ERP資料!$G:$G, (MATCH(179, 輔助計算!$G$2:$G$801, 0)+1))), "")</f>
        <v/>
      </c>
      <c r="I180" s="15">
        <f>IFERROR(INDEX(輔助計算!$D:$D, (MATCH(179, 輔助計算!$G$2:$G$801, 0)+1)), "")</f>
        <v/>
      </c>
      <c r="J180" s="15">
        <f>IFERROR(IF(AND(INDEX(輔助計算!$D:$D, (MATCH(179, 輔助計算!$G$2:$G$801, 0)+1))&lt;&gt;"", INDEX(ERP資料!$G:$G, (MATCH(179, 輔助計算!$G$2:$G$801, 0)+1))&lt;&gt;""), TRIM(IF(INT(INDEX(輔助計算!$D:$D, (MATCH(179, 輔助計算!$G$2:$G$801, 0)+1))/IF(INDEX(ERP資料!$G:$G, (MATCH(179, 輔助計算!$G$2:$G$801, 0)+1))&lt;100, IF(INDEX(ERP資料!$G:$G, (MATCH(179, 輔助計算!$G$2:$G$801, 0)+1))&lt;=31,3,IF(INDEX(ERP資料!$G:$G, (MATCH(179, 輔助計算!$G$2:$G$801, 0)+1))&lt;=46.5,2,1)), IF(INDEX(ERP資料!$G:$G, (MATCH(179, 輔助計算!$G$2:$G$801, 0)+1))&lt;=790,3,IF(INDEX(ERP資料!$G:$G, (MATCH(179, 輔助計算!$G$2:$G$801, 0)+1))&lt;=1181,2,1))))&gt;0, IF(IF(INDEX(ERP資料!$G:$G, (MATCH(179, 輔助計算!$G$2:$G$801, 0)+1))&lt;100, IF(INDEX(ERP資料!$G:$G, (MATCH(179, 輔助計算!$G$2:$G$801, 0)+1))&lt;=31,3,IF(INDEX(ERP資料!$G:$G, (MATCH(179, 輔助計算!$G$2:$G$801, 0)+1))&lt;=46.5,2,1)), IF(INDEX(ERP資料!$G:$G, (MATCH(179, 輔助計算!$G$2:$G$801, 0)+1))&lt;=790,3,IF(INDEX(ERP資料!$G:$G, (MATCH(179, 輔助計算!$G$2:$G$801, 0)+1))&lt;=1181,2,1)))=1,TEXT(INDEX(ERP資料!$G:$G, (MATCH(179, 輔助計算!$G$2:$G$801, 0)+1)),"0.##"),IF(IF(INDEX(ERP資料!$G:$G, (MATCH(179, 輔助計算!$G$2:$G$801, 0)+1))&lt;100, IF(INDEX(ERP資料!$G:$G, (MATCH(179, 輔助計算!$G$2:$G$801, 0)+1))&lt;=31,3,IF(INDEX(ERP資料!$G:$G, (MATCH(179, 輔助計算!$G$2:$G$801, 0)+1))&lt;=46.5,2,1)), IF(INDEX(ERP資料!$G:$G, (MATCH(179, 輔助計算!$G$2:$G$801, 0)+1))&lt;=790,3,IF(INDEX(ERP資料!$G:$G, (MATCH(179, 輔助計算!$G$2:$G$801, 0)+1))&lt;=1181,2,1)))=2,TEXT(INDEX(ERP資料!$G:$G, (MATCH(179, 輔助計算!$G$2:$G$801, 0)+1)),"0.##")&amp;"+"&amp;TEXT(INDEX(ERP資料!$G:$G, (MATCH(179, 輔助計算!$G$2:$G$801, 0)+1)),"0.##"),TEXT(INDEX(ERP資料!$G:$G, (MATCH(179, 輔助計算!$G$2:$G$801, 0)+1)),"0.##")&amp;"+"&amp;TEXT(INDEX(ERP資料!$G:$G, (MATCH(179, 輔助計算!$G$2:$G$801, 0)+1)),"0.##")&amp;"+"&amp;TEXT(INDEX(ERP資料!$G:$G, (MATCH(179, 輔助計算!$G$2:$G$801, 0)+1)),"0.##")))&amp;"-"&amp;INT(INDEX(輔助計算!$D:$D, (MATCH(179, 輔助計算!$G$2:$G$801, 0)+1))/IF(INDEX(ERP資料!$G:$G, (MATCH(179, 輔助計算!$G$2:$G$801, 0)+1))&lt;100, IF(INDEX(ERP資料!$G:$G, (MATCH(179, 輔助計算!$G$2:$G$801, 0)+1))&lt;=31,3,IF(INDEX(ERP資料!$G:$G, (MATCH(179, 輔助計算!$G$2:$G$801, 0)+1))&lt;=46.5,2,1)), IF(INDEX(ERP資料!$G:$G, (MATCH(179, 輔助計算!$G$2:$G$801, 0)+1))&lt;=790,3,IF(INDEX(ERP資料!$G:$G, (MATCH(179, 輔助計算!$G$2:$G$801, 0)+1))&lt;=1181,2,1)))), "")&amp;IF(AND(IF(INT(INDEX(輔助計算!$D:$D, (MATCH(179, 輔助計算!$G$2:$G$801, 0)+1))/IF(INDEX(ERP資料!$G:$G, (MATCH(179, 輔助計算!$G$2:$G$801, 0)+1))&lt;100, IF(INDEX(ERP資料!$G:$G, (MATCH(179, 輔助計算!$G$2:$G$801, 0)+1))&lt;=31,3,IF(INDEX(ERP資料!$G:$G, (MATCH(179, 輔助計算!$G$2:$G$801, 0)+1))&lt;=46.5,2,1)), IF(INDEX(ERP資料!$G:$G, (MATCH(179, 輔助計算!$G$2:$G$801, 0)+1))&lt;=790,3,IF(INDEX(ERP資料!$G:$G, (MATCH(179, 輔助計算!$G$2:$G$801, 0)+1))&lt;=1181,2,1))))&gt;0, IF(IF(INDEX(ERP資料!$G:$G, (MATCH(179, 輔助計算!$G$2:$G$801, 0)+1))&lt;100, IF(INDEX(ERP資料!$G:$G, (MATCH(179, 輔助計算!$G$2:$G$801, 0)+1))&lt;=31,3,IF(INDEX(ERP資料!$G:$G, (MATCH(179, 輔助計算!$G$2:$G$801, 0)+1))&lt;=46.5,2,1)), IF(INDEX(ERP資料!$G:$G, (MATCH(179, 輔助計算!$G$2:$G$801, 0)+1))&lt;=790,3,IF(INDEX(ERP資料!$G:$G, (MATCH(179, 輔助計算!$G$2:$G$801, 0)+1))&lt;=1181,2,1)))=1,TEXT(INDEX(ERP資料!$G:$G, (MATCH(179, 輔助計算!$G$2:$G$801, 0)+1)),"0.##"),IF(IF(INDEX(ERP資料!$G:$G, (MATCH(179, 輔助計算!$G$2:$G$801, 0)+1))&lt;100, IF(INDEX(ERP資料!$G:$G, (MATCH(179, 輔助計算!$G$2:$G$801, 0)+1))&lt;=31,3,IF(INDEX(ERP資料!$G:$G, (MATCH(179, 輔助計算!$G$2:$G$801, 0)+1))&lt;=46.5,2,1)), IF(INDEX(ERP資料!$G:$G, (MATCH(179, 輔助計算!$G$2:$G$801, 0)+1))&lt;=790,3,IF(INDEX(ERP資料!$G:$G, (MATCH(179, 輔助計算!$G$2:$G$801, 0)+1))&lt;=1181,2,1)))=2,TEXT(INDEX(ERP資料!$G:$G, (MATCH(179, 輔助計算!$G$2:$G$801, 0)+1)),"0.##")&amp;"+"&amp;TEXT(INDEX(ERP資料!$G:$G, (MATCH(179, 輔助計算!$G$2:$G$801, 0)+1)),"0.##"),TEXT(INDEX(ERP資料!$G:$G, (MATCH(179, 輔助計算!$G$2:$G$801, 0)+1)),"0.##")&amp;"+"&amp;TEXT(INDEX(ERP資料!$G:$G, (MATCH(179, 輔助計算!$G$2:$G$801, 0)+1)),"0.##")&amp;"+"&amp;TEXT(INDEX(ERP資料!$G:$G, (MATCH(179, 輔助計算!$G$2:$G$801, 0)+1)),"0.##")))&amp;"-"&amp;INT(INDEX(輔助計算!$D:$D, (MATCH(179, 輔助計算!$G$2:$G$801, 0)+1))/IF(INDEX(ERP資料!$G:$G, (MATCH(179, 輔助計算!$G$2:$G$801, 0)+1))&lt;100, IF(INDEX(ERP資料!$G:$G, (MATCH(179, 輔助計算!$G$2:$G$801, 0)+1))&lt;=31,3,IF(INDEX(ERP資料!$G:$G, (MATCH(179, 輔助計算!$G$2:$G$801, 0)+1))&lt;=46.5,2,1)), IF(INDEX(ERP資料!$G:$G, (MATCH(179, 輔助計算!$G$2:$G$801, 0)+1))&lt;=790,3,IF(INDEX(ERP資料!$G:$G, (MATCH(179, 輔助計算!$G$2:$G$801, 0)+1))&lt;=1181,2,1)))), "")&lt;&gt;"",IF(MOD(INDEX(輔助計算!$D:$D, (MATCH(179, 輔助計算!$G$2:$G$801, 0)+1)),IF(INDEX(ERP資料!$G:$G, (MATCH(179, 輔助計算!$G$2:$G$801, 0)+1))&lt;100, IF(INDEX(ERP資料!$G:$G, (MATCH(179, 輔助計算!$G$2:$G$801, 0)+1))&lt;=31,3,IF(INDEX(ERP資料!$G:$G, (MATCH(179, 輔助計算!$G$2:$G$801, 0)+1))&lt;=46.5,2,1)), IF(INDEX(ERP資料!$G:$G, (MATCH(179, 輔助計算!$G$2:$G$801, 0)+1))&lt;=790,3,IF(INDEX(ERP資料!$G:$G, (MATCH(179, 輔助計算!$G$2:$G$801, 0)+1))&lt;=1181,2,1))))=0,"",IF(MOD(INDEX(輔助計算!$D:$D, (MATCH(179, 輔助計算!$G$2:$G$801, 0)+1)),IF(INDEX(ERP資料!$G:$G, (MATCH(179, 輔助計算!$G$2:$G$801, 0)+1))&lt;100, IF(INDEX(ERP資料!$G:$G, (MATCH(179, 輔助計算!$G$2:$G$801, 0)+1))&lt;=31,3,IF(INDEX(ERP資料!$G:$G, (MATCH(179, 輔助計算!$G$2:$G$801, 0)+1))&lt;=46.5,2,1)), IF(INDEX(ERP資料!$G:$G, (MATCH(179, 輔助計算!$G$2:$G$801, 0)+1))&lt;=790,3,IF(INDEX(ERP資料!$G:$G, (MATCH(179, 輔助計算!$G$2:$G$801, 0)+1))&lt;=1181,2,1))))=0,"",IF(MOD(INDEX(輔助計算!$D:$D, (MATCH(179, 輔助計算!$G$2:$G$801, 0)+1)),IF(INDEX(ERP資料!$G:$G, (MATCH(179, 輔助計算!$G$2:$G$801, 0)+1))&lt;100, IF(INDEX(ERP資料!$G:$G, (MATCH(179, 輔助計算!$G$2:$G$801, 0)+1))&lt;=31,3,IF(INDEX(ERP資料!$G:$G, (MATCH(179, 輔助計算!$G$2:$G$801, 0)+1))&lt;=46.5,2,1)), IF(INDEX(ERP資料!$G:$G, (MATCH(179, 輔助計算!$G$2:$G$801, 0)+1))&lt;=790,3,IF(INDEX(ERP資料!$G:$G, (MATCH(179, 輔助計算!$G$2:$G$801, 0)+1))&lt;=1181,2,1))))=1,TEXT(INDEX(ERP資料!$G:$G, (MATCH(179, 輔助計算!$G$2:$G$801, 0)+1)),"0.##"),IF(MOD(INDEX(輔助計算!$D:$D, (MATCH(179, 輔助計算!$G$2:$G$801, 0)+1)),IF(INDEX(ERP資料!$G:$G, (MATCH(179, 輔助計算!$G$2:$G$801, 0)+1))&lt;100, IF(INDEX(ERP資料!$G:$G, (MATCH(179, 輔助計算!$G$2:$G$801, 0)+1))&lt;=31,3,IF(INDEX(ERP資料!$G:$G, (MATCH(179, 輔助計算!$G$2:$G$801, 0)+1))&lt;=46.5,2,1)), IF(INDEX(ERP資料!$G:$G, (MATCH(179, 輔助計算!$G$2:$G$801, 0)+1))&lt;=790,3,IF(INDEX(ERP資料!$G:$G, (MATCH(179, 輔助計算!$G$2:$G$801, 0)+1))&lt;=1181,2,1))))=2,TEXT(INDEX(ERP資料!$G:$G, (MATCH(179, 輔助計算!$G$2:$G$801, 0)+1)),"0.##")&amp;"+"&amp;TEXT(INDEX(ERP資料!$G:$G, (MATCH(179, 輔助計算!$G$2:$G$801, 0)+1)),"0.##"),TEXT(INDEX(ERP資料!$G:$G, (MATCH(179, 輔助計算!$G$2:$G$801, 0)+1)),"0.##")&amp;"+"&amp;TEXT(INDEX(ERP資料!$G:$G, (MATCH(179, 輔助計算!$G$2:$G$801, 0)+1)),"0.##")&amp;"+"&amp;TEXT(INDEX(ERP資料!$G:$G, (MATCH(179, 輔助計算!$G$2:$G$801, 0)+1)),"0.##"))))&amp;"-1")&lt;&gt;""),"  ","")&amp;IF(MOD(INDEX(輔助計算!$D:$D, (MATCH(179, 輔助計算!$G$2:$G$801, 0)+1)),IF(INDEX(ERP資料!$G:$G, (MATCH(179, 輔助計算!$G$2:$G$801, 0)+1))&lt;100, IF(INDEX(ERP資料!$G:$G, (MATCH(179, 輔助計算!$G$2:$G$801, 0)+1))&lt;=31,3,IF(INDEX(ERP資料!$G:$G, (MATCH(179, 輔助計算!$G$2:$G$801, 0)+1))&lt;=46.5,2,1)), IF(INDEX(ERP資料!$G:$G, (MATCH(179, 輔助計算!$G$2:$G$801, 0)+1))&lt;=790,3,IF(INDEX(ERP資料!$G:$G, (MATCH(179, 輔助計算!$G$2:$G$801, 0)+1))&lt;=1181,2,1))))=0,"",IF(MOD(INDEX(輔助計算!$D:$D, (MATCH(179, 輔助計算!$G$2:$G$801, 0)+1)),IF(INDEX(ERP資料!$G:$G, (MATCH(179, 輔助計算!$G$2:$G$801, 0)+1))&lt;100, IF(INDEX(ERP資料!$G:$G, (MATCH(179, 輔助計算!$G$2:$G$801, 0)+1))&lt;=31,3,IF(INDEX(ERP資料!$G:$G, (MATCH(179, 輔助計算!$G$2:$G$801, 0)+1))&lt;=46.5,2,1)), IF(INDEX(ERP資料!$G:$G, (MATCH(179, 輔助計算!$G$2:$G$801, 0)+1))&lt;=790,3,IF(INDEX(ERP資料!$G:$G, (MATCH(179, 輔助計算!$G$2:$G$801, 0)+1))&lt;=1181,2,1))))=0,"",IF(MOD(INDEX(輔助計算!$D:$D, (MATCH(179, 輔助計算!$G$2:$G$801, 0)+1)),IF(INDEX(ERP資料!$G:$G, (MATCH(179, 輔助計算!$G$2:$G$801, 0)+1))&lt;100, IF(INDEX(ERP資料!$G:$G, (MATCH(179, 輔助計算!$G$2:$G$801, 0)+1))&lt;=31,3,IF(INDEX(ERP資料!$G:$G, (MATCH(179, 輔助計算!$G$2:$G$801, 0)+1))&lt;=46.5,2,1)), IF(INDEX(ERP資料!$G:$G, (MATCH(179, 輔助計算!$G$2:$G$801, 0)+1))&lt;=790,3,IF(INDEX(ERP資料!$G:$G, (MATCH(179, 輔助計算!$G$2:$G$801, 0)+1))&lt;=1181,2,1))))=1,TEXT(INDEX(ERP資料!$G:$G, (MATCH(179, 輔助計算!$G$2:$G$801, 0)+1)),"0.##"),IF(MOD(INDEX(輔助計算!$D:$D, (MATCH(179, 輔助計算!$G$2:$G$801, 0)+1)),IF(INDEX(ERP資料!$G:$G, (MATCH(179, 輔助計算!$G$2:$G$801, 0)+1))&lt;100, IF(INDEX(ERP資料!$G:$G, (MATCH(179, 輔助計算!$G$2:$G$801, 0)+1))&lt;=31,3,IF(INDEX(ERP資料!$G:$G, (MATCH(179, 輔助計算!$G$2:$G$801, 0)+1))&lt;=46.5,2,1)), IF(INDEX(ERP資料!$G:$G, (MATCH(179, 輔助計算!$G$2:$G$801, 0)+1))&lt;=790,3,IF(INDEX(ERP資料!$G:$G, (MATCH(179, 輔助計算!$G$2:$G$801, 0)+1))&lt;=1181,2,1))))=2,TEXT(INDEX(ERP資料!$G:$G, (MATCH(179, 輔助計算!$G$2:$G$801, 0)+1)),"0.##")&amp;"+"&amp;TEXT(INDEX(ERP資料!$G:$G, (MATCH(179, 輔助計算!$G$2:$G$801, 0)+1)),"0.##"),TEXT(INDEX(ERP資料!$G:$G, (MATCH(179, 輔助計算!$G$2:$G$801, 0)+1)),"0.##")&amp;"+"&amp;TEXT(INDEX(ERP資料!$G:$G, (MATCH(179, 輔助計算!$G$2:$G$801, 0)+1)),"0.##")&amp;"+"&amp;TEXT(INDEX(ERP資料!$G:$G, (MATCH(179, 輔助計算!$G$2:$G$801, 0)+1)),"0.##"))))&amp;"-1")), ""), "")</f>
        <v/>
      </c>
      <c r="K180" s="16" t="n"/>
      <c r="L180" s="14">
        <f>IFERROR(IF(AND(IFERROR(INDEX(ERP資料!$A:$A, (MATCH(179, 輔助計算!$G$2:$G$801, 0)+1)), "")&lt;&gt;"", IFERROR(INDEX(ERP資料!$A:$A, (MATCH(179, 輔助計算!$G$2:$G$801, 0)+1)), "")&lt;&gt;IFERROR(INDEX(ERP資料!$A:$A, MATCH(178, 輔助計算!$G$2:$G$801, 0)+1), "")), INDEX(ERP資料!$B:$B, (MATCH(179, 輔助計算!$G$2:$G$801, 0)+1)), ""), "")</f>
        <v/>
      </c>
      <c r="M180" s="17" t="n"/>
    </row>
    <row r="181">
      <c r="A181" s="10">
        <f>IFERROR(IF(AND(IFERROR(INDEX(ERP資料!$A:$A, (MATCH(180, 輔助計算!$G$2:$G$801, 0)+1)), "")&lt;&gt;"", IFERROR(INDEX(ERP資料!$A:$A, (MATCH(180, 輔助計算!$G$2:$G$801, 0)+1)), "")&lt;&gt;IFERROR(INDEX(ERP資料!$A:$A, MATCH(179, 輔助計算!$G$2:$G$801, 0)+1), "")), IFERROR(INDEX(ERP資料!$A:$A, (MATCH(180, 輔助計算!$G$2:$G$801, 0)+1)), ""), ""), "")</f>
        <v/>
      </c>
      <c r="B181" s="10">
        <f>IFERROR(IF(AND(IFERROR(INDEX(ERP資料!$A:$A, (MATCH(180, 輔助計算!$G$2:$G$801, 0)+1)), "")&lt;&gt;"", IFERROR(INDEX(ERP資料!$A:$A, (MATCH(180, 輔助計算!$G$2:$G$801, 0)+1)), "")&lt;&gt;IFERROR(INDEX(ERP資料!$A:$A, MATCH(179, 輔助計算!$G$2:$G$801, 0)+1), "")), INDEX(ERP資料!$S:$S, (MATCH(180, 輔助計算!$G$2:$G$801, 0)+1)), ""), "")</f>
        <v/>
      </c>
      <c r="C181" s="19">
        <f>IFERROR(IF(AND(IFERROR(INDEX(ERP資料!$A:$A, (MATCH(180, 輔助計算!$G$2:$G$801, 0)+1)), "")&lt;&gt;"", IFERROR(INDEX(ERP資料!$A:$A, (MATCH(180, 輔助計算!$G$2:$G$801, 0)+1)), "")&lt;&gt;IFERROR(INDEX(ERP資料!$A:$A, MATCH(179, 輔助計算!$G$2:$G$801, 0)+1), "")), IFERROR(VLOOKUP(LEFT(INDEX(ERP資料!$S:$S, (MATCH(180, 輔助計算!$G$2:$G$801, 0)+1)), 4), 紙管對照表!$A:$C, 3, FALSE), ""), ""), "")</f>
        <v/>
      </c>
      <c r="D181" s="16" t="n"/>
      <c r="E181" s="10">
        <f>IFERROR(IF(INDEX(ERP資料!$H:$H, (MATCH(180, 輔助計算!$G$2:$G$801, 0)+1))="","",INDEX(ERP資料!$H:$H, (MATCH(180, 輔助計算!$G$2:$G$801, 0)+1))), "")</f>
        <v/>
      </c>
      <c r="F181" s="10">
        <f>IFERROR(IF(INDEX(ERP資料!$E:$E, (MATCH(180, 輔助計算!$G$2:$G$801, 0)+1))="","",TRIM(INDEX(ERP資料!$E:$E, (MATCH(180, 輔助計算!$G$2:$G$801, 0)+1)))), "")</f>
        <v/>
      </c>
      <c r="G181" s="10">
        <f>IFERROR(IF(INDEX(ERP資料!$F:$F, (MATCH(180, 輔助計算!$G$2:$G$801, 0)+1))="","",INDEX(ERP資料!$F:$F, (MATCH(180, 輔助計算!$G$2:$G$801, 0)+1))), "")</f>
        <v/>
      </c>
      <c r="H181" s="10">
        <f>IFERROR(IF(INDEX(ERP資料!$G:$G, (MATCH(180, 輔助計算!$G$2:$G$801, 0)+1))="","",INDEX(ERP資料!$G:$G, (MATCH(180, 輔助計算!$G$2:$G$801, 0)+1))), "")</f>
        <v/>
      </c>
      <c r="I181" s="15">
        <f>IFERROR(INDEX(輔助計算!$D:$D, (MATCH(180, 輔助計算!$G$2:$G$801, 0)+1)), "")</f>
        <v/>
      </c>
      <c r="J181" s="15">
        <f>IFERROR(IF(AND(INDEX(輔助計算!$D:$D, (MATCH(180, 輔助計算!$G$2:$G$801, 0)+1))&lt;&gt;"", INDEX(ERP資料!$G:$G, (MATCH(180, 輔助計算!$G$2:$G$801, 0)+1))&lt;&gt;""), TRIM(IF(INT(INDEX(輔助計算!$D:$D, (MATCH(180, 輔助計算!$G$2:$G$801, 0)+1))/IF(INDEX(ERP資料!$G:$G, (MATCH(180, 輔助計算!$G$2:$G$801, 0)+1))&lt;100, IF(INDEX(ERP資料!$G:$G, (MATCH(180, 輔助計算!$G$2:$G$801, 0)+1))&lt;=31,3,IF(INDEX(ERP資料!$G:$G, (MATCH(180, 輔助計算!$G$2:$G$801, 0)+1))&lt;=46.5,2,1)), IF(INDEX(ERP資料!$G:$G, (MATCH(180, 輔助計算!$G$2:$G$801, 0)+1))&lt;=790,3,IF(INDEX(ERP資料!$G:$G, (MATCH(180, 輔助計算!$G$2:$G$801, 0)+1))&lt;=1181,2,1))))&gt;0, IF(IF(INDEX(ERP資料!$G:$G, (MATCH(180, 輔助計算!$G$2:$G$801, 0)+1))&lt;100, IF(INDEX(ERP資料!$G:$G, (MATCH(180, 輔助計算!$G$2:$G$801, 0)+1))&lt;=31,3,IF(INDEX(ERP資料!$G:$G, (MATCH(180, 輔助計算!$G$2:$G$801, 0)+1))&lt;=46.5,2,1)), IF(INDEX(ERP資料!$G:$G, (MATCH(180, 輔助計算!$G$2:$G$801, 0)+1))&lt;=790,3,IF(INDEX(ERP資料!$G:$G, (MATCH(180, 輔助計算!$G$2:$G$801, 0)+1))&lt;=1181,2,1)))=1,TEXT(INDEX(ERP資料!$G:$G, (MATCH(180, 輔助計算!$G$2:$G$801, 0)+1)),"0.##"),IF(IF(INDEX(ERP資料!$G:$G, (MATCH(180, 輔助計算!$G$2:$G$801, 0)+1))&lt;100, IF(INDEX(ERP資料!$G:$G, (MATCH(180, 輔助計算!$G$2:$G$801, 0)+1))&lt;=31,3,IF(INDEX(ERP資料!$G:$G, (MATCH(180, 輔助計算!$G$2:$G$801, 0)+1))&lt;=46.5,2,1)), IF(INDEX(ERP資料!$G:$G, (MATCH(180, 輔助計算!$G$2:$G$801, 0)+1))&lt;=790,3,IF(INDEX(ERP資料!$G:$G, (MATCH(180, 輔助計算!$G$2:$G$801, 0)+1))&lt;=1181,2,1)))=2,TEXT(INDEX(ERP資料!$G:$G, (MATCH(180, 輔助計算!$G$2:$G$801, 0)+1)),"0.##")&amp;"+"&amp;TEXT(INDEX(ERP資料!$G:$G, (MATCH(180, 輔助計算!$G$2:$G$801, 0)+1)),"0.##"),TEXT(INDEX(ERP資料!$G:$G, (MATCH(180, 輔助計算!$G$2:$G$801, 0)+1)),"0.##")&amp;"+"&amp;TEXT(INDEX(ERP資料!$G:$G, (MATCH(180, 輔助計算!$G$2:$G$801, 0)+1)),"0.##")&amp;"+"&amp;TEXT(INDEX(ERP資料!$G:$G, (MATCH(180, 輔助計算!$G$2:$G$801, 0)+1)),"0.##")))&amp;"-"&amp;INT(INDEX(輔助計算!$D:$D, (MATCH(180, 輔助計算!$G$2:$G$801, 0)+1))/IF(INDEX(ERP資料!$G:$G, (MATCH(180, 輔助計算!$G$2:$G$801, 0)+1))&lt;100, IF(INDEX(ERP資料!$G:$G, (MATCH(180, 輔助計算!$G$2:$G$801, 0)+1))&lt;=31,3,IF(INDEX(ERP資料!$G:$G, (MATCH(180, 輔助計算!$G$2:$G$801, 0)+1))&lt;=46.5,2,1)), IF(INDEX(ERP資料!$G:$G, (MATCH(180, 輔助計算!$G$2:$G$801, 0)+1))&lt;=790,3,IF(INDEX(ERP資料!$G:$G, (MATCH(180, 輔助計算!$G$2:$G$801, 0)+1))&lt;=1181,2,1)))), "")&amp;IF(AND(IF(INT(INDEX(輔助計算!$D:$D, (MATCH(180, 輔助計算!$G$2:$G$801, 0)+1))/IF(INDEX(ERP資料!$G:$G, (MATCH(180, 輔助計算!$G$2:$G$801, 0)+1))&lt;100, IF(INDEX(ERP資料!$G:$G, (MATCH(180, 輔助計算!$G$2:$G$801, 0)+1))&lt;=31,3,IF(INDEX(ERP資料!$G:$G, (MATCH(180, 輔助計算!$G$2:$G$801, 0)+1))&lt;=46.5,2,1)), IF(INDEX(ERP資料!$G:$G, (MATCH(180, 輔助計算!$G$2:$G$801, 0)+1))&lt;=790,3,IF(INDEX(ERP資料!$G:$G, (MATCH(180, 輔助計算!$G$2:$G$801, 0)+1))&lt;=1181,2,1))))&gt;0, IF(IF(INDEX(ERP資料!$G:$G, (MATCH(180, 輔助計算!$G$2:$G$801, 0)+1))&lt;100, IF(INDEX(ERP資料!$G:$G, (MATCH(180, 輔助計算!$G$2:$G$801, 0)+1))&lt;=31,3,IF(INDEX(ERP資料!$G:$G, (MATCH(180, 輔助計算!$G$2:$G$801, 0)+1))&lt;=46.5,2,1)), IF(INDEX(ERP資料!$G:$G, (MATCH(180, 輔助計算!$G$2:$G$801, 0)+1))&lt;=790,3,IF(INDEX(ERP資料!$G:$G, (MATCH(180, 輔助計算!$G$2:$G$801, 0)+1))&lt;=1181,2,1)))=1,TEXT(INDEX(ERP資料!$G:$G, (MATCH(180, 輔助計算!$G$2:$G$801, 0)+1)),"0.##"),IF(IF(INDEX(ERP資料!$G:$G, (MATCH(180, 輔助計算!$G$2:$G$801, 0)+1))&lt;100, IF(INDEX(ERP資料!$G:$G, (MATCH(180, 輔助計算!$G$2:$G$801, 0)+1))&lt;=31,3,IF(INDEX(ERP資料!$G:$G, (MATCH(180, 輔助計算!$G$2:$G$801, 0)+1))&lt;=46.5,2,1)), IF(INDEX(ERP資料!$G:$G, (MATCH(180, 輔助計算!$G$2:$G$801, 0)+1))&lt;=790,3,IF(INDEX(ERP資料!$G:$G, (MATCH(180, 輔助計算!$G$2:$G$801, 0)+1))&lt;=1181,2,1)))=2,TEXT(INDEX(ERP資料!$G:$G, (MATCH(180, 輔助計算!$G$2:$G$801, 0)+1)),"0.##")&amp;"+"&amp;TEXT(INDEX(ERP資料!$G:$G, (MATCH(180, 輔助計算!$G$2:$G$801, 0)+1)),"0.##"),TEXT(INDEX(ERP資料!$G:$G, (MATCH(180, 輔助計算!$G$2:$G$801, 0)+1)),"0.##")&amp;"+"&amp;TEXT(INDEX(ERP資料!$G:$G, (MATCH(180, 輔助計算!$G$2:$G$801, 0)+1)),"0.##")&amp;"+"&amp;TEXT(INDEX(ERP資料!$G:$G, (MATCH(180, 輔助計算!$G$2:$G$801, 0)+1)),"0.##")))&amp;"-"&amp;INT(INDEX(輔助計算!$D:$D, (MATCH(180, 輔助計算!$G$2:$G$801, 0)+1))/IF(INDEX(ERP資料!$G:$G, (MATCH(180, 輔助計算!$G$2:$G$801, 0)+1))&lt;100, IF(INDEX(ERP資料!$G:$G, (MATCH(180, 輔助計算!$G$2:$G$801, 0)+1))&lt;=31,3,IF(INDEX(ERP資料!$G:$G, (MATCH(180, 輔助計算!$G$2:$G$801, 0)+1))&lt;=46.5,2,1)), IF(INDEX(ERP資料!$G:$G, (MATCH(180, 輔助計算!$G$2:$G$801, 0)+1))&lt;=790,3,IF(INDEX(ERP資料!$G:$G, (MATCH(180, 輔助計算!$G$2:$G$801, 0)+1))&lt;=1181,2,1)))), "")&lt;&gt;"",IF(MOD(INDEX(輔助計算!$D:$D, (MATCH(180, 輔助計算!$G$2:$G$801, 0)+1)),IF(INDEX(ERP資料!$G:$G, (MATCH(180, 輔助計算!$G$2:$G$801, 0)+1))&lt;100, IF(INDEX(ERP資料!$G:$G, (MATCH(180, 輔助計算!$G$2:$G$801, 0)+1))&lt;=31,3,IF(INDEX(ERP資料!$G:$G, (MATCH(180, 輔助計算!$G$2:$G$801, 0)+1))&lt;=46.5,2,1)), IF(INDEX(ERP資料!$G:$G, (MATCH(180, 輔助計算!$G$2:$G$801, 0)+1))&lt;=790,3,IF(INDEX(ERP資料!$G:$G, (MATCH(180, 輔助計算!$G$2:$G$801, 0)+1))&lt;=1181,2,1))))=0,"",IF(MOD(INDEX(輔助計算!$D:$D, (MATCH(180, 輔助計算!$G$2:$G$801, 0)+1)),IF(INDEX(ERP資料!$G:$G, (MATCH(180, 輔助計算!$G$2:$G$801, 0)+1))&lt;100, IF(INDEX(ERP資料!$G:$G, (MATCH(180, 輔助計算!$G$2:$G$801, 0)+1))&lt;=31,3,IF(INDEX(ERP資料!$G:$G, (MATCH(180, 輔助計算!$G$2:$G$801, 0)+1))&lt;=46.5,2,1)), IF(INDEX(ERP資料!$G:$G, (MATCH(180, 輔助計算!$G$2:$G$801, 0)+1))&lt;=790,3,IF(INDEX(ERP資料!$G:$G, (MATCH(180, 輔助計算!$G$2:$G$801, 0)+1))&lt;=1181,2,1))))=0,"",IF(MOD(INDEX(輔助計算!$D:$D, (MATCH(180, 輔助計算!$G$2:$G$801, 0)+1)),IF(INDEX(ERP資料!$G:$G, (MATCH(180, 輔助計算!$G$2:$G$801, 0)+1))&lt;100, IF(INDEX(ERP資料!$G:$G, (MATCH(180, 輔助計算!$G$2:$G$801, 0)+1))&lt;=31,3,IF(INDEX(ERP資料!$G:$G, (MATCH(180, 輔助計算!$G$2:$G$801, 0)+1))&lt;=46.5,2,1)), IF(INDEX(ERP資料!$G:$G, (MATCH(180, 輔助計算!$G$2:$G$801, 0)+1))&lt;=790,3,IF(INDEX(ERP資料!$G:$G, (MATCH(180, 輔助計算!$G$2:$G$801, 0)+1))&lt;=1181,2,1))))=1,TEXT(INDEX(ERP資料!$G:$G, (MATCH(180, 輔助計算!$G$2:$G$801, 0)+1)),"0.##"),IF(MOD(INDEX(輔助計算!$D:$D, (MATCH(180, 輔助計算!$G$2:$G$801, 0)+1)),IF(INDEX(ERP資料!$G:$G, (MATCH(180, 輔助計算!$G$2:$G$801, 0)+1))&lt;100, IF(INDEX(ERP資料!$G:$G, (MATCH(180, 輔助計算!$G$2:$G$801, 0)+1))&lt;=31,3,IF(INDEX(ERP資料!$G:$G, (MATCH(180, 輔助計算!$G$2:$G$801, 0)+1))&lt;=46.5,2,1)), IF(INDEX(ERP資料!$G:$G, (MATCH(180, 輔助計算!$G$2:$G$801, 0)+1))&lt;=790,3,IF(INDEX(ERP資料!$G:$G, (MATCH(180, 輔助計算!$G$2:$G$801, 0)+1))&lt;=1181,2,1))))=2,TEXT(INDEX(ERP資料!$G:$G, (MATCH(180, 輔助計算!$G$2:$G$801, 0)+1)),"0.##")&amp;"+"&amp;TEXT(INDEX(ERP資料!$G:$G, (MATCH(180, 輔助計算!$G$2:$G$801, 0)+1)),"0.##"),TEXT(INDEX(ERP資料!$G:$G, (MATCH(180, 輔助計算!$G$2:$G$801, 0)+1)),"0.##")&amp;"+"&amp;TEXT(INDEX(ERP資料!$G:$G, (MATCH(180, 輔助計算!$G$2:$G$801, 0)+1)),"0.##")&amp;"+"&amp;TEXT(INDEX(ERP資料!$G:$G, (MATCH(180, 輔助計算!$G$2:$G$801, 0)+1)),"0.##"))))&amp;"-1")&lt;&gt;""),"  ","")&amp;IF(MOD(INDEX(輔助計算!$D:$D, (MATCH(180, 輔助計算!$G$2:$G$801, 0)+1)),IF(INDEX(ERP資料!$G:$G, (MATCH(180, 輔助計算!$G$2:$G$801, 0)+1))&lt;100, IF(INDEX(ERP資料!$G:$G, (MATCH(180, 輔助計算!$G$2:$G$801, 0)+1))&lt;=31,3,IF(INDEX(ERP資料!$G:$G, (MATCH(180, 輔助計算!$G$2:$G$801, 0)+1))&lt;=46.5,2,1)), IF(INDEX(ERP資料!$G:$G, (MATCH(180, 輔助計算!$G$2:$G$801, 0)+1))&lt;=790,3,IF(INDEX(ERP資料!$G:$G, (MATCH(180, 輔助計算!$G$2:$G$801, 0)+1))&lt;=1181,2,1))))=0,"",IF(MOD(INDEX(輔助計算!$D:$D, (MATCH(180, 輔助計算!$G$2:$G$801, 0)+1)),IF(INDEX(ERP資料!$G:$G, (MATCH(180, 輔助計算!$G$2:$G$801, 0)+1))&lt;100, IF(INDEX(ERP資料!$G:$G, (MATCH(180, 輔助計算!$G$2:$G$801, 0)+1))&lt;=31,3,IF(INDEX(ERP資料!$G:$G, (MATCH(180, 輔助計算!$G$2:$G$801, 0)+1))&lt;=46.5,2,1)), IF(INDEX(ERP資料!$G:$G, (MATCH(180, 輔助計算!$G$2:$G$801, 0)+1))&lt;=790,3,IF(INDEX(ERP資料!$G:$G, (MATCH(180, 輔助計算!$G$2:$G$801, 0)+1))&lt;=1181,2,1))))=0,"",IF(MOD(INDEX(輔助計算!$D:$D, (MATCH(180, 輔助計算!$G$2:$G$801, 0)+1)),IF(INDEX(ERP資料!$G:$G, (MATCH(180, 輔助計算!$G$2:$G$801, 0)+1))&lt;100, IF(INDEX(ERP資料!$G:$G, (MATCH(180, 輔助計算!$G$2:$G$801, 0)+1))&lt;=31,3,IF(INDEX(ERP資料!$G:$G, (MATCH(180, 輔助計算!$G$2:$G$801, 0)+1))&lt;=46.5,2,1)), IF(INDEX(ERP資料!$G:$G, (MATCH(180, 輔助計算!$G$2:$G$801, 0)+1))&lt;=790,3,IF(INDEX(ERP資料!$G:$G, (MATCH(180, 輔助計算!$G$2:$G$801, 0)+1))&lt;=1181,2,1))))=1,TEXT(INDEX(ERP資料!$G:$G, (MATCH(180, 輔助計算!$G$2:$G$801, 0)+1)),"0.##"),IF(MOD(INDEX(輔助計算!$D:$D, (MATCH(180, 輔助計算!$G$2:$G$801, 0)+1)),IF(INDEX(ERP資料!$G:$G, (MATCH(180, 輔助計算!$G$2:$G$801, 0)+1))&lt;100, IF(INDEX(ERP資料!$G:$G, (MATCH(180, 輔助計算!$G$2:$G$801, 0)+1))&lt;=31,3,IF(INDEX(ERP資料!$G:$G, (MATCH(180, 輔助計算!$G$2:$G$801, 0)+1))&lt;=46.5,2,1)), IF(INDEX(ERP資料!$G:$G, (MATCH(180, 輔助計算!$G$2:$G$801, 0)+1))&lt;=790,3,IF(INDEX(ERP資料!$G:$G, (MATCH(180, 輔助計算!$G$2:$G$801, 0)+1))&lt;=1181,2,1))))=2,TEXT(INDEX(ERP資料!$G:$G, (MATCH(180, 輔助計算!$G$2:$G$801, 0)+1)),"0.##")&amp;"+"&amp;TEXT(INDEX(ERP資料!$G:$G, (MATCH(180, 輔助計算!$G$2:$G$801, 0)+1)),"0.##"),TEXT(INDEX(ERP資料!$G:$G, (MATCH(180, 輔助計算!$G$2:$G$801, 0)+1)),"0.##")&amp;"+"&amp;TEXT(INDEX(ERP資料!$G:$G, (MATCH(180, 輔助計算!$G$2:$G$801, 0)+1)),"0.##")&amp;"+"&amp;TEXT(INDEX(ERP資料!$G:$G, (MATCH(180, 輔助計算!$G$2:$G$801, 0)+1)),"0.##"))))&amp;"-1")), ""), "")</f>
        <v/>
      </c>
      <c r="K181" s="16" t="n"/>
      <c r="L181" s="14">
        <f>IFERROR(IF(AND(IFERROR(INDEX(ERP資料!$A:$A, (MATCH(180, 輔助計算!$G$2:$G$801, 0)+1)), "")&lt;&gt;"", IFERROR(INDEX(ERP資料!$A:$A, (MATCH(180, 輔助計算!$G$2:$G$801, 0)+1)), "")&lt;&gt;IFERROR(INDEX(ERP資料!$A:$A, MATCH(179, 輔助計算!$G$2:$G$801, 0)+1), "")), INDEX(ERP資料!$B:$B, (MATCH(180, 輔助計算!$G$2:$G$801, 0)+1)), ""), "")</f>
        <v/>
      </c>
      <c r="M181" s="17" t="n"/>
    </row>
    <row r="182">
      <c r="A182" s="10">
        <f>IFERROR(IF(AND(IFERROR(INDEX(ERP資料!$A:$A, (MATCH(181, 輔助計算!$G$2:$G$801, 0)+1)), "")&lt;&gt;"", IFERROR(INDEX(ERP資料!$A:$A, (MATCH(181, 輔助計算!$G$2:$G$801, 0)+1)), "")&lt;&gt;IFERROR(INDEX(ERP資料!$A:$A, MATCH(180, 輔助計算!$G$2:$G$801, 0)+1), "")), IFERROR(INDEX(ERP資料!$A:$A, (MATCH(181, 輔助計算!$G$2:$G$801, 0)+1)), ""), ""), "")</f>
        <v/>
      </c>
      <c r="B182" s="10">
        <f>IFERROR(IF(AND(IFERROR(INDEX(ERP資料!$A:$A, (MATCH(181, 輔助計算!$G$2:$G$801, 0)+1)), "")&lt;&gt;"", IFERROR(INDEX(ERP資料!$A:$A, (MATCH(181, 輔助計算!$G$2:$G$801, 0)+1)), "")&lt;&gt;IFERROR(INDEX(ERP資料!$A:$A, MATCH(180, 輔助計算!$G$2:$G$801, 0)+1), "")), INDEX(ERP資料!$S:$S, (MATCH(181, 輔助計算!$G$2:$G$801, 0)+1)), ""), "")</f>
        <v/>
      </c>
      <c r="C182" s="19">
        <f>IFERROR(IF(AND(IFERROR(INDEX(ERP資料!$A:$A, (MATCH(181, 輔助計算!$G$2:$G$801, 0)+1)), "")&lt;&gt;"", IFERROR(INDEX(ERP資料!$A:$A, (MATCH(181, 輔助計算!$G$2:$G$801, 0)+1)), "")&lt;&gt;IFERROR(INDEX(ERP資料!$A:$A, MATCH(180, 輔助計算!$G$2:$G$801, 0)+1), "")), IFERROR(VLOOKUP(LEFT(INDEX(ERP資料!$S:$S, (MATCH(181, 輔助計算!$G$2:$G$801, 0)+1)), 4), 紙管對照表!$A:$C, 3, FALSE), ""), ""), "")</f>
        <v/>
      </c>
      <c r="D182" s="16" t="n"/>
      <c r="E182" s="10">
        <f>IFERROR(IF(INDEX(ERP資料!$H:$H, (MATCH(181, 輔助計算!$G$2:$G$801, 0)+1))="","",INDEX(ERP資料!$H:$H, (MATCH(181, 輔助計算!$G$2:$G$801, 0)+1))), "")</f>
        <v/>
      </c>
      <c r="F182" s="10">
        <f>IFERROR(IF(INDEX(ERP資料!$E:$E, (MATCH(181, 輔助計算!$G$2:$G$801, 0)+1))="","",TRIM(INDEX(ERP資料!$E:$E, (MATCH(181, 輔助計算!$G$2:$G$801, 0)+1)))), "")</f>
        <v/>
      </c>
      <c r="G182" s="10">
        <f>IFERROR(IF(INDEX(ERP資料!$F:$F, (MATCH(181, 輔助計算!$G$2:$G$801, 0)+1))="","",INDEX(ERP資料!$F:$F, (MATCH(181, 輔助計算!$G$2:$G$801, 0)+1))), "")</f>
        <v/>
      </c>
      <c r="H182" s="10">
        <f>IFERROR(IF(INDEX(ERP資料!$G:$G, (MATCH(181, 輔助計算!$G$2:$G$801, 0)+1))="","",INDEX(ERP資料!$G:$G, (MATCH(181, 輔助計算!$G$2:$G$801, 0)+1))), "")</f>
        <v/>
      </c>
      <c r="I182" s="15">
        <f>IFERROR(INDEX(輔助計算!$D:$D, (MATCH(181, 輔助計算!$G$2:$G$801, 0)+1)), "")</f>
        <v/>
      </c>
      <c r="J182" s="15">
        <f>IFERROR(IF(AND(INDEX(輔助計算!$D:$D, (MATCH(181, 輔助計算!$G$2:$G$801, 0)+1))&lt;&gt;"", INDEX(ERP資料!$G:$G, (MATCH(181, 輔助計算!$G$2:$G$801, 0)+1))&lt;&gt;""), TRIM(IF(INT(INDEX(輔助計算!$D:$D, (MATCH(181, 輔助計算!$G$2:$G$801, 0)+1))/IF(INDEX(ERP資料!$G:$G, (MATCH(181, 輔助計算!$G$2:$G$801, 0)+1))&lt;100, IF(INDEX(ERP資料!$G:$G, (MATCH(181, 輔助計算!$G$2:$G$801, 0)+1))&lt;=31,3,IF(INDEX(ERP資料!$G:$G, (MATCH(181, 輔助計算!$G$2:$G$801, 0)+1))&lt;=46.5,2,1)), IF(INDEX(ERP資料!$G:$G, (MATCH(181, 輔助計算!$G$2:$G$801, 0)+1))&lt;=790,3,IF(INDEX(ERP資料!$G:$G, (MATCH(181, 輔助計算!$G$2:$G$801, 0)+1))&lt;=1181,2,1))))&gt;0, IF(IF(INDEX(ERP資料!$G:$G, (MATCH(181, 輔助計算!$G$2:$G$801, 0)+1))&lt;100, IF(INDEX(ERP資料!$G:$G, (MATCH(181, 輔助計算!$G$2:$G$801, 0)+1))&lt;=31,3,IF(INDEX(ERP資料!$G:$G, (MATCH(181, 輔助計算!$G$2:$G$801, 0)+1))&lt;=46.5,2,1)), IF(INDEX(ERP資料!$G:$G, (MATCH(181, 輔助計算!$G$2:$G$801, 0)+1))&lt;=790,3,IF(INDEX(ERP資料!$G:$G, (MATCH(181, 輔助計算!$G$2:$G$801, 0)+1))&lt;=1181,2,1)))=1,TEXT(INDEX(ERP資料!$G:$G, (MATCH(181, 輔助計算!$G$2:$G$801, 0)+1)),"0.##"),IF(IF(INDEX(ERP資料!$G:$G, (MATCH(181, 輔助計算!$G$2:$G$801, 0)+1))&lt;100, IF(INDEX(ERP資料!$G:$G, (MATCH(181, 輔助計算!$G$2:$G$801, 0)+1))&lt;=31,3,IF(INDEX(ERP資料!$G:$G, (MATCH(181, 輔助計算!$G$2:$G$801, 0)+1))&lt;=46.5,2,1)), IF(INDEX(ERP資料!$G:$G, (MATCH(181, 輔助計算!$G$2:$G$801, 0)+1))&lt;=790,3,IF(INDEX(ERP資料!$G:$G, (MATCH(181, 輔助計算!$G$2:$G$801, 0)+1))&lt;=1181,2,1)))=2,TEXT(INDEX(ERP資料!$G:$G, (MATCH(181, 輔助計算!$G$2:$G$801, 0)+1)),"0.##")&amp;"+"&amp;TEXT(INDEX(ERP資料!$G:$G, (MATCH(181, 輔助計算!$G$2:$G$801, 0)+1)),"0.##"),TEXT(INDEX(ERP資料!$G:$G, (MATCH(181, 輔助計算!$G$2:$G$801, 0)+1)),"0.##")&amp;"+"&amp;TEXT(INDEX(ERP資料!$G:$G, (MATCH(181, 輔助計算!$G$2:$G$801, 0)+1)),"0.##")&amp;"+"&amp;TEXT(INDEX(ERP資料!$G:$G, (MATCH(181, 輔助計算!$G$2:$G$801, 0)+1)),"0.##")))&amp;"-"&amp;INT(INDEX(輔助計算!$D:$D, (MATCH(181, 輔助計算!$G$2:$G$801, 0)+1))/IF(INDEX(ERP資料!$G:$G, (MATCH(181, 輔助計算!$G$2:$G$801, 0)+1))&lt;100, IF(INDEX(ERP資料!$G:$G, (MATCH(181, 輔助計算!$G$2:$G$801, 0)+1))&lt;=31,3,IF(INDEX(ERP資料!$G:$G, (MATCH(181, 輔助計算!$G$2:$G$801, 0)+1))&lt;=46.5,2,1)), IF(INDEX(ERP資料!$G:$G, (MATCH(181, 輔助計算!$G$2:$G$801, 0)+1))&lt;=790,3,IF(INDEX(ERP資料!$G:$G, (MATCH(181, 輔助計算!$G$2:$G$801, 0)+1))&lt;=1181,2,1)))), "")&amp;IF(AND(IF(INT(INDEX(輔助計算!$D:$D, (MATCH(181, 輔助計算!$G$2:$G$801, 0)+1))/IF(INDEX(ERP資料!$G:$G, (MATCH(181, 輔助計算!$G$2:$G$801, 0)+1))&lt;100, IF(INDEX(ERP資料!$G:$G, (MATCH(181, 輔助計算!$G$2:$G$801, 0)+1))&lt;=31,3,IF(INDEX(ERP資料!$G:$G, (MATCH(181, 輔助計算!$G$2:$G$801, 0)+1))&lt;=46.5,2,1)), IF(INDEX(ERP資料!$G:$G, (MATCH(181, 輔助計算!$G$2:$G$801, 0)+1))&lt;=790,3,IF(INDEX(ERP資料!$G:$G, (MATCH(181, 輔助計算!$G$2:$G$801, 0)+1))&lt;=1181,2,1))))&gt;0, IF(IF(INDEX(ERP資料!$G:$G, (MATCH(181, 輔助計算!$G$2:$G$801, 0)+1))&lt;100, IF(INDEX(ERP資料!$G:$G, (MATCH(181, 輔助計算!$G$2:$G$801, 0)+1))&lt;=31,3,IF(INDEX(ERP資料!$G:$G, (MATCH(181, 輔助計算!$G$2:$G$801, 0)+1))&lt;=46.5,2,1)), IF(INDEX(ERP資料!$G:$G, (MATCH(181, 輔助計算!$G$2:$G$801, 0)+1))&lt;=790,3,IF(INDEX(ERP資料!$G:$G, (MATCH(181, 輔助計算!$G$2:$G$801, 0)+1))&lt;=1181,2,1)))=1,TEXT(INDEX(ERP資料!$G:$G, (MATCH(181, 輔助計算!$G$2:$G$801, 0)+1)),"0.##"),IF(IF(INDEX(ERP資料!$G:$G, (MATCH(181, 輔助計算!$G$2:$G$801, 0)+1))&lt;100, IF(INDEX(ERP資料!$G:$G, (MATCH(181, 輔助計算!$G$2:$G$801, 0)+1))&lt;=31,3,IF(INDEX(ERP資料!$G:$G, (MATCH(181, 輔助計算!$G$2:$G$801, 0)+1))&lt;=46.5,2,1)), IF(INDEX(ERP資料!$G:$G, (MATCH(181, 輔助計算!$G$2:$G$801, 0)+1))&lt;=790,3,IF(INDEX(ERP資料!$G:$G, (MATCH(181, 輔助計算!$G$2:$G$801, 0)+1))&lt;=1181,2,1)))=2,TEXT(INDEX(ERP資料!$G:$G, (MATCH(181, 輔助計算!$G$2:$G$801, 0)+1)),"0.##")&amp;"+"&amp;TEXT(INDEX(ERP資料!$G:$G, (MATCH(181, 輔助計算!$G$2:$G$801, 0)+1)),"0.##"),TEXT(INDEX(ERP資料!$G:$G, (MATCH(181, 輔助計算!$G$2:$G$801, 0)+1)),"0.##")&amp;"+"&amp;TEXT(INDEX(ERP資料!$G:$G, (MATCH(181, 輔助計算!$G$2:$G$801, 0)+1)),"0.##")&amp;"+"&amp;TEXT(INDEX(ERP資料!$G:$G, (MATCH(181, 輔助計算!$G$2:$G$801, 0)+1)),"0.##")))&amp;"-"&amp;INT(INDEX(輔助計算!$D:$D, (MATCH(181, 輔助計算!$G$2:$G$801, 0)+1))/IF(INDEX(ERP資料!$G:$G, (MATCH(181, 輔助計算!$G$2:$G$801, 0)+1))&lt;100, IF(INDEX(ERP資料!$G:$G, (MATCH(181, 輔助計算!$G$2:$G$801, 0)+1))&lt;=31,3,IF(INDEX(ERP資料!$G:$G, (MATCH(181, 輔助計算!$G$2:$G$801, 0)+1))&lt;=46.5,2,1)), IF(INDEX(ERP資料!$G:$G, (MATCH(181, 輔助計算!$G$2:$G$801, 0)+1))&lt;=790,3,IF(INDEX(ERP資料!$G:$G, (MATCH(181, 輔助計算!$G$2:$G$801, 0)+1))&lt;=1181,2,1)))), "")&lt;&gt;"",IF(MOD(INDEX(輔助計算!$D:$D, (MATCH(181, 輔助計算!$G$2:$G$801, 0)+1)),IF(INDEX(ERP資料!$G:$G, (MATCH(181, 輔助計算!$G$2:$G$801, 0)+1))&lt;100, IF(INDEX(ERP資料!$G:$G, (MATCH(181, 輔助計算!$G$2:$G$801, 0)+1))&lt;=31,3,IF(INDEX(ERP資料!$G:$G, (MATCH(181, 輔助計算!$G$2:$G$801, 0)+1))&lt;=46.5,2,1)), IF(INDEX(ERP資料!$G:$G, (MATCH(181, 輔助計算!$G$2:$G$801, 0)+1))&lt;=790,3,IF(INDEX(ERP資料!$G:$G, (MATCH(181, 輔助計算!$G$2:$G$801, 0)+1))&lt;=1181,2,1))))=0,"",IF(MOD(INDEX(輔助計算!$D:$D, (MATCH(181, 輔助計算!$G$2:$G$801, 0)+1)),IF(INDEX(ERP資料!$G:$G, (MATCH(181, 輔助計算!$G$2:$G$801, 0)+1))&lt;100, IF(INDEX(ERP資料!$G:$G, (MATCH(181, 輔助計算!$G$2:$G$801, 0)+1))&lt;=31,3,IF(INDEX(ERP資料!$G:$G, (MATCH(181, 輔助計算!$G$2:$G$801, 0)+1))&lt;=46.5,2,1)), IF(INDEX(ERP資料!$G:$G, (MATCH(181, 輔助計算!$G$2:$G$801, 0)+1))&lt;=790,3,IF(INDEX(ERP資料!$G:$G, (MATCH(181, 輔助計算!$G$2:$G$801, 0)+1))&lt;=1181,2,1))))=0,"",IF(MOD(INDEX(輔助計算!$D:$D, (MATCH(181, 輔助計算!$G$2:$G$801, 0)+1)),IF(INDEX(ERP資料!$G:$G, (MATCH(181, 輔助計算!$G$2:$G$801, 0)+1))&lt;100, IF(INDEX(ERP資料!$G:$G, (MATCH(181, 輔助計算!$G$2:$G$801, 0)+1))&lt;=31,3,IF(INDEX(ERP資料!$G:$G, (MATCH(181, 輔助計算!$G$2:$G$801, 0)+1))&lt;=46.5,2,1)), IF(INDEX(ERP資料!$G:$G, (MATCH(181, 輔助計算!$G$2:$G$801, 0)+1))&lt;=790,3,IF(INDEX(ERP資料!$G:$G, (MATCH(181, 輔助計算!$G$2:$G$801, 0)+1))&lt;=1181,2,1))))=1,TEXT(INDEX(ERP資料!$G:$G, (MATCH(181, 輔助計算!$G$2:$G$801, 0)+1)),"0.##"),IF(MOD(INDEX(輔助計算!$D:$D, (MATCH(181, 輔助計算!$G$2:$G$801, 0)+1)),IF(INDEX(ERP資料!$G:$G, (MATCH(181, 輔助計算!$G$2:$G$801, 0)+1))&lt;100, IF(INDEX(ERP資料!$G:$G, (MATCH(181, 輔助計算!$G$2:$G$801, 0)+1))&lt;=31,3,IF(INDEX(ERP資料!$G:$G, (MATCH(181, 輔助計算!$G$2:$G$801, 0)+1))&lt;=46.5,2,1)), IF(INDEX(ERP資料!$G:$G, (MATCH(181, 輔助計算!$G$2:$G$801, 0)+1))&lt;=790,3,IF(INDEX(ERP資料!$G:$G, (MATCH(181, 輔助計算!$G$2:$G$801, 0)+1))&lt;=1181,2,1))))=2,TEXT(INDEX(ERP資料!$G:$G, (MATCH(181, 輔助計算!$G$2:$G$801, 0)+1)),"0.##")&amp;"+"&amp;TEXT(INDEX(ERP資料!$G:$G, (MATCH(181, 輔助計算!$G$2:$G$801, 0)+1)),"0.##"),TEXT(INDEX(ERP資料!$G:$G, (MATCH(181, 輔助計算!$G$2:$G$801, 0)+1)),"0.##")&amp;"+"&amp;TEXT(INDEX(ERP資料!$G:$G, (MATCH(181, 輔助計算!$G$2:$G$801, 0)+1)),"0.##")&amp;"+"&amp;TEXT(INDEX(ERP資料!$G:$G, (MATCH(181, 輔助計算!$G$2:$G$801, 0)+1)),"0.##"))))&amp;"-1")&lt;&gt;""),"  ","")&amp;IF(MOD(INDEX(輔助計算!$D:$D, (MATCH(181, 輔助計算!$G$2:$G$801, 0)+1)),IF(INDEX(ERP資料!$G:$G, (MATCH(181, 輔助計算!$G$2:$G$801, 0)+1))&lt;100, IF(INDEX(ERP資料!$G:$G, (MATCH(181, 輔助計算!$G$2:$G$801, 0)+1))&lt;=31,3,IF(INDEX(ERP資料!$G:$G, (MATCH(181, 輔助計算!$G$2:$G$801, 0)+1))&lt;=46.5,2,1)), IF(INDEX(ERP資料!$G:$G, (MATCH(181, 輔助計算!$G$2:$G$801, 0)+1))&lt;=790,3,IF(INDEX(ERP資料!$G:$G, (MATCH(181, 輔助計算!$G$2:$G$801, 0)+1))&lt;=1181,2,1))))=0,"",IF(MOD(INDEX(輔助計算!$D:$D, (MATCH(181, 輔助計算!$G$2:$G$801, 0)+1)),IF(INDEX(ERP資料!$G:$G, (MATCH(181, 輔助計算!$G$2:$G$801, 0)+1))&lt;100, IF(INDEX(ERP資料!$G:$G, (MATCH(181, 輔助計算!$G$2:$G$801, 0)+1))&lt;=31,3,IF(INDEX(ERP資料!$G:$G, (MATCH(181, 輔助計算!$G$2:$G$801, 0)+1))&lt;=46.5,2,1)), IF(INDEX(ERP資料!$G:$G, (MATCH(181, 輔助計算!$G$2:$G$801, 0)+1))&lt;=790,3,IF(INDEX(ERP資料!$G:$G, (MATCH(181, 輔助計算!$G$2:$G$801, 0)+1))&lt;=1181,2,1))))=0,"",IF(MOD(INDEX(輔助計算!$D:$D, (MATCH(181, 輔助計算!$G$2:$G$801, 0)+1)),IF(INDEX(ERP資料!$G:$G, (MATCH(181, 輔助計算!$G$2:$G$801, 0)+1))&lt;100, IF(INDEX(ERP資料!$G:$G, (MATCH(181, 輔助計算!$G$2:$G$801, 0)+1))&lt;=31,3,IF(INDEX(ERP資料!$G:$G, (MATCH(181, 輔助計算!$G$2:$G$801, 0)+1))&lt;=46.5,2,1)), IF(INDEX(ERP資料!$G:$G, (MATCH(181, 輔助計算!$G$2:$G$801, 0)+1))&lt;=790,3,IF(INDEX(ERP資料!$G:$G, (MATCH(181, 輔助計算!$G$2:$G$801, 0)+1))&lt;=1181,2,1))))=1,TEXT(INDEX(ERP資料!$G:$G, (MATCH(181, 輔助計算!$G$2:$G$801, 0)+1)),"0.##"),IF(MOD(INDEX(輔助計算!$D:$D, (MATCH(181, 輔助計算!$G$2:$G$801, 0)+1)),IF(INDEX(ERP資料!$G:$G, (MATCH(181, 輔助計算!$G$2:$G$801, 0)+1))&lt;100, IF(INDEX(ERP資料!$G:$G, (MATCH(181, 輔助計算!$G$2:$G$801, 0)+1))&lt;=31,3,IF(INDEX(ERP資料!$G:$G, (MATCH(181, 輔助計算!$G$2:$G$801, 0)+1))&lt;=46.5,2,1)), IF(INDEX(ERP資料!$G:$G, (MATCH(181, 輔助計算!$G$2:$G$801, 0)+1))&lt;=790,3,IF(INDEX(ERP資料!$G:$G, (MATCH(181, 輔助計算!$G$2:$G$801, 0)+1))&lt;=1181,2,1))))=2,TEXT(INDEX(ERP資料!$G:$G, (MATCH(181, 輔助計算!$G$2:$G$801, 0)+1)),"0.##")&amp;"+"&amp;TEXT(INDEX(ERP資料!$G:$G, (MATCH(181, 輔助計算!$G$2:$G$801, 0)+1)),"0.##"),TEXT(INDEX(ERP資料!$G:$G, (MATCH(181, 輔助計算!$G$2:$G$801, 0)+1)),"0.##")&amp;"+"&amp;TEXT(INDEX(ERP資料!$G:$G, (MATCH(181, 輔助計算!$G$2:$G$801, 0)+1)),"0.##")&amp;"+"&amp;TEXT(INDEX(ERP資料!$G:$G, (MATCH(181, 輔助計算!$G$2:$G$801, 0)+1)),"0.##"))))&amp;"-1")), ""), "")</f>
        <v/>
      </c>
      <c r="K182" s="16" t="n"/>
      <c r="L182" s="14">
        <f>IFERROR(IF(AND(IFERROR(INDEX(ERP資料!$A:$A, (MATCH(181, 輔助計算!$G$2:$G$801, 0)+1)), "")&lt;&gt;"", IFERROR(INDEX(ERP資料!$A:$A, (MATCH(181, 輔助計算!$G$2:$G$801, 0)+1)), "")&lt;&gt;IFERROR(INDEX(ERP資料!$A:$A, MATCH(180, 輔助計算!$G$2:$G$801, 0)+1), "")), INDEX(ERP資料!$B:$B, (MATCH(181, 輔助計算!$G$2:$G$801, 0)+1)), ""), "")</f>
        <v/>
      </c>
      <c r="M182" s="17" t="n"/>
    </row>
    <row r="183">
      <c r="A183" s="10">
        <f>IFERROR(IF(AND(IFERROR(INDEX(ERP資料!$A:$A, (MATCH(182, 輔助計算!$G$2:$G$801, 0)+1)), "")&lt;&gt;"", IFERROR(INDEX(ERP資料!$A:$A, (MATCH(182, 輔助計算!$G$2:$G$801, 0)+1)), "")&lt;&gt;IFERROR(INDEX(ERP資料!$A:$A, MATCH(181, 輔助計算!$G$2:$G$801, 0)+1), "")), IFERROR(INDEX(ERP資料!$A:$A, (MATCH(182, 輔助計算!$G$2:$G$801, 0)+1)), ""), ""), "")</f>
        <v/>
      </c>
      <c r="B183" s="10">
        <f>IFERROR(IF(AND(IFERROR(INDEX(ERP資料!$A:$A, (MATCH(182, 輔助計算!$G$2:$G$801, 0)+1)), "")&lt;&gt;"", IFERROR(INDEX(ERP資料!$A:$A, (MATCH(182, 輔助計算!$G$2:$G$801, 0)+1)), "")&lt;&gt;IFERROR(INDEX(ERP資料!$A:$A, MATCH(181, 輔助計算!$G$2:$G$801, 0)+1), "")), INDEX(ERP資料!$S:$S, (MATCH(182, 輔助計算!$G$2:$G$801, 0)+1)), ""), "")</f>
        <v/>
      </c>
      <c r="C183" s="19">
        <f>IFERROR(IF(AND(IFERROR(INDEX(ERP資料!$A:$A, (MATCH(182, 輔助計算!$G$2:$G$801, 0)+1)), "")&lt;&gt;"", IFERROR(INDEX(ERP資料!$A:$A, (MATCH(182, 輔助計算!$G$2:$G$801, 0)+1)), "")&lt;&gt;IFERROR(INDEX(ERP資料!$A:$A, MATCH(181, 輔助計算!$G$2:$G$801, 0)+1), "")), IFERROR(VLOOKUP(LEFT(INDEX(ERP資料!$S:$S, (MATCH(182, 輔助計算!$G$2:$G$801, 0)+1)), 4), 紙管對照表!$A:$C, 3, FALSE), ""), ""), "")</f>
        <v/>
      </c>
      <c r="D183" s="16" t="n"/>
      <c r="E183" s="10">
        <f>IFERROR(IF(INDEX(ERP資料!$H:$H, (MATCH(182, 輔助計算!$G$2:$G$801, 0)+1))="","",INDEX(ERP資料!$H:$H, (MATCH(182, 輔助計算!$G$2:$G$801, 0)+1))), "")</f>
        <v/>
      </c>
      <c r="F183" s="10">
        <f>IFERROR(IF(INDEX(ERP資料!$E:$E, (MATCH(182, 輔助計算!$G$2:$G$801, 0)+1))="","",TRIM(INDEX(ERP資料!$E:$E, (MATCH(182, 輔助計算!$G$2:$G$801, 0)+1)))), "")</f>
        <v/>
      </c>
      <c r="G183" s="10">
        <f>IFERROR(IF(INDEX(ERP資料!$F:$F, (MATCH(182, 輔助計算!$G$2:$G$801, 0)+1))="","",INDEX(ERP資料!$F:$F, (MATCH(182, 輔助計算!$G$2:$G$801, 0)+1))), "")</f>
        <v/>
      </c>
      <c r="H183" s="10">
        <f>IFERROR(IF(INDEX(ERP資料!$G:$G, (MATCH(182, 輔助計算!$G$2:$G$801, 0)+1))="","",INDEX(ERP資料!$G:$G, (MATCH(182, 輔助計算!$G$2:$G$801, 0)+1))), "")</f>
        <v/>
      </c>
      <c r="I183" s="15">
        <f>IFERROR(INDEX(輔助計算!$D:$D, (MATCH(182, 輔助計算!$G$2:$G$801, 0)+1)), "")</f>
        <v/>
      </c>
      <c r="J183" s="15">
        <f>IFERROR(IF(AND(INDEX(輔助計算!$D:$D, (MATCH(182, 輔助計算!$G$2:$G$801, 0)+1))&lt;&gt;"", INDEX(ERP資料!$G:$G, (MATCH(182, 輔助計算!$G$2:$G$801, 0)+1))&lt;&gt;""), TRIM(IF(INT(INDEX(輔助計算!$D:$D, (MATCH(182, 輔助計算!$G$2:$G$801, 0)+1))/IF(INDEX(ERP資料!$G:$G, (MATCH(182, 輔助計算!$G$2:$G$801, 0)+1))&lt;100, IF(INDEX(ERP資料!$G:$G, (MATCH(182, 輔助計算!$G$2:$G$801, 0)+1))&lt;=31,3,IF(INDEX(ERP資料!$G:$G, (MATCH(182, 輔助計算!$G$2:$G$801, 0)+1))&lt;=46.5,2,1)), IF(INDEX(ERP資料!$G:$G, (MATCH(182, 輔助計算!$G$2:$G$801, 0)+1))&lt;=790,3,IF(INDEX(ERP資料!$G:$G, (MATCH(182, 輔助計算!$G$2:$G$801, 0)+1))&lt;=1181,2,1))))&gt;0, IF(IF(INDEX(ERP資料!$G:$G, (MATCH(182, 輔助計算!$G$2:$G$801, 0)+1))&lt;100, IF(INDEX(ERP資料!$G:$G, (MATCH(182, 輔助計算!$G$2:$G$801, 0)+1))&lt;=31,3,IF(INDEX(ERP資料!$G:$G, (MATCH(182, 輔助計算!$G$2:$G$801, 0)+1))&lt;=46.5,2,1)), IF(INDEX(ERP資料!$G:$G, (MATCH(182, 輔助計算!$G$2:$G$801, 0)+1))&lt;=790,3,IF(INDEX(ERP資料!$G:$G, (MATCH(182, 輔助計算!$G$2:$G$801, 0)+1))&lt;=1181,2,1)))=1,TEXT(INDEX(ERP資料!$G:$G, (MATCH(182, 輔助計算!$G$2:$G$801, 0)+1)),"0.##"),IF(IF(INDEX(ERP資料!$G:$G, (MATCH(182, 輔助計算!$G$2:$G$801, 0)+1))&lt;100, IF(INDEX(ERP資料!$G:$G, (MATCH(182, 輔助計算!$G$2:$G$801, 0)+1))&lt;=31,3,IF(INDEX(ERP資料!$G:$G, (MATCH(182, 輔助計算!$G$2:$G$801, 0)+1))&lt;=46.5,2,1)), IF(INDEX(ERP資料!$G:$G, (MATCH(182, 輔助計算!$G$2:$G$801, 0)+1))&lt;=790,3,IF(INDEX(ERP資料!$G:$G, (MATCH(182, 輔助計算!$G$2:$G$801, 0)+1))&lt;=1181,2,1)))=2,TEXT(INDEX(ERP資料!$G:$G, (MATCH(182, 輔助計算!$G$2:$G$801, 0)+1)),"0.##")&amp;"+"&amp;TEXT(INDEX(ERP資料!$G:$G, (MATCH(182, 輔助計算!$G$2:$G$801, 0)+1)),"0.##"),TEXT(INDEX(ERP資料!$G:$G, (MATCH(182, 輔助計算!$G$2:$G$801, 0)+1)),"0.##")&amp;"+"&amp;TEXT(INDEX(ERP資料!$G:$G, (MATCH(182, 輔助計算!$G$2:$G$801, 0)+1)),"0.##")&amp;"+"&amp;TEXT(INDEX(ERP資料!$G:$G, (MATCH(182, 輔助計算!$G$2:$G$801, 0)+1)),"0.##")))&amp;"-"&amp;INT(INDEX(輔助計算!$D:$D, (MATCH(182, 輔助計算!$G$2:$G$801, 0)+1))/IF(INDEX(ERP資料!$G:$G, (MATCH(182, 輔助計算!$G$2:$G$801, 0)+1))&lt;100, IF(INDEX(ERP資料!$G:$G, (MATCH(182, 輔助計算!$G$2:$G$801, 0)+1))&lt;=31,3,IF(INDEX(ERP資料!$G:$G, (MATCH(182, 輔助計算!$G$2:$G$801, 0)+1))&lt;=46.5,2,1)), IF(INDEX(ERP資料!$G:$G, (MATCH(182, 輔助計算!$G$2:$G$801, 0)+1))&lt;=790,3,IF(INDEX(ERP資料!$G:$G, (MATCH(182, 輔助計算!$G$2:$G$801, 0)+1))&lt;=1181,2,1)))), "")&amp;IF(AND(IF(INT(INDEX(輔助計算!$D:$D, (MATCH(182, 輔助計算!$G$2:$G$801, 0)+1))/IF(INDEX(ERP資料!$G:$G, (MATCH(182, 輔助計算!$G$2:$G$801, 0)+1))&lt;100, IF(INDEX(ERP資料!$G:$G, (MATCH(182, 輔助計算!$G$2:$G$801, 0)+1))&lt;=31,3,IF(INDEX(ERP資料!$G:$G, (MATCH(182, 輔助計算!$G$2:$G$801, 0)+1))&lt;=46.5,2,1)), IF(INDEX(ERP資料!$G:$G, (MATCH(182, 輔助計算!$G$2:$G$801, 0)+1))&lt;=790,3,IF(INDEX(ERP資料!$G:$G, (MATCH(182, 輔助計算!$G$2:$G$801, 0)+1))&lt;=1181,2,1))))&gt;0, IF(IF(INDEX(ERP資料!$G:$G, (MATCH(182, 輔助計算!$G$2:$G$801, 0)+1))&lt;100, IF(INDEX(ERP資料!$G:$G, (MATCH(182, 輔助計算!$G$2:$G$801, 0)+1))&lt;=31,3,IF(INDEX(ERP資料!$G:$G, (MATCH(182, 輔助計算!$G$2:$G$801, 0)+1))&lt;=46.5,2,1)), IF(INDEX(ERP資料!$G:$G, (MATCH(182, 輔助計算!$G$2:$G$801, 0)+1))&lt;=790,3,IF(INDEX(ERP資料!$G:$G, (MATCH(182, 輔助計算!$G$2:$G$801, 0)+1))&lt;=1181,2,1)))=1,TEXT(INDEX(ERP資料!$G:$G, (MATCH(182, 輔助計算!$G$2:$G$801, 0)+1)),"0.##"),IF(IF(INDEX(ERP資料!$G:$G, (MATCH(182, 輔助計算!$G$2:$G$801, 0)+1))&lt;100, IF(INDEX(ERP資料!$G:$G, (MATCH(182, 輔助計算!$G$2:$G$801, 0)+1))&lt;=31,3,IF(INDEX(ERP資料!$G:$G, (MATCH(182, 輔助計算!$G$2:$G$801, 0)+1))&lt;=46.5,2,1)), IF(INDEX(ERP資料!$G:$G, (MATCH(182, 輔助計算!$G$2:$G$801, 0)+1))&lt;=790,3,IF(INDEX(ERP資料!$G:$G, (MATCH(182, 輔助計算!$G$2:$G$801, 0)+1))&lt;=1181,2,1)))=2,TEXT(INDEX(ERP資料!$G:$G, (MATCH(182, 輔助計算!$G$2:$G$801, 0)+1)),"0.##")&amp;"+"&amp;TEXT(INDEX(ERP資料!$G:$G, (MATCH(182, 輔助計算!$G$2:$G$801, 0)+1)),"0.##"),TEXT(INDEX(ERP資料!$G:$G, (MATCH(182, 輔助計算!$G$2:$G$801, 0)+1)),"0.##")&amp;"+"&amp;TEXT(INDEX(ERP資料!$G:$G, (MATCH(182, 輔助計算!$G$2:$G$801, 0)+1)),"0.##")&amp;"+"&amp;TEXT(INDEX(ERP資料!$G:$G, (MATCH(182, 輔助計算!$G$2:$G$801, 0)+1)),"0.##")))&amp;"-"&amp;INT(INDEX(輔助計算!$D:$D, (MATCH(182, 輔助計算!$G$2:$G$801, 0)+1))/IF(INDEX(ERP資料!$G:$G, (MATCH(182, 輔助計算!$G$2:$G$801, 0)+1))&lt;100, IF(INDEX(ERP資料!$G:$G, (MATCH(182, 輔助計算!$G$2:$G$801, 0)+1))&lt;=31,3,IF(INDEX(ERP資料!$G:$G, (MATCH(182, 輔助計算!$G$2:$G$801, 0)+1))&lt;=46.5,2,1)), IF(INDEX(ERP資料!$G:$G, (MATCH(182, 輔助計算!$G$2:$G$801, 0)+1))&lt;=790,3,IF(INDEX(ERP資料!$G:$G, (MATCH(182, 輔助計算!$G$2:$G$801, 0)+1))&lt;=1181,2,1)))), "")&lt;&gt;"",IF(MOD(INDEX(輔助計算!$D:$D, (MATCH(182, 輔助計算!$G$2:$G$801, 0)+1)),IF(INDEX(ERP資料!$G:$G, (MATCH(182, 輔助計算!$G$2:$G$801, 0)+1))&lt;100, IF(INDEX(ERP資料!$G:$G, (MATCH(182, 輔助計算!$G$2:$G$801, 0)+1))&lt;=31,3,IF(INDEX(ERP資料!$G:$G, (MATCH(182, 輔助計算!$G$2:$G$801, 0)+1))&lt;=46.5,2,1)), IF(INDEX(ERP資料!$G:$G, (MATCH(182, 輔助計算!$G$2:$G$801, 0)+1))&lt;=790,3,IF(INDEX(ERP資料!$G:$G, (MATCH(182, 輔助計算!$G$2:$G$801, 0)+1))&lt;=1181,2,1))))=0,"",IF(MOD(INDEX(輔助計算!$D:$D, (MATCH(182, 輔助計算!$G$2:$G$801, 0)+1)),IF(INDEX(ERP資料!$G:$G, (MATCH(182, 輔助計算!$G$2:$G$801, 0)+1))&lt;100, IF(INDEX(ERP資料!$G:$G, (MATCH(182, 輔助計算!$G$2:$G$801, 0)+1))&lt;=31,3,IF(INDEX(ERP資料!$G:$G, (MATCH(182, 輔助計算!$G$2:$G$801, 0)+1))&lt;=46.5,2,1)), IF(INDEX(ERP資料!$G:$G, (MATCH(182, 輔助計算!$G$2:$G$801, 0)+1))&lt;=790,3,IF(INDEX(ERP資料!$G:$G, (MATCH(182, 輔助計算!$G$2:$G$801, 0)+1))&lt;=1181,2,1))))=0,"",IF(MOD(INDEX(輔助計算!$D:$D, (MATCH(182, 輔助計算!$G$2:$G$801, 0)+1)),IF(INDEX(ERP資料!$G:$G, (MATCH(182, 輔助計算!$G$2:$G$801, 0)+1))&lt;100, IF(INDEX(ERP資料!$G:$G, (MATCH(182, 輔助計算!$G$2:$G$801, 0)+1))&lt;=31,3,IF(INDEX(ERP資料!$G:$G, (MATCH(182, 輔助計算!$G$2:$G$801, 0)+1))&lt;=46.5,2,1)), IF(INDEX(ERP資料!$G:$G, (MATCH(182, 輔助計算!$G$2:$G$801, 0)+1))&lt;=790,3,IF(INDEX(ERP資料!$G:$G, (MATCH(182, 輔助計算!$G$2:$G$801, 0)+1))&lt;=1181,2,1))))=1,TEXT(INDEX(ERP資料!$G:$G, (MATCH(182, 輔助計算!$G$2:$G$801, 0)+1)),"0.##"),IF(MOD(INDEX(輔助計算!$D:$D, (MATCH(182, 輔助計算!$G$2:$G$801, 0)+1)),IF(INDEX(ERP資料!$G:$G, (MATCH(182, 輔助計算!$G$2:$G$801, 0)+1))&lt;100, IF(INDEX(ERP資料!$G:$G, (MATCH(182, 輔助計算!$G$2:$G$801, 0)+1))&lt;=31,3,IF(INDEX(ERP資料!$G:$G, (MATCH(182, 輔助計算!$G$2:$G$801, 0)+1))&lt;=46.5,2,1)), IF(INDEX(ERP資料!$G:$G, (MATCH(182, 輔助計算!$G$2:$G$801, 0)+1))&lt;=790,3,IF(INDEX(ERP資料!$G:$G, (MATCH(182, 輔助計算!$G$2:$G$801, 0)+1))&lt;=1181,2,1))))=2,TEXT(INDEX(ERP資料!$G:$G, (MATCH(182, 輔助計算!$G$2:$G$801, 0)+1)),"0.##")&amp;"+"&amp;TEXT(INDEX(ERP資料!$G:$G, (MATCH(182, 輔助計算!$G$2:$G$801, 0)+1)),"0.##"),TEXT(INDEX(ERP資料!$G:$G, (MATCH(182, 輔助計算!$G$2:$G$801, 0)+1)),"0.##")&amp;"+"&amp;TEXT(INDEX(ERP資料!$G:$G, (MATCH(182, 輔助計算!$G$2:$G$801, 0)+1)),"0.##")&amp;"+"&amp;TEXT(INDEX(ERP資料!$G:$G, (MATCH(182, 輔助計算!$G$2:$G$801, 0)+1)),"0.##"))))&amp;"-1")&lt;&gt;""),"  ","")&amp;IF(MOD(INDEX(輔助計算!$D:$D, (MATCH(182, 輔助計算!$G$2:$G$801, 0)+1)),IF(INDEX(ERP資料!$G:$G, (MATCH(182, 輔助計算!$G$2:$G$801, 0)+1))&lt;100, IF(INDEX(ERP資料!$G:$G, (MATCH(182, 輔助計算!$G$2:$G$801, 0)+1))&lt;=31,3,IF(INDEX(ERP資料!$G:$G, (MATCH(182, 輔助計算!$G$2:$G$801, 0)+1))&lt;=46.5,2,1)), IF(INDEX(ERP資料!$G:$G, (MATCH(182, 輔助計算!$G$2:$G$801, 0)+1))&lt;=790,3,IF(INDEX(ERP資料!$G:$G, (MATCH(182, 輔助計算!$G$2:$G$801, 0)+1))&lt;=1181,2,1))))=0,"",IF(MOD(INDEX(輔助計算!$D:$D, (MATCH(182, 輔助計算!$G$2:$G$801, 0)+1)),IF(INDEX(ERP資料!$G:$G, (MATCH(182, 輔助計算!$G$2:$G$801, 0)+1))&lt;100, IF(INDEX(ERP資料!$G:$G, (MATCH(182, 輔助計算!$G$2:$G$801, 0)+1))&lt;=31,3,IF(INDEX(ERP資料!$G:$G, (MATCH(182, 輔助計算!$G$2:$G$801, 0)+1))&lt;=46.5,2,1)), IF(INDEX(ERP資料!$G:$G, (MATCH(182, 輔助計算!$G$2:$G$801, 0)+1))&lt;=790,3,IF(INDEX(ERP資料!$G:$G, (MATCH(182, 輔助計算!$G$2:$G$801, 0)+1))&lt;=1181,2,1))))=0,"",IF(MOD(INDEX(輔助計算!$D:$D, (MATCH(182, 輔助計算!$G$2:$G$801, 0)+1)),IF(INDEX(ERP資料!$G:$G, (MATCH(182, 輔助計算!$G$2:$G$801, 0)+1))&lt;100, IF(INDEX(ERP資料!$G:$G, (MATCH(182, 輔助計算!$G$2:$G$801, 0)+1))&lt;=31,3,IF(INDEX(ERP資料!$G:$G, (MATCH(182, 輔助計算!$G$2:$G$801, 0)+1))&lt;=46.5,2,1)), IF(INDEX(ERP資料!$G:$G, (MATCH(182, 輔助計算!$G$2:$G$801, 0)+1))&lt;=790,3,IF(INDEX(ERP資料!$G:$G, (MATCH(182, 輔助計算!$G$2:$G$801, 0)+1))&lt;=1181,2,1))))=1,TEXT(INDEX(ERP資料!$G:$G, (MATCH(182, 輔助計算!$G$2:$G$801, 0)+1)),"0.##"),IF(MOD(INDEX(輔助計算!$D:$D, (MATCH(182, 輔助計算!$G$2:$G$801, 0)+1)),IF(INDEX(ERP資料!$G:$G, (MATCH(182, 輔助計算!$G$2:$G$801, 0)+1))&lt;100, IF(INDEX(ERP資料!$G:$G, (MATCH(182, 輔助計算!$G$2:$G$801, 0)+1))&lt;=31,3,IF(INDEX(ERP資料!$G:$G, (MATCH(182, 輔助計算!$G$2:$G$801, 0)+1))&lt;=46.5,2,1)), IF(INDEX(ERP資料!$G:$G, (MATCH(182, 輔助計算!$G$2:$G$801, 0)+1))&lt;=790,3,IF(INDEX(ERP資料!$G:$G, (MATCH(182, 輔助計算!$G$2:$G$801, 0)+1))&lt;=1181,2,1))))=2,TEXT(INDEX(ERP資料!$G:$G, (MATCH(182, 輔助計算!$G$2:$G$801, 0)+1)),"0.##")&amp;"+"&amp;TEXT(INDEX(ERP資料!$G:$G, (MATCH(182, 輔助計算!$G$2:$G$801, 0)+1)),"0.##"),TEXT(INDEX(ERP資料!$G:$G, (MATCH(182, 輔助計算!$G$2:$G$801, 0)+1)),"0.##")&amp;"+"&amp;TEXT(INDEX(ERP資料!$G:$G, (MATCH(182, 輔助計算!$G$2:$G$801, 0)+1)),"0.##")&amp;"+"&amp;TEXT(INDEX(ERP資料!$G:$G, (MATCH(182, 輔助計算!$G$2:$G$801, 0)+1)),"0.##"))))&amp;"-1")), ""), "")</f>
        <v/>
      </c>
      <c r="K183" s="16" t="n"/>
      <c r="L183" s="14">
        <f>IFERROR(IF(AND(IFERROR(INDEX(ERP資料!$A:$A, (MATCH(182, 輔助計算!$G$2:$G$801, 0)+1)), "")&lt;&gt;"", IFERROR(INDEX(ERP資料!$A:$A, (MATCH(182, 輔助計算!$G$2:$G$801, 0)+1)), "")&lt;&gt;IFERROR(INDEX(ERP資料!$A:$A, MATCH(181, 輔助計算!$G$2:$G$801, 0)+1), "")), INDEX(ERP資料!$B:$B, (MATCH(182, 輔助計算!$G$2:$G$801, 0)+1)), ""), "")</f>
        <v/>
      </c>
      <c r="M183" s="17" t="n"/>
    </row>
    <row r="184">
      <c r="A184" s="10">
        <f>IFERROR(IF(AND(IFERROR(INDEX(ERP資料!$A:$A, (MATCH(183, 輔助計算!$G$2:$G$801, 0)+1)), "")&lt;&gt;"", IFERROR(INDEX(ERP資料!$A:$A, (MATCH(183, 輔助計算!$G$2:$G$801, 0)+1)), "")&lt;&gt;IFERROR(INDEX(ERP資料!$A:$A, MATCH(182, 輔助計算!$G$2:$G$801, 0)+1), "")), IFERROR(INDEX(ERP資料!$A:$A, (MATCH(183, 輔助計算!$G$2:$G$801, 0)+1)), ""), ""), "")</f>
        <v/>
      </c>
      <c r="B184" s="10">
        <f>IFERROR(IF(AND(IFERROR(INDEX(ERP資料!$A:$A, (MATCH(183, 輔助計算!$G$2:$G$801, 0)+1)), "")&lt;&gt;"", IFERROR(INDEX(ERP資料!$A:$A, (MATCH(183, 輔助計算!$G$2:$G$801, 0)+1)), "")&lt;&gt;IFERROR(INDEX(ERP資料!$A:$A, MATCH(182, 輔助計算!$G$2:$G$801, 0)+1), "")), INDEX(ERP資料!$S:$S, (MATCH(183, 輔助計算!$G$2:$G$801, 0)+1)), ""), "")</f>
        <v/>
      </c>
      <c r="C184" s="19">
        <f>IFERROR(IF(AND(IFERROR(INDEX(ERP資料!$A:$A, (MATCH(183, 輔助計算!$G$2:$G$801, 0)+1)), "")&lt;&gt;"", IFERROR(INDEX(ERP資料!$A:$A, (MATCH(183, 輔助計算!$G$2:$G$801, 0)+1)), "")&lt;&gt;IFERROR(INDEX(ERP資料!$A:$A, MATCH(182, 輔助計算!$G$2:$G$801, 0)+1), "")), IFERROR(VLOOKUP(LEFT(INDEX(ERP資料!$S:$S, (MATCH(183, 輔助計算!$G$2:$G$801, 0)+1)), 4), 紙管對照表!$A:$C, 3, FALSE), ""), ""), "")</f>
        <v/>
      </c>
      <c r="D184" s="16" t="n"/>
      <c r="E184" s="10">
        <f>IFERROR(IF(INDEX(ERP資料!$H:$H, (MATCH(183, 輔助計算!$G$2:$G$801, 0)+1))="","",INDEX(ERP資料!$H:$H, (MATCH(183, 輔助計算!$G$2:$G$801, 0)+1))), "")</f>
        <v/>
      </c>
      <c r="F184" s="10">
        <f>IFERROR(IF(INDEX(ERP資料!$E:$E, (MATCH(183, 輔助計算!$G$2:$G$801, 0)+1))="","",TRIM(INDEX(ERP資料!$E:$E, (MATCH(183, 輔助計算!$G$2:$G$801, 0)+1)))), "")</f>
        <v/>
      </c>
      <c r="G184" s="10">
        <f>IFERROR(IF(INDEX(ERP資料!$F:$F, (MATCH(183, 輔助計算!$G$2:$G$801, 0)+1))="","",INDEX(ERP資料!$F:$F, (MATCH(183, 輔助計算!$G$2:$G$801, 0)+1))), "")</f>
        <v/>
      </c>
      <c r="H184" s="10">
        <f>IFERROR(IF(INDEX(ERP資料!$G:$G, (MATCH(183, 輔助計算!$G$2:$G$801, 0)+1))="","",INDEX(ERP資料!$G:$G, (MATCH(183, 輔助計算!$G$2:$G$801, 0)+1))), "")</f>
        <v/>
      </c>
      <c r="I184" s="15">
        <f>IFERROR(INDEX(輔助計算!$D:$D, (MATCH(183, 輔助計算!$G$2:$G$801, 0)+1)), "")</f>
        <v/>
      </c>
      <c r="J184" s="15">
        <f>IFERROR(IF(AND(INDEX(輔助計算!$D:$D, (MATCH(183, 輔助計算!$G$2:$G$801, 0)+1))&lt;&gt;"", INDEX(ERP資料!$G:$G, (MATCH(183, 輔助計算!$G$2:$G$801, 0)+1))&lt;&gt;""), TRIM(IF(INT(INDEX(輔助計算!$D:$D, (MATCH(183, 輔助計算!$G$2:$G$801, 0)+1))/IF(INDEX(ERP資料!$G:$G, (MATCH(183, 輔助計算!$G$2:$G$801, 0)+1))&lt;100, IF(INDEX(ERP資料!$G:$G, (MATCH(183, 輔助計算!$G$2:$G$801, 0)+1))&lt;=31,3,IF(INDEX(ERP資料!$G:$G, (MATCH(183, 輔助計算!$G$2:$G$801, 0)+1))&lt;=46.5,2,1)), IF(INDEX(ERP資料!$G:$G, (MATCH(183, 輔助計算!$G$2:$G$801, 0)+1))&lt;=790,3,IF(INDEX(ERP資料!$G:$G, (MATCH(183, 輔助計算!$G$2:$G$801, 0)+1))&lt;=1181,2,1))))&gt;0, IF(IF(INDEX(ERP資料!$G:$G, (MATCH(183, 輔助計算!$G$2:$G$801, 0)+1))&lt;100, IF(INDEX(ERP資料!$G:$G, (MATCH(183, 輔助計算!$G$2:$G$801, 0)+1))&lt;=31,3,IF(INDEX(ERP資料!$G:$G, (MATCH(183, 輔助計算!$G$2:$G$801, 0)+1))&lt;=46.5,2,1)), IF(INDEX(ERP資料!$G:$G, (MATCH(183, 輔助計算!$G$2:$G$801, 0)+1))&lt;=790,3,IF(INDEX(ERP資料!$G:$G, (MATCH(183, 輔助計算!$G$2:$G$801, 0)+1))&lt;=1181,2,1)))=1,TEXT(INDEX(ERP資料!$G:$G, (MATCH(183, 輔助計算!$G$2:$G$801, 0)+1)),"0.##"),IF(IF(INDEX(ERP資料!$G:$G, (MATCH(183, 輔助計算!$G$2:$G$801, 0)+1))&lt;100, IF(INDEX(ERP資料!$G:$G, (MATCH(183, 輔助計算!$G$2:$G$801, 0)+1))&lt;=31,3,IF(INDEX(ERP資料!$G:$G, (MATCH(183, 輔助計算!$G$2:$G$801, 0)+1))&lt;=46.5,2,1)), IF(INDEX(ERP資料!$G:$G, (MATCH(183, 輔助計算!$G$2:$G$801, 0)+1))&lt;=790,3,IF(INDEX(ERP資料!$G:$G, (MATCH(183, 輔助計算!$G$2:$G$801, 0)+1))&lt;=1181,2,1)))=2,TEXT(INDEX(ERP資料!$G:$G, (MATCH(183, 輔助計算!$G$2:$G$801, 0)+1)),"0.##")&amp;"+"&amp;TEXT(INDEX(ERP資料!$G:$G, (MATCH(183, 輔助計算!$G$2:$G$801, 0)+1)),"0.##"),TEXT(INDEX(ERP資料!$G:$G, (MATCH(183, 輔助計算!$G$2:$G$801, 0)+1)),"0.##")&amp;"+"&amp;TEXT(INDEX(ERP資料!$G:$G, (MATCH(183, 輔助計算!$G$2:$G$801, 0)+1)),"0.##")&amp;"+"&amp;TEXT(INDEX(ERP資料!$G:$G, (MATCH(183, 輔助計算!$G$2:$G$801, 0)+1)),"0.##")))&amp;"-"&amp;INT(INDEX(輔助計算!$D:$D, (MATCH(183, 輔助計算!$G$2:$G$801, 0)+1))/IF(INDEX(ERP資料!$G:$G, (MATCH(183, 輔助計算!$G$2:$G$801, 0)+1))&lt;100, IF(INDEX(ERP資料!$G:$G, (MATCH(183, 輔助計算!$G$2:$G$801, 0)+1))&lt;=31,3,IF(INDEX(ERP資料!$G:$G, (MATCH(183, 輔助計算!$G$2:$G$801, 0)+1))&lt;=46.5,2,1)), IF(INDEX(ERP資料!$G:$G, (MATCH(183, 輔助計算!$G$2:$G$801, 0)+1))&lt;=790,3,IF(INDEX(ERP資料!$G:$G, (MATCH(183, 輔助計算!$G$2:$G$801, 0)+1))&lt;=1181,2,1)))), "")&amp;IF(AND(IF(INT(INDEX(輔助計算!$D:$D, (MATCH(183, 輔助計算!$G$2:$G$801, 0)+1))/IF(INDEX(ERP資料!$G:$G, (MATCH(183, 輔助計算!$G$2:$G$801, 0)+1))&lt;100, IF(INDEX(ERP資料!$G:$G, (MATCH(183, 輔助計算!$G$2:$G$801, 0)+1))&lt;=31,3,IF(INDEX(ERP資料!$G:$G, (MATCH(183, 輔助計算!$G$2:$G$801, 0)+1))&lt;=46.5,2,1)), IF(INDEX(ERP資料!$G:$G, (MATCH(183, 輔助計算!$G$2:$G$801, 0)+1))&lt;=790,3,IF(INDEX(ERP資料!$G:$G, (MATCH(183, 輔助計算!$G$2:$G$801, 0)+1))&lt;=1181,2,1))))&gt;0, IF(IF(INDEX(ERP資料!$G:$G, (MATCH(183, 輔助計算!$G$2:$G$801, 0)+1))&lt;100, IF(INDEX(ERP資料!$G:$G, (MATCH(183, 輔助計算!$G$2:$G$801, 0)+1))&lt;=31,3,IF(INDEX(ERP資料!$G:$G, (MATCH(183, 輔助計算!$G$2:$G$801, 0)+1))&lt;=46.5,2,1)), IF(INDEX(ERP資料!$G:$G, (MATCH(183, 輔助計算!$G$2:$G$801, 0)+1))&lt;=790,3,IF(INDEX(ERP資料!$G:$G, (MATCH(183, 輔助計算!$G$2:$G$801, 0)+1))&lt;=1181,2,1)))=1,TEXT(INDEX(ERP資料!$G:$G, (MATCH(183, 輔助計算!$G$2:$G$801, 0)+1)),"0.##"),IF(IF(INDEX(ERP資料!$G:$G, (MATCH(183, 輔助計算!$G$2:$G$801, 0)+1))&lt;100, IF(INDEX(ERP資料!$G:$G, (MATCH(183, 輔助計算!$G$2:$G$801, 0)+1))&lt;=31,3,IF(INDEX(ERP資料!$G:$G, (MATCH(183, 輔助計算!$G$2:$G$801, 0)+1))&lt;=46.5,2,1)), IF(INDEX(ERP資料!$G:$G, (MATCH(183, 輔助計算!$G$2:$G$801, 0)+1))&lt;=790,3,IF(INDEX(ERP資料!$G:$G, (MATCH(183, 輔助計算!$G$2:$G$801, 0)+1))&lt;=1181,2,1)))=2,TEXT(INDEX(ERP資料!$G:$G, (MATCH(183, 輔助計算!$G$2:$G$801, 0)+1)),"0.##")&amp;"+"&amp;TEXT(INDEX(ERP資料!$G:$G, (MATCH(183, 輔助計算!$G$2:$G$801, 0)+1)),"0.##"),TEXT(INDEX(ERP資料!$G:$G, (MATCH(183, 輔助計算!$G$2:$G$801, 0)+1)),"0.##")&amp;"+"&amp;TEXT(INDEX(ERP資料!$G:$G, (MATCH(183, 輔助計算!$G$2:$G$801, 0)+1)),"0.##")&amp;"+"&amp;TEXT(INDEX(ERP資料!$G:$G, (MATCH(183, 輔助計算!$G$2:$G$801, 0)+1)),"0.##")))&amp;"-"&amp;INT(INDEX(輔助計算!$D:$D, (MATCH(183, 輔助計算!$G$2:$G$801, 0)+1))/IF(INDEX(ERP資料!$G:$G, (MATCH(183, 輔助計算!$G$2:$G$801, 0)+1))&lt;100, IF(INDEX(ERP資料!$G:$G, (MATCH(183, 輔助計算!$G$2:$G$801, 0)+1))&lt;=31,3,IF(INDEX(ERP資料!$G:$G, (MATCH(183, 輔助計算!$G$2:$G$801, 0)+1))&lt;=46.5,2,1)), IF(INDEX(ERP資料!$G:$G, (MATCH(183, 輔助計算!$G$2:$G$801, 0)+1))&lt;=790,3,IF(INDEX(ERP資料!$G:$G, (MATCH(183, 輔助計算!$G$2:$G$801, 0)+1))&lt;=1181,2,1)))), "")&lt;&gt;"",IF(MOD(INDEX(輔助計算!$D:$D, (MATCH(183, 輔助計算!$G$2:$G$801, 0)+1)),IF(INDEX(ERP資料!$G:$G, (MATCH(183, 輔助計算!$G$2:$G$801, 0)+1))&lt;100, IF(INDEX(ERP資料!$G:$G, (MATCH(183, 輔助計算!$G$2:$G$801, 0)+1))&lt;=31,3,IF(INDEX(ERP資料!$G:$G, (MATCH(183, 輔助計算!$G$2:$G$801, 0)+1))&lt;=46.5,2,1)), IF(INDEX(ERP資料!$G:$G, (MATCH(183, 輔助計算!$G$2:$G$801, 0)+1))&lt;=790,3,IF(INDEX(ERP資料!$G:$G, (MATCH(183, 輔助計算!$G$2:$G$801, 0)+1))&lt;=1181,2,1))))=0,"",IF(MOD(INDEX(輔助計算!$D:$D, (MATCH(183, 輔助計算!$G$2:$G$801, 0)+1)),IF(INDEX(ERP資料!$G:$G, (MATCH(183, 輔助計算!$G$2:$G$801, 0)+1))&lt;100, IF(INDEX(ERP資料!$G:$G, (MATCH(183, 輔助計算!$G$2:$G$801, 0)+1))&lt;=31,3,IF(INDEX(ERP資料!$G:$G, (MATCH(183, 輔助計算!$G$2:$G$801, 0)+1))&lt;=46.5,2,1)), IF(INDEX(ERP資料!$G:$G, (MATCH(183, 輔助計算!$G$2:$G$801, 0)+1))&lt;=790,3,IF(INDEX(ERP資料!$G:$G, (MATCH(183, 輔助計算!$G$2:$G$801, 0)+1))&lt;=1181,2,1))))=0,"",IF(MOD(INDEX(輔助計算!$D:$D, (MATCH(183, 輔助計算!$G$2:$G$801, 0)+1)),IF(INDEX(ERP資料!$G:$G, (MATCH(183, 輔助計算!$G$2:$G$801, 0)+1))&lt;100, IF(INDEX(ERP資料!$G:$G, (MATCH(183, 輔助計算!$G$2:$G$801, 0)+1))&lt;=31,3,IF(INDEX(ERP資料!$G:$G, (MATCH(183, 輔助計算!$G$2:$G$801, 0)+1))&lt;=46.5,2,1)), IF(INDEX(ERP資料!$G:$G, (MATCH(183, 輔助計算!$G$2:$G$801, 0)+1))&lt;=790,3,IF(INDEX(ERP資料!$G:$G, (MATCH(183, 輔助計算!$G$2:$G$801, 0)+1))&lt;=1181,2,1))))=1,TEXT(INDEX(ERP資料!$G:$G, (MATCH(183, 輔助計算!$G$2:$G$801, 0)+1)),"0.##"),IF(MOD(INDEX(輔助計算!$D:$D, (MATCH(183, 輔助計算!$G$2:$G$801, 0)+1)),IF(INDEX(ERP資料!$G:$G, (MATCH(183, 輔助計算!$G$2:$G$801, 0)+1))&lt;100, IF(INDEX(ERP資料!$G:$G, (MATCH(183, 輔助計算!$G$2:$G$801, 0)+1))&lt;=31,3,IF(INDEX(ERP資料!$G:$G, (MATCH(183, 輔助計算!$G$2:$G$801, 0)+1))&lt;=46.5,2,1)), IF(INDEX(ERP資料!$G:$G, (MATCH(183, 輔助計算!$G$2:$G$801, 0)+1))&lt;=790,3,IF(INDEX(ERP資料!$G:$G, (MATCH(183, 輔助計算!$G$2:$G$801, 0)+1))&lt;=1181,2,1))))=2,TEXT(INDEX(ERP資料!$G:$G, (MATCH(183, 輔助計算!$G$2:$G$801, 0)+1)),"0.##")&amp;"+"&amp;TEXT(INDEX(ERP資料!$G:$G, (MATCH(183, 輔助計算!$G$2:$G$801, 0)+1)),"0.##"),TEXT(INDEX(ERP資料!$G:$G, (MATCH(183, 輔助計算!$G$2:$G$801, 0)+1)),"0.##")&amp;"+"&amp;TEXT(INDEX(ERP資料!$G:$G, (MATCH(183, 輔助計算!$G$2:$G$801, 0)+1)),"0.##")&amp;"+"&amp;TEXT(INDEX(ERP資料!$G:$G, (MATCH(183, 輔助計算!$G$2:$G$801, 0)+1)),"0.##"))))&amp;"-1")&lt;&gt;""),"  ","")&amp;IF(MOD(INDEX(輔助計算!$D:$D, (MATCH(183, 輔助計算!$G$2:$G$801, 0)+1)),IF(INDEX(ERP資料!$G:$G, (MATCH(183, 輔助計算!$G$2:$G$801, 0)+1))&lt;100, IF(INDEX(ERP資料!$G:$G, (MATCH(183, 輔助計算!$G$2:$G$801, 0)+1))&lt;=31,3,IF(INDEX(ERP資料!$G:$G, (MATCH(183, 輔助計算!$G$2:$G$801, 0)+1))&lt;=46.5,2,1)), IF(INDEX(ERP資料!$G:$G, (MATCH(183, 輔助計算!$G$2:$G$801, 0)+1))&lt;=790,3,IF(INDEX(ERP資料!$G:$G, (MATCH(183, 輔助計算!$G$2:$G$801, 0)+1))&lt;=1181,2,1))))=0,"",IF(MOD(INDEX(輔助計算!$D:$D, (MATCH(183, 輔助計算!$G$2:$G$801, 0)+1)),IF(INDEX(ERP資料!$G:$G, (MATCH(183, 輔助計算!$G$2:$G$801, 0)+1))&lt;100, IF(INDEX(ERP資料!$G:$G, (MATCH(183, 輔助計算!$G$2:$G$801, 0)+1))&lt;=31,3,IF(INDEX(ERP資料!$G:$G, (MATCH(183, 輔助計算!$G$2:$G$801, 0)+1))&lt;=46.5,2,1)), IF(INDEX(ERP資料!$G:$G, (MATCH(183, 輔助計算!$G$2:$G$801, 0)+1))&lt;=790,3,IF(INDEX(ERP資料!$G:$G, (MATCH(183, 輔助計算!$G$2:$G$801, 0)+1))&lt;=1181,2,1))))=0,"",IF(MOD(INDEX(輔助計算!$D:$D, (MATCH(183, 輔助計算!$G$2:$G$801, 0)+1)),IF(INDEX(ERP資料!$G:$G, (MATCH(183, 輔助計算!$G$2:$G$801, 0)+1))&lt;100, IF(INDEX(ERP資料!$G:$G, (MATCH(183, 輔助計算!$G$2:$G$801, 0)+1))&lt;=31,3,IF(INDEX(ERP資料!$G:$G, (MATCH(183, 輔助計算!$G$2:$G$801, 0)+1))&lt;=46.5,2,1)), IF(INDEX(ERP資料!$G:$G, (MATCH(183, 輔助計算!$G$2:$G$801, 0)+1))&lt;=790,3,IF(INDEX(ERP資料!$G:$G, (MATCH(183, 輔助計算!$G$2:$G$801, 0)+1))&lt;=1181,2,1))))=1,TEXT(INDEX(ERP資料!$G:$G, (MATCH(183, 輔助計算!$G$2:$G$801, 0)+1)),"0.##"),IF(MOD(INDEX(輔助計算!$D:$D, (MATCH(183, 輔助計算!$G$2:$G$801, 0)+1)),IF(INDEX(ERP資料!$G:$G, (MATCH(183, 輔助計算!$G$2:$G$801, 0)+1))&lt;100, IF(INDEX(ERP資料!$G:$G, (MATCH(183, 輔助計算!$G$2:$G$801, 0)+1))&lt;=31,3,IF(INDEX(ERP資料!$G:$G, (MATCH(183, 輔助計算!$G$2:$G$801, 0)+1))&lt;=46.5,2,1)), IF(INDEX(ERP資料!$G:$G, (MATCH(183, 輔助計算!$G$2:$G$801, 0)+1))&lt;=790,3,IF(INDEX(ERP資料!$G:$G, (MATCH(183, 輔助計算!$G$2:$G$801, 0)+1))&lt;=1181,2,1))))=2,TEXT(INDEX(ERP資料!$G:$G, (MATCH(183, 輔助計算!$G$2:$G$801, 0)+1)),"0.##")&amp;"+"&amp;TEXT(INDEX(ERP資料!$G:$G, (MATCH(183, 輔助計算!$G$2:$G$801, 0)+1)),"0.##"),TEXT(INDEX(ERP資料!$G:$G, (MATCH(183, 輔助計算!$G$2:$G$801, 0)+1)),"0.##")&amp;"+"&amp;TEXT(INDEX(ERP資料!$G:$G, (MATCH(183, 輔助計算!$G$2:$G$801, 0)+1)),"0.##")&amp;"+"&amp;TEXT(INDEX(ERP資料!$G:$G, (MATCH(183, 輔助計算!$G$2:$G$801, 0)+1)),"0.##"))))&amp;"-1")), ""), "")</f>
        <v/>
      </c>
      <c r="K184" s="16" t="n"/>
      <c r="L184" s="14">
        <f>IFERROR(IF(AND(IFERROR(INDEX(ERP資料!$A:$A, (MATCH(183, 輔助計算!$G$2:$G$801, 0)+1)), "")&lt;&gt;"", IFERROR(INDEX(ERP資料!$A:$A, (MATCH(183, 輔助計算!$G$2:$G$801, 0)+1)), "")&lt;&gt;IFERROR(INDEX(ERP資料!$A:$A, MATCH(182, 輔助計算!$G$2:$G$801, 0)+1), "")), INDEX(ERP資料!$B:$B, (MATCH(183, 輔助計算!$G$2:$G$801, 0)+1)), ""), "")</f>
        <v/>
      </c>
      <c r="M184" s="17" t="n"/>
    </row>
    <row r="185">
      <c r="A185" s="10">
        <f>IFERROR(IF(AND(IFERROR(INDEX(ERP資料!$A:$A, (MATCH(184, 輔助計算!$G$2:$G$801, 0)+1)), "")&lt;&gt;"", IFERROR(INDEX(ERP資料!$A:$A, (MATCH(184, 輔助計算!$G$2:$G$801, 0)+1)), "")&lt;&gt;IFERROR(INDEX(ERP資料!$A:$A, MATCH(183, 輔助計算!$G$2:$G$801, 0)+1), "")), IFERROR(INDEX(ERP資料!$A:$A, (MATCH(184, 輔助計算!$G$2:$G$801, 0)+1)), ""), ""), "")</f>
        <v/>
      </c>
      <c r="B185" s="10">
        <f>IFERROR(IF(AND(IFERROR(INDEX(ERP資料!$A:$A, (MATCH(184, 輔助計算!$G$2:$G$801, 0)+1)), "")&lt;&gt;"", IFERROR(INDEX(ERP資料!$A:$A, (MATCH(184, 輔助計算!$G$2:$G$801, 0)+1)), "")&lt;&gt;IFERROR(INDEX(ERP資料!$A:$A, MATCH(183, 輔助計算!$G$2:$G$801, 0)+1), "")), INDEX(ERP資料!$S:$S, (MATCH(184, 輔助計算!$G$2:$G$801, 0)+1)), ""), "")</f>
        <v/>
      </c>
      <c r="C185" s="19">
        <f>IFERROR(IF(AND(IFERROR(INDEX(ERP資料!$A:$A, (MATCH(184, 輔助計算!$G$2:$G$801, 0)+1)), "")&lt;&gt;"", IFERROR(INDEX(ERP資料!$A:$A, (MATCH(184, 輔助計算!$G$2:$G$801, 0)+1)), "")&lt;&gt;IFERROR(INDEX(ERP資料!$A:$A, MATCH(183, 輔助計算!$G$2:$G$801, 0)+1), "")), IFERROR(VLOOKUP(LEFT(INDEX(ERP資料!$S:$S, (MATCH(184, 輔助計算!$G$2:$G$801, 0)+1)), 4), 紙管對照表!$A:$C, 3, FALSE), ""), ""), "")</f>
        <v/>
      </c>
      <c r="D185" s="16" t="n"/>
      <c r="E185" s="10">
        <f>IFERROR(IF(INDEX(ERP資料!$H:$H, (MATCH(184, 輔助計算!$G$2:$G$801, 0)+1))="","",INDEX(ERP資料!$H:$H, (MATCH(184, 輔助計算!$G$2:$G$801, 0)+1))), "")</f>
        <v/>
      </c>
      <c r="F185" s="10">
        <f>IFERROR(IF(INDEX(ERP資料!$E:$E, (MATCH(184, 輔助計算!$G$2:$G$801, 0)+1))="","",TRIM(INDEX(ERP資料!$E:$E, (MATCH(184, 輔助計算!$G$2:$G$801, 0)+1)))), "")</f>
        <v/>
      </c>
      <c r="G185" s="10">
        <f>IFERROR(IF(INDEX(ERP資料!$F:$F, (MATCH(184, 輔助計算!$G$2:$G$801, 0)+1))="","",INDEX(ERP資料!$F:$F, (MATCH(184, 輔助計算!$G$2:$G$801, 0)+1))), "")</f>
        <v/>
      </c>
      <c r="H185" s="10">
        <f>IFERROR(IF(INDEX(ERP資料!$G:$G, (MATCH(184, 輔助計算!$G$2:$G$801, 0)+1))="","",INDEX(ERP資料!$G:$G, (MATCH(184, 輔助計算!$G$2:$G$801, 0)+1))), "")</f>
        <v/>
      </c>
      <c r="I185" s="15">
        <f>IFERROR(INDEX(輔助計算!$D:$D, (MATCH(184, 輔助計算!$G$2:$G$801, 0)+1)), "")</f>
        <v/>
      </c>
      <c r="J185" s="15">
        <f>IFERROR(IF(AND(INDEX(輔助計算!$D:$D, (MATCH(184, 輔助計算!$G$2:$G$801, 0)+1))&lt;&gt;"", INDEX(ERP資料!$G:$G, (MATCH(184, 輔助計算!$G$2:$G$801, 0)+1))&lt;&gt;""), TRIM(IF(INT(INDEX(輔助計算!$D:$D, (MATCH(184, 輔助計算!$G$2:$G$801, 0)+1))/IF(INDEX(ERP資料!$G:$G, (MATCH(184, 輔助計算!$G$2:$G$801, 0)+1))&lt;100, IF(INDEX(ERP資料!$G:$G, (MATCH(184, 輔助計算!$G$2:$G$801, 0)+1))&lt;=31,3,IF(INDEX(ERP資料!$G:$G, (MATCH(184, 輔助計算!$G$2:$G$801, 0)+1))&lt;=46.5,2,1)), IF(INDEX(ERP資料!$G:$G, (MATCH(184, 輔助計算!$G$2:$G$801, 0)+1))&lt;=790,3,IF(INDEX(ERP資料!$G:$G, (MATCH(184, 輔助計算!$G$2:$G$801, 0)+1))&lt;=1181,2,1))))&gt;0, IF(IF(INDEX(ERP資料!$G:$G, (MATCH(184, 輔助計算!$G$2:$G$801, 0)+1))&lt;100, IF(INDEX(ERP資料!$G:$G, (MATCH(184, 輔助計算!$G$2:$G$801, 0)+1))&lt;=31,3,IF(INDEX(ERP資料!$G:$G, (MATCH(184, 輔助計算!$G$2:$G$801, 0)+1))&lt;=46.5,2,1)), IF(INDEX(ERP資料!$G:$G, (MATCH(184, 輔助計算!$G$2:$G$801, 0)+1))&lt;=790,3,IF(INDEX(ERP資料!$G:$G, (MATCH(184, 輔助計算!$G$2:$G$801, 0)+1))&lt;=1181,2,1)))=1,TEXT(INDEX(ERP資料!$G:$G, (MATCH(184, 輔助計算!$G$2:$G$801, 0)+1)),"0.##"),IF(IF(INDEX(ERP資料!$G:$G, (MATCH(184, 輔助計算!$G$2:$G$801, 0)+1))&lt;100, IF(INDEX(ERP資料!$G:$G, (MATCH(184, 輔助計算!$G$2:$G$801, 0)+1))&lt;=31,3,IF(INDEX(ERP資料!$G:$G, (MATCH(184, 輔助計算!$G$2:$G$801, 0)+1))&lt;=46.5,2,1)), IF(INDEX(ERP資料!$G:$G, (MATCH(184, 輔助計算!$G$2:$G$801, 0)+1))&lt;=790,3,IF(INDEX(ERP資料!$G:$G, (MATCH(184, 輔助計算!$G$2:$G$801, 0)+1))&lt;=1181,2,1)))=2,TEXT(INDEX(ERP資料!$G:$G, (MATCH(184, 輔助計算!$G$2:$G$801, 0)+1)),"0.##")&amp;"+"&amp;TEXT(INDEX(ERP資料!$G:$G, (MATCH(184, 輔助計算!$G$2:$G$801, 0)+1)),"0.##"),TEXT(INDEX(ERP資料!$G:$G, (MATCH(184, 輔助計算!$G$2:$G$801, 0)+1)),"0.##")&amp;"+"&amp;TEXT(INDEX(ERP資料!$G:$G, (MATCH(184, 輔助計算!$G$2:$G$801, 0)+1)),"0.##")&amp;"+"&amp;TEXT(INDEX(ERP資料!$G:$G, (MATCH(184, 輔助計算!$G$2:$G$801, 0)+1)),"0.##")))&amp;"-"&amp;INT(INDEX(輔助計算!$D:$D, (MATCH(184, 輔助計算!$G$2:$G$801, 0)+1))/IF(INDEX(ERP資料!$G:$G, (MATCH(184, 輔助計算!$G$2:$G$801, 0)+1))&lt;100, IF(INDEX(ERP資料!$G:$G, (MATCH(184, 輔助計算!$G$2:$G$801, 0)+1))&lt;=31,3,IF(INDEX(ERP資料!$G:$G, (MATCH(184, 輔助計算!$G$2:$G$801, 0)+1))&lt;=46.5,2,1)), IF(INDEX(ERP資料!$G:$G, (MATCH(184, 輔助計算!$G$2:$G$801, 0)+1))&lt;=790,3,IF(INDEX(ERP資料!$G:$G, (MATCH(184, 輔助計算!$G$2:$G$801, 0)+1))&lt;=1181,2,1)))), "")&amp;IF(AND(IF(INT(INDEX(輔助計算!$D:$D, (MATCH(184, 輔助計算!$G$2:$G$801, 0)+1))/IF(INDEX(ERP資料!$G:$G, (MATCH(184, 輔助計算!$G$2:$G$801, 0)+1))&lt;100, IF(INDEX(ERP資料!$G:$G, (MATCH(184, 輔助計算!$G$2:$G$801, 0)+1))&lt;=31,3,IF(INDEX(ERP資料!$G:$G, (MATCH(184, 輔助計算!$G$2:$G$801, 0)+1))&lt;=46.5,2,1)), IF(INDEX(ERP資料!$G:$G, (MATCH(184, 輔助計算!$G$2:$G$801, 0)+1))&lt;=790,3,IF(INDEX(ERP資料!$G:$G, (MATCH(184, 輔助計算!$G$2:$G$801, 0)+1))&lt;=1181,2,1))))&gt;0, IF(IF(INDEX(ERP資料!$G:$G, (MATCH(184, 輔助計算!$G$2:$G$801, 0)+1))&lt;100, IF(INDEX(ERP資料!$G:$G, (MATCH(184, 輔助計算!$G$2:$G$801, 0)+1))&lt;=31,3,IF(INDEX(ERP資料!$G:$G, (MATCH(184, 輔助計算!$G$2:$G$801, 0)+1))&lt;=46.5,2,1)), IF(INDEX(ERP資料!$G:$G, (MATCH(184, 輔助計算!$G$2:$G$801, 0)+1))&lt;=790,3,IF(INDEX(ERP資料!$G:$G, (MATCH(184, 輔助計算!$G$2:$G$801, 0)+1))&lt;=1181,2,1)))=1,TEXT(INDEX(ERP資料!$G:$G, (MATCH(184, 輔助計算!$G$2:$G$801, 0)+1)),"0.##"),IF(IF(INDEX(ERP資料!$G:$G, (MATCH(184, 輔助計算!$G$2:$G$801, 0)+1))&lt;100, IF(INDEX(ERP資料!$G:$G, (MATCH(184, 輔助計算!$G$2:$G$801, 0)+1))&lt;=31,3,IF(INDEX(ERP資料!$G:$G, (MATCH(184, 輔助計算!$G$2:$G$801, 0)+1))&lt;=46.5,2,1)), IF(INDEX(ERP資料!$G:$G, (MATCH(184, 輔助計算!$G$2:$G$801, 0)+1))&lt;=790,3,IF(INDEX(ERP資料!$G:$G, (MATCH(184, 輔助計算!$G$2:$G$801, 0)+1))&lt;=1181,2,1)))=2,TEXT(INDEX(ERP資料!$G:$G, (MATCH(184, 輔助計算!$G$2:$G$801, 0)+1)),"0.##")&amp;"+"&amp;TEXT(INDEX(ERP資料!$G:$G, (MATCH(184, 輔助計算!$G$2:$G$801, 0)+1)),"0.##"),TEXT(INDEX(ERP資料!$G:$G, (MATCH(184, 輔助計算!$G$2:$G$801, 0)+1)),"0.##")&amp;"+"&amp;TEXT(INDEX(ERP資料!$G:$G, (MATCH(184, 輔助計算!$G$2:$G$801, 0)+1)),"0.##")&amp;"+"&amp;TEXT(INDEX(ERP資料!$G:$G, (MATCH(184, 輔助計算!$G$2:$G$801, 0)+1)),"0.##")))&amp;"-"&amp;INT(INDEX(輔助計算!$D:$D, (MATCH(184, 輔助計算!$G$2:$G$801, 0)+1))/IF(INDEX(ERP資料!$G:$G, (MATCH(184, 輔助計算!$G$2:$G$801, 0)+1))&lt;100, IF(INDEX(ERP資料!$G:$G, (MATCH(184, 輔助計算!$G$2:$G$801, 0)+1))&lt;=31,3,IF(INDEX(ERP資料!$G:$G, (MATCH(184, 輔助計算!$G$2:$G$801, 0)+1))&lt;=46.5,2,1)), IF(INDEX(ERP資料!$G:$G, (MATCH(184, 輔助計算!$G$2:$G$801, 0)+1))&lt;=790,3,IF(INDEX(ERP資料!$G:$G, (MATCH(184, 輔助計算!$G$2:$G$801, 0)+1))&lt;=1181,2,1)))), "")&lt;&gt;"",IF(MOD(INDEX(輔助計算!$D:$D, (MATCH(184, 輔助計算!$G$2:$G$801, 0)+1)),IF(INDEX(ERP資料!$G:$G, (MATCH(184, 輔助計算!$G$2:$G$801, 0)+1))&lt;100, IF(INDEX(ERP資料!$G:$G, (MATCH(184, 輔助計算!$G$2:$G$801, 0)+1))&lt;=31,3,IF(INDEX(ERP資料!$G:$G, (MATCH(184, 輔助計算!$G$2:$G$801, 0)+1))&lt;=46.5,2,1)), IF(INDEX(ERP資料!$G:$G, (MATCH(184, 輔助計算!$G$2:$G$801, 0)+1))&lt;=790,3,IF(INDEX(ERP資料!$G:$G, (MATCH(184, 輔助計算!$G$2:$G$801, 0)+1))&lt;=1181,2,1))))=0,"",IF(MOD(INDEX(輔助計算!$D:$D, (MATCH(184, 輔助計算!$G$2:$G$801, 0)+1)),IF(INDEX(ERP資料!$G:$G, (MATCH(184, 輔助計算!$G$2:$G$801, 0)+1))&lt;100, IF(INDEX(ERP資料!$G:$G, (MATCH(184, 輔助計算!$G$2:$G$801, 0)+1))&lt;=31,3,IF(INDEX(ERP資料!$G:$G, (MATCH(184, 輔助計算!$G$2:$G$801, 0)+1))&lt;=46.5,2,1)), IF(INDEX(ERP資料!$G:$G, (MATCH(184, 輔助計算!$G$2:$G$801, 0)+1))&lt;=790,3,IF(INDEX(ERP資料!$G:$G, (MATCH(184, 輔助計算!$G$2:$G$801, 0)+1))&lt;=1181,2,1))))=0,"",IF(MOD(INDEX(輔助計算!$D:$D, (MATCH(184, 輔助計算!$G$2:$G$801, 0)+1)),IF(INDEX(ERP資料!$G:$G, (MATCH(184, 輔助計算!$G$2:$G$801, 0)+1))&lt;100, IF(INDEX(ERP資料!$G:$G, (MATCH(184, 輔助計算!$G$2:$G$801, 0)+1))&lt;=31,3,IF(INDEX(ERP資料!$G:$G, (MATCH(184, 輔助計算!$G$2:$G$801, 0)+1))&lt;=46.5,2,1)), IF(INDEX(ERP資料!$G:$G, (MATCH(184, 輔助計算!$G$2:$G$801, 0)+1))&lt;=790,3,IF(INDEX(ERP資料!$G:$G, (MATCH(184, 輔助計算!$G$2:$G$801, 0)+1))&lt;=1181,2,1))))=1,TEXT(INDEX(ERP資料!$G:$G, (MATCH(184, 輔助計算!$G$2:$G$801, 0)+1)),"0.##"),IF(MOD(INDEX(輔助計算!$D:$D, (MATCH(184, 輔助計算!$G$2:$G$801, 0)+1)),IF(INDEX(ERP資料!$G:$G, (MATCH(184, 輔助計算!$G$2:$G$801, 0)+1))&lt;100, IF(INDEX(ERP資料!$G:$G, (MATCH(184, 輔助計算!$G$2:$G$801, 0)+1))&lt;=31,3,IF(INDEX(ERP資料!$G:$G, (MATCH(184, 輔助計算!$G$2:$G$801, 0)+1))&lt;=46.5,2,1)), IF(INDEX(ERP資料!$G:$G, (MATCH(184, 輔助計算!$G$2:$G$801, 0)+1))&lt;=790,3,IF(INDEX(ERP資料!$G:$G, (MATCH(184, 輔助計算!$G$2:$G$801, 0)+1))&lt;=1181,2,1))))=2,TEXT(INDEX(ERP資料!$G:$G, (MATCH(184, 輔助計算!$G$2:$G$801, 0)+1)),"0.##")&amp;"+"&amp;TEXT(INDEX(ERP資料!$G:$G, (MATCH(184, 輔助計算!$G$2:$G$801, 0)+1)),"0.##"),TEXT(INDEX(ERP資料!$G:$G, (MATCH(184, 輔助計算!$G$2:$G$801, 0)+1)),"0.##")&amp;"+"&amp;TEXT(INDEX(ERP資料!$G:$G, (MATCH(184, 輔助計算!$G$2:$G$801, 0)+1)),"0.##")&amp;"+"&amp;TEXT(INDEX(ERP資料!$G:$G, (MATCH(184, 輔助計算!$G$2:$G$801, 0)+1)),"0.##"))))&amp;"-1")&lt;&gt;""),"  ","")&amp;IF(MOD(INDEX(輔助計算!$D:$D, (MATCH(184, 輔助計算!$G$2:$G$801, 0)+1)),IF(INDEX(ERP資料!$G:$G, (MATCH(184, 輔助計算!$G$2:$G$801, 0)+1))&lt;100, IF(INDEX(ERP資料!$G:$G, (MATCH(184, 輔助計算!$G$2:$G$801, 0)+1))&lt;=31,3,IF(INDEX(ERP資料!$G:$G, (MATCH(184, 輔助計算!$G$2:$G$801, 0)+1))&lt;=46.5,2,1)), IF(INDEX(ERP資料!$G:$G, (MATCH(184, 輔助計算!$G$2:$G$801, 0)+1))&lt;=790,3,IF(INDEX(ERP資料!$G:$G, (MATCH(184, 輔助計算!$G$2:$G$801, 0)+1))&lt;=1181,2,1))))=0,"",IF(MOD(INDEX(輔助計算!$D:$D, (MATCH(184, 輔助計算!$G$2:$G$801, 0)+1)),IF(INDEX(ERP資料!$G:$G, (MATCH(184, 輔助計算!$G$2:$G$801, 0)+1))&lt;100, IF(INDEX(ERP資料!$G:$G, (MATCH(184, 輔助計算!$G$2:$G$801, 0)+1))&lt;=31,3,IF(INDEX(ERP資料!$G:$G, (MATCH(184, 輔助計算!$G$2:$G$801, 0)+1))&lt;=46.5,2,1)), IF(INDEX(ERP資料!$G:$G, (MATCH(184, 輔助計算!$G$2:$G$801, 0)+1))&lt;=790,3,IF(INDEX(ERP資料!$G:$G, (MATCH(184, 輔助計算!$G$2:$G$801, 0)+1))&lt;=1181,2,1))))=0,"",IF(MOD(INDEX(輔助計算!$D:$D, (MATCH(184, 輔助計算!$G$2:$G$801, 0)+1)),IF(INDEX(ERP資料!$G:$G, (MATCH(184, 輔助計算!$G$2:$G$801, 0)+1))&lt;100, IF(INDEX(ERP資料!$G:$G, (MATCH(184, 輔助計算!$G$2:$G$801, 0)+1))&lt;=31,3,IF(INDEX(ERP資料!$G:$G, (MATCH(184, 輔助計算!$G$2:$G$801, 0)+1))&lt;=46.5,2,1)), IF(INDEX(ERP資料!$G:$G, (MATCH(184, 輔助計算!$G$2:$G$801, 0)+1))&lt;=790,3,IF(INDEX(ERP資料!$G:$G, (MATCH(184, 輔助計算!$G$2:$G$801, 0)+1))&lt;=1181,2,1))))=1,TEXT(INDEX(ERP資料!$G:$G, (MATCH(184, 輔助計算!$G$2:$G$801, 0)+1)),"0.##"),IF(MOD(INDEX(輔助計算!$D:$D, (MATCH(184, 輔助計算!$G$2:$G$801, 0)+1)),IF(INDEX(ERP資料!$G:$G, (MATCH(184, 輔助計算!$G$2:$G$801, 0)+1))&lt;100, IF(INDEX(ERP資料!$G:$G, (MATCH(184, 輔助計算!$G$2:$G$801, 0)+1))&lt;=31,3,IF(INDEX(ERP資料!$G:$G, (MATCH(184, 輔助計算!$G$2:$G$801, 0)+1))&lt;=46.5,2,1)), IF(INDEX(ERP資料!$G:$G, (MATCH(184, 輔助計算!$G$2:$G$801, 0)+1))&lt;=790,3,IF(INDEX(ERP資料!$G:$G, (MATCH(184, 輔助計算!$G$2:$G$801, 0)+1))&lt;=1181,2,1))))=2,TEXT(INDEX(ERP資料!$G:$G, (MATCH(184, 輔助計算!$G$2:$G$801, 0)+1)),"0.##")&amp;"+"&amp;TEXT(INDEX(ERP資料!$G:$G, (MATCH(184, 輔助計算!$G$2:$G$801, 0)+1)),"0.##"),TEXT(INDEX(ERP資料!$G:$G, (MATCH(184, 輔助計算!$G$2:$G$801, 0)+1)),"0.##")&amp;"+"&amp;TEXT(INDEX(ERP資料!$G:$G, (MATCH(184, 輔助計算!$G$2:$G$801, 0)+1)),"0.##")&amp;"+"&amp;TEXT(INDEX(ERP資料!$G:$G, (MATCH(184, 輔助計算!$G$2:$G$801, 0)+1)),"0.##"))))&amp;"-1")), ""), "")</f>
        <v/>
      </c>
      <c r="K185" s="16" t="n"/>
      <c r="L185" s="14">
        <f>IFERROR(IF(AND(IFERROR(INDEX(ERP資料!$A:$A, (MATCH(184, 輔助計算!$G$2:$G$801, 0)+1)), "")&lt;&gt;"", IFERROR(INDEX(ERP資料!$A:$A, (MATCH(184, 輔助計算!$G$2:$G$801, 0)+1)), "")&lt;&gt;IFERROR(INDEX(ERP資料!$A:$A, MATCH(183, 輔助計算!$G$2:$G$801, 0)+1), "")), INDEX(ERP資料!$B:$B, (MATCH(184, 輔助計算!$G$2:$G$801, 0)+1)), ""), "")</f>
        <v/>
      </c>
      <c r="M185" s="17" t="n"/>
    </row>
    <row r="186">
      <c r="A186" s="10">
        <f>IFERROR(IF(AND(IFERROR(INDEX(ERP資料!$A:$A, (MATCH(185, 輔助計算!$G$2:$G$801, 0)+1)), "")&lt;&gt;"", IFERROR(INDEX(ERP資料!$A:$A, (MATCH(185, 輔助計算!$G$2:$G$801, 0)+1)), "")&lt;&gt;IFERROR(INDEX(ERP資料!$A:$A, MATCH(184, 輔助計算!$G$2:$G$801, 0)+1), "")), IFERROR(INDEX(ERP資料!$A:$A, (MATCH(185, 輔助計算!$G$2:$G$801, 0)+1)), ""), ""), "")</f>
        <v/>
      </c>
      <c r="B186" s="10">
        <f>IFERROR(IF(AND(IFERROR(INDEX(ERP資料!$A:$A, (MATCH(185, 輔助計算!$G$2:$G$801, 0)+1)), "")&lt;&gt;"", IFERROR(INDEX(ERP資料!$A:$A, (MATCH(185, 輔助計算!$G$2:$G$801, 0)+1)), "")&lt;&gt;IFERROR(INDEX(ERP資料!$A:$A, MATCH(184, 輔助計算!$G$2:$G$801, 0)+1), "")), INDEX(ERP資料!$S:$S, (MATCH(185, 輔助計算!$G$2:$G$801, 0)+1)), ""), "")</f>
        <v/>
      </c>
      <c r="C186" s="19">
        <f>IFERROR(IF(AND(IFERROR(INDEX(ERP資料!$A:$A, (MATCH(185, 輔助計算!$G$2:$G$801, 0)+1)), "")&lt;&gt;"", IFERROR(INDEX(ERP資料!$A:$A, (MATCH(185, 輔助計算!$G$2:$G$801, 0)+1)), "")&lt;&gt;IFERROR(INDEX(ERP資料!$A:$A, MATCH(184, 輔助計算!$G$2:$G$801, 0)+1), "")), IFERROR(VLOOKUP(LEFT(INDEX(ERP資料!$S:$S, (MATCH(185, 輔助計算!$G$2:$G$801, 0)+1)), 4), 紙管對照表!$A:$C, 3, FALSE), ""), ""), "")</f>
        <v/>
      </c>
      <c r="D186" s="16" t="n"/>
      <c r="E186" s="10">
        <f>IFERROR(IF(INDEX(ERP資料!$H:$H, (MATCH(185, 輔助計算!$G$2:$G$801, 0)+1))="","",INDEX(ERP資料!$H:$H, (MATCH(185, 輔助計算!$G$2:$G$801, 0)+1))), "")</f>
        <v/>
      </c>
      <c r="F186" s="10">
        <f>IFERROR(IF(INDEX(ERP資料!$E:$E, (MATCH(185, 輔助計算!$G$2:$G$801, 0)+1))="","",TRIM(INDEX(ERP資料!$E:$E, (MATCH(185, 輔助計算!$G$2:$G$801, 0)+1)))), "")</f>
        <v/>
      </c>
      <c r="G186" s="10">
        <f>IFERROR(IF(INDEX(ERP資料!$F:$F, (MATCH(185, 輔助計算!$G$2:$G$801, 0)+1))="","",INDEX(ERP資料!$F:$F, (MATCH(185, 輔助計算!$G$2:$G$801, 0)+1))), "")</f>
        <v/>
      </c>
      <c r="H186" s="10">
        <f>IFERROR(IF(INDEX(ERP資料!$G:$G, (MATCH(185, 輔助計算!$G$2:$G$801, 0)+1))="","",INDEX(ERP資料!$G:$G, (MATCH(185, 輔助計算!$G$2:$G$801, 0)+1))), "")</f>
        <v/>
      </c>
      <c r="I186" s="15">
        <f>IFERROR(INDEX(輔助計算!$D:$D, (MATCH(185, 輔助計算!$G$2:$G$801, 0)+1)), "")</f>
        <v/>
      </c>
      <c r="J186" s="15">
        <f>IFERROR(IF(AND(INDEX(輔助計算!$D:$D, (MATCH(185, 輔助計算!$G$2:$G$801, 0)+1))&lt;&gt;"", INDEX(ERP資料!$G:$G, (MATCH(185, 輔助計算!$G$2:$G$801, 0)+1))&lt;&gt;""), TRIM(IF(INT(INDEX(輔助計算!$D:$D, (MATCH(185, 輔助計算!$G$2:$G$801, 0)+1))/IF(INDEX(ERP資料!$G:$G, (MATCH(185, 輔助計算!$G$2:$G$801, 0)+1))&lt;100, IF(INDEX(ERP資料!$G:$G, (MATCH(185, 輔助計算!$G$2:$G$801, 0)+1))&lt;=31,3,IF(INDEX(ERP資料!$G:$G, (MATCH(185, 輔助計算!$G$2:$G$801, 0)+1))&lt;=46.5,2,1)), IF(INDEX(ERP資料!$G:$G, (MATCH(185, 輔助計算!$G$2:$G$801, 0)+1))&lt;=790,3,IF(INDEX(ERP資料!$G:$G, (MATCH(185, 輔助計算!$G$2:$G$801, 0)+1))&lt;=1181,2,1))))&gt;0, IF(IF(INDEX(ERP資料!$G:$G, (MATCH(185, 輔助計算!$G$2:$G$801, 0)+1))&lt;100, IF(INDEX(ERP資料!$G:$G, (MATCH(185, 輔助計算!$G$2:$G$801, 0)+1))&lt;=31,3,IF(INDEX(ERP資料!$G:$G, (MATCH(185, 輔助計算!$G$2:$G$801, 0)+1))&lt;=46.5,2,1)), IF(INDEX(ERP資料!$G:$G, (MATCH(185, 輔助計算!$G$2:$G$801, 0)+1))&lt;=790,3,IF(INDEX(ERP資料!$G:$G, (MATCH(185, 輔助計算!$G$2:$G$801, 0)+1))&lt;=1181,2,1)))=1,TEXT(INDEX(ERP資料!$G:$G, (MATCH(185, 輔助計算!$G$2:$G$801, 0)+1)),"0.##"),IF(IF(INDEX(ERP資料!$G:$G, (MATCH(185, 輔助計算!$G$2:$G$801, 0)+1))&lt;100, IF(INDEX(ERP資料!$G:$G, (MATCH(185, 輔助計算!$G$2:$G$801, 0)+1))&lt;=31,3,IF(INDEX(ERP資料!$G:$G, (MATCH(185, 輔助計算!$G$2:$G$801, 0)+1))&lt;=46.5,2,1)), IF(INDEX(ERP資料!$G:$G, (MATCH(185, 輔助計算!$G$2:$G$801, 0)+1))&lt;=790,3,IF(INDEX(ERP資料!$G:$G, (MATCH(185, 輔助計算!$G$2:$G$801, 0)+1))&lt;=1181,2,1)))=2,TEXT(INDEX(ERP資料!$G:$G, (MATCH(185, 輔助計算!$G$2:$G$801, 0)+1)),"0.##")&amp;"+"&amp;TEXT(INDEX(ERP資料!$G:$G, (MATCH(185, 輔助計算!$G$2:$G$801, 0)+1)),"0.##"),TEXT(INDEX(ERP資料!$G:$G, (MATCH(185, 輔助計算!$G$2:$G$801, 0)+1)),"0.##")&amp;"+"&amp;TEXT(INDEX(ERP資料!$G:$G, (MATCH(185, 輔助計算!$G$2:$G$801, 0)+1)),"0.##")&amp;"+"&amp;TEXT(INDEX(ERP資料!$G:$G, (MATCH(185, 輔助計算!$G$2:$G$801, 0)+1)),"0.##")))&amp;"-"&amp;INT(INDEX(輔助計算!$D:$D, (MATCH(185, 輔助計算!$G$2:$G$801, 0)+1))/IF(INDEX(ERP資料!$G:$G, (MATCH(185, 輔助計算!$G$2:$G$801, 0)+1))&lt;100, IF(INDEX(ERP資料!$G:$G, (MATCH(185, 輔助計算!$G$2:$G$801, 0)+1))&lt;=31,3,IF(INDEX(ERP資料!$G:$G, (MATCH(185, 輔助計算!$G$2:$G$801, 0)+1))&lt;=46.5,2,1)), IF(INDEX(ERP資料!$G:$G, (MATCH(185, 輔助計算!$G$2:$G$801, 0)+1))&lt;=790,3,IF(INDEX(ERP資料!$G:$G, (MATCH(185, 輔助計算!$G$2:$G$801, 0)+1))&lt;=1181,2,1)))), "")&amp;IF(AND(IF(INT(INDEX(輔助計算!$D:$D, (MATCH(185, 輔助計算!$G$2:$G$801, 0)+1))/IF(INDEX(ERP資料!$G:$G, (MATCH(185, 輔助計算!$G$2:$G$801, 0)+1))&lt;100, IF(INDEX(ERP資料!$G:$G, (MATCH(185, 輔助計算!$G$2:$G$801, 0)+1))&lt;=31,3,IF(INDEX(ERP資料!$G:$G, (MATCH(185, 輔助計算!$G$2:$G$801, 0)+1))&lt;=46.5,2,1)), IF(INDEX(ERP資料!$G:$G, (MATCH(185, 輔助計算!$G$2:$G$801, 0)+1))&lt;=790,3,IF(INDEX(ERP資料!$G:$G, (MATCH(185, 輔助計算!$G$2:$G$801, 0)+1))&lt;=1181,2,1))))&gt;0, IF(IF(INDEX(ERP資料!$G:$G, (MATCH(185, 輔助計算!$G$2:$G$801, 0)+1))&lt;100, IF(INDEX(ERP資料!$G:$G, (MATCH(185, 輔助計算!$G$2:$G$801, 0)+1))&lt;=31,3,IF(INDEX(ERP資料!$G:$G, (MATCH(185, 輔助計算!$G$2:$G$801, 0)+1))&lt;=46.5,2,1)), IF(INDEX(ERP資料!$G:$G, (MATCH(185, 輔助計算!$G$2:$G$801, 0)+1))&lt;=790,3,IF(INDEX(ERP資料!$G:$G, (MATCH(185, 輔助計算!$G$2:$G$801, 0)+1))&lt;=1181,2,1)))=1,TEXT(INDEX(ERP資料!$G:$G, (MATCH(185, 輔助計算!$G$2:$G$801, 0)+1)),"0.##"),IF(IF(INDEX(ERP資料!$G:$G, (MATCH(185, 輔助計算!$G$2:$G$801, 0)+1))&lt;100, IF(INDEX(ERP資料!$G:$G, (MATCH(185, 輔助計算!$G$2:$G$801, 0)+1))&lt;=31,3,IF(INDEX(ERP資料!$G:$G, (MATCH(185, 輔助計算!$G$2:$G$801, 0)+1))&lt;=46.5,2,1)), IF(INDEX(ERP資料!$G:$G, (MATCH(185, 輔助計算!$G$2:$G$801, 0)+1))&lt;=790,3,IF(INDEX(ERP資料!$G:$G, (MATCH(185, 輔助計算!$G$2:$G$801, 0)+1))&lt;=1181,2,1)))=2,TEXT(INDEX(ERP資料!$G:$G, (MATCH(185, 輔助計算!$G$2:$G$801, 0)+1)),"0.##")&amp;"+"&amp;TEXT(INDEX(ERP資料!$G:$G, (MATCH(185, 輔助計算!$G$2:$G$801, 0)+1)),"0.##"),TEXT(INDEX(ERP資料!$G:$G, (MATCH(185, 輔助計算!$G$2:$G$801, 0)+1)),"0.##")&amp;"+"&amp;TEXT(INDEX(ERP資料!$G:$G, (MATCH(185, 輔助計算!$G$2:$G$801, 0)+1)),"0.##")&amp;"+"&amp;TEXT(INDEX(ERP資料!$G:$G, (MATCH(185, 輔助計算!$G$2:$G$801, 0)+1)),"0.##")))&amp;"-"&amp;INT(INDEX(輔助計算!$D:$D, (MATCH(185, 輔助計算!$G$2:$G$801, 0)+1))/IF(INDEX(ERP資料!$G:$G, (MATCH(185, 輔助計算!$G$2:$G$801, 0)+1))&lt;100, IF(INDEX(ERP資料!$G:$G, (MATCH(185, 輔助計算!$G$2:$G$801, 0)+1))&lt;=31,3,IF(INDEX(ERP資料!$G:$G, (MATCH(185, 輔助計算!$G$2:$G$801, 0)+1))&lt;=46.5,2,1)), IF(INDEX(ERP資料!$G:$G, (MATCH(185, 輔助計算!$G$2:$G$801, 0)+1))&lt;=790,3,IF(INDEX(ERP資料!$G:$G, (MATCH(185, 輔助計算!$G$2:$G$801, 0)+1))&lt;=1181,2,1)))), "")&lt;&gt;"",IF(MOD(INDEX(輔助計算!$D:$D, (MATCH(185, 輔助計算!$G$2:$G$801, 0)+1)),IF(INDEX(ERP資料!$G:$G, (MATCH(185, 輔助計算!$G$2:$G$801, 0)+1))&lt;100, IF(INDEX(ERP資料!$G:$G, (MATCH(185, 輔助計算!$G$2:$G$801, 0)+1))&lt;=31,3,IF(INDEX(ERP資料!$G:$G, (MATCH(185, 輔助計算!$G$2:$G$801, 0)+1))&lt;=46.5,2,1)), IF(INDEX(ERP資料!$G:$G, (MATCH(185, 輔助計算!$G$2:$G$801, 0)+1))&lt;=790,3,IF(INDEX(ERP資料!$G:$G, (MATCH(185, 輔助計算!$G$2:$G$801, 0)+1))&lt;=1181,2,1))))=0,"",IF(MOD(INDEX(輔助計算!$D:$D, (MATCH(185, 輔助計算!$G$2:$G$801, 0)+1)),IF(INDEX(ERP資料!$G:$G, (MATCH(185, 輔助計算!$G$2:$G$801, 0)+1))&lt;100, IF(INDEX(ERP資料!$G:$G, (MATCH(185, 輔助計算!$G$2:$G$801, 0)+1))&lt;=31,3,IF(INDEX(ERP資料!$G:$G, (MATCH(185, 輔助計算!$G$2:$G$801, 0)+1))&lt;=46.5,2,1)), IF(INDEX(ERP資料!$G:$G, (MATCH(185, 輔助計算!$G$2:$G$801, 0)+1))&lt;=790,3,IF(INDEX(ERP資料!$G:$G, (MATCH(185, 輔助計算!$G$2:$G$801, 0)+1))&lt;=1181,2,1))))=0,"",IF(MOD(INDEX(輔助計算!$D:$D, (MATCH(185, 輔助計算!$G$2:$G$801, 0)+1)),IF(INDEX(ERP資料!$G:$G, (MATCH(185, 輔助計算!$G$2:$G$801, 0)+1))&lt;100, IF(INDEX(ERP資料!$G:$G, (MATCH(185, 輔助計算!$G$2:$G$801, 0)+1))&lt;=31,3,IF(INDEX(ERP資料!$G:$G, (MATCH(185, 輔助計算!$G$2:$G$801, 0)+1))&lt;=46.5,2,1)), IF(INDEX(ERP資料!$G:$G, (MATCH(185, 輔助計算!$G$2:$G$801, 0)+1))&lt;=790,3,IF(INDEX(ERP資料!$G:$G, (MATCH(185, 輔助計算!$G$2:$G$801, 0)+1))&lt;=1181,2,1))))=1,TEXT(INDEX(ERP資料!$G:$G, (MATCH(185, 輔助計算!$G$2:$G$801, 0)+1)),"0.##"),IF(MOD(INDEX(輔助計算!$D:$D, (MATCH(185, 輔助計算!$G$2:$G$801, 0)+1)),IF(INDEX(ERP資料!$G:$G, (MATCH(185, 輔助計算!$G$2:$G$801, 0)+1))&lt;100, IF(INDEX(ERP資料!$G:$G, (MATCH(185, 輔助計算!$G$2:$G$801, 0)+1))&lt;=31,3,IF(INDEX(ERP資料!$G:$G, (MATCH(185, 輔助計算!$G$2:$G$801, 0)+1))&lt;=46.5,2,1)), IF(INDEX(ERP資料!$G:$G, (MATCH(185, 輔助計算!$G$2:$G$801, 0)+1))&lt;=790,3,IF(INDEX(ERP資料!$G:$G, (MATCH(185, 輔助計算!$G$2:$G$801, 0)+1))&lt;=1181,2,1))))=2,TEXT(INDEX(ERP資料!$G:$G, (MATCH(185, 輔助計算!$G$2:$G$801, 0)+1)),"0.##")&amp;"+"&amp;TEXT(INDEX(ERP資料!$G:$G, (MATCH(185, 輔助計算!$G$2:$G$801, 0)+1)),"0.##"),TEXT(INDEX(ERP資料!$G:$G, (MATCH(185, 輔助計算!$G$2:$G$801, 0)+1)),"0.##")&amp;"+"&amp;TEXT(INDEX(ERP資料!$G:$G, (MATCH(185, 輔助計算!$G$2:$G$801, 0)+1)),"0.##")&amp;"+"&amp;TEXT(INDEX(ERP資料!$G:$G, (MATCH(185, 輔助計算!$G$2:$G$801, 0)+1)),"0.##"))))&amp;"-1")&lt;&gt;""),"  ","")&amp;IF(MOD(INDEX(輔助計算!$D:$D, (MATCH(185, 輔助計算!$G$2:$G$801, 0)+1)),IF(INDEX(ERP資料!$G:$G, (MATCH(185, 輔助計算!$G$2:$G$801, 0)+1))&lt;100, IF(INDEX(ERP資料!$G:$G, (MATCH(185, 輔助計算!$G$2:$G$801, 0)+1))&lt;=31,3,IF(INDEX(ERP資料!$G:$G, (MATCH(185, 輔助計算!$G$2:$G$801, 0)+1))&lt;=46.5,2,1)), IF(INDEX(ERP資料!$G:$G, (MATCH(185, 輔助計算!$G$2:$G$801, 0)+1))&lt;=790,3,IF(INDEX(ERP資料!$G:$G, (MATCH(185, 輔助計算!$G$2:$G$801, 0)+1))&lt;=1181,2,1))))=0,"",IF(MOD(INDEX(輔助計算!$D:$D, (MATCH(185, 輔助計算!$G$2:$G$801, 0)+1)),IF(INDEX(ERP資料!$G:$G, (MATCH(185, 輔助計算!$G$2:$G$801, 0)+1))&lt;100, IF(INDEX(ERP資料!$G:$G, (MATCH(185, 輔助計算!$G$2:$G$801, 0)+1))&lt;=31,3,IF(INDEX(ERP資料!$G:$G, (MATCH(185, 輔助計算!$G$2:$G$801, 0)+1))&lt;=46.5,2,1)), IF(INDEX(ERP資料!$G:$G, (MATCH(185, 輔助計算!$G$2:$G$801, 0)+1))&lt;=790,3,IF(INDEX(ERP資料!$G:$G, (MATCH(185, 輔助計算!$G$2:$G$801, 0)+1))&lt;=1181,2,1))))=0,"",IF(MOD(INDEX(輔助計算!$D:$D, (MATCH(185, 輔助計算!$G$2:$G$801, 0)+1)),IF(INDEX(ERP資料!$G:$G, (MATCH(185, 輔助計算!$G$2:$G$801, 0)+1))&lt;100, IF(INDEX(ERP資料!$G:$G, (MATCH(185, 輔助計算!$G$2:$G$801, 0)+1))&lt;=31,3,IF(INDEX(ERP資料!$G:$G, (MATCH(185, 輔助計算!$G$2:$G$801, 0)+1))&lt;=46.5,2,1)), IF(INDEX(ERP資料!$G:$G, (MATCH(185, 輔助計算!$G$2:$G$801, 0)+1))&lt;=790,3,IF(INDEX(ERP資料!$G:$G, (MATCH(185, 輔助計算!$G$2:$G$801, 0)+1))&lt;=1181,2,1))))=1,TEXT(INDEX(ERP資料!$G:$G, (MATCH(185, 輔助計算!$G$2:$G$801, 0)+1)),"0.##"),IF(MOD(INDEX(輔助計算!$D:$D, (MATCH(185, 輔助計算!$G$2:$G$801, 0)+1)),IF(INDEX(ERP資料!$G:$G, (MATCH(185, 輔助計算!$G$2:$G$801, 0)+1))&lt;100, IF(INDEX(ERP資料!$G:$G, (MATCH(185, 輔助計算!$G$2:$G$801, 0)+1))&lt;=31,3,IF(INDEX(ERP資料!$G:$G, (MATCH(185, 輔助計算!$G$2:$G$801, 0)+1))&lt;=46.5,2,1)), IF(INDEX(ERP資料!$G:$G, (MATCH(185, 輔助計算!$G$2:$G$801, 0)+1))&lt;=790,3,IF(INDEX(ERP資料!$G:$G, (MATCH(185, 輔助計算!$G$2:$G$801, 0)+1))&lt;=1181,2,1))))=2,TEXT(INDEX(ERP資料!$G:$G, (MATCH(185, 輔助計算!$G$2:$G$801, 0)+1)),"0.##")&amp;"+"&amp;TEXT(INDEX(ERP資料!$G:$G, (MATCH(185, 輔助計算!$G$2:$G$801, 0)+1)),"0.##"),TEXT(INDEX(ERP資料!$G:$G, (MATCH(185, 輔助計算!$G$2:$G$801, 0)+1)),"0.##")&amp;"+"&amp;TEXT(INDEX(ERP資料!$G:$G, (MATCH(185, 輔助計算!$G$2:$G$801, 0)+1)),"0.##")&amp;"+"&amp;TEXT(INDEX(ERP資料!$G:$G, (MATCH(185, 輔助計算!$G$2:$G$801, 0)+1)),"0.##"))))&amp;"-1")), ""), "")</f>
        <v/>
      </c>
      <c r="K186" s="16" t="n"/>
      <c r="L186" s="14">
        <f>IFERROR(IF(AND(IFERROR(INDEX(ERP資料!$A:$A, (MATCH(185, 輔助計算!$G$2:$G$801, 0)+1)), "")&lt;&gt;"", IFERROR(INDEX(ERP資料!$A:$A, (MATCH(185, 輔助計算!$G$2:$G$801, 0)+1)), "")&lt;&gt;IFERROR(INDEX(ERP資料!$A:$A, MATCH(184, 輔助計算!$G$2:$G$801, 0)+1), "")), INDEX(ERP資料!$B:$B, (MATCH(185, 輔助計算!$G$2:$G$801, 0)+1)), ""), "")</f>
        <v/>
      </c>
      <c r="M186" s="17" t="n"/>
    </row>
    <row r="187">
      <c r="A187" s="10">
        <f>IFERROR(IF(AND(IFERROR(INDEX(ERP資料!$A:$A, (MATCH(186, 輔助計算!$G$2:$G$801, 0)+1)), "")&lt;&gt;"", IFERROR(INDEX(ERP資料!$A:$A, (MATCH(186, 輔助計算!$G$2:$G$801, 0)+1)), "")&lt;&gt;IFERROR(INDEX(ERP資料!$A:$A, MATCH(185, 輔助計算!$G$2:$G$801, 0)+1), "")), IFERROR(INDEX(ERP資料!$A:$A, (MATCH(186, 輔助計算!$G$2:$G$801, 0)+1)), ""), ""), "")</f>
        <v/>
      </c>
      <c r="B187" s="10">
        <f>IFERROR(IF(AND(IFERROR(INDEX(ERP資料!$A:$A, (MATCH(186, 輔助計算!$G$2:$G$801, 0)+1)), "")&lt;&gt;"", IFERROR(INDEX(ERP資料!$A:$A, (MATCH(186, 輔助計算!$G$2:$G$801, 0)+1)), "")&lt;&gt;IFERROR(INDEX(ERP資料!$A:$A, MATCH(185, 輔助計算!$G$2:$G$801, 0)+1), "")), INDEX(ERP資料!$S:$S, (MATCH(186, 輔助計算!$G$2:$G$801, 0)+1)), ""), "")</f>
        <v/>
      </c>
      <c r="C187" s="19">
        <f>IFERROR(IF(AND(IFERROR(INDEX(ERP資料!$A:$A, (MATCH(186, 輔助計算!$G$2:$G$801, 0)+1)), "")&lt;&gt;"", IFERROR(INDEX(ERP資料!$A:$A, (MATCH(186, 輔助計算!$G$2:$G$801, 0)+1)), "")&lt;&gt;IFERROR(INDEX(ERP資料!$A:$A, MATCH(185, 輔助計算!$G$2:$G$801, 0)+1), "")), IFERROR(VLOOKUP(LEFT(INDEX(ERP資料!$S:$S, (MATCH(186, 輔助計算!$G$2:$G$801, 0)+1)), 4), 紙管對照表!$A:$C, 3, FALSE), ""), ""), "")</f>
        <v/>
      </c>
      <c r="D187" s="16" t="n"/>
      <c r="E187" s="10">
        <f>IFERROR(IF(INDEX(ERP資料!$H:$H, (MATCH(186, 輔助計算!$G$2:$G$801, 0)+1))="","",INDEX(ERP資料!$H:$H, (MATCH(186, 輔助計算!$G$2:$G$801, 0)+1))), "")</f>
        <v/>
      </c>
      <c r="F187" s="10">
        <f>IFERROR(IF(INDEX(ERP資料!$E:$E, (MATCH(186, 輔助計算!$G$2:$G$801, 0)+1))="","",TRIM(INDEX(ERP資料!$E:$E, (MATCH(186, 輔助計算!$G$2:$G$801, 0)+1)))), "")</f>
        <v/>
      </c>
      <c r="G187" s="10">
        <f>IFERROR(IF(INDEX(ERP資料!$F:$F, (MATCH(186, 輔助計算!$G$2:$G$801, 0)+1))="","",INDEX(ERP資料!$F:$F, (MATCH(186, 輔助計算!$G$2:$G$801, 0)+1))), "")</f>
        <v/>
      </c>
      <c r="H187" s="10">
        <f>IFERROR(IF(INDEX(ERP資料!$G:$G, (MATCH(186, 輔助計算!$G$2:$G$801, 0)+1))="","",INDEX(ERP資料!$G:$G, (MATCH(186, 輔助計算!$G$2:$G$801, 0)+1))), "")</f>
        <v/>
      </c>
      <c r="I187" s="15">
        <f>IFERROR(INDEX(輔助計算!$D:$D, (MATCH(186, 輔助計算!$G$2:$G$801, 0)+1)), "")</f>
        <v/>
      </c>
      <c r="J187" s="15">
        <f>IFERROR(IF(AND(INDEX(輔助計算!$D:$D, (MATCH(186, 輔助計算!$G$2:$G$801, 0)+1))&lt;&gt;"", INDEX(ERP資料!$G:$G, (MATCH(186, 輔助計算!$G$2:$G$801, 0)+1))&lt;&gt;""), TRIM(IF(INT(INDEX(輔助計算!$D:$D, (MATCH(186, 輔助計算!$G$2:$G$801, 0)+1))/IF(INDEX(ERP資料!$G:$G, (MATCH(186, 輔助計算!$G$2:$G$801, 0)+1))&lt;100, IF(INDEX(ERP資料!$G:$G, (MATCH(186, 輔助計算!$G$2:$G$801, 0)+1))&lt;=31,3,IF(INDEX(ERP資料!$G:$G, (MATCH(186, 輔助計算!$G$2:$G$801, 0)+1))&lt;=46.5,2,1)), IF(INDEX(ERP資料!$G:$G, (MATCH(186, 輔助計算!$G$2:$G$801, 0)+1))&lt;=790,3,IF(INDEX(ERP資料!$G:$G, (MATCH(186, 輔助計算!$G$2:$G$801, 0)+1))&lt;=1181,2,1))))&gt;0, IF(IF(INDEX(ERP資料!$G:$G, (MATCH(186, 輔助計算!$G$2:$G$801, 0)+1))&lt;100, IF(INDEX(ERP資料!$G:$G, (MATCH(186, 輔助計算!$G$2:$G$801, 0)+1))&lt;=31,3,IF(INDEX(ERP資料!$G:$G, (MATCH(186, 輔助計算!$G$2:$G$801, 0)+1))&lt;=46.5,2,1)), IF(INDEX(ERP資料!$G:$G, (MATCH(186, 輔助計算!$G$2:$G$801, 0)+1))&lt;=790,3,IF(INDEX(ERP資料!$G:$G, (MATCH(186, 輔助計算!$G$2:$G$801, 0)+1))&lt;=1181,2,1)))=1,TEXT(INDEX(ERP資料!$G:$G, (MATCH(186, 輔助計算!$G$2:$G$801, 0)+1)),"0.##"),IF(IF(INDEX(ERP資料!$G:$G, (MATCH(186, 輔助計算!$G$2:$G$801, 0)+1))&lt;100, IF(INDEX(ERP資料!$G:$G, (MATCH(186, 輔助計算!$G$2:$G$801, 0)+1))&lt;=31,3,IF(INDEX(ERP資料!$G:$G, (MATCH(186, 輔助計算!$G$2:$G$801, 0)+1))&lt;=46.5,2,1)), IF(INDEX(ERP資料!$G:$G, (MATCH(186, 輔助計算!$G$2:$G$801, 0)+1))&lt;=790,3,IF(INDEX(ERP資料!$G:$G, (MATCH(186, 輔助計算!$G$2:$G$801, 0)+1))&lt;=1181,2,1)))=2,TEXT(INDEX(ERP資料!$G:$G, (MATCH(186, 輔助計算!$G$2:$G$801, 0)+1)),"0.##")&amp;"+"&amp;TEXT(INDEX(ERP資料!$G:$G, (MATCH(186, 輔助計算!$G$2:$G$801, 0)+1)),"0.##"),TEXT(INDEX(ERP資料!$G:$G, (MATCH(186, 輔助計算!$G$2:$G$801, 0)+1)),"0.##")&amp;"+"&amp;TEXT(INDEX(ERP資料!$G:$G, (MATCH(186, 輔助計算!$G$2:$G$801, 0)+1)),"0.##")&amp;"+"&amp;TEXT(INDEX(ERP資料!$G:$G, (MATCH(186, 輔助計算!$G$2:$G$801, 0)+1)),"0.##")))&amp;"-"&amp;INT(INDEX(輔助計算!$D:$D, (MATCH(186, 輔助計算!$G$2:$G$801, 0)+1))/IF(INDEX(ERP資料!$G:$G, (MATCH(186, 輔助計算!$G$2:$G$801, 0)+1))&lt;100, IF(INDEX(ERP資料!$G:$G, (MATCH(186, 輔助計算!$G$2:$G$801, 0)+1))&lt;=31,3,IF(INDEX(ERP資料!$G:$G, (MATCH(186, 輔助計算!$G$2:$G$801, 0)+1))&lt;=46.5,2,1)), IF(INDEX(ERP資料!$G:$G, (MATCH(186, 輔助計算!$G$2:$G$801, 0)+1))&lt;=790,3,IF(INDEX(ERP資料!$G:$G, (MATCH(186, 輔助計算!$G$2:$G$801, 0)+1))&lt;=1181,2,1)))), "")&amp;IF(AND(IF(INT(INDEX(輔助計算!$D:$D, (MATCH(186, 輔助計算!$G$2:$G$801, 0)+1))/IF(INDEX(ERP資料!$G:$G, (MATCH(186, 輔助計算!$G$2:$G$801, 0)+1))&lt;100, IF(INDEX(ERP資料!$G:$G, (MATCH(186, 輔助計算!$G$2:$G$801, 0)+1))&lt;=31,3,IF(INDEX(ERP資料!$G:$G, (MATCH(186, 輔助計算!$G$2:$G$801, 0)+1))&lt;=46.5,2,1)), IF(INDEX(ERP資料!$G:$G, (MATCH(186, 輔助計算!$G$2:$G$801, 0)+1))&lt;=790,3,IF(INDEX(ERP資料!$G:$G, (MATCH(186, 輔助計算!$G$2:$G$801, 0)+1))&lt;=1181,2,1))))&gt;0, IF(IF(INDEX(ERP資料!$G:$G, (MATCH(186, 輔助計算!$G$2:$G$801, 0)+1))&lt;100, IF(INDEX(ERP資料!$G:$G, (MATCH(186, 輔助計算!$G$2:$G$801, 0)+1))&lt;=31,3,IF(INDEX(ERP資料!$G:$G, (MATCH(186, 輔助計算!$G$2:$G$801, 0)+1))&lt;=46.5,2,1)), IF(INDEX(ERP資料!$G:$G, (MATCH(186, 輔助計算!$G$2:$G$801, 0)+1))&lt;=790,3,IF(INDEX(ERP資料!$G:$G, (MATCH(186, 輔助計算!$G$2:$G$801, 0)+1))&lt;=1181,2,1)))=1,TEXT(INDEX(ERP資料!$G:$G, (MATCH(186, 輔助計算!$G$2:$G$801, 0)+1)),"0.##"),IF(IF(INDEX(ERP資料!$G:$G, (MATCH(186, 輔助計算!$G$2:$G$801, 0)+1))&lt;100, IF(INDEX(ERP資料!$G:$G, (MATCH(186, 輔助計算!$G$2:$G$801, 0)+1))&lt;=31,3,IF(INDEX(ERP資料!$G:$G, (MATCH(186, 輔助計算!$G$2:$G$801, 0)+1))&lt;=46.5,2,1)), IF(INDEX(ERP資料!$G:$G, (MATCH(186, 輔助計算!$G$2:$G$801, 0)+1))&lt;=790,3,IF(INDEX(ERP資料!$G:$G, (MATCH(186, 輔助計算!$G$2:$G$801, 0)+1))&lt;=1181,2,1)))=2,TEXT(INDEX(ERP資料!$G:$G, (MATCH(186, 輔助計算!$G$2:$G$801, 0)+1)),"0.##")&amp;"+"&amp;TEXT(INDEX(ERP資料!$G:$G, (MATCH(186, 輔助計算!$G$2:$G$801, 0)+1)),"0.##"),TEXT(INDEX(ERP資料!$G:$G, (MATCH(186, 輔助計算!$G$2:$G$801, 0)+1)),"0.##")&amp;"+"&amp;TEXT(INDEX(ERP資料!$G:$G, (MATCH(186, 輔助計算!$G$2:$G$801, 0)+1)),"0.##")&amp;"+"&amp;TEXT(INDEX(ERP資料!$G:$G, (MATCH(186, 輔助計算!$G$2:$G$801, 0)+1)),"0.##")))&amp;"-"&amp;INT(INDEX(輔助計算!$D:$D, (MATCH(186, 輔助計算!$G$2:$G$801, 0)+1))/IF(INDEX(ERP資料!$G:$G, (MATCH(186, 輔助計算!$G$2:$G$801, 0)+1))&lt;100, IF(INDEX(ERP資料!$G:$G, (MATCH(186, 輔助計算!$G$2:$G$801, 0)+1))&lt;=31,3,IF(INDEX(ERP資料!$G:$G, (MATCH(186, 輔助計算!$G$2:$G$801, 0)+1))&lt;=46.5,2,1)), IF(INDEX(ERP資料!$G:$G, (MATCH(186, 輔助計算!$G$2:$G$801, 0)+1))&lt;=790,3,IF(INDEX(ERP資料!$G:$G, (MATCH(186, 輔助計算!$G$2:$G$801, 0)+1))&lt;=1181,2,1)))), "")&lt;&gt;"",IF(MOD(INDEX(輔助計算!$D:$D, (MATCH(186, 輔助計算!$G$2:$G$801, 0)+1)),IF(INDEX(ERP資料!$G:$G, (MATCH(186, 輔助計算!$G$2:$G$801, 0)+1))&lt;100, IF(INDEX(ERP資料!$G:$G, (MATCH(186, 輔助計算!$G$2:$G$801, 0)+1))&lt;=31,3,IF(INDEX(ERP資料!$G:$G, (MATCH(186, 輔助計算!$G$2:$G$801, 0)+1))&lt;=46.5,2,1)), IF(INDEX(ERP資料!$G:$G, (MATCH(186, 輔助計算!$G$2:$G$801, 0)+1))&lt;=790,3,IF(INDEX(ERP資料!$G:$G, (MATCH(186, 輔助計算!$G$2:$G$801, 0)+1))&lt;=1181,2,1))))=0,"",IF(MOD(INDEX(輔助計算!$D:$D, (MATCH(186, 輔助計算!$G$2:$G$801, 0)+1)),IF(INDEX(ERP資料!$G:$G, (MATCH(186, 輔助計算!$G$2:$G$801, 0)+1))&lt;100, IF(INDEX(ERP資料!$G:$G, (MATCH(186, 輔助計算!$G$2:$G$801, 0)+1))&lt;=31,3,IF(INDEX(ERP資料!$G:$G, (MATCH(186, 輔助計算!$G$2:$G$801, 0)+1))&lt;=46.5,2,1)), IF(INDEX(ERP資料!$G:$G, (MATCH(186, 輔助計算!$G$2:$G$801, 0)+1))&lt;=790,3,IF(INDEX(ERP資料!$G:$G, (MATCH(186, 輔助計算!$G$2:$G$801, 0)+1))&lt;=1181,2,1))))=0,"",IF(MOD(INDEX(輔助計算!$D:$D, (MATCH(186, 輔助計算!$G$2:$G$801, 0)+1)),IF(INDEX(ERP資料!$G:$G, (MATCH(186, 輔助計算!$G$2:$G$801, 0)+1))&lt;100, IF(INDEX(ERP資料!$G:$G, (MATCH(186, 輔助計算!$G$2:$G$801, 0)+1))&lt;=31,3,IF(INDEX(ERP資料!$G:$G, (MATCH(186, 輔助計算!$G$2:$G$801, 0)+1))&lt;=46.5,2,1)), IF(INDEX(ERP資料!$G:$G, (MATCH(186, 輔助計算!$G$2:$G$801, 0)+1))&lt;=790,3,IF(INDEX(ERP資料!$G:$G, (MATCH(186, 輔助計算!$G$2:$G$801, 0)+1))&lt;=1181,2,1))))=1,TEXT(INDEX(ERP資料!$G:$G, (MATCH(186, 輔助計算!$G$2:$G$801, 0)+1)),"0.##"),IF(MOD(INDEX(輔助計算!$D:$D, (MATCH(186, 輔助計算!$G$2:$G$801, 0)+1)),IF(INDEX(ERP資料!$G:$G, (MATCH(186, 輔助計算!$G$2:$G$801, 0)+1))&lt;100, IF(INDEX(ERP資料!$G:$G, (MATCH(186, 輔助計算!$G$2:$G$801, 0)+1))&lt;=31,3,IF(INDEX(ERP資料!$G:$G, (MATCH(186, 輔助計算!$G$2:$G$801, 0)+1))&lt;=46.5,2,1)), IF(INDEX(ERP資料!$G:$G, (MATCH(186, 輔助計算!$G$2:$G$801, 0)+1))&lt;=790,3,IF(INDEX(ERP資料!$G:$G, (MATCH(186, 輔助計算!$G$2:$G$801, 0)+1))&lt;=1181,2,1))))=2,TEXT(INDEX(ERP資料!$G:$G, (MATCH(186, 輔助計算!$G$2:$G$801, 0)+1)),"0.##")&amp;"+"&amp;TEXT(INDEX(ERP資料!$G:$G, (MATCH(186, 輔助計算!$G$2:$G$801, 0)+1)),"0.##"),TEXT(INDEX(ERP資料!$G:$G, (MATCH(186, 輔助計算!$G$2:$G$801, 0)+1)),"0.##")&amp;"+"&amp;TEXT(INDEX(ERP資料!$G:$G, (MATCH(186, 輔助計算!$G$2:$G$801, 0)+1)),"0.##")&amp;"+"&amp;TEXT(INDEX(ERP資料!$G:$G, (MATCH(186, 輔助計算!$G$2:$G$801, 0)+1)),"0.##"))))&amp;"-1")&lt;&gt;""),"  ","")&amp;IF(MOD(INDEX(輔助計算!$D:$D, (MATCH(186, 輔助計算!$G$2:$G$801, 0)+1)),IF(INDEX(ERP資料!$G:$G, (MATCH(186, 輔助計算!$G$2:$G$801, 0)+1))&lt;100, IF(INDEX(ERP資料!$G:$G, (MATCH(186, 輔助計算!$G$2:$G$801, 0)+1))&lt;=31,3,IF(INDEX(ERP資料!$G:$G, (MATCH(186, 輔助計算!$G$2:$G$801, 0)+1))&lt;=46.5,2,1)), IF(INDEX(ERP資料!$G:$G, (MATCH(186, 輔助計算!$G$2:$G$801, 0)+1))&lt;=790,3,IF(INDEX(ERP資料!$G:$G, (MATCH(186, 輔助計算!$G$2:$G$801, 0)+1))&lt;=1181,2,1))))=0,"",IF(MOD(INDEX(輔助計算!$D:$D, (MATCH(186, 輔助計算!$G$2:$G$801, 0)+1)),IF(INDEX(ERP資料!$G:$G, (MATCH(186, 輔助計算!$G$2:$G$801, 0)+1))&lt;100, IF(INDEX(ERP資料!$G:$G, (MATCH(186, 輔助計算!$G$2:$G$801, 0)+1))&lt;=31,3,IF(INDEX(ERP資料!$G:$G, (MATCH(186, 輔助計算!$G$2:$G$801, 0)+1))&lt;=46.5,2,1)), IF(INDEX(ERP資料!$G:$G, (MATCH(186, 輔助計算!$G$2:$G$801, 0)+1))&lt;=790,3,IF(INDEX(ERP資料!$G:$G, (MATCH(186, 輔助計算!$G$2:$G$801, 0)+1))&lt;=1181,2,1))))=0,"",IF(MOD(INDEX(輔助計算!$D:$D, (MATCH(186, 輔助計算!$G$2:$G$801, 0)+1)),IF(INDEX(ERP資料!$G:$G, (MATCH(186, 輔助計算!$G$2:$G$801, 0)+1))&lt;100, IF(INDEX(ERP資料!$G:$G, (MATCH(186, 輔助計算!$G$2:$G$801, 0)+1))&lt;=31,3,IF(INDEX(ERP資料!$G:$G, (MATCH(186, 輔助計算!$G$2:$G$801, 0)+1))&lt;=46.5,2,1)), IF(INDEX(ERP資料!$G:$G, (MATCH(186, 輔助計算!$G$2:$G$801, 0)+1))&lt;=790,3,IF(INDEX(ERP資料!$G:$G, (MATCH(186, 輔助計算!$G$2:$G$801, 0)+1))&lt;=1181,2,1))))=1,TEXT(INDEX(ERP資料!$G:$G, (MATCH(186, 輔助計算!$G$2:$G$801, 0)+1)),"0.##"),IF(MOD(INDEX(輔助計算!$D:$D, (MATCH(186, 輔助計算!$G$2:$G$801, 0)+1)),IF(INDEX(ERP資料!$G:$G, (MATCH(186, 輔助計算!$G$2:$G$801, 0)+1))&lt;100, IF(INDEX(ERP資料!$G:$G, (MATCH(186, 輔助計算!$G$2:$G$801, 0)+1))&lt;=31,3,IF(INDEX(ERP資料!$G:$G, (MATCH(186, 輔助計算!$G$2:$G$801, 0)+1))&lt;=46.5,2,1)), IF(INDEX(ERP資料!$G:$G, (MATCH(186, 輔助計算!$G$2:$G$801, 0)+1))&lt;=790,3,IF(INDEX(ERP資料!$G:$G, (MATCH(186, 輔助計算!$G$2:$G$801, 0)+1))&lt;=1181,2,1))))=2,TEXT(INDEX(ERP資料!$G:$G, (MATCH(186, 輔助計算!$G$2:$G$801, 0)+1)),"0.##")&amp;"+"&amp;TEXT(INDEX(ERP資料!$G:$G, (MATCH(186, 輔助計算!$G$2:$G$801, 0)+1)),"0.##"),TEXT(INDEX(ERP資料!$G:$G, (MATCH(186, 輔助計算!$G$2:$G$801, 0)+1)),"0.##")&amp;"+"&amp;TEXT(INDEX(ERP資料!$G:$G, (MATCH(186, 輔助計算!$G$2:$G$801, 0)+1)),"0.##")&amp;"+"&amp;TEXT(INDEX(ERP資料!$G:$G, (MATCH(186, 輔助計算!$G$2:$G$801, 0)+1)),"0.##"))))&amp;"-1")), ""), "")</f>
        <v/>
      </c>
      <c r="K187" s="16" t="n"/>
      <c r="L187" s="14">
        <f>IFERROR(IF(AND(IFERROR(INDEX(ERP資料!$A:$A, (MATCH(186, 輔助計算!$G$2:$G$801, 0)+1)), "")&lt;&gt;"", IFERROR(INDEX(ERP資料!$A:$A, (MATCH(186, 輔助計算!$G$2:$G$801, 0)+1)), "")&lt;&gt;IFERROR(INDEX(ERP資料!$A:$A, MATCH(185, 輔助計算!$G$2:$G$801, 0)+1), "")), INDEX(ERP資料!$B:$B, (MATCH(186, 輔助計算!$G$2:$G$801, 0)+1)), ""), "")</f>
        <v/>
      </c>
      <c r="M187" s="17" t="n"/>
    </row>
    <row r="188">
      <c r="A188" s="10">
        <f>IFERROR(IF(AND(IFERROR(INDEX(ERP資料!$A:$A, (MATCH(187, 輔助計算!$G$2:$G$801, 0)+1)), "")&lt;&gt;"", IFERROR(INDEX(ERP資料!$A:$A, (MATCH(187, 輔助計算!$G$2:$G$801, 0)+1)), "")&lt;&gt;IFERROR(INDEX(ERP資料!$A:$A, MATCH(186, 輔助計算!$G$2:$G$801, 0)+1), "")), IFERROR(INDEX(ERP資料!$A:$A, (MATCH(187, 輔助計算!$G$2:$G$801, 0)+1)), ""), ""), "")</f>
        <v/>
      </c>
      <c r="B188" s="10">
        <f>IFERROR(IF(AND(IFERROR(INDEX(ERP資料!$A:$A, (MATCH(187, 輔助計算!$G$2:$G$801, 0)+1)), "")&lt;&gt;"", IFERROR(INDEX(ERP資料!$A:$A, (MATCH(187, 輔助計算!$G$2:$G$801, 0)+1)), "")&lt;&gt;IFERROR(INDEX(ERP資料!$A:$A, MATCH(186, 輔助計算!$G$2:$G$801, 0)+1), "")), INDEX(ERP資料!$S:$S, (MATCH(187, 輔助計算!$G$2:$G$801, 0)+1)), ""), "")</f>
        <v/>
      </c>
      <c r="C188" s="19">
        <f>IFERROR(IF(AND(IFERROR(INDEX(ERP資料!$A:$A, (MATCH(187, 輔助計算!$G$2:$G$801, 0)+1)), "")&lt;&gt;"", IFERROR(INDEX(ERP資料!$A:$A, (MATCH(187, 輔助計算!$G$2:$G$801, 0)+1)), "")&lt;&gt;IFERROR(INDEX(ERP資料!$A:$A, MATCH(186, 輔助計算!$G$2:$G$801, 0)+1), "")), IFERROR(VLOOKUP(LEFT(INDEX(ERP資料!$S:$S, (MATCH(187, 輔助計算!$G$2:$G$801, 0)+1)), 4), 紙管對照表!$A:$C, 3, FALSE), ""), ""), "")</f>
        <v/>
      </c>
      <c r="D188" s="16" t="n"/>
      <c r="E188" s="10">
        <f>IFERROR(IF(INDEX(ERP資料!$H:$H, (MATCH(187, 輔助計算!$G$2:$G$801, 0)+1))="","",INDEX(ERP資料!$H:$H, (MATCH(187, 輔助計算!$G$2:$G$801, 0)+1))), "")</f>
        <v/>
      </c>
      <c r="F188" s="10">
        <f>IFERROR(IF(INDEX(ERP資料!$E:$E, (MATCH(187, 輔助計算!$G$2:$G$801, 0)+1))="","",TRIM(INDEX(ERP資料!$E:$E, (MATCH(187, 輔助計算!$G$2:$G$801, 0)+1)))), "")</f>
        <v/>
      </c>
      <c r="G188" s="10">
        <f>IFERROR(IF(INDEX(ERP資料!$F:$F, (MATCH(187, 輔助計算!$G$2:$G$801, 0)+1))="","",INDEX(ERP資料!$F:$F, (MATCH(187, 輔助計算!$G$2:$G$801, 0)+1))), "")</f>
        <v/>
      </c>
      <c r="H188" s="10">
        <f>IFERROR(IF(INDEX(ERP資料!$G:$G, (MATCH(187, 輔助計算!$G$2:$G$801, 0)+1))="","",INDEX(ERP資料!$G:$G, (MATCH(187, 輔助計算!$G$2:$G$801, 0)+1))), "")</f>
        <v/>
      </c>
      <c r="I188" s="15">
        <f>IFERROR(INDEX(輔助計算!$D:$D, (MATCH(187, 輔助計算!$G$2:$G$801, 0)+1)), "")</f>
        <v/>
      </c>
      <c r="J188" s="15">
        <f>IFERROR(IF(AND(INDEX(輔助計算!$D:$D, (MATCH(187, 輔助計算!$G$2:$G$801, 0)+1))&lt;&gt;"", INDEX(ERP資料!$G:$G, (MATCH(187, 輔助計算!$G$2:$G$801, 0)+1))&lt;&gt;""), TRIM(IF(INT(INDEX(輔助計算!$D:$D, (MATCH(187, 輔助計算!$G$2:$G$801, 0)+1))/IF(INDEX(ERP資料!$G:$G, (MATCH(187, 輔助計算!$G$2:$G$801, 0)+1))&lt;100, IF(INDEX(ERP資料!$G:$G, (MATCH(187, 輔助計算!$G$2:$G$801, 0)+1))&lt;=31,3,IF(INDEX(ERP資料!$G:$G, (MATCH(187, 輔助計算!$G$2:$G$801, 0)+1))&lt;=46.5,2,1)), IF(INDEX(ERP資料!$G:$G, (MATCH(187, 輔助計算!$G$2:$G$801, 0)+1))&lt;=790,3,IF(INDEX(ERP資料!$G:$G, (MATCH(187, 輔助計算!$G$2:$G$801, 0)+1))&lt;=1181,2,1))))&gt;0, IF(IF(INDEX(ERP資料!$G:$G, (MATCH(187, 輔助計算!$G$2:$G$801, 0)+1))&lt;100, IF(INDEX(ERP資料!$G:$G, (MATCH(187, 輔助計算!$G$2:$G$801, 0)+1))&lt;=31,3,IF(INDEX(ERP資料!$G:$G, (MATCH(187, 輔助計算!$G$2:$G$801, 0)+1))&lt;=46.5,2,1)), IF(INDEX(ERP資料!$G:$G, (MATCH(187, 輔助計算!$G$2:$G$801, 0)+1))&lt;=790,3,IF(INDEX(ERP資料!$G:$G, (MATCH(187, 輔助計算!$G$2:$G$801, 0)+1))&lt;=1181,2,1)))=1,TEXT(INDEX(ERP資料!$G:$G, (MATCH(187, 輔助計算!$G$2:$G$801, 0)+1)),"0.##"),IF(IF(INDEX(ERP資料!$G:$G, (MATCH(187, 輔助計算!$G$2:$G$801, 0)+1))&lt;100, IF(INDEX(ERP資料!$G:$G, (MATCH(187, 輔助計算!$G$2:$G$801, 0)+1))&lt;=31,3,IF(INDEX(ERP資料!$G:$G, (MATCH(187, 輔助計算!$G$2:$G$801, 0)+1))&lt;=46.5,2,1)), IF(INDEX(ERP資料!$G:$G, (MATCH(187, 輔助計算!$G$2:$G$801, 0)+1))&lt;=790,3,IF(INDEX(ERP資料!$G:$G, (MATCH(187, 輔助計算!$G$2:$G$801, 0)+1))&lt;=1181,2,1)))=2,TEXT(INDEX(ERP資料!$G:$G, (MATCH(187, 輔助計算!$G$2:$G$801, 0)+1)),"0.##")&amp;"+"&amp;TEXT(INDEX(ERP資料!$G:$G, (MATCH(187, 輔助計算!$G$2:$G$801, 0)+1)),"0.##"),TEXT(INDEX(ERP資料!$G:$G, (MATCH(187, 輔助計算!$G$2:$G$801, 0)+1)),"0.##")&amp;"+"&amp;TEXT(INDEX(ERP資料!$G:$G, (MATCH(187, 輔助計算!$G$2:$G$801, 0)+1)),"0.##")&amp;"+"&amp;TEXT(INDEX(ERP資料!$G:$G, (MATCH(187, 輔助計算!$G$2:$G$801, 0)+1)),"0.##")))&amp;"-"&amp;INT(INDEX(輔助計算!$D:$D, (MATCH(187, 輔助計算!$G$2:$G$801, 0)+1))/IF(INDEX(ERP資料!$G:$G, (MATCH(187, 輔助計算!$G$2:$G$801, 0)+1))&lt;100, IF(INDEX(ERP資料!$G:$G, (MATCH(187, 輔助計算!$G$2:$G$801, 0)+1))&lt;=31,3,IF(INDEX(ERP資料!$G:$G, (MATCH(187, 輔助計算!$G$2:$G$801, 0)+1))&lt;=46.5,2,1)), IF(INDEX(ERP資料!$G:$G, (MATCH(187, 輔助計算!$G$2:$G$801, 0)+1))&lt;=790,3,IF(INDEX(ERP資料!$G:$G, (MATCH(187, 輔助計算!$G$2:$G$801, 0)+1))&lt;=1181,2,1)))), "")&amp;IF(AND(IF(INT(INDEX(輔助計算!$D:$D, (MATCH(187, 輔助計算!$G$2:$G$801, 0)+1))/IF(INDEX(ERP資料!$G:$G, (MATCH(187, 輔助計算!$G$2:$G$801, 0)+1))&lt;100, IF(INDEX(ERP資料!$G:$G, (MATCH(187, 輔助計算!$G$2:$G$801, 0)+1))&lt;=31,3,IF(INDEX(ERP資料!$G:$G, (MATCH(187, 輔助計算!$G$2:$G$801, 0)+1))&lt;=46.5,2,1)), IF(INDEX(ERP資料!$G:$G, (MATCH(187, 輔助計算!$G$2:$G$801, 0)+1))&lt;=790,3,IF(INDEX(ERP資料!$G:$G, (MATCH(187, 輔助計算!$G$2:$G$801, 0)+1))&lt;=1181,2,1))))&gt;0, IF(IF(INDEX(ERP資料!$G:$G, (MATCH(187, 輔助計算!$G$2:$G$801, 0)+1))&lt;100, IF(INDEX(ERP資料!$G:$G, (MATCH(187, 輔助計算!$G$2:$G$801, 0)+1))&lt;=31,3,IF(INDEX(ERP資料!$G:$G, (MATCH(187, 輔助計算!$G$2:$G$801, 0)+1))&lt;=46.5,2,1)), IF(INDEX(ERP資料!$G:$G, (MATCH(187, 輔助計算!$G$2:$G$801, 0)+1))&lt;=790,3,IF(INDEX(ERP資料!$G:$G, (MATCH(187, 輔助計算!$G$2:$G$801, 0)+1))&lt;=1181,2,1)))=1,TEXT(INDEX(ERP資料!$G:$G, (MATCH(187, 輔助計算!$G$2:$G$801, 0)+1)),"0.##"),IF(IF(INDEX(ERP資料!$G:$G, (MATCH(187, 輔助計算!$G$2:$G$801, 0)+1))&lt;100, IF(INDEX(ERP資料!$G:$G, (MATCH(187, 輔助計算!$G$2:$G$801, 0)+1))&lt;=31,3,IF(INDEX(ERP資料!$G:$G, (MATCH(187, 輔助計算!$G$2:$G$801, 0)+1))&lt;=46.5,2,1)), IF(INDEX(ERP資料!$G:$G, (MATCH(187, 輔助計算!$G$2:$G$801, 0)+1))&lt;=790,3,IF(INDEX(ERP資料!$G:$G, (MATCH(187, 輔助計算!$G$2:$G$801, 0)+1))&lt;=1181,2,1)))=2,TEXT(INDEX(ERP資料!$G:$G, (MATCH(187, 輔助計算!$G$2:$G$801, 0)+1)),"0.##")&amp;"+"&amp;TEXT(INDEX(ERP資料!$G:$G, (MATCH(187, 輔助計算!$G$2:$G$801, 0)+1)),"0.##"),TEXT(INDEX(ERP資料!$G:$G, (MATCH(187, 輔助計算!$G$2:$G$801, 0)+1)),"0.##")&amp;"+"&amp;TEXT(INDEX(ERP資料!$G:$G, (MATCH(187, 輔助計算!$G$2:$G$801, 0)+1)),"0.##")&amp;"+"&amp;TEXT(INDEX(ERP資料!$G:$G, (MATCH(187, 輔助計算!$G$2:$G$801, 0)+1)),"0.##")))&amp;"-"&amp;INT(INDEX(輔助計算!$D:$D, (MATCH(187, 輔助計算!$G$2:$G$801, 0)+1))/IF(INDEX(ERP資料!$G:$G, (MATCH(187, 輔助計算!$G$2:$G$801, 0)+1))&lt;100, IF(INDEX(ERP資料!$G:$G, (MATCH(187, 輔助計算!$G$2:$G$801, 0)+1))&lt;=31,3,IF(INDEX(ERP資料!$G:$G, (MATCH(187, 輔助計算!$G$2:$G$801, 0)+1))&lt;=46.5,2,1)), IF(INDEX(ERP資料!$G:$G, (MATCH(187, 輔助計算!$G$2:$G$801, 0)+1))&lt;=790,3,IF(INDEX(ERP資料!$G:$G, (MATCH(187, 輔助計算!$G$2:$G$801, 0)+1))&lt;=1181,2,1)))), "")&lt;&gt;"",IF(MOD(INDEX(輔助計算!$D:$D, (MATCH(187, 輔助計算!$G$2:$G$801, 0)+1)),IF(INDEX(ERP資料!$G:$G, (MATCH(187, 輔助計算!$G$2:$G$801, 0)+1))&lt;100, IF(INDEX(ERP資料!$G:$G, (MATCH(187, 輔助計算!$G$2:$G$801, 0)+1))&lt;=31,3,IF(INDEX(ERP資料!$G:$G, (MATCH(187, 輔助計算!$G$2:$G$801, 0)+1))&lt;=46.5,2,1)), IF(INDEX(ERP資料!$G:$G, (MATCH(187, 輔助計算!$G$2:$G$801, 0)+1))&lt;=790,3,IF(INDEX(ERP資料!$G:$G, (MATCH(187, 輔助計算!$G$2:$G$801, 0)+1))&lt;=1181,2,1))))=0,"",IF(MOD(INDEX(輔助計算!$D:$D, (MATCH(187, 輔助計算!$G$2:$G$801, 0)+1)),IF(INDEX(ERP資料!$G:$G, (MATCH(187, 輔助計算!$G$2:$G$801, 0)+1))&lt;100, IF(INDEX(ERP資料!$G:$G, (MATCH(187, 輔助計算!$G$2:$G$801, 0)+1))&lt;=31,3,IF(INDEX(ERP資料!$G:$G, (MATCH(187, 輔助計算!$G$2:$G$801, 0)+1))&lt;=46.5,2,1)), IF(INDEX(ERP資料!$G:$G, (MATCH(187, 輔助計算!$G$2:$G$801, 0)+1))&lt;=790,3,IF(INDEX(ERP資料!$G:$G, (MATCH(187, 輔助計算!$G$2:$G$801, 0)+1))&lt;=1181,2,1))))=0,"",IF(MOD(INDEX(輔助計算!$D:$D, (MATCH(187, 輔助計算!$G$2:$G$801, 0)+1)),IF(INDEX(ERP資料!$G:$G, (MATCH(187, 輔助計算!$G$2:$G$801, 0)+1))&lt;100, IF(INDEX(ERP資料!$G:$G, (MATCH(187, 輔助計算!$G$2:$G$801, 0)+1))&lt;=31,3,IF(INDEX(ERP資料!$G:$G, (MATCH(187, 輔助計算!$G$2:$G$801, 0)+1))&lt;=46.5,2,1)), IF(INDEX(ERP資料!$G:$G, (MATCH(187, 輔助計算!$G$2:$G$801, 0)+1))&lt;=790,3,IF(INDEX(ERP資料!$G:$G, (MATCH(187, 輔助計算!$G$2:$G$801, 0)+1))&lt;=1181,2,1))))=1,TEXT(INDEX(ERP資料!$G:$G, (MATCH(187, 輔助計算!$G$2:$G$801, 0)+1)),"0.##"),IF(MOD(INDEX(輔助計算!$D:$D, (MATCH(187, 輔助計算!$G$2:$G$801, 0)+1)),IF(INDEX(ERP資料!$G:$G, (MATCH(187, 輔助計算!$G$2:$G$801, 0)+1))&lt;100, IF(INDEX(ERP資料!$G:$G, (MATCH(187, 輔助計算!$G$2:$G$801, 0)+1))&lt;=31,3,IF(INDEX(ERP資料!$G:$G, (MATCH(187, 輔助計算!$G$2:$G$801, 0)+1))&lt;=46.5,2,1)), IF(INDEX(ERP資料!$G:$G, (MATCH(187, 輔助計算!$G$2:$G$801, 0)+1))&lt;=790,3,IF(INDEX(ERP資料!$G:$G, (MATCH(187, 輔助計算!$G$2:$G$801, 0)+1))&lt;=1181,2,1))))=2,TEXT(INDEX(ERP資料!$G:$G, (MATCH(187, 輔助計算!$G$2:$G$801, 0)+1)),"0.##")&amp;"+"&amp;TEXT(INDEX(ERP資料!$G:$G, (MATCH(187, 輔助計算!$G$2:$G$801, 0)+1)),"0.##"),TEXT(INDEX(ERP資料!$G:$G, (MATCH(187, 輔助計算!$G$2:$G$801, 0)+1)),"0.##")&amp;"+"&amp;TEXT(INDEX(ERP資料!$G:$G, (MATCH(187, 輔助計算!$G$2:$G$801, 0)+1)),"0.##")&amp;"+"&amp;TEXT(INDEX(ERP資料!$G:$G, (MATCH(187, 輔助計算!$G$2:$G$801, 0)+1)),"0.##"))))&amp;"-1")&lt;&gt;""),"  ","")&amp;IF(MOD(INDEX(輔助計算!$D:$D, (MATCH(187, 輔助計算!$G$2:$G$801, 0)+1)),IF(INDEX(ERP資料!$G:$G, (MATCH(187, 輔助計算!$G$2:$G$801, 0)+1))&lt;100, IF(INDEX(ERP資料!$G:$G, (MATCH(187, 輔助計算!$G$2:$G$801, 0)+1))&lt;=31,3,IF(INDEX(ERP資料!$G:$G, (MATCH(187, 輔助計算!$G$2:$G$801, 0)+1))&lt;=46.5,2,1)), IF(INDEX(ERP資料!$G:$G, (MATCH(187, 輔助計算!$G$2:$G$801, 0)+1))&lt;=790,3,IF(INDEX(ERP資料!$G:$G, (MATCH(187, 輔助計算!$G$2:$G$801, 0)+1))&lt;=1181,2,1))))=0,"",IF(MOD(INDEX(輔助計算!$D:$D, (MATCH(187, 輔助計算!$G$2:$G$801, 0)+1)),IF(INDEX(ERP資料!$G:$G, (MATCH(187, 輔助計算!$G$2:$G$801, 0)+1))&lt;100, IF(INDEX(ERP資料!$G:$G, (MATCH(187, 輔助計算!$G$2:$G$801, 0)+1))&lt;=31,3,IF(INDEX(ERP資料!$G:$G, (MATCH(187, 輔助計算!$G$2:$G$801, 0)+1))&lt;=46.5,2,1)), IF(INDEX(ERP資料!$G:$G, (MATCH(187, 輔助計算!$G$2:$G$801, 0)+1))&lt;=790,3,IF(INDEX(ERP資料!$G:$G, (MATCH(187, 輔助計算!$G$2:$G$801, 0)+1))&lt;=1181,2,1))))=0,"",IF(MOD(INDEX(輔助計算!$D:$D, (MATCH(187, 輔助計算!$G$2:$G$801, 0)+1)),IF(INDEX(ERP資料!$G:$G, (MATCH(187, 輔助計算!$G$2:$G$801, 0)+1))&lt;100, IF(INDEX(ERP資料!$G:$G, (MATCH(187, 輔助計算!$G$2:$G$801, 0)+1))&lt;=31,3,IF(INDEX(ERP資料!$G:$G, (MATCH(187, 輔助計算!$G$2:$G$801, 0)+1))&lt;=46.5,2,1)), IF(INDEX(ERP資料!$G:$G, (MATCH(187, 輔助計算!$G$2:$G$801, 0)+1))&lt;=790,3,IF(INDEX(ERP資料!$G:$G, (MATCH(187, 輔助計算!$G$2:$G$801, 0)+1))&lt;=1181,2,1))))=1,TEXT(INDEX(ERP資料!$G:$G, (MATCH(187, 輔助計算!$G$2:$G$801, 0)+1)),"0.##"),IF(MOD(INDEX(輔助計算!$D:$D, (MATCH(187, 輔助計算!$G$2:$G$801, 0)+1)),IF(INDEX(ERP資料!$G:$G, (MATCH(187, 輔助計算!$G$2:$G$801, 0)+1))&lt;100, IF(INDEX(ERP資料!$G:$G, (MATCH(187, 輔助計算!$G$2:$G$801, 0)+1))&lt;=31,3,IF(INDEX(ERP資料!$G:$G, (MATCH(187, 輔助計算!$G$2:$G$801, 0)+1))&lt;=46.5,2,1)), IF(INDEX(ERP資料!$G:$G, (MATCH(187, 輔助計算!$G$2:$G$801, 0)+1))&lt;=790,3,IF(INDEX(ERP資料!$G:$G, (MATCH(187, 輔助計算!$G$2:$G$801, 0)+1))&lt;=1181,2,1))))=2,TEXT(INDEX(ERP資料!$G:$G, (MATCH(187, 輔助計算!$G$2:$G$801, 0)+1)),"0.##")&amp;"+"&amp;TEXT(INDEX(ERP資料!$G:$G, (MATCH(187, 輔助計算!$G$2:$G$801, 0)+1)),"0.##"),TEXT(INDEX(ERP資料!$G:$G, (MATCH(187, 輔助計算!$G$2:$G$801, 0)+1)),"0.##")&amp;"+"&amp;TEXT(INDEX(ERP資料!$G:$G, (MATCH(187, 輔助計算!$G$2:$G$801, 0)+1)),"0.##")&amp;"+"&amp;TEXT(INDEX(ERP資料!$G:$G, (MATCH(187, 輔助計算!$G$2:$G$801, 0)+1)),"0.##"))))&amp;"-1")), ""), "")</f>
        <v/>
      </c>
      <c r="K188" s="16" t="n"/>
      <c r="L188" s="14">
        <f>IFERROR(IF(AND(IFERROR(INDEX(ERP資料!$A:$A, (MATCH(187, 輔助計算!$G$2:$G$801, 0)+1)), "")&lt;&gt;"", IFERROR(INDEX(ERP資料!$A:$A, (MATCH(187, 輔助計算!$G$2:$G$801, 0)+1)), "")&lt;&gt;IFERROR(INDEX(ERP資料!$A:$A, MATCH(186, 輔助計算!$G$2:$G$801, 0)+1), "")), INDEX(ERP資料!$B:$B, (MATCH(187, 輔助計算!$G$2:$G$801, 0)+1)), ""), "")</f>
        <v/>
      </c>
      <c r="M188" s="17" t="n"/>
    </row>
    <row r="189">
      <c r="A189" s="10">
        <f>IFERROR(IF(AND(IFERROR(INDEX(ERP資料!$A:$A, (MATCH(188, 輔助計算!$G$2:$G$801, 0)+1)), "")&lt;&gt;"", IFERROR(INDEX(ERP資料!$A:$A, (MATCH(188, 輔助計算!$G$2:$G$801, 0)+1)), "")&lt;&gt;IFERROR(INDEX(ERP資料!$A:$A, MATCH(187, 輔助計算!$G$2:$G$801, 0)+1), "")), IFERROR(INDEX(ERP資料!$A:$A, (MATCH(188, 輔助計算!$G$2:$G$801, 0)+1)), ""), ""), "")</f>
        <v/>
      </c>
      <c r="B189" s="10">
        <f>IFERROR(IF(AND(IFERROR(INDEX(ERP資料!$A:$A, (MATCH(188, 輔助計算!$G$2:$G$801, 0)+1)), "")&lt;&gt;"", IFERROR(INDEX(ERP資料!$A:$A, (MATCH(188, 輔助計算!$G$2:$G$801, 0)+1)), "")&lt;&gt;IFERROR(INDEX(ERP資料!$A:$A, MATCH(187, 輔助計算!$G$2:$G$801, 0)+1), "")), INDEX(ERP資料!$S:$S, (MATCH(188, 輔助計算!$G$2:$G$801, 0)+1)), ""), "")</f>
        <v/>
      </c>
      <c r="C189" s="19">
        <f>IFERROR(IF(AND(IFERROR(INDEX(ERP資料!$A:$A, (MATCH(188, 輔助計算!$G$2:$G$801, 0)+1)), "")&lt;&gt;"", IFERROR(INDEX(ERP資料!$A:$A, (MATCH(188, 輔助計算!$G$2:$G$801, 0)+1)), "")&lt;&gt;IFERROR(INDEX(ERP資料!$A:$A, MATCH(187, 輔助計算!$G$2:$G$801, 0)+1), "")), IFERROR(VLOOKUP(LEFT(INDEX(ERP資料!$S:$S, (MATCH(188, 輔助計算!$G$2:$G$801, 0)+1)), 4), 紙管對照表!$A:$C, 3, FALSE), ""), ""), "")</f>
        <v/>
      </c>
      <c r="D189" s="16" t="n"/>
      <c r="E189" s="10">
        <f>IFERROR(IF(INDEX(ERP資料!$H:$H, (MATCH(188, 輔助計算!$G$2:$G$801, 0)+1))="","",INDEX(ERP資料!$H:$H, (MATCH(188, 輔助計算!$G$2:$G$801, 0)+1))), "")</f>
        <v/>
      </c>
      <c r="F189" s="10">
        <f>IFERROR(IF(INDEX(ERP資料!$E:$E, (MATCH(188, 輔助計算!$G$2:$G$801, 0)+1))="","",TRIM(INDEX(ERP資料!$E:$E, (MATCH(188, 輔助計算!$G$2:$G$801, 0)+1)))), "")</f>
        <v/>
      </c>
      <c r="G189" s="10">
        <f>IFERROR(IF(INDEX(ERP資料!$F:$F, (MATCH(188, 輔助計算!$G$2:$G$801, 0)+1))="","",INDEX(ERP資料!$F:$F, (MATCH(188, 輔助計算!$G$2:$G$801, 0)+1))), "")</f>
        <v/>
      </c>
      <c r="H189" s="10">
        <f>IFERROR(IF(INDEX(ERP資料!$G:$G, (MATCH(188, 輔助計算!$G$2:$G$801, 0)+1))="","",INDEX(ERP資料!$G:$G, (MATCH(188, 輔助計算!$G$2:$G$801, 0)+1))), "")</f>
        <v/>
      </c>
      <c r="I189" s="15">
        <f>IFERROR(INDEX(輔助計算!$D:$D, (MATCH(188, 輔助計算!$G$2:$G$801, 0)+1)), "")</f>
        <v/>
      </c>
      <c r="J189" s="15">
        <f>IFERROR(IF(AND(INDEX(輔助計算!$D:$D, (MATCH(188, 輔助計算!$G$2:$G$801, 0)+1))&lt;&gt;"", INDEX(ERP資料!$G:$G, (MATCH(188, 輔助計算!$G$2:$G$801, 0)+1))&lt;&gt;""), TRIM(IF(INT(INDEX(輔助計算!$D:$D, (MATCH(188, 輔助計算!$G$2:$G$801, 0)+1))/IF(INDEX(ERP資料!$G:$G, (MATCH(188, 輔助計算!$G$2:$G$801, 0)+1))&lt;100, IF(INDEX(ERP資料!$G:$G, (MATCH(188, 輔助計算!$G$2:$G$801, 0)+1))&lt;=31,3,IF(INDEX(ERP資料!$G:$G, (MATCH(188, 輔助計算!$G$2:$G$801, 0)+1))&lt;=46.5,2,1)), IF(INDEX(ERP資料!$G:$G, (MATCH(188, 輔助計算!$G$2:$G$801, 0)+1))&lt;=790,3,IF(INDEX(ERP資料!$G:$G, (MATCH(188, 輔助計算!$G$2:$G$801, 0)+1))&lt;=1181,2,1))))&gt;0, IF(IF(INDEX(ERP資料!$G:$G, (MATCH(188, 輔助計算!$G$2:$G$801, 0)+1))&lt;100, IF(INDEX(ERP資料!$G:$G, (MATCH(188, 輔助計算!$G$2:$G$801, 0)+1))&lt;=31,3,IF(INDEX(ERP資料!$G:$G, (MATCH(188, 輔助計算!$G$2:$G$801, 0)+1))&lt;=46.5,2,1)), IF(INDEX(ERP資料!$G:$G, (MATCH(188, 輔助計算!$G$2:$G$801, 0)+1))&lt;=790,3,IF(INDEX(ERP資料!$G:$G, (MATCH(188, 輔助計算!$G$2:$G$801, 0)+1))&lt;=1181,2,1)))=1,TEXT(INDEX(ERP資料!$G:$G, (MATCH(188, 輔助計算!$G$2:$G$801, 0)+1)),"0.##"),IF(IF(INDEX(ERP資料!$G:$G, (MATCH(188, 輔助計算!$G$2:$G$801, 0)+1))&lt;100, IF(INDEX(ERP資料!$G:$G, (MATCH(188, 輔助計算!$G$2:$G$801, 0)+1))&lt;=31,3,IF(INDEX(ERP資料!$G:$G, (MATCH(188, 輔助計算!$G$2:$G$801, 0)+1))&lt;=46.5,2,1)), IF(INDEX(ERP資料!$G:$G, (MATCH(188, 輔助計算!$G$2:$G$801, 0)+1))&lt;=790,3,IF(INDEX(ERP資料!$G:$G, (MATCH(188, 輔助計算!$G$2:$G$801, 0)+1))&lt;=1181,2,1)))=2,TEXT(INDEX(ERP資料!$G:$G, (MATCH(188, 輔助計算!$G$2:$G$801, 0)+1)),"0.##")&amp;"+"&amp;TEXT(INDEX(ERP資料!$G:$G, (MATCH(188, 輔助計算!$G$2:$G$801, 0)+1)),"0.##"),TEXT(INDEX(ERP資料!$G:$G, (MATCH(188, 輔助計算!$G$2:$G$801, 0)+1)),"0.##")&amp;"+"&amp;TEXT(INDEX(ERP資料!$G:$G, (MATCH(188, 輔助計算!$G$2:$G$801, 0)+1)),"0.##")&amp;"+"&amp;TEXT(INDEX(ERP資料!$G:$G, (MATCH(188, 輔助計算!$G$2:$G$801, 0)+1)),"0.##")))&amp;"-"&amp;INT(INDEX(輔助計算!$D:$D, (MATCH(188, 輔助計算!$G$2:$G$801, 0)+1))/IF(INDEX(ERP資料!$G:$G, (MATCH(188, 輔助計算!$G$2:$G$801, 0)+1))&lt;100, IF(INDEX(ERP資料!$G:$G, (MATCH(188, 輔助計算!$G$2:$G$801, 0)+1))&lt;=31,3,IF(INDEX(ERP資料!$G:$G, (MATCH(188, 輔助計算!$G$2:$G$801, 0)+1))&lt;=46.5,2,1)), IF(INDEX(ERP資料!$G:$G, (MATCH(188, 輔助計算!$G$2:$G$801, 0)+1))&lt;=790,3,IF(INDEX(ERP資料!$G:$G, (MATCH(188, 輔助計算!$G$2:$G$801, 0)+1))&lt;=1181,2,1)))), "")&amp;IF(AND(IF(INT(INDEX(輔助計算!$D:$D, (MATCH(188, 輔助計算!$G$2:$G$801, 0)+1))/IF(INDEX(ERP資料!$G:$G, (MATCH(188, 輔助計算!$G$2:$G$801, 0)+1))&lt;100, IF(INDEX(ERP資料!$G:$G, (MATCH(188, 輔助計算!$G$2:$G$801, 0)+1))&lt;=31,3,IF(INDEX(ERP資料!$G:$G, (MATCH(188, 輔助計算!$G$2:$G$801, 0)+1))&lt;=46.5,2,1)), IF(INDEX(ERP資料!$G:$G, (MATCH(188, 輔助計算!$G$2:$G$801, 0)+1))&lt;=790,3,IF(INDEX(ERP資料!$G:$G, (MATCH(188, 輔助計算!$G$2:$G$801, 0)+1))&lt;=1181,2,1))))&gt;0, IF(IF(INDEX(ERP資料!$G:$G, (MATCH(188, 輔助計算!$G$2:$G$801, 0)+1))&lt;100, IF(INDEX(ERP資料!$G:$G, (MATCH(188, 輔助計算!$G$2:$G$801, 0)+1))&lt;=31,3,IF(INDEX(ERP資料!$G:$G, (MATCH(188, 輔助計算!$G$2:$G$801, 0)+1))&lt;=46.5,2,1)), IF(INDEX(ERP資料!$G:$G, (MATCH(188, 輔助計算!$G$2:$G$801, 0)+1))&lt;=790,3,IF(INDEX(ERP資料!$G:$G, (MATCH(188, 輔助計算!$G$2:$G$801, 0)+1))&lt;=1181,2,1)))=1,TEXT(INDEX(ERP資料!$G:$G, (MATCH(188, 輔助計算!$G$2:$G$801, 0)+1)),"0.##"),IF(IF(INDEX(ERP資料!$G:$G, (MATCH(188, 輔助計算!$G$2:$G$801, 0)+1))&lt;100, IF(INDEX(ERP資料!$G:$G, (MATCH(188, 輔助計算!$G$2:$G$801, 0)+1))&lt;=31,3,IF(INDEX(ERP資料!$G:$G, (MATCH(188, 輔助計算!$G$2:$G$801, 0)+1))&lt;=46.5,2,1)), IF(INDEX(ERP資料!$G:$G, (MATCH(188, 輔助計算!$G$2:$G$801, 0)+1))&lt;=790,3,IF(INDEX(ERP資料!$G:$G, (MATCH(188, 輔助計算!$G$2:$G$801, 0)+1))&lt;=1181,2,1)))=2,TEXT(INDEX(ERP資料!$G:$G, (MATCH(188, 輔助計算!$G$2:$G$801, 0)+1)),"0.##")&amp;"+"&amp;TEXT(INDEX(ERP資料!$G:$G, (MATCH(188, 輔助計算!$G$2:$G$801, 0)+1)),"0.##"),TEXT(INDEX(ERP資料!$G:$G, (MATCH(188, 輔助計算!$G$2:$G$801, 0)+1)),"0.##")&amp;"+"&amp;TEXT(INDEX(ERP資料!$G:$G, (MATCH(188, 輔助計算!$G$2:$G$801, 0)+1)),"0.##")&amp;"+"&amp;TEXT(INDEX(ERP資料!$G:$G, (MATCH(188, 輔助計算!$G$2:$G$801, 0)+1)),"0.##")))&amp;"-"&amp;INT(INDEX(輔助計算!$D:$D, (MATCH(188, 輔助計算!$G$2:$G$801, 0)+1))/IF(INDEX(ERP資料!$G:$G, (MATCH(188, 輔助計算!$G$2:$G$801, 0)+1))&lt;100, IF(INDEX(ERP資料!$G:$G, (MATCH(188, 輔助計算!$G$2:$G$801, 0)+1))&lt;=31,3,IF(INDEX(ERP資料!$G:$G, (MATCH(188, 輔助計算!$G$2:$G$801, 0)+1))&lt;=46.5,2,1)), IF(INDEX(ERP資料!$G:$G, (MATCH(188, 輔助計算!$G$2:$G$801, 0)+1))&lt;=790,3,IF(INDEX(ERP資料!$G:$G, (MATCH(188, 輔助計算!$G$2:$G$801, 0)+1))&lt;=1181,2,1)))), "")&lt;&gt;"",IF(MOD(INDEX(輔助計算!$D:$D, (MATCH(188, 輔助計算!$G$2:$G$801, 0)+1)),IF(INDEX(ERP資料!$G:$G, (MATCH(188, 輔助計算!$G$2:$G$801, 0)+1))&lt;100, IF(INDEX(ERP資料!$G:$G, (MATCH(188, 輔助計算!$G$2:$G$801, 0)+1))&lt;=31,3,IF(INDEX(ERP資料!$G:$G, (MATCH(188, 輔助計算!$G$2:$G$801, 0)+1))&lt;=46.5,2,1)), IF(INDEX(ERP資料!$G:$G, (MATCH(188, 輔助計算!$G$2:$G$801, 0)+1))&lt;=790,3,IF(INDEX(ERP資料!$G:$G, (MATCH(188, 輔助計算!$G$2:$G$801, 0)+1))&lt;=1181,2,1))))=0,"",IF(MOD(INDEX(輔助計算!$D:$D, (MATCH(188, 輔助計算!$G$2:$G$801, 0)+1)),IF(INDEX(ERP資料!$G:$G, (MATCH(188, 輔助計算!$G$2:$G$801, 0)+1))&lt;100, IF(INDEX(ERP資料!$G:$G, (MATCH(188, 輔助計算!$G$2:$G$801, 0)+1))&lt;=31,3,IF(INDEX(ERP資料!$G:$G, (MATCH(188, 輔助計算!$G$2:$G$801, 0)+1))&lt;=46.5,2,1)), IF(INDEX(ERP資料!$G:$G, (MATCH(188, 輔助計算!$G$2:$G$801, 0)+1))&lt;=790,3,IF(INDEX(ERP資料!$G:$G, (MATCH(188, 輔助計算!$G$2:$G$801, 0)+1))&lt;=1181,2,1))))=0,"",IF(MOD(INDEX(輔助計算!$D:$D, (MATCH(188, 輔助計算!$G$2:$G$801, 0)+1)),IF(INDEX(ERP資料!$G:$G, (MATCH(188, 輔助計算!$G$2:$G$801, 0)+1))&lt;100, IF(INDEX(ERP資料!$G:$G, (MATCH(188, 輔助計算!$G$2:$G$801, 0)+1))&lt;=31,3,IF(INDEX(ERP資料!$G:$G, (MATCH(188, 輔助計算!$G$2:$G$801, 0)+1))&lt;=46.5,2,1)), IF(INDEX(ERP資料!$G:$G, (MATCH(188, 輔助計算!$G$2:$G$801, 0)+1))&lt;=790,3,IF(INDEX(ERP資料!$G:$G, (MATCH(188, 輔助計算!$G$2:$G$801, 0)+1))&lt;=1181,2,1))))=1,TEXT(INDEX(ERP資料!$G:$G, (MATCH(188, 輔助計算!$G$2:$G$801, 0)+1)),"0.##"),IF(MOD(INDEX(輔助計算!$D:$D, (MATCH(188, 輔助計算!$G$2:$G$801, 0)+1)),IF(INDEX(ERP資料!$G:$G, (MATCH(188, 輔助計算!$G$2:$G$801, 0)+1))&lt;100, IF(INDEX(ERP資料!$G:$G, (MATCH(188, 輔助計算!$G$2:$G$801, 0)+1))&lt;=31,3,IF(INDEX(ERP資料!$G:$G, (MATCH(188, 輔助計算!$G$2:$G$801, 0)+1))&lt;=46.5,2,1)), IF(INDEX(ERP資料!$G:$G, (MATCH(188, 輔助計算!$G$2:$G$801, 0)+1))&lt;=790,3,IF(INDEX(ERP資料!$G:$G, (MATCH(188, 輔助計算!$G$2:$G$801, 0)+1))&lt;=1181,2,1))))=2,TEXT(INDEX(ERP資料!$G:$G, (MATCH(188, 輔助計算!$G$2:$G$801, 0)+1)),"0.##")&amp;"+"&amp;TEXT(INDEX(ERP資料!$G:$G, (MATCH(188, 輔助計算!$G$2:$G$801, 0)+1)),"0.##"),TEXT(INDEX(ERP資料!$G:$G, (MATCH(188, 輔助計算!$G$2:$G$801, 0)+1)),"0.##")&amp;"+"&amp;TEXT(INDEX(ERP資料!$G:$G, (MATCH(188, 輔助計算!$G$2:$G$801, 0)+1)),"0.##")&amp;"+"&amp;TEXT(INDEX(ERP資料!$G:$G, (MATCH(188, 輔助計算!$G$2:$G$801, 0)+1)),"0.##"))))&amp;"-1")&lt;&gt;""),"  ","")&amp;IF(MOD(INDEX(輔助計算!$D:$D, (MATCH(188, 輔助計算!$G$2:$G$801, 0)+1)),IF(INDEX(ERP資料!$G:$G, (MATCH(188, 輔助計算!$G$2:$G$801, 0)+1))&lt;100, IF(INDEX(ERP資料!$G:$G, (MATCH(188, 輔助計算!$G$2:$G$801, 0)+1))&lt;=31,3,IF(INDEX(ERP資料!$G:$G, (MATCH(188, 輔助計算!$G$2:$G$801, 0)+1))&lt;=46.5,2,1)), IF(INDEX(ERP資料!$G:$G, (MATCH(188, 輔助計算!$G$2:$G$801, 0)+1))&lt;=790,3,IF(INDEX(ERP資料!$G:$G, (MATCH(188, 輔助計算!$G$2:$G$801, 0)+1))&lt;=1181,2,1))))=0,"",IF(MOD(INDEX(輔助計算!$D:$D, (MATCH(188, 輔助計算!$G$2:$G$801, 0)+1)),IF(INDEX(ERP資料!$G:$G, (MATCH(188, 輔助計算!$G$2:$G$801, 0)+1))&lt;100, IF(INDEX(ERP資料!$G:$G, (MATCH(188, 輔助計算!$G$2:$G$801, 0)+1))&lt;=31,3,IF(INDEX(ERP資料!$G:$G, (MATCH(188, 輔助計算!$G$2:$G$801, 0)+1))&lt;=46.5,2,1)), IF(INDEX(ERP資料!$G:$G, (MATCH(188, 輔助計算!$G$2:$G$801, 0)+1))&lt;=790,3,IF(INDEX(ERP資料!$G:$G, (MATCH(188, 輔助計算!$G$2:$G$801, 0)+1))&lt;=1181,2,1))))=0,"",IF(MOD(INDEX(輔助計算!$D:$D, (MATCH(188, 輔助計算!$G$2:$G$801, 0)+1)),IF(INDEX(ERP資料!$G:$G, (MATCH(188, 輔助計算!$G$2:$G$801, 0)+1))&lt;100, IF(INDEX(ERP資料!$G:$G, (MATCH(188, 輔助計算!$G$2:$G$801, 0)+1))&lt;=31,3,IF(INDEX(ERP資料!$G:$G, (MATCH(188, 輔助計算!$G$2:$G$801, 0)+1))&lt;=46.5,2,1)), IF(INDEX(ERP資料!$G:$G, (MATCH(188, 輔助計算!$G$2:$G$801, 0)+1))&lt;=790,3,IF(INDEX(ERP資料!$G:$G, (MATCH(188, 輔助計算!$G$2:$G$801, 0)+1))&lt;=1181,2,1))))=1,TEXT(INDEX(ERP資料!$G:$G, (MATCH(188, 輔助計算!$G$2:$G$801, 0)+1)),"0.##"),IF(MOD(INDEX(輔助計算!$D:$D, (MATCH(188, 輔助計算!$G$2:$G$801, 0)+1)),IF(INDEX(ERP資料!$G:$G, (MATCH(188, 輔助計算!$G$2:$G$801, 0)+1))&lt;100, IF(INDEX(ERP資料!$G:$G, (MATCH(188, 輔助計算!$G$2:$G$801, 0)+1))&lt;=31,3,IF(INDEX(ERP資料!$G:$G, (MATCH(188, 輔助計算!$G$2:$G$801, 0)+1))&lt;=46.5,2,1)), IF(INDEX(ERP資料!$G:$G, (MATCH(188, 輔助計算!$G$2:$G$801, 0)+1))&lt;=790,3,IF(INDEX(ERP資料!$G:$G, (MATCH(188, 輔助計算!$G$2:$G$801, 0)+1))&lt;=1181,2,1))))=2,TEXT(INDEX(ERP資料!$G:$G, (MATCH(188, 輔助計算!$G$2:$G$801, 0)+1)),"0.##")&amp;"+"&amp;TEXT(INDEX(ERP資料!$G:$G, (MATCH(188, 輔助計算!$G$2:$G$801, 0)+1)),"0.##"),TEXT(INDEX(ERP資料!$G:$G, (MATCH(188, 輔助計算!$G$2:$G$801, 0)+1)),"0.##")&amp;"+"&amp;TEXT(INDEX(ERP資料!$G:$G, (MATCH(188, 輔助計算!$G$2:$G$801, 0)+1)),"0.##")&amp;"+"&amp;TEXT(INDEX(ERP資料!$G:$G, (MATCH(188, 輔助計算!$G$2:$G$801, 0)+1)),"0.##"))))&amp;"-1")), ""), "")</f>
        <v/>
      </c>
      <c r="K189" s="16" t="n"/>
      <c r="L189" s="14">
        <f>IFERROR(IF(AND(IFERROR(INDEX(ERP資料!$A:$A, (MATCH(188, 輔助計算!$G$2:$G$801, 0)+1)), "")&lt;&gt;"", IFERROR(INDEX(ERP資料!$A:$A, (MATCH(188, 輔助計算!$G$2:$G$801, 0)+1)), "")&lt;&gt;IFERROR(INDEX(ERP資料!$A:$A, MATCH(187, 輔助計算!$G$2:$G$801, 0)+1), "")), INDEX(ERP資料!$B:$B, (MATCH(188, 輔助計算!$G$2:$G$801, 0)+1)), ""), "")</f>
        <v/>
      </c>
      <c r="M189" s="17" t="n"/>
    </row>
    <row r="190">
      <c r="A190" s="10">
        <f>IFERROR(IF(AND(IFERROR(INDEX(ERP資料!$A:$A, (MATCH(189, 輔助計算!$G$2:$G$801, 0)+1)), "")&lt;&gt;"", IFERROR(INDEX(ERP資料!$A:$A, (MATCH(189, 輔助計算!$G$2:$G$801, 0)+1)), "")&lt;&gt;IFERROR(INDEX(ERP資料!$A:$A, MATCH(188, 輔助計算!$G$2:$G$801, 0)+1), "")), IFERROR(INDEX(ERP資料!$A:$A, (MATCH(189, 輔助計算!$G$2:$G$801, 0)+1)), ""), ""), "")</f>
        <v/>
      </c>
      <c r="B190" s="10">
        <f>IFERROR(IF(AND(IFERROR(INDEX(ERP資料!$A:$A, (MATCH(189, 輔助計算!$G$2:$G$801, 0)+1)), "")&lt;&gt;"", IFERROR(INDEX(ERP資料!$A:$A, (MATCH(189, 輔助計算!$G$2:$G$801, 0)+1)), "")&lt;&gt;IFERROR(INDEX(ERP資料!$A:$A, MATCH(188, 輔助計算!$G$2:$G$801, 0)+1), "")), INDEX(ERP資料!$S:$S, (MATCH(189, 輔助計算!$G$2:$G$801, 0)+1)), ""), "")</f>
        <v/>
      </c>
      <c r="C190" s="19">
        <f>IFERROR(IF(AND(IFERROR(INDEX(ERP資料!$A:$A, (MATCH(189, 輔助計算!$G$2:$G$801, 0)+1)), "")&lt;&gt;"", IFERROR(INDEX(ERP資料!$A:$A, (MATCH(189, 輔助計算!$G$2:$G$801, 0)+1)), "")&lt;&gt;IFERROR(INDEX(ERP資料!$A:$A, MATCH(188, 輔助計算!$G$2:$G$801, 0)+1), "")), IFERROR(VLOOKUP(LEFT(INDEX(ERP資料!$S:$S, (MATCH(189, 輔助計算!$G$2:$G$801, 0)+1)), 4), 紙管對照表!$A:$C, 3, FALSE), ""), ""), "")</f>
        <v/>
      </c>
      <c r="D190" s="16" t="n"/>
      <c r="E190" s="10">
        <f>IFERROR(IF(INDEX(ERP資料!$H:$H, (MATCH(189, 輔助計算!$G$2:$G$801, 0)+1))="","",INDEX(ERP資料!$H:$H, (MATCH(189, 輔助計算!$G$2:$G$801, 0)+1))), "")</f>
        <v/>
      </c>
      <c r="F190" s="10">
        <f>IFERROR(IF(INDEX(ERP資料!$E:$E, (MATCH(189, 輔助計算!$G$2:$G$801, 0)+1))="","",TRIM(INDEX(ERP資料!$E:$E, (MATCH(189, 輔助計算!$G$2:$G$801, 0)+1)))), "")</f>
        <v/>
      </c>
      <c r="G190" s="10">
        <f>IFERROR(IF(INDEX(ERP資料!$F:$F, (MATCH(189, 輔助計算!$G$2:$G$801, 0)+1))="","",INDEX(ERP資料!$F:$F, (MATCH(189, 輔助計算!$G$2:$G$801, 0)+1))), "")</f>
        <v/>
      </c>
      <c r="H190" s="10">
        <f>IFERROR(IF(INDEX(ERP資料!$G:$G, (MATCH(189, 輔助計算!$G$2:$G$801, 0)+1))="","",INDEX(ERP資料!$G:$G, (MATCH(189, 輔助計算!$G$2:$G$801, 0)+1))), "")</f>
        <v/>
      </c>
      <c r="I190" s="15">
        <f>IFERROR(INDEX(輔助計算!$D:$D, (MATCH(189, 輔助計算!$G$2:$G$801, 0)+1)), "")</f>
        <v/>
      </c>
      <c r="J190" s="15">
        <f>IFERROR(IF(AND(INDEX(輔助計算!$D:$D, (MATCH(189, 輔助計算!$G$2:$G$801, 0)+1))&lt;&gt;"", INDEX(ERP資料!$G:$G, (MATCH(189, 輔助計算!$G$2:$G$801, 0)+1))&lt;&gt;""), TRIM(IF(INT(INDEX(輔助計算!$D:$D, (MATCH(189, 輔助計算!$G$2:$G$801, 0)+1))/IF(INDEX(ERP資料!$G:$G, (MATCH(189, 輔助計算!$G$2:$G$801, 0)+1))&lt;100, IF(INDEX(ERP資料!$G:$G, (MATCH(189, 輔助計算!$G$2:$G$801, 0)+1))&lt;=31,3,IF(INDEX(ERP資料!$G:$G, (MATCH(189, 輔助計算!$G$2:$G$801, 0)+1))&lt;=46.5,2,1)), IF(INDEX(ERP資料!$G:$G, (MATCH(189, 輔助計算!$G$2:$G$801, 0)+1))&lt;=790,3,IF(INDEX(ERP資料!$G:$G, (MATCH(189, 輔助計算!$G$2:$G$801, 0)+1))&lt;=1181,2,1))))&gt;0, IF(IF(INDEX(ERP資料!$G:$G, (MATCH(189, 輔助計算!$G$2:$G$801, 0)+1))&lt;100, IF(INDEX(ERP資料!$G:$G, (MATCH(189, 輔助計算!$G$2:$G$801, 0)+1))&lt;=31,3,IF(INDEX(ERP資料!$G:$G, (MATCH(189, 輔助計算!$G$2:$G$801, 0)+1))&lt;=46.5,2,1)), IF(INDEX(ERP資料!$G:$G, (MATCH(189, 輔助計算!$G$2:$G$801, 0)+1))&lt;=790,3,IF(INDEX(ERP資料!$G:$G, (MATCH(189, 輔助計算!$G$2:$G$801, 0)+1))&lt;=1181,2,1)))=1,TEXT(INDEX(ERP資料!$G:$G, (MATCH(189, 輔助計算!$G$2:$G$801, 0)+1)),"0.##"),IF(IF(INDEX(ERP資料!$G:$G, (MATCH(189, 輔助計算!$G$2:$G$801, 0)+1))&lt;100, IF(INDEX(ERP資料!$G:$G, (MATCH(189, 輔助計算!$G$2:$G$801, 0)+1))&lt;=31,3,IF(INDEX(ERP資料!$G:$G, (MATCH(189, 輔助計算!$G$2:$G$801, 0)+1))&lt;=46.5,2,1)), IF(INDEX(ERP資料!$G:$G, (MATCH(189, 輔助計算!$G$2:$G$801, 0)+1))&lt;=790,3,IF(INDEX(ERP資料!$G:$G, (MATCH(189, 輔助計算!$G$2:$G$801, 0)+1))&lt;=1181,2,1)))=2,TEXT(INDEX(ERP資料!$G:$G, (MATCH(189, 輔助計算!$G$2:$G$801, 0)+1)),"0.##")&amp;"+"&amp;TEXT(INDEX(ERP資料!$G:$G, (MATCH(189, 輔助計算!$G$2:$G$801, 0)+1)),"0.##"),TEXT(INDEX(ERP資料!$G:$G, (MATCH(189, 輔助計算!$G$2:$G$801, 0)+1)),"0.##")&amp;"+"&amp;TEXT(INDEX(ERP資料!$G:$G, (MATCH(189, 輔助計算!$G$2:$G$801, 0)+1)),"0.##")&amp;"+"&amp;TEXT(INDEX(ERP資料!$G:$G, (MATCH(189, 輔助計算!$G$2:$G$801, 0)+1)),"0.##")))&amp;"-"&amp;INT(INDEX(輔助計算!$D:$D, (MATCH(189, 輔助計算!$G$2:$G$801, 0)+1))/IF(INDEX(ERP資料!$G:$G, (MATCH(189, 輔助計算!$G$2:$G$801, 0)+1))&lt;100, IF(INDEX(ERP資料!$G:$G, (MATCH(189, 輔助計算!$G$2:$G$801, 0)+1))&lt;=31,3,IF(INDEX(ERP資料!$G:$G, (MATCH(189, 輔助計算!$G$2:$G$801, 0)+1))&lt;=46.5,2,1)), IF(INDEX(ERP資料!$G:$G, (MATCH(189, 輔助計算!$G$2:$G$801, 0)+1))&lt;=790,3,IF(INDEX(ERP資料!$G:$G, (MATCH(189, 輔助計算!$G$2:$G$801, 0)+1))&lt;=1181,2,1)))), "")&amp;IF(AND(IF(INT(INDEX(輔助計算!$D:$D, (MATCH(189, 輔助計算!$G$2:$G$801, 0)+1))/IF(INDEX(ERP資料!$G:$G, (MATCH(189, 輔助計算!$G$2:$G$801, 0)+1))&lt;100, IF(INDEX(ERP資料!$G:$G, (MATCH(189, 輔助計算!$G$2:$G$801, 0)+1))&lt;=31,3,IF(INDEX(ERP資料!$G:$G, (MATCH(189, 輔助計算!$G$2:$G$801, 0)+1))&lt;=46.5,2,1)), IF(INDEX(ERP資料!$G:$G, (MATCH(189, 輔助計算!$G$2:$G$801, 0)+1))&lt;=790,3,IF(INDEX(ERP資料!$G:$G, (MATCH(189, 輔助計算!$G$2:$G$801, 0)+1))&lt;=1181,2,1))))&gt;0, IF(IF(INDEX(ERP資料!$G:$G, (MATCH(189, 輔助計算!$G$2:$G$801, 0)+1))&lt;100, IF(INDEX(ERP資料!$G:$G, (MATCH(189, 輔助計算!$G$2:$G$801, 0)+1))&lt;=31,3,IF(INDEX(ERP資料!$G:$G, (MATCH(189, 輔助計算!$G$2:$G$801, 0)+1))&lt;=46.5,2,1)), IF(INDEX(ERP資料!$G:$G, (MATCH(189, 輔助計算!$G$2:$G$801, 0)+1))&lt;=790,3,IF(INDEX(ERP資料!$G:$G, (MATCH(189, 輔助計算!$G$2:$G$801, 0)+1))&lt;=1181,2,1)))=1,TEXT(INDEX(ERP資料!$G:$G, (MATCH(189, 輔助計算!$G$2:$G$801, 0)+1)),"0.##"),IF(IF(INDEX(ERP資料!$G:$G, (MATCH(189, 輔助計算!$G$2:$G$801, 0)+1))&lt;100, IF(INDEX(ERP資料!$G:$G, (MATCH(189, 輔助計算!$G$2:$G$801, 0)+1))&lt;=31,3,IF(INDEX(ERP資料!$G:$G, (MATCH(189, 輔助計算!$G$2:$G$801, 0)+1))&lt;=46.5,2,1)), IF(INDEX(ERP資料!$G:$G, (MATCH(189, 輔助計算!$G$2:$G$801, 0)+1))&lt;=790,3,IF(INDEX(ERP資料!$G:$G, (MATCH(189, 輔助計算!$G$2:$G$801, 0)+1))&lt;=1181,2,1)))=2,TEXT(INDEX(ERP資料!$G:$G, (MATCH(189, 輔助計算!$G$2:$G$801, 0)+1)),"0.##")&amp;"+"&amp;TEXT(INDEX(ERP資料!$G:$G, (MATCH(189, 輔助計算!$G$2:$G$801, 0)+1)),"0.##"),TEXT(INDEX(ERP資料!$G:$G, (MATCH(189, 輔助計算!$G$2:$G$801, 0)+1)),"0.##")&amp;"+"&amp;TEXT(INDEX(ERP資料!$G:$G, (MATCH(189, 輔助計算!$G$2:$G$801, 0)+1)),"0.##")&amp;"+"&amp;TEXT(INDEX(ERP資料!$G:$G, (MATCH(189, 輔助計算!$G$2:$G$801, 0)+1)),"0.##")))&amp;"-"&amp;INT(INDEX(輔助計算!$D:$D, (MATCH(189, 輔助計算!$G$2:$G$801, 0)+1))/IF(INDEX(ERP資料!$G:$G, (MATCH(189, 輔助計算!$G$2:$G$801, 0)+1))&lt;100, IF(INDEX(ERP資料!$G:$G, (MATCH(189, 輔助計算!$G$2:$G$801, 0)+1))&lt;=31,3,IF(INDEX(ERP資料!$G:$G, (MATCH(189, 輔助計算!$G$2:$G$801, 0)+1))&lt;=46.5,2,1)), IF(INDEX(ERP資料!$G:$G, (MATCH(189, 輔助計算!$G$2:$G$801, 0)+1))&lt;=790,3,IF(INDEX(ERP資料!$G:$G, (MATCH(189, 輔助計算!$G$2:$G$801, 0)+1))&lt;=1181,2,1)))), "")&lt;&gt;"",IF(MOD(INDEX(輔助計算!$D:$D, (MATCH(189, 輔助計算!$G$2:$G$801, 0)+1)),IF(INDEX(ERP資料!$G:$G, (MATCH(189, 輔助計算!$G$2:$G$801, 0)+1))&lt;100, IF(INDEX(ERP資料!$G:$G, (MATCH(189, 輔助計算!$G$2:$G$801, 0)+1))&lt;=31,3,IF(INDEX(ERP資料!$G:$G, (MATCH(189, 輔助計算!$G$2:$G$801, 0)+1))&lt;=46.5,2,1)), IF(INDEX(ERP資料!$G:$G, (MATCH(189, 輔助計算!$G$2:$G$801, 0)+1))&lt;=790,3,IF(INDEX(ERP資料!$G:$G, (MATCH(189, 輔助計算!$G$2:$G$801, 0)+1))&lt;=1181,2,1))))=0,"",IF(MOD(INDEX(輔助計算!$D:$D, (MATCH(189, 輔助計算!$G$2:$G$801, 0)+1)),IF(INDEX(ERP資料!$G:$G, (MATCH(189, 輔助計算!$G$2:$G$801, 0)+1))&lt;100, IF(INDEX(ERP資料!$G:$G, (MATCH(189, 輔助計算!$G$2:$G$801, 0)+1))&lt;=31,3,IF(INDEX(ERP資料!$G:$G, (MATCH(189, 輔助計算!$G$2:$G$801, 0)+1))&lt;=46.5,2,1)), IF(INDEX(ERP資料!$G:$G, (MATCH(189, 輔助計算!$G$2:$G$801, 0)+1))&lt;=790,3,IF(INDEX(ERP資料!$G:$G, (MATCH(189, 輔助計算!$G$2:$G$801, 0)+1))&lt;=1181,2,1))))=0,"",IF(MOD(INDEX(輔助計算!$D:$D, (MATCH(189, 輔助計算!$G$2:$G$801, 0)+1)),IF(INDEX(ERP資料!$G:$G, (MATCH(189, 輔助計算!$G$2:$G$801, 0)+1))&lt;100, IF(INDEX(ERP資料!$G:$G, (MATCH(189, 輔助計算!$G$2:$G$801, 0)+1))&lt;=31,3,IF(INDEX(ERP資料!$G:$G, (MATCH(189, 輔助計算!$G$2:$G$801, 0)+1))&lt;=46.5,2,1)), IF(INDEX(ERP資料!$G:$G, (MATCH(189, 輔助計算!$G$2:$G$801, 0)+1))&lt;=790,3,IF(INDEX(ERP資料!$G:$G, (MATCH(189, 輔助計算!$G$2:$G$801, 0)+1))&lt;=1181,2,1))))=1,TEXT(INDEX(ERP資料!$G:$G, (MATCH(189, 輔助計算!$G$2:$G$801, 0)+1)),"0.##"),IF(MOD(INDEX(輔助計算!$D:$D, (MATCH(189, 輔助計算!$G$2:$G$801, 0)+1)),IF(INDEX(ERP資料!$G:$G, (MATCH(189, 輔助計算!$G$2:$G$801, 0)+1))&lt;100, IF(INDEX(ERP資料!$G:$G, (MATCH(189, 輔助計算!$G$2:$G$801, 0)+1))&lt;=31,3,IF(INDEX(ERP資料!$G:$G, (MATCH(189, 輔助計算!$G$2:$G$801, 0)+1))&lt;=46.5,2,1)), IF(INDEX(ERP資料!$G:$G, (MATCH(189, 輔助計算!$G$2:$G$801, 0)+1))&lt;=790,3,IF(INDEX(ERP資料!$G:$G, (MATCH(189, 輔助計算!$G$2:$G$801, 0)+1))&lt;=1181,2,1))))=2,TEXT(INDEX(ERP資料!$G:$G, (MATCH(189, 輔助計算!$G$2:$G$801, 0)+1)),"0.##")&amp;"+"&amp;TEXT(INDEX(ERP資料!$G:$G, (MATCH(189, 輔助計算!$G$2:$G$801, 0)+1)),"0.##"),TEXT(INDEX(ERP資料!$G:$G, (MATCH(189, 輔助計算!$G$2:$G$801, 0)+1)),"0.##")&amp;"+"&amp;TEXT(INDEX(ERP資料!$G:$G, (MATCH(189, 輔助計算!$G$2:$G$801, 0)+1)),"0.##")&amp;"+"&amp;TEXT(INDEX(ERP資料!$G:$G, (MATCH(189, 輔助計算!$G$2:$G$801, 0)+1)),"0.##"))))&amp;"-1")&lt;&gt;""),"  ","")&amp;IF(MOD(INDEX(輔助計算!$D:$D, (MATCH(189, 輔助計算!$G$2:$G$801, 0)+1)),IF(INDEX(ERP資料!$G:$G, (MATCH(189, 輔助計算!$G$2:$G$801, 0)+1))&lt;100, IF(INDEX(ERP資料!$G:$G, (MATCH(189, 輔助計算!$G$2:$G$801, 0)+1))&lt;=31,3,IF(INDEX(ERP資料!$G:$G, (MATCH(189, 輔助計算!$G$2:$G$801, 0)+1))&lt;=46.5,2,1)), IF(INDEX(ERP資料!$G:$G, (MATCH(189, 輔助計算!$G$2:$G$801, 0)+1))&lt;=790,3,IF(INDEX(ERP資料!$G:$G, (MATCH(189, 輔助計算!$G$2:$G$801, 0)+1))&lt;=1181,2,1))))=0,"",IF(MOD(INDEX(輔助計算!$D:$D, (MATCH(189, 輔助計算!$G$2:$G$801, 0)+1)),IF(INDEX(ERP資料!$G:$G, (MATCH(189, 輔助計算!$G$2:$G$801, 0)+1))&lt;100, IF(INDEX(ERP資料!$G:$G, (MATCH(189, 輔助計算!$G$2:$G$801, 0)+1))&lt;=31,3,IF(INDEX(ERP資料!$G:$G, (MATCH(189, 輔助計算!$G$2:$G$801, 0)+1))&lt;=46.5,2,1)), IF(INDEX(ERP資料!$G:$G, (MATCH(189, 輔助計算!$G$2:$G$801, 0)+1))&lt;=790,3,IF(INDEX(ERP資料!$G:$G, (MATCH(189, 輔助計算!$G$2:$G$801, 0)+1))&lt;=1181,2,1))))=0,"",IF(MOD(INDEX(輔助計算!$D:$D, (MATCH(189, 輔助計算!$G$2:$G$801, 0)+1)),IF(INDEX(ERP資料!$G:$G, (MATCH(189, 輔助計算!$G$2:$G$801, 0)+1))&lt;100, IF(INDEX(ERP資料!$G:$G, (MATCH(189, 輔助計算!$G$2:$G$801, 0)+1))&lt;=31,3,IF(INDEX(ERP資料!$G:$G, (MATCH(189, 輔助計算!$G$2:$G$801, 0)+1))&lt;=46.5,2,1)), IF(INDEX(ERP資料!$G:$G, (MATCH(189, 輔助計算!$G$2:$G$801, 0)+1))&lt;=790,3,IF(INDEX(ERP資料!$G:$G, (MATCH(189, 輔助計算!$G$2:$G$801, 0)+1))&lt;=1181,2,1))))=1,TEXT(INDEX(ERP資料!$G:$G, (MATCH(189, 輔助計算!$G$2:$G$801, 0)+1)),"0.##"),IF(MOD(INDEX(輔助計算!$D:$D, (MATCH(189, 輔助計算!$G$2:$G$801, 0)+1)),IF(INDEX(ERP資料!$G:$G, (MATCH(189, 輔助計算!$G$2:$G$801, 0)+1))&lt;100, IF(INDEX(ERP資料!$G:$G, (MATCH(189, 輔助計算!$G$2:$G$801, 0)+1))&lt;=31,3,IF(INDEX(ERP資料!$G:$G, (MATCH(189, 輔助計算!$G$2:$G$801, 0)+1))&lt;=46.5,2,1)), IF(INDEX(ERP資料!$G:$G, (MATCH(189, 輔助計算!$G$2:$G$801, 0)+1))&lt;=790,3,IF(INDEX(ERP資料!$G:$G, (MATCH(189, 輔助計算!$G$2:$G$801, 0)+1))&lt;=1181,2,1))))=2,TEXT(INDEX(ERP資料!$G:$G, (MATCH(189, 輔助計算!$G$2:$G$801, 0)+1)),"0.##")&amp;"+"&amp;TEXT(INDEX(ERP資料!$G:$G, (MATCH(189, 輔助計算!$G$2:$G$801, 0)+1)),"0.##"),TEXT(INDEX(ERP資料!$G:$G, (MATCH(189, 輔助計算!$G$2:$G$801, 0)+1)),"0.##")&amp;"+"&amp;TEXT(INDEX(ERP資料!$G:$G, (MATCH(189, 輔助計算!$G$2:$G$801, 0)+1)),"0.##")&amp;"+"&amp;TEXT(INDEX(ERP資料!$G:$G, (MATCH(189, 輔助計算!$G$2:$G$801, 0)+1)),"0.##"))))&amp;"-1")), ""), "")</f>
        <v/>
      </c>
      <c r="K190" s="16" t="n"/>
      <c r="L190" s="14">
        <f>IFERROR(IF(AND(IFERROR(INDEX(ERP資料!$A:$A, (MATCH(189, 輔助計算!$G$2:$G$801, 0)+1)), "")&lt;&gt;"", IFERROR(INDEX(ERP資料!$A:$A, (MATCH(189, 輔助計算!$G$2:$G$801, 0)+1)), "")&lt;&gt;IFERROR(INDEX(ERP資料!$A:$A, MATCH(188, 輔助計算!$G$2:$G$801, 0)+1), "")), INDEX(ERP資料!$B:$B, (MATCH(189, 輔助計算!$G$2:$G$801, 0)+1)), ""), "")</f>
        <v/>
      </c>
      <c r="M190" s="17" t="n"/>
    </row>
    <row r="191">
      <c r="A191" s="10">
        <f>IFERROR(IF(AND(IFERROR(INDEX(ERP資料!$A:$A, (MATCH(190, 輔助計算!$G$2:$G$801, 0)+1)), "")&lt;&gt;"", IFERROR(INDEX(ERP資料!$A:$A, (MATCH(190, 輔助計算!$G$2:$G$801, 0)+1)), "")&lt;&gt;IFERROR(INDEX(ERP資料!$A:$A, MATCH(189, 輔助計算!$G$2:$G$801, 0)+1), "")), IFERROR(INDEX(ERP資料!$A:$A, (MATCH(190, 輔助計算!$G$2:$G$801, 0)+1)), ""), ""), "")</f>
        <v/>
      </c>
      <c r="B191" s="10">
        <f>IFERROR(IF(AND(IFERROR(INDEX(ERP資料!$A:$A, (MATCH(190, 輔助計算!$G$2:$G$801, 0)+1)), "")&lt;&gt;"", IFERROR(INDEX(ERP資料!$A:$A, (MATCH(190, 輔助計算!$G$2:$G$801, 0)+1)), "")&lt;&gt;IFERROR(INDEX(ERP資料!$A:$A, MATCH(189, 輔助計算!$G$2:$G$801, 0)+1), "")), INDEX(ERP資料!$S:$S, (MATCH(190, 輔助計算!$G$2:$G$801, 0)+1)), ""), "")</f>
        <v/>
      </c>
      <c r="C191" s="19">
        <f>IFERROR(IF(AND(IFERROR(INDEX(ERP資料!$A:$A, (MATCH(190, 輔助計算!$G$2:$G$801, 0)+1)), "")&lt;&gt;"", IFERROR(INDEX(ERP資料!$A:$A, (MATCH(190, 輔助計算!$G$2:$G$801, 0)+1)), "")&lt;&gt;IFERROR(INDEX(ERP資料!$A:$A, MATCH(189, 輔助計算!$G$2:$G$801, 0)+1), "")), IFERROR(VLOOKUP(LEFT(INDEX(ERP資料!$S:$S, (MATCH(190, 輔助計算!$G$2:$G$801, 0)+1)), 4), 紙管對照表!$A:$C, 3, FALSE), ""), ""), "")</f>
        <v/>
      </c>
      <c r="D191" s="16" t="n"/>
      <c r="E191" s="10">
        <f>IFERROR(IF(INDEX(ERP資料!$H:$H, (MATCH(190, 輔助計算!$G$2:$G$801, 0)+1))="","",INDEX(ERP資料!$H:$H, (MATCH(190, 輔助計算!$G$2:$G$801, 0)+1))), "")</f>
        <v/>
      </c>
      <c r="F191" s="10">
        <f>IFERROR(IF(INDEX(ERP資料!$E:$E, (MATCH(190, 輔助計算!$G$2:$G$801, 0)+1))="","",TRIM(INDEX(ERP資料!$E:$E, (MATCH(190, 輔助計算!$G$2:$G$801, 0)+1)))), "")</f>
        <v/>
      </c>
      <c r="G191" s="10">
        <f>IFERROR(IF(INDEX(ERP資料!$F:$F, (MATCH(190, 輔助計算!$G$2:$G$801, 0)+1))="","",INDEX(ERP資料!$F:$F, (MATCH(190, 輔助計算!$G$2:$G$801, 0)+1))), "")</f>
        <v/>
      </c>
      <c r="H191" s="10">
        <f>IFERROR(IF(INDEX(ERP資料!$G:$G, (MATCH(190, 輔助計算!$G$2:$G$801, 0)+1))="","",INDEX(ERP資料!$G:$G, (MATCH(190, 輔助計算!$G$2:$G$801, 0)+1))), "")</f>
        <v/>
      </c>
      <c r="I191" s="15">
        <f>IFERROR(INDEX(輔助計算!$D:$D, (MATCH(190, 輔助計算!$G$2:$G$801, 0)+1)), "")</f>
        <v/>
      </c>
      <c r="J191" s="15">
        <f>IFERROR(IF(AND(INDEX(輔助計算!$D:$D, (MATCH(190, 輔助計算!$G$2:$G$801, 0)+1))&lt;&gt;"", INDEX(ERP資料!$G:$G, (MATCH(190, 輔助計算!$G$2:$G$801, 0)+1))&lt;&gt;""), TRIM(IF(INT(INDEX(輔助計算!$D:$D, (MATCH(190, 輔助計算!$G$2:$G$801, 0)+1))/IF(INDEX(ERP資料!$G:$G, (MATCH(190, 輔助計算!$G$2:$G$801, 0)+1))&lt;100, IF(INDEX(ERP資料!$G:$G, (MATCH(190, 輔助計算!$G$2:$G$801, 0)+1))&lt;=31,3,IF(INDEX(ERP資料!$G:$G, (MATCH(190, 輔助計算!$G$2:$G$801, 0)+1))&lt;=46.5,2,1)), IF(INDEX(ERP資料!$G:$G, (MATCH(190, 輔助計算!$G$2:$G$801, 0)+1))&lt;=790,3,IF(INDEX(ERP資料!$G:$G, (MATCH(190, 輔助計算!$G$2:$G$801, 0)+1))&lt;=1181,2,1))))&gt;0, IF(IF(INDEX(ERP資料!$G:$G, (MATCH(190, 輔助計算!$G$2:$G$801, 0)+1))&lt;100, IF(INDEX(ERP資料!$G:$G, (MATCH(190, 輔助計算!$G$2:$G$801, 0)+1))&lt;=31,3,IF(INDEX(ERP資料!$G:$G, (MATCH(190, 輔助計算!$G$2:$G$801, 0)+1))&lt;=46.5,2,1)), IF(INDEX(ERP資料!$G:$G, (MATCH(190, 輔助計算!$G$2:$G$801, 0)+1))&lt;=790,3,IF(INDEX(ERP資料!$G:$G, (MATCH(190, 輔助計算!$G$2:$G$801, 0)+1))&lt;=1181,2,1)))=1,TEXT(INDEX(ERP資料!$G:$G, (MATCH(190, 輔助計算!$G$2:$G$801, 0)+1)),"0.##"),IF(IF(INDEX(ERP資料!$G:$G, (MATCH(190, 輔助計算!$G$2:$G$801, 0)+1))&lt;100, IF(INDEX(ERP資料!$G:$G, (MATCH(190, 輔助計算!$G$2:$G$801, 0)+1))&lt;=31,3,IF(INDEX(ERP資料!$G:$G, (MATCH(190, 輔助計算!$G$2:$G$801, 0)+1))&lt;=46.5,2,1)), IF(INDEX(ERP資料!$G:$G, (MATCH(190, 輔助計算!$G$2:$G$801, 0)+1))&lt;=790,3,IF(INDEX(ERP資料!$G:$G, (MATCH(190, 輔助計算!$G$2:$G$801, 0)+1))&lt;=1181,2,1)))=2,TEXT(INDEX(ERP資料!$G:$G, (MATCH(190, 輔助計算!$G$2:$G$801, 0)+1)),"0.##")&amp;"+"&amp;TEXT(INDEX(ERP資料!$G:$G, (MATCH(190, 輔助計算!$G$2:$G$801, 0)+1)),"0.##"),TEXT(INDEX(ERP資料!$G:$G, (MATCH(190, 輔助計算!$G$2:$G$801, 0)+1)),"0.##")&amp;"+"&amp;TEXT(INDEX(ERP資料!$G:$G, (MATCH(190, 輔助計算!$G$2:$G$801, 0)+1)),"0.##")&amp;"+"&amp;TEXT(INDEX(ERP資料!$G:$G, (MATCH(190, 輔助計算!$G$2:$G$801, 0)+1)),"0.##")))&amp;"-"&amp;INT(INDEX(輔助計算!$D:$D, (MATCH(190, 輔助計算!$G$2:$G$801, 0)+1))/IF(INDEX(ERP資料!$G:$G, (MATCH(190, 輔助計算!$G$2:$G$801, 0)+1))&lt;100, IF(INDEX(ERP資料!$G:$G, (MATCH(190, 輔助計算!$G$2:$G$801, 0)+1))&lt;=31,3,IF(INDEX(ERP資料!$G:$G, (MATCH(190, 輔助計算!$G$2:$G$801, 0)+1))&lt;=46.5,2,1)), IF(INDEX(ERP資料!$G:$G, (MATCH(190, 輔助計算!$G$2:$G$801, 0)+1))&lt;=790,3,IF(INDEX(ERP資料!$G:$G, (MATCH(190, 輔助計算!$G$2:$G$801, 0)+1))&lt;=1181,2,1)))), "")&amp;IF(AND(IF(INT(INDEX(輔助計算!$D:$D, (MATCH(190, 輔助計算!$G$2:$G$801, 0)+1))/IF(INDEX(ERP資料!$G:$G, (MATCH(190, 輔助計算!$G$2:$G$801, 0)+1))&lt;100, IF(INDEX(ERP資料!$G:$G, (MATCH(190, 輔助計算!$G$2:$G$801, 0)+1))&lt;=31,3,IF(INDEX(ERP資料!$G:$G, (MATCH(190, 輔助計算!$G$2:$G$801, 0)+1))&lt;=46.5,2,1)), IF(INDEX(ERP資料!$G:$G, (MATCH(190, 輔助計算!$G$2:$G$801, 0)+1))&lt;=790,3,IF(INDEX(ERP資料!$G:$G, (MATCH(190, 輔助計算!$G$2:$G$801, 0)+1))&lt;=1181,2,1))))&gt;0, IF(IF(INDEX(ERP資料!$G:$G, (MATCH(190, 輔助計算!$G$2:$G$801, 0)+1))&lt;100, IF(INDEX(ERP資料!$G:$G, (MATCH(190, 輔助計算!$G$2:$G$801, 0)+1))&lt;=31,3,IF(INDEX(ERP資料!$G:$G, (MATCH(190, 輔助計算!$G$2:$G$801, 0)+1))&lt;=46.5,2,1)), IF(INDEX(ERP資料!$G:$G, (MATCH(190, 輔助計算!$G$2:$G$801, 0)+1))&lt;=790,3,IF(INDEX(ERP資料!$G:$G, (MATCH(190, 輔助計算!$G$2:$G$801, 0)+1))&lt;=1181,2,1)))=1,TEXT(INDEX(ERP資料!$G:$G, (MATCH(190, 輔助計算!$G$2:$G$801, 0)+1)),"0.##"),IF(IF(INDEX(ERP資料!$G:$G, (MATCH(190, 輔助計算!$G$2:$G$801, 0)+1))&lt;100, IF(INDEX(ERP資料!$G:$G, (MATCH(190, 輔助計算!$G$2:$G$801, 0)+1))&lt;=31,3,IF(INDEX(ERP資料!$G:$G, (MATCH(190, 輔助計算!$G$2:$G$801, 0)+1))&lt;=46.5,2,1)), IF(INDEX(ERP資料!$G:$G, (MATCH(190, 輔助計算!$G$2:$G$801, 0)+1))&lt;=790,3,IF(INDEX(ERP資料!$G:$G, (MATCH(190, 輔助計算!$G$2:$G$801, 0)+1))&lt;=1181,2,1)))=2,TEXT(INDEX(ERP資料!$G:$G, (MATCH(190, 輔助計算!$G$2:$G$801, 0)+1)),"0.##")&amp;"+"&amp;TEXT(INDEX(ERP資料!$G:$G, (MATCH(190, 輔助計算!$G$2:$G$801, 0)+1)),"0.##"),TEXT(INDEX(ERP資料!$G:$G, (MATCH(190, 輔助計算!$G$2:$G$801, 0)+1)),"0.##")&amp;"+"&amp;TEXT(INDEX(ERP資料!$G:$G, (MATCH(190, 輔助計算!$G$2:$G$801, 0)+1)),"0.##")&amp;"+"&amp;TEXT(INDEX(ERP資料!$G:$G, (MATCH(190, 輔助計算!$G$2:$G$801, 0)+1)),"0.##")))&amp;"-"&amp;INT(INDEX(輔助計算!$D:$D, (MATCH(190, 輔助計算!$G$2:$G$801, 0)+1))/IF(INDEX(ERP資料!$G:$G, (MATCH(190, 輔助計算!$G$2:$G$801, 0)+1))&lt;100, IF(INDEX(ERP資料!$G:$G, (MATCH(190, 輔助計算!$G$2:$G$801, 0)+1))&lt;=31,3,IF(INDEX(ERP資料!$G:$G, (MATCH(190, 輔助計算!$G$2:$G$801, 0)+1))&lt;=46.5,2,1)), IF(INDEX(ERP資料!$G:$G, (MATCH(190, 輔助計算!$G$2:$G$801, 0)+1))&lt;=790,3,IF(INDEX(ERP資料!$G:$G, (MATCH(190, 輔助計算!$G$2:$G$801, 0)+1))&lt;=1181,2,1)))), "")&lt;&gt;"",IF(MOD(INDEX(輔助計算!$D:$D, (MATCH(190, 輔助計算!$G$2:$G$801, 0)+1)),IF(INDEX(ERP資料!$G:$G, (MATCH(190, 輔助計算!$G$2:$G$801, 0)+1))&lt;100, IF(INDEX(ERP資料!$G:$G, (MATCH(190, 輔助計算!$G$2:$G$801, 0)+1))&lt;=31,3,IF(INDEX(ERP資料!$G:$G, (MATCH(190, 輔助計算!$G$2:$G$801, 0)+1))&lt;=46.5,2,1)), IF(INDEX(ERP資料!$G:$G, (MATCH(190, 輔助計算!$G$2:$G$801, 0)+1))&lt;=790,3,IF(INDEX(ERP資料!$G:$G, (MATCH(190, 輔助計算!$G$2:$G$801, 0)+1))&lt;=1181,2,1))))=0,"",IF(MOD(INDEX(輔助計算!$D:$D, (MATCH(190, 輔助計算!$G$2:$G$801, 0)+1)),IF(INDEX(ERP資料!$G:$G, (MATCH(190, 輔助計算!$G$2:$G$801, 0)+1))&lt;100, IF(INDEX(ERP資料!$G:$G, (MATCH(190, 輔助計算!$G$2:$G$801, 0)+1))&lt;=31,3,IF(INDEX(ERP資料!$G:$G, (MATCH(190, 輔助計算!$G$2:$G$801, 0)+1))&lt;=46.5,2,1)), IF(INDEX(ERP資料!$G:$G, (MATCH(190, 輔助計算!$G$2:$G$801, 0)+1))&lt;=790,3,IF(INDEX(ERP資料!$G:$G, (MATCH(190, 輔助計算!$G$2:$G$801, 0)+1))&lt;=1181,2,1))))=0,"",IF(MOD(INDEX(輔助計算!$D:$D, (MATCH(190, 輔助計算!$G$2:$G$801, 0)+1)),IF(INDEX(ERP資料!$G:$G, (MATCH(190, 輔助計算!$G$2:$G$801, 0)+1))&lt;100, IF(INDEX(ERP資料!$G:$G, (MATCH(190, 輔助計算!$G$2:$G$801, 0)+1))&lt;=31,3,IF(INDEX(ERP資料!$G:$G, (MATCH(190, 輔助計算!$G$2:$G$801, 0)+1))&lt;=46.5,2,1)), IF(INDEX(ERP資料!$G:$G, (MATCH(190, 輔助計算!$G$2:$G$801, 0)+1))&lt;=790,3,IF(INDEX(ERP資料!$G:$G, (MATCH(190, 輔助計算!$G$2:$G$801, 0)+1))&lt;=1181,2,1))))=1,TEXT(INDEX(ERP資料!$G:$G, (MATCH(190, 輔助計算!$G$2:$G$801, 0)+1)),"0.##"),IF(MOD(INDEX(輔助計算!$D:$D, (MATCH(190, 輔助計算!$G$2:$G$801, 0)+1)),IF(INDEX(ERP資料!$G:$G, (MATCH(190, 輔助計算!$G$2:$G$801, 0)+1))&lt;100, IF(INDEX(ERP資料!$G:$G, (MATCH(190, 輔助計算!$G$2:$G$801, 0)+1))&lt;=31,3,IF(INDEX(ERP資料!$G:$G, (MATCH(190, 輔助計算!$G$2:$G$801, 0)+1))&lt;=46.5,2,1)), IF(INDEX(ERP資料!$G:$G, (MATCH(190, 輔助計算!$G$2:$G$801, 0)+1))&lt;=790,3,IF(INDEX(ERP資料!$G:$G, (MATCH(190, 輔助計算!$G$2:$G$801, 0)+1))&lt;=1181,2,1))))=2,TEXT(INDEX(ERP資料!$G:$G, (MATCH(190, 輔助計算!$G$2:$G$801, 0)+1)),"0.##")&amp;"+"&amp;TEXT(INDEX(ERP資料!$G:$G, (MATCH(190, 輔助計算!$G$2:$G$801, 0)+1)),"0.##"),TEXT(INDEX(ERP資料!$G:$G, (MATCH(190, 輔助計算!$G$2:$G$801, 0)+1)),"0.##")&amp;"+"&amp;TEXT(INDEX(ERP資料!$G:$G, (MATCH(190, 輔助計算!$G$2:$G$801, 0)+1)),"0.##")&amp;"+"&amp;TEXT(INDEX(ERP資料!$G:$G, (MATCH(190, 輔助計算!$G$2:$G$801, 0)+1)),"0.##"))))&amp;"-1")&lt;&gt;""),"  ","")&amp;IF(MOD(INDEX(輔助計算!$D:$D, (MATCH(190, 輔助計算!$G$2:$G$801, 0)+1)),IF(INDEX(ERP資料!$G:$G, (MATCH(190, 輔助計算!$G$2:$G$801, 0)+1))&lt;100, IF(INDEX(ERP資料!$G:$G, (MATCH(190, 輔助計算!$G$2:$G$801, 0)+1))&lt;=31,3,IF(INDEX(ERP資料!$G:$G, (MATCH(190, 輔助計算!$G$2:$G$801, 0)+1))&lt;=46.5,2,1)), IF(INDEX(ERP資料!$G:$G, (MATCH(190, 輔助計算!$G$2:$G$801, 0)+1))&lt;=790,3,IF(INDEX(ERP資料!$G:$G, (MATCH(190, 輔助計算!$G$2:$G$801, 0)+1))&lt;=1181,2,1))))=0,"",IF(MOD(INDEX(輔助計算!$D:$D, (MATCH(190, 輔助計算!$G$2:$G$801, 0)+1)),IF(INDEX(ERP資料!$G:$G, (MATCH(190, 輔助計算!$G$2:$G$801, 0)+1))&lt;100, IF(INDEX(ERP資料!$G:$G, (MATCH(190, 輔助計算!$G$2:$G$801, 0)+1))&lt;=31,3,IF(INDEX(ERP資料!$G:$G, (MATCH(190, 輔助計算!$G$2:$G$801, 0)+1))&lt;=46.5,2,1)), IF(INDEX(ERP資料!$G:$G, (MATCH(190, 輔助計算!$G$2:$G$801, 0)+1))&lt;=790,3,IF(INDEX(ERP資料!$G:$G, (MATCH(190, 輔助計算!$G$2:$G$801, 0)+1))&lt;=1181,2,1))))=0,"",IF(MOD(INDEX(輔助計算!$D:$D, (MATCH(190, 輔助計算!$G$2:$G$801, 0)+1)),IF(INDEX(ERP資料!$G:$G, (MATCH(190, 輔助計算!$G$2:$G$801, 0)+1))&lt;100, IF(INDEX(ERP資料!$G:$G, (MATCH(190, 輔助計算!$G$2:$G$801, 0)+1))&lt;=31,3,IF(INDEX(ERP資料!$G:$G, (MATCH(190, 輔助計算!$G$2:$G$801, 0)+1))&lt;=46.5,2,1)), IF(INDEX(ERP資料!$G:$G, (MATCH(190, 輔助計算!$G$2:$G$801, 0)+1))&lt;=790,3,IF(INDEX(ERP資料!$G:$G, (MATCH(190, 輔助計算!$G$2:$G$801, 0)+1))&lt;=1181,2,1))))=1,TEXT(INDEX(ERP資料!$G:$G, (MATCH(190, 輔助計算!$G$2:$G$801, 0)+1)),"0.##"),IF(MOD(INDEX(輔助計算!$D:$D, (MATCH(190, 輔助計算!$G$2:$G$801, 0)+1)),IF(INDEX(ERP資料!$G:$G, (MATCH(190, 輔助計算!$G$2:$G$801, 0)+1))&lt;100, IF(INDEX(ERP資料!$G:$G, (MATCH(190, 輔助計算!$G$2:$G$801, 0)+1))&lt;=31,3,IF(INDEX(ERP資料!$G:$G, (MATCH(190, 輔助計算!$G$2:$G$801, 0)+1))&lt;=46.5,2,1)), IF(INDEX(ERP資料!$G:$G, (MATCH(190, 輔助計算!$G$2:$G$801, 0)+1))&lt;=790,3,IF(INDEX(ERP資料!$G:$G, (MATCH(190, 輔助計算!$G$2:$G$801, 0)+1))&lt;=1181,2,1))))=2,TEXT(INDEX(ERP資料!$G:$G, (MATCH(190, 輔助計算!$G$2:$G$801, 0)+1)),"0.##")&amp;"+"&amp;TEXT(INDEX(ERP資料!$G:$G, (MATCH(190, 輔助計算!$G$2:$G$801, 0)+1)),"0.##"),TEXT(INDEX(ERP資料!$G:$G, (MATCH(190, 輔助計算!$G$2:$G$801, 0)+1)),"0.##")&amp;"+"&amp;TEXT(INDEX(ERP資料!$G:$G, (MATCH(190, 輔助計算!$G$2:$G$801, 0)+1)),"0.##")&amp;"+"&amp;TEXT(INDEX(ERP資料!$G:$G, (MATCH(190, 輔助計算!$G$2:$G$801, 0)+1)),"0.##"))))&amp;"-1")), ""), "")</f>
        <v/>
      </c>
      <c r="K191" s="16" t="n"/>
      <c r="L191" s="14">
        <f>IFERROR(IF(AND(IFERROR(INDEX(ERP資料!$A:$A, (MATCH(190, 輔助計算!$G$2:$G$801, 0)+1)), "")&lt;&gt;"", IFERROR(INDEX(ERP資料!$A:$A, (MATCH(190, 輔助計算!$G$2:$G$801, 0)+1)), "")&lt;&gt;IFERROR(INDEX(ERP資料!$A:$A, MATCH(189, 輔助計算!$G$2:$G$801, 0)+1), "")), INDEX(ERP資料!$B:$B, (MATCH(190, 輔助計算!$G$2:$G$801, 0)+1)), ""), "")</f>
        <v/>
      </c>
      <c r="M191" s="17" t="n"/>
    </row>
    <row r="192">
      <c r="A192" s="10">
        <f>IFERROR(IF(AND(IFERROR(INDEX(ERP資料!$A:$A, (MATCH(191, 輔助計算!$G$2:$G$801, 0)+1)), "")&lt;&gt;"", IFERROR(INDEX(ERP資料!$A:$A, (MATCH(191, 輔助計算!$G$2:$G$801, 0)+1)), "")&lt;&gt;IFERROR(INDEX(ERP資料!$A:$A, MATCH(190, 輔助計算!$G$2:$G$801, 0)+1), "")), IFERROR(INDEX(ERP資料!$A:$A, (MATCH(191, 輔助計算!$G$2:$G$801, 0)+1)), ""), ""), "")</f>
        <v/>
      </c>
      <c r="B192" s="10">
        <f>IFERROR(IF(AND(IFERROR(INDEX(ERP資料!$A:$A, (MATCH(191, 輔助計算!$G$2:$G$801, 0)+1)), "")&lt;&gt;"", IFERROR(INDEX(ERP資料!$A:$A, (MATCH(191, 輔助計算!$G$2:$G$801, 0)+1)), "")&lt;&gt;IFERROR(INDEX(ERP資料!$A:$A, MATCH(190, 輔助計算!$G$2:$G$801, 0)+1), "")), INDEX(ERP資料!$S:$S, (MATCH(191, 輔助計算!$G$2:$G$801, 0)+1)), ""), "")</f>
        <v/>
      </c>
      <c r="C192" s="19">
        <f>IFERROR(IF(AND(IFERROR(INDEX(ERP資料!$A:$A, (MATCH(191, 輔助計算!$G$2:$G$801, 0)+1)), "")&lt;&gt;"", IFERROR(INDEX(ERP資料!$A:$A, (MATCH(191, 輔助計算!$G$2:$G$801, 0)+1)), "")&lt;&gt;IFERROR(INDEX(ERP資料!$A:$A, MATCH(190, 輔助計算!$G$2:$G$801, 0)+1), "")), IFERROR(VLOOKUP(LEFT(INDEX(ERP資料!$S:$S, (MATCH(191, 輔助計算!$G$2:$G$801, 0)+1)), 4), 紙管對照表!$A:$C, 3, FALSE), ""), ""), "")</f>
        <v/>
      </c>
      <c r="D192" s="16" t="n"/>
      <c r="E192" s="10">
        <f>IFERROR(IF(INDEX(ERP資料!$H:$H, (MATCH(191, 輔助計算!$G$2:$G$801, 0)+1))="","",INDEX(ERP資料!$H:$H, (MATCH(191, 輔助計算!$G$2:$G$801, 0)+1))), "")</f>
        <v/>
      </c>
      <c r="F192" s="10">
        <f>IFERROR(IF(INDEX(ERP資料!$E:$E, (MATCH(191, 輔助計算!$G$2:$G$801, 0)+1))="","",TRIM(INDEX(ERP資料!$E:$E, (MATCH(191, 輔助計算!$G$2:$G$801, 0)+1)))), "")</f>
        <v/>
      </c>
      <c r="G192" s="10">
        <f>IFERROR(IF(INDEX(ERP資料!$F:$F, (MATCH(191, 輔助計算!$G$2:$G$801, 0)+1))="","",INDEX(ERP資料!$F:$F, (MATCH(191, 輔助計算!$G$2:$G$801, 0)+1))), "")</f>
        <v/>
      </c>
      <c r="H192" s="10">
        <f>IFERROR(IF(INDEX(ERP資料!$G:$G, (MATCH(191, 輔助計算!$G$2:$G$801, 0)+1))="","",INDEX(ERP資料!$G:$G, (MATCH(191, 輔助計算!$G$2:$G$801, 0)+1))), "")</f>
        <v/>
      </c>
      <c r="I192" s="15">
        <f>IFERROR(INDEX(輔助計算!$D:$D, (MATCH(191, 輔助計算!$G$2:$G$801, 0)+1)), "")</f>
        <v/>
      </c>
      <c r="J192" s="15">
        <f>IFERROR(IF(AND(INDEX(輔助計算!$D:$D, (MATCH(191, 輔助計算!$G$2:$G$801, 0)+1))&lt;&gt;"", INDEX(ERP資料!$G:$G, (MATCH(191, 輔助計算!$G$2:$G$801, 0)+1))&lt;&gt;""), TRIM(IF(INT(INDEX(輔助計算!$D:$D, (MATCH(191, 輔助計算!$G$2:$G$801, 0)+1))/IF(INDEX(ERP資料!$G:$G, (MATCH(191, 輔助計算!$G$2:$G$801, 0)+1))&lt;100, IF(INDEX(ERP資料!$G:$G, (MATCH(191, 輔助計算!$G$2:$G$801, 0)+1))&lt;=31,3,IF(INDEX(ERP資料!$G:$G, (MATCH(191, 輔助計算!$G$2:$G$801, 0)+1))&lt;=46.5,2,1)), IF(INDEX(ERP資料!$G:$G, (MATCH(191, 輔助計算!$G$2:$G$801, 0)+1))&lt;=790,3,IF(INDEX(ERP資料!$G:$G, (MATCH(191, 輔助計算!$G$2:$G$801, 0)+1))&lt;=1181,2,1))))&gt;0, IF(IF(INDEX(ERP資料!$G:$G, (MATCH(191, 輔助計算!$G$2:$G$801, 0)+1))&lt;100, IF(INDEX(ERP資料!$G:$G, (MATCH(191, 輔助計算!$G$2:$G$801, 0)+1))&lt;=31,3,IF(INDEX(ERP資料!$G:$G, (MATCH(191, 輔助計算!$G$2:$G$801, 0)+1))&lt;=46.5,2,1)), IF(INDEX(ERP資料!$G:$G, (MATCH(191, 輔助計算!$G$2:$G$801, 0)+1))&lt;=790,3,IF(INDEX(ERP資料!$G:$G, (MATCH(191, 輔助計算!$G$2:$G$801, 0)+1))&lt;=1181,2,1)))=1,TEXT(INDEX(ERP資料!$G:$G, (MATCH(191, 輔助計算!$G$2:$G$801, 0)+1)),"0.##"),IF(IF(INDEX(ERP資料!$G:$G, (MATCH(191, 輔助計算!$G$2:$G$801, 0)+1))&lt;100, IF(INDEX(ERP資料!$G:$G, (MATCH(191, 輔助計算!$G$2:$G$801, 0)+1))&lt;=31,3,IF(INDEX(ERP資料!$G:$G, (MATCH(191, 輔助計算!$G$2:$G$801, 0)+1))&lt;=46.5,2,1)), IF(INDEX(ERP資料!$G:$G, (MATCH(191, 輔助計算!$G$2:$G$801, 0)+1))&lt;=790,3,IF(INDEX(ERP資料!$G:$G, (MATCH(191, 輔助計算!$G$2:$G$801, 0)+1))&lt;=1181,2,1)))=2,TEXT(INDEX(ERP資料!$G:$G, (MATCH(191, 輔助計算!$G$2:$G$801, 0)+1)),"0.##")&amp;"+"&amp;TEXT(INDEX(ERP資料!$G:$G, (MATCH(191, 輔助計算!$G$2:$G$801, 0)+1)),"0.##"),TEXT(INDEX(ERP資料!$G:$G, (MATCH(191, 輔助計算!$G$2:$G$801, 0)+1)),"0.##")&amp;"+"&amp;TEXT(INDEX(ERP資料!$G:$G, (MATCH(191, 輔助計算!$G$2:$G$801, 0)+1)),"0.##")&amp;"+"&amp;TEXT(INDEX(ERP資料!$G:$G, (MATCH(191, 輔助計算!$G$2:$G$801, 0)+1)),"0.##")))&amp;"-"&amp;INT(INDEX(輔助計算!$D:$D, (MATCH(191, 輔助計算!$G$2:$G$801, 0)+1))/IF(INDEX(ERP資料!$G:$G, (MATCH(191, 輔助計算!$G$2:$G$801, 0)+1))&lt;100, IF(INDEX(ERP資料!$G:$G, (MATCH(191, 輔助計算!$G$2:$G$801, 0)+1))&lt;=31,3,IF(INDEX(ERP資料!$G:$G, (MATCH(191, 輔助計算!$G$2:$G$801, 0)+1))&lt;=46.5,2,1)), IF(INDEX(ERP資料!$G:$G, (MATCH(191, 輔助計算!$G$2:$G$801, 0)+1))&lt;=790,3,IF(INDEX(ERP資料!$G:$G, (MATCH(191, 輔助計算!$G$2:$G$801, 0)+1))&lt;=1181,2,1)))), "")&amp;IF(AND(IF(INT(INDEX(輔助計算!$D:$D, (MATCH(191, 輔助計算!$G$2:$G$801, 0)+1))/IF(INDEX(ERP資料!$G:$G, (MATCH(191, 輔助計算!$G$2:$G$801, 0)+1))&lt;100, IF(INDEX(ERP資料!$G:$G, (MATCH(191, 輔助計算!$G$2:$G$801, 0)+1))&lt;=31,3,IF(INDEX(ERP資料!$G:$G, (MATCH(191, 輔助計算!$G$2:$G$801, 0)+1))&lt;=46.5,2,1)), IF(INDEX(ERP資料!$G:$G, (MATCH(191, 輔助計算!$G$2:$G$801, 0)+1))&lt;=790,3,IF(INDEX(ERP資料!$G:$G, (MATCH(191, 輔助計算!$G$2:$G$801, 0)+1))&lt;=1181,2,1))))&gt;0, IF(IF(INDEX(ERP資料!$G:$G, (MATCH(191, 輔助計算!$G$2:$G$801, 0)+1))&lt;100, IF(INDEX(ERP資料!$G:$G, (MATCH(191, 輔助計算!$G$2:$G$801, 0)+1))&lt;=31,3,IF(INDEX(ERP資料!$G:$G, (MATCH(191, 輔助計算!$G$2:$G$801, 0)+1))&lt;=46.5,2,1)), IF(INDEX(ERP資料!$G:$G, (MATCH(191, 輔助計算!$G$2:$G$801, 0)+1))&lt;=790,3,IF(INDEX(ERP資料!$G:$G, (MATCH(191, 輔助計算!$G$2:$G$801, 0)+1))&lt;=1181,2,1)))=1,TEXT(INDEX(ERP資料!$G:$G, (MATCH(191, 輔助計算!$G$2:$G$801, 0)+1)),"0.##"),IF(IF(INDEX(ERP資料!$G:$G, (MATCH(191, 輔助計算!$G$2:$G$801, 0)+1))&lt;100, IF(INDEX(ERP資料!$G:$G, (MATCH(191, 輔助計算!$G$2:$G$801, 0)+1))&lt;=31,3,IF(INDEX(ERP資料!$G:$G, (MATCH(191, 輔助計算!$G$2:$G$801, 0)+1))&lt;=46.5,2,1)), IF(INDEX(ERP資料!$G:$G, (MATCH(191, 輔助計算!$G$2:$G$801, 0)+1))&lt;=790,3,IF(INDEX(ERP資料!$G:$G, (MATCH(191, 輔助計算!$G$2:$G$801, 0)+1))&lt;=1181,2,1)))=2,TEXT(INDEX(ERP資料!$G:$G, (MATCH(191, 輔助計算!$G$2:$G$801, 0)+1)),"0.##")&amp;"+"&amp;TEXT(INDEX(ERP資料!$G:$G, (MATCH(191, 輔助計算!$G$2:$G$801, 0)+1)),"0.##"),TEXT(INDEX(ERP資料!$G:$G, (MATCH(191, 輔助計算!$G$2:$G$801, 0)+1)),"0.##")&amp;"+"&amp;TEXT(INDEX(ERP資料!$G:$G, (MATCH(191, 輔助計算!$G$2:$G$801, 0)+1)),"0.##")&amp;"+"&amp;TEXT(INDEX(ERP資料!$G:$G, (MATCH(191, 輔助計算!$G$2:$G$801, 0)+1)),"0.##")))&amp;"-"&amp;INT(INDEX(輔助計算!$D:$D, (MATCH(191, 輔助計算!$G$2:$G$801, 0)+1))/IF(INDEX(ERP資料!$G:$G, (MATCH(191, 輔助計算!$G$2:$G$801, 0)+1))&lt;100, IF(INDEX(ERP資料!$G:$G, (MATCH(191, 輔助計算!$G$2:$G$801, 0)+1))&lt;=31,3,IF(INDEX(ERP資料!$G:$G, (MATCH(191, 輔助計算!$G$2:$G$801, 0)+1))&lt;=46.5,2,1)), IF(INDEX(ERP資料!$G:$G, (MATCH(191, 輔助計算!$G$2:$G$801, 0)+1))&lt;=790,3,IF(INDEX(ERP資料!$G:$G, (MATCH(191, 輔助計算!$G$2:$G$801, 0)+1))&lt;=1181,2,1)))), "")&lt;&gt;"",IF(MOD(INDEX(輔助計算!$D:$D, (MATCH(191, 輔助計算!$G$2:$G$801, 0)+1)),IF(INDEX(ERP資料!$G:$G, (MATCH(191, 輔助計算!$G$2:$G$801, 0)+1))&lt;100, IF(INDEX(ERP資料!$G:$G, (MATCH(191, 輔助計算!$G$2:$G$801, 0)+1))&lt;=31,3,IF(INDEX(ERP資料!$G:$G, (MATCH(191, 輔助計算!$G$2:$G$801, 0)+1))&lt;=46.5,2,1)), IF(INDEX(ERP資料!$G:$G, (MATCH(191, 輔助計算!$G$2:$G$801, 0)+1))&lt;=790,3,IF(INDEX(ERP資料!$G:$G, (MATCH(191, 輔助計算!$G$2:$G$801, 0)+1))&lt;=1181,2,1))))=0,"",IF(MOD(INDEX(輔助計算!$D:$D, (MATCH(191, 輔助計算!$G$2:$G$801, 0)+1)),IF(INDEX(ERP資料!$G:$G, (MATCH(191, 輔助計算!$G$2:$G$801, 0)+1))&lt;100, IF(INDEX(ERP資料!$G:$G, (MATCH(191, 輔助計算!$G$2:$G$801, 0)+1))&lt;=31,3,IF(INDEX(ERP資料!$G:$G, (MATCH(191, 輔助計算!$G$2:$G$801, 0)+1))&lt;=46.5,2,1)), IF(INDEX(ERP資料!$G:$G, (MATCH(191, 輔助計算!$G$2:$G$801, 0)+1))&lt;=790,3,IF(INDEX(ERP資料!$G:$G, (MATCH(191, 輔助計算!$G$2:$G$801, 0)+1))&lt;=1181,2,1))))=0,"",IF(MOD(INDEX(輔助計算!$D:$D, (MATCH(191, 輔助計算!$G$2:$G$801, 0)+1)),IF(INDEX(ERP資料!$G:$G, (MATCH(191, 輔助計算!$G$2:$G$801, 0)+1))&lt;100, IF(INDEX(ERP資料!$G:$G, (MATCH(191, 輔助計算!$G$2:$G$801, 0)+1))&lt;=31,3,IF(INDEX(ERP資料!$G:$G, (MATCH(191, 輔助計算!$G$2:$G$801, 0)+1))&lt;=46.5,2,1)), IF(INDEX(ERP資料!$G:$G, (MATCH(191, 輔助計算!$G$2:$G$801, 0)+1))&lt;=790,3,IF(INDEX(ERP資料!$G:$G, (MATCH(191, 輔助計算!$G$2:$G$801, 0)+1))&lt;=1181,2,1))))=1,TEXT(INDEX(ERP資料!$G:$G, (MATCH(191, 輔助計算!$G$2:$G$801, 0)+1)),"0.##"),IF(MOD(INDEX(輔助計算!$D:$D, (MATCH(191, 輔助計算!$G$2:$G$801, 0)+1)),IF(INDEX(ERP資料!$G:$G, (MATCH(191, 輔助計算!$G$2:$G$801, 0)+1))&lt;100, IF(INDEX(ERP資料!$G:$G, (MATCH(191, 輔助計算!$G$2:$G$801, 0)+1))&lt;=31,3,IF(INDEX(ERP資料!$G:$G, (MATCH(191, 輔助計算!$G$2:$G$801, 0)+1))&lt;=46.5,2,1)), IF(INDEX(ERP資料!$G:$G, (MATCH(191, 輔助計算!$G$2:$G$801, 0)+1))&lt;=790,3,IF(INDEX(ERP資料!$G:$G, (MATCH(191, 輔助計算!$G$2:$G$801, 0)+1))&lt;=1181,2,1))))=2,TEXT(INDEX(ERP資料!$G:$G, (MATCH(191, 輔助計算!$G$2:$G$801, 0)+1)),"0.##")&amp;"+"&amp;TEXT(INDEX(ERP資料!$G:$G, (MATCH(191, 輔助計算!$G$2:$G$801, 0)+1)),"0.##"),TEXT(INDEX(ERP資料!$G:$G, (MATCH(191, 輔助計算!$G$2:$G$801, 0)+1)),"0.##")&amp;"+"&amp;TEXT(INDEX(ERP資料!$G:$G, (MATCH(191, 輔助計算!$G$2:$G$801, 0)+1)),"0.##")&amp;"+"&amp;TEXT(INDEX(ERP資料!$G:$G, (MATCH(191, 輔助計算!$G$2:$G$801, 0)+1)),"0.##"))))&amp;"-1")&lt;&gt;""),"  ","")&amp;IF(MOD(INDEX(輔助計算!$D:$D, (MATCH(191, 輔助計算!$G$2:$G$801, 0)+1)),IF(INDEX(ERP資料!$G:$G, (MATCH(191, 輔助計算!$G$2:$G$801, 0)+1))&lt;100, IF(INDEX(ERP資料!$G:$G, (MATCH(191, 輔助計算!$G$2:$G$801, 0)+1))&lt;=31,3,IF(INDEX(ERP資料!$G:$G, (MATCH(191, 輔助計算!$G$2:$G$801, 0)+1))&lt;=46.5,2,1)), IF(INDEX(ERP資料!$G:$G, (MATCH(191, 輔助計算!$G$2:$G$801, 0)+1))&lt;=790,3,IF(INDEX(ERP資料!$G:$G, (MATCH(191, 輔助計算!$G$2:$G$801, 0)+1))&lt;=1181,2,1))))=0,"",IF(MOD(INDEX(輔助計算!$D:$D, (MATCH(191, 輔助計算!$G$2:$G$801, 0)+1)),IF(INDEX(ERP資料!$G:$G, (MATCH(191, 輔助計算!$G$2:$G$801, 0)+1))&lt;100, IF(INDEX(ERP資料!$G:$G, (MATCH(191, 輔助計算!$G$2:$G$801, 0)+1))&lt;=31,3,IF(INDEX(ERP資料!$G:$G, (MATCH(191, 輔助計算!$G$2:$G$801, 0)+1))&lt;=46.5,2,1)), IF(INDEX(ERP資料!$G:$G, (MATCH(191, 輔助計算!$G$2:$G$801, 0)+1))&lt;=790,3,IF(INDEX(ERP資料!$G:$G, (MATCH(191, 輔助計算!$G$2:$G$801, 0)+1))&lt;=1181,2,1))))=0,"",IF(MOD(INDEX(輔助計算!$D:$D, (MATCH(191, 輔助計算!$G$2:$G$801, 0)+1)),IF(INDEX(ERP資料!$G:$G, (MATCH(191, 輔助計算!$G$2:$G$801, 0)+1))&lt;100, IF(INDEX(ERP資料!$G:$G, (MATCH(191, 輔助計算!$G$2:$G$801, 0)+1))&lt;=31,3,IF(INDEX(ERP資料!$G:$G, (MATCH(191, 輔助計算!$G$2:$G$801, 0)+1))&lt;=46.5,2,1)), IF(INDEX(ERP資料!$G:$G, (MATCH(191, 輔助計算!$G$2:$G$801, 0)+1))&lt;=790,3,IF(INDEX(ERP資料!$G:$G, (MATCH(191, 輔助計算!$G$2:$G$801, 0)+1))&lt;=1181,2,1))))=1,TEXT(INDEX(ERP資料!$G:$G, (MATCH(191, 輔助計算!$G$2:$G$801, 0)+1)),"0.##"),IF(MOD(INDEX(輔助計算!$D:$D, (MATCH(191, 輔助計算!$G$2:$G$801, 0)+1)),IF(INDEX(ERP資料!$G:$G, (MATCH(191, 輔助計算!$G$2:$G$801, 0)+1))&lt;100, IF(INDEX(ERP資料!$G:$G, (MATCH(191, 輔助計算!$G$2:$G$801, 0)+1))&lt;=31,3,IF(INDEX(ERP資料!$G:$G, (MATCH(191, 輔助計算!$G$2:$G$801, 0)+1))&lt;=46.5,2,1)), IF(INDEX(ERP資料!$G:$G, (MATCH(191, 輔助計算!$G$2:$G$801, 0)+1))&lt;=790,3,IF(INDEX(ERP資料!$G:$G, (MATCH(191, 輔助計算!$G$2:$G$801, 0)+1))&lt;=1181,2,1))))=2,TEXT(INDEX(ERP資料!$G:$G, (MATCH(191, 輔助計算!$G$2:$G$801, 0)+1)),"0.##")&amp;"+"&amp;TEXT(INDEX(ERP資料!$G:$G, (MATCH(191, 輔助計算!$G$2:$G$801, 0)+1)),"0.##"),TEXT(INDEX(ERP資料!$G:$G, (MATCH(191, 輔助計算!$G$2:$G$801, 0)+1)),"0.##")&amp;"+"&amp;TEXT(INDEX(ERP資料!$G:$G, (MATCH(191, 輔助計算!$G$2:$G$801, 0)+1)),"0.##")&amp;"+"&amp;TEXT(INDEX(ERP資料!$G:$G, (MATCH(191, 輔助計算!$G$2:$G$801, 0)+1)),"0.##"))))&amp;"-1")), ""), "")</f>
        <v/>
      </c>
      <c r="K192" s="16" t="n"/>
      <c r="L192" s="14">
        <f>IFERROR(IF(AND(IFERROR(INDEX(ERP資料!$A:$A, (MATCH(191, 輔助計算!$G$2:$G$801, 0)+1)), "")&lt;&gt;"", IFERROR(INDEX(ERP資料!$A:$A, (MATCH(191, 輔助計算!$G$2:$G$801, 0)+1)), "")&lt;&gt;IFERROR(INDEX(ERP資料!$A:$A, MATCH(190, 輔助計算!$G$2:$G$801, 0)+1), "")), INDEX(ERP資料!$B:$B, (MATCH(191, 輔助計算!$G$2:$G$801, 0)+1)), ""), "")</f>
        <v/>
      </c>
      <c r="M192" s="17" t="n"/>
    </row>
    <row r="193">
      <c r="A193" s="10">
        <f>IFERROR(IF(AND(IFERROR(INDEX(ERP資料!$A:$A, (MATCH(192, 輔助計算!$G$2:$G$801, 0)+1)), "")&lt;&gt;"", IFERROR(INDEX(ERP資料!$A:$A, (MATCH(192, 輔助計算!$G$2:$G$801, 0)+1)), "")&lt;&gt;IFERROR(INDEX(ERP資料!$A:$A, MATCH(191, 輔助計算!$G$2:$G$801, 0)+1), "")), IFERROR(INDEX(ERP資料!$A:$A, (MATCH(192, 輔助計算!$G$2:$G$801, 0)+1)), ""), ""), "")</f>
        <v/>
      </c>
      <c r="B193" s="10">
        <f>IFERROR(IF(AND(IFERROR(INDEX(ERP資料!$A:$A, (MATCH(192, 輔助計算!$G$2:$G$801, 0)+1)), "")&lt;&gt;"", IFERROR(INDEX(ERP資料!$A:$A, (MATCH(192, 輔助計算!$G$2:$G$801, 0)+1)), "")&lt;&gt;IFERROR(INDEX(ERP資料!$A:$A, MATCH(191, 輔助計算!$G$2:$G$801, 0)+1), "")), INDEX(ERP資料!$S:$S, (MATCH(192, 輔助計算!$G$2:$G$801, 0)+1)), ""), "")</f>
        <v/>
      </c>
      <c r="C193" s="19">
        <f>IFERROR(IF(AND(IFERROR(INDEX(ERP資料!$A:$A, (MATCH(192, 輔助計算!$G$2:$G$801, 0)+1)), "")&lt;&gt;"", IFERROR(INDEX(ERP資料!$A:$A, (MATCH(192, 輔助計算!$G$2:$G$801, 0)+1)), "")&lt;&gt;IFERROR(INDEX(ERP資料!$A:$A, MATCH(191, 輔助計算!$G$2:$G$801, 0)+1), "")), IFERROR(VLOOKUP(LEFT(INDEX(ERP資料!$S:$S, (MATCH(192, 輔助計算!$G$2:$G$801, 0)+1)), 4), 紙管對照表!$A:$C, 3, FALSE), ""), ""), "")</f>
        <v/>
      </c>
      <c r="D193" s="16" t="n"/>
      <c r="E193" s="10">
        <f>IFERROR(IF(INDEX(ERP資料!$H:$H, (MATCH(192, 輔助計算!$G$2:$G$801, 0)+1))="","",INDEX(ERP資料!$H:$H, (MATCH(192, 輔助計算!$G$2:$G$801, 0)+1))), "")</f>
        <v/>
      </c>
      <c r="F193" s="10">
        <f>IFERROR(IF(INDEX(ERP資料!$E:$E, (MATCH(192, 輔助計算!$G$2:$G$801, 0)+1))="","",TRIM(INDEX(ERP資料!$E:$E, (MATCH(192, 輔助計算!$G$2:$G$801, 0)+1)))), "")</f>
        <v/>
      </c>
      <c r="G193" s="10">
        <f>IFERROR(IF(INDEX(ERP資料!$F:$F, (MATCH(192, 輔助計算!$G$2:$G$801, 0)+1))="","",INDEX(ERP資料!$F:$F, (MATCH(192, 輔助計算!$G$2:$G$801, 0)+1))), "")</f>
        <v/>
      </c>
      <c r="H193" s="10">
        <f>IFERROR(IF(INDEX(ERP資料!$G:$G, (MATCH(192, 輔助計算!$G$2:$G$801, 0)+1))="","",INDEX(ERP資料!$G:$G, (MATCH(192, 輔助計算!$G$2:$G$801, 0)+1))), "")</f>
        <v/>
      </c>
      <c r="I193" s="15">
        <f>IFERROR(INDEX(輔助計算!$D:$D, (MATCH(192, 輔助計算!$G$2:$G$801, 0)+1)), "")</f>
        <v/>
      </c>
      <c r="J193" s="15">
        <f>IFERROR(IF(AND(INDEX(輔助計算!$D:$D, (MATCH(192, 輔助計算!$G$2:$G$801, 0)+1))&lt;&gt;"", INDEX(ERP資料!$G:$G, (MATCH(192, 輔助計算!$G$2:$G$801, 0)+1))&lt;&gt;""), TRIM(IF(INT(INDEX(輔助計算!$D:$D, (MATCH(192, 輔助計算!$G$2:$G$801, 0)+1))/IF(INDEX(ERP資料!$G:$G, (MATCH(192, 輔助計算!$G$2:$G$801, 0)+1))&lt;100, IF(INDEX(ERP資料!$G:$G, (MATCH(192, 輔助計算!$G$2:$G$801, 0)+1))&lt;=31,3,IF(INDEX(ERP資料!$G:$G, (MATCH(192, 輔助計算!$G$2:$G$801, 0)+1))&lt;=46.5,2,1)), IF(INDEX(ERP資料!$G:$G, (MATCH(192, 輔助計算!$G$2:$G$801, 0)+1))&lt;=790,3,IF(INDEX(ERP資料!$G:$G, (MATCH(192, 輔助計算!$G$2:$G$801, 0)+1))&lt;=1181,2,1))))&gt;0, IF(IF(INDEX(ERP資料!$G:$G, (MATCH(192, 輔助計算!$G$2:$G$801, 0)+1))&lt;100, IF(INDEX(ERP資料!$G:$G, (MATCH(192, 輔助計算!$G$2:$G$801, 0)+1))&lt;=31,3,IF(INDEX(ERP資料!$G:$G, (MATCH(192, 輔助計算!$G$2:$G$801, 0)+1))&lt;=46.5,2,1)), IF(INDEX(ERP資料!$G:$G, (MATCH(192, 輔助計算!$G$2:$G$801, 0)+1))&lt;=790,3,IF(INDEX(ERP資料!$G:$G, (MATCH(192, 輔助計算!$G$2:$G$801, 0)+1))&lt;=1181,2,1)))=1,TEXT(INDEX(ERP資料!$G:$G, (MATCH(192, 輔助計算!$G$2:$G$801, 0)+1)),"0.##"),IF(IF(INDEX(ERP資料!$G:$G, (MATCH(192, 輔助計算!$G$2:$G$801, 0)+1))&lt;100, IF(INDEX(ERP資料!$G:$G, (MATCH(192, 輔助計算!$G$2:$G$801, 0)+1))&lt;=31,3,IF(INDEX(ERP資料!$G:$G, (MATCH(192, 輔助計算!$G$2:$G$801, 0)+1))&lt;=46.5,2,1)), IF(INDEX(ERP資料!$G:$G, (MATCH(192, 輔助計算!$G$2:$G$801, 0)+1))&lt;=790,3,IF(INDEX(ERP資料!$G:$G, (MATCH(192, 輔助計算!$G$2:$G$801, 0)+1))&lt;=1181,2,1)))=2,TEXT(INDEX(ERP資料!$G:$G, (MATCH(192, 輔助計算!$G$2:$G$801, 0)+1)),"0.##")&amp;"+"&amp;TEXT(INDEX(ERP資料!$G:$G, (MATCH(192, 輔助計算!$G$2:$G$801, 0)+1)),"0.##"),TEXT(INDEX(ERP資料!$G:$G, (MATCH(192, 輔助計算!$G$2:$G$801, 0)+1)),"0.##")&amp;"+"&amp;TEXT(INDEX(ERP資料!$G:$G, (MATCH(192, 輔助計算!$G$2:$G$801, 0)+1)),"0.##")&amp;"+"&amp;TEXT(INDEX(ERP資料!$G:$G, (MATCH(192, 輔助計算!$G$2:$G$801, 0)+1)),"0.##")))&amp;"-"&amp;INT(INDEX(輔助計算!$D:$D, (MATCH(192, 輔助計算!$G$2:$G$801, 0)+1))/IF(INDEX(ERP資料!$G:$G, (MATCH(192, 輔助計算!$G$2:$G$801, 0)+1))&lt;100, IF(INDEX(ERP資料!$G:$G, (MATCH(192, 輔助計算!$G$2:$G$801, 0)+1))&lt;=31,3,IF(INDEX(ERP資料!$G:$G, (MATCH(192, 輔助計算!$G$2:$G$801, 0)+1))&lt;=46.5,2,1)), IF(INDEX(ERP資料!$G:$G, (MATCH(192, 輔助計算!$G$2:$G$801, 0)+1))&lt;=790,3,IF(INDEX(ERP資料!$G:$G, (MATCH(192, 輔助計算!$G$2:$G$801, 0)+1))&lt;=1181,2,1)))), "")&amp;IF(AND(IF(INT(INDEX(輔助計算!$D:$D, (MATCH(192, 輔助計算!$G$2:$G$801, 0)+1))/IF(INDEX(ERP資料!$G:$G, (MATCH(192, 輔助計算!$G$2:$G$801, 0)+1))&lt;100, IF(INDEX(ERP資料!$G:$G, (MATCH(192, 輔助計算!$G$2:$G$801, 0)+1))&lt;=31,3,IF(INDEX(ERP資料!$G:$G, (MATCH(192, 輔助計算!$G$2:$G$801, 0)+1))&lt;=46.5,2,1)), IF(INDEX(ERP資料!$G:$G, (MATCH(192, 輔助計算!$G$2:$G$801, 0)+1))&lt;=790,3,IF(INDEX(ERP資料!$G:$G, (MATCH(192, 輔助計算!$G$2:$G$801, 0)+1))&lt;=1181,2,1))))&gt;0, IF(IF(INDEX(ERP資料!$G:$G, (MATCH(192, 輔助計算!$G$2:$G$801, 0)+1))&lt;100, IF(INDEX(ERP資料!$G:$G, (MATCH(192, 輔助計算!$G$2:$G$801, 0)+1))&lt;=31,3,IF(INDEX(ERP資料!$G:$G, (MATCH(192, 輔助計算!$G$2:$G$801, 0)+1))&lt;=46.5,2,1)), IF(INDEX(ERP資料!$G:$G, (MATCH(192, 輔助計算!$G$2:$G$801, 0)+1))&lt;=790,3,IF(INDEX(ERP資料!$G:$G, (MATCH(192, 輔助計算!$G$2:$G$801, 0)+1))&lt;=1181,2,1)))=1,TEXT(INDEX(ERP資料!$G:$G, (MATCH(192, 輔助計算!$G$2:$G$801, 0)+1)),"0.##"),IF(IF(INDEX(ERP資料!$G:$G, (MATCH(192, 輔助計算!$G$2:$G$801, 0)+1))&lt;100, IF(INDEX(ERP資料!$G:$G, (MATCH(192, 輔助計算!$G$2:$G$801, 0)+1))&lt;=31,3,IF(INDEX(ERP資料!$G:$G, (MATCH(192, 輔助計算!$G$2:$G$801, 0)+1))&lt;=46.5,2,1)), IF(INDEX(ERP資料!$G:$G, (MATCH(192, 輔助計算!$G$2:$G$801, 0)+1))&lt;=790,3,IF(INDEX(ERP資料!$G:$G, (MATCH(192, 輔助計算!$G$2:$G$801, 0)+1))&lt;=1181,2,1)))=2,TEXT(INDEX(ERP資料!$G:$G, (MATCH(192, 輔助計算!$G$2:$G$801, 0)+1)),"0.##")&amp;"+"&amp;TEXT(INDEX(ERP資料!$G:$G, (MATCH(192, 輔助計算!$G$2:$G$801, 0)+1)),"0.##"),TEXT(INDEX(ERP資料!$G:$G, (MATCH(192, 輔助計算!$G$2:$G$801, 0)+1)),"0.##")&amp;"+"&amp;TEXT(INDEX(ERP資料!$G:$G, (MATCH(192, 輔助計算!$G$2:$G$801, 0)+1)),"0.##")&amp;"+"&amp;TEXT(INDEX(ERP資料!$G:$G, (MATCH(192, 輔助計算!$G$2:$G$801, 0)+1)),"0.##")))&amp;"-"&amp;INT(INDEX(輔助計算!$D:$D, (MATCH(192, 輔助計算!$G$2:$G$801, 0)+1))/IF(INDEX(ERP資料!$G:$G, (MATCH(192, 輔助計算!$G$2:$G$801, 0)+1))&lt;100, IF(INDEX(ERP資料!$G:$G, (MATCH(192, 輔助計算!$G$2:$G$801, 0)+1))&lt;=31,3,IF(INDEX(ERP資料!$G:$G, (MATCH(192, 輔助計算!$G$2:$G$801, 0)+1))&lt;=46.5,2,1)), IF(INDEX(ERP資料!$G:$G, (MATCH(192, 輔助計算!$G$2:$G$801, 0)+1))&lt;=790,3,IF(INDEX(ERP資料!$G:$G, (MATCH(192, 輔助計算!$G$2:$G$801, 0)+1))&lt;=1181,2,1)))), "")&lt;&gt;"",IF(MOD(INDEX(輔助計算!$D:$D, (MATCH(192, 輔助計算!$G$2:$G$801, 0)+1)),IF(INDEX(ERP資料!$G:$G, (MATCH(192, 輔助計算!$G$2:$G$801, 0)+1))&lt;100, IF(INDEX(ERP資料!$G:$G, (MATCH(192, 輔助計算!$G$2:$G$801, 0)+1))&lt;=31,3,IF(INDEX(ERP資料!$G:$G, (MATCH(192, 輔助計算!$G$2:$G$801, 0)+1))&lt;=46.5,2,1)), IF(INDEX(ERP資料!$G:$G, (MATCH(192, 輔助計算!$G$2:$G$801, 0)+1))&lt;=790,3,IF(INDEX(ERP資料!$G:$G, (MATCH(192, 輔助計算!$G$2:$G$801, 0)+1))&lt;=1181,2,1))))=0,"",IF(MOD(INDEX(輔助計算!$D:$D, (MATCH(192, 輔助計算!$G$2:$G$801, 0)+1)),IF(INDEX(ERP資料!$G:$G, (MATCH(192, 輔助計算!$G$2:$G$801, 0)+1))&lt;100, IF(INDEX(ERP資料!$G:$G, (MATCH(192, 輔助計算!$G$2:$G$801, 0)+1))&lt;=31,3,IF(INDEX(ERP資料!$G:$G, (MATCH(192, 輔助計算!$G$2:$G$801, 0)+1))&lt;=46.5,2,1)), IF(INDEX(ERP資料!$G:$G, (MATCH(192, 輔助計算!$G$2:$G$801, 0)+1))&lt;=790,3,IF(INDEX(ERP資料!$G:$G, (MATCH(192, 輔助計算!$G$2:$G$801, 0)+1))&lt;=1181,2,1))))=0,"",IF(MOD(INDEX(輔助計算!$D:$D, (MATCH(192, 輔助計算!$G$2:$G$801, 0)+1)),IF(INDEX(ERP資料!$G:$G, (MATCH(192, 輔助計算!$G$2:$G$801, 0)+1))&lt;100, IF(INDEX(ERP資料!$G:$G, (MATCH(192, 輔助計算!$G$2:$G$801, 0)+1))&lt;=31,3,IF(INDEX(ERP資料!$G:$G, (MATCH(192, 輔助計算!$G$2:$G$801, 0)+1))&lt;=46.5,2,1)), IF(INDEX(ERP資料!$G:$G, (MATCH(192, 輔助計算!$G$2:$G$801, 0)+1))&lt;=790,3,IF(INDEX(ERP資料!$G:$G, (MATCH(192, 輔助計算!$G$2:$G$801, 0)+1))&lt;=1181,2,1))))=1,TEXT(INDEX(ERP資料!$G:$G, (MATCH(192, 輔助計算!$G$2:$G$801, 0)+1)),"0.##"),IF(MOD(INDEX(輔助計算!$D:$D, (MATCH(192, 輔助計算!$G$2:$G$801, 0)+1)),IF(INDEX(ERP資料!$G:$G, (MATCH(192, 輔助計算!$G$2:$G$801, 0)+1))&lt;100, IF(INDEX(ERP資料!$G:$G, (MATCH(192, 輔助計算!$G$2:$G$801, 0)+1))&lt;=31,3,IF(INDEX(ERP資料!$G:$G, (MATCH(192, 輔助計算!$G$2:$G$801, 0)+1))&lt;=46.5,2,1)), IF(INDEX(ERP資料!$G:$G, (MATCH(192, 輔助計算!$G$2:$G$801, 0)+1))&lt;=790,3,IF(INDEX(ERP資料!$G:$G, (MATCH(192, 輔助計算!$G$2:$G$801, 0)+1))&lt;=1181,2,1))))=2,TEXT(INDEX(ERP資料!$G:$G, (MATCH(192, 輔助計算!$G$2:$G$801, 0)+1)),"0.##")&amp;"+"&amp;TEXT(INDEX(ERP資料!$G:$G, (MATCH(192, 輔助計算!$G$2:$G$801, 0)+1)),"0.##"),TEXT(INDEX(ERP資料!$G:$G, (MATCH(192, 輔助計算!$G$2:$G$801, 0)+1)),"0.##")&amp;"+"&amp;TEXT(INDEX(ERP資料!$G:$G, (MATCH(192, 輔助計算!$G$2:$G$801, 0)+1)),"0.##")&amp;"+"&amp;TEXT(INDEX(ERP資料!$G:$G, (MATCH(192, 輔助計算!$G$2:$G$801, 0)+1)),"0.##"))))&amp;"-1")&lt;&gt;""),"  ","")&amp;IF(MOD(INDEX(輔助計算!$D:$D, (MATCH(192, 輔助計算!$G$2:$G$801, 0)+1)),IF(INDEX(ERP資料!$G:$G, (MATCH(192, 輔助計算!$G$2:$G$801, 0)+1))&lt;100, IF(INDEX(ERP資料!$G:$G, (MATCH(192, 輔助計算!$G$2:$G$801, 0)+1))&lt;=31,3,IF(INDEX(ERP資料!$G:$G, (MATCH(192, 輔助計算!$G$2:$G$801, 0)+1))&lt;=46.5,2,1)), IF(INDEX(ERP資料!$G:$G, (MATCH(192, 輔助計算!$G$2:$G$801, 0)+1))&lt;=790,3,IF(INDEX(ERP資料!$G:$G, (MATCH(192, 輔助計算!$G$2:$G$801, 0)+1))&lt;=1181,2,1))))=0,"",IF(MOD(INDEX(輔助計算!$D:$D, (MATCH(192, 輔助計算!$G$2:$G$801, 0)+1)),IF(INDEX(ERP資料!$G:$G, (MATCH(192, 輔助計算!$G$2:$G$801, 0)+1))&lt;100, IF(INDEX(ERP資料!$G:$G, (MATCH(192, 輔助計算!$G$2:$G$801, 0)+1))&lt;=31,3,IF(INDEX(ERP資料!$G:$G, (MATCH(192, 輔助計算!$G$2:$G$801, 0)+1))&lt;=46.5,2,1)), IF(INDEX(ERP資料!$G:$G, (MATCH(192, 輔助計算!$G$2:$G$801, 0)+1))&lt;=790,3,IF(INDEX(ERP資料!$G:$G, (MATCH(192, 輔助計算!$G$2:$G$801, 0)+1))&lt;=1181,2,1))))=0,"",IF(MOD(INDEX(輔助計算!$D:$D, (MATCH(192, 輔助計算!$G$2:$G$801, 0)+1)),IF(INDEX(ERP資料!$G:$G, (MATCH(192, 輔助計算!$G$2:$G$801, 0)+1))&lt;100, IF(INDEX(ERP資料!$G:$G, (MATCH(192, 輔助計算!$G$2:$G$801, 0)+1))&lt;=31,3,IF(INDEX(ERP資料!$G:$G, (MATCH(192, 輔助計算!$G$2:$G$801, 0)+1))&lt;=46.5,2,1)), IF(INDEX(ERP資料!$G:$G, (MATCH(192, 輔助計算!$G$2:$G$801, 0)+1))&lt;=790,3,IF(INDEX(ERP資料!$G:$G, (MATCH(192, 輔助計算!$G$2:$G$801, 0)+1))&lt;=1181,2,1))))=1,TEXT(INDEX(ERP資料!$G:$G, (MATCH(192, 輔助計算!$G$2:$G$801, 0)+1)),"0.##"),IF(MOD(INDEX(輔助計算!$D:$D, (MATCH(192, 輔助計算!$G$2:$G$801, 0)+1)),IF(INDEX(ERP資料!$G:$G, (MATCH(192, 輔助計算!$G$2:$G$801, 0)+1))&lt;100, IF(INDEX(ERP資料!$G:$G, (MATCH(192, 輔助計算!$G$2:$G$801, 0)+1))&lt;=31,3,IF(INDEX(ERP資料!$G:$G, (MATCH(192, 輔助計算!$G$2:$G$801, 0)+1))&lt;=46.5,2,1)), IF(INDEX(ERP資料!$G:$G, (MATCH(192, 輔助計算!$G$2:$G$801, 0)+1))&lt;=790,3,IF(INDEX(ERP資料!$G:$G, (MATCH(192, 輔助計算!$G$2:$G$801, 0)+1))&lt;=1181,2,1))))=2,TEXT(INDEX(ERP資料!$G:$G, (MATCH(192, 輔助計算!$G$2:$G$801, 0)+1)),"0.##")&amp;"+"&amp;TEXT(INDEX(ERP資料!$G:$G, (MATCH(192, 輔助計算!$G$2:$G$801, 0)+1)),"0.##"),TEXT(INDEX(ERP資料!$G:$G, (MATCH(192, 輔助計算!$G$2:$G$801, 0)+1)),"0.##")&amp;"+"&amp;TEXT(INDEX(ERP資料!$G:$G, (MATCH(192, 輔助計算!$G$2:$G$801, 0)+1)),"0.##")&amp;"+"&amp;TEXT(INDEX(ERP資料!$G:$G, (MATCH(192, 輔助計算!$G$2:$G$801, 0)+1)),"0.##"))))&amp;"-1")), ""), "")</f>
        <v/>
      </c>
      <c r="K193" s="16" t="n"/>
      <c r="L193" s="14">
        <f>IFERROR(IF(AND(IFERROR(INDEX(ERP資料!$A:$A, (MATCH(192, 輔助計算!$G$2:$G$801, 0)+1)), "")&lt;&gt;"", IFERROR(INDEX(ERP資料!$A:$A, (MATCH(192, 輔助計算!$G$2:$G$801, 0)+1)), "")&lt;&gt;IFERROR(INDEX(ERP資料!$A:$A, MATCH(191, 輔助計算!$G$2:$G$801, 0)+1), "")), INDEX(ERP資料!$B:$B, (MATCH(192, 輔助計算!$G$2:$G$801, 0)+1)), ""), "")</f>
        <v/>
      </c>
      <c r="M193" s="17" t="n"/>
    </row>
    <row r="194">
      <c r="A194" s="10">
        <f>IFERROR(IF(AND(IFERROR(INDEX(ERP資料!$A:$A, (MATCH(193, 輔助計算!$G$2:$G$801, 0)+1)), "")&lt;&gt;"", IFERROR(INDEX(ERP資料!$A:$A, (MATCH(193, 輔助計算!$G$2:$G$801, 0)+1)), "")&lt;&gt;IFERROR(INDEX(ERP資料!$A:$A, MATCH(192, 輔助計算!$G$2:$G$801, 0)+1), "")), IFERROR(INDEX(ERP資料!$A:$A, (MATCH(193, 輔助計算!$G$2:$G$801, 0)+1)), ""), ""), "")</f>
        <v/>
      </c>
      <c r="B194" s="10">
        <f>IFERROR(IF(AND(IFERROR(INDEX(ERP資料!$A:$A, (MATCH(193, 輔助計算!$G$2:$G$801, 0)+1)), "")&lt;&gt;"", IFERROR(INDEX(ERP資料!$A:$A, (MATCH(193, 輔助計算!$G$2:$G$801, 0)+1)), "")&lt;&gt;IFERROR(INDEX(ERP資料!$A:$A, MATCH(192, 輔助計算!$G$2:$G$801, 0)+1), "")), INDEX(ERP資料!$S:$S, (MATCH(193, 輔助計算!$G$2:$G$801, 0)+1)), ""), "")</f>
        <v/>
      </c>
      <c r="C194" s="19">
        <f>IFERROR(IF(AND(IFERROR(INDEX(ERP資料!$A:$A, (MATCH(193, 輔助計算!$G$2:$G$801, 0)+1)), "")&lt;&gt;"", IFERROR(INDEX(ERP資料!$A:$A, (MATCH(193, 輔助計算!$G$2:$G$801, 0)+1)), "")&lt;&gt;IFERROR(INDEX(ERP資料!$A:$A, MATCH(192, 輔助計算!$G$2:$G$801, 0)+1), "")), IFERROR(VLOOKUP(LEFT(INDEX(ERP資料!$S:$S, (MATCH(193, 輔助計算!$G$2:$G$801, 0)+1)), 4), 紙管對照表!$A:$C, 3, FALSE), ""), ""), "")</f>
        <v/>
      </c>
      <c r="D194" s="16" t="n"/>
      <c r="E194" s="10">
        <f>IFERROR(IF(INDEX(ERP資料!$H:$H, (MATCH(193, 輔助計算!$G$2:$G$801, 0)+1))="","",INDEX(ERP資料!$H:$H, (MATCH(193, 輔助計算!$G$2:$G$801, 0)+1))), "")</f>
        <v/>
      </c>
      <c r="F194" s="10">
        <f>IFERROR(IF(INDEX(ERP資料!$E:$E, (MATCH(193, 輔助計算!$G$2:$G$801, 0)+1))="","",TRIM(INDEX(ERP資料!$E:$E, (MATCH(193, 輔助計算!$G$2:$G$801, 0)+1)))), "")</f>
        <v/>
      </c>
      <c r="G194" s="10">
        <f>IFERROR(IF(INDEX(ERP資料!$F:$F, (MATCH(193, 輔助計算!$G$2:$G$801, 0)+1))="","",INDEX(ERP資料!$F:$F, (MATCH(193, 輔助計算!$G$2:$G$801, 0)+1))), "")</f>
        <v/>
      </c>
      <c r="H194" s="10">
        <f>IFERROR(IF(INDEX(ERP資料!$G:$G, (MATCH(193, 輔助計算!$G$2:$G$801, 0)+1))="","",INDEX(ERP資料!$G:$G, (MATCH(193, 輔助計算!$G$2:$G$801, 0)+1))), "")</f>
        <v/>
      </c>
      <c r="I194" s="15">
        <f>IFERROR(INDEX(輔助計算!$D:$D, (MATCH(193, 輔助計算!$G$2:$G$801, 0)+1)), "")</f>
        <v/>
      </c>
      <c r="J194" s="15">
        <f>IFERROR(IF(AND(INDEX(輔助計算!$D:$D, (MATCH(193, 輔助計算!$G$2:$G$801, 0)+1))&lt;&gt;"", INDEX(ERP資料!$G:$G, (MATCH(193, 輔助計算!$G$2:$G$801, 0)+1))&lt;&gt;""), TRIM(IF(INT(INDEX(輔助計算!$D:$D, (MATCH(193, 輔助計算!$G$2:$G$801, 0)+1))/IF(INDEX(ERP資料!$G:$G, (MATCH(193, 輔助計算!$G$2:$G$801, 0)+1))&lt;100, IF(INDEX(ERP資料!$G:$G, (MATCH(193, 輔助計算!$G$2:$G$801, 0)+1))&lt;=31,3,IF(INDEX(ERP資料!$G:$G, (MATCH(193, 輔助計算!$G$2:$G$801, 0)+1))&lt;=46.5,2,1)), IF(INDEX(ERP資料!$G:$G, (MATCH(193, 輔助計算!$G$2:$G$801, 0)+1))&lt;=790,3,IF(INDEX(ERP資料!$G:$G, (MATCH(193, 輔助計算!$G$2:$G$801, 0)+1))&lt;=1181,2,1))))&gt;0, IF(IF(INDEX(ERP資料!$G:$G, (MATCH(193, 輔助計算!$G$2:$G$801, 0)+1))&lt;100, IF(INDEX(ERP資料!$G:$G, (MATCH(193, 輔助計算!$G$2:$G$801, 0)+1))&lt;=31,3,IF(INDEX(ERP資料!$G:$G, (MATCH(193, 輔助計算!$G$2:$G$801, 0)+1))&lt;=46.5,2,1)), IF(INDEX(ERP資料!$G:$G, (MATCH(193, 輔助計算!$G$2:$G$801, 0)+1))&lt;=790,3,IF(INDEX(ERP資料!$G:$G, (MATCH(193, 輔助計算!$G$2:$G$801, 0)+1))&lt;=1181,2,1)))=1,TEXT(INDEX(ERP資料!$G:$G, (MATCH(193, 輔助計算!$G$2:$G$801, 0)+1)),"0.##"),IF(IF(INDEX(ERP資料!$G:$G, (MATCH(193, 輔助計算!$G$2:$G$801, 0)+1))&lt;100, IF(INDEX(ERP資料!$G:$G, (MATCH(193, 輔助計算!$G$2:$G$801, 0)+1))&lt;=31,3,IF(INDEX(ERP資料!$G:$G, (MATCH(193, 輔助計算!$G$2:$G$801, 0)+1))&lt;=46.5,2,1)), IF(INDEX(ERP資料!$G:$G, (MATCH(193, 輔助計算!$G$2:$G$801, 0)+1))&lt;=790,3,IF(INDEX(ERP資料!$G:$G, (MATCH(193, 輔助計算!$G$2:$G$801, 0)+1))&lt;=1181,2,1)))=2,TEXT(INDEX(ERP資料!$G:$G, (MATCH(193, 輔助計算!$G$2:$G$801, 0)+1)),"0.##")&amp;"+"&amp;TEXT(INDEX(ERP資料!$G:$G, (MATCH(193, 輔助計算!$G$2:$G$801, 0)+1)),"0.##"),TEXT(INDEX(ERP資料!$G:$G, (MATCH(193, 輔助計算!$G$2:$G$801, 0)+1)),"0.##")&amp;"+"&amp;TEXT(INDEX(ERP資料!$G:$G, (MATCH(193, 輔助計算!$G$2:$G$801, 0)+1)),"0.##")&amp;"+"&amp;TEXT(INDEX(ERP資料!$G:$G, (MATCH(193, 輔助計算!$G$2:$G$801, 0)+1)),"0.##")))&amp;"-"&amp;INT(INDEX(輔助計算!$D:$D, (MATCH(193, 輔助計算!$G$2:$G$801, 0)+1))/IF(INDEX(ERP資料!$G:$G, (MATCH(193, 輔助計算!$G$2:$G$801, 0)+1))&lt;100, IF(INDEX(ERP資料!$G:$G, (MATCH(193, 輔助計算!$G$2:$G$801, 0)+1))&lt;=31,3,IF(INDEX(ERP資料!$G:$G, (MATCH(193, 輔助計算!$G$2:$G$801, 0)+1))&lt;=46.5,2,1)), IF(INDEX(ERP資料!$G:$G, (MATCH(193, 輔助計算!$G$2:$G$801, 0)+1))&lt;=790,3,IF(INDEX(ERP資料!$G:$G, (MATCH(193, 輔助計算!$G$2:$G$801, 0)+1))&lt;=1181,2,1)))), "")&amp;IF(AND(IF(INT(INDEX(輔助計算!$D:$D, (MATCH(193, 輔助計算!$G$2:$G$801, 0)+1))/IF(INDEX(ERP資料!$G:$G, (MATCH(193, 輔助計算!$G$2:$G$801, 0)+1))&lt;100, IF(INDEX(ERP資料!$G:$G, (MATCH(193, 輔助計算!$G$2:$G$801, 0)+1))&lt;=31,3,IF(INDEX(ERP資料!$G:$G, (MATCH(193, 輔助計算!$G$2:$G$801, 0)+1))&lt;=46.5,2,1)), IF(INDEX(ERP資料!$G:$G, (MATCH(193, 輔助計算!$G$2:$G$801, 0)+1))&lt;=790,3,IF(INDEX(ERP資料!$G:$G, (MATCH(193, 輔助計算!$G$2:$G$801, 0)+1))&lt;=1181,2,1))))&gt;0, IF(IF(INDEX(ERP資料!$G:$G, (MATCH(193, 輔助計算!$G$2:$G$801, 0)+1))&lt;100, IF(INDEX(ERP資料!$G:$G, (MATCH(193, 輔助計算!$G$2:$G$801, 0)+1))&lt;=31,3,IF(INDEX(ERP資料!$G:$G, (MATCH(193, 輔助計算!$G$2:$G$801, 0)+1))&lt;=46.5,2,1)), IF(INDEX(ERP資料!$G:$G, (MATCH(193, 輔助計算!$G$2:$G$801, 0)+1))&lt;=790,3,IF(INDEX(ERP資料!$G:$G, (MATCH(193, 輔助計算!$G$2:$G$801, 0)+1))&lt;=1181,2,1)))=1,TEXT(INDEX(ERP資料!$G:$G, (MATCH(193, 輔助計算!$G$2:$G$801, 0)+1)),"0.##"),IF(IF(INDEX(ERP資料!$G:$G, (MATCH(193, 輔助計算!$G$2:$G$801, 0)+1))&lt;100, IF(INDEX(ERP資料!$G:$G, (MATCH(193, 輔助計算!$G$2:$G$801, 0)+1))&lt;=31,3,IF(INDEX(ERP資料!$G:$G, (MATCH(193, 輔助計算!$G$2:$G$801, 0)+1))&lt;=46.5,2,1)), IF(INDEX(ERP資料!$G:$G, (MATCH(193, 輔助計算!$G$2:$G$801, 0)+1))&lt;=790,3,IF(INDEX(ERP資料!$G:$G, (MATCH(193, 輔助計算!$G$2:$G$801, 0)+1))&lt;=1181,2,1)))=2,TEXT(INDEX(ERP資料!$G:$G, (MATCH(193, 輔助計算!$G$2:$G$801, 0)+1)),"0.##")&amp;"+"&amp;TEXT(INDEX(ERP資料!$G:$G, (MATCH(193, 輔助計算!$G$2:$G$801, 0)+1)),"0.##"),TEXT(INDEX(ERP資料!$G:$G, (MATCH(193, 輔助計算!$G$2:$G$801, 0)+1)),"0.##")&amp;"+"&amp;TEXT(INDEX(ERP資料!$G:$G, (MATCH(193, 輔助計算!$G$2:$G$801, 0)+1)),"0.##")&amp;"+"&amp;TEXT(INDEX(ERP資料!$G:$G, (MATCH(193, 輔助計算!$G$2:$G$801, 0)+1)),"0.##")))&amp;"-"&amp;INT(INDEX(輔助計算!$D:$D, (MATCH(193, 輔助計算!$G$2:$G$801, 0)+1))/IF(INDEX(ERP資料!$G:$G, (MATCH(193, 輔助計算!$G$2:$G$801, 0)+1))&lt;100, IF(INDEX(ERP資料!$G:$G, (MATCH(193, 輔助計算!$G$2:$G$801, 0)+1))&lt;=31,3,IF(INDEX(ERP資料!$G:$G, (MATCH(193, 輔助計算!$G$2:$G$801, 0)+1))&lt;=46.5,2,1)), IF(INDEX(ERP資料!$G:$G, (MATCH(193, 輔助計算!$G$2:$G$801, 0)+1))&lt;=790,3,IF(INDEX(ERP資料!$G:$G, (MATCH(193, 輔助計算!$G$2:$G$801, 0)+1))&lt;=1181,2,1)))), "")&lt;&gt;"",IF(MOD(INDEX(輔助計算!$D:$D, (MATCH(193, 輔助計算!$G$2:$G$801, 0)+1)),IF(INDEX(ERP資料!$G:$G, (MATCH(193, 輔助計算!$G$2:$G$801, 0)+1))&lt;100, IF(INDEX(ERP資料!$G:$G, (MATCH(193, 輔助計算!$G$2:$G$801, 0)+1))&lt;=31,3,IF(INDEX(ERP資料!$G:$G, (MATCH(193, 輔助計算!$G$2:$G$801, 0)+1))&lt;=46.5,2,1)), IF(INDEX(ERP資料!$G:$G, (MATCH(193, 輔助計算!$G$2:$G$801, 0)+1))&lt;=790,3,IF(INDEX(ERP資料!$G:$G, (MATCH(193, 輔助計算!$G$2:$G$801, 0)+1))&lt;=1181,2,1))))=0,"",IF(MOD(INDEX(輔助計算!$D:$D, (MATCH(193, 輔助計算!$G$2:$G$801, 0)+1)),IF(INDEX(ERP資料!$G:$G, (MATCH(193, 輔助計算!$G$2:$G$801, 0)+1))&lt;100, IF(INDEX(ERP資料!$G:$G, (MATCH(193, 輔助計算!$G$2:$G$801, 0)+1))&lt;=31,3,IF(INDEX(ERP資料!$G:$G, (MATCH(193, 輔助計算!$G$2:$G$801, 0)+1))&lt;=46.5,2,1)), IF(INDEX(ERP資料!$G:$G, (MATCH(193, 輔助計算!$G$2:$G$801, 0)+1))&lt;=790,3,IF(INDEX(ERP資料!$G:$G, (MATCH(193, 輔助計算!$G$2:$G$801, 0)+1))&lt;=1181,2,1))))=0,"",IF(MOD(INDEX(輔助計算!$D:$D, (MATCH(193, 輔助計算!$G$2:$G$801, 0)+1)),IF(INDEX(ERP資料!$G:$G, (MATCH(193, 輔助計算!$G$2:$G$801, 0)+1))&lt;100, IF(INDEX(ERP資料!$G:$G, (MATCH(193, 輔助計算!$G$2:$G$801, 0)+1))&lt;=31,3,IF(INDEX(ERP資料!$G:$G, (MATCH(193, 輔助計算!$G$2:$G$801, 0)+1))&lt;=46.5,2,1)), IF(INDEX(ERP資料!$G:$G, (MATCH(193, 輔助計算!$G$2:$G$801, 0)+1))&lt;=790,3,IF(INDEX(ERP資料!$G:$G, (MATCH(193, 輔助計算!$G$2:$G$801, 0)+1))&lt;=1181,2,1))))=1,TEXT(INDEX(ERP資料!$G:$G, (MATCH(193, 輔助計算!$G$2:$G$801, 0)+1)),"0.##"),IF(MOD(INDEX(輔助計算!$D:$D, (MATCH(193, 輔助計算!$G$2:$G$801, 0)+1)),IF(INDEX(ERP資料!$G:$G, (MATCH(193, 輔助計算!$G$2:$G$801, 0)+1))&lt;100, IF(INDEX(ERP資料!$G:$G, (MATCH(193, 輔助計算!$G$2:$G$801, 0)+1))&lt;=31,3,IF(INDEX(ERP資料!$G:$G, (MATCH(193, 輔助計算!$G$2:$G$801, 0)+1))&lt;=46.5,2,1)), IF(INDEX(ERP資料!$G:$G, (MATCH(193, 輔助計算!$G$2:$G$801, 0)+1))&lt;=790,3,IF(INDEX(ERP資料!$G:$G, (MATCH(193, 輔助計算!$G$2:$G$801, 0)+1))&lt;=1181,2,1))))=2,TEXT(INDEX(ERP資料!$G:$G, (MATCH(193, 輔助計算!$G$2:$G$801, 0)+1)),"0.##")&amp;"+"&amp;TEXT(INDEX(ERP資料!$G:$G, (MATCH(193, 輔助計算!$G$2:$G$801, 0)+1)),"0.##"),TEXT(INDEX(ERP資料!$G:$G, (MATCH(193, 輔助計算!$G$2:$G$801, 0)+1)),"0.##")&amp;"+"&amp;TEXT(INDEX(ERP資料!$G:$G, (MATCH(193, 輔助計算!$G$2:$G$801, 0)+1)),"0.##")&amp;"+"&amp;TEXT(INDEX(ERP資料!$G:$G, (MATCH(193, 輔助計算!$G$2:$G$801, 0)+1)),"0.##"))))&amp;"-1")&lt;&gt;""),"  ","")&amp;IF(MOD(INDEX(輔助計算!$D:$D, (MATCH(193, 輔助計算!$G$2:$G$801, 0)+1)),IF(INDEX(ERP資料!$G:$G, (MATCH(193, 輔助計算!$G$2:$G$801, 0)+1))&lt;100, IF(INDEX(ERP資料!$G:$G, (MATCH(193, 輔助計算!$G$2:$G$801, 0)+1))&lt;=31,3,IF(INDEX(ERP資料!$G:$G, (MATCH(193, 輔助計算!$G$2:$G$801, 0)+1))&lt;=46.5,2,1)), IF(INDEX(ERP資料!$G:$G, (MATCH(193, 輔助計算!$G$2:$G$801, 0)+1))&lt;=790,3,IF(INDEX(ERP資料!$G:$G, (MATCH(193, 輔助計算!$G$2:$G$801, 0)+1))&lt;=1181,2,1))))=0,"",IF(MOD(INDEX(輔助計算!$D:$D, (MATCH(193, 輔助計算!$G$2:$G$801, 0)+1)),IF(INDEX(ERP資料!$G:$G, (MATCH(193, 輔助計算!$G$2:$G$801, 0)+1))&lt;100, IF(INDEX(ERP資料!$G:$G, (MATCH(193, 輔助計算!$G$2:$G$801, 0)+1))&lt;=31,3,IF(INDEX(ERP資料!$G:$G, (MATCH(193, 輔助計算!$G$2:$G$801, 0)+1))&lt;=46.5,2,1)), IF(INDEX(ERP資料!$G:$G, (MATCH(193, 輔助計算!$G$2:$G$801, 0)+1))&lt;=790,3,IF(INDEX(ERP資料!$G:$G, (MATCH(193, 輔助計算!$G$2:$G$801, 0)+1))&lt;=1181,2,1))))=0,"",IF(MOD(INDEX(輔助計算!$D:$D, (MATCH(193, 輔助計算!$G$2:$G$801, 0)+1)),IF(INDEX(ERP資料!$G:$G, (MATCH(193, 輔助計算!$G$2:$G$801, 0)+1))&lt;100, IF(INDEX(ERP資料!$G:$G, (MATCH(193, 輔助計算!$G$2:$G$801, 0)+1))&lt;=31,3,IF(INDEX(ERP資料!$G:$G, (MATCH(193, 輔助計算!$G$2:$G$801, 0)+1))&lt;=46.5,2,1)), IF(INDEX(ERP資料!$G:$G, (MATCH(193, 輔助計算!$G$2:$G$801, 0)+1))&lt;=790,3,IF(INDEX(ERP資料!$G:$G, (MATCH(193, 輔助計算!$G$2:$G$801, 0)+1))&lt;=1181,2,1))))=1,TEXT(INDEX(ERP資料!$G:$G, (MATCH(193, 輔助計算!$G$2:$G$801, 0)+1)),"0.##"),IF(MOD(INDEX(輔助計算!$D:$D, (MATCH(193, 輔助計算!$G$2:$G$801, 0)+1)),IF(INDEX(ERP資料!$G:$G, (MATCH(193, 輔助計算!$G$2:$G$801, 0)+1))&lt;100, IF(INDEX(ERP資料!$G:$G, (MATCH(193, 輔助計算!$G$2:$G$801, 0)+1))&lt;=31,3,IF(INDEX(ERP資料!$G:$G, (MATCH(193, 輔助計算!$G$2:$G$801, 0)+1))&lt;=46.5,2,1)), IF(INDEX(ERP資料!$G:$G, (MATCH(193, 輔助計算!$G$2:$G$801, 0)+1))&lt;=790,3,IF(INDEX(ERP資料!$G:$G, (MATCH(193, 輔助計算!$G$2:$G$801, 0)+1))&lt;=1181,2,1))))=2,TEXT(INDEX(ERP資料!$G:$G, (MATCH(193, 輔助計算!$G$2:$G$801, 0)+1)),"0.##")&amp;"+"&amp;TEXT(INDEX(ERP資料!$G:$G, (MATCH(193, 輔助計算!$G$2:$G$801, 0)+1)),"0.##"),TEXT(INDEX(ERP資料!$G:$G, (MATCH(193, 輔助計算!$G$2:$G$801, 0)+1)),"0.##")&amp;"+"&amp;TEXT(INDEX(ERP資料!$G:$G, (MATCH(193, 輔助計算!$G$2:$G$801, 0)+1)),"0.##")&amp;"+"&amp;TEXT(INDEX(ERP資料!$G:$G, (MATCH(193, 輔助計算!$G$2:$G$801, 0)+1)),"0.##"))))&amp;"-1")), ""), "")</f>
        <v/>
      </c>
      <c r="K194" s="16" t="n"/>
      <c r="L194" s="14">
        <f>IFERROR(IF(AND(IFERROR(INDEX(ERP資料!$A:$A, (MATCH(193, 輔助計算!$G$2:$G$801, 0)+1)), "")&lt;&gt;"", IFERROR(INDEX(ERP資料!$A:$A, (MATCH(193, 輔助計算!$G$2:$G$801, 0)+1)), "")&lt;&gt;IFERROR(INDEX(ERP資料!$A:$A, MATCH(192, 輔助計算!$G$2:$G$801, 0)+1), "")), INDEX(ERP資料!$B:$B, (MATCH(193, 輔助計算!$G$2:$G$801, 0)+1)), ""), "")</f>
        <v/>
      </c>
      <c r="M194" s="17" t="n"/>
    </row>
    <row r="195">
      <c r="A195" s="10">
        <f>IFERROR(IF(AND(IFERROR(INDEX(ERP資料!$A:$A, (MATCH(194, 輔助計算!$G$2:$G$801, 0)+1)), "")&lt;&gt;"", IFERROR(INDEX(ERP資料!$A:$A, (MATCH(194, 輔助計算!$G$2:$G$801, 0)+1)), "")&lt;&gt;IFERROR(INDEX(ERP資料!$A:$A, MATCH(193, 輔助計算!$G$2:$G$801, 0)+1), "")), IFERROR(INDEX(ERP資料!$A:$A, (MATCH(194, 輔助計算!$G$2:$G$801, 0)+1)), ""), ""), "")</f>
        <v/>
      </c>
      <c r="B195" s="10">
        <f>IFERROR(IF(AND(IFERROR(INDEX(ERP資料!$A:$A, (MATCH(194, 輔助計算!$G$2:$G$801, 0)+1)), "")&lt;&gt;"", IFERROR(INDEX(ERP資料!$A:$A, (MATCH(194, 輔助計算!$G$2:$G$801, 0)+1)), "")&lt;&gt;IFERROR(INDEX(ERP資料!$A:$A, MATCH(193, 輔助計算!$G$2:$G$801, 0)+1), "")), INDEX(ERP資料!$S:$S, (MATCH(194, 輔助計算!$G$2:$G$801, 0)+1)), ""), "")</f>
        <v/>
      </c>
      <c r="C195" s="19">
        <f>IFERROR(IF(AND(IFERROR(INDEX(ERP資料!$A:$A, (MATCH(194, 輔助計算!$G$2:$G$801, 0)+1)), "")&lt;&gt;"", IFERROR(INDEX(ERP資料!$A:$A, (MATCH(194, 輔助計算!$G$2:$G$801, 0)+1)), "")&lt;&gt;IFERROR(INDEX(ERP資料!$A:$A, MATCH(193, 輔助計算!$G$2:$G$801, 0)+1), "")), IFERROR(VLOOKUP(LEFT(INDEX(ERP資料!$S:$S, (MATCH(194, 輔助計算!$G$2:$G$801, 0)+1)), 4), 紙管對照表!$A:$C, 3, FALSE), ""), ""), "")</f>
        <v/>
      </c>
      <c r="D195" s="16" t="n"/>
      <c r="E195" s="10">
        <f>IFERROR(IF(INDEX(ERP資料!$H:$H, (MATCH(194, 輔助計算!$G$2:$G$801, 0)+1))="","",INDEX(ERP資料!$H:$H, (MATCH(194, 輔助計算!$G$2:$G$801, 0)+1))), "")</f>
        <v/>
      </c>
      <c r="F195" s="10">
        <f>IFERROR(IF(INDEX(ERP資料!$E:$E, (MATCH(194, 輔助計算!$G$2:$G$801, 0)+1))="","",TRIM(INDEX(ERP資料!$E:$E, (MATCH(194, 輔助計算!$G$2:$G$801, 0)+1)))), "")</f>
        <v/>
      </c>
      <c r="G195" s="10">
        <f>IFERROR(IF(INDEX(ERP資料!$F:$F, (MATCH(194, 輔助計算!$G$2:$G$801, 0)+1))="","",INDEX(ERP資料!$F:$F, (MATCH(194, 輔助計算!$G$2:$G$801, 0)+1))), "")</f>
        <v/>
      </c>
      <c r="H195" s="10">
        <f>IFERROR(IF(INDEX(ERP資料!$G:$G, (MATCH(194, 輔助計算!$G$2:$G$801, 0)+1))="","",INDEX(ERP資料!$G:$G, (MATCH(194, 輔助計算!$G$2:$G$801, 0)+1))), "")</f>
        <v/>
      </c>
      <c r="I195" s="15">
        <f>IFERROR(INDEX(輔助計算!$D:$D, (MATCH(194, 輔助計算!$G$2:$G$801, 0)+1)), "")</f>
        <v/>
      </c>
      <c r="J195" s="15">
        <f>IFERROR(IF(AND(INDEX(輔助計算!$D:$D, (MATCH(194, 輔助計算!$G$2:$G$801, 0)+1))&lt;&gt;"", INDEX(ERP資料!$G:$G, (MATCH(194, 輔助計算!$G$2:$G$801, 0)+1))&lt;&gt;""), TRIM(IF(INT(INDEX(輔助計算!$D:$D, (MATCH(194, 輔助計算!$G$2:$G$801, 0)+1))/IF(INDEX(ERP資料!$G:$G, (MATCH(194, 輔助計算!$G$2:$G$801, 0)+1))&lt;100, IF(INDEX(ERP資料!$G:$G, (MATCH(194, 輔助計算!$G$2:$G$801, 0)+1))&lt;=31,3,IF(INDEX(ERP資料!$G:$G, (MATCH(194, 輔助計算!$G$2:$G$801, 0)+1))&lt;=46.5,2,1)), IF(INDEX(ERP資料!$G:$G, (MATCH(194, 輔助計算!$G$2:$G$801, 0)+1))&lt;=790,3,IF(INDEX(ERP資料!$G:$G, (MATCH(194, 輔助計算!$G$2:$G$801, 0)+1))&lt;=1181,2,1))))&gt;0, IF(IF(INDEX(ERP資料!$G:$G, (MATCH(194, 輔助計算!$G$2:$G$801, 0)+1))&lt;100, IF(INDEX(ERP資料!$G:$G, (MATCH(194, 輔助計算!$G$2:$G$801, 0)+1))&lt;=31,3,IF(INDEX(ERP資料!$G:$G, (MATCH(194, 輔助計算!$G$2:$G$801, 0)+1))&lt;=46.5,2,1)), IF(INDEX(ERP資料!$G:$G, (MATCH(194, 輔助計算!$G$2:$G$801, 0)+1))&lt;=790,3,IF(INDEX(ERP資料!$G:$G, (MATCH(194, 輔助計算!$G$2:$G$801, 0)+1))&lt;=1181,2,1)))=1,TEXT(INDEX(ERP資料!$G:$G, (MATCH(194, 輔助計算!$G$2:$G$801, 0)+1)),"0.##"),IF(IF(INDEX(ERP資料!$G:$G, (MATCH(194, 輔助計算!$G$2:$G$801, 0)+1))&lt;100, IF(INDEX(ERP資料!$G:$G, (MATCH(194, 輔助計算!$G$2:$G$801, 0)+1))&lt;=31,3,IF(INDEX(ERP資料!$G:$G, (MATCH(194, 輔助計算!$G$2:$G$801, 0)+1))&lt;=46.5,2,1)), IF(INDEX(ERP資料!$G:$G, (MATCH(194, 輔助計算!$G$2:$G$801, 0)+1))&lt;=790,3,IF(INDEX(ERP資料!$G:$G, (MATCH(194, 輔助計算!$G$2:$G$801, 0)+1))&lt;=1181,2,1)))=2,TEXT(INDEX(ERP資料!$G:$G, (MATCH(194, 輔助計算!$G$2:$G$801, 0)+1)),"0.##")&amp;"+"&amp;TEXT(INDEX(ERP資料!$G:$G, (MATCH(194, 輔助計算!$G$2:$G$801, 0)+1)),"0.##"),TEXT(INDEX(ERP資料!$G:$G, (MATCH(194, 輔助計算!$G$2:$G$801, 0)+1)),"0.##")&amp;"+"&amp;TEXT(INDEX(ERP資料!$G:$G, (MATCH(194, 輔助計算!$G$2:$G$801, 0)+1)),"0.##")&amp;"+"&amp;TEXT(INDEX(ERP資料!$G:$G, (MATCH(194, 輔助計算!$G$2:$G$801, 0)+1)),"0.##")))&amp;"-"&amp;INT(INDEX(輔助計算!$D:$D, (MATCH(194, 輔助計算!$G$2:$G$801, 0)+1))/IF(INDEX(ERP資料!$G:$G, (MATCH(194, 輔助計算!$G$2:$G$801, 0)+1))&lt;100, IF(INDEX(ERP資料!$G:$G, (MATCH(194, 輔助計算!$G$2:$G$801, 0)+1))&lt;=31,3,IF(INDEX(ERP資料!$G:$G, (MATCH(194, 輔助計算!$G$2:$G$801, 0)+1))&lt;=46.5,2,1)), IF(INDEX(ERP資料!$G:$G, (MATCH(194, 輔助計算!$G$2:$G$801, 0)+1))&lt;=790,3,IF(INDEX(ERP資料!$G:$G, (MATCH(194, 輔助計算!$G$2:$G$801, 0)+1))&lt;=1181,2,1)))), "")&amp;IF(AND(IF(INT(INDEX(輔助計算!$D:$D, (MATCH(194, 輔助計算!$G$2:$G$801, 0)+1))/IF(INDEX(ERP資料!$G:$G, (MATCH(194, 輔助計算!$G$2:$G$801, 0)+1))&lt;100, IF(INDEX(ERP資料!$G:$G, (MATCH(194, 輔助計算!$G$2:$G$801, 0)+1))&lt;=31,3,IF(INDEX(ERP資料!$G:$G, (MATCH(194, 輔助計算!$G$2:$G$801, 0)+1))&lt;=46.5,2,1)), IF(INDEX(ERP資料!$G:$G, (MATCH(194, 輔助計算!$G$2:$G$801, 0)+1))&lt;=790,3,IF(INDEX(ERP資料!$G:$G, (MATCH(194, 輔助計算!$G$2:$G$801, 0)+1))&lt;=1181,2,1))))&gt;0, IF(IF(INDEX(ERP資料!$G:$G, (MATCH(194, 輔助計算!$G$2:$G$801, 0)+1))&lt;100, IF(INDEX(ERP資料!$G:$G, (MATCH(194, 輔助計算!$G$2:$G$801, 0)+1))&lt;=31,3,IF(INDEX(ERP資料!$G:$G, (MATCH(194, 輔助計算!$G$2:$G$801, 0)+1))&lt;=46.5,2,1)), IF(INDEX(ERP資料!$G:$G, (MATCH(194, 輔助計算!$G$2:$G$801, 0)+1))&lt;=790,3,IF(INDEX(ERP資料!$G:$G, (MATCH(194, 輔助計算!$G$2:$G$801, 0)+1))&lt;=1181,2,1)))=1,TEXT(INDEX(ERP資料!$G:$G, (MATCH(194, 輔助計算!$G$2:$G$801, 0)+1)),"0.##"),IF(IF(INDEX(ERP資料!$G:$G, (MATCH(194, 輔助計算!$G$2:$G$801, 0)+1))&lt;100, IF(INDEX(ERP資料!$G:$G, (MATCH(194, 輔助計算!$G$2:$G$801, 0)+1))&lt;=31,3,IF(INDEX(ERP資料!$G:$G, (MATCH(194, 輔助計算!$G$2:$G$801, 0)+1))&lt;=46.5,2,1)), IF(INDEX(ERP資料!$G:$G, (MATCH(194, 輔助計算!$G$2:$G$801, 0)+1))&lt;=790,3,IF(INDEX(ERP資料!$G:$G, (MATCH(194, 輔助計算!$G$2:$G$801, 0)+1))&lt;=1181,2,1)))=2,TEXT(INDEX(ERP資料!$G:$G, (MATCH(194, 輔助計算!$G$2:$G$801, 0)+1)),"0.##")&amp;"+"&amp;TEXT(INDEX(ERP資料!$G:$G, (MATCH(194, 輔助計算!$G$2:$G$801, 0)+1)),"0.##"),TEXT(INDEX(ERP資料!$G:$G, (MATCH(194, 輔助計算!$G$2:$G$801, 0)+1)),"0.##")&amp;"+"&amp;TEXT(INDEX(ERP資料!$G:$G, (MATCH(194, 輔助計算!$G$2:$G$801, 0)+1)),"0.##")&amp;"+"&amp;TEXT(INDEX(ERP資料!$G:$G, (MATCH(194, 輔助計算!$G$2:$G$801, 0)+1)),"0.##")))&amp;"-"&amp;INT(INDEX(輔助計算!$D:$D, (MATCH(194, 輔助計算!$G$2:$G$801, 0)+1))/IF(INDEX(ERP資料!$G:$G, (MATCH(194, 輔助計算!$G$2:$G$801, 0)+1))&lt;100, IF(INDEX(ERP資料!$G:$G, (MATCH(194, 輔助計算!$G$2:$G$801, 0)+1))&lt;=31,3,IF(INDEX(ERP資料!$G:$G, (MATCH(194, 輔助計算!$G$2:$G$801, 0)+1))&lt;=46.5,2,1)), IF(INDEX(ERP資料!$G:$G, (MATCH(194, 輔助計算!$G$2:$G$801, 0)+1))&lt;=790,3,IF(INDEX(ERP資料!$G:$G, (MATCH(194, 輔助計算!$G$2:$G$801, 0)+1))&lt;=1181,2,1)))), "")&lt;&gt;"",IF(MOD(INDEX(輔助計算!$D:$D, (MATCH(194, 輔助計算!$G$2:$G$801, 0)+1)),IF(INDEX(ERP資料!$G:$G, (MATCH(194, 輔助計算!$G$2:$G$801, 0)+1))&lt;100, IF(INDEX(ERP資料!$G:$G, (MATCH(194, 輔助計算!$G$2:$G$801, 0)+1))&lt;=31,3,IF(INDEX(ERP資料!$G:$G, (MATCH(194, 輔助計算!$G$2:$G$801, 0)+1))&lt;=46.5,2,1)), IF(INDEX(ERP資料!$G:$G, (MATCH(194, 輔助計算!$G$2:$G$801, 0)+1))&lt;=790,3,IF(INDEX(ERP資料!$G:$G, (MATCH(194, 輔助計算!$G$2:$G$801, 0)+1))&lt;=1181,2,1))))=0,"",IF(MOD(INDEX(輔助計算!$D:$D, (MATCH(194, 輔助計算!$G$2:$G$801, 0)+1)),IF(INDEX(ERP資料!$G:$G, (MATCH(194, 輔助計算!$G$2:$G$801, 0)+1))&lt;100, IF(INDEX(ERP資料!$G:$G, (MATCH(194, 輔助計算!$G$2:$G$801, 0)+1))&lt;=31,3,IF(INDEX(ERP資料!$G:$G, (MATCH(194, 輔助計算!$G$2:$G$801, 0)+1))&lt;=46.5,2,1)), IF(INDEX(ERP資料!$G:$G, (MATCH(194, 輔助計算!$G$2:$G$801, 0)+1))&lt;=790,3,IF(INDEX(ERP資料!$G:$G, (MATCH(194, 輔助計算!$G$2:$G$801, 0)+1))&lt;=1181,2,1))))=0,"",IF(MOD(INDEX(輔助計算!$D:$D, (MATCH(194, 輔助計算!$G$2:$G$801, 0)+1)),IF(INDEX(ERP資料!$G:$G, (MATCH(194, 輔助計算!$G$2:$G$801, 0)+1))&lt;100, IF(INDEX(ERP資料!$G:$G, (MATCH(194, 輔助計算!$G$2:$G$801, 0)+1))&lt;=31,3,IF(INDEX(ERP資料!$G:$G, (MATCH(194, 輔助計算!$G$2:$G$801, 0)+1))&lt;=46.5,2,1)), IF(INDEX(ERP資料!$G:$G, (MATCH(194, 輔助計算!$G$2:$G$801, 0)+1))&lt;=790,3,IF(INDEX(ERP資料!$G:$G, (MATCH(194, 輔助計算!$G$2:$G$801, 0)+1))&lt;=1181,2,1))))=1,TEXT(INDEX(ERP資料!$G:$G, (MATCH(194, 輔助計算!$G$2:$G$801, 0)+1)),"0.##"),IF(MOD(INDEX(輔助計算!$D:$D, (MATCH(194, 輔助計算!$G$2:$G$801, 0)+1)),IF(INDEX(ERP資料!$G:$G, (MATCH(194, 輔助計算!$G$2:$G$801, 0)+1))&lt;100, IF(INDEX(ERP資料!$G:$G, (MATCH(194, 輔助計算!$G$2:$G$801, 0)+1))&lt;=31,3,IF(INDEX(ERP資料!$G:$G, (MATCH(194, 輔助計算!$G$2:$G$801, 0)+1))&lt;=46.5,2,1)), IF(INDEX(ERP資料!$G:$G, (MATCH(194, 輔助計算!$G$2:$G$801, 0)+1))&lt;=790,3,IF(INDEX(ERP資料!$G:$G, (MATCH(194, 輔助計算!$G$2:$G$801, 0)+1))&lt;=1181,2,1))))=2,TEXT(INDEX(ERP資料!$G:$G, (MATCH(194, 輔助計算!$G$2:$G$801, 0)+1)),"0.##")&amp;"+"&amp;TEXT(INDEX(ERP資料!$G:$G, (MATCH(194, 輔助計算!$G$2:$G$801, 0)+1)),"0.##"),TEXT(INDEX(ERP資料!$G:$G, (MATCH(194, 輔助計算!$G$2:$G$801, 0)+1)),"0.##")&amp;"+"&amp;TEXT(INDEX(ERP資料!$G:$G, (MATCH(194, 輔助計算!$G$2:$G$801, 0)+1)),"0.##")&amp;"+"&amp;TEXT(INDEX(ERP資料!$G:$G, (MATCH(194, 輔助計算!$G$2:$G$801, 0)+1)),"0.##"))))&amp;"-1")&lt;&gt;""),"  ","")&amp;IF(MOD(INDEX(輔助計算!$D:$D, (MATCH(194, 輔助計算!$G$2:$G$801, 0)+1)),IF(INDEX(ERP資料!$G:$G, (MATCH(194, 輔助計算!$G$2:$G$801, 0)+1))&lt;100, IF(INDEX(ERP資料!$G:$G, (MATCH(194, 輔助計算!$G$2:$G$801, 0)+1))&lt;=31,3,IF(INDEX(ERP資料!$G:$G, (MATCH(194, 輔助計算!$G$2:$G$801, 0)+1))&lt;=46.5,2,1)), IF(INDEX(ERP資料!$G:$G, (MATCH(194, 輔助計算!$G$2:$G$801, 0)+1))&lt;=790,3,IF(INDEX(ERP資料!$G:$G, (MATCH(194, 輔助計算!$G$2:$G$801, 0)+1))&lt;=1181,2,1))))=0,"",IF(MOD(INDEX(輔助計算!$D:$D, (MATCH(194, 輔助計算!$G$2:$G$801, 0)+1)),IF(INDEX(ERP資料!$G:$G, (MATCH(194, 輔助計算!$G$2:$G$801, 0)+1))&lt;100, IF(INDEX(ERP資料!$G:$G, (MATCH(194, 輔助計算!$G$2:$G$801, 0)+1))&lt;=31,3,IF(INDEX(ERP資料!$G:$G, (MATCH(194, 輔助計算!$G$2:$G$801, 0)+1))&lt;=46.5,2,1)), IF(INDEX(ERP資料!$G:$G, (MATCH(194, 輔助計算!$G$2:$G$801, 0)+1))&lt;=790,3,IF(INDEX(ERP資料!$G:$G, (MATCH(194, 輔助計算!$G$2:$G$801, 0)+1))&lt;=1181,2,1))))=0,"",IF(MOD(INDEX(輔助計算!$D:$D, (MATCH(194, 輔助計算!$G$2:$G$801, 0)+1)),IF(INDEX(ERP資料!$G:$G, (MATCH(194, 輔助計算!$G$2:$G$801, 0)+1))&lt;100, IF(INDEX(ERP資料!$G:$G, (MATCH(194, 輔助計算!$G$2:$G$801, 0)+1))&lt;=31,3,IF(INDEX(ERP資料!$G:$G, (MATCH(194, 輔助計算!$G$2:$G$801, 0)+1))&lt;=46.5,2,1)), IF(INDEX(ERP資料!$G:$G, (MATCH(194, 輔助計算!$G$2:$G$801, 0)+1))&lt;=790,3,IF(INDEX(ERP資料!$G:$G, (MATCH(194, 輔助計算!$G$2:$G$801, 0)+1))&lt;=1181,2,1))))=1,TEXT(INDEX(ERP資料!$G:$G, (MATCH(194, 輔助計算!$G$2:$G$801, 0)+1)),"0.##"),IF(MOD(INDEX(輔助計算!$D:$D, (MATCH(194, 輔助計算!$G$2:$G$801, 0)+1)),IF(INDEX(ERP資料!$G:$G, (MATCH(194, 輔助計算!$G$2:$G$801, 0)+1))&lt;100, IF(INDEX(ERP資料!$G:$G, (MATCH(194, 輔助計算!$G$2:$G$801, 0)+1))&lt;=31,3,IF(INDEX(ERP資料!$G:$G, (MATCH(194, 輔助計算!$G$2:$G$801, 0)+1))&lt;=46.5,2,1)), IF(INDEX(ERP資料!$G:$G, (MATCH(194, 輔助計算!$G$2:$G$801, 0)+1))&lt;=790,3,IF(INDEX(ERP資料!$G:$G, (MATCH(194, 輔助計算!$G$2:$G$801, 0)+1))&lt;=1181,2,1))))=2,TEXT(INDEX(ERP資料!$G:$G, (MATCH(194, 輔助計算!$G$2:$G$801, 0)+1)),"0.##")&amp;"+"&amp;TEXT(INDEX(ERP資料!$G:$G, (MATCH(194, 輔助計算!$G$2:$G$801, 0)+1)),"0.##"),TEXT(INDEX(ERP資料!$G:$G, (MATCH(194, 輔助計算!$G$2:$G$801, 0)+1)),"0.##")&amp;"+"&amp;TEXT(INDEX(ERP資料!$G:$G, (MATCH(194, 輔助計算!$G$2:$G$801, 0)+1)),"0.##")&amp;"+"&amp;TEXT(INDEX(ERP資料!$G:$G, (MATCH(194, 輔助計算!$G$2:$G$801, 0)+1)),"0.##"))))&amp;"-1")), ""), "")</f>
        <v/>
      </c>
      <c r="K195" s="16" t="n"/>
      <c r="L195" s="14">
        <f>IFERROR(IF(AND(IFERROR(INDEX(ERP資料!$A:$A, (MATCH(194, 輔助計算!$G$2:$G$801, 0)+1)), "")&lt;&gt;"", IFERROR(INDEX(ERP資料!$A:$A, (MATCH(194, 輔助計算!$G$2:$G$801, 0)+1)), "")&lt;&gt;IFERROR(INDEX(ERP資料!$A:$A, MATCH(193, 輔助計算!$G$2:$G$801, 0)+1), "")), INDEX(ERP資料!$B:$B, (MATCH(194, 輔助計算!$G$2:$G$801, 0)+1)), ""), "")</f>
        <v/>
      </c>
      <c r="M195" s="17" t="n"/>
    </row>
    <row r="196">
      <c r="A196" s="10">
        <f>IFERROR(IF(AND(IFERROR(INDEX(ERP資料!$A:$A, (MATCH(195, 輔助計算!$G$2:$G$801, 0)+1)), "")&lt;&gt;"", IFERROR(INDEX(ERP資料!$A:$A, (MATCH(195, 輔助計算!$G$2:$G$801, 0)+1)), "")&lt;&gt;IFERROR(INDEX(ERP資料!$A:$A, MATCH(194, 輔助計算!$G$2:$G$801, 0)+1), "")), IFERROR(INDEX(ERP資料!$A:$A, (MATCH(195, 輔助計算!$G$2:$G$801, 0)+1)), ""), ""), "")</f>
        <v/>
      </c>
      <c r="B196" s="10">
        <f>IFERROR(IF(AND(IFERROR(INDEX(ERP資料!$A:$A, (MATCH(195, 輔助計算!$G$2:$G$801, 0)+1)), "")&lt;&gt;"", IFERROR(INDEX(ERP資料!$A:$A, (MATCH(195, 輔助計算!$G$2:$G$801, 0)+1)), "")&lt;&gt;IFERROR(INDEX(ERP資料!$A:$A, MATCH(194, 輔助計算!$G$2:$G$801, 0)+1), "")), INDEX(ERP資料!$S:$S, (MATCH(195, 輔助計算!$G$2:$G$801, 0)+1)), ""), "")</f>
        <v/>
      </c>
      <c r="C196" s="19">
        <f>IFERROR(IF(AND(IFERROR(INDEX(ERP資料!$A:$A, (MATCH(195, 輔助計算!$G$2:$G$801, 0)+1)), "")&lt;&gt;"", IFERROR(INDEX(ERP資料!$A:$A, (MATCH(195, 輔助計算!$G$2:$G$801, 0)+1)), "")&lt;&gt;IFERROR(INDEX(ERP資料!$A:$A, MATCH(194, 輔助計算!$G$2:$G$801, 0)+1), "")), IFERROR(VLOOKUP(LEFT(INDEX(ERP資料!$S:$S, (MATCH(195, 輔助計算!$G$2:$G$801, 0)+1)), 4), 紙管對照表!$A:$C, 3, FALSE), ""), ""), "")</f>
        <v/>
      </c>
      <c r="D196" s="16" t="n"/>
      <c r="E196" s="10">
        <f>IFERROR(IF(INDEX(ERP資料!$H:$H, (MATCH(195, 輔助計算!$G$2:$G$801, 0)+1))="","",INDEX(ERP資料!$H:$H, (MATCH(195, 輔助計算!$G$2:$G$801, 0)+1))), "")</f>
        <v/>
      </c>
      <c r="F196" s="10">
        <f>IFERROR(IF(INDEX(ERP資料!$E:$E, (MATCH(195, 輔助計算!$G$2:$G$801, 0)+1))="","",TRIM(INDEX(ERP資料!$E:$E, (MATCH(195, 輔助計算!$G$2:$G$801, 0)+1)))), "")</f>
        <v/>
      </c>
      <c r="G196" s="10">
        <f>IFERROR(IF(INDEX(ERP資料!$F:$F, (MATCH(195, 輔助計算!$G$2:$G$801, 0)+1))="","",INDEX(ERP資料!$F:$F, (MATCH(195, 輔助計算!$G$2:$G$801, 0)+1))), "")</f>
        <v/>
      </c>
      <c r="H196" s="10">
        <f>IFERROR(IF(INDEX(ERP資料!$G:$G, (MATCH(195, 輔助計算!$G$2:$G$801, 0)+1))="","",INDEX(ERP資料!$G:$G, (MATCH(195, 輔助計算!$G$2:$G$801, 0)+1))), "")</f>
        <v/>
      </c>
      <c r="I196" s="15">
        <f>IFERROR(INDEX(輔助計算!$D:$D, (MATCH(195, 輔助計算!$G$2:$G$801, 0)+1)), "")</f>
        <v/>
      </c>
      <c r="J196" s="15">
        <f>IFERROR(IF(AND(INDEX(輔助計算!$D:$D, (MATCH(195, 輔助計算!$G$2:$G$801, 0)+1))&lt;&gt;"", INDEX(ERP資料!$G:$G, (MATCH(195, 輔助計算!$G$2:$G$801, 0)+1))&lt;&gt;""), TRIM(IF(INT(INDEX(輔助計算!$D:$D, (MATCH(195, 輔助計算!$G$2:$G$801, 0)+1))/IF(INDEX(ERP資料!$G:$G, (MATCH(195, 輔助計算!$G$2:$G$801, 0)+1))&lt;100, IF(INDEX(ERP資料!$G:$G, (MATCH(195, 輔助計算!$G$2:$G$801, 0)+1))&lt;=31,3,IF(INDEX(ERP資料!$G:$G, (MATCH(195, 輔助計算!$G$2:$G$801, 0)+1))&lt;=46.5,2,1)), IF(INDEX(ERP資料!$G:$G, (MATCH(195, 輔助計算!$G$2:$G$801, 0)+1))&lt;=790,3,IF(INDEX(ERP資料!$G:$G, (MATCH(195, 輔助計算!$G$2:$G$801, 0)+1))&lt;=1181,2,1))))&gt;0, IF(IF(INDEX(ERP資料!$G:$G, (MATCH(195, 輔助計算!$G$2:$G$801, 0)+1))&lt;100, IF(INDEX(ERP資料!$G:$G, (MATCH(195, 輔助計算!$G$2:$G$801, 0)+1))&lt;=31,3,IF(INDEX(ERP資料!$G:$G, (MATCH(195, 輔助計算!$G$2:$G$801, 0)+1))&lt;=46.5,2,1)), IF(INDEX(ERP資料!$G:$G, (MATCH(195, 輔助計算!$G$2:$G$801, 0)+1))&lt;=790,3,IF(INDEX(ERP資料!$G:$G, (MATCH(195, 輔助計算!$G$2:$G$801, 0)+1))&lt;=1181,2,1)))=1,TEXT(INDEX(ERP資料!$G:$G, (MATCH(195, 輔助計算!$G$2:$G$801, 0)+1)),"0.##"),IF(IF(INDEX(ERP資料!$G:$G, (MATCH(195, 輔助計算!$G$2:$G$801, 0)+1))&lt;100, IF(INDEX(ERP資料!$G:$G, (MATCH(195, 輔助計算!$G$2:$G$801, 0)+1))&lt;=31,3,IF(INDEX(ERP資料!$G:$G, (MATCH(195, 輔助計算!$G$2:$G$801, 0)+1))&lt;=46.5,2,1)), IF(INDEX(ERP資料!$G:$G, (MATCH(195, 輔助計算!$G$2:$G$801, 0)+1))&lt;=790,3,IF(INDEX(ERP資料!$G:$G, (MATCH(195, 輔助計算!$G$2:$G$801, 0)+1))&lt;=1181,2,1)))=2,TEXT(INDEX(ERP資料!$G:$G, (MATCH(195, 輔助計算!$G$2:$G$801, 0)+1)),"0.##")&amp;"+"&amp;TEXT(INDEX(ERP資料!$G:$G, (MATCH(195, 輔助計算!$G$2:$G$801, 0)+1)),"0.##"),TEXT(INDEX(ERP資料!$G:$G, (MATCH(195, 輔助計算!$G$2:$G$801, 0)+1)),"0.##")&amp;"+"&amp;TEXT(INDEX(ERP資料!$G:$G, (MATCH(195, 輔助計算!$G$2:$G$801, 0)+1)),"0.##")&amp;"+"&amp;TEXT(INDEX(ERP資料!$G:$G, (MATCH(195, 輔助計算!$G$2:$G$801, 0)+1)),"0.##")))&amp;"-"&amp;INT(INDEX(輔助計算!$D:$D, (MATCH(195, 輔助計算!$G$2:$G$801, 0)+1))/IF(INDEX(ERP資料!$G:$G, (MATCH(195, 輔助計算!$G$2:$G$801, 0)+1))&lt;100, IF(INDEX(ERP資料!$G:$G, (MATCH(195, 輔助計算!$G$2:$G$801, 0)+1))&lt;=31,3,IF(INDEX(ERP資料!$G:$G, (MATCH(195, 輔助計算!$G$2:$G$801, 0)+1))&lt;=46.5,2,1)), IF(INDEX(ERP資料!$G:$G, (MATCH(195, 輔助計算!$G$2:$G$801, 0)+1))&lt;=790,3,IF(INDEX(ERP資料!$G:$G, (MATCH(195, 輔助計算!$G$2:$G$801, 0)+1))&lt;=1181,2,1)))), "")&amp;IF(AND(IF(INT(INDEX(輔助計算!$D:$D, (MATCH(195, 輔助計算!$G$2:$G$801, 0)+1))/IF(INDEX(ERP資料!$G:$G, (MATCH(195, 輔助計算!$G$2:$G$801, 0)+1))&lt;100, IF(INDEX(ERP資料!$G:$G, (MATCH(195, 輔助計算!$G$2:$G$801, 0)+1))&lt;=31,3,IF(INDEX(ERP資料!$G:$G, (MATCH(195, 輔助計算!$G$2:$G$801, 0)+1))&lt;=46.5,2,1)), IF(INDEX(ERP資料!$G:$G, (MATCH(195, 輔助計算!$G$2:$G$801, 0)+1))&lt;=790,3,IF(INDEX(ERP資料!$G:$G, (MATCH(195, 輔助計算!$G$2:$G$801, 0)+1))&lt;=1181,2,1))))&gt;0, IF(IF(INDEX(ERP資料!$G:$G, (MATCH(195, 輔助計算!$G$2:$G$801, 0)+1))&lt;100, IF(INDEX(ERP資料!$G:$G, (MATCH(195, 輔助計算!$G$2:$G$801, 0)+1))&lt;=31,3,IF(INDEX(ERP資料!$G:$G, (MATCH(195, 輔助計算!$G$2:$G$801, 0)+1))&lt;=46.5,2,1)), IF(INDEX(ERP資料!$G:$G, (MATCH(195, 輔助計算!$G$2:$G$801, 0)+1))&lt;=790,3,IF(INDEX(ERP資料!$G:$G, (MATCH(195, 輔助計算!$G$2:$G$801, 0)+1))&lt;=1181,2,1)))=1,TEXT(INDEX(ERP資料!$G:$G, (MATCH(195, 輔助計算!$G$2:$G$801, 0)+1)),"0.##"),IF(IF(INDEX(ERP資料!$G:$G, (MATCH(195, 輔助計算!$G$2:$G$801, 0)+1))&lt;100, IF(INDEX(ERP資料!$G:$G, (MATCH(195, 輔助計算!$G$2:$G$801, 0)+1))&lt;=31,3,IF(INDEX(ERP資料!$G:$G, (MATCH(195, 輔助計算!$G$2:$G$801, 0)+1))&lt;=46.5,2,1)), IF(INDEX(ERP資料!$G:$G, (MATCH(195, 輔助計算!$G$2:$G$801, 0)+1))&lt;=790,3,IF(INDEX(ERP資料!$G:$G, (MATCH(195, 輔助計算!$G$2:$G$801, 0)+1))&lt;=1181,2,1)))=2,TEXT(INDEX(ERP資料!$G:$G, (MATCH(195, 輔助計算!$G$2:$G$801, 0)+1)),"0.##")&amp;"+"&amp;TEXT(INDEX(ERP資料!$G:$G, (MATCH(195, 輔助計算!$G$2:$G$801, 0)+1)),"0.##"),TEXT(INDEX(ERP資料!$G:$G, (MATCH(195, 輔助計算!$G$2:$G$801, 0)+1)),"0.##")&amp;"+"&amp;TEXT(INDEX(ERP資料!$G:$G, (MATCH(195, 輔助計算!$G$2:$G$801, 0)+1)),"0.##")&amp;"+"&amp;TEXT(INDEX(ERP資料!$G:$G, (MATCH(195, 輔助計算!$G$2:$G$801, 0)+1)),"0.##")))&amp;"-"&amp;INT(INDEX(輔助計算!$D:$D, (MATCH(195, 輔助計算!$G$2:$G$801, 0)+1))/IF(INDEX(ERP資料!$G:$G, (MATCH(195, 輔助計算!$G$2:$G$801, 0)+1))&lt;100, IF(INDEX(ERP資料!$G:$G, (MATCH(195, 輔助計算!$G$2:$G$801, 0)+1))&lt;=31,3,IF(INDEX(ERP資料!$G:$G, (MATCH(195, 輔助計算!$G$2:$G$801, 0)+1))&lt;=46.5,2,1)), IF(INDEX(ERP資料!$G:$G, (MATCH(195, 輔助計算!$G$2:$G$801, 0)+1))&lt;=790,3,IF(INDEX(ERP資料!$G:$G, (MATCH(195, 輔助計算!$G$2:$G$801, 0)+1))&lt;=1181,2,1)))), "")&lt;&gt;"",IF(MOD(INDEX(輔助計算!$D:$D, (MATCH(195, 輔助計算!$G$2:$G$801, 0)+1)),IF(INDEX(ERP資料!$G:$G, (MATCH(195, 輔助計算!$G$2:$G$801, 0)+1))&lt;100, IF(INDEX(ERP資料!$G:$G, (MATCH(195, 輔助計算!$G$2:$G$801, 0)+1))&lt;=31,3,IF(INDEX(ERP資料!$G:$G, (MATCH(195, 輔助計算!$G$2:$G$801, 0)+1))&lt;=46.5,2,1)), IF(INDEX(ERP資料!$G:$G, (MATCH(195, 輔助計算!$G$2:$G$801, 0)+1))&lt;=790,3,IF(INDEX(ERP資料!$G:$G, (MATCH(195, 輔助計算!$G$2:$G$801, 0)+1))&lt;=1181,2,1))))=0,"",IF(MOD(INDEX(輔助計算!$D:$D, (MATCH(195, 輔助計算!$G$2:$G$801, 0)+1)),IF(INDEX(ERP資料!$G:$G, (MATCH(195, 輔助計算!$G$2:$G$801, 0)+1))&lt;100, IF(INDEX(ERP資料!$G:$G, (MATCH(195, 輔助計算!$G$2:$G$801, 0)+1))&lt;=31,3,IF(INDEX(ERP資料!$G:$G, (MATCH(195, 輔助計算!$G$2:$G$801, 0)+1))&lt;=46.5,2,1)), IF(INDEX(ERP資料!$G:$G, (MATCH(195, 輔助計算!$G$2:$G$801, 0)+1))&lt;=790,3,IF(INDEX(ERP資料!$G:$G, (MATCH(195, 輔助計算!$G$2:$G$801, 0)+1))&lt;=1181,2,1))))=0,"",IF(MOD(INDEX(輔助計算!$D:$D, (MATCH(195, 輔助計算!$G$2:$G$801, 0)+1)),IF(INDEX(ERP資料!$G:$G, (MATCH(195, 輔助計算!$G$2:$G$801, 0)+1))&lt;100, IF(INDEX(ERP資料!$G:$G, (MATCH(195, 輔助計算!$G$2:$G$801, 0)+1))&lt;=31,3,IF(INDEX(ERP資料!$G:$G, (MATCH(195, 輔助計算!$G$2:$G$801, 0)+1))&lt;=46.5,2,1)), IF(INDEX(ERP資料!$G:$G, (MATCH(195, 輔助計算!$G$2:$G$801, 0)+1))&lt;=790,3,IF(INDEX(ERP資料!$G:$G, (MATCH(195, 輔助計算!$G$2:$G$801, 0)+1))&lt;=1181,2,1))))=1,TEXT(INDEX(ERP資料!$G:$G, (MATCH(195, 輔助計算!$G$2:$G$801, 0)+1)),"0.##"),IF(MOD(INDEX(輔助計算!$D:$D, (MATCH(195, 輔助計算!$G$2:$G$801, 0)+1)),IF(INDEX(ERP資料!$G:$G, (MATCH(195, 輔助計算!$G$2:$G$801, 0)+1))&lt;100, IF(INDEX(ERP資料!$G:$G, (MATCH(195, 輔助計算!$G$2:$G$801, 0)+1))&lt;=31,3,IF(INDEX(ERP資料!$G:$G, (MATCH(195, 輔助計算!$G$2:$G$801, 0)+1))&lt;=46.5,2,1)), IF(INDEX(ERP資料!$G:$G, (MATCH(195, 輔助計算!$G$2:$G$801, 0)+1))&lt;=790,3,IF(INDEX(ERP資料!$G:$G, (MATCH(195, 輔助計算!$G$2:$G$801, 0)+1))&lt;=1181,2,1))))=2,TEXT(INDEX(ERP資料!$G:$G, (MATCH(195, 輔助計算!$G$2:$G$801, 0)+1)),"0.##")&amp;"+"&amp;TEXT(INDEX(ERP資料!$G:$G, (MATCH(195, 輔助計算!$G$2:$G$801, 0)+1)),"0.##"),TEXT(INDEX(ERP資料!$G:$G, (MATCH(195, 輔助計算!$G$2:$G$801, 0)+1)),"0.##")&amp;"+"&amp;TEXT(INDEX(ERP資料!$G:$G, (MATCH(195, 輔助計算!$G$2:$G$801, 0)+1)),"0.##")&amp;"+"&amp;TEXT(INDEX(ERP資料!$G:$G, (MATCH(195, 輔助計算!$G$2:$G$801, 0)+1)),"0.##"))))&amp;"-1")&lt;&gt;""),"  ","")&amp;IF(MOD(INDEX(輔助計算!$D:$D, (MATCH(195, 輔助計算!$G$2:$G$801, 0)+1)),IF(INDEX(ERP資料!$G:$G, (MATCH(195, 輔助計算!$G$2:$G$801, 0)+1))&lt;100, IF(INDEX(ERP資料!$G:$G, (MATCH(195, 輔助計算!$G$2:$G$801, 0)+1))&lt;=31,3,IF(INDEX(ERP資料!$G:$G, (MATCH(195, 輔助計算!$G$2:$G$801, 0)+1))&lt;=46.5,2,1)), IF(INDEX(ERP資料!$G:$G, (MATCH(195, 輔助計算!$G$2:$G$801, 0)+1))&lt;=790,3,IF(INDEX(ERP資料!$G:$G, (MATCH(195, 輔助計算!$G$2:$G$801, 0)+1))&lt;=1181,2,1))))=0,"",IF(MOD(INDEX(輔助計算!$D:$D, (MATCH(195, 輔助計算!$G$2:$G$801, 0)+1)),IF(INDEX(ERP資料!$G:$G, (MATCH(195, 輔助計算!$G$2:$G$801, 0)+1))&lt;100, IF(INDEX(ERP資料!$G:$G, (MATCH(195, 輔助計算!$G$2:$G$801, 0)+1))&lt;=31,3,IF(INDEX(ERP資料!$G:$G, (MATCH(195, 輔助計算!$G$2:$G$801, 0)+1))&lt;=46.5,2,1)), IF(INDEX(ERP資料!$G:$G, (MATCH(195, 輔助計算!$G$2:$G$801, 0)+1))&lt;=790,3,IF(INDEX(ERP資料!$G:$G, (MATCH(195, 輔助計算!$G$2:$G$801, 0)+1))&lt;=1181,2,1))))=0,"",IF(MOD(INDEX(輔助計算!$D:$D, (MATCH(195, 輔助計算!$G$2:$G$801, 0)+1)),IF(INDEX(ERP資料!$G:$G, (MATCH(195, 輔助計算!$G$2:$G$801, 0)+1))&lt;100, IF(INDEX(ERP資料!$G:$G, (MATCH(195, 輔助計算!$G$2:$G$801, 0)+1))&lt;=31,3,IF(INDEX(ERP資料!$G:$G, (MATCH(195, 輔助計算!$G$2:$G$801, 0)+1))&lt;=46.5,2,1)), IF(INDEX(ERP資料!$G:$G, (MATCH(195, 輔助計算!$G$2:$G$801, 0)+1))&lt;=790,3,IF(INDEX(ERP資料!$G:$G, (MATCH(195, 輔助計算!$G$2:$G$801, 0)+1))&lt;=1181,2,1))))=1,TEXT(INDEX(ERP資料!$G:$G, (MATCH(195, 輔助計算!$G$2:$G$801, 0)+1)),"0.##"),IF(MOD(INDEX(輔助計算!$D:$D, (MATCH(195, 輔助計算!$G$2:$G$801, 0)+1)),IF(INDEX(ERP資料!$G:$G, (MATCH(195, 輔助計算!$G$2:$G$801, 0)+1))&lt;100, IF(INDEX(ERP資料!$G:$G, (MATCH(195, 輔助計算!$G$2:$G$801, 0)+1))&lt;=31,3,IF(INDEX(ERP資料!$G:$G, (MATCH(195, 輔助計算!$G$2:$G$801, 0)+1))&lt;=46.5,2,1)), IF(INDEX(ERP資料!$G:$G, (MATCH(195, 輔助計算!$G$2:$G$801, 0)+1))&lt;=790,3,IF(INDEX(ERP資料!$G:$G, (MATCH(195, 輔助計算!$G$2:$G$801, 0)+1))&lt;=1181,2,1))))=2,TEXT(INDEX(ERP資料!$G:$G, (MATCH(195, 輔助計算!$G$2:$G$801, 0)+1)),"0.##")&amp;"+"&amp;TEXT(INDEX(ERP資料!$G:$G, (MATCH(195, 輔助計算!$G$2:$G$801, 0)+1)),"0.##"),TEXT(INDEX(ERP資料!$G:$G, (MATCH(195, 輔助計算!$G$2:$G$801, 0)+1)),"0.##")&amp;"+"&amp;TEXT(INDEX(ERP資料!$G:$G, (MATCH(195, 輔助計算!$G$2:$G$801, 0)+1)),"0.##")&amp;"+"&amp;TEXT(INDEX(ERP資料!$G:$G, (MATCH(195, 輔助計算!$G$2:$G$801, 0)+1)),"0.##"))))&amp;"-1")), ""), "")</f>
        <v/>
      </c>
      <c r="K196" s="16" t="n"/>
      <c r="L196" s="14">
        <f>IFERROR(IF(AND(IFERROR(INDEX(ERP資料!$A:$A, (MATCH(195, 輔助計算!$G$2:$G$801, 0)+1)), "")&lt;&gt;"", IFERROR(INDEX(ERP資料!$A:$A, (MATCH(195, 輔助計算!$G$2:$G$801, 0)+1)), "")&lt;&gt;IFERROR(INDEX(ERP資料!$A:$A, MATCH(194, 輔助計算!$G$2:$G$801, 0)+1), "")), INDEX(ERP資料!$B:$B, (MATCH(195, 輔助計算!$G$2:$G$801, 0)+1)), ""), "")</f>
        <v/>
      </c>
      <c r="M196" s="17" t="n"/>
    </row>
    <row r="197">
      <c r="A197" s="10">
        <f>IFERROR(IF(AND(IFERROR(INDEX(ERP資料!$A:$A, (MATCH(196, 輔助計算!$G$2:$G$801, 0)+1)), "")&lt;&gt;"", IFERROR(INDEX(ERP資料!$A:$A, (MATCH(196, 輔助計算!$G$2:$G$801, 0)+1)), "")&lt;&gt;IFERROR(INDEX(ERP資料!$A:$A, MATCH(195, 輔助計算!$G$2:$G$801, 0)+1), "")), IFERROR(INDEX(ERP資料!$A:$A, (MATCH(196, 輔助計算!$G$2:$G$801, 0)+1)), ""), ""), "")</f>
        <v/>
      </c>
      <c r="B197" s="10">
        <f>IFERROR(IF(AND(IFERROR(INDEX(ERP資料!$A:$A, (MATCH(196, 輔助計算!$G$2:$G$801, 0)+1)), "")&lt;&gt;"", IFERROR(INDEX(ERP資料!$A:$A, (MATCH(196, 輔助計算!$G$2:$G$801, 0)+1)), "")&lt;&gt;IFERROR(INDEX(ERP資料!$A:$A, MATCH(195, 輔助計算!$G$2:$G$801, 0)+1), "")), INDEX(ERP資料!$S:$S, (MATCH(196, 輔助計算!$G$2:$G$801, 0)+1)), ""), "")</f>
        <v/>
      </c>
      <c r="C197" s="19">
        <f>IFERROR(IF(AND(IFERROR(INDEX(ERP資料!$A:$A, (MATCH(196, 輔助計算!$G$2:$G$801, 0)+1)), "")&lt;&gt;"", IFERROR(INDEX(ERP資料!$A:$A, (MATCH(196, 輔助計算!$G$2:$G$801, 0)+1)), "")&lt;&gt;IFERROR(INDEX(ERP資料!$A:$A, MATCH(195, 輔助計算!$G$2:$G$801, 0)+1), "")), IFERROR(VLOOKUP(LEFT(INDEX(ERP資料!$S:$S, (MATCH(196, 輔助計算!$G$2:$G$801, 0)+1)), 4), 紙管對照表!$A:$C, 3, FALSE), ""), ""), "")</f>
        <v/>
      </c>
      <c r="D197" s="16" t="n"/>
      <c r="E197" s="10">
        <f>IFERROR(IF(INDEX(ERP資料!$H:$H, (MATCH(196, 輔助計算!$G$2:$G$801, 0)+1))="","",INDEX(ERP資料!$H:$H, (MATCH(196, 輔助計算!$G$2:$G$801, 0)+1))), "")</f>
        <v/>
      </c>
      <c r="F197" s="10">
        <f>IFERROR(IF(INDEX(ERP資料!$E:$E, (MATCH(196, 輔助計算!$G$2:$G$801, 0)+1))="","",TRIM(INDEX(ERP資料!$E:$E, (MATCH(196, 輔助計算!$G$2:$G$801, 0)+1)))), "")</f>
        <v/>
      </c>
      <c r="G197" s="10">
        <f>IFERROR(IF(INDEX(ERP資料!$F:$F, (MATCH(196, 輔助計算!$G$2:$G$801, 0)+1))="","",INDEX(ERP資料!$F:$F, (MATCH(196, 輔助計算!$G$2:$G$801, 0)+1))), "")</f>
        <v/>
      </c>
      <c r="H197" s="10">
        <f>IFERROR(IF(INDEX(ERP資料!$G:$G, (MATCH(196, 輔助計算!$G$2:$G$801, 0)+1))="","",INDEX(ERP資料!$G:$G, (MATCH(196, 輔助計算!$G$2:$G$801, 0)+1))), "")</f>
        <v/>
      </c>
      <c r="I197" s="15">
        <f>IFERROR(INDEX(輔助計算!$D:$D, (MATCH(196, 輔助計算!$G$2:$G$801, 0)+1)), "")</f>
        <v/>
      </c>
      <c r="J197" s="15">
        <f>IFERROR(IF(AND(INDEX(輔助計算!$D:$D, (MATCH(196, 輔助計算!$G$2:$G$801, 0)+1))&lt;&gt;"", INDEX(ERP資料!$G:$G, (MATCH(196, 輔助計算!$G$2:$G$801, 0)+1))&lt;&gt;""), TRIM(IF(INT(INDEX(輔助計算!$D:$D, (MATCH(196, 輔助計算!$G$2:$G$801, 0)+1))/IF(INDEX(ERP資料!$G:$G, (MATCH(196, 輔助計算!$G$2:$G$801, 0)+1))&lt;100, IF(INDEX(ERP資料!$G:$G, (MATCH(196, 輔助計算!$G$2:$G$801, 0)+1))&lt;=31,3,IF(INDEX(ERP資料!$G:$G, (MATCH(196, 輔助計算!$G$2:$G$801, 0)+1))&lt;=46.5,2,1)), IF(INDEX(ERP資料!$G:$G, (MATCH(196, 輔助計算!$G$2:$G$801, 0)+1))&lt;=790,3,IF(INDEX(ERP資料!$G:$G, (MATCH(196, 輔助計算!$G$2:$G$801, 0)+1))&lt;=1181,2,1))))&gt;0, IF(IF(INDEX(ERP資料!$G:$G, (MATCH(196, 輔助計算!$G$2:$G$801, 0)+1))&lt;100, IF(INDEX(ERP資料!$G:$G, (MATCH(196, 輔助計算!$G$2:$G$801, 0)+1))&lt;=31,3,IF(INDEX(ERP資料!$G:$G, (MATCH(196, 輔助計算!$G$2:$G$801, 0)+1))&lt;=46.5,2,1)), IF(INDEX(ERP資料!$G:$G, (MATCH(196, 輔助計算!$G$2:$G$801, 0)+1))&lt;=790,3,IF(INDEX(ERP資料!$G:$G, (MATCH(196, 輔助計算!$G$2:$G$801, 0)+1))&lt;=1181,2,1)))=1,TEXT(INDEX(ERP資料!$G:$G, (MATCH(196, 輔助計算!$G$2:$G$801, 0)+1)),"0.##"),IF(IF(INDEX(ERP資料!$G:$G, (MATCH(196, 輔助計算!$G$2:$G$801, 0)+1))&lt;100, IF(INDEX(ERP資料!$G:$G, (MATCH(196, 輔助計算!$G$2:$G$801, 0)+1))&lt;=31,3,IF(INDEX(ERP資料!$G:$G, (MATCH(196, 輔助計算!$G$2:$G$801, 0)+1))&lt;=46.5,2,1)), IF(INDEX(ERP資料!$G:$G, (MATCH(196, 輔助計算!$G$2:$G$801, 0)+1))&lt;=790,3,IF(INDEX(ERP資料!$G:$G, (MATCH(196, 輔助計算!$G$2:$G$801, 0)+1))&lt;=1181,2,1)))=2,TEXT(INDEX(ERP資料!$G:$G, (MATCH(196, 輔助計算!$G$2:$G$801, 0)+1)),"0.##")&amp;"+"&amp;TEXT(INDEX(ERP資料!$G:$G, (MATCH(196, 輔助計算!$G$2:$G$801, 0)+1)),"0.##"),TEXT(INDEX(ERP資料!$G:$G, (MATCH(196, 輔助計算!$G$2:$G$801, 0)+1)),"0.##")&amp;"+"&amp;TEXT(INDEX(ERP資料!$G:$G, (MATCH(196, 輔助計算!$G$2:$G$801, 0)+1)),"0.##")&amp;"+"&amp;TEXT(INDEX(ERP資料!$G:$G, (MATCH(196, 輔助計算!$G$2:$G$801, 0)+1)),"0.##")))&amp;"-"&amp;INT(INDEX(輔助計算!$D:$D, (MATCH(196, 輔助計算!$G$2:$G$801, 0)+1))/IF(INDEX(ERP資料!$G:$G, (MATCH(196, 輔助計算!$G$2:$G$801, 0)+1))&lt;100, IF(INDEX(ERP資料!$G:$G, (MATCH(196, 輔助計算!$G$2:$G$801, 0)+1))&lt;=31,3,IF(INDEX(ERP資料!$G:$G, (MATCH(196, 輔助計算!$G$2:$G$801, 0)+1))&lt;=46.5,2,1)), IF(INDEX(ERP資料!$G:$G, (MATCH(196, 輔助計算!$G$2:$G$801, 0)+1))&lt;=790,3,IF(INDEX(ERP資料!$G:$G, (MATCH(196, 輔助計算!$G$2:$G$801, 0)+1))&lt;=1181,2,1)))), "")&amp;IF(AND(IF(INT(INDEX(輔助計算!$D:$D, (MATCH(196, 輔助計算!$G$2:$G$801, 0)+1))/IF(INDEX(ERP資料!$G:$G, (MATCH(196, 輔助計算!$G$2:$G$801, 0)+1))&lt;100, IF(INDEX(ERP資料!$G:$G, (MATCH(196, 輔助計算!$G$2:$G$801, 0)+1))&lt;=31,3,IF(INDEX(ERP資料!$G:$G, (MATCH(196, 輔助計算!$G$2:$G$801, 0)+1))&lt;=46.5,2,1)), IF(INDEX(ERP資料!$G:$G, (MATCH(196, 輔助計算!$G$2:$G$801, 0)+1))&lt;=790,3,IF(INDEX(ERP資料!$G:$G, (MATCH(196, 輔助計算!$G$2:$G$801, 0)+1))&lt;=1181,2,1))))&gt;0, IF(IF(INDEX(ERP資料!$G:$G, (MATCH(196, 輔助計算!$G$2:$G$801, 0)+1))&lt;100, IF(INDEX(ERP資料!$G:$G, (MATCH(196, 輔助計算!$G$2:$G$801, 0)+1))&lt;=31,3,IF(INDEX(ERP資料!$G:$G, (MATCH(196, 輔助計算!$G$2:$G$801, 0)+1))&lt;=46.5,2,1)), IF(INDEX(ERP資料!$G:$G, (MATCH(196, 輔助計算!$G$2:$G$801, 0)+1))&lt;=790,3,IF(INDEX(ERP資料!$G:$G, (MATCH(196, 輔助計算!$G$2:$G$801, 0)+1))&lt;=1181,2,1)))=1,TEXT(INDEX(ERP資料!$G:$G, (MATCH(196, 輔助計算!$G$2:$G$801, 0)+1)),"0.##"),IF(IF(INDEX(ERP資料!$G:$G, (MATCH(196, 輔助計算!$G$2:$G$801, 0)+1))&lt;100, IF(INDEX(ERP資料!$G:$G, (MATCH(196, 輔助計算!$G$2:$G$801, 0)+1))&lt;=31,3,IF(INDEX(ERP資料!$G:$G, (MATCH(196, 輔助計算!$G$2:$G$801, 0)+1))&lt;=46.5,2,1)), IF(INDEX(ERP資料!$G:$G, (MATCH(196, 輔助計算!$G$2:$G$801, 0)+1))&lt;=790,3,IF(INDEX(ERP資料!$G:$G, (MATCH(196, 輔助計算!$G$2:$G$801, 0)+1))&lt;=1181,2,1)))=2,TEXT(INDEX(ERP資料!$G:$G, (MATCH(196, 輔助計算!$G$2:$G$801, 0)+1)),"0.##")&amp;"+"&amp;TEXT(INDEX(ERP資料!$G:$G, (MATCH(196, 輔助計算!$G$2:$G$801, 0)+1)),"0.##"),TEXT(INDEX(ERP資料!$G:$G, (MATCH(196, 輔助計算!$G$2:$G$801, 0)+1)),"0.##")&amp;"+"&amp;TEXT(INDEX(ERP資料!$G:$G, (MATCH(196, 輔助計算!$G$2:$G$801, 0)+1)),"0.##")&amp;"+"&amp;TEXT(INDEX(ERP資料!$G:$G, (MATCH(196, 輔助計算!$G$2:$G$801, 0)+1)),"0.##")))&amp;"-"&amp;INT(INDEX(輔助計算!$D:$D, (MATCH(196, 輔助計算!$G$2:$G$801, 0)+1))/IF(INDEX(ERP資料!$G:$G, (MATCH(196, 輔助計算!$G$2:$G$801, 0)+1))&lt;100, IF(INDEX(ERP資料!$G:$G, (MATCH(196, 輔助計算!$G$2:$G$801, 0)+1))&lt;=31,3,IF(INDEX(ERP資料!$G:$G, (MATCH(196, 輔助計算!$G$2:$G$801, 0)+1))&lt;=46.5,2,1)), IF(INDEX(ERP資料!$G:$G, (MATCH(196, 輔助計算!$G$2:$G$801, 0)+1))&lt;=790,3,IF(INDEX(ERP資料!$G:$G, (MATCH(196, 輔助計算!$G$2:$G$801, 0)+1))&lt;=1181,2,1)))), "")&lt;&gt;"",IF(MOD(INDEX(輔助計算!$D:$D, (MATCH(196, 輔助計算!$G$2:$G$801, 0)+1)),IF(INDEX(ERP資料!$G:$G, (MATCH(196, 輔助計算!$G$2:$G$801, 0)+1))&lt;100, IF(INDEX(ERP資料!$G:$G, (MATCH(196, 輔助計算!$G$2:$G$801, 0)+1))&lt;=31,3,IF(INDEX(ERP資料!$G:$G, (MATCH(196, 輔助計算!$G$2:$G$801, 0)+1))&lt;=46.5,2,1)), IF(INDEX(ERP資料!$G:$G, (MATCH(196, 輔助計算!$G$2:$G$801, 0)+1))&lt;=790,3,IF(INDEX(ERP資料!$G:$G, (MATCH(196, 輔助計算!$G$2:$G$801, 0)+1))&lt;=1181,2,1))))=0,"",IF(MOD(INDEX(輔助計算!$D:$D, (MATCH(196, 輔助計算!$G$2:$G$801, 0)+1)),IF(INDEX(ERP資料!$G:$G, (MATCH(196, 輔助計算!$G$2:$G$801, 0)+1))&lt;100, IF(INDEX(ERP資料!$G:$G, (MATCH(196, 輔助計算!$G$2:$G$801, 0)+1))&lt;=31,3,IF(INDEX(ERP資料!$G:$G, (MATCH(196, 輔助計算!$G$2:$G$801, 0)+1))&lt;=46.5,2,1)), IF(INDEX(ERP資料!$G:$G, (MATCH(196, 輔助計算!$G$2:$G$801, 0)+1))&lt;=790,3,IF(INDEX(ERP資料!$G:$G, (MATCH(196, 輔助計算!$G$2:$G$801, 0)+1))&lt;=1181,2,1))))=0,"",IF(MOD(INDEX(輔助計算!$D:$D, (MATCH(196, 輔助計算!$G$2:$G$801, 0)+1)),IF(INDEX(ERP資料!$G:$G, (MATCH(196, 輔助計算!$G$2:$G$801, 0)+1))&lt;100, IF(INDEX(ERP資料!$G:$G, (MATCH(196, 輔助計算!$G$2:$G$801, 0)+1))&lt;=31,3,IF(INDEX(ERP資料!$G:$G, (MATCH(196, 輔助計算!$G$2:$G$801, 0)+1))&lt;=46.5,2,1)), IF(INDEX(ERP資料!$G:$G, (MATCH(196, 輔助計算!$G$2:$G$801, 0)+1))&lt;=790,3,IF(INDEX(ERP資料!$G:$G, (MATCH(196, 輔助計算!$G$2:$G$801, 0)+1))&lt;=1181,2,1))))=1,TEXT(INDEX(ERP資料!$G:$G, (MATCH(196, 輔助計算!$G$2:$G$801, 0)+1)),"0.##"),IF(MOD(INDEX(輔助計算!$D:$D, (MATCH(196, 輔助計算!$G$2:$G$801, 0)+1)),IF(INDEX(ERP資料!$G:$G, (MATCH(196, 輔助計算!$G$2:$G$801, 0)+1))&lt;100, IF(INDEX(ERP資料!$G:$G, (MATCH(196, 輔助計算!$G$2:$G$801, 0)+1))&lt;=31,3,IF(INDEX(ERP資料!$G:$G, (MATCH(196, 輔助計算!$G$2:$G$801, 0)+1))&lt;=46.5,2,1)), IF(INDEX(ERP資料!$G:$G, (MATCH(196, 輔助計算!$G$2:$G$801, 0)+1))&lt;=790,3,IF(INDEX(ERP資料!$G:$G, (MATCH(196, 輔助計算!$G$2:$G$801, 0)+1))&lt;=1181,2,1))))=2,TEXT(INDEX(ERP資料!$G:$G, (MATCH(196, 輔助計算!$G$2:$G$801, 0)+1)),"0.##")&amp;"+"&amp;TEXT(INDEX(ERP資料!$G:$G, (MATCH(196, 輔助計算!$G$2:$G$801, 0)+1)),"0.##"),TEXT(INDEX(ERP資料!$G:$G, (MATCH(196, 輔助計算!$G$2:$G$801, 0)+1)),"0.##")&amp;"+"&amp;TEXT(INDEX(ERP資料!$G:$G, (MATCH(196, 輔助計算!$G$2:$G$801, 0)+1)),"0.##")&amp;"+"&amp;TEXT(INDEX(ERP資料!$G:$G, (MATCH(196, 輔助計算!$G$2:$G$801, 0)+1)),"0.##"))))&amp;"-1")&lt;&gt;""),"  ","")&amp;IF(MOD(INDEX(輔助計算!$D:$D, (MATCH(196, 輔助計算!$G$2:$G$801, 0)+1)),IF(INDEX(ERP資料!$G:$G, (MATCH(196, 輔助計算!$G$2:$G$801, 0)+1))&lt;100, IF(INDEX(ERP資料!$G:$G, (MATCH(196, 輔助計算!$G$2:$G$801, 0)+1))&lt;=31,3,IF(INDEX(ERP資料!$G:$G, (MATCH(196, 輔助計算!$G$2:$G$801, 0)+1))&lt;=46.5,2,1)), IF(INDEX(ERP資料!$G:$G, (MATCH(196, 輔助計算!$G$2:$G$801, 0)+1))&lt;=790,3,IF(INDEX(ERP資料!$G:$G, (MATCH(196, 輔助計算!$G$2:$G$801, 0)+1))&lt;=1181,2,1))))=0,"",IF(MOD(INDEX(輔助計算!$D:$D, (MATCH(196, 輔助計算!$G$2:$G$801, 0)+1)),IF(INDEX(ERP資料!$G:$G, (MATCH(196, 輔助計算!$G$2:$G$801, 0)+1))&lt;100, IF(INDEX(ERP資料!$G:$G, (MATCH(196, 輔助計算!$G$2:$G$801, 0)+1))&lt;=31,3,IF(INDEX(ERP資料!$G:$G, (MATCH(196, 輔助計算!$G$2:$G$801, 0)+1))&lt;=46.5,2,1)), IF(INDEX(ERP資料!$G:$G, (MATCH(196, 輔助計算!$G$2:$G$801, 0)+1))&lt;=790,3,IF(INDEX(ERP資料!$G:$G, (MATCH(196, 輔助計算!$G$2:$G$801, 0)+1))&lt;=1181,2,1))))=0,"",IF(MOD(INDEX(輔助計算!$D:$D, (MATCH(196, 輔助計算!$G$2:$G$801, 0)+1)),IF(INDEX(ERP資料!$G:$G, (MATCH(196, 輔助計算!$G$2:$G$801, 0)+1))&lt;100, IF(INDEX(ERP資料!$G:$G, (MATCH(196, 輔助計算!$G$2:$G$801, 0)+1))&lt;=31,3,IF(INDEX(ERP資料!$G:$G, (MATCH(196, 輔助計算!$G$2:$G$801, 0)+1))&lt;=46.5,2,1)), IF(INDEX(ERP資料!$G:$G, (MATCH(196, 輔助計算!$G$2:$G$801, 0)+1))&lt;=790,3,IF(INDEX(ERP資料!$G:$G, (MATCH(196, 輔助計算!$G$2:$G$801, 0)+1))&lt;=1181,2,1))))=1,TEXT(INDEX(ERP資料!$G:$G, (MATCH(196, 輔助計算!$G$2:$G$801, 0)+1)),"0.##"),IF(MOD(INDEX(輔助計算!$D:$D, (MATCH(196, 輔助計算!$G$2:$G$801, 0)+1)),IF(INDEX(ERP資料!$G:$G, (MATCH(196, 輔助計算!$G$2:$G$801, 0)+1))&lt;100, IF(INDEX(ERP資料!$G:$G, (MATCH(196, 輔助計算!$G$2:$G$801, 0)+1))&lt;=31,3,IF(INDEX(ERP資料!$G:$G, (MATCH(196, 輔助計算!$G$2:$G$801, 0)+1))&lt;=46.5,2,1)), IF(INDEX(ERP資料!$G:$G, (MATCH(196, 輔助計算!$G$2:$G$801, 0)+1))&lt;=790,3,IF(INDEX(ERP資料!$G:$G, (MATCH(196, 輔助計算!$G$2:$G$801, 0)+1))&lt;=1181,2,1))))=2,TEXT(INDEX(ERP資料!$G:$G, (MATCH(196, 輔助計算!$G$2:$G$801, 0)+1)),"0.##")&amp;"+"&amp;TEXT(INDEX(ERP資料!$G:$G, (MATCH(196, 輔助計算!$G$2:$G$801, 0)+1)),"0.##"),TEXT(INDEX(ERP資料!$G:$G, (MATCH(196, 輔助計算!$G$2:$G$801, 0)+1)),"0.##")&amp;"+"&amp;TEXT(INDEX(ERP資料!$G:$G, (MATCH(196, 輔助計算!$G$2:$G$801, 0)+1)),"0.##")&amp;"+"&amp;TEXT(INDEX(ERP資料!$G:$G, (MATCH(196, 輔助計算!$G$2:$G$801, 0)+1)),"0.##"))))&amp;"-1")), ""), "")</f>
        <v/>
      </c>
      <c r="K197" s="16" t="n"/>
      <c r="L197" s="14">
        <f>IFERROR(IF(AND(IFERROR(INDEX(ERP資料!$A:$A, (MATCH(196, 輔助計算!$G$2:$G$801, 0)+1)), "")&lt;&gt;"", IFERROR(INDEX(ERP資料!$A:$A, (MATCH(196, 輔助計算!$G$2:$G$801, 0)+1)), "")&lt;&gt;IFERROR(INDEX(ERP資料!$A:$A, MATCH(195, 輔助計算!$G$2:$G$801, 0)+1), "")), INDEX(ERP資料!$B:$B, (MATCH(196, 輔助計算!$G$2:$G$801, 0)+1)), ""), "")</f>
        <v/>
      </c>
      <c r="M197" s="17" t="n"/>
    </row>
    <row r="198">
      <c r="A198" s="10">
        <f>IFERROR(IF(AND(IFERROR(INDEX(ERP資料!$A:$A, (MATCH(197, 輔助計算!$G$2:$G$801, 0)+1)), "")&lt;&gt;"", IFERROR(INDEX(ERP資料!$A:$A, (MATCH(197, 輔助計算!$G$2:$G$801, 0)+1)), "")&lt;&gt;IFERROR(INDEX(ERP資料!$A:$A, MATCH(196, 輔助計算!$G$2:$G$801, 0)+1), "")), IFERROR(INDEX(ERP資料!$A:$A, (MATCH(197, 輔助計算!$G$2:$G$801, 0)+1)), ""), ""), "")</f>
        <v/>
      </c>
      <c r="B198" s="10">
        <f>IFERROR(IF(AND(IFERROR(INDEX(ERP資料!$A:$A, (MATCH(197, 輔助計算!$G$2:$G$801, 0)+1)), "")&lt;&gt;"", IFERROR(INDEX(ERP資料!$A:$A, (MATCH(197, 輔助計算!$G$2:$G$801, 0)+1)), "")&lt;&gt;IFERROR(INDEX(ERP資料!$A:$A, MATCH(196, 輔助計算!$G$2:$G$801, 0)+1), "")), INDEX(ERP資料!$S:$S, (MATCH(197, 輔助計算!$G$2:$G$801, 0)+1)), ""), "")</f>
        <v/>
      </c>
      <c r="C198" s="19">
        <f>IFERROR(IF(AND(IFERROR(INDEX(ERP資料!$A:$A, (MATCH(197, 輔助計算!$G$2:$G$801, 0)+1)), "")&lt;&gt;"", IFERROR(INDEX(ERP資料!$A:$A, (MATCH(197, 輔助計算!$G$2:$G$801, 0)+1)), "")&lt;&gt;IFERROR(INDEX(ERP資料!$A:$A, MATCH(196, 輔助計算!$G$2:$G$801, 0)+1), "")), IFERROR(VLOOKUP(LEFT(INDEX(ERP資料!$S:$S, (MATCH(197, 輔助計算!$G$2:$G$801, 0)+1)), 4), 紙管對照表!$A:$C, 3, FALSE), ""), ""), "")</f>
        <v/>
      </c>
      <c r="D198" s="16" t="n"/>
      <c r="E198" s="10">
        <f>IFERROR(IF(INDEX(ERP資料!$H:$H, (MATCH(197, 輔助計算!$G$2:$G$801, 0)+1))="","",INDEX(ERP資料!$H:$H, (MATCH(197, 輔助計算!$G$2:$G$801, 0)+1))), "")</f>
        <v/>
      </c>
      <c r="F198" s="10">
        <f>IFERROR(IF(INDEX(ERP資料!$E:$E, (MATCH(197, 輔助計算!$G$2:$G$801, 0)+1))="","",TRIM(INDEX(ERP資料!$E:$E, (MATCH(197, 輔助計算!$G$2:$G$801, 0)+1)))), "")</f>
        <v/>
      </c>
      <c r="G198" s="10">
        <f>IFERROR(IF(INDEX(ERP資料!$F:$F, (MATCH(197, 輔助計算!$G$2:$G$801, 0)+1))="","",INDEX(ERP資料!$F:$F, (MATCH(197, 輔助計算!$G$2:$G$801, 0)+1))), "")</f>
        <v/>
      </c>
      <c r="H198" s="10">
        <f>IFERROR(IF(INDEX(ERP資料!$G:$G, (MATCH(197, 輔助計算!$G$2:$G$801, 0)+1))="","",INDEX(ERP資料!$G:$G, (MATCH(197, 輔助計算!$G$2:$G$801, 0)+1))), "")</f>
        <v/>
      </c>
      <c r="I198" s="15">
        <f>IFERROR(INDEX(輔助計算!$D:$D, (MATCH(197, 輔助計算!$G$2:$G$801, 0)+1)), "")</f>
        <v/>
      </c>
      <c r="J198" s="15">
        <f>IFERROR(IF(AND(INDEX(輔助計算!$D:$D, (MATCH(197, 輔助計算!$G$2:$G$801, 0)+1))&lt;&gt;"", INDEX(ERP資料!$G:$G, (MATCH(197, 輔助計算!$G$2:$G$801, 0)+1))&lt;&gt;""), TRIM(IF(INT(INDEX(輔助計算!$D:$D, (MATCH(197, 輔助計算!$G$2:$G$801, 0)+1))/IF(INDEX(ERP資料!$G:$G, (MATCH(197, 輔助計算!$G$2:$G$801, 0)+1))&lt;100, IF(INDEX(ERP資料!$G:$G, (MATCH(197, 輔助計算!$G$2:$G$801, 0)+1))&lt;=31,3,IF(INDEX(ERP資料!$G:$G, (MATCH(197, 輔助計算!$G$2:$G$801, 0)+1))&lt;=46.5,2,1)), IF(INDEX(ERP資料!$G:$G, (MATCH(197, 輔助計算!$G$2:$G$801, 0)+1))&lt;=790,3,IF(INDEX(ERP資料!$G:$G, (MATCH(197, 輔助計算!$G$2:$G$801, 0)+1))&lt;=1181,2,1))))&gt;0, IF(IF(INDEX(ERP資料!$G:$G, (MATCH(197, 輔助計算!$G$2:$G$801, 0)+1))&lt;100, IF(INDEX(ERP資料!$G:$G, (MATCH(197, 輔助計算!$G$2:$G$801, 0)+1))&lt;=31,3,IF(INDEX(ERP資料!$G:$G, (MATCH(197, 輔助計算!$G$2:$G$801, 0)+1))&lt;=46.5,2,1)), IF(INDEX(ERP資料!$G:$G, (MATCH(197, 輔助計算!$G$2:$G$801, 0)+1))&lt;=790,3,IF(INDEX(ERP資料!$G:$G, (MATCH(197, 輔助計算!$G$2:$G$801, 0)+1))&lt;=1181,2,1)))=1,TEXT(INDEX(ERP資料!$G:$G, (MATCH(197, 輔助計算!$G$2:$G$801, 0)+1)),"0.##"),IF(IF(INDEX(ERP資料!$G:$G, (MATCH(197, 輔助計算!$G$2:$G$801, 0)+1))&lt;100, IF(INDEX(ERP資料!$G:$G, (MATCH(197, 輔助計算!$G$2:$G$801, 0)+1))&lt;=31,3,IF(INDEX(ERP資料!$G:$G, (MATCH(197, 輔助計算!$G$2:$G$801, 0)+1))&lt;=46.5,2,1)), IF(INDEX(ERP資料!$G:$G, (MATCH(197, 輔助計算!$G$2:$G$801, 0)+1))&lt;=790,3,IF(INDEX(ERP資料!$G:$G, (MATCH(197, 輔助計算!$G$2:$G$801, 0)+1))&lt;=1181,2,1)))=2,TEXT(INDEX(ERP資料!$G:$G, (MATCH(197, 輔助計算!$G$2:$G$801, 0)+1)),"0.##")&amp;"+"&amp;TEXT(INDEX(ERP資料!$G:$G, (MATCH(197, 輔助計算!$G$2:$G$801, 0)+1)),"0.##"),TEXT(INDEX(ERP資料!$G:$G, (MATCH(197, 輔助計算!$G$2:$G$801, 0)+1)),"0.##")&amp;"+"&amp;TEXT(INDEX(ERP資料!$G:$G, (MATCH(197, 輔助計算!$G$2:$G$801, 0)+1)),"0.##")&amp;"+"&amp;TEXT(INDEX(ERP資料!$G:$G, (MATCH(197, 輔助計算!$G$2:$G$801, 0)+1)),"0.##")))&amp;"-"&amp;INT(INDEX(輔助計算!$D:$D, (MATCH(197, 輔助計算!$G$2:$G$801, 0)+1))/IF(INDEX(ERP資料!$G:$G, (MATCH(197, 輔助計算!$G$2:$G$801, 0)+1))&lt;100, IF(INDEX(ERP資料!$G:$G, (MATCH(197, 輔助計算!$G$2:$G$801, 0)+1))&lt;=31,3,IF(INDEX(ERP資料!$G:$G, (MATCH(197, 輔助計算!$G$2:$G$801, 0)+1))&lt;=46.5,2,1)), IF(INDEX(ERP資料!$G:$G, (MATCH(197, 輔助計算!$G$2:$G$801, 0)+1))&lt;=790,3,IF(INDEX(ERP資料!$G:$G, (MATCH(197, 輔助計算!$G$2:$G$801, 0)+1))&lt;=1181,2,1)))), "")&amp;IF(AND(IF(INT(INDEX(輔助計算!$D:$D, (MATCH(197, 輔助計算!$G$2:$G$801, 0)+1))/IF(INDEX(ERP資料!$G:$G, (MATCH(197, 輔助計算!$G$2:$G$801, 0)+1))&lt;100, IF(INDEX(ERP資料!$G:$G, (MATCH(197, 輔助計算!$G$2:$G$801, 0)+1))&lt;=31,3,IF(INDEX(ERP資料!$G:$G, (MATCH(197, 輔助計算!$G$2:$G$801, 0)+1))&lt;=46.5,2,1)), IF(INDEX(ERP資料!$G:$G, (MATCH(197, 輔助計算!$G$2:$G$801, 0)+1))&lt;=790,3,IF(INDEX(ERP資料!$G:$G, (MATCH(197, 輔助計算!$G$2:$G$801, 0)+1))&lt;=1181,2,1))))&gt;0, IF(IF(INDEX(ERP資料!$G:$G, (MATCH(197, 輔助計算!$G$2:$G$801, 0)+1))&lt;100, IF(INDEX(ERP資料!$G:$G, (MATCH(197, 輔助計算!$G$2:$G$801, 0)+1))&lt;=31,3,IF(INDEX(ERP資料!$G:$G, (MATCH(197, 輔助計算!$G$2:$G$801, 0)+1))&lt;=46.5,2,1)), IF(INDEX(ERP資料!$G:$G, (MATCH(197, 輔助計算!$G$2:$G$801, 0)+1))&lt;=790,3,IF(INDEX(ERP資料!$G:$G, (MATCH(197, 輔助計算!$G$2:$G$801, 0)+1))&lt;=1181,2,1)))=1,TEXT(INDEX(ERP資料!$G:$G, (MATCH(197, 輔助計算!$G$2:$G$801, 0)+1)),"0.##"),IF(IF(INDEX(ERP資料!$G:$G, (MATCH(197, 輔助計算!$G$2:$G$801, 0)+1))&lt;100, IF(INDEX(ERP資料!$G:$G, (MATCH(197, 輔助計算!$G$2:$G$801, 0)+1))&lt;=31,3,IF(INDEX(ERP資料!$G:$G, (MATCH(197, 輔助計算!$G$2:$G$801, 0)+1))&lt;=46.5,2,1)), IF(INDEX(ERP資料!$G:$G, (MATCH(197, 輔助計算!$G$2:$G$801, 0)+1))&lt;=790,3,IF(INDEX(ERP資料!$G:$G, (MATCH(197, 輔助計算!$G$2:$G$801, 0)+1))&lt;=1181,2,1)))=2,TEXT(INDEX(ERP資料!$G:$G, (MATCH(197, 輔助計算!$G$2:$G$801, 0)+1)),"0.##")&amp;"+"&amp;TEXT(INDEX(ERP資料!$G:$G, (MATCH(197, 輔助計算!$G$2:$G$801, 0)+1)),"0.##"),TEXT(INDEX(ERP資料!$G:$G, (MATCH(197, 輔助計算!$G$2:$G$801, 0)+1)),"0.##")&amp;"+"&amp;TEXT(INDEX(ERP資料!$G:$G, (MATCH(197, 輔助計算!$G$2:$G$801, 0)+1)),"0.##")&amp;"+"&amp;TEXT(INDEX(ERP資料!$G:$G, (MATCH(197, 輔助計算!$G$2:$G$801, 0)+1)),"0.##")))&amp;"-"&amp;INT(INDEX(輔助計算!$D:$D, (MATCH(197, 輔助計算!$G$2:$G$801, 0)+1))/IF(INDEX(ERP資料!$G:$G, (MATCH(197, 輔助計算!$G$2:$G$801, 0)+1))&lt;100, IF(INDEX(ERP資料!$G:$G, (MATCH(197, 輔助計算!$G$2:$G$801, 0)+1))&lt;=31,3,IF(INDEX(ERP資料!$G:$G, (MATCH(197, 輔助計算!$G$2:$G$801, 0)+1))&lt;=46.5,2,1)), IF(INDEX(ERP資料!$G:$G, (MATCH(197, 輔助計算!$G$2:$G$801, 0)+1))&lt;=790,3,IF(INDEX(ERP資料!$G:$G, (MATCH(197, 輔助計算!$G$2:$G$801, 0)+1))&lt;=1181,2,1)))), "")&lt;&gt;"",IF(MOD(INDEX(輔助計算!$D:$D, (MATCH(197, 輔助計算!$G$2:$G$801, 0)+1)),IF(INDEX(ERP資料!$G:$G, (MATCH(197, 輔助計算!$G$2:$G$801, 0)+1))&lt;100, IF(INDEX(ERP資料!$G:$G, (MATCH(197, 輔助計算!$G$2:$G$801, 0)+1))&lt;=31,3,IF(INDEX(ERP資料!$G:$G, (MATCH(197, 輔助計算!$G$2:$G$801, 0)+1))&lt;=46.5,2,1)), IF(INDEX(ERP資料!$G:$G, (MATCH(197, 輔助計算!$G$2:$G$801, 0)+1))&lt;=790,3,IF(INDEX(ERP資料!$G:$G, (MATCH(197, 輔助計算!$G$2:$G$801, 0)+1))&lt;=1181,2,1))))=0,"",IF(MOD(INDEX(輔助計算!$D:$D, (MATCH(197, 輔助計算!$G$2:$G$801, 0)+1)),IF(INDEX(ERP資料!$G:$G, (MATCH(197, 輔助計算!$G$2:$G$801, 0)+1))&lt;100, IF(INDEX(ERP資料!$G:$G, (MATCH(197, 輔助計算!$G$2:$G$801, 0)+1))&lt;=31,3,IF(INDEX(ERP資料!$G:$G, (MATCH(197, 輔助計算!$G$2:$G$801, 0)+1))&lt;=46.5,2,1)), IF(INDEX(ERP資料!$G:$G, (MATCH(197, 輔助計算!$G$2:$G$801, 0)+1))&lt;=790,3,IF(INDEX(ERP資料!$G:$G, (MATCH(197, 輔助計算!$G$2:$G$801, 0)+1))&lt;=1181,2,1))))=0,"",IF(MOD(INDEX(輔助計算!$D:$D, (MATCH(197, 輔助計算!$G$2:$G$801, 0)+1)),IF(INDEX(ERP資料!$G:$G, (MATCH(197, 輔助計算!$G$2:$G$801, 0)+1))&lt;100, IF(INDEX(ERP資料!$G:$G, (MATCH(197, 輔助計算!$G$2:$G$801, 0)+1))&lt;=31,3,IF(INDEX(ERP資料!$G:$G, (MATCH(197, 輔助計算!$G$2:$G$801, 0)+1))&lt;=46.5,2,1)), IF(INDEX(ERP資料!$G:$G, (MATCH(197, 輔助計算!$G$2:$G$801, 0)+1))&lt;=790,3,IF(INDEX(ERP資料!$G:$G, (MATCH(197, 輔助計算!$G$2:$G$801, 0)+1))&lt;=1181,2,1))))=1,TEXT(INDEX(ERP資料!$G:$G, (MATCH(197, 輔助計算!$G$2:$G$801, 0)+1)),"0.##"),IF(MOD(INDEX(輔助計算!$D:$D, (MATCH(197, 輔助計算!$G$2:$G$801, 0)+1)),IF(INDEX(ERP資料!$G:$G, (MATCH(197, 輔助計算!$G$2:$G$801, 0)+1))&lt;100, IF(INDEX(ERP資料!$G:$G, (MATCH(197, 輔助計算!$G$2:$G$801, 0)+1))&lt;=31,3,IF(INDEX(ERP資料!$G:$G, (MATCH(197, 輔助計算!$G$2:$G$801, 0)+1))&lt;=46.5,2,1)), IF(INDEX(ERP資料!$G:$G, (MATCH(197, 輔助計算!$G$2:$G$801, 0)+1))&lt;=790,3,IF(INDEX(ERP資料!$G:$G, (MATCH(197, 輔助計算!$G$2:$G$801, 0)+1))&lt;=1181,2,1))))=2,TEXT(INDEX(ERP資料!$G:$G, (MATCH(197, 輔助計算!$G$2:$G$801, 0)+1)),"0.##")&amp;"+"&amp;TEXT(INDEX(ERP資料!$G:$G, (MATCH(197, 輔助計算!$G$2:$G$801, 0)+1)),"0.##"),TEXT(INDEX(ERP資料!$G:$G, (MATCH(197, 輔助計算!$G$2:$G$801, 0)+1)),"0.##")&amp;"+"&amp;TEXT(INDEX(ERP資料!$G:$G, (MATCH(197, 輔助計算!$G$2:$G$801, 0)+1)),"0.##")&amp;"+"&amp;TEXT(INDEX(ERP資料!$G:$G, (MATCH(197, 輔助計算!$G$2:$G$801, 0)+1)),"0.##"))))&amp;"-1")&lt;&gt;""),"  ","")&amp;IF(MOD(INDEX(輔助計算!$D:$D, (MATCH(197, 輔助計算!$G$2:$G$801, 0)+1)),IF(INDEX(ERP資料!$G:$G, (MATCH(197, 輔助計算!$G$2:$G$801, 0)+1))&lt;100, IF(INDEX(ERP資料!$G:$G, (MATCH(197, 輔助計算!$G$2:$G$801, 0)+1))&lt;=31,3,IF(INDEX(ERP資料!$G:$G, (MATCH(197, 輔助計算!$G$2:$G$801, 0)+1))&lt;=46.5,2,1)), IF(INDEX(ERP資料!$G:$G, (MATCH(197, 輔助計算!$G$2:$G$801, 0)+1))&lt;=790,3,IF(INDEX(ERP資料!$G:$G, (MATCH(197, 輔助計算!$G$2:$G$801, 0)+1))&lt;=1181,2,1))))=0,"",IF(MOD(INDEX(輔助計算!$D:$D, (MATCH(197, 輔助計算!$G$2:$G$801, 0)+1)),IF(INDEX(ERP資料!$G:$G, (MATCH(197, 輔助計算!$G$2:$G$801, 0)+1))&lt;100, IF(INDEX(ERP資料!$G:$G, (MATCH(197, 輔助計算!$G$2:$G$801, 0)+1))&lt;=31,3,IF(INDEX(ERP資料!$G:$G, (MATCH(197, 輔助計算!$G$2:$G$801, 0)+1))&lt;=46.5,2,1)), IF(INDEX(ERP資料!$G:$G, (MATCH(197, 輔助計算!$G$2:$G$801, 0)+1))&lt;=790,3,IF(INDEX(ERP資料!$G:$G, (MATCH(197, 輔助計算!$G$2:$G$801, 0)+1))&lt;=1181,2,1))))=0,"",IF(MOD(INDEX(輔助計算!$D:$D, (MATCH(197, 輔助計算!$G$2:$G$801, 0)+1)),IF(INDEX(ERP資料!$G:$G, (MATCH(197, 輔助計算!$G$2:$G$801, 0)+1))&lt;100, IF(INDEX(ERP資料!$G:$G, (MATCH(197, 輔助計算!$G$2:$G$801, 0)+1))&lt;=31,3,IF(INDEX(ERP資料!$G:$G, (MATCH(197, 輔助計算!$G$2:$G$801, 0)+1))&lt;=46.5,2,1)), IF(INDEX(ERP資料!$G:$G, (MATCH(197, 輔助計算!$G$2:$G$801, 0)+1))&lt;=790,3,IF(INDEX(ERP資料!$G:$G, (MATCH(197, 輔助計算!$G$2:$G$801, 0)+1))&lt;=1181,2,1))))=1,TEXT(INDEX(ERP資料!$G:$G, (MATCH(197, 輔助計算!$G$2:$G$801, 0)+1)),"0.##"),IF(MOD(INDEX(輔助計算!$D:$D, (MATCH(197, 輔助計算!$G$2:$G$801, 0)+1)),IF(INDEX(ERP資料!$G:$G, (MATCH(197, 輔助計算!$G$2:$G$801, 0)+1))&lt;100, IF(INDEX(ERP資料!$G:$G, (MATCH(197, 輔助計算!$G$2:$G$801, 0)+1))&lt;=31,3,IF(INDEX(ERP資料!$G:$G, (MATCH(197, 輔助計算!$G$2:$G$801, 0)+1))&lt;=46.5,2,1)), IF(INDEX(ERP資料!$G:$G, (MATCH(197, 輔助計算!$G$2:$G$801, 0)+1))&lt;=790,3,IF(INDEX(ERP資料!$G:$G, (MATCH(197, 輔助計算!$G$2:$G$801, 0)+1))&lt;=1181,2,1))))=2,TEXT(INDEX(ERP資料!$G:$G, (MATCH(197, 輔助計算!$G$2:$G$801, 0)+1)),"0.##")&amp;"+"&amp;TEXT(INDEX(ERP資料!$G:$G, (MATCH(197, 輔助計算!$G$2:$G$801, 0)+1)),"0.##"),TEXT(INDEX(ERP資料!$G:$G, (MATCH(197, 輔助計算!$G$2:$G$801, 0)+1)),"0.##")&amp;"+"&amp;TEXT(INDEX(ERP資料!$G:$G, (MATCH(197, 輔助計算!$G$2:$G$801, 0)+1)),"0.##")&amp;"+"&amp;TEXT(INDEX(ERP資料!$G:$G, (MATCH(197, 輔助計算!$G$2:$G$801, 0)+1)),"0.##"))))&amp;"-1")), ""), "")</f>
        <v/>
      </c>
      <c r="K198" s="16" t="n"/>
      <c r="L198" s="14">
        <f>IFERROR(IF(AND(IFERROR(INDEX(ERP資料!$A:$A, (MATCH(197, 輔助計算!$G$2:$G$801, 0)+1)), "")&lt;&gt;"", IFERROR(INDEX(ERP資料!$A:$A, (MATCH(197, 輔助計算!$G$2:$G$801, 0)+1)), "")&lt;&gt;IFERROR(INDEX(ERP資料!$A:$A, MATCH(196, 輔助計算!$G$2:$G$801, 0)+1), "")), INDEX(ERP資料!$B:$B, (MATCH(197, 輔助計算!$G$2:$G$801, 0)+1)), ""), "")</f>
        <v/>
      </c>
      <c r="M198" s="17" t="n"/>
    </row>
    <row r="199">
      <c r="A199" s="10">
        <f>IFERROR(IF(AND(IFERROR(INDEX(ERP資料!$A:$A, (MATCH(198, 輔助計算!$G$2:$G$801, 0)+1)), "")&lt;&gt;"", IFERROR(INDEX(ERP資料!$A:$A, (MATCH(198, 輔助計算!$G$2:$G$801, 0)+1)), "")&lt;&gt;IFERROR(INDEX(ERP資料!$A:$A, MATCH(197, 輔助計算!$G$2:$G$801, 0)+1), "")), IFERROR(INDEX(ERP資料!$A:$A, (MATCH(198, 輔助計算!$G$2:$G$801, 0)+1)), ""), ""), "")</f>
        <v/>
      </c>
      <c r="B199" s="10">
        <f>IFERROR(IF(AND(IFERROR(INDEX(ERP資料!$A:$A, (MATCH(198, 輔助計算!$G$2:$G$801, 0)+1)), "")&lt;&gt;"", IFERROR(INDEX(ERP資料!$A:$A, (MATCH(198, 輔助計算!$G$2:$G$801, 0)+1)), "")&lt;&gt;IFERROR(INDEX(ERP資料!$A:$A, MATCH(197, 輔助計算!$G$2:$G$801, 0)+1), "")), INDEX(ERP資料!$S:$S, (MATCH(198, 輔助計算!$G$2:$G$801, 0)+1)), ""), "")</f>
        <v/>
      </c>
      <c r="C199" s="19">
        <f>IFERROR(IF(AND(IFERROR(INDEX(ERP資料!$A:$A, (MATCH(198, 輔助計算!$G$2:$G$801, 0)+1)), "")&lt;&gt;"", IFERROR(INDEX(ERP資料!$A:$A, (MATCH(198, 輔助計算!$G$2:$G$801, 0)+1)), "")&lt;&gt;IFERROR(INDEX(ERP資料!$A:$A, MATCH(197, 輔助計算!$G$2:$G$801, 0)+1), "")), IFERROR(VLOOKUP(LEFT(INDEX(ERP資料!$S:$S, (MATCH(198, 輔助計算!$G$2:$G$801, 0)+1)), 4), 紙管對照表!$A:$C, 3, FALSE), ""), ""), "")</f>
        <v/>
      </c>
      <c r="D199" s="16" t="n"/>
      <c r="E199" s="10">
        <f>IFERROR(IF(INDEX(ERP資料!$H:$H, (MATCH(198, 輔助計算!$G$2:$G$801, 0)+1))="","",INDEX(ERP資料!$H:$H, (MATCH(198, 輔助計算!$G$2:$G$801, 0)+1))), "")</f>
        <v/>
      </c>
      <c r="F199" s="10">
        <f>IFERROR(IF(INDEX(ERP資料!$E:$E, (MATCH(198, 輔助計算!$G$2:$G$801, 0)+1))="","",TRIM(INDEX(ERP資料!$E:$E, (MATCH(198, 輔助計算!$G$2:$G$801, 0)+1)))), "")</f>
        <v/>
      </c>
      <c r="G199" s="10">
        <f>IFERROR(IF(INDEX(ERP資料!$F:$F, (MATCH(198, 輔助計算!$G$2:$G$801, 0)+1))="","",INDEX(ERP資料!$F:$F, (MATCH(198, 輔助計算!$G$2:$G$801, 0)+1))), "")</f>
        <v/>
      </c>
      <c r="H199" s="10">
        <f>IFERROR(IF(INDEX(ERP資料!$G:$G, (MATCH(198, 輔助計算!$G$2:$G$801, 0)+1))="","",INDEX(ERP資料!$G:$G, (MATCH(198, 輔助計算!$G$2:$G$801, 0)+1))), "")</f>
        <v/>
      </c>
      <c r="I199" s="15">
        <f>IFERROR(INDEX(輔助計算!$D:$D, (MATCH(198, 輔助計算!$G$2:$G$801, 0)+1)), "")</f>
        <v/>
      </c>
      <c r="J199" s="15">
        <f>IFERROR(IF(AND(INDEX(輔助計算!$D:$D, (MATCH(198, 輔助計算!$G$2:$G$801, 0)+1))&lt;&gt;"", INDEX(ERP資料!$G:$G, (MATCH(198, 輔助計算!$G$2:$G$801, 0)+1))&lt;&gt;""), TRIM(IF(INT(INDEX(輔助計算!$D:$D, (MATCH(198, 輔助計算!$G$2:$G$801, 0)+1))/IF(INDEX(ERP資料!$G:$G, (MATCH(198, 輔助計算!$G$2:$G$801, 0)+1))&lt;100, IF(INDEX(ERP資料!$G:$G, (MATCH(198, 輔助計算!$G$2:$G$801, 0)+1))&lt;=31,3,IF(INDEX(ERP資料!$G:$G, (MATCH(198, 輔助計算!$G$2:$G$801, 0)+1))&lt;=46.5,2,1)), IF(INDEX(ERP資料!$G:$G, (MATCH(198, 輔助計算!$G$2:$G$801, 0)+1))&lt;=790,3,IF(INDEX(ERP資料!$G:$G, (MATCH(198, 輔助計算!$G$2:$G$801, 0)+1))&lt;=1181,2,1))))&gt;0, IF(IF(INDEX(ERP資料!$G:$G, (MATCH(198, 輔助計算!$G$2:$G$801, 0)+1))&lt;100, IF(INDEX(ERP資料!$G:$G, (MATCH(198, 輔助計算!$G$2:$G$801, 0)+1))&lt;=31,3,IF(INDEX(ERP資料!$G:$G, (MATCH(198, 輔助計算!$G$2:$G$801, 0)+1))&lt;=46.5,2,1)), IF(INDEX(ERP資料!$G:$G, (MATCH(198, 輔助計算!$G$2:$G$801, 0)+1))&lt;=790,3,IF(INDEX(ERP資料!$G:$G, (MATCH(198, 輔助計算!$G$2:$G$801, 0)+1))&lt;=1181,2,1)))=1,TEXT(INDEX(ERP資料!$G:$G, (MATCH(198, 輔助計算!$G$2:$G$801, 0)+1)),"0.##"),IF(IF(INDEX(ERP資料!$G:$G, (MATCH(198, 輔助計算!$G$2:$G$801, 0)+1))&lt;100, IF(INDEX(ERP資料!$G:$G, (MATCH(198, 輔助計算!$G$2:$G$801, 0)+1))&lt;=31,3,IF(INDEX(ERP資料!$G:$G, (MATCH(198, 輔助計算!$G$2:$G$801, 0)+1))&lt;=46.5,2,1)), IF(INDEX(ERP資料!$G:$G, (MATCH(198, 輔助計算!$G$2:$G$801, 0)+1))&lt;=790,3,IF(INDEX(ERP資料!$G:$G, (MATCH(198, 輔助計算!$G$2:$G$801, 0)+1))&lt;=1181,2,1)))=2,TEXT(INDEX(ERP資料!$G:$G, (MATCH(198, 輔助計算!$G$2:$G$801, 0)+1)),"0.##")&amp;"+"&amp;TEXT(INDEX(ERP資料!$G:$G, (MATCH(198, 輔助計算!$G$2:$G$801, 0)+1)),"0.##"),TEXT(INDEX(ERP資料!$G:$G, (MATCH(198, 輔助計算!$G$2:$G$801, 0)+1)),"0.##")&amp;"+"&amp;TEXT(INDEX(ERP資料!$G:$G, (MATCH(198, 輔助計算!$G$2:$G$801, 0)+1)),"0.##")&amp;"+"&amp;TEXT(INDEX(ERP資料!$G:$G, (MATCH(198, 輔助計算!$G$2:$G$801, 0)+1)),"0.##")))&amp;"-"&amp;INT(INDEX(輔助計算!$D:$D, (MATCH(198, 輔助計算!$G$2:$G$801, 0)+1))/IF(INDEX(ERP資料!$G:$G, (MATCH(198, 輔助計算!$G$2:$G$801, 0)+1))&lt;100, IF(INDEX(ERP資料!$G:$G, (MATCH(198, 輔助計算!$G$2:$G$801, 0)+1))&lt;=31,3,IF(INDEX(ERP資料!$G:$G, (MATCH(198, 輔助計算!$G$2:$G$801, 0)+1))&lt;=46.5,2,1)), IF(INDEX(ERP資料!$G:$G, (MATCH(198, 輔助計算!$G$2:$G$801, 0)+1))&lt;=790,3,IF(INDEX(ERP資料!$G:$G, (MATCH(198, 輔助計算!$G$2:$G$801, 0)+1))&lt;=1181,2,1)))), "")&amp;IF(AND(IF(INT(INDEX(輔助計算!$D:$D, (MATCH(198, 輔助計算!$G$2:$G$801, 0)+1))/IF(INDEX(ERP資料!$G:$G, (MATCH(198, 輔助計算!$G$2:$G$801, 0)+1))&lt;100, IF(INDEX(ERP資料!$G:$G, (MATCH(198, 輔助計算!$G$2:$G$801, 0)+1))&lt;=31,3,IF(INDEX(ERP資料!$G:$G, (MATCH(198, 輔助計算!$G$2:$G$801, 0)+1))&lt;=46.5,2,1)), IF(INDEX(ERP資料!$G:$G, (MATCH(198, 輔助計算!$G$2:$G$801, 0)+1))&lt;=790,3,IF(INDEX(ERP資料!$G:$G, (MATCH(198, 輔助計算!$G$2:$G$801, 0)+1))&lt;=1181,2,1))))&gt;0, IF(IF(INDEX(ERP資料!$G:$G, (MATCH(198, 輔助計算!$G$2:$G$801, 0)+1))&lt;100, IF(INDEX(ERP資料!$G:$G, (MATCH(198, 輔助計算!$G$2:$G$801, 0)+1))&lt;=31,3,IF(INDEX(ERP資料!$G:$G, (MATCH(198, 輔助計算!$G$2:$G$801, 0)+1))&lt;=46.5,2,1)), IF(INDEX(ERP資料!$G:$G, (MATCH(198, 輔助計算!$G$2:$G$801, 0)+1))&lt;=790,3,IF(INDEX(ERP資料!$G:$G, (MATCH(198, 輔助計算!$G$2:$G$801, 0)+1))&lt;=1181,2,1)))=1,TEXT(INDEX(ERP資料!$G:$G, (MATCH(198, 輔助計算!$G$2:$G$801, 0)+1)),"0.##"),IF(IF(INDEX(ERP資料!$G:$G, (MATCH(198, 輔助計算!$G$2:$G$801, 0)+1))&lt;100, IF(INDEX(ERP資料!$G:$G, (MATCH(198, 輔助計算!$G$2:$G$801, 0)+1))&lt;=31,3,IF(INDEX(ERP資料!$G:$G, (MATCH(198, 輔助計算!$G$2:$G$801, 0)+1))&lt;=46.5,2,1)), IF(INDEX(ERP資料!$G:$G, (MATCH(198, 輔助計算!$G$2:$G$801, 0)+1))&lt;=790,3,IF(INDEX(ERP資料!$G:$G, (MATCH(198, 輔助計算!$G$2:$G$801, 0)+1))&lt;=1181,2,1)))=2,TEXT(INDEX(ERP資料!$G:$G, (MATCH(198, 輔助計算!$G$2:$G$801, 0)+1)),"0.##")&amp;"+"&amp;TEXT(INDEX(ERP資料!$G:$G, (MATCH(198, 輔助計算!$G$2:$G$801, 0)+1)),"0.##"),TEXT(INDEX(ERP資料!$G:$G, (MATCH(198, 輔助計算!$G$2:$G$801, 0)+1)),"0.##")&amp;"+"&amp;TEXT(INDEX(ERP資料!$G:$G, (MATCH(198, 輔助計算!$G$2:$G$801, 0)+1)),"0.##")&amp;"+"&amp;TEXT(INDEX(ERP資料!$G:$G, (MATCH(198, 輔助計算!$G$2:$G$801, 0)+1)),"0.##")))&amp;"-"&amp;INT(INDEX(輔助計算!$D:$D, (MATCH(198, 輔助計算!$G$2:$G$801, 0)+1))/IF(INDEX(ERP資料!$G:$G, (MATCH(198, 輔助計算!$G$2:$G$801, 0)+1))&lt;100, IF(INDEX(ERP資料!$G:$G, (MATCH(198, 輔助計算!$G$2:$G$801, 0)+1))&lt;=31,3,IF(INDEX(ERP資料!$G:$G, (MATCH(198, 輔助計算!$G$2:$G$801, 0)+1))&lt;=46.5,2,1)), IF(INDEX(ERP資料!$G:$G, (MATCH(198, 輔助計算!$G$2:$G$801, 0)+1))&lt;=790,3,IF(INDEX(ERP資料!$G:$G, (MATCH(198, 輔助計算!$G$2:$G$801, 0)+1))&lt;=1181,2,1)))), "")&lt;&gt;"",IF(MOD(INDEX(輔助計算!$D:$D, (MATCH(198, 輔助計算!$G$2:$G$801, 0)+1)),IF(INDEX(ERP資料!$G:$G, (MATCH(198, 輔助計算!$G$2:$G$801, 0)+1))&lt;100, IF(INDEX(ERP資料!$G:$G, (MATCH(198, 輔助計算!$G$2:$G$801, 0)+1))&lt;=31,3,IF(INDEX(ERP資料!$G:$G, (MATCH(198, 輔助計算!$G$2:$G$801, 0)+1))&lt;=46.5,2,1)), IF(INDEX(ERP資料!$G:$G, (MATCH(198, 輔助計算!$G$2:$G$801, 0)+1))&lt;=790,3,IF(INDEX(ERP資料!$G:$G, (MATCH(198, 輔助計算!$G$2:$G$801, 0)+1))&lt;=1181,2,1))))=0,"",IF(MOD(INDEX(輔助計算!$D:$D, (MATCH(198, 輔助計算!$G$2:$G$801, 0)+1)),IF(INDEX(ERP資料!$G:$G, (MATCH(198, 輔助計算!$G$2:$G$801, 0)+1))&lt;100, IF(INDEX(ERP資料!$G:$G, (MATCH(198, 輔助計算!$G$2:$G$801, 0)+1))&lt;=31,3,IF(INDEX(ERP資料!$G:$G, (MATCH(198, 輔助計算!$G$2:$G$801, 0)+1))&lt;=46.5,2,1)), IF(INDEX(ERP資料!$G:$G, (MATCH(198, 輔助計算!$G$2:$G$801, 0)+1))&lt;=790,3,IF(INDEX(ERP資料!$G:$G, (MATCH(198, 輔助計算!$G$2:$G$801, 0)+1))&lt;=1181,2,1))))=0,"",IF(MOD(INDEX(輔助計算!$D:$D, (MATCH(198, 輔助計算!$G$2:$G$801, 0)+1)),IF(INDEX(ERP資料!$G:$G, (MATCH(198, 輔助計算!$G$2:$G$801, 0)+1))&lt;100, IF(INDEX(ERP資料!$G:$G, (MATCH(198, 輔助計算!$G$2:$G$801, 0)+1))&lt;=31,3,IF(INDEX(ERP資料!$G:$G, (MATCH(198, 輔助計算!$G$2:$G$801, 0)+1))&lt;=46.5,2,1)), IF(INDEX(ERP資料!$G:$G, (MATCH(198, 輔助計算!$G$2:$G$801, 0)+1))&lt;=790,3,IF(INDEX(ERP資料!$G:$G, (MATCH(198, 輔助計算!$G$2:$G$801, 0)+1))&lt;=1181,2,1))))=1,TEXT(INDEX(ERP資料!$G:$G, (MATCH(198, 輔助計算!$G$2:$G$801, 0)+1)),"0.##"),IF(MOD(INDEX(輔助計算!$D:$D, (MATCH(198, 輔助計算!$G$2:$G$801, 0)+1)),IF(INDEX(ERP資料!$G:$G, (MATCH(198, 輔助計算!$G$2:$G$801, 0)+1))&lt;100, IF(INDEX(ERP資料!$G:$G, (MATCH(198, 輔助計算!$G$2:$G$801, 0)+1))&lt;=31,3,IF(INDEX(ERP資料!$G:$G, (MATCH(198, 輔助計算!$G$2:$G$801, 0)+1))&lt;=46.5,2,1)), IF(INDEX(ERP資料!$G:$G, (MATCH(198, 輔助計算!$G$2:$G$801, 0)+1))&lt;=790,3,IF(INDEX(ERP資料!$G:$G, (MATCH(198, 輔助計算!$G$2:$G$801, 0)+1))&lt;=1181,2,1))))=2,TEXT(INDEX(ERP資料!$G:$G, (MATCH(198, 輔助計算!$G$2:$G$801, 0)+1)),"0.##")&amp;"+"&amp;TEXT(INDEX(ERP資料!$G:$G, (MATCH(198, 輔助計算!$G$2:$G$801, 0)+1)),"0.##"),TEXT(INDEX(ERP資料!$G:$G, (MATCH(198, 輔助計算!$G$2:$G$801, 0)+1)),"0.##")&amp;"+"&amp;TEXT(INDEX(ERP資料!$G:$G, (MATCH(198, 輔助計算!$G$2:$G$801, 0)+1)),"0.##")&amp;"+"&amp;TEXT(INDEX(ERP資料!$G:$G, (MATCH(198, 輔助計算!$G$2:$G$801, 0)+1)),"0.##"))))&amp;"-1")&lt;&gt;""),"  ","")&amp;IF(MOD(INDEX(輔助計算!$D:$D, (MATCH(198, 輔助計算!$G$2:$G$801, 0)+1)),IF(INDEX(ERP資料!$G:$G, (MATCH(198, 輔助計算!$G$2:$G$801, 0)+1))&lt;100, IF(INDEX(ERP資料!$G:$G, (MATCH(198, 輔助計算!$G$2:$G$801, 0)+1))&lt;=31,3,IF(INDEX(ERP資料!$G:$G, (MATCH(198, 輔助計算!$G$2:$G$801, 0)+1))&lt;=46.5,2,1)), IF(INDEX(ERP資料!$G:$G, (MATCH(198, 輔助計算!$G$2:$G$801, 0)+1))&lt;=790,3,IF(INDEX(ERP資料!$G:$G, (MATCH(198, 輔助計算!$G$2:$G$801, 0)+1))&lt;=1181,2,1))))=0,"",IF(MOD(INDEX(輔助計算!$D:$D, (MATCH(198, 輔助計算!$G$2:$G$801, 0)+1)),IF(INDEX(ERP資料!$G:$G, (MATCH(198, 輔助計算!$G$2:$G$801, 0)+1))&lt;100, IF(INDEX(ERP資料!$G:$G, (MATCH(198, 輔助計算!$G$2:$G$801, 0)+1))&lt;=31,3,IF(INDEX(ERP資料!$G:$G, (MATCH(198, 輔助計算!$G$2:$G$801, 0)+1))&lt;=46.5,2,1)), IF(INDEX(ERP資料!$G:$G, (MATCH(198, 輔助計算!$G$2:$G$801, 0)+1))&lt;=790,3,IF(INDEX(ERP資料!$G:$G, (MATCH(198, 輔助計算!$G$2:$G$801, 0)+1))&lt;=1181,2,1))))=0,"",IF(MOD(INDEX(輔助計算!$D:$D, (MATCH(198, 輔助計算!$G$2:$G$801, 0)+1)),IF(INDEX(ERP資料!$G:$G, (MATCH(198, 輔助計算!$G$2:$G$801, 0)+1))&lt;100, IF(INDEX(ERP資料!$G:$G, (MATCH(198, 輔助計算!$G$2:$G$801, 0)+1))&lt;=31,3,IF(INDEX(ERP資料!$G:$G, (MATCH(198, 輔助計算!$G$2:$G$801, 0)+1))&lt;=46.5,2,1)), IF(INDEX(ERP資料!$G:$G, (MATCH(198, 輔助計算!$G$2:$G$801, 0)+1))&lt;=790,3,IF(INDEX(ERP資料!$G:$G, (MATCH(198, 輔助計算!$G$2:$G$801, 0)+1))&lt;=1181,2,1))))=1,TEXT(INDEX(ERP資料!$G:$G, (MATCH(198, 輔助計算!$G$2:$G$801, 0)+1)),"0.##"),IF(MOD(INDEX(輔助計算!$D:$D, (MATCH(198, 輔助計算!$G$2:$G$801, 0)+1)),IF(INDEX(ERP資料!$G:$G, (MATCH(198, 輔助計算!$G$2:$G$801, 0)+1))&lt;100, IF(INDEX(ERP資料!$G:$G, (MATCH(198, 輔助計算!$G$2:$G$801, 0)+1))&lt;=31,3,IF(INDEX(ERP資料!$G:$G, (MATCH(198, 輔助計算!$G$2:$G$801, 0)+1))&lt;=46.5,2,1)), IF(INDEX(ERP資料!$G:$G, (MATCH(198, 輔助計算!$G$2:$G$801, 0)+1))&lt;=790,3,IF(INDEX(ERP資料!$G:$G, (MATCH(198, 輔助計算!$G$2:$G$801, 0)+1))&lt;=1181,2,1))))=2,TEXT(INDEX(ERP資料!$G:$G, (MATCH(198, 輔助計算!$G$2:$G$801, 0)+1)),"0.##")&amp;"+"&amp;TEXT(INDEX(ERP資料!$G:$G, (MATCH(198, 輔助計算!$G$2:$G$801, 0)+1)),"0.##"),TEXT(INDEX(ERP資料!$G:$G, (MATCH(198, 輔助計算!$G$2:$G$801, 0)+1)),"0.##")&amp;"+"&amp;TEXT(INDEX(ERP資料!$G:$G, (MATCH(198, 輔助計算!$G$2:$G$801, 0)+1)),"0.##")&amp;"+"&amp;TEXT(INDEX(ERP資料!$G:$G, (MATCH(198, 輔助計算!$G$2:$G$801, 0)+1)),"0.##"))))&amp;"-1")), ""), "")</f>
        <v/>
      </c>
      <c r="K199" s="16" t="n"/>
      <c r="L199" s="14">
        <f>IFERROR(IF(AND(IFERROR(INDEX(ERP資料!$A:$A, (MATCH(198, 輔助計算!$G$2:$G$801, 0)+1)), "")&lt;&gt;"", IFERROR(INDEX(ERP資料!$A:$A, (MATCH(198, 輔助計算!$G$2:$G$801, 0)+1)), "")&lt;&gt;IFERROR(INDEX(ERP資料!$A:$A, MATCH(197, 輔助計算!$G$2:$G$801, 0)+1), "")), INDEX(ERP資料!$B:$B, (MATCH(198, 輔助計算!$G$2:$G$801, 0)+1)), ""), "")</f>
        <v/>
      </c>
      <c r="M199" s="17" t="n"/>
    </row>
    <row r="200">
      <c r="A200" s="10">
        <f>IFERROR(IF(AND(IFERROR(INDEX(ERP資料!$A:$A, (MATCH(199, 輔助計算!$G$2:$G$801, 0)+1)), "")&lt;&gt;"", IFERROR(INDEX(ERP資料!$A:$A, (MATCH(199, 輔助計算!$G$2:$G$801, 0)+1)), "")&lt;&gt;IFERROR(INDEX(ERP資料!$A:$A, MATCH(198, 輔助計算!$G$2:$G$801, 0)+1), "")), IFERROR(INDEX(ERP資料!$A:$A, (MATCH(199, 輔助計算!$G$2:$G$801, 0)+1)), ""), ""), "")</f>
        <v/>
      </c>
      <c r="B200" s="10">
        <f>IFERROR(IF(AND(IFERROR(INDEX(ERP資料!$A:$A, (MATCH(199, 輔助計算!$G$2:$G$801, 0)+1)), "")&lt;&gt;"", IFERROR(INDEX(ERP資料!$A:$A, (MATCH(199, 輔助計算!$G$2:$G$801, 0)+1)), "")&lt;&gt;IFERROR(INDEX(ERP資料!$A:$A, MATCH(198, 輔助計算!$G$2:$G$801, 0)+1), "")), INDEX(ERP資料!$S:$S, (MATCH(199, 輔助計算!$G$2:$G$801, 0)+1)), ""), "")</f>
        <v/>
      </c>
      <c r="C200" s="19">
        <f>IFERROR(IF(AND(IFERROR(INDEX(ERP資料!$A:$A, (MATCH(199, 輔助計算!$G$2:$G$801, 0)+1)), "")&lt;&gt;"", IFERROR(INDEX(ERP資料!$A:$A, (MATCH(199, 輔助計算!$G$2:$G$801, 0)+1)), "")&lt;&gt;IFERROR(INDEX(ERP資料!$A:$A, MATCH(198, 輔助計算!$G$2:$G$801, 0)+1), "")), IFERROR(VLOOKUP(LEFT(INDEX(ERP資料!$S:$S, (MATCH(199, 輔助計算!$G$2:$G$801, 0)+1)), 4), 紙管對照表!$A:$C, 3, FALSE), ""), ""), "")</f>
        <v/>
      </c>
      <c r="D200" s="16" t="n"/>
      <c r="E200" s="10">
        <f>IFERROR(IF(INDEX(ERP資料!$H:$H, (MATCH(199, 輔助計算!$G$2:$G$801, 0)+1))="","",INDEX(ERP資料!$H:$H, (MATCH(199, 輔助計算!$G$2:$G$801, 0)+1))), "")</f>
        <v/>
      </c>
      <c r="F200" s="10">
        <f>IFERROR(IF(INDEX(ERP資料!$E:$E, (MATCH(199, 輔助計算!$G$2:$G$801, 0)+1))="","",TRIM(INDEX(ERP資料!$E:$E, (MATCH(199, 輔助計算!$G$2:$G$801, 0)+1)))), "")</f>
        <v/>
      </c>
      <c r="G200" s="10">
        <f>IFERROR(IF(INDEX(ERP資料!$F:$F, (MATCH(199, 輔助計算!$G$2:$G$801, 0)+1))="","",INDEX(ERP資料!$F:$F, (MATCH(199, 輔助計算!$G$2:$G$801, 0)+1))), "")</f>
        <v/>
      </c>
      <c r="H200" s="10">
        <f>IFERROR(IF(INDEX(ERP資料!$G:$G, (MATCH(199, 輔助計算!$G$2:$G$801, 0)+1))="","",INDEX(ERP資料!$G:$G, (MATCH(199, 輔助計算!$G$2:$G$801, 0)+1))), "")</f>
        <v/>
      </c>
      <c r="I200" s="15">
        <f>IFERROR(INDEX(輔助計算!$D:$D, (MATCH(199, 輔助計算!$G$2:$G$801, 0)+1)), "")</f>
        <v/>
      </c>
      <c r="J200" s="15">
        <f>IFERROR(IF(AND(INDEX(輔助計算!$D:$D, (MATCH(199, 輔助計算!$G$2:$G$801, 0)+1))&lt;&gt;"", INDEX(ERP資料!$G:$G, (MATCH(199, 輔助計算!$G$2:$G$801, 0)+1))&lt;&gt;""), TRIM(IF(INT(INDEX(輔助計算!$D:$D, (MATCH(199, 輔助計算!$G$2:$G$801, 0)+1))/IF(INDEX(ERP資料!$G:$G, (MATCH(199, 輔助計算!$G$2:$G$801, 0)+1))&lt;100, IF(INDEX(ERP資料!$G:$G, (MATCH(199, 輔助計算!$G$2:$G$801, 0)+1))&lt;=31,3,IF(INDEX(ERP資料!$G:$G, (MATCH(199, 輔助計算!$G$2:$G$801, 0)+1))&lt;=46.5,2,1)), IF(INDEX(ERP資料!$G:$G, (MATCH(199, 輔助計算!$G$2:$G$801, 0)+1))&lt;=790,3,IF(INDEX(ERP資料!$G:$G, (MATCH(199, 輔助計算!$G$2:$G$801, 0)+1))&lt;=1181,2,1))))&gt;0, IF(IF(INDEX(ERP資料!$G:$G, (MATCH(199, 輔助計算!$G$2:$G$801, 0)+1))&lt;100, IF(INDEX(ERP資料!$G:$G, (MATCH(199, 輔助計算!$G$2:$G$801, 0)+1))&lt;=31,3,IF(INDEX(ERP資料!$G:$G, (MATCH(199, 輔助計算!$G$2:$G$801, 0)+1))&lt;=46.5,2,1)), IF(INDEX(ERP資料!$G:$G, (MATCH(199, 輔助計算!$G$2:$G$801, 0)+1))&lt;=790,3,IF(INDEX(ERP資料!$G:$G, (MATCH(199, 輔助計算!$G$2:$G$801, 0)+1))&lt;=1181,2,1)))=1,TEXT(INDEX(ERP資料!$G:$G, (MATCH(199, 輔助計算!$G$2:$G$801, 0)+1)),"0.##"),IF(IF(INDEX(ERP資料!$G:$G, (MATCH(199, 輔助計算!$G$2:$G$801, 0)+1))&lt;100, IF(INDEX(ERP資料!$G:$G, (MATCH(199, 輔助計算!$G$2:$G$801, 0)+1))&lt;=31,3,IF(INDEX(ERP資料!$G:$G, (MATCH(199, 輔助計算!$G$2:$G$801, 0)+1))&lt;=46.5,2,1)), IF(INDEX(ERP資料!$G:$G, (MATCH(199, 輔助計算!$G$2:$G$801, 0)+1))&lt;=790,3,IF(INDEX(ERP資料!$G:$G, (MATCH(199, 輔助計算!$G$2:$G$801, 0)+1))&lt;=1181,2,1)))=2,TEXT(INDEX(ERP資料!$G:$G, (MATCH(199, 輔助計算!$G$2:$G$801, 0)+1)),"0.##")&amp;"+"&amp;TEXT(INDEX(ERP資料!$G:$G, (MATCH(199, 輔助計算!$G$2:$G$801, 0)+1)),"0.##"),TEXT(INDEX(ERP資料!$G:$G, (MATCH(199, 輔助計算!$G$2:$G$801, 0)+1)),"0.##")&amp;"+"&amp;TEXT(INDEX(ERP資料!$G:$G, (MATCH(199, 輔助計算!$G$2:$G$801, 0)+1)),"0.##")&amp;"+"&amp;TEXT(INDEX(ERP資料!$G:$G, (MATCH(199, 輔助計算!$G$2:$G$801, 0)+1)),"0.##")))&amp;"-"&amp;INT(INDEX(輔助計算!$D:$D, (MATCH(199, 輔助計算!$G$2:$G$801, 0)+1))/IF(INDEX(ERP資料!$G:$G, (MATCH(199, 輔助計算!$G$2:$G$801, 0)+1))&lt;100, IF(INDEX(ERP資料!$G:$G, (MATCH(199, 輔助計算!$G$2:$G$801, 0)+1))&lt;=31,3,IF(INDEX(ERP資料!$G:$G, (MATCH(199, 輔助計算!$G$2:$G$801, 0)+1))&lt;=46.5,2,1)), IF(INDEX(ERP資料!$G:$G, (MATCH(199, 輔助計算!$G$2:$G$801, 0)+1))&lt;=790,3,IF(INDEX(ERP資料!$G:$G, (MATCH(199, 輔助計算!$G$2:$G$801, 0)+1))&lt;=1181,2,1)))), "")&amp;IF(AND(IF(INT(INDEX(輔助計算!$D:$D, (MATCH(199, 輔助計算!$G$2:$G$801, 0)+1))/IF(INDEX(ERP資料!$G:$G, (MATCH(199, 輔助計算!$G$2:$G$801, 0)+1))&lt;100, IF(INDEX(ERP資料!$G:$G, (MATCH(199, 輔助計算!$G$2:$G$801, 0)+1))&lt;=31,3,IF(INDEX(ERP資料!$G:$G, (MATCH(199, 輔助計算!$G$2:$G$801, 0)+1))&lt;=46.5,2,1)), IF(INDEX(ERP資料!$G:$G, (MATCH(199, 輔助計算!$G$2:$G$801, 0)+1))&lt;=790,3,IF(INDEX(ERP資料!$G:$G, (MATCH(199, 輔助計算!$G$2:$G$801, 0)+1))&lt;=1181,2,1))))&gt;0, IF(IF(INDEX(ERP資料!$G:$G, (MATCH(199, 輔助計算!$G$2:$G$801, 0)+1))&lt;100, IF(INDEX(ERP資料!$G:$G, (MATCH(199, 輔助計算!$G$2:$G$801, 0)+1))&lt;=31,3,IF(INDEX(ERP資料!$G:$G, (MATCH(199, 輔助計算!$G$2:$G$801, 0)+1))&lt;=46.5,2,1)), IF(INDEX(ERP資料!$G:$G, (MATCH(199, 輔助計算!$G$2:$G$801, 0)+1))&lt;=790,3,IF(INDEX(ERP資料!$G:$G, (MATCH(199, 輔助計算!$G$2:$G$801, 0)+1))&lt;=1181,2,1)))=1,TEXT(INDEX(ERP資料!$G:$G, (MATCH(199, 輔助計算!$G$2:$G$801, 0)+1)),"0.##"),IF(IF(INDEX(ERP資料!$G:$G, (MATCH(199, 輔助計算!$G$2:$G$801, 0)+1))&lt;100, IF(INDEX(ERP資料!$G:$G, (MATCH(199, 輔助計算!$G$2:$G$801, 0)+1))&lt;=31,3,IF(INDEX(ERP資料!$G:$G, (MATCH(199, 輔助計算!$G$2:$G$801, 0)+1))&lt;=46.5,2,1)), IF(INDEX(ERP資料!$G:$G, (MATCH(199, 輔助計算!$G$2:$G$801, 0)+1))&lt;=790,3,IF(INDEX(ERP資料!$G:$G, (MATCH(199, 輔助計算!$G$2:$G$801, 0)+1))&lt;=1181,2,1)))=2,TEXT(INDEX(ERP資料!$G:$G, (MATCH(199, 輔助計算!$G$2:$G$801, 0)+1)),"0.##")&amp;"+"&amp;TEXT(INDEX(ERP資料!$G:$G, (MATCH(199, 輔助計算!$G$2:$G$801, 0)+1)),"0.##"),TEXT(INDEX(ERP資料!$G:$G, (MATCH(199, 輔助計算!$G$2:$G$801, 0)+1)),"0.##")&amp;"+"&amp;TEXT(INDEX(ERP資料!$G:$G, (MATCH(199, 輔助計算!$G$2:$G$801, 0)+1)),"0.##")&amp;"+"&amp;TEXT(INDEX(ERP資料!$G:$G, (MATCH(199, 輔助計算!$G$2:$G$801, 0)+1)),"0.##")))&amp;"-"&amp;INT(INDEX(輔助計算!$D:$D, (MATCH(199, 輔助計算!$G$2:$G$801, 0)+1))/IF(INDEX(ERP資料!$G:$G, (MATCH(199, 輔助計算!$G$2:$G$801, 0)+1))&lt;100, IF(INDEX(ERP資料!$G:$G, (MATCH(199, 輔助計算!$G$2:$G$801, 0)+1))&lt;=31,3,IF(INDEX(ERP資料!$G:$G, (MATCH(199, 輔助計算!$G$2:$G$801, 0)+1))&lt;=46.5,2,1)), IF(INDEX(ERP資料!$G:$G, (MATCH(199, 輔助計算!$G$2:$G$801, 0)+1))&lt;=790,3,IF(INDEX(ERP資料!$G:$G, (MATCH(199, 輔助計算!$G$2:$G$801, 0)+1))&lt;=1181,2,1)))), "")&lt;&gt;"",IF(MOD(INDEX(輔助計算!$D:$D, (MATCH(199, 輔助計算!$G$2:$G$801, 0)+1)),IF(INDEX(ERP資料!$G:$G, (MATCH(199, 輔助計算!$G$2:$G$801, 0)+1))&lt;100, IF(INDEX(ERP資料!$G:$G, (MATCH(199, 輔助計算!$G$2:$G$801, 0)+1))&lt;=31,3,IF(INDEX(ERP資料!$G:$G, (MATCH(199, 輔助計算!$G$2:$G$801, 0)+1))&lt;=46.5,2,1)), IF(INDEX(ERP資料!$G:$G, (MATCH(199, 輔助計算!$G$2:$G$801, 0)+1))&lt;=790,3,IF(INDEX(ERP資料!$G:$G, (MATCH(199, 輔助計算!$G$2:$G$801, 0)+1))&lt;=1181,2,1))))=0,"",IF(MOD(INDEX(輔助計算!$D:$D, (MATCH(199, 輔助計算!$G$2:$G$801, 0)+1)),IF(INDEX(ERP資料!$G:$G, (MATCH(199, 輔助計算!$G$2:$G$801, 0)+1))&lt;100, IF(INDEX(ERP資料!$G:$G, (MATCH(199, 輔助計算!$G$2:$G$801, 0)+1))&lt;=31,3,IF(INDEX(ERP資料!$G:$G, (MATCH(199, 輔助計算!$G$2:$G$801, 0)+1))&lt;=46.5,2,1)), IF(INDEX(ERP資料!$G:$G, (MATCH(199, 輔助計算!$G$2:$G$801, 0)+1))&lt;=790,3,IF(INDEX(ERP資料!$G:$G, (MATCH(199, 輔助計算!$G$2:$G$801, 0)+1))&lt;=1181,2,1))))=0,"",IF(MOD(INDEX(輔助計算!$D:$D, (MATCH(199, 輔助計算!$G$2:$G$801, 0)+1)),IF(INDEX(ERP資料!$G:$G, (MATCH(199, 輔助計算!$G$2:$G$801, 0)+1))&lt;100, IF(INDEX(ERP資料!$G:$G, (MATCH(199, 輔助計算!$G$2:$G$801, 0)+1))&lt;=31,3,IF(INDEX(ERP資料!$G:$G, (MATCH(199, 輔助計算!$G$2:$G$801, 0)+1))&lt;=46.5,2,1)), IF(INDEX(ERP資料!$G:$G, (MATCH(199, 輔助計算!$G$2:$G$801, 0)+1))&lt;=790,3,IF(INDEX(ERP資料!$G:$G, (MATCH(199, 輔助計算!$G$2:$G$801, 0)+1))&lt;=1181,2,1))))=1,TEXT(INDEX(ERP資料!$G:$G, (MATCH(199, 輔助計算!$G$2:$G$801, 0)+1)),"0.##"),IF(MOD(INDEX(輔助計算!$D:$D, (MATCH(199, 輔助計算!$G$2:$G$801, 0)+1)),IF(INDEX(ERP資料!$G:$G, (MATCH(199, 輔助計算!$G$2:$G$801, 0)+1))&lt;100, IF(INDEX(ERP資料!$G:$G, (MATCH(199, 輔助計算!$G$2:$G$801, 0)+1))&lt;=31,3,IF(INDEX(ERP資料!$G:$G, (MATCH(199, 輔助計算!$G$2:$G$801, 0)+1))&lt;=46.5,2,1)), IF(INDEX(ERP資料!$G:$G, (MATCH(199, 輔助計算!$G$2:$G$801, 0)+1))&lt;=790,3,IF(INDEX(ERP資料!$G:$G, (MATCH(199, 輔助計算!$G$2:$G$801, 0)+1))&lt;=1181,2,1))))=2,TEXT(INDEX(ERP資料!$G:$G, (MATCH(199, 輔助計算!$G$2:$G$801, 0)+1)),"0.##")&amp;"+"&amp;TEXT(INDEX(ERP資料!$G:$G, (MATCH(199, 輔助計算!$G$2:$G$801, 0)+1)),"0.##"),TEXT(INDEX(ERP資料!$G:$G, (MATCH(199, 輔助計算!$G$2:$G$801, 0)+1)),"0.##")&amp;"+"&amp;TEXT(INDEX(ERP資料!$G:$G, (MATCH(199, 輔助計算!$G$2:$G$801, 0)+1)),"0.##")&amp;"+"&amp;TEXT(INDEX(ERP資料!$G:$G, (MATCH(199, 輔助計算!$G$2:$G$801, 0)+1)),"0.##"))))&amp;"-1")&lt;&gt;""),"  ","")&amp;IF(MOD(INDEX(輔助計算!$D:$D, (MATCH(199, 輔助計算!$G$2:$G$801, 0)+1)),IF(INDEX(ERP資料!$G:$G, (MATCH(199, 輔助計算!$G$2:$G$801, 0)+1))&lt;100, IF(INDEX(ERP資料!$G:$G, (MATCH(199, 輔助計算!$G$2:$G$801, 0)+1))&lt;=31,3,IF(INDEX(ERP資料!$G:$G, (MATCH(199, 輔助計算!$G$2:$G$801, 0)+1))&lt;=46.5,2,1)), IF(INDEX(ERP資料!$G:$G, (MATCH(199, 輔助計算!$G$2:$G$801, 0)+1))&lt;=790,3,IF(INDEX(ERP資料!$G:$G, (MATCH(199, 輔助計算!$G$2:$G$801, 0)+1))&lt;=1181,2,1))))=0,"",IF(MOD(INDEX(輔助計算!$D:$D, (MATCH(199, 輔助計算!$G$2:$G$801, 0)+1)),IF(INDEX(ERP資料!$G:$G, (MATCH(199, 輔助計算!$G$2:$G$801, 0)+1))&lt;100, IF(INDEX(ERP資料!$G:$G, (MATCH(199, 輔助計算!$G$2:$G$801, 0)+1))&lt;=31,3,IF(INDEX(ERP資料!$G:$G, (MATCH(199, 輔助計算!$G$2:$G$801, 0)+1))&lt;=46.5,2,1)), IF(INDEX(ERP資料!$G:$G, (MATCH(199, 輔助計算!$G$2:$G$801, 0)+1))&lt;=790,3,IF(INDEX(ERP資料!$G:$G, (MATCH(199, 輔助計算!$G$2:$G$801, 0)+1))&lt;=1181,2,1))))=0,"",IF(MOD(INDEX(輔助計算!$D:$D, (MATCH(199, 輔助計算!$G$2:$G$801, 0)+1)),IF(INDEX(ERP資料!$G:$G, (MATCH(199, 輔助計算!$G$2:$G$801, 0)+1))&lt;100, IF(INDEX(ERP資料!$G:$G, (MATCH(199, 輔助計算!$G$2:$G$801, 0)+1))&lt;=31,3,IF(INDEX(ERP資料!$G:$G, (MATCH(199, 輔助計算!$G$2:$G$801, 0)+1))&lt;=46.5,2,1)), IF(INDEX(ERP資料!$G:$G, (MATCH(199, 輔助計算!$G$2:$G$801, 0)+1))&lt;=790,3,IF(INDEX(ERP資料!$G:$G, (MATCH(199, 輔助計算!$G$2:$G$801, 0)+1))&lt;=1181,2,1))))=1,TEXT(INDEX(ERP資料!$G:$G, (MATCH(199, 輔助計算!$G$2:$G$801, 0)+1)),"0.##"),IF(MOD(INDEX(輔助計算!$D:$D, (MATCH(199, 輔助計算!$G$2:$G$801, 0)+1)),IF(INDEX(ERP資料!$G:$G, (MATCH(199, 輔助計算!$G$2:$G$801, 0)+1))&lt;100, IF(INDEX(ERP資料!$G:$G, (MATCH(199, 輔助計算!$G$2:$G$801, 0)+1))&lt;=31,3,IF(INDEX(ERP資料!$G:$G, (MATCH(199, 輔助計算!$G$2:$G$801, 0)+1))&lt;=46.5,2,1)), IF(INDEX(ERP資料!$G:$G, (MATCH(199, 輔助計算!$G$2:$G$801, 0)+1))&lt;=790,3,IF(INDEX(ERP資料!$G:$G, (MATCH(199, 輔助計算!$G$2:$G$801, 0)+1))&lt;=1181,2,1))))=2,TEXT(INDEX(ERP資料!$G:$G, (MATCH(199, 輔助計算!$G$2:$G$801, 0)+1)),"0.##")&amp;"+"&amp;TEXT(INDEX(ERP資料!$G:$G, (MATCH(199, 輔助計算!$G$2:$G$801, 0)+1)),"0.##"),TEXT(INDEX(ERP資料!$G:$G, (MATCH(199, 輔助計算!$G$2:$G$801, 0)+1)),"0.##")&amp;"+"&amp;TEXT(INDEX(ERP資料!$G:$G, (MATCH(199, 輔助計算!$G$2:$G$801, 0)+1)),"0.##")&amp;"+"&amp;TEXT(INDEX(ERP資料!$G:$G, (MATCH(199, 輔助計算!$G$2:$G$801, 0)+1)),"0.##"))))&amp;"-1")), ""), "")</f>
        <v/>
      </c>
      <c r="K200" s="16" t="n"/>
      <c r="L200" s="14">
        <f>IFERROR(IF(AND(IFERROR(INDEX(ERP資料!$A:$A, (MATCH(199, 輔助計算!$G$2:$G$801, 0)+1)), "")&lt;&gt;"", IFERROR(INDEX(ERP資料!$A:$A, (MATCH(199, 輔助計算!$G$2:$G$801, 0)+1)), "")&lt;&gt;IFERROR(INDEX(ERP資料!$A:$A, MATCH(198, 輔助計算!$G$2:$G$801, 0)+1), "")), INDEX(ERP資料!$B:$B, (MATCH(199, 輔助計算!$G$2:$G$801, 0)+1)), ""), "")</f>
        <v/>
      </c>
      <c r="M200" s="17" t="n"/>
    </row>
    <row r="201">
      <c r="A201" s="10">
        <f>IFERROR(IF(AND(IFERROR(INDEX(ERP資料!$A:$A, (MATCH(200, 輔助計算!$G$2:$G$801, 0)+1)), "")&lt;&gt;"", IFERROR(INDEX(ERP資料!$A:$A, (MATCH(200, 輔助計算!$G$2:$G$801, 0)+1)), "")&lt;&gt;IFERROR(INDEX(ERP資料!$A:$A, MATCH(199, 輔助計算!$G$2:$G$801, 0)+1), "")), IFERROR(INDEX(ERP資料!$A:$A, (MATCH(200, 輔助計算!$G$2:$G$801, 0)+1)), ""), ""), "")</f>
        <v/>
      </c>
      <c r="B201" s="10">
        <f>IFERROR(IF(AND(IFERROR(INDEX(ERP資料!$A:$A, (MATCH(200, 輔助計算!$G$2:$G$801, 0)+1)), "")&lt;&gt;"", IFERROR(INDEX(ERP資料!$A:$A, (MATCH(200, 輔助計算!$G$2:$G$801, 0)+1)), "")&lt;&gt;IFERROR(INDEX(ERP資料!$A:$A, MATCH(199, 輔助計算!$G$2:$G$801, 0)+1), "")), INDEX(ERP資料!$S:$S, (MATCH(200, 輔助計算!$G$2:$G$801, 0)+1)), ""), "")</f>
        <v/>
      </c>
      <c r="C201" s="19">
        <f>IFERROR(IF(AND(IFERROR(INDEX(ERP資料!$A:$A, (MATCH(200, 輔助計算!$G$2:$G$801, 0)+1)), "")&lt;&gt;"", IFERROR(INDEX(ERP資料!$A:$A, (MATCH(200, 輔助計算!$G$2:$G$801, 0)+1)), "")&lt;&gt;IFERROR(INDEX(ERP資料!$A:$A, MATCH(199, 輔助計算!$G$2:$G$801, 0)+1), "")), IFERROR(VLOOKUP(LEFT(INDEX(ERP資料!$S:$S, (MATCH(200, 輔助計算!$G$2:$G$801, 0)+1)), 4), 紙管對照表!$A:$C, 3, FALSE), ""), ""), "")</f>
        <v/>
      </c>
      <c r="D201" s="16" t="n"/>
      <c r="E201" s="10">
        <f>IFERROR(IF(INDEX(ERP資料!$H:$H, (MATCH(200, 輔助計算!$G$2:$G$801, 0)+1))="","",INDEX(ERP資料!$H:$H, (MATCH(200, 輔助計算!$G$2:$G$801, 0)+1))), "")</f>
        <v/>
      </c>
      <c r="F201" s="10">
        <f>IFERROR(IF(INDEX(ERP資料!$E:$E, (MATCH(200, 輔助計算!$G$2:$G$801, 0)+1))="","",TRIM(INDEX(ERP資料!$E:$E, (MATCH(200, 輔助計算!$G$2:$G$801, 0)+1)))), "")</f>
        <v/>
      </c>
      <c r="G201" s="10">
        <f>IFERROR(IF(INDEX(ERP資料!$F:$F, (MATCH(200, 輔助計算!$G$2:$G$801, 0)+1))="","",INDEX(ERP資料!$F:$F, (MATCH(200, 輔助計算!$G$2:$G$801, 0)+1))), "")</f>
        <v/>
      </c>
      <c r="H201" s="10">
        <f>IFERROR(IF(INDEX(ERP資料!$G:$G, (MATCH(200, 輔助計算!$G$2:$G$801, 0)+1))="","",INDEX(ERP資料!$G:$G, (MATCH(200, 輔助計算!$G$2:$G$801, 0)+1))), "")</f>
        <v/>
      </c>
      <c r="I201" s="15">
        <f>IFERROR(INDEX(輔助計算!$D:$D, (MATCH(200, 輔助計算!$G$2:$G$801, 0)+1)), "")</f>
        <v/>
      </c>
      <c r="J201" s="15">
        <f>IFERROR(IF(AND(INDEX(輔助計算!$D:$D, (MATCH(200, 輔助計算!$G$2:$G$801, 0)+1))&lt;&gt;"", INDEX(ERP資料!$G:$G, (MATCH(200, 輔助計算!$G$2:$G$801, 0)+1))&lt;&gt;""), TRIM(IF(INT(INDEX(輔助計算!$D:$D, (MATCH(200, 輔助計算!$G$2:$G$801, 0)+1))/IF(INDEX(ERP資料!$G:$G, (MATCH(200, 輔助計算!$G$2:$G$801, 0)+1))&lt;100, IF(INDEX(ERP資料!$G:$G, (MATCH(200, 輔助計算!$G$2:$G$801, 0)+1))&lt;=31,3,IF(INDEX(ERP資料!$G:$G, (MATCH(200, 輔助計算!$G$2:$G$801, 0)+1))&lt;=46.5,2,1)), IF(INDEX(ERP資料!$G:$G, (MATCH(200, 輔助計算!$G$2:$G$801, 0)+1))&lt;=790,3,IF(INDEX(ERP資料!$G:$G, (MATCH(200, 輔助計算!$G$2:$G$801, 0)+1))&lt;=1181,2,1))))&gt;0, IF(IF(INDEX(ERP資料!$G:$G, (MATCH(200, 輔助計算!$G$2:$G$801, 0)+1))&lt;100, IF(INDEX(ERP資料!$G:$G, (MATCH(200, 輔助計算!$G$2:$G$801, 0)+1))&lt;=31,3,IF(INDEX(ERP資料!$G:$G, (MATCH(200, 輔助計算!$G$2:$G$801, 0)+1))&lt;=46.5,2,1)), IF(INDEX(ERP資料!$G:$G, (MATCH(200, 輔助計算!$G$2:$G$801, 0)+1))&lt;=790,3,IF(INDEX(ERP資料!$G:$G, (MATCH(200, 輔助計算!$G$2:$G$801, 0)+1))&lt;=1181,2,1)))=1,TEXT(INDEX(ERP資料!$G:$G, (MATCH(200, 輔助計算!$G$2:$G$801, 0)+1)),"0.##"),IF(IF(INDEX(ERP資料!$G:$G, (MATCH(200, 輔助計算!$G$2:$G$801, 0)+1))&lt;100, IF(INDEX(ERP資料!$G:$G, (MATCH(200, 輔助計算!$G$2:$G$801, 0)+1))&lt;=31,3,IF(INDEX(ERP資料!$G:$G, (MATCH(200, 輔助計算!$G$2:$G$801, 0)+1))&lt;=46.5,2,1)), IF(INDEX(ERP資料!$G:$G, (MATCH(200, 輔助計算!$G$2:$G$801, 0)+1))&lt;=790,3,IF(INDEX(ERP資料!$G:$G, (MATCH(200, 輔助計算!$G$2:$G$801, 0)+1))&lt;=1181,2,1)))=2,TEXT(INDEX(ERP資料!$G:$G, (MATCH(200, 輔助計算!$G$2:$G$801, 0)+1)),"0.##")&amp;"+"&amp;TEXT(INDEX(ERP資料!$G:$G, (MATCH(200, 輔助計算!$G$2:$G$801, 0)+1)),"0.##"),TEXT(INDEX(ERP資料!$G:$G, (MATCH(200, 輔助計算!$G$2:$G$801, 0)+1)),"0.##")&amp;"+"&amp;TEXT(INDEX(ERP資料!$G:$G, (MATCH(200, 輔助計算!$G$2:$G$801, 0)+1)),"0.##")&amp;"+"&amp;TEXT(INDEX(ERP資料!$G:$G, (MATCH(200, 輔助計算!$G$2:$G$801, 0)+1)),"0.##")))&amp;"-"&amp;INT(INDEX(輔助計算!$D:$D, (MATCH(200, 輔助計算!$G$2:$G$801, 0)+1))/IF(INDEX(ERP資料!$G:$G, (MATCH(200, 輔助計算!$G$2:$G$801, 0)+1))&lt;100, IF(INDEX(ERP資料!$G:$G, (MATCH(200, 輔助計算!$G$2:$G$801, 0)+1))&lt;=31,3,IF(INDEX(ERP資料!$G:$G, (MATCH(200, 輔助計算!$G$2:$G$801, 0)+1))&lt;=46.5,2,1)), IF(INDEX(ERP資料!$G:$G, (MATCH(200, 輔助計算!$G$2:$G$801, 0)+1))&lt;=790,3,IF(INDEX(ERP資料!$G:$G, (MATCH(200, 輔助計算!$G$2:$G$801, 0)+1))&lt;=1181,2,1)))), "")&amp;IF(AND(IF(INT(INDEX(輔助計算!$D:$D, (MATCH(200, 輔助計算!$G$2:$G$801, 0)+1))/IF(INDEX(ERP資料!$G:$G, (MATCH(200, 輔助計算!$G$2:$G$801, 0)+1))&lt;100, IF(INDEX(ERP資料!$G:$G, (MATCH(200, 輔助計算!$G$2:$G$801, 0)+1))&lt;=31,3,IF(INDEX(ERP資料!$G:$G, (MATCH(200, 輔助計算!$G$2:$G$801, 0)+1))&lt;=46.5,2,1)), IF(INDEX(ERP資料!$G:$G, (MATCH(200, 輔助計算!$G$2:$G$801, 0)+1))&lt;=790,3,IF(INDEX(ERP資料!$G:$G, (MATCH(200, 輔助計算!$G$2:$G$801, 0)+1))&lt;=1181,2,1))))&gt;0, IF(IF(INDEX(ERP資料!$G:$G, (MATCH(200, 輔助計算!$G$2:$G$801, 0)+1))&lt;100, IF(INDEX(ERP資料!$G:$G, (MATCH(200, 輔助計算!$G$2:$G$801, 0)+1))&lt;=31,3,IF(INDEX(ERP資料!$G:$G, (MATCH(200, 輔助計算!$G$2:$G$801, 0)+1))&lt;=46.5,2,1)), IF(INDEX(ERP資料!$G:$G, (MATCH(200, 輔助計算!$G$2:$G$801, 0)+1))&lt;=790,3,IF(INDEX(ERP資料!$G:$G, (MATCH(200, 輔助計算!$G$2:$G$801, 0)+1))&lt;=1181,2,1)))=1,TEXT(INDEX(ERP資料!$G:$G, (MATCH(200, 輔助計算!$G$2:$G$801, 0)+1)),"0.##"),IF(IF(INDEX(ERP資料!$G:$G, (MATCH(200, 輔助計算!$G$2:$G$801, 0)+1))&lt;100, IF(INDEX(ERP資料!$G:$G, (MATCH(200, 輔助計算!$G$2:$G$801, 0)+1))&lt;=31,3,IF(INDEX(ERP資料!$G:$G, (MATCH(200, 輔助計算!$G$2:$G$801, 0)+1))&lt;=46.5,2,1)), IF(INDEX(ERP資料!$G:$G, (MATCH(200, 輔助計算!$G$2:$G$801, 0)+1))&lt;=790,3,IF(INDEX(ERP資料!$G:$G, (MATCH(200, 輔助計算!$G$2:$G$801, 0)+1))&lt;=1181,2,1)))=2,TEXT(INDEX(ERP資料!$G:$G, (MATCH(200, 輔助計算!$G$2:$G$801, 0)+1)),"0.##")&amp;"+"&amp;TEXT(INDEX(ERP資料!$G:$G, (MATCH(200, 輔助計算!$G$2:$G$801, 0)+1)),"0.##"),TEXT(INDEX(ERP資料!$G:$G, (MATCH(200, 輔助計算!$G$2:$G$801, 0)+1)),"0.##")&amp;"+"&amp;TEXT(INDEX(ERP資料!$G:$G, (MATCH(200, 輔助計算!$G$2:$G$801, 0)+1)),"0.##")&amp;"+"&amp;TEXT(INDEX(ERP資料!$G:$G, (MATCH(200, 輔助計算!$G$2:$G$801, 0)+1)),"0.##")))&amp;"-"&amp;INT(INDEX(輔助計算!$D:$D, (MATCH(200, 輔助計算!$G$2:$G$801, 0)+1))/IF(INDEX(ERP資料!$G:$G, (MATCH(200, 輔助計算!$G$2:$G$801, 0)+1))&lt;100, IF(INDEX(ERP資料!$G:$G, (MATCH(200, 輔助計算!$G$2:$G$801, 0)+1))&lt;=31,3,IF(INDEX(ERP資料!$G:$G, (MATCH(200, 輔助計算!$G$2:$G$801, 0)+1))&lt;=46.5,2,1)), IF(INDEX(ERP資料!$G:$G, (MATCH(200, 輔助計算!$G$2:$G$801, 0)+1))&lt;=790,3,IF(INDEX(ERP資料!$G:$G, (MATCH(200, 輔助計算!$G$2:$G$801, 0)+1))&lt;=1181,2,1)))), "")&lt;&gt;"",IF(MOD(INDEX(輔助計算!$D:$D, (MATCH(200, 輔助計算!$G$2:$G$801, 0)+1)),IF(INDEX(ERP資料!$G:$G, (MATCH(200, 輔助計算!$G$2:$G$801, 0)+1))&lt;100, IF(INDEX(ERP資料!$G:$G, (MATCH(200, 輔助計算!$G$2:$G$801, 0)+1))&lt;=31,3,IF(INDEX(ERP資料!$G:$G, (MATCH(200, 輔助計算!$G$2:$G$801, 0)+1))&lt;=46.5,2,1)), IF(INDEX(ERP資料!$G:$G, (MATCH(200, 輔助計算!$G$2:$G$801, 0)+1))&lt;=790,3,IF(INDEX(ERP資料!$G:$G, (MATCH(200, 輔助計算!$G$2:$G$801, 0)+1))&lt;=1181,2,1))))=0,"",IF(MOD(INDEX(輔助計算!$D:$D, (MATCH(200, 輔助計算!$G$2:$G$801, 0)+1)),IF(INDEX(ERP資料!$G:$G, (MATCH(200, 輔助計算!$G$2:$G$801, 0)+1))&lt;100, IF(INDEX(ERP資料!$G:$G, (MATCH(200, 輔助計算!$G$2:$G$801, 0)+1))&lt;=31,3,IF(INDEX(ERP資料!$G:$G, (MATCH(200, 輔助計算!$G$2:$G$801, 0)+1))&lt;=46.5,2,1)), IF(INDEX(ERP資料!$G:$G, (MATCH(200, 輔助計算!$G$2:$G$801, 0)+1))&lt;=790,3,IF(INDEX(ERP資料!$G:$G, (MATCH(200, 輔助計算!$G$2:$G$801, 0)+1))&lt;=1181,2,1))))=0,"",IF(MOD(INDEX(輔助計算!$D:$D, (MATCH(200, 輔助計算!$G$2:$G$801, 0)+1)),IF(INDEX(ERP資料!$G:$G, (MATCH(200, 輔助計算!$G$2:$G$801, 0)+1))&lt;100, IF(INDEX(ERP資料!$G:$G, (MATCH(200, 輔助計算!$G$2:$G$801, 0)+1))&lt;=31,3,IF(INDEX(ERP資料!$G:$G, (MATCH(200, 輔助計算!$G$2:$G$801, 0)+1))&lt;=46.5,2,1)), IF(INDEX(ERP資料!$G:$G, (MATCH(200, 輔助計算!$G$2:$G$801, 0)+1))&lt;=790,3,IF(INDEX(ERP資料!$G:$G, (MATCH(200, 輔助計算!$G$2:$G$801, 0)+1))&lt;=1181,2,1))))=1,TEXT(INDEX(ERP資料!$G:$G, (MATCH(200, 輔助計算!$G$2:$G$801, 0)+1)),"0.##"),IF(MOD(INDEX(輔助計算!$D:$D, (MATCH(200, 輔助計算!$G$2:$G$801, 0)+1)),IF(INDEX(ERP資料!$G:$G, (MATCH(200, 輔助計算!$G$2:$G$801, 0)+1))&lt;100, IF(INDEX(ERP資料!$G:$G, (MATCH(200, 輔助計算!$G$2:$G$801, 0)+1))&lt;=31,3,IF(INDEX(ERP資料!$G:$G, (MATCH(200, 輔助計算!$G$2:$G$801, 0)+1))&lt;=46.5,2,1)), IF(INDEX(ERP資料!$G:$G, (MATCH(200, 輔助計算!$G$2:$G$801, 0)+1))&lt;=790,3,IF(INDEX(ERP資料!$G:$G, (MATCH(200, 輔助計算!$G$2:$G$801, 0)+1))&lt;=1181,2,1))))=2,TEXT(INDEX(ERP資料!$G:$G, (MATCH(200, 輔助計算!$G$2:$G$801, 0)+1)),"0.##")&amp;"+"&amp;TEXT(INDEX(ERP資料!$G:$G, (MATCH(200, 輔助計算!$G$2:$G$801, 0)+1)),"0.##"),TEXT(INDEX(ERP資料!$G:$G, (MATCH(200, 輔助計算!$G$2:$G$801, 0)+1)),"0.##")&amp;"+"&amp;TEXT(INDEX(ERP資料!$G:$G, (MATCH(200, 輔助計算!$G$2:$G$801, 0)+1)),"0.##")&amp;"+"&amp;TEXT(INDEX(ERP資料!$G:$G, (MATCH(200, 輔助計算!$G$2:$G$801, 0)+1)),"0.##"))))&amp;"-1")&lt;&gt;""),"  ","")&amp;IF(MOD(INDEX(輔助計算!$D:$D, (MATCH(200, 輔助計算!$G$2:$G$801, 0)+1)),IF(INDEX(ERP資料!$G:$G, (MATCH(200, 輔助計算!$G$2:$G$801, 0)+1))&lt;100, IF(INDEX(ERP資料!$G:$G, (MATCH(200, 輔助計算!$G$2:$G$801, 0)+1))&lt;=31,3,IF(INDEX(ERP資料!$G:$G, (MATCH(200, 輔助計算!$G$2:$G$801, 0)+1))&lt;=46.5,2,1)), IF(INDEX(ERP資料!$G:$G, (MATCH(200, 輔助計算!$G$2:$G$801, 0)+1))&lt;=790,3,IF(INDEX(ERP資料!$G:$G, (MATCH(200, 輔助計算!$G$2:$G$801, 0)+1))&lt;=1181,2,1))))=0,"",IF(MOD(INDEX(輔助計算!$D:$D, (MATCH(200, 輔助計算!$G$2:$G$801, 0)+1)),IF(INDEX(ERP資料!$G:$G, (MATCH(200, 輔助計算!$G$2:$G$801, 0)+1))&lt;100, IF(INDEX(ERP資料!$G:$G, (MATCH(200, 輔助計算!$G$2:$G$801, 0)+1))&lt;=31,3,IF(INDEX(ERP資料!$G:$G, (MATCH(200, 輔助計算!$G$2:$G$801, 0)+1))&lt;=46.5,2,1)), IF(INDEX(ERP資料!$G:$G, (MATCH(200, 輔助計算!$G$2:$G$801, 0)+1))&lt;=790,3,IF(INDEX(ERP資料!$G:$G, (MATCH(200, 輔助計算!$G$2:$G$801, 0)+1))&lt;=1181,2,1))))=0,"",IF(MOD(INDEX(輔助計算!$D:$D, (MATCH(200, 輔助計算!$G$2:$G$801, 0)+1)),IF(INDEX(ERP資料!$G:$G, (MATCH(200, 輔助計算!$G$2:$G$801, 0)+1))&lt;100, IF(INDEX(ERP資料!$G:$G, (MATCH(200, 輔助計算!$G$2:$G$801, 0)+1))&lt;=31,3,IF(INDEX(ERP資料!$G:$G, (MATCH(200, 輔助計算!$G$2:$G$801, 0)+1))&lt;=46.5,2,1)), IF(INDEX(ERP資料!$G:$G, (MATCH(200, 輔助計算!$G$2:$G$801, 0)+1))&lt;=790,3,IF(INDEX(ERP資料!$G:$G, (MATCH(200, 輔助計算!$G$2:$G$801, 0)+1))&lt;=1181,2,1))))=1,TEXT(INDEX(ERP資料!$G:$G, (MATCH(200, 輔助計算!$G$2:$G$801, 0)+1)),"0.##"),IF(MOD(INDEX(輔助計算!$D:$D, (MATCH(200, 輔助計算!$G$2:$G$801, 0)+1)),IF(INDEX(ERP資料!$G:$G, (MATCH(200, 輔助計算!$G$2:$G$801, 0)+1))&lt;100, IF(INDEX(ERP資料!$G:$G, (MATCH(200, 輔助計算!$G$2:$G$801, 0)+1))&lt;=31,3,IF(INDEX(ERP資料!$G:$G, (MATCH(200, 輔助計算!$G$2:$G$801, 0)+1))&lt;=46.5,2,1)), IF(INDEX(ERP資料!$G:$G, (MATCH(200, 輔助計算!$G$2:$G$801, 0)+1))&lt;=790,3,IF(INDEX(ERP資料!$G:$G, (MATCH(200, 輔助計算!$G$2:$G$801, 0)+1))&lt;=1181,2,1))))=2,TEXT(INDEX(ERP資料!$G:$G, (MATCH(200, 輔助計算!$G$2:$G$801, 0)+1)),"0.##")&amp;"+"&amp;TEXT(INDEX(ERP資料!$G:$G, (MATCH(200, 輔助計算!$G$2:$G$801, 0)+1)),"0.##"),TEXT(INDEX(ERP資料!$G:$G, (MATCH(200, 輔助計算!$G$2:$G$801, 0)+1)),"0.##")&amp;"+"&amp;TEXT(INDEX(ERP資料!$G:$G, (MATCH(200, 輔助計算!$G$2:$G$801, 0)+1)),"0.##")&amp;"+"&amp;TEXT(INDEX(ERP資料!$G:$G, (MATCH(200, 輔助計算!$G$2:$G$801, 0)+1)),"0.##"))))&amp;"-1")), ""), "")</f>
        <v/>
      </c>
      <c r="K201" s="16" t="n"/>
      <c r="L201" s="14">
        <f>IFERROR(IF(AND(IFERROR(INDEX(ERP資料!$A:$A, (MATCH(200, 輔助計算!$G$2:$G$801, 0)+1)), "")&lt;&gt;"", IFERROR(INDEX(ERP資料!$A:$A, (MATCH(200, 輔助計算!$G$2:$G$801, 0)+1)), "")&lt;&gt;IFERROR(INDEX(ERP資料!$A:$A, MATCH(199, 輔助計算!$G$2:$G$801, 0)+1), "")), INDEX(ERP資料!$B:$B, (MATCH(200, 輔助計算!$G$2:$G$801, 0)+1)), ""), "")</f>
        <v/>
      </c>
      <c r="M201" s="17" t="n"/>
    </row>
    <row r="202">
      <c r="A202" s="10">
        <f>IFERROR(IF(AND(IFERROR(INDEX(ERP資料!$A:$A, (MATCH(201, 輔助計算!$G$2:$G$801, 0)+1)), "")&lt;&gt;"", IFERROR(INDEX(ERP資料!$A:$A, (MATCH(201, 輔助計算!$G$2:$G$801, 0)+1)), "")&lt;&gt;IFERROR(INDEX(ERP資料!$A:$A, MATCH(200, 輔助計算!$G$2:$G$801, 0)+1), "")), IFERROR(INDEX(ERP資料!$A:$A, (MATCH(201, 輔助計算!$G$2:$G$801, 0)+1)), ""), ""), "")</f>
        <v/>
      </c>
      <c r="B202" s="10">
        <f>IFERROR(IF(AND(IFERROR(INDEX(ERP資料!$A:$A, (MATCH(201, 輔助計算!$G$2:$G$801, 0)+1)), "")&lt;&gt;"", IFERROR(INDEX(ERP資料!$A:$A, (MATCH(201, 輔助計算!$G$2:$G$801, 0)+1)), "")&lt;&gt;IFERROR(INDEX(ERP資料!$A:$A, MATCH(200, 輔助計算!$G$2:$G$801, 0)+1), "")), INDEX(ERP資料!$S:$S, (MATCH(201, 輔助計算!$G$2:$G$801, 0)+1)), ""), "")</f>
        <v/>
      </c>
      <c r="C202" s="19">
        <f>IFERROR(IF(AND(IFERROR(INDEX(ERP資料!$A:$A, (MATCH(201, 輔助計算!$G$2:$G$801, 0)+1)), "")&lt;&gt;"", IFERROR(INDEX(ERP資料!$A:$A, (MATCH(201, 輔助計算!$G$2:$G$801, 0)+1)), "")&lt;&gt;IFERROR(INDEX(ERP資料!$A:$A, MATCH(200, 輔助計算!$G$2:$G$801, 0)+1), "")), IFERROR(VLOOKUP(LEFT(INDEX(ERP資料!$S:$S, (MATCH(201, 輔助計算!$G$2:$G$801, 0)+1)), 4), 紙管對照表!$A:$C, 3, FALSE), ""), ""), "")</f>
        <v/>
      </c>
      <c r="D202" s="16" t="n"/>
      <c r="E202" s="10">
        <f>IFERROR(IF(INDEX(ERP資料!$H:$H, (MATCH(201, 輔助計算!$G$2:$G$801, 0)+1))="","",INDEX(ERP資料!$H:$H, (MATCH(201, 輔助計算!$G$2:$G$801, 0)+1))), "")</f>
        <v/>
      </c>
      <c r="F202" s="10">
        <f>IFERROR(IF(INDEX(ERP資料!$E:$E, (MATCH(201, 輔助計算!$G$2:$G$801, 0)+1))="","",TRIM(INDEX(ERP資料!$E:$E, (MATCH(201, 輔助計算!$G$2:$G$801, 0)+1)))), "")</f>
        <v/>
      </c>
      <c r="G202" s="10">
        <f>IFERROR(IF(INDEX(ERP資料!$F:$F, (MATCH(201, 輔助計算!$G$2:$G$801, 0)+1))="","",INDEX(ERP資料!$F:$F, (MATCH(201, 輔助計算!$G$2:$G$801, 0)+1))), "")</f>
        <v/>
      </c>
      <c r="H202" s="10">
        <f>IFERROR(IF(INDEX(ERP資料!$G:$G, (MATCH(201, 輔助計算!$G$2:$G$801, 0)+1))="","",INDEX(ERP資料!$G:$G, (MATCH(201, 輔助計算!$G$2:$G$801, 0)+1))), "")</f>
        <v/>
      </c>
      <c r="I202" s="15">
        <f>IFERROR(INDEX(輔助計算!$D:$D, (MATCH(201, 輔助計算!$G$2:$G$801, 0)+1)), "")</f>
        <v/>
      </c>
      <c r="J202" s="15">
        <f>IFERROR(IF(AND(INDEX(輔助計算!$D:$D, (MATCH(201, 輔助計算!$G$2:$G$801, 0)+1))&lt;&gt;"", INDEX(ERP資料!$G:$G, (MATCH(201, 輔助計算!$G$2:$G$801, 0)+1))&lt;&gt;""), TRIM(IF(INT(INDEX(輔助計算!$D:$D, (MATCH(201, 輔助計算!$G$2:$G$801, 0)+1))/IF(INDEX(ERP資料!$G:$G, (MATCH(201, 輔助計算!$G$2:$G$801, 0)+1))&lt;100, IF(INDEX(ERP資料!$G:$G, (MATCH(201, 輔助計算!$G$2:$G$801, 0)+1))&lt;=31,3,IF(INDEX(ERP資料!$G:$G, (MATCH(201, 輔助計算!$G$2:$G$801, 0)+1))&lt;=46.5,2,1)), IF(INDEX(ERP資料!$G:$G, (MATCH(201, 輔助計算!$G$2:$G$801, 0)+1))&lt;=790,3,IF(INDEX(ERP資料!$G:$G, (MATCH(201, 輔助計算!$G$2:$G$801, 0)+1))&lt;=1181,2,1))))&gt;0, IF(IF(INDEX(ERP資料!$G:$G, (MATCH(201, 輔助計算!$G$2:$G$801, 0)+1))&lt;100, IF(INDEX(ERP資料!$G:$G, (MATCH(201, 輔助計算!$G$2:$G$801, 0)+1))&lt;=31,3,IF(INDEX(ERP資料!$G:$G, (MATCH(201, 輔助計算!$G$2:$G$801, 0)+1))&lt;=46.5,2,1)), IF(INDEX(ERP資料!$G:$G, (MATCH(201, 輔助計算!$G$2:$G$801, 0)+1))&lt;=790,3,IF(INDEX(ERP資料!$G:$G, (MATCH(201, 輔助計算!$G$2:$G$801, 0)+1))&lt;=1181,2,1)))=1,TEXT(INDEX(ERP資料!$G:$G, (MATCH(201, 輔助計算!$G$2:$G$801, 0)+1)),"0.##"),IF(IF(INDEX(ERP資料!$G:$G, (MATCH(201, 輔助計算!$G$2:$G$801, 0)+1))&lt;100, IF(INDEX(ERP資料!$G:$G, (MATCH(201, 輔助計算!$G$2:$G$801, 0)+1))&lt;=31,3,IF(INDEX(ERP資料!$G:$G, (MATCH(201, 輔助計算!$G$2:$G$801, 0)+1))&lt;=46.5,2,1)), IF(INDEX(ERP資料!$G:$G, (MATCH(201, 輔助計算!$G$2:$G$801, 0)+1))&lt;=790,3,IF(INDEX(ERP資料!$G:$G, (MATCH(201, 輔助計算!$G$2:$G$801, 0)+1))&lt;=1181,2,1)))=2,TEXT(INDEX(ERP資料!$G:$G, (MATCH(201, 輔助計算!$G$2:$G$801, 0)+1)),"0.##")&amp;"+"&amp;TEXT(INDEX(ERP資料!$G:$G, (MATCH(201, 輔助計算!$G$2:$G$801, 0)+1)),"0.##"),TEXT(INDEX(ERP資料!$G:$G, (MATCH(201, 輔助計算!$G$2:$G$801, 0)+1)),"0.##")&amp;"+"&amp;TEXT(INDEX(ERP資料!$G:$G, (MATCH(201, 輔助計算!$G$2:$G$801, 0)+1)),"0.##")&amp;"+"&amp;TEXT(INDEX(ERP資料!$G:$G, (MATCH(201, 輔助計算!$G$2:$G$801, 0)+1)),"0.##")))&amp;"-"&amp;INT(INDEX(輔助計算!$D:$D, (MATCH(201, 輔助計算!$G$2:$G$801, 0)+1))/IF(INDEX(ERP資料!$G:$G, (MATCH(201, 輔助計算!$G$2:$G$801, 0)+1))&lt;100, IF(INDEX(ERP資料!$G:$G, (MATCH(201, 輔助計算!$G$2:$G$801, 0)+1))&lt;=31,3,IF(INDEX(ERP資料!$G:$G, (MATCH(201, 輔助計算!$G$2:$G$801, 0)+1))&lt;=46.5,2,1)), IF(INDEX(ERP資料!$G:$G, (MATCH(201, 輔助計算!$G$2:$G$801, 0)+1))&lt;=790,3,IF(INDEX(ERP資料!$G:$G, (MATCH(201, 輔助計算!$G$2:$G$801, 0)+1))&lt;=1181,2,1)))), "")&amp;IF(AND(IF(INT(INDEX(輔助計算!$D:$D, (MATCH(201, 輔助計算!$G$2:$G$801, 0)+1))/IF(INDEX(ERP資料!$G:$G, (MATCH(201, 輔助計算!$G$2:$G$801, 0)+1))&lt;100, IF(INDEX(ERP資料!$G:$G, (MATCH(201, 輔助計算!$G$2:$G$801, 0)+1))&lt;=31,3,IF(INDEX(ERP資料!$G:$G, (MATCH(201, 輔助計算!$G$2:$G$801, 0)+1))&lt;=46.5,2,1)), IF(INDEX(ERP資料!$G:$G, (MATCH(201, 輔助計算!$G$2:$G$801, 0)+1))&lt;=790,3,IF(INDEX(ERP資料!$G:$G, (MATCH(201, 輔助計算!$G$2:$G$801, 0)+1))&lt;=1181,2,1))))&gt;0, IF(IF(INDEX(ERP資料!$G:$G, (MATCH(201, 輔助計算!$G$2:$G$801, 0)+1))&lt;100, IF(INDEX(ERP資料!$G:$G, (MATCH(201, 輔助計算!$G$2:$G$801, 0)+1))&lt;=31,3,IF(INDEX(ERP資料!$G:$G, (MATCH(201, 輔助計算!$G$2:$G$801, 0)+1))&lt;=46.5,2,1)), IF(INDEX(ERP資料!$G:$G, (MATCH(201, 輔助計算!$G$2:$G$801, 0)+1))&lt;=790,3,IF(INDEX(ERP資料!$G:$G, (MATCH(201, 輔助計算!$G$2:$G$801, 0)+1))&lt;=1181,2,1)))=1,TEXT(INDEX(ERP資料!$G:$G, (MATCH(201, 輔助計算!$G$2:$G$801, 0)+1)),"0.##"),IF(IF(INDEX(ERP資料!$G:$G, (MATCH(201, 輔助計算!$G$2:$G$801, 0)+1))&lt;100, IF(INDEX(ERP資料!$G:$G, (MATCH(201, 輔助計算!$G$2:$G$801, 0)+1))&lt;=31,3,IF(INDEX(ERP資料!$G:$G, (MATCH(201, 輔助計算!$G$2:$G$801, 0)+1))&lt;=46.5,2,1)), IF(INDEX(ERP資料!$G:$G, (MATCH(201, 輔助計算!$G$2:$G$801, 0)+1))&lt;=790,3,IF(INDEX(ERP資料!$G:$G, (MATCH(201, 輔助計算!$G$2:$G$801, 0)+1))&lt;=1181,2,1)))=2,TEXT(INDEX(ERP資料!$G:$G, (MATCH(201, 輔助計算!$G$2:$G$801, 0)+1)),"0.##")&amp;"+"&amp;TEXT(INDEX(ERP資料!$G:$G, (MATCH(201, 輔助計算!$G$2:$G$801, 0)+1)),"0.##"),TEXT(INDEX(ERP資料!$G:$G, (MATCH(201, 輔助計算!$G$2:$G$801, 0)+1)),"0.##")&amp;"+"&amp;TEXT(INDEX(ERP資料!$G:$G, (MATCH(201, 輔助計算!$G$2:$G$801, 0)+1)),"0.##")&amp;"+"&amp;TEXT(INDEX(ERP資料!$G:$G, (MATCH(201, 輔助計算!$G$2:$G$801, 0)+1)),"0.##")))&amp;"-"&amp;INT(INDEX(輔助計算!$D:$D, (MATCH(201, 輔助計算!$G$2:$G$801, 0)+1))/IF(INDEX(ERP資料!$G:$G, (MATCH(201, 輔助計算!$G$2:$G$801, 0)+1))&lt;100, IF(INDEX(ERP資料!$G:$G, (MATCH(201, 輔助計算!$G$2:$G$801, 0)+1))&lt;=31,3,IF(INDEX(ERP資料!$G:$G, (MATCH(201, 輔助計算!$G$2:$G$801, 0)+1))&lt;=46.5,2,1)), IF(INDEX(ERP資料!$G:$G, (MATCH(201, 輔助計算!$G$2:$G$801, 0)+1))&lt;=790,3,IF(INDEX(ERP資料!$G:$G, (MATCH(201, 輔助計算!$G$2:$G$801, 0)+1))&lt;=1181,2,1)))), "")&lt;&gt;"",IF(MOD(INDEX(輔助計算!$D:$D, (MATCH(201, 輔助計算!$G$2:$G$801, 0)+1)),IF(INDEX(ERP資料!$G:$G, (MATCH(201, 輔助計算!$G$2:$G$801, 0)+1))&lt;100, IF(INDEX(ERP資料!$G:$G, (MATCH(201, 輔助計算!$G$2:$G$801, 0)+1))&lt;=31,3,IF(INDEX(ERP資料!$G:$G, (MATCH(201, 輔助計算!$G$2:$G$801, 0)+1))&lt;=46.5,2,1)), IF(INDEX(ERP資料!$G:$G, (MATCH(201, 輔助計算!$G$2:$G$801, 0)+1))&lt;=790,3,IF(INDEX(ERP資料!$G:$G, (MATCH(201, 輔助計算!$G$2:$G$801, 0)+1))&lt;=1181,2,1))))=0,"",IF(MOD(INDEX(輔助計算!$D:$D, (MATCH(201, 輔助計算!$G$2:$G$801, 0)+1)),IF(INDEX(ERP資料!$G:$G, (MATCH(201, 輔助計算!$G$2:$G$801, 0)+1))&lt;100, IF(INDEX(ERP資料!$G:$G, (MATCH(201, 輔助計算!$G$2:$G$801, 0)+1))&lt;=31,3,IF(INDEX(ERP資料!$G:$G, (MATCH(201, 輔助計算!$G$2:$G$801, 0)+1))&lt;=46.5,2,1)), IF(INDEX(ERP資料!$G:$G, (MATCH(201, 輔助計算!$G$2:$G$801, 0)+1))&lt;=790,3,IF(INDEX(ERP資料!$G:$G, (MATCH(201, 輔助計算!$G$2:$G$801, 0)+1))&lt;=1181,2,1))))=0,"",IF(MOD(INDEX(輔助計算!$D:$D, (MATCH(201, 輔助計算!$G$2:$G$801, 0)+1)),IF(INDEX(ERP資料!$G:$G, (MATCH(201, 輔助計算!$G$2:$G$801, 0)+1))&lt;100, IF(INDEX(ERP資料!$G:$G, (MATCH(201, 輔助計算!$G$2:$G$801, 0)+1))&lt;=31,3,IF(INDEX(ERP資料!$G:$G, (MATCH(201, 輔助計算!$G$2:$G$801, 0)+1))&lt;=46.5,2,1)), IF(INDEX(ERP資料!$G:$G, (MATCH(201, 輔助計算!$G$2:$G$801, 0)+1))&lt;=790,3,IF(INDEX(ERP資料!$G:$G, (MATCH(201, 輔助計算!$G$2:$G$801, 0)+1))&lt;=1181,2,1))))=1,TEXT(INDEX(ERP資料!$G:$G, (MATCH(201, 輔助計算!$G$2:$G$801, 0)+1)),"0.##"),IF(MOD(INDEX(輔助計算!$D:$D, (MATCH(201, 輔助計算!$G$2:$G$801, 0)+1)),IF(INDEX(ERP資料!$G:$G, (MATCH(201, 輔助計算!$G$2:$G$801, 0)+1))&lt;100, IF(INDEX(ERP資料!$G:$G, (MATCH(201, 輔助計算!$G$2:$G$801, 0)+1))&lt;=31,3,IF(INDEX(ERP資料!$G:$G, (MATCH(201, 輔助計算!$G$2:$G$801, 0)+1))&lt;=46.5,2,1)), IF(INDEX(ERP資料!$G:$G, (MATCH(201, 輔助計算!$G$2:$G$801, 0)+1))&lt;=790,3,IF(INDEX(ERP資料!$G:$G, (MATCH(201, 輔助計算!$G$2:$G$801, 0)+1))&lt;=1181,2,1))))=2,TEXT(INDEX(ERP資料!$G:$G, (MATCH(201, 輔助計算!$G$2:$G$801, 0)+1)),"0.##")&amp;"+"&amp;TEXT(INDEX(ERP資料!$G:$G, (MATCH(201, 輔助計算!$G$2:$G$801, 0)+1)),"0.##"),TEXT(INDEX(ERP資料!$G:$G, (MATCH(201, 輔助計算!$G$2:$G$801, 0)+1)),"0.##")&amp;"+"&amp;TEXT(INDEX(ERP資料!$G:$G, (MATCH(201, 輔助計算!$G$2:$G$801, 0)+1)),"0.##")&amp;"+"&amp;TEXT(INDEX(ERP資料!$G:$G, (MATCH(201, 輔助計算!$G$2:$G$801, 0)+1)),"0.##"))))&amp;"-1")&lt;&gt;""),"  ","")&amp;IF(MOD(INDEX(輔助計算!$D:$D, (MATCH(201, 輔助計算!$G$2:$G$801, 0)+1)),IF(INDEX(ERP資料!$G:$G, (MATCH(201, 輔助計算!$G$2:$G$801, 0)+1))&lt;100, IF(INDEX(ERP資料!$G:$G, (MATCH(201, 輔助計算!$G$2:$G$801, 0)+1))&lt;=31,3,IF(INDEX(ERP資料!$G:$G, (MATCH(201, 輔助計算!$G$2:$G$801, 0)+1))&lt;=46.5,2,1)), IF(INDEX(ERP資料!$G:$G, (MATCH(201, 輔助計算!$G$2:$G$801, 0)+1))&lt;=790,3,IF(INDEX(ERP資料!$G:$G, (MATCH(201, 輔助計算!$G$2:$G$801, 0)+1))&lt;=1181,2,1))))=0,"",IF(MOD(INDEX(輔助計算!$D:$D, (MATCH(201, 輔助計算!$G$2:$G$801, 0)+1)),IF(INDEX(ERP資料!$G:$G, (MATCH(201, 輔助計算!$G$2:$G$801, 0)+1))&lt;100, IF(INDEX(ERP資料!$G:$G, (MATCH(201, 輔助計算!$G$2:$G$801, 0)+1))&lt;=31,3,IF(INDEX(ERP資料!$G:$G, (MATCH(201, 輔助計算!$G$2:$G$801, 0)+1))&lt;=46.5,2,1)), IF(INDEX(ERP資料!$G:$G, (MATCH(201, 輔助計算!$G$2:$G$801, 0)+1))&lt;=790,3,IF(INDEX(ERP資料!$G:$G, (MATCH(201, 輔助計算!$G$2:$G$801, 0)+1))&lt;=1181,2,1))))=0,"",IF(MOD(INDEX(輔助計算!$D:$D, (MATCH(201, 輔助計算!$G$2:$G$801, 0)+1)),IF(INDEX(ERP資料!$G:$G, (MATCH(201, 輔助計算!$G$2:$G$801, 0)+1))&lt;100, IF(INDEX(ERP資料!$G:$G, (MATCH(201, 輔助計算!$G$2:$G$801, 0)+1))&lt;=31,3,IF(INDEX(ERP資料!$G:$G, (MATCH(201, 輔助計算!$G$2:$G$801, 0)+1))&lt;=46.5,2,1)), IF(INDEX(ERP資料!$G:$G, (MATCH(201, 輔助計算!$G$2:$G$801, 0)+1))&lt;=790,3,IF(INDEX(ERP資料!$G:$G, (MATCH(201, 輔助計算!$G$2:$G$801, 0)+1))&lt;=1181,2,1))))=1,TEXT(INDEX(ERP資料!$G:$G, (MATCH(201, 輔助計算!$G$2:$G$801, 0)+1)),"0.##"),IF(MOD(INDEX(輔助計算!$D:$D, (MATCH(201, 輔助計算!$G$2:$G$801, 0)+1)),IF(INDEX(ERP資料!$G:$G, (MATCH(201, 輔助計算!$G$2:$G$801, 0)+1))&lt;100, IF(INDEX(ERP資料!$G:$G, (MATCH(201, 輔助計算!$G$2:$G$801, 0)+1))&lt;=31,3,IF(INDEX(ERP資料!$G:$G, (MATCH(201, 輔助計算!$G$2:$G$801, 0)+1))&lt;=46.5,2,1)), IF(INDEX(ERP資料!$G:$G, (MATCH(201, 輔助計算!$G$2:$G$801, 0)+1))&lt;=790,3,IF(INDEX(ERP資料!$G:$G, (MATCH(201, 輔助計算!$G$2:$G$801, 0)+1))&lt;=1181,2,1))))=2,TEXT(INDEX(ERP資料!$G:$G, (MATCH(201, 輔助計算!$G$2:$G$801, 0)+1)),"0.##")&amp;"+"&amp;TEXT(INDEX(ERP資料!$G:$G, (MATCH(201, 輔助計算!$G$2:$G$801, 0)+1)),"0.##"),TEXT(INDEX(ERP資料!$G:$G, (MATCH(201, 輔助計算!$G$2:$G$801, 0)+1)),"0.##")&amp;"+"&amp;TEXT(INDEX(ERP資料!$G:$G, (MATCH(201, 輔助計算!$G$2:$G$801, 0)+1)),"0.##")&amp;"+"&amp;TEXT(INDEX(ERP資料!$G:$G, (MATCH(201, 輔助計算!$G$2:$G$801, 0)+1)),"0.##"))))&amp;"-1")), ""), "")</f>
        <v/>
      </c>
      <c r="K202" s="16" t="n"/>
      <c r="L202" s="14">
        <f>IFERROR(IF(AND(IFERROR(INDEX(ERP資料!$A:$A, (MATCH(201, 輔助計算!$G$2:$G$801, 0)+1)), "")&lt;&gt;"", IFERROR(INDEX(ERP資料!$A:$A, (MATCH(201, 輔助計算!$G$2:$G$801, 0)+1)), "")&lt;&gt;IFERROR(INDEX(ERP資料!$A:$A, MATCH(200, 輔助計算!$G$2:$G$801, 0)+1), "")), INDEX(ERP資料!$B:$B, (MATCH(201, 輔助計算!$G$2:$G$801, 0)+1)), ""), "")</f>
        <v/>
      </c>
      <c r="M202" s="17" t="n"/>
    </row>
    <row r="203">
      <c r="A203" s="10">
        <f>IFERROR(IF(AND(IFERROR(INDEX(ERP資料!$A:$A, (MATCH(202, 輔助計算!$G$2:$G$801, 0)+1)), "")&lt;&gt;"", IFERROR(INDEX(ERP資料!$A:$A, (MATCH(202, 輔助計算!$G$2:$G$801, 0)+1)), "")&lt;&gt;IFERROR(INDEX(ERP資料!$A:$A, MATCH(201, 輔助計算!$G$2:$G$801, 0)+1), "")), IFERROR(INDEX(ERP資料!$A:$A, (MATCH(202, 輔助計算!$G$2:$G$801, 0)+1)), ""), ""), "")</f>
        <v/>
      </c>
      <c r="B203" s="10">
        <f>IFERROR(IF(AND(IFERROR(INDEX(ERP資料!$A:$A, (MATCH(202, 輔助計算!$G$2:$G$801, 0)+1)), "")&lt;&gt;"", IFERROR(INDEX(ERP資料!$A:$A, (MATCH(202, 輔助計算!$G$2:$G$801, 0)+1)), "")&lt;&gt;IFERROR(INDEX(ERP資料!$A:$A, MATCH(201, 輔助計算!$G$2:$G$801, 0)+1), "")), INDEX(ERP資料!$S:$S, (MATCH(202, 輔助計算!$G$2:$G$801, 0)+1)), ""), "")</f>
        <v/>
      </c>
      <c r="C203" s="19">
        <f>IFERROR(IF(AND(IFERROR(INDEX(ERP資料!$A:$A, (MATCH(202, 輔助計算!$G$2:$G$801, 0)+1)), "")&lt;&gt;"", IFERROR(INDEX(ERP資料!$A:$A, (MATCH(202, 輔助計算!$G$2:$G$801, 0)+1)), "")&lt;&gt;IFERROR(INDEX(ERP資料!$A:$A, MATCH(201, 輔助計算!$G$2:$G$801, 0)+1), "")), IFERROR(VLOOKUP(LEFT(INDEX(ERP資料!$S:$S, (MATCH(202, 輔助計算!$G$2:$G$801, 0)+1)), 4), 紙管對照表!$A:$C, 3, FALSE), ""), ""), "")</f>
        <v/>
      </c>
      <c r="D203" s="16" t="n"/>
      <c r="E203" s="10">
        <f>IFERROR(IF(INDEX(ERP資料!$H:$H, (MATCH(202, 輔助計算!$G$2:$G$801, 0)+1))="","",INDEX(ERP資料!$H:$H, (MATCH(202, 輔助計算!$G$2:$G$801, 0)+1))), "")</f>
        <v/>
      </c>
      <c r="F203" s="10">
        <f>IFERROR(IF(INDEX(ERP資料!$E:$E, (MATCH(202, 輔助計算!$G$2:$G$801, 0)+1))="","",TRIM(INDEX(ERP資料!$E:$E, (MATCH(202, 輔助計算!$G$2:$G$801, 0)+1)))), "")</f>
        <v/>
      </c>
      <c r="G203" s="10">
        <f>IFERROR(IF(INDEX(ERP資料!$F:$F, (MATCH(202, 輔助計算!$G$2:$G$801, 0)+1))="","",INDEX(ERP資料!$F:$F, (MATCH(202, 輔助計算!$G$2:$G$801, 0)+1))), "")</f>
        <v/>
      </c>
      <c r="H203" s="10">
        <f>IFERROR(IF(INDEX(ERP資料!$G:$G, (MATCH(202, 輔助計算!$G$2:$G$801, 0)+1))="","",INDEX(ERP資料!$G:$G, (MATCH(202, 輔助計算!$G$2:$G$801, 0)+1))), "")</f>
        <v/>
      </c>
      <c r="I203" s="15">
        <f>IFERROR(INDEX(輔助計算!$D:$D, (MATCH(202, 輔助計算!$G$2:$G$801, 0)+1)), "")</f>
        <v/>
      </c>
      <c r="J203" s="15">
        <f>IFERROR(IF(AND(INDEX(輔助計算!$D:$D, (MATCH(202, 輔助計算!$G$2:$G$801, 0)+1))&lt;&gt;"", INDEX(ERP資料!$G:$G, (MATCH(202, 輔助計算!$G$2:$G$801, 0)+1))&lt;&gt;""), TRIM(IF(INT(INDEX(輔助計算!$D:$D, (MATCH(202, 輔助計算!$G$2:$G$801, 0)+1))/IF(INDEX(ERP資料!$G:$G, (MATCH(202, 輔助計算!$G$2:$G$801, 0)+1))&lt;100, IF(INDEX(ERP資料!$G:$G, (MATCH(202, 輔助計算!$G$2:$G$801, 0)+1))&lt;=31,3,IF(INDEX(ERP資料!$G:$G, (MATCH(202, 輔助計算!$G$2:$G$801, 0)+1))&lt;=46.5,2,1)), IF(INDEX(ERP資料!$G:$G, (MATCH(202, 輔助計算!$G$2:$G$801, 0)+1))&lt;=790,3,IF(INDEX(ERP資料!$G:$G, (MATCH(202, 輔助計算!$G$2:$G$801, 0)+1))&lt;=1181,2,1))))&gt;0, IF(IF(INDEX(ERP資料!$G:$G, (MATCH(202, 輔助計算!$G$2:$G$801, 0)+1))&lt;100, IF(INDEX(ERP資料!$G:$G, (MATCH(202, 輔助計算!$G$2:$G$801, 0)+1))&lt;=31,3,IF(INDEX(ERP資料!$G:$G, (MATCH(202, 輔助計算!$G$2:$G$801, 0)+1))&lt;=46.5,2,1)), IF(INDEX(ERP資料!$G:$G, (MATCH(202, 輔助計算!$G$2:$G$801, 0)+1))&lt;=790,3,IF(INDEX(ERP資料!$G:$G, (MATCH(202, 輔助計算!$G$2:$G$801, 0)+1))&lt;=1181,2,1)))=1,TEXT(INDEX(ERP資料!$G:$G, (MATCH(202, 輔助計算!$G$2:$G$801, 0)+1)),"0.##"),IF(IF(INDEX(ERP資料!$G:$G, (MATCH(202, 輔助計算!$G$2:$G$801, 0)+1))&lt;100, IF(INDEX(ERP資料!$G:$G, (MATCH(202, 輔助計算!$G$2:$G$801, 0)+1))&lt;=31,3,IF(INDEX(ERP資料!$G:$G, (MATCH(202, 輔助計算!$G$2:$G$801, 0)+1))&lt;=46.5,2,1)), IF(INDEX(ERP資料!$G:$G, (MATCH(202, 輔助計算!$G$2:$G$801, 0)+1))&lt;=790,3,IF(INDEX(ERP資料!$G:$G, (MATCH(202, 輔助計算!$G$2:$G$801, 0)+1))&lt;=1181,2,1)))=2,TEXT(INDEX(ERP資料!$G:$G, (MATCH(202, 輔助計算!$G$2:$G$801, 0)+1)),"0.##")&amp;"+"&amp;TEXT(INDEX(ERP資料!$G:$G, (MATCH(202, 輔助計算!$G$2:$G$801, 0)+1)),"0.##"),TEXT(INDEX(ERP資料!$G:$G, (MATCH(202, 輔助計算!$G$2:$G$801, 0)+1)),"0.##")&amp;"+"&amp;TEXT(INDEX(ERP資料!$G:$G, (MATCH(202, 輔助計算!$G$2:$G$801, 0)+1)),"0.##")&amp;"+"&amp;TEXT(INDEX(ERP資料!$G:$G, (MATCH(202, 輔助計算!$G$2:$G$801, 0)+1)),"0.##")))&amp;"-"&amp;INT(INDEX(輔助計算!$D:$D, (MATCH(202, 輔助計算!$G$2:$G$801, 0)+1))/IF(INDEX(ERP資料!$G:$G, (MATCH(202, 輔助計算!$G$2:$G$801, 0)+1))&lt;100, IF(INDEX(ERP資料!$G:$G, (MATCH(202, 輔助計算!$G$2:$G$801, 0)+1))&lt;=31,3,IF(INDEX(ERP資料!$G:$G, (MATCH(202, 輔助計算!$G$2:$G$801, 0)+1))&lt;=46.5,2,1)), IF(INDEX(ERP資料!$G:$G, (MATCH(202, 輔助計算!$G$2:$G$801, 0)+1))&lt;=790,3,IF(INDEX(ERP資料!$G:$G, (MATCH(202, 輔助計算!$G$2:$G$801, 0)+1))&lt;=1181,2,1)))), "")&amp;IF(AND(IF(INT(INDEX(輔助計算!$D:$D, (MATCH(202, 輔助計算!$G$2:$G$801, 0)+1))/IF(INDEX(ERP資料!$G:$G, (MATCH(202, 輔助計算!$G$2:$G$801, 0)+1))&lt;100, IF(INDEX(ERP資料!$G:$G, (MATCH(202, 輔助計算!$G$2:$G$801, 0)+1))&lt;=31,3,IF(INDEX(ERP資料!$G:$G, (MATCH(202, 輔助計算!$G$2:$G$801, 0)+1))&lt;=46.5,2,1)), IF(INDEX(ERP資料!$G:$G, (MATCH(202, 輔助計算!$G$2:$G$801, 0)+1))&lt;=790,3,IF(INDEX(ERP資料!$G:$G, (MATCH(202, 輔助計算!$G$2:$G$801, 0)+1))&lt;=1181,2,1))))&gt;0, IF(IF(INDEX(ERP資料!$G:$G, (MATCH(202, 輔助計算!$G$2:$G$801, 0)+1))&lt;100, IF(INDEX(ERP資料!$G:$G, (MATCH(202, 輔助計算!$G$2:$G$801, 0)+1))&lt;=31,3,IF(INDEX(ERP資料!$G:$G, (MATCH(202, 輔助計算!$G$2:$G$801, 0)+1))&lt;=46.5,2,1)), IF(INDEX(ERP資料!$G:$G, (MATCH(202, 輔助計算!$G$2:$G$801, 0)+1))&lt;=790,3,IF(INDEX(ERP資料!$G:$G, (MATCH(202, 輔助計算!$G$2:$G$801, 0)+1))&lt;=1181,2,1)))=1,TEXT(INDEX(ERP資料!$G:$G, (MATCH(202, 輔助計算!$G$2:$G$801, 0)+1)),"0.##"),IF(IF(INDEX(ERP資料!$G:$G, (MATCH(202, 輔助計算!$G$2:$G$801, 0)+1))&lt;100, IF(INDEX(ERP資料!$G:$G, (MATCH(202, 輔助計算!$G$2:$G$801, 0)+1))&lt;=31,3,IF(INDEX(ERP資料!$G:$G, (MATCH(202, 輔助計算!$G$2:$G$801, 0)+1))&lt;=46.5,2,1)), IF(INDEX(ERP資料!$G:$G, (MATCH(202, 輔助計算!$G$2:$G$801, 0)+1))&lt;=790,3,IF(INDEX(ERP資料!$G:$G, (MATCH(202, 輔助計算!$G$2:$G$801, 0)+1))&lt;=1181,2,1)))=2,TEXT(INDEX(ERP資料!$G:$G, (MATCH(202, 輔助計算!$G$2:$G$801, 0)+1)),"0.##")&amp;"+"&amp;TEXT(INDEX(ERP資料!$G:$G, (MATCH(202, 輔助計算!$G$2:$G$801, 0)+1)),"0.##"),TEXT(INDEX(ERP資料!$G:$G, (MATCH(202, 輔助計算!$G$2:$G$801, 0)+1)),"0.##")&amp;"+"&amp;TEXT(INDEX(ERP資料!$G:$G, (MATCH(202, 輔助計算!$G$2:$G$801, 0)+1)),"0.##")&amp;"+"&amp;TEXT(INDEX(ERP資料!$G:$G, (MATCH(202, 輔助計算!$G$2:$G$801, 0)+1)),"0.##")))&amp;"-"&amp;INT(INDEX(輔助計算!$D:$D, (MATCH(202, 輔助計算!$G$2:$G$801, 0)+1))/IF(INDEX(ERP資料!$G:$G, (MATCH(202, 輔助計算!$G$2:$G$801, 0)+1))&lt;100, IF(INDEX(ERP資料!$G:$G, (MATCH(202, 輔助計算!$G$2:$G$801, 0)+1))&lt;=31,3,IF(INDEX(ERP資料!$G:$G, (MATCH(202, 輔助計算!$G$2:$G$801, 0)+1))&lt;=46.5,2,1)), IF(INDEX(ERP資料!$G:$G, (MATCH(202, 輔助計算!$G$2:$G$801, 0)+1))&lt;=790,3,IF(INDEX(ERP資料!$G:$G, (MATCH(202, 輔助計算!$G$2:$G$801, 0)+1))&lt;=1181,2,1)))), "")&lt;&gt;"",IF(MOD(INDEX(輔助計算!$D:$D, (MATCH(202, 輔助計算!$G$2:$G$801, 0)+1)),IF(INDEX(ERP資料!$G:$G, (MATCH(202, 輔助計算!$G$2:$G$801, 0)+1))&lt;100, IF(INDEX(ERP資料!$G:$G, (MATCH(202, 輔助計算!$G$2:$G$801, 0)+1))&lt;=31,3,IF(INDEX(ERP資料!$G:$G, (MATCH(202, 輔助計算!$G$2:$G$801, 0)+1))&lt;=46.5,2,1)), IF(INDEX(ERP資料!$G:$G, (MATCH(202, 輔助計算!$G$2:$G$801, 0)+1))&lt;=790,3,IF(INDEX(ERP資料!$G:$G, (MATCH(202, 輔助計算!$G$2:$G$801, 0)+1))&lt;=1181,2,1))))=0,"",IF(MOD(INDEX(輔助計算!$D:$D, (MATCH(202, 輔助計算!$G$2:$G$801, 0)+1)),IF(INDEX(ERP資料!$G:$G, (MATCH(202, 輔助計算!$G$2:$G$801, 0)+1))&lt;100, IF(INDEX(ERP資料!$G:$G, (MATCH(202, 輔助計算!$G$2:$G$801, 0)+1))&lt;=31,3,IF(INDEX(ERP資料!$G:$G, (MATCH(202, 輔助計算!$G$2:$G$801, 0)+1))&lt;=46.5,2,1)), IF(INDEX(ERP資料!$G:$G, (MATCH(202, 輔助計算!$G$2:$G$801, 0)+1))&lt;=790,3,IF(INDEX(ERP資料!$G:$G, (MATCH(202, 輔助計算!$G$2:$G$801, 0)+1))&lt;=1181,2,1))))=0,"",IF(MOD(INDEX(輔助計算!$D:$D, (MATCH(202, 輔助計算!$G$2:$G$801, 0)+1)),IF(INDEX(ERP資料!$G:$G, (MATCH(202, 輔助計算!$G$2:$G$801, 0)+1))&lt;100, IF(INDEX(ERP資料!$G:$G, (MATCH(202, 輔助計算!$G$2:$G$801, 0)+1))&lt;=31,3,IF(INDEX(ERP資料!$G:$G, (MATCH(202, 輔助計算!$G$2:$G$801, 0)+1))&lt;=46.5,2,1)), IF(INDEX(ERP資料!$G:$G, (MATCH(202, 輔助計算!$G$2:$G$801, 0)+1))&lt;=790,3,IF(INDEX(ERP資料!$G:$G, (MATCH(202, 輔助計算!$G$2:$G$801, 0)+1))&lt;=1181,2,1))))=1,TEXT(INDEX(ERP資料!$G:$G, (MATCH(202, 輔助計算!$G$2:$G$801, 0)+1)),"0.##"),IF(MOD(INDEX(輔助計算!$D:$D, (MATCH(202, 輔助計算!$G$2:$G$801, 0)+1)),IF(INDEX(ERP資料!$G:$G, (MATCH(202, 輔助計算!$G$2:$G$801, 0)+1))&lt;100, IF(INDEX(ERP資料!$G:$G, (MATCH(202, 輔助計算!$G$2:$G$801, 0)+1))&lt;=31,3,IF(INDEX(ERP資料!$G:$G, (MATCH(202, 輔助計算!$G$2:$G$801, 0)+1))&lt;=46.5,2,1)), IF(INDEX(ERP資料!$G:$G, (MATCH(202, 輔助計算!$G$2:$G$801, 0)+1))&lt;=790,3,IF(INDEX(ERP資料!$G:$G, (MATCH(202, 輔助計算!$G$2:$G$801, 0)+1))&lt;=1181,2,1))))=2,TEXT(INDEX(ERP資料!$G:$G, (MATCH(202, 輔助計算!$G$2:$G$801, 0)+1)),"0.##")&amp;"+"&amp;TEXT(INDEX(ERP資料!$G:$G, (MATCH(202, 輔助計算!$G$2:$G$801, 0)+1)),"0.##"),TEXT(INDEX(ERP資料!$G:$G, (MATCH(202, 輔助計算!$G$2:$G$801, 0)+1)),"0.##")&amp;"+"&amp;TEXT(INDEX(ERP資料!$G:$G, (MATCH(202, 輔助計算!$G$2:$G$801, 0)+1)),"0.##")&amp;"+"&amp;TEXT(INDEX(ERP資料!$G:$G, (MATCH(202, 輔助計算!$G$2:$G$801, 0)+1)),"0.##"))))&amp;"-1")&lt;&gt;""),"  ","")&amp;IF(MOD(INDEX(輔助計算!$D:$D, (MATCH(202, 輔助計算!$G$2:$G$801, 0)+1)),IF(INDEX(ERP資料!$G:$G, (MATCH(202, 輔助計算!$G$2:$G$801, 0)+1))&lt;100, IF(INDEX(ERP資料!$G:$G, (MATCH(202, 輔助計算!$G$2:$G$801, 0)+1))&lt;=31,3,IF(INDEX(ERP資料!$G:$G, (MATCH(202, 輔助計算!$G$2:$G$801, 0)+1))&lt;=46.5,2,1)), IF(INDEX(ERP資料!$G:$G, (MATCH(202, 輔助計算!$G$2:$G$801, 0)+1))&lt;=790,3,IF(INDEX(ERP資料!$G:$G, (MATCH(202, 輔助計算!$G$2:$G$801, 0)+1))&lt;=1181,2,1))))=0,"",IF(MOD(INDEX(輔助計算!$D:$D, (MATCH(202, 輔助計算!$G$2:$G$801, 0)+1)),IF(INDEX(ERP資料!$G:$G, (MATCH(202, 輔助計算!$G$2:$G$801, 0)+1))&lt;100, IF(INDEX(ERP資料!$G:$G, (MATCH(202, 輔助計算!$G$2:$G$801, 0)+1))&lt;=31,3,IF(INDEX(ERP資料!$G:$G, (MATCH(202, 輔助計算!$G$2:$G$801, 0)+1))&lt;=46.5,2,1)), IF(INDEX(ERP資料!$G:$G, (MATCH(202, 輔助計算!$G$2:$G$801, 0)+1))&lt;=790,3,IF(INDEX(ERP資料!$G:$G, (MATCH(202, 輔助計算!$G$2:$G$801, 0)+1))&lt;=1181,2,1))))=0,"",IF(MOD(INDEX(輔助計算!$D:$D, (MATCH(202, 輔助計算!$G$2:$G$801, 0)+1)),IF(INDEX(ERP資料!$G:$G, (MATCH(202, 輔助計算!$G$2:$G$801, 0)+1))&lt;100, IF(INDEX(ERP資料!$G:$G, (MATCH(202, 輔助計算!$G$2:$G$801, 0)+1))&lt;=31,3,IF(INDEX(ERP資料!$G:$G, (MATCH(202, 輔助計算!$G$2:$G$801, 0)+1))&lt;=46.5,2,1)), IF(INDEX(ERP資料!$G:$G, (MATCH(202, 輔助計算!$G$2:$G$801, 0)+1))&lt;=790,3,IF(INDEX(ERP資料!$G:$G, (MATCH(202, 輔助計算!$G$2:$G$801, 0)+1))&lt;=1181,2,1))))=1,TEXT(INDEX(ERP資料!$G:$G, (MATCH(202, 輔助計算!$G$2:$G$801, 0)+1)),"0.##"),IF(MOD(INDEX(輔助計算!$D:$D, (MATCH(202, 輔助計算!$G$2:$G$801, 0)+1)),IF(INDEX(ERP資料!$G:$G, (MATCH(202, 輔助計算!$G$2:$G$801, 0)+1))&lt;100, IF(INDEX(ERP資料!$G:$G, (MATCH(202, 輔助計算!$G$2:$G$801, 0)+1))&lt;=31,3,IF(INDEX(ERP資料!$G:$G, (MATCH(202, 輔助計算!$G$2:$G$801, 0)+1))&lt;=46.5,2,1)), IF(INDEX(ERP資料!$G:$G, (MATCH(202, 輔助計算!$G$2:$G$801, 0)+1))&lt;=790,3,IF(INDEX(ERP資料!$G:$G, (MATCH(202, 輔助計算!$G$2:$G$801, 0)+1))&lt;=1181,2,1))))=2,TEXT(INDEX(ERP資料!$G:$G, (MATCH(202, 輔助計算!$G$2:$G$801, 0)+1)),"0.##")&amp;"+"&amp;TEXT(INDEX(ERP資料!$G:$G, (MATCH(202, 輔助計算!$G$2:$G$801, 0)+1)),"0.##"),TEXT(INDEX(ERP資料!$G:$G, (MATCH(202, 輔助計算!$G$2:$G$801, 0)+1)),"0.##")&amp;"+"&amp;TEXT(INDEX(ERP資料!$G:$G, (MATCH(202, 輔助計算!$G$2:$G$801, 0)+1)),"0.##")&amp;"+"&amp;TEXT(INDEX(ERP資料!$G:$G, (MATCH(202, 輔助計算!$G$2:$G$801, 0)+1)),"0.##"))))&amp;"-1")), ""), "")</f>
        <v/>
      </c>
      <c r="K203" s="16" t="n"/>
      <c r="L203" s="14">
        <f>IFERROR(IF(AND(IFERROR(INDEX(ERP資料!$A:$A, (MATCH(202, 輔助計算!$G$2:$G$801, 0)+1)), "")&lt;&gt;"", IFERROR(INDEX(ERP資料!$A:$A, (MATCH(202, 輔助計算!$G$2:$G$801, 0)+1)), "")&lt;&gt;IFERROR(INDEX(ERP資料!$A:$A, MATCH(201, 輔助計算!$G$2:$G$801, 0)+1), "")), INDEX(ERP資料!$B:$B, (MATCH(202, 輔助計算!$G$2:$G$801, 0)+1)), ""), "")</f>
        <v/>
      </c>
      <c r="M203" s="17" t="n"/>
    </row>
    <row r="204">
      <c r="A204" s="10">
        <f>IFERROR(IF(AND(IFERROR(INDEX(ERP資料!$A:$A, (MATCH(203, 輔助計算!$G$2:$G$801, 0)+1)), "")&lt;&gt;"", IFERROR(INDEX(ERP資料!$A:$A, (MATCH(203, 輔助計算!$G$2:$G$801, 0)+1)), "")&lt;&gt;IFERROR(INDEX(ERP資料!$A:$A, MATCH(202, 輔助計算!$G$2:$G$801, 0)+1), "")), IFERROR(INDEX(ERP資料!$A:$A, (MATCH(203, 輔助計算!$G$2:$G$801, 0)+1)), ""), ""), "")</f>
        <v/>
      </c>
      <c r="B204" s="10">
        <f>IFERROR(IF(AND(IFERROR(INDEX(ERP資料!$A:$A, (MATCH(203, 輔助計算!$G$2:$G$801, 0)+1)), "")&lt;&gt;"", IFERROR(INDEX(ERP資料!$A:$A, (MATCH(203, 輔助計算!$G$2:$G$801, 0)+1)), "")&lt;&gt;IFERROR(INDEX(ERP資料!$A:$A, MATCH(202, 輔助計算!$G$2:$G$801, 0)+1), "")), INDEX(ERP資料!$S:$S, (MATCH(203, 輔助計算!$G$2:$G$801, 0)+1)), ""), "")</f>
        <v/>
      </c>
      <c r="C204" s="19">
        <f>IFERROR(IF(AND(IFERROR(INDEX(ERP資料!$A:$A, (MATCH(203, 輔助計算!$G$2:$G$801, 0)+1)), "")&lt;&gt;"", IFERROR(INDEX(ERP資料!$A:$A, (MATCH(203, 輔助計算!$G$2:$G$801, 0)+1)), "")&lt;&gt;IFERROR(INDEX(ERP資料!$A:$A, MATCH(202, 輔助計算!$G$2:$G$801, 0)+1), "")), IFERROR(VLOOKUP(LEFT(INDEX(ERP資料!$S:$S, (MATCH(203, 輔助計算!$G$2:$G$801, 0)+1)), 4), 紙管對照表!$A:$C, 3, FALSE), ""), ""), "")</f>
        <v/>
      </c>
      <c r="D204" s="16" t="n"/>
      <c r="E204" s="10">
        <f>IFERROR(IF(INDEX(ERP資料!$H:$H, (MATCH(203, 輔助計算!$G$2:$G$801, 0)+1))="","",INDEX(ERP資料!$H:$H, (MATCH(203, 輔助計算!$G$2:$G$801, 0)+1))), "")</f>
        <v/>
      </c>
      <c r="F204" s="10">
        <f>IFERROR(IF(INDEX(ERP資料!$E:$E, (MATCH(203, 輔助計算!$G$2:$G$801, 0)+1))="","",TRIM(INDEX(ERP資料!$E:$E, (MATCH(203, 輔助計算!$G$2:$G$801, 0)+1)))), "")</f>
        <v/>
      </c>
      <c r="G204" s="10">
        <f>IFERROR(IF(INDEX(ERP資料!$F:$F, (MATCH(203, 輔助計算!$G$2:$G$801, 0)+1))="","",INDEX(ERP資料!$F:$F, (MATCH(203, 輔助計算!$G$2:$G$801, 0)+1))), "")</f>
        <v/>
      </c>
      <c r="H204" s="10">
        <f>IFERROR(IF(INDEX(ERP資料!$G:$G, (MATCH(203, 輔助計算!$G$2:$G$801, 0)+1))="","",INDEX(ERP資料!$G:$G, (MATCH(203, 輔助計算!$G$2:$G$801, 0)+1))), "")</f>
        <v/>
      </c>
      <c r="I204" s="15">
        <f>IFERROR(INDEX(輔助計算!$D:$D, (MATCH(203, 輔助計算!$G$2:$G$801, 0)+1)), "")</f>
        <v/>
      </c>
      <c r="J204" s="15">
        <f>IFERROR(IF(AND(INDEX(輔助計算!$D:$D, (MATCH(203, 輔助計算!$G$2:$G$801, 0)+1))&lt;&gt;"", INDEX(ERP資料!$G:$G, (MATCH(203, 輔助計算!$G$2:$G$801, 0)+1))&lt;&gt;""), TRIM(IF(INT(INDEX(輔助計算!$D:$D, (MATCH(203, 輔助計算!$G$2:$G$801, 0)+1))/IF(INDEX(ERP資料!$G:$G, (MATCH(203, 輔助計算!$G$2:$G$801, 0)+1))&lt;100, IF(INDEX(ERP資料!$G:$G, (MATCH(203, 輔助計算!$G$2:$G$801, 0)+1))&lt;=31,3,IF(INDEX(ERP資料!$G:$G, (MATCH(203, 輔助計算!$G$2:$G$801, 0)+1))&lt;=46.5,2,1)), IF(INDEX(ERP資料!$G:$G, (MATCH(203, 輔助計算!$G$2:$G$801, 0)+1))&lt;=790,3,IF(INDEX(ERP資料!$G:$G, (MATCH(203, 輔助計算!$G$2:$G$801, 0)+1))&lt;=1181,2,1))))&gt;0, IF(IF(INDEX(ERP資料!$G:$G, (MATCH(203, 輔助計算!$G$2:$G$801, 0)+1))&lt;100, IF(INDEX(ERP資料!$G:$G, (MATCH(203, 輔助計算!$G$2:$G$801, 0)+1))&lt;=31,3,IF(INDEX(ERP資料!$G:$G, (MATCH(203, 輔助計算!$G$2:$G$801, 0)+1))&lt;=46.5,2,1)), IF(INDEX(ERP資料!$G:$G, (MATCH(203, 輔助計算!$G$2:$G$801, 0)+1))&lt;=790,3,IF(INDEX(ERP資料!$G:$G, (MATCH(203, 輔助計算!$G$2:$G$801, 0)+1))&lt;=1181,2,1)))=1,TEXT(INDEX(ERP資料!$G:$G, (MATCH(203, 輔助計算!$G$2:$G$801, 0)+1)),"0.##"),IF(IF(INDEX(ERP資料!$G:$G, (MATCH(203, 輔助計算!$G$2:$G$801, 0)+1))&lt;100, IF(INDEX(ERP資料!$G:$G, (MATCH(203, 輔助計算!$G$2:$G$801, 0)+1))&lt;=31,3,IF(INDEX(ERP資料!$G:$G, (MATCH(203, 輔助計算!$G$2:$G$801, 0)+1))&lt;=46.5,2,1)), IF(INDEX(ERP資料!$G:$G, (MATCH(203, 輔助計算!$G$2:$G$801, 0)+1))&lt;=790,3,IF(INDEX(ERP資料!$G:$G, (MATCH(203, 輔助計算!$G$2:$G$801, 0)+1))&lt;=1181,2,1)))=2,TEXT(INDEX(ERP資料!$G:$G, (MATCH(203, 輔助計算!$G$2:$G$801, 0)+1)),"0.##")&amp;"+"&amp;TEXT(INDEX(ERP資料!$G:$G, (MATCH(203, 輔助計算!$G$2:$G$801, 0)+1)),"0.##"),TEXT(INDEX(ERP資料!$G:$G, (MATCH(203, 輔助計算!$G$2:$G$801, 0)+1)),"0.##")&amp;"+"&amp;TEXT(INDEX(ERP資料!$G:$G, (MATCH(203, 輔助計算!$G$2:$G$801, 0)+1)),"0.##")&amp;"+"&amp;TEXT(INDEX(ERP資料!$G:$G, (MATCH(203, 輔助計算!$G$2:$G$801, 0)+1)),"0.##")))&amp;"-"&amp;INT(INDEX(輔助計算!$D:$D, (MATCH(203, 輔助計算!$G$2:$G$801, 0)+1))/IF(INDEX(ERP資料!$G:$G, (MATCH(203, 輔助計算!$G$2:$G$801, 0)+1))&lt;100, IF(INDEX(ERP資料!$G:$G, (MATCH(203, 輔助計算!$G$2:$G$801, 0)+1))&lt;=31,3,IF(INDEX(ERP資料!$G:$G, (MATCH(203, 輔助計算!$G$2:$G$801, 0)+1))&lt;=46.5,2,1)), IF(INDEX(ERP資料!$G:$G, (MATCH(203, 輔助計算!$G$2:$G$801, 0)+1))&lt;=790,3,IF(INDEX(ERP資料!$G:$G, (MATCH(203, 輔助計算!$G$2:$G$801, 0)+1))&lt;=1181,2,1)))), "")&amp;IF(AND(IF(INT(INDEX(輔助計算!$D:$D, (MATCH(203, 輔助計算!$G$2:$G$801, 0)+1))/IF(INDEX(ERP資料!$G:$G, (MATCH(203, 輔助計算!$G$2:$G$801, 0)+1))&lt;100, IF(INDEX(ERP資料!$G:$G, (MATCH(203, 輔助計算!$G$2:$G$801, 0)+1))&lt;=31,3,IF(INDEX(ERP資料!$G:$G, (MATCH(203, 輔助計算!$G$2:$G$801, 0)+1))&lt;=46.5,2,1)), IF(INDEX(ERP資料!$G:$G, (MATCH(203, 輔助計算!$G$2:$G$801, 0)+1))&lt;=790,3,IF(INDEX(ERP資料!$G:$G, (MATCH(203, 輔助計算!$G$2:$G$801, 0)+1))&lt;=1181,2,1))))&gt;0, IF(IF(INDEX(ERP資料!$G:$G, (MATCH(203, 輔助計算!$G$2:$G$801, 0)+1))&lt;100, IF(INDEX(ERP資料!$G:$G, (MATCH(203, 輔助計算!$G$2:$G$801, 0)+1))&lt;=31,3,IF(INDEX(ERP資料!$G:$G, (MATCH(203, 輔助計算!$G$2:$G$801, 0)+1))&lt;=46.5,2,1)), IF(INDEX(ERP資料!$G:$G, (MATCH(203, 輔助計算!$G$2:$G$801, 0)+1))&lt;=790,3,IF(INDEX(ERP資料!$G:$G, (MATCH(203, 輔助計算!$G$2:$G$801, 0)+1))&lt;=1181,2,1)))=1,TEXT(INDEX(ERP資料!$G:$G, (MATCH(203, 輔助計算!$G$2:$G$801, 0)+1)),"0.##"),IF(IF(INDEX(ERP資料!$G:$G, (MATCH(203, 輔助計算!$G$2:$G$801, 0)+1))&lt;100, IF(INDEX(ERP資料!$G:$G, (MATCH(203, 輔助計算!$G$2:$G$801, 0)+1))&lt;=31,3,IF(INDEX(ERP資料!$G:$G, (MATCH(203, 輔助計算!$G$2:$G$801, 0)+1))&lt;=46.5,2,1)), IF(INDEX(ERP資料!$G:$G, (MATCH(203, 輔助計算!$G$2:$G$801, 0)+1))&lt;=790,3,IF(INDEX(ERP資料!$G:$G, (MATCH(203, 輔助計算!$G$2:$G$801, 0)+1))&lt;=1181,2,1)))=2,TEXT(INDEX(ERP資料!$G:$G, (MATCH(203, 輔助計算!$G$2:$G$801, 0)+1)),"0.##")&amp;"+"&amp;TEXT(INDEX(ERP資料!$G:$G, (MATCH(203, 輔助計算!$G$2:$G$801, 0)+1)),"0.##"),TEXT(INDEX(ERP資料!$G:$G, (MATCH(203, 輔助計算!$G$2:$G$801, 0)+1)),"0.##")&amp;"+"&amp;TEXT(INDEX(ERP資料!$G:$G, (MATCH(203, 輔助計算!$G$2:$G$801, 0)+1)),"0.##")&amp;"+"&amp;TEXT(INDEX(ERP資料!$G:$G, (MATCH(203, 輔助計算!$G$2:$G$801, 0)+1)),"0.##")))&amp;"-"&amp;INT(INDEX(輔助計算!$D:$D, (MATCH(203, 輔助計算!$G$2:$G$801, 0)+1))/IF(INDEX(ERP資料!$G:$G, (MATCH(203, 輔助計算!$G$2:$G$801, 0)+1))&lt;100, IF(INDEX(ERP資料!$G:$G, (MATCH(203, 輔助計算!$G$2:$G$801, 0)+1))&lt;=31,3,IF(INDEX(ERP資料!$G:$G, (MATCH(203, 輔助計算!$G$2:$G$801, 0)+1))&lt;=46.5,2,1)), IF(INDEX(ERP資料!$G:$G, (MATCH(203, 輔助計算!$G$2:$G$801, 0)+1))&lt;=790,3,IF(INDEX(ERP資料!$G:$G, (MATCH(203, 輔助計算!$G$2:$G$801, 0)+1))&lt;=1181,2,1)))), "")&lt;&gt;"",IF(MOD(INDEX(輔助計算!$D:$D, (MATCH(203, 輔助計算!$G$2:$G$801, 0)+1)),IF(INDEX(ERP資料!$G:$G, (MATCH(203, 輔助計算!$G$2:$G$801, 0)+1))&lt;100, IF(INDEX(ERP資料!$G:$G, (MATCH(203, 輔助計算!$G$2:$G$801, 0)+1))&lt;=31,3,IF(INDEX(ERP資料!$G:$G, (MATCH(203, 輔助計算!$G$2:$G$801, 0)+1))&lt;=46.5,2,1)), IF(INDEX(ERP資料!$G:$G, (MATCH(203, 輔助計算!$G$2:$G$801, 0)+1))&lt;=790,3,IF(INDEX(ERP資料!$G:$G, (MATCH(203, 輔助計算!$G$2:$G$801, 0)+1))&lt;=1181,2,1))))=0,"",IF(MOD(INDEX(輔助計算!$D:$D, (MATCH(203, 輔助計算!$G$2:$G$801, 0)+1)),IF(INDEX(ERP資料!$G:$G, (MATCH(203, 輔助計算!$G$2:$G$801, 0)+1))&lt;100, IF(INDEX(ERP資料!$G:$G, (MATCH(203, 輔助計算!$G$2:$G$801, 0)+1))&lt;=31,3,IF(INDEX(ERP資料!$G:$G, (MATCH(203, 輔助計算!$G$2:$G$801, 0)+1))&lt;=46.5,2,1)), IF(INDEX(ERP資料!$G:$G, (MATCH(203, 輔助計算!$G$2:$G$801, 0)+1))&lt;=790,3,IF(INDEX(ERP資料!$G:$G, (MATCH(203, 輔助計算!$G$2:$G$801, 0)+1))&lt;=1181,2,1))))=0,"",IF(MOD(INDEX(輔助計算!$D:$D, (MATCH(203, 輔助計算!$G$2:$G$801, 0)+1)),IF(INDEX(ERP資料!$G:$G, (MATCH(203, 輔助計算!$G$2:$G$801, 0)+1))&lt;100, IF(INDEX(ERP資料!$G:$G, (MATCH(203, 輔助計算!$G$2:$G$801, 0)+1))&lt;=31,3,IF(INDEX(ERP資料!$G:$G, (MATCH(203, 輔助計算!$G$2:$G$801, 0)+1))&lt;=46.5,2,1)), IF(INDEX(ERP資料!$G:$G, (MATCH(203, 輔助計算!$G$2:$G$801, 0)+1))&lt;=790,3,IF(INDEX(ERP資料!$G:$G, (MATCH(203, 輔助計算!$G$2:$G$801, 0)+1))&lt;=1181,2,1))))=1,TEXT(INDEX(ERP資料!$G:$G, (MATCH(203, 輔助計算!$G$2:$G$801, 0)+1)),"0.##"),IF(MOD(INDEX(輔助計算!$D:$D, (MATCH(203, 輔助計算!$G$2:$G$801, 0)+1)),IF(INDEX(ERP資料!$G:$G, (MATCH(203, 輔助計算!$G$2:$G$801, 0)+1))&lt;100, IF(INDEX(ERP資料!$G:$G, (MATCH(203, 輔助計算!$G$2:$G$801, 0)+1))&lt;=31,3,IF(INDEX(ERP資料!$G:$G, (MATCH(203, 輔助計算!$G$2:$G$801, 0)+1))&lt;=46.5,2,1)), IF(INDEX(ERP資料!$G:$G, (MATCH(203, 輔助計算!$G$2:$G$801, 0)+1))&lt;=790,3,IF(INDEX(ERP資料!$G:$G, (MATCH(203, 輔助計算!$G$2:$G$801, 0)+1))&lt;=1181,2,1))))=2,TEXT(INDEX(ERP資料!$G:$G, (MATCH(203, 輔助計算!$G$2:$G$801, 0)+1)),"0.##")&amp;"+"&amp;TEXT(INDEX(ERP資料!$G:$G, (MATCH(203, 輔助計算!$G$2:$G$801, 0)+1)),"0.##"),TEXT(INDEX(ERP資料!$G:$G, (MATCH(203, 輔助計算!$G$2:$G$801, 0)+1)),"0.##")&amp;"+"&amp;TEXT(INDEX(ERP資料!$G:$G, (MATCH(203, 輔助計算!$G$2:$G$801, 0)+1)),"0.##")&amp;"+"&amp;TEXT(INDEX(ERP資料!$G:$G, (MATCH(203, 輔助計算!$G$2:$G$801, 0)+1)),"0.##"))))&amp;"-1")&lt;&gt;""),"  ","")&amp;IF(MOD(INDEX(輔助計算!$D:$D, (MATCH(203, 輔助計算!$G$2:$G$801, 0)+1)),IF(INDEX(ERP資料!$G:$G, (MATCH(203, 輔助計算!$G$2:$G$801, 0)+1))&lt;100, IF(INDEX(ERP資料!$G:$G, (MATCH(203, 輔助計算!$G$2:$G$801, 0)+1))&lt;=31,3,IF(INDEX(ERP資料!$G:$G, (MATCH(203, 輔助計算!$G$2:$G$801, 0)+1))&lt;=46.5,2,1)), IF(INDEX(ERP資料!$G:$G, (MATCH(203, 輔助計算!$G$2:$G$801, 0)+1))&lt;=790,3,IF(INDEX(ERP資料!$G:$G, (MATCH(203, 輔助計算!$G$2:$G$801, 0)+1))&lt;=1181,2,1))))=0,"",IF(MOD(INDEX(輔助計算!$D:$D, (MATCH(203, 輔助計算!$G$2:$G$801, 0)+1)),IF(INDEX(ERP資料!$G:$G, (MATCH(203, 輔助計算!$G$2:$G$801, 0)+1))&lt;100, IF(INDEX(ERP資料!$G:$G, (MATCH(203, 輔助計算!$G$2:$G$801, 0)+1))&lt;=31,3,IF(INDEX(ERP資料!$G:$G, (MATCH(203, 輔助計算!$G$2:$G$801, 0)+1))&lt;=46.5,2,1)), IF(INDEX(ERP資料!$G:$G, (MATCH(203, 輔助計算!$G$2:$G$801, 0)+1))&lt;=790,3,IF(INDEX(ERP資料!$G:$G, (MATCH(203, 輔助計算!$G$2:$G$801, 0)+1))&lt;=1181,2,1))))=0,"",IF(MOD(INDEX(輔助計算!$D:$D, (MATCH(203, 輔助計算!$G$2:$G$801, 0)+1)),IF(INDEX(ERP資料!$G:$G, (MATCH(203, 輔助計算!$G$2:$G$801, 0)+1))&lt;100, IF(INDEX(ERP資料!$G:$G, (MATCH(203, 輔助計算!$G$2:$G$801, 0)+1))&lt;=31,3,IF(INDEX(ERP資料!$G:$G, (MATCH(203, 輔助計算!$G$2:$G$801, 0)+1))&lt;=46.5,2,1)), IF(INDEX(ERP資料!$G:$G, (MATCH(203, 輔助計算!$G$2:$G$801, 0)+1))&lt;=790,3,IF(INDEX(ERP資料!$G:$G, (MATCH(203, 輔助計算!$G$2:$G$801, 0)+1))&lt;=1181,2,1))))=1,TEXT(INDEX(ERP資料!$G:$G, (MATCH(203, 輔助計算!$G$2:$G$801, 0)+1)),"0.##"),IF(MOD(INDEX(輔助計算!$D:$D, (MATCH(203, 輔助計算!$G$2:$G$801, 0)+1)),IF(INDEX(ERP資料!$G:$G, (MATCH(203, 輔助計算!$G$2:$G$801, 0)+1))&lt;100, IF(INDEX(ERP資料!$G:$G, (MATCH(203, 輔助計算!$G$2:$G$801, 0)+1))&lt;=31,3,IF(INDEX(ERP資料!$G:$G, (MATCH(203, 輔助計算!$G$2:$G$801, 0)+1))&lt;=46.5,2,1)), IF(INDEX(ERP資料!$G:$G, (MATCH(203, 輔助計算!$G$2:$G$801, 0)+1))&lt;=790,3,IF(INDEX(ERP資料!$G:$G, (MATCH(203, 輔助計算!$G$2:$G$801, 0)+1))&lt;=1181,2,1))))=2,TEXT(INDEX(ERP資料!$G:$G, (MATCH(203, 輔助計算!$G$2:$G$801, 0)+1)),"0.##")&amp;"+"&amp;TEXT(INDEX(ERP資料!$G:$G, (MATCH(203, 輔助計算!$G$2:$G$801, 0)+1)),"0.##"),TEXT(INDEX(ERP資料!$G:$G, (MATCH(203, 輔助計算!$G$2:$G$801, 0)+1)),"0.##")&amp;"+"&amp;TEXT(INDEX(ERP資料!$G:$G, (MATCH(203, 輔助計算!$G$2:$G$801, 0)+1)),"0.##")&amp;"+"&amp;TEXT(INDEX(ERP資料!$G:$G, (MATCH(203, 輔助計算!$G$2:$G$801, 0)+1)),"0.##"))))&amp;"-1")), ""), "")</f>
        <v/>
      </c>
      <c r="K204" s="16" t="n"/>
      <c r="L204" s="14">
        <f>IFERROR(IF(AND(IFERROR(INDEX(ERP資料!$A:$A, (MATCH(203, 輔助計算!$G$2:$G$801, 0)+1)), "")&lt;&gt;"", IFERROR(INDEX(ERP資料!$A:$A, (MATCH(203, 輔助計算!$G$2:$G$801, 0)+1)), "")&lt;&gt;IFERROR(INDEX(ERP資料!$A:$A, MATCH(202, 輔助計算!$G$2:$G$801, 0)+1), "")), INDEX(ERP資料!$B:$B, (MATCH(203, 輔助計算!$G$2:$G$801, 0)+1)), ""), "")</f>
        <v/>
      </c>
      <c r="M204" s="17" t="n"/>
    </row>
    <row r="205">
      <c r="A205" s="10">
        <f>IFERROR(IF(AND(IFERROR(INDEX(ERP資料!$A:$A, (MATCH(204, 輔助計算!$G$2:$G$801, 0)+1)), "")&lt;&gt;"", IFERROR(INDEX(ERP資料!$A:$A, (MATCH(204, 輔助計算!$G$2:$G$801, 0)+1)), "")&lt;&gt;IFERROR(INDEX(ERP資料!$A:$A, MATCH(203, 輔助計算!$G$2:$G$801, 0)+1), "")), IFERROR(INDEX(ERP資料!$A:$A, (MATCH(204, 輔助計算!$G$2:$G$801, 0)+1)), ""), ""), "")</f>
        <v/>
      </c>
      <c r="B205" s="10">
        <f>IFERROR(IF(AND(IFERROR(INDEX(ERP資料!$A:$A, (MATCH(204, 輔助計算!$G$2:$G$801, 0)+1)), "")&lt;&gt;"", IFERROR(INDEX(ERP資料!$A:$A, (MATCH(204, 輔助計算!$G$2:$G$801, 0)+1)), "")&lt;&gt;IFERROR(INDEX(ERP資料!$A:$A, MATCH(203, 輔助計算!$G$2:$G$801, 0)+1), "")), INDEX(ERP資料!$S:$S, (MATCH(204, 輔助計算!$G$2:$G$801, 0)+1)), ""), "")</f>
        <v/>
      </c>
      <c r="C205" s="19">
        <f>IFERROR(IF(AND(IFERROR(INDEX(ERP資料!$A:$A, (MATCH(204, 輔助計算!$G$2:$G$801, 0)+1)), "")&lt;&gt;"", IFERROR(INDEX(ERP資料!$A:$A, (MATCH(204, 輔助計算!$G$2:$G$801, 0)+1)), "")&lt;&gt;IFERROR(INDEX(ERP資料!$A:$A, MATCH(203, 輔助計算!$G$2:$G$801, 0)+1), "")), IFERROR(VLOOKUP(LEFT(INDEX(ERP資料!$S:$S, (MATCH(204, 輔助計算!$G$2:$G$801, 0)+1)), 4), 紙管對照表!$A:$C, 3, FALSE), ""), ""), "")</f>
        <v/>
      </c>
      <c r="D205" s="16" t="n"/>
      <c r="E205" s="10">
        <f>IFERROR(IF(INDEX(ERP資料!$H:$H, (MATCH(204, 輔助計算!$G$2:$G$801, 0)+1))="","",INDEX(ERP資料!$H:$H, (MATCH(204, 輔助計算!$G$2:$G$801, 0)+1))), "")</f>
        <v/>
      </c>
      <c r="F205" s="10">
        <f>IFERROR(IF(INDEX(ERP資料!$E:$E, (MATCH(204, 輔助計算!$G$2:$G$801, 0)+1))="","",TRIM(INDEX(ERP資料!$E:$E, (MATCH(204, 輔助計算!$G$2:$G$801, 0)+1)))), "")</f>
        <v/>
      </c>
      <c r="G205" s="10">
        <f>IFERROR(IF(INDEX(ERP資料!$F:$F, (MATCH(204, 輔助計算!$G$2:$G$801, 0)+1))="","",INDEX(ERP資料!$F:$F, (MATCH(204, 輔助計算!$G$2:$G$801, 0)+1))), "")</f>
        <v/>
      </c>
      <c r="H205" s="10">
        <f>IFERROR(IF(INDEX(ERP資料!$G:$G, (MATCH(204, 輔助計算!$G$2:$G$801, 0)+1))="","",INDEX(ERP資料!$G:$G, (MATCH(204, 輔助計算!$G$2:$G$801, 0)+1))), "")</f>
        <v/>
      </c>
      <c r="I205" s="15">
        <f>IFERROR(INDEX(輔助計算!$D:$D, (MATCH(204, 輔助計算!$G$2:$G$801, 0)+1)), "")</f>
        <v/>
      </c>
      <c r="J205" s="15">
        <f>IFERROR(IF(AND(INDEX(輔助計算!$D:$D, (MATCH(204, 輔助計算!$G$2:$G$801, 0)+1))&lt;&gt;"", INDEX(ERP資料!$G:$G, (MATCH(204, 輔助計算!$G$2:$G$801, 0)+1))&lt;&gt;""), TRIM(IF(INT(INDEX(輔助計算!$D:$D, (MATCH(204, 輔助計算!$G$2:$G$801, 0)+1))/IF(INDEX(ERP資料!$G:$G, (MATCH(204, 輔助計算!$G$2:$G$801, 0)+1))&lt;100, IF(INDEX(ERP資料!$G:$G, (MATCH(204, 輔助計算!$G$2:$G$801, 0)+1))&lt;=31,3,IF(INDEX(ERP資料!$G:$G, (MATCH(204, 輔助計算!$G$2:$G$801, 0)+1))&lt;=46.5,2,1)), IF(INDEX(ERP資料!$G:$G, (MATCH(204, 輔助計算!$G$2:$G$801, 0)+1))&lt;=790,3,IF(INDEX(ERP資料!$G:$G, (MATCH(204, 輔助計算!$G$2:$G$801, 0)+1))&lt;=1181,2,1))))&gt;0, IF(IF(INDEX(ERP資料!$G:$G, (MATCH(204, 輔助計算!$G$2:$G$801, 0)+1))&lt;100, IF(INDEX(ERP資料!$G:$G, (MATCH(204, 輔助計算!$G$2:$G$801, 0)+1))&lt;=31,3,IF(INDEX(ERP資料!$G:$G, (MATCH(204, 輔助計算!$G$2:$G$801, 0)+1))&lt;=46.5,2,1)), IF(INDEX(ERP資料!$G:$G, (MATCH(204, 輔助計算!$G$2:$G$801, 0)+1))&lt;=790,3,IF(INDEX(ERP資料!$G:$G, (MATCH(204, 輔助計算!$G$2:$G$801, 0)+1))&lt;=1181,2,1)))=1,TEXT(INDEX(ERP資料!$G:$G, (MATCH(204, 輔助計算!$G$2:$G$801, 0)+1)),"0.##"),IF(IF(INDEX(ERP資料!$G:$G, (MATCH(204, 輔助計算!$G$2:$G$801, 0)+1))&lt;100, IF(INDEX(ERP資料!$G:$G, (MATCH(204, 輔助計算!$G$2:$G$801, 0)+1))&lt;=31,3,IF(INDEX(ERP資料!$G:$G, (MATCH(204, 輔助計算!$G$2:$G$801, 0)+1))&lt;=46.5,2,1)), IF(INDEX(ERP資料!$G:$G, (MATCH(204, 輔助計算!$G$2:$G$801, 0)+1))&lt;=790,3,IF(INDEX(ERP資料!$G:$G, (MATCH(204, 輔助計算!$G$2:$G$801, 0)+1))&lt;=1181,2,1)))=2,TEXT(INDEX(ERP資料!$G:$G, (MATCH(204, 輔助計算!$G$2:$G$801, 0)+1)),"0.##")&amp;"+"&amp;TEXT(INDEX(ERP資料!$G:$G, (MATCH(204, 輔助計算!$G$2:$G$801, 0)+1)),"0.##"),TEXT(INDEX(ERP資料!$G:$G, (MATCH(204, 輔助計算!$G$2:$G$801, 0)+1)),"0.##")&amp;"+"&amp;TEXT(INDEX(ERP資料!$G:$G, (MATCH(204, 輔助計算!$G$2:$G$801, 0)+1)),"0.##")&amp;"+"&amp;TEXT(INDEX(ERP資料!$G:$G, (MATCH(204, 輔助計算!$G$2:$G$801, 0)+1)),"0.##")))&amp;"-"&amp;INT(INDEX(輔助計算!$D:$D, (MATCH(204, 輔助計算!$G$2:$G$801, 0)+1))/IF(INDEX(ERP資料!$G:$G, (MATCH(204, 輔助計算!$G$2:$G$801, 0)+1))&lt;100, IF(INDEX(ERP資料!$G:$G, (MATCH(204, 輔助計算!$G$2:$G$801, 0)+1))&lt;=31,3,IF(INDEX(ERP資料!$G:$G, (MATCH(204, 輔助計算!$G$2:$G$801, 0)+1))&lt;=46.5,2,1)), IF(INDEX(ERP資料!$G:$G, (MATCH(204, 輔助計算!$G$2:$G$801, 0)+1))&lt;=790,3,IF(INDEX(ERP資料!$G:$G, (MATCH(204, 輔助計算!$G$2:$G$801, 0)+1))&lt;=1181,2,1)))), "")&amp;IF(AND(IF(INT(INDEX(輔助計算!$D:$D, (MATCH(204, 輔助計算!$G$2:$G$801, 0)+1))/IF(INDEX(ERP資料!$G:$G, (MATCH(204, 輔助計算!$G$2:$G$801, 0)+1))&lt;100, IF(INDEX(ERP資料!$G:$G, (MATCH(204, 輔助計算!$G$2:$G$801, 0)+1))&lt;=31,3,IF(INDEX(ERP資料!$G:$G, (MATCH(204, 輔助計算!$G$2:$G$801, 0)+1))&lt;=46.5,2,1)), IF(INDEX(ERP資料!$G:$G, (MATCH(204, 輔助計算!$G$2:$G$801, 0)+1))&lt;=790,3,IF(INDEX(ERP資料!$G:$G, (MATCH(204, 輔助計算!$G$2:$G$801, 0)+1))&lt;=1181,2,1))))&gt;0, IF(IF(INDEX(ERP資料!$G:$G, (MATCH(204, 輔助計算!$G$2:$G$801, 0)+1))&lt;100, IF(INDEX(ERP資料!$G:$G, (MATCH(204, 輔助計算!$G$2:$G$801, 0)+1))&lt;=31,3,IF(INDEX(ERP資料!$G:$G, (MATCH(204, 輔助計算!$G$2:$G$801, 0)+1))&lt;=46.5,2,1)), IF(INDEX(ERP資料!$G:$G, (MATCH(204, 輔助計算!$G$2:$G$801, 0)+1))&lt;=790,3,IF(INDEX(ERP資料!$G:$G, (MATCH(204, 輔助計算!$G$2:$G$801, 0)+1))&lt;=1181,2,1)))=1,TEXT(INDEX(ERP資料!$G:$G, (MATCH(204, 輔助計算!$G$2:$G$801, 0)+1)),"0.##"),IF(IF(INDEX(ERP資料!$G:$G, (MATCH(204, 輔助計算!$G$2:$G$801, 0)+1))&lt;100, IF(INDEX(ERP資料!$G:$G, (MATCH(204, 輔助計算!$G$2:$G$801, 0)+1))&lt;=31,3,IF(INDEX(ERP資料!$G:$G, (MATCH(204, 輔助計算!$G$2:$G$801, 0)+1))&lt;=46.5,2,1)), IF(INDEX(ERP資料!$G:$G, (MATCH(204, 輔助計算!$G$2:$G$801, 0)+1))&lt;=790,3,IF(INDEX(ERP資料!$G:$G, (MATCH(204, 輔助計算!$G$2:$G$801, 0)+1))&lt;=1181,2,1)))=2,TEXT(INDEX(ERP資料!$G:$G, (MATCH(204, 輔助計算!$G$2:$G$801, 0)+1)),"0.##")&amp;"+"&amp;TEXT(INDEX(ERP資料!$G:$G, (MATCH(204, 輔助計算!$G$2:$G$801, 0)+1)),"0.##"),TEXT(INDEX(ERP資料!$G:$G, (MATCH(204, 輔助計算!$G$2:$G$801, 0)+1)),"0.##")&amp;"+"&amp;TEXT(INDEX(ERP資料!$G:$G, (MATCH(204, 輔助計算!$G$2:$G$801, 0)+1)),"0.##")&amp;"+"&amp;TEXT(INDEX(ERP資料!$G:$G, (MATCH(204, 輔助計算!$G$2:$G$801, 0)+1)),"0.##")))&amp;"-"&amp;INT(INDEX(輔助計算!$D:$D, (MATCH(204, 輔助計算!$G$2:$G$801, 0)+1))/IF(INDEX(ERP資料!$G:$G, (MATCH(204, 輔助計算!$G$2:$G$801, 0)+1))&lt;100, IF(INDEX(ERP資料!$G:$G, (MATCH(204, 輔助計算!$G$2:$G$801, 0)+1))&lt;=31,3,IF(INDEX(ERP資料!$G:$G, (MATCH(204, 輔助計算!$G$2:$G$801, 0)+1))&lt;=46.5,2,1)), IF(INDEX(ERP資料!$G:$G, (MATCH(204, 輔助計算!$G$2:$G$801, 0)+1))&lt;=790,3,IF(INDEX(ERP資料!$G:$G, (MATCH(204, 輔助計算!$G$2:$G$801, 0)+1))&lt;=1181,2,1)))), "")&lt;&gt;"",IF(MOD(INDEX(輔助計算!$D:$D, (MATCH(204, 輔助計算!$G$2:$G$801, 0)+1)),IF(INDEX(ERP資料!$G:$G, (MATCH(204, 輔助計算!$G$2:$G$801, 0)+1))&lt;100, IF(INDEX(ERP資料!$G:$G, (MATCH(204, 輔助計算!$G$2:$G$801, 0)+1))&lt;=31,3,IF(INDEX(ERP資料!$G:$G, (MATCH(204, 輔助計算!$G$2:$G$801, 0)+1))&lt;=46.5,2,1)), IF(INDEX(ERP資料!$G:$G, (MATCH(204, 輔助計算!$G$2:$G$801, 0)+1))&lt;=790,3,IF(INDEX(ERP資料!$G:$G, (MATCH(204, 輔助計算!$G$2:$G$801, 0)+1))&lt;=1181,2,1))))=0,"",IF(MOD(INDEX(輔助計算!$D:$D, (MATCH(204, 輔助計算!$G$2:$G$801, 0)+1)),IF(INDEX(ERP資料!$G:$G, (MATCH(204, 輔助計算!$G$2:$G$801, 0)+1))&lt;100, IF(INDEX(ERP資料!$G:$G, (MATCH(204, 輔助計算!$G$2:$G$801, 0)+1))&lt;=31,3,IF(INDEX(ERP資料!$G:$G, (MATCH(204, 輔助計算!$G$2:$G$801, 0)+1))&lt;=46.5,2,1)), IF(INDEX(ERP資料!$G:$G, (MATCH(204, 輔助計算!$G$2:$G$801, 0)+1))&lt;=790,3,IF(INDEX(ERP資料!$G:$G, (MATCH(204, 輔助計算!$G$2:$G$801, 0)+1))&lt;=1181,2,1))))=0,"",IF(MOD(INDEX(輔助計算!$D:$D, (MATCH(204, 輔助計算!$G$2:$G$801, 0)+1)),IF(INDEX(ERP資料!$G:$G, (MATCH(204, 輔助計算!$G$2:$G$801, 0)+1))&lt;100, IF(INDEX(ERP資料!$G:$G, (MATCH(204, 輔助計算!$G$2:$G$801, 0)+1))&lt;=31,3,IF(INDEX(ERP資料!$G:$G, (MATCH(204, 輔助計算!$G$2:$G$801, 0)+1))&lt;=46.5,2,1)), IF(INDEX(ERP資料!$G:$G, (MATCH(204, 輔助計算!$G$2:$G$801, 0)+1))&lt;=790,3,IF(INDEX(ERP資料!$G:$G, (MATCH(204, 輔助計算!$G$2:$G$801, 0)+1))&lt;=1181,2,1))))=1,TEXT(INDEX(ERP資料!$G:$G, (MATCH(204, 輔助計算!$G$2:$G$801, 0)+1)),"0.##"),IF(MOD(INDEX(輔助計算!$D:$D, (MATCH(204, 輔助計算!$G$2:$G$801, 0)+1)),IF(INDEX(ERP資料!$G:$G, (MATCH(204, 輔助計算!$G$2:$G$801, 0)+1))&lt;100, IF(INDEX(ERP資料!$G:$G, (MATCH(204, 輔助計算!$G$2:$G$801, 0)+1))&lt;=31,3,IF(INDEX(ERP資料!$G:$G, (MATCH(204, 輔助計算!$G$2:$G$801, 0)+1))&lt;=46.5,2,1)), IF(INDEX(ERP資料!$G:$G, (MATCH(204, 輔助計算!$G$2:$G$801, 0)+1))&lt;=790,3,IF(INDEX(ERP資料!$G:$G, (MATCH(204, 輔助計算!$G$2:$G$801, 0)+1))&lt;=1181,2,1))))=2,TEXT(INDEX(ERP資料!$G:$G, (MATCH(204, 輔助計算!$G$2:$G$801, 0)+1)),"0.##")&amp;"+"&amp;TEXT(INDEX(ERP資料!$G:$G, (MATCH(204, 輔助計算!$G$2:$G$801, 0)+1)),"0.##"),TEXT(INDEX(ERP資料!$G:$G, (MATCH(204, 輔助計算!$G$2:$G$801, 0)+1)),"0.##")&amp;"+"&amp;TEXT(INDEX(ERP資料!$G:$G, (MATCH(204, 輔助計算!$G$2:$G$801, 0)+1)),"0.##")&amp;"+"&amp;TEXT(INDEX(ERP資料!$G:$G, (MATCH(204, 輔助計算!$G$2:$G$801, 0)+1)),"0.##"))))&amp;"-1")&lt;&gt;""),"  ","")&amp;IF(MOD(INDEX(輔助計算!$D:$D, (MATCH(204, 輔助計算!$G$2:$G$801, 0)+1)),IF(INDEX(ERP資料!$G:$G, (MATCH(204, 輔助計算!$G$2:$G$801, 0)+1))&lt;100, IF(INDEX(ERP資料!$G:$G, (MATCH(204, 輔助計算!$G$2:$G$801, 0)+1))&lt;=31,3,IF(INDEX(ERP資料!$G:$G, (MATCH(204, 輔助計算!$G$2:$G$801, 0)+1))&lt;=46.5,2,1)), IF(INDEX(ERP資料!$G:$G, (MATCH(204, 輔助計算!$G$2:$G$801, 0)+1))&lt;=790,3,IF(INDEX(ERP資料!$G:$G, (MATCH(204, 輔助計算!$G$2:$G$801, 0)+1))&lt;=1181,2,1))))=0,"",IF(MOD(INDEX(輔助計算!$D:$D, (MATCH(204, 輔助計算!$G$2:$G$801, 0)+1)),IF(INDEX(ERP資料!$G:$G, (MATCH(204, 輔助計算!$G$2:$G$801, 0)+1))&lt;100, IF(INDEX(ERP資料!$G:$G, (MATCH(204, 輔助計算!$G$2:$G$801, 0)+1))&lt;=31,3,IF(INDEX(ERP資料!$G:$G, (MATCH(204, 輔助計算!$G$2:$G$801, 0)+1))&lt;=46.5,2,1)), IF(INDEX(ERP資料!$G:$G, (MATCH(204, 輔助計算!$G$2:$G$801, 0)+1))&lt;=790,3,IF(INDEX(ERP資料!$G:$G, (MATCH(204, 輔助計算!$G$2:$G$801, 0)+1))&lt;=1181,2,1))))=0,"",IF(MOD(INDEX(輔助計算!$D:$D, (MATCH(204, 輔助計算!$G$2:$G$801, 0)+1)),IF(INDEX(ERP資料!$G:$G, (MATCH(204, 輔助計算!$G$2:$G$801, 0)+1))&lt;100, IF(INDEX(ERP資料!$G:$G, (MATCH(204, 輔助計算!$G$2:$G$801, 0)+1))&lt;=31,3,IF(INDEX(ERP資料!$G:$G, (MATCH(204, 輔助計算!$G$2:$G$801, 0)+1))&lt;=46.5,2,1)), IF(INDEX(ERP資料!$G:$G, (MATCH(204, 輔助計算!$G$2:$G$801, 0)+1))&lt;=790,3,IF(INDEX(ERP資料!$G:$G, (MATCH(204, 輔助計算!$G$2:$G$801, 0)+1))&lt;=1181,2,1))))=1,TEXT(INDEX(ERP資料!$G:$G, (MATCH(204, 輔助計算!$G$2:$G$801, 0)+1)),"0.##"),IF(MOD(INDEX(輔助計算!$D:$D, (MATCH(204, 輔助計算!$G$2:$G$801, 0)+1)),IF(INDEX(ERP資料!$G:$G, (MATCH(204, 輔助計算!$G$2:$G$801, 0)+1))&lt;100, IF(INDEX(ERP資料!$G:$G, (MATCH(204, 輔助計算!$G$2:$G$801, 0)+1))&lt;=31,3,IF(INDEX(ERP資料!$G:$G, (MATCH(204, 輔助計算!$G$2:$G$801, 0)+1))&lt;=46.5,2,1)), IF(INDEX(ERP資料!$G:$G, (MATCH(204, 輔助計算!$G$2:$G$801, 0)+1))&lt;=790,3,IF(INDEX(ERP資料!$G:$G, (MATCH(204, 輔助計算!$G$2:$G$801, 0)+1))&lt;=1181,2,1))))=2,TEXT(INDEX(ERP資料!$G:$G, (MATCH(204, 輔助計算!$G$2:$G$801, 0)+1)),"0.##")&amp;"+"&amp;TEXT(INDEX(ERP資料!$G:$G, (MATCH(204, 輔助計算!$G$2:$G$801, 0)+1)),"0.##"),TEXT(INDEX(ERP資料!$G:$G, (MATCH(204, 輔助計算!$G$2:$G$801, 0)+1)),"0.##")&amp;"+"&amp;TEXT(INDEX(ERP資料!$G:$G, (MATCH(204, 輔助計算!$G$2:$G$801, 0)+1)),"0.##")&amp;"+"&amp;TEXT(INDEX(ERP資料!$G:$G, (MATCH(204, 輔助計算!$G$2:$G$801, 0)+1)),"0.##"))))&amp;"-1")), ""), "")</f>
        <v/>
      </c>
      <c r="K205" s="16" t="n"/>
      <c r="L205" s="14">
        <f>IFERROR(IF(AND(IFERROR(INDEX(ERP資料!$A:$A, (MATCH(204, 輔助計算!$G$2:$G$801, 0)+1)), "")&lt;&gt;"", IFERROR(INDEX(ERP資料!$A:$A, (MATCH(204, 輔助計算!$G$2:$G$801, 0)+1)), "")&lt;&gt;IFERROR(INDEX(ERP資料!$A:$A, MATCH(203, 輔助計算!$G$2:$G$801, 0)+1), "")), INDEX(ERP資料!$B:$B, (MATCH(204, 輔助計算!$G$2:$G$801, 0)+1)), ""), "")</f>
        <v/>
      </c>
      <c r="M205" s="17" t="n"/>
    </row>
    <row r="206">
      <c r="A206" s="10">
        <f>IFERROR(IF(AND(IFERROR(INDEX(ERP資料!$A:$A, (MATCH(205, 輔助計算!$G$2:$G$801, 0)+1)), "")&lt;&gt;"", IFERROR(INDEX(ERP資料!$A:$A, (MATCH(205, 輔助計算!$G$2:$G$801, 0)+1)), "")&lt;&gt;IFERROR(INDEX(ERP資料!$A:$A, MATCH(204, 輔助計算!$G$2:$G$801, 0)+1), "")), IFERROR(INDEX(ERP資料!$A:$A, (MATCH(205, 輔助計算!$G$2:$G$801, 0)+1)), ""), ""), "")</f>
        <v/>
      </c>
      <c r="B206" s="10">
        <f>IFERROR(IF(AND(IFERROR(INDEX(ERP資料!$A:$A, (MATCH(205, 輔助計算!$G$2:$G$801, 0)+1)), "")&lt;&gt;"", IFERROR(INDEX(ERP資料!$A:$A, (MATCH(205, 輔助計算!$G$2:$G$801, 0)+1)), "")&lt;&gt;IFERROR(INDEX(ERP資料!$A:$A, MATCH(204, 輔助計算!$G$2:$G$801, 0)+1), "")), INDEX(ERP資料!$S:$S, (MATCH(205, 輔助計算!$G$2:$G$801, 0)+1)), ""), "")</f>
        <v/>
      </c>
      <c r="C206" s="19">
        <f>IFERROR(IF(AND(IFERROR(INDEX(ERP資料!$A:$A, (MATCH(205, 輔助計算!$G$2:$G$801, 0)+1)), "")&lt;&gt;"", IFERROR(INDEX(ERP資料!$A:$A, (MATCH(205, 輔助計算!$G$2:$G$801, 0)+1)), "")&lt;&gt;IFERROR(INDEX(ERP資料!$A:$A, MATCH(204, 輔助計算!$G$2:$G$801, 0)+1), "")), IFERROR(VLOOKUP(LEFT(INDEX(ERP資料!$S:$S, (MATCH(205, 輔助計算!$G$2:$G$801, 0)+1)), 4), 紙管對照表!$A:$C, 3, FALSE), ""), ""), "")</f>
        <v/>
      </c>
      <c r="D206" s="16" t="n"/>
      <c r="E206" s="10">
        <f>IFERROR(IF(INDEX(ERP資料!$H:$H, (MATCH(205, 輔助計算!$G$2:$G$801, 0)+1))="","",INDEX(ERP資料!$H:$H, (MATCH(205, 輔助計算!$G$2:$G$801, 0)+1))), "")</f>
        <v/>
      </c>
      <c r="F206" s="10">
        <f>IFERROR(IF(INDEX(ERP資料!$E:$E, (MATCH(205, 輔助計算!$G$2:$G$801, 0)+1))="","",TRIM(INDEX(ERP資料!$E:$E, (MATCH(205, 輔助計算!$G$2:$G$801, 0)+1)))), "")</f>
        <v/>
      </c>
      <c r="G206" s="10">
        <f>IFERROR(IF(INDEX(ERP資料!$F:$F, (MATCH(205, 輔助計算!$G$2:$G$801, 0)+1))="","",INDEX(ERP資料!$F:$F, (MATCH(205, 輔助計算!$G$2:$G$801, 0)+1))), "")</f>
        <v/>
      </c>
      <c r="H206" s="10">
        <f>IFERROR(IF(INDEX(ERP資料!$G:$G, (MATCH(205, 輔助計算!$G$2:$G$801, 0)+1))="","",INDEX(ERP資料!$G:$G, (MATCH(205, 輔助計算!$G$2:$G$801, 0)+1))), "")</f>
        <v/>
      </c>
      <c r="I206" s="15">
        <f>IFERROR(INDEX(輔助計算!$D:$D, (MATCH(205, 輔助計算!$G$2:$G$801, 0)+1)), "")</f>
        <v/>
      </c>
      <c r="J206" s="15">
        <f>IFERROR(IF(AND(INDEX(輔助計算!$D:$D, (MATCH(205, 輔助計算!$G$2:$G$801, 0)+1))&lt;&gt;"", INDEX(ERP資料!$G:$G, (MATCH(205, 輔助計算!$G$2:$G$801, 0)+1))&lt;&gt;""), TRIM(IF(INT(INDEX(輔助計算!$D:$D, (MATCH(205, 輔助計算!$G$2:$G$801, 0)+1))/IF(INDEX(ERP資料!$G:$G, (MATCH(205, 輔助計算!$G$2:$G$801, 0)+1))&lt;100, IF(INDEX(ERP資料!$G:$G, (MATCH(205, 輔助計算!$G$2:$G$801, 0)+1))&lt;=31,3,IF(INDEX(ERP資料!$G:$G, (MATCH(205, 輔助計算!$G$2:$G$801, 0)+1))&lt;=46.5,2,1)), IF(INDEX(ERP資料!$G:$G, (MATCH(205, 輔助計算!$G$2:$G$801, 0)+1))&lt;=790,3,IF(INDEX(ERP資料!$G:$G, (MATCH(205, 輔助計算!$G$2:$G$801, 0)+1))&lt;=1181,2,1))))&gt;0, IF(IF(INDEX(ERP資料!$G:$G, (MATCH(205, 輔助計算!$G$2:$G$801, 0)+1))&lt;100, IF(INDEX(ERP資料!$G:$G, (MATCH(205, 輔助計算!$G$2:$G$801, 0)+1))&lt;=31,3,IF(INDEX(ERP資料!$G:$G, (MATCH(205, 輔助計算!$G$2:$G$801, 0)+1))&lt;=46.5,2,1)), IF(INDEX(ERP資料!$G:$G, (MATCH(205, 輔助計算!$G$2:$G$801, 0)+1))&lt;=790,3,IF(INDEX(ERP資料!$G:$G, (MATCH(205, 輔助計算!$G$2:$G$801, 0)+1))&lt;=1181,2,1)))=1,TEXT(INDEX(ERP資料!$G:$G, (MATCH(205, 輔助計算!$G$2:$G$801, 0)+1)),"0.##"),IF(IF(INDEX(ERP資料!$G:$G, (MATCH(205, 輔助計算!$G$2:$G$801, 0)+1))&lt;100, IF(INDEX(ERP資料!$G:$G, (MATCH(205, 輔助計算!$G$2:$G$801, 0)+1))&lt;=31,3,IF(INDEX(ERP資料!$G:$G, (MATCH(205, 輔助計算!$G$2:$G$801, 0)+1))&lt;=46.5,2,1)), IF(INDEX(ERP資料!$G:$G, (MATCH(205, 輔助計算!$G$2:$G$801, 0)+1))&lt;=790,3,IF(INDEX(ERP資料!$G:$G, (MATCH(205, 輔助計算!$G$2:$G$801, 0)+1))&lt;=1181,2,1)))=2,TEXT(INDEX(ERP資料!$G:$G, (MATCH(205, 輔助計算!$G$2:$G$801, 0)+1)),"0.##")&amp;"+"&amp;TEXT(INDEX(ERP資料!$G:$G, (MATCH(205, 輔助計算!$G$2:$G$801, 0)+1)),"0.##"),TEXT(INDEX(ERP資料!$G:$G, (MATCH(205, 輔助計算!$G$2:$G$801, 0)+1)),"0.##")&amp;"+"&amp;TEXT(INDEX(ERP資料!$G:$G, (MATCH(205, 輔助計算!$G$2:$G$801, 0)+1)),"0.##")&amp;"+"&amp;TEXT(INDEX(ERP資料!$G:$G, (MATCH(205, 輔助計算!$G$2:$G$801, 0)+1)),"0.##")))&amp;"-"&amp;INT(INDEX(輔助計算!$D:$D, (MATCH(205, 輔助計算!$G$2:$G$801, 0)+1))/IF(INDEX(ERP資料!$G:$G, (MATCH(205, 輔助計算!$G$2:$G$801, 0)+1))&lt;100, IF(INDEX(ERP資料!$G:$G, (MATCH(205, 輔助計算!$G$2:$G$801, 0)+1))&lt;=31,3,IF(INDEX(ERP資料!$G:$G, (MATCH(205, 輔助計算!$G$2:$G$801, 0)+1))&lt;=46.5,2,1)), IF(INDEX(ERP資料!$G:$G, (MATCH(205, 輔助計算!$G$2:$G$801, 0)+1))&lt;=790,3,IF(INDEX(ERP資料!$G:$G, (MATCH(205, 輔助計算!$G$2:$G$801, 0)+1))&lt;=1181,2,1)))), "")&amp;IF(AND(IF(INT(INDEX(輔助計算!$D:$D, (MATCH(205, 輔助計算!$G$2:$G$801, 0)+1))/IF(INDEX(ERP資料!$G:$G, (MATCH(205, 輔助計算!$G$2:$G$801, 0)+1))&lt;100, IF(INDEX(ERP資料!$G:$G, (MATCH(205, 輔助計算!$G$2:$G$801, 0)+1))&lt;=31,3,IF(INDEX(ERP資料!$G:$G, (MATCH(205, 輔助計算!$G$2:$G$801, 0)+1))&lt;=46.5,2,1)), IF(INDEX(ERP資料!$G:$G, (MATCH(205, 輔助計算!$G$2:$G$801, 0)+1))&lt;=790,3,IF(INDEX(ERP資料!$G:$G, (MATCH(205, 輔助計算!$G$2:$G$801, 0)+1))&lt;=1181,2,1))))&gt;0, IF(IF(INDEX(ERP資料!$G:$G, (MATCH(205, 輔助計算!$G$2:$G$801, 0)+1))&lt;100, IF(INDEX(ERP資料!$G:$G, (MATCH(205, 輔助計算!$G$2:$G$801, 0)+1))&lt;=31,3,IF(INDEX(ERP資料!$G:$G, (MATCH(205, 輔助計算!$G$2:$G$801, 0)+1))&lt;=46.5,2,1)), IF(INDEX(ERP資料!$G:$G, (MATCH(205, 輔助計算!$G$2:$G$801, 0)+1))&lt;=790,3,IF(INDEX(ERP資料!$G:$G, (MATCH(205, 輔助計算!$G$2:$G$801, 0)+1))&lt;=1181,2,1)))=1,TEXT(INDEX(ERP資料!$G:$G, (MATCH(205, 輔助計算!$G$2:$G$801, 0)+1)),"0.##"),IF(IF(INDEX(ERP資料!$G:$G, (MATCH(205, 輔助計算!$G$2:$G$801, 0)+1))&lt;100, IF(INDEX(ERP資料!$G:$G, (MATCH(205, 輔助計算!$G$2:$G$801, 0)+1))&lt;=31,3,IF(INDEX(ERP資料!$G:$G, (MATCH(205, 輔助計算!$G$2:$G$801, 0)+1))&lt;=46.5,2,1)), IF(INDEX(ERP資料!$G:$G, (MATCH(205, 輔助計算!$G$2:$G$801, 0)+1))&lt;=790,3,IF(INDEX(ERP資料!$G:$G, (MATCH(205, 輔助計算!$G$2:$G$801, 0)+1))&lt;=1181,2,1)))=2,TEXT(INDEX(ERP資料!$G:$G, (MATCH(205, 輔助計算!$G$2:$G$801, 0)+1)),"0.##")&amp;"+"&amp;TEXT(INDEX(ERP資料!$G:$G, (MATCH(205, 輔助計算!$G$2:$G$801, 0)+1)),"0.##"),TEXT(INDEX(ERP資料!$G:$G, (MATCH(205, 輔助計算!$G$2:$G$801, 0)+1)),"0.##")&amp;"+"&amp;TEXT(INDEX(ERP資料!$G:$G, (MATCH(205, 輔助計算!$G$2:$G$801, 0)+1)),"0.##")&amp;"+"&amp;TEXT(INDEX(ERP資料!$G:$G, (MATCH(205, 輔助計算!$G$2:$G$801, 0)+1)),"0.##")))&amp;"-"&amp;INT(INDEX(輔助計算!$D:$D, (MATCH(205, 輔助計算!$G$2:$G$801, 0)+1))/IF(INDEX(ERP資料!$G:$G, (MATCH(205, 輔助計算!$G$2:$G$801, 0)+1))&lt;100, IF(INDEX(ERP資料!$G:$G, (MATCH(205, 輔助計算!$G$2:$G$801, 0)+1))&lt;=31,3,IF(INDEX(ERP資料!$G:$G, (MATCH(205, 輔助計算!$G$2:$G$801, 0)+1))&lt;=46.5,2,1)), IF(INDEX(ERP資料!$G:$G, (MATCH(205, 輔助計算!$G$2:$G$801, 0)+1))&lt;=790,3,IF(INDEX(ERP資料!$G:$G, (MATCH(205, 輔助計算!$G$2:$G$801, 0)+1))&lt;=1181,2,1)))), "")&lt;&gt;"",IF(MOD(INDEX(輔助計算!$D:$D, (MATCH(205, 輔助計算!$G$2:$G$801, 0)+1)),IF(INDEX(ERP資料!$G:$G, (MATCH(205, 輔助計算!$G$2:$G$801, 0)+1))&lt;100, IF(INDEX(ERP資料!$G:$G, (MATCH(205, 輔助計算!$G$2:$G$801, 0)+1))&lt;=31,3,IF(INDEX(ERP資料!$G:$G, (MATCH(205, 輔助計算!$G$2:$G$801, 0)+1))&lt;=46.5,2,1)), IF(INDEX(ERP資料!$G:$G, (MATCH(205, 輔助計算!$G$2:$G$801, 0)+1))&lt;=790,3,IF(INDEX(ERP資料!$G:$G, (MATCH(205, 輔助計算!$G$2:$G$801, 0)+1))&lt;=1181,2,1))))=0,"",IF(MOD(INDEX(輔助計算!$D:$D, (MATCH(205, 輔助計算!$G$2:$G$801, 0)+1)),IF(INDEX(ERP資料!$G:$G, (MATCH(205, 輔助計算!$G$2:$G$801, 0)+1))&lt;100, IF(INDEX(ERP資料!$G:$G, (MATCH(205, 輔助計算!$G$2:$G$801, 0)+1))&lt;=31,3,IF(INDEX(ERP資料!$G:$G, (MATCH(205, 輔助計算!$G$2:$G$801, 0)+1))&lt;=46.5,2,1)), IF(INDEX(ERP資料!$G:$G, (MATCH(205, 輔助計算!$G$2:$G$801, 0)+1))&lt;=790,3,IF(INDEX(ERP資料!$G:$G, (MATCH(205, 輔助計算!$G$2:$G$801, 0)+1))&lt;=1181,2,1))))=0,"",IF(MOD(INDEX(輔助計算!$D:$D, (MATCH(205, 輔助計算!$G$2:$G$801, 0)+1)),IF(INDEX(ERP資料!$G:$G, (MATCH(205, 輔助計算!$G$2:$G$801, 0)+1))&lt;100, IF(INDEX(ERP資料!$G:$G, (MATCH(205, 輔助計算!$G$2:$G$801, 0)+1))&lt;=31,3,IF(INDEX(ERP資料!$G:$G, (MATCH(205, 輔助計算!$G$2:$G$801, 0)+1))&lt;=46.5,2,1)), IF(INDEX(ERP資料!$G:$G, (MATCH(205, 輔助計算!$G$2:$G$801, 0)+1))&lt;=790,3,IF(INDEX(ERP資料!$G:$G, (MATCH(205, 輔助計算!$G$2:$G$801, 0)+1))&lt;=1181,2,1))))=1,TEXT(INDEX(ERP資料!$G:$G, (MATCH(205, 輔助計算!$G$2:$G$801, 0)+1)),"0.##"),IF(MOD(INDEX(輔助計算!$D:$D, (MATCH(205, 輔助計算!$G$2:$G$801, 0)+1)),IF(INDEX(ERP資料!$G:$G, (MATCH(205, 輔助計算!$G$2:$G$801, 0)+1))&lt;100, IF(INDEX(ERP資料!$G:$G, (MATCH(205, 輔助計算!$G$2:$G$801, 0)+1))&lt;=31,3,IF(INDEX(ERP資料!$G:$G, (MATCH(205, 輔助計算!$G$2:$G$801, 0)+1))&lt;=46.5,2,1)), IF(INDEX(ERP資料!$G:$G, (MATCH(205, 輔助計算!$G$2:$G$801, 0)+1))&lt;=790,3,IF(INDEX(ERP資料!$G:$G, (MATCH(205, 輔助計算!$G$2:$G$801, 0)+1))&lt;=1181,2,1))))=2,TEXT(INDEX(ERP資料!$G:$G, (MATCH(205, 輔助計算!$G$2:$G$801, 0)+1)),"0.##")&amp;"+"&amp;TEXT(INDEX(ERP資料!$G:$G, (MATCH(205, 輔助計算!$G$2:$G$801, 0)+1)),"0.##"),TEXT(INDEX(ERP資料!$G:$G, (MATCH(205, 輔助計算!$G$2:$G$801, 0)+1)),"0.##")&amp;"+"&amp;TEXT(INDEX(ERP資料!$G:$G, (MATCH(205, 輔助計算!$G$2:$G$801, 0)+1)),"0.##")&amp;"+"&amp;TEXT(INDEX(ERP資料!$G:$G, (MATCH(205, 輔助計算!$G$2:$G$801, 0)+1)),"0.##"))))&amp;"-1")&lt;&gt;""),"  ","")&amp;IF(MOD(INDEX(輔助計算!$D:$D, (MATCH(205, 輔助計算!$G$2:$G$801, 0)+1)),IF(INDEX(ERP資料!$G:$G, (MATCH(205, 輔助計算!$G$2:$G$801, 0)+1))&lt;100, IF(INDEX(ERP資料!$G:$G, (MATCH(205, 輔助計算!$G$2:$G$801, 0)+1))&lt;=31,3,IF(INDEX(ERP資料!$G:$G, (MATCH(205, 輔助計算!$G$2:$G$801, 0)+1))&lt;=46.5,2,1)), IF(INDEX(ERP資料!$G:$G, (MATCH(205, 輔助計算!$G$2:$G$801, 0)+1))&lt;=790,3,IF(INDEX(ERP資料!$G:$G, (MATCH(205, 輔助計算!$G$2:$G$801, 0)+1))&lt;=1181,2,1))))=0,"",IF(MOD(INDEX(輔助計算!$D:$D, (MATCH(205, 輔助計算!$G$2:$G$801, 0)+1)),IF(INDEX(ERP資料!$G:$G, (MATCH(205, 輔助計算!$G$2:$G$801, 0)+1))&lt;100, IF(INDEX(ERP資料!$G:$G, (MATCH(205, 輔助計算!$G$2:$G$801, 0)+1))&lt;=31,3,IF(INDEX(ERP資料!$G:$G, (MATCH(205, 輔助計算!$G$2:$G$801, 0)+1))&lt;=46.5,2,1)), IF(INDEX(ERP資料!$G:$G, (MATCH(205, 輔助計算!$G$2:$G$801, 0)+1))&lt;=790,3,IF(INDEX(ERP資料!$G:$G, (MATCH(205, 輔助計算!$G$2:$G$801, 0)+1))&lt;=1181,2,1))))=0,"",IF(MOD(INDEX(輔助計算!$D:$D, (MATCH(205, 輔助計算!$G$2:$G$801, 0)+1)),IF(INDEX(ERP資料!$G:$G, (MATCH(205, 輔助計算!$G$2:$G$801, 0)+1))&lt;100, IF(INDEX(ERP資料!$G:$G, (MATCH(205, 輔助計算!$G$2:$G$801, 0)+1))&lt;=31,3,IF(INDEX(ERP資料!$G:$G, (MATCH(205, 輔助計算!$G$2:$G$801, 0)+1))&lt;=46.5,2,1)), IF(INDEX(ERP資料!$G:$G, (MATCH(205, 輔助計算!$G$2:$G$801, 0)+1))&lt;=790,3,IF(INDEX(ERP資料!$G:$G, (MATCH(205, 輔助計算!$G$2:$G$801, 0)+1))&lt;=1181,2,1))))=1,TEXT(INDEX(ERP資料!$G:$G, (MATCH(205, 輔助計算!$G$2:$G$801, 0)+1)),"0.##"),IF(MOD(INDEX(輔助計算!$D:$D, (MATCH(205, 輔助計算!$G$2:$G$801, 0)+1)),IF(INDEX(ERP資料!$G:$G, (MATCH(205, 輔助計算!$G$2:$G$801, 0)+1))&lt;100, IF(INDEX(ERP資料!$G:$G, (MATCH(205, 輔助計算!$G$2:$G$801, 0)+1))&lt;=31,3,IF(INDEX(ERP資料!$G:$G, (MATCH(205, 輔助計算!$G$2:$G$801, 0)+1))&lt;=46.5,2,1)), IF(INDEX(ERP資料!$G:$G, (MATCH(205, 輔助計算!$G$2:$G$801, 0)+1))&lt;=790,3,IF(INDEX(ERP資料!$G:$G, (MATCH(205, 輔助計算!$G$2:$G$801, 0)+1))&lt;=1181,2,1))))=2,TEXT(INDEX(ERP資料!$G:$G, (MATCH(205, 輔助計算!$G$2:$G$801, 0)+1)),"0.##")&amp;"+"&amp;TEXT(INDEX(ERP資料!$G:$G, (MATCH(205, 輔助計算!$G$2:$G$801, 0)+1)),"0.##"),TEXT(INDEX(ERP資料!$G:$G, (MATCH(205, 輔助計算!$G$2:$G$801, 0)+1)),"0.##")&amp;"+"&amp;TEXT(INDEX(ERP資料!$G:$G, (MATCH(205, 輔助計算!$G$2:$G$801, 0)+1)),"0.##")&amp;"+"&amp;TEXT(INDEX(ERP資料!$G:$G, (MATCH(205, 輔助計算!$G$2:$G$801, 0)+1)),"0.##"))))&amp;"-1")), ""), "")</f>
        <v/>
      </c>
      <c r="K206" s="16" t="n"/>
      <c r="L206" s="14">
        <f>IFERROR(IF(AND(IFERROR(INDEX(ERP資料!$A:$A, (MATCH(205, 輔助計算!$G$2:$G$801, 0)+1)), "")&lt;&gt;"", IFERROR(INDEX(ERP資料!$A:$A, (MATCH(205, 輔助計算!$G$2:$G$801, 0)+1)), "")&lt;&gt;IFERROR(INDEX(ERP資料!$A:$A, MATCH(204, 輔助計算!$G$2:$G$801, 0)+1), "")), INDEX(ERP資料!$B:$B, (MATCH(205, 輔助計算!$G$2:$G$801, 0)+1)), ""), "")</f>
        <v/>
      </c>
      <c r="M206" s="17" t="n"/>
    </row>
    <row r="207">
      <c r="A207" s="10">
        <f>IFERROR(IF(AND(IFERROR(INDEX(ERP資料!$A:$A, (MATCH(206, 輔助計算!$G$2:$G$801, 0)+1)), "")&lt;&gt;"", IFERROR(INDEX(ERP資料!$A:$A, (MATCH(206, 輔助計算!$G$2:$G$801, 0)+1)), "")&lt;&gt;IFERROR(INDEX(ERP資料!$A:$A, MATCH(205, 輔助計算!$G$2:$G$801, 0)+1), "")), IFERROR(INDEX(ERP資料!$A:$A, (MATCH(206, 輔助計算!$G$2:$G$801, 0)+1)), ""), ""), "")</f>
        <v/>
      </c>
      <c r="B207" s="10">
        <f>IFERROR(IF(AND(IFERROR(INDEX(ERP資料!$A:$A, (MATCH(206, 輔助計算!$G$2:$G$801, 0)+1)), "")&lt;&gt;"", IFERROR(INDEX(ERP資料!$A:$A, (MATCH(206, 輔助計算!$G$2:$G$801, 0)+1)), "")&lt;&gt;IFERROR(INDEX(ERP資料!$A:$A, MATCH(205, 輔助計算!$G$2:$G$801, 0)+1), "")), INDEX(ERP資料!$S:$S, (MATCH(206, 輔助計算!$G$2:$G$801, 0)+1)), ""), "")</f>
        <v/>
      </c>
      <c r="C207" s="19">
        <f>IFERROR(IF(AND(IFERROR(INDEX(ERP資料!$A:$A, (MATCH(206, 輔助計算!$G$2:$G$801, 0)+1)), "")&lt;&gt;"", IFERROR(INDEX(ERP資料!$A:$A, (MATCH(206, 輔助計算!$G$2:$G$801, 0)+1)), "")&lt;&gt;IFERROR(INDEX(ERP資料!$A:$A, MATCH(205, 輔助計算!$G$2:$G$801, 0)+1), "")), IFERROR(VLOOKUP(LEFT(INDEX(ERP資料!$S:$S, (MATCH(206, 輔助計算!$G$2:$G$801, 0)+1)), 4), 紙管對照表!$A:$C, 3, FALSE), ""), ""), "")</f>
        <v/>
      </c>
      <c r="D207" s="16" t="n"/>
      <c r="E207" s="10">
        <f>IFERROR(IF(INDEX(ERP資料!$H:$H, (MATCH(206, 輔助計算!$G$2:$G$801, 0)+1))="","",INDEX(ERP資料!$H:$H, (MATCH(206, 輔助計算!$G$2:$G$801, 0)+1))), "")</f>
        <v/>
      </c>
      <c r="F207" s="10">
        <f>IFERROR(IF(INDEX(ERP資料!$E:$E, (MATCH(206, 輔助計算!$G$2:$G$801, 0)+1))="","",TRIM(INDEX(ERP資料!$E:$E, (MATCH(206, 輔助計算!$G$2:$G$801, 0)+1)))), "")</f>
        <v/>
      </c>
      <c r="G207" s="10">
        <f>IFERROR(IF(INDEX(ERP資料!$F:$F, (MATCH(206, 輔助計算!$G$2:$G$801, 0)+1))="","",INDEX(ERP資料!$F:$F, (MATCH(206, 輔助計算!$G$2:$G$801, 0)+1))), "")</f>
        <v/>
      </c>
      <c r="H207" s="10">
        <f>IFERROR(IF(INDEX(ERP資料!$G:$G, (MATCH(206, 輔助計算!$G$2:$G$801, 0)+1))="","",INDEX(ERP資料!$G:$G, (MATCH(206, 輔助計算!$G$2:$G$801, 0)+1))), "")</f>
        <v/>
      </c>
      <c r="I207" s="15">
        <f>IFERROR(INDEX(輔助計算!$D:$D, (MATCH(206, 輔助計算!$G$2:$G$801, 0)+1)), "")</f>
        <v/>
      </c>
      <c r="J207" s="15">
        <f>IFERROR(IF(AND(INDEX(輔助計算!$D:$D, (MATCH(206, 輔助計算!$G$2:$G$801, 0)+1))&lt;&gt;"", INDEX(ERP資料!$G:$G, (MATCH(206, 輔助計算!$G$2:$G$801, 0)+1))&lt;&gt;""), TRIM(IF(INT(INDEX(輔助計算!$D:$D, (MATCH(206, 輔助計算!$G$2:$G$801, 0)+1))/IF(INDEX(ERP資料!$G:$G, (MATCH(206, 輔助計算!$G$2:$G$801, 0)+1))&lt;100, IF(INDEX(ERP資料!$G:$G, (MATCH(206, 輔助計算!$G$2:$G$801, 0)+1))&lt;=31,3,IF(INDEX(ERP資料!$G:$G, (MATCH(206, 輔助計算!$G$2:$G$801, 0)+1))&lt;=46.5,2,1)), IF(INDEX(ERP資料!$G:$G, (MATCH(206, 輔助計算!$G$2:$G$801, 0)+1))&lt;=790,3,IF(INDEX(ERP資料!$G:$G, (MATCH(206, 輔助計算!$G$2:$G$801, 0)+1))&lt;=1181,2,1))))&gt;0, IF(IF(INDEX(ERP資料!$G:$G, (MATCH(206, 輔助計算!$G$2:$G$801, 0)+1))&lt;100, IF(INDEX(ERP資料!$G:$G, (MATCH(206, 輔助計算!$G$2:$G$801, 0)+1))&lt;=31,3,IF(INDEX(ERP資料!$G:$G, (MATCH(206, 輔助計算!$G$2:$G$801, 0)+1))&lt;=46.5,2,1)), IF(INDEX(ERP資料!$G:$G, (MATCH(206, 輔助計算!$G$2:$G$801, 0)+1))&lt;=790,3,IF(INDEX(ERP資料!$G:$G, (MATCH(206, 輔助計算!$G$2:$G$801, 0)+1))&lt;=1181,2,1)))=1,TEXT(INDEX(ERP資料!$G:$G, (MATCH(206, 輔助計算!$G$2:$G$801, 0)+1)),"0.##"),IF(IF(INDEX(ERP資料!$G:$G, (MATCH(206, 輔助計算!$G$2:$G$801, 0)+1))&lt;100, IF(INDEX(ERP資料!$G:$G, (MATCH(206, 輔助計算!$G$2:$G$801, 0)+1))&lt;=31,3,IF(INDEX(ERP資料!$G:$G, (MATCH(206, 輔助計算!$G$2:$G$801, 0)+1))&lt;=46.5,2,1)), IF(INDEX(ERP資料!$G:$G, (MATCH(206, 輔助計算!$G$2:$G$801, 0)+1))&lt;=790,3,IF(INDEX(ERP資料!$G:$G, (MATCH(206, 輔助計算!$G$2:$G$801, 0)+1))&lt;=1181,2,1)))=2,TEXT(INDEX(ERP資料!$G:$G, (MATCH(206, 輔助計算!$G$2:$G$801, 0)+1)),"0.##")&amp;"+"&amp;TEXT(INDEX(ERP資料!$G:$G, (MATCH(206, 輔助計算!$G$2:$G$801, 0)+1)),"0.##"),TEXT(INDEX(ERP資料!$G:$G, (MATCH(206, 輔助計算!$G$2:$G$801, 0)+1)),"0.##")&amp;"+"&amp;TEXT(INDEX(ERP資料!$G:$G, (MATCH(206, 輔助計算!$G$2:$G$801, 0)+1)),"0.##")&amp;"+"&amp;TEXT(INDEX(ERP資料!$G:$G, (MATCH(206, 輔助計算!$G$2:$G$801, 0)+1)),"0.##")))&amp;"-"&amp;INT(INDEX(輔助計算!$D:$D, (MATCH(206, 輔助計算!$G$2:$G$801, 0)+1))/IF(INDEX(ERP資料!$G:$G, (MATCH(206, 輔助計算!$G$2:$G$801, 0)+1))&lt;100, IF(INDEX(ERP資料!$G:$G, (MATCH(206, 輔助計算!$G$2:$G$801, 0)+1))&lt;=31,3,IF(INDEX(ERP資料!$G:$G, (MATCH(206, 輔助計算!$G$2:$G$801, 0)+1))&lt;=46.5,2,1)), IF(INDEX(ERP資料!$G:$G, (MATCH(206, 輔助計算!$G$2:$G$801, 0)+1))&lt;=790,3,IF(INDEX(ERP資料!$G:$G, (MATCH(206, 輔助計算!$G$2:$G$801, 0)+1))&lt;=1181,2,1)))), "")&amp;IF(AND(IF(INT(INDEX(輔助計算!$D:$D, (MATCH(206, 輔助計算!$G$2:$G$801, 0)+1))/IF(INDEX(ERP資料!$G:$G, (MATCH(206, 輔助計算!$G$2:$G$801, 0)+1))&lt;100, IF(INDEX(ERP資料!$G:$G, (MATCH(206, 輔助計算!$G$2:$G$801, 0)+1))&lt;=31,3,IF(INDEX(ERP資料!$G:$G, (MATCH(206, 輔助計算!$G$2:$G$801, 0)+1))&lt;=46.5,2,1)), IF(INDEX(ERP資料!$G:$G, (MATCH(206, 輔助計算!$G$2:$G$801, 0)+1))&lt;=790,3,IF(INDEX(ERP資料!$G:$G, (MATCH(206, 輔助計算!$G$2:$G$801, 0)+1))&lt;=1181,2,1))))&gt;0, IF(IF(INDEX(ERP資料!$G:$G, (MATCH(206, 輔助計算!$G$2:$G$801, 0)+1))&lt;100, IF(INDEX(ERP資料!$G:$G, (MATCH(206, 輔助計算!$G$2:$G$801, 0)+1))&lt;=31,3,IF(INDEX(ERP資料!$G:$G, (MATCH(206, 輔助計算!$G$2:$G$801, 0)+1))&lt;=46.5,2,1)), IF(INDEX(ERP資料!$G:$G, (MATCH(206, 輔助計算!$G$2:$G$801, 0)+1))&lt;=790,3,IF(INDEX(ERP資料!$G:$G, (MATCH(206, 輔助計算!$G$2:$G$801, 0)+1))&lt;=1181,2,1)))=1,TEXT(INDEX(ERP資料!$G:$G, (MATCH(206, 輔助計算!$G$2:$G$801, 0)+1)),"0.##"),IF(IF(INDEX(ERP資料!$G:$G, (MATCH(206, 輔助計算!$G$2:$G$801, 0)+1))&lt;100, IF(INDEX(ERP資料!$G:$G, (MATCH(206, 輔助計算!$G$2:$G$801, 0)+1))&lt;=31,3,IF(INDEX(ERP資料!$G:$G, (MATCH(206, 輔助計算!$G$2:$G$801, 0)+1))&lt;=46.5,2,1)), IF(INDEX(ERP資料!$G:$G, (MATCH(206, 輔助計算!$G$2:$G$801, 0)+1))&lt;=790,3,IF(INDEX(ERP資料!$G:$G, (MATCH(206, 輔助計算!$G$2:$G$801, 0)+1))&lt;=1181,2,1)))=2,TEXT(INDEX(ERP資料!$G:$G, (MATCH(206, 輔助計算!$G$2:$G$801, 0)+1)),"0.##")&amp;"+"&amp;TEXT(INDEX(ERP資料!$G:$G, (MATCH(206, 輔助計算!$G$2:$G$801, 0)+1)),"0.##"),TEXT(INDEX(ERP資料!$G:$G, (MATCH(206, 輔助計算!$G$2:$G$801, 0)+1)),"0.##")&amp;"+"&amp;TEXT(INDEX(ERP資料!$G:$G, (MATCH(206, 輔助計算!$G$2:$G$801, 0)+1)),"0.##")&amp;"+"&amp;TEXT(INDEX(ERP資料!$G:$G, (MATCH(206, 輔助計算!$G$2:$G$801, 0)+1)),"0.##")))&amp;"-"&amp;INT(INDEX(輔助計算!$D:$D, (MATCH(206, 輔助計算!$G$2:$G$801, 0)+1))/IF(INDEX(ERP資料!$G:$G, (MATCH(206, 輔助計算!$G$2:$G$801, 0)+1))&lt;100, IF(INDEX(ERP資料!$G:$G, (MATCH(206, 輔助計算!$G$2:$G$801, 0)+1))&lt;=31,3,IF(INDEX(ERP資料!$G:$G, (MATCH(206, 輔助計算!$G$2:$G$801, 0)+1))&lt;=46.5,2,1)), IF(INDEX(ERP資料!$G:$G, (MATCH(206, 輔助計算!$G$2:$G$801, 0)+1))&lt;=790,3,IF(INDEX(ERP資料!$G:$G, (MATCH(206, 輔助計算!$G$2:$G$801, 0)+1))&lt;=1181,2,1)))), "")&lt;&gt;"",IF(MOD(INDEX(輔助計算!$D:$D, (MATCH(206, 輔助計算!$G$2:$G$801, 0)+1)),IF(INDEX(ERP資料!$G:$G, (MATCH(206, 輔助計算!$G$2:$G$801, 0)+1))&lt;100, IF(INDEX(ERP資料!$G:$G, (MATCH(206, 輔助計算!$G$2:$G$801, 0)+1))&lt;=31,3,IF(INDEX(ERP資料!$G:$G, (MATCH(206, 輔助計算!$G$2:$G$801, 0)+1))&lt;=46.5,2,1)), IF(INDEX(ERP資料!$G:$G, (MATCH(206, 輔助計算!$G$2:$G$801, 0)+1))&lt;=790,3,IF(INDEX(ERP資料!$G:$G, (MATCH(206, 輔助計算!$G$2:$G$801, 0)+1))&lt;=1181,2,1))))=0,"",IF(MOD(INDEX(輔助計算!$D:$D, (MATCH(206, 輔助計算!$G$2:$G$801, 0)+1)),IF(INDEX(ERP資料!$G:$G, (MATCH(206, 輔助計算!$G$2:$G$801, 0)+1))&lt;100, IF(INDEX(ERP資料!$G:$G, (MATCH(206, 輔助計算!$G$2:$G$801, 0)+1))&lt;=31,3,IF(INDEX(ERP資料!$G:$G, (MATCH(206, 輔助計算!$G$2:$G$801, 0)+1))&lt;=46.5,2,1)), IF(INDEX(ERP資料!$G:$G, (MATCH(206, 輔助計算!$G$2:$G$801, 0)+1))&lt;=790,3,IF(INDEX(ERP資料!$G:$G, (MATCH(206, 輔助計算!$G$2:$G$801, 0)+1))&lt;=1181,2,1))))=0,"",IF(MOD(INDEX(輔助計算!$D:$D, (MATCH(206, 輔助計算!$G$2:$G$801, 0)+1)),IF(INDEX(ERP資料!$G:$G, (MATCH(206, 輔助計算!$G$2:$G$801, 0)+1))&lt;100, IF(INDEX(ERP資料!$G:$G, (MATCH(206, 輔助計算!$G$2:$G$801, 0)+1))&lt;=31,3,IF(INDEX(ERP資料!$G:$G, (MATCH(206, 輔助計算!$G$2:$G$801, 0)+1))&lt;=46.5,2,1)), IF(INDEX(ERP資料!$G:$G, (MATCH(206, 輔助計算!$G$2:$G$801, 0)+1))&lt;=790,3,IF(INDEX(ERP資料!$G:$G, (MATCH(206, 輔助計算!$G$2:$G$801, 0)+1))&lt;=1181,2,1))))=1,TEXT(INDEX(ERP資料!$G:$G, (MATCH(206, 輔助計算!$G$2:$G$801, 0)+1)),"0.##"),IF(MOD(INDEX(輔助計算!$D:$D, (MATCH(206, 輔助計算!$G$2:$G$801, 0)+1)),IF(INDEX(ERP資料!$G:$G, (MATCH(206, 輔助計算!$G$2:$G$801, 0)+1))&lt;100, IF(INDEX(ERP資料!$G:$G, (MATCH(206, 輔助計算!$G$2:$G$801, 0)+1))&lt;=31,3,IF(INDEX(ERP資料!$G:$G, (MATCH(206, 輔助計算!$G$2:$G$801, 0)+1))&lt;=46.5,2,1)), IF(INDEX(ERP資料!$G:$G, (MATCH(206, 輔助計算!$G$2:$G$801, 0)+1))&lt;=790,3,IF(INDEX(ERP資料!$G:$G, (MATCH(206, 輔助計算!$G$2:$G$801, 0)+1))&lt;=1181,2,1))))=2,TEXT(INDEX(ERP資料!$G:$G, (MATCH(206, 輔助計算!$G$2:$G$801, 0)+1)),"0.##")&amp;"+"&amp;TEXT(INDEX(ERP資料!$G:$G, (MATCH(206, 輔助計算!$G$2:$G$801, 0)+1)),"0.##"),TEXT(INDEX(ERP資料!$G:$G, (MATCH(206, 輔助計算!$G$2:$G$801, 0)+1)),"0.##")&amp;"+"&amp;TEXT(INDEX(ERP資料!$G:$G, (MATCH(206, 輔助計算!$G$2:$G$801, 0)+1)),"0.##")&amp;"+"&amp;TEXT(INDEX(ERP資料!$G:$G, (MATCH(206, 輔助計算!$G$2:$G$801, 0)+1)),"0.##"))))&amp;"-1")&lt;&gt;""),"  ","")&amp;IF(MOD(INDEX(輔助計算!$D:$D, (MATCH(206, 輔助計算!$G$2:$G$801, 0)+1)),IF(INDEX(ERP資料!$G:$G, (MATCH(206, 輔助計算!$G$2:$G$801, 0)+1))&lt;100, IF(INDEX(ERP資料!$G:$G, (MATCH(206, 輔助計算!$G$2:$G$801, 0)+1))&lt;=31,3,IF(INDEX(ERP資料!$G:$G, (MATCH(206, 輔助計算!$G$2:$G$801, 0)+1))&lt;=46.5,2,1)), IF(INDEX(ERP資料!$G:$G, (MATCH(206, 輔助計算!$G$2:$G$801, 0)+1))&lt;=790,3,IF(INDEX(ERP資料!$G:$G, (MATCH(206, 輔助計算!$G$2:$G$801, 0)+1))&lt;=1181,2,1))))=0,"",IF(MOD(INDEX(輔助計算!$D:$D, (MATCH(206, 輔助計算!$G$2:$G$801, 0)+1)),IF(INDEX(ERP資料!$G:$G, (MATCH(206, 輔助計算!$G$2:$G$801, 0)+1))&lt;100, IF(INDEX(ERP資料!$G:$G, (MATCH(206, 輔助計算!$G$2:$G$801, 0)+1))&lt;=31,3,IF(INDEX(ERP資料!$G:$G, (MATCH(206, 輔助計算!$G$2:$G$801, 0)+1))&lt;=46.5,2,1)), IF(INDEX(ERP資料!$G:$G, (MATCH(206, 輔助計算!$G$2:$G$801, 0)+1))&lt;=790,3,IF(INDEX(ERP資料!$G:$G, (MATCH(206, 輔助計算!$G$2:$G$801, 0)+1))&lt;=1181,2,1))))=0,"",IF(MOD(INDEX(輔助計算!$D:$D, (MATCH(206, 輔助計算!$G$2:$G$801, 0)+1)),IF(INDEX(ERP資料!$G:$G, (MATCH(206, 輔助計算!$G$2:$G$801, 0)+1))&lt;100, IF(INDEX(ERP資料!$G:$G, (MATCH(206, 輔助計算!$G$2:$G$801, 0)+1))&lt;=31,3,IF(INDEX(ERP資料!$G:$G, (MATCH(206, 輔助計算!$G$2:$G$801, 0)+1))&lt;=46.5,2,1)), IF(INDEX(ERP資料!$G:$G, (MATCH(206, 輔助計算!$G$2:$G$801, 0)+1))&lt;=790,3,IF(INDEX(ERP資料!$G:$G, (MATCH(206, 輔助計算!$G$2:$G$801, 0)+1))&lt;=1181,2,1))))=1,TEXT(INDEX(ERP資料!$G:$G, (MATCH(206, 輔助計算!$G$2:$G$801, 0)+1)),"0.##"),IF(MOD(INDEX(輔助計算!$D:$D, (MATCH(206, 輔助計算!$G$2:$G$801, 0)+1)),IF(INDEX(ERP資料!$G:$G, (MATCH(206, 輔助計算!$G$2:$G$801, 0)+1))&lt;100, IF(INDEX(ERP資料!$G:$G, (MATCH(206, 輔助計算!$G$2:$G$801, 0)+1))&lt;=31,3,IF(INDEX(ERP資料!$G:$G, (MATCH(206, 輔助計算!$G$2:$G$801, 0)+1))&lt;=46.5,2,1)), IF(INDEX(ERP資料!$G:$G, (MATCH(206, 輔助計算!$G$2:$G$801, 0)+1))&lt;=790,3,IF(INDEX(ERP資料!$G:$G, (MATCH(206, 輔助計算!$G$2:$G$801, 0)+1))&lt;=1181,2,1))))=2,TEXT(INDEX(ERP資料!$G:$G, (MATCH(206, 輔助計算!$G$2:$G$801, 0)+1)),"0.##")&amp;"+"&amp;TEXT(INDEX(ERP資料!$G:$G, (MATCH(206, 輔助計算!$G$2:$G$801, 0)+1)),"0.##"),TEXT(INDEX(ERP資料!$G:$G, (MATCH(206, 輔助計算!$G$2:$G$801, 0)+1)),"0.##")&amp;"+"&amp;TEXT(INDEX(ERP資料!$G:$G, (MATCH(206, 輔助計算!$G$2:$G$801, 0)+1)),"0.##")&amp;"+"&amp;TEXT(INDEX(ERP資料!$G:$G, (MATCH(206, 輔助計算!$G$2:$G$801, 0)+1)),"0.##"))))&amp;"-1")), ""), "")</f>
        <v/>
      </c>
      <c r="K207" s="16" t="n"/>
      <c r="L207" s="14">
        <f>IFERROR(IF(AND(IFERROR(INDEX(ERP資料!$A:$A, (MATCH(206, 輔助計算!$G$2:$G$801, 0)+1)), "")&lt;&gt;"", IFERROR(INDEX(ERP資料!$A:$A, (MATCH(206, 輔助計算!$G$2:$G$801, 0)+1)), "")&lt;&gt;IFERROR(INDEX(ERP資料!$A:$A, MATCH(205, 輔助計算!$G$2:$G$801, 0)+1), "")), INDEX(ERP資料!$B:$B, (MATCH(206, 輔助計算!$G$2:$G$801, 0)+1)), ""), "")</f>
        <v/>
      </c>
      <c r="M207" s="17" t="n"/>
    </row>
    <row r="208">
      <c r="A208" s="10">
        <f>IFERROR(IF(AND(IFERROR(INDEX(ERP資料!$A:$A, (MATCH(207, 輔助計算!$G$2:$G$801, 0)+1)), "")&lt;&gt;"", IFERROR(INDEX(ERP資料!$A:$A, (MATCH(207, 輔助計算!$G$2:$G$801, 0)+1)), "")&lt;&gt;IFERROR(INDEX(ERP資料!$A:$A, MATCH(206, 輔助計算!$G$2:$G$801, 0)+1), "")), IFERROR(INDEX(ERP資料!$A:$A, (MATCH(207, 輔助計算!$G$2:$G$801, 0)+1)), ""), ""), "")</f>
        <v/>
      </c>
      <c r="B208" s="10">
        <f>IFERROR(IF(AND(IFERROR(INDEX(ERP資料!$A:$A, (MATCH(207, 輔助計算!$G$2:$G$801, 0)+1)), "")&lt;&gt;"", IFERROR(INDEX(ERP資料!$A:$A, (MATCH(207, 輔助計算!$G$2:$G$801, 0)+1)), "")&lt;&gt;IFERROR(INDEX(ERP資料!$A:$A, MATCH(206, 輔助計算!$G$2:$G$801, 0)+1), "")), INDEX(ERP資料!$S:$S, (MATCH(207, 輔助計算!$G$2:$G$801, 0)+1)), ""), "")</f>
        <v/>
      </c>
      <c r="C208" s="19">
        <f>IFERROR(IF(AND(IFERROR(INDEX(ERP資料!$A:$A, (MATCH(207, 輔助計算!$G$2:$G$801, 0)+1)), "")&lt;&gt;"", IFERROR(INDEX(ERP資料!$A:$A, (MATCH(207, 輔助計算!$G$2:$G$801, 0)+1)), "")&lt;&gt;IFERROR(INDEX(ERP資料!$A:$A, MATCH(206, 輔助計算!$G$2:$G$801, 0)+1), "")), IFERROR(VLOOKUP(LEFT(INDEX(ERP資料!$S:$S, (MATCH(207, 輔助計算!$G$2:$G$801, 0)+1)), 4), 紙管對照表!$A:$C, 3, FALSE), ""), ""), "")</f>
        <v/>
      </c>
      <c r="D208" s="16" t="n"/>
      <c r="E208" s="10">
        <f>IFERROR(IF(INDEX(ERP資料!$H:$H, (MATCH(207, 輔助計算!$G$2:$G$801, 0)+1))="","",INDEX(ERP資料!$H:$H, (MATCH(207, 輔助計算!$G$2:$G$801, 0)+1))), "")</f>
        <v/>
      </c>
      <c r="F208" s="10">
        <f>IFERROR(IF(INDEX(ERP資料!$E:$E, (MATCH(207, 輔助計算!$G$2:$G$801, 0)+1))="","",TRIM(INDEX(ERP資料!$E:$E, (MATCH(207, 輔助計算!$G$2:$G$801, 0)+1)))), "")</f>
        <v/>
      </c>
      <c r="G208" s="10">
        <f>IFERROR(IF(INDEX(ERP資料!$F:$F, (MATCH(207, 輔助計算!$G$2:$G$801, 0)+1))="","",INDEX(ERP資料!$F:$F, (MATCH(207, 輔助計算!$G$2:$G$801, 0)+1))), "")</f>
        <v/>
      </c>
      <c r="H208" s="10">
        <f>IFERROR(IF(INDEX(ERP資料!$G:$G, (MATCH(207, 輔助計算!$G$2:$G$801, 0)+1))="","",INDEX(ERP資料!$G:$G, (MATCH(207, 輔助計算!$G$2:$G$801, 0)+1))), "")</f>
        <v/>
      </c>
      <c r="I208" s="15">
        <f>IFERROR(INDEX(輔助計算!$D:$D, (MATCH(207, 輔助計算!$G$2:$G$801, 0)+1)), "")</f>
        <v/>
      </c>
      <c r="J208" s="15">
        <f>IFERROR(IF(AND(INDEX(輔助計算!$D:$D, (MATCH(207, 輔助計算!$G$2:$G$801, 0)+1))&lt;&gt;"", INDEX(ERP資料!$G:$G, (MATCH(207, 輔助計算!$G$2:$G$801, 0)+1))&lt;&gt;""), TRIM(IF(INT(INDEX(輔助計算!$D:$D, (MATCH(207, 輔助計算!$G$2:$G$801, 0)+1))/IF(INDEX(ERP資料!$G:$G, (MATCH(207, 輔助計算!$G$2:$G$801, 0)+1))&lt;100, IF(INDEX(ERP資料!$G:$G, (MATCH(207, 輔助計算!$G$2:$G$801, 0)+1))&lt;=31,3,IF(INDEX(ERP資料!$G:$G, (MATCH(207, 輔助計算!$G$2:$G$801, 0)+1))&lt;=46.5,2,1)), IF(INDEX(ERP資料!$G:$G, (MATCH(207, 輔助計算!$G$2:$G$801, 0)+1))&lt;=790,3,IF(INDEX(ERP資料!$G:$G, (MATCH(207, 輔助計算!$G$2:$G$801, 0)+1))&lt;=1181,2,1))))&gt;0, IF(IF(INDEX(ERP資料!$G:$G, (MATCH(207, 輔助計算!$G$2:$G$801, 0)+1))&lt;100, IF(INDEX(ERP資料!$G:$G, (MATCH(207, 輔助計算!$G$2:$G$801, 0)+1))&lt;=31,3,IF(INDEX(ERP資料!$G:$G, (MATCH(207, 輔助計算!$G$2:$G$801, 0)+1))&lt;=46.5,2,1)), IF(INDEX(ERP資料!$G:$G, (MATCH(207, 輔助計算!$G$2:$G$801, 0)+1))&lt;=790,3,IF(INDEX(ERP資料!$G:$G, (MATCH(207, 輔助計算!$G$2:$G$801, 0)+1))&lt;=1181,2,1)))=1,TEXT(INDEX(ERP資料!$G:$G, (MATCH(207, 輔助計算!$G$2:$G$801, 0)+1)),"0.##"),IF(IF(INDEX(ERP資料!$G:$G, (MATCH(207, 輔助計算!$G$2:$G$801, 0)+1))&lt;100, IF(INDEX(ERP資料!$G:$G, (MATCH(207, 輔助計算!$G$2:$G$801, 0)+1))&lt;=31,3,IF(INDEX(ERP資料!$G:$G, (MATCH(207, 輔助計算!$G$2:$G$801, 0)+1))&lt;=46.5,2,1)), IF(INDEX(ERP資料!$G:$G, (MATCH(207, 輔助計算!$G$2:$G$801, 0)+1))&lt;=790,3,IF(INDEX(ERP資料!$G:$G, (MATCH(207, 輔助計算!$G$2:$G$801, 0)+1))&lt;=1181,2,1)))=2,TEXT(INDEX(ERP資料!$G:$G, (MATCH(207, 輔助計算!$G$2:$G$801, 0)+1)),"0.##")&amp;"+"&amp;TEXT(INDEX(ERP資料!$G:$G, (MATCH(207, 輔助計算!$G$2:$G$801, 0)+1)),"0.##"),TEXT(INDEX(ERP資料!$G:$G, (MATCH(207, 輔助計算!$G$2:$G$801, 0)+1)),"0.##")&amp;"+"&amp;TEXT(INDEX(ERP資料!$G:$G, (MATCH(207, 輔助計算!$G$2:$G$801, 0)+1)),"0.##")&amp;"+"&amp;TEXT(INDEX(ERP資料!$G:$G, (MATCH(207, 輔助計算!$G$2:$G$801, 0)+1)),"0.##")))&amp;"-"&amp;INT(INDEX(輔助計算!$D:$D, (MATCH(207, 輔助計算!$G$2:$G$801, 0)+1))/IF(INDEX(ERP資料!$G:$G, (MATCH(207, 輔助計算!$G$2:$G$801, 0)+1))&lt;100, IF(INDEX(ERP資料!$G:$G, (MATCH(207, 輔助計算!$G$2:$G$801, 0)+1))&lt;=31,3,IF(INDEX(ERP資料!$G:$G, (MATCH(207, 輔助計算!$G$2:$G$801, 0)+1))&lt;=46.5,2,1)), IF(INDEX(ERP資料!$G:$G, (MATCH(207, 輔助計算!$G$2:$G$801, 0)+1))&lt;=790,3,IF(INDEX(ERP資料!$G:$G, (MATCH(207, 輔助計算!$G$2:$G$801, 0)+1))&lt;=1181,2,1)))), "")&amp;IF(AND(IF(INT(INDEX(輔助計算!$D:$D, (MATCH(207, 輔助計算!$G$2:$G$801, 0)+1))/IF(INDEX(ERP資料!$G:$G, (MATCH(207, 輔助計算!$G$2:$G$801, 0)+1))&lt;100, IF(INDEX(ERP資料!$G:$G, (MATCH(207, 輔助計算!$G$2:$G$801, 0)+1))&lt;=31,3,IF(INDEX(ERP資料!$G:$G, (MATCH(207, 輔助計算!$G$2:$G$801, 0)+1))&lt;=46.5,2,1)), IF(INDEX(ERP資料!$G:$G, (MATCH(207, 輔助計算!$G$2:$G$801, 0)+1))&lt;=790,3,IF(INDEX(ERP資料!$G:$G, (MATCH(207, 輔助計算!$G$2:$G$801, 0)+1))&lt;=1181,2,1))))&gt;0, IF(IF(INDEX(ERP資料!$G:$G, (MATCH(207, 輔助計算!$G$2:$G$801, 0)+1))&lt;100, IF(INDEX(ERP資料!$G:$G, (MATCH(207, 輔助計算!$G$2:$G$801, 0)+1))&lt;=31,3,IF(INDEX(ERP資料!$G:$G, (MATCH(207, 輔助計算!$G$2:$G$801, 0)+1))&lt;=46.5,2,1)), IF(INDEX(ERP資料!$G:$G, (MATCH(207, 輔助計算!$G$2:$G$801, 0)+1))&lt;=790,3,IF(INDEX(ERP資料!$G:$G, (MATCH(207, 輔助計算!$G$2:$G$801, 0)+1))&lt;=1181,2,1)))=1,TEXT(INDEX(ERP資料!$G:$G, (MATCH(207, 輔助計算!$G$2:$G$801, 0)+1)),"0.##"),IF(IF(INDEX(ERP資料!$G:$G, (MATCH(207, 輔助計算!$G$2:$G$801, 0)+1))&lt;100, IF(INDEX(ERP資料!$G:$G, (MATCH(207, 輔助計算!$G$2:$G$801, 0)+1))&lt;=31,3,IF(INDEX(ERP資料!$G:$G, (MATCH(207, 輔助計算!$G$2:$G$801, 0)+1))&lt;=46.5,2,1)), IF(INDEX(ERP資料!$G:$G, (MATCH(207, 輔助計算!$G$2:$G$801, 0)+1))&lt;=790,3,IF(INDEX(ERP資料!$G:$G, (MATCH(207, 輔助計算!$G$2:$G$801, 0)+1))&lt;=1181,2,1)))=2,TEXT(INDEX(ERP資料!$G:$G, (MATCH(207, 輔助計算!$G$2:$G$801, 0)+1)),"0.##")&amp;"+"&amp;TEXT(INDEX(ERP資料!$G:$G, (MATCH(207, 輔助計算!$G$2:$G$801, 0)+1)),"0.##"),TEXT(INDEX(ERP資料!$G:$G, (MATCH(207, 輔助計算!$G$2:$G$801, 0)+1)),"0.##")&amp;"+"&amp;TEXT(INDEX(ERP資料!$G:$G, (MATCH(207, 輔助計算!$G$2:$G$801, 0)+1)),"0.##")&amp;"+"&amp;TEXT(INDEX(ERP資料!$G:$G, (MATCH(207, 輔助計算!$G$2:$G$801, 0)+1)),"0.##")))&amp;"-"&amp;INT(INDEX(輔助計算!$D:$D, (MATCH(207, 輔助計算!$G$2:$G$801, 0)+1))/IF(INDEX(ERP資料!$G:$G, (MATCH(207, 輔助計算!$G$2:$G$801, 0)+1))&lt;100, IF(INDEX(ERP資料!$G:$G, (MATCH(207, 輔助計算!$G$2:$G$801, 0)+1))&lt;=31,3,IF(INDEX(ERP資料!$G:$G, (MATCH(207, 輔助計算!$G$2:$G$801, 0)+1))&lt;=46.5,2,1)), IF(INDEX(ERP資料!$G:$G, (MATCH(207, 輔助計算!$G$2:$G$801, 0)+1))&lt;=790,3,IF(INDEX(ERP資料!$G:$G, (MATCH(207, 輔助計算!$G$2:$G$801, 0)+1))&lt;=1181,2,1)))), "")&lt;&gt;"",IF(MOD(INDEX(輔助計算!$D:$D, (MATCH(207, 輔助計算!$G$2:$G$801, 0)+1)),IF(INDEX(ERP資料!$G:$G, (MATCH(207, 輔助計算!$G$2:$G$801, 0)+1))&lt;100, IF(INDEX(ERP資料!$G:$G, (MATCH(207, 輔助計算!$G$2:$G$801, 0)+1))&lt;=31,3,IF(INDEX(ERP資料!$G:$G, (MATCH(207, 輔助計算!$G$2:$G$801, 0)+1))&lt;=46.5,2,1)), IF(INDEX(ERP資料!$G:$G, (MATCH(207, 輔助計算!$G$2:$G$801, 0)+1))&lt;=790,3,IF(INDEX(ERP資料!$G:$G, (MATCH(207, 輔助計算!$G$2:$G$801, 0)+1))&lt;=1181,2,1))))=0,"",IF(MOD(INDEX(輔助計算!$D:$D, (MATCH(207, 輔助計算!$G$2:$G$801, 0)+1)),IF(INDEX(ERP資料!$G:$G, (MATCH(207, 輔助計算!$G$2:$G$801, 0)+1))&lt;100, IF(INDEX(ERP資料!$G:$G, (MATCH(207, 輔助計算!$G$2:$G$801, 0)+1))&lt;=31,3,IF(INDEX(ERP資料!$G:$G, (MATCH(207, 輔助計算!$G$2:$G$801, 0)+1))&lt;=46.5,2,1)), IF(INDEX(ERP資料!$G:$G, (MATCH(207, 輔助計算!$G$2:$G$801, 0)+1))&lt;=790,3,IF(INDEX(ERP資料!$G:$G, (MATCH(207, 輔助計算!$G$2:$G$801, 0)+1))&lt;=1181,2,1))))=0,"",IF(MOD(INDEX(輔助計算!$D:$D, (MATCH(207, 輔助計算!$G$2:$G$801, 0)+1)),IF(INDEX(ERP資料!$G:$G, (MATCH(207, 輔助計算!$G$2:$G$801, 0)+1))&lt;100, IF(INDEX(ERP資料!$G:$G, (MATCH(207, 輔助計算!$G$2:$G$801, 0)+1))&lt;=31,3,IF(INDEX(ERP資料!$G:$G, (MATCH(207, 輔助計算!$G$2:$G$801, 0)+1))&lt;=46.5,2,1)), IF(INDEX(ERP資料!$G:$G, (MATCH(207, 輔助計算!$G$2:$G$801, 0)+1))&lt;=790,3,IF(INDEX(ERP資料!$G:$G, (MATCH(207, 輔助計算!$G$2:$G$801, 0)+1))&lt;=1181,2,1))))=1,TEXT(INDEX(ERP資料!$G:$G, (MATCH(207, 輔助計算!$G$2:$G$801, 0)+1)),"0.##"),IF(MOD(INDEX(輔助計算!$D:$D, (MATCH(207, 輔助計算!$G$2:$G$801, 0)+1)),IF(INDEX(ERP資料!$G:$G, (MATCH(207, 輔助計算!$G$2:$G$801, 0)+1))&lt;100, IF(INDEX(ERP資料!$G:$G, (MATCH(207, 輔助計算!$G$2:$G$801, 0)+1))&lt;=31,3,IF(INDEX(ERP資料!$G:$G, (MATCH(207, 輔助計算!$G$2:$G$801, 0)+1))&lt;=46.5,2,1)), IF(INDEX(ERP資料!$G:$G, (MATCH(207, 輔助計算!$G$2:$G$801, 0)+1))&lt;=790,3,IF(INDEX(ERP資料!$G:$G, (MATCH(207, 輔助計算!$G$2:$G$801, 0)+1))&lt;=1181,2,1))))=2,TEXT(INDEX(ERP資料!$G:$G, (MATCH(207, 輔助計算!$G$2:$G$801, 0)+1)),"0.##")&amp;"+"&amp;TEXT(INDEX(ERP資料!$G:$G, (MATCH(207, 輔助計算!$G$2:$G$801, 0)+1)),"0.##"),TEXT(INDEX(ERP資料!$G:$G, (MATCH(207, 輔助計算!$G$2:$G$801, 0)+1)),"0.##")&amp;"+"&amp;TEXT(INDEX(ERP資料!$G:$G, (MATCH(207, 輔助計算!$G$2:$G$801, 0)+1)),"0.##")&amp;"+"&amp;TEXT(INDEX(ERP資料!$G:$G, (MATCH(207, 輔助計算!$G$2:$G$801, 0)+1)),"0.##"))))&amp;"-1")&lt;&gt;""),"  ","")&amp;IF(MOD(INDEX(輔助計算!$D:$D, (MATCH(207, 輔助計算!$G$2:$G$801, 0)+1)),IF(INDEX(ERP資料!$G:$G, (MATCH(207, 輔助計算!$G$2:$G$801, 0)+1))&lt;100, IF(INDEX(ERP資料!$G:$G, (MATCH(207, 輔助計算!$G$2:$G$801, 0)+1))&lt;=31,3,IF(INDEX(ERP資料!$G:$G, (MATCH(207, 輔助計算!$G$2:$G$801, 0)+1))&lt;=46.5,2,1)), IF(INDEX(ERP資料!$G:$G, (MATCH(207, 輔助計算!$G$2:$G$801, 0)+1))&lt;=790,3,IF(INDEX(ERP資料!$G:$G, (MATCH(207, 輔助計算!$G$2:$G$801, 0)+1))&lt;=1181,2,1))))=0,"",IF(MOD(INDEX(輔助計算!$D:$D, (MATCH(207, 輔助計算!$G$2:$G$801, 0)+1)),IF(INDEX(ERP資料!$G:$G, (MATCH(207, 輔助計算!$G$2:$G$801, 0)+1))&lt;100, IF(INDEX(ERP資料!$G:$G, (MATCH(207, 輔助計算!$G$2:$G$801, 0)+1))&lt;=31,3,IF(INDEX(ERP資料!$G:$G, (MATCH(207, 輔助計算!$G$2:$G$801, 0)+1))&lt;=46.5,2,1)), IF(INDEX(ERP資料!$G:$G, (MATCH(207, 輔助計算!$G$2:$G$801, 0)+1))&lt;=790,3,IF(INDEX(ERP資料!$G:$G, (MATCH(207, 輔助計算!$G$2:$G$801, 0)+1))&lt;=1181,2,1))))=0,"",IF(MOD(INDEX(輔助計算!$D:$D, (MATCH(207, 輔助計算!$G$2:$G$801, 0)+1)),IF(INDEX(ERP資料!$G:$G, (MATCH(207, 輔助計算!$G$2:$G$801, 0)+1))&lt;100, IF(INDEX(ERP資料!$G:$G, (MATCH(207, 輔助計算!$G$2:$G$801, 0)+1))&lt;=31,3,IF(INDEX(ERP資料!$G:$G, (MATCH(207, 輔助計算!$G$2:$G$801, 0)+1))&lt;=46.5,2,1)), IF(INDEX(ERP資料!$G:$G, (MATCH(207, 輔助計算!$G$2:$G$801, 0)+1))&lt;=790,3,IF(INDEX(ERP資料!$G:$G, (MATCH(207, 輔助計算!$G$2:$G$801, 0)+1))&lt;=1181,2,1))))=1,TEXT(INDEX(ERP資料!$G:$G, (MATCH(207, 輔助計算!$G$2:$G$801, 0)+1)),"0.##"),IF(MOD(INDEX(輔助計算!$D:$D, (MATCH(207, 輔助計算!$G$2:$G$801, 0)+1)),IF(INDEX(ERP資料!$G:$G, (MATCH(207, 輔助計算!$G$2:$G$801, 0)+1))&lt;100, IF(INDEX(ERP資料!$G:$G, (MATCH(207, 輔助計算!$G$2:$G$801, 0)+1))&lt;=31,3,IF(INDEX(ERP資料!$G:$G, (MATCH(207, 輔助計算!$G$2:$G$801, 0)+1))&lt;=46.5,2,1)), IF(INDEX(ERP資料!$G:$G, (MATCH(207, 輔助計算!$G$2:$G$801, 0)+1))&lt;=790,3,IF(INDEX(ERP資料!$G:$G, (MATCH(207, 輔助計算!$G$2:$G$801, 0)+1))&lt;=1181,2,1))))=2,TEXT(INDEX(ERP資料!$G:$G, (MATCH(207, 輔助計算!$G$2:$G$801, 0)+1)),"0.##")&amp;"+"&amp;TEXT(INDEX(ERP資料!$G:$G, (MATCH(207, 輔助計算!$G$2:$G$801, 0)+1)),"0.##"),TEXT(INDEX(ERP資料!$G:$G, (MATCH(207, 輔助計算!$G$2:$G$801, 0)+1)),"0.##")&amp;"+"&amp;TEXT(INDEX(ERP資料!$G:$G, (MATCH(207, 輔助計算!$G$2:$G$801, 0)+1)),"0.##")&amp;"+"&amp;TEXT(INDEX(ERP資料!$G:$G, (MATCH(207, 輔助計算!$G$2:$G$801, 0)+1)),"0.##"))))&amp;"-1")), ""), "")</f>
        <v/>
      </c>
      <c r="K208" s="16" t="n"/>
      <c r="L208" s="14">
        <f>IFERROR(IF(AND(IFERROR(INDEX(ERP資料!$A:$A, (MATCH(207, 輔助計算!$G$2:$G$801, 0)+1)), "")&lt;&gt;"", IFERROR(INDEX(ERP資料!$A:$A, (MATCH(207, 輔助計算!$G$2:$G$801, 0)+1)), "")&lt;&gt;IFERROR(INDEX(ERP資料!$A:$A, MATCH(206, 輔助計算!$G$2:$G$801, 0)+1), "")), INDEX(ERP資料!$B:$B, (MATCH(207, 輔助計算!$G$2:$G$801, 0)+1)), ""), "")</f>
        <v/>
      </c>
      <c r="M208" s="17" t="n"/>
    </row>
    <row r="209">
      <c r="A209" s="10">
        <f>IFERROR(IF(AND(IFERROR(INDEX(ERP資料!$A:$A, (MATCH(208, 輔助計算!$G$2:$G$801, 0)+1)), "")&lt;&gt;"", IFERROR(INDEX(ERP資料!$A:$A, (MATCH(208, 輔助計算!$G$2:$G$801, 0)+1)), "")&lt;&gt;IFERROR(INDEX(ERP資料!$A:$A, MATCH(207, 輔助計算!$G$2:$G$801, 0)+1), "")), IFERROR(INDEX(ERP資料!$A:$A, (MATCH(208, 輔助計算!$G$2:$G$801, 0)+1)), ""), ""), "")</f>
        <v/>
      </c>
      <c r="B209" s="10">
        <f>IFERROR(IF(AND(IFERROR(INDEX(ERP資料!$A:$A, (MATCH(208, 輔助計算!$G$2:$G$801, 0)+1)), "")&lt;&gt;"", IFERROR(INDEX(ERP資料!$A:$A, (MATCH(208, 輔助計算!$G$2:$G$801, 0)+1)), "")&lt;&gt;IFERROR(INDEX(ERP資料!$A:$A, MATCH(207, 輔助計算!$G$2:$G$801, 0)+1), "")), INDEX(ERP資料!$S:$S, (MATCH(208, 輔助計算!$G$2:$G$801, 0)+1)), ""), "")</f>
        <v/>
      </c>
      <c r="C209" s="19">
        <f>IFERROR(IF(AND(IFERROR(INDEX(ERP資料!$A:$A, (MATCH(208, 輔助計算!$G$2:$G$801, 0)+1)), "")&lt;&gt;"", IFERROR(INDEX(ERP資料!$A:$A, (MATCH(208, 輔助計算!$G$2:$G$801, 0)+1)), "")&lt;&gt;IFERROR(INDEX(ERP資料!$A:$A, MATCH(207, 輔助計算!$G$2:$G$801, 0)+1), "")), IFERROR(VLOOKUP(LEFT(INDEX(ERP資料!$S:$S, (MATCH(208, 輔助計算!$G$2:$G$801, 0)+1)), 4), 紙管對照表!$A:$C, 3, FALSE), ""), ""), "")</f>
        <v/>
      </c>
      <c r="D209" s="16" t="n"/>
      <c r="E209" s="10">
        <f>IFERROR(IF(INDEX(ERP資料!$H:$H, (MATCH(208, 輔助計算!$G$2:$G$801, 0)+1))="","",INDEX(ERP資料!$H:$H, (MATCH(208, 輔助計算!$G$2:$G$801, 0)+1))), "")</f>
        <v/>
      </c>
      <c r="F209" s="10">
        <f>IFERROR(IF(INDEX(ERP資料!$E:$E, (MATCH(208, 輔助計算!$G$2:$G$801, 0)+1))="","",TRIM(INDEX(ERP資料!$E:$E, (MATCH(208, 輔助計算!$G$2:$G$801, 0)+1)))), "")</f>
        <v/>
      </c>
      <c r="G209" s="10">
        <f>IFERROR(IF(INDEX(ERP資料!$F:$F, (MATCH(208, 輔助計算!$G$2:$G$801, 0)+1))="","",INDEX(ERP資料!$F:$F, (MATCH(208, 輔助計算!$G$2:$G$801, 0)+1))), "")</f>
        <v/>
      </c>
      <c r="H209" s="10">
        <f>IFERROR(IF(INDEX(ERP資料!$G:$G, (MATCH(208, 輔助計算!$G$2:$G$801, 0)+1))="","",INDEX(ERP資料!$G:$G, (MATCH(208, 輔助計算!$G$2:$G$801, 0)+1))), "")</f>
        <v/>
      </c>
      <c r="I209" s="15">
        <f>IFERROR(INDEX(輔助計算!$D:$D, (MATCH(208, 輔助計算!$G$2:$G$801, 0)+1)), "")</f>
        <v/>
      </c>
      <c r="J209" s="15">
        <f>IFERROR(IF(AND(INDEX(輔助計算!$D:$D, (MATCH(208, 輔助計算!$G$2:$G$801, 0)+1))&lt;&gt;"", INDEX(ERP資料!$G:$G, (MATCH(208, 輔助計算!$G$2:$G$801, 0)+1))&lt;&gt;""), TRIM(IF(INT(INDEX(輔助計算!$D:$D, (MATCH(208, 輔助計算!$G$2:$G$801, 0)+1))/IF(INDEX(ERP資料!$G:$G, (MATCH(208, 輔助計算!$G$2:$G$801, 0)+1))&lt;100, IF(INDEX(ERP資料!$G:$G, (MATCH(208, 輔助計算!$G$2:$G$801, 0)+1))&lt;=31,3,IF(INDEX(ERP資料!$G:$G, (MATCH(208, 輔助計算!$G$2:$G$801, 0)+1))&lt;=46.5,2,1)), IF(INDEX(ERP資料!$G:$G, (MATCH(208, 輔助計算!$G$2:$G$801, 0)+1))&lt;=790,3,IF(INDEX(ERP資料!$G:$G, (MATCH(208, 輔助計算!$G$2:$G$801, 0)+1))&lt;=1181,2,1))))&gt;0, IF(IF(INDEX(ERP資料!$G:$G, (MATCH(208, 輔助計算!$G$2:$G$801, 0)+1))&lt;100, IF(INDEX(ERP資料!$G:$G, (MATCH(208, 輔助計算!$G$2:$G$801, 0)+1))&lt;=31,3,IF(INDEX(ERP資料!$G:$G, (MATCH(208, 輔助計算!$G$2:$G$801, 0)+1))&lt;=46.5,2,1)), IF(INDEX(ERP資料!$G:$G, (MATCH(208, 輔助計算!$G$2:$G$801, 0)+1))&lt;=790,3,IF(INDEX(ERP資料!$G:$G, (MATCH(208, 輔助計算!$G$2:$G$801, 0)+1))&lt;=1181,2,1)))=1,TEXT(INDEX(ERP資料!$G:$G, (MATCH(208, 輔助計算!$G$2:$G$801, 0)+1)),"0.##"),IF(IF(INDEX(ERP資料!$G:$G, (MATCH(208, 輔助計算!$G$2:$G$801, 0)+1))&lt;100, IF(INDEX(ERP資料!$G:$G, (MATCH(208, 輔助計算!$G$2:$G$801, 0)+1))&lt;=31,3,IF(INDEX(ERP資料!$G:$G, (MATCH(208, 輔助計算!$G$2:$G$801, 0)+1))&lt;=46.5,2,1)), IF(INDEX(ERP資料!$G:$G, (MATCH(208, 輔助計算!$G$2:$G$801, 0)+1))&lt;=790,3,IF(INDEX(ERP資料!$G:$G, (MATCH(208, 輔助計算!$G$2:$G$801, 0)+1))&lt;=1181,2,1)))=2,TEXT(INDEX(ERP資料!$G:$G, (MATCH(208, 輔助計算!$G$2:$G$801, 0)+1)),"0.##")&amp;"+"&amp;TEXT(INDEX(ERP資料!$G:$G, (MATCH(208, 輔助計算!$G$2:$G$801, 0)+1)),"0.##"),TEXT(INDEX(ERP資料!$G:$G, (MATCH(208, 輔助計算!$G$2:$G$801, 0)+1)),"0.##")&amp;"+"&amp;TEXT(INDEX(ERP資料!$G:$G, (MATCH(208, 輔助計算!$G$2:$G$801, 0)+1)),"0.##")&amp;"+"&amp;TEXT(INDEX(ERP資料!$G:$G, (MATCH(208, 輔助計算!$G$2:$G$801, 0)+1)),"0.##")))&amp;"-"&amp;INT(INDEX(輔助計算!$D:$D, (MATCH(208, 輔助計算!$G$2:$G$801, 0)+1))/IF(INDEX(ERP資料!$G:$G, (MATCH(208, 輔助計算!$G$2:$G$801, 0)+1))&lt;100, IF(INDEX(ERP資料!$G:$G, (MATCH(208, 輔助計算!$G$2:$G$801, 0)+1))&lt;=31,3,IF(INDEX(ERP資料!$G:$G, (MATCH(208, 輔助計算!$G$2:$G$801, 0)+1))&lt;=46.5,2,1)), IF(INDEX(ERP資料!$G:$G, (MATCH(208, 輔助計算!$G$2:$G$801, 0)+1))&lt;=790,3,IF(INDEX(ERP資料!$G:$G, (MATCH(208, 輔助計算!$G$2:$G$801, 0)+1))&lt;=1181,2,1)))), "")&amp;IF(AND(IF(INT(INDEX(輔助計算!$D:$D, (MATCH(208, 輔助計算!$G$2:$G$801, 0)+1))/IF(INDEX(ERP資料!$G:$G, (MATCH(208, 輔助計算!$G$2:$G$801, 0)+1))&lt;100, IF(INDEX(ERP資料!$G:$G, (MATCH(208, 輔助計算!$G$2:$G$801, 0)+1))&lt;=31,3,IF(INDEX(ERP資料!$G:$G, (MATCH(208, 輔助計算!$G$2:$G$801, 0)+1))&lt;=46.5,2,1)), IF(INDEX(ERP資料!$G:$G, (MATCH(208, 輔助計算!$G$2:$G$801, 0)+1))&lt;=790,3,IF(INDEX(ERP資料!$G:$G, (MATCH(208, 輔助計算!$G$2:$G$801, 0)+1))&lt;=1181,2,1))))&gt;0, IF(IF(INDEX(ERP資料!$G:$G, (MATCH(208, 輔助計算!$G$2:$G$801, 0)+1))&lt;100, IF(INDEX(ERP資料!$G:$G, (MATCH(208, 輔助計算!$G$2:$G$801, 0)+1))&lt;=31,3,IF(INDEX(ERP資料!$G:$G, (MATCH(208, 輔助計算!$G$2:$G$801, 0)+1))&lt;=46.5,2,1)), IF(INDEX(ERP資料!$G:$G, (MATCH(208, 輔助計算!$G$2:$G$801, 0)+1))&lt;=790,3,IF(INDEX(ERP資料!$G:$G, (MATCH(208, 輔助計算!$G$2:$G$801, 0)+1))&lt;=1181,2,1)))=1,TEXT(INDEX(ERP資料!$G:$G, (MATCH(208, 輔助計算!$G$2:$G$801, 0)+1)),"0.##"),IF(IF(INDEX(ERP資料!$G:$G, (MATCH(208, 輔助計算!$G$2:$G$801, 0)+1))&lt;100, IF(INDEX(ERP資料!$G:$G, (MATCH(208, 輔助計算!$G$2:$G$801, 0)+1))&lt;=31,3,IF(INDEX(ERP資料!$G:$G, (MATCH(208, 輔助計算!$G$2:$G$801, 0)+1))&lt;=46.5,2,1)), IF(INDEX(ERP資料!$G:$G, (MATCH(208, 輔助計算!$G$2:$G$801, 0)+1))&lt;=790,3,IF(INDEX(ERP資料!$G:$G, (MATCH(208, 輔助計算!$G$2:$G$801, 0)+1))&lt;=1181,2,1)))=2,TEXT(INDEX(ERP資料!$G:$G, (MATCH(208, 輔助計算!$G$2:$G$801, 0)+1)),"0.##")&amp;"+"&amp;TEXT(INDEX(ERP資料!$G:$G, (MATCH(208, 輔助計算!$G$2:$G$801, 0)+1)),"0.##"),TEXT(INDEX(ERP資料!$G:$G, (MATCH(208, 輔助計算!$G$2:$G$801, 0)+1)),"0.##")&amp;"+"&amp;TEXT(INDEX(ERP資料!$G:$G, (MATCH(208, 輔助計算!$G$2:$G$801, 0)+1)),"0.##")&amp;"+"&amp;TEXT(INDEX(ERP資料!$G:$G, (MATCH(208, 輔助計算!$G$2:$G$801, 0)+1)),"0.##")))&amp;"-"&amp;INT(INDEX(輔助計算!$D:$D, (MATCH(208, 輔助計算!$G$2:$G$801, 0)+1))/IF(INDEX(ERP資料!$G:$G, (MATCH(208, 輔助計算!$G$2:$G$801, 0)+1))&lt;100, IF(INDEX(ERP資料!$G:$G, (MATCH(208, 輔助計算!$G$2:$G$801, 0)+1))&lt;=31,3,IF(INDEX(ERP資料!$G:$G, (MATCH(208, 輔助計算!$G$2:$G$801, 0)+1))&lt;=46.5,2,1)), IF(INDEX(ERP資料!$G:$G, (MATCH(208, 輔助計算!$G$2:$G$801, 0)+1))&lt;=790,3,IF(INDEX(ERP資料!$G:$G, (MATCH(208, 輔助計算!$G$2:$G$801, 0)+1))&lt;=1181,2,1)))), "")&lt;&gt;"",IF(MOD(INDEX(輔助計算!$D:$D, (MATCH(208, 輔助計算!$G$2:$G$801, 0)+1)),IF(INDEX(ERP資料!$G:$G, (MATCH(208, 輔助計算!$G$2:$G$801, 0)+1))&lt;100, IF(INDEX(ERP資料!$G:$G, (MATCH(208, 輔助計算!$G$2:$G$801, 0)+1))&lt;=31,3,IF(INDEX(ERP資料!$G:$G, (MATCH(208, 輔助計算!$G$2:$G$801, 0)+1))&lt;=46.5,2,1)), IF(INDEX(ERP資料!$G:$G, (MATCH(208, 輔助計算!$G$2:$G$801, 0)+1))&lt;=790,3,IF(INDEX(ERP資料!$G:$G, (MATCH(208, 輔助計算!$G$2:$G$801, 0)+1))&lt;=1181,2,1))))=0,"",IF(MOD(INDEX(輔助計算!$D:$D, (MATCH(208, 輔助計算!$G$2:$G$801, 0)+1)),IF(INDEX(ERP資料!$G:$G, (MATCH(208, 輔助計算!$G$2:$G$801, 0)+1))&lt;100, IF(INDEX(ERP資料!$G:$G, (MATCH(208, 輔助計算!$G$2:$G$801, 0)+1))&lt;=31,3,IF(INDEX(ERP資料!$G:$G, (MATCH(208, 輔助計算!$G$2:$G$801, 0)+1))&lt;=46.5,2,1)), IF(INDEX(ERP資料!$G:$G, (MATCH(208, 輔助計算!$G$2:$G$801, 0)+1))&lt;=790,3,IF(INDEX(ERP資料!$G:$G, (MATCH(208, 輔助計算!$G$2:$G$801, 0)+1))&lt;=1181,2,1))))=0,"",IF(MOD(INDEX(輔助計算!$D:$D, (MATCH(208, 輔助計算!$G$2:$G$801, 0)+1)),IF(INDEX(ERP資料!$G:$G, (MATCH(208, 輔助計算!$G$2:$G$801, 0)+1))&lt;100, IF(INDEX(ERP資料!$G:$G, (MATCH(208, 輔助計算!$G$2:$G$801, 0)+1))&lt;=31,3,IF(INDEX(ERP資料!$G:$G, (MATCH(208, 輔助計算!$G$2:$G$801, 0)+1))&lt;=46.5,2,1)), IF(INDEX(ERP資料!$G:$G, (MATCH(208, 輔助計算!$G$2:$G$801, 0)+1))&lt;=790,3,IF(INDEX(ERP資料!$G:$G, (MATCH(208, 輔助計算!$G$2:$G$801, 0)+1))&lt;=1181,2,1))))=1,TEXT(INDEX(ERP資料!$G:$G, (MATCH(208, 輔助計算!$G$2:$G$801, 0)+1)),"0.##"),IF(MOD(INDEX(輔助計算!$D:$D, (MATCH(208, 輔助計算!$G$2:$G$801, 0)+1)),IF(INDEX(ERP資料!$G:$G, (MATCH(208, 輔助計算!$G$2:$G$801, 0)+1))&lt;100, IF(INDEX(ERP資料!$G:$G, (MATCH(208, 輔助計算!$G$2:$G$801, 0)+1))&lt;=31,3,IF(INDEX(ERP資料!$G:$G, (MATCH(208, 輔助計算!$G$2:$G$801, 0)+1))&lt;=46.5,2,1)), IF(INDEX(ERP資料!$G:$G, (MATCH(208, 輔助計算!$G$2:$G$801, 0)+1))&lt;=790,3,IF(INDEX(ERP資料!$G:$G, (MATCH(208, 輔助計算!$G$2:$G$801, 0)+1))&lt;=1181,2,1))))=2,TEXT(INDEX(ERP資料!$G:$G, (MATCH(208, 輔助計算!$G$2:$G$801, 0)+1)),"0.##")&amp;"+"&amp;TEXT(INDEX(ERP資料!$G:$G, (MATCH(208, 輔助計算!$G$2:$G$801, 0)+1)),"0.##"),TEXT(INDEX(ERP資料!$G:$G, (MATCH(208, 輔助計算!$G$2:$G$801, 0)+1)),"0.##")&amp;"+"&amp;TEXT(INDEX(ERP資料!$G:$G, (MATCH(208, 輔助計算!$G$2:$G$801, 0)+1)),"0.##")&amp;"+"&amp;TEXT(INDEX(ERP資料!$G:$G, (MATCH(208, 輔助計算!$G$2:$G$801, 0)+1)),"0.##"))))&amp;"-1")&lt;&gt;""),"  ","")&amp;IF(MOD(INDEX(輔助計算!$D:$D, (MATCH(208, 輔助計算!$G$2:$G$801, 0)+1)),IF(INDEX(ERP資料!$G:$G, (MATCH(208, 輔助計算!$G$2:$G$801, 0)+1))&lt;100, IF(INDEX(ERP資料!$G:$G, (MATCH(208, 輔助計算!$G$2:$G$801, 0)+1))&lt;=31,3,IF(INDEX(ERP資料!$G:$G, (MATCH(208, 輔助計算!$G$2:$G$801, 0)+1))&lt;=46.5,2,1)), IF(INDEX(ERP資料!$G:$G, (MATCH(208, 輔助計算!$G$2:$G$801, 0)+1))&lt;=790,3,IF(INDEX(ERP資料!$G:$G, (MATCH(208, 輔助計算!$G$2:$G$801, 0)+1))&lt;=1181,2,1))))=0,"",IF(MOD(INDEX(輔助計算!$D:$D, (MATCH(208, 輔助計算!$G$2:$G$801, 0)+1)),IF(INDEX(ERP資料!$G:$G, (MATCH(208, 輔助計算!$G$2:$G$801, 0)+1))&lt;100, IF(INDEX(ERP資料!$G:$G, (MATCH(208, 輔助計算!$G$2:$G$801, 0)+1))&lt;=31,3,IF(INDEX(ERP資料!$G:$G, (MATCH(208, 輔助計算!$G$2:$G$801, 0)+1))&lt;=46.5,2,1)), IF(INDEX(ERP資料!$G:$G, (MATCH(208, 輔助計算!$G$2:$G$801, 0)+1))&lt;=790,3,IF(INDEX(ERP資料!$G:$G, (MATCH(208, 輔助計算!$G$2:$G$801, 0)+1))&lt;=1181,2,1))))=0,"",IF(MOD(INDEX(輔助計算!$D:$D, (MATCH(208, 輔助計算!$G$2:$G$801, 0)+1)),IF(INDEX(ERP資料!$G:$G, (MATCH(208, 輔助計算!$G$2:$G$801, 0)+1))&lt;100, IF(INDEX(ERP資料!$G:$G, (MATCH(208, 輔助計算!$G$2:$G$801, 0)+1))&lt;=31,3,IF(INDEX(ERP資料!$G:$G, (MATCH(208, 輔助計算!$G$2:$G$801, 0)+1))&lt;=46.5,2,1)), IF(INDEX(ERP資料!$G:$G, (MATCH(208, 輔助計算!$G$2:$G$801, 0)+1))&lt;=790,3,IF(INDEX(ERP資料!$G:$G, (MATCH(208, 輔助計算!$G$2:$G$801, 0)+1))&lt;=1181,2,1))))=1,TEXT(INDEX(ERP資料!$G:$G, (MATCH(208, 輔助計算!$G$2:$G$801, 0)+1)),"0.##"),IF(MOD(INDEX(輔助計算!$D:$D, (MATCH(208, 輔助計算!$G$2:$G$801, 0)+1)),IF(INDEX(ERP資料!$G:$G, (MATCH(208, 輔助計算!$G$2:$G$801, 0)+1))&lt;100, IF(INDEX(ERP資料!$G:$G, (MATCH(208, 輔助計算!$G$2:$G$801, 0)+1))&lt;=31,3,IF(INDEX(ERP資料!$G:$G, (MATCH(208, 輔助計算!$G$2:$G$801, 0)+1))&lt;=46.5,2,1)), IF(INDEX(ERP資料!$G:$G, (MATCH(208, 輔助計算!$G$2:$G$801, 0)+1))&lt;=790,3,IF(INDEX(ERP資料!$G:$G, (MATCH(208, 輔助計算!$G$2:$G$801, 0)+1))&lt;=1181,2,1))))=2,TEXT(INDEX(ERP資料!$G:$G, (MATCH(208, 輔助計算!$G$2:$G$801, 0)+1)),"0.##")&amp;"+"&amp;TEXT(INDEX(ERP資料!$G:$G, (MATCH(208, 輔助計算!$G$2:$G$801, 0)+1)),"0.##"),TEXT(INDEX(ERP資料!$G:$G, (MATCH(208, 輔助計算!$G$2:$G$801, 0)+1)),"0.##")&amp;"+"&amp;TEXT(INDEX(ERP資料!$G:$G, (MATCH(208, 輔助計算!$G$2:$G$801, 0)+1)),"0.##")&amp;"+"&amp;TEXT(INDEX(ERP資料!$G:$G, (MATCH(208, 輔助計算!$G$2:$G$801, 0)+1)),"0.##"))))&amp;"-1")), ""), "")</f>
        <v/>
      </c>
      <c r="K209" s="16" t="n"/>
      <c r="L209" s="14">
        <f>IFERROR(IF(AND(IFERROR(INDEX(ERP資料!$A:$A, (MATCH(208, 輔助計算!$G$2:$G$801, 0)+1)), "")&lt;&gt;"", IFERROR(INDEX(ERP資料!$A:$A, (MATCH(208, 輔助計算!$G$2:$G$801, 0)+1)), "")&lt;&gt;IFERROR(INDEX(ERP資料!$A:$A, MATCH(207, 輔助計算!$G$2:$G$801, 0)+1), "")), INDEX(ERP資料!$B:$B, (MATCH(208, 輔助計算!$G$2:$G$801, 0)+1)), ""), "")</f>
        <v/>
      </c>
      <c r="M209" s="17" t="n"/>
    </row>
    <row r="210">
      <c r="A210" s="10">
        <f>IFERROR(IF(AND(IFERROR(INDEX(ERP資料!$A:$A, (MATCH(209, 輔助計算!$G$2:$G$801, 0)+1)), "")&lt;&gt;"", IFERROR(INDEX(ERP資料!$A:$A, (MATCH(209, 輔助計算!$G$2:$G$801, 0)+1)), "")&lt;&gt;IFERROR(INDEX(ERP資料!$A:$A, MATCH(208, 輔助計算!$G$2:$G$801, 0)+1), "")), IFERROR(INDEX(ERP資料!$A:$A, (MATCH(209, 輔助計算!$G$2:$G$801, 0)+1)), ""), ""), "")</f>
        <v/>
      </c>
      <c r="B210" s="10">
        <f>IFERROR(IF(AND(IFERROR(INDEX(ERP資料!$A:$A, (MATCH(209, 輔助計算!$G$2:$G$801, 0)+1)), "")&lt;&gt;"", IFERROR(INDEX(ERP資料!$A:$A, (MATCH(209, 輔助計算!$G$2:$G$801, 0)+1)), "")&lt;&gt;IFERROR(INDEX(ERP資料!$A:$A, MATCH(208, 輔助計算!$G$2:$G$801, 0)+1), "")), INDEX(ERP資料!$S:$S, (MATCH(209, 輔助計算!$G$2:$G$801, 0)+1)), ""), "")</f>
        <v/>
      </c>
      <c r="C210" s="19">
        <f>IFERROR(IF(AND(IFERROR(INDEX(ERP資料!$A:$A, (MATCH(209, 輔助計算!$G$2:$G$801, 0)+1)), "")&lt;&gt;"", IFERROR(INDEX(ERP資料!$A:$A, (MATCH(209, 輔助計算!$G$2:$G$801, 0)+1)), "")&lt;&gt;IFERROR(INDEX(ERP資料!$A:$A, MATCH(208, 輔助計算!$G$2:$G$801, 0)+1), "")), IFERROR(VLOOKUP(LEFT(INDEX(ERP資料!$S:$S, (MATCH(209, 輔助計算!$G$2:$G$801, 0)+1)), 4), 紙管對照表!$A:$C, 3, FALSE), ""), ""), "")</f>
        <v/>
      </c>
      <c r="D210" s="16" t="n"/>
      <c r="E210" s="10">
        <f>IFERROR(IF(INDEX(ERP資料!$H:$H, (MATCH(209, 輔助計算!$G$2:$G$801, 0)+1))="","",INDEX(ERP資料!$H:$H, (MATCH(209, 輔助計算!$G$2:$G$801, 0)+1))), "")</f>
        <v/>
      </c>
      <c r="F210" s="10">
        <f>IFERROR(IF(INDEX(ERP資料!$E:$E, (MATCH(209, 輔助計算!$G$2:$G$801, 0)+1))="","",TRIM(INDEX(ERP資料!$E:$E, (MATCH(209, 輔助計算!$G$2:$G$801, 0)+1)))), "")</f>
        <v/>
      </c>
      <c r="G210" s="10">
        <f>IFERROR(IF(INDEX(ERP資料!$F:$F, (MATCH(209, 輔助計算!$G$2:$G$801, 0)+1))="","",INDEX(ERP資料!$F:$F, (MATCH(209, 輔助計算!$G$2:$G$801, 0)+1))), "")</f>
        <v/>
      </c>
      <c r="H210" s="10">
        <f>IFERROR(IF(INDEX(ERP資料!$G:$G, (MATCH(209, 輔助計算!$G$2:$G$801, 0)+1))="","",INDEX(ERP資料!$G:$G, (MATCH(209, 輔助計算!$G$2:$G$801, 0)+1))), "")</f>
        <v/>
      </c>
      <c r="I210" s="15">
        <f>IFERROR(INDEX(輔助計算!$D:$D, (MATCH(209, 輔助計算!$G$2:$G$801, 0)+1)), "")</f>
        <v/>
      </c>
      <c r="J210" s="15">
        <f>IFERROR(IF(AND(INDEX(輔助計算!$D:$D, (MATCH(209, 輔助計算!$G$2:$G$801, 0)+1))&lt;&gt;"", INDEX(ERP資料!$G:$G, (MATCH(209, 輔助計算!$G$2:$G$801, 0)+1))&lt;&gt;""), TRIM(IF(INT(INDEX(輔助計算!$D:$D, (MATCH(209, 輔助計算!$G$2:$G$801, 0)+1))/IF(INDEX(ERP資料!$G:$G, (MATCH(209, 輔助計算!$G$2:$G$801, 0)+1))&lt;100, IF(INDEX(ERP資料!$G:$G, (MATCH(209, 輔助計算!$G$2:$G$801, 0)+1))&lt;=31,3,IF(INDEX(ERP資料!$G:$G, (MATCH(209, 輔助計算!$G$2:$G$801, 0)+1))&lt;=46.5,2,1)), IF(INDEX(ERP資料!$G:$G, (MATCH(209, 輔助計算!$G$2:$G$801, 0)+1))&lt;=790,3,IF(INDEX(ERP資料!$G:$G, (MATCH(209, 輔助計算!$G$2:$G$801, 0)+1))&lt;=1181,2,1))))&gt;0, IF(IF(INDEX(ERP資料!$G:$G, (MATCH(209, 輔助計算!$G$2:$G$801, 0)+1))&lt;100, IF(INDEX(ERP資料!$G:$G, (MATCH(209, 輔助計算!$G$2:$G$801, 0)+1))&lt;=31,3,IF(INDEX(ERP資料!$G:$G, (MATCH(209, 輔助計算!$G$2:$G$801, 0)+1))&lt;=46.5,2,1)), IF(INDEX(ERP資料!$G:$G, (MATCH(209, 輔助計算!$G$2:$G$801, 0)+1))&lt;=790,3,IF(INDEX(ERP資料!$G:$G, (MATCH(209, 輔助計算!$G$2:$G$801, 0)+1))&lt;=1181,2,1)))=1,TEXT(INDEX(ERP資料!$G:$G, (MATCH(209, 輔助計算!$G$2:$G$801, 0)+1)),"0.##"),IF(IF(INDEX(ERP資料!$G:$G, (MATCH(209, 輔助計算!$G$2:$G$801, 0)+1))&lt;100, IF(INDEX(ERP資料!$G:$G, (MATCH(209, 輔助計算!$G$2:$G$801, 0)+1))&lt;=31,3,IF(INDEX(ERP資料!$G:$G, (MATCH(209, 輔助計算!$G$2:$G$801, 0)+1))&lt;=46.5,2,1)), IF(INDEX(ERP資料!$G:$G, (MATCH(209, 輔助計算!$G$2:$G$801, 0)+1))&lt;=790,3,IF(INDEX(ERP資料!$G:$G, (MATCH(209, 輔助計算!$G$2:$G$801, 0)+1))&lt;=1181,2,1)))=2,TEXT(INDEX(ERP資料!$G:$G, (MATCH(209, 輔助計算!$G$2:$G$801, 0)+1)),"0.##")&amp;"+"&amp;TEXT(INDEX(ERP資料!$G:$G, (MATCH(209, 輔助計算!$G$2:$G$801, 0)+1)),"0.##"),TEXT(INDEX(ERP資料!$G:$G, (MATCH(209, 輔助計算!$G$2:$G$801, 0)+1)),"0.##")&amp;"+"&amp;TEXT(INDEX(ERP資料!$G:$G, (MATCH(209, 輔助計算!$G$2:$G$801, 0)+1)),"0.##")&amp;"+"&amp;TEXT(INDEX(ERP資料!$G:$G, (MATCH(209, 輔助計算!$G$2:$G$801, 0)+1)),"0.##")))&amp;"-"&amp;INT(INDEX(輔助計算!$D:$D, (MATCH(209, 輔助計算!$G$2:$G$801, 0)+1))/IF(INDEX(ERP資料!$G:$G, (MATCH(209, 輔助計算!$G$2:$G$801, 0)+1))&lt;100, IF(INDEX(ERP資料!$G:$G, (MATCH(209, 輔助計算!$G$2:$G$801, 0)+1))&lt;=31,3,IF(INDEX(ERP資料!$G:$G, (MATCH(209, 輔助計算!$G$2:$G$801, 0)+1))&lt;=46.5,2,1)), IF(INDEX(ERP資料!$G:$G, (MATCH(209, 輔助計算!$G$2:$G$801, 0)+1))&lt;=790,3,IF(INDEX(ERP資料!$G:$G, (MATCH(209, 輔助計算!$G$2:$G$801, 0)+1))&lt;=1181,2,1)))), "")&amp;IF(AND(IF(INT(INDEX(輔助計算!$D:$D, (MATCH(209, 輔助計算!$G$2:$G$801, 0)+1))/IF(INDEX(ERP資料!$G:$G, (MATCH(209, 輔助計算!$G$2:$G$801, 0)+1))&lt;100, IF(INDEX(ERP資料!$G:$G, (MATCH(209, 輔助計算!$G$2:$G$801, 0)+1))&lt;=31,3,IF(INDEX(ERP資料!$G:$G, (MATCH(209, 輔助計算!$G$2:$G$801, 0)+1))&lt;=46.5,2,1)), IF(INDEX(ERP資料!$G:$G, (MATCH(209, 輔助計算!$G$2:$G$801, 0)+1))&lt;=790,3,IF(INDEX(ERP資料!$G:$G, (MATCH(209, 輔助計算!$G$2:$G$801, 0)+1))&lt;=1181,2,1))))&gt;0, IF(IF(INDEX(ERP資料!$G:$G, (MATCH(209, 輔助計算!$G$2:$G$801, 0)+1))&lt;100, IF(INDEX(ERP資料!$G:$G, (MATCH(209, 輔助計算!$G$2:$G$801, 0)+1))&lt;=31,3,IF(INDEX(ERP資料!$G:$G, (MATCH(209, 輔助計算!$G$2:$G$801, 0)+1))&lt;=46.5,2,1)), IF(INDEX(ERP資料!$G:$G, (MATCH(209, 輔助計算!$G$2:$G$801, 0)+1))&lt;=790,3,IF(INDEX(ERP資料!$G:$G, (MATCH(209, 輔助計算!$G$2:$G$801, 0)+1))&lt;=1181,2,1)))=1,TEXT(INDEX(ERP資料!$G:$G, (MATCH(209, 輔助計算!$G$2:$G$801, 0)+1)),"0.##"),IF(IF(INDEX(ERP資料!$G:$G, (MATCH(209, 輔助計算!$G$2:$G$801, 0)+1))&lt;100, IF(INDEX(ERP資料!$G:$G, (MATCH(209, 輔助計算!$G$2:$G$801, 0)+1))&lt;=31,3,IF(INDEX(ERP資料!$G:$G, (MATCH(209, 輔助計算!$G$2:$G$801, 0)+1))&lt;=46.5,2,1)), IF(INDEX(ERP資料!$G:$G, (MATCH(209, 輔助計算!$G$2:$G$801, 0)+1))&lt;=790,3,IF(INDEX(ERP資料!$G:$G, (MATCH(209, 輔助計算!$G$2:$G$801, 0)+1))&lt;=1181,2,1)))=2,TEXT(INDEX(ERP資料!$G:$G, (MATCH(209, 輔助計算!$G$2:$G$801, 0)+1)),"0.##")&amp;"+"&amp;TEXT(INDEX(ERP資料!$G:$G, (MATCH(209, 輔助計算!$G$2:$G$801, 0)+1)),"0.##"),TEXT(INDEX(ERP資料!$G:$G, (MATCH(209, 輔助計算!$G$2:$G$801, 0)+1)),"0.##")&amp;"+"&amp;TEXT(INDEX(ERP資料!$G:$G, (MATCH(209, 輔助計算!$G$2:$G$801, 0)+1)),"0.##")&amp;"+"&amp;TEXT(INDEX(ERP資料!$G:$G, (MATCH(209, 輔助計算!$G$2:$G$801, 0)+1)),"0.##")))&amp;"-"&amp;INT(INDEX(輔助計算!$D:$D, (MATCH(209, 輔助計算!$G$2:$G$801, 0)+1))/IF(INDEX(ERP資料!$G:$G, (MATCH(209, 輔助計算!$G$2:$G$801, 0)+1))&lt;100, IF(INDEX(ERP資料!$G:$G, (MATCH(209, 輔助計算!$G$2:$G$801, 0)+1))&lt;=31,3,IF(INDEX(ERP資料!$G:$G, (MATCH(209, 輔助計算!$G$2:$G$801, 0)+1))&lt;=46.5,2,1)), IF(INDEX(ERP資料!$G:$G, (MATCH(209, 輔助計算!$G$2:$G$801, 0)+1))&lt;=790,3,IF(INDEX(ERP資料!$G:$G, (MATCH(209, 輔助計算!$G$2:$G$801, 0)+1))&lt;=1181,2,1)))), "")&lt;&gt;"",IF(MOD(INDEX(輔助計算!$D:$D, (MATCH(209, 輔助計算!$G$2:$G$801, 0)+1)),IF(INDEX(ERP資料!$G:$G, (MATCH(209, 輔助計算!$G$2:$G$801, 0)+1))&lt;100, IF(INDEX(ERP資料!$G:$G, (MATCH(209, 輔助計算!$G$2:$G$801, 0)+1))&lt;=31,3,IF(INDEX(ERP資料!$G:$G, (MATCH(209, 輔助計算!$G$2:$G$801, 0)+1))&lt;=46.5,2,1)), IF(INDEX(ERP資料!$G:$G, (MATCH(209, 輔助計算!$G$2:$G$801, 0)+1))&lt;=790,3,IF(INDEX(ERP資料!$G:$G, (MATCH(209, 輔助計算!$G$2:$G$801, 0)+1))&lt;=1181,2,1))))=0,"",IF(MOD(INDEX(輔助計算!$D:$D, (MATCH(209, 輔助計算!$G$2:$G$801, 0)+1)),IF(INDEX(ERP資料!$G:$G, (MATCH(209, 輔助計算!$G$2:$G$801, 0)+1))&lt;100, IF(INDEX(ERP資料!$G:$G, (MATCH(209, 輔助計算!$G$2:$G$801, 0)+1))&lt;=31,3,IF(INDEX(ERP資料!$G:$G, (MATCH(209, 輔助計算!$G$2:$G$801, 0)+1))&lt;=46.5,2,1)), IF(INDEX(ERP資料!$G:$G, (MATCH(209, 輔助計算!$G$2:$G$801, 0)+1))&lt;=790,3,IF(INDEX(ERP資料!$G:$G, (MATCH(209, 輔助計算!$G$2:$G$801, 0)+1))&lt;=1181,2,1))))=0,"",IF(MOD(INDEX(輔助計算!$D:$D, (MATCH(209, 輔助計算!$G$2:$G$801, 0)+1)),IF(INDEX(ERP資料!$G:$G, (MATCH(209, 輔助計算!$G$2:$G$801, 0)+1))&lt;100, IF(INDEX(ERP資料!$G:$G, (MATCH(209, 輔助計算!$G$2:$G$801, 0)+1))&lt;=31,3,IF(INDEX(ERP資料!$G:$G, (MATCH(209, 輔助計算!$G$2:$G$801, 0)+1))&lt;=46.5,2,1)), IF(INDEX(ERP資料!$G:$G, (MATCH(209, 輔助計算!$G$2:$G$801, 0)+1))&lt;=790,3,IF(INDEX(ERP資料!$G:$G, (MATCH(209, 輔助計算!$G$2:$G$801, 0)+1))&lt;=1181,2,1))))=1,TEXT(INDEX(ERP資料!$G:$G, (MATCH(209, 輔助計算!$G$2:$G$801, 0)+1)),"0.##"),IF(MOD(INDEX(輔助計算!$D:$D, (MATCH(209, 輔助計算!$G$2:$G$801, 0)+1)),IF(INDEX(ERP資料!$G:$G, (MATCH(209, 輔助計算!$G$2:$G$801, 0)+1))&lt;100, IF(INDEX(ERP資料!$G:$G, (MATCH(209, 輔助計算!$G$2:$G$801, 0)+1))&lt;=31,3,IF(INDEX(ERP資料!$G:$G, (MATCH(209, 輔助計算!$G$2:$G$801, 0)+1))&lt;=46.5,2,1)), IF(INDEX(ERP資料!$G:$G, (MATCH(209, 輔助計算!$G$2:$G$801, 0)+1))&lt;=790,3,IF(INDEX(ERP資料!$G:$G, (MATCH(209, 輔助計算!$G$2:$G$801, 0)+1))&lt;=1181,2,1))))=2,TEXT(INDEX(ERP資料!$G:$G, (MATCH(209, 輔助計算!$G$2:$G$801, 0)+1)),"0.##")&amp;"+"&amp;TEXT(INDEX(ERP資料!$G:$G, (MATCH(209, 輔助計算!$G$2:$G$801, 0)+1)),"0.##"),TEXT(INDEX(ERP資料!$G:$G, (MATCH(209, 輔助計算!$G$2:$G$801, 0)+1)),"0.##")&amp;"+"&amp;TEXT(INDEX(ERP資料!$G:$G, (MATCH(209, 輔助計算!$G$2:$G$801, 0)+1)),"0.##")&amp;"+"&amp;TEXT(INDEX(ERP資料!$G:$G, (MATCH(209, 輔助計算!$G$2:$G$801, 0)+1)),"0.##"))))&amp;"-1")&lt;&gt;""),"  ","")&amp;IF(MOD(INDEX(輔助計算!$D:$D, (MATCH(209, 輔助計算!$G$2:$G$801, 0)+1)),IF(INDEX(ERP資料!$G:$G, (MATCH(209, 輔助計算!$G$2:$G$801, 0)+1))&lt;100, IF(INDEX(ERP資料!$G:$G, (MATCH(209, 輔助計算!$G$2:$G$801, 0)+1))&lt;=31,3,IF(INDEX(ERP資料!$G:$G, (MATCH(209, 輔助計算!$G$2:$G$801, 0)+1))&lt;=46.5,2,1)), IF(INDEX(ERP資料!$G:$G, (MATCH(209, 輔助計算!$G$2:$G$801, 0)+1))&lt;=790,3,IF(INDEX(ERP資料!$G:$G, (MATCH(209, 輔助計算!$G$2:$G$801, 0)+1))&lt;=1181,2,1))))=0,"",IF(MOD(INDEX(輔助計算!$D:$D, (MATCH(209, 輔助計算!$G$2:$G$801, 0)+1)),IF(INDEX(ERP資料!$G:$G, (MATCH(209, 輔助計算!$G$2:$G$801, 0)+1))&lt;100, IF(INDEX(ERP資料!$G:$G, (MATCH(209, 輔助計算!$G$2:$G$801, 0)+1))&lt;=31,3,IF(INDEX(ERP資料!$G:$G, (MATCH(209, 輔助計算!$G$2:$G$801, 0)+1))&lt;=46.5,2,1)), IF(INDEX(ERP資料!$G:$G, (MATCH(209, 輔助計算!$G$2:$G$801, 0)+1))&lt;=790,3,IF(INDEX(ERP資料!$G:$G, (MATCH(209, 輔助計算!$G$2:$G$801, 0)+1))&lt;=1181,2,1))))=0,"",IF(MOD(INDEX(輔助計算!$D:$D, (MATCH(209, 輔助計算!$G$2:$G$801, 0)+1)),IF(INDEX(ERP資料!$G:$G, (MATCH(209, 輔助計算!$G$2:$G$801, 0)+1))&lt;100, IF(INDEX(ERP資料!$G:$G, (MATCH(209, 輔助計算!$G$2:$G$801, 0)+1))&lt;=31,3,IF(INDEX(ERP資料!$G:$G, (MATCH(209, 輔助計算!$G$2:$G$801, 0)+1))&lt;=46.5,2,1)), IF(INDEX(ERP資料!$G:$G, (MATCH(209, 輔助計算!$G$2:$G$801, 0)+1))&lt;=790,3,IF(INDEX(ERP資料!$G:$G, (MATCH(209, 輔助計算!$G$2:$G$801, 0)+1))&lt;=1181,2,1))))=1,TEXT(INDEX(ERP資料!$G:$G, (MATCH(209, 輔助計算!$G$2:$G$801, 0)+1)),"0.##"),IF(MOD(INDEX(輔助計算!$D:$D, (MATCH(209, 輔助計算!$G$2:$G$801, 0)+1)),IF(INDEX(ERP資料!$G:$G, (MATCH(209, 輔助計算!$G$2:$G$801, 0)+1))&lt;100, IF(INDEX(ERP資料!$G:$G, (MATCH(209, 輔助計算!$G$2:$G$801, 0)+1))&lt;=31,3,IF(INDEX(ERP資料!$G:$G, (MATCH(209, 輔助計算!$G$2:$G$801, 0)+1))&lt;=46.5,2,1)), IF(INDEX(ERP資料!$G:$G, (MATCH(209, 輔助計算!$G$2:$G$801, 0)+1))&lt;=790,3,IF(INDEX(ERP資料!$G:$G, (MATCH(209, 輔助計算!$G$2:$G$801, 0)+1))&lt;=1181,2,1))))=2,TEXT(INDEX(ERP資料!$G:$G, (MATCH(209, 輔助計算!$G$2:$G$801, 0)+1)),"0.##")&amp;"+"&amp;TEXT(INDEX(ERP資料!$G:$G, (MATCH(209, 輔助計算!$G$2:$G$801, 0)+1)),"0.##"),TEXT(INDEX(ERP資料!$G:$G, (MATCH(209, 輔助計算!$G$2:$G$801, 0)+1)),"0.##")&amp;"+"&amp;TEXT(INDEX(ERP資料!$G:$G, (MATCH(209, 輔助計算!$G$2:$G$801, 0)+1)),"0.##")&amp;"+"&amp;TEXT(INDEX(ERP資料!$G:$G, (MATCH(209, 輔助計算!$G$2:$G$801, 0)+1)),"0.##"))))&amp;"-1")), ""), "")</f>
        <v/>
      </c>
      <c r="K210" s="16" t="n"/>
      <c r="L210" s="14">
        <f>IFERROR(IF(AND(IFERROR(INDEX(ERP資料!$A:$A, (MATCH(209, 輔助計算!$G$2:$G$801, 0)+1)), "")&lt;&gt;"", IFERROR(INDEX(ERP資料!$A:$A, (MATCH(209, 輔助計算!$G$2:$G$801, 0)+1)), "")&lt;&gt;IFERROR(INDEX(ERP資料!$A:$A, MATCH(208, 輔助計算!$G$2:$G$801, 0)+1), "")), INDEX(ERP資料!$B:$B, (MATCH(209, 輔助計算!$G$2:$G$801, 0)+1)), ""), "")</f>
        <v/>
      </c>
      <c r="M210" s="17" t="n"/>
    </row>
    <row r="211">
      <c r="A211" s="10">
        <f>IFERROR(IF(AND(IFERROR(INDEX(ERP資料!$A:$A, (MATCH(210, 輔助計算!$G$2:$G$801, 0)+1)), "")&lt;&gt;"", IFERROR(INDEX(ERP資料!$A:$A, (MATCH(210, 輔助計算!$G$2:$G$801, 0)+1)), "")&lt;&gt;IFERROR(INDEX(ERP資料!$A:$A, MATCH(209, 輔助計算!$G$2:$G$801, 0)+1), "")), IFERROR(INDEX(ERP資料!$A:$A, (MATCH(210, 輔助計算!$G$2:$G$801, 0)+1)), ""), ""), "")</f>
        <v/>
      </c>
      <c r="B211" s="10">
        <f>IFERROR(IF(AND(IFERROR(INDEX(ERP資料!$A:$A, (MATCH(210, 輔助計算!$G$2:$G$801, 0)+1)), "")&lt;&gt;"", IFERROR(INDEX(ERP資料!$A:$A, (MATCH(210, 輔助計算!$G$2:$G$801, 0)+1)), "")&lt;&gt;IFERROR(INDEX(ERP資料!$A:$A, MATCH(209, 輔助計算!$G$2:$G$801, 0)+1), "")), INDEX(ERP資料!$S:$S, (MATCH(210, 輔助計算!$G$2:$G$801, 0)+1)), ""), "")</f>
        <v/>
      </c>
      <c r="C211" s="19">
        <f>IFERROR(IF(AND(IFERROR(INDEX(ERP資料!$A:$A, (MATCH(210, 輔助計算!$G$2:$G$801, 0)+1)), "")&lt;&gt;"", IFERROR(INDEX(ERP資料!$A:$A, (MATCH(210, 輔助計算!$G$2:$G$801, 0)+1)), "")&lt;&gt;IFERROR(INDEX(ERP資料!$A:$A, MATCH(209, 輔助計算!$G$2:$G$801, 0)+1), "")), IFERROR(VLOOKUP(LEFT(INDEX(ERP資料!$S:$S, (MATCH(210, 輔助計算!$G$2:$G$801, 0)+1)), 4), 紙管對照表!$A:$C, 3, FALSE), ""), ""), "")</f>
        <v/>
      </c>
      <c r="D211" s="16" t="n"/>
      <c r="E211" s="10">
        <f>IFERROR(IF(INDEX(ERP資料!$H:$H, (MATCH(210, 輔助計算!$G$2:$G$801, 0)+1))="","",INDEX(ERP資料!$H:$H, (MATCH(210, 輔助計算!$G$2:$G$801, 0)+1))), "")</f>
        <v/>
      </c>
      <c r="F211" s="10">
        <f>IFERROR(IF(INDEX(ERP資料!$E:$E, (MATCH(210, 輔助計算!$G$2:$G$801, 0)+1))="","",TRIM(INDEX(ERP資料!$E:$E, (MATCH(210, 輔助計算!$G$2:$G$801, 0)+1)))), "")</f>
        <v/>
      </c>
      <c r="G211" s="10">
        <f>IFERROR(IF(INDEX(ERP資料!$F:$F, (MATCH(210, 輔助計算!$G$2:$G$801, 0)+1))="","",INDEX(ERP資料!$F:$F, (MATCH(210, 輔助計算!$G$2:$G$801, 0)+1))), "")</f>
        <v/>
      </c>
      <c r="H211" s="10">
        <f>IFERROR(IF(INDEX(ERP資料!$G:$G, (MATCH(210, 輔助計算!$G$2:$G$801, 0)+1))="","",INDEX(ERP資料!$G:$G, (MATCH(210, 輔助計算!$G$2:$G$801, 0)+1))), "")</f>
        <v/>
      </c>
      <c r="I211" s="15">
        <f>IFERROR(INDEX(輔助計算!$D:$D, (MATCH(210, 輔助計算!$G$2:$G$801, 0)+1)), "")</f>
        <v/>
      </c>
      <c r="J211" s="15">
        <f>IFERROR(IF(AND(INDEX(輔助計算!$D:$D, (MATCH(210, 輔助計算!$G$2:$G$801, 0)+1))&lt;&gt;"", INDEX(ERP資料!$G:$G, (MATCH(210, 輔助計算!$G$2:$G$801, 0)+1))&lt;&gt;""), TRIM(IF(INT(INDEX(輔助計算!$D:$D, (MATCH(210, 輔助計算!$G$2:$G$801, 0)+1))/IF(INDEX(ERP資料!$G:$G, (MATCH(210, 輔助計算!$G$2:$G$801, 0)+1))&lt;100, IF(INDEX(ERP資料!$G:$G, (MATCH(210, 輔助計算!$G$2:$G$801, 0)+1))&lt;=31,3,IF(INDEX(ERP資料!$G:$G, (MATCH(210, 輔助計算!$G$2:$G$801, 0)+1))&lt;=46.5,2,1)), IF(INDEX(ERP資料!$G:$G, (MATCH(210, 輔助計算!$G$2:$G$801, 0)+1))&lt;=790,3,IF(INDEX(ERP資料!$G:$G, (MATCH(210, 輔助計算!$G$2:$G$801, 0)+1))&lt;=1181,2,1))))&gt;0, IF(IF(INDEX(ERP資料!$G:$G, (MATCH(210, 輔助計算!$G$2:$G$801, 0)+1))&lt;100, IF(INDEX(ERP資料!$G:$G, (MATCH(210, 輔助計算!$G$2:$G$801, 0)+1))&lt;=31,3,IF(INDEX(ERP資料!$G:$G, (MATCH(210, 輔助計算!$G$2:$G$801, 0)+1))&lt;=46.5,2,1)), IF(INDEX(ERP資料!$G:$G, (MATCH(210, 輔助計算!$G$2:$G$801, 0)+1))&lt;=790,3,IF(INDEX(ERP資料!$G:$G, (MATCH(210, 輔助計算!$G$2:$G$801, 0)+1))&lt;=1181,2,1)))=1,TEXT(INDEX(ERP資料!$G:$G, (MATCH(210, 輔助計算!$G$2:$G$801, 0)+1)),"0.##"),IF(IF(INDEX(ERP資料!$G:$G, (MATCH(210, 輔助計算!$G$2:$G$801, 0)+1))&lt;100, IF(INDEX(ERP資料!$G:$G, (MATCH(210, 輔助計算!$G$2:$G$801, 0)+1))&lt;=31,3,IF(INDEX(ERP資料!$G:$G, (MATCH(210, 輔助計算!$G$2:$G$801, 0)+1))&lt;=46.5,2,1)), IF(INDEX(ERP資料!$G:$G, (MATCH(210, 輔助計算!$G$2:$G$801, 0)+1))&lt;=790,3,IF(INDEX(ERP資料!$G:$G, (MATCH(210, 輔助計算!$G$2:$G$801, 0)+1))&lt;=1181,2,1)))=2,TEXT(INDEX(ERP資料!$G:$G, (MATCH(210, 輔助計算!$G$2:$G$801, 0)+1)),"0.##")&amp;"+"&amp;TEXT(INDEX(ERP資料!$G:$G, (MATCH(210, 輔助計算!$G$2:$G$801, 0)+1)),"0.##"),TEXT(INDEX(ERP資料!$G:$G, (MATCH(210, 輔助計算!$G$2:$G$801, 0)+1)),"0.##")&amp;"+"&amp;TEXT(INDEX(ERP資料!$G:$G, (MATCH(210, 輔助計算!$G$2:$G$801, 0)+1)),"0.##")&amp;"+"&amp;TEXT(INDEX(ERP資料!$G:$G, (MATCH(210, 輔助計算!$G$2:$G$801, 0)+1)),"0.##")))&amp;"-"&amp;INT(INDEX(輔助計算!$D:$D, (MATCH(210, 輔助計算!$G$2:$G$801, 0)+1))/IF(INDEX(ERP資料!$G:$G, (MATCH(210, 輔助計算!$G$2:$G$801, 0)+1))&lt;100, IF(INDEX(ERP資料!$G:$G, (MATCH(210, 輔助計算!$G$2:$G$801, 0)+1))&lt;=31,3,IF(INDEX(ERP資料!$G:$G, (MATCH(210, 輔助計算!$G$2:$G$801, 0)+1))&lt;=46.5,2,1)), IF(INDEX(ERP資料!$G:$G, (MATCH(210, 輔助計算!$G$2:$G$801, 0)+1))&lt;=790,3,IF(INDEX(ERP資料!$G:$G, (MATCH(210, 輔助計算!$G$2:$G$801, 0)+1))&lt;=1181,2,1)))), "")&amp;IF(AND(IF(INT(INDEX(輔助計算!$D:$D, (MATCH(210, 輔助計算!$G$2:$G$801, 0)+1))/IF(INDEX(ERP資料!$G:$G, (MATCH(210, 輔助計算!$G$2:$G$801, 0)+1))&lt;100, IF(INDEX(ERP資料!$G:$G, (MATCH(210, 輔助計算!$G$2:$G$801, 0)+1))&lt;=31,3,IF(INDEX(ERP資料!$G:$G, (MATCH(210, 輔助計算!$G$2:$G$801, 0)+1))&lt;=46.5,2,1)), IF(INDEX(ERP資料!$G:$G, (MATCH(210, 輔助計算!$G$2:$G$801, 0)+1))&lt;=790,3,IF(INDEX(ERP資料!$G:$G, (MATCH(210, 輔助計算!$G$2:$G$801, 0)+1))&lt;=1181,2,1))))&gt;0, IF(IF(INDEX(ERP資料!$G:$G, (MATCH(210, 輔助計算!$G$2:$G$801, 0)+1))&lt;100, IF(INDEX(ERP資料!$G:$G, (MATCH(210, 輔助計算!$G$2:$G$801, 0)+1))&lt;=31,3,IF(INDEX(ERP資料!$G:$G, (MATCH(210, 輔助計算!$G$2:$G$801, 0)+1))&lt;=46.5,2,1)), IF(INDEX(ERP資料!$G:$G, (MATCH(210, 輔助計算!$G$2:$G$801, 0)+1))&lt;=790,3,IF(INDEX(ERP資料!$G:$G, (MATCH(210, 輔助計算!$G$2:$G$801, 0)+1))&lt;=1181,2,1)))=1,TEXT(INDEX(ERP資料!$G:$G, (MATCH(210, 輔助計算!$G$2:$G$801, 0)+1)),"0.##"),IF(IF(INDEX(ERP資料!$G:$G, (MATCH(210, 輔助計算!$G$2:$G$801, 0)+1))&lt;100, IF(INDEX(ERP資料!$G:$G, (MATCH(210, 輔助計算!$G$2:$G$801, 0)+1))&lt;=31,3,IF(INDEX(ERP資料!$G:$G, (MATCH(210, 輔助計算!$G$2:$G$801, 0)+1))&lt;=46.5,2,1)), IF(INDEX(ERP資料!$G:$G, (MATCH(210, 輔助計算!$G$2:$G$801, 0)+1))&lt;=790,3,IF(INDEX(ERP資料!$G:$G, (MATCH(210, 輔助計算!$G$2:$G$801, 0)+1))&lt;=1181,2,1)))=2,TEXT(INDEX(ERP資料!$G:$G, (MATCH(210, 輔助計算!$G$2:$G$801, 0)+1)),"0.##")&amp;"+"&amp;TEXT(INDEX(ERP資料!$G:$G, (MATCH(210, 輔助計算!$G$2:$G$801, 0)+1)),"0.##"),TEXT(INDEX(ERP資料!$G:$G, (MATCH(210, 輔助計算!$G$2:$G$801, 0)+1)),"0.##")&amp;"+"&amp;TEXT(INDEX(ERP資料!$G:$G, (MATCH(210, 輔助計算!$G$2:$G$801, 0)+1)),"0.##")&amp;"+"&amp;TEXT(INDEX(ERP資料!$G:$G, (MATCH(210, 輔助計算!$G$2:$G$801, 0)+1)),"0.##")))&amp;"-"&amp;INT(INDEX(輔助計算!$D:$D, (MATCH(210, 輔助計算!$G$2:$G$801, 0)+1))/IF(INDEX(ERP資料!$G:$G, (MATCH(210, 輔助計算!$G$2:$G$801, 0)+1))&lt;100, IF(INDEX(ERP資料!$G:$G, (MATCH(210, 輔助計算!$G$2:$G$801, 0)+1))&lt;=31,3,IF(INDEX(ERP資料!$G:$G, (MATCH(210, 輔助計算!$G$2:$G$801, 0)+1))&lt;=46.5,2,1)), IF(INDEX(ERP資料!$G:$G, (MATCH(210, 輔助計算!$G$2:$G$801, 0)+1))&lt;=790,3,IF(INDEX(ERP資料!$G:$G, (MATCH(210, 輔助計算!$G$2:$G$801, 0)+1))&lt;=1181,2,1)))), "")&lt;&gt;"",IF(MOD(INDEX(輔助計算!$D:$D, (MATCH(210, 輔助計算!$G$2:$G$801, 0)+1)),IF(INDEX(ERP資料!$G:$G, (MATCH(210, 輔助計算!$G$2:$G$801, 0)+1))&lt;100, IF(INDEX(ERP資料!$G:$G, (MATCH(210, 輔助計算!$G$2:$G$801, 0)+1))&lt;=31,3,IF(INDEX(ERP資料!$G:$G, (MATCH(210, 輔助計算!$G$2:$G$801, 0)+1))&lt;=46.5,2,1)), IF(INDEX(ERP資料!$G:$G, (MATCH(210, 輔助計算!$G$2:$G$801, 0)+1))&lt;=790,3,IF(INDEX(ERP資料!$G:$G, (MATCH(210, 輔助計算!$G$2:$G$801, 0)+1))&lt;=1181,2,1))))=0,"",IF(MOD(INDEX(輔助計算!$D:$D, (MATCH(210, 輔助計算!$G$2:$G$801, 0)+1)),IF(INDEX(ERP資料!$G:$G, (MATCH(210, 輔助計算!$G$2:$G$801, 0)+1))&lt;100, IF(INDEX(ERP資料!$G:$G, (MATCH(210, 輔助計算!$G$2:$G$801, 0)+1))&lt;=31,3,IF(INDEX(ERP資料!$G:$G, (MATCH(210, 輔助計算!$G$2:$G$801, 0)+1))&lt;=46.5,2,1)), IF(INDEX(ERP資料!$G:$G, (MATCH(210, 輔助計算!$G$2:$G$801, 0)+1))&lt;=790,3,IF(INDEX(ERP資料!$G:$G, (MATCH(210, 輔助計算!$G$2:$G$801, 0)+1))&lt;=1181,2,1))))=0,"",IF(MOD(INDEX(輔助計算!$D:$D, (MATCH(210, 輔助計算!$G$2:$G$801, 0)+1)),IF(INDEX(ERP資料!$G:$G, (MATCH(210, 輔助計算!$G$2:$G$801, 0)+1))&lt;100, IF(INDEX(ERP資料!$G:$G, (MATCH(210, 輔助計算!$G$2:$G$801, 0)+1))&lt;=31,3,IF(INDEX(ERP資料!$G:$G, (MATCH(210, 輔助計算!$G$2:$G$801, 0)+1))&lt;=46.5,2,1)), IF(INDEX(ERP資料!$G:$G, (MATCH(210, 輔助計算!$G$2:$G$801, 0)+1))&lt;=790,3,IF(INDEX(ERP資料!$G:$G, (MATCH(210, 輔助計算!$G$2:$G$801, 0)+1))&lt;=1181,2,1))))=1,TEXT(INDEX(ERP資料!$G:$G, (MATCH(210, 輔助計算!$G$2:$G$801, 0)+1)),"0.##"),IF(MOD(INDEX(輔助計算!$D:$D, (MATCH(210, 輔助計算!$G$2:$G$801, 0)+1)),IF(INDEX(ERP資料!$G:$G, (MATCH(210, 輔助計算!$G$2:$G$801, 0)+1))&lt;100, IF(INDEX(ERP資料!$G:$G, (MATCH(210, 輔助計算!$G$2:$G$801, 0)+1))&lt;=31,3,IF(INDEX(ERP資料!$G:$G, (MATCH(210, 輔助計算!$G$2:$G$801, 0)+1))&lt;=46.5,2,1)), IF(INDEX(ERP資料!$G:$G, (MATCH(210, 輔助計算!$G$2:$G$801, 0)+1))&lt;=790,3,IF(INDEX(ERP資料!$G:$G, (MATCH(210, 輔助計算!$G$2:$G$801, 0)+1))&lt;=1181,2,1))))=2,TEXT(INDEX(ERP資料!$G:$G, (MATCH(210, 輔助計算!$G$2:$G$801, 0)+1)),"0.##")&amp;"+"&amp;TEXT(INDEX(ERP資料!$G:$G, (MATCH(210, 輔助計算!$G$2:$G$801, 0)+1)),"0.##"),TEXT(INDEX(ERP資料!$G:$G, (MATCH(210, 輔助計算!$G$2:$G$801, 0)+1)),"0.##")&amp;"+"&amp;TEXT(INDEX(ERP資料!$G:$G, (MATCH(210, 輔助計算!$G$2:$G$801, 0)+1)),"0.##")&amp;"+"&amp;TEXT(INDEX(ERP資料!$G:$G, (MATCH(210, 輔助計算!$G$2:$G$801, 0)+1)),"0.##"))))&amp;"-1")&lt;&gt;""),"  ","")&amp;IF(MOD(INDEX(輔助計算!$D:$D, (MATCH(210, 輔助計算!$G$2:$G$801, 0)+1)),IF(INDEX(ERP資料!$G:$G, (MATCH(210, 輔助計算!$G$2:$G$801, 0)+1))&lt;100, IF(INDEX(ERP資料!$G:$G, (MATCH(210, 輔助計算!$G$2:$G$801, 0)+1))&lt;=31,3,IF(INDEX(ERP資料!$G:$G, (MATCH(210, 輔助計算!$G$2:$G$801, 0)+1))&lt;=46.5,2,1)), IF(INDEX(ERP資料!$G:$G, (MATCH(210, 輔助計算!$G$2:$G$801, 0)+1))&lt;=790,3,IF(INDEX(ERP資料!$G:$G, (MATCH(210, 輔助計算!$G$2:$G$801, 0)+1))&lt;=1181,2,1))))=0,"",IF(MOD(INDEX(輔助計算!$D:$D, (MATCH(210, 輔助計算!$G$2:$G$801, 0)+1)),IF(INDEX(ERP資料!$G:$G, (MATCH(210, 輔助計算!$G$2:$G$801, 0)+1))&lt;100, IF(INDEX(ERP資料!$G:$G, (MATCH(210, 輔助計算!$G$2:$G$801, 0)+1))&lt;=31,3,IF(INDEX(ERP資料!$G:$G, (MATCH(210, 輔助計算!$G$2:$G$801, 0)+1))&lt;=46.5,2,1)), IF(INDEX(ERP資料!$G:$G, (MATCH(210, 輔助計算!$G$2:$G$801, 0)+1))&lt;=790,3,IF(INDEX(ERP資料!$G:$G, (MATCH(210, 輔助計算!$G$2:$G$801, 0)+1))&lt;=1181,2,1))))=0,"",IF(MOD(INDEX(輔助計算!$D:$D, (MATCH(210, 輔助計算!$G$2:$G$801, 0)+1)),IF(INDEX(ERP資料!$G:$G, (MATCH(210, 輔助計算!$G$2:$G$801, 0)+1))&lt;100, IF(INDEX(ERP資料!$G:$G, (MATCH(210, 輔助計算!$G$2:$G$801, 0)+1))&lt;=31,3,IF(INDEX(ERP資料!$G:$G, (MATCH(210, 輔助計算!$G$2:$G$801, 0)+1))&lt;=46.5,2,1)), IF(INDEX(ERP資料!$G:$G, (MATCH(210, 輔助計算!$G$2:$G$801, 0)+1))&lt;=790,3,IF(INDEX(ERP資料!$G:$G, (MATCH(210, 輔助計算!$G$2:$G$801, 0)+1))&lt;=1181,2,1))))=1,TEXT(INDEX(ERP資料!$G:$G, (MATCH(210, 輔助計算!$G$2:$G$801, 0)+1)),"0.##"),IF(MOD(INDEX(輔助計算!$D:$D, (MATCH(210, 輔助計算!$G$2:$G$801, 0)+1)),IF(INDEX(ERP資料!$G:$G, (MATCH(210, 輔助計算!$G$2:$G$801, 0)+1))&lt;100, IF(INDEX(ERP資料!$G:$G, (MATCH(210, 輔助計算!$G$2:$G$801, 0)+1))&lt;=31,3,IF(INDEX(ERP資料!$G:$G, (MATCH(210, 輔助計算!$G$2:$G$801, 0)+1))&lt;=46.5,2,1)), IF(INDEX(ERP資料!$G:$G, (MATCH(210, 輔助計算!$G$2:$G$801, 0)+1))&lt;=790,3,IF(INDEX(ERP資料!$G:$G, (MATCH(210, 輔助計算!$G$2:$G$801, 0)+1))&lt;=1181,2,1))))=2,TEXT(INDEX(ERP資料!$G:$G, (MATCH(210, 輔助計算!$G$2:$G$801, 0)+1)),"0.##")&amp;"+"&amp;TEXT(INDEX(ERP資料!$G:$G, (MATCH(210, 輔助計算!$G$2:$G$801, 0)+1)),"0.##"),TEXT(INDEX(ERP資料!$G:$G, (MATCH(210, 輔助計算!$G$2:$G$801, 0)+1)),"0.##")&amp;"+"&amp;TEXT(INDEX(ERP資料!$G:$G, (MATCH(210, 輔助計算!$G$2:$G$801, 0)+1)),"0.##")&amp;"+"&amp;TEXT(INDEX(ERP資料!$G:$G, (MATCH(210, 輔助計算!$G$2:$G$801, 0)+1)),"0.##"))))&amp;"-1")), ""), "")</f>
        <v/>
      </c>
      <c r="K211" s="16" t="n"/>
      <c r="L211" s="14">
        <f>IFERROR(IF(AND(IFERROR(INDEX(ERP資料!$A:$A, (MATCH(210, 輔助計算!$G$2:$G$801, 0)+1)), "")&lt;&gt;"", IFERROR(INDEX(ERP資料!$A:$A, (MATCH(210, 輔助計算!$G$2:$G$801, 0)+1)), "")&lt;&gt;IFERROR(INDEX(ERP資料!$A:$A, MATCH(209, 輔助計算!$G$2:$G$801, 0)+1), "")), INDEX(ERP資料!$B:$B, (MATCH(210, 輔助計算!$G$2:$G$801, 0)+1)), ""), "")</f>
        <v/>
      </c>
      <c r="M211" s="17" t="n"/>
    </row>
    <row r="212">
      <c r="A212" s="10">
        <f>IFERROR(IF(AND(IFERROR(INDEX(ERP資料!$A:$A, (MATCH(211, 輔助計算!$G$2:$G$801, 0)+1)), "")&lt;&gt;"", IFERROR(INDEX(ERP資料!$A:$A, (MATCH(211, 輔助計算!$G$2:$G$801, 0)+1)), "")&lt;&gt;IFERROR(INDEX(ERP資料!$A:$A, MATCH(210, 輔助計算!$G$2:$G$801, 0)+1), "")), IFERROR(INDEX(ERP資料!$A:$A, (MATCH(211, 輔助計算!$G$2:$G$801, 0)+1)), ""), ""), "")</f>
        <v/>
      </c>
      <c r="B212" s="10">
        <f>IFERROR(IF(AND(IFERROR(INDEX(ERP資料!$A:$A, (MATCH(211, 輔助計算!$G$2:$G$801, 0)+1)), "")&lt;&gt;"", IFERROR(INDEX(ERP資料!$A:$A, (MATCH(211, 輔助計算!$G$2:$G$801, 0)+1)), "")&lt;&gt;IFERROR(INDEX(ERP資料!$A:$A, MATCH(210, 輔助計算!$G$2:$G$801, 0)+1), "")), INDEX(ERP資料!$S:$S, (MATCH(211, 輔助計算!$G$2:$G$801, 0)+1)), ""), "")</f>
        <v/>
      </c>
      <c r="C212" s="19">
        <f>IFERROR(IF(AND(IFERROR(INDEX(ERP資料!$A:$A, (MATCH(211, 輔助計算!$G$2:$G$801, 0)+1)), "")&lt;&gt;"", IFERROR(INDEX(ERP資料!$A:$A, (MATCH(211, 輔助計算!$G$2:$G$801, 0)+1)), "")&lt;&gt;IFERROR(INDEX(ERP資料!$A:$A, MATCH(210, 輔助計算!$G$2:$G$801, 0)+1), "")), IFERROR(VLOOKUP(LEFT(INDEX(ERP資料!$S:$S, (MATCH(211, 輔助計算!$G$2:$G$801, 0)+1)), 4), 紙管對照表!$A:$C, 3, FALSE), ""), ""), "")</f>
        <v/>
      </c>
      <c r="D212" s="16" t="n"/>
      <c r="E212" s="10">
        <f>IFERROR(IF(INDEX(ERP資料!$H:$H, (MATCH(211, 輔助計算!$G$2:$G$801, 0)+1))="","",INDEX(ERP資料!$H:$H, (MATCH(211, 輔助計算!$G$2:$G$801, 0)+1))), "")</f>
        <v/>
      </c>
      <c r="F212" s="10">
        <f>IFERROR(IF(INDEX(ERP資料!$E:$E, (MATCH(211, 輔助計算!$G$2:$G$801, 0)+1))="","",TRIM(INDEX(ERP資料!$E:$E, (MATCH(211, 輔助計算!$G$2:$G$801, 0)+1)))), "")</f>
        <v/>
      </c>
      <c r="G212" s="10">
        <f>IFERROR(IF(INDEX(ERP資料!$F:$F, (MATCH(211, 輔助計算!$G$2:$G$801, 0)+1))="","",INDEX(ERP資料!$F:$F, (MATCH(211, 輔助計算!$G$2:$G$801, 0)+1))), "")</f>
        <v/>
      </c>
      <c r="H212" s="10">
        <f>IFERROR(IF(INDEX(ERP資料!$G:$G, (MATCH(211, 輔助計算!$G$2:$G$801, 0)+1))="","",INDEX(ERP資料!$G:$G, (MATCH(211, 輔助計算!$G$2:$G$801, 0)+1))), "")</f>
        <v/>
      </c>
      <c r="I212" s="15">
        <f>IFERROR(INDEX(輔助計算!$D:$D, (MATCH(211, 輔助計算!$G$2:$G$801, 0)+1)), "")</f>
        <v/>
      </c>
      <c r="J212" s="15">
        <f>IFERROR(IF(AND(INDEX(輔助計算!$D:$D, (MATCH(211, 輔助計算!$G$2:$G$801, 0)+1))&lt;&gt;"", INDEX(ERP資料!$G:$G, (MATCH(211, 輔助計算!$G$2:$G$801, 0)+1))&lt;&gt;""), TRIM(IF(INT(INDEX(輔助計算!$D:$D, (MATCH(211, 輔助計算!$G$2:$G$801, 0)+1))/IF(INDEX(ERP資料!$G:$G, (MATCH(211, 輔助計算!$G$2:$G$801, 0)+1))&lt;100, IF(INDEX(ERP資料!$G:$G, (MATCH(211, 輔助計算!$G$2:$G$801, 0)+1))&lt;=31,3,IF(INDEX(ERP資料!$G:$G, (MATCH(211, 輔助計算!$G$2:$G$801, 0)+1))&lt;=46.5,2,1)), IF(INDEX(ERP資料!$G:$G, (MATCH(211, 輔助計算!$G$2:$G$801, 0)+1))&lt;=790,3,IF(INDEX(ERP資料!$G:$G, (MATCH(211, 輔助計算!$G$2:$G$801, 0)+1))&lt;=1181,2,1))))&gt;0, IF(IF(INDEX(ERP資料!$G:$G, (MATCH(211, 輔助計算!$G$2:$G$801, 0)+1))&lt;100, IF(INDEX(ERP資料!$G:$G, (MATCH(211, 輔助計算!$G$2:$G$801, 0)+1))&lt;=31,3,IF(INDEX(ERP資料!$G:$G, (MATCH(211, 輔助計算!$G$2:$G$801, 0)+1))&lt;=46.5,2,1)), IF(INDEX(ERP資料!$G:$G, (MATCH(211, 輔助計算!$G$2:$G$801, 0)+1))&lt;=790,3,IF(INDEX(ERP資料!$G:$G, (MATCH(211, 輔助計算!$G$2:$G$801, 0)+1))&lt;=1181,2,1)))=1,TEXT(INDEX(ERP資料!$G:$G, (MATCH(211, 輔助計算!$G$2:$G$801, 0)+1)),"0.##"),IF(IF(INDEX(ERP資料!$G:$G, (MATCH(211, 輔助計算!$G$2:$G$801, 0)+1))&lt;100, IF(INDEX(ERP資料!$G:$G, (MATCH(211, 輔助計算!$G$2:$G$801, 0)+1))&lt;=31,3,IF(INDEX(ERP資料!$G:$G, (MATCH(211, 輔助計算!$G$2:$G$801, 0)+1))&lt;=46.5,2,1)), IF(INDEX(ERP資料!$G:$G, (MATCH(211, 輔助計算!$G$2:$G$801, 0)+1))&lt;=790,3,IF(INDEX(ERP資料!$G:$G, (MATCH(211, 輔助計算!$G$2:$G$801, 0)+1))&lt;=1181,2,1)))=2,TEXT(INDEX(ERP資料!$G:$G, (MATCH(211, 輔助計算!$G$2:$G$801, 0)+1)),"0.##")&amp;"+"&amp;TEXT(INDEX(ERP資料!$G:$G, (MATCH(211, 輔助計算!$G$2:$G$801, 0)+1)),"0.##"),TEXT(INDEX(ERP資料!$G:$G, (MATCH(211, 輔助計算!$G$2:$G$801, 0)+1)),"0.##")&amp;"+"&amp;TEXT(INDEX(ERP資料!$G:$G, (MATCH(211, 輔助計算!$G$2:$G$801, 0)+1)),"0.##")&amp;"+"&amp;TEXT(INDEX(ERP資料!$G:$G, (MATCH(211, 輔助計算!$G$2:$G$801, 0)+1)),"0.##")))&amp;"-"&amp;INT(INDEX(輔助計算!$D:$D, (MATCH(211, 輔助計算!$G$2:$G$801, 0)+1))/IF(INDEX(ERP資料!$G:$G, (MATCH(211, 輔助計算!$G$2:$G$801, 0)+1))&lt;100, IF(INDEX(ERP資料!$G:$G, (MATCH(211, 輔助計算!$G$2:$G$801, 0)+1))&lt;=31,3,IF(INDEX(ERP資料!$G:$G, (MATCH(211, 輔助計算!$G$2:$G$801, 0)+1))&lt;=46.5,2,1)), IF(INDEX(ERP資料!$G:$G, (MATCH(211, 輔助計算!$G$2:$G$801, 0)+1))&lt;=790,3,IF(INDEX(ERP資料!$G:$G, (MATCH(211, 輔助計算!$G$2:$G$801, 0)+1))&lt;=1181,2,1)))), "")&amp;IF(AND(IF(INT(INDEX(輔助計算!$D:$D, (MATCH(211, 輔助計算!$G$2:$G$801, 0)+1))/IF(INDEX(ERP資料!$G:$G, (MATCH(211, 輔助計算!$G$2:$G$801, 0)+1))&lt;100, IF(INDEX(ERP資料!$G:$G, (MATCH(211, 輔助計算!$G$2:$G$801, 0)+1))&lt;=31,3,IF(INDEX(ERP資料!$G:$G, (MATCH(211, 輔助計算!$G$2:$G$801, 0)+1))&lt;=46.5,2,1)), IF(INDEX(ERP資料!$G:$G, (MATCH(211, 輔助計算!$G$2:$G$801, 0)+1))&lt;=790,3,IF(INDEX(ERP資料!$G:$G, (MATCH(211, 輔助計算!$G$2:$G$801, 0)+1))&lt;=1181,2,1))))&gt;0, IF(IF(INDEX(ERP資料!$G:$G, (MATCH(211, 輔助計算!$G$2:$G$801, 0)+1))&lt;100, IF(INDEX(ERP資料!$G:$G, (MATCH(211, 輔助計算!$G$2:$G$801, 0)+1))&lt;=31,3,IF(INDEX(ERP資料!$G:$G, (MATCH(211, 輔助計算!$G$2:$G$801, 0)+1))&lt;=46.5,2,1)), IF(INDEX(ERP資料!$G:$G, (MATCH(211, 輔助計算!$G$2:$G$801, 0)+1))&lt;=790,3,IF(INDEX(ERP資料!$G:$G, (MATCH(211, 輔助計算!$G$2:$G$801, 0)+1))&lt;=1181,2,1)))=1,TEXT(INDEX(ERP資料!$G:$G, (MATCH(211, 輔助計算!$G$2:$G$801, 0)+1)),"0.##"),IF(IF(INDEX(ERP資料!$G:$G, (MATCH(211, 輔助計算!$G$2:$G$801, 0)+1))&lt;100, IF(INDEX(ERP資料!$G:$G, (MATCH(211, 輔助計算!$G$2:$G$801, 0)+1))&lt;=31,3,IF(INDEX(ERP資料!$G:$G, (MATCH(211, 輔助計算!$G$2:$G$801, 0)+1))&lt;=46.5,2,1)), IF(INDEX(ERP資料!$G:$G, (MATCH(211, 輔助計算!$G$2:$G$801, 0)+1))&lt;=790,3,IF(INDEX(ERP資料!$G:$G, (MATCH(211, 輔助計算!$G$2:$G$801, 0)+1))&lt;=1181,2,1)))=2,TEXT(INDEX(ERP資料!$G:$G, (MATCH(211, 輔助計算!$G$2:$G$801, 0)+1)),"0.##")&amp;"+"&amp;TEXT(INDEX(ERP資料!$G:$G, (MATCH(211, 輔助計算!$G$2:$G$801, 0)+1)),"0.##"),TEXT(INDEX(ERP資料!$G:$G, (MATCH(211, 輔助計算!$G$2:$G$801, 0)+1)),"0.##")&amp;"+"&amp;TEXT(INDEX(ERP資料!$G:$G, (MATCH(211, 輔助計算!$G$2:$G$801, 0)+1)),"0.##")&amp;"+"&amp;TEXT(INDEX(ERP資料!$G:$G, (MATCH(211, 輔助計算!$G$2:$G$801, 0)+1)),"0.##")))&amp;"-"&amp;INT(INDEX(輔助計算!$D:$D, (MATCH(211, 輔助計算!$G$2:$G$801, 0)+1))/IF(INDEX(ERP資料!$G:$G, (MATCH(211, 輔助計算!$G$2:$G$801, 0)+1))&lt;100, IF(INDEX(ERP資料!$G:$G, (MATCH(211, 輔助計算!$G$2:$G$801, 0)+1))&lt;=31,3,IF(INDEX(ERP資料!$G:$G, (MATCH(211, 輔助計算!$G$2:$G$801, 0)+1))&lt;=46.5,2,1)), IF(INDEX(ERP資料!$G:$G, (MATCH(211, 輔助計算!$G$2:$G$801, 0)+1))&lt;=790,3,IF(INDEX(ERP資料!$G:$G, (MATCH(211, 輔助計算!$G$2:$G$801, 0)+1))&lt;=1181,2,1)))), "")&lt;&gt;"",IF(MOD(INDEX(輔助計算!$D:$D, (MATCH(211, 輔助計算!$G$2:$G$801, 0)+1)),IF(INDEX(ERP資料!$G:$G, (MATCH(211, 輔助計算!$G$2:$G$801, 0)+1))&lt;100, IF(INDEX(ERP資料!$G:$G, (MATCH(211, 輔助計算!$G$2:$G$801, 0)+1))&lt;=31,3,IF(INDEX(ERP資料!$G:$G, (MATCH(211, 輔助計算!$G$2:$G$801, 0)+1))&lt;=46.5,2,1)), IF(INDEX(ERP資料!$G:$G, (MATCH(211, 輔助計算!$G$2:$G$801, 0)+1))&lt;=790,3,IF(INDEX(ERP資料!$G:$G, (MATCH(211, 輔助計算!$G$2:$G$801, 0)+1))&lt;=1181,2,1))))=0,"",IF(MOD(INDEX(輔助計算!$D:$D, (MATCH(211, 輔助計算!$G$2:$G$801, 0)+1)),IF(INDEX(ERP資料!$G:$G, (MATCH(211, 輔助計算!$G$2:$G$801, 0)+1))&lt;100, IF(INDEX(ERP資料!$G:$G, (MATCH(211, 輔助計算!$G$2:$G$801, 0)+1))&lt;=31,3,IF(INDEX(ERP資料!$G:$G, (MATCH(211, 輔助計算!$G$2:$G$801, 0)+1))&lt;=46.5,2,1)), IF(INDEX(ERP資料!$G:$G, (MATCH(211, 輔助計算!$G$2:$G$801, 0)+1))&lt;=790,3,IF(INDEX(ERP資料!$G:$G, (MATCH(211, 輔助計算!$G$2:$G$801, 0)+1))&lt;=1181,2,1))))=0,"",IF(MOD(INDEX(輔助計算!$D:$D, (MATCH(211, 輔助計算!$G$2:$G$801, 0)+1)),IF(INDEX(ERP資料!$G:$G, (MATCH(211, 輔助計算!$G$2:$G$801, 0)+1))&lt;100, IF(INDEX(ERP資料!$G:$G, (MATCH(211, 輔助計算!$G$2:$G$801, 0)+1))&lt;=31,3,IF(INDEX(ERP資料!$G:$G, (MATCH(211, 輔助計算!$G$2:$G$801, 0)+1))&lt;=46.5,2,1)), IF(INDEX(ERP資料!$G:$G, (MATCH(211, 輔助計算!$G$2:$G$801, 0)+1))&lt;=790,3,IF(INDEX(ERP資料!$G:$G, (MATCH(211, 輔助計算!$G$2:$G$801, 0)+1))&lt;=1181,2,1))))=1,TEXT(INDEX(ERP資料!$G:$G, (MATCH(211, 輔助計算!$G$2:$G$801, 0)+1)),"0.##"),IF(MOD(INDEX(輔助計算!$D:$D, (MATCH(211, 輔助計算!$G$2:$G$801, 0)+1)),IF(INDEX(ERP資料!$G:$G, (MATCH(211, 輔助計算!$G$2:$G$801, 0)+1))&lt;100, IF(INDEX(ERP資料!$G:$G, (MATCH(211, 輔助計算!$G$2:$G$801, 0)+1))&lt;=31,3,IF(INDEX(ERP資料!$G:$G, (MATCH(211, 輔助計算!$G$2:$G$801, 0)+1))&lt;=46.5,2,1)), IF(INDEX(ERP資料!$G:$G, (MATCH(211, 輔助計算!$G$2:$G$801, 0)+1))&lt;=790,3,IF(INDEX(ERP資料!$G:$G, (MATCH(211, 輔助計算!$G$2:$G$801, 0)+1))&lt;=1181,2,1))))=2,TEXT(INDEX(ERP資料!$G:$G, (MATCH(211, 輔助計算!$G$2:$G$801, 0)+1)),"0.##")&amp;"+"&amp;TEXT(INDEX(ERP資料!$G:$G, (MATCH(211, 輔助計算!$G$2:$G$801, 0)+1)),"0.##"),TEXT(INDEX(ERP資料!$G:$G, (MATCH(211, 輔助計算!$G$2:$G$801, 0)+1)),"0.##")&amp;"+"&amp;TEXT(INDEX(ERP資料!$G:$G, (MATCH(211, 輔助計算!$G$2:$G$801, 0)+1)),"0.##")&amp;"+"&amp;TEXT(INDEX(ERP資料!$G:$G, (MATCH(211, 輔助計算!$G$2:$G$801, 0)+1)),"0.##"))))&amp;"-1")&lt;&gt;""),"  ","")&amp;IF(MOD(INDEX(輔助計算!$D:$D, (MATCH(211, 輔助計算!$G$2:$G$801, 0)+1)),IF(INDEX(ERP資料!$G:$G, (MATCH(211, 輔助計算!$G$2:$G$801, 0)+1))&lt;100, IF(INDEX(ERP資料!$G:$G, (MATCH(211, 輔助計算!$G$2:$G$801, 0)+1))&lt;=31,3,IF(INDEX(ERP資料!$G:$G, (MATCH(211, 輔助計算!$G$2:$G$801, 0)+1))&lt;=46.5,2,1)), IF(INDEX(ERP資料!$G:$G, (MATCH(211, 輔助計算!$G$2:$G$801, 0)+1))&lt;=790,3,IF(INDEX(ERP資料!$G:$G, (MATCH(211, 輔助計算!$G$2:$G$801, 0)+1))&lt;=1181,2,1))))=0,"",IF(MOD(INDEX(輔助計算!$D:$D, (MATCH(211, 輔助計算!$G$2:$G$801, 0)+1)),IF(INDEX(ERP資料!$G:$G, (MATCH(211, 輔助計算!$G$2:$G$801, 0)+1))&lt;100, IF(INDEX(ERP資料!$G:$G, (MATCH(211, 輔助計算!$G$2:$G$801, 0)+1))&lt;=31,3,IF(INDEX(ERP資料!$G:$G, (MATCH(211, 輔助計算!$G$2:$G$801, 0)+1))&lt;=46.5,2,1)), IF(INDEX(ERP資料!$G:$G, (MATCH(211, 輔助計算!$G$2:$G$801, 0)+1))&lt;=790,3,IF(INDEX(ERP資料!$G:$G, (MATCH(211, 輔助計算!$G$2:$G$801, 0)+1))&lt;=1181,2,1))))=0,"",IF(MOD(INDEX(輔助計算!$D:$D, (MATCH(211, 輔助計算!$G$2:$G$801, 0)+1)),IF(INDEX(ERP資料!$G:$G, (MATCH(211, 輔助計算!$G$2:$G$801, 0)+1))&lt;100, IF(INDEX(ERP資料!$G:$G, (MATCH(211, 輔助計算!$G$2:$G$801, 0)+1))&lt;=31,3,IF(INDEX(ERP資料!$G:$G, (MATCH(211, 輔助計算!$G$2:$G$801, 0)+1))&lt;=46.5,2,1)), IF(INDEX(ERP資料!$G:$G, (MATCH(211, 輔助計算!$G$2:$G$801, 0)+1))&lt;=790,3,IF(INDEX(ERP資料!$G:$G, (MATCH(211, 輔助計算!$G$2:$G$801, 0)+1))&lt;=1181,2,1))))=1,TEXT(INDEX(ERP資料!$G:$G, (MATCH(211, 輔助計算!$G$2:$G$801, 0)+1)),"0.##"),IF(MOD(INDEX(輔助計算!$D:$D, (MATCH(211, 輔助計算!$G$2:$G$801, 0)+1)),IF(INDEX(ERP資料!$G:$G, (MATCH(211, 輔助計算!$G$2:$G$801, 0)+1))&lt;100, IF(INDEX(ERP資料!$G:$G, (MATCH(211, 輔助計算!$G$2:$G$801, 0)+1))&lt;=31,3,IF(INDEX(ERP資料!$G:$G, (MATCH(211, 輔助計算!$G$2:$G$801, 0)+1))&lt;=46.5,2,1)), IF(INDEX(ERP資料!$G:$G, (MATCH(211, 輔助計算!$G$2:$G$801, 0)+1))&lt;=790,3,IF(INDEX(ERP資料!$G:$G, (MATCH(211, 輔助計算!$G$2:$G$801, 0)+1))&lt;=1181,2,1))))=2,TEXT(INDEX(ERP資料!$G:$G, (MATCH(211, 輔助計算!$G$2:$G$801, 0)+1)),"0.##")&amp;"+"&amp;TEXT(INDEX(ERP資料!$G:$G, (MATCH(211, 輔助計算!$G$2:$G$801, 0)+1)),"0.##"),TEXT(INDEX(ERP資料!$G:$G, (MATCH(211, 輔助計算!$G$2:$G$801, 0)+1)),"0.##")&amp;"+"&amp;TEXT(INDEX(ERP資料!$G:$G, (MATCH(211, 輔助計算!$G$2:$G$801, 0)+1)),"0.##")&amp;"+"&amp;TEXT(INDEX(ERP資料!$G:$G, (MATCH(211, 輔助計算!$G$2:$G$801, 0)+1)),"0.##"))))&amp;"-1")), ""), "")</f>
        <v/>
      </c>
      <c r="K212" s="16" t="n"/>
      <c r="L212" s="14">
        <f>IFERROR(IF(AND(IFERROR(INDEX(ERP資料!$A:$A, (MATCH(211, 輔助計算!$G$2:$G$801, 0)+1)), "")&lt;&gt;"", IFERROR(INDEX(ERP資料!$A:$A, (MATCH(211, 輔助計算!$G$2:$G$801, 0)+1)), "")&lt;&gt;IFERROR(INDEX(ERP資料!$A:$A, MATCH(210, 輔助計算!$G$2:$G$801, 0)+1), "")), INDEX(ERP資料!$B:$B, (MATCH(211, 輔助計算!$G$2:$G$801, 0)+1)), ""), "")</f>
        <v/>
      </c>
      <c r="M212" s="17" t="n"/>
    </row>
    <row r="213">
      <c r="A213" s="10">
        <f>IFERROR(IF(AND(IFERROR(INDEX(ERP資料!$A:$A, (MATCH(212, 輔助計算!$G$2:$G$801, 0)+1)), "")&lt;&gt;"", IFERROR(INDEX(ERP資料!$A:$A, (MATCH(212, 輔助計算!$G$2:$G$801, 0)+1)), "")&lt;&gt;IFERROR(INDEX(ERP資料!$A:$A, MATCH(211, 輔助計算!$G$2:$G$801, 0)+1), "")), IFERROR(INDEX(ERP資料!$A:$A, (MATCH(212, 輔助計算!$G$2:$G$801, 0)+1)), ""), ""), "")</f>
        <v/>
      </c>
      <c r="B213" s="10">
        <f>IFERROR(IF(AND(IFERROR(INDEX(ERP資料!$A:$A, (MATCH(212, 輔助計算!$G$2:$G$801, 0)+1)), "")&lt;&gt;"", IFERROR(INDEX(ERP資料!$A:$A, (MATCH(212, 輔助計算!$G$2:$G$801, 0)+1)), "")&lt;&gt;IFERROR(INDEX(ERP資料!$A:$A, MATCH(211, 輔助計算!$G$2:$G$801, 0)+1), "")), INDEX(ERP資料!$S:$S, (MATCH(212, 輔助計算!$G$2:$G$801, 0)+1)), ""), "")</f>
        <v/>
      </c>
      <c r="C213" s="19">
        <f>IFERROR(IF(AND(IFERROR(INDEX(ERP資料!$A:$A, (MATCH(212, 輔助計算!$G$2:$G$801, 0)+1)), "")&lt;&gt;"", IFERROR(INDEX(ERP資料!$A:$A, (MATCH(212, 輔助計算!$G$2:$G$801, 0)+1)), "")&lt;&gt;IFERROR(INDEX(ERP資料!$A:$A, MATCH(211, 輔助計算!$G$2:$G$801, 0)+1), "")), IFERROR(VLOOKUP(LEFT(INDEX(ERP資料!$S:$S, (MATCH(212, 輔助計算!$G$2:$G$801, 0)+1)), 4), 紙管對照表!$A:$C, 3, FALSE), ""), ""), "")</f>
        <v/>
      </c>
      <c r="D213" s="16" t="n"/>
      <c r="E213" s="10">
        <f>IFERROR(IF(INDEX(ERP資料!$H:$H, (MATCH(212, 輔助計算!$G$2:$G$801, 0)+1))="","",INDEX(ERP資料!$H:$H, (MATCH(212, 輔助計算!$G$2:$G$801, 0)+1))), "")</f>
        <v/>
      </c>
      <c r="F213" s="10">
        <f>IFERROR(IF(INDEX(ERP資料!$E:$E, (MATCH(212, 輔助計算!$G$2:$G$801, 0)+1))="","",TRIM(INDEX(ERP資料!$E:$E, (MATCH(212, 輔助計算!$G$2:$G$801, 0)+1)))), "")</f>
        <v/>
      </c>
      <c r="G213" s="10">
        <f>IFERROR(IF(INDEX(ERP資料!$F:$F, (MATCH(212, 輔助計算!$G$2:$G$801, 0)+1))="","",INDEX(ERP資料!$F:$F, (MATCH(212, 輔助計算!$G$2:$G$801, 0)+1))), "")</f>
        <v/>
      </c>
      <c r="H213" s="10">
        <f>IFERROR(IF(INDEX(ERP資料!$G:$G, (MATCH(212, 輔助計算!$G$2:$G$801, 0)+1))="","",INDEX(ERP資料!$G:$G, (MATCH(212, 輔助計算!$G$2:$G$801, 0)+1))), "")</f>
        <v/>
      </c>
      <c r="I213" s="15">
        <f>IFERROR(INDEX(輔助計算!$D:$D, (MATCH(212, 輔助計算!$G$2:$G$801, 0)+1)), "")</f>
        <v/>
      </c>
      <c r="J213" s="15">
        <f>IFERROR(IF(AND(INDEX(輔助計算!$D:$D, (MATCH(212, 輔助計算!$G$2:$G$801, 0)+1))&lt;&gt;"", INDEX(ERP資料!$G:$G, (MATCH(212, 輔助計算!$G$2:$G$801, 0)+1))&lt;&gt;""), TRIM(IF(INT(INDEX(輔助計算!$D:$D, (MATCH(212, 輔助計算!$G$2:$G$801, 0)+1))/IF(INDEX(ERP資料!$G:$G, (MATCH(212, 輔助計算!$G$2:$G$801, 0)+1))&lt;100, IF(INDEX(ERP資料!$G:$G, (MATCH(212, 輔助計算!$G$2:$G$801, 0)+1))&lt;=31,3,IF(INDEX(ERP資料!$G:$G, (MATCH(212, 輔助計算!$G$2:$G$801, 0)+1))&lt;=46.5,2,1)), IF(INDEX(ERP資料!$G:$G, (MATCH(212, 輔助計算!$G$2:$G$801, 0)+1))&lt;=790,3,IF(INDEX(ERP資料!$G:$G, (MATCH(212, 輔助計算!$G$2:$G$801, 0)+1))&lt;=1181,2,1))))&gt;0, IF(IF(INDEX(ERP資料!$G:$G, (MATCH(212, 輔助計算!$G$2:$G$801, 0)+1))&lt;100, IF(INDEX(ERP資料!$G:$G, (MATCH(212, 輔助計算!$G$2:$G$801, 0)+1))&lt;=31,3,IF(INDEX(ERP資料!$G:$G, (MATCH(212, 輔助計算!$G$2:$G$801, 0)+1))&lt;=46.5,2,1)), IF(INDEX(ERP資料!$G:$G, (MATCH(212, 輔助計算!$G$2:$G$801, 0)+1))&lt;=790,3,IF(INDEX(ERP資料!$G:$G, (MATCH(212, 輔助計算!$G$2:$G$801, 0)+1))&lt;=1181,2,1)))=1,TEXT(INDEX(ERP資料!$G:$G, (MATCH(212, 輔助計算!$G$2:$G$801, 0)+1)),"0.##"),IF(IF(INDEX(ERP資料!$G:$G, (MATCH(212, 輔助計算!$G$2:$G$801, 0)+1))&lt;100, IF(INDEX(ERP資料!$G:$G, (MATCH(212, 輔助計算!$G$2:$G$801, 0)+1))&lt;=31,3,IF(INDEX(ERP資料!$G:$G, (MATCH(212, 輔助計算!$G$2:$G$801, 0)+1))&lt;=46.5,2,1)), IF(INDEX(ERP資料!$G:$G, (MATCH(212, 輔助計算!$G$2:$G$801, 0)+1))&lt;=790,3,IF(INDEX(ERP資料!$G:$G, (MATCH(212, 輔助計算!$G$2:$G$801, 0)+1))&lt;=1181,2,1)))=2,TEXT(INDEX(ERP資料!$G:$G, (MATCH(212, 輔助計算!$G$2:$G$801, 0)+1)),"0.##")&amp;"+"&amp;TEXT(INDEX(ERP資料!$G:$G, (MATCH(212, 輔助計算!$G$2:$G$801, 0)+1)),"0.##"),TEXT(INDEX(ERP資料!$G:$G, (MATCH(212, 輔助計算!$G$2:$G$801, 0)+1)),"0.##")&amp;"+"&amp;TEXT(INDEX(ERP資料!$G:$G, (MATCH(212, 輔助計算!$G$2:$G$801, 0)+1)),"0.##")&amp;"+"&amp;TEXT(INDEX(ERP資料!$G:$G, (MATCH(212, 輔助計算!$G$2:$G$801, 0)+1)),"0.##")))&amp;"-"&amp;INT(INDEX(輔助計算!$D:$D, (MATCH(212, 輔助計算!$G$2:$G$801, 0)+1))/IF(INDEX(ERP資料!$G:$G, (MATCH(212, 輔助計算!$G$2:$G$801, 0)+1))&lt;100, IF(INDEX(ERP資料!$G:$G, (MATCH(212, 輔助計算!$G$2:$G$801, 0)+1))&lt;=31,3,IF(INDEX(ERP資料!$G:$G, (MATCH(212, 輔助計算!$G$2:$G$801, 0)+1))&lt;=46.5,2,1)), IF(INDEX(ERP資料!$G:$G, (MATCH(212, 輔助計算!$G$2:$G$801, 0)+1))&lt;=790,3,IF(INDEX(ERP資料!$G:$G, (MATCH(212, 輔助計算!$G$2:$G$801, 0)+1))&lt;=1181,2,1)))), "")&amp;IF(AND(IF(INT(INDEX(輔助計算!$D:$D, (MATCH(212, 輔助計算!$G$2:$G$801, 0)+1))/IF(INDEX(ERP資料!$G:$G, (MATCH(212, 輔助計算!$G$2:$G$801, 0)+1))&lt;100, IF(INDEX(ERP資料!$G:$G, (MATCH(212, 輔助計算!$G$2:$G$801, 0)+1))&lt;=31,3,IF(INDEX(ERP資料!$G:$G, (MATCH(212, 輔助計算!$G$2:$G$801, 0)+1))&lt;=46.5,2,1)), IF(INDEX(ERP資料!$G:$G, (MATCH(212, 輔助計算!$G$2:$G$801, 0)+1))&lt;=790,3,IF(INDEX(ERP資料!$G:$G, (MATCH(212, 輔助計算!$G$2:$G$801, 0)+1))&lt;=1181,2,1))))&gt;0, IF(IF(INDEX(ERP資料!$G:$G, (MATCH(212, 輔助計算!$G$2:$G$801, 0)+1))&lt;100, IF(INDEX(ERP資料!$G:$G, (MATCH(212, 輔助計算!$G$2:$G$801, 0)+1))&lt;=31,3,IF(INDEX(ERP資料!$G:$G, (MATCH(212, 輔助計算!$G$2:$G$801, 0)+1))&lt;=46.5,2,1)), IF(INDEX(ERP資料!$G:$G, (MATCH(212, 輔助計算!$G$2:$G$801, 0)+1))&lt;=790,3,IF(INDEX(ERP資料!$G:$G, (MATCH(212, 輔助計算!$G$2:$G$801, 0)+1))&lt;=1181,2,1)))=1,TEXT(INDEX(ERP資料!$G:$G, (MATCH(212, 輔助計算!$G$2:$G$801, 0)+1)),"0.##"),IF(IF(INDEX(ERP資料!$G:$G, (MATCH(212, 輔助計算!$G$2:$G$801, 0)+1))&lt;100, IF(INDEX(ERP資料!$G:$G, (MATCH(212, 輔助計算!$G$2:$G$801, 0)+1))&lt;=31,3,IF(INDEX(ERP資料!$G:$G, (MATCH(212, 輔助計算!$G$2:$G$801, 0)+1))&lt;=46.5,2,1)), IF(INDEX(ERP資料!$G:$G, (MATCH(212, 輔助計算!$G$2:$G$801, 0)+1))&lt;=790,3,IF(INDEX(ERP資料!$G:$G, (MATCH(212, 輔助計算!$G$2:$G$801, 0)+1))&lt;=1181,2,1)))=2,TEXT(INDEX(ERP資料!$G:$G, (MATCH(212, 輔助計算!$G$2:$G$801, 0)+1)),"0.##")&amp;"+"&amp;TEXT(INDEX(ERP資料!$G:$G, (MATCH(212, 輔助計算!$G$2:$G$801, 0)+1)),"0.##"),TEXT(INDEX(ERP資料!$G:$G, (MATCH(212, 輔助計算!$G$2:$G$801, 0)+1)),"0.##")&amp;"+"&amp;TEXT(INDEX(ERP資料!$G:$G, (MATCH(212, 輔助計算!$G$2:$G$801, 0)+1)),"0.##")&amp;"+"&amp;TEXT(INDEX(ERP資料!$G:$G, (MATCH(212, 輔助計算!$G$2:$G$801, 0)+1)),"0.##")))&amp;"-"&amp;INT(INDEX(輔助計算!$D:$D, (MATCH(212, 輔助計算!$G$2:$G$801, 0)+1))/IF(INDEX(ERP資料!$G:$G, (MATCH(212, 輔助計算!$G$2:$G$801, 0)+1))&lt;100, IF(INDEX(ERP資料!$G:$G, (MATCH(212, 輔助計算!$G$2:$G$801, 0)+1))&lt;=31,3,IF(INDEX(ERP資料!$G:$G, (MATCH(212, 輔助計算!$G$2:$G$801, 0)+1))&lt;=46.5,2,1)), IF(INDEX(ERP資料!$G:$G, (MATCH(212, 輔助計算!$G$2:$G$801, 0)+1))&lt;=790,3,IF(INDEX(ERP資料!$G:$G, (MATCH(212, 輔助計算!$G$2:$G$801, 0)+1))&lt;=1181,2,1)))), "")&lt;&gt;"",IF(MOD(INDEX(輔助計算!$D:$D, (MATCH(212, 輔助計算!$G$2:$G$801, 0)+1)),IF(INDEX(ERP資料!$G:$G, (MATCH(212, 輔助計算!$G$2:$G$801, 0)+1))&lt;100, IF(INDEX(ERP資料!$G:$G, (MATCH(212, 輔助計算!$G$2:$G$801, 0)+1))&lt;=31,3,IF(INDEX(ERP資料!$G:$G, (MATCH(212, 輔助計算!$G$2:$G$801, 0)+1))&lt;=46.5,2,1)), IF(INDEX(ERP資料!$G:$G, (MATCH(212, 輔助計算!$G$2:$G$801, 0)+1))&lt;=790,3,IF(INDEX(ERP資料!$G:$G, (MATCH(212, 輔助計算!$G$2:$G$801, 0)+1))&lt;=1181,2,1))))=0,"",IF(MOD(INDEX(輔助計算!$D:$D, (MATCH(212, 輔助計算!$G$2:$G$801, 0)+1)),IF(INDEX(ERP資料!$G:$G, (MATCH(212, 輔助計算!$G$2:$G$801, 0)+1))&lt;100, IF(INDEX(ERP資料!$G:$G, (MATCH(212, 輔助計算!$G$2:$G$801, 0)+1))&lt;=31,3,IF(INDEX(ERP資料!$G:$G, (MATCH(212, 輔助計算!$G$2:$G$801, 0)+1))&lt;=46.5,2,1)), IF(INDEX(ERP資料!$G:$G, (MATCH(212, 輔助計算!$G$2:$G$801, 0)+1))&lt;=790,3,IF(INDEX(ERP資料!$G:$G, (MATCH(212, 輔助計算!$G$2:$G$801, 0)+1))&lt;=1181,2,1))))=0,"",IF(MOD(INDEX(輔助計算!$D:$D, (MATCH(212, 輔助計算!$G$2:$G$801, 0)+1)),IF(INDEX(ERP資料!$G:$G, (MATCH(212, 輔助計算!$G$2:$G$801, 0)+1))&lt;100, IF(INDEX(ERP資料!$G:$G, (MATCH(212, 輔助計算!$G$2:$G$801, 0)+1))&lt;=31,3,IF(INDEX(ERP資料!$G:$G, (MATCH(212, 輔助計算!$G$2:$G$801, 0)+1))&lt;=46.5,2,1)), IF(INDEX(ERP資料!$G:$G, (MATCH(212, 輔助計算!$G$2:$G$801, 0)+1))&lt;=790,3,IF(INDEX(ERP資料!$G:$G, (MATCH(212, 輔助計算!$G$2:$G$801, 0)+1))&lt;=1181,2,1))))=1,TEXT(INDEX(ERP資料!$G:$G, (MATCH(212, 輔助計算!$G$2:$G$801, 0)+1)),"0.##"),IF(MOD(INDEX(輔助計算!$D:$D, (MATCH(212, 輔助計算!$G$2:$G$801, 0)+1)),IF(INDEX(ERP資料!$G:$G, (MATCH(212, 輔助計算!$G$2:$G$801, 0)+1))&lt;100, IF(INDEX(ERP資料!$G:$G, (MATCH(212, 輔助計算!$G$2:$G$801, 0)+1))&lt;=31,3,IF(INDEX(ERP資料!$G:$G, (MATCH(212, 輔助計算!$G$2:$G$801, 0)+1))&lt;=46.5,2,1)), IF(INDEX(ERP資料!$G:$G, (MATCH(212, 輔助計算!$G$2:$G$801, 0)+1))&lt;=790,3,IF(INDEX(ERP資料!$G:$G, (MATCH(212, 輔助計算!$G$2:$G$801, 0)+1))&lt;=1181,2,1))))=2,TEXT(INDEX(ERP資料!$G:$G, (MATCH(212, 輔助計算!$G$2:$G$801, 0)+1)),"0.##")&amp;"+"&amp;TEXT(INDEX(ERP資料!$G:$G, (MATCH(212, 輔助計算!$G$2:$G$801, 0)+1)),"0.##"),TEXT(INDEX(ERP資料!$G:$G, (MATCH(212, 輔助計算!$G$2:$G$801, 0)+1)),"0.##")&amp;"+"&amp;TEXT(INDEX(ERP資料!$G:$G, (MATCH(212, 輔助計算!$G$2:$G$801, 0)+1)),"0.##")&amp;"+"&amp;TEXT(INDEX(ERP資料!$G:$G, (MATCH(212, 輔助計算!$G$2:$G$801, 0)+1)),"0.##"))))&amp;"-1")&lt;&gt;""),"  ","")&amp;IF(MOD(INDEX(輔助計算!$D:$D, (MATCH(212, 輔助計算!$G$2:$G$801, 0)+1)),IF(INDEX(ERP資料!$G:$G, (MATCH(212, 輔助計算!$G$2:$G$801, 0)+1))&lt;100, IF(INDEX(ERP資料!$G:$G, (MATCH(212, 輔助計算!$G$2:$G$801, 0)+1))&lt;=31,3,IF(INDEX(ERP資料!$G:$G, (MATCH(212, 輔助計算!$G$2:$G$801, 0)+1))&lt;=46.5,2,1)), IF(INDEX(ERP資料!$G:$G, (MATCH(212, 輔助計算!$G$2:$G$801, 0)+1))&lt;=790,3,IF(INDEX(ERP資料!$G:$G, (MATCH(212, 輔助計算!$G$2:$G$801, 0)+1))&lt;=1181,2,1))))=0,"",IF(MOD(INDEX(輔助計算!$D:$D, (MATCH(212, 輔助計算!$G$2:$G$801, 0)+1)),IF(INDEX(ERP資料!$G:$G, (MATCH(212, 輔助計算!$G$2:$G$801, 0)+1))&lt;100, IF(INDEX(ERP資料!$G:$G, (MATCH(212, 輔助計算!$G$2:$G$801, 0)+1))&lt;=31,3,IF(INDEX(ERP資料!$G:$G, (MATCH(212, 輔助計算!$G$2:$G$801, 0)+1))&lt;=46.5,2,1)), IF(INDEX(ERP資料!$G:$G, (MATCH(212, 輔助計算!$G$2:$G$801, 0)+1))&lt;=790,3,IF(INDEX(ERP資料!$G:$G, (MATCH(212, 輔助計算!$G$2:$G$801, 0)+1))&lt;=1181,2,1))))=0,"",IF(MOD(INDEX(輔助計算!$D:$D, (MATCH(212, 輔助計算!$G$2:$G$801, 0)+1)),IF(INDEX(ERP資料!$G:$G, (MATCH(212, 輔助計算!$G$2:$G$801, 0)+1))&lt;100, IF(INDEX(ERP資料!$G:$G, (MATCH(212, 輔助計算!$G$2:$G$801, 0)+1))&lt;=31,3,IF(INDEX(ERP資料!$G:$G, (MATCH(212, 輔助計算!$G$2:$G$801, 0)+1))&lt;=46.5,2,1)), IF(INDEX(ERP資料!$G:$G, (MATCH(212, 輔助計算!$G$2:$G$801, 0)+1))&lt;=790,3,IF(INDEX(ERP資料!$G:$G, (MATCH(212, 輔助計算!$G$2:$G$801, 0)+1))&lt;=1181,2,1))))=1,TEXT(INDEX(ERP資料!$G:$G, (MATCH(212, 輔助計算!$G$2:$G$801, 0)+1)),"0.##"),IF(MOD(INDEX(輔助計算!$D:$D, (MATCH(212, 輔助計算!$G$2:$G$801, 0)+1)),IF(INDEX(ERP資料!$G:$G, (MATCH(212, 輔助計算!$G$2:$G$801, 0)+1))&lt;100, IF(INDEX(ERP資料!$G:$G, (MATCH(212, 輔助計算!$G$2:$G$801, 0)+1))&lt;=31,3,IF(INDEX(ERP資料!$G:$G, (MATCH(212, 輔助計算!$G$2:$G$801, 0)+1))&lt;=46.5,2,1)), IF(INDEX(ERP資料!$G:$G, (MATCH(212, 輔助計算!$G$2:$G$801, 0)+1))&lt;=790,3,IF(INDEX(ERP資料!$G:$G, (MATCH(212, 輔助計算!$G$2:$G$801, 0)+1))&lt;=1181,2,1))))=2,TEXT(INDEX(ERP資料!$G:$G, (MATCH(212, 輔助計算!$G$2:$G$801, 0)+1)),"0.##")&amp;"+"&amp;TEXT(INDEX(ERP資料!$G:$G, (MATCH(212, 輔助計算!$G$2:$G$801, 0)+1)),"0.##"),TEXT(INDEX(ERP資料!$G:$G, (MATCH(212, 輔助計算!$G$2:$G$801, 0)+1)),"0.##")&amp;"+"&amp;TEXT(INDEX(ERP資料!$G:$G, (MATCH(212, 輔助計算!$G$2:$G$801, 0)+1)),"0.##")&amp;"+"&amp;TEXT(INDEX(ERP資料!$G:$G, (MATCH(212, 輔助計算!$G$2:$G$801, 0)+1)),"0.##"))))&amp;"-1")), ""), "")</f>
        <v/>
      </c>
      <c r="K213" s="16" t="n"/>
      <c r="L213" s="14">
        <f>IFERROR(IF(AND(IFERROR(INDEX(ERP資料!$A:$A, (MATCH(212, 輔助計算!$G$2:$G$801, 0)+1)), "")&lt;&gt;"", IFERROR(INDEX(ERP資料!$A:$A, (MATCH(212, 輔助計算!$G$2:$G$801, 0)+1)), "")&lt;&gt;IFERROR(INDEX(ERP資料!$A:$A, MATCH(211, 輔助計算!$G$2:$G$801, 0)+1), "")), INDEX(ERP資料!$B:$B, (MATCH(212, 輔助計算!$G$2:$G$801, 0)+1)), ""), "")</f>
        <v/>
      </c>
      <c r="M213" s="17" t="n"/>
    </row>
    <row r="214">
      <c r="A214" s="10">
        <f>IFERROR(IF(AND(IFERROR(INDEX(ERP資料!$A:$A, (MATCH(213, 輔助計算!$G$2:$G$801, 0)+1)), "")&lt;&gt;"", IFERROR(INDEX(ERP資料!$A:$A, (MATCH(213, 輔助計算!$G$2:$G$801, 0)+1)), "")&lt;&gt;IFERROR(INDEX(ERP資料!$A:$A, MATCH(212, 輔助計算!$G$2:$G$801, 0)+1), "")), IFERROR(INDEX(ERP資料!$A:$A, (MATCH(213, 輔助計算!$G$2:$G$801, 0)+1)), ""), ""), "")</f>
        <v/>
      </c>
      <c r="B214" s="10">
        <f>IFERROR(IF(AND(IFERROR(INDEX(ERP資料!$A:$A, (MATCH(213, 輔助計算!$G$2:$G$801, 0)+1)), "")&lt;&gt;"", IFERROR(INDEX(ERP資料!$A:$A, (MATCH(213, 輔助計算!$G$2:$G$801, 0)+1)), "")&lt;&gt;IFERROR(INDEX(ERP資料!$A:$A, MATCH(212, 輔助計算!$G$2:$G$801, 0)+1), "")), INDEX(ERP資料!$S:$S, (MATCH(213, 輔助計算!$G$2:$G$801, 0)+1)), ""), "")</f>
        <v/>
      </c>
      <c r="C214" s="19">
        <f>IFERROR(IF(AND(IFERROR(INDEX(ERP資料!$A:$A, (MATCH(213, 輔助計算!$G$2:$G$801, 0)+1)), "")&lt;&gt;"", IFERROR(INDEX(ERP資料!$A:$A, (MATCH(213, 輔助計算!$G$2:$G$801, 0)+1)), "")&lt;&gt;IFERROR(INDEX(ERP資料!$A:$A, MATCH(212, 輔助計算!$G$2:$G$801, 0)+1), "")), IFERROR(VLOOKUP(LEFT(INDEX(ERP資料!$S:$S, (MATCH(213, 輔助計算!$G$2:$G$801, 0)+1)), 4), 紙管對照表!$A:$C, 3, FALSE), ""), ""), "")</f>
        <v/>
      </c>
      <c r="D214" s="16" t="n"/>
      <c r="E214" s="10">
        <f>IFERROR(IF(INDEX(ERP資料!$H:$H, (MATCH(213, 輔助計算!$G$2:$G$801, 0)+1))="","",INDEX(ERP資料!$H:$H, (MATCH(213, 輔助計算!$G$2:$G$801, 0)+1))), "")</f>
        <v/>
      </c>
      <c r="F214" s="10">
        <f>IFERROR(IF(INDEX(ERP資料!$E:$E, (MATCH(213, 輔助計算!$G$2:$G$801, 0)+1))="","",TRIM(INDEX(ERP資料!$E:$E, (MATCH(213, 輔助計算!$G$2:$G$801, 0)+1)))), "")</f>
        <v/>
      </c>
      <c r="G214" s="10">
        <f>IFERROR(IF(INDEX(ERP資料!$F:$F, (MATCH(213, 輔助計算!$G$2:$G$801, 0)+1))="","",INDEX(ERP資料!$F:$F, (MATCH(213, 輔助計算!$G$2:$G$801, 0)+1))), "")</f>
        <v/>
      </c>
      <c r="H214" s="10">
        <f>IFERROR(IF(INDEX(ERP資料!$G:$G, (MATCH(213, 輔助計算!$G$2:$G$801, 0)+1))="","",INDEX(ERP資料!$G:$G, (MATCH(213, 輔助計算!$G$2:$G$801, 0)+1))), "")</f>
        <v/>
      </c>
      <c r="I214" s="15">
        <f>IFERROR(INDEX(輔助計算!$D:$D, (MATCH(213, 輔助計算!$G$2:$G$801, 0)+1)), "")</f>
        <v/>
      </c>
      <c r="J214" s="15">
        <f>IFERROR(IF(AND(INDEX(輔助計算!$D:$D, (MATCH(213, 輔助計算!$G$2:$G$801, 0)+1))&lt;&gt;"", INDEX(ERP資料!$G:$G, (MATCH(213, 輔助計算!$G$2:$G$801, 0)+1))&lt;&gt;""), TRIM(IF(INT(INDEX(輔助計算!$D:$D, (MATCH(213, 輔助計算!$G$2:$G$801, 0)+1))/IF(INDEX(ERP資料!$G:$G, (MATCH(213, 輔助計算!$G$2:$G$801, 0)+1))&lt;100, IF(INDEX(ERP資料!$G:$G, (MATCH(213, 輔助計算!$G$2:$G$801, 0)+1))&lt;=31,3,IF(INDEX(ERP資料!$G:$G, (MATCH(213, 輔助計算!$G$2:$G$801, 0)+1))&lt;=46.5,2,1)), IF(INDEX(ERP資料!$G:$G, (MATCH(213, 輔助計算!$G$2:$G$801, 0)+1))&lt;=790,3,IF(INDEX(ERP資料!$G:$G, (MATCH(213, 輔助計算!$G$2:$G$801, 0)+1))&lt;=1181,2,1))))&gt;0, IF(IF(INDEX(ERP資料!$G:$G, (MATCH(213, 輔助計算!$G$2:$G$801, 0)+1))&lt;100, IF(INDEX(ERP資料!$G:$G, (MATCH(213, 輔助計算!$G$2:$G$801, 0)+1))&lt;=31,3,IF(INDEX(ERP資料!$G:$G, (MATCH(213, 輔助計算!$G$2:$G$801, 0)+1))&lt;=46.5,2,1)), IF(INDEX(ERP資料!$G:$G, (MATCH(213, 輔助計算!$G$2:$G$801, 0)+1))&lt;=790,3,IF(INDEX(ERP資料!$G:$G, (MATCH(213, 輔助計算!$G$2:$G$801, 0)+1))&lt;=1181,2,1)))=1,TEXT(INDEX(ERP資料!$G:$G, (MATCH(213, 輔助計算!$G$2:$G$801, 0)+1)),"0.##"),IF(IF(INDEX(ERP資料!$G:$G, (MATCH(213, 輔助計算!$G$2:$G$801, 0)+1))&lt;100, IF(INDEX(ERP資料!$G:$G, (MATCH(213, 輔助計算!$G$2:$G$801, 0)+1))&lt;=31,3,IF(INDEX(ERP資料!$G:$G, (MATCH(213, 輔助計算!$G$2:$G$801, 0)+1))&lt;=46.5,2,1)), IF(INDEX(ERP資料!$G:$G, (MATCH(213, 輔助計算!$G$2:$G$801, 0)+1))&lt;=790,3,IF(INDEX(ERP資料!$G:$G, (MATCH(213, 輔助計算!$G$2:$G$801, 0)+1))&lt;=1181,2,1)))=2,TEXT(INDEX(ERP資料!$G:$G, (MATCH(213, 輔助計算!$G$2:$G$801, 0)+1)),"0.##")&amp;"+"&amp;TEXT(INDEX(ERP資料!$G:$G, (MATCH(213, 輔助計算!$G$2:$G$801, 0)+1)),"0.##"),TEXT(INDEX(ERP資料!$G:$G, (MATCH(213, 輔助計算!$G$2:$G$801, 0)+1)),"0.##")&amp;"+"&amp;TEXT(INDEX(ERP資料!$G:$G, (MATCH(213, 輔助計算!$G$2:$G$801, 0)+1)),"0.##")&amp;"+"&amp;TEXT(INDEX(ERP資料!$G:$G, (MATCH(213, 輔助計算!$G$2:$G$801, 0)+1)),"0.##")))&amp;"-"&amp;INT(INDEX(輔助計算!$D:$D, (MATCH(213, 輔助計算!$G$2:$G$801, 0)+1))/IF(INDEX(ERP資料!$G:$G, (MATCH(213, 輔助計算!$G$2:$G$801, 0)+1))&lt;100, IF(INDEX(ERP資料!$G:$G, (MATCH(213, 輔助計算!$G$2:$G$801, 0)+1))&lt;=31,3,IF(INDEX(ERP資料!$G:$G, (MATCH(213, 輔助計算!$G$2:$G$801, 0)+1))&lt;=46.5,2,1)), IF(INDEX(ERP資料!$G:$G, (MATCH(213, 輔助計算!$G$2:$G$801, 0)+1))&lt;=790,3,IF(INDEX(ERP資料!$G:$G, (MATCH(213, 輔助計算!$G$2:$G$801, 0)+1))&lt;=1181,2,1)))), "")&amp;IF(AND(IF(INT(INDEX(輔助計算!$D:$D, (MATCH(213, 輔助計算!$G$2:$G$801, 0)+1))/IF(INDEX(ERP資料!$G:$G, (MATCH(213, 輔助計算!$G$2:$G$801, 0)+1))&lt;100, IF(INDEX(ERP資料!$G:$G, (MATCH(213, 輔助計算!$G$2:$G$801, 0)+1))&lt;=31,3,IF(INDEX(ERP資料!$G:$G, (MATCH(213, 輔助計算!$G$2:$G$801, 0)+1))&lt;=46.5,2,1)), IF(INDEX(ERP資料!$G:$G, (MATCH(213, 輔助計算!$G$2:$G$801, 0)+1))&lt;=790,3,IF(INDEX(ERP資料!$G:$G, (MATCH(213, 輔助計算!$G$2:$G$801, 0)+1))&lt;=1181,2,1))))&gt;0, IF(IF(INDEX(ERP資料!$G:$G, (MATCH(213, 輔助計算!$G$2:$G$801, 0)+1))&lt;100, IF(INDEX(ERP資料!$G:$G, (MATCH(213, 輔助計算!$G$2:$G$801, 0)+1))&lt;=31,3,IF(INDEX(ERP資料!$G:$G, (MATCH(213, 輔助計算!$G$2:$G$801, 0)+1))&lt;=46.5,2,1)), IF(INDEX(ERP資料!$G:$G, (MATCH(213, 輔助計算!$G$2:$G$801, 0)+1))&lt;=790,3,IF(INDEX(ERP資料!$G:$G, (MATCH(213, 輔助計算!$G$2:$G$801, 0)+1))&lt;=1181,2,1)))=1,TEXT(INDEX(ERP資料!$G:$G, (MATCH(213, 輔助計算!$G$2:$G$801, 0)+1)),"0.##"),IF(IF(INDEX(ERP資料!$G:$G, (MATCH(213, 輔助計算!$G$2:$G$801, 0)+1))&lt;100, IF(INDEX(ERP資料!$G:$G, (MATCH(213, 輔助計算!$G$2:$G$801, 0)+1))&lt;=31,3,IF(INDEX(ERP資料!$G:$G, (MATCH(213, 輔助計算!$G$2:$G$801, 0)+1))&lt;=46.5,2,1)), IF(INDEX(ERP資料!$G:$G, (MATCH(213, 輔助計算!$G$2:$G$801, 0)+1))&lt;=790,3,IF(INDEX(ERP資料!$G:$G, (MATCH(213, 輔助計算!$G$2:$G$801, 0)+1))&lt;=1181,2,1)))=2,TEXT(INDEX(ERP資料!$G:$G, (MATCH(213, 輔助計算!$G$2:$G$801, 0)+1)),"0.##")&amp;"+"&amp;TEXT(INDEX(ERP資料!$G:$G, (MATCH(213, 輔助計算!$G$2:$G$801, 0)+1)),"0.##"),TEXT(INDEX(ERP資料!$G:$G, (MATCH(213, 輔助計算!$G$2:$G$801, 0)+1)),"0.##")&amp;"+"&amp;TEXT(INDEX(ERP資料!$G:$G, (MATCH(213, 輔助計算!$G$2:$G$801, 0)+1)),"0.##")&amp;"+"&amp;TEXT(INDEX(ERP資料!$G:$G, (MATCH(213, 輔助計算!$G$2:$G$801, 0)+1)),"0.##")))&amp;"-"&amp;INT(INDEX(輔助計算!$D:$D, (MATCH(213, 輔助計算!$G$2:$G$801, 0)+1))/IF(INDEX(ERP資料!$G:$G, (MATCH(213, 輔助計算!$G$2:$G$801, 0)+1))&lt;100, IF(INDEX(ERP資料!$G:$G, (MATCH(213, 輔助計算!$G$2:$G$801, 0)+1))&lt;=31,3,IF(INDEX(ERP資料!$G:$G, (MATCH(213, 輔助計算!$G$2:$G$801, 0)+1))&lt;=46.5,2,1)), IF(INDEX(ERP資料!$G:$G, (MATCH(213, 輔助計算!$G$2:$G$801, 0)+1))&lt;=790,3,IF(INDEX(ERP資料!$G:$G, (MATCH(213, 輔助計算!$G$2:$G$801, 0)+1))&lt;=1181,2,1)))), "")&lt;&gt;"",IF(MOD(INDEX(輔助計算!$D:$D, (MATCH(213, 輔助計算!$G$2:$G$801, 0)+1)),IF(INDEX(ERP資料!$G:$G, (MATCH(213, 輔助計算!$G$2:$G$801, 0)+1))&lt;100, IF(INDEX(ERP資料!$G:$G, (MATCH(213, 輔助計算!$G$2:$G$801, 0)+1))&lt;=31,3,IF(INDEX(ERP資料!$G:$G, (MATCH(213, 輔助計算!$G$2:$G$801, 0)+1))&lt;=46.5,2,1)), IF(INDEX(ERP資料!$G:$G, (MATCH(213, 輔助計算!$G$2:$G$801, 0)+1))&lt;=790,3,IF(INDEX(ERP資料!$G:$G, (MATCH(213, 輔助計算!$G$2:$G$801, 0)+1))&lt;=1181,2,1))))=0,"",IF(MOD(INDEX(輔助計算!$D:$D, (MATCH(213, 輔助計算!$G$2:$G$801, 0)+1)),IF(INDEX(ERP資料!$G:$G, (MATCH(213, 輔助計算!$G$2:$G$801, 0)+1))&lt;100, IF(INDEX(ERP資料!$G:$G, (MATCH(213, 輔助計算!$G$2:$G$801, 0)+1))&lt;=31,3,IF(INDEX(ERP資料!$G:$G, (MATCH(213, 輔助計算!$G$2:$G$801, 0)+1))&lt;=46.5,2,1)), IF(INDEX(ERP資料!$G:$G, (MATCH(213, 輔助計算!$G$2:$G$801, 0)+1))&lt;=790,3,IF(INDEX(ERP資料!$G:$G, (MATCH(213, 輔助計算!$G$2:$G$801, 0)+1))&lt;=1181,2,1))))=0,"",IF(MOD(INDEX(輔助計算!$D:$D, (MATCH(213, 輔助計算!$G$2:$G$801, 0)+1)),IF(INDEX(ERP資料!$G:$G, (MATCH(213, 輔助計算!$G$2:$G$801, 0)+1))&lt;100, IF(INDEX(ERP資料!$G:$G, (MATCH(213, 輔助計算!$G$2:$G$801, 0)+1))&lt;=31,3,IF(INDEX(ERP資料!$G:$G, (MATCH(213, 輔助計算!$G$2:$G$801, 0)+1))&lt;=46.5,2,1)), IF(INDEX(ERP資料!$G:$G, (MATCH(213, 輔助計算!$G$2:$G$801, 0)+1))&lt;=790,3,IF(INDEX(ERP資料!$G:$G, (MATCH(213, 輔助計算!$G$2:$G$801, 0)+1))&lt;=1181,2,1))))=1,TEXT(INDEX(ERP資料!$G:$G, (MATCH(213, 輔助計算!$G$2:$G$801, 0)+1)),"0.##"),IF(MOD(INDEX(輔助計算!$D:$D, (MATCH(213, 輔助計算!$G$2:$G$801, 0)+1)),IF(INDEX(ERP資料!$G:$G, (MATCH(213, 輔助計算!$G$2:$G$801, 0)+1))&lt;100, IF(INDEX(ERP資料!$G:$G, (MATCH(213, 輔助計算!$G$2:$G$801, 0)+1))&lt;=31,3,IF(INDEX(ERP資料!$G:$G, (MATCH(213, 輔助計算!$G$2:$G$801, 0)+1))&lt;=46.5,2,1)), IF(INDEX(ERP資料!$G:$G, (MATCH(213, 輔助計算!$G$2:$G$801, 0)+1))&lt;=790,3,IF(INDEX(ERP資料!$G:$G, (MATCH(213, 輔助計算!$G$2:$G$801, 0)+1))&lt;=1181,2,1))))=2,TEXT(INDEX(ERP資料!$G:$G, (MATCH(213, 輔助計算!$G$2:$G$801, 0)+1)),"0.##")&amp;"+"&amp;TEXT(INDEX(ERP資料!$G:$G, (MATCH(213, 輔助計算!$G$2:$G$801, 0)+1)),"0.##"),TEXT(INDEX(ERP資料!$G:$G, (MATCH(213, 輔助計算!$G$2:$G$801, 0)+1)),"0.##")&amp;"+"&amp;TEXT(INDEX(ERP資料!$G:$G, (MATCH(213, 輔助計算!$G$2:$G$801, 0)+1)),"0.##")&amp;"+"&amp;TEXT(INDEX(ERP資料!$G:$G, (MATCH(213, 輔助計算!$G$2:$G$801, 0)+1)),"0.##"))))&amp;"-1")&lt;&gt;""),"  ","")&amp;IF(MOD(INDEX(輔助計算!$D:$D, (MATCH(213, 輔助計算!$G$2:$G$801, 0)+1)),IF(INDEX(ERP資料!$G:$G, (MATCH(213, 輔助計算!$G$2:$G$801, 0)+1))&lt;100, IF(INDEX(ERP資料!$G:$G, (MATCH(213, 輔助計算!$G$2:$G$801, 0)+1))&lt;=31,3,IF(INDEX(ERP資料!$G:$G, (MATCH(213, 輔助計算!$G$2:$G$801, 0)+1))&lt;=46.5,2,1)), IF(INDEX(ERP資料!$G:$G, (MATCH(213, 輔助計算!$G$2:$G$801, 0)+1))&lt;=790,3,IF(INDEX(ERP資料!$G:$G, (MATCH(213, 輔助計算!$G$2:$G$801, 0)+1))&lt;=1181,2,1))))=0,"",IF(MOD(INDEX(輔助計算!$D:$D, (MATCH(213, 輔助計算!$G$2:$G$801, 0)+1)),IF(INDEX(ERP資料!$G:$G, (MATCH(213, 輔助計算!$G$2:$G$801, 0)+1))&lt;100, IF(INDEX(ERP資料!$G:$G, (MATCH(213, 輔助計算!$G$2:$G$801, 0)+1))&lt;=31,3,IF(INDEX(ERP資料!$G:$G, (MATCH(213, 輔助計算!$G$2:$G$801, 0)+1))&lt;=46.5,2,1)), IF(INDEX(ERP資料!$G:$G, (MATCH(213, 輔助計算!$G$2:$G$801, 0)+1))&lt;=790,3,IF(INDEX(ERP資料!$G:$G, (MATCH(213, 輔助計算!$G$2:$G$801, 0)+1))&lt;=1181,2,1))))=0,"",IF(MOD(INDEX(輔助計算!$D:$D, (MATCH(213, 輔助計算!$G$2:$G$801, 0)+1)),IF(INDEX(ERP資料!$G:$G, (MATCH(213, 輔助計算!$G$2:$G$801, 0)+1))&lt;100, IF(INDEX(ERP資料!$G:$G, (MATCH(213, 輔助計算!$G$2:$G$801, 0)+1))&lt;=31,3,IF(INDEX(ERP資料!$G:$G, (MATCH(213, 輔助計算!$G$2:$G$801, 0)+1))&lt;=46.5,2,1)), IF(INDEX(ERP資料!$G:$G, (MATCH(213, 輔助計算!$G$2:$G$801, 0)+1))&lt;=790,3,IF(INDEX(ERP資料!$G:$G, (MATCH(213, 輔助計算!$G$2:$G$801, 0)+1))&lt;=1181,2,1))))=1,TEXT(INDEX(ERP資料!$G:$G, (MATCH(213, 輔助計算!$G$2:$G$801, 0)+1)),"0.##"),IF(MOD(INDEX(輔助計算!$D:$D, (MATCH(213, 輔助計算!$G$2:$G$801, 0)+1)),IF(INDEX(ERP資料!$G:$G, (MATCH(213, 輔助計算!$G$2:$G$801, 0)+1))&lt;100, IF(INDEX(ERP資料!$G:$G, (MATCH(213, 輔助計算!$G$2:$G$801, 0)+1))&lt;=31,3,IF(INDEX(ERP資料!$G:$G, (MATCH(213, 輔助計算!$G$2:$G$801, 0)+1))&lt;=46.5,2,1)), IF(INDEX(ERP資料!$G:$G, (MATCH(213, 輔助計算!$G$2:$G$801, 0)+1))&lt;=790,3,IF(INDEX(ERP資料!$G:$G, (MATCH(213, 輔助計算!$G$2:$G$801, 0)+1))&lt;=1181,2,1))))=2,TEXT(INDEX(ERP資料!$G:$G, (MATCH(213, 輔助計算!$G$2:$G$801, 0)+1)),"0.##")&amp;"+"&amp;TEXT(INDEX(ERP資料!$G:$G, (MATCH(213, 輔助計算!$G$2:$G$801, 0)+1)),"0.##"),TEXT(INDEX(ERP資料!$G:$G, (MATCH(213, 輔助計算!$G$2:$G$801, 0)+1)),"0.##")&amp;"+"&amp;TEXT(INDEX(ERP資料!$G:$G, (MATCH(213, 輔助計算!$G$2:$G$801, 0)+1)),"0.##")&amp;"+"&amp;TEXT(INDEX(ERP資料!$G:$G, (MATCH(213, 輔助計算!$G$2:$G$801, 0)+1)),"0.##"))))&amp;"-1")), ""), "")</f>
        <v/>
      </c>
      <c r="K214" s="16" t="n"/>
      <c r="L214" s="14">
        <f>IFERROR(IF(AND(IFERROR(INDEX(ERP資料!$A:$A, (MATCH(213, 輔助計算!$G$2:$G$801, 0)+1)), "")&lt;&gt;"", IFERROR(INDEX(ERP資料!$A:$A, (MATCH(213, 輔助計算!$G$2:$G$801, 0)+1)), "")&lt;&gt;IFERROR(INDEX(ERP資料!$A:$A, MATCH(212, 輔助計算!$G$2:$G$801, 0)+1), "")), INDEX(ERP資料!$B:$B, (MATCH(213, 輔助計算!$G$2:$G$801, 0)+1)), ""), "")</f>
        <v/>
      </c>
      <c r="M214" s="17" t="n"/>
    </row>
    <row r="215">
      <c r="A215" s="10">
        <f>IFERROR(IF(AND(IFERROR(INDEX(ERP資料!$A:$A, (MATCH(214, 輔助計算!$G$2:$G$801, 0)+1)), "")&lt;&gt;"", IFERROR(INDEX(ERP資料!$A:$A, (MATCH(214, 輔助計算!$G$2:$G$801, 0)+1)), "")&lt;&gt;IFERROR(INDEX(ERP資料!$A:$A, MATCH(213, 輔助計算!$G$2:$G$801, 0)+1), "")), IFERROR(INDEX(ERP資料!$A:$A, (MATCH(214, 輔助計算!$G$2:$G$801, 0)+1)), ""), ""), "")</f>
        <v/>
      </c>
      <c r="B215" s="10">
        <f>IFERROR(IF(AND(IFERROR(INDEX(ERP資料!$A:$A, (MATCH(214, 輔助計算!$G$2:$G$801, 0)+1)), "")&lt;&gt;"", IFERROR(INDEX(ERP資料!$A:$A, (MATCH(214, 輔助計算!$G$2:$G$801, 0)+1)), "")&lt;&gt;IFERROR(INDEX(ERP資料!$A:$A, MATCH(213, 輔助計算!$G$2:$G$801, 0)+1), "")), INDEX(ERP資料!$S:$S, (MATCH(214, 輔助計算!$G$2:$G$801, 0)+1)), ""), "")</f>
        <v/>
      </c>
      <c r="C215" s="19">
        <f>IFERROR(IF(AND(IFERROR(INDEX(ERP資料!$A:$A, (MATCH(214, 輔助計算!$G$2:$G$801, 0)+1)), "")&lt;&gt;"", IFERROR(INDEX(ERP資料!$A:$A, (MATCH(214, 輔助計算!$G$2:$G$801, 0)+1)), "")&lt;&gt;IFERROR(INDEX(ERP資料!$A:$A, MATCH(213, 輔助計算!$G$2:$G$801, 0)+1), "")), IFERROR(VLOOKUP(LEFT(INDEX(ERP資料!$S:$S, (MATCH(214, 輔助計算!$G$2:$G$801, 0)+1)), 4), 紙管對照表!$A:$C, 3, FALSE), ""), ""), "")</f>
        <v/>
      </c>
      <c r="D215" s="16" t="n"/>
      <c r="E215" s="10">
        <f>IFERROR(IF(INDEX(ERP資料!$H:$H, (MATCH(214, 輔助計算!$G$2:$G$801, 0)+1))="","",INDEX(ERP資料!$H:$H, (MATCH(214, 輔助計算!$G$2:$G$801, 0)+1))), "")</f>
        <v/>
      </c>
      <c r="F215" s="10">
        <f>IFERROR(IF(INDEX(ERP資料!$E:$E, (MATCH(214, 輔助計算!$G$2:$G$801, 0)+1))="","",TRIM(INDEX(ERP資料!$E:$E, (MATCH(214, 輔助計算!$G$2:$G$801, 0)+1)))), "")</f>
        <v/>
      </c>
      <c r="G215" s="10">
        <f>IFERROR(IF(INDEX(ERP資料!$F:$F, (MATCH(214, 輔助計算!$G$2:$G$801, 0)+1))="","",INDEX(ERP資料!$F:$F, (MATCH(214, 輔助計算!$G$2:$G$801, 0)+1))), "")</f>
        <v/>
      </c>
      <c r="H215" s="10">
        <f>IFERROR(IF(INDEX(ERP資料!$G:$G, (MATCH(214, 輔助計算!$G$2:$G$801, 0)+1))="","",INDEX(ERP資料!$G:$G, (MATCH(214, 輔助計算!$G$2:$G$801, 0)+1))), "")</f>
        <v/>
      </c>
      <c r="I215" s="15">
        <f>IFERROR(INDEX(輔助計算!$D:$D, (MATCH(214, 輔助計算!$G$2:$G$801, 0)+1)), "")</f>
        <v/>
      </c>
      <c r="J215" s="15">
        <f>IFERROR(IF(AND(INDEX(輔助計算!$D:$D, (MATCH(214, 輔助計算!$G$2:$G$801, 0)+1))&lt;&gt;"", INDEX(ERP資料!$G:$G, (MATCH(214, 輔助計算!$G$2:$G$801, 0)+1))&lt;&gt;""), TRIM(IF(INT(INDEX(輔助計算!$D:$D, (MATCH(214, 輔助計算!$G$2:$G$801, 0)+1))/IF(INDEX(ERP資料!$G:$G, (MATCH(214, 輔助計算!$G$2:$G$801, 0)+1))&lt;100, IF(INDEX(ERP資料!$G:$G, (MATCH(214, 輔助計算!$G$2:$G$801, 0)+1))&lt;=31,3,IF(INDEX(ERP資料!$G:$G, (MATCH(214, 輔助計算!$G$2:$G$801, 0)+1))&lt;=46.5,2,1)), IF(INDEX(ERP資料!$G:$G, (MATCH(214, 輔助計算!$G$2:$G$801, 0)+1))&lt;=790,3,IF(INDEX(ERP資料!$G:$G, (MATCH(214, 輔助計算!$G$2:$G$801, 0)+1))&lt;=1181,2,1))))&gt;0, IF(IF(INDEX(ERP資料!$G:$G, (MATCH(214, 輔助計算!$G$2:$G$801, 0)+1))&lt;100, IF(INDEX(ERP資料!$G:$G, (MATCH(214, 輔助計算!$G$2:$G$801, 0)+1))&lt;=31,3,IF(INDEX(ERP資料!$G:$G, (MATCH(214, 輔助計算!$G$2:$G$801, 0)+1))&lt;=46.5,2,1)), IF(INDEX(ERP資料!$G:$G, (MATCH(214, 輔助計算!$G$2:$G$801, 0)+1))&lt;=790,3,IF(INDEX(ERP資料!$G:$G, (MATCH(214, 輔助計算!$G$2:$G$801, 0)+1))&lt;=1181,2,1)))=1,TEXT(INDEX(ERP資料!$G:$G, (MATCH(214, 輔助計算!$G$2:$G$801, 0)+1)),"0.##"),IF(IF(INDEX(ERP資料!$G:$G, (MATCH(214, 輔助計算!$G$2:$G$801, 0)+1))&lt;100, IF(INDEX(ERP資料!$G:$G, (MATCH(214, 輔助計算!$G$2:$G$801, 0)+1))&lt;=31,3,IF(INDEX(ERP資料!$G:$G, (MATCH(214, 輔助計算!$G$2:$G$801, 0)+1))&lt;=46.5,2,1)), IF(INDEX(ERP資料!$G:$G, (MATCH(214, 輔助計算!$G$2:$G$801, 0)+1))&lt;=790,3,IF(INDEX(ERP資料!$G:$G, (MATCH(214, 輔助計算!$G$2:$G$801, 0)+1))&lt;=1181,2,1)))=2,TEXT(INDEX(ERP資料!$G:$G, (MATCH(214, 輔助計算!$G$2:$G$801, 0)+1)),"0.##")&amp;"+"&amp;TEXT(INDEX(ERP資料!$G:$G, (MATCH(214, 輔助計算!$G$2:$G$801, 0)+1)),"0.##"),TEXT(INDEX(ERP資料!$G:$G, (MATCH(214, 輔助計算!$G$2:$G$801, 0)+1)),"0.##")&amp;"+"&amp;TEXT(INDEX(ERP資料!$G:$G, (MATCH(214, 輔助計算!$G$2:$G$801, 0)+1)),"0.##")&amp;"+"&amp;TEXT(INDEX(ERP資料!$G:$G, (MATCH(214, 輔助計算!$G$2:$G$801, 0)+1)),"0.##")))&amp;"-"&amp;INT(INDEX(輔助計算!$D:$D, (MATCH(214, 輔助計算!$G$2:$G$801, 0)+1))/IF(INDEX(ERP資料!$G:$G, (MATCH(214, 輔助計算!$G$2:$G$801, 0)+1))&lt;100, IF(INDEX(ERP資料!$G:$G, (MATCH(214, 輔助計算!$G$2:$G$801, 0)+1))&lt;=31,3,IF(INDEX(ERP資料!$G:$G, (MATCH(214, 輔助計算!$G$2:$G$801, 0)+1))&lt;=46.5,2,1)), IF(INDEX(ERP資料!$G:$G, (MATCH(214, 輔助計算!$G$2:$G$801, 0)+1))&lt;=790,3,IF(INDEX(ERP資料!$G:$G, (MATCH(214, 輔助計算!$G$2:$G$801, 0)+1))&lt;=1181,2,1)))), "")&amp;IF(AND(IF(INT(INDEX(輔助計算!$D:$D, (MATCH(214, 輔助計算!$G$2:$G$801, 0)+1))/IF(INDEX(ERP資料!$G:$G, (MATCH(214, 輔助計算!$G$2:$G$801, 0)+1))&lt;100, IF(INDEX(ERP資料!$G:$G, (MATCH(214, 輔助計算!$G$2:$G$801, 0)+1))&lt;=31,3,IF(INDEX(ERP資料!$G:$G, (MATCH(214, 輔助計算!$G$2:$G$801, 0)+1))&lt;=46.5,2,1)), IF(INDEX(ERP資料!$G:$G, (MATCH(214, 輔助計算!$G$2:$G$801, 0)+1))&lt;=790,3,IF(INDEX(ERP資料!$G:$G, (MATCH(214, 輔助計算!$G$2:$G$801, 0)+1))&lt;=1181,2,1))))&gt;0, IF(IF(INDEX(ERP資料!$G:$G, (MATCH(214, 輔助計算!$G$2:$G$801, 0)+1))&lt;100, IF(INDEX(ERP資料!$G:$G, (MATCH(214, 輔助計算!$G$2:$G$801, 0)+1))&lt;=31,3,IF(INDEX(ERP資料!$G:$G, (MATCH(214, 輔助計算!$G$2:$G$801, 0)+1))&lt;=46.5,2,1)), IF(INDEX(ERP資料!$G:$G, (MATCH(214, 輔助計算!$G$2:$G$801, 0)+1))&lt;=790,3,IF(INDEX(ERP資料!$G:$G, (MATCH(214, 輔助計算!$G$2:$G$801, 0)+1))&lt;=1181,2,1)))=1,TEXT(INDEX(ERP資料!$G:$G, (MATCH(214, 輔助計算!$G$2:$G$801, 0)+1)),"0.##"),IF(IF(INDEX(ERP資料!$G:$G, (MATCH(214, 輔助計算!$G$2:$G$801, 0)+1))&lt;100, IF(INDEX(ERP資料!$G:$G, (MATCH(214, 輔助計算!$G$2:$G$801, 0)+1))&lt;=31,3,IF(INDEX(ERP資料!$G:$G, (MATCH(214, 輔助計算!$G$2:$G$801, 0)+1))&lt;=46.5,2,1)), IF(INDEX(ERP資料!$G:$G, (MATCH(214, 輔助計算!$G$2:$G$801, 0)+1))&lt;=790,3,IF(INDEX(ERP資料!$G:$G, (MATCH(214, 輔助計算!$G$2:$G$801, 0)+1))&lt;=1181,2,1)))=2,TEXT(INDEX(ERP資料!$G:$G, (MATCH(214, 輔助計算!$G$2:$G$801, 0)+1)),"0.##")&amp;"+"&amp;TEXT(INDEX(ERP資料!$G:$G, (MATCH(214, 輔助計算!$G$2:$G$801, 0)+1)),"0.##"),TEXT(INDEX(ERP資料!$G:$G, (MATCH(214, 輔助計算!$G$2:$G$801, 0)+1)),"0.##")&amp;"+"&amp;TEXT(INDEX(ERP資料!$G:$G, (MATCH(214, 輔助計算!$G$2:$G$801, 0)+1)),"0.##")&amp;"+"&amp;TEXT(INDEX(ERP資料!$G:$G, (MATCH(214, 輔助計算!$G$2:$G$801, 0)+1)),"0.##")))&amp;"-"&amp;INT(INDEX(輔助計算!$D:$D, (MATCH(214, 輔助計算!$G$2:$G$801, 0)+1))/IF(INDEX(ERP資料!$G:$G, (MATCH(214, 輔助計算!$G$2:$G$801, 0)+1))&lt;100, IF(INDEX(ERP資料!$G:$G, (MATCH(214, 輔助計算!$G$2:$G$801, 0)+1))&lt;=31,3,IF(INDEX(ERP資料!$G:$G, (MATCH(214, 輔助計算!$G$2:$G$801, 0)+1))&lt;=46.5,2,1)), IF(INDEX(ERP資料!$G:$G, (MATCH(214, 輔助計算!$G$2:$G$801, 0)+1))&lt;=790,3,IF(INDEX(ERP資料!$G:$G, (MATCH(214, 輔助計算!$G$2:$G$801, 0)+1))&lt;=1181,2,1)))), "")&lt;&gt;"",IF(MOD(INDEX(輔助計算!$D:$D, (MATCH(214, 輔助計算!$G$2:$G$801, 0)+1)),IF(INDEX(ERP資料!$G:$G, (MATCH(214, 輔助計算!$G$2:$G$801, 0)+1))&lt;100, IF(INDEX(ERP資料!$G:$G, (MATCH(214, 輔助計算!$G$2:$G$801, 0)+1))&lt;=31,3,IF(INDEX(ERP資料!$G:$G, (MATCH(214, 輔助計算!$G$2:$G$801, 0)+1))&lt;=46.5,2,1)), IF(INDEX(ERP資料!$G:$G, (MATCH(214, 輔助計算!$G$2:$G$801, 0)+1))&lt;=790,3,IF(INDEX(ERP資料!$G:$G, (MATCH(214, 輔助計算!$G$2:$G$801, 0)+1))&lt;=1181,2,1))))=0,"",IF(MOD(INDEX(輔助計算!$D:$D, (MATCH(214, 輔助計算!$G$2:$G$801, 0)+1)),IF(INDEX(ERP資料!$G:$G, (MATCH(214, 輔助計算!$G$2:$G$801, 0)+1))&lt;100, IF(INDEX(ERP資料!$G:$G, (MATCH(214, 輔助計算!$G$2:$G$801, 0)+1))&lt;=31,3,IF(INDEX(ERP資料!$G:$G, (MATCH(214, 輔助計算!$G$2:$G$801, 0)+1))&lt;=46.5,2,1)), IF(INDEX(ERP資料!$G:$G, (MATCH(214, 輔助計算!$G$2:$G$801, 0)+1))&lt;=790,3,IF(INDEX(ERP資料!$G:$G, (MATCH(214, 輔助計算!$G$2:$G$801, 0)+1))&lt;=1181,2,1))))=0,"",IF(MOD(INDEX(輔助計算!$D:$D, (MATCH(214, 輔助計算!$G$2:$G$801, 0)+1)),IF(INDEX(ERP資料!$G:$G, (MATCH(214, 輔助計算!$G$2:$G$801, 0)+1))&lt;100, IF(INDEX(ERP資料!$G:$G, (MATCH(214, 輔助計算!$G$2:$G$801, 0)+1))&lt;=31,3,IF(INDEX(ERP資料!$G:$G, (MATCH(214, 輔助計算!$G$2:$G$801, 0)+1))&lt;=46.5,2,1)), IF(INDEX(ERP資料!$G:$G, (MATCH(214, 輔助計算!$G$2:$G$801, 0)+1))&lt;=790,3,IF(INDEX(ERP資料!$G:$G, (MATCH(214, 輔助計算!$G$2:$G$801, 0)+1))&lt;=1181,2,1))))=1,TEXT(INDEX(ERP資料!$G:$G, (MATCH(214, 輔助計算!$G$2:$G$801, 0)+1)),"0.##"),IF(MOD(INDEX(輔助計算!$D:$D, (MATCH(214, 輔助計算!$G$2:$G$801, 0)+1)),IF(INDEX(ERP資料!$G:$G, (MATCH(214, 輔助計算!$G$2:$G$801, 0)+1))&lt;100, IF(INDEX(ERP資料!$G:$G, (MATCH(214, 輔助計算!$G$2:$G$801, 0)+1))&lt;=31,3,IF(INDEX(ERP資料!$G:$G, (MATCH(214, 輔助計算!$G$2:$G$801, 0)+1))&lt;=46.5,2,1)), IF(INDEX(ERP資料!$G:$G, (MATCH(214, 輔助計算!$G$2:$G$801, 0)+1))&lt;=790,3,IF(INDEX(ERP資料!$G:$G, (MATCH(214, 輔助計算!$G$2:$G$801, 0)+1))&lt;=1181,2,1))))=2,TEXT(INDEX(ERP資料!$G:$G, (MATCH(214, 輔助計算!$G$2:$G$801, 0)+1)),"0.##")&amp;"+"&amp;TEXT(INDEX(ERP資料!$G:$G, (MATCH(214, 輔助計算!$G$2:$G$801, 0)+1)),"0.##"),TEXT(INDEX(ERP資料!$G:$G, (MATCH(214, 輔助計算!$G$2:$G$801, 0)+1)),"0.##")&amp;"+"&amp;TEXT(INDEX(ERP資料!$G:$G, (MATCH(214, 輔助計算!$G$2:$G$801, 0)+1)),"0.##")&amp;"+"&amp;TEXT(INDEX(ERP資料!$G:$G, (MATCH(214, 輔助計算!$G$2:$G$801, 0)+1)),"0.##"))))&amp;"-1")&lt;&gt;""),"  ","")&amp;IF(MOD(INDEX(輔助計算!$D:$D, (MATCH(214, 輔助計算!$G$2:$G$801, 0)+1)),IF(INDEX(ERP資料!$G:$G, (MATCH(214, 輔助計算!$G$2:$G$801, 0)+1))&lt;100, IF(INDEX(ERP資料!$G:$G, (MATCH(214, 輔助計算!$G$2:$G$801, 0)+1))&lt;=31,3,IF(INDEX(ERP資料!$G:$G, (MATCH(214, 輔助計算!$G$2:$G$801, 0)+1))&lt;=46.5,2,1)), IF(INDEX(ERP資料!$G:$G, (MATCH(214, 輔助計算!$G$2:$G$801, 0)+1))&lt;=790,3,IF(INDEX(ERP資料!$G:$G, (MATCH(214, 輔助計算!$G$2:$G$801, 0)+1))&lt;=1181,2,1))))=0,"",IF(MOD(INDEX(輔助計算!$D:$D, (MATCH(214, 輔助計算!$G$2:$G$801, 0)+1)),IF(INDEX(ERP資料!$G:$G, (MATCH(214, 輔助計算!$G$2:$G$801, 0)+1))&lt;100, IF(INDEX(ERP資料!$G:$G, (MATCH(214, 輔助計算!$G$2:$G$801, 0)+1))&lt;=31,3,IF(INDEX(ERP資料!$G:$G, (MATCH(214, 輔助計算!$G$2:$G$801, 0)+1))&lt;=46.5,2,1)), IF(INDEX(ERP資料!$G:$G, (MATCH(214, 輔助計算!$G$2:$G$801, 0)+1))&lt;=790,3,IF(INDEX(ERP資料!$G:$G, (MATCH(214, 輔助計算!$G$2:$G$801, 0)+1))&lt;=1181,2,1))))=0,"",IF(MOD(INDEX(輔助計算!$D:$D, (MATCH(214, 輔助計算!$G$2:$G$801, 0)+1)),IF(INDEX(ERP資料!$G:$G, (MATCH(214, 輔助計算!$G$2:$G$801, 0)+1))&lt;100, IF(INDEX(ERP資料!$G:$G, (MATCH(214, 輔助計算!$G$2:$G$801, 0)+1))&lt;=31,3,IF(INDEX(ERP資料!$G:$G, (MATCH(214, 輔助計算!$G$2:$G$801, 0)+1))&lt;=46.5,2,1)), IF(INDEX(ERP資料!$G:$G, (MATCH(214, 輔助計算!$G$2:$G$801, 0)+1))&lt;=790,3,IF(INDEX(ERP資料!$G:$G, (MATCH(214, 輔助計算!$G$2:$G$801, 0)+1))&lt;=1181,2,1))))=1,TEXT(INDEX(ERP資料!$G:$G, (MATCH(214, 輔助計算!$G$2:$G$801, 0)+1)),"0.##"),IF(MOD(INDEX(輔助計算!$D:$D, (MATCH(214, 輔助計算!$G$2:$G$801, 0)+1)),IF(INDEX(ERP資料!$G:$G, (MATCH(214, 輔助計算!$G$2:$G$801, 0)+1))&lt;100, IF(INDEX(ERP資料!$G:$G, (MATCH(214, 輔助計算!$G$2:$G$801, 0)+1))&lt;=31,3,IF(INDEX(ERP資料!$G:$G, (MATCH(214, 輔助計算!$G$2:$G$801, 0)+1))&lt;=46.5,2,1)), IF(INDEX(ERP資料!$G:$G, (MATCH(214, 輔助計算!$G$2:$G$801, 0)+1))&lt;=790,3,IF(INDEX(ERP資料!$G:$G, (MATCH(214, 輔助計算!$G$2:$G$801, 0)+1))&lt;=1181,2,1))))=2,TEXT(INDEX(ERP資料!$G:$G, (MATCH(214, 輔助計算!$G$2:$G$801, 0)+1)),"0.##")&amp;"+"&amp;TEXT(INDEX(ERP資料!$G:$G, (MATCH(214, 輔助計算!$G$2:$G$801, 0)+1)),"0.##"),TEXT(INDEX(ERP資料!$G:$G, (MATCH(214, 輔助計算!$G$2:$G$801, 0)+1)),"0.##")&amp;"+"&amp;TEXT(INDEX(ERP資料!$G:$G, (MATCH(214, 輔助計算!$G$2:$G$801, 0)+1)),"0.##")&amp;"+"&amp;TEXT(INDEX(ERP資料!$G:$G, (MATCH(214, 輔助計算!$G$2:$G$801, 0)+1)),"0.##"))))&amp;"-1")), ""), "")</f>
        <v/>
      </c>
      <c r="K215" s="16" t="n"/>
      <c r="L215" s="14">
        <f>IFERROR(IF(AND(IFERROR(INDEX(ERP資料!$A:$A, (MATCH(214, 輔助計算!$G$2:$G$801, 0)+1)), "")&lt;&gt;"", IFERROR(INDEX(ERP資料!$A:$A, (MATCH(214, 輔助計算!$G$2:$G$801, 0)+1)), "")&lt;&gt;IFERROR(INDEX(ERP資料!$A:$A, MATCH(213, 輔助計算!$G$2:$G$801, 0)+1), "")), INDEX(ERP資料!$B:$B, (MATCH(214, 輔助計算!$G$2:$G$801, 0)+1)), ""), "")</f>
        <v/>
      </c>
      <c r="M215" s="17" t="n"/>
    </row>
    <row r="216">
      <c r="A216" s="10">
        <f>IFERROR(IF(AND(IFERROR(INDEX(ERP資料!$A:$A, (MATCH(215, 輔助計算!$G$2:$G$801, 0)+1)), "")&lt;&gt;"", IFERROR(INDEX(ERP資料!$A:$A, (MATCH(215, 輔助計算!$G$2:$G$801, 0)+1)), "")&lt;&gt;IFERROR(INDEX(ERP資料!$A:$A, MATCH(214, 輔助計算!$G$2:$G$801, 0)+1), "")), IFERROR(INDEX(ERP資料!$A:$A, (MATCH(215, 輔助計算!$G$2:$G$801, 0)+1)), ""), ""), "")</f>
        <v/>
      </c>
      <c r="B216" s="10">
        <f>IFERROR(IF(AND(IFERROR(INDEX(ERP資料!$A:$A, (MATCH(215, 輔助計算!$G$2:$G$801, 0)+1)), "")&lt;&gt;"", IFERROR(INDEX(ERP資料!$A:$A, (MATCH(215, 輔助計算!$G$2:$G$801, 0)+1)), "")&lt;&gt;IFERROR(INDEX(ERP資料!$A:$A, MATCH(214, 輔助計算!$G$2:$G$801, 0)+1), "")), INDEX(ERP資料!$S:$S, (MATCH(215, 輔助計算!$G$2:$G$801, 0)+1)), ""), "")</f>
        <v/>
      </c>
      <c r="C216" s="19">
        <f>IFERROR(IF(AND(IFERROR(INDEX(ERP資料!$A:$A, (MATCH(215, 輔助計算!$G$2:$G$801, 0)+1)), "")&lt;&gt;"", IFERROR(INDEX(ERP資料!$A:$A, (MATCH(215, 輔助計算!$G$2:$G$801, 0)+1)), "")&lt;&gt;IFERROR(INDEX(ERP資料!$A:$A, MATCH(214, 輔助計算!$G$2:$G$801, 0)+1), "")), IFERROR(VLOOKUP(LEFT(INDEX(ERP資料!$S:$S, (MATCH(215, 輔助計算!$G$2:$G$801, 0)+1)), 4), 紙管對照表!$A:$C, 3, FALSE), ""), ""), "")</f>
        <v/>
      </c>
      <c r="D216" s="16" t="n"/>
      <c r="E216" s="10">
        <f>IFERROR(IF(INDEX(ERP資料!$H:$H, (MATCH(215, 輔助計算!$G$2:$G$801, 0)+1))="","",INDEX(ERP資料!$H:$H, (MATCH(215, 輔助計算!$G$2:$G$801, 0)+1))), "")</f>
        <v/>
      </c>
      <c r="F216" s="10">
        <f>IFERROR(IF(INDEX(ERP資料!$E:$E, (MATCH(215, 輔助計算!$G$2:$G$801, 0)+1))="","",TRIM(INDEX(ERP資料!$E:$E, (MATCH(215, 輔助計算!$G$2:$G$801, 0)+1)))), "")</f>
        <v/>
      </c>
      <c r="G216" s="10">
        <f>IFERROR(IF(INDEX(ERP資料!$F:$F, (MATCH(215, 輔助計算!$G$2:$G$801, 0)+1))="","",INDEX(ERP資料!$F:$F, (MATCH(215, 輔助計算!$G$2:$G$801, 0)+1))), "")</f>
        <v/>
      </c>
      <c r="H216" s="10">
        <f>IFERROR(IF(INDEX(ERP資料!$G:$G, (MATCH(215, 輔助計算!$G$2:$G$801, 0)+1))="","",INDEX(ERP資料!$G:$G, (MATCH(215, 輔助計算!$G$2:$G$801, 0)+1))), "")</f>
        <v/>
      </c>
      <c r="I216" s="15">
        <f>IFERROR(INDEX(輔助計算!$D:$D, (MATCH(215, 輔助計算!$G$2:$G$801, 0)+1)), "")</f>
        <v/>
      </c>
      <c r="J216" s="15">
        <f>IFERROR(IF(AND(INDEX(輔助計算!$D:$D, (MATCH(215, 輔助計算!$G$2:$G$801, 0)+1))&lt;&gt;"", INDEX(ERP資料!$G:$G, (MATCH(215, 輔助計算!$G$2:$G$801, 0)+1))&lt;&gt;""), TRIM(IF(INT(INDEX(輔助計算!$D:$D, (MATCH(215, 輔助計算!$G$2:$G$801, 0)+1))/IF(INDEX(ERP資料!$G:$G, (MATCH(215, 輔助計算!$G$2:$G$801, 0)+1))&lt;100, IF(INDEX(ERP資料!$G:$G, (MATCH(215, 輔助計算!$G$2:$G$801, 0)+1))&lt;=31,3,IF(INDEX(ERP資料!$G:$G, (MATCH(215, 輔助計算!$G$2:$G$801, 0)+1))&lt;=46.5,2,1)), IF(INDEX(ERP資料!$G:$G, (MATCH(215, 輔助計算!$G$2:$G$801, 0)+1))&lt;=790,3,IF(INDEX(ERP資料!$G:$G, (MATCH(215, 輔助計算!$G$2:$G$801, 0)+1))&lt;=1181,2,1))))&gt;0, IF(IF(INDEX(ERP資料!$G:$G, (MATCH(215, 輔助計算!$G$2:$G$801, 0)+1))&lt;100, IF(INDEX(ERP資料!$G:$G, (MATCH(215, 輔助計算!$G$2:$G$801, 0)+1))&lt;=31,3,IF(INDEX(ERP資料!$G:$G, (MATCH(215, 輔助計算!$G$2:$G$801, 0)+1))&lt;=46.5,2,1)), IF(INDEX(ERP資料!$G:$G, (MATCH(215, 輔助計算!$G$2:$G$801, 0)+1))&lt;=790,3,IF(INDEX(ERP資料!$G:$G, (MATCH(215, 輔助計算!$G$2:$G$801, 0)+1))&lt;=1181,2,1)))=1,TEXT(INDEX(ERP資料!$G:$G, (MATCH(215, 輔助計算!$G$2:$G$801, 0)+1)),"0.##"),IF(IF(INDEX(ERP資料!$G:$G, (MATCH(215, 輔助計算!$G$2:$G$801, 0)+1))&lt;100, IF(INDEX(ERP資料!$G:$G, (MATCH(215, 輔助計算!$G$2:$G$801, 0)+1))&lt;=31,3,IF(INDEX(ERP資料!$G:$G, (MATCH(215, 輔助計算!$G$2:$G$801, 0)+1))&lt;=46.5,2,1)), IF(INDEX(ERP資料!$G:$G, (MATCH(215, 輔助計算!$G$2:$G$801, 0)+1))&lt;=790,3,IF(INDEX(ERP資料!$G:$G, (MATCH(215, 輔助計算!$G$2:$G$801, 0)+1))&lt;=1181,2,1)))=2,TEXT(INDEX(ERP資料!$G:$G, (MATCH(215, 輔助計算!$G$2:$G$801, 0)+1)),"0.##")&amp;"+"&amp;TEXT(INDEX(ERP資料!$G:$G, (MATCH(215, 輔助計算!$G$2:$G$801, 0)+1)),"0.##"),TEXT(INDEX(ERP資料!$G:$G, (MATCH(215, 輔助計算!$G$2:$G$801, 0)+1)),"0.##")&amp;"+"&amp;TEXT(INDEX(ERP資料!$G:$G, (MATCH(215, 輔助計算!$G$2:$G$801, 0)+1)),"0.##")&amp;"+"&amp;TEXT(INDEX(ERP資料!$G:$G, (MATCH(215, 輔助計算!$G$2:$G$801, 0)+1)),"0.##")))&amp;"-"&amp;INT(INDEX(輔助計算!$D:$D, (MATCH(215, 輔助計算!$G$2:$G$801, 0)+1))/IF(INDEX(ERP資料!$G:$G, (MATCH(215, 輔助計算!$G$2:$G$801, 0)+1))&lt;100, IF(INDEX(ERP資料!$G:$G, (MATCH(215, 輔助計算!$G$2:$G$801, 0)+1))&lt;=31,3,IF(INDEX(ERP資料!$G:$G, (MATCH(215, 輔助計算!$G$2:$G$801, 0)+1))&lt;=46.5,2,1)), IF(INDEX(ERP資料!$G:$G, (MATCH(215, 輔助計算!$G$2:$G$801, 0)+1))&lt;=790,3,IF(INDEX(ERP資料!$G:$G, (MATCH(215, 輔助計算!$G$2:$G$801, 0)+1))&lt;=1181,2,1)))), "")&amp;IF(AND(IF(INT(INDEX(輔助計算!$D:$D, (MATCH(215, 輔助計算!$G$2:$G$801, 0)+1))/IF(INDEX(ERP資料!$G:$G, (MATCH(215, 輔助計算!$G$2:$G$801, 0)+1))&lt;100, IF(INDEX(ERP資料!$G:$G, (MATCH(215, 輔助計算!$G$2:$G$801, 0)+1))&lt;=31,3,IF(INDEX(ERP資料!$G:$G, (MATCH(215, 輔助計算!$G$2:$G$801, 0)+1))&lt;=46.5,2,1)), IF(INDEX(ERP資料!$G:$G, (MATCH(215, 輔助計算!$G$2:$G$801, 0)+1))&lt;=790,3,IF(INDEX(ERP資料!$G:$G, (MATCH(215, 輔助計算!$G$2:$G$801, 0)+1))&lt;=1181,2,1))))&gt;0, IF(IF(INDEX(ERP資料!$G:$G, (MATCH(215, 輔助計算!$G$2:$G$801, 0)+1))&lt;100, IF(INDEX(ERP資料!$G:$G, (MATCH(215, 輔助計算!$G$2:$G$801, 0)+1))&lt;=31,3,IF(INDEX(ERP資料!$G:$G, (MATCH(215, 輔助計算!$G$2:$G$801, 0)+1))&lt;=46.5,2,1)), IF(INDEX(ERP資料!$G:$G, (MATCH(215, 輔助計算!$G$2:$G$801, 0)+1))&lt;=790,3,IF(INDEX(ERP資料!$G:$G, (MATCH(215, 輔助計算!$G$2:$G$801, 0)+1))&lt;=1181,2,1)))=1,TEXT(INDEX(ERP資料!$G:$G, (MATCH(215, 輔助計算!$G$2:$G$801, 0)+1)),"0.##"),IF(IF(INDEX(ERP資料!$G:$G, (MATCH(215, 輔助計算!$G$2:$G$801, 0)+1))&lt;100, IF(INDEX(ERP資料!$G:$G, (MATCH(215, 輔助計算!$G$2:$G$801, 0)+1))&lt;=31,3,IF(INDEX(ERP資料!$G:$G, (MATCH(215, 輔助計算!$G$2:$G$801, 0)+1))&lt;=46.5,2,1)), IF(INDEX(ERP資料!$G:$G, (MATCH(215, 輔助計算!$G$2:$G$801, 0)+1))&lt;=790,3,IF(INDEX(ERP資料!$G:$G, (MATCH(215, 輔助計算!$G$2:$G$801, 0)+1))&lt;=1181,2,1)))=2,TEXT(INDEX(ERP資料!$G:$G, (MATCH(215, 輔助計算!$G$2:$G$801, 0)+1)),"0.##")&amp;"+"&amp;TEXT(INDEX(ERP資料!$G:$G, (MATCH(215, 輔助計算!$G$2:$G$801, 0)+1)),"0.##"),TEXT(INDEX(ERP資料!$G:$G, (MATCH(215, 輔助計算!$G$2:$G$801, 0)+1)),"0.##")&amp;"+"&amp;TEXT(INDEX(ERP資料!$G:$G, (MATCH(215, 輔助計算!$G$2:$G$801, 0)+1)),"0.##")&amp;"+"&amp;TEXT(INDEX(ERP資料!$G:$G, (MATCH(215, 輔助計算!$G$2:$G$801, 0)+1)),"0.##")))&amp;"-"&amp;INT(INDEX(輔助計算!$D:$D, (MATCH(215, 輔助計算!$G$2:$G$801, 0)+1))/IF(INDEX(ERP資料!$G:$G, (MATCH(215, 輔助計算!$G$2:$G$801, 0)+1))&lt;100, IF(INDEX(ERP資料!$G:$G, (MATCH(215, 輔助計算!$G$2:$G$801, 0)+1))&lt;=31,3,IF(INDEX(ERP資料!$G:$G, (MATCH(215, 輔助計算!$G$2:$G$801, 0)+1))&lt;=46.5,2,1)), IF(INDEX(ERP資料!$G:$G, (MATCH(215, 輔助計算!$G$2:$G$801, 0)+1))&lt;=790,3,IF(INDEX(ERP資料!$G:$G, (MATCH(215, 輔助計算!$G$2:$G$801, 0)+1))&lt;=1181,2,1)))), "")&lt;&gt;"",IF(MOD(INDEX(輔助計算!$D:$D, (MATCH(215, 輔助計算!$G$2:$G$801, 0)+1)),IF(INDEX(ERP資料!$G:$G, (MATCH(215, 輔助計算!$G$2:$G$801, 0)+1))&lt;100, IF(INDEX(ERP資料!$G:$G, (MATCH(215, 輔助計算!$G$2:$G$801, 0)+1))&lt;=31,3,IF(INDEX(ERP資料!$G:$G, (MATCH(215, 輔助計算!$G$2:$G$801, 0)+1))&lt;=46.5,2,1)), IF(INDEX(ERP資料!$G:$G, (MATCH(215, 輔助計算!$G$2:$G$801, 0)+1))&lt;=790,3,IF(INDEX(ERP資料!$G:$G, (MATCH(215, 輔助計算!$G$2:$G$801, 0)+1))&lt;=1181,2,1))))=0,"",IF(MOD(INDEX(輔助計算!$D:$D, (MATCH(215, 輔助計算!$G$2:$G$801, 0)+1)),IF(INDEX(ERP資料!$G:$G, (MATCH(215, 輔助計算!$G$2:$G$801, 0)+1))&lt;100, IF(INDEX(ERP資料!$G:$G, (MATCH(215, 輔助計算!$G$2:$G$801, 0)+1))&lt;=31,3,IF(INDEX(ERP資料!$G:$G, (MATCH(215, 輔助計算!$G$2:$G$801, 0)+1))&lt;=46.5,2,1)), IF(INDEX(ERP資料!$G:$G, (MATCH(215, 輔助計算!$G$2:$G$801, 0)+1))&lt;=790,3,IF(INDEX(ERP資料!$G:$G, (MATCH(215, 輔助計算!$G$2:$G$801, 0)+1))&lt;=1181,2,1))))=0,"",IF(MOD(INDEX(輔助計算!$D:$D, (MATCH(215, 輔助計算!$G$2:$G$801, 0)+1)),IF(INDEX(ERP資料!$G:$G, (MATCH(215, 輔助計算!$G$2:$G$801, 0)+1))&lt;100, IF(INDEX(ERP資料!$G:$G, (MATCH(215, 輔助計算!$G$2:$G$801, 0)+1))&lt;=31,3,IF(INDEX(ERP資料!$G:$G, (MATCH(215, 輔助計算!$G$2:$G$801, 0)+1))&lt;=46.5,2,1)), IF(INDEX(ERP資料!$G:$G, (MATCH(215, 輔助計算!$G$2:$G$801, 0)+1))&lt;=790,3,IF(INDEX(ERP資料!$G:$G, (MATCH(215, 輔助計算!$G$2:$G$801, 0)+1))&lt;=1181,2,1))))=1,TEXT(INDEX(ERP資料!$G:$G, (MATCH(215, 輔助計算!$G$2:$G$801, 0)+1)),"0.##"),IF(MOD(INDEX(輔助計算!$D:$D, (MATCH(215, 輔助計算!$G$2:$G$801, 0)+1)),IF(INDEX(ERP資料!$G:$G, (MATCH(215, 輔助計算!$G$2:$G$801, 0)+1))&lt;100, IF(INDEX(ERP資料!$G:$G, (MATCH(215, 輔助計算!$G$2:$G$801, 0)+1))&lt;=31,3,IF(INDEX(ERP資料!$G:$G, (MATCH(215, 輔助計算!$G$2:$G$801, 0)+1))&lt;=46.5,2,1)), IF(INDEX(ERP資料!$G:$G, (MATCH(215, 輔助計算!$G$2:$G$801, 0)+1))&lt;=790,3,IF(INDEX(ERP資料!$G:$G, (MATCH(215, 輔助計算!$G$2:$G$801, 0)+1))&lt;=1181,2,1))))=2,TEXT(INDEX(ERP資料!$G:$G, (MATCH(215, 輔助計算!$G$2:$G$801, 0)+1)),"0.##")&amp;"+"&amp;TEXT(INDEX(ERP資料!$G:$G, (MATCH(215, 輔助計算!$G$2:$G$801, 0)+1)),"0.##"),TEXT(INDEX(ERP資料!$G:$G, (MATCH(215, 輔助計算!$G$2:$G$801, 0)+1)),"0.##")&amp;"+"&amp;TEXT(INDEX(ERP資料!$G:$G, (MATCH(215, 輔助計算!$G$2:$G$801, 0)+1)),"0.##")&amp;"+"&amp;TEXT(INDEX(ERP資料!$G:$G, (MATCH(215, 輔助計算!$G$2:$G$801, 0)+1)),"0.##"))))&amp;"-1")&lt;&gt;""),"  ","")&amp;IF(MOD(INDEX(輔助計算!$D:$D, (MATCH(215, 輔助計算!$G$2:$G$801, 0)+1)),IF(INDEX(ERP資料!$G:$G, (MATCH(215, 輔助計算!$G$2:$G$801, 0)+1))&lt;100, IF(INDEX(ERP資料!$G:$G, (MATCH(215, 輔助計算!$G$2:$G$801, 0)+1))&lt;=31,3,IF(INDEX(ERP資料!$G:$G, (MATCH(215, 輔助計算!$G$2:$G$801, 0)+1))&lt;=46.5,2,1)), IF(INDEX(ERP資料!$G:$G, (MATCH(215, 輔助計算!$G$2:$G$801, 0)+1))&lt;=790,3,IF(INDEX(ERP資料!$G:$G, (MATCH(215, 輔助計算!$G$2:$G$801, 0)+1))&lt;=1181,2,1))))=0,"",IF(MOD(INDEX(輔助計算!$D:$D, (MATCH(215, 輔助計算!$G$2:$G$801, 0)+1)),IF(INDEX(ERP資料!$G:$G, (MATCH(215, 輔助計算!$G$2:$G$801, 0)+1))&lt;100, IF(INDEX(ERP資料!$G:$G, (MATCH(215, 輔助計算!$G$2:$G$801, 0)+1))&lt;=31,3,IF(INDEX(ERP資料!$G:$G, (MATCH(215, 輔助計算!$G$2:$G$801, 0)+1))&lt;=46.5,2,1)), IF(INDEX(ERP資料!$G:$G, (MATCH(215, 輔助計算!$G$2:$G$801, 0)+1))&lt;=790,3,IF(INDEX(ERP資料!$G:$G, (MATCH(215, 輔助計算!$G$2:$G$801, 0)+1))&lt;=1181,2,1))))=0,"",IF(MOD(INDEX(輔助計算!$D:$D, (MATCH(215, 輔助計算!$G$2:$G$801, 0)+1)),IF(INDEX(ERP資料!$G:$G, (MATCH(215, 輔助計算!$G$2:$G$801, 0)+1))&lt;100, IF(INDEX(ERP資料!$G:$G, (MATCH(215, 輔助計算!$G$2:$G$801, 0)+1))&lt;=31,3,IF(INDEX(ERP資料!$G:$G, (MATCH(215, 輔助計算!$G$2:$G$801, 0)+1))&lt;=46.5,2,1)), IF(INDEX(ERP資料!$G:$G, (MATCH(215, 輔助計算!$G$2:$G$801, 0)+1))&lt;=790,3,IF(INDEX(ERP資料!$G:$G, (MATCH(215, 輔助計算!$G$2:$G$801, 0)+1))&lt;=1181,2,1))))=1,TEXT(INDEX(ERP資料!$G:$G, (MATCH(215, 輔助計算!$G$2:$G$801, 0)+1)),"0.##"),IF(MOD(INDEX(輔助計算!$D:$D, (MATCH(215, 輔助計算!$G$2:$G$801, 0)+1)),IF(INDEX(ERP資料!$G:$G, (MATCH(215, 輔助計算!$G$2:$G$801, 0)+1))&lt;100, IF(INDEX(ERP資料!$G:$G, (MATCH(215, 輔助計算!$G$2:$G$801, 0)+1))&lt;=31,3,IF(INDEX(ERP資料!$G:$G, (MATCH(215, 輔助計算!$G$2:$G$801, 0)+1))&lt;=46.5,2,1)), IF(INDEX(ERP資料!$G:$G, (MATCH(215, 輔助計算!$G$2:$G$801, 0)+1))&lt;=790,3,IF(INDEX(ERP資料!$G:$G, (MATCH(215, 輔助計算!$G$2:$G$801, 0)+1))&lt;=1181,2,1))))=2,TEXT(INDEX(ERP資料!$G:$G, (MATCH(215, 輔助計算!$G$2:$G$801, 0)+1)),"0.##")&amp;"+"&amp;TEXT(INDEX(ERP資料!$G:$G, (MATCH(215, 輔助計算!$G$2:$G$801, 0)+1)),"0.##"),TEXT(INDEX(ERP資料!$G:$G, (MATCH(215, 輔助計算!$G$2:$G$801, 0)+1)),"0.##")&amp;"+"&amp;TEXT(INDEX(ERP資料!$G:$G, (MATCH(215, 輔助計算!$G$2:$G$801, 0)+1)),"0.##")&amp;"+"&amp;TEXT(INDEX(ERP資料!$G:$G, (MATCH(215, 輔助計算!$G$2:$G$801, 0)+1)),"0.##"))))&amp;"-1")), ""), "")</f>
        <v/>
      </c>
      <c r="K216" s="16" t="n"/>
      <c r="L216" s="14">
        <f>IFERROR(IF(AND(IFERROR(INDEX(ERP資料!$A:$A, (MATCH(215, 輔助計算!$G$2:$G$801, 0)+1)), "")&lt;&gt;"", IFERROR(INDEX(ERP資料!$A:$A, (MATCH(215, 輔助計算!$G$2:$G$801, 0)+1)), "")&lt;&gt;IFERROR(INDEX(ERP資料!$A:$A, MATCH(214, 輔助計算!$G$2:$G$801, 0)+1), "")), INDEX(ERP資料!$B:$B, (MATCH(215, 輔助計算!$G$2:$G$801, 0)+1)), ""), "")</f>
        <v/>
      </c>
      <c r="M216" s="17" t="n"/>
    </row>
    <row r="217">
      <c r="A217" s="10">
        <f>IFERROR(IF(AND(IFERROR(INDEX(ERP資料!$A:$A, (MATCH(216, 輔助計算!$G$2:$G$801, 0)+1)), "")&lt;&gt;"", IFERROR(INDEX(ERP資料!$A:$A, (MATCH(216, 輔助計算!$G$2:$G$801, 0)+1)), "")&lt;&gt;IFERROR(INDEX(ERP資料!$A:$A, MATCH(215, 輔助計算!$G$2:$G$801, 0)+1), "")), IFERROR(INDEX(ERP資料!$A:$A, (MATCH(216, 輔助計算!$G$2:$G$801, 0)+1)), ""), ""), "")</f>
        <v/>
      </c>
      <c r="B217" s="10">
        <f>IFERROR(IF(AND(IFERROR(INDEX(ERP資料!$A:$A, (MATCH(216, 輔助計算!$G$2:$G$801, 0)+1)), "")&lt;&gt;"", IFERROR(INDEX(ERP資料!$A:$A, (MATCH(216, 輔助計算!$G$2:$G$801, 0)+1)), "")&lt;&gt;IFERROR(INDEX(ERP資料!$A:$A, MATCH(215, 輔助計算!$G$2:$G$801, 0)+1), "")), INDEX(ERP資料!$S:$S, (MATCH(216, 輔助計算!$G$2:$G$801, 0)+1)), ""), "")</f>
        <v/>
      </c>
      <c r="C217" s="19">
        <f>IFERROR(IF(AND(IFERROR(INDEX(ERP資料!$A:$A, (MATCH(216, 輔助計算!$G$2:$G$801, 0)+1)), "")&lt;&gt;"", IFERROR(INDEX(ERP資料!$A:$A, (MATCH(216, 輔助計算!$G$2:$G$801, 0)+1)), "")&lt;&gt;IFERROR(INDEX(ERP資料!$A:$A, MATCH(215, 輔助計算!$G$2:$G$801, 0)+1), "")), IFERROR(VLOOKUP(LEFT(INDEX(ERP資料!$S:$S, (MATCH(216, 輔助計算!$G$2:$G$801, 0)+1)), 4), 紙管對照表!$A:$C, 3, FALSE), ""), ""), "")</f>
        <v/>
      </c>
      <c r="D217" s="16" t="n"/>
      <c r="E217" s="10">
        <f>IFERROR(IF(INDEX(ERP資料!$H:$H, (MATCH(216, 輔助計算!$G$2:$G$801, 0)+1))="","",INDEX(ERP資料!$H:$H, (MATCH(216, 輔助計算!$G$2:$G$801, 0)+1))), "")</f>
        <v/>
      </c>
      <c r="F217" s="10">
        <f>IFERROR(IF(INDEX(ERP資料!$E:$E, (MATCH(216, 輔助計算!$G$2:$G$801, 0)+1))="","",TRIM(INDEX(ERP資料!$E:$E, (MATCH(216, 輔助計算!$G$2:$G$801, 0)+1)))), "")</f>
        <v/>
      </c>
      <c r="G217" s="10">
        <f>IFERROR(IF(INDEX(ERP資料!$F:$F, (MATCH(216, 輔助計算!$G$2:$G$801, 0)+1))="","",INDEX(ERP資料!$F:$F, (MATCH(216, 輔助計算!$G$2:$G$801, 0)+1))), "")</f>
        <v/>
      </c>
      <c r="H217" s="10">
        <f>IFERROR(IF(INDEX(ERP資料!$G:$G, (MATCH(216, 輔助計算!$G$2:$G$801, 0)+1))="","",INDEX(ERP資料!$G:$G, (MATCH(216, 輔助計算!$G$2:$G$801, 0)+1))), "")</f>
        <v/>
      </c>
      <c r="I217" s="15">
        <f>IFERROR(INDEX(輔助計算!$D:$D, (MATCH(216, 輔助計算!$G$2:$G$801, 0)+1)), "")</f>
        <v/>
      </c>
      <c r="J217" s="15">
        <f>IFERROR(IF(AND(INDEX(輔助計算!$D:$D, (MATCH(216, 輔助計算!$G$2:$G$801, 0)+1))&lt;&gt;"", INDEX(ERP資料!$G:$G, (MATCH(216, 輔助計算!$G$2:$G$801, 0)+1))&lt;&gt;""), TRIM(IF(INT(INDEX(輔助計算!$D:$D, (MATCH(216, 輔助計算!$G$2:$G$801, 0)+1))/IF(INDEX(ERP資料!$G:$G, (MATCH(216, 輔助計算!$G$2:$G$801, 0)+1))&lt;100, IF(INDEX(ERP資料!$G:$G, (MATCH(216, 輔助計算!$G$2:$G$801, 0)+1))&lt;=31,3,IF(INDEX(ERP資料!$G:$G, (MATCH(216, 輔助計算!$G$2:$G$801, 0)+1))&lt;=46.5,2,1)), IF(INDEX(ERP資料!$G:$G, (MATCH(216, 輔助計算!$G$2:$G$801, 0)+1))&lt;=790,3,IF(INDEX(ERP資料!$G:$G, (MATCH(216, 輔助計算!$G$2:$G$801, 0)+1))&lt;=1181,2,1))))&gt;0, IF(IF(INDEX(ERP資料!$G:$G, (MATCH(216, 輔助計算!$G$2:$G$801, 0)+1))&lt;100, IF(INDEX(ERP資料!$G:$G, (MATCH(216, 輔助計算!$G$2:$G$801, 0)+1))&lt;=31,3,IF(INDEX(ERP資料!$G:$G, (MATCH(216, 輔助計算!$G$2:$G$801, 0)+1))&lt;=46.5,2,1)), IF(INDEX(ERP資料!$G:$G, (MATCH(216, 輔助計算!$G$2:$G$801, 0)+1))&lt;=790,3,IF(INDEX(ERP資料!$G:$G, (MATCH(216, 輔助計算!$G$2:$G$801, 0)+1))&lt;=1181,2,1)))=1,TEXT(INDEX(ERP資料!$G:$G, (MATCH(216, 輔助計算!$G$2:$G$801, 0)+1)),"0.##"),IF(IF(INDEX(ERP資料!$G:$G, (MATCH(216, 輔助計算!$G$2:$G$801, 0)+1))&lt;100, IF(INDEX(ERP資料!$G:$G, (MATCH(216, 輔助計算!$G$2:$G$801, 0)+1))&lt;=31,3,IF(INDEX(ERP資料!$G:$G, (MATCH(216, 輔助計算!$G$2:$G$801, 0)+1))&lt;=46.5,2,1)), IF(INDEX(ERP資料!$G:$G, (MATCH(216, 輔助計算!$G$2:$G$801, 0)+1))&lt;=790,3,IF(INDEX(ERP資料!$G:$G, (MATCH(216, 輔助計算!$G$2:$G$801, 0)+1))&lt;=1181,2,1)))=2,TEXT(INDEX(ERP資料!$G:$G, (MATCH(216, 輔助計算!$G$2:$G$801, 0)+1)),"0.##")&amp;"+"&amp;TEXT(INDEX(ERP資料!$G:$G, (MATCH(216, 輔助計算!$G$2:$G$801, 0)+1)),"0.##"),TEXT(INDEX(ERP資料!$G:$G, (MATCH(216, 輔助計算!$G$2:$G$801, 0)+1)),"0.##")&amp;"+"&amp;TEXT(INDEX(ERP資料!$G:$G, (MATCH(216, 輔助計算!$G$2:$G$801, 0)+1)),"0.##")&amp;"+"&amp;TEXT(INDEX(ERP資料!$G:$G, (MATCH(216, 輔助計算!$G$2:$G$801, 0)+1)),"0.##")))&amp;"-"&amp;INT(INDEX(輔助計算!$D:$D, (MATCH(216, 輔助計算!$G$2:$G$801, 0)+1))/IF(INDEX(ERP資料!$G:$G, (MATCH(216, 輔助計算!$G$2:$G$801, 0)+1))&lt;100, IF(INDEX(ERP資料!$G:$G, (MATCH(216, 輔助計算!$G$2:$G$801, 0)+1))&lt;=31,3,IF(INDEX(ERP資料!$G:$G, (MATCH(216, 輔助計算!$G$2:$G$801, 0)+1))&lt;=46.5,2,1)), IF(INDEX(ERP資料!$G:$G, (MATCH(216, 輔助計算!$G$2:$G$801, 0)+1))&lt;=790,3,IF(INDEX(ERP資料!$G:$G, (MATCH(216, 輔助計算!$G$2:$G$801, 0)+1))&lt;=1181,2,1)))), "")&amp;IF(AND(IF(INT(INDEX(輔助計算!$D:$D, (MATCH(216, 輔助計算!$G$2:$G$801, 0)+1))/IF(INDEX(ERP資料!$G:$G, (MATCH(216, 輔助計算!$G$2:$G$801, 0)+1))&lt;100, IF(INDEX(ERP資料!$G:$G, (MATCH(216, 輔助計算!$G$2:$G$801, 0)+1))&lt;=31,3,IF(INDEX(ERP資料!$G:$G, (MATCH(216, 輔助計算!$G$2:$G$801, 0)+1))&lt;=46.5,2,1)), IF(INDEX(ERP資料!$G:$G, (MATCH(216, 輔助計算!$G$2:$G$801, 0)+1))&lt;=790,3,IF(INDEX(ERP資料!$G:$G, (MATCH(216, 輔助計算!$G$2:$G$801, 0)+1))&lt;=1181,2,1))))&gt;0, IF(IF(INDEX(ERP資料!$G:$G, (MATCH(216, 輔助計算!$G$2:$G$801, 0)+1))&lt;100, IF(INDEX(ERP資料!$G:$G, (MATCH(216, 輔助計算!$G$2:$G$801, 0)+1))&lt;=31,3,IF(INDEX(ERP資料!$G:$G, (MATCH(216, 輔助計算!$G$2:$G$801, 0)+1))&lt;=46.5,2,1)), IF(INDEX(ERP資料!$G:$G, (MATCH(216, 輔助計算!$G$2:$G$801, 0)+1))&lt;=790,3,IF(INDEX(ERP資料!$G:$G, (MATCH(216, 輔助計算!$G$2:$G$801, 0)+1))&lt;=1181,2,1)))=1,TEXT(INDEX(ERP資料!$G:$G, (MATCH(216, 輔助計算!$G$2:$G$801, 0)+1)),"0.##"),IF(IF(INDEX(ERP資料!$G:$G, (MATCH(216, 輔助計算!$G$2:$G$801, 0)+1))&lt;100, IF(INDEX(ERP資料!$G:$G, (MATCH(216, 輔助計算!$G$2:$G$801, 0)+1))&lt;=31,3,IF(INDEX(ERP資料!$G:$G, (MATCH(216, 輔助計算!$G$2:$G$801, 0)+1))&lt;=46.5,2,1)), IF(INDEX(ERP資料!$G:$G, (MATCH(216, 輔助計算!$G$2:$G$801, 0)+1))&lt;=790,3,IF(INDEX(ERP資料!$G:$G, (MATCH(216, 輔助計算!$G$2:$G$801, 0)+1))&lt;=1181,2,1)))=2,TEXT(INDEX(ERP資料!$G:$G, (MATCH(216, 輔助計算!$G$2:$G$801, 0)+1)),"0.##")&amp;"+"&amp;TEXT(INDEX(ERP資料!$G:$G, (MATCH(216, 輔助計算!$G$2:$G$801, 0)+1)),"0.##"),TEXT(INDEX(ERP資料!$G:$G, (MATCH(216, 輔助計算!$G$2:$G$801, 0)+1)),"0.##")&amp;"+"&amp;TEXT(INDEX(ERP資料!$G:$G, (MATCH(216, 輔助計算!$G$2:$G$801, 0)+1)),"0.##")&amp;"+"&amp;TEXT(INDEX(ERP資料!$G:$G, (MATCH(216, 輔助計算!$G$2:$G$801, 0)+1)),"0.##")))&amp;"-"&amp;INT(INDEX(輔助計算!$D:$D, (MATCH(216, 輔助計算!$G$2:$G$801, 0)+1))/IF(INDEX(ERP資料!$G:$G, (MATCH(216, 輔助計算!$G$2:$G$801, 0)+1))&lt;100, IF(INDEX(ERP資料!$G:$G, (MATCH(216, 輔助計算!$G$2:$G$801, 0)+1))&lt;=31,3,IF(INDEX(ERP資料!$G:$G, (MATCH(216, 輔助計算!$G$2:$G$801, 0)+1))&lt;=46.5,2,1)), IF(INDEX(ERP資料!$G:$G, (MATCH(216, 輔助計算!$G$2:$G$801, 0)+1))&lt;=790,3,IF(INDEX(ERP資料!$G:$G, (MATCH(216, 輔助計算!$G$2:$G$801, 0)+1))&lt;=1181,2,1)))), "")&lt;&gt;"",IF(MOD(INDEX(輔助計算!$D:$D, (MATCH(216, 輔助計算!$G$2:$G$801, 0)+1)),IF(INDEX(ERP資料!$G:$G, (MATCH(216, 輔助計算!$G$2:$G$801, 0)+1))&lt;100, IF(INDEX(ERP資料!$G:$G, (MATCH(216, 輔助計算!$G$2:$G$801, 0)+1))&lt;=31,3,IF(INDEX(ERP資料!$G:$G, (MATCH(216, 輔助計算!$G$2:$G$801, 0)+1))&lt;=46.5,2,1)), IF(INDEX(ERP資料!$G:$G, (MATCH(216, 輔助計算!$G$2:$G$801, 0)+1))&lt;=790,3,IF(INDEX(ERP資料!$G:$G, (MATCH(216, 輔助計算!$G$2:$G$801, 0)+1))&lt;=1181,2,1))))=0,"",IF(MOD(INDEX(輔助計算!$D:$D, (MATCH(216, 輔助計算!$G$2:$G$801, 0)+1)),IF(INDEX(ERP資料!$G:$G, (MATCH(216, 輔助計算!$G$2:$G$801, 0)+1))&lt;100, IF(INDEX(ERP資料!$G:$G, (MATCH(216, 輔助計算!$G$2:$G$801, 0)+1))&lt;=31,3,IF(INDEX(ERP資料!$G:$G, (MATCH(216, 輔助計算!$G$2:$G$801, 0)+1))&lt;=46.5,2,1)), IF(INDEX(ERP資料!$G:$G, (MATCH(216, 輔助計算!$G$2:$G$801, 0)+1))&lt;=790,3,IF(INDEX(ERP資料!$G:$G, (MATCH(216, 輔助計算!$G$2:$G$801, 0)+1))&lt;=1181,2,1))))=0,"",IF(MOD(INDEX(輔助計算!$D:$D, (MATCH(216, 輔助計算!$G$2:$G$801, 0)+1)),IF(INDEX(ERP資料!$G:$G, (MATCH(216, 輔助計算!$G$2:$G$801, 0)+1))&lt;100, IF(INDEX(ERP資料!$G:$G, (MATCH(216, 輔助計算!$G$2:$G$801, 0)+1))&lt;=31,3,IF(INDEX(ERP資料!$G:$G, (MATCH(216, 輔助計算!$G$2:$G$801, 0)+1))&lt;=46.5,2,1)), IF(INDEX(ERP資料!$G:$G, (MATCH(216, 輔助計算!$G$2:$G$801, 0)+1))&lt;=790,3,IF(INDEX(ERP資料!$G:$G, (MATCH(216, 輔助計算!$G$2:$G$801, 0)+1))&lt;=1181,2,1))))=1,TEXT(INDEX(ERP資料!$G:$G, (MATCH(216, 輔助計算!$G$2:$G$801, 0)+1)),"0.##"),IF(MOD(INDEX(輔助計算!$D:$D, (MATCH(216, 輔助計算!$G$2:$G$801, 0)+1)),IF(INDEX(ERP資料!$G:$G, (MATCH(216, 輔助計算!$G$2:$G$801, 0)+1))&lt;100, IF(INDEX(ERP資料!$G:$G, (MATCH(216, 輔助計算!$G$2:$G$801, 0)+1))&lt;=31,3,IF(INDEX(ERP資料!$G:$G, (MATCH(216, 輔助計算!$G$2:$G$801, 0)+1))&lt;=46.5,2,1)), IF(INDEX(ERP資料!$G:$G, (MATCH(216, 輔助計算!$G$2:$G$801, 0)+1))&lt;=790,3,IF(INDEX(ERP資料!$G:$G, (MATCH(216, 輔助計算!$G$2:$G$801, 0)+1))&lt;=1181,2,1))))=2,TEXT(INDEX(ERP資料!$G:$G, (MATCH(216, 輔助計算!$G$2:$G$801, 0)+1)),"0.##")&amp;"+"&amp;TEXT(INDEX(ERP資料!$G:$G, (MATCH(216, 輔助計算!$G$2:$G$801, 0)+1)),"0.##"),TEXT(INDEX(ERP資料!$G:$G, (MATCH(216, 輔助計算!$G$2:$G$801, 0)+1)),"0.##")&amp;"+"&amp;TEXT(INDEX(ERP資料!$G:$G, (MATCH(216, 輔助計算!$G$2:$G$801, 0)+1)),"0.##")&amp;"+"&amp;TEXT(INDEX(ERP資料!$G:$G, (MATCH(216, 輔助計算!$G$2:$G$801, 0)+1)),"0.##"))))&amp;"-1")&lt;&gt;""),"  ","")&amp;IF(MOD(INDEX(輔助計算!$D:$D, (MATCH(216, 輔助計算!$G$2:$G$801, 0)+1)),IF(INDEX(ERP資料!$G:$G, (MATCH(216, 輔助計算!$G$2:$G$801, 0)+1))&lt;100, IF(INDEX(ERP資料!$G:$G, (MATCH(216, 輔助計算!$G$2:$G$801, 0)+1))&lt;=31,3,IF(INDEX(ERP資料!$G:$G, (MATCH(216, 輔助計算!$G$2:$G$801, 0)+1))&lt;=46.5,2,1)), IF(INDEX(ERP資料!$G:$G, (MATCH(216, 輔助計算!$G$2:$G$801, 0)+1))&lt;=790,3,IF(INDEX(ERP資料!$G:$G, (MATCH(216, 輔助計算!$G$2:$G$801, 0)+1))&lt;=1181,2,1))))=0,"",IF(MOD(INDEX(輔助計算!$D:$D, (MATCH(216, 輔助計算!$G$2:$G$801, 0)+1)),IF(INDEX(ERP資料!$G:$G, (MATCH(216, 輔助計算!$G$2:$G$801, 0)+1))&lt;100, IF(INDEX(ERP資料!$G:$G, (MATCH(216, 輔助計算!$G$2:$G$801, 0)+1))&lt;=31,3,IF(INDEX(ERP資料!$G:$G, (MATCH(216, 輔助計算!$G$2:$G$801, 0)+1))&lt;=46.5,2,1)), IF(INDEX(ERP資料!$G:$G, (MATCH(216, 輔助計算!$G$2:$G$801, 0)+1))&lt;=790,3,IF(INDEX(ERP資料!$G:$G, (MATCH(216, 輔助計算!$G$2:$G$801, 0)+1))&lt;=1181,2,1))))=0,"",IF(MOD(INDEX(輔助計算!$D:$D, (MATCH(216, 輔助計算!$G$2:$G$801, 0)+1)),IF(INDEX(ERP資料!$G:$G, (MATCH(216, 輔助計算!$G$2:$G$801, 0)+1))&lt;100, IF(INDEX(ERP資料!$G:$G, (MATCH(216, 輔助計算!$G$2:$G$801, 0)+1))&lt;=31,3,IF(INDEX(ERP資料!$G:$G, (MATCH(216, 輔助計算!$G$2:$G$801, 0)+1))&lt;=46.5,2,1)), IF(INDEX(ERP資料!$G:$G, (MATCH(216, 輔助計算!$G$2:$G$801, 0)+1))&lt;=790,3,IF(INDEX(ERP資料!$G:$G, (MATCH(216, 輔助計算!$G$2:$G$801, 0)+1))&lt;=1181,2,1))))=1,TEXT(INDEX(ERP資料!$G:$G, (MATCH(216, 輔助計算!$G$2:$G$801, 0)+1)),"0.##"),IF(MOD(INDEX(輔助計算!$D:$D, (MATCH(216, 輔助計算!$G$2:$G$801, 0)+1)),IF(INDEX(ERP資料!$G:$G, (MATCH(216, 輔助計算!$G$2:$G$801, 0)+1))&lt;100, IF(INDEX(ERP資料!$G:$G, (MATCH(216, 輔助計算!$G$2:$G$801, 0)+1))&lt;=31,3,IF(INDEX(ERP資料!$G:$G, (MATCH(216, 輔助計算!$G$2:$G$801, 0)+1))&lt;=46.5,2,1)), IF(INDEX(ERP資料!$G:$G, (MATCH(216, 輔助計算!$G$2:$G$801, 0)+1))&lt;=790,3,IF(INDEX(ERP資料!$G:$G, (MATCH(216, 輔助計算!$G$2:$G$801, 0)+1))&lt;=1181,2,1))))=2,TEXT(INDEX(ERP資料!$G:$G, (MATCH(216, 輔助計算!$G$2:$G$801, 0)+1)),"0.##")&amp;"+"&amp;TEXT(INDEX(ERP資料!$G:$G, (MATCH(216, 輔助計算!$G$2:$G$801, 0)+1)),"0.##"),TEXT(INDEX(ERP資料!$G:$G, (MATCH(216, 輔助計算!$G$2:$G$801, 0)+1)),"0.##")&amp;"+"&amp;TEXT(INDEX(ERP資料!$G:$G, (MATCH(216, 輔助計算!$G$2:$G$801, 0)+1)),"0.##")&amp;"+"&amp;TEXT(INDEX(ERP資料!$G:$G, (MATCH(216, 輔助計算!$G$2:$G$801, 0)+1)),"0.##"))))&amp;"-1")), ""), "")</f>
        <v/>
      </c>
      <c r="K217" s="16" t="n"/>
      <c r="L217" s="14">
        <f>IFERROR(IF(AND(IFERROR(INDEX(ERP資料!$A:$A, (MATCH(216, 輔助計算!$G$2:$G$801, 0)+1)), "")&lt;&gt;"", IFERROR(INDEX(ERP資料!$A:$A, (MATCH(216, 輔助計算!$G$2:$G$801, 0)+1)), "")&lt;&gt;IFERROR(INDEX(ERP資料!$A:$A, MATCH(215, 輔助計算!$G$2:$G$801, 0)+1), "")), INDEX(ERP資料!$B:$B, (MATCH(216, 輔助計算!$G$2:$G$801, 0)+1)), ""), "")</f>
        <v/>
      </c>
      <c r="M217" s="17" t="n"/>
    </row>
    <row r="218">
      <c r="A218" s="10">
        <f>IFERROR(IF(AND(IFERROR(INDEX(ERP資料!$A:$A, (MATCH(217, 輔助計算!$G$2:$G$801, 0)+1)), "")&lt;&gt;"", IFERROR(INDEX(ERP資料!$A:$A, (MATCH(217, 輔助計算!$G$2:$G$801, 0)+1)), "")&lt;&gt;IFERROR(INDEX(ERP資料!$A:$A, MATCH(216, 輔助計算!$G$2:$G$801, 0)+1), "")), IFERROR(INDEX(ERP資料!$A:$A, (MATCH(217, 輔助計算!$G$2:$G$801, 0)+1)), ""), ""), "")</f>
        <v/>
      </c>
      <c r="B218" s="10">
        <f>IFERROR(IF(AND(IFERROR(INDEX(ERP資料!$A:$A, (MATCH(217, 輔助計算!$G$2:$G$801, 0)+1)), "")&lt;&gt;"", IFERROR(INDEX(ERP資料!$A:$A, (MATCH(217, 輔助計算!$G$2:$G$801, 0)+1)), "")&lt;&gt;IFERROR(INDEX(ERP資料!$A:$A, MATCH(216, 輔助計算!$G$2:$G$801, 0)+1), "")), INDEX(ERP資料!$S:$S, (MATCH(217, 輔助計算!$G$2:$G$801, 0)+1)), ""), "")</f>
        <v/>
      </c>
      <c r="C218" s="19">
        <f>IFERROR(IF(AND(IFERROR(INDEX(ERP資料!$A:$A, (MATCH(217, 輔助計算!$G$2:$G$801, 0)+1)), "")&lt;&gt;"", IFERROR(INDEX(ERP資料!$A:$A, (MATCH(217, 輔助計算!$G$2:$G$801, 0)+1)), "")&lt;&gt;IFERROR(INDEX(ERP資料!$A:$A, MATCH(216, 輔助計算!$G$2:$G$801, 0)+1), "")), IFERROR(VLOOKUP(LEFT(INDEX(ERP資料!$S:$S, (MATCH(217, 輔助計算!$G$2:$G$801, 0)+1)), 4), 紙管對照表!$A:$C, 3, FALSE), ""), ""), "")</f>
        <v/>
      </c>
      <c r="D218" s="16" t="n"/>
      <c r="E218" s="10">
        <f>IFERROR(IF(INDEX(ERP資料!$H:$H, (MATCH(217, 輔助計算!$G$2:$G$801, 0)+1))="","",INDEX(ERP資料!$H:$H, (MATCH(217, 輔助計算!$G$2:$G$801, 0)+1))), "")</f>
        <v/>
      </c>
      <c r="F218" s="10">
        <f>IFERROR(IF(INDEX(ERP資料!$E:$E, (MATCH(217, 輔助計算!$G$2:$G$801, 0)+1))="","",TRIM(INDEX(ERP資料!$E:$E, (MATCH(217, 輔助計算!$G$2:$G$801, 0)+1)))), "")</f>
        <v/>
      </c>
      <c r="G218" s="10">
        <f>IFERROR(IF(INDEX(ERP資料!$F:$F, (MATCH(217, 輔助計算!$G$2:$G$801, 0)+1))="","",INDEX(ERP資料!$F:$F, (MATCH(217, 輔助計算!$G$2:$G$801, 0)+1))), "")</f>
        <v/>
      </c>
      <c r="H218" s="10">
        <f>IFERROR(IF(INDEX(ERP資料!$G:$G, (MATCH(217, 輔助計算!$G$2:$G$801, 0)+1))="","",INDEX(ERP資料!$G:$G, (MATCH(217, 輔助計算!$G$2:$G$801, 0)+1))), "")</f>
        <v/>
      </c>
      <c r="I218" s="15">
        <f>IFERROR(INDEX(輔助計算!$D:$D, (MATCH(217, 輔助計算!$G$2:$G$801, 0)+1)), "")</f>
        <v/>
      </c>
      <c r="J218" s="15">
        <f>IFERROR(IF(AND(INDEX(輔助計算!$D:$D, (MATCH(217, 輔助計算!$G$2:$G$801, 0)+1))&lt;&gt;"", INDEX(ERP資料!$G:$G, (MATCH(217, 輔助計算!$G$2:$G$801, 0)+1))&lt;&gt;""), TRIM(IF(INT(INDEX(輔助計算!$D:$D, (MATCH(217, 輔助計算!$G$2:$G$801, 0)+1))/IF(INDEX(ERP資料!$G:$G, (MATCH(217, 輔助計算!$G$2:$G$801, 0)+1))&lt;100, IF(INDEX(ERP資料!$G:$G, (MATCH(217, 輔助計算!$G$2:$G$801, 0)+1))&lt;=31,3,IF(INDEX(ERP資料!$G:$G, (MATCH(217, 輔助計算!$G$2:$G$801, 0)+1))&lt;=46.5,2,1)), IF(INDEX(ERP資料!$G:$G, (MATCH(217, 輔助計算!$G$2:$G$801, 0)+1))&lt;=790,3,IF(INDEX(ERP資料!$G:$G, (MATCH(217, 輔助計算!$G$2:$G$801, 0)+1))&lt;=1181,2,1))))&gt;0, IF(IF(INDEX(ERP資料!$G:$G, (MATCH(217, 輔助計算!$G$2:$G$801, 0)+1))&lt;100, IF(INDEX(ERP資料!$G:$G, (MATCH(217, 輔助計算!$G$2:$G$801, 0)+1))&lt;=31,3,IF(INDEX(ERP資料!$G:$G, (MATCH(217, 輔助計算!$G$2:$G$801, 0)+1))&lt;=46.5,2,1)), IF(INDEX(ERP資料!$G:$G, (MATCH(217, 輔助計算!$G$2:$G$801, 0)+1))&lt;=790,3,IF(INDEX(ERP資料!$G:$G, (MATCH(217, 輔助計算!$G$2:$G$801, 0)+1))&lt;=1181,2,1)))=1,TEXT(INDEX(ERP資料!$G:$G, (MATCH(217, 輔助計算!$G$2:$G$801, 0)+1)),"0.##"),IF(IF(INDEX(ERP資料!$G:$G, (MATCH(217, 輔助計算!$G$2:$G$801, 0)+1))&lt;100, IF(INDEX(ERP資料!$G:$G, (MATCH(217, 輔助計算!$G$2:$G$801, 0)+1))&lt;=31,3,IF(INDEX(ERP資料!$G:$G, (MATCH(217, 輔助計算!$G$2:$G$801, 0)+1))&lt;=46.5,2,1)), IF(INDEX(ERP資料!$G:$G, (MATCH(217, 輔助計算!$G$2:$G$801, 0)+1))&lt;=790,3,IF(INDEX(ERP資料!$G:$G, (MATCH(217, 輔助計算!$G$2:$G$801, 0)+1))&lt;=1181,2,1)))=2,TEXT(INDEX(ERP資料!$G:$G, (MATCH(217, 輔助計算!$G$2:$G$801, 0)+1)),"0.##")&amp;"+"&amp;TEXT(INDEX(ERP資料!$G:$G, (MATCH(217, 輔助計算!$G$2:$G$801, 0)+1)),"0.##"),TEXT(INDEX(ERP資料!$G:$G, (MATCH(217, 輔助計算!$G$2:$G$801, 0)+1)),"0.##")&amp;"+"&amp;TEXT(INDEX(ERP資料!$G:$G, (MATCH(217, 輔助計算!$G$2:$G$801, 0)+1)),"0.##")&amp;"+"&amp;TEXT(INDEX(ERP資料!$G:$G, (MATCH(217, 輔助計算!$G$2:$G$801, 0)+1)),"0.##")))&amp;"-"&amp;INT(INDEX(輔助計算!$D:$D, (MATCH(217, 輔助計算!$G$2:$G$801, 0)+1))/IF(INDEX(ERP資料!$G:$G, (MATCH(217, 輔助計算!$G$2:$G$801, 0)+1))&lt;100, IF(INDEX(ERP資料!$G:$G, (MATCH(217, 輔助計算!$G$2:$G$801, 0)+1))&lt;=31,3,IF(INDEX(ERP資料!$G:$G, (MATCH(217, 輔助計算!$G$2:$G$801, 0)+1))&lt;=46.5,2,1)), IF(INDEX(ERP資料!$G:$G, (MATCH(217, 輔助計算!$G$2:$G$801, 0)+1))&lt;=790,3,IF(INDEX(ERP資料!$G:$G, (MATCH(217, 輔助計算!$G$2:$G$801, 0)+1))&lt;=1181,2,1)))), "")&amp;IF(AND(IF(INT(INDEX(輔助計算!$D:$D, (MATCH(217, 輔助計算!$G$2:$G$801, 0)+1))/IF(INDEX(ERP資料!$G:$G, (MATCH(217, 輔助計算!$G$2:$G$801, 0)+1))&lt;100, IF(INDEX(ERP資料!$G:$G, (MATCH(217, 輔助計算!$G$2:$G$801, 0)+1))&lt;=31,3,IF(INDEX(ERP資料!$G:$G, (MATCH(217, 輔助計算!$G$2:$G$801, 0)+1))&lt;=46.5,2,1)), IF(INDEX(ERP資料!$G:$G, (MATCH(217, 輔助計算!$G$2:$G$801, 0)+1))&lt;=790,3,IF(INDEX(ERP資料!$G:$G, (MATCH(217, 輔助計算!$G$2:$G$801, 0)+1))&lt;=1181,2,1))))&gt;0, IF(IF(INDEX(ERP資料!$G:$G, (MATCH(217, 輔助計算!$G$2:$G$801, 0)+1))&lt;100, IF(INDEX(ERP資料!$G:$G, (MATCH(217, 輔助計算!$G$2:$G$801, 0)+1))&lt;=31,3,IF(INDEX(ERP資料!$G:$G, (MATCH(217, 輔助計算!$G$2:$G$801, 0)+1))&lt;=46.5,2,1)), IF(INDEX(ERP資料!$G:$G, (MATCH(217, 輔助計算!$G$2:$G$801, 0)+1))&lt;=790,3,IF(INDEX(ERP資料!$G:$G, (MATCH(217, 輔助計算!$G$2:$G$801, 0)+1))&lt;=1181,2,1)))=1,TEXT(INDEX(ERP資料!$G:$G, (MATCH(217, 輔助計算!$G$2:$G$801, 0)+1)),"0.##"),IF(IF(INDEX(ERP資料!$G:$G, (MATCH(217, 輔助計算!$G$2:$G$801, 0)+1))&lt;100, IF(INDEX(ERP資料!$G:$G, (MATCH(217, 輔助計算!$G$2:$G$801, 0)+1))&lt;=31,3,IF(INDEX(ERP資料!$G:$G, (MATCH(217, 輔助計算!$G$2:$G$801, 0)+1))&lt;=46.5,2,1)), IF(INDEX(ERP資料!$G:$G, (MATCH(217, 輔助計算!$G$2:$G$801, 0)+1))&lt;=790,3,IF(INDEX(ERP資料!$G:$G, (MATCH(217, 輔助計算!$G$2:$G$801, 0)+1))&lt;=1181,2,1)))=2,TEXT(INDEX(ERP資料!$G:$G, (MATCH(217, 輔助計算!$G$2:$G$801, 0)+1)),"0.##")&amp;"+"&amp;TEXT(INDEX(ERP資料!$G:$G, (MATCH(217, 輔助計算!$G$2:$G$801, 0)+1)),"0.##"),TEXT(INDEX(ERP資料!$G:$G, (MATCH(217, 輔助計算!$G$2:$G$801, 0)+1)),"0.##")&amp;"+"&amp;TEXT(INDEX(ERP資料!$G:$G, (MATCH(217, 輔助計算!$G$2:$G$801, 0)+1)),"0.##")&amp;"+"&amp;TEXT(INDEX(ERP資料!$G:$G, (MATCH(217, 輔助計算!$G$2:$G$801, 0)+1)),"0.##")))&amp;"-"&amp;INT(INDEX(輔助計算!$D:$D, (MATCH(217, 輔助計算!$G$2:$G$801, 0)+1))/IF(INDEX(ERP資料!$G:$G, (MATCH(217, 輔助計算!$G$2:$G$801, 0)+1))&lt;100, IF(INDEX(ERP資料!$G:$G, (MATCH(217, 輔助計算!$G$2:$G$801, 0)+1))&lt;=31,3,IF(INDEX(ERP資料!$G:$G, (MATCH(217, 輔助計算!$G$2:$G$801, 0)+1))&lt;=46.5,2,1)), IF(INDEX(ERP資料!$G:$G, (MATCH(217, 輔助計算!$G$2:$G$801, 0)+1))&lt;=790,3,IF(INDEX(ERP資料!$G:$G, (MATCH(217, 輔助計算!$G$2:$G$801, 0)+1))&lt;=1181,2,1)))), "")&lt;&gt;"",IF(MOD(INDEX(輔助計算!$D:$D, (MATCH(217, 輔助計算!$G$2:$G$801, 0)+1)),IF(INDEX(ERP資料!$G:$G, (MATCH(217, 輔助計算!$G$2:$G$801, 0)+1))&lt;100, IF(INDEX(ERP資料!$G:$G, (MATCH(217, 輔助計算!$G$2:$G$801, 0)+1))&lt;=31,3,IF(INDEX(ERP資料!$G:$G, (MATCH(217, 輔助計算!$G$2:$G$801, 0)+1))&lt;=46.5,2,1)), IF(INDEX(ERP資料!$G:$G, (MATCH(217, 輔助計算!$G$2:$G$801, 0)+1))&lt;=790,3,IF(INDEX(ERP資料!$G:$G, (MATCH(217, 輔助計算!$G$2:$G$801, 0)+1))&lt;=1181,2,1))))=0,"",IF(MOD(INDEX(輔助計算!$D:$D, (MATCH(217, 輔助計算!$G$2:$G$801, 0)+1)),IF(INDEX(ERP資料!$G:$G, (MATCH(217, 輔助計算!$G$2:$G$801, 0)+1))&lt;100, IF(INDEX(ERP資料!$G:$G, (MATCH(217, 輔助計算!$G$2:$G$801, 0)+1))&lt;=31,3,IF(INDEX(ERP資料!$G:$G, (MATCH(217, 輔助計算!$G$2:$G$801, 0)+1))&lt;=46.5,2,1)), IF(INDEX(ERP資料!$G:$G, (MATCH(217, 輔助計算!$G$2:$G$801, 0)+1))&lt;=790,3,IF(INDEX(ERP資料!$G:$G, (MATCH(217, 輔助計算!$G$2:$G$801, 0)+1))&lt;=1181,2,1))))=0,"",IF(MOD(INDEX(輔助計算!$D:$D, (MATCH(217, 輔助計算!$G$2:$G$801, 0)+1)),IF(INDEX(ERP資料!$G:$G, (MATCH(217, 輔助計算!$G$2:$G$801, 0)+1))&lt;100, IF(INDEX(ERP資料!$G:$G, (MATCH(217, 輔助計算!$G$2:$G$801, 0)+1))&lt;=31,3,IF(INDEX(ERP資料!$G:$G, (MATCH(217, 輔助計算!$G$2:$G$801, 0)+1))&lt;=46.5,2,1)), IF(INDEX(ERP資料!$G:$G, (MATCH(217, 輔助計算!$G$2:$G$801, 0)+1))&lt;=790,3,IF(INDEX(ERP資料!$G:$G, (MATCH(217, 輔助計算!$G$2:$G$801, 0)+1))&lt;=1181,2,1))))=1,TEXT(INDEX(ERP資料!$G:$G, (MATCH(217, 輔助計算!$G$2:$G$801, 0)+1)),"0.##"),IF(MOD(INDEX(輔助計算!$D:$D, (MATCH(217, 輔助計算!$G$2:$G$801, 0)+1)),IF(INDEX(ERP資料!$G:$G, (MATCH(217, 輔助計算!$G$2:$G$801, 0)+1))&lt;100, IF(INDEX(ERP資料!$G:$G, (MATCH(217, 輔助計算!$G$2:$G$801, 0)+1))&lt;=31,3,IF(INDEX(ERP資料!$G:$G, (MATCH(217, 輔助計算!$G$2:$G$801, 0)+1))&lt;=46.5,2,1)), IF(INDEX(ERP資料!$G:$G, (MATCH(217, 輔助計算!$G$2:$G$801, 0)+1))&lt;=790,3,IF(INDEX(ERP資料!$G:$G, (MATCH(217, 輔助計算!$G$2:$G$801, 0)+1))&lt;=1181,2,1))))=2,TEXT(INDEX(ERP資料!$G:$G, (MATCH(217, 輔助計算!$G$2:$G$801, 0)+1)),"0.##")&amp;"+"&amp;TEXT(INDEX(ERP資料!$G:$G, (MATCH(217, 輔助計算!$G$2:$G$801, 0)+1)),"0.##"),TEXT(INDEX(ERP資料!$G:$G, (MATCH(217, 輔助計算!$G$2:$G$801, 0)+1)),"0.##")&amp;"+"&amp;TEXT(INDEX(ERP資料!$G:$G, (MATCH(217, 輔助計算!$G$2:$G$801, 0)+1)),"0.##")&amp;"+"&amp;TEXT(INDEX(ERP資料!$G:$G, (MATCH(217, 輔助計算!$G$2:$G$801, 0)+1)),"0.##"))))&amp;"-1")&lt;&gt;""),"  ","")&amp;IF(MOD(INDEX(輔助計算!$D:$D, (MATCH(217, 輔助計算!$G$2:$G$801, 0)+1)),IF(INDEX(ERP資料!$G:$G, (MATCH(217, 輔助計算!$G$2:$G$801, 0)+1))&lt;100, IF(INDEX(ERP資料!$G:$G, (MATCH(217, 輔助計算!$G$2:$G$801, 0)+1))&lt;=31,3,IF(INDEX(ERP資料!$G:$G, (MATCH(217, 輔助計算!$G$2:$G$801, 0)+1))&lt;=46.5,2,1)), IF(INDEX(ERP資料!$G:$G, (MATCH(217, 輔助計算!$G$2:$G$801, 0)+1))&lt;=790,3,IF(INDEX(ERP資料!$G:$G, (MATCH(217, 輔助計算!$G$2:$G$801, 0)+1))&lt;=1181,2,1))))=0,"",IF(MOD(INDEX(輔助計算!$D:$D, (MATCH(217, 輔助計算!$G$2:$G$801, 0)+1)),IF(INDEX(ERP資料!$G:$G, (MATCH(217, 輔助計算!$G$2:$G$801, 0)+1))&lt;100, IF(INDEX(ERP資料!$G:$G, (MATCH(217, 輔助計算!$G$2:$G$801, 0)+1))&lt;=31,3,IF(INDEX(ERP資料!$G:$G, (MATCH(217, 輔助計算!$G$2:$G$801, 0)+1))&lt;=46.5,2,1)), IF(INDEX(ERP資料!$G:$G, (MATCH(217, 輔助計算!$G$2:$G$801, 0)+1))&lt;=790,3,IF(INDEX(ERP資料!$G:$G, (MATCH(217, 輔助計算!$G$2:$G$801, 0)+1))&lt;=1181,2,1))))=0,"",IF(MOD(INDEX(輔助計算!$D:$D, (MATCH(217, 輔助計算!$G$2:$G$801, 0)+1)),IF(INDEX(ERP資料!$G:$G, (MATCH(217, 輔助計算!$G$2:$G$801, 0)+1))&lt;100, IF(INDEX(ERP資料!$G:$G, (MATCH(217, 輔助計算!$G$2:$G$801, 0)+1))&lt;=31,3,IF(INDEX(ERP資料!$G:$G, (MATCH(217, 輔助計算!$G$2:$G$801, 0)+1))&lt;=46.5,2,1)), IF(INDEX(ERP資料!$G:$G, (MATCH(217, 輔助計算!$G$2:$G$801, 0)+1))&lt;=790,3,IF(INDEX(ERP資料!$G:$G, (MATCH(217, 輔助計算!$G$2:$G$801, 0)+1))&lt;=1181,2,1))))=1,TEXT(INDEX(ERP資料!$G:$G, (MATCH(217, 輔助計算!$G$2:$G$801, 0)+1)),"0.##"),IF(MOD(INDEX(輔助計算!$D:$D, (MATCH(217, 輔助計算!$G$2:$G$801, 0)+1)),IF(INDEX(ERP資料!$G:$G, (MATCH(217, 輔助計算!$G$2:$G$801, 0)+1))&lt;100, IF(INDEX(ERP資料!$G:$G, (MATCH(217, 輔助計算!$G$2:$G$801, 0)+1))&lt;=31,3,IF(INDEX(ERP資料!$G:$G, (MATCH(217, 輔助計算!$G$2:$G$801, 0)+1))&lt;=46.5,2,1)), IF(INDEX(ERP資料!$G:$G, (MATCH(217, 輔助計算!$G$2:$G$801, 0)+1))&lt;=790,3,IF(INDEX(ERP資料!$G:$G, (MATCH(217, 輔助計算!$G$2:$G$801, 0)+1))&lt;=1181,2,1))))=2,TEXT(INDEX(ERP資料!$G:$G, (MATCH(217, 輔助計算!$G$2:$G$801, 0)+1)),"0.##")&amp;"+"&amp;TEXT(INDEX(ERP資料!$G:$G, (MATCH(217, 輔助計算!$G$2:$G$801, 0)+1)),"0.##"),TEXT(INDEX(ERP資料!$G:$G, (MATCH(217, 輔助計算!$G$2:$G$801, 0)+1)),"0.##")&amp;"+"&amp;TEXT(INDEX(ERP資料!$G:$G, (MATCH(217, 輔助計算!$G$2:$G$801, 0)+1)),"0.##")&amp;"+"&amp;TEXT(INDEX(ERP資料!$G:$G, (MATCH(217, 輔助計算!$G$2:$G$801, 0)+1)),"0.##"))))&amp;"-1")), ""), "")</f>
        <v/>
      </c>
      <c r="K218" s="16" t="n"/>
      <c r="L218" s="14">
        <f>IFERROR(IF(AND(IFERROR(INDEX(ERP資料!$A:$A, (MATCH(217, 輔助計算!$G$2:$G$801, 0)+1)), "")&lt;&gt;"", IFERROR(INDEX(ERP資料!$A:$A, (MATCH(217, 輔助計算!$G$2:$G$801, 0)+1)), "")&lt;&gt;IFERROR(INDEX(ERP資料!$A:$A, MATCH(216, 輔助計算!$G$2:$G$801, 0)+1), "")), INDEX(ERP資料!$B:$B, (MATCH(217, 輔助計算!$G$2:$G$801, 0)+1)), ""), "")</f>
        <v/>
      </c>
      <c r="M218" s="17" t="n"/>
    </row>
    <row r="219">
      <c r="A219" s="10">
        <f>IFERROR(IF(AND(IFERROR(INDEX(ERP資料!$A:$A, (MATCH(218, 輔助計算!$G$2:$G$801, 0)+1)), "")&lt;&gt;"", IFERROR(INDEX(ERP資料!$A:$A, (MATCH(218, 輔助計算!$G$2:$G$801, 0)+1)), "")&lt;&gt;IFERROR(INDEX(ERP資料!$A:$A, MATCH(217, 輔助計算!$G$2:$G$801, 0)+1), "")), IFERROR(INDEX(ERP資料!$A:$A, (MATCH(218, 輔助計算!$G$2:$G$801, 0)+1)), ""), ""), "")</f>
        <v/>
      </c>
      <c r="B219" s="10">
        <f>IFERROR(IF(AND(IFERROR(INDEX(ERP資料!$A:$A, (MATCH(218, 輔助計算!$G$2:$G$801, 0)+1)), "")&lt;&gt;"", IFERROR(INDEX(ERP資料!$A:$A, (MATCH(218, 輔助計算!$G$2:$G$801, 0)+1)), "")&lt;&gt;IFERROR(INDEX(ERP資料!$A:$A, MATCH(217, 輔助計算!$G$2:$G$801, 0)+1), "")), INDEX(ERP資料!$S:$S, (MATCH(218, 輔助計算!$G$2:$G$801, 0)+1)), ""), "")</f>
        <v/>
      </c>
      <c r="C219" s="19">
        <f>IFERROR(IF(AND(IFERROR(INDEX(ERP資料!$A:$A, (MATCH(218, 輔助計算!$G$2:$G$801, 0)+1)), "")&lt;&gt;"", IFERROR(INDEX(ERP資料!$A:$A, (MATCH(218, 輔助計算!$G$2:$G$801, 0)+1)), "")&lt;&gt;IFERROR(INDEX(ERP資料!$A:$A, MATCH(217, 輔助計算!$G$2:$G$801, 0)+1), "")), IFERROR(VLOOKUP(LEFT(INDEX(ERP資料!$S:$S, (MATCH(218, 輔助計算!$G$2:$G$801, 0)+1)), 4), 紙管對照表!$A:$C, 3, FALSE), ""), ""), "")</f>
        <v/>
      </c>
      <c r="D219" s="16" t="n"/>
      <c r="E219" s="10">
        <f>IFERROR(IF(INDEX(ERP資料!$H:$H, (MATCH(218, 輔助計算!$G$2:$G$801, 0)+1))="","",INDEX(ERP資料!$H:$H, (MATCH(218, 輔助計算!$G$2:$G$801, 0)+1))), "")</f>
        <v/>
      </c>
      <c r="F219" s="10">
        <f>IFERROR(IF(INDEX(ERP資料!$E:$E, (MATCH(218, 輔助計算!$G$2:$G$801, 0)+1))="","",TRIM(INDEX(ERP資料!$E:$E, (MATCH(218, 輔助計算!$G$2:$G$801, 0)+1)))), "")</f>
        <v/>
      </c>
      <c r="G219" s="10">
        <f>IFERROR(IF(INDEX(ERP資料!$F:$F, (MATCH(218, 輔助計算!$G$2:$G$801, 0)+1))="","",INDEX(ERP資料!$F:$F, (MATCH(218, 輔助計算!$G$2:$G$801, 0)+1))), "")</f>
        <v/>
      </c>
      <c r="H219" s="10">
        <f>IFERROR(IF(INDEX(ERP資料!$G:$G, (MATCH(218, 輔助計算!$G$2:$G$801, 0)+1))="","",INDEX(ERP資料!$G:$G, (MATCH(218, 輔助計算!$G$2:$G$801, 0)+1))), "")</f>
        <v/>
      </c>
      <c r="I219" s="15">
        <f>IFERROR(INDEX(輔助計算!$D:$D, (MATCH(218, 輔助計算!$G$2:$G$801, 0)+1)), "")</f>
        <v/>
      </c>
      <c r="J219" s="15">
        <f>IFERROR(IF(AND(INDEX(輔助計算!$D:$D, (MATCH(218, 輔助計算!$G$2:$G$801, 0)+1))&lt;&gt;"", INDEX(ERP資料!$G:$G, (MATCH(218, 輔助計算!$G$2:$G$801, 0)+1))&lt;&gt;""), TRIM(IF(INT(INDEX(輔助計算!$D:$D, (MATCH(218, 輔助計算!$G$2:$G$801, 0)+1))/IF(INDEX(ERP資料!$G:$G, (MATCH(218, 輔助計算!$G$2:$G$801, 0)+1))&lt;100, IF(INDEX(ERP資料!$G:$G, (MATCH(218, 輔助計算!$G$2:$G$801, 0)+1))&lt;=31,3,IF(INDEX(ERP資料!$G:$G, (MATCH(218, 輔助計算!$G$2:$G$801, 0)+1))&lt;=46.5,2,1)), IF(INDEX(ERP資料!$G:$G, (MATCH(218, 輔助計算!$G$2:$G$801, 0)+1))&lt;=790,3,IF(INDEX(ERP資料!$G:$G, (MATCH(218, 輔助計算!$G$2:$G$801, 0)+1))&lt;=1181,2,1))))&gt;0, IF(IF(INDEX(ERP資料!$G:$G, (MATCH(218, 輔助計算!$G$2:$G$801, 0)+1))&lt;100, IF(INDEX(ERP資料!$G:$G, (MATCH(218, 輔助計算!$G$2:$G$801, 0)+1))&lt;=31,3,IF(INDEX(ERP資料!$G:$G, (MATCH(218, 輔助計算!$G$2:$G$801, 0)+1))&lt;=46.5,2,1)), IF(INDEX(ERP資料!$G:$G, (MATCH(218, 輔助計算!$G$2:$G$801, 0)+1))&lt;=790,3,IF(INDEX(ERP資料!$G:$G, (MATCH(218, 輔助計算!$G$2:$G$801, 0)+1))&lt;=1181,2,1)))=1,TEXT(INDEX(ERP資料!$G:$G, (MATCH(218, 輔助計算!$G$2:$G$801, 0)+1)),"0.##"),IF(IF(INDEX(ERP資料!$G:$G, (MATCH(218, 輔助計算!$G$2:$G$801, 0)+1))&lt;100, IF(INDEX(ERP資料!$G:$G, (MATCH(218, 輔助計算!$G$2:$G$801, 0)+1))&lt;=31,3,IF(INDEX(ERP資料!$G:$G, (MATCH(218, 輔助計算!$G$2:$G$801, 0)+1))&lt;=46.5,2,1)), IF(INDEX(ERP資料!$G:$G, (MATCH(218, 輔助計算!$G$2:$G$801, 0)+1))&lt;=790,3,IF(INDEX(ERP資料!$G:$G, (MATCH(218, 輔助計算!$G$2:$G$801, 0)+1))&lt;=1181,2,1)))=2,TEXT(INDEX(ERP資料!$G:$G, (MATCH(218, 輔助計算!$G$2:$G$801, 0)+1)),"0.##")&amp;"+"&amp;TEXT(INDEX(ERP資料!$G:$G, (MATCH(218, 輔助計算!$G$2:$G$801, 0)+1)),"0.##"),TEXT(INDEX(ERP資料!$G:$G, (MATCH(218, 輔助計算!$G$2:$G$801, 0)+1)),"0.##")&amp;"+"&amp;TEXT(INDEX(ERP資料!$G:$G, (MATCH(218, 輔助計算!$G$2:$G$801, 0)+1)),"0.##")&amp;"+"&amp;TEXT(INDEX(ERP資料!$G:$G, (MATCH(218, 輔助計算!$G$2:$G$801, 0)+1)),"0.##")))&amp;"-"&amp;INT(INDEX(輔助計算!$D:$D, (MATCH(218, 輔助計算!$G$2:$G$801, 0)+1))/IF(INDEX(ERP資料!$G:$G, (MATCH(218, 輔助計算!$G$2:$G$801, 0)+1))&lt;100, IF(INDEX(ERP資料!$G:$G, (MATCH(218, 輔助計算!$G$2:$G$801, 0)+1))&lt;=31,3,IF(INDEX(ERP資料!$G:$G, (MATCH(218, 輔助計算!$G$2:$G$801, 0)+1))&lt;=46.5,2,1)), IF(INDEX(ERP資料!$G:$G, (MATCH(218, 輔助計算!$G$2:$G$801, 0)+1))&lt;=790,3,IF(INDEX(ERP資料!$G:$G, (MATCH(218, 輔助計算!$G$2:$G$801, 0)+1))&lt;=1181,2,1)))), "")&amp;IF(AND(IF(INT(INDEX(輔助計算!$D:$D, (MATCH(218, 輔助計算!$G$2:$G$801, 0)+1))/IF(INDEX(ERP資料!$G:$G, (MATCH(218, 輔助計算!$G$2:$G$801, 0)+1))&lt;100, IF(INDEX(ERP資料!$G:$G, (MATCH(218, 輔助計算!$G$2:$G$801, 0)+1))&lt;=31,3,IF(INDEX(ERP資料!$G:$G, (MATCH(218, 輔助計算!$G$2:$G$801, 0)+1))&lt;=46.5,2,1)), IF(INDEX(ERP資料!$G:$G, (MATCH(218, 輔助計算!$G$2:$G$801, 0)+1))&lt;=790,3,IF(INDEX(ERP資料!$G:$G, (MATCH(218, 輔助計算!$G$2:$G$801, 0)+1))&lt;=1181,2,1))))&gt;0, IF(IF(INDEX(ERP資料!$G:$G, (MATCH(218, 輔助計算!$G$2:$G$801, 0)+1))&lt;100, IF(INDEX(ERP資料!$G:$G, (MATCH(218, 輔助計算!$G$2:$G$801, 0)+1))&lt;=31,3,IF(INDEX(ERP資料!$G:$G, (MATCH(218, 輔助計算!$G$2:$G$801, 0)+1))&lt;=46.5,2,1)), IF(INDEX(ERP資料!$G:$G, (MATCH(218, 輔助計算!$G$2:$G$801, 0)+1))&lt;=790,3,IF(INDEX(ERP資料!$G:$G, (MATCH(218, 輔助計算!$G$2:$G$801, 0)+1))&lt;=1181,2,1)))=1,TEXT(INDEX(ERP資料!$G:$G, (MATCH(218, 輔助計算!$G$2:$G$801, 0)+1)),"0.##"),IF(IF(INDEX(ERP資料!$G:$G, (MATCH(218, 輔助計算!$G$2:$G$801, 0)+1))&lt;100, IF(INDEX(ERP資料!$G:$G, (MATCH(218, 輔助計算!$G$2:$G$801, 0)+1))&lt;=31,3,IF(INDEX(ERP資料!$G:$G, (MATCH(218, 輔助計算!$G$2:$G$801, 0)+1))&lt;=46.5,2,1)), IF(INDEX(ERP資料!$G:$G, (MATCH(218, 輔助計算!$G$2:$G$801, 0)+1))&lt;=790,3,IF(INDEX(ERP資料!$G:$G, (MATCH(218, 輔助計算!$G$2:$G$801, 0)+1))&lt;=1181,2,1)))=2,TEXT(INDEX(ERP資料!$G:$G, (MATCH(218, 輔助計算!$G$2:$G$801, 0)+1)),"0.##")&amp;"+"&amp;TEXT(INDEX(ERP資料!$G:$G, (MATCH(218, 輔助計算!$G$2:$G$801, 0)+1)),"0.##"),TEXT(INDEX(ERP資料!$G:$G, (MATCH(218, 輔助計算!$G$2:$G$801, 0)+1)),"0.##")&amp;"+"&amp;TEXT(INDEX(ERP資料!$G:$G, (MATCH(218, 輔助計算!$G$2:$G$801, 0)+1)),"0.##")&amp;"+"&amp;TEXT(INDEX(ERP資料!$G:$G, (MATCH(218, 輔助計算!$G$2:$G$801, 0)+1)),"0.##")))&amp;"-"&amp;INT(INDEX(輔助計算!$D:$D, (MATCH(218, 輔助計算!$G$2:$G$801, 0)+1))/IF(INDEX(ERP資料!$G:$G, (MATCH(218, 輔助計算!$G$2:$G$801, 0)+1))&lt;100, IF(INDEX(ERP資料!$G:$G, (MATCH(218, 輔助計算!$G$2:$G$801, 0)+1))&lt;=31,3,IF(INDEX(ERP資料!$G:$G, (MATCH(218, 輔助計算!$G$2:$G$801, 0)+1))&lt;=46.5,2,1)), IF(INDEX(ERP資料!$G:$G, (MATCH(218, 輔助計算!$G$2:$G$801, 0)+1))&lt;=790,3,IF(INDEX(ERP資料!$G:$G, (MATCH(218, 輔助計算!$G$2:$G$801, 0)+1))&lt;=1181,2,1)))), "")&lt;&gt;"",IF(MOD(INDEX(輔助計算!$D:$D, (MATCH(218, 輔助計算!$G$2:$G$801, 0)+1)),IF(INDEX(ERP資料!$G:$G, (MATCH(218, 輔助計算!$G$2:$G$801, 0)+1))&lt;100, IF(INDEX(ERP資料!$G:$G, (MATCH(218, 輔助計算!$G$2:$G$801, 0)+1))&lt;=31,3,IF(INDEX(ERP資料!$G:$G, (MATCH(218, 輔助計算!$G$2:$G$801, 0)+1))&lt;=46.5,2,1)), IF(INDEX(ERP資料!$G:$G, (MATCH(218, 輔助計算!$G$2:$G$801, 0)+1))&lt;=790,3,IF(INDEX(ERP資料!$G:$G, (MATCH(218, 輔助計算!$G$2:$G$801, 0)+1))&lt;=1181,2,1))))=0,"",IF(MOD(INDEX(輔助計算!$D:$D, (MATCH(218, 輔助計算!$G$2:$G$801, 0)+1)),IF(INDEX(ERP資料!$G:$G, (MATCH(218, 輔助計算!$G$2:$G$801, 0)+1))&lt;100, IF(INDEX(ERP資料!$G:$G, (MATCH(218, 輔助計算!$G$2:$G$801, 0)+1))&lt;=31,3,IF(INDEX(ERP資料!$G:$G, (MATCH(218, 輔助計算!$G$2:$G$801, 0)+1))&lt;=46.5,2,1)), IF(INDEX(ERP資料!$G:$G, (MATCH(218, 輔助計算!$G$2:$G$801, 0)+1))&lt;=790,3,IF(INDEX(ERP資料!$G:$G, (MATCH(218, 輔助計算!$G$2:$G$801, 0)+1))&lt;=1181,2,1))))=0,"",IF(MOD(INDEX(輔助計算!$D:$D, (MATCH(218, 輔助計算!$G$2:$G$801, 0)+1)),IF(INDEX(ERP資料!$G:$G, (MATCH(218, 輔助計算!$G$2:$G$801, 0)+1))&lt;100, IF(INDEX(ERP資料!$G:$G, (MATCH(218, 輔助計算!$G$2:$G$801, 0)+1))&lt;=31,3,IF(INDEX(ERP資料!$G:$G, (MATCH(218, 輔助計算!$G$2:$G$801, 0)+1))&lt;=46.5,2,1)), IF(INDEX(ERP資料!$G:$G, (MATCH(218, 輔助計算!$G$2:$G$801, 0)+1))&lt;=790,3,IF(INDEX(ERP資料!$G:$G, (MATCH(218, 輔助計算!$G$2:$G$801, 0)+1))&lt;=1181,2,1))))=1,TEXT(INDEX(ERP資料!$G:$G, (MATCH(218, 輔助計算!$G$2:$G$801, 0)+1)),"0.##"),IF(MOD(INDEX(輔助計算!$D:$D, (MATCH(218, 輔助計算!$G$2:$G$801, 0)+1)),IF(INDEX(ERP資料!$G:$G, (MATCH(218, 輔助計算!$G$2:$G$801, 0)+1))&lt;100, IF(INDEX(ERP資料!$G:$G, (MATCH(218, 輔助計算!$G$2:$G$801, 0)+1))&lt;=31,3,IF(INDEX(ERP資料!$G:$G, (MATCH(218, 輔助計算!$G$2:$G$801, 0)+1))&lt;=46.5,2,1)), IF(INDEX(ERP資料!$G:$G, (MATCH(218, 輔助計算!$G$2:$G$801, 0)+1))&lt;=790,3,IF(INDEX(ERP資料!$G:$G, (MATCH(218, 輔助計算!$G$2:$G$801, 0)+1))&lt;=1181,2,1))))=2,TEXT(INDEX(ERP資料!$G:$G, (MATCH(218, 輔助計算!$G$2:$G$801, 0)+1)),"0.##")&amp;"+"&amp;TEXT(INDEX(ERP資料!$G:$G, (MATCH(218, 輔助計算!$G$2:$G$801, 0)+1)),"0.##"),TEXT(INDEX(ERP資料!$G:$G, (MATCH(218, 輔助計算!$G$2:$G$801, 0)+1)),"0.##")&amp;"+"&amp;TEXT(INDEX(ERP資料!$G:$G, (MATCH(218, 輔助計算!$G$2:$G$801, 0)+1)),"0.##")&amp;"+"&amp;TEXT(INDEX(ERP資料!$G:$G, (MATCH(218, 輔助計算!$G$2:$G$801, 0)+1)),"0.##"))))&amp;"-1")&lt;&gt;""),"  ","")&amp;IF(MOD(INDEX(輔助計算!$D:$D, (MATCH(218, 輔助計算!$G$2:$G$801, 0)+1)),IF(INDEX(ERP資料!$G:$G, (MATCH(218, 輔助計算!$G$2:$G$801, 0)+1))&lt;100, IF(INDEX(ERP資料!$G:$G, (MATCH(218, 輔助計算!$G$2:$G$801, 0)+1))&lt;=31,3,IF(INDEX(ERP資料!$G:$G, (MATCH(218, 輔助計算!$G$2:$G$801, 0)+1))&lt;=46.5,2,1)), IF(INDEX(ERP資料!$G:$G, (MATCH(218, 輔助計算!$G$2:$G$801, 0)+1))&lt;=790,3,IF(INDEX(ERP資料!$G:$G, (MATCH(218, 輔助計算!$G$2:$G$801, 0)+1))&lt;=1181,2,1))))=0,"",IF(MOD(INDEX(輔助計算!$D:$D, (MATCH(218, 輔助計算!$G$2:$G$801, 0)+1)),IF(INDEX(ERP資料!$G:$G, (MATCH(218, 輔助計算!$G$2:$G$801, 0)+1))&lt;100, IF(INDEX(ERP資料!$G:$G, (MATCH(218, 輔助計算!$G$2:$G$801, 0)+1))&lt;=31,3,IF(INDEX(ERP資料!$G:$G, (MATCH(218, 輔助計算!$G$2:$G$801, 0)+1))&lt;=46.5,2,1)), IF(INDEX(ERP資料!$G:$G, (MATCH(218, 輔助計算!$G$2:$G$801, 0)+1))&lt;=790,3,IF(INDEX(ERP資料!$G:$G, (MATCH(218, 輔助計算!$G$2:$G$801, 0)+1))&lt;=1181,2,1))))=0,"",IF(MOD(INDEX(輔助計算!$D:$D, (MATCH(218, 輔助計算!$G$2:$G$801, 0)+1)),IF(INDEX(ERP資料!$G:$G, (MATCH(218, 輔助計算!$G$2:$G$801, 0)+1))&lt;100, IF(INDEX(ERP資料!$G:$G, (MATCH(218, 輔助計算!$G$2:$G$801, 0)+1))&lt;=31,3,IF(INDEX(ERP資料!$G:$G, (MATCH(218, 輔助計算!$G$2:$G$801, 0)+1))&lt;=46.5,2,1)), IF(INDEX(ERP資料!$G:$G, (MATCH(218, 輔助計算!$G$2:$G$801, 0)+1))&lt;=790,3,IF(INDEX(ERP資料!$G:$G, (MATCH(218, 輔助計算!$G$2:$G$801, 0)+1))&lt;=1181,2,1))))=1,TEXT(INDEX(ERP資料!$G:$G, (MATCH(218, 輔助計算!$G$2:$G$801, 0)+1)),"0.##"),IF(MOD(INDEX(輔助計算!$D:$D, (MATCH(218, 輔助計算!$G$2:$G$801, 0)+1)),IF(INDEX(ERP資料!$G:$G, (MATCH(218, 輔助計算!$G$2:$G$801, 0)+1))&lt;100, IF(INDEX(ERP資料!$G:$G, (MATCH(218, 輔助計算!$G$2:$G$801, 0)+1))&lt;=31,3,IF(INDEX(ERP資料!$G:$G, (MATCH(218, 輔助計算!$G$2:$G$801, 0)+1))&lt;=46.5,2,1)), IF(INDEX(ERP資料!$G:$G, (MATCH(218, 輔助計算!$G$2:$G$801, 0)+1))&lt;=790,3,IF(INDEX(ERP資料!$G:$G, (MATCH(218, 輔助計算!$G$2:$G$801, 0)+1))&lt;=1181,2,1))))=2,TEXT(INDEX(ERP資料!$G:$G, (MATCH(218, 輔助計算!$G$2:$G$801, 0)+1)),"0.##")&amp;"+"&amp;TEXT(INDEX(ERP資料!$G:$G, (MATCH(218, 輔助計算!$G$2:$G$801, 0)+1)),"0.##"),TEXT(INDEX(ERP資料!$G:$G, (MATCH(218, 輔助計算!$G$2:$G$801, 0)+1)),"0.##")&amp;"+"&amp;TEXT(INDEX(ERP資料!$G:$G, (MATCH(218, 輔助計算!$G$2:$G$801, 0)+1)),"0.##")&amp;"+"&amp;TEXT(INDEX(ERP資料!$G:$G, (MATCH(218, 輔助計算!$G$2:$G$801, 0)+1)),"0.##"))))&amp;"-1")), ""), "")</f>
        <v/>
      </c>
      <c r="K219" s="16" t="n"/>
      <c r="L219" s="14">
        <f>IFERROR(IF(AND(IFERROR(INDEX(ERP資料!$A:$A, (MATCH(218, 輔助計算!$G$2:$G$801, 0)+1)), "")&lt;&gt;"", IFERROR(INDEX(ERP資料!$A:$A, (MATCH(218, 輔助計算!$G$2:$G$801, 0)+1)), "")&lt;&gt;IFERROR(INDEX(ERP資料!$A:$A, MATCH(217, 輔助計算!$G$2:$G$801, 0)+1), "")), INDEX(ERP資料!$B:$B, (MATCH(218, 輔助計算!$G$2:$G$801, 0)+1)), ""), "")</f>
        <v/>
      </c>
      <c r="M219" s="17" t="n"/>
    </row>
    <row r="220">
      <c r="A220" s="10">
        <f>IFERROR(IF(AND(IFERROR(INDEX(ERP資料!$A:$A, (MATCH(219, 輔助計算!$G$2:$G$801, 0)+1)), "")&lt;&gt;"", IFERROR(INDEX(ERP資料!$A:$A, (MATCH(219, 輔助計算!$G$2:$G$801, 0)+1)), "")&lt;&gt;IFERROR(INDEX(ERP資料!$A:$A, MATCH(218, 輔助計算!$G$2:$G$801, 0)+1), "")), IFERROR(INDEX(ERP資料!$A:$A, (MATCH(219, 輔助計算!$G$2:$G$801, 0)+1)), ""), ""), "")</f>
        <v/>
      </c>
      <c r="B220" s="10">
        <f>IFERROR(IF(AND(IFERROR(INDEX(ERP資料!$A:$A, (MATCH(219, 輔助計算!$G$2:$G$801, 0)+1)), "")&lt;&gt;"", IFERROR(INDEX(ERP資料!$A:$A, (MATCH(219, 輔助計算!$G$2:$G$801, 0)+1)), "")&lt;&gt;IFERROR(INDEX(ERP資料!$A:$A, MATCH(218, 輔助計算!$G$2:$G$801, 0)+1), "")), INDEX(ERP資料!$S:$S, (MATCH(219, 輔助計算!$G$2:$G$801, 0)+1)), ""), "")</f>
        <v/>
      </c>
      <c r="C220" s="19">
        <f>IFERROR(IF(AND(IFERROR(INDEX(ERP資料!$A:$A, (MATCH(219, 輔助計算!$G$2:$G$801, 0)+1)), "")&lt;&gt;"", IFERROR(INDEX(ERP資料!$A:$A, (MATCH(219, 輔助計算!$G$2:$G$801, 0)+1)), "")&lt;&gt;IFERROR(INDEX(ERP資料!$A:$A, MATCH(218, 輔助計算!$G$2:$G$801, 0)+1), "")), IFERROR(VLOOKUP(LEFT(INDEX(ERP資料!$S:$S, (MATCH(219, 輔助計算!$G$2:$G$801, 0)+1)), 4), 紙管對照表!$A:$C, 3, FALSE), ""), ""), "")</f>
        <v/>
      </c>
      <c r="D220" s="16" t="n"/>
      <c r="E220" s="10">
        <f>IFERROR(IF(INDEX(ERP資料!$H:$H, (MATCH(219, 輔助計算!$G$2:$G$801, 0)+1))="","",INDEX(ERP資料!$H:$H, (MATCH(219, 輔助計算!$G$2:$G$801, 0)+1))), "")</f>
        <v/>
      </c>
      <c r="F220" s="10">
        <f>IFERROR(IF(INDEX(ERP資料!$E:$E, (MATCH(219, 輔助計算!$G$2:$G$801, 0)+1))="","",TRIM(INDEX(ERP資料!$E:$E, (MATCH(219, 輔助計算!$G$2:$G$801, 0)+1)))), "")</f>
        <v/>
      </c>
      <c r="G220" s="10">
        <f>IFERROR(IF(INDEX(ERP資料!$F:$F, (MATCH(219, 輔助計算!$G$2:$G$801, 0)+1))="","",INDEX(ERP資料!$F:$F, (MATCH(219, 輔助計算!$G$2:$G$801, 0)+1))), "")</f>
        <v/>
      </c>
      <c r="H220" s="10">
        <f>IFERROR(IF(INDEX(ERP資料!$G:$G, (MATCH(219, 輔助計算!$G$2:$G$801, 0)+1))="","",INDEX(ERP資料!$G:$G, (MATCH(219, 輔助計算!$G$2:$G$801, 0)+1))), "")</f>
        <v/>
      </c>
      <c r="I220" s="15">
        <f>IFERROR(INDEX(輔助計算!$D:$D, (MATCH(219, 輔助計算!$G$2:$G$801, 0)+1)), "")</f>
        <v/>
      </c>
      <c r="J220" s="15">
        <f>IFERROR(IF(AND(INDEX(輔助計算!$D:$D, (MATCH(219, 輔助計算!$G$2:$G$801, 0)+1))&lt;&gt;"", INDEX(ERP資料!$G:$G, (MATCH(219, 輔助計算!$G$2:$G$801, 0)+1))&lt;&gt;""), TRIM(IF(INT(INDEX(輔助計算!$D:$D, (MATCH(219, 輔助計算!$G$2:$G$801, 0)+1))/IF(INDEX(ERP資料!$G:$G, (MATCH(219, 輔助計算!$G$2:$G$801, 0)+1))&lt;100, IF(INDEX(ERP資料!$G:$G, (MATCH(219, 輔助計算!$G$2:$G$801, 0)+1))&lt;=31,3,IF(INDEX(ERP資料!$G:$G, (MATCH(219, 輔助計算!$G$2:$G$801, 0)+1))&lt;=46.5,2,1)), IF(INDEX(ERP資料!$G:$G, (MATCH(219, 輔助計算!$G$2:$G$801, 0)+1))&lt;=790,3,IF(INDEX(ERP資料!$G:$G, (MATCH(219, 輔助計算!$G$2:$G$801, 0)+1))&lt;=1181,2,1))))&gt;0, IF(IF(INDEX(ERP資料!$G:$G, (MATCH(219, 輔助計算!$G$2:$G$801, 0)+1))&lt;100, IF(INDEX(ERP資料!$G:$G, (MATCH(219, 輔助計算!$G$2:$G$801, 0)+1))&lt;=31,3,IF(INDEX(ERP資料!$G:$G, (MATCH(219, 輔助計算!$G$2:$G$801, 0)+1))&lt;=46.5,2,1)), IF(INDEX(ERP資料!$G:$G, (MATCH(219, 輔助計算!$G$2:$G$801, 0)+1))&lt;=790,3,IF(INDEX(ERP資料!$G:$G, (MATCH(219, 輔助計算!$G$2:$G$801, 0)+1))&lt;=1181,2,1)))=1,TEXT(INDEX(ERP資料!$G:$G, (MATCH(219, 輔助計算!$G$2:$G$801, 0)+1)),"0.##"),IF(IF(INDEX(ERP資料!$G:$G, (MATCH(219, 輔助計算!$G$2:$G$801, 0)+1))&lt;100, IF(INDEX(ERP資料!$G:$G, (MATCH(219, 輔助計算!$G$2:$G$801, 0)+1))&lt;=31,3,IF(INDEX(ERP資料!$G:$G, (MATCH(219, 輔助計算!$G$2:$G$801, 0)+1))&lt;=46.5,2,1)), IF(INDEX(ERP資料!$G:$G, (MATCH(219, 輔助計算!$G$2:$G$801, 0)+1))&lt;=790,3,IF(INDEX(ERP資料!$G:$G, (MATCH(219, 輔助計算!$G$2:$G$801, 0)+1))&lt;=1181,2,1)))=2,TEXT(INDEX(ERP資料!$G:$G, (MATCH(219, 輔助計算!$G$2:$G$801, 0)+1)),"0.##")&amp;"+"&amp;TEXT(INDEX(ERP資料!$G:$G, (MATCH(219, 輔助計算!$G$2:$G$801, 0)+1)),"0.##"),TEXT(INDEX(ERP資料!$G:$G, (MATCH(219, 輔助計算!$G$2:$G$801, 0)+1)),"0.##")&amp;"+"&amp;TEXT(INDEX(ERP資料!$G:$G, (MATCH(219, 輔助計算!$G$2:$G$801, 0)+1)),"0.##")&amp;"+"&amp;TEXT(INDEX(ERP資料!$G:$G, (MATCH(219, 輔助計算!$G$2:$G$801, 0)+1)),"0.##")))&amp;"-"&amp;INT(INDEX(輔助計算!$D:$D, (MATCH(219, 輔助計算!$G$2:$G$801, 0)+1))/IF(INDEX(ERP資料!$G:$G, (MATCH(219, 輔助計算!$G$2:$G$801, 0)+1))&lt;100, IF(INDEX(ERP資料!$G:$G, (MATCH(219, 輔助計算!$G$2:$G$801, 0)+1))&lt;=31,3,IF(INDEX(ERP資料!$G:$G, (MATCH(219, 輔助計算!$G$2:$G$801, 0)+1))&lt;=46.5,2,1)), IF(INDEX(ERP資料!$G:$G, (MATCH(219, 輔助計算!$G$2:$G$801, 0)+1))&lt;=790,3,IF(INDEX(ERP資料!$G:$G, (MATCH(219, 輔助計算!$G$2:$G$801, 0)+1))&lt;=1181,2,1)))), "")&amp;IF(AND(IF(INT(INDEX(輔助計算!$D:$D, (MATCH(219, 輔助計算!$G$2:$G$801, 0)+1))/IF(INDEX(ERP資料!$G:$G, (MATCH(219, 輔助計算!$G$2:$G$801, 0)+1))&lt;100, IF(INDEX(ERP資料!$G:$G, (MATCH(219, 輔助計算!$G$2:$G$801, 0)+1))&lt;=31,3,IF(INDEX(ERP資料!$G:$G, (MATCH(219, 輔助計算!$G$2:$G$801, 0)+1))&lt;=46.5,2,1)), IF(INDEX(ERP資料!$G:$G, (MATCH(219, 輔助計算!$G$2:$G$801, 0)+1))&lt;=790,3,IF(INDEX(ERP資料!$G:$G, (MATCH(219, 輔助計算!$G$2:$G$801, 0)+1))&lt;=1181,2,1))))&gt;0, IF(IF(INDEX(ERP資料!$G:$G, (MATCH(219, 輔助計算!$G$2:$G$801, 0)+1))&lt;100, IF(INDEX(ERP資料!$G:$G, (MATCH(219, 輔助計算!$G$2:$G$801, 0)+1))&lt;=31,3,IF(INDEX(ERP資料!$G:$G, (MATCH(219, 輔助計算!$G$2:$G$801, 0)+1))&lt;=46.5,2,1)), IF(INDEX(ERP資料!$G:$G, (MATCH(219, 輔助計算!$G$2:$G$801, 0)+1))&lt;=790,3,IF(INDEX(ERP資料!$G:$G, (MATCH(219, 輔助計算!$G$2:$G$801, 0)+1))&lt;=1181,2,1)))=1,TEXT(INDEX(ERP資料!$G:$G, (MATCH(219, 輔助計算!$G$2:$G$801, 0)+1)),"0.##"),IF(IF(INDEX(ERP資料!$G:$G, (MATCH(219, 輔助計算!$G$2:$G$801, 0)+1))&lt;100, IF(INDEX(ERP資料!$G:$G, (MATCH(219, 輔助計算!$G$2:$G$801, 0)+1))&lt;=31,3,IF(INDEX(ERP資料!$G:$G, (MATCH(219, 輔助計算!$G$2:$G$801, 0)+1))&lt;=46.5,2,1)), IF(INDEX(ERP資料!$G:$G, (MATCH(219, 輔助計算!$G$2:$G$801, 0)+1))&lt;=790,3,IF(INDEX(ERP資料!$G:$G, (MATCH(219, 輔助計算!$G$2:$G$801, 0)+1))&lt;=1181,2,1)))=2,TEXT(INDEX(ERP資料!$G:$G, (MATCH(219, 輔助計算!$G$2:$G$801, 0)+1)),"0.##")&amp;"+"&amp;TEXT(INDEX(ERP資料!$G:$G, (MATCH(219, 輔助計算!$G$2:$G$801, 0)+1)),"0.##"),TEXT(INDEX(ERP資料!$G:$G, (MATCH(219, 輔助計算!$G$2:$G$801, 0)+1)),"0.##")&amp;"+"&amp;TEXT(INDEX(ERP資料!$G:$G, (MATCH(219, 輔助計算!$G$2:$G$801, 0)+1)),"0.##")&amp;"+"&amp;TEXT(INDEX(ERP資料!$G:$G, (MATCH(219, 輔助計算!$G$2:$G$801, 0)+1)),"0.##")))&amp;"-"&amp;INT(INDEX(輔助計算!$D:$D, (MATCH(219, 輔助計算!$G$2:$G$801, 0)+1))/IF(INDEX(ERP資料!$G:$G, (MATCH(219, 輔助計算!$G$2:$G$801, 0)+1))&lt;100, IF(INDEX(ERP資料!$G:$G, (MATCH(219, 輔助計算!$G$2:$G$801, 0)+1))&lt;=31,3,IF(INDEX(ERP資料!$G:$G, (MATCH(219, 輔助計算!$G$2:$G$801, 0)+1))&lt;=46.5,2,1)), IF(INDEX(ERP資料!$G:$G, (MATCH(219, 輔助計算!$G$2:$G$801, 0)+1))&lt;=790,3,IF(INDEX(ERP資料!$G:$G, (MATCH(219, 輔助計算!$G$2:$G$801, 0)+1))&lt;=1181,2,1)))), "")&lt;&gt;"",IF(MOD(INDEX(輔助計算!$D:$D, (MATCH(219, 輔助計算!$G$2:$G$801, 0)+1)),IF(INDEX(ERP資料!$G:$G, (MATCH(219, 輔助計算!$G$2:$G$801, 0)+1))&lt;100, IF(INDEX(ERP資料!$G:$G, (MATCH(219, 輔助計算!$G$2:$G$801, 0)+1))&lt;=31,3,IF(INDEX(ERP資料!$G:$G, (MATCH(219, 輔助計算!$G$2:$G$801, 0)+1))&lt;=46.5,2,1)), IF(INDEX(ERP資料!$G:$G, (MATCH(219, 輔助計算!$G$2:$G$801, 0)+1))&lt;=790,3,IF(INDEX(ERP資料!$G:$G, (MATCH(219, 輔助計算!$G$2:$G$801, 0)+1))&lt;=1181,2,1))))=0,"",IF(MOD(INDEX(輔助計算!$D:$D, (MATCH(219, 輔助計算!$G$2:$G$801, 0)+1)),IF(INDEX(ERP資料!$G:$G, (MATCH(219, 輔助計算!$G$2:$G$801, 0)+1))&lt;100, IF(INDEX(ERP資料!$G:$G, (MATCH(219, 輔助計算!$G$2:$G$801, 0)+1))&lt;=31,3,IF(INDEX(ERP資料!$G:$G, (MATCH(219, 輔助計算!$G$2:$G$801, 0)+1))&lt;=46.5,2,1)), IF(INDEX(ERP資料!$G:$G, (MATCH(219, 輔助計算!$G$2:$G$801, 0)+1))&lt;=790,3,IF(INDEX(ERP資料!$G:$G, (MATCH(219, 輔助計算!$G$2:$G$801, 0)+1))&lt;=1181,2,1))))=0,"",IF(MOD(INDEX(輔助計算!$D:$D, (MATCH(219, 輔助計算!$G$2:$G$801, 0)+1)),IF(INDEX(ERP資料!$G:$G, (MATCH(219, 輔助計算!$G$2:$G$801, 0)+1))&lt;100, IF(INDEX(ERP資料!$G:$G, (MATCH(219, 輔助計算!$G$2:$G$801, 0)+1))&lt;=31,3,IF(INDEX(ERP資料!$G:$G, (MATCH(219, 輔助計算!$G$2:$G$801, 0)+1))&lt;=46.5,2,1)), IF(INDEX(ERP資料!$G:$G, (MATCH(219, 輔助計算!$G$2:$G$801, 0)+1))&lt;=790,3,IF(INDEX(ERP資料!$G:$G, (MATCH(219, 輔助計算!$G$2:$G$801, 0)+1))&lt;=1181,2,1))))=1,TEXT(INDEX(ERP資料!$G:$G, (MATCH(219, 輔助計算!$G$2:$G$801, 0)+1)),"0.##"),IF(MOD(INDEX(輔助計算!$D:$D, (MATCH(219, 輔助計算!$G$2:$G$801, 0)+1)),IF(INDEX(ERP資料!$G:$G, (MATCH(219, 輔助計算!$G$2:$G$801, 0)+1))&lt;100, IF(INDEX(ERP資料!$G:$G, (MATCH(219, 輔助計算!$G$2:$G$801, 0)+1))&lt;=31,3,IF(INDEX(ERP資料!$G:$G, (MATCH(219, 輔助計算!$G$2:$G$801, 0)+1))&lt;=46.5,2,1)), IF(INDEX(ERP資料!$G:$G, (MATCH(219, 輔助計算!$G$2:$G$801, 0)+1))&lt;=790,3,IF(INDEX(ERP資料!$G:$G, (MATCH(219, 輔助計算!$G$2:$G$801, 0)+1))&lt;=1181,2,1))))=2,TEXT(INDEX(ERP資料!$G:$G, (MATCH(219, 輔助計算!$G$2:$G$801, 0)+1)),"0.##")&amp;"+"&amp;TEXT(INDEX(ERP資料!$G:$G, (MATCH(219, 輔助計算!$G$2:$G$801, 0)+1)),"0.##"),TEXT(INDEX(ERP資料!$G:$G, (MATCH(219, 輔助計算!$G$2:$G$801, 0)+1)),"0.##")&amp;"+"&amp;TEXT(INDEX(ERP資料!$G:$G, (MATCH(219, 輔助計算!$G$2:$G$801, 0)+1)),"0.##")&amp;"+"&amp;TEXT(INDEX(ERP資料!$G:$G, (MATCH(219, 輔助計算!$G$2:$G$801, 0)+1)),"0.##"))))&amp;"-1")&lt;&gt;""),"  ","")&amp;IF(MOD(INDEX(輔助計算!$D:$D, (MATCH(219, 輔助計算!$G$2:$G$801, 0)+1)),IF(INDEX(ERP資料!$G:$G, (MATCH(219, 輔助計算!$G$2:$G$801, 0)+1))&lt;100, IF(INDEX(ERP資料!$G:$G, (MATCH(219, 輔助計算!$G$2:$G$801, 0)+1))&lt;=31,3,IF(INDEX(ERP資料!$G:$G, (MATCH(219, 輔助計算!$G$2:$G$801, 0)+1))&lt;=46.5,2,1)), IF(INDEX(ERP資料!$G:$G, (MATCH(219, 輔助計算!$G$2:$G$801, 0)+1))&lt;=790,3,IF(INDEX(ERP資料!$G:$G, (MATCH(219, 輔助計算!$G$2:$G$801, 0)+1))&lt;=1181,2,1))))=0,"",IF(MOD(INDEX(輔助計算!$D:$D, (MATCH(219, 輔助計算!$G$2:$G$801, 0)+1)),IF(INDEX(ERP資料!$G:$G, (MATCH(219, 輔助計算!$G$2:$G$801, 0)+1))&lt;100, IF(INDEX(ERP資料!$G:$G, (MATCH(219, 輔助計算!$G$2:$G$801, 0)+1))&lt;=31,3,IF(INDEX(ERP資料!$G:$G, (MATCH(219, 輔助計算!$G$2:$G$801, 0)+1))&lt;=46.5,2,1)), IF(INDEX(ERP資料!$G:$G, (MATCH(219, 輔助計算!$G$2:$G$801, 0)+1))&lt;=790,3,IF(INDEX(ERP資料!$G:$G, (MATCH(219, 輔助計算!$G$2:$G$801, 0)+1))&lt;=1181,2,1))))=0,"",IF(MOD(INDEX(輔助計算!$D:$D, (MATCH(219, 輔助計算!$G$2:$G$801, 0)+1)),IF(INDEX(ERP資料!$G:$G, (MATCH(219, 輔助計算!$G$2:$G$801, 0)+1))&lt;100, IF(INDEX(ERP資料!$G:$G, (MATCH(219, 輔助計算!$G$2:$G$801, 0)+1))&lt;=31,3,IF(INDEX(ERP資料!$G:$G, (MATCH(219, 輔助計算!$G$2:$G$801, 0)+1))&lt;=46.5,2,1)), IF(INDEX(ERP資料!$G:$G, (MATCH(219, 輔助計算!$G$2:$G$801, 0)+1))&lt;=790,3,IF(INDEX(ERP資料!$G:$G, (MATCH(219, 輔助計算!$G$2:$G$801, 0)+1))&lt;=1181,2,1))))=1,TEXT(INDEX(ERP資料!$G:$G, (MATCH(219, 輔助計算!$G$2:$G$801, 0)+1)),"0.##"),IF(MOD(INDEX(輔助計算!$D:$D, (MATCH(219, 輔助計算!$G$2:$G$801, 0)+1)),IF(INDEX(ERP資料!$G:$G, (MATCH(219, 輔助計算!$G$2:$G$801, 0)+1))&lt;100, IF(INDEX(ERP資料!$G:$G, (MATCH(219, 輔助計算!$G$2:$G$801, 0)+1))&lt;=31,3,IF(INDEX(ERP資料!$G:$G, (MATCH(219, 輔助計算!$G$2:$G$801, 0)+1))&lt;=46.5,2,1)), IF(INDEX(ERP資料!$G:$G, (MATCH(219, 輔助計算!$G$2:$G$801, 0)+1))&lt;=790,3,IF(INDEX(ERP資料!$G:$G, (MATCH(219, 輔助計算!$G$2:$G$801, 0)+1))&lt;=1181,2,1))))=2,TEXT(INDEX(ERP資料!$G:$G, (MATCH(219, 輔助計算!$G$2:$G$801, 0)+1)),"0.##")&amp;"+"&amp;TEXT(INDEX(ERP資料!$G:$G, (MATCH(219, 輔助計算!$G$2:$G$801, 0)+1)),"0.##"),TEXT(INDEX(ERP資料!$G:$G, (MATCH(219, 輔助計算!$G$2:$G$801, 0)+1)),"0.##")&amp;"+"&amp;TEXT(INDEX(ERP資料!$G:$G, (MATCH(219, 輔助計算!$G$2:$G$801, 0)+1)),"0.##")&amp;"+"&amp;TEXT(INDEX(ERP資料!$G:$G, (MATCH(219, 輔助計算!$G$2:$G$801, 0)+1)),"0.##"))))&amp;"-1")), ""), "")</f>
        <v/>
      </c>
      <c r="K220" s="16" t="n"/>
      <c r="L220" s="14">
        <f>IFERROR(IF(AND(IFERROR(INDEX(ERP資料!$A:$A, (MATCH(219, 輔助計算!$G$2:$G$801, 0)+1)), "")&lt;&gt;"", IFERROR(INDEX(ERP資料!$A:$A, (MATCH(219, 輔助計算!$G$2:$G$801, 0)+1)), "")&lt;&gt;IFERROR(INDEX(ERP資料!$A:$A, MATCH(218, 輔助計算!$G$2:$G$801, 0)+1), "")), INDEX(ERP資料!$B:$B, (MATCH(219, 輔助計算!$G$2:$G$801, 0)+1)), ""), "")</f>
        <v/>
      </c>
      <c r="M220" s="17" t="n"/>
    </row>
    <row r="221">
      <c r="A221" s="10">
        <f>IFERROR(IF(AND(IFERROR(INDEX(ERP資料!$A:$A, (MATCH(220, 輔助計算!$G$2:$G$801, 0)+1)), "")&lt;&gt;"", IFERROR(INDEX(ERP資料!$A:$A, (MATCH(220, 輔助計算!$G$2:$G$801, 0)+1)), "")&lt;&gt;IFERROR(INDEX(ERP資料!$A:$A, MATCH(219, 輔助計算!$G$2:$G$801, 0)+1), "")), IFERROR(INDEX(ERP資料!$A:$A, (MATCH(220, 輔助計算!$G$2:$G$801, 0)+1)), ""), ""), "")</f>
        <v/>
      </c>
      <c r="B221" s="10">
        <f>IFERROR(IF(AND(IFERROR(INDEX(ERP資料!$A:$A, (MATCH(220, 輔助計算!$G$2:$G$801, 0)+1)), "")&lt;&gt;"", IFERROR(INDEX(ERP資料!$A:$A, (MATCH(220, 輔助計算!$G$2:$G$801, 0)+1)), "")&lt;&gt;IFERROR(INDEX(ERP資料!$A:$A, MATCH(219, 輔助計算!$G$2:$G$801, 0)+1), "")), INDEX(ERP資料!$S:$S, (MATCH(220, 輔助計算!$G$2:$G$801, 0)+1)), ""), "")</f>
        <v/>
      </c>
      <c r="C221" s="19">
        <f>IFERROR(IF(AND(IFERROR(INDEX(ERP資料!$A:$A, (MATCH(220, 輔助計算!$G$2:$G$801, 0)+1)), "")&lt;&gt;"", IFERROR(INDEX(ERP資料!$A:$A, (MATCH(220, 輔助計算!$G$2:$G$801, 0)+1)), "")&lt;&gt;IFERROR(INDEX(ERP資料!$A:$A, MATCH(219, 輔助計算!$G$2:$G$801, 0)+1), "")), IFERROR(VLOOKUP(LEFT(INDEX(ERP資料!$S:$S, (MATCH(220, 輔助計算!$G$2:$G$801, 0)+1)), 4), 紙管對照表!$A:$C, 3, FALSE), ""), ""), "")</f>
        <v/>
      </c>
      <c r="D221" s="16" t="n"/>
      <c r="E221" s="10">
        <f>IFERROR(IF(INDEX(ERP資料!$H:$H, (MATCH(220, 輔助計算!$G$2:$G$801, 0)+1))="","",INDEX(ERP資料!$H:$H, (MATCH(220, 輔助計算!$G$2:$G$801, 0)+1))), "")</f>
        <v/>
      </c>
      <c r="F221" s="10">
        <f>IFERROR(IF(INDEX(ERP資料!$E:$E, (MATCH(220, 輔助計算!$G$2:$G$801, 0)+1))="","",TRIM(INDEX(ERP資料!$E:$E, (MATCH(220, 輔助計算!$G$2:$G$801, 0)+1)))), "")</f>
        <v/>
      </c>
      <c r="G221" s="10">
        <f>IFERROR(IF(INDEX(ERP資料!$F:$F, (MATCH(220, 輔助計算!$G$2:$G$801, 0)+1))="","",INDEX(ERP資料!$F:$F, (MATCH(220, 輔助計算!$G$2:$G$801, 0)+1))), "")</f>
        <v/>
      </c>
      <c r="H221" s="10">
        <f>IFERROR(IF(INDEX(ERP資料!$G:$G, (MATCH(220, 輔助計算!$G$2:$G$801, 0)+1))="","",INDEX(ERP資料!$G:$G, (MATCH(220, 輔助計算!$G$2:$G$801, 0)+1))), "")</f>
        <v/>
      </c>
      <c r="I221" s="15">
        <f>IFERROR(INDEX(輔助計算!$D:$D, (MATCH(220, 輔助計算!$G$2:$G$801, 0)+1)), "")</f>
        <v/>
      </c>
      <c r="J221" s="15">
        <f>IFERROR(IF(AND(INDEX(輔助計算!$D:$D, (MATCH(220, 輔助計算!$G$2:$G$801, 0)+1))&lt;&gt;"", INDEX(ERP資料!$G:$G, (MATCH(220, 輔助計算!$G$2:$G$801, 0)+1))&lt;&gt;""), TRIM(IF(INT(INDEX(輔助計算!$D:$D, (MATCH(220, 輔助計算!$G$2:$G$801, 0)+1))/IF(INDEX(ERP資料!$G:$G, (MATCH(220, 輔助計算!$G$2:$G$801, 0)+1))&lt;100, IF(INDEX(ERP資料!$G:$G, (MATCH(220, 輔助計算!$G$2:$G$801, 0)+1))&lt;=31,3,IF(INDEX(ERP資料!$G:$G, (MATCH(220, 輔助計算!$G$2:$G$801, 0)+1))&lt;=46.5,2,1)), IF(INDEX(ERP資料!$G:$G, (MATCH(220, 輔助計算!$G$2:$G$801, 0)+1))&lt;=790,3,IF(INDEX(ERP資料!$G:$G, (MATCH(220, 輔助計算!$G$2:$G$801, 0)+1))&lt;=1181,2,1))))&gt;0, IF(IF(INDEX(ERP資料!$G:$G, (MATCH(220, 輔助計算!$G$2:$G$801, 0)+1))&lt;100, IF(INDEX(ERP資料!$G:$G, (MATCH(220, 輔助計算!$G$2:$G$801, 0)+1))&lt;=31,3,IF(INDEX(ERP資料!$G:$G, (MATCH(220, 輔助計算!$G$2:$G$801, 0)+1))&lt;=46.5,2,1)), IF(INDEX(ERP資料!$G:$G, (MATCH(220, 輔助計算!$G$2:$G$801, 0)+1))&lt;=790,3,IF(INDEX(ERP資料!$G:$G, (MATCH(220, 輔助計算!$G$2:$G$801, 0)+1))&lt;=1181,2,1)))=1,TEXT(INDEX(ERP資料!$G:$G, (MATCH(220, 輔助計算!$G$2:$G$801, 0)+1)),"0.##"),IF(IF(INDEX(ERP資料!$G:$G, (MATCH(220, 輔助計算!$G$2:$G$801, 0)+1))&lt;100, IF(INDEX(ERP資料!$G:$G, (MATCH(220, 輔助計算!$G$2:$G$801, 0)+1))&lt;=31,3,IF(INDEX(ERP資料!$G:$G, (MATCH(220, 輔助計算!$G$2:$G$801, 0)+1))&lt;=46.5,2,1)), IF(INDEX(ERP資料!$G:$G, (MATCH(220, 輔助計算!$G$2:$G$801, 0)+1))&lt;=790,3,IF(INDEX(ERP資料!$G:$G, (MATCH(220, 輔助計算!$G$2:$G$801, 0)+1))&lt;=1181,2,1)))=2,TEXT(INDEX(ERP資料!$G:$G, (MATCH(220, 輔助計算!$G$2:$G$801, 0)+1)),"0.##")&amp;"+"&amp;TEXT(INDEX(ERP資料!$G:$G, (MATCH(220, 輔助計算!$G$2:$G$801, 0)+1)),"0.##"),TEXT(INDEX(ERP資料!$G:$G, (MATCH(220, 輔助計算!$G$2:$G$801, 0)+1)),"0.##")&amp;"+"&amp;TEXT(INDEX(ERP資料!$G:$G, (MATCH(220, 輔助計算!$G$2:$G$801, 0)+1)),"0.##")&amp;"+"&amp;TEXT(INDEX(ERP資料!$G:$G, (MATCH(220, 輔助計算!$G$2:$G$801, 0)+1)),"0.##")))&amp;"-"&amp;INT(INDEX(輔助計算!$D:$D, (MATCH(220, 輔助計算!$G$2:$G$801, 0)+1))/IF(INDEX(ERP資料!$G:$G, (MATCH(220, 輔助計算!$G$2:$G$801, 0)+1))&lt;100, IF(INDEX(ERP資料!$G:$G, (MATCH(220, 輔助計算!$G$2:$G$801, 0)+1))&lt;=31,3,IF(INDEX(ERP資料!$G:$G, (MATCH(220, 輔助計算!$G$2:$G$801, 0)+1))&lt;=46.5,2,1)), IF(INDEX(ERP資料!$G:$G, (MATCH(220, 輔助計算!$G$2:$G$801, 0)+1))&lt;=790,3,IF(INDEX(ERP資料!$G:$G, (MATCH(220, 輔助計算!$G$2:$G$801, 0)+1))&lt;=1181,2,1)))), "")&amp;IF(AND(IF(INT(INDEX(輔助計算!$D:$D, (MATCH(220, 輔助計算!$G$2:$G$801, 0)+1))/IF(INDEX(ERP資料!$G:$G, (MATCH(220, 輔助計算!$G$2:$G$801, 0)+1))&lt;100, IF(INDEX(ERP資料!$G:$G, (MATCH(220, 輔助計算!$G$2:$G$801, 0)+1))&lt;=31,3,IF(INDEX(ERP資料!$G:$G, (MATCH(220, 輔助計算!$G$2:$G$801, 0)+1))&lt;=46.5,2,1)), IF(INDEX(ERP資料!$G:$G, (MATCH(220, 輔助計算!$G$2:$G$801, 0)+1))&lt;=790,3,IF(INDEX(ERP資料!$G:$G, (MATCH(220, 輔助計算!$G$2:$G$801, 0)+1))&lt;=1181,2,1))))&gt;0, IF(IF(INDEX(ERP資料!$G:$G, (MATCH(220, 輔助計算!$G$2:$G$801, 0)+1))&lt;100, IF(INDEX(ERP資料!$G:$G, (MATCH(220, 輔助計算!$G$2:$G$801, 0)+1))&lt;=31,3,IF(INDEX(ERP資料!$G:$G, (MATCH(220, 輔助計算!$G$2:$G$801, 0)+1))&lt;=46.5,2,1)), IF(INDEX(ERP資料!$G:$G, (MATCH(220, 輔助計算!$G$2:$G$801, 0)+1))&lt;=790,3,IF(INDEX(ERP資料!$G:$G, (MATCH(220, 輔助計算!$G$2:$G$801, 0)+1))&lt;=1181,2,1)))=1,TEXT(INDEX(ERP資料!$G:$G, (MATCH(220, 輔助計算!$G$2:$G$801, 0)+1)),"0.##"),IF(IF(INDEX(ERP資料!$G:$G, (MATCH(220, 輔助計算!$G$2:$G$801, 0)+1))&lt;100, IF(INDEX(ERP資料!$G:$G, (MATCH(220, 輔助計算!$G$2:$G$801, 0)+1))&lt;=31,3,IF(INDEX(ERP資料!$G:$G, (MATCH(220, 輔助計算!$G$2:$G$801, 0)+1))&lt;=46.5,2,1)), IF(INDEX(ERP資料!$G:$G, (MATCH(220, 輔助計算!$G$2:$G$801, 0)+1))&lt;=790,3,IF(INDEX(ERP資料!$G:$G, (MATCH(220, 輔助計算!$G$2:$G$801, 0)+1))&lt;=1181,2,1)))=2,TEXT(INDEX(ERP資料!$G:$G, (MATCH(220, 輔助計算!$G$2:$G$801, 0)+1)),"0.##")&amp;"+"&amp;TEXT(INDEX(ERP資料!$G:$G, (MATCH(220, 輔助計算!$G$2:$G$801, 0)+1)),"0.##"),TEXT(INDEX(ERP資料!$G:$G, (MATCH(220, 輔助計算!$G$2:$G$801, 0)+1)),"0.##")&amp;"+"&amp;TEXT(INDEX(ERP資料!$G:$G, (MATCH(220, 輔助計算!$G$2:$G$801, 0)+1)),"0.##")&amp;"+"&amp;TEXT(INDEX(ERP資料!$G:$G, (MATCH(220, 輔助計算!$G$2:$G$801, 0)+1)),"0.##")))&amp;"-"&amp;INT(INDEX(輔助計算!$D:$D, (MATCH(220, 輔助計算!$G$2:$G$801, 0)+1))/IF(INDEX(ERP資料!$G:$G, (MATCH(220, 輔助計算!$G$2:$G$801, 0)+1))&lt;100, IF(INDEX(ERP資料!$G:$G, (MATCH(220, 輔助計算!$G$2:$G$801, 0)+1))&lt;=31,3,IF(INDEX(ERP資料!$G:$G, (MATCH(220, 輔助計算!$G$2:$G$801, 0)+1))&lt;=46.5,2,1)), IF(INDEX(ERP資料!$G:$G, (MATCH(220, 輔助計算!$G$2:$G$801, 0)+1))&lt;=790,3,IF(INDEX(ERP資料!$G:$G, (MATCH(220, 輔助計算!$G$2:$G$801, 0)+1))&lt;=1181,2,1)))), "")&lt;&gt;"",IF(MOD(INDEX(輔助計算!$D:$D, (MATCH(220, 輔助計算!$G$2:$G$801, 0)+1)),IF(INDEX(ERP資料!$G:$G, (MATCH(220, 輔助計算!$G$2:$G$801, 0)+1))&lt;100, IF(INDEX(ERP資料!$G:$G, (MATCH(220, 輔助計算!$G$2:$G$801, 0)+1))&lt;=31,3,IF(INDEX(ERP資料!$G:$G, (MATCH(220, 輔助計算!$G$2:$G$801, 0)+1))&lt;=46.5,2,1)), IF(INDEX(ERP資料!$G:$G, (MATCH(220, 輔助計算!$G$2:$G$801, 0)+1))&lt;=790,3,IF(INDEX(ERP資料!$G:$G, (MATCH(220, 輔助計算!$G$2:$G$801, 0)+1))&lt;=1181,2,1))))=0,"",IF(MOD(INDEX(輔助計算!$D:$D, (MATCH(220, 輔助計算!$G$2:$G$801, 0)+1)),IF(INDEX(ERP資料!$G:$G, (MATCH(220, 輔助計算!$G$2:$G$801, 0)+1))&lt;100, IF(INDEX(ERP資料!$G:$G, (MATCH(220, 輔助計算!$G$2:$G$801, 0)+1))&lt;=31,3,IF(INDEX(ERP資料!$G:$G, (MATCH(220, 輔助計算!$G$2:$G$801, 0)+1))&lt;=46.5,2,1)), IF(INDEX(ERP資料!$G:$G, (MATCH(220, 輔助計算!$G$2:$G$801, 0)+1))&lt;=790,3,IF(INDEX(ERP資料!$G:$G, (MATCH(220, 輔助計算!$G$2:$G$801, 0)+1))&lt;=1181,2,1))))=0,"",IF(MOD(INDEX(輔助計算!$D:$D, (MATCH(220, 輔助計算!$G$2:$G$801, 0)+1)),IF(INDEX(ERP資料!$G:$G, (MATCH(220, 輔助計算!$G$2:$G$801, 0)+1))&lt;100, IF(INDEX(ERP資料!$G:$G, (MATCH(220, 輔助計算!$G$2:$G$801, 0)+1))&lt;=31,3,IF(INDEX(ERP資料!$G:$G, (MATCH(220, 輔助計算!$G$2:$G$801, 0)+1))&lt;=46.5,2,1)), IF(INDEX(ERP資料!$G:$G, (MATCH(220, 輔助計算!$G$2:$G$801, 0)+1))&lt;=790,3,IF(INDEX(ERP資料!$G:$G, (MATCH(220, 輔助計算!$G$2:$G$801, 0)+1))&lt;=1181,2,1))))=1,TEXT(INDEX(ERP資料!$G:$G, (MATCH(220, 輔助計算!$G$2:$G$801, 0)+1)),"0.##"),IF(MOD(INDEX(輔助計算!$D:$D, (MATCH(220, 輔助計算!$G$2:$G$801, 0)+1)),IF(INDEX(ERP資料!$G:$G, (MATCH(220, 輔助計算!$G$2:$G$801, 0)+1))&lt;100, IF(INDEX(ERP資料!$G:$G, (MATCH(220, 輔助計算!$G$2:$G$801, 0)+1))&lt;=31,3,IF(INDEX(ERP資料!$G:$G, (MATCH(220, 輔助計算!$G$2:$G$801, 0)+1))&lt;=46.5,2,1)), IF(INDEX(ERP資料!$G:$G, (MATCH(220, 輔助計算!$G$2:$G$801, 0)+1))&lt;=790,3,IF(INDEX(ERP資料!$G:$G, (MATCH(220, 輔助計算!$G$2:$G$801, 0)+1))&lt;=1181,2,1))))=2,TEXT(INDEX(ERP資料!$G:$G, (MATCH(220, 輔助計算!$G$2:$G$801, 0)+1)),"0.##")&amp;"+"&amp;TEXT(INDEX(ERP資料!$G:$G, (MATCH(220, 輔助計算!$G$2:$G$801, 0)+1)),"0.##"),TEXT(INDEX(ERP資料!$G:$G, (MATCH(220, 輔助計算!$G$2:$G$801, 0)+1)),"0.##")&amp;"+"&amp;TEXT(INDEX(ERP資料!$G:$G, (MATCH(220, 輔助計算!$G$2:$G$801, 0)+1)),"0.##")&amp;"+"&amp;TEXT(INDEX(ERP資料!$G:$G, (MATCH(220, 輔助計算!$G$2:$G$801, 0)+1)),"0.##"))))&amp;"-1")&lt;&gt;""),"  ","")&amp;IF(MOD(INDEX(輔助計算!$D:$D, (MATCH(220, 輔助計算!$G$2:$G$801, 0)+1)),IF(INDEX(ERP資料!$G:$G, (MATCH(220, 輔助計算!$G$2:$G$801, 0)+1))&lt;100, IF(INDEX(ERP資料!$G:$G, (MATCH(220, 輔助計算!$G$2:$G$801, 0)+1))&lt;=31,3,IF(INDEX(ERP資料!$G:$G, (MATCH(220, 輔助計算!$G$2:$G$801, 0)+1))&lt;=46.5,2,1)), IF(INDEX(ERP資料!$G:$G, (MATCH(220, 輔助計算!$G$2:$G$801, 0)+1))&lt;=790,3,IF(INDEX(ERP資料!$G:$G, (MATCH(220, 輔助計算!$G$2:$G$801, 0)+1))&lt;=1181,2,1))))=0,"",IF(MOD(INDEX(輔助計算!$D:$D, (MATCH(220, 輔助計算!$G$2:$G$801, 0)+1)),IF(INDEX(ERP資料!$G:$G, (MATCH(220, 輔助計算!$G$2:$G$801, 0)+1))&lt;100, IF(INDEX(ERP資料!$G:$G, (MATCH(220, 輔助計算!$G$2:$G$801, 0)+1))&lt;=31,3,IF(INDEX(ERP資料!$G:$G, (MATCH(220, 輔助計算!$G$2:$G$801, 0)+1))&lt;=46.5,2,1)), IF(INDEX(ERP資料!$G:$G, (MATCH(220, 輔助計算!$G$2:$G$801, 0)+1))&lt;=790,3,IF(INDEX(ERP資料!$G:$G, (MATCH(220, 輔助計算!$G$2:$G$801, 0)+1))&lt;=1181,2,1))))=0,"",IF(MOD(INDEX(輔助計算!$D:$D, (MATCH(220, 輔助計算!$G$2:$G$801, 0)+1)),IF(INDEX(ERP資料!$G:$G, (MATCH(220, 輔助計算!$G$2:$G$801, 0)+1))&lt;100, IF(INDEX(ERP資料!$G:$G, (MATCH(220, 輔助計算!$G$2:$G$801, 0)+1))&lt;=31,3,IF(INDEX(ERP資料!$G:$G, (MATCH(220, 輔助計算!$G$2:$G$801, 0)+1))&lt;=46.5,2,1)), IF(INDEX(ERP資料!$G:$G, (MATCH(220, 輔助計算!$G$2:$G$801, 0)+1))&lt;=790,3,IF(INDEX(ERP資料!$G:$G, (MATCH(220, 輔助計算!$G$2:$G$801, 0)+1))&lt;=1181,2,1))))=1,TEXT(INDEX(ERP資料!$G:$G, (MATCH(220, 輔助計算!$G$2:$G$801, 0)+1)),"0.##"),IF(MOD(INDEX(輔助計算!$D:$D, (MATCH(220, 輔助計算!$G$2:$G$801, 0)+1)),IF(INDEX(ERP資料!$G:$G, (MATCH(220, 輔助計算!$G$2:$G$801, 0)+1))&lt;100, IF(INDEX(ERP資料!$G:$G, (MATCH(220, 輔助計算!$G$2:$G$801, 0)+1))&lt;=31,3,IF(INDEX(ERP資料!$G:$G, (MATCH(220, 輔助計算!$G$2:$G$801, 0)+1))&lt;=46.5,2,1)), IF(INDEX(ERP資料!$G:$G, (MATCH(220, 輔助計算!$G$2:$G$801, 0)+1))&lt;=790,3,IF(INDEX(ERP資料!$G:$G, (MATCH(220, 輔助計算!$G$2:$G$801, 0)+1))&lt;=1181,2,1))))=2,TEXT(INDEX(ERP資料!$G:$G, (MATCH(220, 輔助計算!$G$2:$G$801, 0)+1)),"0.##")&amp;"+"&amp;TEXT(INDEX(ERP資料!$G:$G, (MATCH(220, 輔助計算!$G$2:$G$801, 0)+1)),"0.##"),TEXT(INDEX(ERP資料!$G:$G, (MATCH(220, 輔助計算!$G$2:$G$801, 0)+1)),"0.##")&amp;"+"&amp;TEXT(INDEX(ERP資料!$G:$G, (MATCH(220, 輔助計算!$G$2:$G$801, 0)+1)),"0.##")&amp;"+"&amp;TEXT(INDEX(ERP資料!$G:$G, (MATCH(220, 輔助計算!$G$2:$G$801, 0)+1)),"0.##"))))&amp;"-1")), ""), "")</f>
        <v/>
      </c>
      <c r="K221" s="16" t="n"/>
      <c r="L221" s="14">
        <f>IFERROR(IF(AND(IFERROR(INDEX(ERP資料!$A:$A, (MATCH(220, 輔助計算!$G$2:$G$801, 0)+1)), "")&lt;&gt;"", IFERROR(INDEX(ERP資料!$A:$A, (MATCH(220, 輔助計算!$G$2:$G$801, 0)+1)), "")&lt;&gt;IFERROR(INDEX(ERP資料!$A:$A, MATCH(219, 輔助計算!$G$2:$G$801, 0)+1), "")), INDEX(ERP資料!$B:$B, (MATCH(220, 輔助計算!$G$2:$G$801, 0)+1)), ""), "")</f>
        <v/>
      </c>
      <c r="M221" s="17" t="n"/>
    </row>
    <row r="222">
      <c r="A222" s="10">
        <f>IFERROR(IF(AND(IFERROR(INDEX(ERP資料!$A:$A, (MATCH(221, 輔助計算!$G$2:$G$801, 0)+1)), "")&lt;&gt;"", IFERROR(INDEX(ERP資料!$A:$A, (MATCH(221, 輔助計算!$G$2:$G$801, 0)+1)), "")&lt;&gt;IFERROR(INDEX(ERP資料!$A:$A, MATCH(220, 輔助計算!$G$2:$G$801, 0)+1), "")), IFERROR(INDEX(ERP資料!$A:$A, (MATCH(221, 輔助計算!$G$2:$G$801, 0)+1)), ""), ""), "")</f>
        <v/>
      </c>
      <c r="B222" s="10">
        <f>IFERROR(IF(AND(IFERROR(INDEX(ERP資料!$A:$A, (MATCH(221, 輔助計算!$G$2:$G$801, 0)+1)), "")&lt;&gt;"", IFERROR(INDEX(ERP資料!$A:$A, (MATCH(221, 輔助計算!$G$2:$G$801, 0)+1)), "")&lt;&gt;IFERROR(INDEX(ERP資料!$A:$A, MATCH(220, 輔助計算!$G$2:$G$801, 0)+1), "")), INDEX(ERP資料!$S:$S, (MATCH(221, 輔助計算!$G$2:$G$801, 0)+1)), ""), "")</f>
        <v/>
      </c>
      <c r="C222" s="19">
        <f>IFERROR(IF(AND(IFERROR(INDEX(ERP資料!$A:$A, (MATCH(221, 輔助計算!$G$2:$G$801, 0)+1)), "")&lt;&gt;"", IFERROR(INDEX(ERP資料!$A:$A, (MATCH(221, 輔助計算!$G$2:$G$801, 0)+1)), "")&lt;&gt;IFERROR(INDEX(ERP資料!$A:$A, MATCH(220, 輔助計算!$G$2:$G$801, 0)+1), "")), IFERROR(VLOOKUP(LEFT(INDEX(ERP資料!$S:$S, (MATCH(221, 輔助計算!$G$2:$G$801, 0)+1)), 4), 紙管對照表!$A:$C, 3, FALSE), ""), ""), "")</f>
        <v/>
      </c>
      <c r="D222" s="16" t="n"/>
      <c r="E222" s="10">
        <f>IFERROR(IF(INDEX(ERP資料!$H:$H, (MATCH(221, 輔助計算!$G$2:$G$801, 0)+1))="","",INDEX(ERP資料!$H:$H, (MATCH(221, 輔助計算!$G$2:$G$801, 0)+1))), "")</f>
        <v/>
      </c>
      <c r="F222" s="10">
        <f>IFERROR(IF(INDEX(ERP資料!$E:$E, (MATCH(221, 輔助計算!$G$2:$G$801, 0)+1))="","",TRIM(INDEX(ERP資料!$E:$E, (MATCH(221, 輔助計算!$G$2:$G$801, 0)+1)))), "")</f>
        <v/>
      </c>
      <c r="G222" s="10">
        <f>IFERROR(IF(INDEX(ERP資料!$F:$F, (MATCH(221, 輔助計算!$G$2:$G$801, 0)+1))="","",INDEX(ERP資料!$F:$F, (MATCH(221, 輔助計算!$G$2:$G$801, 0)+1))), "")</f>
        <v/>
      </c>
      <c r="H222" s="10">
        <f>IFERROR(IF(INDEX(ERP資料!$G:$G, (MATCH(221, 輔助計算!$G$2:$G$801, 0)+1))="","",INDEX(ERP資料!$G:$G, (MATCH(221, 輔助計算!$G$2:$G$801, 0)+1))), "")</f>
        <v/>
      </c>
      <c r="I222" s="15">
        <f>IFERROR(INDEX(輔助計算!$D:$D, (MATCH(221, 輔助計算!$G$2:$G$801, 0)+1)), "")</f>
        <v/>
      </c>
      <c r="J222" s="15">
        <f>IFERROR(IF(AND(INDEX(輔助計算!$D:$D, (MATCH(221, 輔助計算!$G$2:$G$801, 0)+1))&lt;&gt;"", INDEX(ERP資料!$G:$G, (MATCH(221, 輔助計算!$G$2:$G$801, 0)+1))&lt;&gt;""), TRIM(IF(INT(INDEX(輔助計算!$D:$D, (MATCH(221, 輔助計算!$G$2:$G$801, 0)+1))/IF(INDEX(ERP資料!$G:$G, (MATCH(221, 輔助計算!$G$2:$G$801, 0)+1))&lt;100, IF(INDEX(ERP資料!$G:$G, (MATCH(221, 輔助計算!$G$2:$G$801, 0)+1))&lt;=31,3,IF(INDEX(ERP資料!$G:$G, (MATCH(221, 輔助計算!$G$2:$G$801, 0)+1))&lt;=46.5,2,1)), IF(INDEX(ERP資料!$G:$G, (MATCH(221, 輔助計算!$G$2:$G$801, 0)+1))&lt;=790,3,IF(INDEX(ERP資料!$G:$G, (MATCH(221, 輔助計算!$G$2:$G$801, 0)+1))&lt;=1181,2,1))))&gt;0, IF(IF(INDEX(ERP資料!$G:$G, (MATCH(221, 輔助計算!$G$2:$G$801, 0)+1))&lt;100, IF(INDEX(ERP資料!$G:$G, (MATCH(221, 輔助計算!$G$2:$G$801, 0)+1))&lt;=31,3,IF(INDEX(ERP資料!$G:$G, (MATCH(221, 輔助計算!$G$2:$G$801, 0)+1))&lt;=46.5,2,1)), IF(INDEX(ERP資料!$G:$G, (MATCH(221, 輔助計算!$G$2:$G$801, 0)+1))&lt;=790,3,IF(INDEX(ERP資料!$G:$G, (MATCH(221, 輔助計算!$G$2:$G$801, 0)+1))&lt;=1181,2,1)))=1,TEXT(INDEX(ERP資料!$G:$G, (MATCH(221, 輔助計算!$G$2:$G$801, 0)+1)),"0.##"),IF(IF(INDEX(ERP資料!$G:$G, (MATCH(221, 輔助計算!$G$2:$G$801, 0)+1))&lt;100, IF(INDEX(ERP資料!$G:$G, (MATCH(221, 輔助計算!$G$2:$G$801, 0)+1))&lt;=31,3,IF(INDEX(ERP資料!$G:$G, (MATCH(221, 輔助計算!$G$2:$G$801, 0)+1))&lt;=46.5,2,1)), IF(INDEX(ERP資料!$G:$G, (MATCH(221, 輔助計算!$G$2:$G$801, 0)+1))&lt;=790,3,IF(INDEX(ERP資料!$G:$G, (MATCH(221, 輔助計算!$G$2:$G$801, 0)+1))&lt;=1181,2,1)))=2,TEXT(INDEX(ERP資料!$G:$G, (MATCH(221, 輔助計算!$G$2:$G$801, 0)+1)),"0.##")&amp;"+"&amp;TEXT(INDEX(ERP資料!$G:$G, (MATCH(221, 輔助計算!$G$2:$G$801, 0)+1)),"0.##"),TEXT(INDEX(ERP資料!$G:$G, (MATCH(221, 輔助計算!$G$2:$G$801, 0)+1)),"0.##")&amp;"+"&amp;TEXT(INDEX(ERP資料!$G:$G, (MATCH(221, 輔助計算!$G$2:$G$801, 0)+1)),"0.##")&amp;"+"&amp;TEXT(INDEX(ERP資料!$G:$G, (MATCH(221, 輔助計算!$G$2:$G$801, 0)+1)),"0.##")))&amp;"-"&amp;INT(INDEX(輔助計算!$D:$D, (MATCH(221, 輔助計算!$G$2:$G$801, 0)+1))/IF(INDEX(ERP資料!$G:$G, (MATCH(221, 輔助計算!$G$2:$G$801, 0)+1))&lt;100, IF(INDEX(ERP資料!$G:$G, (MATCH(221, 輔助計算!$G$2:$G$801, 0)+1))&lt;=31,3,IF(INDEX(ERP資料!$G:$G, (MATCH(221, 輔助計算!$G$2:$G$801, 0)+1))&lt;=46.5,2,1)), IF(INDEX(ERP資料!$G:$G, (MATCH(221, 輔助計算!$G$2:$G$801, 0)+1))&lt;=790,3,IF(INDEX(ERP資料!$G:$G, (MATCH(221, 輔助計算!$G$2:$G$801, 0)+1))&lt;=1181,2,1)))), "")&amp;IF(AND(IF(INT(INDEX(輔助計算!$D:$D, (MATCH(221, 輔助計算!$G$2:$G$801, 0)+1))/IF(INDEX(ERP資料!$G:$G, (MATCH(221, 輔助計算!$G$2:$G$801, 0)+1))&lt;100, IF(INDEX(ERP資料!$G:$G, (MATCH(221, 輔助計算!$G$2:$G$801, 0)+1))&lt;=31,3,IF(INDEX(ERP資料!$G:$G, (MATCH(221, 輔助計算!$G$2:$G$801, 0)+1))&lt;=46.5,2,1)), IF(INDEX(ERP資料!$G:$G, (MATCH(221, 輔助計算!$G$2:$G$801, 0)+1))&lt;=790,3,IF(INDEX(ERP資料!$G:$G, (MATCH(221, 輔助計算!$G$2:$G$801, 0)+1))&lt;=1181,2,1))))&gt;0, IF(IF(INDEX(ERP資料!$G:$G, (MATCH(221, 輔助計算!$G$2:$G$801, 0)+1))&lt;100, IF(INDEX(ERP資料!$G:$G, (MATCH(221, 輔助計算!$G$2:$G$801, 0)+1))&lt;=31,3,IF(INDEX(ERP資料!$G:$G, (MATCH(221, 輔助計算!$G$2:$G$801, 0)+1))&lt;=46.5,2,1)), IF(INDEX(ERP資料!$G:$G, (MATCH(221, 輔助計算!$G$2:$G$801, 0)+1))&lt;=790,3,IF(INDEX(ERP資料!$G:$G, (MATCH(221, 輔助計算!$G$2:$G$801, 0)+1))&lt;=1181,2,1)))=1,TEXT(INDEX(ERP資料!$G:$G, (MATCH(221, 輔助計算!$G$2:$G$801, 0)+1)),"0.##"),IF(IF(INDEX(ERP資料!$G:$G, (MATCH(221, 輔助計算!$G$2:$G$801, 0)+1))&lt;100, IF(INDEX(ERP資料!$G:$G, (MATCH(221, 輔助計算!$G$2:$G$801, 0)+1))&lt;=31,3,IF(INDEX(ERP資料!$G:$G, (MATCH(221, 輔助計算!$G$2:$G$801, 0)+1))&lt;=46.5,2,1)), IF(INDEX(ERP資料!$G:$G, (MATCH(221, 輔助計算!$G$2:$G$801, 0)+1))&lt;=790,3,IF(INDEX(ERP資料!$G:$G, (MATCH(221, 輔助計算!$G$2:$G$801, 0)+1))&lt;=1181,2,1)))=2,TEXT(INDEX(ERP資料!$G:$G, (MATCH(221, 輔助計算!$G$2:$G$801, 0)+1)),"0.##")&amp;"+"&amp;TEXT(INDEX(ERP資料!$G:$G, (MATCH(221, 輔助計算!$G$2:$G$801, 0)+1)),"0.##"),TEXT(INDEX(ERP資料!$G:$G, (MATCH(221, 輔助計算!$G$2:$G$801, 0)+1)),"0.##")&amp;"+"&amp;TEXT(INDEX(ERP資料!$G:$G, (MATCH(221, 輔助計算!$G$2:$G$801, 0)+1)),"0.##")&amp;"+"&amp;TEXT(INDEX(ERP資料!$G:$G, (MATCH(221, 輔助計算!$G$2:$G$801, 0)+1)),"0.##")))&amp;"-"&amp;INT(INDEX(輔助計算!$D:$D, (MATCH(221, 輔助計算!$G$2:$G$801, 0)+1))/IF(INDEX(ERP資料!$G:$G, (MATCH(221, 輔助計算!$G$2:$G$801, 0)+1))&lt;100, IF(INDEX(ERP資料!$G:$G, (MATCH(221, 輔助計算!$G$2:$G$801, 0)+1))&lt;=31,3,IF(INDEX(ERP資料!$G:$G, (MATCH(221, 輔助計算!$G$2:$G$801, 0)+1))&lt;=46.5,2,1)), IF(INDEX(ERP資料!$G:$G, (MATCH(221, 輔助計算!$G$2:$G$801, 0)+1))&lt;=790,3,IF(INDEX(ERP資料!$G:$G, (MATCH(221, 輔助計算!$G$2:$G$801, 0)+1))&lt;=1181,2,1)))), "")&lt;&gt;"",IF(MOD(INDEX(輔助計算!$D:$D, (MATCH(221, 輔助計算!$G$2:$G$801, 0)+1)),IF(INDEX(ERP資料!$G:$G, (MATCH(221, 輔助計算!$G$2:$G$801, 0)+1))&lt;100, IF(INDEX(ERP資料!$G:$G, (MATCH(221, 輔助計算!$G$2:$G$801, 0)+1))&lt;=31,3,IF(INDEX(ERP資料!$G:$G, (MATCH(221, 輔助計算!$G$2:$G$801, 0)+1))&lt;=46.5,2,1)), IF(INDEX(ERP資料!$G:$G, (MATCH(221, 輔助計算!$G$2:$G$801, 0)+1))&lt;=790,3,IF(INDEX(ERP資料!$G:$G, (MATCH(221, 輔助計算!$G$2:$G$801, 0)+1))&lt;=1181,2,1))))=0,"",IF(MOD(INDEX(輔助計算!$D:$D, (MATCH(221, 輔助計算!$G$2:$G$801, 0)+1)),IF(INDEX(ERP資料!$G:$G, (MATCH(221, 輔助計算!$G$2:$G$801, 0)+1))&lt;100, IF(INDEX(ERP資料!$G:$G, (MATCH(221, 輔助計算!$G$2:$G$801, 0)+1))&lt;=31,3,IF(INDEX(ERP資料!$G:$G, (MATCH(221, 輔助計算!$G$2:$G$801, 0)+1))&lt;=46.5,2,1)), IF(INDEX(ERP資料!$G:$G, (MATCH(221, 輔助計算!$G$2:$G$801, 0)+1))&lt;=790,3,IF(INDEX(ERP資料!$G:$G, (MATCH(221, 輔助計算!$G$2:$G$801, 0)+1))&lt;=1181,2,1))))=0,"",IF(MOD(INDEX(輔助計算!$D:$D, (MATCH(221, 輔助計算!$G$2:$G$801, 0)+1)),IF(INDEX(ERP資料!$G:$G, (MATCH(221, 輔助計算!$G$2:$G$801, 0)+1))&lt;100, IF(INDEX(ERP資料!$G:$G, (MATCH(221, 輔助計算!$G$2:$G$801, 0)+1))&lt;=31,3,IF(INDEX(ERP資料!$G:$G, (MATCH(221, 輔助計算!$G$2:$G$801, 0)+1))&lt;=46.5,2,1)), IF(INDEX(ERP資料!$G:$G, (MATCH(221, 輔助計算!$G$2:$G$801, 0)+1))&lt;=790,3,IF(INDEX(ERP資料!$G:$G, (MATCH(221, 輔助計算!$G$2:$G$801, 0)+1))&lt;=1181,2,1))))=1,TEXT(INDEX(ERP資料!$G:$G, (MATCH(221, 輔助計算!$G$2:$G$801, 0)+1)),"0.##"),IF(MOD(INDEX(輔助計算!$D:$D, (MATCH(221, 輔助計算!$G$2:$G$801, 0)+1)),IF(INDEX(ERP資料!$G:$G, (MATCH(221, 輔助計算!$G$2:$G$801, 0)+1))&lt;100, IF(INDEX(ERP資料!$G:$G, (MATCH(221, 輔助計算!$G$2:$G$801, 0)+1))&lt;=31,3,IF(INDEX(ERP資料!$G:$G, (MATCH(221, 輔助計算!$G$2:$G$801, 0)+1))&lt;=46.5,2,1)), IF(INDEX(ERP資料!$G:$G, (MATCH(221, 輔助計算!$G$2:$G$801, 0)+1))&lt;=790,3,IF(INDEX(ERP資料!$G:$G, (MATCH(221, 輔助計算!$G$2:$G$801, 0)+1))&lt;=1181,2,1))))=2,TEXT(INDEX(ERP資料!$G:$G, (MATCH(221, 輔助計算!$G$2:$G$801, 0)+1)),"0.##")&amp;"+"&amp;TEXT(INDEX(ERP資料!$G:$G, (MATCH(221, 輔助計算!$G$2:$G$801, 0)+1)),"0.##"),TEXT(INDEX(ERP資料!$G:$G, (MATCH(221, 輔助計算!$G$2:$G$801, 0)+1)),"0.##")&amp;"+"&amp;TEXT(INDEX(ERP資料!$G:$G, (MATCH(221, 輔助計算!$G$2:$G$801, 0)+1)),"0.##")&amp;"+"&amp;TEXT(INDEX(ERP資料!$G:$G, (MATCH(221, 輔助計算!$G$2:$G$801, 0)+1)),"0.##"))))&amp;"-1")&lt;&gt;""),"  ","")&amp;IF(MOD(INDEX(輔助計算!$D:$D, (MATCH(221, 輔助計算!$G$2:$G$801, 0)+1)),IF(INDEX(ERP資料!$G:$G, (MATCH(221, 輔助計算!$G$2:$G$801, 0)+1))&lt;100, IF(INDEX(ERP資料!$G:$G, (MATCH(221, 輔助計算!$G$2:$G$801, 0)+1))&lt;=31,3,IF(INDEX(ERP資料!$G:$G, (MATCH(221, 輔助計算!$G$2:$G$801, 0)+1))&lt;=46.5,2,1)), IF(INDEX(ERP資料!$G:$G, (MATCH(221, 輔助計算!$G$2:$G$801, 0)+1))&lt;=790,3,IF(INDEX(ERP資料!$G:$G, (MATCH(221, 輔助計算!$G$2:$G$801, 0)+1))&lt;=1181,2,1))))=0,"",IF(MOD(INDEX(輔助計算!$D:$D, (MATCH(221, 輔助計算!$G$2:$G$801, 0)+1)),IF(INDEX(ERP資料!$G:$G, (MATCH(221, 輔助計算!$G$2:$G$801, 0)+1))&lt;100, IF(INDEX(ERP資料!$G:$G, (MATCH(221, 輔助計算!$G$2:$G$801, 0)+1))&lt;=31,3,IF(INDEX(ERP資料!$G:$G, (MATCH(221, 輔助計算!$G$2:$G$801, 0)+1))&lt;=46.5,2,1)), IF(INDEX(ERP資料!$G:$G, (MATCH(221, 輔助計算!$G$2:$G$801, 0)+1))&lt;=790,3,IF(INDEX(ERP資料!$G:$G, (MATCH(221, 輔助計算!$G$2:$G$801, 0)+1))&lt;=1181,2,1))))=0,"",IF(MOD(INDEX(輔助計算!$D:$D, (MATCH(221, 輔助計算!$G$2:$G$801, 0)+1)),IF(INDEX(ERP資料!$G:$G, (MATCH(221, 輔助計算!$G$2:$G$801, 0)+1))&lt;100, IF(INDEX(ERP資料!$G:$G, (MATCH(221, 輔助計算!$G$2:$G$801, 0)+1))&lt;=31,3,IF(INDEX(ERP資料!$G:$G, (MATCH(221, 輔助計算!$G$2:$G$801, 0)+1))&lt;=46.5,2,1)), IF(INDEX(ERP資料!$G:$G, (MATCH(221, 輔助計算!$G$2:$G$801, 0)+1))&lt;=790,3,IF(INDEX(ERP資料!$G:$G, (MATCH(221, 輔助計算!$G$2:$G$801, 0)+1))&lt;=1181,2,1))))=1,TEXT(INDEX(ERP資料!$G:$G, (MATCH(221, 輔助計算!$G$2:$G$801, 0)+1)),"0.##"),IF(MOD(INDEX(輔助計算!$D:$D, (MATCH(221, 輔助計算!$G$2:$G$801, 0)+1)),IF(INDEX(ERP資料!$G:$G, (MATCH(221, 輔助計算!$G$2:$G$801, 0)+1))&lt;100, IF(INDEX(ERP資料!$G:$G, (MATCH(221, 輔助計算!$G$2:$G$801, 0)+1))&lt;=31,3,IF(INDEX(ERP資料!$G:$G, (MATCH(221, 輔助計算!$G$2:$G$801, 0)+1))&lt;=46.5,2,1)), IF(INDEX(ERP資料!$G:$G, (MATCH(221, 輔助計算!$G$2:$G$801, 0)+1))&lt;=790,3,IF(INDEX(ERP資料!$G:$G, (MATCH(221, 輔助計算!$G$2:$G$801, 0)+1))&lt;=1181,2,1))))=2,TEXT(INDEX(ERP資料!$G:$G, (MATCH(221, 輔助計算!$G$2:$G$801, 0)+1)),"0.##")&amp;"+"&amp;TEXT(INDEX(ERP資料!$G:$G, (MATCH(221, 輔助計算!$G$2:$G$801, 0)+1)),"0.##"),TEXT(INDEX(ERP資料!$G:$G, (MATCH(221, 輔助計算!$G$2:$G$801, 0)+1)),"0.##")&amp;"+"&amp;TEXT(INDEX(ERP資料!$G:$G, (MATCH(221, 輔助計算!$G$2:$G$801, 0)+1)),"0.##")&amp;"+"&amp;TEXT(INDEX(ERP資料!$G:$G, (MATCH(221, 輔助計算!$G$2:$G$801, 0)+1)),"0.##"))))&amp;"-1")), ""), "")</f>
        <v/>
      </c>
      <c r="K222" s="16" t="n"/>
      <c r="L222" s="14">
        <f>IFERROR(IF(AND(IFERROR(INDEX(ERP資料!$A:$A, (MATCH(221, 輔助計算!$G$2:$G$801, 0)+1)), "")&lt;&gt;"", IFERROR(INDEX(ERP資料!$A:$A, (MATCH(221, 輔助計算!$G$2:$G$801, 0)+1)), "")&lt;&gt;IFERROR(INDEX(ERP資料!$A:$A, MATCH(220, 輔助計算!$G$2:$G$801, 0)+1), "")), INDEX(ERP資料!$B:$B, (MATCH(221, 輔助計算!$G$2:$G$801, 0)+1)), ""), "")</f>
        <v/>
      </c>
      <c r="M222" s="17" t="n"/>
    </row>
    <row r="223">
      <c r="A223" s="10">
        <f>IFERROR(IF(AND(IFERROR(INDEX(ERP資料!$A:$A, (MATCH(222, 輔助計算!$G$2:$G$801, 0)+1)), "")&lt;&gt;"", IFERROR(INDEX(ERP資料!$A:$A, (MATCH(222, 輔助計算!$G$2:$G$801, 0)+1)), "")&lt;&gt;IFERROR(INDEX(ERP資料!$A:$A, MATCH(221, 輔助計算!$G$2:$G$801, 0)+1), "")), IFERROR(INDEX(ERP資料!$A:$A, (MATCH(222, 輔助計算!$G$2:$G$801, 0)+1)), ""), ""), "")</f>
        <v/>
      </c>
      <c r="B223" s="10">
        <f>IFERROR(IF(AND(IFERROR(INDEX(ERP資料!$A:$A, (MATCH(222, 輔助計算!$G$2:$G$801, 0)+1)), "")&lt;&gt;"", IFERROR(INDEX(ERP資料!$A:$A, (MATCH(222, 輔助計算!$G$2:$G$801, 0)+1)), "")&lt;&gt;IFERROR(INDEX(ERP資料!$A:$A, MATCH(221, 輔助計算!$G$2:$G$801, 0)+1), "")), INDEX(ERP資料!$S:$S, (MATCH(222, 輔助計算!$G$2:$G$801, 0)+1)), ""), "")</f>
        <v/>
      </c>
      <c r="C223" s="19">
        <f>IFERROR(IF(AND(IFERROR(INDEX(ERP資料!$A:$A, (MATCH(222, 輔助計算!$G$2:$G$801, 0)+1)), "")&lt;&gt;"", IFERROR(INDEX(ERP資料!$A:$A, (MATCH(222, 輔助計算!$G$2:$G$801, 0)+1)), "")&lt;&gt;IFERROR(INDEX(ERP資料!$A:$A, MATCH(221, 輔助計算!$G$2:$G$801, 0)+1), "")), IFERROR(VLOOKUP(LEFT(INDEX(ERP資料!$S:$S, (MATCH(222, 輔助計算!$G$2:$G$801, 0)+1)), 4), 紙管對照表!$A:$C, 3, FALSE), ""), ""), "")</f>
        <v/>
      </c>
      <c r="D223" s="16" t="n"/>
      <c r="E223" s="10">
        <f>IFERROR(IF(INDEX(ERP資料!$H:$H, (MATCH(222, 輔助計算!$G$2:$G$801, 0)+1))="","",INDEX(ERP資料!$H:$H, (MATCH(222, 輔助計算!$G$2:$G$801, 0)+1))), "")</f>
        <v/>
      </c>
      <c r="F223" s="10">
        <f>IFERROR(IF(INDEX(ERP資料!$E:$E, (MATCH(222, 輔助計算!$G$2:$G$801, 0)+1))="","",TRIM(INDEX(ERP資料!$E:$E, (MATCH(222, 輔助計算!$G$2:$G$801, 0)+1)))), "")</f>
        <v/>
      </c>
      <c r="G223" s="10">
        <f>IFERROR(IF(INDEX(ERP資料!$F:$F, (MATCH(222, 輔助計算!$G$2:$G$801, 0)+1))="","",INDEX(ERP資料!$F:$F, (MATCH(222, 輔助計算!$G$2:$G$801, 0)+1))), "")</f>
        <v/>
      </c>
      <c r="H223" s="10">
        <f>IFERROR(IF(INDEX(ERP資料!$G:$G, (MATCH(222, 輔助計算!$G$2:$G$801, 0)+1))="","",INDEX(ERP資料!$G:$G, (MATCH(222, 輔助計算!$G$2:$G$801, 0)+1))), "")</f>
        <v/>
      </c>
      <c r="I223" s="15">
        <f>IFERROR(INDEX(輔助計算!$D:$D, (MATCH(222, 輔助計算!$G$2:$G$801, 0)+1)), "")</f>
        <v/>
      </c>
      <c r="J223" s="15">
        <f>IFERROR(IF(AND(INDEX(輔助計算!$D:$D, (MATCH(222, 輔助計算!$G$2:$G$801, 0)+1))&lt;&gt;"", INDEX(ERP資料!$G:$G, (MATCH(222, 輔助計算!$G$2:$G$801, 0)+1))&lt;&gt;""), TRIM(IF(INT(INDEX(輔助計算!$D:$D, (MATCH(222, 輔助計算!$G$2:$G$801, 0)+1))/IF(INDEX(ERP資料!$G:$G, (MATCH(222, 輔助計算!$G$2:$G$801, 0)+1))&lt;100, IF(INDEX(ERP資料!$G:$G, (MATCH(222, 輔助計算!$G$2:$G$801, 0)+1))&lt;=31,3,IF(INDEX(ERP資料!$G:$G, (MATCH(222, 輔助計算!$G$2:$G$801, 0)+1))&lt;=46.5,2,1)), IF(INDEX(ERP資料!$G:$G, (MATCH(222, 輔助計算!$G$2:$G$801, 0)+1))&lt;=790,3,IF(INDEX(ERP資料!$G:$G, (MATCH(222, 輔助計算!$G$2:$G$801, 0)+1))&lt;=1181,2,1))))&gt;0, IF(IF(INDEX(ERP資料!$G:$G, (MATCH(222, 輔助計算!$G$2:$G$801, 0)+1))&lt;100, IF(INDEX(ERP資料!$G:$G, (MATCH(222, 輔助計算!$G$2:$G$801, 0)+1))&lt;=31,3,IF(INDEX(ERP資料!$G:$G, (MATCH(222, 輔助計算!$G$2:$G$801, 0)+1))&lt;=46.5,2,1)), IF(INDEX(ERP資料!$G:$G, (MATCH(222, 輔助計算!$G$2:$G$801, 0)+1))&lt;=790,3,IF(INDEX(ERP資料!$G:$G, (MATCH(222, 輔助計算!$G$2:$G$801, 0)+1))&lt;=1181,2,1)))=1,TEXT(INDEX(ERP資料!$G:$G, (MATCH(222, 輔助計算!$G$2:$G$801, 0)+1)),"0.##"),IF(IF(INDEX(ERP資料!$G:$G, (MATCH(222, 輔助計算!$G$2:$G$801, 0)+1))&lt;100, IF(INDEX(ERP資料!$G:$G, (MATCH(222, 輔助計算!$G$2:$G$801, 0)+1))&lt;=31,3,IF(INDEX(ERP資料!$G:$G, (MATCH(222, 輔助計算!$G$2:$G$801, 0)+1))&lt;=46.5,2,1)), IF(INDEX(ERP資料!$G:$G, (MATCH(222, 輔助計算!$G$2:$G$801, 0)+1))&lt;=790,3,IF(INDEX(ERP資料!$G:$G, (MATCH(222, 輔助計算!$G$2:$G$801, 0)+1))&lt;=1181,2,1)))=2,TEXT(INDEX(ERP資料!$G:$G, (MATCH(222, 輔助計算!$G$2:$G$801, 0)+1)),"0.##")&amp;"+"&amp;TEXT(INDEX(ERP資料!$G:$G, (MATCH(222, 輔助計算!$G$2:$G$801, 0)+1)),"0.##"),TEXT(INDEX(ERP資料!$G:$G, (MATCH(222, 輔助計算!$G$2:$G$801, 0)+1)),"0.##")&amp;"+"&amp;TEXT(INDEX(ERP資料!$G:$G, (MATCH(222, 輔助計算!$G$2:$G$801, 0)+1)),"0.##")&amp;"+"&amp;TEXT(INDEX(ERP資料!$G:$G, (MATCH(222, 輔助計算!$G$2:$G$801, 0)+1)),"0.##")))&amp;"-"&amp;INT(INDEX(輔助計算!$D:$D, (MATCH(222, 輔助計算!$G$2:$G$801, 0)+1))/IF(INDEX(ERP資料!$G:$G, (MATCH(222, 輔助計算!$G$2:$G$801, 0)+1))&lt;100, IF(INDEX(ERP資料!$G:$G, (MATCH(222, 輔助計算!$G$2:$G$801, 0)+1))&lt;=31,3,IF(INDEX(ERP資料!$G:$G, (MATCH(222, 輔助計算!$G$2:$G$801, 0)+1))&lt;=46.5,2,1)), IF(INDEX(ERP資料!$G:$G, (MATCH(222, 輔助計算!$G$2:$G$801, 0)+1))&lt;=790,3,IF(INDEX(ERP資料!$G:$G, (MATCH(222, 輔助計算!$G$2:$G$801, 0)+1))&lt;=1181,2,1)))), "")&amp;IF(AND(IF(INT(INDEX(輔助計算!$D:$D, (MATCH(222, 輔助計算!$G$2:$G$801, 0)+1))/IF(INDEX(ERP資料!$G:$G, (MATCH(222, 輔助計算!$G$2:$G$801, 0)+1))&lt;100, IF(INDEX(ERP資料!$G:$G, (MATCH(222, 輔助計算!$G$2:$G$801, 0)+1))&lt;=31,3,IF(INDEX(ERP資料!$G:$G, (MATCH(222, 輔助計算!$G$2:$G$801, 0)+1))&lt;=46.5,2,1)), IF(INDEX(ERP資料!$G:$G, (MATCH(222, 輔助計算!$G$2:$G$801, 0)+1))&lt;=790,3,IF(INDEX(ERP資料!$G:$G, (MATCH(222, 輔助計算!$G$2:$G$801, 0)+1))&lt;=1181,2,1))))&gt;0, IF(IF(INDEX(ERP資料!$G:$G, (MATCH(222, 輔助計算!$G$2:$G$801, 0)+1))&lt;100, IF(INDEX(ERP資料!$G:$G, (MATCH(222, 輔助計算!$G$2:$G$801, 0)+1))&lt;=31,3,IF(INDEX(ERP資料!$G:$G, (MATCH(222, 輔助計算!$G$2:$G$801, 0)+1))&lt;=46.5,2,1)), IF(INDEX(ERP資料!$G:$G, (MATCH(222, 輔助計算!$G$2:$G$801, 0)+1))&lt;=790,3,IF(INDEX(ERP資料!$G:$G, (MATCH(222, 輔助計算!$G$2:$G$801, 0)+1))&lt;=1181,2,1)))=1,TEXT(INDEX(ERP資料!$G:$G, (MATCH(222, 輔助計算!$G$2:$G$801, 0)+1)),"0.##"),IF(IF(INDEX(ERP資料!$G:$G, (MATCH(222, 輔助計算!$G$2:$G$801, 0)+1))&lt;100, IF(INDEX(ERP資料!$G:$G, (MATCH(222, 輔助計算!$G$2:$G$801, 0)+1))&lt;=31,3,IF(INDEX(ERP資料!$G:$G, (MATCH(222, 輔助計算!$G$2:$G$801, 0)+1))&lt;=46.5,2,1)), IF(INDEX(ERP資料!$G:$G, (MATCH(222, 輔助計算!$G$2:$G$801, 0)+1))&lt;=790,3,IF(INDEX(ERP資料!$G:$G, (MATCH(222, 輔助計算!$G$2:$G$801, 0)+1))&lt;=1181,2,1)))=2,TEXT(INDEX(ERP資料!$G:$G, (MATCH(222, 輔助計算!$G$2:$G$801, 0)+1)),"0.##")&amp;"+"&amp;TEXT(INDEX(ERP資料!$G:$G, (MATCH(222, 輔助計算!$G$2:$G$801, 0)+1)),"0.##"),TEXT(INDEX(ERP資料!$G:$G, (MATCH(222, 輔助計算!$G$2:$G$801, 0)+1)),"0.##")&amp;"+"&amp;TEXT(INDEX(ERP資料!$G:$G, (MATCH(222, 輔助計算!$G$2:$G$801, 0)+1)),"0.##")&amp;"+"&amp;TEXT(INDEX(ERP資料!$G:$G, (MATCH(222, 輔助計算!$G$2:$G$801, 0)+1)),"0.##")))&amp;"-"&amp;INT(INDEX(輔助計算!$D:$D, (MATCH(222, 輔助計算!$G$2:$G$801, 0)+1))/IF(INDEX(ERP資料!$G:$G, (MATCH(222, 輔助計算!$G$2:$G$801, 0)+1))&lt;100, IF(INDEX(ERP資料!$G:$G, (MATCH(222, 輔助計算!$G$2:$G$801, 0)+1))&lt;=31,3,IF(INDEX(ERP資料!$G:$G, (MATCH(222, 輔助計算!$G$2:$G$801, 0)+1))&lt;=46.5,2,1)), IF(INDEX(ERP資料!$G:$G, (MATCH(222, 輔助計算!$G$2:$G$801, 0)+1))&lt;=790,3,IF(INDEX(ERP資料!$G:$G, (MATCH(222, 輔助計算!$G$2:$G$801, 0)+1))&lt;=1181,2,1)))), "")&lt;&gt;"",IF(MOD(INDEX(輔助計算!$D:$D, (MATCH(222, 輔助計算!$G$2:$G$801, 0)+1)),IF(INDEX(ERP資料!$G:$G, (MATCH(222, 輔助計算!$G$2:$G$801, 0)+1))&lt;100, IF(INDEX(ERP資料!$G:$G, (MATCH(222, 輔助計算!$G$2:$G$801, 0)+1))&lt;=31,3,IF(INDEX(ERP資料!$G:$G, (MATCH(222, 輔助計算!$G$2:$G$801, 0)+1))&lt;=46.5,2,1)), IF(INDEX(ERP資料!$G:$G, (MATCH(222, 輔助計算!$G$2:$G$801, 0)+1))&lt;=790,3,IF(INDEX(ERP資料!$G:$G, (MATCH(222, 輔助計算!$G$2:$G$801, 0)+1))&lt;=1181,2,1))))=0,"",IF(MOD(INDEX(輔助計算!$D:$D, (MATCH(222, 輔助計算!$G$2:$G$801, 0)+1)),IF(INDEX(ERP資料!$G:$G, (MATCH(222, 輔助計算!$G$2:$G$801, 0)+1))&lt;100, IF(INDEX(ERP資料!$G:$G, (MATCH(222, 輔助計算!$G$2:$G$801, 0)+1))&lt;=31,3,IF(INDEX(ERP資料!$G:$G, (MATCH(222, 輔助計算!$G$2:$G$801, 0)+1))&lt;=46.5,2,1)), IF(INDEX(ERP資料!$G:$G, (MATCH(222, 輔助計算!$G$2:$G$801, 0)+1))&lt;=790,3,IF(INDEX(ERP資料!$G:$G, (MATCH(222, 輔助計算!$G$2:$G$801, 0)+1))&lt;=1181,2,1))))=0,"",IF(MOD(INDEX(輔助計算!$D:$D, (MATCH(222, 輔助計算!$G$2:$G$801, 0)+1)),IF(INDEX(ERP資料!$G:$G, (MATCH(222, 輔助計算!$G$2:$G$801, 0)+1))&lt;100, IF(INDEX(ERP資料!$G:$G, (MATCH(222, 輔助計算!$G$2:$G$801, 0)+1))&lt;=31,3,IF(INDEX(ERP資料!$G:$G, (MATCH(222, 輔助計算!$G$2:$G$801, 0)+1))&lt;=46.5,2,1)), IF(INDEX(ERP資料!$G:$G, (MATCH(222, 輔助計算!$G$2:$G$801, 0)+1))&lt;=790,3,IF(INDEX(ERP資料!$G:$G, (MATCH(222, 輔助計算!$G$2:$G$801, 0)+1))&lt;=1181,2,1))))=1,TEXT(INDEX(ERP資料!$G:$G, (MATCH(222, 輔助計算!$G$2:$G$801, 0)+1)),"0.##"),IF(MOD(INDEX(輔助計算!$D:$D, (MATCH(222, 輔助計算!$G$2:$G$801, 0)+1)),IF(INDEX(ERP資料!$G:$G, (MATCH(222, 輔助計算!$G$2:$G$801, 0)+1))&lt;100, IF(INDEX(ERP資料!$G:$G, (MATCH(222, 輔助計算!$G$2:$G$801, 0)+1))&lt;=31,3,IF(INDEX(ERP資料!$G:$G, (MATCH(222, 輔助計算!$G$2:$G$801, 0)+1))&lt;=46.5,2,1)), IF(INDEX(ERP資料!$G:$G, (MATCH(222, 輔助計算!$G$2:$G$801, 0)+1))&lt;=790,3,IF(INDEX(ERP資料!$G:$G, (MATCH(222, 輔助計算!$G$2:$G$801, 0)+1))&lt;=1181,2,1))))=2,TEXT(INDEX(ERP資料!$G:$G, (MATCH(222, 輔助計算!$G$2:$G$801, 0)+1)),"0.##")&amp;"+"&amp;TEXT(INDEX(ERP資料!$G:$G, (MATCH(222, 輔助計算!$G$2:$G$801, 0)+1)),"0.##"),TEXT(INDEX(ERP資料!$G:$G, (MATCH(222, 輔助計算!$G$2:$G$801, 0)+1)),"0.##")&amp;"+"&amp;TEXT(INDEX(ERP資料!$G:$G, (MATCH(222, 輔助計算!$G$2:$G$801, 0)+1)),"0.##")&amp;"+"&amp;TEXT(INDEX(ERP資料!$G:$G, (MATCH(222, 輔助計算!$G$2:$G$801, 0)+1)),"0.##"))))&amp;"-1")&lt;&gt;""),"  ","")&amp;IF(MOD(INDEX(輔助計算!$D:$D, (MATCH(222, 輔助計算!$G$2:$G$801, 0)+1)),IF(INDEX(ERP資料!$G:$G, (MATCH(222, 輔助計算!$G$2:$G$801, 0)+1))&lt;100, IF(INDEX(ERP資料!$G:$G, (MATCH(222, 輔助計算!$G$2:$G$801, 0)+1))&lt;=31,3,IF(INDEX(ERP資料!$G:$G, (MATCH(222, 輔助計算!$G$2:$G$801, 0)+1))&lt;=46.5,2,1)), IF(INDEX(ERP資料!$G:$G, (MATCH(222, 輔助計算!$G$2:$G$801, 0)+1))&lt;=790,3,IF(INDEX(ERP資料!$G:$G, (MATCH(222, 輔助計算!$G$2:$G$801, 0)+1))&lt;=1181,2,1))))=0,"",IF(MOD(INDEX(輔助計算!$D:$D, (MATCH(222, 輔助計算!$G$2:$G$801, 0)+1)),IF(INDEX(ERP資料!$G:$G, (MATCH(222, 輔助計算!$G$2:$G$801, 0)+1))&lt;100, IF(INDEX(ERP資料!$G:$G, (MATCH(222, 輔助計算!$G$2:$G$801, 0)+1))&lt;=31,3,IF(INDEX(ERP資料!$G:$G, (MATCH(222, 輔助計算!$G$2:$G$801, 0)+1))&lt;=46.5,2,1)), IF(INDEX(ERP資料!$G:$G, (MATCH(222, 輔助計算!$G$2:$G$801, 0)+1))&lt;=790,3,IF(INDEX(ERP資料!$G:$G, (MATCH(222, 輔助計算!$G$2:$G$801, 0)+1))&lt;=1181,2,1))))=0,"",IF(MOD(INDEX(輔助計算!$D:$D, (MATCH(222, 輔助計算!$G$2:$G$801, 0)+1)),IF(INDEX(ERP資料!$G:$G, (MATCH(222, 輔助計算!$G$2:$G$801, 0)+1))&lt;100, IF(INDEX(ERP資料!$G:$G, (MATCH(222, 輔助計算!$G$2:$G$801, 0)+1))&lt;=31,3,IF(INDEX(ERP資料!$G:$G, (MATCH(222, 輔助計算!$G$2:$G$801, 0)+1))&lt;=46.5,2,1)), IF(INDEX(ERP資料!$G:$G, (MATCH(222, 輔助計算!$G$2:$G$801, 0)+1))&lt;=790,3,IF(INDEX(ERP資料!$G:$G, (MATCH(222, 輔助計算!$G$2:$G$801, 0)+1))&lt;=1181,2,1))))=1,TEXT(INDEX(ERP資料!$G:$G, (MATCH(222, 輔助計算!$G$2:$G$801, 0)+1)),"0.##"),IF(MOD(INDEX(輔助計算!$D:$D, (MATCH(222, 輔助計算!$G$2:$G$801, 0)+1)),IF(INDEX(ERP資料!$G:$G, (MATCH(222, 輔助計算!$G$2:$G$801, 0)+1))&lt;100, IF(INDEX(ERP資料!$G:$G, (MATCH(222, 輔助計算!$G$2:$G$801, 0)+1))&lt;=31,3,IF(INDEX(ERP資料!$G:$G, (MATCH(222, 輔助計算!$G$2:$G$801, 0)+1))&lt;=46.5,2,1)), IF(INDEX(ERP資料!$G:$G, (MATCH(222, 輔助計算!$G$2:$G$801, 0)+1))&lt;=790,3,IF(INDEX(ERP資料!$G:$G, (MATCH(222, 輔助計算!$G$2:$G$801, 0)+1))&lt;=1181,2,1))))=2,TEXT(INDEX(ERP資料!$G:$G, (MATCH(222, 輔助計算!$G$2:$G$801, 0)+1)),"0.##")&amp;"+"&amp;TEXT(INDEX(ERP資料!$G:$G, (MATCH(222, 輔助計算!$G$2:$G$801, 0)+1)),"0.##"),TEXT(INDEX(ERP資料!$G:$G, (MATCH(222, 輔助計算!$G$2:$G$801, 0)+1)),"0.##")&amp;"+"&amp;TEXT(INDEX(ERP資料!$G:$G, (MATCH(222, 輔助計算!$G$2:$G$801, 0)+1)),"0.##")&amp;"+"&amp;TEXT(INDEX(ERP資料!$G:$G, (MATCH(222, 輔助計算!$G$2:$G$801, 0)+1)),"0.##"))))&amp;"-1")), ""), "")</f>
        <v/>
      </c>
      <c r="K223" s="16" t="n"/>
      <c r="L223" s="14">
        <f>IFERROR(IF(AND(IFERROR(INDEX(ERP資料!$A:$A, (MATCH(222, 輔助計算!$G$2:$G$801, 0)+1)), "")&lt;&gt;"", IFERROR(INDEX(ERP資料!$A:$A, (MATCH(222, 輔助計算!$G$2:$G$801, 0)+1)), "")&lt;&gt;IFERROR(INDEX(ERP資料!$A:$A, MATCH(221, 輔助計算!$G$2:$G$801, 0)+1), "")), INDEX(ERP資料!$B:$B, (MATCH(222, 輔助計算!$G$2:$G$801, 0)+1)), ""), "")</f>
        <v/>
      </c>
      <c r="M223" s="17" t="n"/>
    </row>
    <row r="224">
      <c r="A224" s="10">
        <f>IFERROR(IF(AND(IFERROR(INDEX(ERP資料!$A:$A, (MATCH(223, 輔助計算!$G$2:$G$801, 0)+1)), "")&lt;&gt;"", IFERROR(INDEX(ERP資料!$A:$A, (MATCH(223, 輔助計算!$G$2:$G$801, 0)+1)), "")&lt;&gt;IFERROR(INDEX(ERP資料!$A:$A, MATCH(222, 輔助計算!$G$2:$G$801, 0)+1), "")), IFERROR(INDEX(ERP資料!$A:$A, (MATCH(223, 輔助計算!$G$2:$G$801, 0)+1)), ""), ""), "")</f>
        <v/>
      </c>
      <c r="B224" s="10">
        <f>IFERROR(IF(AND(IFERROR(INDEX(ERP資料!$A:$A, (MATCH(223, 輔助計算!$G$2:$G$801, 0)+1)), "")&lt;&gt;"", IFERROR(INDEX(ERP資料!$A:$A, (MATCH(223, 輔助計算!$G$2:$G$801, 0)+1)), "")&lt;&gt;IFERROR(INDEX(ERP資料!$A:$A, MATCH(222, 輔助計算!$G$2:$G$801, 0)+1), "")), INDEX(ERP資料!$S:$S, (MATCH(223, 輔助計算!$G$2:$G$801, 0)+1)), ""), "")</f>
        <v/>
      </c>
      <c r="C224" s="19">
        <f>IFERROR(IF(AND(IFERROR(INDEX(ERP資料!$A:$A, (MATCH(223, 輔助計算!$G$2:$G$801, 0)+1)), "")&lt;&gt;"", IFERROR(INDEX(ERP資料!$A:$A, (MATCH(223, 輔助計算!$G$2:$G$801, 0)+1)), "")&lt;&gt;IFERROR(INDEX(ERP資料!$A:$A, MATCH(222, 輔助計算!$G$2:$G$801, 0)+1), "")), IFERROR(VLOOKUP(LEFT(INDEX(ERP資料!$S:$S, (MATCH(223, 輔助計算!$G$2:$G$801, 0)+1)), 4), 紙管對照表!$A:$C, 3, FALSE), ""), ""), "")</f>
        <v/>
      </c>
      <c r="D224" s="16" t="n"/>
      <c r="E224" s="10">
        <f>IFERROR(IF(INDEX(ERP資料!$H:$H, (MATCH(223, 輔助計算!$G$2:$G$801, 0)+1))="","",INDEX(ERP資料!$H:$H, (MATCH(223, 輔助計算!$G$2:$G$801, 0)+1))), "")</f>
        <v/>
      </c>
      <c r="F224" s="10">
        <f>IFERROR(IF(INDEX(ERP資料!$E:$E, (MATCH(223, 輔助計算!$G$2:$G$801, 0)+1))="","",TRIM(INDEX(ERP資料!$E:$E, (MATCH(223, 輔助計算!$G$2:$G$801, 0)+1)))), "")</f>
        <v/>
      </c>
      <c r="G224" s="10">
        <f>IFERROR(IF(INDEX(ERP資料!$F:$F, (MATCH(223, 輔助計算!$G$2:$G$801, 0)+1))="","",INDEX(ERP資料!$F:$F, (MATCH(223, 輔助計算!$G$2:$G$801, 0)+1))), "")</f>
        <v/>
      </c>
      <c r="H224" s="10">
        <f>IFERROR(IF(INDEX(ERP資料!$G:$G, (MATCH(223, 輔助計算!$G$2:$G$801, 0)+1))="","",INDEX(ERP資料!$G:$G, (MATCH(223, 輔助計算!$G$2:$G$801, 0)+1))), "")</f>
        <v/>
      </c>
      <c r="I224" s="15">
        <f>IFERROR(INDEX(輔助計算!$D:$D, (MATCH(223, 輔助計算!$G$2:$G$801, 0)+1)), "")</f>
        <v/>
      </c>
      <c r="J224" s="15">
        <f>IFERROR(IF(AND(INDEX(輔助計算!$D:$D, (MATCH(223, 輔助計算!$G$2:$G$801, 0)+1))&lt;&gt;"", INDEX(ERP資料!$G:$G, (MATCH(223, 輔助計算!$G$2:$G$801, 0)+1))&lt;&gt;""), TRIM(IF(INT(INDEX(輔助計算!$D:$D, (MATCH(223, 輔助計算!$G$2:$G$801, 0)+1))/IF(INDEX(ERP資料!$G:$G, (MATCH(223, 輔助計算!$G$2:$G$801, 0)+1))&lt;100, IF(INDEX(ERP資料!$G:$G, (MATCH(223, 輔助計算!$G$2:$G$801, 0)+1))&lt;=31,3,IF(INDEX(ERP資料!$G:$G, (MATCH(223, 輔助計算!$G$2:$G$801, 0)+1))&lt;=46.5,2,1)), IF(INDEX(ERP資料!$G:$G, (MATCH(223, 輔助計算!$G$2:$G$801, 0)+1))&lt;=790,3,IF(INDEX(ERP資料!$G:$G, (MATCH(223, 輔助計算!$G$2:$G$801, 0)+1))&lt;=1181,2,1))))&gt;0, IF(IF(INDEX(ERP資料!$G:$G, (MATCH(223, 輔助計算!$G$2:$G$801, 0)+1))&lt;100, IF(INDEX(ERP資料!$G:$G, (MATCH(223, 輔助計算!$G$2:$G$801, 0)+1))&lt;=31,3,IF(INDEX(ERP資料!$G:$G, (MATCH(223, 輔助計算!$G$2:$G$801, 0)+1))&lt;=46.5,2,1)), IF(INDEX(ERP資料!$G:$G, (MATCH(223, 輔助計算!$G$2:$G$801, 0)+1))&lt;=790,3,IF(INDEX(ERP資料!$G:$G, (MATCH(223, 輔助計算!$G$2:$G$801, 0)+1))&lt;=1181,2,1)))=1,TEXT(INDEX(ERP資料!$G:$G, (MATCH(223, 輔助計算!$G$2:$G$801, 0)+1)),"0.##"),IF(IF(INDEX(ERP資料!$G:$G, (MATCH(223, 輔助計算!$G$2:$G$801, 0)+1))&lt;100, IF(INDEX(ERP資料!$G:$G, (MATCH(223, 輔助計算!$G$2:$G$801, 0)+1))&lt;=31,3,IF(INDEX(ERP資料!$G:$G, (MATCH(223, 輔助計算!$G$2:$G$801, 0)+1))&lt;=46.5,2,1)), IF(INDEX(ERP資料!$G:$G, (MATCH(223, 輔助計算!$G$2:$G$801, 0)+1))&lt;=790,3,IF(INDEX(ERP資料!$G:$G, (MATCH(223, 輔助計算!$G$2:$G$801, 0)+1))&lt;=1181,2,1)))=2,TEXT(INDEX(ERP資料!$G:$G, (MATCH(223, 輔助計算!$G$2:$G$801, 0)+1)),"0.##")&amp;"+"&amp;TEXT(INDEX(ERP資料!$G:$G, (MATCH(223, 輔助計算!$G$2:$G$801, 0)+1)),"0.##"),TEXT(INDEX(ERP資料!$G:$G, (MATCH(223, 輔助計算!$G$2:$G$801, 0)+1)),"0.##")&amp;"+"&amp;TEXT(INDEX(ERP資料!$G:$G, (MATCH(223, 輔助計算!$G$2:$G$801, 0)+1)),"0.##")&amp;"+"&amp;TEXT(INDEX(ERP資料!$G:$G, (MATCH(223, 輔助計算!$G$2:$G$801, 0)+1)),"0.##")))&amp;"-"&amp;INT(INDEX(輔助計算!$D:$D, (MATCH(223, 輔助計算!$G$2:$G$801, 0)+1))/IF(INDEX(ERP資料!$G:$G, (MATCH(223, 輔助計算!$G$2:$G$801, 0)+1))&lt;100, IF(INDEX(ERP資料!$G:$G, (MATCH(223, 輔助計算!$G$2:$G$801, 0)+1))&lt;=31,3,IF(INDEX(ERP資料!$G:$G, (MATCH(223, 輔助計算!$G$2:$G$801, 0)+1))&lt;=46.5,2,1)), IF(INDEX(ERP資料!$G:$G, (MATCH(223, 輔助計算!$G$2:$G$801, 0)+1))&lt;=790,3,IF(INDEX(ERP資料!$G:$G, (MATCH(223, 輔助計算!$G$2:$G$801, 0)+1))&lt;=1181,2,1)))), "")&amp;IF(AND(IF(INT(INDEX(輔助計算!$D:$D, (MATCH(223, 輔助計算!$G$2:$G$801, 0)+1))/IF(INDEX(ERP資料!$G:$G, (MATCH(223, 輔助計算!$G$2:$G$801, 0)+1))&lt;100, IF(INDEX(ERP資料!$G:$G, (MATCH(223, 輔助計算!$G$2:$G$801, 0)+1))&lt;=31,3,IF(INDEX(ERP資料!$G:$G, (MATCH(223, 輔助計算!$G$2:$G$801, 0)+1))&lt;=46.5,2,1)), IF(INDEX(ERP資料!$G:$G, (MATCH(223, 輔助計算!$G$2:$G$801, 0)+1))&lt;=790,3,IF(INDEX(ERP資料!$G:$G, (MATCH(223, 輔助計算!$G$2:$G$801, 0)+1))&lt;=1181,2,1))))&gt;0, IF(IF(INDEX(ERP資料!$G:$G, (MATCH(223, 輔助計算!$G$2:$G$801, 0)+1))&lt;100, IF(INDEX(ERP資料!$G:$G, (MATCH(223, 輔助計算!$G$2:$G$801, 0)+1))&lt;=31,3,IF(INDEX(ERP資料!$G:$G, (MATCH(223, 輔助計算!$G$2:$G$801, 0)+1))&lt;=46.5,2,1)), IF(INDEX(ERP資料!$G:$G, (MATCH(223, 輔助計算!$G$2:$G$801, 0)+1))&lt;=790,3,IF(INDEX(ERP資料!$G:$G, (MATCH(223, 輔助計算!$G$2:$G$801, 0)+1))&lt;=1181,2,1)))=1,TEXT(INDEX(ERP資料!$G:$G, (MATCH(223, 輔助計算!$G$2:$G$801, 0)+1)),"0.##"),IF(IF(INDEX(ERP資料!$G:$G, (MATCH(223, 輔助計算!$G$2:$G$801, 0)+1))&lt;100, IF(INDEX(ERP資料!$G:$G, (MATCH(223, 輔助計算!$G$2:$G$801, 0)+1))&lt;=31,3,IF(INDEX(ERP資料!$G:$G, (MATCH(223, 輔助計算!$G$2:$G$801, 0)+1))&lt;=46.5,2,1)), IF(INDEX(ERP資料!$G:$G, (MATCH(223, 輔助計算!$G$2:$G$801, 0)+1))&lt;=790,3,IF(INDEX(ERP資料!$G:$G, (MATCH(223, 輔助計算!$G$2:$G$801, 0)+1))&lt;=1181,2,1)))=2,TEXT(INDEX(ERP資料!$G:$G, (MATCH(223, 輔助計算!$G$2:$G$801, 0)+1)),"0.##")&amp;"+"&amp;TEXT(INDEX(ERP資料!$G:$G, (MATCH(223, 輔助計算!$G$2:$G$801, 0)+1)),"0.##"),TEXT(INDEX(ERP資料!$G:$G, (MATCH(223, 輔助計算!$G$2:$G$801, 0)+1)),"0.##")&amp;"+"&amp;TEXT(INDEX(ERP資料!$G:$G, (MATCH(223, 輔助計算!$G$2:$G$801, 0)+1)),"0.##")&amp;"+"&amp;TEXT(INDEX(ERP資料!$G:$G, (MATCH(223, 輔助計算!$G$2:$G$801, 0)+1)),"0.##")))&amp;"-"&amp;INT(INDEX(輔助計算!$D:$D, (MATCH(223, 輔助計算!$G$2:$G$801, 0)+1))/IF(INDEX(ERP資料!$G:$G, (MATCH(223, 輔助計算!$G$2:$G$801, 0)+1))&lt;100, IF(INDEX(ERP資料!$G:$G, (MATCH(223, 輔助計算!$G$2:$G$801, 0)+1))&lt;=31,3,IF(INDEX(ERP資料!$G:$G, (MATCH(223, 輔助計算!$G$2:$G$801, 0)+1))&lt;=46.5,2,1)), IF(INDEX(ERP資料!$G:$G, (MATCH(223, 輔助計算!$G$2:$G$801, 0)+1))&lt;=790,3,IF(INDEX(ERP資料!$G:$G, (MATCH(223, 輔助計算!$G$2:$G$801, 0)+1))&lt;=1181,2,1)))), "")&lt;&gt;"",IF(MOD(INDEX(輔助計算!$D:$D, (MATCH(223, 輔助計算!$G$2:$G$801, 0)+1)),IF(INDEX(ERP資料!$G:$G, (MATCH(223, 輔助計算!$G$2:$G$801, 0)+1))&lt;100, IF(INDEX(ERP資料!$G:$G, (MATCH(223, 輔助計算!$G$2:$G$801, 0)+1))&lt;=31,3,IF(INDEX(ERP資料!$G:$G, (MATCH(223, 輔助計算!$G$2:$G$801, 0)+1))&lt;=46.5,2,1)), IF(INDEX(ERP資料!$G:$G, (MATCH(223, 輔助計算!$G$2:$G$801, 0)+1))&lt;=790,3,IF(INDEX(ERP資料!$G:$G, (MATCH(223, 輔助計算!$G$2:$G$801, 0)+1))&lt;=1181,2,1))))=0,"",IF(MOD(INDEX(輔助計算!$D:$D, (MATCH(223, 輔助計算!$G$2:$G$801, 0)+1)),IF(INDEX(ERP資料!$G:$G, (MATCH(223, 輔助計算!$G$2:$G$801, 0)+1))&lt;100, IF(INDEX(ERP資料!$G:$G, (MATCH(223, 輔助計算!$G$2:$G$801, 0)+1))&lt;=31,3,IF(INDEX(ERP資料!$G:$G, (MATCH(223, 輔助計算!$G$2:$G$801, 0)+1))&lt;=46.5,2,1)), IF(INDEX(ERP資料!$G:$G, (MATCH(223, 輔助計算!$G$2:$G$801, 0)+1))&lt;=790,3,IF(INDEX(ERP資料!$G:$G, (MATCH(223, 輔助計算!$G$2:$G$801, 0)+1))&lt;=1181,2,1))))=0,"",IF(MOD(INDEX(輔助計算!$D:$D, (MATCH(223, 輔助計算!$G$2:$G$801, 0)+1)),IF(INDEX(ERP資料!$G:$G, (MATCH(223, 輔助計算!$G$2:$G$801, 0)+1))&lt;100, IF(INDEX(ERP資料!$G:$G, (MATCH(223, 輔助計算!$G$2:$G$801, 0)+1))&lt;=31,3,IF(INDEX(ERP資料!$G:$G, (MATCH(223, 輔助計算!$G$2:$G$801, 0)+1))&lt;=46.5,2,1)), IF(INDEX(ERP資料!$G:$G, (MATCH(223, 輔助計算!$G$2:$G$801, 0)+1))&lt;=790,3,IF(INDEX(ERP資料!$G:$G, (MATCH(223, 輔助計算!$G$2:$G$801, 0)+1))&lt;=1181,2,1))))=1,TEXT(INDEX(ERP資料!$G:$G, (MATCH(223, 輔助計算!$G$2:$G$801, 0)+1)),"0.##"),IF(MOD(INDEX(輔助計算!$D:$D, (MATCH(223, 輔助計算!$G$2:$G$801, 0)+1)),IF(INDEX(ERP資料!$G:$G, (MATCH(223, 輔助計算!$G$2:$G$801, 0)+1))&lt;100, IF(INDEX(ERP資料!$G:$G, (MATCH(223, 輔助計算!$G$2:$G$801, 0)+1))&lt;=31,3,IF(INDEX(ERP資料!$G:$G, (MATCH(223, 輔助計算!$G$2:$G$801, 0)+1))&lt;=46.5,2,1)), IF(INDEX(ERP資料!$G:$G, (MATCH(223, 輔助計算!$G$2:$G$801, 0)+1))&lt;=790,3,IF(INDEX(ERP資料!$G:$G, (MATCH(223, 輔助計算!$G$2:$G$801, 0)+1))&lt;=1181,2,1))))=2,TEXT(INDEX(ERP資料!$G:$G, (MATCH(223, 輔助計算!$G$2:$G$801, 0)+1)),"0.##")&amp;"+"&amp;TEXT(INDEX(ERP資料!$G:$G, (MATCH(223, 輔助計算!$G$2:$G$801, 0)+1)),"0.##"),TEXT(INDEX(ERP資料!$G:$G, (MATCH(223, 輔助計算!$G$2:$G$801, 0)+1)),"0.##")&amp;"+"&amp;TEXT(INDEX(ERP資料!$G:$G, (MATCH(223, 輔助計算!$G$2:$G$801, 0)+1)),"0.##")&amp;"+"&amp;TEXT(INDEX(ERP資料!$G:$G, (MATCH(223, 輔助計算!$G$2:$G$801, 0)+1)),"0.##"))))&amp;"-1")&lt;&gt;""),"  ","")&amp;IF(MOD(INDEX(輔助計算!$D:$D, (MATCH(223, 輔助計算!$G$2:$G$801, 0)+1)),IF(INDEX(ERP資料!$G:$G, (MATCH(223, 輔助計算!$G$2:$G$801, 0)+1))&lt;100, IF(INDEX(ERP資料!$G:$G, (MATCH(223, 輔助計算!$G$2:$G$801, 0)+1))&lt;=31,3,IF(INDEX(ERP資料!$G:$G, (MATCH(223, 輔助計算!$G$2:$G$801, 0)+1))&lt;=46.5,2,1)), IF(INDEX(ERP資料!$G:$G, (MATCH(223, 輔助計算!$G$2:$G$801, 0)+1))&lt;=790,3,IF(INDEX(ERP資料!$G:$G, (MATCH(223, 輔助計算!$G$2:$G$801, 0)+1))&lt;=1181,2,1))))=0,"",IF(MOD(INDEX(輔助計算!$D:$D, (MATCH(223, 輔助計算!$G$2:$G$801, 0)+1)),IF(INDEX(ERP資料!$G:$G, (MATCH(223, 輔助計算!$G$2:$G$801, 0)+1))&lt;100, IF(INDEX(ERP資料!$G:$G, (MATCH(223, 輔助計算!$G$2:$G$801, 0)+1))&lt;=31,3,IF(INDEX(ERP資料!$G:$G, (MATCH(223, 輔助計算!$G$2:$G$801, 0)+1))&lt;=46.5,2,1)), IF(INDEX(ERP資料!$G:$G, (MATCH(223, 輔助計算!$G$2:$G$801, 0)+1))&lt;=790,3,IF(INDEX(ERP資料!$G:$G, (MATCH(223, 輔助計算!$G$2:$G$801, 0)+1))&lt;=1181,2,1))))=0,"",IF(MOD(INDEX(輔助計算!$D:$D, (MATCH(223, 輔助計算!$G$2:$G$801, 0)+1)),IF(INDEX(ERP資料!$G:$G, (MATCH(223, 輔助計算!$G$2:$G$801, 0)+1))&lt;100, IF(INDEX(ERP資料!$G:$G, (MATCH(223, 輔助計算!$G$2:$G$801, 0)+1))&lt;=31,3,IF(INDEX(ERP資料!$G:$G, (MATCH(223, 輔助計算!$G$2:$G$801, 0)+1))&lt;=46.5,2,1)), IF(INDEX(ERP資料!$G:$G, (MATCH(223, 輔助計算!$G$2:$G$801, 0)+1))&lt;=790,3,IF(INDEX(ERP資料!$G:$G, (MATCH(223, 輔助計算!$G$2:$G$801, 0)+1))&lt;=1181,2,1))))=1,TEXT(INDEX(ERP資料!$G:$G, (MATCH(223, 輔助計算!$G$2:$G$801, 0)+1)),"0.##"),IF(MOD(INDEX(輔助計算!$D:$D, (MATCH(223, 輔助計算!$G$2:$G$801, 0)+1)),IF(INDEX(ERP資料!$G:$G, (MATCH(223, 輔助計算!$G$2:$G$801, 0)+1))&lt;100, IF(INDEX(ERP資料!$G:$G, (MATCH(223, 輔助計算!$G$2:$G$801, 0)+1))&lt;=31,3,IF(INDEX(ERP資料!$G:$G, (MATCH(223, 輔助計算!$G$2:$G$801, 0)+1))&lt;=46.5,2,1)), IF(INDEX(ERP資料!$G:$G, (MATCH(223, 輔助計算!$G$2:$G$801, 0)+1))&lt;=790,3,IF(INDEX(ERP資料!$G:$G, (MATCH(223, 輔助計算!$G$2:$G$801, 0)+1))&lt;=1181,2,1))))=2,TEXT(INDEX(ERP資料!$G:$G, (MATCH(223, 輔助計算!$G$2:$G$801, 0)+1)),"0.##")&amp;"+"&amp;TEXT(INDEX(ERP資料!$G:$G, (MATCH(223, 輔助計算!$G$2:$G$801, 0)+1)),"0.##"),TEXT(INDEX(ERP資料!$G:$G, (MATCH(223, 輔助計算!$G$2:$G$801, 0)+1)),"0.##")&amp;"+"&amp;TEXT(INDEX(ERP資料!$G:$G, (MATCH(223, 輔助計算!$G$2:$G$801, 0)+1)),"0.##")&amp;"+"&amp;TEXT(INDEX(ERP資料!$G:$G, (MATCH(223, 輔助計算!$G$2:$G$801, 0)+1)),"0.##"))))&amp;"-1")), ""), "")</f>
        <v/>
      </c>
      <c r="K224" s="16" t="n"/>
      <c r="L224" s="14">
        <f>IFERROR(IF(AND(IFERROR(INDEX(ERP資料!$A:$A, (MATCH(223, 輔助計算!$G$2:$G$801, 0)+1)), "")&lt;&gt;"", IFERROR(INDEX(ERP資料!$A:$A, (MATCH(223, 輔助計算!$G$2:$G$801, 0)+1)), "")&lt;&gt;IFERROR(INDEX(ERP資料!$A:$A, MATCH(222, 輔助計算!$G$2:$G$801, 0)+1), "")), INDEX(ERP資料!$B:$B, (MATCH(223, 輔助計算!$G$2:$G$801, 0)+1)), ""), "")</f>
        <v/>
      </c>
      <c r="M224" s="17" t="n"/>
    </row>
    <row r="225">
      <c r="A225" s="10">
        <f>IFERROR(IF(AND(IFERROR(INDEX(ERP資料!$A:$A, (MATCH(224, 輔助計算!$G$2:$G$801, 0)+1)), "")&lt;&gt;"", IFERROR(INDEX(ERP資料!$A:$A, (MATCH(224, 輔助計算!$G$2:$G$801, 0)+1)), "")&lt;&gt;IFERROR(INDEX(ERP資料!$A:$A, MATCH(223, 輔助計算!$G$2:$G$801, 0)+1), "")), IFERROR(INDEX(ERP資料!$A:$A, (MATCH(224, 輔助計算!$G$2:$G$801, 0)+1)), ""), ""), "")</f>
        <v/>
      </c>
      <c r="B225" s="10">
        <f>IFERROR(IF(AND(IFERROR(INDEX(ERP資料!$A:$A, (MATCH(224, 輔助計算!$G$2:$G$801, 0)+1)), "")&lt;&gt;"", IFERROR(INDEX(ERP資料!$A:$A, (MATCH(224, 輔助計算!$G$2:$G$801, 0)+1)), "")&lt;&gt;IFERROR(INDEX(ERP資料!$A:$A, MATCH(223, 輔助計算!$G$2:$G$801, 0)+1), "")), INDEX(ERP資料!$S:$S, (MATCH(224, 輔助計算!$G$2:$G$801, 0)+1)), ""), "")</f>
        <v/>
      </c>
      <c r="C225" s="19">
        <f>IFERROR(IF(AND(IFERROR(INDEX(ERP資料!$A:$A, (MATCH(224, 輔助計算!$G$2:$G$801, 0)+1)), "")&lt;&gt;"", IFERROR(INDEX(ERP資料!$A:$A, (MATCH(224, 輔助計算!$G$2:$G$801, 0)+1)), "")&lt;&gt;IFERROR(INDEX(ERP資料!$A:$A, MATCH(223, 輔助計算!$G$2:$G$801, 0)+1), "")), IFERROR(VLOOKUP(LEFT(INDEX(ERP資料!$S:$S, (MATCH(224, 輔助計算!$G$2:$G$801, 0)+1)), 4), 紙管對照表!$A:$C, 3, FALSE), ""), ""), "")</f>
        <v/>
      </c>
      <c r="D225" s="16" t="n"/>
      <c r="E225" s="10">
        <f>IFERROR(IF(INDEX(ERP資料!$H:$H, (MATCH(224, 輔助計算!$G$2:$G$801, 0)+1))="","",INDEX(ERP資料!$H:$H, (MATCH(224, 輔助計算!$G$2:$G$801, 0)+1))), "")</f>
        <v/>
      </c>
      <c r="F225" s="10">
        <f>IFERROR(IF(INDEX(ERP資料!$E:$E, (MATCH(224, 輔助計算!$G$2:$G$801, 0)+1))="","",TRIM(INDEX(ERP資料!$E:$E, (MATCH(224, 輔助計算!$G$2:$G$801, 0)+1)))), "")</f>
        <v/>
      </c>
      <c r="G225" s="10">
        <f>IFERROR(IF(INDEX(ERP資料!$F:$F, (MATCH(224, 輔助計算!$G$2:$G$801, 0)+1))="","",INDEX(ERP資料!$F:$F, (MATCH(224, 輔助計算!$G$2:$G$801, 0)+1))), "")</f>
        <v/>
      </c>
      <c r="H225" s="10">
        <f>IFERROR(IF(INDEX(ERP資料!$G:$G, (MATCH(224, 輔助計算!$G$2:$G$801, 0)+1))="","",INDEX(ERP資料!$G:$G, (MATCH(224, 輔助計算!$G$2:$G$801, 0)+1))), "")</f>
        <v/>
      </c>
      <c r="I225" s="15">
        <f>IFERROR(INDEX(輔助計算!$D:$D, (MATCH(224, 輔助計算!$G$2:$G$801, 0)+1)), "")</f>
        <v/>
      </c>
      <c r="J225" s="15">
        <f>IFERROR(IF(AND(INDEX(輔助計算!$D:$D, (MATCH(224, 輔助計算!$G$2:$G$801, 0)+1))&lt;&gt;"", INDEX(ERP資料!$G:$G, (MATCH(224, 輔助計算!$G$2:$G$801, 0)+1))&lt;&gt;""), TRIM(IF(INT(INDEX(輔助計算!$D:$D, (MATCH(224, 輔助計算!$G$2:$G$801, 0)+1))/IF(INDEX(ERP資料!$G:$G, (MATCH(224, 輔助計算!$G$2:$G$801, 0)+1))&lt;100, IF(INDEX(ERP資料!$G:$G, (MATCH(224, 輔助計算!$G$2:$G$801, 0)+1))&lt;=31,3,IF(INDEX(ERP資料!$G:$G, (MATCH(224, 輔助計算!$G$2:$G$801, 0)+1))&lt;=46.5,2,1)), IF(INDEX(ERP資料!$G:$G, (MATCH(224, 輔助計算!$G$2:$G$801, 0)+1))&lt;=790,3,IF(INDEX(ERP資料!$G:$G, (MATCH(224, 輔助計算!$G$2:$G$801, 0)+1))&lt;=1181,2,1))))&gt;0, IF(IF(INDEX(ERP資料!$G:$G, (MATCH(224, 輔助計算!$G$2:$G$801, 0)+1))&lt;100, IF(INDEX(ERP資料!$G:$G, (MATCH(224, 輔助計算!$G$2:$G$801, 0)+1))&lt;=31,3,IF(INDEX(ERP資料!$G:$G, (MATCH(224, 輔助計算!$G$2:$G$801, 0)+1))&lt;=46.5,2,1)), IF(INDEX(ERP資料!$G:$G, (MATCH(224, 輔助計算!$G$2:$G$801, 0)+1))&lt;=790,3,IF(INDEX(ERP資料!$G:$G, (MATCH(224, 輔助計算!$G$2:$G$801, 0)+1))&lt;=1181,2,1)))=1,TEXT(INDEX(ERP資料!$G:$G, (MATCH(224, 輔助計算!$G$2:$G$801, 0)+1)),"0.##"),IF(IF(INDEX(ERP資料!$G:$G, (MATCH(224, 輔助計算!$G$2:$G$801, 0)+1))&lt;100, IF(INDEX(ERP資料!$G:$G, (MATCH(224, 輔助計算!$G$2:$G$801, 0)+1))&lt;=31,3,IF(INDEX(ERP資料!$G:$G, (MATCH(224, 輔助計算!$G$2:$G$801, 0)+1))&lt;=46.5,2,1)), IF(INDEX(ERP資料!$G:$G, (MATCH(224, 輔助計算!$G$2:$G$801, 0)+1))&lt;=790,3,IF(INDEX(ERP資料!$G:$G, (MATCH(224, 輔助計算!$G$2:$G$801, 0)+1))&lt;=1181,2,1)))=2,TEXT(INDEX(ERP資料!$G:$G, (MATCH(224, 輔助計算!$G$2:$G$801, 0)+1)),"0.##")&amp;"+"&amp;TEXT(INDEX(ERP資料!$G:$G, (MATCH(224, 輔助計算!$G$2:$G$801, 0)+1)),"0.##"),TEXT(INDEX(ERP資料!$G:$G, (MATCH(224, 輔助計算!$G$2:$G$801, 0)+1)),"0.##")&amp;"+"&amp;TEXT(INDEX(ERP資料!$G:$G, (MATCH(224, 輔助計算!$G$2:$G$801, 0)+1)),"0.##")&amp;"+"&amp;TEXT(INDEX(ERP資料!$G:$G, (MATCH(224, 輔助計算!$G$2:$G$801, 0)+1)),"0.##")))&amp;"-"&amp;INT(INDEX(輔助計算!$D:$D, (MATCH(224, 輔助計算!$G$2:$G$801, 0)+1))/IF(INDEX(ERP資料!$G:$G, (MATCH(224, 輔助計算!$G$2:$G$801, 0)+1))&lt;100, IF(INDEX(ERP資料!$G:$G, (MATCH(224, 輔助計算!$G$2:$G$801, 0)+1))&lt;=31,3,IF(INDEX(ERP資料!$G:$G, (MATCH(224, 輔助計算!$G$2:$G$801, 0)+1))&lt;=46.5,2,1)), IF(INDEX(ERP資料!$G:$G, (MATCH(224, 輔助計算!$G$2:$G$801, 0)+1))&lt;=790,3,IF(INDEX(ERP資料!$G:$G, (MATCH(224, 輔助計算!$G$2:$G$801, 0)+1))&lt;=1181,2,1)))), "")&amp;IF(AND(IF(INT(INDEX(輔助計算!$D:$D, (MATCH(224, 輔助計算!$G$2:$G$801, 0)+1))/IF(INDEX(ERP資料!$G:$G, (MATCH(224, 輔助計算!$G$2:$G$801, 0)+1))&lt;100, IF(INDEX(ERP資料!$G:$G, (MATCH(224, 輔助計算!$G$2:$G$801, 0)+1))&lt;=31,3,IF(INDEX(ERP資料!$G:$G, (MATCH(224, 輔助計算!$G$2:$G$801, 0)+1))&lt;=46.5,2,1)), IF(INDEX(ERP資料!$G:$G, (MATCH(224, 輔助計算!$G$2:$G$801, 0)+1))&lt;=790,3,IF(INDEX(ERP資料!$G:$G, (MATCH(224, 輔助計算!$G$2:$G$801, 0)+1))&lt;=1181,2,1))))&gt;0, IF(IF(INDEX(ERP資料!$G:$G, (MATCH(224, 輔助計算!$G$2:$G$801, 0)+1))&lt;100, IF(INDEX(ERP資料!$G:$G, (MATCH(224, 輔助計算!$G$2:$G$801, 0)+1))&lt;=31,3,IF(INDEX(ERP資料!$G:$G, (MATCH(224, 輔助計算!$G$2:$G$801, 0)+1))&lt;=46.5,2,1)), IF(INDEX(ERP資料!$G:$G, (MATCH(224, 輔助計算!$G$2:$G$801, 0)+1))&lt;=790,3,IF(INDEX(ERP資料!$G:$G, (MATCH(224, 輔助計算!$G$2:$G$801, 0)+1))&lt;=1181,2,1)))=1,TEXT(INDEX(ERP資料!$G:$G, (MATCH(224, 輔助計算!$G$2:$G$801, 0)+1)),"0.##"),IF(IF(INDEX(ERP資料!$G:$G, (MATCH(224, 輔助計算!$G$2:$G$801, 0)+1))&lt;100, IF(INDEX(ERP資料!$G:$G, (MATCH(224, 輔助計算!$G$2:$G$801, 0)+1))&lt;=31,3,IF(INDEX(ERP資料!$G:$G, (MATCH(224, 輔助計算!$G$2:$G$801, 0)+1))&lt;=46.5,2,1)), IF(INDEX(ERP資料!$G:$G, (MATCH(224, 輔助計算!$G$2:$G$801, 0)+1))&lt;=790,3,IF(INDEX(ERP資料!$G:$G, (MATCH(224, 輔助計算!$G$2:$G$801, 0)+1))&lt;=1181,2,1)))=2,TEXT(INDEX(ERP資料!$G:$G, (MATCH(224, 輔助計算!$G$2:$G$801, 0)+1)),"0.##")&amp;"+"&amp;TEXT(INDEX(ERP資料!$G:$G, (MATCH(224, 輔助計算!$G$2:$G$801, 0)+1)),"0.##"),TEXT(INDEX(ERP資料!$G:$G, (MATCH(224, 輔助計算!$G$2:$G$801, 0)+1)),"0.##")&amp;"+"&amp;TEXT(INDEX(ERP資料!$G:$G, (MATCH(224, 輔助計算!$G$2:$G$801, 0)+1)),"0.##")&amp;"+"&amp;TEXT(INDEX(ERP資料!$G:$G, (MATCH(224, 輔助計算!$G$2:$G$801, 0)+1)),"0.##")))&amp;"-"&amp;INT(INDEX(輔助計算!$D:$D, (MATCH(224, 輔助計算!$G$2:$G$801, 0)+1))/IF(INDEX(ERP資料!$G:$G, (MATCH(224, 輔助計算!$G$2:$G$801, 0)+1))&lt;100, IF(INDEX(ERP資料!$G:$G, (MATCH(224, 輔助計算!$G$2:$G$801, 0)+1))&lt;=31,3,IF(INDEX(ERP資料!$G:$G, (MATCH(224, 輔助計算!$G$2:$G$801, 0)+1))&lt;=46.5,2,1)), IF(INDEX(ERP資料!$G:$G, (MATCH(224, 輔助計算!$G$2:$G$801, 0)+1))&lt;=790,3,IF(INDEX(ERP資料!$G:$G, (MATCH(224, 輔助計算!$G$2:$G$801, 0)+1))&lt;=1181,2,1)))), "")&lt;&gt;"",IF(MOD(INDEX(輔助計算!$D:$D, (MATCH(224, 輔助計算!$G$2:$G$801, 0)+1)),IF(INDEX(ERP資料!$G:$G, (MATCH(224, 輔助計算!$G$2:$G$801, 0)+1))&lt;100, IF(INDEX(ERP資料!$G:$G, (MATCH(224, 輔助計算!$G$2:$G$801, 0)+1))&lt;=31,3,IF(INDEX(ERP資料!$G:$G, (MATCH(224, 輔助計算!$G$2:$G$801, 0)+1))&lt;=46.5,2,1)), IF(INDEX(ERP資料!$G:$G, (MATCH(224, 輔助計算!$G$2:$G$801, 0)+1))&lt;=790,3,IF(INDEX(ERP資料!$G:$G, (MATCH(224, 輔助計算!$G$2:$G$801, 0)+1))&lt;=1181,2,1))))=0,"",IF(MOD(INDEX(輔助計算!$D:$D, (MATCH(224, 輔助計算!$G$2:$G$801, 0)+1)),IF(INDEX(ERP資料!$G:$G, (MATCH(224, 輔助計算!$G$2:$G$801, 0)+1))&lt;100, IF(INDEX(ERP資料!$G:$G, (MATCH(224, 輔助計算!$G$2:$G$801, 0)+1))&lt;=31,3,IF(INDEX(ERP資料!$G:$G, (MATCH(224, 輔助計算!$G$2:$G$801, 0)+1))&lt;=46.5,2,1)), IF(INDEX(ERP資料!$G:$G, (MATCH(224, 輔助計算!$G$2:$G$801, 0)+1))&lt;=790,3,IF(INDEX(ERP資料!$G:$G, (MATCH(224, 輔助計算!$G$2:$G$801, 0)+1))&lt;=1181,2,1))))=0,"",IF(MOD(INDEX(輔助計算!$D:$D, (MATCH(224, 輔助計算!$G$2:$G$801, 0)+1)),IF(INDEX(ERP資料!$G:$G, (MATCH(224, 輔助計算!$G$2:$G$801, 0)+1))&lt;100, IF(INDEX(ERP資料!$G:$G, (MATCH(224, 輔助計算!$G$2:$G$801, 0)+1))&lt;=31,3,IF(INDEX(ERP資料!$G:$G, (MATCH(224, 輔助計算!$G$2:$G$801, 0)+1))&lt;=46.5,2,1)), IF(INDEX(ERP資料!$G:$G, (MATCH(224, 輔助計算!$G$2:$G$801, 0)+1))&lt;=790,3,IF(INDEX(ERP資料!$G:$G, (MATCH(224, 輔助計算!$G$2:$G$801, 0)+1))&lt;=1181,2,1))))=1,TEXT(INDEX(ERP資料!$G:$G, (MATCH(224, 輔助計算!$G$2:$G$801, 0)+1)),"0.##"),IF(MOD(INDEX(輔助計算!$D:$D, (MATCH(224, 輔助計算!$G$2:$G$801, 0)+1)),IF(INDEX(ERP資料!$G:$G, (MATCH(224, 輔助計算!$G$2:$G$801, 0)+1))&lt;100, IF(INDEX(ERP資料!$G:$G, (MATCH(224, 輔助計算!$G$2:$G$801, 0)+1))&lt;=31,3,IF(INDEX(ERP資料!$G:$G, (MATCH(224, 輔助計算!$G$2:$G$801, 0)+1))&lt;=46.5,2,1)), IF(INDEX(ERP資料!$G:$G, (MATCH(224, 輔助計算!$G$2:$G$801, 0)+1))&lt;=790,3,IF(INDEX(ERP資料!$G:$G, (MATCH(224, 輔助計算!$G$2:$G$801, 0)+1))&lt;=1181,2,1))))=2,TEXT(INDEX(ERP資料!$G:$G, (MATCH(224, 輔助計算!$G$2:$G$801, 0)+1)),"0.##")&amp;"+"&amp;TEXT(INDEX(ERP資料!$G:$G, (MATCH(224, 輔助計算!$G$2:$G$801, 0)+1)),"0.##"),TEXT(INDEX(ERP資料!$G:$G, (MATCH(224, 輔助計算!$G$2:$G$801, 0)+1)),"0.##")&amp;"+"&amp;TEXT(INDEX(ERP資料!$G:$G, (MATCH(224, 輔助計算!$G$2:$G$801, 0)+1)),"0.##")&amp;"+"&amp;TEXT(INDEX(ERP資料!$G:$G, (MATCH(224, 輔助計算!$G$2:$G$801, 0)+1)),"0.##"))))&amp;"-1")&lt;&gt;""),"  ","")&amp;IF(MOD(INDEX(輔助計算!$D:$D, (MATCH(224, 輔助計算!$G$2:$G$801, 0)+1)),IF(INDEX(ERP資料!$G:$G, (MATCH(224, 輔助計算!$G$2:$G$801, 0)+1))&lt;100, IF(INDEX(ERP資料!$G:$G, (MATCH(224, 輔助計算!$G$2:$G$801, 0)+1))&lt;=31,3,IF(INDEX(ERP資料!$G:$G, (MATCH(224, 輔助計算!$G$2:$G$801, 0)+1))&lt;=46.5,2,1)), IF(INDEX(ERP資料!$G:$G, (MATCH(224, 輔助計算!$G$2:$G$801, 0)+1))&lt;=790,3,IF(INDEX(ERP資料!$G:$G, (MATCH(224, 輔助計算!$G$2:$G$801, 0)+1))&lt;=1181,2,1))))=0,"",IF(MOD(INDEX(輔助計算!$D:$D, (MATCH(224, 輔助計算!$G$2:$G$801, 0)+1)),IF(INDEX(ERP資料!$G:$G, (MATCH(224, 輔助計算!$G$2:$G$801, 0)+1))&lt;100, IF(INDEX(ERP資料!$G:$G, (MATCH(224, 輔助計算!$G$2:$G$801, 0)+1))&lt;=31,3,IF(INDEX(ERP資料!$G:$G, (MATCH(224, 輔助計算!$G$2:$G$801, 0)+1))&lt;=46.5,2,1)), IF(INDEX(ERP資料!$G:$G, (MATCH(224, 輔助計算!$G$2:$G$801, 0)+1))&lt;=790,3,IF(INDEX(ERP資料!$G:$G, (MATCH(224, 輔助計算!$G$2:$G$801, 0)+1))&lt;=1181,2,1))))=0,"",IF(MOD(INDEX(輔助計算!$D:$D, (MATCH(224, 輔助計算!$G$2:$G$801, 0)+1)),IF(INDEX(ERP資料!$G:$G, (MATCH(224, 輔助計算!$G$2:$G$801, 0)+1))&lt;100, IF(INDEX(ERP資料!$G:$G, (MATCH(224, 輔助計算!$G$2:$G$801, 0)+1))&lt;=31,3,IF(INDEX(ERP資料!$G:$G, (MATCH(224, 輔助計算!$G$2:$G$801, 0)+1))&lt;=46.5,2,1)), IF(INDEX(ERP資料!$G:$G, (MATCH(224, 輔助計算!$G$2:$G$801, 0)+1))&lt;=790,3,IF(INDEX(ERP資料!$G:$G, (MATCH(224, 輔助計算!$G$2:$G$801, 0)+1))&lt;=1181,2,1))))=1,TEXT(INDEX(ERP資料!$G:$G, (MATCH(224, 輔助計算!$G$2:$G$801, 0)+1)),"0.##"),IF(MOD(INDEX(輔助計算!$D:$D, (MATCH(224, 輔助計算!$G$2:$G$801, 0)+1)),IF(INDEX(ERP資料!$G:$G, (MATCH(224, 輔助計算!$G$2:$G$801, 0)+1))&lt;100, IF(INDEX(ERP資料!$G:$G, (MATCH(224, 輔助計算!$G$2:$G$801, 0)+1))&lt;=31,3,IF(INDEX(ERP資料!$G:$G, (MATCH(224, 輔助計算!$G$2:$G$801, 0)+1))&lt;=46.5,2,1)), IF(INDEX(ERP資料!$G:$G, (MATCH(224, 輔助計算!$G$2:$G$801, 0)+1))&lt;=790,3,IF(INDEX(ERP資料!$G:$G, (MATCH(224, 輔助計算!$G$2:$G$801, 0)+1))&lt;=1181,2,1))))=2,TEXT(INDEX(ERP資料!$G:$G, (MATCH(224, 輔助計算!$G$2:$G$801, 0)+1)),"0.##")&amp;"+"&amp;TEXT(INDEX(ERP資料!$G:$G, (MATCH(224, 輔助計算!$G$2:$G$801, 0)+1)),"0.##"),TEXT(INDEX(ERP資料!$G:$G, (MATCH(224, 輔助計算!$G$2:$G$801, 0)+1)),"0.##")&amp;"+"&amp;TEXT(INDEX(ERP資料!$G:$G, (MATCH(224, 輔助計算!$G$2:$G$801, 0)+1)),"0.##")&amp;"+"&amp;TEXT(INDEX(ERP資料!$G:$G, (MATCH(224, 輔助計算!$G$2:$G$801, 0)+1)),"0.##"))))&amp;"-1")), ""), "")</f>
        <v/>
      </c>
      <c r="K225" s="16" t="n"/>
      <c r="L225" s="14">
        <f>IFERROR(IF(AND(IFERROR(INDEX(ERP資料!$A:$A, (MATCH(224, 輔助計算!$G$2:$G$801, 0)+1)), "")&lt;&gt;"", IFERROR(INDEX(ERP資料!$A:$A, (MATCH(224, 輔助計算!$G$2:$G$801, 0)+1)), "")&lt;&gt;IFERROR(INDEX(ERP資料!$A:$A, MATCH(223, 輔助計算!$G$2:$G$801, 0)+1), "")), INDEX(ERP資料!$B:$B, (MATCH(224, 輔助計算!$G$2:$G$801, 0)+1)), ""), "")</f>
        <v/>
      </c>
      <c r="M225" s="17" t="n"/>
    </row>
    <row r="226">
      <c r="A226" s="10">
        <f>IFERROR(IF(AND(IFERROR(INDEX(ERP資料!$A:$A, (MATCH(225, 輔助計算!$G$2:$G$801, 0)+1)), "")&lt;&gt;"", IFERROR(INDEX(ERP資料!$A:$A, (MATCH(225, 輔助計算!$G$2:$G$801, 0)+1)), "")&lt;&gt;IFERROR(INDEX(ERP資料!$A:$A, MATCH(224, 輔助計算!$G$2:$G$801, 0)+1), "")), IFERROR(INDEX(ERP資料!$A:$A, (MATCH(225, 輔助計算!$G$2:$G$801, 0)+1)), ""), ""), "")</f>
        <v/>
      </c>
      <c r="B226" s="10">
        <f>IFERROR(IF(AND(IFERROR(INDEX(ERP資料!$A:$A, (MATCH(225, 輔助計算!$G$2:$G$801, 0)+1)), "")&lt;&gt;"", IFERROR(INDEX(ERP資料!$A:$A, (MATCH(225, 輔助計算!$G$2:$G$801, 0)+1)), "")&lt;&gt;IFERROR(INDEX(ERP資料!$A:$A, MATCH(224, 輔助計算!$G$2:$G$801, 0)+1), "")), INDEX(ERP資料!$S:$S, (MATCH(225, 輔助計算!$G$2:$G$801, 0)+1)), ""), "")</f>
        <v/>
      </c>
      <c r="C226" s="19">
        <f>IFERROR(IF(AND(IFERROR(INDEX(ERP資料!$A:$A, (MATCH(225, 輔助計算!$G$2:$G$801, 0)+1)), "")&lt;&gt;"", IFERROR(INDEX(ERP資料!$A:$A, (MATCH(225, 輔助計算!$G$2:$G$801, 0)+1)), "")&lt;&gt;IFERROR(INDEX(ERP資料!$A:$A, MATCH(224, 輔助計算!$G$2:$G$801, 0)+1), "")), IFERROR(VLOOKUP(LEFT(INDEX(ERP資料!$S:$S, (MATCH(225, 輔助計算!$G$2:$G$801, 0)+1)), 4), 紙管對照表!$A:$C, 3, FALSE), ""), ""), "")</f>
        <v/>
      </c>
      <c r="D226" s="16" t="n"/>
      <c r="E226" s="10">
        <f>IFERROR(IF(INDEX(ERP資料!$H:$H, (MATCH(225, 輔助計算!$G$2:$G$801, 0)+1))="","",INDEX(ERP資料!$H:$H, (MATCH(225, 輔助計算!$G$2:$G$801, 0)+1))), "")</f>
        <v/>
      </c>
      <c r="F226" s="10">
        <f>IFERROR(IF(INDEX(ERP資料!$E:$E, (MATCH(225, 輔助計算!$G$2:$G$801, 0)+1))="","",TRIM(INDEX(ERP資料!$E:$E, (MATCH(225, 輔助計算!$G$2:$G$801, 0)+1)))), "")</f>
        <v/>
      </c>
      <c r="G226" s="10">
        <f>IFERROR(IF(INDEX(ERP資料!$F:$F, (MATCH(225, 輔助計算!$G$2:$G$801, 0)+1))="","",INDEX(ERP資料!$F:$F, (MATCH(225, 輔助計算!$G$2:$G$801, 0)+1))), "")</f>
        <v/>
      </c>
      <c r="H226" s="10">
        <f>IFERROR(IF(INDEX(ERP資料!$G:$G, (MATCH(225, 輔助計算!$G$2:$G$801, 0)+1))="","",INDEX(ERP資料!$G:$G, (MATCH(225, 輔助計算!$G$2:$G$801, 0)+1))), "")</f>
        <v/>
      </c>
      <c r="I226" s="15">
        <f>IFERROR(INDEX(輔助計算!$D:$D, (MATCH(225, 輔助計算!$G$2:$G$801, 0)+1)), "")</f>
        <v/>
      </c>
      <c r="J226" s="15">
        <f>IFERROR(IF(AND(INDEX(輔助計算!$D:$D, (MATCH(225, 輔助計算!$G$2:$G$801, 0)+1))&lt;&gt;"", INDEX(ERP資料!$G:$G, (MATCH(225, 輔助計算!$G$2:$G$801, 0)+1))&lt;&gt;""), TRIM(IF(INT(INDEX(輔助計算!$D:$D, (MATCH(225, 輔助計算!$G$2:$G$801, 0)+1))/IF(INDEX(ERP資料!$G:$G, (MATCH(225, 輔助計算!$G$2:$G$801, 0)+1))&lt;100, IF(INDEX(ERP資料!$G:$G, (MATCH(225, 輔助計算!$G$2:$G$801, 0)+1))&lt;=31,3,IF(INDEX(ERP資料!$G:$G, (MATCH(225, 輔助計算!$G$2:$G$801, 0)+1))&lt;=46.5,2,1)), IF(INDEX(ERP資料!$G:$G, (MATCH(225, 輔助計算!$G$2:$G$801, 0)+1))&lt;=790,3,IF(INDEX(ERP資料!$G:$G, (MATCH(225, 輔助計算!$G$2:$G$801, 0)+1))&lt;=1181,2,1))))&gt;0, IF(IF(INDEX(ERP資料!$G:$G, (MATCH(225, 輔助計算!$G$2:$G$801, 0)+1))&lt;100, IF(INDEX(ERP資料!$G:$G, (MATCH(225, 輔助計算!$G$2:$G$801, 0)+1))&lt;=31,3,IF(INDEX(ERP資料!$G:$G, (MATCH(225, 輔助計算!$G$2:$G$801, 0)+1))&lt;=46.5,2,1)), IF(INDEX(ERP資料!$G:$G, (MATCH(225, 輔助計算!$G$2:$G$801, 0)+1))&lt;=790,3,IF(INDEX(ERP資料!$G:$G, (MATCH(225, 輔助計算!$G$2:$G$801, 0)+1))&lt;=1181,2,1)))=1,TEXT(INDEX(ERP資料!$G:$G, (MATCH(225, 輔助計算!$G$2:$G$801, 0)+1)),"0.##"),IF(IF(INDEX(ERP資料!$G:$G, (MATCH(225, 輔助計算!$G$2:$G$801, 0)+1))&lt;100, IF(INDEX(ERP資料!$G:$G, (MATCH(225, 輔助計算!$G$2:$G$801, 0)+1))&lt;=31,3,IF(INDEX(ERP資料!$G:$G, (MATCH(225, 輔助計算!$G$2:$G$801, 0)+1))&lt;=46.5,2,1)), IF(INDEX(ERP資料!$G:$G, (MATCH(225, 輔助計算!$G$2:$G$801, 0)+1))&lt;=790,3,IF(INDEX(ERP資料!$G:$G, (MATCH(225, 輔助計算!$G$2:$G$801, 0)+1))&lt;=1181,2,1)))=2,TEXT(INDEX(ERP資料!$G:$G, (MATCH(225, 輔助計算!$G$2:$G$801, 0)+1)),"0.##")&amp;"+"&amp;TEXT(INDEX(ERP資料!$G:$G, (MATCH(225, 輔助計算!$G$2:$G$801, 0)+1)),"0.##"),TEXT(INDEX(ERP資料!$G:$G, (MATCH(225, 輔助計算!$G$2:$G$801, 0)+1)),"0.##")&amp;"+"&amp;TEXT(INDEX(ERP資料!$G:$G, (MATCH(225, 輔助計算!$G$2:$G$801, 0)+1)),"0.##")&amp;"+"&amp;TEXT(INDEX(ERP資料!$G:$G, (MATCH(225, 輔助計算!$G$2:$G$801, 0)+1)),"0.##")))&amp;"-"&amp;INT(INDEX(輔助計算!$D:$D, (MATCH(225, 輔助計算!$G$2:$G$801, 0)+1))/IF(INDEX(ERP資料!$G:$G, (MATCH(225, 輔助計算!$G$2:$G$801, 0)+1))&lt;100, IF(INDEX(ERP資料!$G:$G, (MATCH(225, 輔助計算!$G$2:$G$801, 0)+1))&lt;=31,3,IF(INDEX(ERP資料!$G:$G, (MATCH(225, 輔助計算!$G$2:$G$801, 0)+1))&lt;=46.5,2,1)), IF(INDEX(ERP資料!$G:$G, (MATCH(225, 輔助計算!$G$2:$G$801, 0)+1))&lt;=790,3,IF(INDEX(ERP資料!$G:$G, (MATCH(225, 輔助計算!$G$2:$G$801, 0)+1))&lt;=1181,2,1)))), "")&amp;IF(AND(IF(INT(INDEX(輔助計算!$D:$D, (MATCH(225, 輔助計算!$G$2:$G$801, 0)+1))/IF(INDEX(ERP資料!$G:$G, (MATCH(225, 輔助計算!$G$2:$G$801, 0)+1))&lt;100, IF(INDEX(ERP資料!$G:$G, (MATCH(225, 輔助計算!$G$2:$G$801, 0)+1))&lt;=31,3,IF(INDEX(ERP資料!$G:$G, (MATCH(225, 輔助計算!$G$2:$G$801, 0)+1))&lt;=46.5,2,1)), IF(INDEX(ERP資料!$G:$G, (MATCH(225, 輔助計算!$G$2:$G$801, 0)+1))&lt;=790,3,IF(INDEX(ERP資料!$G:$G, (MATCH(225, 輔助計算!$G$2:$G$801, 0)+1))&lt;=1181,2,1))))&gt;0, IF(IF(INDEX(ERP資料!$G:$G, (MATCH(225, 輔助計算!$G$2:$G$801, 0)+1))&lt;100, IF(INDEX(ERP資料!$G:$G, (MATCH(225, 輔助計算!$G$2:$G$801, 0)+1))&lt;=31,3,IF(INDEX(ERP資料!$G:$G, (MATCH(225, 輔助計算!$G$2:$G$801, 0)+1))&lt;=46.5,2,1)), IF(INDEX(ERP資料!$G:$G, (MATCH(225, 輔助計算!$G$2:$G$801, 0)+1))&lt;=790,3,IF(INDEX(ERP資料!$G:$G, (MATCH(225, 輔助計算!$G$2:$G$801, 0)+1))&lt;=1181,2,1)))=1,TEXT(INDEX(ERP資料!$G:$G, (MATCH(225, 輔助計算!$G$2:$G$801, 0)+1)),"0.##"),IF(IF(INDEX(ERP資料!$G:$G, (MATCH(225, 輔助計算!$G$2:$G$801, 0)+1))&lt;100, IF(INDEX(ERP資料!$G:$G, (MATCH(225, 輔助計算!$G$2:$G$801, 0)+1))&lt;=31,3,IF(INDEX(ERP資料!$G:$G, (MATCH(225, 輔助計算!$G$2:$G$801, 0)+1))&lt;=46.5,2,1)), IF(INDEX(ERP資料!$G:$G, (MATCH(225, 輔助計算!$G$2:$G$801, 0)+1))&lt;=790,3,IF(INDEX(ERP資料!$G:$G, (MATCH(225, 輔助計算!$G$2:$G$801, 0)+1))&lt;=1181,2,1)))=2,TEXT(INDEX(ERP資料!$G:$G, (MATCH(225, 輔助計算!$G$2:$G$801, 0)+1)),"0.##")&amp;"+"&amp;TEXT(INDEX(ERP資料!$G:$G, (MATCH(225, 輔助計算!$G$2:$G$801, 0)+1)),"0.##"),TEXT(INDEX(ERP資料!$G:$G, (MATCH(225, 輔助計算!$G$2:$G$801, 0)+1)),"0.##")&amp;"+"&amp;TEXT(INDEX(ERP資料!$G:$G, (MATCH(225, 輔助計算!$G$2:$G$801, 0)+1)),"0.##")&amp;"+"&amp;TEXT(INDEX(ERP資料!$G:$G, (MATCH(225, 輔助計算!$G$2:$G$801, 0)+1)),"0.##")))&amp;"-"&amp;INT(INDEX(輔助計算!$D:$D, (MATCH(225, 輔助計算!$G$2:$G$801, 0)+1))/IF(INDEX(ERP資料!$G:$G, (MATCH(225, 輔助計算!$G$2:$G$801, 0)+1))&lt;100, IF(INDEX(ERP資料!$G:$G, (MATCH(225, 輔助計算!$G$2:$G$801, 0)+1))&lt;=31,3,IF(INDEX(ERP資料!$G:$G, (MATCH(225, 輔助計算!$G$2:$G$801, 0)+1))&lt;=46.5,2,1)), IF(INDEX(ERP資料!$G:$G, (MATCH(225, 輔助計算!$G$2:$G$801, 0)+1))&lt;=790,3,IF(INDEX(ERP資料!$G:$G, (MATCH(225, 輔助計算!$G$2:$G$801, 0)+1))&lt;=1181,2,1)))), "")&lt;&gt;"",IF(MOD(INDEX(輔助計算!$D:$D, (MATCH(225, 輔助計算!$G$2:$G$801, 0)+1)),IF(INDEX(ERP資料!$G:$G, (MATCH(225, 輔助計算!$G$2:$G$801, 0)+1))&lt;100, IF(INDEX(ERP資料!$G:$G, (MATCH(225, 輔助計算!$G$2:$G$801, 0)+1))&lt;=31,3,IF(INDEX(ERP資料!$G:$G, (MATCH(225, 輔助計算!$G$2:$G$801, 0)+1))&lt;=46.5,2,1)), IF(INDEX(ERP資料!$G:$G, (MATCH(225, 輔助計算!$G$2:$G$801, 0)+1))&lt;=790,3,IF(INDEX(ERP資料!$G:$G, (MATCH(225, 輔助計算!$G$2:$G$801, 0)+1))&lt;=1181,2,1))))=0,"",IF(MOD(INDEX(輔助計算!$D:$D, (MATCH(225, 輔助計算!$G$2:$G$801, 0)+1)),IF(INDEX(ERP資料!$G:$G, (MATCH(225, 輔助計算!$G$2:$G$801, 0)+1))&lt;100, IF(INDEX(ERP資料!$G:$G, (MATCH(225, 輔助計算!$G$2:$G$801, 0)+1))&lt;=31,3,IF(INDEX(ERP資料!$G:$G, (MATCH(225, 輔助計算!$G$2:$G$801, 0)+1))&lt;=46.5,2,1)), IF(INDEX(ERP資料!$G:$G, (MATCH(225, 輔助計算!$G$2:$G$801, 0)+1))&lt;=790,3,IF(INDEX(ERP資料!$G:$G, (MATCH(225, 輔助計算!$G$2:$G$801, 0)+1))&lt;=1181,2,1))))=0,"",IF(MOD(INDEX(輔助計算!$D:$D, (MATCH(225, 輔助計算!$G$2:$G$801, 0)+1)),IF(INDEX(ERP資料!$G:$G, (MATCH(225, 輔助計算!$G$2:$G$801, 0)+1))&lt;100, IF(INDEX(ERP資料!$G:$G, (MATCH(225, 輔助計算!$G$2:$G$801, 0)+1))&lt;=31,3,IF(INDEX(ERP資料!$G:$G, (MATCH(225, 輔助計算!$G$2:$G$801, 0)+1))&lt;=46.5,2,1)), IF(INDEX(ERP資料!$G:$G, (MATCH(225, 輔助計算!$G$2:$G$801, 0)+1))&lt;=790,3,IF(INDEX(ERP資料!$G:$G, (MATCH(225, 輔助計算!$G$2:$G$801, 0)+1))&lt;=1181,2,1))))=1,TEXT(INDEX(ERP資料!$G:$G, (MATCH(225, 輔助計算!$G$2:$G$801, 0)+1)),"0.##"),IF(MOD(INDEX(輔助計算!$D:$D, (MATCH(225, 輔助計算!$G$2:$G$801, 0)+1)),IF(INDEX(ERP資料!$G:$G, (MATCH(225, 輔助計算!$G$2:$G$801, 0)+1))&lt;100, IF(INDEX(ERP資料!$G:$G, (MATCH(225, 輔助計算!$G$2:$G$801, 0)+1))&lt;=31,3,IF(INDEX(ERP資料!$G:$G, (MATCH(225, 輔助計算!$G$2:$G$801, 0)+1))&lt;=46.5,2,1)), IF(INDEX(ERP資料!$G:$G, (MATCH(225, 輔助計算!$G$2:$G$801, 0)+1))&lt;=790,3,IF(INDEX(ERP資料!$G:$G, (MATCH(225, 輔助計算!$G$2:$G$801, 0)+1))&lt;=1181,2,1))))=2,TEXT(INDEX(ERP資料!$G:$G, (MATCH(225, 輔助計算!$G$2:$G$801, 0)+1)),"0.##")&amp;"+"&amp;TEXT(INDEX(ERP資料!$G:$G, (MATCH(225, 輔助計算!$G$2:$G$801, 0)+1)),"0.##"),TEXT(INDEX(ERP資料!$G:$G, (MATCH(225, 輔助計算!$G$2:$G$801, 0)+1)),"0.##")&amp;"+"&amp;TEXT(INDEX(ERP資料!$G:$G, (MATCH(225, 輔助計算!$G$2:$G$801, 0)+1)),"0.##")&amp;"+"&amp;TEXT(INDEX(ERP資料!$G:$G, (MATCH(225, 輔助計算!$G$2:$G$801, 0)+1)),"0.##"))))&amp;"-1")&lt;&gt;""),"  ","")&amp;IF(MOD(INDEX(輔助計算!$D:$D, (MATCH(225, 輔助計算!$G$2:$G$801, 0)+1)),IF(INDEX(ERP資料!$G:$G, (MATCH(225, 輔助計算!$G$2:$G$801, 0)+1))&lt;100, IF(INDEX(ERP資料!$G:$G, (MATCH(225, 輔助計算!$G$2:$G$801, 0)+1))&lt;=31,3,IF(INDEX(ERP資料!$G:$G, (MATCH(225, 輔助計算!$G$2:$G$801, 0)+1))&lt;=46.5,2,1)), IF(INDEX(ERP資料!$G:$G, (MATCH(225, 輔助計算!$G$2:$G$801, 0)+1))&lt;=790,3,IF(INDEX(ERP資料!$G:$G, (MATCH(225, 輔助計算!$G$2:$G$801, 0)+1))&lt;=1181,2,1))))=0,"",IF(MOD(INDEX(輔助計算!$D:$D, (MATCH(225, 輔助計算!$G$2:$G$801, 0)+1)),IF(INDEX(ERP資料!$G:$G, (MATCH(225, 輔助計算!$G$2:$G$801, 0)+1))&lt;100, IF(INDEX(ERP資料!$G:$G, (MATCH(225, 輔助計算!$G$2:$G$801, 0)+1))&lt;=31,3,IF(INDEX(ERP資料!$G:$G, (MATCH(225, 輔助計算!$G$2:$G$801, 0)+1))&lt;=46.5,2,1)), IF(INDEX(ERP資料!$G:$G, (MATCH(225, 輔助計算!$G$2:$G$801, 0)+1))&lt;=790,3,IF(INDEX(ERP資料!$G:$G, (MATCH(225, 輔助計算!$G$2:$G$801, 0)+1))&lt;=1181,2,1))))=0,"",IF(MOD(INDEX(輔助計算!$D:$D, (MATCH(225, 輔助計算!$G$2:$G$801, 0)+1)),IF(INDEX(ERP資料!$G:$G, (MATCH(225, 輔助計算!$G$2:$G$801, 0)+1))&lt;100, IF(INDEX(ERP資料!$G:$G, (MATCH(225, 輔助計算!$G$2:$G$801, 0)+1))&lt;=31,3,IF(INDEX(ERP資料!$G:$G, (MATCH(225, 輔助計算!$G$2:$G$801, 0)+1))&lt;=46.5,2,1)), IF(INDEX(ERP資料!$G:$G, (MATCH(225, 輔助計算!$G$2:$G$801, 0)+1))&lt;=790,3,IF(INDEX(ERP資料!$G:$G, (MATCH(225, 輔助計算!$G$2:$G$801, 0)+1))&lt;=1181,2,1))))=1,TEXT(INDEX(ERP資料!$G:$G, (MATCH(225, 輔助計算!$G$2:$G$801, 0)+1)),"0.##"),IF(MOD(INDEX(輔助計算!$D:$D, (MATCH(225, 輔助計算!$G$2:$G$801, 0)+1)),IF(INDEX(ERP資料!$G:$G, (MATCH(225, 輔助計算!$G$2:$G$801, 0)+1))&lt;100, IF(INDEX(ERP資料!$G:$G, (MATCH(225, 輔助計算!$G$2:$G$801, 0)+1))&lt;=31,3,IF(INDEX(ERP資料!$G:$G, (MATCH(225, 輔助計算!$G$2:$G$801, 0)+1))&lt;=46.5,2,1)), IF(INDEX(ERP資料!$G:$G, (MATCH(225, 輔助計算!$G$2:$G$801, 0)+1))&lt;=790,3,IF(INDEX(ERP資料!$G:$G, (MATCH(225, 輔助計算!$G$2:$G$801, 0)+1))&lt;=1181,2,1))))=2,TEXT(INDEX(ERP資料!$G:$G, (MATCH(225, 輔助計算!$G$2:$G$801, 0)+1)),"0.##")&amp;"+"&amp;TEXT(INDEX(ERP資料!$G:$G, (MATCH(225, 輔助計算!$G$2:$G$801, 0)+1)),"0.##"),TEXT(INDEX(ERP資料!$G:$G, (MATCH(225, 輔助計算!$G$2:$G$801, 0)+1)),"0.##")&amp;"+"&amp;TEXT(INDEX(ERP資料!$G:$G, (MATCH(225, 輔助計算!$G$2:$G$801, 0)+1)),"0.##")&amp;"+"&amp;TEXT(INDEX(ERP資料!$G:$G, (MATCH(225, 輔助計算!$G$2:$G$801, 0)+1)),"0.##"))))&amp;"-1")), ""), "")</f>
        <v/>
      </c>
      <c r="K226" s="16" t="n"/>
      <c r="L226" s="14">
        <f>IFERROR(IF(AND(IFERROR(INDEX(ERP資料!$A:$A, (MATCH(225, 輔助計算!$G$2:$G$801, 0)+1)), "")&lt;&gt;"", IFERROR(INDEX(ERP資料!$A:$A, (MATCH(225, 輔助計算!$G$2:$G$801, 0)+1)), "")&lt;&gt;IFERROR(INDEX(ERP資料!$A:$A, MATCH(224, 輔助計算!$G$2:$G$801, 0)+1), "")), INDEX(ERP資料!$B:$B, (MATCH(225, 輔助計算!$G$2:$G$801, 0)+1)), ""), "")</f>
        <v/>
      </c>
      <c r="M226" s="17" t="n"/>
    </row>
    <row r="227">
      <c r="A227" s="10">
        <f>IFERROR(IF(AND(IFERROR(INDEX(ERP資料!$A:$A, (MATCH(226, 輔助計算!$G$2:$G$801, 0)+1)), "")&lt;&gt;"", IFERROR(INDEX(ERP資料!$A:$A, (MATCH(226, 輔助計算!$G$2:$G$801, 0)+1)), "")&lt;&gt;IFERROR(INDEX(ERP資料!$A:$A, MATCH(225, 輔助計算!$G$2:$G$801, 0)+1), "")), IFERROR(INDEX(ERP資料!$A:$A, (MATCH(226, 輔助計算!$G$2:$G$801, 0)+1)), ""), ""), "")</f>
        <v/>
      </c>
      <c r="B227" s="10">
        <f>IFERROR(IF(AND(IFERROR(INDEX(ERP資料!$A:$A, (MATCH(226, 輔助計算!$G$2:$G$801, 0)+1)), "")&lt;&gt;"", IFERROR(INDEX(ERP資料!$A:$A, (MATCH(226, 輔助計算!$G$2:$G$801, 0)+1)), "")&lt;&gt;IFERROR(INDEX(ERP資料!$A:$A, MATCH(225, 輔助計算!$G$2:$G$801, 0)+1), "")), INDEX(ERP資料!$S:$S, (MATCH(226, 輔助計算!$G$2:$G$801, 0)+1)), ""), "")</f>
        <v/>
      </c>
      <c r="C227" s="19">
        <f>IFERROR(IF(AND(IFERROR(INDEX(ERP資料!$A:$A, (MATCH(226, 輔助計算!$G$2:$G$801, 0)+1)), "")&lt;&gt;"", IFERROR(INDEX(ERP資料!$A:$A, (MATCH(226, 輔助計算!$G$2:$G$801, 0)+1)), "")&lt;&gt;IFERROR(INDEX(ERP資料!$A:$A, MATCH(225, 輔助計算!$G$2:$G$801, 0)+1), "")), IFERROR(VLOOKUP(LEFT(INDEX(ERP資料!$S:$S, (MATCH(226, 輔助計算!$G$2:$G$801, 0)+1)), 4), 紙管對照表!$A:$C, 3, FALSE), ""), ""), "")</f>
        <v/>
      </c>
      <c r="D227" s="16" t="n"/>
      <c r="E227" s="10">
        <f>IFERROR(IF(INDEX(ERP資料!$H:$H, (MATCH(226, 輔助計算!$G$2:$G$801, 0)+1))="","",INDEX(ERP資料!$H:$H, (MATCH(226, 輔助計算!$G$2:$G$801, 0)+1))), "")</f>
        <v/>
      </c>
      <c r="F227" s="10">
        <f>IFERROR(IF(INDEX(ERP資料!$E:$E, (MATCH(226, 輔助計算!$G$2:$G$801, 0)+1))="","",TRIM(INDEX(ERP資料!$E:$E, (MATCH(226, 輔助計算!$G$2:$G$801, 0)+1)))), "")</f>
        <v/>
      </c>
      <c r="G227" s="10">
        <f>IFERROR(IF(INDEX(ERP資料!$F:$F, (MATCH(226, 輔助計算!$G$2:$G$801, 0)+1))="","",INDEX(ERP資料!$F:$F, (MATCH(226, 輔助計算!$G$2:$G$801, 0)+1))), "")</f>
        <v/>
      </c>
      <c r="H227" s="10">
        <f>IFERROR(IF(INDEX(ERP資料!$G:$G, (MATCH(226, 輔助計算!$G$2:$G$801, 0)+1))="","",INDEX(ERP資料!$G:$G, (MATCH(226, 輔助計算!$G$2:$G$801, 0)+1))), "")</f>
        <v/>
      </c>
      <c r="I227" s="15">
        <f>IFERROR(INDEX(輔助計算!$D:$D, (MATCH(226, 輔助計算!$G$2:$G$801, 0)+1)), "")</f>
        <v/>
      </c>
      <c r="J227" s="15">
        <f>IFERROR(IF(AND(INDEX(輔助計算!$D:$D, (MATCH(226, 輔助計算!$G$2:$G$801, 0)+1))&lt;&gt;"", INDEX(ERP資料!$G:$G, (MATCH(226, 輔助計算!$G$2:$G$801, 0)+1))&lt;&gt;""), TRIM(IF(INT(INDEX(輔助計算!$D:$D, (MATCH(226, 輔助計算!$G$2:$G$801, 0)+1))/IF(INDEX(ERP資料!$G:$G, (MATCH(226, 輔助計算!$G$2:$G$801, 0)+1))&lt;100, IF(INDEX(ERP資料!$G:$G, (MATCH(226, 輔助計算!$G$2:$G$801, 0)+1))&lt;=31,3,IF(INDEX(ERP資料!$G:$G, (MATCH(226, 輔助計算!$G$2:$G$801, 0)+1))&lt;=46.5,2,1)), IF(INDEX(ERP資料!$G:$G, (MATCH(226, 輔助計算!$G$2:$G$801, 0)+1))&lt;=790,3,IF(INDEX(ERP資料!$G:$G, (MATCH(226, 輔助計算!$G$2:$G$801, 0)+1))&lt;=1181,2,1))))&gt;0, IF(IF(INDEX(ERP資料!$G:$G, (MATCH(226, 輔助計算!$G$2:$G$801, 0)+1))&lt;100, IF(INDEX(ERP資料!$G:$G, (MATCH(226, 輔助計算!$G$2:$G$801, 0)+1))&lt;=31,3,IF(INDEX(ERP資料!$G:$G, (MATCH(226, 輔助計算!$G$2:$G$801, 0)+1))&lt;=46.5,2,1)), IF(INDEX(ERP資料!$G:$G, (MATCH(226, 輔助計算!$G$2:$G$801, 0)+1))&lt;=790,3,IF(INDEX(ERP資料!$G:$G, (MATCH(226, 輔助計算!$G$2:$G$801, 0)+1))&lt;=1181,2,1)))=1,TEXT(INDEX(ERP資料!$G:$G, (MATCH(226, 輔助計算!$G$2:$G$801, 0)+1)),"0.##"),IF(IF(INDEX(ERP資料!$G:$G, (MATCH(226, 輔助計算!$G$2:$G$801, 0)+1))&lt;100, IF(INDEX(ERP資料!$G:$G, (MATCH(226, 輔助計算!$G$2:$G$801, 0)+1))&lt;=31,3,IF(INDEX(ERP資料!$G:$G, (MATCH(226, 輔助計算!$G$2:$G$801, 0)+1))&lt;=46.5,2,1)), IF(INDEX(ERP資料!$G:$G, (MATCH(226, 輔助計算!$G$2:$G$801, 0)+1))&lt;=790,3,IF(INDEX(ERP資料!$G:$G, (MATCH(226, 輔助計算!$G$2:$G$801, 0)+1))&lt;=1181,2,1)))=2,TEXT(INDEX(ERP資料!$G:$G, (MATCH(226, 輔助計算!$G$2:$G$801, 0)+1)),"0.##")&amp;"+"&amp;TEXT(INDEX(ERP資料!$G:$G, (MATCH(226, 輔助計算!$G$2:$G$801, 0)+1)),"0.##"),TEXT(INDEX(ERP資料!$G:$G, (MATCH(226, 輔助計算!$G$2:$G$801, 0)+1)),"0.##")&amp;"+"&amp;TEXT(INDEX(ERP資料!$G:$G, (MATCH(226, 輔助計算!$G$2:$G$801, 0)+1)),"0.##")&amp;"+"&amp;TEXT(INDEX(ERP資料!$G:$G, (MATCH(226, 輔助計算!$G$2:$G$801, 0)+1)),"0.##")))&amp;"-"&amp;INT(INDEX(輔助計算!$D:$D, (MATCH(226, 輔助計算!$G$2:$G$801, 0)+1))/IF(INDEX(ERP資料!$G:$G, (MATCH(226, 輔助計算!$G$2:$G$801, 0)+1))&lt;100, IF(INDEX(ERP資料!$G:$G, (MATCH(226, 輔助計算!$G$2:$G$801, 0)+1))&lt;=31,3,IF(INDEX(ERP資料!$G:$G, (MATCH(226, 輔助計算!$G$2:$G$801, 0)+1))&lt;=46.5,2,1)), IF(INDEX(ERP資料!$G:$G, (MATCH(226, 輔助計算!$G$2:$G$801, 0)+1))&lt;=790,3,IF(INDEX(ERP資料!$G:$G, (MATCH(226, 輔助計算!$G$2:$G$801, 0)+1))&lt;=1181,2,1)))), "")&amp;IF(AND(IF(INT(INDEX(輔助計算!$D:$D, (MATCH(226, 輔助計算!$G$2:$G$801, 0)+1))/IF(INDEX(ERP資料!$G:$G, (MATCH(226, 輔助計算!$G$2:$G$801, 0)+1))&lt;100, IF(INDEX(ERP資料!$G:$G, (MATCH(226, 輔助計算!$G$2:$G$801, 0)+1))&lt;=31,3,IF(INDEX(ERP資料!$G:$G, (MATCH(226, 輔助計算!$G$2:$G$801, 0)+1))&lt;=46.5,2,1)), IF(INDEX(ERP資料!$G:$G, (MATCH(226, 輔助計算!$G$2:$G$801, 0)+1))&lt;=790,3,IF(INDEX(ERP資料!$G:$G, (MATCH(226, 輔助計算!$G$2:$G$801, 0)+1))&lt;=1181,2,1))))&gt;0, IF(IF(INDEX(ERP資料!$G:$G, (MATCH(226, 輔助計算!$G$2:$G$801, 0)+1))&lt;100, IF(INDEX(ERP資料!$G:$G, (MATCH(226, 輔助計算!$G$2:$G$801, 0)+1))&lt;=31,3,IF(INDEX(ERP資料!$G:$G, (MATCH(226, 輔助計算!$G$2:$G$801, 0)+1))&lt;=46.5,2,1)), IF(INDEX(ERP資料!$G:$G, (MATCH(226, 輔助計算!$G$2:$G$801, 0)+1))&lt;=790,3,IF(INDEX(ERP資料!$G:$G, (MATCH(226, 輔助計算!$G$2:$G$801, 0)+1))&lt;=1181,2,1)))=1,TEXT(INDEX(ERP資料!$G:$G, (MATCH(226, 輔助計算!$G$2:$G$801, 0)+1)),"0.##"),IF(IF(INDEX(ERP資料!$G:$G, (MATCH(226, 輔助計算!$G$2:$G$801, 0)+1))&lt;100, IF(INDEX(ERP資料!$G:$G, (MATCH(226, 輔助計算!$G$2:$G$801, 0)+1))&lt;=31,3,IF(INDEX(ERP資料!$G:$G, (MATCH(226, 輔助計算!$G$2:$G$801, 0)+1))&lt;=46.5,2,1)), IF(INDEX(ERP資料!$G:$G, (MATCH(226, 輔助計算!$G$2:$G$801, 0)+1))&lt;=790,3,IF(INDEX(ERP資料!$G:$G, (MATCH(226, 輔助計算!$G$2:$G$801, 0)+1))&lt;=1181,2,1)))=2,TEXT(INDEX(ERP資料!$G:$G, (MATCH(226, 輔助計算!$G$2:$G$801, 0)+1)),"0.##")&amp;"+"&amp;TEXT(INDEX(ERP資料!$G:$G, (MATCH(226, 輔助計算!$G$2:$G$801, 0)+1)),"0.##"),TEXT(INDEX(ERP資料!$G:$G, (MATCH(226, 輔助計算!$G$2:$G$801, 0)+1)),"0.##")&amp;"+"&amp;TEXT(INDEX(ERP資料!$G:$G, (MATCH(226, 輔助計算!$G$2:$G$801, 0)+1)),"0.##")&amp;"+"&amp;TEXT(INDEX(ERP資料!$G:$G, (MATCH(226, 輔助計算!$G$2:$G$801, 0)+1)),"0.##")))&amp;"-"&amp;INT(INDEX(輔助計算!$D:$D, (MATCH(226, 輔助計算!$G$2:$G$801, 0)+1))/IF(INDEX(ERP資料!$G:$G, (MATCH(226, 輔助計算!$G$2:$G$801, 0)+1))&lt;100, IF(INDEX(ERP資料!$G:$G, (MATCH(226, 輔助計算!$G$2:$G$801, 0)+1))&lt;=31,3,IF(INDEX(ERP資料!$G:$G, (MATCH(226, 輔助計算!$G$2:$G$801, 0)+1))&lt;=46.5,2,1)), IF(INDEX(ERP資料!$G:$G, (MATCH(226, 輔助計算!$G$2:$G$801, 0)+1))&lt;=790,3,IF(INDEX(ERP資料!$G:$G, (MATCH(226, 輔助計算!$G$2:$G$801, 0)+1))&lt;=1181,2,1)))), "")&lt;&gt;"",IF(MOD(INDEX(輔助計算!$D:$D, (MATCH(226, 輔助計算!$G$2:$G$801, 0)+1)),IF(INDEX(ERP資料!$G:$G, (MATCH(226, 輔助計算!$G$2:$G$801, 0)+1))&lt;100, IF(INDEX(ERP資料!$G:$G, (MATCH(226, 輔助計算!$G$2:$G$801, 0)+1))&lt;=31,3,IF(INDEX(ERP資料!$G:$G, (MATCH(226, 輔助計算!$G$2:$G$801, 0)+1))&lt;=46.5,2,1)), IF(INDEX(ERP資料!$G:$G, (MATCH(226, 輔助計算!$G$2:$G$801, 0)+1))&lt;=790,3,IF(INDEX(ERP資料!$G:$G, (MATCH(226, 輔助計算!$G$2:$G$801, 0)+1))&lt;=1181,2,1))))=0,"",IF(MOD(INDEX(輔助計算!$D:$D, (MATCH(226, 輔助計算!$G$2:$G$801, 0)+1)),IF(INDEX(ERP資料!$G:$G, (MATCH(226, 輔助計算!$G$2:$G$801, 0)+1))&lt;100, IF(INDEX(ERP資料!$G:$G, (MATCH(226, 輔助計算!$G$2:$G$801, 0)+1))&lt;=31,3,IF(INDEX(ERP資料!$G:$G, (MATCH(226, 輔助計算!$G$2:$G$801, 0)+1))&lt;=46.5,2,1)), IF(INDEX(ERP資料!$G:$G, (MATCH(226, 輔助計算!$G$2:$G$801, 0)+1))&lt;=790,3,IF(INDEX(ERP資料!$G:$G, (MATCH(226, 輔助計算!$G$2:$G$801, 0)+1))&lt;=1181,2,1))))=0,"",IF(MOD(INDEX(輔助計算!$D:$D, (MATCH(226, 輔助計算!$G$2:$G$801, 0)+1)),IF(INDEX(ERP資料!$G:$G, (MATCH(226, 輔助計算!$G$2:$G$801, 0)+1))&lt;100, IF(INDEX(ERP資料!$G:$G, (MATCH(226, 輔助計算!$G$2:$G$801, 0)+1))&lt;=31,3,IF(INDEX(ERP資料!$G:$G, (MATCH(226, 輔助計算!$G$2:$G$801, 0)+1))&lt;=46.5,2,1)), IF(INDEX(ERP資料!$G:$G, (MATCH(226, 輔助計算!$G$2:$G$801, 0)+1))&lt;=790,3,IF(INDEX(ERP資料!$G:$G, (MATCH(226, 輔助計算!$G$2:$G$801, 0)+1))&lt;=1181,2,1))))=1,TEXT(INDEX(ERP資料!$G:$G, (MATCH(226, 輔助計算!$G$2:$G$801, 0)+1)),"0.##"),IF(MOD(INDEX(輔助計算!$D:$D, (MATCH(226, 輔助計算!$G$2:$G$801, 0)+1)),IF(INDEX(ERP資料!$G:$G, (MATCH(226, 輔助計算!$G$2:$G$801, 0)+1))&lt;100, IF(INDEX(ERP資料!$G:$G, (MATCH(226, 輔助計算!$G$2:$G$801, 0)+1))&lt;=31,3,IF(INDEX(ERP資料!$G:$G, (MATCH(226, 輔助計算!$G$2:$G$801, 0)+1))&lt;=46.5,2,1)), IF(INDEX(ERP資料!$G:$G, (MATCH(226, 輔助計算!$G$2:$G$801, 0)+1))&lt;=790,3,IF(INDEX(ERP資料!$G:$G, (MATCH(226, 輔助計算!$G$2:$G$801, 0)+1))&lt;=1181,2,1))))=2,TEXT(INDEX(ERP資料!$G:$G, (MATCH(226, 輔助計算!$G$2:$G$801, 0)+1)),"0.##")&amp;"+"&amp;TEXT(INDEX(ERP資料!$G:$G, (MATCH(226, 輔助計算!$G$2:$G$801, 0)+1)),"0.##"),TEXT(INDEX(ERP資料!$G:$G, (MATCH(226, 輔助計算!$G$2:$G$801, 0)+1)),"0.##")&amp;"+"&amp;TEXT(INDEX(ERP資料!$G:$G, (MATCH(226, 輔助計算!$G$2:$G$801, 0)+1)),"0.##")&amp;"+"&amp;TEXT(INDEX(ERP資料!$G:$G, (MATCH(226, 輔助計算!$G$2:$G$801, 0)+1)),"0.##"))))&amp;"-1")&lt;&gt;""),"  ","")&amp;IF(MOD(INDEX(輔助計算!$D:$D, (MATCH(226, 輔助計算!$G$2:$G$801, 0)+1)),IF(INDEX(ERP資料!$G:$G, (MATCH(226, 輔助計算!$G$2:$G$801, 0)+1))&lt;100, IF(INDEX(ERP資料!$G:$G, (MATCH(226, 輔助計算!$G$2:$G$801, 0)+1))&lt;=31,3,IF(INDEX(ERP資料!$G:$G, (MATCH(226, 輔助計算!$G$2:$G$801, 0)+1))&lt;=46.5,2,1)), IF(INDEX(ERP資料!$G:$G, (MATCH(226, 輔助計算!$G$2:$G$801, 0)+1))&lt;=790,3,IF(INDEX(ERP資料!$G:$G, (MATCH(226, 輔助計算!$G$2:$G$801, 0)+1))&lt;=1181,2,1))))=0,"",IF(MOD(INDEX(輔助計算!$D:$D, (MATCH(226, 輔助計算!$G$2:$G$801, 0)+1)),IF(INDEX(ERP資料!$G:$G, (MATCH(226, 輔助計算!$G$2:$G$801, 0)+1))&lt;100, IF(INDEX(ERP資料!$G:$G, (MATCH(226, 輔助計算!$G$2:$G$801, 0)+1))&lt;=31,3,IF(INDEX(ERP資料!$G:$G, (MATCH(226, 輔助計算!$G$2:$G$801, 0)+1))&lt;=46.5,2,1)), IF(INDEX(ERP資料!$G:$G, (MATCH(226, 輔助計算!$G$2:$G$801, 0)+1))&lt;=790,3,IF(INDEX(ERP資料!$G:$G, (MATCH(226, 輔助計算!$G$2:$G$801, 0)+1))&lt;=1181,2,1))))=0,"",IF(MOD(INDEX(輔助計算!$D:$D, (MATCH(226, 輔助計算!$G$2:$G$801, 0)+1)),IF(INDEX(ERP資料!$G:$G, (MATCH(226, 輔助計算!$G$2:$G$801, 0)+1))&lt;100, IF(INDEX(ERP資料!$G:$G, (MATCH(226, 輔助計算!$G$2:$G$801, 0)+1))&lt;=31,3,IF(INDEX(ERP資料!$G:$G, (MATCH(226, 輔助計算!$G$2:$G$801, 0)+1))&lt;=46.5,2,1)), IF(INDEX(ERP資料!$G:$G, (MATCH(226, 輔助計算!$G$2:$G$801, 0)+1))&lt;=790,3,IF(INDEX(ERP資料!$G:$G, (MATCH(226, 輔助計算!$G$2:$G$801, 0)+1))&lt;=1181,2,1))))=1,TEXT(INDEX(ERP資料!$G:$G, (MATCH(226, 輔助計算!$G$2:$G$801, 0)+1)),"0.##"),IF(MOD(INDEX(輔助計算!$D:$D, (MATCH(226, 輔助計算!$G$2:$G$801, 0)+1)),IF(INDEX(ERP資料!$G:$G, (MATCH(226, 輔助計算!$G$2:$G$801, 0)+1))&lt;100, IF(INDEX(ERP資料!$G:$G, (MATCH(226, 輔助計算!$G$2:$G$801, 0)+1))&lt;=31,3,IF(INDEX(ERP資料!$G:$G, (MATCH(226, 輔助計算!$G$2:$G$801, 0)+1))&lt;=46.5,2,1)), IF(INDEX(ERP資料!$G:$G, (MATCH(226, 輔助計算!$G$2:$G$801, 0)+1))&lt;=790,3,IF(INDEX(ERP資料!$G:$G, (MATCH(226, 輔助計算!$G$2:$G$801, 0)+1))&lt;=1181,2,1))))=2,TEXT(INDEX(ERP資料!$G:$G, (MATCH(226, 輔助計算!$G$2:$G$801, 0)+1)),"0.##")&amp;"+"&amp;TEXT(INDEX(ERP資料!$G:$G, (MATCH(226, 輔助計算!$G$2:$G$801, 0)+1)),"0.##"),TEXT(INDEX(ERP資料!$G:$G, (MATCH(226, 輔助計算!$G$2:$G$801, 0)+1)),"0.##")&amp;"+"&amp;TEXT(INDEX(ERP資料!$G:$G, (MATCH(226, 輔助計算!$G$2:$G$801, 0)+1)),"0.##")&amp;"+"&amp;TEXT(INDEX(ERP資料!$G:$G, (MATCH(226, 輔助計算!$G$2:$G$801, 0)+1)),"0.##"))))&amp;"-1")), ""), "")</f>
        <v/>
      </c>
      <c r="K227" s="16" t="n"/>
      <c r="L227" s="14">
        <f>IFERROR(IF(AND(IFERROR(INDEX(ERP資料!$A:$A, (MATCH(226, 輔助計算!$G$2:$G$801, 0)+1)), "")&lt;&gt;"", IFERROR(INDEX(ERP資料!$A:$A, (MATCH(226, 輔助計算!$G$2:$G$801, 0)+1)), "")&lt;&gt;IFERROR(INDEX(ERP資料!$A:$A, MATCH(225, 輔助計算!$G$2:$G$801, 0)+1), "")), INDEX(ERP資料!$B:$B, (MATCH(226, 輔助計算!$G$2:$G$801, 0)+1)), ""), "")</f>
        <v/>
      </c>
      <c r="M227" s="17" t="n"/>
    </row>
    <row r="228">
      <c r="A228" s="10">
        <f>IFERROR(IF(AND(IFERROR(INDEX(ERP資料!$A:$A, (MATCH(227, 輔助計算!$G$2:$G$801, 0)+1)), "")&lt;&gt;"", IFERROR(INDEX(ERP資料!$A:$A, (MATCH(227, 輔助計算!$G$2:$G$801, 0)+1)), "")&lt;&gt;IFERROR(INDEX(ERP資料!$A:$A, MATCH(226, 輔助計算!$G$2:$G$801, 0)+1), "")), IFERROR(INDEX(ERP資料!$A:$A, (MATCH(227, 輔助計算!$G$2:$G$801, 0)+1)), ""), ""), "")</f>
        <v/>
      </c>
      <c r="B228" s="10">
        <f>IFERROR(IF(AND(IFERROR(INDEX(ERP資料!$A:$A, (MATCH(227, 輔助計算!$G$2:$G$801, 0)+1)), "")&lt;&gt;"", IFERROR(INDEX(ERP資料!$A:$A, (MATCH(227, 輔助計算!$G$2:$G$801, 0)+1)), "")&lt;&gt;IFERROR(INDEX(ERP資料!$A:$A, MATCH(226, 輔助計算!$G$2:$G$801, 0)+1), "")), INDEX(ERP資料!$S:$S, (MATCH(227, 輔助計算!$G$2:$G$801, 0)+1)), ""), "")</f>
        <v/>
      </c>
      <c r="C228" s="19">
        <f>IFERROR(IF(AND(IFERROR(INDEX(ERP資料!$A:$A, (MATCH(227, 輔助計算!$G$2:$G$801, 0)+1)), "")&lt;&gt;"", IFERROR(INDEX(ERP資料!$A:$A, (MATCH(227, 輔助計算!$G$2:$G$801, 0)+1)), "")&lt;&gt;IFERROR(INDEX(ERP資料!$A:$A, MATCH(226, 輔助計算!$G$2:$G$801, 0)+1), "")), IFERROR(VLOOKUP(LEFT(INDEX(ERP資料!$S:$S, (MATCH(227, 輔助計算!$G$2:$G$801, 0)+1)), 4), 紙管對照表!$A:$C, 3, FALSE), ""), ""), "")</f>
        <v/>
      </c>
      <c r="D228" s="16" t="n"/>
      <c r="E228" s="10">
        <f>IFERROR(IF(INDEX(ERP資料!$H:$H, (MATCH(227, 輔助計算!$G$2:$G$801, 0)+1))="","",INDEX(ERP資料!$H:$H, (MATCH(227, 輔助計算!$G$2:$G$801, 0)+1))), "")</f>
        <v/>
      </c>
      <c r="F228" s="10">
        <f>IFERROR(IF(INDEX(ERP資料!$E:$E, (MATCH(227, 輔助計算!$G$2:$G$801, 0)+1))="","",TRIM(INDEX(ERP資料!$E:$E, (MATCH(227, 輔助計算!$G$2:$G$801, 0)+1)))), "")</f>
        <v/>
      </c>
      <c r="G228" s="10">
        <f>IFERROR(IF(INDEX(ERP資料!$F:$F, (MATCH(227, 輔助計算!$G$2:$G$801, 0)+1))="","",INDEX(ERP資料!$F:$F, (MATCH(227, 輔助計算!$G$2:$G$801, 0)+1))), "")</f>
        <v/>
      </c>
      <c r="H228" s="10">
        <f>IFERROR(IF(INDEX(ERP資料!$G:$G, (MATCH(227, 輔助計算!$G$2:$G$801, 0)+1))="","",INDEX(ERP資料!$G:$G, (MATCH(227, 輔助計算!$G$2:$G$801, 0)+1))), "")</f>
        <v/>
      </c>
      <c r="I228" s="15">
        <f>IFERROR(INDEX(輔助計算!$D:$D, (MATCH(227, 輔助計算!$G$2:$G$801, 0)+1)), "")</f>
        <v/>
      </c>
      <c r="J228" s="15">
        <f>IFERROR(IF(AND(INDEX(輔助計算!$D:$D, (MATCH(227, 輔助計算!$G$2:$G$801, 0)+1))&lt;&gt;"", INDEX(ERP資料!$G:$G, (MATCH(227, 輔助計算!$G$2:$G$801, 0)+1))&lt;&gt;""), TRIM(IF(INT(INDEX(輔助計算!$D:$D, (MATCH(227, 輔助計算!$G$2:$G$801, 0)+1))/IF(INDEX(ERP資料!$G:$G, (MATCH(227, 輔助計算!$G$2:$G$801, 0)+1))&lt;100, IF(INDEX(ERP資料!$G:$G, (MATCH(227, 輔助計算!$G$2:$G$801, 0)+1))&lt;=31,3,IF(INDEX(ERP資料!$G:$G, (MATCH(227, 輔助計算!$G$2:$G$801, 0)+1))&lt;=46.5,2,1)), IF(INDEX(ERP資料!$G:$G, (MATCH(227, 輔助計算!$G$2:$G$801, 0)+1))&lt;=790,3,IF(INDEX(ERP資料!$G:$G, (MATCH(227, 輔助計算!$G$2:$G$801, 0)+1))&lt;=1181,2,1))))&gt;0, IF(IF(INDEX(ERP資料!$G:$G, (MATCH(227, 輔助計算!$G$2:$G$801, 0)+1))&lt;100, IF(INDEX(ERP資料!$G:$G, (MATCH(227, 輔助計算!$G$2:$G$801, 0)+1))&lt;=31,3,IF(INDEX(ERP資料!$G:$G, (MATCH(227, 輔助計算!$G$2:$G$801, 0)+1))&lt;=46.5,2,1)), IF(INDEX(ERP資料!$G:$G, (MATCH(227, 輔助計算!$G$2:$G$801, 0)+1))&lt;=790,3,IF(INDEX(ERP資料!$G:$G, (MATCH(227, 輔助計算!$G$2:$G$801, 0)+1))&lt;=1181,2,1)))=1,TEXT(INDEX(ERP資料!$G:$G, (MATCH(227, 輔助計算!$G$2:$G$801, 0)+1)),"0.##"),IF(IF(INDEX(ERP資料!$G:$G, (MATCH(227, 輔助計算!$G$2:$G$801, 0)+1))&lt;100, IF(INDEX(ERP資料!$G:$G, (MATCH(227, 輔助計算!$G$2:$G$801, 0)+1))&lt;=31,3,IF(INDEX(ERP資料!$G:$G, (MATCH(227, 輔助計算!$G$2:$G$801, 0)+1))&lt;=46.5,2,1)), IF(INDEX(ERP資料!$G:$G, (MATCH(227, 輔助計算!$G$2:$G$801, 0)+1))&lt;=790,3,IF(INDEX(ERP資料!$G:$G, (MATCH(227, 輔助計算!$G$2:$G$801, 0)+1))&lt;=1181,2,1)))=2,TEXT(INDEX(ERP資料!$G:$G, (MATCH(227, 輔助計算!$G$2:$G$801, 0)+1)),"0.##")&amp;"+"&amp;TEXT(INDEX(ERP資料!$G:$G, (MATCH(227, 輔助計算!$G$2:$G$801, 0)+1)),"0.##"),TEXT(INDEX(ERP資料!$G:$G, (MATCH(227, 輔助計算!$G$2:$G$801, 0)+1)),"0.##")&amp;"+"&amp;TEXT(INDEX(ERP資料!$G:$G, (MATCH(227, 輔助計算!$G$2:$G$801, 0)+1)),"0.##")&amp;"+"&amp;TEXT(INDEX(ERP資料!$G:$G, (MATCH(227, 輔助計算!$G$2:$G$801, 0)+1)),"0.##")))&amp;"-"&amp;INT(INDEX(輔助計算!$D:$D, (MATCH(227, 輔助計算!$G$2:$G$801, 0)+1))/IF(INDEX(ERP資料!$G:$G, (MATCH(227, 輔助計算!$G$2:$G$801, 0)+1))&lt;100, IF(INDEX(ERP資料!$G:$G, (MATCH(227, 輔助計算!$G$2:$G$801, 0)+1))&lt;=31,3,IF(INDEX(ERP資料!$G:$G, (MATCH(227, 輔助計算!$G$2:$G$801, 0)+1))&lt;=46.5,2,1)), IF(INDEX(ERP資料!$G:$G, (MATCH(227, 輔助計算!$G$2:$G$801, 0)+1))&lt;=790,3,IF(INDEX(ERP資料!$G:$G, (MATCH(227, 輔助計算!$G$2:$G$801, 0)+1))&lt;=1181,2,1)))), "")&amp;IF(AND(IF(INT(INDEX(輔助計算!$D:$D, (MATCH(227, 輔助計算!$G$2:$G$801, 0)+1))/IF(INDEX(ERP資料!$G:$G, (MATCH(227, 輔助計算!$G$2:$G$801, 0)+1))&lt;100, IF(INDEX(ERP資料!$G:$G, (MATCH(227, 輔助計算!$G$2:$G$801, 0)+1))&lt;=31,3,IF(INDEX(ERP資料!$G:$G, (MATCH(227, 輔助計算!$G$2:$G$801, 0)+1))&lt;=46.5,2,1)), IF(INDEX(ERP資料!$G:$G, (MATCH(227, 輔助計算!$G$2:$G$801, 0)+1))&lt;=790,3,IF(INDEX(ERP資料!$G:$G, (MATCH(227, 輔助計算!$G$2:$G$801, 0)+1))&lt;=1181,2,1))))&gt;0, IF(IF(INDEX(ERP資料!$G:$G, (MATCH(227, 輔助計算!$G$2:$G$801, 0)+1))&lt;100, IF(INDEX(ERP資料!$G:$G, (MATCH(227, 輔助計算!$G$2:$G$801, 0)+1))&lt;=31,3,IF(INDEX(ERP資料!$G:$G, (MATCH(227, 輔助計算!$G$2:$G$801, 0)+1))&lt;=46.5,2,1)), IF(INDEX(ERP資料!$G:$G, (MATCH(227, 輔助計算!$G$2:$G$801, 0)+1))&lt;=790,3,IF(INDEX(ERP資料!$G:$G, (MATCH(227, 輔助計算!$G$2:$G$801, 0)+1))&lt;=1181,2,1)))=1,TEXT(INDEX(ERP資料!$G:$G, (MATCH(227, 輔助計算!$G$2:$G$801, 0)+1)),"0.##"),IF(IF(INDEX(ERP資料!$G:$G, (MATCH(227, 輔助計算!$G$2:$G$801, 0)+1))&lt;100, IF(INDEX(ERP資料!$G:$G, (MATCH(227, 輔助計算!$G$2:$G$801, 0)+1))&lt;=31,3,IF(INDEX(ERP資料!$G:$G, (MATCH(227, 輔助計算!$G$2:$G$801, 0)+1))&lt;=46.5,2,1)), IF(INDEX(ERP資料!$G:$G, (MATCH(227, 輔助計算!$G$2:$G$801, 0)+1))&lt;=790,3,IF(INDEX(ERP資料!$G:$G, (MATCH(227, 輔助計算!$G$2:$G$801, 0)+1))&lt;=1181,2,1)))=2,TEXT(INDEX(ERP資料!$G:$G, (MATCH(227, 輔助計算!$G$2:$G$801, 0)+1)),"0.##")&amp;"+"&amp;TEXT(INDEX(ERP資料!$G:$G, (MATCH(227, 輔助計算!$G$2:$G$801, 0)+1)),"0.##"),TEXT(INDEX(ERP資料!$G:$G, (MATCH(227, 輔助計算!$G$2:$G$801, 0)+1)),"0.##")&amp;"+"&amp;TEXT(INDEX(ERP資料!$G:$G, (MATCH(227, 輔助計算!$G$2:$G$801, 0)+1)),"0.##")&amp;"+"&amp;TEXT(INDEX(ERP資料!$G:$G, (MATCH(227, 輔助計算!$G$2:$G$801, 0)+1)),"0.##")))&amp;"-"&amp;INT(INDEX(輔助計算!$D:$D, (MATCH(227, 輔助計算!$G$2:$G$801, 0)+1))/IF(INDEX(ERP資料!$G:$G, (MATCH(227, 輔助計算!$G$2:$G$801, 0)+1))&lt;100, IF(INDEX(ERP資料!$G:$G, (MATCH(227, 輔助計算!$G$2:$G$801, 0)+1))&lt;=31,3,IF(INDEX(ERP資料!$G:$G, (MATCH(227, 輔助計算!$G$2:$G$801, 0)+1))&lt;=46.5,2,1)), IF(INDEX(ERP資料!$G:$G, (MATCH(227, 輔助計算!$G$2:$G$801, 0)+1))&lt;=790,3,IF(INDEX(ERP資料!$G:$G, (MATCH(227, 輔助計算!$G$2:$G$801, 0)+1))&lt;=1181,2,1)))), "")&lt;&gt;"",IF(MOD(INDEX(輔助計算!$D:$D, (MATCH(227, 輔助計算!$G$2:$G$801, 0)+1)),IF(INDEX(ERP資料!$G:$G, (MATCH(227, 輔助計算!$G$2:$G$801, 0)+1))&lt;100, IF(INDEX(ERP資料!$G:$G, (MATCH(227, 輔助計算!$G$2:$G$801, 0)+1))&lt;=31,3,IF(INDEX(ERP資料!$G:$G, (MATCH(227, 輔助計算!$G$2:$G$801, 0)+1))&lt;=46.5,2,1)), IF(INDEX(ERP資料!$G:$G, (MATCH(227, 輔助計算!$G$2:$G$801, 0)+1))&lt;=790,3,IF(INDEX(ERP資料!$G:$G, (MATCH(227, 輔助計算!$G$2:$G$801, 0)+1))&lt;=1181,2,1))))=0,"",IF(MOD(INDEX(輔助計算!$D:$D, (MATCH(227, 輔助計算!$G$2:$G$801, 0)+1)),IF(INDEX(ERP資料!$G:$G, (MATCH(227, 輔助計算!$G$2:$G$801, 0)+1))&lt;100, IF(INDEX(ERP資料!$G:$G, (MATCH(227, 輔助計算!$G$2:$G$801, 0)+1))&lt;=31,3,IF(INDEX(ERP資料!$G:$G, (MATCH(227, 輔助計算!$G$2:$G$801, 0)+1))&lt;=46.5,2,1)), IF(INDEX(ERP資料!$G:$G, (MATCH(227, 輔助計算!$G$2:$G$801, 0)+1))&lt;=790,3,IF(INDEX(ERP資料!$G:$G, (MATCH(227, 輔助計算!$G$2:$G$801, 0)+1))&lt;=1181,2,1))))=0,"",IF(MOD(INDEX(輔助計算!$D:$D, (MATCH(227, 輔助計算!$G$2:$G$801, 0)+1)),IF(INDEX(ERP資料!$G:$G, (MATCH(227, 輔助計算!$G$2:$G$801, 0)+1))&lt;100, IF(INDEX(ERP資料!$G:$G, (MATCH(227, 輔助計算!$G$2:$G$801, 0)+1))&lt;=31,3,IF(INDEX(ERP資料!$G:$G, (MATCH(227, 輔助計算!$G$2:$G$801, 0)+1))&lt;=46.5,2,1)), IF(INDEX(ERP資料!$G:$G, (MATCH(227, 輔助計算!$G$2:$G$801, 0)+1))&lt;=790,3,IF(INDEX(ERP資料!$G:$G, (MATCH(227, 輔助計算!$G$2:$G$801, 0)+1))&lt;=1181,2,1))))=1,TEXT(INDEX(ERP資料!$G:$G, (MATCH(227, 輔助計算!$G$2:$G$801, 0)+1)),"0.##"),IF(MOD(INDEX(輔助計算!$D:$D, (MATCH(227, 輔助計算!$G$2:$G$801, 0)+1)),IF(INDEX(ERP資料!$G:$G, (MATCH(227, 輔助計算!$G$2:$G$801, 0)+1))&lt;100, IF(INDEX(ERP資料!$G:$G, (MATCH(227, 輔助計算!$G$2:$G$801, 0)+1))&lt;=31,3,IF(INDEX(ERP資料!$G:$G, (MATCH(227, 輔助計算!$G$2:$G$801, 0)+1))&lt;=46.5,2,1)), IF(INDEX(ERP資料!$G:$G, (MATCH(227, 輔助計算!$G$2:$G$801, 0)+1))&lt;=790,3,IF(INDEX(ERP資料!$G:$G, (MATCH(227, 輔助計算!$G$2:$G$801, 0)+1))&lt;=1181,2,1))))=2,TEXT(INDEX(ERP資料!$G:$G, (MATCH(227, 輔助計算!$G$2:$G$801, 0)+1)),"0.##")&amp;"+"&amp;TEXT(INDEX(ERP資料!$G:$G, (MATCH(227, 輔助計算!$G$2:$G$801, 0)+1)),"0.##"),TEXT(INDEX(ERP資料!$G:$G, (MATCH(227, 輔助計算!$G$2:$G$801, 0)+1)),"0.##")&amp;"+"&amp;TEXT(INDEX(ERP資料!$G:$G, (MATCH(227, 輔助計算!$G$2:$G$801, 0)+1)),"0.##")&amp;"+"&amp;TEXT(INDEX(ERP資料!$G:$G, (MATCH(227, 輔助計算!$G$2:$G$801, 0)+1)),"0.##"))))&amp;"-1")&lt;&gt;""),"  ","")&amp;IF(MOD(INDEX(輔助計算!$D:$D, (MATCH(227, 輔助計算!$G$2:$G$801, 0)+1)),IF(INDEX(ERP資料!$G:$G, (MATCH(227, 輔助計算!$G$2:$G$801, 0)+1))&lt;100, IF(INDEX(ERP資料!$G:$G, (MATCH(227, 輔助計算!$G$2:$G$801, 0)+1))&lt;=31,3,IF(INDEX(ERP資料!$G:$G, (MATCH(227, 輔助計算!$G$2:$G$801, 0)+1))&lt;=46.5,2,1)), IF(INDEX(ERP資料!$G:$G, (MATCH(227, 輔助計算!$G$2:$G$801, 0)+1))&lt;=790,3,IF(INDEX(ERP資料!$G:$G, (MATCH(227, 輔助計算!$G$2:$G$801, 0)+1))&lt;=1181,2,1))))=0,"",IF(MOD(INDEX(輔助計算!$D:$D, (MATCH(227, 輔助計算!$G$2:$G$801, 0)+1)),IF(INDEX(ERP資料!$G:$G, (MATCH(227, 輔助計算!$G$2:$G$801, 0)+1))&lt;100, IF(INDEX(ERP資料!$G:$G, (MATCH(227, 輔助計算!$G$2:$G$801, 0)+1))&lt;=31,3,IF(INDEX(ERP資料!$G:$G, (MATCH(227, 輔助計算!$G$2:$G$801, 0)+1))&lt;=46.5,2,1)), IF(INDEX(ERP資料!$G:$G, (MATCH(227, 輔助計算!$G$2:$G$801, 0)+1))&lt;=790,3,IF(INDEX(ERP資料!$G:$G, (MATCH(227, 輔助計算!$G$2:$G$801, 0)+1))&lt;=1181,2,1))))=0,"",IF(MOD(INDEX(輔助計算!$D:$D, (MATCH(227, 輔助計算!$G$2:$G$801, 0)+1)),IF(INDEX(ERP資料!$G:$G, (MATCH(227, 輔助計算!$G$2:$G$801, 0)+1))&lt;100, IF(INDEX(ERP資料!$G:$G, (MATCH(227, 輔助計算!$G$2:$G$801, 0)+1))&lt;=31,3,IF(INDEX(ERP資料!$G:$G, (MATCH(227, 輔助計算!$G$2:$G$801, 0)+1))&lt;=46.5,2,1)), IF(INDEX(ERP資料!$G:$G, (MATCH(227, 輔助計算!$G$2:$G$801, 0)+1))&lt;=790,3,IF(INDEX(ERP資料!$G:$G, (MATCH(227, 輔助計算!$G$2:$G$801, 0)+1))&lt;=1181,2,1))))=1,TEXT(INDEX(ERP資料!$G:$G, (MATCH(227, 輔助計算!$G$2:$G$801, 0)+1)),"0.##"),IF(MOD(INDEX(輔助計算!$D:$D, (MATCH(227, 輔助計算!$G$2:$G$801, 0)+1)),IF(INDEX(ERP資料!$G:$G, (MATCH(227, 輔助計算!$G$2:$G$801, 0)+1))&lt;100, IF(INDEX(ERP資料!$G:$G, (MATCH(227, 輔助計算!$G$2:$G$801, 0)+1))&lt;=31,3,IF(INDEX(ERP資料!$G:$G, (MATCH(227, 輔助計算!$G$2:$G$801, 0)+1))&lt;=46.5,2,1)), IF(INDEX(ERP資料!$G:$G, (MATCH(227, 輔助計算!$G$2:$G$801, 0)+1))&lt;=790,3,IF(INDEX(ERP資料!$G:$G, (MATCH(227, 輔助計算!$G$2:$G$801, 0)+1))&lt;=1181,2,1))))=2,TEXT(INDEX(ERP資料!$G:$G, (MATCH(227, 輔助計算!$G$2:$G$801, 0)+1)),"0.##")&amp;"+"&amp;TEXT(INDEX(ERP資料!$G:$G, (MATCH(227, 輔助計算!$G$2:$G$801, 0)+1)),"0.##"),TEXT(INDEX(ERP資料!$G:$G, (MATCH(227, 輔助計算!$G$2:$G$801, 0)+1)),"0.##")&amp;"+"&amp;TEXT(INDEX(ERP資料!$G:$G, (MATCH(227, 輔助計算!$G$2:$G$801, 0)+1)),"0.##")&amp;"+"&amp;TEXT(INDEX(ERP資料!$G:$G, (MATCH(227, 輔助計算!$G$2:$G$801, 0)+1)),"0.##"))))&amp;"-1")), ""), "")</f>
        <v/>
      </c>
      <c r="K228" s="16" t="n"/>
      <c r="L228" s="14">
        <f>IFERROR(IF(AND(IFERROR(INDEX(ERP資料!$A:$A, (MATCH(227, 輔助計算!$G$2:$G$801, 0)+1)), "")&lt;&gt;"", IFERROR(INDEX(ERP資料!$A:$A, (MATCH(227, 輔助計算!$G$2:$G$801, 0)+1)), "")&lt;&gt;IFERROR(INDEX(ERP資料!$A:$A, MATCH(226, 輔助計算!$G$2:$G$801, 0)+1), "")), INDEX(ERP資料!$B:$B, (MATCH(227, 輔助計算!$G$2:$G$801, 0)+1)), ""), "")</f>
        <v/>
      </c>
      <c r="M228" s="17" t="n"/>
    </row>
    <row r="229">
      <c r="A229" s="10">
        <f>IFERROR(IF(AND(IFERROR(INDEX(ERP資料!$A:$A, (MATCH(228, 輔助計算!$G$2:$G$801, 0)+1)), "")&lt;&gt;"", IFERROR(INDEX(ERP資料!$A:$A, (MATCH(228, 輔助計算!$G$2:$G$801, 0)+1)), "")&lt;&gt;IFERROR(INDEX(ERP資料!$A:$A, MATCH(227, 輔助計算!$G$2:$G$801, 0)+1), "")), IFERROR(INDEX(ERP資料!$A:$A, (MATCH(228, 輔助計算!$G$2:$G$801, 0)+1)), ""), ""), "")</f>
        <v/>
      </c>
      <c r="B229" s="10">
        <f>IFERROR(IF(AND(IFERROR(INDEX(ERP資料!$A:$A, (MATCH(228, 輔助計算!$G$2:$G$801, 0)+1)), "")&lt;&gt;"", IFERROR(INDEX(ERP資料!$A:$A, (MATCH(228, 輔助計算!$G$2:$G$801, 0)+1)), "")&lt;&gt;IFERROR(INDEX(ERP資料!$A:$A, MATCH(227, 輔助計算!$G$2:$G$801, 0)+1), "")), INDEX(ERP資料!$S:$S, (MATCH(228, 輔助計算!$G$2:$G$801, 0)+1)), ""), "")</f>
        <v/>
      </c>
      <c r="C229" s="19">
        <f>IFERROR(IF(AND(IFERROR(INDEX(ERP資料!$A:$A, (MATCH(228, 輔助計算!$G$2:$G$801, 0)+1)), "")&lt;&gt;"", IFERROR(INDEX(ERP資料!$A:$A, (MATCH(228, 輔助計算!$G$2:$G$801, 0)+1)), "")&lt;&gt;IFERROR(INDEX(ERP資料!$A:$A, MATCH(227, 輔助計算!$G$2:$G$801, 0)+1), "")), IFERROR(VLOOKUP(LEFT(INDEX(ERP資料!$S:$S, (MATCH(228, 輔助計算!$G$2:$G$801, 0)+1)), 4), 紙管對照表!$A:$C, 3, FALSE), ""), ""), "")</f>
        <v/>
      </c>
      <c r="D229" s="16" t="n"/>
      <c r="E229" s="10">
        <f>IFERROR(IF(INDEX(ERP資料!$H:$H, (MATCH(228, 輔助計算!$G$2:$G$801, 0)+1))="","",INDEX(ERP資料!$H:$H, (MATCH(228, 輔助計算!$G$2:$G$801, 0)+1))), "")</f>
        <v/>
      </c>
      <c r="F229" s="10">
        <f>IFERROR(IF(INDEX(ERP資料!$E:$E, (MATCH(228, 輔助計算!$G$2:$G$801, 0)+1))="","",TRIM(INDEX(ERP資料!$E:$E, (MATCH(228, 輔助計算!$G$2:$G$801, 0)+1)))), "")</f>
        <v/>
      </c>
      <c r="G229" s="10">
        <f>IFERROR(IF(INDEX(ERP資料!$F:$F, (MATCH(228, 輔助計算!$G$2:$G$801, 0)+1))="","",INDEX(ERP資料!$F:$F, (MATCH(228, 輔助計算!$G$2:$G$801, 0)+1))), "")</f>
        <v/>
      </c>
      <c r="H229" s="10">
        <f>IFERROR(IF(INDEX(ERP資料!$G:$G, (MATCH(228, 輔助計算!$G$2:$G$801, 0)+1))="","",INDEX(ERP資料!$G:$G, (MATCH(228, 輔助計算!$G$2:$G$801, 0)+1))), "")</f>
        <v/>
      </c>
      <c r="I229" s="15">
        <f>IFERROR(INDEX(輔助計算!$D:$D, (MATCH(228, 輔助計算!$G$2:$G$801, 0)+1)), "")</f>
        <v/>
      </c>
      <c r="J229" s="15">
        <f>IFERROR(IF(AND(INDEX(輔助計算!$D:$D, (MATCH(228, 輔助計算!$G$2:$G$801, 0)+1))&lt;&gt;"", INDEX(ERP資料!$G:$G, (MATCH(228, 輔助計算!$G$2:$G$801, 0)+1))&lt;&gt;""), TRIM(IF(INT(INDEX(輔助計算!$D:$D, (MATCH(228, 輔助計算!$G$2:$G$801, 0)+1))/IF(INDEX(ERP資料!$G:$G, (MATCH(228, 輔助計算!$G$2:$G$801, 0)+1))&lt;100, IF(INDEX(ERP資料!$G:$G, (MATCH(228, 輔助計算!$G$2:$G$801, 0)+1))&lt;=31,3,IF(INDEX(ERP資料!$G:$G, (MATCH(228, 輔助計算!$G$2:$G$801, 0)+1))&lt;=46.5,2,1)), IF(INDEX(ERP資料!$G:$G, (MATCH(228, 輔助計算!$G$2:$G$801, 0)+1))&lt;=790,3,IF(INDEX(ERP資料!$G:$G, (MATCH(228, 輔助計算!$G$2:$G$801, 0)+1))&lt;=1181,2,1))))&gt;0, IF(IF(INDEX(ERP資料!$G:$G, (MATCH(228, 輔助計算!$G$2:$G$801, 0)+1))&lt;100, IF(INDEX(ERP資料!$G:$G, (MATCH(228, 輔助計算!$G$2:$G$801, 0)+1))&lt;=31,3,IF(INDEX(ERP資料!$G:$G, (MATCH(228, 輔助計算!$G$2:$G$801, 0)+1))&lt;=46.5,2,1)), IF(INDEX(ERP資料!$G:$G, (MATCH(228, 輔助計算!$G$2:$G$801, 0)+1))&lt;=790,3,IF(INDEX(ERP資料!$G:$G, (MATCH(228, 輔助計算!$G$2:$G$801, 0)+1))&lt;=1181,2,1)))=1,TEXT(INDEX(ERP資料!$G:$G, (MATCH(228, 輔助計算!$G$2:$G$801, 0)+1)),"0.##"),IF(IF(INDEX(ERP資料!$G:$G, (MATCH(228, 輔助計算!$G$2:$G$801, 0)+1))&lt;100, IF(INDEX(ERP資料!$G:$G, (MATCH(228, 輔助計算!$G$2:$G$801, 0)+1))&lt;=31,3,IF(INDEX(ERP資料!$G:$G, (MATCH(228, 輔助計算!$G$2:$G$801, 0)+1))&lt;=46.5,2,1)), IF(INDEX(ERP資料!$G:$G, (MATCH(228, 輔助計算!$G$2:$G$801, 0)+1))&lt;=790,3,IF(INDEX(ERP資料!$G:$G, (MATCH(228, 輔助計算!$G$2:$G$801, 0)+1))&lt;=1181,2,1)))=2,TEXT(INDEX(ERP資料!$G:$G, (MATCH(228, 輔助計算!$G$2:$G$801, 0)+1)),"0.##")&amp;"+"&amp;TEXT(INDEX(ERP資料!$G:$G, (MATCH(228, 輔助計算!$G$2:$G$801, 0)+1)),"0.##"),TEXT(INDEX(ERP資料!$G:$G, (MATCH(228, 輔助計算!$G$2:$G$801, 0)+1)),"0.##")&amp;"+"&amp;TEXT(INDEX(ERP資料!$G:$G, (MATCH(228, 輔助計算!$G$2:$G$801, 0)+1)),"0.##")&amp;"+"&amp;TEXT(INDEX(ERP資料!$G:$G, (MATCH(228, 輔助計算!$G$2:$G$801, 0)+1)),"0.##")))&amp;"-"&amp;INT(INDEX(輔助計算!$D:$D, (MATCH(228, 輔助計算!$G$2:$G$801, 0)+1))/IF(INDEX(ERP資料!$G:$G, (MATCH(228, 輔助計算!$G$2:$G$801, 0)+1))&lt;100, IF(INDEX(ERP資料!$G:$G, (MATCH(228, 輔助計算!$G$2:$G$801, 0)+1))&lt;=31,3,IF(INDEX(ERP資料!$G:$G, (MATCH(228, 輔助計算!$G$2:$G$801, 0)+1))&lt;=46.5,2,1)), IF(INDEX(ERP資料!$G:$G, (MATCH(228, 輔助計算!$G$2:$G$801, 0)+1))&lt;=790,3,IF(INDEX(ERP資料!$G:$G, (MATCH(228, 輔助計算!$G$2:$G$801, 0)+1))&lt;=1181,2,1)))), "")&amp;IF(AND(IF(INT(INDEX(輔助計算!$D:$D, (MATCH(228, 輔助計算!$G$2:$G$801, 0)+1))/IF(INDEX(ERP資料!$G:$G, (MATCH(228, 輔助計算!$G$2:$G$801, 0)+1))&lt;100, IF(INDEX(ERP資料!$G:$G, (MATCH(228, 輔助計算!$G$2:$G$801, 0)+1))&lt;=31,3,IF(INDEX(ERP資料!$G:$G, (MATCH(228, 輔助計算!$G$2:$G$801, 0)+1))&lt;=46.5,2,1)), IF(INDEX(ERP資料!$G:$G, (MATCH(228, 輔助計算!$G$2:$G$801, 0)+1))&lt;=790,3,IF(INDEX(ERP資料!$G:$G, (MATCH(228, 輔助計算!$G$2:$G$801, 0)+1))&lt;=1181,2,1))))&gt;0, IF(IF(INDEX(ERP資料!$G:$G, (MATCH(228, 輔助計算!$G$2:$G$801, 0)+1))&lt;100, IF(INDEX(ERP資料!$G:$G, (MATCH(228, 輔助計算!$G$2:$G$801, 0)+1))&lt;=31,3,IF(INDEX(ERP資料!$G:$G, (MATCH(228, 輔助計算!$G$2:$G$801, 0)+1))&lt;=46.5,2,1)), IF(INDEX(ERP資料!$G:$G, (MATCH(228, 輔助計算!$G$2:$G$801, 0)+1))&lt;=790,3,IF(INDEX(ERP資料!$G:$G, (MATCH(228, 輔助計算!$G$2:$G$801, 0)+1))&lt;=1181,2,1)))=1,TEXT(INDEX(ERP資料!$G:$G, (MATCH(228, 輔助計算!$G$2:$G$801, 0)+1)),"0.##"),IF(IF(INDEX(ERP資料!$G:$G, (MATCH(228, 輔助計算!$G$2:$G$801, 0)+1))&lt;100, IF(INDEX(ERP資料!$G:$G, (MATCH(228, 輔助計算!$G$2:$G$801, 0)+1))&lt;=31,3,IF(INDEX(ERP資料!$G:$G, (MATCH(228, 輔助計算!$G$2:$G$801, 0)+1))&lt;=46.5,2,1)), IF(INDEX(ERP資料!$G:$G, (MATCH(228, 輔助計算!$G$2:$G$801, 0)+1))&lt;=790,3,IF(INDEX(ERP資料!$G:$G, (MATCH(228, 輔助計算!$G$2:$G$801, 0)+1))&lt;=1181,2,1)))=2,TEXT(INDEX(ERP資料!$G:$G, (MATCH(228, 輔助計算!$G$2:$G$801, 0)+1)),"0.##")&amp;"+"&amp;TEXT(INDEX(ERP資料!$G:$G, (MATCH(228, 輔助計算!$G$2:$G$801, 0)+1)),"0.##"),TEXT(INDEX(ERP資料!$G:$G, (MATCH(228, 輔助計算!$G$2:$G$801, 0)+1)),"0.##")&amp;"+"&amp;TEXT(INDEX(ERP資料!$G:$G, (MATCH(228, 輔助計算!$G$2:$G$801, 0)+1)),"0.##")&amp;"+"&amp;TEXT(INDEX(ERP資料!$G:$G, (MATCH(228, 輔助計算!$G$2:$G$801, 0)+1)),"0.##")))&amp;"-"&amp;INT(INDEX(輔助計算!$D:$D, (MATCH(228, 輔助計算!$G$2:$G$801, 0)+1))/IF(INDEX(ERP資料!$G:$G, (MATCH(228, 輔助計算!$G$2:$G$801, 0)+1))&lt;100, IF(INDEX(ERP資料!$G:$G, (MATCH(228, 輔助計算!$G$2:$G$801, 0)+1))&lt;=31,3,IF(INDEX(ERP資料!$G:$G, (MATCH(228, 輔助計算!$G$2:$G$801, 0)+1))&lt;=46.5,2,1)), IF(INDEX(ERP資料!$G:$G, (MATCH(228, 輔助計算!$G$2:$G$801, 0)+1))&lt;=790,3,IF(INDEX(ERP資料!$G:$G, (MATCH(228, 輔助計算!$G$2:$G$801, 0)+1))&lt;=1181,2,1)))), "")&lt;&gt;"",IF(MOD(INDEX(輔助計算!$D:$D, (MATCH(228, 輔助計算!$G$2:$G$801, 0)+1)),IF(INDEX(ERP資料!$G:$G, (MATCH(228, 輔助計算!$G$2:$G$801, 0)+1))&lt;100, IF(INDEX(ERP資料!$G:$G, (MATCH(228, 輔助計算!$G$2:$G$801, 0)+1))&lt;=31,3,IF(INDEX(ERP資料!$G:$G, (MATCH(228, 輔助計算!$G$2:$G$801, 0)+1))&lt;=46.5,2,1)), IF(INDEX(ERP資料!$G:$G, (MATCH(228, 輔助計算!$G$2:$G$801, 0)+1))&lt;=790,3,IF(INDEX(ERP資料!$G:$G, (MATCH(228, 輔助計算!$G$2:$G$801, 0)+1))&lt;=1181,2,1))))=0,"",IF(MOD(INDEX(輔助計算!$D:$D, (MATCH(228, 輔助計算!$G$2:$G$801, 0)+1)),IF(INDEX(ERP資料!$G:$G, (MATCH(228, 輔助計算!$G$2:$G$801, 0)+1))&lt;100, IF(INDEX(ERP資料!$G:$G, (MATCH(228, 輔助計算!$G$2:$G$801, 0)+1))&lt;=31,3,IF(INDEX(ERP資料!$G:$G, (MATCH(228, 輔助計算!$G$2:$G$801, 0)+1))&lt;=46.5,2,1)), IF(INDEX(ERP資料!$G:$G, (MATCH(228, 輔助計算!$G$2:$G$801, 0)+1))&lt;=790,3,IF(INDEX(ERP資料!$G:$G, (MATCH(228, 輔助計算!$G$2:$G$801, 0)+1))&lt;=1181,2,1))))=0,"",IF(MOD(INDEX(輔助計算!$D:$D, (MATCH(228, 輔助計算!$G$2:$G$801, 0)+1)),IF(INDEX(ERP資料!$G:$G, (MATCH(228, 輔助計算!$G$2:$G$801, 0)+1))&lt;100, IF(INDEX(ERP資料!$G:$G, (MATCH(228, 輔助計算!$G$2:$G$801, 0)+1))&lt;=31,3,IF(INDEX(ERP資料!$G:$G, (MATCH(228, 輔助計算!$G$2:$G$801, 0)+1))&lt;=46.5,2,1)), IF(INDEX(ERP資料!$G:$G, (MATCH(228, 輔助計算!$G$2:$G$801, 0)+1))&lt;=790,3,IF(INDEX(ERP資料!$G:$G, (MATCH(228, 輔助計算!$G$2:$G$801, 0)+1))&lt;=1181,2,1))))=1,TEXT(INDEX(ERP資料!$G:$G, (MATCH(228, 輔助計算!$G$2:$G$801, 0)+1)),"0.##"),IF(MOD(INDEX(輔助計算!$D:$D, (MATCH(228, 輔助計算!$G$2:$G$801, 0)+1)),IF(INDEX(ERP資料!$G:$G, (MATCH(228, 輔助計算!$G$2:$G$801, 0)+1))&lt;100, IF(INDEX(ERP資料!$G:$G, (MATCH(228, 輔助計算!$G$2:$G$801, 0)+1))&lt;=31,3,IF(INDEX(ERP資料!$G:$G, (MATCH(228, 輔助計算!$G$2:$G$801, 0)+1))&lt;=46.5,2,1)), IF(INDEX(ERP資料!$G:$G, (MATCH(228, 輔助計算!$G$2:$G$801, 0)+1))&lt;=790,3,IF(INDEX(ERP資料!$G:$G, (MATCH(228, 輔助計算!$G$2:$G$801, 0)+1))&lt;=1181,2,1))))=2,TEXT(INDEX(ERP資料!$G:$G, (MATCH(228, 輔助計算!$G$2:$G$801, 0)+1)),"0.##")&amp;"+"&amp;TEXT(INDEX(ERP資料!$G:$G, (MATCH(228, 輔助計算!$G$2:$G$801, 0)+1)),"0.##"),TEXT(INDEX(ERP資料!$G:$G, (MATCH(228, 輔助計算!$G$2:$G$801, 0)+1)),"0.##")&amp;"+"&amp;TEXT(INDEX(ERP資料!$G:$G, (MATCH(228, 輔助計算!$G$2:$G$801, 0)+1)),"0.##")&amp;"+"&amp;TEXT(INDEX(ERP資料!$G:$G, (MATCH(228, 輔助計算!$G$2:$G$801, 0)+1)),"0.##"))))&amp;"-1")&lt;&gt;""),"  ","")&amp;IF(MOD(INDEX(輔助計算!$D:$D, (MATCH(228, 輔助計算!$G$2:$G$801, 0)+1)),IF(INDEX(ERP資料!$G:$G, (MATCH(228, 輔助計算!$G$2:$G$801, 0)+1))&lt;100, IF(INDEX(ERP資料!$G:$G, (MATCH(228, 輔助計算!$G$2:$G$801, 0)+1))&lt;=31,3,IF(INDEX(ERP資料!$G:$G, (MATCH(228, 輔助計算!$G$2:$G$801, 0)+1))&lt;=46.5,2,1)), IF(INDEX(ERP資料!$G:$G, (MATCH(228, 輔助計算!$G$2:$G$801, 0)+1))&lt;=790,3,IF(INDEX(ERP資料!$G:$G, (MATCH(228, 輔助計算!$G$2:$G$801, 0)+1))&lt;=1181,2,1))))=0,"",IF(MOD(INDEX(輔助計算!$D:$D, (MATCH(228, 輔助計算!$G$2:$G$801, 0)+1)),IF(INDEX(ERP資料!$G:$G, (MATCH(228, 輔助計算!$G$2:$G$801, 0)+1))&lt;100, IF(INDEX(ERP資料!$G:$G, (MATCH(228, 輔助計算!$G$2:$G$801, 0)+1))&lt;=31,3,IF(INDEX(ERP資料!$G:$G, (MATCH(228, 輔助計算!$G$2:$G$801, 0)+1))&lt;=46.5,2,1)), IF(INDEX(ERP資料!$G:$G, (MATCH(228, 輔助計算!$G$2:$G$801, 0)+1))&lt;=790,3,IF(INDEX(ERP資料!$G:$G, (MATCH(228, 輔助計算!$G$2:$G$801, 0)+1))&lt;=1181,2,1))))=0,"",IF(MOD(INDEX(輔助計算!$D:$D, (MATCH(228, 輔助計算!$G$2:$G$801, 0)+1)),IF(INDEX(ERP資料!$G:$G, (MATCH(228, 輔助計算!$G$2:$G$801, 0)+1))&lt;100, IF(INDEX(ERP資料!$G:$G, (MATCH(228, 輔助計算!$G$2:$G$801, 0)+1))&lt;=31,3,IF(INDEX(ERP資料!$G:$G, (MATCH(228, 輔助計算!$G$2:$G$801, 0)+1))&lt;=46.5,2,1)), IF(INDEX(ERP資料!$G:$G, (MATCH(228, 輔助計算!$G$2:$G$801, 0)+1))&lt;=790,3,IF(INDEX(ERP資料!$G:$G, (MATCH(228, 輔助計算!$G$2:$G$801, 0)+1))&lt;=1181,2,1))))=1,TEXT(INDEX(ERP資料!$G:$G, (MATCH(228, 輔助計算!$G$2:$G$801, 0)+1)),"0.##"),IF(MOD(INDEX(輔助計算!$D:$D, (MATCH(228, 輔助計算!$G$2:$G$801, 0)+1)),IF(INDEX(ERP資料!$G:$G, (MATCH(228, 輔助計算!$G$2:$G$801, 0)+1))&lt;100, IF(INDEX(ERP資料!$G:$G, (MATCH(228, 輔助計算!$G$2:$G$801, 0)+1))&lt;=31,3,IF(INDEX(ERP資料!$G:$G, (MATCH(228, 輔助計算!$G$2:$G$801, 0)+1))&lt;=46.5,2,1)), IF(INDEX(ERP資料!$G:$G, (MATCH(228, 輔助計算!$G$2:$G$801, 0)+1))&lt;=790,3,IF(INDEX(ERP資料!$G:$G, (MATCH(228, 輔助計算!$G$2:$G$801, 0)+1))&lt;=1181,2,1))))=2,TEXT(INDEX(ERP資料!$G:$G, (MATCH(228, 輔助計算!$G$2:$G$801, 0)+1)),"0.##")&amp;"+"&amp;TEXT(INDEX(ERP資料!$G:$G, (MATCH(228, 輔助計算!$G$2:$G$801, 0)+1)),"0.##"),TEXT(INDEX(ERP資料!$G:$G, (MATCH(228, 輔助計算!$G$2:$G$801, 0)+1)),"0.##")&amp;"+"&amp;TEXT(INDEX(ERP資料!$G:$G, (MATCH(228, 輔助計算!$G$2:$G$801, 0)+1)),"0.##")&amp;"+"&amp;TEXT(INDEX(ERP資料!$G:$G, (MATCH(228, 輔助計算!$G$2:$G$801, 0)+1)),"0.##"))))&amp;"-1")), ""), "")</f>
        <v/>
      </c>
      <c r="K229" s="16" t="n"/>
      <c r="L229" s="14">
        <f>IFERROR(IF(AND(IFERROR(INDEX(ERP資料!$A:$A, (MATCH(228, 輔助計算!$G$2:$G$801, 0)+1)), "")&lt;&gt;"", IFERROR(INDEX(ERP資料!$A:$A, (MATCH(228, 輔助計算!$G$2:$G$801, 0)+1)), "")&lt;&gt;IFERROR(INDEX(ERP資料!$A:$A, MATCH(227, 輔助計算!$G$2:$G$801, 0)+1), "")), INDEX(ERP資料!$B:$B, (MATCH(228, 輔助計算!$G$2:$G$801, 0)+1)), ""), "")</f>
        <v/>
      </c>
      <c r="M229" s="17" t="n"/>
    </row>
    <row r="230">
      <c r="A230" s="10">
        <f>IFERROR(IF(AND(IFERROR(INDEX(ERP資料!$A:$A, (MATCH(229, 輔助計算!$G$2:$G$801, 0)+1)), "")&lt;&gt;"", IFERROR(INDEX(ERP資料!$A:$A, (MATCH(229, 輔助計算!$G$2:$G$801, 0)+1)), "")&lt;&gt;IFERROR(INDEX(ERP資料!$A:$A, MATCH(228, 輔助計算!$G$2:$G$801, 0)+1), "")), IFERROR(INDEX(ERP資料!$A:$A, (MATCH(229, 輔助計算!$G$2:$G$801, 0)+1)), ""), ""), "")</f>
        <v/>
      </c>
      <c r="B230" s="10">
        <f>IFERROR(IF(AND(IFERROR(INDEX(ERP資料!$A:$A, (MATCH(229, 輔助計算!$G$2:$G$801, 0)+1)), "")&lt;&gt;"", IFERROR(INDEX(ERP資料!$A:$A, (MATCH(229, 輔助計算!$G$2:$G$801, 0)+1)), "")&lt;&gt;IFERROR(INDEX(ERP資料!$A:$A, MATCH(228, 輔助計算!$G$2:$G$801, 0)+1), "")), INDEX(ERP資料!$S:$S, (MATCH(229, 輔助計算!$G$2:$G$801, 0)+1)), ""), "")</f>
        <v/>
      </c>
      <c r="C230" s="19">
        <f>IFERROR(IF(AND(IFERROR(INDEX(ERP資料!$A:$A, (MATCH(229, 輔助計算!$G$2:$G$801, 0)+1)), "")&lt;&gt;"", IFERROR(INDEX(ERP資料!$A:$A, (MATCH(229, 輔助計算!$G$2:$G$801, 0)+1)), "")&lt;&gt;IFERROR(INDEX(ERP資料!$A:$A, MATCH(228, 輔助計算!$G$2:$G$801, 0)+1), "")), IFERROR(VLOOKUP(LEFT(INDEX(ERP資料!$S:$S, (MATCH(229, 輔助計算!$G$2:$G$801, 0)+1)), 4), 紙管對照表!$A:$C, 3, FALSE), ""), ""), "")</f>
        <v/>
      </c>
      <c r="D230" s="16" t="n"/>
      <c r="E230" s="10">
        <f>IFERROR(IF(INDEX(ERP資料!$H:$H, (MATCH(229, 輔助計算!$G$2:$G$801, 0)+1))="","",INDEX(ERP資料!$H:$H, (MATCH(229, 輔助計算!$G$2:$G$801, 0)+1))), "")</f>
        <v/>
      </c>
      <c r="F230" s="10">
        <f>IFERROR(IF(INDEX(ERP資料!$E:$E, (MATCH(229, 輔助計算!$G$2:$G$801, 0)+1))="","",TRIM(INDEX(ERP資料!$E:$E, (MATCH(229, 輔助計算!$G$2:$G$801, 0)+1)))), "")</f>
        <v/>
      </c>
      <c r="G230" s="10">
        <f>IFERROR(IF(INDEX(ERP資料!$F:$F, (MATCH(229, 輔助計算!$G$2:$G$801, 0)+1))="","",INDEX(ERP資料!$F:$F, (MATCH(229, 輔助計算!$G$2:$G$801, 0)+1))), "")</f>
        <v/>
      </c>
      <c r="H230" s="10">
        <f>IFERROR(IF(INDEX(ERP資料!$G:$G, (MATCH(229, 輔助計算!$G$2:$G$801, 0)+1))="","",INDEX(ERP資料!$G:$G, (MATCH(229, 輔助計算!$G$2:$G$801, 0)+1))), "")</f>
        <v/>
      </c>
      <c r="I230" s="15">
        <f>IFERROR(INDEX(輔助計算!$D:$D, (MATCH(229, 輔助計算!$G$2:$G$801, 0)+1)), "")</f>
        <v/>
      </c>
      <c r="J230" s="15">
        <f>IFERROR(IF(AND(INDEX(輔助計算!$D:$D, (MATCH(229, 輔助計算!$G$2:$G$801, 0)+1))&lt;&gt;"", INDEX(ERP資料!$G:$G, (MATCH(229, 輔助計算!$G$2:$G$801, 0)+1))&lt;&gt;""), TRIM(IF(INT(INDEX(輔助計算!$D:$D, (MATCH(229, 輔助計算!$G$2:$G$801, 0)+1))/IF(INDEX(ERP資料!$G:$G, (MATCH(229, 輔助計算!$G$2:$G$801, 0)+1))&lt;100, IF(INDEX(ERP資料!$G:$G, (MATCH(229, 輔助計算!$G$2:$G$801, 0)+1))&lt;=31,3,IF(INDEX(ERP資料!$G:$G, (MATCH(229, 輔助計算!$G$2:$G$801, 0)+1))&lt;=46.5,2,1)), IF(INDEX(ERP資料!$G:$G, (MATCH(229, 輔助計算!$G$2:$G$801, 0)+1))&lt;=790,3,IF(INDEX(ERP資料!$G:$G, (MATCH(229, 輔助計算!$G$2:$G$801, 0)+1))&lt;=1181,2,1))))&gt;0, IF(IF(INDEX(ERP資料!$G:$G, (MATCH(229, 輔助計算!$G$2:$G$801, 0)+1))&lt;100, IF(INDEX(ERP資料!$G:$G, (MATCH(229, 輔助計算!$G$2:$G$801, 0)+1))&lt;=31,3,IF(INDEX(ERP資料!$G:$G, (MATCH(229, 輔助計算!$G$2:$G$801, 0)+1))&lt;=46.5,2,1)), IF(INDEX(ERP資料!$G:$G, (MATCH(229, 輔助計算!$G$2:$G$801, 0)+1))&lt;=790,3,IF(INDEX(ERP資料!$G:$G, (MATCH(229, 輔助計算!$G$2:$G$801, 0)+1))&lt;=1181,2,1)))=1,TEXT(INDEX(ERP資料!$G:$G, (MATCH(229, 輔助計算!$G$2:$G$801, 0)+1)),"0.##"),IF(IF(INDEX(ERP資料!$G:$G, (MATCH(229, 輔助計算!$G$2:$G$801, 0)+1))&lt;100, IF(INDEX(ERP資料!$G:$G, (MATCH(229, 輔助計算!$G$2:$G$801, 0)+1))&lt;=31,3,IF(INDEX(ERP資料!$G:$G, (MATCH(229, 輔助計算!$G$2:$G$801, 0)+1))&lt;=46.5,2,1)), IF(INDEX(ERP資料!$G:$G, (MATCH(229, 輔助計算!$G$2:$G$801, 0)+1))&lt;=790,3,IF(INDEX(ERP資料!$G:$G, (MATCH(229, 輔助計算!$G$2:$G$801, 0)+1))&lt;=1181,2,1)))=2,TEXT(INDEX(ERP資料!$G:$G, (MATCH(229, 輔助計算!$G$2:$G$801, 0)+1)),"0.##")&amp;"+"&amp;TEXT(INDEX(ERP資料!$G:$G, (MATCH(229, 輔助計算!$G$2:$G$801, 0)+1)),"0.##"),TEXT(INDEX(ERP資料!$G:$G, (MATCH(229, 輔助計算!$G$2:$G$801, 0)+1)),"0.##")&amp;"+"&amp;TEXT(INDEX(ERP資料!$G:$G, (MATCH(229, 輔助計算!$G$2:$G$801, 0)+1)),"0.##")&amp;"+"&amp;TEXT(INDEX(ERP資料!$G:$G, (MATCH(229, 輔助計算!$G$2:$G$801, 0)+1)),"0.##")))&amp;"-"&amp;INT(INDEX(輔助計算!$D:$D, (MATCH(229, 輔助計算!$G$2:$G$801, 0)+1))/IF(INDEX(ERP資料!$G:$G, (MATCH(229, 輔助計算!$G$2:$G$801, 0)+1))&lt;100, IF(INDEX(ERP資料!$G:$G, (MATCH(229, 輔助計算!$G$2:$G$801, 0)+1))&lt;=31,3,IF(INDEX(ERP資料!$G:$G, (MATCH(229, 輔助計算!$G$2:$G$801, 0)+1))&lt;=46.5,2,1)), IF(INDEX(ERP資料!$G:$G, (MATCH(229, 輔助計算!$G$2:$G$801, 0)+1))&lt;=790,3,IF(INDEX(ERP資料!$G:$G, (MATCH(229, 輔助計算!$G$2:$G$801, 0)+1))&lt;=1181,2,1)))), "")&amp;IF(AND(IF(INT(INDEX(輔助計算!$D:$D, (MATCH(229, 輔助計算!$G$2:$G$801, 0)+1))/IF(INDEX(ERP資料!$G:$G, (MATCH(229, 輔助計算!$G$2:$G$801, 0)+1))&lt;100, IF(INDEX(ERP資料!$G:$G, (MATCH(229, 輔助計算!$G$2:$G$801, 0)+1))&lt;=31,3,IF(INDEX(ERP資料!$G:$G, (MATCH(229, 輔助計算!$G$2:$G$801, 0)+1))&lt;=46.5,2,1)), IF(INDEX(ERP資料!$G:$G, (MATCH(229, 輔助計算!$G$2:$G$801, 0)+1))&lt;=790,3,IF(INDEX(ERP資料!$G:$G, (MATCH(229, 輔助計算!$G$2:$G$801, 0)+1))&lt;=1181,2,1))))&gt;0, IF(IF(INDEX(ERP資料!$G:$G, (MATCH(229, 輔助計算!$G$2:$G$801, 0)+1))&lt;100, IF(INDEX(ERP資料!$G:$G, (MATCH(229, 輔助計算!$G$2:$G$801, 0)+1))&lt;=31,3,IF(INDEX(ERP資料!$G:$G, (MATCH(229, 輔助計算!$G$2:$G$801, 0)+1))&lt;=46.5,2,1)), IF(INDEX(ERP資料!$G:$G, (MATCH(229, 輔助計算!$G$2:$G$801, 0)+1))&lt;=790,3,IF(INDEX(ERP資料!$G:$G, (MATCH(229, 輔助計算!$G$2:$G$801, 0)+1))&lt;=1181,2,1)))=1,TEXT(INDEX(ERP資料!$G:$G, (MATCH(229, 輔助計算!$G$2:$G$801, 0)+1)),"0.##"),IF(IF(INDEX(ERP資料!$G:$G, (MATCH(229, 輔助計算!$G$2:$G$801, 0)+1))&lt;100, IF(INDEX(ERP資料!$G:$G, (MATCH(229, 輔助計算!$G$2:$G$801, 0)+1))&lt;=31,3,IF(INDEX(ERP資料!$G:$G, (MATCH(229, 輔助計算!$G$2:$G$801, 0)+1))&lt;=46.5,2,1)), IF(INDEX(ERP資料!$G:$G, (MATCH(229, 輔助計算!$G$2:$G$801, 0)+1))&lt;=790,3,IF(INDEX(ERP資料!$G:$G, (MATCH(229, 輔助計算!$G$2:$G$801, 0)+1))&lt;=1181,2,1)))=2,TEXT(INDEX(ERP資料!$G:$G, (MATCH(229, 輔助計算!$G$2:$G$801, 0)+1)),"0.##")&amp;"+"&amp;TEXT(INDEX(ERP資料!$G:$G, (MATCH(229, 輔助計算!$G$2:$G$801, 0)+1)),"0.##"),TEXT(INDEX(ERP資料!$G:$G, (MATCH(229, 輔助計算!$G$2:$G$801, 0)+1)),"0.##")&amp;"+"&amp;TEXT(INDEX(ERP資料!$G:$G, (MATCH(229, 輔助計算!$G$2:$G$801, 0)+1)),"0.##")&amp;"+"&amp;TEXT(INDEX(ERP資料!$G:$G, (MATCH(229, 輔助計算!$G$2:$G$801, 0)+1)),"0.##")))&amp;"-"&amp;INT(INDEX(輔助計算!$D:$D, (MATCH(229, 輔助計算!$G$2:$G$801, 0)+1))/IF(INDEX(ERP資料!$G:$G, (MATCH(229, 輔助計算!$G$2:$G$801, 0)+1))&lt;100, IF(INDEX(ERP資料!$G:$G, (MATCH(229, 輔助計算!$G$2:$G$801, 0)+1))&lt;=31,3,IF(INDEX(ERP資料!$G:$G, (MATCH(229, 輔助計算!$G$2:$G$801, 0)+1))&lt;=46.5,2,1)), IF(INDEX(ERP資料!$G:$G, (MATCH(229, 輔助計算!$G$2:$G$801, 0)+1))&lt;=790,3,IF(INDEX(ERP資料!$G:$G, (MATCH(229, 輔助計算!$G$2:$G$801, 0)+1))&lt;=1181,2,1)))), "")&lt;&gt;"",IF(MOD(INDEX(輔助計算!$D:$D, (MATCH(229, 輔助計算!$G$2:$G$801, 0)+1)),IF(INDEX(ERP資料!$G:$G, (MATCH(229, 輔助計算!$G$2:$G$801, 0)+1))&lt;100, IF(INDEX(ERP資料!$G:$G, (MATCH(229, 輔助計算!$G$2:$G$801, 0)+1))&lt;=31,3,IF(INDEX(ERP資料!$G:$G, (MATCH(229, 輔助計算!$G$2:$G$801, 0)+1))&lt;=46.5,2,1)), IF(INDEX(ERP資料!$G:$G, (MATCH(229, 輔助計算!$G$2:$G$801, 0)+1))&lt;=790,3,IF(INDEX(ERP資料!$G:$G, (MATCH(229, 輔助計算!$G$2:$G$801, 0)+1))&lt;=1181,2,1))))=0,"",IF(MOD(INDEX(輔助計算!$D:$D, (MATCH(229, 輔助計算!$G$2:$G$801, 0)+1)),IF(INDEX(ERP資料!$G:$G, (MATCH(229, 輔助計算!$G$2:$G$801, 0)+1))&lt;100, IF(INDEX(ERP資料!$G:$G, (MATCH(229, 輔助計算!$G$2:$G$801, 0)+1))&lt;=31,3,IF(INDEX(ERP資料!$G:$G, (MATCH(229, 輔助計算!$G$2:$G$801, 0)+1))&lt;=46.5,2,1)), IF(INDEX(ERP資料!$G:$G, (MATCH(229, 輔助計算!$G$2:$G$801, 0)+1))&lt;=790,3,IF(INDEX(ERP資料!$G:$G, (MATCH(229, 輔助計算!$G$2:$G$801, 0)+1))&lt;=1181,2,1))))=0,"",IF(MOD(INDEX(輔助計算!$D:$D, (MATCH(229, 輔助計算!$G$2:$G$801, 0)+1)),IF(INDEX(ERP資料!$G:$G, (MATCH(229, 輔助計算!$G$2:$G$801, 0)+1))&lt;100, IF(INDEX(ERP資料!$G:$G, (MATCH(229, 輔助計算!$G$2:$G$801, 0)+1))&lt;=31,3,IF(INDEX(ERP資料!$G:$G, (MATCH(229, 輔助計算!$G$2:$G$801, 0)+1))&lt;=46.5,2,1)), IF(INDEX(ERP資料!$G:$G, (MATCH(229, 輔助計算!$G$2:$G$801, 0)+1))&lt;=790,3,IF(INDEX(ERP資料!$G:$G, (MATCH(229, 輔助計算!$G$2:$G$801, 0)+1))&lt;=1181,2,1))))=1,TEXT(INDEX(ERP資料!$G:$G, (MATCH(229, 輔助計算!$G$2:$G$801, 0)+1)),"0.##"),IF(MOD(INDEX(輔助計算!$D:$D, (MATCH(229, 輔助計算!$G$2:$G$801, 0)+1)),IF(INDEX(ERP資料!$G:$G, (MATCH(229, 輔助計算!$G$2:$G$801, 0)+1))&lt;100, IF(INDEX(ERP資料!$G:$G, (MATCH(229, 輔助計算!$G$2:$G$801, 0)+1))&lt;=31,3,IF(INDEX(ERP資料!$G:$G, (MATCH(229, 輔助計算!$G$2:$G$801, 0)+1))&lt;=46.5,2,1)), IF(INDEX(ERP資料!$G:$G, (MATCH(229, 輔助計算!$G$2:$G$801, 0)+1))&lt;=790,3,IF(INDEX(ERP資料!$G:$G, (MATCH(229, 輔助計算!$G$2:$G$801, 0)+1))&lt;=1181,2,1))))=2,TEXT(INDEX(ERP資料!$G:$G, (MATCH(229, 輔助計算!$G$2:$G$801, 0)+1)),"0.##")&amp;"+"&amp;TEXT(INDEX(ERP資料!$G:$G, (MATCH(229, 輔助計算!$G$2:$G$801, 0)+1)),"0.##"),TEXT(INDEX(ERP資料!$G:$G, (MATCH(229, 輔助計算!$G$2:$G$801, 0)+1)),"0.##")&amp;"+"&amp;TEXT(INDEX(ERP資料!$G:$G, (MATCH(229, 輔助計算!$G$2:$G$801, 0)+1)),"0.##")&amp;"+"&amp;TEXT(INDEX(ERP資料!$G:$G, (MATCH(229, 輔助計算!$G$2:$G$801, 0)+1)),"0.##"))))&amp;"-1")&lt;&gt;""),"  ","")&amp;IF(MOD(INDEX(輔助計算!$D:$D, (MATCH(229, 輔助計算!$G$2:$G$801, 0)+1)),IF(INDEX(ERP資料!$G:$G, (MATCH(229, 輔助計算!$G$2:$G$801, 0)+1))&lt;100, IF(INDEX(ERP資料!$G:$G, (MATCH(229, 輔助計算!$G$2:$G$801, 0)+1))&lt;=31,3,IF(INDEX(ERP資料!$G:$G, (MATCH(229, 輔助計算!$G$2:$G$801, 0)+1))&lt;=46.5,2,1)), IF(INDEX(ERP資料!$G:$G, (MATCH(229, 輔助計算!$G$2:$G$801, 0)+1))&lt;=790,3,IF(INDEX(ERP資料!$G:$G, (MATCH(229, 輔助計算!$G$2:$G$801, 0)+1))&lt;=1181,2,1))))=0,"",IF(MOD(INDEX(輔助計算!$D:$D, (MATCH(229, 輔助計算!$G$2:$G$801, 0)+1)),IF(INDEX(ERP資料!$G:$G, (MATCH(229, 輔助計算!$G$2:$G$801, 0)+1))&lt;100, IF(INDEX(ERP資料!$G:$G, (MATCH(229, 輔助計算!$G$2:$G$801, 0)+1))&lt;=31,3,IF(INDEX(ERP資料!$G:$G, (MATCH(229, 輔助計算!$G$2:$G$801, 0)+1))&lt;=46.5,2,1)), IF(INDEX(ERP資料!$G:$G, (MATCH(229, 輔助計算!$G$2:$G$801, 0)+1))&lt;=790,3,IF(INDEX(ERP資料!$G:$G, (MATCH(229, 輔助計算!$G$2:$G$801, 0)+1))&lt;=1181,2,1))))=0,"",IF(MOD(INDEX(輔助計算!$D:$D, (MATCH(229, 輔助計算!$G$2:$G$801, 0)+1)),IF(INDEX(ERP資料!$G:$G, (MATCH(229, 輔助計算!$G$2:$G$801, 0)+1))&lt;100, IF(INDEX(ERP資料!$G:$G, (MATCH(229, 輔助計算!$G$2:$G$801, 0)+1))&lt;=31,3,IF(INDEX(ERP資料!$G:$G, (MATCH(229, 輔助計算!$G$2:$G$801, 0)+1))&lt;=46.5,2,1)), IF(INDEX(ERP資料!$G:$G, (MATCH(229, 輔助計算!$G$2:$G$801, 0)+1))&lt;=790,3,IF(INDEX(ERP資料!$G:$G, (MATCH(229, 輔助計算!$G$2:$G$801, 0)+1))&lt;=1181,2,1))))=1,TEXT(INDEX(ERP資料!$G:$G, (MATCH(229, 輔助計算!$G$2:$G$801, 0)+1)),"0.##"),IF(MOD(INDEX(輔助計算!$D:$D, (MATCH(229, 輔助計算!$G$2:$G$801, 0)+1)),IF(INDEX(ERP資料!$G:$G, (MATCH(229, 輔助計算!$G$2:$G$801, 0)+1))&lt;100, IF(INDEX(ERP資料!$G:$G, (MATCH(229, 輔助計算!$G$2:$G$801, 0)+1))&lt;=31,3,IF(INDEX(ERP資料!$G:$G, (MATCH(229, 輔助計算!$G$2:$G$801, 0)+1))&lt;=46.5,2,1)), IF(INDEX(ERP資料!$G:$G, (MATCH(229, 輔助計算!$G$2:$G$801, 0)+1))&lt;=790,3,IF(INDEX(ERP資料!$G:$G, (MATCH(229, 輔助計算!$G$2:$G$801, 0)+1))&lt;=1181,2,1))))=2,TEXT(INDEX(ERP資料!$G:$G, (MATCH(229, 輔助計算!$G$2:$G$801, 0)+1)),"0.##")&amp;"+"&amp;TEXT(INDEX(ERP資料!$G:$G, (MATCH(229, 輔助計算!$G$2:$G$801, 0)+1)),"0.##"),TEXT(INDEX(ERP資料!$G:$G, (MATCH(229, 輔助計算!$G$2:$G$801, 0)+1)),"0.##")&amp;"+"&amp;TEXT(INDEX(ERP資料!$G:$G, (MATCH(229, 輔助計算!$G$2:$G$801, 0)+1)),"0.##")&amp;"+"&amp;TEXT(INDEX(ERP資料!$G:$G, (MATCH(229, 輔助計算!$G$2:$G$801, 0)+1)),"0.##"))))&amp;"-1")), ""), "")</f>
        <v/>
      </c>
      <c r="K230" s="16" t="n"/>
      <c r="L230" s="14">
        <f>IFERROR(IF(AND(IFERROR(INDEX(ERP資料!$A:$A, (MATCH(229, 輔助計算!$G$2:$G$801, 0)+1)), "")&lt;&gt;"", IFERROR(INDEX(ERP資料!$A:$A, (MATCH(229, 輔助計算!$G$2:$G$801, 0)+1)), "")&lt;&gt;IFERROR(INDEX(ERP資料!$A:$A, MATCH(228, 輔助計算!$G$2:$G$801, 0)+1), "")), INDEX(ERP資料!$B:$B, (MATCH(229, 輔助計算!$G$2:$G$801, 0)+1)), ""), "")</f>
        <v/>
      </c>
      <c r="M230" s="17" t="n"/>
    </row>
    <row r="231">
      <c r="A231" s="10">
        <f>IFERROR(IF(AND(IFERROR(INDEX(ERP資料!$A:$A, (MATCH(230, 輔助計算!$G$2:$G$801, 0)+1)), "")&lt;&gt;"", IFERROR(INDEX(ERP資料!$A:$A, (MATCH(230, 輔助計算!$G$2:$G$801, 0)+1)), "")&lt;&gt;IFERROR(INDEX(ERP資料!$A:$A, MATCH(229, 輔助計算!$G$2:$G$801, 0)+1), "")), IFERROR(INDEX(ERP資料!$A:$A, (MATCH(230, 輔助計算!$G$2:$G$801, 0)+1)), ""), ""), "")</f>
        <v/>
      </c>
      <c r="B231" s="10">
        <f>IFERROR(IF(AND(IFERROR(INDEX(ERP資料!$A:$A, (MATCH(230, 輔助計算!$G$2:$G$801, 0)+1)), "")&lt;&gt;"", IFERROR(INDEX(ERP資料!$A:$A, (MATCH(230, 輔助計算!$G$2:$G$801, 0)+1)), "")&lt;&gt;IFERROR(INDEX(ERP資料!$A:$A, MATCH(229, 輔助計算!$G$2:$G$801, 0)+1), "")), INDEX(ERP資料!$S:$S, (MATCH(230, 輔助計算!$G$2:$G$801, 0)+1)), ""), "")</f>
        <v/>
      </c>
      <c r="C231" s="19">
        <f>IFERROR(IF(AND(IFERROR(INDEX(ERP資料!$A:$A, (MATCH(230, 輔助計算!$G$2:$G$801, 0)+1)), "")&lt;&gt;"", IFERROR(INDEX(ERP資料!$A:$A, (MATCH(230, 輔助計算!$G$2:$G$801, 0)+1)), "")&lt;&gt;IFERROR(INDEX(ERP資料!$A:$A, MATCH(229, 輔助計算!$G$2:$G$801, 0)+1), "")), IFERROR(VLOOKUP(LEFT(INDEX(ERP資料!$S:$S, (MATCH(230, 輔助計算!$G$2:$G$801, 0)+1)), 4), 紙管對照表!$A:$C, 3, FALSE), ""), ""), "")</f>
        <v/>
      </c>
      <c r="D231" s="16" t="n"/>
      <c r="E231" s="10">
        <f>IFERROR(IF(INDEX(ERP資料!$H:$H, (MATCH(230, 輔助計算!$G$2:$G$801, 0)+1))="","",INDEX(ERP資料!$H:$H, (MATCH(230, 輔助計算!$G$2:$G$801, 0)+1))), "")</f>
        <v/>
      </c>
      <c r="F231" s="10">
        <f>IFERROR(IF(INDEX(ERP資料!$E:$E, (MATCH(230, 輔助計算!$G$2:$G$801, 0)+1))="","",TRIM(INDEX(ERP資料!$E:$E, (MATCH(230, 輔助計算!$G$2:$G$801, 0)+1)))), "")</f>
        <v/>
      </c>
      <c r="G231" s="10">
        <f>IFERROR(IF(INDEX(ERP資料!$F:$F, (MATCH(230, 輔助計算!$G$2:$G$801, 0)+1))="","",INDEX(ERP資料!$F:$F, (MATCH(230, 輔助計算!$G$2:$G$801, 0)+1))), "")</f>
        <v/>
      </c>
      <c r="H231" s="10">
        <f>IFERROR(IF(INDEX(ERP資料!$G:$G, (MATCH(230, 輔助計算!$G$2:$G$801, 0)+1))="","",INDEX(ERP資料!$G:$G, (MATCH(230, 輔助計算!$G$2:$G$801, 0)+1))), "")</f>
        <v/>
      </c>
      <c r="I231" s="15">
        <f>IFERROR(INDEX(輔助計算!$D:$D, (MATCH(230, 輔助計算!$G$2:$G$801, 0)+1)), "")</f>
        <v/>
      </c>
      <c r="J231" s="15">
        <f>IFERROR(IF(AND(INDEX(輔助計算!$D:$D, (MATCH(230, 輔助計算!$G$2:$G$801, 0)+1))&lt;&gt;"", INDEX(ERP資料!$G:$G, (MATCH(230, 輔助計算!$G$2:$G$801, 0)+1))&lt;&gt;""), TRIM(IF(INT(INDEX(輔助計算!$D:$D, (MATCH(230, 輔助計算!$G$2:$G$801, 0)+1))/IF(INDEX(ERP資料!$G:$G, (MATCH(230, 輔助計算!$G$2:$G$801, 0)+1))&lt;100, IF(INDEX(ERP資料!$G:$G, (MATCH(230, 輔助計算!$G$2:$G$801, 0)+1))&lt;=31,3,IF(INDEX(ERP資料!$G:$G, (MATCH(230, 輔助計算!$G$2:$G$801, 0)+1))&lt;=46.5,2,1)), IF(INDEX(ERP資料!$G:$G, (MATCH(230, 輔助計算!$G$2:$G$801, 0)+1))&lt;=790,3,IF(INDEX(ERP資料!$G:$G, (MATCH(230, 輔助計算!$G$2:$G$801, 0)+1))&lt;=1181,2,1))))&gt;0, IF(IF(INDEX(ERP資料!$G:$G, (MATCH(230, 輔助計算!$G$2:$G$801, 0)+1))&lt;100, IF(INDEX(ERP資料!$G:$G, (MATCH(230, 輔助計算!$G$2:$G$801, 0)+1))&lt;=31,3,IF(INDEX(ERP資料!$G:$G, (MATCH(230, 輔助計算!$G$2:$G$801, 0)+1))&lt;=46.5,2,1)), IF(INDEX(ERP資料!$G:$G, (MATCH(230, 輔助計算!$G$2:$G$801, 0)+1))&lt;=790,3,IF(INDEX(ERP資料!$G:$G, (MATCH(230, 輔助計算!$G$2:$G$801, 0)+1))&lt;=1181,2,1)))=1,TEXT(INDEX(ERP資料!$G:$G, (MATCH(230, 輔助計算!$G$2:$G$801, 0)+1)),"0.##"),IF(IF(INDEX(ERP資料!$G:$G, (MATCH(230, 輔助計算!$G$2:$G$801, 0)+1))&lt;100, IF(INDEX(ERP資料!$G:$G, (MATCH(230, 輔助計算!$G$2:$G$801, 0)+1))&lt;=31,3,IF(INDEX(ERP資料!$G:$G, (MATCH(230, 輔助計算!$G$2:$G$801, 0)+1))&lt;=46.5,2,1)), IF(INDEX(ERP資料!$G:$G, (MATCH(230, 輔助計算!$G$2:$G$801, 0)+1))&lt;=790,3,IF(INDEX(ERP資料!$G:$G, (MATCH(230, 輔助計算!$G$2:$G$801, 0)+1))&lt;=1181,2,1)))=2,TEXT(INDEX(ERP資料!$G:$G, (MATCH(230, 輔助計算!$G$2:$G$801, 0)+1)),"0.##")&amp;"+"&amp;TEXT(INDEX(ERP資料!$G:$G, (MATCH(230, 輔助計算!$G$2:$G$801, 0)+1)),"0.##"),TEXT(INDEX(ERP資料!$G:$G, (MATCH(230, 輔助計算!$G$2:$G$801, 0)+1)),"0.##")&amp;"+"&amp;TEXT(INDEX(ERP資料!$G:$G, (MATCH(230, 輔助計算!$G$2:$G$801, 0)+1)),"0.##")&amp;"+"&amp;TEXT(INDEX(ERP資料!$G:$G, (MATCH(230, 輔助計算!$G$2:$G$801, 0)+1)),"0.##")))&amp;"-"&amp;INT(INDEX(輔助計算!$D:$D, (MATCH(230, 輔助計算!$G$2:$G$801, 0)+1))/IF(INDEX(ERP資料!$G:$G, (MATCH(230, 輔助計算!$G$2:$G$801, 0)+1))&lt;100, IF(INDEX(ERP資料!$G:$G, (MATCH(230, 輔助計算!$G$2:$G$801, 0)+1))&lt;=31,3,IF(INDEX(ERP資料!$G:$G, (MATCH(230, 輔助計算!$G$2:$G$801, 0)+1))&lt;=46.5,2,1)), IF(INDEX(ERP資料!$G:$G, (MATCH(230, 輔助計算!$G$2:$G$801, 0)+1))&lt;=790,3,IF(INDEX(ERP資料!$G:$G, (MATCH(230, 輔助計算!$G$2:$G$801, 0)+1))&lt;=1181,2,1)))), "")&amp;IF(AND(IF(INT(INDEX(輔助計算!$D:$D, (MATCH(230, 輔助計算!$G$2:$G$801, 0)+1))/IF(INDEX(ERP資料!$G:$G, (MATCH(230, 輔助計算!$G$2:$G$801, 0)+1))&lt;100, IF(INDEX(ERP資料!$G:$G, (MATCH(230, 輔助計算!$G$2:$G$801, 0)+1))&lt;=31,3,IF(INDEX(ERP資料!$G:$G, (MATCH(230, 輔助計算!$G$2:$G$801, 0)+1))&lt;=46.5,2,1)), IF(INDEX(ERP資料!$G:$G, (MATCH(230, 輔助計算!$G$2:$G$801, 0)+1))&lt;=790,3,IF(INDEX(ERP資料!$G:$G, (MATCH(230, 輔助計算!$G$2:$G$801, 0)+1))&lt;=1181,2,1))))&gt;0, IF(IF(INDEX(ERP資料!$G:$G, (MATCH(230, 輔助計算!$G$2:$G$801, 0)+1))&lt;100, IF(INDEX(ERP資料!$G:$G, (MATCH(230, 輔助計算!$G$2:$G$801, 0)+1))&lt;=31,3,IF(INDEX(ERP資料!$G:$G, (MATCH(230, 輔助計算!$G$2:$G$801, 0)+1))&lt;=46.5,2,1)), IF(INDEX(ERP資料!$G:$G, (MATCH(230, 輔助計算!$G$2:$G$801, 0)+1))&lt;=790,3,IF(INDEX(ERP資料!$G:$G, (MATCH(230, 輔助計算!$G$2:$G$801, 0)+1))&lt;=1181,2,1)))=1,TEXT(INDEX(ERP資料!$G:$G, (MATCH(230, 輔助計算!$G$2:$G$801, 0)+1)),"0.##"),IF(IF(INDEX(ERP資料!$G:$G, (MATCH(230, 輔助計算!$G$2:$G$801, 0)+1))&lt;100, IF(INDEX(ERP資料!$G:$G, (MATCH(230, 輔助計算!$G$2:$G$801, 0)+1))&lt;=31,3,IF(INDEX(ERP資料!$G:$G, (MATCH(230, 輔助計算!$G$2:$G$801, 0)+1))&lt;=46.5,2,1)), IF(INDEX(ERP資料!$G:$G, (MATCH(230, 輔助計算!$G$2:$G$801, 0)+1))&lt;=790,3,IF(INDEX(ERP資料!$G:$G, (MATCH(230, 輔助計算!$G$2:$G$801, 0)+1))&lt;=1181,2,1)))=2,TEXT(INDEX(ERP資料!$G:$G, (MATCH(230, 輔助計算!$G$2:$G$801, 0)+1)),"0.##")&amp;"+"&amp;TEXT(INDEX(ERP資料!$G:$G, (MATCH(230, 輔助計算!$G$2:$G$801, 0)+1)),"0.##"),TEXT(INDEX(ERP資料!$G:$G, (MATCH(230, 輔助計算!$G$2:$G$801, 0)+1)),"0.##")&amp;"+"&amp;TEXT(INDEX(ERP資料!$G:$G, (MATCH(230, 輔助計算!$G$2:$G$801, 0)+1)),"0.##")&amp;"+"&amp;TEXT(INDEX(ERP資料!$G:$G, (MATCH(230, 輔助計算!$G$2:$G$801, 0)+1)),"0.##")))&amp;"-"&amp;INT(INDEX(輔助計算!$D:$D, (MATCH(230, 輔助計算!$G$2:$G$801, 0)+1))/IF(INDEX(ERP資料!$G:$G, (MATCH(230, 輔助計算!$G$2:$G$801, 0)+1))&lt;100, IF(INDEX(ERP資料!$G:$G, (MATCH(230, 輔助計算!$G$2:$G$801, 0)+1))&lt;=31,3,IF(INDEX(ERP資料!$G:$G, (MATCH(230, 輔助計算!$G$2:$G$801, 0)+1))&lt;=46.5,2,1)), IF(INDEX(ERP資料!$G:$G, (MATCH(230, 輔助計算!$G$2:$G$801, 0)+1))&lt;=790,3,IF(INDEX(ERP資料!$G:$G, (MATCH(230, 輔助計算!$G$2:$G$801, 0)+1))&lt;=1181,2,1)))), "")&lt;&gt;"",IF(MOD(INDEX(輔助計算!$D:$D, (MATCH(230, 輔助計算!$G$2:$G$801, 0)+1)),IF(INDEX(ERP資料!$G:$G, (MATCH(230, 輔助計算!$G$2:$G$801, 0)+1))&lt;100, IF(INDEX(ERP資料!$G:$G, (MATCH(230, 輔助計算!$G$2:$G$801, 0)+1))&lt;=31,3,IF(INDEX(ERP資料!$G:$G, (MATCH(230, 輔助計算!$G$2:$G$801, 0)+1))&lt;=46.5,2,1)), IF(INDEX(ERP資料!$G:$G, (MATCH(230, 輔助計算!$G$2:$G$801, 0)+1))&lt;=790,3,IF(INDEX(ERP資料!$G:$G, (MATCH(230, 輔助計算!$G$2:$G$801, 0)+1))&lt;=1181,2,1))))=0,"",IF(MOD(INDEX(輔助計算!$D:$D, (MATCH(230, 輔助計算!$G$2:$G$801, 0)+1)),IF(INDEX(ERP資料!$G:$G, (MATCH(230, 輔助計算!$G$2:$G$801, 0)+1))&lt;100, IF(INDEX(ERP資料!$G:$G, (MATCH(230, 輔助計算!$G$2:$G$801, 0)+1))&lt;=31,3,IF(INDEX(ERP資料!$G:$G, (MATCH(230, 輔助計算!$G$2:$G$801, 0)+1))&lt;=46.5,2,1)), IF(INDEX(ERP資料!$G:$G, (MATCH(230, 輔助計算!$G$2:$G$801, 0)+1))&lt;=790,3,IF(INDEX(ERP資料!$G:$G, (MATCH(230, 輔助計算!$G$2:$G$801, 0)+1))&lt;=1181,2,1))))=0,"",IF(MOD(INDEX(輔助計算!$D:$D, (MATCH(230, 輔助計算!$G$2:$G$801, 0)+1)),IF(INDEX(ERP資料!$G:$G, (MATCH(230, 輔助計算!$G$2:$G$801, 0)+1))&lt;100, IF(INDEX(ERP資料!$G:$G, (MATCH(230, 輔助計算!$G$2:$G$801, 0)+1))&lt;=31,3,IF(INDEX(ERP資料!$G:$G, (MATCH(230, 輔助計算!$G$2:$G$801, 0)+1))&lt;=46.5,2,1)), IF(INDEX(ERP資料!$G:$G, (MATCH(230, 輔助計算!$G$2:$G$801, 0)+1))&lt;=790,3,IF(INDEX(ERP資料!$G:$G, (MATCH(230, 輔助計算!$G$2:$G$801, 0)+1))&lt;=1181,2,1))))=1,TEXT(INDEX(ERP資料!$G:$G, (MATCH(230, 輔助計算!$G$2:$G$801, 0)+1)),"0.##"),IF(MOD(INDEX(輔助計算!$D:$D, (MATCH(230, 輔助計算!$G$2:$G$801, 0)+1)),IF(INDEX(ERP資料!$G:$G, (MATCH(230, 輔助計算!$G$2:$G$801, 0)+1))&lt;100, IF(INDEX(ERP資料!$G:$G, (MATCH(230, 輔助計算!$G$2:$G$801, 0)+1))&lt;=31,3,IF(INDEX(ERP資料!$G:$G, (MATCH(230, 輔助計算!$G$2:$G$801, 0)+1))&lt;=46.5,2,1)), IF(INDEX(ERP資料!$G:$G, (MATCH(230, 輔助計算!$G$2:$G$801, 0)+1))&lt;=790,3,IF(INDEX(ERP資料!$G:$G, (MATCH(230, 輔助計算!$G$2:$G$801, 0)+1))&lt;=1181,2,1))))=2,TEXT(INDEX(ERP資料!$G:$G, (MATCH(230, 輔助計算!$G$2:$G$801, 0)+1)),"0.##")&amp;"+"&amp;TEXT(INDEX(ERP資料!$G:$G, (MATCH(230, 輔助計算!$G$2:$G$801, 0)+1)),"0.##"),TEXT(INDEX(ERP資料!$G:$G, (MATCH(230, 輔助計算!$G$2:$G$801, 0)+1)),"0.##")&amp;"+"&amp;TEXT(INDEX(ERP資料!$G:$G, (MATCH(230, 輔助計算!$G$2:$G$801, 0)+1)),"0.##")&amp;"+"&amp;TEXT(INDEX(ERP資料!$G:$G, (MATCH(230, 輔助計算!$G$2:$G$801, 0)+1)),"0.##"))))&amp;"-1")&lt;&gt;""),"  ","")&amp;IF(MOD(INDEX(輔助計算!$D:$D, (MATCH(230, 輔助計算!$G$2:$G$801, 0)+1)),IF(INDEX(ERP資料!$G:$G, (MATCH(230, 輔助計算!$G$2:$G$801, 0)+1))&lt;100, IF(INDEX(ERP資料!$G:$G, (MATCH(230, 輔助計算!$G$2:$G$801, 0)+1))&lt;=31,3,IF(INDEX(ERP資料!$G:$G, (MATCH(230, 輔助計算!$G$2:$G$801, 0)+1))&lt;=46.5,2,1)), IF(INDEX(ERP資料!$G:$G, (MATCH(230, 輔助計算!$G$2:$G$801, 0)+1))&lt;=790,3,IF(INDEX(ERP資料!$G:$G, (MATCH(230, 輔助計算!$G$2:$G$801, 0)+1))&lt;=1181,2,1))))=0,"",IF(MOD(INDEX(輔助計算!$D:$D, (MATCH(230, 輔助計算!$G$2:$G$801, 0)+1)),IF(INDEX(ERP資料!$G:$G, (MATCH(230, 輔助計算!$G$2:$G$801, 0)+1))&lt;100, IF(INDEX(ERP資料!$G:$G, (MATCH(230, 輔助計算!$G$2:$G$801, 0)+1))&lt;=31,3,IF(INDEX(ERP資料!$G:$G, (MATCH(230, 輔助計算!$G$2:$G$801, 0)+1))&lt;=46.5,2,1)), IF(INDEX(ERP資料!$G:$G, (MATCH(230, 輔助計算!$G$2:$G$801, 0)+1))&lt;=790,3,IF(INDEX(ERP資料!$G:$G, (MATCH(230, 輔助計算!$G$2:$G$801, 0)+1))&lt;=1181,2,1))))=0,"",IF(MOD(INDEX(輔助計算!$D:$D, (MATCH(230, 輔助計算!$G$2:$G$801, 0)+1)),IF(INDEX(ERP資料!$G:$G, (MATCH(230, 輔助計算!$G$2:$G$801, 0)+1))&lt;100, IF(INDEX(ERP資料!$G:$G, (MATCH(230, 輔助計算!$G$2:$G$801, 0)+1))&lt;=31,3,IF(INDEX(ERP資料!$G:$G, (MATCH(230, 輔助計算!$G$2:$G$801, 0)+1))&lt;=46.5,2,1)), IF(INDEX(ERP資料!$G:$G, (MATCH(230, 輔助計算!$G$2:$G$801, 0)+1))&lt;=790,3,IF(INDEX(ERP資料!$G:$G, (MATCH(230, 輔助計算!$G$2:$G$801, 0)+1))&lt;=1181,2,1))))=1,TEXT(INDEX(ERP資料!$G:$G, (MATCH(230, 輔助計算!$G$2:$G$801, 0)+1)),"0.##"),IF(MOD(INDEX(輔助計算!$D:$D, (MATCH(230, 輔助計算!$G$2:$G$801, 0)+1)),IF(INDEX(ERP資料!$G:$G, (MATCH(230, 輔助計算!$G$2:$G$801, 0)+1))&lt;100, IF(INDEX(ERP資料!$G:$G, (MATCH(230, 輔助計算!$G$2:$G$801, 0)+1))&lt;=31,3,IF(INDEX(ERP資料!$G:$G, (MATCH(230, 輔助計算!$G$2:$G$801, 0)+1))&lt;=46.5,2,1)), IF(INDEX(ERP資料!$G:$G, (MATCH(230, 輔助計算!$G$2:$G$801, 0)+1))&lt;=790,3,IF(INDEX(ERP資料!$G:$G, (MATCH(230, 輔助計算!$G$2:$G$801, 0)+1))&lt;=1181,2,1))))=2,TEXT(INDEX(ERP資料!$G:$G, (MATCH(230, 輔助計算!$G$2:$G$801, 0)+1)),"0.##")&amp;"+"&amp;TEXT(INDEX(ERP資料!$G:$G, (MATCH(230, 輔助計算!$G$2:$G$801, 0)+1)),"0.##"),TEXT(INDEX(ERP資料!$G:$G, (MATCH(230, 輔助計算!$G$2:$G$801, 0)+1)),"0.##")&amp;"+"&amp;TEXT(INDEX(ERP資料!$G:$G, (MATCH(230, 輔助計算!$G$2:$G$801, 0)+1)),"0.##")&amp;"+"&amp;TEXT(INDEX(ERP資料!$G:$G, (MATCH(230, 輔助計算!$G$2:$G$801, 0)+1)),"0.##"))))&amp;"-1")), ""), "")</f>
        <v/>
      </c>
      <c r="K231" s="16" t="n"/>
      <c r="L231" s="14">
        <f>IFERROR(IF(AND(IFERROR(INDEX(ERP資料!$A:$A, (MATCH(230, 輔助計算!$G$2:$G$801, 0)+1)), "")&lt;&gt;"", IFERROR(INDEX(ERP資料!$A:$A, (MATCH(230, 輔助計算!$G$2:$G$801, 0)+1)), "")&lt;&gt;IFERROR(INDEX(ERP資料!$A:$A, MATCH(229, 輔助計算!$G$2:$G$801, 0)+1), "")), INDEX(ERP資料!$B:$B, (MATCH(230, 輔助計算!$G$2:$G$801, 0)+1)), ""), "")</f>
        <v/>
      </c>
      <c r="M231" s="17" t="n"/>
    </row>
    <row r="232">
      <c r="A232" s="10">
        <f>IFERROR(IF(AND(IFERROR(INDEX(ERP資料!$A:$A, (MATCH(231, 輔助計算!$G$2:$G$801, 0)+1)), "")&lt;&gt;"", IFERROR(INDEX(ERP資料!$A:$A, (MATCH(231, 輔助計算!$G$2:$G$801, 0)+1)), "")&lt;&gt;IFERROR(INDEX(ERP資料!$A:$A, MATCH(230, 輔助計算!$G$2:$G$801, 0)+1), "")), IFERROR(INDEX(ERP資料!$A:$A, (MATCH(231, 輔助計算!$G$2:$G$801, 0)+1)), ""), ""), "")</f>
        <v/>
      </c>
      <c r="B232" s="10">
        <f>IFERROR(IF(AND(IFERROR(INDEX(ERP資料!$A:$A, (MATCH(231, 輔助計算!$G$2:$G$801, 0)+1)), "")&lt;&gt;"", IFERROR(INDEX(ERP資料!$A:$A, (MATCH(231, 輔助計算!$G$2:$G$801, 0)+1)), "")&lt;&gt;IFERROR(INDEX(ERP資料!$A:$A, MATCH(230, 輔助計算!$G$2:$G$801, 0)+1), "")), INDEX(ERP資料!$S:$S, (MATCH(231, 輔助計算!$G$2:$G$801, 0)+1)), ""), "")</f>
        <v/>
      </c>
      <c r="C232" s="19">
        <f>IFERROR(IF(AND(IFERROR(INDEX(ERP資料!$A:$A, (MATCH(231, 輔助計算!$G$2:$G$801, 0)+1)), "")&lt;&gt;"", IFERROR(INDEX(ERP資料!$A:$A, (MATCH(231, 輔助計算!$G$2:$G$801, 0)+1)), "")&lt;&gt;IFERROR(INDEX(ERP資料!$A:$A, MATCH(230, 輔助計算!$G$2:$G$801, 0)+1), "")), IFERROR(VLOOKUP(LEFT(INDEX(ERP資料!$S:$S, (MATCH(231, 輔助計算!$G$2:$G$801, 0)+1)), 4), 紙管對照表!$A:$C, 3, FALSE), ""), ""), "")</f>
        <v/>
      </c>
      <c r="D232" s="16" t="n"/>
      <c r="E232" s="10">
        <f>IFERROR(IF(INDEX(ERP資料!$H:$H, (MATCH(231, 輔助計算!$G$2:$G$801, 0)+1))="","",INDEX(ERP資料!$H:$H, (MATCH(231, 輔助計算!$G$2:$G$801, 0)+1))), "")</f>
        <v/>
      </c>
      <c r="F232" s="10">
        <f>IFERROR(IF(INDEX(ERP資料!$E:$E, (MATCH(231, 輔助計算!$G$2:$G$801, 0)+1))="","",TRIM(INDEX(ERP資料!$E:$E, (MATCH(231, 輔助計算!$G$2:$G$801, 0)+1)))), "")</f>
        <v/>
      </c>
      <c r="G232" s="10">
        <f>IFERROR(IF(INDEX(ERP資料!$F:$F, (MATCH(231, 輔助計算!$G$2:$G$801, 0)+1))="","",INDEX(ERP資料!$F:$F, (MATCH(231, 輔助計算!$G$2:$G$801, 0)+1))), "")</f>
        <v/>
      </c>
      <c r="H232" s="10">
        <f>IFERROR(IF(INDEX(ERP資料!$G:$G, (MATCH(231, 輔助計算!$G$2:$G$801, 0)+1))="","",INDEX(ERP資料!$G:$G, (MATCH(231, 輔助計算!$G$2:$G$801, 0)+1))), "")</f>
        <v/>
      </c>
      <c r="I232" s="15">
        <f>IFERROR(INDEX(輔助計算!$D:$D, (MATCH(231, 輔助計算!$G$2:$G$801, 0)+1)), "")</f>
        <v/>
      </c>
      <c r="J232" s="15">
        <f>IFERROR(IF(AND(INDEX(輔助計算!$D:$D, (MATCH(231, 輔助計算!$G$2:$G$801, 0)+1))&lt;&gt;"", INDEX(ERP資料!$G:$G, (MATCH(231, 輔助計算!$G$2:$G$801, 0)+1))&lt;&gt;""), TRIM(IF(INT(INDEX(輔助計算!$D:$D, (MATCH(231, 輔助計算!$G$2:$G$801, 0)+1))/IF(INDEX(ERP資料!$G:$G, (MATCH(231, 輔助計算!$G$2:$G$801, 0)+1))&lt;100, IF(INDEX(ERP資料!$G:$G, (MATCH(231, 輔助計算!$G$2:$G$801, 0)+1))&lt;=31,3,IF(INDEX(ERP資料!$G:$G, (MATCH(231, 輔助計算!$G$2:$G$801, 0)+1))&lt;=46.5,2,1)), IF(INDEX(ERP資料!$G:$G, (MATCH(231, 輔助計算!$G$2:$G$801, 0)+1))&lt;=790,3,IF(INDEX(ERP資料!$G:$G, (MATCH(231, 輔助計算!$G$2:$G$801, 0)+1))&lt;=1181,2,1))))&gt;0, IF(IF(INDEX(ERP資料!$G:$G, (MATCH(231, 輔助計算!$G$2:$G$801, 0)+1))&lt;100, IF(INDEX(ERP資料!$G:$G, (MATCH(231, 輔助計算!$G$2:$G$801, 0)+1))&lt;=31,3,IF(INDEX(ERP資料!$G:$G, (MATCH(231, 輔助計算!$G$2:$G$801, 0)+1))&lt;=46.5,2,1)), IF(INDEX(ERP資料!$G:$G, (MATCH(231, 輔助計算!$G$2:$G$801, 0)+1))&lt;=790,3,IF(INDEX(ERP資料!$G:$G, (MATCH(231, 輔助計算!$G$2:$G$801, 0)+1))&lt;=1181,2,1)))=1,TEXT(INDEX(ERP資料!$G:$G, (MATCH(231, 輔助計算!$G$2:$G$801, 0)+1)),"0.##"),IF(IF(INDEX(ERP資料!$G:$G, (MATCH(231, 輔助計算!$G$2:$G$801, 0)+1))&lt;100, IF(INDEX(ERP資料!$G:$G, (MATCH(231, 輔助計算!$G$2:$G$801, 0)+1))&lt;=31,3,IF(INDEX(ERP資料!$G:$G, (MATCH(231, 輔助計算!$G$2:$G$801, 0)+1))&lt;=46.5,2,1)), IF(INDEX(ERP資料!$G:$G, (MATCH(231, 輔助計算!$G$2:$G$801, 0)+1))&lt;=790,3,IF(INDEX(ERP資料!$G:$G, (MATCH(231, 輔助計算!$G$2:$G$801, 0)+1))&lt;=1181,2,1)))=2,TEXT(INDEX(ERP資料!$G:$G, (MATCH(231, 輔助計算!$G$2:$G$801, 0)+1)),"0.##")&amp;"+"&amp;TEXT(INDEX(ERP資料!$G:$G, (MATCH(231, 輔助計算!$G$2:$G$801, 0)+1)),"0.##"),TEXT(INDEX(ERP資料!$G:$G, (MATCH(231, 輔助計算!$G$2:$G$801, 0)+1)),"0.##")&amp;"+"&amp;TEXT(INDEX(ERP資料!$G:$G, (MATCH(231, 輔助計算!$G$2:$G$801, 0)+1)),"0.##")&amp;"+"&amp;TEXT(INDEX(ERP資料!$G:$G, (MATCH(231, 輔助計算!$G$2:$G$801, 0)+1)),"0.##")))&amp;"-"&amp;INT(INDEX(輔助計算!$D:$D, (MATCH(231, 輔助計算!$G$2:$G$801, 0)+1))/IF(INDEX(ERP資料!$G:$G, (MATCH(231, 輔助計算!$G$2:$G$801, 0)+1))&lt;100, IF(INDEX(ERP資料!$G:$G, (MATCH(231, 輔助計算!$G$2:$G$801, 0)+1))&lt;=31,3,IF(INDEX(ERP資料!$G:$G, (MATCH(231, 輔助計算!$G$2:$G$801, 0)+1))&lt;=46.5,2,1)), IF(INDEX(ERP資料!$G:$G, (MATCH(231, 輔助計算!$G$2:$G$801, 0)+1))&lt;=790,3,IF(INDEX(ERP資料!$G:$G, (MATCH(231, 輔助計算!$G$2:$G$801, 0)+1))&lt;=1181,2,1)))), "")&amp;IF(AND(IF(INT(INDEX(輔助計算!$D:$D, (MATCH(231, 輔助計算!$G$2:$G$801, 0)+1))/IF(INDEX(ERP資料!$G:$G, (MATCH(231, 輔助計算!$G$2:$G$801, 0)+1))&lt;100, IF(INDEX(ERP資料!$G:$G, (MATCH(231, 輔助計算!$G$2:$G$801, 0)+1))&lt;=31,3,IF(INDEX(ERP資料!$G:$G, (MATCH(231, 輔助計算!$G$2:$G$801, 0)+1))&lt;=46.5,2,1)), IF(INDEX(ERP資料!$G:$G, (MATCH(231, 輔助計算!$G$2:$G$801, 0)+1))&lt;=790,3,IF(INDEX(ERP資料!$G:$G, (MATCH(231, 輔助計算!$G$2:$G$801, 0)+1))&lt;=1181,2,1))))&gt;0, IF(IF(INDEX(ERP資料!$G:$G, (MATCH(231, 輔助計算!$G$2:$G$801, 0)+1))&lt;100, IF(INDEX(ERP資料!$G:$G, (MATCH(231, 輔助計算!$G$2:$G$801, 0)+1))&lt;=31,3,IF(INDEX(ERP資料!$G:$G, (MATCH(231, 輔助計算!$G$2:$G$801, 0)+1))&lt;=46.5,2,1)), IF(INDEX(ERP資料!$G:$G, (MATCH(231, 輔助計算!$G$2:$G$801, 0)+1))&lt;=790,3,IF(INDEX(ERP資料!$G:$G, (MATCH(231, 輔助計算!$G$2:$G$801, 0)+1))&lt;=1181,2,1)))=1,TEXT(INDEX(ERP資料!$G:$G, (MATCH(231, 輔助計算!$G$2:$G$801, 0)+1)),"0.##"),IF(IF(INDEX(ERP資料!$G:$G, (MATCH(231, 輔助計算!$G$2:$G$801, 0)+1))&lt;100, IF(INDEX(ERP資料!$G:$G, (MATCH(231, 輔助計算!$G$2:$G$801, 0)+1))&lt;=31,3,IF(INDEX(ERP資料!$G:$G, (MATCH(231, 輔助計算!$G$2:$G$801, 0)+1))&lt;=46.5,2,1)), IF(INDEX(ERP資料!$G:$G, (MATCH(231, 輔助計算!$G$2:$G$801, 0)+1))&lt;=790,3,IF(INDEX(ERP資料!$G:$G, (MATCH(231, 輔助計算!$G$2:$G$801, 0)+1))&lt;=1181,2,1)))=2,TEXT(INDEX(ERP資料!$G:$G, (MATCH(231, 輔助計算!$G$2:$G$801, 0)+1)),"0.##")&amp;"+"&amp;TEXT(INDEX(ERP資料!$G:$G, (MATCH(231, 輔助計算!$G$2:$G$801, 0)+1)),"0.##"),TEXT(INDEX(ERP資料!$G:$G, (MATCH(231, 輔助計算!$G$2:$G$801, 0)+1)),"0.##")&amp;"+"&amp;TEXT(INDEX(ERP資料!$G:$G, (MATCH(231, 輔助計算!$G$2:$G$801, 0)+1)),"0.##")&amp;"+"&amp;TEXT(INDEX(ERP資料!$G:$G, (MATCH(231, 輔助計算!$G$2:$G$801, 0)+1)),"0.##")))&amp;"-"&amp;INT(INDEX(輔助計算!$D:$D, (MATCH(231, 輔助計算!$G$2:$G$801, 0)+1))/IF(INDEX(ERP資料!$G:$G, (MATCH(231, 輔助計算!$G$2:$G$801, 0)+1))&lt;100, IF(INDEX(ERP資料!$G:$G, (MATCH(231, 輔助計算!$G$2:$G$801, 0)+1))&lt;=31,3,IF(INDEX(ERP資料!$G:$G, (MATCH(231, 輔助計算!$G$2:$G$801, 0)+1))&lt;=46.5,2,1)), IF(INDEX(ERP資料!$G:$G, (MATCH(231, 輔助計算!$G$2:$G$801, 0)+1))&lt;=790,3,IF(INDEX(ERP資料!$G:$G, (MATCH(231, 輔助計算!$G$2:$G$801, 0)+1))&lt;=1181,2,1)))), "")&lt;&gt;"",IF(MOD(INDEX(輔助計算!$D:$D, (MATCH(231, 輔助計算!$G$2:$G$801, 0)+1)),IF(INDEX(ERP資料!$G:$G, (MATCH(231, 輔助計算!$G$2:$G$801, 0)+1))&lt;100, IF(INDEX(ERP資料!$G:$G, (MATCH(231, 輔助計算!$G$2:$G$801, 0)+1))&lt;=31,3,IF(INDEX(ERP資料!$G:$G, (MATCH(231, 輔助計算!$G$2:$G$801, 0)+1))&lt;=46.5,2,1)), IF(INDEX(ERP資料!$G:$G, (MATCH(231, 輔助計算!$G$2:$G$801, 0)+1))&lt;=790,3,IF(INDEX(ERP資料!$G:$G, (MATCH(231, 輔助計算!$G$2:$G$801, 0)+1))&lt;=1181,2,1))))=0,"",IF(MOD(INDEX(輔助計算!$D:$D, (MATCH(231, 輔助計算!$G$2:$G$801, 0)+1)),IF(INDEX(ERP資料!$G:$G, (MATCH(231, 輔助計算!$G$2:$G$801, 0)+1))&lt;100, IF(INDEX(ERP資料!$G:$G, (MATCH(231, 輔助計算!$G$2:$G$801, 0)+1))&lt;=31,3,IF(INDEX(ERP資料!$G:$G, (MATCH(231, 輔助計算!$G$2:$G$801, 0)+1))&lt;=46.5,2,1)), IF(INDEX(ERP資料!$G:$G, (MATCH(231, 輔助計算!$G$2:$G$801, 0)+1))&lt;=790,3,IF(INDEX(ERP資料!$G:$G, (MATCH(231, 輔助計算!$G$2:$G$801, 0)+1))&lt;=1181,2,1))))=0,"",IF(MOD(INDEX(輔助計算!$D:$D, (MATCH(231, 輔助計算!$G$2:$G$801, 0)+1)),IF(INDEX(ERP資料!$G:$G, (MATCH(231, 輔助計算!$G$2:$G$801, 0)+1))&lt;100, IF(INDEX(ERP資料!$G:$G, (MATCH(231, 輔助計算!$G$2:$G$801, 0)+1))&lt;=31,3,IF(INDEX(ERP資料!$G:$G, (MATCH(231, 輔助計算!$G$2:$G$801, 0)+1))&lt;=46.5,2,1)), IF(INDEX(ERP資料!$G:$G, (MATCH(231, 輔助計算!$G$2:$G$801, 0)+1))&lt;=790,3,IF(INDEX(ERP資料!$G:$G, (MATCH(231, 輔助計算!$G$2:$G$801, 0)+1))&lt;=1181,2,1))))=1,TEXT(INDEX(ERP資料!$G:$G, (MATCH(231, 輔助計算!$G$2:$G$801, 0)+1)),"0.##"),IF(MOD(INDEX(輔助計算!$D:$D, (MATCH(231, 輔助計算!$G$2:$G$801, 0)+1)),IF(INDEX(ERP資料!$G:$G, (MATCH(231, 輔助計算!$G$2:$G$801, 0)+1))&lt;100, IF(INDEX(ERP資料!$G:$G, (MATCH(231, 輔助計算!$G$2:$G$801, 0)+1))&lt;=31,3,IF(INDEX(ERP資料!$G:$G, (MATCH(231, 輔助計算!$G$2:$G$801, 0)+1))&lt;=46.5,2,1)), IF(INDEX(ERP資料!$G:$G, (MATCH(231, 輔助計算!$G$2:$G$801, 0)+1))&lt;=790,3,IF(INDEX(ERP資料!$G:$G, (MATCH(231, 輔助計算!$G$2:$G$801, 0)+1))&lt;=1181,2,1))))=2,TEXT(INDEX(ERP資料!$G:$G, (MATCH(231, 輔助計算!$G$2:$G$801, 0)+1)),"0.##")&amp;"+"&amp;TEXT(INDEX(ERP資料!$G:$G, (MATCH(231, 輔助計算!$G$2:$G$801, 0)+1)),"0.##"),TEXT(INDEX(ERP資料!$G:$G, (MATCH(231, 輔助計算!$G$2:$G$801, 0)+1)),"0.##")&amp;"+"&amp;TEXT(INDEX(ERP資料!$G:$G, (MATCH(231, 輔助計算!$G$2:$G$801, 0)+1)),"0.##")&amp;"+"&amp;TEXT(INDEX(ERP資料!$G:$G, (MATCH(231, 輔助計算!$G$2:$G$801, 0)+1)),"0.##"))))&amp;"-1")&lt;&gt;""),"  ","")&amp;IF(MOD(INDEX(輔助計算!$D:$D, (MATCH(231, 輔助計算!$G$2:$G$801, 0)+1)),IF(INDEX(ERP資料!$G:$G, (MATCH(231, 輔助計算!$G$2:$G$801, 0)+1))&lt;100, IF(INDEX(ERP資料!$G:$G, (MATCH(231, 輔助計算!$G$2:$G$801, 0)+1))&lt;=31,3,IF(INDEX(ERP資料!$G:$G, (MATCH(231, 輔助計算!$G$2:$G$801, 0)+1))&lt;=46.5,2,1)), IF(INDEX(ERP資料!$G:$G, (MATCH(231, 輔助計算!$G$2:$G$801, 0)+1))&lt;=790,3,IF(INDEX(ERP資料!$G:$G, (MATCH(231, 輔助計算!$G$2:$G$801, 0)+1))&lt;=1181,2,1))))=0,"",IF(MOD(INDEX(輔助計算!$D:$D, (MATCH(231, 輔助計算!$G$2:$G$801, 0)+1)),IF(INDEX(ERP資料!$G:$G, (MATCH(231, 輔助計算!$G$2:$G$801, 0)+1))&lt;100, IF(INDEX(ERP資料!$G:$G, (MATCH(231, 輔助計算!$G$2:$G$801, 0)+1))&lt;=31,3,IF(INDEX(ERP資料!$G:$G, (MATCH(231, 輔助計算!$G$2:$G$801, 0)+1))&lt;=46.5,2,1)), IF(INDEX(ERP資料!$G:$G, (MATCH(231, 輔助計算!$G$2:$G$801, 0)+1))&lt;=790,3,IF(INDEX(ERP資料!$G:$G, (MATCH(231, 輔助計算!$G$2:$G$801, 0)+1))&lt;=1181,2,1))))=0,"",IF(MOD(INDEX(輔助計算!$D:$D, (MATCH(231, 輔助計算!$G$2:$G$801, 0)+1)),IF(INDEX(ERP資料!$G:$G, (MATCH(231, 輔助計算!$G$2:$G$801, 0)+1))&lt;100, IF(INDEX(ERP資料!$G:$G, (MATCH(231, 輔助計算!$G$2:$G$801, 0)+1))&lt;=31,3,IF(INDEX(ERP資料!$G:$G, (MATCH(231, 輔助計算!$G$2:$G$801, 0)+1))&lt;=46.5,2,1)), IF(INDEX(ERP資料!$G:$G, (MATCH(231, 輔助計算!$G$2:$G$801, 0)+1))&lt;=790,3,IF(INDEX(ERP資料!$G:$G, (MATCH(231, 輔助計算!$G$2:$G$801, 0)+1))&lt;=1181,2,1))))=1,TEXT(INDEX(ERP資料!$G:$G, (MATCH(231, 輔助計算!$G$2:$G$801, 0)+1)),"0.##"),IF(MOD(INDEX(輔助計算!$D:$D, (MATCH(231, 輔助計算!$G$2:$G$801, 0)+1)),IF(INDEX(ERP資料!$G:$G, (MATCH(231, 輔助計算!$G$2:$G$801, 0)+1))&lt;100, IF(INDEX(ERP資料!$G:$G, (MATCH(231, 輔助計算!$G$2:$G$801, 0)+1))&lt;=31,3,IF(INDEX(ERP資料!$G:$G, (MATCH(231, 輔助計算!$G$2:$G$801, 0)+1))&lt;=46.5,2,1)), IF(INDEX(ERP資料!$G:$G, (MATCH(231, 輔助計算!$G$2:$G$801, 0)+1))&lt;=790,3,IF(INDEX(ERP資料!$G:$G, (MATCH(231, 輔助計算!$G$2:$G$801, 0)+1))&lt;=1181,2,1))))=2,TEXT(INDEX(ERP資料!$G:$G, (MATCH(231, 輔助計算!$G$2:$G$801, 0)+1)),"0.##")&amp;"+"&amp;TEXT(INDEX(ERP資料!$G:$G, (MATCH(231, 輔助計算!$G$2:$G$801, 0)+1)),"0.##"),TEXT(INDEX(ERP資料!$G:$G, (MATCH(231, 輔助計算!$G$2:$G$801, 0)+1)),"0.##")&amp;"+"&amp;TEXT(INDEX(ERP資料!$G:$G, (MATCH(231, 輔助計算!$G$2:$G$801, 0)+1)),"0.##")&amp;"+"&amp;TEXT(INDEX(ERP資料!$G:$G, (MATCH(231, 輔助計算!$G$2:$G$801, 0)+1)),"0.##"))))&amp;"-1")), ""), "")</f>
        <v/>
      </c>
      <c r="K232" s="16" t="n"/>
      <c r="L232" s="14">
        <f>IFERROR(IF(AND(IFERROR(INDEX(ERP資料!$A:$A, (MATCH(231, 輔助計算!$G$2:$G$801, 0)+1)), "")&lt;&gt;"", IFERROR(INDEX(ERP資料!$A:$A, (MATCH(231, 輔助計算!$G$2:$G$801, 0)+1)), "")&lt;&gt;IFERROR(INDEX(ERP資料!$A:$A, MATCH(230, 輔助計算!$G$2:$G$801, 0)+1), "")), INDEX(ERP資料!$B:$B, (MATCH(231, 輔助計算!$G$2:$G$801, 0)+1)), ""), "")</f>
        <v/>
      </c>
      <c r="M232" s="17" t="n"/>
    </row>
    <row r="233">
      <c r="A233" s="10">
        <f>IFERROR(IF(AND(IFERROR(INDEX(ERP資料!$A:$A, (MATCH(232, 輔助計算!$G$2:$G$801, 0)+1)), "")&lt;&gt;"", IFERROR(INDEX(ERP資料!$A:$A, (MATCH(232, 輔助計算!$G$2:$G$801, 0)+1)), "")&lt;&gt;IFERROR(INDEX(ERP資料!$A:$A, MATCH(231, 輔助計算!$G$2:$G$801, 0)+1), "")), IFERROR(INDEX(ERP資料!$A:$A, (MATCH(232, 輔助計算!$G$2:$G$801, 0)+1)), ""), ""), "")</f>
        <v/>
      </c>
      <c r="B233" s="10">
        <f>IFERROR(IF(AND(IFERROR(INDEX(ERP資料!$A:$A, (MATCH(232, 輔助計算!$G$2:$G$801, 0)+1)), "")&lt;&gt;"", IFERROR(INDEX(ERP資料!$A:$A, (MATCH(232, 輔助計算!$G$2:$G$801, 0)+1)), "")&lt;&gt;IFERROR(INDEX(ERP資料!$A:$A, MATCH(231, 輔助計算!$G$2:$G$801, 0)+1), "")), INDEX(ERP資料!$S:$S, (MATCH(232, 輔助計算!$G$2:$G$801, 0)+1)), ""), "")</f>
        <v/>
      </c>
      <c r="C233" s="19">
        <f>IFERROR(IF(AND(IFERROR(INDEX(ERP資料!$A:$A, (MATCH(232, 輔助計算!$G$2:$G$801, 0)+1)), "")&lt;&gt;"", IFERROR(INDEX(ERP資料!$A:$A, (MATCH(232, 輔助計算!$G$2:$G$801, 0)+1)), "")&lt;&gt;IFERROR(INDEX(ERP資料!$A:$A, MATCH(231, 輔助計算!$G$2:$G$801, 0)+1), "")), IFERROR(VLOOKUP(LEFT(INDEX(ERP資料!$S:$S, (MATCH(232, 輔助計算!$G$2:$G$801, 0)+1)), 4), 紙管對照表!$A:$C, 3, FALSE), ""), ""), "")</f>
        <v/>
      </c>
      <c r="D233" s="16" t="n"/>
      <c r="E233" s="10">
        <f>IFERROR(IF(INDEX(ERP資料!$H:$H, (MATCH(232, 輔助計算!$G$2:$G$801, 0)+1))="","",INDEX(ERP資料!$H:$H, (MATCH(232, 輔助計算!$G$2:$G$801, 0)+1))), "")</f>
        <v/>
      </c>
      <c r="F233" s="10">
        <f>IFERROR(IF(INDEX(ERP資料!$E:$E, (MATCH(232, 輔助計算!$G$2:$G$801, 0)+1))="","",TRIM(INDEX(ERP資料!$E:$E, (MATCH(232, 輔助計算!$G$2:$G$801, 0)+1)))), "")</f>
        <v/>
      </c>
      <c r="G233" s="10">
        <f>IFERROR(IF(INDEX(ERP資料!$F:$F, (MATCH(232, 輔助計算!$G$2:$G$801, 0)+1))="","",INDEX(ERP資料!$F:$F, (MATCH(232, 輔助計算!$G$2:$G$801, 0)+1))), "")</f>
        <v/>
      </c>
      <c r="H233" s="10">
        <f>IFERROR(IF(INDEX(ERP資料!$G:$G, (MATCH(232, 輔助計算!$G$2:$G$801, 0)+1))="","",INDEX(ERP資料!$G:$G, (MATCH(232, 輔助計算!$G$2:$G$801, 0)+1))), "")</f>
        <v/>
      </c>
      <c r="I233" s="15">
        <f>IFERROR(INDEX(輔助計算!$D:$D, (MATCH(232, 輔助計算!$G$2:$G$801, 0)+1)), "")</f>
        <v/>
      </c>
      <c r="J233" s="15">
        <f>IFERROR(IF(AND(INDEX(輔助計算!$D:$D, (MATCH(232, 輔助計算!$G$2:$G$801, 0)+1))&lt;&gt;"", INDEX(ERP資料!$G:$G, (MATCH(232, 輔助計算!$G$2:$G$801, 0)+1))&lt;&gt;""), TRIM(IF(INT(INDEX(輔助計算!$D:$D, (MATCH(232, 輔助計算!$G$2:$G$801, 0)+1))/IF(INDEX(ERP資料!$G:$G, (MATCH(232, 輔助計算!$G$2:$G$801, 0)+1))&lt;100, IF(INDEX(ERP資料!$G:$G, (MATCH(232, 輔助計算!$G$2:$G$801, 0)+1))&lt;=31,3,IF(INDEX(ERP資料!$G:$G, (MATCH(232, 輔助計算!$G$2:$G$801, 0)+1))&lt;=46.5,2,1)), IF(INDEX(ERP資料!$G:$G, (MATCH(232, 輔助計算!$G$2:$G$801, 0)+1))&lt;=790,3,IF(INDEX(ERP資料!$G:$G, (MATCH(232, 輔助計算!$G$2:$G$801, 0)+1))&lt;=1181,2,1))))&gt;0, IF(IF(INDEX(ERP資料!$G:$G, (MATCH(232, 輔助計算!$G$2:$G$801, 0)+1))&lt;100, IF(INDEX(ERP資料!$G:$G, (MATCH(232, 輔助計算!$G$2:$G$801, 0)+1))&lt;=31,3,IF(INDEX(ERP資料!$G:$G, (MATCH(232, 輔助計算!$G$2:$G$801, 0)+1))&lt;=46.5,2,1)), IF(INDEX(ERP資料!$G:$G, (MATCH(232, 輔助計算!$G$2:$G$801, 0)+1))&lt;=790,3,IF(INDEX(ERP資料!$G:$G, (MATCH(232, 輔助計算!$G$2:$G$801, 0)+1))&lt;=1181,2,1)))=1,TEXT(INDEX(ERP資料!$G:$G, (MATCH(232, 輔助計算!$G$2:$G$801, 0)+1)),"0.##"),IF(IF(INDEX(ERP資料!$G:$G, (MATCH(232, 輔助計算!$G$2:$G$801, 0)+1))&lt;100, IF(INDEX(ERP資料!$G:$G, (MATCH(232, 輔助計算!$G$2:$G$801, 0)+1))&lt;=31,3,IF(INDEX(ERP資料!$G:$G, (MATCH(232, 輔助計算!$G$2:$G$801, 0)+1))&lt;=46.5,2,1)), IF(INDEX(ERP資料!$G:$G, (MATCH(232, 輔助計算!$G$2:$G$801, 0)+1))&lt;=790,3,IF(INDEX(ERP資料!$G:$G, (MATCH(232, 輔助計算!$G$2:$G$801, 0)+1))&lt;=1181,2,1)))=2,TEXT(INDEX(ERP資料!$G:$G, (MATCH(232, 輔助計算!$G$2:$G$801, 0)+1)),"0.##")&amp;"+"&amp;TEXT(INDEX(ERP資料!$G:$G, (MATCH(232, 輔助計算!$G$2:$G$801, 0)+1)),"0.##"),TEXT(INDEX(ERP資料!$G:$G, (MATCH(232, 輔助計算!$G$2:$G$801, 0)+1)),"0.##")&amp;"+"&amp;TEXT(INDEX(ERP資料!$G:$G, (MATCH(232, 輔助計算!$G$2:$G$801, 0)+1)),"0.##")&amp;"+"&amp;TEXT(INDEX(ERP資料!$G:$G, (MATCH(232, 輔助計算!$G$2:$G$801, 0)+1)),"0.##")))&amp;"-"&amp;INT(INDEX(輔助計算!$D:$D, (MATCH(232, 輔助計算!$G$2:$G$801, 0)+1))/IF(INDEX(ERP資料!$G:$G, (MATCH(232, 輔助計算!$G$2:$G$801, 0)+1))&lt;100, IF(INDEX(ERP資料!$G:$G, (MATCH(232, 輔助計算!$G$2:$G$801, 0)+1))&lt;=31,3,IF(INDEX(ERP資料!$G:$G, (MATCH(232, 輔助計算!$G$2:$G$801, 0)+1))&lt;=46.5,2,1)), IF(INDEX(ERP資料!$G:$G, (MATCH(232, 輔助計算!$G$2:$G$801, 0)+1))&lt;=790,3,IF(INDEX(ERP資料!$G:$G, (MATCH(232, 輔助計算!$G$2:$G$801, 0)+1))&lt;=1181,2,1)))), "")&amp;IF(AND(IF(INT(INDEX(輔助計算!$D:$D, (MATCH(232, 輔助計算!$G$2:$G$801, 0)+1))/IF(INDEX(ERP資料!$G:$G, (MATCH(232, 輔助計算!$G$2:$G$801, 0)+1))&lt;100, IF(INDEX(ERP資料!$G:$G, (MATCH(232, 輔助計算!$G$2:$G$801, 0)+1))&lt;=31,3,IF(INDEX(ERP資料!$G:$G, (MATCH(232, 輔助計算!$G$2:$G$801, 0)+1))&lt;=46.5,2,1)), IF(INDEX(ERP資料!$G:$G, (MATCH(232, 輔助計算!$G$2:$G$801, 0)+1))&lt;=790,3,IF(INDEX(ERP資料!$G:$G, (MATCH(232, 輔助計算!$G$2:$G$801, 0)+1))&lt;=1181,2,1))))&gt;0, IF(IF(INDEX(ERP資料!$G:$G, (MATCH(232, 輔助計算!$G$2:$G$801, 0)+1))&lt;100, IF(INDEX(ERP資料!$G:$G, (MATCH(232, 輔助計算!$G$2:$G$801, 0)+1))&lt;=31,3,IF(INDEX(ERP資料!$G:$G, (MATCH(232, 輔助計算!$G$2:$G$801, 0)+1))&lt;=46.5,2,1)), IF(INDEX(ERP資料!$G:$G, (MATCH(232, 輔助計算!$G$2:$G$801, 0)+1))&lt;=790,3,IF(INDEX(ERP資料!$G:$G, (MATCH(232, 輔助計算!$G$2:$G$801, 0)+1))&lt;=1181,2,1)))=1,TEXT(INDEX(ERP資料!$G:$G, (MATCH(232, 輔助計算!$G$2:$G$801, 0)+1)),"0.##"),IF(IF(INDEX(ERP資料!$G:$G, (MATCH(232, 輔助計算!$G$2:$G$801, 0)+1))&lt;100, IF(INDEX(ERP資料!$G:$G, (MATCH(232, 輔助計算!$G$2:$G$801, 0)+1))&lt;=31,3,IF(INDEX(ERP資料!$G:$G, (MATCH(232, 輔助計算!$G$2:$G$801, 0)+1))&lt;=46.5,2,1)), IF(INDEX(ERP資料!$G:$G, (MATCH(232, 輔助計算!$G$2:$G$801, 0)+1))&lt;=790,3,IF(INDEX(ERP資料!$G:$G, (MATCH(232, 輔助計算!$G$2:$G$801, 0)+1))&lt;=1181,2,1)))=2,TEXT(INDEX(ERP資料!$G:$G, (MATCH(232, 輔助計算!$G$2:$G$801, 0)+1)),"0.##")&amp;"+"&amp;TEXT(INDEX(ERP資料!$G:$G, (MATCH(232, 輔助計算!$G$2:$G$801, 0)+1)),"0.##"),TEXT(INDEX(ERP資料!$G:$G, (MATCH(232, 輔助計算!$G$2:$G$801, 0)+1)),"0.##")&amp;"+"&amp;TEXT(INDEX(ERP資料!$G:$G, (MATCH(232, 輔助計算!$G$2:$G$801, 0)+1)),"0.##")&amp;"+"&amp;TEXT(INDEX(ERP資料!$G:$G, (MATCH(232, 輔助計算!$G$2:$G$801, 0)+1)),"0.##")))&amp;"-"&amp;INT(INDEX(輔助計算!$D:$D, (MATCH(232, 輔助計算!$G$2:$G$801, 0)+1))/IF(INDEX(ERP資料!$G:$G, (MATCH(232, 輔助計算!$G$2:$G$801, 0)+1))&lt;100, IF(INDEX(ERP資料!$G:$G, (MATCH(232, 輔助計算!$G$2:$G$801, 0)+1))&lt;=31,3,IF(INDEX(ERP資料!$G:$G, (MATCH(232, 輔助計算!$G$2:$G$801, 0)+1))&lt;=46.5,2,1)), IF(INDEX(ERP資料!$G:$G, (MATCH(232, 輔助計算!$G$2:$G$801, 0)+1))&lt;=790,3,IF(INDEX(ERP資料!$G:$G, (MATCH(232, 輔助計算!$G$2:$G$801, 0)+1))&lt;=1181,2,1)))), "")&lt;&gt;"",IF(MOD(INDEX(輔助計算!$D:$D, (MATCH(232, 輔助計算!$G$2:$G$801, 0)+1)),IF(INDEX(ERP資料!$G:$G, (MATCH(232, 輔助計算!$G$2:$G$801, 0)+1))&lt;100, IF(INDEX(ERP資料!$G:$G, (MATCH(232, 輔助計算!$G$2:$G$801, 0)+1))&lt;=31,3,IF(INDEX(ERP資料!$G:$G, (MATCH(232, 輔助計算!$G$2:$G$801, 0)+1))&lt;=46.5,2,1)), IF(INDEX(ERP資料!$G:$G, (MATCH(232, 輔助計算!$G$2:$G$801, 0)+1))&lt;=790,3,IF(INDEX(ERP資料!$G:$G, (MATCH(232, 輔助計算!$G$2:$G$801, 0)+1))&lt;=1181,2,1))))=0,"",IF(MOD(INDEX(輔助計算!$D:$D, (MATCH(232, 輔助計算!$G$2:$G$801, 0)+1)),IF(INDEX(ERP資料!$G:$G, (MATCH(232, 輔助計算!$G$2:$G$801, 0)+1))&lt;100, IF(INDEX(ERP資料!$G:$G, (MATCH(232, 輔助計算!$G$2:$G$801, 0)+1))&lt;=31,3,IF(INDEX(ERP資料!$G:$G, (MATCH(232, 輔助計算!$G$2:$G$801, 0)+1))&lt;=46.5,2,1)), IF(INDEX(ERP資料!$G:$G, (MATCH(232, 輔助計算!$G$2:$G$801, 0)+1))&lt;=790,3,IF(INDEX(ERP資料!$G:$G, (MATCH(232, 輔助計算!$G$2:$G$801, 0)+1))&lt;=1181,2,1))))=0,"",IF(MOD(INDEX(輔助計算!$D:$D, (MATCH(232, 輔助計算!$G$2:$G$801, 0)+1)),IF(INDEX(ERP資料!$G:$G, (MATCH(232, 輔助計算!$G$2:$G$801, 0)+1))&lt;100, IF(INDEX(ERP資料!$G:$G, (MATCH(232, 輔助計算!$G$2:$G$801, 0)+1))&lt;=31,3,IF(INDEX(ERP資料!$G:$G, (MATCH(232, 輔助計算!$G$2:$G$801, 0)+1))&lt;=46.5,2,1)), IF(INDEX(ERP資料!$G:$G, (MATCH(232, 輔助計算!$G$2:$G$801, 0)+1))&lt;=790,3,IF(INDEX(ERP資料!$G:$G, (MATCH(232, 輔助計算!$G$2:$G$801, 0)+1))&lt;=1181,2,1))))=1,TEXT(INDEX(ERP資料!$G:$G, (MATCH(232, 輔助計算!$G$2:$G$801, 0)+1)),"0.##"),IF(MOD(INDEX(輔助計算!$D:$D, (MATCH(232, 輔助計算!$G$2:$G$801, 0)+1)),IF(INDEX(ERP資料!$G:$G, (MATCH(232, 輔助計算!$G$2:$G$801, 0)+1))&lt;100, IF(INDEX(ERP資料!$G:$G, (MATCH(232, 輔助計算!$G$2:$G$801, 0)+1))&lt;=31,3,IF(INDEX(ERP資料!$G:$G, (MATCH(232, 輔助計算!$G$2:$G$801, 0)+1))&lt;=46.5,2,1)), IF(INDEX(ERP資料!$G:$G, (MATCH(232, 輔助計算!$G$2:$G$801, 0)+1))&lt;=790,3,IF(INDEX(ERP資料!$G:$G, (MATCH(232, 輔助計算!$G$2:$G$801, 0)+1))&lt;=1181,2,1))))=2,TEXT(INDEX(ERP資料!$G:$G, (MATCH(232, 輔助計算!$G$2:$G$801, 0)+1)),"0.##")&amp;"+"&amp;TEXT(INDEX(ERP資料!$G:$G, (MATCH(232, 輔助計算!$G$2:$G$801, 0)+1)),"0.##"),TEXT(INDEX(ERP資料!$G:$G, (MATCH(232, 輔助計算!$G$2:$G$801, 0)+1)),"0.##")&amp;"+"&amp;TEXT(INDEX(ERP資料!$G:$G, (MATCH(232, 輔助計算!$G$2:$G$801, 0)+1)),"0.##")&amp;"+"&amp;TEXT(INDEX(ERP資料!$G:$G, (MATCH(232, 輔助計算!$G$2:$G$801, 0)+1)),"0.##"))))&amp;"-1")&lt;&gt;""),"  ","")&amp;IF(MOD(INDEX(輔助計算!$D:$D, (MATCH(232, 輔助計算!$G$2:$G$801, 0)+1)),IF(INDEX(ERP資料!$G:$G, (MATCH(232, 輔助計算!$G$2:$G$801, 0)+1))&lt;100, IF(INDEX(ERP資料!$G:$G, (MATCH(232, 輔助計算!$G$2:$G$801, 0)+1))&lt;=31,3,IF(INDEX(ERP資料!$G:$G, (MATCH(232, 輔助計算!$G$2:$G$801, 0)+1))&lt;=46.5,2,1)), IF(INDEX(ERP資料!$G:$G, (MATCH(232, 輔助計算!$G$2:$G$801, 0)+1))&lt;=790,3,IF(INDEX(ERP資料!$G:$G, (MATCH(232, 輔助計算!$G$2:$G$801, 0)+1))&lt;=1181,2,1))))=0,"",IF(MOD(INDEX(輔助計算!$D:$D, (MATCH(232, 輔助計算!$G$2:$G$801, 0)+1)),IF(INDEX(ERP資料!$G:$G, (MATCH(232, 輔助計算!$G$2:$G$801, 0)+1))&lt;100, IF(INDEX(ERP資料!$G:$G, (MATCH(232, 輔助計算!$G$2:$G$801, 0)+1))&lt;=31,3,IF(INDEX(ERP資料!$G:$G, (MATCH(232, 輔助計算!$G$2:$G$801, 0)+1))&lt;=46.5,2,1)), IF(INDEX(ERP資料!$G:$G, (MATCH(232, 輔助計算!$G$2:$G$801, 0)+1))&lt;=790,3,IF(INDEX(ERP資料!$G:$G, (MATCH(232, 輔助計算!$G$2:$G$801, 0)+1))&lt;=1181,2,1))))=0,"",IF(MOD(INDEX(輔助計算!$D:$D, (MATCH(232, 輔助計算!$G$2:$G$801, 0)+1)),IF(INDEX(ERP資料!$G:$G, (MATCH(232, 輔助計算!$G$2:$G$801, 0)+1))&lt;100, IF(INDEX(ERP資料!$G:$G, (MATCH(232, 輔助計算!$G$2:$G$801, 0)+1))&lt;=31,3,IF(INDEX(ERP資料!$G:$G, (MATCH(232, 輔助計算!$G$2:$G$801, 0)+1))&lt;=46.5,2,1)), IF(INDEX(ERP資料!$G:$G, (MATCH(232, 輔助計算!$G$2:$G$801, 0)+1))&lt;=790,3,IF(INDEX(ERP資料!$G:$G, (MATCH(232, 輔助計算!$G$2:$G$801, 0)+1))&lt;=1181,2,1))))=1,TEXT(INDEX(ERP資料!$G:$G, (MATCH(232, 輔助計算!$G$2:$G$801, 0)+1)),"0.##"),IF(MOD(INDEX(輔助計算!$D:$D, (MATCH(232, 輔助計算!$G$2:$G$801, 0)+1)),IF(INDEX(ERP資料!$G:$G, (MATCH(232, 輔助計算!$G$2:$G$801, 0)+1))&lt;100, IF(INDEX(ERP資料!$G:$G, (MATCH(232, 輔助計算!$G$2:$G$801, 0)+1))&lt;=31,3,IF(INDEX(ERP資料!$G:$G, (MATCH(232, 輔助計算!$G$2:$G$801, 0)+1))&lt;=46.5,2,1)), IF(INDEX(ERP資料!$G:$G, (MATCH(232, 輔助計算!$G$2:$G$801, 0)+1))&lt;=790,3,IF(INDEX(ERP資料!$G:$G, (MATCH(232, 輔助計算!$G$2:$G$801, 0)+1))&lt;=1181,2,1))))=2,TEXT(INDEX(ERP資料!$G:$G, (MATCH(232, 輔助計算!$G$2:$G$801, 0)+1)),"0.##")&amp;"+"&amp;TEXT(INDEX(ERP資料!$G:$G, (MATCH(232, 輔助計算!$G$2:$G$801, 0)+1)),"0.##"),TEXT(INDEX(ERP資料!$G:$G, (MATCH(232, 輔助計算!$G$2:$G$801, 0)+1)),"0.##")&amp;"+"&amp;TEXT(INDEX(ERP資料!$G:$G, (MATCH(232, 輔助計算!$G$2:$G$801, 0)+1)),"0.##")&amp;"+"&amp;TEXT(INDEX(ERP資料!$G:$G, (MATCH(232, 輔助計算!$G$2:$G$801, 0)+1)),"0.##"))))&amp;"-1")), ""), "")</f>
        <v/>
      </c>
      <c r="K233" s="16" t="n"/>
      <c r="L233" s="14">
        <f>IFERROR(IF(AND(IFERROR(INDEX(ERP資料!$A:$A, (MATCH(232, 輔助計算!$G$2:$G$801, 0)+1)), "")&lt;&gt;"", IFERROR(INDEX(ERP資料!$A:$A, (MATCH(232, 輔助計算!$G$2:$G$801, 0)+1)), "")&lt;&gt;IFERROR(INDEX(ERP資料!$A:$A, MATCH(231, 輔助計算!$G$2:$G$801, 0)+1), "")), INDEX(ERP資料!$B:$B, (MATCH(232, 輔助計算!$G$2:$G$801, 0)+1)), ""), "")</f>
        <v/>
      </c>
      <c r="M233" s="17" t="n"/>
    </row>
    <row r="234">
      <c r="A234" s="10">
        <f>IFERROR(IF(AND(IFERROR(INDEX(ERP資料!$A:$A, (MATCH(233, 輔助計算!$G$2:$G$801, 0)+1)), "")&lt;&gt;"", IFERROR(INDEX(ERP資料!$A:$A, (MATCH(233, 輔助計算!$G$2:$G$801, 0)+1)), "")&lt;&gt;IFERROR(INDEX(ERP資料!$A:$A, MATCH(232, 輔助計算!$G$2:$G$801, 0)+1), "")), IFERROR(INDEX(ERP資料!$A:$A, (MATCH(233, 輔助計算!$G$2:$G$801, 0)+1)), ""), ""), "")</f>
        <v/>
      </c>
      <c r="B234" s="10">
        <f>IFERROR(IF(AND(IFERROR(INDEX(ERP資料!$A:$A, (MATCH(233, 輔助計算!$G$2:$G$801, 0)+1)), "")&lt;&gt;"", IFERROR(INDEX(ERP資料!$A:$A, (MATCH(233, 輔助計算!$G$2:$G$801, 0)+1)), "")&lt;&gt;IFERROR(INDEX(ERP資料!$A:$A, MATCH(232, 輔助計算!$G$2:$G$801, 0)+1), "")), INDEX(ERP資料!$S:$S, (MATCH(233, 輔助計算!$G$2:$G$801, 0)+1)), ""), "")</f>
        <v/>
      </c>
      <c r="C234" s="19">
        <f>IFERROR(IF(AND(IFERROR(INDEX(ERP資料!$A:$A, (MATCH(233, 輔助計算!$G$2:$G$801, 0)+1)), "")&lt;&gt;"", IFERROR(INDEX(ERP資料!$A:$A, (MATCH(233, 輔助計算!$G$2:$G$801, 0)+1)), "")&lt;&gt;IFERROR(INDEX(ERP資料!$A:$A, MATCH(232, 輔助計算!$G$2:$G$801, 0)+1), "")), IFERROR(VLOOKUP(LEFT(INDEX(ERP資料!$S:$S, (MATCH(233, 輔助計算!$G$2:$G$801, 0)+1)), 4), 紙管對照表!$A:$C, 3, FALSE), ""), ""), "")</f>
        <v/>
      </c>
      <c r="D234" s="16" t="n"/>
      <c r="E234" s="10">
        <f>IFERROR(IF(INDEX(ERP資料!$H:$H, (MATCH(233, 輔助計算!$G$2:$G$801, 0)+1))="","",INDEX(ERP資料!$H:$H, (MATCH(233, 輔助計算!$G$2:$G$801, 0)+1))), "")</f>
        <v/>
      </c>
      <c r="F234" s="10">
        <f>IFERROR(IF(INDEX(ERP資料!$E:$E, (MATCH(233, 輔助計算!$G$2:$G$801, 0)+1))="","",TRIM(INDEX(ERP資料!$E:$E, (MATCH(233, 輔助計算!$G$2:$G$801, 0)+1)))), "")</f>
        <v/>
      </c>
      <c r="G234" s="10">
        <f>IFERROR(IF(INDEX(ERP資料!$F:$F, (MATCH(233, 輔助計算!$G$2:$G$801, 0)+1))="","",INDEX(ERP資料!$F:$F, (MATCH(233, 輔助計算!$G$2:$G$801, 0)+1))), "")</f>
        <v/>
      </c>
      <c r="H234" s="10">
        <f>IFERROR(IF(INDEX(ERP資料!$G:$G, (MATCH(233, 輔助計算!$G$2:$G$801, 0)+1))="","",INDEX(ERP資料!$G:$G, (MATCH(233, 輔助計算!$G$2:$G$801, 0)+1))), "")</f>
        <v/>
      </c>
      <c r="I234" s="15">
        <f>IFERROR(INDEX(輔助計算!$D:$D, (MATCH(233, 輔助計算!$G$2:$G$801, 0)+1)), "")</f>
        <v/>
      </c>
      <c r="J234" s="15">
        <f>IFERROR(IF(AND(INDEX(輔助計算!$D:$D, (MATCH(233, 輔助計算!$G$2:$G$801, 0)+1))&lt;&gt;"", INDEX(ERP資料!$G:$G, (MATCH(233, 輔助計算!$G$2:$G$801, 0)+1))&lt;&gt;""), TRIM(IF(INT(INDEX(輔助計算!$D:$D, (MATCH(233, 輔助計算!$G$2:$G$801, 0)+1))/IF(INDEX(ERP資料!$G:$G, (MATCH(233, 輔助計算!$G$2:$G$801, 0)+1))&lt;100, IF(INDEX(ERP資料!$G:$G, (MATCH(233, 輔助計算!$G$2:$G$801, 0)+1))&lt;=31,3,IF(INDEX(ERP資料!$G:$G, (MATCH(233, 輔助計算!$G$2:$G$801, 0)+1))&lt;=46.5,2,1)), IF(INDEX(ERP資料!$G:$G, (MATCH(233, 輔助計算!$G$2:$G$801, 0)+1))&lt;=790,3,IF(INDEX(ERP資料!$G:$G, (MATCH(233, 輔助計算!$G$2:$G$801, 0)+1))&lt;=1181,2,1))))&gt;0, IF(IF(INDEX(ERP資料!$G:$G, (MATCH(233, 輔助計算!$G$2:$G$801, 0)+1))&lt;100, IF(INDEX(ERP資料!$G:$G, (MATCH(233, 輔助計算!$G$2:$G$801, 0)+1))&lt;=31,3,IF(INDEX(ERP資料!$G:$G, (MATCH(233, 輔助計算!$G$2:$G$801, 0)+1))&lt;=46.5,2,1)), IF(INDEX(ERP資料!$G:$G, (MATCH(233, 輔助計算!$G$2:$G$801, 0)+1))&lt;=790,3,IF(INDEX(ERP資料!$G:$G, (MATCH(233, 輔助計算!$G$2:$G$801, 0)+1))&lt;=1181,2,1)))=1,TEXT(INDEX(ERP資料!$G:$G, (MATCH(233, 輔助計算!$G$2:$G$801, 0)+1)),"0.##"),IF(IF(INDEX(ERP資料!$G:$G, (MATCH(233, 輔助計算!$G$2:$G$801, 0)+1))&lt;100, IF(INDEX(ERP資料!$G:$G, (MATCH(233, 輔助計算!$G$2:$G$801, 0)+1))&lt;=31,3,IF(INDEX(ERP資料!$G:$G, (MATCH(233, 輔助計算!$G$2:$G$801, 0)+1))&lt;=46.5,2,1)), IF(INDEX(ERP資料!$G:$G, (MATCH(233, 輔助計算!$G$2:$G$801, 0)+1))&lt;=790,3,IF(INDEX(ERP資料!$G:$G, (MATCH(233, 輔助計算!$G$2:$G$801, 0)+1))&lt;=1181,2,1)))=2,TEXT(INDEX(ERP資料!$G:$G, (MATCH(233, 輔助計算!$G$2:$G$801, 0)+1)),"0.##")&amp;"+"&amp;TEXT(INDEX(ERP資料!$G:$G, (MATCH(233, 輔助計算!$G$2:$G$801, 0)+1)),"0.##"),TEXT(INDEX(ERP資料!$G:$G, (MATCH(233, 輔助計算!$G$2:$G$801, 0)+1)),"0.##")&amp;"+"&amp;TEXT(INDEX(ERP資料!$G:$G, (MATCH(233, 輔助計算!$G$2:$G$801, 0)+1)),"0.##")&amp;"+"&amp;TEXT(INDEX(ERP資料!$G:$G, (MATCH(233, 輔助計算!$G$2:$G$801, 0)+1)),"0.##")))&amp;"-"&amp;INT(INDEX(輔助計算!$D:$D, (MATCH(233, 輔助計算!$G$2:$G$801, 0)+1))/IF(INDEX(ERP資料!$G:$G, (MATCH(233, 輔助計算!$G$2:$G$801, 0)+1))&lt;100, IF(INDEX(ERP資料!$G:$G, (MATCH(233, 輔助計算!$G$2:$G$801, 0)+1))&lt;=31,3,IF(INDEX(ERP資料!$G:$G, (MATCH(233, 輔助計算!$G$2:$G$801, 0)+1))&lt;=46.5,2,1)), IF(INDEX(ERP資料!$G:$G, (MATCH(233, 輔助計算!$G$2:$G$801, 0)+1))&lt;=790,3,IF(INDEX(ERP資料!$G:$G, (MATCH(233, 輔助計算!$G$2:$G$801, 0)+1))&lt;=1181,2,1)))), "")&amp;IF(AND(IF(INT(INDEX(輔助計算!$D:$D, (MATCH(233, 輔助計算!$G$2:$G$801, 0)+1))/IF(INDEX(ERP資料!$G:$G, (MATCH(233, 輔助計算!$G$2:$G$801, 0)+1))&lt;100, IF(INDEX(ERP資料!$G:$G, (MATCH(233, 輔助計算!$G$2:$G$801, 0)+1))&lt;=31,3,IF(INDEX(ERP資料!$G:$G, (MATCH(233, 輔助計算!$G$2:$G$801, 0)+1))&lt;=46.5,2,1)), IF(INDEX(ERP資料!$G:$G, (MATCH(233, 輔助計算!$G$2:$G$801, 0)+1))&lt;=790,3,IF(INDEX(ERP資料!$G:$G, (MATCH(233, 輔助計算!$G$2:$G$801, 0)+1))&lt;=1181,2,1))))&gt;0, IF(IF(INDEX(ERP資料!$G:$G, (MATCH(233, 輔助計算!$G$2:$G$801, 0)+1))&lt;100, IF(INDEX(ERP資料!$G:$G, (MATCH(233, 輔助計算!$G$2:$G$801, 0)+1))&lt;=31,3,IF(INDEX(ERP資料!$G:$G, (MATCH(233, 輔助計算!$G$2:$G$801, 0)+1))&lt;=46.5,2,1)), IF(INDEX(ERP資料!$G:$G, (MATCH(233, 輔助計算!$G$2:$G$801, 0)+1))&lt;=790,3,IF(INDEX(ERP資料!$G:$G, (MATCH(233, 輔助計算!$G$2:$G$801, 0)+1))&lt;=1181,2,1)))=1,TEXT(INDEX(ERP資料!$G:$G, (MATCH(233, 輔助計算!$G$2:$G$801, 0)+1)),"0.##"),IF(IF(INDEX(ERP資料!$G:$G, (MATCH(233, 輔助計算!$G$2:$G$801, 0)+1))&lt;100, IF(INDEX(ERP資料!$G:$G, (MATCH(233, 輔助計算!$G$2:$G$801, 0)+1))&lt;=31,3,IF(INDEX(ERP資料!$G:$G, (MATCH(233, 輔助計算!$G$2:$G$801, 0)+1))&lt;=46.5,2,1)), IF(INDEX(ERP資料!$G:$G, (MATCH(233, 輔助計算!$G$2:$G$801, 0)+1))&lt;=790,3,IF(INDEX(ERP資料!$G:$G, (MATCH(233, 輔助計算!$G$2:$G$801, 0)+1))&lt;=1181,2,1)))=2,TEXT(INDEX(ERP資料!$G:$G, (MATCH(233, 輔助計算!$G$2:$G$801, 0)+1)),"0.##")&amp;"+"&amp;TEXT(INDEX(ERP資料!$G:$G, (MATCH(233, 輔助計算!$G$2:$G$801, 0)+1)),"0.##"),TEXT(INDEX(ERP資料!$G:$G, (MATCH(233, 輔助計算!$G$2:$G$801, 0)+1)),"0.##")&amp;"+"&amp;TEXT(INDEX(ERP資料!$G:$G, (MATCH(233, 輔助計算!$G$2:$G$801, 0)+1)),"0.##")&amp;"+"&amp;TEXT(INDEX(ERP資料!$G:$G, (MATCH(233, 輔助計算!$G$2:$G$801, 0)+1)),"0.##")))&amp;"-"&amp;INT(INDEX(輔助計算!$D:$D, (MATCH(233, 輔助計算!$G$2:$G$801, 0)+1))/IF(INDEX(ERP資料!$G:$G, (MATCH(233, 輔助計算!$G$2:$G$801, 0)+1))&lt;100, IF(INDEX(ERP資料!$G:$G, (MATCH(233, 輔助計算!$G$2:$G$801, 0)+1))&lt;=31,3,IF(INDEX(ERP資料!$G:$G, (MATCH(233, 輔助計算!$G$2:$G$801, 0)+1))&lt;=46.5,2,1)), IF(INDEX(ERP資料!$G:$G, (MATCH(233, 輔助計算!$G$2:$G$801, 0)+1))&lt;=790,3,IF(INDEX(ERP資料!$G:$G, (MATCH(233, 輔助計算!$G$2:$G$801, 0)+1))&lt;=1181,2,1)))), "")&lt;&gt;"",IF(MOD(INDEX(輔助計算!$D:$D, (MATCH(233, 輔助計算!$G$2:$G$801, 0)+1)),IF(INDEX(ERP資料!$G:$G, (MATCH(233, 輔助計算!$G$2:$G$801, 0)+1))&lt;100, IF(INDEX(ERP資料!$G:$G, (MATCH(233, 輔助計算!$G$2:$G$801, 0)+1))&lt;=31,3,IF(INDEX(ERP資料!$G:$G, (MATCH(233, 輔助計算!$G$2:$G$801, 0)+1))&lt;=46.5,2,1)), IF(INDEX(ERP資料!$G:$G, (MATCH(233, 輔助計算!$G$2:$G$801, 0)+1))&lt;=790,3,IF(INDEX(ERP資料!$G:$G, (MATCH(233, 輔助計算!$G$2:$G$801, 0)+1))&lt;=1181,2,1))))=0,"",IF(MOD(INDEX(輔助計算!$D:$D, (MATCH(233, 輔助計算!$G$2:$G$801, 0)+1)),IF(INDEX(ERP資料!$G:$G, (MATCH(233, 輔助計算!$G$2:$G$801, 0)+1))&lt;100, IF(INDEX(ERP資料!$G:$G, (MATCH(233, 輔助計算!$G$2:$G$801, 0)+1))&lt;=31,3,IF(INDEX(ERP資料!$G:$G, (MATCH(233, 輔助計算!$G$2:$G$801, 0)+1))&lt;=46.5,2,1)), IF(INDEX(ERP資料!$G:$G, (MATCH(233, 輔助計算!$G$2:$G$801, 0)+1))&lt;=790,3,IF(INDEX(ERP資料!$G:$G, (MATCH(233, 輔助計算!$G$2:$G$801, 0)+1))&lt;=1181,2,1))))=0,"",IF(MOD(INDEX(輔助計算!$D:$D, (MATCH(233, 輔助計算!$G$2:$G$801, 0)+1)),IF(INDEX(ERP資料!$G:$G, (MATCH(233, 輔助計算!$G$2:$G$801, 0)+1))&lt;100, IF(INDEX(ERP資料!$G:$G, (MATCH(233, 輔助計算!$G$2:$G$801, 0)+1))&lt;=31,3,IF(INDEX(ERP資料!$G:$G, (MATCH(233, 輔助計算!$G$2:$G$801, 0)+1))&lt;=46.5,2,1)), IF(INDEX(ERP資料!$G:$G, (MATCH(233, 輔助計算!$G$2:$G$801, 0)+1))&lt;=790,3,IF(INDEX(ERP資料!$G:$G, (MATCH(233, 輔助計算!$G$2:$G$801, 0)+1))&lt;=1181,2,1))))=1,TEXT(INDEX(ERP資料!$G:$G, (MATCH(233, 輔助計算!$G$2:$G$801, 0)+1)),"0.##"),IF(MOD(INDEX(輔助計算!$D:$D, (MATCH(233, 輔助計算!$G$2:$G$801, 0)+1)),IF(INDEX(ERP資料!$G:$G, (MATCH(233, 輔助計算!$G$2:$G$801, 0)+1))&lt;100, IF(INDEX(ERP資料!$G:$G, (MATCH(233, 輔助計算!$G$2:$G$801, 0)+1))&lt;=31,3,IF(INDEX(ERP資料!$G:$G, (MATCH(233, 輔助計算!$G$2:$G$801, 0)+1))&lt;=46.5,2,1)), IF(INDEX(ERP資料!$G:$G, (MATCH(233, 輔助計算!$G$2:$G$801, 0)+1))&lt;=790,3,IF(INDEX(ERP資料!$G:$G, (MATCH(233, 輔助計算!$G$2:$G$801, 0)+1))&lt;=1181,2,1))))=2,TEXT(INDEX(ERP資料!$G:$G, (MATCH(233, 輔助計算!$G$2:$G$801, 0)+1)),"0.##")&amp;"+"&amp;TEXT(INDEX(ERP資料!$G:$G, (MATCH(233, 輔助計算!$G$2:$G$801, 0)+1)),"0.##"),TEXT(INDEX(ERP資料!$G:$G, (MATCH(233, 輔助計算!$G$2:$G$801, 0)+1)),"0.##")&amp;"+"&amp;TEXT(INDEX(ERP資料!$G:$G, (MATCH(233, 輔助計算!$G$2:$G$801, 0)+1)),"0.##")&amp;"+"&amp;TEXT(INDEX(ERP資料!$G:$G, (MATCH(233, 輔助計算!$G$2:$G$801, 0)+1)),"0.##"))))&amp;"-1")&lt;&gt;""),"  ","")&amp;IF(MOD(INDEX(輔助計算!$D:$D, (MATCH(233, 輔助計算!$G$2:$G$801, 0)+1)),IF(INDEX(ERP資料!$G:$G, (MATCH(233, 輔助計算!$G$2:$G$801, 0)+1))&lt;100, IF(INDEX(ERP資料!$G:$G, (MATCH(233, 輔助計算!$G$2:$G$801, 0)+1))&lt;=31,3,IF(INDEX(ERP資料!$G:$G, (MATCH(233, 輔助計算!$G$2:$G$801, 0)+1))&lt;=46.5,2,1)), IF(INDEX(ERP資料!$G:$G, (MATCH(233, 輔助計算!$G$2:$G$801, 0)+1))&lt;=790,3,IF(INDEX(ERP資料!$G:$G, (MATCH(233, 輔助計算!$G$2:$G$801, 0)+1))&lt;=1181,2,1))))=0,"",IF(MOD(INDEX(輔助計算!$D:$D, (MATCH(233, 輔助計算!$G$2:$G$801, 0)+1)),IF(INDEX(ERP資料!$G:$G, (MATCH(233, 輔助計算!$G$2:$G$801, 0)+1))&lt;100, IF(INDEX(ERP資料!$G:$G, (MATCH(233, 輔助計算!$G$2:$G$801, 0)+1))&lt;=31,3,IF(INDEX(ERP資料!$G:$G, (MATCH(233, 輔助計算!$G$2:$G$801, 0)+1))&lt;=46.5,2,1)), IF(INDEX(ERP資料!$G:$G, (MATCH(233, 輔助計算!$G$2:$G$801, 0)+1))&lt;=790,3,IF(INDEX(ERP資料!$G:$G, (MATCH(233, 輔助計算!$G$2:$G$801, 0)+1))&lt;=1181,2,1))))=0,"",IF(MOD(INDEX(輔助計算!$D:$D, (MATCH(233, 輔助計算!$G$2:$G$801, 0)+1)),IF(INDEX(ERP資料!$G:$G, (MATCH(233, 輔助計算!$G$2:$G$801, 0)+1))&lt;100, IF(INDEX(ERP資料!$G:$G, (MATCH(233, 輔助計算!$G$2:$G$801, 0)+1))&lt;=31,3,IF(INDEX(ERP資料!$G:$G, (MATCH(233, 輔助計算!$G$2:$G$801, 0)+1))&lt;=46.5,2,1)), IF(INDEX(ERP資料!$G:$G, (MATCH(233, 輔助計算!$G$2:$G$801, 0)+1))&lt;=790,3,IF(INDEX(ERP資料!$G:$G, (MATCH(233, 輔助計算!$G$2:$G$801, 0)+1))&lt;=1181,2,1))))=1,TEXT(INDEX(ERP資料!$G:$G, (MATCH(233, 輔助計算!$G$2:$G$801, 0)+1)),"0.##"),IF(MOD(INDEX(輔助計算!$D:$D, (MATCH(233, 輔助計算!$G$2:$G$801, 0)+1)),IF(INDEX(ERP資料!$G:$G, (MATCH(233, 輔助計算!$G$2:$G$801, 0)+1))&lt;100, IF(INDEX(ERP資料!$G:$G, (MATCH(233, 輔助計算!$G$2:$G$801, 0)+1))&lt;=31,3,IF(INDEX(ERP資料!$G:$G, (MATCH(233, 輔助計算!$G$2:$G$801, 0)+1))&lt;=46.5,2,1)), IF(INDEX(ERP資料!$G:$G, (MATCH(233, 輔助計算!$G$2:$G$801, 0)+1))&lt;=790,3,IF(INDEX(ERP資料!$G:$G, (MATCH(233, 輔助計算!$G$2:$G$801, 0)+1))&lt;=1181,2,1))))=2,TEXT(INDEX(ERP資料!$G:$G, (MATCH(233, 輔助計算!$G$2:$G$801, 0)+1)),"0.##")&amp;"+"&amp;TEXT(INDEX(ERP資料!$G:$G, (MATCH(233, 輔助計算!$G$2:$G$801, 0)+1)),"0.##"),TEXT(INDEX(ERP資料!$G:$G, (MATCH(233, 輔助計算!$G$2:$G$801, 0)+1)),"0.##")&amp;"+"&amp;TEXT(INDEX(ERP資料!$G:$G, (MATCH(233, 輔助計算!$G$2:$G$801, 0)+1)),"0.##")&amp;"+"&amp;TEXT(INDEX(ERP資料!$G:$G, (MATCH(233, 輔助計算!$G$2:$G$801, 0)+1)),"0.##"))))&amp;"-1")), ""), "")</f>
        <v/>
      </c>
      <c r="K234" s="16" t="n"/>
      <c r="L234" s="14">
        <f>IFERROR(IF(AND(IFERROR(INDEX(ERP資料!$A:$A, (MATCH(233, 輔助計算!$G$2:$G$801, 0)+1)), "")&lt;&gt;"", IFERROR(INDEX(ERP資料!$A:$A, (MATCH(233, 輔助計算!$G$2:$G$801, 0)+1)), "")&lt;&gt;IFERROR(INDEX(ERP資料!$A:$A, MATCH(232, 輔助計算!$G$2:$G$801, 0)+1), "")), INDEX(ERP資料!$B:$B, (MATCH(233, 輔助計算!$G$2:$G$801, 0)+1)), ""), "")</f>
        <v/>
      </c>
      <c r="M234" s="17" t="n"/>
    </row>
    <row r="235">
      <c r="A235" s="10">
        <f>IFERROR(IF(AND(IFERROR(INDEX(ERP資料!$A:$A, (MATCH(234, 輔助計算!$G$2:$G$801, 0)+1)), "")&lt;&gt;"", IFERROR(INDEX(ERP資料!$A:$A, (MATCH(234, 輔助計算!$G$2:$G$801, 0)+1)), "")&lt;&gt;IFERROR(INDEX(ERP資料!$A:$A, MATCH(233, 輔助計算!$G$2:$G$801, 0)+1), "")), IFERROR(INDEX(ERP資料!$A:$A, (MATCH(234, 輔助計算!$G$2:$G$801, 0)+1)), ""), ""), "")</f>
        <v/>
      </c>
      <c r="B235" s="10">
        <f>IFERROR(IF(AND(IFERROR(INDEX(ERP資料!$A:$A, (MATCH(234, 輔助計算!$G$2:$G$801, 0)+1)), "")&lt;&gt;"", IFERROR(INDEX(ERP資料!$A:$A, (MATCH(234, 輔助計算!$G$2:$G$801, 0)+1)), "")&lt;&gt;IFERROR(INDEX(ERP資料!$A:$A, MATCH(233, 輔助計算!$G$2:$G$801, 0)+1), "")), INDEX(ERP資料!$S:$S, (MATCH(234, 輔助計算!$G$2:$G$801, 0)+1)), ""), "")</f>
        <v/>
      </c>
      <c r="C235" s="19">
        <f>IFERROR(IF(AND(IFERROR(INDEX(ERP資料!$A:$A, (MATCH(234, 輔助計算!$G$2:$G$801, 0)+1)), "")&lt;&gt;"", IFERROR(INDEX(ERP資料!$A:$A, (MATCH(234, 輔助計算!$G$2:$G$801, 0)+1)), "")&lt;&gt;IFERROR(INDEX(ERP資料!$A:$A, MATCH(233, 輔助計算!$G$2:$G$801, 0)+1), "")), IFERROR(VLOOKUP(LEFT(INDEX(ERP資料!$S:$S, (MATCH(234, 輔助計算!$G$2:$G$801, 0)+1)), 4), 紙管對照表!$A:$C, 3, FALSE), ""), ""), "")</f>
        <v/>
      </c>
      <c r="D235" s="16" t="n"/>
      <c r="E235" s="10">
        <f>IFERROR(IF(INDEX(ERP資料!$H:$H, (MATCH(234, 輔助計算!$G$2:$G$801, 0)+1))="","",INDEX(ERP資料!$H:$H, (MATCH(234, 輔助計算!$G$2:$G$801, 0)+1))), "")</f>
        <v/>
      </c>
      <c r="F235" s="10">
        <f>IFERROR(IF(INDEX(ERP資料!$E:$E, (MATCH(234, 輔助計算!$G$2:$G$801, 0)+1))="","",TRIM(INDEX(ERP資料!$E:$E, (MATCH(234, 輔助計算!$G$2:$G$801, 0)+1)))), "")</f>
        <v/>
      </c>
      <c r="G235" s="10">
        <f>IFERROR(IF(INDEX(ERP資料!$F:$F, (MATCH(234, 輔助計算!$G$2:$G$801, 0)+1))="","",INDEX(ERP資料!$F:$F, (MATCH(234, 輔助計算!$G$2:$G$801, 0)+1))), "")</f>
        <v/>
      </c>
      <c r="H235" s="10">
        <f>IFERROR(IF(INDEX(ERP資料!$G:$G, (MATCH(234, 輔助計算!$G$2:$G$801, 0)+1))="","",INDEX(ERP資料!$G:$G, (MATCH(234, 輔助計算!$G$2:$G$801, 0)+1))), "")</f>
        <v/>
      </c>
      <c r="I235" s="15">
        <f>IFERROR(INDEX(輔助計算!$D:$D, (MATCH(234, 輔助計算!$G$2:$G$801, 0)+1)), "")</f>
        <v/>
      </c>
      <c r="J235" s="15">
        <f>IFERROR(IF(AND(INDEX(輔助計算!$D:$D, (MATCH(234, 輔助計算!$G$2:$G$801, 0)+1))&lt;&gt;"", INDEX(ERP資料!$G:$G, (MATCH(234, 輔助計算!$G$2:$G$801, 0)+1))&lt;&gt;""), TRIM(IF(INT(INDEX(輔助計算!$D:$D, (MATCH(234, 輔助計算!$G$2:$G$801, 0)+1))/IF(INDEX(ERP資料!$G:$G, (MATCH(234, 輔助計算!$G$2:$G$801, 0)+1))&lt;100, IF(INDEX(ERP資料!$G:$G, (MATCH(234, 輔助計算!$G$2:$G$801, 0)+1))&lt;=31,3,IF(INDEX(ERP資料!$G:$G, (MATCH(234, 輔助計算!$G$2:$G$801, 0)+1))&lt;=46.5,2,1)), IF(INDEX(ERP資料!$G:$G, (MATCH(234, 輔助計算!$G$2:$G$801, 0)+1))&lt;=790,3,IF(INDEX(ERP資料!$G:$G, (MATCH(234, 輔助計算!$G$2:$G$801, 0)+1))&lt;=1181,2,1))))&gt;0, IF(IF(INDEX(ERP資料!$G:$G, (MATCH(234, 輔助計算!$G$2:$G$801, 0)+1))&lt;100, IF(INDEX(ERP資料!$G:$G, (MATCH(234, 輔助計算!$G$2:$G$801, 0)+1))&lt;=31,3,IF(INDEX(ERP資料!$G:$G, (MATCH(234, 輔助計算!$G$2:$G$801, 0)+1))&lt;=46.5,2,1)), IF(INDEX(ERP資料!$G:$G, (MATCH(234, 輔助計算!$G$2:$G$801, 0)+1))&lt;=790,3,IF(INDEX(ERP資料!$G:$G, (MATCH(234, 輔助計算!$G$2:$G$801, 0)+1))&lt;=1181,2,1)))=1,TEXT(INDEX(ERP資料!$G:$G, (MATCH(234, 輔助計算!$G$2:$G$801, 0)+1)),"0.##"),IF(IF(INDEX(ERP資料!$G:$G, (MATCH(234, 輔助計算!$G$2:$G$801, 0)+1))&lt;100, IF(INDEX(ERP資料!$G:$G, (MATCH(234, 輔助計算!$G$2:$G$801, 0)+1))&lt;=31,3,IF(INDEX(ERP資料!$G:$G, (MATCH(234, 輔助計算!$G$2:$G$801, 0)+1))&lt;=46.5,2,1)), IF(INDEX(ERP資料!$G:$G, (MATCH(234, 輔助計算!$G$2:$G$801, 0)+1))&lt;=790,3,IF(INDEX(ERP資料!$G:$G, (MATCH(234, 輔助計算!$G$2:$G$801, 0)+1))&lt;=1181,2,1)))=2,TEXT(INDEX(ERP資料!$G:$G, (MATCH(234, 輔助計算!$G$2:$G$801, 0)+1)),"0.##")&amp;"+"&amp;TEXT(INDEX(ERP資料!$G:$G, (MATCH(234, 輔助計算!$G$2:$G$801, 0)+1)),"0.##"),TEXT(INDEX(ERP資料!$G:$G, (MATCH(234, 輔助計算!$G$2:$G$801, 0)+1)),"0.##")&amp;"+"&amp;TEXT(INDEX(ERP資料!$G:$G, (MATCH(234, 輔助計算!$G$2:$G$801, 0)+1)),"0.##")&amp;"+"&amp;TEXT(INDEX(ERP資料!$G:$G, (MATCH(234, 輔助計算!$G$2:$G$801, 0)+1)),"0.##")))&amp;"-"&amp;INT(INDEX(輔助計算!$D:$D, (MATCH(234, 輔助計算!$G$2:$G$801, 0)+1))/IF(INDEX(ERP資料!$G:$G, (MATCH(234, 輔助計算!$G$2:$G$801, 0)+1))&lt;100, IF(INDEX(ERP資料!$G:$G, (MATCH(234, 輔助計算!$G$2:$G$801, 0)+1))&lt;=31,3,IF(INDEX(ERP資料!$G:$G, (MATCH(234, 輔助計算!$G$2:$G$801, 0)+1))&lt;=46.5,2,1)), IF(INDEX(ERP資料!$G:$G, (MATCH(234, 輔助計算!$G$2:$G$801, 0)+1))&lt;=790,3,IF(INDEX(ERP資料!$G:$G, (MATCH(234, 輔助計算!$G$2:$G$801, 0)+1))&lt;=1181,2,1)))), "")&amp;IF(AND(IF(INT(INDEX(輔助計算!$D:$D, (MATCH(234, 輔助計算!$G$2:$G$801, 0)+1))/IF(INDEX(ERP資料!$G:$G, (MATCH(234, 輔助計算!$G$2:$G$801, 0)+1))&lt;100, IF(INDEX(ERP資料!$G:$G, (MATCH(234, 輔助計算!$G$2:$G$801, 0)+1))&lt;=31,3,IF(INDEX(ERP資料!$G:$G, (MATCH(234, 輔助計算!$G$2:$G$801, 0)+1))&lt;=46.5,2,1)), IF(INDEX(ERP資料!$G:$G, (MATCH(234, 輔助計算!$G$2:$G$801, 0)+1))&lt;=790,3,IF(INDEX(ERP資料!$G:$G, (MATCH(234, 輔助計算!$G$2:$G$801, 0)+1))&lt;=1181,2,1))))&gt;0, IF(IF(INDEX(ERP資料!$G:$G, (MATCH(234, 輔助計算!$G$2:$G$801, 0)+1))&lt;100, IF(INDEX(ERP資料!$G:$G, (MATCH(234, 輔助計算!$G$2:$G$801, 0)+1))&lt;=31,3,IF(INDEX(ERP資料!$G:$G, (MATCH(234, 輔助計算!$G$2:$G$801, 0)+1))&lt;=46.5,2,1)), IF(INDEX(ERP資料!$G:$G, (MATCH(234, 輔助計算!$G$2:$G$801, 0)+1))&lt;=790,3,IF(INDEX(ERP資料!$G:$G, (MATCH(234, 輔助計算!$G$2:$G$801, 0)+1))&lt;=1181,2,1)))=1,TEXT(INDEX(ERP資料!$G:$G, (MATCH(234, 輔助計算!$G$2:$G$801, 0)+1)),"0.##"),IF(IF(INDEX(ERP資料!$G:$G, (MATCH(234, 輔助計算!$G$2:$G$801, 0)+1))&lt;100, IF(INDEX(ERP資料!$G:$G, (MATCH(234, 輔助計算!$G$2:$G$801, 0)+1))&lt;=31,3,IF(INDEX(ERP資料!$G:$G, (MATCH(234, 輔助計算!$G$2:$G$801, 0)+1))&lt;=46.5,2,1)), IF(INDEX(ERP資料!$G:$G, (MATCH(234, 輔助計算!$G$2:$G$801, 0)+1))&lt;=790,3,IF(INDEX(ERP資料!$G:$G, (MATCH(234, 輔助計算!$G$2:$G$801, 0)+1))&lt;=1181,2,1)))=2,TEXT(INDEX(ERP資料!$G:$G, (MATCH(234, 輔助計算!$G$2:$G$801, 0)+1)),"0.##")&amp;"+"&amp;TEXT(INDEX(ERP資料!$G:$G, (MATCH(234, 輔助計算!$G$2:$G$801, 0)+1)),"0.##"),TEXT(INDEX(ERP資料!$G:$G, (MATCH(234, 輔助計算!$G$2:$G$801, 0)+1)),"0.##")&amp;"+"&amp;TEXT(INDEX(ERP資料!$G:$G, (MATCH(234, 輔助計算!$G$2:$G$801, 0)+1)),"0.##")&amp;"+"&amp;TEXT(INDEX(ERP資料!$G:$G, (MATCH(234, 輔助計算!$G$2:$G$801, 0)+1)),"0.##")))&amp;"-"&amp;INT(INDEX(輔助計算!$D:$D, (MATCH(234, 輔助計算!$G$2:$G$801, 0)+1))/IF(INDEX(ERP資料!$G:$G, (MATCH(234, 輔助計算!$G$2:$G$801, 0)+1))&lt;100, IF(INDEX(ERP資料!$G:$G, (MATCH(234, 輔助計算!$G$2:$G$801, 0)+1))&lt;=31,3,IF(INDEX(ERP資料!$G:$G, (MATCH(234, 輔助計算!$G$2:$G$801, 0)+1))&lt;=46.5,2,1)), IF(INDEX(ERP資料!$G:$G, (MATCH(234, 輔助計算!$G$2:$G$801, 0)+1))&lt;=790,3,IF(INDEX(ERP資料!$G:$G, (MATCH(234, 輔助計算!$G$2:$G$801, 0)+1))&lt;=1181,2,1)))), "")&lt;&gt;"",IF(MOD(INDEX(輔助計算!$D:$D, (MATCH(234, 輔助計算!$G$2:$G$801, 0)+1)),IF(INDEX(ERP資料!$G:$G, (MATCH(234, 輔助計算!$G$2:$G$801, 0)+1))&lt;100, IF(INDEX(ERP資料!$G:$G, (MATCH(234, 輔助計算!$G$2:$G$801, 0)+1))&lt;=31,3,IF(INDEX(ERP資料!$G:$G, (MATCH(234, 輔助計算!$G$2:$G$801, 0)+1))&lt;=46.5,2,1)), IF(INDEX(ERP資料!$G:$G, (MATCH(234, 輔助計算!$G$2:$G$801, 0)+1))&lt;=790,3,IF(INDEX(ERP資料!$G:$G, (MATCH(234, 輔助計算!$G$2:$G$801, 0)+1))&lt;=1181,2,1))))=0,"",IF(MOD(INDEX(輔助計算!$D:$D, (MATCH(234, 輔助計算!$G$2:$G$801, 0)+1)),IF(INDEX(ERP資料!$G:$G, (MATCH(234, 輔助計算!$G$2:$G$801, 0)+1))&lt;100, IF(INDEX(ERP資料!$G:$G, (MATCH(234, 輔助計算!$G$2:$G$801, 0)+1))&lt;=31,3,IF(INDEX(ERP資料!$G:$G, (MATCH(234, 輔助計算!$G$2:$G$801, 0)+1))&lt;=46.5,2,1)), IF(INDEX(ERP資料!$G:$G, (MATCH(234, 輔助計算!$G$2:$G$801, 0)+1))&lt;=790,3,IF(INDEX(ERP資料!$G:$G, (MATCH(234, 輔助計算!$G$2:$G$801, 0)+1))&lt;=1181,2,1))))=0,"",IF(MOD(INDEX(輔助計算!$D:$D, (MATCH(234, 輔助計算!$G$2:$G$801, 0)+1)),IF(INDEX(ERP資料!$G:$G, (MATCH(234, 輔助計算!$G$2:$G$801, 0)+1))&lt;100, IF(INDEX(ERP資料!$G:$G, (MATCH(234, 輔助計算!$G$2:$G$801, 0)+1))&lt;=31,3,IF(INDEX(ERP資料!$G:$G, (MATCH(234, 輔助計算!$G$2:$G$801, 0)+1))&lt;=46.5,2,1)), IF(INDEX(ERP資料!$G:$G, (MATCH(234, 輔助計算!$G$2:$G$801, 0)+1))&lt;=790,3,IF(INDEX(ERP資料!$G:$G, (MATCH(234, 輔助計算!$G$2:$G$801, 0)+1))&lt;=1181,2,1))))=1,TEXT(INDEX(ERP資料!$G:$G, (MATCH(234, 輔助計算!$G$2:$G$801, 0)+1)),"0.##"),IF(MOD(INDEX(輔助計算!$D:$D, (MATCH(234, 輔助計算!$G$2:$G$801, 0)+1)),IF(INDEX(ERP資料!$G:$G, (MATCH(234, 輔助計算!$G$2:$G$801, 0)+1))&lt;100, IF(INDEX(ERP資料!$G:$G, (MATCH(234, 輔助計算!$G$2:$G$801, 0)+1))&lt;=31,3,IF(INDEX(ERP資料!$G:$G, (MATCH(234, 輔助計算!$G$2:$G$801, 0)+1))&lt;=46.5,2,1)), IF(INDEX(ERP資料!$G:$G, (MATCH(234, 輔助計算!$G$2:$G$801, 0)+1))&lt;=790,3,IF(INDEX(ERP資料!$G:$G, (MATCH(234, 輔助計算!$G$2:$G$801, 0)+1))&lt;=1181,2,1))))=2,TEXT(INDEX(ERP資料!$G:$G, (MATCH(234, 輔助計算!$G$2:$G$801, 0)+1)),"0.##")&amp;"+"&amp;TEXT(INDEX(ERP資料!$G:$G, (MATCH(234, 輔助計算!$G$2:$G$801, 0)+1)),"0.##"),TEXT(INDEX(ERP資料!$G:$G, (MATCH(234, 輔助計算!$G$2:$G$801, 0)+1)),"0.##")&amp;"+"&amp;TEXT(INDEX(ERP資料!$G:$G, (MATCH(234, 輔助計算!$G$2:$G$801, 0)+1)),"0.##")&amp;"+"&amp;TEXT(INDEX(ERP資料!$G:$G, (MATCH(234, 輔助計算!$G$2:$G$801, 0)+1)),"0.##"))))&amp;"-1")&lt;&gt;""),"  ","")&amp;IF(MOD(INDEX(輔助計算!$D:$D, (MATCH(234, 輔助計算!$G$2:$G$801, 0)+1)),IF(INDEX(ERP資料!$G:$G, (MATCH(234, 輔助計算!$G$2:$G$801, 0)+1))&lt;100, IF(INDEX(ERP資料!$G:$G, (MATCH(234, 輔助計算!$G$2:$G$801, 0)+1))&lt;=31,3,IF(INDEX(ERP資料!$G:$G, (MATCH(234, 輔助計算!$G$2:$G$801, 0)+1))&lt;=46.5,2,1)), IF(INDEX(ERP資料!$G:$G, (MATCH(234, 輔助計算!$G$2:$G$801, 0)+1))&lt;=790,3,IF(INDEX(ERP資料!$G:$G, (MATCH(234, 輔助計算!$G$2:$G$801, 0)+1))&lt;=1181,2,1))))=0,"",IF(MOD(INDEX(輔助計算!$D:$D, (MATCH(234, 輔助計算!$G$2:$G$801, 0)+1)),IF(INDEX(ERP資料!$G:$G, (MATCH(234, 輔助計算!$G$2:$G$801, 0)+1))&lt;100, IF(INDEX(ERP資料!$G:$G, (MATCH(234, 輔助計算!$G$2:$G$801, 0)+1))&lt;=31,3,IF(INDEX(ERP資料!$G:$G, (MATCH(234, 輔助計算!$G$2:$G$801, 0)+1))&lt;=46.5,2,1)), IF(INDEX(ERP資料!$G:$G, (MATCH(234, 輔助計算!$G$2:$G$801, 0)+1))&lt;=790,3,IF(INDEX(ERP資料!$G:$G, (MATCH(234, 輔助計算!$G$2:$G$801, 0)+1))&lt;=1181,2,1))))=0,"",IF(MOD(INDEX(輔助計算!$D:$D, (MATCH(234, 輔助計算!$G$2:$G$801, 0)+1)),IF(INDEX(ERP資料!$G:$G, (MATCH(234, 輔助計算!$G$2:$G$801, 0)+1))&lt;100, IF(INDEX(ERP資料!$G:$G, (MATCH(234, 輔助計算!$G$2:$G$801, 0)+1))&lt;=31,3,IF(INDEX(ERP資料!$G:$G, (MATCH(234, 輔助計算!$G$2:$G$801, 0)+1))&lt;=46.5,2,1)), IF(INDEX(ERP資料!$G:$G, (MATCH(234, 輔助計算!$G$2:$G$801, 0)+1))&lt;=790,3,IF(INDEX(ERP資料!$G:$G, (MATCH(234, 輔助計算!$G$2:$G$801, 0)+1))&lt;=1181,2,1))))=1,TEXT(INDEX(ERP資料!$G:$G, (MATCH(234, 輔助計算!$G$2:$G$801, 0)+1)),"0.##"),IF(MOD(INDEX(輔助計算!$D:$D, (MATCH(234, 輔助計算!$G$2:$G$801, 0)+1)),IF(INDEX(ERP資料!$G:$G, (MATCH(234, 輔助計算!$G$2:$G$801, 0)+1))&lt;100, IF(INDEX(ERP資料!$G:$G, (MATCH(234, 輔助計算!$G$2:$G$801, 0)+1))&lt;=31,3,IF(INDEX(ERP資料!$G:$G, (MATCH(234, 輔助計算!$G$2:$G$801, 0)+1))&lt;=46.5,2,1)), IF(INDEX(ERP資料!$G:$G, (MATCH(234, 輔助計算!$G$2:$G$801, 0)+1))&lt;=790,3,IF(INDEX(ERP資料!$G:$G, (MATCH(234, 輔助計算!$G$2:$G$801, 0)+1))&lt;=1181,2,1))))=2,TEXT(INDEX(ERP資料!$G:$G, (MATCH(234, 輔助計算!$G$2:$G$801, 0)+1)),"0.##")&amp;"+"&amp;TEXT(INDEX(ERP資料!$G:$G, (MATCH(234, 輔助計算!$G$2:$G$801, 0)+1)),"0.##"),TEXT(INDEX(ERP資料!$G:$G, (MATCH(234, 輔助計算!$G$2:$G$801, 0)+1)),"0.##")&amp;"+"&amp;TEXT(INDEX(ERP資料!$G:$G, (MATCH(234, 輔助計算!$G$2:$G$801, 0)+1)),"0.##")&amp;"+"&amp;TEXT(INDEX(ERP資料!$G:$G, (MATCH(234, 輔助計算!$G$2:$G$801, 0)+1)),"0.##"))))&amp;"-1")), ""), "")</f>
        <v/>
      </c>
      <c r="K235" s="16" t="n"/>
      <c r="L235" s="14">
        <f>IFERROR(IF(AND(IFERROR(INDEX(ERP資料!$A:$A, (MATCH(234, 輔助計算!$G$2:$G$801, 0)+1)), "")&lt;&gt;"", IFERROR(INDEX(ERP資料!$A:$A, (MATCH(234, 輔助計算!$G$2:$G$801, 0)+1)), "")&lt;&gt;IFERROR(INDEX(ERP資料!$A:$A, MATCH(233, 輔助計算!$G$2:$G$801, 0)+1), "")), INDEX(ERP資料!$B:$B, (MATCH(234, 輔助計算!$G$2:$G$801, 0)+1)), ""), "")</f>
        <v/>
      </c>
      <c r="M235" s="17" t="n"/>
    </row>
    <row r="236">
      <c r="A236" s="10">
        <f>IFERROR(IF(AND(IFERROR(INDEX(ERP資料!$A:$A, (MATCH(235, 輔助計算!$G$2:$G$801, 0)+1)), "")&lt;&gt;"", IFERROR(INDEX(ERP資料!$A:$A, (MATCH(235, 輔助計算!$G$2:$G$801, 0)+1)), "")&lt;&gt;IFERROR(INDEX(ERP資料!$A:$A, MATCH(234, 輔助計算!$G$2:$G$801, 0)+1), "")), IFERROR(INDEX(ERP資料!$A:$A, (MATCH(235, 輔助計算!$G$2:$G$801, 0)+1)), ""), ""), "")</f>
        <v/>
      </c>
      <c r="B236" s="10">
        <f>IFERROR(IF(AND(IFERROR(INDEX(ERP資料!$A:$A, (MATCH(235, 輔助計算!$G$2:$G$801, 0)+1)), "")&lt;&gt;"", IFERROR(INDEX(ERP資料!$A:$A, (MATCH(235, 輔助計算!$G$2:$G$801, 0)+1)), "")&lt;&gt;IFERROR(INDEX(ERP資料!$A:$A, MATCH(234, 輔助計算!$G$2:$G$801, 0)+1), "")), INDEX(ERP資料!$S:$S, (MATCH(235, 輔助計算!$G$2:$G$801, 0)+1)), ""), "")</f>
        <v/>
      </c>
      <c r="C236" s="19">
        <f>IFERROR(IF(AND(IFERROR(INDEX(ERP資料!$A:$A, (MATCH(235, 輔助計算!$G$2:$G$801, 0)+1)), "")&lt;&gt;"", IFERROR(INDEX(ERP資料!$A:$A, (MATCH(235, 輔助計算!$G$2:$G$801, 0)+1)), "")&lt;&gt;IFERROR(INDEX(ERP資料!$A:$A, MATCH(234, 輔助計算!$G$2:$G$801, 0)+1), "")), IFERROR(VLOOKUP(LEFT(INDEX(ERP資料!$S:$S, (MATCH(235, 輔助計算!$G$2:$G$801, 0)+1)), 4), 紙管對照表!$A:$C, 3, FALSE), ""), ""), "")</f>
        <v/>
      </c>
      <c r="D236" s="16" t="n"/>
      <c r="E236" s="10">
        <f>IFERROR(IF(INDEX(ERP資料!$H:$H, (MATCH(235, 輔助計算!$G$2:$G$801, 0)+1))="","",INDEX(ERP資料!$H:$H, (MATCH(235, 輔助計算!$G$2:$G$801, 0)+1))), "")</f>
        <v/>
      </c>
      <c r="F236" s="10">
        <f>IFERROR(IF(INDEX(ERP資料!$E:$E, (MATCH(235, 輔助計算!$G$2:$G$801, 0)+1))="","",TRIM(INDEX(ERP資料!$E:$E, (MATCH(235, 輔助計算!$G$2:$G$801, 0)+1)))), "")</f>
        <v/>
      </c>
      <c r="G236" s="10">
        <f>IFERROR(IF(INDEX(ERP資料!$F:$F, (MATCH(235, 輔助計算!$G$2:$G$801, 0)+1))="","",INDEX(ERP資料!$F:$F, (MATCH(235, 輔助計算!$G$2:$G$801, 0)+1))), "")</f>
        <v/>
      </c>
      <c r="H236" s="10">
        <f>IFERROR(IF(INDEX(ERP資料!$G:$G, (MATCH(235, 輔助計算!$G$2:$G$801, 0)+1))="","",INDEX(ERP資料!$G:$G, (MATCH(235, 輔助計算!$G$2:$G$801, 0)+1))), "")</f>
        <v/>
      </c>
      <c r="I236" s="15">
        <f>IFERROR(INDEX(輔助計算!$D:$D, (MATCH(235, 輔助計算!$G$2:$G$801, 0)+1)), "")</f>
        <v/>
      </c>
      <c r="J236" s="15">
        <f>IFERROR(IF(AND(INDEX(輔助計算!$D:$D, (MATCH(235, 輔助計算!$G$2:$G$801, 0)+1))&lt;&gt;"", INDEX(ERP資料!$G:$G, (MATCH(235, 輔助計算!$G$2:$G$801, 0)+1))&lt;&gt;""), TRIM(IF(INT(INDEX(輔助計算!$D:$D, (MATCH(235, 輔助計算!$G$2:$G$801, 0)+1))/IF(INDEX(ERP資料!$G:$G, (MATCH(235, 輔助計算!$G$2:$G$801, 0)+1))&lt;100, IF(INDEX(ERP資料!$G:$G, (MATCH(235, 輔助計算!$G$2:$G$801, 0)+1))&lt;=31,3,IF(INDEX(ERP資料!$G:$G, (MATCH(235, 輔助計算!$G$2:$G$801, 0)+1))&lt;=46.5,2,1)), IF(INDEX(ERP資料!$G:$G, (MATCH(235, 輔助計算!$G$2:$G$801, 0)+1))&lt;=790,3,IF(INDEX(ERP資料!$G:$G, (MATCH(235, 輔助計算!$G$2:$G$801, 0)+1))&lt;=1181,2,1))))&gt;0, IF(IF(INDEX(ERP資料!$G:$G, (MATCH(235, 輔助計算!$G$2:$G$801, 0)+1))&lt;100, IF(INDEX(ERP資料!$G:$G, (MATCH(235, 輔助計算!$G$2:$G$801, 0)+1))&lt;=31,3,IF(INDEX(ERP資料!$G:$G, (MATCH(235, 輔助計算!$G$2:$G$801, 0)+1))&lt;=46.5,2,1)), IF(INDEX(ERP資料!$G:$G, (MATCH(235, 輔助計算!$G$2:$G$801, 0)+1))&lt;=790,3,IF(INDEX(ERP資料!$G:$G, (MATCH(235, 輔助計算!$G$2:$G$801, 0)+1))&lt;=1181,2,1)))=1,TEXT(INDEX(ERP資料!$G:$G, (MATCH(235, 輔助計算!$G$2:$G$801, 0)+1)),"0.##"),IF(IF(INDEX(ERP資料!$G:$G, (MATCH(235, 輔助計算!$G$2:$G$801, 0)+1))&lt;100, IF(INDEX(ERP資料!$G:$G, (MATCH(235, 輔助計算!$G$2:$G$801, 0)+1))&lt;=31,3,IF(INDEX(ERP資料!$G:$G, (MATCH(235, 輔助計算!$G$2:$G$801, 0)+1))&lt;=46.5,2,1)), IF(INDEX(ERP資料!$G:$G, (MATCH(235, 輔助計算!$G$2:$G$801, 0)+1))&lt;=790,3,IF(INDEX(ERP資料!$G:$G, (MATCH(235, 輔助計算!$G$2:$G$801, 0)+1))&lt;=1181,2,1)))=2,TEXT(INDEX(ERP資料!$G:$G, (MATCH(235, 輔助計算!$G$2:$G$801, 0)+1)),"0.##")&amp;"+"&amp;TEXT(INDEX(ERP資料!$G:$G, (MATCH(235, 輔助計算!$G$2:$G$801, 0)+1)),"0.##"),TEXT(INDEX(ERP資料!$G:$G, (MATCH(235, 輔助計算!$G$2:$G$801, 0)+1)),"0.##")&amp;"+"&amp;TEXT(INDEX(ERP資料!$G:$G, (MATCH(235, 輔助計算!$G$2:$G$801, 0)+1)),"0.##")&amp;"+"&amp;TEXT(INDEX(ERP資料!$G:$G, (MATCH(235, 輔助計算!$G$2:$G$801, 0)+1)),"0.##")))&amp;"-"&amp;INT(INDEX(輔助計算!$D:$D, (MATCH(235, 輔助計算!$G$2:$G$801, 0)+1))/IF(INDEX(ERP資料!$G:$G, (MATCH(235, 輔助計算!$G$2:$G$801, 0)+1))&lt;100, IF(INDEX(ERP資料!$G:$G, (MATCH(235, 輔助計算!$G$2:$G$801, 0)+1))&lt;=31,3,IF(INDEX(ERP資料!$G:$G, (MATCH(235, 輔助計算!$G$2:$G$801, 0)+1))&lt;=46.5,2,1)), IF(INDEX(ERP資料!$G:$G, (MATCH(235, 輔助計算!$G$2:$G$801, 0)+1))&lt;=790,3,IF(INDEX(ERP資料!$G:$G, (MATCH(235, 輔助計算!$G$2:$G$801, 0)+1))&lt;=1181,2,1)))), "")&amp;IF(AND(IF(INT(INDEX(輔助計算!$D:$D, (MATCH(235, 輔助計算!$G$2:$G$801, 0)+1))/IF(INDEX(ERP資料!$G:$G, (MATCH(235, 輔助計算!$G$2:$G$801, 0)+1))&lt;100, IF(INDEX(ERP資料!$G:$G, (MATCH(235, 輔助計算!$G$2:$G$801, 0)+1))&lt;=31,3,IF(INDEX(ERP資料!$G:$G, (MATCH(235, 輔助計算!$G$2:$G$801, 0)+1))&lt;=46.5,2,1)), IF(INDEX(ERP資料!$G:$G, (MATCH(235, 輔助計算!$G$2:$G$801, 0)+1))&lt;=790,3,IF(INDEX(ERP資料!$G:$G, (MATCH(235, 輔助計算!$G$2:$G$801, 0)+1))&lt;=1181,2,1))))&gt;0, IF(IF(INDEX(ERP資料!$G:$G, (MATCH(235, 輔助計算!$G$2:$G$801, 0)+1))&lt;100, IF(INDEX(ERP資料!$G:$G, (MATCH(235, 輔助計算!$G$2:$G$801, 0)+1))&lt;=31,3,IF(INDEX(ERP資料!$G:$G, (MATCH(235, 輔助計算!$G$2:$G$801, 0)+1))&lt;=46.5,2,1)), IF(INDEX(ERP資料!$G:$G, (MATCH(235, 輔助計算!$G$2:$G$801, 0)+1))&lt;=790,3,IF(INDEX(ERP資料!$G:$G, (MATCH(235, 輔助計算!$G$2:$G$801, 0)+1))&lt;=1181,2,1)))=1,TEXT(INDEX(ERP資料!$G:$G, (MATCH(235, 輔助計算!$G$2:$G$801, 0)+1)),"0.##"),IF(IF(INDEX(ERP資料!$G:$G, (MATCH(235, 輔助計算!$G$2:$G$801, 0)+1))&lt;100, IF(INDEX(ERP資料!$G:$G, (MATCH(235, 輔助計算!$G$2:$G$801, 0)+1))&lt;=31,3,IF(INDEX(ERP資料!$G:$G, (MATCH(235, 輔助計算!$G$2:$G$801, 0)+1))&lt;=46.5,2,1)), IF(INDEX(ERP資料!$G:$G, (MATCH(235, 輔助計算!$G$2:$G$801, 0)+1))&lt;=790,3,IF(INDEX(ERP資料!$G:$G, (MATCH(235, 輔助計算!$G$2:$G$801, 0)+1))&lt;=1181,2,1)))=2,TEXT(INDEX(ERP資料!$G:$G, (MATCH(235, 輔助計算!$G$2:$G$801, 0)+1)),"0.##")&amp;"+"&amp;TEXT(INDEX(ERP資料!$G:$G, (MATCH(235, 輔助計算!$G$2:$G$801, 0)+1)),"0.##"),TEXT(INDEX(ERP資料!$G:$G, (MATCH(235, 輔助計算!$G$2:$G$801, 0)+1)),"0.##")&amp;"+"&amp;TEXT(INDEX(ERP資料!$G:$G, (MATCH(235, 輔助計算!$G$2:$G$801, 0)+1)),"0.##")&amp;"+"&amp;TEXT(INDEX(ERP資料!$G:$G, (MATCH(235, 輔助計算!$G$2:$G$801, 0)+1)),"0.##")))&amp;"-"&amp;INT(INDEX(輔助計算!$D:$D, (MATCH(235, 輔助計算!$G$2:$G$801, 0)+1))/IF(INDEX(ERP資料!$G:$G, (MATCH(235, 輔助計算!$G$2:$G$801, 0)+1))&lt;100, IF(INDEX(ERP資料!$G:$G, (MATCH(235, 輔助計算!$G$2:$G$801, 0)+1))&lt;=31,3,IF(INDEX(ERP資料!$G:$G, (MATCH(235, 輔助計算!$G$2:$G$801, 0)+1))&lt;=46.5,2,1)), IF(INDEX(ERP資料!$G:$G, (MATCH(235, 輔助計算!$G$2:$G$801, 0)+1))&lt;=790,3,IF(INDEX(ERP資料!$G:$G, (MATCH(235, 輔助計算!$G$2:$G$801, 0)+1))&lt;=1181,2,1)))), "")&lt;&gt;"",IF(MOD(INDEX(輔助計算!$D:$D, (MATCH(235, 輔助計算!$G$2:$G$801, 0)+1)),IF(INDEX(ERP資料!$G:$G, (MATCH(235, 輔助計算!$G$2:$G$801, 0)+1))&lt;100, IF(INDEX(ERP資料!$G:$G, (MATCH(235, 輔助計算!$G$2:$G$801, 0)+1))&lt;=31,3,IF(INDEX(ERP資料!$G:$G, (MATCH(235, 輔助計算!$G$2:$G$801, 0)+1))&lt;=46.5,2,1)), IF(INDEX(ERP資料!$G:$G, (MATCH(235, 輔助計算!$G$2:$G$801, 0)+1))&lt;=790,3,IF(INDEX(ERP資料!$G:$G, (MATCH(235, 輔助計算!$G$2:$G$801, 0)+1))&lt;=1181,2,1))))=0,"",IF(MOD(INDEX(輔助計算!$D:$D, (MATCH(235, 輔助計算!$G$2:$G$801, 0)+1)),IF(INDEX(ERP資料!$G:$G, (MATCH(235, 輔助計算!$G$2:$G$801, 0)+1))&lt;100, IF(INDEX(ERP資料!$G:$G, (MATCH(235, 輔助計算!$G$2:$G$801, 0)+1))&lt;=31,3,IF(INDEX(ERP資料!$G:$G, (MATCH(235, 輔助計算!$G$2:$G$801, 0)+1))&lt;=46.5,2,1)), IF(INDEX(ERP資料!$G:$G, (MATCH(235, 輔助計算!$G$2:$G$801, 0)+1))&lt;=790,3,IF(INDEX(ERP資料!$G:$G, (MATCH(235, 輔助計算!$G$2:$G$801, 0)+1))&lt;=1181,2,1))))=0,"",IF(MOD(INDEX(輔助計算!$D:$D, (MATCH(235, 輔助計算!$G$2:$G$801, 0)+1)),IF(INDEX(ERP資料!$G:$G, (MATCH(235, 輔助計算!$G$2:$G$801, 0)+1))&lt;100, IF(INDEX(ERP資料!$G:$G, (MATCH(235, 輔助計算!$G$2:$G$801, 0)+1))&lt;=31,3,IF(INDEX(ERP資料!$G:$G, (MATCH(235, 輔助計算!$G$2:$G$801, 0)+1))&lt;=46.5,2,1)), IF(INDEX(ERP資料!$G:$G, (MATCH(235, 輔助計算!$G$2:$G$801, 0)+1))&lt;=790,3,IF(INDEX(ERP資料!$G:$G, (MATCH(235, 輔助計算!$G$2:$G$801, 0)+1))&lt;=1181,2,1))))=1,TEXT(INDEX(ERP資料!$G:$G, (MATCH(235, 輔助計算!$G$2:$G$801, 0)+1)),"0.##"),IF(MOD(INDEX(輔助計算!$D:$D, (MATCH(235, 輔助計算!$G$2:$G$801, 0)+1)),IF(INDEX(ERP資料!$G:$G, (MATCH(235, 輔助計算!$G$2:$G$801, 0)+1))&lt;100, IF(INDEX(ERP資料!$G:$G, (MATCH(235, 輔助計算!$G$2:$G$801, 0)+1))&lt;=31,3,IF(INDEX(ERP資料!$G:$G, (MATCH(235, 輔助計算!$G$2:$G$801, 0)+1))&lt;=46.5,2,1)), IF(INDEX(ERP資料!$G:$G, (MATCH(235, 輔助計算!$G$2:$G$801, 0)+1))&lt;=790,3,IF(INDEX(ERP資料!$G:$G, (MATCH(235, 輔助計算!$G$2:$G$801, 0)+1))&lt;=1181,2,1))))=2,TEXT(INDEX(ERP資料!$G:$G, (MATCH(235, 輔助計算!$G$2:$G$801, 0)+1)),"0.##")&amp;"+"&amp;TEXT(INDEX(ERP資料!$G:$G, (MATCH(235, 輔助計算!$G$2:$G$801, 0)+1)),"0.##"),TEXT(INDEX(ERP資料!$G:$G, (MATCH(235, 輔助計算!$G$2:$G$801, 0)+1)),"0.##")&amp;"+"&amp;TEXT(INDEX(ERP資料!$G:$G, (MATCH(235, 輔助計算!$G$2:$G$801, 0)+1)),"0.##")&amp;"+"&amp;TEXT(INDEX(ERP資料!$G:$G, (MATCH(235, 輔助計算!$G$2:$G$801, 0)+1)),"0.##"))))&amp;"-1")&lt;&gt;""),"  ","")&amp;IF(MOD(INDEX(輔助計算!$D:$D, (MATCH(235, 輔助計算!$G$2:$G$801, 0)+1)),IF(INDEX(ERP資料!$G:$G, (MATCH(235, 輔助計算!$G$2:$G$801, 0)+1))&lt;100, IF(INDEX(ERP資料!$G:$G, (MATCH(235, 輔助計算!$G$2:$G$801, 0)+1))&lt;=31,3,IF(INDEX(ERP資料!$G:$G, (MATCH(235, 輔助計算!$G$2:$G$801, 0)+1))&lt;=46.5,2,1)), IF(INDEX(ERP資料!$G:$G, (MATCH(235, 輔助計算!$G$2:$G$801, 0)+1))&lt;=790,3,IF(INDEX(ERP資料!$G:$G, (MATCH(235, 輔助計算!$G$2:$G$801, 0)+1))&lt;=1181,2,1))))=0,"",IF(MOD(INDEX(輔助計算!$D:$D, (MATCH(235, 輔助計算!$G$2:$G$801, 0)+1)),IF(INDEX(ERP資料!$G:$G, (MATCH(235, 輔助計算!$G$2:$G$801, 0)+1))&lt;100, IF(INDEX(ERP資料!$G:$G, (MATCH(235, 輔助計算!$G$2:$G$801, 0)+1))&lt;=31,3,IF(INDEX(ERP資料!$G:$G, (MATCH(235, 輔助計算!$G$2:$G$801, 0)+1))&lt;=46.5,2,1)), IF(INDEX(ERP資料!$G:$G, (MATCH(235, 輔助計算!$G$2:$G$801, 0)+1))&lt;=790,3,IF(INDEX(ERP資料!$G:$G, (MATCH(235, 輔助計算!$G$2:$G$801, 0)+1))&lt;=1181,2,1))))=0,"",IF(MOD(INDEX(輔助計算!$D:$D, (MATCH(235, 輔助計算!$G$2:$G$801, 0)+1)),IF(INDEX(ERP資料!$G:$G, (MATCH(235, 輔助計算!$G$2:$G$801, 0)+1))&lt;100, IF(INDEX(ERP資料!$G:$G, (MATCH(235, 輔助計算!$G$2:$G$801, 0)+1))&lt;=31,3,IF(INDEX(ERP資料!$G:$G, (MATCH(235, 輔助計算!$G$2:$G$801, 0)+1))&lt;=46.5,2,1)), IF(INDEX(ERP資料!$G:$G, (MATCH(235, 輔助計算!$G$2:$G$801, 0)+1))&lt;=790,3,IF(INDEX(ERP資料!$G:$G, (MATCH(235, 輔助計算!$G$2:$G$801, 0)+1))&lt;=1181,2,1))))=1,TEXT(INDEX(ERP資料!$G:$G, (MATCH(235, 輔助計算!$G$2:$G$801, 0)+1)),"0.##"),IF(MOD(INDEX(輔助計算!$D:$D, (MATCH(235, 輔助計算!$G$2:$G$801, 0)+1)),IF(INDEX(ERP資料!$G:$G, (MATCH(235, 輔助計算!$G$2:$G$801, 0)+1))&lt;100, IF(INDEX(ERP資料!$G:$G, (MATCH(235, 輔助計算!$G$2:$G$801, 0)+1))&lt;=31,3,IF(INDEX(ERP資料!$G:$G, (MATCH(235, 輔助計算!$G$2:$G$801, 0)+1))&lt;=46.5,2,1)), IF(INDEX(ERP資料!$G:$G, (MATCH(235, 輔助計算!$G$2:$G$801, 0)+1))&lt;=790,3,IF(INDEX(ERP資料!$G:$G, (MATCH(235, 輔助計算!$G$2:$G$801, 0)+1))&lt;=1181,2,1))))=2,TEXT(INDEX(ERP資料!$G:$G, (MATCH(235, 輔助計算!$G$2:$G$801, 0)+1)),"0.##")&amp;"+"&amp;TEXT(INDEX(ERP資料!$G:$G, (MATCH(235, 輔助計算!$G$2:$G$801, 0)+1)),"0.##"),TEXT(INDEX(ERP資料!$G:$G, (MATCH(235, 輔助計算!$G$2:$G$801, 0)+1)),"0.##")&amp;"+"&amp;TEXT(INDEX(ERP資料!$G:$G, (MATCH(235, 輔助計算!$G$2:$G$801, 0)+1)),"0.##")&amp;"+"&amp;TEXT(INDEX(ERP資料!$G:$G, (MATCH(235, 輔助計算!$G$2:$G$801, 0)+1)),"0.##"))))&amp;"-1")), ""), "")</f>
        <v/>
      </c>
      <c r="K236" s="16" t="n"/>
      <c r="L236" s="14">
        <f>IFERROR(IF(AND(IFERROR(INDEX(ERP資料!$A:$A, (MATCH(235, 輔助計算!$G$2:$G$801, 0)+1)), "")&lt;&gt;"", IFERROR(INDEX(ERP資料!$A:$A, (MATCH(235, 輔助計算!$G$2:$G$801, 0)+1)), "")&lt;&gt;IFERROR(INDEX(ERP資料!$A:$A, MATCH(234, 輔助計算!$G$2:$G$801, 0)+1), "")), INDEX(ERP資料!$B:$B, (MATCH(235, 輔助計算!$G$2:$G$801, 0)+1)), ""), "")</f>
        <v/>
      </c>
      <c r="M236" s="17" t="n"/>
    </row>
    <row r="237">
      <c r="A237" s="10">
        <f>IFERROR(IF(AND(IFERROR(INDEX(ERP資料!$A:$A, (MATCH(236, 輔助計算!$G$2:$G$801, 0)+1)), "")&lt;&gt;"", IFERROR(INDEX(ERP資料!$A:$A, (MATCH(236, 輔助計算!$G$2:$G$801, 0)+1)), "")&lt;&gt;IFERROR(INDEX(ERP資料!$A:$A, MATCH(235, 輔助計算!$G$2:$G$801, 0)+1), "")), IFERROR(INDEX(ERP資料!$A:$A, (MATCH(236, 輔助計算!$G$2:$G$801, 0)+1)), ""), ""), "")</f>
        <v/>
      </c>
      <c r="B237" s="10">
        <f>IFERROR(IF(AND(IFERROR(INDEX(ERP資料!$A:$A, (MATCH(236, 輔助計算!$G$2:$G$801, 0)+1)), "")&lt;&gt;"", IFERROR(INDEX(ERP資料!$A:$A, (MATCH(236, 輔助計算!$G$2:$G$801, 0)+1)), "")&lt;&gt;IFERROR(INDEX(ERP資料!$A:$A, MATCH(235, 輔助計算!$G$2:$G$801, 0)+1), "")), INDEX(ERP資料!$S:$S, (MATCH(236, 輔助計算!$G$2:$G$801, 0)+1)), ""), "")</f>
        <v/>
      </c>
      <c r="C237" s="19">
        <f>IFERROR(IF(AND(IFERROR(INDEX(ERP資料!$A:$A, (MATCH(236, 輔助計算!$G$2:$G$801, 0)+1)), "")&lt;&gt;"", IFERROR(INDEX(ERP資料!$A:$A, (MATCH(236, 輔助計算!$G$2:$G$801, 0)+1)), "")&lt;&gt;IFERROR(INDEX(ERP資料!$A:$A, MATCH(235, 輔助計算!$G$2:$G$801, 0)+1), "")), IFERROR(VLOOKUP(LEFT(INDEX(ERP資料!$S:$S, (MATCH(236, 輔助計算!$G$2:$G$801, 0)+1)), 4), 紙管對照表!$A:$C, 3, FALSE), ""), ""), "")</f>
        <v/>
      </c>
      <c r="D237" s="16" t="n"/>
      <c r="E237" s="10">
        <f>IFERROR(IF(INDEX(ERP資料!$H:$H, (MATCH(236, 輔助計算!$G$2:$G$801, 0)+1))="","",INDEX(ERP資料!$H:$H, (MATCH(236, 輔助計算!$G$2:$G$801, 0)+1))), "")</f>
        <v/>
      </c>
      <c r="F237" s="10">
        <f>IFERROR(IF(INDEX(ERP資料!$E:$E, (MATCH(236, 輔助計算!$G$2:$G$801, 0)+1))="","",TRIM(INDEX(ERP資料!$E:$E, (MATCH(236, 輔助計算!$G$2:$G$801, 0)+1)))), "")</f>
        <v/>
      </c>
      <c r="G237" s="10">
        <f>IFERROR(IF(INDEX(ERP資料!$F:$F, (MATCH(236, 輔助計算!$G$2:$G$801, 0)+1))="","",INDEX(ERP資料!$F:$F, (MATCH(236, 輔助計算!$G$2:$G$801, 0)+1))), "")</f>
        <v/>
      </c>
      <c r="H237" s="10">
        <f>IFERROR(IF(INDEX(ERP資料!$G:$G, (MATCH(236, 輔助計算!$G$2:$G$801, 0)+1))="","",INDEX(ERP資料!$G:$G, (MATCH(236, 輔助計算!$G$2:$G$801, 0)+1))), "")</f>
        <v/>
      </c>
      <c r="I237" s="15">
        <f>IFERROR(INDEX(輔助計算!$D:$D, (MATCH(236, 輔助計算!$G$2:$G$801, 0)+1)), "")</f>
        <v/>
      </c>
      <c r="J237" s="15">
        <f>IFERROR(IF(AND(INDEX(輔助計算!$D:$D, (MATCH(236, 輔助計算!$G$2:$G$801, 0)+1))&lt;&gt;"", INDEX(ERP資料!$G:$G, (MATCH(236, 輔助計算!$G$2:$G$801, 0)+1))&lt;&gt;""), TRIM(IF(INT(INDEX(輔助計算!$D:$D, (MATCH(236, 輔助計算!$G$2:$G$801, 0)+1))/IF(INDEX(ERP資料!$G:$G, (MATCH(236, 輔助計算!$G$2:$G$801, 0)+1))&lt;100, IF(INDEX(ERP資料!$G:$G, (MATCH(236, 輔助計算!$G$2:$G$801, 0)+1))&lt;=31,3,IF(INDEX(ERP資料!$G:$G, (MATCH(236, 輔助計算!$G$2:$G$801, 0)+1))&lt;=46.5,2,1)), IF(INDEX(ERP資料!$G:$G, (MATCH(236, 輔助計算!$G$2:$G$801, 0)+1))&lt;=790,3,IF(INDEX(ERP資料!$G:$G, (MATCH(236, 輔助計算!$G$2:$G$801, 0)+1))&lt;=1181,2,1))))&gt;0, IF(IF(INDEX(ERP資料!$G:$G, (MATCH(236, 輔助計算!$G$2:$G$801, 0)+1))&lt;100, IF(INDEX(ERP資料!$G:$G, (MATCH(236, 輔助計算!$G$2:$G$801, 0)+1))&lt;=31,3,IF(INDEX(ERP資料!$G:$G, (MATCH(236, 輔助計算!$G$2:$G$801, 0)+1))&lt;=46.5,2,1)), IF(INDEX(ERP資料!$G:$G, (MATCH(236, 輔助計算!$G$2:$G$801, 0)+1))&lt;=790,3,IF(INDEX(ERP資料!$G:$G, (MATCH(236, 輔助計算!$G$2:$G$801, 0)+1))&lt;=1181,2,1)))=1,TEXT(INDEX(ERP資料!$G:$G, (MATCH(236, 輔助計算!$G$2:$G$801, 0)+1)),"0.##"),IF(IF(INDEX(ERP資料!$G:$G, (MATCH(236, 輔助計算!$G$2:$G$801, 0)+1))&lt;100, IF(INDEX(ERP資料!$G:$G, (MATCH(236, 輔助計算!$G$2:$G$801, 0)+1))&lt;=31,3,IF(INDEX(ERP資料!$G:$G, (MATCH(236, 輔助計算!$G$2:$G$801, 0)+1))&lt;=46.5,2,1)), IF(INDEX(ERP資料!$G:$G, (MATCH(236, 輔助計算!$G$2:$G$801, 0)+1))&lt;=790,3,IF(INDEX(ERP資料!$G:$G, (MATCH(236, 輔助計算!$G$2:$G$801, 0)+1))&lt;=1181,2,1)))=2,TEXT(INDEX(ERP資料!$G:$G, (MATCH(236, 輔助計算!$G$2:$G$801, 0)+1)),"0.##")&amp;"+"&amp;TEXT(INDEX(ERP資料!$G:$G, (MATCH(236, 輔助計算!$G$2:$G$801, 0)+1)),"0.##"),TEXT(INDEX(ERP資料!$G:$G, (MATCH(236, 輔助計算!$G$2:$G$801, 0)+1)),"0.##")&amp;"+"&amp;TEXT(INDEX(ERP資料!$G:$G, (MATCH(236, 輔助計算!$G$2:$G$801, 0)+1)),"0.##")&amp;"+"&amp;TEXT(INDEX(ERP資料!$G:$G, (MATCH(236, 輔助計算!$G$2:$G$801, 0)+1)),"0.##")))&amp;"-"&amp;INT(INDEX(輔助計算!$D:$D, (MATCH(236, 輔助計算!$G$2:$G$801, 0)+1))/IF(INDEX(ERP資料!$G:$G, (MATCH(236, 輔助計算!$G$2:$G$801, 0)+1))&lt;100, IF(INDEX(ERP資料!$G:$G, (MATCH(236, 輔助計算!$G$2:$G$801, 0)+1))&lt;=31,3,IF(INDEX(ERP資料!$G:$G, (MATCH(236, 輔助計算!$G$2:$G$801, 0)+1))&lt;=46.5,2,1)), IF(INDEX(ERP資料!$G:$G, (MATCH(236, 輔助計算!$G$2:$G$801, 0)+1))&lt;=790,3,IF(INDEX(ERP資料!$G:$G, (MATCH(236, 輔助計算!$G$2:$G$801, 0)+1))&lt;=1181,2,1)))), "")&amp;IF(AND(IF(INT(INDEX(輔助計算!$D:$D, (MATCH(236, 輔助計算!$G$2:$G$801, 0)+1))/IF(INDEX(ERP資料!$G:$G, (MATCH(236, 輔助計算!$G$2:$G$801, 0)+1))&lt;100, IF(INDEX(ERP資料!$G:$G, (MATCH(236, 輔助計算!$G$2:$G$801, 0)+1))&lt;=31,3,IF(INDEX(ERP資料!$G:$G, (MATCH(236, 輔助計算!$G$2:$G$801, 0)+1))&lt;=46.5,2,1)), IF(INDEX(ERP資料!$G:$G, (MATCH(236, 輔助計算!$G$2:$G$801, 0)+1))&lt;=790,3,IF(INDEX(ERP資料!$G:$G, (MATCH(236, 輔助計算!$G$2:$G$801, 0)+1))&lt;=1181,2,1))))&gt;0, IF(IF(INDEX(ERP資料!$G:$G, (MATCH(236, 輔助計算!$G$2:$G$801, 0)+1))&lt;100, IF(INDEX(ERP資料!$G:$G, (MATCH(236, 輔助計算!$G$2:$G$801, 0)+1))&lt;=31,3,IF(INDEX(ERP資料!$G:$G, (MATCH(236, 輔助計算!$G$2:$G$801, 0)+1))&lt;=46.5,2,1)), IF(INDEX(ERP資料!$G:$G, (MATCH(236, 輔助計算!$G$2:$G$801, 0)+1))&lt;=790,3,IF(INDEX(ERP資料!$G:$G, (MATCH(236, 輔助計算!$G$2:$G$801, 0)+1))&lt;=1181,2,1)))=1,TEXT(INDEX(ERP資料!$G:$G, (MATCH(236, 輔助計算!$G$2:$G$801, 0)+1)),"0.##"),IF(IF(INDEX(ERP資料!$G:$G, (MATCH(236, 輔助計算!$G$2:$G$801, 0)+1))&lt;100, IF(INDEX(ERP資料!$G:$G, (MATCH(236, 輔助計算!$G$2:$G$801, 0)+1))&lt;=31,3,IF(INDEX(ERP資料!$G:$G, (MATCH(236, 輔助計算!$G$2:$G$801, 0)+1))&lt;=46.5,2,1)), IF(INDEX(ERP資料!$G:$G, (MATCH(236, 輔助計算!$G$2:$G$801, 0)+1))&lt;=790,3,IF(INDEX(ERP資料!$G:$G, (MATCH(236, 輔助計算!$G$2:$G$801, 0)+1))&lt;=1181,2,1)))=2,TEXT(INDEX(ERP資料!$G:$G, (MATCH(236, 輔助計算!$G$2:$G$801, 0)+1)),"0.##")&amp;"+"&amp;TEXT(INDEX(ERP資料!$G:$G, (MATCH(236, 輔助計算!$G$2:$G$801, 0)+1)),"0.##"),TEXT(INDEX(ERP資料!$G:$G, (MATCH(236, 輔助計算!$G$2:$G$801, 0)+1)),"0.##")&amp;"+"&amp;TEXT(INDEX(ERP資料!$G:$G, (MATCH(236, 輔助計算!$G$2:$G$801, 0)+1)),"0.##")&amp;"+"&amp;TEXT(INDEX(ERP資料!$G:$G, (MATCH(236, 輔助計算!$G$2:$G$801, 0)+1)),"0.##")))&amp;"-"&amp;INT(INDEX(輔助計算!$D:$D, (MATCH(236, 輔助計算!$G$2:$G$801, 0)+1))/IF(INDEX(ERP資料!$G:$G, (MATCH(236, 輔助計算!$G$2:$G$801, 0)+1))&lt;100, IF(INDEX(ERP資料!$G:$G, (MATCH(236, 輔助計算!$G$2:$G$801, 0)+1))&lt;=31,3,IF(INDEX(ERP資料!$G:$G, (MATCH(236, 輔助計算!$G$2:$G$801, 0)+1))&lt;=46.5,2,1)), IF(INDEX(ERP資料!$G:$G, (MATCH(236, 輔助計算!$G$2:$G$801, 0)+1))&lt;=790,3,IF(INDEX(ERP資料!$G:$G, (MATCH(236, 輔助計算!$G$2:$G$801, 0)+1))&lt;=1181,2,1)))), "")&lt;&gt;"",IF(MOD(INDEX(輔助計算!$D:$D, (MATCH(236, 輔助計算!$G$2:$G$801, 0)+1)),IF(INDEX(ERP資料!$G:$G, (MATCH(236, 輔助計算!$G$2:$G$801, 0)+1))&lt;100, IF(INDEX(ERP資料!$G:$G, (MATCH(236, 輔助計算!$G$2:$G$801, 0)+1))&lt;=31,3,IF(INDEX(ERP資料!$G:$G, (MATCH(236, 輔助計算!$G$2:$G$801, 0)+1))&lt;=46.5,2,1)), IF(INDEX(ERP資料!$G:$G, (MATCH(236, 輔助計算!$G$2:$G$801, 0)+1))&lt;=790,3,IF(INDEX(ERP資料!$G:$G, (MATCH(236, 輔助計算!$G$2:$G$801, 0)+1))&lt;=1181,2,1))))=0,"",IF(MOD(INDEX(輔助計算!$D:$D, (MATCH(236, 輔助計算!$G$2:$G$801, 0)+1)),IF(INDEX(ERP資料!$G:$G, (MATCH(236, 輔助計算!$G$2:$G$801, 0)+1))&lt;100, IF(INDEX(ERP資料!$G:$G, (MATCH(236, 輔助計算!$G$2:$G$801, 0)+1))&lt;=31,3,IF(INDEX(ERP資料!$G:$G, (MATCH(236, 輔助計算!$G$2:$G$801, 0)+1))&lt;=46.5,2,1)), IF(INDEX(ERP資料!$G:$G, (MATCH(236, 輔助計算!$G$2:$G$801, 0)+1))&lt;=790,3,IF(INDEX(ERP資料!$G:$G, (MATCH(236, 輔助計算!$G$2:$G$801, 0)+1))&lt;=1181,2,1))))=0,"",IF(MOD(INDEX(輔助計算!$D:$D, (MATCH(236, 輔助計算!$G$2:$G$801, 0)+1)),IF(INDEX(ERP資料!$G:$G, (MATCH(236, 輔助計算!$G$2:$G$801, 0)+1))&lt;100, IF(INDEX(ERP資料!$G:$G, (MATCH(236, 輔助計算!$G$2:$G$801, 0)+1))&lt;=31,3,IF(INDEX(ERP資料!$G:$G, (MATCH(236, 輔助計算!$G$2:$G$801, 0)+1))&lt;=46.5,2,1)), IF(INDEX(ERP資料!$G:$G, (MATCH(236, 輔助計算!$G$2:$G$801, 0)+1))&lt;=790,3,IF(INDEX(ERP資料!$G:$G, (MATCH(236, 輔助計算!$G$2:$G$801, 0)+1))&lt;=1181,2,1))))=1,TEXT(INDEX(ERP資料!$G:$G, (MATCH(236, 輔助計算!$G$2:$G$801, 0)+1)),"0.##"),IF(MOD(INDEX(輔助計算!$D:$D, (MATCH(236, 輔助計算!$G$2:$G$801, 0)+1)),IF(INDEX(ERP資料!$G:$G, (MATCH(236, 輔助計算!$G$2:$G$801, 0)+1))&lt;100, IF(INDEX(ERP資料!$G:$G, (MATCH(236, 輔助計算!$G$2:$G$801, 0)+1))&lt;=31,3,IF(INDEX(ERP資料!$G:$G, (MATCH(236, 輔助計算!$G$2:$G$801, 0)+1))&lt;=46.5,2,1)), IF(INDEX(ERP資料!$G:$G, (MATCH(236, 輔助計算!$G$2:$G$801, 0)+1))&lt;=790,3,IF(INDEX(ERP資料!$G:$G, (MATCH(236, 輔助計算!$G$2:$G$801, 0)+1))&lt;=1181,2,1))))=2,TEXT(INDEX(ERP資料!$G:$G, (MATCH(236, 輔助計算!$G$2:$G$801, 0)+1)),"0.##")&amp;"+"&amp;TEXT(INDEX(ERP資料!$G:$G, (MATCH(236, 輔助計算!$G$2:$G$801, 0)+1)),"0.##"),TEXT(INDEX(ERP資料!$G:$G, (MATCH(236, 輔助計算!$G$2:$G$801, 0)+1)),"0.##")&amp;"+"&amp;TEXT(INDEX(ERP資料!$G:$G, (MATCH(236, 輔助計算!$G$2:$G$801, 0)+1)),"0.##")&amp;"+"&amp;TEXT(INDEX(ERP資料!$G:$G, (MATCH(236, 輔助計算!$G$2:$G$801, 0)+1)),"0.##"))))&amp;"-1")&lt;&gt;""),"  ","")&amp;IF(MOD(INDEX(輔助計算!$D:$D, (MATCH(236, 輔助計算!$G$2:$G$801, 0)+1)),IF(INDEX(ERP資料!$G:$G, (MATCH(236, 輔助計算!$G$2:$G$801, 0)+1))&lt;100, IF(INDEX(ERP資料!$G:$G, (MATCH(236, 輔助計算!$G$2:$G$801, 0)+1))&lt;=31,3,IF(INDEX(ERP資料!$G:$G, (MATCH(236, 輔助計算!$G$2:$G$801, 0)+1))&lt;=46.5,2,1)), IF(INDEX(ERP資料!$G:$G, (MATCH(236, 輔助計算!$G$2:$G$801, 0)+1))&lt;=790,3,IF(INDEX(ERP資料!$G:$G, (MATCH(236, 輔助計算!$G$2:$G$801, 0)+1))&lt;=1181,2,1))))=0,"",IF(MOD(INDEX(輔助計算!$D:$D, (MATCH(236, 輔助計算!$G$2:$G$801, 0)+1)),IF(INDEX(ERP資料!$G:$G, (MATCH(236, 輔助計算!$G$2:$G$801, 0)+1))&lt;100, IF(INDEX(ERP資料!$G:$G, (MATCH(236, 輔助計算!$G$2:$G$801, 0)+1))&lt;=31,3,IF(INDEX(ERP資料!$G:$G, (MATCH(236, 輔助計算!$G$2:$G$801, 0)+1))&lt;=46.5,2,1)), IF(INDEX(ERP資料!$G:$G, (MATCH(236, 輔助計算!$G$2:$G$801, 0)+1))&lt;=790,3,IF(INDEX(ERP資料!$G:$G, (MATCH(236, 輔助計算!$G$2:$G$801, 0)+1))&lt;=1181,2,1))))=0,"",IF(MOD(INDEX(輔助計算!$D:$D, (MATCH(236, 輔助計算!$G$2:$G$801, 0)+1)),IF(INDEX(ERP資料!$G:$G, (MATCH(236, 輔助計算!$G$2:$G$801, 0)+1))&lt;100, IF(INDEX(ERP資料!$G:$G, (MATCH(236, 輔助計算!$G$2:$G$801, 0)+1))&lt;=31,3,IF(INDEX(ERP資料!$G:$G, (MATCH(236, 輔助計算!$G$2:$G$801, 0)+1))&lt;=46.5,2,1)), IF(INDEX(ERP資料!$G:$G, (MATCH(236, 輔助計算!$G$2:$G$801, 0)+1))&lt;=790,3,IF(INDEX(ERP資料!$G:$G, (MATCH(236, 輔助計算!$G$2:$G$801, 0)+1))&lt;=1181,2,1))))=1,TEXT(INDEX(ERP資料!$G:$G, (MATCH(236, 輔助計算!$G$2:$G$801, 0)+1)),"0.##"),IF(MOD(INDEX(輔助計算!$D:$D, (MATCH(236, 輔助計算!$G$2:$G$801, 0)+1)),IF(INDEX(ERP資料!$G:$G, (MATCH(236, 輔助計算!$G$2:$G$801, 0)+1))&lt;100, IF(INDEX(ERP資料!$G:$G, (MATCH(236, 輔助計算!$G$2:$G$801, 0)+1))&lt;=31,3,IF(INDEX(ERP資料!$G:$G, (MATCH(236, 輔助計算!$G$2:$G$801, 0)+1))&lt;=46.5,2,1)), IF(INDEX(ERP資料!$G:$G, (MATCH(236, 輔助計算!$G$2:$G$801, 0)+1))&lt;=790,3,IF(INDEX(ERP資料!$G:$G, (MATCH(236, 輔助計算!$G$2:$G$801, 0)+1))&lt;=1181,2,1))))=2,TEXT(INDEX(ERP資料!$G:$G, (MATCH(236, 輔助計算!$G$2:$G$801, 0)+1)),"0.##")&amp;"+"&amp;TEXT(INDEX(ERP資料!$G:$G, (MATCH(236, 輔助計算!$G$2:$G$801, 0)+1)),"0.##"),TEXT(INDEX(ERP資料!$G:$G, (MATCH(236, 輔助計算!$G$2:$G$801, 0)+1)),"0.##")&amp;"+"&amp;TEXT(INDEX(ERP資料!$G:$G, (MATCH(236, 輔助計算!$G$2:$G$801, 0)+1)),"0.##")&amp;"+"&amp;TEXT(INDEX(ERP資料!$G:$G, (MATCH(236, 輔助計算!$G$2:$G$801, 0)+1)),"0.##"))))&amp;"-1")), ""), "")</f>
        <v/>
      </c>
      <c r="K237" s="16" t="n"/>
      <c r="L237" s="14">
        <f>IFERROR(IF(AND(IFERROR(INDEX(ERP資料!$A:$A, (MATCH(236, 輔助計算!$G$2:$G$801, 0)+1)), "")&lt;&gt;"", IFERROR(INDEX(ERP資料!$A:$A, (MATCH(236, 輔助計算!$G$2:$G$801, 0)+1)), "")&lt;&gt;IFERROR(INDEX(ERP資料!$A:$A, MATCH(235, 輔助計算!$G$2:$G$801, 0)+1), "")), INDEX(ERP資料!$B:$B, (MATCH(236, 輔助計算!$G$2:$G$801, 0)+1)), ""), "")</f>
        <v/>
      </c>
      <c r="M237" s="17" t="n"/>
    </row>
    <row r="238">
      <c r="A238" s="10">
        <f>IFERROR(IF(AND(IFERROR(INDEX(ERP資料!$A:$A, (MATCH(237, 輔助計算!$G$2:$G$801, 0)+1)), "")&lt;&gt;"", IFERROR(INDEX(ERP資料!$A:$A, (MATCH(237, 輔助計算!$G$2:$G$801, 0)+1)), "")&lt;&gt;IFERROR(INDEX(ERP資料!$A:$A, MATCH(236, 輔助計算!$G$2:$G$801, 0)+1), "")), IFERROR(INDEX(ERP資料!$A:$A, (MATCH(237, 輔助計算!$G$2:$G$801, 0)+1)), ""), ""), "")</f>
        <v/>
      </c>
      <c r="B238" s="10">
        <f>IFERROR(IF(AND(IFERROR(INDEX(ERP資料!$A:$A, (MATCH(237, 輔助計算!$G$2:$G$801, 0)+1)), "")&lt;&gt;"", IFERROR(INDEX(ERP資料!$A:$A, (MATCH(237, 輔助計算!$G$2:$G$801, 0)+1)), "")&lt;&gt;IFERROR(INDEX(ERP資料!$A:$A, MATCH(236, 輔助計算!$G$2:$G$801, 0)+1), "")), INDEX(ERP資料!$S:$S, (MATCH(237, 輔助計算!$G$2:$G$801, 0)+1)), ""), "")</f>
        <v/>
      </c>
      <c r="C238" s="19">
        <f>IFERROR(IF(AND(IFERROR(INDEX(ERP資料!$A:$A, (MATCH(237, 輔助計算!$G$2:$G$801, 0)+1)), "")&lt;&gt;"", IFERROR(INDEX(ERP資料!$A:$A, (MATCH(237, 輔助計算!$G$2:$G$801, 0)+1)), "")&lt;&gt;IFERROR(INDEX(ERP資料!$A:$A, MATCH(236, 輔助計算!$G$2:$G$801, 0)+1), "")), IFERROR(VLOOKUP(LEFT(INDEX(ERP資料!$S:$S, (MATCH(237, 輔助計算!$G$2:$G$801, 0)+1)), 4), 紙管對照表!$A:$C, 3, FALSE), ""), ""), "")</f>
        <v/>
      </c>
      <c r="D238" s="16" t="n"/>
      <c r="E238" s="10">
        <f>IFERROR(IF(INDEX(ERP資料!$H:$H, (MATCH(237, 輔助計算!$G$2:$G$801, 0)+1))="","",INDEX(ERP資料!$H:$H, (MATCH(237, 輔助計算!$G$2:$G$801, 0)+1))), "")</f>
        <v/>
      </c>
      <c r="F238" s="10">
        <f>IFERROR(IF(INDEX(ERP資料!$E:$E, (MATCH(237, 輔助計算!$G$2:$G$801, 0)+1))="","",TRIM(INDEX(ERP資料!$E:$E, (MATCH(237, 輔助計算!$G$2:$G$801, 0)+1)))), "")</f>
        <v/>
      </c>
      <c r="G238" s="10">
        <f>IFERROR(IF(INDEX(ERP資料!$F:$F, (MATCH(237, 輔助計算!$G$2:$G$801, 0)+1))="","",INDEX(ERP資料!$F:$F, (MATCH(237, 輔助計算!$G$2:$G$801, 0)+1))), "")</f>
        <v/>
      </c>
      <c r="H238" s="10">
        <f>IFERROR(IF(INDEX(ERP資料!$G:$G, (MATCH(237, 輔助計算!$G$2:$G$801, 0)+1))="","",INDEX(ERP資料!$G:$G, (MATCH(237, 輔助計算!$G$2:$G$801, 0)+1))), "")</f>
        <v/>
      </c>
      <c r="I238" s="15">
        <f>IFERROR(INDEX(輔助計算!$D:$D, (MATCH(237, 輔助計算!$G$2:$G$801, 0)+1)), "")</f>
        <v/>
      </c>
      <c r="J238" s="15">
        <f>IFERROR(IF(AND(INDEX(輔助計算!$D:$D, (MATCH(237, 輔助計算!$G$2:$G$801, 0)+1))&lt;&gt;"", INDEX(ERP資料!$G:$G, (MATCH(237, 輔助計算!$G$2:$G$801, 0)+1))&lt;&gt;""), TRIM(IF(INT(INDEX(輔助計算!$D:$D, (MATCH(237, 輔助計算!$G$2:$G$801, 0)+1))/IF(INDEX(ERP資料!$G:$G, (MATCH(237, 輔助計算!$G$2:$G$801, 0)+1))&lt;100, IF(INDEX(ERP資料!$G:$G, (MATCH(237, 輔助計算!$G$2:$G$801, 0)+1))&lt;=31,3,IF(INDEX(ERP資料!$G:$G, (MATCH(237, 輔助計算!$G$2:$G$801, 0)+1))&lt;=46.5,2,1)), IF(INDEX(ERP資料!$G:$G, (MATCH(237, 輔助計算!$G$2:$G$801, 0)+1))&lt;=790,3,IF(INDEX(ERP資料!$G:$G, (MATCH(237, 輔助計算!$G$2:$G$801, 0)+1))&lt;=1181,2,1))))&gt;0, IF(IF(INDEX(ERP資料!$G:$G, (MATCH(237, 輔助計算!$G$2:$G$801, 0)+1))&lt;100, IF(INDEX(ERP資料!$G:$G, (MATCH(237, 輔助計算!$G$2:$G$801, 0)+1))&lt;=31,3,IF(INDEX(ERP資料!$G:$G, (MATCH(237, 輔助計算!$G$2:$G$801, 0)+1))&lt;=46.5,2,1)), IF(INDEX(ERP資料!$G:$G, (MATCH(237, 輔助計算!$G$2:$G$801, 0)+1))&lt;=790,3,IF(INDEX(ERP資料!$G:$G, (MATCH(237, 輔助計算!$G$2:$G$801, 0)+1))&lt;=1181,2,1)))=1,TEXT(INDEX(ERP資料!$G:$G, (MATCH(237, 輔助計算!$G$2:$G$801, 0)+1)),"0.##"),IF(IF(INDEX(ERP資料!$G:$G, (MATCH(237, 輔助計算!$G$2:$G$801, 0)+1))&lt;100, IF(INDEX(ERP資料!$G:$G, (MATCH(237, 輔助計算!$G$2:$G$801, 0)+1))&lt;=31,3,IF(INDEX(ERP資料!$G:$G, (MATCH(237, 輔助計算!$G$2:$G$801, 0)+1))&lt;=46.5,2,1)), IF(INDEX(ERP資料!$G:$G, (MATCH(237, 輔助計算!$G$2:$G$801, 0)+1))&lt;=790,3,IF(INDEX(ERP資料!$G:$G, (MATCH(237, 輔助計算!$G$2:$G$801, 0)+1))&lt;=1181,2,1)))=2,TEXT(INDEX(ERP資料!$G:$G, (MATCH(237, 輔助計算!$G$2:$G$801, 0)+1)),"0.##")&amp;"+"&amp;TEXT(INDEX(ERP資料!$G:$G, (MATCH(237, 輔助計算!$G$2:$G$801, 0)+1)),"0.##"),TEXT(INDEX(ERP資料!$G:$G, (MATCH(237, 輔助計算!$G$2:$G$801, 0)+1)),"0.##")&amp;"+"&amp;TEXT(INDEX(ERP資料!$G:$G, (MATCH(237, 輔助計算!$G$2:$G$801, 0)+1)),"0.##")&amp;"+"&amp;TEXT(INDEX(ERP資料!$G:$G, (MATCH(237, 輔助計算!$G$2:$G$801, 0)+1)),"0.##")))&amp;"-"&amp;INT(INDEX(輔助計算!$D:$D, (MATCH(237, 輔助計算!$G$2:$G$801, 0)+1))/IF(INDEX(ERP資料!$G:$G, (MATCH(237, 輔助計算!$G$2:$G$801, 0)+1))&lt;100, IF(INDEX(ERP資料!$G:$G, (MATCH(237, 輔助計算!$G$2:$G$801, 0)+1))&lt;=31,3,IF(INDEX(ERP資料!$G:$G, (MATCH(237, 輔助計算!$G$2:$G$801, 0)+1))&lt;=46.5,2,1)), IF(INDEX(ERP資料!$G:$G, (MATCH(237, 輔助計算!$G$2:$G$801, 0)+1))&lt;=790,3,IF(INDEX(ERP資料!$G:$G, (MATCH(237, 輔助計算!$G$2:$G$801, 0)+1))&lt;=1181,2,1)))), "")&amp;IF(AND(IF(INT(INDEX(輔助計算!$D:$D, (MATCH(237, 輔助計算!$G$2:$G$801, 0)+1))/IF(INDEX(ERP資料!$G:$G, (MATCH(237, 輔助計算!$G$2:$G$801, 0)+1))&lt;100, IF(INDEX(ERP資料!$G:$G, (MATCH(237, 輔助計算!$G$2:$G$801, 0)+1))&lt;=31,3,IF(INDEX(ERP資料!$G:$G, (MATCH(237, 輔助計算!$G$2:$G$801, 0)+1))&lt;=46.5,2,1)), IF(INDEX(ERP資料!$G:$G, (MATCH(237, 輔助計算!$G$2:$G$801, 0)+1))&lt;=790,3,IF(INDEX(ERP資料!$G:$G, (MATCH(237, 輔助計算!$G$2:$G$801, 0)+1))&lt;=1181,2,1))))&gt;0, IF(IF(INDEX(ERP資料!$G:$G, (MATCH(237, 輔助計算!$G$2:$G$801, 0)+1))&lt;100, IF(INDEX(ERP資料!$G:$G, (MATCH(237, 輔助計算!$G$2:$G$801, 0)+1))&lt;=31,3,IF(INDEX(ERP資料!$G:$G, (MATCH(237, 輔助計算!$G$2:$G$801, 0)+1))&lt;=46.5,2,1)), IF(INDEX(ERP資料!$G:$G, (MATCH(237, 輔助計算!$G$2:$G$801, 0)+1))&lt;=790,3,IF(INDEX(ERP資料!$G:$G, (MATCH(237, 輔助計算!$G$2:$G$801, 0)+1))&lt;=1181,2,1)))=1,TEXT(INDEX(ERP資料!$G:$G, (MATCH(237, 輔助計算!$G$2:$G$801, 0)+1)),"0.##"),IF(IF(INDEX(ERP資料!$G:$G, (MATCH(237, 輔助計算!$G$2:$G$801, 0)+1))&lt;100, IF(INDEX(ERP資料!$G:$G, (MATCH(237, 輔助計算!$G$2:$G$801, 0)+1))&lt;=31,3,IF(INDEX(ERP資料!$G:$G, (MATCH(237, 輔助計算!$G$2:$G$801, 0)+1))&lt;=46.5,2,1)), IF(INDEX(ERP資料!$G:$G, (MATCH(237, 輔助計算!$G$2:$G$801, 0)+1))&lt;=790,3,IF(INDEX(ERP資料!$G:$G, (MATCH(237, 輔助計算!$G$2:$G$801, 0)+1))&lt;=1181,2,1)))=2,TEXT(INDEX(ERP資料!$G:$G, (MATCH(237, 輔助計算!$G$2:$G$801, 0)+1)),"0.##")&amp;"+"&amp;TEXT(INDEX(ERP資料!$G:$G, (MATCH(237, 輔助計算!$G$2:$G$801, 0)+1)),"0.##"),TEXT(INDEX(ERP資料!$G:$G, (MATCH(237, 輔助計算!$G$2:$G$801, 0)+1)),"0.##")&amp;"+"&amp;TEXT(INDEX(ERP資料!$G:$G, (MATCH(237, 輔助計算!$G$2:$G$801, 0)+1)),"0.##")&amp;"+"&amp;TEXT(INDEX(ERP資料!$G:$G, (MATCH(237, 輔助計算!$G$2:$G$801, 0)+1)),"0.##")))&amp;"-"&amp;INT(INDEX(輔助計算!$D:$D, (MATCH(237, 輔助計算!$G$2:$G$801, 0)+1))/IF(INDEX(ERP資料!$G:$G, (MATCH(237, 輔助計算!$G$2:$G$801, 0)+1))&lt;100, IF(INDEX(ERP資料!$G:$G, (MATCH(237, 輔助計算!$G$2:$G$801, 0)+1))&lt;=31,3,IF(INDEX(ERP資料!$G:$G, (MATCH(237, 輔助計算!$G$2:$G$801, 0)+1))&lt;=46.5,2,1)), IF(INDEX(ERP資料!$G:$G, (MATCH(237, 輔助計算!$G$2:$G$801, 0)+1))&lt;=790,3,IF(INDEX(ERP資料!$G:$G, (MATCH(237, 輔助計算!$G$2:$G$801, 0)+1))&lt;=1181,2,1)))), "")&lt;&gt;"",IF(MOD(INDEX(輔助計算!$D:$D, (MATCH(237, 輔助計算!$G$2:$G$801, 0)+1)),IF(INDEX(ERP資料!$G:$G, (MATCH(237, 輔助計算!$G$2:$G$801, 0)+1))&lt;100, IF(INDEX(ERP資料!$G:$G, (MATCH(237, 輔助計算!$G$2:$G$801, 0)+1))&lt;=31,3,IF(INDEX(ERP資料!$G:$G, (MATCH(237, 輔助計算!$G$2:$G$801, 0)+1))&lt;=46.5,2,1)), IF(INDEX(ERP資料!$G:$G, (MATCH(237, 輔助計算!$G$2:$G$801, 0)+1))&lt;=790,3,IF(INDEX(ERP資料!$G:$G, (MATCH(237, 輔助計算!$G$2:$G$801, 0)+1))&lt;=1181,2,1))))=0,"",IF(MOD(INDEX(輔助計算!$D:$D, (MATCH(237, 輔助計算!$G$2:$G$801, 0)+1)),IF(INDEX(ERP資料!$G:$G, (MATCH(237, 輔助計算!$G$2:$G$801, 0)+1))&lt;100, IF(INDEX(ERP資料!$G:$G, (MATCH(237, 輔助計算!$G$2:$G$801, 0)+1))&lt;=31,3,IF(INDEX(ERP資料!$G:$G, (MATCH(237, 輔助計算!$G$2:$G$801, 0)+1))&lt;=46.5,2,1)), IF(INDEX(ERP資料!$G:$G, (MATCH(237, 輔助計算!$G$2:$G$801, 0)+1))&lt;=790,3,IF(INDEX(ERP資料!$G:$G, (MATCH(237, 輔助計算!$G$2:$G$801, 0)+1))&lt;=1181,2,1))))=0,"",IF(MOD(INDEX(輔助計算!$D:$D, (MATCH(237, 輔助計算!$G$2:$G$801, 0)+1)),IF(INDEX(ERP資料!$G:$G, (MATCH(237, 輔助計算!$G$2:$G$801, 0)+1))&lt;100, IF(INDEX(ERP資料!$G:$G, (MATCH(237, 輔助計算!$G$2:$G$801, 0)+1))&lt;=31,3,IF(INDEX(ERP資料!$G:$G, (MATCH(237, 輔助計算!$G$2:$G$801, 0)+1))&lt;=46.5,2,1)), IF(INDEX(ERP資料!$G:$G, (MATCH(237, 輔助計算!$G$2:$G$801, 0)+1))&lt;=790,3,IF(INDEX(ERP資料!$G:$G, (MATCH(237, 輔助計算!$G$2:$G$801, 0)+1))&lt;=1181,2,1))))=1,TEXT(INDEX(ERP資料!$G:$G, (MATCH(237, 輔助計算!$G$2:$G$801, 0)+1)),"0.##"),IF(MOD(INDEX(輔助計算!$D:$D, (MATCH(237, 輔助計算!$G$2:$G$801, 0)+1)),IF(INDEX(ERP資料!$G:$G, (MATCH(237, 輔助計算!$G$2:$G$801, 0)+1))&lt;100, IF(INDEX(ERP資料!$G:$G, (MATCH(237, 輔助計算!$G$2:$G$801, 0)+1))&lt;=31,3,IF(INDEX(ERP資料!$G:$G, (MATCH(237, 輔助計算!$G$2:$G$801, 0)+1))&lt;=46.5,2,1)), IF(INDEX(ERP資料!$G:$G, (MATCH(237, 輔助計算!$G$2:$G$801, 0)+1))&lt;=790,3,IF(INDEX(ERP資料!$G:$G, (MATCH(237, 輔助計算!$G$2:$G$801, 0)+1))&lt;=1181,2,1))))=2,TEXT(INDEX(ERP資料!$G:$G, (MATCH(237, 輔助計算!$G$2:$G$801, 0)+1)),"0.##")&amp;"+"&amp;TEXT(INDEX(ERP資料!$G:$G, (MATCH(237, 輔助計算!$G$2:$G$801, 0)+1)),"0.##"),TEXT(INDEX(ERP資料!$G:$G, (MATCH(237, 輔助計算!$G$2:$G$801, 0)+1)),"0.##")&amp;"+"&amp;TEXT(INDEX(ERP資料!$G:$G, (MATCH(237, 輔助計算!$G$2:$G$801, 0)+1)),"0.##")&amp;"+"&amp;TEXT(INDEX(ERP資料!$G:$G, (MATCH(237, 輔助計算!$G$2:$G$801, 0)+1)),"0.##"))))&amp;"-1")&lt;&gt;""),"  ","")&amp;IF(MOD(INDEX(輔助計算!$D:$D, (MATCH(237, 輔助計算!$G$2:$G$801, 0)+1)),IF(INDEX(ERP資料!$G:$G, (MATCH(237, 輔助計算!$G$2:$G$801, 0)+1))&lt;100, IF(INDEX(ERP資料!$G:$G, (MATCH(237, 輔助計算!$G$2:$G$801, 0)+1))&lt;=31,3,IF(INDEX(ERP資料!$G:$G, (MATCH(237, 輔助計算!$G$2:$G$801, 0)+1))&lt;=46.5,2,1)), IF(INDEX(ERP資料!$G:$G, (MATCH(237, 輔助計算!$G$2:$G$801, 0)+1))&lt;=790,3,IF(INDEX(ERP資料!$G:$G, (MATCH(237, 輔助計算!$G$2:$G$801, 0)+1))&lt;=1181,2,1))))=0,"",IF(MOD(INDEX(輔助計算!$D:$D, (MATCH(237, 輔助計算!$G$2:$G$801, 0)+1)),IF(INDEX(ERP資料!$G:$G, (MATCH(237, 輔助計算!$G$2:$G$801, 0)+1))&lt;100, IF(INDEX(ERP資料!$G:$G, (MATCH(237, 輔助計算!$G$2:$G$801, 0)+1))&lt;=31,3,IF(INDEX(ERP資料!$G:$G, (MATCH(237, 輔助計算!$G$2:$G$801, 0)+1))&lt;=46.5,2,1)), IF(INDEX(ERP資料!$G:$G, (MATCH(237, 輔助計算!$G$2:$G$801, 0)+1))&lt;=790,3,IF(INDEX(ERP資料!$G:$G, (MATCH(237, 輔助計算!$G$2:$G$801, 0)+1))&lt;=1181,2,1))))=0,"",IF(MOD(INDEX(輔助計算!$D:$D, (MATCH(237, 輔助計算!$G$2:$G$801, 0)+1)),IF(INDEX(ERP資料!$G:$G, (MATCH(237, 輔助計算!$G$2:$G$801, 0)+1))&lt;100, IF(INDEX(ERP資料!$G:$G, (MATCH(237, 輔助計算!$G$2:$G$801, 0)+1))&lt;=31,3,IF(INDEX(ERP資料!$G:$G, (MATCH(237, 輔助計算!$G$2:$G$801, 0)+1))&lt;=46.5,2,1)), IF(INDEX(ERP資料!$G:$G, (MATCH(237, 輔助計算!$G$2:$G$801, 0)+1))&lt;=790,3,IF(INDEX(ERP資料!$G:$G, (MATCH(237, 輔助計算!$G$2:$G$801, 0)+1))&lt;=1181,2,1))))=1,TEXT(INDEX(ERP資料!$G:$G, (MATCH(237, 輔助計算!$G$2:$G$801, 0)+1)),"0.##"),IF(MOD(INDEX(輔助計算!$D:$D, (MATCH(237, 輔助計算!$G$2:$G$801, 0)+1)),IF(INDEX(ERP資料!$G:$G, (MATCH(237, 輔助計算!$G$2:$G$801, 0)+1))&lt;100, IF(INDEX(ERP資料!$G:$G, (MATCH(237, 輔助計算!$G$2:$G$801, 0)+1))&lt;=31,3,IF(INDEX(ERP資料!$G:$G, (MATCH(237, 輔助計算!$G$2:$G$801, 0)+1))&lt;=46.5,2,1)), IF(INDEX(ERP資料!$G:$G, (MATCH(237, 輔助計算!$G$2:$G$801, 0)+1))&lt;=790,3,IF(INDEX(ERP資料!$G:$G, (MATCH(237, 輔助計算!$G$2:$G$801, 0)+1))&lt;=1181,2,1))))=2,TEXT(INDEX(ERP資料!$G:$G, (MATCH(237, 輔助計算!$G$2:$G$801, 0)+1)),"0.##")&amp;"+"&amp;TEXT(INDEX(ERP資料!$G:$G, (MATCH(237, 輔助計算!$G$2:$G$801, 0)+1)),"0.##"),TEXT(INDEX(ERP資料!$G:$G, (MATCH(237, 輔助計算!$G$2:$G$801, 0)+1)),"0.##")&amp;"+"&amp;TEXT(INDEX(ERP資料!$G:$G, (MATCH(237, 輔助計算!$G$2:$G$801, 0)+1)),"0.##")&amp;"+"&amp;TEXT(INDEX(ERP資料!$G:$G, (MATCH(237, 輔助計算!$G$2:$G$801, 0)+1)),"0.##"))))&amp;"-1")), ""), "")</f>
        <v/>
      </c>
      <c r="K238" s="16" t="n"/>
      <c r="L238" s="14">
        <f>IFERROR(IF(AND(IFERROR(INDEX(ERP資料!$A:$A, (MATCH(237, 輔助計算!$G$2:$G$801, 0)+1)), "")&lt;&gt;"", IFERROR(INDEX(ERP資料!$A:$A, (MATCH(237, 輔助計算!$G$2:$G$801, 0)+1)), "")&lt;&gt;IFERROR(INDEX(ERP資料!$A:$A, MATCH(236, 輔助計算!$G$2:$G$801, 0)+1), "")), INDEX(ERP資料!$B:$B, (MATCH(237, 輔助計算!$G$2:$G$801, 0)+1)), ""), "")</f>
        <v/>
      </c>
      <c r="M238" s="17" t="n"/>
    </row>
    <row r="239">
      <c r="A239" s="10">
        <f>IFERROR(IF(AND(IFERROR(INDEX(ERP資料!$A:$A, (MATCH(238, 輔助計算!$G$2:$G$801, 0)+1)), "")&lt;&gt;"", IFERROR(INDEX(ERP資料!$A:$A, (MATCH(238, 輔助計算!$G$2:$G$801, 0)+1)), "")&lt;&gt;IFERROR(INDEX(ERP資料!$A:$A, MATCH(237, 輔助計算!$G$2:$G$801, 0)+1), "")), IFERROR(INDEX(ERP資料!$A:$A, (MATCH(238, 輔助計算!$G$2:$G$801, 0)+1)), ""), ""), "")</f>
        <v/>
      </c>
      <c r="B239" s="10">
        <f>IFERROR(IF(AND(IFERROR(INDEX(ERP資料!$A:$A, (MATCH(238, 輔助計算!$G$2:$G$801, 0)+1)), "")&lt;&gt;"", IFERROR(INDEX(ERP資料!$A:$A, (MATCH(238, 輔助計算!$G$2:$G$801, 0)+1)), "")&lt;&gt;IFERROR(INDEX(ERP資料!$A:$A, MATCH(237, 輔助計算!$G$2:$G$801, 0)+1), "")), INDEX(ERP資料!$S:$S, (MATCH(238, 輔助計算!$G$2:$G$801, 0)+1)), ""), "")</f>
        <v/>
      </c>
      <c r="C239" s="19">
        <f>IFERROR(IF(AND(IFERROR(INDEX(ERP資料!$A:$A, (MATCH(238, 輔助計算!$G$2:$G$801, 0)+1)), "")&lt;&gt;"", IFERROR(INDEX(ERP資料!$A:$A, (MATCH(238, 輔助計算!$G$2:$G$801, 0)+1)), "")&lt;&gt;IFERROR(INDEX(ERP資料!$A:$A, MATCH(237, 輔助計算!$G$2:$G$801, 0)+1), "")), IFERROR(VLOOKUP(LEFT(INDEX(ERP資料!$S:$S, (MATCH(238, 輔助計算!$G$2:$G$801, 0)+1)), 4), 紙管對照表!$A:$C, 3, FALSE), ""), ""), "")</f>
        <v/>
      </c>
      <c r="D239" s="16" t="n"/>
      <c r="E239" s="10">
        <f>IFERROR(IF(INDEX(ERP資料!$H:$H, (MATCH(238, 輔助計算!$G$2:$G$801, 0)+1))="","",INDEX(ERP資料!$H:$H, (MATCH(238, 輔助計算!$G$2:$G$801, 0)+1))), "")</f>
        <v/>
      </c>
      <c r="F239" s="10">
        <f>IFERROR(IF(INDEX(ERP資料!$E:$E, (MATCH(238, 輔助計算!$G$2:$G$801, 0)+1))="","",TRIM(INDEX(ERP資料!$E:$E, (MATCH(238, 輔助計算!$G$2:$G$801, 0)+1)))), "")</f>
        <v/>
      </c>
      <c r="G239" s="10">
        <f>IFERROR(IF(INDEX(ERP資料!$F:$F, (MATCH(238, 輔助計算!$G$2:$G$801, 0)+1))="","",INDEX(ERP資料!$F:$F, (MATCH(238, 輔助計算!$G$2:$G$801, 0)+1))), "")</f>
        <v/>
      </c>
      <c r="H239" s="10">
        <f>IFERROR(IF(INDEX(ERP資料!$G:$G, (MATCH(238, 輔助計算!$G$2:$G$801, 0)+1))="","",INDEX(ERP資料!$G:$G, (MATCH(238, 輔助計算!$G$2:$G$801, 0)+1))), "")</f>
        <v/>
      </c>
      <c r="I239" s="15">
        <f>IFERROR(INDEX(輔助計算!$D:$D, (MATCH(238, 輔助計算!$G$2:$G$801, 0)+1)), "")</f>
        <v/>
      </c>
      <c r="J239" s="15">
        <f>IFERROR(IF(AND(INDEX(輔助計算!$D:$D, (MATCH(238, 輔助計算!$G$2:$G$801, 0)+1))&lt;&gt;"", INDEX(ERP資料!$G:$G, (MATCH(238, 輔助計算!$G$2:$G$801, 0)+1))&lt;&gt;""), TRIM(IF(INT(INDEX(輔助計算!$D:$D, (MATCH(238, 輔助計算!$G$2:$G$801, 0)+1))/IF(INDEX(ERP資料!$G:$G, (MATCH(238, 輔助計算!$G$2:$G$801, 0)+1))&lt;100, IF(INDEX(ERP資料!$G:$G, (MATCH(238, 輔助計算!$G$2:$G$801, 0)+1))&lt;=31,3,IF(INDEX(ERP資料!$G:$G, (MATCH(238, 輔助計算!$G$2:$G$801, 0)+1))&lt;=46.5,2,1)), IF(INDEX(ERP資料!$G:$G, (MATCH(238, 輔助計算!$G$2:$G$801, 0)+1))&lt;=790,3,IF(INDEX(ERP資料!$G:$G, (MATCH(238, 輔助計算!$G$2:$G$801, 0)+1))&lt;=1181,2,1))))&gt;0, IF(IF(INDEX(ERP資料!$G:$G, (MATCH(238, 輔助計算!$G$2:$G$801, 0)+1))&lt;100, IF(INDEX(ERP資料!$G:$G, (MATCH(238, 輔助計算!$G$2:$G$801, 0)+1))&lt;=31,3,IF(INDEX(ERP資料!$G:$G, (MATCH(238, 輔助計算!$G$2:$G$801, 0)+1))&lt;=46.5,2,1)), IF(INDEX(ERP資料!$G:$G, (MATCH(238, 輔助計算!$G$2:$G$801, 0)+1))&lt;=790,3,IF(INDEX(ERP資料!$G:$G, (MATCH(238, 輔助計算!$G$2:$G$801, 0)+1))&lt;=1181,2,1)))=1,TEXT(INDEX(ERP資料!$G:$G, (MATCH(238, 輔助計算!$G$2:$G$801, 0)+1)),"0.##"),IF(IF(INDEX(ERP資料!$G:$G, (MATCH(238, 輔助計算!$G$2:$G$801, 0)+1))&lt;100, IF(INDEX(ERP資料!$G:$G, (MATCH(238, 輔助計算!$G$2:$G$801, 0)+1))&lt;=31,3,IF(INDEX(ERP資料!$G:$G, (MATCH(238, 輔助計算!$G$2:$G$801, 0)+1))&lt;=46.5,2,1)), IF(INDEX(ERP資料!$G:$G, (MATCH(238, 輔助計算!$G$2:$G$801, 0)+1))&lt;=790,3,IF(INDEX(ERP資料!$G:$G, (MATCH(238, 輔助計算!$G$2:$G$801, 0)+1))&lt;=1181,2,1)))=2,TEXT(INDEX(ERP資料!$G:$G, (MATCH(238, 輔助計算!$G$2:$G$801, 0)+1)),"0.##")&amp;"+"&amp;TEXT(INDEX(ERP資料!$G:$G, (MATCH(238, 輔助計算!$G$2:$G$801, 0)+1)),"0.##"),TEXT(INDEX(ERP資料!$G:$G, (MATCH(238, 輔助計算!$G$2:$G$801, 0)+1)),"0.##")&amp;"+"&amp;TEXT(INDEX(ERP資料!$G:$G, (MATCH(238, 輔助計算!$G$2:$G$801, 0)+1)),"0.##")&amp;"+"&amp;TEXT(INDEX(ERP資料!$G:$G, (MATCH(238, 輔助計算!$G$2:$G$801, 0)+1)),"0.##")))&amp;"-"&amp;INT(INDEX(輔助計算!$D:$D, (MATCH(238, 輔助計算!$G$2:$G$801, 0)+1))/IF(INDEX(ERP資料!$G:$G, (MATCH(238, 輔助計算!$G$2:$G$801, 0)+1))&lt;100, IF(INDEX(ERP資料!$G:$G, (MATCH(238, 輔助計算!$G$2:$G$801, 0)+1))&lt;=31,3,IF(INDEX(ERP資料!$G:$G, (MATCH(238, 輔助計算!$G$2:$G$801, 0)+1))&lt;=46.5,2,1)), IF(INDEX(ERP資料!$G:$G, (MATCH(238, 輔助計算!$G$2:$G$801, 0)+1))&lt;=790,3,IF(INDEX(ERP資料!$G:$G, (MATCH(238, 輔助計算!$G$2:$G$801, 0)+1))&lt;=1181,2,1)))), "")&amp;IF(AND(IF(INT(INDEX(輔助計算!$D:$D, (MATCH(238, 輔助計算!$G$2:$G$801, 0)+1))/IF(INDEX(ERP資料!$G:$G, (MATCH(238, 輔助計算!$G$2:$G$801, 0)+1))&lt;100, IF(INDEX(ERP資料!$G:$G, (MATCH(238, 輔助計算!$G$2:$G$801, 0)+1))&lt;=31,3,IF(INDEX(ERP資料!$G:$G, (MATCH(238, 輔助計算!$G$2:$G$801, 0)+1))&lt;=46.5,2,1)), IF(INDEX(ERP資料!$G:$G, (MATCH(238, 輔助計算!$G$2:$G$801, 0)+1))&lt;=790,3,IF(INDEX(ERP資料!$G:$G, (MATCH(238, 輔助計算!$G$2:$G$801, 0)+1))&lt;=1181,2,1))))&gt;0, IF(IF(INDEX(ERP資料!$G:$G, (MATCH(238, 輔助計算!$G$2:$G$801, 0)+1))&lt;100, IF(INDEX(ERP資料!$G:$G, (MATCH(238, 輔助計算!$G$2:$G$801, 0)+1))&lt;=31,3,IF(INDEX(ERP資料!$G:$G, (MATCH(238, 輔助計算!$G$2:$G$801, 0)+1))&lt;=46.5,2,1)), IF(INDEX(ERP資料!$G:$G, (MATCH(238, 輔助計算!$G$2:$G$801, 0)+1))&lt;=790,3,IF(INDEX(ERP資料!$G:$G, (MATCH(238, 輔助計算!$G$2:$G$801, 0)+1))&lt;=1181,2,1)))=1,TEXT(INDEX(ERP資料!$G:$G, (MATCH(238, 輔助計算!$G$2:$G$801, 0)+1)),"0.##"),IF(IF(INDEX(ERP資料!$G:$G, (MATCH(238, 輔助計算!$G$2:$G$801, 0)+1))&lt;100, IF(INDEX(ERP資料!$G:$G, (MATCH(238, 輔助計算!$G$2:$G$801, 0)+1))&lt;=31,3,IF(INDEX(ERP資料!$G:$G, (MATCH(238, 輔助計算!$G$2:$G$801, 0)+1))&lt;=46.5,2,1)), IF(INDEX(ERP資料!$G:$G, (MATCH(238, 輔助計算!$G$2:$G$801, 0)+1))&lt;=790,3,IF(INDEX(ERP資料!$G:$G, (MATCH(238, 輔助計算!$G$2:$G$801, 0)+1))&lt;=1181,2,1)))=2,TEXT(INDEX(ERP資料!$G:$G, (MATCH(238, 輔助計算!$G$2:$G$801, 0)+1)),"0.##")&amp;"+"&amp;TEXT(INDEX(ERP資料!$G:$G, (MATCH(238, 輔助計算!$G$2:$G$801, 0)+1)),"0.##"),TEXT(INDEX(ERP資料!$G:$G, (MATCH(238, 輔助計算!$G$2:$G$801, 0)+1)),"0.##")&amp;"+"&amp;TEXT(INDEX(ERP資料!$G:$G, (MATCH(238, 輔助計算!$G$2:$G$801, 0)+1)),"0.##")&amp;"+"&amp;TEXT(INDEX(ERP資料!$G:$G, (MATCH(238, 輔助計算!$G$2:$G$801, 0)+1)),"0.##")))&amp;"-"&amp;INT(INDEX(輔助計算!$D:$D, (MATCH(238, 輔助計算!$G$2:$G$801, 0)+1))/IF(INDEX(ERP資料!$G:$G, (MATCH(238, 輔助計算!$G$2:$G$801, 0)+1))&lt;100, IF(INDEX(ERP資料!$G:$G, (MATCH(238, 輔助計算!$G$2:$G$801, 0)+1))&lt;=31,3,IF(INDEX(ERP資料!$G:$G, (MATCH(238, 輔助計算!$G$2:$G$801, 0)+1))&lt;=46.5,2,1)), IF(INDEX(ERP資料!$G:$G, (MATCH(238, 輔助計算!$G$2:$G$801, 0)+1))&lt;=790,3,IF(INDEX(ERP資料!$G:$G, (MATCH(238, 輔助計算!$G$2:$G$801, 0)+1))&lt;=1181,2,1)))), "")&lt;&gt;"",IF(MOD(INDEX(輔助計算!$D:$D, (MATCH(238, 輔助計算!$G$2:$G$801, 0)+1)),IF(INDEX(ERP資料!$G:$G, (MATCH(238, 輔助計算!$G$2:$G$801, 0)+1))&lt;100, IF(INDEX(ERP資料!$G:$G, (MATCH(238, 輔助計算!$G$2:$G$801, 0)+1))&lt;=31,3,IF(INDEX(ERP資料!$G:$G, (MATCH(238, 輔助計算!$G$2:$G$801, 0)+1))&lt;=46.5,2,1)), IF(INDEX(ERP資料!$G:$G, (MATCH(238, 輔助計算!$G$2:$G$801, 0)+1))&lt;=790,3,IF(INDEX(ERP資料!$G:$G, (MATCH(238, 輔助計算!$G$2:$G$801, 0)+1))&lt;=1181,2,1))))=0,"",IF(MOD(INDEX(輔助計算!$D:$D, (MATCH(238, 輔助計算!$G$2:$G$801, 0)+1)),IF(INDEX(ERP資料!$G:$G, (MATCH(238, 輔助計算!$G$2:$G$801, 0)+1))&lt;100, IF(INDEX(ERP資料!$G:$G, (MATCH(238, 輔助計算!$G$2:$G$801, 0)+1))&lt;=31,3,IF(INDEX(ERP資料!$G:$G, (MATCH(238, 輔助計算!$G$2:$G$801, 0)+1))&lt;=46.5,2,1)), IF(INDEX(ERP資料!$G:$G, (MATCH(238, 輔助計算!$G$2:$G$801, 0)+1))&lt;=790,3,IF(INDEX(ERP資料!$G:$G, (MATCH(238, 輔助計算!$G$2:$G$801, 0)+1))&lt;=1181,2,1))))=0,"",IF(MOD(INDEX(輔助計算!$D:$D, (MATCH(238, 輔助計算!$G$2:$G$801, 0)+1)),IF(INDEX(ERP資料!$G:$G, (MATCH(238, 輔助計算!$G$2:$G$801, 0)+1))&lt;100, IF(INDEX(ERP資料!$G:$G, (MATCH(238, 輔助計算!$G$2:$G$801, 0)+1))&lt;=31,3,IF(INDEX(ERP資料!$G:$G, (MATCH(238, 輔助計算!$G$2:$G$801, 0)+1))&lt;=46.5,2,1)), IF(INDEX(ERP資料!$G:$G, (MATCH(238, 輔助計算!$G$2:$G$801, 0)+1))&lt;=790,3,IF(INDEX(ERP資料!$G:$G, (MATCH(238, 輔助計算!$G$2:$G$801, 0)+1))&lt;=1181,2,1))))=1,TEXT(INDEX(ERP資料!$G:$G, (MATCH(238, 輔助計算!$G$2:$G$801, 0)+1)),"0.##"),IF(MOD(INDEX(輔助計算!$D:$D, (MATCH(238, 輔助計算!$G$2:$G$801, 0)+1)),IF(INDEX(ERP資料!$G:$G, (MATCH(238, 輔助計算!$G$2:$G$801, 0)+1))&lt;100, IF(INDEX(ERP資料!$G:$G, (MATCH(238, 輔助計算!$G$2:$G$801, 0)+1))&lt;=31,3,IF(INDEX(ERP資料!$G:$G, (MATCH(238, 輔助計算!$G$2:$G$801, 0)+1))&lt;=46.5,2,1)), IF(INDEX(ERP資料!$G:$G, (MATCH(238, 輔助計算!$G$2:$G$801, 0)+1))&lt;=790,3,IF(INDEX(ERP資料!$G:$G, (MATCH(238, 輔助計算!$G$2:$G$801, 0)+1))&lt;=1181,2,1))))=2,TEXT(INDEX(ERP資料!$G:$G, (MATCH(238, 輔助計算!$G$2:$G$801, 0)+1)),"0.##")&amp;"+"&amp;TEXT(INDEX(ERP資料!$G:$G, (MATCH(238, 輔助計算!$G$2:$G$801, 0)+1)),"0.##"),TEXT(INDEX(ERP資料!$G:$G, (MATCH(238, 輔助計算!$G$2:$G$801, 0)+1)),"0.##")&amp;"+"&amp;TEXT(INDEX(ERP資料!$G:$G, (MATCH(238, 輔助計算!$G$2:$G$801, 0)+1)),"0.##")&amp;"+"&amp;TEXT(INDEX(ERP資料!$G:$G, (MATCH(238, 輔助計算!$G$2:$G$801, 0)+1)),"0.##"))))&amp;"-1")&lt;&gt;""),"  ","")&amp;IF(MOD(INDEX(輔助計算!$D:$D, (MATCH(238, 輔助計算!$G$2:$G$801, 0)+1)),IF(INDEX(ERP資料!$G:$G, (MATCH(238, 輔助計算!$G$2:$G$801, 0)+1))&lt;100, IF(INDEX(ERP資料!$G:$G, (MATCH(238, 輔助計算!$G$2:$G$801, 0)+1))&lt;=31,3,IF(INDEX(ERP資料!$G:$G, (MATCH(238, 輔助計算!$G$2:$G$801, 0)+1))&lt;=46.5,2,1)), IF(INDEX(ERP資料!$G:$G, (MATCH(238, 輔助計算!$G$2:$G$801, 0)+1))&lt;=790,3,IF(INDEX(ERP資料!$G:$G, (MATCH(238, 輔助計算!$G$2:$G$801, 0)+1))&lt;=1181,2,1))))=0,"",IF(MOD(INDEX(輔助計算!$D:$D, (MATCH(238, 輔助計算!$G$2:$G$801, 0)+1)),IF(INDEX(ERP資料!$G:$G, (MATCH(238, 輔助計算!$G$2:$G$801, 0)+1))&lt;100, IF(INDEX(ERP資料!$G:$G, (MATCH(238, 輔助計算!$G$2:$G$801, 0)+1))&lt;=31,3,IF(INDEX(ERP資料!$G:$G, (MATCH(238, 輔助計算!$G$2:$G$801, 0)+1))&lt;=46.5,2,1)), IF(INDEX(ERP資料!$G:$G, (MATCH(238, 輔助計算!$G$2:$G$801, 0)+1))&lt;=790,3,IF(INDEX(ERP資料!$G:$G, (MATCH(238, 輔助計算!$G$2:$G$801, 0)+1))&lt;=1181,2,1))))=0,"",IF(MOD(INDEX(輔助計算!$D:$D, (MATCH(238, 輔助計算!$G$2:$G$801, 0)+1)),IF(INDEX(ERP資料!$G:$G, (MATCH(238, 輔助計算!$G$2:$G$801, 0)+1))&lt;100, IF(INDEX(ERP資料!$G:$G, (MATCH(238, 輔助計算!$G$2:$G$801, 0)+1))&lt;=31,3,IF(INDEX(ERP資料!$G:$G, (MATCH(238, 輔助計算!$G$2:$G$801, 0)+1))&lt;=46.5,2,1)), IF(INDEX(ERP資料!$G:$G, (MATCH(238, 輔助計算!$G$2:$G$801, 0)+1))&lt;=790,3,IF(INDEX(ERP資料!$G:$G, (MATCH(238, 輔助計算!$G$2:$G$801, 0)+1))&lt;=1181,2,1))))=1,TEXT(INDEX(ERP資料!$G:$G, (MATCH(238, 輔助計算!$G$2:$G$801, 0)+1)),"0.##"),IF(MOD(INDEX(輔助計算!$D:$D, (MATCH(238, 輔助計算!$G$2:$G$801, 0)+1)),IF(INDEX(ERP資料!$G:$G, (MATCH(238, 輔助計算!$G$2:$G$801, 0)+1))&lt;100, IF(INDEX(ERP資料!$G:$G, (MATCH(238, 輔助計算!$G$2:$G$801, 0)+1))&lt;=31,3,IF(INDEX(ERP資料!$G:$G, (MATCH(238, 輔助計算!$G$2:$G$801, 0)+1))&lt;=46.5,2,1)), IF(INDEX(ERP資料!$G:$G, (MATCH(238, 輔助計算!$G$2:$G$801, 0)+1))&lt;=790,3,IF(INDEX(ERP資料!$G:$G, (MATCH(238, 輔助計算!$G$2:$G$801, 0)+1))&lt;=1181,2,1))))=2,TEXT(INDEX(ERP資料!$G:$G, (MATCH(238, 輔助計算!$G$2:$G$801, 0)+1)),"0.##")&amp;"+"&amp;TEXT(INDEX(ERP資料!$G:$G, (MATCH(238, 輔助計算!$G$2:$G$801, 0)+1)),"0.##"),TEXT(INDEX(ERP資料!$G:$G, (MATCH(238, 輔助計算!$G$2:$G$801, 0)+1)),"0.##")&amp;"+"&amp;TEXT(INDEX(ERP資料!$G:$G, (MATCH(238, 輔助計算!$G$2:$G$801, 0)+1)),"0.##")&amp;"+"&amp;TEXT(INDEX(ERP資料!$G:$G, (MATCH(238, 輔助計算!$G$2:$G$801, 0)+1)),"0.##"))))&amp;"-1")), ""), "")</f>
        <v/>
      </c>
      <c r="K239" s="16" t="n"/>
      <c r="L239" s="14">
        <f>IFERROR(IF(AND(IFERROR(INDEX(ERP資料!$A:$A, (MATCH(238, 輔助計算!$G$2:$G$801, 0)+1)), "")&lt;&gt;"", IFERROR(INDEX(ERP資料!$A:$A, (MATCH(238, 輔助計算!$G$2:$G$801, 0)+1)), "")&lt;&gt;IFERROR(INDEX(ERP資料!$A:$A, MATCH(237, 輔助計算!$G$2:$G$801, 0)+1), "")), INDEX(ERP資料!$B:$B, (MATCH(238, 輔助計算!$G$2:$G$801, 0)+1)), ""), "")</f>
        <v/>
      </c>
      <c r="M239" s="17" t="n"/>
    </row>
    <row r="240">
      <c r="A240" s="10">
        <f>IFERROR(IF(AND(IFERROR(INDEX(ERP資料!$A:$A, (MATCH(239, 輔助計算!$G$2:$G$801, 0)+1)), "")&lt;&gt;"", IFERROR(INDEX(ERP資料!$A:$A, (MATCH(239, 輔助計算!$G$2:$G$801, 0)+1)), "")&lt;&gt;IFERROR(INDEX(ERP資料!$A:$A, MATCH(238, 輔助計算!$G$2:$G$801, 0)+1), "")), IFERROR(INDEX(ERP資料!$A:$A, (MATCH(239, 輔助計算!$G$2:$G$801, 0)+1)), ""), ""), "")</f>
        <v/>
      </c>
      <c r="B240" s="10">
        <f>IFERROR(IF(AND(IFERROR(INDEX(ERP資料!$A:$A, (MATCH(239, 輔助計算!$G$2:$G$801, 0)+1)), "")&lt;&gt;"", IFERROR(INDEX(ERP資料!$A:$A, (MATCH(239, 輔助計算!$G$2:$G$801, 0)+1)), "")&lt;&gt;IFERROR(INDEX(ERP資料!$A:$A, MATCH(238, 輔助計算!$G$2:$G$801, 0)+1), "")), INDEX(ERP資料!$S:$S, (MATCH(239, 輔助計算!$G$2:$G$801, 0)+1)), ""), "")</f>
        <v/>
      </c>
      <c r="C240" s="19">
        <f>IFERROR(IF(AND(IFERROR(INDEX(ERP資料!$A:$A, (MATCH(239, 輔助計算!$G$2:$G$801, 0)+1)), "")&lt;&gt;"", IFERROR(INDEX(ERP資料!$A:$A, (MATCH(239, 輔助計算!$G$2:$G$801, 0)+1)), "")&lt;&gt;IFERROR(INDEX(ERP資料!$A:$A, MATCH(238, 輔助計算!$G$2:$G$801, 0)+1), "")), IFERROR(VLOOKUP(LEFT(INDEX(ERP資料!$S:$S, (MATCH(239, 輔助計算!$G$2:$G$801, 0)+1)), 4), 紙管對照表!$A:$C, 3, FALSE), ""), ""), "")</f>
        <v/>
      </c>
      <c r="D240" s="16" t="n"/>
      <c r="E240" s="10">
        <f>IFERROR(IF(INDEX(ERP資料!$H:$H, (MATCH(239, 輔助計算!$G$2:$G$801, 0)+1))="","",INDEX(ERP資料!$H:$H, (MATCH(239, 輔助計算!$G$2:$G$801, 0)+1))), "")</f>
        <v/>
      </c>
      <c r="F240" s="10">
        <f>IFERROR(IF(INDEX(ERP資料!$E:$E, (MATCH(239, 輔助計算!$G$2:$G$801, 0)+1))="","",TRIM(INDEX(ERP資料!$E:$E, (MATCH(239, 輔助計算!$G$2:$G$801, 0)+1)))), "")</f>
        <v/>
      </c>
      <c r="G240" s="10">
        <f>IFERROR(IF(INDEX(ERP資料!$F:$F, (MATCH(239, 輔助計算!$G$2:$G$801, 0)+1))="","",INDEX(ERP資料!$F:$F, (MATCH(239, 輔助計算!$G$2:$G$801, 0)+1))), "")</f>
        <v/>
      </c>
      <c r="H240" s="10">
        <f>IFERROR(IF(INDEX(ERP資料!$G:$G, (MATCH(239, 輔助計算!$G$2:$G$801, 0)+1))="","",INDEX(ERP資料!$G:$G, (MATCH(239, 輔助計算!$G$2:$G$801, 0)+1))), "")</f>
        <v/>
      </c>
      <c r="I240" s="15">
        <f>IFERROR(INDEX(輔助計算!$D:$D, (MATCH(239, 輔助計算!$G$2:$G$801, 0)+1)), "")</f>
        <v/>
      </c>
      <c r="J240" s="15">
        <f>IFERROR(IF(AND(INDEX(輔助計算!$D:$D, (MATCH(239, 輔助計算!$G$2:$G$801, 0)+1))&lt;&gt;"", INDEX(ERP資料!$G:$G, (MATCH(239, 輔助計算!$G$2:$G$801, 0)+1))&lt;&gt;""), TRIM(IF(INT(INDEX(輔助計算!$D:$D, (MATCH(239, 輔助計算!$G$2:$G$801, 0)+1))/IF(INDEX(ERP資料!$G:$G, (MATCH(239, 輔助計算!$G$2:$G$801, 0)+1))&lt;100, IF(INDEX(ERP資料!$G:$G, (MATCH(239, 輔助計算!$G$2:$G$801, 0)+1))&lt;=31,3,IF(INDEX(ERP資料!$G:$G, (MATCH(239, 輔助計算!$G$2:$G$801, 0)+1))&lt;=46.5,2,1)), IF(INDEX(ERP資料!$G:$G, (MATCH(239, 輔助計算!$G$2:$G$801, 0)+1))&lt;=790,3,IF(INDEX(ERP資料!$G:$G, (MATCH(239, 輔助計算!$G$2:$G$801, 0)+1))&lt;=1181,2,1))))&gt;0, IF(IF(INDEX(ERP資料!$G:$G, (MATCH(239, 輔助計算!$G$2:$G$801, 0)+1))&lt;100, IF(INDEX(ERP資料!$G:$G, (MATCH(239, 輔助計算!$G$2:$G$801, 0)+1))&lt;=31,3,IF(INDEX(ERP資料!$G:$G, (MATCH(239, 輔助計算!$G$2:$G$801, 0)+1))&lt;=46.5,2,1)), IF(INDEX(ERP資料!$G:$G, (MATCH(239, 輔助計算!$G$2:$G$801, 0)+1))&lt;=790,3,IF(INDEX(ERP資料!$G:$G, (MATCH(239, 輔助計算!$G$2:$G$801, 0)+1))&lt;=1181,2,1)))=1,TEXT(INDEX(ERP資料!$G:$G, (MATCH(239, 輔助計算!$G$2:$G$801, 0)+1)),"0.##"),IF(IF(INDEX(ERP資料!$G:$G, (MATCH(239, 輔助計算!$G$2:$G$801, 0)+1))&lt;100, IF(INDEX(ERP資料!$G:$G, (MATCH(239, 輔助計算!$G$2:$G$801, 0)+1))&lt;=31,3,IF(INDEX(ERP資料!$G:$G, (MATCH(239, 輔助計算!$G$2:$G$801, 0)+1))&lt;=46.5,2,1)), IF(INDEX(ERP資料!$G:$G, (MATCH(239, 輔助計算!$G$2:$G$801, 0)+1))&lt;=790,3,IF(INDEX(ERP資料!$G:$G, (MATCH(239, 輔助計算!$G$2:$G$801, 0)+1))&lt;=1181,2,1)))=2,TEXT(INDEX(ERP資料!$G:$G, (MATCH(239, 輔助計算!$G$2:$G$801, 0)+1)),"0.##")&amp;"+"&amp;TEXT(INDEX(ERP資料!$G:$G, (MATCH(239, 輔助計算!$G$2:$G$801, 0)+1)),"0.##"),TEXT(INDEX(ERP資料!$G:$G, (MATCH(239, 輔助計算!$G$2:$G$801, 0)+1)),"0.##")&amp;"+"&amp;TEXT(INDEX(ERP資料!$G:$G, (MATCH(239, 輔助計算!$G$2:$G$801, 0)+1)),"0.##")&amp;"+"&amp;TEXT(INDEX(ERP資料!$G:$G, (MATCH(239, 輔助計算!$G$2:$G$801, 0)+1)),"0.##")))&amp;"-"&amp;INT(INDEX(輔助計算!$D:$D, (MATCH(239, 輔助計算!$G$2:$G$801, 0)+1))/IF(INDEX(ERP資料!$G:$G, (MATCH(239, 輔助計算!$G$2:$G$801, 0)+1))&lt;100, IF(INDEX(ERP資料!$G:$G, (MATCH(239, 輔助計算!$G$2:$G$801, 0)+1))&lt;=31,3,IF(INDEX(ERP資料!$G:$G, (MATCH(239, 輔助計算!$G$2:$G$801, 0)+1))&lt;=46.5,2,1)), IF(INDEX(ERP資料!$G:$G, (MATCH(239, 輔助計算!$G$2:$G$801, 0)+1))&lt;=790,3,IF(INDEX(ERP資料!$G:$G, (MATCH(239, 輔助計算!$G$2:$G$801, 0)+1))&lt;=1181,2,1)))), "")&amp;IF(AND(IF(INT(INDEX(輔助計算!$D:$D, (MATCH(239, 輔助計算!$G$2:$G$801, 0)+1))/IF(INDEX(ERP資料!$G:$G, (MATCH(239, 輔助計算!$G$2:$G$801, 0)+1))&lt;100, IF(INDEX(ERP資料!$G:$G, (MATCH(239, 輔助計算!$G$2:$G$801, 0)+1))&lt;=31,3,IF(INDEX(ERP資料!$G:$G, (MATCH(239, 輔助計算!$G$2:$G$801, 0)+1))&lt;=46.5,2,1)), IF(INDEX(ERP資料!$G:$G, (MATCH(239, 輔助計算!$G$2:$G$801, 0)+1))&lt;=790,3,IF(INDEX(ERP資料!$G:$G, (MATCH(239, 輔助計算!$G$2:$G$801, 0)+1))&lt;=1181,2,1))))&gt;0, IF(IF(INDEX(ERP資料!$G:$G, (MATCH(239, 輔助計算!$G$2:$G$801, 0)+1))&lt;100, IF(INDEX(ERP資料!$G:$G, (MATCH(239, 輔助計算!$G$2:$G$801, 0)+1))&lt;=31,3,IF(INDEX(ERP資料!$G:$G, (MATCH(239, 輔助計算!$G$2:$G$801, 0)+1))&lt;=46.5,2,1)), IF(INDEX(ERP資料!$G:$G, (MATCH(239, 輔助計算!$G$2:$G$801, 0)+1))&lt;=790,3,IF(INDEX(ERP資料!$G:$G, (MATCH(239, 輔助計算!$G$2:$G$801, 0)+1))&lt;=1181,2,1)))=1,TEXT(INDEX(ERP資料!$G:$G, (MATCH(239, 輔助計算!$G$2:$G$801, 0)+1)),"0.##"),IF(IF(INDEX(ERP資料!$G:$G, (MATCH(239, 輔助計算!$G$2:$G$801, 0)+1))&lt;100, IF(INDEX(ERP資料!$G:$G, (MATCH(239, 輔助計算!$G$2:$G$801, 0)+1))&lt;=31,3,IF(INDEX(ERP資料!$G:$G, (MATCH(239, 輔助計算!$G$2:$G$801, 0)+1))&lt;=46.5,2,1)), IF(INDEX(ERP資料!$G:$G, (MATCH(239, 輔助計算!$G$2:$G$801, 0)+1))&lt;=790,3,IF(INDEX(ERP資料!$G:$G, (MATCH(239, 輔助計算!$G$2:$G$801, 0)+1))&lt;=1181,2,1)))=2,TEXT(INDEX(ERP資料!$G:$G, (MATCH(239, 輔助計算!$G$2:$G$801, 0)+1)),"0.##")&amp;"+"&amp;TEXT(INDEX(ERP資料!$G:$G, (MATCH(239, 輔助計算!$G$2:$G$801, 0)+1)),"0.##"),TEXT(INDEX(ERP資料!$G:$G, (MATCH(239, 輔助計算!$G$2:$G$801, 0)+1)),"0.##")&amp;"+"&amp;TEXT(INDEX(ERP資料!$G:$G, (MATCH(239, 輔助計算!$G$2:$G$801, 0)+1)),"0.##")&amp;"+"&amp;TEXT(INDEX(ERP資料!$G:$G, (MATCH(239, 輔助計算!$G$2:$G$801, 0)+1)),"0.##")))&amp;"-"&amp;INT(INDEX(輔助計算!$D:$D, (MATCH(239, 輔助計算!$G$2:$G$801, 0)+1))/IF(INDEX(ERP資料!$G:$G, (MATCH(239, 輔助計算!$G$2:$G$801, 0)+1))&lt;100, IF(INDEX(ERP資料!$G:$G, (MATCH(239, 輔助計算!$G$2:$G$801, 0)+1))&lt;=31,3,IF(INDEX(ERP資料!$G:$G, (MATCH(239, 輔助計算!$G$2:$G$801, 0)+1))&lt;=46.5,2,1)), IF(INDEX(ERP資料!$G:$G, (MATCH(239, 輔助計算!$G$2:$G$801, 0)+1))&lt;=790,3,IF(INDEX(ERP資料!$G:$G, (MATCH(239, 輔助計算!$G$2:$G$801, 0)+1))&lt;=1181,2,1)))), "")&lt;&gt;"",IF(MOD(INDEX(輔助計算!$D:$D, (MATCH(239, 輔助計算!$G$2:$G$801, 0)+1)),IF(INDEX(ERP資料!$G:$G, (MATCH(239, 輔助計算!$G$2:$G$801, 0)+1))&lt;100, IF(INDEX(ERP資料!$G:$G, (MATCH(239, 輔助計算!$G$2:$G$801, 0)+1))&lt;=31,3,IF(INDEX(ERP資料!$G:$G, (MATCH(239, 輔助計算!$G$2:$G$801, 0)+1))&lt;=46.5,2,1)), IF(INDEX(ERP資料!$G:$G, (MATCH(239, 輔助計算!$G$2:$G$801, 0)+1))&lt;=790,3,IF(INDEX(ERP資料!$G:$G, (MATCH(239, 輔助計算!$G$2:$G$801, 0)+1))&lt;=1181,2,1))))=0,"",IF(MOD(INDEX(輔助計算!$D:$D, (MATCH(239, 輔助計算!$G$2:$G$801, 0)+1)),IF(INDEX(ERP資料!$G:$G, (MATCH(239, 輔助計算!$G$2:$G$801, 0)+1))&lt;100, IF(INDEX(ERP資料!$G:$G, (MATCH(239, 輔助計算!$G$2:$G$801, 0)+1))&lt;=31,3,IF(INDEX(ERP資料!$G:$G, (MATCH(239, 輔助計算!$G$2:$G$801, 0)+1))&lt;=46.5,2,1)), IF(INDEX(ERP資料!$G:$G, (MATCH(239, 輔助計算!$G$2:$G$801, 0)+1))&lt;=790,3,IF(INDEX(ERP資料!$G:$G, (MATCH(239, 輔助計算!$G$2:$G$801, 0)+1))&lt;=1181,2,1))))=0,"",IF(MOD(INDEX(輔助計算!$D:$D, (MATCH(239, 輔助計算!$G$2:$G$801, 0)+1)),IF(INDEX(ERP資料!$G:$G, (MATCH(239, 輔助計算!$G$2:$G$801, 0)+1))&lt;100, IF(INDEX(ERP資料!$G:$G, (MATCH(239, 輔助計算!$G$2:$G$801, 0)+1))&lt;=31,3,IF(INDEX(ERP資料!$G:$G, (MATCH(239, 輔助計算!$G$2:$G$801, 0)+1))&lt;=46.5,2,1)), IF(INDEX(ERP資料!$G:$G, (MATCH(239, 輔助計算!$G$2:$G$801, 0)+1))&lt;=790,3,IF(INDEX(ERP資料!$G:$G, (MATCH(239, 輔助計算!$G$2:$G$801, 0)+1))&lt;=1181,2,1))))=1,TEXT(INDEX(ERP資料!$G:$G, (MATCH(239, 輔助計算!$G$2:$G$801, 0)+1)),"0.##"),IF(MOD(INDEX(輔助計算!$D:$D, (MATCH(239, 輔助計算!$G$2:$G$801, 0)+1)),IF(INDEX(ERP資料!$G:$G, (MATCH(239, 輔助計算!$G$2:$G$801, 0)+1))&lt;100, IF(INDEX(ERP資料!$G:$G, (MATCH(239, 輔助計算!$G$2:$G$801, 0)+1))&lt;=31,3,IF(INDEX(ERP資料!$G:$G, (MATCH(239, 輔助計算!$G$2:$G$801, 0)+1))&lt;=46.5,2,1)), IF(INDEX(ERP資料!$G:$G, (MATCH(239, 輔助計算!$G$2:$G$801, 0)+1))&lt;=790,3,IF(INDEX(ERP資料!$G:$G, (MATCH(239, 輔助計算!$G$2:$G$801, 0)+1))&lt;=1181,2,1))))=2,TEXT(INDEX(ERP資料!$G:$G, (MATCH(239, 輔助計算!$G$2:$G$801, 0)+1)),"0.##")&amp;"+"&amp;TEXT(INDEX(ERP資料!$G:$G, (MATCH(239, 輔助計算!$G$2:$G$801, 0)+1)),"0.##"),TEXT(INDEX(ERP資料!$G:$G, (MATCH(239, 輔助計算!$G$2:$G$801, 0)+1)),"0.##")&amp;"+"&amp;TEXT(INDEX(ERP資料!$G:$G, (MATCH(239, 輔助計算!$G$2:$G$801, 0)+1)),"0.##")&amp;"+"&amp;TEXT(INDEX(ERP資料!$G:$G, (MATCH(239, 輔助計算!$G$2:$G$801, 0)+1)),"0.##"))))&amp;"-1")&lt;&gt;""),"  ","")&amp;IF(MOD(INDEX(輔助計算!$D:$D, (MATCH(239, 輔助計算!$G$2:$G$801, 0)+1)),IF(INDEX(ERP資料!$G:$G, (MATCH(239, 輔助計算!$G$2:$G$801, 0)+1))&lt;100, IF(INDEX(ERP資料!$G:$G, (MATCH(239, 輔助計算!$G$2:$G$801, 0)+1))&lt;=31,3,IF(INDEX(ERP資料!$G:$G, (MATCH(239, 輔助計算!$G$2:$G$801, 0)+1))&lt;=46.5,2,1)), IF(INDEX(ERP資料!$G:$G, (MATCH(239, 輔助計算!$G$2:$G$801, 0)+1))&lt;=790,3,IF(INDEX(ERP資料!$G:$G, (MATCH(239, 輔助計算!$G$2:$G$801, 0)+1))&lt;=1181,2,1))))=0,"",IF(MOD(INDEX(輔助計算!$D:$D, (MATCH(239, 輔助計算!$G$2:$G$801, 0)+1)),IF(INDEX(ERP資料!$G:$G, (MATCH(239, 輔助計算!$G$2:$G$801, 0)+1))&lt;100, IF(INDEX(ERP資料!$G:$G, (MATCH(239, 輔助計算!$G$2:$G$801, 0)+1))&lt;=31,3,IF(INDEX(ERP資料!$G:$G, (MATCH(239, 輔助計算!$G$2:$G$801, 0)+1))&lt;=46.5,2,1)), IF(INDEX(ERP資料!$G:$G, (MATCH(239, 輔助計算!$G$2:$G$801, 0)+1))&lt;=790,3,IF(INDEX(ERP資料!$G:$G, (MATCH(239, 輔助計算!$G$2:$G$801, 0)+1))&lt;=1181,2,1))))=0,"",IF(MOD(INDEX(輔助計算!$D:$D, (MATCH(239, 輔助計算!$G$2:$G$801, 0)+1)),IF(INDEX(ERP資料!$G:$G, (MATCH(239, 輔助計算!$G$2:$G$801, 0)+1))&lt;100, IF(INDEX(ERP資料!$G:$G, (MATCH(239, 輔助計算!$G$2:$G$801, 0)+1))&lt;=31,3,IF(INDEX(ERP資料!$G:$G, (MATCH(239, 輔助計算!$G$2:$G$801, 0)+1))&lt;=46.5,2,1)), IF(INDEX(ERP資料!$G:$G, (MATCH(239, 輔助計算!$G$2:$G$801, 0)+1))&lt;=790,3,IF(INDEX(ERP資料!$G:$G, (MATCH(239, 輔助計算!$G$2:$G$801, 0)+1))&lt;=1181,2,1))))=1,TEXT(INDEX(ERP資料!$G:$G, (MATCH(239, 輔助計算!$G$2:$G$801, 0)+1)),"0.##"),IF(MOD(INDEX(輔助計算!$D:$D, (MATCH(239, 輔助計算!$G$2:$G$801, 0)+1)),IF(INDEX(ERP資料!$G:$G, (MATCH(239, 輔助計算!$G$2:$G$801, 0)+1))&lt;100, IF(INDEX(ERP資料!$G:$G, (MATCH(239, 輔助計算!$G$2:$G$801, 0)+1))&lt;=31,3,IF(INDEX(ERP資料!$G:$G, (MATCH(239, 輔助計算!$G$2:$G$801, 0)+1))&lt;=46.5,2,1)), IF(INDEX(ERP資料!$G:$G, (MATCH(239, 輔助計算!$G$2:$G$801, 0)+1))&lt;=790,3,IF(INDEX(ERP資料!$G:$G, (MATCH(239, 輔助計算!$G$2:$G$801, 0)+1))&lt;=1181,2,1))))=2,TEXT(INDEX(ERP資料!$G:$G, (MATCH(239, 輔助計算!$G$2:$G$801, 0)+1)),"0.##")&amp;"+"&amp;TEXT(INDEX(ERP資料!$G:$G, (MATCH(239, 輔助計算!$G$2:$G$801, 0)+1)),"0.##"),TEXT(INDEX(ERP資料!$G:$G, (MATCH(239, 輔助計算!$G$2:$G$801, 0)+1)),"0.##")&amp;"+"&amp;TEXT(INDEX(ERP資料!$G:$G, (MATCH(239, 輔助計算!$G$2:$G$801, 0)+1)),"0.##")&amp;"+"&amp;TEXT(INDEX(ERP資料!$G:$G, (MATCH(239, 輔助計算!$G$2:$G$801, 0)+1)),"0.##"))))&amp;"-1")), ""), "")</f>
        <v/>
      </c>
      <c r="K240" s="16" t="n"/>
      <c r="L240" s="14">
        <f>IFERROR(IF(AND(IFERROR(INDEX(ERP資料!$A:$A, (MATCH(239, 輔助計算!$G$2:$G$801, 0)+1)), "")&lt;&gt;"", IFERROR(INDEX(ERP資料!$A:$A, (MATCH(239, 輔助計算!$G$2:$G$801, 0)+1)), "")&lt;&gt;IFERROR(INDEX(ERP資料!$A:$A, MATCH(238, 輔助計算!$G$2:$G$801, 0)+1), "")), INDEX(ERP資料!$B:$B, (MATCH(239, 輔助計算!$G$2:$G$801, 0)+1)), ""), "")</f>
        <v/>
      </c>
      <c r="M240" s="17" t="n"/>
    </row>
    <row r="241">
      <c r="A241" s="10">
        <f>IFERROR(IF(AND(IFERROR(INDEX(ERP資料!$A:$A, (MATCH(240, 輔助計算!$G$2:$G$801, 0)+1)), "")&lt;&gt;"", IFERROR(INDEX(ERP資料!$A:$A, (MATCH(240, 輔助計算!$G$2:$G$801, 0)+1)), "")&lt;&gt;IFERROR(INDEX(ERP資料!$A:$A, MATCH(239, 輔助計算!$G$2:$G$801, 0)+1), "")), IFERROR(INDEX(ERP資料!$A:$A, (MATCH(240, 輔助計算!$G$2:$G$801, 0)+1)), ""), ""), "")</f>
        <v/>
      </c>
      <c r="B241" s="10">
        <f>IFERROR(IF(AND(IFERROR(INDEX(ERP資料!$A:$A, (MATCH(240, 輔助計算!$G$2:$G$801, 0)+1)), "")&lt;&gt;"", IFERROR(INDEX(ERP資料!$A:$A, (MATCH(240, 輔助計算!$G$2:$G$801, 0)+1)), "")&lt;&gt;IFERROR(INDEX(ERP資料!$A:$A, MATCH(239, 輔助計算!$G$2:$G$801, 0)+1), "")), INDEX(ERP資料!$S:$S, (MATCH(240, 輔助計算!$G$2:$G$801, 0)+1)), ""), "")</f>
        <v/>
      </c>
      <c r="C241" s="19">
        <f>IFERROR(IF(AND(IFERROR(INDEX(ERP資料!$A:$A, (MATCH(240, 輔助計算!$G$2:$G$801, 0)+1)), "")&lt;&gt;"", IFERROR(INDEX(ERP資料!$A:$A, (MATCH(240, 輔助計算!$G$2:$G$801, 0)+1)), "")&lt;&gt;IFERROR(INDEX(ERP資料!$A:$A, MATCH(239, 輔助計算!$G$2:$G$801, 0)+1), "")), IFERROR(VLOOKUP(LEFT(INDEX(ERP資料!$S:$S, (MATCH(240, 輔助計算!$G$2:$G$801, 0)+1)), 4), 紙管對照表!$A:$C, 3, FALSE), ""), ""), "")</f>
        <v/>
      </c>
      <c r="D241" s="16" t="n"/>
      <c r="E241" s="10">
        <f>IFERROR(IF(INDEX(ERP資料!$H:$H, (MATCH(240, 輔助計算!$G$2:$G$801, 0)+1))="","",INDEX(ERP資料!$H:$H, (MATCH(240, 輔助計算!$G$2:$G$801, 0)+1))), "")</f>
        <v/>
      </c>
      <c r="F241" s="10">
        <f>IFERROR(IF(INDEX(ERP資料!$E:$E, (MATCH(240, 輔助計算!$G$2:$G$801, 0)+1))="","",TRIM(INDEX(ERP資料!$E:$E, (MATCH(240, 輔助計算!$G$2:$G$801, 0)+1)))), "")</f>
        <v/>
      </c>
      <c r="G241" s="10">
        <f>IFERROR(IF(INDEX(ERP資料!$F:$F, (MATCH(240, 輔助計算!$G$2:$G$801, 0)+1))="","",INDEX(ERP資料!$F:$F, (MATCH(240, 輔助計算!$G$2:$G$801, 0)+1))), "")</f>
        <v/>
      </c>
      <c r="H241" s="10">
        <f>IFERROR(IF(INDEX(ERP資料!$G:$G, (MATCH(240, 輔助計算!$G$2:$G$801, 0)+1))="","",INDEX(ERP資料!$G:$G, (MATCH(240, 輔助計算!$G$2:$G$801, 0)+1))), "")</f>
        <v/>
      </c>
      <c r="I241" s="15">
        <f>IFERROR(INDEX(輔助計算!$D:$D, (MATCH(240, 輔助計算!$G$2:$G$801, 0)+1)), "")</f>
        <v/>
      </c>
      <c r="J241" s="15">
        <f>IFERROR(IF(AND(INDEX(輔助計算!$D:$D, (MATCH(240, 輔助計算!$G$2:$G$801, 0)+1))&lt;&gt;"", INDEX(ERP資料!$G:$G, (MATCH(240, 輔助計算!$G$2:$G$801, 0)+1))&lt;&gt;""), TRIM(IF(INT(INDEX(輔助計算!$D:$D, (MATCH(240, 輔助計算!$G$2:$G$801, 0)+1))/IF(INDEX(ERP資料!$G:$G, (MATCH(240, 輔助計算!$G$2:$G$801, 0)+1))&lt;100, IF(INDEX(ERP資料!$G:$G, (MATCH(240, 輔助計算!$G$2:$G$801, 0)+1))&lt;=31,3,IF(INDEX(ERP資料!$G:$G, (MATCH(240, 輔助計算!$G$2:$G$801, 0)+1))&lt;=46.5,2,1)), IF(INDEX(ERP資料!$G:$G, (MATCH(240, 輔助計算!$G$2:$G$801, 0)+1))&lt;=790,3,IF(INDEX(ERP資料!$G:$G, (MATCH(240, 輔助計算!$G$2:$G$801, 0)+1))&lt;=1181,2,1))))&gt;0, IF(IF(INDEX(ERP資料!$G:$G, (MATCH(240, 輔助計算!$G$2:$G$801, 0)+1))&lt;100, IF(INDEX(ERP資料!$G:$G, (MATCH(240, 輔助計算!$G$2:$G$801, 0)+1))&lt;=31,3,IF(INDEX(ERP資料!$G:$G, (MATCH(240, 輔助計算!$G$2:$G$801, 0)+1))&lt;=46.5,2,1)), IF(INDEX(ERP資料!$G:$G, (MATCH(240, 輔助計算!$G$2:$G$801, 0)+1))&lt;=790,3,IF(INDEX(ERP資料!$G:$G, (MATCH(240, 輔助計算!$G$2:$G$801, 0)+1))&lt;=1181,2,1)))=1,TEXT(INDEX(ERP資料!$G:$G, (MATCH(240, 輔助計算!$G$2:$G$801, 0)+1)),"0.##"),IF(IF(INDEX(ERP資料!$G:$G, (MATCH(240, 輔助計算!$G$2:$G$801, 0)+1))&lt;100, IF(INDEX(ERP資料!$G:$G, (MATCH(240, 輔助計算!$G$2:$G$801, 0)+1))&lt;=31,3,IF(INDEX(ERP資料!$G:$G, (MATCH(240, 輔助計算!$G$2:$G$801, 0)+1))&lt;=46.5,2,1)), IF(INDEX(ERP資料!$G:$G, (MATCH(240, 輔助計算!$G$2:$G$801, 0)+1))&lt;=790,3,IF(INDEX(ERP資料!$G:$G, (MATCH(240, 輔助計算!$G$2:$G$801, 0)+1))&lt;=1181,2,1)))=2,TEXT(INDEX(ERP資料!$G:$G, (MATCH(240, 輔助計算!$G$2:$G$801, 0)+1)),"0.##")&amp;"+"&amp;TEXT(INDEX(ERP資料!$G:$G, (MATCH(240, 輔助計算!$G$2:$G$801, 0)+1)),"0.##"),TEXT(INDEX(ERP資料!$G:$G, (MATCH(240, 輔助計算!$G$2:$G$801, 0)+1)),"0.##")&amp;"+"&amp;TEXT(INDEX(ERP資料!$G:$G, (MATCH(240, 輔助計算!$G$2:$G$801, 0)+1)),"0.##")&amp;"+"&amp;TEXT(INDEX(ERP資料!$G:$G, (MATCH(240, 輔助計算!$G$2:$G$801, 0)+1)),"0.##")))&amp;"-"&amp;INT(INDEX(輔助計算!$D:$D, (MATCH(240, 輔助計算!$G$2:$G$801, 0)+1))/IF(INDEX(ERP資料!$G:$G, (MATCH(240, 輔助計算!$G$2:$G$801, 0)+1))&lt;100, IF(INDEX(ERP資料!$G:$G, (MATCH(240, 輔助計算!$G$2:$G$801, 0)+1))&lt;=31,3,IF(INDEX(ERP資料!$G:$G, (MATCH(240, 輔助計算!$G$2:$G$801, 0)+1))&lt;=46.5,2,1)), IF(INDEX(ERP資料!$G:$G, (MATCH(240, 輔助計算!$G$2:$G$801, 0)+1))&lt;=790,3,IF(INDEX(ERP資料!$G:$G, (MATCH(240, 輔助計算!$G$2:$G$801, 0)+1))&lt;=1181,2,1)))), "")&amp;IF(AND(IF(INT(INDEX(輔助計算!$D:$D, (MATCH(240, 輔助計算!$G$2:$G$801, 0)+1))/IF(INDEX(ERP資料!$G:$G, (MATCH(240, 輔助計算!$G$2:$G$801, 0)+1))&lt;100, IF(INDEX(ERP資料!$G:$G, (MATCH(240, 輔助計算!$G$2:$G$801, 0)+1))&lt;=31,3,IF(INDEX(ERP資料!$G:$G, (MATCH(240, 輔助計算!$G$2:$G$801, 0)+1))&lt;=46.5,2,1)), IF(INDEX(ERP資料!$G:$G, (MATCH(240, 輔助計算!$G$2:$G$801, 0)+1))&lt;=790,3,IF(INDEX(ERP資料!$G:$G, (MATCH(240, 輔助計算!$G$2:$G$801, 0)+1))&lt;=1181,2,1))))&gt;0, IF(IF(INDEX(ERP資料!$G:$G, (MATCH(240, 輔助計算!$G$2:$G$801, 0)+1))&lt;100, IF(INDEX(ERP資料!$G:$G, (MATCH(240, 輔助計算!$G$2:$G$801, 0)+1))&lt;=31,3,IF(INDEX(ERP資料!$G:$G, (MATCH(240, 輔助計算!$G$2:$G$801, 0)+1))&lt;=46.5,2,1)), IF(INDEX(ERP資料!$G:$G, (MATCH(240, 輔助計算!$G$2:$G$801, 0)+1))&lt;=790,3,IF(INDEX(ERP資料!$G:$G, (MATCH(240, 輔助計算!$G$2:$G$801, 0)+1))&lt;=1181,2,1)))=1,TEXT(INDEX(ERP資料!$G:$G, (MATCH(240, 輔助計算!$G$2:$G$801, 0)+1)),"0.##"),IF(IF(INDEX(ERP資料!$G:$G, (MATCH(240, 輔助計算!$G$2:$G$801, 0)+1))&lt;100, IF(INDEX(ERP資料!$G:$G, (MATCH(240, 輔助計算!$G$2:$G$801, 0)+1))&lt;=31,3,IF(INDEX(ERP資料!$G:$G, (MATCH(240, 輔助計算!$G$2:$G$801, 0)+1))&lt;=46.5,2,1)), IF(INDEX(ERP資料!$G:$G, (MATCH(240, 輔助計算!$G$2:$G$801, 0)+1))&lt;=790,3,IF(INDEX(ERP資料!$G:$G, (MATCH(240, 輔助計算!$G$2:$G$801, 0)+1))&lt;=1181,2,1)))=2,TEXT(INDEX(ERP資料!$G:$G, (MATCH(240, 輔助計算!$G$2:$G$801, 0)+1)),"0.##")&amp;"+"&amp;TEXT(INDEX(ERP資料!$G:$G, (MATCH(240, 輔助計算!$G$2:$G$801, 0)+1)),"0.##"),TEXT(INDEX(ERP資料!$G:$G, (MATCH(240, 輔助計算!$G$2:$G$801, 0)+1)),"0.##")&amp;"+"&amp;TEXT(INDEX(ERP資料!$G:$G, (MATCH(240, 輔助計算!$G$2:$G$801, 0)+1)),"0.##")&amp;"+"&amp;TEXT(INDEX(ERP資料!$G:$G, (MATCH(240, 輔助計算!$G$2:$G$801, 0)+1)),"0.##")))&amp;"-"&amp;INT(INDEX(輔助計算!$D:$D, (MATCH(240, 輔助計算!$G$2:$G$801, 0)+1))/IF(INDEX(ERP資料!$G:$G, (MATCH(240, 輔助計算!$G$2:$G$801, 0)+1))&lt;100, IF(INDEX(ERP資料!$G:$G, (MATCH(240, 輔助計算!$G$2:$G$801, 0)+1))&lt;=31,3,IF(INDEX(ERP資料!$G:$G, (MATCH(240, 輔助計算!$G$2:$G$801, 0)+1))&lt;=46.5,2,1)), IF(INDEX(ERP資料!$G:$G, (MATCH(240, 輔助計算!$G$2:$G$801, 0)+1))&lt;=790,3,IF(INDEX(ERP資料!$G:$G, (MATCH(240, 輔助計算!$G$2:$G$801, 0)+1))&lt;=1181,2,1)))), "")&lt;&gt;"",IF(MOD(INDEX(輔助計算!$D:$D, (MATCH(240, 輔助計算!$G$2:$G$801, 0)+1)),IF(INDEX(ERP資料!$G:$G, (MATCH(240, 輔助計算!$G$2:$G$801, 0)+1))&lt;100, IF(INDEX(ERP資料!$G:$G, (MATCH(240, 輔助計算!$G$2:$G$801, 0)+1))&lt;=31,3,IF(INDEX(ERP資料!$G:$G, (MATCH(240, 輔助計算!$G$2:$G$801, 0)+1))&lt;=46.5,2,1)), IF(INDEX(ERP資料!$G:$G, (MATCH(240, 輔助計算!$G$2:$G$801, 0)+1))&lt;=790,3,IF(INDEX(ERP資料!$G:$G, (MATCH(240, 輔助計算!$G$2:$G$801, 0)+1))&lt;=1181,2,1))))=0,"",IF(MOD(INDEX(輔助計算!$D:$D, (MATCH(240, 輔助計算!$G$2:$G$801, 0)+1)),IF(INDEX(ERP資料!$G:$G, (MATCH(240, 輔助計算!$G$2:$G$801, 0)+1))&lt;100, IF(INDEX(ERP資料!$G:$G, (MATCH(240, 輔助計算!$G$2:$G$801, 0)+1))&lt;=31,3,IF(INDEX(ERP資料!$G:$G, (MATCH(240, 輔助計算!$G$2:$G$801, 0)+1))&lt;=46.5,2,1)), IF(INDEX(ERP資料!$G:$G, (MATCH(240, 輔助計算!$G$2:$G$801, 0)+1))&lt;=790,3,IF(INDEX(ERP資料!$G:$G, (MATCH(240, 輔助計算!$G$2:$G$801, 0)+1))&lt;=1181,2,1))))=0,"",IF(MOD(INDEX(輔助計算!$D:$D, (MATCH(240, 輔助計算!$G$2:$G$801, 0)+1)),IF(INDEX(ERP資料!$G:$G, (MATCH(240, 輔助計算!$G$2:$G$801, 0)+1))&lt;100, IF(INDEX(ERP資料!$G:$G, (MATCH(240, 輔助計算!$G$2:$G$801, 0)+1))&lt;=31,3,IF(INDEX(ERP資料!$G:$G, (MATCH(240, 輔助計算!$G$2:$G$801, 0)+1))&lt;=46.5,2,1)), IF(INDEX(ERP資料!$G:$G, (MATCH(240, 輔助計算!$G$2:$G$801, 0)+1))&lt;=790,3,IF(INDEX(ERP資料!$G:$G, (MATCH(240, 輔助計算!$G$2:$G$801, 0)+1))&lt;=1181,2,1))))=1,TEXT(INDEX(ERP資料!$G:$G, (MATCH(240, 輔助計算!$G$2:$G$801, 0)+1)),"0.##"),IF(MOD(INDEX(輔助計算!$D:$D, (MATCH(240, 輔助計算!$G$2:$G$801, 0)+1)),IF(INDEX(ERP資料!$G:$G, (MATCH(240, 輔助計算!$G$2:$G$801, 0)+1))&lt;100, IF(INDEX(ERP資料!$G:$G, (MATCH(240, 輔助計算!$G$2:$G$801, 0)+1))&lt;=31,3,IF(INDEX(ERP資料!$G:$G, (MATCH(240, 輔助計算!$G$2:$G$801, 0)+1))&lt;=46.5,2,1)), IF(INDEX(ERP資料!$G:$G, (MATCH(240, 輔助計算!$G$2:$G$801, 0)+1))&lt;=790,3,IF(INDEX(ERP資料!$G:$G, (MATCH(240, 輔助計算!$G$2:$G$801, 0)+1))&lt;=1181,2,1))))=2,TEXT(INDEX(ERP資料!$G:$G, (MATCH(240, 輔助計算!$G$2:$G$801, 0)+1)),"0.##")&amp;"+"&amp;TEXT(INDEX(ERP資料!$G:$G, (MATCH(240, 輔助計算!$G$2:$G$801, 0)+1)),"0.##"),TEXT(INDEX(ERP資料!$G:$G, (MATCH(240, 輔助計算!$G$2:$G$801, 0)+1)),"0.##")&amp;"+"&amp;TEXT(INDEX(ERP資料!$G:$G, (MATCH(240, 輔助計算!$G$2:$G$801, 0)+1)),"0.##")&amp;"+"&amp;TEXT(INDEX(ERP資料!$G:$G, (MATCH(240, 輔助計算!$G$2:$G$801, 0)+1)),"0.##"))))&amp;"-1")&lt;&gt;""),"  ","")&amp;IF(MOD(INDEX(輔助計算!$D:$D, (MATCH(240, 輔助計算!$G$2:$G$801, 0)+1)),IF(INDEX(ERP資料!$G:$G, (MATCH(240, 輔助計算!$G$2:$G$801, 0)+1))&lt;100, IF(INDEX(ERP資料!$G:$G, (MATCH(240, 輔助計算!$G$2:$G$801, 0)+1))&lt;=31,3,IF(INDEX(ERP資料!$G:$G, (MATCH(240, 輔助計算!$G$2:$G$801, 0)+1))&lt;=46.5,2,1)), IF(INDEX(ERP資料!$G:$G, (MATCH(240, 輔助計算!$G$2:$G$801, 0)+1))&lt;=790,3,IF(INDEX(ERP資料!$G:$G, (MATCH(240, 輔助計算!$G$2:$G$801, 0)+1))&lt;=1181,2,1))))=0,"",IF(MOD(INDEX(輔助計算!$D:$D, (MATCH(240, 輔助計算!$G$2:$G$801, 0)+1)),IF(INDEX(ERP資料!$G:$G, (MATCH(240, 輔助計算!$G$2:$G$801, 0)+1))&lt;100, IF(INDEX(ERP資料!$G:$G, (MATCH(240, 輔助計算!$G$2:$G$801, 0)+1))&lt;=31,3,IF(INDEX(ERP資料!$G:$G, (MATCH(240, 輔助計算!$G$2:$G$801, 0)+1))&lt;=46.5,2,1)), IF(INDEX(ERP資料!$G:$G, (MATCH(240, 輔助計算!$G$2:$G$801, 0)+1))&lt;=790,3,IF(INDEX(ERP資料!$G:$G, (MATCH(240, 輔助計算!$G$2:$G$801, 0)+1))&lt;=1181,2,1))))=0,"",IF(MOD(INDEX(輔助計算!$D:$D, (MATCH(240, 輔助計算!$G$2:$G$801, 0)+1)),IF(INDEX(ERP資料!$G:$G, (MATCH(240, 輔助計算!$G$2:$G$801, 0)+1))&lt;100, IF(INDEX(ERP資料!$G:$G, (MATCH(240, 輔助計算!$G$2:$G$801, 0)+1))&lt;=31,3,IF(INDEX(ERP資料!$G:$G, (MATCH(240, 輔助計算!$G$2:$G$801, 0)+1))&lt;=46.5,2,1)), IF(INDEX(ERP資料!$G:$G, (MATCH(240, 輔助計算!$G$2:$G$801, 0)+1))&lt;=790,3,IF(INDEX(ERP資料!$G:$G, (MATCH(240, 輔助計算!$G$2:$G$801, 0)+1))&lt;=1181,2,1))))=1,TEXT(INDEX(ERP資料!$G:$G, (MATCH(240, 輔助計算!$G$2:$G$801, 0)+1)),"0.##"),IF(MOD(INDEX(輔助計算!$D:$D, (MATCH(240, 輔助計算!$G$2:$G$801, 0)+1)),IF(INDEX(ERP資料!$G:$G, (MATCH(240, 輔助計算!$G$2:$G$801, 0)+1))&lt;100, IF(INDEX(ERP資料!$G:$G, (MATCH(240, 輔助計算!$G$2:$G$801, 0)+1))&lt;=31,3,IF(INDEX(ERP資料!$G:$G, (MATCH(240, 輔助計算!$G$2:$G$801, 0)+1))&lt;=46.5,2,1)), IF(INDEX(ERP資料!$G:$G, (MATCH(240, 輔助計算!$G$2:$G$801, 0)+1))&lt;=790,3,IF(INDEX(ERP資料!$G:$G, (MATCH(240, 輔助計算!$G$2:$G$801, 0)+1))&lt;=1181,2,1))))=2,TEXT(INDEX(ERP資料!$G:$G, (MATCH(240, 輔助計算!$G$2:$G$801, 0)+1)),"0.##")&amp;"+"&amp;TEXT(INDEX(ERP資料!$G:$G, (MATCH(240, 輔助計算!$G$2:$G$801, 0)+1)),"0.##"),TEXT(INDEX(ERP資料!$G:$G, (MATCH(240, 輔助計算!$G$2:$G$801, 0)+1)),"0.##")&amp;"+"&amp;TEXT(INDEX(ERP資料!$G:$G, (MATCH(240, 輔助計算!$G$2:$G$801, 0)+1)),"0.##")&amp;"+"&amp;TEXT(INDEX(ERP資料!$G:$G, (MATCH(240, 輔助計算!$G$2:$G$801, 0)+1)),"0.##"))))&amp;"-1")), ""), "")</f>
        <v/>
      </c>
      <c r="K241" s="16" t="n"/>
      <c r="L241" s="14">
        <f>IFERROR(IF(AND(IFERROR(INDEX(ERP資料!$A:$A, (MATCH(240, 輔助計算!$G$2:$G$801, 0)+1)), "")&lt;&gt;"", IFERROR(INDEX(ERP資料!$A:$A, (MATCH(240, 輔助計算!$G$2:$G$801, 0)+1)), "")&lt;&gt;IFERROR(INDEX(ERP資料!$A:$A, MATCH(239, 輔助計算!$G$2:$G$801, 0)+1), "")), INDEX(ERP資料!$B:$B, (MATCH(240, 輔助計算!$G$2:$G$801, 0)+1)), ""), "")</f>
        <v/>
      </c>
      <c r="M241" s="17" t="n"/>
    </row>
    <row r="242">
      <c r="A242" s="10">
        <f>IFERROR(IF(AND(IFERROR(INDEX(ERP資料!$A:$A, (MATCH(241, 輔助計算!$G$2:$G$801, 0)+1)), "")&lt;&gt;"", IFERROR(INDEX(ERP資料!$A:$A, (MATCH(241, 輔助計算!$G$2:$G$801, 0)+1)), "")&lt;&gt;IFERROR(INDEX(ERP資料!$A:$A, MATCH(240, 輔助計算!$G$2:$G$801, 0)+1), "")), IFERROR(INDEX(ERP資料!$A:$A, (MATCH(241, 輔助計算!$G$2:$G$801, 0)+1)), ""), ""), "")</f>
        <v/>
      </c>
      <c r="B242" s="10">
        <f>IFERROR(IF(AND(IFERROR(INDEX(ERP資料!$A:$A, (MATCH(241, 輔助計算!$G$2:$G$801, 0)+1)), "")&lt;&gt;"", IFERROR(INDEX(ERP資料!$A:$A, (MATCH(241, 輔助計算!$G$2:$G$801, 0)+1)), "")&lt;&gt;IFERROR(INDEX(ERP資料!$A:$A, MATCH(240, 輔助計算!$G$2:$G$801, 0)+1), "")), INDEX(ERP資料!$S:$S, (MATCH(241, 輔助計算!$G$2:$G$801, 0)+1)), ""), "")</f>
        <v/>
      </c>
      <c r="C242" s="19">
        <f>IFERROR(IF(AND(IFERROR(INDEX(ERP資料!$A:$A, (MATCH(241, 輔助計算!$G$2:$G$801, 0)+1)), "")&lt;&gt;"", IFERROR(INDEX(ERP資料!$A:$A, (MATCH(241, 輔助計算!$G$2:$G$801, 0)+1)), "")&lt;&gt;IFERROR(INDEX(ERP資料!$A:$A, MATCH(240, 輔助計算!$G$2:$G$801, 0)+1), "")), IFERROR(VLOOKUP(LEFT(INDEX(ERP資料!$S:$S, (MATCH(241, 輔助計算!$G$2:$G$801, 0)+1)), 4), 紙管對照表!$A:$C, 3, FALSE), ""), ""), "")</f>
        <v/>
      </c>
      <c r="D242" s="16" t="n"/>
      <c r="E242" s="10">
        <f>IFERROR(IF(INDEX(ERP資料!$H:$H, (MATCH(241, 輔助計算!$G$2:$G$801, 0)+1))="","",INDEX(ERP資料!$H:$H, (MATCH(241, 輔助計算!$G$2:$G$801, 0)+1))), "")</f>
        <v/>
      </c>
      <c r="F242" s="10">
        <f>IFERROR(IF(INDEX(ERP資料!$E:$E, (MATCH(241, 輔助計算!$G$2:$G$801, 0)+1))="","",TRIM(INDEX(ERP資料!$E:$E, (MATCH(241, 輔助計算!$G$2:$G$801, 0)+1)))), "")</f>
        <v/>
      </c>
      <c r="G242" s="10">
        <f>IFERROR(IF(INDEX(ERP資料!$F:$F, (MATCH(241, 輔助計算!$G$2:$G$801, 0)+1))="","",INDEX(ERP資料!$F:$F, (MATCH(241, 輔助計算!$G$2:$G$801, 0)+1))), "")</f>
        <v/>
      </c>
      <c r="H242" s="10">
        <f>IFERROR(IF(INDEX(ERP資料!$G:$G, (MATCH(241, 輔助計算!$G$2:$G$801, 0)+1))="","",INDEX(ERP資料!$G:$G, (MATCH(241, 輔助計算!$G$2:$G$801, 0)+1))), "")</f>
        <v/>
      </c>
      <c r="I242" s="15">
        <f>IFERROR(INDEX(輔助計算!$D:$D, (MATCH(241, 輔助計算!$G$2:$G$801, 0)+1)), "")</f>
        <v/>
      </c>
      <c r="J242" s="15">
        <f>IFERROR(IF(AND(INDEX(輔助計算!$D:$D, (MATCH(241, 輔助計算!$G$2:$G$801, 0)+1))&lt;&gt;"", INDEX(ERP資料!$G:$G, (MATCH(241, 輔助計算!$G$2:$G$801, 0)+1))&lt;&gt;""), TRIM(IF(INT(INDEX(輔助計算!$D:$D, (MATCH(241, 輔助計算!$G$2:$G$801, 0)+1))/IF(INDEX(ERP資料!$G:$G, (MATCH(241, 輔助計算!$G$2:$G$801, 0)+1))&lt;100, IF(INDEX(ERP資料!$G:$G, (MATCH(241, 輔助計算!$G$2:$G$801, 0)+1))&lt;=31,3,IF(INDEX(ERP資料!$G:$G, (MATCH(241, 輔助計算!$G$2:$G$801, 0)+1))&lt;=46.5,2,1)), IF(INDEX(ERP資料!$G:$G, (MATCH(241, 輔助計算!$G$2:$G$801, 0)+1))&lt;=790,3,IF(INDEX(ERP資料!$G:$G, (MATCH(241, 輔助計算!$G$2:$G$801, 0)+1))&lt;=1181,2,1))))&gt;0, IF(IF(INDEX(ERP資料!$G:$G, (MATCH(241, 輔助計算!$G$2:$G$801, 0)+1))&lt;100, IF(INDEX(ERP資料!$G:$G, (MATCH(241, 輔助計算!$G$2:$G$801, 0)+1))&lt;=31,3,IF(INDEX(ERP資料!$G:$G, (MATCH(241, 輔助計算!$G$2:$G$801, 0)+1))&lt;=46.5,2,1)), IF(INDEX(ERP資料!$G:$G, (MATCH(241, 輔助計算!$G$2:$G$801, 0)+1))&lt;=790,3,IF(INDEX(ERP資料!$G:$G, (MATCH(241, 輔助計算!$G$2:$G$801, 0)+1))&lt;=1181,2,1)))=1,TEXT(INDEX(ERP資料!$G:$G, (MATCH(241, 輔助計算!$G$2:$G$801, 0)+1)),"0.##"),IF(IF(INDEX(ERP資料!$G:$G, (MATCH(241, 輔助計算!$G$2:$G$801, 0)+1))&lt;100, IF(INDEX(ERP資料!$G:$G, (MATCH(241, 輔助計算!$G$2:$G$801, 0)+1))&lt;=31,3,IF(INDEX(ERP資料!$G:$G, (MATCH(241, 輔助計算!$G$2:$G$801, 0)+1))&lt;=46.5,2,1)), IF(INDEX(ERP資料!$G:$G, (MATCH(241, 輔助計算!$G$2:$G$801, 0)+1))&lt;=790,3,IF(INDEX(ERP資料!$G:$G, (MATCH(241, 輔助計算!$G$2:$G$801, 0)+1))&lt;=1181,2,1)))=2,TEXT(INDEX(ERP資料!$G:$G, (MATCH(241, 輔助計算!$G$2:$G$801, 0)+1)),"0.##")&amp;"+"&amp;TEXT(INDEX(ERP資料!$G:$G, (MATCH(241, 輔助計算!$G$2:$G$801, 0)+1)),"0.##"),TEXT(INDEX(ERP資料!$G:$G, (MATCH(241, 輔助計算!$G$2:$G$801, 0)+1)),"0.##")&amp;"+"&amp;TEXT(INDEX(ERP資料!$G:$G, (MATCH(241, 輔助計算!$G$2:$G$801, 0)+1)),"0.##")&amp;"+"&amp;TEXT(INDEX(ERP資料!$G:$G, (MATCH(241, 輔助計算!$G$2:$G$801, 0)+1)),"0.##")))&amp;"-"&amp;INT(INDEX(輔助計算!$D:$D, (MATCH(241, 輔助計算!$G$2:$G$801, 0)+1))/IF(INDEX(ERP資料!$G:$G, (MATCH(241, 輔助計算!$G$2:$G$801, 0)+1))&lt;100, IF(INDEX(ERP資料!$G:$G, (MATCH(241, 輔助計算!$G$2:$G$801, 0)+1))&lt;=31,3,IF(INDEX(ERP資料!$G:$G, (MATCH(241, 輔助計算!$G$2:$G$801, 0)+1))&lt;=46.5,2,1)), IF(INDEX(ERP資料!$G:$G, (MATCH(241, 輔助計算!$G$2:$G$801, 0)+1))&lt;=790,3,IF(INDEX(ERP資料!$G:$G, (MATCH(241, 輔助計算!$G$2:$G$801, 0)+1))&lt;=1181,2,1)))), "")&amp;IF(AND(IF(INT(INDEX(輔助計算!$D:$D, (MATCH(241, 輔助計算!$G$2:$G$801, 0)+1))/IF(INDEX(ERP資料!$G:$G, (MATCH(241, 輔助計算!$G$2:$G$801, 0)+1))&lt;100, IF(INDEX(ERP資料!$G:$G, (MATCH(241, 輔助計算!$G$2:$G$801, 0)+1))&lt;=31,3,IF(INDEX(ERP資料!$G:$G, (MATCH(241, 輔助計算!$G$2:$G$801, 0)+1))&lt;=46.5,2,1)), IF(INDEX(ERP資料!$G:$G, (MATCH(241, 輔助計算!$G$2:$G$801, 0)+1))&lt;=790,3,IF(INDEX(ERP資料!$G:$G, (MATCH(241, 輔助計算!$G$2:$G$801, 0)+1))&lt;=1181,2,1))))&gt;0, IF(IF(INDEX(ERP資料!$G:$G, (MATCH(241, 輔助計算!$G$2:$G$801, 0)+1))&lt;100, IF(INDEX(ERP資料!$G:$G, (MATCH(241, 輔助計算!$G$2:$G$801, 0)+1))&lt;=31,3,IF(INDEX(ERP資料!$G:$G, (MATCH(241, 輔助計算!$G$2:$G$801, 0)+1))&lt;=46.5,2,1)), IF(INDEX(ERP資料!$G:$G, (MATCH(241, 輔助計算!$G$2:$G$801, 0)+1))&lt;=790,3,IF(INDEX(ERP資料!$G:$G, (MATCH(241, 輔助計算!$G$2:$G$801, 0)+1))&lt;=1181,2,1)))=1,TEXT(INDEX(ERP資料!$G:$G, (MATCH(241, 輔助計算!$G$2:$G$801, 0)+1)),"0.##"),IF(IF(INDEX(ERP資料!$G:$G, (MATCH(241, 輔助計算!$G$2:$G$801, 0)+1))&lt;100, IF(INDEX(ERP資料!$G:$G, (MATCH(241, 輔助計算!$G$2:$G$801, 0)+1))&lt;=31,3,IF(INDEX(ERP資料!$G:$G, (MATCH(241, 輔助計算!$G$2:$G$801, 0)+1))&lt;=46.5,2,1)), IF(INDEX(ERP資料!$G:$G, (MATCH(241, 輔助計算!$G$2:$G$801, 0)+1))&lt;=790,3,IF(INDEX(ERP資料!$G:$G, (MATCH(241, 輔助計算!$G$2:$G$801, 0)+1))&lt;=1181,2,1)))=2,TEXT(INDEX(ERP資料!$G:$G, (MATCH(241, 輔助計算!$G$2:$G$801, 0)+1)),"0.##")&amp;"+"&amp;TEXT(INDEX(ERP資料!$G:$G, (MATCH(241, 輔助計算!$G$2:$G$801, 0)+1)),"0.##"),TEXT(INDEX(ERP資料!$G:$G, (MATCH(241, 輔助計算!$G$2:$G$801, 0)+1)),"0.##")&amp;"+"&amp;TEXT(INDEX(ERP資料!$G:$G, (MATCH(241, 輔助計算!$G$2:$G$801, 0)+1)),"0.##")&amp;"+"&amp;TEXT(INDEX(ERP資料!$G:$G, (MATCH(241, 輔助計算!$G$2:$G$801, 0)+1)),"0.##")))&amp;"-"&amp;INT(INDEX(輔助計算!$D:$D, (MATCH(241, 輔助計算!$G$2:$G$801, 0)+1))/IF(INDEX(ERP資料!$G:$G, (MATCH(241, 輔助計算!$G$2:$G$801, 0)+1))&lt;100, IF(INDEX(ERP資料!$G:$G, (MATCH(241, 輔助計算!$G$2:$G$801, 0)+1))&lt;=31,3,IF(INDEX(ERP資料!$G:$G, (MATCH(241, 輔助計算!$G$2:$G$801, 0)+1))&lt;=46.5,2,1)), IF(INDEX(ERP資料!$G:$G, (MATCH(241, 輔助計算!$G$2:$G$801, 0)+1))&lt;=790,3,IF(INDEX(ERP資料!$G:$G, (MATCH(241, 輔助計算!$G$2:$G$801, 0)+1))&lt;=1181,2,1)))), "")&lt;&gt;"",IF(MOD(INDEX(輔助計算!$D:$D, (MATCH(241, 輔助計算!$G$2:$G$801, 0)+1)),IF(INDEX(ERP資料!$G:$G, (MATCH(241, 輔助計算!$G$2:$G$801, 0)+1))&lt;100, IF(INDEX(ERP資料!$G:$G, (MATCH(241, 輔助計算!$G$2:$G$801, 0)+1))&lt;=31,3,IF(INDEX(ERP資料!$G:$G, (MATCH(241, 輔助計算!$G$2:$G$801, 0)+1))&lt;=46.5,2,1)), IF(INDEX(ERP資料!$G:$G, (MATCH(241, 輔助計算!$G$2:$G$801, 0)+1))&lt;=790,3,IF(INDEX(ERP資料!$G:$G, (MATCH(241, 輔助計算!$G$2:$G$801, 0)+1))&lt;=1181,2,1))))=0,"",IF(MOD(INDEX(輔助計算!$D:$D, (MATCH(241, 輔助計算!$G$2:$G$801, 0)+1)),IF(INDEX(ERP資料!$G:$G, (MATCH(241, 輔助計算!$G$2:$G$801, 0)+1))&lt;100, IF(INDEX(ERP資料!$G:$G, (MATCH(241, 輔助計算!$G$2:$G$801, 0)+1))&lt;=31,3,IF(INDEX(ERP資料!$G:$G, (MATCH(241, 輔助計算!$G$2:$G$801, 0)+1))&lt;=46.5,2,1)), IF(INDEX(ERP資料!$G:$G, (MATCH(241, 輔助計算!$G$2:$G$801, 0)+1))&lt;=790,3,IF(INDEX(ERP資料!$G:$G, (MATCH(241, 輔助計算!$G$2:$G$801, 0)+1))&lt;=1181,2,1))))=0,"",IF(MOD(INDEX(輔助計算!$D:$D, (MATCH(241, 輔助計算!$G$2:$G$801, 0)+1)),IF(INDEX(ERP資料!$G:$G, (MATCH(241, 輔助計算!$G$2:$G$801, 0)+1))&lt;100, IF(INDEX(ERP資料!$G:$G, (MATCH(241, 輔助計算!$G$2:$G$801, 0)+1))&lt;=31,3,IF(INDEX(ERP資料!$G:$G, (MATCH(241, 輔助計算!$G$2:$G$801, 0)+1))&lt;=46.5,2,1)), IF(INDEX(ERP資料!$G:$G, (MATCH(241, 輔助計算!$G$2:$G$801, 0)+1))&lt;=790,3,IF(INDEX(ERP資料!$G:$G, (MATCH(241, 輔助計算!$G$2:$G$801, 0)+1))&lt;=1181,2,1))))=1,TEXT(INDEX(ERP資料!$G:$G, (MATCH(241, 輔助計算!$G$2:$G$801, 0)+1)),"0.##"),IF(MOD(INDEX(輔助計算!$D:$D, (MATCH(241, 輔助計算!$G$2:$G$801, 0)+1)),IF(INDEX(ERP資料!$G:$G, (MATCH(241, 輔助計算!$G$2:$G$801, 0)+1))&lt;100, IF(INDEX(ERP資料!$G:$G, (MATCH(241, 輔助計算!$G$2:$G$801, 0)+1))&lt;=31,3,IF(INDEX(ERP資料!$G:$G, (MATCH(241, 輔助計算!$G$2:$G$801, 0)+1))&lt;=46.5,2,1)), IF(INDEX(ERP資料!$G:$G, (MATCH(241, 輔助計算!$G$2:$G$801, 0)+1))&lt;=790,3,IF(INDEX(ERP資料!$G:$G, (MATCH(241, 輔助計算!$G$2:$G$801, 0)+1))&lt;=1181,2,1))))=2,TEXT(INDEX(ERP資料!$G:$G, (MATCH(241, 輔助計算!$G$2:$G$801, 0)+1)),"0.##")&amp;"+"&amp;TEXT(INDEX(ERP資料!$G:$G, (MATCH(241, 輔助計算!$G$2:$G$801, 0)+1)),"0.##"),TEXT(INDEX(ERP資料!$G:$G, (MATCH(241, 輔助計算!$G$2:$G$801, 0)+1)),"0.##")&amp;"+"&amp;TEXT(INDEX(ERP資料!$G:$G, (MATCH(241, 輔助計算!$G$2:$G$801, 0)+1)),"0.##")&amp;"+"&amp;TEXT(INDEX(ERP資料!$G:$G, (MATCH(241, 輔助計算!$G$2:$G$801, 0)+1)),"0.##"))))&amp;"-1")&lt;&gt;""),"  ","")&amp;IF(MOD(INDEX(輔助計算!$D:$D, (MATCH(241, 輔助計算!$G$2:$G$801, 0)+1)),IF(INDEX(ERP資料!$G:$G, (MATCH(241, 輔助計算!$G$2:$G$801, 0)+1))&lt;100, IF(INDEX(ERP資料!$G:$G, (MATCH(241, 輔助計算!$G$2:$G$801, 0)+1))&lt;=31,3,IF(INDEX(ERP資料!$G:$G, (MATCH(241, 輔助計算!$G$2:$G$801, 0)+1))&lt;=46.5,2,1)), IF(INDEX(ERP資料!$G:$G, (MATCH(241, 輔助計算!$G$2:$G$801, 0)+1))&lt;=790,3,IF(INDEX(ERP資料!$G:$G, (MATCH(241, 輔助計算!$G$2:$G$801, 0)+1))&lt;=1181,2,1))))=0,"",IF(MOD(INDEX(輔助計算!$D:$D, (MATCH(241, 輔助計算!$G$2:$G$801, 0)+1)),IF(INDEX(ERP資料!$G:$G, (MATCH(241, 輔助計算!$G$2:$G$801, 0)+1))&lt;100, IF(INDEX(ERP資料!$G:$G, (MATCH(241, 輔助計算!$G$2:$G$801, 0)+1))&lt;=31,3,IF(INDEX(ERP資料!$G:$G, (MATCH(241, 輔助計算!$G$2:$G$801, 0)+1))&lt;=46.5,2,1)), IF(INDEX(ERP資料!$G:$G, (MATCH(241, 輔助計算!$G$2:$G$801, 0)+1))&lt;=790,3,IF(INDEX(ERP資料!$G:$G, (MATCH(241, 輔助計算!$G$2:$G$801, 0)+1))&lt;=1181,2,1))))=0,"",IF(MOD(INDEX(輔助計算!$D:$D, (MATCH(241, 輔助計算!$G$2:$G$801, 0)+1)),IF(INDEX(ERP資料!$G:$G, (MATCH(241, 輔助計算!$G$2:$G$801, 0)+1))&lt;100, IF(INDEX(ERP資料!$G:$G, (MATCH(241, 輔助計算!$G$2:$G$801, 0)+1))&lt;=31,3,IF(INDEX(ERP資料!$G:$G, (MATCH(241, 輔助計算!$G$2:$G$801, 0)+1))&lt;=46.5,2,1)), IF(INDEX(ERP資料!$G:$G, (MATCH(241, 輔助計算!$G$2:$G$801, 0)+1))&lt;=790,3,IF(INDEX(ERP資料!$G:$G, (MATCH(241, 輔助計算!$G$2:$G$801, 0)+1))&lt;=1181,2,1))))=1,TEXT(INDEX(ERP資料!$G:$G, (MATCH(241, 輔助計算!$G$2:$G$801, 0)+1)),"0.##"),IF(MOD(INDEX(輔助計算!$D:$D, (MATCH(241, 輔助計算!$G$2:$G$801, 0)+1)),IF(INDEX(ERP資料!$G:$G, (MATCH(241, 輔助計算!$G$2:$G$801, 0)+1))&lt;100, IF(INDEX(ERP資料!$G:$G, (MATCH(241, 輔助計算!$G$2:$G$801, 0)+1))&lt;=31,3,IF(INDEX(ERP資料!$G:$G, (MATCH(241, 輔助計算!$G$2:$G$801, 0)+1))&lt;=46.5,2,1)), IF(INDEX(ERP資料!$G:$G, (MATCH(241, 輔助計算!$G$2:$G$801, 0)+1))&lt;=790,3,IF(INDEX(ERP資料!$G:$G, (MATCH(241, 輔助計算!$G$2:$G$801, 0)+1))&lt;=1181,2,1))))=2,TEXT(INDEX(ERP資料!$G:$G, (MATCH(241, 輔助計算!$G$2:$G$801, 0)+1)),"0.##")&amp;"+"&amp;TEXT(INDEX(ERP資料!$G:$G, (MATCH(241, 輔助計算!$G$2:$G$801, 0)+1)),"0.##"),TEXT(INDEX(ERP資料!$G:$G, (MATCH(241, 輔助計算!$G$2:$G$801, 0)+1)),"0.##")&amp;"+"&amp;TEXT(INDEX(ERP資料!$G:$G, (MATCH(241, 輔助計算!$G$2:$G$801, 0)+1)),"0.##")&amp;"+"&amp;TEXT(INDEX(ERP資料!$G:$G, (MATCH(241, 輔助計算!$G$2:$G$801, 0)+1)),"0.##"))))&amp;"-1")), ""), "")</f>
        <v/>
      </c>
      <c r="K242" s="16" t="n"/>
      <c r="L242" s="14">
        <f>IFERROR(IF(AND(IFERROR(INDEX(ERP資料!$A:$A, (MATCH(241, 輔助計算!$G$2:$G$801, 0)+1)), "")&lt;&gt;"", IFERROR(INDEX(ERP資料!$A:$A, (MATCH(241, 輔助計算!$G$2:$G$801, 0)+1)), "")&lt;&gt;IFERROR(INDEX(ERP資料!$A:$A, MATCH(240, 輔助計算!$G$2:$G$801, 0)+1), "")), INDEX(ERP資料!$B:$B, (MATCH(241, 輔助計算!$G$2:$G$801, 0)+1)), ""), "")</f>
        <v/>
      </c>
      <c r="M242" s="17" t="n"/>
    </row>
    <row r="243">
      <c r="A243" s="10">
        <f>IFERROR(IF(AND(IFERROR(INDEX(ERP資料!$A:$A, (MATCH(242, 輔助計算!$G$2:$G$801, 0)+1)), "")&lt;&gt;"", IFERROR(INDEX(ERP資料!$A:$A, (MATCH(242, 輔助計算!$G$2:$G$801, 0)+1)), "")&lt;&gt;IFERROR(INDEX(ERP資料!$A:$A, MATCH(241, 輔助計算!$G$2:$G$801, 0)+1), "")), IFERROR(INDEX(ERP資料!$A:$A, (MATCH(242, 輔助計算!$G$2:$G$801, 0)+1)), ""), ""), "")</f>
        <v/>
      </c>
      <c r="B243" s="10">
        <f>IFERROR(IF(AND(IFERROR(INDEX(ERP資料!$A:$A, (MATCH(242, 輔助計算!$G$2:$G$801, 0)+1)), "")&lt;&gt;"", IFERROR(INDEX(ERP資料!$A:$A, (MATCH(242, 輔助計算!$G$2:$G$801, 0)+1)), "")&lt;&gt;IFERROR(INDEX(ERP資料!$A:$A, MATCH(241, 輔助計算!$G$2:$G$801, 0)+1), "")), INDEX(ERP資料!$S:$S, (MATCH(242, 輔助計算!$G$2:$G$801, 0)+1)), ""), "")</f>
        <v/>
      </c>
      <c r="C243" s="19">
        <f>IFERROR(IF(AND(IFERROR(INDEX(ERP資料!$A:$A, (MATCH(242, 輔助計算!$G$2:$G$801, 0)+1)), "")&lt;&gt;"", IFERROR(INDEX(ERP資料!$A:$A, (MATCH(242, 輔助計算!$G$2:$G$801, 0)+1)), "")&lt;&gt;IFERROR(INDEX(ERP資料!$A:$A, MATCH(241, 輔助計算!$G$2:$G$801, 0)+1), "")), IFERROR(VLOOKUP(LEFT(INDEX(ERP資料!$S:$S, (MATCH(242, 輔助計算!$G$2:$G$801, 0)+1)), 4), 紙管對照表!$A:$C, 3, FALSE), ""), ""), "")</f>
        <v/>
      </c>
      <c r="D243" s="16" t="n"/>
      <c r="E243" s="10">
        <f>IFERROR(IF(INDEX(ERP資料!$H:$H, (MATCH(242, 輔助計算!$G$2:$G$801, 0)+1))="","",INDEX(ERP資料!$H:$H, (MATCH(242, 輔助計算!$G$2:$G$801, 0)+1))), "")</f>
        <v/>
      </c>
      <c r="F243" s="10">
        <f>IFERROR(IF(INDEX(ERP資料!$E:$E, (MATCH(242, 輔助計算!$G$2:$G$801, 0)+1))="","",TRIM(INDEX(ERP資料!$E:$E, (MATCH(242, 輔助計算!$G$2:$G$801, 0)+1)))), "")</f>
        <v/>
      </c>
      <c r="G243" s="10">
        <f>IFERROR(IF(INDEX(ERP資料!$F:$F, (MATCH(242, 輔助計算!$G$2:$G$801, 0)+1))="","",INDEX(ERP資料!$F:$F, (MATCH(242, 輔助計算!$G$2:$G$801, 0)+1))), "")</f>
        <v/>
      </c>
      <c r="H243" s="10">
        <f>IFERROR(IF(INDEX(ERP資料!$G:$G, (MATCH(242, 輔助計算!$G$2:$G$801, 0)+1))="","",INDEX(ERP資料!$G:$G, (MATCH(242, 輔助計算!$G$2:$G$801, 0)+1))), "")</f>
        <v/>
      </c>
      <c r="I243" s="15">
        <f>IFERROR(INDEX(輔助計算!$D:$D, (MATCH(242, 輔助計算!$G$2:$G$801, 0)+1)), "")</f>
        <v/>
      </c>
      <c r="J243" s="15">
        <f>IFERROR(IF(AND(INDEX(輔助計算!$D:$D, (MATCH(242, 輔助計算!$G$2:$G$801, 0)+1))&lt;&gt;"", INDEX(ERP資料!$G:$G, (MATCH(242, 輔助計算!$G$2:$G$801, 0)+1))&lt;&gt;""), TRIM(IF(INT(INDEX(輔助計算!$D:$D, (MATCH(242, 輔助計算!$G$2:$G$801, 0)+1))/IF(INDEX(ERP資料!$G:$G, (MATCH(242, 輔助計算!$G$2:$G$801, 0)+1))&lt;100, IF(INDEX(ERP資料!$G:$G, (MATCH(242, 輔助計算!$G$2:$G$801, 0)+1))&lt;=31,3,IF(INDEX(ERP資料!$G:$G, (MATCH(242, 輔助計算!$G$2:$G$801, 0)+1))&lt;=46.5,2,1)), IF(INDEX(ERP資料!$G:$G, (MATCH(242, 輔助計算!$G$2:$G$801, 0)+1))&lt;=790,3,IF(INDEX(ERP資料!$G:$G, (MATCH(242, 輔助計算!$G$2:$G$801, 0)+1))&lt;=1181,2,1))))&gt;0, IF(IF(INDEX(ERP資料!$G:$G, (MATCH(242, 輔助計算!$G$2:$G$801, 0)+1))&lt;100, IF(INDEX(ERP資料!$G:$G, (MATCH(242, 輔助計算!$G$2:$G$801, 0)+1))&lt;=31,3,IF(INDEX(ERP資料!$G:$G, (MATCH(242, 輔助計算!$G$2:$G$801, 0)+1))&lt;=46.5,2,1)), IF(INDEX(ERP資料!$G:$G, (MATCH(242, 輔助計算!$G$2:$G$801, 0)+1))&lt;=790,3,IF(INDEX(ERP資料!$G:$G, (MATCH(242, 輔助計算!$G$2:$G$801, 0)+1))&lt;=1181,2,1)))=1,TEXT(INDEX(ERP資料!$G:$G, (MATCH(242, 輔助計算!$G$2:$G$801, 0)+1)),"0.##"),IF(IF(INDEX(ERP資料!$G:$G, (MATCH(242, 輔助計算!$G$2:$G$801, 0)+1))&lt;100, IF(INDEX(ERP資料!$G:$G, (MATCH(242, 輔助計算!$G$2:$G$801, 0)+1))&lt;=31,3,IF(INDEX(ERP資料!$G:$G, (MATCH(242, 輔助計算!$G$2:$G$801, 0)+1))&lt;=46.5,2,1)), IF(INDEX(ERP資料!$G:$G, (MATCH(242, 輔助計算!$G$2:$G$801, 0)+1))&lt;=790,3,IF(INDEX(ERP資料!$G:$G, (MATCH(242, 輔助計算!$G$2:$G$801, 0)+1))&lt;=1181,2,1)))=2,TEXT(INDEX(ERP資料!$G:$G, (MATCH(242, 輔助計算!$G$2:$G$801, 0)+1)),"0.##")&amp;"+"&amp;TEXT(INDEX(ERP資料!$G:$G, (MATCH(242, 輔助計算!$G$2:$G$801, 0)+1)),"0.##"),TEXT(INDEX(ERP資料!$G:$G, (MATCH(242, 輔助計算!$G$2:$G$801, 0)+1)),"0.##")&amp;"+"&amp;TEXT(INDEX(ERP資料!$G:$G, (MATCH(242, 輔助計算!$G$2:$G$801, 0)+1)),"0.##")&amp;"+"&amp;TEXT(INDEX(ERP資料!$G:$G, (MATCH(242, 輔助計算!$G$2:$G$801, 0)+1)),"0.##")))&amp;"-"&amp;INT(INDEX(輔助計算!$D:$D, (MATCH(242, 輔助計算!$G$2:$G$801, 0)+1))/IF(INDEX(ERP資料!$G:$G, (MATCH(242, 輔助計算!$G$2:$G$801, 0)+1))&lt;100, IF(INDEX(ERP資料!$G:$G, (MATCH(242, 輔助計算!$G$2:$G$801, 0)+1))&lt;=31,3,IF(INDEX(ERP資料!$G:$G, (MATCH(242, 輔助計算!$G$2:$G$801, 0)+1))&lt;=46.5,2,1)), IF(INDEX(ERP資料!$G:$G, (MATCH(242, 輔助計算!$G$2:$G$801, 0)+1))&lt;=790,3,IF(INDEX(ERP資料!$G:$G, (MATCH(242, 輔助計算!$G$2:$G$801, 0)+1))&lt;=1181,2,1)))), "")&amp;IF(AND(IF(INT(INDEX(輔助計算!$D:$D, (MATCH(242, 輔助計算!$G$2:$G$801, 0)+1))/IF(INDEX(ERP資料!$G:$G, (MATCH(242, 輔助計算!$G$2:$G$801, 0)+1))&lt;100, IF(INDEX(ERP資料!$G:$G, (MATCH(242, 輔助計算!$G$2:$G$801, 0)+1))&lt;=31,3,IF(INDEX(ERP資料!$G:$G, (MATCH(242, 輔助計算!$G$2:$G$801, 0)+1))&lt;=46.5,2,1)), IF(INDEX(ERP資料!$G:$G, (MATCH(242, 輔助計算!$G$2:$G$801, 0)+1))&lt;=790,3,IF(INDEX(ERP資料!$G:$G, (MATCH(242, 輔助計算!$G$2:$G$801, 0)+1))&lt;=1181,2,1))))&gt;0, IF(IF(INDEX(ERP資料!$G:$G, (MATCH(242, 輔助計算!$G$2:$G$801, 0)+1))&lt;100, IF(INDEX(ERP資料!$G:$G, (MATCH(242, 輔助計算!$G$2:$G$801, 0)+1))&lt;=31,3,IF(INDEX(ERP資料!$G:$G, (MATCH(242, 輔助計算!$G$2:$G$801, 0)+1))&lt;=46.5,2,1)), IF(INDEX(ERP資料!$G:$G, (MATCH(242, 輔助計算!$G$2:$G$801, 0)+1))&lt;=790,3,IF(INDEX(ERP資料!$G:$G, (MATCH(242, 輔助計算!$G$2:$G$801, 0)+1))&lt;=1181,2,1)))=1,TEXT(INDEX(ERP資料!$G:$G, (MATCH(242, 輔助計算!$G$2:$G$801, 0)+1)),"0.##"),IF(IF(INDEX(ERP資料!$G:$G, (MATCH(242, 輔助計算!$G$2:$G$801, 0)+1))&lt;100, IF(INDEX(ERP資料!$G:$G, (MATCH(242, 輔助計算!$G$2:$G$801, 0)+1))&lt;=31,3,IF(INDEX(ERP資料!$G:$G, (MATCH(242, 輔助計算!$G$2:$G$801, 0)+1))&lt;=46.5,2,1)), IF(INDEX(ERP資料!$G:$G, (MATCH(242, 輔助計算!$G$2:$G$801, 0)+1))&lt;=790,3,IF(INDEX(ERP資料!$G:$G, (MATCH(242, 輔助計算!$G$2:$G$801, 0)+1))&lt;=1181,2,1)))=2,TEXT(INDEX(ERP資料!$G:$G, (MATCH(242, 輔助計算!$G$2:$G$801, 0)+1)),"0.##")&amp;"+"&amp;TEXT(INDEX(ERP資料!$G:$G, (MATCH(242, 輔助計算!$G$2:$G$801, 0)+1)),"0.##"),TEXT(INDEX(ERP資料!$G:$G, (MATCH(242, 輔助計算!$G$2:$G$801, 0)+1)),"0.##")&amp;"+"&amp;TEXT(INDEX(ERP資料!$G:$G, (MATCH(242, 輔助計算!$G$2:$G$801, 0)+1)),"0.##")&amp;"+"&amp;TEXT(INDEX(ERP資料!$G:$G, (MATCH(242, 輔助計算!$G$2:$G$801, 0)+1)),"0.##")))&amp;"-"&amp;INT(INDEX(輔助計算!$D:$D, (MATCH(242, 輔助計算!$G$2:$G$801, 0)+1))/IF(INDEX(ERP資料!$G:$G, (MATCH(242, 輔助計算!$G$2:$G$801, 0)+1))&lt;100, IF(INDEX(ERP資料!$G:$G, (MATCH(242, 輔助計算!$G$2:$G$801, 0)+1))&lt;=31,3,IF(INDEX(ERP資料!$G:$G, (MATCH(242, 輔助計算!$G$2:$G$801, 0)+1))&lt;=46.5,2,1)), IF(INDEX(ERP資料!$G:$G, (MATCH(242, 輔助計算!$G$2:$G$801, 0)+1))&lt;=790,3,IF(INDEX(ERP資料!$G:$G, (MATCH(242, 輔助計算!$G$2:$G$801, 0)+1))&lt;=1181,2,1)))), "")&lt;&gt;"",IF(MOD(INDEX(輔助計算!$D:$D, (MATCH(242, 輔助計算!$G$2:$G$801, 0)+1)),IF(INDEX(ERP資料!$G:$G, (MATCH(242, 輔助計算!$G$2:$G$801, 0)+1))&lt;100, IF(INDEX(ERP資料!$G:$G, (MATCH(242, 輔助計算!$G$2:$G$801, 0)+1))&lt;=31,3,IF(INDEX(ERP資料!$G:$G, (MATCH(242, 輔助計算!$G$2:$G$801, 0)+1))&lt;=46.5,2,1)), IF(INDEX(ERP資料!$G:$G, (MATCH(242, 輔助計算!$G$2:$G$801, 0)+1))&lt;=790,3,IF(INDEX(ERP資料!$G:$G, (MATCH(242, 輔助計算!$G$2:$G$801, 0)+1))&lt;=1181,2,1))))=0,"",IF(MOD(INDEX(輔助計算!$D:$D, (MATCH(242, 輔助計算!$G$2:$G$801, 0)+1)),IF(INDEX(ERP資料!$G:$G, (MATCH(242, 輔助計算!$G$2:$G$801, 0)+1))&lt;100, IF(INDEX(ERP資料!$G:$G, (MATCH(242, 輔助計算!$G$2:$G$801, 0)+1))&lt;=31,3,IF(INDEX(ERP資料!$G:$G, (MATCH(242, 輔助計算!$G$2:$G$801, 0)+1))&lt;=46.5,2,1)), IF(INDEX(ERP資料!$G:$G, (MATCH(242, 輔助計算!$G$2:$G$801, 0)+1))&lt;=790,3,IF(INDEX(ERP資料!$G:$G, (MATCH(242, 輔助計算!$G$2:$G$801, 0)+1))&lt;=1181,2,1))))=0,"",IF(MOD(INDEX(輔助計算!$D:$D, (MATCH(242, 輔助計算!$G$2:$G$801, 0)+1)),IF(INDEX(ERP資料!$G:$G, (MATCH(242, 輔助計算!$G$2:$G$801, 0)+1))&lt;100, IF(INDEX(ERP資料!$G:$G, (MATCH(242, 輔助計算!$G$2:$G$801, 0)+1))&lt;=31,3,IF(INDEX(ERP資料!$G:$G, (MATCH(242, 輔助計算!$G$2:$G$801, 0)+1))&lt;=46.5,2,1)), IF(INDEX(ERP資料!$G:$G, (MATCH(242, 輔助計算!$G$2:$G$801, 0)+1))&lt;=790,3,IF(INDEX(ERP資料!$G:$G, (MATCH(242, 輔助計算!$G$2:$G$801, 0)+1))&lt;=1181,2,1))))=1,TEXT(INDEX(ERP資料!$G:$G, (MATCH(242, 輔助計算!$G$2:$G$801, 0)+1)),"0.##"),IF(MOD(INDEX(輔助計算!$D:$D, (MATCH(242, 輔助計算!$G$2:$G$801, 0)+1)),IF(INDEX(ERP資料!$G:$G, (MATCH(242, 輔助計算!$G$2:$G$801, 0)+1))&lt;100, IF(INDEX(ERP資料!$G:$G, (MATCH(242, 輔助計算!$G$2:$G$801, 0)+1))&lt;=31,3,IF(INDEX(ERP資料!$G:$G, (MATCH(242, 輔助計算!$G$2:$G$801, 0)+1))&lt;=46.5,2,1)), IF(INDEX(ERP資料!$G:$G, (MATCH(242, 輔助計算!$G$2:$G$801, 0)+1))&lt;=790,3,IF(INDEX(ERP資料!$G:$G, (MATCH(242, 輔助計算!$G$2:$G$801, 0)+1))&lt;=1181,2,1))))=2,TEXT(INDEX(ERP資料!$G:$G, (MATCH(242, 輔助計算!$G$2:$G$801, 0)+1)),"0.##")&amp;"+"&amp;TEXT(INDEX(ERP資料!$G:$G, (MATCH(242, 輔助計算!$G$2:$G$801, 0)+1)),"0.##"),TEXT(INDEX(ERP資料!$G:$G, (MATCH(242, 輔助計算!$G$2:$G$801, 0)+1)),"0.##")&amp;"+"&amp;TEXT(INDEX(ERP資料!$G:$G, (MATCH(242, 輔助計算!$G$2:$G$801, 0)+1)),"0.##")&amp;"+"&amp;TEXT(INDEX(ERP資料!$G:$G, (MATCH(242, 輔助計算!$G$2:$G$801, 0)+1)),"0.##"))))&amp;"-1")&lt;&gt;""),"  ","")&amp;IF(MOD(INDEX(輔助計算!$D:$D, (MATCH(242, 輔助計算!$G$2:$G$801, 0)+1)),IF(INDEX(ERP資料!$G:$G, (MATCH(242, 輔助計算!$G$2:$G$801, 0)+1))&lt;100, IF(INDEX(ERP資料!$G:$G, (MATCH(242, 輔助計算!$G$2:$G$801, 0)+1))&lt;=31,3,IF(INDEX(ERP資料!$G:$G, (MATCH(242, 輔助計算!$G$2:$G$801, 0)+1))&lt;=46.5,2,1)), IF(INDEX(ERP資料!$G:$G, (MATCH(242, 輔助計算!$G$2:$G$801, 0)+1))&lt;=790,3,IF(INDEX(ERP資料!$G:$G, (MATCH(242, 輔助計算!$G$2:$G$801, 0)+1))&lt;=1181,2,1))))=0,"",IF(MOD(INDEX(輔助計算!$D:$D, (MATCH(242, 輔助計算!$G$2:$G$801, 0)+1)),IF(INDEX(ERP資料!$G:$G, (MATCH(242, 輔助計算!$G$2:$G$801, 0)+1))&lt;100, IF(INDEX(ERP資料!$G:$G, (MATCH(242, 輔助計算!$G$2:$G$801, 0)+1))&lt;=31,3,IF(INDEX(ERP資料!$G:$G, (MATCH(242, 輔助計算!$G$2:$G$801, 0)+1))&lt;=46.5,2,1)), IF(INDEX(ERP資料!$G:$G, (MATCH(242, 輔助計算!$G$2:$G$801, 0)+1))&lt;=790,3,IF(INDEX(ERP資料!$G:$G, (MATCH(242, 輔助計算!$G$2:$G$801, 0)+1))&lt;=1181,2,1))))=0,"",IF(MOD(INDEX(輔助計算!$D:$D, (MATCH(242, 輔助計算!$G$2:$G$801, 0)+1)),IF(INDEX(ERP資料!$G:$G, (MATCH(242, 輔助計算!$G$2:$G$801, 0)+1))&lt;100, IF(INDEX(ERP資料!$G:$G, (MATCH(242, 輔助計算!$G$2:$G$801, 0)+1))&lt;=31,3,IF(INDEX(ERP資料!$G:$G, (MATCH(242, 輔助計算!$G$2:$G$801, 0)+1))&lt;=46.5,2,1)), IF(INDEX(ERP資料!$G:$G, (MATCH(242, 輔助計算!$G$2:$G$801, 0)+1))&lt;=790,3,IF(INDEX(ERP資料!$G:$G, (MATCH(242, 輔助計算!$G$2:$G$801, 0)+1))&lt;=1181,2,1))))=1,TEXT(INDEX(ERP資料!$G:$G, (MATCH(242, 輔助計算!$G$2:$G$801, 0)+1)),"0.##"),IF(MOD(INDEX(輔助計算!$D:$D, (MATCH(242, 輔助計算!$G$2:$G$801, 0)+1)),IF(INDEX(ERP資料!$G:$G, (MATCH(242, 輔助計算!$G$2:$G$801, 0)+1))&lt;100, IF(INDEX(ERP資料!$G:$G, (MATCH(242, 輔助計算!$G$2:$G$801, 0)+1))&lt;=31,3,IF(INDEX(ERP資料!$G:$G, (MATCH(242, 輔助計算!$G$2:$G$801, 0)+1))&lt;=46.5,2,1)), IF(INDEX(ERP資料!$G:$G, (MATCH(242, 輔助計算!$G$2:$G$801, 0)+1))&lt;=790,3,IF(INDEX(ERP資料!$G:$G, (MATCH(242, 輔助計算!$G$2:$G$801, 0)+1))&lt;=1181,2,1))))=2,TEXT(INDEX(ERP資料!$G:$G, (MATCH(242, 輔助計算!$G$2:$G$801, 0)+1)),"0.##")&amp;"+"&amp;TEXT(INDEX(ERP資料!$G:$G, (MATCH(242, 輔助計算!$G$2:$G$801, 0)+1)),"0.##"),TEXT(INDEX(ERP資料!$G:$G, (MATCH(242, 輔助計算!$G$2:$G$801, 0)+1)),"0.##")&amp;"+"&amp;TEXT(INDEX(ERP資料!$G:$G, (MATCH(242, 輔助計算!$G$2:$G$801, 0)+1)),"0.##")&amp;"+"&amp;TEXT(INDEX(ERP資料!$G:$G, (MATCH(242, 輔助計算!$G$2:$G$801, 0)+1)),"0.##"))))&amp;"-1")), ""), "")</f>
        <v/>
      </c>
      <c r="K243" s="16" t="n"/>
      <c r="L243" s="14">
        <f>IFERROR(IF(AND(IFERROR(INDEX(ERP資料!$A:$A, (MATCH(242, 輔助計算!$G$2:$G$801, 0)+1)), "")&lt;&gt;"", IFERROR(INDEX(ERP資料!$A:$A, (MATCH(242, 輔助計算!$G$2:$G$801, 0)+1)), "")&lt;&gt;IFERROR(INDEX(ERP資料!$A:$A, MATCH(241, 輔助計算!$G$2:$G$801, 0)+1), "")), INDEX(ERP資料!$B:$B, (MATCH(242, 輔助計算!$G$2:$G$801, 0)+1)), ""), "")</f>
        <v/>
      </c>
      <c r="M243" s="17" t="n"/>
    </row>
    <row r="244">
      <c r="A244" s="10">
        <f>IFERROR(IF(AND(IFERROR(INDEX(ERP資料!$A:$A, (MATCH(243, 輔助計算!$G$2:$G$801, 0)+1)), "")&lt;&gt;"", IFERROR(INDEX(ERP資料!$A:$A, (MATCH(243, 輔助計算!$G$2:$G$801, 0)+1)), "")&lt;&gt;IFERROR(INDEX(ERP資料!$A:$A, MATCH(242, 輔助計算!$G$2:$G$801, 0)+1), "")), IFERROR(INDEX(ERP資料!$A:$A, (MATCH(243, 輔助計算!$G$2:$G$801, 0)+1)), ""), ""), "")</f>
        <v/>
      </c>
      <c r="B244" s="10">
        <f>IFERROR(IF(AND(IFERROR(INDEX(ERP資料!$A:$A, (MATCH(243, 輔助計算!$G$2:$G$801, 0)+1)), "")&lt;&gt;"", IFERROR(INDEX(ERP資料!$A:$A, (MATCH(243, 輔助計算!$G$2:$G$801, 0)+1)), "")&lt;&gt;IFERROR(INDEX(ERP資料!$A:$A, MATCH(242, 輔助計算!$G$2:$G$801, 0)+1), "")), INDEX(ERP資料!$S:$S, (MATCH(243, 輔助計算!$G$2:$G$801, 0)+1)), ""), "")</f>
        <v/>
      </c>
      <c r="C244" s="19">
        <f>IFERROR(IF(AND(IFERROR(INDEX(ERP資料!$A:$A, (MATCH(243, 輔助計算!$G$2:$G$801, 0)+1)), "")&lt;&gt;"", IFERROR(INDEX(ERP資料!$A:$A, (MATCH(243, 輔助計算!$G$2:$G$801, 0)+1)), "")&lt;&gt;IFERROR(INDEX(ERP資料!$A:$A, MATCH(242, 輔助計算!$G$2:$G$801, 0)+1), "")), IFERROR(VLOOKUP(LEFT(INDEX(ERP資料!$S:$S, (MATCH(243, 輔助計算!$G$2:$G$801, 0)+1)), 4), 紙管對照表!$A:$C, 3, FALSE), ""), ""), "")</f>
        <v/>
      </c>
      <c r="D244" s="16" t="n"/>
      <c r="E244" s="10">
        <f>IFERROR(IF(INDEX(ERP資料!$H:$H, (MATCH(243, 輔助計算!$G$2:$G$801, 0)+1))="","",INDEX(ERP資料!$H:$H, (MATCH(243, 輔助計算!$G$2:$G$801, 0)+1))), "")</f>
        <v/>
      </c>
      <c r="F244" s="10">
        <f>IFERROR(IF(INDEX(ERP資料!$E:$E, (MATCH(243, 輔助計算!$G$2:$G$801, 0)+1))="","",TRIM(INDEX(ERP資料!$E:$E, (MATCH(243, 輔助計算!$G$2:$G$801, 0)+1)))), "")</f>
        <v/>
      </c>
      <c r="G244" s="10">
        <f>IFERROR(IF(INDEX(ERP資料!$F:$F, (MATCH(243, 輔助計算!$G$2:$G$801, 0)+1))="","",INDEX(ERP資料!$F:$F, (MATCH(243, 輔助計算!$G$2:$G$801, 0)+1))), "")</f>
        <v/>
      </c>
      <c r="H244" s="10">
        <f>IFERROR(IF(INDEX(ERP資料!$G:$G, (MATCH(243, 輔助計算!$G$2:$G$801, 0)+1))="","",INDEX(ERP資料!$G:$G, (MATCH(243, 輔助計算!$G$2:$G$801, 0)+1))), "")</f>
        <v/>
      </c>
      <c r="I244" s="15">
        <f>IFERROR(INDEX(輔助計算!$D:$D, (MATCH(243, 輔助計算!$G$2:$G$801, 0)+1)), "")</f>
        <v/>
      </c>
      <c r="J244" s="15">
        <f>IFERROR(IF(AND(INDEX(輔助計算!$D:$D, (MATCH(243, 輔助計算!$G$2:$G$801, 0)+1))&lt;&gt;"", INDEX(ERP資料!$G:$G, (MATCH(243, 輔助計算!$G$2:$G$801, 0)+1))&lt;&gt;""), TRIM(IF(INT(INDEX(輔助計算!$D:$D, (MATCH(243, 輔助計算!$G$2:$G$801, 0)+1))/IF(INDEX(ERP資料!$G:$G, (MATCH(243, 輔助計算!$G$2:$G$801, 0)+1))&lt;100, IF(INDEX(ERP資料!$G:$G, (MATCH(243, 輔助計算!$G$2:$G$801, 0)+1))&lt;=31,3,IF(INDEX(ERP資料!$G:$G, (MATCH(243, 輔助計算!$G$2:$G$801, 0)+1))&lt;=46.5,2,1)), IF(INDEX(ERP資料!$G:$G, (MATCH(243, 輔助計算!$G$2:$G$801, 0)+1))&lt;=790,3,IF(INDEX(ERP資料!$G:$G, (MATCH(243, 輔助計算!$G$2:$G$801, 0)+1))&lt;=1181,2,1))))&gt;0, IF(IF(INDEX(ERP資料!$G:$G, (MATCH(243, 輔助計算!$G$2:$G$801, 0)+1))&lt;100, IF(INDEX(ERP資料!$G:$G, (MATCH(243, 輔助計算!$G$2:$G$801, 0)+1))&lt;=31,3,IF(INDEX(ERP資料!$G:$G, (MATCH(243, 輔助計算!$G$2:$G$801, 0)+1))&lt;=46.5,2,1)), IF(INDEX(ERP資料!$G:$G, (MATCH(243, 輔助計算!$G$2:$G$801, 0)+1))&lt;=790,3,IF(INDEX(ERP資料!$G:$G, (MATCH(243, 輔助計算!$G$2:$G$801, 0)+1))&lt;=1181,2,1)))=1,TEXT(INDEX(ERP資料!$G:$G, (MATCH(243, 輔助計算!$G$2:$G$801, 0)+1)),"0.##"),IF(IF(INDEX(ERP資料!$G:$G, (MATCH(243, 輔助計算!$G$2:$G$801, 0)+1))&lt;100, IF(INDEX(ERP資料!$G:$G, (MATCH(243, 輔助計算!$G$2:$G$801, 0)+1))&lt;=31,3,IF(INDEX(ERP資料!$G:$G, (MATCH(243, 輔助計算!$G$2:$G$801, 0)+1))&lt;=46.5,2,1)), IF(INDEX(ERP資料!$G:$G, (MATCH(243, 輔助計算!$G$2:$G$801, 0)+1))&lt;=790,3,IF(INDEX(ERP資料!$G:$G, (MATCH(243, 輔助計算!$G$2:$G$801, 0)+1))&lt;=1181,2,1)))=2,TEXT(INDEX(ERP資料!$G:$G, (MATCH(243, 輔助計算!$G$2:$G$801, 0)+1)),"0.##")&amp;"+"&amp;TEXT(INDEX(ERP資料!$G:$G, (MATCH(243, 輔助計算!$G$2:$G$801, 0)+1)),"0.##"),TEXT(INDEX(ERP資料!$G:$G, (MATCH(243, 輔助計算!$G$2:$G$801, 0)+1)),"0.##")&amp;"+"&amp;TEXT(INDEX(ERP資料!$G:$G, (MATCH(243, 輔助計算!$G$2:$G$801, 0)+1)),"0.##")&amp;"+"&amp;TEXT(INDEX(ERP資料!$G:$G, (MATCH(243, 輔助計算!$G$2:$G$801, 0)+1)),"0.##")))&amp;"-"&amp;INT(INDEX(輔助計算!$D:$D, (MATCH(243, 輔助計算!$G$2:$G$801, 0)+1))/IF(INDEX(ERP資料!$G:$G, (MATCH(243, 輔助計算!$G$2:$G$801, 0)+1))&lt;100, IF(INDEX(ERP資料!$G:$G, (MATCH(243, 輔助計算!$G$2:$G$801, 0)+1))&lt;=31,3,IF(INDEX(ERP資料!$G:$G, (MATCH(243, 輔助計算!$G$2:$G$801, 0)+1))&lt;=46.5,2,1)), IF(INDEX(ERP資料!$G:$G, (MATCH(243, 輔助計算!$G$2:$G$801, 0)+1))&lt;=790,3,IF(INDEX(ERP資料!$G:$G, (MATCH(243, 輔助計算!$G$2:$G$801, 0)+1))&lt;=1181,2,1)))), "")&amp;IF(AND(IF(INT(INDEX(輔助計算!$D:$D, (MATCH(243, 輔助計算!$G$2:$G$801, 0)+1))/IF(INDEX(ERP資料!$G:$G, (MATCH(243, 輔助計算!$G$2:$G$801, 0)+1))&lt;100, IF(INDEX(ERP資料!$G:$G, (MATCH(243, 輔助計算!$G$2:$G$801, 0)+1))&lt;=31,3,IF(INDEX(ERP資料!$G:$G, (MATCH(243, 輔助計算!$G$2:$G$801, 0)+1))&lt;=46.5,2,1)), IF(INDEX(ERP資料!$G:$G, (MATCH(243, 輔助計算!$G$2:$G$801, 0)+1))&lt;=790,3,IF(INDEX(ERP資料!$G:$G, (MATCH(243, 輔助計算!$G$2:$G$801, 0)+1))&lt;=1181,2,1))))&gt;0, IF(IF(INDEX(ERP資料!$G:$G, (MATCH(243, 輔助計算!$G$2:$G$801, 0)+1))&lt;100, IF(INDEX(ERP資料!$G:$G, (MATCH(243, 輔助計算!$G$2:$G$801, 0)+1))&lt;=31,3,IF(INDEX(ERP資料!$G:$G, (MATCH(243, 輔助計算!$G$2:$G$801, 0)+1))&lt;=46.5,2,1)), IF(INDEX(ERP資料!$G:$G, (MATCH(243, 輔助計算!$G$2:$G$801, 0)+1))&lt;=790,3,IF(INDEX(ERP資料!$G:$G, (MATCH(243, 輔助計算!$G$2:$G$801, 0)+1))&lt;=1181,2,1)))=1,TEXT(INDEX(ERP資料!$G:$G, (MATCH(243, 輔助計算!$G$2:$G$801, 0)+1)),"0.##"),IF(IF(INDEX(ERP資料!$G:$G, (MATCH(243, 輔助計算!$G$2:$G$801, 0)+1))&lt;100, IF(INDEX(ERP資料!$G:$G, (MATCH(243, 輔助計算!$G$2:$G$801, 0)+1))&lt;=31,3,IF(INDEX(ERP資料!$G:$G, (MATCH(243, 輔助計算!$G$2:$G$801, 0)+1))&lt;=46.5,2,1)), IF(INDEX(ERP資料!$G:$G, (MATCH(243, 輔助計算!$G$2:$G$801, 0)+1))&lt;=790,3,IF(INDEX(ERP資料!$G:$G, (MATCH(243, 輔助計算!$G$2:$G$801, 0)+1))&lt;=1181,2,1)))=2,TEXT(INDEX(ERP資料!$G:$G, (MATCH(243, 輔助計算!$G$2:$G$801, 0)+1)),"0.##")&amp;"+"&amp;TEXT(INDEX(ERP資料!$G:$G, (MATCH(243, 輔助計算!$G$2:$G$801, 0)+1)),"0.##"),TEXT(INDEX(ERP資料!$G:$G, (MATCH(243, 輔助計算!$G$2:$G$801, 0)+1)),"0.##")&amp;"+"&amp;TEXT(INDEX(ERP資料!$G:$G, (MATCH(243, 輔助計算!$G$2:$G$801, 0)+1)),"0.##")&amp;"+"&amp;TEXT(INDEX(ERP資料!$G:$G, (MATCH(243, 輔助計算!$G$2:$G$801, 0)+1)),"0.##")))&amp;"-"&amp;INT(INDEX(輔助計算!$D:$D, (MATCH(243, 輔助計算!$G$2:$G$801, 0)+1))/IF(INDEX(ERP資料!$G:$G, (MATCH(243, 輔助計算!$G$2:$G$801, 0)+1))&lt;100, IF(INDEX(ERP資料!$G:$G, (MATCH(243, 輔助計算!$G$2:$G$801, 0)+1))&lt;=31,3,IF(INDEX(ERP資料!$G:$G, (MATCH(243, 輔助計算!$G$2:$G$801, 0)+1))&lt;=46.5,2,1)), IF(INDEX(ERP資料!$G:$G, (MATCH(243, 輔助計算!$G$2:$G$801, 0)+1))&lt;=790,3,IF(INDEX(ERP資料!$G:$G, (MATCH(243, 輔助計算!$G$2:$G$801, 0)+1))&lt;=1181,2,1)))), "")&lt;&gt;"",IF(MOD(INDEX(輔助計算!$D:$D, (MATCH(243, 輔助計算!$G$2:$G$801, 0)+1)),IF(INDEX(ERP資料!$G:$G, (MATCH(243, 輔助計算!$G$2:$G$801, 0)+1))&lt;100, IF(INDEX(ERP資料!$G:$G, (MATCH(243, 輔助計算!$G$2:$G$801, 0)+1))&lt;=31,3,IF(INDEX(ERP資料!$G:$G, (MATCH(243, 輔助計算!$G$2:$G$801, 0)+1))&lt;=46.5,2,1)), IF(INDEX(ERP資料!$G:$G, (MATCH(243, 輔助計算!$G$2:$G$801, 0)+1))&lt;=790,3,IF(INDEX(ERP資料!$G:$G, (MATCH(243, 輔助計算!$G$2:$G$801, 0)+1))&lt;=1181,2,1))))=0,"",IF(MOD(INDEX(輔助計算!$D:$D, (MATCH(243, 輔助計算!$G$2:$G$801, 0)+1)),IF(INDEX(ERP資料!$G:$G, (MATCH(243, 輔助計算!$G$2:$G$801, 0)+1))&lt;100, IF(INDEX(ERP資料!$G:$G, (MATCH(243, 輔助計算!$G$2:$G$801, 0)+1))&lt;=31,3,IF(INDEX(ERP資料!$G:$G, (MATCH(243, 輔助計算!$G$2:$G$801, 0)+1))&lt;=46.5,2,1)), IF(INDEX(ERP資料!$G:$G, (MATCH(243, 輔助計算!$G$2:$G$801, 0)+1))&lt;=790,3,IF(INDEX(ERP資料!$G:$G, (MATCH(243, 輔助計算!$G$2:$G$801, 0)+1))&lt;=1181,2,1))))=0,"",IF(MOD(INDEX(輔助計算!$D:$D, (MATCH(243, 輔助計算!$G$2:$G$801, 0)+1)),IF(INDEX(ERP資料!$G:$G, (MATCH(243, 輔助計算!$G$2:$G$801, 0)+1))&lt;100, IF(INDEX(ERP資料!$G:$G, (MATCH(243, 輔助計算!$G$2:$G$801, 0)+1))&lt;=31,3,IF(INDEX(ERP資料!$G:$G, (MATCH(243, 輔助計算!$G$2:$G$801, 0)+1))&lt;=46.5,2,1)), IF(INDEX(ERP資料!$G:$G, (MATCH(243, 輔助計算!$G$2:$G$801, 0)+1))&lt;=790,3,IF(INDEX(ERP資料!$G:$G, (MATCH(243, 輔助計算!$G$2:$G$801, 0)+1))&lt;=1181,2,1))))=1,TEXT(INDEX(ERP資料!$G:$G, (MATCH(243, 輔助計算!$G$2:$G$801, 0)+1)),"0.##"),IF(MOD(INDEX(輔助計算!$D:$D, (MATCH(243, 輔助計算!$G$2:$G$801, 0)+1)),IF(INDEX(ERP資料!$G:$G, (MATCH(243, 輔助計算!$G$2:$G$801, 0)+1))&lt;100, IF(INDEX(ERP資料!$G:$G, (MATCH(243, 輔助計算!$G$2:$G$801, 0)+1))&lt;=31,3,IF(INDEX(ERP資料!$G:$G, (MATCH(243, 輔助計算!$G$2:$G$801, 0)+1))&lt;=46.5,2,1)), IF(INDEX(ERP資料!$G:$G, (MATCH(243, 輔助計算!$G$2:$G$801, 0)+1))&lt;=790,3,IF(INDEX(ERP資料!$G:$G, (MATCH(243, 輔助計算!$G$2:$G$801, 0)+1))&lt;=1181,2,1))))=2,TEXT(INDEX(ERP資料!$G:$G, (MATCH(243, 輔助計算!$G$2:$G$801, 0)+1)),"0.##")&amp;"+"&amp;TEXT(INDEX(ERP資料!$G:$G, (MATCH(243, 輔助計算!$G$2:$G$801, 0)+1)),"0.##"),TEXT(INDEX(ERP資料!$G:$G, (MATCH(243, 輔助計算!$G$2:$G$801, 0)+1)),"0.##")&amp;"+"&amp;TEXT(INDEX(ERP資料!$G:$G, (MATCH(243, 輔助計算!$G$2:$G$801, 0)+1)),"0.##")&amp;"+"&amp;TEXT(INDEX(ERP資料!$G:$G, (MATCH(243, 輔助計算!$G$2:$G$801, 0)+1)),"0.##"))))&amp;"-1")&lt;&gt;""),"  ","")&amp;IF(MOD(INDEX(輔助計算!$D:$D, (MATCH(243, 輔助計算!$G$2:$G$801, 0)+1)),IF(INDEX(ERP資料!$G:$G, (MATCH(243, 輔助計算!$G$2:$G$801, 0)+1))&lt;100, IF(INDEX(ERP資料!$G:$G, (MATCH(243, 輔助計算!$G$2:$G$801, 0)+1))&lt;=31,3,IF(INDEX(ERP資料!$G:$G, (MATCH(243, 輔助計算!$G$2:$G$801, 0)+1))&lt;=46.5,2,1)), IF(INDEX(ERP資料!$G:$G, (MATCH(243, 輔助計算!$G$2:$G$801, 0)+1))&lt;=790,3,IF(INDEX(ERP資料!$G:$G, (MATCH(243, 輔助計算!$G$2:$G$801, 0)+1))&lt;=1181,2,1))))=0,"",IF(MOD(INDEX(輔助計算!$D:$D, (MATCH(243, 輔助計算!$G$2:$G$801, 0)+1)),IF(INDEX(ERP資料!$G:$G, (MATCH(243, 輔助計算!$G$2:$G$801, 0)+1))&lt;100, IF(INDEX(ERP資料!$G:$G, (MATCH(243, 輔助計算!$G$2:$G$801, 0)+1))&lt;=31,3,IF(INDEX(ERP資料!$G:$G, (MATCH(243, 輔助計算!$G$2:$G$801, 0)+1))&lt;=46.5,2,1)), IF(INDEX(ERP資料!$G:$G, (MATCH(243, 輔助計算!$G$2:$G$801, 0)+1))&lt;=790,3,IF(INDEX(ERP資料!$G:$G, (MATCH(243, 輔助計算!$G$2:$G$801, 0)+1))&lt;=1181,2,1))))=0,"",IF(MOD(INDEX(輔助計算!$D:$D, (MATCH(243, 輔助計算!$G$2:$G$801, 0)+1)),IF(INDEX(ERP資料!$G:$G, (MATCH(243, 輔助計算!$G$2:$G$801, 0)+1))&lt;100, IF(INDEX(ERP資料!$G:$G, (MATCH(243, 輔助計算!$G$2:$G$801, 0)+1))&lt;=31,3,IF(INDEX(ERP資料!$G:$G, (MATCH(243, 輔助計算!$G$2:$G$801, 0)+1))&lt;=46.5,2,1)), IF(INDEX(ERP資料!$G:$G, (MATCH(243, 輔助計算!$G$2:$G$801, 0)+1))&lt;=790,3,IF(INDEX(ERP資料!$G:$G, (MATCH(243, 輔助計算!$G$2:$G$801, 0)+1))&lt;=1181,2,1))))=1,TEXT(INDEX(ERP資料!$G:$G, (MATCH(243, 輔助計算!$G$2:$G$801, 0)+1)),"0.##"),IF(MOD(INDEX(輔助計算!$D:$D, (MATCH(243, 輔助計算!$G$2:$G$801, 0)+1)),IF(INDEX(ERP資料!$G:$G, (MATCH(243, 輔助計算!$G$2:$G$801, 0)+1))&lt;100, IF(INDEX(ERP資料!$G:$G, (MATCH(243, 輔助計算!$G$2:$G$801, 0)+1))&lt;=31,3,IF(INDEX(ERP資料!$G:$G, (MATCH(243, 輔助計算!$G$2:$G$801, 0)+1))&lt;=46.5,2,1)), IF(INDEX(ERP資料!$G:$G, (MATCH(243, 輔助計算!$G$2:$G$801, 0)+1))&lt;=790,3,IF(INDEX(ERP資料!$G:$G, (MATCH(243, 輔助計算!$G$2:$G$801, 0)+1))&lt;=1181,2,1))))=2,TEXT(INDEX(ERP資料!$G:$G, (MATCH(243, 輔助計算!$G$2:$G$801, 0)+1)),"0.##")&amp;"+"&amp;TEXT(INDEX(ERP資料!$G:$G, (MATCH(243, 輔助計算!$G$2:$G$801, 0)+1)),"0.##"),TEXT(INDEX(ERP資料!$G:$G, (MATCH(243, 輔助計算!$G$2:$G$801, 0)+1)),"0.##")&amp;"+"&amp;TEXT(INDEX(ERP資料!$G:$G, (MATCH(243, 輔助計算!$G$2:$G$801, 0)+1)),"0.##")&amp;"+"&amp;TEXT(INDEX(ERP資料!$G:$G, (MATCH(243, 輔助計算!$G$2:$G$801, 0)+1)),"0.##"))))&amp;"-1")), ""), "")</f>
        <v/>
      </c>
      <c r="K244" s="16" t="n"/>
      <c r="L244" s="14">
        <f>IFERROR(IF(AND(IFERROR(INDEX(ERP資料!$A:$A, (MATCH(243, 輔助計算!$G$2:$G$801, 0)+1)), "")&lt;&gt;"", IFERROR(INDEX(ERP資料!$A:$A, (MATCH(243, 輔助計算!$G$2:$G$801, 0)+1)), "")&lt;&gt;IFERROR(INDEX(ERP資料!$A:$A, MATCH(242, 輔助計算!$G$2:$G$801, 0)+1), "")), INDEX(ERP資料!$B:$B, (MATCH(243, 輔助計算!$G$2:$G$801, 0)+1)), ""), "")</f>
        <v/>
      </c>
      <c r="M244" s="17" t="n"/>
    </row>
    <row r="245">
      <c r="A245" s="10">
        <f>IFERROR(IF(AND(IFERROR(INDEX(ERP資料!$A:$A, (MATCH(244, 輔助計算!$G$2:$G$801, 0)+1)), "")&lt;&gt;"", IFERROR(INDEX(ERP資料!$A:$A, (MATCH(244, 輔助計算!$G$2:$G$801, 0)+1)), "")&lt;&gt;IFERROR(INDEX(ERP資料!$A:$A, MATCH(243, 輔助計算!$G$2:$G$801, 0)+1), "")), IFERROR(INDEX(ERP資料!$A:$A, (MATCH(244, 輔助計算!$G$2:$G$801, 0)+1)), ""), ""), "")</f>
        <v/>
      </c>
      <c r="B245" s="10">
        <f>IFERROR(IF(AND(IFERROR(INDEX(ERP資料!$A:$A, (MATCH(244, 輔助計算!$G$2:$G$801, 0)+1)), "")&lt;&gt;"", IFERROR(INDEX(ERP資料!$A:$A, (MATCH(244, 輔助計算!$G$2:$G$801, 0)+1)), "")&lt;&gt;IFERROR(INDEX(ERP資料!$A:$A, MATCH(243, 輔助計算!$G$2:$G$801, 0)+1), "")), INDEX(ERP資料!$S:$S, (MATCH(244, 輔助計算!$G$2:$G$801, 0)+1)), ""), "")</f>
        <v/>
      </c>
      <c r="C245" s="19">
        <f>IFERROR(IF(AND(IFERROR(INDEX(ERP資料!$A:$A, (MATCH(244, 輔助計算!$G$2:$G$801, 0)+1)), "")&lt;&gt;"", IFERROR(INDEX(ERP資料!$A:$A, (MATCH(244, 輔助計算!$G$2:$G$801, 0)+1)), "")&lt;&gt;IFERROR(INDEX(ERP資料!$A:$A, MATCH(243, 輔助計算!$G$2:$G$801, 0)+1), "")), IFERROR(VLOOKUP(LEFT(INDEX(ERP資料!$S:$S, (MATCH(244, 輔助計算!$G$2:$G$801, 0)+1)), 4), 紙管對照表!$A:$C, 3, FALSE), ""), ""), "")</f>
        <v/>
      </c>
      <c r="D245" s="16" t="n"/>
      <c r="E245" s="10">
        <f>IFERROR(IF(INDEX(ERP資料!$H:$H, (MATCH(244, 輔助計算!$G$2:$G$801, 0)+1))="","",INDEX(ERP資料!$H:$H, (MATCH(244, 輔助計算!$G$2:$G$801, 0)+1))), "")</f>
        <v/>
      </c>
      <c r="F245" s="10">
        <f>IFERROR(IF(INDEX(ERP資料!$E:$E, (MATCH(244, 輔助計算!$G$2:$G$801, 0)+1))="","",TRIM(INDEX(ERP資料!$E:$E, (MATCH(244, 輔助計算!$G$2:$G$801, 0)+1)))), "")</f>
        <v/>
      </c>
      <c r="G245" s="10">
        <f>IFERROR(IF(INDEX(ERP資料!$F:$F, (MATCH(244, 輔助計算!$G$2:$G$801, 0)+1))="","",INDEX(ERP資料!$F:$F, (MATCH(244, 輔助計算!$G$2:$G$801, 0)+1))), "")</f>
        <v/>
      </c>
      <c r="H245" s="10">
        <f>IFERROR(IF(INDEX(ERP資料!$G:$G, (MATCH(244, 輔助計算!$G$2:$G$801, 0)+1))="","",INDEX(ERP資料!$G:$G, (MATCH(244, 輔助計算!$G$2:$G$801, 0)+1))), "")</f>
        <v/>
      </c>
      <c r="I245" s="15">
        <f>IFERROR(INDEX(輔助計算!$D:$D, (MATCH(244, 輔助計算!$G$2:$G$801, 0)+1)), "")</f>
        <v/>
      </c>
      <c r="J245" s="15">
        <f>IFERROR(IF(AND(INDEX(輔助計算!$D:$D, (MATCH(244, 輔助計算!$G$2:$G$801, 0)+1))&lt;&gt;"", INDEX(ERP資料!$G:$G, (MATCH(244, 輔助計算!$G$2:$G$801, 0)+1))&lt;&gt;""), TRIM(IF(INT(INDEX(輔助計算!$D:$D, (MATCH(244, 輔助計算!$G$2:$G$801, 0)+1))/IF(INDEX(ERP資料!$G:$G, (MATCH(244, 輔助計算!$G$2:$G$801, 0)+1))&lt;100, IF(INDEX(ERP資料!$G:$G, (MATCH(244, 輔助計算!$G$2:$G$801, 0)+1))&lt;=31,3,IF(INDEX(ERP資料!$G:$G, (MATCH(244, 輔助計算!$G$2:$G$801, 0)+1))&lt;=46.5,2,1)), IF(INDEX(ERP資料!$G:$G, (MATCH(244, 輔助計算!$G$2:$G$801, 0)+1))&lt;=790,3,IF(INDEX(ERP資料!$G:$G, (MATCH(244, 輔助計算!$G$2:$G$801, 0)+1))&lt;=1181,2,1))))&gt;0, IF(IF(INDEX(ERP資料!$G:$G, (MATCH(244, 輔助計算!$G$2:$G$801, 0)+1))&lt;100, IF(INDEX(ERP資料!$G:$G, (MATCH(244, 輔助計算!$G$2:$G$801, 0)+1))&lt;=31,3,IF(INDEX(ERP資料!$G:$G, (MATCH(244, 輔助計算!$G$2:$G$801, 0)+1))&lt;=46.5,2,1)), IF(INDEX(ERP資料!$G:$G, (MATCH(244, 輔助計算!$G$2:$G$801, 0)+1))&lt;=790,3,IF(INDEX(ERP資料!$G:$G, (MATCH(244, 輔助計算!$G$2:$G$801, 0)+1))&lt;=1181,2,1)))=1,TEXT(INDEX(ERP資料!$G:$G, (MATCH(244, 輔助計算!$G$2:$G$801, 0)+1)),"0.##"),IF(IF(INDEX(ERP資料!$G:$G, (MATCH(244, 輔助計算!$G$2:$G$801, 0)+1))&lt;100, IF(INDEX(ERP資料!$G:$G, (MATCH(244, 輔助計算!$G$2:$G$801, 0)+1))&lt;=31,3,IF(INDEX(ERP資料!$G:$G, (MATCH(244, 輔助計算!$G$2:$G$801, 0)+1))&lt;=46.5,2,1)), IF(INDEX(ERP資料!$G:$G, (MATCH(244, 輔助計算!$G$2:$G$801, 0)+1))&lt;=790,3,IF(INDEX(ERP資料!$G:$G, (MATCH(244, 輔助計算!$G$2:$G$801, 0)+1))&lt;=1181,2,1)))=2,TEXT(INDEX(ERP資料!$G:$G, (MATCH(244, 輔助計算!$G$2:$G$801, 0)+1)),"0.##")&amp;"+"&amp;TEXT(INDEX(ERP資料!$G:$G, (MATCH(244, 輔助計算!$G$2:$G$801, 0)+1)),"0.##"),TEXT(INDEX(ERP資料!$G:$G, (MATCH(244, 輔助計算!$G$2:$G$801, 0)+1)),"0.##")&amp;"+"&amp;TEXT(INDEX(ERP資料!$G:$G, (MATCH(244, 輔助計算!$G$2:$G$801, 0)+1)),"0.##")&amp;"+"&amp;TEXT(INDEX(ERP資料!$G:$G, (MATCH(244, 輔助計算!$G$2:$G$801, 0)+1)),"0.##")))&amp;"-"&amp;INT(INDEX(輔助計算!$D:$D, (MATCH(244, 輔助計算!$G$2:$G$801, 0)+1))/IF(INDEX(ERP資料!$G:$G, (MATCH(244, 輔助計算!$G$2:$G$801, 0)+1))&lt;100, IF(INDEX(ERP資料!$G:$G, (MATCH(244, 輔助計算!$G$2:$G$801, 0)+1))&lt;=31,3,IF(INDEX(ERP資料!$G:$G, (MATCH(244, 輔助計算!$G$2:$G$801, 0)+1))&lt;=46.5,2,1)), IF(INDEX(ERP資料!$G:$G, (MATCH(244, 輔助計算!$G$2:$G$801, 0)+1))&lt;=790,3,IF(INDEX(ERP資料!$G:$G, (MATCH(244, 輔助計算!$G$2:$G$801, 0)+1))&lt;=1181,2,1)))), "")&amp;IF(AND(IF(INT(INDEX(輔助計算!$D:$D, (MATCH(244, 輔助計算!$G$2:$G$801, 0)+1))/IF(INDEX(ERP資料!$G:$G, (MATCH(244, 輔助計算!$G$2:$G$801, 0)+1))&lt;100, IF(INDEX(ERP資料!$G:$G, (MATCH(244, 輔助計算!$G$2:$G$801, 0)+1))&lt;=31,3,IF(INDEX(ERP資料!$G:$G, (MATCH(244, 輔助計算!$G$2:$G$801, 0)+1))&lt;=46.5,2,1)), IF(INDEX(ERP資料!$G:$G, (MATCH(244, 輔助計算!$G$2:$G$801, 0)+1))&lt;=790,3,IF(INDEX(ERP資料!$G:$G, (MATCH(244, 輔助計算!$G$2:$G$801, 0)+1))&lt;=1181,2,1))))&gt;0, IF(IF(INDEX(ERP資料!$G:$G, (MATCH(244, 輔助計算!$G$2:$G$801, 0)+1))&lt;100, IF(INDEX(ERP資料!$G:$G, (MATCH(244, 輔助計算!$G$2:$G$801, 0)+1))&lt;=31,3,IF(INDEX(ERP資料!$G:$G, (MATCH(244, 輔助計算!$G$2:$G$801, 0)+1))&lt;=46.5,2,1)), IF(INDEX(ERP資料!$G:$G, (MATCH(244, 輔助計算!$G$2:$G$801, 0)+1))&lt;=790,3,IF(INDEX(ERP資料!$G:$G, (MATCH(244, 輔助計算!$G$2:$G$801, 0)+1))&lt;=1181,2,1)))=1,TEXT(INDEX(ERP資料!$G:$G, (MATCH(244, 輔助計算!$G$2:$G$801, 0)+1)),"0.##"),IF(IF(INDEX(ERP資料!$G:$G, (MATCH(244, 輔助計算!$G$2:$G$801, 0)+1))&lt;100, IF(INDEX(ERP資料!$G:$G, (MATCH(244, 輔助計算!$G$2:$G$801, 0)+1))&lt;=31,3,IF(INDEX(ERP資料!$G:$G, (MATCH(244, 輔助計算!$G$2:$G$801, 0)+1))&lt;=46.5,2,1)), IF(INDEX(ERP資料!$G:$G, (MATCH(244, 輔助計算!$G$2:$G$801, 0)+1))&lt;=790,3,IF(INDEX(ERP資料!$G:$G, (MATCH(244, 輔助計算!$G$2:$G$801, 0)+1))&lt;=1181,2,1)))=2,TEXT(INDEX(ERP資料!$G:$G, (MATCH(244, 輔助計算!$G$2:$G$801, 0)+1)),"0.##")&amp;"+"&amp;TEXT(INDEX(ERP資料!$G:$G, (MATCH(244, 輔助計算!$G$2:$G$801, 0)+1)),"0.##"),TEXT(INDEX(ERP資料!$G:$G, (MATCH(244, 輔助計算!$G$2:$G$801, 0)+1)),"0.##")&amp;"+"&amp;TEXT(INDEX(ERP資料!$G:$G, (MATCH(244, 輔助計算!$G$2:$G$801, 0)+1)),"0.##")&amp;"+"&amp;TEXT(INDEX(ERP資料!$G:$G, (MATCH(244, 輔助計算!$G$2:$G$801, 0)+1)),"0.##")))&amp;"-"&amp;INT(INDEX(輔助計算!$D:$D, (MATCH(244, 輔助計算!$G$2:$G$801, 0)+1))/IF(INDEX(ERP資料!$G:$G, (MATCH(244, 輔助計算!$G$2:$G$801, 0)+1))&lt;100, IF(INDEX(ERP資料!$G:$G, (MATCH(244, 輔助計算!$G$2:$G$801, 0)+1))&lt;=31,3,IF(INDEX(ERP資料!$G:$G, (MATCH(244, 輔助計算!$G$2:$G$801, 0)+1))&lt;=46.5,2,1)), IF(INDEX(ERP資料!$G:$G, (MATCH(244, 輔助計算!$G$2:$G$801, 0)+1))&lt;=790,3,IF(INDEX(ERP資料!$G:$G, (MATCH(244, 輔助計算!$G$2:$G$801, 0)+1))&lt;=1181,2,1)))), "")&lt;&gt;"",IF(MOD(INDEX(輔助計算!$D:$D, (MATCH(244, 輔助計算!$G$2:$G$801, 0)+1)),IF(INDEX(ERP資料!$G:$G, (MATCH(244, 輔助計算!$G$2:$G$801, 0)+1))&lt;100, IF(INDEX(ERP資料!$G:$G, (MATCH(244, 輔助計算!$G$2:$G$801, 0)+1))&lt;=31,3,IF(INDEX(ERP資料!$G:$G, (MATCH(244, 輔助計算!$G$2:$G$801, 0)+1))&lt;=46.5,2,1)), IF(INDEX(ERP資料!$G:$G, (MATCH(244, 輔助計算!$G$2:$G$801, 0)+1))&lt;=790,3,IF(INDEX(ERP資料!$G:$G, (MATCH(244, 輔助計算!$G$2:$G$801, 0)+1))&lt;=1181,2,1))))=0,"",IF(MOD(INDEX(輔助計算!$D:$D, (MATCH(244, 輔助計算!$G$2:$G$801, 0)+1)),IF(INDEX(ERP資料!$G:$G, (MATCH(244, 輔助計算!$G$2:$G$801, 0)+1))&lt;100, IF(INDEX(ERP資料!$G:$G, (MATCH(244, 輔助計算!$G$2:$G$801, 0)+1))&lt;=31,3,IF(INDEX(ERP資料!$G:$G, (MATCH(244, 輔助計算!$G$2:$G$801, 0)+1))&lt;=46.5,2,1)), IF(INDEX(ERP資料!$G:$G, (MATCH(244, 輔助計算!$G$2:$G$801, 0)+1))&lt;=790,3,IF(INDEX(ERP資料!$G:$G, (MATCH(244, 輔助計算!$G$2:$G$801, 0)+1))&lt;=1181,2,1))))=0,"",IF(MOD(INDEX(輔助計算!$D:$D, (MATCH(244, 輔助計算!$G$2:$G$801, 0)+1)),IF(INDEX(ERP資料!$G:$G, (MATCH(244, 輔助計算!$G$2:$G$801, 0)+1))&lt;100, IF(INDEX(ERP資料!$G:$G, (MATCH(244, 輔助計算!$G$2:$G$801, 0)+1))&lt;=31,3,IF(INDEX(ERP資料!$G:$G, (MATCH(244, 輔助計算!$G$2:$G$801, 0)+1))&lt;=46.5,2,1)), IF(INDEX(ERP資料!$G:$G, (MATCH(244, 輔助計算!$G$2:$G$801, 0)+1))&lt;=790,3,IF(INDEX(ERP資料!$G:$G, (MATCH(244, 輔助計算!$G$2:$G$801, 0)+1))&lt;=1181,2,1))))=1,TEXT(INDEX(ERP資料!$G:$G, (MATCH(244, 輔助計算!$G$2:$G$801, 0)+1)),"0.##"),IF(MOD(INDEX(輔助計算!$D:$D, (MATCH(244, 輔助計算!$G$2:$G$801, 0)+1)),IF(INDEX(ERP資料!$G:$G, (MATCH(244, 輔助計算!$G$2:$G$801, 0)+1))&lt;100, IF(INDEX(ERP資料!$G:$G, (MATCH(244, 輔助計算!$G$2:$G$801, 0)+1))&lt;=31,3,IF(INDEX(ERP資料!$G:$G, (MATCH(244, 輔助計算!$G$2:$G$801, 0)+1))&lt;=46.5,2,1)), IF(INDEX(ERP資料!$G:$G, (MATCH(244, 輔助計算!$G$2:$G$801, 0)+1))&lt;=790,3,IF(INDEX(ERP資料!$G:$G, (MATCH(244, 輔助計算!$G$2:$G$801, 0)+1))&lt;=1181,2,1))))=2,TEXT(INDEX(ERP資料!$G:$G, (MATCH(244, 輔助計算!$G$2:$G$801, 0)+1)),"0.##")&amp;"+"&amp;TEXT(INDEX(ERP資料!$G:$G, (MATCH(244, 輔助計算!$G$2:$G$801, 0)+1)),"0.##"),TEXT(INDEX(ERP資料!$G:$G, (MATCH(244, 輔助計算!$G$2:$G$801, 0)+1)),"0.##")&amp;"+"&amp;TEXT(INDEX(ERP資料!$G:$G, (MATCH(244, 輔助計算!$G$2:$G$801, 0)+1)),"0.##")&amp;"+"&amp;TEXT(INDEX(ERP資料!$G:$G, (MATCH(244, 輔助計算!$G$2:$G$801, 0)+1)),"0.##"))))&amp;"-1")&lt;&gt;""),"  ","")&amp;IF(MOD(INDEX(輔助計算!$D:$D, (MATCH(244, 輔助計算!$G$2:$G$801, 0)+1)),IF(INDEX(ERP資料!$G:$G, (MATCH(244, 輔助計算!$G$2:$G$801, 0)+1))&lt;100, IF(INDEX(ERP資料!$G:$G, (MATCH(244, 輔助計算!$G$2:$G$801, 0)+1))&lt;=31,3,IF(INDEX(ERP資料!$G:$G, (MATCH(244, 輔助計算!$G$2:$G$801, 0)+1))&lt;=46.5,2,1)), IF(INDEX(ERP資料!$G:$G, (MATCH(244, 輔助計算!$G$2:$G$801, 0)+1))&lt;=790,3,IF(INDEX(ERP資料!$G:$G, (MATCH(244, 輔助計算!$G$2:$G$801, 0)+1))&lt;=1181,2,1))))=0,"",IF(MOD(INDEX(輔助計算!$D:$D, (MATCH(244, 輔助計算!$G$2:$G$801, 0)+1)),IF(INDEX(ERP資料!$G:$G, (MATCH(244, 輔助計算!$G$2:$G$801, 0)+1))&lt;100, IF(INDEX(ERP資料!$G:$G, (MATCH(244, 輔助計算!$G$2:$G$801, 0)+1))&lt;=31,3,IF(INDEX(ERP資料!$G:$G, (MATCH(244, 輔助計算!$G$2:$G$801, 0)+1))&lt;=46.5,2,1)), IF(INDEX(ERP資料!$G:$G, (MATCH(244, 輔助計算!$G$2:$G$801, 0)+1))&lt;=790,3,IF(INDEX(ERP資料!$G:$G, (MATCH(244, 輔助計算!$G$2:$G$801, 0)+1))&lt;=1181,2,1))))=0,"",IF(MOD(INDEX(輔助計算!$D:$D, (MATCH(244, 輔助計算!$G$2:$G$801, 0)+1)),IF(INDEX(ERP資料!$G:$G, (MATCH(244, 輔助計算!$G$2:$G$801, 0)+1))&lt;100, IF(INDEX(ERP資料!$G:$G, (MATCH(244, 輔助計算!$G$2:$G$801, 0)+1))&lt;=31,3,IF(INDEX(ERP資料!$G:$G, (MATCH(244, 輔助計算!$G$2:$G$801, 0)+1))&lt;=46.5,2,1)), IF(INDEX(ERP資料!$G:$G, (MATCH(244, 輔助計算!$G$2:$G$801, 0)+1))&lt;=790,3,IF(INDEX(ERP資料!$G:$G, (MATCH(244, 輔助計算!$G$2:$G$801, 0)+1))&lt;=1181,2,1))))=1,TEXT(INDEX(ERP資料!$G:$G, (MATCH(244, 輔助計算!$G$2:$G$801, 0)+1)),"0.##"),IF(MOD(INDEX(輔助計算!$D:$D, (MATCH(244, 輔助計算!$G$2:$G$801, 0)+1)),IF(INDEX(ERP資料!$G:$G, (MATCH(244, 輔助計算!$G$2:$G$801, 0)+1))&lt;100, IF(INDEX(ERP資料!$G:$G, (MATCH(244, 輔助計算!$G$2:$G$801, 0)+1))&lt;=31,3,IF(INDEX(ERP資料!$G:$G, (MATCH(244, 輔助計算!$G$2:$G$801, 0)+1))&lt;=46.5,2,1)), IF(INDEX(ERP資料!$G:$G, (MATCH(244, 輔助計算!$G$2:$G$801, 0)+1))&lt;=790,3,IF(INDEX(ERP資料!$G:$G, (MATCH(244, 輔助計算!$G$2:$G$801, 0)+1))&lt;=1181,2,1))))=2,TEXT(INDEX(ERP資料!$G:$G, (MATCH(244, 輔助計算!$G$2:$G$801, 0)+1)),"0.##")&amp;"+"&amp;TEXT(INDEX(ERP資料!$G:$G, (MATCH(244, 輔助計算!$G$2:$G$801, 0)+1)),"0.##"),TEXT(INDEX(ERP資料!$G:$G, (MATCH(244, 輔助計算!$G$2:$G$801, 0)+1)),"0.##")&amp;"+"&amp;TEXT(INDEX(ERP資料!$G:$G, (MATCH(244, 輔助計算!$G$2:$G$801, 0)+1)),"0.##")&amp;"+"&amp;TEXT(INDEX(ERP資料!$G:$G, (MATCH(244, 輔助計算!$G$2:$G$801, 0)+1)),"0.##"))))&amp;"-1")), ""), "")</f>
        <v/>
      </c>
      <c r="K245" s="16" t="n"/>
      <c r="L245" s="14">
        <f>IFERROR(IF(AND(IFERROR(INDEX(ERP資料!$A:$A, (MATCH(244, 輔助計算!$G$2:$G$801, 0)+1)), "")&lt;&gt;"", IFERROR(INDEX(ERP資料!$A:$A, (MATCH(244, 輔助計算!$G$2:$G$801, 0)+1)), "")&lt;&gt;IFERROR(INDEX(ERP資料!$A:$A, MATCH(243, 輔助計算!$G$2:$G$801, 0)+1), "")), INDEX(ERP資料!$B:$B, (MATCH(244, 輔助計算!$G$2:$G$801, 0)+1)), ""), "")</f>
        <v/>
      </c>
      <c r="M245" s="17" t="n"/>
    </row>
    <row r="246">
      <c r="A246" s="10">
        <f>IFERROR(IF(AND(IFERROR(INDEX(ERP資料!$A:$A, (MATCH(245, 輔助計算!$G$2:$G$801, 0)+1)), "")&lt;&gt;"", IFERROR(INDEX(ERP資料!$A:$A, (MATCH(245, 輔助計算!$G$2:$G$801, 0)+1)), "")&lt;&gt;IFERROR(INDEX(ERP資料!$A:$A, MATCH(244, 輔助計算!$G$2:$G$801, 0)+1), "")), IFERROR(INDEX(ERP資料!$A:$A, (MATCH(245, 輔助計算!$G$2:$G$801, 0)+1)), ""), ""), "")</f>
        <v/>
      </c>
      <c r="B246" s="10">
        <f>IFERROR(IF(AND(IFERROR(INDEX(ERP資料!$A:$A, (MATCH(245, 輔助計算!$G$2:$G$801, 0)+1)), "")&lt;&gt;"", IFERROR(INDEX(ERP資料!$A:$A, (MATCH(245, 輔助計算!$G$2:$G$801, 0)+1)), "")&lt;&gt;IFERROR(INDEX(ERP資料!$A:$A, MATCH(244, 輔助計算!$G$2:$G$801, 0)+1), "")), INDEX(ERP資料!$S:$S, (MATCH(245, 輔助計算!$G$2:$G$801, 0)+1)), ""), "")</f>
        <v/>
      </c>
      <c r="C246" s="19">
        <f>IFERROR(IF(AND(IFERROR(INDEX(ERP資料!$A:$A, (MATCH(245, 輔助計算!$G$2:$G$801, 0)+1)), "")&lt;&gt;"", IFERROR(INDEX(ERP資料!$A:$A, (MATCH(245, 輔助計算!$G$2:$G$801, 0)+1)), "")&lt;&gt;IFERROR(INDEX(ERP資料!$A:$A, MATCH(244, 輔助計算!$G$2:$G$801, 0)+1), "")), IFERROR(VLOOKUP(LEFT(INDEX(ERP資料!$S:$S, (MATCH(245, 輔助計算!$G$2:$G$801, 0)+1)), 4), 紙管對照表!$A:$C, 3, FALSE), ""), ""), "")</f>
        <v/>
      </c>
      <c r="D246" s="16" t="n"/>
      <c r="E246" s="10">
        <f>IFERROR(IF(INDEX(ERP資料!$H:$H, (MATCH(245, 輔助計算!$G$2:$G$801, 0)+1))="","",INDEX(ERP資料!$H:$H, (MATCH(245, 輔助計算!$G$2:$G$801, 0)+1))), "")</f>
        <v/>
      </c>
      <c r="F246" s="10">
        <f>IFERROR(IF(INDEX(ERP資料!$E:$E, (MATCH(245, 輔助計算!$G$2:$G$801, 0)+1))="","",TRIM(INDEX(ERP資料!$E:$E, (MATCH(245, 輔助計算!$G$2:$G$801, 0)+1)))), "")</f>
        <v/>
      </c>
      <c r="G246" s="10">
        <f>IFERROR(IF(INDEX(ERP資料!$F:$F, (MATCH(245, 輔助計算!$G$2:$G$801, 0)+1))="","",INDEX(ERP資料!$F:$F, (MATCH(245, 輔助計算!$G$2:$G$801, 0)+1))), "")</f>
        <v/>
      </c>
      <c r="H246" s="10">
        <f>IFERROR(IF(INDEX(ERP資料!$G:$G, (MATCH(245, 輔助計算!$G$2:$G$801, 0)+1))="","",INDEX(ERP資料!$G:$G, (MATCH(245, 輔助計算!$G$2:$G$801, 0)+1))), "")</f>
        <v/>
      </c>
      <c r="I246" s="15">
        <f>IFERROR(INDEX(輔助計算!$D:$D, (MATCH(245, 輔助計算!$G$2:$G$801, 0)+1)), "")</f>
        <v/>
      </c>
      <c r="J246" s="15">
        <f>IFERROR(IF(AND(INDEX(輔助計算!$D:$D, (MATCH(245, 輔助計算!$G$2:$G$801, 0)+1))&lt;&gt;"", INDEX(ERP資料!$G:$G, (MATCH(245, 輔助計算!$G$2:$G$801, 0)+1))&lt;&gt;""), TRIM(IF(INT(INDEX(輔助計算!$D:$D, (MATCH(245, 輔助計算!$G$2:$G$801, 0)+1))/IF(INDEX(ERP資料!$G:$G, (MATCH(245, 輔助計算!$G$2:$G$801, 0)+1))&lt;100, IF(INDEX(ERP資料!$G:$G, (MATCH(245, 輔助計算!$G$2:$G$801, 0)+1))&lt;=31,3,IF(INDEX(ERP資料!$G:$G, (MATCH(245, 輔助計算!$G$2:$G$801, 0)+1))&lt;=46.5,2,1)), IF(INDEX(ERP資料!$G:$G, (MATCH(245, 輔助計算!$G$2:$G$801, 0)+1))&lt;=790,3,IF(INDEX(ERP資料!$G:$G, (MATCH(245, 輔助計算!$G$2:$G$801, 0)+1))&lt;=1181,2,1))))&gt;0, IF(IF(INDEX(ERP資料!$G:$G, (MATCH(245, 輔助計算!$G$2:$G$801, 0)+1))&lt;100, IF(INDEX(ERP資料!$G:$G, (MATCH(245, 輔助計算!$G$2:$G$801, 0)+1))&lt;=31,3,IF(INDEX(ERP資料!$G:$G, (MATCH(245, 輔助計算!$G$2:$G$801, 0)+1))&lt;=46.5,2,1)), IF(INDEX(ERP資料!$G:$G, (MATCH(245, 輔助計算!$G$2:$G$801, 0)+1))&lt;=790,3,IF(INDEX(ERP資料!$G:$G, (MATCH(245, 輔助計算!$G$2:$G$801, 0)+1))&lt;=1181,2,1)))=1,TEXT(INDEX(ERP資料!$G:$G, (MATCH(245, 輔助計算!$G$2:$G$801, 0)+1)),"0.##"),IF(IF(INDEX(ERP資料!$G:$G, (MATCH(245, 輔助計算!$G$2:$G$801, 0)+1))&lt;100, IF(INDEX(ERP資料!$G:$G, (MATCH(245, 輔助計算!$G$2:$G$801, 0)+1))&lt;=31,3,IF(INDEX(ERP資料!$G:$G, (MATCH(245, 輔助計算!$G$2:$G$801, 0)+1))&lt;=46.5,2,1)), IF(INDEX(ERP資料!$G:$G, (MATCH(245, 輔助計算!$G$2:$G$801, 0)+1))&lt;=790,3,IF(INDEX(ERP資料!$G:$G, (MATCH(245, 輔助計算!$G$2:$G$801, 0)+1))&lt;=1181,2,1)))=2,TEXT(INDEX(ERP資料!$G:$G, (MATCH(245, 輔助計算!$G$2:$G$801, 0)+1)),"0.##")&amp;"+"&amp;TEXT(INDEX(ERP資料!$G:$G, (MATCH(245, 輔助計算!$G$2:$G$801, 0)+1)),"0.##"),TEXT(INDEX(ERP資料!$G:$G, (MATCH(245, 輔助計算!$G$2:$G$801, 0)+1)),"0.##")&amp;"+"&amp;TEXT(INDEX(ERP資料!$G:$G, (MATCH(245, 輔助計算!$G$2:$G$801, 0)+1)),"0.##")&amp;"+"&amp;TEXT(INDEX(ERP資料!$G:$G, (MATCH(245, 輔助計算!$G$2:$G$801, 0)+1)),"0.##")))&amp;"-"&amp;INT(INDEX(輔助計算!$D:$D, (MATCH(245, 輔助計算!$G$2:$G$801, 0)+1))/IF(INDEX(ERP資料!$G:$G, (MATCH(245, 輔助計算!$G$2:$G$801, 0)+1))&lt;100, IF(INDEX(ERP資料!$G:$G, (MATCH(245, 輔助計算!$G$2:$G$801, 0)+1))&lt;=31,3,IF(INDEX(ERP資料!$G:$G, (MATCH(245, 輔助計算!$G$2:$G$801, 0)+1))&lt;=46.5,2,1)), IF(INDEX(ERP資料!$G:$G, (MATCH(245, 輔助計算!$G$2:$G$801, 0)+1))&lt;=790,3,IF(INDEX(ERP資料!$G:$G, (MATCH(245, 輔助計算!$G$2:$G$801, 0)+1))&lt;=1181,2,1)))), "")&amp;IF(AND(IF(INT(INDEX(輔助計算!$D:$D, (MATCH(245, 輔助計算!$G$2:$G$801, 0)+1))/IF(INDEX(ERP資料!$G:$G, (MATCH(245, 輔助計算!$G$2:$G$801, 0)+1))&lt;100, IF(INDEX(ERP資料!$G:$G, (MATCH(245, 輔助計算!$G$2:$G$801, 0)+1))&lt;=31,3,IF(INDEX(ERP資料!$G:$G, (MATCH(245, 輔助計算!$G$2:$G$801, 0)+1))&lt;=46.5,2,1)), IF(INDEX(ERP資料!$G:$G, (MATCH(245, 輔助計算!$G$2:$G$801, 0)+1))&lt;=790,3,IF(INDEX(ERP資料!$G:$G, (MATCH(245, 輔助計算!$G$2:$G$801, 0)+1))&lt;=1181,2,1))))&gt;0, IF(IF(INDEX(ERP資料!$G:$G, (MATCH(245, 輔助計算!$G$2:$G$801, 0)+1))&lt;100, IF(INDEX(ERP資料!$G:$G, (MATCH(245, 輔助計算!$G$2:$G$801, 0)+1))&lt;=31,3,IF(INDEX(ERP資料!$G:$G, (MATCH(245, 輔助計算!$G$2:$G$801, 0)+1))&lt;=46.5,2,1)), IF(INDEX(ERP資料!$G:$G, (MATCH(245, 輔助計算!$G$2:$G$801, 0)+1))&lt;=790,3,IF(INDEX(ERP資料!$G:$G, (MATCH(245, 輔助計算!$G$2:$G$801, 0)+1))&lt;=1181,2,1)))=1,TEXT(INDEX(ERP資料!$G:$G, (MATCH(245, 輔助計算!$G$2:$G$801, 0)+1)),"0.##"),IF(IF(INDEX(ERP資料!$G:$G, (MATCH(245, 輔助計算!$G$2:$G$801, 0)+1))&lt;100, IF(INDEX(ERP資料!$G:$G, (MATCH(245, 輔助計算!$G$2:$G$801, 0)+1))&lt;=31,3,IF(INDEX(ERP資料!$G:$G, (MATCH(245, 輔助計算!$G$2:$G$801, 0)+1))&lt;=46.5,2,1)), IF(INDEX(ERP資料!$G:$G, (MATCH(245, 輔助計算!$G$2:$G$801, 0)+1))&lt;=790,3,IF(INDEX(ERP資料!$G:$G, (MATCH(245, 輔助計算!$G$2:$G$801, 0)+1))&lt;=1181,2,1)))=2,TEXT(INDEX(ERP資料!$G:$G, (MATCH(245, 輔助計算!$G$2:$G$801, 0)+1)),"0.##")&amp;"+"&amp;TEXT(INDEX(ERP資料!$G:$G, (MATCH(245, 輔助計算!$G$2:$G$801, 0)+1)),"0.##"),TEXT(INDEX(ERP資料!$G:$G, (MATCH(245, 輔助計算!$G$2:$G$801, 0)+1)),"0.##")&amp;"+"&amp;TEXT(INDEX(ERP資料!$G:$G, (MATCH(245, 輔助計算!$G$2:$G$801, 0)+1)),"0.##")&amp;"+"&amp;TEXT(INDEX(ERP資料!$G:$G, (MATCH(245, 輔助計算!$G$2:$G$801, 0)+1)),"0.##")))&amp;"-"&amp;INT(INDEX(輔助計算!$D:$D, (MATCH(245, 輔助計算!$G$2:$G$801, 0)+1))/IF(INDEX(ERP資料!$G:$G, (MATCH(245, 輔助計算!$G$2:$G$801, 0)+1))&lt;100, IF(INDEX(ERP資料!$G:$G, (MATCH(245, 輔助計算!$G$2:$G$801, 0)+1))&lt;=31,3,IF(INDEX(ERP資料!$G:$G, (MATCH(245, 輔助計算!$G$2:$G$801, 0)+1))&lt;=46.5,2,1)), IF(INDEX(ERP資料!$G:$G, (MATCH(245, 輔助計算!$G$2:$G$801, 0)+1))&lt;=790,3,IF(INDEX(ERP資料!$G:$G, (MATCH(245, 輔助計算!$G$2:$G$801, 0)+1))&lt;=1181,2,1)))), "")&lt;&gt;"",IF(MOD(INDEX(輔助計算!$D:$D, (MATCH(245, 輔助計算!$G$2:$G$801, 0)+1)),IF(INDEX(ERP資料!$G:$G, (MATCH(245, 輔助計算!$G$2:$G$801, 0)+1))&lt;100, IF(INDEX(ERP資料!$G:$G, (MATCH(245, 輔助計算!$G$2:$G$801, 0)+1))&lt;=31,3,IF(INDEX(ERP資料!$G:$G, (MATCH(245, 輔助計算!$G$2:$G$801, 0)+1))&lt;=46.5,2,1)), IF(INDEX(ERP資料!$G:$G, (MATCH(245, 輔助計算!$G$2:$G$801, 0)+1))&lt;=790,3,IF(INDEX(ERP資料!$G:$G, (MATCH(245, 輔助計算!$G$2:$G$801, 0)+1))&lt;=1181,2,1))))=0,"",IF(MOD(INDEX(輔助計算!$D:$D, (MATCH(245, 輔助計算!$G$2:$G$801, 0)+1)),IF(INDEX(ERP資料!$G:$G, (MATCH(245, 輔助計算!$G$2:$G$801, 0)+1))&lt;100, IF(INDEX(ERP資料!$G:$G, (MATCH(245, 輔助計算!$G$2:$G$801, 0)+1))&lt;=31,3,IF(INDEX(ERP資料!$G:$G, (MATCH(245, 輔助計算!$G$2:$G$801, 0)+1))&lt;=46.5,2,1)), IF(INDEX(ERP資料!$G:$G, (MATCH(245, 輔助計算!$G$2:$G$801, 0)+1))&lt;=790,3,IF(INDEX(ERP資料!$G:$G, (MATCH(245, 輔助計算!$G$2:$G$801, 0)+1))&lt;=1181,2,1))))=0,"",IF(MOD(INDEX(輔助計算!$D:$D, (MATCH(245, 輔助計算!$G$2:$G$801, 0)+1)),IF(INDEX(ERP資料!$G:$G, (MATCH(245, 輔助計算!$G$2:$G$801, 0)+1))&lt;100, IF(INDEX(ERP資料!$G:$G, (MATCH(245, 輔助計算!$G$2:$G$801, 0)+1))&lt;=31,3,IF(INDEX(ERP資料!$G:$G, (MATCH(245, 輔助計算!$G$2:$G$801, 0)+1))&lt;=46.5,2,1)), IF(INDEX(ERP資料!$G:$G, (MATCH(245, 輔助計算!$G$2:$G$801, 0)+1))&lt;=790,3,IF(INDEX(ERP資料!$G:$G, (MATCH(245, 輔助計算!$G$2:$G$801, 0)+1))&lt;=1181,2,1))))=1,TEXT(INDEX(ERP資料!$G:$G, (MATCH(245, 輔助計算!$G$2:$G$801, 0)+1)),"0.##"),IF(MOD(INDEX(輔助計算!$D:$D, (MATCH(245, 輔助計算!$G$2:$G$801, 0)+1)),IF(INDEX(ERP資料!$G:$G, (MATCH(245, 輔助計算!$G$2:$G$801, 0)+1))&lt;100, IF(INDEX(ERP資料!$G:$G, (MATCH(245, 輔助計算!$G$2:$G$801, 0)+1))&lt;=31,3,IF(INDEX(ERP資料!$G:$G, (MATCH(245, 輔助計算!$G$2:$G$801, 0)+1))&lt;=46.5,2,1)), IF(INDEX(ERP資料!$G:$G, (MATCH(245, 輔助計算!$G$2:$G$801, 0)+1))&lt;=790,3,IF(INDEX(ERP資料!$G:$G, (MATCH(245, 輔助計算!$G$2:$G$801, 0)+1))&lt;=1181,2,1))))=2,TEXT(INDEX(ERP資料!$G:$G, (MATCH(245, 輔助計算!$G$2:$G$801, 0)+1)),"0.##")&amp;"+"&amp;TEXT(INDEX(ERP資料!$G:$G, (MATCH(245, 輔助計算!$G$2:$G$801, 0)+1)),"0.##"),TEXT(INDEX(ERP資料!$G:$G, (MATCH(245, 輔助計算!$G$2:$G$801, 0)+1)),"0.##")&amp;"+"&amp;TEXT(INDEX(ERP資料!$G:$G, (MATCH(245, 輔助計算!$G$2:$G$801, 0)+1)),"0.##")&amp;"+"&amp;TEXT(INDEX(ERP資料!$G:$G, (MATCH(245, 輔助計算!$G$2:$G$801, 0)+1)),"0.##"))))&amp;"-1")&lt;&gt;""),"  ","")&amp;IF(MOD(INDEX(輔助計算!$D:$D, (MATCH(245, 輔助計算!$G$2:$G$801, 0)+1)),IF(INDEX(ERP資料!$G:$G, (MATCH(245, 輔助計算!$G$2:$G$801, 0)+1))&lt;100, IF(INDEX(ERP資料!$G:$G, (MATCH(245, 輔助計算!$G$2:$G$801, 0)+1))&lt;=31,3,IF(INDEX(ERP資料!$G:$G, (MATCH(245, 輔助計算!$G$2:$G$801, 0)+1))&lt;=46.5,2,1)), IF(INDEX(ERP資料!$G:$G, (MATCH(245, 輔助計算!$G$2:$G$801, 0)+1))&lt;=790,3,IF(INDEX(ERP資料!$G:$G, (MATCH(245, 輔助計算!$G$2:$G$801, 0)+1))&lt;=1181,2,1))))=0,"",IF(MOD(INDEX(輔助計算!$D:$D, (MATCH(245, 輔助計算!$G$2:$G$801, 0)+1)),IF(INDEX(ERP資料!$G:$G, (MATCH(245, 輔助計算!$G$2:$G$801, 0)+1))&lt;100, IF(INDEX(ERP資料!$G:$G, (MATCH(245, 輔助計算!$G$2:$G$801, 0)+1))&lt;=31,3,IF(INDEX(ERP資料!$G:$G, (MATCH(245, 輔助計算!$G$2:$G$801, 0)+1))&lt;=46.5,2,1)), IF(INDEX(ERP資料!$G:$G, (MATCH(245, 輔助計算!$G$2:$G$801, 0)+1))&lt;=790,3,IF(INDEX(ERP資料!$G:$G, (MATCH(245, 輔助計算!$G$2:$G$801, 0)+1))&lt;=1181,2,1))))=0,"",IF(MOD(INDEX(輔助計算!$D:$D, (MATCH(245, 輔助計算!$G$2:$G$801, 0)+1)),IF(INDEX(ERP資料!$G:$G, (MATCH(245, 輔助計算!$G$2:$G$801, 0)+1))&lt;100, IF(INDEX(ERP資料!$G:$G, (MATCH(245, 輔助計算!$G$2:$G$801, 0)+1))&lt;=31,3,IF(INDEX(ERP資料!$G:$G, (MATCH(245, 輔助計算!$G$2:$G$801, 0)+1))&lt;=46.5,2,1)), IF(INDEX(ERP資料!$G:$G, (MATCH(245, 輔助計算!$G$2:$G$801, 0)+1))&lt;=790,3,IF(INDEX(ERP資料!$G:$G, (MATCH(245, 輔助計算!$G$2:$G$801, 0)+1))&lt;=1181,2,1))))=1,TEXT(INDEX(ERP資料!$G:$G, (MATCH(245, 輔助計算!$G$2:$G$801, 0)+1)),"0.##"),IF(MOD(INDEX(輔助計算!$D:$D, (MATCH(245, 輔助計算!$G$2:$G$801, 0)+1)),IF(INDEX(ERP資料!$G:$G, (MATCH(245, 輔助計算!$G$2:$G$801, 0)+1))&lt;100, IF(INDEX(ERP資料!$G:$G, (MATCH(245, 輔助計算!$G$2:$G$801, 0)+1))&lt;=31,3,IF(INDEX(ERP資料!$G:$G, (MATCH(245, 輔助計算!$G$2:$G$801, 0)+1))&lt;=46.5,2,1)), IF(INDEX(ERP資料!$G:$G, (MATCH(245, 輔助計算!$G$2:$G$801, 0)+1))&lt;=790,3,IF(INDEX(ERP資料!$G:$G, (MATCH(245, 輔助計算!$G$2:$G$801, 0)+1))&lt;=1181,2,1))))=2,TEXT(INDEX(ERP資料!$G:$G, (MATCH(245, 輔助計算!$G$2:$G$801, 0)+1)),"0.##")&amp;"+"&amp;TEXT(INDEX(ERP資料!$G:$G, (MATCH(245, 輔助計算!$G$2:$G$801, 0)+1)),"0.##"),TEXT(INDEX(ERP資料!$G:$G, (MATCH(245, 輔助計算!$G$2:$G$801, 0)+1)),"0.##")&amp;"+"&amp;TEXT(INDEX(ERP資料!$G:$G, (MATCH(245, 輔助計算!$G$2:$G$801, 0)+1)),"0.##")&amp;"+"&amp;TEXT(INDEX(ERP資料!$G:$G, (MATCH(245, 輔助計算!$G$2:$G$801, 0)+1)),"0.##"))))&amp;"-1")), ""), "")</f>
        <v/>
      </c>
      <c r="K246" s="16" t="n"/>
      <c r="L246" s="14">
        <f>IFERROR(IF(AND(IFERROR(INDEX(ERP資料!$A:$A, (MATCH(245, 輔助計算!$G$2:$G$801, 0)+1)), "")&lt;&gt;"", IFERROR(INDEX(ERP資料!$A:$A, (MATCH(245, 輔助計算!$G$2:$G$801, 0)+1)), "")&lt;&gt;IFERROR(INDEX(ERP資料!$A:$A, MATCH(244, 輔助計算!$G$2:$G$801, 0)+1), "")), INDEX(ERP資料!$B:$B, (MATCH(245, 輔助計算!$G$2:$G$801, 0)+1)), ""), "")</f>
        <v/>
      </c>
      <c r="M246" s="17" t="n"/>
    </row>
    <row r="247">
      <c r="A247" s="10">
        <f>IFERROR(IF(AND(IFERROR(INDEX(ERP資料!$A:$A, (MATCH(246, 輔助計算!$G$2:$G$801, 0)+1)), "")&lt;&gt;"", IFERROR(INDEX(ERP資料!$A:$A, (MATCH(246, 輔助計算!$G$2:$G$801, 0)+1)), "")&lt;&gt;IFERROR(INDEX(ERP資料!$A:$A, MATCH(245, 輔助計算!$G$2:$G$801, 0)+1), "")), IFERROR(INDEX(ERP資料!$A:$A, (MATCH(246, 輔助計算!$G$2:$G$801, 0)+1)), ""), ""), "")</f>
        <v/>
      </c>
      <c r="B247" s="10">
        <f>IFERROR(IF(AND(IFERROR(INDEX(ERP資料!$A:$A, (MATCH(246, 輔助計算!$G$2:$G$801, 0)+1)), "")&lt;&gt;"", IFERROR(INDEX(ERP資料!$A:$A, (MATCH(246, 輔助計算!$G$2:$G$801, 0)+1)), "")&lt;&gt;IFERROR(INDEX(ERP資料!$A:$A, MATCH(245, 輔助計算!$G$2:$G$801, 0)+1), "")), INDEX(ERP資料!$S:$S, (MATCH(246, 輔助計算!$G$2:$G$801, 0)+1)), ""), "")</f>
        <v/>
      </c>
      <c r="C247" s="19">
        <f>IFERROR(IF(AND(IFERROR(INDEX(ERP資料!$A:$A, (MATCH(246, 輔助計算!$G$2:$G$801, 0)+1)), "")&lt;&gt;"", IFERROR(INDEX(ERP資料!$A:$A, (MATCH(246, 輔助計算!$G$2:$G$801, 0)+1)), "")&lt;&gt;IFERROR(INDEX(ERP資料!$A:$A, MATCH(245, 輔助計算!$G$2:$G$801, 0)+1), "")), IFERROR(VLOOKUP(LEFT(INDEX(ERP資料!$S:$S, (MATCH(246, 輔助計算!$G$2:$G$801, 0)+1)), 4), 紙管對照表!$A:$C, 3, FALSE), ""), ""), "")</f>
        <v/>
      </c>
      <c r="D247" s="16" t="n"/>
      <c r="E247" s="10">
        <f>IFERROR(IF(INDEX(ERP資料!$H:$H, (MATCH(246, 輔助計算!$G$2:$G$801, 0)+1))="","",INDEX(ERP資料!$H:$H, (MATCH(246, 輔助計算!$G$2:$G$801, 0)+1))), "")</f>
        <v/>
      </c>
      <c r="F247" s="10">
        <f>IFERROR(IF(INDEX(ERP資料!$E:$E, (MATCH(246, 輔助計算!$G$2:$G$801, 0)+1))="","",TRIM(INDEX(ERP資料!$E:$E, (MATCH(246, 輔助計算!$G$2:$G$801, 0)+1)))), "")</f>
        <v/>
      </c>
      <c r="G247" s="10">
        <f>IFERROR(IF(INDEX(ERP資料!$F:$F, (MATCH(246, 輔助計算!$G$2:$G$801, 0)+1))="","",INDEX(ERP資料!$F:$F, (MATCH(246, 輔助計算!$G$2:$G$801, 0)+1))), "")</f>
        <v/>
      </c>
      <c r="H247" s="10">
        <f>IFERROR(IF(INDEX(ERP資料!$G:$G, (MATCH(246, 輔助計算!$G$2:$G$801, 0)+1))="","",INDEX(ERP資料!$G:$G, (MATCH(246, 輔助計算!$G$2:$G$801, 0)+1))), "")</f>
        <v/>
      </c>
      <c r="I247" s="15">
        <f>IFERROR(INDEX(輔助計算!$D:$D, (MATCH(246, 輔助計算!$G$2:$G$801, 0)+1)), "")</f>
        <v/>
      </c>
      <c r="J247" s="15">
        <f>IFERROR(IF(AND(INDEX(輔助計算!$D:$D, (MATCH(246, 輔助計算!$G$2:$G$801, 0)+1))&lt;&gt;"", INDEX(ERP資料!$G:$G, (MATCH(246, 輔助計算!$G$2:$G$801, 0)+1))&lt;&gt;""), TRIM(IF(INT(INDEX(輔助計算!$D:$D, (MATCH(246, 輔助計算!$G$2:$G$801, 0)+1))/IF(INDEX(ERP資料!$G:$G, (MATCH(246, 輔助計算!$G$2:$G$801, 0)+1))&lt;100, IF(INDEX(ERP資料!$G:$G, (MATCH(246, 輔助計算!$G$2:$G$801, 0)+1))&lt;=31,3,IF(INDEX(ERP資料!$G:$G, (MATCH(246, 輔助計算!$G$2:$G$801, 0)+1))&lt;=46.5,2,1)), IF(INDEX(ERP資料!$G:$G, (MATCH(246, 輔助計算!$G$2:$G$801, 0)+1))&lt;=790,3,IF(INDEX(ERP資料!$G:$G, (MATCH(246, 輔助計算!$G$2:$G$801, 0)+1))&lt;=1181,2,1))))&gt;0, IF(IF(INDEX(ERP資料!$G:$G, (MATCH(246, 輔助計算!$G$2:$G$801, 0)+1))&lt;100, IF(INDEX(ERP資料!$G:$G, (MATCH(246, 輔助計算!$G$2:$G$801, 0)+1))&lt;=31,3,IF(INDEX(ERP資料!$G:$G, (MATCH(246, 輔助計算!$G$2:$G$801, 0)+1))&lt;=46.5,2,1)), IF(INDEX(ERP資料!$G:$G, (MATCH(246, 輔助計算!$G$2:$G$801, 0)+1))&lt;=790,3,IF(INDEX(ERP資料!$G:$G, (MATCH(246, 輔助計算!$G$2:$G$801, 0)+1))&lt;=1181,2,1)))=1,TEXT(INDEX(ERP資料!$G:$G, (MATCH(246, 輔助計算!$G$2:$G$801, 0)+1)),"0.##"),IF(IF(INDEX(ERP資料!$G:$G, (MATCH(246, 輔助計算!$G$2:$G$801, 0)+1))&lt;100, IF(INDEX(ERP資料!$G:$G, (MATCH(246, 輔助計算!$G$2:$G$801, 0)+1))&lt;=31,3,IF(INDEX(ERP資料!$G:$G, (MATCH(246, 輔助計算!$G$2:$G$801, 0)+1))&lt;=46.5,2,1)), IF(INDEX(ERP資料!$G:$G, (MATCH(246, 輔助計算!$G$2:$G$801, 0)+1))&lt;=790,3,IF(INDEX(ERP資料!$G:$G, (MATCH(246, 輔助計算!$G$2:$G$801, 0)+1))&lt;=1181,2,1)))=2,TEXT(INDEX(ERP資料!$G:$G, (MATCH(246, 輔助計算!$G$2:$G$801, 0)+1)),"0.##")&amp;"+"&amp;TEXT(INDEX(ERP資料!$G:$G, (MATCH(246, 輔助計算!$G$2:$G$801, 0)+1)),"0.##"),TEXT(INDEX(ERP資料!$G:$G, (MATCH(246, 輔助計算!$G$2:$G$801, 0)+1)),"0.##")&amp;"+"&amp;TEXT(INDEX(ERP資料!$G:$G, (MATCH(246, 輔助計算!$G$2:$G$801, 0)+1)),"0.##")&amp;"+"&amp;TEXT(INDEX(ERP資料!$G:$G, (MATCH(246, 輔助計算!$G$2:$G$801, 0)+1)),"0.##")))&amp;"-"&amp;INT(INDEX(輔助計算!$D:$D, (MATCH(246, 輔助計算!$G$2:$G$801, 0)+1))/IF(INDEX(ERP資料!$G:$G, (MATCH(246, 輔助計算!$G$2:$G$801, 0)+1))&lt;100, IF(INDEX(ERP資料!$G:$G, (MATCH(246, 輔助計算!$G$2:$G$801, 0)+1))&lt;=31,3,IF(INDEX(ERP資料!$G:$G, (MATCH(246, 輔助計算!$G$2:$G$801, 0)+1))&lt;=46.5,2,1)), IF(INDEX(ERP資料!$G:$G, (MATCH(246, 輔助計算!$G$2:$G$801, 0)+1))&lt;=790,3,IF(INDEX(ERP資料!$G:$G, (MATCH(246, 輔助計算!$G$2:$G$801, 0)+1))&lt;=1181,2,1)))), "")&amp;IF(AND(IF(INT(INDEX(輔助計算!$D:$D, (MATCH(246, 輔助計算!$G$2:$G$801, 0)+1))/IF(INDEX(ERP資料!$G:$G, (MATCH(246, 輔助計算!$G$2:$G$801, 0)+1))&lt;100, IF(INDEX(ERP資料!$G:$G, (MATCH(246, 輔助計算!$G$2:$G$801, 0)+1))&lt;=31,3,IF(INDEX(ERP資料!$G:$G, (MATCH(246, 輔助計算!$G$2:$G$801, 0)+1))&lt;=46.5,2,1)), IF(INDEX(ERP資料!$G:$G, (MATCH(246, 輔助計算!$G$2:$G$801, 0)+1))&lt;=790,3,IF(INDEX(ERP資料!$G:$G, (MATCH(246, 輔助計算!$G$2:$G$801, 0)+1))&lt;=1181,2,1))))&gt;0, IF(IF(INDEX(ERP資料!$G:$G, (MATCH(246, 輔助計算!$G$2:$G$801, 0)+1))&lt;100, IF(INDEX(ERP資料!$G:$G, (MATCH(246, 輔助計算!$G$2:$G$801, 0)+1))&lt;=31,3,IF(INDEX(ERP資料!$G:$G, (MATCH(246, 輔助計算!$G$2:$G$801, 0)+1))&lt;=46.5,2,1)), IF(INDEX(ERP資料!$G:$G, (MATCH(246, 輔助計算!$G$2:$G$801, 0)+1))&lt;=790,3,IF(INDEX(ERP資料!$G:$G, (MATCH(246, 輔助計算!$G$2:$G$801, 0)+1))&lt;=1181,2,1)))=1,TEXT(INDEX(ERP資料!$G:$G, (MATCH(246, 輔助計算!$G$2:$G$801, 0)+1)),"0.##"),IF(IF(INDEX(ERP資料!$G:$G, (MATCH(246, 輔助計算!$G$2:$G$801, 0)+1))&lt;100, IF(INDEX(ERP資料!$G:$G, (MATCH(246, 輔助計算!$G$2:$G$801, 0)+1))&lt;=31,3,IF(INDEX(ERP資料!$G:$G, (MATCH(246, 輔助計算!$G$2:$G$801, 0)+1))&lt;=46.5,2,1)), IF(INDEX(ERP資料!$G:$G, (MATCH(246, 輔助計算!$G$2:$G$801, 0)+1))&lt;=790,3,IF(INDEX(ERP資料!$G:$G, (MATCH(246, 輔助計算!$G$2:$G$801, 0)+1))&lt;=1181,2,1)))=2,TEXT(INDEX(ERP資料!$G:$G, (MATCH(246, 輔助計算!$G$2:$G$801, 0)+1)),"0.##")&amp;"+"&amp;TEXT(INDEX(ERP資料!$G:$G, (MATCH(246, 輔助計算!$G$2:$G$801, 0)+1)),"0.##"),TEXT(INDEX(ERP資料!$G:$G, (MATCH(246, 輔助計算!$G$2:$G$801, 0)+1)),"0.##")&amp;"+"&amp;TEXT(INDEX(ERP資料!$G:$G, (MATCH(246, 輔助計算!$G$2:$G$801, 0)+1)),"0.##")&amp;"+"&amp;TEXT(INDEX(ERP資料!$G:$G, (MATCH(246, 輔助計算!$G$2:$G$801, 0)+1)),"0.##")))&amp;"-"&amp;INT(INDEX(輔助計算!$D:$D, (MATCH(246, 輔助計算!$G$2:$G$801, 0)+1))/IF(INDEX(ERP資料!$G:$G, (MATCH(246, 輔助計算!$G$2:$G$801, 0)+1))&lt;100, IF(INDEX(ERP資料!$G:$G, (MATCH(246, 輔助計算!$G$2:$G$801, 0)+1))&lt;=31,3,IF(INDEX(ERP資料!$G:$G, (MATCH(246, 輔助計算!$G$2:$G$801, 0)+1))&lt;=46.5,2,1)), IF(INDEX(ERP資料!$G:$G, (MATCH(246, 輔助計算!$G$2:$G$801, 0)+1))&lt;=790,3,IF(INDEX(ERP資料!$G:$G, (MATCH(246, 輔助計算!$G$2:$G$801, 0)+1))&lt;=1181,2,1)))), "")&lt;&gt;"",IF(MOD(INDEX(輔助計算!$D:$D, (MATCH(246, 輔助計算!$G$2:$G$801, 0)+1)),IF(INDEX(ERP資料!$G:$G, (MATCH(246, 輔助計算!$G$2:$G$801, 0)+1))&lt;100, IF(INDEX(ERP資料!$G:$G, (MATCH(246, 輔助計算!$G$2:$G$801, 0)+1))&lt;=31,3,IF(INDEX(ERP資料!$G:$G, (MATCH(246, 輔助計算!$G$2:$G$801, 0)+1))&lt;=46.5,2,1)), IF(INDEX(ERP資料!$G:$G, (MATCH(246, 輔助計算!$G$2:$G$801, 0)+1))&lt;=790,3,IF(INDEX(ERP資料!$G:$G, (MATCH(246, 輔助計算!$G$2:$G$801, 0)+1))&lt;=1181,2,1))))=0,"",IF(MOD(INDEX(輔助計算!$D:$D, (MATCH(246, 輔助計算!$G$2:$G$801, 0)+1)),IF(INDEX(ERP資料!$G:$G, (MATCH(246, 輔助計算!$G$2:$G$801, 0)+1))&lt;100, IF(INDEX(ERP資料!$G:$G, (MATCH(246, 輔助計算!$G$2:$G$801, 0)+1))&lt;=31,3,IF(INDEX(ERP資料!$G:$G, (MATCH(246, 輔助計算!$G$2:$G$801, 0)+1))&lt;=46.5,2,1)), IF(INDEX(ERP資料!$G:$G, (MATCH(246, 輔助計算!$G$2:$G$801, 0)+1))&lt;=790,3,IF(INDEX(ERP資料!$G:$G, (MATCH(246, 輔助計算!$G$2:$G$801, 0)+1))&lt;=1181,2,1))))=0,"",IF(MOD(INDEX(輔助計算!$D:$D, (MATCH(246, 輔助計算!$G$2:$G$801, 0)+1)),IF(INDEX(ERP資料!$G:$G, (MATCH(246, 輔助計算!$G$2:$G$801, 0)+1))&lt;100, IF(INDEX(ERP資料!$G:$G, (MATCH(246, 輔助計算!$G$2:$G$801, 0)+1))&lt;=31,3,IF(INDEX(ERP資料!$G:$G, (MATCH(246, 輔助計算!$G$2:$G$801, 0)+1))&lt;=46.5,2,1)), IF(INDEX(ERP資料!$G:$G, (MATCH(246, 輔助計算!$G$2:$G$801, 0)+1))&lt;=790,3,IF(INDEX(ERP資料!$G:$G, (MATCH(246, 輔助計算!$G$2:$G$801, 0)+1))&lt;=1181,2,1))))=1,TEXT(INDEX(ERP資料!$G:$G, (MATCH(246, 輔助計算!$G$2:$G$801, 0)+1)),"0.##"),IF(MOD(INDEX(輔助計算!$D:$D, (MATCH(246, 輔助計算!$G$2:$G$801, 0)+1)),IF(INDEX(ERP資料!$G:$G, (MATCH(246, 輔助計算!$G$2:$G$801, 0)+1))&lt;100, IF(INDEX(ERP資料!$G:$G, (MATCH(246, 輔助計算!$G$2:$G$801, 0)+1))&lt;=31,3,IF(INDEX(ERP資料!$G:$G, (MATCH(246, 輔助計算!$G$2:$G$801, 0)+1))&lt;=46.5,2,1)), IF(INDEX(ERP資料!$G:$G, (MATCH(246, 輔助計算!$G$2:$G$801, 0)+1))&lt;=790,3,IF(INDEX(ERP資料!$G:$G, (MATCH(246, 輔助計算!$G$2:$G$801, 0)+1))&lt;=1181,2,1))))=2,TEXT(INDEX(ERP資料!$G:$G, (MATCH(246, 輔助計算!$G$2:$G$801, 0)+1)),"0.##")&amp;"+"&amp;TEXT(INDEX(ERP資料!$G:$G, (MATCH(246, 輔助計算!$G$2:$G$801, 0)+1)),"0.##"),TEXT(INDEX(ERP資料!$G:$G, (MATCH(246, 輔助計算!$G$2:$G$801, 0)+1)),"0.##")&amp;"+"&amp;TEXT(INDEX(ERP資料!$G:$G, (MATCH(246, 輔助計算!$G$2:$G$801, 0)+1)),"0.##")&amp;"+"&amp;TEXT(INDEX(ERP資料!$G:$G, (MATCH(246, 輔助計算!$G$2:$G$801, 0)+1)),"0.##"))))&amp;"-1")&lt;&gt;""),"  ","")&amp;IF(MOD(INDEX(輔助計算!$D:$D, (MATCH(246, 輔助計算!$G$2:$G$801, 0)+1)),IF(INDEX(ERP資料!$G:$G, (MATCH(246, 輔助計算!$G$2:$G$801, 0)+1))&lt;100, IF(INDEX(ERP資料!$G:$G, (MATCH(246, 輔助計算!$G$2:$G$801, 0)+1))&lt;=31,3,IF(INDEX(ERP資料!$G:$G, (MATCH(246, 輔助計算!$G$2:$G$801, 0)+1))&lt;=46.5,2,1)), IF(INDEX(ERP資料!$G:$G, (MATCH(246, 輔助計算!$G$2:$G$801, 0)+1))&lt;=790,3,IF(INDEX(ERP資料!$G:$G, (MATCH(246, 輔助計算!$G$2:$G$801, 0)+1))&lt;=1181,2,1))))=0,"",IF(MOD(INDEX(輔助計算!$D:$D, (MATCH(246, 輔助計算!$G$2:$G$801, 0)+1)),IF(INDEX(ERP資料!$G:$G, (MATCH(246, 輔助計算!$G$2:$G$801, 0)+1))&lt;100, IF(INDEX(ERP資料!$G:$G, (MATCH(246, 輔助計算!$G$2:$G$801, 0)+1))&lt;=31,3,IF(INDEX(ERP資料!$G:$G, (MATCH(246, 輔助計算!$G$2:$G$801, 0)+1))&lt;=46.5,2,1)), IF(INDEX(ERP資料!$G:$G, (MATCH(246, 輔助計算!$G$2:$G$801, 0)+1))&lt;=790,3,IF(INDEX(ERP資料!$G:$G, (MATCH(246, 輔助計算!$G$2:$G$801, 0)+1))&lt;=1181,2,1))))=0,"",IF(MOD(INDEX(輔助計算!$D:$D, (MATCH(246, 輔助計算!$G$2:$G$801, 0)+1)),IF(INDEX(ERP資料!$G:$G, (MATCH(246, 輔助計算!$G$2:$G$801, 0)+1))&lt;100, IF(INDEX(ERP資料!$G:$G, (MATCH(246, 輔助計算!$G$2:$G$801, 0)+1))&lt;=31,3,IF(INDEX(ERP資料!$G:$G, (MATCH(246, 輔助計算!$G$2:$G$801, 0)+1))&lt;=46.5,2,1)), IF(INDEX(ERP資料!$G:$G, (MATCH(246, 輔助計算!$G$2:$G$801, 0)+1))&lt;=790,3,IF(INDEX(ERP資料!$G:$G, (MATCH(246, 輔助計算!$G$2:$G$801, 0)+1))&lt;=1181,2,1))))=1,TEXT(INDEX(ERP資料!$G:$G, (MATCH(246, 輔助計算!$G$2:$G$801, 0)+1)),"0.##"),IF(MOD(INDEX(輔助計算!$D:$D, (MATCH(246, 輔助計算!$G$2:$G$801, 0)+1)),IF(INDEX(ERP資料!$G:$G, (MATCH(246, 輔助計算!$G$2:$G$801, 0)+1))&lt;100, IF(INDEX(ERP資料!$G:$G, (MATCH(246, 輔助計算!$G$2:$G$801, 0)+1))&lt;=31,3,IF(INDEX(ERP資料!$G:$G, (MATCH(246, 輔助計算!$G$2:$G$801, 0)+1))&lt;=46.5,2,1)), IF(INDEX(ERP資料!$G:$G, (MATCH(246, 輔助計算!$G$2:$G$801, 0)+1))&lt;=790,3,IF(INDEX(ERP資料!$G:$G, (MATCH(246, 輔助計算!$G$2:$G$801, 0)+1))&lt;=1181,2,1))))=2,TEXT(INDEX(ERP資料!$G:$G, (MATCH(246, 輔助計算!$G$2:$G$801, 0)+1)),"0.##")&amp;"+"&amp;TEXT(INDEX(ERP資料!$G:$G, (MATCH(246, 輔助計算!$G$2:$G$801, 0)+1)),"0.##"),TEXT(INDEX(ERP資料!$G:$G, (MATCH(246, 輔助計算!$G$2:$G$801, 0)+1)),"0.##")&amp;"+"&amp;TEXT(INDEX(ERP資料!$G:$G, (MATCH(246, 輔助計算!$G$2:$G$801, 0)+1)),"0.##")&amp;"+"&amp;TEXT(INDEX(ERP資料!$G:$G, (MATCH(246, 輔助計算!$G$2:$G$801, 0)+1)),"0.##"))))&amp;"-1")), ""), "")</f>
        <v/>
      </c>
      <c r="K247" s="16" t="n"/>
      <c r="L247" s="14">
        <f>IFERROR(IF(AND(IFERROR(INDEX(ERP資料!$A:$A, (MATCH(246, 輔助計算!$G$2:$G$801, 0)+1)), "")&lt;&gt;"", IFERROR(INDEX(ERP資料!$A:$A, (MATCH(246, 輔助計算!$G$2:$G$801, 0)+1)), "")&lt;&gt;IFERROR(INDEX(ERP資料!$A:$A, MATCH(245, 輔助計算!$G$2:$G$801, 0)+1), "")), INDEX(ERP資料!$B:$B, (MATCH(246, 輔助計算!$G$2:$G$801, 0)+1)), ""), "")</f>
        <v/>
      </c>
      <c r="M247" s="17" t="n"/>
    </row>
    <row r="248">
      <c r="A248" s="10">
        <f>IFERROR(IF(AND(IFERROR(INDEX(ERP資料!$A:$A, (MATCH(247, 輔助計算!$G$2:$G$801, 0)+1)), "")&lt;&gt;"", IFERROR(INDEX(ERP資料!$A:$A, (MATCH(247, 輔助計算!$G$2:$G$801, 0)+1)), "")&lt;&gt;IFERROR(INDEX(ERP資料!$A:$A, MATCH(246, 輔助計算!$G$2:$G$801, 0)+1), "")), IFERROR(INDEX(ERP資料!$A:$A, (MATCH(247, 輔助計算!$G$2:$G$801, 0)+1)), ""), ""), "")</f>
        <v/>
      </c>
      <c r="B248" s="10">
        <f>IFERROR(IF(AND(IFERROR(INDEX(ERP資料!$A:$A, (MATCH(247, 輔助計算!$G$2:$G$801, 0)+1)), "")&lt;&gt;"", IFERROR(INDEX(ERP資料!$A:$A, (MATCH(247, 輔助計算!$G$2:$G$801, 0)+1)), "")&lt;&gt;IFERROR(INDEX(ERP資料!$A:$A, MATCH(246, 輔助計算!$G$2:$G$801, 0)+1), "")), INDEX(ERP資料!$S:$S, (MATCH(247, 輔助計算!$G$2:$G$801, 0)+1)), ""), "")</f>
        <v/>
      </c>
      <c r="C248" s="19">
        <f>IFERROR(IF(AND(IFERROR(INDEX(ERP資料!$A:$A, (MATCH(247, 輔助計算!$G$2:$G$801, 0)+1)), "")&lt;&gt;"", IFERROR(INDEX(ERP資料!$A:$A, (MATCH(247, 輔助計算!$G$2:$G$801, 0)+1)), "")&lt;&gt;IFERROR(INDEX(ERP資料!$A:$A, MATCH(246, 輔助計算!$G$2:$G$801, 0)+1), "")), IFERROR(VLOOKUP(LEFT(INDEX(ERP資料!$S:$S, (MATCH(247, 輔助計算!$G$2:$G$801, 0)+1)), 4), 紙管對照表!$A:$C, 3, FALSE), ""), ""), "")</f>
        <v/>
      </c>
      <c r="D248" s="16" t="n"/>
      <c r="E248" s="10">
        <f>IFERROR(IF(INDEX(ERP資料!$H:$H, (MATCH(247, 輔助計算!$G$2:$G$801, 0)+1))="","",INDEX(ERP資料!$H:$H, (MATCH(247, 輔助計算!$G$2:$G$801, 0)+1))), "")</f>
        <v/>
      </c>
      <c r="F248" s="10">
        <f>IFERROR(IF(INDEX(ERP資料!$E:$E, (MATCH(247, 輔助計算!$G$2:$G$801, 0)+1))="","",TRIM(INDEX(ERP資料!$E:$E, (MATCH(247, 輔助計算!$G$2:$G$801, 0)+1)))), "")</f>
        <v/>
      </c>
      <c r="G248" s="10">
        <f>IFERROR(IF(INDEX(ERP資料!$F:$F, (MATCH(247, 輔助計算!$G$2:$G$801, 0)+1))="","",INDEX(ERP資料!$F:$F, (MATCH(247, 輔助計算!$G$2:$G$801, 0)+1))), "")</f>
        <v/>
      </c>
      <c r="H248" s="10">
        <f>IFERROR(IF(INDEX(ERP資料!$G:$G, (MATCH(247, 輔助計算!$G$2:$G$801, 0)+1))="","",INDEX(ERP資料!$G:$G, (MATCH(247, 輔助計算!$G$2:$G$801, 0)+1))), "")</f>
        <v/>
      </c>
      <c r="I248" s="15">
        <f>IFERROR(INDEX(輔助計算!$D:$D, (MATCH(247, 輔助計算!$G$2:$G$801, 0)+1)), "")</f>
        <v/>
      </c>
      <c r="J248" s="15">
        <f>IFERROR(IF(AND(INDEX(輔助計算!$D:$D, (MATCH(247, 輔助計算!$G$2:$G$801, 0)+1))&lt;&gt;"", INDEX(ERP資料!$G:$G, (MATCH(247, 輔助計算!$G$2:$G$801, 0)+1))&lt;&gt;""), TRIM(IF(INT(INDEX(輔助計算!$D:$D, (MATCH(247, 輔助計算!$G$2:$G$801, 0)+1))/IF(INDEX(ERP資料!$G:$G, (MATCH(247, 輔助計算!$G$2:$G$801, 0)+1))&lt;100, IF(INDEX(ERP資料!$G:$G, (MATCH(247, 輔助計算!$G$2:$G$801, 0)+1))&lt;=31,3,IF(INDEX(ERP資料!$G:$G, (MATCH(247, 輔助計算!$G$2:$G$801, 0)+1))&lt;=46.5,2,1)), IF(INDEX(ERP資料!$G:$G, (MATCH(247, 輔助計算!$G$2:$G$801, 0)+1))&lt;=790,3,IF(INDEX(ERP資料!$G:$G, (MATCH(247, 輔助計算!$G$2:$G$801, 0)+1))&lt;=1181,2,1))))&gt;0, IF(IF(INDEX(ERP資料!$G:$G, (MATCH(247, 輔助計算!$G$2:$G$801, 0)+1))&lt;100, IF(INDEX(ERP資料!$G:$G, (MATCH(247, 輔助計算!$G$2:$G$801, 0)+1))&lt;=31,3,IF(INDEX(ERP資料!$G:$G, (MATCH(247, 輔助計算!$G$2:$G$801, 0)+1))&lt;=46.5,2,1)), IF(INDEX(ERP資料!$G:$G, (MATCH(247, 輔助計算!$G$2:$G$801, 0)+1))&lt;=790,3,IF(INDEX(ERP資料!$G:$G, (MATCH(247, 輔助計算!$G$2:$G$801, 0)+1))&lt;=1181,2,1)))=1,TEXT(INDEX(ERP資料!$G:$G, (MATCH(247, 輔助計算!$G$2:$G$801, 0)+1)),"0.##"),IF(IF(INDEX(ERP資料!$G:$G, (MATCH(247, 輔助計算!$G$2:$G$801, 0)+1))&lt;100, IF(INDEX(ERP資料!$G:$G, (MATCH(247, 輔助計算!$G$2:$G$801, 0)+1))&lt;=31,3,IF(INDEX(ERP資料!$G:$G, (MATCH(247, 輔助計算!$G$2:$G$801, 0)+1))&lt;=46.5,2,1)), IF(INDEX(ERP資料!$G:$G, (MATCH(247, 輔助計算!$G$2:$G$801, 0)+1))&lt;=790,3,IF(INDEX(ERP資料!$G:$G, (MATCH(247, 輔助計算!$G$2:$G$801, 0)+1))&lt;=1181,2,1)))=2,TEXT(INDEX(ERP資料!$G:$G, (MATCH(247, 輔助計算!$G$2:$G$801, 0)+1)),"0.##")&amp;"+"&amp;TEXT(INDEX(ERP資料!$G:$G, (MATCH(247, 輔助計算!$G$2:$G$801, 0)+1)),"0.##"),TEXT(INDEX(ERP資料!$G:$G, (MATCH(247, 輔助計算!$G$2:$G$801, 0)+1)),"0.##")&amp;"+"&amp;TEXT(INDEX(ERP資料!$G:$G, (MATCH(247, 輔助計算!$G$2:$G$801, 0)+1)),"0.##")&amp;"+"&amp;TEXT(INDEX(ERP資料!$G:$G, (MATCH(247, 輔助計算!$G$2:$G$801, 0)+1)),"0.##")))&amp;"-"&amp;INT(INDEX(輔助計算!$D:$D, (MATCH(247, 輔助計算!$G$2:$G$801, 0)+1))/IF(INDEX(ERP資料!$G:$G, (MATCH(247, 輔助計算!$G$2:$G$801, 0)+1))&lt;100, IF(INDEX(ERP資料!$G:$G, (MATCH(247, 輔助計算!$G$2:$G$801, 0)+1))&lt;=31,3,IF(INDEX(ERP資料!$G:$G, (MATCH(247, 輔助計算!$G$2:$G$801, 0)+1))&lt;=46.5,2,1)), IF(INDEX(ERP資料!$G:$G, (MATCH(247, 輔助計算!$G$2:$G$801, 0)+1))&lt;=790,3,IF(INDEX(ERP資料!$G:$G, (MATCH(247, 輔助計算!$G$2:$G$801, 0)+1))&lt;=1181,2,1)))), "")&amp;IF(AND(IF(INT(INDEX(輔助計算!$D:$D, (MATCH(247, 輔助計算!$G$2:$G$801, 0)+1))/IF(INDEX(ERP資料!$G:$G, (MATCH(247, 輔助計算!$G$2:$G$801, 0)+1))&lt;100, IF(INDEX(ERP資料!$G:$G, (MATCH(247, 輔助計算!$G$2:$G$801, 0)+1))&lt;=31,3,IF(INDEX(ERP資料!$G:$G, (MATCH(247, 輔助計算!$G$2:$G$801, 0)+1))&lt;=46.5,2,1)), IF(INDEX(ERP資料!$G:$G, (MATCH(247, 輔助計算!$G$2:$G$801, 0)+1))&lt;=790,3,IF(INDEX(ERP資料!$G:$G, (MATCH(247, 輔助計算!$G$2:$G$801, 0)+1))&lt;=1181,2,1))))&gt;0, IF(IF(INDEX(ERP資料!$G:$G, (MATCH(247, 輔助計算!$G$2:$G$801, 0)+1))&lt;100, IF(INDEX(ERP資料!$G:$G, (MATCH(247, 輔助計算!$G$2:$G$801, 0)+1))&lt;=31,3,IF(INDEX(ERP資料!$G:$G, (MATCH(247, 輔助計算!$G$2:$G$801, 0)+1))&lt;=46.5,2,1)), IF(INDEX(ERP資料!$G:$G, (MATCH(247, 輔助計算!$G$2:$G$801, 0)+1))&lt;=790,3,IF(INDEX(ERP資料!$G:$G, (MATCH(247, 輔助計算!$G$2:$G$801, 0)+1))&lt;=1181,2,1)))=1,TEXT(INDEX(ERP資料!$G:$G, (MATCH(247, 輔助計算!$G$2:$G$801, 0)+1)),"0.##"),IF(IF(INDEX(ERP資料!$G:$G, (MATCH(247, 輔助計算!$G$2:$G$801, 0)+1))&lt;100, IF(INDEX(ERP資料!$G:$G, (MATCH(247, 輔助計算!$G$2:$G$801, 0)+1))&lt;=31,3,IF(INDEX(ERP資料!$G:$G, (MATCH(247, 輔助計算!$G$2:$G$801, 0)+1))&lt;=46.5,2,1)), IF(INDEX(ERP資料!$G:$G, (MATCH(247, 輔助計算!$G$2:$G$801, 0)+1))&lt;=790,3,IF(INDEX(ERP資料!$G:$G, (MATCH(247, 輔助計算!$G$2:$G$801, 0)+1))&lt;=1181,2,1)))=2,TEXT(INDEX(ERP資料!$G:$G, (MATCH(247, 輔助計算!$G$2:$G$801, 0)+1)),"0.##")&amp;"+"&amp;TEXT(INDEX(ERP資料!$G:$G, (MATCH(247, 輔助計算!$G$2:$G$801, 0)+1)),"0.##"),TEXT(INDEX(ERP資料!$G:$G, (MATCH(247, 輔助計算!$G$2:$G$801, 0)+1)),"0.##")&amp;"+"&amp;TEXT(INDEX(ERP資料!$G:$G, (MATCH(247, 輔助計算!$G$2:$G$801, 0)+1)),"0.##")&amp;"+"&amp;TEXT(INDEX(ERP資料!$G:$G, (MATCH(247, 輔助計算!$G$2:$G$801, 0)+1)),"0.##")))&amp;"-"&amp;INT(INDEX(輔助計算!$D:$D, (MATCH(247, 輔助計算!$G$2:$G$801, 0)+1))/IF(INDEX(ERP資料!$G:$G, (MATCH(247, 輔助計算!$G$2:$G$801, 0)+1))&lt;100, IF(INDEX(ERP資料!$G:$G, (MATCH(247, 輔助計算!$G$2:$G$801, 0)+1))&lt;=31,3,IF(INDEX(ERP資料!$G:$G, (MATCH(247, 輔助計算!$G$2:$G$801, 0)+1))&lt;=46.5,2,1)), IF(INDEX(ERP資料!$G:$G, (MATCH(247, 輔助計算!$G$2:$G$801, 0)+1))&lt;=790,3,IF(INDEX(ERP資料!$G:$G, (MATCH(247, 輔助計算!$G$2:$G$801, 0)+1))&lt;=1181,2,1)))), "")&lt;&gt;"",IF(MOD(INDEX(輔助計算!$D:$D, (MATCH(247, 輔助計算!$G$2:$G$801, 0)+1)),IF(INDEX(ERP資料!$G:$G, (MATCH(247, 輔助計算!$G$2:$G$801, 0)+1))&lt;100, IF(INDEX(ERP資料!$G:$G, (MATCH(247, 輔助計算!$G$2:$G$801, 0)+1))&lt;=31,3,IF(INDEX(ERP資料!$G:$G, (MATCH(247, 輔助計算!$G$2:$G$801, 0)+1))&lt;=46.5,2,1)), IF(INDEX(ERP資料!$G:$G, (MATCH(247, 輔助計算!$G$2:$G$801, 0)+1))&lt;=790,3,IF(INDEX(ERP資料!$G:$G, (MATCH(247, 輔助計算!$G$2:$G$801, 0)+1))&lt;=1181,2,1))))=0,"",IF(MOD(INDEX(輔助計算!$D:$D, (MATCH(247, 輔助計算!$G$2:$G$801, 0)+1)),IF(INDEX(ERP資料!$G:$G, (MATCH(247, 輔助計算!$G$2:$G$801, 0)+1))&lt;100, IF(INDEX(ERP資料!$G:$G, (MATCH(247, 輔助計算!$G$2:$G$801, 0)+1))&lt;=31,3,IF(INDEX(ERP資料!$G:$G, (MATCH(247, 輔助計算!$G$2:$G$801, 0)+1))&lt;=46.5,2,1)), IF(INDEX(ERP資料!$G:$G, (MATCH(247, 輔助計算!$G$2:$G$801, 0)+1))&lt;=790,3,IF(INDEX(ERP資料!$G:$G, (MATCH(247, 輔助計算!$G$2:$G$801, 0)+1))&lt;=1181,2,1))))=0,"",IF(MOD(INDEX(輔助計算!$D:$D, (MATCH(247, 輔助計算!$G$2:$G$801, 0)+1)),IF(INDEX(ERP資料!$G:$G, (MATCH(247, 輔助計算!$G$2:$G$801, 0)+1))&lt;100, IF(INDEX(ERP資料!$G:$G, (MATCH(247, 輔助計算!$G$2:$G$801, 0)+1))&lt;=31,3,IF(INDEX(ERP資料!$G:$G, (MATCH(247, 輔助計算!$G$2:$G$801, 0)+1))&lt;=46.5,2,1)), IF(INDEX(ERP資料!$G:$G, (MATCH(247, 輔助計算!$G$2:$G$801, 0)+1))&lt;=790,3,IF(INDEX(ERP資料!$G:$G, (MATCH(247, 輔助計算!$G$2:$G$801, 0)+1))&lt;=1181,2,1))))=1,TEXT(INDEX(ERP資料!$G:$G, (MATCH(247, 輔助計算!$G$2:$G$801, 0)+1)),"0.##"),IF(MOD(INDEX(輔助計算!$D:$D, (MATCH(247, 輔助計算!$G$2:$G$801, 0)+1)),IF(INDEX(ERP資料!$G:$G, (MATCH(247, 輔助計算!$G$2:$G$801, 0)+1))&lt;100, IF(INDEX(ERP資料!$G:$G, (MATCH(247, 輔助計算!$G$2:$G$801, 0)+1))&lt;=31,3,IF(INDEX(ERP資料!$G:$G, (MATCH(247, 輔助計算!$G$2:$G$801, 0)+1))&lt;=46.5,2,1)), IF(INDEX(ERP資料!$G:$G, (MATCH(247, 輔助計算!$G$2:$G$801, 0)+1))&lt;=790,3,IF(INDEX(ERP資料!$G:$G, (MATCH(247, 輔助計算!$G$2:$G$801, 0)+1))&lt;=1181,2,1))))=2,TEXT(INDEX(ERP資料!$G:$G, (MATCH(247, 輔助計算!$G$2:$G$801, 0)+1)),"0.##")&amp;"+"&amp;TEXT(INDEX(ERP資料!$G:$G, (MATCH(247, 輔助計算!$G$2:$G$801, 0)+1)),"0.##"),TEXT(INDEX(ERP資料!$G:$G, (MATCH(247, 輔助計算!$G$2:$G$801, 0)+1)),"0.##")&amp;"+"&amp;TEXT(INDEX(ERP資料!$G:$G, (MATCH(247, 輔助計算!$G$2:$G$801, 0)+1)),"0.##")&amp;"+"&amp;TEXT(INDEX(ERP資料!$G:$G, (MATCH(247, 輔助計算!$G$2:$G$801, 0)+1)),"0.##"))))&amp;"-1")&lt;&gt;""),"  ","")&amp;IF(MOD(INDEX(輔助計算!$D:$D, (MATCH(247, 輔助計算!$G$2:$G$801, 0)+1)),IF(INDEX(ERP資料!$G:$G, (MATCH(247, 輔助計算!$G$2:$G$801, 0)+1))&lt;100, IF(INDEX(ERP資料!$G:$G, (MATCH(247, 輔助計算!$G$2:$G$801, 0)+1))&lt;=31,3,IF(INDEX(ERP資料!$G:$G, (MATCH(247, 輔助計算!$G$2:$G$801, 0)+1))&lt;=46.5,2,1)), IF(INDEX(ERP資料!$G:$G, (MATCH(247, 輔助計算!$G$2:$G$801, 0)+1))&lt;=790,3,IF(INDEX(ERP資料!$G:$G, (MATCH(247, 輔助計算!$G$2:$G$801, 0)+1))&lt;=1181,2,1))))=0,"",IF(MOD(INDEX(輔助計算!$D:$D, (MATCH(247, 輔助計算!$G$2:$G$801, 0)+1)),IF(INDEX(ERP資料!$G:$G, (MATCH(247, 輔助計算!$G$2:$G$801, 0)+1))&lt;100, IF(INDEX(ERP資料!$G:$G, (MATCH(247, 輔助計算!$G$2:$G$801, 0)+1))&lt;=31,3,IF(INDEX(ERP資料!$G:$G, (MATCH(247, 輔助計算!$G$2:$G$801, 0)+1))&lt;=46.5,2,1)), IF(INDEX(ERP資料!$G:$G, (MATCH(247, 輔助計算!$G$2:$G$801, 0)+1))&lt;=790,3,IF(INDEX(ERP資料!$G:$G, (MATCH(247, 輔助計算!$G$2:$G$801, 0)+1))&lt;=1181,2,1))))=0,"",IF(MOD(INDEX(輔助計算!$D:$D, (MATCH(247, 輔助計算!$G$2:$G$801, 0)+1)),IF(INDEX(ERP資料!$G:$G, (MATCH(247, 輔助計算!$G$2:$G$801, 0)+1))&lt;100, IF(INDEX(ERP資料!$G:$G, (MATCH(247, 輔助計算!$G$2:$G$801, 0)+1))&lt;=31,3,IF(INDEX(ERP資料!$G:$G, (MATCH(247, 輔助計算!$G$2:$G$801, 0)+1))&lt;=46.5,2,1)), IF(INDEX(ERP資料!$G:$G, (MATCH(247, 輔助計算!$G$2:$G$801, 0)+1))&lt;=790,3,IF(INDEX(ERP資料!$G:$G, (MATCH(247, 輔助計算!$G$2:$G$801, 0)+1))&lt;=1181,2,1))))=1,TEXT(INDEX(ERP資料!$G:$G, (MATCH(247, 輔助計算!$G$2:$G$801, 0)+1)),"0.##"),IF(MOD(INDEX(輔助計算!$D:$D, (MATCH(247, 輔助計算!$G$2:$G$801, 0)+1)),IF(INDEX(ERP資料!$G:$G, (MATCH(247, 輔助計算!$G$2:$G$801, 0)+1))&lt;100, IF(INDEX(ERP資料!$G:$G, (MATCH(247, 輔助計算!$G$2:$G$801, 0)+1))&lt;=31,3,IF(INDEX(ERP資料!$G:$G, (MATCH(247, 輔助計算!$G$2:$G$801, 0)+1))&lt;=46.5,2,1)), IF(INDEX(ERP資料!$G:$G, (MATCH(247, 輔助計算!$G$2:$G$801, 0)+1))&lt;=790,3,IF(INDEX(ERP資料!$G:$G, (MATCH(247, 輔助計算!$G$2:$G$801, 0)+1))&lt;=1181,2,1))))=2,TEXT(INDEX(ERP資料!$G:$G, (MATCH(247, 輔助計算!$G$2:$G$801, 0)+1)),"0.##")&amp;"+"&amp;TEXT(INDEX(ERP資料!$G:$G, (MATCH(247, 輔助計算!$G$2:$G$801, 0)+1)),"0.##"),TEXT(INDEX(ERP資料!$G:$G, (MATCH(247, 輔助計算!$G$2:$G$801, 0)+1)),"0.##")&amp;"+"&amp;TEXT(INDEX(ERP資料!$G:$G, (MATCH(247, 輔助計算!$G$2:$G$801, 0)+1)),"0.##")&amp;"+"&amp;TEXT(INDEX(ERP資料!$G:$G, (MATCH(247, 輔助計算!$G$2:$G$801, 0)+1)),"0.##"))))&amp;"-1")), ""), "")</f>
        <v/>
      </c>
      <c r="K248" s="16" t="n"/>
      <c r="L248" s="14">
        <f>IFERROR(IF(AND(IFERROR(INDEX(ERP資料!$A:$A, (MATCH(247, 輔助計算!$G$2:$G$801, 0)+1)), "")&lt;&gt;"", IFERROR(INDEX(ERP資料!$A:$A, (MATCH(247, 輔助計算!$G$2:$G$801, 0)+1)), "")&lt;&gt;IFERROR(INDEX(ERP資料!$A:$A, MATCH(246, 輔助計算!$G$2:$G$801, 0)+1), "")), INDEX(ERP資料!$B:$B, (MATCH(247, 輔助計算!$G$2:$G$801, 0)+1)), ""), "")</f>
        <v/>
      </c>
      <c r="M248" s="17" t="n"/>
    </row>
    <row r="249">
      <c r="A249" s="10">
        <f>IFERROR(IF(AND(IFERROR(INDEX(ERP資料!$A:$A, (MATCH(248, 輔助計算!$G$2:$G$801, 0)+1)), "")&lt;&gt;"", IFERROR(INDEX(ERP資料!$A:$A, (MATCH(248, 輔助計算!$G$2:$G$801, 0)+1)), "")&lt;&gt;IFERROR(INDEX(ERP資料!$A:$A, MATCH(247, 輔助計算!$G$2:$G$801, 0)+1), "")), IFERROR(INDEX(ERP資料!$A:$A, (MATCH(248, 輔助計算!$G$2:$G$801, 0)+1)), ""), ""), "")</f>
        <v/>
      </c>
      <c r="B249" s="10">
        <f>IFERROR(IF(AND(IFERROR(INDEX(ERP資料!$A:$A, (MATCH(248, 輔助計算!$G$2:$G$801, 0)+1)), "")&lt;&gt;"", IFERROR(INDEX(ERP資料!$A:$A, (MATCH(248, 輔助計算!$G$2:$G$801, 0)+1)), "")&lt;&gt;IFERROR(INDEX(ERP資料!$A:$A, MATCH(247, 輔助計算!$G$2:$G$801, 0)+1), "")), INDEX(ERP資料!$S:$S, (MATCH(248, 輔助計算!$G$2:$G$801, 0)+1)), ""), "")</f>
        <v/>
      </c>
      <c r="C249" s="19">
        <f>IFERROR(IF(AND(IFERROR(INDEX(ERP資料!$A:$A, (MATCH(248, 輔助計算!$G$2:$G$801, 0)+1)), "")&lt;&gt;"", IFERROR(INDEX(ERP資料!$A:$A, (MATCH(248, 輔助計算!$G$2:$G$801, 0)+1)), "")&lt;&gt;IFERROR(INDEX(ERP資料!$A:$A, MATCH(247, 輔助計算!$G$2:$G$801, 0)+1), "")), IFERROR(VLOOKUP(LEFT(INDEX(ERP資料!$S:$S, (MATCH(248, 輔助計算!$G$2:$G$801, 0)+1)), 4), 紙管對照表!$A:$C, 3, FALSE), ""), ""), "")</f>
        <v/>
      </c>
      <c r="D249" s="16" t="n"/>
      <c r="E249" s="10">
        <f>IFERROR(IF(INDEX(ERP資料!$H:$H, (MATCH(248, 輔助計算!$G$2:$G$801, 0)+1))="","",INDEX(ERP資料!$H:$H, (MATCH(248, 輔助計算!$G$2:$G$801, 0)+1))), "")</f>
        <v/>
      </c>
      <c r="F249" s="10">
        <f>IFERROR(IF(INDEX(ERP資料!$E:$E, (MATCH(248, 輔助計算!$G$2:$G$801, 0)+1))="","",TRIM(INDEX(ERP資料!$E:$E, (MATCH(248, 輔助計算!$G$2:$G$801, 0)+1)))), "")</f>
        <v/>
      </c>
      <c r="G249" s="10">
        <f>IFERROR(IF(INDEX(ERP資料!$F:$F, (MATCH(248, 輔助計算!$G$2:$G$801, 0)+1))="","",INDEX(ERP資料!$F:$F, (MATCH(248, 輔助計算!$G$2:$G$801, 0)+1))), "")</f>
        <v/>
      </c>
      <c r="H249" s="10">
        <f>IFERROR(IF(INDEX(ERP資料!$G:$G, (MATCH(248, 輔助計算!$G$2:$G$801, 0)+1))="","",INDEX(ERP資料!$G:$G, (MATCH(248, 輔助計算!$G$2:$G$801, 0)+1))), "")</f>
        <v/>
      </c>
      <c r="I249" s="15">
        <f>IFERROR(INDEX(輔助計算!$D:$D, (MATCH(248, 輔助計算!$G$2:$G$801, 0)+1)), "")</f>
        <v/>
      </c>
      <c r="J249" s="15">
        <f>IFERROR(IF(AND(INDEX(輔助計算!$D:$D, (MATCH(248, 輔助計算!$G$2:$G$801, 0)+1))&lt;&gt;"", INDEX(ERP資料!$G:$G, (MATCH(248, 輔助計算!$G$2:$G$801, 0)+1))&lt;&gt;""), TRIM(IF(INT(INDEX(輔助計算!$D:$D, (MATCH(248, 輔助計算!$G$2:$G$801, 0)+1))/IF(INDEX(ERP資料!$G:$G, (MATCH(248, 輔助計算!$G$2:$G$801, 0)+1))&lt;100, IF(INDEX(ERP資料!$G:$G, (MATCH(248, 輔助計算!$G$2:$G$801, 0)+1))&lt;=31,3,IF(INDEX(ERP資料!$G:$G, (MATCH(248, 輔助計算!$G$2:$G$801, 0)+1))&lt;=46.5,2,1)), IF(INDEX(ERP資料!$G:$G, (MATCH(248, 輔助計算!$G$2:$G$801, 0)+1))&lt;=790,3,IF(INDEX(ERP資料!$G:$G, (MATCH(248, 輔助計算!$G$2:$G$801, 0)+1))&lt;=1181,2,1))))&gt;0, IF(IF(INDEX(ERP資料!$G:$G, (MATCH(248, 輔助計算!$G$2:$G$801, 0)+1))&lt;100, IF(INDEX(ERP資料!$G:$G, (MATCH(248, 輔助計算!$G$2:$G$801, 0)+1))&lt;=31,3,IF(INDEX(ERP資料!$G:$G, (MATCH(248, 輔助計算!$G$2:$G$801, 0)+1))&lt;=46.5,2,1)), IF(INDEX(ERP資料!$G:$G, (MATCH(248, 輔助計算!$G$2:$G$801, 0)+1))&lt;=790,3,IF(INDEX(ERP資料!$G:$G, (MATCH(248, 輔助計算!$G$2:$G$801, 0)+1))&lt;=1181,2,1)))=1,TEXT(INDEX(ERP資料!$G:$G, (MATCH(248, 輔助計算!$G$2:$G$801, 0)+1)),"0.##"),IF(IF(INDEX(ERP資料!$G:$G, (MATCH(248, 輔助計算!$G$2:$G$801, 0)+1))&lt;100, IF(INDEX(ERP資料!$G:$G, (MATCH(248, 輔助計算!$G$2:$G$801, 0)+1))&lt;=31,3,IF(INDEX(ERP資料!$G:$G, (MATCH(248, 輔助計算!$G$2:$G$801, 0)+1))&lt;=46.5,2,1)), IF(INDEX(ERP資料!$G:$G, (MATCH(248, 輔助計算!$G$2:$G$801, 0)+1))&lt;=790,3,IF(INDEX(ERP資料!$G:$G, (MATCH(248, 輔助計算!$G$2:$G$801, 0)+1))&lt;=1181,2,1)))=2,TEXT(INDEX(ERP資料!$G:$G, (MATCH(248, 輔助計算!$G$2:$G$801, 0)+1)),"0.##")&amp;"+"&amp;TEXT(INDEX(ERP資料!$G:$G, (MATCH(248, 輔助計算!$G$2:$G$801, 0)+1)),"0.##"),TEXT(INDEX(ERP資料!$G:$G, (MATCH(248, 輔助計算!$G$2:$G$801, 0)+1)),"0.##")&amp;"+"&amp;TEXT(INDEX(ERP資料!$G:$G, (MATCH(248, 輔助計算!$G$2:$G$801, 0)+1)),"0.##")&amp;"+"&amp;TEXT(INDEX(ERP資料!$G:$G, (MATCH(248, 輔助計算!$G$2:$G$801, 0)+1)),"0.##")))&amp;"-"&amp;INT(INDEX(輔助計算!$D:$D, (MATCH(248, 輔助計算!$G$2:$G$801, 0)+1))/IF(INDEX(ERP資料!$G:$G, (MATCH(248, 輔助計算!$G$2:$G$801, 0)+1))&lt;100, IF(INDEX(ERP資料!$G:$G, (MATCH(248, 輔助計算!$G$2:$G$801, 0)+1))&lt;=31,3,IF(INDEX(ERP資料!$G:$G, (MATCH(248, 輔助計算!$G$2:$G$801, 0)+1))&lt;=46.5,2,1)), IF(INDEX(ERP資料!$G:$G, (MATCH(248, 輔助計算!$G$2:$G$801, 0)+1))&lt;=790,3,IF(INDEX(ERP資料!$G:$G, (MATCH(248, 輔助計算!$G$2:$G$801, 0)+1))&lt;=1181,2,1)))), "")&amp;IF(AND(IF(INT(INDEX(輔助計算!$D:$D, (MATCH(248, 輔助計算!$G$2:$G$801, 0)+1))/IF(INDEX(ERP資料!$G:$G, (MATCH(248, 輔助計算!$G$2:$G$801, 0)+1))&lt;100, IF(INDEX(ERP資料!$G:$G, (MATCH(248, 輔助計算!$G$2:$G$801, 0)+1))&lt;=31,3,IF(INDEX(ERP資料!$G:$G, (MATCH(248, 輔助計算!$G$2:$G$801, 0)+1))&lt;=46.5,2,1)), IF(INDEX(ERP資料!$G:$G, (MATCH(248, 輔助計算!$G$2:$G$801, 0)+1))&lt;=790,3,IF(INDEX(ERP資料!$G:$G, (MATCH(248, 輔助計算!$G$2:$G$801, 0)+1))&lt;=1181,2,1))))&gt;0, IF(IF(INDEX(ERP資料!$G:$G, (MATCH(248, 輔助計算!$G$2:$G$801, 0)+1))&lt;100, IF(INDEX(ERP資料!$G:$G, (MATCH(248, 輔助計算!$G$2:$G$801, 0)+1))&lt;=31,3,IF(INDEX(ERP資料!$G:$G, (MATCH(248, 輔助計算!$G$2:$G$801, 0)+1))&lt;=46.5,2,1)), IF(INDEX(ERP資料!$G:$G, (MATCH(248, 輔助計算!$G$2:$G$801, 0)+1))&lt;=790,3,IF(INDEX(ERP資料!$G:$G, (MATCH(248, 輔助計算!$G$2:$G$801, 0)+1))&lt;=1181,2,1)))=1,TEXT(INDEX(ERP資料!$G:$G, (MATCH(248, 輔助計算!$G$2:$G$801, 0)+1)),"0.##"),IF(IF(INDEX(ERP資料!$G:$G, (MATCH(248, 輔助計算!$G$2:$G$801, 0)+1))&lt;100, IF(INDEX(ERP資料!$G:$G, (MATCH(248, 輔助計算!$G$2:$G$801, 0)+1))&lt;=31,3,IF(INDEX(ERP資料!$G:$G, (MATCH(248, 輔助計算!$G$2:$G$801, 0)+1))&lt;=46.5,2,1)), IF(INDEX(ERP資料!$G:$G, (MATCH(248, 輔助計算!$G$2:$G$801, 0)+1))&lt;=790,3,IF(INDEX(ERP資料!$G:$G, (MATCH(248, 輔助計算!$G$2:$G$801, 0)+1))&lt;=1181,2,1)))=2,TEXT(INDEX(ERP資料!$G:$G, (MATCH(248, 輔助計算!$G$2:$G$801, 0)+1)),"0.##")&amp;"+"&amp;TEXT(INDEX(ERP資料!$G:$G, (MATCH(248, 輔助計算!$G$2:$G$801, 0)+1)),"0.##"),TEXT(INDEX(ERP資料!$G:$G, (MATCH(248, 輔助計算!$G$2:$G$801, 0)+1)),"0.##")&amp;"+"&amp;TEXT(INDEX(ERP資料!$G:$G, (MATCH(248, 輔助計算!$G$2:$G$801, 0)+1)),"0.##")&amp;"+"&amp;TEXT(INDEX(ERP資料!$G:$G, (MATCH(248, 輔助計算!$G$2:$G$801, 0)+1)),"0.##")))&amp;"-"&amp;INT(INDEX(輔助計算!$D:$D, (MATCH(248, 輔助計算!$G$2:$G$801, 0)+1))/IF(INDEX(ERP資料!$G:$G, (MATCH(248, 輔助計算!$G$2:$G$801, 0)+1))&lt;100, IF(INDEX(ERP資料!$G:$G, (MATCH(248, 輔助計算!$G$2:$G$801, 0)+1))&lt;=31,3,IF(INDEX(ERP資料!$G:$G, (MATCH(248, 輔助計算!$G$2:$G$801, 0)+1))&lt;=46.5,2,1)), IF(INDEX(ERP資料!$G:$G, (MATCH(248, 輔助計算!$G$2:$G$801, 0)+1))&lt;=790,3,IF(INDEX(ERP資料!$G:$G, (MATCH(248, 輔助計算!$G$2:$G$801, 0)+1))&lt;=1181,2,1)))), "")&lt;&gt;"",IF(MOD(INDEX(輔助計算!$D:$D, (MATCH(248, 輔助計算!$G$2:$G$801, 0)+1)),IF(INDEX(ERP資料!$G:$G, (MATCH(248, 輔助計算!$G$2:$G$801, 0)+1))&lt;100, IF(INDEX(ERP資料!$G:$G, (MATCH(248, 輔助計算!$G$2:$G$801, 0)+1))&lt;=31,3,IF(INDEX(ERP資料!$G:$G, (MATCH(248, 輔助計算!$G$2:$G$801, 0)+1))&lt;=46.5,2,1)), IF(INDEX(ERP資料!$G:$G, (MATCH(248, 輔助計算!$G$2:$G$801, 0)+1))&lt;=790,3,IF(INDEX(ERP資料!$G:$G, (MATCH(248, 輔助計算!$G$2:$G$801, 0)+1))&lt;=1181,2,1))))=0,"",IF(MOD(INDEX(輔助計算!$D:$D, (MATCH(248, 輔助計算!$G$2:$G$801, 0)+1)),IF(INDEX(ERP資料!$G:$G, (MATCH(248, 輔助計算!$G$2:$G$801, 0)+1))&lt;100, IF(INDEX(ERP資料!$G:$G, (MATCH(248, 輔助計算!$G$2:$G$801, 0)+1))&lt;=31,3,IF(INDEX(ERP資料!$G:$G, (MATCH(248, 輔助計算!$G$2:$G$801, 0)+1))&lt;=46.5,2,1)), IF(INDEX(ERP資料!$G:$G, (MATCH(248, 輔助計算!$G$2:$G$801, 0)+1))&lt;=790,3,IF(INDEX(ERP資料!$G:$G, (MATCH(248, 輔助計算!$G$2:$G$801, 0)+1))&lt;=1181,2,1))))=0,"",IF(MOD(INDEX(輔助計算!$D:$D, (MATCH(248, 輔助計算!$G$2:$G$801, 0)+1)),IF(INDEX(ERP資料!$G:$G, (MATCH(248, 輔助計算!$G$2:$G$801, 0)+1))&lt;100, IF(INDEX(ERP資料!$G:$G, (MATCH(248, 輔助計算!$G$2:$G$801, 0)+1))&lt;=31,3,IF(INDEX(ERP資料!$G:$G, (MATCH(248, 輔助計算!$G$2:$G$801, 0)+1))&lt;=46.5,2,1)), IF(INDEX(ERP資料!$G:$G, (MATCH(248, 輔助計算!$G$2:$G$801, 0)+1))&lt;=790,3,IF(INDEX(ERP資料!$G:$G, (MATCH(248, 輔助計算!$G$2:$G$801, 0)+1))&lt;=1181,2,1))))=1,TEXT(INDEX(ERP資料!$G:$G, (MATCH(248, 輔助計算!$G$2:$G$801, 0)+1)),"0.##"),IF(MOD(INDEX(輔助計算!$D:$D, (MATCH(248, 輔助計算!$G$2:$G$801, 0)+1)),IF(INDEX(ERP資料!$G:$G, (MATCH(248, 輔助計算!$G$2:$G$801, 0)+1))&lt;100, IF(INDEX(ERP資料!$G:$G, (MATCH(248, 輔助計算!$G$2:$G$801, 0)+1))&lt;=31,3,IF(INDEX(ERP資料!$G:$G, (MATCH(248, 輔助計算!$G$2:$G$801, 0)+1))&lt;=46.5,2,1)), IF(INDEX(ERP資料!$G:$G, (MATCH(248, 輔助計算!$G$2:$G$801, 0)+1))&lt;=790,3,IF(INDEX(ERP資料!$G:$G, (MATCH(248, 輔助計算!$G$2:$G$801, 0)+1))&lt;=1181,2,1))))=2,TEXT(INDEX(ERP資料!$G:$G, (MATCH(248, 輔助計算!$G$2:$G$801, 0)+1)),"0.##")&amp;"+"&amp;TEXT(INDEX(ERP資料!$G:$G, (MATCH(248, 輔助計算!$G$2:$G$801, 0)+1)),"0.##"),TEXT(INDEX(ERP資料!$G:$G, (MATCH(248, 輔助計算!$G$2:$G$801, 0)+1)),"0.##")&amp;"+"&amp;TEXT(INDEX(ERP資料!$G:$G, (MATCH(248, 輔助計算!$G$2:$G$801, 0)+1)),"0.##")&amp;"+"&amp;TEXT(INDEX(ERP資料!$G:$G, (MATCH(248, 輔助計算!$G$2:$G$801, 0)+1)),"0.##"))))&amp;"-1")&lt;&gt;""),"  ","")&amp;IF(MOD(INDEX(輔助計算!$D:$D, (MATCH(248, 輔助計算!$G$2:$G$801, 0)+1)),IF(INDEX(ERP資料!$G:$G, (MATCH(248, 輔助計算!$G$2:$G$801, 0)+1))&lt;100, IF(INDEX(ERP資料!$G:$G, (MATCH(248, 輔助計算!$G$2:$G$801, 0)+1))&lt;=31,3,IF(INDEX(ERP資料!$G:$G, (MATCH(248, 輔助計算!$G$2:$G$801, 0)+1))&lt;=46.5,2,1)), IF(INDEX(ERP資料!$G:$G, (MATCH(248, 輔助計算!$G$2:$G$801, 0)+1))&lt;=790,3,IF(INDEX(ERP資料!$G:$G, (MATCH(248, 輔助計算!$G$2:$G$801, 0)+1))&lt;=1181,2,1))))=0,"",IF(MOD(INDEX(輔助計算!$D:$D, (MATCH(248, 輔助計算!$G$2:$G$801, 0)+1)),IF(INDEX(ERP資料!$G:$G, (MATCH(248, 輔助計算!$G$2:$G$801, 0)+1))&lt;100, IF(INDEX(ERP資料!$G:$G, (MATCH(248, 輔助計算!$G$2:$G$801, 0)+1))&lt;=31,3,IF(INDEX(ERP資料!$G:$G, (MATCH(248, 輔助計算!$G$2:$G$801, 0)+1))&lt;=46.5,2,1)), IF(INDEX(ERP資料!$G:$G, (MATCH(248, 輔助計算!$G$2:$G$801, 0)+1))&lt;=790,3,IF(INDEX(ERP資料!$G:$G, (MATCH(248, 輔助計算!$G$2:$G$801, 0)+1))&lt;=1181,2,1))))=0,"",IF(MOD(INDEX(輔助計算!$D:$D, (MATCH(248, 輔助計算!$G$2:$G$801, 0)+1)),IF(INDEX(ERP資料!$G:$G, (MATCH(248, 輔助計算!$G$2:$G$801, 0)+1))&lt;100, IF(INDEX(ERP資料!$G:$G, (MATCH(248, 輔助計算!$G$2:$G$801, 0)+1))&lt;=31,3,IF(INDEX(ERP資料!$G:$G, (MATCH(248, 輔助計算!$G$2:$G$801, 0)+1))&lt;=46.5,2,1)), IF(INDEX(ERP資料!$G:$G, (MATCH(248, 輔助計算!$G$2:$G$801, 0)+1))&lt;=790,3,IF(INDEX(ERP資料!$G:$G, (MATCH(248, 輔助計算!$G$2:$G$801, 0)+1))&lt;=1181,2,1))))=1,TEXT(INDEX(ERP資料!$G:$G, (MATCH(248, 輔助計算!$G$2:$G$801, 0)+1)),"0.##"),IF(MOD(INDEX(輔助計算!$D:$D, (MATCH(248, 輔助計算!$G$2:$G$801, 0)+1)),IF(INDEX(ERP資料!$G:$G, (MATCH(248, 輔助計算!$G$2:$G$801, 0)+1))&lt;100, IF(INDEX(ERP資料!$G:$G, (MATCH(248, 輔助計算!$G$2:$G$801, 0)+1))&lt;=31,3,IF(INDEX(ERP資料!$G:$G, (MATCH(248, 輔助計算!$G$2:$G$801, 0)+1))&lt;=46.5,2,1)), IF(INDEX(ERP資料!$G:$G, (MATCH(248, 輔助計算!$G$2:$G$801, 0)+1))&lt;=790,3,IF(INDEX(ERP資料!$G:$G, (MATCH(248, 輔助計算!$G$2:$G$801, 0)+1))&lt;=1181,2,1))))=2,TEXT(INDEX(ERP資料!$G:$G, (MATCH(248, 輔助計算!$G$2:$G$801, 0)+1)),"0.##")&amp;"+"&amp;TEXT(INDEX(ERP資料!$G:$G, (MATCH(248, 輔助計算!$G$2:$G$801, 0)+1)),"0.##"),TEXT(INDEX(ERP資料!$G:$G, (MATCH(248, 輔助計算!$G$2:$G$801, 0)+1)),"0.##")&amp;"+"&amp;TEXT(INDEX(ERP資料!$G:$G, (MATCH(248, 輔助計算!$G$2:$G$801, 0)+1)),"0.##")&amp;"+"&amp;TEXT(INDEX(ERP資料!$G:$G, (MATCH(248, 輔助計算!$G$2:$G$801, 0)+1)),"0.##"))))&amp;"-1")), ""), "")</f>
        <v/>
      </c>
      <c r="K249" s="16" t="n"/>
      <c r="L249" s="14">
        <f>IFERROR(IF(AND(IFERROR(INDEX(ERP資料!$A:$A, (MATCH(248, 輔助計算!$G$2:$G$801, 0)+1)), "")&lt;&gt;"", IFERROR(INDEX(ERP資料!$A:$A, (MATCH(248, 輔助計算!$G$2:$G$801, 0)+1)), "")&lt;&gt;IFERROR(INDEX(ERP資料!$A:$A, MATCH(247, 輔助計算!$G$2:$G$801, 0)+1), "")), INDEX(ERP資料!$B:$B, (MATCH(248, 輔助計算!$G$2:$G$801, 0)+1)), ""), "")</f>
        <v/>
      </c>
      <c r="M249" s="17" t="n"/>
    </row>
    <row r="250">
      <c r="A250" s="10">
        <f>IFERROR(IF(AND(IFERROR(INDEX(ERP資料!$A:$A, (MATCH(249, 輔助計算!$G$2:$G$801, 0)+1)), "")&lt;&gt;"", IFERROR(INDEX(ERP資料!$A:$A, (MATCH(249, 輔助計算!$G$2:$G$801, 0)+1)), "")&lt;&gt;IFERROR(INDEX(ERP資料!$A:$A, MATCH(248, 輔助計算!$G$2:$G$801, 0)+1), "")), IFERROR(INDEX(ERP資料!$A:$A, (MATCH(249, 輔助計算!$G$2:$G$801, 0)+1)), ""), ""), "")</f>
        <v/>
      </c>
      <c r="B250" s="10">
        <f>IFERROR(IF(AND(IFERROR(INDEX(ERP資料!$A:$A, (MATCH(249, 輔助計算!$G$2:$G$801, 0)+1)), "")&lt;&gt;"", IFERROR(INDEX(ERP資料!$A:$A, (MATCH(249, 輔助計算!$G$2:$G$801, 0)+1)), "")&lt;&gt;IFERROR(INDEX(ERP資料!$A:$A, MATCH(248, 輔助計算!$G$2:$G$801, 0)+1), "")), INDEX(ERP資料!$S:$S, (MATCH(249, 輔助計算!$G$2:$G$801, 0)+1)), ""), "")</f>
        <v/>
      </c>
      <c r="C250" s="19">
        <f>IFERROR(IF(AND(IFERROR(INDEX(ERP資料!$A:$A, (MATCH(249, 輔助計算!$G$2:$G$801, 0)+1)), "")&lt;&gt;"", IFERROR(INDEX(ERP資料!$A:$A, (MATCH(249, 輔助計算!$G$2:$G$801, 0)+1)), "")&lt;&gt;IFERROR(INDEX(ERP資料!$A:$A, MATCH(248, 輔助計算!$G$2:$G$801, 0)+1), "")), IFERROR(VLOOKUP(LEFT(INDEX(ERP資料!$S:$S, (MATCH(249, 輔助計算!$G$2:$G$801, 0)+1)), 4), 紙管對照表!$A:$C, 3, FALSE), ""), ""), "")</f>
        <v/>
      </c>
      <c r="D250" s="16" t="n"/>
      <c r="E250" s="10">
        <f>IFERROR(IF(INDEX(ERP資料!$H:$H, (MATCH(249, 輔助計算!$G$2:$G$801, 0)+1))="","",INDEX(ERP資料!$H:$H, (MATCH(249, 輔助計算!$G$2:$G$801, 0)+1))), "")</f>
        <v/>
      </c>
      <c r="F250" s="10">
        <f>IFERROR(IF(INDEX(ERP資料!$E:$E, (MATCH(249, 輔助計算!$G$2:$G$801, 0)+1))="","",TRIM(INDEX(ERP資料!$E:$E, (MATCH(249, 輔助計算!$G$2:$G$801, 0)+1)))), "")</f>
        <v/>
      </c>
      <c r="G250" s="10">
        <f>IFERROR(IF(INDEX(ERP資料!$F:$F, (MATCH(249, 輔助計算!$G$2:$G$801, 0)+1))="","",INDEX(ERP資料!$F:$F, (MATCH(249, 輔助計算!$G$2:$G$801, 0)+1))), "")</f>
        <v/>
      </c>
      <c r="H250" s="10">
        <f>IFERROR(IF(INDEX(ERP資料!$G:$G, (MATCH(249, 輔助計算!$G$2:$G$801, 0)+1))="","",INDEX(ERP資料!$G:$G, (MATCH(249, 輔助計算!$G$2:$G$801, 0)+1))), "")</f>
        <v/>
      </c>
      <c r="I250" s="15">
        <f>IFERROR(INDEX(輔助計算!$D:$D, (MATCH(249, 輔助計算!$G$2:$G$801, 0)+1)), "")</f>
        <v/>
      </c>
      <c r="J250" s="15">
        <f>IFERROR(IF(AND(INDEX(輔助計算!$D:$D, (MATCH(249, 輔助計算!$G$2:$G$801, 0)+1))&lt;&gt;"", INDEX(ERP資料!$G:$G, (MATCH(249, 輔助計算!$G$2:$G$801, 0)+1))&lt;&gt;""), TRIM(IF(INT(INDEX(輔助計算!$D:$D, (MATCH(249, 輔助計算!$G$2:$G$801, 0)+1))/IF(INDEX(ERP資料!$G:$G, (MATCH(249, 輔助計算!$G$2:$G$801, 0)+1))&lt;100, IF(INDEX(ERP資料!$G:$G, (MATCH(249, 輔助計算!$G$2:$G$801, 0)+1))&lt;=31,3,IF(INDEX(ERP資料!$G:$G, (MATCH(249, 輔助計算!$G$2:$G$801, 0)+1))&lt;=46.5,2,1)), IF(INDEX(ERP資料!$G:$G, (MATCH(249, 輔助計算!$G$2:$G$801, 0)+1))&lt;=790,3,IF(INDEX(ERP資料!$G:$G, (MATCH(249, 輔助計算!$G$2:$G$801, 0)+1))&lt;=1181,2,1))))&gt;0, IF(IF(INDEX(ERP資料!$G:$G, (MATCH(249, 輔助計算!$G$2:$G$801, 0)+1))&lt;100, IF(INDEX(ERP資料!$G:$G, (MATCH(249, 輔助計算!$G$2:$G$801, 0)+1))&lt;=31,3,IF(INDEX(ERP資料!$G:$G, (MATCH(249, 輔助計算!$G$2:$G$801, 0)+1))&lt;=46.5,2,1)), IF(INDEX(ERP資料!$G:$G, (MATCH(249, 輔助計算!$G$2:$G$801, 0)+1))&lt;=790,3,IF(INDEX(ERP資料!$G:$G, (MATCH(249, 輔助計算!$G$2:$G$801, 0)+1))&lt;=1181,2,1)))=1,TEXT(INDEX(ERP資料!$G:$G, (MATCH(249, 輔助計算!$G$2:$G$801, 0)+1)),"0.##"),IF(IF(INDEX(ERP資料!$G:$G, (MATCH(249, 輔助計算!$G$2:$G$801, 0)+1))&lt;100, IF(INDEX(ERP資料!$G:$G, (MATCH(249, 輔助計算!$G$2:$G$801, 0)+1))&lt;=31,3,IF(INDEX(ERP資料!$G:$G, (MATCH(249, 輔助計算!$G$2:$G$801, 0)+1))&lt;=46.5,2,1)), IF(INDEX(ERP資料!$G:$G, (MATCH(249, 輔助計算!$G$2:$G$801, 0)+1))&lt;=790,3,IF(INDEX(ERP資料!$G:$G, (MATCH(249, 輔助計算!$G$2:$G$801, 0)+1))&lt;=1181,2,1)))=2,TEXT(INDEX(ERP資料!$G:$G, (MATCH(249, 輔助計算!$G$2:$G$801, 0)+1)),"0.##")&amp;"+"&amp;TEXT(INDEX(ERP資料!$G:$G, (MATCH(249, 輔助計算!$G$2:$G$801, 0)+1)),"0.##"),TEXT(INDEX(ERP資料!$G:$G, (MATCH(249, 輔助計算!$G$2:$G$801, 0)+1)),"0.##")&amp;"+"&amp;TEXT(INDEX(ERP資料!$G:$G, (MATCH(249, 輔助計算!$G$2:$G$801, 0)+1)),"0.##")&amp;"+"&amp;TEXT(INDEX(ERP資料!$G:$G, (MATCH(249, 輔助計算!$G$2:$G$801, 0)+1)),"0.##")))&amp;"-"&amp;INT(INDEX(輔助計算!$D:$D, (MATCH(249, 輔助計算!$G$2:$G$801, 0)+1))/IF(INDEX(ERP資料!$G:$G, (MATCH(249, 輔助計算!$G$2:$G$801, 0)+1))&lt;100, IF(INDEX(ERP資料!$G:$G, (MATCH(249, 輔助計算!$G$2:$G$801, 0)+1))&lt;=31,3,IF(INDEX(ERP資料!$G:$G, (MATCH(249, 輔助計算!$G$2:$G$801, 0)+1))&lt;=46.5,2,1)), IF(INDEX(ERP資料!$G:$G, (MATCH(249, 輔助計算!$G$2:$G$801, 0)+1))&lt;=790,3,IF(INDEX(ERP資料!$G:$G, (MATCH(249, 輔助計算!$G$2:$G$801, 0)+1))&lt;=1181,2,1)))), "")&amp;IF(AND(IF(INT(INDEX(輔助計算!$D:$D, (MATCH(249, 輔助計算!$G$2:$G$801, 0)+1))/IF(INDEX(ERP資料!$G:$G, (MATCH(249, 輔助計算!$G$2:$G$801, 0)+1))&lt;100, IF(INDEX(ERP資料!$G:$G, (MATCH(249, 輔助計算!$G$2:$G$801, 0)+1))&lt;=31,3,IF(INDEX(ERP資料!$G:$G, (MATCH(249, 輔助計算!$G$2:$G$801, 0)+1))&lt;=46.5,2,1)), IF(INDEX(ERP資料!$G:$G, (MATCH(249, 輔助計算!$G$2:$G$801, 0)+1))&lt;=790,3,IF(INDEX(ERP資料!$G:$G, (MATCH(249, 輔助計算!$G$2:$G$801, 0)+1))&lt;=1181,2,1))))&gt;0, IF(IF(INDEX(ERP資料!$G:$G, (MATCH(249, 輔助計算!$G$2:$G$801, 0)+1))&lt;100, IF(INDEX(ERP資料!$G:$G, (MATCH(249, 輔助計算!$G$2:$G$801, 0)+1))&lt;=31,3,IF(INDEX(ERP資料!$G:$G, (MATCH(249, 輔助計算!$G$2:$G$801, 0)+1))&lt;=46.5,2,1)), IF(INDEX(ERP資料!$G:$G, (MATCH(249, 輔助計算!$G$2:$G$801, 0)+1))&lt;=790,3,IF(INDEX(ERP資料!$G:$G, (MATCH(249, 輔助計算!$G$2:$G$801, 0)+1))&lt;=1181,2,1)))=1,TEXT(INDEX(ERP資料!$G:$G, (MATCH(249, 輔助計算!$G$2:$G$801, 0)+1)),"0.##"),IF(IF(INDEX(ERP資料!$G:$G, (MATCH(249, 輔助計算!$G$2:$G$801, 0)+1))&lt;100, IF(INDEX(ERP資料!$G:$G, (MATCH(249, 輔助計算!$G$2:$G$801, 0)+1))&lt;=31,3,IF(INDEX(ERP資料!$G:$G, (MATCH(249, 輔助計算!$G$2:$G$801, 0)+1))&lt;=46.5,2,1)), IF(INDEX(ERP資料!$G:$G, (MATCH(249, 輔助計算!$G$2:$G$801, 0)+1))&lt;=790,3,IF(INDEX(ERP資料!$G:$G, (MATCH(249, 輔助計算!$G$2:$G$801, 0)+1))&lt;=1181,2,1)))=2,TEXT(INDEX(ERP資料!$G:$G, (MATCH(249, 輔助計算!$G$2:$G$801, 0)+1)),"0.##")&amp;"+"&amp;TEXT(INDEX(ERP資料!$G:$G, (MATCH(249, 輔助計算!$G$2:$G$801, 0)+1)),"0.##"),TEXT(INDEX(ERP資料!$G:$G, (MATCH(249, 輔助計算!$G$2:$G$801, 0)+1)),"0.##")&amp;"+"&amp;TEXT(INDEX(ERP資料!$G:$G, (MATCH(249, 輔助計算!$G$2:$G$801, 0)+1)),"0.##")&amp;"+"&amp;TEXT(INDEX(ERP資料!$G:$G, (MATCH(249, 輔助計算!$G$2:$G$801, 0)+1)),"0.##")))&amp;"-"&amp;INT(INDEX(輔助計算!$D:$D, (MATCH(249, 輔助計算!$G$2:$G$801, 0)+1))/IF(INDEX(ERP資料!$G:$G, (MATCH(249, 輔助計算!$G$2:$G$801, 0)+1))&lt;100, IF(INDEX(ERP資料!$G:$G, (MATCH(249, 輔助計算!$G$2:$G$801, 0)+1))&lt;=31,3,IF(INDEX(ERP資料!$G:$G, (MATCH(249, 輔助計算!$G$2:$G$801, 0)+1))&lt;=46.5,2,1)), IF(INDEX(ERP資料!$G:$G, (MATCH(249, 輔助計算!$G$2:$G$801, 0)+1))&lt;=790,3,IF(INDEX(ERP資料!$G:$G, (MATCH(249, 輔助計算!$G$2:$G$801, 0)+1))&lt;=1181,2,1)))), "")&lt;&gt;"",IF(MOD(INDEX(輔助計算!$D:$D, (MATCH(249, 輔助計算!$G$2:$G$801, 0)+1)),IF(INDEX(ERP資料!$G:$G, (MATCH(249, 輔助計算!$G$2:$G$801, 0)+1))&lt;100, IF(INDEX(ERP資料!$G:$G, (MATCH(249, 輔助計算!$G$2:$G$801, 0)+1))&lt;=31,3,IF(INDEX(ERP資料!$G:$G, (MATCH(249, 輔助計算!$G$2:$G$801, 0)+1))&lt;=46.5,2,1)), IF(INDEX(ERP資料!$G:$G, (MATCH(249, 輔助計算!$G$2:$G$801, 0)+1))&lt;=790,3,IF(INDEX(ERP資料!$G:$G, (MATCH(249, 輔助計算!$G$2:$G$801, 0)+1))&lt;=1181,2,1))))=0,"",IF(MOD(INDEX(輔助計算!$D:$D, (MATCH(249, 輔助計算!$G$2:$G$801, 0)+1)),IF(INDEX(ERP資料!$G:$G, (MATCH(249, 輔助計算!$G$2:$G$801, 0)+1))&lt;100, IF(INDEX(ERP資料!$G:$G, (MATCH(249, 輔助計算!$G$2:$G$801, 0)+1))&lt;=31,3,IF(INDEX(ERP資料!$G:$G, (MATCH(249, 輔助計算!$G$2:$G$801, 0)+1))&lt;=46.5,2,1)), IF(INDEX(ERP資料!$G:$G, (MATCH(249, 輔助計算!$G$2:$G$801, 0)+1))&lt;=790,3,IF(INDEX(ERP資料!$G:$G, (MATCH(249, 輔助計算!$G$2:$G$801, 0)+1))&lt;=1181,2,1))))=0,"",IF(MOD(INDEX(輔助計算!$D:$D, (MATCH(249, 輔助計算!$G$2:$G$801, 0)+1)),IF(INDEX(ERP資料!$G:$G, (MATCH(249, 輔助計算!$G$2:$G$801, 0)+1))&lt;100, IF(INDEX(ERP資料!$G:$G, (MATCH(249, 輔助計算!$G$2:$G$801, 0)+1))&lt;=31,3,IF(INDEX(ERP資料!$G:$G, (MATCH(249, 輔助計算!$G$2:$G$801, 0)+1))&lt;=46.5,2,1)), IF(INDEX(ERP資料!$G:$G, (MATCH(249, 輔助計算!$G$2:$G$801, 0)+1))&lt;=790,3,IF(INDEX(ERP資料!$G:$G, (MATCH(249, 輔助計算!$G$2:$G$801, 0)+1))&lt;=1181,2,1))))=1,TEXT(INDEX(ERP資料!$G:$G, (MATCH(249, 輔助計算!$G$2:$G$801, 0)+1)),"0.##"),IF(MOD(INDEX(輔助計算!$D:$D, (MATCH(249, 輔助計算!$G$2:$G$801, 0)+1)),IF(INDEX(ERP資料!$G:$G, (MATCH(249, 輔助計算!$G$2:$G$801, 0)+1))&lt;100, IF(INDEX(ERP資料!$G:$G, (MATCH(249, 輔助計算!$G$2:$G$801, 0)+1))&lt;=31,3,IF(INDEX(ERP資料!$G:$G, (MATCH(249, 輔助計算!$G$2:$G$801, 0)+1))&lt;=46.5,2,1)), IF(INDEX(ERP資料!$G:$G, (MATCH(249, 輔助計算!$G$2:$G$801, 0)+1))&lt;=790,3,IF(INDEX(ERP資料!$G:$G, (MATCH(249, 輔助計算!$G$2:$G$801, 0)+1))&lt;=1181,2,1))))=2,TEXT(INDEX(ERP資料!$G:$G, (MATCH(249, 輔助計算!$G$2:$G$801, 0)+1)),"0.##")&amp;"+"&amp;TEXT(INDEX(ERP資料!$G:$G, (MATCH(249, 輔助計算!$G$2:$G$801, 0)+1)),"0.##"),TEXT(INDEX(ERP資料!$G:$G, (MATCH(249, 輔助計算!$G$2:$G$801, 0)+1)),"0.##")&amp;"+"&amp;TEXT(INDEX(ERP資料!$G:$G, (MATCH(249, 輔助計算!$G$2:$G$801, 0)+1)),"0.##")&amp;"+"&amp;TEXT(INDEX(ERP資料!$G:$G, (MATCH(249, 輔助計算!$G$2:$G$801, 0)+1)),"0.##"))))&amp;"-1")&lt;&gt;""),"  ","")&amp;IF(MOD(INDEX(輔助計算!$D:$D, (MATCH(249, 輔助計算!$G$2:$G$801, 0)+1)),IF(INDEX(ERP資料!$G:$G, (MATCH(249, 輔助計算!$G$2:$G$801, 0)+1))&lt;100, IF(INDEX(ERP資料!$G:$G, (MATCH(249, 輔助計算!$G$2:$G$801, 0)+1))&lt;=31,3,IF(INDEX(ERP資料!$G:$G, (MATCH(249, 輔助計算!$G$2:$G$801, 0)+1))&lt;=46.5,2,1)), IF(INDEX(ERP資料!$G:$G, (MATCH(249, 輔助計算!$G$2:$G$801, 0)+1))&lt;=790,3,IF(INDEX(ERP資料!$G:$G, (MATCH(249, 輔助計算!$G$2:$G$801, 0)+1))&lt;=1181,2,1))))=0,"",IF(MOD(INDEX(輔助計算!$D:$D, (MATCH(249, 輔助計算!$G$2:$G$801, 0)+1)),IF(INDEX(ERP資料!$G:$G, (MATCH(249, 輔助計算!$G$2:$G$801, 0)+1))&lt;100, IF(INDEX(ERP資料!$G:$G, (MATCH(249, 輔助計算!$G$2:$G$801, 0)+1))&lt;=31,3,IF(INDEX(ERP資料!$G:$G, (MATCH(249, 輔助計算!$G$2:$G$801, 0)+1))&lt;=46.5,2,1)), IF(INDEX(ERP資料!$G:$G, (MATCH(249, 輔助計算!$G$2:$G$801, 0)+1))&lt;=790,3,IF(INDEX(ERP資料!$G:$G, (MATCH(249, 輔助計算!$G$2:$G$801, 0)+1))&lt;=1181,2,1))))=0,"",IF(MOD(INDEX(輔助計算!$D:$D, (MATCH(249, 輔助計算!$G$2:$G$801, 0)+1)),IF(INDEX(ERP資料!$G:$G, (MATCH(249, 輔助計算!$G$2:$G$801, 0)+1))&lt;100, IF(INDEX(ERP資料!$G:$G, (MATCH(249, 輔助計算!$G$2:$G$801, 0)+1))&lt;=31,3,IF(INDEX(ERP資料!$G:$G, (MATCH(249, 輔助計算!$G$2:$G$801, 0)+1))&lt;=46.5,2,1)), IF(INDEX(ERP資料!$G:$G, (MATCH(249, 輔助計算!$G$2:$G$801, 0)+1))&lt;=790,3,IF(INDEX(ERP資料!$G:$G, (MATCH(249, 輔助計算!$G$2:$G$801, 0)+1))&lt;=1181,2,1))))=1,TEXT(INDEX(ERP資料!$G:$G, (MATCH(249, 輔助計算!$G$2:$G$801, 0)+1)),"0.##"),IF(MOD(INDEX(輔助計算!$D:$D, (MATCH(249, 輔助計算!$G$2:$G$801, 0)+1)),IF(INDEX(ERP資料!$G:$G, (MATCH(249, 輔助計算!$G$2:$G$801, 0)+1))&lt;100, IF(INDEX(ERP資料!$G:$G, (MATCH(249, 輔助計算!$G$2:$G$801, 0)+1))&lt;=31,3,IF(INDEX(ERP資料!$G:$G, (MATCH(249, 輔助計算!$G$2:$G$801, 0)+1))&lt;=46.5,2,1)), IF(INDEX(ERP資料!$G:$G, (MATCH(249, 輔助計算!$G$2:$G$801, 0)+1))&lt;=790,3,IF(INDEX(ERP資料!$G:$G, (MATCH(249, 輔助計算!$G$2:$G$801, 0)+1))&lt;=1181,2,1))))=2,TEXT(INDEX(ERP資料!$G:$G, (MATCH(249, 輔助計算!$G$2:$G$801, 0)+1)),"0.##")&amp;"+"&amp;TEXT(INDEX(ERP資料!$G:$G, (MATCH(249, 輔助計算!$G$2:$G$801, 0)+1)),"0.##"),TEXT(INDEX(ERP資料!$G:$G, (MATCH(249, 輔助計算!$G$2:$G$801, 0)+1)),"0.##")&amp;"+"&amp;TEXT(INDEX(ERP資料!$G:$G, (MATCH(249, 輔助計算!$G$2:$G$801, 0)+1)),"0.##")&amp;"+"&amp;TEXT(INDEX(ERP資料!$G:$G, (MATCH(249, 輔助計算!$G$2:$G$801, 0)+1)),"0.##"))))&amp;"-1")), ""), "")</f>
        <v/>
      </c>
      <c r="K250" s="16" t="n"/>
      <c r="L250" s="14">
        <f>IFERROR(IF(AND(IFERROR(INDEX(ERP資料!$A:$A, (MATCH(249, 輔助計算!$G$2:$G$801, 0)+1)), "")&lt;&gt;"", IFERROR(INDEX(ERP資料!$A:$A, (MATCH(249, 輔助計算!$G$2:$G$801, 0)+1)), "")&lt;&gt;IFERROR(INDEX(ERP資料!$A:$A, MATCH(248, 輔助計算!$G$2:$G$801, 0)+1), "")), INDEX(ERP資料!$B:$B, (MATCH(249, 輔助計算!$G$2:$G$801, 0)+1)), ""), "")</f>
        <v/>
      </c>
      <c r="M250" s="17" t="n"/>
    </row>
    <row r="251">
      <c r="A251" s="10">
        <f>IFERROR(IF(AND(IFERROR(INDEX(ERP資料!$A:$A, (MATCH(250, 輔助計算!$G$2:$G$801, 0)+1)), "")&lt;&gt;"", IFERROR(INDEX(ERP資料!$A:$A, (MATCH(250, 輔助計算!$G$2:$G$801, 0)+1)), "")&lt;&gt;IFERROR(INDEX(ERP資料!$A:$A, MATCH(249, 輔助計算!$G$2:$G$801, 0)+1), "")), IFERROR(INDEX(ERP資料!$A:$A, (MATCH(250, 輔助計算!$G$2:$G$801, 0)+1)), ""), ""), "")</f>
        <v/>
      </c>
      <c r="B251" s="10">
        <f>IFERROR(IF(AND(IFERROR(INDEX(ERP資料!$A:$A, (MATCH(250, 輔助計算!$G$2:$G$801, 0)+1)), "")&lt;&gt;"", IFERROR(INDEX(ERP資料!$A:$A, (MATCH(250, 輔助計算!$G$2:$G$801, 0)+1)), "")&lt;&gt;IFERROR(INDEX(ERP資料!$A:$A, MATCH(249, 輔助計算!$G$2:$G$801, 0)+1), "")), INDEX(ERP資料!$S:$S, (MATCH(250, 輔助計算!$G$2:$G$801, 0)+1)), ""), "")</f>
        <v/>
      </c>
      <c r="C251" s="19">
        <f>IFERROR(IF(AND(IFERROR(INDEX(ERP資料!$A:$A, (MATCH(250, 輔助計算!$G$2:$G$801, 0)+1)), "")&lt;&gt;"", IFERROR(INDEX(ERP資料!$A:$A, (MATCH(250, 輔助計算!$G$2:$G$801, 0)+1)), "")&lt;&gt;IFERROR(INDEX(ERP資料!$A:$A, MATCH(249, 輔助計算!$G$2:$G$801, 0)+1), "")), IFERROR(VLOOKUP(LEFT(INDEX(ERP資料!$S:$S, (MATCH(250, 輔助計算!$G$2:$G$801, 0)+1)), 4), 紙管對照表!$A:$C, 3, FALSE), ""), ""), "")</f>
        <v/>
      </c>
      <c r="D251" s="16" t="n"/>
      <c r="E251" s="10">
        <f>IFERROR(IF(INDEX(ERP資料!$H:$H, (MATCH(250, 輔助計算!$G$2:$G$801, 0)+1))="","",INDEX(ERP資料!$H:$H, (MATCH(250, 輔助計算!$G$2:$G$801, 0)+1))), "")</f>
        <v/>
      </c>
      <c r="F251" s="10">
        <f>IFERROR(IF(INDEX(ERP資料!$E:$E, (MATCH(250, 輔助計算!$G$2:$G$801, 0)+1))="","",TRIM(INDEX(ERP資料!$E:$E, (MATCH(250, 輔助計算!$G$2:$G$801, 0)+1)))), "")</f>
        <v/>
      </c>
      <c r="G251" s="10">
        <f>IFERROR(IF(INDEX(ERP資料!$F:$F, (MATCH(250, 輔助計算!$G$2:$G$801, 0)+1))="","",INDEX(ERP資料!$F:$F, (MATCH(250, 輔助計算!$G$2:$G$801, 0)+1))), "")</f>
        <v/>
      </c>
      <c r="H251" s="10">
        <f>IFERROR(IF(INDEX(ERP資料!$G:$G, (MATCH(250, 輔助計算!$G$2:$G$801, 0)+1))="","",INDEX(ERP資料!$G:$G, (MATCH(250, 輔助計算!$G$2:$G$801, 0)+1))), "")</f>
        <v/>
      </c>
      <c r="I251" s="15">
        <f>IFERROR(INDEX(輔助計算!$D:$D, (MATCH(250, 輔助計算!$G$2:$G$801, 0)+1)), "")</f>
        <v/>
      </c>
      <c r="J251" s="15">
        <f>IFERROR(IF(AND(INDEX(輔助計算!$D:$D, (MATCH(250, 輔助計算!$G$2:$G$801, 0)+1))&lt;&gt;"", INDEX(ERP資料!$G:$G, (MATCH(250, 輔助計算!$G$2:$G$801, 0)+1))&lt;&gt;""), TRIM(IF(INT(INDEX(輔助計算!$D:$D, (MATCH(250, 輔助計算!$G$2:$G$801, 0)+1))/IF(INDEX(ERP資料!$G:$G, (MATCH(250, 輔助計算!$G$2:$G$801, 0)+1))&lt;100, IF(INDEX(ERP資料!$G:$G, (MATCH(250, 輔助計算!$G$2:$G$801, 0)+1))&lt;=31,3,IF(INDEX(ERP資料!$G:$G, (MATCH(250, 輔助計算!$G$2:$G$801, 0)+1))&lt;=46.5,2,1)), IF(INDEX(ERP資料!$G:$G, (MATCH(250, 輔助計算!$G$2:$G$801, 0)+1))&lt;=790,3,IF(INDEX(ERP資料!$G:$G, (MATCH(250, 輔助計算!$G$2:$G$801, 0)+1))&lt;=1181,2,1))))&gt;0, IF(IF(INDEX(ERP資料!$G:$G, (MATCH(250, 輔助計算!$G$2:$G$801, 0)+1))&lt;100, IF(INDEX(ERP資料!$G:$G, (MATCH(250, 輔助計算!$G$2:$G$801, 0)+1))&lt;=31,3,IF(INDEX(ERP資料!$G:$G, (MATCH(250, 輔助計算!$G$2:$G$801, 0)+1))&lt;=46.5,2,1)), IF(INDEX(ERP資料!$G:$G, (MATCH(250, 輔助計算!$G$2:$G$801, 0)+1))&lt;=790,3,IF(INDEX(ERP資料!$G:$G, (MATCH(250, 輔助計算!$G$2:$G$801, 0)+1))&lt;=1181,2,1)))=1,TEXT(INDEX(ERP資料!$G:$G, (MATCH(250, 輔助計算!$G$2:$G$801, 0)+1)),"0.##"),IF(IF(INDEX(ERP資料!$G:$G, (MATCH(250, 輔助計算!$G$2:$G$801, 0)+1))&lt;100, IF(INDEX(ERP資料!$G:$G, (MATCH(250, 輔助計算!$G$2:$G$801, 0)+1))&lt;=31,3,IF(INDEX(ERP資料!$G:$G, (MATCH(250, 輔助計算!$G$2:$G$801, 0)+1))&lt;=46.5,2,1)), IF(INDEX(ERP資料!$G:$G, (MATCH(250, 輔助計算!$G$2:$G$801, 0)+1))&lt;=790,3,IF(INDEX(ERP資料!$G:$G, (MATCH(250, 輔助計算!$G$2:$G$801, 0)+1))&lt;=1181,2,1)))=2,TEXT(INDEX(ERP資料!$G:$G, (MATCH(250, 輔助計算!$G$2:$G$801, 0)+1)),"0.##")&amp;"+"&amp;TEXT(INDEX(ERP資料!$G:$G, (MATCH(250, 輔助計算!$G$2:$G$801, 0)+1)),"0.##"),TEXT(INDEX(ERP資料!$G:$G, (MATCH(250, 輔助計算!$G$2:$G$801, 0)+1)),"0.##")&amp;"+"&amp;TEXT(INDEX(ERP資料!$G:$G, (MATCH(250, 輔助計算!$G$2:$G$801, 0)+1)),"0.##")&amp;"+"&amp;TEXT(INDEX(ERP資料!$G:$G, (MATCH(250, 輔助計算!$G$2:$G$801, 0)+1)),"0.##")))&amp;"-"&amp;INT(INDEX(輔助計算!$D:$D, (MATCH(250, 輔助計算!$G$2:$G$801, 0)+1))/IF(INDEX(ERP資料!$G:$G, (MATCH(250, 輔助計算!$G$2:$G$801, 0)+1))&lt;100, IF(INDEX(ERP資料!$G:$G, (MATCH(250, 輔助計算!$G$2:$G$801, 0)+1))&lt;=31,3,IF(INDEX(ERP資料!$G:$G, (MATCH(250, 輔助計算!$G$2:$G$801, 0)+1))&lt;=46.5,2,1)), IF(INDEX(ERP資料!$G:$G, (MATCH(250, 輔助計算!$G$2:$G$801, 0)+1))&lt;=790,3,IF(INDEX(ERP資料!$G:$G, (MATCH(250, 輔助計算!$G$2:$G$801, 0)+1))&lt;=1181,2,1)))), "")&amp;IF(AND(IF(INT(INDEX(輔助計算!$D:$D, (MATCH(250, 輔助計算!$G$2:$G$801, 0)+1))/IF(INDEX(ERP資料!$G:$G, (MATCH(250, 輔助計算!$G$2:$G$801, 0)+1))&lt;100, IF(INDEX(ERP資料!$G:$G, (MATCH(250, 輔助計算!$G$2:$G$801, 0)+1))&lt;=31,3,IF(INDEX(ERP資料!$G:$G, (MATCH(250, 輔助計算!$G$2:$G$801, 0)+1))&lt;=46.5,2,1)), IF(INDEX(ERP資料!$G:$G, (MATCH(250, 輔助計算!$G$2:$G$801, 0)+1))&lt;=790,3,IF(INDEX(ERP資料!$G:$G, (MATCH(250, 輔助計算!$G$2:$G$801, 0)+1))&lt;=1181,2,1))))&gt;0, IF(IF(INDEX(ERP資料!$G:$G, (MATCH(250, 輔助計算!$G$2:$G$801, 0)+1))&lt;100, IF(INDEX(ERP資料!$G:$G, (MATCH(250, 輔助計算!$G$2:$G$801, 0)+1))&lt;=31,3,IF(INDEX(ERP資料!$G:$G, (MATCH(250, 輔助計算!$G$2:$G$801, 0)+1))&lt;=46.5,2,1)), IF(INDEX(ERP資料!$G:$G, (MATCH(250, 輔助計算!$G$2:$G$801, 0)+1))&lt;=790,3,IF(INDEX(ERP資料!$G:$G, (MATCH(250, 輔助計算!$G$2:$G$801, 0)+1))&lt;=1181,2,1)))=1,TEXT(INDEX(ERP資料!$G:$G, (MATCH(250, 輔助計算!$G$2:$G$801, 0)+1)),"0.##"),IF(IF(INDEX(ERP資料!$G:$G, (MATCH(250, 輔助計算!$G$2:$G$801, 0)+1))&lt;100, IF(INDEX(ERP資料!$G:$G, (MATCH(250, 輔助計算!$G$2:$G$801, 0)+1))&lt;=31,3,IF(INDEX(ERP資料!$G:$G, (MATCH(250, 輔助計算!$G$2:$G$801, 0)+1))&lt;=46.5,2,1)), IF(INDEX(ERP資料!$G:$G, (MATCH(250, 輔助計算!$G$2:$G$801, 0)+1))&lt;=790,3,IF(INDEX(ERP資料!$G:$G, (MATCH(250, 輔助計算!$G$2:$G$801, 0)+1))&lt;=1181,2,1)))=2,TEXT(INDEX(ERP資料!$G:$G, (MATCH(250, 輔助計算!$G$2:$G$801, 0)+1)),"0.##")&amp;"+"&amp;TEXT(INDEX(ERP資料!$G:$G, (MATCH(250, 輔助計算!$G$2:$G$801, 0)+1)),"0.##"),TEXT(INDEX(ERP資料!$G:$G, (MATCH(250, 輔助計算!$G$2:$G$801, 0)+1)),"0.##")&amp;"+"&amp;TEXT(INDEX(ERP資料!$G:$G, (MATCH(250, 輔助計算!$G$2:$G$801, 0)+1)),"0.##")&amp;"+"&amp;TEXT(INDEX(ERP資料!$G:$G, (MATCH(250, 輔助計算!$G$2:$G$801, 0)+1)),"0.##")))&amp;"-"&amp;INT(INDEX(輔助計算!$D:$D, (MATCH(250, 輔助計算!$G$2:$G$801, 0)+1))/IF(INDEX(ERP資料!$G:$G, (MATCH(250, 輔助計算!$G$2:$G$801, 0)+1))&lt;100, IF(INDEX(ERP資料!$G:$G, (MATCH(250, 輔助計算!$G$2:$G$801, 0)+1))&lt;=31,3,IF(INDEX(ERP資料!$G:$G, (MATCH(250, 輔助計算!$G$2:$G$801, 0)+1))&lt;=46.5,2,1)), IF(INDEX(ERP資料!$G:$G, (MATCH(250, 輔助計算!$G$2:$G$801, 0)+1))&lt;=790,3,IF(INDEX(ERP資料!$G:$G, (MATCH(250, 輔助計算!$G$2:$G$801, 0)+1))&lt;=1181,2,1)))), "")&lt;&gt;"",IF(MOD(INDEX(輔助計算!$D:$D, (MATCH(250, 輔助計算!$G$2:$G$801, 0)+1)),IF(INDEX(ERP資料!$G:$G, (MATCH(250, 輔助計算!$G$2:$G$801, 0)+1))&lt;100, IF(INDEX(ERP資料!$G:$G, (MATCH(250, 輔助計算!$G$2:$G$801, 0)+1))&lt;=31,3,IF(INDEX(ERP資料!$G:$G, (MATCH(250, 輔助計算!$G$2:$G$801, 0)+1))&lt;=46.5,2,1)), IF(INDEX(ERP資料!$G:$G, (MATCH(250, 輔助計算!$G$2:$G$801, 0)+1))&lt;=790,3,IF(INDEX(ERP資料!$G:$G, (MATCH(250, 輔助計算!$G$2:$G$801, 0)+1))&lt;=1181,2,1))))=0,"",IF(MOD(INDEX(輔助計算!$D:$D, (MATCH(250, 輔助計算!$G$2:$G$801, 0)+1)),IF(INDEX(ERP資料!$G:$G, (MATCH(250, 輔助計算!$G$2:$G$801, 0)+1))&lt;100, IF(INDEX(ERP資料!$G:$G, (MATCH(250, 輔助計算!$G$2:$G$801, 0)+1))&lt;=31,3,IF(INDEX(ERP資料!$G:$G, (MATCH(250, 輔助計算!$G$2:$G$801, 0)+1))&lt;=46.5,2,1)), IF(INDEX(ERP資料!$G:$G, (MATCH(250, 輔助計算!$G$2:$G$801, 0)+1))&lt;=790,3,IF(INDEX(ERP資料!$G:$G, (MATCH(250, 輔助計算!$G$2:$G$801, 0)+1))&lt;=1181,2,1))))=0,"",IF(MOD(INDEX(輔助計算!$D:$D, (MATCH(250, 輔助計算!$G$2:$G$801, 0)+1)),IF(INDEX(ERP資料!$G:$G, (MATCH(250, 輔助計算!$G$2:$G$801, 0)+1))&lt;100, IF(INDEX(ERP資料!$G:$G, (MATCH(250, 輔助計算!$G$2:$G$801, 0)+1))&lt;=31,3,IF(INDEX(ERP資料!$G:$G, (MATCH(250, 輔助計算!$G$2:$G$801, 0)+1))&lt;=46.5,2,1)), IF(INDEX(ERP資料!$G:$G, (MATCH(250, 輔助計算!$G$2:$G$801, 0)+1))&lt;=790,3,IF(INDEX(ERP資料!$G:$G, (MATCH(250, 輔助計算!$G$2:$G$801, 0)+1))&lt;=1181,2,1))))=1,TEXT(INDEX(ERP資料!$G:$G, (MATCH(250, 輔助計算!$G$2:$G$801, 0)+1)),"0.##"),IF(MOD(INDEX(輔助計算!$D:$D, (MATCH(250, 輔助計算!$G$2:$G$801, 0)+1)),IF(INDEX(ERP資料!$G:$G, (MATCH(250, 輔助計算!$G$2:$G$801, 0)+1))&lt;100, IF(INDEX(ERP資料!$G:$G, (MATCH(250, 輔助計算!$G$2:$G$801, 0)+1))&lt;=31,3,IF(INDEX(ERP資料!$G:$G, (MATCH(250, 輔助計算!$G$2:$G$801, 0)+1))&lt;=46.5,2,1)), IF(INDEX(ERP資料!$G:$G, (MATCH(250, 輔助計算!$G$2:$G$801, 0)+1))&lt;=790,3,IF(INDEX(ERP資料!$G:$G, (MATCH(250, 輔助計算!$G$2:$G$801, 0)+1))&lt;=1181,2,1))))=2,TEXT(INDEX(ERP資料!$G:$G, (MATCH(250, 輔助計算!$G$2:$G$801, 0)+1)),"0.##")&amp;"+"&amp;TEXT(INDEX(ERP資料!$G:$G, (MATCH(250, 輔助計算!$G$2:$G$801, 0)+1)),"0.##"),TEXT(INDEX(ERP資料!$G:$G, (MATCH(250, 輔助計算!$G$2:$G$801, 0)+1)),"0.##")&amp;"+"&amp;TEXT(INDEX(ERP資料!$G:$G, (MATCH(250, 輔助計算!$G$2:$G$801, 0)+1)),"0.##")&amp;"+"&amp;TEXT(INDEX(ERP資料!$G:$G, (MATCH(250, 輔助計算!$G$2:$G$801, 0)+1)),"0.##"))))&amp;"-1")&lt;&gt;""),"  ","")&amp;IF(MOD(INDEX(輔助計算!$D:$D, (MATCH(250, 輔助計算!$G$2:$G$801, 0)+1)),IF(INDEX(ERP資料!$G:$G, (MATCH(250, 輔助計算!$G$2:$G$801, 0)+1))&lt;100, IF(INDEX(ERP資料!$G:$G, (MATCH(250, 輔助計算!$G$2:$G$801, 0)+1))&lt;=31,3,IF(INDEX(ERP資料!$G:$G, (MATCH(250, 輔助計算!$G$2:$G$801, 0)+1))&lt;=46.5,2,1)), IF(INDEX(ERP資料!$G:$G, (MATCH(250, 輔助計算!$G$2:$G$801, 0)+1))&lt;=790,3,IF(INDEX(ERP資料!$G:$G, (MATCH(250, 輔助計算!$G$2:$G$801, 0)+1))&lt;=1181,2,1))))=0,"",IF(MOD(INDEX(輔助計算!$D:$D, (MATCH(250, 輔助計算!$G$2:$G$801, 0)+1)),IF(INDEX(ERP資料!$G:$G, (MATCH(250, 輔助計算!$G$2:$G$801, 0)+1))&lt;100, IF(INDEX(ERP資料!$G:$G, (MATCH(250, 輔助計算!$G$2:$G$801, 0)+1))&lt;=31,3,IF(INDEX(ERP資料!$G:$G, (MATCH(250, 輔助計算!$G$2:$G$801, 0)+1))&lt;=46.5,2,1)), IF(INDEX(ERP資料!$G:$G, (MATCH(250, 輔助計算!$G$2:$G$801, 0)+1))&lt;=790,3,IF(INDEX(ERP資料!$G:$G, (MATCH(250, 輔助計算!$G$2:$G$801, 0)+1))&lt;=1181,2,1))))=0,"",IF(MOD(INDEX(輔助計算!$D:$D, (MATCH(250, 輔助計算!$G$2:$G$801, 0)+1)),IF(INDEX(ERP資料!$G:$G, (MATCH(250, 輔助計算!$G$2:$G$801, 0)+1))&lt;100, IF(INDEX(ERP資料!$G:$G, (MATCH(250, 輔助計算!$G$2:$G$801, 0)+1))&lt;=31,3,IF(INDEX(ERP資料!$G:$G, (MATCH(250, 輔助計算!$G$2:$G$801, 0)+1))&lt;=46.5,2,1)), IF(INDEX(ERP資料!$G:$G, (MATCH(250, 輔助計算!$G$2:$G$801, 0)+1))&lt;=790,3,IF(INDEX(ERP資料!$G:$G, (MATCH(250, 輔助計算!$G$2:$G$801, 0)+1))&lt;=1181,2,1))))=1,TEXT(INDEX(ERP資料!$G:$G, (MATCH(250, 輔助計算!$G$2:$G$801, 0)+1)),"0.##"),IF(MOD(INDEX(輔助計算!$D:$D, (MATCH(250, 輔助計算!$G$2:$G$801, 0)+1)),IF(INDEX(ERP資料!$G:$G, (MATCH(250, 輔助計算!$G$2:$G$801, 0)+1))&lt;100, IF(INDEX(ERP資料!$G:$G, (MATCH(250, 輔助計算!$G$2:$G$801, 0)+1))&lt;=31,3,IF(INDEX(ERP資料!$G:$G, (MATCH(250, 輔助計算!$G$2:$G$801, 0)+1))&lt;=46.5,2,1)), IF(INDEX(ERP資料!$G:$G, (MATCH(250, 輔助計算!$G$2:$G$801, 0)+1))&lt;=790,3,IF(INDEX(ERP資料!$G:$G, (MATCH(250, 輔助計算!$G$2:$G$801, 0)+1))&lt;=1181,2,1))))=2,TEXT(INDEX(ERP資料!$G:$G, (MATCH(250, 輔助計算!$G$2:$G$801, 0)+1)),"0.##")&amp;"+"&amp;TEXT(INDEX(ERP資料!$G:$G, (MATCH(250, 輔助計算!$G$2:$G$801, 0)+1)),"0.##"),TEXT(INDEX(ERP資料!$G:$G, (MATCH(250, 輔助計算!$G$2:$G$801, 0)+1)),"0.##")&amp;"+"&amp;TEXT(INDEX(ERP資料!$G:$G, (MATCH(250, 輔助計算!$G$2:$G$801, 0)+1)),"0.##")&amp;"+"&amp;TEXT(INDEX(ERP資料!$G:$G, (MATCH(250, 輔助計算!$G$2:$G$801, 0)+1)),"0.##"))))&amp;"-1")), ""), "")</f>
        <v/>
      </c>
      <c r="K251" s="16" t="n"/>
      <c r="L251" s="14">
        <f>IFERROR(IF(AND(IFERROR(INDEX(ERP資料!$A:$A, (MATCH(250, 輔助計算!$G$2:$G$801, 0)+1)), "")&lt;&gt;"", IFERROR(INDEX(ERP資料!$A:$A, (MATCH(250, 輔助計算!$G$2:$G$801, 0)+1)), "")&lt;&gt;IFERROR(INDEX(ERP資料!$A:$A, MATCH(249, 輔助計算!$G$2:$G$801, 0)+1), "")), INDEX(ERP資料!$B:$B, (MATCH(250, 輔助計算!$G$2:$G$801, 0)+1)), ""), "")</f>
        <v/>
      </c>
      <c r="M251" s="17" t="n"/>
    </row>
    <row r="252">
      <c r="A252" s="10">
        <f>IFERROR(IF(AND(IFERROR(INDEX(ERP資料!$A:$A, (MATCH(251, 輔助計算!$G$2:$G$801, 0)+1)), "")&lt;&gt;"", IFERROR(INDEX(ERP資料!$A:$A, (MATCH(251, 輔助計算!$G$2:$G$801, 0)+1)), "")&lt;&gt;IFERROR(INDEX(ERP資料!$A:$A, MATCH(250, 輔助計算!$G$2:$G$801, 0)+1), "")), IFERROR(INDEX(ERP資料!$A:$A, (MATCH(251, 輔助計算!$G$2:$G$801, 0)+1)), ""), ""), "")</f>
        <v/>
      </c>
      <c r="B252" s="10">
        <f>IFERROR(IF(AND(IFERROR(INDEX(ERP資料!$A:$A, (MATCH(251, 輔助計算!$G$2:$G$801, 0)+1)), "")&lt;&gt;"", IFERROR(INDEX(ERP資料!$A:$A, (MATCH(251, 輔助計算!$G$2:$G$801, 0)+1)), "")&lt;&gt;IFERROR(INDEX(ERP資料!$A:$A, MATCH(250, 輔助計算!$G$2:$G$801, 0)+1), "")), INDEX(ERP資料!$S:$S, (MATCH(251, 輔助計算!$G$2:$G$801, 0)+1)), ""), "")</f>
        <v/>
      </c>
      <c r="C252" s="19">
        <f>IFERROR(IF(AND(IFERROR(INDEX(ERP資料!$A:$A, (MATCH(251, 輔助計算!$G$2:$G$801, 0)+1)), "")&lt;&gt;"", IFERROR(INDEX(ERP資料!$A:$A, (MATCH(251, 輔助計算!$G$2:$G$801, 0)+1)), "")&lt;&gt;IFERROR(INDEX(ERP資料!$A:$A, MATCH(250, 輔助計算!$G$2:$G$801, 0)+1), "")), IFERROR(VLOOKUP(LEFT(INDEX(ERP資料!$S:$S, (MATCH(251, 輔助計算!$G$2:$G$801, 0)+1)), 4), 紙管對照表!$A:$C, 3, FALSE), ""), ""), "")</f>
        <v/>
      </c>
      <c r="D252" s="16" t="n"/>
      <c r="E252" s="10">
        <f>IFERROR(IF(INDEX(ERP資料!$H:$H, (MATCH(251, 輔助計算!$G$2:$G$801, 0)+1))="","",INDEX(ERP資料!$H:$H, (MATCH(251, 輔助計算!$G$2:$G$801, 0)+1))), "")</f>
        <v/>
      </c>
      <c r="F252" s="10">
        <f>IFERROR(IF(INDEX(ERP資料!$E:$E, (MATCH(251, 輔助計算!$G$2:$G$801, 0)+1))="","",TRIM(INDEX(ERP資料!$E:$E, (MATCH(251, 輔助計算!$G$2:$G$801, 0)+1)))), "")</f>
        <v/>
      </c>
      <c r="G252" s="10">
        <f>IFERROR(IF(INDEX(ERP資料!$F:$F, (MATCH(251, 輔助計算!$G$2:$G$801, 0)+1))="","",INDEX(ERP資料!$F:$F, (MATCH(251, 輔助計算!$G$2:$G$801, 0)+1))), "")</f>
        <v/>
      </c>
      <c r="H252" s="10">
        <f>IFERROR(IF(INDEX(ERP資料!$G:$G, (MATCH(251, 輔助計算!$G$2:$G$801, 0)+1))="","",INDEX(ERP資料!$G:$G, (MATCH(251, 輔助計算!$G$2:$G$801, 0)+1))), "")</f>
        <v/>
      </c>
      <c r="I252" s="15">
        <f>IFERROR(INDEX(輔助計算!$D:$D, (MATCH(251, 輔助計算!$G$2:$G$801, 0)+1)), "")</f>
        <v/>
      </c>
      <c r="J252" s="15">
        <f>IFERROR(IF(AND(INDEX(輔助計算!$D:$D, (MATCH(251, 輔助計算!$G$2:$G$801, 0)+1))&lt;&gt;"", INDEX(ERP資料!$G:$G, (MATCH(251, 輔助計算!$G$2:$G$801, 0)+1))&lt;&gt;""), TRIM(IF(INT(INDEX(輔助計算!$D:$D, (MATCH(251, 輔助計算!$G$2:$G$801, 0)+1))/IF(INDEX(ERP資料!$G:$G, (MATCH(251, 輔助計算!$G$2:$G$801, 0)+1))&lt;100, IF(INDEX(ERP資料!$G:$G, (MATCH(251, 輔助計算!$G$2:$G$801, 0)+1))&lt;=31,3,IF(INDEX(ERP資料!$G:$G, (MATCH(251, 輔助計算!$G$2:$G$801, 0)+1))&lt;=46.5,2,1)), IF(INDEX(ERP資料!$G:$G, (MATCH(251, 輔助計算!$G$2:$G$801, 0)+1))&lt;=790,3,IF(INDEX(ERP資料!$G:$G, (MATCH(251, 輔助計算!$G$2:$G$801, 0)+1))&lt;=1181,2,1))))&gt;0, IF(IF(INDEX(ERP資料!$G:$G, (MATCH(251, 輔助計算!$G$2:$G$801, 0)+1))&lt;100, IF(INDEX(ERP資料!$G:$G, (MATCH(251, 輔助計算!$G$2:$G$801, 0)+1))&lt;=31,3,IF(INDEX(ERP資料!$G:$G, (MATCH(251, 輔助計算!$G$2:$G$801, 0)+1))&lt;=46.5,2,1)), IF(INDEX(ERP資料!$G:$G, (MATCH(251, 輔助計算!$G$2:$G$801, 0)+1))&lt;=790,3,IF(INDEX(ERP資料!$G:$G, (MATCH(251, 輔助計算!$G$2:$G$801, 0)+1))&lt;=1181,2,1)))=1,TEXT(INDEX(ERP資料!$G:$G, (MATCH(251, 輔助計算!$G$2:$G$801, 0)+1)),"0.##"),IF(IF(INDEX(ERP資料!$G:$G, (MATCH(251, 輔助計算!$G$2:$G$801, 0)+1))&lt;100, IF(INDEX(ERP資料!$G:$G, (MATCH(251, 輔助計算!$G$2:$G$801, 0)+1))&lt;=31,3,IF(INDEX(ERP資料!$G:$G, (MATCH(251, 輔助計算!$G$2:$G$801, 0)+1))&lt;=46.5,2,1)), IF(INDEX(ERP資料!$G:$G, (MATCH(251, 輔助計算!$G$2:$G$801, 0)+1))&lt;=790,3,IF(INDEX(ERP資料!$G:$G, (MATCH(251, 輔助計算!$G$2:$G$801, 0)+1))&lt;=1181,2,1)))=2,TEXT(INDEX(ERP資料!$G:$G, (MATCH(251, 輔助計算!$G$2:$G$801, 0)+1)),"0.##")&amp;"+"&amp;TEXT(INDEX(ERP資料!$G:$G, (MATCH(251, 輔助計算!$G$2:$G$801, 0)+1)),"0.##"),TEXT(INDEX(ERP資料!$G:$G, (MATCH(251, 輔助計算!$G$2:$G$801, 0)+1)),"0.##")&amp;"+"&amp;TEXT(INDEX(ERP資料!$G:$G, (MATCH(251, 輔助計算!$G$2:$G$801, 0)+1)),"0.##")&amp;"+"&amp;TEXT(INDEX(ERP資料!$G:$G, (MATCH(251, 輔助計算!$G$2:$G$801, 0)+1)),"0.##")))&amp;"-"&amp;INT(INDEX(輔助計算!$D:$D, (MATCH(251, 輔助計算!$G$2:$G$801, 0)+1))/IF(INDEX(ERP資料!$G:$G, (MATCH(251, 輔助計算!$G$2:$G$801, 0)+1))&lt;100, IF(INDEX(ERP資料!$G:$G, (MATCH(251, 輔助計算!$G$2:$G$801, 0)+1))&lt;=31,3,IF(INDEX(ERP資料!$G:$G, (MATCH(251, 輔助計算!$G$2:$G$801, 0)+1))&lt;=46.5,2,1)), IF(INDEX(ERP資料!$G:$G, (MATCH(251, 輔助計算!$G$2:$G$801, 0)+1))&lt;=790,3,IF(INDEX(ERP資料!$G:$G, (MATCH(251, 輔助計算!$G$2:$G$801, 0)+1))&lt;=1181,2,1)))), "")&amp;IF(AND(IF(INT(INDEX(輔助計算!$D:$D, (MATCH(251, 輔助計算!$G$2:$G$801, 0)+1))/IF(INDEX(ERP資料!$G:$G, (MATCH(251, 輔助計算!$G$2:$G$801, 0)+1))&lt;100, IF(INDEX(ERP資料!$G:$G, (MATCH(251, 輔助計算!$G$2:$G$801, 0)+1))&lt;=31,3,IF(INDEX(ERP資料!$G:$G, (MATCH(251, 輔助計算!$G$2:$G$801, 0)+1))&lt;=46.5,2,1)), IF(INDEX(ERP資料!$G:$G, (MATCH(251, 輔助計算!$G$2:$G$801, 0)+1))&lt;=790,3,IF(INDEX(ERP資料!$G:$G, (MATCH(251, 輔助計算!$G$2:$G$801, 0)+1))&lt;=1181,2,1))))&gt;0, IF(IF(INDEX(ERP資料!$G:$G, (MATCH(251, 輔助計算!$G$2:$G$801, 0)+1))&lt;100, IF(INDEX(ERP資料!$G:$G, (MATCH(251, 輔助計算!$G$2:$G$801, 0)+1))&lt;=31,3,IF(INDEX(ERP資料!$G:$G, (MATCH(251, 輔助計算!$G$2:$G$801, 0)+1))&lt;=46.5,2,1)), IF(INDEX(ERP資料!$G:$G, (MATCH(251, 輔助計算!$G$2:$G$801, 0)+1))&lt;=790,3,IF(INDEX(ERP資料!$G:$G, (MATCH(251, 輔助計算!$G$2:$G$801, 0)+1))&lt;=1181,2,1)))=1,TEXT(INDEX(ERP資料!$G:$G, (MATCH(251, 輔助計算!$G$2:$G$801, 0)+1)),"0.##"),IF(IF(INDEX(ERP資料!$G:$G, (MATCH(251, 輔助計算!$G$2:$G$801, 0)+1))&lt;100, IF(INDEX(ERP資料!$G:$G, (MATCH(251, 輔助計算!$G$2:$G$801, 0)+1))&lt;=31,3,IF(INDEX(ERP資料!$G:$G, (MATCH(251, 輔助計算!$G$2:$G$801, 0)+1))&lt;=46.5,2,1)), IF(INDEX(ERP資料!$G:$G, (MATCH(251, 輔助計算!$G$2:$G$801, 0)+1))&lt;=790,3,IF(INDEX(ERP資料!$G:$G, (MATCH(251, 輔助計算!$G$2:$G$801, 0)+1))&lt;=1181,2,1)))=2,TEXT(INDEX(ERP資料!$G:$G, (MATCH(251, 輔助計算!$G$2:$G$801, 0)+1)),"0.##")&amp;"+"&amp;TEXT(INDEX(ERP資料!$G:$G, (MATCH(251, 輔助計算!$G$2:$G$801, 0)+1)),"0.##"),TEXT(INDEX(ERP資料!$G:$G, (MATCH(251, 輔助計算!$G$2:$G$801, 0)+1)),"0.##")&amp;"+"&amp;TEXT(INDEX(ERP資料!$G:$G, (MATCH(251, 輔助計算!$G$2:$G$801, 0)+1)),"0.##")&amp;"+"&amp;TEXT(INDEX(ERP資料!$G:$G, (MATCH(251, 輔助計算!$G$2:$G$801, 0)+1)),"0.##")))&amp;"-"&amp;INT(INDEX(輔助計算!$D:$D, (MATCH(251, 輔助計算!$G$2:$G$801, 0)+1))/IF(INDEX(ERP資料!$G:$G, (MATCH(251, 輔助計算!$G$2:$G$801, 0)+1))&lt;100, IF(INDEX(ERP資料!$G:$G, (MATCH(251, 輔助計算!$G$2:$G$801, 0)+1))&lt;=31,3,IF(INDEX(ERP資料!$G:$G, (MATCH(251, 輔助計算!$G$2:$G$801, 0)+1))&lt;=46.5,2,1)), IF(INDEX(ERP資料!$G:$G, (MATCH(251, 輔助計算!$G$2:$G$801, 0)+1))&lt;=790,3,IF(INDEX(ERP資料!$G:$G, (MATCH(251, 輔助計算!$G$2:$G$801, 0)+1))&lt;=1181,2,1)))), "")&lt;&gt;"",IF(MOD(INDEX(輔助計算!$D:$D, (MATCH(251, 輔助計算!$G$2:$G$801, 0)+1)),IF(INDEX(ERP資料!$G:$G, (MATCH(251, 輔助計算!$G$2:$G$801, 0)+1))&lt;100, IF(INDEX(ERP資料!$G:$G, (MATCH(251, 輔助計算!$G$2:$G$801, 0)+1))&lt;=31,3,IF(INDEX(ERP資料!$G:$G, (MATCH(251, 輔助計算!$G$2:$G$801, 0)+1))&lt;=46.5,2,1)), IF(INDEX(ERP資料!$G:$G, (MATCH(251, 輔助計算!$G$2:$G$801, 0)+1))&lt;=790,3,IF(INDEX(ERP資料!$G:$G, (MATCH(251, 輔助計算!$G$2:$G$801, 0)+1))&lt;=1181,2,1))))=0,"",IF(MOD(INDEX(輔助計算!$D:$D, (MATCH(251, 輔助計算!$G$2:$G$801, 0)+1)),IF(INDEX(ERP資料!$G:$G, (MATCH(251, 輔助計算!$G$2:$G$801, 0)+1))&lt;100, IF(INDEX(ERP資料!$G:$G, (MATCH(251, 輔助計算!$G$2:$G$801, 0)+1))&lt;=31,3,IF(INDEX(ERP資料!$G:$G, (MATCH(251, 輔助計算!$G$2:$G$801, 0)+1))&lt;=46.5,2,1)), IF(INDEX(ERP資料!$G:$G, (MATCH(251, 輔助計算!$G$2:$G$801, 0)+1))&lt;=790,3,IF(INDEX(ERP資料!$G:$G, (MATCH(251, 輔助計算!$G$2:$G$801, 0)+1))&lt;=1181,2,1))))=0,"",IF(MOD(INDEX(輔助計算!$D:$D, (MATCH(251, 輔助計算!$G$2:$G$801, 0)+1)),IF(INDEX(ERP資料!$G:$G, (MATCH(251, 輔助計算!$G$2:$G$801, 0)+1))&lt;100, IF(INDEX(ERP資料!$G:$G, (MATCH(251, 輔助計算!$G$2:$G$801, 0)+1))&lt;=31,3,IF(INDEX(ERP資料!$G:$G, (MATCH(251, 輔助計算!$G$2:$G$801, 0)+1))&lt;=46.5,2,1)), IF(INDEX(ERP資料!$G:$G, (MATCH(251, 輔助計算!$G$2:$G$801, 0)+1))&lt;=790,3,IF(INDEX(ERP資料!$G:$G, (MATCH(251, 輔助計算!$G$2:$G$801, 0)+1))&lt;=1181,2,1))))=1,TEXT(INDEX(ERP資料!$G:$G, (MATCH(251, 輔助計算!$G$2:$G$801, 0)+1)),"0.##"),IF(MOD(INDEX(輔助計算!$D:$D, (MATCH(251, 輔助計算!$G$2:$G$801, 0)+1)),IF(INDEX(ERP資料!$G:$G, (MATCH(251, 輔助計算!$G$2:$G$801, 0)+1))&lt;100, IF(INDEX(ERP資料!$G:$G, (MATCH(251, 輔助計算!$G$2:$G$801, 0)+1))&lt;=31,3,IF(INDEX(ERP資料!$G:$G, (MATCH(251, 輔助計算!$G$2:$G$801, 0)+1))&lt;=46.5,2,1)), IF(INDEX(ERP資料!$G:$G, (MATCH(251, 輔助計算!$G$2:$G$801, 0)+1))&lt;=790,3,IF(INDEX(ERP資料!$G:$G, (MATCH(251, 輔助計算!$G$2:$G$801, 0)+1))&lt;=1181,2,1))))=2,TEXT(INDEX(ERP資料!$G:$G, (MATCH(251, 輔助計算!$G$2:$G$801, 0)+1)),"0.##")&amp;"+"&amp;TEXT(INDEX(ERP資料!$G:$G, (MATCH(251, 輔助計算!$G$2:$G$801, 0)+1)),"0.##"),TEXT(INDEX(ERP資料!$G:$G, (MATCH(251, 輔助計算!$G$2:$G$801, 0)+1)),"0.##")&amp;"+"&amp;TEXT(INDEX(ERP資料!$G:$G, (MATCH(251, 輔助計算!$G$2:$G$801, 0)+1)),"0.##")&amp;"+"&amp;TEXT(INDEX(ERP資料!$G:$G, (MATCH(251, 輔助計算!$G$2:$G$801, 0)+1)),"0.##"))))&amp;"-1")&lt;&gt;""),"  ","")&amp;IF(MOD(INDEX(輔助計算!$D:$D, (MATCH(251, 輔助計算!$G$2:$G$801, 0)+1)),IF(INDEX(ERP資料!$G:$G, (MATCH(251, 輔助計算!$G$2:$G$801, 0)+1))&lt;100, IF(INDEX(ERP資料!$G:$G, (MATCH(251, 輔助計算!$G$2:$G$801, 0)+1))&lt;=31,3,IF(INDEX(ERP資料!$G:$G, (MATCH(251, 輔助計算!$G$2:$G$801, 0)+1))&lt;=46.5,2,1)), IF(INDEX(ERP資料!$G:$G, (MATCH(251, 輔助計算!$G$2:$G$801, 0)+1))&lt;=790,3,IF(INDEX(ERP資料!$G:$G, (MATCH(251, 輔助計算!$G$2:$G$801, 0)+1))&lt;=1181,2,1))))=0,"",IF(MOD(INDEX(輔助計算!$D:$D, (MATCH(251, 輔助計算!$G$2:$G$801, 0)+1)),IF(INDEX(ERP資料!$G:$G, (MATCH(251, 輔助計算!$G$2:$G$801, 0)+1))&lt;100, IF(INDEX(ERP資料!$G:$G, (MATCH(251, 輔助計算!$G$2:$G$801, 0)+1))&lt;=31,3,IF(INDEX(ERP資料!$G:$G, (MATCH(251, 輔助計算!$G$2:$G$801, 0)+1))&lt;=46.5,2,1)), IF(INDEX(ERP資料!$G:$G, (MATCH(251, 輔助計算!$G$2:$G$801, 0)+1))&lt;=790,3,IF(INDEX(ERP資料!$G:$G, (MATCH(251, 輔助計算!$G$2:$G$801, 0)+1))&lt;=1181,2,1))))=0,"",IF(MOD(INDEX(輔助計算!$D:$D, (MATCH(251, 輔助計算!$G$2:$G$801, 0)+1)),IF(INDEX(ERP資料!$G:$G, (MATCH(251, 輔助計算!$G$2:$G$801, 0)+1))&lt;100, IF(INDEX(ERP資料!$G:$G, (MATCH(251, 輔助計算!$G$2:$G$801, 0)+1))&lt;=31,3,IF(INDEX(ERP資料!$G:$G, (MATCH(251, 輔助計算!$G$2:$G$801, 0)+1))&lt;=46.5,2,1)), IF(INDEX(ERP資料!$G:$G, (MATCH(251, 輔助計算!$G$2:$G$801, 0)+1))&lt;=790,3,IF(INDEX(ERP資料!$G:$G, (MATCH(251, 輔助計算!$G$2:$G$801, 0)+1))&lt;=1181,2,1))))=1,TEXT(INDEX(ERP資料!$G:$G, (MATCH(251, 輔助計算!$G$2:$G$801, 0)+1)),"0.##"),IF(MOD(INDEX(輔助計算!$D:$D, (MATCH(251, 輔助計算!$G$2:$G$801, 0)+1)),IF(INDEX(ERP資料!$G:$G, (MATCH(251, 輔助計算!$G$2:$G$801, 0)+1))&lt;100, IF(INDEX(ERP資料!$G:$G, (MATCH(251, 輔助計算!$G$2:$G$801, 0)+1))&lt;=31,3,IF(INDEX(ERP資料!$G:$G, (MATCH(251, 輔助計算!$G$2:$G$801, 0)+1))&lt;=46.5,2,1)), IF(INDEX(ERP資料!$G:$G, (MATCH(251, 輔助計算!$G$2:$G$801, 0)+1))&lt;=790,3,IF(INDEX(ERP資料!$G:$G, (MATCH(251, 輔助計算!$G$2:$G$801, 0)+1))&lt;=1181,2,1))))=2,TEXT(INDEX(ERP資料!$G:$G, (MATCH(251, 輔助計算!$G$2:$G$801, 0)+1)),"0.##")&amp;"+"&amp;TEXT(INDEX(ERP資料!$G:$G, (MATCH(251, 輔助計算!$G$2:$G$801, 0)+1)),"0.##"),TEXT(INDEX(ERP資料!$G:$G, (MATCH(251, 輔助計算!$G$2:$G$801, 0)+1)),"0.##")&amp;"+"&amp;TEXT(INDEX(ERP資料!$G:$G, (MATCH(251, 輔助計算!$G$2:$G$801, 0)+1)),"0.##")&amp;"+"&amp;TEXT(INDEX(ERP資料!$G:$G, (MATCH(251, 輔助計算!$G$2:$G$801, 0)+1)),"0.##"))))&amp;"-1")), ""), "")</f>
        <v/>
      </c>
      <c r="K252" s="16" t="n"/>
      <c r="L252" s="14">
        <f>IFERROR(IF(AND(IFERROR(INDEX(ERP資料!$A:$A, (MATCH(251, 輔助計算!$G$2:$G$801, 0)+1)), "")&lt;&gt;"", IFERROR(INDEX(ERP資料!$A:$A, (MATCH(251, 輔助計算!$G$2:$G$801, 0)+1)), "")&lt;&gt;IFERROR(INDEX(ERP資料!$A:$A, MATCH(250, 輔助計算!$G$2:$G$801, 0)+1), "")), INDEX(ERP資料!$B:$B, (MATCH(251, 輔助計算!$G$2:$G$801, 0)+1)), ""), "")</f>
        <v/>
      </c>
      <c r="M252" s="17" t="n"/>
    </row>
    <row r="253">
      <c r="A253" s="10">
        <f>IFERROR(IF(AND(IFERROR(INDEX(ERP資料!$A:$A, (MATCH(252, 輔助計算!$G$2:$G$801, 0)+1)), "")&lt;&gt;"", IFERROR(INDEX(ERP資料!$A:$A, (MATCH(252, 輔助計算!$G$2:$G$801, 0)+1)), "")&lt;&gt;IFERROR(INDEX(ERP資料!$A:$A, MATCH(251, 輔助計算!$G$2:$G$801, 0)+1), "")), IFERROR(INDEX(ERP資料!$A:$A, (MATCH(252, 輔助計算!$G$2:$G$801, 0)+1)), ""), ""), "")</f>
        <v/>
      </c>
      <c r="B253" s="10">
        <f>IFERROR(IF(AND(IFERROR(INDEX(ERP資料!$A:$A, (MATCH(252, 輔助計算!$G$2:$G$801, 0)+1)), "")&lt;&gt;"", IFERROR(INDEX(ERP資料!$A:$A, (MATCH(252, 輔助計算!$G$2:$G$801, 0)+1)), "")&lt;&gt;IFERROR(INDEX(ERP資料!$A:$A, MATCH(251, 輔助計算!$G$2:$G$801, 0)+1), "")), INDEX(ERP資料!$S:$S, (MATCH(252, 輔助計算!$G$2:$G$801, 0)+1)), ""), "")</f>
        <v/>
      </c>
      <c r="C253" s="19">
        <f>IFERROR(IF(AND(IFERROR(INDEX(ERP資料!$A:$A, (MATCH(252, 輔助計算!$G$2:$G$801, 0)+1)), "")&lt;&gt;"", IFERROR(INDEX(ERP資料!$A:$A, (MATCH(252, 輔助計算!$G$2:$G$801, 0)+1)), "")&lt;&gt;IFERROR(INDEX(ERP資料!$A:$A, MATCH(251, 輔助計算!$G$2:$G$801, 0)+1), "")), IFERROR(VLOOKUP(LEFT(INDEX(ERP資料!$S:$S, (MATCH(252, 輔助計算!$G$2:$G$801, 0)+1)), 4), 紙管對照表!$A:$C, 3, FALSE), ""), ""), "")</f>
        <v/>
      </c>
      <c r="D253" s="16" t="n"/>
      <c r="E253" s="10">
        <f>IFERROR(IF(INDEX(ERP資料!$H:$H, (MATCH(252, 輔助計算!$G$2:$G$801, 0)+1))="","",INDEX(ERP資料!$H:$H, (MATCH(252, 輔助計算!$G$2:$G$801, 0)+1))), "")</f>
        <v/>
      </c>
      <c r="F253" s="10">
        <f>IFERROR(IF(INDEX(ERP資料!$E:$E, (MATCH(252, 輔助計算!$G$2:$G$801, 0)+1))="","",TRIM(INDEX(ERP資料!$E:$E, (MATCH(252, 輔助計算!$G$2:$G$801, 0)+1)))), "")</f>
        <v/>
      </c>
      <c r="G253" s="10">
        <f>IFERROR(IF(INDEX(ERP資料!$F:$F, (MATCH(252, 輔助計算!$G$2:$G$801, 0)+1))="","",INDEX(ERP資料!$F:$F, (MATCH(252, 輔助計算!$G$2:$G$801, 0)+1))), "")</f>
        <v/>
      </c>
      <c r="H253" s="10">
        <f>IFERROR(IF(INDEX(ERP資料!$G:$G, (MATCH(252, 輔助計算!$G$2:$G$801, 0)+1))="","",INDEX(ERP資料!$G:$G, (MATCH(252, 輔助計算!$G$2:$G$801, 0)+1))), "")</f>
        <v/>
      </c>
      <c r="I253" s="15">
        <f>IFERROR(INDEX(輔助計算!$D:$D, (MATCH(252, 輔助計算!$G$2:$G$801, 0)+1)), "")</f>
        <v/>
      </c>
      <c r="J253" s="15">
        <f>IFERROR(IF(AND(INDEX(輔助計算!$D:$D, (MATCH(252, 輔助計算!$G$2:$G$801, 0)+1))&lt;&gt;"", INDEX(ERP資料!$G:$G, (MATCH(252, 輔助計算!$G$2:$G$801, 0)+1))&lt;&gt;""), TRIM(IF(INT(INDEX(輔助計算!$D:$D, (MATCH(252, 輔助計算!$G$2:$G$801, 0)+1))/IF(INDEX(ERP資料!$G:$G, (MATCH(252, 輔助計算!$G$2:$G$801, 0)+1))&lt;100, IF(INDEX(ERP資料!$G:$G, (MATCH(252, 輔助計算!$G$2:$G$801, 0)+1))&lt;=31,3,IF(INDEX(ERP資料!$G:$G, (MATCH(252, 輔助計算!$G$2:$G$801, 0)+1))&lt;=46.5,2,1)), IF(INDEX(ERP資料!$G:$G, (MATCH(252, 輔助計算!$G$2:$G$801, 0)+1))&lt;=790,3,IF(INDEX(ERP資料!$G:$G, (MATCH(252, 輔助計算!$G$2:$G$801, 0)+1))&lt;=1181,2,1))))&gt;0, IF(IF(INDEX(ERP資料!$G:$G, (MATCH(252, 輔助計算!$G$2:$G$801, 0)+1))&lt;100, IF(INDEX(ERP資料!$G:$G, (MATCH(252, 輔助計算!$G$2:$G$801, 0)+1))&lt;=31,3,IF(INDEX(ERP資料!$G:$G, (MATCH(252, 輔助計算!$G$2:$G$801, 0)+1))&lt;=46.5,2,1)), IF(INDEX(ERP資料!$G:$G, (MATCH(252, 輔助計算!$G$2:$G$801, 0)+1))&lt;=790,3,IF(INDEX(ERP資料!$G:$G, (MATCH(252, 輔助計算!$G$2:$G$801, 0)+1))&lt;=1181,2,1)))=1,TEXT(INDEX(ERP資料!$G:$G, (MATCH(252, 輔助計算!$G$2:$G$801, 0)+1)),"0.##"),IF(IF(INDEX(ERP資料!$G:$G, (MATCH(252, 輔助計算!$G$2:$G$801, 0)+1))&lt;100, IF(INDEX(ERP資料!$G:$G, (MATCH(252, 輔助計算!$G$2:$G$801, 0)+1))&lt;=31,3,IF(INDEX(ERP資料!$G:$G, (MATCH(252, 輔助計算!$G$2:$G$801, 0)+1))&lt;=46.5,2,1)), IF(INDEX(ERP資料!$G:$G, (MATCH(252, 輔助計算!$G$2:$G$801, 0)+1))&lt;=790,3,IF(INDEX(ERP資料!$G:$G, (MATCH(252, 輔助計算!$G$2:$G$801, 0)+1))&lt;=1181,2,1)))=2,TEXT(INDEX(ERP資料!$G:$G, (MATCH(252, 輔助計算!$G$2:$G$801, 0)+1)),"0.##")&amp;"+"&amp;TEXT(INDEX(ERP資料!$G:$G, (MATCH(252, 輔助計算!$G$2:$G$801, 0)+1)),"0.##"),TEXT(INDEX(ERP資料!$G:$G, (MATCH(252, 輔助計算!$G$2:$G$801, 0)+1)),"0.##")&amp;"+"&amp;TEXT(INDEX(ERP資料!$G:$G, (MATCH(252, 輔助計算!$G$2:$G$801, 0)+1)),"0.##")&amp;"+"&amp;TEXT(INDEX(ERP資料!$G:$G, (MATCH(252, 輔助計算!$G$2:$G$801, 0)+1)),"0.##")))&amp;"-"&amp;INT(INDEX(輔助計算!$D:$D, (MATCH(252, 輔助計算!$G$2:$G$801, 0)+1))/IF(INDEX(ERP資料!$G:$G, (MATCH(252, 輔助計算!$G$2:$G$801, 0)+1))&lt;100, IF(INDEX(ERP資料!$G:$G, (MATCH(252, 輔助計算!$G$2:$G$801, 0)+1))&lt;=31,3,IF(INDEX(ERP資料!$G:$G, (MATCH(252, 輔助計算!$G$2:$G$801, 0)+1))&lt;=46.5,2,1)), IF(INDEX(ERP資料!$G:$G, (MATCH(252, 輔助計算!$G$2:$G$801, 0)+1))&lt;=790,3,IF(INDEX(ERP資料!$G:$G, (MATCH(252, 輔助計算!$G$2:$G$801, 0)+1))&lt;=1181,2,1)))), "")&amp;IF(AND(IF(INT(INDEX(輔助計算!$D:$D, (MATCH(252, 輔助計算!$G$2:$G$801, 0)+1))/IF(INDEX(ERP資料!$G:$G, (MATCH(252, 輔助計算!$G$2:$G$801, 0)+1))&lt;100, IF(INDEX(ERP資料!$G:$G, (MATCH(252, 輔助計算!$G$2:$G$801, 0)+1))&lt;=31,3,IF(INDEX(ERP資料!$G:$G, (MATCH(252, 輔助計算!$G$2:$G$801, 0)+1))&lt;=46.5,2,1)), IF(INDEX(ERP資料!$G:$G, (MATCH(252, 輔助計算!$G$2:$G$801, 0)+1))&lt;=790,3,IF(INDEX(ERP資料!$G:$G, (MATCH(252, 輔助計算!$G$2:$G$801, 0)+1))&lt;=1181,2,1))))&gt;0, IF(IF(INDEX(ERP資料!$G:$G, (MATCH(252, 輔助計算!$G$2:$G$801, 0)+1))&lt;100, IF(INDEX(ERP資料!$G:$G, (MATCH(252, 輔助計算!$G$2:$G$801, 0)+1))&lt;=31,3,IF(INDEX(ERP資料!$G:$G, (MATCH(252, 輔助計算!$G$2:$G$801, 0)+1))&lt;=46.5,2,1)), IF(INDEX(ERP資料!$G:$G, (MATCH(252, 輔助計算!$G$2:$G$801, 0)+1))&lt;=790,3,IF(INDEX(ERP資料!$G:$G, (MATCH(252, 輔助計算!$G$2:$G$801, 0)+1))&lt;=1181,2,1)))=1,TEXT(INDEX(ERP資料!$G:$G, (MATCH(252, 輔助計算!$G$2:$G$801, 0)+1)),"0.##"),IF(IF(INDEX(ERP資料!$G:$G, (MATCH(252, 輔助計算!$G$2:$G$801, 0)+1))&lt;100, IF(INDEX(ERP資料!$G:$G, (MATCH(252, 輔助計算!$G$2:$G$801, 0)+1))&lt;=31,3,IF(INDEX(ERP資料!$G:$G, (MATCH(252, 輔助計算!$G$2:$G$801, 0)+1))&lt;=46.5,2,1)), IF(INDEX(ERP資料!$G:$G, (MATCH(252, 輔助計算!$G$2:$G$801, 0)+1))&lt;=790,3,IF(INDEX(ERP資料!$G:$G, (MATCH(252, 輔助計算!$G$2:$G$801, 0)+1))&lt;=1181,2,1)))=2,TEXT(INDEX(ERP資料!$G:$G, (MATCH(252, 輔助計算!$G$2:$G$801, 0)+1)),"0.##")&amp;"+"&amp;TEXT(INDEX(ERP資料!$G:$G, (MATCH(252, 輔助計算!$G$2:$G$801, 0)+1)),"0.##"),TEXT(INDEX(ERP資料!$G:$G, (MATCH(252, 輔助計算!$G$2:$G$801, 0)+1)),"0.##")&amp;"+"&amp;TEXT(INDEX(ERP資料!$G:$G, (MATCH(252, 輔助計算!$G$2:$G$801, 0)+1)),"0.##")&amp;"+"&amp;TEXT(INDEX(ERP資料!$G:$G, (MATCH(252, 輔助計算!$G$2:$G$801, 0)+1)),"0.##")))&amp;"-"&amp;INT(INDEX(輔助計算!$D:$D, (MATCH(252, 輔助計算!$G$2:$G$801, 0)+1))/IF(INDEX(ERP資料!$G:$G, (MATCH(252, 輔助計算!$G$2:$G$801, 0)+1))&lt;100, IF(INDEX(ERP資料!$G:$G, (MATCH(252, 輔助計算!$G$2:$G$801, 0)+1))&lt;=31,3,IF(INDEX(ERP資料!$G:$G, (MATCH(252, 輔助計算!$G$2:$G$801, 0)+1))&lt;=46.5,2,1)), IF(INDEX(ERP資料!$G:$G, (MATCH(252, 輔助計算!$G$2:$G$801, 0)+1))&lt;=790,3,IF(INDEX(ERP資料!$G:$G, (MATCH(252, 輔助計算!$G$2:$G$801, 0)+1))&lt;=1181,2,1)))), "")&lt;&gt;"",IF(MOD(INDEX(輔助計算!$D:$D, (MATCH(252, 輔助計算!$G$2:$G$801, 0)+1)),IF(INDEX(ERP資料!$G:$G, (MATCH(252, 輔助計算!$G$2:$G$801, 0)+1))&lt;100, IF(INDEX(ERP資料!$G:$G, (MATCH(252, 輔助計算!$G$2:$G$801, 0)+1))&lt;=31,3,IF(INDEX(ERP資料!$G:$G, (MATCH(252, 輔助計算!$G$2:$G$801, 0)+1))&lt;=46.5,2,1)), IF(INDEX(ERP資料!$G:$G, (MATCH(252, 輔助計算!$G$2:$G$801, 0)+1))&lt;=790,3,IF(INDEX(ERP資料!$G:$G, (MATCH(252, 輔助計算!$G$2:$G$801, 0)+1))&lt;=1181,2,1))))=0,"",IF(MOD(INDEX(輔助計算!$D:$D, (MATCH(252, 輔助計算!$G$2:$G$801, 0)+1)),IF(INDEX(ERP資料!$G:$G, (MATCH(252, 輔助計算!$G$2:$G$801, 0)+1))&lt;100, IF(INDEX(ERP資料!$G:$G, (MATCH(252, 輔助計算!$G$2:$G$801, 0)+1))&lt;=31,3,IF(INDEX(ERP資料!$G:$G, (MATCH(252, 輔助計算!$G$2:$G$801, 0)+1))&lt;=46.5,2,1)), IF(INDEX(ERP資料!$G:$G, (MATCH(252, 輔助計算!$G$2:$G$801, 0)+1))&lt;=790,3,IF(INDEX(ERP資料!$G:$G, (MATCH(252, 輔助計算!$G$2:$G$801, 0)+1))&lt;=1181,2,1))))=0,"",IF(MOD(INDEX(輔助計算!$D:$D, (MATCH(252, 輔助計算!$G$2:$G$801, 0)+1)),IF(INDEX(ERP資料!$G:$G, (MATCH(252, 輔助計算!$G$2:$G$801, 0)+1))&lt;100, IF(INDEX(ERP資料!$G:$G, (MATCH(252, 輔助計算!$G$2:$G$801, 0)+1))&lt;=31,3,IF(INDEX(ERP資料!$G:$G, (MATCH(252, 輔助計算!$G$2:$G$801, 0)+1))&lt;=46.5,2,1)), IF(INDEX(ERP資料!$G:$G, (MATCH(252, 輔助計算!$G$2:$G$801, 0)+1))&lt;=790,3,IF(INDEX(ERP資料!$G:$G, (MATCH(252, 輔助計算!$G$2:$G$801, 0)+1))&lt;=1181,2,1))))=1,TEXT(INDEX(ERP資料!$G:$G, (MATCH(252, 輔助計算!$G$2:$G$801, 0)+1)),"0.##"),IF(MOD(INDEX(輔助計算!$D:$D, (MATCH(252, 輔助計算!$G$2:$G$801, 0)+1)),IF(INDEX(ERP資料!$G:$G, (MATCH(252, 輔助計算!$G$2:$G$801, 0)+1))&lt;100, IF(INDEX(ERP資料!$G:$G, (MATCH(252, 輔助計算!$G$2:$G$801, 0)+1))&lt;=31,3,IF(INDEX(ERP資料!$G:$G, (MATCH(252, 輔助計算!$G$2:$G$801, 0)+1))&lt;=46.5,2,1)), IF(INDEX(ERP資料!$G:$G, (MATCH(252, 輔助計算!$G$2:$G$801, 0)+1))&lt;=790,3,IF(INDEX(ERP資料!$G:$G, (MATCH(252, 輔助計算!$G$2:$G$801, 0)+1))&lt;=1181,2,1))))=2,TEXT(INDEX(ERP資料!$G:$G, (MATCH(252, 輔助計算!$G$2:$G$801, 0)+1)),"0.##")&amp;"+"&amp;TEXT(INDEX(ERP資料!$G:$G, (MATCH(252, 輔助計算!$G$2:$G$801, 0)+1)),"0.##"),TEXT(INDEX(ERP資料!$G:$G, (MATCH(252, 輔助計算!$G$2:$G$801, 0)+1)),"0.##")&amp;"+"&amp;TEXT(INDEX(ERP資料!$G:$G, (MATCH(252, 輔助計算!$G$2:$G$801, 0)+1)),"0.##")&amp;"+"&amp;TEXT(INDEX(ERP資料!$G:$G, (MATCH(252, 輔助計算!$G$2:$G$801, 0)+1)),"0.##"))))&amp;"-1")&lt;&gt;""),"  ","")&amp;IF(MOD(INDEX(輔助計算!$D:$D, (MATCH(252, 輔助計算!$G$2:$G$801, 0)+1)),IF(INDEX(ERP資料!$G:$G, (MATCH(252, 輔助計算!$G$2:$G$801, 0)+1))&lt;100, IF(INDEX(ERP資料!$G:$G, (MATCH(252, 輔助計算!$G$2:$G$801, 0)+1))&lt;=31,3,IF(INDEX(ERP資料!$G:$G, (MATCH(252, 輔助計算!$G$2:$G$801, 0)+1))&lt;=46.5,2,1)), IF(INDEX(ERP資料!$G:$G, (MATCH(252, 輔助計算!$G$2:$G$801, 0)+1))&lt;=790,3,IF(INDEX(ERP資料!$G:$G, (MATCH(252, 輔助計算!$G$2:$G$801, 0)+1))&lt;=1181,2,1))))=0,"",IF(MOD(INDEX(輔助計算!$D:$D, (MATCH(252, 輔助計算!$G$2:$G$801, 0)+1)),IF(INDEX(ERP資料!$G:$G, (MATCH(252, 輔助計算!$G$2:$G$801, 0)+1))&lt;100, IF(INDEX(ERP資料!$G:$G, (MATCH(252, 輔助計算!$G$2:$G$801, 0)+1))&lt;=31,3,IF(INDEX(ERP資料!$G:$G, (MATCH(252, 輔助計算!$G$2:$G$801, 0)+1))&lt;=46.5,2,1)), IF(INDEX(ERP資料!$G:$G, (MATCH(252, 輔助計算!$G$2:$G$801, 0)+1))&lt;=790,3,IF(INDEX(ERP資料!$G:$G, (MATCH(252, 輔助計算!$G$2:$G$801, 0)+1))&lt;=1181,2,1))))=0,"",IF(MOD(INDEX(輔助計算!$D:$D, (MATCH(252, 輔助計算!$G$2:$G$801, 0)+1)),IF(INDEX(ERP資料!$G:$G, (MATCH(252, 輔助計算!$G$2:$G$801, 0)+1))&lt;100, IF(INDEX(ERP資料!$G:$G, (MATCH(252, 輔助計算!$G$2:$G$801, 0)+1))&lt;=31,3,IF(INDEX(ERP資料!$G:$G, (MATCH(252, 輔助計算!$G$2:$G$801, 0)+1))&lt;=46.5,2,1)), IF(INDEX(ERP資料!$G:$G, (MATCH(252, 輔助計算!$G$2:$G$801, 0)+1))&lt;=790,3,IF(INDEX(ERP資料!$G:$G, (MATCH(252, 輔助計算!$G$2:$G$801, 0)+1))&lt;=1181,2,1))))=1,TEXT(INDEX(ERP資料!$G:$G, (MATCH(252, 輔助計算!$G$2:$G$801, 0)+1)),"0.##"),IF(MOD(INDEX(輔助計算!$D:$D, (MATCH(252, 輔助計算!$G$2:$G$801, 0)+1)),IF(INDEX(ERP資料!$G:$G, (MATCH(252, 輔助計算!$G$2:$G$801, 0)+1))&lt;100, IF(INDEX(ERP資料!$G:$G, (MATCH(252, 輔助計算!$G$2:$G$801, 0)+1))&lt;=31,3,IF(INDEX(ERP資料!$G:$G, (MATCH(252, 輔助計算!$G$2:$G$801, 0)+1))&lt;=46.5,2,1)), IF(INDEX(ERP資料!$G:$G, (MATCH(252, 輔助計算!$G$2:$G$801, 0)+1))&lt;=790,3,IF(INDEX(ERP資料!$G:$G, (MATCH(252, 輔助計算!$G$2:$G$801, 0)+1))&lt;=1181,2,1))))=2,TEXT(INDEX(ERP資料!$G:$G, (MATCH(252, 輔助計算!$G$2:$G$801, 0)+1)),"0.##")&amp;"+"&amp;TEXT(INDEX(ERP資料!$G:$G, (MATCH(252, 輔助計算!$G$2:$G$801, 0)+1)),"0.##"),TEXT(INDEX(ERP資料!$G:$G, (MATCH(252, 輔助計算!$G$2:$G$801, 0)+1)),"0.##")&amp;"+"&amp;TEXT(INDEX(ERP資料!$G:$G, (MATCH(252, 輔助計算!$G$2:$G$801, 0)+1)),"0.##")&amp;"+"&amp;TEXT(INDEX(ERP資料!$G:$G, (MATCH(252, 輔助計算!$G$2:$G$801, 0)+1)),"0.##"))))&amp;"-1")), ""), "")</f>
        <v/>
      </c>
      <c r="K253" s="16" t="n"/>
      <c r="L253" s="14">
        <f>IFERROR(IF(AND(IFERROR(INDEX(ERP資料!$A:$A, (MATCH(252, 輔助計算!$G$2:$G$801, 0)+1)), "")&lt;&gt;"", IFERROR(INDEX(ERP資料!$A:$A, (MATCH(252, 輔助計算!$G$2:$G$801, 0)+1)), "")&lt;&gt;IFERROR(INDEX(ERP資料!$A:$A, MATCH(251, 輔助計算!$G$2:$G$801, 0)+1), "")), INDEX(ERP資料!$B:$B, (MATCH(252, 輔助計算!$G$2:$G$801, 0)+1)), ""), "")</f>
        <v/>
      </c>
      <c r="M253" s="17" t="n"/>
    </row>
    <row r="254">
      <c r="A254" s="10">
        <f>IFERROR(IF(AND(IFERROR(INDEX(ERP資料!$A:$A, (MATCH(253, 輔助計算!$G$2:$G$801, 0)+1)), "")&lt;&gt;"", IFERROR(INDEX(ERP資料!$A:$A, (MATCH(253, 輔助計算!$G$2:$G$801, 0)+1)), "")&lt;&gt;IFERROR(INDEX(ERP資料!$A:$A, MATCH(252, 輔助計算!$G$2:$G$801, 0)+1), "")), IFERROR(INDEX(ERP資料!$A:$A, (MATCH(253, 輔助計算!$G$2:$G$801, 0)+1)), ""), ""), "")</f>
        <v/>
      </c>
      <c r="B254" s="10">
        <f>IFERROR(IF(AND(IFERROR(INDEX(ERP資料!$A:$A, (MATCH(253, 輔助計算!$G$2:$G$801, 0)+1)), "")&lt;&gt;"", IFERROR(INDEX(ERP資料!$A:$A, (MATCH(253, 輔助計算!$G$2:$G$801, 0)+1)), "")&lt;&gt;IFERROR(INDEX(ERP資料!$A:$A, MATCH(252, 輔助計算!$G$2:$G$801, 0)+1), "")), INDEX(ERP資料!$S:$S, (MATCH(253, 輔助計算!$G$2:$G$801, 0)+1)), ""), "")</f>
        <v/>
      </c>
      <c r="C254" s="19">
        <f>IFERROR(IF(AND(IFERROR(INDEX(ERP資料!$A:$A, (MATCH(253, 輔助計算!$G$2:$G$801, 0)+1)), "")&lt;&gt;"", IFERROR(INDEX(ERP資料!$A:$A, (MATCH(253, 輔助計算!$G$2:$G$801, 0)+1)), "")&lt;&gt;IFERROR(INDEX(ERP資料!$A:$A, MATCH(252, 輔助計算!$G$2:$G$801, 0)+1), "")), IFERROR(VLOOKUP(LEFT(INDEX(ERP資料!$S:$S, (MATCH(253, 輔助計算!$G$2:$G$801, 0)+1)), 4), 紙管對照表!$A:$C, 3, FALSE), ""), ""), "")</f>
        <v/>
      </c>
      <c r="D254" s="16" t="n"/>
      <c r="E254" s="10">
        <f>IFERROR(IF(INDEX(ERP資料!$H:$H, (MATCH(253, 輔助計算!$G$2:$G$801, 0)+1))="","",INDEX(ERP資料!$H:$H, (MATCH(253, 輔助計算!$G$2:$G$801, 0)+1))), "")</f>
        <v/>
      </c>
      <c r="F254" s="10">
        <f>IFERROR(IF(INDEX(ERP資料!$E:$E, (MATCH(253, 輔助計算!$G$2:$G$801, 0)+1))="","",TRIM(INDEX(ERP資料!$E:$E, (MATCH(253, 輔助計算!$G$2:$G$801, 0)+1)))), "")</f>
        <v/>
      </c>
      <c r="G254" s="10">
        <f>IFERROR(IF(INDEX(ERP資料!$F:$F, (MATCH(253, 輔助計算!$G$2:$G$801, 0)+1))="","",INDEX(ERP資料!$F:$F, (MATCH(253, 輔助計算!$G$2:$G$801, 0)+1))), "")</f>
        <v/>
      </c>
      <c r="H254" s="10">
        <f>IFERROR(IF(INDEX(ERP資料!$G:$G, (MATCH(253, 輔助計算!$G$2:$G$801, 0)+1))="","",INDEX(ERP資料!$G:$G, (MATCH(253, 輔助計算!$G$2:$G$801, 0)+1))), "")</f>
        <v/>
      </c>
      <c r="I254" s="15">
        <f>IFERROR(INDEX(輔助計算!$D:$D, (MATCH(253, 輔助計算!$G$2:$G$801, 0)+1)), "")</f>
        <v/>
      </c>
      <c r="J254" s="15">
        <f>IFERROR(IF(AND(INDEX(輔助計算!$D:$D, (MATCH(253, 輔助計算!$G$2:$G$801, 0)+1))&lt;&gt;"", INDEX(ERP資料!$G:$G, (MATCH(253, 輔助計算!$G$2:$G$801, 0)+1))&lt;&gt;""), TRIM(IF(INT(INDEX(輔助計算!$D:$D, (MATCH(253, 輔助計算!$G$2:$G$801, 0)+1))/IF(INDEX(ERP資料!$G:$G, (MATCH(253, 輔助計算!$G$2:$G$801, 0)+1))&lt;100, IF(INDEX(ERP資料!$G:$G, (MATCH(253, 輔助計算!$G$2:$G$801, 0)+1))&lt;=31,3,IF(INDEX(ERP資料!$G:$G, (MATCH(253, 輔助計算!$G$2:$G$801, 0)+1))&lt;=46.5,2,1)), IF(INDEX(ERP資料!$G:$G, (MATCH(253, 輔助計算!$G$2:$G$801, 0)+1))&lt;=790,3,IF(INDEX(ERP資料!$G:$G, (MATCH(253, 輔助計算!$G$2:$G$801, 0)+1))&lt;=1181,2,1))))&gt;0, IF(IF(INDEX(ERP資料!$G:$G, (MATCH(253, 輔助計算!$G$2:$G$801, 0)+1))&lt;100, IF(INDEX(ERP資料!$G:$G, (MATCH(253, 輔助計算!$G$2:$G$801, 0)+1))&lt;=31,3,IF(INDEX(ERP資料!$G:$G, (MATCH(253, 輔助計算!$G$2:$G$801, 0)+1))&lt;=46.5,2,1)), IF(INDEX(ERP資料!$G:$G, (MATCH(253, 輔助計算!$G$2:$G$801, 0)+1))&lt;=790,3,IF(INDEX(ERP資料!$G:$G, (MATCH(253, 輔助計算!$G$2:$G$801, 0)+1))&lt;=1181,2,1)))=1,TEXT(INDEX(ERP資料!$G:$G, (MATCH(253, 輔助計算!$G$2:$G$801, 0)+1)),"0.##"),IF(IF(INDEX(ERP資料!$G:$G, (MATCH(253, 輔助計算!$G$2:$G$801, 0)+1))&lt;100, IF(INDEX(ERP資料!$G:$G, (MATCH(253, 輔助計算!$G$2:$G$801, 0)+1))&lt;=31,3,IF(INDEX(ERP資料!$G:$G, (MATCH(253, 輔助計算!$G$2:$G$801, 0)+1))&lt;=46.5,2,1)), IF(INDEX(ERP資料!$G:$G, (MATCH(253, 輔助計算!$G$2:$G$801, 0)+1))&lt;=790,3,IF(INDEX(ERP資料!$G:$G, (MATCH(253, 輔助計算!$G$2:$G$801, 0)+1))&lt;=1181,2,1)))=2,TEXT(INDEX(ERP資料!$G:$G, (MATCH(253, 輔助計算!$G$2:$G$801, 0)+1)),"0.##")&amp;"+"&amp;TEXT(INDEX(ERP資料!$G:$G, (MATCH(253, 輔助計算!$G$2:$G$801, 0)+1)),"0.##"),TEXT(INDEX(ERP資料!$G:$G, (MATCH(253, 輔助計算!$G$2:$G$801, 0)+1)),"0.##")&amp;"+"&amp;TEXT(INDEX(ERP資料!$G:$G, (MATCH(253, 輔助計算!$G$2:$G$801, 0)+1)),"0.##")&amp;"+"&amp;TEXT(INDEX(ERP資料!$G:$G, (MATCH(253, 輔助計算!$G$2:$G$801, 0)+1)),"0.##")))&amp;"-"&amp;INT(INDEX(輔助計算!$D:$D, (MATCH(253, 輔助計算!$G$2:$G$801, 0)+1))/IF(INDEX(ERP資料!$G:$G, (MATCH(253, 輔助計算!$G$2:$G$801, 0)+1))&lt;100, IF(INDEX(ERP資料!$G:$G, (MATCH(253, 輔助計算!$G$2:$G$801, 0)+1))&lt;=31,3,IF(INDEX(ERP資料!$G:$G, (MATCH(253, 輔助計算!$G$2:$G$801, 0)+1))&lt;=46.5,2,1)), IF(INDEX(ERP資料!$G:$G, (MATCH(253, 輔助計算!$G$2:$G$801, 0)+1))&lt;=790,3,IF(INDEX(ERP資料!$G:$G, (MATCH(253, 輔助計算!$G$2:$G$801, 0)+1))&lt;=1181,2,1)))), "")&amp;IF(AND(IF(INT(INDEX(輔助計算!$D:$D, (MATCH(253, 輔助計算!$G$2:$G$801, 0)+1))/IF(INDEX(ERP資料!$G:$G, (MATCH(253, 輔助計算!$G$2:$G$801, 0)+1))&lt;100, IF(INDEX(ERP資料!$G:$G, (MATCH(253, 輔助計算!$G$2:$G$801, 0)+1))&lt;=31,3,IF(INDEX(ERP資料!$G:$G, (MATCH(253, 輔助計算!$G$2:$G$801, 0)+1))&lt;=46.5,2,1)), IF(INDEX(ERP資料!$G:$G, (MATCH(253, 輔助計算!$G$2:$G$801, 0)+1))&lt;=790,3,IF(INDEX(ERP資料!$G:$G, (MATCH(253, 輔助計算!$G$2:$G$801, 0)+1))&lt;=1181,2,1))))&gt;0, IF(IF(INDEX(ERP資料!$G:$G, (MATCH(253, 輔助計算!$G$2:$G$801, 0)+1))&lt;100, IF(INDEX(ERP資料!$G:$G, (MATCH(253, 輔助計算!$G$2:$G$801, 0)+1))&lt;=31,3,IF(INDEX(ERP資料!$G:$G, (MATCH(253, 輔助計算!$G$2:$G$801, 0)+1))&lt;=46.5,2,1)), IF(INDEX(ERP資料!$G:$G, (MATCH(253, 輔助計算!$G$2:$G$801, 0)+1))&lt;=790,3,IF(INDEX(ERP資料!$G:$G, (MATCH(253, 輔助計算!$G$2:$G$801, 0)+1))&lt;=1181,2,1)))=1,TEXT(INDEX(ERP資料!$G:$G, (MATCH(253, 輔助計算!$G$2:$G$801, 0)+1)),"0.##"),IF(IF(INDEX(ERP資料!$G:$G, (MATCH(253, 輔助計算!$G$2:$G$801, 0)+1))&lt;100, IF(INDEX(ERP資料!$G:$G, (MATCH(253, 輔助計算!$G$2:$G$801, 0)+1))&lt;=31,3,IF(INDEX(ERP資料!$G:$G, (MATCH(253, 輔助計算!$G$2:$G$801, 0)+1))&lt;=46.5,2,1)), IF(INDEX(ERP資料!$G:$G, (MATCH(253, 輔助計算!$G$2:$G$801, 0)+1))&lt;=790,3,IF(INDEX(ERP資料!$G:$G, (MATCH(253, 輔助計算!$G$2:$G$801, 0)+1))&lt;=1181,2,1)))=2,TEXT(INDEX(ERP資料!$G:$G, (MATCH(253, 輔助計算!$G$2:$G$801, 0)+1)),"0.##")&amp;"+"&amp;TEXT(INDEX(ERP資料!$G:$G, (MATCH(253, 輔助計算!$G$2:$G$801, 0)+1)),"0.##"),TEXT(INDEX(ERP資料!$G:$G, (MATCH(253, 輔助計算!$G$2:$G$801, 0)+1)),"0.##")&amp;"+"&amp;TEXT(INDEX(ERP資料!$G:$G, (MATCH(253, 輔助計算!$G$2:$G$801, 0)+1)),"0.##")&amp;"+"&amp;TEXT(INDEX(ERP資料!$G:$G, (MATCH(253, 輔助計算!$G$2:$G$801, 0)+1)),"0.##")))&amp;"-"&amp;INT(INDEX(輔助計算!$D:$D, (MATCH(253, 輔助計算!$G$2:$G$801, 0)+1))/IF(INDEX(ERP資料!$G:$G, (MATCH(253, 輔助計算!$G$2:$G$801, 0)+1))&lt;100, IF(INDEX(ERP資料!$G:$G, (MATCH(253, 輔助計算!$G$2:$G$801, 0)+1))&lt;=31,3,IF(INDEX(ERP資料!$G:$G, (MATCH(253, 輔助計算!$G$2:$G$801, 0)+1))&lt;=46.5,2,1)), IF(INDEX(ERP資料!$G:$G, (MATCH(253, 輔助計算!$G$2:$G$801, 0)+1))&lt;=790,3,IF(INDEX(ERP資料!$G:$G, (MATCH(253, 輔助計算!$G$2:$G$801, 0)+1))&lt;=1181,2,1)))), "")&lt;&gt;"",IF(MOD(INDEX(輔助計算!$D:$D, (MATCH(253, 輔助計算!$G$2:$G$801, 0)+1)),IF(INDEX(ERP資料!$G:$G, (MATCH(253, 輔助計算!$G$2:$G$801, 0)+1))&lt;100, IF(INDEX(ERP資料!$G:$G, (MATCH(253, 輔助計算!$G$2:$G$801, 0)+1))&lt;=31,3,IF(INDEX(ERP資料!$G:$G, (MATCH(253, 輔助計算!$G$2:$G$801, 0)+1))&lt;=46.5,2,1)), IF(INDEX(ERP資料!$G:$G, (MATCH(253, 輔助計算!$G$2:$G$801, 0)+1))&lt;=790,3,IF(INDEX(ERP資料!$G:$G, (MATCH(253, 輔助計算!$G$2:$G$801, 0)+1))&lt;=1181,2,1))))=0,"",IF(MOD(INDEX(輔助計算!$D:$D, (MATCH(253, 輔助計算!$G$2:$G$801, 0)+1)),IF(INDEX(ERP資料!$G:$G, (MATCH(253, 輔助計算!$G$2:$G$801, 0)+1))&lt;100, IF(INDEX(ERP資料!$G:$G, (MATCH(253, 輔助計算!$G$2:$G$801, 0)+1))&lt;=31,3,IF(INDEX(ERP資料!$G:$G, (MATCH(253, 輔助計算!$G$2:$G$801, 0)+1))&lt;=46.5,2,1)), IF(INDEX(ERP資料!$G:$G, (MATCH(253, 輔助計算!$G$2:$G$801, 0)+1))&lt;=790,3,IF(INDEX(ERP資料!$G:$G, (MATCH(253, 輔助計算!$G$2:$G$801, 0)+1))&lt;=1181,2,1))))=0,"",IF(MOD(INDEX(輔助計算!$D:$D, (MATCH(253, 輔助計算!$G$2:$G$801, 0)+1)),IF(INDEX(ERP資料!$G:$G, (MATCH(253, 輔助計算!$G$2:$G$801, 0)+1))&lt;100, IF(INDEX(ERP資料!$G:$G, (MATCH(253, 輔助計算!$G$2:$G$801, 0)+1))&lt;=31,3,IF(INDEX(ERP資料!$G:$G, (MATCH(253, 輔助計算!$G$2:$G$801, 0)+1))&lt;=46.5,2,1)), IF(INDEX(ERP資料!$G:$G, (MATCH(253, 輔助計算!$G$2:$G$801, 0)+1))&lt;=790,3,IF(INDEX(ERP資料!$G:$G, (MATCH(253, 輔助計算!$G$2:$G$801, 0)+1))&lt;=1181,2,1))))=1,TEXT(INDEX(ERP資料!$G:$G, (MATCH(253, 輔助計算!$G$2:$G$801, 0)+1)),"0.##"),IF(MOD(INDEX(輔助計算!$D:$D, (MATCH(253, 輔助計算!$G$2:$G$801, 0)+1)),IF(INDEX(ERP資料!$G:$G, (MATCH(253, 輔助計算!$G$2:$G$801, 0)+1))&lt;100, IF(INDEX(ERP資料!$G:$G, (MATCH(253, 輔助計算!$G$2:$G$801, 0)+1))&lt;=31,3,IF(INDEX(ERP資料!$G:$G, (MATCH(253, 輔助計算!$G$2:$G$801, 0)+1))&lt;=46.5,2,1)), IF(INDEX(ERP資料!$G:$G, (MATCH(253, 輔助計算!$G$2:$G$801, 0)+1))&lt;=790,3,IF(INDEX(ERP資料!$G:$G, (MATCH(253, 輔助計算!$G$2:$G$801, 0)+1))&lt;=1181,2,1))))=2,TEXT(INDEX(ERP資料!$G:$G, (MATCH(253, 輔助計算!$G$2:$G$801, 0)+1)),"0.##")&amp;"+"&amp;TEXT(INDEX(ERP資料!$G:$G, (MATCH(253, 輔助計算!$G$2:$G$801, 0)+1)),"0.##"),TEXT(INDEX(ERP資料!$G:$G, (MATCH(253, 輔助計算!$G$2:$G$801, 0)+1)),"0.##")&amp;"+"&amp;TEXT(INDEX(ERP資料!$G:$G, (MATCH(253, 輔助計算!$G$2:$G$801, 0)+1)),"0.##")&amp;"+"&amp;TEXT(INDEX(ERP資料!$G:$G, (MATCH(253, 輔助計算!$G$2:$G$801, 0)+1)),"0.##"))))&amp;"-1")&lt;&gt;""),"  ","")&amp;IF(MOD(INDEX(輔助計算!$D:$D, (MATCH(253, 輔助計算!$G$2:$G$801, 0)+1)),IF(INDEX(ERP資料!$G:$G, (MATCH(253, 輔助計算!$G$2:$G$801, 0)+1))&lt;100, IF(INDEX(ERP資料!$G:$G, (MATCH(253, 輔助計算!$G$2:$G$801, 0)+1))&lt;=31,3,IF(INDEX(ERP資料!$G:$G, (MATCH(253, 輔助計算!$G$2:$G$801, 0)+1))&lt;=46.5,2,1)), IF(INDEX(ERP資料!$G:$G, (MATCH(253, 輔助計算!$G$2:$G$801, 0)+1))&lt;=790,3,IF(INDEX(ERP資料!$G:$G, (MATCH(253, 輔助計算!$G$2:$G$801, 0)+1))&lt;=1181,2,1))))=0,"",IF(MOD(INDEX(輔助計算!$D:$D, (MATCH(253, 輔助計算!$G$2:$G$801, 0)+1)),IF(INDEX(ERP資料!$G:$G, (MATCH(253, 輔助計算!$G$2:$G$801, 0)+1))&lt;100, IF(INDEX(ERP資料!$G:$G, (MATCH(253, 輔助計算!$G$2:$G$801, 0)+1))&lt;=31,3,IF(INDEX(ERP資料!$G:$G, (MATCH(253, 輔助計算!$G$2:$G$801, 0)+1))&lt;=46.5,2,1)), IF(INDEX(ERP資料!$G:$G, (MATCH(253, 輔助計算!$G$2:$G$801, 0)+1))&lt;=790,3,IF(INDEX(ERP資料!$G:$G, (MATCH(253, 輔助計算!$G$2:$G$801, 0)+1))&lt;=1181,2,1))))=0,"",IF(MOD(INDEX(輔助計算!$D:$D, (MATCH(253, 輔助計算!$G$2:$G$801, 0)+1)),IF(INDEX(ERP資料!$G:$G, (MATCH(253, 輔助計算!$G$2:$G$801, 0)+1))&lt;100, IF(INDEX(ERP資料!$G:$G, (MATCH(253, 輔助計算!$G$2:$G$801, 0)+1))&lt;=31,3,IF(INDEX(ERP資料!$G:$G, (MATCH(253, 輔助計算!$G$2:$G$801, 0)+1))&lt;=46.5,2,1)), IF(INDEX(ERP資料!$G:$G, (MATCH(253, 輔助計算!$G$2:$G$801, 0)+1))&lt;=790,3,IF(INDEX(ERP資料!$G:$G, (MATCH(253, 輔助計算!$G$2:$G$801, 0)+1))&lt;=1181,2,1))))=1,TEXT(INDEX(ERP資料!$G:$G, (MATCH(253, 輔助計算!$G$2:$G$801, 0)+1)),"0.##"),IF(MOD(INDEX(輔助計算!$D:$D, (MATCH(253, 輔助計算!$G$2:$G$801, 0)+1)),IF(INDEX(ERP資料!$G:$G, (MATCH(253, 輔助計算!$G$2:$G$801, 0)+1))&lt;100, IF(INDEX(ERP資料!$G:$G, (MATCH(253, 輔助計算!$G$2:$G$801, 0)+1))&lt;=31,3,IF(INDEX(ERP資料!$G:$G, (MATCH(253, 輔助計算!$G$2:$G$801, 0)+1))&lt;=46.5,2,1)), IF(INDEX(ERP資料!$G:$G, (MATCH(253, 輔助計算!$G$2:$G$801, 0)+1))&lt;=790,3,IF(INDEX(ERP資料!$G:$G, (MATCH(253, 輔助計算!$G$2:$G$801, 0)+1))&lt;=1181,2,1))))=2,TEXT(INDEX(ERP資料!$G:$G, (MATCH(253, 輔助計算!$G$2:$G$801, 0)+1)),"0.##")&amp;"+"&amp;TEXT(INDEX(ERP資料!$G:$G, (MATCH(253, 輔助計算!$G$2:$G$801, 0)+1)),"0.##"),TEXT(INDEX(ERP資料!$G:$G, (MATCH(253, 輔助計算!$G$2:$G$801, 0)+1)),"0.##")&amp;"+"&amp;TEXT(INDEX(ERP資料!$G:$G, (MATCH(253, 輔助計算!$G$2:$G$801, 0)+1)),"0.##")&amp;"+"&amp;TEXT(INDEX(ERP資料!$G:$G, (MATCH(253, 輔助計算!$G$2:$G$801, 0)+1)),"0.##"))))&amp;"-1")), ""), "")</f>
        <v/>
      </c>
      <c r="K254" s="16" t="n"/>
      <c r="L254" s="14">
        <f>IFERROR(IF(AND(IFERROR(INDEX(ERP資料!$A:$A, (MATCH(253, 輔助計算!$G$2:$G$801, 0)+1)), "")&lt;&gt;"", IFERROR(INDEX(ERP資料!$A:$A, (MATCH(253, 輔助計算!$G$2:$G$801, 0)+1)), "")&lt;&gt;IFERROR(INDEX(ERP資料!$A:$A, MATCH(252, 輔助計算!$G$2:$G$801, 0)+1), "")), INDEX(ERP資料!$B:$B, (MATCH(253, 輔助計算!$G$2:$G$801, 0)+1)), ""), "")</f>
        <v/>
      </c>
      <c r="M254" s="17" t="n"/>
    </row>
    <row r="255">
      <c r="A255" s="10">
        <f>IFERROR(IF(AND(IFERROR(INDEX(ERP資料!$A:$A, (MATCH(254, 輔助計算!$G$2:$G$801, 0)+1)), "")&lt;&gt;"", IFERROR(INDEX(ERP資料!$A:$A, (MATCH(254, 輔助計算!$G$2:$G$801, 0)+1)), "")&lt;&gt;IFERROR(INDEX(ERP資料!$A:$A, MATCH(253, 輔助計算!$G$2:$G$801, 0)+1), "")), IFERROR(INDEX(ERP資料!$A:$A, (MATCH(254, 輔助計算!$G$2:$G$801, 0)+1)), ""), ""), "")</f>
        <v/>
      </c>
      <c r="B255" s="10">
        <f>IFERROR(IF(AND(IFERROR(INDEX(ERP資料!$A:$A, (MATCH(254, 輔助計算!$G$2:$G$801, 0)+1)), "")&lt;&gt;"", IFERROR(INDEX(ERP資料!$A:$A, (MATCH(254, 輔助計算!$G$2:$G$801, 0)+1)), "")&lt;&gt;IFERROR(INDEX(ERP資料!$A:$A, MATCH(253, 輔助計算!$G$2:$G$801, 0)+1), "")), INDEX(ERP資料!$S:$S, (MATCH(254, 輔助計算!$G$2:$G$801, 0)+1)), ""), "")</f>
        <v/>
      </c>
      <c r="C255" s="19">
        <f>IFERROR(IF(AND(IFERROR(INDEX(ERP資料!$A:$A, (MATCH(254, 輔助計算!$G$2:$G$801, 0)+1)), "")&lt;&gt;"", IFERROR(INDEX(ERP資料!$A:$A, (MATCH(254, 輔助計算!$G$2:$G$801, 0)+1)), "")&lt;&gt;IFERROR(INDEX(ERP資料!$A:$A, MATCH(253, 輔助計算!$G$2:$G$801, 0)+1), "")), IFERROR(VLOOKUP(LEFT(INDEX(ERP資料!$S:$S, (MATCH(254, 輔助計算!$G$2:$G$801, 0)+1)), 4), 紙管對照表!$A:$C, 3, FALSE), ""), ""), "")</f>
        <v/>
      </c>
      <c r="D255" s="16" t="n"/>
      <c r="E255" s="10">
        <f>IFERROR(IF(INDEX(ERP資料!$H:$H, (MATCH(254, 輔助計算!$G$2:$G$801, 0)+1))="","",INDEX(ERP資料!$H:$H, (MATCH(254, 輔助計算!$G$2:$G$801, 0)+1))), "")</f>
        <v/>
      </c>
      <c r="F255" s="10">
        <f>IFERROR(IF(INDEX(ERP資料!$E:$E, (MATCH(254, 輔助計算!$G$2:$G$801, 0)+1))="","",TRIM(INDEX(ERP資料!$E:$E, (MATCH(254, 輔助計算!$G$2:$G$801, 0)+1)))), "")</f>
        <v/>
      </c>
      <c r="G255" s="10">
        <f>IFERROR(IF(INDEX(ERP資料!$F:$F, (MATCH(254, 輔助計算!$G$2:$G$801, 0)+1))="","",INDEX(ERP資料!$F:$F, (MATCH(254, 輔助計算!$G$2:$G$801, 0)+1))), "")</f>
        <v/>
      </c>
      <c r="H255" s="10">
        <f>IFERROR(IF(INDEX(ERP資料!$G:$G, (MATCH(254, 輔助計算!$G$2:$G$801, 0)+1))="","",INDEX(ERP資料!$G:$G, (MATCH(254, 輔助計算!$G$2:$G$801, 0)+1))), "")</f>
        <v/>
      </c>
      <c r="I255" s="15">
        <f>IFERROR(INDEX(輔助計算!$D:$D, (MATCH(254, 輔助計算!$G$2:$G$801, 0)+1)), "")</f>
        <v/>
      </c>
      <c r="J255" s="15">
        <f>IFERROR(IF(AND(INDEX(輔助計算!$D:$D, (MATCH(254, 輔助計算!$G$2:$G$801, 0)+1))&lt;&gt;"", INDEX(ERP資料!$G:$G, (MATCH(254, 輔助計算!$G$2:$G$801, 0)+1))&lt;&gt;""), TRIM(IF(INT(INDEX(輔助計算!$D:$D, (MATCH(254, 輔助計算!$G$2:$G$801, 0)+1))/IF(INDEX(ERP資料!$G:$G, (MATCH(254, 輔助計算!$G$2:$G$801, 0)+1))&lt;100, IF(INDEX(ERP資料!$G:$G, (MATCH(254, 輔助計算!$G$2:$G$801, 0)+1))&lt;=31,3,IF(INDEX(ERP資料!$G:$G, (MATCH(254, 輔助計算!$G$2:$G$801, 0)+1))&lt;=46.5,2,1)), IF(INDEX(ERP資料!$G:$G, (MATCH(254, 輔助計算!$G$2:$G$801, 0)+1))&lt;=790,3,IF(INDEX(ERP資料!$G:$G, (MATCH(254, 輔助計算!$G$2:$G$801, 0)+1))&lt;=1181,2,1))))&gt;0, IF(IF(INDEX(ERP資料!$G:$G, (MATCH(254, 輔助計算!$G$2:$G$801, 0)+1))&lt;100, IF(INDEX(ERP資料!$G:$G, (MATCH(254, 輔助計算!$G$2:$G$801, 0)+1))&lt;=31,3,IF(INDEX(ERP資料!$G:$G, (MATCH(254, 輔助計算!$G$2:$G$801, 0)+1))&lt;=46.5,2,1)), IF(INDEX(ERP資料!$G:$G, (MATCH(254, 輔助計算!$G$2:$G$801, 0)+1))&lt;=790,3,IF(INDEX(ERP資料!$G:$G, (MATCH(254, 輔助計算!$G$2:$G$801, 0)+1))&lt;=1181,2,1)))=1,TEXT(INDEX(ERP資料!$G:$G, (MATCH(254, 輔助計算!$G$2:$G$801, 0)+1)),"0.##"),IF(IF(INDEX(ERP資料!$G:$G, (MATCH(254, 輔助計算!$G$2:$G$801, 0)+1))&lt;100, IF(INDEX(ERP資料!$G:$G, (MATCH(254, 輔助計算!$G$2:$G$801, 0)+1))&lt;=31,3,IF(INDEX(ERP資料!$G:$G, (MATCH(254, 輔助計算!$G$2:$G$801, 0)+1))&lt;=46.5,2,1)), IF(INDEX(ERP資料!$G:$G, (MATCH(254, 輔助計算!$G$2:$G$801, 0)+1))&lt;=790,3,IF(INDEX(ERP資料!$G:$G, (MATCH(254, 輔助計算!$G$2:$G$801, 0)+1))&lt;=1181,2,1)))=2,TEXT(INDEX(ERP資料!$G:$G, (MATCH(254, 輔助計算!$G$2:$G$801, 0)+1)),"0.##")&amp;"+"&amp;TEXT(INDEX(ERP資料!$G:$G, (MATCH(254, 輔助計算!$G$2:$G$801, 0)+1)),"0.##"),TEXT(INDEX(ERP資料!$G:$G, (MATCH(254, 輔助計算!$G$2:$G$801, 0)+1)),"0.##")&amp;"+"&amp;TEXT(INDEX(ERP資料!$G:$G, (MATCH(254, 輔助計算!$G$2:$G$801, 0)+1)),"0.##")&amp;"+"&amp;TEXT(INDEX(ERP資料!$G:$G, (MATCH(254, 輔助計算!$G$2:$G$801, 0)+1)),"0.##")))&amp;"-"&amp;INT(INDEX(輔助計算!$D:$D, (MATCH(254, 輔助計算!$G$2:$G$801, 0)+1))/IF(INDEX(ERP資料!$G:$G, (MATCH(254, 輔助計算!$G$2:$G$801, 0)+1))&lt;100, IF(INDEX(ERP資料!$G:$G, (MATCH(254, 輔助計算!$G$2:$G$801, 0)+1))&lt;=31,3,IF(INDEX(ERP資料!$G:$G, (MATCH(254, 輔助計算!$G$2:$G$801, 0)+1))&lt;=46.5,2,1)), IF(INDEX(ERP資料!$G:$G, (MATCH(254, 輔助計算!$G$2:$G$801, 0)+1))&lt;=790,3,IF(INDEX(ERP資料!$G:$G, (MATCH(254, 輔助計算!$G$2:$G$801, 0)+1))&lt;=1181,2,1)))), "")&amp;IF(AND(IF(INT(INDEX(輔助計算!$D:$D, (MATCH(254, 輔助計算!$G$2:$G$801, 0)+1))/IF(INDEX(ERP資料!$G:$G, (MATCH(254, 輔助計算!$G$2:$G$801, 0)+1))&lt;100, IF(INDEX(ERP資料!$G:$G, (MATCH(254, 輔助計算!$G$2:$G$801, 0)+1))&lt;=31,3,IF(INDEX(ERP資料!$G:$G, (MATCH(254, 輔助計算!$G$2:$G$801, 0)+1))&lt;=46.5,2,1)), IF(INDEX(ERP資料!$G:$G, (MATCH(254, 輔助計算!$G$2:$G$801, 0)+1))&lt;=790,3,IF(INDEX(ERP資料!$G:$G, (MATCH(254, 輔助計算!$G$2:$G$801, 0)+1))&lt;=1181,2,1))))&gt;0, IF(IF(INDEX(ERP資料!$G:$G, (MATCH(254, 輔助計算!$G$2:$G$801, 0)+1))&lt;100, IF(INDEX(ERP資料!$G:$G, (MATCH(254, 輔助計算!$G$2:$G$801, 0)+1))&lt;=31,3,IF(INDEX(ERP資料!$G:$G, (MATCH(254, 輔助計算!$G$2:$G$801, 0)+1))&lt;=46.5,2,1)), IF(INDEX(ERP資料!$G:$G, (MATCH(254, 輔助計算!$G$2:$G$801, 0)+1))&lt;=790,3,IF(INDEX(ERP資料!$G:$G, (MATCH(254, 輔助計算!$G$2:$G$801, 0)+1))&lt;=1181,2,1)))=1,TEXT(INDEX(ERP資料!$G:$G, (MATCH(254, 輔助計算!$G$2:$G$801, 0)+1)),"0.##"),IF(IF(INDEX(ERP資料!$G:$G, (MATCH(254, 輔助計算!$G$2:$G$801, 0)+1))&lt;100, IF(INDEX(ERP資料!$G:$G, (MATCH(254, 輔助計算!$G$2:$G$801, 0)+1))&lt;=31,3,IF(INDEX(ERP資料!$G:$G, (MATCH(254, 輔助計算!$G$2:$G$801, 0)+1))&lt;=46.5,2,1)), IF(INDEX(ERP資料!$G:$G, (MATCH(254, 輔助計算!$G$2:$G$801, 0)+1))&lt;=790,3,IF(INDEX(ERP資料!$G:$G, (MATCH(254, 輔助計算!$G$2:$G$801, 0)+1))&lt;=1181,2,1)))=2,TEXT(INDEX(ERP資料!$G:$G, (MATCH(254, 輔助計算!$G$2:$G$801, 0)+1)),"0.##")&amp;"+"&amp;TEXT(INDEX(ERP資料!$G:$G, (MATCH(254, 輔助計算!$G$2:$G$801, 0)+1)),"0.##"),TEXT(INDEX(ERP資料!$G:$G, (MATCH(254, 輔助計算!$G$2:$G$801, 0)+1)),"0.##")&amp;"+"&amp;TEXT(INDEX(ERP資料!$G:$G, (MATCH(254, 輔助計算!$G$2:$G$801, 0)+1)),"0.##")&amp;"+"&amp;TEXT(INDEX(ERP資料!$G:$G, (MATCH(254, 輔助計算!$G$2:$G$801, 0)+1)),"0.##")))&amp;"-"&amp;INT(INDEX(輔助計算!$D:$D, (MATCH(254, 輔助計算!$G$2:$G$801, 0)+1))/IF(INDEX(ERP資料!$G:$G, (MATCH(254, 輔助計算!$G$2:$G$801, 0)+1))&lt;100, IF(INDEX(ERP資料!$G:$G, (MATCH(254, 輔助計算!$G$2:$G$801, 0)+1))&lt;=31,3,IF(INDEX(ERP資料!$G:$G, (MATCH(254, 輔助計算!$G$2:$G$801, 0)+1))&lt;=46.5,2,1)), IF(INDEX(ERP資料!$G:$G, (MATCH(254, 輔助計算!$G$2:$G$801, 0)+1))&lt;=790,3,IF(INDEX(ERP資料!$G:$G, (MATCH(254, 輔助計算!$G$2:$G$801, 0)+1))&lt;=1181,2,1)))), "")&lt;&gt;"",IF(MOD(INDEX(輔助計算!$D:$D, (MATCH(254, 輔助計算!$G$2:$G$801, 0)+1)),IF(INDEX(ERP資料!$G:$G, (MATCH(254, 輔助計算!$G$2:$G$801, 0)+1))&lt;100, IF(INDEX(ERP資料!$G:$G, (MATCH(254, 輔助計算!$G$2:$G$801, 0)+1))&lt;=31,3,IF(INDEX(ERP資料!$G:$G, (MATCH(254, 輔助計算!$G$2:$G$801, 0)+1))&lt;=46.5,2,1)), IF(INDEX(ERP資料!$G:$G, (MATCH(254, 輔助計算!$G$2:$G$801, 0)+1))&lt;=790,3,IF(INDEX(ERP資料!$G:$G, (MATCH(254, 輔助計算!$G$2:$G$801, 0)+1))&lt;=1181,2,1))))=0,"",IF(MOD(INDEX(輔助計算!$D:$D, (MATCH(254, 輔助計算!$G$2:$G$801, 0)+1)),IF(INDEX(ERP資料!$G:$G, (MATCH(254, 輔助計算!$G$2:$G$801, 0)+1))&lt;100, IF(INDEX(ERP資料!$G:$G, (MATCH(254, 輔助計算!$G$2:$G$801, 0)+1))&lt;=31,3,IF(INDEX(ERP資料!$G:$G, (MATCH(254, 輔助計算!$G$2:$G$801, 0)+1))&lt;=46.5,2,1)), IF(INDEX(ERP資料!$G:$G, (MATCH(254, 輔助計算!$G$2:$G$801, 0)+1))&lt;=790,3,IF(INDEX(ERP資料!$G:$G, (MATCH(254, 輔助計算!$G$2:$G$801, 0)+1))&lt;=1181,2,1))))=0,"",IF(MOD(INDEX(輔助計算!$D:$D, (MATCH(254, 輔助計算!$G$2:$G$801, 0)+1)),IF(INDEX(ERP資料!$G:$G, (MATCH(254, 輔助計算!$G$2:$G$801, 0)+1))&lt;100, IF(INDEX(ERP資料!$G:$G, (MATCH(254, 輔助計算!$G$2:$G$801, 0)+1))&lt;=31,3,IF(INDEX(ERP資料!$G:$G, (MATCH(254, 輔助計算!$G$2:$G$801, 0)+1))&lt;=46.5,2,1)), IF(INDEX(ERP資料!$G:$G, (MATCH(254, 輔助計算!$G$2:$G$801, 0)+1))&lt;=790,3,IF(INDEX(ERP資料!$G:$G, (MATCH(254, 輔助計算!$G$2:$G$801, 0)+1))&lt;=1181,2,1))))=1,TEXT(INDEX(ERP資料!$G:$G, (MATCH(254, 輔助計算!$G$2:$G$801, 0)+1)),"0.##"),IF(MOD(INDEX(輔助計算!$D:$D, (MATCH(254, 輔助計算!$G$2:$G$801, 0)+1)),IF(INDEX(ERP資料!$G:$G, (MATCH(254, 輔助計算!$G$2:$G$801, 0)+1))&lt;100, IF(INDEX(ERP資料!$G:$G, (MATCH(254, 輔助計算!$G$2:$G$801, 0)+1))&lt;=31,3,IF(INDEX(ERP資料!$G:$G, (MATCH(254, 輔助計算!$G$2:$G$801, 0)+1))&lt;=46.5,2,1)), IF(INDEX(ERP資料!$G:$G, (MATCH(254, 輔助計算!$G$2:$G$801, 0)+1))&lt;=790,3,IF(INDEX(ERP資料!$G:$G, (MATCH(254, 輔助計算!$G$2:$G$801, 0)+1))&lt;=1181,2,1))))=2,TEXT(INDEX(ERP資料!$G:$G, (MATCH(254, 輔助計算!$G$2:$G$801, 0)+1)),"0.##")&amp;"+"&amp;TEXT(INDEX(ERP資料!$G:$G, (MATCH(254, 輔助計算!$G$2:$G$801, 0)+1)),"0.##"),TEXT(INDEX(ERP資料!$G:$G, (MATCH(254, 輔助計算!$G$2:$G$801, 0)+1)),"0.##")&amp;"+"&amp;TEXT(INDEX(ERP資料!$G:$G, (MATCH(254, 輔助計算!$G$2:$G$801, 0)+1)),"0.##")&amp;"+"&amp;TEXT(INDEX(ERP資料!$G:$G, (MATCH(254, 輔助計算!$G$2:$G$801, 0)+1)),"0.##"))))&amp;"-1")&lt;&gt;""),"  ","")&amp;IF(MOD(INDEX(輔助計算!$D:$D, (MATCH(254, 輔助計算!$G$2:$G$801, 0)+1)),IF(INDEX(ERP資料!$G:$G, (MATCH(254, 輔助計算!$G$2:$G$801, 0)+1))&lt;100, IF(INDEX(ERP資料!$G:$G, (MATCH(254, 輔助計算!$G$2:$G$801, 0)+1))&lt;=31,3,IF(INDEX(ERP資料!$G:$G, (MATCH(254, 輔助計算!$G$2:$G$801, 0)+1))&lt;=46.5,2,1)), IF(INDEX(ERP資料!$G:$G, (MATCH(254, 輔助計算!$G$2:$G$801, 0)+1))&lt;=790,3,IF(INDEX(ERP資料!$G:$G, (MATCH(254, 輔助計算!$G$2:$G$801, 0)+1))&lt;=1181,2,1))))=0,"",IF(MOD(INDEX(輔助計算!$D:$D, (MATCH(254, 輔助計算!$G$2:$G$801, 0)+1)),IF(INDEX(ERP資料!$G:$G, (MATCH(254, 輔助計算!$G$2:$G$801, 0)+1))&lt;100, IF(INDEX(ERP資料!$G:$G, (MATCH(254, 輔助計算!$G$2:$G$801, 0)+1))&lt;=31,3,IF(INDEX(ERP資料!$G:$G, (MATCH(254, 輔助計算!$G$2:$G$801, 0)+1))&lt;=46.5,2,1)), IF(INDEX(ERP資料!$G:$G, (MATCH(254, 輔助計算!$G$2:$G$801, 0)+1))&lt;=790,3,IF(INDEX(ERP資料!$G:$G, (MATCH(254, 輔助計算!$G$2:$G$801, 0)+1))&lt;=1181,2,1))))=0,"",IF(MOD(INDEX(輔助計算!$D:$D, (MATCH(254, 輔助計算!$G$2:$G$801, 0)+1)),IF(INDEX(ERP資料!$G:$G, (MATCH(254, 輔助計算!$G$2:$G$801, 0)+1))&lt;100, IF(INDEX(ERP資料!$G:$G, (MATCH(254, 輔助計算!$G$2:$G$801, 0)+1))&lt;=31,3,IF(INDEX(ERP資料!$G:$G, (MATCH(254, 輔助計算!$G$2:$G$801, 0)+1))&lt;=46.5,2,1)), IF(INDEX(ERP資料!$G:$G, (MATCH(254, 輔助計算!$G$2:$G$801, 0)+1))&lt;=790,3,IF(INDEX(ERP資料!$G:$G, (MATCH(254, 輔助計算!$G$2:$G$801, 0)+1))&lt;=1181,2,1))))=1,TEXT(INDEX(ERP資料!$G:$G, (MATCH(254, 輔助計算!$G$2:$G$801, 0)+1)),"0.##"),IF(MOD(INDEX(輔助計算!$D:$D, (MATCH(254, 輔助計算!$G$2:$G$801, 0)+1)),IF(INDEX(ERP資料!$G:$G, (MATCH(254, 輔助計算!$G$2:$G$801, 0)+1))&lt;100, IF(INDEX(ERP資料!$G:$G, (MATCH(254, 輔助計算!$G$2:$G$801, 0)+1))&lt;=31,3,IF(INDEX(ERP資料!$G:$G, (MATCH(254, 輔助計算!$G$2:$G$801, 0)+1))&lt;=46.5,2,1)), IF(INDEX(ERP資料!$G:$G, (MATCH(254, 輔助計算!$G$2:$G$801, 0)+1))&lt;=790,3,IF(INDEX(ERP資料!$G:$G, (MATCH(254, 輔助計算!$G$2:$G$801, 0)+1))&lt;=1181,2,1))))=2,TEXT(INDEX(ERP資料!$G:$G, (MATCH(254, 輔助計算!$G$2:$G$801, 0)+1)),"0.##")&amp;"+"&amp;TEXT(INDEX(ERP資料!$G:$G, (MATCH(254, 輔助計算!$G$2:$G$801, 0)+1)),"0.##"),TEXT(INDEX(ERP資料!$G:$G, (MATCH(254, 輔助計算!$G$2:$G$801, 0)+1)),"0.##")&amp;"+"&amp;TEXT(INDEX(ERP資料!$G:$G, (MATCH(254, 輔助計算!$G$2:$G$801, 0)+1)),"0.##")&amp;"+"&amp;TEXT(INDEX(ERP資料!$G:$G, (MATCH(254, 輔助計算!$G$2:$G$801, 0)+1)),"0.##"))))&amp;"-1")), ""), "")</f>
        <v/>
      </c>
      <c r="K255" s="16" t="n"/>
      <c r="L255" s="14">
        <f>IFERROR(IF(AND(IFERROR(INDEX(ERP資料!$A:$A, (MATCH(254, 輔助計算!$G$2:$G$801, 0)+1)), "")&lt;&gt;"", IFERROR(INDEX(ERP資料!$A:$A, (MATCH(254, 輔助計算!$G$2:$G$801, 0)+1)), "")&lt;&gt;IFERROR(INDEX(ERP資料!$A:$A, MATCH(253, 輔助計算!$G$2:$G$801, 0)+1), "")), INDEX(ERP資料!$B:$B, (MATCH(254, 輔助計算!$G$2:$G$801, 0)+1)), ""), "")</f>
        <v/>
      </c>
      <c r="M255" s="17" t="n"/>
    </row>
    <row r="256">
      <c r="A256" s="10">
        <f>IFERROR(IF(AND(IFERROR(INDEX(ERP資料!$A:$A, (MATCH(255, 輔助計算!$G$2:$G$801, 0)+1)), "")&lt;&gt;"", IFERROR(INDEX(ERP資料!$A:$A, (MATCH(255, 輔助計算!$G$2:$G$801, 0)+1)), "")&lt;&gt;IFERROR(INDEX(ERP資料!$A:$A, MATCH(254, 輔助計算!$G$2:$G$801, 0)+1), "")), IFERROR(INDEX(ERP資料!$A:$A, (MATCH(255, 輔助計算!$G$2:$G$801, 0)+1)), ""), ""), "")</f>
        <v/>
      </c>
      <c r="B256" s="10">
        <f>IFERROR(IF(AND(IFERROR(INDEX(ERP資料!$A:$A, (MATCH(255, 輔助計算!$G$2:$G$801, 0)+1)), "")&lt;&gt;"", IFERROR(INDEX(ERP資料!$A:$A, (MATCH(255, 輔助計算!$G$2:$G$801, 0)+1)), "")&lt;&gt;IFERROR(INDEX(ERP資料!$A:$A, MATCH(254, 輔助計算!$G$2:$G$801, 0)+1), "")), INDEX(ERP資料!$S:$S, (MATCH(255, 輔助計算!$G$2:$G$801, 0)+1)), ""), "")</f>
        <v/>
      </c>
      <c r="C256" s="19">
        <f>IFERROR(IF(AND(IFERROR(INDEX(ERP資料!$A:$A, (MATCH(255, 輔助計算!$G$2:$G$801, 0)+1)), "")&lt;&gt;"", IFERROR(INDEX(ERP資料!$A:$A, (MATCH(255, 輔助計算!$G$2:$G$801, 0)+1)), "")&lt;&gt;IFERROR(INDEX(ERP資料!$A:$A, MATCH(254, 輔助計算!$G$2:$G$801, 0)+1), "")), IFERROR(VLOOKUP(LEFT(INDEX(ERP資料!$S:$S, (MATCH(255, 輔助計算!$G$2:$G$801, 0)+1)), 4), 紙管對照表!$A:$C, 3, FALSE), ""), ""), "")</f>
        <v/>
      </c>
      <c r="D256" s="16" t="n"/>
      <c r="E256" s="10">
        <f>IFERROR(IF(INDEX(ERP資料!$H:$H, (MATCH(255, 輔助計算!$G$2:$G$801, 0)+1))="","",INDEX(ERP資料!$H:$H, (MATCH(255, 輔助計算!$G$2:$G$801, 0)+1))), "")</f>
        <v/>
      </c>
      <c r="F256" s="10">
        <f>IFERROR(IF(INDEX(ERP資料!$E:$E, (MATCH(255, 輔助計算!$G$2:$G$801, 0)+1))="","",TRIM(INDEX(ERP資料!$E:$E, (MATCH(255, 輔助計算!$G$2:$G$801, 0)+1)))), "")</f>
        <v/>
      </c>
      <c r="G256" s="10">
        <f>IFERROR(IF(INDEX(ERP資料!$F:$F, (MATCH(255, 輔助計算!$G$2:$G$801, 0)+1))="","",INDEX(ERP資料!$F:$F, (MATCH(255, 輔助計算!$G$2:$G$801, 0)+1))), "")</f>
        <v/>
      </c>
      <c r="H256" s="10">
        <f>IFERROR(IF(INDEX(ERP資料!$G:$G, (MATCH(255, 輔助計算!$G$2:$G$801, 0)+1))="","",INDEX(ERP資料!$G:$G, (MATCH(255, 輔助計算!$G$2:$G$801, 0)+1))), "")</f>
        <v/>
      </c>
      <c r="I256" s="15">
        <f>IFERROR(INDEX(輔助計算!$D:$D, (MATCH(255, 輔助計算!$G$2:$G$801, 0)+1)), "")</f>
        <v/>
      </c>
      <c r="J256" s="15">
        <f>IFERROR(IF(AND(INDEX(輔助計算!$D:$D, (MATCH(255, 輔助計算!$G$2:$G$801, 0)+1))&lt;&gt;"", INDEX(ERP資料!$G:$G, (MATCH(255, 輔助計算!$G$2:$G$801, 0)+1))&lt;&gt;""), TRIM(IF(INT(INDEX(輔助計算!$D:$D, (MATCH(255, 輔助計算!$G$2:$G$801, 0)+1))/IF(INDEX(ERP資料!$G:$G, (MATCH(255, 輔助計算!$G$2:$G$801, 0)+1))&lt;100, IF(INDEX(ERP資料!$G:$G, (MATCH(255, 輔助計算!$G$2:$G$801, 0)+1))&lt;=31,3,IF(INDEX(ERP資料!$G:$G, (MATCH(255, 輔助計算!$G$2:$G$801, 0)+1))&lt;=46.5,2,1)), IF(INDEX(ERP資料!$G:$G, (MATCH(255, 輔助計算!$G$2:$G$801, 0)+1))&lt;=790,3,IF(INDEX(ERP資料!$G:$G, (MATCH(255, 輔助計算!$G$2:$G$801, 0)+1))&lt;=1181,2,1))))&gt;0, IF(IF(INDEX(ERP資料!$G:$G, (MATCH(255, 輔助計算!$G$2:$G$801, 0)+1))&lt;100, IF(INDEX(ERP資料!$G:$G, (MATCH(255, 輔助計算!$G$2:$G$801, 0)+1))&lt;=31,3,IF(INDEX(ERP資料!$G:$G, (MATCH(255, 輔助計算!$G$2:$G$801, 0)+1))&lt;=46.5,2,1)), IF(INDEX(ERP資料!$G:$G, (MATCH(255, 輔助計算!$G$2:$G$801, 0)+1))&lt;=790,3,IF(INDEX(ERP資料!$G:$G, (MATCH(255, 輔助計算!$G$2:$G$801, 0)+1))&lt;=1181,2,1)))=1,TEXT(INDEX(ERP資料!$G:$G, (MATCH(255, 輔助計算!$G$2:$G$801, 0)+1)),"0.##"),IF(IF(INDEX(ERP資料!$G:$G, (MATCH(255, 輔助計算!$G$2:$G$801, 0)+1))&lt;100, IF(INDEX(ERP資料!$G:$G, (MATCH(255, 輔助計算!$G$2:$G$801, 0)+1))&lt;=31,3,IF(INDEX(ERP資料!$G:$G, (MATCH(255, 輔助計算!$G$2:$G$801, 0)+1))&lt;=46.5,2,1)), IF(INDEX(ERP資料!$G:$G, (MATCH(255, 輔助計算!$G$2:$G$801, 0)+1))&lt;=790,3,IF(INDEX(ERP資料!$G:$G, (MATCH(255, 輔助計算!$G$2:$G$801, 0)+1))&lt;=1181,2,1)))=2,TEXT(INDEX(ERP資料!$G:$G, (MATCH(255, 輔助計算!$G$2:$G$801, 0)+1)),"0.##")&amp;"+"&amp;TEXT(INDEX(ERP資料!$G:$G, (MATCH(255, 輔助計算!$G$2:$G$801, 0)+1)),"0.##"),TEXT(INDEX(ERP資料!$G:$G, (MATCH(255, 輔助計算!$G$2:$G$801, 0)+1)),"0.##")&amp;"+"&amp;TEXT(INDEX(ERP資料!$G:$G, (MATCH(255, 輔助計算!$G$2:$G$801, 0)+1)),"0.##")&amp;"+"&amp;TEXT(INDEX(ERP資料!$G:$G, (MATCH(255, 輔助計算!$G$2:$G$801, 0)+1)),"0.##")))&amp;"-"&amp;INT(INDEX(輔助計算!$D:$D, (MATCH(255, 輔助計算!$G$2:$G$801, 0)+1))/IF(INDEX(ERP資料!$G:$G, (MATCH(255, 輔助計算!$G$2:$G$801, 0)+1))&lt;100, IF(INDEX(ERP資料!$G:$G, (MATCH(255, 輔助計算!$G$2:$G$801, 0)+1))&lt;=31,3,IF(INDEX(ERP資料!$G:$G, (MATCH(255, 輔助計算!$G$2:$G$801, 0)+1))&lt;=46.5,2,1)), IF(INDEX(ERP資料!$G:$G, (MATCH(255, 輔助計算!$G$2:$G$801, 0)+1))&lt;=790,3,IF(INDEX(ERP資料!$G:$G, (MATCH(255, 輔助計算!$G$2:$G$801, 0)+1))&lt;=1181,2,1)))), "")&amp;IF(AND(IF(INT(INDEX(輔助計算!$D:$D, (MATCH(255, 輔助計算!$G$2:$G$801, 0)+1))/IF(INDEX(ERP資料!$G:$G, (MATCH(255, 輔助計算!$G$2:$G$801, 0)+1))&lt;100, IF(INDEX(ERP資料!$G:$G, (MATCH(255, 輔助計算!$G$2:$G$801, 0)+1))&lt;=31,3,IF(INDEX(ERP資料!$G:$G, (MATCH(255, 輔助計算!$G$2:$G$801, 0)+1))&lt;=46.5,2,1)), IF(INDEX(ERP資料!$G:$G, (MATCH(255, 輔助計算!$G$2:$G$801, 0)+1))&lt;=790,3,IF(INDEX(ERP資料!$G:$G, (MATCH(255, 輔助計算!$G$2:$G$801, 0)+1))&lt;=1181,2,1))))&gt;0, IF(IF(INDEX(ERP資料!$G:$G, (MATCH(255, 輔助計算!$G$2:$G$801, 0)+1))&lt;100, IF(INDEX(ERP資料!$G:$G, (MATCH(255, 輔助計算!$G$2:$G$801, 0)+1))&lt;=31,3,IF(INDEX(ERP資料!$G:$G, (MATCH(255, 輔助計算!$G$2:$G$801, 0)+1))&lt;=46.5,2,1)), IF(INDEX(ERP資料!$G:$G, (MATCH(255, 輔助計算!$G$2:$G$801, 0)+1))&lt;=790,3,IF(INDEX(ERP資料!$G:$G, (MATCH(255, 輔助計算!$G$2:$G$801, 0)+1))&lt;=1181,2,1)))=1,TEXT(INDEX(ERP資料!$G:$G, (MATCH(255, 輔助計算!$G$2:$G$801, 0)+1)),"0.##"),IF(IF(INDEX(ERP資料!$G:$G, (MATCH(255, 輔助計算!$G$2:$G$801, 0)+1))&lt;100, IF(INDEX(ERP資料!$G:$G, (MATCH(255, 輔助計算!$G$2:$G$801, 0)+1))&lt;=31,3,IF(INDEX(ERP資料!$G:$G, (MATCH(255, 輔助計算!$G$2:$G$801, 0)+1))&lt;=46.5,2,1)), IF(INDEX(ERP資料!$G:$G, (MATCH(255, 輔助計算!$G$2:$G$801, 0)+1))&lt;=790,3,IF(INDEX(ERP資料!$G:$G, (MATCH(255, 輔助計算!$G$2:$G$801, 0)+1))&lt;=1181,2,1)))=2,TEXT(INDEX(ERP資料!$G:$G, (MATCH(255, 輔助計算!$G$2:$G$801, 0)+1)),"0.##")&amp;"+"&amp;TEXT(INDEX(ERP資料!$G:$G, (MATCH(255, 輔助計算!$G$2:$G$801, 0)+1)),"0.##"),TEXT(INDEX(ERP資料!$G:$G, (MATCH(255, 輔助計算!$G$2:$G$801, 0)+1)),"0.##")&amp;"+"&amp;TEXT(INDEX(ERP資料!$G:$G, (MATCH(255, 輔助計算!$G$2:$G$801, 0)+1)),"0.##")&amp;"+"&amp;TEXT(INDEX(ERP資料!$G:$G, (MATCH(255, 輔助計算!$G$2:$G$801, 0)+1)),"0.##")))&amp;"-"&amp;INT(INDEX(輔助計算!$D:$D, (MATCH(255, 輔助計算!$G$2:$G$801, 0)+1))/IF(INDEX(ERP資料!$G:$G, (MATCH(255, 輔助計算!$G$2:$G$801, 0)+1))&lt;100, IF(INDEX(ERP資料!$G:$G, (MATCH(255, 輔助計算!$G$2:$G$801, 0)+1))&lt;=31,3,IF(INDEX(ERP資料!$G:$G, (MATCH(255, 輔助計算!$G$2:$G$801, 0)+1))&lt;=46.5,2,1)), IF(INDEX(ERP資料!$G:$G, (MATCH(255, 輔助計算!$G$2:$G$801, 0)+1))&lt;=790,3,IF(INDEX(ERP資料!$G:$G, (MATCH(255, 輔助計算!$G$2:$G$801, 0)+1))&lt;=1181,2,1)))), "")&lt;&gt;"",IF(MOD(INDEX(輔助計算!$D:$D, (MATCH(255, 輔助計算!$G$2:$G$801, 0)+1)),IF(INDEX(ERP資料!$G:$G, (MATCH(255, 輔助計算!$G$2:$G$801, 0)+1))&lt;100, IF(INDEX(ERP資料!$G:$G, (MATCH(255, 輔助計算!$G$2:$G$801, 0)+1))&lt;=31,3,IF(INDEX(ERP資料!$G:$G, (MATCH(255, 輔助計算!$G$2:$G$801, 0)+1))&lt;=46.5,2,1)), IF(INDEX(ERP資料!$G:$G, (MATCH(255, 輔助計算!$G$2:$G$801, 0)+1))&lt;=790,3,IF(INDEX(ERP資料!$G:$G, (MATCH(255, 輔助計算!$G$2:$G$801, 0)+1))&lt;=1181,2,1))))=0,"",IF(MOD(INDEX(輔助計算!$D:$D, (MATCH(255, 輔助計算!$G$2:$G$801, 0)+1)),IF(INDEX(ERP資料!$G:$G, (MATCH(255, 輔助計算!$G$2:$G$801, 0)+1))&lt;100, IF(INDEX(ERP資料!$G:$G, (MATCH(255, 輔助計算!$G$2:$G$801, 0)+1))&lt;=31,3,IF(INDEX(ERP資料!$G:$G, (MATCH(255, 輔助計算!$G$2:$G$801, 0)+1))&lt;=46.5,2,1)), IF(INDEX(ERP資料!$G:$G, (MATCH(255, 輔助計算!$G$2:$G$801, 0)+1))&lt;=790,3,IF(INDEX(ERP資料!$G:$G, (MATCH(255, 輔助計算!$G$2:$G$801, 0)+1))&lt;=1181,2,1))))=0,"",IF(MOD(INDEX(輔助計算!$D:$D, (MATCH(255, 輔助計算!$G$2:$G$801, 0)+1)),IF(INDEX(ERP資料!$G:$G, (MATCH(255, 輔助計算!$G$2:$G$801, 0)+1))&lt;100, IF(INDEX(ERP資料!$G:$G, (MATCH(255, 輔助計算!$G$2:$G$801, 0)+1))&lt;=31,3,IF(INDEX(ERP資料!$G:$G, (MATCH(255, 輔助計算!$G$2:$G$801, 0)+1))&lt;=46.5,2,1)), IF(INDEX(ERP資料!$G:$G, (MATCH(255, 輔助計算!$G$2:$G$801, 0)+1))&lt;=790,3,IF(INDEX(ERP資料!$G:$G, (MATCH(255, 輔助計算!$G$2:$G$801, 0)+1))&lt;=1181,2,1))))=1,TEXT(INDEX(ERP資料!$G:$G, (MATCH(255, 輔助計算!$G$2:$G$801, 0)+1)),"0.##"),IF(MOD(INDEX(輔助計算!$D:$D, (MATCH(255, 輔助計算!$G$2:$G$801, 0)+1)),IF(INDEX(ERP資料!$G:$G, (MATCH(255, 輔助計算!$G$2:$G$801, 0)+1))&lt;100, IF(INDEX(ERP資料!$G:$G, (MATCH(255, 輔助計算!$G$2:$G$801, 0)+1))&lt;=31,3,IF(INDEX(ERP資料!$G:$G, (MATCH(255, 輔助計算!$G$2:$G$801, 0)+1))&lt;=46.5,2,1)), IF(INDEX(ERP資料!$G:$G, (MATCH(255, 輔助計算!$G$2:$G$801, 0)+1))&lt;=790,3,IF(INDEX(ERP資料!$G:$G, (MATCH(255, 輔助計算!$G$2:$G$801, 0)+1))&lt;=1181,2,1))))=2,TEXT(INDEX(ERP資料!$G:$G, (MATCH(255, 輔助計算!$G$2:$G$801, 0)+1)),"0.##")&amp;"+"&amp;TEXT(INDEX(ERP資料!$G:$G, (MATCH(255, 輔助計算!$G$2:$G$801, 0)+1)),"0.##"),TEXT(INDEX(ERP資料!$G:$G, (MATCH(255, 輔助計算!$G$2:$G$801, 0)+1)),"0.##")&amp;"+"&amp;TEXT(INDEX(ERP資料!$G:$G, (MATCH(255, 輔助計算!$G$2:$G$801, 0)+1)),"0.##")&amp;"+"&amp;TEXT(INDEX(ERP資料!$G:$G, (MATCH(255, 輔助計算!$G$2:$G$801, 0)+1)),"0.##"))))&amp;"-1")&lt;&gt;""),"  ","")&amp;IF(MOD(INDEX(輔助計算!$D:$D, (MATCH(255, 輔助計算!$G$2:$G$801, 0)+1)),IF(INDEX(ERP資料!$G:$G, (MATCH(255, 輔助計算!$G$2:$G$801, 0)+1))&lt;100, IF(INDEX(ERP資料!$G:$G, (MATCH(255, 輔助計算!$G$2:$G$801, 0)+1))&lt;=31,3,IF(INDEX(ERP資料!$G:$G, (MATCH(255, 輔助計算!$G$2:$G$801, 0)+1))&lt;=46.5,2,1)), IF(INDEX(ERP資料!$G:$G, (MATCH(255, 輔助計算!$G$2:$G$801, 0)+1))&lt;=790,3,IF(INDEX(ERP資料!$G:$G, (MATCH(255, 輔助計算!$G$2:$G$801, 0)+1))&lt;=1181,2,1))))=0,"",IF(MOD(INDEX(輔助計算!$D:$D, (MATCH(255, 輔助計算!$G$2:$G$801, 0)+1)),IF(INDEX(ERP資料!$G:$G, (MATCH(255, 輔助計算!$G$2:$G$801, 0)+1))&lt;100, IF(INDEX(ERP資料!$G:$G, (MATCH(255, 輔助計算!$G$2:$G$801, 0)+1))&lt;=31,3,IF(INDEX(ERP資料!$G:$G, (MATCH(255, 輔助計算!$G$2:$G$801, 0)+1))&lt;=46.5,2,1)), IF(INDEX(ERP資料!$G:$G, (MATCH(255, 輔助計算!$G$2:$G$801, 0)+1))&lt;=790,3,IF(INDEX(ERP資料!$G:$G, (MATCH(255, 輔助計算!$G$2:$G$801, 0)+1))&lt;=1181,2,1))))=0,"",IF(MOD(INDEX(輔助計算!$D:$D, (MATCH(255, 輔助計算!$G$2:$G$801, 0)+1)),IF(INDEX(ERP資料!$G:$G, (MATCH(255, 輔助計算!$G$2:$G$801, 0)+1))&lt;100, IF(INDEX(ERP資料!$G:$G, (MATCH(255, 輔助計算!$G$2:$G$801, 0)+1))&lt;=31,3,IF(INDEX(ERP資料!$G:$G, (MATCH(255, 輔助計算!$G$2:$G$801, 0)+1))&lt;=46.5,2,1)), IF(INDEX(ERP資料!$G:$G, (MATCH(255, 輔助計算!$G$2:$G$801, 0)+1))&lt;=790,3,IF(INDEX(ERP資料!$G:$G, (MATCH(255, 輔助計算!$G$2:$G$801, 0)+1))&lt;=1181,2,1))))=1,TEXT(INDEX(ERP資料!$G:$G, (MATCH(255, 輔助計算!$G$2:$G$801, 0)+1)),"0.##"),IF(MOD(INDEX(輔助計算!$D:$D, (MATCH(255, 輔助計算!$G$2:$G$801, 0)+1)),IF(INDEX(ERP資料!$G:$G, (MATCH(255, 輔助計算!$G$2:$G$801, 0)+1))&lt;100, IF(INDEX(ERP資料!$G:$G, (MATCH(255, 輔助計算!$G$2:$G$801, 0)+1))&lt;=31,3,IF(INDEX(ERP資料!$G:$G, (MATCH(255, 輔助計算!$G$2:$G$801, 0)+1))&lt;=46.5,2,1)), IF(INDEX(ERP資料!$G:$G, (MATCH(255, 輔助計算!$G$2:$G$801, 0)+1))&lt;=790,3,IF(INDEX(ERP資料!$G:$G, (MATCH(255, 輔助計算!$G$2:$G$801, 0)+1))&lt;=1181,2,1))))=2,TEXT(INDEX(ERP資料!$G:$G, (MATCH(255, 輔助計算!$G$2:$G$801, 0)+1)),"0.##")&amp;"+"&amp;TEXT(INDEX(ERP資料!$G:$G, (MATCH(255, 輔助計算!$G$2:$G$801, 0)+1)),"0.##"),TEXT(INDEX(ERP資料!$G:$G, (MATCH(255, 輔助計算!$G$2:$G$801, 0)+1)),"0.##")&amp;"+"&amp;TEXT(INDEX(ERP資料!$G:$G, (MATCH(255, 輔助計算!$G$2:$G$801, 0)+1)),"0.##")&amp;"+"&amp;TEXT(INDEX(ERP資料!$G:$G, (MATCH(255, 輔助計算!$G$2:$G$801, 0)+1)),"0.##"))))&amp;"-1")), ""), "")</f>
        <v/>
      </c>
      <c r="K256" s="16" t="n"/>
      <c r="L256" s="14">
        <f>IFERROR(IF(AND(IFERROR(INDEX(ERP資料!$A:$A, (MATCH(255, 輔助計算!$G$2:$G$801, 0)+1)), "")&lt;&gt;"", IFERROR(INDEX(ERP資料!$A:$A, (MATCH(255, 輔助計算!$G$2:$G$801, 0)+1)), "")&lt;&gt;IFERROR(INDEX(ERP資料!$A:$A, MATCH(254, 輔助計算!$G$2:$G$801, 0)+1), "")), INDEX(ERP資料!$B:$B, (MATCH(255, 輔助計算!$G$2:$G$801, 0)+1)), ""), "")</f>
        <v/>
      </c>
      <c r="M256" s="17" t="n"/>
    </row>
    <row r="257">
      <c r="A257" s="10">
        <f>IFERROR(IF(AND(IFERROR(INDEX(ERP資料!$A:$A, (MATCH(256, 輔助計算!$G$2:$G$801, 0)+1)), "")&lt;&gt;"", IFERROR(INDEX(ERP資料!$A:$A, (MATCH(256, 輔助計算!$G$2:$G$801, 0)+1)), "")&lt;&gt;IFERROR(INDEX(ERP資料!$A:$A, MATCH(255, 輔助計算!$G$2:$G$801, 0)+1), "")), IFERROR(INDEX(ERP資料!$A:$A, (MATCH(256, 輔助計算!$G$2:$G$801, 0)+1)), ""), ""), "")</f>
        <v/>
      </c>
      <c r="B257" s="10">
        <f>IFERROR(IF(AND(IFERROR(INDEX(ERP資料!$A:$A, (MATCH(256, 輔助計算!$G$2:$G$801, 0)+1)), "")&lt;&gt;"", IFERROR(INDEX(ERP資料!$A:$A, (MATCH(256, 輔助計算!$G$2:$G$801, 0)+1)), "")&lt;&gt;IFERROR(INDEX(ERP資料!$A:$A, MATCH(255, 輔助計算!$G$2:$G$801, 0)+1), "")), INDEX(ERP資料!$S:$S, (MATCH(256, 輔助計算!$G$2:$G$801, 0)+1)), ""), "")</f>
        <v/>
      </c>
      <c r="C257" s="19">
        <f>IFERROR(IF(AND(IFERROR(INDEX(ERP資料!$A:$A, (MATCH(256, 輔助計算!$G$2:$G$801, 0)+1)), "")&lt;&gt;"", IFERROR(INDEX(ERP資料!$A:$A, (MATCH(256, 輔助計算!$G$2:$G$801, 0)+1)), "")&lt;&gt;IFERROR(INDEX(ERP資料!$A:$A, MATCH(255, 輔助計算!$G$2:$G$801, 0)+1), "")), IFERROR(VLOOKUP(LEFT(INDEX(ERP資料!$S:$S, (MATCH(256, 輔助計算!$G$2:$G$801, 0)+1)), 4), 紙管對照表!$A:$C, 3, FALSE), ""), ""), "")</f>
        <v/>
      </c>
      <c r="D257" s="16" t="n"/>
      <c r="E257" s="10">
        <f>IFERROR(IF(INDEX(ERP資料!$H:$H, (MATCH(256, 輔助計算!$G$2:$G$801, 0)+1))="","",INDEX(ERP資料!$H:$H, (MATCH(256, 輔助計算!$G$2:$G$801, 0)+1))), "")</f>
        <v/>
      </c>
      <c r="F257" s="10">
        <f>IFERROR(IF(INDEX(ERP資料!$E:$E, (MATCH(256, 輔助計算!$G$2:$G$801, 0)+1))="","",TRIM(INDEX(ERP資料!$E:$E, (MATCH(256, 輔助計算!$G$2:$G$801, 0)+1)))), "")</f>
        <v/>
      </c>
      <c r="G257" s="10">
        <f>IFERROR(IF(INDEX(ERP資料!$F:$F, (MATCH(256, 輔助計算!$G$2:$G$801, 0)+1))="","",INDEX(ERP資料!$F:$F, (MATCH(256, 輔助計算!$G$2:$G$801, 0)+1))), "")</f>
        <v/>
      </c>
      <c r="H257" s="10">
        <f>IFERROR(IF(INDEX(ERP資料!$G:$G, (MATCH(256, 輔助計算!$G$2:$G$801, 0)+1))="","",INDEX(ERP資料!$G:$G, (MATCH(256, 輔助計算!$G$2:$G$801, 0)+1))), "")</f>
        <v/>
      </c>
      <c r="I257" s="15">
        <f>IFERROR(INDEX(輔助計算!$D:$D, (MATCH(256, 輔助計算!$G$2:$G$801, 0)+1)), "")</f>
        <v/>
      </c>
      <c r="J257" s="15">
        <f>IFERROR(IF(AND(INDEX(輔助計算!$D:$D, (MATCH(256, 輔助計算!$G$2:$G$801, 0)+1))&lt;&gt;"", INDEX(ERP資料!$G:$G, (MATCH(256, 輔助計算!$G$2:$G$801, 0)+1))&lt;&gt;""), TRIM(IF(INT(INDEX(輔助計算!$D:$D, (MATCH(256, 輔助計算!$G$2:$G$801, 0)+1))/IF(INDEX(ERP資料!$G:$G, (MATCH(256, 輔助計算!$G$2:$G$801, 0)+1))&lt;100, IF(INDEX(ERP資料!$G:$G, (MATCH(256, 輔助計算!$G$2:$G$801, 0)+1))&lt;=31,3,IF(INDEX(ERP資料!$G:$G, (MATCH(256, 輔助計算!$G$2:$G$801, 0)+1))&lt;=46.5,2,1)), IF(INDEX(ERP資料!$G:$G, (MATCH(256, 輔助計算!$G$2:$G$801, 0)+1))&lt;=790,3,IF(INDEX(ERP資料!$G:$G, (MATCH(256, 輔助計算!$G$2:$G$801, 0)+1))&lt;=1181,2,1))))&gt;0, IF(IF(INDEX(ERP資料!$G:$G, (MATCH(256, 輔助計算!$G$2:$G$801, 0)+1))&lt;100, IF(INDEX(ERP資料!$G:$G, (MATCH(256, 輔助計算!$G$2:$G$801, 0)+1))&lt;=31,3,IF(INDEX(ERP資料!$G:$G, (MATCH(256, 輔助計算!$G$2:$G$801, 0)+1))&lt;=46.5,2,1)), IF(INDEX(ERP資料!$G:$G, (MATCH(256, 輔助計算!$G$2:$G$801, 0)+1))&lt;=790,3,IF(INDEX(ERP資料!$G:$G, (MATCH(256, 輔助計算!$G$2:$G$801, 0)+1))&lt;=1181,2,1)))=1,TEXT(INDEX(ERP資料!$G:$G, (MATCH(256, 輔助計算!$G$2:$G$801, 0)+1)),"0.##"),IF(IF(INDEX(ERP資料!$G:$G, (MATCH(256, 輔助計算!$G$2:$G$801, 0)+1))&lt;100, IF(INDEX(ERP資料!$G:$G, (MATCH(256, 輔助計算!$G$2:$G$801, 0)+1))&lt;=31,3,IF(INDEX(ERP資料!$G:$G, (MATCH(256, 輔助計算!$G$2:$G$801, 0)+1))&lt;=46.5,2,1)), IF(INDEX(ERP資料!$G:$G, (MATCH(256, 輔助計算!$G$2:$G$801, 0)+1))&lt;=790,3,IF(INDEX(ERP資料!$G:$G, (MATCH(256, 輔助計算!$G$2:$G$801, 0)+1))&lt;=1181,2,1)))=2,TEXT(INDEX(ERP資料!$G:$G, (MATCH(256, 輔助計算!$G$2:$G$801, 0)+1)),"0.##")&amp;"+"&amp;TEXT(INDEX(ERP資料!$G:$G, (MATCH(256, 輔助計算!$G$2:$G$801, 0)+1)),"0.##"),TEXT(INDEX(ERP資料!$G:$G, (MATCH(256, 輔助計算!$G$2:$G$801, 0)+1)),"0.##")&amp;"+"&amp;TEXT(INDEX(ERP資料!$G:$G, (MATCH(256, 輔助計算!$G$2:$G$801, 0)+1)),"0.##")&amp;"+"&amp;TEXT(INDEX(ERP資料!$G:$G, (MATCH(256, 輔助計算!$G$2:$G$801, 0)+1)),"0.##")))&amp;"-"&amp;INT(INDEX(輔助計算!$D:$D, (MATCH(256, 輔助計算!$G$2:$G$801, 0)+1))/IF(INDEX(ERP資料!$G:$G, (MATCH(256, 輔助計算!$G$2:$G$801, 0)+1))&lt;100, IF(INDEX(ERP資料!$G:$G, (MATCH(256, 輔助計算!$G$2:$G$801, 0)+1))&lt;=31,3,IF(INDEX(ERP資料!$G:$G, (MATCH(256, 輔助計算!$G$2:$G$801, 0)+1))&lt;=46.5,2,1)), IF(INDEX(ERP資料!$G:$G, (MATCH(256, 輔助計算!$G$2:$G$801, 0)+1))&lt;=790,3,IF(INDEX(ERP資料!$G:$G, (MATCH(256, 輔助計算!$G$2:$G$801, 0)+1))&lt;=1181,2,1)))), "")&amp;IF(AND(IF(INT(INDEX(輔助計算!$D:$D, (MATCH(256, 輔助計算!$G$2:$G$801, 0)+1))/IF(INDEX(ERP資料!$G:$G, (MATCH(256, 輔助計算!$G$2:$G$801, 0)+1))&lt;100, IF(INDEX(ERP資料!$G:$G, (MATCH(256, 輔助計算!$G$2:$G$801, 0)+1))&lt;=31,3,IF(INDEX(ERP資料!$G:$G, (MATCH(256, 輔助計算!$G$2:$G$801, 0)+1))&lt;=46.5,2,1)), IF(INDEX(ERP資料!$G:$G, (MATCH(256, 輔助計算!$G$2:$G$801, 0)+1))&lt;=790,3,IF(INDEX(ERP資料!$G:$G, (MATCH(256, 輔助計算!$G$2:$G$801, 0)+1))&lt;=1181,2,1))))&gt;0, IF(IF(INDEX(ERP資料!$G:$G, (MATCH(256, 輔助計算!$G$2:$G$801, 0)+1))&lt;100, IF(INDEX(ERP資料!$G:$G, (MATCH(256, 輔助計算!$G$2:$G$801, 0)+1))&lt;=31,3,IF(INDEX(ERP資料!$G:$G, (MATCH(256, 輔助計算!$G$2:$G$801, 0)+1))&lt;=46.5,2,1)), IF(INDEX(ERP資料!$G:$G, (MATCH(256, 輔助計算!$G$2:$G$801, 0)+1))&lt;=790,3,IF(INDEX(ERP資料!$G:$G, (MATCH(256, 輔助計算!$G$2:$G$801, 0)+1))&lt;=1181,2,1)))=1,TEXT(INDEX(ERP資料!$G:$G, (MATCH(256, 輔助計算!$G$2:$G$801, 0)+1)),"0.##"),IF(IF(INDEX(ERP資料!$G:$G, (MATCH(256, 輔助計算!$G$2:$G$801, 0)+1))&lt;100, IF(INDEX(ERP資料!$G:$G, (MATCH(256, 輔助計算!$G$2:$G$801, 0)+1))&lt;=31,3,IF(INDEX(ERP資料!$G:$G, (MATCH(256, 輔助計算!$G$2:$G$801, 0)+1))&lt;=46.5,2,1)), IF(INDEX(ERP資料!$G:$G, (MATCH(256, 輔助計算!$G$2:$G$801, 0)+1))&lt;=790,3,IF(INDEX(ERP資料!$G:$G, (MATCH(256, 輔助計算!$G$2:$G$801, 0)+1))&lt;=1181,2,1)))=2,TEXT(INDEX(ERP資料!$G:$G, (MATCH(256, 輔助計算!$G$2:$G$801, 0)+1)),"0.##")&amp;"+"&amp;TEXT(INDEX(ERP資料!$G:$G, (MATCH(256, 輔助計算!$G$2:$G$801, 0)+1)),"0.##"),TEXT(INDEX(ERP資料!$G:$G, (MATCH(256, 輔助計算!$G$2:$G$801, 0)+1)),"0.##")&amp;"+"&amp;TEXT(INDEX(ERP資料!$G:$G, (MATCH(256, 輔助計算!$G$2:$G$801, 0)+1)),"0.##")&amp;"+"&amp;TEXT(INDEX(ERP資料!$G:$G, (MATCH(256, 輔助計算!$G$2:$G$801, 0)+1)),"0.##")))&amp;"-"&amp;INT(INDEX(輔助計算!$D:$D, (MATCH(256, 輔助計算!$G$2:$G$801, 0)+1))/IF(INDEX(ERP資料!$G:$G, (MATCH(256, 輔助計算!$G$2:$G$801, 0)+1))&lt;100, IF(INDEX(ERP資料!$G:$G, (MATCH(256, 輔助計算!$G$2:$G$801, 0)+1))&lt;=31,3,IF(INDEX(ERP資料!$G:$G, (MATCH(256, 輔助計算!$G$2:$G$801, 0)+1))&lt;=46.5,2,1)), IF(INDEX(ERP資料!$G:$G, (MATCH(256, 輔助計算!$G$2:$G$801, 0)+1))&lt;=790,3,IF(INDEX(ERP資料!$G:$G, (MATCH(256, 輔助計算!$G$2:$G$801, 0)+1))&lt;=1181,2,1)))), "")&lt;&gt;"",IF(MOD(INDEX(輔助計算!$D:$D, (MATCH(256, 輔助計算!$G$2:$G$801, 0)+1)),IF(INDEX(ERP資料!$G:$G, (MATCH(256, 輔助計算!$G$2:$G$801, 0)+1))&lt;100, IF(INDEX(ERP資料!$G:$G, (MATCH(256, 輔助計算!$G$2:$G$801, 0)+1))&lt;=31,3,IF(INDEX(ERP資料!$G:$G, (MATCH(256, 輔助計算!$G$2:$G$801, 0)+1))&lt;=46.5,2,1)), IF(INDEX(ERP資料!$G:$G, (MATCH(256, 輔助計算!$G$2:$G$801, 0)+1))&lt;=790,3,IF(INDEX(ERP資料!$G:$G, (MATCH(256, 輔助計算!$G$2:$G$801, 0)+1))&lt;=1181,2,1))))=0,"",IF(MOD(INDEX(輔助計算!$D:$D, (MATCH(256, 輔助計算!$G$2:$G$801, 0)+1)),IF(INDEX(ERP資料!$G:$G, (MATCH(256, 輔助計算!$G$2:$G$801, 0)+1))&lt;100, IF(INDEX(ERP資料!$G:$G, (MATCH(256, 輔助計算!$G$2:$G$801, 0)+1))&lt;=31,3,IF(INDEX(ERP資料!$G:$G, (MATCH(256, 輔助計算!$G$2:$G$801, 0)+1))&lt;=46.5,2,1)), IF(INDEX(ERP資料!$G:$G, (MATCH(256, 輔助計算!$G$2:$G$801, 0)+1))&lt;=790,3,IF(INDEX(ERP資料!$G:$G, (MATCH(256, 輔助計算!$G$2:$G$801, 0)+1))&lt;=1181,2,1))))=0,"",IF(MOD(INDEX(輔助計算!$D:$D, (MATCH(256, 輔助計算!$G$2:$G$801, 0)+1)),IF(INDEX(ERP資料!$G:$G, (MATCH(256, 輔助計算!$G$2:$G$801, 0)+1))&lt;100, IF(INDEX(ERP資料!$G:$G, (MATCH(256, 輔助計算!$G$2:$G$801, 0)+1))&lt;=31,3,IF(INDEX(ERP資料!$G:$G, (MATCH(256, 輔助計算!$G$2:$G$801, 0)+1))&lt;=46.5,2,1)), IF(INDEX(ERP資料!$G:$G, (MATCH(256, 輔助計算!$G$2:$G$801, 0)+1))&lt;=790,3,IF(INDEX(ERP資料!$G:$G, (MATCH(256, 輔助計算!$G$2:$G$801, 0)+1))&lt;=1181,2,1))))=1,TEXT(INDEX(ERP資料!$G:$G, (MATCH(256, 輔助計算!$G$2:$G$801, 0)+1)),"0.##"),IF(MOD(INDEX(輔助計算!$D:$D, (MATCH(256, 輔助計算!$G$2:$G$801, 0)+1)),IF(INDEX(ERP資料!$G:$G, (MATCH(256, 輔助計算!$G$2:$G$801, 0)+1))&lt;100, IF(INDEX(ERP資料!$G:$G, (MATCH(256, 輔助計算!$G$2:$G$801, 0)+1))&lt;=31,3,IF(INDEX(ERP資料!$G:$G, (MATCH(256, 輔助計算!$G$2:$G$801, 0)+1))&lt;=46.5,2,1)), IF(INDEX(ERP資料!$G:$G, (MATCH(256, 輔助計算!$G$2:$G$801, 0)+1))&lt;=790,3,IF(INDEX(ERP資料!$G:$G, (MATCH(256, 輔助計算!$G$2:$G$801, 0)+1))&lt;=1181,2,1))))=2,TEXT(INDEX(ERP資料!$G:$G, (MATCH(256, 輔助計算!$G$2:$G$801, 0)+1)),"0.##")&amp;"+"&amp;TEXT(INDEX(ERP資料!$G:$G, (MATCH(256, 輔助計算!$G$2:$G$801, 0)+1)),"0.##"),TEXT(INDEX(ERP資料!$G:$G, (MATCH(256, 輔助計算!$G$2:$G$801, 0)+1)),"0.##")&amp;"+"&amp;TEXT(INDEX(ERP資料!$G:$G, (MATCH(256, 輔助計算!$G$2:$G$801, 0)+1)),"0.##")&amp;"+"&amp;TEXT(INDEX(ERP資料!$G:$G, (MATCH(256, 輔助計算!$G$2:$G$801, 0)+1)),"0.##"))))&amp;"-1")&lt;&gt;""),"  ","")&amp;IF(MOD(INDEX(輔助計算!$D:$D, (MATCH(256, 輔助計算!$G$2:$G$801, 0)+1)),IF(INDEX(ERP資料!$G:$G, (MATCH(256, 輔助計算!$G$2:$G$801, 0)+1))&lt;100, IF(INDEX(ERP資料!$G:$G, (MATCH(256, 輔助計算!$G$2:$G$801, 0)+1))&lt;=31,3,IF(INDEX(ERP資料!$G:$G, (MATCH(256, 輔助計算!$G$2:$G$801, 0)+1))&lt;=46.5,2,1)), IF(INDEX(ERP資料!$G:$G, (MATCH(256, 輔助計算!$G$2:$G$801, 0)+1))&lt;=790,3,IF(INDEX(ERP資料!$G:$G, (MATCH(256, 輔助計算!$G$2:$G$801, 0)+1))&lt;=1181,2,1))))=0,"",IF(MOD(INDEX(輔助計算!$D:$D, (MATCH(256, 輔助計算!$G$2:$G$801, 0)+1)),IF(INDEX(ERP資料!$G:$G, (MATCH(256, 輔助計算!$G$2:$G$801, 0)+1))&lt;100, IF(INDEX(ERP資料!$G:$G, (MATCH(256, 輔助計算!$G$2:$G$801, 0)+1))&lt;=31,3,IF(INDEX(ERP資料!$G:$G, (MATCH(256, 輔助計算!$G$2:$G$801, 0)+1))&lt;=46.5,2,1)), IF(INDEX(ERP資料!$G:$G, (MATCH(256, 輔助計算!$G$2:$G$801, 0)+1))&lt;=790,3,IF(INDEX(ERP資料!$G:$G, (MATCH(256, 輔助計算!$G$2:$G$801, 0)+1))&lt;=1181,2,1))))=0,"",IF(MOD(INDEX(輔助計算!$D:$D, (MATCH(256, 輔助計算!$G$2:$G$801, 0)+1)),IF(INDEX(ERP資料!$G:$G, (MATCH(256, 輔助計算!$G$2:$G$801, 0)+1))&lt;100, IF(INDEX(ERP資料!$G:$G, (MATCH(256, 輔助計算!$G$2:$G$801, 0)+1))&lt;=31,3,IF(INDEX(ERP資料!$G:$G, (MATCH(256, 輔助計算!$G$2:$G$801, 0)+1))&lt;=46.5,2,1)), IF(INDEX(ERP資料!$G:$G, (MATCH(256, 輔助計算!$G$2:$G$801, 0)+1))&lt;=790,3,IF(INDEX(ERP資料!$G:$G, (MATCH(256, 輔助計算!$G$2:$G$801, 0)+1))&lt;=1181,2,1))))=1,TEXT(INDEX(ERP資料!$G:$G, (MATCH(256, 輔助計算!$G$2:$G$801, 0)+1)),"0.##"),IF(MOD(INDEX(輔助計算!$D:$D, (MATCH(256, 輔助計算!$G$2:$G$801, 0)+1)),IF(INDEX(ERP資料!$G:$G, (MATCH(256, 輔助計算!$G$2:$G$801, 0)+1))&lt;100, IF(INDEX(ERP資料!$G:$G, (MATCH(256, 輔助計算!$G$2:$G$801, 0)+1))&lt;=31,3,IF(INDEX(ERP資料!$G:$G, (MATCH(256, 輔助計算!$G$2:$G$801, 0)+1))&lt;=46.5,2,1)), IF(INDEX(ERP資料!$G:$G, (MATCH(256, 輔助計算!$G$2:$G$801, 0)+1))&lt;=790,3,IF(INDEX(ERP資料!$G:$G, (MATCH(256, 輔助計算!$G$2:$G$801, 0)+1))&lt;=1181,2,1))))=2,TEXT(INDEX(ERP資料!$G:$G, (MATCH(256, 輔助計算!$G$2:$G$801, 0)+1)),"0.##")&amp;"+"&amp;TEXT(INDEX(ERP資料!$G:$G, (MATCH(256, 輔助計算!$G$2:$G$801, 0)+1)),"0.##"),TEXT(INDEX(ERP資料!$G:$G, (MATCH(256, 輔助計算!$G$2:$G$801, 0)+1)),"0.##")&amp;"+"&amp;TEXT(INDEX(ERP資料!$G:$G, (MATCH(256, 輔助計算!$G$2:$G$801, 0)+1)),"0.##")&amp;"+"&amp;TEXT(INDEX(ERP資料!$G:$G, (MATCH(256, 輔助計算!$G$2:$G$801, 0)+1)),"0.##"))))&amp;"-1")), ""), "")</f>
        <v/>
      </c>
      <c r="K257" s="16" t="n"/>
      <c r="L257" s="14">
        <f>IFERROR(IF(AND(IFERROR(INDEX(ERP資料!$A:$A, (MATCH(256, 輔助計算!$G$2:$G$801, 0)+1)), "")&lt;&gt;"", IFERROR(INDEX(ERP資料!$A:$A, (MATCH(256, 輔助計算!$G$2:$G$801, 0)+1)), "")&lt;&gt;IFERROR(INDEX(ERP資料!$A:$A, MATCH(255, 輔助計算!$G$2:$G$801, 0)+1), "")), INDEX(ERP資料!$B:$B, (MATCH(256, 輔助計算!$G$2:$G$801, 0)+1)), ""), "")</f>
        <v/>
      </c>
      <c r="M257" s="17" t="n"/>
    </row>
    <row r="258">
      <c r="A258" s="10">
        <f>IFERROR(IF(AND(IFERROR(INDEX(ERP資料!$A:$A, (MATCH(257, 輔助計算!$G$2:$G$801, 0)+1)), "")&lt;&gt;"", IFERROR(INDEX(ERP資料!$A:$A, (MATCH(257, 輔助計算!$G$2:$G$801, 0)+1)), "")&lt;&gt;IFERROR(INDEX(ERP資料!$A:$A, MATCH(256, 輔助計算!$G$2:$G$801, 0)+1), "")), IFERROR(INDEX(ERP資料!$A:$A, (MATCH(257, 輔助計算!$G$2:$G$801, 0)+1)), ""), ""), "")</f>
        <v/>
      </c>
      <c r="B258" s="10">
        <f>IFERROR(IF(AND(IFERROR(INDEX(ERP資料!$A:$A, (MATCH(257, 輔助計算!$G$2:$G$801, 0)+1)), "")&lt;&gt;"", IFERROR(INDEX(ERP資料!$A:$A, (MATCH(257, 輔助計算!$G$2:$G$801, 0)+1)), "")&lt;&gt;IFERROR(INDEX(ERP資料!$A:$A, MATCH(256, 輔助計算!$G$2:$G$801, 0)+1), "")), INDEX(ERP資料!$S:$S, (MATCH(257, 輔助計算!$G$2:$G$801, 0)+1)), ""), "")</f>
        <v/>
      </c>
      <c r="C258" s="19">
        <f>IFERROR(IF(AND(IFERROR(INDEX(ERP資料!$A:$A, (MATCH(257, 輔助計算!$G$2:$G$801, 0)+1)), "")&lt;&gt;"", IFERROR(INDEX(ERP資料!$A:$A, (MATCH(257, 輔助計算!$G$2:$G$801, 0)+1)), "")&lt;&gt;IFERROR(INDEX(ERP資料!$A:$A, MATCH(256, 輔助計算!$G$2:$G$801, 0)+1), "")), IFERROR(VLOOKUP(LEFT(INDEX(ERP資料!$S:$S, (MATCH(257, 輔助計算!$G$2:$G$801, 0)+1)), 4), 紙管對照表!$A:$C, 3, FALSE), ""), ""), "")</f>
        <v/>
      </c>
      <c r="D258" s="16" t="n"/>
      <c r="E258" s="10">
        <f>IFERROR(IF(INDEX(ERP資料!$H:$H, (MATCH(257, 輔助計算!$G$2:$G$801, 0)+1))="","",INDEX(ERP資料!$H:$H, (MATCH(257, 輔助計算!$G$2:$G$801, 0)+1))), "")</f>
        <v/>
      </c>
      <c r="F258" s="10">
        <f>IFERROR(IF(INDEX(ERP資料!$E:$E, (MATCH(257, 輔助計算!$G$2:$G$801, 0)+1))="","",TRIM(INDEX(ERP資料!$E:$E, (MATCH(257, 輔助計算!$G$2:$G$801, 0)+1)))), "")</f>
        <v/>
      </c>
      <c r="G258" s="10">
        <f>IFERROR(IF(INDEX(ERP資料!$F:$F, (MATCH(257, 輔助計算!$G$2:$G$801, 0)+1))="","",INDEX(ERP資料!$F:$F, (MATCH(257, 輔助計算!$G$2:$G$801, 0)+1))), "")</f>
        <v/>
      </c>
      <c r="H258" s="10">
        <f>IFERROR(IF(INDEX(ERP資料!$G:$G, (MATCH(257, 輔助計算!$G$2:$G$801, 0)+1))="","",INDEX(ERP資料!$G:$G, (MATCH(257, 輔助計算!$G$2:$G$801, 0)+1))), "")</f>
        <v/>
      </c>
      <c r="I258" s="15">
        <f>IFERROR(INDEX(輔助計算!$D:$D, (MATCH(257, 輔助計算!$G$2:$G$801, 0)+1)), "")</f>
        <v/>
      </c>
      <c r="J258" s="15">
        <f>IFERROR(IF(AND(INDEX(輔助計算!$D:$D, (MATCH(257, 輔助計算!$G$2:$G$801, 0)+1))&lt;&gt;"", INDEX(ERP資料!$G:$G, (MATCH(257, 輔助計算!$G$2:$G$801, 0)+1))&lt;&gt;""), TRIM(IF(INT(INDEX(輔助計算!$D:$D, (MATCH(257, 輔助計算!$G$2:$G$801, 0)+1))/IF(INDEX(ERP資料!$G:$G, (MATCH(257, 輔助計算!$G$2:$G$801, 0)+1))&lt;100, IF(INDEX(ERP資料!$G:$G, (MATCH(257, 輔助計算!$G$2:$G$801, 0)+1))&lt;=31,3,IF(INDEX(ERP資料!$G:$G, (MATCH(257, 輔助計算!$G$2:$G$801, 0)+1))&lt;=46.5,2,1)), IF(INDEX(ERP資料!$G:$G, (MATCH(257, 輔助計算!$G$2:$G$801, 0)+1))&lt;=790,3,IF(INDEX(ERP資料!$G:$G, (MATCH(257, 輔助計算!$G$2:$G$801, 0)+1))&lt;=1181,2,1))))&gt;0, IF(IF(INDEX(ERP資料!$G:$G, (MATCH(257, 輔助計算!$G$2:$G$801, 0)+1))&lt;100, IF(INDEX(ERP資料!$G:$G, (MATCH(257, 輔助計算!$G$2:$G$801, 0)+1))&lt;=31,3,IF(INDEX(ERP資料!$G:$G, (MATCH(257, 輔助計算!$G$2:$G$801, 0)+1))&lt;=46.5,2,1)), IF(INDEX(ERP資料!$G:$G, (MATCH(257, 輔助計算!$G$2:$G$801, 0)+1))&lt;=790,3,IF(INDEX(ERP資料!$G:$G, (MATCH(257, 輔助計算!$G$2:$G$801, 0)+1))&lt;=1181,2,1)))=1,TEXT(INDEX(ERP資料!$G:$G, (MATCH(257, 輔助計算!$G$2:$G$801, 0)+1)),"0.##"),IF(IF(INDEX(ERP資料!$G:$G, (MATCH(257, 輔助計算!$G$2:$G$801, 0)+1))&lt;100, IF(INDEX(ERP資料!$G:$G, (MATCH(257, 輔助計算!$G$2:$G$801, 0)+1))&lt;=31,3,IF(INDEX(ERP資料!$G:$G, (MATCH(257, 輔助計算!$G$2:$G$801, 0)+1))&lt;=46.5,2,1)), IF(INDEX(ERP資料!$G:$G, (MATCH(257, 輔助計算!$G$2:$G$801, 0)+1))&lt;=790,3,IF(INDEX(ERP資料!$G:$G, (MATCH(257, 輔助計算!$G$2:$G$801, 0)+1))&lt;=1181,2,1)))=2,TEXT(INDEX(ERP資料!$G:$G, (MATCH(257, 輔助計算!$G$2:$G$801, 0)+1)),"0.##")&amp;"+"&amp;TEXT(INDEX(ERP資料!$G:$G, (MATCH(257, 輔助計算!$G$2:$G$801, 0)+1)),"0.##"),TEXT(INDEX(ERP資料!$G:$G, (MATCH(257, 輔助計算!$G$2:$G$801, 0)+1)),"0.##")&amp;"+"&amp;TEXT(INDEX(ERP資料!$G:$G, (MATCH(257, 輔助計算!$G$2:$G$801, 0)+1)),"0.##")&amp;"+"&amp;TEXT(INDEX(ERP資料!$G:$G, (MATCH(257, 輔助計算!$G$2:$G$801, 0)+1)),"0.##")))&amp;"-"&amp;INT(INDEX(輔助計算!$D:$D, (MATCH(257, 輔助計算!$G$2:$G$801, 0)+1))/IF(INDEX(ERP資料!$G:$G, (MATCH(257, 輔助計算!$G$2:$G$801, 0)+1))&lt;100, IF(INDEX(ERP資料!$G:$G, (MATCH(257, 輔助計算!$G$2:$G$801, 0)+1))&lt;=31,3,IF(INDEX(ERP資料!$G:$G, (MATCH(257, 輔助計算!$G$2:$G$801, 0)+1))&lt;=46.5,2,1)), IF(INDEX(ERP資料!$G:$G, (MATCH(257, 輔助計算!$G$2:$G$801, 0)+1))&lt;=790,3,IF(INDEX(ERP資料!$G:$G, (MATCH(257, 輔助計算!$G$2:$G$801, 0)+1))&lt;=1181,2,1)))), "")&amp;IF(AND(IF(INT(INDEX(輔助計算!$D:$D, (MATCH(257, 輔助計算!$G$2:$G$801, 0)+1))/IF(INDEX(ERP資料!$G:$G, (MATCH(257, 輔助計算!$G$2:$G$801, 0)+1))&lt;100, IF(INDEX(ERP資料!$G:$G, (MATCH(257, 輔助計算!$G$2:$G$801, 0)+1))&lt;=31,3,IF(INDEX(ERP資料!$G:$G, (MATCH(257, 輔助計算!$G$2:$G$801, 0)+1))&lt;=46.5,2,1)), IF(INDEX(ERP資料!$G:$G, (MATCH(257, 輔助計算!$G$2:$G$801, 0)+1))&lt;=790,3,IF(INDEX(ERP資料!$G:$G, (MATCH(257, 輔助計算!$G$2:$G$801, 0)+1))&lt;=1181,2,1))))&gt;0, IF(IF(INDEX(ERP資料!$G:$G, (MATCH(257, 輔助計算!$G$2:$G$801, 0)+1))&lt;100, IF(INDEX(ERP資料!$G:$G, (MATCH(257, 輔助計算!$G$2:$G$801, 0)+1))&lt;=31,3,IF(INDEX(ERP資料!$G:$G, (MATCH(257, 輔助計算!$G$2:$G$801, 0)+1))&lt;=46.5,2,1)), IF(INDEX(ERP資料!$G:$G, (MATCH(257, 輔助計算!$G$2:$G$801, 0)+1))&lt;=790,3,IF(INDEX(ERP資料!$G:$G, (MATCH(257, 輔助計算!$G$2:$G$801, 0)+1))&lt;=1181,2,1)))=1,TEXT(INDEX(ERP資料!$G:$G, (MATCH(257, 輔助計算!$G$2:$G$801, 0)+1)),"0.##"),IF(IF(INDEX(ERP資料!$G:$G, (MATCH(257, 輔助計算!$G$2:$G$801, 0)+1))&lt;100, IF(INDEX(ERP資料!$G:$G, (MATCH(257, 輔助計算!$G$2:$G$801, 0)+1))&lt;=31,3,IF(INDEX(ERP資料!$G:$G, (MATCH(257, 輔助計算!$G$2:$G$801, 0)+1))&lt;=46.5,2,1)), IF(INDEX(ERP資料!$G:$G, (MATCH(257, 輔助計算!$G$2:$G$801, 0)+1))&lt;=790,3,IF(INDEX(ERP資料!$G:$G, (MATCH(257, 輔助計算!$G$2:$G$801, 0)+1))&lt;=1181,2,1)))=2,TEXT(INDEX(ERP資料!$G:$G, (MATCH(257, 輔助計算!$G$2:$G$801, 0)+1)),"0.##")&amp;"+"&amp;TEXT(INDEX(ERP資料!$G:$G, (MATCH(257, 輔助計算!$G$2:$G$801, 0)+1)),"0.##"),TEXT(INDEX(ERP資料!$G:$G, (MATCH(257, 輔助計算!$G$2:$G$801, 0)+1)),"0.##")&amp;"+"&amp;TEXT(INDEX(ERP資料!$G:$G, (MATCH(257, 輔助計算!$G$2:$G$801, 0)+1)),"0.##")&amp;"+"&amp;TEXT(INDEX(ERP資料!$G:$G, (MATCH(257, 輔助計算!$G$2:$G$801, 0)+1)),"0.##")))&amp;"-"&amp;INT(INDEX(輔助計算!$D:$D, (MATCH(257, 輔助計算!$G$2:$G$801, 0)+1))/IF(INDEX(ERP資料!$G:$G, (MATCH(257, 輔助計算!$G$2:$G$801, 0)+1))&lt;100, IF(INDEX(ERP資料!$G:$G, (MATCH(257, 輔助計算!$G$2:$G$801, 0)+1))&lt;=31,3,IF(INDEX(ERP資料!$G:$G, (MATCH(257, 輔助計算!$G$2:$G$801, 0)+1))&lt;=46.5,2,1)), IF(INDEX(ERP資料!$G:$G, (MATCH(257, 輔助計算!$G$2:$G$801, 0)+1))&lt;=790,3,IF(INDEX(ERP資料!$G:$G, (MATCH(257, 輔助計算!$G$2:$G$801, 0)+1))&lt;=1181,2,1)))), "")&lt;&gt;"",IF(MOD(INDEX(輔助計算!$D:$D, (MATCH(257, 輔助計算!$G$2:$G$801, 0)+1)),IF(INDEX(ERP資料!$G:$G, (MATCH(257, 輔助計算!$G$2:$G$801, 0)+1))&lt;100, IF(INDEX(ERP資料!$G:$G, (MATCH(257, 輔助計算!$G$2:$G$801, 0)+1))&lt;=31,3,IF(INDEX(ERP資料!$G:$G, (MATCH(257, 輔助計算!$G$2:$G$801, 0)+1))&lt;=46.5,2,1)), IF(INDEX(ERP資料!$G:$G, (MATCH(257, 輔助計算!$G$2:$G$801, 0)+1))&lt;=790,3,IF(INDEX(ERP資料!$G:$G, (MATCH(257, 輔助計算!$G$2:$G$801, 0)+1))&lt;=1181,2,1))))=0,"",IF(MOD(INDEX(輔助計算!$D:$D, (MATCH(257, 輔助計算!$G$2:$G$801, 0)+1)),IF(INDEX(ERP資料!$G:$G, (MATCH(257, 輔助計算!$G$2:$G$801, 0)+1))&lt;100, IF(INDEX(ERP資料!$G:$G, (MATCH(257, 輔助計算!$G$2:$G$801, 0)+1))&lt;=31,3,IF(INDEX(ERP資料!$G:$G, (MATCH(257, 輔助計算!$G$2:$G$801, 0)+1))&lt;=46.5,2,1)), IF(INDEX(ERP資料!$G:$G, (MATCH(257, 輔助計算!$G$2:$G$801, 0)+1))&lt;=790,3,IF(INDEX(ERP資料!$G:$G, (MATCH(257, 輔助計算!$G$2:$G$801, 0)+1))&lt;=1181,2,1))))=0,"",IF(MOD(INDEX(輔助計算!$D:$D, (MATCH(257, 輔助計算!$G$2:$G$801, 0)+1)),IF(INDEX(ERP資料!$G:$G, (MATCH(257, 輔助計算!$G$2:$G$801, 0)+1))&lt;100, IF(INDEX(ERP資料!$G:$G, (MATCH(257, 輔助計算!$G$2:$G$801, 0)+1))&lt;=31,3,IF(INDEX(ERP資料!$G:$G, (MATCH(257, 輔助計算!$G$2:$G$801, 0)+1))&lt;=46.5,2,1)), IF(INDEX(ERP資料!$G:$G, (MATCH(257, 輔助計算!$G$2:$G$801, 0)+1))&lt;=790,3,IF(INDEX(ERP資料!$G:$G, (MATCH(257, 輔助計算!$G$2:$G$801, 0)+1))&lt;=1181,2,1))))=1,TEXT(INDEX(ERP資料!$G:$G, (MATCH(257, 輔助計算!$G$2:$G$801, 0)+1)),"0.##"),IF(MOD(INDEX(輔助計算!$D:$D, (MATCH(257, 輔助計算!$G$2:$G$801, 0)+1)),IF(INDEX(ERP資料!$G:$G, (MATCH(257, 輔助計算!$G$2:$G$801, 0)+1))&lt;100, IF(INDEX(ERP資料!$G:$G, (MATCH(257, 輔助計算!$G$2:$G$801, 0)+1))&lt;=31,3,IF(INDEX(ERP資料!$G:$G, (MATCH(257, 輔助計算!$G$2:$G$801, 0)+1))&lt;=46.5,2,1)), IF(INDEX(ERP資料!$G:$G, (MATCH(257, 輔助計算!$G$2:$G$801, 0)+1))&lt;=790,3,IF(INDEX(ERP資料!$G:$G, (MATCH(257, 輔助計算!$G$2:$G$801, 0)+1))&lt;=1181,2,1))))=2,TEXT(INDEX(ERP資料!$G:$G, (MATCH(257, 輔助計算!$G$2:$G$801, 0)+1)),"0.##")&amp;"+"&amp;TEXT(INDEX(ERP資料!$G:$G, (MATCH(257, 輔助計算!$G$2:$G$801, 0)+1)),"0.##"),TEXT(INDEX(ERP資料!$G:$G, (MATCH(257, 輔助計算!$G$2:$G$801, 0)+1)),"0.##")&amp;"+"&amp;TEXT(INDEX(ERP資料!$G:$G, (MATCH(257, 輔助計算!$G$2:$G$801, 0)+1)),"0.##")&amp;"+"&amp;TEXT(INDEX(ERP資料!$G:$G, (MATCH(257, 輔助計算!$G$2:$G$801, 0)+1)),"0.##"))))&amp;"-1")&lt;&gt;""),"  ","")&amp;IF(MOD(INDEX(輔助計算!$D:$D, (MATCH(257, 輔助計算!$G$2:$G$801, 0)+1)),IF(INDEX(ERP資料!$G:$G, (MATCH(257, 輔助計算!$G$2:$G$801, 0)+1))&lt;100, IF(INDEX(ERP資料!$G:$G, (MATCH(257, 輔助計算!$G$2:$G$801, 0)+1))&lt;=31,3,IF(INDEX(ERP資料!$G:$G, (MATCH(257, 輔助計算!$G$2:$G$801, 0)+1))&lt;=46.5,2,1)), IF(INDEX(ERP資料!$G:$G, (MATCH(257, 輔助計算!$G$2:$G$801, 0)+1))&lt;=790,3,IF(INDEX(ERP資料!$G:$G, (MATCH(257, 輔助計算!$G$2:$G$801, 0)+1))&lt;=1181,2,1))))=0,"",IF(MOD(INDEX(輔助計算!$D:$D, (MATCH(257, 輔助計算!$G$2:$G$801, 0)+1)),IF(INDEX(ERP資料!$G:$G, (MATCH(257, 輔助計算!$G$2:$G$801, 0)+1))&lt;100, IF(INDEX(ERP資料!$G:$G, (MATCH(257, 輔助計算!$G$2:$G$801, 0)+1))&lt;=31,3,IF(INDEX(ERP資料!$G:$G, (MATCH(257, 輔助計算!$G$2:$G$801, 0)+1))&lt;=46.5,2,1)), IF(INDEX(ERP資料!$G:$G, (MATCH(257, 輔助計算!$G$2:$G$801, 0)+1))&lt;=790,3,IF(INDEX(ERP資料!$G:$G, (MATCH(257, 輔助計算!$G$2:$G$801, 0)+1))&lt;=1181,2,1))))=0,"",IF(MOD(INDEX(輔助計算!$D:$D, (MATCH(257, 輔助計算!$G$2:$G$801, 0)+1)),IF(INDEX(ERP資料!$G:$G, (MATCH(257, 輔助計算!$G$2:$G$801, 0)+1))&lt;100, IF(INDEX(ERP資料!$G:$G, (MATCH(257, 輔助計算!$G$2:$G$801, 0)+1))&lt;=31,3,IF(INDEX(ERP資料!$G:$G, (MATCH(257, 輔助計算!$G$2:$G$801, 0)+1))&lt;=46.5,2,1)), IF(INDEX(ERP資料!$G:$G, (MATCH(257, 輔助計算!$G$2:$G$801, 0)+1))&lt;=790,3,IF(INDEX(ERP資料!$G:$G, (MATCH(257, 輔助計算!$G$2:$G$801, 0)+1))&lt;=1181,2,1))))=1,TEXT(INDEX(ERP資料!$G:$G, (MATCH(257, 輔助計算!$G$2:$G$801, 0)+1)),"0.##"),IF(MOD(INDEX(輔助計算!$D:$D, (MATCH(257, 輔助計算!$G$2:$G$801, 0)+1)),IF(INDEX(ERP資料!$G:$G, (MATCH(257, 輔助計算!$G$2:$G$801, 0)+1))&lt;100, IF(INDEX(ERP資料!$G:$G, (MATCH(257, 輔助計算!$G$2:$G$801, 0)+1))&lt;=31,3,IF(INDEX(ERP資料!$G:$G, (MATCH(257, 輔助計算!$G$2:$G$801, 0)+1))&lt;=46.5,2,1)), IF(INDEX(ERP資料!$G:$G, (MATCH(257, 輔助計算!$G$2:$G$801, 0)+1))&lt;=790,3,IF(INDEX(ERP資料!$G:$G, (MATCH(257, 輔助計算!$G$2:$G$801, 0)+1))&lt;=1181,2,1))))=2,TEXT(INDEX(ERP資料!$G:$G, (MATCH(257, 輔助計算!$G$2:$G$801, 0)+1)),"0.##")&amp;"+"&amp;TEXT(INDEX(ERP資料!$G:$G, (MATCH(257, 輔助計算!$G$2:$G$801, 0)+1)),"0.##"),TEXT(INDEX(ERP資料!$G:$G, (MATCH(257, 輔助計算!$G$2:$G$801, 0)+1)),"0.##")&amp;"+"&amp;TEXT(INDEX(ERP資料!$G:$G, (MATCH(257, 輔助計算!$G$2:$G$801, 0)+1)),"0.##")&amp;"+"&amp;TEXT(INDEX(ERP資料!$G:$G, (MATCH(257, 輔助計算!$G$2:$G$801, 0)+1)),"0.##"))))&amp;"-1")), ""), "")</f>
        <v/>
      </c>
      <c r="K258" s="16" t="n"/>
      <c r="L258" s="14">
        <f>IFERROR(IF(AND(IFERROR(INDEX(ERP資料!$A:$A, (MATCH(257, 輔助計算!$G$2:$G$801, 0)+1)), "")&lt;&gt;"", IFERROR(INDEX(ERP資料!$A:$A, (MATCH(257, 輔助計算!$G$2:$G$801, 0)+1)), "")&lt;&gt;IFERROR(INDEX(ERP資料!$A:$A, MATCH(256, 輔助計算!$G$2:$G$801, 0)+1), "")), INDEX(ERP資料!$B:$B, (MATCH(257, 輔助計算!$G$2:$G$801, 0)+1)), ""), "")</f>
        <v/>
      </c>
      <c r="M258" s="17" t="n"/>
    </row>
    <row r="259">
      <c r="A259" s="10">
        <f>IFERROR(IF(AND(IFERROR(INDEX(ERP資料!$A:$A, (MATCH(258, 輔助計算!$G$2:$G$801, 0)+1)), "")&lt;&gt;"", IFERROR(INDEX(ERP資料!$A:$A, (MATCH(258, 輔助計算!$G$2:$G$801, 0)+1)), "")&lt;&gt;IFERROR(INDEX(ERP資料!$A:$A, MATCH(257, 輔助計算!$G$2:$G$801, 0)+1), "")), IFERROR(INDEX(ERP資料!$A:$A, (MATCH(258, 輔助計算!$G$2:$G$801, 0)+1)), ""), ""), "")</f>
        <v/>
      </c>
      <c r="B259" s="10">
        <f>IFERROR(IF(AND(IFERROR(INDEX(ERP資料!$A:$A, (MATCH(258, 輔助計算!$G$2:$G$801, 0)+1)), "")&lt;&gt;"", IFERROR(INDEX(ERP資料!$A:$A, (MATCH(258, 輔助計算!$G$2:$G$801, 0)+1)), "")&lt;&gt;IFERROR(INDEX(ERP資料!$A:$A, MATCH(257, 輔助計算!$G$2:$G$801, 0)+1), "")), INDEX(ERP資料!$S:$S, (MATCH(258, 輔助計算!$G$2:$G$801, 0)+1)), ""), "")</f>
        <v/>
      </c>
      <c r="C259" s="19">
        <f>IFERROR(IF(AND(IFERROR(INDEX(ERP資料!$A:$A, (MATCH(258, 輔助計算!$G$2:$G$801, 0)+1)), "")&lt;&gt;"", IFERROR(INDEX(ERP資料!$A:$A, (MATCH(258, 輔助計算!$G$2:$G$801, 0)+1)), "")&lt;&gt;IFERROR(INDEX(ERP資料!$A:$A, MATCH(257, 輔助計算!$G$2:$G$801, 0)+1), "")), IFERROR(VLOOKUP(LEFT(INDEX(ERP資料!$S:$S, (MATCH(258, 輔助計算!$G$2:$G$801, 0)+1)), 4), 紙管對照表!$A:$C, 3, FALSE), ""), ""), "")</f>
        <v/>
      </c>
      <c r="D259" s="16" t="n"/>
      <c r="E259" s="10">
        <f>IFERROR(IF(INDEX(ERP資料!$H:$H, (MATCH(258, 輔助計算!$G$2:$G$801, 0)+1))="","",INDEX(ERP資料!$H:$H, (MATCH(258, 輔助計算!$G$2:$G$801, 0)+1))), "")</f>
        <v/>
      </c>
      <c r="F259" s="10">
        <f>IFERROR(IF(INDEX(ERP資料!$E:$E, (MATCH(258, 輔助計算!$G$2:$G$801, 0)+1))="","",TRIM(INDEX(ERP資料!$E:$E, (MATCH(258, 輔助計算!$G$2:$G$801, 0)+1)))), "")</f>
        <v/>
      </c>
      <c r="G259" s="10">
        <f>IFERROR(IF(INDEX(ERP資料!$F:$F, (MATCH(258, 輔助計算!$G$2:$G$801, 0)+1))="","",INDEX(ERP資料!$F:$F, (MATCH(258, 輔助計算!$G$2:$G$801, 0)+1))), "")</f>
        <v/>
      </c>
      <c r="H259" s="10">
        <f>IFERROR(IF(INDEX(ERP資料!$G:$G, (MATCH(258, 輔助計算!$G$2:$G$801, 0)+1))="","",INDEX(ERP資料!$G:$G, (MATCH(258, 輔助計算!$G$2:$G$801, 0)+1))), "")</f>
        <v/>
      </c>
      <c r="I259" s="15">
        <f>IFERROR(INDEX(輔助計算!$D:$D, (MATCH(258, 輔助計算!$G$2:$G$801, 0)+1)), "")</f>
        <v/>
      </c>
      <c r="J259" s="15">
        <f>IFERROR(IF(AND(INDEX(輔助計算!$D:$D, (MATCH(258, 輔助計算!$G$2:$G$801, 0)+1))&lt;&gt;"", INDEX(ERP資料!$G:$G, (MATCH(258, 輔助計算!$G$2:$G$801, 0)+1))&lt;&gt;""), TRIM(IF(INT(INDEX(輔助計算!$D:$D, (MATCH(258, 輔助計算!$G$2:$G$801, 0)+1))/IF(INDEX(ERP資料!$G:$G, (MATCH(258, 輔助計算!$G$2:$G$801, 0)+1))&lt;100, IF(INDEX(ERP資料!$G:$G, (MATCH(258, 輔助計算!$G$2:$G$801, 0)+1))&lt;=31,3,IF(INDEX(ERP資料!$G:$G, (MATCH(258, 輔助計算!$G$2:$G$801, 0)+1))&lt;=46.5,2,1)), IF(INDEX(ERP資料!$G:$G, (MATCH(258, 輔助計算!$G$2:$G$801, 0)+1))&lt;=790,3,IF(INDEX(ERP資料!$G:$G, (MATCH(258, 輔助計算!$G$2:$G$801, 0)+1))&lt;=1181,2,1))))&gt;0, IF(IF(INDEX(ERP資料!$G:$G, (MATCH(258, 輔助計算!$G$2:$G$801, 0)+1))&lt;100, IF(INDEX(ERP資料!$G:$G, (MATCH(258, 輔助計算!$G$2:$G$801, 0)+1))&lt;=31,3,IF(INDEX(ERP資料!$G:$G, (MATCH(258, 輔助計算!$G$2:$G$801, 0)+1))&lt;=46.5,2,1)), IF(INDEX(ERP資料!$G:$G, (MATCH(258, 輔助計算!$G$2:$G$801, 0)+1))&lt;=790,3,IF(INDEX(ERP資料!$G:$G, (MATCH(258, 輔助計算!$G$2:$G$801, 0)+1))&lt;=1181,2,1)))=1,TEXT(INDEX(ERP資料!$G:$G, (MATCH(258, 輔助計算!$G$2:$G$801, 0)+1)),"0.##"),IF(IF(INDEX(ERP資料!$G:$G, (MATCH(258, 輔助計算!$G$2:$G$801, 0)+1))&lt;100, IF(INDEX(ERP資料!$G:$G, (MATCH(258, 輔助計算!$G$2:$G$801, 0)+1))&lt;=31,3,IF(INDEX(ERP資料!$G:$G, (MATCH(258, 輔助計算!$G$2:$G$801, 0)+1))&lt;=46.5,2,1)), IF(INDEX(ERP資料!$G:$G, (MATCH(258, 輔助計算!$G$2:$G$801, 0)+1))&lt;=790,3,IF(INDEX(ERP資料!$G:$G, (MATCH(258, 輔助計算!$G$2:$G$801, 0)+1))&lt;=1181,2,1)))=2,TEXT(INDEX(ERP資料!$G:$G, (MATCH(258, 輔助計算!$G$2:$G$801, 0)+1)),"0.##")&amp;"+"&amp;TEXT(INDEX(ERP資料!$G:$G, (MATCH(258, 輔助計算!$G$2:$G$801, 0)+1)),"0.##"),TEXT(INDEX(ERP資料!$G:$G, (MATCH(258, 輔助計算!$G$2:$G$801, 0)+1)),"0.##")&amp;"+"&amp;TEXT(INDEX(ERP資料!$G:$G, (MATCH(258, 輔助計算!$G$2:$G$801, 0)+1)),"0.##")&amp;"+"&amp;TEXT(INDEX(ERP資料!$G:$G, (MATCH(258, 輔助計算!$G$2:$G$801, 0)+1)),"0.##")))&amp;"-"&amp;INT(INDEX(輔助計算!$D:$D, (MATCH(258, 輔助計算!$G$2:$G$801, 0)+1))/IF(INDEX(ERP資料!$G:$G, (MATCH(258, 輔助計算!$G$2:$G$801, 0)+1))&lt;100, IF(INDEX(ERP資料!$G:$G, (MATCH(258, 輔助計算!$G$2:$G$801, 0)+1))&lt;=31,3,IF(INDEX(ERP資料!$G:$G, (MATCH(258, 輔助計算!$G$2:$G$801, 0)+1))&lt;=46.5,2,1)), IF(INDEX(ERP資料!$G:$G, (MATCH(258, 輔助計算!$G$2:$G$801, 0)+1))&lt;=790,3,IF(INDEX(ERP資料!$G:$G, (MATCH(258, 輔助計算!$G$2:$G$801, 0)+1))&lt;=1181,2,1)))), "")&amp;IF(AND(IF(INT(INDEX(輔助計算!$D:$D, (MATCH(258, 輔助計算!$G$2:$G$801, 0)+1))/IF(INDEX(ERP資料!$G:$G, (MATCH(258, 輔助計算!$G$2:$G$801, 0)+1))&lt;100, IF(INDEX(ERP資料!$G:$G, (MATCH(258, 輔助計算!$G$2:$G$801, 0)+1))&lt;=31,3,IF(INDEX(ERP資料!$G:$G, (MATCH(258, 輔助計算!$G$2:$G$801, 0)+1))&lt;=46.5,2,1)), IF(INDEX(ERP資料!$G:$G, (MATCH(258, 輔助計算!$G$2:$G$801, 0)+1))&lt;=790,3,IF(INDEX(ERP資料!$G:$G, (MATCH(258, 輔助計算!$G$2:$G$801, 0)+1))&lt;=1181,2,1))))&gt;0, IF(IF(INDEX(ERP資料!$G:$G, (MATCH(258, 輔助計算!$G$2:$G$801, 0)+1))&lt;100, IF(INDEX(ERP資料!$G:$G, (MATCH(258, 輔助計算!$G$2:$G$801, 0)+1))&lt;=31,3,IF(INDEX(ERP資料!$G:$G, (MATCH(258, 輔助計算!$G$2:$G$801, 0)+1))&lt;=46.5,2,1)), IF(INDEX(ERP資料!$G:$G, (MATCH(258, 輔助計算!$G$2:$G$801, 0)+1))&lt;=790,3,IF(INDEX(ERP資料!$G:$G, (MATCH(258, 輔助計算!$G$2:$G$801, 0)+1))&lt;=1181,2,1)))=1,TEXT(INDEX(ERP資料!$G:$G, (MATCH(258, 輔助計算!$G$2:$G$801, 0)+1)),"0.##"),IF(IF(INDEX(ERP資料!$G:$G, (MATCH(258, 輔助計算!$G$2:$G$801, 0)+1))&lt;100, IF(INDEX(ERP資料!$G:$G, (MATCH(258, 輔助計算!$G$2:$G$801, 0)+1))&lt;=31,3,IF(INDEX(ERP資料!$G:$G, (MATCH(258, 輔助計算!$G$2:$G$801, 0)+1))&lt;=46.5,2,1)), IF(INDEX(ERP資料!$G:$G, (MATCH(258, 輔助計算!$G$2:$G$801, 0)+1))&lt;=790,3,IF(INDEX(ERP資料!$G:$G, (MATCH(258, 輔助計算!$G$2:$G$801, 0)+1))&lt;=1181,2,1)))=2,TEXT(INDEX(ERP資料!$G:$G, (MATCH(258, 輔助計算!$G$2:$G$801, 0)+1)),"0.##")&amp;"+"&amp;TEXT(INDEX(ERP資料!$G:$G, (MATCH(258, 輔助計算!$G$2:$G$801, 0)+1)),"0.##"),TEXT(INDEX(ERP資料!$G:$G, (MATCH(258, 輔助計算!$G$2:$G$801, 0)+1)),"0.##")&amp;"+"&amp;TEXT(INDEX(ERP資料!$G:$G, (MATCH(258, 輔助計算!$G$2:$G$801, 0)+1)),"0.##")&amp;"+"&amp;TEXT(INDEX(ERP資料!$G:$G, (MATCH(258, 輔助計算!$G$2:$G$801, 0)+1)),"0.##")))&amp;"-"&amp;INT(INDEX(輔助計算!$D:$D, (MATCH(258, 輔助計算!$G$2:$G$801, 0)+1))/IF(INDEX(ERP資料!$G:$G, (MATCH(258, 輔助計算!$G$2:$G$801, 0)+1))&lt;100, IF(INDEX(ERP資料!$G:$G, (MATCH(258, 輔助計算!$G$2:$G$801, 0)+1))&lt;=31,3,IF(INDEX(ERP資料!$G:$G, (MATCH(258, 輔助計算!$G$2:$G$801, 0)+1))&lt;=46.5,2,1)), IF(INDEX(ERP資料!$G:$G, (MATCH(258, 輔助計算!$G$2:$G$801, 0)+1))&lt;=790,3,IF(INDEX(ERP資料!$G:$G, (MATCH(258, 輔助計算!$G$2:$G$801, 0)+1))&lt;=1181,2,1)))), "")&lt;&gt;"",IF(MOD(INDEX(輔助計算!$D:$D, (MATCH(258, 輔助計算!$G$2:$G$801, 0)+1)),IF(INDEX(ERP資料!$G:$G, (MATCH(258, 輔助計算!$G$2:$G$801, 0)+1))&lt;100, IF(INDEX(ERP資料!$G:$G, (MATCH(258, 輔助計算!$G$2:$G$801, 0)+1))&lt;=31,3,IF(INDEX(ERP資料!$G:$G, (MATCH(258, 輔助計算!$G$2:$G$801, 0)+1))&lt;=46.5,2,1)), IF(INDEX(ERP資料!$G:$G, (MATCH(258, 輔助計算!$G$2:$G$801, 0)+1))&lt;=790,3,IF(INDEX(ERP資料!$G:$G, (MATCH(258, 輔助計算!$G$2:$G$801, 0)+1))&lt;=1181,2,1))))=0,"",IF(MOD(INDEX(輔助計算!$D:$D, (MATCH(258, 輔助計算!$G$2:$G$801, 0)+1)),IF(INDEX(ERP資料!$G:$G, (MATCH(258, 輔助計算!$G$2:$G$801, 0)+1))&lt;100, IF(INDEX(ERP資料!$G:$G, (MATCH(258, 輔助計算!$G$2:$G$801, 0)+1))&lt;=31,3,IF(INDEX(ERP資料!$G:$G, (MATCH(258, 輔助計算!$G$2:$G$801, 0)+1))&lt;=46.5,2,1)), IF(INDEX(ERP資料!$G:$G, (MATCH(258, 輔助計算!$G$2:$G$801, 0)+1))&lt;=790,3,IF(INDEX(ERP資料!$G:$G, (MATCH(258, 輔助計算!$G$2:$G$801, 0)+1))&lt;=1181,2,1))))=0,"",IF(MOD(INDEX(輔助計算!$D:$D, (MATCH(258, 輔助計算!$G$2:$G$801, 0)+1)),IF(INDEX(ERP資料!$G:$G, (MATCH(258, 輔助計算!$G$2:$G$801, 0)+1))&lt;100, IF(INDEX(ERP資料!$G:$G, (MATCH(258, 輔助計算!$G$2:$G$801, 0)+1))&lt;=31,3,IF(INDEX(ERP資料!$G:$G, (MATCH(258, 輔助計算!$G$2:$G$801, 0)+1))&lt;=46.5,2,1)), IF(INDEX(ERP資料!$G:$G, (MATCH(258, 輔助計算!$G$2:$G$801, 0)+1))&lt;=790,3,IF(INDEX(ERP資料!$G:$G, (MATCH(258, 輔助計算!$G$2:$G$801, 0)+1))&lt;=1181,2,1))))=1,TEXT(INDEX(ERP資料!$G:$G, (MATCH(258, 輔助計算!$G$2:$G$801, 0)+1)),"0.##"),IF(MOD(INDEX(輔助計算!$D:$D, (MATCH(258, 輔助計算!$G$2:$G$801, 0)+1)),IF(INDEX(ERP資料!$G:$G, (MATCH(258, 輔助計算!$G$2:$G$801, 0)+1))&lt;100, IF(INDEX(ERP資料!$G:$G, (MATCH(258, 輔助計算!$G$2:$G$801, 0)+1))&lt;=31,3,IF(INDEX(ERP資料!$G:$G, (MATCH(258, 輔助計算!$G$2:$G$801, 0)+1))&lt;=46.5,2,1)), IF(INDEX(ERP資料!$G:$G, (MATCH(258, 輔助計算!$G$2:$G$801, 0)+1))&lt;=790,3,IF(INDEX(ERP資料!$G:$G, (MATCH(258, 輔助計算!$G$2:$G$801, 0)+1))&lt;=1181,2,1))))=2,TEXT(INDEX(ERP資料!$G:$G, (MATCH(258, 輔助計算!$G$2:$G$801, 0)+1)),"0.##")&amp;"+"&amp;TEXT(INDEX(ERP資料!$G:$G, (MATCH(258, 輔助計算!$G$2:$G$801, 0)+1)),"0.##"),TEXT(INDEX(ERP資料!$G:$G, (MATCH(258, 輔助計算!$G$2:$G$801, 0)+1)),"0.##")&amp;"+"&amp;TEXT(INDEX(ERP資料!$G:$G, (MATCH(258, 輔助計算!$G$2:$G$801, 0)+1)),"0.##")&amp;"+"&amp;TEXT(INDEX(ERP資料!$G:$G, (MATCH(258, 輔助計算!$G$2:$G$801, 0)+1)),"0.##"))))&amp;"-1")&lt;&gt;""),"  ","")&amp;IF(MOD(INDEX(輔助計算!$D:$D, (MATCH(258, 輔助計算!$G$2:$G$801, 0)+1)),IF(INDEX(ERP資料!$G:$G, (MATCH(258, 輔助計算!$G$2:$G$801, 0)+1))&lt;100, IF(INDEX(ERP資料!$G:$G, (MATCH(258, 輔助計算!$G$2:$G$801, 0)+1))&lt;=31,3,IF(INDEX(ERP資料!$G:$G, (MATCH(258, 輔助計算!$G$2:$G$801, 0)+1))&lt;=46.5,2,1)), IF(INDEX(ERP資料!$G:$G, (MATCH(258, 輔助計算!$G$2:$G$801, 0)+1))&lt;=790,3,IF(INDEX(ERP資料!$G:$G, (MATCH(258, 輔助計算!$G$2:$G$801, 0)+1))&lt;=1181,2,1))))=0,"",IF(MOD(INDEX(輔助計算!$D:$D, (MATCH(258, 輔助計算!$G$2:$G$801, 0)+1)),IF(INDEX(ERP資料!$G:$G, (MATCH(258, 輔助計算!$G$2:$G$801, 0)+1))&lt;100, IF(INDEX(ERP資料!$G:$G, (MATCH(258, 輔助計算!$G$2:$G$801, 0)+1))&lt;=31,3,IF(INDEX(ERP資料!$G:$G, (MATCH(258, 輔助計算!$G$2:$G$801, 0)+1))&lt;=46.5,2,1)), IF(INDEX(ERP資料!$G:$G, (MATCH(258, 輔助計算!$G$2:$G$801, 0)+1))&lt;=790,3,IF(INDEX(ERP資料!$G:$G, (MATCH(258, 輔助計算!$G$2:$G$801, 0)+1))&lt;=1181,2,1))))=0,"",IF(MOD(INDEX(輔助計算!$D:$D, (MATCH(258, 輔助計算!$G$2:$G$801, 0)+1)),IF(INDEX(ERP資料!$G:$G, (MATCH(258, 輔助計算!$G$2:$G$801, 0)+1))&lt;100, IF(INDEX(ERP資料!$G:$G, (MATCH(258, 輔助計算!$G$2:$G$801, 0)+1))&lt;=31,3,IF(INDEX(ERP資料!$G:$G, (MATCH(258, 輔助計算!$G$2:$G$801, 0)+1))&lt;=46.5,2,1)), IF(INDEX(ERP資料!$G:$G, (MATCH(258, 輔助計算!$G$2:$G$801, 0)+1))&lt;=790,3,IF(INDEX(ERP資料!$G:$G, (MATCH(258, 輔助計算!$G$2:$G$801, 0)+1))&lt;=1181,2,1))))=1,TEXT(INDEX(ERP資料!$G:$G, (MATCH(258, 輔助計算!$G$2:$G$801, 0)+1)),"0.##"),IF(MOD(INDEX(輔助計算!$D:$D, (MATCH(258, 輔助計算!$G$2:$G$801, 0)+1)),IF(INDEX(ERP資料!$G:$G, (MATCH(258, 輔助計算!$G$2:$G$801, 0)+1))&lt;100, IF(INDEX(ERP資料!$G:$G, (MATCH(258, 輔助計算!$G$2:$G$801, 0)+1))&lt;=31,3,IF(INDEX(ERP資料!$G:$G, (MATCH(258, 輔助計算!$G$2:$G$801, 0)+1))&lt;=46.5,2,1)), IF(INDEX(ERP資料!$G:$G, (MATCH(258, 輔助計算!$G$2:$G$801, 0)+1))&lt;=790,3,IF(INDEX(ERP資料!$G:$G, (MATCH(258, 輔助計算!$G$2:$G$801, 0)+1))&lt;=1181,2,1))))=2,TEXT(INDEX(ERP資料!$G:$G, (MATCH(258, 輔助計算!$G$2:$G$801, 0)+1)),"0.##")&amp;"+"&amp;TEXT(INDEX(ERP資料!$G:$G, (MATCH(258, 輔助計算!$G$2:$G$801, 0)+1)),"0.##"),TEXT(INDEX(ERP資料!$G:$G, (MATCH(258, 輔助計算!$G$2:$G$801, 0)+1)),"0.##")&amp;"+"&amp;TEXT(INDEX(ERP資料!$G:$G, (MATCH(258, 輔助計算!$G$2:$G$801, 0)+1)),"0.##")&amp;"+"&amp;TEXT(INDEX(ERP資料!$G:$G, (MATCH(258, 輔助計算!$G$2:$G$801, 0)+1)),"0.##"))))&amp;"-1")), ""), "")</f>
        <v/>
      </c>
      <c r="K259" s="16" t="n"/>
      <c r="L259" s="14">
        <f>IFERROR(IF(AND(IFERROR(INDEX(ERP資料!$A:$A, (MATCH(258, 輔助計算!$G$2:$G$801, 0)+1)), "")&lt;&gt;"", IFERROR(INDEX(ERP資料!$A:$A, (MATCH(258, 輔助計算!$G$2:$G$801, 0)+1)), "")&lt;&gt;IFERROR(INDEX(ERP資料!$A:$A, MATCH(257, 輔助計算!$G$2:$G$801, 0)+1), "")), INDEX(ERP資料!$B:$B, (MATCH(258, 輔助計算!$G$2:$G$801, 0)+1)), ""), "")</f>
        <v/>
      </c>
      <c r="M259" s="17" t="n"/>
    </row>
    <row r="260">
      <c r="A260" s="10">
        <f>IFERROR(IF(AND(IFERROR(INDEX(ERP資料!$A:$A, (MATCH(259, 輔助計算!$G$2:$G$801, 0)+1)), "")&lt;&gt;"", IFERROR(INDEX(ERP資料!$A:$A, (MATCH(259, 輔助計算!$G$2:$G$801, 0)+1)), "")&lt;&gt;IFERROR(INDEX(ERP資料!$A:$A, MATCH(258, 輔助計算!$G$2:$G$801, 0)+1), "")), IFERROR(INDEX(ERP資料!$A:$A, (MATCH(259, 輔助計算!$G$2:$G$801, 0)+1)), ""), ""), "")</f>
        <v/>
      </c>
      <c r="B260" s="10">
        <f>IFERROR(IF(AND(IFERROR(INDEX(ERP資料!$A:$A, (MATCH(259, 輔助計算!$G$2:$G$801, 0)+1)), "")&lt;&gt;"", IFERROR(INDEX(ERP資料!$A:$A, (MATCH(259, 輔助計算!$G$2:$G$801, 0)+1)), "")&lt;&gt;IFERROR(INDEX(ERP資料!$A:$A, MATCH(258, 輔助計算!$G$2:$G$801, 0)+1), "")), INDEX(ERP資料!$S:$S, (MATCH(259, 輔助計算!$G$2:$G$801, 0)+1)), ""), "")</f>
        <v/>
      </c>
      <c r="C260" s="19">
        <f>IFERROR(IF(AND(IFERROR(INDEX(ERP資料!$A:$A, (MATCH(259, 輔助計算!$G$2:$G$801, 0)+1)), "")&lt;&gt;"", IFERROR(INDEX(ERP資料!$A:$A, (MATCH(259, 輔助計算!$G$2:$G$801, 0)+1)), "")&lt;&gt;IFERROR(INDEX(ERP資料!$A:$A, MATCH(258, 輔助計算!$G$2:$G$801, 0)+1), "")), IFERROR(VLOOKUP(LEFT(INDEX(ERP資料!$S:$S, (MATCH(259, 輔助計算!$G$2:$G$801, 0)+1)), 4), 紙管對照表!$A:$C, 3, FALSE), ""), ""), "")</f>
        <v/>
      </c>
      <c r="D260" s="16" t="n"/>
      <c r="E260" s="10">
        <f>IFERROR(IF(INDEX(ERP資料!$H:$H, (MATCH(259, 輔助計算!$G$2:$G$801, 0)+1))="","",INDEX(ERP資料!$H:$H, (MATCH(259, 輔助計算!$G$2:$G$801, 0)+1))), "")</f>
        <v/>
      </c>
      <c r="F260" s="10">
        <f>IFERROR(IF(INDEX(ERP資料!$E:$E, (MATCH(259, 輔助計算!$G$2:$G$801, 0)+1))="","",TRIM(INDEX(ERP資料!$E:$E, (MATCH(259, 輔助計算!$G$2:$G$801, 0)+1)))), "")</f>
        <v/>
      </c>
      <c r="G260" s="10">
        <f>IFERROR(IF(INDEX(ERP資料!$F:$F, (MATCH(259, 輔助計算!$G$2:$G$801, 0)+1))="","",INDEX(ERP資料!$F:$F, (MATCH(259, 輔助計算!$G$2:$G$801, 0)+1))), "")</f>
        <v/>
      </c>
      <c r="H260" s="10">
        <f>IFERROR(IF(INDEX(ERP資料!$G:$G, (MATCH(259, 輔助計算!$G$2:$G$801, 0)+1))="","",INDEX(ERP資料!$G:$G, (MATCH(259, 輔助計算!$G$2:$G$801, 0)+1))), "")</f>
        <v/>
      </c>
      <c r="I260" s="15">
        <f>IFERROR(INDEX(輔助計算!$D:$D, (MATCH(259, 輔助計算!$G$2:$G$801, 0)+1)), "")</f>
        <v/>
      </c>
      <c r="J260" s="15">
        <f>IFERROR(IF(AND(INDEX(輔助計算!$D:$D, (MATCH(259, 輔助計算!$G$2:$G$801, 0)+1))&lt;&gt;"", INDEX(ERP資料!$G:$G, (MATCH(259, 輔助計算!$G$2:$G$801, 0)+1))&lt;&gt;""), TRIM(IF(INT(INDEX(輔助計算!$D:$D, (MATCH(259, 輔助計算!$G$2:$G$801, 0)+1))/IF(INDEX(ERP資料!$G:$G, (MATCH(259, 輔助計算!$G$2:$G$801, 0)+1))&lt;100, IF(INDEX(ERP資料!$G:$G, (MATCH(259, 輔助計算!$G$2:$G$801, 0)+1))&lt;=31,3,IF(INDEX(ERP資料!$G:$G, (MATCH(259, 輔助計算!$G$2:$G$801, 0)+1))&lt;=46.5,2,1)), IF(INDEX(ERP資料!$G:$G, (MATCH(259, 輔助計算!$G$2:$G$801, 0)+1))&lt;=790,3,IF(INDEX(ERP資料!$G:$G, (MATCH(259, 輔助計算!$G$2:$G$801, 0)+1))&lt;=1181,2,1))))&gt;0, IF(IF(INDEX(ERP資料!$G:$G, (MATCH(259, 輔助計算!$G$2:$G$801, 0)+1))&lt;100, IF(INDEX(ERP資料!$G:$G, (MATCH(259, 輔助計算!$G$2:$G$801, 0)+1))&lt;=31,3,IF(INDEX(ERP資料!$G:$G, (MATCH(259, 輔助計算!$G$2:$G$801, 0)+1))&lt;=46.5,2,1)), IF(INDEX(ERP資料!$G:$G, (MATCH(259, 輔助計算!$G$2:$G$801, 0)+1))&lt;=790,3,IF(INDEX(ERP資料!$G:$G, (MATCH(259, 輔助計算!$G$2:$G$801, 0)+1))&lt;=1181,2,1)))=1,TEXT(INDEX(ERP資料!$G:$G, (MATCH(259, 輔助計算!$G$2:$G$801, 0)+1)),"0.##"),IF(IF(INDEX(ERP資料!$G:$G, (MATCH(259, 輔助計算!$G$2:$G$801, 0)+1))&lt;100, IF(INDEX(ERP資料!$G:$G, (MATCH(259, 輔助計算!$G$2:$G$801, 0)+1))&lt;=31,3,IF(INDEX(ERP資料!$G:$G, (MATCH(259, 輔助計算!$G$2:$G$801, 0)+1))&lt;=46.5,2,1)), IF(INDEX(ERP資料!$G:$G, (MATCH(259, 輔助計算!$G$2:$G$801, 0)+1))&lt;=790,3,IF(INDEX(ERP資料!$G:$G, (MATCH(259, 輔助計算!$G$2:$G$801, 0)+1))&lt;=1181,2,1)))=2,TEXT(INDEX(ERP資料!$G:$G, (MATCH(259, 輔助計算!$G$2:$G$801, 0)+1)),"0.##")&amp;"+"&amp;TEXT(INDEX(ERP資料!$G:$G, (MATCH(259, 輔助計算!$G$2:$G$801, 0)+1)),"0.##"),TEXT(INDEX(ERP資料!$G:$G, (MATCH(259, 輔助計算!$G$2:$G$801, 0)+1)),"0.##")&amp;"+"&amp;TEXT(INDEX(ERP資料!$G:$G, (MATCH(259, 輔助計算!$G$2:$G$801, 0)+1)),"0.##")&amp;"+"&amp;TEXT(INDEX(ERP資料!$G:$G, (MATCH(259, 輔助計算!$G$2:$G$801, 0)+1)),"0.##")))&amp;"-"&amp;INT(INDEX(輔助計算!$D:$D, (MATCH(259, 輔助計算!$G$2:$G$801, 0)+1))/IF(INDEX(ERP資料!$G:$G, (MATCH(259, 輔助計算!$G$2:$G$801, 0)+1))&lt;100, IF(INDEX(ERP資料!$G:$G, (MATCH(259, 輔助計算!$G$2:$G$801, 0)+1))&lt;=31,3,IF(INDEX(ERP資料!$G:$G, (MATCH(259, 輔助計算!$G$2:$G$801, 0)+1))&lt;=46.5,2,1)), IF(INDEX(ERP資料!$G:$G, (MATCH(259, 輔助計算!$G$2:$G$801, 0)+1))&lt;=790,3,IF(INDEX(ERP資料!$G:$G, (MATCH(259, 輔助計算!$G$2:$G$801, 0)+1))&lt;=1181,2,1)))), "")&amp;IF(AND(IF(INT(INDEX(輔助計算!$D:$D, (MATCH(259, 輔助計算!$G$2:$G$801, 0)+1))/IF(INDEX(ERP資料!$G:$G, (MATCH(259, 輔助計算!$G$2:$G$801, 0)+1))&lt;100, IF(INDEX(ERP資料!$G:$G, (MATCH(259, 輔助計算!$G$2:$G$801, 0)+1))&lt;=31,3,IF(INDEX(ERP資料!$G:$G, (MATCH(259, 輔助計算!$G$2:$G$801, 0)+1))&lt;=46.5,2,1)), IF(INDEX(ERP資料!$G:$G, (MATCH(259, 輔助計算!$G$2:$G$801, 0)+1))&lt;=790,3,IF(INDEX(ERP資料!$G:$G, (MATCH(259, 輔助計算!$G$2:$G$801, 0)+1))&lt;=1181,2,1))))&gt;0, IF(IF(INDEX(ERP資料!$G:$G, (MATCH(259, 輔助計算!$G$2:$G$801, 0)+1))&lt;100, IF(INDEX(ERP資料!$G:$G, (MATCH(259, 輔助計算!$G$2:$G$801, 0)+1))&lt;=31,3,IF(INDEX(ERP資料!$G:$G, (MATCH(259, 輔助計算!$G$2:$G$801, 0)+1))&lt;=46.5,2,1)), IF(INDEX(ERP資料!$G:$G, (MATCH(259, 輔助計算!$G$2:$G$801, 0)+1))&lt;=790,3,IF(INDEX(ERP資料!$G:$G, (MATCH(259, 輔助計算!$G$2:$G$801, 0)+1))&lt;=1181,2,1)))=1,TEXT(INDEX(ERP資料!$G:$G, (MATCH(259, 輔助計算!$G$2:$G$801, 0)+1)),"0.##"),IF(IF(INDEX(ERP資料!$G:$G, (MATCH(259, 輔助計算!$G$2:$G$801, 0)+1))&lt;100, IF(INDEX(ERP資料!$G:$G, (MATCH(259, 輔助計算!$G$2:$G$801, 0)+1))&lt;=31,3,IF(INDEX(ERP資料!$G:$G, (MATCH(259, 輔助計算!$G$2:$G$801, 0)+1))&lt;=46.5,2,1)), IF(INDEX(ERP資料!$G:$G, (MATCH(259, 輔助計算!$G$2:$G$801, 0)+1))&lt;=790,3,IF(INDEX(ERP資料!$G:$G, (MATCH(259, 輔助計算!$G$2:$G$801, 0)+1))&lt;=1181,2,1)))=2,TEXT(INDEX(ERP資料!$G:$G, (MATCH(259, 輔助計算!$G$2:$G$801, 0)+1)),"0.##")&amp;"+"&amp;TEXT(INDEX(ERP資料!$G:$G, (MATCH(259, 輔助計算!$G$2:$G$801, 0)+1)),"0.##"),TEXT(INDEX(ERP資料!$G:$G, (MATCH(259, 輔助計算!$G$2:$G$801, 0)+1)),"0.##")&amp;"+"&amp;TEXT(INDEX(ERP資料!$G:$G, (MATCH(259, 輔助計算!$G$2:$G$801, 0)+1)),"0.##")&amp;"+"&amp;TEXT(INDEX(ERP資料!$G:$G, (MATCH(259, 輔助計算!$G$2:$G$801, 0)+1)),"0.##")))&amp;"-"&amp;INT(INDEX(輔助計算!$D:$D, (MATCH(259, 輔助計算!$G$2:$G$801, 0)+1))/IF(INDEX(ERP資料!$G:$G, (MATCH(259, 輔助計算!$G$2:$G$801, 0)+1))&lt;100, IF(INDEX(ERP資料!$G:$G, (MATCH(259, 輔助計算!$G$2:$G$801, 0)+1))&lt;=31,3,IF(INDEX(ERP資料!$G:$G, (MATCH(259, 輔助計算!$G$2:$G$801, 0)+1))&lt;=46.5,2,1)), IF(INDEX(ERP資料!$G:$G, (MATCH(259, 輔助計算!$G$2:$G$801, 0)+1))&lt;=790,3,IF(INDEX(ERP資料!$G:$G, (MATCH(259, 輔助計算!$G$2:$G$801, 0)+1))&lt;=1181,2,1)))), "")&lt;&gt;"",IF(MOD(INDEX(輔助計算!$D:$D, (MATCH(259, 輔助計算!$G$2:$G$801, 0)+1)),IF(INDEX(ERP資料!$G:$G, (MATCH(259, 輔助計算!$G$2:$G$801, 0)+1))&lt;100, IF(INDEX(ERP資料!$G:$G, (MATCH(259, 輔助計算!$G$2:$G$801, 0)+1))&lt;=31,3,IF(INDEX(ERP資料!$G:$G, (MATCH(259, 輔助計算!$G$2:$G$801, 0)+1))&lt;=46.5,2,1)), IF(INDEX(ERP資料!$G:$G, (MATCH(259, 輔助計算!$G$2:$G$801, 0)+1))&lt;=790,3,IF(INDEX(ERP資料!$G:$G, (MATCH(259, 輔助計算!$G$2:$G$801, 0)+1))&lt;=1181,2,1))))=0,"",IF(MOD(INDEX(輔助計算!$D:$D, (MATCH(259, 輔助計算!$G$2:$G$801, 0)+1)),IF(INDEX(ERP資料!$G:$G, (MATCH(259, 輔助計算!$G$2:$G$801, 0)+1))&lt;100, IF(INDEX(ERP資料!$G:$G, (MATCH(259, 輔助計算!$G$2:$G$801, 0)+1))&lt;=31,3,IF(INDEX(ERP資料!$G:$G, (MATCH(259, 輔助計算!$G$2:$G$801, 0)+1))&lt;=46.5,2,1)), IF(INDEX(ERP資料!$G:$G, (MATCH(259, 輔助計算!$G$2:$G$801, 0)+1))&lt;=790,3,IF(INDEX(ERP資料!$G:$G, (MATCH(259, 輔助計算!$G$2:$G$801, 0)+1))&lt;=1181,2,1))))=0,"",IF(MOD(INDEX(輔助計算!$D:$D, (MATCH(259, 輔助計算!$G$2:$G$801, 0)+1)),IF(INDEX(ERP資料!$G:$G, (MATCH(259, 輔助計算!$G$2:$G$801, 0)+1))&lt;100, IF(INDEX(ERP資料!$G:$G, (MATCH(259, 輔助計算!$G$2:$G$801, 0)+1))&lt;=31,3,IF(INDEX(ERP資料!$G:$G, (MATCH(259, 輔助計算!$G$2:$G$801, 0)+1))&lt;=46.5,2,1)), IF(INDEX(ERP資料!$G:$G, (MATCH(259, 輔助計算!$G$2:$G$801, 0)+1))&lt;=790,3,IF(INDEX(ERP資料!$G:$G, (MATCH(259, 輔助計算!$G$2:$G$801, 0)+1))&lt;=1181,2,1))))=1,TEXT(INDEX(ERP資料!$G:$G, (MATCH(259, 輔助計算!$G$2:$G$801, 0)+1)),"0.##"),IF(MOD(INDEX(輔助計算!$D:$D, (MATCH(259, 輔助計算!$G$2:$G$801, 0)+1)),IF(INDEX(ERP資料!$G:$G, (MATCH(259, 輔助計算!$G$2:$G$801, 0)+1))&lt;100, IF(INDEX(ERP資料!$G:$G, (MATCH(259, 輔助計算!$G$2:$G$801, 0)+1))&lt;=31,3,IF(INDEX(ERP資料!$G:$G, (MATCH(259, 輔助計算!$G$2:$G$801, 0)+1))&lt;=46.5,2,1)), IF(INDEX(ERP資料!$G:$G, (MATCH(259, 輔助計算!$G$2:$G$801, 0)+1))&lt;=790,3,IF(INDEX(ERP資料!$G:$G, (MATCH(259, 輔助計算!$G$2:$G$801, 0)+1))&lt;=1181,2,1))))=2,TEXT(INDEX(ERP資料!$G:$G, (MATCH(259, 輔助計算!$G$2:$G$801, 0)+1)),"0.##")&amp;"+"&amp;TEXT(INDEX(ERP資料!$G:$G, (MATCH(259, 輔助計算!$G$2:$G$801, 0)+1)),"0.##"),TEXT(INDEX(ERP資料!$G:$G, (MATCH(259, 輔助計算!$G$2:$G$801, 0)+1)),"0.##")&amp;"+"&amp;TEXT(INDEX(ERP資料!$G:$G, (MATCH(259, 輔助計算!$G$2:$G$801, 0)+1)),"0.##")&amp;"+"&amp;TEXT(INDEX(ERP資料!$G:$G, (MATCH(259, 輔助計算!$G$2:$G$801, 0)+1)),"0.##"))))&amp;"-1")&lt;&gt;""),"  ","")&amp;IF(MOD(INDEX(輔助計算!$D:$D, (MATCH(259, 輔助計算!$G$2:$G$801, 0)+1)),IF(INDEX(ERP資料!$G:$G, (MATCH(259, 輔助計算!$G$2:$G$801, 0)+1))&lt;100, IF(INDEX(ERP資料!$G:$G, (MATCH(259, 輔助計算!$G$2:$G$801, 0)+1))&lt;=31,3,IF(INDEX(ERP資料!$G:$G, (MATCH(259, 輔助計算!$G$2:$G$801, 0)+1))&lt;=46.5,2,1)), IF(INDEX(ERP資料!$G:$G, (MATCH(259, 輔助計算!$G$2:$G$801, 0)+1))&lt;=790,3,IF(INDEX(ERP資料!$G:$G, (MATCH(259, 輔助計算!$G$2:$G$801, 0)+1))&lt;=1181,2,1))))=0,"",IF(MOD(INDEX(輔助計算!$D:$D, (MATCH(259, 輔助計算!$G$2:$G$801, 0)+1)),IF(INDEX(ERP資料!$G:$G, (MATCH(259, 輔助計算!$G$2:$G$801, 0)+1))&lt;100, IF(INDEX(ERP資料!$G:$G, (MATCH(259, 輔助計算!$G$2:$G$801, 0)+1))&lt;=31,3,IF(INDEX(ERP資料!$G:$G, (MATCH(259, 輔助計算!$G$2:$G$801, 0)+1))&lt;=46.5,2,1)), IF(INDEX(ERP資料!$G:$G, (MATCH(259, 輔助計算!$G$2:$G$801, 0)+1))&lt;=790,3,IF(INDEX(ERP資料!$G:$G, (MATCH(259, 輔助計算!$G$2:$G$801, 0)+1))&lt;=1181,2,1))))=0,"",IF(MOD(INDEX(輔助計算!$D:$D, (MATCH(259, 輔助計算!$G$2:$G$801, 0)+1)),IF(INDEX(ERP資料!$G:$G, (MATCH(259, 輔助計算!$G$2:$G$801, 0)+1))&lt;100, IF(INDEX(ERP資料!$G:$G, (MATCH(259, 輔助計算!$G$2:$G$801, 0)+1))&lt;=31,3,IF(INDEX(ERP資料!$G:$G, (MATCH(259, 輔助計算!$G$2:$G$801, 0)+1))&lt;=46.5,2,1)), IF(INDEX(ERP資料!$G:$G, (MATCH(259, 輔助計算!$G$2:$G$801, 0)+1))&lt;=790,3,IF(INDEX(ERP資料!$G:$G, (MATCH(259, 輔助計算!$G$2:$G$801, 0)+1))&lt;=1181,2,1))))=1,TEXT(INDEX(ERP資料!$G:$G, (MATCH(259, 輔助計算!$G$2:$G$801, 0)+1)),"0.##"),IF(MOD(INDEX(輔助計算!$D:$D, (MATCH(259, 輔助計算!$G$2:$G$801, 0)+1)),IF(INDEX(ERP資料!$G:$G, (MATCH(259, 輔助計算!$G$2:$G$801, 0)+1))&lt;100, IF(INDEX(ERP資料!$G:$G, (MATCH(259, 輔助計算!$G$2:$G$801, 0)+1))&lt;=31,3,IF(INDEX(ERP資料!$G:$G, (MATCH(259, 輔助計算!$G$2:$G$801, 0)+1))&lt;=46.5,2,1)), IF(INDEX(ERP資料!$G:$G, (MATCH(259, 輔助計算!$G$2:$G$801, 0)+1))&lt;=790,3,IF(INDEX(ERP資料!$G:$G, (MATCH(259, 輔助計算!$G$2:$G$801, 0)+1))&lt;=1181,2,1))))=2,TEXT(INDEX(ERP資料!$G:$G, (MATCH(259, 輔助計算!$G$2:$G$801, 0)+1)),"0.##")&amp;"+"&amp;TEXT(INDEX(ERP資料!$G:$G, (MATCH(259, 輔助計算!$G$2:$G$801, 0)+1)),"0.##"),TEXT(INDEX(ERP資料!$G:$G, (MATCH(259, 輔助計算!$G$2:$G$801, 0)+1)),"0.##")&amp;"+"&amp;TEXT(INDEX(ERP資料!$G:$G, (MATCH(259, 輔助計算!$G$2:$G$801, 0)+1)),"0.##")&amp;"+"&amp;TEXT(INDEX(ERP資料!$G:$G, (MATCH(259, 輔助計算!$G$2:$G$801, 0)+1)),"0.##"))))&amp;"-1")), ""), "")</f>
        <v/>
      </c>
      <c r="K260" s="16" t="n"/>
      <c r="L260" s="14">
        <f>IFERROR(IF(AND(IFERROR(INDEX(ERP資料!$A:$A, (MATCH(259, 輔助計算!$G$2:$G$801, 0)+1)), "")&lt;&gt;"", IFERROR(INDEX(ERP資料!$A:$A, (MATCH(259, 輔助計算!$G$2:$G$801, 0)+1)), "")&lt;&gt;IFERROR(INDEX(ERP資料!$A:$A, MATCH(258, 輔助計算!$G$2:$G$801, 0)+1), "")), INDEX(ERP資料!$B:$B, (MATCH(259, 輔助計算!$G$2:$G$801, 0)+1)), ""), "")</f>
        <v/>
      </c>
      <c r="M260" s="17" t="n"/>
    </row>
    <row r="261">
      <c r="A261" s="10">
        <f>IFERROR(IF(AND(IFERROR(INDEX(ERP資料!$A:$A, (MATCH(260, 輔助計算!$G$2:$G$801, 0)+1)), "")&lt;&gt;"", IFERROR(INDEX(ERP資料!$A:$A, (MATCH(260, 輔助計算!$G$2:$G$801, 0)+1)), "")&lt;&gt;IFERROR(INDEX(ERP資料!$A:$A, MATCH(259, 輔助計算!$G$2:$G$801, 0)+1), "")), IFERROR(INDEX(ERP資料!$A:$A, (MATCH(260, 輔助計算!$G$2:$G$801, 0)+1)), ""), ""), "")</f>
        <v/>
      </c>
      <c r="B261" s="10">
        <f>IFERROR(IF(AND(IFERROR(INDEX(ERP資料!$A:$A, (MATCH(260, 輔助計算!$G$2:$G$801, 0)+1)), "")&lt;&gt;"", IFERROR(INDEX(ERP資料!$A:$A, (MATCH(260, 輔助計算!$G$2:$G$801, 0)+1)), "")&lt;&gt;IFERROR(INDEX(ERP資料!$A:$A, MATCH(259, 輔助計算!$G$2:$G$801, 0)+1), "")), INDEX(ERP資料!$S:$S, (MATCH(260, 輔助計算!$G$2:$G$801, 0)+1)), ""), "")</f>
        <v/>
      </c>
      <c r="C261" s="19">
        <f>IFERROR(IF(AND(IFERROR(INDEX(ERP資料!$A:$A, (MATCH(260, 輔助計算!$G$2:$G$801, 0)+1)), "")&lt;&gt;"", IFERROR(INDEX(ERP資料!$A:$A, (MATCH(260, 輔助計算!$G$2:$G$801, 0)+1)), "")&lt;&gt;IFERROR(INDEX(ERP資料!$A:$A, MATCH(259, 輔助計算!$G$2:$G$801, 0)+1), "")), IFERROR(VLOOKUP(LEFT(INDEX(ERP資料!$S:$S, (MATCH(260, 輔助計算!$G$2:$G$801, 0)+1)), 4), 紙管對照表!$A:$C, 3, FALSE), ""), ""), "")</f>
        <v/>
      </c>
      <c r="D261" s="16" t="n"/>
      <c r="E261" s="10">
        <f>IFERROR(IF(INDEX(ERP資料!$H:$H, (MATCH(260, 輔助計算!$G$2:$G$801, 0)+1))="","",INDEX(ERP資料!$H:$H, (MATCH(260, 輔助計算!$G$2:$G$801, 0)+1))), "")</f>
        <v/>
      </c>
      <c r="F261" s="10">
        <f>IFERROR(IF(INDEX(ERP資料!$E:$E, (MATCH(260, 輔助計算!$G$2:$G$801, 0)+1))="","",TRIM(INDEX(ERP資料!$E:$E, (MATCH(260, 輔助計算!$G$2:$G$801, 0)+1)))), "")</f>
        <v/>
      </c>
      <c r="G261" s="10">
        <f>IFERROR(IF(INDEX(ERP資料!$F:$F, (MATCH(260, 輔助計算!$G$2:$G$801, 0)+1))="","",INDEX(ERP資料!$F:$F, (MATCH(260, 輔助計算!$G$2:$G$801, 0)+1))), "")</f>
        <v/>
      </c>
      <c r="H261" s="10">
        <f>IFERROR(IF(INDEX(ERP資料!$G:$G, (MATCH(260, 輔助計算!$G$2:$G$801, 0)+1))="","",INDEX(ERP資料!$G:$G, (MATCH(260, 輔助計算!$G$2:$G$801, 0)+1))), "")</f>
        <v/>
      </c>
      <c r="I261" s="15">
        <f>IFERROR(INDEX(輔助計算!$D:$D, (MATCH(260, 輔助計算!$G$2:$G$801, 0)+1)), "")</f>
        <v/>
      </c>
      <c r="J261" s="15">
        <f>IFERROR(IF(AND(INDEX(輔助計算!$D:$D, (MATCH(260, 輔助計算!$G$2:$G$801, 0)+1))&lt;&gt;"", INDEX(ERP資料!$G:$G, (MATCH(260, 輔助計算!$G$2:$G$801, 0)+1))&lt;&gt;""), TRIM(IF(INT(INDEX(輔助計算!$D:$D, (MATCH(260, 輔助計算!$G$2:$G$801, 0)+1))/IF(INDEX(ERP資料!$G:$G, (MATCH(260, 輔助計算!$G$2:$G$801, 0)+1))&lt;100, IF(INDEX(ERP資料!$G:$G, (MATCH(260, 輔助計算!$G$2:$G$801, 0)+1))&lt;=31,3,IF(INDEX(ERP資料!$G:$G, (MATCH(260, 輔助計算!$G$2:$G$801, 0)+1))&lt;=46.5,2,1)), IF(INDEX(ERP資料!$G:$G, (MATCH(260, 輔助計算!$G$2:$G$801, 0)+1))&lt;=790,3,IF(INDEX(ERP資料!$G:$G, (MATCH(260, 輔助計算!$G$2:$G$801, 0)+1))&lt;=1181,2,1))))&gt;0, IF(IF(INDEX(ERP資料!$G:$G, (MATCH(260, 輔助計算!$G$2:$G$801, 0)+1))&lt;100, IF(INDEX(ERP資料!$G:$G, (MATCH(260, 輔助計算!$G$2:$G$801, 0)+1))&lt;=31,3,IF(INDEX(ERP資料!$G:$G, (MATCH(260, 輔助計算!$G$2:$G$801, 0)+1))&lt;=46.5,2,1)), IF(INDEX(ERP資料!$G:$G, (MATCH(260, 輔助計算!$G$2:$G$801, 0)+1))&lt;=790,3,IF(INDEX(ERP資料!$G:$G, (MATCH(260, 輔助計算!$G$2:$G$801, 0)+1))&lt;=1181,2,1)))=1,TEXT(INDEX(ERP資料!$G:$G, (MATCH(260, 輔助計算!$G$2:$G$801, 0)+1)),"0.##"),IF(IF(INDEX(ERP資料!$G:$G, (MATCH(260, 輔助計算!$G$2:$G$801, 0)+1))&lt;100, IF(INDEX(ERP資料!$G:$G, (MATCH(260, 輔助計算!$G$2:$G$801, 0)+1))&lt;=31,3,IF(INDEX(ERP資料!$G:$G, (MATCH(260, 輔助計算!$G$2:$G$801, 0)+1))&lt;=46.5,2,1)), IF(INDEX(ERP資料!$G:$G, (MATCH(260, 輔助計算!$G$2:$G$801, 0)+1))&lt;=790,3,IF(INDEX(ERP資料!$G:$G, (MATCH(260, 輔助計算!$G$2:$G$801, 0)+1))&lt;=1181,2,1)))=2,TEXT(INDEX(ERP資料!$G:$G, (MATCH(260, 輔助計算!$G$2:$G$801, 0)+1)),"0.##")&amp;"+"&amp;TEXT(INDEX(ERP資料!$G:$G, (MATCH(260, 輔助計算!$G$2:$G$801, 0)+1)),"0.##"),TEXT(INDEX(ERP資料!$G:$G, (MATCH(260, 輔助計算!$G$2:$G$801, 0)+1)),"0.##")&amp;"+"&amp;TEXT(INDEX(ERP資料!$G:$G, (MATCH(260, 輔助計算!$G$2:$G$801, 0)+1)),"0.##")&amp;"+"&amp;TEXT(INDEX(ERP資料!$G:$G, (MATCH(260, 輔助計算!$G$2:$G$801, 0)+1)),"0.##")))&amp;"-"&amp;INT(INDEX(輔助計算!$D:$D, (MATCH(260, 輔助計算!$G$2:$G$801, 0)+1))/IF(INDEX(ERP資料!$G:$G, (MATCH(260, 輔助計算!$G$2:$G$801, 0)+1))&lt;100, IF(INDEX(ERP資料!$G:$G, (MATCH(260, 輔助計算!$G$2:$G$801, 0)+1))&lt;=31,3,IF(INDEX(ERP資料!$G:$G, (MATCH(260, 輔助計算!$G$2:$G$801, 0)+1))&lt;=46.5,2,1)), IF(INDEX(ERP資料!$G:$G, (MATCH(260, 輔助計算!$G$2:$G$801, 0)+1))&lt;=790,3,IF(INDEX(ERP資料!$G:$G, (MATCH(260, 輔助計算!$G$2:$G$801, 0)+1))&lt;=1181,2,1)))), "")&amp;IF(AND(IF(INT(INDEX(輔助計算!$D:$D, (MATCH(260, 輔助計算!$G$2:$G$801, 0)+1))/IF(INDEX(ERP資料!$G:$G, (MATCH(260, 輔助計算!$G$2:$G$801, 0)+1))&lt;100, IF(INDEX(ERP資料!$G:$G, (MATCH(260, 輔助計算!$G$2:$G$801, 0)+1))&lt;=31,3,IF(INDEX(ERP資料!$G:$G, (MATCH(260, 輔助計算!$G$2:$G$801, 0)+1))&lt;=46.5,2,1)), IF(INDEX(ERP資料!$G:$G, (MATCH(260, 輔助計算!$G$2:$G$801, 0)+1))&lt;=790,3,IF(INDEX(ERP資料!$G:$G, (MATCH(260, 輔助計算!$G$2:$G$801, 0)+1))&lt;=1181,2,1))))&gt;0, IF(IF(INDEX(ERP資料!$G:$G, (MATCH(260, 輔助計算!$G$2:$G$801, 0)+1))&lt;100, IF(INDEX(ERP資料!$G:$G, (MATCH(260, 輔助計算!$G$2:$G$801, 0)+1))&lt;=31,3,IF(INDEX(ERP資料!$G:$G, (MATCH(260, 輔助計算!$G$2:$G$801, 0)+1))&lt;=46.5,2,1)), IF(INDEX(ERP資料!$G:$G, (MATCH(260, 輔助計算!$G$2:$G$801, 0)+1))&lt;=790,3,IF(INDEX(ERP資料!$G:$G, (MATCH(260, 輔助計算!$G$2:$G$801, 0)+1))&lt;=1181,2,1)))=1,TEXT(INDEX(ERP資料!$G:$G, (MATCH(260, 輔助計算!$G$2:$G$801, 0)+1)),"0.##"),IF(IF(INDEX(ERP資料!$G:$G, (MATCH(260, 輔助計算!$G$2:$G$801, 0)+1))&lt;100, IF(INDEX(ERP資料!$G:$G, (MATCH(260, 輔助計算!$G$2:$G$801, 0)+1))&lt;=31,3,IF(INDEX(ERP資料!$G:$G, (MATCH(260, 輔助計算!$G$2:$G$801, 0)+1))&lt;=46.5,2,1)), IF(INDEX(ERP資料!$G:$G, (MATCH(260, 輔助計算!$G$2:$G$801, 0)+1))&lt;=790,3,IF(INDEX(ERP資料!$G:$G, (MATCH(260, 輔助計算!$G$2:$G$801, 0)+1))&lt;=1181,2,1)))=2,TEXT(INDEX(ERP資料!$G:$G, (MATCH(260, 輔助計算!$G$2:$G$801, 0)+1)),"0.##")&amp;"+"&amp;TEXT(INDEX(ERP資料!$G:$G, (MATCH(260, 輔助計算!$G$2:$G$801, 0)+1)),"0.##"),TEXT(INDEX(ERP資料!$G:$G, (MATCH(260, 輔助計算!$G$2:$G$801, 0)+1)),"0.##")&amp;"+"&amp;TEXT(INDEX(ERP資料!$G:$G, (MATCH(260, 輔助計算!$G$2:$G$801, 0)+1)),"0.##")&amp;"+"&amp;TEXT(INDEX(ERP資料!$G:$G, (MATCH(260, 輔助計算!$G$2:$G$801, 0)+1)),"0.##")))&amp;"-"&amp;INT(INDEX(輔助計算!$D:$D, (MATCH(260, 輔助計算!$G$2:$G$801, 0)+1))/IF(INDEX(ERP資料!$G:$G, (MATCH(260, 輔助計算!$G$2:$G$801, 0)+1))&lt;100, IF(INDEX(ERP資料!$G:$G, (MATCH(260, 輔助計算!$G$2:$G$801, 0)+1))&lt;=31,3,IF(INDEX(ERP資料!$G:$G, (MATCH(260, 輔助計算!$G$2:$G$801, 0)+1))&lt;=46.5,2,1)), IF(INDEX(ERP資料!$G:$G, (MATCH(260, 輔助計算!$G$2:$G$801, 0)+1))&lt;=790,3,IF(INDEX(ERP資料!$G:$G, (MATCH(260, 輔助計算!$G$2:$G$801, 0)+1))&lt;=1181,2,1)))), "")&lt;&gt;"",IF(MOD(INDEX(輔助計算!$D:$D, (MATCH(260, 輔助計算!$G$2:$G$801, 0)+1)),IF(INDEX(ERP資料!$G:$G, (MATCH(260, 輔助計算!$G$2:$G$801, 0)+1))&lt;100, IF(INDEX(ERP資料!$G:$G, (MATCH(260, 輔助計算!$G$2:$G$801, 0)+1))&lt;=31,3,IF(INDEX(ERP資料!$G:$G, (MATCH(260, 輔助計算!$G$2:$G$801, 0)+1))&lt;=46.5,2,1)), IF(INDEX(ERP資料!$G:$G, (MATCH(260, 輔助計算!$G$2:$G$801, 0)+1))&lt;=790,3,IF(INDEX(ERP資料!$G:$G, (MATCH(260, 輔助計算!$G$2:$G$801, 0)+1))&lt;=1181,2,1))))=0,"",IF(MOD(INDEX(輔助計算!$D:$D, (MATCH(260, 輔助計算!$G$2:$G$801, 0)+1)),IF(INDEX(ERP資料!$G:$G, (MATCH(260, 輔助計算!$G$2:$G$801, 0)+1))&lt;100, IF(INDEX(ERP資料!$G:$G, (MATCH(260, 輔助計算!$G$2:$G$801, 0)+1))&lt;=31,3,IF(INDEX(ERP資料!$G:$G, (MATCH(260, 輔助計算!$G$2:$G$801, 0)+1))&lt;=46.5,2,1)), IF(INDEX(ERP資料!$G:$G, (MATCH(260, 輔助計算!$G$2:$G$801, 0)+1))&lt;=790,3,IF(INDEX(ERP資料!$G:$G, (MATCH(260, 輔助計算!$G$2:$G$801, 0)+1))&lt;=1181,2,1))))=0,"",IF(MOD(INDEX(輔助計算!$D:$D, (MATCH(260, 輔助計算!$G$2:$G$801, 0)+1)),IF(INDEX(ERP資料!$G:$G, (MATCH(260, 輔助計算!$G$2:$G$801, 0)+1))&lt;100, IF(INDEX(ERP資料!$G:$G, (MATCH(260, 輔助計算!$G$2:$G$801, 0)+1))&lt;=31,3,IF(INDEX(ERP資料!$G:$G, (MATCH(260, 輔助計算!$G$2:$G$801, 0)+1))&lt;=46.5,2,1)), IF(INDEX(ERP資料!$G:$G, (MATCH(260, 輔助計算!$G$2:$G$801, 0)+1))&lt;=790,3,IF(INDEX(ERP資料!$G:$G, (MATCH(260, 輔助計算!$G$2:$G$801, 0)+1))&lt;=1181,2,1))))=1,TEXT(INDEX(ERP資料!$G:$G, (MATCH(260, 輔助計算!$G$2:$G$801, 0)+1)),"0.##"),IF(MOD(INDEX(輔助計算!$D:$D, (MATCH(260, 輔助計算!$G$2:$G$801, 0)+1)),IF(INDEX(ERP資料!$G:$G, (MATCH(260, 輔助計算!$G$2:$G$801, 0)+1))&lt;100, IF(INDEX(ERP資料!$G:$G, (MATCH(260, 輔助計算!$G$2:$G$801, 0)+1))&lt;=31,3,IF(INDEX(ERP資料!$G:$G, (MATCH(260, 輔助計算!$G$2:$G$801, 0)+1))&lt;=46.5,2,1)), IF(INDEX(ERP資料!$G:$G, (MATCH(260, 輔助計算!$G$2:$G$801, 0)+1))&lt;=790,3,IF(INDEX(ERP資料!$G:$G, (MATCH(260, 輔助計算!$G$2:$G$801, 0)+1))&lt;=1181,2,1))))=2,TEXT(INDEX(ERP資料!$G:$G, (MATCH(260, 輔助計算!$G$2:$G$801, 0)+1)),"0.##")&amp;"+"&amp;TEXT(INDEX(ERP資料!$G:$G, (MATCH(260, 輔助計算!$G$2:$G$801, 0)+1)),"0.##"),TEXT(INDEX(ERP資料!$G:$G, (MATCH(260, 輔助計算!$G$2:$G$801, 0)+1)),"0.##")&amp;"+"&amp;TEXT(INDEX(ERP資料!$G:$G, (MATCH(260, 輔助計算!$G$2:$G$801, 0)+1)),"0.##")&amp;"+"&amp;TEXT(INDEX(ERP資料!$G:$G, (MATCH(260, 輔助計算!$G$2:$G$801, 0)+1)),"0.##"))))&amp;"-1")&lt;&gt;""),"  ","")&amp;IF(MOD(INDEX(輔助計算!$D:$D, (MATCH(260, 輔助計算!$G$2:$G$801, 0)+1)),IF(INDEX(ERP資料!$G:$G, (MATCH(260, 輔助計算!$G$2:$G$801, 0)+1))&lt;100, IF(INDEX(ERP資料!$G:$G, (MATCH(260, 輔助計算!$G$2:$G$801, 0)+1))&lt;=31,3,IF(INDEX(ERP資料!$G:$G, (MATCH(260, 輔助計算!$G$2:$G$801, 0)+1))&lt;=46.5,2,1)), IF(INDEX(ERP資料!$G:$G, (MATCH(260, 輔助計算!$G$2:$G$801, 0)+1))&lt;=790,3,IF(INDEX(ERP資料!$G:$G, (MATCH(260, 輔助計算!$G$2:$G$801, 0)+1))&lt;=1181,2,1))))=0,"",IF(MOD(INDEX(輔助計算!$D:$D, (MATCH(260, 輔助計算!$G$2:$G$801, 0)+1)),IF(INDEX(ERP資料!$G:$G, (MATCH(260, 輔助計算!$G$2:$G$801, 0)+1))&lt;100, IF(INDEX(ERP資料!$G:$G, (MATCH(260, 輔助計算!$G$2:$G$801, 0)+1))&lt;=31,3,IF(INDEX(ERP資料!$G:$G, (MATCH(260, 輔助計算!$G$2:$G$801, 0)+1))&lt;=46.5,2,1)), IF(INDEX(ERP資料!$G:$G, (MATCH(260, 輔助計算!$G$2:$G$801, 0)+1))&lt;=790,3,IF(INDEX(ERP資料!$G:$G, (MATCH(260, 輔助計算!$G$2:$G$801, 0)+1))&lt;=1181,2,1))))=0,"",IF(MOD(INDEX(輔助計算!$D:$D, (MATCH(260, 輔助計算!$G$2:$G$801, 0)+1)),IF(INDEX(ERP資料!$G:$G, (MATCH(260, 輔助計算!$G$2:$G$801, 0)+1))&lt;100, IF(INDEX(ERP資料!$G:$G, (MATCH(260, 輔助計算!$G$2:$G$801, 0)+1))&lt;=31,3,IF(INDEX(ERP資料!$G:$G, (MATCH(260, 輔助計算!$G$2:$G$801, 0)+1))&lt;=46.5,2,1)), IF(INDEX(ERP資料!$G:$G, (MATCH(260, 輔助計算!$G$2:$G$801, 0)+1))&lt;=790,3,IF(INDEX(ERP資料!$G:$G, (MATCH(260, 輔助計算!$G$2:$G$801, 0)+1))&lt;=1181,2,1))))=1,TEXT(INDEX(ERP資料!$G:$G, (MATCH(260, 輔助計算!$G$2:$G$801, 0)+1)),"0.##"),IF(MOD(INDEX(輔助計算!$D:$D, (MATCH(260, 輔助計算!$G$2:$G$801, 0)+1)),IF(INDEX(ERP資料!$G:$G, (MATCH(260, 輔助計算!$G$2:$G$801, 0)+1))&lt;100, IF(INDEX(ERP資料!$G:$G, (MATCH(260, 輔助計算!$G$2:$G$801, 0)+1))&lt;=31,3,IF(INDEX(ERP資料!$G:$G, (MATCH(260, 輔助計算!$G$2:$G$801, 0)+1))&lt;=46.5,2,1)), IF(INDEX(ERP資料!$G:$G, (MATCH(260, 輔助計算!$G$2:$G$801, 0)+1))&lt;=790,3,IF(INDEX(ERP資料!$G:$G, (MATCH(260, 輔助計算!$G$2:$G$801, 0)+1))&lt;=1181,2,1))))=2,TEXT(INDEX(ERP資料!$G:$G, (MATCH(260, 輔助計算!$G$2:$G$801, 0)+1)),"0.##")&amp;"+"&amp;TEXT(INDEX(ERP資料!$G:$G, (MATCH(260, 輔助計算!$G$2:$G$801, 0)+1)),"0.##"),TEXT(INDEX(ERP資料!$G:$G, (MATCH(260, 輔助計算!$G$2:$G$801, 0)+1)),"0.##")&amp;"+"&amp;TEXT(INDEX(ERP資料!$G:$G, (MATCH(260, 輔助計算!$G$2:$G$801, 0)+1)),"0.##")&amp;"+"&amp;TEXT(INDEX(ERP資料!$G:$G, (MATCH(260, 輔助計算!$G$2:$G$801, 0)+1)),"0.##"))))&amp;"-1")), ""), "")</f>
        <v/>
      </c>
      <c r="K261" s="16" t="n"/>
      <c r="L261" s="14">
        <f>IFERROR(IF(AND(IFERROR(INDEX(ERP資料!$A:$A, (MATCH(260, 輔助計算!$G$2:$G$801, 0)+1)), "")&lt;&gt;"", IFERROR(INDEX(ERP資料!$A:$A, (MATCH(260, 輔助計算!$G$2:$G$801, 0)+1)), "")&lt;&gt;IFERROR(INDEX(ERP資料!$A:$A, MATCH(259, 輔助計算!$G$2:$G$801, 0)+1), "")), INDEX(ERP資料!$B:$B, (MATCH(260, 輔助計算!$G$2:$G$801, 0)+1)), ""), "")</f>
        <v/>
      </c>
      <c r="M261" s="17" t="n"/>
    </row>
    <row r="262">
      <c r="A262" s="10">
        <f>IFERROR(IF(AND(IFERROR(INDEX(ERP資料!$A:$A, (MATCH(261, 輔助計算!$G$2:$G$801, 0)+1)), "")&lt;&gt;"", IFERROR(INDEX(ERP資料!$A:$A, (MATCH(261, 輔助計算!$G$2:$G$801, 0)+1)), "")&lt;&gt;IFERROR(INDEX(ERP資料!$A:$A, MATCH(260, 輔助計算!$G$2:$G$801, 0)+1), "")), IFERROR(INDEX(ERP資料!$A:$A, (MATCH(261, 輔助計算!$G$2:$G$801, 0)+1)), ""), ""), "")</f>
        <v/>
      </c>
      <c r="B262" s="10">
        <f>IFERROR(IF(AND(IFERROR(INDEX(ERP資料!$A:$A, (MATCH(261, 輔助計算!$G$2:$G$801, 0)+1)), "")&lt;&gt;"", IFERROR(INDEX(ERP資料!$A:$A, (MATCH(261, 輔助計算!$G$2:$G$801, 0)+1)), "")&lt;&gt;IFERROR(INDEX(ERP資料!$A:$A, MATCH(260, 輔助計算!$G$2:$G$801, 0)+1), "")), INDEX(ERP資料!$S:$S, (MATCH(261, 輔助計算!$G$2:$G$801, 0)+1)), ""), "")</f>
        <v/>
      </c>
      <c r="C262" s="19">
        <f>IFERROR(IF(AND(IFERROR(INDEX(ERP資料!$A:$A, (MATCH(261, 輔助計算!$G$2:$G$801, 0)+1)), "")&lt;&gt;"", IFERROR(INDEX(ERP資料!$A:$A, (MATCH(261, 輔助計算!$G$2:$G$801, 0)+1)), "")&lt;&gt;IFERROR(INDEX(ERP資料!$A:$A, MATCH(260, 輔助計算!$G$2:$G$801, 0)+1), "")), IFERROR(VLOOKUP(LEFT(INDEX(ERP資料!$S:$S, (MATCH(261, 輔助計算!$G$2:$G$801, 0)+1)), 4), 紙管對照表!$A:$C, 3, FALSE), ""), ""), "")</f>
        <v/>
      </c>
      <c r="D262" s="16" t="n"/>
      <c r="E262" s="10">
        <f>IFERROR(IF(INDEX(ERP資料!$H:$H, (MATCH(261, 輔助計算!$G$2:$G$801, 0)+1))="","",INDEX(ERP資料!$H:$H, (MATCH(261, 輔助計算!$G$2:$G$801, 0)+1))), "")</f>
        <v/>
      </c>
      <c r="F262" s="10">
        <f>IFERROR(IF(INDEX(ERP資料!$E:$E, (MATCH(261, 輔助計算!$G$2:$G$801, 0)+1))="","",TRIM(INDEX(ERP資料!$E:$E, (MATCH(261, 輔助計算!$G$2:$G$801, 0)+1)))), "")</f>
        <v/>
      </c>
      <c r="G262" s="10">
        <f>IFERROR(IF(INDEX(ERP資料!$F:$F, (MATCH(261, 輔助計算!$G$2:$G$801, 0)+1))="","",INDEX(ERP資料!$F:$F, (MATCH(261, 輔助計算!$G$2:$G$801, 0)+1))), "")</f>
        <v/>
      </c>
      <c r="H262" s="10">
        <f>IFERROR(IF(INDEX(ERP資料!$G:$G, (MATCH(261, 輔助計算!$G$2:$G$801, 0)+1))="","",INDEX(ERP資料!$G:$G, (MATCH(261, 輔助計算!$G$2:$G$801, 0)+1))), "")</f>
        <v/>
      </c>
      <c r="I262" s="15">
        <f>IFERROR(INDEX(輔助計算!$D:$D, (MATCH(261, 輔助計算!$G$2:$G$801, 0)+1)), "")</f>
        <v/>
      </c>
      <c r="J262" s="15">
        <f>IFERROR(IF(AND(INDEX(輔助計算!$D:$D, (MATCH(261, 輔助計算!$G$2:$G$801, 0)+1))&lt;&gt;"", INDEX(ERP資料!$G:$G, (MATCH(261, 輔助計算!$G$2:$G$801, 0)+1))&lt;&gt;""), TRIM(IF(INT(INDEX(輔助計算!$D:$D, (MATCH(261, 輔助計算!$G$2:$G$801, 0)+1))/IF(INDEX(ERP資料!$G:$G, (MATCH(261, 輔助計算!$G$2:$G$801, 0)+1))&lt;100, IF(INDEX(ERP資料!$G:$G, (MATCH(261, 輔助計算!$G$2:$G$801, 0)+1))&lt;=31,3,IF(INDEX(ERP資料!$G:$G, (MATCH(261, 輔助計算!$G$2:$G$801, 0)+1))&lt;=46.5,2,1)), IF(INDEX(ERP資料!$G:$G, (MATCH(261, 輔助計算!$G$2:$G$801, 0)+1))&lt;=790,3,IF(INDEX(ERP資料!$G:$G, (MATCH(261, 輔助計算!$G$2:$G$801, 0)+1))&lt;=1181,2,1))))&gt;0, IF(IF(INDEX(ERP資料!$G:$G, (MATCH(261, 輔助計算!$G$2:$G$801, 0)+1))&lt;100, IF(INDEX(ERP資料!$G:$G, (MATCH(261, 輔助計算!$G$2:$G$801, 0)+1))&lt;=31,3,IF(INDEX(ERP資料!$G:$G, (MATCH(261, 輔助計算!$G$2:$G$801, 0)+1))&lt;=46.5,2,1)), IF(INDEX(ERP資料!$G:$G, (MATCH(261, 輔助計算!$G$2:$G$801, 0)+1))&lt;=790,3,IF(INDEX(ERP資料!$G:$G, (MATCH(261, 輔助計算!$G$2:$G$801, 0)+1))&lt;=1181,2,1)))=1,TEXT(INDEX(ERP資料!$G:$G, (MATCH(261, 輔助計算!$G$2:$G$801, 0)+1)),"0.##"),IF(IF(INDEX(ERP資料!$G:$G, (MATCH(261, 輔助計算!$G$2:$G$801, 0)+1))&lt;100, IF(INDEX(ERP資料!$G:$G, (MATCH(261, 輔助計算!$G$2:$G$801, 0)+1))&lt;=31,3,IF(INDEX(ERP資料!$G:$G, (MATCH(261, 輔助計算!$G$2:$G$801, 0)+1))&lt;=46.5,2,1)), IF(INDEX(ERP資料!$G:$G, (MATCH(261, 輔助計算!$G$2:$G$801, 0)+1))&lt;=790,3,IF(INDEX(ERP資料!$G:$G, (MATCH(261, 輔助計算!$G$2:$G$801, 0)+1))&lt;=1181,2,1)))=2,TEXT(INDEX(ERP資料!$G:$G, (MATCH(261, 輔助計算!$G$2:$G$801, 0)+1)),"0.##")&amp;"+"&amp;TEXT(INDEX(ERP資料!$G:$G, (MATCH(261, 輔助計算!$G$2:$G$801, 0)+1)),"0.##"),TEXT(INDEX(ERP資料!$G:$G, (MATCH(261, 輔助計算!$G$2:$G$801, 0)+1)),"0.##")&amp;"+"&amp;TEXT(INDEX(ERP資料!$G:$G, (MATCH(261, 輔助計算!$G$2:$G$801, 0)+1)),"0.##")&amp;"+"&amp;TEXT(INDEX(ERP資料!$G:$G, (MATCH(261, 輔助計算!$G$2:$G$801, 0)+1)),"0.##")))&amp;"-"&amp;INT(INDEX(輔助計算!$D:$D, (MATCH(261, 輔助計算!$G$2:$G$801, 0)+1))/IF(INDEX(ERP資料!$G:$G, (MATCH(261, 輔助計算!$G$2:$G$801, 0)+1))&lt;100, IF(INDEX(ERP資料!$G:$G, (MATCH(261, 輔助計算!$G$2:$G$801, 0)+1))&lt;=31,3,IF(INDEX(ERP資料!$G:$G, (MATCH(261, 輔助計算!$G$2:$G$801, 0)+1))&lt;=46.5,2,1)), IF(INDEX(ERP資料!$G:$G, (MATCH(261, 輔助計算!$G$2:$G$801, 0)+1))&lt;=790,3,IF(INDEX(ERP資料!$G:$G, (MATCH(261, 輔助計算!$G$2:$G$801, 0)+1))&lt;=1181,2,1)))), "")&amp;IF(AND(IF(INT(INDEX(輔助計算!$D:$D, (MATCH(261, 輔助計算!$G$2:$G$801, 0)+1))/IF(INDEX(ERP資料!$G:$G, (MATCH(261, 輔助計算!$G$2:$G$801, 0)+1))&lt;100, IF(INDEX(ERP資料!$G:$G, (MATCH(261, 輔助計算!$G$2:$G$801, 0)+1))&lt;=31,3,IF(INDEX(ERP資料!$G:$G, (MATCH(261, 輔助計算!$G$2:$G$801, 0)+1))&lt;=46.5,2,1)), IF(INDEX(ERP資料!$G:$G, (MATCH(261, 輔助計算!$G$2:$G$801, 0)+1))&lt;=790,3,IF(INDEX(ERP資料!$G:$G, (MATCH(261, 輔助計算!$G$2:$G$801, 0)+1))&lt;=1181,2,1))))&gt;0, IF(IF(INDEX(ERP資料!$G:$G, (MATCH(261, 輔助計算!$G$2:$G$801, 0)+1))&lt;100, IF(INDEX(ERP資料!$G:$G, (MATCH(261, 輔助計算!$G$2:$G$801, 0)+1))&lt;=31,3,IF(INDEX(ERP資料!$G:$G, (MATCH(261, 輔助計算!$G$2:$G$801, 0)+1))&lt;=46.5,2,1)), IF(INDEX(ERP資料!$G:$G, (MATCH(261, 輔助計算!$G$2:$G$801, 0)+1))&lt;=790,3,IF(INDEX(ERP資料!$G:$G, (MATCH(261, 輔助計算!$G$2:$G$801, 0)+1))&lt;=1181,2,1)))=1,TEXT(INDEX(ERP資料!$G:$G, (MATCH(261, 輔助計算!$G$2:$G$801, 0)+1)),"0.##"),IF(IF(INDEX(ERP資料!$G:$G, (MATCH(261, 輔助計算!$G$2:$G$801, 0)+1))&lt;100, IF(INDEX(ERP資料!$G:$G, (MATCH(261, 輔助計算!$G$2:$G$801, 0)+1))&lt;=31,3,IF(INDEX(ERP資料!$G:$G, (MATCH(261, 輔助計算!$G$2:$G$801, 0)+1))&lt;=46.5,2,1)), IF(INDEX(ERP資料!$G:$G, (MATCH(261, 輔助計算!$G$2:$G$801, 0)+1))&lt;=790,3,IF(INDEX(ERP資料!$G:$G, (MATCH(261, 輔助計算!$G$2:$G$801, 0)+1))&lt;=1181,2,1)))=2,TEXT(INDEX(ERP資料!$G:$G, (MATCH(261, 輔助計算!$G$2:$G$801, 0)+1)),"0.##")&amp;"+"&amp;TEXT(INDEX(ERP資料!$G:$G, (MATCH(261, 輔助計算!$G$2:$G$801, 0)+1)),"0.##"),TEXT(INDEX(ERP資料!$G:$G, (MATCH(261, 輔助計算!$G$2:$G$801, 0)+1)),"0.##")&amp;"+"&amp;TEXT(INDEX(ERP資料!$G:$G, (MATCH(261, 輔助計算!$G$2:$G$801, 0)+1)),"0.##")&amp;"+"&amp;TEXT(INDEX(ERP資料!$G:$G, (MATCH(261, 輔助計算!$G$2:$G$801, 0)+1)),"0.##")))&amp;"-"&amp;INT(INDEX(輔助計算!$D:$D, (MATCH(261, 輔助計算!$G$2:$G$801, 0)+1))/IF(INDEX(ERP資料!$G:$G, (MATCH(261, 輔助計算!$G$2:$G$801, 0)+1))&lt;100, IF(INDEX(ERP資料!$G:$G, (MATCH(261, 輔助計算!$G$2:$G$801, 0)+1))&lt;=31,3,IF(INDEX(ERP資料!$G:$G, (MATCH(261, 輔助計算!$G$2:$G$801, 0)+1))&lt;=46.5,2,1)), IF(INDEX(ERP資料!$G:$G, (MATCH(261, 輔助計算!$G$2:$G$801, 0)+1))&lt;=790,3,IF(INDEX(ERP資料!$G:$G, (MATCH(261, 輔助計算!$G$2:$G$801, 0)+1))&lt;=1181,2,1)))), "")&lt;&gt;"",IF(MOD(INDEX(輔助計算!$D:$D, (MATCH(261, 輔助計算!$G$2:$G$801, 0)+1)),IF(INDEX(ERP資料!$G:$G, (MATCH(261, 輔助計算!$G$2:$G$801, 0)+1))&lt;100, IF(INDEX(ERP資料!$G:$G, (MATCH(261, 輔助計算!$G$2:$G$801, 0)+1))&lt;=31,3,IF(INDEX(ERP資料!$G:$G, (MATCH(261, 輔助計算!$G$2:$G$801, 0)+1))&lt;=46.5,2,1)), IF(INDEX(ERP資料!$G:$G, (MATCH(261, 輔助計算!$G$2:$G$801, 0)+1))&lt;=790,3,IF(INDEX(ERP資料!$G:$G, (MATCH(261, 輔助計算!$G$2:$G$801, 0)+1))&lt;=1181,2,1))))=0,"",IF(MOD(INDEX(輔助計算!$D:$D, (MATCH(261, 輔助計算!$G$2:$G$801, 0)+1)),IF(INDEX(ERP資料!$G:$G, (MATCH(261, 輔助計算!$G$2:$G$801, 0)+1))&lt;100, IF(INDEX(ERP資料!$G:$G, (MATCH(261, 輔助計算!$G$2:$G$801, 0)+1))&lt;=31,3,IF(INDEX(ERP資料!$G:$G, (MATCH(261, 輔助計算!$G$2:$G$801, 0)+1))&lt;=46.5,2,1)), IF(INDEX(ERP資料!$G:$G, (MATCH(261, 輔助計算!$G$2:$G$801, 0)+1))&lt;=790,3,IF(INDEX(ERP資料!$G:$G, (MATCH(261, 輔助計算!$G$2:$G$801, 0)+1))&lt;=1181,2,1))))=0,"",IF(MOD(INDEX(輔助計算!$D:$D, (MATCH(261, 輔助計算!$G$2:$G$801, 0)+1)),IF(INDEX(ERP資料!$G:$G, (MATCH(261, 輔助計算!$G$2:$G$801, 0)+1))&lt;100, IF(INDEX(ERP資料!$G:$G, (MATCH(261, 輔助計算!$G$2:$G$801, 0)+1))&lt;=31,3,IF(INDEX(ERP資料!$G:$G, (MATCH(261, 輔助計算!$G$2:$G$801, 0)+1))&lt;=46.5,2,1)), IF(INDEX(ERP資料!$G:$G, (MATCH(261, 輔助計算!$G$2:$G$801, 0)+1))&lt;=790,3,IF(INDEX(ERP資料!$G:$G, (MATCH(261, 輔助計算!$G$2:$G$801, 0)+1))&lt;=1181,2,1))))=1,TEXT(INDEX(ERP資料!$G:$G, (MATCH(261, 輔助計算!$G$2:$G$801, 0)+1)),"0.##"),IF(MOD(INDEX(輔助計算!$D:$D, (MATCH(261, 輔助計算!$G$2:$G$801, 0)+1)),IF(INDEX(ERP資料!$G:$G, (MATCH(261, 輔助計算!$G$2:$G$801, 0)+1))&lt;100, IF(INDEX(ERP資料!$G:$G, (MATCH(261, 輔助計算!$G$2:$G$801, 0)+1))&lt;=31,3,IF(INDEX(ERP資料!$G:$G, (MATCH(261, 輔助計算!$G$2:$G$801, 0)+1))&lt;=46.5,2,1)), IF(INDEX(ERP資料!$G:$G, (MATCH(261, 輔助計算!$G$2:$G$801, 0)+1))&lt;=790,3,IF(INDEX(ERP資料!$G:$G, (MATCH(261, 輔助計算!$G$2:$G$801, 0)+1))&lt;=1181,2,1))))=2,TEXT(INDEX(ERP資料!$G:$G, (MATCH(261, 輔助計算!$G$2:$G$801, 0)+1)),"0.##")&amp;"+"&amp;TEXT(INDEX(ERP資料!$G:$G, (MATCH(261, 輔助計算!$G$2:$G$801, 0)+1)),"0.##"),TEXT(INDEX(ERP資料!$G:$G, (MATCH(261, 輔助計算!$G$2:$G$801, 0)+1)),"0.##")&amp;"+"&amp;TEXT(INDEX(ERP資料!$G:$G, (MATCH(261, 輔助計算!$G$2:$G$801, 0)+1)),"0.##")&amp;"+"&amp;TEXT(INDEX(ERP資料!$G:$G, (MATCH(261, 輔助計算!$G$2:$G$801, 0)+1)),"0.##"))))&amp;"-1")&lt;&gt;""),"  ","")&amp;IF(MOD(INDEX(輔助計算!$D:$D, (MATCH(261, 輔助計算!$G$2:$G$801, 0)+1)),IF(INDEX(ERP資料!$G:$G, (MATCH(261, 輔助計算!$G$2:$G$801, 0)+1))&lt;100, IF(INDEX(ERP資料!$G:$G, (MATCH(261, 輔助計算!$G$2:$G$801, 0)+1))&lt;=31,3,IF(INDEX(ERP資料!$G:$G, (MATCH(261, 輔助計算!$G$2:$G$801, 0)+1))&lt;=46.5,2,1)), IF(INDEX(ERP資料!$G:$G, (MATCH(261, 輔助計算!$G$2:$G$801, 0)+1))&lt;=790,3,IF(INDEX(ERP資料!$G:$G, (MATCH(261, 輔助計算!$G$2:$G$801, 0)+1))&lt;=1181,2,1))))=0,"",IF(MOD(INDEX(輔助計算!$D:$D, (MATCH(261, 輔助計算!$G$2:$G$801, 0)+1)),IF(INDEX(ERP資料!$G:$G, (MATCH(261, 輔助計算!$G$2:$G$801, 0)+1))&lt;100, IF(INDEX(ERP資料!$G:$G, (MATCH(261, 輔助計算!$G$2:$G$801, 0)+1))&lt;=31,3,IF(INDEX(ERP資料!$G:$G, (MATCH(261, 輔助計算!$G$2:$G$801, 0)+1))&lt;=46.5,2,1)), IF(INDEX(ERP資料!$G:$G, (MATCH(261, 輔助計算!$G$2:$G$801, 0)+1))&lt;=790,3,IF(INDEX(ERP資料!$G:$G, (MATCH(261, 輔助計算!$G$2:$G$801, 0)+1))&lt;=1181,2,1))))=0,"",IF(MOD(INDEX(輔助計算!$D:$D, (MATCH(261, 輔助計算!$G$2:$G$801, 0)+1)),IF(INDEX(ERP資料!$G:$G, (MATCH(261, 輔助計算!$G$2:$G$801, 0)+1))&lt;100, IF(INDEX(ERP資料!$G:$G, (MATCH(261, 輔助計算!$G$2:$G$801, 0)+1))&lt;=31,3,IF(INDEX(ERP資料!$G:$G, (MATCH(261, 輔助計算!$G$2:$G$801, 0)+1))&lt;=46.5,2,1)), IF(INDEX(ERP資料!$G:$G, (MATCH(261, 輔助計算!$G$2:$G$801, 0)+1))&lt;=790,3,IF(INDEX(ERP資料!$G:$G, (MATCH(261, 輔助計算!$G$2:$G$801, 0)+1))&lt;=1181,2,1))))=1,TEXT(INDEX(ERP資料!$G:$G, (MATCH(261, 輔助計算!$G$2:$G$801, 0)+1)),"0.##"),IF(MOD(INDEX(輔助計算!$D:$D, (MATCH(261, 輔助計算!$G$2:$G$801, 0)+1)),IF(INDEX(ERP資料!$G:$G, (MATCH(261, 輔助計算!$G$2:$G$801, 0)+1))&lt;100, IF(INDEX(ERP資料!$G:$G, (MATCH(261, 輔助計算!$G$2:$G$801, 0)+1))&lt;=31,3,IF(INDEX(ERP資料!$G:$G, (MATCH(261, 輔助計算!$G$2:$G$801, 0)+1))&lt;=46.5,2,1)), IF(INDEX(ERP資料!$G:$G, (MATCH(261, 輔助計算!$G$2:$G$801, 0)+1))&lt;=790,3,IF(INDEX(ERP資料!$G:$G, (MATCH(261, 輔助計算!$G$2:$G$801, 0)+1))&lt;=1181,2,1))))=2,TEXT(INDEX(ERP資料!$G:$G, (MATCH(261, 輔助計算!$G$2:$G$801, 0)+1)),"0.##")&amp;"+"&amp;TEXT(INDEX(ERP資料!$G:$G, (MATCH(261, 輔助計算!$G$2:$G$801, 0)+1)),"0.##"),TEXT(INDEX(ERP資料!$G:$G, (MATCH(261, 輔助計算!$G$2:$G$801, 0)+1)),"0.##")&amp;"+"&amp;TEXT(INDEX(ERP資料!$G:$G, (MATCH(261, 輔助計算!$G$2:$G$801, 0)+1)),"0.##")&amp;"+"&amp;TEXT(INDEX(ERP資料!$G:$G, (MATCH(261, 輔助計算!$G$2:$G$801, 0)+1)),"0.##"))))&amp;"-1")), ""), "")</f>
        <v/>
      </c>
      <c r="K262" s="16" t="n"/>
      <c r="L262" s="14">
        <f>IFERROR(IF(AND(IFERROR(INDEX(ERP資料!$A:$A, (MATCH(261, 輔助計算!$G$2:$G$801, 0)+1)), "")&lt;&gt;"", IFERROR(INDEX(ERP資料!$A:$A, (MATCH(261, 輔助計算!$G$2:$G$801, 0)+1)), "")&lt;&gt;IFERROR(INDEX(ERP資料!$A:$A, MATCH(260, 輔助計算!$G$2:$G$801, 0)+1), "")), INDEX(ERP資料!$B:$B, (MATCH(261, 輔助計算!$G$2:$G$801, 0)+1)), ""), "")</f>
        <v/>
      </c>
      <c r="M262" s="17" t="n"/>
    </row>
    <row r="263">
      <c r="A263" s="10">
        <f>IFERROR(IF(AND(IFERROR(INDEX(ERP資料!$A:$A, (MATCH(262, 輔助計算!$G$2:$G$801, 0)+1)), "")&lt;&gt;"", IFERROR(INDEX(ERP資料!$A:$A, (MATCH(262, 輔助計算!$G$2:$G$801, 0)+1)), "")&lt;&gt;IFERROR(INDEX(ERP資料!$A:$A, MATCH(261, 輔助計算!$G$2:$G$801, 0)+1), "")), IFERROR(INDEX(ERP資料!$A:$A, (MATCH(262, 輔助計算!$G$2:$G$801, 0)+1)), ""), ""), "")</f>
        <v/>
      </c>
      <c r="B263" s="10">
        <f>IFERROR(IF(AND(IFERROR(INDEX(ERP資料!$A:$A, (MATCH(262, 輔助計算!$G$2:$G$801, 0)+1)), "")&lt;&gt;"", IFERROR(INDEX(ERP資料!$A:$A, (MATCH(262, 輔助計算!$G$2:$G$801, 0)+1)), "")&lt;&gt;IFERROR(INDEX(ERP資料!$A:$A, MATCH(261, 輔助計算!$G$2:$G$801, 0)+1), "")), INDEX(ERP資料!$S:$S, (MATCH(262, 輔助計算!$G$2:$G$801, 0)+1)), ""), "")</f>
        <v/>
      </c>
      <c r="C263" s="19">
        <f>IFERROR(IF(AND(IFERROR(INDEX(ERP資料!$A:$A, (MATCH(262, 輔助計算!$G$2:$G$801, 0)+1)), "")&lt;&gt;"", IFERROR(INDEX(ERP資料!$A:$A, (MATCH(262, 輔助計算!$G$2:$G$801, 0)+1)), "")&lt;&gt;IFERROR(INDEX(ERP資料!$A:$A, MATCH(261, 輔助計算!$G$2:$G$801, 0)+1), "")), IFERROR(VLOOKUP(LEFT(INDEX(ERP資料!$S:$S, (MATCH(262, 輔助計算!$G$2:$G$801, 0)+1)), 4), 紙管對照表!$A:$C, 3, FALSE), ""), ""), "")</f>
        <v/>
      </c>
      <c r="D263" s="16" t="n"/>
      <c r="E263" s="10">
        <f>IFERROR(IF(INDEX(ERP資料!$H:$H, (MATCH(262, 輔助計算!$G$2:$G$801, 0)+1))="","",INDEX(ERP資料!$H:$H, (MATCH(262, 輔助計算!$G$2:$G$801, 0)+1))), "")</f>
        <v/>
      </c>
      <c r="F263" s="10">
        <f>IFERROR(IF(INDEX(ERP資料!$E:$E, (MATCH(262, 輔助計算!$G$2:$G$801, 0)+1))="","",TRIM(INDEX(ERP資料!$E:$E, (MATCH(262, 輔助計算!$G$2:$G$801, 0)+1)))), "")</f>
        <v/>
      </c>
      <c r="G263" s="10">
        <f>IFERROR(IF(INDEX(ERP資料!$F:$F, (MATCH(262, 輔助計算!$G$2:$G$801, 0)+1))="","",INDEX(ERP資料!$F:$F, (MATCH(262, 輔助計算!$G$2:$G$801, 0)+1))), "")</f>
        <v/>
      </c>
      <c r="H263" s="10">
        <f>IFERROR(IF(INDEX(ERP資料!$G:$G, (MATCH(262, 輔助計算!$G$2:$G$801, 0)+1))="","",INDEX(ERP資料!$G:$G, (MATCH(262, 輔助計算!$G$2:$G$801, 0)+1))), "")</f>
        <v/>
      </c>
      <c r="I263" s="15">
        <f>IFERROR(INDEX(輔助計算!$D:$D, (MATCH(262, 輔助計算!$G$2:$G$801, 0)+1)), "")</f>
        <v/>
      </c>
      <c r="J263" s="15">
        <f>IFERROR(IF(AND(INDEX(輔助計算!$D:$D, (MATCH(262, 輔助計算!$G$2:$G$801, 0)+1))&lt;&gt;"", INDEX(ERP資料!$G:$G, (MATCH(262, 輔助計算!$G$2:$G$801, 0)+1))&lt;&gt;""), TRIM(IF(INT(INDEX(輔助計算!$D:$D, (MATCH(262, 輔助計算!$G$2:$G$801, 0)+1))/IF(INDEX(ERP資料!$G:$G, (MATCH(262, 輔助計算!$G$2:$G$801, 0)+1))&lt;100, IF(INDEX(ERP資料!$G:$G, (MATCH(262, 輔助計算!$G$2:$G$801, 0)+1))&lt;=31,3,IF(INDEX(ERP資料!$G:$G, (MATCH(262, 輔助計算!$G$2:$G$801, 0)+1))&lt;=46.5,2,1)), IF(INDEX(ERP資料!$G:$G, (MATCH(262, 輔助計算!$G$2:$G$801, 0)+1))&lt;=790,3,IF(INDEX(ERP資料!$G:$G, (MATCH(262, 輔助計算!$G$2:$G$801, 0)+1))&lt;=1181,2,1))))&gt;0, IF(IF(INDEX(ERP資料!$G:$G, (MATCH(262, 輔助計算!$G$2:$G$801, 0)+1))&lt;100, IF(INDEX(ERP資料!$G:$G, (MATCH(262, 輔助計算!$G$2:$G$801, 0)+1))&lt;=31,3,IF(INDEX(ERP資料!$G:$G, (MATCH(262, 輔助計算!$G$2:$G$801, 0)+1))&lt;=46.5,2,1)), IF(INDEX(ERP資料!$G:$G, (MATCH(262, 輔助計算!$G$2:$G$801, 0)+1))&lt;=790,3,IF(INDEX(ERP資料!$G:$G, (MATCH(262, 輔助計算!$G$2:$G$801, 0)+1))&lt;=1181,2,1)))=1,TEXT(INDEX(ERP資料!$G:$G, (MATCH(262, 輔助計算!$G$2:$G$801, 0)+1)),"0.##"),IF(IF(INDEX(ERP資料!$G:$G, (MATCH(262, 輔助計算!$G$2:$G$801, 0)+1))&lt;100, IF(INDEX(ERP資料!$G:$G, (MATCH(262, 輔助計算!$G$2:$G$801, 0)+1))&lt;=31,3,IF(INDEX(ERP資料!$G:$G, (MATCH(262, 輔助計算!$G$2:$G$801, 0)+1))&lt;=46.5,2,1)), IF(INDEX(ERP資料!$G:$G, (MATCH(262, 輔助計算!$G$2:$G$801, 0)+1))&lt;=790,3,IF(INDEX(ERP資料!$G:$G, (MATCH(262, 輔助計算!$G$2:$G$801, 0)+1))&lt;=1181,2,1)))=2,TEXT(INDEX(ERP資料!$G:$G, (MATCH(262, 輔助計算!$G$2:$G$801, 0)+1)),"0.##")&amp;"+"&amp;TEXT(INDEX(ERP資料!$G:$G, (MATCH(262, 輔助計算!$G$2:$G$801, 0)+1)),"0.##"),TEXT(INDEX(ERP資料!$G:$G, (MATCH(262, 輔助計算!$G$2:$G$801, 0)+1)),"0.##")&amp;"+"&amp;TEXT(INDEX(ERP資料!$G:$G, (MATCH(262, 輔助計算!$G$2:$G$801, 0)+1)),"0.##")&amp;"+"&amp;TEXT(INDEX(ERP資料!$G:$G, (MATCH(262, 輔助計算!$G$2:$G$801, 0)+1)),"0.##")))&amp;"-"&amp;INT(INDEX(輔助計算!$D:$D, (MATCH(262, 輔助計算!$G$2:$G$801, 0)+1))/IF(INDEX(ERP資料!$G:$G, (MATCH(262, 輔助計算!$G$2:$G$801, 0)+1))&lt;100, IF(INDEX(ERP資料!$G:$G, (MATCH(262, 輔助計算!$G$2:$G$801, 0)+1))&lt;=31,3,IF(INDEX(ERP資料!$G:$G, (MATCH(262, 輔助計算!$G$2:$G$801, 0)+1))&lt;=46.5,2,1)), IF(INDEX(ERP資料!$G:$G, (MATCH(262, 輔助計算!$G$2:$G$801, 0)+1))&lt;=790,3,IF(INDEX(ERP資料!$G:$G, (MATCH(262, 輔助計算!$G$2:$G$801, 0)+1))&lt;=1181,2,1)))), "")&amp;IF(AND(IF(INT(INDEX(輔助計算!$D:$D, (MATCH(262, 輔助計算!$G$2:$G$801, 0)+1))/IF(INDEX(ERP資料!$G:$G, (MATCH(262, 輔助計算!$G$2:$G$801, 0)+1))&lt;100, IF(INDEX(ERP資料!$G:$G, (MATCH(262, 輔助計算!$G$2:$G$801, 0)+1))&lt;=31,3,IF(INDEX(ERP資料!$G:$G, (MATCH(262, 輔助計算!$G$2:$G$801, 0)+1))&lt;=46.5,2,1)), IF(INDEX(ERP資料!$G:$G, (MATCH(262, 輔助計算!$G$2:$G$801, 0)+1))&lt;=790,3,IF(INDEX(ERP資料!$G:$G, (MATCH(262, 輔助計算!$G$2:$G$801, 0)+1))&lt;=1181,2,1))))&gt;0, IF(IF(INDEX(ERP資料!$G:$G, (MATCH(262, 輔助計算!$G$2:$G$801, 0)+1))&lt;100, IF(INDEX(ERP資料!$G:$G, (MATCH(262, 輔助計算!$G$2:$G$801, 0)+1))&lt;=31,3,IF(INDEX(ERP資料!$G:$G, (MATCH(262, 輔助計算!$G$2:$G$801, 0)+1))&lt;=46.5,2,1)), IF(INDEX(ERP資料!$G:$G, (MATCH(262, 輔助計算!$G$2:$G$801, 0)+1))&lt;=790,3,IF(INDEX(ERP資料!$G:$G, (MATCH(262, 輔助計算!$G$2:$G$801, 0)+1))&lt;=1181,2,1)))=1,TEXT(INDEX(ERP資料!$G:$G, (MATCH(262, 輔助計算!$G$2:$G$801, 0)+1)),"0.##"),IF(IF(INDEX(ERP資料!$G:$G, (MATCH(262, 輔助計算!$G$2:$G$801, 0)+1))&lt;100, IF(INDEX(ERP資料!$G:$G, (MATCH(262, 輔助計算!$G$2:$G$801, 0)+1))&lt;=31,3,IF(INDEX(ERP資料!$G:$G, (MATCH(262, 輔助計算!$G$2:$G$801, 0)+1))&lt;=46.5,2,1)), IF(INDEX(ERP資料!$G:$G, (MATCH(262, 輔助計算!$G$2:$G$801, 0)+1))&lt;=790,3,IF(INDEX(ERP資料!$G:$G, (MATCH(262, 輔助計算!$G$2:$G$801, 0)+1))&lt;=1181,2,1)))=2,TEXT(INDEX(ERP資料!$G:$G, (MATCH(262, 輔助計算!$G$2:$G$801, 0)+1)),"0.##")&amp;"+"&amp;TEXT(INDEX(ERP資料!$G:$G, (MATCH(262, 輔助計算!$G$2:$G$801, 0)+1)),"0.##"),TEXT(INDEX(ERP資料!$G:$G, (MATCH(262, 輔助計算!$G$2:$G$801, 0)+1)),"0.##")&amp;"+"&amp;TEXT(INDEX(ERP資料!$G:$G, (MATCH(262, 輔助計算!$G$2:$G$801, 0)+1)),"0.##")&amp;"+"&amp;TEXT(INDEX(ERP資料!$G:$G, (MATCH(262, 輔助計算!$G$2:$G$801, 0)+1)),"0.##")))&amp;"-"&amp;INT(INDEX(輔助計算!$D:$D, (MATCH(262, 輔助計算!$G$2:$G$801, 0)+1))/IF(INDEX(ERP資料!$G:$G, (MATCH(262, 輔助計算!$G$2:$G$801, 0)+1))&lt;100, IF(INDEX(ERP資料!$G:$G, (MATCH(262, 輔助計算!$G$2:$G$801, 0)+1))&lt;=31,3,IF(INDEX(ERP資料!$G:$G, (MATCH(262, 輔助計算!$G$2:$G$801, 0)+1))&lt;=46.5,2,1)), IF(INDEX(ERP資料!$G:$G, (MATCH(262, 輔助計算!$G$2:$G$801, 0)+1))&lt;=790,3,IF(INDEX(ERP資料!$G:$G, (MATCH(262, 輔助計算!$G$2:$G$801, 0)+1))&lt;=1181,2,1)))), "")&lt;&gt;"",IF(MOD(INDEX(輔助計算!$D:$D, (MATCH(262, 輔助計算!$G$2:$G$801, 0)+1)),IF(INDEX(ERP資料!$G:$G, (MATCH(262, 輔助計算!$G$2:$G$801, 0)+1))&lt;100, IF(INDEX(ERP資料!$G:$G, (MATCH(262, 輔助計算!$G$2:$G$801, 0)+1))&lt;=31,3,IF(INDEX(ERP資料!$G:$G, (MATCH(262, 輔助計算!$G$2:$G$801, 0)+1))&lt;=46.5,2,1)), IF(INDEX(ERP資料!$G:$G, (MATCH(262, 輔助計算!$G$2:$G$801, 0)+1))&lt;=790,3,IF(INDEX(ERP資料!$G:$G, (MATCH(262, 輔助計算!$G$2:$G$801, 0)+1))&lt;=1181,2,1))))=0,"",IF(MOD(INDEX(輔助計算!$D:$D, (MATCH(262, 輔助計算!$G$2:$G$801, 0)+1)),IF(INDEX(ERP資料!$G:$G, (MATCH(262, 輔助計算!$G$2:$G$801, 0)+1))&lt;100, IF(INDEX(ERP資料!$G:$G, (MATCH(262, 輔助計算!$G$2:$G$801, 0)+1))&lt;=31,3,IF(INDEX(ERP資料!$G:$G, (MATCH(262, 輔助計算!$G$2:$G$801, 0)+1))&lt;=46.5,2,1)), IF(INDEX(ERP資料!$G:$G, (MATCH(262, 輔助計算!$G$2:$G$801, 0)+1))&lt;=790,3,IF(INDEX(ERP資料!$G:$G, (MATCH(262, 輔助計算!$G$2:$G$801, 0)+1))&lt;=1181,2,1))))=0,"",IF(MOD(INDEX(輔助計算!$D:$D, (MATCH(262, 輔助計算!$G$2:$G$801, 0)+1)),IF(INDEX(ERP資料!$G:$G, (MATCH(262, 輔助計算!$G$2:$G$801, 0)+1))&lt;100, IF(INDEX(ERP資料!$G:$G, (MATCH(262, 輔助計算!$G$2:$G$801, 0)+1))&lt;=31,3,IF(INDEX(ERP資料!$G:$G, (MATCH(262, 輔助計算!$G$2:$G$801, 0)+1))&lt;=46.5,2,1)), IF(INDEX(ERP資料!$G:$G, (MATCH(262, 輔助計算!$G$2:$G$801, 0)+1))&lt;=790,3,IF(INDEX(ERP資料!$G:$G, (MATCH(262, 輔助計算!$G$2:$G$801, 0)+1))&lt;=1181,2,1))))=1,TEXT(INDEX(ERP資料!$G:$G, (MATCH(262, 輔助計算!$G$2:$G$801, 0)+1)),"0.##"),IF(MOD(INDEX(輔助計算!$D:$D, (MATCH(262, 輔助計算!$G$2:$G$801, 0)+1)),IF(INDEX(ERP資料!$G:$G, (MATCH(262, 輔助計算!$G$2:$G$801, 0)+1))&lt;100, IF(INDEX(ERP資料!$G:$G, (MATCH(262, 輔助計算!$G$2:$G$801, 0)+1))&lt;=31,3,IF(INDEX(ERP資料!$G:$G, (MATCH(262, 輔助計算!$G$2:$G$801, 0)+1))&lt;=46.5,2,1)), IF(INDEX(ERP資料!$G:$G, (MATCH(262, 輔助計算!$G$2:$G$801, 0)+1))&lt;=790,3,IF(INDEX(ERP資料!$G:$G, (MATCH(262, 輔助計算!$G$2:$G$801, 0)+1))&lt;=1181,2,1))))=2,TEXT(INDEX(ERP資料!$G:$G, (MATCH(262, 輔助計算!$G$2:$G$801, 0)+1)),"0.##")&amp;"+"&amp;TEXT(INDEX(ERP資料!$G:$G, (MATCH(262, 輔助計算!$G$2:$G$801, 0)+1)),"0.##"),TEXT(INDEX(ERP資料!$G:$G, (MATCH(262, 輔助計算!$G$2:$G$801, 0)+1)),"0.##")&amp;"+"&amp;TEXT(INDEX(ERP資料!$G:$G, (MATCH(262, 輔助計算!$G$2:$G$801, 0)+1)),"0.##")&amp;"+"&amp;TEXT(INDEX(ERP資料!$G:$G, (MATCH(262, 輔助計算!$G$2:$G$801, 0)+1)),"0.##"))))&amp;"-1")&lt;&gt;""),"  ","")&amp;IF(MOD(INDEX(輔助計算!$D:$D, (MATCH(262, 輔助計算!$G$2:$G$801, 0)+1)),IF(INDEX(ERP資料!$G:$G, (MATCH(262, 輔助計算!$G$2:$G$801, 0)+1))&lt;100, IF(INDEX(ERP資料!$G:$G, (MATCH(262, 輔助計算!$G$2:$G$801, 0)+1))&lt;=31,3,IF(INDEX(ERP資料!$G:$G, (MATCH(262, 輔助計算!$G$2:$G$801, 0)+1))&lt;=46.5,2,1)), IF(INDEX(ERP資料!$G:$G, (MATCH(262, 輔助計算!$G$2:$G$801, 0)+1))&lt;=790,3,IF(INDEX(ERP資料!$G:$G, (MATCH(262, 輔助計算!$G$2:$G$801, 0)+1))&lt;=1181,2,1))))=0,"",IF(MOD(INDEX(輔助計算!$D:$D, (MATCH(262, 輔助計算!$G$2:$G$801, 0)+1)),IF(INDEX(ERP資料!$G:$G, (MATCH(262, 輔助計算!$G$2:$G$801, 0)+1))&lt;100, IF(INDEX(ERP資料!$G:$G, (MATCH(262, 輔助計算!$G$2:$G$801, 0)+1))&lt;=31,3,IF(INDEX(ERP資料!$G:$G, (MATCH(262, 輔助計算!$G$2:$G$801, 0)+1))&lt;=46.5,2,1)), IF(INDEX(ERP資料!$G:$G, (MATCH(262, 輔助計算!$G$2:$G$801, 0)+1))&lt;=790,3,IF(INDEX(ERP資料!$G:$G, (MATCH(262, 輔助計算!$G$2:$G$801, 0)+1))&lt;=1181,2,1))))=0,"",IF(MOD(INDEX(輔助計算!$D:$D, (MATCH(262, 輔助計算!$G$2:$G$801, 0)+1)),IF(INDEX(ERP資料!$G:$G, (MATCH(262, 輔助計算!$G$2:$G$801, 0)+1))&lt;100, IF(INDEX(ERP資料!$G:$G, (MATCH(262, 輔助計算!$G$2:$G$801, 0)+1))&lt;=31,3,IF(INDEX(ERP資料!$G:$G, (MATCH(262, 輔助計算!$G$2:$G$801, 0)+1))&lt;=46.5,2,1)), IF(INDEX(ERP資料!$G:$G, (MATCH(262, 輔助計算!$G$2:$G$801, 0)+1))&lt;=790,3,IF(INDEX(ERP資料!$G:$G, (MATCH(262, 輔助計算!$G$2:$G$801, 0)+1))&lt;=1181,2,1))))=1,TEXT(INDEX(ERP資料!$G:$G, (MATCH(262, 輔助計算!$G$2:$G$801, 0)+1)),"0.##"),IF(MOD(INDEX(輔助計算!$D:$D, (MATCH(262, 輔助計算!$G$2:$G$801, 0)+1)),IF(INDEX(ERP資料!$G:$G, (MATCH(262, 輔助計算!$G$2:$G$801, 0)+1))&lt;100, IF(INDEX(ERP資料!$G:$G, (MATCH(262, 輔助計算!$G$2:$G$801, 0)+1))&lt;=31,3,IF(INDEX(ERP資料!$G:$G, (MATCH(262, 輔助計算!$G$2:$G$801, 0)+1))&lt;=46.5,2,1)), IF(INDEX(ERP資料!$G:$G, (MATCH(262, 輔助計算!$G$2:$G$801, 0)+1))&lt;=790,3,IF(INDEX(ERP資料!$G:$G, (MATCH(262, 輔助計算!$G$2:$G$801, 0)+1))&lt;=1181,2,1))))=2,TEXT(INDEX(ERP資料!$G:$G, (MATCH(262, 輔助計算!$G$2:$G$801, 0)+1)),"0.##")&amp;"+"&amp;TEXT(INDEX(ERP資料!$G:$G, (MATCH(262, 輔助計算!$G$2:$G$801, 0)+1)),"0.##"),TEXT(INDEX(ERP資料!$G:$G, (MATCH(262, 輔助計算!$G$2:$G$801, 0)+1)),"0.##")&amp;"+"&amp;TEXT(INDEX(ERP資料!$G:$G, (MATCH(262, 輔助計算!$G$2:$G$801, 0)+1)),"0.##")&amp;"+"&amp;TEXT(INDEX(ERP資料!$G:$G, (MATCH(262, 輔助計算!$G$2:$G$801, 0)+1)),"0.##"))))&amp;"-1")), ""), "")</f>
        <v/>
      </c>
      <c r="K263" s="16" t="n"/>
      <c r="L263" s="14">
        <f>IFERROR(IF(AND(IFERROR(INDEX(ERP資料!$A:$A, (MATCH(262, 輔助計算!$G$2:$G$801, 0)+1)), "")&lt;&gt;"", IFERROR(INDEX(ERP資料!$A:$A, (MATCH(262, 輔助計算!$G$2:$G$801, 0)+1)), "")&lt;&gt;IFERROR(INDEX(ERP資料!$A:$A, MATCH(261, 輔助計算!$G$2:$G$801, 0)+1), "")), INDEX(ERP資料!$B:$B, (MATCH(262, 輔助計算!$G$2:$G$801, 0)+1)), ""), "")</f>
        <v/>
      </c>
      <c r="M263" s="17" t="n"/>
    </row>
    <row r="264">
      <c r="A264" s="10">
        <f>IFERROR(IF(AND(IFERROR(INDEX(ERP資料!$A:$A, (MATCH(263, 輔助計算!$G$2:$G$801, 0)+1)), "")&lt;&gt;"", IFERROR(INDEX(ERP資料!$A:$A, (MATCH(263, 輔助計算!$G$2:$G$801, 0)+1)), "")&lt;&gt;IFERROR(INDEX(ERP資料!$A:$A, MATCH(262, 輔助計算!$G$2:$G$801, 0)+1), "")), IFERROR(INDEX(ERP資料!$A:$A, (MATCH(263, 輔助計算!$G$2:$G$801, 0)+1)), ""), ""), "")</f>
        <v/>
      </c>
      <c r="B264" s="10">
        <f>IFERROR(IF(AND(IFERROR(INDEX(ERP資料!$A:$A, (MATCH(263, 輔助計算!$G$2:$G$801, 0)+1)), "")&lt;&gt;"", IFERROR(INDEX(ERP資料!$A:$A, (MATCH(263, 輔助計算!$G$2:$G$801, 0)+1)), "")&lt;&gt;IFERROR(INDEX(ERP資料!$A:$A, MATCH(262, 輔助計算!$G$2:$G$801, 0)+1), "")), INDEX(ERP資料!$S:$S, (MATCH(263, 輔助計算!$G$2:$G$801, 0)+1)), ""), "")</f>
        <v/>
      </c>
      <c r="C264" s="19">
        <f>IFERROR(IF(AND(IFERROR(INDEX(ERP資料!$A:$A, (MATCH(263, 輔助計算!$G$2:$G$801, 0)+1)), "")&lt;&gt;"", IFERROR(INDEX(ERP資料!$A:$A, (MATCH(263, 輔助計算!$G$2:$G$801, 0)+1)), "")&lt;&gt;IFERROR(INDEX(ERP資料!$A:$A, MATCH(262, 輔助計算!$G$2:$G$801, 0)+1), "")), IFERROR(VLOOKUP(LEFT(INDEX(ERP資料!$S:$S, (MATCH(263, 輔助計算!$G$2:$G$801, 0)+1)), 4), 紙管對照表!$A:$C, 3, FALSE), ""), ""), "")</f>
        <v/>
      </c>
      <c r="D264" s="16" t="n"/>
      <c r="E264" s="10">
        <f>IFERROR(IF(INDEX(ERP資料!$H:$H, (MATCH(263, 輔助計算!$G$2:$G$801, 0)+1))="","",INDEX(ERP資料!$H:$H, (MATCH(263, 輔助計算!$G$2:$G$801, 0)+1))), "")</f>
        <v/>
      </c>
      <c r="F264" s="10">
        <f>IFERROR(IF(INDEX(ERP資料!$E:$E, (MATCH(263, 輔助計算!$G$2:$G$801, 0)+1))="","",TRIM(INDEX(ERP資料!$E:$E, (MATCH(263, 輔助計算!$G$2:$G$801, 0)+1)))), "")</f>
        <v/>
      </c>
      <c r="G264" s="10">
        <f>IFERROR(IF(INDEX(ERP資料!$F:$F, (MATCH(263, 輔助計算!$G$2:$G$801, 0)+1))="","",INDEX(ERP資料!$F:$F, (MATCH(263, 輔助計算!$G$2:$G$801, 0)+1))), "")</f>
        <v/>
      </c>
      <c r="H264" s="10">
        <f>IFERROR(IF(INDEX(ERP資料!$G:$G, (MATCH(263, 輔助計算!$G$2:$G$801, 0)+1))="","",INDEX(ERP資料!$G:$G, (MATCH(263, 輔助計算!$G$2:$G$801, 0)+1))), "")</f>
        <v/>
      </c>
      <c r="I264" s="15">
        <f>IFERROR(INDEX(輔助計算!$D:$D, (MATCH(263, 輔助計算!$G$2:$G$801, 0)+1)), "")</f>
        <v/>
      </c>
      <c r="J264" s="15">
        <f>IFERROR(IF(AND(INDEX(輔助計算!$D:$D, (MATCH(263, 輔助計算!$G$2:$G$801, 0)+1))&lt;&gt;"", INDEX(ERP資料!$G:$G, (MATCH(263, 輔助計算!$G$2:$G$801, 0)+1))&lt;&gt;""), TRIM(IF(INT(INDEX(輔助計算!$D:$D, (MATCH(263, 輔助計算!$G$2:$G$801, 0)+1))/IF(INDEX(ERP資料!$G:$G, (MATCH(263, 輔助計算!$G$2:$G$801, 0)+1))&lt;100, IF(INDEX(ERP資料!$G:$G, (MATCH(263, 輔助計算!$G$2:$G$801, 0)+1))&lt;=31,3,IF(INDEX(ERP資料!$G:$G, (MATCH(263, 輔助計算!$G$2:$G$801, 0)+1))&lt;=46.5,2,1)), IF(INDEX(ERP資料!$G:$G, (MATCH(263, 輔助計算!$G$2:$G$801, 0)+1))&lt;=790,3,IF(INDEX(ERP資料!$G:$G, (MATCH(263, 輔助計算!$G$2:$G$801, 0)+1))&lt;=1181,2,1))))&gt;0, IF(IF(INDEX(ERP資料!$G:$G, (MATCH(263, 輔助計算!$G$2:$G$801, 0)+1))&lt;100, IF(INDEX(ERP資料!$G:$G, (MATCH(263, 輔助計算!$G$2:$G$801, 0)+1))&lt;=31,3,IF(INDEX(ERP資料!$G:$G, (MATCH(263, 輔助計算!$G$2:$G$801, 0)+1))&lt;=46.5,2,1)), IF(INDEX(ERP資料!$G:$G, (MATCH(263, 輔助計算!$G$2:$G$801, 0)+1))&lt;=790,3,IF(INDEX(ERP資料!$G:$G, (MATCH(263, 輔助計算!$G$2:$G$801, 0)+1))&lt;=1181,2,1)))=1,TEXT(INDEX(ERP資料!$G:$G, (MATCH(263, 輔助計算!$G$2:$G$801, 0)+1)),"0.##"),IF(IF(INDEX(ERP資料!$G:$G, (MATCH(263, 輔助計算!$G$2:$G$801, 0)+1))&lt;100, IF(INDEX(ERP資料!$G:$G, (MATCH(263, 輔助計算!$G$2:$G$801, 0)+1))&lt;=31,3,IF(INDEX(ERP資料!$G:$G, (MATCH(263, 輔助計算!$G$2:$G$801, 0)+1))&lt;=46.5,2,1)), IF(INDEX(ERP資料!$G:$G, (MATCH(263, 輔助計算!$G$2:$G$801, 0)+1))&lt;=790,3,IF(INDEX(ERP資料!$G:$G, (MATCH(263, 輔助計算!$G$2:$G$801, 0)+1))&lt;=1181,2,1)))=2,TEXT(INDEX(ERP資料!$G:$G, (MATCH(263, 輔助計算!$G$2:$G$801, 0)+1)),"0.##")&amp;"+"&amp;TEXT(INDEX(ERP資料!$G:$G, (MATCH(263, 輔助計算!$G$2:$G$801, 0)+1)),"0.##"),TEXT(INDEX(ERP資料!$G:$G, (MATCH(263, 輔助計算!$G$2:$G$801, 0)+1)),"0.##")&amp;"+"&amp;TEXT(INDEX(ERP資料!$G:$G, (MATCH(263, 輔助計算!$G$2:$G$801, 0)+1)),"0.##")&amp;"+"&amp;TEXT(INDEX(ERP資料!$G:$G, (MATCH(263, 輔助計算!$G$2:$G$801, 0)+1)),"0.##")))&amp;"-"&amp;INT(INDEX(輔助計算!$D:$D, (MATCH(263, 輔助計算!$G$2:$G$801, 0)+1))/IF(INDEX(ERP資料!$G:$G, (MATCH(263, 輔助計算!$G$2:$G$801, 0)+1))&lt;100, IF(INDEX(ERP資料!$G:$G, (MATCH(263, 輔助計算!$G$2:$G$801, 0)+1))&lt;=31,3,IF(INDEX(ERP資料!$G:$G, (MATCH(263, 輔助計算!$G$2:$G$801, 0)+1))&lt;=46.5,2,1)), IF(INDEX(ERP資料!$G:$G, (MATCH(263, 輔助計算!$G$2:$G$801, 0)+1))&lt;=790,3,IF(INDEX(ERP資料!$G:$G, (MATCH(263, 輔助計算!$G$2:$G$801, 0)+1))&lt;=1181,2,1)))), "")&amp;IF(AND(IF(INT(INDEX(輔助計算!$D:$D, (MATCH(263, 輔助計算!$G$2:$G$801, 0)+1))/IF(INDEX(ERP資料!$G:$G, (MATCH(263, 輔助計算!$G$2:$G$801, 0)+1))&lt;100, IF(INDEX(ERP資料!$G:$G, (MATCH(263, 輔助計算!$G$2:$G$801, 0)+1))&lt;=31,3,IF(INDEX(ERP資料!$G:$G, (MATCH(263, 輔助計算!$G$2:$G$801, 0)+1))&lt;=46.5,2,1)), IF(INDEX(ERP資料!$G:$G, (MATCH(263, 輔助計算!$G$2:$G$801, 0)+1))&lt;=790,3,IF(INDEX(ERP資料!$G:$G, (MATCH(263, 輔助計算!$G$2:$G$801, 0)+1))&lt;=1181,2,1))))&gt;0, IF(IF(INDEX(ERP資料!$G:$G, (MATCH(263, 輔助計算!$G$2:$G$801, 0)+1))&lt;100, IF(INDEX(ERP資料!$G:$G, (MATCH(263, 輔助計算!$G$2:$G$801, 0)+1))&lt;=31,3,IF(INDEX(ERP資料!$G:$G, (MATCH(263, 輔助計算!$G$2:$G$801, 0)+1))&lt;=46.5,2,1)), IF(INDEX(ERP資料!$G:$G, (MATCH(263, 輔助計算!$G$2:$G$801, 0)+1))&lt;=790,3,IF(INDEX(ERP資料!$G:$G, (MATCH(263, 輔助計算!$G$2:$G$801, 0)+1))&lt;=1181,2,1)))=1,TEXT(INDEX(ERP資料!$G:$G, (MATCH(263, 輔助計算!$G$2:$G$801, 0)+1)),"0.##"),IF(IF(INDEX(ERP資料!$G:$G, (MATCH(263, 輔助計算!$G$2:$G$801, 0)+1))&lt;100, IF(INDEX(ERP資料!$G:$G, (MATCH(263, 輔助計算!$G$2:$G$801, 0)+1))&lt;=31,3,IF(INDEX(ERP資料!$G:$G, (MATCH(263, 輔助計算!$G$2:$G$801, 0)+1))&lt;=46.5,2,1)), IF(INDEX(ERP資料!$G:$G, (MATCH(263, 輔助計算!$G$2:$G$801, 0)+1))&lt;=790,3,IF(INDEX(ERP資料!$G:$G, (MATCH(263, 輔助計算!$G$2:$G$801, 0)+1))&lt;=1181,2,1)))=2,TEXT(INDEX(ERP資料!$G:$G, (MATCH(263, 輔助計算!$G$2:$G$801, 0)+1)),"0.##")&amp;"+"&amp;TEXT(INDEX(ERP資料!$G:$G, (MATCH(263, 輔助計算!$G$2:$G$801, 0)+1)),"0.##"),TEXT(INDEX(ERP資料!$G:$G, (MATCH(263, 輔助計算!$G$2:$G$801, 0)+1)),"0.##")&amp;"+"&amp;TEXT(INDEX(ERP資料!$G:$G, (MATCH(263, 輔助計算!$G$2:$G$801, 0)+1)),"0.##")&amp;"+"&amp;TEXT(INDEX(ERP資料!$G:$G, (MATCH(263, 輔助計算!$G$2:$G$801, 0)+1)),"0.##")))&amp;"-"&amp;INT(INDEX(輔助計算!$D:$D, (MATCH(263, 輔助計算!$G$2:$G$801, 0)+1))/IF(INDEX(ERP資料!$G:$G, (MATCH(263, 輔助計算!$G$2:$G$801, 0)+1))&lt;100, IF(INDEX(ERP資料!$G:$G, (MATCH(263, 輔助計算!$G$2:$G$801, 0)+1))&lt;=31,3,IF(INDEX(ERP資料!$G:$G, (MATCH(263, 輔助計算!$G$2:$G$801, 0)+1))&lt;=46.5,2,1)), IF(INDEX(ERP資料!$G:$G, (MATCH(263, 輔助計算!$G$2:$G$801, 0)+1))&lt;=790,3,IF(INDEX(ERP資料!$G:$G, (MATCH(263, 輔助計算!$G$2:$G$801, 0)+1))&lt;=1181,2,1)))), "")&lt;&gt;"",IF(MOD(INDEX(輔助計算!$D:$D, (MATCH(263, 輔助計算!$G$2:$G$801, 0)+1)),IF(INDEX(ERP資料!$G:$G, (MATCH(263, 輔助計算!$G$2:$G$801, 0)+1))&lt;100, IF(INDEX(ERP資料!$G:$G, (MATCH(263, 輔助計算!$G$2:$G$801, 0)+1))&lt;=31,3,IF(INDEX(ERP資料!$G:$G, (MATCH(263, 輔助計算!$G$2:$G$801, 0)+1))&lt;=46.5,2,1)), IF(INDEX(ERP資料!$G:$G, (MATCH(263, 輔助計算!$G$2:$G$801, 0)+1))&lt;=790,3,IF(INDEX(ERP資料!$G:$G, (MATCH(263, 輔助計算!$G$2:$G$801, 0)+1))&lt;=1181,2,1))))=0,"",IF(MOD(INDEX(輔助計算!$D:$D, (MATCH(263, 輔助計算!$G$2:$G$801, 0)+1)),IF(INDEX(ERP資料!$G:$G, (MATCH(263, 輔助計算!$G$2:$G$801, 0)+1))&lt;100, IF(INDEX(ERP資料!$G:$G, (MATCH(263, 輔助計算!$G$2:$G$801, 0)+1))&lt;=31,3,IF(INDEX(ERP資料!$G:$G, (MATCH(263, 輔助計算!$G$2:$G$801, 0)+1))&lt;=46.5,2,1)), IF(INDEX(ERP資料!$G:$G, (MATCH(263, 輔助計算!$G$2:$G$801, 0)+1))&lt;=790,3,IF(INDEX(ERP資料!$G:$G, (MATCH(263, 輔助計算!$G$2:$G$801, 0)+1))&lt;=1181,2,1))))=0,"",IF(MOD(INDEX(輔助計算!$D:$D, (MATCH(263, 輔助計算!$G$2:$G$801, 0)+1)),IF(INDEX(ERP資料!$G:$G, (MATCH(263, 輔助計算!$G$2:$G$801, 0)+1))&lt;100, IF(INDEX(ERP資料!$G:$G, (MATCH(263, 輔助計算!$G$2:$G$801, 0)+1))&lt;=31,3,IF(INDEX(ERP資料!$G:$G, (MATCH(263, 輔助計算!$G$2:$G$801, 0)+1))&lt;=46.5,2,1)), IF(INDEX(ERP資料!$G:$G, (MATCH(263, 輔助計算!$G$2:$G$801, 0)+1))&lt;=790,3,IF(INDEX(ERP資料!$G:$G, (MATCH(263, 輔助計算!$G$2:$G$801, 0)+1))&lt;=1181,2,1))))=1,TEXT(INDEX(ERP資料!$G:$G, (MATCH(263, 輔助計算!$G$2:$G$801, 0)+1)),"0.##"),IF(MOD(INDEX(輔助計算!$D:$D, (MATCH(263, 輔助計算!$G$2:$G$801, 0)+1)),IF(INDEX(ERP資料!$G:$G, (MATCH(263, 輔助計算!$G$2:$G$801, 0)+1))&lt;100, IF(INDEX(ERP資料!$G:$G, (MATCH(263, 輔助計算!$G$2:$G$801, 0)+1))&lt;=31,3,IF(INDEX(ERP資料!$G:$G, (MATCH(263, 輔助計算!$G$2:$G$801, 0)+1))&lt;=46.5,2,1)), IF(INDEX(ERP資料!$G:$G, (MATCH(263, 輔助計算!$G$2:$G$801, 0)+1))&lt;=790,3,IF(INDEX(ERP資料!$G:$G, (MATCH(263, 輔助計算!$G$2:$G$801, 0)+1))&lt;=1181,2,1))))=2,TEXT(INDEX(ERP資料!$G:$G, (MATCH(263, 輔助計算!$G$2:$G$801, 0)+1)),"0.##")&amp;"+"&amp;TEXT(INDEX(ERP資料!$G:$G, (MATCH(263, 輔助計算!$G$2:$G$801, 0)+1)),"0.##"),TEXT(INDEX(ERP資料!$G:$G, (MATCH(263, 輔助計算!$G$2:$G$801, 0)+1)),"0.##")&amp;"+"&amp;TEXT(INDEX(ERP資料!$G:$G, (MATCH(263, 輔助計算!$G$2:$G$801, 0)+1)),"0.##")&amp;"+"&amp;TEXT(INDEX(ERP資料!$G:$G, (MATCH(263, 輔助計算!$G$2:$G$801, 0)+1)),"0.##"))))&amp;"-1")&lt;&gt;""),"  ","")&amp;IF(MOD(INDEX(輔助計算!$D:$D, (MATCH(263, 輔助計算!$G$2:$G$801, 0)+1)),IF(INDEX(ERP資料!$G:$G, (MATCH(263, 輔助計算!$G$2:$G$801, 0)+1))&lt;100, IF(INDEX(ERP資料!$G:$G, (MATCH(263, 輔助計算!$G$2:$G$801, 0)+1))&lt;=31,3,IF(INDEX(ERP資料!$G:$G, (MATCH(263, 輔助計算!$G$2:$G$801, 0)+1))&lt;=46.5,2,1)), IF(INDEX(ERP資料!$G:$G, (MATCH(263, 輔助計算!$G$2:$G$801, 0)+1))&lt;=790,3,IF(INDEX(ERP資料!$G:$G, (MATCH(263, 輔助計算!$G$2:$G$801, 0)+1))&lt;=1181,2,1))))=0,"",IF(MOD(INDEX(輔助計算!$D:$D, (MATCH(263, 輔助計算!$G$2:$G$801, 0)+1)),IF(INDEX(ERP資料!$G:$G, (MATCH(263, 輔助計算!$G$2:$G$801, 0)+1))&lt;100, IF(INDEX(ERP資料!$G:$G, (MATCH(263, 輔助計算!$G$2:$G$801, 0)+1))&lt;=31,3,IF(INDEX(ERP資料!$G:$G, (MATCH(263, 輔助計算!$G$2:$G$801, 0)+1))&lt;=46.5,2,1)), IF(INDEX(ERP資料!$G:$G, (MATCH(263, 輔助計算!$G$2:$G$801, 0)+1))&lt;=790,3,IF(INDEX(ERP資料!$G:$G, (MATCH(263, 輔助計算!$G$2:$G$801, 0)+1))&lt;=1181,2,1))))=0,"",IF(MOD(INDEX(輔助計算!$D:$D, (MATCH(263, 輔助計算!$G$2:$G$801, 0)+1)),IF(INDEX(ERP資料!$G:$G, (MATCH(263, 輔助計算!$G$2:$G$801, 0)+1))&lt;100, IF(INDEX(ERP資料!$G:$G, (MATCH(263, 輔助計算!$G$2:$G$801, 0)+1))&lt;=31,3,IF(INDEX(ERP資料!$G:$G, (MATCH(263, 輔助計算!$G$2:$G$801, 0)+1))&lt;=46.5,2,1)), IF(INDEX(ERP資料!$G:$G, (MATCH(263, 輔助計算!$G$2:$G$801, 0)+1))&lt;=790,3,IF(INDEX(ERP資料!$G:$G, (MATCH(263, 輔助計算!$G$2:$G$801, 0)+1))&lt;=1181,2,1))))=1,TEXT(INDEX(ERP資料!$G:$G, (MATCH(263, 輔助計算!$G$2:$G$801, 0)+1)),"0.##"),IF(MOD(INDEX(輔助計算!$D:$D, (MATCH(263, 輔助計算!$G$2:$G$801, 0)+1)),IF(INDEX(ERP資料!$G:$G, (MATCH(263, 輔助計算!$G$2:$G$801, 0)+1))&lt;100, IF(INDEX(ERP資料!$G:$G, (MATCH(263, 輔助計算!$G$2:$G$801, 0)+1))&lt;=31,3,IF(INDEX(ERP資料!$G:$G, (MATCH(263, 輔助計算!$G$2:$G$801, 0)+1))&lt;=46.5,2,1)), IF(INDEX(ERP資料!$G:$G, (MATCH(263, 輔助計算!$G$2:$G$801, 0)+1))&lt;=790,3,IF(INDEX(ERP資料!$G:$G, (MATCH(263, 輔助計算!$G$2:$G$801, 0)+1))&lt;=1181,2,1))))=2,TEXT(INDEX(ERP資料!$G:$G, (MATCH(263, 輔助計算!$G$2:$G$801, 0)+1)),"0.##")&amp;"+"&amp;TEXT(INDEX(ERP資料!$G:$G, (MATCH(263, 輔助計算!$G$2:$G$801, 0)+1)),"0.##"),TEXT(INDEX(ERP資料!$G:$G, (MATCH(263, 輔助計算!$G$2:$G$801, 0)+1)),"0.##")&amp;"+"&amp;TEXT(INDEX(ERP資料!$G:$G, (MATCH(263, 輔助計算!$G$2:$G$801, 0)+1)),"0.##")&amp;"+"&amp;TEXT(INDEX(ERP資料!$G:$G, (MATCH(263, 輔助計算!$G$2:$G$801, 0)+1)),"0.##"))))&amp;"-1")), ""), "")</f>
        <v/>
      </c>
      <c r="K264" s="16" t="n"/>
      <c r="L264" s="14">
        <f>IFERROR(IF(AND(IFERROR(INDEX(ERP資料!$A:$A, (MATCH(263, 輔助計算!$G$2:$G$801, 0)+1)), "")&lt;&gt;"", IFERROR(INDEX(ERP資料!$A:$A, (MATCH(263, 輔助計算!$G$2:$G$801, 0)+1)), "")&lt;&gt;IFERROR(INDEX(ERP資料!$A:$A, MATCH(262, 輔助計算!$G$2:$G$801, 0)+1), "")), INDEX(ERP資料!$B:$B, (MATCH(263, 輔助計算!$G$2:$G$801, 0)+1)), ""), "")</f>
        <v/>
      </c>
      <c r="M264" s="17" t="n"/>
    </row>
    <row r="265">
      <c r="A265" s="10">
        <f>IFERROR(IF(AND(IFERROR(INDEX(ERP資料!$A:$A, (MATCH(264, 輔助計算!$G$2:$G$801, 0)+1)), "")&lt;&gt;"", IFERROR(INDEX(ERP資料!$A:$A, (MATCH(264, 輔助計算!$G$2:$G$801, 0)+1)), "")&lt;&gt;IFERROR(INDEX(ERP資料!$A:$A, MATCH(263, 輔助計算!$G$2:$G$801, 0)+1), "")), IFERROR(INDEX(ERP資料!$A:$A, (MATCH(264, 輔助計算!$G$2:$G$801, 0)+1)), ""), ""), "")</f>
        <v/>
      </c>
      <c r="B265" s="10">
        <f>IFERROR(IF(AND(IFERROR(INDEX(ERP資料!$A:$A, (MATCH(264, 輔助計算!$G$2:$G$801, 0)+1)), "")&lt;&gt;"", IFERROR(INDEX(ERP資料!$A:$A, (MATCH(264, 輔助計算!$G$2:$G$801, 0)+1)), "")&lt;&gt;IFERROR(INDEX(ERP資料!$A:$A, MATCH(263, 輔助計算!$G$2:$G$801, 0)+1), "")), INDEX(ERP資料!$S:$S, (MATCH(264, 輔助計算!$G$2:$G$801, 0)+1)), ""), "")</f>
        <v/>
      </c>
      <c r="C265" s="19">
        <f>IFERROR(IF(AND(IFERROR(INDEX(ERP資料!$A:$A, (MATCH(264, 輔助計算!$G$2:$G$801, 0)+1)), "")&lt;&gt;"", IFERROR(INDEX(ERP資料!$A:$A, (MATCH(264, 輔助計算!$G$2:$G$801, 0)+1)), "")&lt;&gt;IFERROR(INDEX(ERP資料!$A:$A, MATCH(263, 輔助計算!$G$2:$G$801, 0)+1), "")), IFERROR(VLOOKUP(LEFT(INDEX(ERP資料!$S:$S, (MATCH(264, 輔助計算!$G$2:$G$801, 0)+1)), 4), 紙管對照表!$A:$C, 3, FALSE), ""), ""), "")</f>
        <v/>
      </c>
      <c r="D265" s="16" t="n"/>
      <c r="E265" s="10">
        <f>IFERROR(IF(INDEX(ERP資料!$H:$H, (MATCH(264, 輔助計算!$G$2:$G$801, 0)+1))="","",INDEX(ERP資料!$H:$H, (MATCH(264, 輔助計算!$G$2:$G$801, 0)+1))), "")</f>
        <v/>
      </c>
      <c r="F265" s="10">
        <f>IFERROR(IF(INDEX(ERP資料!$E:$E, (MATCH(264, 輔助計算!$G$2:$G$801, 0)+1))="","",TRIM(INDEX(ERP資料!$E:$E, (MATCH(264, 輔助計算!$G$2:$G$801, 0)+1)))), "")</f>
        <v/>
      </c>
      <c r="G265" s="10">
        <f>IFERROR(IF(INDEX(ERP資料!$F:$F, (MATCH(264, 輔助計算!$G$2:$G$801, 0)+1))="","",INDEX(ERP資料!$F:$F, (MATCH(264, 輔助計算!$G$2:$G$801, 0)+1))), "")</f>
        <v/>
      </c>
      <c r="H265" s="10">
        <f>IFERROR(IF(INDEX(ERP資料!$G:$G, (MATCH(264, 輔助計算!$G$2:$G$801, 0)+1))="","",INDEX(ERP資料!$G:$G, (MATCH(264, 輔助計算!$G$2:$G$801, 0)+1))), "")</f>
        <v/>
      </c>
      <c r="I265" s="15">
        <f>IFERROR(INDEX(輔助計算!$D:$D, (MATCH(264, 輔助計算!$G$2:$G$801, 0)+1)), "")</f>
        <v/>
      </c>
      <c r="J265" s="15">
        <f>IFERROR(IF(AND(INDEX(輔助計算!$D:$D, (MATCH(264, 輔助計算!$G$2:$G$801, 0)+1))&lt;&gt;"", INDEX(ERP資料!$G:$G, (MATCH(264, 輔助計算!$G$2:$G$801, 0)+1))&lt;&gt;""), TRIM(IF(INT(INDEX(輔助計算!$D:$D, (MATCH(264, 輔助計算!$G$2:$G$801, 0)+1))/IF(INDEX(ERP資料!$G:$G, (MATCH(264, 輔助計算!$G$2:$G$801, 0)+1))&lt;100, IF(INDEX(ERP資料!$G:$G, (MATCH(264, 輔助計算!$G$2:$G$801, 0)+1))&lt;=31,3,IF(INDEX(ERP資料!$G:$G, (MATCH(264, 輔助計算!$G$2:$G$801, 0)+1))&lt;=46.5,2,1)), IF(INDEX(ERP資料!$G:$G, (MATCH(264, 輔助計算!$G$2:$G$801, 0)+1))&lt;=790,3,IF(INDEX(ERP資料!$G:$G, (MATCH(264, 輔助計算!$G$2:$G$801, 0)+1))&lt;=1181,2,1))))&gt;0, IF(IF(INDEX(ERP資料!$G:$G, (MATCH(264, 輔助計算!$G$2:$G$801, 0)+1))&lt;100, IF(INDEX(ERP資料!$G:$G, (MATCH(264, 輔助計算!$G$2:$G$801, 0)+1))&lt;=31,3,IF(INDEX(ERP資料!$G:$G, (MATCH(264, 輔助計算!$G$2:$G$801, 0)+1))&lt;=46.5,2,1)), IF(INDEX(ERP資料!$G:$G, (MATCH(264, 輔助計算!$G$2:$G$801, 0)+1))&lt;=790,3,IF(INDEX(ERP資料!$G:$G, (MATCH(264, 輔助計算!$G$2:$G$801, 0)+1))&lt;=1181,2,1)))=1,TEXT(INDEX(ERP資料!$G:$G, (MATCH(264, 輔助計算!$G$2:$G$801, 0)+1)),"0.##"),IF(IF(INDEX(ERP資料!$G:$G, (MATCH(264, 輔助計算!$G$2:$G$801, 0)+1))&lt;100, IF(INDEX(ERP資料!$G:$G, (MATCH(264, 輔助計算!$G$2:$G$801, 0)+1))&lt;=31,3,IF(INDEX(ERP資料!$G:$G, (MATCH(264, 輔助計算!$G$2:$G$801, 0)+1))&lt;=46.5,2,1)), IF(INDEX(ERP資料!$G:$G, (MATCH(264, 輔助計算!$G$2:$G$801, 0)+1))&lt;=790,3,IF(INDEX(ERP資料!$G:$G, (MATCH(264, 輔助計算!$G$2:$G$801, 0)+1))&lt;=1181,2,1)))=2,TEXT(INDEX(ERP資料!$G:$G, (MATCH(264, 輔助計算!$G$2:$G$801, 0)+1)),"0.##")&amp;"+"&amp;TEXT(INDEX(ERP資料!$G:$G, (MATCH(264, 輔助計算!$G$2:$G$801, 0)+1)),"0.##"),TEXT(INDEX(ERP資料!$G:$G, (MATCH(264, 輔助計算!$G$2:$G$801, 0)+1)),"0.##")&amp;"+"&amp;TEXT(INDEX(ERP資料!$G:$G, (MATCH(264, 輔助計算!$G$2:$G$801, 0)+1)),"0.##")&amp;"+"&amp;TEXT(INDEX(ERP資料!$G:$G, (MATCH(264, 輔助計算!$G$2:$G$801, 0)+1)),"0.##")))&amp;"-"&amp;INT(INDEX(輔助計算!$D:$D, (MATCH(264, 輔助計算!$G$2:$G$801, 0)+1))/IF(INDEX(ERP資料!$G:$G, (MATCH(264, 輔助計算!$G$2:$G$801, 0)+1))&lt;100, IF(INDEX(ERP資料!$G:$G, (MATCH(264, 輔助計算!$G$2:$G$801, 0)+1))&lt;=31,3,IF(INDEX(ERP資料!$G:$G, (MATCH(264, 輔助計算!$G$2:$G$801, 0)+1))&lt;=46.5,2,1)), IF(INDEX(ERP資料!$G:$G, (MATCH(264, 輔助計算!$G$2:$G$801, 0)+1))&lt;=790,3,IF(INDEX(ERP資料!$G:$G, (MATCH(264, 輔助計算!$G$2:$G$801, 0)+1))&lt;=1181,2,1)))), "")&amp;IF(AND(IF(INT(INDEX(輔助計算!$D:$D, (MATCH(264, 輔助計算!$G$2:$G$801, 0)+1))/IF(INDEX(ERP資料!$G:$G, (MATCH(264, 輔助計算!$G$2:$G$801, 0)+1))&lt;100, IF(INDEX(ERP資料!$G:$G, (MATCH(264, 輔助計算!$G$2:$G$801, 0)+1))&lt;=31,3,IF(INDEX(ERP資料!$G:$G, (MATCH(264, 輔助計算!$G$2:$G$801, 0)+1))&lt;=46.5,2,1)), IF(INDEX(ERP資料!$G:$G, (MATCH(264, 輔助計算!$G$2:$G$801, 0)+1))&lt;=790,3,IF(INDEX(ERP資料!$G:$G, (MATCH(264, 輔助計算!$G$2:$G$801, 0)+1))&lt;=1181,2,1))))&gt;0, IF(IF(INDEX(ERP資料!$G:$G, (MATCH(264, 輔助計算!$G$2:$G$801, 0)+1))&lt;100, IF(INDEX(ERP資料!$G:$G, (MATCH(264, 輔助計算!$G$2:$G$801, 0)+1))&lt;=31,3,IF(INDEX(ERP資料!$G:$G, (MATCH(264, 輔助計算!$G$2:$G$801, 0)+1))&lt;=46.5,2,1)), IF(INDEX(ERP資料!$G:$G, (MATCH(264, 輔助計算!$G$2:$G$801, 0)+1))&lt;=790,3,IF(INDEX(ERP資料!$G:$G, (MATCH(264, 輔助計算!$G$2:$G$801, 0)+1))&lt;=1181,2,1)))=1,TEXT(INDEX(ERP資料!$G:$G, (MATCH(264, 輔助計算!$G$2:$G$801, 0)+1)),"0.##"),IF(IF(INDEX(ERP資料!$G:$G, (MATCH(264, 輔助計算!$G$2:$G$801, 0)+1))&lt;100, IF(INDEX(ERP資料!$G:$G, (MATCH(264, 輔助計算!$G$2:$G$801, 0)+1))&lt;=31,3,IF(INDEX(ERP資料!$G:$G, (MATCH(264, 輔助計算!$G$2:$G$801, 0)+1))&lt;=46.5,2,1)), IF(INDEX(ERP資料!$G:$G, (MATCH(264, 輔助計算!$G$2:$G$801, 0)+1))&lt;=790,3,IF(INDEX(ERP資料!$G:$G, (MATCH(264, 輔助計算!$G$2:$G$801, 0)+1))&lt;=1181,2,1)))=2,TEXT(INDEX(ERP資料!$G:$G, (MATCH(264, 輔助計算!$G$2:$G$801, 0)+1)),"0.##")&amp;"+"&amp;TEXT(INDEX(ERP資料!$G:$G, (MATCH(264, 輔助計算!$G$2:$G$801, 0)+1)),"0.##"),TEXT(INDEX(ERP資料!$G:$G, (MATCH(264, 輔助計算!$G$2:$G$801, 0)+1)),"0.##")&amp;"+"&amp;TEXT(INDEX(ERP資料!$G:$G, (MATCH(264, 輔助計算!$G$2:$G$801, 0)+1)),"0.##")&amp;"+"&amp;TEXT(INDEX(ERP資料!$G:$G, (MATCH(264, 輔助計算!$G$2:$G$801, 0)+1)),"0.##")))&amp;"-"&amp;INT(INDEX(輔助計算!$D:$D, (MATCH(264, 輔助計算!$G$2:$G$801, 0)+1))/IF(INDEX(ERP資料!$G:$G, (MATCH(264, 輔助計算!$G$2:$G$801, 0)+1))&lt;100, IF(INDEX(ERP資料!$G:$G, (MATCH(264, 輔助計算!$G$2:$G$801, 0)+1))&lt;=31,3,IF(INDEX(ERP資料!$G:$G, (MATCH(264, 輔助計算!$G$2:$G$801, 0)+1))&lt;=46.5,2,1)), IF(INDEX(ERP資料!$G:$G, (MATCH(264, 輔助計算!$G$2:$G$801, 0)+1))&lt;=790,3,IF(INDEX(ERP資料!$G:$G, (MATCH(264, 輔助計算!$G$2:$G$801, 0)+1))&lt;=1181,2,1)))), "")&lt;&gt;"",IF(MOD(INDEX(輔助計算!$D:$D, (MATCH(264, 輔助計算!$G$2:$G$801, 0)+1)),IF(INDEX(ERP資料!$G:$G, (MATCH(264, 輔助計算!$G$2:$G$801, 0)+1))&lt;100, IF(INDEX(ERP資料!$G:$G, (MATCH(264, 輔助計算!$G$2:$G$801, 0)+1))&lt;=31,3,IF(INDEX(ERP資料!$G:$G, (MATCH(264, 輔助計算!$G$2:$G$801, 0)+1))&lt;=46.5,2,1)), IF(INDEX(ERP資料!$G:$G, (MATCH(264, 輔助計算!$G$2:$G$801, 0)+1))&lt;=790,3,IF(INDEX(ERP資料!$G:$G, (MATCH(264, 輔助計算!$G$2:$G$801, 0)+1))&lt;=1181,2,1))))=0,"",IF(MOD(INDEX(輔助計算!$D:$D, (MATCH(264, 輔助計算!$G$2:$G$801, 0)+1)),IF(INDEX(ERP資料!$G:$G, (MATCH(264, 輔助計算!$G$2:$G$801, 0)+1))&lt;100, IF(INDEX(ERP資料!$G:$G, (MATCH(264, 輔助計算!$G$2:$G$801, 0)+1))&lt;=31,3,IF(INDEX(ERP資料!$G:$G, (MATCH(264, 輔助計算!$G$2:$G$801, 0)+1))&lt;=46.5,2,1)), IF(INDEX(ERP資料!$G:$G, (MATCH(264, 輔助計算!$G$2:$G$801, 0)+1))&lt;=790,3,IF(INDEX(ERP資料!$G:$G, (MATCH(264, 輔助計算!$G$2:$G$801, 0)+1))&lt;=1181,2,1))))=0,"",IF(MOD(INDEX(輔助計算!$D:$D, (MATCH(264, 輔助計算!$G$2:$G$801, 0)+1)),IF(INDEX(ERP資料!$G:$G, (MATCH(264, 輔助計算!$G$2:$G$801, 0)+1))&lt;100, IF(INDEX(ERP資料!$G:$G, (MATCH(264, 輔助計算!$G$2:$G$801, 0)+1))&lt;=31,3,IF(INDEX(ERP資料!$G:$G, (MATCH(264, 輔助計算!$G$2:$G$801, 0)+1))&lt;=46.5,2,1)), IF(INDEX(ERP資料!$G:$G, (MATCH(264, 輔助計算!$G$2:$G$801, 0)+1))&lt;=790,3,IF(INDEX(ERP資料!$G:$G, (MATCH(264, 輔助計算!$G$2:$G$801, 0)+1))&lt;=1181,2,1))))=1,TEXT(INDEX(ERP資料!$G:$G, (MATCH(264, 輔助計算!$G$2:$G$801, 0)+1)),"0.##"),IF(MOD(INDEX(輔助計算!$D:$D, (MATCH(264, 輔助計算!$G$2:$G$801, 0)+1)),IF(INDEX(ERP資料!$G:$G, (MATCH(264, 輔助計算!$G$2:$G$801, 0)+1))&lt;100, IF(INDEX(ERP資料!$G:$G, (MATCH(264, 輔助計算!$G$2:$G$801, 0)+1))&lt;=31,3,IF(INDEX(ERP資料!$G:$G, (MATCH(264, 輔助計算!$G$2:$G$801, 0)+1))&lt;=46.5,2,1)), IF(INDEX(ERP資料!$G:$G, (MATCH(264, 輔助計算!$G$2:$G$801, 0)+1))&lt;=790,3,IF(INDEX(ERP資料!$G:$G, (MATCH(264, 輔助計算!$G$2:$G$801, 0)+1))&lt;=1181,2,1))))=2,TEXT(INDEX(ERP資料!$G:$G, (MATCH(264, 輔助計算!$G$2:$G$801, 0)+1)),"0.##")&amp;"+"&amp;TEXT(INDEX(ERP資料!$G:$G, (MATCH(264, 輔助計算!$G$2:$G$801, 0)+1)),"0.##"),TEXT(INDEX(ERP資料!$G:$G, (MATCH(264, 輔助計算!$G$2:$G$801, 0)+1)),"0.##")&amp;"+"&amp;TEXT(INDEX(ERP資料!$G:$G, (MATCH(264, 輔助計算!$G$2:$G$801, 0)+1)),"0.##")&amp;"+"&amp;TEXT(INDEX(ERP資料!$G:$G, (MATCH(264, 輔助計算!$G$2:$G$801, 0)+1)),"0.##"))))&amp;"-1")&lt;&gt;""),"  ","")&amp;IF(MOD(INDEX(輔助計算!$D:$D, (MATCH(264, 輔助計算!$G$2:$G$801, 0)+1)),IF(INDEX(ERP資料!$G:$G, (MATCH(264, 輔助計算!$G$2:$G$801, 0)+1))&lt;100, IF(INDEX(ERP資料!$G:$G, (MATCH(264, 輔助計算!$G$2:$G$801, 0)+1))&lt;=31,3,IF(INDEX(ERP資料!$G:$G, (MATCH(264, 輔助計算!$G$2:$G$801, 0)+1))&lt;=46.5,2,1)), IF(INDEX(ERP資料!$G:$G, (MATCH(264, 輔助計算!$G$2:$G$801, 0)+1))&lt;=790,3,IF(INDEX(ERP資料!$G:$G, (MATCH(264, 輔助計算!$G$2:$G$801, 0)+1))&lt;=1181,2,1))))=0,"",IF(MOD(INDEX(輔助計算!$D:$D, (MATCH(264, 輔助計算!$G$2:$G$801, 0)+1)),IF(INDEX(ERP資料!$G:$G, (MATCH(264, 輔助計算!$G$2:$G$801, 0)+1))&lt;100, IF(INDEX(ERP資料!$G:$G, (MATCH(264, 輔助計算!$G$2:$G$801, 0)+1))&lt;=31,3,IF(INDEX(ERP資料!$G:$G, (MATCH(264, 輔助計算!$G$2:$G$801, 0)+1))&lt;=46.5,2,1)), IF(INDEX(ERP資料!$G:$G, (MATCH(264, 輔助計算!$G$2:$G$801, 0)+1))&lt;=790,3,IF(INDEX(ERP資料!$G:$G, (MATCH(264, 輔助計算!$G$2:$G$801, 0)+1))&lt;=1181,2,1))))=0,"",IF(MOD(INDEX(輔助計算!$D:$D, (MATCH(264, 輔助計算!$G$2:$G$801, 0)+1)),IF(INDEX(ERP資料!$G:$G, (MATCH(264, 輔助計算!$G$2:$G$801, 0)+1))&lt;100, IF(INDEX(ERP資料!$G:$G, (MATCH(264, 輔助計算!$G$2:$G$801, 0)+1))&lt;=31,3,IF(INDEX(ERP資料!$G:$G, (MATCH(264, 輔助計算!$G$2:$G$801, 0)+1))&lt;=46.5,2,1)), IF(INDEX(ERP資料!$G:$G, (MATCH(264, 輔助計算!$G$2:$G$801, 0)+1))&lt;=790,3,IF(INDEX(ERP資料!$G:$G, (MATCH(264, 輔助計算!$G$2:$G$801, 0)+1))&lt;=1181,2,1))))=1,TEXT(INDEX(ERP資料!$G:$G, (MATCH(264, 輔助計算!$G$2:$G$801, 0)+1)),"0.##"),IF(MOD(INDEX(輔助計算!$D:$D, (MATCH(264, 輔助計算!$G$2:$G$801, 0)+1)),IF(INDEX(ERP資料!$G:$G, (MATCH(264, 輔助計算!$G$2:$G$801, 0)+1))&lt;100, IF(INDEX(ERP資料!$G:$G, (MATCH(264, 輔助計算!$G$2:$G$801, 0)+1))&lt;=31,3,IF(INDEX(ERP資料!$G:$G, (MATCH(264, 輔助計算!$G$2:$G$801, 0)+1))&lt;=46.5,2,1)), IF(INDEX(ERP資料!$G:$G, (MATCH(264, 輔助計算!$G$2:$G$801, 0)+1))&lt;=790,3,IF(INDEX(ERP資料!$G:$G, (MATCH(264, 輔助計算!$G$2:$G$801, 0)+1))&lt;=1181,2,1))))=2,TEXT(INDEX(ERP資料!$G:$G, (MATCH(264, 輔助計算!$G$2:$G$801, 0)+1)),"0.##")&amp;"+"&amp;TEXT(INDEX(ERP資料!$G:$G, (MATCH(264, 輔助計算!$G$2:$G$801, 0)+1)),"0.##"),TEXT(INDEX(ERP資料!$G:$G, (MATCH(264, 輔助計算!$G$2:$G$801, 0)+1)),"0.##")&amp;"+"&amp;TEXT(INDEX(ERP資料!$G:$G, (MATCH(264, 輔助計算!$G$2:$G$801, 0)+1)),"0.##")&amp;"+"&amp;TEXT(INDEX(ERP資料!$G:$G, (MATCH(264, 輔助計算!$G$2:$G$801, 0)+1)),"0.##"))))&amp;"-1")), ""), "")</f>
        <v/>
      </c>
      <c r="K265" s="16" t="n"/>
      <c r="L265" s="14">
        <f>IFERROR(IF(AND(IFERROR(INDEX(ERP資料!$A:$A, (MATCH(264, 輔助計算!$G$2:$G$801, 0)+1)), "")&lt;&gt;"", IFERROR(INDEX(ERP資料!$A:$A, (MATCH(264, 輔助計算!$G$2:$G$801, 0)+1)), "")&lt;&gt;IFERROR(INDEX(ERP資料!$A:$A, MATCH(263, 輔助計算!$G$2:$G$801, 0)+1), "")), INDEX(ERP資料!$B:$B, (MATCH(264, 輔助計算!$G$2:$G$801, 0)+1)), ""), "")</f>
        <v/>
      </c>
      <c r="M265" s="17" t="n"/>
    </row>
    <row r="266">
      <c r="A266" s="10">
        <f>IFERROR(IF(AND(IFERROR(INDEX(ERP資料!$A:$A, (MATCH(265, 輔助計算!$G$2:$G$801, 0)+1)), "")&lt;&gt;"", IFERROR(INDEX(ERP資料!$A:$A, (MATCH(265, 輔助計算!$G$2:$G$801, 0)+1)), "")&lt;&gt;IFERROR(INDEX(ERP資料!$A:$A, MATCH(264, 輔助計算!$G$2:$G$801, 0)+1), "")), IFERROR(INDEX(ERP資料!$A:$A, (MATCH(265, 輔助計算!$G$2:$G$801, 0)+1)), ""), ""), "")</f>
        <v/>
      </c>
      <c r="B266" s="10">
        <f>IFERROR(IF(AND(IFERROR(INDEX(ERP資料!$A:$A, (MATCH(265, 輔助計算!$G$2:$G$801, 0)+1)), "")&lt;&gt;"", IFERROR(INDEX(ERP資料!$A:$A, (MATCH(265, 輔助計算!$G$2:$G$801, 0)+1)), "")&lt;&gt;IFERROR(INDEX(ERP資料!$A:$A, MATCH(264, 輔助計算!$G$2:$G$801, 0)+1), "")), INDEX(ERP資料!$S:$S, (MATCH(265, 輔助計算!$G$2:$G$801, 0)+1)), ""), "")</f>
        <v/>
      </c>
      <c r="C266" s="19">
        <f>IFERROR(IF(AND(IFERROR(INDEX(ERP資料!$A:$A, (MATCH(265, 輔助計算!$G$2:$G$801, 0)+1)), "")&lt;&gt;"", IFERROR(INDEX(ERP資料!$A:$A, (MATCH(265, 輔助計算!$G$2:$G$801, 0)+1)), "")&lt;&gt;IFERROR(INDEX(ERP資料!$A:$A, MATCH(264, 輔助計算!$G$2:$G$801, 0)+1), "")), IFERROR(VLOOKUP(LEFT(INDEX(ERP資料!$S:$S, (MATCH(265, 輔助計算!$G$2:$G$801, 0)+1)), 4), 紙管對照表!$A:$C, 3, FALSE), ""), ""), "")</f>
        <v/>
      </c>
      <c r="D266" s="16" t="n"/>
      <c r="E266" s="10">
        <f>IFERROR(IF(INDEX(ERP資料!$H:$H, (MATCH(265, 輔助計算!$G$2:$G$801, 0)+1))="","",INDEX(ERP資料!$H:$H, (MATCH(265, 輔助計算!$G$2:$G$801, 0)+1))), "")</f>
        <v/>
      </c>
      <c r="F266" s="10">
        <f>IFERROR(IF(INDEX(ERP資料!$E:$E, (MATCH(265, 輔助計算!$G$2:$G$801, 0)+1))="","",TRIM(INDEX(ERP資料!$E:$E, (MATCH(265, 輔助計算!$G$2:$G$801, 0)+1)))), "")</f>
        <v/>
      </c>
      <c r="G266" s="10">
        <f>IFERROR(IF(INDEX(ERP資料!$F:$F, (MATCH(265, 輔助計算!$G$2:$G$801, 0)+1))="","",INDEX(ERP資料!$F:$F, (MATCH(265, 輔助計算!$G$2:$G$801, 0)+1))), "")</f>
        <v/>
      </c>
      <c r="H266" s="10">
        <f>IFERROR(IF(INDEX(ERP資料!$G:$G, (MATCH(265, 輔助計算!$G$2:$G$801, 0)+1))="","",INDEX(ERP資料!$G:$G, (MATCH(265, 輔助計算!$G$2:$G$801, 0)+1))), "")</f>
        <v/>
      </c>
      <c r="I266" s="15">
        <f>IFERROR(INDEX(輔助計算!$D:$D, (MATCH(265, 輔助計算!$G$2:$G$801, 0)+1)), "")</f>
        <v/>
      </c>
      <c r="J266" s="15">
        <f>IFERROR(IF(AND(INDEX(輔助計算!$D:$D, (MATCH(265, 輔助計算!$G$2:$G$801, 0)+1))&lt;&gt;"", INDEX(ERP資料!$G:$G, (MATCH(265, 輔助計算!$G$2:$G$801, 0)+1))&lt;&gt;""), TRIM(IF(INT(INDEX(輔助計算!$D:$D, (MATCH(265, 輔助計算!$G$2:$G$801, 0)+1))/IF(INDEX(ERP資料!$G:$G, (MATCH(265, 輔助計算!$G$2:$G$801, 0)+1))&lt;100, IF(INDEX(ERP資料!$G:$G, (MATCH(265, 輔助計算!$G$2:$G$801, 0)+1))&lt;=31,3,IF(INDEX(ERP資料!$G:$G, (MATCH(265, 輔助計算!$G$2:$G$801, 0)+1))&lt;=46.5,2,1)), IF(INDEX(ERP資料!$G:$G, (MATCH(265, 輔助計算!$G$2:$G$801, 0)+1))&lt;=790,3,IF(INDEX(ERP資料!$G:$G, (MATCH(265, 輔助計算!$G$2:$G$801, 0)+1))&lt;=1181,2,1))))&gt;0, IF(IF(INDEX(ERP資料!$G:$G, (MATCH(265, 輔助計算!$G$2:$G$801, 0)+1))&lt;100, IF(INDEX(ERP資料!$G:$G, (MATCH(265, 輔助計算!$G$2:$G$801, 0)+1))&lt;=31,3,IF(INDEX(ERP資料!$G:$G, (MATCH(265, 輔助計算!$G$2:$G$801, 0)+1))&lt;=46.5,2,1)), IF(INDEX(ERP資料!$G:$G, (MATCH(265, 輔助計算!$G$2:$G$801, 0)+1))&lt;=790,3,IF(INDEX(ERP資料!$G:$G, (MATCH(265, 輔助計算!$G$2:$G$801, 0)+1))&lt;=1181,2,1)))=1,TEXT(INDEX(ERP資料!$G:$G, (MATCH(265, 輔助計算!$G$2:$G$801, 0)+1)),"0.##"),IF(IF(INDEX(ERP資料!$G:$G, (MATCH(265, 輔助計算!$G$2:$G$801, 0)+1))&lt;100, IF(INDEX(ERP資料!$G:$G, (MATCH(265, 輔助計算!$G$2:$G$801, 0)+1))&lt;=31,3,IF(INDEX(ERP資料!$G:$G, (MATCH(265, 輔助計算!$G$2:$G$801, 0)+1))&lt;=46.5,2,1)), IF(INDEX(ERP資料!$G:$G, (MATCH(265, 輔助計算!$G$2:$G$801, 0)+1))&lt;=790,3,IF(INDEX(ERP資料!$G:$G, (MATCH(265, 輔助計算!$G$2:$G$801, 0)+1))&lt;=1181,2,1)))=2,TEXT(INDEX(ERP資料!$G:$G, (MATCH(265, 輔助計算!$G$2:$G$801, 0)+1)),"0.##")&amp;"+"&amp;TEXT(INDEX(ERP資料!$G:$G, (MATCH(265, 輔助計算!$G$2:$G$801, 0)+1)),"0.##"),TEXT(INDEX(ERP資料!$G:$G, (MATCH(265, 輔助計算!$G$2:$G$801, 0)+1)),"0.##")&amp;"+"&amp;TEXT(INDEX(ERP資料!$G:$G, (MATCH(265, 輔助計算!$G$2:$G$801, 0)+1)),"0.##")&amp;"+"&amp;TEXT(INDEX(ERP資料!$G:$G, (MATCH(265, 輔助計算!$G$2:$G$801, 0)+1)),"0.##")))&amp;"-"&amp;INT(INDEX(輔助計算!$D:$D, (MATCH(265, 輔助計算!$G$2:$G$801, 0)+1))/IF(INDEX(ERP資料!$G:$G, (MATCH(265, 輔助計算!$G$2:$G$801, 0)+1))&lt;100, IF(INDEX(ERP資料!$G:$G, (MATCH(265, 輔助計算!$G$2:$G$801, 0)+1))&lt;=31,3,IF(INDEX(ERP資料!$G:$G, (MATCH(265, 輔助計算!$G$2:$G$801, 0)+1))&lt;=46.5,2,1)), IF(INDEX(ERP資料!$G:$G, (MATCH(265, 輔助計算!$G$2:$G$801, 0)+1))&lt;=790,3,IF(INDEX(ERP資料!$G:$G, (MATCH(265, 輔助計算!$G$2:$G$801, 0)+1))&lt;=1181,2,1)))), "")&amp;IF(AND(IF(INT(INDEX(輔助計算!$D:$D, (MATCH(265, 輔助計算!$G$2:$G$801, 0)+1))/IF(INDEX(ERP資料!$G:$G, (MATCH(265, 輔助計算!$G$2:$G$801, 0)+1))&lt;100, IF(INDEX(ERP資料!$G:$G, (MATCH(265, 輔助計算!$G$2:$G$801, 0)+1))&lt;=31,3,IF(INDEX(ERP資料!$G:$G, (MATCH(265, 輔助計算!$G$2:$G$801, 0)+1))&lt;=46.5,2,1)), IF(INDEX(ERP資料!$G:$G, (MATCH(265, 輔助計算!$G$2:$G$801, 0)+1))&lt;=790,3,IF(INDEX(ERP資料!$G:$G, (MATCH(265, 輔助計算!$G$2:$G$801, 0)+1))&lt;=1181,2,1))))&gt;0, IF(IF(INDEX(ERP資料!$G:$G, (MATCH(265, 輔助計算!$G$2:$G$801, 0)+1))&lt;100, IF(INDEX(ERP資料!$G:$G, (MATCH(265, 輔助計算!$G$2:$G$801, 0)+1))&lt;=31,3,IF(INDEX(ERP資料!$G:$G, (MATCH(265, 輔助計算!$G$2:$G$801, 0)+1))&lt;=46.5,2,1)), IF(INDEX(ERP資料!$G:$G, (MATCH(265, 輔助計算!$G$2:$G$801, 0)+1))&lt;=790,3,IF(INDEX(ERP資料!$G:$G, (MATCH(265, 輔助計算!$G$2:$G$801, 0)+1))&lt;=1181,2,1)))=1,TEXT(INDEX(ERP資料!$G:$G, (MATCH(265, 輔助計算!$G$2:$G$801, 0)+1)),"0.##"),IF(IF(INDEX(ERP資料!$G:$G, (MATCH(265, 輔助計算!$G$2:$G$801, 0)+1))&lt;100, IF(INDEX(ERP資料!$G:$G, (MATCH(265, 輔助計算!$G$2:$G$801, 0)+1))&lt;=31,3,IF(INDEX(ERP資料!$G:$G, (MATCH(265, 輔助計算!$G$2:$G$801, 0)+1))&lt;=46.5,2,1)), IF(INDEX(ERP資料!$G:$G, (MATCH(265, 輔助計算!$G$2:$G$801, 0)+1))&lt;=790,3,IF(INDEX(ERP資料!$G:$G, (MATCH(265, 輔助計算!$G$2:$G$801, 0)+1))&lt;=1181,2,1)))=2,TEXT(INDEX(ERP資料!$G:$G, (MATCH(265, 輔助計算!$G$2:$G$801, 0)+1)),"0.##")&amp;"+"&amp;TEXT(INDEX(ERP資料!$G:$G, (MATCH(265, 輔助計算!$G$2:$G$801, 0)+1)),"0.##"),TEXT(INDEX(ERP資料!$G:$G, (MATCH(265, 輔助計算!$G$2:$G$801, 0)+1)),"0.##")&amp;"+"&amp;TEXT(INDEX(ERP資料!$G:$G, (MATCH(265, 輔助計算!$G$2:$G$801, 0)+1)),"0.##")&amp;"+"&amp;TEXT(INDEX(ERP資料!$G:$G, (MATCH(265, 輔助計算!$G$2:$G$801, 0)+1)),"0.##")))&amp;"-"&amp;INT(INDEX(輔助計算!$D:$D, (MATCH(265, 輔助計算!$G$2:$G$801, 0)+1))/IF(INDEX(ERP資料!$G:$G, (MATCH(265, 輔助計算!$G$2:$G$801, 0)+1))&lt;100, IF(INDEX(ERP資料!$G:$G, (MATCH(265, 輔助計算!$G$2:$G$801, 0)+1))&lt;=31,3,IF(INDEX(ERP資料!$G:$G, (MATCH(265, 輔助計算!$G$2:$G$801, 0)+1))&lt;=46.5,2,1)), IF(INDEX(ERP資料!$G:$G, (MATCH(265, 輔助計算!$G$2:$G$801, 0)+1))&lt;=790,3,IF(INDEX(ERP資料!$G:$G, (MATCH(265, 輔助計算!$G$2:$G$801, 0)+1))&lt;=1181,2,1)))), "")&lt;&gt;"",IF(MOD(INDEX(輔助計算!$D:$D, (MATCH(265, 輔助計算!$G$2:$G$801, 0)+1)),IF(INDEX(ERP資料!$G:$G, (MATCH(265, 輔助計算!$G$2:$G$801, 0)+1))&lt;100, IF(INDEX(ERP資料!$G:$G, (MATCH(265, 輔助計算!$G$2:$G$801, 0)+1))&lt;=31,3,IF(INDEX(ERP資料!$G:$G, (MATCH(265, 輔助計算!$G$2:$G$801, 0)+1))&lt;=46.5,2,1)), IF(INDEX(ERP資料!$G:$G, (MATCH(265, 輔助計算!$G$2:$G$801, 0)+1))&lt;=790,3,IF(INDEX(ERP資料!$G:$G, (MATCH(265, 輔助計算!$G$2:$G$801, 0)+1))&lt;=1181,2,1))))=0,"",IF(MOD(INDEX(輔助計算!$D:$D, (MATCH(265, 輔助計算!$G$2:$G$801, 0)+1)),IF(INDEX(ERP資料!$G:$G, (MATCH(265, 輔助計算!$G$2:$G$801, 0)+1))&lt;100, IF(INDEX(ERP資料!$G:$G, (MATCH(265, 輔助計算!$G$2:$G$801, 0)+1))&lt;=31,3,IF(INDEX(ERP資料!$G:$G, (MATCH(265, 輔助計算!$G$2:$G$801, 0)+1))&lt;=46.5,2,1)), IF(INDEX(ERP資料!$G:$G, (MATCH(265, 輔助計算!$G$2:$G$801, 0)+1))&lt;=790,3,IF(INDEX(ERP資料!$G:$G, (MATCH(265, 輔助計算!$G$2:$G$801, 0)+1))&lt;=1181,2,1))))=0,"",IF(MOD(INDEX(輔助計算!$D:$D, (MATCH(265, 輔助計算!$G$2:$G$801, 0)+1)),IF(INDEX(ERP資料!$G:$G, (MATCH(265, 輔助計算!$G$2:$G$801, 0)+1))&lt;100, IF(INDEX(ERP資料!$G:$G, (MATCH(265, 輔助計算!$G$2:$G$801, 0)+1))&lt;=31,3,IF(INDEX(ERP資料!$G:$G, (MATCH(265, 輔助計算!$G$2:$G$801, 0)+1))&lt;=46.5,2,1)), IF(INDEX(ERP資料!$G:$G, (MATCH(265, 輔助計算!$G$2:$G$801, 0)+1))&lt;=790,3,IF(INDEX(ERP資料!$G:$G, (MATCH(265, 輔助計算!$G$2:$G$801, 0)+1))&lt;=1181,2,1))))=1,TEXT(INDEX(ERP資料!$G:$G, (MATCH(265, 輔助計算!$G$2:$G$801, 0)+1)),"0.##"),IF(MOD(INDEX(輔助計算!$D:$D, (MATCH(265, 輔助計算!$G$2:$G$801, 0)+1)),IF(INDEX(ERP資料!$G:$G, (MATCH(265, 輔助計算!$G$2:$G$801, 0)+1))&lt;100, IF(INDEX(ERP資料!$G:$G, (MATCH(265, 輔助計算!$G$2:$G$801, 0)+1))&lt;=31,3,IF(INDEX(ERP資料!$G:$G, (MATCH(265, 輔助計算!$G$2:$G$801, 0)+1))&lt;=46.5,2,1)), IF(INDEX(ERP資料!$G:$G, (MATCH(265, 輔助計算!$G$2:$G$801, 0)+1))&lt;=790,3,IF(INDEX(ERP資料!$G:$G, (MATCH(265, 輔助計算!$G$2:$G$801, 0)+1))&lt;=1181,2,1))))=2,TEXT(INDEX(ERP資料!$G:$G, (MATCH(265, 輔助計算!$G$2:$G$801, 0)+1)),"0.##")&amp;"+"&amp;TEXT(INDEX(ERP資料!$G:$G, (MATCH(265, 輔助計算!$G$2:$G$801, 0)+1)),"0.##"),TEXT(INDEX(ERP資料!$G:$G, (MATCH(265, 輔助計算!$G$2:$G$801, 0)+1)),"0.##")&amp;"+"&amp;TEXT(INDEX(ERP資料!$G:$G, (MATCH(265, 輔助計算!$G$2:$G$801, 0)+1)),"0.##")&amp;"+"&amp;TEXT(INDEX(ERP資料!$G:$G, (MATCH(265, 輔助計算!$G$2:$G$801, 0)+1)),"0.##"))))&amp;"-1")&lt;&gt;""),"  ","")&amp;IF(MOD(INDEX(輔助計算!$D:$D, (MATCH(265, 輔助計算!$G$2:$G$801, 0)+1)),IF(INDEX(ERP資料!$G:$G, (MATCH(265, 輔助計算!$G$2:$G$801, 0)+1))&lt;100, IF(INDEX(ERP資料!$G:$G, (MATCH(265, 輔助計算!$G$2:$G$801, 0)+1))&lt;=31,3,IF(INDEX(ERP資料!$G:$G, (MATCH(265, 輔助計算!$G$2:$G$801, 0)+1))&lt;=46.5,2,1)), IF(INDEX(ERP資料!$G:$G, (MATCH(265, 輔助計算!$G$2:$G$801, 0)+1))&lt;=790,3,IF(INDEX(ERP資料!$G:$G, (MATCH(265, 輔助計算!$G$2:$G$801, 0)+1))&lt;=1181,2,1))))=0,"",IF(MOD(INDEX(輔助計算!$D:$D, (MATCH(265, 輔助計算!$G$2:$G$801, 0)+1)),IF(INDEX(ERP資料!$G:$G, (MATCH(265, 輔助計算!$G$2:$G$801, 0)+1))&lt;100, IF(INDEX(ERP資料!$G:$G, (MATCH(265, 輔助計算!$G$2:$G$801, 0)+1))&lt;=31,3,IF(INDEX(ERP資料!$G:$G, (MATCH(265, 輔助計算!$G$2:$G$801, 0)+1))&lt;=46.5,2,1)), IF(INDEX(ERP資料!$G:$G, (MATCH(265, 輔助計算!$G$2:$G$801, 0)+1))&lt;=790,3,IF(INDEX(ERP資料!$G:$G, (MATCH(265, 輔助計算!$G$2:$G$801, 0)+1))&lt;=1181,2,1))))=0,"",IF(MOD(INDEX(輔助計算!$D:$D, (MATCH(265, 輔助計算!$G$2:$G$801, 0)+1)),IF(INDEX(ERP資料!$G:$G, (MATCH(265, 輔助計算!$G$2:$G$801, 0)+1))&lt;100, IF(INDEX(ERP資料!$G:$G, (MATCH(265, 輔助計算!$G$2:$G$801, 0)+1))&lt;=31,3,IF(INDEX(ERP資料!$G:$G, (MATCH(265, 輔助計算!$G$2:$G$801, 0)+1))&lt;=46.5,2,1)), IF(INDEX(ERP資料!$G:$G, (MATCH(265, 輔助計算!$G$2:$G$801, 0)+1))&lt;=790,3,IF(INDEX(ERP資料!$G:$G, (MATCH(265, 輔助計算!$G$2:$G$801, 0)+1))&lt;=1181,2,1))))=1,TEXT(INDEX(ERP資料!$G:$G, (MATCH(265, 輔助計算!$G$2:$G$801, 0)+1)),"0.##"),IF(MOD(INDEX(輔助計算!$D:$D, (MATCH(265, 輔助計算!$G$2:$G$801, 0)+1)),IF(INDEX(ERP資料!$G:$G, (MATCH(265, 輔助計算!$G$2:$G$801, 0)+1))&lt;100, IF(INDEX(ERP資料!$G:$G, (MATCH(265, 輔助計算!$G$2:$G$801, 0)+1))&lt;=31,3,IF(INDEX(ERP資料!$G:$G, (MATCH(265, 輔助計算!$G$2:$G$801, 0)+1))&lt;=46.5,2,1)), IF(INDEX(ERP資料!$G:$G, (MATCH(265, 輔助計算!$G$2:$G$801, 0)+1))&lt;=790,3,IF(INDEX(ERP資料!$G:$G, (MATCH(265, 輔助計算!$G$2:$G$801, 0)+1))&lt;=1181,2,1))))=2,TEXT(INDEX(ERP資料!$G:$G, (MATCH(265, 輔助計算!$G$2:$G$801, 0)+1)),"0.##")&amp;"+"&amp;TEXT(INDEX(ERP資料!$G:$G, (MATCH(265, 輔助計算!$G$2:$G$801, 0)+1)),"0.##"),TEXT(INDEX(ERP資料!$G:$G, (MATCH(265, 輔助計算!$G$2:$G$801, 0)+1)),"0.##")&amp;"+"&amp;TEXT(INDEX(ERP資料!$G:$G, (MATCH(265, 輔助計算!$G$2:$G$801, 0)+1)),"0.##")&amp;"+"&amp;TEXT(INDEX(ERP資料!$G:$G, (MATCH(265, 輔助計算!$G$2:$G$801, 0)+1)),"0.##"))))&amp;"-1")), ""), "")</f>
        <v/>
      </c>
      <c r="K266" s="16" t="n"/>
      <c r="L266" s="14">
        <f>IFERROR(IF(AND(IFERROR(INDEX(ERP資料!$A:$A, (MATCH(265, 輔助計算!$G$2:$G$801, 0)+1)), "")&lt;&gt;"", IFERROR(INDEX(ERP資料!$A:$A, (MATCH(265, 輔助計算!$G$2:$G$801, 0)+1)), "")&lt;&gt;IFERROR(INDEX(ERP資料!$A:$A, MATCH(264, 輔助計算!$G$2:$G$801, 0)+1), "")), INDEX(ERP資料!$B:$B, (MATCH(265, 輔助計算!$G$2:$G$801, 0)+1)), ""), "")</f>
        <v/>
      </c>
      <c r="M266" s="17" t="n"/>
    </row>
    <row r="267">
      <c r="A267" s="10">
        <f>IFERROR(IF(AND(IFERROR(INDEX(ERP資料!$A:$A, (MATCH(266, 輔助計算!$G$2:$G$801, 0)+1)), "")&lt;&gt;"", IFERROR(INDEX(ERP資料!$A:$A, (MATCH(266, 輔助計算!$G$2:$G$801, 0)+1)), "")&lt;&gt;IFERROR(INDEX(ERP資料!$A:$A, MATCH(265, 輔助計算!$G$2:$G$801, 0)+1), "")), IFERROR(INDEX(ERP資料!$A:$A, (MATCH(266, 輔助計算!$G$2:$G$801, 0)+1)), ""), ""), "")</f>
        <v/>
      </c>
      <c r="B267" s="10">
        <f>IFERROR(IF(AND(IFERROR(INDEX(ERP資料!$A:$A, (MATCH(266, 輔助計算!$G$2:$G$801, 0)+1)), "")&lt;&gt;"", IFERROR(INDEX(ERP資料!$A:$A, (MATCH(266, 輔助計算!$G$2:$G$801, 0)+1)), "")&lt;&gt;IFERROR(INDEX(ERP資料!$A:$A, MATCH(265, 輔助計算!$G$2:$G$801, 0)+1), "")), INDEX(ERP資料!$S:$S, (MATCH(266, 輔助計算!$G$2:$G$801, 0)+1)), ""), "")</f>
        <v/>
      </c>
      <c r="C267" s="19">
        <f>IFERROR(IF(AND(IFERROR(INDEX(ERP資料!$A:$A, (MATCH(266, 輔助計算!$G$2:$G$801, 0)+1)), "")&lt;&gt;"", IFERROR(INDEX(ERP資料!$A:$A, (MATCH(266, 輔助計算!$G$2:$G$801, 0)+1)), "")&lt;&gt;IFERROR(INDEX(ERP資料!$A:$A, MATCH(265, 輔助計算!$G$2:$G$801, 0)+1), "")), IFERROR(VLOOKUP(LEFT(INDEX(ERP資料!$S:$S, (MATCH(266, 輔助計算!$G$2:$G$801, 0)+1)), 4), 紙管對照表!$A:$C, 3, FALSE), ""), ""), "")</f>
        <v/>
      </c>
      <c r="D267" s="16" t="n"/>
      <c r="E267" s="10">
        <f>IFERROR(IF(INDEX(ERP資料!$H:$H, (MATCH(266, 輔助計算!$G$2:$G$801, 0)+1))="","",INDEX(ERP資料!$H:$H, (MATCH(266, 輔助計算!$G$2:$G$801, 0)+1))), "")</f>
        <v/>
      </c>
      <c r="F267" s="10">
        <f>IFERROR(IF(INDEX(ERP資料!$E:$E, (MATCH(266, 輔助計算!$G$2:$G$801, 0)+1))="","",TRIM(INDEX(ERP資料!$E:$E, (MATCH(266, 輔助計算!$G$2:$G$801, 0)+1)))), "")</f>
        <v/>
      </c>
      <c r="G267" s="10">
        <f>IFERROR(IF(INDEX(ERP資料!$F:$F, (MATCH(266, 輔助計算!$G$2:$G$801, 0)+1))="","",INDEX(ERP資料!$F:$F, (MATCH(266, 輔助計算!$G$2:$G$801, 0)+1))), "")</f>
        <v/>
      </c>
      <c r="H267" s="10">
        <f>IFERROR(IF(INDEX(ERP資料!$G:$G, (MATCH(266, 輔助計算!$G$2:$G$801, 0)+1))="","",INDEX(ERP資料!$G:$G, (MATCH(266, 輔助計算!$G$2:$G$801, 0)+1))), "")</f>
        <v/>
      </c>
      <c r="I267" s="15">
        <f>IFERROR(INDEX(輔助計算!$D:$D, (MATCH(266, 輔助計算!$G$2:$G$801, 0)+1)), "")</f>
        <v/>
      </c>
      <c r="J267" s="15">
        <f>IFERROR(IF(AND(INDEX(輔助計算!$D:$D, (MATCH(266, 輔助計算!$G$2:$G$801, 0)+1))&lt;&gt;"", INDEX(ERP資料!$G:$G, (MATCH(266, 輔助計算!$G$2:$G$801, 0)+1))&lt;&gt;""), TRIM(IF(INT(INDEX(輔助計算!$D:$D, (MATCH(266, 輔助計算!$G$2:$G$801, 0)+1))/IF(INDEX(ERP資料!$G:$G, (MATCH(266, 輔助計算!$G$2:$G$801, 0)+1))&lt;100, IF(INDEX(ERP資料!$G:$G, (MATCH(266, 輔助計算!$G$2:$G$801, 0)+1))&lt;=31,3,IF(INDEX(ERP資料!$G:$G, (MATCH(266, 輔助計算!$G$2:$G$801, 0)+1))&lt;=46.5,2,1)), IF(INDEX(ERP資料!$G:$G, (MATCH(266, 輔助計算!$G$2:$G$801, 0)+1))&lt;=790,3,IF(INDEX(ERP資料!$G:$G, (MATCH(266, 輔助計算!$G$2:$G$801, 0)+1))&lt;=1181,2,1))))&gt;0, IF(IF(INDEX(ERP資料!$G:$G, (MATCH(266, 輔助計算!$G$2:$G$801, 0)+1))&lt;100, IF(INDEX(ERP資料!$G:$G, (MATCH(266, 輔助計算!$G$2:$G$801, 0)+1))&lt;=31,3,IF(INDEX(ERP資料!$G:$G, (MATCH(266, 輔助計算!$G$2:$G$801, 0)+1))&lt;=46.5,2,1)), IF(INDEX(ERP資料!$G:$G, (MATCH(266, 輔助計算!$G$2:$G$801, 0)+1))&lt;=790,3,IF(INDEX(ERP資料!$G:$G, (MATCH(266, 輔助計算!$G$2:$G$801, 0)+1))&lt;=1181,2,1)))=1,TEXT(INDEX(ERP資料!$G:$G, (MATCH(266, 輔助計算!$G$2:$G$801, 0)+1)),"0.##"),IF(IF(INDEX(ERP資料!$G:$G, (MATCH(266, 輔助計算!$G$2:$G$801, 0)+1))&lt;100, IF(INDEX(ERP資料!$G:$G, (MATCH(266, 輔助計算!$G$2:$G$801, 0)+1))&lt;=31,3,IF(INDEX(ERP資料!$G:$G, (MATCH(266, 輔助計算!$G$2:$G$801, 0)+1))&lt;=46.5,2,1)), IF(INDEX(ERP資料!$G:$G, (MATCH(266, 輔助計算!$G$2:$G$801, 0)+1))&lt;=790,3,IF(INDEX(ERP資料!$G:$G, (MATCH(266, 輔助計算!$G$2:$G$801, 0)+1))&lt;=1181,2,1)))=2,TEXT(INDEX(ERP資料!$G:$G, (MATCH(266, 輔助計算!$G$2:$G$801, 0)+1)),"0.##")&amp;"+"&amp;TEXT(INDEX(ERP資料!$G:$G, (MATCH(266, 輔助計算!$G$2:$G$801, 0)+1)),"0.##"),TEXT(INDEX(ERP資料!$G:$G, (MATCH(266, 輔助計算!$G$2:$G$801, 0)+1)),"0.##")&amp;"+"&amp;TEXT(INDEX(ERP資料!$G:$G, (MATCH(266, 輔助計算!$G$2:$G$801, 0)+1)),"0.##")&amp;"+"&amp;TEXT(INDEX(ERP資料!$G:$G, (MATCH(266, 輔助計算!$G$2:$G$801, 0)+1)),"0.##")))&amp;"-"&amp;INT(INDEX(輔助計算!$D:$D, (MATCH(266, 輔助計算!$G$2:$G$801, 0)+1))/IF(INDEX(ERP資料!$G:$G, (MATCH(266, 輔助計算!$G$2:$G$801, 0)+1))&lt;100, IF(INDEX(ERP資料!$G:$G, (MATCH(266, 輔助計算!$G$2:$G$801, 0)+1))&lt;=31,3,IF(INDEX(ERP資料!$G:$G, (MATCH(266, 輔助計算!$G$2:$G$801, 0)+1))&lt;=46.5,2,1)), IF(INDEX(ERP資料!$G:$G, (MATCH(266, 輔助計算!$G$2:$G$801, 0)+1))&lt;=790,3,IF(INDEX(ERP資料!$G:$G, (MATCH(266, 輔助計算!$G$2:$G$801, 0)+1))&lt;=1181,2,1)))), "")&amp;IF(AND(IF(INT(INDEX(輔助計算!$D:$D, (MATCH(266, 輔助計算!$G$2:$G$801, 0)+1))/IF(INDEX(ERP資料!$G:$G, (MATCH(266, 輔助計算!$G$2:$G$801, 0)+1))&lt;100, IF(INDEX(ERP資料!$G:$G, (MATCH(266, 輔助計算!$G$2:$G$801, 0)+1))&lt;=31,3,IF(INDEX(ERP資料!$G:$G, (MATCH(266, 輔助計算!$G$2:$G$801, 0)+1))&lt;=46.5,2,1)), IF(INDEX(ERP資料!$G:$G, (MATCH(266, 輔助計算!$G$2:$G$801, 0)+1))&lt;=790,3,IF(INDEX(ERP資料!$G:$G, (MATCH(266, 輔助計算!$G$2:$G$801, 0)+1))&lt;=1181,2,1))))&gt;0, IF(IF(INDEX(ERP資料!$G:$G, (MATCH(266, 輔助計算!$G$2:$G$801, 0)+1))&lt;100, IF(INDEX(ERP資料!$G:$G, (MATCH(266, 輔助計算!$G$2:$G$801, 0)+1))&lt;=31,3,IF(INDEX(ERP資料!$G:$G, (MATCH(266, 輔助計算!$G$2:$G$801, 0)+1))&lt;=46.5,2,1)), IF(INDEX(ERP資料!$G:$G, (MATCH(266, 輔助計算!$G$2:$G$801, 0)+1))&lt;=790,3,IF(INDEX(ERP資料!$G:$G, (MATCH(266, 輔助計算!$G$2:$G$801, 0)+1))&lt;=1181,2,1)))=1,TEXT(INDEX(ERP資料!$G:$G, (MATCH(266, 輔助計算!$G$2:$G$801, 0)+1)),"0.##"),IF(IF(INDEX(ERP資料!$G:$G, (MATCH(266, 輔助計算!$G$2:$G$801, 0)+1))&lt;100, IF(INDEX(ERP資料!$G:$G, (MATCH(266, 輔助計算!$G$2:$G$801, 0)+1))&lt;=31,3,IF(INDEX(ERP資料!$G:$G, (MATCH(266, 輔助計算!$G$2:$G$801, 0)+1))&lt;=46.5,2,1)), IF(INDEX(ERP資料!$G:$G, (MATCH(266, 輔助計算!$G$2:$G$801, 0)+1))&lt;=790,3,IF(INDEX(ERP資料!$G:$G, (MATCH(266, 輔助計算!$G$2:$G$801, 0)+1))&lt;=1181,2,1)))=2,TEXT(INDEX(ERP資料!$G:$G, (MATCH(266, 輔助計算!$G$2:$G$801, 0)+1)),"0.##")&amp;"+"&amp;TEXT(INDEX(ERP資料!$G:$G, (MATCH(266, 輔助計算!$G$2:$G$801, 0)+1)),"0.##"),TEXT(INDEX(ERP資料!$G:$G, (MATCH(266, 輔助計算!$G$2:$G$801, 0)+1)),"0.##")&amp;"+"&amp;TEXT(INDEX(ERP資料!$G:$G, (MATCH(266, 輔助計算!$G$2:$G$801, 0)+1)),"0.##")&amp;"+"&amp;TEXT(INDEX(ERP資料!$G:$G, (MATCH(266, 輔助計算!$G$2:$G$801, 0)+1)),"0.##")))&amp;"-"&amp;INT(INDEX(輔助計算!$D:$D, (MATCH(266, 輔助計算!$G$2:$G$801, 0)+1))/IF(INDEX(ERP資料!$G:$G, (MATCH(266, 輔助計算!$G$2:$G$801, 0)+1))&lt;100, IF(INDEX(ERP資料!$G:$G, (MATCH(266, 輔助計算!$G$2:$G$801, 0)+1))&lt;=31,3,IF(INDEX(ERP資料!$G:$G, (MATCH(266, 輔助計算!$G$2:$G$801, 0)+1))&lt;=46.5,2,1)), IF(INDEX(ERP資料!$G:$G, (MATCH(266, 輔助計算!$G$2:$G$801, 0)+1))&lt;=790,3,IF(INDEX(ERP資料!$G:$G, (MATCH(266, 輔助計算!$G$2:$G$801, 0)+1))&lt;=1181,2,1)))), "")&lt;&gt;"",IF(MOD(INDEX(輔助計算!$D:$D, (MATCH(266, 輔助計算!$G$2:$G$801, 0)+1)),IF(INDEX(ERP資料!$G:$G, (MATCH(266, 輔助計算!$G$2:$G$801, 0)+1))&lt;100, IF(INDEX(ERP資料!$G:$G, (MATCH(266, 輔助計算!$G$2:$G$801, 0)+1))&lt;=31,3,IF(INDEX(ERP資料!$G:$G, (MATCH(266, 輔助計算!$G$2:$G$801, 0)+1))&lt;=46.5,2,1)), IF(INDEX(ERP資料!$G:$G, (MATCH(266, 輔助計算!$G$2:$G$801, 0)+1))&lt;=790,3,IF(INDEX(ERP資料!$G:$G, (MATCH(266, 輔助計算!$G$2:$G$801, 0)+1))&lt;=1181,2,1))))=0,"",IF(MOD(INDEX(輔助計算!$D:$D, (MATCH(266, 輔助計算!$G$2:$G$801, 0)+1)),IF(INDEX(ERP資料!$G:$G, (MATCH(266, 輔助計算!$G$2:$G$801, 0)+1))&lt;100, IF(INDEX(ERP資料!$G:$G, (MATCH(266, 輔助計算!$G$2:$G$801, 0)+1))&lt;=31,3,IF(INDEX(ERP資料!$G:$G, (MATCH(266, 輔助計算!$G$2:$G$801, 0)+1))&lt;=46.5,2,1)), IF(INDEX(ERP資料!$G:$G, (MATCH(266, 輔助計算!$G$2:$G$801, 0)+1))&lt;=790,3,IF(INDEX(ERP資料!$G:$G, (MATCH(266, 輔助計算!$G$2:$G$801, 0)+1))&lt;=1181,2,1))))=0,"",IF(MOD(INDEX(輔助計算!$D:$D, (MATCH(266, 輔助計算!$G$2:$G$801, 0)+1)),IF(INDEX(ERP資料!$G:$G, (MATCH(266, 輔助計算!$G$2:$G$801, 0)+1))&lt;100, IF(INDEX(ERP資料!$G:$G, (MATCH(266, 輔助計算!$G$2:$G$801, 0)+1))&lt;=31,3,IF(INDEX(ERP資料!$G:$G, (MATCH(266, 輔助計算!$G$2:$G$801, 0)+1))&lt;=46.5,2,1)), IF(INDEX(ERP資料!$G:$G, (MATCH(266, 輔助計算!$G$2:$G$801, 0)+1))&lt;=790,3,IF(INDEX(ERP資料!$G:$G, (MATCH(266, 輔助計算!$G$2:$G$801, 0)+1))&lt;=1181,2,1))))=1,TEXT(INDEX(ERP資料!$G:$G, (MATCH(266, 輔助計算!$G$2:$G$801, 0)+1)),"0.##"),IF(MOD(INDEX(輔助計算!$D:$D, (MATCH(266, 輔助計算!$G$2:$G$801, 0)+1)),IF(INDEX(ERP資料!$G:$G, (MATCH(266, 輔助計算!$G$2:$G$801, 0)+1))&lt;100, IF(INDEX(ERP資料!$G:$G, (MATCH(266, 輔助計算!$G$2:$G$801, 0)+1))&lt;=31,3,IF(INDEX(ERP資料!$G:$G, (MATCH(266, 輔助計算!$G$2:$G$801, 0)+1))&lt;=46.5,2,1)), IF(INDEX(ERP資料!$G:$G, (MATCH(266, 輔助計算!$G$2:$G$801, 0)+1))&lt;=790,3,IF(INDEX(ERP資料!$G:$G, (MATCH(266, 輔助計算!$G$2:$G$801, 0)+1))&lt;=1181,2,1))))=2,TEXT(INDEX(ERP資料!$G:$G, (MATCH(266, 輔助計算!$G$2:$G$801, 0)+1)),"0.##")&amp;"+"&amp;TEXT(INDEX(ERP資料!$G:$G, (MATCH(266, 輔助計算!$G$2:$G$801, 0)+1)),"0.##"),TEXT(INDEX(ERP資料!$G:$G, (MATCH(266, 輔助計算!$G$2:$G$801, 0)+1)),"0.##")&amp;"+"&amp;TEXT(INDEX(ERP資料!$G:$G, (MATCH(266, 輔助計算!$G$2:$G$801, 0)+1)),"0.##")&amp;"+"&amp;TEXT(INDEX(ERP資料!$G:$G, (MATCH(266, 輔助計算!$G$2:$G$801, 0)+1)),"0.##"))))&amp;"-1")&lt;&gt;""),"  ","")&amp;IF(MOD(INDEX(輔助計算!$D:$D, (MATCH(266, 輔助計算!$G$2:$G$801, 0)+1)),IF(INDEX(ERP資料!$G:$G, (MATCH(266, 輔助計算!$G$2:$G$801, 0)+1))&lt;100, IF(INDEX(ERP資料!$G:$G, (MATCH(266, 輔助計算!$G$2:$G$801, 0)+1))&lt;=31,3,IF(INDEX(ERP資料!$G:$G, (MATCH(266, 輔助計算!$G$2:$G$801, 0)+1))&lt;=46.5,2,1)), IF(INDEX(ERP資料!$G:$G, (MATCH(266, 輔助計算!$G$2:$G$801, 0)+1))&lt;=790,3,IF(INDEX(ERP資料!$G:$G, (MATCH(266, 輔助計算!$G$2:$G$801, 0)+1))&lt;=1181,2,1))))=0,"",IF(MOD(INDEX(輔助計算!$D:$D, (MATCH(266, 輔助計算!$G$2:$G$801, 0)+1)),IF(INDEX(ERP資料!$G:$G, (MATCH(266, 輔助計算!$G$2:$G$801, 0)+1))&lt;100, IF(INDEX(ERP資料!$G:$G, (MATCH(266, 輔助計算!$G$2:$G$801, 0)+1))&lt;=31,3,IF(INDEX(ERP資料!$G:$G, (MATCH(266, 輔助計算!$G$2:$G$801, 0)+1))&lt;=46.5,2,1)), IF(INDEX(ERP資料!$G:$G, (MATCH(266, 輔助計算!$G$2:$G$801, 0)+1))&lt;=790,3,IF(INDEX(ERP資料!$G:$G, (MATCH(266, 輔助計算!$G$2:$G$801, 0)+1))&lt;=1181,2,1))))=0,"",IF(MOD(INDEX(輔助計算!$D:$D, (MATCH(266, 輔助計算!$G$2:$G$801, 0)+1)),IF(INDEX(ERP資料!$G:$G, (MATCH(266, 輔助計算!$G$2:$G$801, 0)+1))&lt;100, IF(INDEX(ERP資料!$G:$G, (MATCH(266, 輔助計算!$G$2:$G$801, 0)+1))&lt;=31,3,IF(INDEX(ERP資料!$G:$G, (MATCH(266, 輔助計算!$G$2:$G$801, 0)+1))&lt;=46.5,2,1)), IF(INDEX(ERP資料!$G:$G, (MATCH(266, 輔助計算!$G$2:$G$801, 0)+1))&lt;=790,3,IF(INDEX(ERP資料!$G:$G, (MATCH(266, 輔助計算!$G$2:$G$801, 0)+1))&lt;=1181,2,1))))=1,TEXT(INDEX(ERP資料!$G:$G, (MATCH(266, 輔助計算!$G$2:$G$801, 0)+1)),"0.##"),IF(MOD(INDEX(輔助計算!$D:$D, (MATCH(266, 輔助計算!$G$2:$G$801, 0)+1)),IF(INDEX(ERP資料!$G:$G, (MATCH(266, 輔助計算!$G$2:$G$801, 0)+1))&lt;100, IF(INDEX(ERP資料!$G:$G, (MATCH(266, 輔助計算!$G$2:$G$801, 0)+1))&lt;=31,3,IF(INDEX(ERP資料!$G:$G, (MATCH(266, 輔助計算!$G$2:$G$801, 0)+1))&lt;=46.5,2,1)), IF(INDEX(ERP資料!$G:$G, (MATCH(266, 輔助計算!$G$2:$G$801, 0)+1))&lt;=790,3,IF(INDEX(ERP資料!$G:$G, (MATCH(266, 輔助計算!$G$2:$G$801, 0)+1))&lt;=1181,2,1))))=2,TEXT(INDEX(ERP資料!$G:$G, (MATCH(266, 輔助計算!$G$2:$G$801, 0)+1)),"0.##")&amp;"+"&amp;TEXT(INDEX(ERP資料!$G:$G, (MATCH(266, 輔助計算!$G$2:$G$801, 0)+1)),"0.##"),TEXT(INDEX(ERP資料!$G:$G, (MATCH(266, 輔助計算!$G$2:$G$801, 0)+1)),"0.##")&amp;"+"&amp;TEXT(INDEX(ERP資料!$G:$G, (MATCH(266, 輔助計算!$G$2:$G$801, 0)+1)),"0.##")&amp;"+"&amp;TEXT(INDEX(ERP資料!$G:$G, (MATCH(266, 輔助計算!$G$2:$G$801, 0)+1)),"0.##"))))&amp;"-1")), ""), "")</f>
        <v/>
      </c>
      <c r="K267" s="16" t="n"/>
      <c r="L267" s="14">
        <f>IFERROR(IF(AND(IFERROR(INDEX(ERP資料!$A:$A, (MATCH(266, 輔助計算!$G$2:$G$801, 0)+1)), "")&lt;&gt;"", IFERROR(INDEX(ERP資料!$A:$A, (MATCH(266, 輔助計算!$G$2:$G$801, 0)+1)), "")&lt;&gt;IFERROR(INDEX(ERP資料!$A:$A, MATCH(265, 輔助計算!$G$2:$G$801, 0)+1), "")), INDEX(ERP資料!$B:$B, (MATCH(266, 輔助計算!$G$2:$G$801, 0)+1)), ""), "")</f>
        <v/>
      </c>
      <c r="M267" s="17" t="n"/>
    </row>
    <row r="268">
      <c r="A268" s="10">
        <f>IFERROR(IF(AND(IFERROR(INDEX(ERP資料!$A:$A, (MATCH(267, 輔助計算!$G$2:$G$801, 0)+1)), "")&lt;&gt;"", IFERROR(INDEX(ERP資料!$A:$A, (MATCH(267, 輔助計算!$G$2:$G$801, 0)+1)), "")&lt;&gt;IFERROR(INDEX(ERP資料!$A:$A, MATCH(266, 輔助計算!$G$2:$G$801, 0)+1), "")), IFERROR(INDEX(ERP資料!$A:$A, (MATCH(267, 輔助計算!$G$2:$G$801, 0)+1)), ""), ""), "")</f>
        <v/>
      </c>
      <c r="B268" s="10">
        <f>IFERROR(IF(AND(IFERROR(INDEX(ERP資料!$A:$A, (MATCH(267, 輔助計算!$G$2:$G$801, 0)+1)), "")&lt;&gt;"", IFERROR(INDEX(ERP資料!$A:$A, (MATCH(267, 輔助計算!$G$2:$G$801, 0)+1)), "")&lt;&gt;IFERROR(INDEX(ERP資料!$A:$A, MATCH(266, 輔助計算!$G$2:$G$801, 0)+1), "")), INDEX(ERP資料!$S:$S, (MATCH(267, 輔助計算!$G$2:$G$801, 0)+1)), ""), "")</f>
        <v/>
      </c>
      <c r="C268" s="19">
        <f>IFERROR(IF(AND(IFERROR(INDEX(ERP資料!$A:$A, (MATCH(267, 輔助計算!$G$2:$G$801, 0)+1)), "")&lt;&gt;"", IFERROR(INDEX(ERP資料!$A:$A, (MATCH(267, 輔助計算!$G$2:$G$801, 0)+1)), "")&lt;&gt;IFERROR(INDEX(ERP資料!$A:$A, MATCH(266, 輔助計算!$G$2:$G$801, 0)+1), "")), IFERROR(VLOOKUP(LEFT(INDEX(ERP資料!$S:$S, (MATCH(267, 輔助計算!$G$2:$G$801, 0)+1)), 4), 紙管對照表!$A:$C, 3, FALSE), ""), ""), "")</f>
        <v/>
      </c>
      <c r="D268" s="16" t="n"/>
      <c r="E268" s="10">
        <f>IFERROR(IF(INDEX(ERP資料!$H:$H, (MATCH(267, 輔助計算!$G$2:$G$801, 0)+1))="","",INDEX(ERP資料!$H:$H, (MATCH(267, 輔助計算!$G$2:$G$801, 0)+1))), "")</f>
        <v/>
      </c>
      <c r="F268" s="10">
        <f>IFERROR(IF(INDEX(ERP資料!$E:$E, (MATCH(267, 輔助計算!$G$2:$G$801, 0)+1))="","",TRIM(INDEX(ERP資料!$E:$E, (MATCH(267, 輔助計算!$G$2:$G$801, 0)+1)))), "")</f>
        <v/>
      </c>
      <c r="G268" s="10">
        <f>IFERROR(IF(INDEX(ERP資料!$F:$F, (MATCH(267, 輔助計算!$G$2:$G$801, 0)+1))="","",INDEX(ERP資料!$F:$F, (MATCH(267, 輔助計算!$G$2:$G$801, 0)+1))), "")</f>
        <v/>
      </c>
      <c r="H268" s="10">
        <f>IFERROR(IF(INDEX(ERP資料!$G:$G, (MATCH(267, 輔助計算!$G$2:$G$801, 0)+1))="","",INDEX(ERP資料!$G:$G, (MATCH(267, 輔助計算!$G$2:$G$801, 0)+1))), "")</f>
        <v/>
      </c>
      <c r="I268" s="15">
        <f>IFERROR(INDEX(輔助計算!$D:$D, (MATCH(267, 輔助計算!$G$2:$G$801, 0)+1)), "")</f>
        <v/>
      </c>
      <c r="J268" s="15">
        <f>IFERROR(IF(AND(INDEX(輔助計算!$D:$D, (MATCH(267, 輔助計算!$G$2:$G$801, 0)+1))&lt;&gt;"", INDEX(ERP資料!$G:$G, (MATCH(267, 輔助計算!$G$2:$G$801, 0)+1))&lt;&gt;""), TRIM(IF(INT(INDEX(輔助計算!$D:$D, (MATCH(267, 輔助計算!$G$2:$G$801, 0)+1))/IF(INDEX(ERP資料!$G:$G, (MATCH(267, 輔助計算!$G$2:$G$801, 0)+1))&lt;100, IF(INDEX(ERP資料!$G:$G, (MATCH(267, 輔助計算!$G$2:$G$801, 0)+1))&lt;=31,3,IF(INDEX(ERP資料!$G:$G, (MATCH(267, 輔助計算!$G$2:$G$801, 0)+1))&lt;=46.5,2,1)), IF(INDEX(ERP資料!$G:$G, (MATCH(267, 輔助計算!$G$2:$G$801, 0)+1))&lt;=790,3,IF(INDEX(ERP資料!$G:$G, (MATCH(267, 輔助計算!$G$2:$G$801, 0)+1))&lt;=1181,2,1))))&gt;0, IF(IF(INDEX(ERP資料!$G:$G, (MATCH(267, 輔助計算!$G$2:$G$801, 0)+1))&lt;100, IF(INDEX(ERP資料!$G:$G, (MATCH(267, 輔助計算!$G$2:$G$801, 0)+1))&lt;=31,3,IF(INDEX(ERP資料!$G:$G, (MATCH(267, 輔助計算!$G$2:$G$801, 0)+1))&lt;=46.5,2,1)), IF(INDEX(ERP資料!$G:$G, (MATCH(267, 輔助計算!$G$2:$G$801, 0)+1))&lt;=790,3,IF(INDEX(ERP資料!$G:$G, (MATCH(267, 輔助計算!$G$2:$G$801, 0)+1))&lt;=1181,2,1)))=1,TEXT(INDEX(ERP資料!$G:$G, (MATCH(267, 輔助計算!$G$2:$G$801, 0)+1)),"0.##"),IF(IF(INDEX(ERP資料!$G:$G, (MATCH(267, 輔助計算!$G$2:$G$801, 0)+1))&lt;100, IF(INDEX(ERP資料!$G:$G, (MATCH(267, 輔助計算!$G$2:$G$801, 0)+1))&lt;=31,3,IF(INDEX(ERP資料!$G:$G, (MATCH(267, 輔助計算!$G$2:$G$801, 0)+1))&lt;=46.5,2,1)), IF(INDEX(ERP資料!$G:$G, (MATCH(267, 輔助計算!$G$2:$G$801, 0)+1))&lt;=790,3,IF(INDEX(ERP資料!$G:$G, (MATCH(267, 輔助計算!$G$2:$G$801, 0)+1))&lt;=1181,2,1)))=2,TEXT(INDEX(ERP資料!$G:$G, (MATCH(267, 輔助計算!$G$2:$G$801, 0)+1)),"0.##")&amp;"+"&amp;TEXT(INDEX(ERP資料!$G:$G, (MATCH(267, 輔助計算!$G$2:$G$801, 0)+1)),"0.##"),TEXT(INDEX(ERP資料!$G:$G, (MATCH(267, 輔助計算!$G$2:$G$801, 0)+1)),"0.##")&amp;"+"&amp;TEXT(INDEX(ERP資料!$G:$G, (MATCH(267, 輔助計算!$G$2:$G$801, 0)+1)),"0.##")&amp;"+"&amp;TEXT(INDEX(ERP資料!$G:$G, (MATCH(267, 輔助計算!$G$2:$G$801, 0)+1)),"0.##")))&amp;"-"&amp;INT(INDEX(輔助計算!$D:$D, (MATCH(267, 輔助計算!$G$2:$G$801, 0)+1))/IF(INDEX(ERP資料!$G:$G, (MATCH(267, 輔助計算!$G$2:$G$801, 0)+1))&lt;100, IF(INDEX(ERP資料!$G:$G, (MATCH(267, 輔助計算!$G$2:$G$801, 0)+1))&lt;=31,3,IF(INDEX(ERP資料!$G:$G, (MATCH(267, 輔助計算!$G$2:$G$801, 0)+1))&lt;=46.5,2,1)), IF(INDEX(ERP資料!$G:$G, (MATCH(267, 輔助計算!$G$2:$G$801, 0)+1))&lt;=790,3,IF(INDEX(ERP資料!$G:$G, (MATCH(267, 輔助計算!$G$2:$G$801, 0)+1))&lt;=1181,2,1)))), "")&amp;IF(AND(IF(INT(INDEX(輔助計算!$D:$D, (MATCH(267, 輔助計算!$G$2:$G$801, 0)+1))/IF(INDEX(ERP資料!$G:$G, (MATCH(267, 輔助計算!$G$2:$G$801, 0)+1))&lt;100, IF(INDEX(ERP資料!$G:$G, (MATCH(267, 輔助計算!$G$2:$G$801, 0)+1))&lt;=31,3,IF(INDEX(ERP資料!$G:$G, (MATCH(267, 輔助計算!$G$2:$G$801, 0)+1))&lt;=46.5,2,1)), IF(INDEX(ERP資料!$G:$G, (MATCH(267, 輔助計算!$G$2:$G$801, 0)+1))&lt;=790,3,IF(INDEX(ERP資料!$G:$G, (MATCH(267, 輔助計算!$G$2:$G$801, 0)+1))&lt;=1181,2,1))))&gt;0, IF(IF(INDEX(ERP資料!$G:$G, (MATCH(267, 輔助計算!$G$2:$G$801, 0)+1))&lt;100, IF(INDEX(ERP資料!$G:$G, (MATCH(267, 輔助計算!$G$2:$G$801, 0)+1))&lt;=31,3,IF(INDEX(ERP資料!$G:$G, (MATCH(267, 輔助計算!$G$2:$G$801, 0)+1))&lt;=46.5,2,1)), IF(INDEX(ERP資料!$G:$G, (MATCH(267, 輔助計算!$G$2:$G$801, 0)+1))&lt;=790,3,IF(INDEX(ERP資料!$G:$G, (MATCH(267, 輔助計算!$G$2:$G$801, 0)+1))&lt;=1181,2,1)))=1,TEXT(INDEX(ERP資料!$G:$G, (MATCH(267, 輔助計算!$G$2:$G$801, 0)+1)),"0.##"),IF(IF(INDEX(ERP資料!$G:$G, (MATCH(267, 輔助計算!$G$2:$G$801, 0)+1))&lt;100, IF(INDEX(ERP資料!$G:$G, (MATCH(267, 輔助計算!$G$2:$G$801, 0)+1))&lt;=31,3,IF(INDEX(ERP資料!$G:$G, (MATCH(267, 輔助計算!$G$2:$G$801, 0)+1))&lt;=46.5,2,1)), IF(INDEX(ERP資料!$G:$G, (MATCH(267, 輔助計算!$G$2:$G$801, 0)+1))&lt;=790,3,IF(INDEX(ERP資料!$G:$G, (MATCH(267, 輔助計算!$G$2:$G$801, 0)+1))&lt;=1181,2,1)))=2,TEXT(INDEX(ERP資料!$G:$G, (MATCH(267, 輔助計算!$G$2:$G$801, 0)+1)),"0.##")&amp;"+"&amp;TEXT(INDEX(ERP資料!$G:$G, (MATCH(267, 輔助計算!$G$2:$G$801, 0)+1)),"0.##"),TEXT(INDEX(ERP資料!$G:$G, (MATCH(267, 輔助計算!$G$2:$G$801, 0)+1)),"0.##")&amp;"+"&amp;TEXT(INDEX(ERP資料!$G:$G, (MATCH(267, 輔助計算!$G$2:$G$801, 0)+1)),"0.##")&amp;"+"&amp;TEXT(INDEX(ERP資料!$G:$G, (MATCH(267, 輔助計算!$G$2:$G$801, 0)+1)),"0.##")))&amp;"-"&amp;INT(INDEX(輔助計算!$D:$D, (MATCH(267, 輔助計算!$G$2:$G$801, 0)+1))/IF(INDEX(ERP資料!$G:$G, (MATCH(267, 輔助計算!$G$2:$G$801, 0)+1))&lt;100, IF(INDEX(ERP資料!$G:$G, (MATCH(267, 輔助計算!$G$2:$G$801, 0)+1))&lt;=31,3,IF(INDEX(ERP資料!$G:$G, (MATCH(267, 輔助計算!$G$2:$G$801, 0)+1))&lt;=46.5,2,1)), IF(INDEX(ERP資料!$G:$G, (MATCH(267, 輔助計算!$G$2:$G$801, 0)+1))&lt;=790,3,IF(INDEX(ERP資料!$G:$G, (MATCH(267, 輔助計算!$G$2:$G$801, 0)+1))&lt;=1181,2,1)))), "")&lt;&gt;"",IF(MOD(INDEX(輔助計算!$D:$D, (MATCH(267, 輔助計算!$G$2:$G$801, 0)+1)),IF(INDEX(ERP資料!$G:$G, (MATCH(267, 輔助計算!$G$2:$G$801, 0)+1))&lt;100, IF(INDEX(ERP資料!$G:$G, (MATCH(267, 輔助計算!$G$2:$G$801, 0)+1))&lt;=31,3,IF(INDEX(ERP資料!$G:$G, (MATCH(267, 輔助計算!$G$2:$G$801, 0)+1))&lt;=46.5,2,1)), IF(INDEX(ERP資料!$G:$G, (MATCH(267, 輔助計算!$G$2:$G$801, 0)+1))&lt;=790,3,IF(INDEX(ERP資料!$G:$G, (MATCH(267, 輔助計算!$G$2:$G$801, 0)+1))&lt;=1181,2,1))))=0,"",IF(MOD(INDEX(輔助計算!$D:$D, (MATCH(267, 輔助計算!$G$2:$G$801, 0)+1)),IF(INDEX(ERP資料!$G:$G, (MATCH(267, 輔助計算!$G$2:$G$801, 0)+1))&lt;100, IF(INDEX(ERP資料!$G:$G, (MATCH(267, 輔助計算!$G$2:$G$801, 0)+1))&lt;=31,3,IF(INDEX(ERP資料!$G:$G, (MATCH(267, 輔助計算!$G$2:$G$801, 0)+1))&lt;=46.5,2,1)), IF(INDEX(ERP資料!$G:$G, (MATCH(267, 輔助計算!$G$2:$G$801, 0)+1))&lt;=790,3,IF(INDEX(ERP資料!$G:$G, (MATCH(267, 輔助計算!$G$2:$G$801, 0)+1))&lt;=1181,2,1))))=0,"",IF(MOD(INDEX(輔助計算!$D:$D, (MATCH(267, 輔助計算!$G$2:$G$801, 0)+1)),IF(INDEX(ERP資料!$G:$G, (MATCH(267, 輔助計算!$G$2:$G$801, 0)+1))&lt;100, IF(INDEX(ERP資料!$G:$G, (MATCH(267, 輔助計算!$G$2:$G$801, 0)+1))&lt;=31,3,IF(INDEX(ERP資料!$G:$G, (MATCH(267, 輔助計算!$G$2:$G$801, 0)+1))&lt;=46.5,2,1)), IF(INDEX(ERP資料!$G:$G, (MATCH(267, 輔助計算!$G$2:$G$801, 0)+1))&lt;=790,3,IF(INDEX(ERP資料!$G:$G, (MATCH(267, 輔助計算!$G$2:$G$801, 0)+1))&lt;=1181,2,1))))=1,TEXT(INDEX(ERP資料!$G:$G, (MATCH(267, 輔助計算!$G$2:$G$801, 0)+1)),"0.##"),IF(MOD(INDEX(輔助計算!$D:$D, (MATCH(267, 輔助計算!$G$2:$G$801, 0)+1)),IF(INDEX(ERP資料!$G:$G, (MATCH(267, 輔助計算!$G$2:$G$801, 0)+1))&lt;100, IF(INDEX(ERP資料!$G:$G, (MATCH(267, 輔助計算!$G$2:$G$801, 0)+1))&lt;=31,3,IF(INDEX(ERP資料!$G:$G, (MATCH(267, 輔助計算!$G$2:$G$801, 0)+1))&lt;=46.5,2,1)), IF(INDEX(ERP資料!$G:$G, (MATCH(267, 輔助計算!$G$2:$G$801, 0)+1))&lt;=790,3,IF(INDEX(ERP資料!$G:$G, (MATCH(267, 輔助計算!$G$2:$G$801, 0)+1))&lt;=1181,2,1))))=2,TEXT(INDEX(ERP資料!$G:$G, (MATCH(267, 輔助計算!$G$2:$G$801, 0)+1)),"0.##")&amp;"+"&amp;TEXT(INDEX(ERP資料!$G:$G, (MATCH(267, 輔助計算!$G$2:$G$801, 0)+1)),"0.##"),TEXT(INDEX(ERP資料!$G:$G, (MATCH(267, 輔助計算!$G$2:$G$801, 0)+1)),"0.##")&amp;"+"&amp;TEXT(INDEX(ERP資料!$G:$G, (MATCH(267, 輔助計算!$G$2:$G$801, 0)+1)),"0.##")&amp;"+"&amp;TEXT(INDEX(ERP資料!$G:$G, (MATCH(267, 輔助計算!$G$2:$G$801, 0)+1)),"0.##"))))&amp;"-1")&lt;&gt;""),"  ","")&amp;IF(MOD(INDEX(輔助計算!$D:$D, (MATCH(267, 輔助計算!$G$2:$G$801, 0)+1)),IF(INDEX(ERP資料!$G:$G, (MATCH(267, 輔助計算!$G$2:$G$801, 0)+1))&lt;100, IF(INDEX(ERP資料!$G:$G, (MATCH(267, 輔助計算!$G$2:$G$801, 0)+1))&lt;=31,3,IF(INDEX(ERP資料!$G:$G, (MATCH(267, 輔助計算!$G$2:$G$801, 0)+1))&lt;=46.5,2,1)), IF(INDEX(ERP資料!$G:$G, (MATCH(267, 輔助計算!$G$2:$G$801, 0)+1))&lt;=790,3,IF(INDEX(ERP資料!$G:$G, (MATCH(267, 輔助計算!$G$2:$G$801, 0)+1))&lt;=1181,2,1))))=0,"",IF(MOD(INDEX(輔助計算!$D:$D, (MATCH(267, 輔助計算!$G$2:$G$801, 0)+1)),IF(INDEX(ERP資料!$G:$G, (MATCH(267, 輔助計算!$G$2:$G$801, 0)+1))&lt;100, IF(INDEX(ERP資料!$G:$G, (MATCH(267, 輔助計算!$G$2:$G$801, 0)+1))&lt;=31,3,IF(INDEX(ERP資料!$G:$G, (MATCH(267, 輔助計算!$G$2:$G$801, 0)+1))&lt;=46.5,2,1)), IF(INDEX(ERP資料!$G:$G, (MATCH(267, 輔助計算!$G$2:$G$801, 0)+1))&lt;=790,3,IF(INDEX(ERP資料!$G:$G, (MATCH(267, 輔助計算!$G$2:$G$801, 0)+1))&lt;=1181,2,1))))=0,"",IF(MOD(INDEX(輔助計算!$D:$D, (MATCH(267, 輔助計算!$G$2:$G$801, 0)+1)),IF(INDEX(ERP資料!$G:$G, (MATCH(267, 輔助計算!$G$2:$G$801, 0)+1))&lt;100, IF(INDEX(ERP資料!$G:$G, (MATCH(267, 輔助計算!$G$2:$G$801, 0)+1))&lt;=31,3,IF(INDEX(ERP資料!$G:$G, (MATCH(267, 輔助計算!$G$2:$G$801, 0)+1))&lt;=46.5,2,1)), IF(INDEX(ERP資料!$G:$G, (MATCH(267, 輔助計算!$G$2:$G$801, 0)+1))&lt;=790,3,IF(INDEX(ERP資料!$G:$G, (MATCH(267, 輔助計算!$G$2:$G$801, 0)+1))&lt;=1181,2,1))))=1,TEXT(INDEX(ERP資料!$G:$G, (MATCH(267, 輔助計算!$G$2:$G$801, 0)+1)),"0.##"),IF(MOD(INDEX(輔助計算!$D:$D, (MATCH(267, 輔助計算!$G$2:$G$801, 0)+1)),IF(INDEX(ERP資料!$G:$G, (MATCH(267, 輔助計算!$G$2:$G$801, 0)+1))&lt;100, IF(INDEX(ERP資料!$G:$G, (MATCH(267, 輔助計算!$G$2:$G$801, 0)+1))&lt;=31,3,IF(INDEX(ERP資料!$G:$G, (MATCH(267, 輔助計算!$G$2:$G$801, 0)+1))&lt;=46.5,2,1)), IF(INDEX(ERP資料!$G:$G, (MATCH(267, 輔助計算!$G$2:$G$801, 0)+1))&lt;=790,3,IF(INDEX(ERP資料!$G:$G, (MATCH(267, 輔助計算!$G$2:$G$801, 0)+1))&lt;=1181,2,1))))=2,TEXT(INDEX(ERP資料!$G:$G, (MATCH(267, 輔助計算!$G$2:$G$801, 0)+1)),"0.##")&amp;"+"&amp;TEXT(INDEX(ERP資料!$G:$G, (MATCH(267, 輔助計算!$G$2:$G$801, 0)+1)),"0.##"),TEXT(INDEX(ERP資料!$G:$G, (MATCH(267, 輔助計算!$G$2:$G$801, 0)+1)),"0.##")&amp;"+"&amp;TEXT(INDEX(ERP資料!$G:$G, (MATCH(267, 輔助計算!$G$2:$G$801, 0)+1)),"0.##")&amp;"+"&amp;TEXT(INDEX(ERP資料!$G:$G, (MATCH(267, 輔助計算!$G$2:$G$801, 0)+1)),"0.##"))))&amp;"-1")), ""), "")</f>
        <v/>
      </c>
      <c r="K268" s="16" t="n"/>
      <c r="L268" s="14">
        <f>IFERROR(IF(AND(IFERROR(INDEX(ERP資料!$A:$A, (MATCH(267, 輔助計算!$G$2:$G$801, 0)+1)), "")&lt;&gt;"", IFERROR(INDEX(ERP資料!$A:$A, (MATCH(267, 輔助計算!$G$2:$G$801, 0)+1)), "")&lt;&gt;IFERROR(INDEX(ERP資料!$A:$A, MATCH(266, 輔助計算!$G$2:$G$801, 0)+1), "")), INDEX(ERP資料!$B:$B, (MATCH(267, 輔助計算!$G$2:$G$801, 0)+1)), ""), "")</f>
        <v/>
      </c>
      <c r="M268" s="17" t="n"/>
    </row>
    <row r="269">
      <c r="A269" s="10">
        <f>IFERROR(IF(AND(IFERROR(INDEX(ERP資料!$A:$A, (MATCH(268, 輔助計算!$G$2:$G$801, 0)+1)), "")&lt;&gt;"", IFERROR(INDEX(ERP資料!$A:$A, (MATCH(268, 輔助計算!$G$2:$G$801, 0)+1)), "")&lt;&gt;IFERROR(INDEX(ERP資料!$A:$A, MATCH(267, 輔助計算!$G$2:$G$801, 0)+1), "")), IFERROR(INDEX(ERP資料!$A:$A, (MATCH(268, 輔助計算!$G$2:$G$801, 0)+1)), ""), ""), "")</f>
        <v/>
      </c>
      <c r="B269" s="10">
        <f>IFERROR(IF(AND(IFERROR(INDEX(ERP資料!$A:$A, (MATCH(268, 輔助計算!$G$2:$G$801, 0)+1)), "")&lt;&gt;"", IFERROR(INDEX(ERP資料!$A:$A, (MATCH(268, 輔助計算!$G$2:$G$801, 0)+1)), "")&lt;&gt;IFERROR(INDEX(ERP資料!$A:$A, MATCH(267, 輔助計算!$G$2:$G$801, 0)+1), "")), INDEX(ERP資料!$S:$S, (MATCH(268, 輔助計算!$G$2:$G$801, 0)+1)), ""), "")</f>
        <v/>
      </c>
      <c r="C269" s="19">
        <f>IFERROR(IF(AND(IFERROR(INDEX(ERP資料!$A:$A, (MATCH(268, 輔助計算!$G$2:$G$801, 0)+1)), "")&lt;&gt;"", IFERROR(INDEX(ERP資料!$A:$A, (MATCH(268, 輔助計算!$G$2:$G$801, 0)+1)), "")&lt;&gt;IFERROR(INDEX(ERP資料!$A:$A, MATCH(267, 輔助計算!$G$2:$G$801, 0)+1), "")), IFERROR(VLOOKUP(LEFT(INDEX(ERP資料!$S:$S, (MATCH(268, 輔助計算!$G$2:$G$801, 0)+1)), 4), 紙管對照表!$A:$C, 3, FALSE), ""), ""), "")</f>
        <v/>
      </c>
      <c r="D269" s="16" t="n"/>
      <c r="E269" s="10">
        <f>IFERROR(IF(INDEX(ERP資料!$H:$H, (MATCH(268, 輔助計算!$G$2:$G$801, 0)+1))="","",INDEX(ERP資料!$H:$H, (MATCH(268, 輔助計算!$G$2:$G$801, 0)+1))), "")</f>
        <v/>
      </c>
      <c r="F269" s="10">
        <f>IFERROR(IF(INDEX(ERP資料!$E:$E, (MATCH(268, 輔助計算!$G$2:$G$801, 0)+1))="","",TRIM(INDEX(ERP資料!$E:$E, (MATCH(268, 輔助計算!$G$2:$G$801, 0)+1)))), "")</f>
        <v/>
      </c>
      <c r="G269" s="10">
        <f>IFERROR(IF(INDEX(ERP資料!$F:$F, (MATCH(268, 輔助計算!$G$2:$G$801, 0)+1))="","",INDEX(ERP資料!$F:$F, (MATCH(268, 輔助計算!$G$2:$G$801, 0)+1))), "")</f>
        <v/>
      </c>
      <c r="H269" s="10">
        <f>IFERROR(IF(INDEX(ERP資料!$G:$G, (MATCH(268, 輔助計算!$G$2:$G$801, 0)+1))="","",INDEX(ERP資料!$G:$G, (MATCH(268, 輔助計算!$G$2:$G$801, 0)+1))), "")</f>
        <v/>
      </c>
      <c r="I269" s="15">
        <f>IFERROR(INDEX(輔助計算!$D:$D, (MATCH(268, 輔助計算!$G$2:$G$801, 0)+1)), "")</f>
        <v/>
      </c>
      <c r="J269" s="15">
        <f>IFERROR(IF(AND(INDEX(輔助計算!$D:$D, (MATCH(268, 輔助計算!$G$2:$G$801, 0)+1))&lt;&gt;"", INDEX(ERP資料!$G:$G, (MATCH(268, 輔助計算!$G$2:$G$801, 0)+1))&lt;&gt;""), TRIM(IF(INT(INDEX(輔助計算!$D:$D, (MATCH(268, 輔助計算!$G$2:$G$801, 0)+1))/IF(INDEX(ERP資料!$G:$G, (MATCH(268, 輔助計算!$G$2:$G$801, 0)+1))&lt;100, IF(INDEX(ERP資料!$G:$G, (MATCH(268, 輔助計算!$G$2:$G$801, 0)+1))&lt;=31,3,IF(INDEX(ERP資料!$G:$G, (MATCH(268, 輔助計算!$G$2:$G$801, 0)+1))&lt;=46.5,2,1)), IF(INDEX(ERP資料!$G:$G, (MATCH(268, 輔助計算!$G$2:$G$801, 0)+1))&lt;=790,3,IF(INDEX(ERP資料!$G:$G, (MATCH(268, 輔助計算!$G$2:$G$801, 0)+1))&lt;=1181,2,1))))&gt;0, IF(IF(INDEX(ERP資料!$G:$G, (MATCH(268, 輔助計算!$G$2:$G$801, 0)+1))&lt;100, IF(INDEX(ERP資料!$G:$G, (MATCH(268, 輔助計算!$G$2:$G$801, 0)+1))&lt;=31,3,IF(INDEX(ERP資料!$G:$G, (MATCH(268, 輔助計算!$G$2:$G$801, 0)+1))&lt;=46.5,2,1)), IF(INDEX(ERP資料!$G:$G, (MATCH(268, 輔助計算!$G$2:$G$801, 0)+1))&lt;=790,3,IF(INDEX(ERP資料!$G:$G, (MATCH(268, 輔助計算!$G$2:$G$801, 0)+1))&lt;=1181,2,1)))=1,TEXT(INDEX(ERP資料!$G:$G, (MATCH(268, 輔助計算!$G$2:$G$801, 0)+1)),"0.##"),IF(IF(INDEX(ERP資料!$G:$G, (MATCH(268, 輔助計算!$G$2:$G$801, 0)+1))&lt;100, IF(INDEX(ERP資料!$G:$G, (MATCH(268, 輔助計算!$G$2:$G$801, 0)+1))&lt;=31,3,IF(INDEX(ERP資料!$G:$G, (MATCH(268, 輔助計算!$G$2:$G$801, 0)+1))&lt;=46.5,2,1)), IF(INDEX(ERP資料!$G:$G, (MATCH(268, 輔助計算!$G$2:$G$801, 0)+1))&lt;=790,3,IF(INDEX(ERP資料!$G:$G, (MATCH(268, 輔助計算!$G$2:$G$801, 0)+1))&lt;=1181,2,1)))=2,TEXT(INDEX(ERP資料!$G:$G, (MATCH(268, 輔助計算!$G$2:$G$801, 0)+1)),"0.##")&amp;"+"&amp;TEXT(INDEX(ERP資料!$G:$G, (MATCH(268, 輔助計算!$G$2:$G$801, 0)+1)),"0.##"),TEXT(INDEX(ERP資料!$G:$G, (MATCH(268, 輔助計算!$G$2:$G$801, 0)+1)),"0.##")&amp;"+"&amp;TEXT(INDEX(ERP資料!$G:$G, (MATCH(268, 輔助計算!$G$2:$G$801, 0)+1)),"0.##")&amp;"+"&amp;TEXT(INDEX(ERP資料!$G:$G, (MATCH(268, 輔助計算!$G$2:$G$801, 0)+1)),"0.##")))&amp;"-"&amp;INT(INDEX(輔助計算!$D:$D, (MATCH(268, 輔助計算!$G$2:$G$801, 0)+1))/IF(INDEX(ERP資料!$G:$G, (MATCH(268, 輔助計算!$G$2:$G$801, 0)+1))&lt;100, IF(INDEX(ERP資料!$G:$G, (MATCH(268, 輔助計算!$G$2:$G$801, 0)+1))&lt;=31,3,IF(INDEX(ERP資料!$G:$G, (MATCH(268, 輔助計算!$G$2:$G$801, 0)+1))&lt;=46.5,2,1)), IF(INDEX(ERP資料!$G:$G, (MATCH(268, 輔助計算!$G$2:$G$801, 0)+1))&lt;=790,3,IF(INDEX(ERP資料!$G:$G, (MATCH(268, 輔助計算!$G$2:$G$801, 0)+1))&lt;=1181,2,1)))), "")&amp;IF(AND(IF(INT(INDEX(輔助計算!$D:$D, (MATCH(268, 輔助計算!$G$2:$G$801, 0)+1))/IF(INDEX(ERP資料!$G:$G, (MATCH(268, 輔助計算!$G$2:$G$801, 0)+1))&lt;100, IF(INDEX(ERP資料!$G:$G, (MATCH(268, 輔助計算!$G$2:$G$801, 0)+1))&lt;=31,3,IF(INDEX(ERP資料!$G:$G, (MATCH(268, 輔助計算!$G$2:$G$801, 0)+1))&lt;=46.5,2,1)), IF(INDEX(ERP資料!$G:$G, (MATCH(268, 輔助計算!$G$2:$G$801, 0)+1))&lt;=790,3,IF(INDEX(ERP資料!$G:$G, (MATCH(268, 輔助計算!$G$2:$G$801, 0)+1))&lt;=1181,2,1))))&gt;0, IF(IF(INDEX(ERP資料!$G:$G, (MATCH(268, 輔助計算!$G$2:$G$801, 0)+1))&lt;100, IF(INDEX(ERP資料!$G:$G, (MATCH(268, 輔助計算!$G$2:$G$801, 0)+1))&lt;=31,3,IF(INDEX(ERP資料!$G:$G, (MATCH(268, 輔助計算!$G$2:$G$801, 0)+1))&lt;=46.5,2,1)), IF(INDEX(ERP資料!$G:$G, (MATCH(268, 輔助計算!$G$2:$G$801, 0)+1))&lt;=790,3,IF(INDEX(ERP資料!$G:$G, (MATCH(268, 輔助計算!$G$2:$G$801, 0)+1))&lt;=1181,2,1)))=1,TEXT(INDEX(ERP資料!$G:$G, (MATCH(268, 輔助計算!$G$2:$G$801, 0)+1)),"0.##"),IF(IF(INDEX(ERP資料!$G:$G, (MATCH(268, 輔助計算!$G$2:$G$801, 0)+1))&lt;100, IF(INDEX(ERP資料!$G:$G, (MATCH(268, 輔助計算!$G$2:$G$801, 0)+1))&lt;=31,3,IF(INDEX(ERP資料!$G:$G, (MATCH(268, 輔助計算!$G$2:$G$801, 0)+1))&lt;=46.5,2,1)), IF(INDEX(ERP資料!$G:$G, (MATCH(268, 輔助計算!$G$2:$G$801, 0)+1))&lt;=790,3,IF(INDEX(ERP資料!$G:$G, (MATCH(268, 輔助計算!$G$2:$G$801, 0)+1))&lt;=1181,2,1)))=2,TEXT(INDEX(ERP資料!$G:$G, (MATCH(268, 輔助計算!$G$2:$G$801, 0)+1)),"0.##")&amp;"+"&amp;TEXT(INDEX(ERP資料!$G:$G, (MATCH(268, 輔助計算!$G$2:$G$801, 0)+1)),"0.##"),TEXT(INDEX(ERP資料!$G:$G, (MATCH(268, 輔助計算!$G$2:$G$801, 0)+1)),"0.##")&amp;"+"&amp;TEXT(INDEX(ERP資料!$G:$G, (MATCH(268, 輔助計算!$G$2:$G$801, 0)+1)),"0.##")&amp;"+"&amp;TEXT(INDEX(ERP資料!$G:$G, (MATCH(268, 輔助計算!$G$2:$G$801, 0)+1)),"0.##")))&amp;"-"&amp;INT(INDEX(輔助計算!$D:$D, (MATCH(268, 輔助計算!$G$2:$G$801, 0)+1))/IF(INDEX(ERP資料!$G:$G, (MATCH(268, 輔助計算!$G$2:$G$801, 0)+1))&lt;100, IF(INDEX(ERP資料!$G:$G, (MATCH(268, 輔助計算!$G$2:$G$801, 0)+1))&lt;=31,3,IF(INDEX(ERP資料!$G:$G, (MATCH(268, 輔助計算!$G$2:$G$801, 0)+1))&lt;=46.5,2,1)), IF(INDEX(ERP資料!$G:$G, (MATCH(268, 輔助計算!$G$2:$G$801, 0)+1))&lt;=790,3,IF(INDEX(ERP資料!$G:$G, (MATCH(268, 輔助計算!$G$2:$G$801, 0)+1))&lt;=1181,2,1)))), "")&lt;&gt;"",IF(MOD(INDEX(輔助計算!$D:$D, (MATCH(268, 輔助計算!$G$2:$G$801, 0)+1)),IF(INDEX(ERP資料!$G:$G, (MATCH(268, 輔助計算!$G$2:$G$801, 0)+1))&lt;100, IF(INDEX(ERP資料!$G:$G, (MATCH(268, 輔助計算!$G$2:$G$801, 0)+1))&lt;=31,3,IF(INDEX(ERP資料!$G:$G, (MATCH(268, 輔助計算!$G$2:$G$801, 0)+1))&lt;=46.5,2,1)), IF(INDEX(ERP資料!$G:$G, (MATCH(268, 輔助計算!$G$2:$G$801, 0)+1))&lt;=790,3,IF(INDEX(ERP資料!$G:$G, (MATCH(268, 輔助計算!$G$2:$G$801, 0)+1))&lt;=1181,2,1))))=0,"",IF(MOD(INDEX(輔助計算!$D:$D, (MATCH(268, 輔助計算!$G$2:$G$801, 0)+1)),IF(INDEX(ERP資料!$G:$G, (MATCH(268, 輔助計算!$G$2:$G$801, 0)+1))&lt;100, IF(INDEX(ERP資料!$G:$G, (MATCH(268, 輔助計算!$G$2:$G$801, 0)+1))&lt;=31,3,IF(INDEX(ERP資料!$G:$G, (MATCH(268, 輔助計算!$G$2:$G$801, 0)+1))&lt;=46.5,2,1)), IF(INDEX(ERP資料!$G:$G, (MATCH(268, 輔助計算!$G$2:$G$801, 0)+1))&lt;=790,3,IF(INDEX(ERP資料!$G:$G, (MATCH(268, 輔助計算!$G$2:$G$801, 0)+1))&lt;=1181,2,1))))=0,"",IF(MOD(INDEX(輔助計算!$D:$D, (MATCH(268, 輔助計算!$G$2:$G$801, 0)+1)),IF(INDEX(ERP資料!$G:$G, (MATCH(268, 輔助計算!$G$2:$G$801, 0)+1))&lt;100, IF(INDEX(ERP資料!$G:$G, (MATCH(268, 輔助計算!$G$2:$G$801, 0)+1))&lt;=31,3,IF(INDEX(ERP資料!$G:$G, (MATCH(268, 輔助計算!$G$2:$G$801, 0)+1))&lt;=46.5,2,1)), IF(INDEX(ERP資料!$G:$G, (MATCH(268, 輔助計算!$G$2:$G$801, 0)+1))&lt;=790,3,IF(INDEX(ERP資料!$G:$G, (MATCH(268, 輔助計算!$G$2:$G$801, 0)+1))&lt;=1181,2,1))))=1,TEXT(INDEX(ERP資料!$G:$G, (MATCH(268, 輔助計算!$G$2:$G$801, 0)+1)),"0.##"),IF(MOD(INDEX(輔助計算!$D:$D, (MATCH(268, 輔助計算!$G$2:$G$801, 0)+1)),IF(INDEX(ERP資料!$G:$G, (MATCH(268, 輔助計算!$G$2:$G$801, 0)+1))&lt;100, IF(INDEX(ERP資料!$G:$G, (MATCH(268, 輔助計算!$G$2:$G$801, 0)+1))&lt;=31,3,IF(INDEX(ERP資料!$G:$G, (MATCH(268, 輔助計算!$G$2:$G$801, 0)+1))&lt;=46.5,2,1)), IF(INDEX(ERP資料!$G:$G, (MATCH(268, 輔助計算!$G$2:$G$801, 0)+1))&lt;=790,3,IF(INDEX(ERP資料!$G:$G, (MATCH(268, 輔助計算!$G$2:$G$801, 0)+1))&lt;=1181,2,1))))=2,TEXT(INDEX(ERP資料!$G:$G, (MATCH(268, 輔助計算!$G$2:$G$801, 0)+1)),"0.##")&amp;"+"&amp;TEXT(INDEX(ERP資料!$G:$G, (MATCH(268, 輔助計算!$G$2:$G$801, 0)+1)),"0.##"),TEXT(INDEX(ERP資料!$G:$G, (MATCH(268, 輔助計算!$G$2:$G$801, 0)+1)),"0.##")&amp;"+"&amp;TEXT(INDEX(ERP資料!$G:$G, (MATCH(268, 輔助計算!$G$2:$G$801, 0)+1)),"0.##")&amp;"+"&amp;TEXT(INDEX(ERP資料!$G:$G, (MATCH(268, 輔助計算!$G$2:$G$801, 0)+1)),"0.##"))))&amp;"-1")&lt;&gt;""),"  ","")&amp;IF(MOD(INDEX(輔助計算!$D:$D, (MATCH(268, 輔助計算!$G$2:$G$801, 0)+1)),IF(INDEX(ERP資料!$G:$G, (MATCH(268, 輔助計算!$G$2:$G$801, 0)+1))&lt;100, IF(INDEX(ERP資料!$G:$G, (MATCH(268, 輔助計算!$G$2:$G$801, 0)+1))&lt;=31,3,IF(INDEX(ERP資料!$G:$G, (MATCH(268, 輔助計算!$G$2:$G$801, 0)+1))&lt;=46.5,2,1)), IF(INDEX(ERP資料!$G:$G, (MATCH(268, 輔助計算!$G$2:$G$801, 0)+1))&lt;=790,3,IF(INDEX(ERP資料!$G:$G, (MATCH(268, 輔助計算!$G$2:$G$801, 0)+1))&lt;=1181,2,1))))=0,"",IF(MOD(INDEX(輔助計算!$D:$D, (MATCH(268, 輔助計算!$G$2:$G$801, 0)+1)),IF(INDEX(ERP資料!$G:$G, (MATCH(268, 輔助計算!$G$2:$G$801, 0)+1))&lt;100, IF(INDEX(ERP資料!$G:$G, (MATCH(268, 輔助計算!$G$2:$G$801, 0)+1))&lt;=31,3,IF(INDEX(ERP資料!$G:$G, (MATCH(268, 輔助計算!$G$2:$G$801, 0)+1))&lt;=46.5,2,1)), IF(INDEX(ERP資料!$G:$G, (MATCH(268, 輔助計算!$G$2:$G$801, 0)+1))&lt;=790,3,IF(INDEX(ERP資料!$G:$G, (MATCH(268, 輔助計算!$G$2:$G$801, 0)+1))&lt;=1181,2,1))))=0,"",IF(MOD(INDEX(輔助計算!$D:$D, (MATCH(268, 輔助計算!$G$2:$G$801, 0)+1)),IF(INDEX(ERP資料!$G:$G, (MATCH(268, 輔助計算!$G$2:$G$801, 0)+1))&lt;100, IF(INDEX(ERP資料!$G:$G, (MATCH(268, 輔助計算!$G$2:$G$801, 0)+1))&lt;=31,3,IF(INDEX(ERP資料!$G:$G, (MATCH(268, 輔助計算!$G$2:$G$801, 0)+1))&lt;=46.5,2,1)), IF(INDEX(ERP資料!$G:$G, (MATCH(268, 輔助計算!$G$2:$G$801, 0)+1))&lt;=790,3,IF(INDEX(ERP資料!$G:$G, (MATCH(268, 輔助計算!$G$2:$G$801, 0)+1))&lt;=1181,2,1))))=1,TEXT(INDEX(ERP資料!$G:$G, (MATCH(268, 輔助計算!$G$2:$G$801, 0)+1)),"0.##"),IF(MOD(INDEX(輔助計算!$D:$D, (MATCH(268, 輔助計算!$G$2:$G$801, 0)+1)),IF(INDEX(ERP資料!$G:$G, (MATCH(268, 輔助計算!$G$2:$G$801, 0)+1))&lt;100, IF(INDEX(ERP資料!$G:$G, (MATCH(268, 輔助計算!$G$2:$G$801, 0)+1))&lt;=31,3,IF(INDEX(ERP資料!$G:$G, (MATCH(268, 輔助計算!$G$2:$G$801, 0)+1))&lt;=46.5,2,1)), IF(INDEX(ERP資料!$G:$G, (MATCH(268, 輔助計算!$G$2:$G$801, 0)+1))&lt;=790,3,IF(INDEX(ERP資料!$G:$G, (MATCH(268, 輔助計算!$G$2:$G$801, 0)+1))&lt;=1181,2,1))))=2,TEXT(INDEX(ERP資料!$G:$G, (MATCH(268, 輔助計算!$G$2:$G$801, 0)+1)),"0.##")&amp;"+"&amp;TEXT(INDEX(ERP資料!$G:$G, (MATCH(268, 輔助計算!$G$2:$G$801, 0)+1)),"0.##"),TEXT(INDEX(ERP資料!$G:$G, (MATCH(268, 輔助計算!$G$2:$G$801, 0)+1)),"0.##")&amp;"+"&amp;TEXT(INDEX(ERP資料!$G:$G, (MATCH(268, 輔助計算!$G$2:$G$801, 0)+1)),"0.##")&amp;"+"&amp;TEXT(INDEX(ERP資料!$G:$G, (MATCH(268, 輔助計算!$G$2:$G$801, 0)+1)),"0.##"))))&amp;"-1")), ""), "")</f>
        <v/>
      </c>
      <c r="K269" s="16" t="n"/>
      <c r="L269" s="14">
        <f>IFERROR(IF(AND(IFERROR(INDEX(ERP資料!$A:$A, (MATCH(268, 輔助計算!$G$2:$G$801, 0)+1)), "")&lt;&gt;"", IFERROR(INDEX(ERP資料!$A:$A, (MATCH(268, 輔助計算!$G$2:$G$801, 0)+1)), "")&lt;&gt;IFERROR(INDEX(ERP資料!$A:$A, MATCH(267, 輔助計算!$G$2:$G$801, 0)+1), "")), INDEX(ERP資料!$B:$B, (MATCH(268, 輔助計算!$G$2:$G$801, 0)+1)), ""), "")</f>
        <v/>
      </c>
      <c r="M269" s="17" t="n"/>
    </row>
    <row r="270">
      <c r="A270" s="10">
        <f>IFERROR(IF(AND(IFERROR(INDEX(ERP資料!$A:$A, (MATCH(269, 輔助計算!$G$2:$G$801, 0)+1)), "")&lt;&gt;"", IFERROR(INDEX(ERP資料!$A:$A, (MATCH(269, 輔助計算!$G$2:$G$801, 0)+1)), "")&lt;&gt;IFERROR(INDEX(ERP資料!$A:$A, MATCH(268, 輔助計算!$G$2:$G$801, 0)+1), "")), IFERROR(INDEX(ERP資料!$A:$A, (MATCH(269, 輔助計算!$G$2:$G$801, 0)+1)), ""), ""), "")</f>
        <v/>
      </c>
      <c r="B270" s="10">
        <f>IFERROR(IF(AND(IFERROR(INDEX(ERP資料!$A:$A, (MATCH(269, 輔助計算!$G$2:$G$801, 0)+1)), "")&lt;&gt;"", IFERROR(INDEX(ERP資料!$A:$A, (MATCH(269, 輔助計算!$G$2:$G$801, 0)+1)), "")&lt;&gt;IFERROR(INDEX(ERP資料!$A:$A, MATCH(268, 輔助計算!$G$2:$G$801, 0)+1), "")), INDEX(ERP資料!$S:$S, (MATCH(269, 輔助計算!$G$2:$G$801, 0)+1)), ""), "")</f>
        <v/>
      </c>
      <c r="C270" s="19">
        <f>IFERROR(IF(AND(IFERROR(INDEX(ERP資料!$A:$A, (MATCH(269, 輔助計算!$G$2:$G$801, 0)+1)), "")&lt;&gt;"", IFERROR(INDEX(ERP資料!$A:$A, (MATCH(269, 輔助計算!$G$2:$G$801, 0)+1)), "")&lt;&gt;IFERROR(INDEX(ERP資料!$A:$A, MATCH(268, 輔助計算!$G$2:$G$801, 0)+1), "")), IFERROR(VLOOKUP(LEFT(INDEX(ERP資料!$S:$S, (MATCH(269, 輔助計算!$G$2:$G$801, 0)+1)), 4), 紙管對照表!$A:$C, 3, FALSE), ""), ""), "")</f>
        <v/>
      </c>
      <c r="D270" s="16" t="n"/>
      <c r="E270" s="10">
        <f>IFERROR(IF(INDEX(ERP資料!$H:$H, (MATCH(269, 輔助計算!$G$2:$G$801, 0)+1))="","",INDEX(ERP資料!$H:$H, (MATCH(269, 輔助計算!$G$2:$G$801, 0)+1))), "")</f>
        <v/>
      </c>
      <c r="F270" s="10">
        <f>IFERROR(IF(INDEX(ERP資料!$E:$E, (MATCH(269, 輔助計算!$G$2:$G$801, 0)+1))="","",TRIM(INDEX(ERP資料!$E:$E, (MATCH(269, 輔助計算!$G$2:$G$801, 0)+1)))), "")</f>
        <v/>
      </c>
      <c r="G270" s="10">
        <f>IFERROR(IF(INDEX(ERP資料!$F:$F, (MATCH(269, 輔助計算!$G$2:$G$801, 0)+1))="","",INDEX(ERP資料!$F:$F, (MATCH(269, 輔助計算!$G$2:$G$801, 0)+1))), "")</f>
        <v/>
      </c>
      <c r="H270" s="10">
        <f>IFERROR(IF(INDEX(ERP資料!$G:$G, (MATCH(269, 輔助計算!$G$2:$G$801, 0)+1))="","",INDEX(ERP資料!$G:$G, (MATCH(269, 輔助計算!$G$2:$G$801, 0)+1))), "")</f>
        <v/>
      </c>
      <c r="I270" s="15">
        <f>IFERROR(INDEX(輔助計算!$D:$D, (MATCH(269, 輔助計算!$G$2:$G$801, 0)+1)), "")</f>
        <v/>
      </c>
      <c r="J270" s="15">
        <f>IFERROR(IF(AND(INDEX(輔助計算!$D:$D, (MATCH(269, 輔助計算!$G$2:$G$801, 0)+1))&lt;&gt;"", INDEX(ERP資料!$G:$G, (MATCH(269, 輔助計算!$G$2:$G$801, 0)+1))&lt;&gt;""), TRIM(IF(INT(INDEX(輔助計算!$D:$D, (MATCH(269, 輔助計算!$G$2:$G$801, 0)+1))/IF(INDEX(ERP資料!$G:$G, (MATCH(269, 輔助計算!$G$2:$G$801, 0)+1))&lt;100, IF(INDEX(ERP資料!$G:$G, (MATCH(269, 輔助計算!$G$2:$G$801, 0)+1))&lt;=31,3,IF(INDEX(ERP資料!$G:$G, (MATCH(269, 輔助計算!$G$2:$G$801, 0)+1))&lt;=46.5,2,1)), IF(INDEX(ERP資料!$G:$G, (MATCH(269, 輔助計算!$G$2:$G$801, 0)+1))&lt;=790,3,IF(INDEX(ERP資料!$G:$G, (MATCH(269, 輔助計算!$G$2:$G$801, 0)+1))&lt;=1181,2,1))))&gt;0, IF(IF(INDEX(ERP資料!$G:$G, (MATCH(269, 輔助計算!$G$2:$G$801, 0)+1))&lt;100, IF(INDEX(ERP資料!$G:$G, (MATCH(269, 輔助計算!$G$2:$G$801, 0)+1))&lt;=31,3,IF(INDEX(ERP資料!$G:$G, (MATCH(269, 輔助計算!$G$2:$G$801, 0)+1))&lt;=46.5,2,1)), IF(INDEX(ERP資料!$G:$G, (MATCH(269, 輔助計算!$G$2:$G$801, 0)+1))&lt;=790,3,IF(INDEX(ERP資料!$G:$G, (MATCH(269, 輔助計算!$G$2:$G$801, 0)+1))&lt;=1181,2,1)))=1,TEXT(INDEX(ERP資料!$G:$G, (MATCH(269, 輔助計算!$G$2:$G$801, 0)+1)),"0.##"),IF(IF(INDEX(ERP資料!$G:$G, (MATCH(269, 輔助計算!$G$2:$G$801, 0)+1))&lt;100, IF(INDEX(ERP資料!$G:$G, (MATCH(269, 輔助計算!$G$2:$G$801, 0)+1))&lt;=31,3,IF(INDEX(ERP資料!$G:$G, (MATCH(269, 輔助計算!$G$2:$G$801, 0)+1))&lt;=46.5,2,1)), IF(INDEX(ERP資料!$G:$G, (MATCH(269, 輔助計算!$G$2:$G$801, 0)+1))&lt;=790,3,IF(INDEX(ERP資料!$G:$G, (MATCH(269, 輔助計算!$G$2:$G$801, 0)+1))&lt;=1181,2,1)))=2,TEXT(INDEX(ERP資料!$G:$G, (MATCH(269, 輔助計算!$G$2:$G$801, 0)+1)),"0.##")&amp;"+"&amp;TEXT(INDEX(ERP資料!$G:$G, (MATCH(269, 輔助計算!$G$2:$G$801, 0)+1)),"0.##"),TEXT(INDEX(ERP資料!$G:$G, (MATCH(269, 輔助計算!$G$2:$G$801, 0)+1)),"0.##")&amp;"+"&amp;TEXT(INDEX(ERP資料!$G:$G, (MATCH(269, 輔助計算!$G$2:$G$801, 0)+1)),"0.##")&amp;"+"&amp;TEXT(INDEX(ERP資料!$G:$G, (MATCH(269, 輔助計算!$G$2:$G$801, 0)+1)),"0.##")))&amp;"-"&amp;INT(INDEX(輔助計算!$D:$D, (MATCH(269, 輔助計算!$G$2:$G$801, 0)+1))/IF(INDEX(ERP資料!$G:$G, (MATCH(269, 輔助計算!$G$2:$G$801, 0)+1))&lt;100, IF(INDEX(ERP資料!$G:$G, (MATCH(269, 輔助計算!$G$2:$G$801, 0)+1))&lt;=31,3,IF(INDEX(ERP資料!$G:$G, (MATCH(269, 輔助計算!$G$2:$G$801, 0)+1))&lt;=46.5,2,1)), IF(INDEX(ERP資料!$G:$G, (MATCH(269, 輔助計算!$G$2:$G$801, 0)+1))&lt;=790,3,IF(INDEX(ERP資料!$G:$G, (MATCH(269, 輔助計算!$G$2:$G$801, 0)+1))&lt;=1181,2,1)))), "")&amp;IF(AND(IF(INT(INDEX(輔助計算!$D:$D, (MATCH(269, 輔助計算!$G$2:$G$801, 0)+1))/IF(INDEX(ERP資料!$G:$G, (MATCH(269, 輔助計算!$G$2:$G$801, 0)+1))&lt;100, IF(INDEX(ERP資料!$G:$G, (MATCH(269, 輔助計算!$G$2:$G$801, 0)+1))&lt;=31,3,IF(INDEX(ERP資料!$G:$G, (MATCH(269, 輔助計算!$G$2:$G$801, 0)+1))&lt;=46.5,2,1)), IF(INDEX(ERP資料!$G:$G, (MATCH(269, 輔助計算!$G$2:$G$801, 0)+1))&lt;=790,3,IF(INDEX(ERP資料!$G:$G, (MATCH(269, 輔助計算!$G$2:$G$801, 0)+1))&lt;=1181,2,1))))&gt;0, IF(IF(INDEX(ERP資料!$G:$G, (MATCH(269, 輔助計算!$G$2:$G$801, 0)+1))&lt;100, IF(INDEX(ERP資料!$G:$G, (MATCH(269, 輔助計算!$G$2:$G$801, 0)+1))&lt;=31,3,IF(INDEX(ERP資料!$G:$G, (MATCH(269, 輔助計算!$G$2:$G$801, 0)+1))&lt;=46.5,2,1)), IF(INDEX(ERP資料!$G:$G, (MATCH(269, 輔助計算!$G$2:$G$801, 0)+1))&lt;=790,3,IF(INDEX(ERP資料!$G:$G, (MATCH(269, 輔助計算!$G$2:$G$801, 0)+1))&lt;=1181,2,1)))=1,TEXT(INDEX(ERP資料!$G:$G, (MATCH(269, 輔助計算!$G$2:$G$801, 0)+1)),"0.##"),IF(IF(INDEX(ERP資料!$G:$G, (MATCH(269, 輔助計算!$G$2:$G$801, 0)+1))&lt;100, IF(INDEX(ERP資料!$G:$G, (MATCH(269, 輔助計算!$G$2:$G$801, 0)+1))&lt;=31,3,IF(INDEX(ERP資料!$G:$G, (MATCH(269, 輔助計算!$G$2:$G$801, 0)+1))&lt;=46.5,2,1)), IF(INDEX(ERP資料!$G:$G, (MATCH(269, 輔助計算!$G$2:$G$801, 0)+1))&lt;=790,3,IF(INDEX(ERP資料!$G:$G, (MATCH(269, 輔助計算!$G$2:$G$801, 0)+1))&lt;=1181,2,1)))=2,TEXT(INDEX(ERP資料!$G:$G, (MATCH(269, 輔助計算!$G$2:$G$801, 0)+1)),"0.##")&amp;"+"&amp;TEXT(INDEX(ERP資料!$G:$G, (MATCH(269, 輔助計算!$G$2:$G$801, 0)+1)),"0.##"),TEXT(INDEX(ERP資料!$G:$G, (MATCH(269, 輔助計算!$G$2:$G$801, 0)+1)),"0.##")&amp;"+"&amp;TEXT(INDEX(ERP資料!$G:$G, (MATCH(269, 輔助計算!$G$2:$G$801, 0)+1)),"0.##")&amp;"+"&amp;TEXT(INDEX(ERP資料!$G:$G, (MATCH(269, 輔助計算!$G$2:$G$801, 0)+1)),"0.##")))&amp;"-"&amp;INT(INDEX(輔助計算!$D:$D, (MATCH(269, 輔助計算!$G$2:$G$801, 0)+1))/IF(INDEX(ERP資料!$G:$G, (MATCH(269, 輔助計算!$G$2:$G$801, 0)+1))&lt;100, IF(INDEX(ERP資料!$G:$G, (MATCH(269, 輔助計算!$G$2:$G$801, 0)+1))&lt;=31,3,IF(INDEX(ERP資料!$G:$G, (MATCH(269, 輔助計算!$G$2:$G$801, 0)+1))&lt;=46.5,2,1)), IF(INDEX(ERP資料!$G:$G, (MATCH(269, 輔助計算!$G$2:$G$801, 0)+1))&lt;=790,3,IF(INDEX(ERP資料!$G:$G, (MATCH(269, 輔助計算!$G$2:$G$801, 0)+1))&lt;=1181,2,1)))), "")&lt;&gt;"",IF(MOD(INDEX(輔助計算!$D:$D, (MATCH(269, 輔助計算!$G$2:$G$801, 0)+1)),IF(INDEX(ERP資料!$G:$G, (MATCH(269, 輔助計算!$G$2:$G$801, 0)+1))&lt;100, IF(INDEX(ERP資料!$G:$G, (MATCH(269, 輔助計算!$G$2:$G$801, 0)+1))&lt;=31,3,IF(INDEX(ERP資料!$G:$G, (MATCH(269, 輔助計算!$G$2:$G$801, 0)+1))&lt;=46.5,2,1)), IF(INDEX(ERP資料!$G:$G, (MATCH(269, 輔助計算!$G$2:$G$801, 0)+1))&lt;=790,3,IF(INDEX(ERP資料!$G:$G, (MATCH(269, 輔助計算!$G$2:$G$801, 0)+1))&lt;=1181,2,1))))=0,"",IF(MOD(INDEX(輔助計算!$D:$D, (MATCH(269, 輔助計算!$G$2:$G$801, 0)+1)),IF(INDEX(ERP資料!$G:$G, (MATCH(269, 輔助計算!$G$2:$G$801, 0)+1))&lt;100, IF(INDEX(ERP資料!$G:$G, (MATCH(269, 輔助計算!$G$2:$G$801, 0)+1))&lt;=31,3,IF(INDEX(ERP資料!$G:$G, (MATCH(269, 輔助計算!$G$2:$G$801, 0)+1))&lt;=46.5,2,1)), IF(INDEX(ERP資料!$G:$G, (MATCH(269, 輔助計算!$G$2:$G$801, 0)+1))&lt;=790,3,IF(INDEX(ERP資料!$G:$G, (MATCH(269, 輔助計算!$G$2:$G$801, 0)+1))&lt;=1181,2,1))))=0,"",IF(MOD(INDEX(輔助計算!$D:$D, (MATCH(269, 輔助計算!$G$2:$G$801, 0)+1)),IF(INDEX(ERP資料!$G:$G, (MATCH(269, 輔助計算!$G$2:$G$801, 0)+1))&lt;100, IF(INDEX(ERP資料!$G:$G, (MATCH(269, 輔助計算!$G$2:$G$801, 0)+1))&lt;=31,3,IF(INDEX(ERP資料!$G:$G, (MATCH(269, 輔助計算!$G$2:$G$801, 0)+1))&lt;=46.5,2,1)), IF(INDEX(ERP資料!$G:$G, (MATCH(269, 輔助計算!$G$2:$G$801, 0)+1))&lt;=790,3,IF(INDEX(ERP資料!$G:$G, (MATCH(269, 輔助計算!$G$2:$G$801, 0)+1))&lt;=1181,2,1))))=1,TEXT(INDEX(ERP資料!$G:$G, (MATCH(269, 輔助計算!$G$2:$G$801, 0)+1)),"0.##"),IF(MOD(INDEX(輔助計算!$D:$D, (MATCH(269, 輔助計算!$G$2:$G$801, 0)+1)),IF(INDEX(ERP資料!$G:$G, (MATCH(269, 輔助計算!$G$2:$G$801, 0)+1))&lt;100, IF(INDEX(ERP資料!$G:$G, (MATCH(269, 輔助計算!$G$2:$G$801, 0)+1))&lt;=31,3,IF(INDEX(ERP資料!$G:$G, (MATCH(269, 輔助計算!$G$2:$G$801, 0)+1))&lt;=46.5,2,1)), IF(INDEX(ERP資料!$G:$G, (MATCH(269, 輔助計算!$G$2:$G$801, 0)+1))&lt;=790,3,IF(INDEX(ERP資料!$G:$G, (MATCH(269, 輔助計算!$G$2:$G$801, 0)+1))&lt;=1181,2,1))))=2,TEXT(INDEX(ERP資料!$G:$G, (MATCH(269, 輔助計算!$G$2:$G$801, 0)+1)),"0.##")&amp;"+"&amp;TEXT(INDEX(ERP資料!$G:$G, (MATCH(269, 輔助計算!$G$2:$G$801, 0)+1)),"0.##"),TEXT(INDEX(ERP資料!$G:$G, (MATCH(269, 輔助計算!$G$2:$G$801, 0)+1)),"0.##")&amp;"+"&amp;TEXT(INDEX(ERP資料!$G:$G, (MATCH(269, 輔助計算!$G$2:$G$801, 0)+1)),"0.##")&amp;"+"&amp;TEXT(INDEX(ERP資料!$G:$G, (MATCH(269, 輔助計算!$G$2:$G$801, 0)+1)),"0.##"))))&amp;"-1")&lt;&gt;""),"  ","")&amp;IF(MOD(INDEX(輔助計算!$D:$D, (MATCH(269, 輔助計算!$G$2:$G$801, 0)+1)),IF(INDEX(ERP資料!$G:$G, (MATCH(269, 輔助計算!$G$2:$G$801, 0)+1))&lt;100, IF(INDEX(ERP資料!$G:$G, (MATCH(269, 輔助計算!$G$2:$G$801, 0)+1))&lt;=31,3,IF(INDEX(ERP資料!$G:$G, (MATCH(269, 輔助計算!$G$2:$G$801, 0)+1))&lt;=46.5,2,1)), IF(INDEX(ERP資料!$G:$G, (MATCH(269, 輔助計算!$G$2:$G$801, 0)+1))&lt;=790,3,IF(INDEX(ERP資料!$G:$G, (MATCH(269, 輔助計算!$G$2:$G$801, 0)+1))&lt;=1181,2,1))))=0,"",IF(MOD(INDEX(輔助計算!$D:$D, (MATCH(269, 輔助計算!$G$2:$G$801, 0)+1)),IF(INDEX(ERP資料!$G:$G, (MATCH(269, 輔助計算!$G$2:$G$801, 0)+1))&lt;100, IF(INDEX(ERP資料!$G:$G, (MATCH(269, 輔助計算!$G$2:$G$801, 0)+1))&lt;=31,3,IF(INDEX(ERP資料!$G:$G, (MATCH(269, 輔助計算!$G$2:$G$801, 0)+1))&lt;=46.5,2,1)), IF(INDEX(ERP資料!$G:$G, (MATCH(269, 輔助計算!$G$2:$G$801, 0)+1))&lt;=790,3,IF(INDEX(ERP資料!$G:$G, (MATCH(269, 輔助計算!$G$2:$G$801, 0)+1))&lt;=1181,2,1))))=0,"",IF(MOD(INDEX(輔助計算!$D:$D, (MATCH(269, 輔助計算!$G$2:$G$801, 0)+1)),IF(INDEX(ERP資料!$G:$G, (MATCH(269, 輔助計算!$G$2:$G$801, 0)+1))&lt;100, IF(INDEX(ERP資料!$G:$G, (MATCH(269, 輔助計算!$G$2:$G$801, 0)+1))&lt;=31,3,IF(INDEX(ERP資料!$G:$G, (MATCH(269, 輔助計算!$G$2:$G$801, 0)+1))&lt;=46.5,2,1)), IF(INDEX(ERP資料!$G:$G, (MATCH(269, 輔助計算!$G$2:$G$801, 0)+1))&lt;=790,3,IF(INDEX(ERP資料!$G:$G, (MATCH(269, 輔助計算!$G$2:$G$801, 0)+1))&lt;=1181,2,1))))=1,TEXT(INDEX(ERP資料!$G:$G, (MATCH(269, 輔助計算!$G$2:$G$801, 0)+1)),"0.##"),IF(MOD(INDEX(輔助計算!$D:$D, (MATCH(269, 輔助計算!$G$2:$G$801, 0)+1)),IF(INDEX(ERP資料!$G:$G, (MATCH(269, 輔助計算!$G$2:$G$801, 0)+1))&lt;100, IF(INDEX(ERP資料!$G:$G, (MATCH(269, 輔助計算!$G$2:$G$801, 0)+1))&lt;=31,3,IF(INDEX(ERP資料!$G:$G, (MATCH(269, 輔助計算!$G$2:$G$801, 0)+1))&lt;=46.5,2,1)), IF(INDEX(ERP資料!$G:$G, (MATCH(269, 輔助計算!$G$2:$G$801, 0)+1))&lt;=790,3,IF(INDEX(ERP資料!$G:$G, (MATCH(269, 輔助計算!$G$2:$G$801, 0)+1))&lt;=1181,2,1))))=2,TEXT(INDEX(ERP資料!$G:$G, (MATCH(269, 輔助計算!$G$2:$G$801, 0)+1)),"0.##")&amp;"+"&amp;TEXT(INDEX(ERP資料!$G:$G, (MATCH(269, 輔助計算!$G$2:$G$801, 0)+1)),"0.##"),TEXT(INDEX(ERP資料!$G:$G, (MATCH(269, 輔助計算!$G$2:$G$801, 0)+1)),"0.##")&amp;"+"&amp;TEXT(INDEX(ERP資料!$G:$G, (MATCH(269, 輔助計算!$G$2:$G$801, 0)+1)),"0.##")&amp;"+"&amp;TEXT(INDEX(ERP資料!$G:$G, (MATCH(269, 輔助計算!$G$2:$G$801, 0)+1)),"0.##"))))&amp;"-1")), ""), "")</f>
        <v/>
      </c>
      <c r="K270" s="16" t="n"/>
      <c r="L270" s="14">
        <f>IFERROR(IF(AND(IFERROR(INDEX(ERP資料!$A:$A, (MATCH(269, 輔助計算!$G$2:$G$801, 0)+1)), "")&lt;&gt;"", IFERROR(INDEX(ERP資料!$A:$A, (MATCH(269, 輔助計算!$G$2:$G$801, 0)+1)), "")&lt;&gt;IFERROR(INDEX(ERP資料!$A:$A, MATCH(268, 輔助計算!$G$2:$G$801, 0)+1), "")), INDEX(ERP資料!$B:$B, (MATCH(269, 輔助計算!$G$2:$G$801, 0)+1)), ""), "")</f>
        <v/>
      </c>
      <c r="M270" s="17" t="n"/>
    </row>
    <row r="271">
      <c r="A271" s="10">
        <f>IFERROR(IF(AND(IFERROR(INDEX(ERP資料!$A:$A, (MATCH(270, 輔助計算!$G$2:$G$801, 0)+1)), "")&lt;&gt;"", IFERROR(INDEX(ERP資料!$A:$A, (MATCH(270, 輔助計算!$G$2:$G$801, 0)+1)), "")&lt;&gt;IFERROR(INDEX(ERP資料!$A:$A, MATCH(269, 輔助計算!$G$2:$G$801, 0)+1), "")), IFERROR(INDEX(ERP資料!$A:$A, (MATCH(270, 輔助計算!$G$2:$G$801, 0)+1)), ""), ""), "")</f>
        <v/>
      </c>
      <c r="B271" s="10">
        <f>IFERROR(IF(AND(IFERROR(INDEX(ERP資料!$A:$A, (MATCH(270, 輔助計算!$G$2:$G$801, 0)+1)), "")&lt;&gt;"", IFERROR(INDEX(ERP資料!$A:$A, (MATCH(270, 輔助計算!$G$2:$G$801, 0)+1)), "")&lt;&gt;IFERROR(INDEX(ERP資料!$A:$A, MATCH(269, 輔助計算!$G$2:$G$801, 0)+1), "")), INDEX(ERP資料!$S:$S, (MATCH(270, 輔助計算!$G$2:$G$801, 0)+1)), ""), "")</f>
        <v/>
      </c>
      <c r="C271" s="19">
        <f>IFERROR(IF(AND(IFERROR(INDEX(ERP資料!$A:$A, (MATCH(270, 輔助計算!$G$2:$G$801, 0)+1)), "")&lt;&gt;"", IFERROR(INDEX(ERP資料!$A:$A, (MATCH(270, 輔助計算!$G$2:$G$801, 0)+1)), "")&lt;&gt;IFERROR(INDEX(ERP資料!$A:$A, MATCH(269, 輔助計算!$G$2:$G$801, 0)+1), "")), IFERROR(VLOOKUP(LEFT(INDEX(ERP資料!$S:$S, (MATCH(270, 輔助計算!$G$2:$G$801, 0)+1)), 4), 紙管對照表!$A:$C, 3, FALSE), ""), ""), "")</f>
        <v/>
      </c>
      <c r="D271" s="16" t="n"/>
      <c r="E271" s="10">
        <f>IFERROR(IF(INDEX(ERP資料!$H:$H, (MATCH(270, 輔助計算!$G$2:$G$801, 0)+1))="","",INDEX(ERP資料!$H:$H, (MATCH(270, 輔助計算!$G$2:$G$801, 0)+1))), "")</f>
        <v/>
      </c>
      <c r="F271" s="10">
        <f>IFERROR(IF(INDEX(ERP資料!$E:$E, (MATCH(270, 輔助計算!$G$2:$G$801, 0)+1))="","",TRIM(INDEX(ERP資料!$E:$E, (MATCH(270, 輔助計算!$G$2:$G$801, 0)+1)))), "")</f>
        <v/>
      </c>
      <c r="G271" s="10">
        <f>IFERROR(IF(INDEX(ERP資料!$F:$F, (MATCH(270, 輔助計算!$G$2:$G$801, 0)+1))="","",INDEX(ERP資料!$F:$F, (MATCH(270, 輔助計算!$G$2:$G$801, 0)+1))), "")</f>
        <v/>
      </c>
      <c r="H271" s="10">
        <f>IFERROR(IF(INDEX(ERP資料!$G:$G, (MATCH(270, 輔助計算!$G$2:$G$801, 0)+1))="","",INDEX(ERP資料!$G:$G, (MATCH(270, 輔助計算!$G$2:$G$801, 0)+1))), "")</f>
        <v/>
      </c>
      <c r="I271" s="15">
        <f>IFERROR(INDEX(輔助計算!$D:$D, (MATCH(270, 輔助計算!$G$2:$G$801, 0)+1)), "")</f>
        <v/>
      </c>
      <c r="J271" s="15">
        <f>IFERROR(IF(AND(INDEX(輔助計算!$D:$D, (MATCH(270, 輔助計算!$G$2:$G$801, 0)+1))&lt;&gt;"", INDEX(ERP資料!$G:$G, (MATCH(270, 輔助計算!$G$2:$G$801, 0)+1))&lt;&gt;""), TRIM(IF(INT(INDEX(輔助計算!$D:$D, (MATCH(270, 輔助計算!$G$2:$G$801, 0)+1))/IF(INDEX(ERP資料!$G:$G, (MATCH(270, 輔助計算!$G$2:$G$801, 0)+1))&lt;100, IF(INDEX(ERP資料!$G:$G, (MATCH(270, 輔助計算!$G$2:$G$801, 0)+1))&lt;=31,3,IF(INDEX(ERP資料!$G:$G, (MATCH(270, 輔助計算!$G$2:$G$801, 0)+1))&lt;=46.5,2,1)), IF(INDEX(ERP資料!$G:$G, (MATCH(270, 輔助計算!$G$2:$G$801, 0)+1))&lt;=790,3,IF(INDEX(ERP資料!$G:$G, (MATCH(270, 輔助計算!$G$2:$G$801, 0)+1))&lt;=1181,2,1))))&gt;0, IF(IF(INDEX(ERP資料!$G:$G, (MATCH(270, 輔助計算!$G$2:$G$801, 0)+1))&lt;100, IF(INDEX(ERP資料!$G:$G, (MATCH(270, 輔助計算!$G$2:$G$801, 0)+1))&lt;=31,3,IF(INDEX(ERP資料!$G:$G, (MATCH(270, 輔助計算!$G$2:$G$801, 0)+1))&lt;=46.5,2,1)), IF(INDEX(ERP資料!$G:$G, (MATCH(270, 輔助計算!$G$2:$G$801, 0)+1))&lt;=790,3,IF(INDEX(ERP資料!$G:$G, (MATCH(270, 輔助計算!$G$2:$G$801, 0)+1))&lt;=1181,2,1)))=1,TEXT(INDEX(ERP資料!$G:$G, (MATCH(270, 輔助計算!$G$2:$G$801, 0)+1)),"0.##"),IF(IF(INDEX(ERP資料!$G:$G, (MATCH(270, 輔助計算!$G$2:$G$801, 0)+1))&lt;100, IF(INDEX(ERP資料!$G:$G, (MATCH(270, 輔助計算!$G$2:$G$801, 0)+1))&lt;=31,3,IF(INDEX(ERP資料!$G:$G, (MATCH(270, 輔助計算!$G$2:$G$801, 0)+1))&lt;=46.5,2,1)), IF(INDEX(ERP資料!$G:$G, (MATCH(270, 輔助計算!$G$2:$G$801, 0)+1))&lt;=790,3,IF(INDEX(ERP資料!$G:$G, (MATCH(270, 輔助計算!$G$2:$G$801, 0)+1))&lt;=1181,2,1)))=2,TEXT(INDEX(ERP資料!$G:$G, (MATCH(270, 輔助計算!$G$2:$G$801, 0)+1)),"0.##")&amp;"+"&amp;TEXT(INDEX(ERP資料!$G:$G, (MATCH(270, 輔助計算!$G$2:$G$801, 0)+1)),"0.##"),TEXT(INDEX(ERP資料!$G:$G, (MATCH(270, 輔助計算!$G$2:$G$801, 0)+1)),"0.##")&amp;"+"&amp;TEXT(INDEX(ERP資料!$G:$G, (MATCH(270, 輔助計算!$G$2:$G$801, 0)+1)),"0.##")&amp;"+"&amp;TEXT(INDEX(ERP資料!$G:$G, (MATCH(270, 輔助計算!$G$2:$G$801, 0)+1)),"0.##")))&amp;"-"&amp;INT(INDEX(輔助計算!$D:$D, (MATCH(270, 輔助計算!$G$2:$G$801, 0)+1))/IF(INDEX(ERP資料!$G:$G, (MATCH(270, 輔助計算!$G$2:$G$801, 0)+1))&lt;100, IF(INDEX(ERP資料!$G:$G, (MATCH(270, 輔助計算!$G$2:$G$801, 0)+1))&lt;=31,3,IF(INDEX(ERP資料!$G:$G, (MATCH(270, 輔助計算!$G$2:$G$801, 0)+1))&lt;=46.5,2,1)), IF(INDEX(ERP資料!$G:$G, (MATCH(270, 輔助計算!$G$2:$G$801, 0)+1))&lt;=790,3,IF(INDEX(ERP資料!$G:$G, (MATCH(270, 輔助計算!$G$2:$G$801, 0)+1))&lt;=1181,2,1)))), "")&amp;IF(AND(IF(INT(INDEX(輔助計算!$D:$D, (MATCH(270, 輔助計算!$G$2:$G$801, 0)+1))/IF(INDEX(ERP資料!$G:$G, (MATCH(270, 輔助計算!$G$2:$G$801, 0)+1))&lt;100, IF(INDEX(ERP資料!$G:$G, (MATCH(270, 輔助計算!$G$2:$G$801, 0)+1))&lt;=31,3,IF(INDEX(ERP資料!$G:$G, (MATCH(270, 輔助計算!$G$2:$G$801, 0)+1))&lt;=46.5,2,1)), IF(INDEX(ERP資料!$G:$G, (MATCH(270, 輔助計算!$G$2:$G$801, 0)+1))&lt;=790,3,IF(INDEX(ERP資料!$G:$G, (MATCH(270, 輔助計算!$G$2:$G$801, 0)+1))&lt;=1181,2,1))))&gt;0, IF(IF(INDEX(ERP資料!$G:$G, (MATCH(270, 輔助計算!$G$2:$G$801, 0)+1))&lt;100, IF(INDEX(ERP資料!$G:$G, (MATCH(270, 輔助計算!$G$2:$G$801, 0)+1))&lt;=31,3,IF(INDEX(ERP資料!$G:$G, (MATCH(270, 輔助計算!$G$2:$G$801, 0)+1))&lt;=46.5,2,1)), IF(INDEX(ERP資料!$G:$G, (MATCH(270, 輔助計算!$G$2:$G$801, 0)+1))&lt;=790,3,IF(INDEX(ERP資料!$G:$G, (MATCH(270, 輔助計算!$G$2:$G$801, 0)+1))&lt;=1181,2,1)))=1,TEXT(INDEX(ERP資料!$G:$G, (MATCH(270, 輔助計算!$G$2:$G$801, 0)+1)),"0.##"),IF(IF(INDEX(ERP資料!$G:$G, (MATCH(270, 輔助計算!$G$2:$G$801, 0)+1))&lt;100, IF(INDEX(ERP資料!$G:$G, (MATCH(270, 輔助計算!$G$2:$G$801, 0)+1))&lt;=31,3,IF(INDEX(ERP資料!$G:$G, (MATCH(270, 輔助計算!$G$2:$G$801, 0)+1))&lt;=46.5,2,1)), IF(INDEX(ERP資料!$G:$G, (MATCH(270, 輔助計算!$G$2:$G$801, 0)+1))&lt;=790,3,IF(INDEX(ERP資料!$G:$G, (MATCH(270, 輔助計算!$G$2:$G$801, 0)+1))&lt;=1181,2,1)))=2,TEXT(INDEX(ERP資料!$G:$G, (MATCH(270, 輔助計算!$G$2:$G$801, 0)+1)),"0.##")&amp;"+"&amp;TEXT(INDEX(ERP資料!$G:$G, (MATCH(270, 輔助計算!$G$2:$G$801, 0)+1)),"0.##"),TEXT(INDEX(ERP資料!$G:$G, (MATCH(270, 輔助計算!$G$2:$G$801, 0)+1)),"0.##")&amp;"+"&amp;TEXT(INDEX(ERP資料!$G:$G, (MATCH(270, 輔助計算!$G$2:$G$801, 0)+1)),"0.##")&amp;"+"&amp;TEXT(INDEX(ERP資料!$G:$G, (MATCH(270, 輔助計算!$G$2:$G$801, 0)+1)),"0.##")))&amp;"-"&amp;INT(INDEX(輔助計算!$D:$D, (MATCH(270, 輔助計算!$G$2:$G$801, 0)+1))/IF(INDEX(ERP資料!$G:$G, (MATCH(270, 輔助計算!$G$2:$G$801, 0)+1))&lt;100, IF(INDEX(ERP資料!$G:$G, (MATCH(270, 輔助計算!$G$2:$G$801, 0)+1))&lt;=31,3,IF(INDEX(ERP資料!$G:$G, (MATCH(270, 輔助計算!$G$2:$G$801, 0)+1))&lt;=46.5,2,1)), IF(INDEX(ERP資料!$G:$G, (MATCH(270, 輔助計算!$G$2:$G$801, 0)+1))&lt;=790,3,IF(INDEX(ERP資料!$G:$G, (MATCH(270, 輔助計算!$G$2:$G$801, 0)+1))&lt;=1181,2,1)))), "")&lt;&gt;"",IF(MOD(INDEX(輔助計算!$D:$D, (MATCH(270, 輔助計算!$G$2:$G$801, 0)+1)),IF(INDEX(ERP資料!$G:$G, (MATCH(270, 輔助計算!$G$2:$G$801, 0)+1))&lt;100, IF(INDEX(ERP資料!$G:$G, (MATCH(270, 輔助計算!$G$2:$G$801, 0)+1))&lt;=31,3,IF(INDEX(ERP資料!$G:$G, (MATCH(270, 輔助計算!$G$2:$G$801, 0)+1))&lt;=46.5,2,1)), IF(INDEX(ERP資料!$G:$G, (MATCH(270, 輔助計算!$G$2:$G$801, 0)+1))&lt;=790,3,IF(INDEX(ERP資料!$G:$G, (MATCH(270, 輔助計算!$G$2:$G$801, 0)+1))&lt;=1181,2,1))))=0,"",IF(MOD(INDEX(輔助計算!$D:$D, (MATCH(270, 輔助計算!$G$2:$G$801, 0)+1)),IF(INDEX(ERP資料!$G:$G, (MATCH(270, 輔助計算!$G$2:$G$801, 0)+1))&lt;100, IF(INDEX(ERP資料!$G:$G, (MATCH(270, 輔助計算!$G$2:$G$801, 0)+1))&lt;=31,3,IF(INDEX(ERP資料!$G:$G, (MATCH(270, 輔助計算!$G$2:$G$801, 0)+1))&lt;=46.5,2,1)), IF(INDEX(ERP資料!$G:$G, (MATCH(270, 輔助計算!$G$2:$G$801, 0)+1))&lt;=790,3,IF(INDEX(ERP資料!$G:$G, (MATCH(270, 輔助計算!$G$2:$G$801, 0)+1))&lt;=1181,2,1))))=0,"",IF(MOD(INDEX(輔助計算!$D:$D, (MATCH(270, 輔助計算!$G$2:$G$801, 0)+1)),IF(INDEX(ERP資料!$G:$G, (MATCH(270, 輔助計算!$G$2:$G$801, 0)+1))&lt;100, IF(INDEX(ERP資料!$G:$G, (MATCH(270, 輔助計算!$G$2:$G$801, 0)+1))&lt;=31,3,IF(INDEX(ERP資料!$G:$G, (MATCH(270, 輔助計算!$G$2:$G$801, 0)+1))&lt;=46.5,2,1)), IF(INDEX(ERP資料!$G:$G, (MATCH(270, 輔助計算!$G$2:$G$801, 0)+1))&lt;=790,3,IF(INDEX(ERP資料!$G:$G, (MATCH(270, 輔助計算!$G$2:$G$801, 0)+1))&lt;=1181,2,1))))=1,TEXT(INDEX(ERP資料!$G:$G, (MATCH(270, 輔助計算!$G$2:$G$801, 0)+1)),"0.##"),IF(MOD(INDEX(輔助計算!$D:$D, (MATCH(270, 輔助計算!$G$2:$G$801, 0)+1)),IF(INDEX(ERP資料!$G:$G, (MATCH(270, 輔助計算!$G$2:$G$801, 0)+1))&lt;100, IF(INDEX(ERP資料!$G:$G, (MATCH(270, 輔助計算!$G$2:$G$801, 0)+1))&lt;=31,3,IF(INDEX(ERP資料!$G:$G, (MATCH(270, 輔助計算!$G$2:$G$801, 0)+1))&lt;=46.5,2,1)), IF(INDEX(ERP資料!$G:$G, (MATCH(270, 輔助計算!$G$2:$G$801, 0)+1))&lt;=790,3,IF(INDEX(ERP資料!$G:$G, (MATCH(270, 輔助計算!$G$2:$G$801, 0)+1))&lt;=1181,2,1))))=2,TEXT(INDEX(ERP資料!$G:$G, (MATCH(270, 輔助計算!$G$2:$G$801, 0)+1)),"0.##")&amp;"+"&amp;TEXT(INDEX(ERP資料!$G:$G, (MATCH(270, 輔助計算!$G$2:$G$801, 0)+1)),"0.##"),TEXT(INDEX(ERP資料!$G:$G, (MATCH(270, 輔助計算!$G$2:$G$801, 0)+1)),"0.##")&amp;"+"&amp;TEXT(INDEX(ERP資料!$G:$G, (MATCH(270, 輔助計算!$G$2:$G$801, 0)+1)),"0.##")&amp;"+"&amp;TEXT(INDEX(ERP資料!$G:$G, (MATCH(270, 輔助計算!$G$2:$G$801, 0)+1)),"0.##"))))&amp;"-1")&lt;&gt;""),"  ","")&amp;IF(MOD(INDEX(輔助計算!$D:$D, (MATCH(270, 輔助計算!$G$2:$G$801, 0)+1)),IF(INDEX(ERP資料!$G:$G, (MATCH(270, 輔助計算!$G$2:$G$801, 0)+1))&lt;100, IF(INDEX(ERP資料!$G:$G, (MATCH(270, 輔助計算!$G$2:$G$801, 0)+1))&lt;=31,3,IF(INDEX(ERP資料!$G:$G, (MATCH(270, 輔助計算!$G$2:$G$801, 0)+1))&lt;=46.5,2,1)), IF(INDEX(ERP資料!$G:$G, (MATCH(270, 輔助計算!$G$2:$G$801, 0)+1))&lt;=790,3,IF(INDEX(ERP資料!$G:$G, (MATCH(270, 輔助計算!$G$2:$G$801, 0)+1))&lt;=1181,2,1))))=0,"",IF(MOD(INDEX(輔助計算!$D:$D, (MATCH(270, 輔助計算!$G$2:$G$801, 0)+1)),IF(INDEX(ERP資料!$G:$G, (MATCH(270, 輔助計算!$G$2:$G$801, 0)+1))&lt;100, IF(INDEX(ERP資料!$G:$G, (MATCH(270, 輔助計算!$G$2:$G$801, 0)+1))&lt;=31,3,IF(INDEX(ERP資料!$G:$G, (MATCH(270, 輔助計算!$G$2:$G$801, 0)+1))&lt;=46.5,2,1)), IF(INDEX(ERP資料!$G:$G, (MATCH(270, 輔助計算!$G$2:$G$801, 0)+1))&lt;=790,3,IF(INDEX(ERP資料!$G:$G, (MATCH(270, 輔助計算!$G$2:$G$801, 0)+1))&lt;=1181,2,1))))=0,"",IF(MOD(INDEX(輔助計算!$D:$D, (MATCH(270, 輔助計算!$G$2:$G$801, 0)+1)),IF(INDEX(ERP資料!$G:$G, (MATCH(270, 輔助計算!$G$2:$G$801, 0)+1))&lt;100, IF(INDEX(ERP資料!$G:$G, (MATCH(270, 輔助計算!$G$2:$G$801, 0)+1))&lt;=31,3,IF(INDEX(ERP資料!$G:$G, (MATCH(270, 輔助計算!$G$2:$G$801, 0)+1))&lt;=46.5,2,1)), IF(INDEX(ERP資料!$G:$G, (MATCH(270, 輔助計算!$G$2:$G$801, 0)+1))&lt;=790,3,IF(INDEX(ERP資料!$G:$G, (MATCH(270, 輔助計算!$G$2:$G$801, 0)+1))&lt;=1181,2,1))))=1,TEXT(INDEX(ERP資料!$G:$G, (MATCH(270, 輔助計算!$G$2:$G$801, 0)+1)),"0.##"),IF(MOD(INDEX(輔助計算!$D:$D, (MATCH(270, 輔助計算!$G$2:$G$801, 0)+1)),IF(INDEX(ERP資料!$G:$G, (MATCH(270, 輔助計算!$G$2:$G$801, 0)+1))&lt;100, IF(INDEX(ERP資料!$G:$G, (MATCH(270, 輔助計算!$G$2:$G$801, 0)+1))&lt;=31,3,IF(INDEX(ERP資料!$G:$G, (MATCH(270, 輔助計算!$G$2:$G$801, 0)+1))&lt;=46.5,2,1)), IF(INDEX(ERP資料!$G:$G, (MATCH(270, 輔助計算!$G$2:$G$801, 0)+1))&lt;=790,3,IF(INDEX(ERP資料!$G:$G, (MATCH(270, 輔助計算!$G$2:$G$801, 0)+1))&lt;=1181,2,1))))=2,TEXT(INDEX(ERP資料!$G:$G, (MATCH(270, 輔助計算!$G$2:$G$801, 0)+1)),"0.##")&amp;"+"&amp;TEXT(INDEX(ERP資料!$G:$G, (MATCH(270, 輔助計算!$G$2:$G$801, 0)+1)),"0.##"),TEXT(INDEX(ERP資料!$G:$G, (MATCH(270, 輔助計算!$G$2:$G$801, 0)+1)),"0.##")&amp;"+"&amp;TEXT(INDEX(ERP資料!$G:$G, (MATCH(270, 輔助計算!$G$2:$G$801, 0)+1)),"0.##")&amp;"+"&amp;TEXT(INDEX(ERP資料!$G:$G, (MATCH(270, 輔助計算!$G$2:$G$801, 0)+1)),"0.##"))))&amp;"-1")), ""), "")</f>
        <v/>
      </c>
      <c r="K271" s="16" t="n"/>
      <c r="L271" s="14">
        <f>IFERROR(IF(AND(IFERROR(INDEX(ERP資料!$A:$A, (MATCH(270, 輔助計算!$G$2:$G$801, 0)+1)), "")&lt;&gt;"", IFERROR(INDEX(ERP資料!$A:$A, (MATCH(270, 輔助計算!$G$2:$G$801, 0)+1)), "")&lt;&gt;IFERROR(INDEX(ERP資料!$A:$A, MATCH(269, 輔助計算!$G$2:$G$801, 0)+1), "")), INDEX(ERP資料!$B:$B, (MATCH(270, 輔助計算!$G$2:$G$801, 0)+1)), ""), "")</f>
        <v/>
      </c>
      <c r="M271" s="17" t="n"/>
    </row>
    <row r="272">
      <c r="A272" s="10">
        <f>IFERROR(IF(AND(IFERROR(INDEX(ERP資料!$A:$A, (MATCH(271, 輔助計算!$G$2:$G$801, 0)+1)), "")&lt;&gt;"", IFERROR(INDEX(ERP資料!$A:$A, (MATCH(271, 輔助計算!$G$2:$G$801, 0)+1)), "")&lt;&gt;IFERROR(INDEX(ERP資料!$A:$A, MATCH(270, 輔助計算!$G$2:$G$801, 0)+1), "")), IFERROR(INDEX(ERP資料!$A:$A, (MATCH(271, 輔助計算!$G$2:$G$801, 0)+1)), ""), ""), "")</f>
        <v/>
      </c>
      <c r="B272" s="10">
        <f>IFERROR(IF(AND(IFERROR(INDEX(ERP資料!$A:$A, (MATCH(271, 輔助計算!$G$2:$G$801, 0)+1)), "")&lt;&gt;"", IFERROR(INDEX(ERP資料!$A:$A, (MATCH(271, 輔助計算!$G$2:$G$801, 0)+1)), "")&lt;&gt;IFERROR(INDEX(ERP資料!$A:$A, MATCH(270, 輔助計算!$G$2:$G$801, 0)+1), "")), INDEX(ERP資料!$S:$S, (MATCH(271, 輔助計算!$G$2:$G$801, 0)+1)), ""), "")</f>
        <v/>
      </c>
      <c r="C272" s="19">
        <f>IFERROR(IF(AND(IFERROR(INDEX(ERP資料!$A:$A, (MATCH(271, 輔助計算!$G$2:$G$801, 0)+1)), "")&lt;&gt;"", IFERROR(INDEX(ERP資料!$A:$A, (MATCH(271, 輔助計算!$G$2:$G$801, 0)+1)), "")&lt;&gt;IFERROR(INDEX(ERP資料!$A:$A, MATCH(270, 輔助計算!$G$2:$G$801, 0)+1), "")), IFERROR(VLOOKUP(LEFT(INDEX(ERP資料!$S:$S, (MATCH(271, 輔助計算!$G$2:$G$801, 0)+1)), 4), 紙管對照表!$A:$C, 3, FALSE), ""), ""), "")</f>
        <v/>
      </c>
      <c r="D272" s="16" t="n"/>
      <c r="E272" s="10">
        <f>IFERROR(IF(INDEX(ERP資料!$H:$H, (MATCH(271, 輔助計算!$G$2:$G$801, 0)+1))="","",INDEX(ERP資料!$H:$H, (MATCH(271, 輔助計算!$G$2:$G$801, 0)+1))), "")</f>
        <v/>
      </c>
      <c r="F272" s="10">
        <f>IFERROR(IF(INDEX(ERP資料!$E:$E, (MATCH(271, 輔助計算!$G$2:$G$801, 0)+1))="","",TRIM(INDEX(ERP資料!$E:$E, (MATCH(271, 輔助計算!$G$2:$G$801, 0)+1)))), "")</f>
        <v/>
      </c>
      <c r="G272" s="10">
        <f>IFERROR(IF(INDEX(ERP資料!$F:$F, (MATCH(271, 輔助計算!$G$2:$G$801, 0)+1))="","",INDEX(ERP資料!$F:$F, (MATCH(271, 輔助計算!$G$2:$G$801, 0)+1))), "")</f>
        <v/>
      </c>
      <c r="H272" s="10">
        <f>IFERROR(IF(INDEX(ERP資料!$G:$G, (MATCH(271, 輔助計算!$G$2:$G$801, 0)+1))="","",INDEX(ERP資料!$G:$G, (MATCH(271, 輔助計算!$G$2:$G$801, 0)+1))), "")</f>
        <v/>
      </c>
      <c r="I272" s="15">
        <f>IFERROR(INDEX(輔助計算!$D:$D, (MATCH(271, 輔助計算!$G$2:$G$801, 0)+1)), "")</f>
        <v/>
      </c>
      <c r="J272" s="15">
        <f>IFERROR(IF(AND(INDEX(輔助計算!$D:$D, (MATCH(271, 輔助計算!$G$2:$G$801, 0)+1))&lt;&gt;"", INDEX(ERP資料!$G:$G, (MATCH(271, 輔助計算!$G$2:$G$801, 0)+1))&lt;&gt;""), TRIM(IF(INT(INDEX(輔助計算!$D:$D, (MATCH(271, 輔助計算!$G$2:$G$801, 0)+1))/IF(INDEX(ERP資料!$G:$G, (MATCH(271, 輔助計算!$G$2:$G$801, 0)+1))&lt;100, IF(INDEX(ERP資料!$G:$G, (MATCH(271, 輔助計算!$G$2:$G$801, 0)+1))&lt;=31,3,IF(INDEX(ERP資料!$G:$G, (MATCH(271, 輔助計算!$G$2:$G$801, 0)+1))&lt;=46.5,2,1)), IF(INDEX(ERP資料!$G:$G, (MATCH(271, 輔助計算!$G$2:$G$801, 0)+1))&lt;=790,3,IF(INDEX(ERP資料!$G:$G, (MATCH(271, 輔助計算!$G$2:$G$801, 0)+1))&lt;=1181,2,1))))&gt;0, IF(IF(INDEX(ERP資料!$G:$G, (MATCH(271, 輔助計算!$G$2:$G$801, 0)+1))&lt;100, IF(INDEX(ERP資料!$G:$G, (MATCH(271, 輔助計算!$G$2:$G$801, 0)+1))&lt;=31,3,IF(INDEX(ERP資料!$G:$G, (MATCH(271, 輔助計算!$G$2:$G$801, 0)+1))&lt;=46.5,2,1)), IF(INDEX(ERP資料!$G:$G, (MATCH(271, 輔助計算!$G$2:$G$801, 0)+1))&lt;=790,3,IF(INDEX(ERP資料!$G:$G, (MATCH(271, 輔助計算!$G$2:$G$801, 0)+1))&lt;=1181,2,1)))=1,TEXT(INDEX(ERP資料!$G:$G, (MATCH(271, 輔助計算!$G$2:$G$801, 0)+1)),"0.##"),IF(IF(INDEX(ERP資料!$G:$G, (MATCH(271, 輔助計算!$G$2:$G$801, 0)+1))&lt;100, IF(INDEX(ERP資料!$G:$G, (MATCH(271, 輔助計算!$G$2:$G$801, 0)+1))&lt;=31,3,IF(INDEX(ERP資料!$G:$G, (MATCH(271, 輔助計算!$G$2:$G$801, 0)+1))&lt;=46.5,2,1)), IF(INDEX(ERP資料!$G:$G, (MATCH(271, 輔助計算!$G$2:$G$801, 0)+1))&lt;=790,3,IF(INDEX(ERP資料!$G:$G, (MATCH(271, 輔助計算!$G$2:$G$801, 0)+1))&lt;=1181,2,1)))=2,TEXT(INDEX(ERP資料!$G:$G, (MATCH(271, 輔助計算!$G$2:$G$801, 0)+1)),"0.##")&amp;"+"&amp;TEXT(INDEX(ERP資料!$G:$G, (MATCH(271, 輔助計算!$G$2:$G$801, 0)+1)),"0.##"),TEXT(INDEX(ERP資料!$G:$G, (MATCH(271, 輔助計算!$G$2:$G$801, 0)+1)),"0.##")&amp;"+"&amp;TEXT(INDEX(ERP資料!$G:$G, (MATCH(271, 輔助計算!$G$2:$G$801, 0)+1)),"0.##")&amp;"+"&amp;TEXT(INDEX(ERP資料!$G:$G, (MATCH(271, 輔助計算!$G$2:$G$801, 0)+1)),"0.##")))&amp;"-"&amp;INT(INDEX(輔助計算!$D:$D, (MATCH(271, 輔助計算!$G$2:$G$801, 0)+1))/IF(INDEX(ERP資料!$G:$G, (MATCH(271, 輔助計算!$G$2:$G$801, 0)+1))&lt;100, IF(INDEX(ERP資料!$G:$G, (MATCH(271, 輔助計算!$G$2:$G$801, 0)+1))&lt;=31,3,IF(INDEX(ERP資料!$G:$G, (MATCH(271, 輔助計算!$G$2:$G$801, 0)+1))&lt;=46.5,2,1)), IF(INDEX(ERP資料!$G:$G, (MATCH(271, 輔助計算!$G$2:$G$801, 0)+1))&lt;=790,3,IF(INDEX(ERP資料!$G:$G, (MATCH(271, 輔助計算!$G$2:$G$801, 0)+1))&lt;=1181,2,1)))), "")&amp;IF(AND(IF(INT(INDEX(輔助計算!$D:$D, (MATCH(271, 輔助計算!$G$2:$G$801, 0)+1))/IF(INDEX(ERP資料!$G:$G, (MATCH(271, 輔助計算!$G$2:$G$801, 0)+1))&lt;100, IF(INDEX(ERP資料!$G:$G, (MATCH(271, 輔助計算!$G$2:$G$801, 0)+1))&lt;=31,3,IF(INDEX(ERP資料!$G:$G, (MATCH(271, 輔助計算!$G$2:$G$801, 0)+1))&lt;=46.5,2,1)), IF(INDEX(ERP資料!$G:$G, (MATCH(271, 輔助計算!$G$2:$G$801, 0)+1))&lt;=790,3,IF(INDEX(ERP資料!$G:$G, (MATCH(271, 輔助計算!$G$2:$G$801, 0)+1))&lt;=1181,2,1))))&gt;0, IF(IF(INDEX(ERP資料!$G:$G, (MATCH(271, 輔助計算!$G$2:$G$801, 0)+1))&lt;100, IF(INDEX(ERP資料!$G:$G, (MATCH(271, 輔助計算!$G$2:$G$801, 0)+1))&lt;=31,3,IF(INDEX(ERP資料!$G:$G, (MATCH(271, 輔助計算!$G$2:$G$801, 0)+1))&lt;=46.5,2,1)), IF(INDEX(ERP資料!$G:$G, (MATCH(271, 輔助計算!$G$2:$G$801, 0)+1))&lt;=790,3,IF(INDEX(ERP資料!$G:$G, (MATCH(271, 輔助計算!$G$2:$G$801, 0)+1))&lt;=1181,2,1)))=1,TEXT(INDEX(ERP資料!$G:$G, (MATCH(271, 輔助計算!$G$2:$G$801, 0)+1)),"0.##"),IF(IF(INDEX(ERP資料!$G:$G, (MATCH(271, 輔助計算!$G$2:$G$801, 0)+1))&lt;100, IF(INDEX(ERP資料!$G:$G, (MATCH(271, 輔助計算!$G$2:$G$801, 0)+1))&lt;=31,3,IF(INDEX(ERP資料!$G:$G, (MATCH(271, 輔助計算!$G$2:$G$801, 0)+1))&lt;=46.5,2,1)), IF(INDEX(ERP資料!$G:$G, (MATCH(271, 輔助計算!$G$2:$G$801, 0)+1))&lt;=790,3,IF(INDEX(ERP資料!$G:$G, (MATCH(271, 輔助計算!$G$2:$G$801, 0)+1))&lt;=1181,2,1)))=2,TEXT(INDEX(ERP資料!$G:$G, (MATCH(271, 輔助計算!$G$2:$G$801, 0)+1)),"0.##")&amp;"+"&amp;TEXT(INDEX(ERP資料!$G:$G, (MATCH(271, 輔助計算!$G$2:$G$801, 0)+1)),"0.##"),TEXT(INDEX(ERP資料!$G:$G, (MATCH(271, 輔助計算!$G$2:$G$801, 0)+1)),"0.##")&amp;"+"&amp;TEXT(INDEX(ERP資料!$G:$G, (MATCH(271, 輔助計算!$G$2:$G$801, 0)+1)),"0.##")&amp;"+"&amp;TEXT(INDEX(ERP資料!$G:$G, (MATCH(271, 輔助計算!$G$2:$G$801, 0)+1)),"0.##")))&amp;"-"&amp;INT(INDEX(輔助計算!$D:$D, (MATCH(271, 輔助計算!$G$2:$G$801, 0)+1))/IF(INDEX(ERP資料!$G:$G, (MATCH(271, 輔助計算!$G$2:$G$801, 0)+1))&lt;100, IF(INDEX(ERP資料!$G:$G, (MATCH(271, 輔助計算!$G$2:$G$801, 0)+1))&lt;=31,3,IF(INDEX(ERP資料!$G:$G, (MATCH(271, 輔助計算!$G$2:$G$801, 0)+1))&lt;=46.5,2,1)), IF(INDEX(ERP資料!$G:$G, (MATCH(271, 輔助計算!$G$2:$G$801, 0)+1))&lt;=790,3,IF(INDEX(ERP資料!$G:$G, (MATCH(271, 輔助計算!$G$2:$G$801, 0)+1))&lt;=1181,2,1)))), "")&lt;&gt;"",IF(MOD(INDEX(輔助計算!$D:$D, (MATCH(271, 輔助計算!$G$2:$G$801, 0)+1)),IF(INDEX(ERP資料!$G:$G, (MATCH(271, 輔助計算!$G$2:$G$801, 0)+1))&lt;100, IF(INDEX(ERP資料!$G:$G, (MATCH(271, 輔助計算!$G$2:$G$801, 0)+1))&lt;=31,3,IF(INDEX(ERP資料!$G:$G, (MATCH(271, 輔助計算!$G$2:$G$801, 0)+1))&lt;=46.5,2,1)), IF(INDEX(ERP資料!$G:$G, (MATCH(271, 輔助計算!$G$2:$G$801, 0)+1))&lt;=790,3,IF(INDEX(ERP資料!$G:$G, (MATCH(271, 輔助計算!$G$2:$G$801, 0)+1))&lt;=1181,2,1))))=0,"",IF(MOD(INDEX(輔助計算!$D:$D, (MATCH(271, 輔助計算!$G$2:$G$801, 0)+1)),IF(INDEX(ERP資料!$G:$G, (MATCH(271, 輔助計算!$G$2:$G$801, 0)+1))&lt;100, IF(INDEX(ERP資料!$G:$G, (MATCH(271, 輔助計算!$G$2:$G$801, 0)+1))&lt;=31,3,IF(INDEX(ERP資料!$G:$G, (MATCH(271, 輔助計算!$G$2:$G$801, 0)+1))&lt;=46.5,2,1)), IF(INDEX(ERP資料!$G:$G, (MATCH(271, 輔助計算!$G$2:$G$801, 0)+1))&lt;=790,3,IF(INDEX(ERP資料!$G:$G, (MATCH(271, 輔助計算!$G$2:$G$801, 0)+1))&lt;=1181,2,1))))=0,"",IF(MOD(INDEX(輔助計算!$D:$D, (MATCH(271, 輔助計算!$G$2:$G$801, 0)+1)),IF(INDEX(ERP資料!$G:$G, (MATCH(271, 輔助計算!$G$2:$G$801, 0)+1))&lt;100, IF(INDEX(ERP資料!$G:$G, (MATCH(271, 輔助計算!$G$2:$G$801, 0)+1))&lt;=31,3,IF(INDEX(ERP資料!$G:$G, (MATCH(271, 輔助計算!$G$2:$G$801, 0)+1))&lt;=46.5,2,1)), IF(INDEX(ERP資料!$G:$G, (MATCH(271, 輔助計算!$G$2:$G$801, 0)+1))&lt;=790,3,IF(INDEX(ERP資料!$G:$G, (MATCH(271, 輔助計算!$G$2:$G$801, 0)+1))&lt;=1181,2,1))))=1,TEXT(INDEX(ERP資料!$G:$G, (MATCH(271, 輔助計算!$G$2:$G$801, 0)+1)),"0.##"),IF(MOD(INDEX(輔助計算!$D:$D, (MATCH(271, 輔助計算!$G$2:$G$801, 0)+1)),IF(INDEX(ERP資料!$G:$G, (MATCH(271, 輔助計算!$G$2:$G$801, 0)+1))&lt;100, IF(INDEX(ERP資料!$G:$G, (MATCH(271, 輔助計算!$G$2:$G$801, 0)+1))&lt;=31,3,IF(INDEX(ERP資料!$G:$G, (MATCH(271, 輔助計算!$G$2:$G$801, 0)+1))&lt;=46.5,2,1)), IF(INDEX(ERP資料!$G:$G, (MATCH(271, 輔助計算!$G$2:$G$801, 0)+1))&lt;=790,3,IF(INDEX(ERP資料!$G:$G, (MATCH(271, 輔助計算!$G$2:$G$801, 0)+1))&lt;=1181,2,1))))=2,TEXT(INDEX(ERP資料!$G:$G, (MATCH(271, 輔助計算!$G$2:$G$801, 0)+1)),"0.##")&amp;"+"&amp;TEXT(INDEX(ERP資料!$G:$G, (MATCH(271, 輔助計算!$G$2:$G$801, 0)+1)),"0.##"),TEXT(INDEX(ERP資料!$G:$G, (MATCH(271, 輔助計算!$G$2:$G$801, 0)+1)),"0.##")&amp;"+"&amp;TEXT(INDEX(ERP資料!$G:$G, (MATCH(271, 輔助計算!$G$2:$G$801, 0)+1)),"0.##")&amp;"+"&amp;TEXT(INDEX(ERP資料!$G:$G, (MATCH(271, 輔助計算!$G$2:$G$801, 0)+1)),"0.##"))))&amp;"-1")&lt;&gt;""),"  ","")&amp;IF(MOD(INDEX(輔助計算!$D:$D, (MATCH(271, 輔助計算!$G$2:$G$801, 0)+1)),IF(INDEX(ERP資料!$G:$G, (MATCH(271, 輔助計算!$G$2:$G$801, 0)+1))&lt;100, IF(INDEX(ERP資料!$G:$G, (MATCH(271, 輔助計算!$G$2:$G$801, 0)+1))&lt;=31,3,IF(INDEX(ERP資料!$G:$G, (MATCH(271, 輔助計算!$G$2:$G$801, 0)+1))&lt;=46.5,2,1)), IF(INDEX(ERP資料!$G:$G, (MATCH(271, 輔助計算!$G$2:$G$801, 0)+1))&lt;=790,3,IF(INDEX(ERP資料!$G:$G, (MATCH(271, 輔助計算!$G$2:$G$801, 0)+1))&lt;=1181,2,1))))=0,"",IF(MOD(INDEX(輔助計算!$D:$D, (MATCH(271, 輔助計算!$G$2:$G$801, 0)+1)),IF(INDEX(ERP資料!$G:$G, (MATCH(271, 輔助計算!$G$2:$G$801, 0)+1))&lt;100, IF(INDEX(ERP資料!$G:$G, (MATCH(271, 輔助計算!$G$2:$G$801, 0)+1))&lt;=31,3,IF(INDEX(ERP資料!$G:$G, (MATCH(271, 輔助計算!$G$2:$G$801, 0)+1))&lt;=46.5,2,1)), IF(INDEX(ERP資料!$G:$G, (MATCH(271, 輔助計算!$G$2:$G$801, 0)+1))&lt;=790,3,IF(INDEX(ERP資料!$G:$G, (MATCH(271, 輔助計算!$G$2:$G$801, 0)+1))&lt;=1181,2,1))))=0,"",IF(MOD(INDEX(輔助計算!$D:$D, (MATCH(271, 輔助計算!$G$2:$G$801, 0)+1)),IF(INDEX(ERP資料!$G:$G, (MATCH(271, 輔助計算!$G$2:$G$801, 0)+1))&lt;100, IF(INDEX(ERP資料!$G:$G, (MATCH(271, 輔助計算!$G$2:$G$801, 0)+1))&lt;=31,3,IF(INDEX(ERP資料!$G:$G, (MATCH(271, 輔助計算!$G$2:$G$801, 0)+1))&lt;=46.5,2,1)), IF(INDEX(ERP資料!$G:$G, (MATCH(271, 輔助計算!$G$2:$G$801, 0)+1))&lt;=790,3,IF(INDEX(ERP資料!$G:$G, (MATCH(271, 輔助計算!$G$2:$G$801, 0)+1))&lt;=1181,2,1))))=1,TEXT(INDEX(ERP資料!$G:$G, (MATCH(271, 輔助計算!$G$2:$G$801, 0)+1)),"0.##"),IF(MOD(INDEX(輔助計算!$D:$D, (MATCH(271, 輔助計算!$G$2:$G$801, 0)+1)),IF(INDEX(ERP資料!$G:$G, (MATCH(271, 輔助計算!$G$2:$G$801, 0)+1))&lt;100, IF(INDEX(ERP資料!$G:$G, (MATCH(271, 輔助計算!$G$2:$G$801, 0)+1))&lt;=31,3,IF(INDEX(ERP資料!$G:$G, (MATCH(271, 輔助計算!$G$2:$G$801, 0)+1))&lt;=46.5,2,1)), IF(INDEX(ERP資料!$G:$G, (MATCH(271, 輔助計算!$G$2:$G$801, 0)+1))&lt;=790,3,IF(INDEX(ERP資料!$G:$G, (MATCH(271, 輔助計算!$G$2:$G$801, 0)+1))&lt;=1181,2,1))))=2,TEXT(INDEX(ERP資料!$G:$G, (MATCH(271, 輔助計算!$G$2:$G$801, 0)+1)),"0.##")&amp;"+"&amp;TEXT(INDEX(ERP資料!$G:$G, (MATCH(271, 輔助計算!$G$2:$G$801, 0)+1)),"0.##"),TEXT(INDEX(ERP資料!$G:$G, (MATCH(271, 輔助計算!$G$2:$G$801, 0)+1)),"0.##")&amp;"+"&amp;TEXT(INDEX(ERP資料!$G:$G, (MATCH(271, 輔助計算!$G$2:$G$801, 0)+1)),"0.##")&amp;"+"&amp;TEXT(INDEX(ERP資料!$G:$G, (MATCH(271, 輔助計算!$G$2:$G$801, 0)+1)),"0.##"))))&amp;"-1")), ""), "")</f>
        <v/>
      </c>
      <c r="K272" s="16" t="n"/>
      <c r="L272" s="14">
        <f>IFERROR(IF(AND(IFERROR(INDEX(ERP資料!$A:$A, (MATCH(271, 輔助計算!$G$2:$G$801, 0)+1)), "")&lt;&gt;"", IFERROR(INDEX(ERP資料!$A:$A, (MATCH(271, 輔助計算!$G$2:$G$801, 0)+1)), "")&lt;&gt;IFERROR(INDEX(ERP資料!$A:$A, MATCH(270, 輔助計算!$G$2:$G$801, 0)+1), "")), INDEX(ERP資料!$B:$B, (MATCH(271, 輔助計算!$G$2:$G$801, 0)+1)), ""), "")</f>
        <v/>
      </c>
      <c r="M272" s="17" t="n"/>
    </row>
    <row r="273">
      <c r="A273" s="10">
        <f>IFERROR(IF(AND(IFERROR(INDEX(ERP資料!$A:$A, (MATCH(272, 輔助計算!$G$2:$G$801, 0)+1)), "")&lt;&gt;"", IFERROR(INDEX(ERP資料!$A:$A, (MATCH(272, 輔助計算!$G$2:$G$801, 0)+1)), "")&lt;&gt;IFERROR(INDEX(ERP資料!$A:$A, MATCH(271, 輔助計算!$G$2:$G$801, 0)+1), "")), IFERROR(INDEX(ERP資料!$A:$A, (MATCH(272, 輔助計算!$G$2:$G$801, 0)+1)), ""), ""), "")</f>
        <v/>
      </c>
      <c r="B273" s="10">
        <f>IFERROR(IF(AND(IFERROR(INDEX(ERP資料!$A:$A, (MATCH(272, 輔助計算!$G$2:$G$801, 0)+1)), "")&lt;&gt;"", IFERROR(INDEX(ERP資料!$A:$A, (MATCH(272, 輔助計算!$G$2:$G$801, 0)+1)), "")&lt;&gt;IFERROR(INDEX(ERP資料!$A:$A, MATCH(271, 輔助計算!$G$2:$G$801, 0)+1), "")), INDEX(ERP資料!$S:$S, (MATCH(272, 輔助計算!$G$2:$G$801, 0)+1)), ""), "")</f>
        <v/>
      </c>
      <c r="C273" s="19">
        <f>IFERROR(IF(AND(IFERROR(INDEX(ERP資料!$A:$A, (MATCH(272, 輔助計算!$G$2:$G$801, 0)+1)), "")&lt;&gt;"", IFERROR(INDEX(ERP資料!$A:$A, (MATCH(272, 輔助計算!$G$2:$G$801, 0)+1)), "")&lt;&gt;IFERROR(INDEX(ERP資料!$A:$A, MATCH(271, 輔助計算!$G$2:$G$801, 0)+1), "")), IFERROR(VLOOKUP(LEFT(INDEX(ERP資料!$S:$S, (MATCH(272, 輔助計算!$G$2:$G$801, 0)+1)), 4), 紙管對照表!$A:$C, 3, FALSE), ""), ""), "")</f>
        <v/>
      </c>
      <c r="D273" s="16" t="n"/>
      <c r="E273" s="10">
        <f>IFERROR(IF(INDEX(ERP資料!$H:$H, (MATCH(272, 輔助計算!$G$2:$G$801, 0)+1))="","",INDEX(ERP資料!$H:$H, (MATCH(272, 輔助計算!$G$2:$G$801, 0)+1))), "")</f>
        <v/>
      </c>
      <c r="F273" s="10">
        <f>IFERROR(IF(INDEX(ERP資料!$E:$E, (MATCH(272, 輔助計算!$G$2:$G$801, 0)+1))="","",TRIM(INDEX(ERP資料!$E:$E, (MATCH(272, 輔助計算!$G$2:$G$801, 0)+1)))), "")</f>
        <v/>
      </c>
      <c r="G273" s="10">
        <f>IFERROR(IF(INDEX(ERP資料!$F:$F, (MATCH(272, 輔助計算!$G$2:$G$801, 0)+1))="","",INDEX(ERP資料!$F:$F, (MATCH(272, 輔助計算!$G$2:$G$801, 0)+1))), "")</f>
        <v/>
      </c>
      <c r="H273" s="10">
        <f>IFERROR(IF(INDEX(ERP資料!$G:$G, (MATCH(272, 輔助計算!$G$2:$G$801, 0)+1))="","",INDEX(ERP資料!$G:$G, (MATCH(272, 輔助計算!$G$2:$G$801, 0)+1))), "")</f>
        <v/>
      </c>
      <c r="I273" s="15">
        <f>IFERROR(INDEX(輔助計算!$D:$D, (MATCH(272, 輔助計算!$G$2:$G$801, 0)+1)), "")</f>
        <v/>
      </c>
      <c r="J273" s="15">
        <f>IFERROR(IF(AND(INDEX(輔助計算!$D:$D, (MATCH(272, 輔助計算!$G$2:$G$801, 0)+1))&lt;&gt;"", INDEX(ERP資料!$G:$G, (MATCH(272, 輔助計算!$G$2:$G$801, 0)+1))&lt;&gt;""), TRIM(IF(INT(INDEX(輔助計算!$D:$D, (MATCH(272, 輔助計算!$G$2:$G$801, 0)+1))/IF(INDEX(ERP資料!$G:$G, (MATCH(272, 輔助計算!$G$2:$G$801, 0)+1))&lt;100, IF(INDEX(ERP資料!$G:$G, (MATCH(272, 輔助計算!$G$2:$G$801, 0)+1))&lt;=31,3,IF(INDEX(ERP資料!$G:$G, (MATCH(272, 輔助計算!$G$2:$G$801, 0)+1))&lt;=46.5,2,1)), IF(INDEX(ERP資料!$G:$G, (MATCH(272, 輔助計算!$G$2:$G$801, 0)+1))&lt;=790,3,IF(INDEX(ERP資料!$G:$G, (MATCH(272, 輔助計算!$G$2:$G$801, 0)+1))&lt;=1181,2,1))))&gt;0, IF(IF(INDEX(ERP資料!$G:$G, (MATCH(272, 輔助計算!$G$2:$G$801, 0)+1))&lt;100, IF(INDEX(ERP資料!$G:$G, (MATCH(272, 輔助計算!$G$2:$G$801, 0)+1))&lt;=31,3,IF(INDEX(ERP資料!$G:$G, (MATCH(272, 輔助計算!$G$2:$G$801, 0)+1))&lt;=46.5,2,1)), IF(INDEX(ERP資料!$G:$G, (MATCH(272, 輔助計算!$G$2:$G$801, 0)+1))&lt;=790,3,IF(INDEX(ERP資料!$G:$G, (MATCH(272, 輔助計算!$G$2:$G$801, 0)+1))&lt;=1181,2,1)))=1,TEXT(INDEX(ERP資料!$G:$G, (MATCH(272, 輔助計算!$G$2:$G$801, 0)+1)),"0.##"),IF(IF(INDEX(ERP資料!$G:$G, (MATCH(272, 輔助計算!$G$2:$G$801, 0)+1))&lt;100, IF(INDEX(ERP資料!$G:$G, (MATCH(272, 輔助計算!$G$2:$G$801, 0)+1))&lt;=31,3,IF(INDEX(ERP資料!$G:$G, (MATCH(272, 輔助計算!$G$2:$G$801, 0)+1))&lt;=46.5,2,1)), IF(INDEX(ERP資料!$G:$G, (MATCH(272, 輔助計算!$G$2:$G$801, 0)+1))&lt;=790,3,IF(INDEX(ERP資料!$G:$G, (MATCH(272, 輔助計算!$G$2:$G$801, 0)+1))&lt;=1181,2,1)))=2,TEXT(INDEX(ERP資料!$G:$G, (MATCH(272, 輔助計算!$G$2:$G$801, 0)+1)),"0.##")&amp;"+"&amp;TEXT(INDEX(ERP資料!$G:$G, (MATCH(272, 輔助計算!$G$2:$G$801, 0)+1)),"0.##"),TEXT(INDEX(ERP資料!$G:$G, (MATCH(272, 輔助計算!$G$2:$G$801, 0)+1)),"0.##")&amp;"+"&amp;TEXT(INDEX(ERP資料!$G:$G, (MATCH(272, 輔助計算!$G$2:$G$801, 0)+1)),"0.##")&amp;"+"&amp;TEXT(INDEX(ERP資料!$G:$G, (MATCH(272, 輔助計算!$G$2:$G$801, 0)+1)),"0.##")))&amp;"-"&amp;INT(INDEX(輔助計算!$D:$D, (MATCH(272, 輔助計算!$G$2:$G$801, 0)+1))/IF(INDEX(ERP資料!$G:$G, (MATCH(272, 輔助計算!$G$2:$G$801, 0)+1))&lt;100, IF(INDEX(ERP資料!$G:$G, (MATCH(272, 輔助計算!$G$2:$G$801, 0)+1))&lt;=31,3,IF(INDEX(ERP資料!$G:$G, (MATCH(272, 輔助計算!$G$2:$G$801, 0)+1))&lt;=46.5,2,1)), IF(INDEX(ERP資料!$G:$G, (MATCH(272, 輔助計算!$G$2:$G$801, 0)+1))&lt;=790,3,IF(INDEX(ERP資料!$G:$G, (MATCH(272, 輔助計算!$G$2:$G$801, 0)+1))&lt;=1181,2,1)))), "")&amp;IF(AND(IF(INT(INDEX(輔助計算!$D:$D, (MATCH(272, 輔助計算!$G$2:$G$801, 0)+1))/IF(INDEX(ERP資料!$G:$G, (MATCH(272, 輔助計算!$G$2:$G$801, 0)+1))&lt;100, IF(INDEX(ERP資料!$G:$G, (MATCH(272, 輔助計算!$G$2:$G$801, 0)+1))&lt;=31,3,IF(INDEX(ERP資料!$G:$G, (MATCH(272, 輔助計算!$G$2:$G$801, 0)+1))&lt;=46.5,2,1)), IF(INDEX(ERP資料!$G:$G, (MATCH(272, 輔助計算!$G$2:$G$801, 0)+1))&lt;=790,3,IF(INDEX(ERP資料!$G:$G, (MATCH(272, 輔助計算!$G$2:$G$801, 0)+1))&lt;=1181,2,1))))&gt;0, IF(IF(INDEX(ERP資料!$G:$G, (MATCH(272, 輔助計算!$G$2:$G$801, 0)+1))&lt;100, IF(INDEX(ERP資料!$G:$G, (MATCH(272, 輔助計算!$G$2:$G$801, 0)+1))&lt;=31,3,IF(INDEX(ERP資料!$G:$G, (MATCH(272, 輔助計算!$G$2:$G$801, 0)+1))&lt;=46.5,2,1)), IF(INDEX(ERP資料!$G:$G, (MATCH(272, 輔助計算!$G$2:$G$801, 0)+1))&lt;=790,3,IF(INDEX(ERP資料!$G:$G, (MATCH(272, 輔助計算!$G$2:$G$801, 0)+1))&lt;=1181,2,1)))=1,TEXT(INDEX(ERP資料!$G:$G, (MATCH(272, 輔助計算!$G$2:$G$801, 0)+1)),"0.##"),IF(IF(INDEX(ERP資料!$G:$G, (MATCH(272, 輔助計算!$G$2:$G$801, 0)+1))&lt;100, IF(INDEX(ERP資料!$G:$G, (MATCH(272, 輔助計算!$G$2:$G$801, 0)+1))&lt;=31,3,IF(INDEX(ERP資料!$G:$G, (MATCH(272, 輔助計算!$G$2:$G$801, 0)+1))&lt;=46.5,2,1)), IF(INDEX(ERP資料!$G:$G, (MATCH(272, 輔助計算!$G$2:$G$801, 0)+1))&lt;=790,3,IF(INDEX(ERP資料!$G:$G, (MATCH(272, 輔助計算!$G$2:$G$801, 0)+1))&lt;=1181,2,1)))=2,TEXT(INDEX(ERP資料!$G:$G, (MATCH(272, 輔助計算!$G$2:$G$801, 0)+1)),"0.##")&amp;"+"&amp;TEXT(INDEX(ERP資料!$G:$G, (MATCH(272, 輔助計算!$G$2:$G$801, 0)+1)),"0.##"),TEXT(INDEX(ERP資料!$G:$G, (MATCH(272, 輔助計算!$G$2:$G$801, 0)+1)),"0.##")&amp;"+"&amp;TEXT(INDEX(ERP資料!$G:$G, (MATCH(272, 輔助計算!$G$2:$G$801, 0)+1)),"0.##")&amp;"+"&amp;TEXT(INDEX(ERP資料!$G:$G, (MATCH(272, 輔助計算!$G$2:$G$801, 0)+1)),"0.##")))&amp;"-"&amp;INT(INDEX(輔助計算!$D:$D, (MATCH(272, 輔助計算!$G$2:$G$801, 0)+1))/IF(INDEX(ERP資料!$G:$G, (MATCH(272, 輔助計算!$G$2:$G$801, 0)+1))&lt;100, IF(INDEX(ERP資料!$G:$G, (MATCH(272, 輔助計算!$G$2:$G$801, 0)+1))&lt;=31,3,IF(INDEX(ERP資料!$G:$G, (MATCH(272, 輔助計算!$G$2:$G$801, 0)+1))&lt;=46.5,2,1)), IF(INDEX(ERP資料!$G:$G, (MATCH(272, 輔助計算!$G$2:$G$801, 0)+1))&lt;=790,3,IF(INDEX(ERP資料!$G:$G, (MATCH(272, 輔助計算!$G$2:$G$801, 0)+1))&lt;=1181,2,1)))), "")&lt;&gt;"",IF(MOD(INDEX(輔助計算!$D:$D, (MATCH(272, 輔助計算!$G$2:$G$801, 0)+1)),IF(INDEX(ERP資料!$G:$G, (MATCH(272, 輔助計算!$G$2:$G$801, 0)+1))&lt;100, IF(INDEX(ERP資料!$G:$G, (MATCH(272, 輔助計算!$G$2:$G$801, 0)+1))&lt;=31,3,IF(INDEX(ERP資料!$G:$G, (MATCH(272, 輔助計算!$G$2:$G$801, 0)+1))&lt;=46.5,2,1)), IF(INDEX(ERP資料!$G:$G, (MATCH(272, 輔助計算!$G$2:$G$801, 0)+1))&lt;=790,3,IF(INDEX(ERP資料!$G:$G, (MATCH(272, 輔助計算!$G$2:$G$801, 0)+1))&lt;=1181,2,1))))=0,"",IF(MOD(INDEX(輔助計算!$D:$D, (MATCH(272, 輔助計算!$G$2:$G$801, 0)+1)),IF(INDEX(ERP資料!$G:$G, (MATCH(272, 輔助計算!$G$2:$G$801, 0)+1))&lt;100, IF(INDEX(ERP資料!$G:$G, (MATCH(272, 輔助計算!$G$2:$G$801, 0)+1))&lt;=31,3,IF(INDEX(ERP資料!$G:$G, (MATCH(272, 輔助計算!$G$2:$G$801, 0)+1))&lt;=46.5,2,1)), IF(INDEX(ERP資料!$G:$G, (MATCH(272, 輔助計算!$G$2:$G$801, 0)+1))&lt;=790,3,IF(INDEX(ERP資料!$G:$G, (MATCH(272, 輔助計算!$G$2:$G$801, 0)+1))&lt;=1181,2,1))))=0,"",IF(MOD(INDEX(輔助計算!$D:$D, (MATCH(272, 輔助計算!$G$2:$G$801, 0)+1)),IF(INDEX(ERP資料!$G:$G, (MATCH(272, 輔助計算!$G$2:$G$801, 0)+1))&lt;100, IF(INDEX(ERP資料!$G:$G, (MATCH(272, 輔助計算!$G$2:$G$801, 0)+1))&lt;=31,3,IF(INDEX(ERP資料!$G:$G, (MATCH(272, 輔助計算!$G$2:$G$801, 0)+1))&lt;=46.5,2,1)), IF(INDEX(ERP資料!$G:$G, (MATCH(272, 輔助計算!$G$2:$G$801, 0)+1))&lt;=790,3,IF(INDEX(ERP資料!$G:$G, (MATCH(272, 輔助計算!$G$2:$G$801, 0)+1))&lt;=1181,2,1))))=1,TEXT(INDEX(ERP資料!$G:$G, (MATCH(272, 輔助計算!$G$2:$G$801, 0)+1)),"0.##"),IF(MOD(INDEX(輔助計算!$D:$D, (MATCH(272, 輔助計算!$G$2:$G$801, 0)+1)),IF(INDEX(ERP資料!$G:$G, (MATCH(272, 輔助計算!$G$2:$G$801, 0)+1))&lt;100, IF(INDEX(ERP資料!$G:$G, (MATCH(272, 輔助計算!$G$2:$G$801, 0)+1))&lt;=31,3,IF(INDEX(ERP資料!$G:$G, (MATCH(272, 輔助計算!$G$2:$G$801, 0)+1))&lt;=46.5,2,1)), IF(INDEX(ERP資料!$G:$G, (MATCH(272, 輔助計算!$G$2:$G$801, 0)+1))&lt;=790,3,IF(INDEX(ERP資料!$G:$G, (MATCH(272, 輔助計算!$G$2:$G$801, 0)+1))&lt;=1181,2,1))))=2,TEXT(INDEX(ERP資料!$G:$G, (MATCH(272, 輔助計算!$G$2:$G$801, 0)+1)),"0.##")&amp;"+"&amp;TEXT(INDEX(ERP資料!$G:$G, (MATCH(272, 輔助計算!$G$2:$G$801, 0)+1)),"0.##"),TEXT(INDEX(ERP資料!$G:$G, (MATCH(272, 輔助計算!$G$2:$G$801, 0)+1)),"0.##")&amp;"+"&amp;TEXT(INDEX(ERP資料!$G:$G, (MATCH(272, 輔助計算!$G$2:$G$801, 0)+1)),"0.##")&amp;"+"&amp;TEXT(INDEX(ERP資料!$G:$G, (MATCH(272, 輔助計算!$G$2:$G$801, 0)+1)),"0.##"))))&amp;"-1")&lt;&gt;""),"  ","")&amp;IF(MOD(INDEX(輔助計算!$D:$D, (MATCH(272, 輔助計算!$G$2:$G$801, 0)+1)),IF(INDEX(ERP資料!$G:$G, (MATCH(272, 輔助計算!$G$2:$G$801, 0)+1))&lt;100, IF(INDEX(ERP資料!$G:$G, (MATCH(272, 輔助計算!$G$2:$G$801, 0)+1))&lt;=31,3,IF(INDEX(ERP資料!$G:$G, (MATCH(272, 輔助計算!$G$2:$G$801, 0)+1))&lt;=46.5,2,1)), IF(INDEX(ERP資料!$G:$G, (MATCH(272, 輔助計算!$G$2:$G$801, 0)+1))&lt;=790,3,IF(INDEX(ERP資料!$G:$G, (MATCH(272, 輔助計算!$G$2:$G$801, 0)+1))&lt;=1181,2,1))))=0,"",IF(MOD(INDEX(輔助計算!$D:$D, (MATCH(272, 輔助計算!$G$2:$G$801, 0)+1)),IF(INDEX(ERP資料!$G:$G, (MATCH(272, 輔助計算!$G$2:$G$801, 0)+1))&lt;100, IF(INDEX(ERP資料!$G:$G, (MATCH(272, 輔助計算!$G$2:$G$801, 0)+1))&lt;=31,3,IF(INDEX(ERP資料!$G:$G, (MATCH(272, 輔助計算!$G$2:$G$801, 0)+1))&lt;=46.5,2,1)), IF(INDEX(ERP資料!$G:$G, (MATCH(272, 輔助計算!$G$2:$G$801, 0)+1))&lt;=790,3,IF(INDEX(ERP資料!$G:$G, (MATCH(272, 輔助計算!$G$2:$G$801, 0)+1))&lt;=1181,2,1))))=0,"",IF(MOD(INDEX(輔助計算!$D:$D, (MATCH(272, 輔助計算!$G$2:$G$801, 0)+1)),IF(INDEX(ERP資料!$G:$G, (MATCH(272, 輔助計算!$G$2:$G$801, 0)+1))&lt;100, IF(INDEX(ERP資料!$G:$G, (MATCH(272, 輔助計算!$G$2:$G$801, 0)+1))&lt;=31,3,IF(INDEX(ERP資料!$G:$G, (MATCH(272, 輔助計算!$G$2:$G$801, 0)+1))&lt;=46.5,2,1)), IF(INDEX(ERP資料!$G:$G, (MATCH(272, 輔助計算!$G$2:$G$801, 0)+1))&lt;=790,3,IF(INDEX(ERP資料!$G:$G, (MATCH(272, 輔助計算!$G$2:$G$801, 0)+1))&lt;=1181,2,1))))=1,TEXT(INDEX(ERP資料!$G:$G, (MATCH(272, 輔助計算!$G$2:$G$801, 0)+1)),"0.##"),IF(MOD(INDEX(輔助計算!$D:$D, (MATCH(272, 輔助計算!$G$2:$G$801, 0)+1)),IF(INDEX(ERP資料!$G:$G, (MATCH(272, 輔助計算!$G$2:$G$801, 0)+1))&lt;100, IF(INDEX(ERP資料!$G:$G, (MATCH(272, 輔助計算!$G$2:$G$801, 0)+1))&lt;=31,3,IF(INDEX(ERP資料!$G:$G, (MATCH(272, 輔助計算!$G$2:$G$801, 0)+1))&lt;=46.5,2,1)), IF(INDEX(ERP資料!$G:$G, (MATCH(272, 輔助計算!$G$2:$G$801, 0)+1))&lt;=790,3,IF(INDEX(ERP資料!$G:$G, (MATCH(272, 輔助計算!$G$2:$G$801, 0)+1))&lt;=1181,2,1))))=2,TEXT(INDEX(ERP資料!$G:$G, (MATCH(272, 輔助計算!$G$2:$G$801, 0)+1)),"0.##")&amp;"+"&amp;TEXT(INDEX(ERP資料!$G:$G, (MATCH(272, 輔助計算!$G$2:$G$801, 0)+1)),"0.##"),TEXT(INDEX(ERP資料!$G:$G, (MATCH(272, 輔助計算!$G$2:$G$801, 0)+1)),"0.##")&amp;"+"&amp;TEXT(INDEX(ERP資料!$G:$G, (MATCH(272, 輔助計算!$G$2:$G$801, 0)+1)),"0.##")&amp;"+"&amp;TEXT(INDEX(ERP資料!$G:$G, (MATCH(272, 輔助計算!$G$2:$G$801, 0)+1)),"0.##"))))&amp;"-1")), ""), "")</f>
        <v/>
      </c>
      <c r="K273" s="16" t="n"/>
      <c r="L273" s="14">
        <f>IFERROR(IF(AND(IFERROR(INDEX(ERP資料!$A:$A, (MATCH(272, 輔助計算!$G$2:$G$801, 0)+1)), "")&lt;&gt;"", IFERROR(INDEX(ERP資料!$A:$A, (MATCH(272, 輔助計算!$G$2:$G$801, 0)+1)), "")&lt;&gt;IFERROR(INDEX(ERP資料!$A:$A, MATCH(271, 輔助計算!$G$2:$G$801, 0)+1), "")), INDEX(ERP資料!$B:$B, (MATCH(272, 輔助計算!$G$2:$G$801, 0)+1)), ""), "")</f>
        <v/>
      </c>
      <c r="M273" s="17" t="n"/>
    </row>
    <row r="274">
      <c r="A274" s="10">
        <f>IFERROR(IF(AND(IFERROR(INDEX(ERP資料!$A:$A, (MATCH(273, 輔助計算!$G$2:$G$801, 0)+1)), "")&lt;&gt;"", IFERROR(INDEX(ERP資料!$A:$A, (MATCH(273, 輔助計算!$G$2:$G$801, 0)+1)), "")&lt;&gt;IFERROR(INDEX(ERP資料!$A:$A, MATCH(272, 輔助計算!$G$2:$G$801, 0)+1), "")), IFERROR(INDEX(ERP資料!$A:$A, (MATCH(273, 輔助計算!$G$2:$G$801, 0)+1)), ""), ""), "")</f>
        <v/>
      </c>
      <c r="B274" s="10">
        <f>IFERROR(IF(AND(IFERROR(INDEX(ERP資料!$A:$A, (MATCH(273, 輔助計算!$G$2:$G$801, 0)+1)), "")&lt;&gt;"", IFERROR(INDEX(ERP資料!$A:$A, (MATCH(273, 輔助計算!$G$2:$G$801, 0)+1)), "")&lt;&gt;IFERROR(INDEX(ERP資料!$A:$A, MATCH(272, 輔助計算!$G$2:$G$801, 0)+1), "")), INDEX(ERP資料!$S:$S, (MATCH(273, 輔助計算!$G$2:$G$801, 0)+1)), ""), "")</f>
        <v/>
      </c>
      <c r="C274" s="19">
        <f>IFERROR(IF(AND(IFERROR(INDEX(ERP資料!$A:$A, (MATCH(273, 輔助計算!$G$2:$G$801, 0)+1)), "")&lt;&gt;"", IFERROR(INDEX(ERP資料!$A:$A, (MATCH(273, 輔助計算!$G$2:$G$801, 0)+1)), "")&lt;&gt;IFERROR(INDEX(ERP資料!$A:$A, MATCH(272, 輔助計算!$G$2:$G$801, 0)+1), "")), IFERROR(VLOOKUP(LEFT(INDEX(ERP資料!$S:$S, (MATCH(273, 輔助計算!$G$2:$G$801, 0)+1)), 4), 紙管對照表!$A:$C, 3, FALSE), ""), ""), "")</f>
        <v/>
      </c>
      <c r="D274" s="16" t="n"/>
      <c r="E274" s="10">
        <f>IFERROR(IF(INDEX(ERP資料!$H:$H, (MATCH(273, 輔助計算!$G$2:$G$801, 0)+1))="","",INDEX(ERP資料!$H:$H, (MATCH(273, 輔助計算!$G$2:$G$801, 0)+1))), "")</f>
        <v/>
      </c>
      <c r="F274" s="10">
        <f>IFERROR(IF(INDEX(ERP資料!$E:$E, (MATCH(273, 輔助計算!$G$2:$G$801, 0)+1))="","",TRIM(INDEX(ERP資料!$E:$E, (MATCH(273, 輔助計算!$G$2:$G$801, 0)+1)))), "")</f>
        <v/>
      </c>
      <c r="G274" s="10">
        <f>IFERROR(IF(INDEX(ERP資料!$F:$F, (MATCH(273, 輔助計算!$G$2:$G$801, 0)+1))="","",INDEX(ERP資料!$F:$F, (MATCH(273, 輔助計算!$G$2:$G$801, 0)+1))), "")</f>
        <v/>
      </c>
      <c r="H274" s="10">
        <f>IFERROR(IF(INDEX(ERP資料!$G:$G, (MATCH(273, 輔助計算!$G$2:$G$801, 0)+1))="","",INDEX(ERP資料!$G:$G, (MATCH(273, 輔助計算!$G$2:$G$801, 0)+1))), "")</f>
        <v/>
      </c>
      <c r="I274" s="15">
        <f>IFERROR(INDEX(輔助計算!$D:$D, (MATCH(273, 輔助計算!$G$2:$G$801, 0)+1)), "")</f>
        <v/>
      </c>
      <c r="J274" s="15">
        <f>IFERROR(IF(AND(INDEX(輔助計算!$D:$D, (MATCH(273, 輔助計算!$G$2:$G$801, 0)+1))&lt;&gt;"", INDEX(ERP資料!$G:$G, (MATCH(273, 輔助計算!$G$2:$G$801, 0)+1))&lt;&gt;""), TRIM(IF(INT(INDEX(輔助計算!$D:$D, (MATCH(273, 輔助計算!$G$2:$G$801, 0)+1))/IF(INDEX(ERP資料!$G:$G, (MATCH(273, 輔助計算!$G$2:$G$801, 0)+1))&lt;100, IF(INDEX(ERP資料!$G:$G, (MATCH(273, 輔助計算!$G$2:$G$801, 0)+1))&lt;=31,3,IF(INDEX(ERP資料!$G:$G, (MATCH(273, 輔助計算!$G$2:$G$801, 0)+1))&lt;=46.5,2,1)), IF(INDEX(ERP資料!$G:$G, (MATCH(273, 輔助計算!$G$2:$G$801, 0)+1))&lt;=790,3,IF(INDEX(ERP資料!$G:$G, (MATCH(273, 輔助計算!$G$2:$G$801, 0)+1))&lt;=1181,2,1))))&gt;0, IF(IF(INDEX(ERP資料!$G:$G, (MATCH(273, 輔助計算!$G$2:$G$801, 0)+1))&lt;100, IF(INDEX(ERP資料!$G:$G, (MATCH(273, 輔助計算!$G$2:$G$801, 0)+1))&lt;=31,3,IF(INDEX(ERP資料!$G:$G, (MATCH(273, 輔助計算!$G$2:$G$801, 0)+1))&lt;=46.5,2,1)), IF(INDEX(ERP資料!$G:$G, (MATCH(273, 輔助計算!$G$2:$G$801, 0)+1))&lt;=790,3,IF(INDEX(ERP資料!$G:$G, (MATCH(273, 輔助計算!$G$2:$G$801, 0)+1))&lt;=1181,2,1)))=1,TEXT(INDEX(ERP資料!$G:$G, (MATCH(273, 輔助計算!$G$2:$G$801, 0)+1)),"0.##"),IF(IF(INDEX(ERP資料!$G:$G, (MATCH(273, 輔助計算!$G$2:$G$801, 0)+1))&lt;100, IF(INDEX(ERP資料!$G:$G, (MATCH(273, 輔助計算!$G$2:$G$801, 0)+1))&lt;=31,3,IF(INDEX(ERP資料!$G:$G, (MATCH(273, 輔助計算!$G$2:$G$801, 0)+1))&lt;=46.5,2,1)), IF(INDEX(ERP資料!$G:$G, (MATCH(273, 輔助計算!$G$2:$G$801, 0)+1))&lt;=790,3,IF(INDEX(ERP資料!$G:$G, (MATCH(273, 輔助計算!$G$2:$G$801, 0)+1))&lt;=1181,2,1)))=2,TEXT(INDEX(ERP資料!$G:$G, (MATCH(273, 輔助計算!$G$2:$G$801, 0)+1)),"0.##")&amp;"+"&amp;TEXT(INDEX(ERP資料!$G:$G, (MATCH(273, 輔助計算!$G$2:$G$801, 0)+1)),"0.##"),TEXT(INDEX(ERP資料!$G:$G, (MATCH(273, 輔助計算!$G$2:$G$801, 0)+1)),"0.##")&amp;"+"&amp;TEXT(INDEX(ERP資料!$G:$G, (MATCH(273, 輔助計算!$G$2:$G$801, 0)+1)),"0.##")&amp;"+"&amp;TEXT(INDEX(ERP資料!$G:$G, (MATCH(273, 輔助計算!$G$2:$G$801, 0)+1)),"0.##")))&amp;"-"&amp;INT(INDEX(輔助計算!$D:$D, (MATCH(273, 輔助計算!$G$2:$G$801, 0)+1))/IF(INDEX(ERP資料!$G:$G, (MATCH(273, 輔助計算!$G$2:$G$801, 0)+1))&lt;100, IF(INDEX(ERP資料!$G:$G, (MATCH(273, 輔助計算!$G$2:$G$801, 0)+1))&lt;=31,3,IF(INDEX(ERP資料!$G:$G, (MATCH(273, 輔助計算!$G$2:$G$801, 0)+1))&lt;=46.5,2,1)), IF(INDEX(ERP資料!$G:$G, (MATCH(273, 輔助計算!$G$2:$G$801, 0)+1))&lt;=790,3,IF(INDEX(ERP資料!$G:$G, (MATCH(273, 輔助計算!$G$2:$G$801, 0)+1))&lt;=1181,2,1)))), "")&amp;IF(AND(IF(INT(INDEX(輔助計算!$D:$D, (MATCH(273, 輔助計算!$G$2:$G$801, 0)+1))/IF(INDEX(ERP資料!$G:$G, (MATCH(273, 輔助計算!$G$2:$G$801, 0)+1))&lt;100, IF(INDEX(ERP資料!$G:$G, (MATCH(273, 輔助計算!$G$2:$G$801, 0)+1))&lt;=31,3,IF(INDEX(ERP資料!$G:$G, (MATCH(273, 輔助計算!$G$2:$G$801, 0)+1))&lt;=46.5,2,1)), IF(INDEX(ERP資料!$G:$G, (MATCH(273, 輔助計算!$G$2:$G$801, 0)+1))&lt;=790,3,IF(INDEX(ERP資料!$G:$G, (MATCH(273, 輔助計算!$G$2:$G$801, 0)+1))&lt;=1181,2,1))))&gt;0, IF(IF(INDEX(ERP資料!$G:$G, (MATCH(273, 輔助計算!$G$2:$G$801, 0)+1))&lt;100, IF(INDEX(ERP資料!$G:$G, (MATCH(273, 輔助計算!$G$2:$G$801, 0)+1))&lt;=31,3,IF(INDEX(ERP資料!$G:$G, (MATCH(273, 輔助計算!$G$2:$G$801, 0)+1))&lt;=46.5,2,1)), IF(INDEX(ERP資料!$G:$G, (MATCH(273, 輔助計算!$G$2:$G$801, 0)+1))&lt;=790,3,IF(INDEX(ERP資料!$G:$G, (MATCH(273, 輔助計算!$G$2:$G$801, 0)+1))&lt;=1181,2,1)))=1,TEXT(INDEX(ERP資料!$G:$G, (MATCH(273, 輔助計算!$G$2:$G$801, 0)+1)),"0.##"),IF(IF(INDEX(ERP資料!$G:$G, (MATCH(273, 輔助計算!$G$2:$G$801, 0)+1))&lt;100, IF(INDEX(ERP資料!$G:$G, (MATCH(273, 輔助計算!$G$2:$G$801, 0)+1))&lt;=31,3,IF(INDEX(ERP資料!$G:$G, (MATCH(273, 輔助計算!$G$2:$G$801, 0)+1))&lt;=46.5,2,1)), IF(INDEX(ERP資料!$G:$G, (MATCH(273, 輔助計算!$G$2:$G$801, 0)+1))&lt;=790,3,IF(INDEX(ERP資料!$G:$G, (MATCH(273, 輔助計算!$G$2:$G$801, 0)+1))&lt;=1181,2,1)))=2,TEXT(INDEX(ERP資料!$G:$G, (MATCH(273, 輔助計算!$G$2:$G$801, 0)+1)),"0.##")&amp;"+"&amp;TEXT(INDEX(ERP資料!$G:$G, (MATCH(273, 輔助計算!$G$2:$G$801, 0)+1)),"0.##"),TEXT(INDEX(ERP資料!$G:$G, (MATCH(273, 輔助計算!$G$2:$G$801, 0)+1)),"0.##")&amp;"+"&amp;TEXT(INDEX(ERP資料!$G:$G, (MATCH(273, 輔助計算!$G$2:$G$801, 0)+1)),"0.##")&amp;"+"&amp;TEXT(INDEX(ERP資料!$G:$G, (MATCH(273, 輔助計算!$G$2:$G$801, 0)+1)),"0.##")))&amp;"-"&amp;INT(INDEX(輔助計算!$D:$D, (MATCH(273, 輔助計算!$G$2:$G$801, 0)+1))/IF(INDEX(ERP資料!$G:$G, (MATCH(273, 輔助計算!$G$2:$G$801, 0)+1))&lt;100, IF(INDEX(ERP資料!$G:$G, (MATCH(273, 輔助計算!$G$2:$G$801, 0)+1))&lt;=31,3,IF(INDEX(ERP資料!$G:$G, (MATCH(273, 輔助計算!$G$2:$G$801, 0)+1))&lt;=46.5,2,1)), IF(INDEX(ERP資料!$G:$G, (MATCH(273, 輔助計算!$G$2:$G$801, 0)+1))&lt;=790,3,IF(INDEX(ERP資料!$G:$G, (MATCH(273, 輔助計算!$G$2:$G$801, 0)+1))&lt;=1181,2,1)))), "")&lt;&gt;"",IF(MOD(INDEX(輔助計算!$D:$D, (MATCH(273, 輔助計算!$G$2:$G$801, 0)+1)),IF(INDEX(ERP資料!$G:$G, (MATCH(273, 輔助計算!$G$2:$G$801, 0)+1))&lt;100, IF(INDEX(ERP資料!$G:$G, (MATCH(273, 輔助計算!$G$2:$G$801, 0)+1))&lt;=31,3,IF(INDEX(ERP資料!$G:$G, (MATCH(273, 輔助計算!$G$2:$G$801, 0)+1))&lt;=46.5,2,1)), IF(INDEX(ERP資料!$G:$G, (MATCH(273, 輔助計算!$G$2:$G$801, 0)+1))&lt;=790,3,IF(INDEX(ERP資料!$G:$G, (MATCH(273, 輔助計算!$G$2:$G$801, 0)+1))&lt;=1181,2,1))))=0,"",IF(MOD(INDEX(輔助計算!$D:$D, (MATCH(273, 輔助計算!$G$2:$G$801, 0)+1)),IF(INDEX(ERP資料!$G:$G, (MATCH(273, 輔助計算!$G$2:$G$801, 0)+1))&lt;100, IF(INDEX(ERP資料!$G:$G, (MATCH(273, 輔助計算!$G$2:$G$801, 0)+1))&lt;=31,3,IF(INDEX(ERP資料!$G:$G, (MATCH(273, 輔助計算!$G$2:$G$801, 0)+1))&lt;=46.5,2,1)), IF(INDEX(ERP資料!$G:$G, (MATCH(273, 輔助計算!$G$2:$G$801, 0)+1))&lt;=790,3,IF(INDEX(ERP資料!$G:$G, (MATCH(273, 輔助計算!$G$2:$G$801, 0)+1))&lt;=1181,2,1))))=0,"",IF(MOD(INDEX(輔助計算!$D:$D, (MATCH(273, 輔助計算!$G$2:$G$801, 0)+1)),IF(INDEX(ERP資料!$G:$G, (MATCH(273, 輔助計算!$G$2:$G$801, 0)+1))&lt;100, IF(INDEX(ERP資料!$G:$G, (MATCH(273, 輔助計算!$G$2:$G$801, 0)+1))&lt;=31,3,IF(INDEX(ERP資料!$G:$G, (MATCH(273, 輔助計算!$G$2:$G$801, 0)+1))&lt;=46.5,2,1)), IF(INDEX(ERP資料!$G:$G, (MATCH(273, 輔助計算!$G$2:$G$801, 0)+1))&lt;=790,3,IF(INDEX(ERP資料!$G:$G, (MATCH(273, 輔助計算!$G$2:$G$801, 0)+1))&lt;=1181,2,1))))=1,TEXT(INDEX(ERP資料!$G:$G, (MATCH(273, 輔助計算!$G$2:$G$801, 0)+1)),"0.##"),IF(MOD(INDEX(輔助計算!$D:$D, (MATCH(273, 輔助計算!$G$2:$G$801, 0)+1)),IF(INDEX(ERP資料!$G:$G, (MATCH(273, 輔助計算!$G$2:$G$801, 0)+1))&lt;100, IF(INDEX(ERP資料!$G:$G, (MATCH(273, 輔助計算!$G$2:$G$801, 0)+1))&lt;=31,3,IF(INDEX(ERP資料!$G:$G, (MATCH(273, 輔助計算!$G$2:$G$801, 0)+1))&lt;=46.5,2,1)), IF(INDEX(ERP資料!$G:$G, (MATCH(273, 輔助計算!$G$2:$G$801, 0)+1))&lt;=790,3,IF(INDEX(ERP資料!$G:$G, (MATCH(273, 輔助計算!$G$2:$G$801, 0)+1))&lt;=1181,2,1))))=2,TEXT(INDEX(ERP資料!$G:$G, (MATCH(273, 輔助計算!$G$2:$G$801, 0)+1)),"0.##")&amp;"+"&amp;TEXT(INDEX(ERP資料!$G:$G, (MATCH(273, 輔助計算!$G$2:$G$801, 0)+1)),"0.##"),TEXT(INDEX(ERP資料!$G:$G, (MATCH(273, 輔助計算!$G$2:$G$801, 0)+1)),"0.##")&amp;"+"&amp;TEXT(INDEX(ERP資料!$G:$G, (MATCH(273, 輔助計算!$G$2:$G$801, 0)+1)),"0.##")&amp;"+"&amp;TEXT(INDEX(ERP資料!$G:$G, (MATCH(273, 輔助計算!$G$2:$G$801, 0)+1)),"0.##"))))&amp;"-1")&lt;&gt;""),"  ","")&amp;IF(MOD(INDEX(輔助計算!$D:$D, (MATCH(273, 輔助計算!$G$2:$G$801, 0)+1)),IF(INDEX(ERP資料!$G:$G, (MATCH(273, 輔助計算!$G$2:$G$801, 0)+1))&lt;100, IF(INDEX(ERP資料!$G:$G, (MATCH(273, 輔助計算!$G$2:$G$801, 0)+1))&lt;=31,3,IF(INDEX(ERP資料!$G:$G, (MATCH(273, 輔助計算!$G$2:$G$801, 0)+1))&lt;=46.5,2,1)), IF(INDEX(ERP資料!$G:$G, (MATCH(273, 輔助計算!$G$2:$G$801, 0)+1))&lt;=790,3,IF(INDEX(ERP資料!$G:$G, (MATCH(273, 輔助計算!$G$2:$G$801, 0)+1))&lt;=1181,2,1))))=0,"",IF(MOD(INDEX(輔助計算!$D:$D, (MATCH(273, 輔助計算!$G$2:$G$801, 0)+1)),IF(INDEX(ERP資料!$G:$G, (MATCH(273, 輔助計算!$G$2:$G$801, 0)+1))&lt;100, IF(INDEX(ERP資料!$G:$G, (MATCH(273, 輔助計算!$G$2:$G$801, 0)+1))&lt;=31,3,IF(INDEX(ERP資料!$G:$G, (MATCH(273, 輔助計算!$G$2:$G$801, 0)+1))&lt;=46.5,2,1)), IF(INDEX(ERP資料!$G:$G, (MATCH(273, 輔助計算!$G$2:$G$801, 0)+1))&lt;=790,3,IF(INDEX(ERP資料!$G:$G, (MATCH(273, 輔助計算!$G$2:$G$801, 0)+1))&lt;=1181,2,1))))=0,"",IF(MOD(INDEX(輔助計算!$D:$D, (MATCH(273, 輔助計算!$G$2:$G$801, 0)+1)),IF(INDEX(ERP資料!$G:$G, (MATCH(273, 輔助計算!$G$2:$G$801, 0)+1))&lt;100, IF(INDEX(ERP資料!$G:$G, (MATCH(273, 輔助計算!$G$2:$G$801, 0)+1))&lt;=31,3,IF(INDEX(ERP資料!$G:$G, (MATCH(273, 輔助計算!$G$2:$G$801, 0)+1))&lt;=46.5,2,1)), IF(INDEX(ERP資料!$G:$G, (MATCH(273, 輔助計算!$G$2:$G$801, 0)+1))&lt;=790,3,IF(INDEX(ERP資料!$G:$G, (MATCH(273, 輔助計算!$G$2:$G$801, 0)+1))&lt;=1181,2,1))))=1,TEXT(INDEX(ERP資料!$G:$G, (MATCH(273, 輔助計算!$G$2:$G$801, 0)+1)),"0.##"),IF(MOD(INDEX(輔助計算!$D:$D, (MATCH(273, 輔助計算!$G$2:$G$801, 0)+1)),IF(INDEX(ERP資料!$G:$G, (MATCH(273, 輔助計算!$G$2:$G$801, 0)+1))&lt;100, IF(INDEX(ERP資料!$G:$G, (MATCH(273, 輔助計算!$G$2:$G$801, 0)+1))&lt;=31,3,IF(INDEX(ERP資料!$G:$G, (MATCH(273, 輔助計算!$G$2:$G$801, 0)+1))&lt;=46.5,2,1)), IF(INDEX(ERP資料!$G:$G, (MATCH(273, 輔助計算!$G$2:$G$801, 0)+1))&lt;=790,3,IF(INDEX(ERP資料!$G:$G, (MATCH(273, 輔助計算!$G$2:$G$801, 0)+1))&lt;=1181,2,1))))=2,TEXT(INDEX(ERP資料!$G:$G, (MATCH(273, 輔助計算!$G$2:$G$801, 0)+1)),"0.##")&amp;"+"&amp;TEXT(INDEX(ERP資料!$G:$G, (MATCH(273, 輔助計算!$G$2:$G$801, 0)+1)),"0.##"),TEXT(INDEX(ERP資料!$G:$G, (MATCH(273, 輔助計算!$G$2:$G$801, 0)+1)),"0.##")&amp;"+"&amp;TEXT(INDEX(ERP資料!$G:$G, (MATCH(273, 輔助計算!$G$2:$G$801, 0)+1)),"0.##")&amp;"+"&amp;TEXT(INDEX(ERP資料!$G:$G, (MATCH(273, 輔助計算!$G$2:$G$801, 0)+1)),"0.##"))))&amp;"-1")), ""), "")</f>
        <v/>
      </c>
      <c r="K274" s="16" t="n"/>
      <c r="L274" s="14">
        <f>IFERROR(IF(AND(IFERROR(INDEX(ERP資料!$A:$A, (MATCH(273, 輔助計算!$G$2:$G$801, 0)+1)), "")&lt;&gt;"", IFERROR(INDEX(ERP資料!$A:$A, (MATCH(273, 輔助計算!$G$2:$G$801, 0)+1)), "")&lt;&gt;IFERROR(INDEX(ERP資料!$A:$A, MATCH(272, 輔助計算!$G$2:$G$801, 0)+1), "")), INDEX(ERP資料!$B:$B, (MATCH(273, 輔助計算!$G$2:$G$801, 0)+1)), ""), "")</f>
        <v/>
      </c>
      <c r="M274" s="17" t="n"/>
    </row>
    <row r="275">
      <c r="A275" s="10">
        <f>IFERROR(IF(AND(IFERROR(INDEX(ERP資料!$A:$A, (MATCH(274, 輔助計算!$G$2:$G$801, 0)+1)), "")&lt;&gt;"", IFERROR(INDEX(ERP資料!$A:$A, (MATCH(274, 輔助計算!$G$2:$G$801, 0)+1)), "")&lt;&gt;IFERROR(INDEX(ERP資料!$A:$A, MATCH(273, 輔助計算!$G$2:$G$801, 0)+1), "")), IFERROR(INDEX(ERP資料!$A:$A, (MATCH(274, 輔助計算!$G$2:$G$801, 0)+1)), ""), ""), "")</f>
        <v/>
      </c>
      <c r="B275" s="10">
        <f>IFERROR(IF(AND(IFERROR(INDEX(ERP資料!$A:$A, (MATCH(274, 輔助計算!$G$2:$G$801, 0)+1)), "")&lt;&gt;"", IFERROR(INDEX(ERP資料!$A:$A, (MATCH(274, 輔助計算!$G$2:$G$801, 0)+1)), "")&lt;&gt;IFERROR(INDEX(ERP資料!$A:$A, MATCH(273, 輔助計算!$G$2:$G$801, 0)+1), "")), INDEX(ERP資料!$S:$S, (MATCH(274, 輔助計算!$G$2:$G$801, 0)+1)), ""), "")</f>
        <v/>
      </c>
      <c r="C275" s="19">
        <f>IFERROR(IF(AND(IFERROR(INDEX(ERP資料!$A:$A, (MATCH(274, 輔助計算!$G$2:$G$801, 0)+1)), "")&lt;&gt;"", IFERROR(INDEX(ERP資料!$A:$A, (MATCH(274, 輔助計算!$G$2:$G$801, 0)+1)), "")&lt;&gt;IFERROR(INDEX(ERP資料!$A:$A, MATCH(273, 輔助計算!$G$2:$G$801, 0)+1), "")), IFERROR(VLOOKUP(LEFT(INDEX(ERP資料!$S:$S, (MATCH(274, 輔助計算!$G$2:$G$801, 0)+1)), 4), 紙管對照表!$A:$C, 3, FALSE), ""), ""), "")</f>
        <v/>
      </c>
      <c r="D275" s="16" t="n"/>
      <c r="E275" s="10">
        <f>IFERROR(IF(INDEX(ERP資料!$H:$H, (MATCH(274, 輔助計算!$G$2:$G$801, 0)+1))="","",INDEX(ERP資料!$H:$H, (MATCH(274, 輔助計算!$G$2:$G$801, 0)+1))), "")</f>
        <v/>
      </c>
      <c r="F275" s="10">
        <f>IFERROR(IF(INDEX(ERP資料!$E:$E, (MATCH(274, 輔助計算!$G$2:$G$801, 0)+1))="","",TRIM(INDEX(ERP資料!$E:$E, (MATCH(274, 輔助計算!$G$2:$G$801, 0)+1)))), "")</f>
        <v/>
      </c>
      <c r="G275" s="10">
        <f>IFERROR(IF(INDEX(ERP資料!$F:$F, (MATCH(274, 輔助計算!$G$2:$G$801, 0)+1))="","",INDEX(ERP資料!$F:$F, (MATCH(274, 輔助計算!$G$2:$G$801, 0)+1))), "")</f>
        <v/>
      </c>
      <c r="H275" s="10">
        <f>IFERROR(IF(INDEX(ERP資料!$G:$G, (MATCH(274, 輔助計算!$G$2:$G$801, 0)+1))="","",INDEX(ERP資料!$G:$G, (MATCH(274, 輔助計算!$G$2:$G$801, 0)+1))), "")</f>
        <v/>
      </c>
      <c r="I275" s="15">
        <f>IFERROR(INDEX(輔助計算!$D:$D, (MATCH(274, 輔助計算!$G$2:$G$801, 0)+1)), "")</f>
        <v/>
      </c>
      <c r="J275" s="15">
        <f>IFERROR(IF(AND(INDEX(輔助計算!$D:$D, (MATCH(274, 輔助計算!$G$2:$G$801, 0)+1))&lt;&gt;"", INDEX(ERP資料!$G:$G, (MATCH(274, 輔助計算!$G$2:$G$801, 0)+1))&lt;&gt;""), TRIM(IF(INT(INDEX(輔助計算!$D:$D, (MATCH(274, 輔助計算!$G$2:$G$801, 0)+1))/IF(INDEX(ERP資料!$G:$G, (MATCH(274, 輔助計算!$G$2:$G$801, 0)+1))&lt;100, IF(INDEX(ERP資料!$G:$G, (MATCH(274, 輔助計算!$G$2:$G$801, 0)+1))&lt;=31,3,IF(INDEX(ERP資料!$G:$G, (MATCH(274, 輔助計算!$G$2:$G$801, 0)+1))&lt;=46.5,2,1)), IF(INDEX(ERP資料!$G:$G, (MATCH(274, 輔助計算!$G$2:$G$801, 0)+1))&lt;=790,3,IF(INDEX(ERP資料!$G:$G, (MATCH(274, 輔助計算!$G$2:$G$801, 0)+1))&lt;=1181,2,1))))&gt;0, IF(IF(INDEX(ERP資料!$G:$G, (MATCH(274, 輔助計算!$G$2:$G$801, 0)+1))&lt;100, IF(INDEX(ERP資料!$G:$G, (MATCH(274, 輔助計算!$G$2:$G$801, 0)+1))&lt;=31,3,IF(INDEX(ERP資料!$G:$G, (MATCH(274, 輔助計算!$G$2:$G$801, 0)+1))&lt;=46.5,2,1)), IF(INDEX(ERP資料!$G:$G, (MATCH(274, 輔助計算!$G$2:$G$801, 0)+1))&lt;=790,3,IF(INDEX(ERP資料!$G:$G, (MATCH(274, 輔助計算!$G$2:$G$801, 0)+1))&lt;=1181,2,1)))=1,TEXT(INDEX(ERP資料!$G:$G, (MATCH(274, 輔助計算!$G$2:$G$801, 0)+1)),"0.##"),IF(IF(INDEX(ERP資料!$G:$G, (MATCH(274, 輔助計算!$G$2:$G$801, 0)+1))&lt;100, IF(INDEX(ERP資料!$G:$G, (MATCH(274, 輔助計算!$G$2:$G$801, 0)+1))&lt;=31,3,IF(INDEX(ERP資料!$G:$G, (MATCH(274, 輔助計算!$G$2:$G$801, 0)+1))&lt;=46.5,2,1)), IF(INDEX(ERP資料!$G:$G, (MATCH(274, 輔助計算!$G$2:$G$801, 0)+1))&lt;=790,3,IF(INDEX(ERP資料!$G:$G, (MATCH(274, 輔助計算!$G$2:$G$801, 0)+1))&lt;=1181,2,1)))=2,TEXT(INDEX(ERP資料!$G:$G, (MATCH(274, 輔助計算!$G$2:$G$801, 0)+1)),"0.##")&amp;"+"&amp;TEXT(INDEX(ERP資料!$G:$G, (MATCH(274, 輔助計算!$G$2:$G$801, 0)+1)),"0.##"),TEXT(INDEX(ERP資料!$G:$G, (MATCH(274, 輔助計算!$G$2:$G$801, 0)+1)),"0.##")&amp;"+"&amp;TEXT(INDEX(ERP資料!$G:$G, (MATCH(274, 輔助計算!$G$2:$G$801, 0)+1)),"0.##")&amp;"+"&amp;TEXT(INDEX(ERP資料!$G:$G, (MATCH(274, 輔助計算!$G$2:$G$801, 0)+1)),"0.##")))&amp;"-"&amp;INT(INDEX(輔助計算!$D:$D, (MATCH(274, 輔助計算!$G$2:$G$801, 0)+1))/IF(INDEX(ERP資料!$G:$G, (MATCH(274, 輔助計算!$G$2:$G$801, 0)+1))&lt;100, IF(INDEX(ERP資料!$G:$G, (MATCH(274, 輔助計算!$G$2:$G$801, 0)+1))&lt;=31,3,IF(INDEX(ERP資料!$G:$G, (MATCH(274, 輔助計算!$G$2:$G$801, 0)+1))&lt;=46.5,2,1)), IF(INDEX(ERP資料!$G:$G, (MATCH(274, 輔助計算!$G$2:$G$801, 0)+1))&lt;=790,3,IF(INDEX(ERP資料!$G:$G, (MATCH(274, 輔助計算!$G$2:$G$801, 0)+1))&lt;=1181,2,1)))), "")&amp;IF(AND(IF(INT(INDEX(輔助計算!$D:$D, (MATCH(274, 輔助計算!$G$2:$G$801, 0)+1))/IF(INDEX(ERP資料!$G:$G, (MATCH(274, 輔助計算!$G$2:$G$801, 0)+1))&lt;100, IF(INDEX(ERP資料!$G:$G, (MATCH(274, 輔助計算!$G$2:$G$801, 0)+1))&lt;=31,3,IF(INDEX(ERP資料!$G:$G, (MATCH(274, 輔助計算!$G$2:$G$801, 0)+1))&lt;=46.5,2,1)), IF(INDEX(ERP資料!$G:$G, (MATCH(274, 輔助計算!$G$2:$G$801, 0)+1))&lt;=790,3,IF(INDEX(ERP資料!$G:$G, (MATCH(274, 輔助計算!$G$2:$G$801, 0)+1))&lt;=1181,2,1))))&gt;0, IF(IF(INDEX(ERP資料!$G:$G, (MATCH(274, 輔助計算!$G$2:$G$801, 0)+1))&lt;100, IF(INDEX(ERP資料!$G:$G, (MATCH(274, 輔助計算!$G$2:$G$801, 0)+1))&lt;=31,3,IF(INDEX(ERP資料!$G:$G, (MATCH(274, 輔助計算!$G$2:$G$801, 0)+1))&lt;=46.5,2,1)), IF(INDEX(ERP資料!$G:$G, (MATCH(274, 輔助計算!$G$2:$G$801, 0)+1))&lt;=790,3,IF(INDEX(ERP資料!$G:$G, (MATCH(274, 輔助計算!$G$2:$G$801, 0)+1))&lt;=1181,2,1)))=1,TEXT(INDEX(ERP資料!$G:$G, (MATCH(274, 輔助計算!$G$2:$G$801, 0)+1)),"0.##"),IF(IF(INDEX(ERP資料!$G:$G, (MATCH(274, 輔助計算!$G$2:$G$801, 0)+1))&lt;100, IF(INDEX(ERP資料!$G:$G, (MATCH(274, 輔助計算!$G$2:$G$801, 0)+1))&lt;=31,3,IF(INDEX(ERP資料!$G:$G, (MATCH(274, 輔助計算!$G$2:$G$801, 0)+1))&lt;=46.5,2,1)), IF(INDEX(ERP資料!$G:$G, (MATCH(274, 輔助計算!$G$2:$G$801, 0)+1))&lt;=790,3,IF(INDEX(ERP資料!$G:$G, (MATCH(274, 輔助計算!$G$2:$G$801, 0)+1))&lt;=1181,2,1)))=2,TEXT(INDEX(ERP資料!$G:$G, (MATCH(274, 輔助計算!$G$2:$G$801, 0)+1)),"0.##")&amp;"+"&amp;TEXT(INDEX(ERP資料!$G:$G, (MATCH(274, 輔助計算!$G$2:$G$801, 0)+1)),"0.##"),TEXT(INDEX(ERP資料!$G:$G, (MATCH(274, 輔助計算!$G$2:$G$801, 0)+1)),"0.##")&amp;"+"&amp;TEXT(INDEX(ERP資料!$G:$G, (MATCH(274, 輔助計算!$G$2:$G$801, 0)+1)),"0.##")&amp;"+"&amp;TEXT(INDEX(ERP資料!$G:$G, (MATCH(274, 輔助計算!$G$2:$G$801, 0)+1)),"0.##")))&amp;"-"&amp;INT(INDEX(輔助計算!$D:$D, (MATCH(274, 輔助計算!$G$2:$G$801, 0)+1))/IF(INDEX(ERP資料!$G:$G, (MATCH(274, 輔助計算!$G$2:$G$801, 0)+1))&lt;100, IF(INDEX(ERP資料!$G:$G, (MATCH(274, 輔助計算!$G$2:$G$801, 0)+1))&lt;=31,3,IF(INDEX(ERP資料!$G:$G, (MATCH(274, 輔助計算!$G$2:$G$801, 0)+1))&lt;=46.5,2,1)), IF(INDEX(ERP資料!$G:$G, (MATCH(274, 輔助計算!$G$2:$G$801, 0)+1))&lt;=790,3,IF(INDEX(ERP資料!$G:$G, (MATCH(274, 輔助計算!$G$2:$G$801, 0)+1))&lt;=1181,2,1)))), "")&lt;&gt;"",IF(MOD(INDEX(輔助計算!$D:$D, (MATCH(274, 輔助計算!$G$2:$G$801, 0)+1)),IF(INDEX(ERP資料!$G:$G, (MATCH(274, 輔助計算!$G$2:$G$801, 0)+1))&lt;100, IF(INDEX(ERP資料!$G:$G, (MATCH(274, 輔助計算!$G$2:$G$801, 0)+1))&lt;=31,3,IF(INDEX(ERP資料!$G:$G, (MATCH(274, 輔助計算!$G$2:$G$801, 0)+1))&lt;=46.5,2,1)), IF(INDEX(ERP資料!$G:$G, (MATCH(274, 輔助計算!$G$2:$G$801, 0)+1))&lt;=790,3,IF(INDEX(ERP資料!$G:$G, (MATCH(274, 輔助計算!$G$2:$G$801, 0)+1))&lt;=1181,2,1))))=0,"",IF(MOD(INDEX(輔助計算!$D:$D, (MATCH(274, 輔助計算!$G$2:$G$801, 0)+1)),IF(INDEX(ERP資料!$G:$G, (MATCH(274, 輔助計算!$G$2:$G$801, 0)+1))&lt;100, IF(INDEX(ERP資料!$G:$G, (MATCH(274, 輔助計算!$G$2:$G$801, 0)+1))&lt;=31,3,IF(INDEX(ERP資料!$G:$G, (MATCH(274, 輔助計算!$G$2:$G$801, 0)+1))&lt;=46.5,2,1)), IF(INDEX(ERP資料!$G:$G, (MATCH(274, 輔助計算!$G$2:$G$801, 0)+1))&lt;=790,3,IF(INDEX(ERP資料!$G:$G, (MATCH(274, 輔助計算!$G$2:$G$801, 0)+1))&lt;=1181,2,1))))=0,"",IF(MOD(INDEX(輔助計算!$D:$D, (MATCH(274, 輔助計算!$G$2:$G$801, 0)+1)),IF(INDEX(ERP資料!$G:$G, (MATCH(274, 輔助計算!$G$2:$G$801, 0)+1))&lt;100, IF(INDEX(ERP資料!$G:$G, (MATCH(274, 輔助計算!$G$2:$G$801, 0)+1))&lt;=31,3,IF(INDEX(ERP資料!$G:$G, (MATCH(274, 輔助計算!$G$2:$G$801, 0)+1))&lt;=46.5,2,1)), IF(INDEX(ERP資料!$G:$G, (MATCH(274, 輔助計算!$G$2:$G$801, 0)+1))&lt;=790,3,IF(INDEX(ERP資料!$G:$G, (MATCH(274, 輔助計算!$G$2:$G$801, 0)+1))&lt;=1181,2,1))))=1,TEXT(INDEX(ERP資料!$G:$G, (MATCH(274, 輔助計算!$G$2:$G$801, 0)+1)),"0.##"),IF(MOD(INDEX(輔助計算!$D:$D, (MATCH(274, 輔助計算!$G$2:$G$801, 0)+1)),IF(INDEX(ERP資料!$G:$G, (MATCH(274, 輔助計算!$G$2:$G$801, 0)+1))&lt;100, IF(INDEX(ERP資料!$G:$G, (MATCH(274, 輔助計算!$G$2:$G$801, 0)+1))&lt;=31,3,IF(INDEX(ERP資料!$G:$G, (MATCH(274, 輔助計算!$G$2:$G$801, 0)+1))&lt;=46.5,2,1)), IF(INDEX(ERP資料!$G:$G, (MATCH(274, 輔助計算!$G$2:$G$801, 0)+1))&lt;=790,3,IF(INDEX(ERP資料!$G:$G, (MATCH(274, 輔助計算!$G$2:$G$801, 0)+1))&lt;=1181,2,1))))=2,TEXT(INDEX(ERP資料!$G:$G, (MATCH(274, 輔助計算!$G$2:$G$801, 0)+1)),"0.##")&amp;"+"&amp;TEXT(INDEX(ERP資料!$G:$G, (MATCH(274, 輔助計算!$G$2:$G$801, 0)+1)),"0.##"),TEXT(INDEX(ERP資料!$G:$G, (MATCH(274, 輔助計算!$G$2:$G$801, 0)+1)),"0.##")&amp;"+"&amp;TEXT(INDEX(ERP資料!$G:$G, (MATCH(274, 輔助計算!$G$2:$G$801, 0)+1)),"0.##")&amp;"+"&amp;TEXT(INDEX(ERP資料!$G:$G, (MATCH(274, 輔助計算!$G$2:$G$801, 0)+1)),"0.##"))))&amp;"-1")&lt;&gt;""),"  ","")&amp;IF(MOD(INDEX(輔助計算!$D:$D, (MATCH(274, 輔助計算!$G$2:$G$801, 0)+1)),IF(INDEX(ERP資料!$G:$G, (MATCH(274, 輔助計算!$G$2:$G$801, 0)+1))&lt;100, IF(INDEX(ERP資料!$G:$G, (MATCH(274, 輔助計算!$G$2:$G$801, 0)+1))&lt;=31,3,IF(INDEX(ERP資料!$G:$G, (MATCH(274, 輔助計算!$G$2:$G$801, 0)+1))&lt;=46.5,2,1)), IF(INDEX(ERP資料!$G:$G, (MATCH(274, 輔助計算!$G$2:$G$801, 0)+1))&lt;=790,3,IF(INDEX(ERP資料!$G:$G, (MATCH(274, 輔助計算!$G$2:$G$801, 0)+1))&lt;=1181,2,1))))=0,"",IF(MOD(INDEX(輔助計算!$D:$D, (MATCH(274, 輔助計算!$G$2:$G$801, 0)+1)),IF(INDEX(ERP資料!$G:$G, (MATCH(274, 輔助計算!$G$2:$G$801, 0)+1))&lt;100, IF(INDEX(ERP資料!$G:$G, (MATCH(274, 輔助計算!$G$2:$G$801, 0)+1))&lt;=31,3,IF(INDEX(ERP資料!$G:$G, (MATCH(274, 輔助計算!$G$2:$G$801, 0)+1))&lt;=46.5,2,1)), IF(INDEX(ERP資料!$G:$G, (MATCH(274, 輔助計算!$G$2:$G$801, 0)+1))&lt;=790,3,IF(INDEX(ERP資料!$G:$G, (MATCH(274, 輔助計算!$G$2:$G$801, 0)+1))&lt;=1181,2,1))))=0,"",IF(MOD(INDEX(輔助計算!$D:$D, (MATCH(274, 輔助計算!$G$2:$G$801, 0)+1)),IF(INDEX(ERP資料!$G:$G, (MATCH(274, 輔助計算!$G$2:$G$801, 0)+1))&lt;100, IF(INDEX(ERP資料!$G:$G, (MATCH(274, 輔助計算!$G$2:$G$801, 0)+1))&lt;=31,3,IF(INDEX(ERP資料!$G:$G, (MATCH(274, 輔助計算!$G$2:$G$801, 0)+1))&lt;=46.5,2,1)), IF(INDEX(ERP資料!$G:$G, (MATCH(274, 輔助計算!$G$2:$G$801, 0)+1))&lt;=790,3,IF(INDEX(ERP資料!$G:$G, (MATCH(274, 輔助計算!$G$2:$G$801, 0)+1))&lt;=1181,2,1))))=1,TEXT(INDEX(ERP資料!$G:$G, (MATCH(274, 輔助計算!$G$2:$G$801, 0)+1)),"0.##"),IF(MOD(INDEX(輔助計算!$D:$D, (MATCH(274, 輔助計算!$G$2:$G$801, 0)+1)),IF(INDEX(ERP資料!$G:$G, (MATCH(274, 輔助計算!$G$2:$G$801, 0)+1))&lt;100, IF(INDEX(ERP資料!$G:$G, (MATCH(274, 輔助計算!$G$2:$G$801, 0)+1))&lt;=31,3,IF(INDEX(ERP資料!$G:$G, (MATCH(274, 輔助計算!$G$2:$G$801, 0)+1))&lt;=46.5,2,1)), IF(INDEX(ERP資料!$G:$G, (MATCH(274, 輔助計算!$G$2:$G$801, 0)+1))&lt;=790,3,IF(INDEX(ERP資料!$G:$G, (MATCH(274, 輔助計算!$G$2:$G$801, 0)+1))&lt;=1181,2,1))))=2,TEXT(INDEX(ERP資料!$G:$G, (MATCH(274, 輔助計算!$G$2:$G$801, 0)+1)),"0.##")&amp;"+"&amp;TEXT(INDEX(ERP資料!$G:$G, (MATCH(274, 輔助計算!$G$2:$G$801, 0)+1)),"0.##"),TEXT(INDEX(ERP資料!$G:$G, (MATCH(274, 輔助計算!$G$2:$G$801, 0)+1)),"0.##")&amp;"+"&amp;TEXT(INDEX(ERP資料!$G:$G, (MATCH(274, 輔助計算!$G$2:$G$801, 0)+1)),"0.##")&amp;"+"&amp;TEXT(INDEX(ERP資料!$G:$G, (MATCH(274, 輔助計算!$G$2:$G$801, 0)+1)),"0.##"))))&amp;"-1")), ""), "")</f>
        <v/>
      </c>
      <c r="K275" s="16" t="n"/>
      <c r="L275" s="14">
        <f>IFERROR(IF(AND(IFERROR(INDEX(ERP資料!$A:$A, (MATCH(274, 輔助計算!$G$2:$G$801, 0)+1)), "")&lt;&gt;"", IFERROR(INDEX(ERP資料!$A:$A, (MATCH(274, 輔助計算!$G$2:$G$801, 0)+1)), "")&lt;&gt;IFERROR(INDEX(ERP資料!$A:$A, MATCH(273, 輔助計算!$G$2:$G$801, 0)+1), "")), INDEX(ERP資料!$B:$B, (MATCH(274, 輔助計算!$G$2:$G$801, 0)+1)), ""), "")</f>
        <v/>
      </c>
      <c r="M275" s="17" t="n"/>
    </row>
    <row r="276">
      <c r="A276" s="10">
        <f>IFERROR(IF(AND(IFERROR(INDEX(ERP資料!$A:$A, (MATCH(275, 輔助計算!$G$2:$G$801, 0)+1)), "")&lt;&gt;"", IFERROR(INDEX(ERP資料!$A:$A, (MATCH(275, 輔助計算!$G$2:$G$801, 0)+1)), "")&lt;&gt;IFERROR(INDEX(ERP資料!$A:$A, MATCH(274, 輔助計算!$G$2:$G$801, 0)+1), "")), IFERROR(INDEX(ERP資料!$A:$A, (MATCH(275, 輔助計算!$G$2:$G$801, 0)+1)), ""), ""), "")</f>
        <v/>
      </c>
      <c r="B276" s="10">
        <f>IFERROR(IF(AND(IFERROR(INDEX(ERP資料!$A:$A, (MATCH(275, 輔助計算!$G$2:$G$801, 0)+1)), "")&lt;&gt;"", IFERROR(INDEX(ERP資料!$A:$A, (MATCH(275, 輔助計算!$G$2:$G$801, 0)+1)), "")&lt;&gt;IFERROR(INDEX(ERP資料!$A:$A, MATCH(274, 輔助計算!$G$2:$G$801, 0)+1), "")), INDEX(ERP資料!$S:$S, (MATCH(275, 輔助計算!$G$2:$G$801, 0)+1)), ""), "")</f>
        <v/>
      </c>
      <c r="C276" s="19">
        <f>IFERROR(IF(AND(IFERROR(INDEX(ERP資料!$A:$A, (MATCH(275, 輔助計算!$G$2:$G$801, 0)+1)), "")&lt;&gt;"", IFERROR(INDEX(ERP資料!$A:$A, (MATCH(275, 輔助計算!$G$2:$G$801, 0)+1)), "")&lt;&gt;IFERROR(INDEX(ERP資料!$A:$A, MATCH(274, 輔助計算!$G$2:$G$801, 0)+1), "")), IFERROR(VLOOKUP(LEFT(INDEX(ERP資料!$S:$S, (MATCH(275, 輔助計算!$G$2:$G$801, 0)+1)), 4), 紙管對照表!$A:$C, 3, FALSE), ""), ""), "")</f>
        <v/>
      </c>
      <c r="D276" s="16" t="n"/>
      <c r="E276" s="10">
        <f>IFERROR(IF(INDEX(ERP資料!$H:$H, (MATCH(275, 輔助計算!$G$2:$G$801, 0)+1))="","",INDEX(ERP資料!$H:$H, (MATCH(275, 輔助計算!$G$2:$G$801, 0)+1))), "")</f>
        <v/>
      </c>
      <c r="F276" s="10">
        <f>IFERROR(IF(INDEX(ERP資料!$E:$E, (MATCH(275, 輔助計算!$G$2:$G$801, 0)+1))="","",TRIM(INDEX(ERP資料!$E:$E, (MATCH(275, 輔助計算!$G$2:$G$801, 0)+1)))), "")</f>
        <v/>
      </c>
      <c r="G276" s="10">
        <f>IFERROR(IF(INDEX(ERP資料!$F:$F, (MATCH(275, 輔助計算!$G$2:$G$801, 0)+1))="","",INDEX(ERP資料!$F:$F, (MATCH(275, 輔助計算!$G$2:$G$801, 0)+1))), "")</f>
        <v/>
      </c>
      <c r="H276" s="10">
        <f>IFERROR(IF(INDEX(ERP資料!$G:$G, (MATCH(275, 輔助計算!$G$2:$G$801, 0)+1))="","",INDEX(ERP資料!$G:$G, (MATCH(275, 輔助計算!$G$2:$G$801, 0)+1))), "")</f>
        <v/>
      </c>
      <c r="I276" s="15">
        <f>IFERROR(INDEX(輔助計算!$D:$D, (MATCH(275, 輔助計算!$G$2:$G$801, 0)+1)), "")</f>
        <v/>
      </c>
      <c r="J276" s="15">
        <f>IFERROR(IF(AND(INDEX(輔助計算!$D:$D, (MATCH(275, 輔助計算!$G$2:$G$801, 0)+1))&lt;&gt;"", INDEX(ERP資料!$G:$G, (MATCH(275, 輔助計算!$G$2:$G$801, 0)+1))&lt;&gt;""), TRIM(IF(INT(INDEX(輔助計算!$D:$D, (MATCH(275, 輔助計算!$G$2:$G$801, 0)+1))/IF(INDEX(ERP資料!$G:$G, (MATCH(275, 輔助計算!$G$2:$G$801, 0)+1))&lt;100, IF(INDEX(ERP資料!$G:$G, (MATCH(275, 輔助計算!$G$2:$G$801, 0)+1))&lt;=31,3,IF(INDEX(ERP資料!$G:$G, (MATCH(275, 輔助計算!$G$2:$G$801, 0)+1))&lt;=46.5,2,1)), IF(INDEX(ERP資料!$G:$G, (MATCH(275, 輔助計算!$G$2:$G$801, 0)+1))&lt;=790,3,IF(INDEX(ERP資料!$G:$G, (MATCH(275, 輔助計算!$G$2:$G$801, 0)+1))&lt;=1181,2,1))))&gt;0, IF(IF(INDEX(ERP資料!$G:$G, (MATCH(275, 輔助計算!$G$2:$G$801, 0)+1))&lt;100, IF(INDEX(ERP資料!$G:$G, (MATCH(275, 輔助計算!$G$2:$G$801, 0)+1))&lt;=31,3,IF(INDEX(ERP資料!$G:$G, (MATCH(275, 輔助計算!$G$2:$G$801, 0)+1))&lt;=46.5,2,1)), IF(INDEX(ERP資料!$G:$G, (MATCH(275, 輔助計算!$G$2:$G$801, 0)+1))&lt;=790,3,IF(INDEX(ERP資料!$G:$G, (MATCH(275, 輔助計算!$G$2:$G$801, 0)+1))&lt;=1181,2,1)))=1,TEXT(INDEX(ERP資料!$G:$G, (MATCH(275, 輔助計算!$G$2:$G$801, 0)+1)),"0.##"),IF(IF(INDEX(ERP資料!$G:$G, (MATCH(275, 輔助計算!$G$2:$G$801, 0)+1))&lt;100, IF(INDEX(ERP資料!$G:$G, (MATCH(275, 輔助計算!$G$2:$G$801, 0)+1))&lt;=31,3,IF(INDEX(ERP資料!$G:$G, (MATCH(275, 輔助計算!$G$2:$G$801, 0)+1))&lt;=46.5,2,1)), IF(INDEX(ERP資料!$G:$G, (MATCH(275, 輔助計算!$G$2:$G$801, 0)+1))&lt;=790,3,IF(INDEX(ERP資料!$G:$G, (MATCH(275, 輔助計算!$G$2:$G$801, 0)+1))&lt;=1181,2,1)))=2,TEXT(INDEX(ERP資料!$G:$G, (MATCH(275, 輔助計算!$G$2:$G$801, 0)+1)),"0.##")&amp;"+"&amp;TEXT(INDEX(ERP資料!$G:$G, (MATCH(275, 輔助計算!$G$2:$G$801, 0)+1)),"0.##"),TEXT(INDEX(ERP資料!$G:$G, (MATCH(275, 輔助計算!$G$2:$G$801, 0)+1)),"0.##")&amp;"+"&amp;TEXT(INDEX(ERP資料!$G:$G, (MATCH(275, 輔助計算!$G$2:$G$801, 0)+1)),"0.##")&amp;"+"&amp;TEXT(INDEX(ERP資料!$G:$G, (MATCH(275, 輔助計算!$G$2:$G$801, 0)+1)),"0.##")))&amp;"-"&amp;INT(INDEX(輔助計算!$D:$D, (MATCH(275, 輔助計算!$G$2:$G$801, 0)+1))/IF(INDEX(ERP資料!$G:$G, (MATCH(275, 輔助計算!$G$2:$G$801, 0)+1))&lt;100, IF(INDEX(ERP資料!$G:$G, (MATCH(275, 輔助計算!$G$2:$G$801, 0)+1))&lt;=31,3,IF(INDEX(ERP資料!$G:$G, (MATCH(275, 輔助計算!$G$2:$G$801, 0)+1))&lt;=46.5,2,1)), IF(INDEX(ERP資料!$G:$G, (MATCH(275, 輔助計算!$G$2:$G$801, 0)+1))&lt;=790,3,IF(INDEX(ERP資料!$G:$G, (MATCH(275, 輔助計算!$G$2:$G$801, 0)+1))&lt;=1181,2,1)))), "")&amp;IF(AND(IF(INT(INDEX(輔助計算!$D:$D, (MATCH(275, 輔助計算!$G$2:$G$801, 0)+1))/IF(INDEX(ERP資料!$G:$G, (MATCH(275, 輔助計算!$G$2:$G$801, 0)+1))&lt;100, IF(INDEX(ERP資料!$G:$G, (MATCH(275, 輔助計算!$G$2:$G$801, 0)+1))&lt;=31,3,IF(INDEX(ERP資料!$G:$G, (MATCH(275, 輔助計算!$G$2:$G$801, 0)+1))&lt;=46.5,2,1)), IF(INDEX(ERP資料!$G:$G, (MATCH(275, 輔助計算!$G$2:$G$801, 0)+1))&lt;=790,3,IF(INDEX(ERP資料!$G:$G, (MATCH(275, 輔助計算!$G$2:$G$801, 0)+1))&lt;=1181,2,1))))&gt;0, IF(IF(INDEX(ERP資料!$G:$G, (MATCH(275, 輔助計算!$G$2:$G$801, 0)+1))&lt;100, IF(INDEX(ERP資料!$G:$G, (MATCH(275, 輔助計算!$G$2:$G$801, 0)+1))&lt;=31,3,IF(INDEX(ERP資料!$G:$G, (MATCH(275, 輔助計算!$G$2:$G$801, 0)+1))&lt;=46.5,2,1)), IF(INDEX(ERP資料!$G:$G, (MATCH(275, 輔助計算!$G$2:$G$801, 0)+1))&lt;=790,3,IF(INDEX(ERP資料!$G:$G, (MATCH(275, 輔助計算!$G$2:$G$801, 0)+1))&lt;=1181,2,1)))=1,TEXT(INDEX(ERP資料!$G:$G, (MATCH(275, 輔助計算!$G$2:$G$801, 0)+1)),"0.##"),IF(IF(INDEX(ERP資料!$G:$G, (MATCH(275, 輔助計算!$G$2:$G$801, 0)+1))&lt;100, IF(INDEX(ERP資料!$G:$G, (MATCH(275, 輔助計算!$G$2:$G$801, 0)+1))&lt;=31,3,IF(INDEX(ERP資料!$G:$G, (MATCH(275, 輔助計算!$G$2:$G$801, 0)+1))&lt;=46.5,2,1)), IF(INDEX(ERP資料!$G:$G, (MATCH(275, 輔助計算!$G$2:$G$801, 0)+1))&lt;=790,3,IF(INDEX(ERP資料!$G:$G, (MATCH(275, 輔助計算!$G$2:$G$801, 0)+1))&lt;=1181,2,1)))=2,TEXT(INDEX(ERP資料!$G:$G, (MATCH(275, 輔助計算!$G$2:$G$801, 0)+1)),"0.##")&amp;"+"&amp;TEXT(INDEX(ERP資料!$G:$G, (MATCH(275, 輔助計算!$G$2:$G$801, 0)+1)),"0.##"),TEXT(INDEX(ERP資料!$G:$G, (MATCH(275, 輔助計算!$G$2:$G$801, 0)+1)),"0.##")&amp;"+"&amp;TEXT(INDEX(ERP資料!$G:$G, (MATCH(275, 輔助計算!$G$2:$G$801, 0)+1)),"0.##")&amp;"+"&amp;TEXT(INDEX(ERP資料!$G:$G, (MATCH(275, 輔助計算!$G$2:$G$801, 0)+1)),"0.##")))&amp;"-"&amp;INT(INDEX(輔助計算!$D:$D, (MATCH(275, 輔助計算!$G$2:$G$801, 0)+1))/IF(INDEX(ERP資料!$G:$G, (MATCH(275, 輔助計算!$G$2:$G$801, 0)+1))&lt;100, IF(INDEX(ERP資料!$G:$G, (MATCH(275, 輔助計算!$G$2:$G$801, 0)+1))&lt;=31,3,IF(INDEX(ERP資料!$G:$G, (MATCH(275, 輔助計算!$G$2:$G$801, 0)+1))&lt;=46.5,2,1)), IF(INDEX(ERP資料!$G:$G, (MATCH(275, 輔助計算!$G$2:$G$801, 0)+1))&lt;=790,3,IF(INDEX(ERP資料!$G:$G, (MATCH(275, 輔助計算!$G$2:$G$801, 0)+1))&lt;=1181,2,1)))), "")&lt;&gt;"",IF(MOD(INDEX(輔助計算!$D:$D, (MATCH(275, 輔助計算!$G$2:$G$801, 0)+1)),IF(INDEX(ERP資料!$G:$G, (MATCH(275, 輔助計算!$G$2:$G$801, 0)+1))&lt;100, IF(INDEX(ERP資料!$G:$G, (MATCH(275, 輔助計算!$G$2:$G$801, 0)+1))&lt;=31,3,IF(INDEX(ERP資料!$G:$G, (MATCH(275, 輔助計算!$G$2:$G$801, 0)+1))&lt;=46.5,2,1)), IF(INDEX(ERP資料!$G:$G, (MATCH(275, 輔助計算!$G$2:$G$801, 0)+1))&lt;=790,3,IF(INDEX(ERP資料!$G:$G, (MATCH(275, 輔助計算!$G$2:$G$801, 0)+1))&lt;=1181,2,1))))=0,"",IF(MOD(INDEX(輔助計算!$D:$D, (MATCH(275, 輔助計算!$G$2:$G$801, 0)+1)),IF(INDEX(ERP資料!$G:$G, (MATCH(275, 輔助計算!$G$2:$G$801, 0)+1))&lt;100, IF(INDEX(ERP資料!$G:$G, (MATCH(275, 輔助計算!$G$2:$G$801, 0)+1))&lt;=31,3,IF(INDEX(ERP資料!$G:$G, (MATCH(275, 輔助計算!$G$2:$G$801, 0)+1))&lt;=46.5,2,1)), IF(INDEX(ERP資料!$G:$G, (MATCH(275, 輔助計算!$G$2:$G$801, 0)+1))&lt;=790,3,IF(INDEX(ERP資料!$G:$G, (MATCH(275, 輔助計算!$G$2:$G$801, 0)+1))&lt;=1181,2,1))))=0,"",IF(MOD(INDEX(輔助計算!$D:$D, (MATCH(275, 輔助計算!$G$2:$G$801, 0)+1)),IF(INDEX(ERP資料!$G:$G, (MATCH(275, 輔助計算!$G$2:$G$801, 0)+1))&lt;100, IF(INDEX(ERP資料!$G:$G, (MATCH(275, 輔助計算!$G$2:$G$801, 0)+1))&lt;=31,3,IF(INDEX(ERP資料!$G:$G, (MATCH(275, 輔助計算!$G$2:$G$801, 0)+1))&lt;=46.5,2,1)), IF(INDEX(ERP資料!$G:$G, (MATCH(275, 輔助計算!$G$2:$G$801, 0)+1))&lt;=790,3,IF(INDEX(ERP資料!$G:$G, (MATCH(275, 輔助計算!$G$2:$G$801, 0)+1))&lt;=1181,2,1))))=1,TEXT(INDEX(ERP資料!$G:$G, (MATCH(275, 輔助計算!$G$2:$G$801, 0)+1)),"0.##"),IF(MOD(INDEX(輔助計算!$D:$D, (MATCH(275, 輔助計算!$G$2:$G$801, 0)+1)),IF(INDEX(ERP資料!$G:$G, (MATCH(275, 輔助計算!$G$2:$G$801, 0)+1))&lt;100, IF(INDEX(ERP資料!$G:$G, (MATCH(275, 輔助計算!$G$2:$G$801, 0)+1))&lt;=31,3,IF(INDEX(ERP資料!$G:$G, (MATCH(275, 輔助計算!$G$2:$G$801, 0)+1))&lt;=46.5,2,1)), IF(INDEX(ERP資料!$G:$G, (MATCH(275, 輔助計算!$G$2:$G$801, 0)+1))&lt;=790,3,IF(INDEX(ERP資料!$G:$G, (MATCH(275, 輔助計算!$G$2:$G$801, 0)+1))&lt;=1181,2,1))))=2,TEXT(INDEX(ERP資料!$G:$G, (MATCH(275, 輔助計算!$G$2:$G$801, 0)+1)),"0.##")&amp;"+"&amp;TEXT(INDEX(ERP資料!$G:$G, (MATCH(275, 輔助計算!$G$2:$G$801, 0)+1)),"0.##"),TEXT(INDEX(ERP資料!$G:$G, (MATCH(275, 輔助計算!$G$2:$G$801, 0)+1)),"0.##")&amp;"+"&amp;TEXT(INDEX(ERP資料!$G:$G, (MATCH(275, 輔助計算!$G$2:$G$801, 0)+1)),"0.##")&amp;"+"&amp;TEXT(INDEX(ERP資料!$G:$G, (MATCH(275, 輔助計算!$G$2:$G$801, 0)+1)),"0.##"))))&amp;"-1")&lt;&gt;""),"  ","")&amp;IF(MOD(INDEX(輔助計算!$D:$D, (MATCH(275, 輔助計算!$G$2:$G$801, 0)+1)),IF(INDEX(ERP資料!$G:$G, (MATCH(275, 輔助計算!$G$2:$G$801, 0)+1))&lt;100, IF(INDEX(ERP資料!$G:$G, (MATCH(275, 輔助計算!$G$2:$G$801, 0)+1))&lt;=31,3,IF(INDEX(ERP資料!$G:$G, (MATCH(275, 輔助計算!$G$2:$G$801, 0)+1))&lt;=46.5,2,1)), IF(INDEX(ERP資料!$G:$G, (MATCH(275, 輔助計算!$G$2:$G$801, 0)+1))&lt;=790,3,IF(INDEX(ERP資料!$G:$G, (MATCH(275, 輔助計算!$G$2:$G$801, 0)+1))&lt;=1181,2,1))))=0,"",IF(MOD(INDEX(輔助計算!$D:$D, (MATCH(275, 輔助計算!$G$2:$G$801, 0)+1)),IF(INDEX(ERP資料!$G:$G, (MATCH(275, 輔助計算!$G$2:$G$801, 0)+1))&lt;100, IF(INDEX(ERP資料!$G:$G, (MATCH(275, 輔助計算!$G$2:$G$801, 0)+1))&lt;=31,3,IF(INDEX(ERP資料!$G:$G, (MATCH(275, 輔助計算!$G$2:$G$801, 0)+1))&lt;=46.5,2,1)), IF(INDEX(ERP資料!$G:$G, (MATCH(275, 輔助計算!$G$2:$G$801, 0)+1))&lt;=790,3,IF(INDEX(ERP資料!$G:$G, (MATCH(275, 輔助計算!$G$2:$G$801, 0)+1))&lt;=1181,2,1))))=0,"",IF(MOD(INDEX(輔助計算!$D:$D, (MATCH(275, 輔助計算!$G$2:$G$801, 0)+1)),IF(INDEX(ERP資料!$G:$G, (MATCH(275, 輔助計算!$G$2:$G$801, 0)+1))&lt;100, IF(INDEX(ERP資料!$G:$G, (MATCH(275, 輔助計算!$G$2:$G$801, 0)+1))&lt;=31,3,IF(INDEX(ERP資料!$G:$G, (MATCH(275, 輔助計算!$G$2:$G$801, 0)+1))&lt;=46.5,2,1)), IF(INDEX(ERP資料!$G:$G, (MATCH(275, 輔助計算!$G$2:$G$801, 0)+1))&lt;=790,3,IF(INDEX(ERP資料!$G:$G, (MATCH(275, 輔助計算!$G$2:$G$801, 0)+1))&lt;=1181,2,1))))=1,TEXT(INDEX(ERP資料!$G:$G, (MATCH(275, 輔助計算!$G$2:$G$801, 0)+1)),"0.##"),IF(MOD(INDEX(輔助計算!$D:$D, (MATCH(275, 輔助計算!$G$2:$G$801, 0)+1)),IF(INDEX(ERP資料!$G:$G, (MATCH(275, 輔助計算!$G$2:$G$801, 0)+1))&lt;100, IF(INDEX(ERP資料!$G:$G, (MATCH(275, 輔助計算!$G$2:$G$801, 0)+1))&lt;=31,3,IF(INDEX(ERP資料!$G:$G, (MATCH(275, 輔助計算!$G$2:$G$801, 0)+1))&lt;=46.5,2,1)), IF(INDEX(ERP資料!$G:$G, (MATCH(275, 輔助計算!$G$2:$G$801, 0)+1))&lt;=790,3,IF(INDEX(ERP資料!$G:$G, (MATCH(275, 輔助計算!$G$2:$G$801, 0)+1))&lt;=1181,2,1))))=2,TEXT(INDEX(ERP資料!$G:$G, (MATCH(275, 輔助計算!$G$2:$G$801, 0)+1)),"0.##")&amp;"+"&amp;TEXT(INDEX(ERP資料!$G:$G, (MATCH(275, 輔助計算!$G$2:$G$801, 0)+1)),"0.##"),TEXT(INDEX(ERP資料!$G:$G, (MATCH(275, 輔助計算!$G$2:$G$801, 0)+1)),"0.##")&amp;"+"&amp;TEXT(INDEX(ERP資料!$G:$G, (MATCH(275, 輔助計算!$G$2:$G$801, 0)+1)),"0.##")&amp;"+"&amp;TEXT(INDEX(ERP資料!$G:$G, (MATCH(275, 輔助計算!$G$2:$G$801, 0)+1)),"0.##"))))&amp;"-1")), ""), "")</f>
        <v/>
      </c>
      <c r="K276" s="16" t="n"/>
      <c r="L276" s="14">
        <f>IFERROR(IF(AND(IFERROR(INDEX(ERP資料!$A:$A, (MATCH(275, 輔助計算!$G$2:$G$801, 0)+1)), "")&lt;&gt;"", IFERROR(INDEX(ERP資料!$A:$A, (MATCH(275, 輔助計算!$G$2:$G$801, 0)+1)), "")&lt;&gt;IFERROR(INDEX(ERP資料!$A:$A, MATCH(274, 輔助計算!$G$2:$G$801, 0)+1), "")), INDEX(ERP資料!$B:$B, (MATCH(275, 輔助計算!$G$2:$G$801, 0)+1)), ""), "")</f>
        <v/>
      </c>
      <c r="M276" s="17" t="n"/>
    </row>
    <row r="277">
      <c r="A277" s="10">
        <f>IFERROR(IF(AND(IFERROR(INDEX(ERP資料!$A:$A, (MATCH(276, 輔助計算!$G$2:$G$801, 0)+1)), "")&lt;&gt;"", IFERROR(INDEX(ERP資料!$A:$A, (MATCH(276, 輔助計算!$G$2:$G$801, 0)+1)), "")&lt;&gt;IFERROR(INDEX(ERP資料!$A:$A, MATCH(275, 輔助計算!$G$2:$G$801, 0)+1), "")), IFERROR(INDEX(ERP資料!$A:$A, (MATCH(276, 輔助計算!$G$2:$G$801, 0)+1)), ""), ""), "")</f>
        <v/>
      </c>
      <c r="B277" s="10">
        <f>IFERROR(IF(AND(IFERROR(INDEX(ERP資料!$A:$A, (MATCH(276, 輔助計算!$G$2:$G$801, 0)+1)), "")&lt;&gt;"", IFERROR(INDEX(ERP資料!$A:$A, (MATCH(276, 輔助計算!$G$2:$G$801, 0)+1)), "")&lt;&gt;IFERROR(INDEX(ERP資料!$A:$A, MATCH(275, 輔助計算!$G$2:$G$801, 0)+1), "")), INDEX(ERP資料!$S:$S, (MATCH(276, 輔助計算!$G$2:$G$801, 0)+1)), ""), "")</f>
        <v/>
      </c>
      <c r="C277" s="19">
        <f>IFERROR(IF(AND(IFERROR(INDEX(ERP資料!$A:$A, (MATCH(276, 輔助計算!$G$2:$G$801, 0)+1)), "")&lt;&gt;"", IFERROR(INDEX(ERP資料!$A:$A, (MATCH(276, 輔助計算!$G$2:$G$801, 0)+1)), "")&lt;&gt;IFERROR(INDEX(ERP資料!$A:$A, MATCH(275, 輔助計算!$G$2:$G$801, 0)+1), "")), IFERROR(VLOOKUP(LEFT(INDEX(ERP資料!$S:$S, (MATCH(276, 輔助計算!$G$2:$G$801, 0)+1)), 4), 紙管對照表!$A:$C, 3, FALSE), ""), ""), "")</f>
        <v/>
      </c>
      <c r="D277" s="16" t="n"/>
      <c r="E277" s="10">
        <f>IFERROR(IF(INDEX(ERP資料!$H:$H, (MATCH(276, 輔助計算!$G$2:$G$801, 0)+1))="","",INDEX(ERP資料!$H:$H, (MATCH(276, 輔助計算!$G$2:$G$801, 0)+1))), "")</f>
        <v/>
      </c>
      <c r="F277" s="10">
        <f>IFERROR(IF(INDEX(ERP資料!$E:$E, (MATCH(276, 輔助計算!$G$2:$G$801, 0)+1))="","",TRIM(INDEX(ERP資料!$E:$E, (MATCH(276, 輔助計算!$G$2:$G$801, 0)+1)))), "")</f>
        <v/>
      </c>
      <c r="G277" s="10">
        <f>IFERROR(IF(INDEX(ERP資料!$F:$F, (MATCH(276, 輔助計算!$G$2:$G$801, 0)+1))="","",INDEX(ERP資料!$F:$F, (MATCH(276, 輔助計算!$G$2:$G$801, 0)+1))), "")</f>
        <v/>
      </c>
      <c r="H277" s="10">
        <f>IFERROR(IF(INDEX(ERP資料!$G:$G, (MATCH(276, 輔助計算!$G$2:$G$801, 0)+1))="","",INDEX(ERP資料!$G:$G, (MATCH(276, 輔助計算!$G$2:$G$801, 0)+1))), "")</f>
        <v/>
      </c>
      <c r="I277" s="15">
        <f>IFERROR(INDEX(輔助計算!$D:$D, (MATCH(276, 輔助計算!$G$2:$G$801, 0)+1)), "")</f>
        <v/>
      </c>
      <c r="J277" s="15">
        <f>IFERROR(IF(AND(INDEX(輔助計算!$D:$D, (MATCH(276, 輔助計算!$G$2:$G$801, 0)+1))&lt;&gt;"", INDEX(ERP資料!$G:$G, (MATCH(276, 輔助計算!$G$2:$G$801, 0)+1))&lt;&gt;""), TRIM(IF(INT(INDEX(輔助計算!$D:$D, (MATCH(276, 輔助計算!$G$2:$G$801, 0)+1))/IF(INDEX(ERP資料!$G:$G, (MATCH(276, 輔助計算!$G$2:$G$801, 0)+1))&lt;100, IF(INDEX(ERP資料!$G:$G, (MATCH(276, 輔助計算!$G$2:$G$801, 0)+1))&lt;=31,3,IF(INDEX(ERP資料!$G:$G, (MATCH(276, 輔助計算!$G$2:$G$801, 0)+1))&lt;=46.5,2,1)), IF(INDEX(ERP資料!$G:$G, (MATCH(276, 輔助計算!$G$2:$G$801, 0)+1))&lt;=790,3,IF(INDEX(ERP資料!$G:$G, (MATCH(276, 輔助計算!$G$2:$G$801, 0)+1))&lt;=1181,2,1))))&gt;0, IF(IF(INDEX(ERP資料!$G:$G, (MATCH(276, 輔助計算!$G$2:$G$801, 0)+1))&lt;100, IF(INDEX(ERP資料!$G:$G, (MATCH(276, 輔助計算!$G$2:$G$801, 0)+1))&lt;=31,3,IF(INDEX(ERP資料!$G:$G, (MATCH(276, 輔助計算!$G$2:$G$801, 0)+1))&lt;=46.5,2,1)), IF(INDEX(ERP資料!$G:$G, (MATCH(276, 輔助計算!$G$2:$G$801, 0)+1))&lt;=790,3,IF(INDEX(ERP資料!$G:$G, (MATCH(276, 輔助計算!$G$2:$G$801, 0)+1))&lt;=1181,2,1)))=1,TEXT(INDEX(ERP資料!$G:$G, (MATCH(276, 輔助計算!$G$2:$G$801, 0)+1)),"0.##"),IF(IF(INDEX(ERP資料!$G:$G, (MATCH(276, 輔助計算!$G$2:$G$801, 0)+1))&lt;100, IF(INDEX(ERP資料!$G:$G, (MATCH(276, 輔助計算!$G$2:$G$801, 0)+1))&lt;=31,3,IF(INDEX(ERP資料!$G:$G, (MATCH(276, 輔助計算!$G$2:$G$801, 0)+1))&lt;=46.5,2,1)), IF(INDEX(ERP資料!$G:$G, (MATCH(276, 輔助計算!$G$2:$G$801, 0)+1))&lt;=790,3,IF(INDEX(ERP資料!$G:$G, (MATCH(276, 輔助計算!$G$2:$G$801, 0)+1))&lt;=1181,2,1)))=2,TEXT(INDEX(ERP資料!$G:$G, (MATCH(276, 輔助計算!$G$2:$G$801, 0)+1)),"0.##")&amp;"+"&amp;TEXT(INDEX(ERP資料!$G:$G, (MATCH(276, 輔助計算!$G$2:$G$801, 0)+1)),"0.##"),TEXT(INDEX(ERP資料!$G:$G, (MATCH(276, 輔助計算!$G$2:$G$801, 0)+1)),"0.##")&amp;"+"&amp;TEXT(INDEX(ERP資料!$G:$G, (MATCH(276, 輔助計算!$G$2:$G$801, 0)+1)),"0.##")&amp;"+"&amp;TEXT(INDEX(ERP資料!$G:$G, (MATCH(276, 輔助計算!$G$2:$G$801, 0)+1)),"0.##")))&amp;"-"&amp;INT(INDEX(輔助計算!$D:$D, (MATCH(276, 輔助計算!$G$2:$G$801, 0)+1))/IF(INDEX(ERP資料!$G:$G, (MATCH(276, 輔助計算!$G$2:$G$801, 0)+1))&lt;100, IF(INDEX(ERP資料!$G:$G, (MATCH(276, 輔助計算!$G$2:$G$801, 0)+1))&lt;=31,3,IF(INDEX(ERP資料!$G:$G, (MATCH(276, 輔助計算!$G$2:$G$801, 0)+1))&lt;=46.5,2,1)), IF(INDEX(ERP資料!$G:$G, (MATCH(276, 輔助計算!$G$2:$G$801, 0)+1))&lt;=790,3,IF(INDEX(ERP資料!$G:$G, (MATCH(276, 輔助計算!$G$2:$G$801, 0)+1))&lt;=1181,2,1)))), "")&amp;IF(AND(IF(INT(INDEX(輔助計算!$D:$D, (MATCH(276, 輔助計算!$G$2:$G$801, 0)+1))/IF(INDEX(ERP資料!$G:$G, (MATCH(276, 輔助計算!$G$2:$G$801, 0)+1))&lt;100, IF(INDEX(ERP資料!$G:$G, (MATCH(276, 輔助計算!$G$2:$G$801, 0)+1))&lt;=31,3,IF(INDEX(ERP資料!$G:$G, (MATCH(276, 輔助計算!$G$2:$G$801, 0)+1))&lt;=46.5,2,1)), IF(INDEX(ERP資料!$G:$G, (MATCH(276, 輔助計算!$G$2:$G$801, 0)+1))&lt;=790,3,IF(INDEX(ERP資料!$G:$G, (MATCH(276, 輔助計算!$G$2:$G$801, 0)+1))&lt;=1181,2,1))))&gt;0, IF(IF(INDEX(ERP資料!$G:$G, (MATCH(276, 輔助計算!$G$2:$G$801, 0)+1))&lt;100, IF(INDEX(ERP資料!$G:$G, (MATCH(276, 輔助計算!$G$2:$G$801, 0)+1))&lt;=31,3,IF(INDEX(ERP資料!$G:$G, (MATCH(276, 輔助計算!$G$2:$G$801, 0)+1))&lt;=46.5,2,1)), IF(INDEX(ERP資料!$G:$G, (MATCH(276, 輔助計算!$G$2:$G$801, 0)+1))&lt;=790,3,IF(INDEX(ERP資料!$G:$G, (MATCH(276, 輔助計算!$G$2:$G$801, 0)+1))&lt;=1181,2,1)))=1,TEXT(INDEX(ERP資料!$G:$G, (MATCH(276, 輔助計算!$G$2:$G$801, 0)+1)),"0.##"),IF(IF(INDEX(ERP資料!$G:$G, (MATCH(276, 輔助計算!$G$2:$G$801, 0)+1))&lt;100, IF(INDEX(ERP資料!$G:$G, (MATCH(276, 輔助計算!$G$2:$G$801, 0)+1))&lt;=31,3,IF(INDEX(ERP資料!$G:$G, (MATCH(276, 輔助計算!$G$2:$G$801, 0)+1))&lt;=46.5,2,1)), IF(INDEX(ERP資料!$G:$G, (MATCH(276, 輔助計算!$G$2:$G$801, 0)+1))&lt;=790,3,IF(INDEX(ERP資料!$G:$G, (MATCH(276, 輔助計算!$G$2:$G$801, 0)+1))&lt;=1181,2,1)))=2,TEXT(INDEX(ERP資料!$G:$G, (MATCH(276, 輔助計算!$G$2:$G$801, 0)+1)),"0.##")&amp;"+"&amp;TEXT(INDEX(ERP資料!$G:$G, (MATCH(276, 輔助計算!$G$2:$G$801, 0)+1)),"0.##"),TEXT(INDEX(ERP資料!$G:$G, (MATCH(276, 輔助計算!$G$2:$G$801, 0)+1)),"0.##")&amp;"+"&amp;TEXT(INDEX(ERP資料!$G:$G, (MATCH(276, 輔助計算!$G$2:$G$801, 0)+1)),"0.##")&amp;"+"&amp;TEXT(INDEX(ERP資料!$G:$G, (MATCH(276, 輔助計算!$G$2:$G$801, 0)+1)),"0.##")))&amp;"-"&amp;INT(INDEX(輔助計算!$D:$D, (MATCH(276, 輔助計算!$G$2:$G$801, 0)+1))/IF(INDEX(ERP資料!$G:$G, (MATCH(276, 輔助計算!$G$2:$G$801, 0)+1))&lt;100, IF(INDEX(ERP資料!$G:$G, (MATCH(276, 輔助計算!$G$2:$G$801, 0)+1))&lt;=31,3,IF(INDEX(ERP資料!$G:$G, (MATCH(276, 輔助計算!$G$2:$G$801, 0)+1))&lt;=46.5,2,1)), IF(INDEX(ERP資料!$G:$G, (MATCH(276, 輔助計算!$G$2:$G$801, 0)+1))&lt;=790,3,IF(INDEX(ERP資料!$G:$G, (MATCH(276, 輔助計算!$G$2:$G$801, 0)+1))&lt;=1181,2,1)))), "")&lt;&gt;"",IF(MOD(INDEX(輔助計算!$D:$D, (MATCH(276, 輔助計算!$G$2:$G$801, 0)+1)),IF(INDEX(ERP資料!$G:$G, (MATCH(276, 輔助計算!$G$2:$G$801, 0)+1))&lt;100, IF(INDEX(ERP資料!$G:$G, (MATCH(276, 輔助計算!$G$2:$G$801, 0)+1))&lt;=31,3,IF(INDEX(ERP資料!$G:$G, (MATCH(276, 輔助計算!$G$2:$G$801, 0)+1))&lt;=46.5,2,1)), IF(INDEX(ERP資料!$G:$G, (MATCH(276, 輔助計算!$G$2:$G$801, 0)+1))&lt;=790,3,IF(INDEX(ERP資料!$G:$G, (MATCH(276, 輔助計算!$G$2:$G$801, 0)+1))&lt;=1181,2,1))))=0,"",IF(MOD(INDEX(輔助計算!$D:$D, (MATCH(276, 輔助計算!$G$2:$G$801, 0)+1)),IF(INDEX(ERP資料!$G:$G, (MATCH(276, 輔助計算!$G$2:$G$801, 0)+1))&lt;100, IF(INDEX(ERP資料!$G:$G, (MATCH(276, 輔助計算!$G$2:$G$801, 0)+1))&lt;=31,3,IF(INDEX(ERP資料!$G:$G, (MATCH(276, 輔助計算!$G$2:$G$801, 0)+1))&lt;=46.5,2,1)), IF(INDEX(ERP資料!$G:$G, (MATCH(276, 輔助計算!$G$2:$G$801, 0)+1))&lt;=790,3,IF(INDEX(ERP資料!$G:$G, (MATCH(276, 輔助計算!$G$2:$G$801, 0)+1))&lt;=1181,2,1))))=0,"",IF(MOD(INDEX(輔助計算!$D:$D, (MATCH(276, 輔助計算!$G$2:$G$801, 0)+1)),IF(INDEX(ERP資料!$G:$G, (MATCH(276, 輔助計算!$G$2:$G$801, 0)+1))&lt;100, IF(INDEX(ERP資料!$G:$G, (MATCH(276, 輔助計算!$G$2:$G$801, 0)+1))&lt;=31,3,IF(INDEX(ERP資料!$G:$G, (MATCH(276, 輔助計算!$G$2:$G$801, 0)+1))&lt;=46.5,2,1)), IF(INDEX(ERP資料!$G:$G, (MATCH(276, 輔助計算!$G$2:$G$801, 0)+1))&lt;=790,3,IF(INDEX(ERP資料!$G:$G, (MATCH(276, 輔助計算!$G$2:$G$801, 0)+1))&lt;=1181,2,1))))=1,TEXT(INDEX(ERP資料!$G:$G, (MATCH(276, 輔助計算!$G$2:$G$801, 0)+1)),"0.##"),IF(MOD(INDEX(輔助計算!$D:$D, (MATCH(276, 輔助計算!$G$2:$G$801, 0)+1)),IF(INDEX(ERP資料!$G:$G, (MATCH(276, 輔助計算!$G$2:$G$801, 0)+1))&lt;100, IF(INDEX(ERP資料!$G:$G, (MATCH(276, 輔助計算!$G$2:$G$801, 0)+1))&lt;=31,3,IF(INDEX(ERP資料!$G:$G, (MATCH(276, 輔助計算!$G$2:$G$801, 0)+1))&lt;=46.5,2,1)), IF(INDEX(ERP資料!$G:$G, (MATCH(276, 輔助計算!$G$2:$G$801, 0)+1))&lt;=790,3,IF(INDEX(ERP資料!$G:$G, (MATCH(276, 輔助計算!$G$2:$G$801, 0)+1))&lt;=1181,2,1))))=2,TEXT(INDEX(ERP資料!$G:$G, (MATCH(276, 輔助計算!$G$2:$G$801, 0)+1)),"0.##")&amp;"+"&amp;TEXT(INDEX(ERP資料!$G:$G, (MATCH(276, 輔助計算!$G$2:$G$801, 0)+1)),"0.##"),TEXT(INDEX(ERP資料!$G:$G, (MATCH(276, 輔助計算!$G$2:$G$801, 0)+1)),"0.##")&amp;"+"&amp;TEXT(INDEX(ERP資料!$G:$G, (MATCH(276, 輔助計算!$G$2:$G$801, 0)+1)),"0.##")&amp;"+"&amp;TEXT(INDEX(ERP資料!$G:$G, (MATCH(276, 輔助計算!$G$2:$G$801, 0)+1)),"0.##"))))&amp;"-1")&lt;&gt;""),"  ","")&amp;IF(MOD(INDEX(輔助計算!$D:$D, (MATCH(276, 輔助計算!$G$2:$G$801, 0)+1)),IF(INDEX(ERP資料!$G:$G, (MATCH(276, 輔助計算!$G$2:$G$801, 0)+1))&lt;100, IF(INDEX(ERP資料!$G:$G, (MATCH(276, 輔助計算!$G$2:$G$801, 0)+1))&lt;=31,3,IF(INDEX(ERP資料!$G:$G, (MATCH(276, 輔助計算!$G$2:$G$801, 0)+1))&lt;=46.5,2,1)), IF(INDEX(ERP資料!$G:$G, (MATCH(276, 輔助計算!$G$2:$G$801, 0)+1))&lt;=790,3,IF(INDEX(ERP資料!$G:$G, (MATCH(276, 輔助計算!$G$2:$G$801, 0)+1))&lt;=1181,2,1))))=0,"",IF(MOD(INDEX(輔助計算!$D:$D, (MATCH(276, 輔助計算!$G$2:$G$801, 0)+1)),IF(INDEX(ERP資料!$G:$G, (MATCH(276, 輔助計算!$G$2:$G$801, 0)+1))&lt;100, IF(INDEX(ERP資料!$G:$G, (MATCH(276, 輔助計算!$G$2:$G$801, 0)+1))&lt;=31,3,IF(INDEX(ERP資料!$G:$G, (MATCH(276, 輔助計算!$G$2:$G$801, 0)+1))&lt;=46.5,2,1)), IF(INDEX(ERP資料!$G:$G, (MATCH(276, 輔助計算!$G$2:$G$801, 0)+1))&lt;=790,3,IF(INDEX(ERP資料!$G:$G, (MATCH(276, 輔助計算!$G$2:$G$801, 0)+1))&lt;=1181,2,1))))=0,"",IF(MOD(INDEX(輔助計算!$D:$D, (MATCH(276, 輔助計算!$G$2:$G$801, 0)+1)),IF(INDEX(ERP資料!$G:$G, (MATCH(276, 輔助計算!$G$2:$G$801, 0)+1))&lt;100, IF(INDEX(ERP資料!$G:$G, (MATCH(276, 輔助計算!$G$2:$G$801, 0)+1))&lt;=31,3,IF(INDEX(ERP資料!$G:$G, (MATCH(276, 輔助計算!$G$2:$G$801, 0)+1))&lt;=46.5,2,1)), IF(INDEX(ERP資料!$G:$G, (MATCH(276, 輔助計算!$G$2:$G$801, 0)+1))&lt;=790,3,IF(INDEX(ERP資料!$G:$G, (MATCH(276, 輔助計算!$G$2:$G$801, 0)+1))&lt;=1181,2,1))))=1,TEXT(INDEX(ERP資料!$G:$G, (MATCH(276, 輔助計算!$G$2:$G$801, 0)+1)),"0.##"),IF(MOD(INDEX(輔助計算!$D:$D, (MATCH(276, 輔助計算!$G$2:$G$801, 0)+1)),IF(INDEX(ERP資料!$G:$G, (MATCH(276, 輔助計算!$G$2:$G$801, 0)+1))&lt;100, IF(INDEX(ERP資料!$G:$G, (MATCH(276, 輔助計算!$G$2:$G$801, 0)+1))&lt;=31,3,IF(INDEX(ERP資料!$G:$G, (MATCH(276, 輔助計算!$G$2:$G$801, 0)+1))&lt;=46.5,2,1)), IF(INDEX(ERP資料!$G:$G, (MATCH(276, 輔助計算!$G$2:$G$801, 0)+1))&lt;=790,3,IF(INDEX(ERP資料!$G:$G, (MATCH(276, 輔助計算!$G$2:$G$801, 0)+1))&lt;=1181,2,1))))=2,TEXT(INDEX(ERP資料!$G:$G, (MATCH(276, 輔助計算!$G$2:$G$801, 0)+1)),"0.##")&amp;"+"&amp;TEXT(INDEX(ERP資料!$G:$G, (MATCH(276, 輔助計算!$G$2:$G$801, 0)+1)),"0.##"),TEXT(INDEX(ERP資料!$G:$G, (MATCH(276, 輔助計算!$G$2:$G$801, 0)+1)),"0.##")&amp;"+"&amp;TEXT(INDEX(ERP資料!$G:$G, (MATCH(276, 輔助計算!$G$2:$G$801, 0)+1)),"0.##")&amp;"+"&amp;TEXT(INDEX(ERP資料!$G:$G, (MATCH(276, 輔助計算!$G$2:$G$801, 0)+1)),"0.##"))))&amp;"-1")), ""), "")</f>
        <v/>
      </c>
      <c r="K277" s="16" t="n"/>
      <c r="L277" s="14">
        <f>IFERROR(IF(AND(IFERROR(INDEX(ERP資料!$A:$A, (MATCH(276, 輔助計算!$G$2:$G$801, 0)+1)), "")&lt;&gt;"", IFERROR(INDEX(ERP資料!$A:$A, (MATCH(276, 輔助計算!$G$2:$G$801, 0)+1)), "")&lt;&gt;IFERROR(INDEX(ERP資料!$A:$A, MATCH(275, 輔助計算!$G$2:$G$801, 0)+1), "")), INDEX(ERP資料!$B:$B, (MATCH(276, 輔助計算!$G$2:$G$801, 0)+1)), ""), "")</f>
        <v/>
      </c>
      <c r="M277" s="17" t="n"/>
    </row>
    <row r="278">
      <c r="A278" s="10">
        <f>IFERROR(IF(AND(IFERROR(INDEX(ERP資料!$A:$A, (MATCH(277, 輔助計算!$G$2:$G$801, 0)+1)), "")&lt;&gt;"", IFERROR(INDEX(ERP資料!$A:$A, (MATCH(277, 輔助計算!$G$2:$G$801, 0)+1)), "")&lt;&gt;IFERROR(INDEX(ERP資料!$A:$A, MATCH(276, 輔助計算!$G$2:$G$801, 0)+1), "")), IFERROR(INDEX(ERP資料!$A:$A, (MATCH(277, 輔助計算!$G$2:$G$801, 0)+1)), ""), ""), "")</f>
        <v/>
      </c>
      <c r="B278" s="10">
        <f>IFERROR(IF(AND(IFERROR(INDEX(ERP資料!$A:$A, (MATCH(277, 輔助計算!$G$2:$G$801, 0)+1)), "")&lt;&gt;"", IFERROR(INDEX(ERP資料!$A:$A, (MATCH(277, 輔助計算!$G$2:$G$801, 0)+1)), "")&lt;&gt;IFERROR(INDEX(ERP資料!$A:$A, MATCH(276, 輔助計算!$G$2:$G$801, 0)+1), "")), INDEX(ERP資料!$S:$S, (MATCH(277, 輔助計算!$G$2:$G$801, 0)+1)), ""), "")</f>
        <v/>
      </c>
      <c r="C278" s="19">
        <f>IFERROR(IF(AND(IFERROR(INDEX(ERP資料!$A:$A, (MATCH(277, 輔助計算!$G$2:$G$801, 0)+1)), "")&lt;&gt;"", IFERROR(INDEX(ERP資料!$A:$A, (MATCH(277, 輔助計算!$G$2:$G$801, 0)+1)), "")&lt;&gt;IFERROR(INDEX(ERP資料!$A:$A, MATCH(276, 輔助計算!$G$2:$G$801, 0)+1), "")), IFERROR(VLOOKUP(LEFT(INDEX(ERP資料!$S:$S, (MATCH(277, 輔助計算!$G$2:$G$801, 0)+1)), 4), 紙管對照表!$A:$C, 3, FALSE), ""), ""), "")</f>
        <v/>
      </c>
      <c r="D278" s="16" t="n"/>
      <c r="E278" s="10">
        <f>IFERROR(IF(INDEX(ERP資料!$H:$H, (MATCH(277, 輔助計算!$G$2:$G$801, 0)+1))="","",INDEX(ERP資料!$H:$H, (MATCH(277, 輔助計算!$G$2:$G$801, 0)+1))), "")</f>
        <v/>
      </c>
      <c r="F278" s="10">
        <f>IFERROR(IF(INDEX(ERP資料!$E:$E, (MATCH(277, 輔助計算!$G$2:$G$801, 0)+1))="","",TRIM(INDEX(ERP資料!$E:$E, (MATCH(277, 輔助計算!$G$2:$G$801, 0)+1)))), "")</f>
        <v/>
      </c>
      <c r="G278" s="10">
        <f>IFERROR(IF(INDEX(ERP資料!$F:$F, (MATCH(277, 輔助計算!$G$2:$G$801, 0)+1))="","",INDEX(ERP資料!$F:$F, (MATCH(277, 輔助計算!$G$2:$G$801, 0)+1))), "")</f>
        <v/>
      </c>
      <c r="H278" s="10">
        <f>IFERROR(IF(INDEX(ERP資料!$G:$G, (MATCH(277, 輔助計算!$G$2:$G$801, 0)+1))="","",INDEX(ERP資料!$G:$G, (MATCH(277, 輔助計算!$G$2:$G$801, 0)+1))), "")</f>
        <v/>
      </c>
      <c r="I278" s="15">
        <f>IFERROR(INDEX(輔助計算!$D:$D, (MATCH(277, 輔助計算!$G$2:$G$801, 0)+1)), "")</f>
        <v/>
      </c>
      <c r="J278" s="15">
        <f>IFERROR(IF(AND(INDEX(輔助計算!$D:$D, (MATCH(277, 輔助計算!$G$2:$G$801, 0)+1))&lt;&gt;"", INDEX(ERP資料!$G:$G, (MATCH(277, 輔助計算!$G$2:$G$801, 0)+1))&lt;&gt;""), TRIM(IF(INT(INDEX(輔助計算!$D:$D, (MATCH(277, 輔助計算!$G$2:$G$801, 0)+1))/IF(INDEX(ERP資料!$G:$G, (MATCH(277, 輔助計算!$G$2:$G$801, 0)+1))&lt;100, IF(INDEX(ERP資料!$G:$G, (MATCH(277, 輔助計算!$G$2:$G$801, 0)+1))&lt;=31,3,IF(INDEX(ERP資料!$G:$G, (MATCH(277, 輔助計算!$G$2:$G$801, 0)+1))&lt;=46.5,2,1)), IF(INDEX(ERP資料!$G:$G, (MATCH(277, 輔助計算!$G$2:$G$801, 0)+1))&lt;=790,3,IF(INDEX(ERP資料!$G:$G, (MATCH(277, 輔助計算!$G$2:$G$801, 0)+1))&lt;=1181,2,1))))&gt;0, IF(IF(INDEX(ERP資料!$G:$G, (MATCH(277, 輔助計算!$G$2:$G$801, 0)+1))&lt;100, IF(INDEX(ERP資料!$G:$G, (MATCH(277, 輔助計算!$G$2:$G$801, 0)+1))&lt;=31,3,IF(INDEX(ERP資料!$G:$G, (MATCH(277, 輔助計算!$G$2:$G$801, 0)+1))&lt;=46.5,2,1)), IF(INDEX(ERP資料!$G:$G, (MATCH(277, 輔助計算!$G$2:$G$801, 0)+1))&lt;=790,3,IF(INDEX(ERP資料!$G:$G, (MATCH(277, 輔助計算!$G$2:$G$801, 0)+1))&lt;=1181,2,1)))=1,TEXT(INDEX(ERP資料!$G:$G, (MATCH(277, 輔助計算!$G$2:$G$801, 0)+1)),"0.##"),IF(IF(INDEX(ERP資料!$G:$G, (MATCH(277, 輔助計算!$G$2:$G$801, 0)+1))&lt;100, IF(INDEX(ERP資料!$G:$G, (MATCH(277, 輔助計算!$G$2:$G$801, 0)+1))&lt;=31,3,IF(INDEX(ERP資料!$G:$G, (MATCH(277, 輔助計算!$G$2:$G$801, 0)+1))&lt;=46.5,2,1)), IF(INDEX(ERP資料!$G:$G, (MATCH(277, 輔助計算!$G$2:$G$801, 0)+1))&lt;=790,3,IF(INDEX(ERP資料!$G:$G, (MATCH(277, 輔助計算!$G$2:$G$801, 0)+1))&lt;=1181,2,1)))=2,TEXT(INDEX(ERP資料!$G:$G, (MATCH(277, 輔助計算!$G$2:$G$801, 0)+1)),"0.##")&amp;"+"&amp;TEXT(INDEX(ERP資料!$G:$G, (MATCH(277, 輔助計算!$G$2:$G$801, 0)+1)),"0.##"),TEXT(INDEX(ERP資料!$G:$G, (MATCH(277, 輔助計算!$G$2:$G$801, 0)+1)),"0.##")&amp;"+"&amp;TEXT(INDEX(ERP資料!$G:$G, (MATCH(277, 輔助計算!$G$2:$G$801, 0)+1)),"0.##")&amp;"+"&amp;TEXT(INDEX(ERP資料!$G:$G, (MATCH(277, 輔助計算!$G$2:$G$801, 0)+1)),"0.##")))&amp;"-"&amp;INT(INDEX(輔助計算!$D:$D, (MATCH(277, 輔助計算!$G$2:$G$801, 0)+1))/IF(INDEX(ERP資料!$G:$G, (MATCH(277, 輔助計算!$G$2:$G$801, 0)+1))&lt;100, IF(INDEX(ERP資料!$G:$G, (MATCH(277, 輔助計算!$G$2:$G$801, 0)+1))&lt;=31,3,IF(INDEX(ERP資料!$G:$G, (MATCH(277, 輔助計算!$G$2:$G$801, 0)+1))&lt;=46.5,2,1)), IF(INDEX(ERP資料!$G:$G, (MATCH(277, 輔助計算!$G$2:$G$801, 0)+1))&lt;=790,3,IF(INDEX(ERP資料!$G:$G, (MATCH(277, 輔助計算!$G$2:$G$801, 0)+1))&lt;=1181,2,1)))), "")&amp;IF(AND(IF(INT(INDEX(輔助計算!$D:$D, (MATCH(277, 輔助計算!$G$2:$G$801, 0)+1))/IF(INDEX(ERP資料!$G:$G, (MATCH(277, 輔助計算!$G$2:$G$801, 0)+1))&lt;100, IF(INDEX(ERP資料!$G:$G, (MATCH(277, 輔助計算!$G$2:$G$801, 0)+1))&lt;=31,3,IF(INDEX(ERP資料!$G:$G, (MATCH(277, 輔助計算!$G$2:$G$801, 0)+1))&lt;=46.5,2,1)), IF(INDEX(ERP資料!$G:$G, (MATCH(277, 輔助計算!$G$2:$G$801, 0)+1))&lt;=790,3,IF(INDEX(ERP資料!$G:$G, (MATCH(277, 輔助計算!$G$2:$G$801, 0)+1))&lt;=1181,2,1))))&gt;0, IF(IF(INDEX(ERP資料!$G:$G, (MATCH(277, 輔助計算!$G$2:$G$801, 0)+1))&lt;100, IF(INDEX(ERP資料!$G:$G, (MATCH(277, 輔助計算!$G$2:$G$801, 0)+1))&lt;=31,3,IF(INDEX(ERP資料!$G:$G, (MATCH(277, 輔助計算!$G$2:$G$801, 0)+1))&lt;=46.5,2,1)), IF(INDEX(ERP資料!$G:$G, (MATCH(277, 輔助計算!$G$2:$G$801, 0)+1))&lt;=790,3,IF(INDEX(ERP資料!$G:$G, (MATCH(277, 輔助計算!$G$2:$G$801, 0)+1))&lt;=1181,2,1)))=1,TEXT(INDEX(ERP資料!$G:$G, (MATCH(277, 輔助計算!$G$2:$G$801, 0)+1)),"0.##"),IF(IF(INDEX(ERP資料!$G:$G, (MATCH(277, 輔助計算!$G$2:$G$801, 0)+1))&lt;100, IF(INDEX(ERP資料!$G:$G, (MATCH(277, 輔助計算!$G$2:$G$801, 0)+1))&lt;=31,3,IF(INDEX(ERP資料!$G:$G, (MATCH(277, 輔助計算!$G$2:$G$801, 0)+1))&lt;=46.5,2,1)), IF(INDEX(ERP資料!$G:$G, (MATCH(277, 輔助計算!$G$2:$G$801, 0)+1))&lt;=790,3,IF(INDEX(ERP資料!$G:$G, (MATCH(277, 輔助計算!$G$2:$G$801, 0)+1))&lt;=1181,2,1)))=2,TEXT(INDEX(ERP資料!$G:$G, (MATCH(277, 輔助計算!$G$2:$G$801, 0)+1)),"0.##")&amp;"+"&amp;TEXT(INDEX(ERP資料!$G:$G, (MATCH(277, 輔助計算!$G$2:$G$801, 0)+1)),"0.##"),TEXT(INDEX(ERP資料!$G:$G, (MATCH(277, 輔助計算!$G$2:$G$801, 0)+1)),"0.##")&amp;"+"&amp;TEXT(INDEX(ERP資料!$G:$G, (MATCH(277, 輔助計算!$G$2:$G$801, 0)+1)),"0.##")&amp;"+"&amp;TEXT(INDEX(ERP資料!$G:$G, (MATCH(277, 輔助計算!$G$2:$G$801, 0)+1)),"0.##")))&amp;"-"&amp;INT(INDEX(輔助計算!$D:$D, (MATCH(277, 輔助計算!$G$2:$G$801, 0)+1))/IF(INDEX(ERP資料!$G:$G, (MATCH(277, 輔助計算!$G$2:$G$801, 0)+1))&lt;100, IF(INDEX(ERP資料!$G:$G, (MATCH(277, 輔助計算!$G$2:$G$801, 0)+1))&lt;=31,3,IF(INDEX(ERP資料!$G:$G, (MATCH(277, 輔助計算!$G$2:$G$801, 0)+1))&lt;=46.5,2,1)), IF(INDEX(ERP資料!$G:$G, (MATCH(277, 輔助計算!$G$2:$G$801, 0)+1))&lt;=790,3,IF(INDEX(ERP資料!$G:$G, (MATCH(277, 輔助計算!$G$2:$G$801, 0)+1))&lt;=1181,2,1)))), "")&lt;&gt;"",IF(MOD(INDEX(輔助計算!$D:$D, (MATCH(277, 輔助計算!$G$2:$G$801, 0)+1)),IF(INDEX(ERP資料!$G:$G, (MATCH(277, 輔助計算!$G$2:$G$801, 0)+1))&lt;100, IF(INDEX(ERP資料!$G:$G, (MATCH(277, 輔助計算!$G$2:$G$801, 0)+1))&lt;=31,3,IF(INDEX(ERP資料!$G:$G, (MATCH(277, 輔助計算!$G$2:$G$801, 0)+1))&lt;=46.5,2,1)), IF(INDEX(ERP資料!$G:$G, (MATCH(277, 輔助計算!$G$2:$G$801, 0)+1))&lt;=790,3,IF(INDEX(ERP資料!$G:$G, (MATCH(277, 輔助計算!$G$2:$G$801, 0)+1))&lt;=1181,2,1))))=0,"",IF(MOD(INDEX(輔助計算!$D:$D, (MATCH(277, 輔助計算!$G$2:$G$801, 0)+1)),IF(INDEX(ERP資料!$G:$G, (MATCH(277, 輔助計算!$G$2:$G$801, 0)+1))&lt;100, IF(INDEX(ERP資料!$G:$G, (MATCH(277, 輔助計算!$G$2:$G$801, 0)+1))&lt;=31,3,IF(INDEX(ERP資料!$G:$G, (MATCH(277, 輔助計算!$G$2:$G$801, 0)+1))&lt;=46.5,2,1)), IF(INDEX(ERP資料!$G:$G, (MATCH(277, 輔助計算!$G$2:$G$801, 0)+1))&lt;=790,3,IF(INDEX(ERP資料!$G:$G, (MATCH(277, 輔助計算!$G$2:$G$801, 0)+1))&lt;=1181,2,1))))=0,"",IF(MOD(INDEX(輔助計算!$D:$D, (MATCH(277, 輔助計算!$G$2:$G$801, 0)+1)),IF(INDEX(ERP資料!$G:$G, (MATCH(277, 輔助計算!$G$2:$G$801, 0)+1))&lt;100, IF(INDEX(ERP資料!$G:$G, (MATCH(277, 輔助計算!$G$2:$G$801, 0)+1))&lt;=31,3,IF(INDEX(ERP資料!$G:$G, (MATCH(277, 輔助計算!$G$2:$G$801, 0)+1))&lt;=46.5,2,1)), IF(INDEX(ERP資料!$G:$G, (MATCH(277, 輔助計算!$G$2:$G$801, 0)+1))&lt;=790,3,IF(INDEX(ERP資料!$G:$G, (MATCH(277, 輔助計算!$G$2:$G$801, 0)+1))&lt;=1181,2,1))))=1,TEXT(INDEX(ERP資料!$G:$G, (MATCH(277, 輔助計算!$G$2:$G$801, 0)+1)),"0.##"),IF(MOD(INDEX(輔助計算!$D:$D, (MATCH(277, 輔助計算!$G$2:$G$801, 0)+1)),IF(INDEX(ERP資料!$G:$G, (MATCH(277, 輔助計算!$G$2:$G$801, 0)+1))&lt;100, IF(INDEX(ERP資料!$G:$G, (MATCH(277, 輔助計算!$G$2:$G$801, 0)+1))&lt;=31,3,IF(INDEX(ERP資料!$G:$G, (MATCH(277, 輔助計算!$G$2:$G$801, 0)+1))&lt;=46.5,2,1)), IF(INDEX(ERP資料!$G:$G, (MATCH(277, 輔助計算!$G$2:$G$801, 0)+1))&lt;=790,3,IF(INDEX(ERP資料!$G:$G, (MATCH(277, 輔助計算!$G$2:$G$801, 0)+1))&lt;=1181,2,1))))=2,TEXT(INDEX(ERP資料!$G:$G, (MATCH(277, 輔助計算!$G$2:$G$801, 0)+1)),"0.##")&amp;"+"&amp;TEXT(INDEX(ERP資料!$G:$G, (MATCH(277, 輔助計算!$G$2:$G$801, 0)+1)),"0.##"),TEXT(INDEX(ERP資料!$G:$G, (MATCH(277, 輔助計算!$G$2:$G$801, 0)+1)),"0.##")&amp;"+"&amp;TEXT(INDEX(ERP資料!$G:$G, (MATCH(277, 輔助計算!$G$2:$G$801, 0)+1)),"0.##")&amp;"+"&amp;TEXT(INDEX(ERP資料!$G:$G, (MATCH(277, 輔助計算!$G$2:$G$801, 0)+1)),"0.##"))))&amp;"-1")&lt;&gt;""),"  ","")&amp;IF(MOD(INDEX(輔助計算!$D:$D, (MATCH(277, 輔助計算!$G$2:$G$801, 0)+1)),IF(INDEX(ERP資料!$G:$G, (MATCH(277, 輔助計算!$G$2:$G$801, 0)+1))&lt;100, IF(INDEX(ERP資料!$G:$G, (MATCH(277, 輔助計算!$G$2:$G$801, 0)+1))&lt;=31,3,IF(INDEX(ERP資料!$G:$G, (MATCH(277, 輔助計算!$G$2:$G$801, 0)+1))&lt;=46.5,2,1)), IF(INDEX(ERP資料!$G:$G, (MATCH(277, 輔助計算!$G$2:$G$801, 0)+1))&lt;=790,3,IF(INDEX(ERP資料!$G:$G, (MATCH(277, 輔助計算!$G$2:$G$801, 0)+1))&lt;=1181,2,1))))=0,"",IF(MOD(INDEX(輔助計算!$D:$D, (MATCH(277, 輔助計算!$G$2:$G$801, 0)+1)),IF(INDEX(ERP資料!$G:$G, (MATCH(277, 輔助計算!$G$2:$G$801, 0)+1))&lt;100, IF(INDEX(ERP資料!$G:$G, (MATCH(277, 輔助計算!$G$2:$G$801, 0)+1))&lt;=31,3,IF(INDEX(ERP資料!$G:$G, (MATCH(277, 輔助計算!$G$2:$G$801, 0)+1))&lt;=46.5,2,1)), IF(INDEX(ERP資料!$G:$G, (MATCH(277, 輔助計算!$G$2:$G$801, 0)+1))&lt;=790,3,IF(INDEX(ERP資料!$G:$G, (MATCH(277, 輔助計算!$G$2:$G$801, 0)+1))&lt;=1181,2,1))))=0,"",IF(MOD(INDEX(輔助計算!$D:$D, (MATCH(277, 輔助計算!$G$2:$G$801, 0)+1)),IF(INDEX(ERP資料!$G:$G, (MATCH(277, 輔助計算!$G$2:$G$801, 0)+1))&lt;100, IF(INDEX(ERP資料!$G:$G, (MATCH(277, 輔助計算!$G$2:$G$801, 0)+1))&lt;=31,3,IF(INDEX(ERP資料!$G:$G, (MATCH(277, 輔助計算!$G$2:$G$801, 0)+1))&lt;=46.5,2,1)), IF(INDEX(ERP資料!$G:$G, (MATCH(277, 輔助計算!$G$2:$G$801, 0)+1))&lt;=790,3,IF(INDEX(ERP資料!$G:$G, (MATCH(277, 輔助計算!$G$2:$G$801, 0)+1))&lt;=1181,2,1))))=1,TEXT(INDEX(ERP資料!$G:$G, (MATCH(277, 輔助計算!$G$2:$G$801, 0)+1)),"0.##"),IF(MOD(INDEX(輔助計算!$D:$D, (MATCH(277, 輔助計算!$G$2:$G$801, 0)+1)),IF(INDEX(ERP資料!$G:$G, (MATCH(277, 輔助計算!$G$2:$G$801, 0)+1))&lt;100, IF(INDEX(ERP資料!$G:$G, (MATCH(277, 輔助計算!$G$2:$G$801, 0)+1))&lt;=31,3,IF(INDEX(ERP資料!$G:$G, (MATCH(277, 輔助計算!$G$2:$G$801, 0)+1))&lt;=46.5,2,1)), IF(INDEX(ERP資料!$G:$G, (MATCH(277, 輔助計算!$G$2:$G$801, 0)+1))&lt;=790,3,IF(INDEX(ERP資料!$G:$G, (MATCH(277, 輔助計算!$G$2:$G$801, 0)+1))&lt;=1181,2,1))))=2,TEXT(INDEX(ERP資料!$G:$G, (MATCH(277, 輔助計算!$G$2:$G$801, 0)+1)),"0.##")&amp;"+"&amp;TEXT(INDEX(ERP資料!$G:$G, (MATCH(277, 輔助計算!$G$2:$G$801, 0)+1)),"0.##"),TEXT(INDEX(ERP資料!$G:$G, (MATCH(277, 輔助計算!$G$2:$G$801, 0)+1)),"0.##")&amp;"+"&amp;TEXT(INDEX(ERP資料!$G:$G, (MATCH(277, 輔助計算!$G$2:$G$801, 0)+1)),"0.##")&amp;"+"&amp;TEXT(INDEX(ERP資料!$G:$G, (MATCH(277, 輔助計算!$G$2:$G$801, 0)+1)),"0.##"))))&amp;"-1")), ""), "")</f>
        <v/>
      </c>
      <c r="K278" s="16" t="n"/>
      <c r="L278" s="14">
        <f>IFERROR(IF(AND(IFERROR(INDEX(ERP資料!$A:$A, (MATCH(277, 輔助計算!$G$2:$G$801, 0)+1)), "")&lt;&gt;"", IFERROR(INDEX(ERP資料!$A:$A, (MATCH(277, 輔助計算!$G$2:$G$801, 0)+1)), "")&lt;&gt;IFERROR(INDEX(ERP資料!$A:$A, MATCH(276, 輔助計算!$G$2:$G$801, 0)+1), "")), INDEX(ERP資料!$B:$B, (MATCH(277, 輔助計算!$G$2:$G$801, 0)+1)), ""), "")</f>
        <v/>
      </c>
      <c r="M278" s="17" t="n"/>
    </row>
    <row r="279">
      <c r="A279" s="10">
        <f>IFERROR(IF(AND(IFERROR(INDEX(ERP資料!$A:$A, (MATCH(278, 輔助計算!$G$2:$G$801, 0)+1)), "")&lt;&gt;"", IFERROR(INDEX(ERP資料!$A:$A, (MATCH(278, 輔助計算!$G$2:$G$801, 0)+1)), "")&lt;&gt;IFERROR(INDEX(ERP資料!$A:$A, MATCH(277, 輔助計算!$G$2:$G$801, 0)+1), "")), IFERROR(INDEX(ERP資料!$A:$A, (MATCH(278, 輔助計算!$G$2:$G$801, 0)+1)), ""), ""), "")</f>
        <v/>
      </c>
      <c r="B279" s="10">
        <f>IFERROR(IF(AND(IFERROR(INDEX(ERP資料!$A:$A, (MATCH(278, 輔助計算!$G$2:$G$801, 0)+1)), "")&lt;&gt;"", IFERROR(INDEX(ERP資料!$A:$A, (MATCH(278, 輔助計算!$G$2:$G$801, 0)+1)), "")&lt;&gt;IFERROR(INDEX(ERP資料!$A:$A, MATCH(277, 輔助計算!$G$2:$G$801, 0)+1), "")), INDEX(ERP資料!$S:$S, (MATCH(278, 輔助計算!$G$2:$G$801, 0)+1)), ""), "")</f>
        <v/>
      </c>
      <c r="C279" s="19">
        <f>IFERROR(IF(AND(IFERROR(INDEX(ERP資料!$A:$A, (MATCH(278, 輔助計算!$G$2:$G$801, 0)+1)), "")&lt;&gt;"", IFERROR(INDEX(ERP資料!$A:$A, (MATCH(278, 輔助計算!$G$2:$G$801, 0)+1)), "")&lt;&gt;IFERROR(INDEX(ERP資料!$A:$A, MATCH(277, 輔助計算!$G$2:$G$801, 0)+1), "")), IFERROR(VLOOKUP(LEFT(INDEX(ERP資料!$S:$S, (MATCH(278, 輔助計算!$G$2:$G$801, 0)+1)), 4), 紙管對照表!$A:$C, 3, FALSE), ""), ""), "")</f>
        <v/>
      </c>
      <c r="D279" s="16" t="n"/>
      <c r="E279" s="10">
        <f>IFERROR(IF(INDEX(ERP資料!$H:$H, (MATCH(278, 輔助計算!$G$2:$G$801, 0)+1))="","",INDEX(ERP資料!$H:$H, (MATCH(278, 輔助計算!$G$2:$G$801, 0)+1))), "")</f>
        <v/>
      </c>
      <c r="F279" s="10">
        <f>IFERROR(IF(INDEX(ERP資料!$E:$E, (MATCH(278, 輔助計算!$G$2:$G$801, 0)+1))="","",TRIM(INDEX(ERP資料!$E:$E, (MATCH(278, 輔助計算!$G$2:$G$801, 0)+1)))), "")</f>
        <v/>
      </c>
      <c r="G279" s="10">
        <f>IFERROR(IF(INDEX(ERP資料!$F:$F, (MATCH(278, 輔助計算!$G$2:$G$801, 0)+1))="","",INDEX(ERP資料!$F:$F, (MATCH(278, 輔助計算!$G$2:$G$801, 0)+1))), "")</f>
        <v/>
      </c>
      <c r="H279" s="10">
        <f>IFERROR(IF(INDEX(ERP資料!$G:$G, (MATCH(278, 輔助計算!$G$2:$G$801, 0)+1))="","",INDEX(ERP資料!$G:$G, (MATCH(278, 輔助計算!$G$2:$G$801, 0)+1))), "")</f>
        <v/>
      </c>
      <c r="I279" s="15">
        <f>IFERROR(INDEX(輔助計算!$D:$D, (MATCH(278, 輔助計算!$G$2:$G$801, 0)+1)), "")</f>
        <v/>
      </c>
      <c r="J279" s="15">
        <f>IFERROR(IF(AND(INDEX(輔助計算!$D:$D, (MATCH(278, 輔助計算!$G$2:$G$801, 0)+1))&lt;&gt;"", INDEX(ERP資料!$G:$G, (MATCH(278, 輔助計算!$G$2:$G$801, 0)+1))&lt;&gt;""), TRIM(IF(INT(INDEX(輔助計算!$D:$D, (MATCH(278, 輔助計算!$G$2:$G$801, 0)+1))/IF(INDEX(ERP資料!$G:$G, (MATCH(278, 輔助計算!$G$2:$G$801, 0)+1))&lt;100, IF(INDEX(ERP資料!$G:$G, (MATCH(278, 輔助計算!$G$2:$G$801, 0)+1))&lt;=31,3,IF(INDEX(ERP資料!$G:$G, (MATCH(278, 輔助計算!$G$2:$G$801, 0)+1))&lt;=46.5,2,1)), IF(INDEX(ERP資料!$G:$G, (MATCH(278, 輔助計算!$G$2:$G$801, 0)+1))&lt;=790,3,IF(INDEX(ERP資料!$G:$G, (MATCH(278, 輔助計算!$G$2:$G$801, 0)+1))&lt;=1181,2,1))))&gt;0, IF(IF(INDEX(ERP資料!$G:$G, (MATCH(278, 輔助計算!$G$2:$G$801, 0)+1))&lt;100, IF(INDEX(ERP資料!$G:$G, (MATCH(278, 輔助計算!$G$2:$G$801, 0)+1))&lt;=31,3,IF(INDEX(ERP資料!$G:$G, (MATCH(278, 輔助計算!$G$2:$G$801, 0)+1))&lt;=46.5,2,1)), IF(INDEX(ERP資料!$G:$G, (MATCH(278, 輔助計算!$G$2:$G$801, 0)+1))&lt;=790,3,IF(INDEX(ERP資料!$G:$G, (MATCH(278, 輔助計算!$G$2:$G$801, 0)+1))&lt;=1181,2,1)))=1,TEXT(INDEX(ERP資料!$G:$G, (MATCH(278, 輔助計算!$G$2:$G$801, 0)+1)),"0.##"),IF(IF(INDEX(ERP資料!$G:$G, (MATCH(278, 輔助計算!$G$2:$G$801, 0)+1))&lt;100, IF(INDEX(ERP資料!$G:$G, (MATCH(278, 輔助計算!$G$2:$G$801, 0)+1))&lt;=31,3,IF(INDEX(ERP資料!$G:$G, (MATCH(278, 輔助計算!$G$2:$G$801, 0)+1))&lt;=46.5,2,1)), IF(INDEX(ERP資料!$G:$G, (MATCH(278, 輔助計算!$G$2:$G$801, 0)+1))&lt;=790,3,IF(INDEX(ERP資料!$G:$G, (MATCH(278, 輔助計算!$G$2:$G$801, 0)+1))&lt;=1181,2,1)))=2,TEXT(INDEX(ERP資料!$G:$G, (MATCH(278, 輔助計算!$G$2:$G$801, 0)+1)),"0.##")&amp;"+"&amp;TEXT(INDEX(ERP資料!$G:$G, (MATCH(278, 輔助計算!$G$2:$G$801, 0)+1)),"0.##"),TEXT(INDEX(ERP資料!$G:$G, (MATCH(278, 輔助計算!$G$2:$G$801, 0)+1)),"0.##")&amp;"+"&amp;TEXT(INDEX(ERP資料!$G:$G, (MATCH(278, 輔助計算!$G$2:$G$801, 0)+1)),"0.##")&amp;"+"&amp;TEXT(INDEX(ERP資料!$G:$G, (MATCH(278, 輔助計算!$G$2:$G$801, 0)+1)),"0.##")))&amp;"-"&amp;INT(INDEX(輔助計算!$D:$D, (MATCH(278, 輔助計算!$G$2:$G$801, 0)+1))/IF(INDEX(ERP資料!$G:$G, (MATCH(278, 輔助計算!$G$2:$G$801, 0)+1))&lt;100, IF(INDEX(ERP資料!$G:$G, (MATCH(278, 輔助計算!$G$2:$G$801, 0)+1))&lt;=31,3,IF(INDEX(ERP資料!$G:$G, (MATCH(278, 輔助計算!$G$2:$G$801, 0)+1))&lt;=46.5,2,1)), IF(INDEX(ERP資料!$G:$G, (MATCH(278, 輔助計算!$G$2:$G$801, 0)+1))&lt;=790,3,IF(INDEX(ERP資料!$G:$G, (MATCH(278, 輔助計算!$G$2:$G$801, 0)+1))&lt;=1181,2,1)))), "")&amp;IF(AND(IF(INT(INDEX(輔助計算!$D:$D, (MATCH(278, 輔助計算!$G$2:$G$801, 0)+1))/IF(INDEX(ERP資料!$G:$G, (MATCH(278, 輔助計算!$G$2:$G$801, 0)+1))&lt;100, IF(INDEX(ERP資料!$G:$G, (MATCH(278, 輔助計算!$G$2:$G$801, 0)+1))&lt;=31,3,IF(INDEX(ERP資料!$G:$G, (MATCH(278, 輔助計算!$G$2:$G$801, 0)+1))&lt;=46.5,2,1)), IF(INDEX(ERP資料!$G:$G, (MATCH(278, 輔助計算!$G$2:$G$801, 0)+1))&lt;=790,3,IF(INDEX(ERP資料!$G:$G, (MATCH(278, 輔助計算!$G$2:$G$801, 0)+1))&lt;=1181,2,1))))&gt;0, IF(IF(INDEX(ERP資料!$G:$G, (MATCH(278, 輔助計算!$G$2:$G$801, 0)+1))&lt;100, IF(INDEX(ERP資料!$G:$G, (MATCH(278, 輔助計算!$G$2:$G$801, 0)+1))&lt;=31,3,IF(INDEX(ERP資料!$G:$G, (MATCH(278, 輔助計算!$G$2:$G$801, 0)+1))&lt;=46.5,2,1)), IF(INDEX(ERP資料!$G:$G, (MATCH(278, 輔助計算!$G$2:$G$801, 0)+1))&lt;=790,3,IF(INDEX(ERP資料!$G:$G, (MATCH(278, 輔助計算!$G$2:$G$801, 0)+1))&lt;=1181,2,1)))=1,TEXT(INDEX(ERP資料!$G:$G, (MATCH(278, 輔助計算!$G$2:$G$801, 0)+1)),"0.##"),IF(IF(INDEX(ERP資料!$G:$G, (MATCH(278, 輔助計算!$G$2:$G$801, 0)+1))&lt;100, IF(INDEX(ERP資料!$G:$G, (MATCH(278, 輔助計算!$G$2:$G$801, 0)+1))&lt;=31,3,IF(INDEX(ERP資料!$G:$G, (MATCH(278, 輔助計算!$G$2:$G$801, 0)+1))&lt;=46.5,2,1)), IF(INDEX(ERP資料!$G:$G, (MATCH(278, 輔助計算!$G$2:$G$801, 0)+1))&lt;=790,3,IF(INDEX(ERP資料!$G:$G, (MATCH(278, 輔助計算!$G$2:$G$801, 0)+1))&lt;=1181,2,1)))=2,TEXT(INDEX(ERP資料!$G:$G, (MATCH(278, 輔助計算!$G$2:$G$801, 0)+1)),"0.##")&amp;"+"&amp;TEXT(INDEX(ERP資料!$G:$G, (MATCH(278, 輔助計算!$G$2:$G$801, 0)+1)),"0.##"),TEXT(INDEX(ERP資料!$G:$G, (MATCH(278, 輔助計算!$G$2:$G$801, 0)+1)),"0.##")&amp;"+"&amp;TEXT(INDEX(ERP資料!$G:$G, (MATCH(278, 輔助計算!$G$2:$G$801, 0)+1)),"0.##")&amp;"+"&amp;TEXT(INDEX(ERP資料!$G:$G, (MATCH(278, 輔助計算!$G$2:$G$801, 0)+1)),"0.##")))&amp;"-"&amp;INT(INDEX(輔助計算!$D:$D, (MATCH(278, 輔助計算!$G$2:$G$801, 0)+1))/IF(INDEX(ERP資料!$G:$G, (MATCH(278, 輔助計算!$G$2:$G$801, 0)+1))&lt;100, IF(INDEX(ERP資料!$G:$G, (MATCH(278, 輔助計算!$G$2:$G$801, 0)+1))&lt;=31,3,IF(INDEX(ERP資料!$G:$G, (MATCH(278, 輔助計算!$G$2:$G$801, 0)+1))&lt;=46.5,2,1)), IF(INDEX(ERP資料!$G:$G, (MATCH(278, 輔助計算!$G$2:$G$801, 0)+1))&lt;=790,3,IF(INDEX(ERP資料!$G:$G, (MATCH(278, 輔助計算!$G$2:$G$801, 0)+1))&lt;=1181,2,1)))), "")&lt;&gt;"",IF(MOD(INDEX(輔助計算!$D:$D, (MATCH(278, 輔助計算!$G$2:$G$801, 0)+1)),IF(INDEX(ERP資料!$G:$G, (MATCH(278, 輔助計算!$G$2:$G$801, 0)+1))&lt;100, IF(INDEX(ERP資料!$G:$G, (MATCH(278, 輔助計算!$G$2:$G$801, 0)+1))&lt;=31,3,IF(INDEX(ERP資料!$G:$G, (MATCH(278, 輔助計算!$G$2:$G$801, 0)+1))&lt;=46.5,2,1)), IF(INDEX(ERP資料!$G:$G, (MATCH(278, 輔助計算!$G$2:$G$801, 0)+1))&lt;=790,3,IF(INDEX(ERP資料!$G:$G, (MATCH(278, 輔助計算!$G$2:$G$801, 0)+1))&lt;=1181,2,1))))=0,"",IF(MOD(INDEX(輔助計算!$D:$D, (MATCH(278, 輔助計算!$G$2:$G$801, 0)+1)),IF(INDEX(ERP資料!$G:$G, (MATCH(278, 輔助計算!$G$2:$G$801, 0)+1))&lt;100, IF(INDEX(ERP資料!$G:$G, (MATCH(278, 輔助計算!$G$2:$G$801, 0)+1))&lt;=31,3,IF(INDEX(ERP資料!$G:$G, (MATCH(278, 輔助計算!$G$2:$G$801, 0)+1))&lt;=46.5,2,1)), IF(INDEX(ERP資料!$G:$G, (MATCH(278, 輔助計算!$G$2:$G$801, 0)+1))&lt;=790,3,IF(INDEX(ERP資料!$G:$G, (MATCH(278, 輔助計算!$G$2:$G$801, 0)+1))&lt;=1181,2,1))))=0,"",IF(MOD(INDEX(輔助計算!$D:$D, (MATCH(278, 輔助計算!$G$2:$G$801, 0)+1)),IF(INDEX(ERP資料!$G:$G, (MATCH(278, 輔助計算!$G$2:$G$801, 0)+1))&lt;100, IF(INDEX(ERP資料!$G:$G, (MATCH(278, 輔助計算!$G$2:$G$801, 0)+1))&lt;=31,3,IF(INDEX(ERP資料!$G:$G, (MATCH(278, 輔助計算!$G$2:$G$801, 0)+1))&lt;=46.5,2,1)), IF(INDEX(ERP資料!$G:$G, (MATCH(278, 輔助計算!$G$2:$G$801, 0)+1))&lt;=790,3,IF(INDEX(ERP資料!$G:$G, (MATCH(278, 輔助計算!$G$2:$G$801, 0)+1))&lt;=1181,2,1))))=1,TEXT(INDEX(ERP資料!$G:$G, (MATCH(278, 輔助計算!$G$2:$G$801, 0)+1)),"0.##"),IF(MOD(INDEX(輔助計算!$D:$D, (MATCH(278, 輔助計算!$G$2:$G$801, 0)+1)),IF(INDEX(ERP資料!$G:$G, (MATCH(278, 輔助計算!$G$2:$G$801, 0)+1))&lt;100, IF(INDEX(ERP資料!$G:$G, (MATCH(278, 輔助計算!$G$2:$G$801, 0)+1))&lt;=31,3,IF(INDEX(ERP資料!$G:$G, (MATCH(278, 輔助計算!$G$2:$G$801, 0)+1))&lt;=46.5,2,1)), IF(INDEX(ERP資料!$G:$G, (MATCH(278, 輔助計算!$G$2:$G$801, 0)+1))&lt;=790,3,IF(INDEX(ERP資料!$G:$G, (MATCH(278, 輔助計算!$G$2:$G$801, 0)+1))&lt;=1181,2,1))))=2,TEXT(INDEX(ERP資料!$G:$G, (MATCH(278, 輔助計算!$G$2:$G$801, 0)+1)),"0.##")&amp;"+"&amp;TEXT(INDEX(ERP資料!$G:$G, (MATCH(278, 輔助計算!$G$2:$G$801, 0)+1)),"0.##"),TEXT(INDEX(ERP資料!$G:$G, (MATCH(278, 輔助計算!$G$2:$G$801, 0)+1)),"0.##")&amp;"+"&amp;TEXT(INDEX(ERP資料!$G:$G, (MATCH(278, 輔助計算!$G$2:$G$801, 0)+1)),"0.##")&amp;"+"&amp;TEXT(INDEX(ERP資料!$G:$G, (MATCH(278, 輔助計算!$G$2:$G$801, 0)+1)),"0.##"))))&amp;"-1")&lt;&gt;""),"  ","")&amp;IF(MOD(INDEX(輔助計算!$D:$D, (MATCH(278, 輔助計算!$G$2:$G$801, 0)+1)),IF(INDEX(ERP資料!$G:$G, (MATCH(278, 輔助計算!$G$2:$G$801, 0)+1))&lt;100, IF(INDEX(ERP資料!$G:$G, (MATCH(278, 輔助計算!$G$2:$G$801, 0)+1))&lt;=31,3,IF(INDEX(ERP資料!$G:$G, (MATCH(278, 輔助計算!$G$2:$G$801, 0)+1))&lt;=46.5,2,1)), IF(INDEX(ERP資料!$G:$G, (MATCH(278, 輔助計算!$G$2:$G$801, 0)+1))&lt;=790,3,IF(INDEX(ERP資料!$G:$G, (MATCH(278, 輔助計算!$G$2:$G$801, 0)+1))&lt;=1181,2,1))))=0,"",IF(MOD(INDEX(輔助計算!$D:$D, (MATCH(278, 輔助計算!$G$2:$G$801, 0)+1)),IF(INDEX(ERP資料!$G:$G, (MATCH(278, 輔助計算!$G$2:$G$801, 0)+1))&lt;100, IF(INDEX(ERP資料!$G:$G, (MATCH(278, 輔助計算!$G$2:$G$801, 0)+1))&lt;=31,3,IF(INDEX(ERP資料!$G:$G, (MATCH(278, 輔助計算!$G$2:$G$801, 0)+1))&lt;=46.5,2,1)), IF(INDEX(ERP資料!$G:$G, (MATCH(278, 輔助計算!$G$2:$G$801, 0)+1))&lt;=790,3,IF(INDEX(ERP資料!$G:$G, (MATCH(278, 輔助計算!$G$2:$G$801, 0)+1))&lt;=1181,2,1))))=0,"",IF(MOD(INDEX(輔助計算!$D:$D, (MATCH(278, 輔助計算!$G$2:$G$801, 0)+1)),IF(INDEX(ERP資料!$G:$G, (MATCH(278, 輔助計算!$G$2:$G$801, 0)+1))&lt;100, IF(INDEX(ERP資料!$G:$G, (MATCH(278, 輔助計算!$G$2:$G$801, 0)+1))&lt;=31,3,IF(INDEX(ERP資料!$G:$G, (MATCH(278, 輔助計算!$G$2:$G$801, 0)+1))&lt;=46.5,2,1)), IF(INDEX(ERP資料!$G:$G, (MATCH(278, 輔助計算!$G$2:$G$801, 0)+1))&lt;=790,3,IF(INDEX(ERP資料!$G:$G, (MATCH(278, 輔助計算!$G$2:$G$801, 0)+1))&lt;=1181,2,1))))=1,TEXT(INDEX(ERP資料!$G:$G, (MATCH(278, 輔助計算!$G$2:$G$801, 0)+1)),"0.##"),IF(MOD(INDEX(輔助計算!$D:$D, (MATCH(278, 輔助計算!$G$2:$G$801, 0)+1)),IF(INDEX(ERP資料!$G:$G, (MATCH(278, 輔助計算!$G$2:$G$801, 0)+1))&lt;100, IF(INDEX(ERP資料!$G:$G, (MATCH(278, 輔助計算!$G$2:$G$801, 0)+1))&lt;=31,3,IF(INDEX(ERP資料!$G:$G, (MATCH(278, 輔助計算!$G$2:$G$801, 0)+1))&lt;=46.5,2,1)), IF(INDEX(ERP資料!$G:$G, (MATCH(278, 輔助計算!$G$2:$G$801, 0)+1))&lt;=790,3,IF(INDEX(ERP資料!$G:$G, (MATCH(278, 輔助計算!$G$2:$G$801, 0)+1))&lt;=1181,2,1))))=2,TEXT(INDEX(ERP資料!$G:$G, (MATCH(278, 輔助計算!$G$2:$G$801, 0)+1)),"0.##")&amp;"+"&amp;TEXT(INDEX(ERP資料!$G:$G, (MATCH(278, 輔助計算!$G$2:$G$801, 0)+1)),"0.##"),TEXT(INDEX(ERP資料!$G:$G, (MATCH(278, 輔助計算!$G$2:$G$801, 0)+1)),"0.##")&amp;"+"&amp;TEXT(INDEX(ERP資料!$G:$G, (MATCH(278, 輔助計算!$G$2:$G$801, 0)+1)),"0.##")&amp;"+"&amp;TEXT(INDEX(ERP資料!$G:$G, (MATCH(278, 輔助計算!$G$2:$G$801, 0)+1)),"0.##"))))&amp;"-1")), ""), "")</f>
        <v/>
      </c>
      <c r="K279" s="16" t="n"/>
      <c r="L279" s="14">
        <f>IFERROR(IF(AND(IFERROR(INDEX(ERP資料!$A:$A, (MATCH(278, 輔助計算!$G$2:$G$801, 0)+1)), "")&lt;&gt;"", IFERROR(INDEX(ERP資料!$A:$A, (MATCH(278, 輔助計算!$G$2:$G$801, 0)+1)), "")&lt;&gt;IFERROR(INDEX(ERP資料!$A:$A, MATCH(277, 輔助計算!$G$2:$G$801, 0)+1), "")), INDEX(ERP資料!$B:$B, (MATCH(278, 輔助計算!$G$2:$G$801, 0)+1)), ""), "")</f>
        <v/>
      </c>
      <c r="M279" s="17" t="n"/>
    </row>
    <row r="280">
      <c r="A280" s="10">
        <f>IFERROR(IF(AND(IFERROR(INDEX(ERP資料!$A:$A, (MATCH(279, 輔助計算!$G$2:$G$801, 0)+1)), "")&lt;&gt;"", IFERROR(INDEX(ERP資料!$A:$A, (MATCH(279, 輔助計算!$G$2:$G$801, 0)+1)), "")&lt;&gt;IFERROR(INDEX(ERP資料!$A:$A, MATCH(278, 輔助計算!$G$2:$G$801, 0)+1), "")), IFERROR(INDEX(ERP資料!$A:$A, (MATCH(279, 輔助計算!$G$2:$G$801, 0)+1)), ""), ""), "")</f>
        <v/>
      </c>
      <c r="B280" s="10">
        <f>IFERROR(IF(AND(IFERROR(INDEX(ERP資料!$A:$A, (MATCH(279, 輔助計算!$G$2:$G$801, 0)+1)), "")&lt;&gt;"", IFERROR(INDEX(ERP資料!$A:$A, (MATCH(279, 輔助計算!$G$2:$G$801, 0)+1)), "")&lt;&gt;IFERROR(INDEX(ERP資料!$A:$A, MATCH(278, 輔助計算!$G$2:$G$801, 0)+1), "")), INDEX(ERP資料!$S:$S, (MATCH(279, 輔助計算!$G$2:$G$801, 0)+1)), ""), "")</f>
        <v/>
      </c>
      <c r="C280" s="19">
        <f>IFERROR(IF(AND(IFERROR(INDEX(ERP資料!$A:$A, (MATCH(279, 輔助計算!$G$2:$G$801, 0)+1)), "")&lt;&gt;"", IFERROR(INDEX(ERP資料!$A:$A, (MATCH(279, 輔助計算!$G$2:$G$801, 0)+1)), "")&lt;&gt;IFERROR(INDEX(ERP資料!$A:$A, MATCH(278, 輔助計算!$G$2:$G$801, 0)+1), "")), IFERROR(VLOOKUP(LEFT(INDEX(ERP資料!$S:$S, (MATCH(279, 輔助計算!$G$2:$G$801, 0)+1)), 4), 紙管對照表!$A:$C, 3, FALSE), ""), ""), "")</f>
        <v/>
      </c>
      <c r="D280" s="16" t="n"/>
      <c r="E280" s="10">
        <f>IFERROR(IF(INDEX(ERP資料!$H:$H, (MATCH(279, 輔助計算!$G$2:$G$801, 0)+1))="","",INDEX(ERP資料!$H:$H, (MATCH(279, 輔助計算!$G$2:$G$801, 0)+1))), "")</f>
        <v/>
      </c>
      <c r="F280" s="10">
        <f>IFERROR(IF(INDEX(ERP資料!$E:$E, (MATCH(279, 輔助計算!$G$2:$G$801, 0)+1))="","",TRIM(INDEX(ERP資料!$E:$E, (MATCH(279, 輔助計算!$G$2:$G$801, 0)+1)))), "")</f>
        <v/>
      </c>
      <c r="G280" s="10">
        <f>IFERROR(IF(INDEX(ERP資料!$F:$F, (MATCH(279, 輔助計算!$G$2:$G$801, 0)+1))="","",INDEX(ERP資料!$F:$F, (MATCH(279, 輔助計算!$G$2:$G$801, 0)+1))), "")</f>
        <v/>
      </c>
      <c r="H280" s="10">
        <f>IFERROR(IF(INDEX(ERP資料!$G:$G, (MATCH(279, 輔助計算!$G$2:$G$801, 0)+1))="","",INDEX(ERP資料!$G:$G, (MATCH(279, 輔助計算!$G$2:$G$801, 0)+1))), "")</f>
        <v/>
      </c>
      <c r="I280" s="15">
        <f>IFERROR(INDEX(輔助計算!$D:$D, (MATCH(279, 輔助計算!$G$2:$G$801, 0)+1)), "")</f>
        <v/>
      </c>
      <c r="J280" s="15">
        <f>IFERROR(IF(AND(INDEX(輔助計算!$D:$D, (MATCH(279, 輔助計算!$G$2:$G$801, 0)+1))&lt;&gt;"", INDEX(ERP資料!$G:$G, (MATCH(279, 輔助計算!$G$2:$G$801, 0)+1))&lt;&gt;""), TRIM(IF(INT(INDEX(輔助計算!$D:$D, (MATCH(279, 輔助計算!$G$2:$G$801, 0)+1))/IF(INDEX(ERP資料!$G:$G, (MATCH(279, 輔助計算!$G$2:$G$801, 0)+1))&lt;100, IF(INDEX(ERP資料!$G:$G, (MATCH(279, 輔助計算!$G$2:$G$801, 0)+1))&lt;=31,3,IF(INDEX(ERP資料!$G:$G, (MATCH(279, 輔助計算!$G$2:$G$801, 0)+1))&lt;=46.5,2,1)), IF(INDEX(ERP資料!$G:$G, (MATCH(279, 輔助計算!$G$2:$G$801, 0)+1))&lt;=790,3,IF(INDEX(ERP資料!$G:$G, (MATCH(279, 輔助計算!$G$2:$G$801, 0)+1))&lt;=1181,2,1))))&gt;0, IF(IF(INDEX(ERP資料!$G:$G, (MATCH(279, 輔助計算!$G$2:$G$801, 0)+1))&lt;100, IF(INDEX(ERP資料!$G:$G, (MATCH(279, 輔助計算!$G$2:$G$801, 0)+1))&lt;=31,3,IF(INDEX(ERP資料!$G:$G, (MATCH(279, 輔助計算!$G$2:$G$801, 0)+1))&lt;=46.5,2,1)), IF(INDEX(ERP資料!$G:$G, (MATCH(279, 輔助計算!$G$2:$G$801, 0)+1))&lt;=790,3,IF(INDEX(ERP資料!$G:$G, (MATCH(279, 輔助計算!$G$2:$G$801, 0)+1))&lt;=1181,2,1)))=1,TEXT(INDEX(ERP資料!$G:$G, (MATCH(279, 輔助計算!$G$2:$G$801, 0)+1)),"0.##"),IF(IF(INDEX(ERP資料!$G:$G, (MATCH(279, 輔助計算!$G$2:$G$801, 0)+1))&lt;100, IF(INDEX(ERP資料!$G:$G, (MATCH(279, 輔助計算!$G$2:$G$801, 0)+1))&lt;=31,3,IF(INDEX(ERP資料!$G:$G, (MATCH(279, 輔助計算!$G$2:$G$801, 0)+1))&lt;=46.5,2,1)), IF(INDEX(ERP資料!$G:$G, (MATCH(279, 輔助計算!$G$2:$G$801, 0)+1))&lt;=790,3,IF(INDEX(ERP資料!$G:$G, (MATCH(279, 輔助計算!$G$2:$G$801, 0)+1))&lt;=1181,2,1)))=2,TEXT(INDEX(ERP資料!$G:$G, (MATCH(279, 輔助計算!$G$2:$G$801, 0)+1)),"0.##")&amp;"+"&amp;TEXT(INDEX(ERP資料!$G:$G, (MATCH(279, 輔助計算!$G$2:$G$801, 0)+1)),"0.##"),TEXT(INDEX(ERP資料!$G:$G, (MATCH(279, 輔助計算!$G$2:$G$801, 0)+1)),"0.##")&amp;"+"&amp;TEXT(INDEX(ERP資料!$G:$G, (MATCH(279, 輔助計算!$G$2:$G$801, 0)+1)),"0.##")&amp;"+"&amp;TEXT(INDEX(ERP資料!$G:$G, (MATCH(279, 輔助計算!$G$2:$G$801, 0)+1)),"0.##")))&amp;"-"&amp;INT(INDEX(輔助計算!$D:$D, (MATCH(279, 輔助計算!$G$2:$G$801, 0)+1))/IF(INDEX(ERP資料!$G:$G, (MATCH(279, 輔助計算!$G$2:$G$801, 0)+1))&lt;100, IF(INDEX(ERP資料!$G:$G, (MATCH(279, 輔助計算!$G$2:$G$801, 0)+1))&lt;=31,3,IF(INDEX(ERP資料!$G:$G, (MATCH(279, 輔助計算!$G$2:$G$801, 0)+1))&lt;=46.5,2,1)), IF(INDEX(ERP資料!$G:$G, (MATCH(279, 輔助計算!$G$2:$G$801, 0)+1))&lt;=790,3,IF(INDEX(ERP資料!$G:$G, (MATCH(279, 輔助計算!$G$2:$G$801, 0)+1))&lt;=1181,2,1)))), "")&amp;IF(AND(IF(INT(INDEX(輔助計算!$D:$D, (MATCH(279, 輔助計算!$G$2:$G$801, 0)+1))/IF(INDEX(ERP資料!$G:$G, (MATCH(279, 輔助計算!$G$2:$G$801, 0)+1))&lt;100, IF(INDEX(ERP資料!$G:$G, (MATCH(279, 輔助計算!$G$2:$G$801, 0)+1))&lt;=31,3,IF(INDEX(ERP資料!$G:$G, (MATCH(279, 輔助計算!$G$2:$G$801, 0)+1))&lt;=46.5,2,1)), IF(INDEX(ERP資料!$G:$G, (MATCH(279, 輔助計算!$G$2:$G$801, 0)+1))&lt;=790,3,IF(INDEX(ERP資料!$G:$G, (MATCH(279, 輔助計算!$G$2:$G$801, 0)+1))&lt;=1181,2,1))))&gt;0, IF(IF(INDEX(ERP資料!$G:$G, (MATCH(279, 輔助計算!$G$2:$G$801, 0)+1))&lt;100, IF(INDEX(ERP資料!$G:$G, (MATCH(279, 輔助計算!$G$2:$G$801, 0)+1))&lt;=31,3,IF(INDEX(ERP資料!$G:$G, (MATCH(279, 輔助計算!$G$2:$G$801, 0)+1))&lt;=46.5,2,1)), IF(INDEX(ERP資料!$G:$G, (MATCH(279, 輔助計算!$G$2:$G$801, 0)+1))&lt;=790,3,IF(INDEX(ERP資料!$G:$G, (MATCH(279, 輔助計算!$G$2:$G$801, 0)+1))&lt;=1181,2,1)))=1,TEXT(INDEX(ERP資料!$G:$G, (MATCH(279, 輔助計算!$G$2:$G$801, 0)+1)),"0.##"),IF(IF(INDEX(ERP資料!$G:$G, (MATCH(279, 輔助計算!$G$2:$G$801, 0)+1))&lt;100, IF(INDEX(ERP資料!$G:$G, (MATCH(279, 輔助計算!$G$2:$G$801, 0)+1))&lt;=31,3,IF(INDEX(ERP資料!$G:$G, (MATCH(279, 輔助計算!$G$2:$G$801, 0)+1))&lt;=46.5,2,1)), IF(INDEX(ERP資料!$G:$G, (MATCH(279, 輔助計算!$G$2:$G$801, 0)+1))&lt;=790,3,IF(INDEX(ERP資料!$G:$G, (MATCH(279, 輔助計算!$G$2:$G$801, 0)+1))&lt;=1181,2,1)))=2,TEXT(INDEX(ERP資料!$G:$G, (MATCH(279, 輔助計算!$G$2:$G$801, 0)+1)),"0.##")&amp;"+"&amp;TEXT(INDEX(ERP資料!$G:$G, (MATCH(279, 輔助計算!$G$2:$G$801, 0)+1)),"0.##"),TEXT(INDEX(ERP資料!$G:$G, (MATCH(279, 輔助計算!$G$2:$G$801, 0)+1)),"0.##")&amp;"+"&amp;TEXT(INDEX(ERP資料!$G:$G, (MATCH(279, 輔助計算!$G$2:$G$801, 0)+1)),"0.##")&amp;"+"&amp;TEXT(INDEX(ERP資料!$G:$G, (MATCH(279, 輔助計算!$G$2:$G$801, 0)+1)),"0.##")))&amp;"-"&amp;INT(INDEX(輔助計算!$D:$D, (MATCH(279, 輔助計算!$G$2:$G$801, 0)+1))/IF(INDEX(ERP資料!$G:$G, (MATCH(279, 輔助計算!$G$2:$G$801, 0)+1))&lt;100, IF(INDEX(ERP資料!$G:$G, (MATCH(279, 輔助計算!$G$2:$G$801, 0)+1))&lt;=31,3,IF(INDEX(ERP資料!$G:$G, (MATCH(279, 輔助計算!$G$2:$G$801, 0)+1))&lt;=46.5,2,1)), IF(INDEX(ERP資料!$G:$G, (MATCH(279, 輔助計算!$G$2:$G$801, 0)+1))&lt;=790,3,IF(INDEX(ERP資料!$G:$G, (MATCH(279, 輔助計算!$G$2:$G$801, 0)+1))&lt;=1181,2,1)))), "")&lt;&gt;"",IF(MOD(INDEX(輔助計算!$D:$D, (MATCH(279, 輔助計算!$G$2:$G$801, 0)+1)),IF(INDEX(ERP資料!$G:$G, (MATCH(279, 輔助計算!$G$2:$G$801, 0)+1))&lt;100, IF(INDEX(ERP資料!$G:$G, (MATCH(279, 輔助計算!$G$2:$G$801, 0)+1))&lt;=31,3,IF(INDEX(ERP資料!$G:$G, (MATCH(279, 輔助計算!$G$2:$G$801, 0)+1))&lt;=46.5,2,1)), IF(INDEX(ERP資料!$G:$G, (MATCH(279, 輔助計算!$G$2:$G$801, 0)+1))&lt;=790,3,IF(INDEX(ERP資料!$G:$G, (MATCH(279, 輔助計算!$G$2:$G$801, 0)+1))&lt;=1181,2,1))))=0,"",IF(MOD(INDEX(輔助計算!$D:$D, (MATCH(279, 輔助計算!$G$2:$G$801, 0)+1)),IF(INDEX(ERP資料!$G:$G, (MATCH(279, 輔助計算!$G$2:$G$801, 0)+1))&lt;100, IF(INDEX(ERP資料!$G:$G, (MATCH(279, 輔助計算!$G$2:$G$801, 0)+1))&lt;=31,3,IF(INDEX(ERP資料!$G:$G, (MATCH(279, 輔助計算!$G$2:$G$801, 0)+1))&lt;=46.5,2,1)), IF(INDEX(ERP資料!$G:$G, (MATCH(279, 輔助計算!$G$2:$G$801, 0)+1))&lt;=790,3,IF(INDEX(ERP資料!$G:$G, (MATCH(279, 輔助計算!$G$2:$G$801, 0)+1))&lt;=1181,2,1))))=0,"",IF(MOD(INDEX(輔助計算!$D:$D, (MATCH(279, 輔助計算!$G$2:$G$801, 0)+1)),IF(INDEX(ERP資料!$G:$G, (MATCH(279, 輔助計算!$G$2:$G$801, 0)+1))&lt;100, IF(INDEX(ERP資料!$G:$G, (MATCH(279, 輔助計算!$G$2:$G$801, 0)+1))&lt;=31,3,IF(INDEX(ERP資料!$G:$G, (MATCH(279, 輔助計算!$G$2:$G$801, 0)+1))&lt;=46.5,2,1)), IF(INDEX(ERP資料!$G:$G, (MATCH(279, 輔助計算!$G$2:$G$801, 0)+1))&lt;=790,3,IF(INDEX(ERP資料!$G:$G, (MATCH(279, 輔助計算!$G$2:$G$801, 0)+1))&lt;=1181,2,1))))=1,TEXT(INDEX(ERP資料!$G:$G, (MATCH(279, 輔助計算!$G$2:$G$801, 0)+1)),"0.##"),IF(MOD(INDEX(輔助計算!$D:$D, (MATCH(279, 輔助計算!$G$2:$G$801, 0)+1)),IF(INDEX(ERP資料!$G:$G, (MATCH(279, 輔助計算!$G$2:$G$801, 0)+1))&lt;100, IF(INDEX(ERP資料!$G:$G, (MATCH(279, 輔助計算!$G$2:$G$801, 0)+1))&lt;=31,3,IF(INDEX(ERP資料!$G:$G, (MATCH(279, 輔助計算!$G$2:$G$801, 0)+1))&lt;=46.5,2,1)), IF(INDEX(ERP資料!$G:$G, (MATCH(279, 輔助計算!$G$2:$G$801, 0)+1))&lt;=790,3,IF(INDEX(ERP資料!$G:$G, (MATCH(279, 輔助計算!$G$2:$G$801, 0)+1))&lt;=1181,2,1))))=2,TEXT(INDEX(ERP資料!$G:$G, (MATCH(279, 輔助計算!$G$2:$G$801, 0)+1)),"0.##")&amp;"+"&amp;TEXT(INDEX(ERP資料!$G:$G, (MATCH(279, 輔助計算!$G$2:$G$801, 0)+1)),"0.##"),TEXT(INDEX(ERP資料!$G:$G, (MATCH(279, 輔助計算!$G$2:$G$801, 0)+1)),"0.##")&amp;"+"&amp;TEXT(INDEX(ERP資料!$G:$G, (MATCH(279, 輔助計算!$G$2:$G$801, 0)+1)),"0.##")&amp;"+"&amp;TEXT(INDEX(ERP資料!$G:$G, (MATCH(279, 輔助計算!$G$2:$G$801, 0)+1)),"0.##"))))&amp;"-1")&lt;&gt;""),"  ","")&amp;IF(MOD(INDEX(輔助計算!$D:$D, (MATCH(279, 輔助計算!$G$2:$G$801, 0)+1)),IF(INDEX(ERP資料!$G:$G, (MATCH(279, 輔助計算!$G$2:$G$801, 0)+1))&lt;100, IF(INDEX(ERP資料!$G:$G, (MATCH(279, 輔助計算!$G$2:$G$801, 0)+1))&lt;=31,3,IF(INDEX(ERP資料!$G:$G, (MATCH(279, 輔助計算!$G$2:$G$801, 0)+1))&lt;=46.5,2,1)), IF(INDEX(ERP資料!$G:$G, (MATCH(279, 輔助計算!$G$2:$G$801, 0)+1))&lt;=790,3,IF(INDEX(ERP資料!$G:$G, (MATCH(279, 輔助計算!$G$2:$G$801, 0)+1))&lt;=1181,2,1))))=0,"",IF(MOD(INDEX(輔助計算!$D:$D, (MATCH(279, 輔助計算!$G$2:$G$801, 0)+1)),IF(INDEX(ERP資料!$G:$G, (MATCH(279, 輔助計算!$G$2:$G$801, 0)+1))&lt;100, IF(INDEX(ERP資料!$G:$G, (MATCH(279, 輔助計算!$G$2:$G$801, 0)+1))&lt;=31,3,IF(INDEX(ERP資料!$G:$G, (MATCH(279, 輔助計算!$G$2:$G$801, 0)+1))&lt;=46.5,2,1)), IF(INDEX(ERP資料!$G:$G, (MATCH(279, 輔助計算!$G$2:$G$801, 0)+1))&lt;=790,3,IF(INDEX(ERP資料!$G:$G, (MATCH(279, 輔助計算!$G$2:$G$801, 0)+1))&lt;=1181,2,1))))=0,"",IF(MOD(INDEX(輔助計算!$D:$D, (MATCH(279, 輔助計算!$G$2:$G$801, 0)+1)),IF(INDEX(ERP資料!$G:$G, (MATCH(279, 輔助計算!$G$2:$G$801, 0)+1))&lt;100, IF(INDEX(ERP資料!$G:$G, (MATCH(279, 輔助計算!$G$2:$G$801, 0)+1))&lt;=31,3,IF(INDEX(ERP資料!$G:$G, (MATCH(279, 輔助計算!$G$2:$G$801, 0)+1))&lt;=46.5,2,1)), IF(INDEX(ERP資料!$G:$G, (MATCH(279, 輔助計算!$G$2:$G$801, 0)+1))&lt;=790,3,IF(INDEX(ERP資料!$G:$G, (MATCH(279, 輔助計算!$G$2:$G$801, 0)+1))&lt;=1181,2,1))))=1,TEXT(INDEX(ERP資料!$G:$G, (MATCH(279, 輔助計算!$G$2:$G$801, 0)+1)),"0.##"),IF(MOD(INDEX(輔助計算!$D:$D, (MATCH(279, 輔助計算!$G$2:$G$801, 0)+1)),IF(INDEX(ERP資料!$G:$G, (MATCH(279, 輔助計算!$G$2:$G$801, 0)+1))&lt;100, IF(INDEX(ERP資料!$G:$G, (MATCH(279, 輔助計算!$G$2:$G$801, 0)+1))&lt;=31,3,IF(INDEX(ERP資料!$G:$G, (MATCH(279, 輔助計算!$G$2:$G$801, 0)+1))&lt;=46.5,2,1)), IF(INDEX(ERP資料!$G:$G, (MATCH(279, 輔助計算!$G$2:$G$801, 0)+1))&lt;=790,3,IF(INDEX(ERP資料!$G:$G, (MATCH(279, 輔助計算!$G$2:$G$801, 0)+1))&lt;=1181,2,1))))=2,TEXT(INDEX(ERP資料!$G:$G, (MATCH(279, 輔助計算!$G$2:$G$801, 0)+1)),"0.##")&amp;"+"&amp;TEXT(INDEX(ERP資料!$G:$G, (MATCH(279, 輔助計算!$G$2:$G$801, 0)+1)),"0.##"),TEXT(INDEX(ERP資料!$G:$G, (MATCH(279, 輔助計算!$G$2:$G$801, 0)+1)),"0.##")&amp;"+"&amp;TEXT(INDEX(ERP資料!$G:$G, (MATCH(279, 輔助計算!$G$2:$G$801, 0)+1)),"0.##")&amp;"+"&amp;TEXT(INDEX(ERP資料!$G:$G, (MATCH(279, 輔助計算!$G$2:$G$801, 0)+1)),"0.##"))))&amp;"-1")), ""), "")</f>
        <v/>
      </c>
      <c r="K280" s="16" t="n"/>
      <c r="L280" s="14">
        <f>IFERROR(IF(AND(IFERROR(INDEX(ERP資料!$A:$A, (MATCH(279, 輔助計算!$G$2:$G$801, 0)+1)), "")&lt;&gt;"", IFERROR(INDEX(ERP資料!$A:$A, (MATCH(279, 輔助計算!$G$2:$G$801, 0)+1)), "")&lt;&gt;IFERROR(INDEX(ERP資料!$A:$A, MATCH(278, 輔助計算!$G$2:$G$801, 0)+1), "")), INDEX(ERP資料!$B:$B, (MATCH(279, 輔助計算!$G$2:$G$801, 0)+1)), ""), "")</f>
        <v/>
      </c>
      <c r="M280" s="17" t="n"/>
    </row>
    <row r="281">
      <c r="A281" s="10">
        <f>IFERROR(IF(AND(IFERROR(INDEX(ERP資料!$A:$A, (MATCH(280, 輔助計算!$G$2:$G$801, 0)+1)), "")&lt;&gt;"", IFERROR(INDEX(ERP資料!$A:$A, (MATCH(280, 輔助計算!$G$2:$G$801, 0)+1)), "")&lt;&gt;IFERROR(INDEX(ERP資料!$A:$A, MATCH(279, 輔助計算!$G$2:$G$801, 0)+1), "")), IFERROR(INDEX(ERP資料!$A:$A, (MATCH(280, 輔助計算!$G$2:$G$801, 0)+1)), ""), ""), "")</f>
        <v/>
      </c>
      <c r="B281" s="10">
        <f>IFERROR(IF(AND(IFERROR(INDEX(ERP資料!$A:$A, (MATCH(280, 輔助計算!$G$2:$G$801, 0)+1)), "")&lt;&gt;"", IFERROR(INDEX(ERP資料!$A:$A, (MATCH(280, 輔助計算!$G$2:$G$801, 0)+1)), "")&lt;&gt;IFERROR(INDEX(ERP資料!$A:$A, MATCH(279, 輔助計算!$G$2:$G$801, 0)+1), "")), INDEX(ERP資料!$S:$S, (MATCH(280, 輔助計算!$G$2:$G$801, 0)+1)), ""), "")</f>
        <v/>
      </c>
      <c r="C281" s="19">
        <f>IFERROR(IF(AND(IFERROR(INDEX(ERP資料!$A:$A, (MATCH(280, 輔助計算!$G$2:$G$801, 0)+1)), "")&lt;&gt;"", IFERROR(INDEX(ERP資料!$A:$A, (MATCH(280, 輔助計算!$G$2:$G$801, 0)+1)), "")&lt;&gt;IFERROR(INDEX(ERP資料!$A:$A, MATCH(279, 輔助計算!$G$2:$G$801, 0)+1), "")), IFERROR(VLOOKUP(LEFT(INDEX(ERP資料!$S:$S, (MATCH(280, 輔助計算!$G$2:$G$801, 0)+1)), 4), 紙管對照表!$A:$C, 3, FALSE), ""), ""), "")</f>
        <v/>
      </c>
      <c r="D281" s="16" t="n"/>
      <c r="E281" s="10">
        <f>IFERROR(IF(INDEX(ERP資料!$H:$H, (MATCH(280, 輔助計算!$G$2:$G$801, 0)+1))="","",INDEX(ERP資料!$H:$H, (MATCH(280, 輔助計算!$G$2:$G$801, 0)+1))), "")</f>
        <v/>
      </c>
      <c r="F281" s="10">
        <f>IFERROR(IF(INDEX(ERP資料!$E:$E, (MATCH(280, 輔助計算!$G$2:$G$801, 0)+1))="","",TRIM(INDEX(ERP資料!$E:$E, (MATCH(280, 輔助計算!$G$2:$G$801, 0)+1)))), "")</f>
        <v/>
      </c>
      <c r="G281" s="10">
        <f>IFERROR(IF(INDEX(ERP資料!$F:$F, (MATCH(280, 輔助計算!$G$2:$G$801, 0)+1))="","",INDEX(ERP資料!$F:$F, (MATCH(280, 輔助計算!$G$2:$G$801, 0)+1))), "")</f>
        <v/>
      </c>
      <c r="H281" s="10">
        <f>IFERROR(IF(INDEX(ERP資料!$G:$G, (MATCH(280, 輔助計算!$G$2:$G$801, 0)+1))="","",INDEX(ERP資料!$G:$G, (MATCH(280, 輔助計算!$G$2:$G$801, 0)+1))), "")</f>
        <v/>
      </c>
      <c r="I281" s="15">
        <f>IFERROR(INDEX(輔助計算!$D:$D, (MATCH(280, 輔助計算!$G$2:$G$801, 0)+1)), "")</f>
        <v/>
      </c>
      <c r="J281" s="15">
        <f>IFERROR(IF(AND(INDEX(輔助計算!$D:$D, (MATCH(280, 輔助計算!$G$2:$G$801, 0)+1))&lt;&gt;"", INDEX(ERP資料!$G:$G, (MATCH(280, 輔助計算!$G$2:$G$801, 0)+1))&lt;&gt;""), TRIM(IF(INT(INDEX(輔助計算!$D:$D, (MATCH(280, 輔助計算!$G$2:$G$801, 0)+1))/IF(INDEX(ERP資料!$G:$G, (MATCH(280, 輔助計算!$G$2:$G$801, 0)+1))&lt;100, IF(INDEX(ERP資料!$G:$G, (MATCH(280, 輔助計算!$G$2:$G$801, 0)+1))&lt;=31,3,IF(INDEX(ERP資料!$G:$G, (MATCH(280, 輔助計算!$G$2:$G$801, 0)+1))&lt;=46.5,2,1)), IF(INDEX(ERP資料!$G:$G, (MATCH(280, 輔助計算!$G$2:$G$801, 0)+1))&lt;=790,3,IF(INDEX(ERP資料!$G:$G, (MATCH(280, 輔助計算!$G$2:$G$801, 0)+1))&lt;=1181,2,1))))&gt;0, IF(IF(INDEX(ERP資料!$G:$G, (MATCH(280, 輔助計算!$G$2:$G$801, 0)+1))&lt;100, IF(INDEX(ERP資料!$G:$G, (MATCH(280, 輔助計算!$G$2:$G$801, 0)+1))&lt;=31,3,IF(INDEX(ERP資料!$G:$G, (MATCH(280, 輔助計算!$G$2:$G$801, 0)+1))&lt;=46.5,2,1)), IF(INDEX(ERP資料!$G:$G, (MATCH(280, 輔助計算!$G$2:$G$801, 0)+1))&lt;=790,3,IF(INDEX(ERP資料!$G:$G, (MATCH(280, 輔助計算!$G$2:$G$801, 0)+1))&lt;=1181,2,1)))=1,TEXT(INDEX(ERP資料!$G:$G, (MATCH(280, 輔助計算!$G$2:$G$801, 0)+1)),"0.##"),IF(IF(INDEX(ERP資料!$G:$G, (MATCH(280, 輔助計算!$G$2:$G$801, 0)+1))&lt;100, IF(INDEX(ERP資料!$G:$G, (MATCH(280, 輔助計算!$G$2:$G$801, 0)+1))&lt;=31,3,IF(INDEX(ERP資料!$G:$G, (MATCH(280, 輔助計算!$G$2:$G$801, 0)+1))&lt;=46.5,2,1)), IF(INDEX(ERP資料!$G:$G, (MATCH(280, 輔助計算!$G$2:$G$801, 0)+1))&lt;=790,3,IF(INDEX(ERP資料!$G:$G, (MATCH(280, 輔助計算!$G$2:$G$801, 0)+1))&lt;=1181,2,1)))=2,TEXT(INDEX(ERP資料!$G:$G, (MATCH(280, 輔助計算!$G$2:$G$801, 0)+1)),"0.##")&amp;"+"&amp;TEXT(INDEX(ERP資料!$G:$G, (MATCH(280, 輔助計算!$G$2:$G$801, 0)+1)),"0.##"),TEXT(INDEX(ERP資料!$G:$G, (MATCH(280, 輔助計算!$G$2:$G$801, 0)+1)),"0.##")&amp;"+"&amp;TEXT(INDEX(ERP資料!$G:$G, (MATCH(280, 輔助計算!$G$2:$G$801, 0)+1)),"0.##")&amp;"+"&amp;TEXT(INDEX(ERP資料!$G:$G, (MATCH(280, 輔助計算!$G$2:$G$801, 0)+1)),"0.##")))&amp;"-"&amp;INT(INDEX(輔助計算!$D:$D, (MATCH(280, 輔助計算!$G$2:$G$801, 0)+1))/IF(INDEX(ERP資料!$G:$G, (MATCH(280, 輔助計算!$G$2:$G$801, 0)+1))&lt;100, IF(INDEX(ERP資料!$G:$G, (MATCH(280, 輔助計算!$G$2:$G$801, 0)+1))&lt;=31,3,IF(INDEX(ERP資料!$G:$G, (MATCH(280, 輔助計算!$G$2:$G$801, 0)+1))&lt;=46.5,2,1)), IF(INDEX(ERP資料!$G:$G, (MATCH(280, 輔助計算!$G$2:$G$801, 0)+1))&lt;=790,3,IF(INDEX(ERP資料!$G:$G, (MATCH(280, 輔助計算!$G$2:$G$801, 0)+1))&lt;=1181,2,1)))), "")&amp;IF(AND(IF(INT(INDEX(輔助計算!$D:$D, (MATCH(280, 輔助計算!$G$2:$G$801, 0)+1))/IF(INDEX(ERP資料!$G:$G, (MATCH(280, 輔助計算!$G$2:$G$801, 0)+1))&lt;100, IF(INDEX(ERP資料!$G:$G, (MATCH(280, 輔助計算!$G$2:$G$801, 0)+1))&lt;=31,3,IF(INDEX(ERP資料!$G:$G, (MATCH(280, 輔助計算!$G$2:$G$801, 0)+1))&lt;=46.5,2,1)), IF(INDEX(ERP資料!$G:$G, (MATCH(280, 輔助計算!$G$2:$G$801, 0)+1))&lt;=790,3,IF(INDEX(ERP資料!$G:$G, (MATCH(280, 輔助計算!$G$2:$G$801, 0)+1))&lt;=1181,2,1))))&gt;0, IF(IF(INDEX(ERP資料!$G:$G, (MATCH(280, 輔助計算!$G$2:$G$801, 0)+1))&lt;100, IF(INDEX(ERP資料!$G:$G, (MATCH(280, 輔助計算!$G$2:$G$801, 0)+1))&lt;=31,3,IF(INDEX(ERP資料!$G:$G, (MATCH(280, 輔助計算!$G$2:$G$801, 0)+1))&lt;=46.5,2,1)), IF(INDEX(ERP資料!$G:$G, (MATCH(280, 輔助計算!$G$2:$G$801, 0)+1))&lt;=790,3,IF(INDEX(ERP資料!$G:$G, (MATCH(280, 輔助計算!$G$2:$G$801, 0)+1))&lt;=1181,2,1)))=1,TEXT(INDEX(ERP資料!$G:$G, (MATCH(280, 輔助計算!$G$2:$G$801, 0)+1)),"0.##"),IF(IF(INDEX(ERP資料!$G:$G, (MATCH(280, 輔助計算!$G$2:$G$801, 0)+1))&lt;100, IF(INDEX(ERP資料!$G:$G, (MATCH(280, 輔助計算!$G$2:$G$801, 0)+1))&lt;=31,3,IF(INDEX(ERP資料!$G:$G, (MATCH(280, 輔助計算!$G$2:$G$801, 0)+1))&lt;=46.5,2,1)), IF(INDEX(ERP資料!$G:$G, (MATCH(280, 輔助計算!$G$2:$G$801, 0)+1))&lt;=790,3,IF(INDEX(ERP資料!$G:$G, (MATCH(280, 輔助計算!$G$2:$G$801, 0)+1))&lt;=1181,2,1)))=2,TEXT(INDEX(ERP資料!$G:$G, (MATCH(280, 輔助計算!$G$2:$G$801, 0)+1)),"0.##")&amp;"+"&amp;TEXT(INDEX(ERP資料!$G:$G, (MATCH(280, 輔助計算!$G$2:$G$801, 0)+1)),"0.##"),TEXT(INDEX(ERP資料!$G:$G, (MATCH(280, 輔助計算!$G$2:$G$801, 0)+1)),"0.##")&amp;"+"&amp;TEXT(INDEX(ERP資料!$G:$G, (MATCH(280, 輔助計算!$G$2:$G$801, 0)+1)),"0.##")&amp;"+"&amp;TEXT(INDEX(ERP資料!$G:$G, (MATCH(280, 輔助計算!$G$2:$G$801, 0)+1)),"0.##")))&amp;"-"&amp;INT(INDEX(輔助計算!$D:$D, (MATCH(280, 輔助計算!$G$2:$G$801, 0)+1))/IF(INDEX(ERP資料!$G:$G, (MATCH(280, 輔助計算!$G$2:$G$801, 0)+1))&lt;100, IF(INDEX(ERP資料!$G:$G, (MATCH(280, 輔助計算!$G$2:$G$801, 0)+1))&lt;=31,3,IF(INDEX(ERP資料!$G:$G, (MATCH(280, 輔助計算!$G$2:$G$801, 0)+1))&lt;=46.5,2,1)), IF(INDEX(ERP資料!$G:$G, (MATCH(280, 輔助計算!$G$2:$G$801, 0)+1))&lt;=790,3,IF(INDEX(ERP資料!$G:$G, (MATCH(280, 輔助計算!$G$2:$G$801, 0)+1))&lt;=1181,2,1)))), "")&lt;&gt;"",IF(MOD(INDEX(輔助計算!$D:$D, (MATCH(280, 輔助計算!$G$2:$G$801, 0)+1)),IF(INDEX(ERP資料!$G:$G, (MATCH(280, 輔助計算!$G$2:$G$801, 0)+1))&lt;100, IF(INDEX(ERP資料!$G:$G, (MATCH(280, 輔助計算!$G$2:$G$801, 0)+1))&lt;=31,3,IF(INDEX(ERP資料!$G:$G, (MATCH(280, 輔助計算!$G$2:$G$801, 0)+1))&lt;=46.5,2,1)), IF(INDEX(ERP資料!$G:$G, (MATCH(280, 輔助計算!$G$2:$G$801, 0)+1))&lt;=790,3,IF(INDEX(ERP資料!$G:$G, (MATCH(280, 輔助計算!$G$2:$G$801, 0)+1))&lt;=1181,2,1))))=0,"",IF(MOD(INDEX(輔助計算!$D:$D, (MATCH(280, 輔助計算!$G$2:$G$801, 0)+1)),IF(INDEX(ERP資料!$G:$G, (MATCH(280, 輔助計算!$G$2:$G$801, 0)+1))&lt;100, IF(INDEX(ERP資料!$G:$G, (MATCH(280, 輔助計算!$G$2:$G$801, 0)+1))&lt;=31,3,IF(INDEX(ERP資料!$G:$G, (MATCH(280, 輔助計算!$G$2:$G$801, 0)+1))&lt;=46.5,2,1)), IF(INDEX(ERP資料!$G:$G, (MATCH(280, 輔助計算!$G$2:$G$801, 0)+1))&lt;=790,3,IF(INDEX(ERP資料!$G:$G, (MATCH(280, 輔助計算!$G$2:$G$801, 0)+1))&lt;=1181,2,1))))=0,"",IF(MOD(INDEX(輔助計算!$D:$D, (MATCH(280, 輔助計算!$G$2:$G$801, 0)+1)),IF(INDEX(ERP資料!$G:$G, (MATCH(280, 輔助計算!$G$2:$G$801, 0)+1))&lt;100, IF(INDEX(ERP資料!$G:$G, (MATCH(280, 輔助計算!$G$2:$G$801, 0)+1))&lt;=31,3,IF(INDEX(ERP資料!$G:$G, (MATCH(280, 輔助計算!$G$2:$G$801, 0)+1))&lt;=46.5,2,1)), IF(INDEX(ERP資料!$G:$G, (MATCH(280, 輔助計算!$G$2:$G$801, 0)+1))&lt;=790,3,IF(INDEX(ERP資料!$G:$G, (MATCH(280, 輔助計算!$G$2:$G$801, 0)+1))&lt;=1181,2,1))))=1,TEXT(INDEX(ERP資料!$G:$G, (MATCH(280, 輔助計算!$G$2:$G$801, 0)+1)),"0.##"),IF(MOD(INDEX(輔助計算!$D:$D, (MATCH(280, 輔助計算!$G$2:$G$801, 0)+1)),IF(INDEX(ERP資料!$G:$G, (MATCH(280, 輔助計算!$G$2:$G$801, 0)+1))&lt;100, IF(INDEX(ERP資料!$G:$G, (MATCH(280, 輔助計算!$G$2:$G$801, 0)+1))&lt;=31,3,IF(INDEX(ERP資料!$G:$G, (MATCH(280, 輔助計算!$G$2:$G$801, 0)+1))&lt;=46.5,2,1)), IF(INDEX(ERP資料!$G:$G, (MATCH(280, 輔助計算!$G$2:$G$801, 0)+1))&lt;=790,3,IF(INDEX(ERP資料!$G:$G, (MATCH(280, 輔助計算!$G$2:$G$801, 0)+1))&lt;=1181,2,1))))=2,TEXT(INDEX(ERP資料!$G:$G, (MATCH(280, 輔助計算!$G$2:$G$801, 0)+1)),"0.##")&amp;"+"&amp;TEXT(INDEX(ERP資料!$G:$G, (MATCH(280, 輔助計算!$G$2:$G$801, 0)+1)),"0.##"),TEXT(INDEX(ERP資料!$G:$G, (MATCH(280, 輔助計算!$G$2:$G$801, 0)+1)),"0.##")&amp;"+"&amp;TEXT(INDEX(ERP資料!$G:$G, (MATCH(280, 輔助計算!$G$2:$G$801, 0)+1)),"0.##")&amp;"+"&amp;TEXT(INDEX(ERP資料!$G:$G, (MATCH(280, 輔助計算!$G$2:$G$801, 0)+1)),"0.##"))))&amp;"-1")&lt;&gt;""),"  ","")&amp;IF(MOD(INDEX(輔助計算!$D:$D, (MATCH(280, 輔助計算!$G$2:$G$801, 0)+1)),IF(INDEX(ERP資料!$G:$G, (MATCH(280, 輔助計算!$G$2:$G$801, 0)+1))&lt;100, IF(INDEX(ERP資料!$G:$G, (MATCH(280, 輔助計算!$G$2:$G$801, 0)+1))&lt;=31,3,IF(INDEX(ERP資料!$G:$G, (MATCH(280, 輔助計算!$G$2:$G$801, 0)+1))&lt;=46.5,2,1)), IF(INDEX(ERP資料!$G:$G, (MATCH(280, 輔助計算!$G$2:$G$801, 0)+1))&lt;=790,3,IF(INDEX(ERP資料!$G:$G, (MATCH(280, 輔助計算!$G$2:$G$801, 0)+1))&lt;=1181,2,1))))=0,"",IF(MOD(INDEX(輔助計算!$D:$D, (MATCH(280, 輔助計算!$G$2:$G$801, 0)+1)),IF(INDEX(ERP資料!$G:$G, (MATCH(280, 輔助計算!$G$2:$G$801, 0)+1))&lt;100, IF(INDEX(ERP資料!$G:$G, (MATCH(280, 輔助計算!$G$2:$G$801, 0)+1))&lt;=31,3,IF(INDEX(ERP資料!$G:$G, (MATCH(280, 輔助計算!$G$2:$G$801, 0)+1))&lt;=46.5,2,1)), IF(INDEX(ERP資料!$G:$G, (MATCH(280, 輔助計算!$G$2:$G$801, 0)+1))&lt;=790,3,IF(INDEX(ERP資料!$G:$G, (MATCH(280, 輔助計算!$G$2:$G$801, 0)+1))&lt;=1181,2,1))))=0,"",IF(MOD(INDEX(輔助計算!$D:$D, (MATCH(280, 輔助計算!$G$2:$G$801, 0)+1)),IF(INDEX(ERP資料!$G:$G, (MATCH(280, 輔助計算!$G$2:$G$801, 0)+1))&lt;100, IF(INDEX(ERP資料!$G:$G, (MATCH(280, 輔助計算!$G$2:$G$801, 0)+1))&lt;=31,3,IF(INDEX(ERP資料!$G:$G, (MATCH(280, 輔助計算!$G$2:$G$801, 0)+1))&lt;=46.5,2,1)), IF(INDEX(ERP資料!$G:$G, (MATCH(280, 輔助計算!$G$2:$G$801, 0)+1))&lt;=790,3,IF(INDEX(ERP資料!$G:$G, (MATCH(280, 輔助計算!$G$2:$G$801, 0)+1))&lt;=1181,2,1))))=1,TEXT(INDEX(ERP資料!$G:$G, (MATCH(280, 輔助計算!$G$2:$G$801, 0)+1)),"0.##"),IF(MOD(INDEX(輔助計算!$D:$D, (MATCH(280, 輔助計算!$G$2:$G$801, 0)+1)),IF(INDEX(ERP資料!$G:$G, (MATCH(280, 輔助計算!$G$2:$G$801, 0)+1))&lt;100, IF(INDEX(ERP資料!$G:$G, (MATCH(280, 輔助計算!$G$2:$G$801, 0)+1))&lt;=31,3,IF(INDEX(ERP資料!$G:$G, (MATCH(280, 輔助計算!$G$2:$G$801, 0)+1))&lt;=46.5,2,1)), IF(INDEX(ERP資料!$G:$G, (MATCH(280, 輔助計算!$G$2:$G$801, 0)+1))&lt;=790,3,IF(INDEX(ERP資料!$G:$G, (MATCH(280, 輔助計算!$G$2:$G$801, 0)+1))&lt;=1181,2,1))))=2,TEXT(INDEX(ERP資料!$G:$G, (MATCH(280, 輔助計算!$G$2:$G$801, 0)+1)),"0.##")&amp;"+"&amp;TEXT(INDEX(ERP資料!$G:$G, (MATCH(280, 輔助計算!$G$2:$G$801, 0)+1)),"0.##"),TEXT(INDEX(ERP資料!$G:$G, (MATCH(280, 輔助計算!$G$2:$G$801, 0)+1)),"0.##")&amp;"+"&amp;TEXT(INDEX(ERP資料!$G:$G, (MATCH(280, 輔助計算!$G$2:$G$801, 0)+1)),"0.##")&amp;"+"&amp;TEXT(INDEX(ERP資料!$G:$G, (MATCH(280, 輔助計算!$G$2:$G$801, 0)+1)),"0.##"))))&amp;"-1")), ""), "")</f>
        <v/>
      </c>
      <c r="K281" s="16" t="n"/>
      <c r="L281" s="14">
        <f>IFERROR(IF(AND(IFERROR(INDEX(ERP資料!$A:$A, (MATCH(280, 輔助計算!$G$2:$G$801, 0)+1)), "")&lt;&gt;"", IFERROR(INDEX(ERP資料!$A:$A, (MATCH(280, 輔助計算!$G$2:$G$801, 0)+1)), "")&lt;&gt;IFERROR(INDEX(ERP資料!$A:$A, MATCH(279, 輔助計算!$G$2:$G$801, 0)+1), "")), INDEX(ERP資料!$B:$B, (MATCH(280, 輔助計算!$G$2:$G$801, 0)+1)), ""), "")</f>
        <v/>
      </c>
      <c r="M281" s="17" t="n"/>
    </row>
    <row r="282">
      <c r="A282" s="10">
        <f>IFERROR(IF(AND(IFERROR(INDEX(ERP資料!$A:$A, (MATCH(281, 輔助計算!$G$2:$G$801, 0)+1)), "")&lt;&gt;"", IFERROR(INDEX(ERP資料!$A:$A, (MATCH(281, 輔助計算!$G$2:$G$801, 0)+1)), "")&lt;&gt;IFERROR(INDEX(ERP資料!$A:$A, MATCH(280, 輔助計算!$G$2:$G$801, 0)+1), "")), IFERROR(INDEX(ERP資料!$A:$A, (MATCH(281, 輔助計算!$G$2:$G$801, 0)+1)), ""), ""), "")</f>
        <v/>
      </c>
      <c r="B282" s="10">
        <f>IFERROR(IF(AND(IFERROR(INDEX(ERP資料!$A:$A, (MATCH(281, 輔助計算!$G$2:$G$801, 0)+1)), "")&lt;&gt;"", IFERROR(INDEX(ERP資料!$A:$A, (MATCH(281, 輔助計算!$G$2:$G$801, 0)+1)), "")&lt;&gt;IFERROR(INDEX(ERP資料!$A:$A, MATCH(280, 輔助計算!$G$2:$G$801, 0)+1), "")), INDEX(ERP資料!$S:$S, (MATCH(281, 輔助計算!$G$2:$G$801, 0)+1)), ""), "")</f>
        <v/>
      </c>
      <c r="C282" s="19">
        <f>IFERROR(IF(AND(IFERROR(INDEX(ERP資料!$A:$A, (MATCH(281, 輔助計算!$G$2:$G$801, 0)+1)), "")&lt;&gt;"", IFERROR(INDEX(ERP資料!$A:$A, (MATCH(281, 輔助計算!$G$2:$G$801, 0)+1)), "")&lt;&gt;IFERROR(INDEX(ERP資料!$A:$A, MATCH(280, 輔助計算!$G$2:$G$801, 0)+1), "")), IFERROR(VLOOKUP(LEFT(INDEX(ERP資料!$S:$S, (MATCH(281, 輔助計算!$G$2:$G$801, 0)+1)), 4), 紙管對照表!$A:$C, 3, FALSE), ""), ""), "")</f>
        <v/>
      </c>
      <c r="D282" s="16" t="n"/>
      <c r="E282" s="10">
        <f>IFERROR(IF(INDEX(ERP資料!$H:$H, (MATCH(281, 輔助計算!$G$2:$G$801, 0)+1))="","",INDEX(ERP資料!$H:$H, (MATCH(281, 輔助計算!$G$2:$G$801, 0)+1))), "")</f>
        <v/>
      </c>
      <c r="F282" s="10">
        <f>IFERROR(IF(INDEX(ERP資料!$E:$E, (MATCH(281, 輔助計算!$G$2:$G$801, 0)+1))="","",TRIM(INDEX(ERP資料!$E:$E, (MATCH(281, 輔助計算!$G$2:$G$801, 0)+1)))), "")</f>
        <v/>
      </c>
      <c r="G282" s="10">
        <f>IFERROR(IF(INDEX(ERP資料!$F:$F, (MATCH(281, 輔助計算!$G$2:$G$801, 0)+1))="","",INDEX(ERP資料!$F:$F, (MATCH(281, 輔助計算!$G$2:$G$801, 0)+1))), "")</f>
        <v/>
      </c>
      <c r="H282" s="10">
        <f>IFERROR(IF(INDEX(ERP資料!$G:$G, (MATCH(281, 輔助計算!$G$2:$G$801, 0)+1))="","",INDEX(ERP資料!$G:$G, (MATCH(281, 輔助計算!$G$2:$G$801, 0)+1))), "")</f>
        <v/>
      </c>
      <c r="I282" s="15">
        <f>IFERROR(INDEX(輔助計算!$D:$D, (MATCH(281, 輔助計算!$G$2:$G$801, 0)+1)), "")</f>
        <v/>
      </c>
      <c r="J282" s="15">
        <f>IFERROR(IF(AND(INDEX(輔助計算!$D:$D, (MATCH(281, 輔助計算!$G$2:$G$801, 0)+1))&lt;&gt;"", INDEX(ERP資料!$G:$G, (MATCH(281, 輔助計算!$G$2:$G$801, 0)+1))&lt;&gt;""), TRIM(IF(INT(INDEX(輔助計算!$D:$D, (MATCH(281, 輔助計算!$G$2:$G$801, 0)+1))/IF(INDEX(ERP資料!$G:$G, (MATCH(281, 輔助計算!$G$2:$G$801, 0)+1))&lt;100, IF(INDEX(ERP資料!$G:$G, (MATCH(281, 輔助計算!$G$2:$G$801, 0)+1))&lt;=31,3,IF(INDEX(ERP資料!$G:$G, (MATCH(281, 輔助計算!$G$2:$G$801, 0)+1))&lt;=46.5,2,1)), IF(INDEX(ERP資料!$G:$G, (MATCH(281, 輔助計算!$G$2:$G$801, 0)+1))&lt;=790,3,IF(INDEX(ERP資料!$G:$G, (MATCH(281, 輔助計算!$G$2:$G$801, 0)+1))&lt;=1181,2,1))))&gt;0, IF(IF(INDEX(ERP資料!$G:$G, (MATCH(281, 輔助計算!$G$2:$G$801, 0)+1))&lt;100, IF(INDEX(ERP資料!$G:$G, (MATCH(281, 輔助計算!$G$2:$G$801, 0)+1))&lt;=31,3,IF(INDEX(ERP資料!$G:$G, (MATCH(281, 輔助計算!$G$2:$G$801, 0)+1))&lt;=46.5,2,1)), IF(INDEX(ERP資料!$G:$G, (MATCH(281, 輔助計算!$G$2:$G$801, 0)+1))&lt;=790,3,IF(INDEX(ERP資料!$G:$G, (MATCH(281, 輔助計算!$G$2:$G$801, 0)+1))&lt;=1181,2,1)))=1,TEXT(INDEX(ERP資料!$G:$G, (MATCH(281, 輔助計算!$G$2:$G$801, 0)+1)),"0.##"),IF(IF(INDEX(ERP資料!$G:$G, (MATCH(281, 輔助計算!$G$2:$G$801, 0)+1))&lt;100, IF(INDEX(ERP資料!$G:$G, (MATCH(281, 輔助計算!$G$2:$G$801, 0)+1))&lt;=31,3,IF(INDEX(ERP資料!$G:$G, (MATCH(281, 輔助計算!$G$2:$G$801, 0)+1))&lt;=46.5,2,1)), IF(INDEX(ERP資料!$G:$G, (MATCH(281, 輔助計算!$G$2:$G$801, 0)+1))&lt;=790,3,IF(INDEX(ERP資料!$G:$G, (MATCH(281, 輔助計算!$G$2:$G$801, 0)+1))&lt;=1181,2,1)))=2,TEXT(INDEX(ERP資料!$G:$G, (MATCH(281, 輔助計算!$G$2:$G$801, 0)+1)),"0.##")&amp;"+"&amp;TEXT(INDEX(ERP資料!$G:$G, (MATCH(281, 輔助計算!$G$2:$G$801, 0)+1)),"0.##"),TEXT(INDEX(ERP資料!$G:$G, (MATCH(281, 輔助計算!$G$2:$G$801, 0)+1)),"0.##")&amp;"+"&amp;TEXT(INDEX(ERP資料!$G:$G, (MATCH(281, 輔助計算!$G$2:$G$801, 0)+1)),"0.##")&amp;"+"&amp;TEXT(INDEX(ERP資料!$G:$G, (MATCH(281, 輔助計算!$G$2:$G$801, 0)+1)),"0.##")))&amp;"-"&amp;INT(INDEX(輔助計算!$D:$D, (MATCH(281, 輔助計算!$G$2:$G$801, 0)+1))/IF(INDEX(ERP資料!$G:$G, (MATCH(281, 輔助計算!$G$2:$G$801, 0)+1))&lt;100, IF(INDEX(ERP資料!$G:$G, (MATCH(281, 輔助計算!$G$2:$G$801, 0)+1))&lt;=31,3,IF(INDEX(ERP資料!$G:$G, (MATCH(281, 輔助計算!$G$2:$G$801, 0)+1))&lt;=46.5,2,1)), IF(INDEX(ERP資料!$G:$G, (MATCH(281, 輔助計算!$G$2:$G$801, 0)+1))&lt;=790,3,IF(INDEX(ERP資料!$G:$G, (MATCH(281, 輔助計算!$G$2:$G$801, 0)+1))&lt;=1181,2,1)))), "")&amp;IF(AND(IF(INT(INDEX(輔助計算!$D:$D, (MATCH(281, 輔助計算!$G$2:$G$801, 0)+1))/IF(INDEX(ERP資料!$G:$G, (MATCH(281, 輔助計算!$G$2:$G$801, 0)+1))&lt;100, IF(INDEX(ERP資料!$G:$G, (MATCH(281, 輔助計算!$G$2:$G$801, 0)+1))&lt;=31,3,IF(INDEX(ERP資料!$G:$G, (MATCH(281, 輔助計算!$G$2:$G$801, 0)+1))&lt;=46.5,2,1)), IF(INDEX(ERP資料!$G:$G, (MATCH(281, 輔助計算!$G$2:$G$801, 0)+1))&lt;=790,3,IF(INDEX(ERP資料!$G:$G, (MATCH(281, 輔助計算!$G$2:$G$801, 0)+1))&lt;=1181,2,1))))&gt;0, IF(IF(INDEX(ERP資料!$G:$G, (MATCH(281, 輔助計算!$G$2:$G$801, 0)+1))&lt;100, IF(INDEX(ERP資料!$G:$G, (MATCH(281, 輔助計算!$G$2:$G$801, 0)+1))&lt;=31,3,IF(INDEX(ERP資料!$G:$G, (MATCH(281, 輔助計算!$G$2:$G$801, 0)+1))&lt;=46.5,2,1)), IF(INDEX(ERP資料!$G:$G, (MATCH(281, 輔助計算!$G$2:$G$801, 0)+1))&lt;=790,3,IF(INDEX(ERP資料!$G:$G, (MATCH(281, 輔助計算!$G$2:$G$801, 0)+1))&lt;=1181,2,1)))=1,TEXT(INDEX(ERP資料!$G:$G, (MATCH(281, 輔助計算!$G$2:$G$801, 0)+1)),"0.##"),IF(IF(INDEX(ERP資料!$G:$G, (MATCH(281, 輔助計算!$G$2:$G$801, 0)+1))&lt;100, IF(INDEX(ERP資料!$G:$G, (MATCH(281, 輔助計算!$G$2:$G$801, 0)+1))&lt;=31,3,IF(INDEX(ERP資料!$G:$G, (MATCH(281, 輔助計算!$G$2:$G$801, 0)+1))&lt;=46.5,2,1)), IF(INDEX(ERP資料!$G:$G, (MATCH(281, 輔助計算!$G$2:$G$801, 0)+1))&lt;=790,3,IF(INDEX(ERP資料!$G:$G, (MATCH(281, 輔助計算!$G$2:$G$801, 0)+1))&lt;=1181,2,1)))=2,TEXT(INDEX(ERP資料!$G:$G, (MATCH(281, 輔助計算!$G$2:$G$801, 0)+1)),"0.##")&amp;"+"&amp;TEXT(INDEX(ERP資料!$G:$G, (MATCH(281, 輔助計算!$G$2:$G$801, 0)+1)),"0.##"),TEXT(INDEX(ERP資料!$G:$G, (MATCH(281, 輔助計算!$G$2:$G$801, 0)+1)),"0.##")&amp;"+"&amp;TEXT(INDEX(ERP資料!$G:$G, (MATCH(281, 輔助計算!$G$2:$G$801, 0)+1)),"0.##")&amp;"+"&amp;TEXT(INDEX(ERP資料!$G:$G, (MATCH(281, 輔助計算!$G$2:$G$801, 0)+1)),"0.##")))&amp;"-"&amp;INT(INDEX(輔助計算!$D:$D, (MATCH(281, 輔助計算!$G$2:$G$801, 0)+1))/IF(INDEX(ERP資料!$G:$G, (MATCH(281, 輔助計算!$G$2:$G$801, 0)+1))&lt;100, IF(INDEX(ERP資料!$G:$G, (MATCH(281, 輔助計算!$G$2:$G$801, 0)+1))&lt;=31,3,IF(INDEX(ERP資料!$G:$G, (MATCH(281, 輔助計算!$G$2:$G$801, 0)+1))&lt;=46.5,2,1)), IF(INDEX(ERP資料!$G:$G, (MATCH(281, 輔助計算!$G$2:$G$801, 0)+1))&lt;=790,3,IF(INDEX(ERP資料!$G:$G, (MATCH(281, 輔助計算!$G$2:$G$801, 0)+1))&lt;=1181,2,1)))), "")&lt;&gt;"",IF(MOD(INDEX(輔助計算!$D:$D, (MATCH(281, 輔助計算!$G$2:$G$801, 0)+1)),IF(INDEX(ERP資料!$G:$G, (MATCH(281, 輔助計算!$G$2:$G$801, 0)+1))&lt;100, IF(INDEX(ERP資料!$G:$G, (MATCH(281, 輔助計算!$G$2:$G$801, 0)+1))&lt;=31,3,IF(INDEX(ERP資料!$G:$G, (MATCH(281, 輔助計算!$G$2:$G$801, 0)+1))&lt;=46.5,2,1)), IF(INDEX(ERP資料!$G:$G, (MATCH(281, 輔助計算!$G$2:$G$801, 0)+1))&lt;=790,3,IF(INDEX(ERP資料!$G:$G, (MATCH(281, 輔助計算!$G$2:$G$801, 0)+1))&lt;=1181,2,1))))=0,"",IF(MOD(INDEX(輔助計算!$D:$D, (MATCH(281, 輔助計算!$G$2:$G$801, 0)+1)),IF(INDEX(ERP資料!$G:$G, (MATCH(281, 輔助計算!$G$2:$G$801, 0)+1))&lt;100, IF(INDEX(ERP資料!$G:$G, (MATCH(281, 輔助計算!$G$2:$G$801, 0)+1))&lt;=31,3,IF(INDEX(ERP資料!$G:$G, (MATCH(281, 輔助計算!$G$2:$G$801, 0)+1))&lt;=46.5,2,1)), IF(INDEX(ERP資料!$G:$G, (MATCH(281, 輔助計算!$G$2:$G$801, 0)+1))&lt;=790,3,IF(INDEX(ERP資料!$G:$G, (MATCH(281, 輔助計算!$G$2:$G$801, 0)+1))&lt;=1181,2,1))))=0,"",IF(MOD(INDEX(輔助計算!$D:$D, (MATCH(281, 輔助計算!$G$2:$G$801, 0)+1)),IF(INDEX(ERP資料!$G:$G, (MATCH(281, 輔助計算!$G$2:$G$801, 0)+1))&lt;100, IF(INDEX(ERP資料!$G:$G, (MATCH(281, 輔助計算!$G$2:$G$801, 0)+1))&lt;=31,3,IF(INDEX(ERP資料!$G:$G, (MATCH(281, 輔助計算!$G$2:$G$801, 0)+1))&lt;=46.5,2,1)), IF(INDEX(ERP資料!$G:$G, (MATCH(281, 輔助計算!$G$2:$G$801, 0)+1))&lt;=790,3,IF(INDEX(ERP資料!$G:$G, (MATCH(281, 輔助計算!$G$2:$G$801, 0)+1))&lt;=1181,2,1))))=1,TEXT(INDEX(ERP資料!$G:$G, (MATCH(281, 輔助計算!$G$2:$G$801, 0)+1)),"0.##"),IF(MOD(INDEX(輔助計算!$D:$D, (MATCH(281, 輔助計算!$G$2:$G$801, 0)+1)),IF(INDEX(ERP資料!$G:$G, (MATCH(281, 輔助計算!$G$2:$G$801, 0)+1))&lt;100, IF(INDEX(ERP資料!$G:$G, (MATCH(281, 輔助計算!$G$2:$G$801, 0)+1))&lt;=31,3,IF(INDEX(ERP資料!$G:$G, (MATCH(281, 輔助計算!$G$2:$G$801, 0)+1))&lt;=46.5,2,1)), IF(INDEX(ERP資料!$G:$G, (MATCH(281, 輔助計算!$G$2:$G$801, 0)+1))&lt;=790,3,IF(INDEX(ERP資料!$G:$G, (MATCH(281, 輔助計算!$G$2:$G$801, 0)+1))&lt;=1181,2,1))))=2,TEXT(INDEX(ERP資料!$G:$G, (MATCH(281, 輔助計算!$G$2:$G$801, 0)+1)),"0.##")&amp;"+"&amp;TEXT(INDEX(ERP資料!$G:$G, (MATCH(281, 輔助計算!$G$2:$G$801, 0)+1)),"0.##"),TEXT(INDEX(ERP資料!$G:$G, (MATCH(281, 輔助計算!$G$2:$G$801, 0)+1)),"0.##")&amp;"+"&amp;TEXT(INDEX(ERP資料!$G:$G, (MATCH(281, 輔助計算!$G$2:$G$801, 0)+1)),"0.##")&amp;"+"&amp;TEXT(INDEX(ERP資料!$G:$G, (MATCH(281, 輔助計算!$G$2:$G$801, 0)+1)),"0.##"))))&amp;"-1")&lt;&gt;""),"  ","")&amp;IF(MOD(INDEX(輔助計算!$D:$D, (MATCH(281, 輔助計算!$G$2:$G$801, 0)+1)),IF(INDEX(ERP資料!$G:$G, (MATCH(281, 輔助計算!$G$2:$G$801, 0)+1))&lt;100, IF(INDEX(ERP資料!$G:$G, (MATCH(281, 輔助計算!$G$2:$G$801, 0)+1))&lt;=31,3,IF(INDEX(ERP資料!$G:$G, (MATCH(281, 輔助計算!$G$2:$G$801, 0)+1))&lt;=46.5,2,1)), IF(INDEX(ERP資料!$G:$G, (MATCH(281, 輔助計算!$G$2:$G$801, 0)+1))&lt;=790,3,IF(INDEX(ERP資料!$G:$G, (MATCH(281, 輔助計算!$G$2:$G$801, 0)+1))&lt;=1181,2,1))))=0,"",IF(MOD(INDEX(輔助計算!$D:$D, (MATCH(281, 輔助計算!$G$2:$G$801, 0)+1)),IF(INDEX(ERP資料!$G:$G, (MATCH(281, 輔助計算!$G$2:$G$801, 0)+1))&lt;100, IF(INDEX(ERP資料!$G:$G, (MATCH(281, 輔助計算!$G$2:$G$801, 0)+1))&lt;=31,3,IF(INDEX(ERP資料!$G:$G, (MATCH(281, 輔助計算!$G$2:$G$801, 0)+1))&lt;=46.5,2,1)), IF(INDEX(ERP資料!$G:$G, (MATCH(281, 輔助計算!$G$2:$G$801, 0)+1))&lt;=790,3,IF(INDEX(ERP資料!$G:$G, (MATCH(281, 輔助計算!$G$2:$G$801, 0)+1))&lt;=1181,2,1))))=0,"",IF(MOD(INDEX(輔助計算!$D:$D, (MATCH(281, 輔助計算!$G$2:$G$801, 0)+1)),IF(INDEX(ERP資料!$G:$G, (MATCH(281, 輔助計算!$G$2:$G$801, 0)+1))&lt;100, IF(INDEX(ERP資料!$G:$G, (MATCH(281, 輔助計算!$G$2:$G$801, 0)+1))&lt;=31,3,IF(INDEX(ERP資料!$G:$G, (MATCH(281, 輔助計算!$G$2:$G$801, 0)+1))&lt;=46.5,2,1)), IF(INDEX(ERP資料!$G:$G, (MATCH(281, 輔助計算!$G$2:$G$801, 0)+1))&lt;=790,3,IF(INDEX(ERP資料!$G:$G, (MATCH(281, 輔助計算!$G$2:$G$801, 0)+1))&lt;=1181,2,1))))=1,TEXT(INDEX(ERP資料!$G:$G, (MATCH(281, 輔助計算!$G$2:$G$801, 0)+1)),"0.##"),IF(MOD(INDEX(輔助計算!$D:$D, (MATCH(281, 輔助計算!$G$2:$G$801, 0)+1)),IF(INDEX(ERP資料!$G:$G, (MATCH(281, 輔助計算!$G$2:$G$801, 0)+1))&lt;100, IF(INDEX(ERP資料!$G:$G, (MATCH(281, 輔助計算!$G$2:$G$801, 0)+1))&lt;=31,3,IF(INDEX(ERP資料!$G:$G, (MATCH(281, 輔助計算!$G$2:$G$801, 0)+1))&lt;=46.5,2,1)), IF(INDEX(ERP資料!$G:$G, (MATCH(281, 輔助計算!$G$2:$G$801, 0)+1))&lt;=790,3,IF(INDEX(ERP資料!$G:$G, (MATCH(281, 輔助計算!$G$2:$G$801, 0)+1))&lt;=1181,2,1))))=2,TEXT(INDEX(ERP資料!$G:$G, (MATCH(281, 輔助計算!$G$2:$G$801, 0)+1)),"0.##")&amp;"+"&amp;TEXT(INDEX(ERP資料!$G:$G, (MATCH(281, 輔助計算!$G$2:$G$801, 0)+1)),"0.##"),TEXT(INDEX(ERP資料!$G:$G, (MATCH(281, 輔助計算!$G$2:$G$801, 0)+1)),"0.##")&amp;"+"&amp;TEXT(INDEX(ERP資料!$G:$G, (MATCH(281, 輔助計算!$G$2:$G$801, 0)+1)),"0.##")&amp;"+"&amp;TEXT(INDEX(ERP資料!$G:$G, (MATCH(281, 輔助計算!$G$2:$G$801, 0)+1)),"0.##"))))&amp;"-1")), ""), "")</f>
        <v/>
      </c>
      <c r="K282" s="16" t="n"/>
      <c r="L282" s="14">
        <f>IFERROR(IF(AND(IFERROR(INDEX(ERP資料!$A:$A, (MATCH(281, 輔助計算!$G$2:$G$801, 0)+1)), "")&lt;&gt;"", IFERROR(INDEX(ERP資料!$A:$A, (MATCH(281, 輔助計算!$G$2:$G$801, 0)+1)), "")&lt;&gt;IFERROR(INDEX(ERP資料!$A:$A, MATCH(280, 輔助計算!$G$2:$G$801, 0)+1), "")), INDEX(ERP資料!$B:$B, (MATCH(281, 輔助計算!$G$2:$G$801, 0)+1)), ""), "")</f>
        <v/>
      </c>
      <c r="M282" s="17" t="n"/>
    </row>
    <row r="283">
      <c r="A283" s="10">
        <f>IFERROR(IF(AND(IFERROR(INDEX(ERP資料!$A:$A, (MATCH(282, 輔助計算!$G$2:$G$801, 0)+1)), "")&lt;&gt;"", IFERROR(INDEX(ERP資料!$A:$A, (MATCH(282, 輔助計算!$G$2:$G$801, 0)+1)), "")&lt;&gt;IFERROR(INDEX(ERP資料!$A:$A, MATCH(281, 輔助計算!$G$2:$G$801, 0)+1), "")), IFERROR(INDEX(ERP資料!$A:$A, (MATCH(282, 輔助計算!$G$2:$G$801, 0)+1)), ""), ""), "")</f>
        <v/>
      </c>
      <c r="B283" s="10">
        <f>IFERROR(IF(AND(IFERROR(INDEX(ERP資料!$A:$A, (MATCH(282, 輔助計算!$G$2:$G$801, 0)+1)), "")&lt;&gt;"", IFERROR(INDEX(ERP資料!$A:$A, (MATCH(282, 輔助計算!$G$2:$G$801, 0)+1)), "")&lt;&gt;IFERROR(INDEX(ERP資料!$A:$A, MATCH(281, 輔助計算!$G$2:$G$801, 0)+1), "")), INDEX(ERP資料!$S:$S, (MATCH(282, 輔助計算!$G$2:$G$801, 0)+1)), ""), "")</f>
        <v/>
      </c>
      <c r="C283" s="19">
        <f>IFERROR(IF(AND(IFERROR(INDEX(ERP資料!$A:$A, (MATCH(282, 輔助計算!$G$2:$G$801, 0)+1)), "")&lt;&gt;"", IFERROR(INDEX(ERP資料!$A:$A, (MATCH(282, 輔助計算!$G$2:$G$801, 0)+1)), "")&lt;&gt;IFERROR(INDEX(ERP資料!$A:$A, MATCH(281, 輔助計算!$G$2:$G$801, 0)+1), "")), IFERROR(VLOOKUP(LEFT(INDEX(ERP資料!$S:$S, (MATCH(282, 輔助計算!$G$2:$G$801, 0)+1)), 4), 紙管對照表!$A:$C, 3, FALSE), ""), ""), "")</f>
        <v/>
      </c>
      <c r="D283" s="16" t="n"/>
      <c r="E283" s="10">
        <f>IFERROR(IF(INDEX(ERP資料!$H:$H, (MATCH(282, 輔助計算!$G$2:$G$801, 0)+1))="","",INDEX(ERP資料!$H:$H, (MATCH(282, 輔助計算!$G$2:$G$801, 0)+1))), "")</f>
        <v/>
      </c>
      <c r="F283" s="10">
        <f>IFERROR(IF(INDEX(ERP資料!$E:$E, (MATCH(282, 輔助計算!$G$2:$G$801, 0)+1))="","",TRIM(INDEX(ERP資料!$E:$E, (MATCH(282, 輔助計算!$G$2:$G$801, 0)+1)))), "")</f>
        <v/>
      </c>
      <c r="G283" s="10">
        <f>IFERROR(IF(INDEX(ERP資料!$F:$F, (MATCH(282, 輔助計算!$G$2:$G$801, 0)+1))="","",INDEX(ERP資料!$F:$F, (MATCH(282, 輔助計算!$G$2:$G$801, 0)+1))), "")</f>
        <v/>
      </c>
      <c r="H283" s="10">
        <f>IFERROR(IF(INDEX(ERP資料!$G:$G, (MATCH(282, 輔助計算!$G$2:$G$801, 0)+1))="","",INDEX(ERP資料!$G:$G, (MATCH(282, 輔助計算!$G$2:$G$801, 0)+1))), "")</f>
        <v/>
      </c>
      <c r="I283" s="15">
        <f>IFERROR(INDEX(輔助計算!$D:$D, (MATCH(282, 輔助計算!$G$2:$G$801, 0)+1)), "")</f>
        <v/>
      </c>
      <c r="J283" s="15">
        <f>IFERROR(IF(AND(INDEX(輔助計算!$D:$D, (MATCH(282, 輔助計算!$G$2:$G$801, 0)+1))&lt;&gt;"", INDEX(ERP資料!$G:$G, (MATCH(282, 輔助計算!$G$2:$G$801, 0)+1))&lt;&gt;""), TRIM(IF(INT(INDEX(輔助計算!$D:$D, (MATCH(282, 輔助計算!$G$2:$G$801, 0)+1))/IF(INDEX(ERP資料!$G:$G, (MATCH(282, 輔助計算!$G$2:$G$801, 0)+1))&lt;100, IF(INDEX(ERP資料!$G:$G, (MATCH(282, 輔助計算!$G$2:$G$801, 0)+1))&lt;=31,3,IF(INDEX(ERP資料!$G:$G, (MATCH(282, 輔助計算!$G$2:$G$801, 0)+1))&lt;=46.5,2,1)), IF(INDEX(ERP資料!$G:$G, (MATCH(282, 輔助計算!$G$2:$G$801, 0)+1))&lt;=790,3,IF(INDEX(ERP資料!$G:$G, (MATCH(282, 輔助計算!$G$2:$G$801, 0)+1))&lt;=1181,2,1))))&gt;0, IF(IF(INDEX(ERP資料!$G:$G, (MATCH(282, 輔助計算!$G$2:$G$801, 0)+1))&lt;100, IF(INDEX(ERP資料!$G:$G, (MATCH(282, 輔助計算!$G$2:$G$801, 0)+1))&lt;=31,3,IF(INDEX(ERP資料!$G:$G, (MATCH(282, 輔助計算!$G$2:$G$801, 0)+1))&lt;=46.5,2,1)), IF(INDEX(ERP資料!$G:$G, (MATCH(282, 輔助計算!$G$2:$G$801, 0)+1))&lt;=790,3,IF(INDEX(ERP資料!$G:$G, (MATCH(282, 輔助計算!$G$2:$G$801, 0)+1))&lt;=1181,2,1)))=1,TEXT(INDEX(ERP資料!$G:$G, (MATCH(282, 輔助計算!$G$2:$G$801, 0)+1)),"0.##"),IF(IF(INDEX(ERP資料!$G:$G, (MATCH(282, 輔助計算!$G$2:$G$801, 0)+1))&lt;100, IF(INDEX(ERP資料!$G:$G, (MATCH(282, 輔助計算!$G$2:$G$801, 0)+1))&lt;=31,3,IF(INDEX(ERP資料!$G:$G, (MATCH(282, 輔助計算!$G$2:$G$801, 0)+1))&lt;=46.5,2,1)), IF(INDEX(ERP資料!$G:$G, (MATCH(282, 輔助計算!$G$2:$G$801, 0)+1))&lt;=790,3,IF(INDEX(ERP資料!$G:$G, (MATCH(282, 輔助計算!$G$2:$G$801, 0)+1))&lt;=1181,2,1)))=2,TEXT(INDEX(ERP資料!$G:$G, (MATCH(282, 輔助計算!$G$2:$G$801, 0)+1)),"0.##")&amp;"+"&amp;TEXT(INDEX(ERP資料!$G:$G, (MATCH(282, 輔助計算!$G$2:$G$801, 0)+1)),"0.##"),TEXT(INDEX(ERP資料!$G:$G, (MATCH(282, 輔助計算!$G$2:$G$801, 0)+1)),"0.##")&amp;"+"&amp;TEXT(INDEX(ERP資料!$G:$G, (MATCH(282, 輔助計算!$G$2:$G$801, 0)+1)),"0.##")&amp;"+"&amp;TEXT(INDEX(ERP資料!$G:$G, (MATCH(282, 輔助計算!$G$2:$G$801, 0)+1)),"0.##")))&amp;"-"&amp;INT(INDEX(輔助計算!$D:$D, (MATCH(282, 輔助計算!$G$2:$G$801, 0)+1))/IF(INDEX(ERP資料!$G:$G, (MATCH(282, 輔助計算!$G$2:$G$801, 0)+1))&lt;100, IF(INDEX(ERP資料!$G:$G, (MATCH(282, 輔助計算!$G$2:$G$801, 0)+1))&lt;=31,3,IF(INDEX(ERP資料!$G:$G, (MATCH(282, 輔助計算!$G$2:$G$801, 0)+1))&lt;=46.5,2,1)), IF(INDEX(ERP資料!$G:$G, (MATCH(282, 輔助計算!$G$2:$G$801, 0)+1))&lt;=790,3,IF(INDEX(ERP資料!$G:$G, (MATCH(282, 輔助計算!$G$2:$G$801, 0)+1))&lt;=1181,2,1)))), "")&amp;IF(AND(IF(INT(INDEX(輔助計算!$D:$D, (MATCH(282, 輔助計算!$G$2:$G$801, 0)+1))/IF(INDEX(ERP資料!$G:$G, (MATCH(282, 輔助計算!$G$2:$G$801, 0)+1))&lt;100, IF(INDEX(ERP資料!$G:$G, (MATCH(282, 輔助計算!$G$2:$G$801, 0)+1))&lt;=31,3,IF(INDEX(ERP資料!$G:$G, (MATCH(282, 輔助計算!$G$2:$G$801, 0)+1))&lt;=46.5,2,1)), IF(INDEX(ERP資料!$G:$G, (MATCH(282, 輔助計算!$G$2:$G$801, 0)+1))&lt;=790,3,IF(INDEX(ERP資料!$G:$G, (MATCH(282, 輔助計算!$G$2:$G$801, 0)+1))&lt;=1181,2,1))))&gt;0, IF(IF(INDEX(ERP資料!$G:$G, (MATCH(282, 輔助計算!$G$2:$G$801, 0)+1))&lt;100, IF(INDEX(ERP資料!$G:$G, (MATCH(282, 輔助計算!$G$2:$G$801, 0)+1))&lt;=31,3,IF(INDEX(ERP資料!$G:$G, (MATCH(282, 輔助計算!$G$2:$G$801, 0)+1))&lt;=46.5,2,1)), IF(INDEX(ERP資料!$G:$G, (MATCH(282, 輔助計算!$G$2:$G$801, 0)+1))&lt;=790,3,IF(INDEX(ERP資料!$G:$G, (MATCH(282, 輔助計算!$G$2:$G$801, 0)+1))&lt;=1181,2,1)))=1,TEXT(INDEX(ERP資料!$G:$G, (MATCH(282, 輔助計算!$G$2:$G$801, 0)+1)),"0.##"),IF(IF(INDEX(ERP資料!$G:$G, (MATCH(282, 輔助計算!$G$2:$G$801, 0)+1))&lt;100, IF(INDEX(ERP資料!$G:$G, (MATCH(282, 輔助計算!$G$2:$G$801, 0)+1))&lt;=31,3,IF(INDEX(ERP資料!$G:$G, (MATCH(282, 輔助計算!$G$2:$G$801, 0)+1))&lt;=46.5,2,1)), IF(INDEX(ERP資料!$G:$G, (MATCH(282, 輔助計算!$G$2:$G$801, 0)+1))&lt;=790,3,IF(INDEX(ERP資料!$G:$G, (MATCH(282, 輔助計算!$G$2:$G$801, 0)+1))&lt;=1181,2,1)))=2,TEXT(INDEX(ERP資料!$G:$G, (MATCH(282, 輔助計算!$G$2:$G$801, 0)+1)),"0.##")&amp;"+"&amp;TEXT(INDEX(ERP資料!$G:$G, (MATCH(282, 輔助計算!$G$2:$G$801, 0)+1)),"0.##"),TEXT(INDEX(ERP資料!$G:$G, (MATCH(282, 輔助計算!$G$2:$G$801, 0)+1)),"0.##")&amp;"+"&amp;TEXT(INDEX(ERP資料!$G:$G, (MATCH(282, 輔助計算!$G$2:$G$801, 0)+1)),"0.##")&amp;"+"&amp;TEXT(INDEX(ERP資料!$G:$G, (MATCH(282, 輔助計算!$G$2:$G$801, 0)+1)),"0.##")))&amp;"-"&amp;INT(INDEX(輔助計算!$D:$D, (MATCH(282, 輔助計算!$G$2:$G$801, 0)+1))/IF(INDEX(ERP資料!$G:$G, (MATCH(282, 輔助計算!$G$2:$G$801, 0)+1))&lt;100, IF(INDEX(ERP資料!$G:$G, (MATCH(282, 輔助計算!$G$2:$G$801, 0)+1))&lt;=31,3,IF(INDEX(ERP資料!$G:$G, (MATCH(282, 輔助計算!$G$2:$G$801, 0)+1))&lt;=46.5,2,1)), IF(INDEX(ERP資料!$G:$G, (MATCH(282, 輔助計算!$G$2:$G$801, 0)+1))&lt;=790,3,IF(INDEX(ERP資料!$G:$G, (MATCH(282, 輔助計算!$G$2:$G$801, 0)+1))&lt;=1181,2,1)))), "")&lt;&gt;"",IF(MOD(INDEX(輔助計算!$D:$D, (MATCH(282, 輔助計算!$G$2:$G$801, 0)+1)),IF(INDEX(ERP資料!$G:$G, (MATCH(282, 輔助計算!$G$2:$G$801, 0)+1))&lt;100, IF(INDEX(ERP資料!$G:$G, (MATCH(282, 輔助計算!$G$2:$G$801, 0)+1))&lt;=31,3,IF(INDEX(ERP資料!$G:$G, (MATCH(282, 輔助計算!$G$2:$G$801, 0)+1))&lt;=46.5,2,1)), IF(INDEX(ERP資料!$G:$G, (MATCH(282, 輔助計算!$G$2:$G$801, 0)+1))&lt;=790,3,IF(INDEX(ERP資料!$G:$G, (MATCH(282, 輔助計算!$G$2:$G$801, 0)+1))&lt;=1181,2,1))))=0,"",IF(MOD(INDEX(輔助計算!$D:$D, (MATCH(282, 輔助計算!$G$2:$G$801, 0)+1)),IF(INDEX(ERP資料!$G:$G, (MATCH(282, 輔助計算!$G$2:$G$801, 0)+1))&lt;100, IF(INDEX(ERP資料!$G:$G, (MATCH(282, 輔助計算!$G$2:$G$801, 0)+1))&lt;=31,3,IF(INDEX(ERP資料!$G:$G, (MATCH(282, 輔助計算!$G$2:$G$801, 0)+1))&lt;=46.5,2,1)), IF(INDEX(ERP資料!$G:$G, (MATCH(282, 輔助計算!$G$2:$G$801, 0)+1))&lt;=790,3,IF(INDEX(ERP資料!$G:$G, (MATCH(282, 輔助計算!$G$2:$G$801, 0)+1))&lt;=1181,2,1))))=0,"",IF(MOD(INDEX(輔助計算!$D:$D, (MATCH(282, 輔助計算!$G$2:$G$801, 0)+1)),IF(INDEX(ERP資料!$G:$G, (MATCH(282, 輔助計算!$G$2:$G$801, 0)+1))&lt;100, IF(INDEX(ERP資料!$G:$G, (MATCH(282, 輔助計算!$G$2:$G$801, 0)+1))&lt;=31,3,IF(INDEX(ERP資料!$G:$G, (MATCH(282, 輔助計算!$G$2:$G$801, 0)+1))&lt;=46.5,2,1)), IF(INDEX(ERP資料!$G:$G, (MATCH(282, 輔助計算!$G$2:$G$801, 0)+1))&lt;=790,3,IF(INDEX(ERP資料!$G:$G, (MATCH(282, 輔助計算!$G$2:$G$801, 0)+1))&lt;=1181,2,1))))=1,TEXT(INDEX(ERP資料!$G:$G, (MATCH(282, 輔助計算!$G$2:$G$801, 0)+1)),"0.##"),IF(MOD(INDEX(輔助計算!$D:$D, (MATCH(282, 輔助計算!$G$2:$G$801, 0)+1)),IF(INDEX(ERP資料!$G:$G, (MATCH(282, 輔助計算!$G$2:$G$801, 0)+1))&lt;100, IF(INDEX(ERP資料!$G:$G, (MATCH(282, 輔助計算!$G$2:$G$801, 0)+1))&lt;=31,3,IF(INDEX(ERP資料!$G:$G, (MATCH(282, 輔助計算!$G$2:$G$801, 0)+1))&lt;=46.5,2,1)), IF(INDEX(ERP資料!$G:$G, (MATCH(282, 輔助計算!$G$2:$G$801, 0)+1))&lt;=790,3,IF(INDEX(ERP資料!$G:$G, (MATCH(282, 輔助計算!$G$2:$G$801, 0)+1))&lt;=1181,2,1))))=2,TEXT(INDEX(ERP資料!$G:$G, (MATCH(282, 輔助計算!$G$2:$G$801, 0)+1)),"0.##")&amp;"+"&amp;TEXT(INDEX(ERP資料!$G:$G, (MATCH(282, 輔助計算!$G$2:$G$801, 0)+1)),"0.##"),TEXT(INDEX(ERP資料!$G:$G, (MATCH(282, 輔助計算!$G$2:$G$801, 0)+1)),"0.##")&amp;"+"&amp;TEXT(INDEX(ERP資料!$G:$G, (MATCH(282, 輔助計算!$G$2:$G$801, 0)+1)),"0.##")&amp;"+"&amp;TEXT(INDEX(ERP資料!$G:$G, (MATCH(282, 輔助計算!$G$2:$G$801, 0)+1)),"0.##"))))&amp;"-1")&lt;&gt;""),"  ","")&amp;IF(MOD(INDEX(輔助計算!$D:$D, (MATCH(282, 輔助計算!$G$2:$G$801, 0)+1)),IF(INDEX(ERP資料!$G:$G, (MATCH(282, 輔助計算!$G$2:$G$801, 0)+1))&lt;100, IF(INDEX(ERP資料!$G:$G, (MATCH(282, 輔助計算!$G$2:$G$801, 0)+1))&lt;=31,3,IF(INDEX(ERP資料!$G:$G, (MATCH(282, 輔助計算!$G$2:$G$801, 0)+1))&lt;=46.5,2,1)), IF(INDEX(ERP資料!$G:$G, (MATCH(282, 輔助計算!$G$2:$G$801, 0)+1))&lt;=790,3,IF(INDEX(ERP資料!$G:$G, (MATCH(282, 輔助計算!$G$2:$G$801, 0)+1))&lt;=1181,2,1))))=0,"",IF(MOD(INDEX(輔助計算!$D:$D, (MATCH(282, 輔助計算!$G$2:$G$801, 0)+1)),IF(INDEX(ERP資料!$G:$G, (MATCH(282, 輔助計算!$G$2:$G$801, 0)+1))&lt;100, IF(INDEX(ERP資料!$G:$G, (MATCH(282, 輔助計算!$G$2:$G$801, 0)+1))&lt;=31,3,IF(INDEX(ERP資料!$G:$G, (MATCH(282, 輔助計算!$G$2:$G$801, 0)+1))&lt;=46.5,2,1)), IF(INDEX(ERP資料!$G:$G, (MATCH(282, 輔助計算!$G$2:$G$801, 0)+1))&lt;=790,3,IF(INDEX(ERP資料!$G:$G, (MATCH(282, 輔助計算!$G$2:$G$801, 0)+1))&lt;=1181,2,1))))=0,"",IF(MOD(INDEX(輔助計算!$D:$D, (MATCH(282, 輔助計算!$G$2:$G$801, 0)+1)),IF(INDEX(ERP資料!$G:$G, (MATCH(282, 輔助計算!$G$2:$G$801, 0)+1))&lt;100, IF(INDEX(ERP資料!$G:$G, (MATCH(282, 輔助計算!$G$2:$G$801, 0)+1))&lt;=31,3,IF(INDEX(ERP資料!$G:$G, (MATCH(282, 輔助計算!$G$2:$G$801, 0)+1))&lt;=46.5,2,1)), IF(INDEX(ERP資料!$G:$G, (MATCH(282, 輔助計算!$G$2:$G$801, 0)+1))&lt;=790,3,IF(INDEX(ERP資料!$G:$G, (MATCH(282, 輔助計算!$G$2:$G$801, 0)+1))&lt;=1181,2,1))))=1,TEXT(INDEX(ERP資料!$G:$G, (MATCH(282, 輔助計算!$G$2:$G$801, 0)+1)),"0.##"),IF(MOD(INDEX(輔助計算!$D:$D, (MATCH(282, 輔助計算!$G$2:$G$801, 0)+1)),IF(INDEX(ERP資料!$G:$G, (MATCH(282, 輔助計算!$G$2:$G$801, 0)+1))&lt;100, IF(INDEX(ERP資料!$G:$G, (MATCH(282, 輔助計算!$G$2:$G$801, 0)+1))&lt;=31,3,IF(INDEX(ERP資料!$G:$G, (MATCH(282, 輔助計算!$G$2:$G$801, 0)+1))&lt;=46.5,2,1)), IF(INDEX(ERP資料!$G:$G, (MATCH(282, 輔助計算!$G$2:$G$801, 0)+1))&lt;=790,3,IF(INDEX(ERP資料!$G:$G, (MATCH(282, 輔助計算!$G$2:$G$801, 0)+1))&lt;=1181,2,1))))=2,TEXT(INDEX(ERP資料!$G:$G, (MATCH(282, 輔助計算!$G$2:$G$801, 0)+1)),"0.##")&amp;"+"&amp;TEXT(INDEX(ERP資料!$G:$G, (MATCH(282, 輔助計算!$G$2:$G$801, 0)+1)),"0.##"),TEXT(INDEX(ERP資料!$G:$G, (MATCH(282, 輔助計算!$G$2:$G$801, 0)+1)),"0.##")&amp;"+"&amp;TEXT(INDEX(ERP資料!$G:$G, (MATCH(282, 輔助計算!$G$2:$G$801, 0)+1)),"0.##")&amp;"+"&amp;TEXT(INDEX(ERP資料!$G:$G, (MATCH(282, 輔助計算!$G$2:$G$801, 0)+1)),"0.##"))))&amp;"-1")), ""), "")</f>
        <v/>
      </c>
      <c r="K283" s="16" t="n"/>
      <c r="L283" s="14">
        <f>IFERROR(IF(AND(IFERROR(INDEX(ERP資料!$A:$A, (MATCH(282, 輔助計算!$G$2:$G$801, 0)+1)), "")&lt;&gt;"", IFERROR(INDEX(ERP資料!$A:$A, (MATCH(282, 輔助計算!$G$2:$G$801, 0)+1)), "")&lt;&gt;IFERROR(INDEX(ERP資料!$A:$A, MATCH(281, 輔助計算!$G$2:$G$801, 0)+1), "")), INDEX(ERP資料!$B:$B, (MATCH(282, 輔助計算!$G$2:$G$801, 0)+1)), ""), "")</f>
        <v/>
      </c>
      <c r="M283" s="17" t="n"/>
    </row>
    <row r="284">
      <c r="A284" s="10">
        <f>IFERROR(IF(AND(IFERROR(INDEX(ERP資料!$A:$A, (MATCH(283, 輔助計算!$G$2:$G$801, 0)+1)), "")&lt;&gt;"", IFERROR(INDEX(ERP資料!$A:$A, (MATCH(283, 輔助計算!$G$2:$G$801, 0)+1)), "")&lt;&gt;IFERROR(INDEX(ERP資料!$A:$A, MATCH(282, 輔助計算!$G$2:$G$801, 0)+1), "")), IFERROR(INDEX(ERP資料!$A:$A, (MATCH(283, 輔助計算!$G$2:$G$801, 0)+1)), ""), ""), "")</f>
        <v/>
      </c>
      <c r="B284" s="10">
        <f>IFERROR(IF(AND(IFERROR(INDEX(ERP資料!$A:$A, (MATCH(283, 輔助計算!$G$2:$G$801, 0)+1)), "")&lt;&gt;"", IFERROR(INDEX(ERP資料!$A:$A, (MATCH(283, 輔助計算!$G$2:$G$801, 0)+1)), "")&lt;&gt;IFERROR(INDEX(ERP資料!$A:$A, MATCH(282, 輔助計算!$G$2:$G$801, 0)+1), "")), INDEX(ERP資料!$S:$S, (MATCH(283, 輔助計算!$G$2:$G$801, 0)+1)), ""), "")</f>
        <v/>
      </c>
      <c r="C284" s="19">
        <f>IFERROR(IF(AND(IFERROR(INDEX(ERP資料!$A:$A, (MATCH(283, 輔助計算!$G$2:$G$801, 0)+1)), "")&lt;&gt;"", IFERROR(INDEX(ERP資料!$A:$A, (MATCH(283, 輔助計算!$G$2:$G$801, 0)+1)), "")&lt;&gt;IFERROR(INDEX(ERP資料!$A:$A, MATCH(282, 輔助計算!$G$2:$G$801, 0)+1), "")), IFERROR(VLOOKUP(LEFT(INDEX(ERP資料!$S:$S, (MATCH(283, 輔助計算!$G$2:$G$801, 0)+1)), 4), 紙管對照表!$A:$C, 3, FALSE), ""), ""), "")</f>
        <v/>
      </c>
      <c r="D284" s="16" t="n"/>
      <c r="E284" s="10">
        <f>IFERROR(IF(INDEX(ERP資料!$H:$H, (MATCH(283, 輔助計算!$G$2:$G$801, 0)+1))="","",INDEX(ERP資料!$H:$H, (MATCH(283, 輔助計算!$G$2:$G$801, 0)+1))), "")</f>
        <v/>
      </c>
      <c r="F284" s="10">
        <f>IFERROR(IF(INDEX(ERP資料!$E:$E, (MATCH(283, 輔助計算!$G$2:$G$801, 0)+1))="","",TRIM(INDEX(ERP資料!$E:$E, (MATCH(283, 輔助計算!$G$2:$G$801, 0)+1)))), "")</f>
        <v/>
      </c>
      <c r="G284" s="10">
        <f>IFERROR(IF(INDEX(ERP資料!$F:$F, (MATCH(283, 輔助計算!$G$2:$G$801, 0)+1))="","",INDEX(ERP資料!$F:$F, (MATCH(283, 輔助計算!$G$2:$G$801, 0)+1))), "")</f>
        <v/>
      </c>
      <c r="H284" s="10">
        <f>IFERROR(IF(INDEX(ERP資料!$G:$G, (MATCH(283, 輔助計算!$G$2:$G$801, 0)+1))="","",INDEX(ERP資料!$G:$G, (MATCH(283, 輔助計算!$G$2:$G$801, 0)+1))), "")</f>
        <v/>
      </c>
      <c r="I284" s="15">
        <f>IFERROR(INDEX(輔助計算!$D:$D, (MATCH(283, 輔助計算!$G$2:$G$801, 0)+1)), "")</f>
        <v/>
      </c>
      <c r="J284" s="15">
        <f>IFERROR(IF(AND(INDEX(輔助計算!$D:$D, (MATCH(283, 輔助計算!$G$2:$G$801, 0)+1))&lt;&gt;"", INDEX(ERP資料!$G:$G, (MATCH(283, 輔助計算!$G$2:$G$801, 0)+1))&lt;&gt;""), TRIM(IF(INT(INDEX(輔助計算!$D:$D, (MATCH(283, 輔助計算!$G$2:$G$801, 0)+1))/IF(INDEX(ERP資料!$G:$G, (MATCH(283, 輔助計算!$G$2:$G$801, 0)+1))&lt;100, IF(INDEX(ERP資料!$G:$G, (MATCH(283, 輔助計算!$G$2:$G$801, 0)+1))&lt;=31,3,IF(INDEX(ERP資料!$G:$G, (MATCH(283, 輔助計算!$G$2:$G$801, 0)+1))&lt;=46.5,2,1)), IF(INDEX(ERP資料!$G:$G, (MATCH(283, 輔助計算!$G$2:$G$801, 0)+1))&lt;=790,3,IF(INDEX(ERP資料!$G:$G, (MATCH(283, 輔助計算!$G$2:$G$801, 0)+1))&lt;=1181,2,1))))&gt;0, IF(IF(INDEX(ERP資料!$G:$G, (MATCH(283, 輔助計算!$G$2:$G$801, 0)+1))&lt;100, IF(INDEX(ERP資料!$G:$G, (MATCH(283, 輔助計算!$G$2:$G$801, 0)+1))&lt;=31,3,IF(INDEX(ERP資料!$G:$G, (MATCH(283, 輔助計算!$G$2:$G$801, 0)+1))&lt;=46.5,2,1)), IF(INDEX(ERP資料!$G:$G, (MATCH(283, 輔助計算!$G$2:$G$801, 0)+1))&lt;=790,3,IF(INDEX(ERP資料!$G:$G, (MATCH(283, 輔助計算!$G$2:$G$801, 0)+1))&lt;=1181,2,1)))=1,TEXT(INDEX(ERP資料!$G:$G, (MATCH(283, 輔助計算!$G$2:$G$801, 0)+1)),"0.##"),IF(IF(INDEX(ERP資料!$G:$G, (MATCH(283, 輔助計算!$G$2:$G$801, 0)+1))&lt;100, IF(INDEX(ERP資料!$G:$G, (MATCH(283, 輔助計算!$G$2:$G$801, 0)+1))&lt;=31,3,IF(INDEX(ERP資料!$G:$G, (MATCH(283, 輔助計算!$G$2:$G$801, 0)+1))&lt;=46.5,2,1)), IF(INDEX(ERP資料!$G:$G, (MATCH(283, 輔助計算!$G$2:$G$801, 0)+1))&lt;=790,3,IF(INDEX(ERP資料!$G:$G, (MATCH(283, 輔助計算!$G$2:$G$801, 0)+1))&lt;=1181,2,1)))=2,TEXT(INDEX(ERP資料!$G:$G, (MATCH(283, 輔助計算!$G$2:$G$801, 0)+1)),"0.##")&amp;"+"&amp;TEXT(INDEX(ERP資料!$G:$G, (MATCH(283, 輔助計算!$G$2:$G$801, 0)+1)),"0.##"),TEXT(INDEX(ERP資料!$G:$G, (MATCH(283, 輔助計算!$G$2:$G$801, 0)+1)),"0.##")&amp;"+"&amp;TEXT(INDEX(ERP資料!$G:$G, (MATCH(283, 輔助計算!$G$2:$G$801, 0)+1)),"0.##")&amp;"+"&amp;TEXT(INDEX(ERP資料!$G:$G, (MATCH(283, 輔助計算!$G$2:$G$801, 0)+1)),"0.##")))&amp;"-"&amp;INT(INDEX(輔助計算!$D:$D, (MATCH(283, 輔助計算!$G$2:$G$801, 0)+1))/IF(INDEX(ERP資料!$G:$G, (MATCH(283, 輔助計算!$G$2:$G$801, 0)+1))&lt;100, IF(INDEX(ERP資料!$G:$G, (MATCH(283, 輔助計算!$G$2:$G$801, 0)+1))&lt;=31,3,IF(INDEX(ERP資料!$G:$G, (MATCH(283, 輔助計算!$G$2:$G$801, 0)+1))&lt;=46.5,2,1)), IF(INDEX(ERP資料!$G:$G, (MATCH(283, 輔助計算!$G$2:$G$801, 0)+1))&lt;=790,3,IF(INDEX(ERP資料!$G:$G, (MATCH(283, 輔助計算!$G$2:$G$801, 0)+1))&lt;=1181,2,1)))), "")&amp;IF(AND(IF(INT(INDEX(輔助計算!$D:$D, (MATCH(283, 輔助計算!$G$2:$G$801, 0)+1))/IF(INDEX(ERP資料!$G:$G, (MATCH(283, 輔助計算!$G$2:$G$801, 0)+1))&lt;100, IF(INDEX(ERP資料!$G:$G, (MATCH(283, 輔助計算!$G$2:$G$801, 0)+1))&lt;=31,3,IF(INDEX(ERP資料!$G:$G, (MATCH(283, 輔助計算!$G$2:$G$801, 0)+1))&lt;=46.5,2,1)), IF(INDEX(ERP資料!$G:$G, (MATCH(283, 輔助計算!$G$2:$G$801, 0)+1))&lt;=790,3,IF(INDEX(ERP資料!$G:$G, (MATCH(283, 輔助計算!$G$2:$G$801, 0)+1))&lt;=1181,2,1))))&gt;0, IF(IF(INDEX(ERP資料!$G:$G, (MATCH(283, 輔助計算!$G$2:$G$801, 0)+1))&lt;100, IF(INDEX(ERP資料!$G:$G, (MATCH(283, 輔助計算!$G$2:$G$801, 0)+1))&lt;=31,3,IF(INDEX(ERP資料!$G:$G, (MATCH(283, 輔助計算!$G$2:$G$801, 0)+1))&lt;=46.5,2,1)), IF(INDEX(ERP資料!$G:$G, (MATCH(283, 輔助計算!$G$2:$G$801, 0)+1))&lt;=790,3,IF(INDEX(ERP資料!$G:$G, (MATCH(283, 輔助計算!$G$2:$G$801, 0)+1))&lt;=1181,2,1)))=1,TEXT(INDEX(ERP資料!$G:$G, (MATCH(283, 輔助計算!$G$2:$G$801, 0)+1)),"0.##"),IF(IF(INDEX(ERP資料!$G:$G, (MATCH(283, 輔助計算!$G$2:$G$801, 0)+1))&lt;100, IF(INDEX(ERP資料!$G:$G, (MATCH(283, 輔助計算!$G$2:$G$801, 0)+1))&lt;=31,3,IF(INDEX(ERP資料!$G:$G, (MATCH(283, 輔助計算!$G$2:$G$801, 0)+1))&lt;=46.5,2,1)), IF(INDEX(ERP資料!$G:$G, (MATCH(283, 輔助計算!$G$2:$G$801, 0)+1))&lt;=790,3,IF(INDEX(ERP資料!$G:$G, (MATCH(283, 輔助計算!$G$2:$G$801, 0)+1))&lt;=1181,2,1)))=2,TEXT(INDEX(ERP資料!$G:$G, (MATCH(283, 輔助計算!$G$2:$G$801, 0)+1)),"0.##")&amp;"+"&amp;TEXT(INDEX(ERP資料!$G:$G, (MATCH(283, 輔助計算!$G$2:$G$801, 0)+1)),"0.##"),TEXT(INDEX(ERP資料!$G:$G, (MATCH(283, 輔助計算!$G$2:$G$801, 0)+1)),"0.##")&amp;"+"&amp;TEXT(INDEX(ERP資料!$G:$G, (MATCH(283, 輔助計算!$G$2:$G$801, 0)+1)),"0.##")&amp;"+"&amp;TEXT(INDEX(ERP資料!$G:$G, (MATCH(283, 輔助計算!$G$2:$G$801, 0)+1)),"0.##")))&amp;"-"&amp;INT(INDEX(輔助計算!$D:$D, (MATCH(283, 輔助計算!$G$2:$G$801, 0)+1))/IF(INDEX(ERP資料!$G:$G, (MATCH(283, 輔助計算!$G$2:$G$801, 0)+1))&lt;100, IF(INDEX(ERP資料!$G:$G, (MATCH(283, 輔助計算!$G$2:$G$801, 0)+1))&lt;=31,3,IF(INDEX(ERP資料!$G:$G, (MATCH(283, 輔助計算!$G$2:$G$801, 0)+1))&lt;=46.5,2,1)), IF(INDEX(ERP資料!$G:$G, (MATCH(283, 輔助計算!$G$2:$G$801, 0)+1))&lt;=790,3,IF(INDEX(ERP資料!$G:$G, (MATCH(283, 輔助計算!$G$2:$G$801, 0)+1))&lt;=1181,2,1)))), "")&lt;&gt;"",IF(MOD(INDEX(輔助計算!$D:$D, (MATCH(283, 輔助計算!$G$2:$G$801, 0)+1)),IF(INDEX(ERP資料!$G:$G, (MATCH(283, 輔助計算!$G$2:$G$801, 0)+1))&lt;100, IF(INDEX(ERP資料!$G:$G, (MATCH(283, 輔助計算!$G$2:$G$801, 0)+1))&lt;=31,3,IF(INDEX(ERP資料!$G:$G, (MATCH(283, 輔助計算!$G$2:$G$801, 0)+1))&lt;=46.5,2,1)), IF(INDEX(ERP資料!$G:$G, (MATCH(283, 輔助計算!$G$2:$G$801, 0)+1))&lt;=790,3,IF(INDEX(ERP資料!$G:$G, (MATCH(283, 輔助計算!$G$2:$G$801, 0)+1))&lt;=1181,2,1))))=0,"",IF(MOD(INDEX(輔助計算!$D:$D, (MATCH(283, 輔助計算!$G$2:$G$801, 0)+1)),IF(INDEX(ERP資料!$G:$G, (MATCH(283, 輔助計算!$G$2:$G$801, 0)+1))&lt;100, IF(INDEX(ERP資料!$G:$G, (MATCH(283, 輔助計算!$G$2:$G$801, 0)+1))&lt;=31,3,IF(INDEX(ERP資料!$G:$G, (MATCH(283, 輔助計算!$G$2:$G$801, 0)+1))&lt;=46.5,2,1)), IF(INDEX(ERP資料!$G:$G, (MATCH(283, 輔助計算!$G$2:$G$801, 0)+1))&lt;=790,3,IF(INDEX(ERP資料!$G:$G, (MATCH(283, 輔助計算!$G$2:$G$801, 0)+1))&lt;=1181,2,1))))=0,"",IF(MOD(INDEX(輔助計算!$D:$D, (MATCH(283, 輔助計算!$G$2:$G$801, 0)+1)),IF(INDEX(ERP資料!$G:$G, (MATCH(283, 輔助計算!$G$2:$G$801, 0)+1))&lt;100, IF(INDEX(ERP資料!$G:$G, (MATCH(283, 輔助計算!$G$2:$G$801, 0)+1))&lt;=31,3,IF(INDEX(ERP資料!$G:$G, (MATCH(283, 輔助計算!$G$2:$G$801, 0)+1))&lt;=46.5,2,1)), IF(INDEX(ERP資料!$G:$G, (MATCH(283, 輔助計算!$G$2:$G$801, 0)+1))&lt;=790,3,IF(INDEX(ERP資料!$G:$G, (MATCH(283, 輔助計算!$G$2:$G$801, 0)+1))&lt;=1181,2,1))))=1,TEXT(INDEX(ERP資料!$G:$G, (MATCH(283, 輔助計算!$G$2:$G$801, 0)+1)),"0.##"),IF(MOD(INDEX(輔助計算!$D:$D, (MATCH(283, 輔助計算!$G$2:$G$801, 0)+1)),IF(INDEX(ERP資料!$G:$G, (MATCH(283, 輔助計算!$G$2:$G$801, 0)+1))&lt;100, IF(INDEX(ERP資料!$G:$G, (MATCH(283, 輔助計算!$G$2:$G$801, 0)+1))&lt;=31,3,IF(INDEX(ERP資料!$G:$G, (MATCH(283, 輔助計算!$G$2:$G$801, 0)+1))&lt;=46.5,2,1)), IF(INDEX(ERP資料!$G:$G, (MATCH(283, 輔助計算!$G$2:$G$801, 0)+1))&lt;=790,3,IF(INDEX(ERP資料!$G:$G, (MATCH(283, 輔助計算!$G$2:$G$801, 0)+1))&lt;=1181,2,1))))=2,TEXT(INDEX(ERP資料!$G:$G, (MATCH(283, 輔助計算!$G$2:$G$801, 0)+1)),"0.##")&amp;"+"&amp;TEXT(INDEX(ERP資料!$G:$G, (MATCH(283, 輔助計算!$G$2:$G$801, 0)+1)),"0.##"),TEXT(INDEX(ERP資料!$G:$G, (MATCH(283, 輔助計算!$G$2:$G$801, 0)+1)),"0.##")&amp;"+"&amp;TEXT(INDEX(ERP資料!$G:$G, (MATCH(283, 輔助計算!$G$2:$G$801, 0)+1)),"0.##")&amp;"+"&amp;TEXT(INDEX(ERP資料!$G:$G, (MATCH(283, 輔助計算!$G$2:$G$801, 0)+1)),"0.##"))))&amp;"-1")&lt;&gt;""),"  ","")&amp;IF(MOD(INDEX(輔助計算!$D:$D, (MATCH(283, 輔助計算!$G$2:$G$801, 0)+1)),IF(INDEX(ERP資料!$G:$G, (MATCH(283, 輔助計算!$G$2:$G$801, 0)+1))&lt;100, IF(INDEX(ERP資料!$G:$G, (MATCH(283, 輔助計算!$G$2:$G$801, 0)+1))&lt;=31,3,IF(INDEX(ERP資料!$G:$G, (MATCH(283, 輔助計算!$G$2:$G$801, 0)+1))&lt;=46.5,2,1)), IF(INDEX(ERP資料!$G:$G, (MATCH(283, 輔助計算!$G$2:$G$801, 0)+1))&lt;=790,3,IF(INDEX(ERP資料!$G:$G, (MATCH(283, 輔助計算!$G$2:$G$801, 0)+1))&lt;=1181,2,1))))=0,"",IF(MOD(INDEX(輔助計算!$D:$D, (MATCH(283, 輔助計算!$G$2:$G$801, 0)+1)),IF(INDEX(ERP資料!$G:$G, (MATCH(283, 輔助計算!$G$2:$G$801, 0)+1))&lt;100, IF(INDEX(ERP資料!$G:$G, (MATCH(283, 輔助計算!$G$2:$G$801, 0)+1))&lt;=31,3,IF(INDEX(ERP資料!$G:$G, (MATCH(283, 輔助計算!$G$2:$G$801, 0)+1))&lt;=46.5,2,1)), IF(INDEX(ERP資料!$G:$G, (MATCH(283, 輔助計算!$G$2:$G$801, 0)+1))&lt;=790,3,IF(INDEX(ERP資料!$G:$G, (MATCH(283, 輔助計算!$G$2:$G$801, 0)+1))&lt;=1181,2,1))))=0,"",IF(MOD(INDEX(輔助計算!$D:$D, (MATCH(283, 輔助計算!$G$2:$G$801, 0)+1)),IF(INDEX(ERP資料!$G:$G, (MATCH(283, 輔助計算!$G$2:$G$801, 0)+1))&lt;100, IF(INDEX(ERP資料!$G:$G, (MATCH(283, 輔助計算!$G$2:$G$801, 0)+1))&lt;=31,3,IF(INDEX(ERP資料!$G:$G, (MATCH(283, 輔助計算!$G$2:$G$801, 0)+1))&lt;=46.5,2,1)), IF(INDEX(ERP資料!$G:$G, (MATCH(283, 輔助計算!$G$2:$G$801, 0)+1))&lt;=790,3,IF(INDEX(ERP資料!$G:$G, (MATCH(283, 輔助計算!$G$2:$G$801, 0)+1))&lt;=1181,2,1))))=1,TEXT(INDEX(ERP資料!$G:$G, (MATCH(283, 輔助計算!$G$2:$G$801, 0)+1)),"0.##"),IF(MOD(INDEX(輔助計算!$D:$D, (MATCH(283, 輔助計算!$G$2:$G$801, 0)+1)),IF(INDEX(ERP資料!$G:$G, (MATCH(283, 輔助計算!$G$2:$G$801, 0)+1))&lt;100, IF(INDEX(ERP資料!$G:$G, (MATCH(283, 輔助計算!$G$2:$G$801, 0)+1))&lt;=31,3,IF(INDEX(ERP資料!$G:$G, (MATCH(283, 輔助計算!$G$2:$G$801, 0)+1))&lt;=46.5,2,1)), IF(INDEX(ERP資料!$G:$G, (MATCH(283, 輔助計算!$G$2:$G$801, 0)+1))&lt;=790,3,IF(INDEX(ERP資料!$G:$G, (MATCH(283, 輔助計算!$G$2:$G$801, 0)+1))&lt;=1181,2,1))))=2,TEXT(INDEX(ERP資料!$G:$G, (MATCH(283, 輔助計算!$G$2:$G$801, 0)+1)),"0.##")&amp;"+"&amp;TEXT(INDEX(ERP資料!$G:$G, (MATCH(283, 輔助計算!$G$2:$G$801, 0)+1)),"0.##"),TEXT(INDEX(ERP資料!$G:$G, (MATCH(283, 輔助計算!$G$2:$G$801, 0)+1)),"0.##")&amp;"+"&amp;TEXT(INDEX(ERP資料!$G:$G, (MATCH(283, 輔助計算!$G$2:$G$801, 0)+1)),"0.##")&amp;"+"&amp;TEXT(INDEX(ERP資料!$G:$G, (MATCH(283, 輔助計算!$G$2:$G$801, 0)+1)),"0.##"))))&amp;"-1")), ""), "")</f>
        <v/>
      </c>
      <c r="K284" s="16" t="n"/>
      <c r="L284" s="14">
        <f>IFERROR(IF(AND(IFERROR(INDEX(ERP資料!$A:$A, (MATCH(283, 輔助計算!$G$2:$G$801, 0)+1)), "")&lt;&gt;"", IFERROR(INDEX(ERP資料!$A:$A, (MATCH(283, 輔助計算!$G$2:$G$801, 0)+1)), "")&lt;&gt;IFERROR(INDEX(ERP資料!$A:$A, MATCH(282, 輔助計算!$G$2:$G$801, 0)+1), "")), INDEX(ERP資料!$B:$B, (MATCH(283, 輔助計算!$G$2:$G$801, 0)+1)), ""), "")</f>
        <v/>
      </c>
      <c r="M284" s="17" t="n"/>
    </row>
    <row r="285">
      <c r="A285" s="10">
        <f>IFERROR(IF(AND(IFERROR(INDEX(ERP資料!$A:$A, (MATCH(284, 輔助計算!$G$2:$G$801, 0)+1)), "")&lt;&gt;"", IFERROR(INDEX(ERP資料!$A:$A, (MATCH(284, 輔助計算!$G$2:$G$801, 0)+1)), "")&lt;&gt;IFERROR(INDEX(ERP資料!$A:$A, MATCH(283, 輔助計算!$G$2:$G$801, 0)+1), "")), IFERROR(INDEX(ERP資料!$A:$A, (MATCH(284, 輔助計算!$G$2:$G$801, 0)+1)), ""), ""), "")</f>
        <v/>
      </c>
      <c r="B285" s="10">
        <f>IFERROR(IF(AND(IFERROR(INDEX(ERP資料!$A:$A, (MATCH(284, 輔助計算!$G$2:$G$801, 0)+1)), "")&lt;&gt;"", IFERROR(INDEX(ERP資料!$A:$A, (MATCH(284, 輔助計算!$G$2:$G$801, 0)+1)), "")&lt;&gt;IFERROR(INDEX(ERP資料!$A:$A, MATCH(283, 輔助計算!$G$2:$G$801, 0)+1), "")), INDEX(ERP資料!$S:$S, (MATCH(284, 輔助計算!$G$2:$G$801, 0)+1)), ""), "")</f>
        <v/>
      </c>
      <c r="C285" s="19">
        <f>IFERROR(IF(AND(IFERROR(INDEX(ERP資料!$A:$A, (MATCH(284, 輔助計算!$G$2:$G$801, 0)+1)), "")&lt;&gt;"", IFERROR(INDEX(ERP資料!$A:$A, (MATCH(284, 輔助計算!$G$2:$G$801, 0)+1)), "")&lt;&gt;IFERROR(INDEX(ERP資料!$A:$A, MATCH(283, 輔助計算!$G$2:$G$801, 0)+1), "")), IFERROR(VLOOKUP(LEFT(INDEX(ERP資料!$S:$S, (MATCH(284, 輔助計算!$G$2:$G$801, 0)+1)), 4), 紙管對照表!$A:$C, 3, FALSE), ""), ""), "")</f>
        <v/>
      </c>
      <c r="D285" s="16" t="n"/>
      <c r="E285" s="10">
        <f>IFERROR(IF(INDEX(ERP資料!$H:$H, (MATCH(284, 輔助計算!$G$2:$G$801, 0)+1))="","",INDEX(ERP資料!$H:$H, (MATCH(284, 輔助計算!$G$2:$G$801, 0)+1))), "")</f>
        <v/>
      </c>
      <c r="F285" s="10">
        <f>IFERROR(IF(INDEX(ERP資料!$E:$E, (MATCH(284, 輔助計算!$G$2:$G$801, 0)+1))="","",TRIM(INDEX(ERP資料!$E:$E, (MATCH(284, 輔助計算!$G$2:$G$801, 0)+1)))), "")</f>
        <v/>
      </c>
      <c r="G285" s="10">
        <f>IFERROR(IF(INDEX(ERP資料!$F:$F, (MATCH(284, 輔助計算!$G$2:$G$801, 0)+1))="","",INDEX(ERP資料!$F:$F, (MATCH(284, 輔助計算!$G$2:$G$801, 0)+1))), "")</f>
        <v/>
      </c>
      <c r="H285" s="10">
        <f>IFERROR(IF(INDEX(ERP資料!$G:$G, (MATCH(284, 輔助計算!$G$2:$G$801, 0)+1))="","",INDEX(ERP資料!$G:$G, (MATCH(284, 輔助計算!$G$2:$G$801, 0)+1))), "")</f>
        <v/>
      </c>
      <c r="I285" s="15">
        <f>IFERROR(INDEX(輔助計算!$D:$D, (MATCH(284, 輔助計算!$G$2:$G$801, 0)+1)), "")</f>
        <v/>
      </c>
      <c r="J285" s="15">
        <f>IFERROR(IF(AND(INDEX(輔助計算!$D:$D, (MATCH(284, 輔助計算!$G$2:$G$801, 0)+1))&lt;&gt;"", INDEX(ERP資料!$G:$G, (MATCH(284, 輔助計算!$G$2:$G$801, 0)+1))&lt;&gt;""), TRIM(IF(INT(INDEX(輔助計算!$D:$D, (MATCH(284, 輔助計算!$G$2:$G$801, 0)+1))/IF(INDEX(ERP資料!$G:$G, (MATCH(284, 輔助計算!$G$2:$G$801, 0)+1))&lt;100, IF(INDEX(ERP資料!$G:$G, (MATCH(284, 輔助計算!$G$2:$G$801, 0)+1))&lt;=31,3,IF(INDEX(ERP資料!$G:$G, (MATCH(284, 輔助計算!$G$2:$G$801, 0)+1))&lt;=46.5,2,1)), IF(INDEX(ERP資料!$G:$G, (MATCH(284, 輔助計算!$G$2:$G$801, 0)+1))&lt;=790,3,IF(INDEX(ERP資料!$G:$G, (MATCH(284, 輔助計算!$G$2:$G$801, 0)+1))&lt;=1181,2,1))))&gt;0, IF(IF(INDEX(ERP資料!$G:$G, (MATCH(284, 輔助計算!$G$2:$G$801, 0)+1))&lt;100, IF(INDEX(ERP資料!$G:$G, (MATCH(284, 輔助計算!$G$2:$G$801, 0)+1))&lt;=31,3,IF(INDEX(ERP資料!$G:$G, (MATCH(284, 輔助計算!$G$2:$G$801, 0)+1))&lt;=46.5,2,1)), IF(INDEX(ERP資料!$G:$G, (MATCH(284, 輔助計算!$G$2:$G$801, 0)+1))&lt;=790,3,IF(INDEX(ERP資料!$G:$G, (MATCH(284, 輔助計算!$G$2:$G$801, 0)+1))&lt;=1181,2,1)))=1,TEXT(INDEX(ERP資料!$G:$G, (MATCH(284, 輔助計算!$G$2:$G$801, 0)+1)),"0.##"),IF(IF(INDEX(ERP資料!$G:$G, (MATCH(284, 輔助計算!$G$2:$G$801, 0)+1))&lt;100, IF(INDEX(ERP資料!$G:$G, (MATCH(284, 輔助計算!$G$2:$G$801, 0)+1))&lt;=31,3,IF(INDEX(ERP資料!$G:$G, (MATCH(284, 輔助計算!$G$2:$G$801, 0)+1))&lt;=46.5,2,1)), IF(INDEX(ERP資料!$G:$G, (MATCH(284, 輔助計算!$G$2:$G$801, 0)+1))&lt;=790,3,IF(INDEX(ERP資料!$G:$G, (MATCH(284, 輔助計算!$G$2:$G$801, 0)+1))&lt;=1181,2,1)))=2,TEXT(INDEX(ERP資料!$G:$G, (MATCH(284, 輔助計算!$G$2:$G$801, 0)+1)),"0.##")&amp;"+"&amp;TEXT(INDEX(ERP資料!$G:$G, (MATCH(284, 輔助計算!$G$2:$G$801, 0)+1)),"0.##"),TEXT(INDEX(ERP資料!$G:$G, (MATCH(284, 輔助計算!$G$2:$G$801, 0)+1)),"0.##")&amp;"+"&amp;TEXT(INDEX(ERP資料!$G:$G, (MATCH(284, 輔助計算!$G$2:$G$801, 0)+1)),"0.##")&amp;"+"&amp;TEXT(INDEX(ERP資料!$G:$G, (MATCH(284, 輔助計算!$G$2:$G$801, 0)+1)),"0.##")))&amp;"-"&amp;INT(INDEX(輔助計算!$D:$D, (MATCH(284, 輔助計算!$G$2:$G$801, 0)+1))/IF(INDEX(ERP資料!$G:$G, (MATCH(284, 輔助計算!$G$2:$G$801, 0)+1))&lt;100, IF(INDEX(ERP資料!$G:$G, (MATCH(284, 輔助計算!$G$2:$G$801, 0)+1))&lt;=31,3,IF(INDEX(ERP資料!$G:$G, (MATCH(284, 輔助計算!$G$2:$G$801, 0)+1))&lt;=46.5,2,1)), IF(INDEX(ERP資料!$G:$G, (MATCH(284, 輔助計算!$G$2:$G$801, 0)+1))&lt;=790,3,IF(INDEX(ERP資料!$G:$G, (MATCH(284, 輔助計算!$G$2:$G$801, 0)+1))&lt;=1181,2,1)))), "")&amp;IF(AND(IF(INT(INDEX(輔助計算!$D:$D, (MATCH(284, 輔助計算!$G$2:$G$801, 0)+1))/IF(INDEX(ERP資料!$G:$G, (MATCH(284, 輔助計算!$G$2:$G$801, 0)+1))&lt;100, IF(INDEX(ERP資料!$G:$G, (MATCH(284, 輔助計算!$G$2:$G$801, 0)+1))&lt;=31,3,IF(INDEX(ERP資料!$G:$G, (MATCH(284, 輔助計算!$G$2:$G$801, 0)+1))&lt;=46.5,2,1)), IF(INDEX(ERP資料!$G:$G, (MATCH(284, 輔助計算!$G$2:$G$801, 0)+1))&lt;=790,3,IF(INDEX(ERP資料!$G:$G, (MATCH(284, 輔助計算!$G$2:$G$801, 0)+1))&lt;=1181,2,1))))&gt;0, IF(IF(INDEX(ERP資料!$G:$G, (MATCH(284, 輔助計算!$G$2:$G$801, 0)+1))&lt;100, IF(INDEX(ERP資料!$G:$G, (MATCH(284, 輔助計算!$G$2:$G$801, 0)+1))&lt;=31,3,IF(INDEX(ERP資料!$G:$G, (MATCH(284, 輔助計算!$G$2:$G$801, 0)+1))&lt;=46.5,2,1)), IF(INDEX(ERP資料!$G:$G, (MATCH(284, 輔助計算!$G$2:$G$801, 0)+1))&lt;=790,3,IF(INDEX(ERP資料!$G:$G, (MATCH(284, 輔助計算!$G$2:$G$801, 0)+1))&lt;=1181,2,1)))=1,TEXT(INDEX(ERP資料!$G:$G, (MATCH(284, 輔助計算!$G$2:$G$801, 0)+1)),"0.##"),IF(IF(INDEX(ERP資料!$G:$G, (MATCH(284, 輔助計算!$G$2:$G$801, 0)+1))&lt;100, IF(INDEX(ERP資料!$G:$G, (MATCH(284, 輔助計算!$G$2:$G$801, 0)+1))&lt;=31,3,IF(INDEX(ERP資料!$G:$G, (MATCH(284, 輔助計算!$G$2:$G$801, 0)+1))&lt;=46.5,2,1)), IF(INDEX(ERP資料!$G:$G, (MATCH(284, 輔助計算!$G$2:$G$801, 0)+1))&lt;=790,3,IF(INDEX(ERP資料!$G:$G, (MATCH(284, 輔助計算!$G$2:$G$801, 0)+1))&lt;=1181,2,1)))=2,TEXT(INDEX(ERP資料!$G:$G, (MATCH(284, 輔助計算!$G$2:$G$801, 0)+1)),"0.##")&amp;"+"&amp;TEXT(INDEX(ERP資料!$G:$G, (MATCH(284, 輔助計算!$G$2:$G$801, 0)+1)),"0.##"),TEXT(INDEX(ERP資料!$G:$G, (MATCH(284, 輔助計算!$G$2:$G$801, 0)+1)),"0.##")&amp;"+"&amp;TEXT(INDEX(ERP資料!$G:$G, (MATCH(284, 輔助計算!$G$2:$G$801, 0)+1)),"0.##")&amp;"+"&amp;TEXT(INDEX(ERP資料!$G:$G, (MATCH(284, 輔助計算!$G$2:$G$801, 0)+1)),"0.##")))&amp;"-"&amp;INT(INDEX(輔助計算!$D:$D, (MATCH(284, 輔助計算!$G$2:$G$801, 0)+1))/IF(INDEX(ERP資料!$G:$G, (MATCH(284, 輔助計算!$G$2:$G$801, 0)+1))&lt;100, IF(INDEX(ERP資料!$G:$G, (MATCH(284, 輔助計算!$G$2:$G$801, 0)+1))&lt;=31,3,IF(INDEX(ERP資料!$G:$G, (MATCH(284, 輔助計算!$G$2:$G$801, 0)+1))&lt;=46.5,2,1)), IF(INDEX(ERP資料!$G:$G, (MATCH(284, 輔助計算!$G$2:$G$801, 0)+1))&lt;=790,3,IF(INDEX(ERP資料!$G:$G, (MATCH(284, 輔助計算!$G$2:$G$801, 0)+1))&lt;=1181,2,1)))), "")&lt;&gt;"",IF(MOD(INDEX(輔助計算!$D:$D, (MATCH(284, 輔助計算!$G$2:$G$801, 0)+1)),IF(INDEX(ERP資料!$G:$G, (MATCH(284, 輔助計算!$G$2:$G$801, 0)+1))&lt;100, IF(INDEX(ERP資料!$G:$G, (MATCH(284, 輔助計算!$G$2:$G$801, 0)+1))&lt;=31,3,IF(INDEX(ERP資料!$G:$G, (MATCH(284, 輔助計算!$G$2:$G$801, 0)+1))&lt;=46.5,2,1)), IF(INDEX(ERP資料!$G:$G, (MATCH(284, 輔助計算!$G$2:$G$801, 0)+1))&lt;=790,3,IF(INDEX(ERP資料!$G:$G, (MATCH(284, 輔助計算!$G$2:$G$801, 0)+1))&lt;=1181,2,1))))=0,"",IF(MOD(INDEX(輔助計算!$D:$D, (MATCH(284, 輔助計算!$G$2:$G$801, 0)+1)),IF(INDEX(ERP資料!$G:$G, (MATCH(284, 輔助計算!$G$2:$G$801, 0)+1))&lt;100, IF(INDEX(ERP資料!$G:$G, (MATCH(284, 輔助計算!$G$2:$G$801, 0)+1))&lt;=31,3,IF(INDEX(ERP資料!$G:$G, (MATCH(284, 輔助計算!$G$2:$G$801, 0)+1))&lt;=46.5,2,1)), IF(INDEX(ERP資料!$G:$G, (MATCH(284, 輔助計算!$G$2:$G$801, 0)+1))&lt;=790,3,IF(INDEX(ERP資料!$G:$G, (MATCH(284, 輔助計算!$G$2:$G$801, 0)+1))&lt;=1181,2,1))))=0,"",IF(MOD(INDEX(輔助計算!$D:$D, (MATCH(284, 輔助計算!$G$2:$G$801, 0)+1)),IF(INDEX(ERP資料!$G:$G, (MATCH(284, 輔助計算!$G$2:$G$801, 0)+1))&lt;100, IF(INDEX(ERP資料!$G:$G, (MATCH(284, 輔助計算!$G$2:$G$801, 0)+1))&lt;=31,3,IF(INDEX(ERP資料!$G:$G, (MATCH(284, 輔助計算!$G$2:$G$801, 0)+1))&lt;=46.5,2,1)), IF(INDEX(ERP資料!$G:$G, (MATCH(284, 輔助計算!$G$2:$G$801, 0)+1))&lt;=790,3,IF(INDEX(ERP資料!$G:$G, (MATCH(284, 輔助計算!$G$2:$G$801, 0)+1))&lt;=1181,2,1))))=1,TEXT(INDEX(ERP資料!$G:$G, (MATCH(284, 輔助計算!$G$2:$G$801, 0)+1)),"0.##"),IF(MOD(INDEX(輔助計算!$D:$D, (MATCH(284, 輔助計算!$G$2:$G$801, 0)+1)),IF(INDEX(ERP資料!$G:$G, (MATCH(284, 輔助計算!$G$2:$G$801, 0)+1))&lt;100, IF(INDEX(ERP資料!$G:$G, (MATCH(284, 輔助計算!$G$2:$G$801, 0)+1))&lt;=31,3,IF(INDEX(ERP資料!$G:$G, (MATCH(284, 輔助計算!$G$2:$G$801, 0)+1))&lt;=46.5,2,1)), IF(INDEX(ERP資料!$G:$G, (MATCH(284, 輔助計算!$G$2:$G$801, 0)+1))&lt;=790,3,IF(INDEX(ERP資料!$G:$G, (MATCH(284, 輔助計算!$G$2:$G$801, 0)+1))&lt;=1181,2,1))))=2,TEXT(INDEX(ERP資料!$G:$G, (MATCH(284, 輔助計算!$G$2:$G$801, 0)+1)),"0.##")&amp;"+"&amp;TEXT(INDEX(ERP資料!$G:$G, (MATCH(284, 輔助計算!$G$2:$G$801, 0)+1)),"0.##"),TEXT(INDEX(ERP資料!$G:$G, (MATCH(284, 輔助計算!$G$2:$G$801, 0)+1)),"0.##")&amp;"+"&amp;TEXT(INDEX(ERP資料!$G:$G, (MATCH(284, 輔助計算!$G$2:$G$801, 0)+1)),"0.##")&amp;"+"&amp;TEXT(INDEX(ERP資料!$G:$G, (MATCH(284, 輔助計算!$G$2:$G$801, 0)+1)),"0.##"))))&amp;"-1")&lt;&gt;""),"  ","")&amp;IF(MOD(INDEX(輔助計算!$D:$D, (MATCH(284, 輔助計算!$G$2:$G$801, 0)+1)),IF(INDEX(ERP資料!$G:$G, (MATCH(284, 輔助計算!$G$2:$G$801, 0)+1))&lt;100, IF(INDEX(ERP資料!$G:$G, (MATCH(284, 輔助計算!$G$2:$G$801, 0)+1))&lt;=31,3,IF(INDEX(ERP資料!$G:$G, (MATCH(284, 輔助計算!$G$2:$G$801, 0)+1))&lt;=46.5,2,1)), IF(INDEX(ERP資料!$G:$G, (MATCH(284, 輔助計算!$G$2:$G$801, 0)+1))&lt;=790,3,IF(INDEX(ERP資料!$G:$G, (MATCH(284, 輔助計算!$G$2:$G$801, 0)+1))&lt;=1181,2,1))))=0,"",IF(MOD(INDEX(輔助計算!$D:$D, (MATCH(284, 輔助計算!$G$2:$G$801, 0)+1)),IF(INDEX(ERP資料!$G:$G, (MATCH(284, 輔助計算!$G$2:$G$801, 0)+1))&lt;100, IF(INDEX(ERP資料!$G:$G, (MATCH(284, 輔助計算!$G$2:$G$801, 0)+1))&lt;=31,3,IF(INDEX(ERP資料!$G:$G, (MATCH(284, 輔助計算!$G$2:$G$801, 0)+1))&lt;=46.5,2,1)), IF(INDEX(ERP資料!$G:$G, (MATCH(284, 輔助計算!$G$2:$G$801, 0)+1))&lt;=790,3,IF(INDEX(ERP資料!$G:$G, (MATCH(284, 輔助計算!$G$2:$G$801, 0)+1))&lt;=1181,2,1))))=0,"",IF(MOD(INDEX(輔助計算!$D:$D, (MATCH(284, 輔助計算!$G$2:$G$801, 0)+1)),IF(INDEX(ERP資料!$G:$G, (MATCH(284, 輔助計算!$G$2:$G$801, 0)+1))&lt;100, IF(INDEX(ERP資料!$G:$G, (MATCH(284, 輔助計算!$G$2:$G$801, 0)+1))&lt;=31,3,IF(INDEX(ERP資料!$G:$G, (MATCH(284, 輔助計算!$G$2:$G$801, 0)+1))&lt;=46.5,2,1)), IF(INDEX(ERP資料!$G:$G, (MATCH(284, 輔助計算!$G$2:$G$801, 0)+1))&lt;=790,3,IF(INDEX(ERP資料!$G:$G, (MATCH(284, 輔助計算!$G$2:$G$801, 0)+1))&lt;=1181,2,1))))=1,TEXT(INDEX(ERP資料!$G:$G, (MATCH(284, 輔助計算!$G$2:$G$801, 0)+1)),"0.##"),IF(MOD(INDEX(輔助計算!$D:$D, (MATCH(284, 輔助計算!$G$2:$G$801, 0)+1)),IF(INDEX(ERP資料!$G:$G, (MATCH(284, 輔助計算!$G$2:$G$801, 0)+1))&lt;100, IF(INDEX(ERP資料!$G:$G, (MATCH(284, 輔助計算!$G$2:$G$801, 0)+1))&lt;=31,3,IF(INDEX(ERP資料!$G:$G, (MATCH(284, 輔助計算!$G$2:$G$801, 0)+1))&lt;=46.5,2,1)), IF(INDEX(ERP資料!$G:$G, (MATCH(284, 輔助計算!$G$2:$G$801, 0)+1))&lt;=790,3,IF(INDEX(ERP資料!$G:$G, (MATCH(284, 輔助計算!$G$2:$G$801, 0)+1))&lt;=1181,2,1))))=2,TEXT(INDEX(ERP資料!$G:$G, (MATCH(284, 輔助計算!$G$2:$G$801, 0)+1)),"0.##")&amp;"+"&amp;TEXT(INDEX(ERP資料!$G:$G, (MATCH(284, 輔助計算!$G$2:$G$801, 0)+1)),"0.##"),TEXT(INDEX(ERP資料!$G:$G, (MATCH(284, 輔助計算!$G$2:$G$801, 0)+1)),"0.##")&amp;"+"&amp;TEXT(INDEX(ERP資料!$G:$G, (MATCH(284, 輔助計算!$G$2:$G$801, 0)+1)),"0.##")&amp;"+"&amp;TEXT(INDEX(ERP資料!$G:$G, (MATCH(284, 輔助計算!$G$2:$G$801, 0)+1)),"0.##"))))&amp;"-1")), ""), "")</f>
        <v/>
      </c>
      <c r="K285" s="16" t="n"/>
      <c r="L285" s="14">
        <f>IFERROR(IF(AND(IFERROR(INDEX(ERP資料!$A:$A, (MATCH(284, 輔助計算!$G$2:$G$801, 0)+1)), "")&lt;&gt;"", IFERROR(INDEX(ERP資料!$A:$A, (MATCH(284, 輔助計算!$G$2:$G$801, 0)+1)), "")&lt;&gt;IFERROR(INDEX(ERP資料!$A:$A, MATCH(283, 輔助計算!$G$2:$G$801, 0)+1), "")), INDEX(ERP資料!$B:$B, (MATCH(284, 輔助計算!$G$2:$G$801, 0)+1)), ""), "")</f>
        <v/>
      </c>
      <c r="M285" s="17" t="n"/>
    </row>
    <row r="286">
      <c r="A286" s="10">
        <f>IFERROR(IF(AND(IFERROR(INDEX(ERP資料!$A:$A, (MATCH(285, 輔助計算!$G$2:$G$801, 0)+1)), "")&lt;&gt;"", IFERROR(INDEX(ERP資料!$A:$A, (MATCH(285, 輔助計算!$G$2:$G$801, 0)+1)), "")&lt;&gt;IFERROR(INDEX(ERP資料!$A:$A, MATCH(284, 輔助計算!$G$2:$G$801, 0)+1), "")), IFERROR(INDEX(ERP資料!$A:$A, (MATCH(285, 輔助計算!$G$2:$G$801, 0)+1)), ""), ""), "")</f>
        <v/>
      </c>
      <c r="B286" s="10">
        <f>IFERROR(IF(AND(IFERROR(INDEX(ERP資料!$A:$A, (MATCH(285, 輔助計算!$G$2:$G$801, 0)+1)), "")&lt;&gt;"", IFERROR(INDEX(ERP資料!$A:$A, (MATCH(285, 輔助計算!$G$2:$G$801, 0)+1)), "")&lt;&gt;IFERROR(INDEX(ERP資料!$A:$A, MATCH(284, 輔助計算!$G$2:$G$801, 0)+1), "")), INDEX(ERP資料!$S:$S, (MATCH(285, 輔助計算!$G$2:$G$801, 0)+1)), ""), "")</f>
        <v/>
      </c>
      <c r="C286" s="19">
        <f>IFERROR(IF(AND(IFERROR(INDEX(ERP資料!$A:$A, (MATCH(285, 輔助計算!$G$2:$G$801, 0)+1)), "")&lt;&gt;"", IFERROR(INDEX(ERP資料!$A:$A, (MATCH(285, 輔助計算!$G$2:$G$801, 0)+1)), "")&lt;&gt;IFERROR(INDEX(ERP資料!$A:$A, MATCH(284, 輔助計算!$G$2:$G$801, 0)+1), "")), IFERROR(VLOOKUP(LEFT(INDEX(ERP資料!$S:$S, (MATCH(285, 輔助計算!$G$2:$G$801, 0)+1)), 4), 紙管對照表!$A:$C, 3, FALSE), ""), ""), "")</f>
        <v/>
      </c>
      <c r="D286" s="16" t="n"/>
      <c r="E286" s="10">
        <f>IFERROR(IF(INDEX(ERP資料!$H:$H, (MATCH(285, 輔助計算!$G$2:$G$801, 0)+1))="","",INDEX(ERP資料!$H:$H, (MATCH(285, 輔助計算!$G$2:$G$801, 0)+1))), "")</f>
        <v/>
      </c>
      <c r="F286" s="10">
        <f>IFERROR(IF(INDEX(ERP資料!$E:$E, (MATCH(285, 輔助計算!$G$2:$G$801, 0)+1))="","",TRIM(INDEX(ERP資料!$E:$E, (MATCH(285, 輔助計算!$G$2:$G$801, 0)+1)))), "")</f>
        <v/>
      </c>
      <c r="G286" s="10">
        <f>IFERROR(IF(INDEX(ERP資料!$F:$F, (MATCH(285, 輔助計算!$G$2:$G$801, 0)+1))="","",INDEX(ERP資料!$F:$F, (MATCH(285, 輔助計算!$G$2:$G$801, 0)+1))), "")</f>
        <v/>
      </c>
      <c r="H286" s="10">
        <f>IFERROR(IF(INDEX(ERP資料!$G:$G, (MATCH(285, 輔助計算!$G$2:$G$801, 0)+1))="","",INDEX(ERP資料!$G:$G, (MATCH(285, 輔助計算!$G$2:$G$801, 0)+1))), "")</f>
        <v/>
      </c>
      <c r="I286" s="15">
        <f>IFERROR(INDEX(輔助計算!$D:$D, (MATCH(285, 輔助計算!$G$2:$G$801, 0)+1)), "")</f>
        <v/>
      </c>
      <c r="J286" s="15">
        <f>IFERROR(IF(AND(INDEX(輔助計算!$D:$D, (MATCH(285, 輔助計算!$G$2:$G$801, 0)+1))&lt;&gt;"", INDEX(ERP資料!$G:$G, (MATCH(285, 輔助計算!$G$2:$G$801, 0)+1))&lt;&gt;""), TRIM(IF(INT(INDEX(輔助計算!$D:$D, (MATCH(285, 輔助計算!$G$2:$G$801, 0)+1))/IF(INDEX(ERP資料!$G:$G, (MATCH(285, 輔助計算!$G$2:$G$801, 0)+1))&lt;100, IF(INDEX(ERP資料!$G:$G, (MATCH(285, 輔助計算!$G$2:$G$801, 0)+1))&lt;=31,3,IF(INDEX(ERP資料!$G:$G, (MATCH(285, 輔助計算!$G$2:$G$801, 0)+1))&lt;=46.5,2,1)), IF(INDEX(ERP資料!$G:$G, (MATCH(285, 輔助計算!$G$2:$G$801, 0)+1))&lt;=790,3,IF(INDEX(ERP資料!$G:$G, (MATCH(285, 輔助計算!$G$2:$G$801, 0)+1))&lt;=1181,2,1))))&gt;0, IF(IF(INDEX(ERP資料!$G:$G, (MATCH(285, 輔助計算!$G$2:$G$801, 0)+1))&lt;100, IF(INDEX(ERP資料!$G:$G, (MATCH(285, 輔助計算!$G$2:$G$801, 0)+1))&lt;=31,3,IF(INDEX(ERP資料!$G:$G, (MATCH(285, 輔助計算!$G$2:$G$801, 0)+1))&lt;=46.5,2,1)), IF(INDEX(ERP資料!$G:$G, (MATCH(285, 輔助計算!$G$2:$G$801, 0)+1))&lt;=790,3,IF(INDEX(ERP資料!$G:$G, (MATCH(285, 輔助計算!$G$2:$G$801, 0)+1))&lt;=1181,2,1)))=1,TEXT(INDEX(ERP資料!$G:$G, (MATCH(285, 輔助計算!$G$2:$G$801, 0)+1)),"0.##"),IF(IF(INDEX(ERP資料!$G:$G, (MATCH(285, 輔助計算!$G$2:$G$801, 0)+1))&lt;100, IF(INDEX(ERP資料!$G:$G, (MATCH(285, 輔助計算!$G$2:$G$801, 0)+1))&lt;=31,3,IF(INDEX(ERP資料!$G:$G, (MATCH(285, 輔助計算!$G$2:$G$801, 0)+1))&lt;=46.5,2,1)), IF(INDEX(ERP資料!$G:$G, (MATCH(285, 輔助計算!$G$2:$G$801, 0)+1))&lt;=790,3,IF(INDEX(ERP資料!$G:$G, (MATCH(285, 輔助計算!$G$2:$G$801, 0)+1))&lt;=1181,2,1)))=2,TEXT(INDEX(ERP資料!$G:$G, (MATCH(285, 輔助計算!$G$2:$G$801, 0)+1)),"0.##")&amp;"+"&amp;TEXT(INDEX(ERP資料!$G:$G, (MATCH(285, 輔助計算!$G$2:$G$801, 0)+1)),"0.##"),TEXT(INDEX(ERP資料!$G:$G, (MATCH(285, 輔助計算!$G$2:$G$801, 0)+1)),"0.##")&amp;"+"&amp;TEXT(INDEX(ERP資料!$G:$G, (MATCH(285, 輔助計算!$G$2:$G$801, 0)+1)),"0.##")&amp;"+"&amp;TEXT(INDEX(ERP資料!$G:$G, (MATCH(285, 輔助計算!$G$2:$G$801, 0)+1)),"0.##")))&amp;"-"&amp;INT(INDEX(輔助計算!$D:$D, (MATCH(285, 輔助計算!$G$2:$G$801, 0)+1))/IF(INDEX(ERP資料!$G:$G, (MATCH(285, 輔助計算!$G$2:$G$801, 0)+1))&lt;100, IF(INDEX(ERP資料!$G:$G, (MATCH(285, 輔助計算!$G$2:$G$801, 0)+1))&lt;=31,3,IF(INDEX(ERP資料!$G:$G, (MATCH(285, 輔助計算!$G$2:$G$801, 0)+1))&lt;=46.5,2,1)), IF(INDEX(ERP資料!$G:$G, (MATCH(285, 輔助計算!$G$2:$G$801, 0)+1))&lt;=790,3,IF(INDEX(ERP資料!$G:$G, (MATCH(285, 輔助計算!$G$2:$G$801, 0)+1))&lt;=1181,2,1)))), "")&amp;IF(AND(IF(INT(INDEX(輔助計算!$D:$D, (MATCH(285, 輔助計算!$G$2:$G$801, 0)+1))/IF(INDEX(ERP資料!$G:$G, (MATCH(285, 輔助計算!$G$2:$G$801, 0)+1))&lt;100, IF(INDEX(ERP資料!$G:$G, (MATCH(285, 輔助計算!$G$2:$G$801, 0)+1))&lt;=31,3,IF(INDEX(ERP資料!$G:$G, (MATCH(285, 輔助計算!$G$2:$G$801, 0)+1))&lt;=46.5,2,1)), IF(INDEX(ERP資料!$G:$G, (MATCH(285, 輔助計算!$G$2:$G$801, 0)+1))&lt;=790,3,IF(INDEX(ERP資料!$G:$G, (MATCH(285, 輔助計算!$G$2:$G$801, 0)+1))&lt;=1181,2,1))))&gt;0, IF(IF(INDEX(ERP資料!$G:$G, (MATCH(285, 輔助計算!$G$2:$G$801, 0)+1))&lt;100, IF(INDEX(ERP資料!$G:$G, (MATCH(285, 輔助計算!$G$2:$G$801, 0)+1))&lt;=31,3,IF(INDEX(ERP資料!$G:$G, (MATCH(285, 輔助計算!$G$2:$G$801, 0)+1))&lt;=46.5,2,1)), IF(INDEX(ERP資料!$G:$G, (MATCH(285, 輔助計算!$G$2:$G$801, 0)+1))&lt;=790,3,IF(INDEX(ERP資料!$G:$G, (MATCH(285, 輔助計算!$G$2:$G$801, 0)+1))&lt;=1181,2,1)))=1,TEXT(INDEX(ERP資料!$G:$G, (MATCH(285, 輔助計算!$G$2:$G$801, 0)+1)),"0.##"),IF(IF(INDEX(ERP資料!$G:$G, (MATCH(285, 輔助計算!$G$2:$G$801, 0)+1))&lt;100, IF(INDEX(ERP資料!$G:$G, (MATCH(285, 輔助計算!$G$2:$G$801, 0)+1))&lt;=31,3,IF(INDEX(ERP資料!$G:$G, (MATCH(285, 輔助計算!$G$2:$G$801, 0)+1))&lt;=46.5,2,1)), IF(INDEX(ERP資料!$G:$G, (MATCH(285, 輔助計算!$G$2:$G$801, 0)+1))&lt;=790,3,IF(INDEX(ERP資料!$G:$G, (MATCH(285, 輔助計算!$G$2:$G$801, 0)+1))&lt;=1181,2,1)))=2,TEXT(INDEX(ERP資料!$G:$G, (MATCH(285, 輔助計算!$G$2:$G$801, 0)+1)),"0.##")&amp;"+"&amp;TEXT(INDEX(ERP資料!$G:$G, (MATCH(285, 輔助計算!$G$2:$G$801, 0)+1)),"0.##"),TEXT(INDEX(ERP資料!$G:$G, (MATCH(285, 輔助計算!$G$2:$G$801, 0)+1)),"0.##")&amp;"+"&amp;TEXT(INDEX(ERP資料!$G:$G, (MATCH(285, 輔助計算!$G$2:$G$801, 0)+1)),"0.##")&amp;"+"&amp;TEXT(INDEX(ERP資料!$G:$G, (MATCH(285, 輔助計算!$G$2:$G$801, 0)+1)),"0.##")))&amp;"-"&amp;INT(INDEX(輔助計算!$D:$D, (MATCH(285, 輔助計算!$G$2:$G$801, 0)+1))/IF(INDEX(ERP資料!$G:$G, (MATCH(285, 輔助計算!$G$2:$G$801, 0)+1))&lt;100, IF(INDEX(ERP資料!$G:$G, (MATCH(285, 輔助計算!$G$2:$G$801, 0)+1))&lt;=31,3,IF(INDEX(ERP資料!$G:$G, (MATCH(285, 輔助計算!$G$2:$G$801, 0)+1))&lt;=46.5,2,1)), IF(INDEX(ERP資料!$G:$G, (MATCH(285, 輔助計算!$G$2:$G$801, 0)+1))&lt;=790,3,IF(INDEX(ERP資料!$G:$G, (MATCH(285, 輔助計算!$G$2:$G$801, 0)+1))&lt;=1181,2,1)))), "")&lt;&gt;"",IF(MOD(INDEX(輔助計算!$D:$D, (MATCH(285, 輔助計算!$G$2:$G$801, 0)+1)),IF(INDEX(ERP資料!$G:$G, (MATCH(285, 輔助計算!$G$2:$G$801, 0)+1))&lt;100, IF(INDEX(ERP資料!$G:$G, (MATCH(285, 輔助計算!$G$2:$G$801, 0)+1))&lt;=31,3,IF(INDEX(ERP資料!$G:$G, (MATCH(285, 輔助計算!$G$2:$G$801, 0)+1))&lt;=46.5,2,1)), IF(INDEX(ERP資料!$G:$G, (MATCH(285, 輔助計算!$G$2:$G$801, 0)+1))&lt;=790,3,IF(INDEX(ERP資料!$G:$G, (MATCH(285, 輔助計算!$G$2:$G$801, 0)+1))&lt;=1181,2,1))))=0,"",IF(MOD(INDEX(輔助計算!$D:$D, (MATCH(285, 輔助計算!$G$2:$G$801, 0)+1)),IF(INDEX(ERP資料!$G:$G, (MATCH(285, 輔助計算!$G$2:$G$801, 0)+1))&lt;100, IF(INDEX(ERP資料!$G:$G, (MATCH(285, 輔助計算!$G$2:$G$801, 0)+1))&lt;=31,3,IF(INDEX(ERP資料!$G:$G, (MATCH(285, 輔助計算!$G$2:$G$801, 0)+1))&lt;=46.5,2,1)), IF(INDEX(ERP資料!$G:$G, (MATCH(285, 輔助計算!$G$2:$G$801, 0)+1))&lt;=790,3,IF(INDEX(ERP資料!$G:$G, (MATCH(285, 輔助計算!$G$2:$G$801, 0)+1))&lt;=1181,2,1))))=0,"",IF(MOD(INDEX(輔助計算!$D:$D, (MATCH(285, 輔助計算!$G$2:$G$801, 0)+1)),IF(INDEX(ERP資料!$G:$G, (MATCH(285, 輔助計算!$G$2:$G$801, 0)+1))&lt;100, IF(INDEX(ERP資料!$G:$G, (MATCH(285, 輔助計算!$G$2:$G$801, 0)+1))&lt;=31,3,IF(INDEX(ERP資料!$G:$G, (MATCH(285, 輔助計算!$G$2:$G$801, 0)+1))&lt;=46.5,2,1)), IF(INDEX(ERP資料!$G:$G, (MATCH(285, 輔助計算!$G$2:$G$801, 0)+1))&lt;=790,3,IF(INDEX(ERP資料!$G:$G, (MATCH(285, 輔助計算!$G$2:$G$801, 0)+1))&lt;=1181,2,1))))=1,TEXT(INDEX(ERP資料!$G:$G, (MATCH(285, 輔助計算!$G$2:$G$801, 0)+1)),"0.##"),IF(MOD(INDEX(輔助計算!$D:$D, (MATCH(285, 輔助計算!$G$2:$G$801, 0)+1)),IF(INDEX(ERP資料!$G:$G, (MATCH(285, 輔助計算!$G$2:$G$801, 0)+1))&lt;100, IF(INDEX(ERP資料!$G:$G, (MATCH(285, 輔助計算!$G$2:$G$801, 0)+1))&lt;=31,3,IF(INDEX(ERP資料!$G:$G, (MATCH(285, 輔助計算!$G$2:$G$801, 0)+1))&lt;=46.5,2,1)), IF(INDEX(ERP資料!$G:$G, (MATCH(285, 輔助計算!$G$2:$G$801, 0)+1))&lt;=790,3,IF(INDEX(ERP資料!$G:$G, (MATCH(285, 輔助計算!$G$2:$G$801, 0)+1))&lt;=1181,2,1))))=2,TEXT(INDEX(ERP資料!$G:$G, (MATCH(285, 輔助計算!$G$2:$G$801, 0)+1)),"0.##")&amp;"+"&amp;TEXT(INDEX(ERP資料!$G:$G, (MATCH(285, 輔助計算!$G$2:$G$801, 0)+1)),"0.##"),TEXT(INDEX(ERP資料!$G:$G, (MATCH(285, 輔助計算!$G$2:$G$801, 0)+1)),"0.##")&amp;"+"&amp;TEXT(INDEX(ERP資料!$G:$G, (MATCH(285, 輔助計算!$G$2:$G$801, 0)+1)),"0.##")&amp;"+"&amp;TEXT(INDEX(ERP資料!$G:$G, (MATCH(285, 輔助計算!$G$2:$G$801, 0)+1)),"0.##"))))&amp;"-1")&lt;&gt;""),"  ","")&amp;IF(MOD(INDEX(輔助計算!$D:$D, (MATCH(285, 輔助計算!$G$2:$G$801, 0)+1)),IF(INDEX(ERP資料!$G:$G, (MATCH(285, 輔助計算!$G$2:$G$801, 0)+1))&lt;100, IF(INDEX(ERP資料!$G:$G, (MATCH(285, 輔助計算!$G$2:$G$801, 0)+1))&lt;=31,3,IF(INDEX(ERP資料!$G:$G, (MATCH(285, 輔助計算!$G$2:$G$801, 0)+1))&lt;=46.5,2,1)), IF(INDEX(ERP資料!$G:$G, (MATCH(285, 輔助計算!$G$2:$G$801, 0)+1))&lt;=790,3,IF(INDEX(ERP資料!$G:$G, (MATCH(285, 輔助計算!$G$2:$G$801, 0)+1))&lt;=1181,2,1))))=0,"",IF(MOD(INDEX(輔助計算!$D:$D, (MATCH(285, 輔助計算!$G$2:$G$801, 0)+1)),IF(INDEX(ERP資料!$G:$G, (MATCH(285, 輔助計算!$G$2:$G$801, 0)+1))&lt;100, IF(INDEX(ERP資料!$G:$G, (MATCH(285, 輔助計算!$G$2:$G$801, 0)+1))&lt;=31,3,IF(INDEX(ERP資料!$G:$G, (MATCH(285, 輔助計算!$G$2:$G$801, 0)+1))&lt;=46.5,2,1)), IF(INDEX(ERP資料!$G:$G, (MATCH(285, 輔助計算!$G$2:$G$801, 0)+1))&lt;=790,3,IF(INDEX(ERP資料!$G:$G, (MATCH(285, 輔助計算!$G$2:$G$801, 0)+1))&lt;=1181,2,1))))=0,"",IF(MOD(INDEX(輔助計算!$D:$D, (MATCH(285, 輔助計算!$G$2:$G$801, 0)+1)),IF(INDEX(ERP資料!$G:$G, (MATCH(285, 輔助計算!$G$2:$G$801, 0)+1))&lt;100, IF(INDEX(ERP資料!$G:$G, (MATCH(285, 輔助計算!$G$2:$G$801, 0)+1))&lt;=31,3,IF(INDEX(ERP資料!$G:$G, (MATCH(285, 輔助計算!$G$2:$G$801, 0)+1))&lt;=46.5,2,1)), IF(INDEX(ERP資料!$G:$G, (MATCH(285, 輔助計算!$G$2:$G$801, 0)+1))&lt;=790,3,IF(INDEX(ERP資料!$G:$G, (MATCH(285, 輔助計算!$G$2:$G$801, 0)+1))&lt;=1181,2,1))))=1,TEXT(INDEX(ERP資料!$G:$G, (MATCH(285, 輔助計算!$G$2:$G$801, 0)+1)),"0.##"),IF(MOD(INDEX(輔助計算!$D:$D, (MATCH(285, 輔助計算!$G$2:$G$801, 0)+1)),IF(INDEX(ERP資料!$G:$G, (MATCH(285, 輔助計算!$G$2:$G$801, 0)+1))&lt;100, IF(INDEX(ERP資料!$G:$G, (MATCH(285, 輔助計算!$G$2:$G$801, 0)+1))&lt;=31,3,IF(INDEX(ERP資料!$G:$G, (MATCH(285, 輔助計算!$G$2:$G$801, 0)+1))&lt;=46.5,2,1)), IF(INDEX(ERP資料!$G:$G, (MATCH(285, 輔助計算!$G$2:$G$801, 0)+1))&lt;=790,3,IF(INDEX(ERP資料!$G:$G, (MATCH(285, 輔助計算!$G$2:$G$801, 0)+1))&lt;=1181,2,1))))=2,TEXT(INDEX(ERP資料!$G:$G, (MATCH(285, 輔助計算!$G$2:$G$801, 0)+1)),"0.##")&amp;"+"&amp;TEXT(INDEX(ERP資料!$G:$G, (MATCH(285, 輔助計算!$G$2:$G$801, 0)+1)),"0.##"),TEXT(INDEX(ERP資料!$G:$G, (MATCH(285, 輔助計算!$G$2:$G$801, 0)+1)),"0.##")&amp;"+"&amp;TEXT(INDEX(ERP資料!$G:$G, (MATCH(285, 輔助計算!$G$2:$G$801, 0)+1)),"0.##")&amp;"+"&amp;TEXT(INDEX(ERP資料!$G:$G, (MATCH(285, 輔助計算!$G$2:$G$801, 0)+1)),"0.##"))))&amp;"-1")), ""), "")</f>
        <v/>
      </c>
      <c r="K286" s="16" t="n"/>
      <c r="L286" s="14">
        <f>IFERROR(IF(AND(IFERROR(INDEX(ERP資料!$A:$A, (MATCH(285, 輔助計算!$G$2:$G$801, 0)+1)), "")&lt;&gt;"", IFERROR(INDEX(ERP資料!$A:$A, (MATCH(285, 輔助計算!$G$2:$G$801, 0)+1)), "")&lt;&gt;IFERROR(INDEX(ERP資料!$A:$A, MATCH(284, 輔助計算!$G$2:$G$801, 0)+1), "")), INDEX(ERP資料!$B:$B, (MATCH(285, 輔助計算!$G$2:$G$801, 0)+1)), ""), "")</f>
        <v/>
      </c>
      <c r="M286" s="17" t="n"/>
    </row>
    <row r="287">
      <c r="A287" s="10">
        <f>IFERROR(IF(AND(IFERROR(INDEX(ERP資料!$A:$A, (MATCH(286, 輔助計算!$G$2:$G$801, 0)+1)), "")&lt;&gt;"", IFERROR(INDEX(ERP資料!$A:$A, (MATCH(286, 輔助計算!$G$2:$G$801, 0)+1)), "")&lt;&gt;IFERROR(INDEX(ERP資料!$A:$A, MATCH(285, 輔助計算!$G$2:$G$801, 0)+1), "")), IFERROR(INDEX(ERP資料!$A:$A, (MATCH(286, 輔助計算!$G$2:$G$801, 0)+1)), ""), ""), "")</f>
        <v/>
      </c>
      <c r="B287" s="10">
        <f>IFERROR(IF(AND(IFERROR(INDEX(ERP資料!$A:$A, (MATCH(286, 輔助計算!$G$2:$G$801, 0)+1)), "")&lt;&gt;"", IFERROR(INDEX(ERP資料!$A:$A, (MATCH(286, 輔助計算!$G$2:$G$801, 0)+1)), "")&lt;&gt;IFERROR(INDEX(ERP資料!$A:$A, MATCH(285, 輔助計算!$G$2:$G$801, 0)+1), "")), INDEX(ERP資料!$S:$S, (MATCH(286, 輔助計算!$G$2:$G$801, 0)+1)), ""), "")</f>
        <v/>
      </c>
      <c r="C287" s="19">
        <f>IFERROR(IF(AND(IFERROR(INDEX(ERP資料!$A:$A, (MATCH(286, 輔助計算!$G$2:$G$801, 0)+1)), "")&lt;&gt;"", IFERROR(INDEX(ERP資料!$A:$A, (MATCH(286, 輔助計算!$G$2:$G$801, 0)+1)), "")&lt;&gt;IFERROR(INDEX(ERP資料!$A:$A, MATCH(285, 輔助計算!$G$2:$G$801, 0)+1), "")), IFERROR(VLOOKUP(LEFT(INDEX(ERP資料!$S:$S, (MATCH(286, 輔助計算!$G$2:$G$801, 0)+1)), 4), 紙管對照表!$A:$C, 3, FALSE), ""), ""), "")</f>
        <v/>
      </c>
      <c r="D287" s="16" t="n"/>
      <c r="E287" s="10">
        <f>IFERROR(IF(INDEX(ERP資料!$H:$H, (MATCH(286, 輔助計算!$G$2:$G$801, 0)+1))="","",INDEX(ERP資料!$H:$H, (MATCH(286, 輔助計算!$G$2:$G$801, 0)+1))), "")</f>
        <v/>
      </c>
      <c r="F287" s="10">
        <f>IFERROR(IF(INDEX(ERP資料!$E:$E, (MATCH(286, 輔助計算!$G$2:$G$801, 0)+1))="","",TRIM(INDEX(ERP資料!$E:$E, (MATCH(286, 輔助計算!$G$2:$G$801, 0)+1)))), "")</f>
        <v/>
      </c>
      <c r="G287" s="10">
        <f>IFERROR(IF(INDEX(ERP資料!$F:$F, (MATCH(286, 輔助計算!$G$2:$G$801, 0)+1))="","",INDEX(ERP資料!$F:$F, (MATCH(286, 輔助計算!$G$2:$G$801, 0)+1))), "")</f>
        <v/>
      </c>
      <c r="H287" s="10">
        <f>IFERROR(IF(INDEX(ERP資料!$G:$G, (MATCH(286, 輔助計算!$G$2:$G$801, 0)+1))="","",INDEX(ERP資料!$G:$G, (MATCH(286, 輔助計算!$G$2:$G$801, 0)+1))), "")</f>
        <v/>
      </c>
      <c r="I287" s="15">
        <f>IFERROR(INDEX(輔助計算!$D:$D, (MATCH(286, 輔助計算!$G$2:$G$801, 0)+1)), "")</f>
        <v/>
      </c>
      <c r="J287" s="15">
        <f>IFERROR(IF(AND(INDEX(輔助計算!$D:$D, (MATCH(286, 輔助計算!$G$2:$G$801, 0)+1))&lt;&gt;"", INDEX(ERP資料!$G:$G, (MATCH(286, 輔助計算!$G$2:$G$801, 0)+1))&lt;&gt;""), TRIM(IF(INT(INDEX(輔助計算!$D:$D, (MATCH(286, 輔助計算!$G$2:$G$801, 0)+1))/IF(INDEX(ERP資料!$G:$G, (MATCH(286, 輔助計算!$G$2:$G$801, 0)+1))&lt;100, IF(INDEX(ERP資料!$G:$G, (MATCH(286, 輔助計算!$G$2:$G$801, 0)+1))&lt;=31,3,IF(INDEX(ERP資料!$G:$G, (MATCH(286, 輔助計算!$G$2:$G$801, 0)+1))&lt;=46.5,2,1)), IF(INDEX(ERP資料!$G:$G, (MATCH(286, 輔助計算!$G$2:$G$801, 0)+1))&lt;=790,3,IF(INDEX(ERP資料!$G:$G, (MATCH(286, 輔助計算!$G$2:$G$801, 0)+1))&lt;=1181,2,1))))&gt;0, IF(IF(INDEX(ERP資料!$G:$G, (MATCH(286, 輔助計算!$G$2:$G$801, 0)+1))&lt;100, IF(INDEX(ERP資料!$G:$G, (MATCH(286, 輔助計算!$G$2:$G$801, 0)+1))&lt;=31,3,IF(INDEX(ERP資料!$G:$G, (MATCH(286, 輔助計算!$G$2:$G$801, 0)+1))&lt;=46.5,2,1)), IF(INDEX(ERP資料!$G:$G, (MATCH(286, 輔助計算!$G$2:$G$801, 0)+1))&lt;=790,3,IF(INDEX(ERP資料!$G:$G, (MATCH(286, 輔助計算!$G$2:$G$801, 0)+1))&lt;=1181,2,1)))=1,TEXT(INDEX(ERP資料!$G:$G, (MATCH(286, 輔助計算!$G$2:$G$801, 0)+1)),"0.##"),IF(IF(INDEX(ERP資料!$G:$G, (MATCH(286, 輔助計算!$G$2:$G$801, 0)+1))&lt;100, IF(INDEX(ERP資料!$G:$G, (MATCH(286, 輔助計算!$G$2:$G$801, 0)+1))&lt;=31,3,IF(INDEX(ERP資料!$G:$G, (MATCH(286, 輔助計算!$G$2:$G$801, 0)+1))&lt;=46.5,2,1)), IF(INDEX(ERP資料!$G:$G, (MATCH(286, 輔助計算!$G$2:$G$801, 0)+1))&lt;=790,3,IF(INDEX(ERP資料!$G:$G, (MATCH(286, 輔助計算!$G$2:$G$801, 0)+1))&lt;=1181,2,1)))=2,TEXT(INDEX(ERP資料!$G:$G, (MATCH(286, 輔助計算!$G$2:$G$801, 0)+1)),"0.##")&amp;"+"&amp;TEXT(INDEX(ERP資料!$G:$G, (MATCH(286, 輔助計算!$G$2:$G$801, 0)+1)),"0.##"),TEXT(INDEX(ERP資料!$G:$G, (MATCH(286, 輔助計算!$G$2:$G$801, 0)+1)),"0.##")&amp;"+"&amp;TEXT(INDEX(ERP資料!$G:$G, (MATCH(286, 輔助計算!$G$2:$G$801, 0)+1)),"0.##")&amp;"+"&amp;TEXT(INDEX(ERP資料!$G:$G, (MATCH(286, 輔助計算!$G$2:$G$801, 0)+1)),"0.##")))&amp;"-"&amp;INT(INDEX(輔助計算!$D:$D, (MATCH(286, 輔助計算!$G$2:$G$801, 0)+1))/IF(INDEX(ERP資料!$G:$G, (MATCH(286, 輔助計算!$G$2:$G$801, 0)+1))&lt;100, IF(INDEX(ERP資料!$G:$G, (MATCH(286, 輔助計算!$G$2:$G$801, 0)+1))&lt;=31,3,IF(INDEX(ERP資料!$G:$G, (MATCH(286, 輔助計算!$G$2:$G$801, 0)+1))&lt;=46.5,2,1)), IF(INDEX(ERP資料!$G:$G, (MATCH(286, 輔助計算!$G$2:$G$801, 0)+1))&lt;=790,3,IF(INDEX(ERP資料!$G:$G, (MATCH(286, 輔助計算!$G$2:$G$801, 0)+1))&lt;=1181,2,1)))), "")&amp;IF(AND(IF(INT(INDEX(輔助計算!$D:$D, (MATCH(286, 輔助計算!$G$2:$G$801, 0)+1))/IF(INDEX(ERP資料!$G:$G, (MATCH(286, 輔助計算!$G$2:$G$801, 0)+1))&lt;100, IF(INDEX(ERP資料!$G:$G, (MATCH(286, 輔助計算!$G$2:$G$801, 0)+1))&lt;=31,3,IF(INDEX(ERP資料!$G:$G, (MATCH(286, 輔助計算!$G$2:$G$801, 0)+1))&lt;=46.5,2,1)), IF(INDEX(ERP資料!$G:$G, (MATCH(286, 輔助計算!$G$2:$G$801, 0)+1))&lt;=790,3,IF(INDEX(ERP資料!$G:$G, (MATCH(286, 輔助計算!$G$2:$G$801, 0)+1))&lt;=1181,2,1))))&gt;0, IF(IF(INDEX(ERP資料!$G:$G, (MATCH(286, 輔助計算!$G$2:$G$801, 0)+1))&lt;100, IF(INDEX(ERP資料!$G:$G, (MATCH(286, 輔助計算!$G$2:$G$801, 0)+1))&lt;=31,3,IF(INDEX(ERP資料!$G:$G, (MATCH(286, 輔助計算!$G$2:$G$801, 0)+1))&lt;=46.5,2,1)), IF(INDEX(ERP資料!$G:$G, (MATCH(286, 輔助計算!$G$2:$G$801, 0)+1))&lt;=790,3,IF(INDEX(ERP資料!$G:$G, (MATCH(286, 輔助計算!$G$2:$G$801, 0)+1))&lt;=1181,2,1)))=1,TEXT(INDEX(ERP資料!$G:$G, (MATCH(286, 輔助計算!$G$2:$G$801, 0)+1)),"0.##"),IF(IF(INDEX(ERP資料!$G:$G, (MATCH(286, 輔助計算!$G$2:$G$801, 0)+1))&lt;100, IF(INDEX(ERP資料!$G:$G, (MATCH(286, 輔助計算!$G$2:$G$801, 0)+1))&lt;=31,3,IF(INDEX(ERP資料!$G:$G, (MATCH(286, 輔助計算!$G$2:$G$801, 0)+1))&lt;=46.5,2,1)), IF(INDEX(ERP資料!$G:$G, (MATCH(286, 輔助計算!$G$2:$G$801, 0)+1))&lt;=790,3,IF(INDEX(ERP資料!$G:$G, (MATCH(286, 輔助計算!$G$2:$G$801, 0)+1))&lt;=1181,2,1)))=2,TEXT(INDEX(ERP資料!$G:$G, (MATCH(286, 輔助計算!$G$2:$G$801, 0)+1)),"0.##")&amp;"+"&amp;TEXT(INDEX(ERP資料!$G:$G, (MATCH(286, 輔助計算!$G$2:$G$801, 0)+1)),"0.##"),TEXT(INDEX(ERP資料!$G:$G, (MATCH(286, 輔助計算!$G$2:$G$801, 0)+1)),"0.##")&amp;"+"&amp;TEXT(INDEX(ERP資料!$G:$G, (MATCH(286, 輔助計算!$G$2:$G$801, 0)+1)),"0.##")&amp;"+"&amp;TEXT(INDEX(ERP資料!$G:$G, (MATCH(286, 輔助計算!$G$2:$G$801, 0)+1)),"0.##")))&amp;"-"&amp;INT(INDEX(輔助計算!$D:$D, (MATCH(286, 輔助計算!$G$2:$G$801, 0)+1))/IF(INDEX(ERP資料!$G:$G, (MATCH(286, 輔助計算!$G$2:$G$801, 0)+1))&lt;100, IF(INDEX(ERP資料!$G:$G, (MATCH(286, 輔助計算!$G$2:$G$801, 0)+1))&lt;=31,3,IF(INDEX(ERP資料!$G:$G, (MATCH(286, 輔助計算!$G$2:$G$801, 0)+1))&lt;=46.5,2,1)), IF(INDEX(ERP資料!$G:$G, (MATCH(286, 輔助計算!$G$2:$G$801, 0)+1))&lt;=790,3,IF(INDEX(ERP資料!$G:$G, (MATCH(286, 輔助計算!$G$2:$G$801, 0)+1))&lt;=1181,2,1)))), "")&lt;&gt;"",IF(MOD(INDEX(輔助計算!$D:$D, (MATCH(286, 輔助計算!$G$2:$G$801, 0)+1)),IF(INDEX(ERP資料!$G:$G, (MATCH(286, 輔助計算!$G$2:$G$801, 0)+1))&lt;100, IF(INDEX(ERP資料!$G:$G, (MATCH(286, 輔助計算!$G$2:$G$801, 0)+1))&lt;=31,3,IF(INDEX(ERP資料!$G:$G, (MATCH(286, 輔助計算!$G$2:$G$801, 0)+1))&lt;=46.5,2,1)), IF(INDEX(ERP資料!$G:$G, (MATCH(286, 輔助計算!$G$2:$G$801, 0)+1))&lt;=790,3,IF(INDEX(ERP資料!$G:$G, (MATCH(286, 輔助計算!$G$2:$G$801, 0)+1))&lt;=1181,2,1))))=0,"",IF(MOD(INDEX(輔助計算!$D:$D, (MATCH(286, 輔助計算!$G$2:$G$801, 0)+1)),IF(INDEX(ERP資料!$G:$G, (MATCH(286, 輔助計算!$G$2:$G$801, 0)+1))&lt;100, IF(INDEX(ERP資料!$G:$G, (MATCH(286, 輔助計算!$G$2:$G$801, 0)+1))&lt;=31,3,IF(INDEX(ERP資料!$G:$G, (MATCH(286, 輔助計算!$G$2:$G$801, 0)+1))&lt;=46.5,2,1)), IF(INDEX(ERP資料!$G:$G, (MATCH(286, 輔助計算!$G$2:$G$801, 0)+1))&lt;=790,3,IF(INDEX(ERP資料!$G:$G, (MATCH(286, 輔助計算!$G$2:$G$801, 0)+1))&lt;=1181,2,1))))=0,"",IF(MOD(INDEX(輔助計算!$D:$D, (MATCH(286, 輔助計算!$G$2:$G$801, 0)+1)),IF(INDEX(ERP資料!$G:$G, (MATCH(286, 輔助計算!$G$2:$G$801, 0)+1))&lt;100, IF(INDEX(ERP資料!$G:$G, (MATCH(286, 輔助計算!$G$2:$G$801, 0)+1))&lt;=31,3,IF(INDEX(ERP資料!$G:$G, (MATCH(286, 輔助計算!$G$2:$G$801, 0)+1))&lt;=46.5,2,1)), IF(INDEX(ERP資料!$G:$G, (MATCH(286, 輔助計算!$G$2:$G$801, 0)+1))&lt;=790,3,IF(INDEX(ERP資料!$G:$G, (MATCH(286, 輔助計算!$G$2:$G$801, 0)+1))&lt;=1181,2,1))))=1,TEXT(INDEX(ERP資料!$G:$G, (MATCH(286, 輔助計算!$G$2:$G$801, 0)+1)),"0.##"),IF(MOD(INDEX(輔助計算!$D:$D, (MATCH(286, 輔助計算!$G$2:$G$801, 0)+1)),IF(INDEX(ERP資料!$G:$G, (MATCH(286, 輔助計算!$G$2:$G$801, 0)+1))&lt;100, IF(INDEX(ERP資料!$G:$G, (MATCH(286, 輔助計算!$G$2:$G$801, 0)+1))&lt;=31,3,IF(INDEX(ERP資料!$G:$G, (MATCH(286, 輔助計算!$G$2:$G$801, 0)+1))&lt;=46.5,2,1)), IF(INDEX(ERP資料!$G:$G, (MATCH(286, 輔助計算!$G$2:$G$801, 0)+1))&lt;=790,3,IF(INDEX(ERP資料!$G:$G, (MATCH(286, 輔助計算!$G$2:$G$801, 0)+1))&lt;=1181,2,1))))=2,TEXT(INDEX(ERP資料!$G:$G, (MATCH(286, 輔助計算!$G$2:$G$801, 0)+1)),"0.##")&amp;"+"&amp;TEXT(INDEX(ERP資料!$G:$G, (MATCH(286, 輔助計算!$G$2:$G$801, 0)+1)),"0.##"),TEXT(INDEX(ERP資料!$G:$G, (MATCH(286, 輔助計算!$G$2:$G$801, 0)+1)),"0.##")&amp;"+"&amp;TEXT(INDEX(ERP資料!$G:$G, (MATCH(286, 輔助計算!$G$2:$G$801, 0)+1)),"0.##")&amp;"+"&amp;TEXT(INDEX(ERP資料!$G:$G, (MATCH(286, 輔助計算!$G$2:$G$801, 0)+1)),"0.##"))))&amp;"-1")&lt;&gt;""),"  ","")&amp;IF(MOD(INDEX(輔助計算!$D:$D, (MATCH(286, 輔助計算!$G$2:$G$801, 0)+1)),IF(INDEX(ERP資料!$G:$G, (MATCH(286, 輔助計算!$G$2:$G$801, 0)+1))&lt;100, IF(INDEX(ERP資料!$G:$G, (MATCH(286, 輔助計算!$G$2:$G$801, 0)+1))&lt;=31,3,IF(INDEX(ERP資料!$G:$G, (MATCH(286, 輔助計算!$G$2:$G$801, 0)+1))&lt;=46.5,2,1)), IF(INDEX(ERP資料!$G:$G, (MATCH(286, 輔助計算!$G$2:$G$801, 0)+1))&lt;=790,3,IF(INDEX(ERP資料!$G:$G, (MATCH(286, 輔助計算!$G$2:$G$801, 0)+1))&lt;=1181,2,1))))=0,"",IF(MOD(INDEX(輔助計算!$D:$D, (MATCH(286, 輔助計算!$G$2:$G$801, 0)+1)),IF(INDEX(ERP資料!$G:$G, (MATCH(286, 輔助計算!$G$2:$G$801, 0)+1))&lt;100, IF(INDEX(ERP資料!$G:$G, (MATCH(286, 輔助計算!$G$2:$G$801, 0)+1))&lt;=31,3,IF(INDEX(ERP資料!$G:$G, (MATCH(286, 輔助計算!$G$2:$G$801, 0)+1))&lt;=46.5,2,1)), IF(INDEX(ERP資料!$G:$G, (MATCH(286, 輔助計算!$G$2:$G$801, 0)+1))&lt;=790,3,IF(INDEX(ERP資料!$G:$G, (MATCH(286, 輔助計算!$G$2:$G$801, 0)+1))&lt;=1181,2,1))))=0,"",IF(MOD(INDEX(輔助計算!$D:$D, (MATCH(286, 輔助計算!$G$2:$G$801, 0)+1)),IF(INDEX(ERP資料!$G:$G, (MATCH(286, 輔助計算!$G$2:$G$801, 0)+1))&lt;100, IF(INDEX(ERP資料!$G:$G, (MATCH(286, 輔助計算!$G$2:$G$801, 0)+1))&lt;=31,3,IF(INDEX(ERP資料!$G:$G, (MATCH(286, 輔助計算!$G$2:$G$801, 0)+1))&lt;=46.5,2,1)), IF(INDEX(ERP資料!$G:$G, (MATCH(286, 輔助計算!$G$2:$G$801, 0)+1))&lt;=790,3,IF(INDEX(ERP資料!$G:$G, (MATCH(286, 輔助計算!$G$2:$G$801, 0)+1))&lt;=1181,2,1))))=1,TEXT(INDEX(ERP資料!$G:$G, (MATCH(286, 輔助計算!$G$2:$G$801, 0)+1)),"0.##"),IF(MOD(INDEX(輔助計算!$D:$D, (MATCH(286, 輔助計算!$G$2:$G$801, 0)+1)),IF(INDEX(ERP資料!$G:$G, (MATCH(286, 輔助計算!$G$2:$G$801, 0)+1))&lt;100, IF(INDEX(ERP資料!$G:$G, (MATCH(286, 輔助計算!$G$2:$G$801, 0)+1))&lt;=31,3,IF(INDEX(ERP資料!$G:$G, (MATCH(286, 輔助計算!$G$2:$G$801, 0)+1))&lt;=46.5,2,1)), IF(INDEX(ERP資料!$G:$G, (MATCH(286, 輔助計算!$G$2:$G$801, 0)+1))&lt;=790,3,IF(INDEX(ERP資料!$G:$G, (MATCH(286, 輔助計算!$G$2:$G$801, 0)+1))&lt;=1181,2,1))))=2,TEXT(INDEX(ERP資料!$G:$G, (MATCH(286, 輔助計算!$G$2:$G$801, 0)+1)),"0.##")&amp;"+"&amp;TEXT(INDEX(ERP資料!$G:$G, (MATCH(286, 輔助計算!$G$2:$G$801, 0)+1)),"0.##"),TEXT(INDEX(ERP資料!$G:$G, (MATCH(286, 輔助計算!$G$2:$G$801, 0)+1)),"0.##")&amp;"+"&amp;TEXT(INDEX(ERP資料!$G:$G, (MATCH(286, 輔助計算!$G$2:$G$801, 0)+1)),"0.##")&amp;"+"&amp;TEXT(INDEX(ERP資料!$G:$G, (MATCH(286, 輔助計算!$G$2:$G$801, 0)+1)),"0.##"))))&amp;"-1")), ""), "")</f>
        <v/>
      </c>
      <c r="K287" s="16" t="n"/>
      <c r="L287" s="14">
        <f>IFERROR(IF(AND(IFERROR(INDEX(ERP資料!$A:$A, (MATCH(286, 輔助計算!$G$2:$G$801, 0)+1)), "")&lt;&gt;"", IFERROR(INDEX(ERP資料!$A:$A, (MATCH(286, 輔助計算!$G$2:$G$801, 0)+1)), "")&lt;&gt;IFERROR(INDEX(ERP資料!$A:$A, MATCH(285, 輔助計算!$G$2:$G$801, 0)+1), "")), INDEX(ERP資料!$B:$B, (MATCH(286, 輔助計算!$G$2:$G$801, 0)+1)), ""), "")</f>
        <v/>
      </c>
      <c r="M287" s="17" t="n"/>
    </row>
    <row r="288">
      <c r="A288" s="10">
        <f>IFERROR(IF(AND(IFERROR(INDEX(ERP資料!$A:$A, (MATCH(287, 輔助計算!$G$2:$G$801, 0)+1)), "")&lt;&gt;"", IFERROR(INDEX(ERP資料!$A:$A, (MATCH(287, 輔助計算!$G$2:$G$801, 0)+1)), "")&lt;&gt;IFERROR(INDEX(ERP資料!$A:$A, MATCH(286, 輔助計算!$G$2:$G$801, 0)+1), "")), IFERROR(INDEX(ERP資料!$A:$A, (MATCH(287, 輔助計算!$G$2:$G$801, 0)+1)), ""), ""), "")</f>
        <v/>
      </c>
      <c r="B288" s="10">
        <f>IFERROR(IF(AND(IFERROR(INDEX(ERP資料!$A:$A, (MATCH(287, 輔助計算!$G$2:$G$801, 0)+1)), "")&lt;&gt;"", IFERROR(INDEX(ERP資料!$A:$A, (MATCH(287, 輔助計算!$G$2:$G$801, 0)+1)), "")&lt;&gt;IFERROR(INDEX(ERP資料!$A:$A, MATCH(286, 輔助計算!$G$2:$G$801, 0)+1), "")), INDEX(ERP資料!$S:$S, (MATCH(287, 輔助計算!$G$2:$G$801, 0)+1)), ""), "")</f>
        <v/>
      </c>
      <c r="C288" s="19">
        <f>IFERROR(IF(AND(IFERROR(INDEX(ERP資料!$A:$A, (MATCH(287, 輔助計算!$G$2:$G$801, 0)+1)), "")&lt;&gt;"", IFERROR(INDEX(ERP資料!$A:$A, (MATCH(287, 輔助計算!$G$2:$G$801, 0)+1)), "")&lt;&gt;IFERROR(INDEX(ERP資料!$A:$A, MATCH(286, 輔助計算!$G$2:$G$801, 0)+1), "")), IFERROR(VLOOKUP(LEFT(INDEX(ERP資料!$S:$S, (MATCH(287, 輔助計算!$G$2:$G$801, 0)+1)), 4), 紙管對照表!$A:$C, 3, FALSE), ""), ""), "")</f>
        <v/>
      </c>
      <c r="D288" s="16" t="n"/>
      <c r="E288" s="10">
        <f>IFERROR(IF(INDEX(ERP資料!$H:$H, (MATCH(287, 輔助計算!$G$2:$G$801, 0)+1))="","",INDEX(ERP資料!$H:$H, (MATCH(287, 輔助計算!$G$2:$G$801, 0)+1))), "")</f>
        <v/>
      </c>
      <c r="F288" s="10">
        <f>IFERROR(IF(INDEX(ERP資料!$E:$E, (MATCH(287, 輔助計算!$G$2:$G$801, 0)+1))="","",TRIM(INDEX(ERP資料!$E:$E, (MATCH(287, 輔助計算!$G$2:$G$801, 0)+1)))), "")</f>
        <v/>
      </c>
      <c r="G288" s="10">
        <f>IFERROR(IF(INDEX(ERP資料!$F:$F, (MATCH(287, 輔助計算!$G$2:$G$801, 0)+1))="","",INDEX(ERP資料!$F:$F, (MATCH(287, 輔助計算!$G$2:$G$801, 0)+1))), "")</f>
        <v/>
      </c>
      <c r="H288" s="10">
        <f>IFERROR(IF(INDEX(ERP資料!$G:$G, (MATCH(287, 輔助計算!$G$2:$G$801, 0)+1))="","",INDEX(ERP資料!$G:$G, (MATCH(287, 輔助計算!$G$2:$G$801, 0)+1))), "")</f>
        <v/>
      </c>
      <c r="I288" s="15">
        <f>IFERROR(INDEX(輔助計算!$D:$D, (MATCH(287, 輔助計算!$G$2:$G$801, 0)+1)), "")</f>
        <v/>
      </c>
      <c r="J288" s="15">
        <f>IFERROR(IF(AND(INDEX(輔助計算!$D:$D, (MATCH(287, 輔助計算!$G$2:$G$801, 0)+1))&lt;&gt;"", INDEX(ERP資料!$G:$G, (MATCH(287, 輔助計算!$G$2:$G$801, 0)+1))&lt;&gt;""), TRIM(IF(INT(INDEX(輔助計算!$D:$D, (MATCH(287, 輔助計算!$G$2:$G$801, 0)+1))/IF(INDEX(ERP資料!$G:$G, (MATCH(287, 輔助計算!$G$2:$G$801, 0)+1))&lt;100, IF(INDEX(ERP資料!$G:$G, (MATCH(287, 輔助計算!$G$2:$G$801, 0)+1))&lt;=31,3,IF(INDEX(ERP資料!$G:$G, (MATCH(287, 輔助計算!$G$2:$G$801, 0)+1))&lt;=46.5,2,1)), IF(INDEX(ERP資料!$G:$G, (MATCH(287, 輔助計算!$G$2:$G$801, 0)+1))&lt;=790,3,IF(INDEX(ERP資料!$G:$G, (MATCH(287, 輔助計算!$G$2:$G$801, 0)+1))&lt;=1181,2,1))))&gt;0, IF(IF(INDEX(ERP資料!$G:$G, (MATCH(287, 輔助計算!$G$2:$G$801, 0)+1))&lt;100, IF(INDEX(ERP資料!$G:$G, (MATCH(287, 輔助計算!$G$2:$G$801, 0)+1))&lt;=31,3,IF(INDEX(ERP資料!$G:$G, (MATCH(287, 輔助計算!$G$2:$G$801, 0)+1))&lt;=46.5,2,1)), IF(INDEX(ERP資料!$G:$G, (MATCH(287, 輔助計算!$G$2:$G$801, 0)+1))&lt;=790,3,IF(INDEX(ERP資料!$G:$G, (MATCH(287, 輔助計算!$G$2:$G$801, 0)+1))&lt;=1181,2,1)))=1,TEXT(INDEX(ERP資料!$G:$G, (MATCH(287, 輔助計算!$G$2:$G$801, 0)+1)),"0.##"),IF(IF(INDEX(ERP資料!$G:$G, (MATCH(287, 輔助計算!$G$2:$G$801, 0)+1))&lt;100, IF(INDEX(ERP資料!$G:$G, (MATCH(287, 輔助計算!$G$2:$G$801, 0)+1))&lt;=31,3,IF(INDEX(ERP資料!$G:$G, (MATCH(287, 輔助計算!$G$2:$G$801, 0)+1))&lt;=46.5,2,1)), IF(INDEX(ERP資料!$G:$G, (MATCH(287, 輔助計算!$G$2:$G$801, 0)+1))&lt;=790,3,IF(INDEX(ERP資料!$G:$G, (MATCH(287, 輔助計算!$G$2:$G$801, 0)+1))&lt;=1181,2,1)))=2,TEXT(INDEX(ERP資料!$G:$G, (MATCH(287, 輔助計算!$G$2:$G$801, 0)+1)),"0.##")&amp;"+"&amp;TEXT(INDEX(ERP資料!$G:$G, (MATCH(287, 輔助計算!$G$2:$G$801, 0)+1)),"0.##"),TEXT(INDEX(ERP資料!$G:$G, (MATCH(287, 輔助計算!$G$2:$G$801, 0)+1)),"0.##")&amp;"+"&amp;TEXT(INDEX(ERP資料!$G:$G, (MATCH(287, 輔助計算!$G$2:$G$801, 0)+1)),"0.##")&amp;"+"&amp;TEXT(INDEX(ERP資料!$G:$G, (MATCH(287, 輔助計算!$G$2:$G$801, 0)+1)),"0.##")))&amp;"-"&amp;INT(INDEX(輔助計算!$D:$D, (MATCH(287, 輔助計算!$G$2:$G$801, 0)+1))/IF(INDEX(ERP資料!$G:$G, (MATCH(287, 輔助計算!$G$2:$G$801, 0)+1))&lt;100, IF(INDEX(ERP資料!$G:$G, (MATCH(287, 輔助計算!$G$2:$G$801, 0)+1))&lt;=31,3,IF(INDEX(ERP資料!$G:$G, (MATCH(287, 輔助計算!$G$2:$G$801, 0)+1))&lt;=46.5,2,1)), IF(INDEX(ERP資料!$G:$G, (MATCH(287, 輔助計算!$G$2:$G$801, 0)+1))&lt;=790,3,IF(INDEX(ERP資料!$G:$G, (MATCH(287, 輔助計算!$G$2:$G$801, 0)+1))&lt;=1181,2,1)))), "")&amp;IF(AND(IF(INT(INDEX(輔助計算!$D:$D, (MATCH(287, 輔助計算!$G$2:$G$801, 0)+1))/IF(INDEX(ERP資料!$G:$G, (MATCH(287, 輔助計算!$G$2:$G$801, 0)+1))&lt;100, IF(INDEX(ERP資料!$G:$G, (MATCH(287, 輔助計算!$G$2:$G$801, 0)+1))&lt;=31,3,IF(INDEX(ERP資料!$G:$G, (MATCH(287, 輔助計算!$G$2:$G$801, 0)+1))&lt;=46.5,2,1)), IF(INDEX(ERP資料!$G:$G, (MATCH(287, 輔助計算!$G$2:$G$801, 0)+1))&lt;=790,3,IF(INDEX(ERP資料!$G:$G, (MATCH(287, 輔助計算!$G$2:$G$801, 0)+1))&lt;=1181,2,1))))&gt;0, IF(IF(INDEX(ERP資料!$G:$G, (MATCH(287, 輔助計算!$G$2:$G$801, 0)+1))&lt;100, IF(INDEX(ERP資料!$G:$G, (MATCH(287, 輔助計算!$G$2:$G$801, 0)+1))&lt;=31,3,IF(INDEX(ERP資料!$G:$G, (MATCH(287, 輔助計算!$G$2:$G$801, 0)+1))&lt;=46.5,2,1)), IF(INDEX(ERP資料!$G:$G, (MATCH(287, 輔助計算!$G$2:$G$801, 0)+1))&lt;=790,3,IF(INDEX(ERP資料!$G:$G, (MATCH(287, 輔助計算!$G$2:$G$801, 0)+1))&lt;=1181,2,1)))=1,TEXT(INDEX(ERP資料!$G:$G, (MATCH(287, 輔助計算!$G$2:$G$801, 0)+1)),"0.##"),IF(IF(INDEX(ERP資料!$G:$G, (MATCH(287, 輔助計算!$G$2:$G$801, 0)+1))&lt;100, IF(INDEX(ERP資料!$G:$G, (MATCH(287, 輔助計算!$G$2:$G$801, 0)+1))&lt;=31,3,IF(INDEX(ERP資料!$G:$G, (MATCH(287, 輔助計算!$G$2:$G$801, 0)+1))&lt;=46.5,2,1)), IF(INDEX(ERP資料!$G:$G, (MATCH(287, 輔助計算!$G$2:$G$801, 0)+1))&lt;=790,3,IF(INDEX(ERP資料!$G:$G, (MATCH(287, 輔助計算!$G$2:$G$801, 0)+1))&lt;=1181,2,1)))=2,TEXT(INDEX(ERP資料!$G:$G, (MATCH(287, 輔助計算!$G$2:$G$801, 0)+1)),"0.##")&amp;"+"&amp;TEXT(INDEX(ERP資料!$G:$G, (MATCH(287, 輔助計算!$G$2:$G$801, 0)+1)),"0.##"),TEXT(INDEX(ERP資料!$G:$G, (MATCH(287, 輔助計算!$G$2:$G$801, 0)+1)),"0.##")&amp;"+"&amp;TEXT(INDEX(ERP資料!$G:$G, (MATCH(287, 輔助計算!$G$2:$G$801, 0)+1)),"0.##")&amp;"+"&amp;TEXT(INDEX(ERP資料!$G:$G, (MATCH(287, 輔助計算!$G$2:$G$801, 0)+1)),"0.##")))&amp;"-"&amp;INT(INDEX(輔助計算!$D:$D, (MATCH(287, 輔助計算!$G$2:$G$801, 0)+1))/IF(INDEX(ERP資料!$G:$G, (MATCH(287, 輔助計算!$G$2:$G$801, 0)+1))&lt;100, IF(INDEX(ERP資料!$G:$G, (MATCH(287, 輔助計算!$G$2:$G$801, 0)+1))&lt;=31,3,IF(INDEX(ERP資料!$G:$G, (MATCH(287, 輔助計算!$G$2:$G$801, 0)+1))&lt;=46.5,2,1)), IF(INDEX(ERP資料!$G:$G, (MATCH(287, 輔助計算!$G$2:$G$801, 0)+1))&lt;=790,3,IF(INDEX(ERP資料!$G:$G, (MATCH(287, 輔助計算!$G$2:$G$801, 0)+1))&lt;=1181,2,1)))), "")&lt;&gt;"",IF(MOD(INDEX(輔助計算!$D:$D, (MATCH(287, 輔助計算!$G$2:$G$801, 0)+1)),IF(INDEX(ERP資料!$G:$G, (MATCH(287, 輔助計算!$G$2:$G$801, 0)+1))&lt;100, IF(INDEX(ERP資料!$G:$G, (MATCH(287, 輔助計算!$G$2:$G$801, 0)+1))&lt;=31,3,IF(INDEX(ERP資料!$G:$G, (MATCH(287, 輔助計算!$G$2:$G$801, 0)+1))&lt;=46.5,2,1)), IF(INDEX(ERP資料!$G:$G, (MATCH(287, 輔助計算!$G$2:$G$801, 0)+1))&lt;=790,3,IF(INDEX(ERP資料!$G:$G, (MATCH(287, 輔助計算!$G$2:$G$801, 0)+1))&lt;=1181,2,1))))=0,"",IF(MOD(INDEX(輔助計算!$D:$D, (MATCH(287, 輔助計算!$G$2:$G$801, 0)+1)),IF(INDEX(ERP資料!$G:$G, (MATCH(287, 輔助計算!$G$2:$G$801, 0)+1))&lt;100, IF(INDEX(ERP資料!$G:$G, (MATCH(287, 輔助計算!$G$2:$G$801, 0)+1))&lt;=31,3,IF(INDEX(ERP資料!$G:$G, (MATCH(287, 輔助計算!$G$2:$G$801, 0)+1))&lt;=46.5,2,1)), IF(INDEX(ERP資料!$G:$G, (MATCH(287, 輔助計算!$G$2:$G$801, 0)+1))&lt;=790,3,IF(INDEX(ERP資料!$G:$G, (MATCH(287, 輔助計算!$G$2:$G$801, 0)+1))&lt;=1181,2,1))))=0,"",IF(MOD(INDEX(輔助計算!$D:$D, (MATCH(287, 輔助計算!$G$2:$G$801, 0)+1)),IF(INDEX(ERP資料!$G:$G, (MATCH(287, 輔助計算!$G$2:$G$801, 0)+1))&lt;100, IF(INDEX(ERP資料!$G:$G, (MATCH(287, 輔助計算!$G$2:$G$801, 0)+1))&lt;=31,3,IF(INDEX(ERP資料!$G:$G, (MATCH(287, 輔助計算!$G$2:$G$801, 0)+1))&lt;=46.5,2,1)), IF(INDEX(ERP資料!$G:$G, (MATCH(287, 輔助計算!$G$2:$G$801, 0)+1))&lt;=790,3,IF(INDEX(ERP資料!$G:$G, (MATCH(287, 輔助計算!$G$2:$G$801, 0)+1))&lt;=1181,2,1))))=1,TEXT(INDEX(ERP資料!$G:$G, (MATCH(287, 輔助計算!$G$2:$G$801, 0)+1)),"0.##"),IF(MOD(INDEX(輔助計算!$D:$D, (MATCH(287, 輔助計算!$G$2:$G$801, 0)+1)),IF(INDEX(ERP資料!$G:$G, (MATCH(287, 輔助計算!$G$2:$G$801, 0)+1))&lt;100, IF(INDEX(ERP資料!$G:$G, (MATCH(287, 輔助計算!$G$2:$G$801, 0)+1))&lt;=31,3,IF(INDEX(ERP資料!$G:$G, (MATCH(287, 輔助計算!$G$2:$G$801, 0)+1))&lt;=46.5,2,1)), IF(INDEX(ERP資料!$G:$G, (MATCH(287, 輔助計算!$G$2:$G$801, 0)+1))&lt;=790,3,IF(INDEX(ERP資料!$G:$G, (MATCH(287, 輔助計算!$G$2:$G$801, 0)+1))&lt;=1181,2,1))))=2,TEXT(INDEX(ERP資料!$G:$G, (MATCH(287, 輔助計算!$G$2:$G$801, 0)+1)),"0.##")&amp;"+"&amp;TEXT(INDEX(ERP資料!$G:$G, (MATCH(287, 輔助計算!$G$2:$G$801, 0)+1)),"0.##"),TEXT(INDEX(ERP資料!$G:$G, (MATCH(287, 輔助計算!$G$2:$G$801, 0)+1)),"0.##")&amp;"+"&amp;TEXT(INDEX(ERP資料!$G:$G, (MATCH(287, 輔助計算!$G$2:$G$801, 0)+1)),"0.##")&amp;"+"&amp;TEXT(INDEX(ERP資料!$G:$G, (MATCH(287, 輔助計算!$G$2:$G$801, 0)+1)),"0.##"))))&amp;"-1")&lt;&gt;""),"  ","")&amp;IF(MOD(INDEX(輔助計算!$D:$D, (MATCH(287, 輔助計算!$G$2:$G$801, 0)+1)),IF(INDEX(ERP資料!$G:$G, (MATCH(287, 輔助計算!$G$2:$G$801, 0)+1))&lt;100, IF(INDEX(ERP資料!$G:$G, (MATCH(287, 輔助計算!$G$2:$G$801, 0)+1))&lt;=31,3,IF(INDEX(ERP資料!$G:$G, (MATCH(287, 輔助計算!$G$2:$G$801, 0)+1))&lt;=46.5,2,1)), IF(INDEX(ERP資料!$G:$G, (MATCH(287, 輔助計算!$G$2:$G$801, 0)+1))&lt;=790,3,IF(INDEX(ERP資料!$G:$G, (MATCH(287, 輔助計算!$G$2:$G$801, 0)+1))&lt;=1181,2,1))))=0,"",IF(MOD(INDEX(輔助計算!$D:$D, (MATCH(287, 輔助計算!$G$2:$G$801, 0)+1)),IF(INDEX(ERP資料!$G:$G, (MATCH(287, 輔助計算!$G$2:$G$801, 0)+1))&lt;100, IF(INDEX(ERP資料!$G:$G, (MATCH(287, 輔助計算!$G$2:$G$801, 0)+1))&lt;=31,3,IF(INDEX(ERP資料!$G:$G, (MATCH(287, 輔助計算!$G$2:$G$801, 0)+1))&lt;=46.5,2,1)), IF(INDEX(ERP資料!$G:$G, (MATCH(287, 輔助計算!$G$2:$G$801, 0)+1))&lt;=790,3,IF(INDEX(ERP資料!$G:$G, (MATCH(287, 輔助計算!$G$2:$G$801, 0)+1))&lt;=1181,2,1))))=0,"",IF(MOD(INDEX(輔助計算!$D:$D, (MATCH(287, 輔助計算!$G$2:$G$801, 0)+1)),IF(INDEX(ERP資料!$G:$G, (MATCH(287, 輔助計算!$G$2:$G$801, 0)+1))&lt;100, IF(INDEX(ERP資料!$G:$G, (MATCH(287, 輔助計算!$G$2:$G$801, 0)+1))&lt;=31,3,IF(INDEX(ERP資料!$G:$G, (MATCH(287, 輔助計算!$G$2:$G$801, 0)+1))&lt;=46.5,2,1)), IF(INDEX(ERP資料!$G:$G, (MATCH(287, 輔助計算!$G$2:$G$801, 0)+1))&lt;=790,3,IF(INDEX(ERP資料!$G:$G, (MATCH(287, 輔助計算!$G$2:$G$801, 0)+1))&lt;=1181,2,1))))=1,TEXT(INDEX(ERP資料!$G:$G, (MATCH(287, 輔助計算!$G$2:$G$801, 0)+1)),"0.##"),IF(MOD(INDEX(輔助計算!$D:$D, (MATCH(287, 輔助計算!$G$2:$G$801, 0)+1)),IF(INDEX(ERP資料!$G:$G, (MATCH(287, 輔助計算!$G$2:$G$801, 0)+1))&lt;100, IF(INDEX(ERP資料!$G:$G, (MATCH(287, 輔助計算!$G$2:$G$801, 0)+1))&lt;=31,3,IF(INDEX(ERP資料!$G:$G, (MATCH(287, 輔助計算!$G$2:$G$801, 0)+1))&lt;=46.5,2,1)), IF(INDEX(ERP資料!$G:$G, (MATCH(287, 輔助計算!$G$2:$G$801, 0)+1))&lt;=790,3,IF(INDEX(ERP資料!$G:$G, (MATCH(287, 輔助計算!$G$2:$G$801, 0)+1))&lt;=1181,2,1))))=2,TEXT(INDEX(ERP資料!$G:$G, (MATCH(287, 輔助計算!$G$2:$G$801, 0)+1)),"0.##")&amp;"+"&amp;TEXT(INDEX(ERP資料!$G:$G, (MATCH(287, 輔助計算!$G$2:$G$801, 0)+1)),"0.##"),TEXT(INDEX(ERP資料!$G:$G, (MATCH(287, 輔助計算!$G$2:$G$801, 0)+1)),"0.##")&amp;"+"&amp;TEXT(INDEX(ERP資料!$G:$G, (MATCH(287, 輔助計算!$G$2:$G$801, 0)+1)),"0.##")&amp;"+"&amp;TEXT(INDEX(ERP資料!$G:$G, (MATCH(287, 輔助計算!$G$2:$G$801, 0)+1)),"0.##"))))&amp;"-1")), ""), "")</f>
        <v/>
      </c>
      <c r="K288" s="16" t="n"/>
      <c r="L288" s="14">
        <f>IFERROR(IF(AND(IFERROR(INDEX(ERP資料!$A:$A, (MATCH(287, 輔助計算!$G$2:$G$801, 0)+1)), "")&lt;&gt;"", IFERROR(INDEX(ERP資料!$A:$A, (MATCH(287, 輔助計算!$G$2:$G$801, 0)+1)), "")&lt;&gt;IFERROR(INDEX(ERP資料!$A:$A, MATCH(286, 輔助計算!$G$2:$G$801, 0)+1), "")), INDEX(ERP資料!$B:$B, (MATCH(287, 輔助計算!$G$2:$G$801, 0)+1)), ""), "")</f>
        <v/>
      </c>
      <c r="M288" s="17" t="n"/>
    </row>
    <row r="289">
      <c r="A289" s="10">
        <f>IFERROR(IF(AND(IFERROR(INDEX(ERP資料!$A:$A, (MATCH(288, 輔助計算!$G$2:$G$801, 0)+1)), "")&lt;&gt;"", IFERROR(INDEX(ERP資料!$A:$A, (MATCH(288, 輔助計算!$G$2:$G$801, 0)+1)), "")&lt;&gt;IFERROR(INDEX(ERP資料!$A:$A, MATCH(287, 輔助計算!$G$2:$G$801, 0)+1), "")), IFERROR(INDEX(ERP資料!$A:$A, (MATCH(288, 輔助計算!$G$2:$G$801, 0)+1)), ""), ""), "")</f>
        <v/>
      </c>
      <c r="B289" s="10">
        <f>IFERROR(IF(AND(IFERROR(INDEX(ERP資料!$A:$A, (MATCH(288, 輔助計算!$G$2:$G$801, 0)+1)), "")&lt;&gt;"", IFERROR(INDEX(ERP資料!$A:$A, (MATCH(288, 輔助計算!$G$2:$G$801, 0)+1)), "")&lt;&gt;IFERROR(INDEX(ERP資料!$A:$A, MATCH(287, 輔助計算!$G$2:$G$801, 0)+1), "")), INDEX(ERP資料!$S:$S, (MATCH(288, 輔助計算!$G$2:$G$801, 0)+1)), ""), "")</f>
        <v/>
      </c>
      <c r="C289" s="19">
        <f>IFERROR(IF(AND(IFERROR(INDEX(ERP資料!$A:$A, (MATCH(288, 輔助計算!$G$2:$G$801, 0)+1)), "")&lt;&gt;"", IFERROR(INDEX(ERP資料!$A:$A, (MATCH(288, 輔助計算!$G$2:$G$801, 0)+1)), "")&lt;&gt;IFERROR(INDEX(ERP資料!$A:$A, MATCH(287, 輔助計算!$G$2:$G$801, 0)+1), "")), IFERROR(VLOOKUP(LEFT(INDEX(ERP資料!$S:$S, (MATCH(288, 輔助計算!$G$2:$G$801, 0)+1)), 4), 紙管對照表!$A:$C, 3, FALSE), ""), ""), "")</f>
        <v/>
      </c>
      <c r="D289" s="16" t="n"/>
      <c r="E289" s="10">
        <f>IFERROR(IF(INDEX(ERP資料!$H:$H, (MATCH(288, 輔助計算!$G$2:$G$801, 0)+1))="","",INDEX(ERP資料!$H:$H, (MATCH(288, 輔助計算!$G$2:$G$801, 0)+1))), "")</f>
        <v/>
      </c>
      <c r="F289" s="10">
        <f>IFERROR(IF(INDEX(ERP資料!$E:$E, (MATCH(288, 輔助計算!$G$2:$G$801, 0)+1))="","",TRIM(INDEX(ERP資料!$E:$E, (MATCH(288, 輔助計算!$G$2:$G$801, 0)+1)))), "")</f>
        <v/>
      </c>
      <c r="G289" s="10">
        <f>IFERROR(IF(INDEX(ERP資料!$F:$F, (MATCH(288, 輔助計算!$G$2:$G$801, 0)+1))="","",INDEX(ERP資料!$F:$F, (MATCH(288, 輔助計算!$G$2:$G$801, 0)+1))), "")</f>
        <v/>
      </c>
      <c r="H289" s="10">
        <f>IFERROR(IF(INDEX(ERP資料!$G:$G, (MATCH(288, 輔助計算!$G$2:$G$801, 0)+1))="","",INDEX(ERP資料!$G:$G, (MATCH(288, 輔助計算!$G$2:$G$801, 0)+1))), "")</f>
        <v/>
      </c>
      <c r="I289" s="15">
        <f>IFERROR(INDEX(輔助計算!$D:$D, (MATCH(288, 輔助計算!$G$2:$G$801, 0)+1)), "")</f>
        <v/>
      </c>
      <c r="J289" s="15">
        <f>IFERROR(IF(AND(INDEX(輔助計算!$D:$D, (MATCH(288, 輔助計算!$G$2:$G$801, 0)+1))&lt;&gt;"", INDEX(ERP資料!$G:$G, (MATCH(288, 輔助計算!$G$2:$G$801, 0)+1))&lt;&gt;""), TRIM(IF(INT(INDEX(輔助計算!$D:$D, (MATCH(288, 輔助計算!$G$2:$G$801, 0)+1))/IF(INDEX(ERP資料!$G:$G, (MATCH(288, 輔助計算!$G$2:$G$801, 0)+1))&lt;100, IF(INDEX(ERP資料!$G:$G, (MATCH(288, 輔助計算!$G$2:$G$801, 0)+1))&lt;=31,3,IF(INDEX(ERP資料!$G:$G, (MATCH(288, 輔助計算!$G$2:$G$801, 0)+1))&lt;=46.5,2,1)), IF(INDEX(ERP資料!$G:$G, (MATCH(288, 輔助計算!$G$2:$G$801, 0)+1))&lt;=790,3,IF(INDEX(ERP資料!$G:$G, (MATCH(288, 輔助計算!$G$2:$G$801, 0)+1))&lt;=1181,2,1))))&gt;0, IF(IF(INDEX(ERP資料!$G:$G, (MATCH(288, 輔助計算!$G$2:$G$801, 0)+1))&lt;100, IF(INDEX(ERP資料!$G:$G, (MATCH(288, 輔助計算!$G$2:$G$801, 0)+1))&lt;=31,3,IF(INDEX(ERP資料!$G:$G, (MATCH(288, 輔助計算!$G$2:$G$801, 0)+1))&lt;=46.5,2,1)), IF(INDEX(ERP資料!$G:$G, (MATCH(288, 輔助計算!$G$2:$G$801, 0)+1))&lt;=790,3,IF(INDEX(ERP資料!$G:$G, (MATCH(288, 輔助計算!$G$2:$G$801, 0)+1))&lt;=1181,2,1)))=1,TEXT(INDEX(ERP資料!$G:$G, (MATCH(288, 輔助計算!$G$2:$G$801, 0)+1)),"0.##"),IF(IF(INDEX(ERP資料!$G:$G, (MATCH(288, 輔助計算!$G$2:$G$801, 0)+1))&lt;100, IF(INDEX(ERP資料!$G:$G, (MATCH(288, 輔助計算!$G$2:$G$801, 0)+1))&lt;=31,3,IF(INDEX(ERP資料!$G:$G, (MATCH(288, 輔助計算!$G$2:$G$801, 0)+1))&lt;=46.5,2,1)), IF(INDEX(ERP資料!$G:$G, (MATCH(288, 輔助計算!$G$2:$G$801, 0)+1))&lt;=790,3,IF(INDEX(ERP資料!$G:$G, (MATCH(288, 輔助計算!$G$2:$G$801, 0)+1))&lt;=1181,2,1)))=2,TEXT(INDEX(ERP資料!$G:$G, (MATCH(288, 輔助計算!$G$2:$G$801, 0)+1)),"0.##")&amp;"+"&amp;TEXT(INDEX(ERP資料!$G:$G, (MATCH(288, 輔助計算!$G$2:$G$801, 0)+1)),"0.##"),TEXT(INDEX(ERP資料!$G:$G, (MATCH(288, 輔助計算!$G$2:$G$801, 0)+1)),"0.##")&amp;"+"&amp;TEXT(INDEX(ERP資料!$G:$G, (MATCH(288, 輔助計算!$G$2:$G$801, 0)+1)),"0.##")&amp;"+"&amp;TEXT(INDEX(ERP資料!$G:$G, (MATCH(288, 輔助計算!$G$2:$G$801, 0)+1)),"0.##")))&amp;"-"&amp;INT(INDEX(輔助計算!$D:$D, (MATCH(288, 輔助計算!$G$2:$G$801, 0)+1))/IF(INDEX(ERP資料!$G:$G, (MATCH(288, 輔助計算!$G$2:$G$801, 0)+1))&lt;100, IF(INDEX(ERP資料!$G:$G, (MATCH(288, 輔助計算!$G$2:$G$801, 0)+1))&lt;=31,3,IF(INDEX(ERP資料!$G:$G, (MATCH(288, 輔助計算!$G$2:$G$801, 0)+1))&lt;=46.5,2,1)), IF(INDEX(ERP資料!$G:$G, (MATCH(288, 輔助計算!$G$2:$G$801, 0)+1))&lt;=790,3,IF(INDEX(ERP資料!$G:$G, (MATCH(288, 輔助計算!$G$2:$G$801, 0)+1))&lt;=1181,2,1)))), "")&amp;IF(AND(IF(INT(INDEX(輔助計算!$D:$D, (MATCH(288, 輔助計算!$G$2:$G$801, 0)+1))/IF(INDEX(ERP資料!$G:$G, (MATCH(288, 輔助計算!$G$2:$G$801, 0)+1))&lt;100, IF(INDEX(ERP資料!$G:$G, (MATCH(288, 輔助計算!$G$2:$G$801, 0)+1))&lt;=31,3,IF(INDEX(ERP資料!$G:$G, (MATCH(288, 輔助計算!$G$2:$G$801, 0)+1))&lt;=46.5,2,1)), IF(INDEX(ERP資料!$G:$G, (MATCH(288, 輔助計算!$G$2:$G$801, 0)+1))&lt;=790,3,IF(INDEX(ERP資料!$G:$G, (MATCH(288, 輔助計算!$G$2:$G$801, 0)+1))&lt;=1181,2,1))))&gt;0, IF(IF(INDEX(ERP資料!$G:$G, (MATCH(288, 輔助計算!$G$2:$G$801, 0)+1))&lt;100, IF(INDEX(ERP資料!$G:$G, (MATCH(288, 輔助計算!$G$2:$G$801, 0)+1))&lt;=31,3,IF(INDEX(ERP資料!$G:$G, (MATCH(288, 輔助計算!$G$2:$G$801, 0)+1))&lt;=46.5,2,1)), IF(INDEX(ERP資料!$G:$G, (MATCH(288, 輔助計算!$G$2:$G$801, 0)+1))&lt;=790,3,IF(INDEX(ERP資料!$G:$G, (MATCH(288, 輔助計算!$G$2:$G$801, 0)+1))&lt;=1181,2,1)))=1,TEXT(INDEX(ERP資料!$G:$G, (MATCH(288, 輔助計算!$G$2:$G$801, 0)+1)),"0.##"),IF(IF(INDEX(ERP資料!$G:$G, (MATCH(288, 輔助計算!$G$2:$G$801, 0)+1))&lt;100, IF(INDEX(ERP資料!$G:$G, (MATCH(288, 輔助計算!$G$2:$G$801, 0)+1))&lt;=31,3,IF(INDEX(ERP資料!$G:$G, (MATCH(288, 輔助計算!$G$2:$G$801, 0)+1))&lt;=46.5,2,1)), IF(INDEX(ERP資料!$G:$G, (MATCH(288, 輔助計算!$G$2:$G$801, 0)+1))&lt;=790,3,IF(INDEX(ERP資料!$G:$G, (MATCH(288, 輔助計算!$G$2:$G$801, 0)+1))&lt;=1181,2,1)))=2,TEXT(INDEX(ERP資料!$G:$G, (MATCH(288, 輔助計算!$G$2:$G$801, 0)+1)),"0.##")&amp;"+"&amp;TEXT(INDEX(ERP資料!$G:$G, (MATCH(288, 輔助計算!$G$2:$G$801, 0)+1)),"0.##"),TEXT(INDEX(ERP資料!$G:$G, (MATCH(288, 輔助計算!$G$2:$G$801, 0)+1)),"0.##")&amp;"+"&amp;TEXT(INDEX(ERP資料!$G:$G, (MATCH(288, 輔助計算!$G$2:$G$801, 0)+1)),"0.##")&amp;"+"&amp;TEXT(INDEX(ERP資料!$G:$G, (MATCH(288, 輔助計算!$G$2:$G$801, 0)+1)),"0.##")))&amp;"-"&amp;INT(INDEX(輔助計算!$D:$D, (MATCH(288, 輔助計算!$G$2:$G$801, 0)+1))/IF(INDEX(ERP資料!$G:$G, (MATCH(288, 輔助計算!$G$2:$G$801, 0)+1))&lt;100, IF(INDEX(ERP資料!$G:$G, (MATCH(288, 輔助計算!$G$2:$G$801, 0)+1))&lt;=31,3,IF(INDEX(ERP資料!$G:$G, (MATCH(288, 輔助計算!$G$2:$G$801, 0)+1))&lt;=46.5,2,1)), IF(INDEX(ERP資料!$G:$G, (MATCH(288, 輔助計算!$G$2:$G$801, 0)+1))&lt;=790,3,IF(INDEX(ERP資料!$G:$G, (MATCH(288, 輔助計算!$G$2:$G$801, 0)+1))&lt;=1181,2,1)))), "")&lt;&gt;"",IF(MOD(INDEX(輔助計算!$D:$D, (MATCH(288, 輔助計算!$G$2:$G$801, 0)+1)),IF(INDEX(ERP資料!$G:$G, (MATCH(288, 輔助計算!$G$2:$G$801, 0)+1))&lt;100, IF(INDEX(ERP資料!$G:$G, (MATCH(288, 輔助計算!$G$2:$G$801, 0)+1))&lt;=31,3,IF(INDEX(ERP資料!$G:$G, (MATCH(288, 輔助計算!$G$2:$G$801, 0)+1))&lt;=46.5,2,1)), IF(INDEX(ERP資料!$G:$G, (MATCH(288, 輔助計算!$G$2:$G$801, 0)+1))&lt;=790,3,IF(INDEX(ERP資料!$G:$G, (MATCH(288, 輔助計算!$G$2:$G$801, 0)+1))&lt;=1181,2,1))))=0,"",IF(MOD(INDEX(輔助計算!$D:$D, (MATCH(288, 輔助計算!$G$2:$G$801, 0)+1)),IF(INDEX(ERP資料!$G:$G, (MATCH(288, 輔助計算!$G$2:$G$801, 0)+1))&lt;100, IF(INDEX(ERP資料!$G:$G, (MATCH(288, 輔助計算!$G$2:$G$801, 0)+1))&lt;=31,3,IF(INDEX(ERP資料!$G:$G, (MATCH(288, 輔助計算!$G$2:$G$801, 0)+1))&lt;=46.5,2,1)), IF(INDEX(ERP資料!$G:$G, (MATCH(288, 輔助計算!$G$2:$G$801, 0)+1))&lt;=790,3,IF(INDEX(ERP資料!$G:$G, (MATCH(288, 輔助計算!$G$2:$G$801, 0)+1))&lt;=1181,2,1))))=0,"",IF(MOD(INDEX(輔助計算!$D:$D, (MATCH(288, 輔助計算!$G$2:$G$801, 0)+1)),IF(INDEX(ERP資料!$G:$G, (MATCH(288, 輔助計算!$G$2:$G$801, 0)+1))&lt;100, IF(INDEX(ERP資料!$G:$G, (MATCH(288, 輔助計算!$G$2:$G$801, 0)+1))&lt;=31,3,IF(INDEX(ERP資料!$G:$G, (MATCH(288, 輔助計算!$G$2:$G$801, 0)+1))&lt;=46.5,2,1)), IF(INDEX(ERP資料!$G:$G, (MATCH(288, 輔助計算!$G$2:$G$801, 0)+1))&lt;=790,3,IF(INDEX(ERP資料!$G:$G, (MATCH(288, 輔助計算!$G$2:$G$801, 0)+1))&lt;=1181,2,1))))=1,TEXT(INDEX(ERP資料!$G:$G, (MATCH(288, 輔助計算!$G$2:$G$801, 0)+1)),"0.##"),IF(MOD(INDEX(輔助計算!$D:$D, (MATCH(288, 輔助計算!$G$2:$G$801, 0)+1)),IF(INDEX(ERP資料!$G:$G, (MATCH(288, 輔助計算!$G$2:$G$801, 0)+1))&lt;100, IF(INDEX(ERP資料!$G:$G, (MATCH(288, 輔助計算!$G$2:$G$801, 0)+1))&lt;=31,3,IF(INDEX(ERP資料!$G:$G, (MATCH(288, 輔助計算!$G$2:$G$801, 0)+1))&lt;=46.5,2,1)), IF(INDEX(ERP資料!$G:$G, (MATCH(288, 輔助計算!$G$2:$G$801, 0)+1))&lt;=790,3,IF(INDEX(ERP資料!$G:$G, (MATCH(288, 輔助計算!$G$2:$G$801, 0)+1))&lt;=1181,2,1))))=2,TEXT(INDEX(ERP資料!$G:$G, (MATCH(288, 輔助計算!$G$2:$G$801, 0)+1)),"0.##")&amp;"+"&amp;TEXT(INDEX(ERP資料!$G:$G, (MATCH(288, 輔助計算!$G$2:$G$801, 0)+1)),"0.##"),TEXT(INDEX(ERP資料!$G:$G, (MATCH(288, 輔助計算!$G$2:$G$801, 0)+1)),"0.##")&amp;"+"&amp;TEXT(INDEX(ERP資料!$G:$G, (MATCH(288, 輔助計算!$G$2:$G$801, 0)+1)),"0.##")&amp;"+"&amp;TEXT(INDEX(ERP資料!$G:$G, (MATCH(288, 輔助計算!$G$2:$G$801, 0)+1)),"0.##"))))&amp;"-1")&lt;&gt;""),"  ","")&amp;IF(MOD(INDEX(輔助計算!$D:$D, (MATCH(288, 輔助計算!$G$2:$G$801, 0)+1)),IF(INDEX(ERP資料!$G:$G, (MATCH(288, 輔助計算!$G$2:$G$801, 0)+1))&lt;100, IF(INDEX(ERP資料!$G:$G, (MATCH(288, 輔助計算!$G$2:$G$801, 0)+1))&lt;=31,3,IF(INDEX(ERP資料!$G:$G, (MATCH(288, 輔助計算!$G$2:$G$801, 0)+1))&lt;=46.5,2,1)), IF(INDEX(ERP資料!$G:$G, (MATCH(288, 輔助計算!$G$2:$G$801, 0)+1))&lt;=790,3,IF(INDEX(ERP資料!$G:$G, (MATCH(288, 輔助計算!$G$2:$G$801, 0)+1))&lt;=1181,2,1))))=0,"",IF(MOD(INDEX(輔助計算!$D:$D, (MATCH(288, 輔助計算!$G$2:$G$801, 0)+1)),IF(INDEX(ERP資料!$G:$G, (MATCH(288, 輔助計算!$G$2:$G$801, 0)+1))&lt;100, IF(INDEX(ERP資料!$G:$G, (MATCH(288, 輔助計算!$G$2:$G$801, 0)+1))&lt;=31,3,IF(INDEX(ERP資料!$G:$G, (MATCH(288, 輔助計算!$G$2:$G$801, 0)+1))&lt;=46.5,2,1)), IF(INDEX(ERP資料!$G:$G, (MATCH(288, 輔助計算!$G$2:$G$801, 0)+1))&lt;=790,3,IF(INDEX(ERP資料!$G:$G, (MATCH(288, 輔助計算!$G$2:$G$801, 0)+1))&lt;=1181,2,1))))=0,"",IF(MOD(INDEX(輔助計算!$D:$D, (MATCH(288, 輔助計算!$G$2:$G$801, 0)+1)),IF(INDEX(ERP資料!$G:$G, (MATCH(288, 輔助計算!$G$2:$G$801, 0)+1))&lt;100, IF(INDEX(ERP資料!$G:$G, (MATCH(288, 輔助計算!$G$2:$G$801, 0)+1))&lt;=31,3,IF(INDEX(ERP資料!$G:$G, (MATCH(288, 輔助計算!$G$2:$G$801, 0)+1))&lt;=46.5,2,1)), IF(INDEX(ERP資料!$G:$G, (MATCH(288, 輔助計算!$G$2:$G$801, 0)+1))&lt;=790,3,IF(INDEX(ERP資料!$G:$G, (MATCH(288, 輔助計算!$G$2:$G$801, 0)+1))&lt;=1181,2,1))))=1,TEXT(INDEX(ERP資料!$G:$G, (MATCH(288, 輔助計算!$G$2:$G$801, 0)+1)),"0.##"),IF(MOD(INDEX(輔助計算!$D:$D, (MATCH(288, 輔助計算!$G$2:$G$801, 0)+1)),IF(INDEX(ERP資料!$G:$G, (MATCH(288, 輔助計算!$G$2:$G$801, 0)+1))&lt;100, IF(INDEX(ERP資料!$G:$G, (MATCH(288, 輔助計算!$G$2:$G$801, 0)+1))&lt;=31,3,IF(INDEX(ERP資料!$G:$G, (MATCH(288, 輔助計算!$G$2:$G$801, 0)+1))&lt;=46.5,2,1)), IF(INDEX(ERP資料!$G:$G, (MATCH(288, 輔助計算!$G$2:$G$801, 0)+1))&lt;=790,3,IF(INDEX(ERP資料!$G:$G, (MATCH(288, 輔助計算!$G$2:$G$801, 0)+1))&lt;=1181,2,1))))=2,TEXT(INDEX(ERP資料!$G:$G, (MATCH(288, 輔助計算!$G$2:$G$801, 0)+1)),"0.##")&amp;"+"&amp;TEXT(INDEX(ERP資料!$G:$G, (MATCH(288, 輔助計算!$G$2:$G$801, 0)+1)),"0.##"),TEXT(INDEX(ERP資料!$G:$G, (MATCH(288, 輔助計算!$G$2:$G$801, 0)+1)),"0.##")&amp;"+"&amp;TEXT(INDEX(ERP資料!$G:$G, (MATCH(288, 輔助計算!$G$2:$G$801, 0)+1)),"0.##")&amp;"+"&amp;TEXT(INDEX(ERP資料!$G:$G, (MATCH(288, 輔助計算!$G$2:$G$801, 0)+1)),"0.##"))))&amp;"-1")), ""), "")</f>
        <v/>
      </c>
      <c r="K289" s="16" t="n"/>
      <c r="L289" s="14">
        <f>IFERROR(IF(AND(IFERROR(INDEX(ERP資料!$A:$A, (MATCH(288, 輔助計算!$G$2:$G$801, 0)+1)), "")&lt;&gt;"", IFERROR(INDEX(ERP資料!$A:$A, (MATCH(288, 輔助計算!$G$2:$G$801, 0)+1)), "")&lt;&gt;IFERROR(INDEX(ERP資料!$A:$A, MATCH(287, 輔助計算!$G$2:$G$801, 0)+1), "")), INDEX(ERP資料!$B:$B, (MATCH(288, 輔助計算!$G$2:$G$801, 0)+1)), ""), "")</f>
        <v/>
      </c>
      <c r="M289" s="17" t="n"/>
    </row>
    <row r="290">
      <c r="A290" s="10">
        <f>IFERROR(IF(AND(IFERROR(INDEX(ERP資料!$A:$A, (MATCH(289, 輔助計算!$G$2:$G$801, 0)+1)), "")&lt;&gt;"", IFERROR(INDEX(ERP資料!$A:$A, (MATCH(289, 輔助計算!$G$2:$G$801, 0)+1)), "")&lt;&gt;IFERROR(INDEX(ERP資料!$A:$A, MATCH(288, 輔助計算!$G$2:$G$801, 0)+1), "")), IFERROR(INDEX(ERP資料!$A:$A, (MATCH(289, 輔助計算!$G$2:$G$801, 0)+1)), ""), ""), "")</f>
        <v/>
      </c>
      <c r="B290" s="10">
        <f>IFERROR(IF(AND(IFERROR(INDEX(ERP資料!$A:$A, (MATCH(289, 輔助計算!$G$2:$G$801, 0)+1)), "")&lt;&gt;"", IFERROR(INDEX(ERP資料!$A:$A, (MATCH(289, 輔助計算!$G$2:$G$801, 0)+1)), "")&lt;&gt;IFERROR(INDEX(ERP資料!$A:$A, MATCH(288, 輔助計算!$G$2:$G$801, 0)+1), "")), INDEX(ERP資料!$S:$S, (MATCH(289, 輔助計算!$G$2:$G$801, 0)+1)), ""), "")</f>
        <v/>
      </c>
      <c r="C290" s="19">
        <f>IFERROR(IF(AND(IFERROR(INDEX(ERP資料!$A:$A, (MATCH(289, 輔助計算!$G$2:$G$801, 0)+1)), "")&lt;&gt;"", IFERROR(INDEX(ERP資料!$A:$A, (MATCH(289, 輔助計算!$G$2:$G$801, 0)+1)), "")&lt;&gt;IFERROR(INDEX(ERP資料!$A:$A, MATCH(288, 輔助計算!$G$2:$G$801, 0)+1), "")), IFERROR(VLOOKUP(LEFT(INDEX(ERP資料!$S:$S, (MATCH(289, 輔助計算!$G$2:$G$801, 0)+1)), 4), 紙管對照表!$A:$C, 3, FALSE), ""), ""), "")</f>
        <v/>
      </c>
      <c r="D290" s="16" t="n"/>
      <c r="E290" s="10">
        <f>IFERROR(IF(INDEX(ERP資料!$H:$H, (MATCH(289, 輔助計算!$G$2:$G$801, 0)+1))="","",INDEX(ERP資料!$H:$H, (MATCH(289, 輔助計算!$G$2:$G$801, 0)+1))), "")</f>
        <v/>
      </c>
      <c r="F290" s="10">
        <f>IFERROR(IF(INDEX(ERP資料!$E:$E, (MATCH(289, 輔助計算!$G$2:$G$801, 0)+1))="","",TRIM(INDEX(ERP資料!$E:$E, (MATCH(289, 輔助計算!$G$2:$G$801, 0)+1)))), "")</f>
        <v/>
      </c>
      <c r="G290" s="10">
        <f>IFERROR(IF(INDEX(ERP資料!$F:$F, (MATCH(289, 輔助計算!$G$2:$G$801, 0)+1))="","",INDEX(ERP資料!$F:$F, (MATCH(289, 輔助計算!$G$2:$G$801, 0)+1))), "")</f>
        <v/>
      </c>
      <c r="H290" s="10">
        <f>IFERROR(IF(INDEX(ERP資料!$G:$G, (MATCH(289, 輔助計算!$G$2:$G$801, 0)+1))="","",INDEX(ERP資料!$G:$G, (MATCH(289, 輔助計算!$G$2:$G$801, 0)+1))), "")</f>
        <v/>
      </c>
      <c r="I290" s="15">
        <f>IFERROR(INDEX(輔助計算!$D:$D, (MATCH(289, 輔助計算!$G$2:$G$801, 0)+1)), "")</f>
        <v/>
      </c>
      <c r="J290" s="15">
        <f>IFERROR(IF(AND(INDEX(輔助計算!$D:$D, (MATCH(289, 輔助計算!$G$2:$G$801, 0)+1))&lt;&gt;"", INDEX(ERP資料!$G:$G, (MATCH(289, 輔助計算!$G$2:$G$801, 0)+1))&lt;&gt;""), TRIM(IF(INT(INDEX(輔助計算!$D:$D, (MATCH(289, 輔助計算!$G$2:$G$801, 0)+1))/IF(INDEX(ERP資料!$G:$G, (MATCH(289, 輔助計算!$G$2:$G$801, 0)+1))&lt;100, IF(INDEX(ERP資料!$G:$G, (MATCH(289, 輔助計算!$G$2:$G$801, 0)+1))&lt;=31,3,IF(INDEX(ERP資料!$G:$G, (MATCH(289, 輔助計算!$G$2:$G$801, 0)+1))&lt;=46.5,2,1)), IF(INDEX(ERP資料!$G:$G, (MATCH(289, 輔助計算!$G$2:$G$801, 0)+1))&lt;=790,3,IF(INDEX(ERP資料!$G:$G, (MATCH(289, 輔助計算!$G$2:$G$801, 0)+1))&lt;=1181,2,1))))&gt;0, IF(IF(INDEX(ERP資料!$G:$G, (MATCH(289, 輔助計算!$G$2:$G$801, 0)+1))&lt;100, IF(INDEX(ERP資料!$G:$G, (MATCH(289, 輔助計算!$G$2:$G$801, 0)+1))&lt;=31,3,IF(INDEX(ERP資料!$G:$G, (MATCH(289, 輔助計算!$G$2:$G$801, 0)+1))&lt;=46.5,2,1)), IF(INDEX(ERP資料!$G:$G, (MATCH(289, 輔助計算!$G$2:$G$801, 0)+1))&lt;=790,3,IF(INDEX(ERP資料!$G:$G, (MATCH(289, 輔助計算!$G$2:$G$801, 0)+1))&lt;=1181,2,1)))=1,TEXT(INDEX(ERP資料!$G:$G, (MATCH(289, 輔助計算!$G$2:$G$801, 0)+1)),"0.##"),IF(IF(INDEX(ERP資料!$G:$G, (MATCH(289, 輔助計算!$G$2:$G$801, 0)+1))&lt;100, IF(INDEX(ERP資料!$G:$G, (MATCH(289, 輔助計算!$G$2:$G$801, 0)+1))&lt;=31,3,IF(INDEX(ERP資料!$G:$G, (MATCH(289, 輔助計算!$G$2:$G$801, 0)+1))&lt;=46.5,2,1)), IF(INDEX(ERP資料!$G:$G, (MATCH(289, 輔助計算!$G$2:$G$801, 0)+1))&lt;=790,3,IF(INDEX(ERP資料!$G:$G, (MATCH(289, 輔助計算!$G$2:$G$801, 0)+1))&lt;=1181,2,1)))=2,TEXT(INDEX(ERP資料!$G:$G, (MATCH(289, 輔助計算!$G$2:$G$801, 0)+1)),"0.##")&amp;"+"&amp;TEXT(INDEX(ERP資料!$G:$G, (MATCH(289, 輔助計算!$G$2:$G$801, 0)+1)),"0.##"),TEXT(INDEX(ERP資料!$G:$G, (MATCH(289, 輔助計算!$G$2:$G$801, 0)+1)),"0.##")&amp;"+"&amp;TEXT(INDEX(ERP資料!$G:$G, (MATCH(289, 輔助計算!$G$2:$G$801, 0)+1)),"0.##")&amp;"+"&amp;TEXT(INDEX(ERP資料!$G:$G, (MATCH(289, 輔助計算!$G$2:$G$801, 0)+1)),"0.##")))&amp;"-"&amp;INT(INDEX(輔助計算!$D:$D, (MATCH(289, 輔助計算!$G$2:$G$801, 0)+1))/IF(INDEX(ERP資料!$G:$G, (MATCH(289, 輔助計算!$G$2:$G$801, 0)+1))&lt;100, IF(INDEX(ERP資料!$G:$G, (MATCH(289, 輔助計算!$G$2:$G$801, 0)+1))&lt;=31,3,IF(INDEX(ERP資料!$G:$G, (MATCH(289, 輔助計算!$G$2:$G$801, 0)+1))&lt;=46.5,2,1)), IF(INDEX(ERP資料!$G:$G, (MATCH(289, 輔助計算!$G$2:$G$801, 0)+1))&lt;=790,3,IF(INDEX(ERP資料!$G:$G, (MATCH(289, 輔助計算!$G$2:$G$801, 0)+1))&lt;=1181,2,1)))), "")&amp;IF(AND(IF(INT(INDEX(輔助計算!$D:$D, (MATCH(289, 輔助計算!$G$2:$G$801, 0)+1))/IF(INDEX(ERP資料!$G:$G, (MATCH(289, 輔助計算!$G$2:$G$801, 0)+1))&lt;100, IF(INDEX(ERP資料!$G:$G, (MATCH(289, 輔助計算!$G$2:$G$801, 0)+1))&lt;=31,3,IF(INDEX(ERP資料!$G:$G, (MATCH(289, 輔助計算!$G$2:$G$801, 0)+1))&lt;=46.5,2,1)), IF(INDEX(ERP資料!$G:$G, (MATCH(289, 輔助計算!$G$2:$G$801, 0)+1))&lt;=790,3,IF(INDEX(ERP資料!$G:$G, (MATCH(289, 輔助計算!$G$2:$G$801, 0)+1))&lt;=1181,2,1))))&gt;0, IF(IF(INDEX(ERP資料!$G:$G, (MATCH(289, 輔助計算!$G$2:$G$801, 0)+1))&lt;100, IF(INDEX(ERP資料!$G:$G, (MATCH(289, 輔助計算!$G$2:$G$801, 0)+1))&lt;=31,3,IF(INDEX(ERP資料!$G:$G, (MATCH(289, 輔助計算!$G$2:$G$801, 0)+1))&lt;=46.5,2,1)), IF(INDEX(ERP資料!$G:$G, (MATCH(289, 輔助計算!$G$2:$G$801, 0)+1))&lt;=790,3,IF(INDEX(ERP資料!$G:$G, (MATCH(289, 輔助計算!$G$2:$G$801, 0)+1))&lt;=1181,2,1)))=1,TEXT(INDEX(ERP資料!$G:$G, (MATCH(289, 輔助計算!$G$2:$G$801, 0)+1)),"0.##"),IF(IF(INDEX(ERP資料!$G:$G, (MATCH(289, 輔助計算!$G$2:$G$801, 0)+1))&lt;100, IF(INDEX(ERP資料!$G:$G, (MATCH(289, 輔助計算!$G$2:$G$801, 0)+1))&lt;=31,3,IF(INDEX(ERP資料!$G:$G, (MATCH(289, 輔助計算!$G$2:$G$801, 0)+1))&lt;=46.5,2,1)), IF(INDEX(ERP資料!$G:$G, (MATCH(289, 輔助計算!$G$2:$G$801, 0)+1))&lt;=790,3,IF(INDEX(ERP資料!$G:$G, (MATCH(289, 輔助計算!$G$2:$G$801, 0)+1))&lt;=1181,2,1)))=2,TEXT(INDEX(ERP資料!$G:$G, (MATCH(289, 輔助計算!$G$2:$G$801, 0)+1)),"0.##")&amp;"+"&amp;TEXT(INDEX(ERP資料!$G:$G, (MATCH(289, 輔助計算!$G$2:$G$801, 0)+1)),"0.##"),TEXT(INDEX(ERP資料!$G:$G, (MATCH(289, 輔助計算!$G$2:$G$801, 0)+1)),"0.##")&amp;"+"&amp;TEXT(INDEX(ERP資料!$G:$G, (MATCH(289, 輔助計算!$G$2:$G$801, 0)+1)),"0.##")&amp;"+"&amp;TEXT(INDEX(ERP資料!$G:$G, (MATCH(289, 輔助計算!$G$2:$G$801, 0)+1)),"0.##")))&amp;"-"&amp;INT(INDEX(輔助計算!$D:$D, (MATCH(289, 輔助計算!$G$2:$G$801, 0)+1))/IF(INDEX(ERP資料!$G:$G, (MATCH(289, 輔助計算!$G$2:$G$801, 0)+1))&lt;100, IF(INDEX(ERP資料!$G:$G, (MATCH(289, 輔助計算!$G$2:$G$801, 0)+1))&lt;=31,3,IF(INDEX(ERP資料!$G:$G, (MATCH(289, 輔助計算!$G$2:$G$801, 0)+1))&lt;=46.5,2,1)), IF(INDEX(ERP資料!$G:$G, (MATCH(289, 輔助計算!$G$2:$G$801, 0)+1))&lt;=790,3,IF(INDEX(ERP資料!$G:$G, (MATCH(289, 輔助計算!$G$2:$G$801, 0)+1))&lt;=1181,2,1)))), "")&lt;&gt;"",IF(MOD(INDEX(輔助計算!$D:$D, (MATCH(289, 輔助計算!$G$2:$G$801, 0)+1)),IF(INDEX(ERP資料!$G:$G, (MATCH(289, 輔助計算!$G$2:$G$801, 0)+1))&lt;100, IF(INDEX(ERP資料!$G:$G, (MATCH(289, 輔助計算!$G$2:$G$801, 0)+1))&lt;=31,3,IF(INDEX(ERP資料!$G:$G, (MATCH(289, 輔助計算!$G$2:$G$801, 0)+1))&lt;=46.5,2,1)), IF(INDEX(ERP資料!$G:$G, (MATCH(289, 輔助計算!$G$2:$G$801, 0)+1))&lt;=790,3,IF(INDEX(ERP資料!$G:$G, (MATCH(289, 輔助計算!$G$2:$G$801, 0)+1))&lt;=1181,2,1))))=0,"",IF(MOD(INDEX(輔助計算!$D:$D, (MATCH(289, 輔助計算!$G$2:$G$801, 0)+1)),IF(INDEX(ERP資料!$G:$G, (MATCH(289, 輔助計算!$G$2:$G$801, 0)+1))&lt;100, IF(INDEX(ERP資料!$G:$G, (MATCH(289, 輔助計算!$G$2:$G$801, 0)+1))&lt;=31,3,IF(INDEX(ERP資料!$G:$G, (MATCH(289, 輔助計算!$G$2:$G$801, 0)+1))&lt;=46.5,2,1)), IF(INDEX(ERP資料!$G:$G, (MATCH(289, 輔助計算!$G$2:$G$801, 0)+1))&lt;=790,3,IF(INDEX(ERP資料!$G:$G, (MATCH(289, 輔助計算!$G$2:$G$801, 0)+1))&lt;=1181,2,1))))=0,"",IF(MOD(INDEX(輔助計算!$D:$D, (MATCH(289, 輔助計算!$G$2:$G$801, 0)+1)),IF(INDEX(ERP資料!$G:$G, (MATCH(289, 輔助計算!$G$2:$G$801, 0)+1))&lt;100, IF(INDEX(ERP資料!$G:$G, (MATCH(289, 輔助計算!$G$2:$G$801, 0)+1))&lt;=31,3,IF(INDEX(ERP資料!$G:$G, (MATCH(289, 輔助計算!$G$2:$G$801, 0)+1))&lt;=46.5,2,1)), IF(INDEX(ERP資料!$G:$G, (MATCH(289, 輔助計算!$G$2:$G$801, 0)+1))&lt;=790,3,IF(INDEX(ERP資料!$G:$G, (MATCH(289, 輔助計算!$G$2:$G$801, 0)+1))&lt;=1181,2,1))))=1,TEXT(INDEX(ERP資料!$G:$G, (MATCH(289, 輔助計算!$G$2:$G$801, 0)+1)),"0.##"),IF(MOD(INDEX(輔助計算!$D:$D, (MATCH(289, 輔助計算!$G$2:$G$801, 0)+1)),IF(INDEX(ERP資料!$G:$G, (MATCH(289, 輔助計算!$G$2:$G$801, 0)+1))&lt;100, IF(INDEX(ERP資料!$G:$G, (MATCH(289, 輔助計算!$G$2:$G$801, 0)+1))&lt;=31,3,IF(INDEX(ERP資料!$G:$G, (MATCH(289, 輔助計算!$G$2:$G$801, 0)+1))&lt;=46.5,2,1)), IF(INDEX(ERP資料!$G:$G, (MATCH(289, 輔助計算!$G$2:$G$801, 0)+1))&lt;=790,3,IF(INDEX(ERP資料!$G:$G, (MATCH(289, 輔助計算!$G$2:$G$801, 0)+1))&lt;=1181,2,1))))=2,TEXT(INDEX(ERP資料!$G:$G, (MATCH(289, 輔助計算!$G$2:$G$801, 0)+1)),"0.##")&amp;"+"&amp;TEXT(INDEX(ERP資料!$G:$G, (MATCH(289, 輔助計算!$G$2:$G$801, 0)+1)),"0.##"),TEXT(INDEX(ERP資料!$G:$G, (MATCH(289, 輔助計算!$G$2:$G$801, 0)+1)),"0.##")&amp;"+"&amp;TEXT(INDEX(ERP資料!$G:$G, (MATCH(289, 輔助計算!$G$2:$G$801, 0)+1)),"0.##")&amp;"+"&amp;TEXT(INDEX(ERP資料!$G:$G, (MATCH(289, 輔助計算!$G$2:$G$801, 0)+1)),"0.##"))))&amp;"-1")&lt;&gt;""),"  ","")&amp;IF(MOD(INDEX(輔助計算!$D:$D, (MATCH(289, 輔助計算!$G$2:$G$801, 0)+1)),IF(INDEX(ERP資料!$G:$G, (MATCH(289, 輔助計算!$G$2:$G$801, 0)+1))&lt;100, IF(INDEX(ERP資料!$G:$G, (MATCH(289, 輔助計算!$G$2:$G$801, 0)+1))&lt;=31,3,IF(INDEX(ERP資料!$G:$G, (MATCH(289, 輔助計算!$G$2:$G$801, 0)+1))&lt;=46.5,2,1)), IF(INDEX(ERP資料!$G:$G, (MATCH(289, 輔助計算!$G$2:$G$801, 0)+1))&lt;=790,3,IF(INDEX(ERP資料!$G:$G, (MATCH(289, 輔助計算!$G$2:$G$801, 0)+1))&lt;=1181,2,1))))=0,"",IF(MOD(INDEX(輔助計算!$D:$D, (MATCH(289, 輔助計算!$G$2:$G$801, 0)+1)),IF(INDEX(ERP資料!$G:$G, (MATCH(289, 輔助計算!$G$2:$G$801, 0)+1))&lt;100, IF(INDEX(ERP資料!$G:$G, (MATCH(289, 輔助計算!$G$2:$G$801, 0)+1))&lt;=31,3,IF(INDEX(ERP資料!$G:$G, (MATCH(289, 輔助計算!$G$2:$G$801, 0)+1))&lt;=46.5,2,1)), IF(INDEX(ERP資料!$G:$G, (MATCH(289, 輔助計算!$G$2:$G$801, 0)+1))&lt;=790,3,IF(INDEX(ERP資料!$G:$G, (MATCH(289, 輔助計算!$G$2:$G$801, 0)+1))&lt;=1181,2,1))))=0,"",IF(MOD(INDEX(輔助計算!$D:$D, (MATCH(289, 輔助計算!$G$2:$G$801, 0)+1)),IF(INDEX(ERP資料!$G:$G, (MATCH(289, 輔助計算!$G$2:$G$801, 0)+1))&lt;100, IF(INDEX(ERP資料!$G:$G, (MATCH(289, 輔助計算!$G$2:$G$801, 0)+1))&lt;=31,3,IF(INDEX(ERP資料!$G:$G, (MATCH(289, 輔助計算!$G$2:$G$801, 0)+1))&lt;=46.5,2,1)), IF(INDEX(ERP資料!$G:$G, (MATCH(289, 輔助計算!$G$2:$G$801, 0)+1))&lt;=790,3,IF(INDEX(ERP資料!$G:$G, (MATCH(289, 輔助計算!$G$2:$G$801, 0)+1))&lt;=1181,2,1))))=1,TEXT(INDEX(ERP資料!$G:$G, (MATCH(289, 輔助計算!$G$2:$G$801, 0)+1)),"0.##"),IF(MOD(INDEX(輔助計算!$D:$D, (MATCH(289, 輔助計算!$G$2:$G$801, 0)+1)),IF(INDEX(ERP資料!$G:$G, (MATCH(289, 輔助計算!$G$2:$G$801, 0)+1))&lt;100, IF(INDEX(ERP資料!$G:$G, (MATCH(289, 輔助計算!$G$2:$G$801, 0)+1))&lt;=31,3,IF(INDEX(ERP資料!$G:$G, (MATCH(289, 輔助計算!$G$2:$G$801, 0)+1))&lt;=46.5,2,1)), IF(INDEX(ERP資料!$G:$G, (MATCH(289, 輔助計算!$G$2:$G$801, 0)+1))&lt;=790,3,IF(INDEX(ERP資料!$G:$G, (MATCH(289, 輔助計算!$G$2:$G$801, 0)+1))&lt;=1181,2,1))))=2,TEXT(INDEX(ERP資料!$G:$G, (MATCH(289, 輔助計算!$G$2:$G$801, 0)+1)),"0.##")&amp;"+"&amp;TEXT(INDEX(ERP資料!$G:$G, (MATCH(289, 輔助計算!$G$2:$G$801, 0)+1)),"0.##"),TEXT(INDEX(ERP資料!$G:$G, (MATCH(289, 輔助計算!$G$2:$G$801, 0)+1)),"0.##")&amp;"+"&amp;TEXT(INDEX(ERP資料!$G:$G, (MATCH(289, 輔助計算!$G$2:$G$801, 0)+1)),"0.##")&amp;"+"&amp;TEXT(INDEX(ERP資料!$G:$G, (MATCH(289, 輔助計算!$G$2:$G$801, 0)+1)),"0.##"))))&amp;"-1")), ""), "")</f>
        <v/>
      </c>
      <c r="K290" s="16" t="n"/>
      <c r="L290" s="14">
        <f>IFERROR(IF(AND(IFERROR(INDEX(ERP資料!$A:$A, (MATCH(289, 輔助計算!$G$2:$G$801, 0)+1)), "")&lt;&gt;"", IFERROR(INDEX(ERP資料!$A:$A, (MATCH(289, 輔助計算!$G$2:$G$801, 0)+1)), "")&lt;&gt;IFERROR(INDEX(ERP資料!$A:$A, MATCH(288, 輔助計算!$G$2:$G$801, 0)+1), "")), INDEX(ERP資料!$B:$B, (MATCH(289, 輔助計算!$G$2:$G$801, 0)+1)), ""), "")</f>
        <v/>
      </c>
      <c r="M290" s="17" t="n"/>
    </row>
    <row r="291">
      <c r="A291" s="10">
        <f>IFERROR(IF(AND(IFERROR(INDEX(ERP資料!$A:$A, (MATCH(290, 輔助計算!$G$2:$G$801, 0)+1)), "")&lt;&gt;"", IFERROR(INDEX(ERP資料!$A:$A, (MATCH(290, 輔助計算!$G$2:$G$801, 0)+1)), "")&lt;&gt;IFERROR(INDEX(ERP資料!$A:$A, MATCH(289, 輔助計算!$G$2:$G$801, 0)+1), "")), IFERROR(INDEX(ERP資料!$A:$A, (MATCH(290, 輔助計算!$G$2:$G$801, 0)+1)), ""), ""), "")</f>
        <v/>
      </c>
      <c r="B291" s="10">
        <f>IFERROR(IF(AND(IFERROR(INDEX(ERP資料!$A:$A, (MATCH(290, 輔助計算!$G$2:$G$801, 0)+1)), "")&lt;&gt;"", IFERROR(INDEX(ERP資料!$A:$A, (MATCH(290, 輔助計算!$G$2:$G$801, 0)+1)), "")&lt;&gt;IFERROR(INDEX(ERP資料!$A:$A, MATCH(289, 輔助計算!$G$2:$G$801, 0)+1), "")), INDEX(ERP資料!$S:$S, (MATCH(290, 輔助計算!$G$2:$G$801, 0)+1)), ""), "")</f>
        <v/>
      </c>
      <c r="C291" s="19">
        <f>IFERROR(IF(AND(IFERROR(INDEX(ERP資料!$A:$A, (MATCH(290, 輔助計算!$G$2:$G$801, 0)+1)), "")&lt;&gt;"", IFERROR(INDEX(ERP資料!$A:$A, (MATCH(290, 輔助計算!$G$2:$G$801, 0)+1)), "")&lt;&gt;IFERROR(INDEX(ERP資料!$A:$A, MATCH(289, 輔助計算!$G$2:$G$801, 0)+1), "")), IFERROR(VLOOKUP(LEFT(INDEX(ERP資料!$S:$S, (MATCH(290, 輔助計算!$G$2:$G$801, 0)+1)), 4), 紙管對照表!$A:$C, 3, FALSE), ""), ""), "")</f>
        <v/>
      </c>
      <c r="D291" s="16" t="n"/>
      <c r="E291" s="10">
        <f>IFERROR(IF(INDEX(ERP資料!$H:$H, (MATCH(290, 輔助計算!$G$2:$G$801, 0)+1))="","",INDEX(ERP資料!$H:$H, (MATCH(290, 輔助計算!$G$2:$G$801, 0)+1))), "")</f>
        <v/>
      </c>
      <c r="F291" s="10">
        <f>IFERROR(IF(INDEX(ERP資料!$E:$E, (MATCH(290, 輔助計算!$G$2:$G$801, 0)+1))="","",TRIM(INDEX(ERP資料!$E:$E, (MATCH(290, 輔助計算!$G$2:$G$801, 0)+1)))), "")</f>
        <v/>
      </c>
      <c r="G291" s="10">
        <f>IFERROR(IF(INDEX(ERP資料!$F:$F, (MATCH(290, 輔助計算!$G$2:$G$801, 0)+1))="","",INDEX(ERP資料!$F:$F, (MATCH(290, 輔助計算!$G$2:$G$801, 0)+1))), "")</f>
        <v/>
      </c>
      <c r="H291" s="10">
        <f>IFERROR(IF(INDEX(ERP資料!$G:$G, (MATCH(290, 輔助計算!$G$2:$G$801, 0)+1))="","",INDEX(ERP資料!$G:$G, (MATCH(290, 輔助計算!$G$2:$G$801, 0)+1))), "")</f>
        <v/>
      </c>
      <c r="I291" s="15">
        <f>IFERROR(INDEX(輔助計算!$D:$D, (MATCH(290, 輔助計算!$G$2:$G$801, 0)+1)), "")</f>
        <v/>
      </c>
      <c r="J291" s="15">
        <f>IFERROR(IF(AND(INDEX(輔助計算!$D:$D, (MATCH(290, 輔助計算!$G$2:$G$801, 0)+1))&lt;&gt;"", INDEX(ERP資料!$G:$G, (MATCH(290, 輔助計算!$G$2:$G$801, 0)+1))&lt;&gt;""), TRIM(IF(INT(INDEX(輔助計算!$D:$D, (MATCH(290, 輔助計算!$G$2:$G$801, 0)+1))/IF(INDEX(ERP資料!$G:$G, (MATCH(290, 輔助計算!$G$2:$G$801, 0)+1))&lt;100, IF(INDEX(ERP資料!$G:$G, (MATCH(290, 輔助計算!$G$2:$G$801, 0)+1))&lt;=31,3,IF(INDEX(ERP資料!$G:$G, (MATCH(290, 輔助計算!$G$2:$G$801, 0)+1))&lt;=46.5,2,1)), IF(INDEX(ERP資料!$G:$G, (MATCH(290, 輔助計算!$G$2:$G$801, 0)+1))&lt;=790,3,IF(INDEX(ERP資料!$G:$G, (MATCH(290, 輔助計算!$G$2:$G$801, 0)+1))&lt;=1181,2,1))))&gt;0, IF(IF(INDEX(ERP資料!$G:$G, (MATCH(290, 輔助計算!$G$2:$G$801, 0)+1))&lt;100, IF(INDEX(ERP資料!$G:$G, (MATCH(290, 輔助計算!$G$2:$G$801, 0)+1))&lt;=31,3,IF(INDEX(ERP資料!$G:$G, (MATCH(290, 輔助計算!$G$2:$G$801, 0)+1))&lt;=46.5,2,1)), IF(INDEX(ERP資料!$G:$G, (MATCH(290, 輔助計算!$G$2:$G$801, 0)+1))&lt;=790,3,IF(INDEX(ERP資料!$G:$G, (MATCH(290, 輔助計算!$G$2:$G$801, 0)+1))&lt;=1181,2,1)))=1,TEXT(INDEX(ERP資料!$G:$G, (MATCH(290, 輔助計算!$G$2:$G$801, 0)+1)),"0.##"),IF(IF(INDEX(ERP資料!$G:$G, (MATCH(290, 輔助計算!$G$2:$G$801, 0)+1))&lt;100, IF(INDEX(ERP資料!$G:$G, (MATCH(290, 輔助計算!$G$2:$G$801, 0)+1))&lt;=31,3,IF(INDEX(ERP資料!$G:$G, (MATCH(290, 輔助計算!$G$2:$G$801, 0)+1))&lt;=46.5,2,1)), IF(INDEX(ERP資料!$G:$G, (MATCH(290, 輔助計算!$G$2:$G$801, 0)+1))&lt;=790,3,IF(INDEX(ERP資料!$G:$G, (MATCH(290, 輔助計算!$G$2:$G$801, 0)+1))&lt;=1181,2,1)))=2,TEXT(INDEX(ERP資料!$G:$G, (MATCH(290, 輔助計算!$G$2:$G$801, 0)+1)),"0.##")&amp;"+"&amp;TEXT(INDEX(ERP資料!$G:$G, (MATCH(290, 輔助計算!$G$2:$G$801, 0)+1)),"0.##"),TEXT(INDEX(ERP資料!$G:$G, (MATCH(290, 輔助計算!$G$2:$G$801, 0)+1)),"0.##")&amp;"+"&amp;TEXT(INDEX(ERP資料!$G:$G, (MATCH(290, 輔助計算!$G$2:$G$801, 0)+1)),"0.##")&amp;"+"&amp;TEXT(INDEX(ERP資料!$G:$G, (MATCH(290, 輔助計算!$G$2:$G$801, 0)+1)),"0.##")))&amp;"-"&amp;INT(INDEX(輔助計算!$D:$D, (MATCH(290, 輔助計算!$G$2:$G$801, 0)+1))/IF(INDEX(ERP資料!$G:$G, (MATCH(290, 輔助計算!$G$2:$G$801, 0)+1))&lt;100, IF(INDEX(ERP資料!$G:$G, (MATCH(290, 輔助計算!$G$2:$G$801, 0)+1))&lt;=31,3,IF(INDEX(ERP資料!$G:$G, (MATCH(290, 輔助計算!$G$2:$G$801, 0)+1))&lt;=46.5,2,1)), IF(INDEX(ERP資料!$G:$G, (MATCH(290, 輔助計算!$G$2:$G$801, 0)+1))&lt;=790,3,IF(INDEX(ERP資料!$G:$G, (MATCH(290, 輔助計算!$G$2:$G$801, 0)+1))&lt;=1181,2,1)))), "")&amp;IF(AND(IF(INT(INDEX(輔助計算!$D:$D, (MATCH(290, 輔助計算!$G$2:$G$801, 0)+1))/IF(INDEX(ERP資料!$G:$G, (MATCH(290, 輔助計算!$G$2:$G$801, 0)+1))&lt;100, IF(INDEX(ERP資料!$G:$G, (MATCH(290, 輔助計算!$G$2:$G$801, 0)+1))&lt;=31,3,IF(INDEX(ERP資料!$G:$G, (MATCH(290, 輔助計算!$G$2:$G$801, 0)+1))&lt;=46.5,2,1)), IF(INDEX(ERP資料!$G:$G, (MATCH(290, 輔助計算!$G$2:$G$801, 0)+1))&lt;=790,3,IF(INDEX(ERP資料!$G:$G, (MATCH(290, 輔助計算!$G$2:$G$801, 0)+1))&lt;=1181,2,1))))&gt;0, IF(IF(INDEX(ERP資料!$G:$G, (MATCH(290, 輔助計算!$G$2:$G$801, 0)+1))&lt;100, IF(INDEX(ERP資料!$G:$G, (MATCH(290, 輔助計算!$G$2:$G$801, 0)+1))&lt;=31,3,IF(INDEX(ERP資料!$G:$G, (MATCH(290, 輔助計算!$G$2:$G$801, 0)+1))&lt;=46.5,2,1)), IF(INDEX(ERP資料!$G:$G, (MATCH(290, 輔助計算!$G$2:$G$801, 0)+1))&lt;=790,3,IF(INDEX(ERP資料!$G:$G, (MATCH(290, 輔助計算!$G$2:$G$801, 0)+1))&lt;=1181,2,1)))=1,TEXT(INDEX(ERP資料!$G:$G, (MATCH(290, 輔助計算!$G$2:$G$801, 0)+1)),"0.##"),IF(IF(INDEX(ERP資料!$G:$G, (MATCH(290, 輔助計算!$G$2:$G$801, 0)+1))&lt;100, IF(INDEX(ERP資料!$G:$G, (MATCH(290, 輔助計算!$G$2:$G$801, 0)+1))&lt;=31,3,IF(INDEX(ERP資料!$G:$G, (MATCH(290, 輔助計算!$G$2:$G$801, 0)+1))&lt;=46.5,2,1)), IF(INDEX(ERP資料!$G:$G, (MATCH(290, 輔助計算!$G$2:$G$801, 0)+1))&lt;=790,3,IF(INDEX(ERP資料!$G:$G, (MATCH(290, 輔助計算!$G$2:$G$801, 0)+1))&lt;=1181,2,1)))=2,TEXT(INDEX(ERP資料!$G:$G, (MATCH(290, 輔助計算!$G$2:$G$801, 0)+1)),"0.##")&amp;"+"&amp;TEXT(INDEX(ERP資料!$G:$G, (MATCH(290, 輔助計算!$G$2:$G$801, 0)+1)),"0.##"),TEXT(INDEX(ERP資料!$G:$G, (MATCH(290, 輔助計算!$G$2:$G$801, 0)+1)),"0.##")&amp;"+"&amp;TEXT(INDEX(ERP資料!$G:$G, (MATCH(290, 輔助計算!$G$2:$G$801, 0)+1)),"0.##")&amp;"+"&amp;TEXT(INDEX(ERP資料!$G:$G, (MATCH(290, 輔助計算!$G$2:$G$801, 0)+1)),"0.##")))&amp;"-"&amp;INT(INDEX(輔助計算!$D:$D, (MATCH(290, 輔助計算!$G$2:$G$801, 0)+1))/IF(INDEX(ERP資料!$G:$G, (MATCH(290, 輔助計算!$G$2:$G$801, 0)+1))&lt;100, IF(INDEX(ERP資料!$G:$G, (MATCH(290, 輔助計算!$G$2:$G$801, 0)+1))&lt;=31,3,IF(INDEX(ERP資料!$G:$G, (MATCH(290, 輔助計算!$G$2:$G$801, 0)+1))&lt;=46.5,2,1)), IF(INDEX(ERP資料!$G:$G, (MATCH(290, 輔助計算!$G$2:$G$801, 0)+1))&lt;=790,3,IF(INDEX(ERP資料!$G:$G, (MATCH(290, 輔助計算!$G$2:$G$801, 0)+1))&lt;=1181,2,1)))), "")&lt;&gt;"",IF(MOD(INDEX(輔助計算!$D:$D, (MATCH(290, 輔助計算!$G$2:$G$801, 0)+1)),IF(INDEX(ERP資料!$G:$G, (MATCH(290, 輔助計算!$G$2:$G$801, 0)+1))&lt;100, IF(INDEX(ERP資料!$G:$G, (MATCH(290, 輔助計算!$G$2:$G$801, 0)+1))&lt;=31,3,IF(INDEX(ERP資料!$G:$G, (MATCH(290, 輔助計算!$G$2:$G$801, 0)+1))&lt;=46.5,2,1)), IF(INDEX(ERP資料!$G:$G, (MATCH(290, 輔助計算!$G$2:$G$801, 0)+1))&lt;=790,3,IF(INDEX(ERP資料!$G:$G, (MATCH(290, 輔助計算!$G$2:$G$801, 0)+1))&lt;=1181,2,1))))=0,"",IF(MOD(INDEX(輔助計算!$D:$D, (MATCH(290, 輔助計算!$G$2:$G$801, 0)+1)),IF(INDEX(ERP資料!$G:$G, (MATCH(290, 輔助計算!$G$2:$G$801, 0)+1))&lt;100, IF(INDEX(ERP資料!$G:$G, (MATCH(290, 輔助計算!$G$2:$G$801, 0)+1))&lt;=31,3,IF(INDEX(ERP資料!$G:$G, (MATCH(290, 輔助計算!$G$2:$G$801, 0)+1))&lt;=46.5,2,1)), IF(INDEX(ERP資料!$G:$G, (MATCH(290, 輔助計算!$G$2:$G$801, 0)+1))&lt;=790,3,IF(INDEX(ERP資料!$G:$G, (MATCH(290, 輔助計算!$G$2:$G$801, 0)+1))&lt;=1181,2,1))))=0,"",IF(MOD(INDEX(輔助計算!$D:$D, (MATCH(290, 輔助計算!$G$2:$G$801, 0)+1)),IF(INDEX(ERP資料!$G:$G, (MATCH(290, 輔助計算!$G$2:$G$801, 0)+1))&lt;100, IF(INDEX(ERP資料!$G:$G, (MATCH(290, 輔助計算!$G$2:$G$801, 0)+1))&lt;=31,3,IF(INDEX(ERP資料!$G:$G, (MATCH(290, 輔助計算!$G$2:$G$801, 0)+1))&lt;=46.5,2,1)), IF(INDEX(ERP資料!$G:$G, (MATCH(290, 輔助計算!$G$2:$G$801, 0)+1))&lt;=790,3,IF(INDEX(ERP資料!$G:$G, (MATCH(290, 輔助計算!$G$2:$G$801, 0)+1))&lt;=1181,2,1))))=1,TEXT(INDEX(ERP資料!$G:$G, (MATCH(290, 輔助計算!$G$2:$G$801, 0)+1)),"0.##"),IF(MOD(INDEX(輔助計算!$D:$D, (MATCH(290, 輔助計算!$G$2:$G$801, 0)+1)),IF(INDEX(ERP資料!$G:$G, (MATCH(290, 輔助計算!$G$2:$G$801, 0)+1))&lt;100, IF(INDEX(ERP資料!$G:$G, (MATCH(290, 輔助計算!$G$2:$G$801, 0)+1))&lt;=31,3,IF(INDEX(ERP資料!$G:$G, (MATCH(290, 輔助計算!$G$2:$G$801, 0)+1))&lt;=46.5,2,1)), IF(INDEX(ERP資料!$G:$G, (MATCH(290, 輔助計算!$G$2:$G$801, 0)+1))&lt;=790,3,IF(INDEX(ERP資料!$G:$G, (MATCH(290, 輔助計算!$G$2:$G$801, 0)+1))&lt;=1181,2,1))))=2,TEXT(INDEX(ERP資料!$G:$G, (MATCH(290, 輔助計算!$G$2:$G$801, 0)+1)),"0.##")&amp;"+"&amp;TEXT(INDEX(ERP資料!$G:$G, (MATCH(290, 輔助計算!$G$2:$G$801, 0)+1)),"0.##"),TEXT(INDEX(ERP資料!$G:$G, (MATCH(290, 輔助計算!$G$2:$G$801, 0)+1)),"0.##")&amp;"+"&amp;TEXT(INDEX(ERP資料!$G:$G, (MATCH(290, 輔助計算!$G$2:$G$801, 0)+1)),"0.##")&amp;"+"&amp;TEXT(INDEX(ERP資料!$G:$G, (MATCH(290, 輔助計算!$G$2:$G$801, 0)+1)),"0.##"))))&amp;"-1")&lt;&gt;""),"  ","")&amp;IF(MOD(INDEX(輔助計算!$D:$D, (MATCH(290, 輔助計算!$G$2:$G$801, 0)+1)),IF(INDEX(ERP資料!$G:$G, (MATCH(290, 輔助計算!$G$2:$G$801, 0)+1))&lt;100, IF(INDEX(ERP資料!$G:$G, (MATCH(290, 輔助計算!$G$2:$G$801, 0)+1))&lt;=31,3,IF(INDEX(ERP資料!$G:$G, (MATCH(290, 輔助計算!$G$2:$G$801, 0)+1))&lt;=46.5,2,1)), IF(INDEX(ERP資料!$G:$G, (MATCH(290, 輔助計算!$G$2:$G$801, 0)+1))&lt;=790,3,IF(INDEX(ERP資料!$G:$G, (MATCH(290, 輔助計算!$G$2:$G$801, 0)+1))&lt;=1181,2,1))))=0,"",IF(MOD(INDEX(輔助計算!$D:$D, (MATCH(290, 輔助計算!$G$2:$G$801, 0)+1)),IF(INDEX(ERP資料!$G:$G, (MATCH(290, 輔助計算!$G$2:$G$801, 0)+1))&lt;100, IF(INDEX(ERP資料!$G:$G, (MATCH(290, 輔助計算!$G$2:$G$801, 0)+1))&lt;=31,3,IF(INDEX(ERP資料!$G:$G, (MATCH(290, 輔助計算!$G$2:$G$801, 0)+1))&lt;=46.5,2,1)), IF(INDEX(ERP資料!$G:$G, (MATCH(290, 輔助計算!$G$2:$G$801, 0)+1))&lt;=790,3,IF(INDEX(ERP資料!$G:$G, (MATCH(290, 輔助計算!$G$2:$G$801, 0)+1))&lt;=1181,2,1))))=0,"",IF(MOD(INDEX(輔助計算!$D:$D, (MATCH(290, 輔助計算!$G$2:$G$801, 0)+1)),IF(INDEX(ERP資料!$G:$G, (MATCH(290, 輔助計算!$G$2:$G$801, 0)+1))&lt;100, IF(INDEX(ERP資料!$G:$G, (MATCH(290, 輔助計算!$G$2:$G$801, 0)+1))&lt;=31,3,IF(INDEX(ERP資料!$G:$G, (MATCH(290, 輔助計算!$G$2:$G$801, 0)+1))&lt;=46.5,2,1)), IF(INDEX(ERP資料!$G:$G, (MATCH(290, 輔助計算!$G$2:$G$801, 0)+1))&lt;=790,3,IF(INDEX(ERP資料!$G:$G, (MATCH(290, 輔助計算!$G$2:$G$801, 0)+1))&lt;=1181,2,1))))=1,TEXT(INDEX(ERP資料!$G:$G, (MATCH(290, 輔助計算!$G$2:$G$801, 0)+1)),"0.##"),IF(MOD(INDEX(輔助計算!$D:$D, (MATCH(290, 輔助計算!$G$2:$G$801, 0)+1)),IF(INDEX(ERP資料!$G:$G, (MATCH(290, 輔助計算!$G$2:$G$801, 0)+1))&lt;100, IF(INDEX(ERP資料!$G:$G, (MATCH(290, 輔助計算!$G$2:$G$801, 0)+1))&lt;=31,3,IF(INDEX(ERP資料!$G:$G, (MATCH(290, 輔助計算!$G$2:$G$801, 0)+1))&lt;=46.5,2,1)), IF(INDEX(ERP資料!$G:$G, (MATCH(290, 輔助計算!$G$2:$G$801, 0)+1))&lt;=790,3,IF(INDEX(ERP資料!$G:$G, (MATCH(290, 輔助計算!$G$2:$G$801, 0)+1))&lt;=1181,2,1))))=2,TEXT(INDEX(ERP資料!$G:$G, (MATCH(290, 輔助計算!$G$2:$G$801, 0)+1)),"0.##")&amp;"+"&amp;TEXT(INDEX(ERP資料!$G:$G, (MATCH(290, 輔助計算!$G$2:$G$801, 0)+1)),"0.##"),TEXT(INDEX(ERP資料!$G:$G, (MATCH(290, 輔助計算!$G$2:$G$801, 0)+1)),"0.##")&amp;"+"&amp;TEXT(INDEX(ERP資料!$G:$G, (MATCH(290, 輔助計算!$G$2:$G$801, 0)+1)),"0.##")&amp;"+"&amp;TEXT(INDEX(ERP資料!$G:$G, (MATCH(290, 輔助計算!$G$2:$G$801, 0)+1)),"0.##"))))&amp;"-1")), ""), "")</f>
        <v/>
      </c>
      <c r="K291" s="16" t="n"/>
      <c r="L291" s="14">
        <f>IFERROR(IF(AND(IFERROR(INDEX(ERP資料!$A:$A, (MATCH(290, 輔助計算!$G$2:$G$801, 0)+1)), "")&lt;&gt;"", IFERROR(INDEX(ERP資料!$A:$A, (MATCH(290, 輔助計算!$G$2:$G$801, 0)+1)), "")&lt;&gt;IFERROR(INDEX(ERP資料!$A:$A, MATCH(289, 輔助計算!$G$2:$G$801, 0)+1), "")), INDEX(ERP資料!$B:$B, (MATCH(290, 輔助計算!$G$2:$G$801, 0)+1)), ""), "")</f>
        <v/>
      </c>
      <c r="M291" s="17" t="n"/>
    </row>
    <row r="292">
      <c r="A292" s="10">
        <f>IFERROR(IF(AND(IFERROR(INDEX(ERP資料!$A:$A, (MATCH(291, 輔助計算!$G$2:$G$801, 0)+1)), "")&lt;&gt;"", IFERROR(INDEX(ERP資料!$A:$A, (MATCH(291, 輔助計算!$G$2:$G$801, 0)+1)), "")&lt;&gt;IFERROR(INDEX(ERP資料!$A:$A, MATCH(290, 輔助計算!$G$2:$G$801, 0)+1), "")), IFERROR(INDEX(ERP資料!$A:$A, (MATCH(291, 輔助計算!$G$2:$G$801, 0)+1)), ""), ""), "")</f>
        <v/>
      </c>
      <c r="B292" s="10">
        <f>IFERROR(IF(AND(IFERROR(INDEX(ERP資料!$A:$A, (MATCH(291, 輔助計算!$G$2:$G$801, 0)+1)), "")&lt;&gt;"", IFERROR(INDEX(ERP資料!$A:$A, (MATCH(291, 輔助計算!$G$2:$G$801, 0)+1)), "")&lt;&gt;IFERROR(INDEX(ERP資料!$A:$A, MATCH(290, 輔助計算!$G$2:$G$801, 0)+1), "")), INDEX(ERP資料!$S:$S, (MATCH(291, 輔助計算!$G$2:$G$801, 0)+1)), ""), "")</f>
        <v/>
      </c>
      <c r="C292" s="19">
        <f>IFERROR(IF(AND(IFERROR(INDEX(ERP資料!$A:$A, (MATCH(291, 輔助計算!$G$2:$G$801, 0)+1)), "")&lt;&gt;"", IFERROR(INDEX(ERP資料!$A:$A, (MATCH(291, 輔助計算!$G$2:$G$801, 0)+1)), "")&lt;&gt;IFERROR(INDEX(ERP資料!$A:$A, MATCH(290, 輔助計算!$G$2:$G$801, 0)+1), "")), IFERROR(VLOOKUP(LEFT(INDEX(ERP資料!$S:$S, (MATCH(291, 輔助計算!$G$2:$G$801, 0)+1)), 4), 紙管對照表!$A:$C, 3, FALSE), ""), ""), "")</f>
        <v/>
      </c>
      <c r="D292" s="16" t="n"/>
      <c r="E292" s="10">
        <f>IFERROR(IF(INDEX(ERP資料!$H:$H, (MATCH(291, 輔助計算!$G$2:$G$801, 0)+1))="","",INDEX(ERP資料!$H:$H, (MATCH(291, 輔助計算!$G$2:$G$801, 0)+1))), "")</f>
        <v/>
      </c>
      <c r="F292" s="10">
        <f>IFERROR(IF(INDEX(ERP資料!$E:$E, (MATCH(291, 輔助計算!$G$2:$G$801, 0)+1))="","",TRIM(INDEX(ERP資料!$E:$E, (MATCH(291, 輔助計算!$G$2:$G$801, 0)+1)))), "")</f>
        <v/>
      </c>
      <c r="G292" s="10">
        <f>IFERROR(IF(INDEX(ERP資料!$F:$F, (MATCH(291, 輔助計算!$G$2:$G$801, 0)+1))="","",INDEX(ERP資料!$F:$F, (MATCH(291, 輔助計算!$G$2:$G$801, 0)+1))), "")</f>
        <v/>
      </c>
      <c r="H292" s="10">
        <f>IFERROR(IF(INDEX(ERP資料!$G:$G, (MATCH(291, 輔助計算!$G$2:$G$801, 0)+1))="","",INDEX(ERP資料!$G:$G, (MATCH(291, 輔助計算!$G$2:$G$801, 0)+1))), "")</f>
        <v/>
      </c>
      <c r="I292" s="15">
        <f>IFERROR(INDEX(輔助計算!$D:$D, (MATCH(291, 輔助計算!$G$2:$G$801, 0)+1)), "")</f>
        <v/>
      </c>
      <c r="J292" s="15">
        <f>IFERROR(IF(AND(INDEX(輔助計算!$D:$D, (MATCH(291, 輔助計算!$G$2:$G$801, 0)+1))&lt;&gt;"", INDEX(ERP資料!$G:$G, (MATCH(291, 輔助計算!$G$2:$G$801, 0)+1))&lt;&gt;""), TRIM(IF(INT(INDEX(輔助計算!$D:$D, (MATCH(291, 輔助計算!$G$2:$G$801, 0)+1))/IF(INDEX(ERP資料!$G:$G, (MATCH(291, 輔助計算!$G$2:$G$801, 0)+1))&lt;100, IF(INDEX(ERP資料!$G:$G, (MATCH(291, 輔助計算!$G$2:$G$801, 0)+1))&lt;=31,3,IF(INDEX(ERP資料!$G:$G, (MATCH(291, 輔助計算!$G$2:$G$801, 0)+1))&lt;=46.5,2,1)), IF(INDEX(ERP資料!$G:$G, (MATCH(291, 輔助計算!$G$2:$G$801, 0)+1))&lt;=790,3,IF(INDEX(ERP資料!$G:$G, (MATCH(291, 輔助計算!$G$2:$G$801, 0)+1))&lt;=1181,2,1))))&gt;0, IF(IF(INDEX(ERP資料!$G:$G, (MATCH(291, 輔助計算!$G$2:$G$801, 0)+1))&lt;100, IF(INDEX(ERP資料!$G:$G, (MATCH(291, 輔助計算!$G$2:$G$801, 0)+1))&lt;=31,3,IF(INDEX(ERP資料!$G:$G, (MATCH(291, 輔助計算!$G$2:$G$801, 0)+1))&lt;=46.5,2,1)), IF(INDEX(ERP資料!$G:$G, (MATCH(291, 輔助計算!$G$2:$G$801, 0)+1))&lt;=790,3,IF(INDEX(ERP資料!$G:$G, (MATCH(291, 輔助計算!$G$2:$G$801, 0)+1))&lt;=1181,2,1)))=1,TEXT(INDEX(ERP資料!$G:$G, (MATCH(291, 輔助計算!$G$2:$G$801, 0)+1)),"0.##"),IF(IF(INDEX(ERP資料!$G:$G, (MATCH(291, 輔助計算!$G$2:$G$801, 0)+1))&lt;100, IF(INDEX(ERP資料!$G:$G, (MATCH(291, 輔助計算!$G$2:$G$801, 0)+1))&lt;=31,3,IF(INDEX(ERP資料!$G:$G, (MATCH(291, 輔助計算!$G$2:$G$801, 0)+1))&lt;=46.5,2,1)), IF(INDEX(ERP資料!$G:$G, (MATCH(291, 輔助計算!$G$2:$G$801, 0)+1))&lt;=790,3,IF(INDEX(ERP資料!$G:$G, (MATCH(291, 輔助計算!$G$2:$G$801, 0)+1))&lt;=1181,2,1)))=2,TEXT(INDEX(ERP資料!$G:$G, (MATCH(291, 輔助計算!$G$2:$G$801, 0)+1)),"0.##")&amp;"+"&amp;TEXT(INDEX(ERP資料!$G:$G, (MATCH(291, 輔助計算!$G$2:$G$801, 0)+1)),"0.##"),TEXT(INDEX(ERP資料!$G:$G, (MATCH(291, 輔助計算!$G$2:$G$801, 0)+1)),"0.##")&amp;"+"&amp;TEXT(INDEX(ERP資料!$G:$G, (MATCH(291, 輔助計算!$G$2:$G$801, 0)+1)),"0.##")&amp;"+"&amp;TEXT(INDEX(ERP資料!$G:$G, (MATCH(291, 輔助計算!$G$2:$G$801, 0)+1)),"0.##")))&amp;"-"&amp;INT(INDEX(輔助計算!$D:$D, (MATCH(291, 輔助計算!$G$2:$G$801, 0)+1))/IF(INDEX(ERP資料!$G:$G, (MATCH(291, 輔助計算!$G$2:$G$801, 0)+1))&lt;100, IF(INDEX(ERP資料!$G:$G, (MATCH(291, 輔助計算!$G$2:$G$801, 0)+1))&lt;=31,3,IF(INDEX(ERP資料!$G:$G, (MATCH(291, 輔助計算!$G$2:$G$801, 0)+1))&lt;=46.5,2,1)), IF(INDEX(ERP資料!$G:$G, (MATCH(291, 輔助計算!$G$2:$G$801, 0)+1))&lt;=790,3,IF(INDEX(ERP資料!$G:$G, (MATCH(291, 輔助計算!$G$2:$G$801, 0)+1))&lt;=1181,2,1)))), "")&amp;IF(AND(IF(INT(INDEX(輔助計算!$D:$D, (MATCH(291, 輔助計算!$G$2:$G$801, 0)+1))/IF(INDEX(ERP資料!$G:$G, (MATCH(291, 輔助計算!$G$2:$G$801, 0)+1))&lt;100, IF(INDEX(ERP資料!$G:$G, (MATCH(291, 輔助計算!$G$2:$G$801, 0)+1))&lt;=31,3,IF(INDEX(ERP資料!$G:$G, (MATCH(291, 輔助計算!$G$2:$G$801, 0)+1))&lt;=46.5,2,1)), IF(INDEX(ERP資料!$G:$G, (MATCH(291, 輔助計算!$G$2:$G$801, 0)+1))&lt;=790,3,IF(INDEX(ERP資料!$G:$G, (MATCH(291, 輔助計算!$G$2:$G$801, 0)+1))&lt;=1181,2,1))))&gt;0, IF(IF(INDEX(ERP資料!$G:$G, (MATCH(291, 輔助計算!$G$2:$G$801, 0)+1))&lt;100, IF(INDEX(ERP資料!$G:$G, (MATCH(291, 輔助計算!$G$2:$G$801, 0)+1))&lt;=31,3,IF(INDEX(ERP資料!$G:$G, (MATCH(291, 輔助計算!$G$2:$G$801, 0)+1))&lt;=46.5,2,1)), IF(INDEX(ERP資料!$G:$G, (MATCH(291, 輔助計算!$G$2:$G$801, 0)+1))&lt;=790,3,IF(INDEX(ERP資料!$G:$G, (MATCH(291, 輔助計算!$G$2:$G$801, 0)+1))&lt;=1181,2,1)))=1,TEXT(INDEX(ERP資料!$G:$G, (MATCH(291, 輔助計算!$G$2:$G$801, 0)+1)),"0.##"),IF(IF(INDEX(ERP資料!$G:$G, (MATCH(291, 輔助計算!$G$2:$G$801, 0)+1))&lt;100, IF(INDEX(ERP資料!$G:$G, (MATCH(291, 輔助計算!$G$2:$G$801, 0)+1))&lt;=31,3,IF(INDEX(ERP資料!$G:$G, (MATCH(291, 輔助計算!$G$2:$G$801, 0)+1))&lt;=46.5,2,1)), IF(INDEX(ERP資料!$G:$G, (MATCH(291, 輔助計算!$G$2:$G$801, 0)+1))&lt;=790,3,IF(INDEX(ERP資料!$G:$G, (MATCH(291, 輔助計算!$G$2:$G$801, 0)+1))&lt;=1181,2,1)))=2,TEXT(INDEX(ERP資料!$G:$G, (MATCH(291, 輔助計算!$G$2:$G$801, 0)+1)),"0.##")&amp;"+"&amp;TEXT(INDEX(ERP資料!$G:$G, (MATCH(291, 輔助計算!$G$2:$G$801, 0)+1)),"0.##"),TEXT(INDEX(ERP資料!$G:$G, (MATCH(291, 輔助計算!$G$2:$G$801, 0)+1)),"0.##")&amp;"+"&amp;TEXT(INDEX(ERP資料!$G:$G, (MATCH(291, 輔助計算!$G$2:$G$801, 0)+1)),"0.##")&amp;"+"&amp;TEXT(INDEX(ERP資料!$G:$G, (MATCH(291, 輔助計算!$G$2:$G$801, 0)+1)),"0.##")))&amp;"-"&amp;INT(INDEX(輔助計算!$D:$D, (MATCH(291, 輔助計算!$G$2:$G$801, 0)+1))/IF(INDEX(ERP資料!$G:$G, (MATCH(291, 輔助計算!$G$2:$G$801, 0)+1))&lt;100, IF(INDEX(ERP資料!$G:$G, (MATCH(291, 輔助計算!$G$2:$G$801, 0)+1))&lt;=31,3,IF(INDEX(ERP資料!$G:$G, (MATCH(291, 輔助計算!$G$2:$G$801, 0)+1))&lt;=46.5,2,1)), IF(INDEX(ERP資料!$G:$G, (MATCH(291, 輔助計算!$G$2:$G$801, 0)+1))&lt;=790,3,IF(INDEX(ERP資料!$G:$G, (MATCH(291, 輔助計算!$G$2:$G$801, 0)+1))&lt;=1181,2,1)))), "")&lt;&gt;"",IF(MOD(INDEX(輔助計算!$D:$D, (MATCH(291, 輔助計算!$G$2:$G$801, 0)+1)),IF(INDEX(ERP資料!$G:$G, (MATCH(291, 輔助計算!$G$2:$G$801, 0)+1))&lt;100, IF(INDEX(ERP資料!$G:$G, (MATCH(291, 輔助計算!$G$2:$G$801, 0)+1))&lt;=31,3,IF(INDEX(ERP資料!$G:$G, (MATCH(291, 輔助計算!$G$2:$G$801, 0)+1))&lt;=46.5,2,1)), IF(INDEX(ERP資料!$G:$G, (MATCH(291, 輔助計算!$G$2:$G$801, 0)+1))&lt;=790,3,IF(INDEX(ERP資料!$G:$G, (MATCH(291, 輔助計算!$G$2:$G$801, 0)+1))&lt;=1181,2,1))))=0,"",IF(MOD(INDEX(輔助計算!$D:$D, (MATCH(291, 輔助計算!$G$2:$G$801, 0)+1)),IF(INDEX(ERP資料!$G:$G, (MATCH(291, 輔助計算!$G$2:$G$801, 0)+1))&lt;100, IF(INDEX(ERP資料!$G:$G, (MATCH(291, 輔助計算!$G$2:$G$801, 0)+1))&lt;=31,3,IF(INDEX(ERP資料!$G:$G, (MATCH(291, 輔助計算!$G$2:$G$801, 0)+1))&lt;=46.5,2,1)), IF(INDEX(ERP資料!$G:$G, (MATCH(291, 輔助計算!$G$2:$G$801, 0)+1))&lt;=790,3,IF(INDEX(ERP資料!$G:$G, (MATCH(291, 輔助計算!$G$2:$G$801, 0)+1))&lt;=1181,2,1))))=0,"",IF(MOD(INDEX(輔助計算!$D:$D, (MATCH(291, 輔助計算!$G$2:$G$801, 0)+1)),IF(INDEX(ERP資料!$G:$G, (MATCH(291, 輔助計算!$G$2:$G$801, 0)+1))&lt;100, IF(INDEX(ERP資料!$G:$G, (MATCH(291, 輔助計算!$G$2:$G$801, 0)+1))&lt;=31,3,IF(INDEX(ERP資料!$G:$G, (MATCH(291, 輔助計算!$G$2:$G$801, 0)+1))&lt;=46.5,2,1)), IF(INDEX(ERP資料!$G:$G, (MATCH(291, 輔助計算!$G$2:$G$801, 0)+1))&lt;=790,3,IF(INDEX(ERP資料!$G:$G, (MATCH(291, 輔助計算!$G$2:$G$801, 0)+1))&lt;=1181,2,1))))=1,TEXT(INDEX(ERP資料!$G:$G, (MATCH(291, 輔助計算!$G$2:$G$801, 0)+1)),"0.##"),IF(MOD(INDEX(輔助計算!$D:$D, (MATCH(291, 輔助計算!$G$2:$G$801, 0)+1)),IF(INDEX(ERP資料!$G:$G, (MATCH(291, 輔助計算!$G$2:$G$801, 0)+1))&lt;100, IF(INDEX(ERP資料!$G:$G, (MATCH(291, 輔助計算!$G$2:$G$801, 0)+1))&lt;=31,3,IF(INDEX(ERP資料!$G:$G, (MATCH(291, 輔助計算!$G$2:$G$801, 0)+1))&lt;=46.5,2,1)), IF(INDEX(ERP資料!$G:$G, (MATCH(291, 輔助計算!$G$2:$G$801, 0)+1))&lt;=790,3,IF(INDEX(ERP資料!$G:$G, (MATCH(291, 輔助計算!$G$2:$G$801, 0)+1))&lt;=1181,2,1))))=2,TEXT(INDEX(ERP資料!$G:$G, (MATCH(291, 輔助計算!$G$2:$G$801, 0)+1)),"0.##")&amp;"+"&amp;TEXT(INDEX(ERP資料!$G:$G, (MATCH(291, 輔助計算!$G$2:$G$801, 0)+1)),"0.##"),TEXT(INDEX(ERP資料!$G:$G, (MATCH(291, 輔助計算!$G$2:$G$801, 0)+1)),"0.##")&amp;"+"&amp;TEXT(INDEX(ERP資料!$G:$G, (MATCH(291, 輔助計算!$G$2:$G$801, 0)+1)),"0.##")&amp;"+"&amp;TEXT(INDEX(ERP資料!$G:$G, (MATCH(291, 輔助計算!$G$2:$G$801, 0)+1)),"0.##"))))&amp;"-1")&lt;&gt;""),"  ","")&amp;IF(MOD(INDEX(輔助計算!$D:$D, (MATCH(291, 輔助計算!$G$2:$G$801, 0)+1)),IF(INDEX(ERP資料!$G:$G, (MATCH(291, 輔助計算!$G$2:$G$801, 0)+1))&lt;100, IF(INDEX(ERP資料!$G:$G, (MATCH(291, 輔助計算!$G$2:$G$801, 0)+1))&lt;=31,3,IF(INDEX(ERP資料!$G:$G, (MATCH(291, 輔助計算!$G$2:$G$801, 0)+1))&lt;=46.5,2,1)), IF(INDEX(ERP資料!$G:$G, (MATCH(291, 輔助計算!$G$2:$G$801, 0)+1))&lt;=790,3,IF(INDEX(ERP資料!$G:$G, (MATCH(291, 輔助計算!$G$2:$G$801, 0)+1))&lt;=1181,2,1))))=0,"",IF(MOD(INDEX(輔助計算!$D:$D, (MATCH(291, 輔助計算!$G$2:$G$801, 0)+1)),IF(INDEX(ERP資料!$G:$G, (MATCH(291, 輔助計算!$G$2:$G$801, 0)+1))&lt;100, IF(INDEX(ERP資料!$G:$G, (MATCH(291, 輔助計算!$G$2:$G$801, 0)+1))&lt;=31,3,IF(INDEX(ERP資料!$G:$G, (MATCH(291, 輔助計算!$G$2:$G$801, 0)+1))&lt;=46.5,2,1)), IF(INDEX(ERP資料!$G:$G, (MATCH(291, 輔助計算!$G$2:$G$801, 0)+1))&lt;=790,3,IF(INDEX(ERP資料!$G:$G, (MATCH(291, 輔助計算!$G$2:$G$801, 0)+1))&lt;=1181,2,1))))=0,"",IF(MOD(INDEX(輔助計算!$D:$D, (MATCH(291, 輔助計算!$G$2:$G$801, 0)+1)),IF(INDEX(ERP資料!$G:$G, (MATCH(291, 輔助計算!$G$2:$G$801, 0)+1))&lt;100, IF(INDEX(ERP資料!$G:$G, (MATCH(291, 輔助計算!$G$2:$G$801, 0)+1))&lt;=31,3,IF(INDEX(ERP資料!$G:$G, (MATCH(291, 輔助計算!$G$2:$G$801, 0)+1))&lt;=46.5,2,1)), IF(INDEX(ERP資料!$G:$G, (MATCH(291, 輔助計算!$G$2:$G$801, 0)+1))&lt;=790,3,IF(INDEX(ERP資料!$G:$G, (MATCH(291, 輔助計算!$G$2:$G$801, 0)+1))&lt;=1181,2,1))))=1,TEXT(INDEX(ERP資料!$G:$G, (MATCH(291, 輔助計算!$G$2:$G$801, 0)+1)),"0.##"),IF(MOD(INDEX(輔助計算!$D:$D, (MATCH(291, 輔助計算!$G$2:$G$801, 0)+1)),IF(INDEX(ERP資料!$G:$G, (MATCH(291, 輔助計算!$G$2:$G$801, 0)+1))&lt;100, IF(INDEX(ERP資料!$G:$G, (MATCH(291, 輔助計算!$G$2:$G$801, 0)+1))&lt;=31,3,IF(INDEX(ERP資料!$G:$G, (MATCH(291, 輔助計算!$G$2:$G$801, 0)+1))&lt;=46.5,2,1)), IF(INDEX(ERP資料!$G:$G, (MATCH(291, 輔助計算!$G$2:$G$801, 0)+1))&lt;=790,3,IF(INDEX(ERP資料!$G:$G, (MATCH(291, 輔助計算!$G$2:$G$801, 0)+1))&lt;=1181,2,1))))=2,TEXT(INDEX(ERP資料!$G:$G, (MATCH(291, 輔助計算!$G$2:$G$801, 0)+1)),"0.##")&amp;"+"&amp;TEXT(INDEX(ERP資料!$G:$G, (MATCH(291, 輔助計算!$G$2:$G$801, 0)+1)),"0.##"),TEXT(INDEX(ERP資料!$G:$G, (MATCH(291, 輔助計算!$G$2:$G$801, 0)+1)),"0.##")&amp;"+"&amp;TEXT(INDEX(ERP資料!$G:$G, (MATCH(291, 輔助計算!$G$2:$G$801, 0)+1)),"0.##")&amp;"+"&amp;TEXT(INDEX(ERP資料!$G:$G, (MATCH(291, 輔助計算!$G$2:$G$801, 0)+1)),"0.##"))))&amp;"-1")), ""), "")</f>
        <v/>
      </c>
      <c r="K292" s="16" t="n"/>
      <c r="L292" s="14">
        <f>IFERROR(IF(AND(IFERROR(INDEX(ERP資料!$A:$A, (MATCH(291, 輔助計算!$G$2:$G$801, 0)+1)), "")&lt;&gt;"", IFERROR(INDEX(ERP資料!$A:$A, (MATCH(291, 輔助計算!$G$2:$G$801, 0)+1)), "")&lt;&gt;IFERROR(INDEX(ERP資料!$A:$A, MATCH(290, 輔助計算!$G$2:$G$801, 0)+1), "")), INDEX(ERP資料!$B:$B, (MATCH(291, 輔助計算!$G$2:$G$801, 0)+1)), ""), "")</f>
        <v/>
      </c>
      <c r="M292" s="17" t="n"/>
    </row>
    <row r="293">
      <c r="A293" s="10">
        <f>IFERROR(IF(AND(IFERROR(INDEX(ERP資料!$A:$A, (MATCH(292, 輔助計算!$G$2:$G$801, 0)+1)), "")&lt;&gt;"", IFERROR(INDEX(ERP資料!$A:$A, (MATCH(292, 輔助計算!$G$2:$G$801, 0)+1)), "")&lt;&gt;IFERROR(INDEX(ERP資料!$A:$A, MATCH(291, 輔助計算!$G$2:$G$801, 0)+1), "")), IFERROR(INDEX(ERP資料!$A:$A, (MATCH(292, 輔助計算!$G$2:$G$801, 0)+1)), ""), ""), "")</f>
        <v/>
      </c>
      <c r="B293" s="10">
        <f>IFERROR(IF(AND(IFERROR(INDEX(ERP資料!$A:$A, (MATCH(292, 輔助計算!$G$2:$G$801, 0)+1)), "")&lt;&gt;"", IFERROR(INDEX(ERP資料!$A:$A, (MATCH(292, 輔助計算!$G$2:$G$801, 0)+1)), "")&lt;&gt;IFERROR(INDEX(ERP資料!$A:$A, MATCH(291, 輔助計算!$G$2:$G$801, 0)+1), "")), INDEX(ERP資料!$S:$S, (MATCH(292, 輔助計算!$G$2:$G$801, 0)+1)), ""), "")</f>
        <v/>
      </c>
      <c r="C293" s="19">
        <f>IFERROR(IF(AND(IFERROR(INDEX(ERP資料!$A:$A, (MATCH(292, 輔助計算!$G$2:$G$801, 0)+1)), "")&lt;&gt;"", IFERROR(INDEX(ERP資料!$A:$A, (MATCH(292, 輔助計算!$G$2:$G$801, 0)+1)), "")&lt;&gt;IFERROR(INDEX(ERP資料!$A:$A, MATCH(291, 輔助計算!$G$2:$G$801, 0)+1), "")), IFERROR(VLOOKUP(LEFT(INDEX(ERP資料!$S:$S, (MATCH(292, 輔助計算!$G$2:$G$801, 0)+1)), 4), 紙管對照表!$A:$C, 3, FALSE), ""), ""), "")</f>
        <v/>
      </c>
      <c r="D293" s="16" t="n"/>
      <c r="E293" s="10">
        <f>IFERROR(IF(INDEX(ERP資料!$H:$H, (MATCH(292, 輔助計算!$G$2:$G$801, 0)+1))="","",INDEX(ERP資料!$H:$H, (MATCH(292, 輔助計算!$G$2:$G$801, 0)+1))), "")</f>
        <v/>
      </c>
      <c r="F293" s="10">
        <f>IFERROR(IF(INDEX(ERP資料!$E:$E, (MATCH(292, 輔助計算!$G$2:$G$801, 0)+1))="","",TRIM(INDEX(ERP資料!$E:$E, (MATCH(292, 輔助計算!$G$2:$G$801, 0)+1)))), "")</f>
        <v/>
      </c>
      <c r="G293" s="10">
        <f>IFERROR(IF(INDEX(ERP資料!$F:$F, (MATCH(292, 輔助計算!$G$2:$G$801, 0)+1))="","",INDEX(ERP資料!$F:$F, (MATCH(292, 輔助計算!$G$2:$G$801, 0)+1))), "")</f>
        <v/>
      </c>
      <c r="H293" s="10">
        <f>IFERROR(IF(INDEX(ERP資料!$G:$G, (MATCH(292, 輔助計算!$G$2:$G$801, 0)+1))="","",INDEX(ERP資料!$G:$G, (MATCH(292, 輔助計算!$G$2:$G$801, 0)+1))), "")</f>
        <v/>
      </c>
      <c r="I293" s="15">
        <f>IFERROR(INDEX(輔助計算!$D:$D, (MATCH(292, 輔助計算!$G$2:$G$801, 0)+1)), "")</f>
        <v/>
      </c>
      <c r="J293" s="15">
        <f>IFERROR(IF(AND(INDEX(輔助計算!$D:$D, (MATCH(292, 輔助計算!$G$2:$G$801, 0)+1))&lt;&gt;"", INDEX(ERP資料!$G:$G, (MATCH(292, 輔助計算!$G$2:$G$801, 0)+1))&lt;&gt;""), TRIM(IF(INT(INDEX(輔助計算!$D:$D, (MATCH(292, 輔助計算!$G$2:$G$801, 0)+1))/IF(INDEX(ERP資料!$G:$G, (MATCH(292, 輔助計算!$G$2:$G$801, 0)+1))&lt;100, IF(INDEX(ERP資料!$G:$G, (MATCH(292, 輔助計算!$G$2:$G$801, 0)+1))&lt;=31,3,IF(INDEX(ERP資料!$G:$G, (MATCH(292, 輔助計算!$G$2:$G$801, 0)+1))&lt;=46.5,2,1)), IF(INDEX(ERP資料!$G:$G, (MATCH(292, 輔助計算!$G$2:$G$801, 0)+1))&lt;=790,3,IF(INDEX(ERP資料!$G:$G, (MATCH(292, 輔助計算!$G$2:$G$801, 0)+1))&lt;=1181,2,1))))&gt;0, IF(IF(INDEX(ERP資料!$G:$G, (MATCH(292, 輔助計算!$G$2:$G$801, 0)+1))&lt;100, IF(INDEX(ERP資料!$G:$G, (MATCH(292, 輔助計算!$G$2:$G$801, 0)+1))&lt;=31,3,IF(INDEX(ERP資料!$G:$G, (MATCH(292, 輔助計算!$G$2:$G$801, 0)+1))&lt;=46.5,2,1)), IF(INDEX(ERP資料!$G:$G, (MATCH(292, 輔助計算!$G$2:$G$801, 0)+1))&lt;=790,3,IF(INDEX(ERP資料!$G:$G, (MATCH(292, 輔助計算!$G$2:$G$801, 0)+1))&lt;=1181,2,1)))=1,TEXT(INDEX(ERP資料!$G:$G, (MATCH(292, 輔助計算!$G$2:$G$801, 0)+1)),"0.##"),IF(IF(INDEX(ERP資料!$G:$G, (MATCH(292, 輔助計算!$G$2:$G$801, 0)+1))&lt;100, IF(INDEX(ERP資料!$G:$G, (MATCH(292, 輔助計算!$G$2:$G$801, 0)+1))&lt;=31,3,IF(INDEX(ERP資料!$G:$G, (MATCH(292, 輔助計算!$G$2:$G$801, 0)+1))&lt;=46.5,2,1)), IF(INDEX(ERP資料!$G:$G, (MATCH(292, 輔助計算!$G$2:$G$801, 0)+1))&lt;=790,3,IF(INDEX(ERP資料!$G:$G, (MATCH(292, 輔助計算!$G$2:$G$801, 0)+1))&lt;=1181,2,1)))=2,TEXT(INDEX(ERP資料!$G:$G, (MATCH(292, 輔助計算!$G$2:$G$801, 0)+1)),"0.##")&amp;"+"&amp;TEXT(INDEX(ERP資料!$G:$G, (MATCH(292, 輔助計算!$G$2:$G$801, 0)+1)),"0.##"),TEXT(INDEX(ERP資料!$G:$G, (MATCH(292, 輔助計算!$G$2:$G$801, 0)+1)),"0.##")&amp;"+"&amp;TEXT(INDEX(ERP資料!$G:$G, (MATCH(292, 輔助計算!$G$2:$G$801, 0)+1)),"0.##")&amp;"+"&amp;TEXT(INDEX(ERP資料!$G:$G, (MATCH(292, 輔助計算!$G$2:$G$801, 0)+1)),"0.##")))&amp;"-"&amp;INT(INDEX(輔助計算!$D:$D, (MATCH(292, 輔助計算!$G$2:$G$801, 0)+1))/IF(INDEX(ERP資料!$G:$G, (MATCH(292, 輔助計算!$G$2:$G$801, 0)+1))&lt;100, IF(INDEX(ERP資料!$G:$G, (MATCH(292, 輔助計算!$G$2:$G$801, 0)+1))&lt;=31,3,IF(INDEX(ERP資料!$G:$G, (MATCH(292, 輔助計算!$G$2:$G$801, 0)+1))&lt;=46.5,2,1)), IF(INDEX(ERP資料!$G:$G, (MATCH(292, 輔助計算!$G$2:$G$801, 0)+1))&lt;=790,3,IF(INDEX(ERP資料!$G:$G, (MATCH(292, 輔助計算!$G$2:$G$801, 0)+1))&lt;=1181,2,1)))), "")&amp;IF(AND(IF(INT(INDEX(輔助計算!$D:$D, (MATCH(292, 輔助計算!$G$2:$G$801, 0)+1))/IF(INDEX(ERP資料!$G:$G, (MATCH(292, 輔助計算!$G$2:$G$801, 0)+1))&lt;100, IF(INDEX(ERP資料!$G:$G, (MATCH(292, 輔助計算!$G$2:$G$801, 0)+1))&lt;=31,3,IF(INDEX(ERP資料!$G:$G, (MATCH(292, 輔助計算!$G$2:$G$801, 0)+1))&lt;=46.5,2,1)), IF(INDEX(ERP資料!$G:$G, (MATCH(292, 輔助計算!$G$2:$G$801, 0)+1))&lt;=790,3,IF(INDEX(ERP資料!$G:$G, (MATCH(292, 輔助計算!$G$2:$G$801, 0)+1))&lt;=1181,2,1))))&gt;0, IF(IF(INDEX(ERP資料!$G:$G, (MATCH(292, 輔助計算!$G$2:$G$801, 0)+1))&lt;100, IF(INDEX(ERP資料!$G:$G, (MATCH(292, 輔助計算!$G$2:$G$801, 0)+1))&lt;=31,3,IF(INDEX(ERP資料!$G:$G, (MATCH(292, 輔助計算!$G$2:$G$801, 0)+1))&lt;=46.5,2,1)), IF(INDEX(ERP資料!$G:$G, (MATCH(292, 輔助計算!$G$2:$G$801, 0)+1))&lt;=790,3,IF(INDEX(ERP資料!$G:$G, (MATCH(292, 輔助計算!$G$2:$G$801, 0)+1))&lt;=1181,2,1)))=1,TEXT(INDEX(ERP資料!$G:$G, (MATCH(292, 輔助計算!$G$2:$G$801, 0)+1)),"0.##"),IF(IF(INDEX(ERP資料!$G:$G, (MATCH(292, 輔助計算!$G$2:$G$801, 0)+1))&lt;100, IF(INDEX(ERP資料!$G:$G, (MATCH(292, 輔助計算!$G$2:$G$801, 0)+1))&lt;=31,3,IF(INDEX(ERP資料!$G:$G, (MATCH(292, 輔助計算!$G$2:$G$801, 0)+1))&lt;=46.5,2,1)), IF(INDEX(ERP資料!$G:$G, (MATCH(292, 輔助計算!$G$2:$G$801, 0)+1))&lt;=790,3,IF(INDEX(ERP資料!$G:$G, (MATCH(292, 輔助計算!$G$2:$G$801, 0)+1))&lt;=1181,2,1)))=2,TEXT(INDEX(ERP資料!$G:$G, (MATCH(292, 輔助計算!$G$2:$G$801, 0)+1)),"0.##")&amp;"+"&amp;TEXT(INDEX(ERP資料!$G:$G, (MATCH(292, 輔助計算!$G$2:$G$801, 0)+1)),"0.##"),TEXT(INDEX(ERP資料!$G:$G, (MATCH(292, 輔助計算!$G$2:$G$801, 0)+1)),"0.##")&amp;"+"&amp;TEXT(INDEX(ERP資料!$G:$G, (MATCH(292, 輔助計算!$G$2:$G$801, 0)+1)),"0.##")&amp;"+"&amp;TEXT(INDEX(ERP資料!$G:$G, (MATCH(292, 輔助計算!$G$2:$G$801, 0)+1)),"0.##")))&amp;"-"&amp;INT(INDEX(輔助計算!$D:$D, (MATCH(292, 輔助計算!$G$2:$G$801, 0)+1))/IF(INDEX(ERP資料!$G:$G, (MATCH(292, 輔助計算!$G$2:$G$801, 0)+1))&lt;100, IF(INDEX(ERP資料!$G:$G, (MATCH(292, 輔助計算!$G$2:$G$801, 0)+1))&lt;=31,3,IF(INDEX(ERP資料!$G:$G, (MATCH(292, 輔助計算!$G$2:$G$801, 0)+1))&lt;=46.5,2,1)), IF(INDEX(ERP資料!$G:$G, (MATCH(292, 輔助計算!$G$2:$G$801, 0)+1))&lt;=790,3,IF(INDEX(ERP資料!$G:$G, (MATCH(292, 輔助計算!$G$2:$G$801, 0)+1))&lt;=1181,2,1)))), "")&lt;&gt;"",IF(MOD(INDEX(輔助計算!$D:$D, (MATCH(292, 輔助計算!$G$2:$G$801, 0)+1)),IF(INDEX(ERP資料!$G:$G, (MATCH(292, 輔助計算!$G$2:$G$801, 0)+1))&lt;100, IF(INDEX(ERP資料!$G:$G, (MATCH(292, 輔助計算!$G$2:$G$801, 0)+1))&lt;=31,3,IF(INDEX(ERP資料!$G:$G, (MATCH(292, 輔助計算!$G$2:$G$801, 0)+1))&lt;=46.5,2,1)), IF(INDEX(ERP資料!$G:$G, (MATCH(292, 輔助計算!$G$2:$G$801, 0)+1))&lt;=790,3,IF(INDEX(ERP資料!$G:$G, (MATCH(292, 輔助計算!$G$2:$G$801, 0)+1))&lt;=1181,2,1))))=0,"",IF(MOD(INDEX(輔助計算!$D:$D, (MATCH(292, 輔助計算!$G$2:$G$801, 0)+1)),IF(INDEX(ERP資料!$G:$G, (MATCH(292, 輔助計算!$G$2:$G$801, 0)+1))&lt;100, IF(INDEX(ERP資料!$G:$G, (MATCH(292, 輔助計算!$G$2:$G$801, 0)+1))&lt;=31,3,IF(INDEX(ERP資料!$G:$G, (MATCH(292, 輔助計算!$G$2:$G$801, 0)+1))&lt;=46.5,2,1)), IF(INDEX(ERP資料!$G:$G, (MATCH(292, 輔助計算!$G$2:$G$801, 0)+1))&lt;=790,3,IF(INDEX(ERP資料!$G:$G, (MATCH(292, 輔助計算!$G$2:$G$801, 0)+1))&lt;=1181,2,1))))=0,"",IF(MOD(INDEX(輔助計算!$D:$D, (MATCH(292, 輔助計算!$G$2:$G$801, 0)+1)),IF(INDEX(ERP資料!$G:$G, (MATCH(292, 輔助計算!$G$2:$G$801, 0)+1))&lt;100, IF(INDEX(ERP資料!$G:$G, (MATCH(292, 輔助計算!$G$2:$G$801, 0)+1))&lt;=31,3,IF(INDEX(ERP資料!$G:$G, (MATCH(292, 輔助計算!$G$2:$G$801, 0)+1))&lt;=46.5,2,1)), IF(INDEX(ERP資料!$G:$G, (MATCH(292, 輔助計算!$G$2:$G$801, 0)+1))&lt;=790,3,IF(INDEX(ERP資料!$G:$G, (MATCH(292, 輔助計算!$G$2:$G$801, 0)+1))&lt;=1181,2,1))))=1,TEXT(INDEX(ERP資料!$G:$G, (MATCH(292, 輔助計算!$G$2:$G$801, 0)+1)),"0.##"),IF(MOD(INDEX(輔助計算!$D:$D, (MATCH(292, 輔助計算!$G$2:$G$801, 0)+1)),IF(INDEX(ERP資料!$G:$G, (MATCH(292, 輔助計算!$G$2:$G$801, 0)+1))&lt;100, IF(INDEX(ERP資料!$G:$G, (MATCH(292, 輔助計算!$G$2:$G$801, 0)+1))&lt;=31,3,IF(INDEX(ERP資料!$G:$G, (MATCH(292, 輔助計算!$G$2:$G$801, 0)+1))&lt;=46.5,2,1)), IF(INDEX(ERP資料!$G:$G, (MATCH(292, 輔助計算!$G$2:$G$801, 0)+1))&lt;=790,3,IF(INDEX(ERP資料!$G:$G, (MATCH(292, 輔助計算!$G$2:$G$801, 0)+1))&lt;=1181,2,1))))=2,TEXT(INDEX(ERP資料!$G:$G, (MATCH(292, 輔助計算!$G$2:$G$801, 0)+1)),"0.##")&amp;"+"&amp;TEXT(INDEX(ERP資料!$G:$G, (MATCH(292, 輔助計算!$G$2:$G$801, 0)+1)),"0.##"),TEXT(INDEX(ERP資料!$G:$G, (MATCH(292, 輔助計算!$G$2:$G$801, 0)+1)),"0.##")&amp;"+"&amp;TEXT(INDEX(ERP資料!$G:$G, (MATCH(292, 輔助計算!$G$2:$G$801, 0)+1)),"0.##")&amp;"+"&amp;TEXT(INDEX(ERP資料!$G:$G, (MATCH(292, 輔助計算!$G$2:$G$801, 0)+1)),"0.##"))))&amp;"-1")&lt;&gt;""),"  ","")&amp;IF(MOD(INDEX(輔助計算!$D:$D, (MATCH(292, 輔助計算!$G$2:$G$801, 0)+1)),IF(INDEX(ERP資料!$G:$G, (MATCH(292, 輔助計算!$G$2:$G$801, 0)+1))&lt;100, IF(INDEX(ERP資料!$G:$G, (MATCH(292, 輔助計算!$G$2:$G$801, 0)+1))&lt;=31,3,IF(INDEX(ERP資料!$G:$G, (MATCH(292, 輔助計算!$G$2:$G$801, 0)+1))&lt;=46.5,2,1)), IF(INDEX(ERP資料!$G:$G, (MATCH(292, 輔助計算!$G$2:$G$801, 0)+1))&lt;=790,3,IF(INDEX(ERP資料!$G:$G, (MATCH(292, 輔助計算!$G$2:$G$801, 0)+1))&lt;=1181,2,1))))=0,"",IF(MOD(INDEX(輔助計算!$D:$D, (MATCH(292, 輔助計算!$G$2:$G$801, 0)+1)),IF(INDEX(ERP資料!$G:$G, (MATCH(292, 輔助計算!$G$2:$G$801, 0)+1))&lt;100, IF(INDEX(ERP資料!$G:$G, (MATCH(292, 輔助計算!$G$2:$G$801, 0)+1))&lt;=31,3,IF(INDEX(ERP資料!$G:$G, (MATCH(292, 輔助計算!$G$2:$G$801, 0)+1))&lt;=46.5,2,1)), IF(INDEX(ERP資料!$G:$G, (MATCH(292, 輔助計算!$G$2:$G$801, 0)+1))&lt;=790,3,IF(INDEX(ERP資料!$G:$G, (MATCH(292, 輔助計算!$G$2:$G$801, 0)+1))&lt;=1181,2,1))))=0,"",IF(MOD(INDEX(輔助計算!$D:$D, (MATCH(292, 輔助計算!$G$2:$G$801, 0)+1)),IF(INDEX(ERP資料!$G:$G, (MATCH(292, 輔助計算!$G$2:$G$801, 0)+1))&lt;100, IF(INDEX(ERP資料!$G:$G, (MATCH(292, 輔助計算!$G$2:$G$801, 0)+1))&lt;=31,3,IF(INDEX(ERP資料!$G:$G, (MATCH(292, 輔助計算!$G$2:$G$801, 0)+1))&lt;=46.5,2,1)), IF(INDEX(ERP資料!$G:$G, (MATCH(292, 輔助計算!$G$2:$G$801, 0)+1))&lt;=790,3,IF(INDEX(ERP資料!$G:$G, (MATCH(292, 輔助計算!$G$2:$G$801, 0)+1))&lt;=1181,2,1))))=1,TEXT(INDEX(ERP資料!$G:$G, (MATCH(292, 輔助計算!$G$2:$G$801, 0)+1)),"0.##"),IF(MOD(INDEX(輔助計算!$D:$D, (MATCH(292, 輔助計算!$G$2:$G$801, 0)+1)),IF(INDEX(ERP資料!$G:$G, (MATCH(292, 輔助計算!$G$2:$G$801, 0)+1))&lt;100, IF(INDEX(ERP資料!$G:$G, (MATCH(292, 輔助計算!$G$2:$G$801, 0)+1))&lt;=31,3,IF(INDEX(ERP資料!$G:$G, (MATCH(292, 輔助計算!$G$2:$G$801, 0)+1))&lt;=46.5,2,1)), IF(INDEX(ERP資料!$G:$G, (MATCH(292, 輔助計算!$G$2:$G$801, 0)+1))&lt;=790,3,IF(INDEX(ERP資料!$G:$G, (MATCH(292, 輔助計算!$G$2:$G$801, 0)+1))&lt;=1181,2,1))))=2,TEXT(INDEX(ERP資料!$G:$G, (MATCH(292, 輔助計算!$G$2:$G$801, 0)+1)),"0.##")&amp;"+"&amp;TEXT(INDEX(ERP資料!$G:$G, (MATCH(292, 輔助計算!$G$2:$G$801, 0)+1)),"0.##"),TEXT(INDEX(ERP資料!$G:$G, (MATCH(292, 輔助計算!$G$2:$G$801, 0)+1)),"0.##")&amp;"+"&amp;TEXT(INDEX(ERP資料!$G:$G, (MATCH(292, 輔助計算!$G$2:$G$801, 0)+1)),"0.##")&amp;"+"&amp;TEXT(INDEX(ERP資料!$G:$G, (MATCH(292, 輔助計算!$G$2:$G$801, 0)+1)),"0.##"))))&amp;"-1")), ""), "")</f>
        <v/>
      </c>
      <c r="K293" s="16" t="n"/>
      <c r="L293" s="14">
        <f>IFERROR(IF(AND(IFERROR(INDEX(ERP資料!$A:$A, (MATCH(292, 輔助計算!$G$2:$G$801, 0)+1)), "")&lt;&gt;"", IFERROR(INDEX(ERP資料!$A:$A, (MATCH(292, 輔助計算!$G$2:$G$801, 0)+1)), "")&lt;&gt;IFERROR(INDEX(ERP資料!$A:$A, MATCH(291, 輔助計算!$G$2:$G$801, 0)+1), "")), INDEX(ERP資料!$B:$B, (MATCH(292, 輔助計算!$G$2:$G$801, 0)+1)), ""), "")</f>
        <v/>
      </c>
      <c r="M293" s="17" t="n"/>
    </row>
    <row r="294">
      <c r="A294" s="10">
        <f>IFERROR(IF(AND(IFERROR(INDEX(ERP資料!$A:$A, (MATCH(293, 輔助計算!$G$2:$G$801, 0)+1)), "")&lt;&gt;"", IFERROR(INDEX(ERP資料!$A:$A, (MATCH(293, 輔助計算!$G$2:$G$801, 0)+1)), "")&lt;&gt;IFERROR(INDEX(ERP資料!$A:$A, MATCH(292, 輔助計算!$G$2:$G$801, 0)+1), "")), IFERROR(INDEX(ERP資料!$A:$A, (MATCH(293, 輔助計算!$G$2:$G$801, 0)+1)), ""), ""), "")</f>
        <v/>
      </c>
      <c r="B294" s="10">
        <f>IFERROR(IF(AND(IFERROR(INDEX(ERP資料!$A:$A, (MATCH(293, 輔助計算!$G$2:$G$801, 0)+1)), "")&lt;&gt;"", IFERROR(INDEX(ERP資料!$A:$A, (MATCH(293, 輔助計算!$G$2:$G$801, 0)+1)), "")&lt;&gt;IFERROR(INDEX(ERP資料!$A:$A, MATCH(292, 輔助計算!$G$2:$G$801, 0)+1), "")), INDEX(ERP資料!$S:$S, (MATCH(293, 輔助計算!$G$2:$G$801, 0)+1)), ""), "")</f>
        <v/>
      </c>
      <c r="C294" s="19">
        <f>IFERROR(IF(AND(IFERROR(INDEX(ERP資料!$A:$A, (MATCH(293, 輔助計算!$G$2:$G$801, 0)+1)), "")&lt;&gt;"", IFERROR(INDEX(ERP資料!$A:$A, (MATCH(293, 輔助計算!$G$2:$G$801, 0)+1)), "")&lt;&gt;IFERROR(INDEX(ERP資料!$A:$A, MATCH(292, 輔助計算!$G$2:$G$801, 0)+1), "")), IFERROR(VLOOKUP(LEFT(INDEX(ERP資料!$S:$S, (MATCH(293, 輔助計算!$G$2:$G$801, 0)+1)), 4), 紙管對照表!$A:$C, 3, FALSE), ""), ""), "")</f>
        <v/>
      </c>
      <c r="D294" s="16" t="n"/>
      <c r="E294" s="10">
        <f>IFERROR(IF(INDEX(ERP資料!$H:$H, (MATCH(293, 輔助計算!$G$2:$G$801, 0)+1))="","",INDEX(ERP資料!$H:$H, (MATCH(293, 輔助計算!$G$2:$G$801, 0)+1))), "")</f>
        <v/>
      </c>
      <c r="F294" s="10">
        <f>IFERROR(IF(INDEX(ERP資料!$E:$E, (MATCH(293, 輔助計算!$G$2:$G$801, 0)+1))="","",TRIM(INDEX(ERP資料!$E:$E, (MATCH(293, 輔助計算!$G$2:$G$801, 0)+1)))), "")</f>
        <v/>
      </c>
      <c r="G294" s="10">
        <f>IFERROR(IF(INDEX(ERP資料!$F:$F, (MATCH(293, 輔助計算!$G$2:$G$801, 0)+1))="","",INDEX(ERP資料!$F:$F, (MATCH(293, 輔助計算!$G$2:$G$801, 0)+1))), "")</f>
        <v/>
      </c>
      <c r="H294" s="10">
        <f>IFERROR(IF(INDEX(ERP資料!$G:$G, (MATCH(293, 輔助計算!$G$2:$G$801, 0)+1))="","",INDEX(ERP資料!$G:$G, (MATCH(293, 輔助計算!$G$2:$G$801, 0)+1))), "")</f>
        <v/>
      </c>
      <c r="I294" s="15">
        <f>IFERROR(INDEX(輔助計算!$D:$D, (MATCH(293, 輔助計算!$G$2:$G$801, 0)+1)), "")</f>
        <v/>
      </c>
      <c r="J294" s="15">
        <f>IFERROR(IF(AND(INDEX(輔助計算!$D:$D, (MATCH(293, 輔助計算!$G$2:$G$801, 0)+1))&lt;&gt;"", INDEX(ERP資料!$G:$G, (MATCH(293, 輔助計算!$G$2:$G$801, 0)+1))&lt;&gt;""), TRIM(IF(INT(INDEX(輔助計算!$D:$D, (MATCH(293, 輔助計算!$G$2:$G$801, 0)+1))/IF(INDEX(ERP資料!$G:$G, (MATCH(293, 輔助計算!$G$2:$G$801, 0)+1))&lt;100, IF(INDEX(ERP資料!$G:$G, (MATCH(293, 輔助計算!$G$2:$G$801, 0)+1))&lt;=31,3,IF(INDEX(ERP資料!$G:$G, (MATCH(293, 輔助計算!$G$2:$G$801, 0)+1))&lt;=46.5,2,1)), IF(INDEX(ERP資料!$G:$G, (MATCH(293, 輔助計算!$G$2:$G$801, 0)+1))&lt;=790,3,IF(INDEX(ERP資料!$G:$G, (MATCH(293, 輔助計算!$G$2:$G$801, 0)+1))&lt;=1181,2,1))))&gt;0, IF(IF(INDEX(ERP資料!$G:$G, (MATCH(293, 輔助計算!$G$2:$G$801, 0)+1))&lt;100, IF(INDEX(ERP資料!$G:$G, (MATCH(293, 輔助計算!$G$2:$G$801, 0)+1))&lt;=31,3,IF(INDEX(ERP資料!$G:$G, (MATCH(293, 輔助計算!$G$2:$G$801, 0)+1))&lt;=46.5,2,1)), IF(INDEX(ERP資料!$G:$G, (MATCH(293, 輔助計算!$G$2:$G$801, 0)+1))&lt;=790,3,IF(INDEX(ERP資料!$G:$G, (MATCH(293, 輔助計算!$G$2:$G$801, 0)+1))&lt;=1181,2,1)))=1,TEXT(INDEX(ERP資料!$G:$G, (MATCH(293, 輔助計算!$G$2:$G$801, 0)+1)),"0.##"),IF(IF(INDEX(ERP資料!$G:$G, (MATCH(293, 輔助計算!$G$2:$G$801, 0)+1))&lt;100, IF(INDEX(ERP資料!$G:$G, (MATCH(293, 輔助計算!$G$2:$G$801, 0)+1))&lt;=31,3,IF(INDEX(ERP資料!$G:$G, (MATCH(293, 輔助計算!$G$2:$G$801, 0)+1))&lt;=46.5,2,1)), IF(INDEX(ERP資料!$G:$G, (MATCH(293, 輔助計算!$G$2:$G$801, 0)+1))&lt;=790,3,IF(INDEX(ERP資料!$G:$G, (MATCH(293, 輔助計算!$G$2:$G$801, 0)+1))&lt;=1181,2,1)))=2,TEXT(INDEX(ERP資料!$G:$G, (MATCH(293, 輔助計算!$G$2:$G$801, 0)+1)),"0.##")&amp;"+"&amp;TEXT(INDEX(ERP資料!$G:$G, (MATCH(293, 輔助計算!$G$2:$G$801, 0)+1)),"0.##"),TEXT(INDEX(ERP資料!$G:$G, (MATCH(293, 輔助計算!$G$2:$G$801, 0)+1)),"0.##")&amp;"+"&amp;TEXT(INDEX(ERP資料!$G:$G, (MATCH(293, 輔助計算!$G$2:$G$801, 0)+1)),"0.##")&amp;"+"&amp;TEXT(INDEX(ERP資料!$G:$G, (MATCH(293, 輔助計算!$G$2:$G$801, 0)+1)),"0.##")))&amp;"-"&amp;INT(INDEX(輔助計算!$D:$D, (MATCH(293, 輔助計算!$G$2:$G$801, 0)+1))/IF(INDEX(ERP資料!$G:$G, (MATCH(293, 輔助計算!$G$2:$G$801, 0)+1))&lt;100, IF(INDEX(ERP資料!$G:$G, (MATCH(293, 輔助計算!$G$2:$G$801, 0)+1))&lt;=31,3,IF(INDEX(ERP資料!$G:$G, (MATCH(293, 輔助計算!$G$2:$G$801, 0)+1))&lt;=46.5,2,1)), IF(INDEX(ERP資料!$G:$G, (MATCH(293, 輔助計算!$G$2:$G$801, 0)+1))&lt;=790,3,IF(INDEX(ERP資料!$G:$G, (MATCH(293, 輔助計算!$G$2:$G$801, 0)+1))&lt;=1181,2,1)))), "")&amp;IF(AND(IF(INT(INDEX(輔助計算!$D:$D, (MATCH(293, 輔助計算!$G$2:$G$801, 0)+1))/IF(INDEX(ERP資料!$G:$G, (MATCH(293, 輔助計算!$G$2:$G$801, 0)+1))&lt;100, IF(INDEX(ERP資料!$G:$G, (MATCH(293, 輔助計算!$G$2:$G$801, 0)+1))&lt;=31,3,IF(INDEX(ERP資料!$G:$G, (MATCH(293, 輔助計算!$G$2:$G$801, 0)+1))&lt;=46.5,2,1)), IF(INDEX(ERP資料!$G:$G, (MATCH(293, 輔助計算!$G$2:$G$801, 0)+1))&lt;=790,3,IF(INDEX(ERP資料!$G:$G, (MATCH(293, 輔助計算!$G$2:$G$801, 0)+1))&lt;=1181,2,1))))&gt;0, IF(IF(INDEX(ERP資料!$G:$G, (MATCH(293, 輔助計算!$G$2:$G$801, 0)+1))&lt;100, IF(INDEX(ERP資料!$G:$G, (MATCH(293, 輔助計算!$G$2:$G$801, 0)+1))&lt;=31,3,IF(INDEX(ERP資料!$G:$G, (MATCH(293, 輔助計算!$G$2:$G$801, 0)+1))&lt;=46.5,2,1)), IF(INDEX(ERP資料!$G:$G, (MATCH(293, 輔助計算!$G$2:$G$801, 0)+1))&lt;=790,3,IF(INDEX(ERP資料!$G:$G, (MATCH(293, 輔助計算!$G$2:$G$801, 0)+1))&lt;=1181,2,1)))=1,TEXT(INDEX(ERP資料!$G:$G, (MATCH(293, 輔助計算!$G$2:$G$801, 0)+1)),"0.##"),IF(IF(INDEX(ERP資料!$G:$G, (MATCH(293, 輔助計算!$G$2:$G$801, 0)+1))&lt;100, IF(INDEX(ERP資料!$G:$G, (MATCH(293, 輔助計算!$G$2:$G$801, 0)+1))&lt;=31,3,IF(INDEX(ERP資料!$G:$G, (MATCH(293, 輔助計算!$G$2:$G$801, 0)+1))&lt;=46.5,2,1)), IF(INDEX(ERP資料!$G:$G, (MATCH(293, 輔助計算!$G$2:$G$801, 0)+1))&lt;=790,3,IF(INDEX(ERP資料!$G:$G, (MATCH(293, 輔助計算!$G$2:$G$801, 0)+1))&lt;=1181,2,1)))=2,TEXT(INDEX(ERP資料!$G:$G, (MATCH(293, 輔助計算!$G$2:$G$801, 0)+1)),"0.##")&amp;"+"&amp;TEXT(INDEX(ERP資料!$G:$G, (MATCH(293, 輔助計算!$G$2:$G$801, 0)+1)),"0.##"),TEXT(INDEX(ERP資料!$G:$G, (MATCH(293, 輔助計算!$G$2:$G$801, 0)+1)),"0.##")&amp;"+"&amp;TEXT(INDEX(ERP資料!$G:$G, (MATCH(293, 輔助計算!$G$2:$G$801, 0)+1)),"0.##")&amp;"+"&amp;TEXT(INDEX(ERP資料!$G:$G, (MATCH(293, 輔助計算!$G$2:$G$801, 0)+1)),"0.##")))&amp;"-"&amp;INT(INDEX(輔助計算!$D:$D, (MATCH(293, 輔助計算!$G$2:$G$801, 0)+1))/IF(INDEX(ERP資料!$G:$G, (MATCH(293, 輔助計算!$G$2:$G$801, 0)+1))&lt;100, IF(INDEX(ERP資料!$G:$G, (MATCH(293, 輔助計算!$G$2:$G$801, 0)+1))&lt;=31,3,IF(INDEX(ERP資料!$G:$G, (MATCH(293, 輔助計算!$G$2:$G$801, 0)+1))&lt;=46.5,2,1)), IF(INDEX(ERP資料!$G:$G, (MATCH(293, 輔助計算!$G$2:$G$801, 0)+1))&lt;=790,3,IF(INDEX(ERP資料!$G:$G, (MATCH(293, 輔助計算!$G$2:$G$801, 0)+1))&lt;=1181,2,1)))), "")&lt;&gt;"",IF(MOD(INDEX(輔助計算!$D:$D, (MATCH(293, 輔助計算!$G$2:$G$801, 0)+1)),IF(INDEX(ERP資料!$G:$G, (MATCH(293, 輔助計算!$G$2:$G$801, 0)+1))&lt;100, IF(INDEX(ERP資料!$G:$G, (MATCH(293, 輔助計算!$G$2:$G$801, 0)+1))&lt;=31,3,IF(INDEX(ERP資料!$G:$G, (MATCH(293, 輔助計算!$G$2:$G$801, 0)+1))&lt;=46.5,2,1)), IF(INDEX(ERP資料!$G:$G, (MATCH(293, 輔助計算!$G$2:$G$801, 0)+1))&lt;=790,3,IF(INDEX(ERP資料!$G:$G, (MATCH(293, 輔助計算!$G$2:$G$801, 0)+1))&lt;=1181,2,1))))=0,"",IF(MOD(INDEX(輔助計算!$D:$D, (MATCH(293, 輔助計算!$G$2:$G$801, 0)+1)),IF(INDEX(ERP資料!$G:$G, (MATCH(293, 輔助計算!$G$2:$G$801, 0)+1))&lt;100, IF(INDEX(ERP資料!$G:$G, (MATCH(293, 輔助計算!$G$2:$G$801, 0)+1))&lt;=31,3,IF(INDEX(ERP資料!$G:$G, (MATCH(293, 輔助計算!$G$2:$G$801, 0)+1))&lt;=46.5,2,1)), IF(INDEX(ERP資料!$G:$G, (MATCH(293, 輔助計算!$G$2:$G$801, 0)+1))&lt;=790,3,IF(INDEX(ERP資料!$G:$G, (MATCH(293, 輔助計算!$G$2:$G$801, 0)+1))&lt;=1181,2,1))))=0,"",IF(MOD(INDEX(輔助計算!$D:$D, (MATCH(293, 輔助計算!$G$2:$G$801, 0)+1)),IF(INDEX(ERP資料!$G:$G, (MATCH(293, 輔助計算!$G$2:$G$801, 0)+1))&lt;100, IF(INDEX(ERP資料!$G:$G, (MATCH(293, 輔助計算!$G$2:$G$801, 0)+1))&lt;=31,3,IF(INDEX(ERP資料!$G:$G, (MATCH(293, 輔助計算!$G$2:$G$801, 0)+1))&lt;=46.5,2,1)), IF(INDEX(ERP資料!$G:$G, (MATCH(293, 輔助計算!$G$2:$G$801, 0)+1))&lt;=790,3,IF(INDEX(ERP資料!$G:$G, (MATCH(293, 輔助計算!$G$2:$G$801, 0)+1))&lt;=1181,2,1))))=1,TEXT(INDEX(ERP資料!$G:$G, (MATCH(293, 輔助計算!$G$2:$G$801, 0)+1)),"0.##"),IF(MOD(INDEX(輔助計算!$D:$D, (MATCH(293, 輔助計算!$G$2:$G$801, 0)+1)),IF(INDEX(ERP資料!$G:$G, (MATCH(293, 輔助計算!$G$2:$G$801, 0)+1))&lt;100, IF(INDEX(ERP資料!$G:$G, (MATCH(293, 輔助計算!$G$2:$G$801, 0)+1))&lt;=31,3,IF(INDEX(ERP資料!$G:$G, (MATCH(293, 輔助計算!$G$2:$G$801, 0)+1))&lt;=46.5,2,1)), IF(INDEX(ERP資料!$G:$G, (MATCH(293, 輔助計算!$G$2:$G$801, 0)+1))&lt;=790,3,IF(INDEX(ERP資料!$G:$G, (MATCH(293, 輔助計算!$G$2:$G$801, 0)+1))&lt;=1181,2,1))))=2,TEXT(INDEX(ERP資料!$G:$G, (MATCH(293, 輔助計算!$G$2:$G$801, 0)+1)),"0.##")&amp;"+"&amp;TEXT(INDEX(ERP資料!$G:$G, (MATCH(293, 輔助計算!$G$2:$G$801, 0)+1)),"0.##"),TEXT(INDEX(ERP資料!$G:$G, (MATCH(293, 輔助計算!$G$2:$G$801, 0)+1)),"0.##")&amp;"+"&amp;TEXT(INDEX(ERP資料!$G:$G, (MATCH(293, 輔助計算!$G$2:$G$801, 0)+1)),"0.##")&amp;"+"&amp;TEXT(INDEX(ERP資料!$G:$G, (MATCH(293, 輔助計算!$G$2:$G$801, 0)+1)),"0.##"))))&amp;"-1")&lt;&gt;""),"  ","")&amp;IF(MOD(INDEX(輔助計算!$D:$D, (MATCH(293, 輔助計算!$G$2:$G$801, 0)+1)),IF(INDEX(ERP資料!$G:$G, (MATCH(293, 輔助計算!$G$2:$G$801, 0)+1))&lt;100, IF(INDEX(ERP資料!$G:$G, (MATCH(293, 輔助計算!$G$2:$G$801, 0)+1))&lt;=31,3,IF(INDEX(ERP資料!$G:$G, (MATCH(293, 輔助計算!$G$2:$G$801, 0)+1))&lt;=46.5,2,1)), IF(INDEX(ERP資料!$G:$G, (MATCH(293, 輔助計算!$G$2:$G$801, 0)+1))&lt;=790,3,IF(INDEX(ERP資料!$G:$G, (MATCH(293, 輔助計算!$G$2:$G$801, 0)+1))&lt;=1181,2,1))))=0,"",IF(MOD(INDEX(輔助計算!$D:$D, (MATCH(293, 輔助計算!$G$2:$G$801, 0)+1)),IF(INDEX(ERP資料!$G:$G, (MATCH(293, 輔助計算!$G$2:$G$801, 0)+1))&lt;100, IF(INDEX(ERP資料!$G:$G, (MATCH(293, 輔助計算!$G$2:$G$801, 0)+1))&lt;=31,3,IF(INDEX(ERP資料!$G:$G, (MATCH(293, 輔助計算!$G$2:$G$801, 0)+1))&lt;=46.5,2,1)), IF(INDEX(ERP資料!$G:$G, (MATCH(293, 輔助計算!$G$2:$G$801, 0)+1))&lt;=790,3,IF(INDEX(ERP資料!$G:$G, (MATCH(293, 輔助計算!$G$2:$G$801, 0)+1))&lt;=1181,2,1))))=0,"",IF(MOD(INDEX(輔助計算!$D:$D, (MATCH(293, 輔助計算!$G$2:$G$801, 0)+1)),IF(INDEX(ERP資料!$G:$G, (MATCH(293, 輔助計算!$G$2:$G$801, 0)+1))&lt;100, IF(INDEX(ERP資料!$G:$G, (MATCH(293, 輔助計算!$G$2:$G$801, 0)+1))&lt;=31,3,IF(INDEX(ERP資料!$G:$G, (MATCH(293, 輔助計算!$G$2:$G$801, 0)+1))&lt;=46.5,2,1)), IF(INDEX(ERP資料!$G:$G, (MATCH(293, 輔助計算!$G$2:$G$801, 0)+1))&lt;=790,3,IF(INDEX(ERP資料!$G:$G, (MATCH(293, 輔助計算!$G$2:$G$801, 0)+1))&lt;=1181,2,1))))=1,TEXT(INDEX(ERP資料!$G:$G, (MATCH(293, 輔助計算!$G$2:$G$801, 0)+1)),"0.##"),IF(MOD(INDEX(輔助計算!$D:$D, (MATCH(293, 輔助計算!$G$2:$G$801, 0)+1)),IF(INDEX(ERP資料!$G:$G, (MATCH(293, 輔助計算!$G$2:$G$801, 0)+1))&lt;100, IF(INDEX(ERP資料!$G:$G, (MATCH(293, 輔助計算!$G$2:$G$801, 0)+1))&lt;=31,3,IF(INDEX(ERP資料!$G:$G, (MATCH(293, 輔助計算!$G$2:$G$801, 0)+1))&lt;=46.5,2,1)), IF(INDEX(ERP資料!$G:$G, (MATCH(293, 輔助計算!$G$2:$G$801, 0)+1))&lt;=790,3,IF(INDEX(ERP資料!$G:$G, (MATCH(293, 輔助計算!$G$2:$G$801, 0)+1))&lt;=1181,2,1))))=2,TEXT(INDEX(ERP資料!$G:$G, (MATCH(293, 輔助計算!$G$2:$G$801, 0)+1)),"0.##")&amp;"+"&amp;TEXT(INDEX(ERP資料!$G:$G, (MATCH(293, 輔助計算!$G$2:$G$801, 0)+1)),"0.##"),TEXT(INDEX(ERP資料!$G:$G, (MATCH(293, 輔助計算!$G$2:$G$801, 0)+1)),"0.##")&amp;"+"&amp;TEXT(INDEX(ERP資料!$G:$G, (MATCH(293, 輔助計算!$G$2:$G$801, 0)+1)),"0.##")&amp;"+"&amp;TEXT(INDEX(ERP資料!$G:$G, (MATCH(293, 輔助計算!$G$2:$G$801, 0)+1)),"0.##"))))&amp;"-1")), ""), "")</f>
        <v/>
      </c>
      <c r="K294" s="16" t="n"/>
      <c r="L294" s="14">
        <f>IFERROR(IF(AND(IFERROR(INDEX(ERP資料!$A:$A, (MATCH(293, 輔助計算!$G$2:$G$801, 0)+1)), "")&lt;&gt;"", IFERROR(INDEX(ERP資料!$A:$A, (MATCH(293, 輔助計算!$G$2:$G$801, 0)+1)), "")&lt;&gt;IFERROR(INDEX(ERP資料!$A:$A, MATCH(292, 輔助計算!$G$2:$G$801, 0)+1), "")), INDEX(ERP資料!$B:$B, (MATCH(293, 輔助計算!$G$2:$G$801, 0)+1)), ""), "")</f>
        <v/>
      </c>
      <c r="M294" s="17" t="n"/>
    </row>
    <row r="295">
      <c r="A295" s="10">
        <f>IFERROR(IF(AND(IFERROR(INDEX(ERP資料!$A:$A, (MATCH(294, 輔助計算!$G$2:$G$801, 0)+1)), "")&lt;&gt;"", IFERROR(INDEX(ERP資料!$A:$A, (MATCH(294, 輔助計算!$G$2:$G$801, 0)+1)), "")&lt;&gt;IFERROR(INDEX(ERP資料!$A:$A, MATCH(293, 輔助計算!$G$2:$G$801, 0)+1), "")), IFERROR(INDEX(ERP資料!$A:$A, (MATCH(294, 輔助計算!$G$2:$G$801, 0)+1)), ""), ""), "")</f>
        <v/>
      </c>
      <c r="B295" s="10">
        <f>IFERROR(IF(AND(IFERROR(INDEX(ERP資料!$A:$A, (MATCH(294, 輔助計算!$G$2:$G$801, 0)+1)), "")&lt;&gt;"", IFERROR(INDEX(ERP資料!$A:$A, (MATCH(294, 輔助計算!$G$2:$G$801, 0)+1)), "")&lt;&gt;IFERROR(INDEX(ERP資料!$A:$A, MATCH(293, 輔助計算!$G$2:$G$801, 0)+1), "")), INDEX(ERP資料!$S:$S, (MATCH(294, 輔助計算!$G$2:$G$801, 0)+1)), ""), "")</f>
        <v/>
      </c>
      <c r="C295" s="19">
        <f>IFERROR(IF(AND(IFERROR(INDEX(ERP資料!$A:$A, (MATCH(294, 輔助計算!$G$2:$G$801, 0)+1)), "")&lt;&gt;"", IFERROR(INDEX(ERP資料!$A:$A, (MATCH(294, 輔助計算!$G$2:$G$801, 0)+1)), "")&lt;&gt;IFERROR(INDEX(ERP資料!$A:$A, MATCH(293, 輔助計算!$G$2:$G$801, 0)+1), "")), IFERROR(VLOOKUP(LEFT(INDEX(ERP資料!$S:$S, (MATCH(294, 輔助計算!$G$2:$G$801, 0)+1)), 4), 紙管對照表!$A:$C, 3, FALSE), ""), ""), "")</f>
        <v/>
      </c>
      <c r="D295" s="16" t="n"/>
      <c r="E295" s="10">
        <f>IFERROR(IF(INDEX(ERP資料!$H:$H, (MATCH(294, 輔助計算!$G$2:$G$801, 0)+1))="","",INDEX(ERP資料!$H:$H, (MATCH(294, 輔助計算!$G$2:$G$801, 0)+1))), "")</f>
        <v/>
      </c>
      <c r="F295" s="10">
        <f>IFERROR(IF(INDEX(ERP資料!$E:$E, (MATCH(294, 輔助計算!$G$2:$G$801, 0)+1))="","",TRIM(INDEX(ERP資料!$E:$E, (MATCH(294, 輔助計算!$G$2:$G$801, 0)+1)))), "")</f>
        <v/>
      </c>
      <c r="G295" s="10">
        <f>IFERROR(IF(INDEX(ERP資料!$F:$F, (MATCH(294, 輔助計算!$G$2:$G$801, 0)+1))="","",INDEX(ERP資料!$F:$F, (MATCH(294, 輔助計算!$G$2:$G$801, 0)+1))), "")</f>
        <v/>
      </c>
      <c r="H295" s="10">
        <f>IFERROR(IF(INDEX(ERP資料!$G:$G, (MATCH(294, 輔助計算!$G$2:$G$801, 0)+1))="","",INDEX(ERP資料!$G:$G, (MATCH(294, 輔助計算!$G$2:$G$801, 0)+1))), "")</f>
        <v/>
      </c>
      <c r="I295" s="15">
        <f>IFERROR(INDEX(輔助計算!$D:$D, (MATCH(294, 輔助計算!$G$2:$G$801, 0)+1)), "")</f>
        <v/>
      </c>
      <c r="J295" s="15">
        <f>IFERROR(IF(AND(INDEX(輔助計算!$D:$D, (MATCH(294, 輔助計算!$G$2:$G$801, 0)+1))&lt;&gt;"", INDEX(ERP資料!$G:$G, (MATCH(294, 輔助計算!$G$2:$G$801, 0)+1))&lt;&gt;""), TRIM(IF(INT(INDEX(輔助計算!$D:$D, (MATCH(294, 輔助計算!$G$2:$G$801, 0)+1))/IF(INDEX(ERP資料!$G:$G, (MATCH(294, 輔助計算!$G$2:$G$801, 0)+1))&lt;100, IF(INDEX(ERP資料!$G:$G, (MATCH(294, 輔助計算!$G$2:$G$801, 0)+1))&lt;=31,3,IF(INDEX(ERP資料!$G:$G, (MATCH(294, 輔助計算!$G$2:$G$801, 0)+1))&lt;=46.5,2,1)), IF(INDEX(ERP資料!$G:$G, (MATCH(294, 輔助計算!$G$2:$G$801, 0)+1))&lt;=790,3,IF(INDEX(ERP資料!$G:$G, (MATCH(294, 輔助計算!$G$2:$G$801, 0)+1))&lt;=1181,2,1))))&gt;0, IF(IF(INDEX(ERP資料!$G:$G, (MATCH(294, 輔助計算!$G$2:$G$801, 0)+1))&lt;100, IF(INDEX(ERP資料!$G:$G, (MATCH(294, 輔助計算!$G$2:$G$801, 0)+1))&lt;=31,3,IF(INDEX(ERP資料!$G:$G, (MATCH(294, 輔助計算!$G$2:$G$801, 0)+1))&lt;=46.5,2,1)), IF(INDEX(ERP資料!$G:$G, (MATCH(294, 輔助計算!$G$2:$G$801, 0)+1))&lt;=790,3,IF(INDEX(ERP資料!$G:$G, (MATCH(294, 輔助計算!$G$2:$G$801, 0)+1))&lt;=1181,2,1)))=1,TEXT(INDEX(ERP資料!$G:$G, (MATCH(294, 輔助計算!$G$2:$G$801, 0)+1)),"0.##"),IF(IF(INDEX(ERP資料!$G:$G, (MATCH(294, 輔助計算!$G$2:$G$801, 0)+1))&lt;100, IF(INDEX(ERP資料!$G:$G, (MATCH(294, 輔助計算!$G$2:$G$801, 0)+1))&lt;=31,3,IF(INDEX(ERP資料!$G:$G, (MATCH(294, 輔助計算!$G$2:$G$801, 0)+1))&lt;=46.5,2,1)), IF(INDEX(ERP資料!$G:$G, (MATCH(294, 輔助計算!$G$2:$G$801, 0)+1))&lt;=790,3,IF(INDEX(ERP資料!$G:$G, (MATCH(294, 輔助計算!$G$2:$G$801, 0)+1))&lt;=1181,2,1)))=2,TEXT(INDEX(ERP資料!$G:$G, (MATCH(294, 輔助計算!$G$2:$G$801, 0)+1)),"0.##")&amp;"+"&amp;TEXT(INDEX(ERP資料!$G:$G, (MATCH(294, 輔助計算!$G$2:$G$801, 0)+1)),"0.##"),TEXT(INDEX(ERP資料!$G:$G, (MATCH(294, 輔助計算!$G$2:$G$801, 0)+1)),"0.##")&amp;"+"&amp;TEXT(INDEX(ERP資料!$G:$G, (MATCH(294, 輔助計算!$G$2:$G$801, 0)+1)),"0.##")&amp;"+"&amp;TEXT(INDEX(ERP資料!$G:$G, (MATCH(294, 輔助計算!$G$2:$G$801, 0)+1)),"0.##")))&amp;"-"&amp;INT(INDEX(輔助計算!$D:$D, (MATCH(294, 輔助計算!$G$2:$G$801, 0)+1))/IF(INDEX(ERP資料!$G:$G, (MATCH(294, 輔助計算!$G$2:$G$801, 0)+1))&lt;100, IF(INDEX(ERP資料!$G:$G, (MATCH(294, 輔助計算!$G$2:$G$801, 0)+1))&lt;=31,3,IF(INDEX(ERP資料!$G:$G, (MATCH(294, 輔助計算!$G$2:$G$801, 0)+1))&lt;=46.5,2,1)), IF(INDEX(ERP資料!$G:$G, (MATCH(294, 輔助計算!$G$2:$G$801, 0)+1))&lt;=790,3,IF(INDEX(ERP資料!$G:$G, (MATCH(294, 輔助計算!$G$2:$G$801, 0)+1))&lt;=1181,2,1)))), "")&amp;IF(AND(IF(INT(INDEX(輔助計算!$D:$D, (MATCH(294, 輔助計算!$G$2:$G$801, 0)+1))/IF(INDEX(ERP資料!$G:$G, (MATCH(294, 輔助計算!$G$2:$G$801, 0)+1))&lt;100, IF(INDEX(ERP資料!$G:$G, (MATCH(294, 輔助計算!$G$2:$G$801, 0)+1))&lt;=31,3,IF(INDEX(ERP資料!$G:$G, (MATCH(294, 輔助計算!$G$2:$G$801, 0)+1))&lt;=46.5,2,1)), IF(INDEX(ERP資料!$G:$G, (MATCH(294, 輔助計算!$G$2:$G$801, 0)+1))&lt;=790,3,IF(INDEX(ERP資料!$G:$G, (MATCH(294, 輔助計算!$G$2:$G$801, 0)+1))&lt;=1181,2,1))))&gt;0, IF(IF(INDEX(ERP資料!$G:$G, (MATCH(294, 輔助計算!$G$2:$G$801, 0)+1))&lt;100, IF(INDEX(ERP資料!$G:$G, (MATCH(294, 輔助計算!$G$2:$G$801, 0)+1))&lt;=31,3,IF(INDEX(ERP資料!$G:$G, (MATCH(294, 輔助計算!$G$2:$G$801, 0)+1))&lt;=46.5,2,1)), IF(INDEX(ERP資料!$G:$G, (MATCH(294, 輔助計算!$G$2:$G$801, 0)+1))&lt;=790,3,IF(INDEX(ERP資料!$G:$G, (MATCH(294, 輔助計算!$G$2:$G$801, 0)+1))&lt;=1181,2,1)))=1,TEXT(INDEX(ERP資料!$G:$G, (MATCH(294, 輔助計算!$G$2:$G$801, 0)+1)),"0.##"),IF(IF(INDEX(ERP資料!$G:$G, (MATCH(294, 輔助計算!$G$2:$G$801, 0)+1))&lt;100, IF(INDEX(ERP資料!$G:$G, (MATCH(294, 輔助計算!$G$2:$G$801, 0)+1))&lt;=31,3,IF(INDEX(ERP資料!$G:$G, (MATCH(294, 輔助計算!$G$2:$G$801, 0)+1))&lt;=46.5,2,1)), IF(INDEX(ERP資料!$G:$G, (MATCH(294, 輔助計算!$G$2:$G$801, 0)+1))&lt;=790,3,IF(INDEX(ERP資料!$G:$G, (MATCH(294, 輔助計算!$G$2:$G$801, 0)+1))&lt;=1181,2,1)))=2,TEXT(INDEX(ERP資料!$G:$G, (MATCH(294, 輔助計算!$G$2:$G$801, 0)+1)),"0.##")&amp;"+"&amp;TEXT(INDEX(ERP資料!$G:$G, (MATCH(294, 輔助計算!$G$2:$G$801, 0)+1)),"0.##"),TEXT(INDEX(ERP資料!$G:$G, (MATCH(294, 輔助計算!$G$2:$G$801, 0)+1)),"0.##")&amp;"+"&amp;TEXT(INDEX(ERP資料!$G:$G, (MATCH(294, 輔助計算!$G$2:$G$801, 0)+1)),"0.##")&amp;"+"&amp;TEXT(INDEX(ERP資料!$G:$G, (MATCH(294, 輔助計算!$G$2:$G$801, 0)+1)),"0.##")))&amp;"-"&amp;INT(INDEX(輔助計算!$D:$D, (MATCH(294, 輔助計算!$G$2:$G$801, 0)+1))/IF(INDEX(ERP資料!$G:$G, (MATCH(294, 輔助計算!$G$2:$G$801, 0)+1))&lt;100, IF(INDEX(ERP資料!$G:$G, (MATCH(294, 輔助計算!$G$2:$G$801, 0)+1))&lt;=31,3,IF(INDEX(ERP資料!$G:$G, (MATCH(294, 輔助計算!$G$2:$G$801, 0)+1))&lt;=46.5,2,1)), IF(INDEX(ERP資料!$G:$G, (MATCH(294, 輔助計算!$G$2:$G$801, 0)+1))&lt;=790,3,IF(INDEX(ERP資料!$G:$G, (MATCH(294, 輔助計算!$G$2:$G$801, 0)+1))&lt;=1181,2,1)))), "")&lt;&gt;"",IF(MOD(INDEX(輔助計算!$D:$D, (MATCH(294, 輔助計算!$G$2:$G$801, 0)+1)),IF(INDEX(ERP資料!$G:$G, (MATCH(294, 輔助計算!$G$2:$G$801, 0)+1))&lt;100, IF(INDEX(ERP資料!$G:$G, (MATCH(294, 輔助計算!$G$2:$G$801, 0)+1))&lt;=31,3,IF(INDEX(ERP資料!$G:$G, (MATCH(294, 輔助計算!$G$2:$G$801, 0)+1))&lt;=46.5,2,1)), IF(INDEX(ERP資料!$G:$G, (MATCH(294, 輔助計算!$G$2:$G$801, 0)+1))&lt;=790,3,IF(INDEX(ERP資料!$G:$G, (MATCH(294, 輔助計算!$G$2:$G$801, 0)+1))&lt;=1181,2,1))))=0,"",IF(MOD(INDEX(輔助計算!$D:$D, (MATCH(294, 輔助計算!$G$2:$G$801, 0)+1)),IF(INDEX(ERP資料!$G:$G, (MATCH(294, 輔助計算!$G$2:$G$801, 0)+1))&lt;100, IF(INDEX(ERP資料!$G:$G, (MATCH(294, 輔助計算!$G$2:$G$801, 0)+1))&lt;=31,3,IF(INDEX(ERP資料!$G:$G, (MATCH(294, 輔助計算!$G$2:$G$801, 0)+1))&lt;=46.5,2,1)), IF(INDEX(ERP資料!$G:$G, (MATCH(294, 輔助計算!$G$2:$G$801, 0)+1))&lt;=790,3,IF(INDEX(ERP資料!$G:$G, (MATCH(294, 輔助計算!$G$2:$G$801, 0)+1))&lt;=1181,2,1))))=0,"",IF(MOD(INDEX(輔助計算!$D:$D, (MATCH(294, 輔助計算!$G$2:$G$801, 0)+1)),IF(INDEX(ERP資料!$G:$G, (MATCH(294, 輔助計算!$G$2:$G$801, 0)+1))&lt;100, IF(INDEX(ERP資料!$G:$G, (MATCH(294, 輔助計算!$G$2:$G$801, 0)+1))&lt;=31,3,IF(INDEX(ERP資料!$G:$G, (MATCH(294, 輔助計算!$G$2:$G$801, 0)+1))&lt;=46.5,2,1)), IF(INDEX(ERP資料!$G:$G, (MATCH(294, 輔助計算!$G$2:$G$801, 0)+1))&lt;=790,3,IF(INDEX(ERP資料!$G:$G, (MATCH(294, 輔助計算!$G$2:$G$801, 0)+1))&lt;=1181,2,1))))=1,TEXT(INDEX(ERP資料!$G:$G, (MATCH(294, 輔助計算!$G$2:$G$801, 0)+1)),"0.##"),IF(MOD(INDEX(輔助計算!$D:$D, (MATCH(294, 輔助計算!$G$2:$G$801, 0)+1)),IF(INDEX(ERP資料!$G:$G, (MATCH(294, 輔助計算!$G$2:$G$801, 0)+1))&lt;100, IF(INDEX(ERP資料!$G:$G, (MATCH(294, 輔助計算!$G$2:$G$801, 0)+1))&lt;=31,3,IF(INDEX(ERP資料!$G:$G, (MATCH(294, 輔助計算!$G$2:$G$801, 0)+1))&lt;=46.5,2,1)), IF(INDEX(ERP資料!$G:$G, (MATCH(294, 輔助計算!$G$2:$G$801, 0)+1))&lt;=790,3,IF(INDEX(ERP資料!$G:$G, (MATCH(294, 輔助計算!$G$2:$G$801, 0)+1))&lt;=1181,2,1))))=2,TEXT(INDEX(ERP資料!$G:$G, (MATCH(294, 輔助計算!$G$2:$G$801, 0)+1)),"0.##")&amp;"+"&amp;TEXT(INDEX(ERP資料!$G:$G, (MATCH(294, 輔助計算!$G$2:$G$801, 0)+1)),"0.##"),TEXT(INDEX(ERP資料!$G:$G, (MATCH(294, 輔助計算!$G$2:$G$801, 0)+1)),"0.##")&amp;"+"&amp;TEXT(INDEX(ERP資料!$G:$G, (MATCH(294, 輔助計算!$G$2:$G$801, 0)+1)),"0.##")&amp;"+"&amp;TEXT(INDEX(ERP資料!$G:$G, (MATCH(294, 輔助計算!$G$2:$G$801, 0)+1)),"0.##"))))&amp;"-1")&lt;&gt;""),"  ","")&amp;IF(MOD(INDEX(輔助計算!$D:$D, (MATCH(294, 輔助計算!$G$2:$G$801, 0)+1)),IF(INDEX(ERP資料!$G:$G, (MATCH(294, 輔助計算!$G$2:$G$801, 0)+1))&lt;100, IF(INDEX(ERP資料!$G:$G, (MATCH(294, 輔助計算!$G$2:$G$801, 0)+1))&lt;=31,3,IF(INDEX(ERP資料!$G:$G, (MATCH(294, 輔助計算!$G$2:$G$801, 0)+1))&lt;=46.5,2,1)), IF(INDEX(ERP資料!$G:$G, (MATCH(294, 輔助計算!$G$2:$G$801, 0)+1))&lt;=790,3,IF(INDEX(ERP資料!$G:$G, (MATCH(294, 輔助計算!$G$2:$G$801, 0)+1))&lt;=1181,2,1))))=0,"",IF(MOD(INDEX(輔助計算!$D:$D, (MATCH(294, 輔助計算!$G$2:$G$801, 0)+1)),IF(INDEX(ERP資料!$G:$G, (MATCH(294, 輔助計算!$G$2:$G$801, 0)+1))&lt;100, IF(INDEX(ERP資料!$G:$G, (MATCH(294, 輔助計算!$G$2:$G$801, 0)+1))&lt;=31,3,IF(INDEX(ERP資料!$G:$G, (MATCH(294, 輔助計算!$G$2:$G$801, 0)+1))&lt;=46.5,2,1)), IF(INDEX(ERP資料!$G:$G, (MATCH(294, 輔助計算!$G$2:$G$801, 0)+1))&lt;=790,3,IF(INDEX(ERP資料!$G:$G, (MATCH(294, 輔助計算!$G$2:$G$801, 0)+1))&lt;=1181,2,1))))=0,"",IF(MOD(INDEX(輔助計算!$D:$D, (MATCH(294, 輔助計算!$G$2:$G$801, 0)+1)),IF(INDEX(ERP資料!$G:$G, (MATCH(294, 輔助計算!$G$2:$G$801, 0)+1))&lt;100, IF(INDEX(ERP資料!$G:$G, (MATCH(294, 輔助計算!$G$2:$G$801, 0)+1))&lt;=31,3,IF(INDEX(ERP資料!$G:$G, (MATCH(294, 輔助計算!$G$2:$G$801, 0)+1))&lt;=46.5,2,1)), IF(INDEX(ERP資料!$G:$G, (MATCH(294, 輔助計算!$G$2:$G$801, 0)+1))&lt;=790,3,IF(INDEX(ERP資料!$G:$G, (MATCH(294, 輔助計算!$G$2:$G$801, 0)+1))&lt;=1181,2,1))))=1,TEXT(INDEX(ERP資料!$G:$G, (MATCH(294, 輔助計算!$G$2:$G$801, 0)+1)),"0.##"),IF(MOD(INDEX(輔助計算!$D:$D, (MATCH(294, 輔助計算!$G$2:$G$801, 0)+1)),IF(INDEX(ERP資料!$G:$G, (MATCH(294, 輔助計算!$G$2:$G$801, 0)+1))&lt;100, IF(INDEX(ERP資料!$G:$G, (MATCH(294, 輔助計算!$G$2:$G$801, 0)+1))&lt;=31,3,IF(INDEX(ERP資料!$G:$G, (MATCH(294, 輔助計算!$G$2:$G$801, 0)+1))&lt;=46.5,2,1)), IF(INDEX(ERP資料!$G:$G, (MATCH(294, 輔助計算!$G$2:$G$801, 0)+1))&lt;=790,3,IF(INDEX(ERP資料!$G:$G, (MATCH(294, 輔助計算!$G$2:$G$801, 0)+1))&lt;=1181,2,1))))=2,TEXT(INDEX(ERP資料!$G:$G, (MATCH(294, 輔助計算!$G$2:$G$801, 0)+1)),"0.##")&amp;"+"&amp;TEXT(INDEX(ERP資料!$G:$G, (MATCH(294, 輔助計算!$G$2:$G$801, 0)+1)),"0.##"),TEXT(INDEX(ERP資料!$G:$G, (MATCH(294, 輔助計算!$G$2:$G$801, 0)+1)),"0.##")&amp;"+"&amp;TEXT(INDEX(ERP資料!$G:$G, (MATCH(294, 輔助計算!$G$2:$G$801, 0)+1)),"0.##")&amp;"+"&amp;TEXT(INDEX(ERP資料!$G:$G, (MATCH(294, 輔助計算!$G$2:$G$801, 0)+1)),"0.##"))))&amp;"-1")), ""), "")</f>
        <v/>
      </c>
      <c r="K295" s="16" t="n"/>
      <c r="L295" s="14">
        <f>IFERROR(IF(AND(IFERROR(INDEX(ERP資料!$A:$A, (MATCH(294, 輔助計算!$G$2:$G$801, 0)+1)), "")&lt;&gt;"", IFERROR(INDEX(ERP資料!$A:$A, (MATCH(294, 輔助計算!$G$2:$G$801, 0)+1)), "")&lt;&gt;IFERROR(INDEX(ERP資料!$A:$A, MATCH(293, 輔助計算!$G$2:$G$801, 0)+1), "")), INDEX(ERP資料!$B:$B, (MATCH(294, 輔助計算!$G$2:$G$801, 0)+1)), ""), "")</f>
        <v/>
      </c>
      <c r="M295" s="17" t="n"/>
    </row>
    <row r="296">
      <c r="A296" s="10">
        <f>IFERROR(IF(AND(IFERROR(INDEX(ERP資料!$A:$A, (MATCH(295, 輔助計算!$G$2:$G$801, 0)+1)), "")&lt;&gt;"", IFERROR(INDEX(ERP資料!$A:$A, (MATCH(295, 輔助計算!$G$2:$G$801, 0)+1)), "")&lt;&gt;IFERROR(INDEX(ERP資料!$A:$A, MATCH(294, 輔助計算!$G$2:$G$801, 0)+1), "")), IFERROR(INDEX(ERP資料!$A:$A, (MATCH(295, 輔助計算!$G$2:$G$801, 0)+1)), ""), ""), "")</f>
        <v/>
      </c>
      <c r="B296" s="10">
        <f>IFERROR(IF(AND(IFERROR(INDEX(ERP資料!$A:$A, (MATCH(295, 輔助計算!$G$2:$G$801, 0)+1)), "")&lt;&gt;"", IFERROR(INDEX(ERP資料!$A:$A, (MATCH(295, 輔助計算!$G$2:$G$801, 0)+1)), "")&lt;&gt;IFERROR(INDEX(ERP資料!$A:$A, MATCH(294, 輔助計算!$G$2:$G$801, 0)+1), "")), INDEX(ERP資料!$S:$S, (MATCH(295, 輔助計算!$G$2:$G$801, 0)+1)), ""), "")</f>
        <v/>
      </c>
      <c r="C296" s="19">
        <f>IFERROR(IF(AND(IFERROR(INDEX(ERP資料!$A:$A, (MATCH(295, 輔助計算!$G$2:$G$801, 0)+1)), "")&lt;&gt;"", IFERROR(INDEX(ERP資料!$A:$A, (MATCH(295, 輔助計算!$G$2:$G$801, 0)+1)), "")&lt;&gt;IFERROR(INDEX(ERP資料!$A:$A, MATCH(294, 輔助計算!$G$2:$G$801, 0)+1), "")), IFERROR(VLOOKUP(LEFT(INDEX(ERP資料!$S:$S, (MATCH(295, 輔助計算!$G$2:$G$801, 0)+1)), 4), 紙管對照表!$A:$C, 3, FALSE), ""), ""), "")</f>
        <v/>
      </c>
      <c r="D296" s="16" t="n"/>
      <c r="E296" s="10">
        <f>IFERROR(IF(INDEX(ERP資料!$H:$H, (MATCH(295, 輔助計算!$G$2:$G$801, 0)+1))="","",INDEX(ERP資料!$H:$H, (MATCH(295, 輔助計算!$G$2:$G$801, 0)+1))), "")</f>
        <v/>
      </c>
      <c r="F296" s="10">
        <f>IFERROR(IF(INDEX(ERP資料!$E:$E, (MATCH(295, 輔助計算!$G$2:$G$801, 0)+1))="","",TRIM(INDEX(ERP資料!$E:$E, (MATCH(295, 輔助計算!$G$2:$G$801, 0)+1)))), "")</f>
        <v/>
      </c>
      <c r="G296" s="10">
        <f>IFERROR(IF(INDEX(ERP資料!$F:$F, (MATCH(295, 輔助計算!$G$2:$G$801, 0)+1))="","",INDEX(ERP資料!$F:$F, (MATCH(295, 輔助計算!$G$2:$G$801, 0)+1))), "")</f>
        <v/>
      </c>
      <c r="H296" s="10">
        <f>IFERROR(IF(INDEX(ERP資料!$G:$G, (MATCH(295, 輔助計算!$G$2:$G$801, 0)+1))="","",INDEX(ERP資料!$G:$G, (MATCH(295, 輔助計算!$G$2:$G$801, 0)+1))), "")</f>
        <v/>
      </c>
      <c r="I296" s="15">
        <f>IFERROR(INDEX(輔助計算!$D:$D, (MATCH(295, 輔助計算!$G$2:$G$801, 0)+1)), "")</f>
        <v/>
      </c>
      <c r="J296" s="15">
        <f>IFERROR(IF(AND(INDEX(輔助計算!$D:$D, (MATCH(295, 輔助計算!$G$2:$G$801, 0)+1))&lt;&gt;"", INDEX(ERP資料!$G:$G, (MATCH(295, 輔助計算!$G$2:$G$801, 0)+1))&lt;&gt;""), TRIM(IF(INT(INDEX(輔助計算!$D:$D, (MATCH(295, 輔助計算!$G$2:$G$801, 0)+1))/IF(INDEX(ERP資料!$G:$G, (MATCH(295, 輔助計算!$G$2:$G$801, 0)+1))&lt;100, IF(INDEX(ERP資料!$G:$G, (MATCH(295, 輔助計算!$G$2:$G$801, 0)+1))&lt;=31,3,IF(INDEX(ERP資料!$G:$G, (MATCH(295, 輔助計算!$G$2:$G$801, 0)+1))&lt;=46.5,2,1)), IF(INDEX(ERP資料!$G:$G, (MATCH(295, 輔助計算!$G$2:$G$801, 0)+1))&lt;=790,3,IF(INDEX(ERP資料!$G:$G, (MATCH(295, 輔助計算!$G$2:$G$801, 0)+1))&lt;=1181,2,1))))&gt;0, IF(IF(INDEX(ERP資料!$G:$G, (MATCH(295, 輔助計算!$G$2:$G$801, 0)+1))&lt;100, IF(INDEX(ERP資料!$G:$G, (MATCH(295, 輔助計算!$G$2:$G$801, 0)+1))&lt;=31,3,IF(INDEX(ERP資料!$G:$G, (MATCH(295, 輔助計算!$G$2:$G$801, 0)+1))&lt;=46.5,2,1)), IF(INDEX(ERP資料!$G:$G, (MATCH(295, 輔助計算!$G$2:$G$801, 0)+1))&lt;=790,3,IF(INDEX(ERP資料!$G:$G, (MATCH(295, 輔助計算!$G$2:$G$801, 0)+1))&lt;=1181,2,1)))=1,TEXT(INDEX(ERP資料!$G:$G, (MATCH(295, 輔助計算!$G$2:$G$801, 0)+1)),"0.##"),IF(IF(INDEX(ERP資料!$G:$G, (MATCH(295, 輔助計算!$G$2:$G$801, 0)+1))&lt;100, IF(INDEX(ERP資料!$G:$G, (MATCH(295, 輔助計算!$G$2:$G$801, 0)+1))&lt;=31,3,IF(INDEX(ERP資料!$G:$G, (MATCH(295, 輔助計算!$G$2:$G$801, 0)+1))&lt;=46.5,2,1)), IF(INDEX(ERP資料!$G:$G, (MATCH(295, 輔助計算!$G$2:$G$801, 0)+1))&lt;=790,3,IF(INDEX(ERP資料!$G:$G, (MATCH(295, 輔助計算!$G$2:$G$801, 0)+1))&lt;=1181,2,1)))=2,TEXT(INDEX(ERP資料!$G:$G, (MATCH(295, 輔助計算!$G$2:$G$801, 0)+1)),"0.##")&amp;"+"&amp;TEXT(INDEX(ERP資料!$G:$G, (MATCH(295, 輔助計算!$G$2:$G$801, 0)+1)),"0.##"),TEXT(INDEX(ERP資料!$G:$G, (MATCH(295, 輔助計算!$G$2:$G$801, 0)+1)),"0.##")&amp;"+"&amp;TEXT(INDEX(ERP資料!$G:$G, (MATCH(295, 輔助計算!$G$2:$G$801, 0)+1)),"0.##")&amp;"+"&amp;TEXT(INDEX(ERP資料!$G:$G, (MATCH(295, 輔助計算!$G$2:$G$801, 0)+1)),"0.##")))&amp;"-"&amp;INT(INDEX(輔助計算!$D:$D, (MATCH(295, 輔助計算!$G$2:$G$801, 0)+1))/IF(INDEX(ERP資料!$G:$G, (MATCH(295, 輔助計算!$G$2:$G$801, 0)+1))&lt;100, IF(INDEX(ERP資料!$G:$G, (MATCH(295, 輔助計算!$G$2:$G$801, 0)+1))&lt;=31,3,IF(INDEX(ERP資料!$G:$G, (MATCH(295, 輔助計算!$G$2:$G$801, 0)+1))&lt;=46.5,2,1)), IF(INDEX(ERP資料!$G:$G, (MATCH(295, 輔助計算!$G$2:$G$801, 0)+1))&lt;=790,3,IF(INDEX(ERP資料!$G:$G, (MATCH(295, 輔助計算!$G$2:$G$801, 0)+1))&lt;=1181,2,1)))), "")&amp;IF(AND(IF(INT(INDEX(輔助計算!$D:$D, (MATCH(295, 輔助計算!$G$2:$G$801, 0)+1))/IF(INDEX(ERP資料!$G:$G, (MATCH(295, 輔助計算!$G$2:$G$801, 0)+1))&lt;100, IF(INDEX(ERP資料!$G:$G, (MATCH(295, 輔助計算!$G$2:$G$801, 0)+1))&lt;=31,3,IF(INDEX(ERP資料!$G:$G, (MATCH(295, 輔助計算!$G$2:$G$801, 0)+1))&lt;=46.5,2,1)), IF(INDEX(ERP資料!$G:$G, (MATCH(295, 輔助計算!$G$2:$G$801, 0)+1))&lt;=790,3,IF(INDEX(ERP資料!$G:$G, (MATCH(295, 輔助計算!$G$2:$G$801, 0)+1))&lt;=1181,2,1))))&gt;0, IF(IF(INDEX(ERP資料!$G:$G, (MATCH(295, 輔助計算!$G$2:$G$801, 0)+1))&lt;100, IF(INDEX(ERP資料!$G:$G, (MATCH(295, 輔助計算!$G$2:$G$801, 0)+1))&lt;=31,3,IF(INDEX(ERP資料!$G:$G, (MATCH(295, 輔助計算!$G$2:$G$801, 0)+1))&lt;=46.5,2,1)), IF(INDEX(ERP資料!$G:$G, (MATCH(295, 輔助計算!$G$2:$G$801, 0)+1))&lt;=790,3,IF(INDEX(ERP資料!$G:$G, (MATCH(295, 輔助計算!$G$2:$G$801, 0)+1))&lt;=1181,2,1)))=1,TEXT(INDEX(ERP資料!$G:$G, (MATCH(295, 輔助計算!$G$2:$G$801, 0)+1)),"0.##"),IF(IF(INDEX(ERP資料!$G:$G, (MATCH(295, 輔助計算!$G$2:$G$801, 0)+1))&lt;100, IF(INDEX(ERP資料!$G:$G, (MATCH(295, 輔助計算!$G$2:$G$801, 0)+1))&lt;=31,3,IF(INDEX(ERP資料!$G:$G, (MATCH(295, 輔助計算!$G$2:$G$801, 0)+1))&lt;=46.5,2,1)), IF(INDEX(ERP資料!$G:$G, (MATCH(295, 輔助計算!$G$2:$G$801, 0)+1))&lt;=790,3,IF(INDEX(ERP資料!$G:$G, (MATCH(295, 輔助計算!$G$2:$G$801, 0)+1))&lt;=1181,2,1)))=2,TEXT(INDEX(ERP資料!$G:$G, (MATCH(295, 輔助計算!$G$2:$G$801, 0)+1)),"0.##")&amp;"+"&amp;TEXT(INDEX(ERP資料!$G:$G, (MATCH(295, 輔助計算!$G$2:$G$801, 0)+1)),"0.##"),TEXT(INDEX(ERP資料!$G:$G, (MATCH(295, 輔助計算!$G$2:$G$801, 0)+1)),"0.##")&amp;"+"&amp;TEXT(INDEX(ERP資料!$G:$G, (MATCH(295, 輔助計算!$G$2:$G$801, 0)+1)),"0.##")&amp;"+"&amp;TEXT(INDEX(ERP資料!$G:$G, (MATCH(295, 輔助計算!$G$2:$G$801, 0)+1)),"0.##")))&amp;"-"&amp;INT(INDEX(輔助計算!$D:$D, (MATCH(295, 輔助計算!$G$2:$G$801, 0)+1))/IF(INDEX(ERP資料!$G:$G, (MATCH(295, 輔助計算!$G$2:$G$801, 0)+1))&lt;100, IF(INDEX(ERP資料!$G:$G, (MATCH(295, 輔助計算!$G$2:$G$801, 0)+1))&lt;=31,3,IF(INDEX(ERP資料!$G:$G, (MATCH(295, 輔助計算!$G$2:$G$801, 0)+1))&lt;=46.5,2,1)), IF(INDEX(ERP資料!$G:$G, (MATCH(295, 輔助計算!$G$2:$G$801, 0)+1))&lt;=790,3,IF(INDEX(ERP資料!$G:$G, (MATCH(295, 輔助計算!$G$2:$G$801, 0)+1))&lt;=1181,2,1)))), "")&lt;&gt;"",IF(MOD(INDEX(輔助計算!$D:$D, (MATCH(295, 輔助計算!$G$2:$G$801, 0)+1)),IF(INDEX(ERP資料!$G:$G, (MATCH(295, 輔助計算!$G$2:$G$801, 0)+1))&lt;100, IF(INDEX(ERP資料!$G:$G, (MATCH(295, 輔助計算!$G$2:$G$801, 0)+1))&lt;=31,3,IF(INDEX(ERP資料!$G:$G, (MATCH(295, 輔助計算!$G$2:$G$801, 0)+1))&lt;=46.5,2,1)), IF(INDEX(ERP資料!$G:$G, (MATCH(295, 輔助計算!$G$2:$G$801, 0)+1))&lt;=790,3,IF(INDEX(ERP資料!$G:$G, (MATCH(295, 輔助計算!$G$2:$G$801, 0)+1))&lt;=1181,2,1))))=0,"",IF(MOD(INDEX(輔助計算!$D:$D, (MATCH(295, 輔助計算!$G$2:$G$801, 0)+1)),IF(INDEX(ERP資料!$G:$G, (MATCH(295, 輔助計算!$G$2:$G$801, 0)+1))&lt;100, IF(INDEX(ERP資料!$G:$G, (MATCH(295, 輔助計算!$G$2:$G$801, 0)+1))&lt;=31,3,IF(INDEX(ERP資料!$G:$G, (MATCH(295, 輔助計算!$G$2:$G$801, 0)+1))&lt;=46.5,2,1)), IF(INDEX(ERP資料!$G:$G, (MATCH(295, 輔助計算!$G$2:$G$801, 0)+1))&lt;=790,3,IF(INDEX(ERP資料!$G:$G, (MATCH(295, 輔助計算!$G$2:$G$801, 0)+1))&lt;=1181,2,1))))=0,"",IF(MOD(INDEX(輔助計算!$D:$D, (MATCH(295, 輔助計算!$G$2:$G$801, 0)+1)),IF(INDEX(ERP資料!$G:$G, (MATCH(295, 輔助計算!$G$2:$G$801, 0)+1))&lt;100, IF(INDEX(ERP資料!$G:$G, (MATCH(295, 輔助計算!$G$2:$G$801, 0)+1))&lt;=31,3,IF(INDEX(ERP資料!$G:$G, (MATCH(295, 輔助計算!$G$2:$G$801, 0)+1))&lt;=46.5,2,1)), IF(INDEX(ERP資料!$G:$G, (MATCH(295, 輔助計算!$G$2:$G$801, 0)+1))&lt;=790,3,IF(INDEX(ERP資料!$G:$G, (MATCH(295, 輔助計算!$G$2:$G$801, 0)+1))&lt;=1181,2,1))))=1,TEXT(INDEX(ERP資料!$G:$G, (MATCH(295, 輔助計算!$G$2:$G$801, 0)+1)),"0.##"),IF(MOD(INDEX(輔助計算!$D:$D, (MATCH(295, 輔助計算!$G$2:$G$801, 0)+1)),IF(INDEX(ERP資料!$G:$G, (MATCH(295, 輔助計算!$G$2:$G$801, 0)+1))&lt;100, IF(INDEX(ERP資料!$G:$G, (MATCH(295, 輔助計算!$G$2:$G$801, 0)+1))&lt;=31,3,IF(INDEX(ERP資料!$G:$G, (MATCH(295, 輔助計算!$G$2:$G$801, 0)+1))&lt;=46.5,2,1)), IF(INDEX(ERP資料!$G:$G, (MATCH(295, 輔助計算!$G$2:$G$801, 0)+1))&lt;=790,3,IF(INDEX(ERP資料!$G:$G, (MATCH(295, 輔助計算!$G$2:$G$801, 0)+1))&lt;=1181,2,1))))=2,TEXT(INDEX(ERP資料!$G:$G, (MATCH(295, 輔助計算!$G$2:$G$801, 0)+1)),"0.##")&amp;"+"&amp;TEXT(INDEX(ERP資料!$G:$G, (MATCH(295, 輔助計算!$G$2:$G$801, 0)+1)),"0.##"),TEXT(INDEX(ERP資料!$G:$G, (MATCH(295, 輔助計算!$G$2:$G$801, 0)+1)),"0.##")&amp;"+"&amp;TEXT(INDEX(ERP資料!$G:$G, (MATCH(295, 輔助計算!$G$2:$G$801, 0)+1)),"0.##")&amp;"+"&amp;TEXT(INDEX(ERP資料!$G:$G, (MATCH(295, 輔助計算!$G$2:$G$801, 0)+1)),"0.##"))))&amp;"-1")&lt;&gt;""),"  ","")&amp;IF(MOD(INDEX(輔助計算!$D:$D, (MATCH(295, 輔助計算!$G$2:$G$801, 0)+1)),IF(INDEX(ERP資料!$G:$G, (MATCH(295, 輔助計算!$G$2:$G$801, 0)+1))&lt;100, IF(INDEX(ERP資料!$G:$G, (MATCH(295, 輔助計算!$G$2:$G$801, 0)+1))&lt;=31,3,IF(INDEX(ERP資料!$G:$G, (MATCH(295, 輔助計算!$G$2:$G$801, 0)+1))&lt;=46.5,2,1)), IF(INDEX(ERP資料!$G:$G, (MATCH(295, 輔助計算!$G$2:$G$801, 0)+1))&lt;=790,3,IF(INDEX(ERP資料!$G:$G, (MATCH(295, 輔助計算!$G$2:$G$801, 0)+1))&lt;=1181,2,1))))=0,"",IF(MOD(INDEX(輔助計算!$D:$D, (MATCH(295, 輔助計算!$G$2:$G$801, 0)+1)),IF(INDEX(ERP資料!$G:$G, (MATCH(295, 輔助計算!$G$2:$G$801, 0)+1))&lt;100, IF(INDEX(ERP資料!$G:$G, (MATCH(295, 輔助計算!$G$2:$G$801, 0)+1))&lt;=31,3,IF(INDEX(ERP資料!$G:$G, (MATCH(295, 輔助計算!$G$2:$G$801, 0)+1))&lt;=46.5,2,1)), IF(INDEX(ERP資料!$G:$G, (MATCH(295, 輔助計算!$G$2:$G$801, 0)+1))&lt;=790,3,IF(INDEX(ERP資料!$G:$G, (MATCH(295, 輔助計算!$G$2:$G$801, 0)+1))&lt;=1181,2,1))))=0,"",IF(MOD(INDEX(輔助計算!$D:$D, (MATCH(295, 輔助計算!$G$2:$G$801, 0)+1)),IF(INDEX(ERP資料!$G:$G, (MATCH(295, 輔助計算!$G$2:$G$801, 0)+1))&lt;100, IF(INDEX(ERP資料!$G:$G, (MATCH(295, 輔助計算!$G$2:$G$801, 0)+1))&lt;=31,3,IF(INDEX(ERP資料!$G:$G, (MATCH(295, 輔助計算!$G$2:$G$801, 0)+1))&lt;=46.5,2,1)), IF(INDEX(ERP資料!$G:$G, (MATCH(295, 輔助計算!$G$2:$G$801, 0)+1))&lt;=790,3,IF(INDEX(ERP資料!$G:$G, (MATCH(295, 輔助計算!$G$2:$G$801, 0)+1))&lt;=1181,2,1))))=1,TEXT(INDEX(ERP資料!$G:$G, (MATCH(295, 輔助計算!$G$2:$G$801, 0)+1)),"0.##"),IF(MOD(INDEX(輔助計算!$D:$D, (MATCH(295, 輔助計算!$G$2:$G$801, 0)+1)),IF(INDEX(ERP資料!$G:$G, (MATCH(295, 輔助計算!$G$2:$G$801, 0)+1))&lt;100, IF(INDEX(ERP資料!$G:$G, (MATCH(295, 輔助計算!$G$2:$G$801, 0)+1))&lt;=31,3,IF(INDEX(ERP資料!$G:$G, (MATCH(295, 輔助計算!$G$2:$G$801, 0)+1))&lt;=46.5,2,1)), IF(INDEX(ERP資料!$G:$G, (MATCH(295, 輔助計算!$G$2:$G$801, 0)+1))&lt;=790,3,IF(INDEX(ERP資料!$G:$G, (MATCH(295, 輔助計算!$G$2:$G$801, 0)+1))&lt;=1181,2,1))))=2,TEXT(INDEX(ERP資料!$G:$G, (MATCH(295, 輔助計算!$G$2:$G$801, 0)+1)),"0.##")&amp;"+"&amp;TEXT(INDEX(ERP資料!$G:$G, (MATCH(295, 輔助計算!$G$2:$G$801, 0)+1)),"0.##"),TEXT(INDEX(ERP資料!$G:$G, (MATCH(295, 輔助計算!$G$2:$G$801, 0)+1)),"0.##")&amp;"+"&amp;TEXT(INDEX(ERP資料!$G:$G, (MATCH(295, 輔助計算!$G$2:$G$801, 0)+1)),"0.##")&amp;"+"&amp;TEXT(INDEX(ERP資料!$G:$G, (MATCH(295, 輔助計算!$G$2:$G$801, 0)+1)),"0.##"))))&amp;"-1")), ""), "")</f>
        <v/>
      </c>
      <c r="K296" s="16" t="n"/>
      <c r="L296" s="14">
        <f>IFERROR(IF(AND(IFERROR(INDEX(ERP資料!$A:$A, (MATCH(295, 輔助計算!$G$2:$G$801, 0)+1)), "")&lt;&gt;"", IFERROR(INDEX(ERP資料!$A:$A, (MATCH(295, 輔助計算!$G$2:$G$801, 0)+1)), "")&lt;&gt;IFERROR(INDEX(ERP資料!$A:$A, MATCH(294, 輔助計算!$G$2:$G$801, 0)+1), "")), INDEX(ERP資料!$B:$B, (MATCH(295, 輔助計算!$G$2:$G$801, 0)+1)), ""), "")</f>
        <v/>
      </c>
      <c r="M296" s="17" t="n"/>
    </row>
    <row r="297">
      <c r="A297" s="10">
        <f>IFERROR(IF(AND(IFERROR(INDEX(ERP資料!$A:$A, (MATCH(296, 輔助計算!$G$2:$G$801, 0)+1)), "")&lt;&gt;"", IFERROR(INDEX(ERP資料!$A:$A, (MATCH(296, 輔助計算!$G$2:$G$801, 0)+1)), "")&lt;&gt;IFERROR(INDEX(ERP資料!$A:$A, MATCH(295, 輔助計算!$G$2:$G$801, 0)+1), "")), IFERROR(INDEX(ERP資料!$A:$A, (MATCH(296, 輔助計算!$G$2:$G$801, 0)+1)), ""), ""), "")</f>
        <v/>
      </c>
      <c r="B297" s="10">
        <f>IFERROR(IF(AND(IFERROR(INDEX(ERP資料!$A:$A, (MATCH(296, 輔助計算!$G$2:$G$801, 0)+1)), "")&lt;&gt;"", IFERROR(INDEX(ERP資料!$A:$A, (MATCH(296, 輔助計算!$G$2:$G$801, 0)+1)), "")&lt;&gt;IFERROR(INDEX(ERP資料!$A:$A, MATCH(295, 輔助計算!$G$2:$G$801, 0)+1), "")), INDEX(ERP資料!$S:$S, (MATCH(296, 輔助計算!$G$2:$G$801, 0)+1)), ""), "")</f>
        <v/>
      </c>
      <c r="C297" s="19">
        <f>IFERROR(IF(AND(IFERROR(INDEX(ERP資料!$A:$A, (MATCH(296, 輔助計算!$G$2:$G$801, 0)+1)), "")&lt;&gt;"", IFERROR(INDEX(ERP資料!$A:$A, (MATCH(296, 輔助計算!$G$2:$G$801, 0)+1)), "")&lt;&gt;IFERROR(INDEX(ERP資料!$A:$A, MATCH(295, 輔助計算!$G$2:$G$801, 0)+1), "")), IFERROR(VLOOKUP(LEFT(INDEX(ERP資料!$S:$S, (MATCH(296, 輔助計算!$G$2:$G$801, 0)+1)), 4), 紙管對照表!$A:$C, 3, FALSE), ""), ""), "")</f>
        <v/>
      </c>
      <c r="D297" s="16" t="n"/>
      <c r="E297" s="10">
        <f>IFERROR(IF(INDEX(ERP資料!$H:$H, (MATCH(296, 輔助計算!$G$2:$G$801, 0)+1))="","",INDEX(ERP資料!$H:$H, (MATCH(296, 輔助計算!$G$2:$G$801, 0)+1))), "")</f>
        <v/>
      </c>
      <c r="F297" s="10">
        <f>IFERROR(IF(INDEX(ERP資料!$E:$E, (MATCH(296, 輔助計算!$G$2:$G$801, 0)+1))="","",TRIM(INDEX(ERP資料!$E:$E, (MATCH(296, 輔助計算!$G$2:$G$801, 0)+1)))), "")</f>
        <v/>
      </c>
      <c r="G297" s="10">
        <f>IFERROR(IF(INDEX(ERP資料!$F:$F, (MATCH(296, 輔助計算!$G$2:$G$801, 0)+1))="","",INDEX(ERP資料!$F:$F, (MATCH(296, 輔助計算!$G$2:$G$801, 0)+1))), "")</f>
        <v/>
      </c>
      <c r="H297" s="10">
        <f>IFERROR(IF(INDEX(ERP資料!$G:$G, (MATCH(296, 輔助計算!$G$2:$G$801, 0)+1))="","",INDEX(ERP資料!$G:$G, (MATCH(296, 輔助計算!$G$2:$G$801, 0)+1))), "")</f>
        <v/>
      </c>
      <c r="I297" s="15">
        <f>IFERROR(INDEX(輔助計算!$D:$D, (MATCH(296, 輔助計算!$G$2:$G$801, 0)+1)), "")</f>
        <v/>
      </c>
      <c r="J297" s="15">
        <f>IFERROR(IF(AND(INDEX(輔助計算!$D:$D, (MATCH(296, 輔助計算!$G$2:$G$801, 0)+1))&lt;&gt;"", INDEX(ERP資料!$G:$G, (MATCH(296, 輔助計算!$G$2:$G$801, 0)+1))&lt;&gt;""), TRIM(IF(INT(INDEX(輔助計算!$D:$D, (MATCH(296, 輔助計算!$G$2:$G$801, 0)+1))/IF(INDEX(ERP資料!$G:$G, (MATCH(296, 輔助計算!$G$2:$G$801, 0)+1))&lt;100, IF(INDEX(ERP資料!$G:$G, (MATCH(296, 輔助計算!$G$2:$G$801, 0)+1))&lt;=31,3,IF(INDEX(ERP資料!$G:$G, (MATCH(296, 輔助計算!$G$2:$G$801, 0)+1))&lt;=46.5,2,1)), IF(INDEX(ERP資料!$G:$G, (MATCH(296, 輔助計算!$G$2:$G$801, 0)+1))&lt;=790,3,IF(INDEX(ERP資料!$G:$G, (MATCH(296, 輔助計算!$G$2:$G$801, 0)+1))&lt;=1181,2,1))))&gt;0, IF(IF(INDEX(ERP資料!$G:$G, (MATCH(296, 輔助計算!$G$2:$G$801, 0)+1))&lt;100, IF(INDEX(ERP資料!$G:$G, (MATCH(296, 輔助計算!$G$2:$G$801, 0)+1))&lt;=31,3,IF(INDEX(ERP資料!$G:$G, (MATCH(296, 輔助計算!$G$2:$G$801, 0)+1))&lt;=46.5,2,1)), IF(INDEX(ERP資料!$G:$G, (MATCH(296, 輔助計算!$G$2:$G$801, 0)+1))&lt;=790,3,IF(INDEX(ERP資料!$G:$G, (MATCH(296, 輔助計算!$G$2:$G$801, 0)+1))&lt;=1181,2,1)))=1,TEXT(INDEX(ERP資料!$G:$G, (MATCH(296, 輔助計算!$G$2:$G$801, 0)+1)),"0.##"),IF(IF(INDEX(ERP資料!$G:$G, (MATCH(296, 輔助計算!$G$2:$G$801, 0)+1))&lt;100, IF(INDEX(ERP資料!$G:$G, (MATCH(296, 輔助計算!$G$2:$G$801, 0)+1))&lt;=31,3,IF(INDEX(ERP資料!$G:$G, (MATCH(296, 輔助計算!$G$2:$G$801, 0)+1))&lt;=46.5,2,1)), IF(INDEX(ERP資料!$G:$G, (MATCH(296, 輔助計算!$G$2:$G$801, 0)+1))&lt;=790,3,IF(INDEX(ERP資料!$G:$G, (MATCH(296, 輔助計算!$G$2:$G$801, 0)+1))&lt;=1181,2,1)))=2,TEXT(INDEX(ERP資料!$G:$G, (MATCH(296, 輔助計算!$G$2:$G$801, 0)+1)),"0.##")&amp;"+"&amp;TEXT(INDEX(ERP資料!$G:$G, (MATCH(296, 輔助計算!$G$2:$G$801, 0)+1)),"0.##"),TEXT(INDEX(ERP資料!$G:$G, (MATCH(296, 輔助計算!$G$2:$G$801, 0)+1)),"0.##")&amp;"+"&amp;TEXT(INDEX(ERP資料!$G:$G, (MATCH(296, 輔助計算!$G$2:$G$801, 0)+1)),"0.##")&amp;"+"&amp;TEXT(INDEX(ERP資料!$G:$G, (MATCH(296, 輔助計算!$G$2:$G$801, 0)+1)),"0.##")))&amp;"-"&amp;INT(INDEX(輔助計算!$D:$D, (MATCH(296, 輔助計算!$G$2:$G$801, 0)+1))/IF(INDEX(ERP資料!$G:$G, (MATCH(296, 輔助計算!$G$2:$G$801, 0)+1))&lt;100, IF(INDEX(ERP資料!$G:$G, (MATCH(296, 輔助計算!$G$2:$G$801, 0)+1))&lt;=31,3,IF(INDEX(ERP資料!$G:$G, (MATCH(296, 輔助計算!$G$2:$G$801, 0)+1))&lt;=46.5,2,1)), IF(INDEX(ERP資料!$G:$G, (MATCH(296, 輔助計算!$G$2:$G$801, 0)+1))&lt;=790,3,IF(INDEX(ERP資料!$G:$G, (MATCH(296, 輔助計算!$G$2:$G$801, 0)+1))&lt;=1181,2,1)))), "")&amp;IF(AND(IF(INT(INDEX(輔助計算!$D:$D, (MATCH(296, 輔助計算!$G$2:$G$801, 0)+1))/IF(INDEX(ERP資料!$G:$G, (MATCH(296, 輔助計算!$G$2:$G$801, 0)+1))&lt;100, IF(INDEX(ERP資料!$G:$G, (MATCH(296, 輔助計算!$G$2:$G$801, 0)+1))&lt;=31,3,IF(INDEX(ERP資料!$G:$G, (MATCH(296, 輔助計算!$G$2:$G$801, 0)+1))&lt;=46.5,2,1)), IF(INDEX(ERP資料!$G:$G, (MATCH(296, 輔助計算!$G$2:$G$801, 0)+1))&lt;=790,3,IF(INDEX(ERP資料!$G:$G, (MATCH(296, 輔助計算!$G$2:$G$801, 0)+1))&lt;=1181,2,1))))&gt;0, IF(IF(INDEX(ERP資料!$G:$G, (MATCH(296, 輔助計算!$G$2:$G$801, 0)+1))&lt;100, IF(INDEX(ERP資料!$G:$G, (MATCH(296, 輔助計算!$G$2:$G$801, 0)+1))&lt;=31,3,IF(INDEX(ERP資料!$G:$G, (MATCH(296, 輔助計算!$G$2:$G$801, 0)+1))&lt;=46.5,2,1)), IF(INDEX(ERP資料!$G:$G, (MATCH(296, 輔助計算!$G$2:$G$801, 0)+1))&lt;=790,3,IF(INDEX(ERP資料!$G:$G, (MATCH(296, 輔助計算!$G$2:$G$801, 0)+1))&lt;=1181,2,1)))=1,TEXT(INDEX(ERP資料!$G:$G, (MATCH(296, 輔助計算!$G$2:$G$801, 0)+1)),"0.##"),IF(IF(INDEX(ERP資料!$G:$G, (MATCH(296, 輔助計算!$G$2:$G$801, 0)+1))&lt;100, IF(INDEX(ERP資料!$G:$G, (MATCH(296, 輔助計算!$G$2:$G$801, 0)+1))&lt;=31,3,IF(INDEX(ERP資料!$G:$G, (MATCH(296, 輔助計算!$G$2:$G$801, 0)+1))&lt;=46.5,2,1)), IF(INDEX(ERP資料!$G:$G, (MATCH(296, 輔助計算!$G$2:$G$801, 0)+1))&lt;=790,3,IF(INDEX(ERP資料!$G:$G, (MATCH(296, 輔助計算!$G$2:$G$801, 0)+1))&lt;=1181,2,1)))=2,TEXT(INDEX(ERP資料!$G:$G, (MATCH(296, 輔助計算!$G$2:$G$801, 0)+1)),"0.##")&amp;"+"&amp;TEXT(INDEX(ERP資料!$G:$G, (MATCH(296, 輔助計算!$G$2:$G$801, 0)+1)),"0.##"),TEXT(INDEX(ERP資料!$G:$G, (MATCH(296, 輔助計算!$G$2:$G$801, 0)+1)),"0.##")&amp;"+"&amp;TEXT(INDEX(ERP資料!$G:$G, (MATCH(296, 輔助計算!$G$2:$G$801, 0)+1)),"0.##")&amp;"+"&amp;TEXT(INDEX(ERP資料!$G:$G, (MATCH(296, 輔助計算!$G$2:$G$801, 0)+1)),"0.##")))&amp;"-"&amp;INT(INDEX(輔助計算!$D:$D, (MATCH(296, 輔助計算!$G$2:$G$801, 0)+1))/IF(INDEX(ERP資料!$G:$G, (MATCH(296, 輔助計算!$G$2:$G$801, 0)+1))&lt;100, IF(INDEX(ERP資料!$G:$G, (MATCH(296, 輔助計算!$G$2:$G$801, 0)+1))&lt;=31,3,IF(INDEX(ERP資料!$G:$G, (MATCH(296, 輔助計算!$G$2:$G$801, 0)+1))&lt;=46.5,2,1)), IF(INDEX(ERP資料!$G:$G, (MATCH(296, 輔助計算!$G$2:$G$801, 0)+1))&lt;=790,3,IF(INDEX(ERP資料!$G:$G, (MATCH(296, 輔助計算!$G$2:$G$801, 0)+1))&lt;=1181,2,1)))), "")&lt;&gt;"",IF(MOD(INDEX(輔助計算!$D:$D, (MATCH(296, 輔助計算!$G$2:$G$801, 0)+1)),IF(INDEX(ERP資料!$G:$G, (MATCH(296, 輔助計算!$G$2:$G$801, 0)+1))&lt;100, IF(INDEX(ERP資料!$G:$G, (MATCH(296, 輔助計算!$G$2:$G$801, 0)+1))&lt;=31,3,IF(INDEX(ERP資料!$G:$G, (MATCH(296, 輔助計算!$G$2:$G$801, 0)+1))&lt;=46.5,2,1)), IF(INDEX(ERP資料!$G:$G, (MATCH(296, 輔助計算!$G$2:$G$801, 0)+1))&lt;=790,3,IF(INDEX(ERP資料!$G:$G, (MATCH(296, 輔助計算!$G$2:$G$801, 0)+1))&lt;=1181,2,1))))=0,"",IF(MOD(INDEX(輔助計算!$D:$D, (MATCH(296, 輔助計算!$G$2:$G$801, 0)+1)),IF(INDEX(ERP資料!$G:$G, (MATCH(296, 輔助計算!$G$2:$G$801, 0)+1))&lt;100, IF(INDEX(ERP資料!$G:$G, (MATCH(296, 輔助計算!$G$2:$G$801, 0)+1))&lt;=31,3,IF(INDEX(ERP資料!$G:$G, (MATCH(296, 輔助計算!$G$2:$G$801, 0)+1))&lt;=46.5,2,1)), IF(INDEX(ERP資料!$G:$G, (MATCH(296, 輔助計算!$G$2:$G$801, 0)+1))&lt;=790,3,IF(INDEX(ERP資料!$G:$G, (MATCH(296, 輔助計算!$G$2:$G$801, 0)+1))&lt;=1181,2,1))))=0,"",IF(MOD(INDEX(輔助計算!$D:$D, (MATCH(296, 輔助計算!$G$2:$G$801, 0)+1)),IF(INDEX(ERP資料!$G:$G, (MATCH(296, 輔助計算!$G$2:$G$801, 0)+1))&lt;100, IF(INDEX(ERP資料!$G:$G, (MATCH(296, 輔助計算!$G$2:$G$801, 0)+1))&lt;=31,3,IF(INDEX(ERP資料!$G:$G, (MATCH(296, 輔助計算!$G$2:$G$801, 0)+1))&lt;=46.5,2,1)), IF(INDEX(ERP資料!$G:$G, (MATCH(296, 輔助計算!$G$2:$G$801, 0)+1))&lt;=790,3,IF(INDEX(ERP資料!$G:$G, (MATCH(296, 輔助計算!$G$2:$G$801, 0)+1))&lt;=1181,2,1))))=1,TEXT(INDEX(ERP資料!$G:$G, (MATCH(296, 輔助計算!$G$2:$G$801, 0)+1)),"0.##"),IF(MOD(INDEX(輔助計算!$D:$D, (MATCH(296, 輔助計算!$G$2:$G$801, 0)+1)),IF(INDEX(ERP資料!$G:$G, (MATCH(296, 輔助計算!$G$2:$G$801, 0)+1))&lt;100, IF(INDEX(ERP資料!$G:$G, (MATCH(296, 輔助計算!$G$2:$G$801, 0)+1))&lt;=31,3,IF(INDEX(ERP資料!$G:$G, (MATCH(296, 輔助計算!$G$2:$G$801, 0)+1))&lt;=46.5,2,1)), IF(INDEX(ERP資料!$G:$G, (MATCH(296, 輔助計算!$G$2:$G$801, 0)+1))&lt;=790,3,IF(INDEX(ERP資料!$G:$G, (MATCH(296, 輔助計算!$G$2:$G$801, 0)+1))&lt;=1181,2,1))))=2,TEXT(INDEX(ERP資料!$G:$G, (MATCH(296, 輔助計算!$G$2:$G$801, 0)+1)),"0.##")&amp;"+"&amp;TEXT(INDEX(ERP資料!$G:$G, (MATCH(296, 輔助計算!$G$2:$G$801, 0)+1)),"0.##"),TEXT(INDEX(ERP資料!$G:$G, (MATCH(296, 輔助計算!$G$2:$G$801, 0)+1)),"0.##")&amp;"+"&amp;TEXT(INDEX(ERP資料!$G:$G, (MATCH(296, 輔助計算!$G$2:$G$801, 0)+1)),"0.##")&amp;"+"&amp;TEXT(INDEX(ERP資料!$G:$G, (MATCH(296, 輔助計算!$G$2:$G$801, 0)+1)),"0.##"))))&amp;"-1")&lt;&gt;""),"  ","")&amp;IF(MOD(INDEX(輔助計算!$D:$D, (MATCH(296, 輔助計算!$G$2:$G$801, 0)+1)),IF(INDEX(ERP資料!$G:$G, (MATCH(296, 輔助計算!$G$2:$G$801, 0)+1))&lt;100, IF(INDEX(ERP資料!$G:$G, (MATCH(296, 輔助計算!$G$2:$G$801, 0)+1))&lt;=31,3,IF(INDEX(ERP資料!$G:$G, (MATCH(296, 輔助計算!$G$2:$G$801, 0)+1))&lt;=46.5,2,1)), IF(INDEX(ERP資料!$G:$G, (MATCH(296, 輔助計算!$G$2:$G$801, 0)+1))&lt;=790,3,IF(INDEX(ERP資料!$G:$G, (MATCH(296, 輔助計算!$G$2:$G$801, 0)+1))&lt;=1181,2,1))))=0,"",IF(MOD(INDEX(輔助計算!$D:$D, (MATCH(296, 輔助計算!$G$2:$G$801, 0)+1)),IF(INDEX(ERP資料!$G:$G, (MATCH(296, 輔助計算!$G$2:$G$801, 0)+1))&lt;100, IF(INDEX(ERP資料!$G:$G, (MATCH(296, 輔助計算!$G$2:$G$801, 0)+1))&lt;=31,3,IF(INDEX(ERP資料!$G:$G, (MATCH(296, 輔助計算!$G$2:$G$801, 0)+1))&lt;=46.5,2,1)), IF(INDEX(ERP資料!$G:$G, (MATCH(296, 輔助計算!$G$2:$G$801, 0)+1))&lt;=790,3,IF(INDEX(ERP資料!$G:$G, (MATCH(296, 輔助計算!$G$2:$G$801, 0)+1))&lt;=1181,2,1))))=0,"",IF(MOD(INDEX(輔助計算!$D:$D, (MATCH(296, 輔助計算!$G$2:$G$801, 0)+1)),IF(INDEX(ERP資料!$G:$G, (MATCH(296, 輔助計算!$G$2:$G$801, 0)+1))&lt;100, IF(INDEX(ERP資料!$G:$G, (MATCH(296, 輔助計算!$G$2:$G$801, 0)+1))&lt;=31,3,IF(INDEX(ERP資料!$G:$G, (MATCH(296, 輔助計算!$G$2:$G$801, 0)+1))&lt;=46.5,2,1)), IF(INDEX(ERP資料!$G:$G, (MATCH(296, 輔助計算!$G$2:$G$801, 0)+1))&lt;=790,3,IF(INDEX(ERP資料!$G:$G, (MATCH(296, 輔助計算!$G$2:$G$801, 0)+1))&lt;=1181,2,1))))=1,TEXT(INDEX(ERP資料!$G:$G, (MATCH(296, 輔助計算!$G$2:$G$801, 0)+1)),"0.##"),IF(MOD(INDEX(輔助計算!$D:$D, (MATCH(296, 輔助計算!$G$2:$G$801, 0)+1)),IF(INDEX(ERP資料!$G:$G, (MATCH(296, 輔助計算!$G$2:$G$801, 0)+1))&lt;100, IF(INDEX(ERP資料!$G:$G, (MATCH(296, 輔助計算!$G$2:$G$801, 0)+1))&lt;=31,3,IF(INDEX(ERP資料!$G:$G, (MATCH(296, 輔助計算!$G$2:$G$801, 0)+1))&lt;=46.5,2,1)), IF(INDEX(ERP資料!$G:$G, (MATCH(296, 輔助計算!$G$2:$G$801, 0)+1))&lt;=790,3,IF(INDEX(ERP資料!$G:$G, (MATCH(296, 輔助計算!$G$2:$G$801, 0)+1))&lt;=1181,2,1))))=2,TEXT(INDEX(ERP資料!$G:$G, (MATCH(296, 輔助計算!$G$2:$G$801, 0)+1)),"0.##")&amp;"+"&amp;TEXT(INDEX(ERP資料!$G:$G, (MATCH(296, 輔助計算!$G$2:$G$801, 0)+1)),"0.##"),TEXT(INDEX(ERP資料!$G:$G, (MATCH(296, 輔助計算!$G$2:$G$801, 0)+1)),"0.##")&amp;"+"&amp;TEXT(INDEX(ERP資料!$G:$G, (MATCH(296, 輔助計算!$G$2:$G$801, 0)+1)),"0.##")&amp;"+"&amp;TEXT(INDEX(ERP資料!$G:$G, (MATCH(296, 輔助計算!$G$2:$G$801, 0)+1)),"0.##"))))&amp;"-1")), ""), "")</f>
        <v/>
      </c>
      <c r="K297" s="16" t="n"/>
      <c r="L297" s="14">
        <f>IFERROR(IF(AND(IFERROR(INDEX(ERP資料!$A:$A, (MATCH(296, 輔助計算!$G$2:$G$801, 0)+1)), "")&lt;&gt;"", IFERROR(INDEX(ERP資料!$A:$A, (MATCH(296, 輔助計算!$G$2:$G$801, 0)+1)), "")&lt;&gt;IFERROR(INDEX(ERP資料!$A:$A, MATCH(295, 輔助計算!$G$2:$G$801, 0)+1), "")), INDEX(ERP資料!$B:$B, (MATCH(296, 輔助計算!$G$2:$G$801, 0)+1)), ""), "")</f>
        <v/>
      </c>
      <c r="M297" s="17" t="n"/>
    </row>
    <row r="298">
      <c r="A298" s="10">
        <f>IFERROR(IF(AND(IFERROR(INDEX(ERP資料!$A:$A, (MATCH(297, 輔助計算!$G$2:$G$801, 0)+1)), "")&lt;&gt;"", IFERROR(INDEX(ERP資料!$A:$A, (MATCH(297, 輔助計算!$G$2:$G$801, 0)+1)), "")&lt;&gt;IFERROR(INDEX(ERP資料!$A:$A, MATCH(296, 輔助計算!$G$2:$G$801, 0)+1), "")), IFERROR(INDEX(ERP資料!$A:$A, (MATCH(297, 輔助計算!$G$2:$G$801, 0)+1)), ""), ""), "")</f>
        <v/>
      </c>
      <c r="B298" s="10">
        <f>IFERROR(IF(AND(IFERROR(INDEX(ERP資料!$A:$A, (MATCH(297, 輔助計算!$G$2:$G$801, 0)+1)), "")&lt;&gt;"", IFERROR(INDEX(ERP資料!$A:$A, (MATCH(297, 輔助計算!$G$2:$G$801, 0)+1)), "")&lt;&gt;IFERROR(INDEX(ERP資料!$A:$A, MATCH(296, 輔助計算!$G$2:$G$801, 0)+1), "")), INDEX(ERP資料!$S:$S, (MATCH(297, 輔助計算!$G$2:$G$801, 0)+1)), ""), "")</f>
        <v/>
      </c>
      <c r="C298" s="19">
        <f>IFERROR(IF(AND(IFERROR(INDEX(ERP資料!$A:$A, (MATCH(297, 輔助計算!$G$2:$G$801, 0)+1)), "")&lt;&gt;"", IFERROR(INDEX(ERP資料!$A:$A, (MATCH(297, 輔助計算!$G$2:$G$801, 0)+1)), "")&lt;&gt;IFERROR(INDEX(ERP資料!$A:$A, MATCH(296, 輔助計算!$G$2:$G$801, 0)+1), "")), IFERROR(VLOOKUP(LEFT(INDEX(ERP資料!$S:$S, (MATCH(297, 輔助計算!$G$2:$G$801, 0)+1)), 4), 紙管對照表!$A:$C, 3, FALSE), ""), ""), "")</f>
        <v/>
      </c>
      <c r="D298" s="16" t="n"/>
      <c r="E298" s="10">
        <f>IFERROR(IF(INDEX(ERP資料!$H:$H, (MATCH(297, 輔助計算!$G$2:$G$801, 0)+1))="","",INDEX(ERP資料!$H:$H, (MATCH(297, 輔助計算!$G$2:$G$801, 0)+1))), "")</f>
        <v/>
      </c>
      <c r="F298" s="10">
        <f>IFERROR(IF(INDEX(ERP資料!$E:$E, (MATCH(297, 輔助計算!$G$2:$G$801, 0)+1))="","",TRIM(INDEX(ERP資料!$E:$E, (MATCH(297, 輔助計算!$G$2:$G$801, 0)+1)))), "")</f>
        <v/>
      </c>
      <c r="G298" s="10">
        <f>IFERROR(IF(INDEX(ERP資料!$F:$F, (MATCH(297, 輔助計算!$G$2:$G$801, 0)+1))="","",INDEX(ERP資料!$F:$F, (MATCH(297, 輔助計算!$G$2:$G$801, 0)+1))), "")</f>
        <v/>
      </c>
      <c r="H298" s="10">
        <f>IFERROR(IF(INDEX(ERP資料!$G:$G, (MATCH(297, 輔助計算!$G$2:$G$801, 0)+1))="","",INDEX(ERP資料!$G:$G, (MATCH(297, 輔助計算!$G$2:$G$801, 0)+1))), "")</f>
        <v/>
      </c>
      <c r="I298" s="15">
        <f>IFERROR(INDEX(輔助計算!$D:$D, (MATCH(297, 輔助計算!$G$2:$G$801, 0)+1)), "")</f>
        <v/>
      </c>
      <c r="J298" s="15">
        <f>IFERROR(IF(AND(INDEX(輔助計算!$D:$D, (MATCH(297, 輔助計算!$G$2:$G$801, 0)+1))&lt;&gt;"", INDEX(ERP資料!$G:$G, (MATCH(297, 輔助計算!$G$2:$G$801, 0)+1))&lt;&gt;""), TRIM(IF(INT(INDEX(輔助計算!$D:$D, (MATCH(297, 輔助計算!$G$2:$G$801, 0)+1))/IF(INDEX(ERP資料!$G:$G, (MATCH(297, 輔助計算!$G$2:$G$801, 0)+1))&lt;100, IF(INDEX(ERP資料!$G:$G, (MATCH(297, 輔助計算!$G$2:$G$801, 0)+1))&lt;=31,3,IF(INDEX(ERP資料!$G:$G, (MATCH(297, 輔助計算!$G$2:$G$801, 0)+1))&lt;=46.5,2,1)), IF(INDEX(ERP資料!$G:$G, (MATCH(297, 輔助計算!$G$2:$G$801, 0)+1))&lt;=790,3,IF(INDEX(ERP資料!$G:$G, (MATCH(297, 輔助計算!$G$2:$G$801, 0)+1))&lt;=1181,2,1))))&gt;0, IF(IF(INDEX(ERP資料!$G:$G, (MATCH(297, 輔助計算!$G$2:$G$801, 0)+1))&lt;100, IF(INDEX(ERP資料!$G:$G, (MATCH(297, 輔助計算!$G$2:$G$801, 0)+1))&lt;=31,3,IF(INDEX(ERP資料!$G:$G, (MATCH(297, 輔助計算!$G$2:$G$801, 0)+1))&lt;=46.5,2,1)), IF(INDEX(ERP資料!$G:$G, (MATCH(297, 輔助計算!$G$2:$G$801, 0)+1))&lt;=790,3,IF(INDEX(ERP資料!$G:$G, (MATCH(297, 輔助計算!$G$2:$G$801, 0)+1))&lt;=1181,2,1)))=1,TEXT(INDEX(ERP資料!$G:$G, (MATCH(297, 輔助計算!$G$2:$G$801, 0)+1)),"0.##"),IF(IF(INDEX(ERP資料!$G:$G, (MATCH(297, 輔助計算!$G$2:$G$801, 0)+1))&lt;100, IF(INDEX(ERP資料!$G:$G, (MATCH(297, 輔助計算!$G$2:$G$801, 0)+1))&lt;=31,3,IF(INDEX(ERP資料!$G:$G, (MATCH(297, 輔助計算!$G$2:$G$801, 0)+1))&lt;=46.5,2,1)), IF(INDEX(ERP資料!$G:$G, (MATCH(297, 輔助計算!$G$2:$G$801, 0)+1))&lt;=790,3,IF(INDEX(ERP資料!$G:$G, (MATCH(297, 輔助計算!$G$2:$G$801, 0)+1))&lt;=1181,2,1)))=2,TEXT(INDEX(ERP資料!$G:$G, (MATCH(297, 輔助計算!$G$2:$G$801, 0)+1)),"0.##")&amp;"+"&amp;TEXT(INDEX(ERP資料!$G:$G, (MATCH(297, 輔助計算!$G$2:$G$801, 0)+1)),"0.##"),TEXT(INDEX(ERP資料!$G:$G, (MATCH(297, 輔助計算!$G$2:$G$801, 0)+1)),"0.##")&amp;"+"&amp;TEXT(INDEX(ERP資料!$G:$G, (MATCH(297, 輔助計算!$G$2:$G$801, 0)+1)),"0.##")&amp;"+"&amp;TEXT(INDEX(ERP資料!$G:$G, (MATCH(297, 輔助計算!$G$2:$G$801, 0)+1)),"0.##")))&amp;"-"&amp;INT(INDEX(輔助計算!$D:$D, (MATCH(297, 輔助計算!$G$2:$G$801, 0)+1))/IF(INDEX(ERP資料!$G:$G, (MATCH(297, 輔助計算!$G$2:$G$801, 0)+1))&lt;100, IF(INDEX(ERP資料!$G:$G, (MATCH(297, 輔助計算!$G$2:$G$801, 0)+1))&lt;=31,3,IF(INDEX(ERP資料!$G:$G, (MATCH(297, 輔助計算!$G$2:$G$801, 0)+1))&lt;=46.5,2,1)), IF(INDEX(ERP資料!$G:$G, (MATCH(297, 輔助計算!$G$2:$G$801, 0)+1))&lt;=790,3,IF(INDEX(ERP資料!$G:$G, (MATCH(297, 輔助計算!$G$2:$G$801, 0)+1))&lt;=1181,2,1)))), "")&amp;IF(AND(IF(INT(INDEX(輔助計算!$D:$D, (MATCH(297, 輔助計算!$G$2:$G$801, 0)+1))/IF(INDEX(ERP資料!$G:$G, (MATCH(297, 輔助計算!$G$2:$G$801, 0)+1))&lt;100, IF(INDEX(ERP資料!$G:$G, (MATCH(297, 輔助計算!$G$2:$G$801, 0)+1))&lt;=31,3,IF(INDEX(ERP資料!$G:$G, (MATCH(297, 輔助計算!$G$2:$G$801, 0)+1))&lt;=46.5,2,1)), IF(INDEX(ERP資料!$G:$G, (MATCH(297, 輔助計算!$G$2:$G$801, 0)+1))&lt;=790,3,IF(INDEX(ERP資料!$G:$G, (MATCH(297, 輔助計算!$G$2:$G$801, 0)+1))&lt;=1181,2,1))))&gt;0, IF(IF(INDEX(ERP資料!$G:$G, (MATCH(297, 輔助計算!$G$2:$G$801, 0)+1))&lt;100, IF(INDEX(ERP資料!$G:$G, (MATCH(297, 輔助計算!$G$2:$G$801, 0)+1))&lt;=31,3,IF(INDEX(ERP資料!$G:$G, (MATCH(297, 輔助計算!$G$2:$G$801, 0)+1))&lt;=46.5,2,1)), IF(INDEX(ERP資料!$G:$G, (MATCH(297, 輔助計算!$G$2:$G$801, 0)+1))&lt;=790,3,IF(INDEX(ERP資料!$G:$G, (MATCH(297, 輔助計算!$G$2:$G$801, 0)+1))&lt;=1181,2,1)))=1,TEXT(INDEX(ERP資料!$G:$G, (MATCH(297, 輔助計算!$G$2:$G$801, 0)+1)),"0.##"),IF(IF(INDEX(ERP資料!$G:$G, (MATCH(297, 輔助計算!$G$2:$G$801, 0)+1))&lt;100, IF(INDEX(ERP資料!$G:$G, (MATCH(297, 輔助計算!$G$2:$G$801, 0)+1))&lt;=31,3,IF(INDEX(ERP資料!$G:$G, (MATCH(297, 輔助計算!$G$2:$G$801, 0)+1))&lt;=46.5,2,1)), IF(INDEX(ERP資料!$G:$G, (MATCH(297, 輔助計算!$G$2:$G$801, 0)+1))&lt;=790,3,IF(INDEX(ERP資料!$G:$G, (MATCH(297, 輔助計算!$G$2:$G$801, 0)+1))&lt;=1181,2,1)))=2,TEXT(INDEX(ERP資料!$G:$G, (MATCH(297, 輔助計算!$G$2:$G$801, 0)+1)),"0.##")&amp;"+"&amp;TEXT(INDEX(ERP資料!$G:$G, (MATCH(297, 輔助計算!$G$2:$G$801, 0)+1)),"0.##"),TEXT(INDEX(ERP資料!$G:$G, (MATCH(297, 輔助計算!$G$2:$G$801, 0)+1)),"0.##")&amp;"+"&amp;TEXT(INDEX(ERP資料!$G:$G, (MATCH(297, 輔助計算!$G$2:$G$801, 0)+1)),"0.##")&amp;"+"&amp;TEXT(INDEX(ERP資料!$G:$G, (MATCH(297, 輔助計算!$G$2:$G$801, 0)+1)),"0.##")))&amp;"-"&amp;INT(INDEX(輔助計算!$D:$D, (MATCH(297, 輔助計算!$G$2:$G$801, 0)+1))/IF(INDEX(ERP資料!$G:$G, (MATCH(297, 輔助計算!$G$2:$G$801, 0)+1))&lt;100, IF(INDEX(ERP資料!$G:$G, (MATCH(297, 輔助計算!$G$2:$G$801, 0)+1))&lt;=31,3,IF(INDEX(ERP資料!$G:$G, (MATCH(297, 輔助計算!$G$2:$G$801, 0)+1))&lt;=46.5,2,1)), IF(INDEX(ERP資料!$G:$G, (MATCH(297, 輔助計算!$G$2:$G$801, 0)+1))&lt;=790,3,IF(INDEX(ERP資料!$G:$G, (MATCH(297, 輔助計算!$G$2:$G$801, 0)+1))&lt;=1181,2,1)))), "")&lt;&gt;"",IF(MOD(INDEX(輔助計算!$D:$D, (MATCH(297, 輔助計算!$G$2:$G$801, 0)+1)),IF(INDEX(ERP資料!$G:$G, (MATCH(297, 輔助計算!$G$2:$G$801, 0)+1))&lt;100, IF(INDEX(ERP資料!$G:$G, (MATCH(297, 輔助計算!$G$2:$G$801, 0)+1))&lt;=31,3,IF(INDEX(ERP資料!$G:$G, (MATCH(297, 輔助計算!$G$2:$G$801, 0)+1))&lt;=46.5,2,1)), IF(INDEX(ERP資料!$G:$G, (MATCH(297, 輔助計算!$G$2:$G$801, 0)+1))&lt;=790,3,IF(INDEX(ERP資料!$G:$G, (MATCH(297, 輔助計算!$G$2:$G$801, 0)+1))&lt;=1181,2,1))))=0,"",IF(MOD(INDEX(輔助計算!$D:$D, (MATCH(297, 輔助計算!$G$2:$G$801, 0)+1)),IF(INDEX(ERP資料!$G:$G, (MATCH(297, 輔助計算!$G$2:$G$801, 0)+1))&lt;100, IF(INDEX(ERP資料!$G:$G, (MATCH(297, 輔助計算!$G$2:$G$801, 0)+1))&lt;=31,3,IF(INDEX(ERP資料!$G:$G, (MATCH(297, 輔助計算!$G$2:$G$801, 0)+1))&lt;=46.5,2,1)), IF(INDEX(ERP資料!$G:$G, (MATCH(297, 輔助計算!$G$2:$G$801, 0)+1))&lt;=790,3,IF(INDEX(ERP資料!$G:$G, (MATCH(297, 輔助計算!$G$2:$G$801, 0)+1))&lt;=1181,2,1))))=0,"",IF(MOD(INDEX(輔助計算!$D:$D, (MATCH(297, 輔助計算!$G$2:$G$801, 0)+1)),IF(INDEX(ERP資料!$G:$G, (MATCH(297, 輔助計算!$G$2:$G$801, 0)+1))&lt;100, IF(INDEX(ERP資料!$G:$G, (MATCH(297, 輔助計算!$G$2:$G$801, 0)+1))&lt;=31,3,IF(INDEX(ERP資料!$G:$G, (MATCH(297, 輔助計算!$G$2:$G$801, 0)+1))&lt;=46.5,2,1)), IF(INDEX(ERP資料!$G:$G, (MATCH(297, 輔助計算!$G$2:$G$801, 0)+1))&lt;=790,3,IF(INDEX(ERP資料!$G:$G, (MATCH(297, 輔助計算!$G$2:$G$801, 0)+1))&lt;=1181,2,1))))=1,TEXT(INDEX(ERP資料!$G:$G, (MATCH(297, 輔助計算!$G$2:$G$801, 0)+1)),"0.##"),IF(MOD(INDEX(輔助計算!$D:$D, (MATCH(297, 輔助計算!$G$2:$G$801, 0)+1)),IF(INDEX(ERP資料!$G:$G, (MATCH(297, 輔助計算!$G$2:$G$801, 0)+1))&lt;100, IF(INDEX(ERP資料!$G:$G, (MATCH(297, 輔助計算!$G$2:$G$801, 0)+1))&lt;=31,3,IF(INDEX(ERP資料!$G:$G, (MATCH(297, 輔助計算!$G$2:$G$801, 0)+1))&lt;=46.5,2,1)), IF(INDEX(ERP資料!$G:$G, (MATCH(297, 輔助計算!$G$2:$G$801, 0)+1))&lt;=790,3,IF(INDEX(ERP資料!$G:$G, (MATCH(297, 輔助計算!$G$2:$G$801, 0)+1))&lt;=1181,2,1))))=2,TEXT(INDEX(ERP資料!$G:$G, (MATCH(297, 輔助計算!$G$2:$G$801, 0)+1)),"0.##")&amp;"+"&amp;TEXT(INDEX(ERP資料!$G:$G, (MATCH(297, 輔助計算!$G$2:$G$801, 0)+1)),"0.##"),TEXT(INDEX(ERP資料!$G:$G, (MATCH(297, 輔助計算!$G$2:$G$801, 0)+1)),"0.##")&amp;"+"&amp;TEXT(INDEX(ERP資料!$G:$G, (MATCH(297, 輔助計算!$G$2:$G$801, 0)+1)),"0.##")&amp;"+"&amp;TEXT(INDEX(ERP資料!$G:$G, (MATCH(297, 輔助計算!$G$2:$G$801, 0)+1)),"0.##"))))&amp;"-1")&lt;&gt;""),"  ","")&amp;IF(MOD(INDEX(輔助計算!$D:$D, (MATCH(297, 輔助計算!$G$2:$G$801, 0)+1)),IF(INDEX(ERP資料!$G:$G, (MATCH(297, 輔助計算!$G$2:$G$801, 0)+1))&lt;100, IF(INDEX(ERP資料!$G:$G, (MATCH(297, 輔助計算!$G$2:$G$801, 0)+1))&lt;=31,3,IF(INDEX(ERP資料!$G:$G, (MATCH(297, 輔助計算!$G$2:$G$801, 0)+1))&lt;=46.5,2,1)), IF(INDEX(ERP資料!$G:$G, (MATCH(297, 輔助計算!$G$2:$G$801, 0)+1))&lt;=790,3,IF(INDEX(ERP資料!$G:$G, (MATCH(297, 輔助計算!$G$2:$G$801, 0)+1))&lt;=1181,2,1))))=0,"",IF(MOD(INDEX(輔助計算!$D:$D, (MATCH(297, 輔助計算!$G$2:$G$801, 0)+1)),IF(INDEX(ERP資料!$G:$G, (MATCH(297, 輔助計算!$G$2:$G$801, 0)+1))&lt;100, IF(INDEX(ERP資料!$G:$G, (MATCH(297, 輔助計算!$G$2:$G$801, 0)+1))&lt;=31,3,IF(INDEX(ERP資料!$G:$G, (MATCH(297, 輔助計算!$G$2:$G$801, 0)+1))&lt;=46.5,2,1)), IF(INDEX(ERP資料!$G:$G, (MATCH(297, 輔助計算!$G$2:$G$801, 0)+1))&lt;=790,3,IF(INDEX(ERP資料!$G:$G, (MATCH(297, 輔助計算!$G$2:$G$801, 0)+1))&lt;=1181,2,1))))=0,"",IF(MOD(INDEX(輔助計算!$D:$D, (MATCH(297, 輔助計算!$G$2:$G$801, 0)+1)),IF(INDEX(ERP資料!$G:$G, (MATCH(297, 輔助計算!$G$2:$G$801, 0)+1))&lt;100, IF(INDEX(ERP資料!$G:$G, (MATCH(297, 輔助計算!$G$2:$G$801, 0)+1))&lt;=31,3,IF(INDEX(ERP資料!$G:$G, (MATCH(297, 輔助計算!$G$2:$G$801, 0)+1))&lt;=46.5,2,1)), IF(INDEX(ERP資料!$G:$G, (MATCH(297, 輔助計算!$G$2:$G$801, 0)+1))&lt;=790,3,IF(INDEX(ERP資料!$G:$G, (MATCH(297, 輔助計算!$G$2:$G$801, 0)+1))&lt;=1181,2,1))))=1,TEXT(INDEX(ERP資料!$G:$G, (MATCH(297, 輔助計算!$G$2:$G$801, 0)+1)),"0.##"),IF(MOD(INDEX(輔助計算!$D:$D, (MATCH(297, 輔助計算!$G$2:$G$801, 0)+1)),IF(INDEX(ERP資料!$G:$G, (MATCH(297, 輔助計算!$G$2:$G$801, 0)+1))&lt;100, IF(INDEX(ERP資料!$G:$G, (MATCH(297, 輔助計算!$G$2:$G$801, 0)+1))&lt;=31,3,IF(INDEX(ERP資料!$G:$G, (MATCH(297, 輔助計算!$G$2:$G$801, 0)+1))&lt;=46.5,2,1)), IF(INDEX(ERP資料!$G:$G, (MATCH(297, 輔助計算!$G$2:$G$801, 0)+1))&lt;=790,3,IF(INDEX(ERP資料!$G:$G, (MATCH(297, 輔助計算!$G$2:$G$801, 0)+1))&lt;=1181,2,1))))=2,TEXT(INDEX(ERP資料!$G:$G, (MATCH(297, 輔助計算!$G$2:$G$801, 0)+1)),"0.##")&amp;"+"&amp;TEXT(INDEX(ERP資料!$G:$G, (MATCH(297, 輔助計算!$G$2:$G$801, 0)+1)),"0.##"),TEXT(INDEX(ERP資料!$G:$G, (MATCH(297, 輔助計算!$G$2:$G$801, 0)+1)),"0.##")&amp;"+"&amp;TEXT(INDEX(ERP資料!$G:$G, (MATCH(297, 輔助計算!$G$2:$G$801, 0)+1)),"0.##")&amp;"+"&amp;TEXT(INDEX(ERP資料!$G:$G, (MATCH(297, 輔助計算!$G$2:$G$801, 0)+1)),"0.##"))))&amp;"-1")), ""), "")</f>
        <v/>
      </c>
      <c r="K298" s="16" t="n"/>
      <c r="L298" s="14">
        <f>IFERROR(IF(AND(IFERROR(INDEX(ERP資料!$A:$A, (MATCH(297, 輔助計算!$G$2:$G$801, 0)+1)), "")&lt;&gt;"", IFERROR(INDEX(ERP資料!$A:$A, (MATCH(297, 輔助計算!$G$2:$G$801, 0)+1)), "")&lt;&gt;IFERROR(INDEX(ERP資料!$A:$A, MATCH(296, 輔助計算!$G$2:$G$801, 0)+1), "")), INDEX(ERP資料!$B:$B, (MATCH(297, 輔助計算!$G$2:$G$801, 0)+1)), ""), "")</f>
        <v/>
      </c>
      <c r="M298" s="17" t="n"/>
    </row>
    <row r="299">
      <c r="A299" s="10">
        <f>IFERROR(IF(AND(IFERROR(INDEX(ERP資料!$A:$A, (MATCH(298, 輔助計算!$G$2:$G$801, 0)+1)), "")&lt;&gt;"", IFERROR(INDEX(ERP資料!$A:$A, (MATCH(298, 輔助計算!$G$2:$G$801, 0)+1)), "")&lt;&gt;IFERROR(INDEX(ERP資料!$A:$A, MATCH(297, 輔助計算!$G$2:$G$801, 0)+1), "")), IFERROR(INDEX(ERP資料!$A:$A, (MATCH(298, 輔助計算!$G$2:$G$801, 0)+1)), ""), ""), "")</f>
        <v/>
      </c>
      <c r="B299" s="10">
        <f>IFERROR(IF(AND(IFERROR(INDEX(ERP資料!$A:$A, (MATCH(298, 輔助計算!$G$2:$G$801, 0)+1)), "")&lt;&gt;"", IFERROR(INDEX(ERP資料!$A:$A, (MATCH(298, 輔助計算!$G$2:$G$801, 0)+1)), "")&lt;&gt;IFERROR(INDEX(ERP資料!$A:$A, MATCH(297, 輔助計算!$G$2:$G$801, 0)+1), "")), INDEX(ERP資料!$S:$S, (MATCH(298, 輔助計算!$G$2:$G$801, 0)+1)), ""), "")</f>
        <v/>
      </c>
      <c r="C299" s="19">
        <f>IFERROR(IF(AND(IFERROR(INDEX(ERP資料!$A:$A, (MATCH(298, 輔助計算!$G$2:$G$801, 0)+1)), "")&lt;&gt;"", IFERROR(INDEX(ERP資料!$A:$A, (MATCH(298, 輔助計算!$G$2:$G$801, 0)+1)), "")&lt;&gt;IFERROR(INDEX(ERP資料!$A:$A, MATCH(297, 輔助計算!$G$2:$G$801, 0)+1), "")), IFERROR(VLOOKUP(LEFT(INDEX(ERP資料!$S:$S, (MATCH(298, 輔助計算!$G$2:$G$801, 0)+1)), 4), 紙管對照表!$A:$C, 3, FALSE), ""), ""), "")</f>
        <v/>
      </c>
      <c r="D299" s="16" t="n"/>
      <c r="E299" s="10">
        <f>IFERROR(IF(INDEX(ERP資料!$H:$H, (MATCH(298, 輔助計算!$G$2:$G$801, 0)+1))="","",INDEX(ERP資料!$H:$H, (MATCH(298, 輔助計算!$G$2:$G$801, 0)+1))), "")</f>
        <v/>
      </c>
      <c r="F299" s="10">
        <f>IFERROR(IF(INDEX(ERP資料!$E:$E, (MATCH(298, 輔助計算!$G$2:$G$801, 0)+1))="","",TRIM(INDEX(ERP資料!$E:$E, (MATCH(298, 輔助計算!$G$2:$G$801, 0)+1)))), "")</f>
        <v/>
      </c>
      <c r="G299" s="10">
        <f>IFERROR(IF(INDEX(ERP資料!$F:$F, (MATCH(298, 輔助計算!$G$2:$G$801, 0)+1))="","",INDEX(ERP資料!$F:$F, (MATCH(298, 輔助計算!$G$2:$G$801, 0)+1))), "")</f>
        <v/>
      </c>
      <c r="H299" s="10">
        <f>IFERROR(IF(INDEX(ERP資料!$G:$G, (MATCH(298, 輔助計算!$G$2:$G$801, 0)+1))="","",INDEX(ERP資料!$G:$G, (MATCH(298, 輔助計算!$G$2:$G$801, 0)+1))), "")</f>
        <v/>
      </c>
      <c r="I299" s="15">
        <f>IFERROR(INDEX(輔助計算!$D:$D, (MATCH(298, 輔助計算!$G$2:$G$801, 0)+1)), "")</f>
        <v/>
      </c>
      <c r="J299" s="15">
        <f>IFERROR(IF(AND(INDEX(輔助計算!$D:$D, (MATCH(298, 輔助計算!$G$2:$G$801, 0)+1))&lt;&gt;"", INDEX(ERP資料!$G:$G, (MATCH(298, 輔助計算!$G$2:$G$801, 0)+1))&lt;&gt;""), TRIM(IF(INT(INDEX(輔助計算!$D:$D, (MATCH(298, 輔助計算!$G$2:$G$801, 0)+1))/IF(INDEX(ERP資料!$G:$G, (MATCH(298, 輔助計算!$G$2:$G$801, 0)+1))&lt;100, IF(INDEX(ERP資料!$G:$G, (MATCH(298, 輔助計算!$G$2:$G$801, 0)+1))&lt;=31,3,IF(INDEX(ERP資料!$G:$G, (MATCH(298, 輔助計算!$G$2:$G$801, 0)+1))&lt;=46.5,2,1)), IF(INDEX(ERP資料!$G:$G, (MATCH(298, 輔助計算!$G$2:$G$801, 0)+1))&lt;=790,3,IF(INDEX(ERP資料!$G:$G, (MATCH(298, 輔助計算!$G$2:$G$801, 0)+1))&lt;=1181,2,1))))&gt;0, IF(IF(INDEX(ERP資料!$G:$G, (MATCH(298, 輔助計算!$G$2:$G$801, 0)+1))&lt;100, IF(INDEX(ERP資料!$G:$G, (MATCH(298, 輔助計算!$G$2:$G$801, 0)+1))&lt;=31,3,IF(INDEX(ERP資料!$G:$G, (MATCH(298, 輔助計算!$G$2:$G$801, 0)+1))&lt;=46.5,2,1)), IF(INDEX(ERP資料!$G:$G, (MATCH(298, 輔助計算!$G$2:$G$801, 0)+1))&lt;=790,3,IF(INDEX(ERP資料!$G:$G, (MATCH(298, 輔助計算!$G$2:$G$801, 0)+1))&lt;=1181,2,1)))=1,TEXT(INDEX(ERP資料!$G:$G, (MATCH(298, 輔助計算!$G$2:$G$801, 0)+1)),"0.##"),IF(IF(INDEX(ERP資料!$G:$G, (MATCH(298, 輔助計算!$G$2:$G$801, 0)+1))&lt;100, IF(INDEX(ERP資料!$G:$G, (MATCH(298, 輔助計算!$G$2:$G$801, 0)+1))&lt;=31,3,IF(INDEX(ERP資料!$G:$G, (MATCH(298, 輔助計算!$G$2:$G$801, 0)+1))&lt;=46.5,2,1)), IF(INDEX(ERP資料!$G:$G, (MATCH(298, 輔助計算!$G$2:$G$801, 0)+1))&lt;=790,3,IF(INDEX(ERP資料!$G:$G, (MATCH(298, 輔助計算!$G$2:$G$801, 0)+1))&lt;=1181,2,1)))=2,TEXT(INDEX(ERP資料!$G:$G, (MATCH(298, 輔助計算!$G$2:$G$801, 0)+1)),"0.##")&amp;"+"&amp;TEXT(INDEX(ERP資料!$G:$G, (MATCH(298, 輔助計算!$G$2:$G$801, 0)+1)),"0.##"),TEXT(INDEX(ERP資料!$G:$G, (MATCH(298, 輔助計算!$G$2:$G$801, 0)+1)),"0.##")&amp;"+"&amp;TEXT(INDEX(ERP資料!$G:$G, (MATCH(298, 輔助計算!$G$2:$G$801, 0)+1)),"0.##")&amp;"+"&amp;TEXT(INDEX(ERP資料!$G:$G, (MATCH(298, 輔助計算!$G$2:$G$801, 0)+1)),"0.##")))&amp;"-"&amp;INT(INDEX(輔助計算!$D:$D, (MATCH(298, 輔助計算!$G$2:$G$801, 0)+1))/IF(INDEX(ERP資料!$G:$G, (MATCH(298, 輔助計算!$G$2:$G$801, 0)+1))&lt;100, IF(INDEX(ERP資料!$G:$G, (MATCH(298, 輔助計算!$G$2:$G$801, 0)+1))&lt;=31,3,IF(INDEX(ERP資料!$G:$G, (MATCH(298, 輔助計算!$G$2:$G$801, 0)+1))&lt;=46.5,2,1)), IF(INDEX(ERP資料!$G:$G, (MATCH(298, 輔助計算!$G$2:$G$801, 0)+1))&lt;=790,3,IF(INDEX(ERP資料!$G:$G, (MATCH(298, 輔助計算!$G$2:$G$801, 0)+1))&lt;=1181,2,1)))), "")&amp;IF(AND(IF(INT(INDEX(輔助計算!$D:$D, (MATCH(298, 輔助計算!$G$2:$G$801, 0)+1))/IF(INDEX(ERP資料!$G:$G, (MATCH(298, 輔助計算!$G$2:$G$801, 0)+1))&lt;100, IF(INDEX(ERP資料!$G:$G, (MATCH(298, 輔助計算!$G$2:$G$801, 0)+1))&lt;=31,3,IF(INDEX(ERP資料!$G:$G, (MATCH(298, 輔助計算!$G$2:$G$801, 0)+1))&lt;=46.5,2,1)), IF(INDEX(ERP資料!$G:$G, (MATCH(298, 輔助計算!$G$2:$G$801, 0)+1))&lt;=790,3,IF(INDEX(ERP資料!$G:$G, (MATCH(298, 輔助計算!$G$2:$G$801, 0)+1))&lt;=1181,2,1))))&gt;0, IF(IF(INDEX(ERP資料!$G:$G, (MATCH(298, 輔助計算!$G$2:$G$801, 0)+1))&lt;100, IF(INDEX(ERP資料!$G:$G, (MATCH(298, 輔助計算!$G$2:$G$801, 0)+1))&lt;=31,3,IF(INDEX(ERP資料!$G:$G, (MATCH(298, 輔助計算!$G$2:$G$801, 0)+1))&lt;=46.5,2,1)), IF(INDEX(ERP資料!$G:$G, (MATCH(298, 輔助計算!$G$2:$G$801, 0)+1))&lt;=790,3,IF(INDEX(ERP資料!$G:$G, (MATCH(298, 輔助計算!$G$2:$G$801, 0)+1))&lt;=1181,2,1)))=1,TEXT(INDEX(ERP資料!$G:$G, (MATCH(298, 輔助計算!$G$2:$G$801, 0)+1)),"0.##"),IF(IF(INDEX(ERP資料!$G:$G, (MATCH(298, 輔助計算!$G$2:$G$801, 0)+1))&lt;100, IF(INDEX(ERP資料!$G:$G, (MATCH(298, 輔助計算!$G$2:$G$801, 0)+1))&lt;=31,3,IF(INDEX(ERP資料!$G:$G, (MATCH(298, 輔助計算!$G$2:$G$801, 0)+1))&lt;=46.5,2,1)), IF(INDEX(ERP資料!$G:$G, (MATCH(298, 輔助計算!$G$2:$G$801, 0)+1))&lt;=790,3,IF(INDEX(ERP資料!$G:$G, (MATCH(298, 輔助計算!$G$2:$G$801, 0)+1))&lt;=1181,2,1)))=2,TEXT(INDEX(ERP資料!$G:$G, (MATCH(298, 輔助計算!$G$2:$G$801, 0)+1)),"0.##")&amp;"+"&amp;TEXT(INDEX(ERP資料!$G:$G, (MATCH(298, 輔助計算!$G$2:$G$801, 0)+1)),"0.##"),TEXT(INDEX(ERP資料!$G:$G, (MATCH(298, 輔助計算!$G$2:$G$801, 0)+1)),"0.##")&amp;"+"&amp;TEXT(INDEX(ERP資料!$G:$G, (MATCH(298, 輔助計算!$G$2:$G$801, 0)+1)),"0.##")&amp;"+"&amp;TEXT(INDEX(ERP資料!$G:$G, (MATCH(298, 輔助計算!$G$2:$G$801, 0)+1)),"0.##")))&amp;"-"&amp;INT(INDEX(輔助計算!$D:$D, (MATCH(298, 輔助計算!$G$2:$G$801, 0)+1))/IF(INDEX(ERP資料!$G:$G, (MATCH(298, 輔助計算!$G$2:$G$801, 0)+1))&lt;100, IF(INDEX(ERP資料!$G:$G, (MATCH(298, 輔助計算!$G$2:$G$801, 0)+1))&lt;=31,3,IF(INDEX(ERP資料!$G:$G, (MATCH(298, 輔助計算!$G$2:$G$801, 0)+1))&lt;=46.5,2,1)), IF(INDEX(ERP資料!$G:$G, (MATCH(298, 輔助計算!$G$2:$G$801, 0)+1))&lt;=790,3,IF(INDEX(ERP資料!$G:$G, (MATCH(298, 輔助計算!$G$2:$G$801, 0)+1))&lt;=1181,2,1)))), "")&lt;&gt;"",IF(MOD(INDEX(輔助計算!$D:$D, (MATCH(298, 輔助計算!$G$2:$G$801, 0)+1)),IF(INDEX(ERP資料!$G:$G, (MATCH(298, 輔助計算!$G$2:$G$801, 0)+1))&lt;100, IF(INDEX(ERP資料!$G:$G, (MATCH(298, 輔助計算!$G$2:$G$801, 0)+1))&lt;=31,3,IF(INDEX(ERP資料!$G:$G, (MATCH(298, 輔助計算!$G$2:$G$801, 0)+1))&lt;=46.5,2,1)), IF(INDEX(ERP資料!$G:$G, (MATCH(298, 輔助計算!$G$2:$G$801, 0)+1))&lt;=790,3,IF(INDEX(ERP資料!$G:$G, (MATCH(298, 輔助計算!$G$2:$G$801, 0)+1))&lt;=1181,2,1))))=0,"",IF(MOD(INDEX(輔助計算!$D:$D, (MATCH(298, 輔助計算!$G$2:$G$801, 0)+1)),IF(INDEX(ERP資料!$G:$G, (MATCH(298, 輔助計算!$G$2:$G$801, 0)+1))&lt;100, IF(INDEX(ERP資料!$G:$G, (MATCH(298, 輔助計算!$G$2:$G$801, 0)+1))&lt;=31,3,IF(INDEX(ERP資料!$G:$G, (MATCH(298, 輔助計算!$G$2:$G$801, 0)+1))&lt;=46.5,2,1)), IF(INDEX(ERP資料!$G:$G, (MATCH(298, 輔助計算!$G$2:$G$801, 0)+1))&lt;=790,3,IF(INDEX(ERP資料!$G:$G, (MATCH(298, 輔助計算!$G$2:$G$801, 0)+1))&lt;=1181,2,1))))=0,"",IF(MOD(INDEX(輔助計算!$D:$D, (MATCH(298, 輔助計算!$G$2:$G$801, 0)+1)),IF(INDEX(ERP資料!$G:$G, (MATCH(298, 輔助計算!$G$2:$G$801, 0)+1))&lt;100, IF(INDEX(ERP資料!$G:$G, (MATCH(298, 輔助計算!$G$2:$G$801, 0)+1))&lt;=31,3,IF(INDEX(ERP資料!$G:$G, (MATCH(298, 輔助計算!$G$2:$G$801, 0)+1))&lt;=46.5,2,1)), IF(INDEX(ERP資料!$G:$G, (MATCH(298, 輔助計算!$G$2:$G$801, 0)+1))&lt;=790,3,IF(INDEX(ERP資料!$G:$G, (MATCH(298, 輔助計算!$G$2:$G$801, 0)+1))&lt;=1181,2,1))))=1,TEXT(INDEX(ERP資料!$G:$G, (MATCH(298, 輔助計算!$G$2:$G$801, 0)+1)),"0.##"),IF(MOD(INDEX(輔助計算!$D:$D, (MATCH(298, 輔助計算!$G$2:$G$801, 0)+1)),IF(INDEX(ERP資料!$G:$G, (MATCH(298, 輔助計算!$G$2:$G$801, 0)+1))&lt;100, IF(INDEX(ERP資料!$G:$G, (MATCH(298, 輔助計算!$G$2:$G$801, 0)+1))&lt;=31,3,IF(INDEX(ERP資料!$G:$G, (MATCH(298, 輔助計算!$G$2:$G$801, 0)+1))&lt;=46.5,2,1)), IF(INDEX(ERP資料!$G:$G, (MATCH(298, 輔助計算!$G$2:$G$801, 0)+1))&lt;=790,3,IF(INDEX(ERP資料!$G:$G, (MATCH(298, 輔助計算!$G$2:$G$801, 0)+1))&lt;=1181,2,1))))=2,TEXT(INDEX(ERP資料!$G:$G, (MATCH(298, 輔助計算!$G$2:$G$801, 0)+1)),"0.##")&amp;"+"&amp;TEXT(INDEX(ERP資料!$G:$G, (MATCH(298, 輔助計算!$G$2:$G$801, 0)+1)),"0.##"),TEXT(INDEX(ERP資料!$G:$G, (MATCH(298, 輔助計算!$G$2:$G$801, 0)+1)),"0.##")&amp;"+"&amp;TEXT(INDEX(ERP資料!$G:$G, (MATCH(298, 輔助計算!$G$2:$G$801, 0)+1)),"0.##")&amp;"+"&amp;TEXT(INDEX(ERP資料!$G:$G, (MATCH(298, 輔助計算!$G$2:$G$801, 0)+1)),"0.##"))))&amp;"-1")&lt;&gt;""),"  ","")&amp;IF(MOD(INDEX(輔助計算!$D:$D, (MATCH(298, 輔助計算!$G$2:$G$801, 0)+1)),IF(INDEX(ERP資料!$G:$G, (MATCH(298, 輔助計算!$G$2:$G$801, 0)+1))&lt;100, IF(INDEX(ERP資料!$G:$G, (MATCH(298, 輔助計算!$G$2:$G$801, 0)+1))&lt;=31,3,IF(INDEX(ERP資料!$G:$G, (MATCH(298, 輔助計算!$G$2:$G$801, 0)+1))&lt;=46.5,2,1)), IF(INDEX(ERP資料!$G:$G, (MATCH(298, 輔助計算!$G$2:$G$801, 0)+1))&lt;=790,3,IF(INDEX(ERP資料!$G:$G, (MATCH(298, 輔助計算!$G$2:$G$801, 0)+1))&lt;=1181,2,1))))=0,"",IF(MOD(INDEX(輔助計算!$D:$D, (MATCH(298, 輔助計算!$G$2:$G$801, 0)+1)),IF(INDEX(ERP資料!$G:$G, (MATCH(298, 輔助計算!$G$2:$G$801, 0)+1))&lt;100, IF(INDEX(ERP資料!$G:$G, (MATCH(298, 輔助計算!$G$2:$G$801, 0)+1))&lt;=31,3,IF(INDEX(ERP資料!$G:$G, (MATCH(298, 輔助計算!$G$2:$G$801, 0)+1))&lt;=46.5,2,1)), IF(INDEX(ERP資料!$G:$G, (MATCH(298, 輔助計算!$G$2:$G$801, 0)+1))&lt;=790,3,IF(INDEX(ERP資料!$G:$G, (MATCH(298, 輔助計算!$G$2:$G$801, 0)+1))&lt;=1181,2,1))))=0,"",IF(MOD(INDEX(輔助計算!$D:$D, (MATCH(298, 輔助計算!$G$2:$G$801, 0)+1)),IF(INDEX(ERP資料!$G:$G, (MATCH(298, 輔助計算!$G$2:$G$801, 0)+1))&lt;100, IF(INDEX(ERP資料!$G:$G, (MATCH(298, 輔助計算!$G$2:$G$801, 0)+1))&lt;=31,3,IF(INDEX(ERP資料!$G:$G, (MATCH(298, 輔助計算!$G$2:$G$801, 0)+1))&lt;=46.5,2,1)), IF(INDEX(ERP資料!$G:$G, (MATCH(298, 輔助計算!$G$2:$G$801, 0)+1))&lt;=790,3,IF(INDEX(ERP資料!$G:$G, (MATCH(298, 輔助計算!$G$2:$G$801, 0)+1))&lt;=1181,2,1))))=1,TEXT(INDEX(ERP資料!$G:$G, (MATCH(298, 輔助計算!$G$2:$G$801, 0)+1)),"0.##"),IF(MOD(INDEX(輔助計算!$D:$D, (MATCH(298, 輔助計算!$G$2:$G$801, 0)+1)),IF(INDEX(ERP資料!$G:$G, (MATCH(298, 輔助計算!$G$2:$G$801, 0)+1))&lt;100, IF(INDEX(ERP資料!$G:$G, (MATCH(298, 輔助計算!$G$2:$G$801, 0)+1))&lt;=31,3,IF(INDEX(ERP資料!$G:$G, (MATCH(298, 輔助計算!$G$2:$G$801, 0)+1))&lt;=46.5,2,1)), IF(INDEX(ERP資料!$G:$G, (MATCH(298, 輔助計算!$G$2:$G$801, 0)+1))&lt;=790,3,IF(INDEX(ERP資料!$G:$G, (MATCH(298, 輔助計算!$G$2:$G$801, 0)+1))&lt;=1181,2,1))))=2,TEXT(INDEX(ERP資料!$G:$G, (MATCH(298, 輔助計算!$G$2:$G$801, 0)+1)),"0.##")&amp;"+"&amp;TEXT(INDEX(ERP資料!$G:$G, (MATCH(298, 輔助計算!$G$2:$G$801, 0)+1)),"0.##"),TEXT(INDEX(ERP資料!$G:$G, (MATCH(298, 輔助計算!$G$2:$G$801, 0)+1)),"0.##")&amp;"+"&amp;TEXT(INDEX(ERP資料!$G:$G, (MATCH(298, 輔助計算!$G$2:$G$801, 0)+1)),"0.##")&amp;"+"&amp;TEXT(INDEX(ERP資料!$G:$G, (MATCH(298, 輔助計算!$G$2:$G$801, 0)+1)),"0.##"))))&amp;"-1")), ""), "")</f>
        <v/>
      </c>
      <c r="K299" s="16" t="n"/>
      <c r="L299" s="14">
        <f>IFERROR(IF(AND(IFERROR(INDEX(ERP資料!$A:$A, (MATCH(298, 輔助計算!$G$2:$G$801, 0)+1)), "")&lt;&gt;"", IFERROR(INDEX(ERP資料!$A:$A, (MATCH(298, 輔助計算!$G$2:$G$801, 0)+1)), "")&lt;&gt;IFERROR(INDEX(ERP資料!$A:$A, MATCH(297, 輔助計算!$G$2:$G$801, 0)+1), "")), INDEX(ERP資料!$B:$B, (MATCH(298, 輔助計算!$G$2:$G$801, 0)+1)), ""), "")</f>
        <v/>
      </c>
      <c r="M299" s="17" t="n"/>
    </row>
    <row r="300">
      <c r="A300" s="10">
        <f>IFERROR(IF(AND(IFERROR(INDEX(ERP資料!$A:$A, (MATCH(299, 輔助計算!$G$2:$G$801, 0)+1)), "")&lt;&gt;"", IFERROR(INDEX(ERP資料!$A:$A, (MATCH(299, 輔助計算!$G$2:$G$801, 0)+1)), "")&lt;&gt;IFERROR(INDEX(ERP資料!$A:$A, MATCH(298, 輔助計算!$G$2:$G$801, 0)+1), "")), IFERROR(INDEX(ERP資料!$A:$A, (MATCH(299, 輔助計算!$G$2:$G$801, 0)+1)), ""), ""), "")</f>
        <v/>
      </c>
      <c r="B300" s="10">
        <f>IFERROR(IF(AND(IFERROR(INDEX(ERP資料!$A:$A, (MATCH(299, 輔助計算!$G$2:$G$801, 0)+1)), "")&lt;&gt;"", IFERROR(INDEX(ERP資料!$A:$A, (MATCH(299, 輔助計算!$G$2:$G$801, 0)+1)), "")&lt;&gt;IFERROR(INDEX(ERP資料!$A:$A, MATCH(298, 輔助計算!$G$2:$G$801, 0)+1), "")), INDEX(ERP資料!$S:$S, (MATCH(299, 輔助計算!$G$2:$G$801, 0)+1)), ""), "")</f>
        <v/>
      </c>
      <c r="C300" s="19">
        <f>IFERROR(IF(AND(IFERROR(INDEX(ERP資料!$A:$A, (MATCH(299, 輔助計算!$G$2:$G$801, 0)+1)), "")&lt;&gt;"", IFERROR(INDEX(ERP資料!$A:$A, (MATCH(299, 輔助計算!$G$2:$G$801, 0)+1)), "")&lt;&gt;IFERROR(INDEX(ERP資料!$A:$A, MATCH(298, 輔助計算!$G$2:$G$801, 0)+1), "")), IFERROR(VLOOKUP(LEFT(INDEX(ERP資料!$S:$S, (MATCH(299, 輔助計算!$G$2:$G$801, 0)+1)), 4), 紙管對照表!$A:$C, 3, FALSE), ""), ""), "")</f>
        <v/>
      </c>
      <c r="D300" s="16" t="n"/>
      <c r="E300" s="10">
        <f>IFERROR(IF(INDEX(ERP資料!$H:$H, (MATCH(299, 輔助計算!$G$2:$G$801, 0)+1))="","",INDEX(ERP資料!$H:$H, (MATCH(299, 輔助計算!$G$2:$G$801, 0)+1))), "")</f>
        <v/>
      </c>
      <c r="F300" s="10">
        <f>IFERROR(IF(INDEX(ERP資料!$E:$E, (MATCH(299, 輔助計算!$G$2:$G$801, 0)+1))="","",TRIM(INDEX(ERP資料!$E:$E, (MATCH(299, 輔助計算!$G$2:$G$801, 0)+1)))), "")</f>
        <v/>
      </c>
      <c r="G300" s="10">
        <f>IFERROR(IF(INDEX(ERP資料!$F:$F, (MATCH(299, 輔助計算!$G$2:$G$801, 0)+1))="","",INDEX(ERP資料!$F:$F, (MATCH(299, 輔助計算!$G$2:$G$801, 0)+1))), "")</f>
        <v/>
      </c>
      <c r="H300" s="10">
        <f>IFERROR(IF(INDEX(ERP資料!$G:$G, (MATCH(299, 輔助計算!$G$2:$G$801, 0)+1))="","",INDEX(ERP資料!$G:$G, (MATCH(299, 輔助計算!$G$2:$G$801, 0)+1))), "")</f>
        <v/>
      </c>
      <c r="I300" s="15">
        <f>IFERROR(INDEX(輔助計算!$D:$D, (MATCH(299, 輔助計算!$G$2:$G$801, 0)+1)), "")</f>
        <v/>
      </c>
      <c r="J300" s="15">
        <f>IFERROR(IF(AND(INDEX(輔助計算!$D:$D, (MATCH(299, 輔助計算!$G$2:$G$801, 0)+1))&lt;&gt;"", INDEX(ERP資料!$G:$G, (MATCH(299, 輔助計算!$G$2:$G$801, 0)+1))&lt;&gt;""), TRIM(IF(INT(INDEX(輔助計算!$D:$D, (MATCH(299, 輔助計算!$G$2:$G$801, 0)+1))/IF(INDEX(ERP資料!$G:$G, (MATCH(299, 輔助計算!$G$2:$G$801, 0)+1))&lt;100, IF(INDEX(ERP資料!$G:$G, (MATCH(299, 輔助計算!$G$2:$G$801, 0)+1))&lt;=31,3,IF(INDEX(ERP資料!$G:$G, (MATCH(299, 輔助計算!$G$2:$G$801, 0)+1))&lt;=46.5,2,1)), IF(INDEX(ERP資料!$G:$G, (MATCH(299, 輔助計算!$G$2:$G$801, 0)+1))&lt;=790,3,IF(INDEX(ERP資料!$G:$G, (MATCH(299, 輔助計算!$G$2:$G$801, 0)+1))&lt;=1181,2,1))))&gt;0, IF(IF(INDEX(ERP資料!$G:$G, (MATCH(299, 輔助計算!$G$2:$G$801, 0)+1))&lt;100, IF(INDEX(ERP資料!$G:$G, (MATCH(299, 輔助計算!$G$2:$G$801, 0)+1))&lt;=31,3,IF(INDEX(ERP資料!$G:$G, (MATCH(299, 輔助計算!$G$2:$G$801, 0)+1))&lt;=46.5,2,1)), IF(INDEX(ERP資料!$G:$G, (MATCH(299, 輔助計算!$G$2:$G$801, 0)+1))&lt;=790,3,IF(INDEX(ERP資料!$G:$G, (MATCH(299, 輔助計算!$G$2:$G$801, 0)+1))&lt;=1181,2,1)))=1,TEXT(INDEX(ERP資料!$G:$G, (MATCH(299, 輔助計算!$G$2:$G$801, 0)+1)),"0.##"),IF(IF(INDEX(ERP資料!$G:$G, (MATCH(299, 輔助計算!$G$2:$G$801, 0)+1))&lt;100, IF(INDEX(ERP資料!$G:$G, (MATCH(299, 輔助計算!$G$2:$G$801, 0)+1))&lt;=31,3,IF(INDEX(ERP資料!$G:$G, (MATCH(299, 輔助計算!$G$2:$G$801, 0)+1))&lt;=46.5,2,1)), IF(INDEX(ERP資料!$G:$G, (MATCH(299, 輔助計算!$G$2:$G$801, 0)+1))&lt;=790,3,IF(INDEX(ERP資料!$G:$G, (MATCH(299, 輔助計算!$G$2:$G$801, 0)+1))&lt;=1181,2,1)))=2,TEXT(INDEX(ERP資料!$G:$G, (MATCH(299, 輔助計算!$G$2:$G$801, 0)+1)),"0.##")&amp;"+"&amp;TEXT(INDEX(ERP資料!$G:$G, (MATCH(299, 輔助計算!$G$2:$G$801, 0)+1)),"0.##"),TEXT(INDEX(ERP資料!$G:$G, (MATCH(299, 輔助計算!$G$2:$G$801, 0)+1)),"0.##")&amp;"+"&amp;TEXT(INDEX(ERP資料!$G:$G, (MATCH(299, 輔助計算!$G$2:$G$801, 0)+1)),"0.##")&amp;"+"&amp;TEXT(INDEX(ERP資料!$G:$G, (MATCH(299, 輔助計算!$G$2:$G$801, 0)+1)),"0.##")))&amp;"-"&amp;INT(INDEX(輔助計算!$D:$D, (MATCH(299, 輔助計算!$G$2:$G$801, 0)+1))/IF(INDEX(ERP資料!$G:$G, (MATCH(299, 輔助計算!$G$2:$G$801, 0)+1))&lt;100, IF(INDEX(ERP資料!$G:$G, (MATCH(299, 輔助計算!$G$2:$G$801, 0)+1))&lt;=31,3,IF(INDEX(ERP資料!$G:$G, (MATCH(299, 輔助計算!$G$2:$G$801, 0)+1))&lt;=46.5,2,1)), IF(INDEX(ERP資料!$G:$G, (MATCH(299, 輔助計算!$G$2:$G$801, 0)+1))&lt;=790,3,IF(INDEX(ERP資料!$G:$G, (MATCH(299, 輔助計算!$G$2:$G$801, 0)+1))&lt;=1181,2,1)))), "")&amp;IF(AND(IF(INT(INDEX(輔助計算!$D:$D, (MATCH(299, 輔助計算!$G$2:$G$801, 0)+1))/IF(INDEX(ERP資料!$G:$G, (MATCH(299, 輔助計算!$G$2:$G$801, 0)+1))&lt;100, IF(INDEX(ERP資料!$G:$G, (MATCH(299, 輔助計算!$G$2:$G$801, 0)+1))&lt;=31,3,IF(INDEX(ERP資料!$G:$G, (MATCH(299, 輔助計算!$G$2:$G$801, 0)+1))&lt;=46.5,2,1)), IF(INDEX(ERP資料!$G:$G, (MATCH(299, 輔助計算!$G$2:$G$801, 0)+1))&lt;=790,3,IF(INDEX(ERP資料!$G:$G, (MATCH(299, 輔助計算!$G$2:$G$801, 0)+1))&lt;=1181,2,1))))&gt;0, IF(IF(INDEX(ERP資料!$G:$G, (MATCH(299, 輔助計算!$G$2:$G$801, 0)+1))&lt;100, IF(INDEX(ERP資料!$G:$G, (MATCH(299, 輔助計算!$G$2:$G$801, 0)+1))&lt;=31,3,IF(INDEX(ERP資料!$G:$G, (MATCH(299, 輔助計算!$G$2:$G$801, 0)+1))&lt;=46.5,2,1)), IF(INDEX(ERP資料!$G:$G, (MATCH(299, 輔助計算!$G$2:$G$801, 0)+1))&lt;=790,3,IF(INDEX(ERP資料!$G:$G, (MATCH(299, 輔助計算!$G$2:$G$801, 0)+1))&lt;=1181,2,1)))=1,TEXT(INDEX(ERP資料!$G:$G, (MATCH(299, 輔助計算!$G$2:$G$801, 0)+1)),"0.##"),IF(IF(INDEX(ERP資料!$G:$G, (MATCH(299, 輔助計算!$G$2:$G$801, 0)+1))&lt;100, IF(INDEX(ERP資料!$G:$G, (MATCH(299, 輔助計算!$G$2:$G$801, 0)+1))&lt;=31,3,IF(INDEX(ERP資料!$G:$G, (MATCH(299, 輔助計算!$G$2:$G$801, 0)+1))&lt;=46.5,2,1)), IF(INDEX(ERP資料!$G:$G, (MATCH(299, 輔助計算!$G$2:$G$801, 0)+1))&lt;=790,3,IF(INDEX(ERP資料!$G:$G, (MATCH(299, 輔助計算!$G$2:$G$801, 0)+1))&lt;=1181,2,1)))=2,TEXT(INDEX(ERP資料!$G:$G, (MATCH(299, 輔助計算!$G$2:$G$801, 0)+1)),"0.##")&amp;"+"&amp;TEXT(INDEX(ERP資料!$G:$G, (MATCH(299, 輔助計算!$G$2:$G$801, 0)+1)),"0.##"),TEXT(INDEX(ERP資料!$G:$G, (MATCH(299, 輔助計算!$G$2:$G$801, 0)+1)),"0.##")&amp;"+"&amp;TEXT(INDEX(ERP資料!$G:$G, (MATCH(299, 輔助計算!$G$2:$G$801, 0)+1)),"0.##")&amp;"+"&amp;TEXT(INDEX(ERP資料!$G:$G, (MATCH(299, 輔助計算!$G$2:$G$801, 0)+1)),"0.##")))&amp;"-"&amp;INT(INDEX(輔助計算!$D:$D, (MATCH(299, 輔助計算!$G$2:$G$801, 0)+1))/IF(INDEX(ERP資料!$G:$G, (MATCH(299, 輔助計算!$G$2:$G$801, 0)+1))&lt;100, IF(INDEX(ERP資料!$G:$G, (MATCH(299, 輔助計算!$G$2:$G$801, 0)+1))&lt;=31,3,IF(INDEX(ERP資料!$G:$G, (MATCH(299, 輔助計算!$G$2:$G$801, 0)+1))&lt;=46.5,2,1)), IF(INDEX(ERP資料!$G:$G, (MATCH(299, 輔助計算!$G$2:$G$801, 0)+1))&lt;=790,3,IF(INDEX(ERP資料!$G:$G, (MATCH(299, 輔助計算!$G$2:$G$801, 0)+1))&lt;=1181,2,1)))), "")&lt;&gt;"",IF(MOD(INDEX(輔助計算!$D:$D, (MATCH(299, 輔助計算!$G$2:$G$801, 0)+1)),IF(INDEX(ERP資料!$G:$G, (MATCH(299, 輔助計算!$G$2:$G$801, 0)+1))&lt;100, IF(INDEX(ERP資料!$G:$G, (MATCH(299, 輔助計算!$G$2:$G$801, 0)+1))&lt;=31,3,IF(INDEX(ERP資料!$G:$G, (MATCH(299, 輔助計算!$G$2:$G$801, 0)+1))&lt;=46.5,2,1)), IF(INDEX(ERP資料!$G:$G, (MATCH(299, 輔助計算!$G$2:$G$801, 0)+1))&lt;=790,3,IF(INDEX(ERP資料!$G:$G, (MATCH(299, 輔助計算!$G$2:$G$801, 0)+1))&lt;=1181,2,1))))=0,"",IF(MOD(INDEX(輔助計算!$D:$D, (MATCH(299, 輔助計算!$G$2:$G$801, 0)+1)),IF(INDEX(ERP資料!$G:$G, (MATCH(299, 輔助計算!$G$2:$G$801, 0)+1))&lt;100, IF(INDEX(ERP資料!$G:$G, (MATCH(299, 輔助計算!$G$2:$G$801, 0)+1))&lt;=31,3,IF(INDEX(ERP資料!$G:$G, (MATCH(299, 輔助計算!$G$2:$G$801, 0)+1))&lt;=46.5,2,1)), IF(INDEX(ERP資料!$G:$G, (MATCH(299, 輔助計算!$G$2:$G$801, 0)+1))&lt;=790,3,IF(INDEX(ERP資料!$G:$G, (MATCH(299, 輔助計算!$G$2:$G$801, 0)+1))&lt;=1181,2,1))))=0,"",IF(MOD(INDEX(輔助計算!$D:$D, (MATCH(299, 輔助計算!$G$2:$G$801, 0)+1)),IF(INDEX(ERP資料!$G:$G, (MATCH(299, 輔助計算!$G$2:$G$801, 0)+1))&lt;100, IF(INDEX(ERP資料!$G:$G, (MATCH(299, 輔助計算!$G$2:$G$801, 0)+1))&lt;=31,3,IF(INDEX(ERP資料!$G:$G, (MATCH(299, 輔助計算!$G$2:$G$801, 0)+1))&lt;=46.5,2,1)), IF(INDEX(ERP資料!$G:$G, (MATCH(299, 輔助計算!$G$2:$G$801, 0)+1))&lt;=790,3,IF(INDEX(ERP資料!$G:$G, (MATCH(299, 輔助計算!$G$2:$G$801, 0)+1))&lt;=1181,2,1))))=1,TEXT(INDEX(ERP資料!$G:$G, (MATCH(299, 輔助計算!$G$2:$G$801, 0)+1)),"0.##"),IF(MOD(INDEX(輔助計算!$D:$D, (MATCH(299, 輔助計算!$G$2:$G$801, 0)+1)),IF(INDEX(ERP資料!$G:$G, (MATCH(299, 輔助計算!$G$2:$G$801, 0)+1))&lt;100, IF(INDEX(ERP資料!$G:$G, (MATCH(299, 輔助計算!$G$2:$G$801, 0)+1))&lt;=31,3,IF(INDEX(ERP資料!$G:$G, (MATCH(299, 輔助計算!$G$2:$G$801, 0)+1))&lt;=46.5,2,1)), IF(INDEX(ERP資料!$G:$G, (MATCH(299, 輔助計算!$G$2:$G$801, 0)+1))&lt;=790,3,IF(INDEX(ERP資料!$G:$G, (MATCH(299, 輔助計算!$G$2:$G$801, 0)+1))&lt;=1181,2,1))))=2,TEXT(INDEX(ERP資料!$G:$G, (MATCH(299, 輔助計算!$G$2:$G$801, 0)+1)),"0.##")&amp;"+"&amp;TEXT(INDEX(ERP資料!$G:$G, (MATCH(299, 輔助計算!$G$2:$G$801, 0)+1)),"0.##"),TEXT(INDEX(ERP資料!$G:$G, (MATCH(299, 輔助計算!$G$2:$G$801, 0)+1)),"0.##")&amp;"+"&amp;TEXT(INDEX(ERP資料!$G:$G, (MATCH(299, 輔助計算!$G$2:$G$801, 0)+1)),"0.##")&amp;"+"&amp;TEXT(INDEX(ERP資料!$G:$G, (MATCH(299, 輔助計算!$G$2:$G$801, 0)+1)),"0.##"))))&amp;"-1")&lt;&gt;""),"  ","")&amp;IF(MOD(INDEX(輔助計算!$D:$D, (MATCH(299, 輔助計算!$G$2:$G$801, 0)+1)),IF(INDEX(ERP資料!$G:$G, (MATCH(299, 輔助計算!$G$2:$G$801, 0)+1))&lt;100, IF(INDEX(ERP資料!$G:$G, (MATCH(299, 輔助計算!$G$2:$G$801, 0)+1))&lt;=31,3,IF(INDEX(ERP資料!$G:$G, (MATCH(299, 輔助計算!$G$2:$G$801, 0)+1))&lt;=46.5,2,1)), IF(INDEX(ERP資料!$G:$G, (MATCH(299, 輔助計算!$G$2:$G$801, 0)+1))&lt;=790,3,IF(INDEX(ERP資料!$G:$G, (MATCH(299, 輔助計算!$G$2:$G$801, 0)+1))&lt;=1181,2,1))))=0,"",IF(MOD(INDEX(輔助計算!$D:$D, (MATCH(299, 輔助計算!$G$2:$G$801, 0)+1)),IF(INDEX(ERP資料!$G:$G, (MATCH(299, 輔助計算!$G$2:$G$801, 0)+1))&lt;100, IF(INDEX(ERP資料!$G:$G, (MATCH(299, 輔助計算!$G$2:$G$801, 0)+1))&lt;=31,3,IF(INDEX(ERP資料!$G:$G, (MATCH(299, 輔助計算!$G$2:$G$801, 0)+1))&lt;=46.5,2,1)), IF(INDEX(ERP資料!$G:$G, (MATCH(299, 輔助計算!$G$2:$G$801, 0)+1))&lt;=790,3,IF(INDEX(ERP資料!$G:$G, (MATCH(299, 輔助計算!$G$2:$G$801, 0)+1))&lt;=1181,2,1))))=0,"",IF(MOD(INDEX(輔助計算!$D:$D, (MATCH(299, 輔助計算!$G$2:$G$801, 0)+1)),IF(INDEX(ERP資料!$G:$G, (MATCH(299, 輔助計算!$G$2:$G$801, 0)+1))&lt;100, IF(INDEX(ERP資料!$G:$G, (MATCH(299, 輔助計算!$G$2:$G$801, 0)+1))&lt;=31,3,IF(INDEX(ERP資料!$G:$G, (MATCH(299, 輔助計算!$G$2:$G$801, 0)+1))&lt;=46.5,2,1)), IF(INDEX(ERP資料!$G:$G, (MATCH(299, 輔助計算!$G$2:$G$801, 0)+1))&lt;=790,3,IF(INDEX(ERP資料!$G:$G, (MATCH(299, 輔助計算!$G$2:$G$801, 0)+1))&lt;=1181,2,1))))=1,TEXT(INDEX(ERP資料!$G:$G, (MATCH(299, 輔助計算!$G$2:$G$801, 0)+1)),"0.##"),IF(MOD(INDEX(輔助計算!$D:$D, (MATCH(299, 輔助計算!$G$2:$G$801, 0)+1)),IF(INDEX(ERP資料!$G:$G, (MATCH(299, 輔助計算!$G$2:$G$801, 0)+1))&lt;100, IF(INDEX(ERP資料!$G:$G, (MATCH(299, 輔助計算!$G$2:$G$801, 0)+1))&lt;=31,3,IF(INDEX(ERP資料!$G:$G, (MATCH(299, 輔助計算!$G$2:$G$801, 0)+1))&lt;=46.5,2,1)), IF(INDEX(ERP資料!$G:$G, (MATCH(299, 輔助計算!$G$2:$G$801, 0)+1))&lt;=790,3,IF(INDEX(ERP資料!$G:$G, (MATCH(299, 輔助計算!$G$2:$G$801, 0)+1))&lt;=1181,2,1))))=2,TEXT(INDEX(ERP資料!$G:$G, (MATCH(299, 輔助計算!$G$2:$G$801, 0)+1)),"0.##")&amp;"+"&amp;TEXT(INDEX(ERP資料!$G:$G, (MATCH(299, 輔助計算!$G$2:$G$801, 0)+1)),"0.##"),TEXT(INDEX(ERP資料!$G:$G, (MATCH(299, 輔助計算!$G$2:$G$801, 0)+1)),"0.##")&amp;"+"&amp;TEXT(INDEX(ERP資料!$G:$G, (MATCH(299, 輔助計算!$G$2:$G$801, 0)+1)),"0.##")&amp;"+"&amp;TEXT(INDEX(ERP資料!$G:$G, (MATCH(299, 輔助計算!$G$2:$G$801, 0)+1)),"0.##"))))&amp;"-1")), ""), "")</f>
        <v/>
      </c>
      <c r="K300" s="16" t="n"/>
      <c r="L300" s="14">
        <f>IFERROR(IF(AND(IFERROR(INDEX(ERP資料!$A:$A, (MATCH(299, 輔助計算!$G$2:$G$801, 0)+1)), "")&lt;&gt;"", IFERROR(INDEX(ERP資料!$A:$A, (MATCH(299, 輔助計算!$G$2:$G$801, 0)+1)), "")&lt;&gt;IFERROR(INDEX(ERP資料!$A:$A, MATCH(298, 輔助計算!$G$2:$G$801, 0)+1), "")), INDEX(ERP資料!$B:$B, (MATCH(299, 輔助計算!$G$2:$G$801, 0)+1)), ""), "")</f>
        <v/>
      </c>
      <c r="M300" s="17" t="n"/>
    </row>
    <row r="301">
      <c r="A301" s="10">
        <f>IFERROR(IF(AND(IFERROR(INDEX(ERP資料!$A:$A, (MATCH(300, 輔助計算!$G$2:$G$801, 0)+1)), "")&lt;&gt;"", IFERROR(INDEX(ERP資料!$A:$A, (MATCH(300, 輔助計算!$G$2:$G$801, 0)+1)), "")&lt;&gt;IFERROR(INDEX(ERP資料!$A:$A, MATCH(299, 輔助計算!$G$2:$G$801, 0)+1), "")), IFERROR(INDEX(ERP資料!$A:$A, (MATCH(300, 輔助計算!$G$2:$G$801, 0)+1)), ""), ""), "")</f>
        <v/>
      </c>
      <c r="B301" s="10">
        <f>IFERROR(IF(AND(IFERROR(INDEX(ERP資料!$A:$A, (MATCH(300, 輔助計算!$G$2:$G$801, 0)+1)), "")&lt;&gt;"", IFERROR(INDEX(ERP資料!$A:$A, (MATCH(300, 輔助計算!$G$2:$G$801, 0)+1)), "")&lt;&gt;IFERROR(INDEX(ERP資料!$A:$A, MATCH(299, 輔助計算!$G$2:$G$801, 0)+1), "")), INDEX(ERP資料!$S:$S, (MATCH(300, 輔助計算!$G$2:$G$801, 0)+1)), ""), "")</f>
        <v/>
      </c>
      <c r="C301" s="19">
        <f>IFERROR(IF(AND(IFERROR(INDEX(ERP資料!$A:$A, (MATCH(300, 輔助計算!$G$2:$G$801, 0)+1)), "")&lt;&gt;"", IFERROR(INDEX(ERP資料!$A:$A, (MATCH(300, 輔助計算!$G$2:$G$801, 0)+1)), "")&lt;&gt;IFERROR(INDEX(ERP資料!$A:$A, MATCH(299, 輔助計算!$G$2:$G$801, 0)+1), "")), IFERROR(VLOOKUP(LEFT(INDEX(ERP資料!$S:$S, (MATCH(300, 輔助計算!$G$2:$G$801, 0)+1)), 4), 紙管對照表!$A:$C, 3, FALSE), ""), ""), "")</f>
        <v/>
      </c>
      <c r="D301" s="16" t="n"/>
      <c r="E301" s="10">
        <f>IFERROR(IF(INDEX(ERP資料!$H:$H, (MATCH(300, 輔助計算!$G$2:$G$801, 0)+1))="","",INDEX(ERP資料!$H:$H, (MATCH(300, 輔助計算!$G$2:$G$801, 0)+1))), "")</f>
        <v/>
      </c>
      <c r="F301" s="10">
        <f>IFERROR(IF(INDEX(ERP資料!$E:$E, (MATCH(300, 輔助計算!$G$2:$G$801, 0)+1))="","",TRIM(INDEX(ERP資料!$E:$E, (MATCH(300, 輔助計算!$G$2:$G$801, 0)+1)))), "")</f>
        <v/>
      </c>
      <c r="G301" s="10">
        <f>IFERROR(IF(INDEX(ERP資料!$F:$F, (MATCH(300, 輔助計算!$G$2:$G$801, 0)+1))="","",INDEX(ERP資料!$F:$F, (MATCH(300, 輔助計算!$G$2:$G$801, 0)+1))), "")</f>
        <v/>
      </c>
      <c r="H301" s="10">
        <f>IFERROR(IF(INDEX(ERP資料!$G:$G, (MATCH(300, 輔助計算!$G$2:$G$801, 0)+1))="","",INDEX(ERP資料!$G:$G, (MATCH(300, 輔助計算!$G$2:$G$801, 0)+1))), "")</f>
        <v/>
      </c>
      <c r="I301" s="15">
        <f>IFERROR(INDEX(輔助計算!$D:$D, (MATCH(300, 輔助計算!$G$2:$G$801, 0)+1)), "")</f>
        <v/>
      </c>
      <c r="J301" s="15">
        <f>IFERROR(IF(AND(INDEX(輔助計算!$D:$D, (MATCH(300, 輔助計算!$G$2:$G$801, 0)+1))&lt;&gt;"", INDEX(ERP資料!$G:$G, (MATCH(300, 輔助計算!$G$2:$G$801, 0)+1))&lt;&gt;""), TRIM(IF(INT(INDEX(輔助計算!$D:$D, (MATCH(300, 輔助計算!$G$2:$G$801, 0)+1))/IF(INDEX(ERP資料!$G:$G, (MATCH(300, 輔助計算!$G$2:$G$801, 0)+1))&lt;100, IF(INDEX(ERP資料!$G:$G, (MATCH(300, 輔助計算!$G$2:$G$801, 0)+1))&lt;=31,3,IF(INDEX(ERP資料!$G:$G, (MATCH(300, 輔助計算!$G$2:$G$801, 0)+1))&lt;=46.5,2,1)), IF(INDEX(ERP資料!$G:$G, (MATCH(300, 輔助計算!$G$2:$G$801, 0)+1))&lt;=790,3,IF(INDEX(ERP資料!$G:$G, (MATCH(300, 輔助計算!$G$2:$G$801, 0)+1))&lt;=1181,2,1))))&gt;0, IF(IF(INDEX(ERP資料!$G:$G, (MATCH(300, 輔助計算!$G$2:$G$801, 0)+1))&lt;100, IF(INDEX(ERP資料!$G:$G, (MATCH(300, 輔助計算!$G$2:$G$801, 0)+1))&lt;=31,3,IF(INDEX(ERP資料!$G:$G, (MATCH(300, 輔助計算!$G$2:$G$801, 0)+1))&lt;=46.5,2,1)), IF(INDEX(ERP資料!$G:$G, (MATCH(300, 輔助計算!$G$2:$G$801, 0)+1))&lt;=790,3,IF(INDEX(ERP資料!$G:$G, (MATCH(300, 輔助計算!$G$2:$G$801, 0)+1))&lt;=1181,2,1)))=1,TEXT(INDEX(ERP資料!$G:$G, (MATCH(300, 輔助計算!$G$2:$G$801, 0)+1)),"0.##"),IF(IF(INDEX(ERP資料!$G:$G, (MATCH(300, 輔助計算!$G$2:$G$801, 0)+1))&lt;100, IF(INDEX(ERP資料!$G:$G, (MATCH(300, 輔助計算!$G$2:$G$801, 0)+1))&lt;=31,3,IF(INDEX(ERP資料!$G:$G, (MATCH(300, 輔助計算!$G$2:$G$801, 0)+1))&lt;=46.5,2,1)), IF(INDEX(ERP資料!$G:$G, (MATCH(300, 輔助計算!$G$2:$G$801, 0)+1))&lt;=790,3,IF(INDEX(ERP資料!$G:$G, (MATCH(300, 輔助計算!$G$2:$G$801, 0)+1))&lt;=1181,2,1)))=2,TEXT(INDEX(ERP資料!$G:$G, (MATCH(300, 輔助計算!$G$2:$G$801, 0)+1)),"0.##")&amp;"+"&amp;TEXT(INDEX(ERP資料!$G:$G, (MATCH(300, 輔助計算!$G$2:$G$801, 0)+1)),"0.##"),TEXT(INDEX(ERP資料!$G:$G, (MATCH(300, 輔助計算!$G$2:$G$801, 0)+1)),"0.##")&amp;"+"&amp;TEXT(INDEX(ERP資料!$G:$G, (MATCH(300, 輔助計算!$G$2:$G$801, 0)+1)),"0.##")&amp;"+"&amp;TEXT(INDEX(ERP資料!$G:$G, (MATCH(300, 輔助計算!$G$2:$G$801, 0)+1)),"0.##")))&amp;"-"&amp;INT(INDEX(輔助計算!$D:$D, (MATCH(300, 輔助計算!$G$2:$G$801, 0)+1))/IF(INDEX(ERP資料!$G:$G, (MATCH(300, 輔助計算!$G$2:$G$801, 0)+1))&lt;100, IF(INDEX(ERP資料!$G:$G, (MATCH(300, 輔助計算!$G$2:$G$801, 0)+1))&lt;=31,3,IF(INDEX(ERP資料!$G:$G, (MATCH(300, 輔助計算!$G$2:$G$801, 0)+1))&lt;=46.5,2,1)), IF(INDEX(ERP資料!$G:$G, (MATCH(300, 輔助計算!$G$2:$G$801, 0)+1))&lt;=790,3,IF(INDEX(ERP資料!$G:$G, (MATCH(300, 輔助計算!$G$2:$G$801, 0)+1))&lt;=1181,2,1)))), "")&amp;IF(AND(IF(INT(INDEX(輔助計算!$D:$D, (MATCH(300, 輔助計算!$G$2:$G$801, 0)+1))/IF(INDEX(ERP資料!$G:$G, (MATCH(300, 輔助計算!$G$2:$G$801, 0)+1))&lt;100, IF(INDEX(ERP資料!$G:$G, (MATCH(300, 輔助計算!$G$2:$G$801, 0)+1))&lt;=31,3,IF(INDEX(ERP資料!$G:$G, (MATCH(300, 輔助計算!$G$2:$G$801, 0)+1))&lt;=46.5,2,1)), IF(INDEX(ERP資料!$G:$G, (MATCH(300, 輔助計算!$G$2:$G$801, 0)+1))&lt;=790,3,IF(INDEX(ERP資料!$G:$G, (MATCH(300, 輔助計算!$G$2:$G$801, 0)+1))&lt;=1181,2,1))))&gt;0, IF(IF(INDEX(ERP資料!$G:$G, (MATCH(300, 輔助計算!$G$2:$G$801, 0)+1))&lt;100, IF(INDEX(ERP資料!$G:$G, (MATCH(300, 輔助計算!$G$2:$G$801, 0)+1))&lt;=31,3,IF(INDEX(ERP資料!$G:$G, (MATCH(300, 輔助計算!$G$2:$G$801, 0)+1))&lt;=46.5,2,1)), IF(INDEX(ERP資料!$G:$G, (MATCH(300, 輔助計算!$G$2:$G$801, 0)+1))&lt;=790,3,IF(INDEX(ERP資料!$G:$G, (MATCH(300, 輔助計算!$G$2:$G$801, 0)+1))&lt;=1181,2,1)))=1,TEXT(INDEX(ERP資料!$G:$G, (MATCH(300, 輔助計算!$G$2:$G$801, 0)+1)),"0.##"),IF(IF(INDEX(ERP資料!$G:$G, (MATCH(300, 輔助計算!$G$2:$G$801, 0)+1))&lt;100, IF(INDEX(ERP資料!$G:$G, (MATCH(300, 輔助計算!$G$2:$G$801, 0)+1))&lt;=31,3,IF(INDEX(ERP資料!$G:$G, (MATCH(300, 輔助計算!$G$2:$G$801, 0)+1))&lt;=46.5,2,1)), IF(INDEX(ERP資料!$G:$G, (MATCH(300, 輔助計算!$G$2:$G$801, 0)+1))&lt;=790,3,IF(INDEX(ERP資料!$G:$G, (MATCH(300, 輔助計算!$G$2:$G$801, 0)+1))&lt;=1181,2,1)))=2,TEXT(INDEX(ERP資料!$G:$G, (MATCH(300, 輔助計算!$G$2:$G$801, 0)+1)),"0.##")&amp;"+"&amp;TEXT(INDEX(ERP資料!$G:$G, (MATCH(300, 輔助計算!$G$2:$G$801, 0)+1)),"0.##"),TEXT(INDEX(ERP資料!$G:$G, (MATCH(300, 輔助計算!$G$2:$G$801, 0)+1)),"0.##")&amp;"+"&amp;TEXT(INDEX(ERP資料!$G:$G, (MATCH(300, 輔助計算!$G$2:$G$801, 0)+1)),"0.##")&amp;"+"&amp;TEXT(INDEX(ERP資料!$G:$G, (MATCH(300, 輔助計算!$G$2:$G$801, 0)+1)),"0.##")))&amp;"-"&amp;INT(INDEX(輔助計算!$D:$D, (MATCH(300, 輔助計算!$G$2:$G$801, 0)+1))/IF(INDEX(ERP資料!$G:$G, (MATCH(300, 輔助計算!$G$2:$G$801, 0)+1))&lt;100, IF(INDEX(ERP資料!$G:$G, (MATCH(300, 輔助計算!$G$2:$G$801, 0)+1))&lt;=31,3,IF(INDEX(ERP資料!$G:$G, (MATCH(300, 輔助計算!$G$2:$G$801, 0)+1))&lt;=46.5,2,1)), IF(INDEX(ERP資料!$G:$G, (MATCH(300, 輔助計算!$G$2:$G$801, 0)+1))&lt;=790,3,IF(INDEX(ERP資料!$G:$G, (MATCH(300, 輔助計算!$G$2:$G$801, 0)+1))&lt;=1181,2,1)))), "")&lt;&gt;"",IF(MOD(INDEX(輔助計算!$D:$D, (MATCH(300, 輔助計算!$G$2:$G$801, 0)+1)),IF(INDEX(ERP資料!$G:$G, (MATCH(300, 輔助計算!$G$2:$G$801, 0)+1))&lt;100, IF(INDEX(ERP資料!$G:$G, (MATCH(300, 輔助計算!$G$2:$G$801, 0)+1))&lt;=31,3,IF(INDEX(ERP資料!$G:$G, (MATCH(300, 輔助計算!$G$2:$G$801, 0)+1))&lt;=46.5,2,1)), IF(INDEX(ERP資料!$G:$G, (MATCH(300, 輔助計算!$G$2:$G$801, 0)+1))&lt;=790,3,IF(INDEX(ERP資料!$G:$G, (MATCH(300, 輔助計算!$G$2:$G$801, 0)+1))&lt;=1181,2,1))))=0,"",IF(MOD(INDEX(輔助計算!$D:$D, (MATCH(300, 輔助計算!$G$2:$G$801, 0)+1)),IF(INDEX(ERP資料!$G:$G, (MATCH(300, 輔助計算!$G$2:$G$801, 0)+1))&lt;100, IF(INDEX(ERP資料!$G:$G, (MATCH(300, 輔助計算!$G$2:$G$801, 0)+1))&lt;=31,3,IF(INDEX(ERP資料!$G:$G, (MATCH(300, 輔助計算!$G$2:$G$801, 0)+1))&lt;=46.5,2,1)), IF(INDEX(ERP資料!$G:$G, (MATCH(300, 輔助計算!$G$2:$G$801, 0)+1))&lt;=790,3,IF(INDEX(ERP資料!$G:$G, (MATCH(300, 輔助計算!$G$2:$G$801, 0)+1))&lt;=1181,2,1))))=0,"",IF(MOD(INDEX(輔助計算!$D:$D, (MATCH(300, 輔助計算!$G$2:$G$801, 0)+1)),IF(INDEX(ERP資料!$G:$G, (MATCH(300, 輔助計算!$G$2:$G$801, 0)+1))&lt;100, IF(INDEX(ERP資料!$G:$G, (MATCH(300, 輔助計算!$G$2:$G$801, 0)+1))&lt;=31,3,IF(INDEX(ERP資料!$G:$G, (MATCH(300, 輔助計算!$G$2:$G$801, 0)+1))&lt;=46.5,2,1)), IF(INDEX(ERP資料!$G:$G, (MATCH(300, 輔助計算!$G$2:$G$801, 0)+1))&lt;=790,3,IF(INDEX(ERP資料!$G:$G, (MATCH(300, 輔助計算!$G$2:$G$801, 0)+1))&lt;=1181,2,1))))=1,TEXT(INDEX(ERP資料!$G:$G, (MATCH(300, 輔助計算!$G$2:$G$801, 0)+1)),"0.##"),IF(MOD(INDEX(輔助計算!$D:$D, (MATCH(300, 輔助計算!$G$2:$G$801, 0)+1)),IF(INDEX(ERP資料!$G:$G, (MATCH(300, 輔助計算!$G$2:$G$801, 0)+1))&lt;100, IF(INDEX(ERP資料!$G:$G, (MATCH(300, 輔助計算!$G$2:$G$801, 0)+1))&lt;=31,3,IF(INDEX(ERP資料!$G:$G, (MATCH(300, 輔助計算!$G$2:$G$801, 0)+1))&lt;=46.5,2,1)), IF(INDEX(ERP資料!$G:$G, (MATCH(300, 輔助計算!$G$2:$G$801, 0)+1))&lt;=790,3,IF(INDEX(ERP資料!$G:$G, (MATCH(300, 輔助計算!$G$2:$G$801, 0)+1))&lt;=1181,2,1))))=2,TEXT(INDEX(ERP資料!$G:$G, (MATCH(300, 輔助計算!$G$2:$G$801, 0)+1)),"0.##")&amp;"+"&amp;TEXT(INDEX(ERP資料!$G:$G, (MATCH(300, 輔助計算!$G$2:$G$801, 0)+1)),"0.##"),TEXT(INDEX(ERP資料!$G:$G, (MATCH(300, 輔助計算!$G$2:$G$801, 0)+1)),"0.##")&amp;"+"&amp;TEXT(INDEX(ERP資料!$G:$G, (MATCH(300, 輔助計算!$G$2:$G$801, 0)+1)),"0.##")&amp;"+"&amp;TEXT(INDEX(ERP資料!$G:$G, (MATCH(300, 輔助計算!$G$2:$G$801, 0)+1)),"0.##"))))&amp;"-1")&lt;&gt;""),"  ","")&amp;IF(MOD(INDEX(輔助計算!$D:$D, (MATCH(300, 輔助計算!$G$2:$G$801, 0)+1)),IF(INDEX(ERP資料!$G:$G, (MATCH(300, 輔助計算!$G$2:$G$801, 0)+1))&lt;100, IF(INDEX(ERP資料!$G:$G, (MATCH(300, 輔助計算!$G$2:$G$801, 0)+1))&lt;=31,3,IF(INDEX(ERP資料!$G:$G, (MATCH(300, 輔助計算!$G$2:$G$801, 0)+1))&lt;=46.5,2,1)), IF(INDEX(ERP資料!$G:$G, (MATCH(300, 輔助計算!$G$2:$G$801, 0)+1))&lt;=790,3,IF(INDEX(ERP資料!$G:$G, (MATCH(300, 輔助計算!$G$2:$G$801, 0)+1))&lt;=1181,2,1))))=0,"",IF(MOD(INDEX(輔助計算!$D:$D, (MATCH(300, 輔助計算!$G$2:$G$801, 0)+1)),IF(INDEX(ERP資料!$G:$G, (MATCH(300, 輔助計算!$G$2:$G$801, 0)+1))&lt;100, IF(INDEX(ERP資料!$G:$G, (MATCH(300, 輔助計算!$G$2:$G$801, 0)+1))&lt;=31,3,IF(INDEX(ERP資料!$G:$G, (MATCH(300, 輔助計算!$G$2:$G$801, 0)+1))&lt;=46.5,2,1)), IF(INDEX(ERP資料!$G:$G, (MATCH(300, 輔助計算!$G$2:$G$801, 0)+1))&lt;=790,3,IF(INDEX(ERP資料!$G:$G, (MATCH(300, 輔助計算!$G$2:$G$801, 0)+1))&lt;=1181,2,1))))=0,"",IF(MOD(INDEX(輔助計算!$D:$D, (MATCH(300, 輔助計算!$G$2:$G$801, 0)+1)),IF(INDEX(ERP資料!$G:$G, (MATCH(300, 輔助計算!$G$2:$G$801, 0)+1))&lt;100, IF(INDEX(ERP資料!$G:$G, (MATCH(300, 輔助計算!$G$2:$G$801, 0)+1))&lt;=31,3,IF(INDEX(ERP資料!$G:$G, (MATCH(300, 輔助計算!$G$2:$G$801, 0)+1))&lt;=46.5,2,1)), IF(INDEX(ERP資料!$G:$G, (MATCH(300, 輔助計算!$G$2:$G$801, 0)+1))&lt;=790,3,IF(INDEX(ERP資料!$G:$G, (MATCH(300, 輔助計算!$G$2:$G$801, 0)+1))&lt;=1181,2,1))))=1,TEXT(INDEX(ERP資料!$G:$G, (MATCH(300, 輔助計算!$G$2:$G$801, 0)+1)),"0.##"),IF(MOD(INDEX(輔助計算!$D:$D, (MATCH(300, 輔助計算!$G$2:$G$801, 0)+1)),IF(INDEX(ERP資料!$G:$G, (MATCH(300, 輔助計算!$G$2:$G$801, 0)+1))&lt;100, IF(INDEX(ERP資料!$G:$G, (MATCH(300, 輔助計算!$G$2:$G$801, 0)+1))&lt;=31,3,IF(INDEX(ERP資料!$G:$G, (MATCH(300, 輔助計算!$G$2:$G$801, 0)+1))&lt;=46.5,2,1)), IF(INDEX(ERP資料!$G:$G, (MATCH(300, 輔助計算!$G$2:$G$801, 0)+1))&lt;=790,3,IF(INDEX(ERP資料!$G:$G, (MATCH(300, 輔助計算!$G$2:$G$801, 0)+1))&lt;=1181,2,1))))=2,TEXT(INDEX(ERP資料!$G:$G, (MATCH(300, 輔助計算!$G$2:$G$801, 0)+1)),"0.##")&amp;"+"&amp;TEXT(INDEX(ERP資料!$G:$G, (MATCH(300, 輔助計算!$G$2:$G$801, 0)+1)),"0.##"),TEXT(INDEX(ERP資料!$G:$G, (MATCH(300, 輔助計算!$G$2:$G$801, 0)+1)),"0.##")&amp;"+"&amp;TEXT(INDEX(ERP資料!$G:$G, (MATCH(300, 輔助計算!$G$2:$G$801, 0)+1)),"0.##")&amp;"+"&amp;TEXT(INDEX(ERP資料!$G:$G, (MATCH(300, 輔助計算!$G$2:$G$801, 0)+1)),"0.##"))))&amp;"-1")), ""), "")</f>
        <v/>
      </c>
      <c r="K301" s="16" t="n"/>
      <c r="L301" s="14">
        <f>IFERROR(IF(AND(IFERROR(INDEX(ERP資料!$A:$A, (MATCH(300, 輔助計算!$G$2:$G$801, 0)+1)), "")&lt;&gt;"", IFERROR(INDEX(ERP資料!$A:$A, (MATCH(300, 輔助計算!$G$2:$G$801, 0)+1)), "")&lt;&gt;IFERROR(INDEX(ERP資料!$A:$A, MATCH(299, 輔助計算!$G$2:$G$801, 0)+1), "")), INDEX(ERP資料!$B:$B, (MATCH(300, 輔助計算!$G$2:$G$801, 0)+1)), ""), "")</f>
        <v/>
      </c>
      <c r="M301" s="17" t="n"/>
    </row>
    <row r="302">
      <c r="A302" s="10">
        <f>IFERROR(IF(AND(IFERROR(INDEX(ERP資料!$A:$A, (MATCH(301, 輔助計算!$G$2:$G$801, 0)+1)), "")&lt;&gt;"", IFERROR(INDEX(ERP資料!$A:$A, (MATCH(301, 輔助計算!$G$2:$G$801, 0)+1)), "")&lt;&gt;IFERROR(INDEX(ERP資料!$A:$A, MATCH(300, 輔助計算!$G$2:$G$801, 0)+1), "")), IFERROR(INDEX(ERP資料!$A:$A, (MATCH(301, 輔助計算!$G$2:$G$801, 0)+1)), ""), ""), "")</f>
        <v/>
      </c>
      <c r="B302" s="10">
        <f>IFERROR(IF(AND(IFERROR(INDEX(ERP資料!$A:$A, (MATCH(301, 輔助計算!$G$2:$G$801, 0)+1)), "")&lt;&gt;"", IFERROR(INDEX(ERP資料!$A:$A, (MATCH(301, 輔助計算!$G$2:$G$801, 0)+1)), "")&lt;&gt;IFERROR(INDEX(ERP資料!$A:$A, MATCH(300, 輔助計算!$G$2:$G$801, 0)+1), "")), INDEX(ERP資料!$S:$S, (MATCH(301, 輔助計算!$G$2:$G$801, 0)+1)), ""), "")</f>
        <v/>
      </c>
      <c r="C302" s="19">
        <f>IFERROR(IF(AND(IFERROR(INDEX(ERP資料!$A:$A, (MATCH(301, 輔助計算!$G$2:$G$801, 0)+1)), "")&lt;&gt;"", IFERROR(INDEX(ERP資料!$A:$A, (MATCH(301, 輔助計算!$G$2:$G$801, 0)+1)), "")&lt;&gt;IFERROR(INDEX(ERP資料!$A:$A, MATCH(300, 輔助計算!$G$2:$G$801, 0)+1), "")), IFERROR(VLOOKUP(LEFT(INDEX(ERP資料!$S:$S, (MATCH(301, 輔助計算!$G$2:$G$801, 0)+1)), 4), 紙管對照表!$A:$C, 3, FALSE), ""), ""), "")</f>
        <v/>
      </c>
      <c r="D302" s="16" t="n"/>
      <c r="E302" s="10">
        <f>IFERROR(IF(INDEX(ERP資料!$H:$H, (MATCH(301, 輔助計算!$G$2:$G$801, 0)+1))="","",INDEX(ERP資料!$H:$H, (MATCH(301, 輔助計算!$G$2:$G$801, 0)+1))), "")</f>
        <v/>
      </c>
      <c r="F302" s="10">
        <f>IFERROR(IF(INDEX(ERP資料!$E:$E, (MATCH(301, 輔助計算!$G$2:$G$801, 0)+1))="","",TRIM(INDEX(ERP資料!$E:$E, (MATCH(301, 輔助計算!$G$2:$G$801, 0)+1)))), "")</f>
        <v/>
      </c>
      <c r="G302" s="10">
        <f>IFERROR(IF(INDEX(ERP資料!$F:$F, (MATCH(301, 輔助計算!$G$2:$G$801, 0)+1))="","",INDEX(ERP資料!$F:$F, (MATCH(301, 輔助計算!$G$2:$G$801, 0)+1))), "")</f>
        <v/>
      </c>
      <c r="H302" s="10">
        <f>IFERROR(IF(INDEX(ERP資料!$G:$G, (MATCH(301, 輔助計算!$G$2:$G$801, 0)+1))="","",INDEX(ERP資料!$G:$G, (MATCH(301, 輔助計算!$G$2:$G$801, 0)+1))), "")</f>
        <v/>
      </c>
      <c r="I302" s="15">
        <f>IFERROR(INDEX(輔助計算!$D:$D, (MATCH(301, 輔助計算!$G$2:$G$801, 0)+1)), "")</f>
        <v/>
      </c>
      <c r="J302" s="15">
        <f>IFERROR(IF(AND(INDEX(輔助計算!$D:$D, (MATCH(301, 輔助計算!$G$2:$G$801, 0)+1))&lt;&gt;"", INDEX(ERP資料!$G:$G, (MATCH(301, 輔助計算!$G$2:$G$801, 0)+1))&lt;&gt;""), TRIM(IF(INT(INDEX(輔助計算!$D:$D, (MATCH(301, 輔助計算!$G$2:$G$801, 0)+1))/IF(INDEX(ERP資料!$G:$G, (MATCH(301, 輔助計算!$G$2:$G$801, 0)+1))&lt;100, IF(INDEX(ERP資料!$G:$G, (MATCH(301, 輔助計算!$G$2:$G$801, 0)+1))&lt;=31,3,IF(INDEX(ERP資料!$G:$G, (MATCH(301, 輔助計算!$G$2:$G$801, 0)+1))&lt;=46.5,2,1)), IF(INDEX(ERP資料!$G:$G, (MATCH(301, 輔助計算!$G$2:$G$801, 0)+1))&lt;=790,3,IF(INDEX(ERP資料!$G:$G, (MATCH(301, 輔助計算!$G$2:$G$801, 0)+1))&lt;=1181,2,1))))&gt;0, IF(IF(INDEX(ERP資料!$G:$G, (MATCH(301, 輔助計算!$G$2:$G$801, 0)+1))&lt;100, IF(INDEX(ERP資料!$G:$G, (MATCH(301, 輔助計算!$G$2:$G$801, 0)+1))&lt;=31,3,IF(INDEX(ERP資料!$G:$G, (MATCH(301, 輔助計算!$G$2:$G$801, 0)+1))&lt;=46.5,2,1)), IF(INDEX(ERP資料!$G:$G, (MATCH(301, 輔助計算!$G$2:$G$801, 0)+1))&lt;=790,3,IF(INDEX(ERP資料!$G:$G, (MATCH(301, 輔助計算!$G$2:$G$801, 0)+1))&lt;=1181,2,1)))=1,TEXT(INDEX(ERP資料!$G:$G, (MATCH(301, 輔助計算!$G$2:$G$801, 0)+1)),"0.##"),IF(IF(INDEX(ERP資料!$G:$G, (MATCH(301, 輔助計算!$G$2:$G$801, 0)+1))&lt;100, IF(INDEX(ERP資料!$G:$G, (MATCH(301, 輔助計算!$G$2:$G$801, 0)+1))&lt;=31,3,IF(INDEX(ERP資料!$G:$G, (MATCH(301, 輔助計算!$G$2:$G$801, 0)+1))&lt;=46.5,2,1)), IF(INDEX(ERP資料!$G:$G, (MATCH(301, 輔助計算!$G$2:$G$801, 0)+1))&lt;=790,3,IF(INDEX(ERP資料!$G:$G, (MATCH(301, 輔助計算!$G$2:$G$801, 0)+1))&lt;=1181,2,1)))=2,TEXT(INDEX(ERP資料!$G:$G, (MATCH(301, 輔助計算!$G$2:$G$801, 0)+1)),"0.##")&amp;"+"&amp;TEXT(INDEX(ERP資料!$G:$G, (MATCH(301, 輔助計算!$G$2:$G$801, 0)+1)),"0.##"),TEXT(INDEX(ERP資料!$G:$G, (MATCH(301, 輔助計算!$G$2:$G$801, 0)+1)),"0.##")&amp;"+"&amp;TEXT(INDEX(ERP資料!$G:$G, (MATCH(301, 輔助計算!$G$2:$G$801, 0)+1)),"0.##")&amp;"+"&amp;TEXT(INDEX(ERP資料!$G:$G, (MATCH(301, 輔助計算!$G$2:$G$801, 0)+1)),"0.##")))&amp;"-"&amp;INT(INDEX(輔助計算!$D:$D, (MATCH(301, 輔助計算!$G$2:$G$801, 0)+1))/IF(INDEX(ERP資料!$G:$G, (MATCH(301, 輔助計算!$G$2:$G$801, 0)+1))&lt;100, IF(INDEX(ERP資料!$G:$G, (MATCH(301, 輔助計算!$G$2:$G$801, 0)+1))&lt;=31,3,IF(INDEX(ERP資料!$G:$G, (MATCH(301, 輔助計算!$G$2:$G$801, 0)+1))&lt;=46.5,2,1)), IF(INDEX(ERP資料!$G:$G, (MATCH(301, 輔助計算!$G$2:$G$801, 0)+1))&lt;=790,3,IF(INDEX(ERP資料!$G:$G, (MATCH(301, 輔助計算!$G$2:$G$801, 0)+1))&lt;=1181,2,1)))), "")&amp;IF(AND(IF(INT(INDEX(輔助計算!$D:$D, (MATCH(301, 輔助計算!$G$2:$G$801, 0)+1))/IF(INDEX(ERP資料!$G:$G, (MATCH(301, 輔助計算!$G$2:$G$801, 0)+1))&lt;100, IF(INDEX(ERP資料!$G:$G, (MATCH(301, 輔助計算!$G$2:$G$801, 0)+1))&lt;=31,3,IF(INDEX(ERP資料!$G:$G, (MATCH(301, 輔助計算!$G$2:$G$801, 0)+1))&lt;=46.5,2,1)), IF(INDEX(ERP資料!$G:$G, (MATCH(301, 輔助計算!$G$2:$G$801, 0)+1))&lt;=790,3,IF(INDEX(ERP資料!$G:$G, (MATCH(301, 輔助計算!$G$2:$G$801, 0)+1))&lt;=1181,2,1))))&gt;0, IF(IF(INDEX(ERP資料!$G:$G, (MATCH(301, 輔助計算!$G$2:$G$801, 0)+1))&lt;100, IF(INDEX(ERP資料!$G:$G, (MATCH(301, 輔助計算!$G$2:$G$801, 0)+1))&lt;=31,3,IF(INDEX(ERP資料!$G:$G, (MATCH(301, 輔助計算!$G$2:$G$801, 0)+1))&lt;=46.5,2,1)), IF(INDEX(ERP資料!$G:$G, (MATCH(301, 輔助計算!$G$2:$G$801, 0)+1))&lt;=790,3,IF(INDEX(ERP資料!$G:$G, (MATCH(301, 輔助計算!$G$2:$G$801, 0)+1))&lt;=1181,2,1)))=1,TEXT(INDEX(ERP資料!$G:$G, (MATCH(301, 輔助計算!$G$2:$G$801, 0)+1)),"0.##"),IF(IF(INDEX(ERP資料!$G:$G, (MATCH(301, 輔助計算!$G$2:$G$801, 0)+1))&lt;100, IF(INDEX(ERP資料!$G:$G, (MATCH(301, 輔助計算!$G$2:$G$801, 0)+1))&lt;=31,3,IF(INDEX(ERP資料!$G:$G, (MATCH(301, 輔助計算!$G$2:$G$801, 0)+1))&lt;=46.5,2,1)), IF(INDEX(ERP資料!$G:$G, (MATCH(301, 輔助計算!$G$2:$G$801, 0)+1))&lt;=790,3,IF(INDEX(ERP資料!$G:$G, (MATCH(301, 輔助計算!$G$2:$G$801, 0)+1))&lt;=1181,2,1)))=2,TEXT(INDEX(ERP資料!$G:$G, (MATCH(301, 輔助計算!$G$2:$G$801, 0)+1)),"0.##")&amp;"+"&amp;TEXT(INDEX(ERP資料!$G:$G, (MATCH(301, 輔助計算!$G$2:$G$801, 0)+1)),"0.##"),TEXT(INDEX(ERP資料!$G:$G, (MATCH(301, 輔助計算!$G$2:$G$801, 0)+1)),"0.##")&amp;"+"&amp;TEXT(INDEX(ERP資料!$G:$G, (MATCH(301, 輔助計算!$G$2:$G$801, 0)+1)),"0.##")&amp;"+"&amp;TEXT(INDEX(ERP資料!$G:$G, (MATCH(301, 輔助計算!$G$2:$G$801, 0)+1)),"0.##")))&amp;"-"&amp;INT(INDEX(輔助計算!$D:$D, (MATCH(301, 輔助計算!$G$2:$G$801, 0)+1))/IF(INDEX(ERP資料!$G:$G, (MATCH(301, 輔助計算!$G$2:$G$801, 0)+1))&lt;100, IF(INDEX(ERP資料!$G:$G, (MATCH(301, 輔助計算!$G$2:$G$801, 0)+1))&lt;=31,3,IF(INDEX(ERP資料!$G:$G, (MATCH(301, 輔助計算!$G$2:$G$801, 0)+1))&lt;=46.5,2,1)), IF(INDEX(ERP資料!$G:$G, (MATCH(301, 輔助計算!$G$2:$G$801, 0)+1))&lt;=790,3,IF(INDEX(ERP資料!$G:$G, (MATCH(301, 輔助計算!$G$2:$G$801, 0)+1))&lt;=1181,2,1)))), "")&lt;&gt;"",IF(MOD(INDEX(輔助計算!$D:$D, (MATCH(301, 輔助計算!$G$2:$G$801, 0)+1)),IF(INDEX(ERP資料!$G:$G, (MATCH(301, 輔助計算!$G$2:$G$801, 0)+1))&lt;100, IF(INDEX(ERP資料!$G:$G, (MATCH(301, 輔助計算!$G$2:$G$801, 0)+1))&lt;=31,3,IF(INDEX(ERP資料!$G:$G, (MATCH(301, 輔助計算!$G$2:$G$801, 0)+1))&lt;=46.5,2,1)), IF(INDEX(ERP資料!$G:$G, (MATCH(301, 輔助計算!$G$2:$G$801, 0)+1))&lt;=790,3,IF(INDEX(ERP資料!$G:$G, (MATCH(301, 輔助計算!$G$2:$G$801, 0)+1))&lt;=1181,2,1))))=0,"",IF(MOD(INDEX(輔助計算!$D:$D, (MATCH(301, 輔助計算!$G$2:$G$801, 0)+1)),IF(INDEX(ERP資料!$G:$G, (MATCH(301, 輔助計算!$G$2:$G$801, 0)+1))&lt;100, IF(INDEX(ERP資料!$G:$G, (MATCH(301, 輔助計算!$G$2:$G$801, 0)+1))&lt;=31,3,IF(INDEX(ERP資料!$G:$G, (MATCH(301, 輔助計算!$G$2:$G$801, 0)+1))&lt;=46.5,2,1)), IF(INDEX(ERP資料!$G:$G, (MATCH(301, 輔助計算!$G$2:$G$801, 0)+1))&lt;=790,3,IF(INDEX(ERP資料!$G:$G, (MATCH(301, 輔助計算!$G$2:$G$801, 0)+1))&lt;=1181,2,1))))=0,"",IF(MOD(INDEX(輔助計算!$D:$D, (MATCH(301, 輔助計算!$G$2:$G$801, 0)+1)),IF(INDEX(ERP資料!$G:$G, (MATCH(301, 輔助計算!$G$2:$G$801, 0)+1))&lt;100, IF(INDEX(ERP資料!$G:$G, (MATCH(301, 輔助計算!$G$2:$G$801, 0)+1))&lt;=31,3,IF(INDEX(ERP資料!$G:$G, (MATCH(301, 輔助計算!$G$2:$G$801, 0)+1))&lt;=46.5,2,1)), IF(INDEX(ERP資料!$G:$G, (MATCH(301, 輔助計算!$G$2:$G$801, 0)+1))&lt;=790,3,IF(INDEX(ERP資料!$G:$G, (MATCH(301, 輔助計算!$G$2:$G$801, 0)+1))&lt;=1181,2,1))))=1,TEXT(INDEX(ERP資料!$G:$G, (MATCH(301, 輔助計算!$G$2:$G$801, 0)+1)),"0.##"),IF(MOD(INDEX(輔助計算!$D:$D, (MATCH(301, 輔助計算!$G$2:$G$801, 0)+1)),IF(INDEX(ERP資料!$G:$G, (MATCH(301, 輔助計算!$G$2:$G$801, 0)+1))&lt;100, IF(INDEX(ERP資料!$G:$G, (MATCH(301, 輔助計算!$G$2:$G$801, 0)+1))&lt;=31,3,IF(INDEX(ERP資料!$G:$G, (MATCH(301, 輔助計算!$G$2:$G$801, 0)+1))&lt;=46.5,2,1)), IF(INDEX(ERP資料!$G:$G, (MATCH(301, 輔助計算!$G$2:$G$801, 0)+1))&lt;=790,3,IF(INDEX(ERP資料!$G:$G, (MATCH(301, 輔助計算!$G$2:$G$801, 0)+1))&lt;=1181,2,1))))=2,TEXT(INDEX(ERP資料!$G:$G, (MATCH(301, 輔助計算!$G$2:$G$801, 0)+1)),"0.##")&amp;"+"&amp;TEXT(INDEX(ERP資料!$G:$G, (MATCH(301, 輔助計算!$G$2:$G$801, 0)+1)),"0.##"),TEXT(INDEX(ERP資料!$G:$G, (MATCH(301, 輔助計算!$G$2:$G$801, 0)+1)),"0.##")&amp;"+"&amp;TEXT(INDEX(ERP資料!$G:$G, (MATCH(301, 輔助計算!$G$2:$G$801, 0)+1)),"0.##")&amp;"+"&amp;TEXT(INDEX(ERP資料!$G:$G, (MATCH(301, 輔助計算!$G$2:$G$801, 0)+1)),"0.##"))))&amp;"-1")&lt;&gt;""),"  ","")&amp;IF(MOD(INDEX(輔助計算!$D:$D, (MATCH(301, 輔助計算!$G$2:$G$801, 0)+1)),IF(INDEX(ERP資料!$G:$G, (MATCH(301, 輔助計算!$G$2:$G$801, 0)+1))&lt;100, IF(INDEX(ERP資料!$G:$G, (MATCH(301, 輔助計算!$G$2:$G$801, 0)+1))&lt;=31,3,IF(INDEX(ERP資料!$G:$G, (MATCH(301, 輔助計算!$G$2:$G$801, 0)+1))&lt;=46.5,2,1)), IF(INDEX(ERP資料!$G:$G, (MATCH(301, 輔助計算!$G$2:$G$801, 0)+1))&lt;=790,3,IF(INDEX(ERP資料!$G:$G, (MATCH(301, 輔助計算!$G$2:$G$801, 0)+1))&lt;=1181,2,1))))=0,"",IF(MOD(INDEX(輔助計算!$D:$D, (MATCH(301, 輔助計算!$G$2:$G$801, 0)+1)),IF(INDEX(ERP資料!$G:$G, (MATCH(301, 輔助計算!$G$2:$G$801, 0)+1))&lt;100, IF(INDEX(ERP資料!$G:$G, (MATCH(301, 輔助計算!$G$2:$G$801, 0)+1))&lt;=31,3,IF(INDEX(ERP資料!$G:$G, (MATCH(301, 輔助計算!$G$2:$G$801, 0)+1))&lt;=46.5,2,1)), IF(INDEX(ERP資料!$G:$G, (MATCH(301, 輔助計算!$G$2:$G$801, 0)+1))&lt;=790,3,IF(INDEX(ERP資料!$G:$G, (MATCH(301, 輔助計算!$G$2:$G$801, 0)+1))&lt;=1181,2,1))))=0,"",IF(MOD(INDEX(輔助計算!$D:$D, (MATCH(301, 輔助計算!$G$2:$G$801, 0)+1)),IF(INDEX(ERP資料!$G:$G, (MATCH(301, 輔助計算!$G$2:$G$801, 0)+1))&lt;100, IF(INDEX(ERP資料!$G:$G, (MATCH(301, 輔助計算!$G$2:$G$801, 0)+1))&lt;=31,3,IF(INDEX(ERP資料!$G:$G, (MATCH(301, 輔助計算!$G$2:$G$801, 0)+1))&lt;=46.5,2,1)), IF(INDEX(ERP資料!$G:$G, (MATCH(301, 輔助計算!$G$2:$G$801, 0)+1))&lt;=790,3,IF(INDEX(ERP資料!$G:$G, (MATCH(301, 輔助計算!$G$2:$G$801, 0)+1))&lt;=1181,2,1))))=1,TEXT(INDEX(ERP資料!$G:$G, (MATCH(301, 輔助計算!$G$2:$G$801, 0)+1)),"0.##"),IF(MOD(INDEX(輔助計算!$D:$D, (MATCH(301, 輔助計算!$G$2:$G$801, 0)+1)),IF(INDEX(ERP資料!$G:$G, (MATCH(301, 輔助計算!$G$2:$G$801, 0)+1))&lt;100, IF(INDEX(ERP資料!$G:$G, (MATCH(301, 輔助計算!$G$2:$G$801, 0)+1))&lt;=31,3,IF(INDEX(ERP資料!$G:$G, (MATCH(301, 輔助計算!$G$2:$G$801, 0)+1))&lt;=46.5,2,1)), IF(INDEX(ERP資料!$G:$G, (MATCH(301, 輔助計算!$G$2:$G$801, 0)+1))&lt;=790,3,IF(INDEX(ERP資料!$G:$G, (MATCH(301, 輔助計算!$G$2:$G$801, 0)+1))&lt;=1181,2,1))))=2,TEXT(INDEX(ERP資料!$G:$G, (MATCH(301, 輔助計算!$G$2:$G$801, 0)+1)),"0.##")&amp;"+"&amp;TEXT(INDEX(ERP資料!$G:$G, (MATCH(301, 輔助計算!$G$2:$G$801, 0)+1)),"0.##"),TEXT(INDEX(ERP資料!$G:$G, (MATCH(301, 輔助計算!$G$2:$G$801, 0)+1)),"0.##")&amp;"+"&amp;TEXT(INDEX(ERP資料!$G:$G, (MATCH(301, 輔助計算!$G$2:$G$801, 0)+1)),"0.##")&amp;"+"&amp;TEXT(INDEX(ERP資料!$G:$G, (MATCH(301, 輔助計算!$G$2:$G$801, 0)+1)),"0.##"))))&amp;"-1")), ""), "")</f>
        <v/>
      </c>
      <c r="K302" s="16" t="n"/>
      <c r="L302" s="14">
        <f>IFERROR(IF(AND(IFERROR(INDEX(ERP資料!$A:$A, (MATCH(301, 輔助計算!$G$2:$G$801, 0)+1)), "")&lt;&gt;"", IFERROR(INDEX(ERP資料!$A:$A, (MATCH(301, 輔助計算!$G$2:$G$801, 0)+1)), "")&lt;&gt;IFERROR(INDEX(ERP資料!$A:$A, MATCH(300, 輔助計算!$G$2:$G$801, 0)+1), "")), INDEX(ERP資料!$B:$B, (MATCH(301, 輔助計算!$G$2:$G$801, 0)+1)), ""), "")</f>
        <v/>
      </c>
      <c r="M302" s="17" t="n"/>
    </row>
    <row r="303">
      <c r="A303" s="10">
        <f>IFERROR(IF(AND(IFERROR(INDEX(ERP資料!$A:$A, (MATCH(302, 輔助計算!$G$2:$G$801, 0)+1)), "")&lt;&gt;"", IFERROR(INDEX(ERP資料!$A:$A, (MATCH(302, 輔助計算!$G$2:$G$801, 0)+1)), "")&lt;&gt;IFERROR(INDEX(ERP資料!$A:$A, MATCH(301, 輔助計算!$G$2:$G$801, 0)+1), "")), IFERROR(INDEX(ERP資料!$A:$A, (MATCH(302, 輔助計算!$G$2:$G$801, 0)+1)), ""), ""), "")</f>
        <v/>
      </c>
      <c r="B303" s="10">
        <f>IFERROR(IF(AND(IFERROR(INDEX(ERP資料!$A:$A, (MATCH(302, 輔助計算!$G$2:$G$801, 0)+1)), "")&lt;&gt;"", IFERROR(INDEX(ERP資料!$A:$A, (MATCH(302, 輔助計算!$G$2:$G$801, 0)+1)), "")&lt;&gt;IFERROR(INDEX(ERP資料!$A:$A, MATCH(301, 輔助計算!$G$2:$G$801, 0)+1), "")), INDEX(ERP資料!$S:$S, (MATCH(302, 輔助計算!$G$2:$G$801, 0)+1)), ""), "")</f>
        <v/>
      </c>
      <c r="C303" s="19">
        <f>IFERROR(IF(AND(IFERROR(INDEX(ERP資料!$A:$A, (MATCH(302, 輔助計算!$G$2:$G$801, 0)+1)), "")&lt;&gt;"", IFERROR(INDEX(ERP資料!$A:$A, (MATCH(302, 輔助計算!$G$2:$G$801, 0)+1)), "")&lt;&gt;IFERROR(INDEX(ERP資料!$A:$A, MATCH(301, 輔助計算!$G$2:$G$801, 0)+1), "")), IFERROR(VLOOKUP(LEFT(INDEX(ERP資料!$S:$S, (MATCH(302, 輔助計算!$G$2:$G$801, 0)+1)), 4), 紙管對照表!$A:$C, 3, FALSE), ""), ""), "")</f>
        <v/>
      </c>
      <c r="D303" s="16" t="n"/>
      <c r="E303" s="10">
        <f>IFERROR(IF(INDEX(ERP資料!$H:$H, (MATCH(302, 輔助計算!$G$2:$G$801, 0)+1))="","",INDEX(ERP資料!$H:$H, (MATCH(302, 輔助計算!$G$2:$G$801, 0)+1))), "")</f>
        <v/>
      </c>
      <c r="F303" s="10">
        <f>IFERROR(IF(INDEX(ERP資料!$E:$E, (MATCH(302, 輔助計算!$G$2:$G$801, 0)+1))="","",TRIM(INDEX(ERP資料!$E:$E, (MATCH(302, 輔助計算!$G$2:$G$801, 0)+1)))), "")</f>
        <v/>
      </c>
      <c r="G303" s="10">
        <f>IFERROR(IF(INDEX(ERP資料!$F:$F, (MATCH(302, 輔助計算!$G$2:$G$801, 0)+1))="","",INDEX(ERP資料!$F:$F, (MATCH(302, 輔助計算!$G$2:$G$801, 0)+1))), "")</f>
        <v/>
      </c>
      <c r="H303" s="10">
        <f>IFERROR(IF(INDEX(ERP資料!$G:$G, (MATCH(302, 輔助計算!$G$2:$G$801, 0)+1))="","",INDEX(ERP資料!$G:$G, (MATCH(302, 輔助計算!$G$2:$G$801, 0)+1))), "")</f>
        <v/>
      </c>
      <c r="I303" s="15">
        <f>IFERROR(INDEX(輔助計算!$D:$D, (MATCH(302, 輔助計算!$G$2:$G$801, 0)+1)), "")</f>
        <v/>
      </c>
      <c r="J303" s="15">
        <f>IFERROR(IF(AND(INDEX(輔助計算!$D:$D, (MATCH(302, 輔助計算!$G$2:$G$801, 0)+1))&lt;&gt;"", INDEX(ERP資料!$G:$G, (MATCH(302, 輔助計算!$G$2:$G$801, 0)+1))&lt;&gt;""), TRIM(IF(INT(INDEX(輔助計算!$D:$D, (MATCH(302, 輔助計算!$G$2:$G$801, 0)+1))/IF(INDEX(ERP資料!$G:$G, (MATCH(302, 輔助計算!$G$2:$G$801, 0)+1))&lt;100, IF(INDEX(ERP資料!$G:$G, (MATCH(302, 輔助計算!$G$2:$G$801, 0)+1))&lt;=31,3,IF(INDEX(ERP資料!$G:$G, (MATCH(302, 輔助計算!$G$2:$G$801, 0)+1))&lt;=46.5,2,1)), IF(INDEX(ERP資料!$G:$G, (MATCH(302, 輔助計算!$G$2:$G$801, 0)+1))&lt;=790,3,IF(INDEX(ERP資料!$G:$G, (MATCH(302, 輔助計算!$G$2:$G$801, 0)+1))&lt;=1181,2,1))))&gt;0, IF(IF(INDEX(ERP資料!$G:$G, (MATCH(302, 輔助計算!$G$2:$G$801, 0)+1))&lt;100, IF(INDEX(ERP資料!$G:$G, (MATCH(302, 輔助計算!$G$2:$G$801, 0)+1))&lt;=31,3,IF(INDEX(ERP資料!$G:$G, (MATCH(302, 輔助計算!$G$2:$G$801, 0)+1))&lt;=46.5,2,1)), IF(INDEX(ERP資料!$G:$G, (MATCH(302, 輔助計算!$G$2:$G$801, 0)+1))&lt;=790,3,IF(INDEX(ERP資料!$G:$G, (MATCH(302, 輔助計算!$G$2:$G$801, 0)+1))&lt;=1181,2,1)))=1,TEXT(INDEX(ERP資料!$G:$G, (MATCH(302, 輔助計算!$G$2:$G$801, 0)+1)),"0.##"),IF(IF(INDEX(ERP資料!$G:$G, (MATCH(302, 輔助計算!$G$2:$G$801, 0)+1))&lt;100, IF(INDEX(ERP資料!$G:$G, (MATCH(302, 輔助計算!$G$2:$G$801, 0)+1))&lt;=31,3,IF(INDEX(ERP資料!$G:$G, (MATCH(302, 輔助計算!$G$2:$G$801, 0)+1))&lt;=46.5,2,1)), IF(INDEX(ERP資料!$G:$G, (MATCH(302, 輔助計算!$G$2:$G$801, 0)+1))&lt;=790,3,IF(INDEX(ERP資料!$G:$G, (MATCH(302, 輔助計算!$G$2:$G$801, 0)+1))&lt;=1181,2,1)))=2,TEXT(INDEX(ERP資料!$G:$G, (MATCH(302, 輔助計算!$G$2:$G$801, 0)+1)),"0.##")&amp;"+"&amp;TEXT(INDEX(ERP資料!$G:$G, (MATCH(302, 輔助計算!$G$2:$G$801, 0)+1)),"0.##"),TEXT(INDEX(ERP資料!$G:$G, (MATCH(302, 輔助計算!$G$2:$G$801, 0)+1)),"0.##")&amp;"+"&amp;TEXT(INDEX(ERP資料!$G:$G, (MATCH(302, 輔助計算!$G$2:$G$801, 0)+1)),"0.##")&amp;"+"&amp;TEXT(INDEX(ERP資料!$G:$G, (MATCH(302, 輔助計算!$G$2:$G$801, 0)+1)),"0.##")))&amp;"-"&amp;INT(INDEX(輔助計算!$D:$D, (MATCH(302, 輔助計算!$G$2:$G$801, 0)+1))/IF(INDEX(ERP資料!$G:$G, (MATCH(302, 輔助計算!$G$2:$G$801, 0)+1))&lt;100, IF(INDEX(ERP資料!$G:$G, (MATCH(302, 輔助計算!$G$2:$G$801, 0)+1))&lt;=31,3,IF(INDEX(ERP資料!$G:$G, (MATCH(302, 輔助計算!$G$2:$G$801, 0)+1))&lt;=46.5,2,1)), IF(INDEX(ERP資料!$G:$G, (MATCH(302, 輔助計算!$G$2:$G$801, 0)+1))&lt;=790,3,IF(INDEX(ERP資料!$G:$G, (MATCH(302, 輔助計算!$G$2:$G$801, 0)+1))&lt;=1181,2,1)))), "")&amp;IF(AND(IF(INT(INDEX(輔助計算!$D:$D, (MATCH(302, 輔助計算!$G$2:$G$801, 0)+1))/IF(INDEX(ERP資料!$G:$G, (MATCH(302, 輔助計算!$G$2:$G$801, 0)+1))&lt;100, IF(INDEX(ERP資料!$G:$G, (MATCH(302, 輔助計算!$G$2:$G$801, 0)+1))&lt;=31,3,IF(INDEX(ERP資料!$G:$G, (MATCH(302, 輔助計算!$G$2:$G$801, 0)+1))&lt;=46.5,2,1)), IF(INDEX(ERP資料!$G:$G, (MATCH(302, 輔助計算!$G$2:$G$801, 0)+1))&lt;=790,3,IF(INDEX(ERP資料!$G:$G, (MATCH(302, 輔助計算!$G$2:$G$801, 0)+1))&lt;=1181,2,1))))&gt;0, IF(IF(INDEX(ERP資料!$G:$G, (MATCH(302, 輔助計算!$G$2:$G$801, 0)+1))&lt;100, IF(INDEX(ERP資料!$G:$G, (MATCH(302, 輔助計算!$G$2:$G$801, 0)+1))&lt;=31,3,IF(INDEX(ERP資料!$G:$G, (MATCH(302, 輔助計算!$G$2:$G$801, 0)+1))&lt;=46.5,2,1)), IF(INDEX(ERP資料!$G:$G, (MATCH(302, 輔助計算!$G$2:$G$801, 0)+1))&lt;=790,3,IF(INDEX(ERP資料!$G:$G, (MATCH(302, 輔助計算!$G$2:$G$801, 0)+1))&lt;=1181,2,1)))=1,TEXT(INDEX(ERP資料!$G:$G, (MATCH(302, 輔助計算!$G$2:$G$801, 0)+1)),"0.##"),IF(IF(INDEX(ERP資料!$G:$G, (MATCH(302, 輔助計算!$G$2:$G$801, 0)+1))&lt;100, IF(INDEX(ERP資料!$G:$G, (MATCH(302, 輔助計算!$G$2:$G$801, 0)+1))&lt;=31,3,IF(INDEX(ERP資料!$G:$G, (MATCH(302, 輔助計算!$G$2:$G$801, 0)+1))&lt;=46.5,2,1)), IF(INDEX(ERP資料!$G:$G, (MATCH(302, 輔助計算!$G$2:$G$801, 0)+1))&lt;=790,3,IF(INDEX(ERP資料!$G:$G, (MATCH(302, 輔助計算!$G$2:$G$801, 0)+1))&lt;=1181,2,1)))=2,TEXT(INDEX(ERP資料!$G:$G, (MATCH(302, 輔助計算!$G$2:$G$801, 0)+1)),"0.##")&amp;"+"&amp;TEXT(INDEX(ERP資料!$G:$G, (MATCH(302, 輔助計算!$G$2:$G$801, 0)+1)),"0.##"),TEXT(INDEX(ERP資料!$G:$G, (MATCH(302, 輔助計算!$G$2:$G$801, 0)+1)),"0.##")&amp;"+"&amp;TEXT(INDEX(ERP資料!$G:$G, (MATCH(302, 輔助計算!$G$2:$G$801, 0)+1)),"0.##")&amp;"+"&amp;TEXT(INDEX(ERP資料!$G:$G, (MATCH(302, 輔助計算!$G$2:$G$801, 0)+1)),"0.##")))&amp;"-"&amp;INT(INDEX(輔助計算!$D:$D, (MATCH(302, 輔助計算!$G$2:$G$801, 0)+1))/IF(INDEX(ERP資料!$G:$G, (MATCH(302, 輔助計算!$G$2:$G$801, 0)+1))&lt;100, IF(INDEX(ERP資料!$G:$G, (MATCH(302, 輔助計算!$G$2:$G$801, 0)+1))&lt;=31,3,IF(INDEX(ERP資料!$G:$G, (MATCH(302, 輔助計算!$G$2:$G$801, 0)+1))&lt;=46.5,2,1)), IF(INDEX(ERP資料!$G:$G, (MATCH(302, 輔助計算!$G$2:$G$801, 0)+1))&lt;=790,3,IF(INDEX(ERP資料!$G:$G, (MATCH(302, 輔助計算!$G$2:$G$801, 0)+1))&lt;=1181,2,1)))), "")&lt;&gt;"",IF(MOD(INDEX(輔助計算!$D:$D, (MATCH(302, 輔助計算!$G$2:$G$801, 0)+1)),IF(INDEX(ERP資料!$G:$G, (MATCH(302, 輔助計算!$G$2:$G$801, 0)+1))&lt;100, IF(INDEX(ERP資料!$G:$G, (MATCH(302, 輔助計算!$G$2:$G$801, 0)+1))&lt;=31,3,IF(INDEX(ERP資料!$G:$G, (MATCH(302, 輔助計算!$G$2:$G$801, 0)+1))&lt;=46.5,2,1)), IF(INDEX(ERP資料!$G:$G, (MATCH(302, 輔助計算!$G$2:$G$801, 0)+1))&lt;=790,3,IF(INDEX(ERP資料!$G:$G, (MATCH(302, 輔助計算!$G$2:$G$801, 0)+1))&lt;=1181,2,1))))=0,"",IF(MOD(INDEX(輔助計算!$D:$D, (MATCH(302, 輔助計算!$G$2:$G$801, 0)+1)),IF(INDEX(ERP資料!$G:$G, (MATCH(302, 輔助計算!$G$2:$G$801, 0)+1))&lt;100, IF(INDEX(ERP資料!$G:$G, (MATCH(302, 輔助計算!$G$2:$G$801, 0)+1))&lt;=31,3,IF(INDEX(ERP資料!$G:$G, (MATCH(302, 輔助計算!$G$2:$G$801, 0)+1))&lt;=46.5,2,1)), IF(INDEX(ERP資料!$G:$G, (MATCH(302, 輔助計算!$G$2:$G$801, 0)+1))&lt;=790,3,IF(INDEX(ERP資料!$G:$G, (MATCH(302, 輔助計算!$G$2:$G$801, 0)+1))&lt;=1181,2,1))))=0,"",IF(MOD(INDEX(輔助計算!$D:$D, (MATCH(302, 輔助計算!$G$2:$G$801, 0)+1)),IF(INDEX(ERP資料!$G:$G, (MATCH(302, 輔助計算!$G$2:$G$801, 0)+1))&lt;100, IF(INDEX(ERP資料!$G:$G, (MATCH(302, 輔助計算!$G$2:$G$801, 0)+1))&lt;=31,3,IF(INDEX(ERP資料!$G:$G, (MATCH(302, 輔助計算!$G$2:$G$801, 0)+1))&lt;=46.5,2,1)), IF(INDEX(ERP資料!$G:$G, (MATCH(302, 輔助計算!$G$2:$G$801, 0)+1))&lt;=790,3,IF(INDEX(ERP資料!$G:$G, (MATCH(302, 輔助計算!$G$2:$G$801, 0)+1))&lt;=1181,2,1))))=1,TEXT(INDEX(ERP資料!$G:$G, (MATCH(302, 輔助計算!$G$2:$G$801, 0)+1)),"0.##"),IF(MOD(INDEX(輔助計算!$D:$D, (MATCH(302, 輔助計算!$G$2:$G$801, 0)+1)),IF(INDEX(ERP資料!$G:$G, (MATCH(302, 輔助計算!$G$2:$G$801, 0)+1))&lt;100, IF(INDEX(ERP資料!$G:$G, (MATCH(302, 輔助計算!$G$2:$G$801, 0)+1))&lt;=31,3,IF(INDEX(ERP資料!$G:$G, (MATCH(302, 輔助計算!$G$2:$G$801, 0)+1))&lt;=46.5,2,1)), IF(INDEX(ERP資料!$G:$G, (MATCH(302, 輔助計算!$G$2:$G$801, 0)+1))&lt;=790,3,IF(INDEX(ERP資料!$G:$G, (MATCH(302, 輔助計算!$G$2:$G$801, 0)+1))&lt;=1181,2,1))))=2,TEXT(INDEX(ERP資料!$G:$G, (MATCH(302, 輔助計算!$G$2:$G$801, 0)+1)),"0.##")&amp;"+"&amp;TEXT(INDEX(ERP資料!$G:$G, (MATCH(302, 輔助計算!$G$2:$G$801, 0)+1)),"0.##"),TEXT(INDEX(ERP資料!$G:$G, (MATCH(302, 輔助計算!$G$2:$G$801, 0)+1)),"0.##")&amp;"+"&amp;TEXT(INDEX(ERP資料!$G:$G, (MATCH(302, 輔助計算!$G$2:$G$801, 0)+1)),"0.##")&amp;"+"&amp;TEXT(INDEX(ERP資料!$G:$G, (MATCH(302, 輔助計算!$G$2:$G$801, 0)+1)),"0.##"))))&amp;"-1")&lt;&gt;""),"  ","")&amp;IF(MOD(INDEX(輔助計算!$D:$D, (MATCH(302, 輔助計算!$G$2:$G$801, 0)+1)),IF(INDEX(ERP資料!$G:$G, (MATCH(302, 輔助計算!$G$2:$G$801, 0)+1))&lt;100, IF(INDEX(ERP資料!$G:$G, (MATCH(302, 輔助計算!$G$2:$G$801, 0)+1))&lt;=31,3,IF(INDEX(ERP資料!$G:$G, (MATCH(302, 輔助計算!$G$2:$G$801, 0)+1))&lt;=46.5,2,1)), IF(INDEX(ERP資料!$G:$G, (MATCH(302, 輔助計算!$G$2:$G$801, 0)+1))&lt;=790,3,IF(INDEX(ERP資料!$G:$G, (MATCH(302, 輔助計算!$G$2:$G$801, 0)+1))&lt;=1181,2,1))))=0,"",IF(MOD(INDEX(輔助計算!$D:$D, (MATCH(302, 輔助計算!$G$2:$G$801, 0)+1)),IF(INDEX(ERP資料!$G:$G, (MATCH(302, 輔助計算!$G$2:$G$801, 0)+1))&lt;100, IF(INDEX(ERP資料!$G:$G, (MATCH(302, 輔助計算!$G$2:$G$801, 0)+1))&lt;=31,3,IF(INDEX(ERP資料!$G:$G, (MATCH(302, 輔助計算!$G$2:$G$801, 0)+1))&lt;=46.5,2,1)), IF(INDEX(ERP資料!$G:$G, (MATCH(302, 輔助計算!$G$2:$G$801, 0)+1))&lt;=790,3,IF(INDEX(ERP資料!$G:$G, (MATCH(302, 輔助計算!$G$2:$G$801, 0)+1))&lt;=1181,2,1))))=0,"",IF(MOD(INDEX(輔助計算!$D:$D, (MATCH(302, 輔助計算!$G$2:$G$801, 0)+1)),IF(INDEX(ERP資料!$G:$G, (MATCH(302, 輔助計算!$G$2:$G$801, 0)+1))&lt;100, IF(INDEX(ERP資料!$G:$G, (MATCH(302, 輔助計算!$G$2:$G$801, 0)+1))&lt;=31,3,IF(INDEX(ERP資料!$G:$G, (MATCH(302, 輔助計算!$G$2:$G$801, 0)+1))&lt;=46.5,2,1)), IF(INDEX(ERP資料!$G:$G, (MATCH(302, 輔助計算!$G$2:$G$801, 0)+1))&lt;=790,3,IF(INDEX(ERP資料!$G:$G, (MATCH(302, 輔助計算!$G$2:$G$801, 0)+1))&lt;=1181,2,1))))=1,TEXT(INDEX(ERP資料!$G:$G, (MATCH(302, 輔助計算!$G$2:$G$801, 0)+1)),"0.##"),IF(MOD(INDEX(輔助計算!$D:$D, (MATCH(302, 輔助計算!$G$2:$G$801, 0)+1)),IF(INDEX(ERP資料!$G:$G, (MATCH(302, 輔助計算!$G$2:$G$801, 0)+1))&lt;100, IF(INDEX(ERP資料!$G:$G, (MATCH(302, 輔助計算!$G$2:$G$801, 0)+1))&lt;=31,3,IF(INDEX(ERP資料!$G:$G, (MATCH(302, 輔助計算!$G$2:$G$801, 0)+1))&lt;=46.5,2,1)), IF(INDEX(ERP資料!$G:$G, (MATCH(302, 輔助計算!$G$2:$G$801, 0)+1))&lt;=790,3,IF(INDEX(ERP資料!$G:$G, (MATCH(302, 輔助計算!$G$2:$G$801, 0)+1))&lt;=1181,2,1))))=2,TEXT(INDEX(ERP資料!$G:$G, (MATCH(302, 輔助計算!$G$2:$G$801, 0)+1)),"0.##")&amp;"+"&amp;TEXT(INDEX(ERP資料!$G:$G, (MATCH(302, 輔助計算!$G$2:$G$801, 0)+1)),"0.##"),TEXT(INDEX(ERP資料!$G:$G, (MATCH(302, 輔助計算!$G$2:$G$801, 0)+1)),"0.##")&amp;"+"&amp;TEXT(INDEX(ERP資料!$G:$G, (MATCH(302, 輔助計算!$G$2:$G$801, 0)+1)),"0.##")&amp;"+"&amp;TEXT(INDEX(ERP資料!$G:$G, (MATCH(302, 輔助計算!$G$2:$G$801, 0)+1)),"0.##"))))&amp;"-1")), ""), "")</f>
        <v/>
      </c>
      <c r="K303" s="16" t="n"/>
      <c r="L303" s="14">
        <f>IFERROR(IF(AND(IFERROR(INDEX(ERP資料!$A:$A, (MATCH(302, 輔助計算!$G$2:$G$801, 0)+1)), "")&lt;&gt;"", IFERROR(INDEX(ERP資料!$A:$A, (MATCH(302, 輔助計算!$G$2:$G$801, 0)+1)), "")&lt;&gt;IFERROR(INDEX(ERP資料!$A:$A, MATCH(301, 輔助計算!$G$2:$G$801, 0)+1), "")), INDEX(ERP資料!$B:$B, (MATCH(302, 輔助計算!$G$2:$G$801, 0)+1)), ""), "")</f>
        <v/>
      </c>
      <c r="M303" s="17" t="n"/>
    </row>
    <row r="304">
      <c r="A304" s="10">
        <f>IFERROR(IF(AND(IFERROR(INDEX(ERP資料!$A:$A, (MATCH(303, 輔助計算!$G$2:$G$801, 0)+1)), "")&lt;&gt;"", IFERROR(INDEX(ERP資料!$A:$A, (MATCH(303, 輔助計算!$G$2:$G$801, 0)+1)), "")&lt;&gt;IFERROR(INDEX(ERP資料!$A:$A, MATCH(302, 輔助計算!$G$2:$G$801, 0)+1), "")), IFERROR(INDEX(ERP資料!$A:$A, (MATCH(303, 輔助計算!$G$2:$G$801, 0)+1)), ""), ""), "")</f>
        <v/>
      </c>
      <c r="B304" s="10">
        <f>IFERROR(IF(AND(IFERROR(INDEX(ERP資料!$A:$A, (MATCH(303, 輔助計算!$G$2:$G$801, 0)+1)), "")&lt;&gt;"", IFERROR(INDEX(ERP資料!$A:$A, (MATCH(303, 輔助計算!$G$2:$G$801, 0)+1)), "")&lt;&gt;IFERROR(INDEX(ERP資料!$A:$A, MATCH(302, 輔助計算!$G$2:$G$801, 0)+1), "")), INDEX(ERP資料!$S:$S, (MATCH(303, 輔助計算!$G$2:$G$801, 0)+1)), ""), "")</f>
        <v/>
      </c>
      <c r="C304" s="19">
        <f>IFERROR(IF(AND(IFERROR(INDEX(ERP資料!$A:$A, (MATCH(303, 輔助計算!$G$2:$G$801, 0)+1)), "")&lt;&gt;"", IFERROR(INDEX(ERP資料!$A:$A, (MATCH(303, 輔助計算!$G$2:$G$801, 0)+1)), "")&lt;&gt;IFERROR(INDEX(ERP資料!$A:$A, MATCH(302, 輔助計算!$G$2:$G$801, 0)+1), "")), IFERROR(VLOOKUP(LEFT(INDEX(ERP資料!$S:$S, (MATCH(303, 輔助計算!$G$2:$G$801, 0)+1)), 4), 紙管對照表!$A:$C, 3, FALSE), ""), ""), "")</f>
        <v/>
      </c>
      <c r="D304" s="16" t="n"/>
      <c r="E304" s="10">
        <f>IFERROR(IF(INDEX(ERP資料!$H:$H, (MATCH(303, 輔助計算!$G$2:$G$801, 0)+1))="","",INDEX(ERP資料!$H:$H, (MATCH(303, 輔助計算!$G$2:$G$801, 0)+1))), "")</f>
        <v/>
      </c>
      <c r="F304" s="10">
        <f>IFERROR(IF(INDEX(ERP資料!$E:$E, (MATCH(303, 輔助計算!$G$2:$G$801, 0)+1))="","",TRIM(INDEX(ERP資料!$E:$E, (MATCH(303, 輔助計算!$G$2:$G$801, 0)+1)))), "")</f>
        <v/>
      </c>
      <c r="G304" s="10">
        <f>IFERROR(IF(INDEX(ERP資料!$F:$F, (MATCH(303, 輔助計算!$G$2:$G$801, 0)+1))="","",INDEX(ERP資料!$F:$F, (MATCH(303, 輔助計算!$G$2:$G$801, 0)+1))), "")</f>
        <v/>
      </c>
      <c r="H304" s="10">
        <f>IFERROR(IF(INDEX(ERP資料!$G:$G, (MATCH(303, 輔助計算!$G$2:$G$801, 0)+1))="","",INDEX(ERP資料!$G:$G, (MATCH(303, 輔助計算!$G$2:$G$801, 0)+1))), "")</f>
        <v/>
      </c>
      <c r="I304" s="15">
        <f>IFERROR(INDEX(輔助計算!$D:$D, (MATCH(303, 輔助計算!$G$2:$G$801, 0)+1)), "")</f>
        <v/>
      </c>
      <c r="J304" s="15">
        <f>IFERROR(IF(AND(INDEX(輔助計算!$D:$D, (MATCH(303, 輔助計算!$G$2:$G$801, 0)+1))&lt;&gt;"", INDEX(ERP資料!$G:$G, (MATCH(303, 輔助計算!$G$2:$G$801, 0)+1))&lt;&gt;""), TRIM(IF(INT(INDEX(輔助計算!$D:$D, (MATCH(303, 輔助計算!$G$2:$G$801, 0)+1))/IF(INDEX(ERP資料!$G:$G, (MATCH(303, 輔助計算!$G$2:$G$801, 0)+1))&lt;100, IF(INDEX(ERP資料!$G:$G, (MATCH(303, 輔助計算!$G$2:$G$801, 0)+1))&lt;=31,3,IF(INDEX(ERP資料!$G:$G, (MATCH(303, 輔助計算!$G$2:$G$801, 0)+1))&lt;=46.5,2,1)), IF(INDEX(ERP資料!$G:$G, (MATCH(303, 輔助計算!$G$2:$G$801, 0)+1))&lt;=790,3,IF(INDEX(ERP資料!$G:$G, (MATCH(303, 輔助計算!$G$2:$G$801, 0)+1))&lt;=1181,2,1))))&gt;0, IF(IF(INDEX(ERP資料!$G:$G, (MATCH(303, 輔助計算!$G$2:$G$801, 0)+1))&lt;100, IF(INDEX(ERP資料!$G:$G, (MATCH(303, 輔助計算!$G$2:$G$801, 0)+1))&lt;=31,3,IF(INDEX(ERP資料!$G:$G, (MATCH(303, 輔助計算!$G$2:$G$801, 0)+1))&lt;=46.5,2,1)), IF(INDEX(ERP資料!$G:$G, (MATCH(303, 輔助計算!$G$2:$G$801, 0)+1))&lt;=790,3,IF(INDEX(ERP資料!$G:$G, (MATCH(303, 輔助計算!$G$2:$G$801, 0)+1))&lt;=1181,2,1)))=1,TEXT(INDEX(ERP資料!$G:$G, (MATCH(303, 輔助計算!$G$2:$G$801, 0)+1)),"0.##"),IF(IF(INDEX(ERP資料!$G:$G, (MATCH(303, 輔助計算!$G$2:$G$801, 0)+1))&lt;100, IF(INDEX(ERP資料!$G:$G, (MATCH(303, 輔助計算!$G$2:$G$801, 0)+1))&lt;=31,3,IF(INDEX(ERP資料!$G:$G, (MATCH(303, 輔助計算!$G$2:$G$801, 0)+1))&lt;=46.5,2,1)), IF(INDEX(ERP資料!$G:$G, (MATCH(303, 輔助計算!$G$2:$G$801, 0)+1))&lt;=790,3,IF(INDEX(ERP資料!$G:$G, (MATCH(303, 輔助計算!$G$2:$G$801, 0)+1))&lt;=1181,2,1)))=2,TEXT(INDEX(ERP資料!$G:$G, (MATCH(303, 輔助計算!$G$2:$G$801, 0)+1)),"0.##")&amp;"+"&amp;TEXT(INDEX(ERP資料!$G:$G, (MATCH(303, 輔助計算!$G$2:$G$801, 0)+1)),"0.##"),TEXT(INDEX(ERP資料!$G:$G, (MATCH(303, 輔助計算!$G$2:$G$801, 0)+1)),"0.##")&amp;"+"&amp;TEXT(INDEX(ERP資料!$G:$G, (MATCH(303, 輔助計算!$G$2:$G$801, 0)+1)),"0.##")&amp;"+"&amp;TEXT(INDEX(ERP資料!$G:$G, (MATCH(303, 輔助計算!$G$2:$G$801, 0)+1)),"0.##")))&amp;"-"&amp;INT(INDEX(輔助計算!$D:$D, (MATCH(303, 輔助計算!$G$2:$G$801, 0)+1))/IF(INDEX(ERP資料!$G:$G, (MATCH(303, 輔助計算!$G$2:$G$801, 0)+1))&lt;100, IF(INDEX(ERP資料!$G:$G, (MATCH(303, 輔助計算!$G$2:$G$801, 0)+1))&lt;=31,3,IF(INDEX(ERP資料!$G:$G, (MATCH(303, 輔助計算!$G$2:$G$801, 0)+1))&lt;=46.5,2,1)), IF(INDEX(ERP資料!$G:$G, (MATCH(303, 輔助計算!$G$2:$G$801, 0)+1))&lt;=790,3,IF(INDEX(ERP資料!$G:$G, (MATCH(303, 輔助計算!$G$2:$G$801, 0)+1))&lt;=1181,2,1)))), "")&amp;IF(AND(IF(INT(INDEX(輔助計算!$D:$D, (MATCH(303, 輔助計算!$G$2:$G$801, 0)+1))/IF(INDEX(ERP資料!$G:$G, (MATCH(303, 輔助計算!$G$2:$G$801, 0)+1))&lt;100, IF(INDEX(ERP資料!$G:$G, (MATCH(303, 輔助計算!$G$2:$G$801, 0)+1))&lt;=31,3,IF(INDEX(ERP資料!$G:$G, (MATCH(303, 輔助計算!$G$2:$G$801, 0)+1))&lt;=46.5,2,1)), IF(INDEX(ERP資料!$G:$G, (MATCH(303, 輔助計算!$G$2:$G$801, 0)+1))&lt;=790,3,IF(INDEX(ERP資料!$G:$G, (MATCH(303, 輔助計算!$G$2:$G$801, 0)+1))&lt;=1181,2,1))))&gt;0, IF(IF(INDEX(ERP資料!$G:$G, (MATCH(303, 輔助計算!$G$2:$G$801, 0)+1))&lt;100, IF(INDEX(ERP資料!$G:$G, (MATCH(303, 輔助計算!$G$2:$G$801, 0)+1))&lt;=31,3,IF(INDEX(ERP資料!$G:$G, (MATCH(303, 輔助計算!$G$2:$G$801, 0)+1))&lt;=46.5,2,1)), IF(INDEX(ERP資料!$G:$G, (MATCH(303, 輔助計算!$G$2:$G$801, 0)+1))&lt;=790,3,IF(INDEX(ERP資料!$G:$G, (MATCH(303, 輔助計算!$G$2:$G$801, 0)+1))&lt;=1181,2,1)))=1,TEXT(INDEX(ERP資料!$G:$G, (MATCH(303, 輔助計算!$G$2:$G$801, 0)+1)),"0.##"),IF(IF(INDEX(ERP資料!$G:$G, (MATCH(303, 輔助計算!$G$2:$G$801, 0)+1))&lt;100, IF(INDEX(ERP資料!$G:$G, (MATCH(303, 輔助計算!$G$2:$G$801, 0)+1))&lt;=31,3,IF(INDEX(ERP資料!$G:$G, (MATCH(303, 輔助計算!$G$2:$G$801, 0)+1))&lt;=46.5,2,1)), IF(INDEX(ERP資料!$G:$G, (MATCH(303, 輔助計算!$G$2:$G$801, 0)+1))&lt;=790,3,IF(INDEX(ERP資料!$G:$G, (MATCH(303, 輔助計算!$G$2:$G$801, 0)+1))&lt;=1181,2,1)))=2,TEXT(INDEX(ERP資料!$G:$G, (MATCH(303, 輔助計算!$G$2:$G$801, 0)+1)),"0.##")&amp;"+"&amp;TEXT(INDEX(ERP資料!$G:$G, (MATCH(303, 輔助計算!$G$2:$G$801, 0)+1)),"0.##"),TEXT(INDEX(ERP資料!$G:$G, (MATCH(303, 輔助計算!$G$2:$G$801, 0)+1)),"0.##")&amp;"+"&amp;TEXT(INDEX(ERP資料!$G:$G, (MATCH(303, 輔助計算!$G$2:$G$801, 0)+1)),"0.##")&amp;"+"&amp;TEXT(INDEX(ERP資料!$G:$G, (MATCH(303, 輔助計算!$G$2:$G$801, 0)+1)),"0.##")))&amp;"-"&amp;INT(INDEX(輔助計算!$D:$D, (MATCH(303, 輔助計算!$G$2:$G$801, 0)+1))/IF(INDEX(ERP資料!$G:$G, (MATCH(303, 輔助計算!$G$2:$G$801, 0)+1))&lt;100, IF(INDEX(ERP資料!$G:$G, (MATCH(303, 輔助計算!$G$2:$G$801, 0)+1))&lt;=31,3,IF(INDEX(ERP資料!$G:$G, (MATCH(303, 輔助計算!$G$2:$G$801, 0)+1))&lt;=46.5,2,1)), IF(INDEX(ERP資料!$G:$G, (MATCH(303, 輔助計算!$G$2:$G$801, 0)+1))&lt;=790,3,IF(INDEX(ERP資料!$G:$G, (MATCH(303, 輔助計算!$G$2:$G$801, 0)+1))&lt;=1181,2,1)))), "")&lt;&gt;"",IF(MOD(INDEX(輔助計算!$D:$D, (MATCH(303, 輔助計算!$G$2:$G$801, 0)+1)),IF(INDEX(ERP資料!$G:$G, (MATCH(303, 輔助計算!$G$2:$G$801, 0)+1))&lt;100, IF(INDEX(ERP資料!$G:$G, (MATCH(303, 輔助計算!$G$2:$G$801, 0)+1))&lt;=31,3,IF(INDEX(ERP資料!$G:$G, (MATCH(303, 輔助計算!$G$2:$G$801, 0)+1))&lt;=46.5,2,1)), IF(INDEX(ERP資料!$G:$G, (MATCH(303, 輔助計算!$G$2:$G$801, 0)+1))&lt;=790,3,IF(INDEX(ERP資料!$G:$G, (MATCH(303, 輔助計算!$G$2:$G$801, 0)+1))&lt;=1181,2,1))))=0,"",IF(MOD(INDEX(輔助計算!$D:$D, (MATCH(303, 輔助計算!$G$2:$G$801, 0)+1)),IF(INDEX(ERP資料!$G:$G, (MATCH(303, 輔助計算!$G$2:$G$801, 0)+1))&lt;100, IF(INDEX(ERP資料!$G:$G, (MATCH(303, 輔助計算!$G$2:$G$801, 0)+1))&lt;=31,3,IF(INDEX(ERP資料!$G:$G, (MATCH(303, 輔助計算!$G$2:$G$801, 0)+1))&lt;=46.5,2,1)), IF(INDEX(ERP資料!$G:$G, (MATCH(303, 輔助計算!$G$2:$G$801, 0)+1))&lt;=790,3,IF(INDEX(ERP資料!$G:$G, (MATCH(303, 輔助計算!$G$2:$G$801, 0)+1))&lt;=1181,2,1))))=0,"",IF(MOD(INDEX(輔助計算!$D:$D, (MATCH(303, 輔助計算!$G$2:$G$801, 0)+1)),IF(INDEX(ERP資料!$G:$G, (MATCH(303, 輔助計算!$G$2:$G$801, 0)+1))&lt;100, IF(INDEX(ERP資料!$G:$G, (MATCH(303, 輔助計算!$G$2:$G$801, 0)+1))&lt;=31,3,IF(INDEX(ERP資料!$G:$G, (MATCH(303, 輔助計算!$G$2:$G$801, 0)+1))&lt;=46.5,2,1)), IF(INDEX(ERP資料!$G:$G, (MATCH(303, 輔助計算!$G$2:$G$801, 0)+1))&lt;=790,3,IF(INDEX(ERP資料!$G:$G, (MATCH(303, 輔助計算!$G$2:$G$801, 0)+1))&lt;=1181,2,1))))=1,TEXT(INDEX(ERP資料!$G:$G, (MATCH(303, 輔助計算!$G$2:$G$801, 0)+1)),"0.##"),IF(MOD(INDEX(輔助計算!$D:$D, (MATCH(303, 輔助計算!$G$2:$G$801, 0)+1)),IF(INDEX(ERP資料!$G:$G, (MATCH(303, 輔助計算!$G$2:$G$801, 0)+1))&lt;100, IF(INDEX(ERP資料!$G:$G, (MATCH(303, 輔助計算!$G$2:$G$801, 0)+1))&lt;=31,3,IF(INDEX(ERP資料!$G:$G, (MATCH(303, 輔助計算!$G$2:$G$801, 0)+1))&lt;=46.5,2,1)), IF(INDEX(ERP資料!$G:$G, (MATCH(303, 輔助計算!$G$2:$G$801, 0)+1))&lt;=790,3,IF(INDEX(ERP資料!$G:$G, (MATCH(303, 輔助計算!$G$2:$G$801, 0)+1))&lt;=1181,2,1))))=2,TEXT(INDEX(ERP資料!$G:$G, (MATCH(303, 輔助計算!$G$2:$G$801, 0)+1)),"0.##")&amp;"+"&amp;TEXT(INDEX(ERP資料!$G:$G, (MATCH(303, 輔助計算!$G$2:$G$801, 0)+1)),"0.##"),TEXT(INDEX(ERP資料!$G:$G, (MATCH(303, 輔助計算!$G$2:$G$801, 0)+1)),"0.##")&amp;"+"&amp;TEXT(INDEX(ERP資料!$G:$G, (MATCH(303, 輔助計算!$G$2:$G$801, 0)+1)),"0.##")&amp;"+"&amp;TEXT(INDEX(ERP資料!$G:$G, (MATCH(303, 輔助計算!$G$2:$G$801, 0)+1)),"0.##"))))&amp;"-1")&lt;&gt;""),"  ","")&amp;IF(MOD(INDEX(輔助計算!$D:$D, (MATCH(303, 輔助計算!$G$2:$G$801, 0)+1)),IF(INDEX(ERP資料!$G:$G, (MATCH(303, 輔助計算!$G$2:$G$801, 0)+1))&lt;100, IF(INDEX(ERP資料!$G:$G, (MATCH(303, 輔助計算!$G$2:$G$801, 0)+1))&lt;=31,3,IF(INDEX(ERP資料!$G:$G, (MATCH(303, 輔助計算!$G$2:$G$801, 0)+1))&lt;=46.5,2,1)), IF(INDEX(ERP資料!$G:$G, (MATCH(303, 輔助計算!$G$2:$G$801, 0)+1))&lt;=790,3,IF(INDEX(ERP資料!$G:$G, (MATCH(303, 輔助計算!$G$2:$G$801, 0)+1))&lt;=1181,2,1))))=0,"",IF(MOD(INDEX(輔助計算!$D:$D, (MATCH(303, 輔助計算!$G$2:$G$801, 0)+1)),IF(INDEX(ERP資料!$G:$G, (MATCH(303, 輔助計算!$G$2:$G$801, 0)+1))&lt;100, IF(INDEX(ERP資料!$G:$G, (MATCH(303, 輔助計算!$G$2:$G$801, 0)+1))&lt;=31,3,IF(INDEX(ERP資料!$G:$G, (MATCH(303, 輔助計算!$G$2:$G$801, 0)+1))&lt;=46.5,2,1)), IF(INDEX(ERP資料!$G:$G, (MATCH(303, 輔助計算!$G$2:$G$801, 0)+1))&lt;=790,3,IF(INDEX(ERP資料!$G:$G, (MATCH(303, 輔助計算!$G$2:$G$801, 0)+1))&lt;=1181,2,1))))=0,"",IF(MOD(INDEX(輔助計算!$D:$D, (MATCH(303, 輔助計算!$G$2:$G$801, 0)+1)),IF(INDEX(ERP資料!$G:$G, (MATCH(303, 輔助計算!$G$2:$G$801, 0)+1))&lt;100, IF(INDEX(ERP資料!$G:$G, (MATCH(303, 輔助計算!$G$2:$G$801, 0)+1))&lt;=31,3,IF(INDEX(ERP資料!$G:$G, (MATCH(303, 輔助計算!$G$2:$G$801, 0)+1))&lt;=46.5,2,1)), IF(INDEX(ERP資料!$G:$G, (MATCH(303, 輔助計算!$G$2:$G$801, 0)+1))&lt;=790,3,IF(INDEX(ERP資料!$G:$G, (MATCH(303, 輔助計算!$G$2:$G$801, 0)+1))&lt;=1181,2,1))))=1,TEXT(INDEX(ERP資料!$G:$G, (MATCH(303, 輔助計算!$G$2:$G$801, 0)+1)),"0.##"),IF(MOD(INDEX(輔助計算!$D:$D, (MATCH(303, 輔助計算!$G$2:$G$801, 0)+1)),IF(INDEX(ERP資料!$G:$G, (MATCH(303, 輔助計算!$G$2:$G$801, 0)+1))&lt;100, IF(INDEX(ERP資料!$G:$G, (MATCH(303, 輔助計算!$G$2:$G$801, 0)+1))&lt;=31,3,IF(INDEX(ERP資料!$G:$G, (MATCH(303, 輔助計算!$G$2:$G$801, 0)+1))&lt;=46.5,2,1)), IF(INDEX(ERP資料!$G:$G, (MATCH(303, 輔助計算!$G$2:$G$801, 0)+1))&lt;=790,3,IF(INDEX(ERP資料!$G:$G, (MATCH(303, 輔助計算!$G$2:$G$801, 0)+1))&lt;=1181,2,1))))=2,TEXT(INDEX(ERP資料!$G:$G, (MATCH(303, 輔助計算!$G$2:$G$801, 0)+1)),"0.##")&amp;"+"&amp;TEXT(INDEX(ERP資料!$G:$G, (MATCH(303, 輔助計算!$G$2:$G$801, 0)+1)),"0.##"),TEXT(INDEX(ERP資料!$G:$G, (MATCH(303, 輔助計算!$G$2:$G$801, 0)+1)),"0.##")&amp;"+"&amp;TEXT(INDEX(ERP資料!$G:$G, (MATCH(303, 輔助計算!$G$2:$G$801, 0)+1)),"0.##")&amp;"+"&amp;TEXT(INDEX(ERP資料!$G:$G, (MATCH(303, 輔助計算!$G$2:$G$801, 0)+1)),"0.##"))))&amp;"-1")), ""), "")</f>
        <v/>
      </c>
      <c r="K304" s="16" t="n"/>
      <c r="L304" s="14">
        <f>IFERROR(IF(AND(IFERROR(INDEX(ERP資料!$A:$A, (MATCH(303, 輔助計算!$G$2:$G$801, 0)+1)), "")&lt;&gt;"", IFERROR(INDEX(ERP資料!$A:$A, (MATCH(303, 輔助計算!$G$2:$G$801, 0)+1)), "")&lt;&gt;IFERROR(INDEX(ERP資料!$A:$A, MATCH(302, 輔助計算!$G$2:$G$801, 0)+1), "")), INDEX(ERP資料!$B:$B, (MATCH(303, 輔助計算!$G$2:$G$801, 0)+1)), ""), "")</f>
        <v/>
      </c>
      <c r="M304" s="17" t="n"/>
    </row>
    <row r="305">
      <c r="A305" s="10">
        <f>IFERROR(IF(AND(IFERROR(INDEX(ERP資料!$A:$A, (MATCH(304, 輔助計算!$G$2:$G$801, 0)+1)), "")&lt;&gt;"", IFERROR(INDEX(ERP資料!$A:$A, (MATCH(304, 輔助計算!$G$2:$G$801, 0)+1)), "")&lt;&gt;IFERROR(INDEX(ERP資料!$A:$A, MATCH(303, 輔助計算!$G$2:$G$801, 0)+1), "")), IFERROR(INDEX(ERP資料!$A:$A, (MATCH(304, 輔助計算!$G$2:$G$801, 0)+1)), ""), ""), "")</f>
        <v/>
      </c>
      <c r="B305" s="10">
        <f>IFERROR(IF(AND(IFERROR(INDEX(ERP資料!$A:$A, (MATCH(304, 輔助計算!$G$2:$G$801, 0)+1)), "")&lt;&gt;"", IFERROR(INDEX(ERP資料!$A:$A, (MATCH(304, 輔助計算!$G$2:$G$801, 0)+1)), "")&lt;&gt;IFERROR(INDEX(ERP資料!$A:$A, MATCH(303, 輔助計算!$G$2:$G$801, 0)+1), "")), INDEX(ERP資料!$S:$S, (MATCH(304, 輔助計算!$G$2:$G$801, 0)+1)), ""), "")</f>
        <v/>
      </c>
      <c r="C305" s="19">
        <f>IFERROR(IF(AND(IFERROR(INDEX(ERP資料!$A:$A, (MATCH(304, 輔助計算!$G$2:$G$801, 0)+1)), "")&lt;&gt;"", IFERROR(INDEX(ERP資料!$A:$A, (MATCH(304, 輔助計算!$G$2:$G$801, 0)+1)), "")&lt;&gt;IFERROR(INDEX(ERP資料!$A:$A, MATCH(303, 輔助計算!$G$2:$G$801, 0)+1), "")), IFERROR(VLOOKUP(LEFT(INDEX(ERP資料!$S:$S, (MATCH(304, 輔助計算!$G$2:$G$801, 0)+1)), 4), 紙管對照表!$A:$C, 3, FALSE), ""), ""), "")</f>
        <v/>
      </c>
      <c r="D305" s="16" t="n"/>
      <c r="E305" s="10">
        <f>IFERROR(IF(INDEX(ERP資料!$H:$H, (MATCH(304, 輔助計算!$G$2:$G$801, 0)+1))="","",INDEX(ERP資料!$H:$H, (MATCH(304, 輔助計算!$G$2:$G$801, 0)+1))), "")</f>
        <v/>
      </c>
      <c r="F305" s="10">
        <f>IFERROR(IF(INDEX(ERP資料!$E:$E, (MATCH(304, 輔助計算!$G$2:$G$801, 0)+1))="","",TRIM(INDEX(ERP資料!$E:$E, (MATCH(304, 輔助計算!$G$2:$G$801, 0)+1)))), "")</f>
        <v/>
      </c>
      <c r="G305" s="10">
        <f>IFERROR(IF(INDEX(ERP資料!$F:$F, (MATCH(304, 輔助計算!$G$2:$G$801, 0)+1))="","",INDEX(ERP資料!$F:$F, (MATCH(304, 輔助計算!$G$2:$G$801, 0)+1))), "")</f>
        <v/>
      </c>
      <c r="H305" s="10">
        <f>IFERROR(IF(INDEX(ERP資料!$G:$G, (MATCH(304, 輔助計算!$G$2:$G$801, 0)+1))="","",INDEX(ERP資料!$G:$G, (MATCH(304, 輔助計算!$G$2:$G$801, 0)+1))), "")</f>
        <v/>
      </c>
      <c r="I305" s="15">
        <f>IFERROR(INDEX(輔助計算!$D:$D, (MATCH(304, 輔助計算!$G$2:$G$801, 0)+1)), "")</f>
        <v/>
      </c>
      <c r="J305" s="15">
        <f>IFERROR(IF(AND(INDEX(輔助計算!$D:$D, (MATCH(304, 輔助計算!$G$2:$G$801, 0)+1))&lt;&gt;"", INDEX(ERP資料!$G:$G, (MATCH(304, 輔助計算!$G$2:$G$801, 0)+1))&lt;&gt;""), TRIM(IF(INT(INDEX(輔助計算!$D:$D, (MATCH(304, 輔助計算!$G$2:$G$801, 0)+1))/IF(INDEX(ERP資料!$G:$G, (MATCH(304, 輔助計算!$G$2:$G$801, 0)+1))&lt;100, IF(INDEX(ERP資料!$G:$G, (MATCH(304, 輔助計算!$G$2:$G$801, 0)+1))&lt;=31,3,IF(INDEX(ERP資料!$G:$G, (MATCH(304, 輔助計算!$G$2:$G$801, 0)+1))&lt;=46.5,2,1)), IF(INDEX(ERP資料!$G:$G, (MATCH(304, 輔助計算!$G$2:$G$801, 0)+1))&lt;=790,3,IF(INDEX(ERP資料!$G:$G, (MATCH(304, 輔助計算!$G$2:$G$801, 0)+1))&lt;=1181,2,1))))&gt;0, IF(IF(INDEX(ERP資料!$G:$G, (MATCH(304, 輔助計算!$G$2:$G$801, 0)+1))&lt;100, IF(INDEX(ERP資料!$G:$G, (MATCH(304, 輔助計算!$G$2:$G$801, 0)+1))&lt;=31,3,IF(INDEX(ERP資料!$G:$G, (MATCH(304, 輔助計算!$G$2:$G$801, 0)+1))&lt;=46.5,2,1)), IF(INDEX(ERP資料!$G:$G, (MATCH(304, 輔助計算!$G$2:$G$801, 0)+1))&lt;=790,3,IF(INDEX(ERP資料!$G:$G, (MATCH(304, 輔助計算!$G$2:$G$801, 0)+1))&lt;=1181,2,1)))=1,TEXT(INDEX(ERP資料!$G:$G, (MATCH(304, 輔助計算!$G$2:$G$801, 0)+1)),"0.##"),IF(IF(INDEX(ERP資料!$G:$G, (MATCH(304, 輔助計算!$G$2:$G$801, 0)+1))&lt;100, IF(INDEX(ERP資料!$G:$G, (MATCH(304, 輔助計算!$G$2:$G$801, 0)+1))&lt;=31,3,IF(INDEX(ERP資料!$G:$G, (MATCH(304, 輔助計算!$G$2:$G$801, 0)+1))&lt;=46.5,2,1)), IF(INDEX(ERP資料!$G:$G, (MATCH(304, 輔助計算!$G$2:$G$801, 0)+1))&lt;=790,3,IF(INDEX(ERP資料!$G:$G, (MATCH(304, 輔助計算!$G$2:$G$801, 0)+1))&lt;=1181,2,1)))=2,TEXT(INDEX(ERP資料!$G:$G, (MATCH(304, 輔助計算!$G$2:$G$801, 0)+1)),"0.##")&amp;"+"&amp;TEXT(INDEX(ERP資料!$G:$G, (MATCH(304, 輔助計算!$G$2:$G$801, 0)+1)),"0.##"),TEXT(INDEX(ERP資料!$G:$G, (MATCH(304, 輔助計算!$G$2:$G$801, 0)+1)),"0.##")&amp;"+"&amp;TEXT(INDEX(ERP資料!$G:$G, (MATCH(304, 輔助計算!$G$2:$G$801, 0)+1)),"0.##")&amp;"+"&amp;TEXT(INDEX(ERP資料!$G:$G, (MATCH(304, 輔助計算!$G$2:$G$801, 0)+1)),"0.##")))&amp;"-"&amp;INT(INDEX(輔助計算!$D:$D, (MATCH(304, 輔助計算!$G$2:$G$801, 0)+1))/IF(INDEX(ERP資料!$G:$G, (MATCH(304, 輔助計算!$G$2:$G$801, 0)+1))&lt;100, IF(INDEX(ERP資料!$G:$G, (MATCH(304, 輔助計算!$G$2:$G$801, 0)+1))&lt;=31,3,IF(INDEX(ERP資料!$G:$G, (MATCH(304, 輔助計算!$G$2:$G$801, 0)+1))&lt;=46.5,2,1)), IF(INDEX(ERP資料!$G:$G, (MATCH(304, 輔助計算!$G$2:$G$801, 0)+1))&lt;=790,3,IF(INDEX(ERP資料!$G:$G, (MATCH(304, 輔助計算!$G$2:$G$801, 0)+1))&lt;=1181,2,1)))), "")&amp;IF(AND(IF(INT(INDEX(輔助計算!$D:$D, (MATCH(304, 輔助計算!$G$2:$G$801, 0)+1))/IF(INDEX(ERP資料!$G:$G, (MATCH(304, 輔助計算!$G$2:$G$801, 0)+1))&lt;100, IF(INDEX(ERP資料!$G:$G, (MATCH(304, 輔助計算!$G$2:$G$801, 0)+1))&lt;=31,3,IF(INDEX(ERP資料!$G:$G, (MATCH(304, 輔助計算!$G$2:$G$801, 0)+1))&lt;=46.5,2,1)), IF(INDEX(ERP資料!$G:$G, (MATCH(304, 輔助計算!$G$2:$G$801, 0)+1))&lt;=790,3,IF(INDEX(ERP資料!$G:$G, (MATCH(304, 輔助計算!$G$2:$G$801, 0)+1))&lt;=1181,2,1))))&gt;0, IF(IF(INDEX(ERP資料!$G:$G, (MATCH(304, 輔助計算!$G$2:$G$801, 0)+1))&lt;100, IF(INDEX(ERP資料!$G:$G, (MATCH(304, 輔助計算!$G$2:$G$801, 0)+1))&lt;=31,3,IF(INDEX(ERP資料!$G:$G, (MATCH(304, 輔助計算!$G$2:$G$801, 0)+1))&lt;=46.5,2,1)), IF(INDEX(ERP資料!$G:$G, (MATCH(304, 輔助計算!$G$2:$G$801, 0)+1))&lt;=790,3,IF(INDEX(ERP資料!$G:$G, (MATCH(304, 輔助計算!$G$2:$G$801, 0)+1))&lt;=1181,2,1)))=1,TEXT(INDEX(ERP資料!$G:$G, (MATCH(304, 輔助計算!$G$2:$G$801, 0)+1)),"0.##"),IF(IF(INDEX(ERP資料!$G:$G, (MATCH(304, 輔助計算!$G$2:$G$801, 0)+1))&lt;100, IF(INDEX(ERP資料!$G:$G, (MATCH(304, 輔助計算!$G$2:$G$801, 0)+1))&lt;=31,3,IF(INDEX(ERP資料!$G:$G, (MATCH(304, 輔助計算!$G$2:$G$801, 0)+1))&lt;=46.5,2,1)), IF(INDEX(ERP資料!$G:$G, (MATCH(304, 輔助計算!$G$2:$G$801, 0)+1))&lt;=790,3,IF(INDEX(ERP資料!$G:$G, (MATCH(304, 輔助計算!$G$2:$G$801, 0)+1))&lt;=1181,2,1)))=2,TEXT(INDEX(ERP資料!$G:$G, (MATCH(304, 輔助計算!$G$2:$G$801, 0)+1)),"0.##")&amp;"+"&amp;TEXT(INDEX(ERP資料!$G:$G, (MATCH(304, 輔助計算!$G$2:$G$801, 0)+1)),"0.##"),TEXT(INDEX(ERP資料!$G:$G, (MATCH(304, 輔助計算!$G$2:$G$801, 0)+1)),"0.##")&amp;"+"&amp;TEXT(INDEX(ERP資料!$G:$G, (MATCH(304, 輔助計算!$G$2:$G$801, 0)+1)),"0.##")&amp;"+"&amp;TEXT(INDEX(ERP資料!$G:$G, (MATCH(304, 輔助計算!$G$2:$G$801, 0)+1)),"0.##")))&amp;"-"&amp;INT(INDEX(輔助計算!$D:$D, (MATCH(304, 輔助計算!$G$2:$G$801, 0)+1))/IF(INDEX(ERP資料!$G:$G, (MATCH(304, 輔助計算!$G$2:$G$801, 0)+1))&lt;100, IF(INDEX(ERP資料!$G:$G, (MATCH(304, 輔助計算!$G$2:$G$801, 0)+1))&lt;=31,3,IF(INDEX(ERP資料!$G:$G, (MATCH(304, 輔助計算!$G$2:$G$801, 0)+1))&lt;=46.5,2,1)), IF(INDEX(ERP資料!$G:$G, (MATCH(304, 輔助計算!$G$2:$G$801, 0)+1))&lt;=790,3,IF(INDEX(ERP資料!$G:$G, (MATCH(304, 輔助計算!$G$2:$G$801, 0)+1))&lt;=1181,2,1)))), "")&lt;&gt;"",IF(MOD(INDEX(輔助計算!$D:$D, (MATCH(304, 輔助計算!$G$2:$G$801, 0)+1)),IF(INDEX(ERP資料!$G:$G, (MATCH(304, 輔助計算!$G$2:$G$801, 0)+1))&lt;100, IF(INDEX(ERP資料!$G:$G, (MATCH(304, 輔助計算!$G$2:$G$801, 0)+1))&lt;=31,3,IF(INDEX(ERP資料!$G:$G, (MATCH(304, 輔助計算!$G$2:$G$801, 0)+1))&lt;=46.5,2,1)), IF(INDEX(ERP資料!$G:$G, (MATCH(304, 輔助計算!$G$2:$G$801, 0)+1))&lt;=790,3,IF(INDEX(ERP資料!$G:$G, (MATCH(304, 輔助計算!$G$2:$G$801, 0)+1))&lt;=1181,2,1))))=0,"",IF(MOD(INDEX(輔助計算!$D:$D, (MATCH(304, 輔助計算!$G$2:$G$801, 0)+1)),IF(INDEX(ERP資料!$G:$G, (MATCH(304, 輔助計算!$G$2:$G$801, 0)+1))&lt;100, IF(INDEX(ERP資料!$G:$G, (MATCH(304, 輔助計算!$G$2:$G$801, 0)+1))&lt;=31,3,IF(INDEX(ERP資料!$G:$G, (MATCH(304, 輔助計算!$G$2:$G$801, 0)+1))&lt;=46.5,2,1)), IF(INDEX(ERP資料!$G:$G, (MATCH(304, 輔助計算!$G$2:$G$801, 0)+1))&lt;=790,3,IF(INDEX(ERP資料!$G:$G, (MATCH(304, 輔助計算!$G$2:$G$801, 0)+1))&lt;=1181,2,1))))=0,"",IF(MOD(INDEX(輔助計算!$D:$D, (MATCH(304, 輔助計算!$G$2:$G$801, 0)+1)),IF(INDEX(ERP資料!$G:$G, (MATCH(304, 輔助計算!$G$2:$G$801, 0)+1))&lt;100, IF(INDEX(ERP資料!$G:$G, (MATCH(304, 輔助計算!$G$2:$G$801, 0)+1))&lt;=31,3,IF(INDEX(ERP資料!$G:$G, (MATCH(304, 輔助計算!$G$2:$G$801, 0)+1))&lt;=46.5,2,1)), IF(INDEX(ERP資料!$G:$G, (MATCH(304, 輔助計算!$G$2:$G$801, 0)+1))&lt;=790,3,IF(INDEX(ERP資料!$G:$G, (MATCH(304, 輔助計算!$G$2:$G$801, 0)+1))&lt;=1181,2,1))))=1,TEXT(INDEX(ERP資料!$G:$G, (MATCH(304, 輔助計算!$G$2:$G$801, 0)+1)),"0.##"),IF(MOD(INDEX(輔助計算!$D:$D, (MATCH(304, 輔助計算!$G$2:$G$801, 0)+1)),IF(INDEX(ERP資料!$G:$G, (MATCH(304, 輔助計算!$G$2:$G$801, 0)+1))&lt;100, IF(INDEX(ERP資料!$G:$G, (MATCH(304, 輔助計算!$G$2:$G$801, 0)+1))&lt;=31,3,IF(INDEX(ERP資料!$G:$G, (MATCH(304, 輔助計算!$G$2:$G$801, 0)+1))&lt;=46.5,2,1)), IF(INDEX(ERP資料!$G:$G, (MATCH(304, 輔助計算!$G$2:$G$801, 0)+1))&lt;=790,3,IF(INDEX(ERP資料!$G:$G, (MATCH(304, 輔助計算!$G$2:$G$801, 0)+1))&lt;=1181,2,1))))=2,TEXT(INDEX(ERP資料!$G:$G, (MATCH(304, 輔助計算!$G$2:$G$801, 0)+1)),"0.##")&amp;"+"&amp;TEXT(INDEX(ERP資料!$G:$G, (MATCH(304, 輔助計算!$G$2:$G$801, 0)+1)),"0.##"),TEXT(INDEX(ERP資料!$G:$G, (MATCH(304, 輔助計算!$G$2:$G$801, 0)+1)),"0.##")&amp;"+"&amp;TEXT(INDEX(ERP資料!$G:$G, (MATCH(304, 輔助計算!$G$2:$G$801, 0)+1)),"0.##")&amp;"+"&amp;TEXT(INDEX(ERP資料!$G:$G, (MATCH(304, 輔助計算!$G$2:$G$801, 0)+1)),"0.##"))))&amp;"-1")&lt;&gt;""),"  ","")&amp;IF(MOD(INDEX(輔助計算!$D:$D, (MATCH(304, 輔助計算!$G$2:$G$801, 0)+1)),IF(INDEX(ERP資料!$G:$G, (MATCH(304, 輔助計算!$G$2:$G$801, 0)+1))&lt;100, IF(INDEX(ERP資料!$G:$G, (MATCH(304, 輔助計算!$G$2:$G$801, 0)+1))&lt;=31,3,IF(INDEX(ERP資料!$G:$G, (MATCH(304, 輔助計算!$G$2:$G$801, 0)+1))&lt;=46.5,2,1)), IF(INDEX(ERP資料!$G:$G, (MATCH(304, 輔助計算!$G$2:$G$801, 0)+1))&lt;=790,3,IF(INDEX(ERP資料!$G:$G, (MATCH(304, 輔助計算!$G$2:$G$801, 0)+1))&lt;=1181,2,1))))=0,"",IF(MOD(INDEX(輔助計算!$D:$D, (MATCH(304, 輔助計算!$G$2:$G$801, 0)+1)),IF(INDEX(ERP資料!$G:$G, (MATCH(304, 輔助計算!$G$2:$G$801, 0)+1))&lt;100, IF(INDEX(ERP資料!$G:$G, (MATCH(304, 輔助計算!$G$2:$G$801, 0)+1))&lt;=31,3,IF(INDEX(ERP資料!$G:$G, (MATCH(304, 輔助計算!$G$2:$G$801, 0)+1))&lt;=46.5,2,1)), IF(INDEX(ERP資料!$G:$G, (MATCH(304, 輔助計算!$G$2:$G$801, 0)+1))&lt;=790,3,IF(INDEX(ERP資料!$G:$G, (MATCH(304, 輔助計算!$G$2:$G$801, 0)+1))&lt;=1181,2,1))))=0,"",IF(MOD(INDEX(輔助計算!$D:$D, (MATCH(304, 輔助計算!$G$2:$G$801, 0)+1)),IF(INDEX(ERP資料!$G:$G, (MATCH(304, 輔助計算!$G$2:$G$801, 0)+1))&lt;100, IF(INDEX(ERP資料!$G:$G, (MATCH(304, 輔助計算!$G$2:$G$801, 0)+1))&lt;=31,3,IF(INDEX(ERP資料!$G:$G, (MATCH(304, 輔助計算!$G$2:$G$801, 0)+1))&lt;=46.5,2,1)), IF(INDEX(ERP資料!$G:$G, (MATCH(304, 輔助計算!$G$2:$G$801, 0)+1))&lt;=790,3,IF(INDEX(ERP資料!$G:$G, (MATCH(304, 輔助計算!$G$2:$G$801, 0)+1))&lt;=1181,2,1))))=1,TEXT(INDEX(ERP資料!$G:$G, (MATCH(304, 輔助計算!$G$2:$G$801, 0)+1)),"0.##"),IF(MOD(INDEX(輔助計算!$D:$D, (MATCH(304, 輔助計算!$G$2:$G$801, 0)+1)),IF(INDEX(ERP資料!$G:$G, (MATCH(304, 輔助計算!$G$2:$G$801, 0)+1))&lt;100, IF(INDEX(ERP資料!$G:$G, (MATCH(304, 輔助計算!$G$2:$G$801, 0)+1))&lt;=31,3,IF(INDEX(ERP資料!$G:$G, (MATCH(304, 輔助計算!$G$2:$G$801, 0)+1))&lt;=46.5,2,1)), IF(INDEX(ERP資料!$G:$G, (MATCH(304, 輔助計算!$G$2:$G$801, 0)+1))&lt;=790,3,IF(INDEX(ERP資料!$G:$G, (MATCH(304, 輔助計算!$G$2:$G$801, 0)+1))&lt;=1181,2,1))))=2,TEXT(INDEX(ERP資料!$G:$G, (MATCH(304, 輔助計算!$G$2:$G$801, 0)+1)),"0.##")&amp;"+"&amp;TEXT(INDEX(ERP資料!$G:$G, (MATCH(304, 輔助計算!$G$2:$G$801, 0)+1)),"0.##"),TEXT(INDEX(ERP資料!$G:$G, (MATCH(304, 輔助計算!$G$2:$G$801, 0)+1)),"0.##")&amp;"+"&amp;TEXT(INDEX(ERP資料!$G:$G, (MATCH(304, 輔助計算!$G$2:$G$801, 0)+1)),"0.##")&amp;"+"&amp;TEXT(INDEX(ERP資料!$G:$G, (MATCH(304, 輔助計算!$G$2:$G$801, 0)+1)),"0.##"))))&amp;"-1")), ""), "")</f>
        <v/>
      </c>
      <c r="K305" s="16" t="n"/>
      <c r="L305" s="14">
        <f>IFERROR(IF(AND(IFERROR(INDEX(ERP資料!$A:$A, (MATCH(304, 輔助計算!$G$2:$G$801, 0)+1)), "")&lt;&gt;"", IFERROR(INDEX(ERP資料!$A:$A, (MATCH(304, 輔助計算!$G$2:$G$801, 0)+1)), "")&lt;&gt;IFERROR(INDEX(ERP資料!$A:$A, MATCH(303, 輔助計算!$G$2:$G$801, 0)+1), "")), INDEX(ERP資料!$B:$B, (MATCH(304, 輔助計算!$G$2:$G$801, 0)+1)), ""), "")</f>
        <v/>
      </c>
      <c r="M305" s="17" t="n"/>
    </row>
    <row r="306">
      <c r="A306" s="10">
        <f>IFERROR(IF(AND(IFERROR(INDEX(ERP資料!$A:$A, (MATCH(305, 輔助計算!$G$2:$G$801, 0)+1)), "")&lt;&gt;"", IFERROR(INDEX(ERP資料!$A:$A, (MATCH(305, 輔助計算!$G$2:$G$801, 0)+1)), "")&lt;&gt;IFERROR(INDEX(ERP資料!$A:$A, MATCH(304, 輔助計算!$G$2:$G$801, 0)+1), "")), IFERROR(INDEX(ERP資料!$A:$A, (MATCH(305, 輔助計算!$G$2:$G$801, 0)+1)), ""), ""), "")</f>
        <v/>
      </c>
      <c r="B306" s="10">
        <f>IFERROR(IF(AND(IFERROR(INDEX(ERP資料!$A:$A, (MATCH(305, 輔助計算!$G$2:$G$801, 0)+1)), "")&lt;&gt;"", IFERROR(INDEX(ERP資料!$A:$A, (MATCH(305, 輔助計算!$G$2:$G$801, 0)+1)), "")&lt;&gt;IFERROR(INDEX(ERP資料!$A:$A, MATCH(304, 輔助計算!$G$2:$G$801, 0)+1), "")), INDEX(ERP資料!$S:$S, (MATCH(305, 輔助計算!$G$2:$G$801, 0)+1)), ""), "")</f>
        <v/>
      </c>
      <c r="C306" s="19">
        <f>IFERROR(IF(AND(IFERROR(INDEX(ERP資料!$A:$A, (MATCH(305, 輔助計算!$G$2:$G$801, 0)+1)), "")&lt;&gt;"", IFERROR(INDEX(ERP資料!$A:$A, (MATCH(305, 輔助計算!$G$2:$G$801, 0)+1)), "")&lt;&gt;IFERROR(INDEX(ERP資料!$A:$A, MATCH(304, 輔助計算!$G$2:$G$801, 0)+1), "")), IFERROR(VLOOKUP(LEFT(INDEX(ERP資料!$S:$S, (MATCH(305, 輔助計算!$G$2:$G$801, 0)+1)), 4), 紙管對照表!$A:$C, 3, FALSE), ""), ""), "")</f>
        <v/>
      </c>
      <c r="D306" s="16" t="n"/>
      <c r="E306" s="10">
        <f>IFERROR(IF(INDEX(ERP資料!$H:$H, (MATCH(305, 輔助計算!$G$2:$G$801, 0)+1))="","",INDEX(ERP資料!$H:$H, (MATCH(305, 輔助計算!$G$2:$G$801, 0)+1))), "")</f>
        <v/>
      </c>
      <c r="F306" s="10">
        <f>IFERROR(IF(INDEX(ERP資料!$E:$E, (MATCH(305, 輔助計算!$G$2:$G$801, 0)+1))="","",TRIM(INDEX(ERP資料!$E:$E, (MATCH(305, 輔助計算!$G$2:$G$801, 0)+1)))), "")</f>
        <v/>
      </c>
      <c r="G306" s="10">
        <f>IFERROR(IF(INDEX(ERP資料!$F:$F, (MATCH(305, 輔助計算!$G$2:$G$801, 0)+1))="","",INDEX(ERP資料!$F:$F, (MATCH(305, 輔助計算!$G$2:$G$801, 0)+1))), "")</f>
        <v/>
      </c>
      <c r="H306" s="10">
        <f>IFERROR(IF(INDEX(ERP資料!$G:$G, (MATCH(305, 輔助計算!$G$2:$G$801, 0)+1))="","",INDEX(ERP資料!$G:$G, (MATCH(305, 輔助計算!$G$2:$G$801, 0)+1))), "")</f>
        <v/>
      </c>
      <c r="I306" s="15">
        <f>IFERROR(INDEX(輔助計算!$D:$D, (MATCH(305, 輔助計算!$G$2:$G$801, 0)+1)), "")</f>
        <v/>
      </c>
      <c r="J306" s="15">
        <f>IFERROR(IF(AND(INDEX(輔助計算!$D:$D, (MATCH(305, 輔助計算!$G$2:$G$801, 0)+1))&lt;&gt;"", INDEX(ERP資料!$G:$G, (MATCH(305, 輔助計算!$G$2:$G$801, 0)+1))&lt;&gt;""), TRIM(IF(INT(INDEX(輔助計算!$D:$D, (MATCH(305, 輔助計算!$G$2:$G$801, 0)+1))/IF(INDEX(ERP資料!$G:$G, (MATCH(305, 輔助計算!$G$2:$G$801, 0)+1))&lt;100, IF(INDEX(ERP資料!$G:$G, (MATCH(305, 輔助計算!$G$2:$G$801, 0)+1))&lt;=31,3,IF(INDEX(ERP資料!$G:$G, (MATCH(305, 輔助計算!$G$2:$G$801, 0)+1))&lt;=46.5,2,1)), IF(INDEX(ERP資料!$G:$G, (MATCH(305, 輔助計算!$G$2:$G$801, 0)+1))&lt;=790,3,IF(INDEX(ERP資料!$G:$G, (MATCH(305, 輔助計算!$G$2:$G$801, 0)+1))&lt;=1181,2,1))))&gt;0, IF(IF(INDEX(ERP資料!$G:$G, (MATCH(305, 輔助計算!$G$2:$G$801, 0)+1))&lt;100, IF(INDEX(ERP資料!$G:$G, (MATCH(305, 輔助計算!$G$2:$G$801, 0)+1))&lt;=31,3,IF(INDEX(ERP資料!$G:$G, (MATCH(305, 輔助計算!$G$2:$G$801, 0)+1))&lt;=46.5,2,1)), IF(INDEX(ERP資料!$G:$G, (MATCH(305, 輔助計算!$G$2:$G$801, 0)+1))&lt;=790,3,IF(INDEX(ERP資料!$G:$G, (MATCH(305, 輔助計算!$G$2:$G$801, 0)+1))&lt;=1181,2,1)))=1,TEXT(INDEX(ERP資料!$G:$G, (MATCH(305, 輔助計算!$G$2:$G$801, 0)+1)),"0.##"),IF(IF(INDEX(ERP資料!$G:$G, (MATCH(305, 輔助計算!$G$2:$G$801, 0)+1))&lt;100, IF(INDEX(ERP資料!$G:$G, (MATCH(305, 輔助計算!$G$2:$G$801, 0)+1))&lt;=31,3,IF(INDEX(ERP資料!$G:$G, (MATCH(305, 輔助計算!$G$2:$G$801, 0)+1))&lt;=46.5,2,1)), IF(INDEX(ERP資料!$G:$G, (MATCH(305, 輔助計算!$G$2:$G$801, 0)+1))&lt;=790,3,IF(INDEX(ERP資料!$G:$G, (MATCH(305, 輔助計算!$G$2:$G$801, 0)+1))&lt;=1181,2,1)))=2,TEXT(INDEX(ERP資料!$G:$G, (MATCH(305, 輔助計算!$G$2:$G$801, 0)+1)),"0.##")&amp;"+"&amp;TEXT(INDEX(ERP資料!$G:$G, (MATCH(305, 輔助計算!$G$2:$G$801, 0)+1)),"0.##"),TEXT(INDEX(ERP資料!$G:$G, (MATCH(305, 輔助計算!$G$2:$G$801, 0)+1)),"0.##")&amp;"+"&amp;TEXT(INDEX(ERP資料!$G:$G, (MATCH(305, 輔助計算!$G$2:$G$801, 0)+1)),"0.##")&amp;"+"&amp;TEXT(INDEX(ERP資料!$G:$G, (MATCH(305, 輔助計算!$G$2:$G$801, 0)+1)),"0.##")))&amp;"-"&amp;INT(INDEX(輔助計算!$D:$D, (MATCH(305, 輔助計算!$G$2:$G$801, 0)+1))/IF(INDEX(ERP資料!$G:$G, (MATCH(305, 輔助計算!$G$2:$G$801, 0)+1))&lt;100, IF(INDEX(ERP資料!$G:$G, (MATCH(305, 輔助計算!$G$2:$G$801, 0)+1))&lt;=31,3,IF(INDEX(ERP資料!$G:$G, (MATCH(305, 輔助計算!$G$2:$G$801, 0)+1))&lt;=46.5,2,1)), IF(INDEX(ERP資料!$G:$G, (MATCH(305, 輔助計算!$G$2:$G$801, 0)+1))&lt;=790,3,IF(INDEX(ERP資料!$G:$G, (MATCH(305, 輔助計算!$G$2:$G$801, 0)+1))&lt;=1181,2,1)))), "")&amp;IF(AND(IF(INT(INDEX(輔助計算!$D:$D, (MATCH(305, 輔助計算!$G$2:$G$801, 0)+1))/IF(INDEX(ERP資料!$G:$G, (MATCH(305, 輔助計算!$G$2:$G$801, 0)+1))&lt;100, IF(INDEX(ERP資料!$G:$G, (MATCH(305, 輔助計算!$G$2:$G$801, 0)+1))&lt;=31,3,IF(INDEX(ERP資料!$G:$G, (MATCH(305, 輔助計算!$G$2:$G$801, 0)+1))&lt;=46.5,2,1)), IF(INDEX(ERP資料!$G:$G, (MATCH(305, 輔助計算!$G$2:$G$801, 0)+1))&lt;=790,3,IF(INDEX(ERP資料!$G:$G, (MATCH(305, 輔助計算!$G$2:$G$801, 0)+1))&lt;=1181,2,1))))&gt;0, IF(IF(INDEX(ERP資料!$G:$G, (MATCH(305, 輔助計算!$G$2:$G$801, 0)+1))&lt;100, IF(INDEX(ERP資料!$G:$G, (MATCH(305, 輔助計算!$G$2:$G$801, 0)+1))&lt;=31,3,IF(INDEX(ERP資料!$G:$G, (MATCH(305, 輔助計算!$G$2:$G$801, 0)+1))&lt;=46.5,2,1)), IF(INDEX(ERP資料!$G:$G, (MATCH(305, 輔助計算!$G$2:$G$801, 0)+1))&lt;=790,3,IF(INDEX(ERP資料!$G:$G, (MATCH(305, 輔助計算!$G$2:$G$801, 0)+1))&lt;=1181,2,1)))=1,TEXT(INDEX(ERP資料!$G:$G, (MATCH(305, 輔助計算!$G$2:$G$801, 0)+1)),"0.##"),IF(IF(INDEX(ERP資料!$G:$G, (MATCH(305, 輔助計算!$G$2:$G$801, 0)+1))&lt;100, IF(INDEX(ERP資料!$G:$G, (MATCH(305, 輔助計算!$G$2:$G$801, 0)+1))&lt;=31,3,IF(INDEX(ERP資料!$G:$G, (MATCH(305, 輔助計算!$G$2:$G$801, 0)+1))&lt;=46.5,2,1)), IF(INDEX(ERP資料!$G:$G, (MATCH(305, 輔助計算!$G$2:$G$801, 0)+1))&lt;=790,3,IF(INDEX(ERP資料!$G:$G, (MATCH(305, 輔助計算!$G$2:$G$801, 0)+1))&lt;=1181,2,1)))=2,TEXT(INDEX(ERP資料!$G:$G, (MATCH(305, 輔助計算!$G$2:$G$801, 0)+1)),"0.##")&amp;"+"&amp;TEXT(INDEX(ERP資料!$G:$G, (MATCH(305, 輔助計算!$G$2:$G$801, 0)+1)),"0.##"),TEXT(INDEX(ERP資料!$G:$G, (MATCH(305, 輔助計算!$G$2:$G$801, 0)+1)),"0.##")&amp;"+"&amp;TEXT(INDEX(ERP資料!$G:$G, (MATCH(305, 輔助計算!$G$2:$G$801, 0)+1)),"0.##")&amp;"+"&amp;TEXT(INDEX(ERP資料!$G:$G, (MATCH(305, 輔助計算!$G$2:$G$801, 0)+1)),"0.##")))&amp;"-"&amp;INT(INDEX(輔助計算!$D:$D, (MATCH(305, 輔助計算!$G$2:$G$801, 0)+1))/IF(INDEX(ERP資料!$G:$G, (MATCH(305, 輔助計算!$G$2:$G$801, 0)+1))&lt;100, IF(INDEX(ERP資料!$G:$G, (MATCH(305, 輔助計算!$G$2:$G$801, 0)+1))&lt;=31,3,IF(INDEX(ERP資料!$G:$G, (MATCH(305, 輔助計算!$G$2:$G$801, 0)+1))&lt;=46.5,2,1)), IF(INDEX(ERP資料!$G:$G, (MATCH(305, 輔助計算!$G$2:$G$801, 0)+1))&lt;=790,3,IF(INDEX(ERP資料!$G:$G, (MATCH(305, 輔助計算!$G$2:$G$801, 0)+1))&lt;=1181,2,1)))), "")&lt;&gt;"",IF(MOD(INDEX(輔助計算!$D:$D, (MATCH(305, 輔助計算!$G$2:$G$801, 0)+1)),IF(INDEX(ERP資料!$G:$G, (MATCH(305, 輔助計算!$G$2:$G$801, 0)+1))&lt;100, IF(INDEX(ERP資料!$G:$G, (MATCH(305, 輔助計算!$G$2:$G$801, 0)+1))&lt;=31,3,IF(INDEX(ERP資料!$G:$G, (MATCH(305, 輔助計算!$G$2:$G$801, 0)+1))&lt;=46.5,2,1)), IF(INDEX(ERP資料!$G:$G, (MATCH(305, 輔助計算!$G$2:$G$801, 0)+1))&lt;=790,3,IF(INDEX(ERP資料!$G:$G, (MATCH(305, 輔助計算!$G$2:$G$801, 0)+1))&lt;=1181,2,1))))=0,"",IF(MOD(INDEX(輔助計算!$D:$D, (MATCH(305, 輔助計算!$G$2:$G$801, 0)+1)),IF(INDEX(ERP資料!$G:$G, (MATCH(305, 輔助計算!$G$2:$G$801, 0)+1))&lt;100, IF(INDEX(ERP資料!$G:$G, (MATCH(305, 輔助計算!$G$2:$G$801, 0)+1))&lt;=31,3,IF(INDEX(ERP資料!$G:$G, (MATCH(305, 輔助計算!$G$2:$G$801, 0)+1))&lt;=46.5,2,1)), IF(INDEX(ERP資料!$G:$G, (MATCH(305, 輔助計算!$G$2:$G$801, 0)+1))&lt;=790,3,IF(INDEX(ERP資料!$G:$G, (MATCH(305, 輔助計算!$G$2:$G$801, 0)+1))&lt;=1181,2,1))))=0,"",IF(MOD(INDEX(輔助計算!$D:$D, (MATCH(305, 輔助計算!$G$2:$G$801, 0)+1)),IF(INDEX(ERP資料!$G:$G, (MATCH(305, 輔助計算!$G$2:$G$801, 0)+1))&lt;100, IF(INDEX(ERP資料!$G:$G, (MATCH(305, 輔助計算!$G$2:$G$801, 0)+1))&lt;=31,3,IF(INDEX(ERP資料!$G:$G, (MATCH(305, 輔助計算!$G$2:$G$801, 0)+1))&lt;=46.5,2,1)), IF(INDEX(ERP資料!$G:$G, (MATCH(305, 輔助計算!$G$2:$G$801, 0)+1))&lt;=790,3,IF(INDEX(ERP資料!$G:$G, (MATCH(305, 輔助計算!$G$2:$G$801, 0)+1))&lt;=1181,2,1))))=1,TEXT(INDEX(ERP資料!$G:$G, (MATCH(305, 輔助計算!$G$2:$G$801, 0)+1)),"0.##"),IF(MOD(INDEX(輔助計算!$D:$D, (MATCH(305, 輔助計算!$G$2:$G$801, 0)+1)),IF(INDEX(ERP資料!$G:$G, (MATCH(305, 輔助計算!$G$2:$G$801, 0)+1))&lt;100, IF(INDEX(ERP資料!$G:$G, (MATCH(305, 輔助計算!$G$2:$G$801, 0)+1))&lt;=31,3,IF(INDEX(ERP資料!$G:$G, (MATCH(305, 輔助計算!$G$2:$G$801, 0)+1))&lt;=46.5,2,1)), IF(INDEX(ERP資料!$G:$G, (MATCH(305, 輔助計算!$G$2:$G$801, 0)+1))&lt;=790,3,IF(INDEX(ERP資料!$G:$G, (MATCH(305, 輔助計算!$G$2:$G$801, 0)+1))&lt;=1181,2,1))))=2,TEXT(INDEX(ERP資料!$G:$G, (MATCH(305, 輔助計算!$G$2:$G$801, 0)+1)),"0.##")&amp;"+"&amp;TEXT(INDEX(ERP資料!$G:$G, (MATCH(305, 輔助計算!$G$2:$G$801, 0)+1)),"0.##"),TEXT(INDEX(ERP資料!$G:$G, (MATCH(305, 輔助計算!$G$2:$G$801, 0)+1)),"0.##")&amp;"+"&amp;TEXT(INDEX(ERP資料!$G:$G, (MATCH(305, 輔助計算!$G$2:$G$801, 0)+1)),"0.##")&amp;"+"&amp;TEXT(INDEX(ERP資料!$G:$G, (MATCH(305, 輔助計算!$G$2:$G$801, 0)+1)),"0.##"))))&amp;"-1")&lt;&gt;""),"  ","")&amp;IF(MOD(INDEX(輔助計算!$D:$D, (MATCH(305, 輔助計算!$G$2:$G$801, 0)+1)),IF(INDEX(ERP資料!$G:$G, (MATCH(305, 輔助計算!$G$2:$G$801, 0)+1))&lt;100, IF(INDEX(ERP資料!$G:$G, (MATCH(305, 輔助計算!$G$2:$G$801, 0)+1))&lt;=31,3,IF(INDEX(ERP資料!$G:$G, (MATCH(305, 輔助計算!$G$2:$G$801, 0)+1))&lt;=46.5,2,1)), IF(INDEX(ERP資料!$G:$G, (MATCH(305, 輔助計算!$G$2:$G$801, 0)+1))&lt;=790,3,IF(INDEX(ERP資料!$G:$G, (MATCH(305, 輔助計算!$G$2:$G$801, 0)+1))&lt;=1181,2,1))))=0,"",IF(MOD(INDEX(輔助計算!$D:$D, (MATCH(305, 輔助計算!$G$2:$G$801, 0)+1)),IF(INDEX(ERP資料!$G:$G, (MATCH(305, 輔助計算!$G$2:$G$801, 0)+1))&lt;100, IF(INDEX(ERP資料!$G:$G, (MATCH(305, 輔助計算!$G$2:$G$801, 0)+1))&lt;=31,3,IF(INDEX(ERP資料!$G:$G, (MATCH(305, 輔助計算!$G$2:$G$801, 0)+1))&lt;=46.5,2,1)), IF(INDEX(ERP資料!$G:$G, (MATCH(305, 輔助計算!$G$2:$G$801, 0)+1))&lt;=790,3,IF(INDEX(ERP資料!$G:$G, (MATCH(305, 輔助計算!$G$2:$G$801, 0)+1))&lt;=1181,2,1))))=0,"",IF(MOD(INDEX(輔助計算!$D:$D, (MATCH(305, 輔助計算!$G$2:$G$801, 0)+1)),IF(INDEX(ERP資料!$G:$G, (MATCH(305, 輔助計算!$G$2:$G$801, 0)+1))&lt;100, IF(INDEX(ERP資料!$G:$G, (MATCH(305, 輔助計算!$G$2:$G$801, 0)+1))&lt;=31,3,IF(INDEX(ERP資料!$G:$G, (MATCH(305, 輔助計算!$G$2:$G$801, 0)+1))&lt;=46.5,2,1)), IF(INDEX(ERP資料!$G:$G, (MATCH(305, 輔助計算!$G$2:$G$801, 0)+1))&lt;=790,3,IF(INDEX(ERP資料!$G:$G, (MATCH(305, 輔助計算!$G$2:$G$801, 0)+1))&lt;=1181,2,1))))=1,TEXT(INDEX(ERP資料!$G:$G, (MATCH(305, 輔助計算!$G$2:$G$801, 0)+1)),"0.##"),IF(MOD(INDEX(輔助計算!$D:$D, (MATCH(305, 輔助計算!$G$2:$G$801, 0)+1)),IF(INDEX(ERP資料!$G:$G, (MATCH(305, 輔助計算!$G$2:$G$801, 0)+1))&lt;100, IF(INDEX(ERP資料!$G:$G, (MATCH(305, 輔助計算!$G$2:$G$801, 0)+1))&lt;=31,3,IF(INDEX(ERP資料!$G:$G, (MATCH(305, 輔助計算!$G$2:$G$801, 0)+1))&lt;=46.5,2,1)), IF(INDEX(ERP資料!$G:$G, (MATCH(305, 輔助計算!$G$2:$G$801, 0)+1))&lt;=790,3,IF(INDEX(ERP資料!$G:$G, (MATCH(305, 輔助計算!$G$2:$G$801, 0)+1))&lt;=1181,2,1))))=2,TEXT(INDEX(ERP資料!$G:$G, (MATCH(305, 輔助計算!$G$2:$G$801, 0)+1)),"0.##")&amp;"+"&amp;TEXT(INDEX(ERP資料!$G:$G, (MATCH(305, 輔助計算!$G$2:$G$801, 0)+1)),"0.##"),TEXT(INDEX(ERP資料!$G:$G, (MATCH(305, 輔助計算!$G$2:$G$801, 0)+1)),"0.##")&amp;"+"&amp;TEXT(INDEX(ERP資料!$G:$G, (MATCH(305, 輔助計算!$G$2:$G$801, 0)+1)),"0.##")&amp;"+"&amp;TEXT(INDEX(ERP資料!$G:$G, (MATCH(305, 輔助計算!$G$2:$G$801, 0)+1)),"0.##"))))&amp;"-1")), ""), "")</f>
        <v/>
      </c>
      <c r="K306" s="16" t="n"/>
      <c r="L306" s="14">
        <f>IFERROR(IF(AND(IFERROR(INDEX(ERP資料!$A:$A, (MATCH(305, 輔助計算!$G$2:$G$801, 0)+1)), "")&lt;&gt;"", IFERROR(INDEX(ERP資料!$A:$A, (MATCH(305, 輔助計算!$G$2:$G$801, 0)+1)), "")&lt;&gt;IFERROR(INDEX(ERP資料!$A:$A, MATCH(304, 輔助計算!$G$2:$G$801, 0)+1), "")), INDEX(ERP資料!$B:$B, (MATCH(305, 輔助計算!$G$2:$G$801, 0)+1)), ""), "")</f>
        <v/>
      </c>
      <c r="M306" s="17" t="n"/>
    </row>
    <row r="307">
      <c r="A307" s="10">
        <f>IFERROR(IF(AND(IFERROR(INDEX(ERP資料!$A:$A, (MATCH(306, 輔助計算!$G$2:$G$801, 0)+1)), "")&lt;&gt;"", IFERROR(INDEX(ERP資料!$A:$A, (MATCH(306, 輔助計算!$G$2:$G$801, 0)+1)), "")&lt;&gt;IFERROR(INDEX(ERP資料!$A:$A, MATCH(305, 輔助計算!$G$2:$G$801, 0)+1), "")), IFERROR(INDEX(ERP資料!$A:$A, (MATCH(306, 輔助計算!$G$2:$G$801, 0)+1)), ""), ""), "")</f>
        <v/>
      </c>
      <c r="B307" s="10">
        <f>IFERROR(IF(AND(IFERROR(INDEX(ERP資料!$A:$A, (MATCH(306, 輔助計算!$G$2:$G$801, 0)+1)), "")&lt;&gt;"", IFERROR(INDEX(ERP資料!$A:$A, (MATCH(306, 輔助計算!$G$2:$G$801, 0)+1)), "")&lt;&gt;IFERROR(INDEX(ERP資料!$A:$A, MATCH(305, 輔助計算!$G$2:$G$801, 0)+1), "")), INDEX(ERP資料!$S:$S, (MATCH(306, 輔助計算!$G$2:$G$801, 0)+1)), ""), "")</f>
        <v/>
      </c>
      <c r="C307" s="19">
        <f>IFERROR(IF(AND(IFERROR(INDEX(ERP資料!$A:$A, (MATCH(306, 輔助計算!$G$2:$G$801, 0)+1)), "")&lt;&gt;"", IFERROR(INDEX(ERP資料!$A:$A, (MATCH(306, 輔助計算!$G$2:$G$801, 0)+1)), "")&lt;&gt;IFERROR(INDEX(ERP資料!$A:$A, MATCH(305, 輔助計算!$G$2:$G$801, 0)+1), "")), IFERROR(VLOOKUP(LEFT(INDEX(ERP資料!$S:$S, (MATCH(306, 輔助計算!$G$2:$G$801, 0)+1)), 4), 紙管對照表!$A:$C, 3, FALSE), ""), ""), "")</f>
        <v/>
      </c>
      <c r="D307" s="16" t="n"/>
      <c r="E307" s="10">
        <f>IFERROR(IF(INDEX(ERP資料!$H:$H, (MATCH(306, 輔助計算!$G$2:$G$801, 0)+1))="","",INDEX(ERP資料!$H:$H, (MATCH(306, 輔助計算!$G$2:$G$801, 0)+1))), "")</f>
        <v/>
      </c>
      <c r="F307" s="10">
        <f>IFERROR(IF(INDEX(ERP資料!$E:$E, (MATCH(306, 輔助計算!$G$2:$G$801, 0)+1))="","",TRIM(INDEX(ERP資料!$E:$E, (MATCH(306, 輔助計算!$G$2:$G$801, 0)+1)))), "")</f>
        <v/>
      </c>
      <c r="G307" s="10">
        <f>IFERROR(IF(INDEX(ERP資料!$F:$F, (MATCH(306, 輔助計算!$G$2:$G$801, 0)+1))="","",INDEX(ERP資料!$F:$F, (MATCH(306, 輔助計算!$G$2:$G$801, 0)+1))), "")</f>
        <v/>
      </c>
      <c r="H307" s="10">
        <f>IFERROR(IF(INDEX(ERP資料!$G:$G, (MATCH(306, 輔助計算!$G$2:$G$801, 0)+1))="","",INDEX(ERP資料!$G:$G, (MATCH(306, 輔助計算!$G$2:$G$801, 0)+1))), "")</f>
        <v/>
      </c>
      <c r="I307" s="15">
        <f>IFERROR(INDEX(輔助計算!$D:$D, (MATCH(306, 輔助計算!$G$2:$G$801, 0)+1)), "")</f>
        <v/>
      </c>
      <c r="J307" s="15">
        <f>IFERROR(IF(AND(INDEX(輔助計算!$D:$D, (MATCH(306, 輔助計算!$G$2:$G$801, 0)+1))&lt;&gt;"", INDEX(ERP資料!$G:$G, (MATCH(306, 輔助計算!$G$2:$G$801, 0)+1))&lt;&gt;""), TRIM(IF(INT(INDEX(輔助計算!$D:$D, (MATCH(306, 輔助計算!$G$2:$G$801, 0)+1))/IF(INDEX(ERP資料!$G:$G, (MATCH(306, 輔助計算!$G$2:$G$801, 0)+1))&lt;100, IF(INDEX(ERP資料!$G:$G, (MATCH(306, 輔助計算!$G$2:$G$801, 0)+1))&lt;=31,3,IF(INDEX(ERP資料!$G:$G, (MATCH(306, 輔助計算!$G$2:$G$801, 0)+1))&lt;=46.5,2,1)), IF(INDEX(ERP資料!$G:$G, (MATCH(306, 輔助計算!$G$2:$G$801, 0)+1))&lt;=790,3,IF(INDEX(ERP資料!$G:$G, (MATCH(306, 輔助計算!$G$2:$G$801, 0)+1))&lt;=1181,2,1))))&gt;0, IF(IF(INDEX(ERP資料!$G:$G, (MATCH(306, 輔助計算!$G$2:$G$801, 0)+1))&lt;100, IF(INDEX(ERP資料!$G:$G, (MATCH(306, 輔助計算!$G$2:$G$801, 0)+1))&lt;=31,3,IF(INDEX(ERP資料!$G:$G, (MATCH(306, 輔助計算!$G$2:$G$801, 0)+1))&lt;=46.5,2,1)), IF(INDEX(ERP資料!$G:$G, (MATCH(306, 輔助計算!$G$2:$G$801, 0)+1))&lt;=790,3,IF(INDEX(ERP資料!$G:$G, (MATCH(306, 輔助計算!$G$2:$G$801, 0)+1))&lt;=1181,2,1)))=1,TEXT(INDEX(ERP資料!$G:$G, (MATCH(306, 輔助計算!$G$2:$G$801, 0)+1)),"0.##"),IF(IF(INDEX(ERP資料!$G:$G, (MATCH(306, 輔助計算!$G$2:$G$801, 0)+1))&lt;100, IF(INDEX(ERP資料!$G:$G, (MATCH(306, 輔助計算!$G$2:$G$801, 0)+1))&lt;=31,3,IF(INDEX(ERP資料!$G:$G, (MATCH(306, 輔助計算!$G$2:$G$801, 0)+1))&lt;=46.5,2,1)), IF(INDEX(ERP資料!$G:$G, (MATCH(306, 輔助計算!$G$2:$G$801, 0)+1))&lt;=790,3,IF(INDEX(ERP資料!$G:$G, (MATCH(306, 輔助計算!$G$2:$G$801, 0)+1))&lt;=1181,2,1)))=2,TEXT(INDEX(ERP資料!$G:$G, (MATCH(306, 輔助計算!$G$2:$G$801, 0)+1)),"0.##")&amp;"+"&amp;TEXT(INDEX(ERP資料!$G:$G, (MATCH(306, 輔助計算!$G$2:$G$801, 0)+1)),"0.##"),TEXT(INDEX(ERP資料!$G:$G, (MATCH(306, 輔助計算!$G$2:$G$801, 0)+1)),"0.##")&amp;"+"&amp;TEXT(INDEX(ERP資料!$G:$G, (MATCH(306, 輔助計算!$G$2:$G$801, 0)+1)),"0.##")&amp;"+"&amp;TEXT(INDEX(ERP資料!$G:$G, (MATCH(306, 輔助計算!$G$2:$G$801, 0)+1)),"0.##")))&amp;"-"&amp;INT(INDEX(輔助計算!$D:$D, (MATCH(306, 輔助計算!$G$2:$G$801, 0)+1))/IF(INDEX(ERP資料!$G:$G, (MATCH(306, 輔助計算!$G$2:$G$801, 0)+1))&lt;100, IF(INDEX(ERP資料!$G:$G, (MATCH(306, 輔助計算!$G$2:$G$801, 0)+1))&lt;=31,3,IF(INDEX(ERP資料!$G:$G, (MATCH(306, 輔助計算!$G$2:$G$801, 0)+1))&lt;=46.5,2,1)), IF(INDEX(ERP資料!$G:$G, (MATCH(306, 輔助計算!$G$2:$G$801, 0)+1))&lt;=790,3,IF(INDEX(ERP資料!$G:$G, (MATCH(306, 輔助計算!$G$2:$G$801, 0)+1))&lt;=1181,2,1)))), "")&amp;IF(AND(IF(INT(INDEX(輔助計算!$D:$D, (MATCH(306, 輔助計算!$G$2:$G$801, 0)+1))/IF(INDEX(ERP資料!$G:$G, (MATCH(306, 輔助計算!$G$2:$G$801, 0)+1))&lt;100, IF(INDEX(ERP資料!$G:$G, (MATCH(306, 輔助計算!$G$2:$G$801, 0)+1))&lt;=31,3,IF(INDEX(ERP資料!$G:$G, (MATCH(306, 輔助計算!$G$2:$G$801, 0)+1))&lt;=46.5,2,1)), IF(INDEX(ERP資料!$G:$G, (MATCH(306, 輔助計算!$G$2:$G$801, 0)+1))&lt;=790,3,IF(INDEX(ERP資料!$G:$G, (MATCH(306, 輔助計算!$G$2:$G$801, 0)+1))&lt;=1181,2,1))))&gt;0, IF(IF(INDEX(ERP資料!$G:$G, (MATCH(306, 輔助計算!$G$2:$G$801, 0)+1))&lt;100, IF(INDEX(ERP資料!$G:$G, (MATCH(306, 輔助計算!$G$2:$G$801, 0)+1))&lt;=31,3,IF(INDEX(ERP資料!$G:$G, (MATCH(306, 輔助計算!$G$2:$G$801, 0)+1))&lt;=46.5,2,1)), IF(INDEX(ERP資料!$G:$G, (MATCH(306, 輔助計算!$G$2:$G$801, 0)+1))&lt;=790,3,IF(INDEX(ERP資料!$G:$G, (MATCH(306, 輔助計算!$G$2:$G$801, 0)+1))&lt;=1181,2,1)))=1,TEXT(INDEX(ERP資料!$G:$G, (MATCH(306, 輔助計算!$G$2:$G$801, 0)+1)),"0.##"),IF(IF(INDEX(ERP資料!$G:$G, (MATCH(306, 輔助計算!$G$2:$G$801, 0)+1))&lt;100, IF(INDEX(ERP資料!$G:$G, (MATCH(306, 輔助計算!$G$2:$G$801, 0)+1))&lt;=31,3,IF(INDEX(ERP資料!$G:$G, (MATCH(306, 輔助計算!$G$2:$G$801, 0)+1))&lt;=46.5,2,1)), IF(INDEX(ERP資料!$G:$G, (MATCH(306, 輔助計算!$G$2:$G$801, 0)+1))&lt;=790,3,IF(INDEX(ERP資料!$G:$G, (MATCH(306, 輔助計算!$G$2:$G$801, 0)+1))&lt;=1181,2,1)))=2,TEXT(INDEX(ERP資料!$G:$G, (MATCH(306, 輔助計算!$G$2:$G$801, 0)+1)),"0.##")&amp;"+"&amp;TEXT(INDEX(ERP資料!$G:$G, (MATCH(306, 輔助計算!$G$2:$G$801, 0)+1)),"0.##"),TEXT(INDEX(ERP資料!$G:$G, (MATCH(306, 輔助計算!$G$2:$G$801, 0)+1)),"0.##")&amp;"+"&amp;TEXT(INDEX(ERP資料!$G:$G, (MATCH(306, 輔助計算!$G$2:$G$801, 0)+1)),"0.##")&amp;"+"&amp;TEXT(INDEX(ERP資料!$G:$G, (MATCH(306, 輔助計算!$G$2:$G$801, 0)+1)),"0.##")))&amp;"-"&amp;INT(INDEX(輔助計算!$D:$D, (MATCH(306, 輔助計算!$G$2:$G$801, 0)+1))/IF(INDEX(ERP資料!$G:$G, (MATCH(306, 輔助計算!$G$2:$G$801, 0)+1))&lt;100, IF(INDEX(ERP資料!$G:$G, (MATCH(306, 輔助計算!$G$2:$G$801, 0)+1))&lt;=31,3,IF(INDEX(ERP資料!$G:$G, (MATCH(306, 輔助計算!$G$2:$G$801, 0)+1))&lt;=46.5,2,1)), IF(INDEX(ERP資料!$G:$G, (MATCH(306, 輔助計算!$G$2:$G$801, 0)+1))&lt;=790,3,IF(INDEX(ERP資料!$G:$G, (MATCH(306, 輔助計算!$G$2:$G$801, 0)+1))&lt;=1181,2,1)))), "")&lt;&gt;"",IF(MOD(INDEX(輔助計算!$D:$D, (MATCH(306, 輔助計算!$G$2:$G$801, 0)+1)),IF(INDEX(ERP資料!$G:$G, (MATCH(306, 輔助計算!$G$2:$G$801, 0)+1))&lt;100, IF(INDEX(ERP資料!$G:$G, (MATCH(306, 輔助計算!$G$2:$G$801, 0)+1))&lt;=31,3,IF(INDEX(ERP資料!$G:$G, (MATCH(306, 輔助計算!$G$2:$G$801, 0)+1))&lt;=46.5,2,1)), IF(INDEX(ERP資料!$G:$G, (MATCH(306, 輔助計算!$G$2:$G$801, 0)+1))&lt;=790,3,IF(INDEX(ERP資料!$G:$G, (MATCH(306, 輔助計算!$G$2:$G$801, 0)+1))&lt;=1181,2,1))))=0,"",IF(MOD(INDEX(輔助計算!$D:$D, (MATCH(306, 輔助計算!$G$2:$G$801, 0)+1)),IF(INDEX(ERP資料!$G:$G, (MATCH(306, 輔助計算!$G$2:$G$801, 0)+1))&lt;100, IF(INDEX(ERP資料!$G:$G, (MATCH(306, 輔助計算!$G$2:$G$801, 0)+1))&lt;=31,3,IF(INDEX(ERP資料!$G:$G, (MATCH(306, 輔助計算!$G$2:$G$801, 0)+1))&lt;=46.5,2,1)), IF(INDEX(ERP資料!$G:$G, (MATCH(306, 輔助計算!$G$2:$G$801, 0)+1))&lt;=790,3,IF(INDEX(ERP資料!$G:$G, (MATCH(306, 輔助計算!$G$2:$G$801, 0)+1))&lt;=1181,2,1))))=0,"",IF(MOD(INDEX(輔助計算!$D:$D, (MATCH(306, 輔助計算!$G$2:$G$801, 0)+1)),IF(INDEX(ERP資料!$G:$G, (MATCH(306, 輔助計算!$G$2:$G$801, 0)+1))&lt;100, IF(INDEX(ERP資料!$G:$G, (MATCH(306, 輔助計算!$G$2:$G$801, 0)+1))&lt;=31,3,IF(INDEX(ERP資料!$G:$G, (MATCH(306, 輔助計算!$G$2:$G$801, 0)+1))&lt;=46.5,2,1)), IF(INDEX(ERP資料!$G:$G, (MATCH(306, 輔助計算!$G$2:$G$801, 0)+1))&lt;=790,3,IF(INDEX(ERP資料!$G:$G, (MATCH(306, 輔助計算!$G$2:$G$801, 0)+1))&lt;=1181,2,1))))=1,TEXT(INDEX(ERP資料!$G:$G, (MATCH(306, 輔助計算!$G$2:$G$801, 0)+1)),"0.##"),IF(MOD(INDEX(輔助計算!$D:$D, (MATCH(306, 輔助計算!$G$2:$G$801, 0)+1)),IF(INDEX(ERP資料!$G:$G, (MATCH(306, 輔助計算!$G$2:$G$801, 0)+1))&lt;100, IF(INDEX(ERP資料!$G:$G, (MATCH(306, 輔助計算!$G$2:$G$801, 0)+1))&lt;=31,3,IF(INDEX(ERP資料!$G:$G, (MATCH(306, 輔助計算!$G$2:$G$801, 0)+1))&lt;=46.5,2,1)), IF(INDEX(ERP資料!$G:$G, (MATCH(306, 輔助計算!$G$2:$G$801, 0)+1))&lt;=790,3,IF(INDEX(ERP資料!$G:$G, (MATCH(306, 輔助計算!$G$2:$G$801, 0)+1))&lt;=1181,2,1))))=2,TEXT(INDEX(ERP資料!$G:$G, (MATCH(306, 輔助計算!$G$2:$G$801, 0)+1)),"0.##")&amp;"+"&amp;TEXT(INDEX(ERP資料!$G:$G, (MATCH(306, 輔助計算!$G$2:$G$801, 0)+1)),"0.##"),TEXT(INDEX(ERP資料!$G:$G, (MATCH(306, 輔助計算!$G$2:$G$801, 0)+1)),"0.##")&amp;"+"&amp;TEXT(INDEX(ERP資料!$G:$G, (MATCH(306, 輔助計算!$G$2:$G$801, 0)+1)),"0.##")&amp;"+"&amp;TEXT(INDEX(ERP資料!$G:$G, (MATCH(306, 輔助計算!$G$2:$G$801, 0)+1)),"0.##"))))&amp;"-1")&lt;&gt;""),"  ","")&amp;IF(MOD(INDEX(輔助計算!$D:$D, (MATCH(306, 輔助計算!$G$2:$G$801, 0)+1)),IF(INDEX(ERP資料!$G:$G, (MATCH(306, 輔助計算!$G$2:$G$801, 0)+1))&lt;100, IF(INDEX(ERP資料!$G:$G, (MATCH(306, 輔助計算!$G$2:$G$801, 0)+1))&lt;=31,3,IF(INDEX(ERP資料!$G:$G, (MATCH(306, 輔助計算!$G$2:$G$801, 0)+1))&lt;=46.5,2,1)), IF(INDEX(ERP資料!$G:$G, (MATCH(306, 輔助計算!$G$2:$G$801, 0)+1))&lt;=790,3,IF(INDEX(ERP資料!$G:$G, (MATCH(306, 輔助計算!$G$2:$G$801, 0)+1))&lt;=1181,2,1))))=0,"",IF(MOD(INDEX(輔助計算!$D:$D, (MATCH(306, 輔助計算!$G$2:$G$801, 0)+1)),IF(INDEX(ERP資料!$G:$G, (MATCH(306, 輔助計算!$G$2:$G$801, 0)+1))&lt;100, IF(INDEX(ERP資料!$G:$G, (MATCH(306, 輔助計算!$G$2:$G$801, 0)+1))&lt;=31,3,IF(INDEX(ERP資料!$G:$G, (MATCH(306, 輔助計算!$G$2:$G$801, 0)+1))&lt;=46.5,2,1)), IF(INDEX(ERP資料!$G:$G, (MATCH(306, 輔助計算!$G$2:$G$801, 0)+1))&lt;=790,3,IF(INDEX(ERP資料!$G:$G, (MATCH(306, 輔助計算!$G$2:$G$801, 0)+1))&lt;=1181,2,1))))=0,"",IF(MOD(INDEX(輔助計算!$D:$D, (MATCH(306, 輔助計算!$G$2:$G$801, 0)+1)),IF(INDEX(ERP資料!$G:$G, (MATCH(306, 輔助計算!$G$2:$G$801, 0)+1))&lt;100, IF(INDEX(ERP資料!$G:$G, (MATCH(306, 輔助計算!$G$2:$G$801, 0)+1))&lt;=31,3,IF(INDEX(ERP資料!$G:$G, (MATCH(306, 輔助計算!$G$2:$G$801, 0)+1))&lt;=46.5,2,1)), IF(INDEX(ERP資料!$G:$G, (MATCH(306, 輔助計算!$G$2:$G$801, 0)+1))&lt;=790,3,IF(INDEX(ERP資料!$G:$G, (MATCH(306, 輔助計算!$G$2:$G$801, 0)+1))&lt;=1181,2,1))))=1,TEXT(INDEX(ERP資料!$G:$G, (MATCH(306, 輔助計算!$G$2:$G$801, 0)+1)),"0.##"),IF(MOD(INDEX(輔助計算!$D:$D, (MATCH(306, 輔助計算!$G$2:$G$801, 0)+1)),IF(INDEX(ERP資料!$G:$G, (MATCH(306, 輔助計算!$G$2:$G$801, 0)+1))&lt;100, IF(INDEX(ERP資料!$G:$G, (MATCH(306, 輔助計算!$G$2:$G$801, 0)+1))&lt;=31,3,IF(INDEX(ERP資料!$G:$G, (MATCH(306, 輔助計算!$G$2:$G$801, 0)+1))&lt;=46.5,2,1)), IF(INDEX(ERP資料!$G:$G, (MATCH(306, 輔助計算!$G$2:$G$801, 0)+1))&lt;=790,3,IF(INDEX(ERP資料!$G:$G, (MATCH(306, 輔助計算!$G$2:$G$801, 0)+1))&lt;=1181,2,1))))=2,TEXT(INDEX(ERP資料!$G:$G, (MATCH(306, 輔助計算!$G$2:$G$801, 0)+1)),"0.##")&amp;"+"&amp;TEXT(INDEX(ERP資料!$G:$G, (MATCH(306, 輔助計算!$G$2:$G$801, 0)+1)),"0.##"),TEXT(INDEX(ERP資料!$G:$G, (MATCH(306, 輔助計算!$G$2:$G$801, 0)+1)),"0.##")&amp;"+"&amp;TEXT(INDEX(ERP資料!$G:$G, (MATCH(306, 輔助計算!$G$2:$G$801, 0)+1)),"0.##")&amp;"+"&amp;TEXT(INDEX(ERP資料!$G:$G, (MATCH(306, 輔助計算!$G$2:$G$801, 0)+1)),"0.##"))))&amp;"-1")), ""), "")</f>
        <v/>
      </c>
      <c r="K307" s="16" t="n"/>
      <c r="L307" s="14">
        <f>IFERROR(IF(AND(IFERROR(INDEX(ERP資料!$A:$A, (MATCH(306, 輔助計算!$G$2:$G$801, 0)+1)), "")&lt;&gt;"", IFERROR(INDEX(ERP資料!$A:$A, (MATCH(306, 輔助計算!$G$2:$G$801, 0)+1)), "")&lt;&gt;IFERROR(INDEX(ERP資料!$A:$A, MATCH(305, 輔助計算!$G$2:$G$801, 0)+1), "")), INDEX(ERP資料!$B:$B, (MATCH(306, 輔助計算!$G$2:$G$801, 0)+1)), ""), "")</f>
        <v/>
      </c>
      <c r="M307" s="17" t="n"/>
    </row>
    <row r="308">
      <c r="A308" s="10">
        <f>IFERROR(IF(AND(IFERROR(INDEX(ERP資料!$A:$A, (MATCH(307, 輔助計算!$G$2:$G$801, 0)+1)), "")&lt;&gt;"", IFERROR(INDEX(ERP資料!$A:$A, (MATCH(307, 輔助計算!$G$2:$G$801, 0)+1)), "")&lt;&gt;IFERROR(INDEX(ERP資料!$A:$A, MATCH(306, 輔助計算!$G$2:$G$801, 0)+1), "")), IFERROR(INDEX(ERP資料!$A:$A, (MATCH(307, 輔助計算!$G$2:$G$801, 0)+1)), ""), ""), "")</f>
        <v/>
      </c>
      <c r="B308" s="10">
        <f>IFERROR(IF(AND(IFERROR(INDEX(ERP資料!$A:$A, (MATCH(307, 輔助計算!$G$2:$G$801, 0)+1)), "")&lt;&gt;"", IFERROR(INDEX(ERP資料!$A:$A, (MATCH(307, 輔助計算!$G$2:$G$801, 0)+1)), "")&lt;&gt;IFERROR(INDEX(ERP資料!$A:$A, MATCH(306, 輔助計算!$G$2:$G$801, 0)+1), "")), INDEX(ERP資料!$S:$S, (MATCH(307, 輔助計算!$G$2:$G$801, 0)+1)), ""), "")</f>
        <v/>
      </c>
      <c r="C308" s="19">
        <f>IFERROR(IF(AND(IFERROR(INDEX(ERP資料!$A:$A, (MATCH(307, 輔助計算!$G$2:$G$801, 0)+1)), "")&lt;&gt;"", IFERROR(INDEX(ERP資料!$A:$A, (MATCH(307, 輔助計算!$G$2:$G$801, 0)+1)), "")&lt;&gt;IFERROR(INDEX(ERP資料!$A:$A, MATCH(306, 輔助計算!$G$2:$G$801, 0)+1), "")), IFERROR(VLOOKUP(LEFT(INDEX(ERP資料!$S:$S, (MATCH(307, 輔助計算!$G$2:$G$801, 0)+1)), 4), 紙管對照表!$A:$C, 3, FALSE), ""), ""), "")</f>
        <v/>
      </c>
      <c r="D308" s="16" t="n"/>
      <c r="E308" s="10">
        <f>IFERROR(IF(INDEX(ERP資料!$H:$H, (MATCH(307, 輔助計算!$G$2:$G$801, 0)+1))="","",INDEX(ERP資料!$H:$H, (MATCH(307, 輔助計算!$G$2:$G$801, 0)+1))), "")</f>
        <v/>
      </c>
      <c r="F308" s="10">
        <f>IFERROR(IF(INDEX(ERP資料!$E:$E, (MATCH(307, 輔助計算!$G$2:$G$801, 0)+1))="","",TRIM(INDEX(ERP資料!$E:$E, (MATCH(307, 輔助計算!$G$2:$G$801, 0)+1)))), "")</f>
        <v/>
      </c>
      <c r="G308" s="10">
        <f>IFERROR(IF(INDEX(ERP資料!$F:$F, (MATCH(307, 輔助計算!$G$2:$G$801, 0)+1))="","",INDEX(ERP資料!$F:$F, (MATCH(307, 輔助計算!$G$2:$G$801, 0)+1))), "")</f>
        <v/>
      </c>
      <c r="H308" s="10">
        <f>IFERROR(IF(INDEX(ERP資料!$G:$G, (MATCH(307, 輔助計算!$G$2:$G$801, 0)+1))="","",INDEX(ERP資料!$G:$G, (MATCH(307, 輔助計算!$G$2:$G$801, 0)+1))), "")</f>
        <v/>
      </c>
      <c r="I308" s="15">
        <f>IFERROR(INDEX(輔助計算!$D:$D, (MATCH(307, 輔助計算!$G$2:$G$801, 0)+1)), "")</f>
        <v/>
      </c>
      <c r="J308" s="15">
        <f>IFERROR(IF(AND(INDEX(輔助計算!$D:$D, (MATCH(307, 輔助計算!$G$2:$G$801, 0)+1))&lt;&gt;"", INDEX(ERP資料!$G:$G, (MATCH(307, 輔助計算!$G$2:$G$801, 0)+1))&lt;&gt;""), TRIM(IF(INT(INDEX(輔助計算!$D:$D, (MATCH(307, 輔助計算!$G$2:$G$801, 0)+1))/IF(INDEX(ERP資料!$G:$G, (MATCH(307, 輔助計算!$G$2:$G$801, 0)+1))&lt;100, IF(INDEX(ERP資料!$G:$G, (MATCH(307, 輔助計算!$G$2:$G$801, 0)+1))&lt;=31,3,IF(INDEX(ERP資料!$G:$G, (MATCH(307, 輔助計算!$G$2:$G$801, 0)+1))&lt;=46.5,2,1)), IF(INDEX(ERP資料!$G:$G, (MATCH(307, 輔助計算!$G$2:$G$801, 0)+1))&lt;=790,3,IF(INDEX(ERP資料!$G:$G, (MATCH(307, 輔助計算!$G$2:$G$801, 0)+1))&lt;=1181,2,1))))&gt;0, IF(IF(INDEX(ERP資料!$G:$G, (MATCH(307, 輔助計算!$G$2:$G$801, 0)+1))&lt;100, IF(INDEX(ERP資料!$G:$G, (MATCH(307, 輔助計算!$G$2:$G$801, 0)+1))&lt;=31,3,IF(INDEX(ERP資料!$G:$G, (MATCH(307, 輔助計算!$G$2:$G$801, 0)+1))&lt;=46.5,2,1)), IF(INDEX(ERP資料!$G:$G, (MATCH(307, 輔助計算!$G$2:$G$801, 0)+1))&lt;=790,3,IF(INDEX(ERP資料!$G:$G, (MATCH(307, 輔助計算!$G$2:$G$801, 0)+1))&lt;=1181,2,1)))=1,TEXT(INDEX(ERP資料!$G:$G, (MATCH(307, 輔助計算!$G$2:$G$801, 0)+1)),"0.##"),IF(IF(INDEX(ERP資料!$G:$G, (MATCH(307, 輔助計算!$G$2:$G$801, 0)+1))&lt;100, IF(INDEX(ERP資料!$G:$G, (MATCH(307, 輔助計算!$G$2:$G$801, 0)+1))&lt;=31,3,IF(INDEX(ERP資料!$G:$G, (MATCH(307, 輔助計算!$G$2:$G$801, 0)+1))&lt;=46.5,2,1)), IF(INDEX(ERP資料!$G:$G, (MATCH(307, 輔助計算!$G$2:$G$801, 0)+1))&lt;=790,3,IF(INDEX(ERP資料!$G:$G, (MATCH(307, 輔助計算!$G$2:$G$801, 0)+1))&lt;=1181,2,1)))=2,TEXT(INDEX(ERP資料!$G:$G, (MATCH(307, 輔助計算!$G$2:$G$801, 0)+1)),"0.##")&amp;"+"&amp;TEXT(INDEX(ERP資料!$G:$G, (MATCH(307, 輔助計算!$G$2:$G$801, 0)+1)),"0.##"),TEXT(INDEX(ERP資料!$G:$G, (MATCH(307, 輔助計算!$G$2:$G$801, 0)+1)),"0.##")&amp;"+"&amp;TEXT(INDEX(ERP資料!$G:$G, (MATCH(307, 輔助計算!$G$2:$G$801, 0)+1)),"0.##")&amp;"+"&amp;TEXT(INDEX(ERP資料!$G:$G, (MATCH(307, 輔助計算!$G$2:$G$801, 0)+1)),"0.##")))&amp;"-"&amp;INT(INDEX(輔助計算!$D:$D, (MATCH(307, 輔助計算!$G$2:$G$801, 0)+1))/IF(INDEX(ERP資料!$G:$G, (MATCH(307, 輔助計算!$G$2:$G$801, 0)+1))&lt;100, IF(INDEX(ERP資料!$G:$G, (MATCH(307, 輔助計算!$G$2:$G$801, 0)+1))&lt;=31,3,IF(INDEX(ERP資料!$G:$G, (MATCH(307, 輔助計算!$G$2:$G$801, 0)+1))&lt;=46.5,2,1)), IF(INDEX(ERP資料!$G:$G, (MATCH(307, 輔助計算!$G$2:$G$801, 0)+1))&lt;=790,3,IF(INDEX(ERP資料!$G:$G, (MATCH(307, 輔助計算!$G$2:$G$801, 0)+1))&lt;=1181,2,1)))), "")&amp;IF(AND(IF(INT(INDEX(輔助計算!$D:$D, (MATCH(307, 輔助計算!$G$2:$G$801, 0)+1))/IF(INDEX(ERP資料!$G:$G, (MATCH(307, 輔助計算!$G$2:$G$801, 0)+1))&lt;100, IF(INDEX(ERP資料!$G:$G, (MATCH(307, 輔助計算!$G$2:$G$801, 0)+1))&lt;=31,3,IF(INDEX(ERP資料!$G:$G, (MATCH(307, 輔助計算!$G$2:$G$801, 0)+1))&lt;=46.5,2,1)), IF(INDEX(ERP資料!$G:$G, (MATCH(307, 輔助計算!$G$2:$G$801, 0)+1))&lt;=790,3,IF(INDEX(ERP資料!$G:$G, (MATCH(307, 輔助計算!$G$2:$G$801, 0)+1))&lt;=1181,2,1))))&gt;0, IF(IF(INDEX(ERP資料!$G:$G, (MATCH(307, 輔助計算!$G$2:$G$801, 0)+1))&lt;100, IF(INDEX(ERP資料!$G:$G, (MATCH(307, 輔助計算!$G$2:$G$801, 0)+1))&lt;=31,3,IF(INDEX(ERP資料!$G:$G, (MATCH(307, 輔助計算!$G$2:$G$801, 0)+1))&lt;=46.5,2,1)), IF(INDEX(ERP資料!$G:$G, (MATCH(307, 輔助計算!$G$2:$G$801, 0)+1))&lt;=790,3,IF(INDEX(ERP資料!$G:$G, (MATCH(307, 輔助計算!$G$2:$G$801, 0)+1))&lt;=1181,2,1)))=1,TEXT(INDEX(ERP資料!$G:$G, (MATCH(307, 輔助計算!$G$2:$G$801, 0)+1)),"0.##"),IF(IF(INDEX(ERP資料!$G:$G, (MATCH(307, 輔助計算!$G$2:$G$801, 0)+1))&lt;100, IF(INDEX(ERP資料!$G:$G, (MATCH(307, 輔助計算!$G$2:$G$801, 0)+1))&lt;=31,3,IF(INDEX(ERP資料!$G:$G, (MATCH(307, 輔助計算!$G$2:$G$801, 0)+1))&lt;=46.5,2,1)), IF(INDEX(ERP資料!$G:$G, (MATCH(307, 輔助計算!$G$2:$G$801, 0)+1))&lt;=790,3,IF(INDEX(ERP資料!$G:$G, (MATCH(307, 輔助計算!$G$2:$G$801, 0)+1))&lt;=1181,2,1)))=2,TEXT(INDEX(ERP資料!$G:$G, (MATCH(307, 輔助計算!$G$2:$G$801, 0)+1)),"0.##")&amp;"+"&amp;TEXT(INDEX(ERP資料!$G:$G, (MATCH(307, 輔助計算!$G$2:$G$801, 0)+1)),"0.##"),TEXT(INDEX(ERP資料!$G:$G, (MATCH(307, 輔助計算!$G$2:$G$801, 0)+1)),"0.##")&amp;"+"&amp;TEXT(INDEX(ERP資料!$G:$G, (MATCH(307, 輔助計算!$G$2:$G$801, 0)+1)),"0.##")&amp;"+"&amp;TEXT(INDEX(ERP資料!$G:$G, (MATCH(307, 輔助計算!$G$2:$G$801, 0)+1)),"0.##")))&amp;"-"&amp;INT(INDEX(輔助計算!$D:$D, (MATCH(307, 輔助計算!$G$2:$G$801, 0)+1))/IF(INDEX(ERP資料!$G:$G, (MATCH(307, 輔助計算!$G$2:$G$801, 0)+1))&lt;100, IF(INDEX(ERP資料!$G:$G, (MATCH(307, 輔助計算!$G$2:$G$801, 0)+1))&lt;=31,3,IF(INDEX(ERP資料!$G:$G, (MATCH(307, 輔助計算!$G$2:$G$801, 0)+1))&lt;=46.5,2,1)), IF(INDEX(ERP資料!$G:$G, (MATCH(307, 輔助計算!$G$2:$G$801, 0)+1))&lt;=790,3,IF(INDEX(ERP資料!$G:$G, (MATCH(307, 輔助計算!$G$2:$G$801, 0)+1))&lt;=1181,2,1)))), "")&lt;&gt;"",IF(MOD(INDEX(輔助計算!$D:$D, (MATCH(307, 輔助計算!$G$2:$G$801, 0)+1)),IF(INDEX(ERP資料!$G:$G, (MATCH(307, 輔助計算!$G$2:$G$801, 0)+1))&lt;100, IF(INDEX(ERP資料!$G:$G, (MATCH(307, 輔助計算!$G$2:$G$801, 0)+1))&lt;=31,3,IF(INDEX(ERP資料!$G:$G, (MATCH(307, 輔助計算!$G$2:$G$801, 0)+1))&lt;=46.5,2,1)), IF(INDEX(ERP資料!$G:$G, (MATCH(307, 輔助計算!$G$2:$G$801, 0)+1))&lt;=790,3,IF(INDEX(ERP資料!$G:$G, (MATCH(307, 輔助計算!$G$2:$G$801, 0)+1))&lt;=1181,2,1))))=0,"",IF(MOD(INDEX(輔助計算!$D:$D, (MATCH(307, 輔助計算!$G$2:$G$801, 0)+1)),IF(INDEX(ERP資料!$G:$G, (MATCH(307, 輔助計算!$G$2:$G$801, 0)+1))&lt;100, IF(INDEX(ERP資料!$G:$G, (MATCH(307, 輔助計算!$G$2:$G$801, 0)+1))&lt;=31,3,IF(INDEX(ERP資料!$G:$G, (MATCH(307, 輔助計算!$G$2:$G$801, 0)+1))&lt;=46.5,2,1)), IF(INDEX(ERP資料!$G:$G, (MATCH(307, 輔助計算!$G$2:$G$801, 0)+1))&lt;=790,3,IF(INDEX(ERP資料!$G:$G, (MATCH(307, 輔助計算!$G$2:$G$801, 0)+1))&lt;=1181,2,1))))=0,"",IF(MOD(INDEX(輔助計算!$D:$D, (MATCH(307, 輔助計算!$G$2:$G$801, 0)+1)),IF(INDEX(ERP資料!$G:$G, (MATCH(307, 輔助計算!$G$2:$G$801, 0)+1))&lt;100, IF(INDEX(ERP資料!$G:$G, (MATCH(307, 輔助計算!$G$2:$G$801, 0)+1))&lt;=31,3,IF(INDEX(ERP資料!$G:$G, (MATCH(307, 輔助計算!$G$2:$G$801, 0)+1))&lt;=46.5,2,1)), IF(INDEX(ERP資料!$G:$G, (MATCH(307, 輔助計算!$G$2:$G$801, 0)+1))&lt;=790,3,IF(INDEX(ERP資料!$G:$G, (MATCH(307, 輔助計算!$G$2:$G$801, 0)+1))&lt;=1181,2,1))))=1,TEXT(INDEX(ERP資料!$G:$G, (MATCH(307, 輔助計算!$G$2:$G$801, 0)+1)),"0.##"),IF(MOD(INDEX(輔助計算!$D:$D, (MATCH(307, 輔助計算!$G$2:$G$801, 0)+1)),IF(INDEX(ERP資料!$G:$G, (MATCH(307, 輔助計算!$G$2:$G$801, 0)+1))&lt;100, IF(INDEX(ERP資料!$G:$G, (MATCH(307, 輔助計算!$G$2:$G$801, 0)+1))&lt;=31,3,IF(INDEX(ERP資料!$G:$G, (MATCH(307, 輔助計算!$G$2:$G$801, 0)+1))&lt;=46.5,2,1)), IF(INDEX(ERP資料!$G:$G, (MATCH(307, 輔助計算!$G$2:$G$801, 0)+1))&lt;=790,3,IF(INDEX(ERP資料!$G:$G, (MATCH(307, 輔助計算!$G$2:$G$801, 0)+1))&lt;=1181,2,1))))=2,TEXT(INDEX(ERP資料!$G:$G, (MATCH(307, 輔助計算!$G$2:$G$801, 0)+1)),"0.##")&amp;"+"&amp;TEXT(INDEX(ERP資料!$G:$G, (MATCH(307, 輔助計算!$G$2:$G$801, 0)+1)),"0.##"),TEXT(INDEX(ERP資料!$G:$G, (MATCH(307, 輔助計算!$G$2:$G$801, 0)+1)),"0.##")&amp;"+"&amp;TEXT(INDEX(ERP資料!$G:$G, (MATCH(307, 輔助計算!$G$2:$G$801, 0)+1)),"0.##")&amp;"+"&amp;TEXT(INDEX(ERP資料!$G:$G, (MATCH(307, 輔助計算!$G$2:$G$801, 0)+1)),"0.##"))))&amp;"-1")&lt;&gt;""),"  ","")&amp;IF(MOD(INDEX(輔助計算!$D:$D, (MATCH(307, 輔助計算!$G$2:$G$801, 0)+1)),IF(INDEX(ERP資料!$G:$G, (MATCH(307, 輔助計算!$G$2:$G$801, 0)+1))&lt;100, IF(INDEX(ERP資料!$G:$G, (MATCH(307, 輔助計算!$G$2:$G$801, 0)+1))&lt;=31,3,IF(INDEX(ERP資料!$G:$G, (MATCH(307, 輔助計算!$G$2:$G$801, 0)+1))&lt;=46.5,2,1)), IF(INDEX(ERP資料!$G:$G, (MATCH(307, 輔助計算!$G$2:$G$801, 0)+1))&lt;=790,3,IF(INDEX(ERP資料!$G:$G, (MATCH(307, 輔助計算!$G$2:$G$801, 0)+1))&lt;=1181,2,1))))=0,"",IF(MOD(INDEX(輔助計算!$D:$D, (MATCH(307, 輔助計算!$G$2:$G$801, 0)+1)),IF(INDEX(ERP資料!$G:$G, (MATCH(307, 輔助計算!$G$2:$G$801, 0)+1))&lt;100, IF(INDEX(ERP資料!$G:$G, (MATCH(307, 輔助計算!$G$2:$G$801, 0)+1))&lt;=31,3,IF(INDEX(ERP資料!$G:$G, (MATCH(307, 輔助計算!$G$2:$G$801, 0)+1))&lt;=46.5,2,1)), IF(INDEX(ERP資料!$G:$G, (MATCH(307, 輔助計算!$G$2:$G$801, 0)+1))&lt;=790,3,IF(INDEX(ERP資料!$G:$G, (MATCH(307, 輔助計算!$G$2:$G$801, 0)+1))&lt;=1181,2,1))))=0,"",IF(MOD(INDEX(輔助計算!$D:$D, (MATCH(307, 輔助計算!$G$2:$G$801, 0)+1)),IF(INDEX(ERP資料!$G:$G, (MATCH(307, 輔助計算!$G$2:$G$801, 0)+1))&lt;100, IF(INDEX(ERP資料!$G:$G, (MATCH(307, 輔助計算!$G$2:$G$801, 0)+1))&lt;=31,3,IF(INDEX(ERP資料!$G:$G, (MATCH(307, 輔助計算!$G$2:$G$801, 0)+1))&lt;=46.5,2,1)), IF(INDEX(ERP資料!$G:$G, (MATCH(307, 輔助計算!$G$2:$G$801, 0)+1))&lt;=790,3,IF(INDEX(ERP資料!$G:$G, (MATCH(307, 輔助計算!$G$2:$G$801, 0)+1))&lt;=1181,2,1))))=1,TEXT(INDEX(ERP資料!$G:$G, (MATCH(307, 輔助計算!$G$2:$G$801, 0)+1)),"0.##"),IF(MOD(INDEX(輔助計算!$D:$D, (MATCH(307, 輔助計算!$G$2:$G$801, 0)+1)),IF(INDEX(ERP資料!$G:$G, (MATCH(307, 輔助計算!$G$2:$G$801, 0)+1))&lt;100, IF(INDEX(ERP資料!$G:$G, (MATCH(307, 輔助計算!$G$2:$G$801, 0)+1))&lt;=31,3,IF(INDEX(ERP資料!$G:$G, (MATCH(307, 輔助計算!$G$2:$G$801, 0)+1))&lt;=46.5,2,1)), IF(INDEX(ERP資料!$G:$G, (MATCH(307, 輔助計算!$G$2:$G$801, 0)+1))&lt;=790,3,IF(INDEX(ERP資料!$G:$G, (MATCH(307, 輔助計算!$G$2:$G$801, 0)+1))&lt;=1181,2,1))))=2,TEXT(INDEX(ERP資料!$G:$G, (MATCH(307, 輔助計算!$G$2:$G$801, 0)+1)),"0.##")&amp;"+"&amp;TEXT(INDEX(ERP資料!$G:$G, (MATCH(307, 輔助計算!$G$2:$G$801, 0)+1)),"0.##"),TEXT(INDEX(ERP資料!$G:$G, (MATCH(307, 輔助計算!$G$2:$G$801, 0)+1)),"0.##")&amp;"+"&amp;TEXT(INDEX(ERP資料!$G:$G, (MATCH(307, 輔助計算!$G$2:$G$801, 0)+1)),"0.##")&amp;"+"&amp;TEXT(INDEX(ERP資料!$G:$G, (MATCH(307, 輔助計算!$G$2:$G$801, 0)+1)),"0.##"))))&amp;"-1")), ""), "")</f>
        <v/>
      </c>
      <c r="K308" s="16" t="n"/>
      <c r="L308" s="14">
        <f>IFERROR(IF(AND(IFERROR(INDEX(ERP資料!$A:$A, (MATCH(307, 輔助計算!$G$2:$G$801, 0)+1)), "")&lt;&gt;"", IFERROR(INDEX(ERP資料!$A:$A, (MATCH(307, 輔助計算!$G$2:$G$801, 0)+1)), "")&lt;&gt;IFERROR(INDEX(ERP資料!$A:$A, MATCH(306, 輔助計算!$G$2:$G$801, 0)+1), "")), INDEX(ERP資料!$B:$B, (MATCH(307, 輔助計算!$G$2:$G$801, 0)+1)), ""), "")</f>
        <v/>
      </c>
      <c r="M308" s="17" t="n"/>
    </row>
    <row r="309">
      <c r="A309" s="10">
        <f>IFERROR(IF(AND(IFERROR(INDEX(ERP資料!$A:$A, (MATCH(308, 輔助計算!$G$2:$G$801, 0)+1)), "")&lt;&gt;"", IFERROR(INDEX(ERP資料!$A:$A, (MATCH(308, 輔助計算!$G$2:$G$801, 0)+1)), "")&lt;&gt;IFERROR(INDEX(ERP資料!$A:$A, MATCH(307, 輔助計算!$G$2:$G$801, 0)+1), "")), IFERROR(INDEX(ERP資料!$A:$A, (MATCH(308, 輔助計算!$G$2:$G$801, 0)+1)), ""), ""), "")</f>
        <v/>
      </c>
      <c r="B309" s="10">
        <f>IFERROR(IF(AND(IFERROR(INDEX(ERP資料!$A:$A, (MATCH(308, 輔助計算!$G$2:$G$801, 0)+1)), "")&lt;&gt;"", IFERROR(INDEX(ERP資料!$A:$A, (MATCH(308, 輔助計算!$G$2:$G$801, 0)+1)), "")&lt;&gt;IFERROR(INDEX(ERP資料!$A:$A, MATCH(307, 輔助計算!$G$2:$G$801, 0)+1), "")), INDEX(ERP資料!$S:$S, (MATCH(308, 輔助計算!$G$2:$G$801, 0)+1)), ""), "")</f>
        <v/>
      </c>
      <c r="C309" s="19">
        <f>IFERROR(IF(AND(IFERROR(INDEX(ERP資料!$A:$A, (MATCH(308, 輔助計算!$G$2:$G$801, 0)+1)), "")&lt;&gt;"", IFERROR(INDEX(ERP資料!$A:$A, (MATCH(308, 輔助計算!$G$2:$G$801, 0)+1)), "")&lt;&gt;IFERROR(INDEX(ERP資料!$A:$A, MATCH(307, 輔助計算!$G$2:$G$801, 0)+1), "")), IFERROR(VLOOKUP(LEFT(INDEX(ERP資料!$S:$S, (MATCH(308, 輔助計算!$G$2:$G$801, 0)+1)), 4), 紙管對照表!$A:$C, 3, FALSE), ""), ""), "")</f>
        <v/>
      </c>
      <c r="D309" s="16" t="n"/>
      <c r="E309" s="10">
        <f>IFERROR(IF(INDEX(ERP資料!$H:$H, (MATCH(308, 輔助計算!$G$2:$G$801, 0)+1))="","",INDEX(ERP資料!$H:$H, (MATCH(308, 輔助計算!$G$2:$G$801, 0)+1))), "")</f>
        <v/>
      </c>
      <c r="F309" s="10">
        <f>IFERROR(IF(INDEX(ERP資料!$E:$E, (MATCH(308, 輔助計算!$G$2:$G$801, 0)+1))="","",TRIM(INDEX(ERP資料!$E:$E, (MATCH(308, 輔助計算!$G$2:$G$801, 0)+1)))), "")</f>
        <v/>
      </c>
      <c r="G309" s="10">
        <f>IFERROR(IF(INDEX(ERP資料!$F:$F, (MATCH(308, 輔助計算!$G$2:$G$801, 0)+1))="","",INDEX(ERP資料!$F:$F, (MATCH(308, 輔助計算!$G$2:$G$801, 0)+1))), "")</f>
        <v/>
      </c>
      <c r="H309" s="10">
        <f>IFERROR(IF(INDEX(ERP資料!$G:$G, (MATCH(308, 輔助計算!$G$2:$G$801, 0)+1))="","",INDEX(ERP資料!$G:$G, (MATCH(308, 輔助計算!$G$2:$G$801, 0)+1))), "")</f>
        <v/>
      </c>
      <c r="I309" s="15">
        <f>IFERROR(INDEX(輔助計算!$D:$D, (MATCH(308, 輔助計算!$G$2:$G$801, 0)+1)), "")</f>
        <v/>
      </c>
      <c r="J309" s="15">
        <f>IFERROR(IF(AND(INDEX(輔助計算!$D:$D, (MATCH(308, 輔助計算!$G$2:$G$801, 0)+1))&lt;&gt;"", INDEX(ERP資料!$G:$G, (MATCH(308, 輔助計算!$G$2:$G$801, 0)+1))&lt;&gt;""), TRIM(IF(INT(INDEX(輔助計算!$D:$D, (MATCH(308, 輔助計算!$G$2:$G$801, 0)+1))/IF(INDEX(ERP資料!$G:$G, (MATCH(308, 輔助計算!$G$2:$G$801, 0)+1))&lt;100, IF(INDEX(ERP資料!$G:$G, (MATCH(308, 輔助計算!$G$2:$G$801, 0)+1))&lt;=31,3,IF(INDEX(ERP資料!$G:$G, (MATCH(308, 輔助計算!$G$2:$G$801, 0)+1))&lt;=46.5,2,1)), IF(INDEX(ERP資料!$G:$G, (MATCH(308, 輔助計算!$G$2:$G$801, 0)+1))&lt;=790,3,IF(INDEX(ERP資料!$G:$G, (MATCH(308, 輔助計算!$G$2:$G$801, 0)+1))&lt;=1181,2,1))))&gt;0, IF(IF(INDEX(ERP資料!$G:$G, (MATCH(308, 輔助計算!$G$2:$G$801, 0)+1))&lt;100, IF(INDEX(ERP資料!$G:$G, (MATCH(308, 輔助計算!$G$2:$G$801, 0)+1))&lt;=31,3,IF(INDEX(ERP資料!$G:$G, (MATCH(308, 輔助計算!$G$2:$G$801, 0)+1))&lt;=46.5,2,1)), IF(INDEX(ERP資料!$G:$G, (MATCH(308, 輔助計算!$G$2:$G$801, 0)+1))&lt;=790,3,IF(INDEX(ERP資料!$G:$G, (MATCH(308, 輔助計算!$G$2:$G$801, 0)+1))&lt;=1181,2,1)))=1,TEXT(INDEX(ERP資料!$G:$G, (MATCH(308, 輔助計算!$G$2:$G$801, 0)+1)),"0.##"),IF(IF(INDEX(ERP資料!$G:$G, (MATCH(308, 輔助計算!$G$2:$G$801, 0)+1))&lt;100, IF(INDEX(ERP資料!$G:$G, (MATCH(308, 輔助計算!$G$2:$G$801, 0)+1))&lt;=31,3,IF(INDEX(ERP資料!$G:$G, (MATCH(308, 輔助計算!$G$2:$G$801, 0)+1))&lt;=46.5,2,1)), IF(INDEX(ERP資料!$G:$G, (MATCH(308, 輔助計算!$G$2:$G$801, 0)+1))&lt;=790,3,IF(INDEX(ERP資料!$G:$G, (MATCH(308, 輔助計算!$G$2:$G$801, 0)+1))&lt;=1181,2,1)))=2,TEXT(INDEX(ERP資料!$G:$G, (MATCH(308, 輔助計算!$G$2:$G$801, 0)+1)),"0.##")&amp;"+"&amp;TEXT(INDEX(ERP資料!$G:$G, (MATCH(308, 輔助計算!$G$2:$G$801, 0)+1)),"0.##"),TEXT(INDEX(ERP資料!$G:$G, (MATCH(308, 輔助計算!$G$2:$G$801, 0)+1)),"0.##")&amp;"+"&amp;TEXT(INDEX(ERP資料!$G:$G, (MATCH(308, 輔助計算!$G$2:$G$801, 0)+1)),"0.##")&amp;"+"&amp;TEXT(INDEX(ERP資料!$G:$G, (MATCH(308, 輔助計算!$G$2:$G$801, 0)+1)),"0.##")))&amp;"-"&amp;INT(INDEX(輔助計算!$D:$D, (MATCH(308, 輔助計算!$G$2:$G$801, 0)+1))/IF(INDEX(ERP資料!$G:$G, (MATCH(308, 輔助計算!$G$2:$G$801, 0)+1))&lt;100, IF(INDEX(ERP資料!$G:$G, (MATCH(308, 輔助計算!$G$2:$G$801, 0)+1))&lt;=31,3,IF(INDEX(ERP資料!$G:$G, (MATCH(308, 輔助計算!$G$2:$G$801, 0)+1))&lt;=46.5,2,1)), IF(INDEX(ERP資料!$G:$G, (MATCH(308, 輔助計算!$G$2:$G$801, 0)+1))&lt;=790,3,IF(INDEX(ERP資料!$G:$G, (MATCH(308, 輔助計算!$G$2:$G$801, 0)+1))&lt;=1181,2,1)))), "")&amp;IF(AND(IF(INT(INDEX(輔助計算!$D:$D, (MATCH(308, 輔助計算!$G$2:$G$801, 0)+1))/IF(INDEX(ERP資料!$G:$G, (MATCH(308, 輔助計算!$G$2:$G$801, 0)+1))&lt;100, IF(INDEX(ERP資料!$G:$G, (MATCH(308, 輔助計算!$G$2:$G$801, 0)+1))&lt;=31,3,IF(INDEX(ERP資料!$G:$G, (MATCH(308, 輔助計算!$G$2:$G$801, 0)+1))&lt;=46.5,2,1)), IF(INDEX(ERP資料!$G:$G, (MATCH(308, 輔助計算!$G$2:$G$801, 0)+1))&lt;=790,3,IF(INDEX(ERP資料!$G:$G, (MATCH(308, 輔助計算!$G$2:$G$801, 0)+1))&lt;=1181,2,1))))&gt;0, IF(IF(INDEX(ERP資料!$G:$G, (MATCH(308, 輔助計算!$G$2:$G$801, 0)+1))&lt;100, IF(INDEX(ERP資料!$G:$G, (MATCH(308, 輔助計算!$G$2:$G$801, 0)+1))&lt;=31,3,IF(INDEX(ERP資料!$G:$G, (MATCH(308, 輔助計算!$G$2:$G$801, 0)+1))&lt;=46.5,2,1)), IF(INDEX(ERP資料!$G:$G, (MATCH(308, 輔助計算!$G$2:$G$801, 0)+1))&lt;=790,3,IF(INDEX(ERP資料!$G:$G, (MATCH(308, 輔助計算!$G$2:$G$801, 0)+1))&lt;=1181,2,1)))=1,TEXT(INDEX(ERP資料!$G:$G, (MATCH(308, 輔助計算!$G$2:$G$801, 0)+1)),"0.##"),IF(IF(INDEX(ERP資料!$G:$G, (MATCH(308, 輔助計算!$G$2:$G$801, 0)+1))&lt;100, IF(INDEX(ERP資料!$G:$G, (MATCH(308, 輔助計算!$G$2:$G$801, 0)+1))&lt;=31,3,IF(INDEX(ERP資料!$G:$G, (MATCH(308, 輔助計算!$G$2:$G$801, 0)+1))&lt;=46.5,2,1)), IF(INDEX(ERP資料!$G:$G, (MATCH(308, 輔助計算!$G$2:$G$801, 0)+1))&lt;=790,3,IF(INDEX(ERP資料!$G:$G, (MATCH(308, 輔助計算!$G$2:$G$801, 0)+1))&lt;=1181,2,1)))=2,TEXT(INDEX(ERP資料!$G:$G, (MATCH(308, 輔助計算!$G$2:$G$801, 0)+1)),"0.##")&amp;"+"&amp;TEXT(INDEX(ERP資料!$G:$G, (MATCH(308, 輔助計算!$G$2:$G$801, 0)+1)),"0.##"),TEXT(INDEX(ERP資料!$G:$G, (MATCH(308, 輔助計算!$G$2:$G$801, 0)+1)),"0.##")&amp;"+"&amp;TEXT(INDEX(ERP資料!$G:$G, (MATCH(308, 輔助計算!$G$2:$G$801, 0)+1)),"0.##")&amp;"+"&amp;TEXT(INDEX(ERP資料!$G:$G, (MATCH(308, 輔助計算!$G$2:$G$801, 0)+1)),"0.##")))&amp;"-"&amp;INT(INDEX(輔助計算!$D:$D, (MATCH(308, 輔助計算!$G$2:$G$801, 0)+1))/IF(INDEX(ERP資料!$G:$G, (MATCH(308, 輔助計算!$G$2:$G$801, 0)+1))&lt;100, IF(INDEX(ERP資料!$G:$G, (MATCH(308, 輔助計算!$G$2:$G$801, 0)+1))&lt;=31,3,IF(INDEX(ERP資料!$G:$G, (MATCH(308, 輔助計算!$G$2:$G$801, 0)+1))&lt;=46.5,2,1)), IF(INDEX(ERP資料!$G:$G, (MATCH(308, 輔助計算!$G$2:$G$801, 0)+1))&lt;=790,3,IF(INDEX(ERP資料!$G:$G, (MATCH(308, 輔助計算!$G$2:$G$801, 0)+1))&lt;=1181,2,1)))), "")&lt;&gt;"",IF(MOD(INDEX(輔助計算!$D:$D, (MATCH(308, 輔助計算!$G$2:$G$801, 0)+1)),IF(INDEX(ERP資料!$G:$G, (MATCH(308, 輔助計算!$G$2:$G$801, 0)+1))&lt;100, IF(INDEX(ERP資料!$G:$G, (MATCH(308, 輔助計算!$G$2:$G$801, 0)+1))&lt;=31,3,IF(INDEX(ERP資料!$G:$G, (MATCH(308, 輔助計算!$G$2:$G$801, 0)+1))&lt;=46.5,2,1)), IF(INDEX(ERP資料!$G:$G, (MATCH(308, 輔助計算!$G$2:$G$801, 0)+1))&lt;=790,3,IF(INDEX(ERP資料!$G:$G, (MATCH(308, 輔助計算!$G$2:$G$801, 0)+1))&lt;=1181,2,1))))=0,"",IF(MOD(INDEX(輔助計算!$D:$D, (MATCH(308, 輔助計算!$G$2:$G$801, 0)+1)),IF(INDEX(ERP資料!$G:$G, (MATCH(308, 輔助計算!$G$2:$G$801, 0)+1))&lt;100, IF(INDEX(ERP資料!$G:$G, (MATCH(308, 輔助計算!$G$2:$G$801, 0)+1))&lt;=31,3,IF(INDEX(ERP資料!$G:$G, (MATCH(308, 輔助計算!$G$2:$G$801, 0)+1))&lt;=46.5,2,1)), IF(INDEX(ERP資料!$G:$G, (MATCH(308, 輔助計算!$G$2:$G$801, 0)+1))&lt;=790,3,IF(INDEX(ERP資料!$G:$G, (MATCH(308, 輔助計算!$G$2:$G$801, 0)+1))&lt;=1181,2,1))))=0,"",IF(MOD(INDEX(輔助計算!$D:$D, (MATCH(308, 輔助計算!$G$2:$G$801, 0)+1)),IF(INDEX(ERP資料!$G:$G, (MATCH(308, 輔助計算!$G$2:$G$801, 0)+1))&lt;100, IF(INDEX(ERP資料!$G:$G, (MATCH(308, 輔助計算!$G$2:$G$801, 0)+1))&lt;=31,3,IF(INDEX(ERP資料!$G:$G, (MATCH(308, 輔助計算!$G$2:$G$801, 0)+1))&lt;=46.5,2,1)), IF(INDEX(ERP資料!$G:$G, (MATCH(308, 輔助計算!$G$2:$G$801, 0)+1))&lt;=790,3,IF(INDEX(ERP資料!$G:$G, (MATCH(308, 輔助計算!$G$2:$G$801, 0)+1))&lt;=1181,2,1))))=1,TEXT(INDEX(ERP資料!$G:$G, (MATCH(308, 輔助計算!$G$2:$G$801, 0)+1)),"0.##"),IF(MOD(INDEX(輔助計算!$D:$D, (MATCH(308, 輔助計算!$G$2:$G$801, 0)+1)),IF(INDEX(ERP資料!$G:$G, (MATCH(308, 輔助計算!$G$2:$G$801, 0)+1))&lt;100, IF(INDEX(ERP資料!$G:$G, (MATCH(308, 輔助計算!$G$2:$G$801, 0)+1))&lt;=31,3,IF(INDEX(ERP資料!$G:$G, (MATCH(308, 輔助計算!$G$2:$G$801, 0)+1))&lt;=46.5,2,1)), IF(INDEX(ERP資料!$G:$G, (MATCH(308, 輔助計算!$G$2:$G$801, 0)+1))&lt;=790,3,IF(INDEX(ERP資料!$G:$G, (MATCH(308, 輔助計算!$G$2:$G$801, 0)+1))&lt;=1181,2,1))))=2,TEXT(INDEX(ERP資料!$G:$G, (MATCH(308, 輔助計算!$G$2:$G$801, 0)+1)),"0.##")&amp;"+"&amp;TEXT(INDEX(ERP資料!$G:$G, (MATCH(308, 輔助計算!$G$2:$G$801, 0)+1)),"0.##"),TEXT(INDEX(ERP資料!$G:$G, (MATCH(308, 輔助計算!$G$2:$G$801, 0)+1)),"0.##")&amp;"+"&amp;TEXT(INDEX(ERP資料!$G:$G, (MATCH(308, 輔助計算!$G$2:$G$801, 0)+1)),"0.##")&amp;"+"&amp;TEXT(INDEX(ERP資料!$G:$G, (MATCH(308, 輔助計算!$G$2:$G$801, 0)+1)),"0.##"))))&amp;"-1")&lt;&gt;""),"  ","")&amp;IF(MOD(INDEX(輔助計算!$D:$D, (MATCH(308, 輔助計算!$G$2:$G$801, 0)+1)),IF(INDEX(ERP資料!$G:$G, (MATCH(308, 輔助計算!$G$2:$G$801, 0)+1))&lt;100, IF(INDEX(ERP資料!$G:$G, (MATCH(308, 輔助計算!$G$2:$G$801, 0)+1))&lt;=31,3,IF(INDEX(ERP資料!$G:$G, (MATCH(308, 輔助計算!$G$2:$G$801, 0)+1))&lt;=46.5,2,1)), IF(INDEX(ERP資料!$G:$G, (MATCH(308, 輔助計算!$G$2:$G$801, 0)+1))&lt;=790,3,IF(INDEX(ERP資料!$G:$G, (MATCH(308, 輔助計算!$G$2:$G$801, 0)+1))&lt;=1181,2,1))))=0,"",IF(MOD(INDEX(輔助計算!$D:$D, (MATCH(308, 輔助計算!$G$2:$G$801, 0)+1)),IF(INDEX(ERP資料!$G:$G, (MATCH(308, 輔助計算!$G$2:$G$801, 0)+1))&lt;100, IF(INDEX(ERP資料!$G:$G, (MATCH(308, 輔助計算!$G$2:$G$801, 0)+1))&lt;=31,3,IF(INDEX(ERP資料!$G:$G, (MATCH(308, 輔助計算!$G$2:$G$801, 0)+1))&lt;=46.5,2,1)), IF(INDEX(ERP資料!$G:$G, (MATCH(308, 輔助計算!$G$2:$G$801, 0)+1))&lt;=790,3,IF(INDEX(ERP資料!$G:$G, (MATCH(308, 輔助計算!$G$2:$G$801, 0)+1))&lt;=1181,2,1))))=0,"",IF(MOD(INDEX(輔助計算!$D:$D, (MATCH(308, 輔助計算!$G$2:$G$801, 0)+1)),IF(INDEX(ERP資料!$G:$G, (MATCH(308, 輔助計算!$G$2:$G$801, 0)+1))&lt;100, IF(INDEX(ERP資料!$G:$G, (MATCH(308, 輔助計算!$G$2:$G$801, 0)+1))&lt;=31,3,IF(INDEX(ERP資料!$G:$G, (MATCH(308, 輔助計算!$G$2:$G$801, 0)+1))&lt;=46.5,2,1)), IF(INDEX(ERP資料!$G:$G, (MATCH(308, 輔助計算!$G$2:$G$801, 0)+1))&lt;=790,3,IF(INDEX(ERP資料!$G:$G, (MATCH(308, 輔助計算!$G$2:$G$801, 0)+1))&lt;=1181,2,1))))=1,TEXT(INDEX(ERP資料!$G:$G, (MATCH(308, 輔助計算!$G$2:$G$801, 0)+1)),"0.##"),IF(MOD(INDEX(輔助計算!$D:$D, (MATCH(308, 輔助計算!$G$2:$G$801, 0)+1)),IF(INDEX(ERP資料!$G:$G, (MATCH(308, 輔助計算!$G$2:$G$801, 0)+1))&lt;100, IF(INDEX(ERP資料!$G:$G, (MATCH(308, 輔助計算!$G$2:$G$801, 0)+1))&lt;=31,3,IF(INDEX(ERP資料!$G:$G, (MATCH(308, 輔助計算!$G$2:$G$801, 0)+1))&lt;=46.5,2,1)), IF(INDEX(ERP資料!$G:$G, (MATCH(308, 輔助計算!$G$2:$G$801, 0)+1))&lt;=790,3,IF(INDEX(ERP資料!$G:$G, (MATCH(308, 輔助計算!$G$2:$G$801, 0)+1))&lt;=1181,2,1))))=2,TEXT(INDEX(ERP資料!$G:$G, (MATCH(308, 輔助計算!$G$2:$G$801, 0)+1)),"0.##")&amp;"+"&amp;TEXT(INDEX(ERP資料!$G:$G, (MATCH(308, 輔助計算!$G$2:$G$801, 0)+1)),"0.##"),TEXT(INDEX(ERP資料!$G:$G, (MATCH(308, 輔助計算!$G$2:$G$801, 0)+1)),"0.##")&amp;"+"&amp;TEXT(INDEX(ERP資料!$G:$G, (MATCH(308, 輔助計算!$G$2:$G$801, 0)+1)),"0.##")&amp;"+"&amp;TEXT(INDEX(ERP資料!$G:$G, (MATCH(308, 輔助計算!$G$2:$G$801, 0)+1)),"0.##"))))&amp;"-1")), ""), "")</f>
        <v/>
      </c>
      <c r="K309" s="16" t="n"/>
      <c r="L309" s="14">
        <f>IFERROR(IF(AND(IFERROR(INDEX(ERP資料!$A:$A, (MATCH(308, 輔助計算!$G$2:$G$801, 0)+1)), "")&lt;&gt;"", IFERROR(INDEX(ERP資料!$A:$A, (MATCH(308, 輔助計算!$G$2:$G$801, 0)+1)), "")&lt;&gt;IFERROR(INDEX(ERP資料!$A:$A, MATCH(307, 輔助計算!$G$2:$G$801, 0)+1), "")), INDEX(ERP資料!$B:$B, (MATCH(308, 輔助計算!$G$2:$G$801, 0)+1)), ""), "")</f>
        <v/>
      </c>
      <c r="M309" s="17" t="n"/>
    </row>
    <row r="310">
      <c r="A310" s="10">
        <f>IFERROR(IF(AND(IFERROR(INDEX(ERP資料!$A:$A, (MATCH(309, 輔助計算!$G$2:$G$801, 0)+1)), "")&lt;&gt;"", IFERROR(INDEX(ERP資料!$A:$A, (MATCH(309, 輔助計算!$G$2:$G$801, 0)+1)), "")&lt;&gt;IFERROR(INDEX(ERP資料!$A:$A, MATCH(308, 輔助計算!$G$2:$G$801, 0)+1), "")), IFERROR(INDEX(ERP資料!$A:$A, (MATCH(309, 輔助計算!$G$2:$G$801, 0)+1)), ""), ""), "")</f>
        <v/>
      </c>
      <c r="B310" s="10">
        <f>IFERROR(IF(AND(IFERROR(INDEX(ERP資料!$A:$A, (MATCH(309, 輔助計算!$G$2:$G$801, 0)+1)), "")&lt;&gt;"", IFERROR(INDEX(ERP資料!$A:$A, (MATCH(309, 輔助計算!$G$2:$G$801, 0)+1)), "")&lt;&gt;IFERROR(INDEX(ERP資料!$A:$A, MATCH(308, 輔助計算!$G$2:$G$801, 0)+1), "")), INDEX(ERP資料!$S:$S, (MATCH(309, 輔助計算!$G$2:$G$801, 0)+1)), ""), "")</f>
        <v/>
      </c>
      <c r="C310" s="19">
        <f>IFERROR(IF(AND(IFERROR(INDEX(ERP資料!$A:$A, (MATCH(309, 輔助計算!$G$2:$G$801, 0)+1)), "")&lt;&gt;"", IFERROR(INDEX(ERP資料!$A:$A, (MATCH(309, 輔助計算!$G$2:$G$801, 0)+1)), "")&lt;&gt;IFERROR(INDEX(ERP資料!$A:$A, MATCH(308, 輔助計算!$G$2:$G$801, 0)+1), "")), IFERROR(VLOOKUP(LEFT(INDEX(ERP資料!$S:$S, (MATCH(309, 輔助計算!$G$2:$G$801, 0)+1)), 4), 紙管對照表!$A:$C, 3, FALSE), ""), ""), "")</f>
        <v/>
      </c>
      <c r="D310" s="16" t="n"/>
      <c r="E310" s="10">
        <f>IFERROR(IF(INDEX(ERP資料!$H:$H, (MATCH(309, 輔助計算!$G$2:$G$801, 0)+1))="","",INDEX(ERP資料!$H:$H, (MATCH(309, 輔助計算!$G$2:$G$801, 0)+1))), "")</f>
        <v/>
      </c>
      <c r="F310" s="10">
        <f>IFERROR(IF(INDEX(ERP資料!$E:$E, (MATCH(309, 輔助計算!$G$2:$G$801, 0)+1))="","",TRIM(INDEX(ERP資料!$E:$E, (MATCH(309, 輔助計算!$G$2:$G$801, 0)+1)))), "")</f>
        <v/>
      </c>
      <c r="G310" s="10">
        <f>IFERROR(IF(INDEX(ERP資料!$F:$F, (MATCH(309, 輔助計算!$G$2:$G$801, 0)+1))="","",INDEX(ERP資料!$F:$F, (MATCH(309, 輔助計算!$G$2:$G$801, 0)+1))), "")</f>
        <v/>
      </c>
      <c r="H310" s="10">
        <f>IFERROR(IF(INDEX(ERP資料!$G:$G, (MATCH(309, 輔助計算!$G$2:$G$801, 0)+1))="","",INDEX(ERP資料!$G:$G, (MATCH(309, 輔助計算!$G$2:$G$801, 0)+1))), "")</f>
        <v/>
      </c>
      <c r="I310" s="15">
        <f>IFERROR(INDEX(輔助計算!$D:$D, (MATCH(309, 輔助計算!$G$2:$G$801, 0)+1)), "")</f>
        <v/>
      </c>
      <c r="J310" s="15">
        <f>IFERROR(IF(AND(INDEX(輔助計算!$D:$D, (MATCH(309, 輔助計算!$G$2:$G$801, 0)+1))&lt;&gt;"", INDEX(ERP資料!$G:$G, (MATCH(309, 輔助計算!$G$2:$G$801, 0)+1))&lt;&gt;""), TRIM(IF(INT(INDEX(輔助計算!$D:$D, (MATCH(309, 輔助計算!$G$2:$G$801, 0)+1))/IF(INDEX(ERP資料!$G:$G, (MATCH(309, 輔助計算!$G$2:$G$801, 0)+1))&lt;100, IF(INDEX(ERP資料!$G:$G, (MATCH(309, 輔助計算!$G$2:$G$801, 0)+1))&lt;=31,3,IF(INDEX(ERP資料!$G:$G, (MATCH(309, 輔助計算!$G$2:$G$801, 0)+1))&lt;=46.5,2,1)), IF(INDEX(ERP資料!$G:$G, (MATCH(309, 輔助計算!$G$2:$G$801, 0)+1))&lt;=790,3,IF(INDEX(ERP資料!$G:$G, (MATCH(309, 輔助計算!$G$2:$G$801, 0)+1))&lt;=1181,2,1))))&gt;0, IF(IF(INDEX(ERP資料!$G:$G, (MATCH(309, 輔助計算!$G$2:$G$801, 0)+1))&lt;100, IF(INDEX(ERP資料!$G:$G, (MATCH(309, 輔助計算!$G$2:$G$801, 0)+1))&lt;=31,3,IF(INDEX(ERP資料!$G:$G, (MATCH(309, 輔助計算!$G$2:$G$801, 0)+1))&lt;=46.5,2,1)), IF(INDEX(ERP資料!$G:$G, (MATCH(309, 輔助計算!$G$2:$G$801, 0)+1))&lt;=790,3,IF(INDEX(ERP資料!$G:$G, (MATCH(309, 輔助計算!$G$2:$G$801, 0)+1))&lt;=1181,2,1)))=1,TEXT(INDEX(ERP資料!$G:$G, (MATCH(309, 輔助計算!$G$2:$G$801, 0)+1)),"0.##"),IF(IF(INDEX(ERP資料!$G:$G, (MATCH(309, 輔助計算!$G$2:$G$801, 0)+1))&lt;100, IF(INDEX(ERP資料!$G:$G, (MATCH(309, 輔助計算!$G$2:$G$801, 0)+1))&lt;=31,3,IF(INDEX(ERP資料!$G:$G, (MATCH(309, 輔助計算!$G$2:$G$801, 0)+1))&lt;=46.5,2,1)), IF(INDEX(ERP資料!$G:$G, (MATCH(309, 輔助計算!$G$2:$G$801, 0)+1))&lt;=790,3,IF(INDEX(ERP資料!$G:$G, (MATCH(309, 輔助計算!$G$2:$G$801, 0)+1))&lt;=1181,2,1)))=2,TEXT(INDEX(ERP資料!$G:$G, (MATCH(309, 輔助計算!$G$2:$G$801, 0)+1)),"0.##")&amp;"+"&amp;TEXT(INDEX(ERP資料!$G:$G, (MATCH(309, 輔助計算!$G$2:$G$801, 0)+1)),"0.##"),TEXT(INDEX(ERP資料!$G:$G, (MATCH(309, 輔助計算!$G$2:$G$801, 0)+1)),"0.##")&amp;"+"&amp;TEXT(INDEX(ERP資料!$G:$G, (MATCH(309, 輔助計算!$G$2:$G$801, 0)+1)),"0.##")&amp;"+"&amp;TEXT(INDEX(ERP資料!$G:$G, (MATCH(309, 輔助計算!$G$2:$G$801, 0)+1)),"0.##")))&amp;"-"&amp;INT(INDEX(輔助計算!$D:$D, (MATCH(309, 輔助計算!$G$2:$G$801, 0)+1))/IF(INDEX(ERP資料!$G:$G, (MATCH(309, 輔助計算!$G$2:$G$801, 0)+1))&lt;100, IF(INDEX(ERP資料!$G:$G, (MATCH(309, 輔助計算!$G$2:$G$801, 0)+1))&lt;=31,3,IF(INDEX(ERP資料!$G:$G, (MATCH(309, 輔助計算!$G$2:$G$801, 0)+1))&lt;=46.5,2,1)), IF(INDEX(ERP資料!$G:$G, (MATCH(309, 輔助計算!$G$2:$G$801, 0)+1))&lt;=790,3,IF(INDEX(ERP資料!$G:$G, (MATCH(309, 輔助計算!$G$2:$G$801, 0)+1))&lt;=1181,2,1)))), "")&amp;IF(AND(IF(INT(INDEX(輔助計算!$D:$D, (MATCH(309, 輔助計算!$G$2:$G$801, 0)+1))/IF(INDEX(ERP資料!$G:$G, (MATCH(309, 輔助計算!$G$2:$G$801, 0)+1))&lt;100, IF(INDEX(ERP資料!$G:$G, (MATCH(309, 輔助計算!$G$2:$G$801, 0)+1))&lt;=31,3,IF(INDEX(ERP資料!$G:$G, (MATCH(309, 輔助計算!$G$2:$G$801, 0)+1))&lt;=46.5,2,1)), IF(INDEX(ERP資料!$G:$G, (MATCH(309, 輔助計算!$G$2:$G$801, 0)+1))&lt;=790,3,IF(INDEX(ERP資料!$G:$G, (MATCH(309, 輔助計算!$G$2:$G$801, 0)+1))&lt;=1181,2,1))))&gt;0, IF(IF(INDEX(ERP資料!$G:$G, (MATCH(309, 輔助計算!$G$2:$G$801, 0)+1))&lt;100, IF(INDEX(ERP資料!$G:$G, (MATCH(309, 輔助計算!$G$2:$G$801, 0)+1))&lt;=31,3,IF(INDEX(ERP資料!$G:$G, (MATCH(309, 輔助計算!$G$2:$G$801, 0)+1))&lt;=46.5,2,1)), IF(INDEX(ERP資料!$G:$G, (MATCH(309, 輔助計算!$G$2:$G$801, 0)+1))&lt;=790,3,IF(INDEX(ERP資料!$G:$G, (MATCH(309, 輔助計算!$G$2:$G$801, 0)+1))&lt;=1181,2,1)))=1,TEXT(INDEX(ERP資料!$G:$G, (MATCH(309, 輔助計算!$G$2:$G$801, 0)+1)),"0.##"),IF(IF(INDEX(ERP資料!$G:$G, (MATCH(309, 輔助計算!$G$2:$G$801, 0)+1))&lt;100, IF(INDEX(ERP資料!$G:$G, (MATCH(309, 輔助計算!$G$2:$G$801, 0)+1))&lt;=31,3,IF(INDEX(ERP資料!$G:$G, (MATCH(309, 輔助計算!$G$2:$G$801, 0)+1))&lt;=46.5,2,1)), IF(INDEX(ERP資料!$G:$G, (MATCH(309, 輔助計算!$G$2:$G$801, 0)+1))&lt;=790,3,IF(INDEX(ERP資料!$G:$G, (MATCH(309, 輔助計算!$G$2:$G$801, 0)+1))&lt;=1181,2,1)))=2,TEXT(INDEX(ERP資料!$G:$G, (MATCH(309, 輔助計算!$G$2:$G$801, 0)+1)),"0.##")&amp;"+"&amp;TEXT(INDEX(ERP資料!$G:$G, (MATCH(309, 輔助計算!$G$2:$G$801, 0)+1)),"0.##"),TEXT(INDEX(ERP資料!$G:$G, (MATCH(309, 輔助計算!$G$2:$G$801, 0)+1)),"0.##")&amp;"+"&amp;TEXT(INDEX(ERP資料!$G:$G, (MATCH(309, 輔助計算!$G$2:$G$801, 0)+1)),"0.##")&amp;"+"&amp;TEXT(INDEX(ERP資料!$G:$G, (MATCH(309, 輔助計算!$G$2:$G$801, 0)+1)),"0.##")))&amp;"-"&amp;INT(INDEX(輔助計算!$D:$D, (MATCH(309, 輔助計算!$G$2:$G$801, 0)+1))/IF(INDEX(ERP資料!$G:$G, (MATCH(309, 輔助計算!$G$2:$G$801, 0)+1))&lt;100, IF(INDEX(ERP資料!$G:$G, (MATCH(309, 輔助計算!$G$2:$G$801, 0)+1))&lt;=31,3,IF(INDEX(ERP資料!$G:$G, (MATCH(309, 輔助計算!$G$2:$G$801, 0)+1))&lt;=46.5,2,1)), IF(INDEX(ERP資料!$G:$G, (MATCH(309, 輔助計算!$G$2:$G$801, 0)+1))&lt;=790,3,IF(INDEX(ERP資料!$G:$G, (MATCH(309, 輔助計算!$G$2:$G$801, 0)+1))&lt;=1181,2,1)))), "")&lt;&gt;"",IF(MOD(INDEX(輔助計算!$D:$D, (MATCH(309, 輔助計算!$G$2:$G$801, 0)+1)),IF(INDEX(ERP資料!$G:$G, (MATCH(309, 輔助計算!$G$2:$G$801, 0)+1))&lt;100, IF(INDEX(ERP資料!$G:$G, (MATCH(309, 輔助計算!$G$2:$G$801, 0)+1))&lt;=31,3,IF(INDEX(ERP資料!$G:$G, (MATCH(309, 輔助計算!$G$2:$G$801, 0)+1))&lt;=46.5,2,1)), IF(INDEX(ERP資料!$G:$G, (MATCH(309, 輔助計算!$G$2:$G$801, 0)+1))&lt;=790,3,IF(INDEX(ERP資料!$G:$G, (MATCH(309, 輔助計算!$G$2:$G$801, 0)+1))&lt;=1181,2,1))))=0,"",IF(MOD(INDEX(輔助計算!$D:$D, (MATCH(309, 輔助計算!$G$2:$G$801, 0)+1)),IF(INDEX(ERP資料!$G:$G, (MATCH(309, 輔助計算!$G$2:$G$801, 0)+1))&lt;100, IF(INDEX(ERP資料!$G:$G, (MATCH(309, 輔助計算!$G$2:$G$801, 0)+1))&lt;=31,3,IF(INDEX(ERP資料!$G:$G, (MATCH(309, 輔助計算!$G$2:$G$801, 0)+1))&lt;=46.5,2,1)), IF(INDEX(ERP資料!$G:$G, (MATCH(309, 輔助計算!$G$2:$G$801, 0)+1))&lt;=790,3,IF(INDEX(ERP資料!$G:$G, (MATCH(309, 輔助計算!$G$2:$G$801, 0)+1))&lt;=1181,2,1))))=0,"",IF(MOD(INDEX(輔助計算!$D:$D, (MATCH(309, 輔助計算!$G$2:$G$801, 0)+1)),IF(INDEX(ERP資料!$G:$G, (MATCH(309, 輔助計算!$G$2:$G$801, 0)+1))&lt;100, IF(INDEX(ERP資料!$G:$G, (MATCH(309, 輔助計算!$G$2:$G$801, 0)+1))&lt;=31,3,IF(INDEX(ERP資料!$G:$G, (MATCH(309, 輔助計算!$G$2:$G$801, 0)+1))&lt;=46.5,2,1)), IF(INDEX(ERP資料!$G:$G, (MATCH(309, 輔助計算!$G$2:$G$801, 0)+1))&lt;=790,3,IF(INDEX(ERP資料!$G:$G, (MATCH(309, 輔助計算!$G$2:$G$801, 0)+1))&lt;=1181,2,1))))=1,TEXT(INDEX(ERP資料!$G:$G, (MATCH(309, 輔助計算!$G$2:$G$801, 0)+1)),"0.##"),IF(MOD(INDEX(輔助計算!$D:$D, (MATCH(309, 輔助計算!$G$2:$G$801, 0)+1)),IF(INDEX(ERP資料!$G:$G, (MATCH(309, 輔助計算!$G$2:$G$801, 0)+1))&lt;100, IF(INDEX(ERP資料!$G:$G, (MATCH(309, 輔助計算!$G$2:$G$801, 0)+1))&lt;=31,3,IF(INDEX(ERP資料!$G:$G, (MATCH(309, 輔助計算!$G$2:$G$801, 0)+1))&lt;=46.5,2,1)), IF(INDEX(ERP資料!$G:$G, (MATCH(309, 輔助計算!$G$2:$G$801, 0)+1))&lt;=790,3,IF(INDEX(ERP資料!$G:$G, (MATCH(309, 輔助計算!$G$2:$G$801, 0)+1))&lt;=1181,2,1))))=2,TEXT(INDEX(ERP資料!$G:$G, (MATCH(309, 輔助計算!$G$2:$G$801, 0)+1)),"0.##")&amp;"+"&amp;TEXT(INDEX(ERP資料!$G:$G, (MATCH(309, 輔助計算!$G$2:$G$801, 0)+1)),"0.##"),TEXT(INDEX(ERP資料!$G:$G, (MATCH(309, 輔助計算!$G$2:$G$801, 0)+1)),"0.##")&amp;"+"&amp;TEXT(INDEX(ERP資料!$G:$G, (MATCH(309, 輔助計算!$G$2:$G$801, 0)+1)),"0.##")&amp;"+"&amp;TEXT(INDEX(ERP資料!$G:$G, (MATCH(309, 輔助計算!$G$2:$G$801, 0)+1)),"0.##"))))&amp;"-1")&lt;&gt;""),"  ","")&amp;IF(MOD(INDEX(輔助計算!$D:$D, (MATCH(309, 輔助計算!$G$2:$G$801, 0)+1)),IF(INDEX(ERP資料!$G:$G, (MATCH(309, 輔助計算!$G$2:$G$801, 0)+1))&lt;100, IF(INDEX(ERP資料!$G:$G, (MATCH(309, 輔助計算!$G$2:$G$801, 0)+1))&lt;=31,3,IF(INDEX(ERP資料!$G:$G, (MATCH(309, 輔助計算!$G$2:$G$801, 0)+1))&lt;=46.5,2,1)), IF(INDEX(ERP資料!$G:$G, (MATCH(309, 輔助計算!$G$2:$G$801, 0)+1))&lt;=790,3,IF(INDEX(ERP資料!$G:$G, (MATCH(309, 輔助計算!$G$2:$G$801, 0)+1))&lt;=1181,2,1))))=0,"",IF(MOD(INDEX(輔助計算!$D:$D, (MATCH(309, 輔助計算!$G$2:$G$801, 0)+1)),IF(INDEX(ERP資料!$G:$G, (MATCH(309, 輔助計算!$G$2:$G$801, 0)+1))&lt;100, IF(INDEX(ERP資料!$G:$G, (MATCH(309, 輔助計算!$G$2:$G$801, 0)+1))&lt;=31,3,IF(INDEX(ERP資料!$G:$G, (MATCH(309, 輔助計算!$G$2:$G$801, 0)+1))&lt;=46.5,2,1)), IF(INDEX(ERP資料!$G:$G, (MATCH(309, 輔助計算!$G$2:$G$801, 0)+1))&lt;=790,3,IF(INDEX(ERP資料!$G:$G, (MATCH(309, 輔助計算!$G$2:$G$801, 0)+1))&lt;=1181,2,1))))=0,"",IF(MOD(INDEX(輔助計算!$D:$D, (MATCH(309, 輔助計算!$G$2:$G$801, 0)+1)),IF(INDEX(ERP資料!$G:$G, (MATCH(309, 輔助計算!$G$2:$G$801, 0)+1))&lt;100, IF(INDEX(ERP資料!$G:$G, (MATCH(309, 輔助計算!$G$2:$G$801, 0)+1))&lt;=31,3,IF(INDEX(ERP資料!$G:$G, (MATCH(309, 輔助計算!$G$2:$G$801, 0)+1))&lt;=46.5,2,1)), IF(INDEX(ERP資料!$G:$G, (MATCH(309, 輔助計算!$G$2:$G$801, 0)+1))&lt;=790,3,IF(INDEX(ERP資料!$G:$G, (MATCH(309, 輔助計算!$G$2:$G$801, 0)+1))&lt;=1181,2,1))))=1,TEXT(INDEX(ERP資料!$G:$G, (MATCH(309, 輔助計算!$G$2:$G$801, 0)+1)),"0.##"),IF(MOD(INDEX(輔助計算!$D:$D, (MATCH(309, 輔助計算!$G$2:$G$801, 0)+1)),IF(INDEX(ERP資料!$G:$G, (MATCH(309, 輔助計算!$G$2:$G$801, 0)+1))&lt;100, IF(INDEX(ERP資料!$G:$G, (MATCH(309, 輔助計算!$G$2:$G$801, 0)+1))&lt;=31,3,IF(INDEX(ERP資料!$G:$G, (MATCH(309, 輔助計算!$G$2:$G$801, 0)+1))&lt;=46.5,2,1)), IF(INDEX(ERP資料!$G:$G, (MATCH(309, 輔助計算!$G$2:$G$801, 0)+1))&lt;=790,3,IF(INDEX(ERP資料!$G:$G, (MATCH(309, 輔助計算!$G$2:$G$801, 0)+1))&lt;=1181,2,1))))=2,TEXT(INDEX(ERP資料!$G:$G, (MATCH(309, 輔助計算!$G$2:$G$801, 0)+1)),"0.##")&amp;"+"&amp;TEXT(INDEX(ERP資料!$G:$G, (MATCH(309, 輔助計算!$G$2:$G$801, 0)+1)),"0.##"),TEXT(INDEX(ERP資料!$G:$G, (MATCH(309, 輔助計算!$G$2:$G$801, 0)+1)),"0.##")&amp;"+"&amp;TEXT(INDEX(ERP資料!$G:$G, (MATCH(309, 輔助計算!$G$2:$G$801, 0)+1)),"0.##")&amp;"+"&amp;TEXT(INDEX(ERP資料!$G:$G, (MATCH(309, 輔助計算!$G$2:$G$801, 0)+1)),"0.##"))))&amp;"-1")), ""), "")</f>
        <v/>
      </c>
      <c r="K310" s="16" t="n"/>
      <c r="L310" s="14">
        <f>IFERROR(IF(AND(IFERROR(INDEX(ERP資料!$A:$A, (MATCH(309, 輔助計算!$G$2:$G$801, 0)+1)), "")&lt;&gt;"", IFERROR(INDEX(ERP資料!$A:$A, (MATCH(309, 輔助計算!$G$2:$G$801, 0)+1)), "")&lt;&gt;IFERROR(INDEX(ERP資料!$A:$A, MATCH(308, 輔助計算!$G$2:$G$801, 0)+1), "")), INDEX(ERP資料!$B:$B, (MATCH(309, 輔助計算!$G$2:$G$801, 0)+1)), ""), "")</f>
        <v/>
      </c>
      <c r="M310" s="17" t="n"/>
    </row>
    <row r="311">
      <c r="A311" s="10">
        <f>IFERROR(IF(AND(IFERROR(INDEX(ERP資料!$A:$A, (MATCH(310, 輔助計算!$G$2:$G$801, 0)+1)), "")&lt;&gt;"", IFERROR(INDEX(ERP資料!$A:$A, (MATCH(310, 輔助計算!$G$2:$G$801, 0)+1)), "")&lt;&gt;IFERROR(INDEX(ERP資料!$A:$A, MATCH(309, 輔助計算!$G$2:$G$801, 0)+1), "")), IFERROR(INDEX(ERP資料!$A:$A, (MATCH(310, 輔助計算!$G$2:$G$801, 0)+1)), ""), ""), "")</f>
        <v/>
      </c>
      <c r="B311" s="10">
        <f>IFERROR(IF(AND(IFERROR(INDEX(ERP資料!$A:$A, (MATCH(310, 輔助計算!$G$2:$G$801, 0)+1)), "")&lt;&gt;"", IFERROR(INDEX(ERP資料!$A:$A, (MATCH(310, 輔助計算!$G$2:$G$801, 0)+1)), "")&lt;&gt;IFERROR(INDEX(ERP資料!$A:$A, MATCH(309, 輔助計算!$G$2:$G$801, 0)+1), "")), INDEX(ERP資料!$S:$S, (MATCH(310, 輔助計算!$G$2:$G$801, 0)+1)), ""), "")</f>
        <v/>
      </c>
      <c r="C311" s="19">
        <f>IFERROR(IF(AND(IFERROR(INDEX(ERP資料!$A:$A, (MATCH(310, 輔助計算!$G$2:$G$801, 0)+1)), "")&lt;&gt;"", IFERROR(INDEX(ERP資料!$A:$A, (MATCH(310, 輔助計算!$G$2:$G$801, 0)+1)), "")&lt;&gt;IFERROR(INDEX(ERP資料!$A:$A, MATCH(309, 輔助計算!$G$2:$G$801, 0)+1), "")), IFERROR(VLOOKUP(LEFT(INDEX(ERP資料!$S:$S, (MATCH(310, 輔助計算!$G$2:$G$801, 0)+1)), 4), 紙管對照表!$A:$C, 3, FALSE), ""), ""), "")</f>
        <v/>
      </c>
      <c r="D311" s="16" t="n"/>
      <c r="E311" s="10">
        <f>IFERROR(IF(INDEX(ERP資料!$H:$H, (MATCH(310, 輔助計算!$G$2:$G$801, 0)+1))="","",INDEX(ERP資料!$H:$H, (MATCH(310, 輔助計算!$G$2:$G$801, 0)+1))), "")</f>
        <v/>
      </c>
      <c r="F311" s="10">
        <f>IFERROR(IF(INDEX(ERP資料!$E:$E, (MATCH(310, 輔助計算!$G$2:$G$801, 0)+1))="","",TRIM(INDEX(ERP資料!$E:$E, (MATCH(310, 輔助計算!$G$2:$G$801, 0)+1)))), "")</f>
        <v/>
      </c>
      <c r="G311" s="10">
        <f>IFERROR(IF(INDEX(ERP資料!$F:$F, (MATCH(310, 輔助計算!$G$2:$G$801, 0)+1))="","",INDEX(ERP資料!$F:$F, (MATCH(310, 輔助計算!$G$2:$G$801, 0)+1))), "")</f>
        <v/>
      </c>
      <c r="H311" s="10">
        <f>IFERROR(IF(INDEX(ERP資料!$G:$G, (MATCH(310, 輔助計算!$G$2:$G$801, 0)+1))="","",INDEX(ERP資料!$G:$G, (MATCH(310, 輔助計算!$G$2:$G$801, 0)+1))), "")</f>
        <v/>
      </c>
      <c r="I311" s="15">
        <f>IFERROR(INDEX(輔助計算!$D:$D, (MATCH(310, 輔助計算!$G$2:$G$801, 0)+1)), "")</f>
        <v/>
      </c>
      <c r="J311" s="15">
        <f>IFERROR(IF(AND(INDEX(輔助計算!$D:$D, (MATCH(310, 輔助計算!$G$2:$G$801, 0)+1))&lt;&gt;"", INDEX(ERP資料!$G:$G, (MATCH(310, 輔助計算!$G$2:$G$801, 0)+1))&lt;&gt;""), TRIM(IF(INT(INDEX(輔助計算!$D:$D, (MATCH(310, 輔助計算!$G$2:$G$801, 0)+1))/IF(INDEX(ERP資料!$G:$G, (MATCH(310, 輔助計算!$G$2:$G$801, 0)+1))&lt;100, IF(INDEX(ERP資料!$G:$G, (MATCH(310, 輔助計算!$G$2:$G$801, 0)+1))&lt;=31,3,IF(INDEX(ERP資料!$G:$G, (MATCH(310, 輔助計算!$G$2:$G$801, 0)+1))&lt;=46.5,2,1)), IF(INDEX(ERP資料!$G:$G, (MATCH(310, 輔助計算!$G$2:$G$801, 0)+1))&lt;=790,3,IF(INDEX(ERP資料!$G:$G, (MATCH(310, 輔助計算!$G$2:$G$801, 0)+1))&lt;=1181,2,1))))&gt;0, IF(IF(INDEX(ERP資料!$G:$G, (MATCH(310, 輔助計算!$G$2:$G$801, 0)+1))&lt;100, IF(INDEX(ERP資料!$G:$G, (MATCH(310, 輔助計算!$G$2:$G$801, 0)+1))&lt;=31,3,IF(INDEX(ERP資料!$G:$G, (MATCH(310, 輔助計算!$G$2:$G$801, 0)+1))&lt;=46.5,2,1)), IF(INDEX(ERP資料!$G:$G, (MATCH(310, 輔助計算!$G$2:$G$801, 0)+1))&lt;=790,3,IF(INDEX(ERP資料!$G:$G, (MATCH(310, 輔助計算!$G$2:$G$801, 0)+1))&lt;=1181,2,1)))=1,TEXT(INDEX(ERP資料!$G:$G, (MATCH(310, 輔助計算!$G$2:$G$801, 0)+1)),"0.##"),IF(IF(INDEX(ERP資料!$G:$G, (MATCH(310, 輔助計算!$G$2:$G$801, 0)+1))&lt;100, IF(INDEX(ERP資料!$G:$G, (MATCH(310, 輔助計算!$G$2:$G$801, 0)+1))&lt;=31,3,IF(INDEX(ERP資料!$G:$G, (MATCH(310, 輔助計算!$G$2:$G$801, 0)+1))&lt;=46.5,2,1)), IF(INDEX(ERP資料!$G:$G, (MATCH(310, 輔助計算!$G$2:$G$801, 0)+1))&lt;=790,3,IF(INDEX(ERP資料!$G:$G, (MATCH(310, 輔助計算!$G$2:$G$801, 0)+1))&lt;=1181,2,1)))=2,TEXT(INDEX(ERP資料!$G:$G, (MATCH(310, 輔助計算!$G$2:$G$801, 0)+1)),"0.##")&amp;"+"&amp;TEXT(INDEX(ERP資料!$G:$G, (MATCH(310, 輔助計算!$G$2:$G$801, 0)+1)),"0.##"),TEXT(INDEX(ERP資料!$G:$G, (MATCH(310, 輔助計算!$G$2:$G$801, 0)+1)),"0.##")&amp;"+"&amp;TEXT(INDEX(ERP資料!$G:$G, (MATCH(310, 輔助計算!$G$2:$G$801, 0)+1)),"0.##")&amp;"+"&amp;TEXT(INDEX(ERP資料!$G:$G, (MATCH(310, 輔助計算!$G$2:$G$801, 0)+1)),"0.##")))&amp;"-"&amp;INT(INDEX(輔助計算!$D:$D, (MATCH(310, 輔助計算!$G$2:$G$801, 0)+1))/IF(INDEX(ERP資料!$G:$G, (MATCH(310, 輔助計算!$G$2:$G$801, 0)+1))&lt;100, IF(INDEX(ERP資料!$G:$G, (MATCH(310, 輔助計算!$G$2:$G$801, 0)+1))&lt;=31,3,IF(INDEX(ERP資料!$G:$G, (MATCH(310, 輔助計算!$G$2:$G$801, 0)+1))&lt;=46.5,2,1)), IF(INDEX(ERP資料!$G:$G, (MATCH(310, 輔助計算!$G$2:$G$801, 0)+1))&lt;=790,3,IF(INDEX(ERP資料!$G:$G, (MATCH(310, 輔助計算!$G$2:$G$801, 0)+1))&lt;=1181,2,1)))), "")&amp;IF(AND(IF(INT(INDEX(輔助計算!$D:$D, (MATCH(310, 輔助計算!$G$2:$G$801, 0)+1))/IF(INDEX(ERP資料!$G:$G, (MATCH(310, 輔助計算!$G$2:$G$801, 0)+1))&lt;100, IF(INDEX(ERP資料!$G:$G, (MATCH(310, 輔助計算!$G$2:$G$801, 0)+1))&lt;=31,3,IF(INDEX(ERP資料!$G:$G, (MATCH(310, 輔助計算!$G$2:$G$801, 0)+1))&lt;=46.5,2,1)), IF(INDEX(ERP資料!$G:$G, (MATCH(310, 輔助計算!$G$2:$G$801, 0)+1))&lt;=790,3,IF(INDEX(ERP資料!$G:$G, (MATCH(310, 輔助計算!$G$2:$G$801, 0)+1))&lt;=1181,2,1))))&gt;0, IF(IF(INDEX(ERP資料!$G:$G, (MATCH(310, 輔助計算!$G$2:$G$801, 0)+1))&lt;100, IF(INDEX(ERP資料!$G:$G, (MATCH(310, 輔助計算!$G$2:$G$801, 0)+1))&lt;=31,3,IF(INDEX(ERP資料!$G:$G, (MATCH(310, 輔助計算!$G$2:$G$801, 0)+1))&lt;=46.5,2,1)), IF(INDEX(ERP資料!$G:$G, (MATCH(310, 輔助計算!$G$2:$G$801, 0)+1))&lt;=790,3,IF(INDEX(ERP資料!$G:$G, (MATCH(310, 輔助計算!$G$2:$G$801, 0)+1))&lt;=1181,2,1)))=1,TEXT(INDEX(ERP資料!$G:$G, (MATCH(310, 輔助計算!$G$2:$G$801, 0)+1)),"0.##"),IF(IF(INDEX(ERP資料!$G:$G, (MATCH(310, 輔助計算!$G$2:$G$801, 0)+1))&lt;100, IF(INDEX(ERP資料!$G:$G, (MATCH(310, 輔助計算!$G$2:$G$801, 0)+1))&lt;=31,3,IF(INDEX(ERP資料!$G:$G, (MATCH(310, 輔助計算!$G$2:$G$801, 0)+1))&lt;=46.5,2,1)), IF(INDEX(ERP資料!$G:$G, (MATCH(310, 輔助計算!$G$2:$G$801, 0)+1))&lt;=790,3,IF(INDEX(ERP資料!$G:$G, (MATCH(310, 輔助計算!$G$2:$G$801, 0)+1))&lt;=1181,2,1)))=2,TEXT(INDEX(ERP資料!$G:$G, (MATCH(310, 輔助計算!$G$2:$G$801, 0)+1)),"0.##")&amp;"+"&amp;TEXT(INDEX(ERP資料!$G:$G, (MATCH(310, 輔助計算!$G$2:$G$801, 0)+1)),"0.##"),TEXT(INDEX(ERP資料!$G:$G, (MATCH(310, 輔助計算!$G$2:$G$801, 0)+1)),"0.##")&amp;"+"&amp;TEXT(INDEX(ERP資料!$G:$G, (MATCH(310, 輔助計算!$G$2:$G$801, 0)+1)),"0.##")&amp;"+"&amp;TEXT(INDEX(ERP資料!$G:$G, (MATCH(310, 輔助計算!$G$2:$G$801, 0)+1)),"0.##")))&amp;"-"&amp;INT(INDEX(輔助計算!$D:$D, (MATCH(310, 輔助計算!$G$2:$G$801, 0)+1))/IF(INDEX(ERP資料!$G:$G, (MATCH(310, 輔助計算!$G$2:$G$801, 0)+1))&lt;100, IF(INDEX(ERP資料!$G:$G, (MATCH(310, 輔助計算!$G$2:$G$801, 0)+1))&lt;=31,3,IF(INDEX(ERP資料!$G:$G, (MATCH(310, 輔助計算!$G$2:$G$801, 0)+1))&lt;=46.5,2,1)), IF(INDEX(ERP資料!$G:$G, (MATCH(310, 輔助計算!$G$2:$G$801, 0)+1))&lt;=790,3,IF(INDEX(ERP資料!$G:$G, (MATCH(310, 輔助計算!$G$2:$G$801, 0)+1))&lt;=1181,2,1)))), "")&lt;&gt;"",IF(MOD(INDEX(輔助計算!$D:$D, (MATCH(310, 輔助計算!$G$2:$G$801, 0)+1)),IF(INDEX(ERP資料!$G:$G, (MATCH(310, 輔助計算!$G$2:$G$801, 0)+1))&lt;100, IF(INDEX(ERP資料!$G:$G, (MATCH(310, 輔助計算!$G$2:$G$801, 0)+1))&lt;=31,3,IF(INDEX(ERP資料!$G:$G, (MATCH(310, 輔助計算!$G$2:$G$801, 0)+1))&lt;=46.5,2,1)), IF(INDEX(ERP資料!$G:$G, (MATCH(310, 輔助計算!$G$2:$G$801, 0)+1))&lt;=790,3,IF(INDEX(ERP資料!$G:$G, (MATCH(310, 輔助計算!$G$2:$G$801, 0)+1))&lt;=1181,2,1))))=0,"",IF(MOD(INDEX(輔助計算!$D:$D, (MATCH(310, 輔助計算!$G$2:$G$801, 0)+1)),IF(INDEX(ERP資料!$G:$G, (MATCH(310, 輔助計算!$G$2:$G$801, 0)+1))&lt;100, IF(INDEX(ERP資料!$G:$G, (MATCH(310, 輔助計算!$G$2:$G$801, 0)+1))&lt;=31,3,IF(INDEX(ERP資料!$G:$G, (MATCH(310, 輔助計算!$G$2:$G$801, 0)+1))&lt;=46.5,2,1)), IF(INDEX(ERP資料!$G:$G, (MATCH(310, 輔助計算!$G$2:$G$801, 0)+1))&lt;=790,3,IF(INDEX(ERP資料!$G:$G, (MATCH(310, 輔助計算!$G$2:$G$801, 0)+1))&lt;=1181,2,1))))=0,"",IF(MOD(INDEX(輔助計算!$D:$D, (MATCH(310, 輔助計算!$G$2:$G$801, 0)+1)),IF(INDEX(ERP資料!$G:$G, (MATCH(310, 輔助計算!$G$2:$G$801, 0)+1))&lt;100, IF(INDEX(ERP資料!$G:$G, (MATCH(310, 輔助計算!$G$2:$G$801, 0)+1))&lt;=31,3,IF(INDEX(ERP資料!$G:$G, (MATCH(310, 輔助計算!$G$2:$G$801, 0)+1))&lt;=46.5,2,1)), IF(INDEX(ERP資料!$G:$G, (MATCH(310, 輔助計算!$G$2:$G$801, 0)+1))&lt;=790,3,IF(INDEX(ERP資料!$G:$G, (MATCH(310, 輔助計算!$G$2:$G$801, 0)+1))&lt;=1181,2,1))))=1,TEXT(INDEX(ERP資料!$G:$G, (MATCH(310, 輔助計算!$G$2:$G$801, 0)+1)),"0.##"),IF(MOD(INDEX(輔助計算!$D:$D, (MATCH(310, 輔助計算!$G$2:$G$801, 0)+1)),IF(INDEX(ERP資料!$G:$G, (MATCH(310, 輔助計算!$G$2:$G$801, 0)+1))&lt;100, IF(INDEX(ERP資料!$G:$G, (MATCH(310, 輔助計算!$G$2:$G$801, 0)+1))&lt;=31,3,IF(INDEX(ERP資料!$G:$G, (MATCH(310, 輔助計算!$G$2:$G$801, 0)+1))&lt;=46.5,2,1)), IF(INDEX(ERP資料!$G:$G, (MATCH(310, 輔助計算!$G$2:$G$801, 0)+1))&lt;=790,3,IF(INDEX(ERP資料!$G:$G, (MATCH(310, 輔助計算!$G$2:$G$801, 0)+1))&lt;=1181,2,1))))=2,TEXT(INDEX(ERP資料!$G:$G, (MATCH(310, 輔助計算!$G$2:$G$801, 0)+1)),"0.##")&amp;"+"&amp;TEXT(INDEX(ERP資料!$G:$G, (MATCH(310, 輔助計算!$G$2:$G$801, 0)+1)),"0.##"),TEXT(INDEX(ERP資料!$G:$G, (MATCH(310, 輔助計算!$G$2:$G$801, 0)+1)),"0.##")&amp;"+"&amp;TEXT(INDEX(ERP資料!$G:$G, (MATCH(310, 輔助計算!$G$2:$G$801, 0)+1)),"0.##")&amp;"+"&amp;TEXT(INDEX(ERP資料!$G:$G, (MATCH(310, 輔助計算!$G$2:$G$801, 0)+1)),"0.##"))))&amp;"-1")&lt;&gt;""),"  ","")&amp;IF(MOD(INDEX(輔助計算!$D:$D, (MATCH(310, 輔助計算!$G$2:$G$801, 0)+1)),IF(INDEX(ERP資料!$G:$G, (MATCH(310, 輔助計算!$G$2:$G$801, 0)+1))&lt;100, IF(INDEX(ERP資料!$G:$G, (MATCH(310, 輔助計算!$G$2:$G$801, 0)+1))&lt;=31,3,IF(INDEX(ERP資料!$G:$G, (MATCH(310, 輔助計算!$G$2:$G$801, 0)+1))&lt;=46.5,2,1)), IF(INDEX(ERP資料!$G:$G, (MATCH(310, 輔助計算!$G$2:$G$801, 0)+1))&lt;=790,3,IF(INDEX(ERP資料!$G:$G, (MATCH(310, 輔助計算!$G$2:$G$801, 0)+1))&lt;=1181,2,1))))=0,"",IF(MOD(INDEX(輔助計算!$D:$D, (MATCH(310, 輔助計算!$G$2:$G$801, 0)+1)),IF(INDEX(ERP資料!$G:$G, (MATCH(310, 輔助計算!$G$2:$G$801, 0)+1))&lt;100, IF(INDEX(ERP資料!$G:$G, (MATCH(310, 輔助計算!$G$2:$G$801, 0)+1))&lt;=31,3,IF(INDEX(ERP資料!$G:$G, (MATCH(310, 輔助計算!$G$2:$G$801, 0)+1))&lt;=46.5,2,1)), IF(INDEX(ERP資料!$G:$G, (MATCH(310, 輔助計算!$G$2:$G$801, 0)+1))&lt;=790,3,IF(INDEX(ERP資料!$G:$G, (MATCH(310, 輔助計算!$G$2:$G$801, 0)+1))&lt;=1181,2,1))))=0,"",IF(MOD(INDEX(輔助計算!$D:$D, (MATCH(310, 輔助計算!$G$2:$G$801, 0)+1)),IF(INDEX(ERP資料!$G:$G, (MATCH(310, 輔助計算!$G$2:$G$801, 0)+1))&lt;100, IF(INDEX(ERP資料!$G:$G, (MATCH(310, 輔助計算!$G$2:$G$801, 0)+1))&lt;=31,3,IF(INDEX(ERP資料!$G:$G, (MATCH(310, 輔助計算!$G$2:$G$801, 0)+1))&lt;=46.5,2,1)), IF(INDEX(ERP資料!$G:$G, (MATCH(310, 輔助計算!$G$2:$G$801, 0)+1))&lt;=790,3,IF(INDEX(ERP資料!$G:$G, (MATCH(310, 輔助計算!$G$2:$G$801, 0)+1))&lt;=1181,2,1))))=1,TEXT(INDEX(ERP資料!$G:$G, (MATCH(310, 輔助計算!$G$2:$G$801, 0)+1)),"0.##"),IF(MOD(INDEX(輔助計算!$D:$D, (MATCH(310, 輔助計算!$G$2:$G$801, 0)+1)),IF(INDEX(ERP資料!$G:$G, (MATCH(310, 輔助計算!$G$2:$G$801, 0)+1))&lt;100, IF(INDEX(ERP資料!$G:$G, (MATCH(310, 輔助計算!$G$2:$G$801, 0)+1))&lt;=31,3,IF(INDEX(ERP資料!$G:$G, (MATCH(310, 輔助計算!$G$2:$G$801, 0)+1))&lt;=46.5,2,1)), IF(INDEX(ERP資料!$G:$G, (MATCH(310, 輔助計算!$G$2:$G$801, 0)+1))&lt;=790,3,IF(INDEX(ERP資料!$G:$G, (MATCH(310, 輔助計算!$G$2:$G$801, 0)+1))&lt;=1181,2,1))))=2,TEXT(INDEX(ERP資料!$G:$G, (MATCH(310, 輔助計算!$G$2:$G$801, 0)+1)),"0.##")&amp;"+"&amp;TEXT(INDEX(ERP資料!$G:$G, (MATCH(310, 輔助計算!$G$2:$G$801, 0)+1)),"0.##"),TEXT(INDEX(ERP資料!$G:$G, (MATCH(310, 輔助計算!$G$2:$G$801, 0)+1)),"0.##")&amp;"+"&amp;TEXT(INDEX(ERP資料!$G:$G, (MATCH(310, 輔助計算!$G$2:$G$801, 0)+1)),"0.##")&amp;"+"&amp;TEXT(INDEX(ERP資料!$G:$G, (MATCH(310, 輔助計算!$G$2:$G$801, 0)+1)),"0.##"))))&amp;"-1")), ""), "")</f>
        <v/>
      </c>
      <c r="K311" s="16" t="n"/>
      <c r="L311" s="14">
        <f>IFERROR(IF(AND(IFERROR(INDEX(ERP資料!$A:$A, (MATCH(310, 輔助計算!$G$2:$G$801, 0)+1)), "")&lt;&gt;"", IFERROR(INDEX(ERP資料!$A:$A, (MATCH(310, 輔助計算!$G$2:$G$801, 0)+1)), "")&lt;&gt;IFERROR(INDEX(ERP資料!$A:$A, MATCH(309, 輔助計算!$G$2:$G$801, 0)+1), "")), INDEX(ERP資料!$B:$B, (MATCH(310, 輔助計算!$G$2:$G$801, 0)+1)), ""), "")</f>
        <v/>
      </c>
      <c r="M311" s="17" t="n"/>
    </row>
    <row r="312">
      <c r="A312" s="10">
        <f>IFERROR(IF(AND(IFERROR(INDEX(ERP資料!$A:$A, (MATCH(311, 輔助計算!$G$2:$G$801, 0)+1)), "")&lt;&gt;"", IFERROR(INDEX(ERP資料!$A:$A, (MATCH(311, 輔助計算!$G$2:$G$801, 0)+1)), "")&lt;&gt;IFERROR(INDEX(ERP資料!$A:$A, MATCH(310, 輔助計算!$G$2:$G$801, 0)+1), "")), IFERROR(INDEX(ERP資料!$A:$A, (MATCH(311, 輔助計算!$G$2:$G$801, 0)+1)), ""), ""), "")</f>
        <v/>
      </c>
      <c r="B312" s="10">
        <f>IFERROR(IF(AND(IFERROR(INDEX(ERP資料!$A:$A, (MATCH(311, 輔助計算!$G$2:$G$801, 0)+1)), "")&lt;&gt;"", IFERROR(INDEX(ERP資料!$A:$A, (MATCH(311, 輔助計算!$G$2:$G$801, 0)+1)), "")&lt;&gt;IFERROR(INDEX(ERP資料!$A:$A, MATCH(310, 輔助計算!$G$2:$G$801, 0)+1), "")), INDEX(ERP資料!$S:$S, (MATCH(311, 輔助計算!$G$2:$G$801, 0)+1)), ""), "")</f>
        <v/>
      </c>
      <c r="C312" s="19">
        <f>IFERROR(IF(AND(IFERROR(INDEX(ERP資料!$A:$A, (MATCH(311, 輔助計算!$G$2:$G$801, 0)+1)), "")&lt;&gt;"", IFERROR(INDEX(ERP資料!$A:$A, (MATCH(311, 輔助計算!$G$2:$G$801, 0)+1)), "")&lt;&gt;IFERROR(INDEX(ERP資料!$A:$A, MATCH(310, 輔助計算!$G$2:$G$801, 0)+1), "")), IFERROR(VLOOKUP(LEFT(INDEX(ERP資料!$S:$S, (MATCH(311, 輔助計算!$G$2:$G$801, 0)+1)), 4), 紙管對照表!$A:$C, 3, FALSE), ""), ""), "")</f>
        <v/>
      </c>
      <c r="D312" s="16" t="n"/>
      <c r="E312" s="10">
        <f>IFERROR(IF(INDEX(ERP資料!$H:$H, (MATCH(311, 輔助計算!$G$2:$G$801, 0)+1))="","",INDEX(ERP資料!$H:$H, (MATCH(311, 輔助計算!$G$2:$G$801, 0)+1))), "")</f>
        <v/>
      </c>
      <c r="F312" s="10">
        <f>IFERROR(IF(INDEX(ERP資料!$E:$E, (MATCH(311, 輔助計算!$G$2:$G$801, 0)+1))="","",TRIM(INDEX(ERP資料!$E:$E, (MATCH(311, 輔助計算!$G$2:$G$801, 0)+1)))), "")</f>
        <v/>
      </c>
      <c r="G312" s="10">
        <f>IFERROR(IF(INDEX(ERP資料!$F:$F, (MATCH(311, 輔助計算!$G$2:$G$801, 0)+1))="","",INDEX(ERP資料!$F:$F, (MATCH(311, 輔助計算!$G$2:$G$801, 0)+1))), "")</f>
        <v/>
      </c>
      <c r="H312" s="10">
        <f>IFERROR(IF(INDEX(ERP資料!$G:$G, (MATCH(311, 輔助計算!$G$2:$G$801, 0)+1))="","",INDEX(ERP資料!$G:$G, (MATCH(311, 輔助計算!$G$2:$G$801, 0)+1))), "")</f>
        <v/>
      </c>
      <c r="I312" s="15">
        <f>IFERROR(INDEX(輔助計算!$D:$D, (MATCH(311, 輔助計算!$G$2:$G$801, 0)+1)), "")</f>
        <v/>
      </c>
      <c r="J312" s="15">
        <f>IFERROR(IF(AND(INDEX(輔助計算!$D:$D, (MATCH(311, 輔助計算!$G$2:$G$801, 0)+1))&lt;&gt;"", INDEX(ERP資料!$G:$G, (MATCH(311, 輔助計算!$G$2:$G$801, 0)+1))&lt;&gt;""), TRIM(IF(INT(INDEX(輔助計算!$D:$D, (MATCH(311, 輔助計算!$G$2:$G$801, 0)+1))/IF(INDEX(ERP資料!$G:$G, (MATCH(311, 輔助計算!$G$2:$G$801, 0)+1))&lt;100, IF(INDEX(ERP資料!$G:$G, (MATCH(311, 輔助計算!$G$2:$G$801, 0)+1))&lt;=31,3,IF(INDEX(ERP資料!$G:$G, (MATCH(311, 輔助計算!$G$2:$G$801, 0)+1))&lt;=46.5,2,1)), IF(INDEX(ERP資料!$G:$G, (MATCH(311, 輔助計算!$G$2:$G$801, 0)+1))&lt;=790,3,IF(INDEX(ERP資料!$G:$G, (MATCH(311, 輔助計算!$G$2:$G$801, 0)+1))&lt;=1181,2,1))))&gt;0, IF(IF(INDEX(ERP資料!$G:$G, (MATCH(311, 輔助計算!$G$2:$G$801, 0)+1))&lt;100, IF(INDEX(ERP資料!$G:$G, (MATCH(311, 輔助計算!$G$2:$G$801, 0)+1))&lt;=31,3,IF(INDEX(ERP資料!$G:$G, (MATCH(311, 輔助計算!$G$2:$G$801, 0)+1))&lt;=46.5,2,1)), IF(INDEX(ERP資料!$G:$G, (MATCH(311, 輔助計算!$G$2:$G$801, 0)+1))&lt;=790,3,IF(INDEX(ERP資料!$G:$G, (MATCH(311, 輔助計算!$G$2:$G$801, 0)+1))&lt;=1181,2,1)))=1,TEXT(INDEX(ERP資料!$G:$G, (MATCH(311, 輔助計算!$G$2:$G$801, 0)+1)),"0.##"),IF(IF(INDEX(ERP資料!$G:$G, (MATCH(311, 輔助計算!$G$2:$G$801, 0)+1))&lt;100, IF(INDEX(ERP資料!$G:$G, (MATCH(311, 輔助計算!$G$2:$G$801, 0)+1))&lt;=31,3,IF(INDEX(ERP資料!$G:$G, (MATCH(311, 輔助計算!$G$2:$G$801, 0)+1))&lt;=46.5,2,1)), IF(INDEX(ERP資料!$G:$G, (MATCH(311, 輔助計算!$G$2:$G$801, 0)+1))&lt;=790,3,IF(INDEX(ERP資料!$G:$G, (MATCH(311, 輔助計算!$G$2:$G$801, 0)+1))&lt;=1181,2,1)))=2,TEXT(INDEX(ERP資料!$G:$G, (MATCH(311, 輔助計算!$G$2:$G$801, 0)+1)),"0.##")&amp;"+"&amp;TEXT(INDEX(ERP資料!$G:$G, (MATCH(311, 輔助計算!$G$2:$G$801, 0)+1)),"0.##"),TEXT(INDEX(ERP資料!$G:$G, (MATCH(311, 輔助計算!$G$2:$G$801, 0)+1)),"0.##")&amp;"+"&amp;TEXT(INDEX(ERP資料!$G:$G, (MATCH(311, 輔助計算!$G$2:$G$801, 0)+1)),"0.##")&amp;"+"&amp;TEXT(INDEX(ERP資料!$G:$G, (MATCH(311, 輔助計算!$G$2:$G$801, 0)+1)),"0.##")))&amp;"-"&amp;INT(INDEX(輔助計算!$D:$D, (MATCH(311, 輔助計算!$G$2:$G$801, 0)+1))/IF(INDEX(ERP資料!$G:$G, (MATCH(311, 輔助計算!$G$2:$G$801, 0)+1))&lt;100, IF(INDEX(ERP資料!$G:$G, (MATCH(311, 輔助計算!$G$2:$G$801, 0)+1))&lt;=31,3,IF(INDEX(ERP資料!$G:$G, (MATCH(311, 輔助計算!$G$2:$G$801, 0)+1))&lt;=46.5,2,1)), IF(INDEX(ERP資料!$G:$G, (MATCH(311, 輔助計算!$G$2:$G$801, 0)+1))&lt;=790,3,IF(INDEX(ERP資料!$G:$G, (MATCH(311, 輔助計算!$G$2:$G$801, 0)+1))&lt;=1181,2,1)))), "")&amp;IF(AND(IF(INT(INDEX(輔助計算!$D:$D, (MATCH(311, 輔助計算!$G$2:$G$801, 0)+1))/IF(INDEX(ERP資料!$G:$G, (MATCH(311, 輔助計算!$G$2:$G$801, 0)+1))&lt;100, IF(INDEX(ERP資料!$G:$G, (MATCH(311, 輔助計算!$G$2:$G$801, 0)+1))&lt;=31,3,IF(INDEX(ERP資料!$G:$G, (MATCH(311, 輔助計算!$G$2:$G$801, 0)+1))&lt;=46.5,2,1)), IF(INDEX(ERP資料!$G:$G, (MATCH(311, 輔助計算!$G$2:$G$801, 0)+1))&lt;=790,3,IF(INDEX(ERP資料!$G:$G, (MATCH(311, 輔助計算!$G$2:$G$801, 0)+1))&lt;=1181,2,1))))&gt;0, IF(IF(INDEX(ERP資料!$G:$G, (MATCH(311, 輔助計算!$G$2:$G$801, 0)+1))&lt;100, IF(INDEX(ERP資料!$G:$G, (MATCH(311, 輔助計算!$G$2:$G$801, 0)+1))&lt;=31,3,IF(INDEX(ERP資料!$G:$G, (MATCH(311, 輔助計算!$G$2:$G$801, 0)+1))&lt;=46.5,2,1)), IF(INDEX(ERP資料!$G:$G, (MATCH(311, 輔助計算!$G$2:$G$801, 0)+1))&lt;=790,3,IF(INDEX(ERP資料!$G:$G, (MATCH(311, 輔助計算!$G$2:$G$801, 0)+1))&lt;=1181,2,1)))=1,TEXT(INDEX(ERP資料!$G:$G, (MATCH(311, 輔助計算!$G$2:$G$801, 0)+1)),"0.##"),IF(IF(INDEX(ERP資料!$G:$G, (MATCH(311, 輔助計算!$G$2:$G$801, 0)+1))&lt;100, IF(INDEX(ERP資料!$G:$G, (MATCH(311, 輔助計算!$G$2:$G$801, 0)+1))&lt;=31,3,IF(INDEX(ERP資料!$G:$G, (MATCH(311, 輔助計算!$G$2:$G$801, 0)+1))&lt;=46.5,2,1)), IF(INDEX(ERP資料!$G:$G, (MATCH(311, 輔助計算!$G$2:$G$801, 0)+1))&lt;=790,3,IF(INDEX(ERP資料!$G:$G, (MATCH(311, 輔助計算!$G$2:$G$801, 0)+1))&lt;=1181,2,1)))=2,TEXT(INDEX(ERP資料!$G:$G, (MATCH(311, 輔助計算!$G$2:$G$801, 0)+1)),"0.##")&amp;"+"&amp;TEXT(INDEX(ERP資料!$G:$G, (MATCH(311, 輔助計算!$G$2:$G$801, 0)+1)),"0.##"),TEXT(INDEX(ERP資料!$G:$G, (MATCH(311, 輔助計算!$G$2:$G$801, 0)+1)),"0.##")&amp;"+"&amp;TEXT(INDEX(ERP資料!$G:$G, (MATCH(311, 輔助計算!$G$2:$G$801, 0)+1)),"0.##")&amp;"+"&amp;TEXT(INDEX(ERP資料!$G:$G, (MATCH(311, 輔助計算!$G$2:$G$801, 0)+1)),"0.##")))&amp;"-"&amp;INT(INDEX(輔助計算!$D:$D, (MATCH(311, 輔助計算!$G$2:$G$801, 0)+1))/IF(INDEX(ERP資料!$G:$G, (MATCH(311, 輔助計算!$G$2:$G$801, 0)+1))&lt;100, IF(INDEX(ERP資料!$G:$G, (MATCH(311, 輔助計算!$G$2:$G$801, 0)+1))&lt;=31,3,IF(INDEX(ERP資料!$G:$G, (MATCH(311, 輔助計算!$G$2:$G$801, 0)+1))&lt;=46.5,2,1)), IF(INDEX(ERP資料!$G:$G, (MATCH(311, 輔助計算!$G$2:$G$801, 0)+1))&lt;=790,3,IF(INDEX(ERP資料!$G:$G, (MATCH(311, 輔助計算!$G$2:$G$801, 0)+1))&lt;=1181,2,1)))), "")&lt;&gt;"",IF(MOD(INDEX(輔助計算!$D:$D, (MATCH(311, 輔助計算!$G$2:$G$801, 0)+1)),IF(INDEX(ERP資料!$G:$G, (MATCH(311, 輔助計算!$G$2:$G$801, 0)+1))&lt;100, IF(INDEX(ERP資料!$G:$G, (MATCH(311, 輔助計算!$G$2:$G$801, 0)+1))&lt;=31,3,IF(INDEX(ERP資料!$G:$G, (MATCH(311, 輔助計算!$G$2:$G$801, 0)+1))&lt;=46.5,2,1)), IF(INDEX(ERP資料!$G:$G, (MATCH(311, 輔助計算!$G$2:$G$801, 0)+1))&lt;=790,3,IF(INDEX(ERP資料!$G:$G, (MATCH(311, 輔助計算!$G$2:$G$801, 0)+1))&lt;=1181,2,1))))=0,"",IF(MOD(INDEX(輔助計算!$D:$D, (MATCH(311, 輔助計算!$G$2:$G$801, 0)+1)),IF(INDEX(ERP資料!$G:$G, (MATCH(311, 輔助計算!$G$2:$G$801, 0)+1))&lt;100, IF(INDEX(ERP資料!$G:$G, (MATCH(311, 輔助計算!$G$2:$G$801, 0)+1))&lt;=31,3,IF(INDEX(ERP資料!$G:$G, (MATCH(311, 輔助計算!$G$2:$G$801, 0)+1))&lt;=46.5,2,1)), IF(INDEX(ERP資料!$G:$G, (MATCH(311, 輔助計算!$G$2:$G$801, 0)+1))&lt;=790,3,IF(INDEX(ERP資料!$G:$G, (MATCH(311, 輔助計算!$G$2:$G$801, 0)+1))&lt;=1181,2,1))))=0,"",IF(MOD(INDEX(輔助計算!$D:$D, (MATCH(311, 輔助計算!$G$2:$G$801, 0)+1)),IF(INDEX(ERP資料!$G:$G, (MATCH(311, 輔助計算!$G$2:$G$801, 0)+1))&lt;100, IF(INDEX(ERP資料!$G:$G, (MATCH(311, 輔助計算!$G$2:$G$801, 0)+1))&lt;=31,3,IF(INDEX(ERP資料!$G:$G, (MATCH(311, 輔助計算!$G$2:$G$801, 0)+1))&lt;=46.5,2,1)), IF(INDEX(ERP資料!$G:$G, (MATCH(311, 輔助計算!$G$2:$G$801, 0)+1))&lt;=790,3,IF(INDEX(ERP資料!$G:$G, (MATCH(311, 輔助計算!$G$2:$G$801, 0)+1))&lt;=1181,2,1))))=1,TEXT(INDEX(ERP資料!$G:$G, (MATCH(311, 輔助計算!$G$2:$G$801, 0)+1)),"0.##"),IF(MOD(INDEX(輔助計算!$D:$D, (MATCH(311, 輔助計算!$G$2:$G$801, 0)+1)),IF(INDEX(ERP資料!$G:$G, (MATCH(311, 輔助計算!$G$2:$G$801, 0)+1))&lt;100, IF(INDEX(ERP資料!$G:$G, (MATCH(311, 輔助計算!$G$2:$G$801, 0)+1))&lt;=31,3,IF(INDEX(ERP資料!$G:$G, (MATCH(311, 輔助計算!$G$2:$G$801, 0)+1))&lt;=46.5,2,1)), IF(INDEX(ERP資料!$G:$G, (MATCH(311, 輔助計算!$G$2:$G$801, 0)+1))&lt;=790,3,IF(INDEX(ERP資料!$G:$G, (MATCH(311, 輔助計算!$G$2:$G$801, 0)+1))&lt;=1181,2,1))))=2,TEXT(INDEX(ERP資料!$G:$G, (MATCH(311, 輔助計算!$G$2:$G$801, 0)+1)),"0.##")&amp;"+"&amp;TEXT(INDEX(ERP資料!$G:$G, (MATCH(311, 輔助計算!$G$2:$G$801, 0)+1)),"0.##"),TEXT(INDEX(ERP資料!$G:$G, (MATCH(311, 輔助計算!$G$2:$G$801, 0)+1)),"0.##")&amp;"+"&amp;TEXT(INDEX(ERP資料!$G:$G, (MATCH(311, 輔助計算!$G$2:$G$801, 0)+1)),"0.##")&amp;"+"&amp;TEXT(INDEX(ERP資料!$G:$G, (MATCH(311, 輔助計算!$G$2:$G$801, 0)+1)),"0.##"))))&amp;"-1")&lt;&gt;""),"  ","")&amp;IF(MOD(INDEX(輔助計算!$D:$D, (MATCH(311, 輔助計算!$G$2:$G$801, 0)+1)),IF(INDEX(ERP資料!$G:$G, (MATCH(311, 輔助計算!$G$2:$G$801, 0)+1))&lt;100, IF(INDEX(ERP資料!$G:$G, (MATCH(311, 輔助計算!$G$2:$G$801, 0)+1))&lt;=31,3,IF(INDEX(ERP資料!$G:$G, (MATCH(311, 輔助計算!$G$2:$G$801, 0)+1))&lt;=46.5,2,1)), IF(INDEX(ERP資料!$G:$G, (MATCH(311, 輔助計算!$G$2:$G$801, 0)+1))&lt;=790,3,IF(INDEX(ERP資料!$G:$G, (MATCH(311, 輔助計算!$G$2:$G$801, 0)+1))&lt;=1181,2,1))))=0,"",IF(MOD(INDEX(輔助計算!$D:$D, (MATCH(311, 輔助計算!$G$2:$G$801, 0)+1)),IF(INDEX(ERP資料!$G:$G, (MATCH(311, 輔助計算!$G$2:$G$801, 0)+1))&lt;100, IF(INDEX(ERP資料!$G:$G, (MATCH(311, 輔助計算!$G$2:$G$801, 0)+1))&lt;=31,3,IF(INDEX(ERP資料!$G:$G, (MATCH(311, 輔助計算!$G$2:$G$801, 0)+1))&lt;=46.5,2,1)), IF(INDEX(ERP資料!$G:$G, (MATCH(311, 輔助計算!$G$2:$G$801, 0)+1))&lt;=790,3,IF(INDEX(ERP資料!$G:$G, (MATCH(311, 輔助計算!$G$2:$G$801, 0)+1))&lt;=1181,2,1))))=0,"",IF(MOD(INDEX(輔助計算!$D:$D, (MATCH(311, 輔助計算!$G$2:$G$801, 0)+1)),IF(INDEX(ERP資料!$G:$G, (MATCH(311, 輔助計算!$G$2:$G$801, 0)+1))&lt;100, IF(INDEX(ERP資料!$G:$G, (MATCH(311, 輔助計算!$G$2:$G$801, 0)+1))&lt;=31,3,IF(INDEX(ERP資料!$G:$G, (MATCH(311, 輔助計算!$G$2:$G$801, 0)+1))&lt;=46.5,2,1)), IF(INDEX(ERP資料!$G:$G, (MATCH(311, 輔助計算!$G$2:$G$801, 0)+1))&lt;=790,3,IF(INDEX(ERP資料!$G:$G, (MATCH(311, 輔助計算!$G$2:$G$801, 0)+1))&lt;=1181,2,1))))=1,TEXT(INDEX(ERP資料!$G:$G, (MATCH(311, 輔助計算!$G$2:$G$801, 0)+1)),"0.##"),IF(MOD(INDEX(輔助計算!$D:$D, (MATCH(311, 輔助計算!$G$2:$G$801, 0)+1)),IF(INDEX(ERP資料!$G:$G, (MATCH(311, 輔助計算!$G$2:$G$801, 0)+1))&lt;100, IF(INDEX(ERP資料!$G:$G, (MATCH(311, 輔助計算!$G$2:$G$801, 0)+1))&lt;=31,3,IF(INDEX(ERP資料!$G:$G, (MATCH(311, 輔助計算!$G$2:$G$801, 0)+1))&lt;=46.5,2,1)), IF(INDEX(ERP資料!$G:$G, (MATCH(311, 輔助計算!$G$2:$G$801, 0)+1))&lt;=790,3,IF(INDEX(ERP資料!$G:$G, (MATCH(311, 輔助計算!$G$2:$G$801, 0)+1))&lt;=1181,2,1))))=2,TEXT(INDEX(ERP資料!$G:$G, (MATCH(311, 輔助計算!$G$2:$G$801, 0)+1)),"0.##")&amp;"+"&amp;TEXT(INDEX(ERP資料!$G:$G, (MATCH(311, 輔助計算!$G$2:$G$801, 0)+1)),"0.##"),TEXT(INDEX(ERP資料!$G:$G, (MATCH(311, 輔助計算!$G$2:$G$801, 0)+1)),"0.##")&amp;"+"&amp;TEXT(INDEX(ERP資料!$G:$G, (MATCH(311, 輔助計算!$G$2:$G$801, 0)+1)),"0.##")&amp;"+"&amp;TEXT(INDEX(ERP資料!$G:$G, (MATCH(311, 輔助計算!$G$2:$G$801, 0)+1)),"0.##"))))&amp;"-1")), ""), "")</f>
        <v/>
      </c>
      <c r="K312" s="16" t="n"/>
      <c r="L312" s="14">
        <f>IFERROR(IF(AND(IFERROR(INDEX(ERP資料!$A:$A, (MATCH(311, 輔助計算!$G$2:$G$801, 0)+1)), "")&lt;&gt;"", IFERROR(INDEX(ERP資料!$A:$A, (MATCH(311, 輔助計算!$G$2:$G$801, 0)+1)), "")&lt;&gt;IFERROR(INDEX(ERP資料!$A:$A, MATCH(310, 輔助計算!$G$2:$G$801, 0)+1), "")), INDEX(ERP資料!$B:$B, (MATCH(311, 輔助計算!$G$2:$G$801, 0)+1)), ""), "")</f>
        <v/>
      </c>
      <c r="M312" s="17" t="n"/>
    </row>
    <row r="313">
      <c r="A313" s="10">
        <f>IFERROR(IF(AND(IFERROR(INDEX(ERP資料!$A:$A, (MATCH(312, 輔助計算!$G$2:$G$801, 0)+1)), "")&lt;&gt;"", IFERROR(INDEX(ERP資料!$A:$A, (MATCH(312, 輔助計算!$G$2:$G$801, 0)+1)), "")&lt;&gt;IFERROR(INDEX(ERP資料!$A:$A, MATCH(311, 輔助計算!$G$2:$G$801, 0)+1), "")), IFERROR(INDEX(ERP資料!$A:$A, (MATCH(312, 輔助計算!$G$2:$G$801, 0)+1)), ""), ""), "")</f>
        <v/>
      </c>
      <c r="B313" s="10">
        <f>IFERROR(IF(AND(IFERROR(INDEX(ERP資料!$A:$A, (MATCH(312, 輔助計算!$G$2:$G$801, 0)+1)), "")&lt;&gt;"", IFERROR(INDEX(ERP資料!$A:$A, (MATCH(312, 輔助計算!$G$2:$G$801, 0)+1)), "")&lt;&gt;IFERROR(INDEX(ERP資料!$A:$A, MATCH(311, 輔助計算!$G$2:$G$801, 0)+1), "")), INDEX(ERP資料!$S:$S, (MATCH(312, 輔助計算!$G$2:$G$801, 0)+1)), ""), "")</f>
        <v/>
      </c>
      <c r="C313" s="19">
        <f>IFERROR(IF(AND(IFERROR(INDEX(ERP資料!$A:$A, (MATCH(312, 輔助計算!$G$2:$G$801, 0)+1)), "")&lt;&gt;"", IFERROR(INDEX(ERP資料!$A:$A, (MATCH(312, 輔助計算!$G$2:$G$801, 0)+1)), "")&lt;&gt;IFERROR(INDEX(ERP資料!$A:$A, MATCH(311, 輔助計算!$G$2:$G$801, 0)+1), "")), IFERROR(VLOOKUP(LEFT(INDEX(ERP資料!$S:$S, (MATCH(312, 輔助計算!$G$2:$G$801, 0)+1)), 4), 紙管對照表!$A:$C, 3, FALSE), ""), ""), "")</f>
        <v/>
      </c>
      <c r="D313" s="16" t="n"/>
      <c r="E313" s="10">
        <f>IFERROR(IF(INDEX(ERP資料!$H:$H, (MATCH(312, 輔助計算!$G$2:$G$801, 0)+1))="","",INDEX(ERP資料!$H:$H, (MATCH(312, 輔助計算!$G$2:$G$801, 0)+1))), "")</f>
        <v/>
      </c>
      <c r="F313" s="10">
        <f>IFERROR(IF(INDEX(ERP資料!$E:$E, (MATCH(312, 輔助計算!$G$2:$G$801, 0)+1))="","",TRIM(INDEX(ERP資料!$E:$E, (MATCH(312, 輔助計算!$G$2:$G$801, 0)+1)))), "")</f>
        <v/>
      </c>
      <c r="G313" s="10">
        <f>IFERROR(IF(INDEX(ERP資料!$F:$F, (MATCH(312, 輔助計算!$G$2:$G$801, 0)+1))="","",INDEX(ERP資料!$F:$F, (MATCH(312, 輔助計算!$G$2:$G$801, 0)+1))), "")</f>
        <v/>
      </c>
      <c r="H313" s="10">
        <f>IFERROR(IF(INDEX(ERP資料!$G:$G, (MATCH(312, 輔助計算!$G$2:$G$801, 0)+1))="","",INDEX(ERP資料!$G:$G, (MATCH(312, 輔助計算!$G$2:$G$801, 0)+1))), "")</f>
        <v/>
      </c>
      <c r="I313" s="15">
        <f>IFERROR(INDEX(輔助計算!$D:$D, (MATCH(312, 輔助計算!$G$2:$G$801, 0)+1)), "")</f>
        <v/>
      </c>
      <c r="J313" s="15">
        <f>IFERROR(IF(AND(INDEX(輔助計算!$D:$D, (MATCH(312, 輔助計算!$G$2:$G$801, 0)+1))&lt;&gt;"", INDEX(ERP資料!$G:$G, (MATCH(312, 輔助計算!$G$2:$G$801, 0)+1))&lt;&gt;""), TRIM(IF(INT(INDEX(輔助計算!$D:$D, (MATCH(312, 輔助計算!$G$2:$G$801, 0)+1))/IF(INDEX(ERP資料!$G:$G, (MATCH(312, 輔助計算!$G$2:$G$801, 0)+1))&lt;100, IF(INDEX(ERP資料!$G:$G, (MATCH(312, 輔助計算!$G$2:$G$801, 0)+1))&lt;=31,3,IF(INDEX(ERP資料!$G:$G, (MATCH(312, 輔助計算!$G$2:$G$801, 0)+1))&lt;=46.5,2,1)), IF(INDEX(ERP資料!$G:$G, (MATCH(312, 輔助計算!$G$2:$G$801, 0)+1))&lt;=790,3,IF(INDEX(ERP資料!$G:$G, (MATCH(312, 輔助計算!$G$2:$G$801, 0)+1))&lt;=1181,2,1))))&gt;0, IF(IF(INDEX(ERP資料!$G:$G, (MATCH(312, 輔助計算!$G$2:$G$801, 0)+1))&lt;100, IF(INDEX(ERP資料!$G:$G, (MATCH(312, 輔助計算!$G$2:$G$801, 0)+1))&lt;=31,3,IF(INDEX(ERP資料!$G:$G, (MATCH(312, 輔助計算!$G$2:$G$801, 0)+1))&lt;=46.5,2,1)), IF(INDEX(ERP資料!$G:$G, (MATCH(312, 輔助計算!$G$2:$G$801, 0)+1))&lt;=790,3,IF(INDEX(ERP資料!$G:$G, (MATCH(312, 輔助計算!$G$2:$G$801, 0)+1))&lt;=1181,2,1)))=1,TEXT(INDEX(ERP資料!$G:$G, (MATCH(312, 輔助計算!$G$2:$G$801, 0)+1)),"0.##"),IF(IF(INDEX(ERP資料!$G:$G, (MATCH(312, 輔助計算!$G$2:$G$801, 0)+1))&lt;100, IF(INDEX(ERP資料!$G:$G, (MATCH(312, 輔助計算!$G$2:$G$801, 0)+1))&lt;=31,3,IF(INDEX(ERP資料!$G:$G, (MATCH(312, 輔助計算!$G$2:$G$801, 0)+1))&lt;=46.5,2,1)), IF(INDEX(ERP資料!$G:$G, (MATCH(312, 輔助計算!$G$2:$G$801, 0)+1))&lt;=790,3,IF(INDEX(ERP資料!$G:$G, (MATCH(312, 輔助計算!$G$2:$G$801, 0)+1))&lt;=1181,2,1)))=2,TEXT(INDEX(ERP資料!$G:$G, (MATCH(312, 輔助計算!$G$2:$G$801, 0)+1)),"0.##")&amp;"+"&amp;TEXT(INDEX(ERP資料!$G:$G, (MATCH(312, 輔助計算!$G$2:$G$801, 0)+1)),"0.##"),TEXT(INDEX(ERP資料!$G:$G, (MATCH(312, 輔助計算!$G$2:$G$801, 0)+1)),"0.##")&amp;"+"&amp;TEXT(INDEX(ERP資料!$G:$G, (MATCH(312, 輔助計算!$G$2:$G$801, 0)+1)),"0.##")&amp;"+"&amp;TEXT(INDEX(ERP資料!$G:$G, (MATCH(312, 輔助計算!$G$2:$G$801, 0)+1)),"0.##")))&amp;"-"&amp;INT(INDEX(輔助計算!$D:$D, (MATCH(312, 輔助計算!$G$2:$G$801, 0)+1))/IF(INDEX(ERP資料!$G:$G, (MATCH(312, 輔助計算!$G$2:$G$801, 0)+1))&lt;100, IF(INDEX(ERP資料!$G:$G, (MATCH(312, 輔助計算!$G$2:$G$801, 0)+1))&lt;=31,3,IF(INDEX(ERP資料!$G:$G, (MATCH(312, 輔助計算!$G$2:$G$801, 0)+1))&lt;=46.5,2,1)), IF(INDEX(ERP資料!$G:$G, (MATCH(312, 輔助計算!$G$2:$G$801, 0)+1))&lt;=790,3,IF(INDEX(ERP資料!$G:$G, (MATCH(312, 輔助計算!$G$2:$G$801, 0)+1))&lt;=1181,2,1)))), "")&amp;IF(AND(IF(INT(INDEX(輔助計算!$D:$D, (MATCH(312, 輔助計算!$G$2:$G$801, 0)+1))/IF(INDEX(ERP資料!$G:$G, (MATCH(312, 輔助計算!$G$2:$G$801, 0)+1))&lt;100, IF(INDEX(ERP資料!$G:$G, (MATCH(312, 輔助計算!$G$2:$G$801, 0)+1))&lt;=31,3,IF(INDEX(ERP資料!$G:$G, (MATCH(312, 輔助計算!$G$2:$G$801, 0)+1))&lt;=46.5,2,1)), IF(INDEX(ERP資料!$G:$G, (MATCH(312, 輔助計算!$G$2:$G$801, 0)+1))&lt;=790,3,IF(INDEX(ERP資料!$G:$G, (MATCH(312, 輔助計算!$G$2:$G$801, 0)+1))&lt;=1181,2,1))))&gt;0, IF(IF(INDEX(ERP資料!$G:$G, (MATCH(312, 輔助計算!$G$2:$G$801, 0)+1))&lt;100, IF(INDEX(ERP資料!$G:$G, (MATCH(312, 輔助計算!$G$2:$G$801, 0)+1))&lt;=31,3,IF(INDEX(ERP資料!$G:$G, (MATCH(312, 輔助計算!$G$2:$G$801, 0)+1))&lt;=46.5,2,1)), IF(INDEX(ERP資料!$G:$G, (MATCH(312, 輔助計算!$G$2:$G$801, 0)+1))&lt;=790,3,IF(INDEX(ERP資料!$G:$G, (MATCH(312, 輔助計算!$G$2:$G$801, 0)+1))&lt;=1181,2,1)))=1,TEXT(INDEX(ERP資料!$G:$G, (MATCH(312, 輔助計算!$G$2:$G$801, 0)+1)),"0.##"),IF(IF(INDEX(ERP資料!$G:$G, (MATCH(312, 輔助計算!$G$2:$G$801, 0)+1))&lt;100, IF(INDEX(ERP資料!$G:$G, (MATCH(312, 輔助計算!$G$2:$G$801, 0)+1))&lt;=31,3,IF(INDEX(ERP資料!$G:$G, (MATCH(312, 輔助計算!$G$2:$G$801, 0)+1))&lt;=46.5,2,1)), IF(INDEX(ERP資料!$G:$G, (MATCH(312, 輔助計算!$G$2:$G$801, 0)+1))&lt;=790,3,IF(INDEX(ERP資料!$G:$G, (MATCH(312, 輔助計算!$G$2:$G$801, 0)+1))&lt;=1181,2,1)))=2,TEXT(INDEX(ERP資料!$G:$G, (MATCH(312, 輔助計算!$G$2:$G$801, 0)+1)),"0.##")&amp;"+"&amp;TEXT(INDEX(ERP資料!$G:$G, (MATCH(312, 輔助計算!$G$2:$G$801, 0)+1)),"0.##"),TEXT(INDEX(ERP資料!$G:$G, (MATCH(312, 輔助計算!$G$2:$G$801, 0)+1)),"0.##")&amp;"+"&amp;TEXT(INDEX(ERP資料!$G:$G, (MATCH(312, 輔助計算!$G$2:$G$801, 0)+1)),"0.##")&amp;"+"&amp;TEXT(INDEX(ERP資料!$G:$G, (MATCH(312, 輔助計算!$G$2:$G$801, 0)+1)),"0.##")))&amp;"-"&amp;INT(INDEX(輔助計算!$D:$D, (MATCH(312, 輔助計算!$G$2:$G$801, 0)+1))/IF(INDEX(ERP資料!$G:$G, (MATCH(312, 輔助計算!$G$2:$G$801, 0)+1))&lt;100, IF(INDEX(ERP資料!$G:$G, (MATCH(312, 輔助計算!$G$2:$G$801, 0)+1))&lt;=31,3,IF(INDEX(ERP資料!$G:$G, (MATCH(312, 輔助計算!$G$2:$G$801, 0)+1))&lt;=46.5,2,1)), IF(INDEX(ERP資料!$G:$G, (MATCH(312, 輔助計算!$G$2:$G$801, 0)+1))&lt;=790,3,IF(INDEX(ERP資料!$G:$G, (MATCH(312, 輔助計算!$G$2:$G$801, 0)+1))&lt;=1181,2,1)))), "")&lt;&gt;"",IF(MOD(INDEX(輔助計算!$D:$D, (MATCH(312, 輔助計算!$G$2:$G$801, 0)+1)),IF(INDEX(ERP資料!$G:$G, (MATCH(312, 輔助計算!$G$2:$G$801, 0)+1))&lt;100, IF(INDEX(ERP資料!$G:$G, (MATCH(312, 輔助計算!$G$2:$G$801, 0)+1))&lt;=31,3,IF(INDEX(ERP資料!$G:$G, (MATCH(312, 輔助計算!$G$2:$G$801, 0)+1))&lt;=46.5,2,1)), IF(INDEX(ERP資料!$G:$G, (MATCH(312, 輔助計算!$G$2:$G$801, 0)+1))&lt;=790,3,IF(INDEX(ERP資料!$G:$G, (MATCH(312, 輔助計算!$G$2:$G$801, 0)+1))&lt;=1181,2,1))))=0,"",IF(MOD(INDEX(輔助計算!$D:$D, (MATCH(312, 輔助計算!$G$2:$G$801, 0)+1)),IF(INDEX(ERP資料!$G:$G, (MATCH(312, 輔助計算!$G$2:$G$801, 0)+1))&lt;100, IF(INDEX(ERP資料!$G:$G, (MATCH(312, 輔助計算!$G$2:$G$801, 0)+1))&lt;=31,3,IF(INDEX(ERP資料!$G:$G, (MATCH(312, 輔助計算!$G$2:$G$801, 0)+1))&lt;=46.5,2,1)), IF(INDEX(ERP資料!$G:$G, (MATCH(312, 輔助計算!$G$2:$G$801, 0)+1))&lt;=790,3,IF(INDEX(ERP資料!$G:$G, (MATCH(312, 輔助計算!$G$2:$G$801, 0)+1))&lt;=1181,2,1))))=0,"",IF(MOD(INDEX(輔助計算!$D:$D, (MATCH(312, 輔助計算!$G$2:$G$801, 0)+1)),IF(INDEX(ERP資料!$G:$G, (MATCH(312, 輔助計算!$G$2:$G$801, 0)+1))&lt;100, IF(INDEX(ERP資料!$G:$G, (MATCH(312, 輔助計算!$G$2:$G$801, 0)+1))&lt;=31,3,IF(INDEX(ERP資料!$G:$G, (MATCH(312, 輔助計算!$G$2:$G$801, 0)+1))&lt;=46.5,2,1)), IF(INDEX(ERP資料!$G:$G, (MATCH(312, 輔助計算!$G$2:$G$801, 0)+1))&lt;=790,3,IF(INDEX(ERP資料!$G:$G, (MATCH(312, 輔助計算!$G$2:$G$801, 0)+1))&lt;=1181,2,1))))=1,TEXT(INDEX(ERP資料!$G:$G, (MATCH(312, 輔助計算!$G$2:$G$801, 0)+1)),"0.##"),IF(MOD(INDEX(輔助計算!$D:$D, (MATCH(312, 輔助計算!$G$2:$G$801, 0)+1)),IF(INDEX(ERP資料!$G:$G, (MATCH(312, 輔助計算!$G$2:$G$801, 0)+1))&lt;100, IF(INDEX(ERP資料!$G:$G, (MATCH(312, 輔助計算!$G$2:$G$801, 0)+1))&lt;=31,3,IF(INDEX(ERP資料!$G:$G, (MATCH(312, 輔助計算!$G$2:$G$801, 0)+1))&lt;=46.5,2,1)), IF(INDEX(ERP資料!$G:$G, (MATCH(312, 輔助計算!$G$2:$G$801, 0)+1))&lt;=790,3,IF(INDEX(ERP資料!$G:$G, (MATCH(312, 輔助計算!$G$2:$G$801, 0)+1))&lt;=1181,2,1))))=2,TEXT(INDEX(ERP資料!$G:$G, (MATCH(312, 輔助計算!$G$2:$G$801, 0)+1)),"0.##")&amp;"+"&amp;TEXT(INDEX(ERP資料!$G:$G, (MATCH(312, 輔助計算!$G$2:$G$801, 0)+1)),"0.##"),TEXT(INDEX(ERP資料!$G:$G, (MATCH(312, 輔助計算!$G$2:$G$801, 0)+1)),"0.##")&amp;"+"&amp;TEXT(INDEX(ERP資料!$G:$G, (MATCH(312, 輔助計算!$G$2:$G$801, 0)+1)),"0.##")&amp;"+"&amp;TEXT(INDEX(ERP資料!$G:$G, (MATCH(312, 輔助計算!$G$2:$G$801, 0)+1)),"0.##"))))&amp;"-1")&lt;&gt;""),"  ","")&amp;IF(MOD(INDEX(輔助計算!$D:$D, (MATCH(312, 輔助計算!$G$2:$G$801, 0)+1)),IF(INDEX(ERP資料!$G:$G, (MATCH(312, 輔助計算!$G$2:$G$801, 0)+1))&lt;100, IF(INDEX(ERP資料!$G:$G, (MATCH(312, 輔助計算!$G$2:$G$801, 0)+1))&lt;=31,3,IF(INDEX(ERP資料!$G:$G, (MATCH(312, 輔助計算!$G$2:$G$801, 0)+1))&lt;=46.5,2,1)), IF(INDEX(ERP資料!$G:$G, (MATCH(312, 輔助計算!$G$2:$G$801, 0)+1))&lt;=790,3,IF(INDEX(ERP資料!$G:$G, (MATCH(312, 輔助計算!$G$2:$G$801, 0)+1))&lt;=1181,2,1))))=0,"",IF(MOD(INDEX(輔助計算!$D:$D, (MATCH(312, 輔助計算!$G$2:$G$801, 0)+1)),IF(INDEX(ERP資料!$G:$G, (MATCH(312, 輔助計算!$G$2:$G$801, 0)+1))&lt;100, IF(INDEX(ERP資料!$G:$G, (MATCH(312, 輔助計算!$G$2:$G$801, 0)+1))&lt;=31,3,IF(INDEX(ERP資料!$G:$G, (MATCH(312, 輔助計算!$G$2:$G$801, 0)+1))&lt;=46.5,2,1)), IF(INDEX(ERP資料!$G:$G, (MATCH(312, 輔助計算!$G$2:$G$801, 0)+1))&lt;=790,3,IF(INDEX(ERP資料!$G:$G, (MATCH(312, 輔助計算!$G$2:$G$801, 0)+1))&lt;=1181,2,1))))=0,"",IF(MOD(INDEX(輔助計算!$D:$D, (MATCH(312, 輔助計算!$G$2:$G$801, 0)+1)),IF(INDEX(ERP資料!$G:$G, (MATCH(312, 輔助計算!$G$2:$G$801, 0)+1))&lt;100, IF(INDEX(ERP資料!$G:$G, (MATCH(312, 輔助計算!$G$2:$G$801, 0)+1))&lt;=31,3,IF(INDEX(ERP資料!$G:$G, (MATCH(312, 輔助計算!$G$2:$G$801, 0)+1))&lt;=46.5,2,1)), IF(INDEX(ERP資料!$G:$G, (MATCH(312, 輔助計算!$G$2:$G$801, 0)+1))&lt;=790,3,IF(INDEX(ERP資料!$G:$G, (MATCH(312, 輔助計算!$G$2:$G$801, 0)+1))&lt;=1181,2,1))))=1,TEXT(INDEX(ERP資料!$G:$G, (MATCH(312, 輔助計算!$G$2:$G$801, 0)+1)),"0.##"),IF(MOD(INDEX(輔助計算!$D:$D, (MATCH(312, 輔助計算!$G$2:$G$801, 0)+1)),IF(INDEX(ERP資料!$G:$G, (MATCH(312, 輔助計算!$G$2:$G$801, 0)+1))&lt;100, IF(INDEX(ERP資料!$G:$G, (MATCH(312, 輔助計算!$G$2:$G$801, 0)+1))&lt;=31,3,IF(INDEX(ERP資料!$G:$G, (MATCH(312, 輔助計算!$G$2:$G$801, 0)+1))&lt;=46.5,2,1)), IF(INDEX(ERP資料!$G:$G, (MATCH(312, 輔助計算!$G$2:$G$801, 0)+1))&lt;=790,3,IF(INDEX(ERP資料!$G:$G, (MATCH(312, 輔助計算!$G$2:$G$801, 0)+1))&lt;=1181,2,1))))=2,TEXT(INDEX(ERP資料!$G:$G, (MATCH(312, 輔助計算!$G$2:$G$801, 0)+1)),"0.##")&amp;"+"&amp;TEXT(INDEX(ERP資料!$G:$G, (MATCH(312, 輔助計算!$G$2:$G$801, 0)+1)),"0.##"),TEXT(INDEX(ERP資料!$G:$G, (MATCH(312, 輔助計算!$G$2:$G$801, 0)+1)),"0.##")&amp;"+"&amp;TEXT(INDEX(ERP資料!$G:$G, (MATCH(312, 輔助計算!$G$2:$G$801, 0)+1)),"0.##")&amp;"+"&amp;TEXT(INDEX(ERP資料!$G:$G, (MATCH(312, 輔助計算!$G$2:$G$801, 0)+1)),"0.##"))))&amp;"-1")), ""), "")</f>
        <v/>
      </c>
      <c r="K313" s="16" t="n"/>
      <c r="L313" s="14">
        <f>IFERROR(IF(AND(IFERROR(INDEX(ERP資料!$A:$A, (MATCH(312, 輔助計算!$G$2:$G$801, 0)+1)), "")&lt;&gt;"", IFERROR(INDEX(ERP資料!$A:$A, (MATCH(312, 輔助計算!$G$2:$G$801, 0)+1)), "")&lt;&gt;IFERROR(INDEX(ERP資料!$A:$A, MATCH(311, 輔助計算!$G$2:$G$801, 0)+1), "")), INDEX(ERP資料!$B:$B, (MATCH(312, 輔助計算!$G$2:$G$801, 0)+1)), ""), "")</f>
        <v/>
      </c>
      <c r="M313" s="17" t="n"/>
    </row>
    <row r="314">
      <c r="A314" s="10">
        <f>IFERROR(IF(AND(IFERROR(INDEX(ERP資料!$A:$A, (MATCH(313, 輔助計算!$G$2:$G$801, 0)+1)), "")&lt;&gt;"", IFERROR(INDEX(ERP資料!$A:$A, (MATCH(313, 輔助計算!$G$2:$G$801, 0)+1)), "")&lt;&gt;IFERROR(INDEX(ERP資料!$A:$A, MATCH(312, 輔助計算!$G$2:$G$801, 0)+1), "")), IFERROR(INDEX(ERP資料!$A:$A, (MATCH(313, 輔助計算!$G$2:$G$801, 0)+1)), ""), ""), "")</f>
        <v/>
      </c>
      <c r="B314" s="10">
        <f>IFERROR(IF(AND(IFERROR(INDEX(ERP資料!$A:$A, (MATCH(313, 輔助計算!$G$2:$G$801, 0)+1)), "")&lt;&gt;"", IFERROR(INDEX(ERP資料!$A:$A, (MATCH(313, 輔助計算!$G$2:$G$801, 0)+1)), "")&lt;&gt;IFERROR(INDEX(ERP資料!$A:$A, MATCH(312, 輔助計算!$G$2:$G$801, 0)+1), "")), INDEX(ERP資料!$S:$S, (MATCH(313, 輔助計算!$G$2:$G$801, 0)+1)), ""), "")</f>
        <v/>
      </c>
      <c r="C314" s="19">
        <f>IFERROR(IF(AND(IFERROR(INDEX(ERP資料!$A:$A, (MATCH(313, 輔助計算!$G$2:$G$801, 0)+1)), "")&lt;&gt;"", IFERROR(INDEX(ERP資料!$A:$A, (MATCH(313, 輔助計算!$G$2:$G$801, 0)+1)), "")&lt;&gt;IFERROR(INDEX(ERP資料!$A:$A, MATCH(312, 輔助計算!$G$2:$G$801, 0)+1), "")), IFERROR(VLOOKUP(LEFT(INDEX(ERP資料!$S:$S, (MATCH(313, 輔助計算!$G$2:$G$801, 0)+1)), 4), 紙管對照表!$A:$C, 3, FALSE), ""), ""), "")</f>
        <v/>
      </c>
      <c r="D314" s="16" t="n"/>
      <c r="E314" s="10">
        <f>IFERROR(IF(INDEX(ERP資料!$H:$H, (MATCH(313, 輔助計算!$G$2:$G$801, 0)+1))="","",INDEX(ERP資料!$H:$H, (MATCH(313, 輔助計算!$G$2:$G$801, 0)+1))), "")</f>
        <v/>
      </c>
      <c r="F314" s="10">
        <f>IFERROR(IF(INDEX(ERP資料!$E:$E, (MATCH(313, 輔助計算!$G$2:$G$801, 0)+1))="","",TRIM(INDEX(ERP資料!$E:$E, (MATCH(313, 輔助計算!$G$2:$G$801, 0)+1)))), "")</f>
        <v/>
      </c>
      <c r="G314" s="10">
        <f>IFERROR(IF(INDEX(ERP資料!$F:$F, (MATCH(313, 輔助計算!$G$2:$G$801, 0)+1))="","",INDEX(ERP資料!$F:$F, (MATCH(313, 輔助計算!$G$2:$G$801, 0)+1))), "")</f>
        <v/>
      </c>
      <c r="H314" s="10">
        <f>IFERROR(IF(INDEX(ERP資料!$G:$G, (MATCH(313, 輔助計算!$G$2:$G$801, 0)+1))="","",INDEX(ERP資料!$G:$G, (MATCH(313, 輔助計算!$G$2:$G$801, 0)+1))), "")</f>
        <v/>
      </c>
      <c r="I314" s="15">
        <f>IFERROR(INDEX(輔助計算!$D:$D, (MATCH(313, 輔助計算!$G$2:$G$801, 0)+1)), "")</f>
        <v/>
      </c>
      <c r="J314" s="15">
        <f>IFERROR(IF(AND(INDEX(輔助計算!$D:$D, (MATCH(313, 輔助計算!$G$2:$G$801, 0)+1))&lt;&gt;"", INDEX(ERP資料!$G:$G, (MATCH(313, 輔助計算!$G$2:$G$801, 0)+1))&lt;&gt;""), TRIM(IF(INT(INDEX(輔助計算!$D:$D, (MATCH(313, 輔助計算!$G$2:$G$801, 0)+1))/IF(INDEX(ERP資料!$G:$G, (MATCH(313, 輔助計算!$G$2:$G$801, 0)+1))&lt;100, IF(INDEX(ERP資料!$G:$G, (MATCH(313, 輔助計算!$G$2:$G$801, 0)+1))&lt;=31,3,IF(INDEX(ERP資料!$G:$G, (MATCH(313, 輔助計算!$G$2:$G$801, 0)+1))&lt;=46.5,2,1)), IF(INDEX(ERP資料!$G:$G, (MATCH(313, 輔助計算!$G$2:$G$801, 0)+1))&lt;=790,3,IF(INDEX(ERP資料!$G:$G, (MATCH(313, 輔助計算!$G$2:$G$801, 0)+1))&lt;=1181,2,1))))&gt;0, IF(IF(INDEX(ERP資料!$G:$G, (MATCH(313, 輔助計算!$G$2:$G$801, 0)+1))&lt;100, IF(INDEX(ERP資料!$G:$G, (MATCH(313, 輔助計算!$G$2:$G$801, 0)+1))&lt;=31,3,IF(INDEX(ERP資料!$G:$G, (MATCH(313, 輔助計算!$G$2:$G$801, 0)+1))&lt;=46.5,2,1)), IF(INDEX(ERP資料!$G:$G, (MATCH(313, 輔助計算!$G$2:$G$801, 0)+1))&lt;=790,3,IF(INDEX(ERP資料!$G:$G, (MATCH(313, 輔助計算!$G$2:$G$801, 0)+1))&lt;=1181,2,1)))=1,TEXT(INDEX(ERP資料!$G:$G, (MATCH(313, 輔助計算!$G$2:$G$801, 0)+1)),"0.##"),IF(IF(INDEX(ERP資料!$G:$G, (MATCH(313, 輔助計算!$G$2:$G$801, 0)+1))&lt;100, IF(INDEX(ERP資料!$G:$G, (MATCH(313, 輔助計算!$G$2:$G$801, 0)+1))&lt;=31,3,IF(INDEX(ERP資料!$G:$G, (MATCH(313, 輔助計算!$G$2:$G$801, 0)+1))&lt;=46.5,2,1)), IF(INDEX(ERP資料!$G:$G, (MATCH(313, 輔助計算!$G$2:$G$801, 0)+1))&lt;=790,3,IF(INDEX(ERP資料!$G:$G, (MATCH(313, 輔助計算!$G$2:$G$801, 0)+1))&lt;=1181,2,1)))=2,TEXT(INDEX(ERP資料!$G:$G, (MATCH(313, 輔助計算!$G$2:$G$801, 0)+1)),"0.##")&amp;"+"&amp;TEXT(INDEX(ERP資料!$G:$G, (MATCH(313, 輔助計算!$G$2:$G$801, 0)+1)),"0.##"),TEXT(INDEX(ERP資料!$G:$G, (MATCH(313, 輔助計算!$G$2:$G$801, 0)+1)),"0.##")&amp;"+"&amp;TEXT(INDEX(ERP資料!$G:$G, (MATCH(313, 輔助計算!$G$2:$G$801, 0)+1)),"0.##")&amp;"+"&amp;TEXT(INDEX(ERP資料!$G:$G, (MATCH(313, 輔助計算!$G$2:$G$801, 0)+1)),"0.##")))&amp;"-"&amp;INT(INDEX(輔助計算!$D:$D, (MATCH(313, 輔助計算!$G$2:$G$801, 0)+1))/IF(INDEX(ERP資料!$G:$G, (MATCH(313, 輔助計算!$G$2:$G$801, 0)+1))&lt;100, IF(INDEX(ERP資料!$G:$G, (MATCH(313, 輔助計算!$G$2:$G$801, 0)+1))&lt;=31,3,IF(INDEX(ERP資料!$G:$G, (MATCH(313, 輔助計算!$G$2:$G$801, 0)+1))&lt;=46.5,2,1)), IF(INDEX(ERP資料!$G:$G, (MATCH(313, 輔助計算!$G$2:$G$801, 0)+1))&lt;=790,3,IF(INDEX(ERP資料!$G:$G, (MATCH(313, 輔助計算!$G$2:$G$801, 0)+1))&lt;=1181,2,1)))), "")&amp;IF(AND(IF(INT(INDEX(輔助計算!$D:$D, (MATCH(313, 輔助計算!$G$2:$G$801, 0)+1))/IF(INDEX(ERP資料!$G:$G, (MATCH(313, 輔助計算!$G$2:$G$801, 0)+1))&lt;100, IF(INDEX(ERP資料!$G:$G, (MATCH(313, 輔助計算!$G$2:$G$801, 0)+1))&lt;=31,3,IF(INDEX(ERP資料!$G:$G, (MATCH(313, 輔助計算!$G$2:$G$801, 0)+1))&lt;=46.5,2,1)), IF(INDEX(ERP資料!$G:$G, (MATCH(313, 輔助計算!$G$2:$G$801, 0)+1))&lt;=790,3,IF(INDEX(ERP資料!$G:$G, (MATCH(313, 輔助計算!$G$2:$G$801, 0)+1))&lt;=1181,2,1))))&gt;0, IF(IF(INDEX(ERP資料!$G:$G, (MATCH(313, 輔助計算!$G$2:$G$801, 0)+1))&lt;100, IF(INDEX(ERP資料!$G:$G, (MATCH(313, 輔助計算!$G$2:$G$801, 0)+1))&lt;=31,3,IF(INDEX(ERP資料!$G:$G, (MATCH(313, 輔助計算!$G$2:$G$801, 0)+1))&lt;=46.5,2,1)), IF(INDEX(ERP資料!$G:$G, (MATCH(313, 輔助計算!$G$2:$G$801, 0)+1))&lt;=790,3,IF(INDEX(ERP資料!$G:$G, (MATCH(313, 輔助計算!$G$2:$G$801, 0)+1))&lt;=1181,2,1)))=1,TEXT(INDEX(ERP資料!$G:$G, (MATCH(313, 輔助計算!$G$2:$G$801, 0)+1)),"0.##"),IF(IF(INDEX(ERP資料!$G:$G, (MATCH(313, 輔助計算!$G$2:$G$801, 0)+1))&lt;100, IF(INDEX(ERP資料!$G:$G, (MATCH(313, 輔助計算!$G$2:$G$801, 0)+1))&lt;=31,3,IF(INDEX(ERP資料!$G:$G, (MATCH(313, 輔助計算!$G$2:$G$801, 0)+1))&lt;=46.5,2,1)), IF(INDEX(ERP資料!$G:$G, (MATCH(313, 輔助計算!$G$2:$G$801, 0)+1))&lt;=790,3,IF(INDEX(ERP資料!$G:$G, (MATCH(313, 輔助計算!$G$2:$G$801, 0)+1))&lt;=1181,2,1)))=2,TEXT(INDEX(ERP資料!$G:$G, (MATCH(313, 輔助計算!$G$2:$G$801, 0)+1)),"0.##")&amp;"+"&amp;TEXT(INDEX(ERP資料!$G:$G, (MATCH(313, 輔助計算!$G$2:$G$801, 0)+1)),"0.##"),TEXT(INDEX(ERP資料!$G:$G, (MATCH(313, 輔助計算!$G$2:$G$801, 0)+1)),"0.##")&amp;"+"&amp;TEXT(INDEX(ERP資料!$G:$G, (MATCH(313, 輔助計算!$G$2:$G$801, 0)+1)),"0.##")&amp;"+"&amp;TEXT(INDEX(ERP資料!$G:$G, (MATCH(313, 輔助計算!$G$2:$G$801, 0)+1)),"0.##")))&amp;"-"&amp;INT(INDEX(輔助計算!$D:$D, (MATCH(313, 輔助計算!$G$2:$G$801, 0)+1))/IF(INDEX(ERP資料!$G:$G, (MATCH(313, 輔助計算!$G$2:$G$801, 0)+1))&lt;100, IF(INDEX(ERP資料!$G:$G, (MATCH(313, 輔助計算!$G$2:$G$801, 0)+1))&lt;=31,3,IF(INDEX(ERP資料!$G:$G, (MATCH(313, 輔助計算!$G$2:$G$801, 0)+1))&lt;=46.5,2,1)), IF(INDEX(ERP資料!$G:$G, (MATCH(313, 輔助計算!$G$2:$G$801, 0)+1))&lt;=790,3,IF(INDEX(ERP資料!$G:$G, (MATCH(313, 輔助計算!$G$2:$G$801, 0)+1))&lt;=1181,2,1)))), "")&lt;&gt;"",IF(MOD(INDEX(輔助計算!$D:$D, (MATCH(313, 輔助計算!$G$2:$G$801, 0)+1)),IF(INDEX(ERP資料!$G:$G, (MATCH(313, 輔助計算!$G$2:$G$801, 0)+1))&lt;100, IF(INDEX(ERP資料!$G:$G, (MATCH(313, 輔助計算!$G$2:$G$801, 0)+1))&lt;=31,3,IF(INDEX(ERP資料!$G:$G, (MATCH(313, 輔助計算!$G$2:$G$801, 0)+1))&lt;=46.5,2,1)), IF(INDEX(ERP資料!$G:$G, (MATCH(313, 輔助計算!$G$2:$G$801, 0)+1))&lt;=790,3,IF(INDEX(ERP資料!$G:$G, (MATCH(313, 輔助計算!$G$2:$G$801, 0)+1))&lt;=1181,2,1))))=0,"",IF(MOD(INDEX(輔助計算!$D:$D, (MATCH(313, 輔助計算!$G$2:$G$801, 0)+1)),IF(INDEX(ERP資料!$G:$G, (MATCH(313, 輔助計算!$G$2:$G$801, 0)+1))&lt;100, IF(INDEX(ERP資料!$G:$G, (MATCH(313, 輔助計算!$G$2:$G$801, 0)+1))&lt;=31,3,IF(INDEX(ERP資料!$G:$G, (MATCH(313, 輔助計算!$G$2:$G$801, 0)+1))&lt;=46.5,2,1)), IF(INDEX(ERP資料!$G:$G, (MATCH(313, 輔助計算!$G$2:$G$801, 0)+1))&lt;=790,3,IF(INDEX(ERP資料!$G:$G, (MATCH(313, 輔助計算!$G$2:$G$801, 0)+1))&lt;=1181,2,1))))=0,"",IF(MOD(INDEX(輔助計算!$D:$D, (MATCH(313, 輔助計算!$G$2:$G$801, 0)+1)),IF(INDEX(ERP資料!$G:$G, (MATCH(313, 輔助計算!$G$2:$G$801, 0)+1))&lt;100, IF(INDEX(ERP資料!$G:$G, (MATCH(313, 輔助計算!$G$2:$G$801, 0)+1))&lt;=31,3,IF(INDEX(ERP資料!$G:$G, (MATCH(313, 輔助計算!$G$2:$G$801, 0)+1))&lt;=46.5,2,1)), IF(INDEX(ERP資料!$G:$G, (MATCH(313, 輔助計算!$G$2:$G$801, 0)+1))&lt;=790,3,IF(INDEX(ERP資料!$G:$G, (MATCH(313, 輔助計算!$G$2:$G$801, 0)+1))&lt;=1181,2,1))))=1,TEXT(INDEX(ERP資料!$G:$G, (MATCH(313, 輔助計算!$G$2:$G$801, 0)+1)),"0.##"),IF(MOD(INDEX(輔助計算!$D:$D, (MATCH(313, 輔助計算!$G$2:$G$801, 0)+1)),IF(INDEX(ERP資料!$G:$G, (MATCH(313, 輔助計算!$G$2:$G$801, 0)+1))&lt;100, IF(INDEX(ERP資料!$G:$G, (MATCH(313, 輔助計算!$G$2:$G$801, 0)+1))&lt;=31,3,IF(INDEX(ERP資料!$G:$G, (MATCH(313, 輔助計算!$G$2:$G$801, 0)+1))&lt;=46.5,2,1)), IF(INDEX(ERP資料!$G:$G, (MATCH(313, 輔助計算!$G$2:$G$801, 0)+1))&lt;=790,3,IF(INDEX(ERP資料!$G:$G, (MATCH(313, 輔助計算!$G$2:$G$801, 0)+1))&lt;=1181,2,1))))=2,TEXT(INDEX(ERP資料!$G:$G, (MATCH(313, 輔助計算!$G$2:$G$801, 0)+1)),"0.##")&amp;"+"&amp;TEXT(INDEX(ERP資料!$G:$G, (MATCH(313, 輔助計算!$G$2:$G$801, 0)+1)),"0.##"),TEXT(INDEX(ERP資料!$G:$G, (MATCH(313, 輔助計算!$G$2:$G$801, 0)+1)),"0.##")&amp;"+"&amp;TEXT(INDEX(ERP資料!$G:$G, (MATCH(313, 輔助計算!$G$2:$G$801, 0)+1)),"0.##")&amp;"+"&amp;TEXT(INDEX(ERP資料!$G:$G, (MATCH(313, 輔助計算!$G$2:$G$801, 0)+1)),"0.##"))))&amp;"-1")&lt;&gt;""),"  ","")&amp;IF(MOD(INDEX(輔助計算!$D:$D, (MATCH(313, 輔助計算!$G$2:$G$801, 0)+1)),IF(INDEX(ERP資料!$G:$G, (MATCH(313, 輔助計算!$G$2:$G$801, 0)+1))&lt;100, IF(INDEX(ERP資料!$G:$G, (MATCH(313, 輔助計算!$G$2:$G$801, 0)+1))&lt;=31,3,IF(INDEX(ERP資料!$G:$G, (MATCH(313, 輔助計算!$G$2:$G$801, 0)+1))&lt;=46.5,2,1)), IF(INDEX(ERP資料!$G:$G, (MATCH(313, 輔助計算!$G$2:$G$801, 0)+1))&lt;=790,3,IF(INDEX(ERP資料!$G:$G, (MATCH(313, 輔助計算!$G$2:$G$801, 0)+1))&lt;=1181,2,1))))=0,"",IF(MOD(INDEX(輔助計算!$D:$D, (MATCH(313, 輔助計算!$G$2:$G$801, 0)+1)),IF(INDEX(ERP資料!$G:$G, (MATCH(313, 輔助計算!$G$2:$G$801, 0)+1))&lt;100, IF(INDEX(ERP資料!$G:$G, (MATCH(313, 輔助計算!$G$2:$G$801, 0)+1))&lt;=31,3,IF(INDEX(ERP資料!$G:$G, (MATCH(313, 輔助計算!$G$2:$G$801, 0)+1))&lt;=46.5,2,1)), IF(INDEX(ERP資料!$G:$G, (MATCH(313, 輔助計算!$G$2:$G$801, 0)+1))&lt;=790,3,IF(INDEX(ERP資料!$G:$G, (MATCH(313, 輔助計算!$G$2:$G$801, 0)+1))&lt;=1181,2,1))))=0,"",IF(MOD(INDEX(輔助計算!$D:$D, (MATCH(313, 輔助計算!$G$2:$G$801, 0)+1)),IF(INDEX(ERP資料!$G:$G, (MATCH(313, 輔助計算!$G$2:$G$801, 0)+1))&lt;100, IF(INDEX(ERP資料!$G:$G, (MATCH(313, 輔助計算!$G$2:$G$801, 0)+1))&lt;=31,3,IF(INDEX(ERP資料!$G:$G, (MATCH(313, 輔助計算!$G$2:$G$801, 0)+1))&lt;=46.5,2,1)), IF(INDEX(ERP資料!$G:$G, (MATCH(313, 輔助計算!$G$2:$G$801, 0)+1))&lt;=790,3,IF(INDEX(ERP資料!$G:$G, (MATCH(313, 輔助計算!$G$2:$G$801, 0)+1))&lt;=1181,2,1))))=1,TEXT(INDEX(ERP資料!$G:$G, (MATCH(313, 輔助計算!$G$2:$G$801, 0)+1)),"0.##"),IF(MOD(INDEX(輔助計算!$D:$D, (MATCH(313, 輔助計算!$G$2:$G$801, 0)+1)),IF(INDEX(ERP資料!$G:$G, (MATCH(313, 輔助計算!$G$2:$G$801, 0)+1))&lt;100, IF(INDEX(ERP資料!$G:$G, (MATCH(313, 輔助計算!$G$2:$G$801, 0)+1))&lt;=31,3,IF(INDEX(ERP資料!$G:$G, (MATCH(313, 輔助計算!$G$2:$G$801, 0)+1))&lt;=46.5,2,1)), IF(INDEX(ERP資料!$G:$G, (MATCH(313, 輔助計算!$G$2:$G$801, 0)+1))&lt;=790,3,IF(INDEX(ERP資料!$G:$G, (MATCH(313, 輔助計算!$G$2:$G$801, 0)+1))&lt;=1181,2,1))))=2,TEXT(INDEX(ERP資料!$G:$G, (MATCH(313, 輔助計算!$G$2:$G$801, 0)+1)),"0.##")&amp;"+"&amp;TEXT(INDEX(ERP資料!$G:$G, (MATCH(313, 輔助計算!$G$2:$G$801, 0)+1)),"0.##"),TEXT(INDEX(ERP資料!$G:$G, (MATCH(313, 輔助計算!$G$2:$G$801, 0)+1)),"0.##")&amp;"+"&amp;TEXT(INDEX(ERP資料!$G:$G, (MATCH(313, 輔助計算!$G$2:$G$801, 0)+1)),"0.##")&amp;"+"&amp;TEXT(INDEX(ERP資料!$G:$G, (MATCH(313, 輔助計算!$G$2:$G$801, 0)+1)),"0.##"))))&amp;"-1")), ""), "")</f>
        <v/>
      </c>
      <c r="K314" s="16" t="n"/>
      <c r="L314" s="14">
        <f>IFERROR(IF(AND(IFERROR(INDEX(ERP資料!$A:$A, (MATCH(313, 輔助計算!$G$2:$G$801, 0)+1)), "")&lt;&gt;"", IFERROR(INDEX(ERP資料!$A:$A, (MATCH(313, 輔助計算!$G$2:$G$801, 0)+1)), "")&lt;&gt;IFERROR(INDEX(ERP資料!$A:$A, MATCH(312, 輔助計算!$G$2:$G$801, 0)+1), "")), INDEX(ERP資料!$B:$B, (MATCH(313, 輔助計算!$G$2:$G$801, 0)+1)), ""), "")</f>
        <v/>
      </c>
      <c r="M314" s="17" t="n"/>
    </row>
    <row r="315">
      <c r="A315" s="10">
        <f>IFERROR(IF(AND(IFERROR(INDEX(ERP資料!$A:$A, (MATCH(314, 輔助計算!$G$2:$G$801, 0)+1)), "")&lt;&gt;"", IFERROR(INDEX(ERP資料!$A:$A, (MATCH(314, 輔助計算!$G$2:$G$801, 0)+1)), "")&lt;&gt;IFERROR(INDEX(ERP資料!$A:$A, MATCH(313, 輔助計算!$G$2:$G$801, 0)+1), "")), IFERROR(INDEX(ERP資料!$A:$A, (MATCH(314, 輔助計算!$G$2:$G$801, 0)+1)), ""), ""), "")</f>
        <v/>
      </c>
      <c r="B315" s="10">
        <f>IFERROR(IF(AND(IFERROR(INDEX(ERP資料!$A:$A, (MATCH(314, 輔助計算!$G$2:$G$801, 0)+1)), "")&lt;&gt;"", IFERROR(INDEX(ERP資料!$A:$A, (MATCH(314, 輔助計算!$G$2:$G$801, 0)+1)), "")&lt;&gt;IFERROR(INDEX(ERP資料!$A:$A, MATCH(313, 輔助計算!$G$2:$G$801, 0)+1), "")), INDEX(ERP資料!$S:$S, (MATCH(314, 輔助計算!$G$2:$G$801, 0)+1)), ""), "")</f>
        <v/>
      </c>
      <c r="C315" s="19">
        <f>IFERROR(IF(AND(IFERROR(INDEX(ERP資料!$A:$A, (MATCH(314, 輔助計算!$G$2:$G$801, 0)+1)), "")&lt;&gt;"", IFERROR(INDEX(ERP資料!$A:$A, (MATCH(314, 輔助計算!$G$2:$G$801, 0)+1)), "")&lt;&gt;IFERROR(INDEX(ERP資料!$A:$A, MATCH(313, 輔助計算!$G$2:$G$801, 0)+1), "")), IFERROR(VLOOKUP(LEFT(INDEX(ERP資料!$S:$S, (MATCH(314, 輔助計算!$G$2:$G$801, 0)+1)), 4), 紙管對照表!$A:$C, 3, FALSE), ""), ""), "")</f>
        <v/>
      </c>
      <c r="D315" s="16" t="n"/>
      <c r="E315" s="10">
        <f>IFERROR(IF(INDEX(ERP資料!$H:$H, (MATCH(314, 輔助計算!$G$2:$G$801, 0)+1))="","",INDEX(ERP資料!$H:$H, (MATCH(314, 輔助計算!$G$2:$G$801, 0)+1))), "")</f>
        <v/>
      </c>
      <c r="F315" s="10">
        <f>IFERROR(IF(INDEX(ERP資料!$E:$E, (MATCH(314, 輔助計算!$G$2:$G$801, 0)+1))="","",TRIM(INDEX(ERP資料!$E:$E, (MATCH(314, 輔助計算!$G$2:$G$801, 0)+1)))), "")</f>
        <v/>
      </c>
      <c r="G315" s="10">
        <f>IFERROR(IF(INDEX(ERP資料!$F:$F, (MATCH(314, 輔助計算!$G$2:$G$801, 0)+1))="","",INDEX(ERP資料!$F:$F, (MATCH(314, 輔助計算!$G$2:$G$801, 0)+1))), "")</f>
        <v/>
      </c>
      <c r="H315" s="10">
        <f>IFERROR(IF(INDEX(ERP資料!$G:$G, (MATCH(314, 輔助計算!$G$2:$G$801, 0)+1))="","",INDEX(ERP資料!$G:$G, (MATCH(314, 輔助計算!$G$2:$G$801, 0)+1))), "")</f>
        <v/>
      </c>
      <c r="I315" s="15">
        <f>IFERROR(INDEX(輔助計算!$D:$D, (MATCH(314, 輔助計算!$G$2:$G$801, 0)+1)), "")</f>
        <v/>
      </c>
      <c r="J315" s="15">
        <f>IFERROR(IF(AND(INDEX(輔助計算!$D:$D, (MATCH(314, 輔助計算!$G$2:$G$801, 0)+1))&lt;&gt;"", INDEX(ERP資料!$G:$G, (MATCH(314, 輔助計算!$G$2:$G$801, 0)+1))&lt;&gt;""), TRIM(IF(INT(INDEX(輔助計算!$D:$D, (MATCH(314, 輔助計算!$G$2:$G$801, 0)+1))/IF(INDEX(ERP資料!$G:$G, (MATCH(314, 輔助計算!$G$2:$G$801, 0)+1))&lt;100, IF(INDEX(ERP資料!$G:$G, (MATCH(314, 輔助計算!$G$2:$G$801, 0)+1))&lt;=31,3,IF(INDEX(ERP資料!$G:$G, (MATCH(314, 輔助計算!$G$2:$G$801, 0)+1))&lt;=46.5,2,1)), IF(INDEX(ERP資料!$G:$G, (MATCH(314, 輔助計算!$G$2:$G$801, 0)+1))&lt;=790,3,IF(INDEX(ERP資料!$G:$G, (MATCH(314, 輔助計算!$G$2:$G$801, 0)+1))&lt;=1181,2,1))))&gt;0, IF(IF(INDEX(ERP資料!$G:$G, (MATCH(314, 輔助計算!$G$2:$G$801, 0)+1))&lt;100, IF(INDEX(ERP資料!$G:$G, (MATCH(314, 輔助計算!$G$2:$G$801, 0)+1))&lt;=31,3,IF(INDEX(ERP資料!$G:$G, (MATCH(314, 輔助計算!$G$2:$G$801, 0)+1))&lt;=46.5,2,1)), IF(INDEX(ERP資料!$G:$G, (MATCH(314, 輔助計算!$G$2:$G$801, 0)+1))&lt;=790,3,IF(INDEX(ERP資料!$G:$G, (MATCH(314, 輔助計算!$G$2:$G$801, 0)+1))&lt;=1181,2,1)))=1,TEXT(INDEX(ERP資料!$G:$G, (MATCH(314, 輔助計算!$G$2:$G$801, 0)+1)),"0.##"),IF(IF(INDEX(ERP資料!$G:$G, (MATCH(314, 輔助計算!$G$2:$G$801, 0)+1))&lt;100, IF(INDEX(ERP資料!$G:$G, (MATCH(314, 輔助計算!$G$2:$G$801, 0)+1))&lt;=31,3,IF(INDEX(ERP資料!$G:$G, (MATCH(314, 輔助計算!$G$2:$G$801, 0)+1))&lt;=46.5,2,1)), IF(INDEX(ERP資料!$G:$G, (MATCH(314, 輔助計算!$G$2:$G$801, 0)+1))&lt;=790,3,IF(INDEX(ERP資料!$G:$G, (MATCH(314, 輔助計算!$G$2:$G$801, 0)+1))&lt;=1181,2,1)))=2,TEXT(INDEX(ERP資料!$G:$G, (MATCH(314, 輔助計算!$G$2:$G$801, 0)+1)),"0.##")&amp;"+"&amp;TEXT(INDEX(ERP資料!$G:$G, (MATCH(314, 輔助計算!$G$2:$G$801, 0)+1)),"0.##"),TEXT(INDEX(ERP資料!$G:$G, (MATCH(314, 輔助計算!$G$2:$G$801, 0)+1)),"0.##")&amp;"+"&amp;TEXT(INDEX(ERP資料!$G:$G, (MATCH(314, 輔助計算!$G$2:$G$801, 0)+1)),"0.##")&amp;"+"&amp;TEXT(INDEX(ERP資料!$G:$G, (MATCH(314, 輔助計算!$G$2:$G$801, 0)+1)),"0.##")))&amp;"-"&amp;INT(INDEX(輔助計算!$D:$D, (MATCH(314, 輔助計算!$G$2:$G$801, 0)+1))/IF(INDEX(ERP資料!$G:$G, (MATCH(314, 輔助計算!$G$2:$G$801, 0)+1))&lt;100, IF(INDEX(ERP資料!$G:$G, (MATCH(314, 輔助計算!$G$2:$G$801, 0)+1))&lt;=31,3,IF(INDEX(ERP資料!$G:$G, (MATCH(314, 輔助計算!$G$2:$G$801, 0)+1))&lt;=46.5,2,1)), IF(INDEX(ERP資料!$G:$G, (MATCH(314, 輔助計算!$G$2:$G$801, 0)+1))&lt;=790,3,IF(INDEX(ERP資料!$G:$G, (MATCH(314, 輔助計算!$G$2:$G$801, 0)+1))&lt;=1181,2,1)))), "")&amp;IF(AND(IF(INT(INDEX(輔助計算!$D:$D, (MATCH(314, 輔助計算!$G$2:$G$801, 0)+1))/IF(INDEX(ERP資料!$G:$G, (MATCH(314, 輔助計算!$G$2:$G$801, 0)+1))&lt;100, IF(INDEX(ERP資料!$G:$G, (MATCH(314, 輔助計算!$G$2:$G$801, 0)+1))&lt;=31,3,IF(INDEX(ERP資料!$G:$G, (MATCH(314, 輔助計算!$G$2:$G$801, 0)+1))&lt;=46.5,2,1)), IF(INDEX(ERP資料!$G:$G, (MATCH(314, 輔助計算!$G$2:$G$801, 0)+1))&lt;=790,3,IF(INDEX(ERP資料!$G:$G, (MATCH(314, 輔助計算!$G$2:$G$801, 0)+1))&lt;=1181,2,1))))&gt;0, IF(IF(INDEX(ERP資料!$G:$G, (MATCH(314, 輔助計算!$G$2:$G$801, 0)+1))&lt;100, IF(INDEX(ERP資料!$G:$G, (MATCH(314, 輔助計算!$G$2:$G$801, 0)+1))&lt;=31,3,IF(INDEX(ERP資料!$G:$G, (MATCH(314, 輔助計算!$G$2:$G$801, 0)+1))&lt;=46.5,2,1)), IF(INDEX(ERP資料!$G:$G, (MATCH(314, 輔助計算!$G$2:$G$801, 0)+1))&lt;=790,3,IF(INDEX(ERP資料!$G:$G, (MATCH(314, 輔助計算!$G$2:$G$801, 0)+1))&lt;=1181,2,1)))=1,TEXT(INDEX(ERP資料!$G:$G, (MATCH(314, 輔助計算!$G$2:$G$801, 0)+1)),"0.##"),IF(IF(INDEX(ERP資料!$G:$G, (MATCH(314, 輔助計算!$G$2:$G$801, 0)+1))&lt;100, IF(INDEX(ERP資料!$G:$G, (MATCH(314, 輔助計算!$G$2:$G$801, 0)+1))&lt;=31,3,IF(INDEX(ERP資料!$G:$G, (MATCH(314, 輔助計算!$G$2:$G$801, 0)+1))&lt;=46.5,2,1)), IF(INDEX(ERP資料!$G:$G, (MATCH(314, 輔助計算!$G$2:$G$801, 0)+1))&lt;=790,3,IF(INDEX(ERP資料!$G:$G, (MATCH(314, 輔助計算!$G$2:$G$801, 0)+1))&lt;=1181,2,1)))=2,TEXT(INDEX(ERP資料!$G:$G, (MATCH(314, 輔助計算!$G$2:$G$801, 0)+1)),"0.##")&amp;"+"&amp;TEXT(INDEX(ERP資料!$G:$G, (MATCH(314, 輔助計算!$G$2:$G$801, 0)+1)),"0.##"),TEXT(INDEX(ERP資料!$G:$G, (MATCH(314, 輔助計算!$G$2:$G$801, 0)+1)),"0.##")&amp;"+"&amp;TEXT(INDEX(ERP資料!$G:$G, (MATCH(314, 輔助計算!$G$2:$G$801, 0)+1)),"0.##")&amp;"+"&amp;TEXT(INDEX(ERP資料!$G:$G, (MATCH(314, 輔助計算!$G$2:$G$801, 0)+1)),"0.##")))&amp;"-"&amp;INT(INDEX(輔助計算!$D:$D, (MATCH(314, 輔助計算!$G$2:$G$801, 0)+1))/IF(INDEX(ERP資料!$G:$G, (MATCH(314, 輔助計算!$G$2:$G$801, 0)+1))&lt;100, IF(INDEX(ERP資料!$G:$G, (MATCH(314, 輔助計算!$G$2:$G$801, 0)+1))&lt;=31,3,IF(INDEX(ERP資料!$G:$G, (MATCH(314, 輔助計算!$G$2:$G$801, 0)+1))&lt;=46.5,2,1)), IF(INDEX(ERP資料!$G:$G, (MATCH(314, 輔助計算!$G$2:$G$801, 0)+1))&lt;=790,3,IF(INDEX(ERP資料!$G:$G, (MATCH(314, 輔助計算!$G$2:$G$801, 0)+1))&lt;=1181,2,1)))), "")&lt;&gt;"",IF(MOD(INDEX(輔助計算!$D:$D, (MATCH(314, 輔助計算!$G$2:$G$801, 0)+1)),IF(INDEX(ERP資料!$G:$G, (MATCH(314, 輔助計算!$G$2:$G$801, 0)+1))&lt;100, IF(INDEX(ERP資料!$G:$G, (MATCH(314, 輔助計算!$G$2:$G$801, 0)+1))&lt;=31,3,IF(INDEX(ERP資料!$G:$G, (MATCH(314, 輔助計算!$G$2:$G$801, 0)+1))&lt;=46.5,2,1)), IF(INDEX(ERP資料!$G:$G, (MATCH(314, 輔助計算!$G$2:$G$801, 0)+1))&lt;=790,3,IF(INDEX(ERP資料!$G:$G, (MATCH(314, 輔助計算!$G$2:$G$801, 0)+1))&lt;=1181,2,1))))=0,"",IF(MOD(INDEX(輔助計算!$D:$D, (MATCH(314, 輔助計算!$G$2:$G$801, 0)+1)),IF(INDEX(ERP資料!$G:$G, (MATCH(314, 輔助計算!$G$2:$G$801, 0)+1))&lt;100, IF(INDEX(ERP資料!$G:$G, (MATCH(314, 輔助計算!$G$2:$G$801, 0)+1))&lt;=31,3,IF(INDEX(ERP資料!$G:$G, (MATCH(314, 輔助計算!$G$2:$G$801, 0)+1))&lt;=46.5,2,1)), IF(INDEX(ERP資料!$G:$G, (MATCH(314, 輔助計算!$G$2:$G$801, 0)+1))&lt;=790,3,IF(INDEX(ERP資料!$G:$G, (MATCH(314, 輔助計算!$G$2:$G$801, 0)+1))&lt;=1181,2,1))))=0,"",IF(MOD(INDEX(輔助計算!$D:$D, (MATCH(314, 輔助計算!$G$2:$G$801, 0)+1)),IF(INDEX(ERP資料!$G:$G, (MATCH(314, 輔助計算!$G$2:$G$801, 0)+1))&lt;100, IF(INDEX(ERP資料!$G:$G, (MATCH(314, 輔助計算!$G$2:$G$801, 0)+1))&lt;=31,3,IF(INDEX(ERP資料!$G:$G, (MATCH(314, 輔助計算!$G$2:$G$801, 0)+1))&lt;=46.5,2,1)), IF(INDEX(ERP資料!$G:$G, (MATCH(314, 輔助計算!$G$2:$G$801, 0)+1))&lt;=790,3,IF(INDEX(ERP資料!$G:$G, (MATCH(314, 輔助計算!$G$2:$G$801, 0)+1))&lt;=1181,2,1))))=1,TEXT(INDEX(ERP資料!$G:$G, (MATCH(314, 輔助計算!$G$2:$G$801, 0)+1)),"0.##"),IF(MOD(INDEX(輔助計算!$D:$D, (MATCH(314, 輔助計算!$G$2:$G$801, 0)+1)),IF(INDEX(ERP資料!$G:$G, (MATCH(314, 輔助計算!$G$2:$G$801, 0)+1))&lt;100, IF(INDEX(ERP資料!$G:$G, (MATCH(314, 輔助計算!$G$2:$G$801, 0)+1))&lt;=31,3,IF(INDEX(ERP資料!$G:$G, (MATCH(314, 輔助計算!$G$2:$G$801, 0)+1))&lt;=46.5,2,1)), IF(INDEX(ERP資料!$G:$G, (MATCH(314, 輔助計算!$G$2:$G$801, 0)+1))&lt;=790,3,IF(INDEX(ERP資料!$G:$G, (MATCH(314, 輔助計算!$G$2:$G$801, 0)+1))&lt;=1181,2,1))))=2,TEXT(INDEX(ERP資料!$G:$G, (MATCH(314, 輔助計算!$G$2:$G$801, 0)+1)),"0.##")&amp;"+"&amp;TEXT(INDEX(ERP資料!$G:$G, (MATCH(314, 輔助計算!$G$2:$G$801, 0)+1)),"0.##"),TEXT(INDEX(ERP資料!$G:$G, (MATCH(314, 輔助計算!$G$2:$G$801, 0)+1)),"0.##")&amp;"+"&amp;TEXT(INDEX(ERP資料!$G:$G, (MATCH(314, 輔助計算!$G$2:$G$801, 0)+1)),"0.##")&amp;"+"&amp;TEXT(INDEX(ERP資料!$G:$G, (MATCH(314, 輔助計算!$G$2:$G$801, 0)+1)),"0.##"))))&amp;"-1")&lt;&gt;""),"  ","")&amp;IF(MOD(INDEX(輔助計算!$D:$D, (MATCH(314, 輔助計算!$G$2:$G$801, 0)+1)),IF(INDEX(ERP資料!$G:$G, (MATCH(314, 輔助計算!$G$2:$G$801, 0)+1))&lt;100, IF(INDEX(ERP資料!$G:$G, (MATCH(314, 輔助計算!$G$2:$G$801, 0)+1))&lt;=31,3,IF(INDEX(ERP資料!$G:$G, (MATCH(314, 輔助計算!$G$2:$G$801, 0)+1))&lt;=46.5,2,1)), IF(INDEX(ERP資料!$G:$G, (MATCH(314, 輔助計算!$G$2:$G$801, 0)+1))&lt;=790,3,IF(INDEX(ERP資料!$G:$G, (MATCH(314, 輔助計算!$G$2:$G$801, 0)+1))&lt;=1181,2,1))))=0,"",IF(MOD(INDEX(輔助計算!$D:$D, (MATCH(314, 輔助計算!$G$2:$G$801, 0)+1)),IF(INDEX(ERP資料!$G:$G, (MATCH(314, 輔助計算!$G$2:$G$801, 0)+1))&lt;100, IF(INDEX(ERP資料!$G:$G, (MATCH(314, 輔助計算!$G$2:$G$801, 0)+1))&lt;=31,3,IF(INDEX(ERP資料!$G:$G, (MATCH(314, 輔助計算!$G$2:$G$801, 0)+1))&lt;=46.5,2,1)), IF(INDEX(ERP資料!$G:$G, (MATCH(314, 輔助計算!$G$2:$G$801, 0)+1))&lt;=790,3,IF(INDEX(ERP資料!$G:$G, (MATCH(314, 輔助計算!$G$2:$G$801, 0)+1))&lt;=1181,2,1))))=0,"",IF(MOD(INDEX(輔助計算!$D:$D, (MATCH(314, 輔助計算!$G$2:$G$801, 0)+1)),IF(INDEX(ERP資料!$G:$G, (MATCH(314, 輔助計算!$G$2:$G$801, 0)+1))&lt;100, IF(INDEX(ERP資料!$G:$G, (MATCH(314, 輔助計算!$G$2:$G$801, 0)+1))&lt;=31,3,IF(INDEX(ERP資料!$G:$G, (MATCH(314, 輔助計算!$G$2:$G$801, 0)+1))&lt;=46.5,2,1)), IF(INDEX(ERP資料!$G:$G, (MATCH(314, 輔助計算!$G$2:$G$801, 0)+1))&lt;=790,3,IF(INDEX(ERP資料!$G:$G, (MATCH(314, 輔助計算!$G$2:$G$801, 0)+1))&lt;=1181,2,1))))=1,TEXT(INDEX(ERP資料!$G:$G, (MATCH(314, 輔助計算!$G$2:$G$801, 0)+1)),"0.##"),IF(MOD(INDEX(輔助計算!$D:$D, (MATCH(314, 輔助計算!$G$2:$G$801, 0)+1)),IF(INDEX(ERP資料!$G:$G, (MATCH(314, 輔助計算!$G$2:$G$801, 0)+1))&lt;100, IF(INDEX(ERP資料!$G:$G, (MATCH(314, 輔助計算!$G$2:$G$801, 0)+1))&lt;=31,3,IF(INDEX(ERP資料!$G:$G, (MATCH(314, 輔助計算!$G$2:$G$801, 0)+1))&lt;=46.5,2,1)), IF(INDEX(ERP資料!$G:$G, (MATCH(314, 輔助計算!$G$2:$G$801, 0)+1))&lt;=790,3,IF(INDEX(ERP資料!$G:$G, (MATCH(314, 輔助計算!$G$2:$G$801, 0)+1))&lt;=1181,2,1))))=2,TEXT(INDEX(ERP資料!$G:$G, (MATCH(314, 輔助計算!$G$2:$G$801, 0)+1)),"0.##")&amp;"+"&amp;TEXT(INDEX(ERP資料!$G:$G, (MATCH(314, 輔助計算!$G$2:$G$801, 0)+1)),"0.##"),TEXT(INDEX(ERP資料!$G:$G, (MATCH(314, 輔助計算!$G$2:$G$801, 0)+1)),"0.##")&amp;"+"&amp;TEXT(INDEX(ERP資料!$G:$G, (MATCH(314, 輔助計算!$G$2:$G$801, 0)+1)),"0.##")&amp;"+"&amp;TEXT(INDEX(ERP資料!$G:$G, (MATCH(314, 輔助計算!$G$2:$G$801, 0)+1)),"0.##"))))&amp;"-1")), ""), "")</f>
        <v/>
      </c>
      <c r="K315" s="16" t="n"/>
      <c r="L315" s="14">
        <f>IFERROR(IF(AND(IFERROR(INDEX(ERP資料!$A:$A, (MATCH(314, 輔助計算!$G$2:$G$801, 0)+1)), "")&lt;&gt;"", IFERROR(INDEX(ERP資料!$A:$A, (MATCH(314, 輔助計算!$G$2:$G$801, 0)+1)), "")&lt;&gt;IFERROR(INDEX(ERP資料!$A:$A, MATCH(313, 輔助計算!$G$2:$G$801, 0)+1), "")), INDEX(ERP資料!$B:$B, (MATCH(314, 輔助計算!$G$2:$G$801, 0)+1)), ""), "")</f>
        <v/>
      </c>
      <c r="M315" s="17" t="n"/>
    </row>
    <row r="316">
      <c r="A316" s="10">
        <f>IFERROR(IF(AND(IFERROR(INDEX(ERP資料!$A:$A, (MATCH(315, 輔助計算!$G$2:$G$801, 0)+1)), "")&lt;&gt;"", IFERROR(INDEX(ERP資料!$A:$A, (MATCH(315, 輔助計算!$G$2:$G$801, 0)+1)), "")&lt;&gt;IFERROR(INDEX(ERP資料!$A:$A, MATCH(314, 輔助計算!$G$2:$G$801, 0)+1), "")), IFERROR(INDEX(ERP資料!$A:$A, (MATCH(315, 輔助計算!$G$2:$G$801, 0)+1)), ""), ""), "")</f>
        <v/>
      </c>
      <c r="B316" s="10">
        <f>IFERROR(IF(AND(IFERROR(INDEX(ERP資料!$A:$A, (MATCH(315, 輔助計算!$G$2:$G$801, 0)+1)), "")&lt;&gt;"", IFERROR(INDEX(ERP資料!$A:$A, (MATCH(315, 輔助計算!$G$2:$G$801, 0)+1)), "")&lt;&gt;IFERROR(INDEX(ERP資料!$A:$A, MATCH(314, 輔助計算!$G$2:$G$801, 0)+1), "")), INDEX(ERP資料!$S:$S, (MATCH(315, 輔助計算!$G$2:$G$801, 0)+1)), ""), "")</f>
        <v/>
      </c>
      <c r="C316" s="19">
        <f>IFERROR(IF(AND(IFERROR(INDEX(ERP資料!$A:$A, (MATCH(315, 輔助計算!$G$2:$G$801, 0)+1)), "")&lt;&gt;"", IFERROR(INDEX(ERP資料!$A:$A, (MATCH(315, 輔助計算!$G$2:$G$801, 0)+1)), "")&lt;&gt;IFERROR(INDEX(ERP資料!$A:$A, MATCH(314, 輔助計算!$G$2:$G$801, 0)+1), "")), IFERROR(VLOOKUP(LEFT(INDEX(ERP資料!$S:$S, (MATCH(315, 輔助計算!$G$2:$G$801, 0)+1)), 4), 紙管對照表!$A:$C, 3, FALSE), ""), ""), "")</f>
        <v/>
      </c>
      <c r="D316" s="16" t="n"/>
      <c r="E316" s="10">
        <f>IFERROR(IF(INDEX(ERP資料!$H:$H, (MATCH(315, 輔助計算!$G$2:$G$801, 0)+1))="","",INDEX(ERP資料!$H:$H, (MATCH(315, 輔助計算!$G$2:$G$801, 0)+1))), "")</f>
        <v/>
      </c>
      <c r="F316" s="10">
        <f>IFERROR(IF(INDEX(ERP資料!$E:$E, (MATCH(315, 輔助計算!$G$2:$G$801, 0)+1))="","",TRIM(INDEX(ERP資料!$E:$E, (MATCH(315, 輔助計算!$G$2:$G$801, 0)+1)))), "")</f>
        <v/>
      </c>
      <c r="G316" s="10">
        <f>IFERROR(IF(INDEX(ERP資料!$F:$F, (MATCH(315, 輔助計算!$G$2:$G$801, 0)+1))="","",INDEX(ERP資料!$F:$F, (MATCH(315, 輔助計算!$G$2:$G$801, 0)+1))), "")</f>
        <v/>
      </c>
      <c r="H316" s="10">
        <f>IFERROR(IF(INDEX(ERP資料!$G:$G, (MATCH(315, 輔助計算!$G$2:$G$801, 0)+1))="","",INDEX(ERP資料!$G:$G, (MATCH(315, 輔助計算!$G$2:$G$801, 0)+1))), "")</f>
        <v/>
      </c>
      <c r="I316" s="15">
        <f>IFERROR(INDEX(輔助計算!$D:$D, (MATCH(315, 輔助計算!$G$2:$G$801, 0)+1)), "")</f>
        <v/>
      </c>
      <c r="J316" s="15">
        <f>IFERROR(IF(AND(INDEX(輔助計算!$D:$D, (MATCH(315, 輔助計算!$G$2:$G$801, 0)+1))&lt;&gt;"", INDEX(ERP資料!$G:$G, (MATCH(315, 輔助計算!$G$2:$G$801, 0)+1))&lt;&gt;""), TRIM(IF(INT(INDEX(輔助計算!$D:$D, (MATCH(315, 輔助計算!$G$2:$G$801, 0)+1))/IF(INDEX(ERP資料!$G:$G, (MATCH(315, 輔助計算!$G$2:$G$801, 0)+1))&lt;100, IF(INDEX(ERP資料!$G:$G, (MATCH(315, 輔助計算!$G$2:$G$801, 0)+1))&lt;=31,3,IF(INDEX(ERP資料!$G:$G, (MATCH(315, 輔助計算!$G$2:$G$801, 0)+1))&lt;=46.5,2,1)), IF(INDEX(ERP資料!$G:$G, (MATCH(315, 輔助計算!$G$2:$G$801, 0)+1))&lt;=790,3,IF(INDEX(ERP資料!$G:$G, (MATCH(315, 輔助計算!$G$2:$G$801, 0)+1))&lt;=1181,2,1))))&gt;0, IF(IF(INDEX(ERP資料!$G:$G, (MATCH(315, 輔助計算!$G$2:$G$801, 0)+1))&lt;100, IF(INDEX(ERP資料!$G:$G, (MATCH(315, 輔助計算!$G$2:$G$801, 0)+1))&lt;=31,3,IF(INDEX(ERP資料!$G:$G, (MATCH(315, 輔助計算!$G$2:$G$801, 0)+1))&lt;=46.5,2,1)), IF(INDEX(ERP資料!$G:$G, (MATCH(315, 輔助計算!$G$2:$G$801, 0)+1))&lt;=790,3,IF(INDEX(ERP資料!$G:$G, (MATCH(315, 輔助計算!$G$2:$G$801, 0)+1))&lt;=1181,2,1)))=1,TEXT(INDEX(ERP資料!$G:$G, (MATCH(315, 輔助計算!$G$2:$G$801, 0)+1)),"0.##"),IF(IF(INDEX(ERP資料!$G:$G, (MATCH(315, 輔助計算!$G$2:$G$801, 0)+1))&lt;100, IF(INDEX(ERP資料!$G:$G, (MATCH(315, 輔助計算!$G$2:$G$801, 0)+1))&lt;=31,3,IF(INDEX(ERP資料!$G:$G, (MATCH(315, 輔助計算!$G$2:$G$801, 0)+1))&lt;=46.5,2,1)), IF(INDEX(ERP資料!$G:$G, (MATCH(315, 輔助計算!$G$2:$G$801, 0)+1))&lt;=790,3,IF(INDEX(ERP資料!$G:$G, (MATCH(315, 輔助計算!$G$2:$G$801, 0)+1))&lt;=1181,2,1)))=2,TEXT(INDEX(ERP資料!$G:$G, (MATCH(315, 輔助計算!$G$2:$G$801, 0)+1)),"0.##")&amp;"+"&amp;TEXT(INDEX(ERP資料!$G:$G, (MATCH(315, 輔助計算!$G$2:$G$801, 0)+1)),"0.##"),TEXT(INDEX(ERP資料!$G:$G, (MATCH(315, 輔助計算!$G$2:$G$801, 0)+1)),"0.##")&amp;"+"&amp;TEXT(INDEX(ERP資料!$G:$G, (MATCH(315, 輔助計算!$G$2:$G$801, 0)+1)),"0.##")&amp;"+"&amp;TEXT(INDEX(ERP資料!$G:$G, (MATCH(315, 輔助計算!$G$2:$G$801, 0)+1)),"0.##")))&amp;"-"&amp;INT(INDEX(輔助計算!$D:$D, (MATCH(315, 輔助計算!$G$2:$G$801, 0)+1))/IF(INDEX(ERP資料!$G:$G, (MATCH(315, 輔助計算!$G$2:$G$801, 0)+1))&lt;100, IF(INDEX(ERP資料!$G:$G, (MATCH(315, 輔助計算!$G$2:$G$801, 0)+1))&lt;=31,3,IF(INDEX(ERP資料!$G:$G, (MATCH(315, 輔助計算!$G$2:$G$801, 0)+1))&lt;=46.5,2,1)), IF(INDEX(ERP資料!$G:$G, (MATCH(315, 輔助計算!$G$2:$G$801, 0)+1))&lt;=790,3,IF(INDEX(ERP資料!$G:$G, (MATCH(315, 輔助計算!$G$2:$G$801, 0)+1))&lt;=1181,2,1)))), "")&amp;IF(AND(IF(INT(INDEX(輔助計算!$D:$D, (MATCH(315, 輔助計算!$G$2:$G$801, 0)+1))/IF(INDEX(ERP資料!$G:$G, (MATCH(315, 輔助計算!$G$2:$G$801, 0)+1))&lt;100, IF(INDEX(ERP資料!$G:$G, (MATCH(315, 輔助計算!$G$2:$G$801, 0)+1))&lt;=31,3,IF(INDEX(ERP資料!$G:$G, (MATCH(315, 輔助計算!$G$2:$G$801, 0)+1))&lt;=46.5,2,1)), IF(INDEX(ERP資料!$G:$G, (MATCH(315, 輔助計算!$G$2:$G$801, 0)+1))&lt;=790,3,IF(INDEX(ERP資料!$G:$G, (MATCH(315, 輔助計算!$G$2:$G$801, 0)+1))&lt;=1181,2,1))))&gt;0, IF(IF(INDEX(ERP資料!$G:$G, (MATCH(315, 輔助計算!$G$2:$G$801, 0)+1))&lt;100, IF(INDEX(ERP資料!$G:$G, (MATCH(315, 輔助計算!$G$2:$G$801, 0)+1))&lt;=31,3,IF(INDEX(ERP資料!$G:$G, (MATCH(315, 輔助計算!$G$2:$G$801, 0)+1))&lt;=46.5,2,1)), IF(INDEX(ERP資料!$G:$G, (MATCH(315, 輔助計算!$G$2:$G$801, 0)+1))&lt;=790,3,IF(INDEX(ERP資料!$G:$G, (MATCH(315, 輔助計算!$G$2:$G$801, 0)+1))&lt;=1181,2,1)))=1,TEXT(INDEX(ERP資料!$G:$G, (MATCH(315, 輔助計算!$G$2:$G$801, 0)+1)),"0.##"),IF(IF(INDEX(ERP資料!$G:$G, (MATCH(315, 輔助計算!$G$2:$G$801, 0)+1))&lt;100, IF(INDEX(ERP資料!$G:$G, (MATCH(315, 輔助計算!$G$2:$G$801, 0)+1))&lt;=31,3,IF(INDEX(ERP資料!$G:$G, (MATCH(315, 輔助計算!$G$2:$G$801, 0)+1))&lt;=46.5,2,1)), IF(INDEX(ERP資料!$G:$G, (MATCH(315, 輔助計算!$G$2:$G$801, 0)+1))&lt;=790,3,IF(INDEX(ERP資料!$G:$G, (MATCH(315, 輔助計算!$G$2:$G$801, 0)+1))&lt;=1181,2,1)))=2,TEXT(INDEX(ERP資料!$G:$G, (MATCH(315, 輔助計算!$G$2:$G$801, 0)+1)),"0.##")&amp;"+"&amp;TEXT(INDEX(ERP資料!$G:$G, (MATCH(315, 輔助計算!$G$2:$G$801, 0)+1)),"0.##"),TEXT(INDEX(ERP資料!$G:$G, (MATCH(315, 輔助計算!$G$2:$G$801, 0)+1)),"0.##")&amp;"+"&amp;TEXT(INDEX(ERP資料!$G:$G, (MATCH(315, 輔助計算!$G$2:$G$801, 0)+1)),"0.##")&amp;"+"&amp;TEXT(INDEX(ERP資料!$G:$G, (MATCH(315, 輔助計算!$G$2:$G$801, 0)+1)),"0.##")))&amp;"-"&amp;INT(INDEX(輔助計算!$D:$D, (MATCH(315, 輔助計算!$G$2:$G$801, 0)+1))/IF(INDEX(ERP資料!$G:$G, (MATCH(315, 輔助計算!$G$2:$G$801, 0)+1))&lt;100, IF(INDEX(ERP資料!$G:$G, (MATCH(315, 輔助計算!$G$2:$G$801, 0)+1))&lt;=31,3,IF(INDEX(ERP資料!$G:$G, (MATCH(315, 輔助計算!$G$2:$G$801, 0)+1))&lt;=46.5,2,1)), IF(INDEX(ERP資料!$G:$G, (MATCH(315, 輔助計算!$G$2:$G$801, 0)+1))&lt;=790,3,IF(INDEX(ERP資料!$G:$G, (MATCH(315, 輔助計算!$G$2:$G$801, 0)+1))&lt;=1181,2,1)))), "")&lt;&gt;"",IF(MOD(INDEX(輔助計算!$D:$D, (MATCH(315, 輔助計算!$G$2:$G$801, 0)+1)),IF(INDEX(ERP資料!$G:$G, (MATCH(315, 輔助計算!$G$2:$G$801, 0)+1))&lt;100, IF(INDEX(ERP資料!$G:$G, (MATCH(315, 輔助計算!$G$2:$G$801, 0)+1))&lt;=31,3,IF(INDEX(ERP資料!$G:$G, (MATCH(315, 輔助計算!$G$2:$G$801, 0)+1))&lt;=46.5,2,1)), IF(INDEX(ERP資料!$G:$G, (MATCH(315, 輔助計算!$G$2:$G$801, 0)+1))&lt;=790,3,IF(INDEX(ERP資料!$G:$G, (MATCH(315, 輔助計算!$G$2:$G$801, 0)+1))&lt;=1181,2,1))))=0,"",IF(MOD(INDEX(輔助計算!$D:$D, (MATCH(315, 輔助計算!$G$2:$G$801, 0)+1)),IF(INDEX(ERP資料!$G:$G, (MATCH(315, 輔助計算!$G$2:$G$801, 0)+1))&lt;100, IF(INDEX(ERP資料!$G:$G, (MATCH(315, 輔助計算!$G$2:$G$801, 0)+1))&lt;=31,3,IF(INDEX(ERP資料!$G:$G, (MATCH(315, 輔助計算!$G$2:$G$801, 0)+1))&lt;=46.5,2,1)), IF(INDEX(ERP資料!$G:$G, (MATCH(315, 輔助計算!$G$2:$G$801, 0)+1))&lt;=790,3,IF(INDEX(ERP資料!$G:$G, (MATCH(315, 輔助計算!$G$2:$G$801, 0)+1))&lt;=1181,2,1))))=0,"",IF(MOD(INDEX(輔助計算!$D:$D, (MATCH(315, 輔助計算!$G$2:$G$801, 0)+1)),IF(INDEX(ERP資料!$G:$G, (MATCH(315, 輔助計算!$G$2:$G$801, 0)+1))&lt;100, IF(INDEX(ERP資料!$G:$G, (MATCH(315, 輔助計算!$G$2:$G$801, 0)+1))&lt;=31,3,IF(INDEX(ERP資料!$G:$G, (MATCH(315, 輔助計算!$G$2:$G$801, 0)+1))&lt;=46.5,2,1)), IF(INDEX(ERP資料!$G:$G, (MATCH(315, 輔助計算!$G$2:$G$801, 0)+1))&lt;=790,3,IF(INDEX(ERP資料!$G:$G, (MATCH(315, 輔助計算!$G$2:$G$801, 0)+1))&lt;=1181,2,1))))=1,TEXT(INDEX(ERP資料!$G:$G, (MATCH(315, 輔助計算!$G$2:$G$801, 0)+1)),"0.##"),IF(MOD(INDEX(輔助計算!$D:$D, (MATCH(315, 輔助計算!$G$2:$G$801, 0)+1)),IF(INDEX(ERP資料!$G:$G, (MATCH(315, 輔助計算!$G$2:$G$801, 0)+1))&lt;100, IF(INDEX(ERP資料!$G:$G, (MATCH(315, 輔助計算!$G$2:$G$801, 0)+1))&lt;=31,3,IF(INDEX(ERP資料!$G:$G, (MATCH(315, 輔助計算!$G$2:$G$801, 0)+1))&lt;=46.5,2,1)), IF(INDEX(ERP資料!$G:$G, (MATCH(315, 輔助計算!$G$2:$G$801, 0)+1))&lt;=790,3,IF(INDEX(ERP資料!$G:$G, (MATCH(315, 輔助計算!$G$2:$G$801, 0)+1))&lt;=1181,2,1))))=2,TEXT(INDEX(ERP資料!$G:$G, (MATCH(315, 輔助計算!$G$2:$G$801, 0)+1)),"0.##")&amp;"+"&amp;TEXT(INDEX(ERP資料!$G:$G, (MATCH(315, 輔助計算!$G$2:$G$801, 0)+1)),"0.##"),TEXT(INDEX(ERP資料!$G:$G, (MATCH(315, 輔助計算!$G$2:$G$801, 0)+1)),"0.##")&amp;"+"&amp;TEXT(INDEX(ERP資料!$G:$G, (MATCH(315, 輔助計算!$G$2:$G$801, 0)+1)),"0.##")&amp;"+"&amp;TEXT(INDEX(ERP資料!$G:$G, (MATCH(315, 輔助計算!$G$2:$G$801, 0)+1)),"0.##"))))&amp;"-1")&lt;&gt;""),"  ","")&amp;IF(MOD(INDEX(輔助計算!$D:$D, (MATCH(315, 輔助計算!$G$2:$G$801, 0)+1)),IF(INDEX(ERP資料!$G:$G, (MATCH(315, 輔助計算!$G$2:$G$801, 0)+1))&lt;100, IF(INDEX(ERP資料!$G:$G, (MATCH(315, 輔助計算!$G$2:$G$801, 0)+1))&lt;=31,3,IF(INDEX(ERP資料!$G:$G, (MATCH(315, 輔助計算!$G$2:$G$801, 0)+1))&lt;=46.5,2,1)), IF(INDEX(ERP資料!$G:$G, (MATCH(315, 輔助計算!$G$2:$G$801, 0)+1))&lt;=790,3,IF(INDEX(ERP資料!$G:$G, (MATCH(315, 輔助計算!$G$2:$G$801, 0)+1))&lt;=1181,2,1))))=0,"",IF(MOD(INDEX(輔助計算!$D:$D, (MATCH(315, 輔助計算!$G$2:$G$801, 0)+1)),IF(INDEX(ERP資料!$G:$G, (MATCH(315, 輔助計算!$G$2:$G$801, 0)+1))&lt;100, IF(INDEX(ERP資料!$G:$G, (MATCH(315, 輔助計算!$G$2:$G$801, 0)+1))&lt;=31,3,IF(INDEX(ERP資料!$G:$G, (MATCH(315, 輔助計算!$G$2:$G$801, 0)+1))&lt;=46.5,2,1)), IF(INDEX(ERP資料!$G:$G, (MATCH(315, 輔助計算!$G$2:$G$801, 0)+1))&lt;=790,3,IF(INDEX(ERP資料!$G:$G, (MATCH(315, 輔助計算!$G$2:$G$801, 0)+1))&lt;=1181,2,1))))=0,"",IF(MOD(INDEX(輔助計算!$D:$D, (MATCH(315, 輔助計算!$G$2:$G$801, 0)+1)),IF(INDEX(ERP資料!$G:$G, (MATCH(315, 輔助計算!$G$2:$G$801, 0)+1))&lt;100, IF(INDEX(ERP資料!$G:$G, (MATCH(315, 輔助計算!$G$2:$G$801, 0)+1))&lt;=31,3,IF(INDEX(ERP資料!$G:$G, (MATCH(315, 輔助計算!$G$2:$G$801, 0)+1))&lt;=46.5,2,1)), IF(INDEX(ERP資料!$G:$G, (MATCH(315, 輔助計算!$G$2:$G$801, 0)+1))&lt;=790,3,IF(INDEX(ERP資料!$G:$G, (MATCH(315, 輔助計算!$G$2:$G$801, 0)+1))&lt;=1181,2,1))))=1,TEXT(INDEX(ERP資料!$G:$G, (MATCH(315, 輔助計算!$G$2:$G$801, 0)+1)),"0.##"),IF(MOD(INDEX(輔助計算!$D:$D, (MATCH(315, 輔助計算!$G$2:$G$801, 0)+1)),IF(INDEX(ERP資料!$G:$G, (MATCH(315, 輔助計算!$G$2:$G$801, 0)+1))&lt;100, IF(INDEX(ERP資料!$G:$G, (MATCH(315, 輔助計算!$G$2:$G$801, 0)+1))&lt;=31,3,IF(INDEX(ERP資料!$G:$G, (MATCH(315, 輔助計算!$G$2:$G$801, 0)+1))&lt;=46.5,2,1)), IF(INDEX(ERP資料!$G:$G, (MATCH(315, 輔助計算!$G$2:$G$801, 0)+1))&lt;=790,3,IF(INDEX(ERP資料!$G:$G, (MATCH(315, 輔助計算!$G$2:$G$801, 0)+1))&lt;=1181,2,1))))=2,TEXT(INDEX(ERP資料!$G:$G, (MATCH(315, 輔助計算!$G$2:$G$801, 0)+1)),"0.##")&amp;"+"&amp;TEXT(INDEX(ERP資料!$G:$G, (MATCH(315, 輔助計算!$G$2:$G$801, 0)+1)),"0.##"),TEXT(INDEX(ERP資料!$G:$G, (MATCH(315, 輔助計算!$G$2:$G$801, 0)+1)),"0.##")&amp;"+"&amp;TEXT(INDEX(ERP資料!$G:$G, (MATCH(315, 輔助計算!$G$2:$G$801, 0)+1)),"0.##")&amp;"+"&amp;TEXT(INDEX(ERP資料!$G:$G, (MATCH(315, 輔助計算!$G$2:$G$801, 0)+1)),"0.##"))))&amp;"-1")), ""), "")</f>
        <v/>
      </c>
      <c r="K316" s="16" t="n"/>
      <c r="L316" s="14">
        <f>IFERROR(IF(AND(IFERROR(INDEX(ERP資料!$A:$A, (MATCH(315, 輔助計算!$G$2:$G$801, 0)+1)), "")&lt;&gt;"", IFERROR(INDEX(ERP資料!$A:$A, (MATCH(315, 輔助計算!$G$2:$G$801, 0)+1)), "")&lt;&gt;IFERROR(INDEX(ERP資料!$A:$A, MATCH(314, 輔助計算!$G$2:$G$801, 0)+1), "")), INDEX(ERP資料!$B:$B, (MATCH(315, 輔助計算!$G$2:$G$801, 0)+1)), ""), "")</f>
        <v/>
      </c>
      <c r="M316" s="17" t="n"/>
    </row>
    <row r="317">
      <c r="A317" s="10">
        <f>IFERROR(IF(AND(IFERROR(INDEX(ERP資料!$A:$A, (MATCH(316, 輔助計算!$G$2:$G$801, 0)+1)), "")&lt;&gt;"", IFERROR(INDEX(ERP資料!$A:$A, (MATCH(316, 輔助計算!$G$2:$G$801, 0)+1)), "")&lt;&gt;IFERROR(INDEX(ERP資料!$A:$A, MATCH(315, 輔助計算!$G$2:$G$801, 0)+1), "")), IFERROR(INDEX(ERP資料!$A:$A, (MATCH(316, 輔助計算!$G$2:$G$801, 0)+1)), ""), ""), "")</f>
        <v/>
      </c>
      <c r="B317" s="10">
        <f>IFERROR(IF(AND(IFERROR(INDEX(ERP資料!$A:$A, (MATCH(316, 輔助計算!$G$2:$G$801, 0)+1)), "")&lt;&gt;"", IFERROR(INDEX(ERP資料!$A:$A, (MATCH(316, 輔助計算!$G$2:$G$801, 0)+1)), "")&lt;&gt;IFERROR(INDEX(ERP資料!$A:$A, MATCH(315, 輔助計算!$G$2:$G$801, 0)+1), "")), INDEX(ERP資料!$S:$S, (MATCH(316, 輔助計算!$G$2:$G$801, 0)+1)), ""), "")</f>
        <v/>
      </c>
      <c r="C317" s="19">
        <f>IFERROR(IF(AND(IFERROR(INDEX(ERP資料!$A:$A, (MATCH(316, 輔助計算!$G$2:$G$801, 0)+1)), "")&lt;&gt;"", IFERROR(INDEX(ERP資料!$A:$A, (MATCH(316, 輔助計算!$G$2:$G$801, 0)+1)), "")&lt;&gt;IFERROR(INDEX(ERP資料!$A:$A, MATCH(315, 輔助計算!$G$2:$G$801, 0)+1), "")), IFERROR(VLOOKUP(LEFT(INDEX(ERP資料!$S:$S, (MATCH(316, 輔助計算!$G$2:$G$801, 0)+1)), 4), 紙管對照表!$A:$C, 3, FALSE), ""), ""), "")</f>
        <v/>
      </c>
      <c r="D317" s="16" t="n"/>
      <c r="E317" s="10">
        <f>IFERROR(IF(INDEX(ERP資料!$H:$H, (MATCH(316, 輔助計算!$G$2:$G$801, 0)+1))="","",INDEX(ERP資料!$H:$H, (MATCH(316, 輔助計算!$G$2:$G$801, 0)+1))), "")</f>
        <v/>
      </c>
      <c r="F317" s="10">
        <f>IFERROR(IF(INDEX(ERP資料!$E:$E, (MATCH(316, 輔助計算!$G$2:$G$801, 0)+1))="","",TRIM(INDEX(ERP資料!$E:$E, (MATCH(316, 輔助計算!$G$2:$G$801, 0)+1)))), "")</f>
        <v/>
      </c>
      <c r="G317" s="10">
        <f>IFERROR(IF(INDEX(ERP資料!$F:$F, (MATCH(316, 輔助計算!$G$2:$G$801, 0)+1))="","",INDEX(ERP資料!$F:$F, (MATCH(316, 輔助計算!$G$2:$G$801, 0)+1))), "")</f>
        <v/>
      </c>
      <c r="H317" s="10">
        <f>IFERROR(IF(INDEX(ERP資料!$G:$G, (MATCH(316, 輔助計算!$G$2:$G$801, 0)+1))="","",INDEX(ERP資料!$G:$G, (MATCH(316, 輔助計算!$G$2:$G$801, 0)+1))), "")</f>
        <v/>
      </c>
      <c r="I317" s="15">
        <f>IFERROR(INDEX(輔助計算!$D:$D, (MATCH(316, 輔助計算!$G$2:$G$801, 0)+1)), "")</f>
        <v/>
      </c>
      <c r="J317" s="15">
        <f>IFERROR(IF(AND(INDEX(輔助計算!$D:$D, (MATCH(316, 輔助計算!$G$2:$G$801, 0)+1))&lt;&gt;"", INDEX(ERP資料!$G:$G, (MATCH(316, 輔助計算!$G$2:$G$801, 0)+1))&lt;&gt;""), TRIM(IF(INT(INDEX(輔助計算!$D:$D, (MATCH(316, 輔助計算!$G$2:$G$801, 0)+1))/IF(INDEX(ERP資料!$G:$G, (MATCH(316, 輔助計算!$G$2:$G$801, 0)+1))&lt;100, IF(INDEX(ERP資料!$G:$G, (MATCH(316, 輔助計算!$G$2:$G$801, 0)+1))&lt;=31,3,IF(INDEX(ERP資料!$G:$G, (MATCH(316, 輔助計算!$G$2:$G$801, 0)+1))&lt;=46.5,2,1)), IF(INDEX(ERP資料!$G:$G, (MATCH(316, 輔助計算!$G$2:$G$801, 0)+1))&lt;=790,3,IF(INDEX(ERP資料!$G:$G, (MATCH(316, 輔助計算!$G$2:$G$801, 0)+1))&lt;=1181,2,1))))&gt;0, IF(IF(INDEX(ERP資料!$G:$G, (MATCH(316, 輔助計算!$G$2:$G$801, 0)+1))&lt;100, IF(INDEX(ERP資料!$G:$G, (MATCH(316, 輔助計算!$G$2:$G$801, 0)+1))&lt;=31,3,IF(INDEX(ERP資料!$G:$G, (MATCH(316, 輔助計算!$G$2:$G$801, 0)+1))&lt;=46.5,2,1)), IF(INDEX(ERP資料!$G:$G, (MATCH(316, 輔助計算!$G$2:$G$801, 0)+1))&lt;=790,3,IF(INDEX(ERP資料!$G:$G, (MATCH(316, 輔助計算!$G$2:$G$801, 0)+1))&lt;=1181,2,1)))=1,TEXT(INDEX(ERP資料!$G:$G, (MATCH(316, 輔助計算!$G$2:$G$801, 0)+1)),"0.##"),IF(IF(INDEX(ERP資料!$G:$G, (MATCH(316, 輔助計算!$G$2:$G$801, 0)+1))&lt;100, IF(INDEX(ERP資料!$G:$G, (MATCH(316, 輔助計算!$G$2:$G$801, 0)+1))&lt;=31,3,IF(INDEX(ERP資料!$G:$G, (MATCH(316, 輔助計算!$G$2:$G$801, 0)+1))&lt;=46.5,2,1)), IF(INDEX(ERP資料!$G:$G, (MATCH(316, 輔助計算!$G$2:$G$801, 0)+1))&lt;=790,3,IF(INDEX(ERP資料!$G:$G, (MATCH(316, 輔助計算!$G$2:$G$801, 0)+1))&lt;=1181,2,1)))=2,TEXT(INDEX(ERP資料!$G:$G, (MATCH(316, 輔助計算!$G$2:$G$801, 0)+1)),"0.##")&amp;"+"&amp;TEXT(INDEX(ERP資料!$G:$G, (MATCH(316, 輔助計算!$G$2:$G$801, 0)+1)),"0.##"),TEXT(INDEX(ERP資料!$G:$G, (MATCH(316, 輔助計算!$G$2:$G$801, 0)+1)),"0.##")&amp;"+"&amp;TEXT(INDEX(ERP資料!$G:$G, (MATCH(316, 輔助計算!$G$2:$G$801, 0)+1)),"0.##")&amp;"+"&amp;TEXT(INDEX(ERP資料!$G:$G, (MATCH(316, 輔助計算!$G$2:$G$801, 0)+1)),"0.##")))&amp;"-"&amp;INT(INDEX(輔助計算!$D:$D, (MATCH(316, 輔助計算!$G$2:$G$801, 0)+1))/IF(INDEX(ERP資料!$G:$G, (MATCH(316, 輔助計算!$G$2:$G$801, 0)+1))&lt;100, IF(INDEX(ERP資料!$G:$G, (MATCH(316, 輔助計算!$G$2:$G$801, 0)+1))&lt;=31,3,IF(INDEX(ERP資料!$G:$G, (MATCH(316, 輔助計算!$G$2:$G$801, 0)+1))&lt;=46.5,2,1)), IF(INDEX(ERP資料!$G:$G, (MATCH(316, 輔助計算!$G$2:$G$801, 0)+1))&lt;=790,3,IF(INDEX(ERP資料!$G:$G, (MATCH(316, 輔助計算!$G$2:$G$801, 0)+1))&lt;=1181,2,1)))), "")&amp;IF(AND(IF(INT(INDEX(輔助計算!$D:$D, (MATCH(316, 輔助計算!$G$2:$G$801, 0)+1))/IF(INDEX(ERP資料!$G:$G, (MATCH(316, 輔助計算!$G$2:$G$801, 0)+1))&lt;100, IF(INDEX(ERP資料!$G:$G, (MATCH(316, 輔助計算!$G$2:$G$801, 0)+1))&lt;=31,3,IF(INDEX(ERP資料!$G:$G, (MATCH(316, 輔助計算!$G$2:$G$801, 0)+1))&lt;=46.5,2,1)), IF(INDEX(ERP資料!$G:$G, (MATCH(316, 輔助計算!$G$2:$G$801, 0)+1))&lt;=790,3,IF(INDEX(ERP資料!$G:$G, (MATCH(316, 輔助計算!$G$2:$G$801, 0)+1))&lt;=1181,2,1))))&gt;0, IF(IF(INDEX(ERP資料!$G:$G, (MATCH(316, 輔助計算!$G$2:$G$801, 0)+1))&lt;100, IF(INDEX(ERP資料!$G:$G, (MATCH(316, 輔助計算!$G$2:$G$801, 0)+1))&lt;=31,3,IF(INDEX(ERP資料!$G:$G, (MATCH(316, 輔助計算!$G$2:$G$801, 0)+1))&lt;=46.5,2,1)), IF(INDEX(ERP資料!$G:$G, (MATCH(316, 輔助計算!$G$2:$G$801, 0)+1))&lt;=790,3,IF(INDEX(ERP資料!$G:$G, (MATCH(316, 輔助計算!$G$2:$G$801, 0)+1))&lt;=1181,2,1)))=1,TEXT(INDEX(ERP資料!$G:$G, (MATCH(316, 輔助計算!$G$2:$G$801, 0)+1)),"0.##"),IF(IF(INDEX(ERP資料!$G:$G, (MATCH(316, 輔助計算!$G$2:$G$801, 0)+1))&lt;100, IF(INDEX(ERP資料!$G:$G, (MATCH(316, 輔助計算!$G$2:$G$801, 0)+1))&lt;=31,3,IF(INDEX(ERP資料!$G:$G, (MATCH(316, 輔助計算!$G$2:$G$801, 0)+1))&lt;=46.5,2,1)), IF(INDEX(ERP資料!$G:$G, (MATCH(316, 輔助計算!$G$2:$G$801, 0)+1))&lt;=790,3,IF(INDEX(ERP資料!$G:$G, (MATCH(316, 輔助計算!$G$2:$G$801, 0)+1))&lt;=1181,2,1)))=2,TEXT(INDEX(ERP資料!$G:$G, (MATCH(316, 輔助計算!$G$2:$G$801, 0)+1)),"0.##")&amp;"+"&amp;TEXT(INDEX(ERP資料!$G:$G, (MATCH(316, 輔助計算!$G$2:$G$801, 0)+1)),"0.##"),TEXT(INDEX(ERP資料!$G:$G, (MATCH(316, 輔助計算!$G$2:$G$801, 0)+1)),"0.##")&amp;"+"&amp;TEXT(INDEX(ERP資料!$G:$G, (MATCH(316, 輔助計算!$G$2:$G$801, 0)+1)),"0.##")&amp;"+"&amp;TEXT(INDEX(ERP資料!$G:$G, (MATCH(316, 輔助計算!$G$2:$G$801, 0)+1)),"0.##")))&amp;"-"&amp;INT(INDEX(輔助計算!$D:$D, (MATCH(316, 輔助計算!$G$2:$G$801, 0)+1))/IF(INDEX(ERP資料!$G:$G, (MATCH(316, 輔助計算!$G$2:$G$801, 0)+1))&lt;100, IF(INDEX(ERP資料!$G:$G, (MATCH(316, 輔助計算!$G$2:$G$801, 0)+1))&lt;=31,3,IF(INDEX(ERP資料!$G:$G, (MATCH(316, 輔助計算!$G$2:$G$801, 0)+1))&lt;=46.5,2,1)), IF(INDEX(ERP資料!$G:$G, (MATCH(316, 輔助計算!$G$2:$G$801, 0)+1))&lt;=790,3,IF(INDEX(ERP資料!$G:$G, (MATCH(316, 輔助計算!$G$2:$G$801, 0)+1))&lt;=1181,2,1)))), "")&lt;&gt;"",IF(MOD(INDEX(輔助計算!$D:$D, (MATCH(316, 輔助計算!$G$2:$G$801, 0)+1)),IF(INDEX(ERP資料!$G:$G, (MATCH(316, 輔助計算!$G$2:$G$801, 0)+1))&lt;100, IF(INDEX(ERP資料!$G:$G, (MATCH(316, 輔助計算!$G$2:$G$801, 0)+1))&lt;=31,3,IF(INDEX(ERP資料!$G:$G, (MATCH(316, 輔助計算!$G$2:$G$801, 0)+1))&lt;=46.5,2,1)), IF(INDEX(ERP資料!$G:$G, (MATCH(316, 輔助計算!$G$2:$G$801, 0)+1))&lt;=790,3,IF(INDEX(ERP資料!$G:$G, (MATCH(316, 輔助計算!$G$2:$G$801, 0)+1))&lt;=1181,2,1))))=0,"",IF(MOD(INDEX(輔助計算!$D:$D, (MATCH(316, 輔助計算!$G$2:$G$801, 0)+1)),IF(INDEX(ERP資料!$G:$G, (MATCH(316, 輔助計算!$G$2:$G$801, 0)+1))&lt;100, IF(INDEX(ERP資料!$G:$G, (MATCH(316, 輔助計算!$G$2:$G$801, 0)+1))&lt;=31,3,IF(INDEX(ERP資料!$G:$G, (MATCH(316, 輔助計算!$G$2:$G$801, 0)+1))&lt;=46.5,2,1)), IF(INDEX(ERP資料!$G:$G, (MATCH(316, 輔助計算!$G$2:$G$801, 0)+1))&lt;=790,3,IF(INDEX(ERP資料!$G:$G, (MATCH(316, 輔助計算!$G$2:$G$801, 0)+1))&lt;=1181,2,1))))=0,"",IF(MOD(INDEX(輔助計算!$D:$D, (MATCH(316, 輔助計算!$G$2:$G$801, 0)+1)),IF(INDEX(ERP資料!$G:$G, (MATCH(316, 輔助計算!$G$2:$G$801, 0)+1))&lt;100, IF(INDEX(ERP資料!$G:$G, (MATCH(316, 輔助計算!$G$2:$G$801, 0)+1))&lt;=31,3,IF(INDEX(ERP資料!$G:$G, (MATCH(316, 輔助計算!$G$2:$G$801, 0)+1))&lt;=46.5,2,1)), IF(INDEX(ERP資料!$G:$G, (MATCH(316, 輔助計算!$G$2:$G$801, 0)+1))&lt;=790,3,IF(INDEX(ERP資料!$G:$G, (MATCH(316, 輔助計算!$G$2:$G$801, 0)+1))&lt;=1181,2,1))))=1,TEXT(INDEX(ERP資料!$G:$G, (MATCH(316, 輔助計算!$G$2:$G$801, 0)+1)),"0.##"),IF(MOD(INDEX(輔助計算!$D:$D, (MATCH(316, 輔助計算!$G$2:$G$801, 0)+1)),IF(INDEX(ERP資料!$G:$G, (MATCH(316, 輔助計算!$G$2:$G$801, 0)+1))&lt;100, IF(INDEX(ERP資料!$G:$G, (MATCH(316, 輔助計算!$G$2:$G$801, 0)+1))&lt;=31,3,IF(INDEX(ERP資料!$G:$G, (MATCH(316, 輔助計算!$G$2:$G$801, 0)+1))&lt;=46.5,2,1)), IF(INDEX(ERP資料!$G:$G, (MATCH(316, 輔助計算!$G$2:$G$801, 0)+1))&lt;=790,3,IF(INDEX(ERP資料!$G:$G, (MATCH(316, 輔助計算!$G$2:$G$801, 0)+1))&lt;=1181,2,1))))=2,TEXT(INDEX(ERP資料!$G:$G, (MATCH(316, 輔助計算!$G$2:$G$801, 0)+1)),"0.##")&amp;"+"&amp;TEXT(INDEX(ERP資料!$G:$G, (MATCH(316, 輔助計算!$G$2:$G$801, 0)+1)),"0.##"),TEXT(INDEX(ERP資料!$G:$G, (MATCH(316, 輔助計算!$G$2:$G$801, 0)+1)),"0.##")&amp;"+"&amp;TEXT(INDEX(ERP資料!$G:$G, (MATCH(316, 輔助計算!$G$2:$G$801, 0)+1)),"0.##")&amp;"+"&amp;TEXT(INDEX(ERP資料!$G:$G, (MATCH(316, 輔助計算!$G$2:$G$801, 0)+1)),"0.##"))))&amp;"-1")&lt;&gt;""),"  ","")&amp;IF(MOD(INDEX(輔助計算!$D:$D, (MATCH(316, 輔助計算!$G$2:$G$801, 0)+1)),IF(INDEX(ERP資料!$G:$G, (MATCH(316, 輔助計算!$G$2:$G$801, 0)+1))&lt;100, IF(INDEX(ERP資料!$G:$G, (MATCH(316, 輔助計算!$G$2:$G$801, 0)+1))&lt;=31,3,IF(INDEX(ERP資料!$G:$G, (MATCH(316, 輔助計算!$G$2:$G$801, 0)+1))&lt;=46.5,2,1)), IF(INDEX(ERP資料!$G:$G, (MATCH(316, 輔助計算!$G$2:$G$801, 0)+1))&lt;=790,3,IF(INDEX(ERP資料!$G:$G, (MATCH(316, 輔助計算!$G$2:$G$801, 0)+1))&lt;=1181,2,1))))=0,"",IF(MOD(INDEX(輔助計算!$D:$D, (MATCH(316, 輔助計算!$G$2:$G$801, 0)+1)),IF(INDEX(ERP資料!$G:$G, (MATCH(316, 輔助計算!$G$2:$G$801, 0)+1))&lt;100, IF(INDEX(ERP資料!$G:$G, (MATCH(316, 輔助計算!$G$2:$G$801, 0)+1))&lt;=31,3,IF(INDEX(ERP資料!$G:$G, (MATCH(316, 輔助計算!$G$2:$G$801, 0)+1))&lt;=46.5,2,1)), IF(INDEX(ERP資料!$G:$G, (MATCH(316, 輔助計算!$G$2:$G$801, 0)+1))&lt;=790,3,IF(INDEX(ERP資料!$G:$G, (MATCH(316, 輔助計算!$G$2:$G$801, 0)+1))&lt;=1181,2,1))))=0,"",IF(MOD(INDEX(輔助計算!$D:$D, (MATCH(316, 輔助計算!$G$2:$G$801, 0)+1)),IF(INDEX(ERP資料!$G:$G, (MATCH(316, 輔助計算!$G$2:$G$801, 0)+1))&lt;100, IF(INDEX(ERP資料!$G:$G, (MATCH(316, 輔助計算!$G$2:$G$801, 0)+1))&lt;=31,3,IF(INDEX(ERP資料!$G:$G, (MATCH(316, 輔助計算!$G$2:$G$801, 0)+1))&lt;=46.5,2,1)), IF(INDEX(ERP資料!$G:$G, (MATCH(316, 輔助計算!$G$2:$G$801, 0)+1))&lt;=790,3,IF(INDEX(ERP資料!$G:$G, (MATCH(316, 輔助計算!$G$2:$G$801, 0)+1))&lt;=1181,2,1))))=1,TEXT(INDEX(ERP資料!$G:$G, (MATCH(316, 輔助計算!$G$2:$G$801, 0)+1)),"0.##"),IF(MOD(INDEX(輔助計算!$D:$D, (MATCH(316, 輔助計算!$G$2:$G$801, 0)+1)),IF(INDEX(ERP資料!$G:$G, (MATCH(316, 輔助計算!$G$2:$G$801, 0)+1))&lt;100, IF(INDEX(ERP資料!$G:$G, (MATCH(316, 輔助計算!$G$2:$G$801, 0)+1))&lt;=31,3,IF(INDEX(ERP資料!$G:$G, (MATCH(316, 輔助計算!$G$2:$G$801, 0)+1))&lt;=46.5,2,1)), IF(INDEX(ERP資料!$G:$G, (MATCH(316, 輔助計算!$G$2:$G$801, 0)+1))&lt;=790,3,IF(INDEX(ERP資料!$G:$G, (MATCH(316, 輔助計算!$G$2:$G$801, 0)+1))&lt;=1181,2,1))))=2,TEXT(INDEX(ERP資料!$G:$G, (MATCH(316, 輔助計算!$G$2:$G$801, 0)+1)),"0.##")&amp;"+"&amp;TEXT(INDEX(ERP資料!$G:$G, (MATCH(316, 輔助計算!$G$2:$G$801, 0)+1)),"0.##"),TEXT(INDEX(ERP資料!$G:$G, (MATCH(316, 輔助計算!$G$2:$G$801, 0)+1)),"0.##")&amp;"+"&amp;TEXT(INDEX(ERP資料!$G:$G, (MATCH(316, 輔助計算!$G$2:$G$801, 0)+1)),"0.##")&amp;"+"&amp;TEXT(INDEX(ERP資料!$G:$G, (MATCH(316, 輔助計算!$G$2:$G$801, 0)+1)),"0.##"))))&amp;"-1")), ""), "")</f>
        <v/>
      </c>
      <c r="K317" s="16" t="n"/>
      <c r="L317" s="14">
        <f>IFERROR(IF(AND(IFERROR(INDEX(ERP資料!$A:$A, (MATCH(316, 輔助計算!$G$2:$G$801, 0)+1)), "")&lt;&gt;"", IFERROR(INDEX(ERP資料!$A:$A, (MATCH(316, 輔助計算!$G$2:$G$801, 0)+1)), "")&lt;&gt;IFERROR(INDEX(ERP資料!$A:$A, MATCH(315, 輔助計算!$G$2:$G$801, 0)+1), "")), INDEX(ERP資料!$B:$B, (MATCH(316, 輔助計算!$G$2:$G$801, 0)+1)), ""), "")</f>
        <v/>
      </c>
      <c r="M317" s="17" t="n"/>
    </row>
    <row r="318">
      <c r="A318" s="10">
        <f>IFERROR(IF(AND(IFERROR(INDEX(ERP資料!$A:$A, (MATCH(317, 輔助計算!$G$2:$G$801, 0)+1)), "")&lt;&gt;"", IFERROR(INDEX(ERP資料!$A:$A, (MATCH(317, 輔助計算!$G$2:$G$801, 0)+1)), "")&lt;&gt;IFERROR(INDEX(ERP資料!$A:$A, MATCH(316, 輔助計算!$G$2:$G$801, 0)+1), "")), IFERROR(INDEX(ERP資料!$A:$A, (MATCH(317, 輔助計算!$G$2:$G$801, 0)+1)), ""), ""), "")</f>
        <v/>
      </c>
      <c r="B318" s="10">
        <f>IFERROR(IF(AND(IFERROR(INDEX(ERP資料!$A:$A, (MATCH(317, 輔助計算!$G$2:$G$801, 0)+1)), "")&lt;&gt;"", IFERROR(INDEX(ERP資料!$A:$A, (MATCH(317, 輔助計算!$G$2:$G$801, 0)+1)), "")&lt;&gt;IFERROR(INDEX(ERP資料!$A:$A, MATCH(316, 輔助計算!$G$2:$G$801, 0)+1), "")), INDEX(ERP資料!$S:$S, (MATCH(317, 輔助計算!$G$2:$G$801, 0)+1)), ""), "")</f>
        <v/>
      </c>
      <c r="C318" s="19">
        <f>IFERROR(IF(AND(IFERROR(INDEX(ERP資料!$A:$A, (MATCH(317, 輔助計算!$G$2:$G$801, 0)+1)), "")&lt;&gt;"", IFERROR(INDEX(ERP資料!$A:$A, (MATCH(317, 輔助計算!$G$2:$G$801, 0)+1)), "")&lt;&gt;IFERROR(INDEX(ERP資料!$A:$A, MATCH(316, 輔助計算!$G$2:$G$801, 0)+1), "")), IFERROR(VLOOKUP(LEFT(INDEX(ERP資料!$S:$S, (MATCH(317, 輔助計算!$G$2:$G$801, 0)+1)), 4), 紙管對照表!$A:$C, 3, FALSE), ""), ""), "")</f>
        <v/>
      </c>
      <c r="D318" s="16" t="n"/>
      <c r="E318" s="10">
        <f>IFERROR(IF(INDEX(ERP資料!$H:$H, (MATCH(317, 輔助計算!$G$2:$G$801, 0)+1))="","",INDEX(ERP資料!$H:$H, (MATCH(317, 輔助計算!$G$2:$G$801, 0)+1))), "")</f>
        <v/>
      </c>
      <c r="F318" s="10">
        <f>IFERROR(IF(INDEX(ERP資料!$E:$E, (MATCH(317, 輔助計算!$G$2:$G$801, 0)+1))="","",TRIM(INDEX(ERP資料!$E:$E, (MATCH(317, 輔助計算!$G$2:$G$801, 0)+1)))), "")</f>
        <v/>
      </c>
      <c r="G318" s="10">
        <f>IFERROR(IF(INDEX(ERP資料!$F:$F, (MATCH(317, 輔助計算!$G$2:$G$801, 0)+1))="","",INDEX(ERP資料!$F:$F, (MATCH(317, 輔助計算!$G$2:$G$801, 0)+1))), "")</f>
        <v/>
      </c>
      <c r="H318" s="10">
        <f>IFERROR(IF(INDEX(ERP資料!$G:$G, (MATCH(317, 輔助計算!$G$2:$G$801, 0)+1))="","",INDEX(ERP資料!$G:$G, (MATCH(317, 輔助計算!$G$2:$G$801, 0)+1))), "")</f>
        <v/>
      </c>
      <c r="I318" s="15">
        <f>IFERROR(INDEX(輔助計算!$D:$D, (MATCH(317, 輔助計算!$G$2:$G$801, 0)+1)), "")</f>
        <v/>
      </c>
      <c r="J318" s="15">
        <f>IFERROR(IF(AND(INDEX(輔助計算!$D:$D, (MATCH(317, 輔助計算!$G$2:$G$801, 0)+1))&lt;&gt;"", INDEX(ERP資料!$G:$G, (MATCH(317, 輔助計算!$G$2:$G$801, 0)+1))&lt;&gt;""), TRIM(IF(INT(INDEX(輔助計算!$D:$D, (MATCH(317, 輔助計算!$G$2:$G$801, 0)+1))/IF(INDEX(ERP資料!$G:$G, (MATCH(317, 輔助計算!$G$2:$G$801, 0)+1))&lt;100, IF(INDEX(ERP資料!$G:$G, (MATCH(317, 輔助計算!$G$2:$G$801, 0)+1))&lt;=31,3,IF(INDEX(ERP資料!$G:$G, (MATCH(317, 輔助計算!$G$2:$G$801, 0)+1))&lt;=46.5,2,1)), IF(INDEX(ERP資料!$G:$G, (MATCH(317, 輔助計算!$G$2:$G$801, 0)+1))&lt;=790,3,IF(INDEX(ERP資料!$G:$G, (MATCH(317, 輔助計算!$G$2:$G$801, 0)+1))&lt;=1181,2,1))))&gt;0, IF(IF(INDEX(ERP資料!$G:$G, (MATCH(317, 輔助計算!$G$2:$G$801, 0)+1))&lt;100, IF(INDEX(ERP資料!$G:$G, (MATCH(317, 輔助計算!$G$2:$G$801, 0)+1))&lt;=31,3,IF(INDEX(ERP資料!$G:$G, (MATCH(317, 輔助計算!$G$2:$G$801, 0)+1))&lt;=46.5,2,1)), IF(INDEX(ERP資料!$G:$G, (MATCH(317, 輔助計算!$G$2:$G$801, 0)+1))&lt;=790,3,IF(INDEX(ERP資料!$G:$G, (MATCH(317, 輔助計算!$G$2:$G$801, 0)+1))&lt;=1181,2,1)))=1,TEXT(INDEX(ERP資料!$G:$G, (MATCH(317, 輔助計算!$G$2:$G$801, 0)+1)),"0.##"),IF(IF(INDEX(ERP資料!$G:$G, (MATCH(317, 輔助計算!$G$2:$G$801, 0)+1))&lt;100, IF(INDEX(ERP資料!$G:$G, (MATCH(317, 輔助計算!$G$2:$G$801, 0)+1))&lt;=31,3,IF(INDEX(ERP資料!$G:$G, (MATCH(317, 輔助計算!$G$2:$G$801, 0)+1))&lt;=46.5,2,1)), IF(INDEX(ERP資料!$G:$G, (MATCH(317, 輔助計算!$G$2:$G$801, 0)+1))&lt;=790,3,IF(INDEX(ERP資料!$G:$G, (MATCH(317, 輔助計算!$G$2:$G$801, 0)+1))&lt;=1181,2,1)))=2,TEXT(INDEX(ERP資料!$G:$G, (MATCH(317, 輔助計算!$G$2:$G$801, 0)+1)),"0.##")&amp;"+"&amp;TEXT(INDEX(ERP資料!$G:$G, (MATCH(317, 輔助計算!$G$2:$G$801, 0)+1)),"0.##"),TEXT(INDEX(ERP資料!$G:$G, (MATCH(317, 輔助計算!$G$2:$G$801, 0)+1)),"0.##")&amp;"+"&amp;TEXT(INDEX(ERP資料!$G:$G, (MATCH(317, 輔助計算!$G$2:$G$801, 0)+1)),"0.##")&amp;"+"&amp;TEXT(INDEX(ERP資料!$G:$G, (MATCH(317, 輔助計算!$G$2:$G$801, 0)+1)),"0.##")))&amp;"-"&amp;INT(INDEX(輔助計算!$D:$D, (MATCH(317, 輔助計算!$G$2:$G$801, 0)+1))/IF(INDEX(ERP資料!$G:$G, (MATCH(317, 輔助計算!$G$2:$G$801, 0)+1))&lt;100, IF(INDEX(ERP資料!$G:$G, (MATCH(317, 輔助計算!$G$2:$G$801, 0)+1))&lt;=31,3,IF(INDEX(ERP資料!$G:$G, (MATCH(317, 輔助計算!$G$2:$G$801, 0)+1))&lt;=46.5,2,1)), IF(INDEX(ERP資料!$G:$G, (MATCH(317, 輔助計算!$G$2:$G$801, 0)+1))&lt;=790,3,IF(INDEX(ERP資料!$G:$G, (MATCH(317, 輔助計算!$G$2:$G$801, 0)+1))&lt;=1181,2,1)))), "")&amp;IF(AND(IF(INT(INDEX(輔助計算!$D:$D, (MATCH(317, 輔助計算!$G$2:$G$801, 0)+1))/IF(INDEX(ERP資料!$G:$G, (MATCH(317, 輔助計算!$G$2:$G$801, 0)+1))&lt;100, IF(INDEX(ERP資料!$G:$G, (MATCH(317, 輔助計算!$G$2:$G$801, 0)+1))&lt;=31,3,IF(INDEX(ERP資料!$G:$G, (MATCH(317, 輔助計算!$G$2:$G$801, 0)+1))&lt;=46.5,2,1)), IF(INDEX(ERP資料!$G:$G, (MATCH(317, 輔助計算!$G$2:$G$801, 0)+1))&lt;=790,3,IF(INDEX(ERP資料!$G:$G, (MATCH(317, 輔助計算!$G$2:$G$801, 0)+1))&lt;=1181,2,1))))&gt;0, IF(IF(INDEX(ERP資料!$G:$G, (MATCH(317, 輔助計算!$G$2:$G$801, 0)+1))&lt;100, IF(INDEX(ERP資料!$G:$G, (MATCH(317, 輔助計算!$G$2:$G$801, 0)+1))&lt;=31,3,IF(INDEX(ERP資料!$G:$G, (MATCH(317, 輔助計算!$G$2:$G$801, 0)+1))&lt;=46.5,2,1)), IF(INDEX(ERP資料!$G:$G, (MATCH(317, 輔助計算!$G$2:$G$801, 0)+1))&lt;=790,3,IF(INDEX(ERP資料!$G:$G, (MATCH(317, 輔助計算!$G$2:$G$801, 0)+1))&lt;=1181,2,1)))=1,TEXT(INDEX(ERP資料!$G:$G, (MATCH(317, 輔助計算!$G$2:$G$801, 0)+1)),"0.##"),IF(IF(INDEX(ERP資料!$G:$G, (MATCH(317, 輔助計算!$G$2:$G$801, 0)+1))&lt;100, IF(INDEX(ERP資料!$G:$G, (MATCH(317, 輔助計算!$G$2:$G$801, 0)+1))&lt;=31,3,IF(INDEX(ERP資料!$G:$G, (MATCH(317, 輔助計算!$G$2:$G$801, 0)+1))&lt;=46.5,2,1)), IF(INDEX(ERP資料!$G:$G, (MATCH(317, 輔助計算!$G$2:$G$801, 0)+1))&lt;=790,3,IF(INDEX(ERP資料!$G:$G, (MATCH(317, 輔助計算!$G$2:$G$801, 0)+1))&lt;=1181,2,1)))=2,TEXT(INDEX(ERP資料!$G:$G, (MATCH(317, 輔助計算!$G$2:$G$801, 0)+1)),"0.##")&amp;"+"&amp;TEXT(INDEX(ERP資料!$G:$G, (MATCH(317, 輔助計算!$G$2:$G$801, 0)+1)),"0.##"),TEXT(INDEX(ERP資料!$G:$G, (MATCH(317, 輔助計算!$G$2:$G$801, 0)+1)),"0.##")&amp;"+"&amp;TEXT(INDEX(ERP資料!$G:$G, (MATCH(317, 輔助計算!$G$2:$G$801, 0)+1)),"0.##")&amp;"+"&amp;TEXT(INDEX(ERP資料!$G:$G, (MATCH(317, 輔助計算!$G$2:$G$801, 0)+1)),"0.##")))&amp;"-"&amp;INT(INDEX(輔助計算!$D:$D, (MATCH(317, 輔助計算!$G$2:$G$801, 0)+1))/IF(INDEX(ERP資料!$G:$G, (MATCH(317, 輔助計算!$G$2:$G$801, 0)+1))&lt;100, IF(INDEX(ERP資料!$G:$G, (MATCH(317, 輔助計算!$G$2:$G$801, 0)+1))&lt;=31,3,IF(INDEX(ERP資料!$G:$G, (MATCH(317, 輔助計算!$G$2:$G$801, 0)+1))&lt;=46.5,2,1)), IF(INDEX(ERP資料!$G:$G, (MATCH(317, 輔助計算!$G$2:$G$801, 0)+1))&lt;=790,3,IF(INDEX(ERP資料!$G:$G, (MATCH(317, 輔助計算!$G$2:$G$801, 0)+1))&lt;=1181,2,1)))), "")&lt;&gt;"",IF(MOD(INDEX(輔助計算!$D:$D, (MATCH(317, 輔助計算!$G$2:$G$801, 0)+1)),IF(INDEX(ERP資料!$G:$G, (MATCH(317, 輔助計算!$G$2:$G$801, 0)+1))&lt;100, IF(INDEX(ERP資料!$G:$G, (MATCH(317, 輔助計算!$G$2:$G$801, 0)+1))&lt;=31,3,IF(INDEX(ERP資料!$G:$G, (MATCH(317, 輔助計算!$G$2:$G$801, 0)+1))&lt;=46.5,2,1)), IF(INDEX(ERP資料!$G:$G, (MATCH(317, 輔助計算!$G$2:$G$801, 0)+1))&lt;=790,3,IF(INDEX(ERP資料!$G:$G, (MATCH(317, 輔助計算!$G$2:$G$801, 0)+1))&lt;=1181,2,1))))=0,"",IF(MOD(INDEX(輔助計算!$D:$D, (MATCH(317, 輔助計算!$G$2:$G$801, 0)+1)),IF(INDEX(ERP資料!$G:$G, (MATCH(317, 輔助計算!$G$2:$G$801, 0)+1))&lt;100, IF(INDEX(ERP資料!$G:$G, (MATCH(317, 輔助計算!$G$2:$G$801, 0)+1))&lt;=31,3,IF(INDEX(ERP資料!$G:$G, (MATCH(317, 輔助計算!$G$2:$G$801, 0)+1))&lt;=46.5,2,1)), IF(INDEX(ERP資料!$G:$G, (MATCH(317, 輔助計算!$G$2:$G$801, 0)+1))&lt;=790,3,IF(INDEX(ERP資料!$G:$G, (MATCH(317, 輔助計算!$G$2:$G$801, 0)+1))&lt;=1181,2,1))))=0,"",IF(MOD(INDEX(輔助計算!$D:$D, (MATCH(317, 輔助計算!$G$2:$G$801, 0)+1)),IF(INDEX(ERP資料!$G:$G, (MATCH(317, 輔助計算!$G$2:$G$801, 0)+1))&lt;100, IF(INDEX(ERP資料!$G:$G, (MATCH(317, 輔助計算!$G$2:$G$801, 0)+1))&lt;=31,3,IF(INDEX(ERP資料!$G:$G, (MATCH(317, 輔助計算!$G$2:$G$801, 0)+1))&lt;=46.5,2,1)), IF(INDEX(ERP資料!$G:$G, (MATCH(317, 輔助計算!$G$2:$G$801, 0)+1))&lt;=790,3,IF(INDEX(ERP資料!$G:$G, (MATCH(317, 輔助計算!$G$2:$G$801, 0)+1))&lt;=1181,2,1))))=1,TEXT(INDEX(ERP資料!$G:$G, (MATCH(317, 輔助計算!$G$2:$G$801, 0)+1)),"0.##"),IF(MOD(INDEX(輔助計算!$D:$D, (MATCH(317, 輔助計算!$G$2:$G$801, 0)+1)),IF(INDEX(ERP資料!$G:$G, (MATCH(317, 輔助計算!$G$2:$G$801, 0)+1))&lt;100, IF(INDEX(ERP資料!$G:$G, (MATCH(317, 輔助計算!$G$2:$G$801, 0)+1))&lt;=31,3,IF(INDEX(ERP資料!$G:$G, (MATCH(317, 輔助計算!$G$2:$G$801, 0)+1))&lt;=46.5,2,1)), IF(INDEX(ERP資料!$G:$G, (MATCH(317, 輔助計算!$G$2:$G$801, 0)+1))&lt;=790,3,IF(INDEX(ERP資料!$G:$G, (MATCH(317, 輔助計算!$G$2:$G$801, 0)+1))&lt;=1181,2,1))))=2,TEXT(INDEX(ERP資料!$G:$G, (MATCH(317, 輔助計算!$G$2:$G$801, 0)+1)),"0.##")&amp;"+"&amp;TEXT(INDEX(ERP資料!$G:$G, (MATCH(317, 輔助計算!$G$2:$G$801, 0)+1)),"0.##"),TEXT(INDEX(ERP資料!$G:$G, (MATCH(317, 輔助計算!$G$2:$G$801, 0)+1)),"0.##")&amp;"+"&amp;TEXT(INDEX(ERP資料!$G:$G, (MATCH(317, 輔助計算!$G$2:$G$801, 0)+1)),"0.##")&amp;"+"&amp;TEXT(INDEX(ERP資料!$G:$G, (MATCH(317, 輔助計算!$G$2:$G$801, 0)+1)),"0.##"))))&amp;"-1")&lt;&gt;""),"  ","")&amp;IF(MOD(INDEX(輔助計算!$D:$D, (MATCH(317, 輔助計算!$G$2:$G$801, 0)+1)),IF(INDEX(ERP資料!$G:$G, (MATCH(317, 輔助計算!$G$2:$G$801, 0)+1))&lt;100, IF(INDEX(ERP資料!$G:$G, (MATCH(317, 輔助計算!$G$2:$G$801, 0)+1))&lt;=31,3,IF(INDEX(ERP資料!$G:$G, (MATCH(317, 輔助計算!$G$2:$G$801, 0)+1))&lt;=46.5,2,1)), IF(INDEX(ERP資料!$G:$G, (MATCH(317, 輔助計算!$G$2:$G$801, 0)+1))&lt;=790,3,IF(INDEX(ERP資料!$G:$G, (MATCH(317, 輔助計算!$G$2:$G$801, 0)+1))&lt;=1181,2,1))))=0,"",IF(MOD(INDEX(輔助計算!$D:$D, (MATCH(317, 輔助計算!$G$2:$G$801, 0)+1)),IF(INDEX(ERP資料!$G:$G, (MATCH(317, 輔助計算!$G$2:$G$801, 0)+1))&lt;100, IF(INDEX(ERP資料!$G:$G, (MATCH(317, 輔助計算!$G$2:$G$801, 0)+1))&lt;=31,3,IF(INDEX(ERP資料!$G:$G, (MATCH(317, 輔助計算!$G$2:$G$801, 0)+1))&lt;=46.5,2,1)), IF(INDEX(ERP資料!$G:$G, (MATCH(317, 輔助計算!$G$2:$G$801, 0)+1))&lt;=790,3,IF(INDEX(ERP資料!$G:$G, (MATCH(317, 輔助計算!$G$2:$G$801, 0)+1))&lt;=1181,2,1))))=0,"",IF(MOD(INDEX(輔助計算!$D:$D, (MATCH(317, 輔助計算!$G$2:$G$801, 0)+1)),IF(INDEX(ERP資料!$G:$G, (MATCH(317, 輔助計算!$G$2:$G$801, 0)+1))&lt;100, IF(INDEX(ERP資料!$G:$G, (MATCH(317, 輔助計算!$G$2:$G$801, 0)+1))&lt;=31,3,IF(INDEX(ERP資料!$G:$G, (MATCH(317, 輔助計算!$G$2:$G$801, 0)+1))&lt;=46.5,2,1)), IF(INDEX(ERP資料!$G:$G, (MATCH(317, 輔助計算!$G$2:$G$801, 0)+1))&lt;=790,3,IF(INDEX(ERP資料!$G:$G, (MATCH(317, 輔助計算!$G$2:$G$801, 0)+1))&lt;=1181,2,1))))=1,TEXT(INDEX(ERP資料!$G:$G, (MATCH(317, 輔助計算!$G$2:$G$801, 0)+1)),"0.##"),IF(MOD(INDEX(輔助計算!$D:$D, (MATCH(317, 輔助計算!$G$2:$G$801, 0)+1)),IF(INDEX(ERP資料!$G:$G, (MATCH(317, 輔助計算!$G$2:$G$801, 0)+1))&lt;100, IF(INDEX(ERP資料!$G:$G, (MATCH(317, 輔助計算!$G$2:$G$801, 0)+1))&lt;=31,3,IF(INDEX(ERP資料!$G:$G, (MATCH(317, 輔助計算!$G$2:$G$801, 0)+1))&lt;=46.5,2,1)), IF(INDEX(ERP資料!$G:$G, (MATCH(317, 輔助計算!$G$2:$G$801, 0)+1))&lt;=790,3,IF(INDEX(ERP資料!$G:$G, (MATCH(317, 輔助計算!$G$2:$G$801, 0)+1))&lt;=1181,2,1))))=2,TEXT(INDEX(ERP資料!$G:$G, (MATCH(317, 輔助計算!$G$2:$G$801, 0)+1)),"0.##")&amp;"+"&amp;TEXT(INDEX(ERP資料!$G:$G, (MATCH(317, 輔助計算!$G$2:$G$801, 0)+1)),"0.##"),TEXT(INDEX(ERP資料!$G:$G, (MATCH(317, 輔助計算!$G$2:$G$801, 0)+1)),"0.##")&amp;"+"&amp;TEXT(INDEX(ERP資料!$G:$G, (MATCH(317, 輔助計算!$G$2:$G$801, 0)+1)),"0.##")&amp;"+"&amp;TEXT(INDEX(ERP資料!$G:$G, (MATCH(317, 輔助計算!$G$2:$G$801, 0)+1)),"0.##"))))&amp;"-1")), ""), "")</f>
        <v/>
      </c>
      <c r="K318" s="16" t="n"/>
      <c r="L318" s="14">
        <f>IFERROR(IF(AND(IFERROR(INDEX(ERP資料!$A:$A, (MATCH(317, 輔助計算!$G$2:$G$801, 0)+1)), "")&lt;&gt;"", IFERROR(INDEX(ERP資料!$A:$A, (MATCH(317, 輔助計算!$G$2:$G$801, 0)+1)), "")&lt;&gt;IFERROR(INDEX(ERP資料!$A:$A, MATCH(316, 輔助計算!$G$2:$G$801, 0)+1), "")), INDEX(ERP資料!$B:$B, (MATCH(317, 輔助計算!$G$2:$G$801, 0)+1)), ""), "")</f>
        <v/>
      </c>
      <c r="M318" s="17" t="n"/>
    </row>
    <row r="319">
      <c r="A319" s="10">
        <f>IFERROR(IF(AND(IFERROR(INDEX(ERP資料!$A:$A, (MATCH(318, 輔助計算!$G$2:$G$801, 0)+1)), "")&lt;&gt;"", IFERROR(INDEX(ERP資料!$A:$A, (MATCH(318, 輔助計算!$G$2:$G$801, 0)+1)), "")&lt;&gt;IFERROR(INDEX(ERP資料!$A:$A, MATCH(317, 輔助計算!$G$2:$G$801, 0)+1), "")), IFERROR(INDEX(ERP資料!$A:$A, (MATCH(318, 輔助計算!$G$2:$G$801, 0)+1)), ""), ""), "")</f>
        <v/>
      </c>
      <c r="B319" s="10">
        <f>IFERROR(IF(AND(IFERROR(INDEX(ERP資料!$A:$A, (MATCH(318, 輔助計算!$G$2:$G$801, 0)+1)), "")&lt;&gt;"", IFERROR(INDEX(ERP資料!$A:$A, (MATCH(318, 輔助計算!$G$2:$G$801, 0)+1)), "")&lt;&gt;IFERROR(INDEX(ERP資料!$A:$A, MATCH(317, 輔助計算!$G$2:$G$801, 0)+1), "")), INDEX(ERP資料!$S:$S, (MATCH(318, 輔助計算!$G$2:$G$801, 0)+1)), ""), "")</f>
        <v/>
      </c>
      <c r="C319" s="19">
        <f>IFERROR(IF(AND(IFERROR(INDEX(ERP資料!$A:$A, (MATCH(318, 輔助計算!$G$2:$G$801, 0)+1)), "")&lt;&gt;"", IFERROR(INDEX(ERP資料!$A:$A, (MATCH(318, 輔助計算!$G$2:$G$801, 0)+1)), "")&lt;&gt;IFERROR(INDEX(ERP資料!$A:$A, MATCH(317, 輔助計算!$G$2:$G$801, 0)+1), "")), IFERROR(VLOOKUP(LEFT(INDEX(ERP資料!$S:$S, (MATCH(318, 輔助計算!$G$2:$G$801, 0)+1)), 4), 紙管對照表!$A:$C, 3, FALSE), ""), ""), "")</f>
        <v/>
      </c>
      <c r="D319" s="16" t="n"/>
      <c r="E319" s="10">
        <f>IFERROR(IF(INDEX(ERP資料!$H:$H, (MATCH(318, 輔助計算!$G$2:$G$801, 0)+1))="","",INDEX(ERP資料!$H:$H, (MATCH(318, 輔助計算!$G$2:$G$801, 0)+1))), "")</f>
        <v/>
      </c>
      <c r="F319" s="10">
        <f>IFERROR(IF(INDEX(ERP資料!$E:$E, (MATCH(318, 輔助計算!$G$2:$G$801, 0)+1))="","",TRIM(INDEX(ERP資料!$E:$E, (MATCH(318, 輔助計算!$G$2:$G$801, 0)+1)))), "")</f>
        <v/>
      </c>
      <c r="G319" s="10">
        <f>IFERROR(IF(INDEX(ERP資料!$F:$F, (MATCH(318, 輔助計算!$G$2:$G$801, 0)+1))="","",INDEX(ERP資料!$F:$F, (MATCH(318, 輔助計算!$G$2:$G$801, 0)+1))), "")</f>
        <v/>
      </c>
      <c r="H319" s="10">
        <f>IFERROR(IF(INDEX(ERP資料!$G:$G, (MATCH(318, 輔助計算!$G$2:$G$801, 0)+1))="","",INDEX(ERP資料!$G:$G, (MATCH(318, 輔助計算!$G$2:$G$801, 0)+1))), "")</f>
        <v/>
      </c>
      <c r="I319" s="15">
        <f>IFERROR(INDEX(輔助計算!$D:$D, (MATCH(318, 輔助計算!$G$2:$G$801, 0)+1)), "")</f>
        <v/>
      </c>
      <c r="J319" s="15">
        <f>IFERROR(IF(AND(INDEX(輔助計算!$D:$D, (MATCH(318, 輔助計算!$G$2:$G$801, 0)+1))&lt;&gt;"", INDEX(ERP資料!$G:$G, (MATCH(318, 輔助計算!$G$2:$G$801, 0)+1))&lt;&gt;""), TRIM(IF(INT(INDEX(輔助計算!$D:$D, (MATCH(318, 輔助計算!$G$2:$G$801, 0)+1))/IF(INDEX(ERP資料!$G:$G, (MATCH(318, 輔助計算!$G$2:$G$801, 0)+1))&lt;100, IF(INDEX(ERP資料!$G:$G, (MATCH(318, 輔助計算!$G$2:$G$801, 0)+1))&lt;=31,3,IF(INDEX(ERP資料!$G:$G, (MATCH(318, 輔助計算!$G$2:$G$801, 0)+1))&lt;=46.5,2,1)), IF(INDEX(ERP資料!$G:$G, (MATCH(318, 輔助計算!$G$2:$G$801, 0)+1))&lt;=790,3,IF(INDEX(ERP資料!$G:$G, (MATCH(318, 輔助計算!$G$2:$G$801, 0)+1))&lt;=1181,2,1))))&gt;0, IF(IF(INDEX(ERP資料!$G:$G, (MATCH(318, 輔助計算!$G$2:$G$801, 0)+1))&lt;100, IF(INDEX(ERP資料!$G:$G, (MATCH(318, 輔助計算!$G$2:$G$801, 0)+1))&lt;=31,3,IF(INDEX(ERP資料!$G:$G, (MATCH(318, 輔助計算!$G$2:$G$801, 0)+1))&lt;=46.5,2,1)), IF(INDEX(ERP資料!$G:$G, (MATCH(318, 輔助計算!$G$2:$G$801, 0)+1))&lt;=790,3,IF(INDEX(ERP資料!$G:$G, (MATCH(318, 輔助計算!$G$2:$G$801, 0)+1))&lt;=1181,2,1)))=1,TEXT(INDEX(ERP資料!$G:$G, (MATCH(318, 輔助計算!$G$2:$G$801, 0)+1)),"0.##"),IF(IF(INDEX(ERP資料!$G:$G, (MATCH(318, 輔助計算!$G$2:$G$801, 0)+1))&lt;100, IF(INDEX(ERP資料!$G:$G, (MATCH(318, 輔助計算!$G$2:$G$801, 0)+1))&lt;=31,3,IF(INDEX(ERP資料!$G:$G, (MATCH(318, 輔助計算!$G$2:$G$801, 0)+1))&lt;=46.5,2,1)), IF(INDEX(ERP資料!$G:$G, (MATCH(318, 輔助計算!$G$2:$G$801, 0)+1))&lt;=790,3,IF(INDEX(ERP資料!$G:$G, (MATCH(318, 輔助計算!$G$2:$G$801, 0)+1))&lt;=1181,2,1)))=2,TEXT(INDEX(ERP資料!$G:$G, (MATCH(318, 輔助計算!$G$2:$G$801, 0)+1)),"0.##")&amp;"+"&amp;TEXT(INDEX(ERP資料!$G:$G, (MATCH(318, 輔助計算!$G$2:$G$801, 0)+1)),"0.##"),TEXT(INDEX(ERP資料!$G:$G, (MATCH(318, 輔助計算!$G$2:$G$801, 0)+1)),"0.##")&amp;"+"&amp;TEXT(INDEX(ERP資料!$G:$G, (MATCH(318, 輔助計算!$G$2:$G$801, 0)+1)),"0.##")&amp;"+"&amp;TEXT(INDEX(ERP資料!$G:$G, (MATCH(318, 輔助計算!$G$2:$G$801, 0)+1)),"0.##")))&amp;"-"&amp;INT(INDEX(輔助計算!$D:$D, (MATCH(318, 輔助計算!$G$2:$G$801, 0)+1))/IF(INDEX(ERP資料!$G:$G, (MATCH(318, 輔助計算!$G$2:$G$801, 0)+1))&lt;100, IF(INDEX(ERP資料!$G:$G, (MATCH(318, 輔助計算!$G$2:$G$801, 0)+1))&lt;=31,3,IF(INDEX(ERP資料!$G:$G, (MATCH(318, 輔助計算!$G$2:$G$801, 0)+1))&lt;=46.5,2,1)), IF(INDEX(ERP資料!$G:$G, (MATCH(318, 輔助計算!$G$2:$G$801, 0)+1))&lt;=790,3,IF(INDEX(ERP資料!$G:$G, (MATCH(318, 輔助計算!$G$2:$G$801, 0)+1))&lt;=1181,2,1)))), "")&amp;IF(AND(IF(INT(INDEX(輔助計算!$D:$D, (MATCH(318, 輔助計算!$G$2:$G$801, 0)+1))/IF(INDEX(ERP資料!$G:$G, (MATCH(318, 輔助計算!$G$2:$G$801, 0)+1))&lt;100, IF(INDEX(ERP資料!$G:$G, (MATCH(318, 輔助計算!$G$2:$G$801, 0)+1))&lt;=31,3,IF(INDEX(ERP資料!$G:$G, (MATCH(318, 輔助計算!$G$2:$G$801, 0)+1))&lt;=46.5,2,1)), IF(INDEX(ERP資料!$G:$G, (MATCH(318, 輔助計算!$G$2:$G$801, 0)+1))&lt;=790,3,IF(INDEX(ERP資料!$G:$G, (MATCH(318, 輔助計算!$G$2:$G$801, 0)+1))&lt;=1181,2,1))))&gt;0, IF(IF(INDEX(ERP資料!$G:$G, (MATCH(318, 輔助計算!$G$2:$G$801, 0)+1))&lt;100, IF(INDEX(ERP資料!$G:$G, (MATCH(318, 輔助計算!$G$2:$G$801, 0)+1))&lt;=31,3,IF(INDEX(ERP資料!$G:$G, (MATCH(318, 輔助計算!$G$2:$G$801, 0)+1))&lt;=46.5,2,1)), IF(INDEX(ERP資料!$G:$G, (MATCH(318, 輔助計算!$G$2:$G$801, 0)+1))&lt;=790,3,IF(INDEX(ERP資料!$G:$G, (MATCH(318, 輔助計算!$G$2:$G$801, 0)+1))&lt;=1181,2,1)))=1,TEXT(INDEX(ERP資料!$G:$G, (MATCH(318, 輔助計算!$G$2:$G$801, 0)+1)),"0.##"),IF(IF(INDEX(ERP資料!$G:$G, (MATCH(318, 輔助計算!$G$2:$G$801, 0)+1))&lt;100, IF(INDEX(ERP資料!$G:$G, (MATCH(318, 輔助計算!$G$2:$G$801, 0)+1))&lt;=31,3,IF(INDEX(ERP資料!$G:$G, (MATCH(318, 輔助計算!$G$2:$G$801, 0)+1))&lt;=46.5,2,1)), IF(INDEX(ERP資料!$G:$G, (MATCH(318, 輔助計算!$G$2:$G$801, 0)+1))&lt;=790,3,IF(INDEX(ERP資料!$G:$G, (MATCH(318, 輔助計算!$G$2:$G$801, 0)+1))&lt;=1181,2,1)))=2,TEXT(INDEX(ERP資料!$G:$G, (MATCH(318, 輔助計算!$G$2:$G$801, 0)+1)),"0.##")&amp;"+"&amp;TEXT(INDEX(ERP資料!$G:$G, (MATCH(318, 輔助計算!$G$2:$G$801, 0)+1)),"0.##"),TEXT(INDEX(ERP資料!$G:$G, (MATCH(318, 輔助計算!$G$2:$G$801, 0)+1)),"0.##")&amp;"+"&amp;TEXT(INDEX(ERP資料!$G:$G, (MATCH(318, 輔助計算!$G$2:$G$801, 0)+1)),"0.##")&amp;"+"&amp;TEXT(INDEX(ERP資料!$G:$G, (MATCH(318, 輔助計算!$G$2:$G$801, 0)+1)),"0.##")))&amp;"-"&amp;INT(INDEX(輔助計算!$D:$D, (MATCH(318, 輔助計算!$G$2:$G$801, 0)+1))/IF(INDEX(ERP資料!$G:$G, (MATCH(318, 輔助計算!$G$2:$G$801, 0)+1))&lt;100, IF(INDEX(ERP資料!$G:$G, (MATCH(318, 輔助計算!$G$2:$G$801, 0)+1))&lt;=31,3,IF(INDEX(ERP資料!$G:$G, (MATCH(318, 輔助計算!$G$2:$G$801, 0)+1))&lt;=46.5,2,1)), IF(INDEX(ERP資料!$G:$G, (MATCH(318, 輔助計算!$G$2:$G$801, 0)+1))&lt;=790,3,IF(INDEX(ERP資料!$G:$G, (MATCH(318, 輔助計算!$G$2:$G$801, 0)+1))&lt;=1181,2,1)))), "")&lt;&gt;"",IF(MOD(INDEX(輔助計算!$D:$D, (MATCH(318, 輔助計算!$G$2:$G$801, 0)+1)),IF(INDEX(ERP資料!$G:$G, (MATCH(318, 輔助計算!$G$2:$G$801, 0)+1))&lt;100, IF(INDEX(ERP資料!$G:$G, (MATCH(318, 輔助計算!$G$2:$G$801, 0)+1))&lt;=31,3,IF(INDEX(ERP資料!$G:$G, (MATCH(318, 輔助計算!$G$2:$G$801, 0)+1))&lt;=46.5,2,1)), IF(INDEX(ERP資料!$G:$G, (MATCH(318, 輔助計算!$G$2:$G$801, 0)+1))&lt;=790,3,IF(INDEX(ERP資料!$G:$G, (MATCH(318, 輔助計算!$G$2:$G$801, 0)+1))&lt;=1181,2,1))))=0,"",IF(MOD(INDEX(輔助計算!$D:$D, (MATCH(318, 輔助計算!$G$2:$G$801, 0)+1)),IF(INDEX(ERP資料!$G:$G, (MATCH(318, 輔助計算!$G$2:$G$801, 0)+1))&lt;100, IF(INDEX(ERP資料!$G:$G, (MATCH(318, 輔助計算!$G$2:$G$801, 0)+1))&lt;=31,3,IF(INDEX(ERP資料!$G:$G, (MATCH(318, 輔助計算!$G$2:$G$801, 0)+1))&lt;=46.5,2,1)), IF(INDEX(ERP資料!$G:$G, (MATCH(318, 輔助計算!$G$2:$G$801, 0)+1))&lt;=790,3,IF(INDEX(ERP資料!$G:$G, (MATCH(318, 輔助計算!$G$2:$G$801, 0)+1))&lt;=1181,2,1))))=0,"",IF(MOD(INDEX(輔助計算!$D:$D, (MATCH(318, 輔助計算!$G$2:$G$801, 0)+1)),IF(INDEX(ERP資料!$G:$G, (MATCH(318, 輔助計算!$G$2:$G$801, 0)+1))&lt;100, IF(INDEX(ERP資料!$G:$G, (MATCH(318, 輔助計算!$G$2:$G$801, 0)+1))&lt;=31,3,IF(INDEX(ERP資料!$G:$G, (MATCH(318, 輔助計算!$G$2:$G$801, 0)+1))&lt;=46.5,2,1)), IF(INDEX(ERP資料!$G:$G, (MATCH(318, 輔助計算!$G$2:$G$801, 0)+1))&lt;=790,3,IF(INDEX(ERP資料!$G:$G, (MATCH(318, 輔助計算!$G$2:$G$801, 0)+1))&lt;=1181,2,1))))=1,TEXT(INDEX(ERP資料!$G:$G, (MATCH(318, 輔助計算!$G$2:$G$801, 0)+1)),"0.##"),IF(MOD(INDEX(輔助計算!$D:$D, (MATCH(318, 輔助計算!$G$2:$G$801, 0)+1)),IF(INDEX(ERP資料!$G:$G, (MATCH(318, 輔助計算!$G$2:$G$801, 0)+1))&lt;100, IF(INDEX(ERP資料!$G:$G, (MATCH(318, 輔助計算!$G$2:$G$801, 0)+1))&lt;=31,3,IF(INDEX(ERP資料!$G:$G, (MATCH(318, 輔助計算!$G$2:$G$801, 0)+1))&lt;=46.5,2,1)), IF(INDEX(ERP資料!$G:$G, (MATCH(318, 輔助計算!$G$2:$G$801, 0)+1))&lt;=790,3,IF(INDEX(ERP資料!$G:$G, (MATCH(318, 輔助計算!$G$2:$G$801, 0)+1))&lt;=1181,2,1))))=2,TEXT(INDEX(ERP資料!$G:$G, (MATCH(318, 輔助計算!$G$2:$G$801, 0)+1)),"0.##")&amp;"+"&amp;TEXT(INDEX(ERP資料!$G:$G, (MATCH(318, 輔助計算!$G$2:$G$801, 0)+1)),"0.##"),TEXT(INDEX(ERP資料!$G:$G, (MATCH(318, 輔助計算!$G$2:$G$801, 0)+1)),"0.##")&amp;"+"&amp;TEXT(INDEX(ERP資料!$G:$G, (MATCH(318, 輔助計算!$G$2:$G$801, 0)+1)),"0.##")&amp;"+"&amp;TEXT(INDEX(ERP資料!$G:$G, (MATCH(318, 輔助計算!$G$2:$G$801, 0)+1)),"0.##"))))&amp;"-1")&lt;&gt;""),"  ","")&amp;IF(MOD(INDEX(輔助計算!$D:$D, (MATCH(318, 輔助計算!$G$2:$G$801, 0)+1)),IF(INDEX(ERP資料!$G:$G, (MATCH(318, 輔助計算!$G$2:$G$801, 0)+1))&lt;100, IF(INDEX(ERP資料!$G:$G, (MATCH(318, 輔助計算!$G$2:$G$801, 0)+1))&lt;=31,3,IF(INDEX(ERP資料!$G:$G, (MATCH(318, 輔助計算!$G$2:$G$801, 0)+1))&lt;=46.5,2,1)), IF(INDEX(ERP資料!$G:$G, (MATCH(318, 輔助計算!$G$2:$G$801, 0)+1))&lt;=790,3,IF(INDEX(ERP資料!$G:$G, (MATCH(318, 輔助計算!$G$2:$G$801, 0)+1))&lt;=1181,2,1))))=0,"",IF(MOD(INDEX(輔助計算!$D:$D, (MATCH(318, 輔助計算!$G$2:$G$801, 0)+1)),IF(INDEX(ERP資料!$G:$G, (MATCH(318, 輔助計算!$G$2:$G$801, 0)+1))&lt;100, IF(INDEX(ERP資料!$G:$G, (MATCH(318, 輔助計算!$G$2:$G$801, 0)+1))&lt;=31,3,IF(INDEX(ERP資料!$G:$G, (MATCH(318, 輔助計算!$G$2:$G$801, 0)+1))&lt;=46.5,2,1)), IF(INDEX(ERP資料!$G:$G, (MATCH(318, 輔助計算!$G$2:$G$801, 0)+1))&lt;=790,3,IF(INDEX(ERP資料!$G:$G, (MATCH(318, 輔助計算!$G$2:$G$801, 0)+1))&lt;=1181,2,1))))=0,"",IF(MOD(INDEX(輔助計算!$D:$D, (MATCH(318, 輔助計算!$G$2:$G$801, 0)+1)),IF(INDEX(ERP資料!$G:$G, (MATCH(318, 輔助計算!$G$2:$G$801, 0)+1))&lt;100, IF(INDEX(ERP資料!$G:$G, (MATCH(318, 輔助計算!$G$2:$G$801, 0)+1))&lt;=31,3,IF(INDEX(ERP資料!$G:$G, (MATCH(318, 輔助計算!$G$2:$G$801, 0)+1))&lt;=46.5,2,1)), IF(INDEX(ERP資料!$G:$G, (MATCH(318, 輔助計算!$G$2:$G$801, 0)+1))&lt;=790,3,IF(INDEX(ERP資料!$G:$G, (MATCH(318, 輔助計算!$G$2:$G$801, 0)+1))&lt;=1181,2,1))))=1,TEXT(INDEX(ERP資料!$G:$G, (MATCH(318, 輔助計算!$G$2:$G$801, 0)+1)),"0.##"),IF(MOD(INDEX(輔助計算!$D:$D, (MATCH(318, 輔助計算!$G$2:$G$801, 0)+1)),IF(INDEX(ERP資料!$G:$G, (MATCH(318, 輔助計算!$G$2:$G$801, 0)+1))&lt;100, IF(INDEX(ERP資料!$G:$G, (MATCH(318, 輔助計算!$G$2:$G$801, 0)+1))&lt;=31,3,IF(INDEX(ERP資料!$G:$G, (MATCH(318, 輔助計算!$G$2:$G$801, 0)+1))&lt;=46.5,2,1)), IF(INDEX(ERP資料!$G:$G, (MATCH(318, 輔助計算!$G$2:$G$801, 0)+1))&lt;=790,3,IF(INDEX(ERP資料!$G:$G, (MATCH(318, 輔助計算!$G$2:$G$801, 0)+1))&lt;=1181,2,1))))=2,TEXT(INDEX(ERP資料!$G:$G, (MATCH(318, 輔助計算!$G$2:$G$801, 0)+1)),"0.##")&amp;"+"&amp;TEXT(INDEX(ERP資料!$G:$G, (MATCH(318, 輔助計算!$G$2:$G$801, 0)+1)),"0.##"),TEXT(INDEX(ERP資料!$G:$G, (MATCH(318, 輔助計算!$G$2:$G$801, 0)+1)),"0.##")&amp;"+"&amp;TEXT(INDEX(ERP資料!$G:$G, (MATCH(318, 輔助計算!$G$2:$G$801, 0)+1)),"0.##")&amp;"+"&amp;TEXT(INDEX(ERP資料!$G:$G, (MATCH(318, 輔助計算!$G$2:$G$801, 0)+1)),"0.##"))))&amp;"-1")), ""), "")</f>
        <v/>
      </c>
      <c r="K319" s="16" t="n"/>
      <c r="L319" s="14">
        <f>IFERROR(IF(AND(IFERROR(INDEX(ERP資料!$A:$A, (MATCH(318, 輔助計算!$G$2:$G$801, 0)+1)), "")&lt;&gt;"", IFERROR(INDEX(ERP資料!$A:$A, (MATCH(318, 輔助計算!$G$2:$G$801, 0)+1)), "")&lt;&gt;IFERROR(INDEX(ERP資料!$A:$A, MATCH(317, 輔助計算!$G$2:$G$801, 0)+1), "")), INDEX(ERP資料!$B:$B, (MATCH(318, 輔助計算!$G$2:$G$801, 0)+1)), ""), "")</f>
        <v/>
      </c>
      <c r="M319" s="17" t="n"/>
    </row>
    <row r="320">
      <c r="A320" s="10">
        <f>IFERROR(IF(AND(IFERROR(INDEX(ERP資料!$A:$A, (MATCH(319, 輔助計算!$G$2:$G$801, 0)+1)), "")&lt;&gt;"", IFERROR(INDEX(ERP資料!$A:$A, (MATCH(319, 輔助計算!$G$2:$G$801, 0)+1)), "")&lt;&gt;IFERROR(INDEX(ERP資料!$A:$A, MATCH(318, 輔助計算!$G$2:$G$801, 0)+1), "")), IFERROR(INDEX(ERP資料!$A:$A, (MATCH(319, 輔助計算!$G$2:$G$801, 0)+1)), ""), ""), "")</f>
        <v/>
      </c>
      <c r="B320" s="10">
        <f>IFERROR(IF(AND(IFERROR(INDEX(ERP資料!$A:$A, (MATCH(319, 輔助計算!$G$2:$G$801, 0)+1)), "")&lt;&gt;"", IFERROR(INDEX(ERP資料!$A:$A, (MATCH(319, 輔助計算!$G$2:$G$801, 0)+1)), "")&lt;&gt;IFERROR(INDEX(ERP資料!$A:$A, MATCH(318, 輔助計算!$G$2:$G$801, 0)+1), "")), INDEX(ERP資料!$S:$S, (MATCH(319, 輔助計算!$G$2:$G$801, 0)+1)), ""), "")</f>
        <v/>
      </c>
      <c r="C320" s="19">
        <f>IFERROR(IF(AND(IFERROR(INDEX(ERP資料!$A:$A, (MATCH(319, 輔助計算!$G$2:$G$801, 0)+1)), "")&lt;&gt;"", IFERROR(INDEX(ERP資料!$A:$A, (MATCH(319, 輔助計算!$G$2:$G$801, 0)+1)), "")&lt;&gt;IFERROR(INDEX(ERP資料!$A:$A, MATCH(318, 輔助計算!$G$2:$G$801, 0)+1), "")), IFERROR(VLOOKUP(LEFT(INDEX(ERP資料!$S:$S, (MATCH(319, 輔助計算!$G$2:$G$801, 0)+1)), 4), 紙管對照表!$A:$C, 3, FALSE), ""), ""), "")</f>
        <v/>
      </c>
      <c r="D320" s="16" t="n"/>
      <c r="E320" s="10">
        <f>IFERROR(IF(INDEX(ERP資料!$H:$H, (MATCH(319, 輔助計算!$G$2:$G$801, 0)+1))="","",INDEX(ERP資料!$H:$H, (MATCH(319, 輔助計算!$G$2:$G$801, 0)+1))), "")</f>
        <v/>
      </c>
      <c r="F320" s="10">
        <f>IFERROR(IF(INDEX(ERP資料!$E:$E, (MATCH(319, 輔助計算!$G$2:$G$801, 0)+1))="","",TRIM(INDEX(ERP資料!$E:$E, (MATCH(319, 輔助計算!$G$2:$G$801, 0)+1)))), "")</f>
        <v/>
      </c>
      <c r="G320" s="10">
        <f>IFERROR(IF(INDEX(ERP資料!$F:$F, (MATCH(319, 輔助計算!$G$2:$G$801, 0)+1))="","",INDEX(ERP資料!$F:$F, (MATCH(319, 輔助計算!$G$2:$G$801, 0)+1))), "")</f>
        <v/>
      </c>
      <c r="H320" s="10">
        <f>IFERROR(IF(INDEX(ERP資料!$G:$G, (MATCH(319, 輔助計算!$G$2:$G$801, 0)+1))="","",INDEX(ERP資料!$G:$G, (MATCH(319, 輔助計算!$G$2:$G$801, 0)+1))), "")</f>
        <v/>
      </c>
      <c r="I320" s="15">
        <f>IFERROR(INDEX(輔助計算!$D:$D, (MATCH(319, 輔助計算!$G$2:$G$801, 0)+1)), "")</f>
        <v/>
      </c>
      <c r="J320" s="15">
        <f>IFERROR(IF(AND(INDEX(輔助計算!$D:$D, (MATCH(319, 輔助計算!$G$2:$G$801, 0)+1))&lt;&gt;"", INDEX(ERP資料!$G:$G, (MATCH(319, 輔助計算!$G$2:$G$801, 0)+1))&lt;&gt;""), TRIM(IF(INT(INDEX(輔助計算!$D:$D, (MATCH(319, 輔助計算!$G$2:$G$801, 0)+1))/IF(INDEX(ERP資料!$G:$G, (MATCH(319, 輔助計算!$G$2:$G$801, 0)+1))&lt;100, IF(INDEX(ERP資料!$G:$G, (MATCH(319, 輔助計算!$G$2:$G$801, 0)+1))&lt;=31,3,IF(INDEX(ERP資料!$G:$G, (MATCH(319, 輔助計算!$G$2:$G$801, 0)+1))&lt;=46.5,2,1)), IF(INDEX(ERP資料!$G:$G, (MATCH(319, 輔助計算!$G$2:$G$801, 0)+1))&lt;=790,3,IF(INDEX(ERP資料!$G:$G, (MATCH(319, 輔助計算!$G$2:$G$801, 0)+1))&lt;=1181,2,1))))&gt;0, IF(IF(INDEX(ERP資料!$G:$G, (MATCH(319, 輔助計算!$G$2:$G$801, 0)+1))&lt;100, IF(INDEX(ERP資料!$G:$G, (MATCH(319, 輔助計算!$G$2:$G$801, 0)+1))&lt;=31,3,IF(INDEX(ERP資料!$G:$G, (MATCH(319, 輔助計算!$G$2:$G$801, 0)+1))&lt;=46.5,2,1)), IF(INDEX(ERP資料!$G:$G, (MATCH(319, 輔助計算!$G$2:$G$801, 0)+1))&lt;=790,3,IF(INDEX(ERP資料!$G:$G, (MATCH(319, 輔助計算!$G$2:$G$801, 0)+1))&lt;=1181,2,1)))=1,TEXT(INDEX(ERP資料!$G:$G, (MATCH(319, 輔助計算!$G$2:$G$801, 0)+1)),"0.##"),IF(IF(INDEX(ERP資料!$G:$G, (MATCH(319, 輔助計算!$G$2:$G$801, 0)+1))&lt;100, IF(INDEX(ERP資料!$G:$G, (MATCH(319, 輔助計算!$G$2:$G$801, 0)+1))&lt;=31,3,IF(INDEX(ERP資料!$G:$G, (MATCH(319, 輔助計算!$G$2:$G$801, 0)+1))&lt;=46.5,2,1)), IF(INDEX(ERP資料!$G:$G, (MATCH(319, 輔助計算!$G$2:$G$801, 0)+1))&lt;=790,3,IF(INDEX(ERP資料!$G:$G, (MATCH(319, 輔助計算!$G$2:$G$801, 0)+1))&lt;=1181,2,1)))=2,TEXT(INDEX(ERP資料!$G:$G, (MATCH(319, 輔助計算!$G$2:$G$801, 0)+1)),"0.##")&amp;"+"&amp;TEXT(INDEX(ERP資料!$G:$G, (MATCH(319, 輔助計算!$G$2:$G$801, 0)+1)),"0.##"),TEXT(INDEX(ERP資料!$G:$G, (MATCH(319, 輔助計算!$G$2:$G$801, 0)+1)),"0.##")&amp;"+"&amp;TEXT(INDEX(ERP資料!$G:$G, (MATCH(319, 輔助計算!$G$2:$G$801, 0)+1)),"0.##")&amp;"+"&amp;TEXT(INDEX(ERP資料!$G:$G, (MATCH(319, 輔助計算!$G$2:$G$801, 0)+1)),"0.##")))&amp;"-"&amp;INT(INDEX(輔助計算!$D:$D, (MATCH(319, 輔助計算!$G$2:$G$801, 0)+1))/IF(INDEX(ERP資料!$G:$G, (MATCH(319, 輔助計算!$G$2:$G$801, 0)+1))&lt;100, IF(INDEX(ERP資料!$G:$G, (MATCH(319, 輔助計算!$G$2:$G$801, 0)+1))&lt;=31,3,IF(INDEX(ERP資料!$G:$G, (MATCH(319, 輔助計算!$G$2:$G$801, 0)+1))&lt;=46.5,2,1)), IF(INDEX(ERP資料!$G:$G, (MATCH(319, 輔助計算!$G$2:$G$801, 0)+1))&lt;=790,3,IF(INDEX(ERP資料!$G:$G, (MATCH(319, 輔助計算!$G$2:$G$801, 0)+1))&lt;=1181,2,1)))), "")&amp;IF(AND(IF(INT(INDEX(輔助計算!$D:$D, (MATCH(319, 輔助計算!$G$2:$G$801, 0)+1))/IF(INDEX(ERP資料!$G:$G, (MATCH(319, 輔助計算!$G$2:$G$801, 0)+1))&lt;100, IF(INDEX(ERP資料!$G:$G, (MATCH(319, 輔助計算!$G$2:$G$801, 0)+1))&lt;=31,3,IF(INDEX(ERP資料!$G:$G, (MATCH(319, 輔助計算!$G$2:$G$801, 0)+1))&lt;=46.5,2,1)), IF(INDEX(ERP資料!$G:$G, (MATCH(319, 輔助計算!$G$2:$G$801, 0)+1))&lt;=790,3,IF(INDEX(ERP資料!$G:$G, (MATCH(319, 輔助計算!$G$2:$G$801, 0)+1))&lt;=1181,2,1))))&gt;0, IF(IF(INDEX(ERP資料!$G:$G, (MATCH(319, 輔助計算!$G$2:$G$801, 0)+1))&lt;100, IF(INDEX(ERP資料!$G:$G, (MATCH(319, 輔助計算!$G$2:$G$801, 0)+1))&lt;=31,3,IF(INDEX(ERP資料!$G:$G, (MATCH(319, 輔助計算!$G$2:$G$801, 0)+1))&lt;=46.5,2,1)), IF(INDEX(ERP資料!$G:$G, (MATCH(319, 輔助計算!$G$2:$G$801, 0)+1))&lt;=790,3,IF(INDEX(ERP資料!$G:$G, (MATCH(319, 輔助計算!$G$2:$G$801, 0)+1))&lt;=1181,2,1)))=1,TEXT(INDEX(ERP資料!$G:$G, (MATCH(319, 輔助計算!$G$2:$G$801, 0)+1)),"0.##"),IF(IF(INDEX(ERP資料!$G:$G, (MATCH(319, 輔助計算!$G$2:$G$801, 0)+1))&lt;100, IF(INDEX(ERP資料!$G:$G, (MATCH(319, 輔助計算!$G$2:$G$801, 0)+1))&lt;=31,3,IF(INDEX(ERP資料!$G:$G, (MATCH(319, 輔助計算!$G$2:$G$801, 0)+1))&lt;=46.5,2,1)), IF(INDEX(ERP資料!$G:$G, (MATCH(319, 輔助計算!$G$2:$G$801, 0)+1))&lt;=790,3,IF(INDEX(ERP資料!$G:$G, (MATCH(319, 輔助計算!$G$2:$G$801, 0)+1))&lt;=1181,2,1)))=2,TEXT(INDEX(ERP資料!$G:$G, (MATCH(319, 輔助計算!$G$2:$G$801, 0)+1)),"0.##")&amp;"+"&amp;TEXT(INDEX(ERP資料!$G:$G, (MATCH(319, 輔助計算!$G$2:$G$801, 0)+1)),"0.##"),TEXT(INDEX(ERP資料!$G:$G, (MATCH(319, 輔助計算!$G$2:$G$801, 0)+1)),"0.##")&amp;"+"&amp;TEXT(INDEX(ERP資料!$G:$G, (MATCH(319, 輔助計算!$G$2:$G$801, 0)+1)),"0.##")&amp;"+"&amp;TEXT(INDEX(ERP資料!$G:$G, (MATCH(319, 輔助計算!$G$2:$G$801, 0)+1)),"0.##")))&amp;"-"&amp;INT(INDEX(輔助計算!$D:$D, (MATCH(319, 輔助計算!$G$2:$G$801, 0)+1))/IF(INDEX(ERP資料!$G:$G, (MATCH(319, 輔助計算!$G$2:$G$801, 0)+1))&lt;100, IF(INDEX(ERP資料!$G:$G, (MATCH(319, 輔助計算!$G$2:$G$801, 0)+1))&lt;=31,3,IF(INDEX(ERP資料!$G:$G, (MATCH(319, 輔助計算!$G$2:$G$801, 0)+1))&lt;=46.5,2,1)), IF(INDEX(ERP資料!$G:$G, (MATCH(319, 輔助計算!$G$2:$G$801, 0)+1))&lt;=790,3,IF(INDEX(ERP資料!$G:$G, (MATCH(319, 輔助計算!$G$2:$G$801, 0)+1))&lt;=1181,2,1)))), "")&lt;&gt;"",IF(MOD(INDEX(輔助計算!$D:$D, (MATCH(319, 輔助計算!$G$2:$G$801, 0)+1)),IF(INDEX(ERP資料!$G:$G, (MATCH(319, 輔助計算!$G$2:$G$801, 0)+1))&lt;100, IF(INDEX(ERP資料!$G:$G, (MATCH(319, 輔助計算!$G$2:$G$801, 0)+1))&lt;=31,3,IF(INDEX(ERP資料!$G:$G, (MATCH(319, 輔助計算!$G$2:$G$801, 0)+1))&lt;=46.5,2,1)), IF(INDEX(ERP資料!$G:$G, (MATCH(319, 輔助計算!$G$2:$G$801, 0)+1))&lt;=790,3,IF(INDEX(ERP資料!$G:$G, (MATCH(319, 輔助計算!$G$2:$G$801, 0)+1))&lt;=1181,2,1))))=0,"",IF(MOD(INDEX(輔助計算!$D:$D, (MATCH(319, 輔助計算!$G$2:$G$801, 0)+1)),IF(INDEX(ERP資料!$G:$G, (MATCH(319, 輔助計算!$G$2:$G$801, 0)+1))&lt;100, IF(INDEX(ERP資料!$G:$G, (MATCH(319, 輔助計算!$G$2:$G$801, 0)+1))&lt;=31,3,IF(INDEX(ERP資料!$G:$G, (MATCH(319, 輔助計算!$G$2:$G$801, 0)+1))&lt;=46.5,2,1)), IF(INDEX(ERP資料!$G:$G, (MATCH(319, 輔助計算!$G$2:$G$801, 0)+1))&lt;=790,3,IF(INDEX(ERP資料!$G:$G, (MATCH(319, 輔助計算!$G$2:$G$801, 0)+1))&lt;=1181,2,1))))=0,"",IF(MOD(INDEX(輔助計算!$D:$D, (MATCH(319, 輔助計算!$G$2:$G$801, 0)+1)),IF(INDEX(ERP資料!$G:$G, (MATCH(319, 輔助計算!$G$2:$G$801, 0)+1))&lt;100, IF(INDEX(ERP資料!$G:$G, (MATCH(319, 輔助計算!$G$2:$G$801, 0)+1))&lt;=31,3,IF(INDEX(ERP資料!$G:$G, (MATCH(319, 輔助計算!$G$2:$G$801, 0)+1))&lt;=46.5,2,1)), IF(INDEX(ERP資料!$G:$G, (MATCH(319, 輔助計算!$G$2:$G$801, 0)+1))&lt;=790,3,IF(INDEX(ERP資料!$G:$G, (MATCH(319, 輔助計算!$G$2:$G$801, 0)+1))&lt;=1181,2,1))))=1,TEXT(INDEX(ERP資料!$G:$G, (MATCH(319, 輔助計算!$G$2:$G$801, 0)+1)),"0.##"),IF(MOD(INDEX(輔助計算!$D:$D, (MATCH(319, 輔助計算!$G$2:$G$801, 0)+1)),IF(INDEX(ERP資料!$G:$G, (MATCH(319, 輔助計算!$G$2:$G$801, 0)+1))&lt;100, IF(INDEX(ERP資料!$G:$G, (MATCH(319, 輔助計算!$G$2:$G$801, 0)+1))&lt;=31,3,IF(INDEX(ERP資料!$G:$G, (MATCH(319, 輔助計算!$G$2:$G$801, 0)+1))&lt;=46.5,2,1)), IF(INDEX(ERP資料!$G:$G, (MATCH(319, 輔助計算!$G$2:$G$801, 0)+1))&lt;=790,3,IF(INDEX(ERP資料!$G:$G, (MATCH(319, 輔助計算!$G$2:$G$801, 0)+1))&lt;=1181,2,1))))=2,TEXT(INDEX(ERP資料!$G:$G, (MATCH(319, 輔助計算!$G$2:$G$801, 0)+1)),"0.##")&amp;"+"&amp;TEXT(INDEX(ERP資料!$G:$G, (MATCH(319, 輔助計算!$G$2:$G$801, 0)+1)),"0.##"),TEXT(INDEX(ERP資料!$G:$G, (MATCH(319, 輔助計算!$G$2:$G$801, 0)+1)),"0.##")&amp;"+"&amp;TEXT(INDEX(ERP資料!$G:$G, (MATCH(319, 輔助計算!$G$2:$G$801, 0)+1)),"0.##")&amp;"+"&amp;TEXT(INDEX(ERP資料!$G:$G, (MATCH(319, 輔助計算!$G$2:$G$801, 0)+1)),"0.##"))))&amp;"-1")&lt;&gt;""),"  ","")&amp;IF(MOD(INDEX(輔助計算!$D:$D, (MATCH(319, 輔助計算!$G$2:$G$801, 0)+1)),IF(INDEX(ERP資料!$G:$G, (MATCH(319, 輔助計算!$G$2:$G$801, 0)+1))&lt;100, IF(INDEX(ERP資料!$G:$G, (MATCH(319, 輔助計算!$G$2:$G$801, 0)+1))&lt;=31,3,IF(INDEX(ERP資料!$G:$G, (MATCH(319, 輔助計算!$G$2:$G$801, 0)+1))&lt;=46.5,2,1)), IF(INDEX(ERP資料!$G:$G, (MATCH(319, 輔助計算!$G$2:$G$801, 0)+1))&lt;=790,3,IF(INDEX(ERP資料!$G:$G, (MATCH(319, 輔助計算!$G$2:$G$801, 0)+1))&lt;=1181,2,1))))=0,"",IF(MOD(INDEX(輔助計算!$D:$D, (MATCH(319, 輔助計算!$G$2:$G$801, 0)+1)),IF(INDEX(ERP資料!$G:$G, (MATCH(319, 輔助計算!$G$2:$G$801, 0)+1))&lt;100, IF(INDEX(ERP資料!$G:$G, (MATCH(319, 輔助計算!$G$2:$G$801, 0)+1))&lt;=31,3,IF(INDEX(ERP資料!$G:$G, (MATCH(319, 輔助計算!$G$2:$G$801, 0)+1))&lt;=46.5,2,1)), IF(INDEX(ERP資料!$G:$G, (MATCH(319, 輔助計算!$G$2:$G$801, 0)+1))&lt;=790,3,IF(INDEX(ERP資料!$G:$G, (MATCH(319, 輔助計算!$G$2:$G$801, 0)+1))&lt;=1181,2,1))))=0,"",IF(MOD(INDEX(輔助計算!$D:$D, (MATCH(319, 輔助計算!$G$2:$G$801, 0)+1)),IF(INDEX(ERP資料!$G:$G, (MATCH(319, 輔助計算!$G$2:$G$801, 0)+1))&lt;100, IF(INDEX(ERP資料!$G:$G, (MATCH(319, 輔助計算!$G$2:$G$801, 0)+1))&lt;=31,3,IF(INDEX(ERP資料!$G:$G, (MATCH(319, 輔助計算!$G$2:$G$801, 0)+1))&lt;=46.5,2,1)), IF(INDEX(ERP資料!$G:$G, (MATCH(319, 輔助計算!$G$2:$G$801, 0)+1))&lt;=790,3,IF(INDEX(ERP資料!$G:$G, (MATCH(319, 輔助計算!$G$2:$G$801, 0)+1))&lt;=1181,2,1))))=1,TEXT(INDEX(ERP資料!$G:$G, (MATCH(319, 輔助計算!$G$2:$G$801, 0)+1)),"0.##"),IF(MOD(INDEX(輔助計算!$D:$D, (MATCH(319, 輔助計算!$G$2:$G$801, 0)+1)),IF(INDEX(ERP資料!$G:$G, (MATCH(319, 輔助計算!$G$2:$G$801, 0)+1))&lt;100, IF(INDEX(ERP資料!$G:$G, (MATCH(319, 輔助計算!$G$2:$G$801, 0)+1))&lt;=31,3,IF(INDEX(ERP資料!$G:$G, (MATCH(319, 輔助計算!$G$2:$G$801, 0)+1))&lt;=46.5,2,1)), IF(INDEX(ERP資料!$G:$G, (MATCH(319, 輔助計算!$G$2:$G$801, 0)+1))&lt;=790,3,IF(INDEX(ERP資料!$G:$G, (MATCH(319, 輔助計算!$G$2:$G$801, 0)+1))&lt;=1181,2,1))))=2,TEXT(INDEX(ERP資料!$G:$G, (MATCH(319, 輔助計算!$G$2:$G$801, 0)+1)),"0.##")&amp;"+"&amp;TEXT(INDEX(ERP資料!$G:$G, (MATCH(319, 輔助計算!$G$2:$G$801, 0)+1)),"0.##"),TEXT(INDEX(ERP資料!$G:$G, (MATCH(319, 輔助計算!$G$2:$G$801, 0)+1)),"0.##")&amp;"+"&amp;TEXT(INDEX(ERP資料!$G:$G, (MATCH(319, 輔助計算!$G$2:$G$801, 0)+1)),"0.##")&amp;"+"&amp;TEXT(INDEX(ERP資料!$G:$G, (MATCH(319, 輔助計算!$G$2:$G$801, 0)+1)),"0.##"))))&amp;"-1")), ""), "")</f>
        <v/>
      </c>
      <c r="K320" s="16" t="n"/>
      <c r="L320" s="14">
        <f>IFERROR(IF(AND(IFERROR(INDEX(ERP資料!$A:$A, (MATCH(319, 輔助計算!$G$2:$G$801, 0)+1)), "")&lt;&gt;"", IFERROR(INDEX(ERP資料!$A:$A, (MATCH(319, 輔助計算!$G$2:$G$801, 0)+1)), "")&lt;&gt;IFERROR(INDEX(ERP資料!$A:$A, MATCH(318, 輔助計算!$G$2:$G$801, 0)+1), "")), INDEX(ERP資料!$B:$B, (MATCH(319, 輔助計算!$G$2:$G$801, 0)+1)), ""), "")</f>
        <v/>
      </c>
      <c r="M320" s="17" t="n"/>
    </row>
    <row r="321">
      <c r="A321" s="10">
        <f>IFERROR(IF(AND(IFERROR(INDEX(ERP資料!$A:$A, (MATCH(320, 輔助計算!$G$2:$G$801, 0)+1)), "")&lt;&gt;"", IFERROR(INDEX(ERP資料!$A:$A, (MATCH(320, 輔助計算!$G$2:$G$801, 0)+1)), "")&lt;&gt;IFERROR(INDEX(ERP資料!$A:$A, MATCH(319, 輔助計算!$G$2:$G$801, 0)+1), "")), IFERROR(INDEX(ERP資料!$A:$A, (MATCH(320, 輔助計算!$G$2:$G$801, 0)+1)), ""), ""), "")</f>
        <v/>
      </c>
      <c r="B321" s="10">
        <f>IFERROR(IF(AND(IFERROR(INDEX(ERP資料!$A:$A, (MATCH(320, 輔助計算!$G$2:$G$801, 0)+1)), "")&lt;&gt;"", IFERROR(INDEX(ERP資料!$A:$A, (MATCH(320, 輔助計算!$G$2:$G$801, 0)+1)), "")&lt;&gt;IFERROR(INDEX(ERP資料!$A:$A, MATCH(319, 輔助計算!$G$2:$G$801, 0)+1), "")), INDEX(ERP資料!$S:$S, (MATCH(320, 輔助計算!$G$2:$G$801, 0)+1)), ""), "")</f>
        <v/>
      </c>
      <c r="C321" s="19">
        <f>IFERROR(IF(AND(IFERROR(INDEX(ERP資料!$A:$A, (MATCH(320, 輔助計算!$G$2:$G$801, 0)+1)), "")&lt;&gt;"", IFERROR(INDEX(ERP資料!$A:$A, (MATCH(320, 輔助計算!$G$2:$G$801, 0)+1)), "")&lt;&gt;IFERROR(INDEX(ERP資料!$A:$A, MATCH(319, 輔助計算!$G$2:$G$801, 0)+1), "")), IFERROR(VLOOKUP(LEFT(INDEX(ERP資料!$S:$S, (MATCH(320, 輔助計算!$G$2:$G$801, 0)+1)), 4), 紙管對照表!$A:$C, 3, FALSE), ""), ""), "")</f>
        <v/>
      </c>
      <c r="D321" s="16" t="n"/>
      <c r="E321" s="10">
        <f>IFERROR(IF(INDEX(ERP資料!$H:$H, (MATCH(320, 輔助計算!$G$2:$G$801, 0)+1))="","",INDEX(ERP資料!$H:$H, (MATCH(320, 輔助計算!$G$2:$G$801, 0)+1))), "")</f>
        <v/>
      </c>
      <c r="F321" s="10">
        <f>IFERROR(IF(INDEX(ERP資料!$E:$E, (MATCH(320, 輔助計算!$G$2:$G$801, 0)+1))="","",TRIM(INDEX(ERP資料!$E:$E, (MATCH(320, 輔助計算!$G$2:$G$801, 0)+1)))), "")</f>
        <v/>
      </c>
      <c r="G321" s="10">
        <f>IFERROR(IF(INDEX(ERP資料!$F:$F, (MATCH(320, 輔助計算!$G$2:$G$801, 0)+1))="","",INDEX(ERP資料!$F:$F, (MATCH(320, 輔助計算!$G$2:$G$801, 0)+1))), "")</f>
        <v/>
      </c>
      <c r="H321" s="10">
        <f>IFERROR(IF(INDEX(ERP資料!$G:$G, (MATCH(320, 輔助計算!$G$2:$G$801, 0)+1))="","",INDEX(ERP資料!$G:$G, (MATCH(320, 輔助計算!$G$2:$G$801, 0)+1))), "")</f>
        <v/>
      </c>
      <c r="I321" s="15">
        <f>IFERROR(INDEX(輔助計算!$D:$D, (MATCH(320, 輔助計算!$G$2:$G$801, 0)+1)), "")</f>
        <v/>
      </c>
      <c r="J321" s="15">
        <f>IFERROR(IF(AND(INDEX(輔助計算!$D:$D, (MATCH(320, 輔助計算!$G$2:$G$801, 0)+1))&lt;&gt;"", INDEX(ERP資料!$G:$G, (MATCH(320, 輔助計算!$G$2:$G$801, 0)+1))&lt;&gt;""), TRIM(IF(INT(INDEX(輔助計算!$D:$D, (MATCH(320, 輔助計算!$G$2:$G$801, 0)+1))/IF(INDEX(ERP資料!$G:$G, (MATCH(320, 輔助計算!$G$2:$G$801, 0)+1))&lt;100, IF(INDEX(ERP資料!$G:$G, (MATCH(320, 輔助計算!$G$2:$G$801, 0)+1))&lt;=31,3,IF(INDEX(ERP資料!$G:$G, (MATCH(320, 輔助計算!$G$2:$G$801, 0)+1))&lt;=46.5,2,1)), IF(INDEX(ERP資料!$G:$G, (MATCH(320, 輔助計算!$G$2:$G$801, 0)+1))&lt;=790,3,IF(INDEX(ERP資料!$G:$G, (MATCH(320, 輔助計算!$G$2:$G$801, 0)+1))&lt;=1181,2,1))))&gt;0, IF(IF(INDEX(ERP資料!$G:$G, (MATCH(320, 輔助計算!$G$2:$G$801, 0)+1))&lt;100, IF(INDEX(ERP資料!$G:$G, (MATCH(320, 輔助計算!$G$2:$G$801, 0)+1))&lt;=31,3,IF(INDEX(ERP資料!$G:$G, (MATCH(320, 輔助計算!$G$2:$G$801, 0)+1))&lt;=46.5,2,1)), IF(INDEX(ERP資料!$G:$G, (MATCH(320, 輔助計算!$G$2:$G$801, 0)+1))&lt;=790,3,IF(INDEX(ERP資料!$G:$G, (MATCH(320, 輔助計算!$G$2:$G$801, 0)+1))&lt;=1181,2,1)))=1,TEXT(INDEX(ERP資料!$G:$G, (MATCH(320, 輔助計算!$G$2:$G$801, 0)+1)),"0.##"),IF(IF(INDEX(ERP資料!$G:$G, (MATCH(320, 輔助計算!$G$2:$G$801, 0)+1))&lt;100, IF(INDEX(ERP資料!$G:$G, (MATCH(320, 輔助計算!$G$2:$G$801, 0)+1))&lt;=31,3,IF(INDEX(ERP資料!$G:$G, (MATCH(320, 輔助計算!$G$2:$G$801, 0)+1))&lt;=46.5,2,1)), IF(INDEX(ERP資料!$G:$G, (MATCH(320, 輔助計算!$G$2:$G$801, 0)+1))&lt;=790,3,IF(INDEX(ERP資料!$G:$G, (MATCH(320, 輔助計算!$G$2:$G$801, 0)+1))&lt;=1181,2,1)))=2,TEXT(INDEX(ERP資料!$G:$G, (MATCH(320, 輔助計算!$G$2:$G$801, 0)+1)),"0.##")&amp;"+"&amp;TEXT(INDEX(ERP資料!$G:$G, (MATCH(320, 輔助計算!$G$2:$G$801, 0)+1)),"0.##"),TEXT(INDEX(ERP資料!$G:$G, (MATCH(320, 輔助計算!$G$2:$G$801, 0)+1)),"0.##")&amp;"+"&amp;TEXT(INDEX(ERP資料!$G:$G, (MATCH(320, 輔助計算!$G$2:$G$801, 0)+1)),"0.##")&amp;"+"&amp;TEXT(INDEX(ERP資料!$G:$G, (MATCH(320, 輔助計算!$G$2:$G$801, 0)+1)),"0.##")))&amp;"-"&amp;INT(INDEX(輔助計算!$D:$D, (MATCH(320, 輔助計算!$G$2:$G$801, 0)+1))/IF(INDEX(ERP資料!$G:$G, (MATCH(320, 輔助計算!$G$2:$G$801, 0)+1))&lt;100, IF(INDEX(ERP資料!$G:$G, (MATCH(320, 輔助計算!$G$2:$G$801, 0)+1))&lt;=31,3,IF(INDEX(ERP資料!$G:$G, (MATCH(320, 輔助計算!$G$2:$G$801, 0)+1))&lt;=46.5,2,1)), IF(INDEX(ERP資料!$G:$G, (MATCH(320, 輔助計算!$G$2:$G$801, 0)+1))&lt;=790,3,IF(INDEX(ERP資料!$G:$G, (MATCH(320, 輔助計算!$G$2:$G$801, 0)+1))&lt;=1181,2,1)))), "")&amp;IF(AND(IF(INT(INDEX(輔助計算!$D:$D, (MATCH(320, 輔助計算!$G$2:$G$801, 0)+1))/IF(INDEX(ERP資料!$G:$G, (MATCH(320, 輔助計算!$G$2:$G$801, 0)+1))&lt;100, IF(INDEX(ERP資料!$G:$G, (MATCH(320, 輔助計算!$G$2:$G$801, 0)+1))&lt;=31,3,IF(INDEX(ERP資料!$G:$G, (MATCH(320, 輔助計算!$G$2:$G$801, 0)+1))&lt;=46.5,2,1)), IF(INDEX(ERP資料!$G:$G, (MATCH(320, 輔助計算!$G$2:$G$801, 0)+1))&lt;=790,3,IF(INDEX(ERP資料!$G:$G, (MATCH(320, 輔助計算!$G$2:$G$801, 0)+1))&lt;=1181,2,1))))&gt;0, IF(IF(INDEX(ERP資料!$G:$G, (MATCH(320, 輔助計算!$G$2:$G$801, 0)+1))&lt;100, IF(INDEX(ERP資料!$G:$G, (MATCH(320, 輔助計算!$G$2:$G$801, 0)+1))&lt;=31,3,IF(INDEX(ERP資料!$G:$G, (MATCH(320, 輔助計算!$G$2:$G$801, 0)+1))&lt;=46.5,2,1)), IF(INDEX(ERP資料!$G:$G, (MATCH(320, 輔助計算!$G$2:$G$801, 0)+1))&lt;=790,3,IF(INDEX(ERP資料!$G:$G, (MATCH(320, 輔助計算!$G$2:$G$801, 0)+1))&lt;=1181,2,1)))=1,TEXT(INDEX(ERP資料!$G:$G, (MATCH(320, 輔助計算!$G$2:$G$801, 0)+1)),"0.##"),IF(IF(INDEX(ERP資料!$G:$G, (MATCH(320, 輔助計算!$G$2:$G$801, 0)+1))&lt;100, IF(INDEX(ERP資料!$G:$G, (MATCH(320, 輔助計算!$G$2:$G$801, 0)+1))&lt;=31,3,IF(INDEX(ERP資料!$G:$G, (MATCH(320, 輔助計算!$G$2:$G$801, 0)+1))&lt;=46.5,2,1)), IF(INDEX(ERP資料!$G:$G, (MATCH(320, 輔助計算!$G$2:$G$801, 0)+1))&lt;=790,3,IF(INDEX(ERP資料!$G:$G, (MATCH(320, 輔助計算!$G$2:$G$801, 0)+1))&lt;=1181,2,1)))=2,TEXT(INDEX(ERP資料!$G:$G, (MATCH(320, 輔助計算!$G$2:$G$801, 0)+1)),"0.##")&amp;"+"&amp;TEXT(INDEX(ERP資料!$G:$G, (MATCH(320, 輔助計算!$G$2:$G$801, 0)+1)),"0.##"),TEXT(INDEX(ERP資料!$G:$G, (MATCH(320, 輔助計算!$G$2:$G$801, 0)+1)),"0.##")&amp;"+"&amp;TEXT(INDEX(ERP資料!$G:$G, (MATCH(320, 輔助計算!$G$2:$G$801, 0)+1)),"0.##")&amp;"+"&amp;TEXT(INDEX(ERP資料!$G:$G, (MATCH(320, 輔助計算!$G$2:$G$801, 0)+1)),"0.##")))&amp;"-"&amp;INT(INDEX(輔助計算!$D:$D, (MATCH(320, 輔助計算!$G$2:$G$801, 0)+1))/IF(INDEX(ERP資料!$G:$G, (MATCH(320, 輔助計算!$G$2:$G$801, 0)+1))&lt;100, IF(INDEX(ERP資料!$G:$G, (MATCH(320, 輔助計算!$G$2:$G$801, 0)+1))&lt;=31,3,IF(INDEX(ERP資料!$G:$G, (MATCH(320, 輔助計算!$G$2:$G$801, 0)+1))&lt;=46.5,2,1)), IF(INDEX(ERP資料!$G:$G, (MATCH(320, 輔助計算!$G$2:$G$801, 0)+1))&lt;=790,3,IF(INDEX(ERP資料!$G:$G, (MATCH(320, 輔助計算!$G$2:$G$801, 0)+1))&lt;=1181,2,1)))), "")&lt;&gt;"",IF(MOD(INDEX(輔助計算!$D:$D, (MATCH(320, 輔助計算!$G$2:$G$801, 0)+1)),IF(INDEX(ERP資料!$G:$G, (MATCH(320, 輔助計算!$G$2:$G$801, 0)+1))&lt;100, IF(INDEX(ERP資料!$G:$G, (MATCH(320, 輔助計算!$G$2:$G$801, 0)+1))&lt;=31,3,IF(INDEX(ERP資料!$G:$G, (MATCH(320, 輔助計算!$G$2:$G$801, 0)+1))&lt;=46.5,2,1)), IF(INDEX(ERP資料!$G:$G, (MATCH(320, 輔助計算!$G$2:$G$801, 0)+1))&lt;=790,3,IF(INDEX(ERP資料!$G:$G, (MATCH(320, 輔助計算!$G$2:$G$801, 0)+1))&lt;=1181,2,1))))=0,"",IF(MOD(INDEX(輔助計算!$D:$D, (MATCH(320, 輔助計算!$G$2:$G$801, 0)+1)),IF(INDEX(ERP資料!$G:$G, (MATCH(320, 輔助計算!$G$2:$G$801, 0)+1))&lt;100, IF(INDEX(ERP資料!$G:$G, (MATCH(320, 輔助計算!$G$2:$G$801, 0)+1))&lt;=31,3,IF(INDEX(ERP資料!$G:$G, (MATCH(320, 輔助計算!$G$2:$G$801, 0)+1))&lt;=46.5,2,1)), IF(INDEX(ERP資料!$G:$G, (MATCH(320, 輔助計算!$G$2:$G$801, 0)+1))&lt;=790,3,IF(INDEX(ERP資料!$G:$G, (MATCH(320, 輔助計算!$G$2:$G$801, 0)+1))&lt;=1181,2,1))))=0,"",IF(MOD(INDEX(輔助計算!$D:$D, (MATCH(320, 輔助計算!$G$2:$G$801, 0)+1)),IF(INDEX(ERP資料!$G:$G, (MATCH(320, 輔助計算!$G$2:$G$801, 0)+1))&lt;100, IF(INDEX(ERP資料!$G:$G, (MATCH(320, 輔助計算!$G$2:$G$801, 0)+1))&lt;=31,3,IF(INDEX(ERP資料!$G:$G, (MATCH(320, 輔助計算!$G$2:$G$801, 0)+1))&lt;=46.5,2,1)), IF(INDEX(ERP資料!$G:$G, (MATCH(320, 輔助計算!$G$2:$G$801, 0)+1))&lt;=790,3,IF(INDEX(ERP資料!$G:$G, (MATCH(320, 輔助計算!$G$2:$G$801, 0)+1))&lt;=1181,2,1))))=1,TEXT(INDEX(ERP資料!$G:$G, (MATCH(320, 輔助計算!$G$2:$G$801, 0)+1)),"0.##"),IF(MOD(INDEX(輔助計算!$D:$D, (MATCH(320, 輔助計算!$G$2:$G$801, 0)+1)),IF(INDEX(ERP資料!$G:$G, (MATCH(320, 輔助計算!$G$2:$G$801, 0)+1))&lt;100, IF(INDEX(ERP資料!$G:$G, (MATCH(320, 輔助計算!$G$2:$G$801, 0)+1))&lt;=31,3,IF(INDEX(ERP資料!$G:$G, (MATCH(320, 輔助計算!$G$2:$G$801, 0)+1))&lt;=46.5,2,1)), IF(INDEX(ERP資料!$G:$G, (MATCH(320, 輔助計算!$G$2:$G$801, 0)+1))&lt;=790,3,IF(INDEX(ERP資料!$G:$G, (MATCH(320, 輔助計算!$G$2:$G$801, 0)+1))&lt;=1181,2,1))))=2,TEXT(INDEX(ERP資料!$G:$G, (MATCH(320, 輔助計算!$G$2:$G$801, 0)+1)),"0.##")&amp;"+"&amp;TEXT(INDEX(ERP資料!$G:$G, (MATCH(320, 輔助計算!$G$2:$G$801, 0)+1)),"0.##"),TEXT(INDEX(ERP資料!$G:$G, (MATCH(320, 輔助計算!$G$2:$G$801, 0)+1)),"0.##")&amp;"+"&amp;TEXT(INDEX(ERP資料!$G:$G, (MATCH(320, 輔助計算!$G$2:$G$801, 0)+1)),"0.##")&amp;"+"&amp;TEXT(INDEX(ERP資料!$G:$G, (MATCH(320, 輔助計算!$G$2:$G$801, 0)+1)),"0.##"))))&amp;"-1")&lt;&gt;""),"  ","")&amp;IF(MOD(INDEX(輔助計算!$D:$D, (MATCH(320, 輔助計算!$G$2:$G$801, 0)+1)),IF(INDEX(ERP資料!$G:$G, (MATCH(320, 輔助計算!$G$2:$G$801, 0)+1))&lt;100, IF(INDEX(ERP資料!$G:$G, (MATCH(320, 輔助計算!$G$2:$G$801, 0)+1))&lt;=31,3,IF(INDEX(ERP資料!$G:$G, (MATCH(320, 輔助計算!$G$2:$G$801, 0)+1))&lt;=46.5,2,1)), IF(INDEX(ERP資料!$G:$G, (MATCH(320, 輔助計算!$G$2:$G$801, 0)+1))&lt;=790,3,IF(INDEX(ERP資料!$G:$G, (MATCH(320, 輔助計算!$G$2:$G$801, 0)+1))&lt;=1181,2,1))))=0,"",IF(MOD(INDEX(輔助計算!$D:$D, (MATCH(320, 輔助計算!$G$2:$G$801, 0)+1)),IF(INDEX(ERP資料!$G:$G, (MATCH(320, 輔助計算!$G$2:$G$801, 0)+1))&lt;100, IF(INDEX(ERP資料!$G:$G, (MATCH(320, 輔助計算!$G$2:$G$801, 0)+1))&lt;=31,3,IF(INDEX(ERP資料!$G:$G, (MATCH(320, 輔助計算!$G$2:$G$801, 0)+1))&lt;=46.5,2,1)), IF(INDEX(ERP資料!$G:$G, (MATCH(320, 輔助計算!$G$2:$G$801, 0)+1))&lt;=790,3,IF(INDEX(ERP資料!$G:$G, (MATCH(320, 輔助計算!$G$2:$G$801, 0)+1))&lt;=1181,2,1))))=0,"",IF(MOD(INDEX(輔助計算!$D:$D, (MATCH(320, 輔助計算!$G$2:$G$801, 0)+1)),IF(INDEX(ERP資料!$G:$G, (MATCH(320, 輔助計算!$G$2:$G$801, 0)+1))&lt;100, IF(INDEX(ERP資料!$G:$G, (MATCH(320, 輔助計算!$G$2:$G$801, 0)+1))&lt;=31,3,IF(INDEX(ERP資料!$G:$G, (MATCH(320, 輔助計算!$G$2:$G$801, 0)+1))&lt;=46.5,2,1)), IF(INDEX(ERP資料!$G:$G, (MATCH(320, 輔助計算!$G$2:$G$801, 0)+1))&lt;=790,3,IF(INDEX(ERP資料!$G:$G, (MATCH(320, 輔助計算!$G$2:$G$801, 0)+1))&lt;=1181,2,1))))=1,TEXT(INDEX(ERP資料!$G:$G, (MATCH(320, 輔助計算!$G$2:$G$801, 0)+1)),"0.##"),IF(MOD(INDEX(輔助計算!$D:$D, (MATCH(320, 輔助計算!$G$2:$G$801, 0)+1)),IF(INDEX(ERP資料!$G:$G, (MATCH(320, 輔助計算!$G$2:$G$801, 0)+1))&lt;100, IF(INDEX(ERP資料!$G:$G, (MATCH(320, 輔助計算!$G$2:$G$801, 0)+1))&lt;=31,3,IF(INDEX(ERP資料!$G:$G, (MATCH(320, 輔助計算!$G$2:$G$801, 0)+1))&lt;=46.5,2,1)), IF(INDEX(ERP資料!$G:$G, (MATCH(320, 輔助計算!$G$2:$G$801, 0)+1))&lt;=790,3,IF(INDEX(ERP資料!$G:$G, (MATCH(320, 輔助計算!$G$2:$G$801, 0)+1))&lt;=1181,2,1))))=2,TEXT(INDEX(ERP資料!$G:$G, (MATCH(320, 輔助計算!$G$2:$G$801, 0)+1)),"0.##")&amp;"+"&amp;TEXT(INDEX(ERP資料!$G:$G, (MATCH(320, 輔助計算!$G$2:$G$801, 0)+1)),"0.##"),TEXT(INDEX(ERP資料!$G:$G, (MATCH(320, 輔助計算!$G$2:$G$801, 0)+1)),"0.##")&amp;"+"&amp;TEXT(INDEX(ERP資料!$G:$G, (MATCH(320, 輔助計算!$G$2:$G$801, 0)+1)),"0.##")&amp;"+"&amp;TEXT(INDEX(ERP資料!$G:$G, (MATCH(320, 輔助計算!$G$2:$G$801, 0)+1)),"0.##"))))&amp;"-1")), ""), "")</f>
        <v/>
      </c>
      <c r="K321" s="16" t="n"/>
      <c r="L321" s="14">
        <f>IFERROR(IF(AND(IFERROR(INDEX(ERP資料!$A:$A, (MATCH(320, 輔助計算!$G$2:$G$801, 0)+1)), "")&lt;&gt;"", IFERROR(INDEX(ERP資料!$A:$A, (MATCH(320, 輔助計算!$G$2:$G$801, 0)+1)), "")&lt;&gt;IFERROR(INDEX(ERP資料!$A:$A, MATCH(319, 輔助計算!$G$2:$G$801, 0)+1), "")), INDEX(ERP資料!$B:$B, (MATCH(320, 輔助計算!$G$2:$G$801, 0)+1)), ""), "")</f>
        <v/>
      </c>
      <c r="M321" s="17" t="n"/>
    </row>
    <row r="322">
      <c r="A322" s="10">
        <f>IFERROR(IF(AND(IFERROR(INDEX(ERP資料!$A:$A, (MATCH(321, 輔助計算!$G$2:$G$801, 0)+1)), "")&lt;&gt;"", IFERROR(INDEX(ERP資料!$A:$A, (MATCH(321, 輔助計算!$G$2:$G$801, 0)+1)), "")&lt;&gt;IFERROR(INDEX(ERP資料!$A:$A, MATCH(320, 輔助計算!$G$2:$G$801, 0)+1), "")), IFERROR(INDEX(ERP資料!$A:$A, (MATCH(321, 輔助計算!$G$2:$G$801, 0)+1)), ""), ""), "")</f>
        <v/>
      </c>
      <c r="B322" s="10">
        <f>IFERROR(IF(AND(IFERROR(INDEX(ERP資料!$A:$A, (MATCH(321, 輔助計算!$G$2:$G$801, 0)+1)), "")&lt;&gt;"", IFERROR(INDEX(ERP資料!$A:$A, (MATCH(321, 輔助計算!$G$2:$G$801, 0)+1)), "")&lt;&gt;IFERROR(INDEX(ERP資料!$A:$A, MATCH(320, 輔助計算!$G$2:$G$801, 0)+1), "")), INDEX(ERP資料!$S:$S, (MATCH(321, 輔助計算!$G$2:$G$801, 0)+1)), ""), "")</f>
        <v/>
      </c>
      <c r="C322" s="19">
        <f>IFERROR(IF(AND(IFERROR(INDEX(ERP資料!$A:$A, (MATCH(321, 輔助計算!$G$2:$G$801, 0)+1)), "")&lt;&gt;"", IFERROR(INDEX(ERP資料!$A:$A, (MATCH(321, 輔助計算!$G$2:$G$801, 0)+1)), "")&lt;&gt;IFERROR(INDEX(ERP資料!$A:$A, MATCH(320, 輔助計算!$G$2:$G$801, 0)+1), "")), IFERROR(VLOOKUP(LEFT(INDEX(ERP資料!$S:$S, (MATCH(321, 輔助計算!$G$2:$G$801, 0)+1)), 4), 紙管對照表!$A:$C, 3, FALSE), ""), ""), "")</f>
        <v/>
      </c>
      <c r="D322" s="16" t="n"/>
      <c r="E322" s="10">
        <f>IFERROR(IF(INDEX(ERP資料!$H:$H, (MATCH(321, 輔助計算!$G$2:$G$801, 0)+1))="","",INDEX(ERP資料!$H:$H, (MATCH(321, 輔助計算!$G$2:$G$801, 0)+1))), "")</f>
        <v/>
      </c>
      <c r="F322" s="10">
        <f>IFERROR(IF(INDEX(ERP資料!$E:$E, (MATCH(321, 輔助計算!$G$2:$G$801, 0)+1))="","",TRIM(INDEX(ERP資料!$E:$E, (MATCH(321, 輔助計算!$G$2:$G$801, 0)+1)))), "")</f>
        <v/>
      </c>
      <c r="G322" s="10">
        <f>IFERROR(IF(INDEX(ERP資料!$F:$F, (MATCH(321, 輔助計算!$G$2:$G$801, 0)+1))="","",INDEX(ERP資料!$F:$F, (MATCH(321, 輔助計算!$G$2:$G$801, 0)+1))), "")</f>
        <v/>
      </c>
      <c r="H322" s="10">
        <f>IFERROR(IF(INDEX(ERP資料!$G:$G, (MATCH(321, 輔助計算!$G$2:$G$801, 0)+1))="","",INDEX(ERP資料!$G:$G, (MATCH(321, 輔助計算!$G$2:$G$801, 0)+1))), "")</f>
        <v/>
      </c>
      <c r="I322" s="15">
        <f>IFERROR(INDEX(輔助計算!$D:$D, (MATCH(321, 輔助計算!$G$2:$G$801, 0)+1)), "")</f>
        <v/>
      </c>
      <c r="J322" s="15">
        <f>IFERROR(IF(AND(INDEX(輔助計算!$D:$D, (MATCH(321, 輔助計算!$G$2:$G$801, 0)+1))&lt;&gt;"", INDEX(ERP資料!$G:$G, (MATCH(321, 輔助計算!$G$2:$G$801, 0)+1))&lt;&gt;""), TRIM(IF(INT(INDEX(輔助計算!$D:$D, (MATCH(321, 輔助計算!$G$2:$G$801, 0)+1))/IF(INDEX(ERP資料!$G:$G, (MATCH(321, 輔助計算!$G$2:$G$801, 0)+1))&lt;100, IF(INDEX(ERP資料!$G:$G, (MATCH(321, 輔助計算!$G$2:$G$801, 0)+1))&lt;=31,3,IF(INDEX(ERP資料!$G:$G, (MATCH(321, 輔助計算!$G$2:$G$801, 0)+1))&lt;=46.5,2,1)), IF(INDEX(ERP資料!$G:$G, (MATCH(321, 輔助計算!$G$2:$G$801, 0)+1))&lt;=790,3,IF(INDEX(ERP資料!$G:$G, (MATCH(321, 輔助計算!$G$2:$G$801, 0)+1))&lt;=1181,2,1))))&gt;0, IF(IF(INDEX(ERP資料!$G:$G, (MATCH(321, 輔助計算!$G$2:$G$801, 0)+1))&lt;100, IF(INDEX(ERP資料!$G:$G, (MATCH(321, 輔助計算!$G$2:$G$801, 0)+1))&lt;=31,3,IF(INDEX(ERP資料!$G:$G, (MATCH(321, 輔助計算!$G$2:$G$801, 0)+1))&lt;=46.5,2,1)), IF(INDEX(ERP資料!$G:$G, (MATCH(321, 輔助計算!$G$2:$G$801, 0)+1))&lt;=790,3,IF(INDEX(ERP資料!$G:$G, (MATCH(321, 輔助計算!$G$2:$G$801, 0)+1))&lt;=1181,2,1)))=1,TEXT(INDEX(ERP資料!$G:$G, (MATCH(321, 輔助計算!$G$2:$G$801, 0)+1)),"0.##"),IF(IF(INDEX(ERP資料!$G:$G, (MATCH(321, 輔助計算!$G$2:$G$801, 0)+1))&lt;100, IF(INDEX(ERP資料!$G:$G, (MATCH(321, 輔助計算!$G$2:$G$801, 0)+1))&lt;=31,3,IF(INDEX(ERP資料!$G:$G, (MATCH(321, 輔助計算!$G$2:$G$801, 0)+1))&lt;=46.5,2,1)), IF(INDEX(ERP資料!$G:$G, (MATCH(321, 輔助計算!$G$2:$G$801, 0)+1))&lt;=790,3,IF(INDEX(ERP資料!$G:$G, (MATCH(321, 輔助計算!$G$2:$G$801, 0)+1))&lt;=1181,2,1)))=2,TEXT(INDEX(ERP資料!$G:$G, (MATCH(321, 輔助計算!$G$2:$G$801, 0)+1)),"0.##")&amp;"+"&amp;TEXT(INDEX(ERP資料!$G:$G, (MATCH(321, 輔助計算!$G$2:$G$801, 0)+1)),"0.##"),TEXT(INDEX(ERP資料!$G:$G, (MATCH(321, 輔助計算!$G$2:$G$801, 0)+1)),"0.##")&amp;"+"&amp;TEXT(INDEX(ERP資料!$G:$G, (MATCH(321, 輔助計算!$G$2:$G$801, 0)+1)),"0.##")&amp;"+"&amp;TEXT(INDEX(ERP資料!$G:$G, (MATCH(321, 輔助計算!$G$2:$G$801, 0)+1)),"0.##")))&amp;"-"&amp;INT(INDEX(輔助計算!$D:$D, (MATCH(321, 輔助計算!$G$2:$G$801, 0)+1))/IF(INDEX(ERP資料!$G:$G, (MATCH(321, 輔助計算!$G$2:$G$801, 0)+1))&lt;100, IF(INDEX(ERP資料!$G:$G, (MATCH(321, 輔助計算!$G$2:$G$801, 0)+1))&lt;=31,3,IF(INDEX(ERP資料!$G:$G, (MATCH(321, 輔助計算!$G$2:$G$801, 0)+1))&lt;=46.5,2,1)), IF(INDEX(ERP資料!$G:$G, (MATCH(321, 輔助計算!$G$2:$G$801, 0)+1))&lt;=790,3,IF(INDEX(ERP資料!$G:$G, (MATCH(321, 輔助計算!$G$2:$G$801, 0)+1))&lt;=1181,2,1)))), "")&amp;IF(AND(IF(INT(INDEX(輔助計算!$D:$D, (MATCH(321, 輔助計算!$G$2:$G$801, 0)+1))/IF(INDEX(ERP資料!$G:$G, (MATCH(321, 輔助計算!$G$2:$G$801, 0)+1))&lt;100, IF(INDEX(ERP資料!$G:$G, (MATCH(321, 輔助計算!$G$2:$G$801, 0)+1))&lt;=31,3,IF(INDEX(ERP資料!$G:$G, (MATCH(321, 輔助計算!$G$2:$G$801, 0)+1))&lt;=46.5,2,1)), IF(INDEX(ERP資料!$G:$G, (MATCH(321, 輔助計算!$G$2:$G$801, 0)+1))&lt;=790,3,IF(INDEX(ERP資料!$G:$G, (MATCH(321, 輔助計算!$G$2:$G$801, 0)+1))&lt;=1181,2,1))))&gt;0, IF(IF(INDEX(ERP資料!$G:$G, (MATCH(321, 輔助計算!$G$2:$G$801, 0)+1))&lt;100, IF(INDEX(ERP資料!$G:$G, (MATCH(321, 輔助計算!$G$2:$G$801, 0)+1))&lt;=31,3,IF(INDEX(ERP資料!$G:$G, (MATCH(321, 輔助計算!$G$2:$G$801, 0)+1))&lt;=46.5,2,1)), IF(INDEX(ERP資料!$G:$G, (MATCH(321, 輔助計算!$G$2:$G$801, 0)+1))&lt;=790,3,IF(INDEX(ERP資料!$G:$G, (MATCH(321, 輔助計算!$G$2:$G$801, 0)+1))&lt;=1181,2,1)))=1,TEXT(INDEX(ERP資料!$G:$G, (MATCH(321, 輔助計算!$G$2:$G$801, 0)+1)),"0.##"),IF(IF(INDEX(ERP資料!$G:$G, (MATCH(321, 輔助計算!$G$2:$G$801, 0)+1))&lt;100, IF(INDEX(ERP資料!$G:$G, (MATCH(321, 輔助計算!$G$2:$G$801, 0)+1))&lt;=31,3,IF(INDEX(ERP資料!$G:$G, (MATCH(321, 輔助計算!$G$2:$G$801, 0)+1))&lt;=46.5,2,1)), IF(INDEX(ERP資料!$G:$G, (MATCH(321, 輔助計算!$G$2:$G$801, 0)+1))&lt;=790,3,IF(INDEX(ERP資料!$G:$G, (MATCH(321, 輔助計算!$G$2:$G$801, 0)+1))&lt;=1181,2,1)))=2,TEXT(INDEX(ERP資料!$G:$G, (MATCH(321, 輔助計算!$G$2:$G$801, 0)+1)),"0.##")&amp;"+"&amp;TEXT(INDEX(ERP資料!$G:$G, (MATCH(321, 輔助計算!$G$2:$G$801, 0)+1)),"0.##"),TEXT(INDEX(ERP資料!$G:$G, (MATCH(321, 輔助計算!$G$2:$G$801, 0)+1)),"0.##")&amp;"+"&amp;TEXT(INDEX(ERP資料!$G:$G, (MATCH(321, 輔助計算!$G$2:$G$801, 0)+1)),"0.##")&amp;"+"&amp;TEXT(INDEX(ERP資料!$G:$G, (MATCH(321, 輔助計算!$G$2:$G$801, 0)+1)),"0.##")))&amp;"-"&amp;INT(INDEX(輔助計算!$D:$D, (MATCH(321, 輔助計算!$G$2:$G$801, 0)+1))/IF(INDEX(ERP資料!$G:$G, (MATCH(321, 輔助計算!$G$2:$G$801, 0)+1))&lt;100, IF(INDEX(ERP資料!$G:$G, (MATCH(321, 輔助計算!$G$2:$G$801, 0)+1))&lt;=31,3,IF(INDEX(ERP資料!$G:$G, (MATCH(321, 輔助計算!$G$2:$G$801, 0)+1))&lt;=46.5,2,1)), IF(INDEX(ERP資料!$G:$G, (MATCH(321, 輔助計算!$G$2:$G$801, 0)+1))&lt;=790,3,IF(INDEX(ERP資料!$G:$G, (MATCH(321, 輔助計算!$G$2:$G$801, 0)+1))&lt;=1181,2,1)))), "")&lt;&gt;"",IF(MOD(INDEX(輔助計算!$D:$D, (MATCH(321, 輔助計算!$G$2:$G$801, 0)+1)),IF(INDEX(ERP資料!$G:$G, (MATCH(321, 輔助計算!$G$2:$G$801, 0)+1))&lt;100, IF(INDEX(ERP資料!$G:$G, (MATCH(321, 輔助計算!$G$2:$G$801, 0)+1))&lt;=31,3,IF(INDEX(ERP資料!$G:$G, (MATCH(321, 輔助計算!$G$2:$G$801, 0)+1))&lt;=46.5,2,1)), IF(INDEX(ERP資料!$G:$G, (MATCH(321, 輔助計算!$G$2:$G$801, 0)+1))&lt;=790,3,IF(INDEX(ERP資料!$G:$G, (MATCH(321, 輔助計算!$G$2:$G$801, 0)+1))&lt;=1181,2,1))))=0,"",IF(MOD(INDEX(輔助計算!$D:$D, (MATCH(321, 輔助計算!$G$2:$G$801, 0)+1)),IF(INDEX(ERP資料!$G:$G, (MATCH(321, 輔助計算!$G$2:$G$801, 0)+1))&lt;100, IF(INDEX(ERP資料!$G:$G, (MATCH(321, 輔助計算!$G$2:$G$801, 0)+1))&lt;=31,3,IF(INDEX(ERP資料!$G:$G, (MATCH(321, 輔助計算!$G$2:$G$801, 0)+1))&lt;=46.5,2,1)), IF(INDEX(ERP資料!$G:$G, (MATCH(321, 輔助計算!$G$2:$G$801, 0)+1))&lt;=790,3,IF(INDEX(ERP資料!$G:$G, (MATCH(321, 輔助計算!$G$2:$G$801, 0)+1))&lt;=1181,2,1))))=0,"",IF(MOD(INDEX(輔助計算!$D:$D, (MATCH(321, 輔助計算!$G$2:$G$801, 0)+1)),IF(INDEX(ERP資料!$G:$G, (MATCH(321, 輔助計算!$G$2:$G$801, 0)+1))&lt;100, IF(INDEX(ERP資料!$G:$G, (MATCH(321, 輔助計算!$G$2:$G$801, 0)+1))&lt;=31,3,IF(INDEX(ERP資料!$G:$G, (MATCH(321, 輔助計算!$G$2:$G$801, 0)+1))&lt;=46.5,2,1)), IF(INDEX(ERP資料!$G:$G, (MATCH(321, 輔助計算!$G$2:$G$801, 0)+1))&lt;=790,3,IF(INDEX(ERP資料!$G:$G, (MATCH(321, 輔助計算!$G$2:$G$801, 0)+1))&lt;=1181,2,1))))=1,TEXT(INDEX(ERP資料!$G:$G, (MATCH(321, 輔助計算!$G$2:$G$801, 0)+1)),"0.##"),IF(MOD(INDEX(輔助計算!$D:$D, (MATCH(321, 輔助計算!$G$2:$G$801, 0)+1)),IF(INDEX(ERP資料!$G:$G, (MATCH(321, 輔助計算!$G$2:$G$801, 0)+1))&lt;100, IF(INDEX(ERP資料!$G:$G, (MATCH(321, 輔助計算!$G$2:$G$801, 0)+1))&lt;=31,3,IF(INDEX(ERP資料!$G:$G, (MATCH(321, 輔助計算!$G$2:$G$801, 0)+1))&lt;=46.5,2,1)), IF(INDEX(ERP資料!$G:$G, (MATCH(321, 輔助計算!$G$2:$G$801, 0)+1))&lt;=790,3,IF(INDEX(ERP資料!$G:$G, (MATCH(321, 輔助計算!$G$2:$G$801, 0)+1))&lt;=1181,2,1))))=2,TEXT(INDEX(ERP資料!$G:$G, (MATCH(321, 輔助計算!$G$2:$G$801, 0)+1)),"0.##")&amp;"+"&amp;TEXT(INDEX(ERP資料!$G:$G, (MATCH(321, 輔助計算!$G$2:$G$801, 0)+1)),"0.##"),TEXT(INDEX(ERP資料!$G:$G, (MATCH(321, 輔助計算!$G$2:$G$801, 0)+1)),"0.##")&amp;"+"&amp;TEXT(INDEX(ERP資料!$G:$G, (MATCH(321, 輔助計算!$G$2:$G$801, 0)+1)),"0.##")&amp;"+"&amp;TEXT(INDEX(ERP資料!$G:$G, (MATCH(321, 輔助計算!$G$2:$G$801, 0)+1)),"0.##"))))&amp;"-1")&lt;&gt;""),"  ","")&amp;IF(MOD(INDEX(輔助計算!$D:$D, (MATCH(321, 輔助計算!$G$2:$G$801, 0)+1)),IF(INDEX(ERP資料!$G:$G, (MATCH(321, 輔助計算!$G$2:$G$801, 0)+1))&lt;100, IF(INDEX(ERP資料!$G:$G, (MATCH(321, 輔助計算!$G$2:$G$801, 0)+1))&lt;=31,3,IF(INDEX(ERP資料!$G:$G, (MATCH(321, 輔助計算!$G$2:$G$801, 0)+1))&lt;=46.5,2,1)), IF(INDEX(ERP資料!$G:$G, (MATCH(321, 輔助計算!$G$2:$G$801, 0)+1))&lt;=790,3,IF(INDEX(ERP資料!$G:$G, (MATCH(321, 輔助計算!$G$2:$G$801, 0)+1))&lt;=1181,2,1))))=0,"",IF(MOD(INDEX(輔助計算!$D:$D, (MATCH(321, 輔助計算!$G$2:$G$801, 0)+1)),IF(INDEX(ERP資料!$G:$G, (MATCH(321, 輔助計算!$G$2:$G$801, 0)+1))&lt;100, IF(INDEX(ERP資料!$G:$G, (MATCH(321, 輔助計算!$G$2:$G$801, 0)+1))&lt;=31,3,IF(INDEX(ERP資料!$G:$G, (MATCH(321, 輔助計算!$G$2:$G$801, 0)+1))&lt;=46.5,2,1)), IF(INDEX(ERP資料!$G:$G, (MATCH(321, 輔助計算!$G$2:$G$801, 0)+1))&lt;=790,3,IF(INDEX(ERP資料!$G:$G, (MATCH(321, 輔助計算!$G$2:$G$801, 0)+1))&lt;=1181,2,1))))=0,"",IF(MOD(INDEX(輔助計算!$D:$D, (MATCH(321, 輔助計算!$G$2:$G$801, 0)+1)),IF(INDEX(ERP資料!$G:$G, (MATCH(321, 輔助計算!$G$2:$G$801, 0)+1))&lt;100, IF(INDEX(ERP資料!$G:$G, (MATCH(321, 輔助計算!$G$2:$G$801, 0)+1))&lt;=31,3,IF(INDEX(ERP資料!$G:$G, (MATCH(321, 輔助計算!$G$2:$G$801, 0)+1))&lt;=46.5,2,1)), IF(INDEX(ERP資料!$G:$G, (MATCH(321, 輔助計算!$G$2:$G$801, 0)+1))&lt;=790,3,IF(INDEX(ERP資料!$G:$G, (MATCH(321, 輔助計算!$G$2:$G$801, 0)+1))&lt;=1181,2,1))))=1,TEXT(INDEX(ERP資料!$G:$G, (MATCH(321, 輔助計算!$G$2:$G$801, 0)+1)),"0.##"),IF(MOD(INDEX(輔助計算!$D:$D, (MATCH(321, 輔助計算!$G$2:$G$801, 0)+1)),IF(INDEX(ERP資料!$G:$G, (MATCH(321, 輔助計算!$G$2:$G$801, 0)+1))&lt;100, IF(INDEX(ERP資料!$G:$G, (MATCH(321, 輔助計算!$G$2:$G$801, 0)+1))&lt;=31,3,IF(INDEX(ERP資料!$G:$G, (MATCH(321, 輔助計算!$G$2:$G$801, 0)+1))&lt;=46.5,2,1)), IF(INDEX(ERP資料!$G:$G, (MATCH(321, 輔助計算!$G$2:$G$801, 0)+1))&lt;=790,3,IF(INDEX(ERP資料!$G:$G, (MATCH(321, 輔助計算!$G$2:$G$801, 0)+1))&lt;=1181,2,1))))=2,TEXT(INDEX(ERP資料!$G:$G, (MATCH(321, 輔助計算!$G$2:$G$801, 0)+1)),"0.##")&amp;"+"&amp;TEXT(INDEX(ERP資料!$G:$G, (MATCH(321, 輔助計算!$G$2:$G$801, 0)+1)),"0.##"),TEXT(INDEX(ERP資料!$G:$G, (MATCH(321, 輔助計算!$G$2:$G$801, 0)+1)),"0.##")&amp;"+"&amp;TEXT(INDEX(ERP資料!$G:$G, (MATCH(321, 輔助計算!$G$2:$G$801, 0)+1)),"0.##")&amp;"+"&amp;TEXT(INDEX(ERP資料!$G:$G, (MATCH(321, 輔助計算!$G$2:$G$801, 0)+1)),"0.##"))))&amp;"-1")), ""), "")</f>
        <v/>
      </c>
      <c r="K322" s="16" t="n"/>
      <c r="L322" s="14">
        <f>IFERROR(IF(AND(IFERROR(INDEX(ERP資料!$A:$A, (MATCH(321, 輔助計算!$G$2:$G$801, 0)+1)), "")&lt;&gt;"", IFERROR(INDEX(ERP資料!$A:$A, (MATCH(321, 輔助計算!$G$2:$G$801, 0)+1)), "")&lt;&gt;IFERROR(INDEX(ERP資料!$A:$A, MATCH(320, 輔助計算!$G$2:$G$801, 0)+1), "")), INDEX(ERP資料!$B:$B, (MATCH(321, 輔助計算!$G$2:$G$801, 0)+1)), ""), "")</f>
        <v/>
      </c>
      <c r="M322" s="17" t="n"/>
    </row>
    <row r="323">
      <c r="A323" s="10">
        <f>IFERROR(IF(AND(IFERROR(INDEX(ERP資料!$A:$A, (MATCH(322, 輔助計算!$G$2:$G$801, 0)+1)), "")&lt;&gt;"", IFERROR(INDEX(ERP資料!$A:$A, (MATCH(322, 輔助計算!$G$2:$G$801, 0)+1)), "")&lt;&gt;IFERROR(INDEX(ERP資料!$A:$A, MATCH(321, 輔助計算!$G$2:$G$801, 0)+1), "")), IFERROR(INDEX(ERP資料!$A:$A, (MATCH(322, 輔助計算!$G$2:$G$801, 0)+1)), ""), ""), "")</f>
        <v/>
      </c>
      <c r="B323" s="10">
        <f>IFERROR(IF(AND(IFERROR(INDEX(ERP資料!$A:$A, (MATCH(322, 輔助計算!$G$2:$G$801, 0)+1)), "")&lt;&gt;"", IFERROR(INDEX(ERP資料!$A:$A, (MATCH(322, 輔助計算!$G$2:$G$801, 0)+1)), "")&lt;&gt;IFERROR(INDEX(ERP資料!$A:$A, MATCH(321, 輔助計算!$G$2:$G$801, 0)+1), "")), INDEX(ERP資料!$S:$S, (MATCH(322, 輔助計算!$G$2:$G$801, 0)+1)), ""), "")</f>
        <v/>
      </c>
      <c r="C323" s="19">
        <f>IFERROR(IF(AND(IFERROR(INDEX(ERP資料!$A:$A, (MATCH(322, 輔助計算!$G$2:$G$801, 0)+1)), "")&lt;&gt;"", IFERROR(INDEX(ERP資料!$A:$A, (MATCH(322, 輔助計算!$G$2:$G$801, 0)+1)), "")&lt;&gt;IFERROR(INDEX(ERP資料!$A:$A, MATCH(321, 輔助計算!$G$2:$G$801, 0)+1), "")), IFERROR(VLOOKUP(LEFT(INDEX(ERP資料!$S:$S, (MATCH(322, 輔助計算!$G$2:$G$801, 0)+1)), 4), 紙管對照表!$A:$C, 3, FALSE), ""), ""), "")</f>
        <v/>
      </c>
      <c r="D323" s="16" t="n"/>
      <c r="E323" s="10">
        <f>IFERROR(IF(INDEX(ERP資料!$H:$H, (MATCH(322, 輔助計算!$G$2:$G$801, 0)+1))="","",INDEX(ERP資料!$H:$H, (MATCH(322, 輔助計算!$G$2:$G$801, 0)+1))), "")</f>
        <v/>
      </c>
      <c r="F323" s="10">
        <f>IFERROR(IF(INDEX(ERP資料!$E:$E, (MATCH(322, 輔助計算!$G$2:$G$801, 0)+1))="","",TRIM(INDEX(ERP資料!$E:$E, (MATCH(322, 輔助計算!$G$2:$G$801, 0)+1)))), "")</f>
        <v/>
      </c>
      <c r="G323" s="10">
        <f>IFERROR(IF(INDEX(ERP資料!$F:$F, (MATCH(322, 輔助計算!$G$2:$G$801, 0)+1))="","",INDEX(ERP資料!$F:$F, (MATCH(322, 輔助計算!$G$2:$G$801, 0)+1))), "")</f>
        <v/>
      </c>
      <c r="H323" s="10">
        <f>IFERROR(IF(INDEX(ERP資料!$G:$G, (MATCH(322, 輔助計算!$G$2:$G$801, 0)+1))="","",INDEX(ERP資料!$G:$G, (MATCH(322, 輔助計算!$G$2:$G$801, 0)+1))), "")</f>
        <v/>
      </c>
      <c r="I323" s="15">
        <f>IFERROR(INDEX(輔助計算!$D:$D, (MATCH(322, 輔助計算!$G$2:$G$801, 0)+1)), "")</f>
        <v/>
      </c>
      <c r="J323" s="15">
        <f>IFERROR(IF(AND(INDEX(輔助計算!$D:$D, (MATCH(322, 輔助計算!$G$2:$G$801, 0)+1))&lt;&gt;"", INDEX(ERP資料!$G:$G, (MATCH(322, 輔助計算!$G$2:$G$801, 0)+1))&lt;&gt;""), TRIM(IF(INT(INDEX(輔助計算!$D:$D, (MATCH(322, 輔助計算!$G$2:$G$801, 0)+1))/IF(INDEX(ERP資料!$G:$G, (MATCH(322, 輔助計算!$G$2:$G$801, 0)+1))&lt;100, IF(INDEX(ERP資料!$G:$G, (MATCH(322, 輔助計算!$G$2:$G$801, 0)+1))&lt;=31,3,IF(INDEX(ERP資料!$G:$G, (MATCH(322, 輔助計算!$G$2:$G$801, 0)+1))&lt;=46.5,2,1)), IF(INDEX(ERP資料!$G:$G, (MATCH(322, 輔助計算!$G$2:$G$801, 0)+1))&lt;=790,3,IF(INDEX(ERP資料!$G:$G, (MATCH(322, 輔助計算!$G$2:$G$801, 0)+1))&lt;=1181,2,1))))&gt;0, IF(IF(INDEX(ERP資料!$G:$G, (MATCH(322, 輔助計算!$G$2:$G$801, 0)+1))&lt;100, IF(INDEX(ERP資料!$G:$G, (MATCH(322, 輔助計算!$G$2:$G$801, 0)+1))&lt;=31,3,IF(INDEX(ERP資料!$G:$G, (MATCH(322, 輔助計算!$G$2:$G$801, 0)+1))&lt;=46.5,2,1)), IF(INDEX(ERP資料!$G:$G, (MATCH(322, 輔助計算!$G$2:$G$801, 0)+1))&lt;=790,3,IF(INDEX(ERP資料!$G:$G, (MATCH(322, 輔助計算!$G$2:$G$801, 0)+1))&lt;=1181,2,1)))=1,TEXT(INDEX(ERP資料!$G:$G, (MATCH(322, 輔助計算!$G$2:$G$801, 0)+1)),"0.##"),IF(IF(INDEX(ERP資料!$G:$G, (MATCH(322, 輔助計算!$G$2:$G$801, 0)+1))&lt;100, IF(INDEX(ERP資料!$G:$G, (MATCH(322, 輔助計算!$G$2:$G$801, 0)+1))&lt;=31,3,IF(INDEX(ERP資料!$G:$G, (MATCH(322, 輔助計算!$G$2:$G$801, 0)+1))&lt;=46.5,2,1)), IF(INDEX(ERP資料!$G:$G, (MATCH(322, 輔助計算!$G$2:$G$801, 0)+1))&lt;=790,3,IF(INDEX(ERP資料!$G:$G, (MATCH(322, 輔助計算!$G$2:$G$801, 0)+1))&lt;=1181,2,1)))=2,TEXT(INDEX(ERP資料!$G:$G, (MATCH(322, 輔助計算!$G$2:$G$801, 0)+1)),"0.##")&amp;"+"&amp;TEXT(INDEX(ERP資料!$G:$G, (MATCH(322, 輔助計算!$G$2:$G$801, 0)+1)),"0.##"),TEXT(INDEX(ERP資料!$G:$G, (MATCH(322, 輔助計算!$G$2:$G$801, 0)+1)),"0.##")&amp;"+"&amp;TEXT(INDEX(ERP資料!$G:$G, (MATCH(322, 輔助計算!$G$2:$G$801, 0)+1)),"0.##")&amp;"+"&amp;TEXT(INDEX(ERP資料!$G:$G, (MATCH(322, 輔助計算!$G$2:$G$801, 0)+1)),"0.##")))&amp;"-"&amp;INT(INDEX(輔助計算!$D:$D, (MATCH(322, 輔助計算!$G$2:$G$801, 0)+1))/IF(INDEX(ERP資料!$G:$G, (MATCH(322, 輔助計算!$G$2:$G$801, 0)+1))&lt;100, IF(INDEX(ERP資料!$G:$G, (MATCH(322, 輔助計算!$G$2:$G$801, 0)+1))&lt;=31,3,IF(INDEX(ERP資料!$G:$G, (MATCH(322, 輔助計算!$G$2:$G$801, 0)+1))&lt;=46.5,2,1)), IF(INDEX(ERP資料!$G:$G, (MATCH(322, 輔助計算!$G$2:$G$801, 0)+1))&lt;=790,3,IF(INDEX(ERP資料!$G:$G, (MATCH(322, 輔助計算!$G$2:$G$801, 0)+1))&lt;=1181,2,1)))), "")&amp;IF(AND(IF(INT(INDEX(輔助計算!$D:$D, (MATCH(322, 輔助計算!$G$2:$G$801, 0)+1))/IF(INDEX(ERP資料!$G:$G, (MATCH(322, 輔助計算!$G$2:$G$801, 0)+1))&lt;100, IF(INDEX(ERP資料!$G:$G, (MATCH(322, 輔助計算!$G$2:$G$801, 0)+1))&lt;=31,3,IF(INDEX(ERP資料!$G:$G, (MATCH(322, 輔助計算!$G$2:$G$801, 0)+1))&lt;=46.5,2,1)), IF(INDEX(ERP資料!$G:$G, (MATCH(322, 輔助計算!$G$2:$G$801, 0)+1))&lt;=790,3,IF(INDEX(ERP資料!$G:$G, (MATCH(322, 輔助計算!$G$2:$G$801, 0)+1))&lt;=1181,2,1))))&gt;0, IF(IF(INDEX(ERP資料!$G:$G, (MATCH(322, 輔助計算!$G$2:$G$801, 0)+1))&lt;100, IF(INDEX(ERP資料!$G:$G, (MATCH(322, 輔助計算!$G$2:$G$801, 0)+1))&lt;=31,3,IF(INDEX(ERP資料!$G:$G, (MATCH(322, 輔助計算!$G$2:$G$801, 0)+1))&lt;=46.5,2,1)), IF(INDEX(ERP資料!$G:$G, (MATCH(322, 輔助計算!$G$2:$G$801, 0)+1))&lt;=790,3,IF(INDEX(ERP資料!$G:$G, (MATCH(322, 輔助計算!$G$2:$G$801, 0)+1))&lt;=1181,2,1)))=1,TEXT(INDEX(ERP資料!$G:$G, (MATCH(322, 輔助計算!$G$2:$G$801, 0)+1)),"0.##"),IF(IF(INDEX(ERP資料!$G:$G, (MATCH(322, 輔助計算!$G$2:$G$801, 0)+1))&lt;100, IF(INDEX(ERP資料!$G:$G, (MATCH(322, 輔助計算!$G$2:$G$801, 0)+1))&lt;=31,3,IF(INDEX(ERP資料!$G:$G, (MATCH(322, 輔助計算!$G$2:$G$801, 0)+1))&lt;=46.5,2,1)), IF(INDEX(ERP資料!$G:$G, (MATCH(322, 輔助計算!$G$2:$G$801, 0)+1))&lt;=790,3,IF(INDEX(ERP資料!$G:$G, (MATCH(322, 輔助計算!$G$2:$G$801, 0)+1))&lt;=1181,2,1)))=2,TEXT(INDEX(ERP資料!$G:$G, (MATCH(322, 輔助計算!$G$2:$G$801, 0)+1)),"0.##")&amp;"+"&amp;TEXT(INDEX(ERP資料!$G:$G, (MATCH(322, 輔助計算!$G$2:$G$801, 0)+1)),"0.##"),TEXT(INDEX(ERP資料!$G:$G, (MATCH(322, 輔助計算!$G$2:$G$801, 0)+1)),"0.##")&amp;"+"&amp;TEXT(INDEX(ERP資料!$G:$G, (MATCH(322, 輔助計算!$G$2:$G$801, 0)+1)),"0.##")&amp;"+"&amp;TEXT(INDEX(ERP資料!$G:$G, (MATCH(322, 輔助計算!$G$2:$G$801, 0)+1)),"0.##")))&amp;"-"&amp;INT(INDEX(輔助計算!$D:$D, (MATCH(322, 輔助計算!$G$2:$G$801, 0)+1))/IF(INDEX(ERP資料!$G:$G, (MATCH(322, 輔助計算!$G$2:$G$801, 0)+1))&lt;100, IF(INDEX(ERP資料!$G:$G, (MATCH(322, 輔助計算!$G$2:$G$801, 0)+1))&lt;=31,3,IF(INDEX(ERP資料!$G:$G, (MATCH(322, 輔助計算!$G$2:$G$801, 0)+1))&lt;=46.5,2,1)), IF(INDEX(ERP資料!$G:$G, (MATCH(322, 輔助計算!$G$2:$G$801, 0)+1))&lt;=790,3,IF(INDEX(ERP資料!$G:$G, (MATCH(322, 輔助計算!$G$2:$G$801, 0)+1))&lt;=1181,2,1)))), "")&lt;&gt;"",IF(MOD(INDEX(輔助計算!$D:$D, (MATCH(322, 輔助計算!$G$2:$G$801, 0)+1)),IF(INDEX(ERP資料!$G:$G, (MATCH(322, 輔助計算!$G$2:$G$801, 0)+1))&lt;100, IF(INDEX(ERP資料!$G:$G, (MATCH(322, 輔助計算!$G$2:$G$801, 0)+1))&lt;=31,3,IF(INDEX(ERP資料!$G:$G, (MATCH(322, 輔助計算!$G$2:$G$801, 0)+1))&lt;=46.5,2,1)), IF(INDEX(ERP資料!$G:$G, (MATCH(322, 輔助計算!$G$2:$G$801, 0)+1))&lt;=790,3,IF(INDEX(ERP資料!$G:$G, (MATCH(322, 輔助計算!$G$2:$G$801, 0)+1))&lt;=1181,2,1))))=0,"",IF(MOD(INDEX(輔助計算!$D:$D, (MATCH(322, 輔助計算!$G$2:$G$801, 0)+1)),IF(INDEX(ERP資料!$G:$G, (MATCH(322, 輔助計算!$G$2:$G$801, 0)+1))&lt;100, IF(INDEX(ERP資料!$G:$G, (MATCH(322, 輔助計算!$G$2:$G$801, 0)+1))&lt;=31,3,IF(INDEX(ERP資料!$G:$G, (MATCH(322, 輔助計算!$G$2:$G$801, 0)+1))&lt;=46.5,2,1)), IF(INDEX(ERP資料!$G:$G, (MATCH(322, 輔助計算!$G$2:$G$801, 0)+1))&lt;=790,3,IF(INDEX(ERP資料!$G:$G, (MATCH(322, 輔助計算!$G$2:$G$801, 0)+1))&lt;=1181,2,1))))=0,"",IF(MOD(INDEX(輔助計算!$D:$D, (MATCH(322, 輔助計算!$G$2:$G$801, 0)+1)),IF(INDEX(ERP資料!$G:$G, (MATCH(322, 輔助計算!$G$2:$G$801, 0)+1))&lt;100, IF(INDEX(ERP資料!$G:$G, (MATCH(322, 輔助計算!$G$2:$G$801, 0)+1))&lt;=31,3,IF(INDEX(ERP資料!$G:$G, (MATCH(322, 輔助計算!$G$2:$G$801, 0)+1))&lt;=46.5,2,1)), IF(INDEX(ERP資料!$G:$G, (MATCH(322, 輔助計算!$G$2:$G$801, 0)+1))&lt;=790,3,IF(INDEX(ERP資料!$G:$G, (MATCH(322, 輔助計算!$G$2:$G$801, 0)+1))&lt;=1181,2,1))))=1,TEXT(INDEX(ERP資料!$G:$G, (MATCH(322, 輔助計算!$G$2:$G$801, 0)+1)),"0.##"),IF(MOD(INDEX(輔助計算!$D:$D, (MATCH(322, 輔助計算!$G$2:$G$801, 0)+1)),IF(INDEX(ERP資料!$G:$G, (MATCH(322, 輔助計算!$G$2:$G$801, 0)+1))&lt;100, IF(INDEX(ERP資料!$G:$G, (MATCH(322, 輔助計算!$G$2:$G$801, 0)+1))&lt;=31,3,IF(INDEX(ERP資料!$G:$G, (MATCH(322, 輔助計算!$G$2:$G$801, 0)+1))&lt;=46.5,2,1)), IF(INDEX(ERP資料!$G:$G, (MATCH(322, 輔助計算!$G$2:$G$801, 0)+1))&lt;=790,3,IF(INDEX(ERP資料!$G:$G, (MATCH(322, 輔助計算!$G$2:$G$801, 0)+1))&lt;=1181,2,1))))=2,TEXT(INDEX(ERP資料!$G:$G, (MATCH(322, 輔助計算!$G$2:$G$801, 0)+1)),"0.##")&amp;"+"&amp;TEXT(INDEX(ERP資料!$G:$G, (MATCH(322, 輔助計算!$G$2:$G$801, 0)+1)),"0.##"),TEXT(INDEX(ERP資料!$G:$G, (MATCH(322, 輔助計算!$G$2:$G$801, 0)+1)),"0.##")&amp;"+"&amp;TEXT(INDEX(ERP資料!$G:$G, (MATCH(322, 輔助計算!$G$2:$G$801, 0)+1)),"0.##")&amp;"+"&amp;TEXT(INDEX(ERP資料!$G:$G, (MATCH(322, 輔助計算!$G$2:$G$801, 0)+1)),"0.##"))))&amp;"-1")&lt;&gt;""),"  ","")&amp;IF(MOD(INDEX(輔助計算!$D:$D, (MATCH(322, 輔助計算!$G$2:$G$801, 0)+1)),IF(INDEX(ERP資料!$G:$G, (MATCH(322, 輔助計算!$G$2:$G$801, 0)+1))&lt;100, IF(INDEX(ERP資料!$G:$G, (MATCH(322, 輔助計算!$G$2:$G$801, 0)+1))&lt;=31,3,IF(INDEX(ERP資料!$G:$G, (MATCH(322, 輔助計算!$G$2:$G$801, 0)+1))&lt;=46.5,2,1)), IF(INDEX(ERP資料!$G:$G, (MATCH(322, 輔助計算!$G$2:$G$801, 0)+1))&lt;=790,3,IF(INDEX(ERP資料!$G:$G, (MATCH(322, 輔助計算!$G$2:$G$801, 0)+1))&lt;=1181,2,1))))=0,"",IF(MOD(INDEX(輔助計算!$D:$D, (MATCH(322, 輔助計算!$G$2:$G$801, 0)+1)),IF(INDEX(ERP資料!$G:$G, (MATCH(322, 輔助計算!$G$2:$G$801, 0)+1))&lt;100, IF(INDEX(ERP資料!$G:$G, (MATCH(322, 輔助計算!$G$2:$G$801, 0)+1))&lt;=31,3,IF(INDEX(ERP資料!$G:$G, (MATCH(322, 輔助計算!$G$2:$G$801, 0)+1))&lt;=46.5,2,1)), IF(INDEX(ERP資料!$G:$G, (MATCH(322, 輔助計算!$G$2:$G$801, 0)+1))&lt;=790,3,IF(INDEX(ERP資料!$G:$G, (MATCH(322, 輔助計算!$G$2:$G$801, 0)+1))&lt;=1181,2,1))))=0,"",IF(MOD(INDEX(輔助計算!$D:$D, (MATCH(322, 輔助計算!$G$2:$G$801, 0)+1)),IF(INDEX(ERP資料!$G:$G, (MATCH(322, 輔助計算!$G$2:$G$801, 0)+1))&lt;100, IF(INDEX(ERP資料!$G:$G, (MATCH(322, 輔助計算!$G$2:$G$801, 0)+1))&lt;=31,3,IF(INDEX(ERP資料!$G:$G, (MATCH(322, 輔助計算!$G$2:$G$801, 0)+1))&lt;=46.5,2,1)), IF(INDEX(ERP資料!$G:$G, (MATCH(322, 輔助計算!$G$2:$G$801, 0)+1))&lt;=790,3,IF(INDEX(ERP資料!$G:$G, (MATCH(322, 輔助計算!$G$2:$G$801, 0)+1))&lt;=1181,2,1))))=1,TEXT(INDEX(ERP資料!$G:$G, (MATCH(322, 輔助計算!$G$2:$G$801, 0)+1)),"0.##"),IF(MOD(INDEX(輔助計算!$D:$D, (MATCH(322, 輔助計算!$G$2:$G$801, 0)+1)),IF(INDEX(ERP資料!$G:$G, (MATCH(322, 輔助計算!$G$2:$G$801, 0)+1))&lt;100, IF(INDEX(ERP資料!$G:$G, (MATCH(322, 輔助計算!$G$2:$G$801, 0)+1))&lt;=31,3,IF(INDEX(ERP資料!$G:$G, (MATCH(322, 輔助計算!$G$2:$G$801, 0)+1))&lt;=46.5,2,1)), IF(INDEX(ERP資料!$G:$G, (MATCH(322, 輔助計算!$G$2:$G$801, 0)+1))&lt;=790,3,IF(INDEX(ERP資料!$G:$G, (MATCH(322, 輔助計算!$G$2:$G$801, 0)+1))&lt;=1181,2,1))))=2,TEXT(INDEX(ERP資料!$G:$G, (MATCH(322, 輔助計算!$G$2:$G$801, 0)+1)),"0.##")&amp;"+"&amp;TEXT(INDEX(ERP資料!$G:$G, (MATCH(322, 輔助計算!$G$2:$G$801, 0)+1)),"0.##"),TEXT(INDEX(ERP資料!$G:$G, (MATCH(322, 輔助計算!$G$2:$G$801, 0)+1)),"0.##")&amp;"+"&amp;TEXT(INDEX(ERP資料!$G:$G, (MATCH(322, 輔助計算!$G$2:$G$801, 0)+1)),"0.##")&amp;"+"&amp;TEXT(INDEX(ERP資料!$G:$G, (MATCH(322, 輔助計算!$G$2:$G$801, 0)+1)),"0.##"))))&amp;"-1")), ""), "")</f>
        <v/>
      </c>
      <c r="K323" s="16" t="n"/>
      <c r="L323" s="14">
        <f>IFERROR(IF(AND(IFERROR(INDEX(ERP資料!$A:$A, (MATCH(322, 輔助計算!$G$2:$G$801, 0)+1)), "")&lt;&gt;"", IFERROR(INDEX(ERP資料!$A:$A, (MATCH(322, 輔助計算!$G$2:$G$801, 0)+1)), "")&lt;&gt;IFERROR(INDEX(ERP資料!$A:$A, MATCH(321, 輔助計算!$G$2:$G$801, 0)+1), "")), INDEX(ERP資料!$B:$B, (MATCH(322, 輔助計算!$G$2:$G$801, 0)+1)), ""), "")</f>
        <v/>
      </c>
      <c r="M323" s="17" t="n"/>
    </row>
    <row r="324">
      <c r="A324" s="10">
        <f>IFERROR(IF(AND(IFERROR(INDEX(ERP資料!$A:$A, (MATCH(323, 輔助計算!$G$2:$G$801, 0)+1)), "")&lt;&gt;"", IFERROR(INDEX(ERP資料!$A:$A, (MATCH(323, 輔助計算!$G$2:$G$801, 0)+1)), "")&lt;&gt;IFERROR(INDEX(ERP資料!$A:$A, MATCH(322, 輔助計算!$G$2:$G$801, 0)+1), "")), IFERROR(INDEX(ERP資料!$A:$A, (MATCH(323, 輔助計算!$G$2:$G$801, 0)+1)), ""), ""), "")</f>
        <v/>
      </c>
      <c r="B324" s="10">
        <f>IFERROR(IF(AND(IFERROR(INDEX(ERP資料!$A:$A, (MATCH(323, 輔助計算!$G$2:$G$801, 0)+1)), "")&lt;&gt;"", IFERROR(INDEX(ERP資料!$A:$A, (MATCH(323, 輔助計算!$G$2:$G$801, 0)+1)), "")&lt;&gt;IFERROR(INDEX(ERP資料!$A:$A, MATCH(322, 輔助計算!$G$2:$G$801, 0)+1), "")), INDEX(ERP資料!$S:$S, (MATCH(323, 輔助計算!$G$2:$G$801, 0)+1)), ""), "")</f>
        <v/>
      </c>
      <c r="C324" s="19">
        <f>IFERROR(IF(AND(IFERROR(INDEX(ERP資料!$A:$A, (MATCH(323, 輔助計算!$G$2:$G$801, 0)+1)), "")&lt;&gt;"", IFERROR(INDEX(ERP資料!$A:$A, (MATCH(323, 輔助計算!$G$2:$G$801, 0)+1)), "")&lt;&gt;IFERROR(INDEX(ERP資料!$A:$A, MATCH(322, 輔助計算!$G$2:$G$801, 0)+1), "")), IFERROR(VLOOKUP(LEFT(INDEX(ERP資料!$S:$S, (MATCH(323, 輔助計算!$G$2:$G$801, 0)+1)), 4), 紙管對照表!$A:$C, 3, FALSE), ""), ""), "")</f>
        <v/>
      </c>
      <c r="D324" s="16" t="n"/>
      <c r="E324" s="10">
        <f>IFERROR(IF(INDEX(ERP資料!$H:$H, (MATCH(323, 輔助計算!$G$2:$G$801, 0)+1))="","",INDEX(ERP資料!$H:$H, (MATCH(323, 輔助計算!$G$2:$G$801, 0)+1))), "")</f>
        <v/>
      </c>
      <c r="F324" s="10">
        <f>IFERROR(IF(INDEX(ERP資料!$E:$E, (MATCH(323, 輔助計算!$G$2:$G$801, 0)+1))="","",TRIM(INDEX(ERP資料!$E:$E, (MATCH(323, 輔助計算!$G$2:$G$801, 0)+1)))), "")</f>
        <v/>
      </c>
      <c r="G324" s="10">
        <f>IFERROR(IF(INDEX(ERP資料!$F:$F, (MATCH(323, 輔助計算!$G$2:$G$801, 0)+1))="","",INDEX(ERP資料!$F:$F, (MATCH(323, 輔助計算!$G$2:$G$801, 0)+1))), "")</f>
        <v/>
      </c>
      <c r="H324" s="10">
        <f>IFERROR(IF(INDEX(ERP資料!$G:$G, (MATCH(323, 輔助計算!$G$2:$G$801, 0)+1))="","",INDEX(ERP資料!$G:$G, (MATCH(323, 輔助計算!$G$2:$G$801, 0)+1))), "")</f>
        <v/>
      </c>
      <c r="I324" s="15">
        <f>IFERROR(INDEX(輔助計算!$D:$D, (MATCH(323, 輔助計算!$G$2:$G$801, 0)+1)), "")</f>
        <v/>
      </c>
      <c r="J324" s="15">
        <f>IFERROR(IF(AND(INDEX(輔助計算!$D:$D, (MATCH(323, 輔助計算!$G$2:$G$801, 0)+1))&lt;&gt;"", INDEX(ERP資料!$G:$G, (MATCH(323, 輔助計算!$G$2:$G$801, 0)+1))&lt;&gt;""), TRIM(IF(INT(INDEX(輔助計算!$D:$D, (MATCH(323, 輔助計算!$G$2:$G$801, 0)+1))/IF(INDEX(ERP資料!$G:$G, (MATCH(323, 輔助計算!$G$2:$G$801, 0)+1))&lt;100, IF(INDEX(ERP資料!$G:$G, (MATCH(323, 輔助計算!$G$2:$G$801, 0)+1))&lt;=31,3,IF(INDEX(ERP資料!$G:$G, (MATCH(323, 輔助計算!$G$2:$G$801, 0)+1))&lt;=46.5,2,1)), IF(INDEX(ERP資料!$G:$G, (MATCH(323, 輔助計算!$G$2:$G$801, 0)+1))&lt;=790,3,IF(INDEX(ERP資料!$G:$G, (MATCH(323, 輔助計算!$G$2:$G$801, 0)+1))&lt;=1181,2,1))))&gt;0, IF(IF(INDEX(ERP資料!$G:$G, (MATCH(323, 輔助計算!$G$2:$G$801, 0)+1))&lt;100, IF(INDEX(ERP資料!$G:$G, (MATCH(323, 輔助計算!$G$2:$G$801, 0)+1))&lt;=31,3,IF(INDEX(ERP資料!$G:$G, (MATCH(323, 輔助計算!$G$2:$G$801, 0)+1))&lt;=46.5,2,1)), IF(INDEX(ERP資料!$G:$G, (MATCH(323, 輔助計算!$G$2:$G$801, 0)+1))&lt;=790,3,IF(INDEX(ERP資料!$G:$G, (MATCH(323, 輔助計算!$G$2:$G$801, 0)+1))&lt;=1181,2,1)))=1,TEXT(INDEX(ERP資料!$G:$G, (MATCH(323, 輔助計算!$G$2:$G$801, 0)+1)),"0.##"),IF(IF(INDEX(ERP資料!$G:$G, (MATCH(323, 輔助計算!$G$2:$G$801, 0)+1))&lt;100, IF(INDEX(ERP資料!$G:$G, (MATCH(323, 輔助計算!$G$2:$G$801, 0)+1))&lt;=31,3,IF(INDEX(ERP資料!$G:$G, (MATCH(323, 輔助計算!$G$2:$G$801, 0)+1))&lt;=46.5,2,1)), IF(INDEX(ERP資料!$G:$G, (MATCH(323, 輔助計算!$G$2:$G$801, 0)+1))&lt;=790,3,IF(INDEX(ERP資料!$G:$G, (MATCH(323, 輔助計算!$G$2:$G$801, 0)+1))&lt;=1181,2,1)))=2,TEXT(INDEX(ERP資料!$G:$G, (MATCH(323, 輔助計算!$G$2:$G$801, 0)+1)),"0.##")&amp;"+"&amp;TEXT(INDEX(ERP資料!$G:$G, (MATCH(323, 輔助計算!$G$2:$G$801, 0)+1)),"0.##"),TEXT(INDEX(ERP資料!$G:$G, (MATCH(323, 輔助計算!$G$2:$G$801, 0)+1)),"0.##")&amp;"+"&amp;TEXT(INDEX(ERP資料!$G:$G, (MATCH(323, 輔助計算!$G$2:$G$801, 0)+1)),"0.##")&amp;"+"&amp;TEXT(INDEX(ERP資料!$G:$G, (MATCH(323, 輔助計算!$G$2:$G$801, 0)+1)),"0.##")))&amp;"-"&amp;INT(INDEX(輔助計算!$D:$D, (MATCH(323, 輔助計算!$G$2:$G$801, 0)+1))/IF(INDEX(ERP資料!$G:$G, (MATCH(323, 輔助計算!$G$2:$G$801, 0)+1))&lt;100, IF(INDEX(ERP資料!$G:$G, (MATCH(323, 輔助計算!$G$2:$G$801, 0)+1))&lt;=31,3,IF(INDEX(ERP資料!$G:$G, (MATCH(323, 輔助計算!$G$2:$G$801, 0)+1))&lt;=46.5,2,1)), IF(INDEX(ERP資料!$G:$G, (MATCH(323, 輔助計算!$G$2:$G$801, 0)+1))&lt;=790,3,IF(INDEX(ERP資料!$G:$G, (MATCH(323, 輔助計算!$G$2:$G$801, 0)+1))&lt;=1181,2,1)))), "")&amp;IF(AND(IF(INT(INDEX(輔助計算!$D:$D, (MATCH(323, 輔助計算!$G$2:$G$801, 0)+1))/IF(INDEX(ERP資料!$G:$G, (MATCH(323, 輔助計算!$G$2:$G$801, 0)+1))&lt;100, IF(INDEX(ERP資料!$G:$G, (MATCH(323, 輔助計算!$G$2:$G$801, 0)+1))&lt;=31,3,IF(INDEX(ERP資料!$G:$G, (MATCH(323, 輔助計算!$G$2:$G$801, 0)+1))&lt;=46.5,2,1)), IF(INDEX(ERP資料!$G:$G, (MATCH(323, 輔助計算!$G$2:$G$801, 0)+1))&lt;=790,3,IF(INDEX(ERP資料!$G:$G, (MATCH(323, 輔助計算!$G$2:$G$801, 0)+1))&lt;=1181,2,1))))&gt;0, IF(IF(INDEX(ERP資料!$G:$G, (MATCH(323, 輔助計算!$G$2:$G$801, 0)+1))&lt;100, IF(INDEX(ERP資料!$G:$G, (MATCH(323, 輔助計算!$G$2:$G$801, 0)+1))&lt;=31,3,IF(INDEX(ERP資料!$G:$G, (MATCH(323, 輔助計算!$G$2:$G$801, 0)+1))&lt;=46.5,2,1)), IF(INDEX(ERP資料!$G:$G, (MATCH(323, 輔助計算!$G$2:$G$801, 0)+1))&lt;=790,3,IF(INDEX(ERP資料!$G:$G, (MATCH(323, 輔助計算!$G$2:$G$801, 0)+1))&lt;=1181,2,1)))=1,TEXT(INDEX(ERP資料!$G:$G, (MATCH(323, 輔助計算!$G$2:$G$801, 0)+1)),"0.##"),IF(IF(INDEX(ERP資料!$G:$G, (MATCH(323, 輔助計算!$G$2:$G$801, 0)+1))&lt;100, IF(INDEX(ERP資料!$G:$G, (MATCH(323, 輔助計算!$G$2:$G$801, 0)+1))&lt;=31,3,IF(INDEX(ERP資料!$G:$G, (MATCH(323, 輔助計算!$G$2:$G$801, 0)+1))&lt;=46.5,2,1)), IF(INDEX(ERP資料!$G:$G, (MATCH(323, 輔助計算!$G$2:$G$801, 0)+1))&lt;=790,3,IF(INDEX(ERP資料!$G:$G, (MATCH(323, 輔助計算!$G$2:$G$801, 0)+1))&lt;=1181,2,1)))=2,TEXT(INDEX(ERP資料!$G:$G, (MATCH(323, 輔助計算!$G$2:$G$801, 0)+1)),"0.##")&amp;"+"&amp;TEXT(INDEX(ERP資料!$G:$G, (MATCH(323, 輔助計算!$G$2:$G$801, 0)+1)),"0.##"),TEXT(INDEX(ERP資料!$G:$G, (MATCH(323, 輔助計算!$G$2:$G$801, 0)+1)),"0.##")&amp;"+"&amp;TEXT(INDEX(ERP資料!$G:$G, (MATCH(323, 輔助計算!$G$2:$G$801, 0)+1)),"0.##")&amp;"+"&amp;TEXT(INDEX(ERP資料!$G:$G, (MATCH(323, 輔助計算!$G$2:$G$801, 0)+1)),"0.##")))&amp;"-"&amp;INT(INDEX(輔助計算!$D:$D, (MATCH(323, 輔助計算!$G$2:$G$801, 0)+1))/IF(INDEX(ERP資料!$G:$G, (MATCH(323, 輔助計算!$G$2:$G$801, 0)+1))&lt;100, IF(INDEX(ERP資料!$G:$G, (MATCH(323, 輔助計算!$G$2:$G$801, 0)+1))&lt;=31,3,IF(INDEX(ERP資料!$G:$G, (MATCH(323, 輔助計算!$G$2:$G$801, 0)+1))&lt;=46.5,2,1)), IF(INDEX(ERP資料!$G:$G, (MATCH(323, 輔助計算!$G$2:$G$801, 0)+1))&lt;=790,3,IF(INDEX(ERP資料!$G:$G, (MATCH(323, 輔助計算!$G$2:$G$801, 0)+1))&lt;=1181,2,1)))), "")&lt;&gt;"",IF(MOD(INDEX(輔助計算!$D:$D, (MATCH(323, 輔助計算!$G$2:$G$801, 0)+1)),IF(INDEX(ERP資料!$G:$G, (MATCH(323, 輔助計算!$G$2:$G$801, 0)+1))&lt;100, IF(INDEX(ERP資料!$G:$G, (MATCH(323, 輔助計算!$G$2:$G$801, 0)+1))&lt;=31,3,IF(INDEX(ERP資料!$G:$G, (MATCH(323, 輔助計算!$G$2:$G$801, 0)+1))&lt;=46.5,2,1)), IF(INDEX(ERP資料!$G:$G, (MATCH(323, 輔助計算!$G$2:$G$801, 0)+1))&lt;=790,3,IF(INDEX(ERP資料!$G:$G, (MATCH(323, 輔助計算!$G$2:$G$801, 0)+1))&lt;=1181,2,1))))=0,"",IF(MOD(INDEX(輔助計算!$D:$D, (MATCH(323, 輔助計算!$G$2:$G$801, 0)+1)),IF(INDEX(ERP資料!$G:$G, (MATCH(323, 輔助計算!$G$2:$G$801, 0)+1))&lt;100, IF(INDEX(ERP資料!$G:$G, (MATCH(323, 輔助計算!$G$2:$G$801, 0)+1))&lt;=31,3,IF(INDEX(ERP資料!$G:$G, (MATCH(323, 輔助計算!$G$2:$G$801, 0)+1))&lt;=46.5,2,1)), IF(INDEX(ERP資料!$G:$G, (MATCH(323, 輔助計算!$G$2:$G$801, 0)+1))&lt;=790,3,IF(INDEX(ERP資料!$G:$G, (MATCH(323, 輔助計算!$G$2:$G$801, 0)+1))&lt;=1181,2,1))))=0,"",IF(MOD(INDEX(輔助計算!$D:$D, (MATCH(323, 輔助計算!$G$2:$G$801, 0)+1)),IF(INDEX(ERP資料!$G:$G, (MATCH(323, 輔助計算!$G$2:$G$801, 0)+1))&lt;100, IF(INDEX(ERP資料!$G:$G, (MATCH(323, 輔助計算!$G$2:$G$801, 0)+1))&lt;=31,3,IF(INDEX(ERP資料!$G:$G, (MATCH(323, 輔助計算!$G$2:$G$801, 0)+1))&lt;=46.5,2,1)), IF(INDEX(ERP資料!$G:$G, (MATCH(323, 輔助計算!$G$2:$G$801, 0)+1))&lt;=790,3,IF(INDEX(ERP資料!$G:$G, (MATCH(323, 輔助計算!$G$2:$G$801, 0)+1))&lt;=1181,2,1))))=1,TEXT(INDEX(ERP資料!$G:$G, (MATCH(323, 輔助計算!$G$2:$G$801, 0)+1)),"0.##"),IF(MOD(INDEX(輔助計算!$D:$D, (MATCH(323, 輔助計算!$G$2:$G$801, 0)+1)),IF(INDEX(ERP資料!$G:$G, (MATCH(323, 輔助計算!$G$2:$G$801, 0)+1))&lt;100, IF(INDEX(ERP資料!$G:$G, (MATCH(323, 輔助計算!$G$2:$G$801, 0)+1))&lt;=31,3,IF(INDEX(ERP資料!$G:$G, (MATCH(323, 輔助計算!$G$2:$G$801, 0)+1))&lt;=46.5,2,1)), IF(INDEX(ERP資料!$G:$G, (MATCH(323, 輔助計算!$G$2:$G$801, 0)+1))&lt;=790,3,IF(INDEX(ERP資料!$G:$G, (MATCH(323, 輔助計算!$G$2:$G$801, 0)+1))&lt;=1181,2,1))))=2,TEXT(INDEX(ERP資料!$G:$G, (MATCH(323, 輔助計算!$G$2:$G$801, 0)+1)),"0.##")&amp;"+"&amp;TEXT(INDEX(ERP資料!$G:$G, (MATCH(323, 輔助計算!$G$2:$G$801, 0)+1)),"0.##"),TEXT(INDEX(ERP資料!$G:$G, (MATCH(323, 輔助計算!$G$2:$G$801, 0)+1)),"0.##")&amp;"+"&amp;TEXT(INDEX(ERP資料!$G:$G, (MATCH(323, 輔助計算!$G$2:$G$801, 0)+1)),"0.##")&amp;"+"&amp;TEXT(INDEX(ERP資料!$G:$G, (MATCH(323, 輔助計算!$G$2:$G$801, 0)+1)),"0.##"))))&amp;"-1")&lt;&gt;""),"  ","")&amp;IF(MOD(INDEX(輔助計算!$D:$D, (MATCH(323, 輔助計算!$G$2:$G$801, 0)+1)),IF(INDEX(ERP資料!$G:$G, (MATCH(323, 輔助計算!$G$2:$G$801, 0)+1))&lt;100, IF(INDEX(ERP資料!$G:$G, (MATCH(323, 輔助計算!$G$2:$G$801, 0)+1))&lt;=31,3,IF(INDEX(ERP資料!$G:$G, (MATCH(323, 輔助計算!$G$2:$G$801, 0)+1))&lt;=46.5,2,1)), IF(INDEX(ERP資料!$G:$G, (MATCH(323, 輔助計算!$G$2:$G$801, 0)+1))&lt;=790,3,IF(INDEX(ERP資料!$G:$G, (MATCH(323, 輔助計算!$G$2:$G$801, 0)+1))&lt;=1181,2,1))))=0,"",IF(MOD(INDEX(輔助計算!$D:$D, (MATCH(323, 輔助計算!$G$2:$G$801, 0)+1)),IF(INDEX(ERP資料!$G:$G, (MATCH(323, 輔助計算!$G$2:$G$801, 0)+1))&lt;100, IF(INDEX(ERP資料!$G:$G, (MATCH(323, 輔助計算!$G$2:$G$801, 0)+1))&lt;=31,3,IF(INDEX(ERP資料!$G:$G, (MATCH(323, 輔助計算!$G$2:$G$801, 0)+1))&lt;=46.5,2,1)), IF(INDEX(ERP資料!$G:$G, (MATCH(323, 輔助計算!$G$2:$G$801, 0)+1))&lt;=790,3,IF(INDEX(ERP資料!$G:$G, (MATCH(323, 輔助計算!$G$2:$G$801, 0)+1))&lt;=1181,2,1))))=0,"",IF(MOD(INDEX(輔助計算!$D:$D, (MATCH(323, 輔助計算!$G$2:$G$801, 0)+1)),IF(INDEX(ERP資料!$G:$G, (MATCH(323, 輔助計算!$G$2:$G$801, 0)+1))&lt;100, IF(INDEX(ERP資料!$G:$G, (MATCH(323, 輔助計算!$G$2:$G$801, 0)+1))&lt;=31,3,IF(INDEX(ERP資料!$G:$G, (MATCH(323, 輔助計算!$G$2:$G$801, 0)+1))&lt;=46.5,2,1)), IF(INDEX(ERP資料!$G:$G, (MATCH(323, 輔助計算!$G$2:$G$801, 0)+1))&lt;=790,3,IF(INDEX(ERP資料!$G:$G, (MATCH(323, 輔助計算!$G$2:$G$801, 0)+1))&lt;=1181,2,1))))=1,TEXT(INDEX(ERP資料!$G:$G, (MATCH(323, 輔助計算!$G$2:$G$801, 0)+1)),"0.##"),IF(MOD(INDEX(輔助計算!$D:$D, (MATCH(323, 輔助計算!$G$2:$G$801, 0)+1)),IF(INDEX(ERP資料!$G:$G, (MATCH(323, 輔助計算!$G$2:$G$801, 0)+1))&lt;100, IF(INDEX(ERP資料!$G:$G, (MATCH(323, 輔助計算!$G$2:$G$801, 0)+1))&lt;=31,3,IF(INDEX(ERP資料!$G:$G, (MATCH(323, 輔助計算!$G$2:$G$801, 0)+1))&lt;=46.5,2,1)), IF(INDEX(ERP資料!$G:$G, (MATCH(323, 輔助計算!$G$2:$G$801, 0)+1))&lt;=790,3,IF(INDEX(ERP資料!$G:$G, (MATCH(323, 輔助計算!$G$2:$G$801, 0)+1))&lt;=1181,2,1))))=2,TEXT(INDEX(ERP資料!$G:$G, (MATCH(323, 輔助計算!$G$2:$G$801, 0)+1)),"0.##")&amp;"+"&amp;TEXT(INDEX(ERP資料!$G:$G, (MATCH(323, 輔助計算!$G$2:$G$801, 0)+1)),"0.##"),TEXT(INDEX(ERP資料!$G:$G, (MATCH(323, 輔助計算!$G$2:$G$801, 0)+1)),"0.##")&amp;"+"&amp;TEXT(INDEX(ERP資料!$G:$G, (MATCH(323, 輔助計算!$G$2:$G$801, 0)+1)),"0.##")&amp;"+"&amp;TEXT(INDEX(ERP資料!$G:$G, (MATCH(323, 輔助計算!$G$2:$G$801, 0)+1)),"0.##"))))&amp;"-1")), ""), "")</f>
        <v/>
      </c>
      <c r="K324" s="16" t="n"/>
      <c r="L324" s="14">
        <f>IFERROR(IF(AND(IFERROR(INDEX(ERP資料!$A:$A, (MATCH(323, 輔助計算!$G$2:$G$801, 0)+1)), "")&lt;&gt;"", IFERROR(INDEX(ERP資料!$A:$A, (MATCH(323, 輔助計算!$G$2:$G$801, 0)+1)), "")&lt;&gt;IFERROR(INDEX(ERP資料!$A:$A, MATCH(322, 輔助計算!$G$2:$G$801, 0)+1), "")), INDEX(ERP資料!$B:$B, (MATCH(323, 輔助計算!$G$2:$G$801, 0)+1)), ""), "")</f>
        <v/>
      </c>
      <c r="M324" s="17" t="n"/>
    </row>
    <row r="325">
      <c r="A325" s="10">
        <f>IFERROR(IF(AND(IFERROR(INDEX(ERP資料!$A:$A, (MATCH(324, 輔助計算!$G$2:$G$801, 0)+1)), "")&lt;&gt;"", IFERROR(INDEX(ERP資料!$A:$A, (MATCH(324, 輔助計算!$G$2:$G$801, 0)+1)), "")&lt;&gt;IFERROR(INDEX(ERP資料!$A:$A, MATCH(323, 輔助計算!$G$2:$G$801, 0)+1), "")), IFERROR(INDEX(ERP資料!$A:$A, (MATCH(324, 輔助計算!$G$2:$G$801, 0)+1)), ""), ""), "")</f>
        <v/>
      </c>
      <c r="B325" s="10">
        <f>IFERROR(IF(AND(IFERROR(INDEX(ERP資料!$A:$A, (MATCH(324, 輔助計算!$G$2:$G$801, 0)+1)), "")&lt;&gt;"", IFERROR(INDEX(ERP資料!$A:$A, (MATCH(324, 輔助計算!$G$2:$G$801, 0)+1)), "")&lt;&gt;IFERROR(INDEX(ERP資料!$A:$A, MATCH(323, 輔助計算!$G$2:$G$801, 0)+1), "")), INDEX(ERP資料!$S:$S, (MATCH(324, 輔助計算!$G$2:$G$801, 0)+1)), ""), "")</f>
        <v/>
      </c>
      <c r="C325" s="19">
        <f>IFERROR(IF(AND(IFERROR(INDEX(ERP資料!$A:$A, (MATCH(324, 輔助計算!$G$2:$G$801, 0)+1)), "")&lt;&gt;"", IFERROR(INDEX(ERP資料!$A:$A, (MATCH(324, 輔助計算!$G$2:$G$801, 0)+1)), "")&lt;&gt;IFERROR(INDEX(ERP資料!$A:$A, MATCH(323, 輔助計算!$G$2:$G$801, 0)+1), "")), IFERROR(VLOOKUP(LEFT(INDEX(ERP資料!$S:$S, (MATCH(324, 輔助計算!$G$2:$G$801, 0)+1)), 4), 紙管對照表!$A:$C, 3, FALSE), ""), ""), "")</f>
        <v/>
      </c>
      <c r="D325" s="16" t="n"/>
      <c r="E325" s="10">
        <f>IFERROR(IF(INDEX(ERP資料!$H:$H, (MATCH(324, 輔助計算!$G$2:$G$801, 0)+1))="","",INDEX(ERP資料!$H:$H, (MATCH(324, 輔助計算!$G$2:$G$801, 0)+1))), "")</f>
        <v/>
      </c>
      <c r="F325" s="10">
        <f>IFERROR(IF(INDEX(ERP資料!$E:$E, (MATCH(324, 輔助計算!$G$2:$G$801, 0)+1))="","",TRIM(INDEX(ERP資料!$E:$E, (MATCH(324, 輔助計算!$G$2:$G$801, 0)+1)))), "")</f>
        <v/>
      </c>
      <c r="G325" s="10">
        <f>IFERROR(IF(INDEX(ERP資料!$F:$F, (MATCH(324, 輔助計算!$G$2:$G$801, 0)+1))="","",INDEX(ERP資料!$F:$F, (MATCH(324, 輔助計算!$G$2:$G$801, 0)+1))), "")</f>
        <v/>
      </c>
      <c r="H325" s="10">
        <f>IFERROR(IF(INDEX(ERP資料!$G:$G, (MATCH(324, 輔助計算!$G$2:$G$801, 0)+1))="","",INDEX(ERP資料!$G:$G, (MATCH(324, 輔助計算!$G$2:$G$801, 0)+1))), "")</f>
        <v/>
      </c>
      <c r="I325" s="15">
        <f>IFERROR(INDEX(輔助計算!$D:$D, (MATCH(324, 輔助計算!$G$2:$G$801, 0)+1)), "")</f>
        <v/>
      </c>
      <c r="J325" s="15">
        <f>IFERROR(IF(AND(INDEX(輔助計算!$D:$D, (MATCH(324, 輔助計算!$G$2:$G$801, 0)+1))&lt;&gt;"", INDEX(ERP資料!$G:$G, (MATCH(324, 輔助計算!$G$2:$G$801, 0)+1))&lt;&gt;""), TRIM(IF(INT(INDEX(輔助計算!$D:$D, (MATCH(324, 輔助計算!$G$2:$G$801, 0)+1))/IF(INDEX(ERP資料!$G:$G, (MATCH(324, 輔助計算!$G$2:$G$801, 0)+1))&lt;100, IF(INDEX(ERP資料!$G:$G, (MATCH(324, 輔助計算!$G$2:$G$801, 0)+1))&lt;=31,3,IF(INDEX(ERP資料!$G:$G, (MATCH(324, 輔助計算!$G$2:$G$801, 0)+1))&lt;=46.5,2,1)), IF(INDEX(ERP資料!$G:$G, (MATCH(324, 輔助計算!$G$2:$G$801, 0)+1))&lt;=790,3,IF(INDEX(ERP資料!$G:$G, (MATCH(324, 輔助計算!$G$2:$G$801, 0)+1))&lt;=1181,2,1))))&gt;0, IF(IF(INDEX(ERP資料!$G:$G, (MATCH(324, 輔助計算!$G$2:$G$801, 0)+1))&lt;100, IF(INDEX(ERP資料!$G:$G, (MATCH(324, 輔助計算!$G$2:$G$801, 0)+1))&lt;=31,3,IF(INDEX(ERP資料!$G:$G, (MATCH(324, 輔助計算!$G$2:$G$801, 0)+1))&lt;=46.5,2,1)), IF(INDEX(ERP資料!$G:$G, (MATCH(324, 輔助計算!$G$2:$G$801, 0)+1))&lt;=790,3,IF(INDEX(ERP資料!$G:$G, (MATCH(324, 輔助計算!$G$2:$G$801, 0)+1))&lt;=1181,2,1)))=1,TEXT(INDEX(ERP資料!$G:$G, (MATCH(324, 輔助計算!$G$2:$G$801, 0)+1)),"0.##"),IF(IF(INDEX(ERP資料!$G:$G, (MATCH(324, 輔助計算!$G$2:$G$801, 0)+1))&lt;100, IF(INDEX(ERP資料!$G:$G, (MATCH(324, 輔助計算!$G$2:$G$801, 0)+1))&lt;=31,3,IF(INDEX(ERP資料!$G:$G, (MATCH(324, 輔助計算!$G$2:$G$801, 0)+1))&lt;=46.5,2,1)), IF(INDEX(ERP資料!$G:$G, (MATCH(324, 輔助計算!$G$2:$G$801, 0)+1))&lt;=790,3,IF(INDEX(ERP資料!$G:$G, (MATCH(324, 輔助計算!$G$2:$G$801, 0)+1))&lt;=1181,2,1)))=2,TEXT(INDEX(ERP資料!$G:$G, (MATCH(324, 輔助計算!$G$2:$G$801, 0)+1)),"0.##")&amp;"+"&amp;TEXT(INDEX(ERP資料!$G:$G, (MATCH(324, 輔助計算!$G$2:$G$801, 0)+1)),"0.##"),TEXT(INDEX(ERP資料!$G:$G, (MATCH(324, 輔助計算!$G$2:$G$801, 0)+1)),"0.##")&amp;"+"&amp;TEXT(INDEX(ERP資料!$G:$G, (MATCH(324, 輔助計算!$G$2:$G$801, 0)+1)),"0.##")&amp;"+"&amp;TEXT(INDEX(ERP資料!$G:$G, (MATCH(324, 輔助計算!$G$2:$G$801, 0)+1)),"0.##")))&amp;"-"&amp;INT(INDEX(輔助計算!$D:$D, (MATCH(324, 輔助計算!$G$2:$G$801, 0)+1))/IF(INDEX(ERP資料!$G:$G, (MATCH(324, 輔助計算!$G$2:$G$801, 0)+1))&lt;100, IF(INDEX(ERP資料!$G:$G, (MATCH(324, 輔助計算!$G$2:$G$801, 0)+1))&lt;=31,3,IF(INDEX(ERP資料!$G:$G, (MATCH(324, 輔助計算!$G$2:$G$801, 0)+1))&lt;=46.5,2,1)), IF(INDEX(ERP資料!$G:$G, (MATCH(324, 輔助計算!$G$2:$G$801, 0)+1))&lt;=790,3,IF(INDEX(ERP資料!$G:$G, (MATCH(324, 輔助計算!$G$2:$G$801, 0)+1))&lt;=1181,2,1)))), "")&amp;IF(AND(IF(INT(INDEX(輔助計算!$D:$D, (MATCH(324, 輔助計算!$G$2:$G$801, 0)+1))/IF(INDEX(ERP資料!$G:$G, (MATCH(324, 輔助計算!$G$2:$G$801, 0)+1))&lt;100, IF(INDEX(ERP資料!$G:$G, (MATCH(324, 輔助計算!$G$2:$G$801, 0)+1))&lt;=31,3,IF(INDEX(ERP資料!$G:$G, (MATCH(324, 輔助計算!$G$2:$G$801, 0)+1))&lt;=46.5,2,1)), IF(INDEX(ERP資料!$G:$G, (MATCH(324, 輔助計算!$G$2:$G$801, 0)+1))&lt;=790,3,IF(INDEX(ERP資料!$G:$G, (MATCH(324, 輔助計算!$G$2:$G$801, 0)+1))&lt;=1181,2,1))))&gt;0, IF(IF(INDEX(ERP資料!$G:$G, (MATCH(324, 輔助計算!$G$2:$G$801, 0)+1))&lt;100, IF(INDEX(ERP資料!$G:$G, (MATCH(324, 輔助計算!$G$2:$G$801, 0)+1))&lt;=31,3,IF(INDEX(ERP資料!$G:$G, (MATCH(324, 輔助計算!$G$2:$G$801, 0)+1))&lt;=46.5,2,1)), IF(INDEX(ERP資料!$G:$G, (MATCH(324, 輔助計算!$G$2:$G$801, 0)+1))&lt;=790,3,IF(INDEX(ERP資料!$G:$G, (MATCH(324, 輔助計算!$G$2:$G$801, 0)+1))&lt;=1181,2,1)))=1,TEXT(INDEX(ERP資料!$G:$G, (MATCH(324, 輔助計算!$G$2:$G$801, 0)+1)),"0.##"),IF(IF(INDEX(ERP資料!$G:$G, (MATCH(324, 輔助計算!$G$2:$G$801, 0)+1))&lt;100, IF(INDEX(ERP資料!$G:$G, (MATCH(324, 輔助計算!$G$2:$G$801, 0)+1))&lt;=31,3,IF(INDEX(ERP資料!$G:$G, (MATCH(324, 輔助計算!$G$2:$G$801, 0)+1))&lt;=46.5,2,1)), IF(INDEX(ERP資料!$G:$G, (MATCH(324, 輔助計算!$G$2:$G$801, 0)+1))&lt;=790,3,IF(INDEX(ERP資料!$G:$G, (MATCH(324, 輔助計算!$G$2:$G$801, 0)+1))&lt;=1181,2,1)))=2,TEXT(INDEX(ERP資料!$G:$G, (MATCH(324, 輔助計算!$G$2:$G$801, 0)+1)),"0.##")&amp;"+"&amp;TEXT(INDEX(ERP資料!$G:$G, (MATCH(324, 輔助計算!$G$2:$G$801, 0)+1)),"0.##"),TEXT(INDEX(ERP資料!$G:$G, (MATCH(324, 輔助計算!$G$2:$G$801, 0)+1)),"0.##")&amp;"+"&amp;TEXT(INDEX(ERP資料!$G:$G, (MATCH(324, 輔助計算!$G$2:$G$801, 0)+1)),"0.##")&amp;"+"&amp;TEXT(INDEX(ERP資料!$G:$G, (MATCH(324, 輔助計算!$G$2:$G$801, 0)+1)),"0.##")))&amp;"-"&amp;INT(INDEX(輔助計算!$D:$D, (MATCH(324, 輔助計算!$G$2:$G$801, 0)+1))/IF(INDEX(ERP資料!$G:$G, (MATCH(324, 輔助計算!$G$2:$G$801, 0)+1))&lt;100, IF(INDEX(ERP資料!$G:$G, (MATCH(324, 輔助計算!$G$2:$G$801, 0)+1))&lt;=31,3,IF(INDEX(ERP資料!$G:$G, (MATCH(324, 輔助計算!$G$2:$G$801, 0)+1))&lt;=46.5,2,1)), IF(INDEX(ERP資料!$G:$G, (MATCH(324, 輔助計算!$G$2:$G$801, 0)+1))&lt;=790,3,IF(INDEX(ERP資料!$G:$G, (MATCH(324, 輔助計算!$G$2:$G$801, 0)+1))&lt;=1181,2,1)))), "")&lt;&gt;"",IF(MOD(INDEX(輔助計算!$D:$D, (MATCH(324, 輔助計算!$G$2:$G$801, 0)+1)),IF(INDEX(ERP資料!$G:$G, (MATCH(324, 輔助計算!$G$2:$G$801, 0)+1))&lt;100, IF(INDEX(ERP資料!$G:$G, (MATCH(324, 輔助計算!$G$2:$G$801, 0)+1))&lt;=31,3,IF(INDEX(ERP資料!$G:$G, (MATCH(324, 輔助計算!$G$2:$G$801, 0)+1))&lt;=46.5,2,1)), IF(INDEX(ERP資料!$G:$G, (MATCH(324, 輔助計算!$G$2:$G$801, 0)+1))&lt;=790,3,IF(INDEX(ERP資料!$G:$G, (MATCH(324, 輔助計算!$G$2:$G$801, 0)+1))&lt;=1181,2,1))))=0,"",IF(MOD(INDEX(輔助計算!$D:$D, (MATCH(324, 輔助計算!$G$2:$G$801, 0)+1)),IF(INDEX(ERP資料!$G:$G, (MATCH(324, 輔助計算!$G$2:$G$801, 0)+1))&lt;100, IF(INDEX(ERP資料!$G:$G, (MATCH(324, 輔助計算!$G$2:$G$801, 0)+1))&lt;=31,3,IF(INDEX(ERP資料!$G:$G, (MATCH(324, 輔助計算!$G$2:$G$801, 0)+1))&lt;=46.5,2,1)), IF(INDEX(ERP資料!$G:$G, (MATCH(324, 輔助計算!$G$2:$G$801, 0)+1))&lt;=790,3,IF(INDEX(ERP資料!$G:$G, (MATCH(324, 輔助計算!$G$2:$G$801, 0)+1))&lt;=1181,2,1))))=0,"",IF(MOD(INDEX(輔助計算!$D:$D, (MATCH(324, 輔助計算!$G$2:$G$801, 0)+1)),IF(INDEX(ERP資料!$G:$G, (MATCH(324, 輔助計算!$G$2:$G$801, 0)+1))&lt;100, IF(INDEX(ERP資料!$G:$G, (MATCH(324, 輔助計算!$G$2:$G$801, 0)+1))&lt;=31,3,IF(INDEX(ERP資料!$G:$G, (MATCH(324, 輔助計算!$G$2:$G$801, 0)+1))&lt;=46.5,2,1)), IF(INDEX(ERP資料!$G:$G, (MATCH(324, 輔助計算!$G$2:$G$801, 0)+1))&lt;=790,3,IF(INDEX(ERP資料!$G:$G, (MATCH(324, 輔助計算!$G$2:$G$801, 0)+1))&lt;=1181,2,1))))=1,TEXT(INDEX(ERP資料!$G:$G, (MATCH(324, 輔助計算!$G$2:$G$801, 0)+1)),"0.##"),IF(MOD(INDEX(輔助計算!$D:$D, (MATCH(324, 輔助計算!$G$2:$G$801, 0)+1)),IF(INDEX(ERP資料!$G:$G, (MATCH(324, 輔助計算!$G$2:$G$801, 0)+1))&lt;100, IF(INDEX(ERP資料!$G:$G, (MATCH(324, 輔助計算!$G$2:$G$801, 0)+1))&lt;=31,3,IF(INDEX(ERP資料!$G:$G, (MATCH(324, 輔助計算!$G$2:$G$801, 0)+1))&lt;=46.5,2,1)), IF(INDEX(ERP資料!$G:$G, (MATCH(324, 輔助計算!$G$2:$G$801, 0)+1))&lt;=790,3,IF(INDEX(ERP資料!$G:$G, (MATCH(324, 輔助計算!$G$2:$G$801, 0)+1))&lt;=1181,2,1))))=2,TEXT(INDEX(ERP資料!$G:$G, (MATCH(324, 輔助計算!$G$2:$G$801, 0)+1)),"0.##")&amp;"+"&amp;TEXT(INDEX(ERP資料!$G:$G, (MATCH(324, 輔助計算!$G$2:$G$801, 0)+1)),"0.##"),TEXT(INDEX(ERP資料!$G:$G, (MATCH(324, 輔助計算!$G$2:$G$801, 0)+1)),"0.##")&amp;"+"&amp;TEXT(INDEX(ERP資料!$G:$G, (MATCH(324, 輔助計算!$G$2:$G$801, 0)+1)),"0.##")&amp;"+"&amp;TEXT(INDEX(ERP資料!$G:$G, (MATCH(324, 輔助計算!$G$2:$G$801, 0)+1)),"0.##"))))&amp;"-1")&lt;&gt;""),"  ","")&amp;IF(MOD(INDEX(輔助計算!$D:$D, (MATCH(324, 輔助計算!$G$2:$G$801, 0)+1)),IF(INDEX(ERP資料!$G:$G, (MATCH(324, 輔助計算!$G$2:$G$801, 0)+1))&lt;100, IF(INDEX(ERP資料!$G:$G, (MATCH(324, 輔助計算!$G$2:$G$801, 0)+1))&lt;=31,3,IF(INDEX(ERP資料!$G:$G, (MATCH(324, 輔助計算!$G$2:$G$801, 0)+1))&lt;=46.5,2,1)), IF(INDEX(ERP資料!$G:$G, (MATCH(324, 輔助計算!$G$2:$G$801, 0)+1))&lt;=790,3,IF(INDEX(ERP資料!$G:$G, (MATCH(324, 輔助計算!$G$2:$G$801, 0)+1))&lt;=1181,2,1))))=0,"",IF(MOD(INDEX(輔助計算!$D:$D, (MATCH(324, 輔助計算!$G$2:$G$801, 0)+1)),IF(INDEX(ERP資料!$G:$G, (MATCH(324, 輔助計算!$G$2:$G$801, 0)+1))&lt;100, IF(INDEX(ERP資料!$G:$G, (MATCH(324, 輔助計算!$G$2:$G$801, 0)+1))&lt;=31,3,IF(INDEX(ERP資料!$G:$G, (MATCH(324, 輔助計算!$G$2:$G$801, 0)+1))&lt;=46.5,2,1)), IF(INDEX(ERP資料!$G:$G, (MATCH(324, 輔助計算!$G$2:$G$801, 0)+1))&lt;=790,3,IF(INDEX(ERP資料!$G:$G, (MATCH(324, 輔助計算!$G$2:$G$801, 0)+1))&lt;=1181,2,1))))=0,"",IF(MOD(INDEX(輔助計算!$D:$D, (MATCH(324, 輔助計算!$G$2:$G$801, 0)+1)),IF(INDEX(ERP資料!$G:$G, (MATCH(324, 輔助計算!$G$2:$G$801, 0)+1))&lt;100, IF(INDEX(ERP資料!$G:$G, (MATCH(324, 輔助計算!$G$2:$G$801, 0)+1))&lt;=31,3,IF(INDEX(ERP資料!$G:$G, (MATCH(324, 輔助計算!$G$2:$G$801, 0)+1))&lt;=46.5,2,1)), IF(INDEX(ERP資料!$G:$G, (MATCH(324, 輔助計算!$G$2:$G$801, 0)+1))&lt;=790,3,IF(INDEX(ERP資料!$G:$G, (MATCH(324, 輔助計算!$G$2:$G$801, 0)+1))&lt;=1181,2,1))))=1,TEXT(INDEX(ERP資料!$G:$G, (MATCH(324, 輔助計算!$G$2:$G$801, 0)+1)),"0.##"),IF(MOD(INDEX(輔助計算!$D:$D, (MATCH(324, 輔助計算!$G$2:$G$801, 0)+1)),IF(INDEX(ERP資料!$G:$G, (MATCH(324, 輔助計算!$G$2:$G$801, 0)+1))&lt;100, IF(INDEX(ERP資料!$G:$G, (MATCH(324, 輔助計算!$G$2:$G$801, 0)+1))&lt;=31,3,IF(INDEX(ERP資料!$G:$G, (MATCH(324, 輔助計算!$G$2:$G$801, 0)+1))&lt;=46.5,2,1)), IF(INDEX(ERP資料!$G:$G, (MATCH(324, 輔助計算!$G$2:$G$801, 0)+1))&lt;=790,3,IF(INDEX(ERP資料!$G:$G, (MATCH(324, 輔助計算!$G$2:$G$801, 0)+1))&lt;=1181,2,1))))=2,TEXT(INDEX(ERP資料!$G:$G, (MATCH(324, 輔助計算!$G$2:$G$801, 0)+1)),"0.##")&amp;"+"&amp;TEXT(INDEX(ERP資料!$G:$G, (MATCH(324, 輔助計算!$G$2:$G$801, 0)+1)),"0.##"),TEXT(INDEX(ERP資料!$G:$G, (MATCH(324, 輔助計算!$G$2:$G$801, 0)+1)),"0.##")&amp;"+"&amp;TEXT(INDEX(ERP資料!$G:$G, (MATCH(324, 輔助計算!$G$2:$G$801, 0)+1)),"0.##")&amp;"+"&amp;TEXT(INDEX(ERP資料!$G:$G, (MATCH(324, 輔助計算!$G$2:$G$801, 0)+1)),"0.##"))))&amp;"-1")), ""), "")</f>
        <v/>
      </c>
      <c r="K325" s="16" t="n"/>
      <c r="L325" s="14">
        <f>IFERROR(IF(AND(IFERROR(INDEX(ERP資料!$A:$A, (MATCH(324, 輔助計算!$G$2:$G$801, 0)+1)), "")&lt;&gt;"", IFERROR(INDEX(ERP資料!$A:$A, (MATCH(324, 輔助計算!$G$2:$G$801, 0)+1)), "")&lt;&gt;IFERROR(INDEX(ERP資料!$A:$A, MATCH(323, 輔助計算!$G$2:$G$801, 0)+1), "")), INDEX(ERP資料!$B:$B, (MATCH(324, 輔助計算!$G$2:$G$801, 0)+1)), ""), "")</f>
        <v/>
      </c>
      <c r="M325" s="17" t="n"/>
    </row>
    <row r="326">
      <c r="A326" s="10">
        <f>IFERROR(IF(AND(IFERROR(INDEX(ERP資料!$A:$A, (MATCH(325, 輔助計算!$G$2:$G$801, 0)+1)), "")&lt;&gt;"", IFERROR(INDEX(ERP資料!$A:$A, (MATCH(325, 輔助計算!$G$2:$G$801, 0)+1)), "")&lt;&gt;IFERROR(INDEX(ERP資料!$A:$A, MATCH(324, 輔助計算!$G$2:$G$801, 0)+1), "")), IFERROR(INDEX(ERP資料!$A:$A, (MATCH(325, 輔助計算!$G$2:$G$801, 0)+1)), ""), ""), "")</f>
        <v/>
      </c>
      <c r="B326" s="10">
        <f>IFERROR(IF(AND(IFERROR(INDEX(ERP資料!$A:$A, (MATCH(325, 輔助計算!$G$2:$G$801, 0)+1)), "")&lt;&gt;"", IFERROR(INDEX(ERP資料!$A:$A, (MATCH(325, 輔助計算!$G$2:$G$801, 0)+1)), "")&lt;&gt;IFERROR(INDEX(ERP資料!$A:$A, MATCH(324, 輔助計算!$G$2:$G$801, 0)+1), "")), INDEX(ERP資料!$S:$S, (MATCH(325, 輔助計算!$G$2:$G$801, 0)+1)), ""), "")</f>
        <v/>
      </c>
      <c r="C326" s="19">
        <f>IFERROR(IF(AND(IFERROR(INDEX(ERP資料!$A:$A, (MATCH(325, 輔助計算!$G$2:$G$801, 0)+1)), "")&lt;&gt;"", IFERROR(INDEX(ERP資料!$A:$A, (MATCH(325, 輔助計算!$G$2:$G$801, 0)+1)), "")&lt;&gt;IFERROR(INDEX(ERP資料!$A:$A, MATCH(324, 輔助計算!$G$2:$G$801, 0)+1), "")), IFERROR(VLOOKUP(LEFT(INDEX(ERP資料!$S:$S, (MATCH(325, 輔助計算!$G$2:$G$801, 0)+1)), 4), 紙管對照表!$A:$C, 3, FALSE), ""), ""), "")</f>
        <v/>
      </c>
      <c r="D326" s="16" t="n"/>
      <c r="E326" s="10">
        <f>IFERROR(IF(INDEX(ERP資料!$H:$H, (MATCH(325, 輔助計算!$G$2:$G$801, 0)+1))="","",INDEX(ERP資料!$H:$H, (MATCH(325, 輔助計算!$G$2:$G$801, 0)+1))), "")</f>
        <v/>
      </c>
      <c r="F326" s="10">
        <f>IFERROR(IF(INDEX(ERP資料!$E:$E, (MATCH(325, 輔助計算!$G$2:$G$801, 0)+1))="","",TRIM(INDEX(ERP資料!$E:$E, (MATCH(325, 輔助計算!$G$2:$G$801, 0)+1)))), "")</f>
        <v/>
      </c>
      <c r="G326" s="10">
        <f>IFERROR(IF(INDEX(ERP資料!$F:$F, (MATCH(325, 輔助計算!$G$2:$G$801, 0)+1))="","",INDEX(ERP資料!$F:$F, (MATCH(325, 輔助計算!$G$2:$G$801, 0)+1))), "")</f>
        <v/>
      </c>
      <c r="H326" s="10">
        <f>IFERROR(IF(INDEX(ERP資料!$G:$G, (MATCH(325, 輔助計算!$G$2:$G$801, 0)+1))="","",INDEX(ERP資料!$G:$G, (MATCH(325, 輔助計算!$G$2:$G$801, 0)+1))), "")</f>
        <v/>
      </c>
      <c r="I326" s="15">
        <f>IFERROR(INDEX(輔助計算!$D:$D, (MATCH(325, 輔助計算!$G$2:$G$801, 0)+1)), "")</f>
        <v/>
      </c>
      <c r="J326" s="15">
        <f>IFERROR(IF(AND(INDEX(輔助計算!$D:$D, (MATCH(325, 輔助計算!$G$2:$G$801, 0)+1))&lt;&gt;"", INDEX(ERP資料!$G:$G, (MATCH(325, 輔助計算!$G$2:$G$801, 0)+1))&lt;&gt;""), TRIM(IF(INT(INDEX(輔助計算!$D:$D, (MATCH(325, 輔助計算!$G$2:$G$801, 0)+1))/IF(INDEX(ERP資料!$G:$G, (MATCH(325, 輔助計算!$G$2:$G$801, 0)+1))&lt;100, IF(INDEX(ERP資料!$G:$G, (MATCH(325, 輔助計算!$G$2:$G$801, 0)+1))&lt;=31,3,IF(INDEX(ERP資料!$G:$G, (MATCH(325, 輔助計算!$G$2:$G$801, 0)+1))&lt;=46.5,2,1)), IF(INDEX(ERP資料!$G:$G, (MATCH(325, 輔助計算!$G$2:$G$801, 0)+1))&lt;=790,3,IF(INDEX(ERP資料!$G:$G, (MATCH(325, 輔助計算!$G$2:$G$801, 0)+1))&lt;=1181,2,1))))&gt;0, IF(IF(INDEX(ERP資料!$G:$G, (MATCH(325, 輔助計算!$G$2:$G$801, 0)+1))&lt;100, IF(INDEX(ERP資料!$G:$G, (MATCH(325, 輔助計算!$G$2:$G$801, 0)+1))&lt;=31,3,IF(INDEX(ERP資料!$G:$G, (MATCH(325, 輔助計算!$G$2:$G$801, 0)+1))&lt;=46.5,2,1)), IF(INDEX(ERP資料!$G:$G, (MATCH(325, 輔助計算!$G$2:$G$801, 0)+1))&lt;=790,3,IF(INDEX(ERP資料!$G:$G, (MATCH(325, 輔助計算!$G$2:$G$801, 0)+1))&lt;=1181,2,1)))=1,TEXT(INDEX(ERP資料!$G:$G, (MATCH(325, 輔助計算!$G$2:$G$801, 0)+1)),"0.##"),IF(IF(INDEX(ERP資料!$G:$G, (MATCH(325, 輔助計算!$G$2:$G$801, 0)+1))&lt;100, IF(INDEX(ERP資料!$G:$G, (MATCH(325, 輔助計算!$G$2:$G$801, 0)+1))&lt;=31,3,IF(INDEX(ERP資料!$G:$G, (MATCH(325, 輔助計算!$G$2:$G$801, 0)+1))&lt;=46.5,2,1)), IF(INDEX(ERP資料!$G:$G, (MATCH(325, 輔助計算!$G$2:$G$801, 0)+1))&lt;=790,3,IF(INDEX(ERP資料!$G:$G, (MATCH(325, 輔助計算!$G$2:$G$801, 0)+1))&lt;=1181,2,1)))=2,TEXT(INDEX(ERP資料!$G:$G, (MATCH(325, 輔助計算!$G$2:$G$801, 0)+1)),"0.##")&amp;"+"&amp;TEXT(INDEX(ERP資料!$G:$G, (MATCH(325, 輔助計算!$G$2:$G$801, 0)+1)),"0.##"),TEXT(INDEX(ERP資料!$G:$G, (MATCH(325, 輔助計算!$G$2:$G$801, 0)+1)),"0.##")&amp;"+"&amp;TEXT(INDEX(ERP資料!$G:$G, (MATCH(325, 輔助計算!$G$2:$G$801, 0)+1)),"0.##")&amp;"+"&amp;TEXT(INDEX(ERP資料!$G:$G, (MATCH(325, 輔助計算!$G$2:$G$801, 0)+1)),"0.##")))&amp;"-"&amp;INT(INDEX(輔助計算!$D:$D, (MATCH(325, 輔助計算!$G$2:$G$801, 0)+1))/IF(INDEX(ERP資料!$G:$G, (MATCH(325, 輔助計算!$G$2:$G$801, 0)+1))&lt;100, IF(INDEX(ERP資料!$G:$G, (MATCH(325, 輔助計算!$G$2:$G$801, 0)+1))&lt;=31,3,IF(INDEX(ERP資料!$G:$G, (MATCH(325, 輔助計算!$G$2:$G$801, 0)+1))&lt;=46.5,2,1)), IF(INDEX(ERP資料!$G:$G, (MATCH(325, 輔助計算!$G$2:$G$801, 0)+1))&lt;=790,3,IF(INDEX(ERP資料!$G:$G, (MATCH(325, 輔助計算!$G$2:$G$801, 0)+1))&lt;=1181,2,1)))), "")&amp;IF(AND(IF(INT(INDEX(輔助計算!$D:$D, (MATCH(325, 輔助計算!$G$2:$G$801, 0)+1))/IF(INDEX(ERP資料!$G:$G, (MATCH(325, 輔助計算!$G$2:$G$801, 0)+1))&lt;100, IF(INDEX(ERP資料!$G:$G, (MATCH(325, 輔助計算!$G$2:$G$801, 0)+1))&lt;=31,3,IF(INDEX(ERP資料!$G:$G, (MATCH(325, 輔助計算!$G$2:$G$801, 0)+1))&lt;=46.5,2,1)), IF(INDEX(ERP資料!$G:$G, (MATCH(325, 輔助計算!$G$2:$G$801, 0)+1))&lt;=790,3,IF(INDEX(ERP資料!$G:$G, (MATCH(325, 輔助計算!$G$2:$G$801, 0)+1))&lt;=1181,2,1))))&gt;0, IF(IF(INDEX(ERP資料!$G:$G, (MATCH(325, 輔助計算!$G$2:$G$801, 0)+1))&lt;100, IF(INDEX(ERP資料!$G:$G, (MATCH(325, 輔助計算!$G$2:$G$801, 0)+1))&lt;=31,3,IF(INDEX(ERP資料!$G:$G, (MATCH(325, 輔助計算!$G$2:$G$801, 0)+1))&lt;=46.5,2,1)), IF(INDEX(ERP資料!$G:$G, (MATCH(325, 輔助計算!$G$2:$G$801, 0)+1))&lt;=790,3,IF(INDEX(ERP資料!$G:$G, (MATCH(325, 輔助計算!$G$2:$G$801, 0)+1))&lt;=1181,2,1)))=1,TEXT(INDEX(ERP資料!$G:$G, (MATCH(325, 輔助計算!$G$2:$G$801, 0)+1)),"0.##"),IF(IF(INDEX(ERP資料!$G:$G, (MATCH(325, 輔助計算!$G$2:$G$801, 0)+1))&lt;100, IF(INDEX(ERP資料!$G:$G, (MATCH(325, 輔助計算!$G$2:$G$801, 0)+1))&lt;=31,3,IF(INDEX(ERP資料!$G:$G, (MATCH(325, 輔助計算!$G$2:$G$801, 0)+1))&lt;=46.5,2,1)), IF(INDEX(ERP資料!$G:$G, (MATCH(325, 輔助計算!$G$2:$G$801, 0)+1))&lt;=790,3,IF(INDEX(ERP資料!$G:$G, (MATCH(325, 輔助計算!$G$2:$G$801, 0)+1))&lt;=1181,2,1)))=2,TEXT(INDEX(ERP資料!$G:$G, (MATCH(325, 輔助計算!$G$2:$G$801, 0)+1)),"0.##")&amp;"+"&amp;TEXT(INDEX(ERP資料!$G:$G, (MATCH(325, 輔助計算!$G$2:$G$801, 0)+1)),"0.##"),TEXT(INDEX(ERP資料!$G:$G, (MATCH(325, 輔助計算!$G$2:$G$801, 0)+1)),"0.##")&amp;"+"&amp;TEXT(INDEX(ERP資料!$G:$G, (MATCH(325, 輔助計算!$G$2:$G$801, 0)+1)),"0.##")&amp;"+"&amp;TEXT(INDEX(ERP資料!$G:$G, (MATCH(325, 輔助計算!$G$2:$G$801, 0)+1)),"0.##")))&amp;"-"&amp;INT(INDEX(輔助計算!$D:$D, (MATCH(325, 輔助計算!$G$2:$G$801, 0)+1))/IF(INDEX(ERP資料!$G:$G, (MATCH(325, 輔助計算!$G$2:$G$801, 0)+1))&lt;100, IF(INDEX(ERP資料!$G:$G, (MATCH(325, 輔助計算!$G$2:$G$801, 0)+1))&lt;=31,3,IF(INDEX(ERP資料!$G:$G, (MATCH(325, 輔助計算!$G$2:$G$801, 0)+1))&lt;=46.5,2,1)), IF(INDEX(ERP資料!$G:$G, (MATCH(325, 輔助計算!$G$2:$G$801, 0)+1))&lt;=790,3,IF(INDEX(ERP資料!$G:$G, (MATCH(325, 輔助計算!$G$2:$G$801, 0)+1))&lt;=1181,2,1)))), "")&lt;&gt;"",IF(MOD(INDEX(輔助計算!$D:$D, (MATCH(325, 輔助計算!$G$2:$G$801, 0)+1)),IF(INDEX(ERP資料!$G:$G, (MATCH(325, 輔助計算!$G$2:$G$801, 0)+1))&lt;100, IF(INDEX(ERP資料!$G:$G, (MATCH(325, 輔助計算!$G$2:$G$801, 0)+1))&lt;=31,3,IF(INDEX(ERP資料!$G:$G, (MATCH(325, 輔助計算!$G$2:$G$801, 0)+1))&lt;=46.5,2,1)), IF(INDEX(ERP資料!$G:$G, (MATCH(325, 輔助計算!$G$2:$G$801, 0)+1))&lt;=790,3,IF(INDEX(ERP資料!$G:$G, (MATCH(325, 輔助計算!$G$2:$G$801, 0)+1))&lt;=1181,2,1))))=0,"",IF(MOD(INDEX(輔助計算!$D:$D, (MATCH(325, 輔助計算!$G$2:$G$801, 0)+1)),IF(INDEX(ERP資料!$G:$G, (MATCH(325, 輔助計算!$G$2:$G$801, 0)+1))&lt;100, IF(INDEX(ERP資料!$G:$G, (MATCH(325, 輔助計算!$G$2:$G$801, 0)+1))&lt;=31,3,IF(INDEX(ERP資料!$G:$G, (MATCH(325, 輔助計算!$G$2:$G$801, 0)+1))&lt;=46.5,2,1)), IF(INDEX(ERP資料!$G:$G, (MATCH(325, 輔助計算!$G$2:$G$801, 0)+1))&lt;=790,3,IF(INDEX(ERP資料!$G:$G, (MATCH(325, 輔助計算!$G$2:$G$801, 0)+1))&lt;=1181,2,1))))=0,"",IF(MOD(INDEX(輔助計算!$D:$D, (MATCH(325, 輔助計算!$G$2:$G$801, 0)+1)),IF(INDEX(ERP資料!$G:$G, (MATCH(325, 輔助計算!$G$2:$G$801, 0)+1))&lt;100, IF(INDEX(ERP資料!$G:$G, (MATCH(325, 輔助計算!$G$2:$G$801, 0)+1))&lt;=31,3,IF(INDEX(ERP資料!$G:$G, (MATCH(325, 輔助計算!$G$2:$G$801, 0)+1))&lt;=46.5,2,1)), IF(INDEX(ERP資料!$G:$G, (MATCH(325, 輔助計算!$G$2:$G$801, 0)+1))&lt;=790,3,IF(INDEX(ERP資料!$G:$G, (MATCH(325, 輔助計算!$G$2:$G$801, 0)+1))&lt;=1181,2,1))))=1,TEXT(INDEX(ERP資料!$G:$G, (MATCH(325, 輔助計算!$G$2:$G$801, 0)+1)),"0.##"),IF(MOD(INDEX(輔助計算!$D:$D, (MATCH(325, 輔助計算!$G$2:$G$801, 0)+1)),IF(INDEX(ERP資料!$G:$G, (MATCH(325, 輔助計算!$G$2:$G$801, 0)+1))&lt;100, IF(INDEX(ERP資料!$G:$G, (MATCH(325, 輔助計算!$G$2:$G$801, 0)+1))&lt;=31,3,IF(INDEX(ERP資料!$G:$G, (MATCH(325, 輔助計算!$G$2:$G$801, 0)+1))&lt;=46.5,2,1)), IF(INDEX(ERP資料!$G:$G, (MATCH(325, 輔助計算!$G$2:$G$801, 0)+1))&lt;=790,3,IF(INDEX(ERP資料!$G:$G, (MATCH(325, 輔助計算!$G$2:$G$801, 0)+1))&lt;=1181,2,1))))=2,TEXT(INDEX(ERP資料!$G:$G, (MATCH(325, 輔助計算!$G$2:$G$801, 0)+1)),"0.##")&amp;"+"&amp;TEXT(INDEX(ERP資料!$G:$G, (MATCH(325, 輔助計算!$G$2:$G$801, 0)+1)),"0.##"),TEXT(INDEX(ERP資料!$G:$G, (MATCH(325, 輔助計算!$G$2:$G$801, 0)+1)),"0.##")&amp;"+"&amp;TEXT(INDEX(ERP資料!$G:$G, (MATCH(325, 輔助計算!$G$2:$G$801, 0)+1)),"0.##")&amp;"+"&amp;TEXT(INDEX(ERP資料!$G:$G, (MATCH(325, 輔助計算!$G$2:$G$801, 0)+1)),"0.##"))))&amp;"-1")&lt;&gt;""),"  ","")&amp;IF(MOD(INDEX(輔助計算!$D:$D, (MATCH(325, 輔助計算!$G$2:$G$801, 0)+1)),IF(INDEX(ERP資料!$G:$G, (MATCH(325, 輔助計算!$G$2:$G$801, 0)+1))&lt;100, IF(INDEX(ERP資料!$G:$G, (MATCH(325, 輔助計算!$G$2:$G$801, 0)+1))&lt;=31,3,IF(INDEX(ERP資料!$G:$G, (MATCH(325, 輔助計算!$G$2:$G$801, 0)+1))&lt;=46.5,2,1)), IF(INDEX(ERP資料!$G:$G, (MATCH(325, 輔助計算!$G$2:$G$801, 0)+1))&lt;=790,3,IF(INDEX(ERP資料!$G:$G, (MATCH(325, 輔助計算!$G$2:$G$801, 0)+1))&lt;=1181,2,1))))=0,"",IF(MOD(INDEX(輔助計算!$D:$D, (MATCH(325, 輔助計算!$G$2:$G$801, 0)+1)),IF(INDEX(ERP資料!$G:$G, (MATCH(325, 輔助計算!$G$2:$G$801, 0)+1))&lt;100, IF(INDEX(ERP資料!$G:$G, (MATCH(325, 輔助計算!$G$2:$G$801, 0)+1))&lt;=31,3,IF(INDEX(ERP資料!$G:$G, (MATCH(325, 輔助計算!$G$2:$G$801, 0)+1))&lt;=46.5,2,1)), IF(INDEX(ERP資料!$G:$G, (MATCH(325, 輔助計算!$G$2:$G$801, 0)+1))&lt;=790,3,IF(INDEX(ERP資料!$G:$G, (MATCH(325, 輔助計算!$G$2:$G$801, 0)+1))&lt;=1181,2,1))))=0,"",IF(MOD(INDEX(輔助計算!$D:$D, (MATCH(325, 輔助計算!$G$2:$G$801, 0)+1)),IF(INDEX(ERP資料!$G:$G, (MATCH(325, 輔助計算!$G$2:$G$801, 0)+1))&lt;100, IF(INDEX(ERP資料!$G:$G, (MATCH(325, 輔助計算!$G$2:$G$801, 0)+1))&lt;=31,3,IF(INDEX(ERP資料!$G:$G, (MATCH(325, 輔助計算!$G$2:$G$801, 0)+1))&lt;=46.5,2,1)), IF(INDEX(ERP資料!$G:$G, (MATCH(325, 輔助計算!$G$2:$G$801, 0)+1))&lt;=790,3,IF(INDEX(ERP資料!$G:$G, (MATCH(325, 輔助計算!$G$2:$G$801, 0)+1))&lt;=1181,2,1))))=1,TEXT(INDEX(ERP資料!$G:$G, (MATCH(325, 輔助計算!$G$2:$G$801, 0)+1)),"0.##"),IF(MOD(INDEX(輔助計算!$D:$D, (MATCH(325, 輔助計算!$G$2:$G$801, 0)+1)),IF(INDEX(ERP資料!$G:$G, (MATCH(325, 輔助計算!$G$2:$G$801, 0)+1))&lt;100, IF(INDEX(ERP資料!$G:$G, (MATCH(325, 輔助計算!$G$2:$G$801, 0)+1))&lt;=31,3,IF(INDEX(ERP資料!$G:$G, (MATCH(325, 輔助計算!$G$2:$G$801, 0)+1))&lt;=46.5,2,1)), IF(INDEX(ERP資料!$G:$G, (MATCH(325, 輔助計算!$G$2:$G$801, 0)+1))&lt;=790,3,IF(INDEX(ERP資料!$G:$G, (MATCH(325, 輔助計算!$G$2:$G$801, 0)+1))&lt;=1181,2,1))))=2,TEXT(INDEX(ERP資料!$G:$G, (MATCH(325, 輔助計算!$G$2:$G$801, 0)+1)),"0.##")&amp;"+"&amp;TEXT(INDEX(ERP資料!$G:$G, (MATCH(325, 輔助計算!$G$2:$G$801, 0)+1)),"0.##"),TEXT(INDEX(ERP資料!$G:$G, (MATCH(325, 輔助計算!$G$2:$G$801, 0)+1)),"0.##")&amp;"+"&amp;TEXT(INDEX(ERP資料!$G:$G, (MATCH(325, 輔助計算!$G$2:$G$801, 0)+1)),"0.##")&amp;"+"&amp;TEXT(INDEX(ERP資料!$G:$G, (MATCH(325, 輔助計算!$G$2:$G$801, 0)+1)),"0.##"))))&amp;"-1")), ""), "")</f>
        <v/>
      </c>
      <c r="K326" s="16" t="n"/>
      <c r="L326" s="14">
        <f>IFERROR(IF(AND(IFERROR(INDEX(ERP資料!$A:$A, (MATCH(325, 輔助計算!$G$2:$G$801, 0)+1)), "")&lt;&gt;"", IFERROR(INDEX(ERP資料!$A:$A, (MATCH(325, 輔助計算!$G$2:$G$801, 0)+1)), "")&lt;&gt;IFERROR(INDEX(ERP資料!$A:$A, MATCH(324, 輔助計算!$G$2:$G$801, 0)+1), "")), INDEX(ERP資料!$B:$B, (MATCH(325, 輔助計算!$G$2:$G$801, 0)+1)), ""), "")</f>
        <v/>
      </c>
      <c r="M326" s="17" t="n"/>
    </row>
    <row r="327">
      <c r="A327" s="10">
        <f>IFERROR(IF(AND(IFERROR(INDEX(ERP資料!$A:$A, (MATCH(326, 輔助計算!$G$2:$G$801, 0)+1)), "")&lt;&gt;"", IFERROR(INDEX(ERP資料!$A:$A, (MATCH(326, 輔助計算!$G$2:$G$801, 0)+1)), "")&lt;&gt;IFERROR(INDEX(ERP資料!$A:$A, MATCH(325, 輔助計算!$G$2:$G$801, 0)+1), "")), IFERROR(INDEX(ERP資料!$A:$A, (MATCH(326, 輔助計算!$G$2:$G$801, 0)+1)), ""), ""), "")</f>
        <v/>
      </c>
      <c r="B327" s="10">
        <f>IFERROR(IF(AND(IFERROR(INDEX(ERP資料!$A:$A, (MATCH(326, 輔助計算!$G$2:$G$801, 0)+1)), "")&lt;&gt;"", IFERROR(INDEX(ERP資料!$A:$A, (MATCH(326, 輔助計算!$G$2:$G$801, 0)+1)), "")&lt;&gt;IFERROR(INDEX(ERP資料!$A:$A, MATCH(325, 輔助計算!$G$2:$G$801, 0)+1), "")), INDEX(ERP資料!$S:$S, (MATCH(326, 輔助計算!$G$2:$G$801, 0)+1)), ""), "")</f>
        <v/>
      </c>
      <c r="C327" s="19">
        <f>IFERROR(IF(AND(IFERROR(INDEX(ERP資料!$A:$A, (MATCH(326, 輔助計算!$G$2:$G$801, 0)+1)), "")&lt;&gt;"", IFERROR(INDEX(ERP資料!$A:$A, (MATCH(326, 輔助計算!$G$2:$G$801, 0)+1)), "")&lt;&gt;IFERROR(INDEX(ERP資料!$A:$A, MATCH(325, 輔助計算!$G$2:$G$801, 0)+1), "")), IFERROR(VLOOKUP(LEFT(INDEX(ERP資料!$S:$S, (MATCH(326, 輔助計算!$G$2:$G$801, 0)+1)), 4), 紙管對照表!$A:$C, 3, FALSE), ""), ""), "")</f>
        <v/>
      </c>
      <c r="D327" s="16" t="n"/>
      <c r="E327" s="10">
        <f>IFERROR(IF(INDEX(ERP資料!$H:$H, (MATCH(326, 輔助計算!$G$2:$G$801, 0)+1))="","",INDEX(ERP資料!$H:$H, (MATCH(326, 輔助計算!$G$2:$G$801, 0)+1))), "")</f>
        <v/>
      </c>
      <c r="F327" s="10">
        <f>IFERROR(IF(INDEX(ERP資料!$E:$E, (MATCH(326, 輔助計算!$G$2:$G$801, 0)+1))="","",TRIM(INDEX(ERP資料!$E:$E, (MATCH(326, 輔助計算!$G$2:$G$801, 0)+1)))), "")</f>
        <v/>
      </c>
      <c r="G327" s="10">
        <f>IFERROR(IF(INDEX(ERP資料!$F:$F, (MATCH(326, 輔助計算!$G$2:$G$801, 0)+1))="","",INDEX(ERP資料!$F:$F, (MATCH(326, 輔助計算!$G$2:$G$801, 0)+1))), "")</f>
        <v/>
      </c>
      <c r="H327" s="10">
        <f>IFERROR(IF(INDEX(ERP資料!$G:$G, (MATCH(326, 輔助計算!$G$2:$G$801, 0)+1))="","",INDEX(ERP資料!$G:$G, (MATCH(326, 輔助計算!$G$2:$G$801, 0)+1))), "")</f>
        <v/>
      </c>
      <c r="I327" s="15">
        <f>IFERROR(INDEX(輔助計算!$D:$D, (MATCH(326, 輔助計算!$G$2:$G$801, 0)+1)), "")</f>
        <v/>
      </c>
      <c r="J327" s="15">
        <f>IFERROR(IF(AND(INDEX(輔助計算!$D:$D, (MATCH(326, 輔助計算!$G$2:$G$801, 0)+1))&lt;&gt;"", INDEX(ERP資料!$G:$G, (MATCH(326, 輔助計算!$G$2:$G$801, 0)+1))&lt;&gt;""), TRIM(IF(INT(INDEX(輔助計算!$D:$D, (MATCH(326, 輔助計算!$G$2:$G$801, 0)+1))/IF(INDEX(ERP資料!$G:$G, (MATCH(326, 輔助計算!$G$2:$G$801, 0)+1))&lt;100, IF(INDEX(ERP資料!$G:$G, (MATCH(326, 輔助計算!$G$2:$G$801, 0)+1))&lt;=31,3,IF(INDEX(ERP資料!$G:$G, (MATCH(326, 輔助計算!$G$2:$G$801, 0)+1))&lt;=46.5,2,1)), IF(INDEX(ERP資料!$G:$G, (MATCH(326, 輔助計算!$G$2:$G$801, 0)+1))&lt;=790,3,IF(INDEX(ERP資料!$G:$G, (MATCH(326, 輔助計算!$G$2:$G$801, 0)+1))&lt;=1181,2,1))))&gt;0, IF(IF(INDEX(ERP資料!$G:$G, (MATCH(326, 輔助計算!$G$2:$G$801, 0)+1))&lt;100, IF(INDEX(ERP資料!$G:$G, (MATCH(326, 輔助計算!$G$2:$G$801, 0)+1))&lt;=31,3,IF(INDEX(ERP資料!$G:$G, (MATCH(326, 輔助計算!$G$2:$G$801, 0)+1))&lt;=46.5,2,1)), IF(INDEX(ERP資料!$G:$G, (MATCH(326, 輔助計算!$G$2:$G$801, 0)+1))&lt;=790,3,IF(INDEX(ERP資料!$G:$G, (MATCH(326, 輔助計算!$G$2:$G$801, 0)+1))&lt;=1181,2,1)))=1,TEXT(INDEX(ERP資料!$G:$G, (MATCH(326, 輔助計算!$G$2:$G$801, 0)+1)),"0.##"),IF(IF(INDEX(ERP資料!$G:$G, (MATCH(326, 輔助計算!$G$2:$G$801, 0)+1))&lt;100, IF(INDEX(ERP資料!$G:$G, (MATCH(326, 輔助計算!$G$2:$G$801, 0)+1))&lt;=31,3,IF(INDEX(ERP資料!$G:$G, (MATCH(326, 輔助計算!$G$2:$G$801, 0)+1))&lt;=46.5,2,1)), IF(INDEX(ERP資料!$G:$G, (MATCH(326, 輔助計算!$G$2:$G$801, 0)+1))&lt;=790,3,IF(INDEX(ERP資料!$G:$G, (MATCH(326, 輔助計算!$G$2:$G$801, 0)+1))&lt;=1181,2,1)))=2,TEXT(INDEX(ERP資料!$G:$G, (MATCH(326, 輔助計算!$G$2:$G$801, 0)+1)),"0.##")&amp;"+"&amp;TEXT(INDEX(ERP資料!$G:$G, (MATCH(326, 輔助計算!$G$2:$G$801, 0)+1)),"0.##"),TEXT(INDEX(ERP資料!$G:$G, (MATCH(326, 輔助計算!$G$2:$G$801, 0)+1)),"0.##")&amp;"+"&amp;TEXT(INDEX(ERP資料!$G:$G, (MATCH(326, 輔助計算!$G$2:$G$801, 0)+1)),"0.##")&amp;"+"&amp;TEXT(INDEX(ERP資料!$G:$G, (MATCH(326, 輔助計算!$G$2:$G$801, 0)+1)),"0.##")))&amp;"-"&amp;INT(INDEX(輔助計算!$D:$D, (MATCH(326, 輔助計算!$G$2:$G$801, 0)+1))/IF(INDEX(ERP資料!$G:$G, (MATCH(326, 輔助計算!$G$2:$G$801, 0)+1))&lt;100, IF(INDEX(ERP資料!$G:$G, (MATCH(326, 輔助計算!$G$2:$G$801, 0)+1))&lt;=31,3,IF(INDEX(ERP資料!$G:$G, (MATCH(326, 輔助計算!$G$2:$G$801, 0)+1))&lt;=46.5,2,1)), IF(INDEX(ERP資料!$G:$G, (MATCH(326, 輔助計算!$G$2:$G$801, 0)+1))&lt;=790,3,IF(INDEX(ERP資料!$G:$G, (MATCH(326, 輔助計算!$G$2:$G$801, 0)+1))&lt;=1181,2,1)))), "")&amp;IF(AND(IF(INT(INDEX(輔助計算!$D:$D, (MATCH(326, 輔助計算!$G$2:$G$801, 0)+1))/IF(INDEX(ERP資料!$G:$G, (MATCH(326, 輔助計算!$G$2:$G$801, 0)+1))&lt;100, IF(INDEX(ERP資料!$G:$G, (MATCH(326, 輔助計算!$G$2:$G$801, 0)+1))&lt;=31,3,IF(INDEX(ERP資料!$G:$G, (MATCH(326, 輔助計算!$G$2:$G$801, 0)+1))&lt;=46.5,2,1)), IF(INDEX(ERP資料!$G:$G, (MATCH(326, 輔助計算!$G$2:$G$801, 0)+1))&lt;=790,3,IF(INDEX(ERP資料!$G:$G, (MATCH(326, 輔助計算!$G$2:$G$801, 0)+1))&lt;=1181,2,1))))&gt;0, IF(IF(INDEX(ERP資料!$G:$G, (MATCH(326, 輔助計算!$G$2:$G$801, 0)+1))&lt;100, IF(INDEX(ERP資料!$G:$G, (MATCH(326, 輔助計算!$G$2:$G$801, 0)+1))&lt;=31,3,IF(INDEX(ERP資料!$G:$G, (MATCH(326, 輔助計算!$G$2:$G$801, 0)+1))&lt;=46.5,2,1)), IF(INDEX(ERP資料!$G:$G, (MATCH(326, 輔助計算!$G$2:$G$801, 0)+1))&lt;=790,3,IF(INDEX(ERP資料!$G:$G, (MATCH(326, 輔助計算!$G$2:$G$801, 0)+1))&lt;=1181,2,1)))=1,TEXT(INDEX(ERP資料!$G:$G, (MATCH(326, 輔助計算!$G$2:$G$801, 0)+1)),"0.##"),IF(IF(INDEX(ERP資料!$G:$G, (MATCH(326, 輔助計算!$G$2:$G$801, 0)+1))&lt;100, IF(INDEX(ERP資料!$G:$G, (MATCH(326, 輔助計算!$G$2:$G$801, 0)+1))&lt;=31,3,IF(INDEX(ERP資料!$G:$G, (MATCH(326, 輔助計算!$G$2:$G$801, 0)+1))&lt;=46.5,2,1)), IF(INDEX(ERP資料!$G:$G, (MATCH(326, 輔助計算!$G$2:$G$801, 0)+1))&lt;=790,3,IF(INDEX(ERP資料!$G:$G, (MATCH(326, 輔助計算!$G$2:$G$801, 0)+1))&lt;=1181,2,1)))=2,TEXT(INDEX(ERP資料!$G:$G, (MATCH(326, 輔助計算!$G$2:$G$801, 0)+1)),"0.##")&amp;"+"&amp;TEXT(INDEX(ERP資料!$G:$G, (MATCH(326, 輔助計算!$G$2:$G$801, 0)+1)),"0.##"),TEXT(INDEX(ERP資料!$G:$G, (MATCH(326, 輔助計算!$G$2:$G$801, 0)+1)),"0.##")&amp;"+"&amp;TEXT(INDEX(ERP資料!$G:$G, (MATCH(326, 輔助計算!$G$2:$G$801, 0)+1)),"0.##")&amp;"+"&amp;TEXT(INDEX(ERP資料!$G:$G, (MATCH(326, 輔助計算!$G$2:$G$801, 0)+1)),"0.##")))&amp;"-"&amp;INT(INDEX(輔助計算!$D:$D, (MATCH(326, 輔助計算!$G$2:$G$801, 0)+1))/IF(INDEX(ERP資料!$G:$G, (MATCH(326, 輔助計算!$G$2:$G$801, 0)+1))&lt;100, IF(INDEX(ERP資料!$G:$G, (MATCH(326, 輔助計算!$G$2:$G$801, 0)+1))&lt;=31,3,IF(INDEX(ERP資料!$G:$G, (MATCH(326, 輔助計算!$G$2:$G$801, 0)+1))&lt;=46.5,2,1)), IF(INDEX(ERP資料!$G:$G, (MATCH(326, 輔助計算!$G$2:$G$801, 0)+1))&lt;=790,3,IF(INDEX(ERP資料!$G:$G, (MATCH(326, 輔助計算!$G$2:$G$801, 0)+1))&lt;=1181,2,1)))), "")&lt;&gt;"",IF(MOD(INDEX(輔助計算!$D:$D, (MATCH(326, 輔助計算!$G$2:$G$801, 0)+1)),IF(INDEX(ERP資料!$G:$G, (MATCH(326, 輔助計算!$G$2:$G$801, 0)+1))&lt;100, IF(INDEX(ERP資料!$G:$G, (MATCH(326, 輔助計算!$G$2:$G$801, 0)+1))&lt;=31,3,IF(INDEX(ERP資料!$G:$G, (MATCH(326, 輔助計算!$G$2:$G$801, 0)+1))&lt;=46.5,2,1)), IF(INDEX(ERP資料!$G:$G, (MATCH(326, 輔助計算!$G$2:$G$801, 0)+1))&lt;=790,3,IF(INDEX(ERP資料!$G:$G, (MATCH(326, 輔助計算!$G$2:$G$801, 0)+1))&lt;=1181,2,1))))=0,"",IF(MOD(INDEX(輔助計算!$D:$D, (MATCH(326, 輔助計算!$G$2:$G$801, 0)+1)),IF(INDEX(ERP資料!$G:$G, (MATCH(326, 輔助計算!$G$2:$G$801, 0)+1))&lt;100, IF(INDEX(ERP資料!$G:$G, (MATCH(326, 輔助計算!$G$2:$G$801, 0)+1))&lt;=31,3,IF(INDEX(ERP資料!$G:$G, (MATCH(326, 輔助計算!$G$2:$G$801, 0)+1))&lt;=46.5,2,1)), IF(INDEX(ERP資料!$G:$G, (MATCH(326, 輔助計算!$G$2:$G$801, 0)+1))&lt;=790,3,IF(INDEX(ERP資料!$G:$G, (MATCH(326, 輔助計算!$G$2:$G$801, 0)+1))&lt;=1181,2,1))))=0,"",IF(MOD(INDEX(輔助計算!$D:$D, (MATCH(326, 輔助計算!$G$2:$G$801, 0)+1)),IF(INDEX(ERP資料!$G:$G, (MATCH(326, 輔助計算!$G$2:$G$801, 0)+1))&lt;100, IF(INDEX(ERP資料!$G:$G, (MATCH(326, 輔助計算!$G$2:$G$801, 0)+1))&lt;=31,3,IF(INDEX(ERP資料!$G:$G, (MATCH(326, 輔助計算!$G$2:$G$801, 0)+1))&lt;=46.5,2,1)), IF(INDEX(ERP資料!$G:$G, (MATCH(326, 輔助計算!$G$2:$G$801, 0)+1))&lt;=790,3,IF(INDEX(ERP資料!$G:$G, (MATCH(326, 輔助計算!$G$2:$G$801, 0)+1))&lt;=1181,2,1))))=1,TEXT(INDEX(ERP資料!$G:$G, (MATCH(326, 輔助計算!$G$2:$G$801, 0)+1)),"0.##"),IF(MOD(INDEX(輔助計算!$D:$D, (MATCH(326, 輔助計算!$G$2:$G$801, 0)+1)),IF(INDEX(ERP資料!$G:$G, (MATCH(326, 輔助計算!$G$2:$G$801, 0)+1))&lt;100, IF(INDEX(ERP資料!$G:$G, (MATCH(326, 輔助計算!$G$2:$G$801, 0)+1))&lt;=31,3,IF(INDEX(ERP資料!$G:$G, (MATCH(326, 輔助計算!$G$2:$G$801, 0)+1))&lt;=46.5,2,1)), IF(INDEX(ERP資料!$G:$G, (MATCH(326, 輔助計算!$G$2:$G$801, 0)+1))&lt;=790,3,IF(INDEX(ERP資料!$G:$G, (MATCH(326, 輔助計算!$G$2:$G$801, 0)+1))&lt;=1181,2,1))))=2,TEXT(INDEX(ERP資料!$G:$G, (MATCH(326, 輔助計算!$G$2:$G$801, 0)+1)),"0.##")&amp;"+"&amp;TEXT(INDEX(ERP資料!$G:$G, (MATCH(326, 輔助計算!$G$2:$G$801, 0)+1)),"0.##"),TEXT(INDEX(ERP資料!$G:$G, (MATCH(326, 輔助計算!$G$2:$G$801, 0)+1)),"0.##")&amp;"+"&amp;TEXT(INDEX(ERP資料!$G:$G, (MATCH(326, 輔助計算!$G$2:$G$801, 0)+1)),"0.##")&amp;"+"&amp;TEXT(INDEX(ERP資料!$G:$G, (MATCH(326, 輔助計算!$G$2:$G$801, 0)+1)),"0.##"))))&amp;"-1")&lt;&gt;""),"  ","")&amp;IF(MOD(INDEX(輔助計算!$D:$D, (MATCH(326, 輔助計算!$G$2:$G$801, 0)+1)),IF(INDEX(ERP資料!$G:$G, (MATCH(326, 輔助計算!$G$2:$G$801, 0)+1))&lt;100, IF(INDEX(ERP資料!$G:$G, (MATCH(326, 輔助計算!$G$2:$G$801, 0)+1))&lt;=31,3,IF(INDEX(ERP資料!$G:$G, (MATCH(326, 輔助計算!$G$2:$G$801, 0)+1))&lt;=46.5,2,1)), IF(INDEX(ERP資料!$G:$G, (MATCH(326, 輔助計算!$G$2:$G$801, 0)+1))&lt;=790,3,IF(INDEX(ERP資料!$G:$G, (MATCH(326, 輔助計算!$G$2:$G$801, 0)+1))&lt;=1181,2,1))))=0,"",IF(MOD(INDEX(輔助計算!$D:$D, (MATCH(326, 輔助計算!$G$2:$G$801, 0)+1)),IF(INDEX(ERP資料!$G:$G, (MATCH(326, 輔助計算!$G$2:$G$801, 0)+1))&lt;100, IF(INDEX(ERP資料!$G:$G, (MATCH(326, 輔助計算!$G$2:$G$801, 0)+1))&lt;=31,3,IF(INDEX(ERP資料!$G:$G, (MATCH(326, 輔助計算!$G$2:$G$801, 0)+1))&lt;=46.5,2,1)), IF(INDEX(ERP資料!$G:$G, (MATCH(326, 輔助計算!$G$2:$G$801, 0)+1))&lt;=790,3,IF(INDEX(ERP資料!$G:$G, (MATCH(326, 輔助計算!$G$2:$G$801, 0)+1))&lt;=1181,2,1))))=0,"",IF(MOD(INDEX(輔助計算!$D:$D, (MATCH(326, 輔助計算!$G$2:$G$801, 0)+1)),IF(INDEX(ERP資料!$G:$G, (MATCH(326, 輔助計算!$G$2:$G$801, 0)+1))&lt;100, IF(INDEX(ERP資料!$G:$G, (MATCH(326, 輔助計算!$G$2:$G$801, 0)+1))&lt;=31,3,IF(INDEX(ERP資料!$G:$G, (MATCH(326, 輔助計算!$G$2:$G$801, 0)+1))&lt;=46.5,2,1)), IF(INDEX(ERP資料!$G:$G, (MATCH(326, 輔助計算!$G$2:$G$801, 0)+1))&lt;=790,3,IF(INDEX(ERP資料!$G:$G, (MATCH(326, 輔助計算!$G$2:$G$801, 0)+1))&lt;=1181,2,1))))=1,TEXT(INDEX(ERP資料!$G:$G, (MATCH(326, 輔助計算!$G$2:$G$801, 0)+1)),"0.##"),IF(MOD(INDEX(輔助計算!$D:$D, (MATCH(326, 輔助計算!$G$2:$G$801, 0)+1)),IF(INDEX(ERP資料!$G:$G, (MATCH(326, 輔助計算!$G$2:$G$801, 0)+1))&lt;100, IF(INDEX(ERP資料!$G:$G, (MATCH(326, 輔助計算!$G$2:$G$801, 0)+1))&lt;=31,3,IF(INDEX(ERP資料!$G:$G, (MATCH(326, 輔助計算!$G$2:$G$801, 0)+1))&lt;=46.5,2,1)), IF(INDEX(ERP資料!$G:$G, (MATCH(326, 輔助計算!$G$2:$G$801, 0)+1))&lt;=790,3,IF(INDEX(ERP資料!$G:$G, (MATCH(326, 輔助計算!$G$2:$G$801, 0)+1))&lt;=1181,2,1))))=2,TEXT(INDEX(ERP資料!$G:$G, (MATCH(326, 輔助計算!$G$2:$G$801, 0)+1)),"0.##")&amp;"+"&amp;TEXT(INDEX(ERP資料!$G:$G, (MATCH(326, 輔助計算!$G$2:$G$801, 0)+1)),"0.##"),TEXT(INDEX(ERP資料!$G:$G, (MATCH(326, 輔助計算!$G$2:$G$801, 0)+1)),"0.##")&amp;"+"&amp;TEXT(INDEX(ERP資料!$G:$G, (MATCH(326, 輔助計算!$G$2:$G$801, 0)+1)),"0.##")&amp;"+"&amp;TEXT(INDEX(ERP資料!$G:$G, (MATCH(326, 輔助計算!$G$2:$G$801, 0)+1)),"0.##"))))&amp;"-1")), ""), "")</f>
        <v/>
      </c>
      <c r="K327" s="16" t="n"/>
      <c r="L327" s="14">
        <f>IFERROR(IF(AND(IFERROR(INDEX(ERP資料!$A:$A, (MATCH(326, 輔助計算!$G$2:$G$801, 0)+1)), "")&lt;&gt;"", IFERROR(INDEX(ERP資料!$A:$A, (MATCH(326, 輔助計算!$G$2:$G$801, 0)+1)), "")&lt;&gt;IFERROR(INDEX(ERP資料!$A:$A, MATCH(325, 輔助計算!$G$2:$G$801, 0)+1), "")), INDEX(ERP資料!$B:$B, (MATCH(326, 輔助計算!$G$2:$G$801, 0)+1)), ""), "")</f>
        <v/>
      </c>
      <c r="M327" s="17" t="n"/>
    </row>
    <row r="328">
      <c r="A328" s="10">
        <f>IFERROR(IF(AND(IFERROR(INDEX(ERP資料!$A:$A, (MATCH(327, 輔助計算!$G$2:$G$801, 0)+1)), "")&lt;&gt;"", IFERROR(INDEX(ERP資料!$A:$A, (MATCH(327, 輔助計算!$G$2:$G$801, 0)+1)), "")&lt;&gt;IFERROR(INDEX(ERP資料!$A:$A, MATCH(326, 輔助計算!$G$2:$G$801, 0)+1), "")), IFERROR(INDEX(ERP資料!$A:$A, (MATCH(327, 輔助計算!$G$2:$G$801, 0)+1)), ""), ""), "")</f>
        <v/>
      </c>
      <c r="B328" s="10">
        <f>IFERROR(IF(AND(IFERROR(INDEX(ERP資料!$A:$A, (MATCH(327, 輔助計算!$G$2:$G$801, 0)+1)), "")&lt;&gt;"", IFERROR(INDEX(ERP資料!$A:$A, (MATCH(327, 輔助計算!$G$2:$G$801, 0)+1)), "")&lt;&gt;IFERROR(INDEX(ERP資料!$A:$A, MATCH(326, 輔助計算!$G$2:$G$801, 0)+1), "")), INDEX(ERP資料!$S:$S, (MATCH(327, 輔助計算!$G$2:$G$801, 0)+1)), ""), "")</f>
        <v/>
      </c>
      <c r="C328" s="19">
        <f>IFERROR(IF(AND(IFERROR(INDEX(ERP資料!$A:$A, (MATCH(327, 輔助計算!$G$2:$G$801, 0)+1)), "")&lt;&gt;"", IFERROR(INDEX(ERP資料!$A:$A, (MATCH(327, 輔助計算!$G$2:$G$801, 0)+1)), "")&lt;&gt;IFERROR(INDEX(ERP資料!$A:$A, MATCH(326, 輔助計算!$G$2:$G$801, 0)+1), "")), IFERROR(VLOOKUP(LEFT(INDEX(ERP資料!$S:$S, (MATCH(327, 輔助計算!$G$2:$G$801, 0)+1)), 4), 紙管對照表!$A:$C, 3, FALSE), ""), ""), "")</f>
        <v/>
      </c>
      <c r="D328" s="16" t="n"/>
      <c r="E328" s="10">
        <f>IFERROR(IF(INDEX(ERP資料!$H:$H, (MATCH(327, 輔助計算!$G$2:$G$801, 0)+1))="","",INDEX(ERP資料!$H:$H, (MATCH(327, 輔助計算!$G$2:$G$801, 0)+1))), "")</f>
        <v/>
      </c>
      <c r="F328" s="10">
        <f>IFERROR(IF(INDEX(ERP資料!$E:$E, (MATCH(327, 輔助計算!$G$2:$G$801, 0)+1))="","",TRIM(INDEX(ERP資料!$E:$E, (MATCH(327, 輔助計算!$G$2:$G$801, 0)+1)))), "")</f>
        <v/>
      </c>
      <c r="G328" s="10">
        <f>IFERROR(IF(INDEX(ERP資料!$F:$F, (MATCH(327, 輔助計算!$G$2:$G$801, 0)+1))="","",INDEX(ERP資料!$F:$F, (MATCH(327, 輔助計算!$G$2:$G$801, 0)+1))), "")</f>
        <v/>
      </c>
      <c r="H328" s="10">
        <f>IFERROR(IF(INDEX(ERP資料!$G:$G, (MATCH(327, 輔助計算!$G$2:$G$801, 0)+1))="","",INDEX(ERP資料!$G:$G, (MATCH(327, 輔助計算!$G$2:$G$801, 0)+1))), "")</f>
        <v/>
      </c>
      <c r="I328" s="15">
        <f>IFERROR(INDEX(輔助計算!$D:$D, (MATCH(327, 輔助計算!$G$2:$G$801, 0)+1)), "")</f>
        <v/>
      </c>
      <c r="J328" s="15">
        <f>IFERROR(IF(AND(INDEX(輔助計算!$D:$D, (MATCH(327, 輔助計算!$G$2:$G$801, 0)+1))&lt;&gt;"", INDEX(ERP資料!$G:$G, (MATCH(327, 輔助計算!$G$2:$G$801, 0)+1))&lt;&gt;""), TRIM(IF(INT(INDEX(輔助計算!$D:$D, (MATCH(327, 輔助計算!$G$2:$G$801, 0)+1))/IF(INDEX(ERP資料!$G:$G, (MATCH(327, 輔助計算!$G$2:$G$801, 0)+1))&lt;100, IF(INDEX(ERP資料!$G:$G, (MATCH(327, 輔助計算!$G$2:$G$801, 0)+1))&lt;=31,3,IF(INDEX(ERP資料!$G:$G, (MATCH(327, 輔助計算!$G$2:$G$801, 0)+1))&lt;=46.5,2,1)), IF(INDEX(ERP資料!$G:$G, (MATCH(327, 輔助計算!$G$2:$G$801, 0)+1))&lt;=790,3,IF(INDEX(ERP資料!$G:$G, (MATCH(327, 輔助計算!$G$2:$G$801, 0)+1))&lt;=1181,2,1))))&gt;0, IF(IF(INDEX(ERP資料!$G:$G, (MATCH(327, 輔助計算!$G$2:$G$801, 0)+1))&lt;100, IF(INDEX(ERP資料!$G:$G, (MATCH(327, 輔助計算!$G$2:$G$801, 0)+1))&lt;=31,3,IF(INDEX(ERP資料!$G:$G, (MATCH(327, 輔助計算!$G$2:$G$801, 0)+1))&lt;=46.5,2,1)), IF(INDEX(ERP資料!$G:$G, (MATCH(327, 輔助計算!$G$2:$G$801, 0)+1))&lt;=790,3,IF(INDEX(ERP資料!$G:$G, (MATCH(327, 輔助計算!$G$2:$G$801, 0)+1))&lt;=1181,2,1)))=1,TEXT(INDEX(ERP資料!$G:$G, (MATCH(327, 輔助計算!$G$2:$G$801, 0)+1)),"0.##"),IF(IF(INDEX(ERP資料!$G:$G, (MATCH(327, 輔助計算!$G$2:$G$801, 0)+1))&lt;100, IF(INDEX(ERP資料!$G:$G, (MATCH(327, 輔助計算!$G$2:$G$801, 0)+1))&lt;=31,3,IF(INDEX(ERP資料!$G:$G, (MATCH(327, 輔助計算!$G$2:$G$801, 0)+1))&lt;=46.5,2,1)), IF(INDEX(ERP資料!$G:$G, (MATCH(327, 輔助計算!$G$2:$G$801, 0)+1))&lt;=790,3,IF(INDEX(ERP資料!$G:$G, (MATCH(327, 輔助計算!$G$2:$G$801, 0)+1))&lt;=1181,2,1)))=2,TEXT(INDEX(ERP資料!$G:$G, (MATCH(327, 輔助計算!$G$2:$G$801, 0)+1)),"0.##")&amp;"+"&amp;TEXT(INDEX(ERP資料!$G:$G, (MATCH(327, 輔助計算!$G$2:$G$801, 0)+1)),"0.##"),TEXT(INDEX(ERP資料!$G:$G, (MATCH(327, 輔助計算!$G$2:$G$801, 0)+1)),"0.##")&amp;"+"&amp;TEXT(INDEX(ERP資料!$G:$G, (MATCH(327, 輔助計算!$G$2:$G$801, 0)+1)),"0.##")&amp;"+"&amp;TEXT(INDEX(ERP資料!$G:$G, (MATCH(327, 輔助計算!$G$2:$G$801, 0)+1)),"0.##")))&amp;"-"&amp;INT(INDEX(輔助計算!$D:$D, (MATCH(327, 輔助計算!$G$2:$G$801, 0)+1))/IF(INDEX(ERP資料!$G:$G, (MATCH(327, 輔助計算!$G$2:$G$801, 0)+1))&lt;100, IF(INDEX(ERP資料!$G:$G, (MATCH(327, 輔助計算!$G$2:$G$801, 0)+1))&lt;=31,3,IF(INDEX(ERP資料!$G:$G, (MATCH(327, 輔助計算!$G$2:$G$801, 0)+1))&lt;=46.5,2,1)), IF(INDEX(ERP資料!$G:$G, (MATCH(327, 輔助計算!$G$2:$G$801, 0)+1))&lt;=790,3,IF(INDEX(ERP資料!$G:$G, (MATCH(327, 輔助計算!$G$2:$G$801, 0)+1))&lt;=1181,2,1)))), "")&amp;IF(AND(IF(INT(INDEX(輔助計算!$D:$D, (MATCH(327, 輔助計算!$G$2:$G$801, 0)+1))/IF(INDEX(ERP資料!$G:$G, (MATCH(327, 輔助計算!$G$2:$G$801, 0)+1))&lt;100, IF(INDEX(ERP資料!$G:$G, (MATCH(327, 輔助計算!$G$2:$G$801, 0)+1))&lt;=31,3,IF(INDEX(ERP資料!$G:$G, (MATCH(327, 輔助計算!$G$2:$G$801, 0)+1))&lt;=46.5,2,1)), IF(INDEX(ERP資料!$G:$G, (MATCH(327, 輔助計算!$G$2:$G$801, 0)+1))&lt;=790,3,IF(INDEX(ERP資料!$G:$G, (MATCH(327, 輔助計算!$G$2:$G$801, 0)+1))&lt;=1181,2,1))))&gt;0, IF(IF(INDEX(ERP資料!$G:$G, (MATCH(327, 輔助計算!$G$2:$G$801, 0)+1))&lt;100, IF(INDEX(ERP資料!$G:$G, (MATCH(327, 輔助計算!$G$2:$G$801, 0)+1))&lt;=31,3,IF(INDEX(ERP資料!$G:$G, (MATCH(327, 輔助計算!$G$2:$G$801, 0)+1))&lt;=46.5,2,1)), IF(INDEX(ERP資料!$G:$G, (MATCH(327, 輔助計算!$G$2:$G$801, 0)+1))&lt;=790,3,IF(INDEX(ERP資料!$G:$G, (MATCH(327, 輔助計算!$G$2:$G$801, 0)+1))&lt;=1181,2,1)))=1,TEXT(INDEX(ERP資料!$G:$G, (MATCH(327, 輔助計算!$G$2:$G$801, 0)+1)),"0.##"),IF(IF(INDEX(ERP資料!$G:$G, (MATCH(327, 輔助計算!$G$2:$G$801, 0)+1))&lt;100, IF(INDEX(ERP資料!$G:$G, (MATCH(327, 輔助計算!$G$2:$G$801, 0)+1))&lt;=31,3,IF(INDEX(ERP資料!$G:$G, (MATCH(327, 輔助計算!$G$2:$G$801, 0)+1))&lt;=46.5,2,1)), IF(INDEX(ERP資料!$G:$G, (MATCH(327, 輔助計算!$G$2:$G$801, 0)+1))&lt;=790,3,IF(INDEX(ERP資料!$G:$G, (MATCH(327, 輔助計算!$G$2:$G$801, 0)+1))&lt;=1181,2,1)))=2,TEXT(INDEX(ERP資料!$G:$G, (MATCH(327, 輔助計算!$G$2:$G$801, 0)+1)),"0.##")&amp;"+"&amp;TEXT(INDEX(ERP資料!$G:$G, (MATCH(327, 輔助計算!$G$2:$G$801, 0)+1)),"0.##"),TEXT(INDEX(ERP資料!$G:$G, (MATCH(327, 輔助計算!$G$2:$G$801, 0)+1)),"0.##")&amp;"+"&amp;TEXT(INDEX(ERP資料!$G:$G, (MATCH(327, 輔助計算!$G$2:$G$801, 0)+1)),"0.##")&amp;"+"&amp;TEXT(INDEX(ERP資料!$G:$G, (MATCH(327, 輔助計算!$G$2:$G$801, 0)+1)),"0.##")))&amp;"-"&amp;INT(INDEX(輔助計算!$D:$D, (MATCH(327, 輔助計算!$G$2:$G$801, 0)+1))/IF(INDEX(ERP資料!$G:$G, (MATCH(327, 輔助計算!$G$2:$G$801, 0)+1))&lt;100, IF(INDEX(ERP資料!$G:$G, (MATCH(327, 輔助計算!$G$2:$G$801, 0)+1))&lt;=31,3,IF(INDEX(ERP資料!$G:$G, (MATCH(327, 輔助計算!$G$2:$G$801, 0)+1))&lt;=46.5,2,1)), IF(INDEX(ERP資料!$G:$G, (MATCH(327, 輔助計算!$G$2:$G$801, 0)+1))&lt;=790,3,IF(INDEX(ERP資料!$G:$G, (MATCH(327, 輔助計算!$G$2:$G$801, 0)+1))&lt;=1181,2,1)))), "")&lt;&gt;"",IF(MOD(INDEX(輔助計算!$D:$D, (MATCH(327, 輔助計算!$G$2:$G$801, 0)+1)),IF(INDEX(ERP資料!$G:$G, (MATCH(327, 輔助計算!$G$2:$G$801, 0)+1))&lt;100, IF(INDEX(ERP資料!$G:$G, (MATCH(327, 輔助計算!$G$2:$G$801, 0)+1))&lt;=31,3,IF(INDEX(ERP資料!$G:$G, (MATCH(327, 輔助計算!$G$2:$G$801, 0)+1))&lt;=46.5,2,1)), IF(INDEX(ERP資料!$G:$G, (MATCH(327, 輔助計算!$G$2:$G$801, 0)+1))&lt;=790,3,IF(INDEX(ERP資料!$G:$G, (MATCH(327, 輔助計算!$G$2:$G$801, 0)+1))&lt;=1181,2,1))))=0,"",IF(MOD(INDEX(輔助計算!$D:$D, (MATCH(327, 輔助計算!$G$2:$G$801, 0)+1)),IF(INDEX(ERP資料!$G:$G, (MATCH(327, 輔助計算!$G$2:$G$801, 0)+1))&lt;100, IF(INDEX(ERP資料!$G:$G, (MATCH(327, 輔助計算!$G$2:$G$801, 0)+1))&lt;=31,3,IF(INDEX(ERP資料!$G:$G, (MATCH(327, 輔助計算!$G$2:$G$801, 0)+1))&lt;=46.5,2,1)), IF(INDEX(ERP資料!$G:$G, (MATCH(327, 輔助計算!$G$2:$G$801, 0)+1))&lt;=790,3,IF(INDEX(ERP資料!$G:$G, (MATCH(327, 輔助計算!$G$2:$G$801, 0)+1))&lt;=1181,2,1))))=0,"",IF(MOD(INDEX(輔助計算!$D:$D, (MATCH(327, 輔助計算!$G$2:$G$801, 0)+1)),IF(INDEX(ERP資料!$G:$G, (MATCH(327, 輔助計算!$G$2:$G$801, 0)+1))&lt;100, IF(INDEX(ERP資料!$G:$G, (MATCH(327, 輔助計算!$G$2:$G$801, 0)+1))&lt;=31,3,IF(INDEX(ERP資料!$G:$G, (MATCH(327, 輔助計算!$G$2:$G$801, 0)+1))&lt;=46.5,2,1)), IF(INDEX(ERP資料!$G:$G, (MATCH(327, 輔助計算!$G$2:$G$801, 0)+1))&lt;=790,3,IF(INDEX(ERP資料!$G:$G, (MATCH(327, 輔助計算!$G$2:$G$801, 0)+1))&lt;=1181,2,1))))=1,TEXT(INDEX(ERP資料!$G:$G, (MATCH(327, 輔助計算!$G$2:$G$801, 0)+1)),"0.##"),IF(MOD(INDEX(輔助計算!$D:$D, (MATCH(327, 輔助計算!$G$2:$G$801, 0)+1)),IF(INDEX(ERP資料!$G:$G, (MATCH(327, 輔助計算!$G$2:$G$801, 0)+1))&lt;100, IF(INDEX(ERP資料!$G:$G, (MATCH(327, 輔助計算!$G$2:$G$801, 0)+1))&lt;=31,3,IF(INDEX(ERP資料!$G:$G, (MATCH(327, 輔助計算!$G$2:$G$801, 0)+1))&lt;=46.5,2,1)), IF(INDEX(ERP資料!$G:$G, (MATCH(327, 輔助計算!$G$2:$G$801, 0)+1))&lt;=790,3,IF(INDEX(ERP資料!$G:$G, (MATCH(327, 輔助計算!$G$2:$G$801, 0)+1))&lt;=1181,2,1))))=2,TEXT(INDEX(ERP資料!$G:$G, (MATCH(327, 輔助計算!$G$2:$G$801, 0)+1)),"0.##")&amp;"+"&amp;TEXT(INDEX(ERP資料!$G:$G, (MATCH(327, 輔助計算!$G$2:$G$801, 0)+1)),"0.##"),TEXT(INDEX(ERP資料!$G:$G, (MATCH(327, 輔助計算!$G$2:$G$801, 0)+1)),"0.##")&amp;"+"&amp;TEXT(INDEX(ERP資料!$G:$G, (MATCH(327, 輔助計算!$G$2:$G$801, 0)+1)),"0.##")&amp;"+"&amp;TEXT(INDEX(ERP資料!$G:$G, (MATCH(327, 輔助計算!$G$2:$G$801, 0)+1)),"0.##"))))&amp;"-1")&lt;&gt;""),"  ","")&amp;IF(MOD(INDEX(輔助計算!$D:$D, (MATCH(327, 輔助計算!$G$2:$G$801, 0)+1)),IF(INDEX(ERP資料!$G:$G, (MATCH(327, 輔助計算!$G$2:$G$801, 0)+1))&lt;100, IF(INDEX(ERP資料!$G:$G, (MATCH(327, 輔助計算!$G$2:$G$801, 0)+1))&lt;=31,3,IF(INDEX(ERP資料!$G:$G, (MATCH(327, 輔助計算!$G$2:$G$801, 0)+1))&lt;=46.5,2,1)), IF(INDEX(ERP資料!$G:$G, (MATCH(327, 輔助計算!$G$2:$G$801, 0)+1))&lt;=790,3,IF(INDEX(ERP資料!$G:$G, (MATCH(327, 輔助計算!$G$2:$G$801, 0)+1))&lt;=1181,2,1))))=0,"",IF(MOD(INDEX(輔助計算!$D:$D, (MATCH(327, 輔助計算!$G$2:$G$801, 0)+1)),IF(INDEX(ERP資料!$G:$G, (MATCH(327, 輔助計算!$G$2:$G$801, 0)+1))&lt;100, IF(INDEX(ERP資料!$G:$G, (MATCH(327, 輔助計算!$G$2:$G$801, 0)+1))&lt;=31,3,IF(INDEX(ERP資料!$G:$G, (MATCH(327, 輔助計算!$G$2:$G$801, 0)+1))&lt;=46.5,2,1)), IF(INDEX(ERP資料!$G:$G, (MATCH(327, 輔助計算!$G$2:$G$801, 0)+1))&lt;=790,3,IF(INDEX(ERP資料!$G:$G, (MATCH(327, 輔助計算!$G$2:$G$801, 0)+1))&lt;=1181,2,1))))=0,"",IF(MOD(INDEX(輔助計算!$D:$D, (MATCH(327, 輔助計算!$G$2:$G$801, 0)+1)),IF(INDEX(ERP資料!$G:$G, (MATCH(327, 輔助計算!$G$2:$G$801, 0)+1))&lt;100, IF(INDEX(ERP資料!$G:$G, (MATCH(327, 輔助計算!$G$2:$G$801, 0)+1))&lt;=31,3,IF(INDEX(ERP資料!$G:$G, (MATCH(327, 輔助計算!$G$2:$G$801, 0)+1))&lt;=46.5,2,1)), IF(INDEX(ERP資料!$G:$G, (MATCH(327, 輔助計算!$G$2:$G$801, 0)+1))&lt;=790,3,IF(INDEX(ERP資料!$G:$G, (MATCH(327, 輔助計算!$G$2:$G$801, 0)+1))&lt;=1181,2,1))))=1,TEXT(INDEX(ERP資料!$G:$G, (MATCH(327, 輔助計算!$G$2:$G$801, 0)+1)),"0.##"),IF(MOD(INDEX(輔助計算!$D:$D, (MATCH(327, 輔助計算!$G$2:$G$801, 0)+1)),IF(INDEX(ERP資料!$G:$G, (MATCH(327, 輔助計算!$G$2:$G$801, 0)+1))&lt;100, IF(INDEX(ERP資料!$G:$G, (MATCH(327, 輔助計算!$G$2:$G$801, 0)+1))&lt;=31,3,IF(INDEX(ERP資料!$G:$G, (MATCH(327, 輔助計算!$G$2:$G$801, 0)+1))&lt;=46.5,2,1)), IF(INDEX(ERP資料!$G:$G, (MATCH(327, 輔助計算!$G$2:$G$801, 0)+1))&lt;=790,3,IF(INDEX(ERP資料!$G:$G, (MATCH(327, 輔助計算!$G$2:$G$801, 0)+1))&lt;=1181,2,1))))=2,TEXT(INDEX(ERP資料!$G:$G, (MATCH(327, 輔助計算!$G$2:$G$801, 0)+1)),"0.##")&amp;"+"&amp;TEXT(INDEX(ERP資料!$G:$G, (MATCH(327, 輔助計算!$G$2:$G$801, 0)+1)),"0.##"),TEXT(INDEX(ERP資料!$G:$G, (MATCH(327, 輔助計算!$G$2:$G$801, 0)+1)),"0.##")&amp;"+"&amp;TEXT(INDEX(ERP資料!$G:$G, (MATCH(327, 輔助計算!$G$2:$G$801, 0)+1)),"0.##")&amp;"+"&amp;TEXT(INDEX(ERP資料!$G:$G, (MATCH(327, 輔助計算!$G$2:$G$801, 0)+1)),"0.##"))))&amp;"-1")), ""), "")</f>
        <v/>
      </c>
      <c r="K328" s="16" t="n"/>
      <c r="L328" s="14">
        <f>IFERROR(IF(AND(IFERROR(INDEX(ERP資料!$A:$A, (MATCH(327, 輔助計算!$G$2:$G$801, 0)+1)), "")&lt;&gt;"", IFERROR(INDEX(ERP資料!$A:$A, (MATCH(327, 輔助計算!$G$2:$G$801, 0)+1)), "")&lt;&gt;IFERROR(INDEX(ERP資料!$A:$A, MATCH(326, 輔助計算!$G$2:$G$801, 0)+1), "")), INDEX(ERP資料!$B:$B, (MATCH(327, 輔助計算!$G$2:$G$801, 0)+1)), ""), "")</f>
        <v/>
      </c>
      <c r="M328" s="17" t="n"/>
    </row>
    <row r="329">
      <c r="A329" s="10">
        <f>IFERROR(IF(AND(IFERROR(INDEX(ERP資料!$A:$A, (MATCH(328, 輔助計算!$G$2:$G$801, 0)+1)), "")&lt;&gt;"", IFERROR(INDEX(ERP資料!$A:$A, (MATCH(328, 輔助計算!$G$2:$G$801, 0)+1)), "")&lt;&gt;IFERROR(INDEX(ERP資料!$A:$A, MATCH(327, 輔助計算!$G$2:$G$801, 0)+1), "")), IFERROR(INDEX(ERP資料!$A:$A, (MATCH(328, 輔助計算!$G$2:$G$801, 0)+1)), ""), ""), "")</f>
        <v/>
      </c>
      <c r="B329" s="10">
        <f>IFERROR(IF(AND(IFERROR(INDEX(ERP資料!$A:$A, (MATCH(328, 輔助計算!$G$2:$G$801, 0)+1)), "")&lt;&gt;"", IFERROR(INDEX(ERP資料!$A:$A, (MATCH(328, 輔助計算!$G$2:$G$801, 0)+1)), "")&lt;&gt;IFERROR(INDEX(ERP資料!$A:$A, MATCH(327, 輔助計算!$G$2:$G$801, 0)+1), "")), INDEX(ERP資料!$S:$S, (MATCH(328, 輔助計算!$G$2:$G$801, 0)+1)), ""), "")</f>
        <v/>
      </c>
      <c r="C329" s="19">
        <f>IFERROR(IF(AND(IFERROR(INDEX(ERP資料!$A:$A, (MATCH(328, 輔助計算!$G$2:$G$801, 0)+1)), "")&lt;&gt;"", IFERROR(INDEX(ERP資料!$A:$A, (MATCH(328, 輔助計算!$G$2:$G$801, 0)+1)), "")&lt;&gt;IFERROR(INDEX(ERP資料!$A:$A, MATCH(327, 輔助計算!$G$2:$G$801, 0)+1), "")), IFERROR(VLOOKUP(LEFT(INDEX(ERP資料!$S:$S, (MATCH(328, 輔助計算!$G$2:$G$801, 0)+1)), 4), 紙管對照表!$A:$C, 3, FALSE), ""), ""), "")</f>
        <v/>
      </c>
      <c r="D329" s="16" t="n"/>
      <c r="E329" s="10">
        <f>IFERROR(IF(INDEX(ERP資料!$H:$H, (MATCH(328, 輔助計算!$G$2:$G$801, 0)+1))="","",INDEX(ERP資料!$H:$H, (MATCH(328, 輔助計算!$G$2:$G$801, 0)+1))), "")</f>
        <v/>
      </c>
      <c r="F329" s="10">
        <f>IFERROR(IF(INDEX(ERP資料!$E:$E, (MATCH(328, 輔助計算!$G$2:$G$801, 0)+1))="","",TRIM(INDEX(ERP資料!$E:$E, (MATCH(328, 輔助計算!$G$2:$G$801, 0)+1)))), "")</f>
        <v/>
      </c>
      <c r="G329" s="10">
        <f>IFERROR(IF(INDEX(ERP資料!$F:$F, (MATCH(328, 輔助計算!$G$2:$G$801, 0)+1))="","",INDEX(ERP資料!$F:$F, (MATCH(328, 輔助計算!$G$2:$G$801, 0)+1))), "")</f>
        <v/>
      </c>
      <c r="H329" s="10">
        <f>IFERROR(IF(INDEX(ERP資料!$G:$G, (MATCH(328, 輔助計算!$G$2:$G$801, 0)+1))="","",INDEX(ERP資料!$G:$G, (MATCH(328, 輔助計算!$G$2:$G$801, 0)+1))), "")</f>
        <v/>
      </c>
      <c r="I329" s="15">
        <f>IFERROR(INDEX(輔助計算!$D:$D, (MATCH(328, 輔助計算!$G$2:$G$801, 0)+1)), "")</f>
        <v/>
      </c>
      <c r="J329" s="15">
        <f>IFERROR(IF(AND(INDEX(輔助計算!$D:$D, (MATCH(328, 輔助計算!$G$2:$G$801, 0)+1))&lt;&gt;"", INDEX(ERP資料!$G:$G, (MATCH(328, 輔助計算!$G$2:$G$801, 0)+1))&lt;&gt;""), TRIM(IF(INT(INDEX(輔助計算!$D:$D, (MATCH(328, 輔助計算!$G$2:$G$801, 0)+1))/IF(INDEX(ERP資料!$G:$G, (MATCH(328, 輔助計算!$G$2:$G$801, 0)+1))&lt;100, IF(INDEX(ERP資料!$G:$G, (MATCH(328, 輔助計算!$G$2:$G$801, 0)+1))&lt;=31,3,IF(INDEX(ERP資料!$G:$G, (MATCH(328, 輔助計算!$G$2:$G$801, 0)+1))&lt;=46.5,2,1)), IF(INDEX(ERP資料!$G:$G, (MATCH(328, 輔助計算!$G$2:$G$801, 0)+1))&lt;=790,3,IF(INDEX(ERP資料!$G:$G, (MATCH(328, 輔助計算!$G$2:$G$801, 0)+1))&lt;=1181,2,1))))&gt;0, IF(IF(INDEX(ERP資料!$G:$G, (MATCH(328, 輔助計算!$G$2:$G$801, 0)+1))&lt;100, IF(INDEX(ERP資料!$G:$G, (MATCH(328, 輔助計算!$G$2:$G$801, 0)+1))&lt;=31,3,IF(INDEX(ERP資料!$G:$G, (MATCH(328, 輔助計算!$G$2:$G$801, 0)+1))&lt;=46.5,2,1)), IF(INDEX(ERP資料!$G:$G, (MATCH(328, 輔助計算!$G$2:$G$801, 0)+1))&lt;=790,3,IF(INDEX(ERP資料!$G:$G, (MATCH(328, 輔助計算!$G$2:$G$801, 0)+1))&lt;=1181,2,1)))=1,TEXT(INDEX(ERP資料!$G:$G, (MATCH(328, 輔助計算!$G$2:$G$801, 0)+1)),"0.##"),IF(IF(INDEX(ERP資料!$G:$G, (MATCH(328, 輔助計算!$G$2:$G$801, 0)+1))&lt;100, IF(INDEX(ERP資料!$G:$G, (MATCH(328, 輔助計算!$G$2:$G$801, 0)+1))&lt;=31,3,IF(INDEX(ERP資料!$G:$G, (MATCH(328, 輔助計算!$G$2:$G$801, 0)+1))&lt;=46.5,2,1)), IF(INDEX(ERP資料!$G:$G, (MATCH(328, 輔助計算!$G$2:$G$801, 0)+1))&lt;=790,3,IF(INDEX(ERP資料!$G:$G, (MATCH(328, 輔助計算!$G$2:$G$801, 0)+1))&lt;=1181,2,1)))=2,TEXT(INDEX(ERP資料!$G:$G, (MATCH(328, 輔助計算!$G$2:$G$801, 0)+1)),"0.##")&amp;"+"&amp;TEXT(INDEX(ERP資料!$G:$G, (MATCH(328, 輔助計算!$G$2:$G$801, 0)+1)),"0.##"),TEXT(INDEX(ERP資料!$G:$G, (MATCH(328, 輔助計算!$G$2:$G$801, 0)+1)),"0.##")&amp;"+"&amp;TEXT(INDEX(ERP資料!$G:$G, (MATCH(328, 輔助計算!$G$2:$G$801, 0)+1)),"0.##")&amp;"+"&amp;TEXT(INDEX(ERP資料!$G:$G, (MATCH(328, 輔助計算!$G$2:$G$801, 0)+1)),"0.##")))&amp;"-"&amp;INT(INDEX(輔助計算!$D:$D, (MATCH(328, 輔助計算!$G$2:$G$801, 0)+1))/IF(INDEX(ERP資料!$G:$G, (MATCH(328, 輔助計算!$G$2:$G$801, 0)+1))&lt;100, IF(INDEX(ERP資料!$G:$G, (MATCH(328, 輔助計算!$G$2:$G$801, 0)+1))&lt;=31,3,IF(INDEX(ERP資料!$G:$G, (MATCH(328, 輔助計算!$G$2:$G$801, 0)+1))&lt;=46.5,2,1)), IF(INDEX(ERP資料!$G:$G, (MATCH(328, 輔助計算!$G$2:$G$801, 0)+1))&lt;=790,3,IF(INDEX(ERP資料!$G:$G, (MATCH(328, 輔助計算!$G$2:$G$801, 0)+1))&lt;=1181,2,1)))), "")&amp;IF(AND(IF(INT(INDEX(輔助計算!$D:$D, (MATCH(328, 輔助計算!$G$2:$G$801, 0)+1))/IF(INDEX(ERP資料!$G:$G, (MATCH(328, 輔助計算!$G$2:$G$801, 0)+1))&lt;100, IF(INDEX(ERP資料!$G:$G, (MATCH(328, 輔助計算!$G$2:$G$801, 0)+1))&lt;=31,3,IF(INDEX(ERP資料!$G:$G, (MATCH(328, 輔助計算!$G$2:$G$801, 0)+1))&lt;=46.5,2,1)), IF(INDEX(ERP資料!$G:$G, (MATCH(328, 輔助計算!$G$2:$G$801, 0)+1))&lt;=790,3,IF(INDEX(ERP資料!$G:$G, (MATCH(328, 輔助計算!$G$2:$G$801, 0)+1))&lt;=1181,2,1))))&gt;0, IF(IF(INDEX(ERP資料!$G:$G, (MATCH(328, 輔助計算!$G$2:$G$801, 0)+1))&lt;100, IF(INDEX(ERP資料!$G:$G, (MATCH(328, 輔助計算!$G$2:$G$801, 0)+1))&lt;=31,3,IF(INDEX(ERP資料!$G:$G, (MATCH(328, 輔助計算!$G$2:$G$801, 0)+1))&lt;=46.5,2,1)), IF(INDEX(ERP資料!$G:$G, (MATCH(328, 輔助計算!$G$2:$G$801, 0)+1))&lt;=790,3,IF(INDEX(ERP資料!$G:$G, (MATCH(328, 輔助計算!$G$2:$G$801, 0)+1))&lt;=1181,2,1)))=1,TEXT(INDEX(ERP資料!$G:$G, (MATCH(328, 輔助計算!$G$2:$G$801, 0)+1)),"0.##"),IF(IF(INDEX(ERP資料!$G:$G, (MATCH(328, 輔助計算!$G$2:$G$801, 0)+1))&lt;100, IF(INDEX(ERP資料!$G:$G, (MATCH(328, 輔助計算!$G$2:$G$801, 0)+1))&lt;=31,3,IF(INDEX(ERP資料!$G:$G, (MATCH(328, 輔助計算!$G$2:$G$801, 0)+1))&lt;=46.5,2,1)), IF(INDEX(ERP資料!$G:$G, (MATCH(328, 輔助計算!$G$2:$G$801, 0)+1))&lt;=790,3,IF(INDEX(ERP資料!$G:$G, (MATCH(328, 輔助計算!$G$2:$G$801, 0)+1))&lt;=1181,2,1)))=2,TEXT(INDEX(ERP資料!$G:$G, (MATCH(328, 輔助計算!$G$2:$G$801, 0)+1)),"0.##")&amp;"+"&amp;TEXT(INDEX(ERP資料!$G:$G, (MATCH(328, 輔助計算!$G$2:$G$801, 0)+1)),"0.##"),TEXT(INDEX(ERP資料!$G:$G, (MATCH(328, 輔助計算!$G$2:$G$801, 0)+1)),"0.##")&amp;"+"&amp;TEXT(INDEX(ERP資料!$G:$G, (MATCH(328, 輔助計算!$G$2:$G$801, 0)+1)),"0.##")&amp;"+"&amp;TEXT(INDEX(ERP資料!$G:$G, (MATCH(328, 輔助計算!$G$2:$G$801, 0)+1)),"0.##")))&amp;"-"&amp;INT(INDEX(輔助計算!$D:$D, (MATCH(328, 輔助計算!$G$2:$G$801, 0)+1))/IF(INDEX(ERP資料!$G:$G, (MATCH(328, 輔助計算!$G$2:$G$801, 0)+1))&lt;100, IF(INDEX(ERP資料!$G:$G, (MATCH(328, 輔助計算!$G$2:$G$801, 0)+1))&lt;=31,3,IF(INDEX(ERP資料!$G:$G, (MATCH(328, 輔助計算!$G$2:$G$801, 0)+1))&lt;=46.5,2,1)), IF(INDEX(ERP資料!$G:$G, (MATCH(328, 輔助計算!$G$2:$G$801, 0)+1))&lt;=790,3,IF(INDEX(ERP資料!$G:$G, (MATCH(328, 輔助計算!$G$2:$G$801, 0)+1))&lt;=1181,2,1)))), "")&lt;&gt;"",IF(MOD(INDEX(輔助計算!$D:$D, (MATCH(328, 輔助計算!$G$2:$G$801, 0)+1)),IF(INDEX(ERP資料!$G:$G, (MATCH(328, 輔助計算!$G$2:$G$801, 0)+1))&lt;100, IF(INDEX(ERP資料!$G:$G, (MATCH(328, 輔助計算!$G$2:$G$801, 0)+1))&lt;=31,3,IF(INDEX(ERP資料!$G:$G, (MATCH(328, 輔助計算!$G$2:$G$801, 0)+1))&lt;=46.5,2,1)), IF(INDEX(ERP資料!$G:$G, (MATCH(328, 輔助計算!$G$2:$G$801, 0)+1))&lt;=790,3,IF(INDEX(ERP資料!$G:$G, (MATCH(328, 輔助計算!$G$2:$G$801, 0)+1))&lt;=1181,2,1))))=0,"",IF(MOD(INDEX(輔助計算!$D:$D, (MATCH(328, 輔助計算!$G$2:$G$801, 0)+1)),IF(INDEX(ERP資料!$G:$G, (MATCH(328, 輔助計算!$G$2:$G$801, 0)+1))&lt;100, IF(INDEX(ERP資料!$G:$G, (MATCH(328, 輔助計算!$G$2:$G$801, 0)+1))&lt;=31,3,IF(INDEX(ERP資料!$G:$G, (MATCH(328, 輔助計算!$G$2:$G$801, 0)+1))&lt;=46.5,2,1)), IF(INDEX(ERP資料!$G:$G, (MATCH(328, 輔助計算!$G$2:$G$801, 0)+1))&lt;=790,3,IF(INDEX(ERP資料!$G:$G, (MATCH(328, 輔助計算!$G$2:$G$801, 0)+1))&lt;=1181,2,1))))=0,"",IF(MOD(INDEX(輔助計算!$D:$D, (MATCH(328, 輔助計算!$G$2:$G$801, 0)+1)),IF(INDEX(ERP資料!$G:$G, (MATCH(328, 輔助計算!$G$2:$G$801, 0)+1))&lt;100, IF(INDEX(ERP資料!$G:$G, (MATCH(328, 輔助計算!$G$2:$G$801, 0)+1))&lt;=31,3,IF(INDEX(ERP資料!$G:$G, (MATCH(328, 輔助計算!$G$2:$G$801, 0)+1))&lt;=46.5,2,1)), IF(INDEX(ERP資料!$G:$G, (MATCH(328, 輔助計算!$G$2:$G$801, 0)+1))&lt;=790,3,IF(INDEX(ERP資料!$G:$G, (MATCH(328, 輔助計算!$G$2:$G$801, 0)+1))&lt;=1181,2,1))))=1,TEXT(INDEX(ERP資料!$G:$G, (MATCH(328, 輔助計算!$G$2:$G$801, 0)+1)),"0.##"),IF(MOD(INDEX(輔助計算!$D:$D, (MATCH(328, 輔助計算!$G$2:$G$801, 0)+1)),IF(INDEX(ERP資料!$G:$G, (MATCH(328, 輔助計算!$G$2:$G$801, 0)+1))&lt;100, IF(INDEX(ERP資料!$G:$G, (MATCH(328, 輔助計算!$G$2:$G$801, 0)+1))&lt;=31,3,IF(INDEX(ERP資料!$G:$G, (MATCH(328, 輔助計算!$G$2:$G$801, 0)+1))&lt;=46.5,2,1)), IF(INDEX(ERP資料!$G:$G, (MATCH(328, 輔助計算!$G$2:$G$801, 0)+1))&lt;=790,3,IF(INDEX(ERP資料!$G:$G, (MATCH(328, 輔助計算!$G$2:$G$801, 0)+1))&lt;=1181,2,1))))=2,TEXT(INDEX(ERP資料!$G:$G, (MATCH(328, 輔助計算!$G$2:$G$801, 0)+1)),"0.##")&amp;"+"&amp;TEXT(INDEX(ERP資料!$G:$G, (MATCH(328, 輔助計算!$G$2:$G$801, 0)+1)),"0.##"),TEXT(INDEX(ERP資料!$G:$G, (MATCH(328, 輔助計算!$G$2:$G$801, 0)+1)),"0.##")&amp;"+"&amp;TEXT(INDEX(ERP資料!$G:$G, (MATCH(328, 輔助計算!$G$2:$G$801, 0)+1)),"0.##")&amp;"+"&amp;TEXT(INDEX(ERP資料!$G:$G, (MATCH(328, 輔助計算!$G$2:$G$801, 0)+1)),"0.##"))))&amp;"-1")&lt;&gt;""),"  ","")&amp;IF(MOD(INDEX(輔助計算!$D:$D, (MATCH(328, 輔助計算!$G$2:$G$801, 0)+1)),IF(INDEX(ERP資料!$G:$G, (MATCH(328, 輔助計算!$G$2:$G$801, 0)+1))&lt;100, IF(INDEX(ERP資料!$G:$G, (MATCH(328, 輔助計算!$G$2:$G$801, 0)+1))&lt;=31,3,IF(INDEX(ERP資料!$G:$G, (MATCH(328, 輔助計算!$G$2:$G$801, 0)+1))&lt;=46.5,2,1)), IF(INDEX(ERP資料!$G:$G, (MATCH(328, 輔助計算!$G$2:$G$801, 0)+1))&lt;=790,3,IF(INDEX(ERP資料!$G:$G, (MATCH(328, 輔助計算!$G$2:$G$801, 0)+1))&lt;=1181,2,1))))=0,"",IF(MOD(INDEX(輔助計算!$D:$D, (MATCH(328, 輔助計算!$G$2:$G$801, 0)+1)),IF(INDEX(ERP資料!$G:$G, (MATCH(328, 輔助計算!$G$2:$G$801, 0)+1))&lt;100, IF(INDEX(ERP資料!$G:$G, (MATCH(328, 輔助計算!$G$2:$G$801, 0)+1))&lt;=31,3,IF(INDEX(ERP資料!$G:$G, (MATCH(328, 輔助計算!$G$2:$G$801, 0)+1))&lt;=46.5,2,1)), IF(INDEX(ERP資料!$G:$G, (MATCH(328, 輔助計算!$G$2:$G$801, 0)+1))&lt;=790,3,IF(INDEX(ERP資料!$G:$G, (MATCH(328, 輔助計算!$G$2:$G$801, 0)+1))&lt;=1181,2,1))))=0,"",IF(MOD(INDEX(輔助計算!$D:$D, (MATCH(328, 輔助計算!$G$2:$G$801, 0)+1)),IF(INDEX(ERP資料!$G:$G, (MATCH(328, 輔助計算!$G$2:$G$801, 0)+1))&lt;100, IF(INDEX(ERP資料!$G:$G, (MATCH(328, 輔助計算!$G$2:$G$801, 0)+1))&lt;=31,3,IF(INDEX(ERP資料!$G:$G, (MATCH(328, 輔助計算!$G$2:$G$801, 0)+1))&lt;=46.5,2,1)), IF(INDEX(ERP資料!$G:$G, (MATCH(328, 輔助計算!$G$2:$G$801, 0)+1))&lt;=790,3,IF(INDEX(ERP資料!$G:$G, (MATCH(328, 輔助計算!$G$2:$G$801, 0)+1))&lt;=1181,2,1))))=1,TEXT(INDEX(ERP資料!$G:$G, (MATCH(328, 輔助計算!$G$2:$G$801, 0)+1)),"0.##"),IF(MOD(INDEX(輔助計算!$D:$D, (MATCH(328, 輔助計算!$G$2:$G$801, 0)+1)),IF(INDEX(ERP資料!$G:$G, (MATCH(328, 輔助計算!$G$2:$G$801, 0)+1))&lt;100, IF(INDEX(ERP資料!$G:$G, (MATCH(328, 輔助計算!$G$2:$G$801, 0)+1))&lt;=31,3,IF(INDEX(ERP資料!$G:$G, (MATCH(328, 輔助計算!$G$2:$G$801, 0)+1))&lt;=46.5,2,1)), IF(INDEX(ERP資料!$G:$G, (MATCH(328, 輔助計算!$G$2:$G$801, 0)+1))&lt;=790,3,IF(INDEX(ERP資料!$G:$G, (MATCH(328, 輔助計算!$G$2:$G$801, 0)+1))&lt;=1181,2,1))))=2,TEXT(INDEX(ERP資料!$G:$G, (MATCH(328, 輔助計算!$G$2:$G$801, 0)+1)),"0.##")&amp;"+"&amp;TEXT(INDEX(ERP資料!$G:$G, (MATCH(328, 輔助計算!$G$2:$G$801, 0)+1)),"0.##"),TEXT(INDEX(ERP資料!$G:$G, (MATCH(328, 輔助計算!$G$2:$G$801, 0)+1)),"0.##")&amp;"+"&amp;TEXT(INDEX(ERP資料!$G:$G, (MATCH(328, 輔助計算!$G$2:$G$801, 0)+1)),"0.##")&amp;"+"&amp;TEXT(INDEX(ERP資料!$G:$G, (MATCH(328, 輔助計算!$G$2:$G$801, 0)+1)),"0.##"))))&amp;"-1")), ""), "")</f>
        <v/>
      </c>
      <c r="K329" s="16" t="n"/>
      <c r="L329" s="14">
        <f>IFERROR(IF(AND(IFERROR(INDEX(ERP資料!$A:$A, (MATCH(328, 輔助計算!$G$2:$G$801, 0)+1)), "")&lt;&gt;"", IFERROR(INDEX(ERP資料!$A:$A, (MATCH(328, 輔助計算!$G$2:$G$801, 0)+1)), "")&lt;&gt;IFERROR(INDEX(ERP資料!$A:$A, MATCH(327, 輔助計算!$G$2:$G$801, 0)+1), "")), INDEX(ERP資料!$B:$B, (MATCH(328, 輔助計算!$G$2:$G$801, 0)+1)), ""), "")</f>
        <v/>
      </c>
      <c r="M329" s="17" t="n"/>
    </row>
    <row r="330">
      <c r="A330" s="10">
        <f>IFERROR(IF(AND(IFERROR(INDEX(ERP資料!$A:$A, (MATCH(329, 輔助計算!$G$2:$G$801, 0)+1)), "")&lt;&gt;"", IFERROR(INDEX(ERP資料!$A:$A, (MATCH(329, 輔助計算!$G$2:$G$801, 0)+1)), "")&lt;&gt;IFERROR(INDEX(ERP資料!$A:$A, MATCH(328, 輔助計算!$G$2:$G$801, 0)+1), "")), IFERROR(INDEX(ERP資料!$A:$A, (MATCH(329, 輔助計算!$G$2:$G$801, 0)+1)), ""), ""), "")</f>
        <v/>
      </c>
      <c r="B330" s="10">
        <f>IFERROR(IF(AND(IFERROR(INDEX(ERP資料!$A:$A, (MATCH(329, 輔助計算!$G$2:$G$801, 0)+1)), "")&lt;&gt;"", IFERROR(INDEX(ERP資料!$A:$A, (MATCH(329, 輔助計算!$G$2:$G$801, 0)+1)), "")&lt;&gt;IFERROR(INDEX(ERP資料!$A:$A, MATCH(328, 輔助計算!$G$2:$G$801, 0)+1), "")), INDEX(ERP資料!$S:$S, (MATCH(329, 輔助計算!$G$2:$G$801, 0)+1)), ""), "")</f>
        <v/>
      </c>
      <c r="C330" s="19">
        <f>IFERROR(IF(AND(IFERROR(INDEX(ERP資料!$A:$A, (MATCH(329, 輔助計算!$G$2:$G$801, 0)+1)), "")&lt;&gt;"", IFERROR(INDEX(ERP資料!$A:$A, (MATCH(329, 輔助計算!$G$2:$G$801, 0)+1)), "")&lt;&gt;IFERROR(INDEX(ERP資料!$A:$A, MATCH(328, 輔助計算!$G$2:$G$801, 0)+1), "")), IFERROR(VLOOKUP(LEFT(INDEX(ERP資料!$S:$S, (MATCH(329, 輔助計算!$G$2:$G$801, 0)+1)), 4), 紙管對照表!$A:$C, 3, FALSE), ""), ""), "")</f>
        <v/>
      </c>
      <c r="D330" s="16" t="n"/>
      <c r="E330" s="10">
        <f>IFERROR(IF(INDEX(ERP資料!$H:$H, (MATCH(329, 輔助計算!$G$2:$G$801, 0)+1))="","",INDEX(ERP資料!$H:$H, (MATCH(329, 輔助計算!$G$2:$G$801, 0)+1))), "")</f>
        <v/>
      </c>
      <c r="F330" s="10">
        <f>IFERROR(IF(INDEX(ERP資料!$E:$E, (MATCH(329, 輔助計算!$G$2:$G$801, 0)+1))="","",TRIM(INDEX(ERP資料!$E:$E, (MATCH(329, 輔助計算!$G$2:$G$801, 0)+1)))), "")</f>
        <v/>
      </c>
      <c r="G330" s="10">
        <f>IFERROR(IF(INDEX(ERP資料!$F:$F, (MATCH(329, 輔助計算!$G$2:$G$801, 0)+1))="","",INDEX(ERP資料!$F:$F, (MATCH(329, 輔助計算!$G$2:$G$801, 0)+1))), "")</f>
        <v/>
      </c>
      <c r="H330" s="10">
        <f>IFERROR(IF(INDEX(ERP資料!$G:$G, (MATCH(329, 輔助計算!$G$2:$G$801, 0)+1))="","",INDEX(ERP資料!$G:$G, (MATCH(329, 輔助計算!$G$2:$G$801, 0)+1))), "")</f>
        <v/>
      </c>
      <c r="I330" s="15">
        <f>IFERROR(INDEX(輔助計算!$D:$D, (MATCH(329, 輔助計算!$G$2:$G$801, 0)+1)), "")</f>
        <v/>
      </c>
      <c r="J330" s="15">
        <f>IFERROR(IF(AND(INDEX(輔助計算!$D:$D, (MATCH(329, 輔助計算!$G$2:$G$801, 0)+1))&lt;&gt;"", INDEX(ERP資料!$G:$G, (MATCH(329, 輔助計算!$G$2:$G$801, 0)+1))&lt;&gt;""), TRIM(IF(INT(INDEX(輔助計算!$D:$D, (MATCH(329, 輔助計算!$G$2:$G$801, 0)+1))/IF(INDEX(ERP資料!$G:$G, (MATCH(329, 輔助計算!$G$2:$G$801, 0)+1))&lt;100, IF(INDEX(ERP資料!$G:$G, (MATCH(329, 輔助計算!$G$2:$G$801, 0)+1))&lt;=31,3,IF(INDEX(ERP資料!$G:$G, (MATCH(329, 輔助計算!$G$2:$G$801, 0)+1))&lt;=46.5,2,1)), IF(INDEX(ERP資料!$G:$G, (MATCH(329, 輔助計算!$G$2:$G$801, 0)+1))&lt;=790,3,IF(INDEX(ERP資料!$G:$G, (MATCH(329, 輔助計算!$G$2:$G$801, 0)+1))&lt;=1181,2,1))))&gt;0, IF(IF(INDEX(ERP資料!$G:$G, (MATCH(329, 輔助計算!$G$2:$G$801, 0)+1))&lt;100, IF(INDEX(ERP資料!$G:$G, (MATCH(329, 輔助計算!$G$2:$G$801, 0)+1))&lt;=31,3,IF(INDEX(ERP資料!$G:$G, (MATCH(329, 輔助計算!$G$2:$G$801, 0)+1))&lt;=46.5,2,1)), IF(INDEX(ERP資料!$G:$G, (MATCH(329, 輔助計算!$G$2:$G$801, 0)+1))&lt;=790,3,IF(INDEX(ERP資料!$G:$G, (MATCH(329, 輔助計算!$G$2:$G$801, 0)+1))&lt;=1181,2,1)))=1,TEXT(INDEX(ERP資料!$G:$G, (MATCH(329, 輔助計算!$G$2:$G$801, 0)+1)),"0.##"),IF(IF(INDEX(ERP資料!$G:$G, (MATCH(329, 輔助計算!$G$2:$G$801, 0)+1))&lt;100, IF(INDEX(ERP資料!$G:$G, (MATCH(329, 輔助計算!$G$2:$G$801, 0)+1))&lt;=31,3,IF(INDEX(ERP資料!$G:$G, (MATCH(329, 輔助計算!$G$2:$G$801, 0)+1))&lt;=46.5,2,1)), IF(INDEX(ERP資料!$G:$G, (MATCH(329, 輔助計算!$G$2:$G$801, 0)+1))&lt;=790,3,IF(INDEX(ERP資料!$G:$G, (MATCH(329, 輔助計算!$G$2:$G$801, 0)+1))&lt;=1181,2,1)))=2,TEXT(INDEX(ERP資料!$G:$G, (MATCH(329, 輔助計算!$G$2:$G$801, 0)+1)),"0.##")&amp;"+"&amp;TEXT(INDEX(ERP資料!$G:$G, (MATCH(329, 輔助計算!$G$2:$G$801, 0)+1)),"0.##"),TEXT(INDEX(ERP資料!$G:$G, (MATCH(329, 輔助計算!$G$2:$G$801, 0)+1)),"0.##")&amp;"+"&amp;TEXT(INDEX(ERP資料!$G:$G, (MATCH(329, 輔助計算!$G$2:$G$801, 0)+1)),"0.##")&amp;"+"&amp;TEXT(INDEX(ERP資料!$G:$G, (MATCH(329, 輔助計算!$G$2:$G$801, 0)+1)),"0.##")))&amp;"-"&amp;INT(INDEX(輔助計算!$D:$D, (MATCH(329, 輔助計算!$G$2:$G$801, 0)+1))/IF(INDEX(ERP資料!$G:$G, (MATCH(329, 輔助計算!$G$2:$G$801, 0)+1))&lt;100, IF(INDEX(ERP資料!$G:$G, (MATCH(329, 輔助計算!$G$2:$G$801, 0)+1))&lt;=31,3,IF(INDEX(ERP資料!$G:$G, (MATCH(329, 輔助計算!$G$2:$G$801, 0)+1))&lt;=46.5,2,1)), IF(INDEX(ERP資料!$G:$G, (MATCH(329, 輔助計算!$G$2:$G$801, 0)+1))&lt;=790,3,IF(INDEX(ERP資料!$G:$G, (MATCH(329, 輔助計算!$G$2:$G$801, 0)+1))&lt;=1181,2,1)))), "")&amp;IF(AND(IF(INT(INDEX(輔助計算!$D:$D, (MATCH(329, 輔助計算!$G$2:$G$801, 0)+1))/IF(INDEX(ERP資料!$G:$G, (MATCH(329, 輔助計算!$G$2:$G$801, 0)+1))&lt;100, IF(INDEX(ERP資料!$G:$G, (MATCH(329, 輔助計算!$G$2:$G$801, 0)+1))&lt;=31,3,IF(INDEX(ERP資料!$G:$G, (MATCH(329, 輔助計算!$G$2:$G$801, 0)+1))&lt;=46.5,2,1)), IF(INDEX(ERP資料!$G:$G, (MATCH(329, 輔助計算!$G$2:$G$801, 0)+1))&lt;=790,3,IF(INDEX(ERP資料!$G:$G, (MATCH(329, 輔助計算!$G$2:$G$801, 0)+1))&lt;=1181,2,1))))&gt;0, IF(IF(INDEX(ERP資料!$G:$G, (MATCH(329, 輔助計算!$G$2:$G$801, 0)+1))&lt;100, IF(INDEX(ERP資料!$G:$G, (MATCH(329, 輔助計算!$G$2:$G$801, 0)+1))&lt;=31,3,IF(INDEX(ERP資料!$G:$G, (MATCH(329, 輔助計算!$G$2:$G$801, 0)+1))&lt;=46.5,2,1)), IF(INDEX(ERP資料!$G:$G, (MATCH(329, 輔助計算!$G$2:$G$801, 0)+1))&lt;=790,3,IF(INDEX(ERP資料!$G:$G, (MATCH(329, 輔助計算!$G$2:$G$801, 0)+1))&lt;=1181,2,1)))=1,TEXT(INDEX(ERP資料!$G:$G, (MATCH(329, 輔助計算!$G$2:$G$801, 0)+1)),"0.##"),IF(IF(INDEX(ERP資料!$G:$G, (MATCH(329, 輔助計算!$G$2:$G$801, 0)+1))&lt;100, IF(INDEX(ERP資料!$G:$G, (MATCH(329, 輔助計算!$G$2:$G$801, 0)+1))&lt;=31,3,IF(INDEX(ERP資料!$G:$G, (MATCH(329, 輔助計算!$G$2:$G$801, 0)+1))&lt;=46.5,2,1)), IF(INDEX(ERP資料!$G:$G, (MATCH(329, 輔助計算!$G$2:$G$801, 0)+1))&lt;=790,3,IF(INDEX(ERP資料!$G:$G, (MATCH(329, 輔助計算!$G$2:$G$801, 0)+1))&lt;=1181,2,1)))=2,TEXT(INDEX(ERP資料!$G:$G, (MATCH(329, 輔助計算!$G$2:$G$801, 0)+1)),"0.##")&amp;"+"&amp;TEXT(INDEX(ERP資料!$G:$G, (MATCH(329, 輔助計算!$G$2:$G$801, 0)+1)),"0.##"),TEXT(INDEX(ERP資料!$G:$G, (MATCH(329, 輔助計算!$G$2:$G$801, 0)+1)),"0.##")&amp;"+"&amp;TEXT(INDEX(ERP資料!$G:$G, (MATCH(329, 輔助計算!$G$2:$G$801, 0)+1)),"0.##")&amp;"+"&amp;TEXT(INDEX(ERP資料!$G:$G, (MATCH(329, 輔助計算!$G$2:$G$801, 0)+1)),"0.##")))&amp;"-"&amp;INT(INDEX(輔助計算!$D:$D, (MATCH(329, 輔助計算!$G$2:$G$801, 0)+1))/IF(INDEX(ERP資料!$G:$G, (MATCH(329, 輔助計算!$G$2:$G$801, 0)+1))&lt;100, IF(INDEX(ERP資料!$G:$G, (MATCH(329, 輔助計算!$G$2:$G$801, 0)+1))&lt;=31,3,IF(INDEX(ERP資料!$G:$G, (MATCH(329, 輔助計算!$G$2:$G$801, 0)+1))&lt;=46.5,2,1)), IF(INDEX(ERP資料!$G:$G, (MATCH(329, 輔助計算!$G$2:$G$801, 0)+1))&lt;=790,3,IF(INDEX(ERP資料!$G:$G, (MATCH(329, 輔助計算!$G$2:$G$801, 0)+1))&lt;=1181,2,1)))), "")&lt;&gt;"",IF(MOD(INDEX(輔助計算!$D:$D, (MATCH(329, 輔助計算!$G$2:$G$801, 0)+1)),IF(INDEX(ERP資料!$G:$G, (MATCH(329, 輔助計算!$G$2:$G$801, 0)+1))&lt;100, IF(INDEX(ERP資料!$G:$G, (MATCH(329, 輔助計算!$G$2:$G$801, 0)+1))&lt;=31,3,IF(INDEX(ERP資料!$G:$G, (MATCH(329, 輔助計算!$G$2:$G$801, 0)+1))&lt;=46.5,2,1)), IF(INDEX(ERP資料!$G:$G, (MATCH(329, 輔助計算!$G$2:$G$801, 0)+1))&lt;=790,3,IF(INDEX(ERP資料!$G:$G, (MATCH(329, 輔助計算!$G$2:$G$801, 0)+1))&lt;=1181,2,1))))=0,"",IF(MOD(INDEX(輔助計算!$D:$D, (MATCH(329, 輔助計算!$G$2:$G$801, 0)+1)),IF(INDEX(ERP資料!$G:$G, (MATCH(329, 輔助計算!$G$2:$G$801, 0)+1))&lt;100, IF(INDEX(ERP資料!$G:$G, (MATCH(329, 輔助計算!$G$2:$G$801, 0)+1))&lt;=31,3,IF(INDEX(ERP資料!$G:$G, (MATCH(329, 輔助計算!$G$2:$G$801, 0)+1))&lt;=46.5,2,1)), IF(INDEX(ERP資料!$G:$G, (MATCH(329, 輔助計算!$G$2:$G$801, 0)+1))&lt;=790,3,IF(INDEX(ERP資料!$G:$G, (MATCH(329, 輔助計算!$G$2:$G$801, 0)+1))&lt;=1181,2,1))))=0,"",IF(MOD(INDEX(輔助計算!$D:$D, (MATCH(329, 輔助計算!$G$2:$G$801, 0)+1)),IF(INDEX(ERP資料!$G:$G, (MATCH(329, 輔助計算!$G$2:$G$801, 0)+1))&lt;100, IF(INDEX(ERP資料!$G:$G, (MATCH(329, 輔助計算!$G$2:$G$801, 0)+1))&lt;=31,3,IF(INDEX(ERP資料!$G:$G, (MATCH(329, 輔助計算!$G$2:$G$801, 0)+1))&lt;=46.5,2,1)), IF(INDEX(ERP資料!$G:$G, (MATCH(329, 輔助計算!$G$2:$G$801, 0)+1))&lt;=790,3,IF(INDEX(ERP資料!$G:$G, (MATCH(329, 輔助計算!$G$2:$G$801, 0)+1))&lt;=1181,2,1))))=1,TEXT(INDEX(ERP資料!$G:$G, (MATCH(329, 輔助計算!$G$2:$G$801, 0)+1)),"0.##"),IF(MOD(INDEX(輔助計算!$D:$D, (MATCH(329, 輔助計算!$G$2:$G$801, 0)+1)),IF(INDEX(ERP資料!$G:$G, (MATCH(329, 輔助計算!$G$2:$G$801, 0)+1))&lt;100, IF(INDEX(ERP資料!$G:$G, (MATCH(329, 輔助計算!$G$2:$G$801, 0)+1))&lt;=31,3,IF(INDEX(ERP資料!$G:$G, (MATCH(329, 輔助計算!$G$2:$G$801, 0)+1))&lt;=46.5,2,1)), IF(INDEX(ERP資料!$G:$G, (MATCH(329, 輔助計算!$G$2:$G$801, 0)+1))&lt;=790,3,IF(INDEX(ERP資料!$G:$G, (MATCH(329, 輔助計算!$G$2:$G$801, 0)+1))&lt;=1181,2,1))))=2,TEXT(INDEX(ERP資料!$G:$G, (MATCH(329, 輔助計算!$G$2:$G$801, 0)+1)),"0.##")&amp;"+"&amp;TEXT(INDEX(ERP資料!$G:$G, (MATCH(329, 輔助計算!$G$2:$G$801, 0)+1)),"0.##"),TEXT(INDEX(ERP資料!$G:$G, (MATCH(329, 輔助計算!$G$2:$G$801, 0)+1)),"0.##")&amp;"+"&amp;TEXT(INDEX(ERP資料!$G:$G, (MATCH(329, 輔助計算!$G$2:$G$801, 0)+1)),"0.##")&amp;"+"&amp;TEXT(INDEX(ERP資料!$G:$G, (MATCH(329, 輔助計算!$G$2:$G$801, 0)+1)),"0.##"))))&amp;"-1")&lt;&gt;""),"  ","")&amp;IF(MOD(INDEX(輔助計算!$D:$D, (MATCH(329, 輔助計算!$G$2:$G$801, 0)+1)),IF(INDEX(ERP資料!$G:$G, (MATCH(329, 輔助計算!$G$2:$G$801, 0)+1))&lt;100, IF(INDEX(ERP資料!$G:$G, (MATCH(329, 輔助計算!$G$2:$G$801, 0)+1))&lt;=31,3,IF(INDEX(ERP資料!$G:$G, (MATCH(329, 輔助計算!$G$2:$G$801, 0)+1))&lt;=46.5,2,1)), IF(INDEX(ERP資料!$G:$G, (MATCH(329, 輔助計算!$G$2:$G$801, 0)+1))&lt;=790,3,IF(INDEX(ERP資料!$G:$G, (MATCH(329, 輔助計算!$G$2:$G$801, 0)+1))&lt;=1181,2,1))))=0,"",IF(MOD(INDEX(輔助計算!$D:$D, (MATCH(329, 輔助計算!$G$2:$G$801, 0)+1)),IF(INDEX(ERP資料!$G:$G, (MATCH(329, 輔助計算!$G$2:$G$801, 0)+1))&lt;100, IF(INDEX(ERP資料!$G:$G, (MATCH(329, 輔助計算!$G$2:$G$801, 0)+1))&lt;=31,3,IF(INDEX(ERP資料!$G:$G, (MATCH(329, 輔助計算!$G$2:$G$801, 0)+1))&lt;=46.5,2,1)), IF(INDEX(ERP資料!$G:$G, (MATCH(329, 輔助計算!$G$2:$G$801, 0)+1))&lt;=790,3,IF(INDEX(ERP資料!$G:$G, (MATCH(329, 輔助計算!$G$2:$G$801, 0)+1))&lt;=1181,2,1))))=0,"",IF(MOD(INDEX(輔助計算!$D:$D, (MATCH(329, 輔助計算!$G$2:$G$801, 0)+1)),IF(INDEX(ERP資料!$G:$G, (MATCH(329, 輔助計算!$G$2:$G$801, 0)+1))&lt;100, IF(INDEX(ERP資料!$G:$G, (MATCH(329, 輔助計算!$G$2:$G$801, 0)+1))&lt;=31,3,IF(INDEX(ERP資料!$G:$G, (MATCH(329, 輔助計算!$G$2:$G$801, 0)+1))&lt;=46.5,2,1)), IF(INDEX(ERP資料!$G:$G, (MATCH(329, 輔助計算!$G$2:$G$801, 0)+1))&lt;=790,3,IF(INDEX(ERP資料!$G:$G, (MATCH(329, 輔助計算!$G$2:$G$801, 0)+1))&lt;=1181,2,1))))=1,TEXT(INDEX(ERP資料!$G:$G, (MATCH(329, 輔助計算!$G$2:$G$801, 0)+1)),"0.##"),IF(MOD(INDEX(輔助計算!$D:$D, (MATCH(329, 輔助計算!$G$2:$G$801, 0)+1)),IF(INDEX(ERP資料!$G:$G, (MATCH(329, 輔助計算!$G$2:$G$801, 0)+1))&lt;100, IF(INDEX(ERP資料!$G:$G, (MATCH(329, 輔助計算!$G$2:$G$801, 0)+1))&lt;=31,3,IF(INDEX(ERP資料!$G:$G, (MATCH(329, 輔助計算!$G$2:$G$801, 0)+1))&lt;=46.5,2,1)), IF(INDEX(ERP資料!$G:$G, (MATCH(329, 輔助計算!$G$2:$G$801, 0)+1))&lt;=790,3,IF(INDEX(ERP資料!$G:$G, (MATCH(329, 輔助計算!$G$2:$G$801, 0)+1))&lt;=1181,2,1))))=2,TEXT(INDEX(ERP資料!$G:$G, (MATCH(329, 輔助計算!$G$2:$G$801, 0)+1)),"0.##")&amp;"+"&amp;TEXT(INDEX(ERP資料!$G:$G, (MATCH(329, 輔助計算!$G$2:$G$801, 0)+1)),"0.##"),TEXT(INDEX(ERP資料!$G:$G, (MATCH(329, 輔助計算!$G$2:$G$801, 0)+1)),"0.##")&amp;"+"&amp;TEXT(INDEX(ERP資料!$G:$G, (MATCH(329, 輔助計算!$G$2:$G$801, 0)+1)),"0.##")&amp;"+"&amp;TEXT(INDEX(ERP資料!$G:$G, (MATCH(329, 輔助計算!$G$2:$G$801, 0)+1)),"0.##"))))&amp;"-1")), ""), "")</f>
        <v/>
      </c>
      <c r="K330" s="16" t="n"/>
      <c r="L330" s="14">
        <f>IFERROR(IF(AND(IFERROR(INDEX(ERP資料!$A:$A, (MATCH(329, 輔助計算!$G$2:$G$801, 0)+1)), "")&lt;&gt;"", IFERROR(INDEX(ERP資料!$A:$A, (MATCH(329, 輔助計算!$G$2:$G$801, 0)+1)), "")&lt;&gt;IFERROR(INDEX(ERP資料!$A:$A, MATCH(328, 輔助計算!$G$2:$G$801, 0)+1), "")), INDEX(ERP資料!$B:$B, (MATCH(329, 輔助計算!$G$2:$G$801, 0)+1)), ""), "")</f>
        <v/>
      </c>
      <c r="M330" s="17" t="n"/>
    </row>
    <row r="331">
      <c r="A331" s="10">
        <f>IFERROR(IF(AND(IFERROR(INDEX(ERP資料!$A:$A, (MATCH(330, 輔助計算!$G$2:$G$801, 0)+1)), "")&lt;&gt;"", IFERROR(INDEX(ERP資料!$A:$A, (MATCH(330, 輔助計算!$G$2:$G$801, 0)+1)), "")&lt;&gt;IFERROR(INDEX(ERP資料!$A:$A, MATCH(329, 輔助計算!$G$2:$G$801, 0)+1), "")), IFERROR(INDEX(ERP資料!$A:$A, (MATCH(330, 輔助計算!$G$2:$G$801, 0)+1)), ""), ""), "")</f>
        <v/>
      </c>
      <c r="B331" s="10">
        <f>IFERROR(IF(AND(IFERROR(INDEX(ERP資料!$A:$A, (MATCH(330, 輔助計算!$G$2:$G$801, 0)+1)), "")&lt;&gt;"", IFERROR(INDEX(ERP資料!$A:$A, (MATCH(330, 輔助計算!$G$2:$G$801, 0)+1)), "")&lt;&gt;IFERROR(INDEX(ERP資料!$A:$A, MATCH(329, 輔助計算!$G$2:$G$801, 0)+1), "")), INDEX(ERP資料!$S:$S, (MATCH(330, 輔助計算!$G$2:$G$801, 0)+1)), ""), "")</f>
        <v/>
      </c>
      <c r="C331" s="19">
        <f>IFERROR(IF(AND(IFERROR(INDEX(ERP資料!$A:$A, (MATCH(330, 輔助計算!$G$2:$G$801, 0)+1)), "")&lt;&gt;"", IFERROR(INDEX(ERP資料!$A:$A, (MATCH(330, 輔助計算!$G$2:$G$801, 0)+1)), "")&lt;&gt;IFERROR(INDEX(ERP資料!$A:$A, MATCH(329, 輔助計算!$G$2:$G$801, 0)+1), "")), IFERROR(VLOOKUP(LEFT(INDEX(ERP資料!$S:$S, (MATCH(330, 輔助計算!$G$2:$G$801, 0)+1)), 4), 紙管對照表!$A:$C, 3, FALSE), ""), ""), "")</f>
        <v/>
      </c>
      <c r="D331" s="16" t="n"/>
      <c r="E331" s="10">
        <f>IFERROR(IF(INDEX(ERP資料!$H:$H, (MATCH(330, 輔助計算!$G$2:$G$801, 0)+1))="","",INDEX(ERP資料!$H:$H, (MATCH(330, 輔助計算!$G$2:$G$801, 0)+1))), "")</f>
        <v/>
      </c>
      <c r="F331" s="10">
        <f>IFERROR(IF(INDEX(ERP資料!$E:$E, (MATCH(330, 輔助計算!$G$2:$G$801, 0)+1))="","",TRIM(INDEX(ERP資料!$E:$E, (MATCH(330, 輔助計算!$G$2:$G$801, 0)+1)))), "")</f>
        <v/>
      </c>
      <c r="G331" s="10">
        <f>IFERROR(IF(INDEX(ERP資料!$F:$F, (MATCH(330, 輔助計算!$G$2:$G$801, 0)+1))="","",INDEX(ERP資料!$F:$F, (MATCH(330, 輔助計算!$G$2:$G$801, 0)+1))), "")</f>
        <v/>
      </c>
      <c r="H331" s="10">
        <f>IFERROR(IF(INDEX(ERP資料!$G:$G, (MATCH(330, 輔助計算!$G$2:$G$801, 0)+1))="","",INDEX(ERP資料!$G:$G, (MATCH(330, 輔助計算!$G$2:$G$801, 0)+1))), "")</f>
        <v/>
      </c>
      <c r="I331" s="15">
        <f>IFERROR(INDEX(輔助計算!$D:$D, (MATCH(330, 輔助計算!$G$2:$G$801, 0)+1)), "")</f>
        <v/>
      </c>
      <c r="J331" s="15">
        <f>IFERROR(IF(AND(INDEX(輔助計算!$D:$D, (MATCH(330, 輔助計算!$G$2:$G$801, 0)+1))&lt;&gt;"", INDEX(ERP資料!$G:$G, (MATCH(330, 輔助計算!$G$2:$G$801, 0)+1))&lt;&gt;""), TRIM(IF(INT(INDEX(輔助計算!$D:$D, (MATCH(330, 輔助計算!$G$2:$G$801, 0)+1))/IF(INDEX(ERP資料!$G:$G, (MATCH(330, 輔助計算!$G$2:$G$801, 0)+1))&lt;100, IF(INDEX(ERP資料!$G:$G, (MATCH(330, 輔助計算!$G$2:$G$801, 0)+1))&lt;=31,3,IF(INDEX(ERP資料!$G:$G, (MATCH(330, 輔助計算!$G$2:$G$801, 0)+1))&lt;=46.5,2,1)), IF(INDEX(ERP資料!$G:$G, (MATCH(330, 輔助計算!$G$2:$G$801, 0)+1))&lt;=790,3,IF(INDEX(ERP資料!$G:$G, (MATCH(330, 輔助計算!$G$2:$G$801, 0)+1))&lt;=1181,2,1))))&gt;0, IF(IF(INDEX(ERP資料!$G:$G, (MATCH(330, 輔助計算!$G$2:$G$801, 0)+1))&lt;100, IF(INDEX(ERP資料!$G:$G, (MATCH(330, 輔助計算!$G$2:$G$801, 0)+1))&lt;=31,3,IF(INDEX(ERP資料!$G:$G, (MATCH(330, 輔助計算!$G$2:$G$801, 0)+1))&lt;=46.5,2,1)), IF(INDEX(ERP資料!$G:$G, (MATCH(330, 輔助計算!$G$2:$G$801, 0)+1))&lt;=790,3,IF(INDEX(ERP資料!$G:$G, (MATCH(330, 輔助計算!$G$2:$G$801, 0)+1))&lt;=1181,2,1)))=1,TEXT(INDEX(ERP資料!$G:$G, (MATCH(330, 輔助計算!$G$2:$G$801, 0)+1)),"0.##"),IF(IF(INDEX(ERP資料!$G:$G, (MATCH(330, 輔助計算!$G$2:$G$801, 0)+1))&lt;100, IF(INDEX(ERP資料!$G:$G, (MATCH(330, 輔助計算!$G$2:$G$801, 0)+1))&lt;=31,3,IF(INDEX(ERP資料!$G:$G, (MATCH(330, 輔助計算!$G$2:$G$801, 0)+1))&lt;=46.5,2,1)), IF(INDEX(ERP資料!$G:$G, (MATCH(330, 輔助計算!$G$2:$G$801, 0)+1))&lt;=790,3,IF(INDEX(ERP資料!$G:$G, (MATCH(330, 輔助計算!$G$2:$G$801, 0)+1))&lt;=1181,2,1)))=2,TEXT(INDEX(ERP資料!$G:$G, (MATCH(330, 輔助計算!$G$2:$G$801, 0)+1)),"0.##")&amp;"+"&amp;TEXT(INDEX(ERP資料!$G:$G, (MATCH(330, 輔助計算!$G$2:$G$801, 0)+1)),"0.##"),TEXT(INDEX(ERP資料!$G:$G, (MATCH(330, 輔助計算!$G$2:$G$801, 0)+1)),"0.##")&amp;"+"&amp;TEXT(INDEX(ERP資料!$G:$G, (MATCH(330, 輔助計算!$G$2:$G$801, 0)+1)),"0.##")&amp;"+"&amp;TEXT(INDEX(ERP資料!$G:$G, (MATCH(330, 輔助計算!$G$2:$G$801, 0)+1)),"0.##")))&amp;"-"&amp;INT(INDEX(輔助計算!$D:$D, (MATCH(330, 輔助計算!$G$2:$G$801, 0)+1))/IF(INDEX(ERP資料!$G:$G, (MATCH(330, 輔助計算!$G$2:$G$801, 0)+1))&lt;100, IF(INDEX(ERP資料!$G:$G, (MATCH(330, 輔助計算!$G$2:$G$801, 0)+1))&lt;=31,3,IF(INDEX(ERP資料!$G:$G, (MATCH(330, 輔助計算!$G$2:$G$801, 0)+1))&lt;=46.5,2,1)), IF(INDEX(ERP資料!$G:$G, (MATCH(330, 輔助計算!$G$2:$G$801, 0)+1))&lt;=790,3,IF(INDEX(ERP資料!$G:$G, (MATCH(330, 輔助計算!$G$2:$G$801, 0)+1))&lt;=1181,2,1)))), "")&amp;IF(AND(IF(INT(INDEX(輔助計算!$D:$D, (MATCH(330, 輔助計算!$G$2:$G$801, 0)+1))/IF(INDEX(ERP資料!$G:$G, (MATCH(330, 輔助計算!$G$2:$G$801, 0)+1))&lt;100, IF(INDEX(ERP資料!$G:$G, (MATCH(330, 輔助計算!$G$2:$G$801, 0)+1))&lt;=31,3,IF(INDEX(ERP資料!$G:$G, (MATCH(330, 輔助計算!$G$2:$G$801, 0)+1))&lt;=46.5,2,1)), IF(INDEX(ERP資料!$G:$G, (MATCH(330, 輔助計算!$G$2:$G$801, 0)+1))&lt;=790,3,IF(INDEX(ERP資料!$G:$G, (MATCH(330, 輔助計算!$G$2:$G$801, 0)+1))&lt;=1181,2,1))))&gt;0, IF(IF(INDEX(ERP資料!$G:$G, (MATCH(330, 輔助計算!$G$2:$G$801, 0)+1))&lt;100, IF(INDEX(ERP資料!$G:$G, (MATCH(330, 輔助計算!$G$2:$G$801, 0)+1))&lt;=31,3,IF(INDEX(ERP資料!$G:$G, (MATCH(330, 輔助計算!$G$2:$G$801, 0)+1))&lt;=46.5,2,1)), IF(INDEX(ERP資料!$G:$G, (MATCH(330, 輔助計算!$G$2:$G$801, 0)+1))&lt;=790,3,IF(INDEX(ERP資料!$G:$G, (MATCH(330, 輔助計算!$G$2:$G$801, 0)+1))&lt;=1181,2,1)))=1,TEXT(INDEX(ERP資料!$G:$G, (MATCH(330, 輔助計算!$G$2:$G$801, 0)+1)),"0.##"),IF(IF(INDEX(ERP資料!$G:$G, (MATCH(330, 輔助計算!$G$2:$G$801, 0)+1))&lt;100, IF(INDEX(ERP資料!$G:$G, (MATCH(330, 輔助計算!$G$2:$G$801, 0)+1))&lt;=31,3,IF(INDEX(ERP資料!$G:$G, (MATCH(330, 輔助計算!$G$2:$G$801, 0)+1))&lt;=46.5,2,1)), IF(INDEX(ERP資料!$G:$G, (MATCH(330, 輔助計算!$G$2:$G$801, 0)+1))&lt;=790,3,IF(INDEX(ERP資料!$G:$G, (MATCH(330, 輔助計算!$G$2:$G$801, 0)+1))&lt;=1181,2,1)))=2,TEXT(INDEX(ERP資料!$G:$G, (MATCH(330, 輔助計算!$G$2:$G$801, 0)+1)),"0.##")&amp;"+"&amp;TEXT(INDEX(ERP資料!$G:$G, (MATCH(330, 輔助計算!$G$2:$G$801, 0)+1)),"0.##"),TEXT(INDEX(ERP資料!$G:$G, (MATCH(330, 輔助計算!$G$2:$G$801, 0)+1)),"0.##")&amp;"+"&amp;TEXT(INDEX(ERP資料!$G:$G, (MATCH(330, 輔助計算!$G$2:$G$801, 0)+1)),"0.##")&amp;"+"&amp;TEXT(INDEX(ERP資料!$G:$G, (MATCH(330, 輔助計算!$G$2:$G$801, 0)+1)),"0.##")))&amp;"-"&amp;INT(INDEX(輔助計算!$D:$D, (MATCH(330, 輔助計算!$G$2:$G$801, 0)+1))/IF(INDEX(ERP資料!$G:$G, (MATCH(330, 輔助計算!$G$2:$G$801, 0)+1))&lt;100, IF(INDEX(ERP資料!$G:$G, (MATCH(330, 輔助計算!$G$2:$G$801, 0)+1))&lt;=31,3,IF(INDEX(ERP資料!$G:$G, (MATCH(330, 輔助計算!$G$2:$G$801, 0)+1))&lt;=46.5,2,1)), IF(INDEX(ERP資料!$G:$G, (MATCH(330, 輔助計算!$G$2:$G$801, 0)+1))&lt;=790,3,IF(INDEX(ERP資料!$G:$G, (MATCH(330, 輔助計算!$G$2:$G$801, 0)+1))&lt;=1181,2,1)))), "")&lt;&gt;"",IF(MOD(INDEX(輔助計算!$D:$D, (MATCH(330, 輔助計算!$G$2:$G$801, 0)+1)),IF(INDEX(ERP資料!$G:$G, (MATCH(330, 輔助計算!$G$2:$G$801, 0)+1))&lt;100, IF(INDEX(ERP資料!$G:$G, (MATCH(330, 輔助計算!$G$2:$G$801, 0)+1))&lt;=31,3,IF(INDEX(ERP資料!$G:$G, (MATCH(330, 輔助計算!$G$2:$G$801, 0)+1))&lt;=46.5,2,1)), IF(INDEX(ERP資料!$G:$G, (MATCH(330, 輔助計算!$G$2:$G$801, 0)+1))&lt;=790,3,IF(INDEX(ERP資料!$G:$G, (MATCH(330, 輔助計算!$G$2:$G$801, 0)+1))&lt;=1181,2,1))))=0,"",IF(MOD(INDEX(輔助計算!$D:$D, (MATCH(330, 輔助計算!$G$2:$G$801, 0)+1)),IF(INDEX(ERP資料!$G:$G, (MATCH(330, 輔助計算!$G$2:$G$801, 0)+1))&lt;100, IF(INDEX(ERP資料!$G:$G, (MATCH(330, 輔助計算!$G$2:$G$801, 0)+1))&lt;=31,3,IF(INDEX(ERP資料!$G:$G, (MATCH(330, 輔助計算!$G$2:$G$801, 0)+1))&lt;=46.5,2,1)), IF(INDEX(ERP資料!$G:$G, (MATCH(330, 輔助計算!$G$2:$G$801, 0)+1))&lt;=790,3,IF(INDEX(ERP資料!$G:$G, (MATCH(330, 輔助計算!$G$2:$G$801, 0)+1))&lt;=1181,2,1))))=0,"",IF(MOD(INDEX(輔助計算!$D:$D, (MATCH(330, 輔助計算!$G$2:$G$801, 0)+1)),IF(INDEX(ERP資料!$G:$G, (MATCH(330, 輔助計算!$G$2:$G$801, 0)+1))&lt;100, IF(INDEX(ERP資料!$G:$G, (MATCH(330, 輔助計算!$G$2:$G$801, 0)+1))&lt;=31,3,IF(INDEX(ERP資料!$G:$G, (MATCH(330, 輔助計算!$G$2:$G$801, 0)+1))&lt;=46.5,2,1)), IF(INDEX(ERP資料!$G:$G, (MATCH(330, 輔助計算!$G$2:$G$801, 0)+1))&lt;=790,3,IF(INDEX(ERP資料!$G:$G, (MATCH(330, 輔助計算!$G$2:$G$801, 0)+1))&lt;=1181,2,1))))=1,TEXT(INDEX(ERP資料!$G:$G, (MATCH(330, 輔助計算!$G$2:$G$801, 0)+1)),"0.##"),IF(MOD(INDEX(輔助計算!$D:$D, (MATCH(330, 輔助計算!$G$2:$G$801, 0)+1)),IF(INDEX(ERP資料!$G:$G, (MATCH(330, 輔助計算!$G$2:$G$801, 0)+1))&lt;100, IF(INDEX(ERP資料!$G:$G, (MATCH(330, 輔助計算!$G$2:$G$801, 0)+1))&lt;=31,3,IF(INDEX(ERP資料!$G:$G, (MATCH(330, 輔助計算!$G$2:$G$801, 0)+1))&lt;=46.5,2,1)), IF(INDEX(ERP資料!$G:$G, (MATCH(330, 輔助計算!$G$2:$G$801, 0)+1))&lt;=790,3,IF(INDEX(ERP資料!$G:$G, (MATCH(330, 輔助計算!$G$2:$G$801, 0)+1))&lt;=1181,2,1))))=2,TEXT(INDEX(ERP資料!$G:$G, (MATCH(330, 輔助計算!$G$2:$G$801, 0)+1)),"0.##")&amp;"+"&amp;TEXT(INDEX(ERP資料!$G:$G, (MATCH(330, 輔助計算!$G$2:$G$801, 0)+1)),"0.##"),TEXT(INDEX(ERP資料!$G:$G, (MATCH(330, 輔助計算!$G$2:$G$801, 0)+1)),"0.##")&amp;"+"&amp;TEXT(INDEX(ERP資料!$G:$G, (MATCH(330, 輔助計算!$G$2:$G$801, 0)+1)),"0.##")&amp;"+"&amp;TEXT(INDEX(ERP資料!$G:$G, (MATCH(330, 輔助計算!$G$2:$G$801, 0)+1)),"0.##"))))&amp;"-1")&lt;&gt;""),"  ","")&amp;IF(MOD(INDEX(輔助計算!$D:$D, (MATCH(330, 輔助計算!$G$2:$G$801, 0)+1)),IF(INDEX(ERP資料!$G:$G, (MATCH(330, 輔助計算!$G$2:$G$801, 0)+1))&lt;100, IF(INDEX(ERP資料!$G:$G, (MATCH(330, 輔助計算!$G$2:$G$801, 0)+1))&lt;=31,3,IF(INDEX(ERP資料!$G:$G, (MATCH(330, 輔助計算!$G$2:$G$801, 0)+1))&lt;=46.5,2,1)), IF(INDEX(ERP資料!$G:$G, (MATCH(330, 輔助計算!$G$2:$G$801, 0)+1))&lt;=790,3,IF(INDEX(ERP資料!$G:$G, (MATCH(330, 輔助計算!$G$2:$G$801, 0)+1))&lt;=1181,2,1))))=0,"",IF(MOD(INDEX(輔助計算!$D:$D, (MATCH(330, 輔助計算!$G$2:$G$801, 0)+1)),IF(INDEX(ERP資料!$G:$G, (MATCH(330, 輔助計算!$G$2:$G$801, 0)+1))&lt;100, IF(INDEX(ERP資料!$G:$G, (MATCH(330, 輔助計算!$G$2:$G$801, 0)+1))&lt;=31,3,IF(INDEX(ERP資料!$G:$G, (MATCH(330, 輔助計算!$G$2:$G$801, 0)+1))&lt;=46.5,2,1)), IF(INDEX(ERP資料!$G:$G, (MATCH(330, 輔助計算!$G$2:$G$801, 0)+1))&lt;=790,3,IF(INDEX(ERP資料!$G:$G, (MATCH(330, 輔助計算!$G$2:$G$801, 0)+1))&lt;=1181,2,1))))=0,"",IF(MOD(INDEX(輔助計算!$D:$D, (MATCH(330, 輔助計算!$G$2:$G$801, 0)+1)),IF(INDEX(ERP資料!$G:$G, (MATCH(330, 輔助計算!$G$2:$G$801, 0)+1))&lt;100, IF(INDEX(ERP資料!$G:$G, (MATCH(330, 輔助計算!$G$2:$G$801, 0)+1))&lt;=31,3,IF(INDEX(ERP資料!$G:$G, (MATCH(330, 輔助計算!$G$2:$G$801, 0)+1))&lt;=46.5,2,1)), IF(INDEX(ERP資料!$G:$G, (MATCH(330, 輔助計算!$G$2:$G$801, 0)+1))&lt;=790,3,IF(INDEX(ERP資料!$G:$G, (MATCH(330, 輔助計算!$G$2:$G$801, 0)+1))&lt;=1181,2,1))))=1,TEXT(INDEX(ERP資料!$G:$G, (MATCH(330, 輔助計算!$G$2:$G$801, 0)+1)),"0.##"),IF(MOD(INDEX(輔助計算!$D:$D, (MATCH(330, 輔助計算!$G$2:$G$801, 0)+1)),IF(INDEX(ERP資料!$G:$G, (MATCH(330, 輔助計算!$G$2:$G$801, 0)+1))&lt;100, IF(INDEX(ERP資料!$G:$G, (MATCH(330, 輔助計算!$G$2:$G$801, 0)+1))&lt;=31,3,IF(INDEX(ERP資料!$G:$G, (MATCH(330, 輔助計算!$G$2:$G$801, 0)+1))&lt;=46.5,2,1)), IF(INDEX(ERP資料!$G:$G, (MATCH(330, 輔助計算!$G$2:$G$801, 0)+1))&lt;=790,3,IF(INDEX(ERP資料!$G:$G, (MATCH(330, 輔助計算!$G$2:$G$801, 0)+1))&lt;=1181,2,1))))=2,TEXT(INDEX(ERP資料!$G:$G, (MATCH(330, 輔助計算!$G$2:$G$801, 0)+1)),"0.##")&amp;"+"&amp;TEXT(INDEX(ERP資料!$G:$G, (MATCH(330, 輔助計算!$G$2:$G$801, 0)+1)),"0.##"),TEXT(INDEX(ERP資料!$G:$G, (MATCH(330, 輔助計算!$G$2:$G$801, 0)+1)),"0.##")&amp;"+"&amp;TEXT(INDEX(ERP資料!$G:$G, (MATCH(330, 輔助計算!$G$2:$G$801, 0)+1)),"0.##")&amp;"+"&amp;TEXT(INDEX(ERP資料!$G:$G, (MATCH(330, 輔助計算!$G$2:$G$801, 0)+1)),"0.##"))))&amp;"-1")), ""), "")</f>
        <v/>
      </c>
      <c r="K331" s="16" t="n"/>
      <c r="L331" s="14">
        <f>IFERROR(IF(AND(IFERROR(INDEX(ERP資料!$A:$A, (MATCH(330, 輔助計算!$G$2:$G$801, 0)+1)), "")&lt;&gt;"", IFERROR(INDEX(ERP資料!$A:$A, (MATCH(330, 輔助計算!$G$2:$G$801, 0)+1)), "")&lt;&gt;IFERROR(INDEX(ERP資料!$A:$A, MATCH(329, 輔助計算!$G$2:$G$801, 0)+1), "")), INDEX(ERP資料!$B:$B, (MATCH(330, 輔助計算!$G$2:$G$801, 0)+1)), ""), "")</f>
        <v/>
      </c>
      <c r="M331" s="17" t="n"/>
    </row>
    <row r="332">
      <c r="A332" s="10">
        <f>IFERROR(IF(AND(IFERROR(INDEX(ERP資料!$A:$A, (MATCH(331, 輔助計算!$G$2:$G$801, 0)+1)), "")&lt;&gt;"", IFERROR(INDEX(ERP資料!$A:$A, (MATCH(331, 輔助計算!$G$2:$G$801, 0)+1)), "")&lt;&gt;IFERROR(INDEX(ERP資料!$A:$A, MATCH(330, 輔助計算!$G$2:$G$801, 0)+1), "")), IFERROR(INDEX(ERP資料!$A:$A, (MATCH(331, 輔助計算!$G$2:$G$801, 0)+1)), ""), ""), "")</f>
        <v/>
      </c>
      <c r="B332" s="10">
        <f>IFERROR(IF(AND(IFERROR(INDEX(ERP資料!$A:$A, (MATCH(331, 輔助計算!$G$2:$G$801, 0)+1)), "")&lt;&gt;"", IFERROR(INDEX(ERP資料!$A:$A, (MATCH(331, 輔助計算!$G$2:$G$801, 0)+1)), "")&lt;&gt;IFERROR(INDEX(ERP資料!$A:$A, MATCH(330, 輔助計算!$G$2:$G$801, 0)+1), "")), INDEX(ERP資料!$S:$S, (MATCH(331, 輔助計算!$G$2:$G$801, 0)+1)), ""), "")</f>
        <v/>
      </c>
      <c r="C332" s="19">
        <f>IFERROR(IF(AND(IFERROR(INDEX(ERP資料!$A:$A, (MATCH(331, 輔助計算!$G$2:$G$801, 0)+1)), "")&lt;&gt;"", IFERROR(INDEX(ERP資料!$A:$A, (MATCH(331, 輔助計算!$G$2:$G$801, 0)+1)), "")&lt;&gt;IFERROR(INDEX(ERP資料!$A:$A, MATCH(330, 輔助計算!$G$2:$G$801, 0)+1), "")), IFERROR(VLOOKUP(LEFT(INDEX(ERP資料!$S:$S, (MATCH(331, 輔助計算!$G$2:$G$801, 0)+1)), 4), 紙管對照表!$A:$C, 3, FALSE), ""), ""), "")</f>
        <v/>
      </c>
      <c r="D332" s="16" t="n"/>
      <c r="E332" s="10">
        <f>IFERROR(IF(INDEX(ERP資料!$H:$H, (MATCH(331, 輔助計算!$G$2:$G$801, 0)+1))="","",INDEX(ERP資料!$H:$H, (MATCH(331, 輔助計算!$G$2:$G$801, 0)+1))), "")</f>
        <v/>
      </c>
      <c r="F332" s="10">
        <f>IFERROR(IF(INDEX(ERP資料!$E:$E, (MATCH(331, 輔助計算!$G$2:$G$801, 0)+1))="","",TRIM(INDEX(ERP資料!$E:$E, (MATCH(331, 輔助計算!$G$2:$G$801, 0)+1)))), "")</f>
        <v/>
      </c>
      <c r="G332" s="10">
        <f>IFERROR(IF(INDEX(ERP資料!$F:$F, (MATCH(331, 輔助計算!$G$2:$G$801, 0)+1))="","",INDEX(ERP資料!$F:$F, (MATCH(331, 輔助計算!$G$2:$G$801, 0)+1))), "")</f>
        <v/>
      </c>
      <c r="H332" s="10">
        <f>IFERROR(IF(INDEX(ERP資料!$G:$G, (MATCH(331, 輔助計算!$G$2:$G$801, 0)+1))="","",INDEX(ERP資料!$G:$G, (MATCH(331, 輔助計算!$G$2:$G$801, 0)+1))), "")</f>
        <v/>
      </c>
      <c r="I332" s="15">
        <f>IFERROR(INDEX(輔助計算!$D:$D, (MATCH(331, 輔助計算!$G$2:$G$801, 0)+1)), "")</f>
        <v/>
      </c>
      <c r="J332" s="15">
        <f>IFERROR(IF(AND(INDEX(輔助計算!$D:$D, (MATCH(331, 輔助計算!$G$2:$G$801, 0)+1))&lt;&gt;"", INDEX(ERP資料!$G:$G, (MATCH(331, 輔助計算!$G$2:$G$801, 0)+1))&lt;&gt;""), TRIM(IF(INT(INDEX(輔助計算!$D:$D, (MATCH(331, 輔助計算!$G$2:$G$801, 0)+1))/IF(INDEX(ERP資料!$G:$G, (MATCH(331, 輔助計算!$G$2:$G$801, 0)+1))&lt;100, IF(INDEX(ERP資料!$G:$G, (MATCH(331, 輔助計算!$G$2:$G$801, 0)+1))&lt;=31,3,IF(INDEX(ERP資料!$G:$G, (MATCH(331, 輔助計算!$G$2:$G$801, 0)+1))&lt;=46.5,2,1)), IF(INDEX(ERP資料!$G:$G, (MATCH(331, 輔助計算!$G$2:$G$801, 0)+1))&lt;=790,3,IF(INDEX(ERP資料!$G:$G, (MATCH(331, 輔助計算!$G$2:$G$801, 0)+1))&lt;=1181,2,1))))&gt;0, IF(IF(INDEX(ERP資料!$G:$G, (MATCH(331, 輔助計算!$G$2:$G$801, 0)+1))&lt;100, IF(INDEX(ERP資料!$G:$G, (MATCH(331, 輔助計算!$G$2:$G$801, 0)+1))&lt;=31,3,IF(INDEX(ERP資料!$G:$G, (MATCH(331, 輔助計算!$G$2:$G$801, 0)+1))&lt;=46.5,2,1)), IF(INDEX(ERP資料!$G:$G, (MATCH(331, 輔助計算!$G$2:$G$801, 0)+1))&lt;=790,3,IF(INDEX(ERP資料!$G:$G, (MATCH(331, 輔助計算!$G$2:$G$801, 0)+1))&lt;=1181,2,1)))=1,TEXT(INDEX(ERP資料!$G:$G, (MATCH(331, 輔助計算!$G$2:$G$801, 0)+1)),"0.##"),IF(IF(INDEX(ERP資料!$G:$G, (MATCH(331, 輔助計算!$G$2:$G$801, 0)+1))&lt;100, IF(INDEX(ERP資料!$G:$G, (MATCH(331, 輔助計算!$G$2:$G$801, 0)+1))&lt;=31,3,IF(INDEX(ERP資料!$G:$G, (MATCH(331, 輔助計算!$G$2:$G$801, 0)+1))&lt;=46.5,2,1)), IF(INDEX(ERP資料!$G:$G, (MATCH(331, 輔助計算!$G$2:$G$801, 0)+1))&lt;=790,3,IF(INDEX(ERP資料!$G:$G, (MATCH(331, 輔助計算!$G$2:$G$801, 0)+1))&lt;=1181,2,1)))=2,TEXT(INDEX(ERP資料!$G:$G, (MATCH(331, 輔助計算!$G$2:$G$801, 0)+1)),"0.##")&amp;"+"&amp;TEXT(INDEX(ERP資料!$G:$G, (MATCH(331, 輔助計算!$G$2:$G$801, 0)+1)),"0.##"),TEXT(INDEX(ERP資料!$G:$G, (MATCH(331, 輔助計算!$G$2:$G$801, 0)+1)),"0.##")&amp;"+"&amp;TEXT(INDEX(ERP資料!$G:$G, (MATCH(331, 輔助計算!$G$2:$G$801, 0)+1)),"0.##")&amp;"+"&amp;TEXT(INDEX(ERP資料!$G:$G, (MATCH(331, 輔助計算!$G$2:$G$801, 0)+1)),"0.##")))&amp;"-"&amp;INT(INDEX(輔助計算!$D:$D, (MATCH(331, 輔助計算!$G$2:$G$801, 0)+1))/IF(INDEX(ERP資料!$G:$G, (MATCH(331, 輔助計算!$G$2:$G$801, 0)+1))&lt;100, IF(INDEX(ERP資料!$G:$G, (MATCH(331, 輔助計算!$G$2:$G$801, 0)+1))&lt;=31,3,IF(INDEX(ERP資料!$G:$G, (MATCH(331, 輔助計算!$G$2:$G$801, 0)+1))&lt;=46.5,2,1)), IF(INDEX(ERP資料!$G:$G, (MATCH(331, 輔助計算!$G$2:$G$801, 0)+1))&lt;=790,3,IF(INDEX(ERP資料!$G:$G, (MATCH(331, 輔助計算!$G$2:$G$801, 0)+1))&lt;=1181,2,1)))), "")&amp;IF(AND(IF(INT(INDEX(輔助計算!$D:$D, (MATCH(331, 輔助計算!$G$2:$G$801, 0)+1))/IF(INDEX(ERP資料!$G:$G, (MATCH(331, 輔助計算!$G$2:$G$801, 0)+1))&lt;100, IF(INDEX(ERP資料!$G:$G, (MATCH(331, 輔助計算!$G$2:$G$801, 0)+1))&lt;=31,3,IF(INDEX(ERP資料!$G:$G, (MATCH(331, 輔助計算!$G$2:$G$801, 0)+1))&lt;=46.5,2,1)), IF(INDEX(ERP資料!$G:$G, (MATCH(331, 輔助計算!$G$2:$G$801, 0)+1))&lt;=790,3,IF(INDEX(ERP資料!$G:$G, (MATCH(331, 輔助計算!$G$2:$G$801, 0)+1))&lt;=1181,2,1))))&gt;0, IF(IF(INDEX(ERP資料!$G:$G, (MATCH(331, 輔助計算!$G$2:$G$801, 0)+1))&lt;100, IF(INDEX(ERP資料!$G:$G, (MATCH(331, 輔助計算!$G$2:$G$801, 0)+1))&lt;=31,3,IF(INDEX(ERP資料!$G:$G, (MATCH(331, 輔助計算!$G$2:$G$801, 0)+1))&lt;=46.5,2,1)), IF(INDEX(ERP資料!$G:$G, (MATCH(331, 輔助計算!$G$2:$G$801, 0)+1))&lt;=790,3,IF(INDEX(ERP資料!$G:$G, (MATCH(331, 輔助計算!$G$2:$G$801, 0)+1))&lt;=1181,2,1)))=1,TEXT(INDEX(ERP資料!$G:$G, (MATCH(331, 輔助計算!$G$2:$G$801, 0)+1)),"0.##"),IF(IF(INDEX(ERP資料!$G:$G, (MATCH(331, 輔助計算!$G$2:$G$801, 0)+1))&lt;100, IF(INDEX(ERP資料!$G:$G, (MATCH(331, 輔助計算!$G$2:$G$801, 0)+1))&lt;=31,3,IF(INDEX(ERP資料!$G:$G, (MATCH(331, 輔助計算!$G$2:$G$801, 0)+1))&lt;=46.5,2,1)), IF(INDEX(ERP資料!$G:$G, (MATCH(331, 輔助計算!$G$2:$G$801, 0)+1))&lt;=790,3,IF(INDEX(ERP資料!$G:$G, (MATCH(331, 輔助計算!$G$2:$G$801, 0)+1))&lt;=1181,2,1)))=2,TEXT(INDEX(ERP資料!$G:$G, (MATCH(331, 輔助計算!$G$2:$G$801, 0)+1)),"0.##")&amp;"+"&amp;TEXT(INDEX(ERP資料!$G:$G, (MATCH(331, 輔助計算!$G$2:$G$801, 0)+1)),"0.##"),TEXT(INDEX(ERP資料!$G:$G, (MATCH(331, 輔助計算!$G$2:$G$801, 0)+1)),"0.##")&amp;"+"&amp;TEXT(INDEX(ERP資料!$G:$G, (MATCH(331, 輔助計算!$G$2:$G$801, 0)+1)),"0.##")&amp;"+"&amp;TEXT(INDEX(ERP資料!$G:$G, (MATCH(331, 輔助計算!$G$2:$G$801, 0)+1)),"0.##")))&amp;"-"&amp;INT(INDEX(輔助計算!$D:$D, (MATCH(331, 輔助計算!$G$2:$G$801, 0)+1))/IF(INDEX(ERP資料!$G:$G, (MATCH(331, 輔助計算!$G$2:$G$801, 0)+1))&lt;100, IF(INDEX(ERP資料!$G:$G, (MATCH(331, 輔助計算!$G$2:$G$801, 0)+1))&lt;=31,3,IF(INDEX(ERP資料!$G:$G, (MATCH(331, 輔助計算!$G$2:$G$801, 0)+1))&lt;=46.5,2,1)), IF(INDEX(ERP資料!$G:$G, (MATCH(331, 輔助計算!$G$2:$G$801, 0)+1))&lt;=790,3,IF(INDEX(ERP資料!$G:$G, (MATCH(331, 輔助計算!$G$2:$G$801, 0)+1))&lt;=1181,2,1)))), "")&lt;&gt;"",IF(MOD(INDEX(輔助計算!$D:$D, (MATCH(331, 輔助計算!$G$2:$G$801, 0)+1)),IF(INDEX(ERP資料!$G:$G, (MATCH(331, 輔助計算!$G$2:$G$801, 0)+1))&lt;100, IF(INDEX(ERP資料!$G:$G, (MATCH(331, 輔助計算!$G$2:$G$801, 0)+1))&lt;=31,3,IF(INDEX(ERP資料!$G:$G, (MATCH(331, 輔助計算!$G$2:$G$801, 0)+1))&lt;=46.5,2,1)), IF(INDEX(ERP資料!$G:$G, (MATCH(331, 輔助計算!$G$2:$G$801, 0)+1))&lt;=790,3,IF(INDEX(ERP資料!$G:$G, (MATCH(331, 輔助計算!$G$2:$G$801, 0)+1))&lt;=1181,2,1))))=0,"",IF(MOD(INDEX(輔助計算!$D:$D, (MATCH(331, 輔助計算!$G$2:$G$801, 0)+1)),IF(INDEX(ERP資料!$G:$G, (MATCH(331, 輔助計算!$G$2:$G$801, 0)+1))&lt;100, IF(INDEX(ERP資料!$G:$G, (MATCH(331, 輔助計算!$G$2:$G$801, 0)+1))&lt;=31,3,IF(INDEX(ERP資料!$G:$G, (MATCH(331, 輔助計算!$G$2:$G$801, 0)+1))&lt;=46.5,2,1)), IF(INDEX(ERP資料!$G:$G, (MATCH(331, 輔助計算!$G$2:$G$801, 0)+1))&lt;=790,3,IF(INDEX(ERP資料!$G:$G, (MATCH(331, 輔助計算!$G$2:$G$801, 0)+1))&lt;=1181,2,1))))=0,"",IF(MOD(INDEX(輔助計算!$D:$D, (MATCH(331, 輔助計算!$G$2:$G$801, 0)+1)),IF(INDEX(ERP資料!$G:$G, (MATCH(331, 輔助計算!$G$2:$G$801, 0)+1))&lt;100, IF(INDEX(ERP資料!$G:$G, (MATCH(331, 輔助計算!$G$2:$G$801, 0)+1))&lt;=31,3,IF(INDEX(ERP資料!$G:$G, (MATCH(331, 輔助計算!$G$2:$G$801, 0)+1))&lt;=46.5,2,1)), IF(INDEX(ERP資料!$G:$G, (MATCH(331, 輔助計算!$G$2:$G$801, 0)+1))&lt;=790,3,IF(INDEX(ERP資料!$G:$G, (MATCH(331, 輔助計算!$G$2:$G$801, 0)+1))&lt;=1181,2,1))))=1,TEXT(INDEX(ERP資料!$G:$G, (MATCH(331, 輔助計算!$G$2:$G$801, 0)+1)),"0.##"),IF(MOD(INDEX(輔助計算!$D:$D, (MATCH(331, 輔助計算!$G$2:$G$801, 0)+1)),IF(INDEX(ERP資料!$G:$G, (MATCH(331, 輔助計算!$G$2:$G$801, 0)+1))&lt;100, IF(INDEX(ERP資料!$G:$G, (MATCH(331, 輔助計算!$G$2:$G$801, 0)+1))&lt;=31,3,IF(INDEX(ERP資料!$G:$G, (MATCH(331, 輔助計算!$G$2:$G$801, 0)+1))&lt;=46.5,2,1)), IF(INDEX(ERP資料!$G:$G, (MATCH(331, 輔助計算!$G$2:$G$801, 0)+1))&lt;=790,3,IF(INDEX(ERP資料!$G:$G, (MATCH(331, 輔助計算!$G$2:$G$801, 0)+1))&lt;=1181,2,1))))=2,TEXT(INDEX(ERP資料!$G:$G, (MATCH(331, 輔助計算!$G$2:$G$801, 0)+1)),"0.##")&amp;"+"&amp;TEXT(INDEX(ERP資料!$G:$G, (MATCH(331, 輔助計算!$G$2:$G$801, 0)+1)),"0.##"),TEXT(INDEX(ERP資料!$G:$G, (MATCH(331, 輔助計算!$G$2:$G$801, 0)+1)),"0.##")&amp;"+"&amp;TEXT(INDEX(ERP資料!$G:$G, (MATCH(331, 輔助計算!$G$2:$G$801, 0)+1)),"0.##")&amp;"+"&amp;TEXT(INDEX(ERP資料!$G:$G, (MATCH(331, 輔助計算!$G$2:$G$801, 0)+1)),"0.##"))))&amp;"-1")&lt;&gt;""),"  ","")&amp;IF(MOD(INDEX(輔助計算!$D:$D, (MATCH(331, 輔助計算!$G$2:$G$801, 0)+1)),IF(INDEX(ERP資料!$G:$G, (MATCH(331, 輔助計算!$G$2:$G$801, 0)+1))&lt;100, IF(INDEX(ERP資料!$G:$G, (MATCH(331, 輔助計算!$G$2:$G$801, 0)+1))&lt;=31,3,IF(INDEX(ERP資料!$G:$G, (MATCH(331, 輔助計算!$G$2:$G$801, 0)+1))&lt;=46.5,2,1)), IF(INDEX(ERP資料!$G:$G, (MATCH(331, 輔助計算!$G$2:$G$801, 0)+1))&lt;=790,3,IF(INDEX(ERP資料!$G:$G, (MATCH(331, 輔助計算!$G$2:$G$801, 0)+1))&lt;=1181,2,1))))=0,"",IF(MOD(INDEX(輔助計算!$D:$D, (MATCH(331, 輔助計算!$G$2:$G$801, 0)+1)),IF(INDEX(ERP資料!$G:$G, (MATCH(331, 輔助計算!$G$2:$G$801, 0)+1))&lt;100, IF(INDEX(ERP資料!$G:$G, (MATCH(331, 輔助計算!$G$2:$G$801, 0)+1))&lt;=31,3,IF(INDEX(ERP資料!$G:$G, (MATCH(331, 輔助計算!$G$2:$G$801, 0)+1))&lt;=46.5,2,1)), IF(INDEX(ERP資料!$G:$G, (MATCH(331, 輔助計算!$G$2:$G$801, 0)+1))&lt;=790,3,IF(INDEX(ERP資料!$G:$G, (MATCH(331, 輔助計算!$G$2:$G$801, 0)+1))&lt;=1181,2,1))))=0,"",IF(MOD(INDEX(輔助計算!$D:$D, (MATCH(331, 輔助計算!$G$2:$G$801, 0)+1)),IF(INDEX(ERP資料!$G:$G, (MATCH(331, 輔助計算!$G$2:$G$801, 0)+1))&lt;100, IF(INDEX(ERP資料!$G:$G, (MATCH(331, 輔助計算!$G$2:$G$801, 0)+1))&lt;=31,3,IF(INDEX(ERP資料!$G:$G, (MATCH(331, 輔助計算!$G$2:$G$801, 0)+1))&lt;=46.5,2,1)), IF(INDEX(ERP資料!$G:$G, (MATCH(331, 輔助計算!$G$2:$G$801, 0)+1))&lt;=790,3,IF(INDEX(ERP資料!$G:$G, (MATCH(331, 輔助計算!$G$2:$G$801, 0)+1))&lt;=1181,2,1))))=1,TEXT(INDEX(ERP資料!$G:$G, (MATCH(331, 輔助計算!$G$2:$G$801, 0)+1)),"0.##"),IF(MOD(INDEX(輔助計算!$D:$D, (MATCH(331, 輔助計算!$G$2:$G$801, 0)+1)),IF(INDEX(ERP資料!$G:$G, (MATCH(331, 輔助計算!$G$2:$G$801, 0)+1))&lt;100, IF(INDEX(ERP資料!$G:$G, (MATCH(331, 輔助計算!$G$2:$G$801, 0)+1))&lt;=31,3,IF(INDEX(ERP資料!$G:$G, (MATCH(331, 輔助計算!$G$2:$G$801, 0)+1))&lt;=46.5,2,1)), IF(INDEX(ERP資料!$G:$G, (MATCH(331, 輔助計算!$G$2:$G$801, 0)+1))&lt;=790,3,IF(INDEX(ERP資料!$G:$G, (MATCH(331, 輔助計算!$G$2:$G$801, 0)+1))&lt;=1181,2,1))))=2,TEXT(INDEX(ERP資料!$G:$G, (MATCH(331, 輔助計算!$G$2:$G$801, 0)+1)),"0.##")&amp;"+"&amp;TEXT(INDEX(ERP資料!$G:$G, (MATCH(331, 輔助計算!$G$2:$G$801, 0)+1)),"0.##"),TEXT(INDEX(ERP資料!$G:$G, (MATCH(331, 輔助計算!$G$2:$G$801, 0)+1)),"0.##")&amp;"+"&amp;TEXT(INDEX(ERP資料!$G:$G, (MATCH(331, 輔助計算!$G$2:$G$801, 0)+1)),"0.##")&amp;"+"&amp;TEXT(INDEX(ERP資料!$G:$G, (MATCH(331, 輔助計算!$G$2:$G$801, 0)+1)),"0.##"))))&amp;"-1")), ""), "")</f>
        <v/>
      </c>
      <c r="K332" s="16" t="n"/>
      <c r="L332" s="14">
        <f>IFERROR(IF(AND(IFERROR(INDEX(ERP資料!$A:$A, (MATCH(331, 輔助計算!$G$2:$G$801, 0)+1)), "")&lt;&gt;"", IFERROR(INDEX(ERP資料!$A:$A, (MATCH(331, 輔助計算!$G$2:$G$801, 0)+1)), "")&lt;&gt;IFERROR(INDEX(ERP資料!$A:$A, MATCH(330, 輔助計算!$G$2:$G$801, 0)+1), "")), INDEX(ERP資料!$B:$B, (MATCH(331, 輔助計算!$G$2:$G$801, 0)+1)), ""), "")</f>
        <v/>
      </c>
      <c r="M332" s="17" t="n"/>
    </row>
    <row r="333">
      <c r="A333" s="10">
        <f>IFERROR(IF(AND(IFERROR(INDEX(ERP資料!$A:$A, (MATCH(332, 輔助計算!$G$2:$G$801, 0)+1)), "")&lt;&gt;"", IFERROR(INDEX(ERP資料!$A:$A, (MATCH(332, 輔助計算!$G$2:$G$801, 0)+1)), "")&lt;&gt;IFERROR(INDEX(ERP資料!$A:$A, MATCH(331, 輔助計算!$G$2:$G$801, 0)+1), "")), IFERROR(INDEX(ERP資料!$A:$A, (MATCH(332, 輔助計算!$G$2:$G$801, 0)+1)), ""), ""), "")</f>
        <v/>
      </c>
      <c r="B333" s="10">
        <f>IFERROR(IF(AND(IFERROR(INDEX(ERP資料!$A:$A, (MATCH(332, 輔助計算!$G$2:$G$801, 0)+1)), "")&lt;&gt;"", IFERROR(INDEX(ERP資料!$A:$A, (MATCH(332, 輔助計算!$G$2:$G$801, 0)+1)), "")&lt;&gt;IFERROR(INDEX(ERP資料!$A:$A, MATCH(331, 輔助計算!$G$2:$G$801, 0)+1), "")), INDEX(ERP資料!$S:$S, (MATCH(332, 輔助計算!$G$2:$G$801, 0)+1)), ""), "")</f>
        <v/>
      </c>
      <c r="C333" s="19">
        <f>IFERROR(IF(AND(IFERROR(INDEX(ERP資料!$A:$A, (MATCH(332, 輔助計算!$G$2:$G$801, 0)+1)), "")&lt;&gt;"", IFERROR(INDEX(ERP資料!$A:$A, (MATCH(332, 輔助計算!$G$2:$G$801, 0)+1)), "")&lt;&gt;IFERROR(INDEX(ERP資料!$A:$A, MATCH(331, 輔助計算!$G$2:$G$801, 0)+1), "")), IFERROR(VLOOKUP(LEFT(INDEX(ERP資料!$S:$S, (MATCH(332, 輔助計算!$G$2:$G$801, 0)+1)), 4), 紙管對照表!$A:$C, 3, FALSE), ""), ""), "")</f>
        <v/>
      </c>
      <c r="D333" s="16" t="n"/>
      <c r="E333" s="10">
        <f>IFERROR(IF(INDEX(ERP資料!$H:$H, (MATCH(332, 輔助計算!$G$2:$G$801, 0)+1))="","",INDEX(ERP資料!$H:$H, (MATCH(332, 輔助計算!$G$2:$G$801, 0)+1))), "")</f>
        <v/>
      </c>
      <c r="F333" s="10">
        <f>IFERROR(IF(INDEX(ERP資料!$E:$E, (MATCH(332, 輔助計算!$G$2:$G$801, 0)+1))="","",TRIM(INDEX(ERP資料!$E:$E, (MATCH(332, 輔助計算!$G$2:$G$801, 0)+1)))), "")</f>
        <v/>
      </c>
      <c r="G333" s="10">
        <f>IFERROR(IF(INDEX(ERP資料!$F:$F, (MATCH(332, 輔助計算!$G$2:$G$801, 0)+1))="","",INDEX(ERP資料!$F:$F, (MATCH(332, 輔助計算!$G$2:$G$801, 0)+1))), "")</f>
        <v/>
      </c>
      <c r="H333" s="10">
        <f>IFERROR(IF(INDEX(ERP資料!$G:$G, (MATCH(332, 輔助計算!$G$2:$G$801, 0)+1))="","",INDEX(ERP資料!$G:$G, (MATCH(332, 輔助計算!$G$2:$G$801, 0)+1))), "")</f>
        <v/>
      </c>
      <c r="I333" s="15">
        <f>IFERROR(INDEX(輔助計算!$D:$D, (MATCH(332, 輔助計算!$G$2:$G$801, 0)+1)), "")</f>
        <v/>
      </c>
      <c r="J333" s="15">
        <f>IFERROR(IF(AND(INDEX(輔助計算!$D:$D, (MATCH(332, 輔助計算!$G$2:$G$801, 0)+1))&lt;&gt;"", INDEX(ERP資料!$G:$G, (MATCH(332, 輔助計算!$G$2:$G$801, 0)+1))&lt;&gt;""), TRIM(IF(INT(INDEX(輔助計算!$D:$D, (MATCH(332, 輔助計算!$G$2:$G$801, 0)+1))/IF(INDEX(ERP資料!$G:$G, (MATCH(332, 輔助計算!$G$2:$G$801, 0)+1))&lt;100, IF(INDEX(ERP資料!$G:$G, (MATCH(332, 輔助計算!$G$2:$G$801, 0)+1))&lt;=31,3,IF(INDEX(ERP資料!$G:$G, (MATCH(332, 輔助計算!$G$2:$G$801, 0)+1))&lt;=46.5,2,1)), IF(INDEX(ERP資料!$G:$G, (MATCH(332, 輔助計算!$G$2:$G$801, 0)+1))&lt;=790,3,IF(INDEX(ERP資料!$G:$G, (MATCH(332, 輔助計算!$G$2:$G$801, 0)+1))&lt;=1181,2,1))))&gt;0, IF(IF(INDEX(ERP資料!$G:$G, (MATCH(332, 輔助計算!$G$2:$G$801, 0)+1))&lt;100, IF(INDEX(ERP資料!$G:$G, (MATCH(332, 輔助計算!$G$2:$G$801, 0)+1))&lt;=31,3,IF(INDEX(ERP資料!$G:$G, (MATCH(332, 輔助計算!$G$2:$G$801, 0)+1))&lt;=46.5,2,1)), IF(INDEX(ERP資料!$G:$G, (MATCH(332, 輔助計算!$G$2:$G$801, 0)+1))&lt;=790,3,IF(INDEX(ERP資料!$G:$G, (MATCH(332, 輔助計算!$G$2:$G$801, 0)+1))&lt;=1181,2,1)))=1,TEXT(INDEX(ERP資料!$G:$G, (MATCH(332, 輔助計算!$G$2:$G$801, 0)+1)),"0.##"),IF(IF(INDEX(ERP資料!$G:$G, (MATCH(332, 輔助計算!$G$2:$G$801, 0)+1))&lt;100, IF(INDEX(ERP資料!$G:$G, (MATCH(332, 輔助計算!$G$2:$G$801, 0)+1))&lt;=31,3,IF(INDEX(ERP資料!$G:$G, (MATCH(332, 輔助計算!$G$2:$G$801, 0)+1))&lt;=46.5,2,1)), IF(INDEX(ERP資料!$G:$G, (MATCH(332, 輔助計算!$G$2:$G$801, 0)+1))&lt;=790,3,IF(INDEX(ERP資料!$G:$G, (MATCH(332, 輔助計算!$G$2:$G$801, 0)+1))&lt;=1181,2,1)))=2,TEXT(INDEX(ERP資料!$G:$G, (MATCH(332, 輔助計算!$G$2:$G$801, 0)+1)),"0.##")&amp;"+"&amp;TEXT(INDEX(ERP資料!$G:$G, (MATCH(332, 輔助計算!$G$2:$G$801, 0)+1)),"0.##"),TEXT(INDEX(ERP資料!$G:$G, (MATCH(332, 輔助計算!$G$2:$G$801, 0)+1)),"0.##")&amp;"+"&amp;TEXT(INDEX(ERP資料!$G:$G, (MATCH(332, 輔助計算!$G$2:$G$801, 0)+1)),"0.##")&amp;"+"&amp;TEXT(INDEX(ERP資料!$G:$G, (MATCH(332, 輔助計算!$G$2:$G$801, 0)+1)),"0.##")))&amp;"-"&amp;INT(INDEX(輔助計算!$D:$D, (MATCH(332, 輔助計算!$G$2:$G$801, 0)+1))/IF(INDEX(ERP資料!$G:$G, (MATCH(332, 輔助計算!$G$2:$G$801, 0)+1))&lt;100, IF(INDEX(ERP資料!$G:$G, (MATCH(332, 輔助計算!$G$2:$G$801, 0)+1))&lt;=31,3,IF(INDEX(ERP資料!$G:$G, (MATCH(332, 輔助計算!$G$2:$G$801, 0)+1))&lt;=46.5,2,1)), IF(INDEX(ERP資料!$G:$G, (MATCH(332, 輔助計算!$G$2:$G$801, 0)+1))&lt;=790,3,IF(INDEX(ERP資料!$G:$G, (MATCH(332, 輔助計算!$G$2:$G$801, 0)+1))&lt;=1181,2,1)))), "")&amp;IF(AND(IF(INT(INDEX(輔助計算!$D:$D, (MATCH(332, 輔助計算!$G$2:$G$801, 0)+1))/IF(INDEX(ERP資料!$G:$G, (MATCH(332, 輔助計算!$G$2:$G$801, 0)+1))&lt;100, IF(INDEX(ERP資料!$G:$G, (MATCH(332, 輔助計算!$G$2:$G$801, 0)+1))&lt;=31,3,IF(INDEX(ERP資料!$G:$G, (MATCH(332, 輔助計算!$G$2:$G$801, 0)+1))&lt;=46.5,2,1)), IF(INDEX(ERP資料!$G:$G, (MATCH(332, 輔助計算!$G$2:$G$801, 0)+1))&lt;=790,3,IF(INDEX(ERP資料!$G:$G, (MATCH(332, 輔助計算!$G$2:$G$801, 0)+1))&lt;=1181,2,1))))&gt;0, IF(IF(INDEX(ERP資料!$G:$G, (MATCH(332, 輔助計算!$G$2:$G$801, 0)+1))&lt;100, IF(INDEX(ERP資料!$G:$G, (MATCH(332, 輔助計算!$G$2:$G$801, 0)+1))&lt;=31,3,IF(INDEX(ERP資料!$G:$G, (MATCH(332, 輔助計算!$G$2:$G$801, 0)+1))&lt;=46.5,2,1)), IF(INDEX(ERP資料!$G:$G, (MATCH(332, 輔助計算!$G$2:$G$801, 0)+1))&lt;=790,3,IF(INDEX(ERP資料!$G:$G, (MATCH(332, 輔助計算!$G$2:$G$801, 0)+1))&lt;=1181,2,1)))=1,TEXT(INDEX(ERP資料!$G:$G, (MATCH(332, 輔助計算!$G$2:$G$801, 0)+1)),"0.##"),IF(IF(INDEX(ERP資料!$G:$G, (MATCH(332, 輔助計算!$G$2:$G$801, 0)+1))&lt;100, IF(INDEX(ERP資料!$G:$G, (MATCH(332, 輔助計算!$G$2:$G$801, 0)+1))&lt;=31,3,IF(INDEX(ERP資料!$G:$G, (MATCH(332, 輔助計算!$G$2:$G$801, 0)+1))&lt;=46.5,2,1)), IF(INDEX(ERP資料!$G:$G, (MATCH(332, 輔助計算!$G$2:$G$801, 0)+1))&lt;=790,3,IF(INDEX(ERP資料!$G:$G, (MATCH(332, 輔助計算!$G$2:$G$801, 0)+1))&lt;=1181,2,1)))=2,TEXT(INDEX(ERP資料!$G:$G, (MATCH(332, 輔助計算!$G$2:$G$801, 0)+1)),"0.##")&amp;"+"&amp;TEXT(INDEX(ERP資料!$G:$G, (MATCH(332, 輔助計算!$G$2:$G$801, 0)+1)),"0.##"),TEXT(INDEX(ERP資料!$G:$G, (MATCH(332, 輔助計算!$G$2:$G$801, 0)+1)),"0.##")&amp;"+"&amp;TEXT(INDEX(ERP資料!$G:$G, (MATCH(332, 輔助計算!$G$2:$G$801, 0)+1)),"0.##")&amp;"+"&amp;TEXT(INDEX(ERP資料!$G:$G, (MATCH(332, 輔助計算!$G$2:$G$801, 0)+1)),"0.##")))&amp;"-"&amp;INT(INDEX(輔助計算!$D:$D, (MATCH(332, 輔助計算!$G$2:$G$801, 0)+1))/IF(INDEX(ERP資料!$G:$G, (MATCH(332, 輔助計算!$G$2:$G$801, 0)+1))&lt;100, IF(INDEX(ERP資料!$G:$G, (MATCH(332, 輔助計算!$G$2:$G$801, 0)+1))&lt;=31,3,IF(INDEX(ERP資料!$G:$G, (MATCH(332, 輔助計算!$G$2:$G$801, 0)+1))&lt;=46.5,2,1)), IF(INDEX(ERP資料!$G:$G, (MATCH(332, 輔助計算!$G$2:$G$801, 0)+1))&lt;=790,3,IF(INDEX(ERP資料!$G:$G, (MATCH(332, 輔助計算!$G$2:$G$801, 0)+1))&lt;=1181,2,1)))), "")&lt;&gt;"",IF(MOD(INDEX(輔助計算!$D:$D, (MATCH(332, 輔助計算!$G$2:$G$801, 0)+1)),IF(INDEX(ERP資料!$G:$G, (MATCH(332, 輔助計算!$G$2:$G$801, 0)+1))&lt;100, IF(INDEX(ERP資料!$G:$G, (MATCH(332, 輔助計算!$G$2:$G$801, 0)+1))&lt;=31,3,IF(INDEX(ERP資料!$G:$G, (MATCH(332, 輔助計算!$G$2:$G$801, 0)+1))&lt;=46.5,2,1)), IF(INDEX(ERP資料!$G:$G, (MATCH(332, 輔助計算!$G$2:$G$801, 0)+1))&lt;=790,3,IF(INDEX(ERP資料!$G:$G, (MATCH(332, 輔助計算!$G$2:$G$801, 0)+1))&lt;=1181,2,1))))=0,"",IF(MOD(INDEX(輔助計算!$D:$D, (MATCH(332, 輔助計算!$G$2:$G$801, 0)+1)),IF(INDEX(ERP資料!$G:$G, (MATCH(332, 輔助計算!$G$2:$G$801, 0)+1))&lt;100, IF(INDEX(ERP資料!$G:$G, (MATCH(332, 輔助計算!$G$2:$G$801, 0)+1))&lt;=31,3,IF(INDEX(ERP資料!$G:$G, (MATCH(332, 輔助計算!$G$2:$G$801, 0)+1))&lt;=46.5,2,1)), IF(INDEX(ERP資料!$G:$G, (MATCH(332, 輔助計算!$G$2:$G$801, 0)+1))&lt;=790,3,IF(INDEX(ERP資料!$G:$G, (MATCH(332, 輔助計算!$G$2:$G$801, 0)+1))&lt;=1181,2,1))))=0,"",IF(MOD(INDEX(輔助計算!$D:$D, (MATCH(332, 輔助計算!$G$2:$G$801, 0)+1)),IF(INDEX(ERP資料!$G:$G, (MATCH(332, 輔助計算!$G$2:$G$801, 0)+1))&lt;100, IF(INDEX(ERP資料!$G:$G, (MATCH(332, 輔助計算!$G$2:$G$801, 0)+1))&lt;=31,3,IF(INDEX(ERP資料!$G:$G, (MATCH(332, 輔助計算!$G$2:$G$801, 0)+1))&lt;=46.5,2,1)), IF(INDEX(ERP資料!$G:$G, (MATCH(332, 輔助計算!$G$2:$G$801, 0)+1))&lt;=790,3,IF(INDEX(ERP資料!$G:$G, (MATCH(332, 輔助計算!$G$2:$G$801, 0)+1))&lt;=1181,2,1))))=1,TEXT(INDEX(ERP資料!$G:$G, (MATCH(332, 輔助計算!$G$2:$G$801, 0)+1)),"0.##"),IF(MOD(INDEX(輔助計算!$D:$D, (MATCH(332, 輔助計算!$G$2:$G$801, 0)+1)),IF(INDEX(ERP資料!$G:$G, (MATCH(332, 輔助計算!$G$2:$G$801, 0)+1))&lt;100, IF(INDEX(ERP資料!$G:$G, (MATCH(332, 輔助計算!$G$2:$G$801, 0)+1))&lt;=31,3,IF(INDEX(ERP資料!$G:$G, (MATCH(332, 輔助計算!$G$2:$G$801, 0)+1))&lt;=46.5,2,1)), IF(INDEX(ERP資料!$G:$G, (MATCH(332, 輔助計算!$G$2:$G$801, 0)+1))&lt;=790,3,IF(INDEX(ERP資料!$G:$G, (MATCH(332, 輔助計算!$G$2:$G$801, 0)+1))&lt;=1181,2,1))))=2,TEXT(INDEX(ERP資料!$G:$G, (MATCH(332, 輔助計算!$G$2:$G$801, 0)+1)),"0.##")&amp;"+"&amp;TEXT(INDEX(ERP資料!$G:$G, (MATCH(332, 輔助計算!$G$2:$G$801, 0)+1)),"0.##"),TEXT(INDEX(ERP資料!$G:$G, (MATCH(332, 輔助計算!$G$2:$G$801, 0)+1)),"0.##")&amp;"+"&amp;TEXT(INDEX(ERP資料!$G:$G, (MATCH(332, 輔助計算!$G$2:$G$801, 0)+1)),"0.##")&amp;"+"&amp;TEXT(INDEX(ERP資料!$G:$G, (MATCH(332, 輔助計算!$G$2:$G$801, 0)+1)),"0.##"))))&amp;"-1")&lt;&gt;""),"  ","")&amp;IF(MOD(INDEX(輔助計算!$D:$D, (MATCH(332, 輔助計算!$G$2:$G$801, 0)+1)),IF(INDEX(ERP資料!$G:$G, (MATCH(332, 輔助計算!$G$2:$G$801, 0)+1))&lt;100, IF(INDEX(ERP資料!$G:$G, (MATCH(332, 輔助計算!$G$2:$G$801, 0)+1))&lt;=31,3,IF(INDEX(ERP資料!$G:$G, (MATCH(332, 輔助計算!$G$2:$G$801, 0)+1))&lt;=46.5,2,1)), IF(INDEX(ERP資料!$G:$G, (MATCH(332, 輔助計算!$G$2:$G$801, 0)+1))&lt;=790,3,IF(INDEX(ERP資料!$G:$G, (MATCH(332, 輔助計算!$G$2:$G$801, 0)+1))&lt;=1181,2,1))))=0,"",IF(MOD(INDEX(輔助計算!$D:$D, (MATCH(332, 輔助計算!$G$2:$G$801, 0)+1)),IF(INDEX(ERP資料!$G:$G, (MATCH(332, 輔助計算!$G$2:$G$801, 0)+1))&lt;100, IF(INDEX(ERP資料!$G:$G, (MATCH(332, 輔助計算!$G$2:$G$801, 0)+1))&lt;=31,3,IF(INDEX(ERP資料!$G:$G, (MATCH(332, 輔助計算!$G$2:$G$801, 0)+1))&lt;=46.5,2,1)), IF(INDEX(ERP資料!$G:$G, (MATCH(332, 輔助計算!$G$2:$G$801, 0)+1))&lt;=790,3,IF(INDEX(ERP資料!$G:$G, (MATCH(332, 輔助計算!$G$2:$G$801, 0)+1))&lt;=1181,2,1))))=0,"",IF(MOD(INDEX(輔助計算!$D:$D, (MATCH(332, 輔助計算!$G$2:$G$801, 0)+1)),IF(INDEX(ERP資料!$G:$G, (MATCH(332, 輔助計算!$G$2:$G$801, 0)+1))&lt;100, IF(INDEX(ERP資料!$G:$G, (MATCH(332, 輔助計算!$G$2:$G$801, 0)+1))&lt;=31,3,IF(INDEX(ERP資料!$G:$G, (MATCH(332, 輔助計算!$G$2:$G$801, 0)+1))&lt;=46.5,2,1)), IF(INDEX(ERP資料!$G:$G, (MATCH(332, 輔助計算!$G$2:$G$801, 0)+1))&lt;=790,3,IF(INDEX(ERP資料!$G:$G, (MATCH(332, 輔助計算!$G$2:$G$801, 0)+1))&lt;=1181,2,1))))=1,TEXT(INDEX(ERP資料!$G:$G, (MATCH(332, 輔助計算!$G$2:$G$801, 0)+1)),"0.##"),IF(MOD(INDEX(輔助計算!$D:$D, (MATCH(332, 輔助計算!$G$2:$G$801, 0)+1)),IF(INDEX(ERP資料!$G:$G, (MATCH(332, 輔助計算!$G$2:$G$801, 0)+1))&lt;100, IF(INDEX(ERP資料!$G:$G, (MATCH(332, 輔助計算!$G$2:$G$801, 0)+1))&lt;=31,3,IF(INDEX(ERP資料!$G:$G, (MATCH(332, 輔助計算!$G$2:$G$801, 0)+1))&lt;=46.5,2,1)), IF(INDEX(ERP資料!$G:$G, (MATCH(332, 輔助計算!$G$2:$G$801, 0)+1))&lt;=790,3,IF(INDEX(ERP資料!$G:$G, (MATCH(332, 輔助計算!$G$2:$G$801, 0)+1))&lt;=1181,2,1))))=2,TEXT(INDEX(ERP資料!$G:$G, (MATCH(332, 輔助計算!$G$2:$G$801, 0)+1)),"0.##")&amp;"+"&amp;TEXT(INDEX(ERP資料!$G:$G, (MATCH(332, 輔助計算!$G$2:$G$801, 0)+1)),"0.##"),TEXT(INDEX(ERP資料!$G:$G, (MATCH(332, 輔助計算!$G$2:$G$801, 0)+1)),"0.##")&amp;"+"&amp;TEXT(INDEX(ERP資料!$G:$G, (MATCH(332, 輔助計算!$G$2:$G$801, 0)+1)),"0.##")&amp;"+"&amp;TEXT(INDEX(ERP資料!$G:$G, (MATCH(332, 輔助計算!$G$2:$G$801, 0)+1)),"0.##"))))&amp;"-1")), ""), "")</f>
        <v/>
      </c>
      <c r="K333" s="16" t="n"/>
      <c r="L333" s="14">
        <f>IFERROR(IF(AND(IFERROR(INDEX(ERP資料!$A:$A, (MATCH(332, 輔助計算!$G$2:$G$801, 0)+1)), "")&lt;&gt;"", IFERROR(INDEX(ERP資料!$A:$A, (MATCH(332, 輔助計算!$G$2:$G$801, 0)+1)), "")&lt;&gt;IFERROR(INDEX(ERP資料!$A:$A, MATCH(331, 輔助計算!$G$2:$G$801, 0)+1), "")), INDEX(ERP資料!$B:$B, (MATCH(332, 輔助計算!$G$2:$G$801, 0)+1)), ""), "")</f>
        <v/>
      </c>
      <c r="M333" s="17" t="n"/>
    </row>
    <row r="334">
      <c r="A334" s="10">
        <f>IFERROR(IF(AND(IFERROR(INDEX(ERP資料!$A:$A, (MATCH(333, 輔助計算!$G$2:$G$801, 0)+1)), "")&lt;&gt;"", IFERROR(INDEX(ERP資料!$A:$A, (MATCH(333, 輔助計算!$G$2:$G$801, 0)+1)), "")&lt;&gt;IFERROR(INDEX(ERP資料!$A:$A, MATCH(332, 輔助計算!$G$2:$G$801, 0)+1), "")), IFERROR(INDEX(ERP資料!$A:$A, (MATCH(333, 輔助計算!$G$2:$G$801, 0)+1)), ""), ""), "")</f>
        <v/>
      </c>
      <c r="B334" s="10">
        <f>IFERROR(IF(AND(IFERROR(INDEX(ERP資料!$A:$A, (MATCH(333, 輔助計算!$G$2:$G$801, 0)+1)), "")&lt;&gt;"", IFERROR(INDEX(ERP資料!$A:$A, (MATCH(333, 輔助計算!$G$2:$G$801, 0)+1)), "")&lt;&gt;IFERROR(INDEX(ERP資料!$A:$A, MATCH(332, 輔助計算!$G$2:$G$801, 0)+1), "")), INDEX(ERP資料!$S:$S, (MATCH(333, 輔助計算!$G$2:$G$801, 0)+1)), ""), "")</f>
        <v/>
      </c>
      <c r="C334" s="19">
        <f>IFERROR(IF(AND(IFERROR(INDEX(ERP資料!$A:$A, (MATCH(333, 輔助計算!$G$2:$G$801, 0)+1)), "")&lt;&gt;"", IFERROR(INDEX(ERP資料!$A:$A, (MATCH(333, 輔助計算!$G$2:$G$801, 0)+1)), "")&lt;&gt;IFERROR(INDEX(ERP資料!$A:$A, MATCH(332, 輔助計算!$G$2:$G$801, 0)+1), "")), IFERROR(VLOOKUP(LEFT(INDEX(ERP資料!$S:$S, (MATCH(333, 輔助計算!$G$2:$G$801, 0)+1)), 4), 紙管對照表!$A:$C, 3, FALSE), ""), ""), "")</f>
        <v/>
      </c>
      <c r="D334" s="16" t="n"/>
      <c r="E334" s="10">
        <f>IFERROR(IF(INDEX(ERP資料!$H:$H, (MATCH(333, 輔助計算!$G$2:$G$801, 0)+1))="","",INDEX(ERP資料!$H:$H, (MATCH(333, 輔助計算!$G$2:$G$801, 0)+1))), "")</f>
        <v/>
      </c>
      <c r="F334" s="10">
        <f>IFERROR(IF(INDEX(ERP資料!$E:$E, (MATCH(333, 輔助計算!$G$2:$G$801, 0)+1))="","",TRIM(INDEX(ERP資料!$E:$E, (MATCH(333, 輔助計算!$G$2:$G$801, 0)+1)))), "")</f>
        <v/>
      </c>
      <c r="G334" s="10">
        <f>IFERROR(IF(INDEX(ERP資料!$F:$F, (MATCH(333, 輔助計算!$G$2:$G$801, 0)+1))="","",INDEX(ERP資料!$F:$F, (MATCH(333, 輔助計算!$G$2:$G$801, 0)+1))), "")</f>
        <v/>
      </c>
      <c r="H334" s="10">
        <f>IFERROR(IF(INDEX(ERP資料!$G:$G, (MATCH(333, 輔助計算!$G$2:$G$801, 0)+1))="","",INDEX(ERP資料!$G:$G, (MATCH(333, 輔助計算!$G$2:$G$801, 0)+1))), "")</f>
        <v/>
      </c>
      <c r="I334" s="15">
        <f>IFERROR(INDEX(輔助計算!$D:$D, (MATCH(333, 輔助計算!$G$2:$G$801, 0)+1)), "")</f>
        <v/>
      </c>
      <c r="J334" s="15">
        <f>IFERROR(IF(AND(INDEX(輔助計算!$D:$D, (MATCH(333, 輔助計算!$G$2:$G$801, 0)+1))&lt;&gt;"", INDEX(ERP資料!$G:$G, (MATCH(333, 輔助計算!$G$2:$G$801, 0)+1))&lt;&gt;""), TRIM(IF(INT(INDEX(輔助計算!$D:$D, (MATCH(333, 輔助計算!$G$2:$G$801, 0)+1))/IF(INDEX(ERP資料!$G:$G, (MATCH(333, 輔助計算!$G$2:$G$801, 0)+1))&lt;100, IF(INDEX(ERP資料!$G:$G, (MATCH(333, 輔助計算!$G$2:$G$801, 0)+1))&lt;=31,3,IF(INDEX(ERP資料!$G:$G, (MATCH(333, 輔助計算!$G$2:$G$801, 0)+1))&lt;=46.5,2,1)), IF(INDEX(ERP資料!$G:$G, (MATCH(333, 輔助計算!$G$2:$G$801, 0)+1))&lt;=790,3,IF(INDEX(ERP資料!$G:$G, (MATCH(333, 輔助計算!$G$2:$G$801, 0)+1))&lt;=1181,2,1))))&gt;0, IF(IF(INDEX(ERP資料!$G:$G, (MATCH(333, 輔助計算!$G$2:$G$801, 0)+1))&lt;100, IF(INDEX(ERP資料!$G:$G, (MATCH(333, 輔助計算!$G$2:$G$801, 0)+1))&lt;=31,3,IF(INDEX(ERP資料!$G:$G, (MATCH(333, 輔助計算!$G$2:$G$801, 0)+1))&lt;=46.5,2,1)), IF(INDEX(ERP資料!$G:$G, (MATCH(333, 輔助計算!$G$2:$G$801, 0)+1))&lt;=790,3,IF(INDEX(ERP資料!$G:$G, (MATCH(333, 輔助計算!$G$2:$G$801, 0)+1))&lt;=1181,2,1)))=1,TEXT(INDEX(ERP資料!$G:$G, (MATCH(333, 輔助計算!$G$2:$G$801, 0)+1)),"0.##"),IF(IF(INDEX(ERP資料!$G:$G, (MATCH(333, 輔助計算!$G$2:$G$801, 0)+1))&lt;100, IF(INDEX(ERP資料!$G:$G, (MATCH(333, 輔助計算!$G$2:$G$801, 0)+1))&lt;=31,3,IF(INDEX(ERP資料!$G:$G, (MATCH(333, 輔助計算!$G$2:$G$801, 0)+1))&lt;=46.5,2,1)), IF(INDEX(ERP資料!$G:$G, (MATCH(333, 輔助計算!$G$2:$G$801, 0)+1))&lt;=790,3,IF(INDEX(ERP資料!$G:$G, (MATCH(333, 輔助計算!$G$2:$G$801, 0)+1))&lt;=1181,2,1)))=2,TEXT(INDEX(ERP資料!$G:$G, (MATCH(333, 輔助計算!$G$2:$G$801, 0)+1)),"0.##")&amp;"+"&amp;TEXT(INDEX(ERP資料!$G:$G, (MATCH(333, 輔助計算!$G$2:$G$801, 0)+1)),"0.##"),TEXT(INDEX(ERP資料!$G:$G, (MATCH(333, 輔助計算!$G$2:$G$801, 0)+1)),"0.##")&amp;"+"&amp;TEXT(INDEX(ERP資料!$G:$G, (MATCH(333, 輔助計算!$G$2:$G$801, 0)+1)),"0.##")&amp;"+"&amp;TEXT(INDEX(ERP資料!$G:$G, (MATCH(333, 輔助計算!$G$2:$G$801, 0)+1)),"0.##")))&amp;"-"&amp;INT(INDEX(輔助計算!$D:$D, (MATCH(333, 輔助計算!$G$2:$G$801, 0)+1))/IF(INDEX(ERP資料!$G:$G, (MATCH(333, 輔助計算!$G$2:$G$801, 0)+1))&lt;100, IF(INDEX(ERP資料!$G:$G, (MATCH(333, 輔助計算!$G$2:$G$801, 0)+1))&lt;=31,3,IF(INDEX(ERP資料!$G:$G, (MATCH(333, 輔助計算!$G$2:$G$801, 0)+1))&lt;=46.5,2,1)), IF(INDEX(ERP資料!$G:$G, (MATCH(333, 輔助計算!$G$2:$G$801, 0)+1))&lt;=790,3,IF(INDEX(ERP資料!$G:$G, (MATCH(333, 輔助計算!$G$2:$G$801, 0)+1))&lt;=1181,2,1)))), "")&amp;IF(AND(IF(INT(INDEX(輔助計算!$D:$D, (MATCH(333, 輔助計算!$G$2:$G$801, 0)+1))/IF(INDEX(ERP資料!$G:$G, (MATCH(333, 輔助計算!$G$2:$G$801, 0)+1))&lt;100, IF(INDEX(ERP資料!$G:$G, (MATCH(333, 輔助計算!$G$2:$G$801, 0)+1))&lt;=31,3,IF(INDEX(ERP資料!$G:$G, (MATCH(333, 輔助計算!$G$2:$G$801, 0)+1))&lt;=46.5,2,1)), IF(INDEX(ERP資料!$G:$G, (MATCH(333, 輔助計算!$G$2:$G$801, 0)+1))&lt;=790,3,IF(INDEX(ERP資料!$G:$G, (MATCH(333, 輔助計算!$G$2:$G$801, 0)+1))&lt;=1181,2,1))))&gt;0, IF(IF(INDEX(ERP資料!$G:$G, (MATCH(333, 輔助計算!$G$2:$G$801, 0)+1))&lt;100, IF(INDEX(ERP資料!$G:$G, (MATCH(333, 輔助計算!$G$2:$G$801, 0)+1))&lt;=31,3,IF(INDEX(ERP資料!$G:$G, (MATCH(333, 輔助計算!$G$2:$G$801, 0)+1))&lt;=46.5,2,1)), IF(INDEX(ERP資料!$G:$G, (MATCH(333, 輔助計算!$G$2:$G$801, 0)+1))&lt;=790,3,IF(INDEX(ERP資料!$G:$G, (MATCH(333, 輔助計算!$G$2:$G$801, 0)+1))&lt;=1181,2,1)))=1,TEXT(INDEX(ERP資料!$G:$G, (MATCH(333, 輔助計算!$G$2:$G$801, 0)+1)),"0.##"),IF(IF(INDEX(ERP資料!$G:$G, (MATCH(333, 輔助計算!$G$2:$G$801, 0)+1))&lt;100, IF(INDEX(ERP資料!$G:$G, (MATCH(333, 輔助計算!$G$2:$G$801, 0)+1))&lt;=31,3,IF(INDEX(ERP資料!$G:$G, (MATCH(333, 輔助計算!$G$2:$G$801, 0)+1))&lt;=46.5,2,1)), IF(INDEX(ERP資料!$G:$G, (MATCH(333, 輔助計算!$G$2:$G$801, 0)+1))&lt;=790,3,IF(INDEX(ERP資料!$G:$G, (MATCH(333, 輔助計算!$G$2:$G$801, 0)+1))&lt;=1181,2,1)))=2,TEXT(INDEX(ERP資料!$G:$G, (MATCH(333, 輔助計算!$G$2:$G$801, 0)+1)),"0.##")&amp;"+"&amp;TEXT(INDEX(ERP資料!$G:$G, (MATCH(333, 輔助計算!$G$2:$G$801, 0)+1)),"0.##"),TEXT(INDEX(ERP資料!$G:$G, (MATCH(333, 輔助計算!$G$2:$G$801, 0)+1)),"0.##")&amp;"+"&amp;TEXT(INDEX(ERP資料!$G:$G, (MATCH(333, 輔助計算!$G$2:$G$801, 0)+1)),"0.##")&amp;"+"&amp;TEXT(INDEX(ERP資料!$G:$G, (MATCH(333, 輔助計算!$G$2:$G$801, 0)+1)),"0.##")))&amp;"-"&amp;INT(INDEX(輔助計算!$D:$D, (MATCH(333, 輔助計算!$G$2:$G$801, 0)+1))/IF(INDEX(ERP資料!$G:$G, (MATCH(333, 輔助計算!$G$2:$G$801, 0)+1))&lt;100, IF(INDEX(ERP資料!$G:$G, (MATCH(333, 輔助計算!$G$2:$G$801, 0)+1))&lt;=31,3,IF(INDEX(ERP資料!$G:$G, (MATCH(333, 輔助計算!$G$2:$G$801, 0)+1))&lt;=46.5,2,1)), IF(INDEX(ERP資料!$G:$G, (MATCH(333, 輔助計算!$G$2:$G$801, 0)+1))&lt;=790,3,IF(INDEX(ERP資料!$G:$G, (MATCH(333, 輔助計算!$G$2:$G$801, 0)+1))&lt;=1181,2,1)))), "")&lt;&gt;"",IF(MOD(INDEX(輔助計算!$D:$D, (MATCH(333, 輔助計算!$G$2:$G$801, 0)+1)),IF(INDEX(ERP資料!$G:$G, (MATCH(333, 輔助計算!$G$2:$G$801, 0)+1))&lt;100, IF(INDEX(ERP資料!$G:$G, (MATCH(333, 輔助計算!$G$2:$G$801, 0)+1))&lt;=31,3,IF(INDEX(ERP資料!$G:$G, (MATCH(333, 輔助計算!$G$2:$G$801, 0)+1))&lt;=46.5,2,1)), IF(INDEX(ERP資料!$G:$G, (MATCH(333, 輔助計算!$G$2:$G$801, 0)+1))&lt;=790,3,IF(INDEX(ERP資料!$G:$G, (MATCH(333, 輔助計算!$G$2:$G$801, 0)+1))&lt;=1181,2,1))))=0,"",IF(MOD(INDEX(輔助計算!$D:$D, (MATCH(333, 輔助計算!$G$2:$G$801, 0)+1)),IF(INDEX(ERP資料!$G:$G, (MATCH(333, 輔助計算!$G$2:$G$801, 0)+1))&lt;100, IF(INDEX(ERP資料!$G:$G, (MATCH(333, 輔助計算!$G$2:$G$801, 0)+1))&lt;=31,3,IF(INDEX(ERP資料!$G:$G, (MATCH(333, 輔助計算!$G$2:$G$801, 0)+1))&lt;=46.5,2,1)), IF(INDEX(ERP資料!$G:$G, (MATCH(333, 輔助計算!$G$2:$G$801, 0)+1))&lt;=790,3,IF(INDEX(ERP資料!$G:$G, (MATCH(333, 輔助計算!$G$2:$G$801, 0)+1))&lt;=1181,2,1))))=0,"",IF(MOD(INDEX(輔助計算!$D:$D, (MATCH(333, 輔助計算!$G$2:$G$801, 0)+1)),IF(INDEX(ERP資料!$G:$G, (MATCH(333, 輔助計算!$G$2:$G$801, 0)+1))&lt;100, IF(INDEX(ERP資料!$G:$G, (MATCH(333, 輔助計算!$G$2:$G$801, 0)+1))&lt;=31,3,IF(INDEX(ERP資料!$G:$G, (MATCH(333, 輔助計算!$G$2:$G$801, 0)+1))&lt;=46.5,2,1)), IF(INDEX(ERP資料!$G:$G, (MATCH(333, 輔助計算!$G$2:$G$801, 0)+1))&lt;=790,3,IF(INDEX(ERP資料!$G:$G, (MATCH(333, 輔助計算!$G$2:$G$801, 0)+1))&lt;=1181,2,1))))=1,TEXT(INDEX(ERP資料!$G:$G, (MATCH(333, 輔助計算!$G$2:$G$801, 0)+1)),"0.##"),IF(MOD(INDEX(輔助計算!$D:$D, (MATCH(333, 輔助計算!$G$2:$G$801, 0)+1)),IF(INDEX(ERP資料!$G:$G, (MATCH(333, 輔助計算!$G$2:$G$801, 0)+1))&lt;100, IF(INDEX(ERP資料!$G:$G, (MATCH(333, 輔助計算!$G$2:$G$801, 0)+1))&lt;=31,3,IF(INDEX(ERP資料!$G:$G, (MATCH(333, 輔助計算!$G$2:$G$801, 0)+1))&lt;=46.5,2,1)), IF(INDEX(ERP資料!$G:$G, (MATCH(333, 輔助計算!$G$2:$G$801, 0)+1))&lt;=790,3,IF(INDEX(ERP資料!$G:$G, (MATCH(333, 輔助計算!$G$2:$G$801, 0)+1))&lt;=1181,2,1))))=2,TEXT(INDEX(ERP資料!$G:$G, (MATCH(333, 輔助計算!$G$2:$G$801, 0)+1)),"0.##")&amp;"+"&amp;TEXT(INDEX(ERP資料!$G:$G, (MATCH(333, 輔助計算!$G$2:$G$801, 0)+1)),"0.##"),TEXT(INDEX(ERP資料!$G:$G, (MATCH(333, 輔助計算!$G$2:$G$801, 0)+1)),"0.##")&amp;"+"&amp;TEXT(INDEX(ERP資料!$G:$G, (MATCH(333, 輔助計算!$G$2:$G$801, 0)+1)),"0.##")&amp;"+"&amp;TEXT(INDEX(ERP資料!$G:$G, (MATCH(333, 輔助計算!$G$2:$G$801, 0)+1)),"0.##"))))&amp;"-1")&lt;&gt;""),"  ","")&amp;IF(MOD(INDEX(輔助計算!$D:$D, (MATCH(333, 輔助計算!$G$2:$G$801, 0)+1)),IF(INDEX(ERP資料!$G:$G, (MATCH(333, 輔助計算!$G$2:$G$801, 0)+1))&lt;100, IF(INDEX(ERP資料!$G:$G, (MATCH(333, 輔助計算!$G$2:$G$801, 0)+1))&lt;=31,3,IF(INDEX(ERP資料!$G:$G, (MATCH(333, 輔助計算!$G$2:$G$801, 0)+1))&lt;=46.5,2,1)), IF(INDEX(ERP資料!$G:$G, (MATCH(333, 輔助計算!$G$2:$G$801, 0)+1))&lt;=790,3,IF(INDEX(ERP資料!$G:$G, (MATCH(333, 輔助計算!$G$2:$G$801, 0)+1))&lt;=1181,2,1))))=0,"",IF(MOD(INDEX(輔助計算!$D:$D, (MATCH(333, 輔助計算!$G$2:$G$801, 0)+1)),IF(INDEX(ERP資料!$G:$G, (MATCH(333, 輔助計算!$G$2:$G$801, 0)+1))&lt;100, IF(INDEX(ERP資料!$G:$G, (MATCH(333, 輔助計算!$G$2:$G$801, 0)+1))&lt;=31,3,IF(INDEX(ERP資料!$G:$G, (MATCH(333, 輔助計算!$G$2:$G$801, 0)+1))&lt;=46.5,2,1)), IF(INDEX(ERP資料!$G:$G, (MATCH(333, 輔助計算!$G$2:$G$801, 0)+1))&lt;=790,3,IF(INDEX(ERP資料!$G:$G, (MATCH(333, 輔助計算!$G$2:$G$801, 0)+1))&lt;=1181,2,1))))=0,"",IF(MOD(INDEX(輔助計算!$D:$D, (MATCH(333, 輔助計算!$G$2:$G$801, 0)+1)),IF(INDEX(ERP資料!$G:$G, (MATCH(333, 輔助計算!$G$2:$G$801, 0)+1))&lt;100, IF(INDEX(ERP資料!$G:$G, (MATCH(333, 輔助計算!$G$2:$G$801, 0)+1))&lt;=31,3,IF(INDEX(ERP資料!$G:$G, (MATCH(333, 輔助計算!$G$2:$G$801, 0)+1))&lt;=46.5,2,1)), IF(INDEX(ERP資料!$G:$G, (MATCH(333, 輔助計算!$G$2:$G$801, 0)+1))&lt;=790,3,IF(INDEX(ERP資料!$G:$G, (MATCH(333, 輔助計算!$G$2:$G$801, 0)+1))&lt;=1181,2,1))))=1,TEXT(INDEX(ERP資料!$G:$G, (MATCH(333, 輔助計算!$G$2:$G$801, 0)+1)),"0.##"),IF(MOD(INDEX(輔助計算!$D:$D, (MATCH(333, 輔助計算!$G$2:$G$801, 0)+1)),IF(INDEX(ERP資料!$G:$G, (MATCH(333, 輔助計算!$G$2:$G$801, 0)+1))&lt;100, IF(INDEX(ERP資料!$G:$G, (MATCH(333, 輔助計算!$G$2:$G$801, 0)+1))&lt;=31,3,IF(INDEX(ERP資料!$G:$G, (MATCH(333, 輔助計算!$G$2:$G$801, 0)+1))&lt;=46.5,2,1)), IF(INDEX(ERP資料!$G:$G, (MATCH(333, 輔助計算!$G$2:$G$801, 0)+1))&lt;=790,3,IF(INDEX(ERP資料!$G:$G, (MATCH(333, 輔助計算!$G$2:$G$801, 0)+1))&lt;=1181,2,1))))=2,TEXT(INDEX(ERP資料!$G:$G, (MATCH(333, 輔助計算!$G$2:$G$801, 0)+1)),"0.##")&amp;"+"&amp;TEXT(INDEX(ERP資料!$G:$G, (MATCH(333, 輔助計算!$G$2:$G$801, 0)+1)),"0.##"),TEXT(INDEX(ERP資料!$G:$G, (MATCH(333, 輔助計算!$G$2:$G$801, 0)+1)),"0.##")&amp;"+"&amp;TEXT(INDEX(ERP資料!$G:$G, (MATCH(333, 輔助計算!$G$2:$G$801, 0)+1)),"0.##")&amp;"+"&amp;TEXT(INDEX(ERP資料!$G:$G, (MATCH(333, 輔助計算!$G$2:$G$801, 0)+1)),"0.##"))))&amp;"-1")), ""), "")</f>
        <v/>
      </c>
      <c r="K334" s="16" t="n"/>
      <c r="L334" s="14">
        <f>IFERROR(IF(AND(IFERROR(INDEX(ERP資料!$A:$A, (MATCH(333, 輔助計算!$G$2:$G$801, 0)+1)), "")&lt;&gt;"", IFERROR(INDEX(ERP資料!$A:$A, (MATCH(333, 輔助計算!$G$2:$G$801, 0)+1)), "")&lt;&gt;IFERROR(INDEX(ERP資料!$A:$A, MATCH(332, 輔助計算!$G$2:$G$801, 0)+1), "")), INDEX(ERP資料!$B:$B, (MATCH(333, 輔助計算!$G$2:$G$801, 0)+1)), ""), "")</f>
        <v/>
      </c>
      <c r="M334" s="17" t="n"/>
    </row>
    <row r="335">
      <c r="A335" s="10">
        <f>IFERROR(IF(AND(IFERROR(INDEX(ERP資料!$A:$A, (MATCH(334, 輔助計算!$G$2:$G$801, 0)+1)), "")&lt;&gt;"", IFERROR(INDEX(ERP資料!$A:$A, (MATCH(334, 輔助計算!$G$2:$G$801, 0)+1)), "")&lt;&gt;IFERROR(INDEX(ERP資料!$A:$A, MATCH(333, 輔助計算!$G$2:$G$801, 0)+1), "")), IFERROR(INDEX(ERP資料!$A:$A, (MATCH(334, 輔助計算!$G$2:$G$801, 0)+1)), ""), ""), "")</f>
        <v/>
      </c>
      <c r="B335" s="10">
        <f>IFERROR(IF(AND(IFERROR(INDEX(ERP資料!$A:$A, (MATCH(334, 輔助計算!$G$2:$G$801, 0)+1)), "")&lt;&gt;"", IFERROR(INDEX(ERP資料!$A:$A, (MATCH(334, 輔助計算!$G$2:$G$801, 0)+1)), "")&lt;&gt;IFERROR(INDEX(ERP資料!$A:$A, MATCH(333, 輔助計算!$G$2:$G$801, 0)+1), "")), INDEX(ERP資料!$S:$S, (MATCH(334, 輔助計算!$G$2:$G$801, 0)+1)), ""), "")</f>
        <v/>
      </c>
      <c r="C335" s="19">
        <f>IFERROR(IF(AND(IFERROR(INDEX(ERP資料!$A:$A, (MATCH(334, 輔助計算!$G$2:$G$801, 0)+1)), "")&lt;&gt;"", IFERROR(INDEX(ERP資料!$A:$A, (MATCH(334, 輔助計算!$G$2:$G$801, 0)+1)), "")&lt;&gt;IFERROR(INDEX(ERP資料!$A:$A, MATCH(333, 輔助計算!$G$2:$G$801, 0)+1), "")), IFERROR(VLOOKUP(LEFT(INDEX(ERP資料!$S:$S, (MATCH(334, 輔助計算!$G$2:$G$801, 0)+1)), 4), 紙管對照表!$A:$C, 3, FALSE), ""), ""), "")</f>
        <v/>
      </c>
      <c r="D335" s="16" t="n"/>
      <c r="E335" s="10">
        <f>IFERROR(IF(INDEX(ERP資料!$H:$H, (MATCH(334, 輔助計算!$G$2:$G$801, 0)+1))="","",INDEX(ERP資料!$H:$H, (MATCH(334, 輔助計算!$G$2:$G$801, 0)+1))), "")</f>
        <v/>
      </c>
      <c r="F335" s="10">
        <f>IFERROR(IF(INDEX(ERP資料!$E:$E, (MATCH(334, 輔助計算!$G$2:$G$801, 0)+1))="","",TRIM(INDEX(ERP資料!$E:$E, (MATCH(334, 輔助計算!$G$2:$G$801, 0)+1)))), "")</f>
        <v/>
      </c>
      <c r="G335" s="10">
        <f>IFERROR(IF(INDEX(ERP資料!$F:$F, (MATCH(334, 輔助計算!$G$2:$G$801, 0)+1))="","",INDEX(ERP資料!$F:$F, (MATCH(334, 輔助計算!$G$2:$G$801, 0)+1))), "")</f>
        <v/>
      </c>
      <c r="H335" s="10">
        <f>IFERROR(IF(INDEX(ERP資料!$G:$G, (MATCH(334, 輔助計算!$G$2:$G$801, 0)+1))="","",INDEX(ERP資料!$G:$G, (MATCH(334, 輔助計算!$G$2:$G$801, 0)+1))), "")</f>
        <v/>
      </c>
      <c r="I335" s="15">
        <f>IFERROR(INDEX(輔助計算!$D:$D, (MATCH(334, 輔助計算!$G$2:$G$801, 0)+1)), "")</f>
        <v/>
      </c>
      <c r="J335" s="15">
        <f>IFERROR(IF(AND(INDEX(輔助計算!$D:$D, (MATCH(334, 輔助計算!$G$2:$G$801, 0)+1))&lt;&gt;"", INDEX(ERP資料!$G:$G, (MATCH(334, 輔助計算!$G$2:$G$801, 0)+1))&lt;&gt;""), TRIM(IF(INT(INDEX(輔助計算!$D:$D, (MATCH(334, 輔助計算!$G$2:$G$801, 0)+1))/IF(INDEX(ERP資料!$G:$G, (MATCH(334, 輔助計算!$G$2:$G$801, 0)+1))&lt;100, IF(INDEX(ERP資料!$G:$G, (MATCH(334, 輔助計算!$G$2:$G$801, 0)+1))&lt;=31,3,IF(INDEX(ERP資料!$G:$G, (MATCH(334, 輔助計算!$G$2:$G$801, 0)+1))&lt;=46.5,2,1)), IF(INDEX(ERP資料!$G:$G, (MATCH(334, 輔助計算!$G$2:$G$801, 0)+1))&lt;=790,3,IF(INDEX(ERP資料!$G:$G, (MATCH(334, 輔助計算!$G$2:$G$801, 0)+1))&lt;=1181,2,1))))&gt;0, IF(IF(INDEX(ERP資料!$G:$G, (MATCH(334, 輔助計算!$G$2:$G$801, 0)+1))&lt;100, IF(INDEX(ERP資料!$G:$G, (MATCH(334, 輔助計算!$G$2:$G$801, 0)+1))&lt;=31,3,IF(INDEX(ERP資料!$G:$G, (MATCH(334, 輔助計算!$G$2:$G$801, 0)+1))&lt;=46.5,2,1)), IF(INDEX(ERP資料!$G:$G, (MATCH(334, 輔助計算!$G$2:$G$801, 0)+1))&lt;=790,3,IF(INDEX(ERP資料!$G:$G, (MATCH(334, 輔助計算!$G$2:$G$801, 0)+1))&lt;=1181,2,1)))=1,TEXT(INDEX(ERP資料!$G:$G, (MATCH(334, 輔助計算!$G$2:$G$801, 0)+1)),"0.##"),IF(IF(INDEX(ERP資料!$G:$G, (MATCH(334, 輔助計算!$G$2:$G$801, 0)+1))&lt;100, IF(INDEX(ERP資料!$G:$G, (MATCH(334, 輔助計算!$G$2:$G$801, 0)+1))&lt;=31,3,IF(INDEX(ERP資料!$G:$G, (MATCH(334, 輔助計算!$G$2:$G$801, 0)+1))&lt;=46.5,2,1)), IF(INDEX(ERP資料!$G:$G, (MATCH(334, 輔助計算!$G$2:$G$801, 0)+1))&lt;=790,3,IF(INDEX(ERP資料!$G:$G, (MATCH(334, 輔助計算!$G$2:$G$801, 0)+1))&lt;=1181,2,1)))=2,TEXT(INDEX(ERP資料!$G:$G, (MATCH(334, 輔助計算!$G$2:$G$801, 0)+1)),"0.##")&amp;"+"&amp;TEXT(INDEX(ERP資料!$G:$G, (MATCH(334, 輔助計算!$G$2:$G$801, 0)+1)),"0.##"),TEXT(INDEX(ERP資料!$G:$G, (MATCH(334, 輔助計算!$G$2:$G$801, 0)+1)),"0.##")&amp;"+"&amp;TEXT(INDEX(ERP資料!$G:$G, (MATCH(334, 輔助計算!$G$2:$G$801, 0)+1)),"0.##")&amp;"+"&amp;TEXT(INDEX(ERP資料!$G:$G, (MATCH(334, 輔助計算!$G$2:$G$801, 0)+1)),"0.##")))&amp;"-"&amp;INT(INDEX(輔助計算!$D:$D, (MATCH(334, 輔助計算!$G$2:$G$801, 0)+1))/IF(INDEX(ERP資料!$G:$G, (MATCH(334, 輔助計算!$G$2:$G$801, 0)+1))&lt;100, IF(INDEX(ERP資料!$G:$G, (MATCH(334, 輔助計算!$G$2:$G$801, 0)+1))&lt;=31,3,IF(INDEX(ERP資料!$G:$G, (MATCH(334, 輔助計算!$G$2:$G$801, 0)+1))&lt;=46.5,2,1)), IF(INDEX(ERP資料!$G:$G, (MATCH(334, 輔助計算!$G$2:$G$801, 0)+1))&lt;=790,3,IF(INDEX(ERP資料!$G:$G, (MATCH(334, 輔助計算!$G$2:$G$801, 0)+1))&lt;=1181,2,1)))), "")&amp;IF(AND(IF(INT(INDEX(輔助計算!$D:$D, (MATCH(334, 輔助計算!$G$2:$G$801, 0)+1))/IF(INDEX(ERP資料!$G:$G, (MATCH(334, 輔助計算!$G$2:$G$801, 0)+1))&lt;100, IF(INDEX(ERP資料!$G:$G, (MATCH(334, 輔助計算!$G$2:$G$801, 0)+1))&lt;=31,3,IF(INDEX(ERP資料!$G:$G, (MATCH(334, 輔助計算!$G$2:$G$801, 0)+1))&lt;=46.5,2,1)), IF(INDEX(ERP資料!$G:$G, (MATCH(334, 輔助計算!$G$2:$G$801, 0)+1))&lt;=790,3,IF(INDEX(ERP資料!$G:$G, (MATCH(334, 輔助計算!$G$2:$G$801, 0)+1))&lt;=1181,2,1))))&gt;0, IF(IF(INDEX(ERP資料!$G:$G, (MATCH(334, 輔助計算!$G$2:$G$801, 0)+1))&lt;100, IF(INDEX(ERP資料!$G:$G, (MATCH(334, 輔助計算!$G$2:$G$801, 0)+1))&lt;=31,3,IF(INDEX(ERP資料!$G:$G, (MATCH(334, 輔助計算!$G$2:$G$801, 0)+1))&lt;=46.5,2,1)), IF(INDEX(ERP資料!$G:$G, (MATCH(334, 輔助計算!$G$2:$G$801, 0)+1))&lt;=790,3,IF(INDEX(ERP資料!$G:$G, (MATCH(334, 輔助計算!$G$2:$G$801, 0)+1))&lt;=1181,2,1)))=1,TEXT(INDEX(ERP資料!$G:$G, (MATCH(334, 輔助計算!$G$2:$G$801, 0)+1)),"0.##"),IF(IF(INDEX(ERP資料!$G:$G, (MATCH(334, 輔助計算!$G$2:$G$801, 0)+1))&lt;100, IF(INDEX(ERP資料!$G:$G, (MATCH(334, 輔助計算!$G$2:$G$801, 0)+1))&lt;=31,3,IF(INDEX(ERP資料!$G:$G, (MATCH(334, 輔助計算!$G$2:$G$801, 0)+1))&lt;=46.5,2,1)), IF(INDEX(ERP資料!$G:$G, (MATCH(334, 輔助計算!$G$2:$G$801, 0)+1))&lt;=790,3,IF(INDEX(ERP資料!$G:$G, (MATCH(334, 輔助計算!$G$2:$G$801, 0)+1))&lt;=1181,2,1)))=2,TEXT(INDEX(ERP資料!$G:$G, (MATCH(334, 輔助計算!$G$2:$G$801, 0)+1)),"0.##")&amp;"+"&amp;TEXT(INDEX(ERP資料!$G:$G, (MATCH(334, 輔助計算!$G$2:$G$801, 0)+1)),"0.##"),TEXT(INDEX(ERP資料!$G:$G, (MATCH(334, 輔助計算!$G$2:$G$801, 0)+1)),"0.##")&amp;"+"&amp;TEXT(INDEX(ERP資料!$G:$G, (MATCH(334, 輔助計算!$G$2:$G$801, 0)+1)),"0.##")&amp;"+"&amp;TEXT(INDEX(ERP資料!$G:$G, (MATCH(334, 輔助計算!$G$2:$G$801, 0)+1)),"0.##")))&amp;"-"&amp;INT(INDEX(輔助計算!$D:$D, (MATCH(334, 輔助計算!$G$2:$G$801, 0)+1))/IF(INDEX(ERP資料!$G:$G, (MATCH(334, 輔助計算!$G$2:$G$801, 0)+1))&lt;100, IF(INDEX(ERP資料!$G:$G, (MATCH(334, 輔助計算!$G$2:$G$801, 0)+1))&lt;=31,3,IF(INDEX(ERP資料!$G:$G, (MATCH(334, 輔助計算!$G$2:$G$801, 0)+1))&lt;=46.5,2,1)), IF(INDEX(ERP資料!$G:$G, (MATCH(334, 輔助計算!$G$2:$G$801, 0)+1))&lt;=790,3,IF(INDEX(ERP資料!$G:$G, (MATCH(334, 輔助計算!$G$2:$G$801, 0)+1))&lt;=1181,2,1)))), "")&lt;&gt;"",IF(MOD(INDEX(輔助計算!$D:$D, (MATCH(334, 輔助計算!$G$2:$G$801, 0)+1)),IF(INDEX(ERP資料!$G:$G, (MATCH(334, 輔助計算!$G$2:$G$801, 0)+1))&lt;100, IF(INDEX(ERP資料!$G:$G, (MATCH(334, 輔助計算!$G$2:$G$801, 0)+1))&lt;=31,3,IF(INDEX(ERP資料!$G:$G, (MATCH(334, 輔助計算!$G$2:$G$801, 0)+1))&lt;=46.5,2,1)), IF(INDEX(ERP資料!$G:$G, (MATCH(334, 輔助計算!$G$2:$G$801, 0)+1))&lt;=790,3,IF(INDEX(ERP資料!$G:$G, (MATCH(334, 輔助計算!$G$2:$G$801, 0)+1))&lt;=1181,2,1))))=0,"",IF(MOD(INDEX(輔助計算!$D:$D, (MATCH(334, 輔助計算!$G$2:$G$801, 0)+1)),IF(INDEX(ERP資料!$G:$G, (MATCH(334, 輔助計算!$G$2:$G$801, 0)+1))&lt;100, IF(INDEX(ERP資料!$G:$G, (MATCH(334, 輔助計算!$G$2:$G$801, 0)+1))&lt;=31,3,IF(INDEX(ERP資料!$G:$G, (MATCH(334, 輔助計算!$G$2:$G$801, 0)+1))&lt;=46.5,2,1)), IF(INDEX(ERP資料!$G:$G, (MATCH(334, 輔助計算!$G$2:$G$801, 0)+1))&lt;=790,3,IF(INDEX(ERP資料!$G:$G, (MATCH(334, 輔助計算!$G$2:$G$801, 0)+1))&lt;=1181,2,1))))=0,"",IF(MOD(INDEX(輔助計算!$D:$D, (MATCH(334, 輔助計算!$G$2:$G$801, 0)+1)),IF(INDEX(ERP資料!$G:$G, (MATCH(334, 輔助計算!$G$2:$G$801, 0)+1))&lt;100, IF(INDEX(ERP資料!$G:$G, (MATCH(334, 輔助計算!$G$2:$G$801, 0)+1))&lt;=31,3,IF(INDEX(ERP資料!$G:$G, (MATCH(334, 輔助計算!$G$2:$G$801, 0)+1))&lt;=46.5,2,1)), IF(INDEX(ERP資料!$G:$G, (MATCH(334, 輔助計算!$G$2:$G$801, 0)+1))&lt;=790,3,IF(INDEX(ERP資料!$G:$G, (MATCH(334, 輔助計算!$G$2:$G$801, 0)+1))&lt;=1181,2,1))))=1,TEXT(INDEX(ERP資料!$G:$G, (MATCH(334, 輔助計算!$G$2:$G$801, 0)+1)),"0.##"),IF(MOD(INDEX(輔助計算!$D:$D, (MATCH(334, 輔助計算!$G$2:$G$801, 0)+1)),IF(INDEX(ERP資料!$G:$G, (MATCH(334, 輔助計算!$G$2:$G$801, 0)+1))&lt;100, IF(INDEX(ERP資料!$G:$G, (MATCH(334, 輔助計算!$G$2:$G$801, 0)+1))&lt;=31,3,IF(INDEX(ERP資料!$G:$G, (MATCH(334, 輔助計算!$G$2:$G$801, 0)+1))&lt;=46.5,2,1)), IF(INDEX(ERP資料!$G:$G, (MATCH(334, 輔助計算!$G$2:$G$801, 0)+1))&lt;=790,3,IF(INDEX(ERP資料!$G:$G, (MATCH(334, 輔助計算!$G$2:$G$801, 0)+1))&lt;=1181,2,1))))=2,TEXT(INDEX(ERP資料!$G:$G, (MATCH(334, 輔助計算!$G$2:$G$801, 0)+1)),"0.##")&amp;"+"&amp;TEXT(INDEX(ERP資料!$G:$G, (MATCH(334, 輔助計算!$G$2:$G$801, 0)+1)),"0.##"),TEXT(INDEX(ERP資料!$G:$G, (MATCH(334, 輔助計算!$G$2:$G$801, 0)+1)),"0.##")&amp;"+"&amp;TEXT(INDEX(ERP資料!$G:$G, (MATCH(334, 輔助計算!$G$2:$G$801, 0)+1)),"0.##")&amp;"+"&amp;TEXT(INDEX(ERP資料!$G:$G, (MATCH(334, 輔助計算!$G$2:$G$801, 0)+1)),"0.##"))))&amp;"-1")&lt;&gt;""),"  ","")&amp;IF(MOD(INDEX(輔助計算!$D:$D, (MATCH(334, 輔助計算!$G$2:$G$801, 0)+1)),IF(INDEX(ERP資料!$G:$G, (MATCH(334, 輔助計算!$G$2:$G$801, 0)+1))&lt;100, IF(INDEX(ERP資料!$G:$G, (MATCH(334, 輔助計算!$G$2:$G$801, 0)+1))&lt;=31,3,IF(INDEX(ERP資料!$G:$G, (MATCH(334, 輔助計算!$G$2:$G$801, 0)+1))&lt;=46.5,2,1)), IF(INDEX(ERP資料!$G:$G, (MATCH(334, 輔助計算!$G$2:$G$801, 0)+1))&lt;=790,3,IF(INDEX(ERP資料!$G:$G, (MATCH(334, 輔助計算!$G$2:$G$801, 0)+1))&lt;=1181,2,1))))=0,"",IF(MOD(INDEX(輔助計算!$D:$D, (MATCH(334, 輔助計算!$G$2:$G$801, 0)+1)),IF(INDEX(ERP資料!$G:$G, (MATCH(334, 輔助計算!$G$2:$G$801, 0)+1))&lt;100, IF(INDEX(ERP資料!$G:$G, (MATCH(334, 輔助計算!$G$2:$G$801, 0)+1))&lt;=31,3,IF(INDEX(ERP資料!$G:$G, (MATCH(334, 輔助計算!$G$2:$G$801, 0)+1))&lt;=46.5,2,1)), IF(INDEX(ERP資料!$G:$G, (MATCH(334, 輔助計算!$G$2:$G$801, 0)+1))&lt;=790,3,IF(INDEX(ERP資料!$G:$G, (MATCH(334, 輔助計算!$G$2:$G$801, 0)+1))&lt;=1181,2,1))))=0,"",IF(MOD(INDEX(輔助計算!$D:$D, (MATCH(334, 輔助計算!$G$2:$G$801, 0)+1)),IF(INDEX(ERP資料!$G:$G, (MATCH(334, 輔助計算!$G$2:$G$801, 0)+1))&lt;100, IF(INDEX(ERP資料!$G:$G, (MATCH(334, 輔助計算!$G$2:$G$801, 0)+1))&lt;=31,3,IF(INDEX(ERP資料!$G:$G, (MATCH(334, 輔助計算!$G$2:$G$801, 0)+1))&lt;=46.5,2,1)), IF(INDEX(ERP資料!$G:$G, (MATCH(334, 輔助計算!$G$2:$G$801, 0)+1))&lt;=790,3,IF(INDEX(ERP資料!$G:$G, (MATCH(334, 輔助計算!$G$2:$G$801, 0)+1))&lt;=1181,2,1))))=1,TEXT(INDEX(ERP資料!$G:$G, (MATCH(334, 輔助計算!$G$2:$G$801, 0)+1)),"0.##"),IF(MOD(INDEX(輔助計算!$D:$D, (MATCH(334, 輔助計算!$G$2:$G$801, 0)+1)),IF(INDEX(ERP資料!$G:$G, (MATCH(334, 輔助計算!$G$2:$G$801, 0)+1))&lt;100, IF(INDEX(ERP資料!$G:$G, (MATCH(334, 輔助計算!$G$2:$G$801, 0)+1))&lt;=31,3,IF(INDEX(ERP資料!$G:$G, (MATCH(334, 輔助計算!$G$2:$G$801, 0)+1))&lt;=46.5,2,1)), IF(INDEX(ERP資料!$G:$G, (MATCH(334, 輔助計算!$G$2:$G$801, 0)+1))&lt;=790,3,IF(INDEX(ERP資料!$G:$G, (MATCH(334, 輔助計算!$G$2:$G$801, 0)+1))&lt;=1181,2,1))))=2,TEXT(INDEX(ERP資料!$G:$G, (MATCH(334, 輔助計算!$G$2:$G$801, 0)+1)),"0.##")&amp;"+"&amp;TEXT(INDEX(ERP資料!$G:$G, (MATCH(334, 輔助計算!$G$2:$G$801, 0)+1)),"0.##"),TEXT(INDEX(ERP資料!$G:$G, (MATCH(334, 輔助計算!$G$2:$G$801, 0)+1)),"0.##")&amp;"+"&amp;TEXT(INDEX(ERP資料!$G:$G, (MATCH(334, 輔助計算!$G$2:$G$801, 0)+1)),"0.##")&amp;"+"&amp;TEXT(INDEX(ERP資料!$G:$G, (MATCH(334, 輔助計算!$G$2:$G$801, 0)+1)),"0.##"))))&amp;"-1")), ""), "")</f>
        <v/>
      </c>
      <c r="K335" s="16" t="n"/>
      <c r="L335" s="14">
        <f>IFERROR(IF(AND(IFERROR(INDEX(ERP資料!$A:$A, (MATCH(334, 輔助計算!$G$2:$G$801, 0)+1)), "")&lt;&gt;"", IFERROR(INDEX(ERP資料!$A:$A, (MATCH(334, 輔助計算!$G$2:$G$801, 0)+1)), "")&lt;&gt;IFERROR(INDEX(ERP資料!$A:$A, MATCH(333, 輔助計算!$G$2:$G$801, 0)+1), "")), INDEX(ERP資料!$B:$B, (MATCH(334, 輔助計算!$G$2:$G$801, 0)+1)), ""), "")</f>
        <v/>
      </c>
      <c r="M335" s="17" t="n"/>
    </row>
    <row r="336">
      <c r="A336" s="10">
        <f>IFERROR(IF(AND(IFERROR(INDEX(ERP資料!$A:$A, (MATCH(335, 輔助計算!$G$2:$G$801, 0)+1)), "")&lt;&gt;"", IFERROR(INDEX(ERP資料!$A:$A, (MATCH(335, 輔助計算!$G$2:$G$801, 0)+1)), "")&lt;&gt;IFERROR(INDEX(ERP資料!$A:$A, MATCH(334, 輔助計算!$G$2:$G$801, 0)+1), "")), IFERROR(INDEX(ERP資料!$A:$A, (MATCH(335, 輔助計算!$G$2:$G$801, 0)+1)), ""), ""), "")</f>
        <v/>
      </c>
      <c r="B336" s="10">
        <f>IFERROR(IF(AND(IFERROR(INDEX(ERP資料!$A:$A, (MATCH(335, 輔助計算!$G$2:$G$801, 0)+1)), "")&lt;&gt;"", IFERROR(INDEX(ERP資料!$A:$A, (MATCH(335, 輔助計算!$G$2:$G$801, 0)+1)), "")&lt;&gt;IFERROR(INDEX(ERP資料!$A:$A, MATCH(334, 輔助計算!$G$2:$G$801, 0)+1), "")), INDEX(ERP資料!$S:$S, (MATCH(335, 輔助計算!$G$2:$G$801, 0)+1)), ""), "")</f>
        <v/>
      </c>
      <c r="C336" s="19">
        <f>IFERROR(IF(AND(IFERROR(INDEX(ERP資料!$A:$A, (MATCH(335, 輔助計算!$G$2:$G$801, 0)+1)), "")&lt;&gt;"", IFERROR(INDEX(ERP資料!$A:$A, (MATCH(335, 輔助計算!$G$2:$G$801, 0)+1)), "")&lt;&gt;IFERROR(INDEX(ERP資料!$A:$A, MATCH(334, 輔助計算!$G$2:$G$801, 0)+1), "")), IFERROR(VLOOKUP(LEFT(INDEX(ERP資料!$S:$S, (MATCH(335, 輔助計算!$G$2:$G$801, 0)+1)), 4), 紙管對照表!$A:$C, 3, FALSE), ""), ""), "")</f>
        <v/>
      </c>
      <c r="D336" s="16" t="n"/>
      <c r="E336" s="10">
        <f>IFERROR(IF(INDEX(ERP資料!$H:$H, (MATCH(335, 輔助計算!$G$2:$G$801, 0)+1))="","",INDEX(ERP資料!$H:$H, (MATCH(335, 輔助計算!$G$2:$G$801, 0)+1))), "")</f>
        <v/>
      </c>
      <c r="F336" s="10">
        <f>IFERROR(IF(INDEX(ERP資料!$E:$E, (MATCH(335, 輔助計算!$G$2:$G$801, 0)+1))="","",TRIM(INDEX(ERP資料!$E:$E, (MATCH(335, 輔助計算!$G$2:$G$801, 0)+1)))), "")</f>
        <v/>
      </c>
      <c r="G336" s="10">
        <f>IFERROR(IF(INDEX(ERP資料!$F:$F, (MATCH(335, 輔助計算!$G$2:$G$801, 0)+1))="","",INDEX(ERP資料!$F:$F, (MATCH(335, 輔助計算!$G$2:$G$801, 0)+1))), "")</f>
        <v/>
      </c>
      <c r="H336" s="10">
        <f>IFERROR(IF(INDEX(ERP資料!$G:$G, (MATCH(335, 輔助計算!$G$2:$G$801, 0)+1))="","",INDEX(ERP資料!$G:$G, (MATCH(335, 輔助計算!$G$2:$G$801, 0)+1))), "")</f>
        <v/>
      </c>
      <c r="I336" s="15">
        <f>IFERROR(INDEX(輔助計算!$D:$D, (MATCH(335, 輔助計算!$G$2:$G$801, 0)+1)), "")</f>
        <v/>
      </c>
      <c r="J336" s="15">
        <f>IFERROR(IF(AND(INDEX(輔助計算!$D:$D, (MATCH(335, 輔助計算!$G$2:$G$801, 0)+1))&lt;&gt;"", INDEX(ERP資料!$G:$G, (MATCH(335, 輔助計算!$G$2:$G$801, 0)+1))&lt;&gt;""), TRIM(IF(INT(INDEX(輔助計算!$D:$D, (MATCH(335, 輔助計算!$G$2:$G$801, 0)+1))/IF(INDEX(ERP資料!$G:$G, (MATCH(335, 輔助計算!$G$2:$G$801, 0)+1))&lt;100, IF(INDEX(ERP資料!$G:$G, (MATCH(335, 輔助計算!$G$2:$G$801, 0)+1))&lt;=31,3,IF(INDEX(ERP資料!$G:$G, (MATCH(335, 輔助計算!$G$2:$G$801, 0)+1))&lt;=46.5,2,1)), IF(INDEX(ERP資料!$G:$G, (MATCH(335, 輔助計算!$G$2:$G$801, 0)+1))&lt;=790,3,IF(INDEX(ERP資料!$G:$G, (MATCH(335, 輔助計算!$G$2:$G$801, 0)+1))&lt;=1181,2,1))))&gt;0, IF(IF(INDEX(ERP資料!$G:$G, (MATCH(335, 輔助計算!$G$2:$G$801, 0)+1))&lt;100, IF(INDEX(ERP資料!$G:$G, (MATCH(335, 輔助計算!$G$2:$G$801, 0)+1))&lt;=31,3,IF(INDEX(ERP資料!$G:$G, (MATCH(335, 輔助計算!$G$2:$G$801, 0)+1))&lt;=46.5,2,1)), IF(INDEX(ERP資料!$G:$G, (MATCH(335, 輔助計算!$G$2:$G$801, 0)+1))&lt;=790,3,IF(INDEX(ERP資料!$G:$G, (MATCH(335, 輔助計算!$G$2:$G$801, 0)+1))&lt;=1181,2,1)))=1,TEXT(INDEX(ERP資料!$G:$G, (MATCH(335, 輔助計算!$G$2:$G$801, 0)+1)),"0.##"),IF(IF(INDEX(ERP資料!$G:$G, (MATCH(335, 輔助計算!$G$2:$G$801, 0)+1))&lt;100, IF(INDEX(ERP資料!$G:$G, (MATCH(335, 輔助計算!$G$2:$G$801, 0)+1))&lt;=31,3,IF(INDEX(ERP資料!$G:$G, (MATCH(335, 輔助計算!$G$2:$G$801, 0)+1))&lt;=46.5,2,1)), IF(INDEX(ERP資料!$G:$G, (MATCH(335, 輔助計算!$G$2:$G$801, 0)+1))&lt;=790,3,IF(INDEX(ERP資料!$G:$G, (MATCH(335, 輔助計算!$G$2:$G$801, 0)+1))&lt;=1181,2,1)))=2,TEXT(INDEX(ERP資料!$G:$G, (MATCH(335, 輔助計算!$G$2:$G$801, 0)+1)),"0.##")&amp;"+"&amp;TEXT(INDEX(ERP資料!$G:$G, (MATCH(335, 輔助計算!$G$2:$G$801, 0)+1)),"0.##"),TEXT(INDEX(ERP資料!$G:$G, (MATCH(335, 輔助計算!$G$2:$G$801, 0)+1)),"0.##")&amp;"+"&amp;TEXT(INDEX(ERP資料!$G:$G, (MATCH(335, 輔助計算!$G$2:$G$801, 0)+1)),"0.##")&amp;"+"&amp;TEXT(INDEX(ERP資料!$G:$G, (MATCH(335, 輔助計算!$G$2:$G$801, 0)+1)),"0.##")))&amp;"-"&amp;INT(INDEX(輔助計算!$D:$D, (MATCH(335, 輔助計算!$G$2:$G$801, 0)+1))/IF(INDEX(ERP資料!$G:$G, (MATCH(335, 輔助計算!$G$2:$G$801, 0)+1))&lt;100, IF(INDEX(ERP資料!$G:$G, (MATCH(335, 輔助計算!$G$2:$G$801, 0)+1))&lt;=31,3,IF(INDEX(ERP資料!$G:$G, (MATCH(335, 輔助計算!$G$2:$G$801, 0)+1))&lt;=46.5,2,1)), IF(INDEX(ERP資料!$G:$G, (MATCH(335, 輔助計算!$G$2:$G$801, 0)+1))&lt;=790,3,IF(INDEX(ERP資料!$G:$G, (MATCH(335, 輔助計算!$G$2:$G$801, 0)+1))&lt;=1181,2,1)))), "")&amp;IF(AND(IF(INT(INDEX(輔助計算!$D:$D, (MATCH(335, 輔助計算!$G$2:$G$801, 0)+1))/IF(INDEX(ERP資料!$G:$G, (MATCH(335, 輔助計算!$G$2:$G$801, 0)+1))&lt;100, IF(INDEX(ERP資料!$G:$G, (MATCH(335, 輔助計算!$G$2:$G$801, 0)+1))&lt;=31,3,IF(INDEX(ERP資料!$G:$G, (MATCH(335, 輔助計算!$G$2:$G$801, 0)+1))&lt;=46.5,2,1)), IF(INDEX(ERP資料!$G:$G, (MATCH(335, 輔助計算!$G$2:$G$801, 0)+1))&lt;=790,3,IF(INDEX(ERP資料!$G:$G, (MATCH(335, 輔助計算!$G$2:$G$801, 0)+1))&lt;=1181,2,1))))&gt;0, IF(IF(INDEX(ERP資料!$G:$G, (MATCH(335, 輔助計算!$G$2:$G$801, 0)+1))&lt;100, IF(INDEX(ERP資料!$G:$G, (MATCH(335, 輔助計算!$G$2:$G$801, 0)+1))&lt;=31,3,IF(INDEX(ERP資料!$G:$G, (MATCH(335, 輔助計算!$G$2:$G$801, 0)+1))&lt;=46.5,2,1)), IF(INDEX(ERP資料!$G:$G, (MATCH(335, 輔助計算!$G$2:$G$801, 0)+1))&lt;=790,3,IF(INDEX(ERP資料!$G:$G, (MATCH(335, 輔助計算!$G$2:$G$801, 0)+1))&lt;=1181,2,1)))=1,TEXT(INDEX(ERP資料!$G:$G, (MATCH(335, 輔助計算!$G$2:$G$801, 0)+1)),"0.##"),IF(IF(INDEX(ERP資料!$G:$G, (MATCH(335, 輔助計算!$G$2:$G$801, 0)+1))&lt;100, IF(INDEX(ERP資料!$G:$G, (MATCH(335, 輔助計算!$G$2:$G$801, 0)+1))&lt;=31,3,IF(INDEX(ERP資料!$G:$G, (MATCH(335, 輔助計算!$G$2:$G$801, 0)+1))&lt;=46.5,2,1)), IF(INDEX(ERP資料!$G:$G, (MATCH(335, 輔助計算!$G$2:$G$801, 0)+1))&lt;=790,3,IF(INDEX(ERP資料!$G:$G, (MATCH(335, 輔助計算!$G$2:$G$801, 0)+1))&lt;=1181,2,1)))=2,TEXT(INDEX(ERP資料!$G:$G, (MATCH(335, 輔助計算!$G$2:$G$801, 0)+1)),"0.##")&amp;"+"&amp;TEXT(INDEX(ERP資料!$G:$G, (MATCH(335, 輔助計算!$G$2:$G$801, 0)+1)),"0.##"),TEXT(INDEX(ERP資料!$G:$G, (MATCH(335, 輔助計算!$G$2:$G$801, 0)+1)),"0.##")&amp;"+"&amp;TEXT(INDEX(ERP資料!$G:$G, (MATCH(335, 輔助計算!$G$2:$G$801, 0)+1)),"0.##")&amp;"+"&amp;TEXT(INDEX(ERP資料!$G:$G, (MATCH(335, 輔助計算!$G$2:$G$801, 0)+1)),"0.##")))&amp;"-"&amp;INT(INDEX(輔助計算!$D:$D, (MATCH(335, 輔助計算!$G$2:$G$801, 0)+1))/IF(INDEX(ERP資料!$G:$G, (MATCH(335, 輔助計算!$G$2:$G$801, 0)+1))&lt;100, IF(INDEX(ERP資料!$G:$G, (MATCH(335, 輔助計算!$G$2:$G$801, 0)+1))&lt;=31,3,IF(INDEX(ERP資料!$G:$G, (MATCH(335, 輔助計算!$G$2:$G$801, 0)+1))&lt;=46.5,2,1)), IF(INDEX(ERP資料!$G:$G, (MATCH(335, 輔助計算!$G$2:$G$801, 0)+1))&lt;=790,3,IF(INDEX(ERP資料!$G:$G, (MATCH(335, 輔助計算!$G$2:$G$801, 0)+1))&lt;=1181,2,1)))), "")&lt;&gt;"",IF(MOD(INDEX(輔助計算!$D:$D, (MATCH(335, 輔助計算!$G$2:$G$801, 0)+1)),IF(INDEX(ERP資料!$G:$G, (MATCH(335, 輔助計算!$G$2:$G$801, 0)+1))&lt;100, IF(INDEX(ERP資料!$G:$G, (MATCH(335, 輔助計算!$G$2:$G$801, 0)+1))&lt;=31,3,IF(INDEX(ERP資料!$G:$G, (MATCH(335, 輔助計算!$G$2:$G$801, 0)+1))&lt;=46.5,2,1)), IF(INDEX(ERP資料!$G:$G, (MATCH(335, 輔助計算!$G$2:$G$801, 0)+1))&lt;=790,3,IF(INDEX(ERP資料!$G:$G, (MATCH(335, 輔助計算!$G$2:$G$801, 0)+1))&lt;=1181,2,1))))=0,"",IF(MOD(INDEX(輔助計算!$D:$D, (MATCH(335, 輔助計算!$G$2:$G$801, 0)+1)),IF(INDEX(ERP資料!$G:$G, (MATCH(335, 輔助計算!$G$2:$G$801, 0)+1))&lt;100, IF(INDEX(ERP資料!$G:$G, (MATCH(335, 輔助計算!$G$2:$G$801, 0)+1))&lt;=31,3,IF(INDEX(ERP資料!$G:$G, (MATCH(335, 輔助計算!$G$2:$G$801, 0)+1))&lt;=46.5,2,1)), IF(INDEX(ERP資料!$G:$G, (MATCH(335, 輔助計算!$G$2:$G$801, 0)+1))&lt;=790,3,IF(INDEX(ERP資料!$G:$G, (MATCH(335, 輔助計算!$G$2:$G$801, 0)+1))&lt;=1181,2,1))))=0,"",IF(MOD(INDEX(輔助計算!$D:$D, (MATCH(335, 輔助計算!$G$2:$G$801, 0)+1)),IF(INDEX(ERP資料!$G:$G, (MATCH(335, 輔助計算!$G$2:$G$801, 0)+1))&lt;100, IF(INDEX(ERP資料!$G:$G, (MATCH(335, 輔助計算!$G$2:$G$801, 0)+1))&lt;=31,3,IF(INDEX(ERP資料!$G:$G, (MATCH(335, 輔助計算!$G$2:$G$801, 0)+1))&lt;=46.5,2,1)), IF(INDEX(ERP資料!$G:$G, (MATCH(335, 輔助計算!$G$2:$G$801, 0)+1))&lt;=790,3,IF(INDEX(ERP資料!$G:$G, (MATCH(335, 輔助計算!$G$2:$G$801, 0)+1))&lt;=1181,2,1))))=1,TEXT(INDEX(ERP資料!$G:$G, (MATCH(335, 輔助計算!$G$2:$G$801, 0)+1)),"0.##"),IF(MOD(INDEX(輔助計算!$D:$D, (MATCH(335, 輔助計算!$G$2:$G$801, 0)+1)),IF(INDEX(ERP資料!$G:$G, (MATCH(335, 輔助計算!$G$2:$G$801, 0)+1))&lt;100, IF(INDEX(ERP資料!$G:$G, (MATCH(335, 輔助計算!$G$2:$G$801, 0)+1))&lt;=31,3,IF(INDEX(ERP資料!$G:$G, (MATCH(335, 輔助計算!$G$2:$G$801, 0)+1))&lt;=46.5,2,1)), IF(INDEX(ERP資料!$G:$G, (MATCH(335, 輔助計算!$G$2:$G$801, 0)+1))&lt;=790,3,IF(INDEX(ERP資料!$G:$G, (MATCH(335, 輔助計算!$G$2:$G$801, 0)+1))&lt;=1181,2,1))))=2,TEXT(INDEX(ERP資料!$G:$G, (MATCH(335, 輔助計算!$G$2:$G$801, 0)+1)),"0.##")&amp;"+"&amp;TEXT(INDEX(ERP資料!$G:$G, (MATCH(335, 輔助計算!$G$2:$G$801, 0)+1)),"0.##"),TEXT(INDEX(ERP資料!$G:$G, (MATCH(335, 輔助計算!$G$2:$G$801, 0)+1)),"0.##")&amp;"+"&amp;TEXT(INDEX(ERP資料!$G:$G, (MATCH(335, 輔助計算!$G$2:$G$801, 0)+1)),"0.##")&amp;"+"&amp;TEXT(INDEX(ERP資料!$G:$G, (MATCH(335, 輔助計算!$G$2:$G$801, 0)+1)),"0.##"))))&amp;"-1")&lt;&gt;""),"  ","")&amp;IF(MOD(INDEX(輔助計算!$D:$D, (MATCH(335, 輔助計算!$G$2:$G$801, 0)+1)),IF(INDEX(ERP資料!$G:$G, (MATCH(335, 輔助計算!$G$2:$G$801, 0)+1))&lt;100, IF(INDEX(ERP資料!$G:$G, (MATCH(335, 輔助計算!$G$2:$G$801, 0)+1))&lt;=31,3,IF(INDEX(ERP資料!$G:$G, (MATCH(335, 輔助計算!$G$2:$G$801, 0)+1))&lt;=46.5,2,1)), IF(INDEX(ERP資料!$G:$G, (MATCH(335, 輔助計算!$G$2:$G$801, 0)+1))&lt;=790,3,IF(INDEX(ERP資料!$G:$G, (MATCH(335, 輔助計算!$G$2:$G$801, 0)+1))&lt;=1181,2,1))))=0,"",IF(MOD(INDEX(輔助計算!$D:$D, (MATCH(335, 輔助計算!$G$2:$G$801, 0)+1)),IF(INDEX(ERP資料!$G:$G, (MATCH(335, 輔助計算!$G$2:$G$801, 0)+1))&lt;100, IF(INDEX(ERP資料!$G:$G, (MATCH(335, 輔助計算!$G$2:$G$801, 0)+1))&lt;=31,3,IF(INDEX(ERP資料!$G:$G, (MATCH(335, 輔助計算!$G$2:$G$801, 0)+1))&lt;=46.5,2,1)), IF(INDEX(ERP資料!$G:$G, (MATCH(335, 輔助計算!$G$2:$G$801, 0)+1))&lt;=790,3,IF(INDEX(ERP資料!$G:$G, (MATCH(335, 輔助計算!$G$2:$G$801, 0)+1))&lt;=1181,2,1))))=0,"",IF(MOD(INDEX(輔助計算!$D:$D, (MATCH(335, 輔助計算!$G$2:$G$801, 0)+1)),IF(INDEX(ERP資料!$G:$G, (MATCH(335, 輔助計算!$G$2:$G$801, 0)+1))&lt;100, IF(INDEX(ERP資料!$G:$G, (MATCH(335, 輔助計算!$G$2:$G$801, 0)+1))&lt;=31,3,IF(INDEX(ERP資料!$G:$G, (MATCH(335, 輔助計算!$G$2:$G$801, 0)+1))&lt;=46.5,2,1)), IF(INDEX(ERP資料!$G:$G, (MATCH(335, 輔助計算!$G$2:$G$801, 0)+1))&lt;=790,3,IF(INDEX(ERP資料!$G:$G, (MATCH(335, 輔助計算!$G$2:$G$801, 0)+1))&lt;=1181,2,1))))=1,TEXT(INDEX(ERP資料!$G:$G, (MATCH(335, 輔助計算!$G$2:$G$801, 0)+1)),"0.##"),IF(MOD(INDEX(輔助計算!$D:$D, (MATCH(335, 輔助計算!$G$2:$G$801, 0)+1)),IF(INDEX(ERP資料!$G:$G, (MATCH(335, 輔助計算!$G$2:$G$801, 0)+1))&lt;100, IF(INDEX(ERP資料!$G:$G, (MATCH(335, 輔助計算!$G$2:$G$801, 0)+1))&lt;=31,3,IF(INDEX(ERP資料!$G:$G, (MATCH(335, 輔助計算!$G$2:$G$801, 0)+1))&lt;=46.5,2,1)), IF(INDEX(ERP資料!$G:$G, (MATCH(335, 輔助計算!$G$2:$G$801, 0)+1))&lt;=790,3,IF(INDEX(ERP資料!$G:$G, (MATCH(335, 輔助計算!$G$2:$G$801, 0)+1))&lt;=1181,2,1))))=2,TEXT(INDEX(ERP資料!$G:$G, (MATCH(335, 輔助計算!$G$2:$G$801, 0)+1)),"0.##")&amp;"+"&amp;TEXT(INDEX(ERP資料!$G:$G, (MATCH(335, 輔助計算!$G$2:$G$801, 0)+1)),"0.##"),TEXT(INDEX(ERP資料!$G:$G, (MATCH(335, 輔助計算!$G$2:$G$801, 0)+1)),"0.##")&amp;"+"&amp;TEXT(INDEX(ERP資料!$G:$G, (MATCH(335, 輔助計算!$G$2:$G$801, 0)+1)),"0.##")&amp;"+"&amp;TEXT(INDEX(ERP資料!$G:$G, (MATCH(335, 輔助計算!$G$2:$G$801, 0)+1)),"0.##"))))&amp;"-1")), ""), "")</f>
        <v/>
      </c>
      <c r="K336" s="16" t="n"/>
      <c r="L336" s="14">
        <f>IFERROR(IF(AND(IFERROR(INDEX(ERP資料!$A:$A, (MATCH(335, 輔助計算!$G$2:$G$801, 0)+1)), "")&lt;&gt;"", IFERROR(INDEX(ERP資料!$A:$A, (MATCH(335, 輔助計算!$G$2:$G$801, 0)+1)), "")&lt;&gt;IFERROR(INDEX(ERP資料!$A:$A, MATCH(334, 輔助計算!$G$2:$G$801, 0)+1), "")), INDEX(ERP資料!$B:$B, (MATCH(335, 輔助計算!$G$2:$G$801, 0)+1)), ""), "")</f>
        <v/>
      </c>
      <c r="M336" s="17" t="n"/>
    </row>
    <row r="337">
      <c r="A337" s="10">
        <f>IFERROR(IF(AND(IFERROR(INDEX(ERP資料!$A:$A, (MATCH(336, 輔助計算!$G$2:$G$801, 0)+1)), "")&lt;&gt;"", IFERROR(INDEX(ERP資料!$A:$A, (MATCH(336, 輔助計算!$G$2:$G$801, 0)+1)), "")&lt;&gt;IFERROR(INDEX(ERP資料!$A:$A, MATCH(335, 輔助計算!$G$2:$G$801, 0)+1), "")), IFERROR(INDEX(ERP資料!$A:$A, (MATCH(336, 輔助計算!$G$2:$G$801, 0)+1)), ""), ""), "")</f>
        <v/>
      </c>
      <c r="B337" s="10">
        <f>IFERROR(IF(AND(IFERROR(INDEX(ERP資料!$A:$A, (MATCH(336, 輔助計算!$G$2:$G$801, 0)+1)), "")&lt;&gt;"", IFERROR(INDEX(ERP資料!$A:$A, (MATCH(336, 輔助計算!$G$2:$G$801, 0)+1)), "")&lt;&gt;IFERROR(INDEX(ERP資料!$A:$A, MATCH(335, 輔助計算!$G$2:$G$801, 0)+1), "")), INDEX(ERP資料!$S:$S, (MATCH(336, 輔助計算!$G$2:$G$801, 0)+1)), ""), "")</f>
        <v/>
      </c>
      <c r="C337" s="19">
        <f>IFERROR(IF(AND(IFERROR(INDEX(ERP資料!$A:$A, (MATCH(336, 輔助計算!$G$2:$G$801, 0)+1)), "")&lt;&gt;"", IFERROR(INDEX(ERP資料!$A:$A, (MATCH(336, 輔助計算!$G$2:$G$801, 0)+1)), "")&lt;&gt;IFERROR(INDEX(ERP資料!$A:$A, MATCH(335, 輔助計算!$G$2:$G$801, 0)+1), "")), IFERROR(VLOOKUP(LEFT(INDEX(ERP資料!$S:$S, (MATCH(336, 輔助計算!$G$2:$G$801, 0)+1)), 4), 紙管對照表!$A:$C, 3, FALSE), ""), ""), "")</f>
        <v/>
      </c>
      <c r="D337" s="16" t="n"/>
      <c r="E337" s="10">
        <f>IFERROR(IF(INDEX(ERP資料!$H:$H, (MATCH(336, 輔助計算!$G$2:$G$801, 0)+1))="","",INDEX(ERP資料!$H:$H, (MATCH(336, 輔助計算!$G$2:$G$801, 0)+1))), "")</f>
        <v/>
      </c>
      <c r="F337" s="10">
        <f>IFERROR(IF(INDEX(ERP資料!$E:$E, (MATCH(336, 輔助計算!$G$2:$G$801, 0)+1))="","",TRIM(INDEX(ERP資料!$E:$E, (MATCH(336, 輔助計算!$G$2:$G$801, 0)+1)))), "")</f>
        <v/>
      </c>
      <c r="G337" s="10">
        <f>IFERROR(IF(INDEX(ERP資料!$F:$F, (MATCH(336, 輔助計算!$G$2:$G$801, 0)+1))="","",INDEX(ERP資料!$F:$F, (MATCH(336, 輔助計算!$G$2:$G$801, 0)+1))), "")</f>
        <v/>
      </c>
      <c r="H337" s="10">
        <f>IFERROR(IF(INDEX(ERP資料!$G:$G, (MATCH(336, 輔助計算!$G$2:$G$801, 0)+1))="","",INDEX(ERP資料!$G:$G, (MATCH(336, 輔助計算!$G$2:$G$801, 0)+1))), "")</f>
        <v/>
      </c>
      <c r="I337" s="15">
        <f>IFERROR(INDEX(輔助計算!$D:$D, (MATCH(336, 輔助計算!$G$2:$G$801, 0)+1)), "")</f>
        <v/>
      </c>
      <c r="J337" s="15">
        <f>IFERROR(IF(AND(INDEX(輔助計算!$D:$D, (MATCH(336, 輔助計算!$G$2:$G$801, 0)+1))&lt;&gt;"", INDEX(ERP資料!$G:$G, (MATCH(336, 輔助計算!$G$2:$G$801, 0)+1))&lt;&gt;""), TRIM(IF(INT(INDEX(輔助計算!$D:$D, (MATCH(336, 輔助計算!$G$2:$G$801, 0)+1))/IF(INDEX(ERP資料!$G:$G, (MATCH(336, 輔助計算!$G$2:$G$801, 0)+1))&lt;100, IF(INDEX(ERP資料!$G:$G, (MATCH(336, 輔助計算!$G$2:$G$801, 0)+1))&lt;=31,3,IF(INDEX(ERP資料!$G:$G, (MATCH(336, 輔助計算!$G$2:$G$801, 0)+1))&lt;=46.5,2,1)), IF(INDEX(ERP資料!$G:$G, (MATCH(336, 輔助計算!$G$2:$G$801, 0)+1))&lt;=790,3,IF(INDEX(ERP資料!$G:$G, (MATCH(336, 輔助計算!$G$2:$G$801, 0)+1))&lt;=1181,2,1))))&gt;0, IF(IF(INDEX(ERP資料!$G:$G, (MATCH(336, 輔助計算!$G$2:$G$801, 0)+1))&lt;100, IF(INDEX(ERP資料!$G:$G, (MATCH(336, 輔助計算!$G$2:$G$801, 0)+1))&lt;=31,3,IF(INDEX(ERP資料!$G:$G, (MATCH(336, 輔助計算!$G$2:$G$801, 0)+1))&lt;=46.5,2,1)), IF(INDEX(ERP資料!$G:$G, (MATCH(336, 輔助計算!$G$2:$G$801, 0)+1))&lt;=790,3,IF(INDEX(ERP資料!$G:$G, (MATCH(336, 輔助計算!$G$2:$G$801, 0)+1))&lt;=1181,2,1)))=1,TEXT(INDEX(ERP資料!$G:$G, (MATCH(336, 輔助計算!$G$2:$G$801, 0)+1)),"0.##"),IF(IF(INDEX(ERP資料!$G:$G, (MATCH(336, 輔助計算!$G$2:$G$801, 0)+1))&lt;100, IF(INDEX(ERP資料!$G:$G, (MATCH(336, 輔助計算!$G$2:$G$801, 0)+1))&lt;=31,3,IF(INDEX(ERP資料!$G:$G, (MATCH(336, 輔助計算!$G$2:$G$801, 0)+1))&lt;=46.5,2,1)), IF(INDEX(ERP資料!$G:$G, (MATCH(336, 輔助計算!$G$2:$G$801, 0)+1))&lt;=790,3,IF(INDEX(ERP資料!$G:$G, (MATCH(336, 輔助計算!$G$2:$G$801, 0)+1))&lt;=1181,2,1)))=2,TEXT(INDEX(ERP資料!$G:$G, (MATCH(336, 輔助計算!$G$2:$G$801, 0)+1)),"0.##")&amp;"+"&amp;TEXT(INDEX(ERP資料!$G:$G, (MATCH(336, 輔助計算!$G$2:$G$801, 0)+1)),"0.##"),TEXT(INDEX(ERP資料!$G:$G, (MATCH(336, 輔助計算!$G$2:$G$801, 0)+1)),"0.##")&amp;"+"&amp;TEXT(INDEX(ERP資料!$G:$G, (MATCH(336, 輔助計算!$G$2:$G$801, 0)+1)),"0.##")&amp;"+"&amp;TEXT(INDEX(ERP資料!$G:$G, (MATCH(336, 輔助計算!$G$2:$G$801, 0)+1)),"0.##")))&amp;"-"&amp;INT(INDEX(輔助計算!$D:$D, (MATCH(336, 輔助計算!$G$2:$G$801, 0)+1))/IF(INDEX(ERP資料!$G:$G, (MATCH(336, 輔助計算!$G$2:$G$801, 0)+1))&lt;100, IF(INDEX(ERP資料!$G:$G, (MATCH(336, 輔助計算!$G$2:$G$801, 0)+1))&lt;=31,3,IF(INDEX(ERP資料!$G:$G, (MATCH(336, 輔助計算!$G$2:$G$801, 0)+1))&lt;=46.5,2,1)), IF(INDEX(ERP資料!$G:$G, (MATCH(336, 輔助計算!$G$2:$G$801, 0)+1))&lt;=790,3,IF(INDEX(ERP資料!$G:$G, (MATCH(336, 輔助計算!$G$2:$G$801, 0)+1))&lt;=1181,2,1)))), "")&amp;IF(AND(IF(INT(INDEX(輔助計算!$D:$D, (MATCH(336, 輔助計算!$G$2:$G$801, 0)+1))/IF(INDEX(ERP資料!$G:$G, (MATCH(336, 輔助計算!$G$2:$G$801, 0)+1))&lt;100, IF(INDEX(ERP資料!$G:$G, (MATCH(336, 輔助計算!$G$2:$G$801, 0)+1))&lt;=31,3,IF(INDEX(ERP資料!$G:$G, (MATCH(336, 輔助計算!$G$2:$G$801, 0)+1))&lt;=46.5,2,1)), IF(INDEX(ERP資料!$G:$G, (MATCH(336, 輔助計算!$G$2:$G$801, 0)+1))&lt;=790,3,IF(INDEX(ERP資料!$G:$G, (MATCH(336, 輔助計算!$G$2:$G$801, 0)+1))&lt;=1181,2,1))))&gt;0, IF(IF(INDEX(ERP資料!$G:$G, (MATCH(336, 輔助計算!$G$2:$G$801, 0)+1))&lt;100, IF(INDEX(ERP資料!$G:$G, (MATCH(336, 輔助計算!$G$2:$G$801, 0)+1))&lt;=31,3,IF(INDEX(ERP資料!$G:$G, (MATCH(336, 輔助計算!$G$2:$G$801, 0)+1))&lt;=46.5,2,1)), IF(INDEX(ERP資料!$G:$G, (MATCH(336, 輔助計算!$G$2:$G$801, 0)+1))&lt;=790,3,IF(INDEX(ERP資料!$G:$G, (MATCH(336, 輔助計算!$G$2:$G$801, 0)+1))&lt;=1181,2,1)))=1,TEXT(INDEX(ERP資料!$G:$G, (MATCH(336, 輔助計算!$G$2:$G$801, 0)+1)),"0.##"),IF(IF(INDEX(ERP資料!$G:$G, (MATCH(336, 輔助計算!$G$2:$G$801, 0)+1))&lt;100, IF(INDEX(ERP資料!$G:$G, (MATCH(336, 輔助計算!$G$2:$G$801, 0)+1))&lt;=31,3,IF(INDEX(ERP資料!$G:$G, (MATCH(336, 輔助計算!$G$2:$G$801, 0)+1))&lt;=46.5,2,1)), IF(INDEX(ERP資料!$G:$G, (MATCH(336, 輔助計算!$G$2:$G$801, 0)+1))&lt;=790,3,IF(INDEX(ERP資料!$G:$G, (MATCH(336, 輔助計算!$G$2:$G$801, 0)+1))&lt;=1181,2,1)))=2,TEXT(INDEX(ERP資料!$G:$G, (MATCH(336, 輔助計算!$G$2:$G$801, 0)+1)),"0.##")&amp;"+"&amp;TEXT(INDEX(ERP資料!$G:$G, (MATCH(336, 輔助計算!$G$2:$G$801, 0)+1)),"0.##"),TEXT(INDEX(ERP資料!$G:$G, (MATCH(336, 輔助計算!$G$2:$G$801, 0)+1)),"0.##")&amp;"+"&amp;TEXT(INDEX(ERP資料!$G:$G, (MATCH(336, 輔助計算!$G$2:$G$801, 0)+1)),"0.##")&amp;"+"&amp;TEXT(INDEX(ERP資料!$G:$G, (MATCH(336, 輔助計算!$G$2:$G$801, 0)+1)),"0.##")))&amp;"-"&amp;INT(INDEX(輔助計算!$D:$D, (MATCH(336, 輔助計算!$G$2:$G$801, 0)+1))/IF(INDEX(ERP資料!$G:$G, (MATCH(336, 輔助計算!$G$2:$G$801, 0)+1))&lt;100, IF(INDEX(ERP資料!$G:$G, (MATCH(336, 輔助計算!$G$2:$G$801, 0)+1))&lt;=31,3,IF(INDEX(ERP資料!$G:$G, (MATCH(336, 輔助計算!$G$2:$G$801, 0)+1))&lt;=46.5,2,1)), IF(INDEX(ERP資料!$G:$G, (MATCH(336, 輔助計算!$G$2:$G$801, 0)+1))&lt;=790,3,IF(INDEX(ERP資料!$G:$G, (MATCH(336, 輔助計算!$G$2:$G$801, 0)+1))&lt;=1181,2,1)))), "")&lt;&gt;"",IF(MOD(INDEX(輔助計算!$D:$D, (MATCH(336, 輔助計算!$G$2:$G$801, 0)+1)),IF(INDEX(ERP資料!$G:$G, (MATCH(336, 輔助計算!$G$2:$G$801, 0)+1))&lt;100, IF(INDEX(ERP資料!$G:$G, (MATCH(336, 輔助計算!$G$2:$G$801, 0)+1))&lt;=31,3,IF(INDEX(ERP資料!$G:$G, (MATCH(336, 輔助計算!$G$2:$G$801, 0)+1))&lt;=46.5,2,1)), IF(INDEX(ERP資料!$G:$G, (MATCH(336, 輔助計算!$G$2:$G$801, 0)+1))&lt;=790,3,IF(INDEX(ERP資料!$G:$G, (MATCH(336, 輔助計算!$G$2:$G$801, 0)+1))&lt;=1181,2,1))))=0,"",IF(MOD(INDEX(輔助計算!$D:$D, (MATCH(336, 輔助計算!$G$2:$G$801, 0)+1)),IF(INDEX(ERP資料!$G:$G, (MATCH(336, 輔助計算!$G$2:$G$801, 0)+1))&lt;100, IF(INDEX(ERP資料!$G:$G, (MATCH(336, 輔助計算!$G$2:$G$801, 0)+1))&lt;=31,3,IF(INDEX(ERP資料!$G:$G, (MATCH(336, 輔助計算!$G$2:$G$801, 0)+1))&lt;=46.5,2,1)), IF(INDEX(ERP資料!$G:$G, (MATCH(336, 輔助計算!$G$2:$G$801, 0)+1))&lt;=790,3,IF(INDEX(ERP資料!$G:$G, (MATCH(336, 輔助計算!$G$2:$G$801, 0)+1))&lt;=1181,2,1))))=0,"",IF(MOD(INDEX(輔助計算!$D:$D, (MATCH(336, 輔助計算!$G$2:$G$801, 0)+1)),IF(INDEX(ERP資料!$G:$G, (MATCH(336, 輔助計算!$G$2:$G$801, 0)+1))&lt;100, IF(INDEX(ERP資料!$G:$G, (MATCH(336, 輔助計算!$G$2:$G$801, 0)+1))&lt;=31,3,IF(INDEX(ERP資料!$G:$G, (MATCH(336, 輔助計算!$G$2:$G$801, 0)+1))&lt;=46.5,2,1)), IF(INDEX(ERP資料!$G:$G, (MATCH(336, 輔助計算!$G$2:$G$801, 0)+1))&lt;=790,3,IF(INDEX(ERP資料!$G:$G, (MATCH(336, 輔助計算!$G$2:$G$801, 0)+1))&lt;=1181,2,1))))=1,TEXT(INDEX(ERP資料!$G:$G, (MATCH(336, 輔助計算!$G$2:$G$801, 0)+1)),"0.##"),IF(MOD(INDEX(輔助計算!$D:$D, (MATCH(336, 輔助計算!$G$2:$G$801, 0)+1)),IF(INDEX(ERP資料!$G:$G, (MATCH(336, 輔助計算!$G$2:$G$801, 0)+1))&lt;100, IF(INDEX(ERP資料!$G:$G, (MATCH(336, 輔助計算!$G$2:$G$801, 0)+1))&lt;=31,3,IF(INDEX(ERP資料!$G:$G, (MATCH(336, 輔助計算!$G$2:$G$801, 0)+1))&lt;=46.5,2,1)), IF(INDEX(ERP資料!$G:$G, (MATCH(336, 輔助計算!$G$2:$G$801, 0)+1))&lt;=790,3,IF(INDEX(ERP資料!$G:$G, (MATCH(336, 輔助計算!$G$2:$G$801, 0)+1))&lt;=1181,2,1))))=2,TEXT(INDEX(ERP資料!$G:$G, (MATCH(336, 輔助計算!$G$2:$G$801, 0)+1)),"0.##")&amp;"+"&amp;TEXT(INDEX(ERP資料!$G:$G, (MATCH(336, 輔助計算!$G$2:$G$801, 0)+1)),"0.##"),TEXT(INDEX(ERP資料!$G:$G, (MATCH(336, 輔助計算!$G$2:$G$801, 0)+1)),"0.##")&amp;"+"&amp;TEXT(INDEX(ERP資料!$G:$G, (MATCH(336, 輔助計算!$G$2:$G$801, 0)+1)),"0.##")&amp;"+"&amp;TEXT(INDEX(ERP資料!$G:$G, (MATCH(336, 輔助計算!$G$2:$G$801, 0)+1)),"0.##"))))&amp;"-1")&lt;&gt;""),"  ","")&amp;IF(MOD(INDEX(輔助計算!$D:$D, (MATCH(336, 輔助計算!$G$2:$G$801, 0)+1)),IF(INDEX(ERP資料!$G:$G, (MATCH(336, 輔助計算!$G$2:$G$801, 0)+1))&lt;100, IF(INDEX(ERP資料!$G:$G, (MATCH(336, 輔助計算!$G$2:$G$801, 0)+1))&lt;=31,3,IF(INDEX(ERP資料!$G:$G, (MATCH(336, 輔助計算!$G$2:$G$801, 0)+1))&lt;=46.5,2,1)), IF(INDEX(ERP資料!$G:$G, (MATCH(336, 輔助計算!$G$2:$G$801, 0)+1))&lt;=790,3,IF(INDEX(ERP資料!$G:$G, (MATCH(336, 輔助計算!$G$2:$G$801, 0)+1))&lt;=1181,2,1))))=0,"",IF(MOD(INDEX(輔助計算!$D:$D, (MATCH(336, 輔助計算!$G$2:$G$801, 0)+1)),IF(INDEX(ERP資料!$G:$G, (MATCH(336, 輔助計算!$G$2:$G$801, 0)+1))&lt;100, IF(INDEX(ERP資料!$G:$G, (MATCH(336, 輔助計算!$G$2:$G$801, 0)+1))&lt;=31,3,IF(INDEX(ERP資料!$G:$G, (MATCH(336, 輔助計算!$G$2:$G$801, 0)+1))&lt;=46.5,2,1)), IF(INDEX(ERP資料!$G:$G, (MATCH(336, 輔助計算!$G$2:$G$801, 0)+1))&lt;=790,3,IF(INDEX(ERP資料!$G:$G, (MATCH(336, 輔助計算!$G$2:$G$801, 0)+1))&lt;=1181,2,1))))=0,"",IF(MOD(INDEX(輔助計算!$D:$D, (MATCH(336, 輔助計算!$G$2:$G$801, 0)+1)),IF(INDEX(ERP資料!$G:$G, (MATCH(336, 輔助計算!$G$2:$G$801, 0)+1))&lt;100, IF(INDEX(ERP資料!$G:$G, (MATCH(336, 輔助計算!$G$2:$G$801, 0)+1))&lt;=31,3,IF(INDEX(ERP資料!$G:$G, (MATCH(336, 輔助計算!$G$2:$G$801, 0)+1))&lt;=46.5,2,1)), IF(INDEX(ERP資料!$G:$G, (MATCH(336, 輔助計算!$G$2:$G$801, 0)+1))&lt;=790,3,IF(INDEX(ERP資料!$G:$G, (MATCH(336, 輔助計算!$G$2:$G$801, 0)+1))&lt;=1181,2,1))))=1,TEXT(INDEX(ERP資料!$G:$G, (MATCH(336, 輔助計算!$G$2:$G$801, 0)+1)),"0.##"),IF(MOD(INDEX(輔助計算!$D:$D, (MATCH(336, 輔助計算!$G$2:$G$801, 0)+1)),IF(INDEX(ERP資料!$G:$G, (MATCH(336, 輔助計算!$G$2:$G$801, 0)+1))&lt;100, IF(INDEX(ERP資料!$G:$G, (MATCH(336, 輔助計算!$G$2:$G$801, 0)+1))&lt;=31,3,IF(INDEX(ERP資料!$G:$G, (MATCH(336, 輔助計算!$G$2:$G$801, 0)+1))&lt;=46.5,2,1)), IF(INDEX(ERP資料!$G:$G, (MATCH(336, 輔助計算!$G$2:$G$801, 0)+1))&lt;=790,3,IF(INDEX(ERP資料!$G:$G, (MATCH(336, 輔助計算!$G$2:$G$801, 0)+1))&lt;=1181,2,1))))=2,TEXT(INDEX(ERP資料!$G:$G, (MATCH(336, 輔助計算!$G$2:$G$801, 0)+1)),"0.##")&amp;"+"&amp;TEXT(INDEX(ERP資料!$G:$G, (MATCH(336, 輔助計算!$G$2:$G$801, 0)+1)),"0.##"),TEXT(INDEX(ERP資料!$G:$G, (MATCH(336, 輔助計算!$G$2:$G$801, 0)+1)),"0.##")&amp;"+"&amp;TEXT(INDEX(ERP資料!$G:$G, (MATCH(336, 輔助計算!$G$2:$G$801, 0)+1)),"0.##")&amp;"+"&amp;TEXT(INDEX(ERP資料!$G:$G, (MATCH(336, 輔助計算!$G$2:$G$801, 0)+1)),"0.##"))))&amp;"-1")), ""), "")</f>
        <v/>
      </c>
      <c r="K337" s="16" t="n"/>
      <c r="L337" s="14">
        <f>IFERROR(IF(AND(IFERROR(INDEX(ERP資料!$A:$A, (MATCH(336, 輔助計算!$G$2:$G$801, 0)+1)), "")&lt;&gt;"", IFERROR(INDEX(ERP資料!$A:$A, (MATCH(336, 輔助計算!$G$2:$G$801, 0)+1)), "")&lt;&gt;IFERROR(INDEX(ERP資料!$A:$A, MATCH(335, 輔助計算!$G$2:$G$801, 0)+1), "")), INDEX(ERP資料!$B:$B, (MATCH(336, 輔助計算!$G$2:$G$801, 0)+1)), ""), "")</f>
        <v/>
      </c>
      <c r="M337" s="17" t="n"/>
    </row>
    <row r="338">
      <c r="A338" s="10">
        <f>IFERROR(IF(AND(IFERROR(INDEX(ERP資料!$A:$A, (MATCH(337, 輔助計算!$G$2:$G$801, 0)+1)), "")&lt;&gt;"", IFERROR(INDEX(ERP資料!$A:$A, (MATCH(337, 輔助計算!$G$2:$G$801, 0)+1)), "")&lt;&gt;IFERROR(INDEX(ERP資料!$A:$A, MATCH(336, 輔助計算!$G$2:$G$801, 0)+1), "")), IFERROR(INDEX(ERP資料!$A:$A, (MATCH(337, 輔助計算!$G$2:$G$801, 0)+1)), ""), ""), "")</f>
        <v/>
      </c>
      <c r="B338" s="10">
        <f>IFERROR(IF(AND(IFERROR(INDEX(ERP資料!$A:$A, (MATCH(337, 輔助計算!$G$2:$G$801, 0)+1)), "")&lt;&gt;"", IFERROR(INDEX(ERP資料!$A:$A, (MATCH(337, 輔助計算!$G$2:$G$801, 0)+1)), "")&lt;&gt;IFERROR(INDEX(ERP資料!$A:$A, MATCH(336, 輔助計算!$G$2:$G$801, 0)+1), "")), INDEX(ERP資料!$S:$S, (MATCH(337, 輔助計算!$G$2:$G$801, 0)+1)), ""), "")</f>
        <v/>
      </c>
      <c r="C338" s="19">
        <f>IFERROR(IF(AND(IFERROR(INDEX(ERP資料!$A:$A, (MATCH(337, 輔助計算!$G$2:$G$801, 0)+1)), "")&lt;&gt;"", IFERROR(INDEX(ERP資料!$A:$A, (MATCH(337, 輔助計算!$G$2:$G$801, 0)+1)), "")&lt;&gt;IFERROR(INDEX(ERP資料!$A:$A, MATCH(336, 輔助計算!$G$2:$G$801, 0)+1), "")), IFERROR(VLOOKUP(LEFT(INDEX(ERP資料!$S:$S, (MATCH(337, 輔助計算!$G$2:$G$801, 0)+1)), 4), 紙管對照表!$A:$C, 3, FALSE), ""), ""), "")</f>
        <v/>
      </c>
      <c r="D338" s="16" t="n"/>
      <c r="E338" s="10">
        <f>IFERROR(IF(INDEX(ERP資料!$H:$H, (MATCH(337, 輔助計算!$G$2:$G$801, 0)+1))="","",INDEX(ERP資料!$H:$H, (MATCH(337, 輔助計算!$G$2:$G$801, 0)+1))), "")</f>
        <v/>
      </c>
      <c r="F338" s="10">
        <f>IFERROR(IF(INDEX(ERP資料!$E:$E, (MATCH(337, 輔助計算!$G$2:$G$801, 0)+1))="","",TRIM(INDEX(ERP資料!$E:$E, (MATCH(337, 輔助計算!$G$2:$G$801, 0)+1)))), "")</f>
        <v/>
      </c>
      <c r="G338" s="10">
        <f>IFERROR(IF(INDEX(ERP資料!$F:$F, (MATCH(337, 輔助計算!$G$2:$G$801, 0)+1))="","",INDEX(ERP資料!$F:$F, (MATCH(337, 輔助計算!$G$2:$G$801, 0)+1))), "")</f>
        <v/>
      </c>
      <c r="H338" s="10">
        <f>IFERROR(IF(INDEX(ERP資料!$G:$G, (MATCH(337, 輔助計算!$G$2:$G$801, 0)+1))="","",INDEX(ERP資料!$G:$G, (MATCH(337, 輔助計算!$G$2:$G$801, 0)+1))), "")</f>
        <v/>
      </c>
      <c r="I338" s="15">
        <f>IFERROR(INDEX(輔助計算!$D:$D, (MATCH(337, 輔助計算!$G$2:$G$801, 0)+1)), "")</f>
        <v/>
      </c>
      <c r="J338" s="15">
        <f>IFERROR(IF(AND(INDEX(輔助計算!$D:$D, (MATCH(337, 輔助計算!$G$2:$G$801, 0)+1))&lt;&gt;"", INDEX(ERP資料!$G:$G, (MATCH(337, 輔助計算!$G$2:$G$801, 0)+1))&lt;&gt;""), TRIM(IF(INT(INDEX(輔助計算!$D:$D, (MATCH(337, 輔助計算!$G$2:$G$801, 0)+1))/IF(INDEX(ERP資料!$G:$G, (MATCH(337, 輔助計算!$G$2:$G$801, 0)+1))&lt;100, IF(INDEX(ERP資料!$G:$G, (MATCH(337, 輔助計算!$G$2:$G$801, 0)+1))&lt;=31,3,IF(INDEX(ERP資料!$G:$G, (MATCH(337, 輔助計算!$G$2:$G$801, 0)+1))&lt;=46.5,2,1)), IF(INDEX(ERP資料!$G:$G, (MATCH(337, 輔助計算!$G$2:$G$801, 0)+1))&lt;=790,3,IF(INDEX(ERP資料!$G:$G, (MATCH(337, 輔助計算!$G$2:$G$801, 0)+1))&lt;=1181,2,1))))&gt;0, IF(IF(INDEX(ERP資料!$G:$G, (MATCH(337, 輔助計算!$G$2:$G$801, 0)+1))&lt;100, IF(INDEX(ERP資料!$G:$G, (MATCH(337, 輔助計算!$G$2:$G$801, 0)+1))&lt;=31,3,IF(INDEX(ERP資料!$G:$G, (MATCH(337, 輔助計算!$G$2:$G$801, 0)+1))&lt;=46.5,2,1)), IF(INDEX(ERP資料!$G:$G, (MATCH(337, 輔助計算!$G$2:$G$801, 0)+1))&lt;=790,3,IF(INDEX(ERP資料!$G:$G, (MATCH(337, 輔助計算!$G$2:$G$801, 0)+1))&lt;=1181,2,1)))=1,TEXT(INDEX(ERP資料!$G:$G, (MATCH(337, 輔助計算!$G$2:$G$801, 0)+1)),"0.##"),IF(IF(INDEX(ERP資料!$G:$G, (MATCH(337, 輔助計算!$G$2:$G$801, 0)+1))&lt;100, IF(INDEX(ERP資料!$G:$G, (MATCH(337, 輔助計算!$G$2:$G$801, 0)+1))&lt;=31,3,IF(INDEX(ERP資料!$G:$G, (MATCH(337, 輔助計算!$G$2:$G$801, 0)+1))&lt;=46.5,2,1)), IF(INDEX(ERP資料!$G:$G, (MATCH(337, 輔助計算!$G$2:$G$801, 0)+1))&lt;=790,3,IF(INDEX(ERP資料!$G:$G, (MATCH(337, 輔助計算!$G$2:$G$801, 0)+1))&lt;=1181,2,1)))=2,TEXT(INDEX(ERP資料!$G:$G, (MATCH(337, 輔助計算!$G$2:$G$801, 0)+1)),"0.##")&amp;"+"&amp;TEXT(INDEX(ERP資料!$G:$G, (MATCH(337, 輔助計算!$G$2:$G$801, 0)+1)),"0.##"),TEXT(INDEX(ERP資料!$G:$G, (MATCH(337, 輔助計算!$G$2:$G$801, 0)+1)),"0.##")&amp;"+"&amp;TEXT(INDEX(ERP資料!$G:$G, (MATCH(337, 輔助計算!$G$2:$G$801, 0)+1)),"0.##")&amp;"+"&amp;TEXT(INDEX(ERP資料!$G:$G, (MATCH(337, 輔助計算!$G$2:$G$801, 0)+1)),"0.##")))&amp;"-"&amp;INT(INDEX(輔助計算!$D:$D, (MATCH(337, 輔助計算!$G$2:$G$801, 0)+1))/IF(INDEX(ERP資料!$G:$G, (MATCH(337, 輔助計算!$G$2:$G$801, 0)+1))&lt;100, IF(INDEX(ERP資料!$G:$G, (MATCH(337, 輔助計算!$G$2:$G$801, 0)+1))&lt;=31,3,IF(INDEX(ERP資料!$G:$G, (MATCH(337, 輔助計算!$G$2:$G$801, 0)+1))&lt;=46.5,2,1)), IF(INDEX(ERP資料!$G:$G, (MATCH(337, 輔助計算!$G$2:$G$801, 0)+1))&lt;=790,3,IF(INDEX(ERP資料!$G:$G, (MATCH(337, 輔助計算!$G$2:$G$801, 0)+1))&lt;=1181,2,1)))), "")&amp;IF(AND(IF(INT(INDEX(輔助計算!$D:$D, (MATCH(337, 輔助計算!$G$2:$G$801, 0)+1))/IF(INDEX(ERP資料!$G:$G, (MATCH(337, 輔助計算!$G$2:$G$801, 0)+1))&lt;100, IF(INDEX(ERP資料!$G:$G, (MATCH(337, 輔助計算!$G$2:$G$801, 0)+1))&lt;=31,3,IF(INDEX(ERP資料!$G:$G, (MATCH(337, 輔助計算!$G$2:$G$801, 0)+1))&lt;=46.5,2,1)), IF(INDEX(ERP資料!$G:$G, (MATCH(337, 輔助計算!$G$2:$G$801, 0)+1))&lt;=790,3,IF(INDEX(ERP資料!$G:$G, (MATCH(337, 輔助計算!$G$2:$G$801, 0)+1))&lt;=1181,2,1))))&gt;0, IF(IF(INDEX(ERP資料!$G:$G, (MATCH(337, 輔助計算!$G$2:$G$801, 0)+1))&lt;100, IF(INDEX(ERP資料!$G:$G, (MATCH(337, 輔助計算!$G$2:$G$801, 0)+1))&lt;=31,3,IF(INDEX(ERP資料!$G:$G, (MATCH(337, 輔助計算!$G$2:$G$801, 0)+1))&lt;=46.5,2,1)), IF(INDEX(ERP資料!$G:$G, (MATCH(337, 輔助計算!$G$2:$G$801, 0)+1))&lt;=790,3,IF(INDEX(ERP資料!$G:$G, (MATCH(337, 輔助計算!$G$2:$G$801, 0)+1))&lt;=1181,2,1)))=1,TEXT(INDEX(ERP資料!$G:$G, (MATCH(337, 輔助計算!$G$2:$G$801, 0)+1)),"0.##"),IF(IF(INDEX(ERP資料!$G:$G, (MATCH(337, 輔助計算!$G$2:$G$801, 0)+1))&lt;100, IF(INDEX(ERP資料!$G:$G, (MATCH(337, 輔助計算!$G$2:$G$801, 0)+1))&lt;=31,3,IF(INDEX(ERP資料!$G:$G, (MATCH(337, 輔助計算!$G$2:$G$801, 0)+1))&lt;=46.5,2,1)), IF(INDEX(ERP資料!$G:$G, (MATCH(337, 輔助計算!$G$2:$G$801, 0)+1))&lt;=790,3,IF(INDEX(ERP資料!$G:$G, (MATCH(337, 輔助計算!$G$2:$G$801, 0)+1))&lt;=1181,2,1)))=2,TEXT(INDEX(ERP資料!$G:$G, (MATCH(337, 輔助計算!$G$2:$G$801, 0)+1)),"0.##")&amp;"+"&amp;TEXT(INDEX(ERP資料!$G:$G, (MATCH(337, 輔助計算!$G$2:$G$801, 0)+1)),"0.##"),TEXT(INDEX(ERP資料!$G:$G, (MATCH(337, 輔助計算!$G$2:$G$801, 0)+1)),"0.##")&amp;"+"&amp;TEXT(INDEX(ERP資料!$G:$G, (MATCH(337, 輔助計算!$G$2:$G$801, 0)+1)),"0.##")&amp;"+"&amp;TEXT(INDEX(ERP資料!$G:$G, (MATCH(337, 輔助計算!$G$2:$G$801, 0)+1)),"0.##")))&amp;"-"&amp;INT(INDEX(輔助計算!$D:$D, (MATCH(337, 輔助計算!$G$2:$G$801, 0)+1))/IF(INDEX(ERP資料!$G:$G, (MATCH(337, 輔助計算!$G$2:$G$801, 0)+1))&lt;100, IF(INDEX(ERP資料!$G:$G, (MATCH(337, 輔助計算!$G$2:$G$801, 0)+1))&lt;=31,3,IF(INDEX(ERP資料!$G:$G, (MATCH(337, 輔助計算!$G$2:$G$801, 0)+1))&lt;=46.5,2,1)), IF(INDEX(ERP資料!$G:$G, (MATCH(337, 輔助計算!$G$2:$G$801, 0)+1))&lt;=790,3,IF(INDEX(ERP資料!$G:$G, (MATCH(337, 輔助計算!$G$2:$G$801, 0)+1))&lt;=1181,2,1)))), "")&lt;&gt;"",IF(MOD(INDEX(輔助計算!$D:$D, (MATCH(337, 輔助計算!$G$2:$G$801, 0)+1)),IF(INDEX(ERP資料!$G:$G, (MATCH(337, 輔助計算!$G$2:$G$801, 0)+1))&lt;100, IF(INDEX(ERP資料!$G:$G, (MATCH(337, 輔助計算!$G$2:$G$801, 0)+1))&lt;=31,3,IF(INDEX(ERP資料!$G:$G, (MATCH(337, 輔助計算!$G$2:$G$801, 0)+1))&lt;=46.5,2,1)), IF(INDEX(ERP資料!$G:$G, (MATCH(337, 輔助計算!$G$2:$G$801, 0)+1))&lt;=790,3,IF(INDEX(ERP資料!$G:$G, (MATCH(337, 輔助計算!$G$2:$G$801, 0)+1))&lt;=1181,2,1))))=0,"",IF(MOD(INDEX(輔助計算!$D:$D, (MATCH(337, 輔助計算!$G$2:$G$801, 0)+1)),IF(INDEX(ERP資料!$G:$G, (MATCH(337, 輔助計算!$G$2:$G$801, 0)+1))&lt;100, IF(INDEX(ERP資料!$G:$G, (MATCH(337, 輔助計算!$G$2:$G$801, 0)+1))&lt;=31,3,IF(INDEX(ERP資料!$G:$G, (MATCH(337, 輔助計算!$G$2:$G$801, 0)+1))&lt;=46.5,2,1)), IF(INDEX(ERP資料!$G:$G, (MATCH(337, 輔助計算!$G$2:$G$801, 0)+1))&lt;=790,3,IF(INDEX(ERP資料!$G:$G, (MATCH(337, 輔助計算!$G$2:$G$801, 0)+1))&lt;=1181,2,1))))=0,"",IF(MOD(INDEX(輔助計算!$D:$D, (MATCH(337, 輔助計算!$G$2:$G$801, 0)+1)),IF(INDEX(ERP資料!$G:$G, (MATCH(337, 輔助計算!$G$2:$G$801, 0)+1))&lt;100, IF(INDEX(ERP資料!$G:$G, (MATCH(337, 輔助計算!$G$2:$G$801, 0)+1))&lt;=31,3,IF(INDEX(ERP資料!$G:$G, (MATCH(337, 輔助計算!$G$2:$G$801, 0)+1))&lt;=46.5,2,1)), IF(INDEX(ERP資料!$G:$G, (MATCH(337, 輔助計算!$G$2:$G$801, 0)+1))&lt;=790,3,IF(INDEX(ERP資料!$G:$G, (MATCH(337, 輔助計算!$G$2:$G$801, 0)+1))&lt;=1181,2,1))))=1,TEXT(INDEX(ERP資料!$G:$G, (MATCH(337, 輔助計算!$G$2:$G$801, 0)+1)),"0.##"),IF(MOD(INDEX(輔助計算!$D:$D, (MATCH(337, 輔助計算!$G$2:$G$801, 0)+1)),IF(INDEX(ERP資料!$G:$G, (MATCH(337, 輔助計算!$G$2:$G$801, 0)+1))&lt;100, IF(INDEX(ERP資料!$G:$G, (MATCH(337, 輔助計算!$G$2:$G$801, 0)+1))&lt;=31,3,IF(INDEX(ERP資料!$G:$G, (MATCH(337, 輔助計算!$G$2:$G$801, 0)+1))&lt;=46.5,2,1)), IF(INDEX(ERP資料!$G:$G, (MATCH(337, 輔助計算!$G$2:$G$801, 0)+1))&lt;=790,3,IF(INDEX(ERP資料!$G:$G, (MATCH(337, 輔助計算!$G$2:$G$801, 0)+1))&lt;=1181,2,1))))=2,TEXT(INDEX(ERP資料!$G:$G, (MATCH(337, 輔助計算!$G$2:$G$801, 0)+1)),"0.##")&amp;"+"&amp;TEXT(INDEX(ERP資料!$G:$G, (MATCH(337, 輔助計算!$G$2:$G$801, 0)+1)),"0.##"),TEXT(INDEX(ERP資料!$G:$G, (MATCH(337, 輔助計算!$G$2:$G$801, 0)+1)),"0.##")&amp;"+"&amp;TEXT(INDEX(ERP資料!$G:$G, (MATCH(337, 輔助計算!$G$2:$G$801, 0)+1)),"0.##")&amp;"+"&amp;TEXT(INDEX(ERP資料!$G:$G, (MATCH(337, 輔助計算!$G$2:$G$801, 0)+1)),"0.##"))))&amp;"-1")&lt;&gt;""),"  ","")&amp;IF(MOD(INDEX(輔助計算!$D:$D, (MATCH(337, 輔助計算!$G$2:$G$801, 0)+1)),IF(INDEX(ERP資料!$G:$G, (MATCH(337, 輔助計算!$G$2:$G$801, 0)+1))&lt;100, IF(INDEX(ERP資料!$G:$G, (MATCH(337, 輔助計算!$G$2:$G$801, 0)+1))&lt;=31,3,IF(INDEX(ERP資料!$G:$G, (MATCH(337, 輔助計算!$G$2:$G$801, 0)+1))&lt;=46.5,2,1)), IF(INDEX(ERP資料!$G:$G, (MATCH(337, 輔助計算!$G$2:$G$801, 0)+1))&lt;=790,3,IF(INDEX(ERP資料!$G:$G, (MATCH(337, 輔助計算!$G$2:$G$801, 0)+1))&lt;=1181,2,1))))=0,"",IF(MOD(INDEX(輔助計算!$D:$D, (MATCH(337, 輔助計算!$G$2:$G$801, 0)+1)),IF(INDEX(ERP資料!$G:$G, (MATCH(337, 輔助計算!$G$2:$G$801, 0)+1))&lt;100, IF(INDEX(ERP資料!$G:$G, (MATCH(337, 輔助計算!$G$2:$G$801, 0)+1))&lt;=31,3,IF(INDEX(ERP資料!$G:$G, (MATCH(337, 輔助計算!$G$2:$G$801, 0)+1))&lt;=46.5,2,1)), IF(INDEX(ERP資料!$G:$G, (MATCH(337, 輔助計算!$G$2:$G$801, 0)+1))&lt;=790,3,IF(INDEX(ERP資料!$G:$G, (MATCH(337, 輔助計算!$G$2:$G$801, 0)+1))&lt;=1181,2,1))))=0,"",IF(MOD(INDEX(輔助計算!$D:$D, (MATCH(337, 輔助計算!$G$2:$G$801, 0)+1)),IF(INDEX(ERP資料!$G:$G, (MATCH(337, 輔助計算!$G$2:$G$801, 0)+1))&lt;100, IF(INDEX(ERP資料!$G:$G, (MATCH(337, 輔助計算!$G$2:$G$801, 0)+1))&lt;=31,3,IF(INDEX(ERP資料!$G:$G, (MATCH(337, 輔助計算!$G$2:$G$801, 0)+1))&lt;=46.5,2,1)), IF(INDEX(ERP資料!$G:$G, (MATCH(337, 輔助計算!$G$2:$G$801, 0)+1))&lt;=790,3,IF(INDEX(ERP資料!$G:$G, (MATCH(337, 輔助計算!$G$2:$G$801, 0)+1))&lt;=1181,2,1))))=1,TEXT(INDEX(ERP資料!$G:$G, (MATCH(337, 輔助計算!$G$2:$G$801, 0)+1)),"0.##"),IF(MOD(INDEX(輔助計算!$D:$D, (MATCH(337, 輔助計算!$G$2:$G$801, 0)+1)),IF(INDEX(ERP資料!$G:$G, (MATCH(337, 輔助計算!$G$2:$G$801, 0)+1))&lt;100, IF(INDEX(ERP資料!$G:$G, (MATCH(337, 輔助計算!$G$2:$G$801, 0)+1))&lt;=31,3,IF(INDEX(ERP資料!$G:$G, (MATCH(337, 輔助計算!$G$2:$G$801, 0)+1))&lt;=46.5,2,1)), IF(INDEX(ERP資料!$G:$G, (MATCH(337, 輔助計算!$G$2:$G$801, 0)+1))&lt;=790,3,IF(INDEX(ERP資料!$G:$G, (MATCH(337, 輔助計算!$G$2:$G$801, 0)+1))&lt;=1181,2,1))))=2,TEXT(INDEX(ERP資料!$G:$G, (MATCH(337, 輔助計算!$G$2:$G$801, 0)+1)),"0.##")&amp;"+"&amp;TEXT(INDEX(ERP資料!$G:$G, (MATCH(337, 輔助計算!$G$2:$G$801, 0)+1)),"0.##"),TEXT(INDEX(ERP資料!$G:$G, (MATCH(337, 輔助計算!$G$2:$G$801, 0)+1)),"0.##")&amp;"+"&amp;TEXT(INDEX(ERP資料!$G:$G, (MATCH(337, 輔助計算!$G$2:$G$801, 0)+1)),"0.##")&amp;"+"&amp;TEXT(INDEX(ERP資料!$G:$G, (MATCH(337, 輔助計算!$G$2:$G$801, 0)+1)),"0.##"))))&amp;"-1")), ""), "")</f>
        <v/>
      </c>
      <c r="K338" s="16" t="n"/>
      <c r="L338" s="14">
        <f>IFERROR(IF(AND(IFERROR(INDEX(ERP資料!$A:$A, (MATCH(337, 輔助計算!$G$2:$G$801, 0)+1)), "")&lt;&gt;"", IFERROR(INDEX(ERP資料!$A:$A, (MATCH(337, 輔助計算!$G$2:$G$801, 0)+1)), "")&lt;&gt;IFERROR(INDEX(ERP資料!$A:$A, MATCH(336, 輔助計算!$G$2:$G$801, 0)+1), "")), INDEX(ERP資料!$B:$B, (MATCH(337, 輔助計算!$G$2:$G$801, 0)+1)), ""), "")</f>
        <v/>
      </c>
      <c r="M338" s="17" t="n"/>
    </row>
    <row r="339">
      <c r="A339" s="10">
        <f>IFERROR(IF(AND(IFERROR(INDEX(ERP資料!$A:$A, (MATCH(338, 輔助計算!$G$2:$G$801, 0)+1)), "")&lt;&gt;"", IFERROR(INDEX(ERP資料!$A:$A, (MATCH(338, 輔助計算!$G$2:$G$801, 0)+1)), "")&lt;&gt;IFERROR(INDEX(ERP資料!$A:$A, MATCH(337, 輔助計算!$G$2:$G$801, 0)+1), "")), IFERROR(INDEX(ERP資料!$A:$A, (MATCH(338, 輔助計算!$G$2:$G$801, 0)+1)), ""), ""), "")</f>
        <v/>
      </c>
      <c r="B339" s="10">
        <f>IFERROR(IF(AND(IFERROR(INDEX(ERP資料!$A:$A, (MATCH(338, 輔助計算!$G$2:$G$801, 0)+1)), "")&lt;&gt;"", IFERROR(INDEX(ERP資料!$A:$A, (MATCH(338, 輔助計算!$G$2:$G$801, 0)+1)), "")&lt;&gt;IFERROR(INDEX(ERP資料!$A:$A, MATCH(337, 輔助計算!$G$2:$G$801, 0)+1), "")), INDEX(ERP資料!$S:$S, (MATCH(338, 輔助計算!$G$2:$G$801, 0)+1)), ""), "")</f>
        <v/>
      </c>
      <c r="C339" s="19">
        <f>IFERROR(IF(AND(IFERROR(INDEX(ERP資料!$A:$A, (MATCH(338, 輔助計算!$G$2:$G$801, 0)+1)), "")&lt;&gt;"", IFERROR(INDEX(ERP資料!$A:$A, (MATCH(338, 輔助計算!$G$2:$G$801, 0)+1)), "")&lt;&gt;IFERROR(INDEX(ERP資料!$A:$A, MATCH(337, 輔助計算!$G$2:$G$801, 0)+1), "")), IFERROR(VLOOKUP(LEFT(INDEX(ERP資料!$S:$S, (MATCH(338, 輔助計算!$G$2:$G$801, 0)+1)), 4), 紙管對照表!$A:$C, 3, FALSE), ""), ""), "")</f>
        <v/>
      </c>
      <c r="D339" s="16" t="n"/>
      <c r="E339" s="10">
        <f>IFERROR(IF(INDEX(ERP資料!$H:$H, (MATCH(338, 輔助計算!$G$2:$G$801, 0)+1))="","",INDEX(ERP資料!$H:$H, (MATCH(338, 輔助計算!$G$2:$G$801, 0)+1))), "")</f>
        <v/>
      </c>
      <c r="F339" s="10">
        <f>IFERROR(IF(INDEX(ERP資料!$E:$E, (MATCH(338, 輔助計算!$G$2:$G$801, 0)+1))="","",TRIM(INDEX(ERP資料!$E:$E, (MATCH(338, 輔助計算!$G$2:$G$801, 0)+1)))), "")</f>
        <v/>
      </c>
      <c r="G339" s="10">
        <f>IFERROR(IF(INDEX(ERP資料!$F:$F, (MATCH(338, 輔助計算!$G$2:$G$801, 0)+1))="","",INDEX(ERP資料!$F:$F, (MATCH(338, 輔助計算!$G$2:$G$801, 0)+1))), "")</f>
        <v/>
      </c>
      <c r="H339" s="10">
        <f>IFERROR(IF(INDEX(ERP資料!$G:$G, (MATCH(338, 輔助計算!$G$2:$G$801, 0)+1))="","",INDEX(ERP資料!$G:$G, (MATCH(338, 輔助計算!$G$2:$G$801, 0)+1))), "")</f>
        <v/>
      </c>
      <c r="I339" s="15">
        <f>IFERROR(INDEX(輔助計算!$D:$D, (MATCH(338, 輔助計算!$G$2:$G$801, 0)+1)), "")</f>
        <v/>
      </c>
      <c r="J339" s="15">
        <f>IFERROR(IF(AND(INDEX(輔助計算!$D:$D, (MATCH(338, 輔助計算!$G$2:$G$801, 0)+1))&lt;&gt;"", INDEX(ERP資料!$G:$G, (MATCH(338, 輔助計算!$G$2:$G$801, 0)+1))&lt;&gt;""), TRIM(IF(INT(INDEX(輔助計算!$D:$D, (MATCH(338, 輔助計算!$G$2:$G$801, 0)+1))/IF(INDEX(ERP資料!$G:$G, (MATCH(338, 輔助計算!$G$2:$G$801, 0)+1))&lt;100, IF(INDEX(ERP資料!$G:$G, (MATCH(338, 輔助計算!$G$2:$G$801, 0)+1))&lt;=31,3,IF(INDEX(ERP資料!$G:$G, (MATCH(338, 輔助計算!$G$2:$G$801, 0)+1))&lt;=46.5,2,1)), IF(INDEX(ERP資料!$G:$G, (MATCH(338, 輔助計算!$G$2:$G$801, 0)+1))&lt;=790,3,IF(INDEX(ERP資料!$G:$G, (MATCH(338, 輔助計算!$G$2:$G$801, 0)+1))&lt;=1181,2,1))))&gt;0, IF(IF(INDEX(ERP資料!$G:$G, (MATCH(338, 輔助計算!$G$2:$G$801, 0)+1))&lt;100, IF(INDEX(ERP資料!$G:$G, (MATCH(338, 輔助計算!$G$2:$G$801, 0)+1))&lt;=31,3,IF(INDEX(ERP資料!$G:$G, (MATCH(338, 輔助計算!$G$2:$G$801, 0)+1))&lt;=46.5,2,1)), IF(INDEX(ERP資料!$G:$G, (MATCH(338, 輔助計算!$G$2:$G$801, 0)+1))&lt;=790,3,IF(INDEX(ERP資料!$G:$G, (MATCH(338, 輔助計算!$G$2:$G$801, 0)+1))&lt;=1181,2,1)))=1,TEXT(INDEX(ERP資料!$G:$G, (MATCH(338, 輔助計算!$G$2:$G$801, 0)+1)),"0.##"),IF(IF(INDEX(ERP資料!$G:$G, (MATCH(338, 輔助計算!$G$2:$G$801, 0)+1))&lt;100, IF(INDEX(ERP資料!$G:$G, (MATCH(338, 輔助計算!$G$2:$G$801, 0)+1))&lt;=31,3,IF(INDEX(ERP資料!$G:$G, (MATCH(338, 輔助計算!$G$2:$G$801, 0)+1))&lt;=46.5,2,1)), IF(INDEX(ERP資料!$G:$G, (MATCH(338, 輔助計算!$G$2:$G$801, 0)+1))&lt;=790,3,IF(INDEX(ERP資料!$G:$G, (MATCH(338, 輔助計算!$G$2:$G$801, 0)+1))&lt;=1181,2,1)))=2,TEXT(INDEX(ERP資料!$G:$G, (MATCH(338, 輔助計算!$G$2:$G$801, 0)+1)),"0.##")&amp;"+"&amp;TEXT(INDEX(ERP資料!$G:$G, (MATCH(338, 輔助計算!$G$2:$G$801, 0)+1)),"0.##"),TEXT(INDEX(ERP資料!$G:$G, (MATCH(338, 輔助計算!$G$2:$G$801, 0)+1)),"0.##")&amp;"+"&amp;TEXT(INDEX(ERP資料!$G:$G, (MATCH(338, 輔助計算!$G$2:$G$801, 0)+1)),"0.##")&amp;"+"&amp;TEXT(INDEX(ERP資料!$G:$G, (MATCH(338, 輔助計算!$G$2:$G$801, 0)+1)),"0.##")))&amp;"-"&amp;INT(INDEX(輔助計算!$D:$D, (MATCH(338, 輔助計算!$G$2:$G$801, 0)+1))/IF(INDEX(ERP資料!$G:$G, (MATCH(338, 輔助計算!$G$2:$G$801, 0)+1))&lt;100, IF(INDEX(ERP資料!$G:$G, (MATCH(338, 輔助計算!$G$2:$G$801, 0)+1))&lt;=31,3,IF(INDEX(ERP資料!$G:$G, (MATCH(338, 輔助計算!$G$2:$G$801, 0)+1))&lt;=46.5,2,1)), IF(INDEX(ERP資料!$G:$G, (MATCH(338, 輔助計算!$G$2:$G$801, 0)+1))&lt;=790,3,IF(INDEX(ERP資料!$G:$G, (MATCH(338, 輔助計算!$G$2:$G$801, 0)+1))&lt;=1181,2,1)))), "")&amp;IF(AND(IF(INT(INDEX(輔助計算!$D:$D, (MATCH(338, 輔助計算!$G$2:$G$801, 0)+1))/IF(INDEX(ERP資料!$G:$G, (MATCH(338, 輔助計算!$G$2:$G$801, 0)+1))&lt;100, IF(INDEX(ERP資料!$G:$G, (MATCH(338, 輔助計算!$G$2:$G$801, 0)+1))&lt;=31,3,IF(INDEX(ERP資料!$G:$G, (MATCH(338, 輔助計算!$G$2:$G$801, 0)+1))&lt;=46.5,2,1)), IF(INDEX(ERP資料!$G:$G, (MATCH(338, 輔助計算!$G$2:$G$801, 0)+1))&lt;=790,3,IF(INDEX(ERP資料!$G:$G, (MATCH(338, 輔助計算!$G$2:$G$801, 0)+1))&lt;=1181,2,1))))&gt;0, IF(IF(INDEX(ERP資料!$G:$G, (MATCH(338, 輔助計算!$G$2:$G$801, 0)+1))&lt;100, IF(INDEX(ERP資料!$G:$G, (MATCH(338, 輔助計算!$G$2:$G$801, 0)+1))&lt;=31,3,IF(INDEX(ERP資料!$G:$G, (MATCH(338, 輔助計算!$G$2:$G$801, 0)+1))&lt;=46.5,2,1)), IF(INDEX(ERP資料!$G:$G, (MATCH(338, 輔助計算!$G$2:$G$801, 0)+1))&lt;=790,3,IF(INDEX(ERP資料!$G:$G, (MATCH(338, 輔助計算!$G$2:$G$801, 0)+1))&lt;=1181,2,1)))=1,TEXT(INDEX(ERP資料!$G:$G, (MATCH(338, 輔助計算!$G$2:$G$801, 0)+1)),"0.##"),IF(IF(INDEX(ERP資料!$G:$G, (MATCH(338, 輔助計算!$G$2:$G$801, 0)+1))&lt;100, IF(INDEX(ERP資料!$G:$G, (MATCH(338, 輔助計算!$G$2:$G$801, 0)+1))&lt;=31,3,IF(INDEX(ERP資料!$G:$G, (MATCH(338, 輔助計算!$G$2:$G$801, 0)+1))&lt;=46.5,2,1)), IF(INDEX(ERP資料!$G:$G, (MATCH(338, 輔助計算!$G$2:$G$801, 0)+1))&lt;=790,3,IF(INDEX(ERP資料!$G:$G, (MATCH(338, 輔助計算!$G$2:$G$801, 0)+1))&lt;=1181,2,1)))=2,TEXT(INDEX(ERP資料!$G:$G, (MATCH(338, 輔助計算!$G$2:$G$801, 0)+1)),"0.##")&amp;"+"&amp;TEXT(INDEX(ERP資料!$G:$G, (MATCH(338, 輔助計算!$G$2:$G$801, 0)+1)),"0.##"),TEXT(INDEX(ERP資料!$G:$G, (MATCH(338, 輔助計算!$G$2:$G$801, 0)+1)),"0.##")&amp;"+"&amp;TEXT(INDEX(ERP資料!$G:$G, (MATCH(338, 輔助計算!$G$2:$G$801, 0)+1)),"0.##")&amp;"+"&amp;TEXT(INDEX(ERP資料!$G:$G, (MATCH(338, 輔助計算!$G$2:$G$801, 0)+1)),"0.##")))&amp;"-"&amp;INT(INDEX(輔助計算!$D:$D, (MATCH(338, 輔助計算!$G$2:$G$801, 0)+1))/IF(INDEX(ERP資料!$G:$G, (MATCH(338, 輔助計算!$G$2:$G$801, 0)+1))&lt;100, IF(INDEX(ERP資料!$G:$G, (MATCH(338, 輔助計算!$G$2:$G$801, 0)+1))&lt;=31,3,IF(INDEX(ERP資料!$G:$G, (MATCH(338, 輔助計算!$G$2:$G$801, 0)+1))&lt;=46.5,2,1)), IF(INDEX(ERP資料!$G:$G, (MATCH(338, 輔助計算!$G$2:$G$801, 0)+1))&lt;=790,3,IF(INDEX(ERP資料!$G:$G, (MATCH(338, 輔助計算!$G$2:$G$801, 0)+1))&lt;=1181,2,1)))), "")&lt;&gt;"",IF(MOD(INDEX(輔助計算!$D:$D, (MATCH(338, 輔助計算!$G$2:$G$801, 0)+1)),IF(INDEX(ERP資料!$G:$G, (MATCH(338, 輔助計算!$G$2:$G$801, 0)+1))&lt;100, IF(INDEX(ERP資料!$G:$G, (MATCH(338, 輔助計算!$G$2:$G$801, 0)+1))&lt;=31,3,IF(INDEX(ERP資料!$G:$G, (MATCH(338, 輔助計算!$G$2:$G$801, 0)+1))&lt;=46.5,2,1)), IF(INDEX(ERP資料!$G:$G, (MATCH(338, 輔助計算!$G$2:$G$801, 0)+1))&lt;=790,3,IF(INDEX(ERP資料!$G:$G, (MATCH(338, 輔助計算!$G$2:$G$801, 0)+1))&lt;=1181,2,1))))=0,"",IF(MOD(INDEX(輔助計算!$D:$D, (MATCH(338, 輔助計算!$G$2:$G$801, 0)+1)),IF(INDEX(ERP資料!$G:$G, (MATCH(338, 輔助計算!$G$2:$G$801, 0)+1))&lt;100, IF(INDEX(ERP資料!$G:$G, (MATCH(338, 輔助計算!$G$2:$G$801, 0)+1))&lt;=31,3,IF(INDEX(ERP資料!$G:$G, (MATCH(338, 輔助計算!$G$2:$G$801, 0)+1))&lt;=46.5,2,1)), IF(INDEX(ERP資料!$G:$G, (MATCH(338, 輔助計算!$G$2:$G$801, 0)+1))&lt;=790,3,IF(INDEX(ERP資料!$G:$G, (MATCH(338, 輔助計算!$G$2:$G$801, 0)+1))&lt;=1181,2,1))))=0,"",IF(MOD(INDEX(輔助計算!$D:$D, (MATCH(338, 輔助計算!$G$2:$G$801, 0)+1)),IF(INDEX(ERP資料!$G:$G, (MATCH(338, 輔助計算!$G$2:$G$801, 0)+1))&lt;100, IF(INDEX(ERP資料!$G:$G, (MATCH(338, 輔助計算!$G$2:$G$801, 0)+1))&lt;=31,3,IF(INDEX(ERP資料!$G:$G, (MATCH(338, 輔助計算!$G$2:$G$801, 0)+1))&lt;=46.5,2,1)), IF(INDEX(ERP資料!$G:$G, (MATCH(338, 輔助計算!$G$2:$G$801, 0)+1))&lt;=790,3,IF(INDEX(ERP資料!$G:$G, (MATCH(338, 輔助計算!$G$2:$G$801, 0)+1))&lt;=1181,2,1))))=1,TEXT(INDEX(ERP資料!$G:$G, (MATCH(338, 輔助計算!$G$2:$G$801, 0)+1)),"0.##"),IF(MOD(INDEX(輔助計算!$D:$D, (MATCH(338, 輔助計算!$G$2:$G$801, 0)+1)),IF(INDEX(ERP資料!$G:$G, (MATCH(338, 輔助計算!$G$2:$G$801, 0)+1))&lt;100, IF(INDEX(ERP資料!$G:$G, (MATCH(338, 輔助計算!$G$2:$G$801, 0)+1))&lt;=31,3,IF(INDEX(ERP資料!$G:$G, (MATCH(338, 輔助計算!$G$2:$G$801, 0)+1))&lt;=46.5,2,1)), IF(INDEX(ERP資料!$G:$G, (MATCH(338, 輔助計算!$G$2:$G$801, 0)+1))&lt;=790,3,IF(INDEX(ERP資料!$G:$G, (MATCH(338, 輔助計算!$G$2:$G$801, 0)+1))&lt;=1181,2,1))))=2,TEXT(INDEX(ERP資料!$G:$G, (MATCH(338, 輔助計算!$G$2:$G$801, 0)+1)),"0.##")&amp;"+"&amp;TEXT(INDEX(ERP資料!$G:$G, (MATCH(338, 輔助計算!$G$2:$G$801, 0)+1)),"0.##"),TEXT(INDEX(ERP資料!$G:$G, (MATCH(338, 輔助計算!$G$2:$G$801, 0)+1)),"0.##")&amp;"+"&amp;TEXT(INDEX(ERP資料!$G:$G, (MATCH(338, 輔助計算!$G$2:$G$801, 0)+1)),"0.##")&amp;"+"&amp;TEXT(INDEX(ERP資料!$G:$G, (MATCH(338, 輔助計算!$G$2:$G$801, 0)+1)),"0.##"))))&amp;"-1")&lt;&gt;""),"  ","")&amp;IF(MOD(INDEX(輔助計算!$D:$D, (MATCH(338, 輔助計算!$G$2:$G$801, 0)+1)),IF(INDEX(ERP資料!$G:$G, (MATCH(338, 輔助計算!$G$2:$G$801, 0)+1))&lt;100, IF(INDEX(ERP資料!$G:$G, (MATCH(338, 輔助計算!$G$2:$G$801, 0)+1))&lt;=31,3,IF(INDEX(ERP資料!$G:$G, (MATCH(338, 輔助計算!$G$2:$G$801, 0)+1))&lt;=46.5,2,1)), IF(INDEX(ERP資料!$G:$G, (MATCH(338, 輔助計算!$G$2:$G$801, 0)+1))&lt;=790,3,IF(INDEX(ERP資料!$G:$G, (MATCH(338, 輔助計算!$G$2:$G$801, 0)+1))&lt;=1181,2,1))))=0,"",IF(MOD(INDEX(輔助計算!$D:$D, (MATCH(338, 輔助計算!$G$2:$G$801, 0)+1)),IF(INDEX(ERP資料!$G:$G, (MATCH(338, 輔助計算!$G$2:$G$801, 0)+1))&lt;100, IF(INDEX(ERP資料!$G:$G, (MATCH(338, 輔助計算!$G$2:$G$801, 0)+1))&lt;=31,3,IF(INDEX(ERP資料!$G:$G, (MATCH(338, 輔助計算!$G$2:$G$801, 0)+1))&lt;=46.5,2,1)), IF(INDEX(ERP資料!$G:$G, (MATCH(338, 輔助計算!$G$2:$G$801, 0)+1))&lt;=790,3,IF(INDEX(ERP資料!$G:$G, (MATCH(338, 輔助計算!$G$2:$G$801, 0)+1))&lt;=1181,2,1))))=0,"",IF(MOD(INDEX(輔助計算!$D:$D, (MATCH(338, 輔助計算!$G$2:$G$801, 0)+1)),IF(INDEX(ERP資料!$G:$G, (MATCH(338, 輔助計算!$G$2:$G$801, 0)+1))&lt;100, IF(INDEX(ERP資料!$G:$G, (MATCH(338, 輔助計算!$G$2:$G$801, 0)+1))&lt;=31,3,IF(INDEX(ERP資料!$G:$G, (MATCH(338, 輔助計算!$G$2:$G$801, 0)+1))&lt;=46.5,2,1)), IF(INDEX(ERP資料!$G:$G, (MATCH(338, 輔助計算!$G$2:$G$801, 0)+1))&lt;=790,3,IF(INDEX(ERP資料!$G:$G, (MATCH(338, 輔助計算!$G$2:$G$801, 0)+1))&lt;=1181,2,1))))=1,TEXT(INDEX(ERP資料!$G:$G, (MATCH(338, 輔助計算!$G$2:$G$801, 0)+1)),"0.##"),IF(MOD(INDEX(輔助計算!$D:$D, (MATCH(338, 輔助計算!$G$2:$G$801, 0)+1)),IF(INDEX(ERP資料!$G:$G, (MATCH(338, 輔助計算!$G$2:$G$801, 0)+1))&lt;100, IF(INDEX(ERP資料!$G:$G, (MATCH(338, 輔助計算!$G$2:$G$801, 0)+1))&lt;=31,3,IF(INDEX(ERP資料!$G:$G, (MATCH(338, 輔助計算!$G$2:$G$801, 0)+1))&lt;=46.5,2,1)), IF(INDEX(ERP資料!$G:$G, (MATCH(338, 輔助計算!$G$2:$G$801, 0)+1))&lt;=790,3,IF(INDEX(ERP資料!$G:$G, (MATCH(338, 輔助計算!$G$2:$G$801, 0)+1))&lt;=1181,2,1))))=2,TEXT(INDEX(ERP資料!$G:$G, (MATCH(338, 輔助計算!$G$2:$G$801, 0)+1)),"0.##")&amp;"+"&amp;TEXT(INDEX(ERP資料!$G:$G, (MATCH(338, 輔助計算!$G$2:$G$801, 0)+1)),"0.##"),TEXT(INDEX(ERP資料!$G:$G, (MATCH(338, 輔助計算!$G$2:$G$801, 0)+1)),"0.##")&amp;"+"&amp;TEXT(INDEX(ERP資料!$G:$G, (MATCH(338, 輔助計算!$G$2:$G$801, 0)+1)),"0.##")&amp;"+"&amp;TEXT(INDEX(ERP資料!$G:$G, (MATCH(338, 輔助計算!$G$2:$G$801, 0)+1)),"0.##"))))&amp;"-1")), ""), "")</f>
        <v/>
      </c>
      <c r="K339" s="16" t="n"/>
      <c r="L339" s="14">
        <f>IFERROR(IF(AND(IFERROR(INDEX(ERP資料!$A:$A, (MATCH(338, 輔助計算!$G$2:$G$801, 0)+1)), "")&lt;&gt;"", IFERROR(INDEX(ERP資料!$A:$A, (MATCH(338, 輔助計算!$G$2:$G$801, 0)+1)), "")&lt;&gt;IFERROR(INDEX(ERP資料!$A:$A, MATCH(337, 輔助計算!$G$2:$G$801, 0)+1), "")), INDEX(ERP資料!$B:$B, (MATCH(338, 輔助計算!$G$2:$G$801, 0)+1)), ""), "")</f>
        <v/>
      </c>
      <c r="M339" s="17" t="n"/>
    </row>
    <row r="340">
      <c r="A340" s="10">
        <f>IFERROR(IF(AND(IFERROR(INDEX(ERP資料!$A:$A, (MATCH(339, 輔助計算!$G$2:$G$801, 0)+1)), "")&lt;&gt;"", IFERROR(INDEX(ERP資料!$A:$A, (MATCH(339, 輔助計算!$G$2:$G$801, 0)+1)), "")&lt;&gt;IFERROR(INDEX(ERP資料!$A:$A, MATCH(338, 輔助計算!$G$2:$G$801, 0)+1), "")), IFERROR(INDEX(ERP資料!$A:$A, (MATCH(339, 輔助計算!$G$2:$G$801, 0)+1)), ""), ""), "")</f>
        <v/>
      </c>
      <c r="B340" s="10">
        <f>IFERROR(IF(AND(IFERROR(INDEX(ERP資料!$A:$A, (MATCH(339, 輔助計算!$G$2:$G$801, 0)+1)), "")&lt;&gt;"", IFERROR(INDEX(ERP資料!$A:$A, (MATCH(339, 輔助計算!$G$2:$G$801, 0)+1)), "")&lt;&gt;IFERROR(INDEX(ERP資料!$A:$A, MATCH(338, 輔助計算!$G$2:$G$801, 0)+1), "")), INDEX(ERP資料!$S:$S, (MATCH(339, 輔助計算!$G$2:$G$801, 0)+1)), ""), "")</f>
        <v/>
      </c>
      <c r="C340" s="19">
        <f>IFERROR(IF(AND(IFERROR(INDEX(ERP資料!$A:$A, (MATCH(339, 輔助計算!$G$2:$G$801, 0)+1)), "")&lt;&gt;"", IFERROR(INDEX(ERP資料!$A:$A, (MATCH(339, 輔助計算!$G$2:$G$801, 0)+1)), "")&lt;&gt;IFERROR(INDEX(ERP資料!$A:$A, MATCH(338, 輔助計算!$G$2:$G$801, 0)+1), "")), IFERROR(VLOOKUP(LEFT(INDEX(ERP資料!$S:$S, (MATCH(339, 輔助計算!$G$2:$G$801, 0)+1)), 4), 紙管對照表!$A:$C, 3, FALSE), ""), ""), "")</f>
        <v/>
      </c>
      <c r="D340" s="16" t="n"/>
      <c r="E340" s="10">
        <f>IFERROR(IF(INDEX(ERP資料!$H:$H, (MATCH(339, 輔助計算!$G$2:$G$801, 0)+1))="","",INDEX(ERP資料!$H:$H, (MATCH(339, 輔助計算!$G$2:$G$801, 0)+1))), "")</f>
        <v/>
      </c>
      <c r="F340" s="10">
        <f>IFERROR(IF(INDEX(ERP資料!$E:$E, (MATCH(339, 輔助計算!$G$2:$G$801, 0)+1))="","",TRIM(INDEX(ERP資料!$E:$E, (MATCH(339, 輔助計算!$G$2:$G$801, 0)+1)))), "")</f>
        <v/>
      </c>
      <c r="G340" s="10">
        <f>IFERROR(IF(INDEX(ERP資料!$F:$F, (MATCH(339, 輔助計算!$G$2:$G$801, 0)+1))="","",INDEX(ERP資料!$F:$F, (MATCH(339, 輔助計算!$G$2:$G$801, 0)+1))), "")</f>
        <v/>
      </c>
      <c r="H340" s="10">
        <f>IFERROR(IF(INDEX(ERP資料!$G:$G, (MATCH(339, 輔助計算!$G$2:$G$801, 0)+1))="","",INDEX(ERP資料!$G:$G, (MATCH(339, 輔助計算!$G$2:$G$801, 0)+1))), "")</f>
        <v/>
      </c>
      <c r="I340" s="15">
        <f>IFERROR(INDEX(輔助計算!$D:$D, (MATCH(339, 輔助計算!$G$2:$G$801, 0)+1)), "")</f>
        <v/>
      </c>
      <c r="J340" s="15">
        <f>IFERROR(IF(AND(INDEX(輔助計算!$D:$D, (MATCH(339, 輔助計算!$G$2:$G$801, 0)+1))&lt;&gt;"", INDEX(ERP資料!$G:$G, (MATCH(339, 輔助計算!$G$2:$G$801, 0)+1))&lt;&gt;""), TRIM(IF(INT(INDEX(輔助計算!$D:$D, (MATCH(339, 輔助計算!$G$2:$G$801, 0)+1))/IF(INDEX(ERP資料!$G:$G, (MATCH(339, 輔助計算!$G$2:$G$801, 0)+1))&lt;100, IF(INDEX(ERP資料!$G:$G, (MATCH(339, 輔助計算!$G$2:$G$801, 0)+1))&lt;=31,3,IF(INDEX(ERP資料!$G:$G, (MATCH(339, 輔助計算!$G$2:$G$801, 0)+1))&lt;=46.5,2,1)), IF(INDEX(ERP資料!$G:$G, (MATCH(339, 輔助計算!$G$2:$G$801, 0)+1))&lt;=790,3,IF(INDEX(ERP資料!$G:$G, (MATCH(339, 輔助計算!$G$2:$G$801, 0)+1))&lt;=1181,2,1))))&gt;0, IF(IF(INDEX(ERP資料!$G:$G, (MATCH(339, 輔助計算!$G$2:$G$801, 0)+1))&lt;100, IF(INDEX(ERP資料!$G:$G, (MATCH(339, 輔助計算!$G$2:$G$801, 0)+1))&lt;=31,3,IF(INDEX(ERP資料!$G:$G, (MATCH(339, 輔助計算!$G$2:$G$801, 0)+1))&lt;=46.5,2,1)), IF(INDEX(ERP資料!$G:$G, (MATCH(339, 輔助計算!$G$2:$G$801, 0)+1))&lt;=790,3,IF(INDEX(ERP資料!$G:$G, (MATCH(339, 輔助計算!$G$2:$G$801, 0)+1))&lt;=1181,2,1)))=1,TEXT(INDEX(ERP資料!$G:$G, (MATCH(339, 輔助計算!$G$2:$G$801, 0)+1)),"0.##"),IF(IF(INDEX(ERP資料!$G:$G, (MATCH(339, 輔助計算!$G$2:$G$801, 0)+1))&lt;100, IF(INDEX(ERP資料!$G:$G, (MATCH(339, 輔助計算!$G$2:$G$801, 0)+1))&lt;=31,3,IF(INDEX(ERP資料!$G:$G, (MATCH(339, 輔助計算!$G$2:$G$801, 0)+1))&lt;=46.5,2,1)), IF(INDEX(ERP資料!$G:$G, (MATCH(339, 輔助計算!$G$2:$G$801, 0)+1))&lt;=790,3,IF(INDEX(ERP資料!$G:$G, (MATCH(339, 輔助計算!$G$2:$G$801, 0)+1))&lt;=1181,2,1)))=2,TEXT(INDEX(ERP資料!$G:$G, (MATCH(339, 輔助計算!$G$2:$G$801, 0)+1)),"0.##")&amp;"+"&amp;TEXT(INDEX(ERP資料!$G:$G, (MATCH(339, 輔助計算!$G$2:$G$801, 0)+1)),"0.##"),TEXT(INDEX(ERP資料!$G:$G, (MATCH(339, 輔助計算!$G$2:$G$801, 0)+1)),"0.##")&amp;"+"&amp;TEXT(INDEX(ERP資料!$G:$G, (MATCH(339, 輔助計算!$G$2:$G$801, 0)+1)),"0.##")&amp;"+"&amp;TEXT(INDEX(ERP資料!$G:$G, (MATCH(339, 輔助計算!$G$2:$G$801, 0)+1)),"0.##")))&amp;"-"&amp;INT(INDEX(輔助計算!$D:$D, (MATCH(339, 輔助計算!$G$2:$G$801, 0)+1))/IF(INDEX(ERP資料!$G:$G, (MATCH(339, 輔助計算!$G$2:$G$801, 0)+1))&lt;100, IF(INDEX(ERP資料!$G:$G, (MATCH(339, 輔助計算!$G$2:$G$801, 0)+1))&lt;=31,3,IF(INDEX(ERP資料!$G:$G, (MATCH(339, 輔助計算!$G$2:$G$801, 0)+1))&lt;=46.5,2,1)), IF(INDEX(ERP資料!$G:$G, (MATCH(339, 輔助計算!$G$2:$G$801, 0)+1))&lt;=790,3,IF(INDEX(ERP資料!$G:$G, (MATCH(339, 輔助計算!$G$2:$G$801, 0)+1))&lt;=1181,2,1)))), "")&amp;IF(AND(IF(INT(INDEX(輔助計算!$D:$D, (MATCH(339, 輔助計算!$G$2:$G$801, 0)+1))/IF(INDEX(ERP資料!$G:$G, (MATCH(339, 輔助計算!$G$2:$G$801, 0)+1))&lt;100, IF(INDEX(ERP資料!$G:$G, (MATCH(339, 輔助計算!$G$2:$G$801, 0)+1))&lt;=31,3,IF(INDEX(ERP資料!$G:$G, (MATCH(339, 輔助計算!$G$2:$G$801, 0)+1))&lt;=46.5,2,1)), IF(INDEX(ERP資料!$G:$G, (MATCH(339, 輔助計算!$G$2:$G$801, 0)+1))&lt;=790,3,IF(INDEX(ERP資料!$G:$G, (MATCH(339, 輔助計算!$G$2:$G$801, 0)+1))&lt;=1181,2,1))))&gt;0, IF(IF(INDEX(ERP資料!$G:$G, (MATCH(339, 輔助計算!$G$2:$G$801, 0)+1))&lt;100, IF(INDEX(ERP資料!$G:$G, (MATCH(339, 輔助計算!$G$2:$G$801, 0)+1))&lt;=31,3,IF(INDEX(ERP資料!$G:$G, (MATCH(339, 輔助計算!$G$2:$G$801, 0)+1))&lt;=46.5,2,1)), IF(INDEX(ERP資料!$G:$G, (MATCH(339, 輔助計算!$G$2:$G$801, 0)+1))&lt;=790,3,IF(INDEX(ERP資料!$G:$G, (MATCH(339, 輔助計算!$G$2:$G$801, 0)+1))&lt;=1181,2,1)))=1,TEXT(INDEX(ERP資料!$G:$G, (MATCH(339, 輔助計算!$G$2:$G$801, 0)+1)),"0.##"),IF(IF(INDEX(ERP資料!$G:$G, (MATCH(339, 輔助計算!$G$2:$G$801, 0)+1))&lt;100, IF(INDEX(ERP資料!$G:$G, (MATCH(339, 輔助計算!$G$2:$G$801, 0)+1))&lt;=31,3,IF(INDEX(ERP資料!$G:$G, (MATCH(339, 輔助計算!$G$2:$G$801, 0)+1))&lt;=46.5,2,1)), IF(INDEX(ERP資料!$G:$G, (MATCH(339, 輔助計算!$G$2:$G$801, 0)+1))&lt;=790,3,IF(INDEX(ERP資料!$G:$G, (MATCH(339, 輔助計算!$G$2:$G$801, 0)+1))&lt;=1181,2,1)))=2,TEXT(INDEX(ERP資料!$G:$G, (MATCH(339, 輔助計算!$G$2:$G$801, 0)+1)),"0.##")&amp;"+"&amp;TEXT(INDEX(ERP資料!$G:$G, (MATCH(339, 輔助計算!$G$2:$G$801, 0)+1)),"0.##"),TEXT(INDEX(ERP資料!$G:$G, (MATCH(339, 輔助計算!$G$2:$G$801, 0)+1)),"0.##")&amp;"+"&amp;TEXT(INDEX(ERP資料!$G:$G, (MATCH(339, 輔助計算!$G$2:$G$801, 0)+1)),"0.##")&amp;"+"&amp;TEXT(INDEX(ERP資料!$G:$G, (MATCH(339, 輔助計算!$G$2:$G$801, 0)+1)),"0.##")))&amp;"-"&amp;INT(INDEX(輔助計算!$D:$D, (MATCH(339, 輔助計算!$G$2:$G$801, 0)+1))/IF(INDEX(ERP資料!$G:$G, (MATCH(339, 輔助計算!$G$2:$G$801, 0)+1))&lt;100, IF(INDEX(ERP資料!$G:$G, (MATCH(339, 輔助計算!$G$2:$G$801, 0)+1))&lt;=31,3,IF(INDEX(ERP資料!$G:$G, (MATCH(339, 輔助計算!$G$2:$G$801, 0)+1))&lt;=46.5,2,1)), IF(INDEX(ERP資料!$G:$G, (MATCH(339, 輔助計算!$G$2:$G$801, 0)+1))&lt;=790,3,IF(INDEX(ERP資料!$G:$G, (MATCH(339, 輔助計算!$G$2:$G$801, 0)+1))&lt;=1181,2,1)))), "")&lt;&gt;"",IF(MOD(INDEX(輔助計算!$D:$D, (MATCH(339, 輔助計算!$G$2:$G$801, 0)+1)),IF(INDEX(ERP資料!$G:$G, (MATCH(339, 輔助計算!$G$2:$G$801, 0)+1))&lt;100, IF(INDEX(ERP資料!$G:$G, (MATCH(339, 輔助計算!$G$2:$G$801, 0)+1))&lt;=31,3,IF(INDEX(ERP資料!$G:$G, (MATCH(339, 輔助計算!$G$2:$G$801, 0)+1))&lt;=46.5,2,1)), IF(INDEX(ERP資料!$G:$G, (MATCH(339, 輔助計算!$G$2:$G$801, 0)+1))&lt;=790,3,IF(INDEX(ERP資料!$G:$G, (MATCH(339, 輔助計算!$G$2:$G$801, 0)+1))&lt;=1181,2,1))))=0,"",IF(MOD(INDEX(輔助計算!$D:$D, (MATCH(339, 輔助計算!$G$2:$G$801, 0)+1)),IF(INDEX(ERP資料!$G:$G, (MATCH(339, 輔助計算!$G$2:$G$801, 0)+1))&lt;100, IF(INDEX(ERP資料!$G:$G, (MATCH(339, 輔助計算!$G$2:$G$801, 0)+1))&lt;=31,3,IF(INDEX(ERP資料!$G:$G, (MATCH(339, 輔助計算!$G$2:$G$801, 0)+1))&lt;=46.5,2,1)), IF(INDEX(ERP資料!$G:$G, (MATCH(339, 輔助計算!$G$2:$G$801, 0)+1))&lt;=790,3,IF(INDEX(ERP資料!$G:$G, (MATCH(339, 輔助計算!$G$2:$G$801, 0)+1))&lt;=1181,2,1))))=0,"",IF(MOD(INDEX(輔助計算!$D:$D, (MATCH(339, 輔助計算!$G$2:$G$801, 0)+1)),IF(INDEX(ERP資料!$G:$G, (MATCH(339, 輔助計算!$G$2:$G$801, 0)+1))&lt;100, IF(INDEX(ERP資料!$G:$G, (MATCH(339, 輔助計算!$G$2:$G$801, 0)+1))&lt;=31,3,IF(INDEX(ERP資料!$G:$G, (MATCH(339, 輔助計算!$G$2:$G$801, 0)+1))&lt;=46.5,2,1)), IF(INDEX(ERP資料!$G:$G, (MATCH(339, 輔助計算!$G$2:$G$801, 0)+1))&lt;=790,3,IF(INDEX(ERP資料!$G:$G, (MATCH(339, 輔助計算!$G$2:$G$801, 0)+1))&lt;=1181,2,1))))=1,TEXT(INDEX(ERP資料!$G:$G, (MATCH(339, 輔助計算!$G$2:$G$801, 0)+1)),"0.##"),IF(MOD(INDEX(輔助計算!$D:$D, (MATCH(339, 輔助計算!$G$2:$G$801, 0)+1)),IF(INDEX(ERP資料!$G:$G, (MATCH(339, 輔助計算!$G$2:$G$801, 0)+1))&lt;100, IF(INDEX(ERP資料!$G:$G, (MATCH(339, 輔助計算!$G$2:$G$801, 0)+1))&lt;=31,3,IF(INDEX(ERP資料!$G:$G, (MATCH(339, 輔助計算!$G$2:$G$801, 0)+1))&lt;=46.5,2,1)), IF(INDEX(ERP資料!$G:$G, (MATCH(339, 輔助計算!$G$2:$G$801, 0)+1))&lt;=790,3,IF(INDEX(ERP資料!$G:$G, (MATCH(339, 輔助計算!$G$2:$G$801, 0)+1))&lt;=1181,2,1))))=2,TEXT(INDEX(ERP資料!$G:$G, (MATCH(339, 輔助計算!$G$2:$G$801, 0)+1)),"0.##")&amp;"+"&amp;TEXT(INDEX(ERP資料!$G:$G, (MATCH(339, 輔助計算!$G$2:$G$801, 0)+1)),"0.##"),TEXT(INDEX(ERP資料!$G:$G, (MATCH(339, 輔助計算!$G$2:$G$801, 0)+1)),"0.##")&amp;"+"&amp;TEXT(INDEX(ERP資料!$G:$G, (MATCH(339, 輔助計算!$G$2:$G$801, 0)+1)),"0.##")&amp;"+"&amp;TEXT(INDEX(ERP資料!$G:$G, (MATCH(339, 輔助計算!$G$2:$G$801, 0)+1)),"0.##"))))&amp;"-1")&lt;&gt;""),"  ","")&amp;IF(MOD(INDEX(輔助計算!$D:$D, (MATCH(339, 輔助計算!$G$2:$G$801, 0)+1)),IF(INDEX(ERP資料!$G:$G, (MATCH(339, 輔助計算!$G$2:$G$801, 0)+1))&lt;100, IF(INDEX(ERP資料!$G:$G, (MATCH(339, 輔助計算!$G$2:$G$801, 0)+1))&lt;=31,3,IF(INDEX(ERP資料!$G:$G, (MATCH(339, 輔助計算!$G$2:$G$801, 0)+1))&lt;=46.5,2,1)), IF(INDEX(ERP資料!$G:$G, (MATCH(339, 輔助計算!$G$2:$G$801, 0)+1))&lt;=790,3,IF(INDEX(ERP資料!$G:$G, (MATCH(339, 輔助計算!$G$2:$G$801, 0)+1))&lt;=1181,2,1))))=0,"",IF(MOD(INDEX(輔助計算!$D:$D, (MATCH(339, 輔助計算!$G$2:$G$801, 0)+1)),IF(INDEX(ERP資料!$G:$G, (MATCH(339, 輔助計算!$G$2:$G$801, 0)+1))&lt;100, IF(INDEX(ERP資料!$G:$G, (MATCH(339, 輔助計算!$G$2:$G$801, 0)+1))&lt;=31,3,IF(INDEX(ERP資料!$G:$G, (MATCH(339, 輔助計算!$G$2:$G$801, 0)+1))&lt;=46.5,2,1)), IF(INDEX(ERP資料!$G:$G, (MATCH(339, 輔助計算!$G$2:$G$801, 0)+1))&lt;=790,3,IF(INDEX(ERP資料!$G:$G, (MATCH(339, 輔助計算!$G$2:$G$801, 0)+1))&lt;=1181,2,1))))=0,"",IF(MOD(INDEX(輔助計算!$D:$D, (MATCH(339, 輔助計算!$G$2:$G$801, 0)+1)),IF(INDEX(ERP資料!$G:$G, (MATCH(339, 輔助計算!$G$2:$G$801, 0)+1))&lt;100, IF(INDEX(ERP資料!$G:$G, (MATCH(339, 輔助計算!$G$2:$G$801, 0)+1))&lt;=31,3,IF(INDEX(ERP資料!$G:$G, (MATCH(339, 輔助計算!$G$2:$G$801, 0)+1))&lt;=46.5,2,1)), IF(INDEX(ERP資料!$G:$G, (MATCH(339, 輔助計算!$G$2:$G$801, 0)+1))&lt;=790,3,IF(INDEX(ERP資料!$G:$G, (MATCH(339, 輔助計算!$G$2:$G$801, 0)+1))&lt;=1181,2,1))))=1,TEXT(INDEX(ERP資料!$G:$G, (MATCH(339, 輔助計算!$G$2:$G$801, 0)+1)),"0.##"),IF(MOD(INDEX(輔助計算!$D:$D, (MATCH(339, 輔助計算!$G$2:$G$801, 0)+1)),IF(INDEX(ERP資料!$G:$G, (MATCH(339, 輔助計算!$G$2:$G$801, 0)+1))&lt;100, IF(INDEX(ERP資料!$G:$G, (MATCH(339, 輔助計算!$G$2:$G$801, 0)+1))&lt;=31,3,IF(INDEX(ERP資料!$G:$G, (MATCH(339, 輔助計算!$G$2:$G$801, 0)+1))&lt;=46.5,2,1)), IF(INDEX(ERP資料!$G:$G, (MATCH(339, 輔助計算!$G$2:$G$801, 0)+1))&lt;=790,3,IF(INDEX(ERP資料!$G:$G, (MATCH(339, 輔助計算!$G$2:$G$801, 0)+1))&lt;=1181,2,1))))=2,TEXT(INDEX(ERP資料!$G:$G, (MATCH(339, 輔助計算!$G$2:$G$801, 0)+1)),"0.##")&amp;"+"&amp;TEXT(INDEX(ERP資料!$G:$G, (MATCH(339, 輔助計算!$G$2:$G$801, 0)+1)),"0.##"),TEXT(INDEX(ERP資料!$G:$G, (MATCH(339, 輔助計算!$G$2:$G$801, 0)+1)),"0.##")&amp;"+"&amp;TEXT(INDEX(ERP資料!$G:$G, (MATCH(339, 輔助計算!$G$2:$G$801, 0)+1)),"0.##")&amp;"+"&amp;TEXT(INDEX(ERP資料!$G:$G, (MATCH(339, 輔助計算!$G$2:$G$801, 0)+1)),"0.##"))))&amp;"-1")), ""), "")</f>
        <v/>
      </c>
      <c r="K340" s="16" t="n"/>
      <c r="L340" s="14">
        <f>IFERROR(IF(AND(IFERROR(INDEX(ERP資料!$A:$A, (MATCH(339, 輔助計算!$G$2:$G$801, 0)+1)), "")&lt;&gt;"", IFERROR(INDEX(ERP資料!$A:$A, (MATCH(339, 輔助計算!$G$2:$G$801, 0)+1)), "")&lt;&gt;IFERROR(INDEX(ERP資料!$A:$A, MATCH(338, 輔助計算!$G$2:$G$801, 0)+1), "")), INDEX(ERP資料!$B:$B, (MATCH(339, 輔助計算!$G$2:$G$801, 0)+1)), ""), "")</f>
        <v/>
      </c>
      <c r="M340" s="17" t="n"/>
    </row>
    <row r="341">
      <c r="A341" s="10">
        <f>IFERROR(IF(AND(IFERROR(INDEX(ERP資料!$A:$A, (MATCH(340, 輔助計算!$G$2:$G$801, 0)+1)), "")&lt;&gt;"", IFERROR(INDEX(ERP資料!$A:$A, (MATCH(340, 輔助計算!$G$2:$G$801, 0)+1)), "")&lt;&gt;IFERROR(INDEX(ERP資料!$A:$A, MATCH(339, 輔助計算!$G$2:$G$801, 0)+1), "")), IFERROR(INDEX(ERP資料!$A:$A, (MATCH(340, 輔助計算!$G$2:$G$801, 0)+1)), ""), ""), "")</f>
        <v/>
      </c>
      <c r="B341" s="10">
        <f>IFERROR(IF(AND(IFERROR(INDEX(ERP資料!$A:$A, (MATCH(340, 輔助計算!$G$2:$G$801, 0)+1)), "")&lt;&gt;"", IFERROR(INDEX(ERP資料!$A:$A, (MATCH(340, 輔助計算!$G$2:$G$801, 0)+1)), "")&lt;&gt;IFERROR(INDEX(ERP資料!$A:$A, MATCH(339, 輔助計算!$G$2:$G$801, 0)+1), "")), INDEX(ERP資料!$S:$S, (MATCH(340, 輔助計算!$G$2:$G$801, 0)+1)), ""), "")</f>
        <v/>
      </c>
      <c r="C341" s="19">
        <f>IFERROR(IF(AND(IFERROR(INDEX(ERP資料!$A:$A, (MATCH(340, 輔助計算!$G$2:$G$801, 0)+1)), "")&lt;&gt;"", IFERROR(INDEX(ERP資料!$A:$A, (MATCH(340, 輔助計算!$G$2:$G$801, 0)+1)), "")&lt;&gt;IFERROR(INDEX(ERP資料!$A:$A, MATCH(339, 輔助計算!$G$2:$G$801, 0)+1), "")), IFERROR(VLOOKUP(LEFT(INDEX(ERP資料!$S:$S, (MATCH(340, 輔助計算!$G$2:$G$801, 0)+1)), 4), 紙管對照表!$A:$C, 3, FALSE), ""), ""), "")</f>
        <v/>
      </c>
      <c r="D341" s="16" t="n"/>
      <c r="E341" s="10">
        <f>IFERROR(IF(INDEX(ERP資料!$H:$H, (MATCH(340, 輔助計算!$G$2:$G$801, 0)+1))="","",INDEX(ERP資料!$H:$H, (MATCH(340, 輔助計算!$G$2:$G$801, 0)+1))), "")</f>
        <v/>
      </c>
      <c r="F341" s="10">
        <f>IFERROR(IF(INDEX(ERP資料!$E:$E, (MATCH(340, 輔助計算!$G$2:$G$801, 0)+1))="","",TRIM(INDEX(ERP資料!$E:$E, (MATCH(340, 輔助計算!$G$2:$G$801, 0)+1)))), "")</f>
        <v/>
      </c>
      <c r="G341" s="10">
        <f>IFERROR(IF(INDEX(ERP資料!$F:$F, (MATCH(340, 輔助計算!$G$2:$G$801, 0)+1))="","",INDEX(ERP資料!$F:$F, (MATCH(340, 輔助計算!$G$2:$G$801, 0)+1))), "")</f>
        <v/>
      </c>
      <c r="H341" s="10">
        <f>IFERROR(IF(INDEX(ERP資料!$G:$G, (MATCH(340, 輔助計算!$G$2:$G$801, 0)+1))="","",INDEX(ERP資料!$G:$G, (MATCH(340, 輔助計算!$G$2:$G$801, 0)+1))), "")</f>
        <v/>
      </c>
      <c r="I341" s="15">
        <f>IFERROR(INDEX(輔助計算!$D:$D, (MATCH(340, 輔助計算!$G$2:$G$801, 0)+1)), "")</f>
        <v/>
      </c>
      <c r="J341" s="15">
        <f>IFERROR(IF(AND(INDEX(輔助計算!$D:$D, (MATCH(340, 輔助計算!$G$2:$G$801, 0)+1))&lt;&gt;"", INDEX(ERP資料!$G:$G, (MATCH(340, 輔助計算!$G$2:$G$801, 0)+1))&lt;&gt;""), TRIM(IF(INT(INDEX(輔助計算!$D:$D, (MATCH(340, 輔助計算!$G$2:$G$801, 0)+1))/IF(INDEX(ERP資料!$G:$G, (MATCH(340, 輔助計算!$G$2:$G$801, 0)+1))&lt;100, IF(INDEX(ERP資料!$G:$G, (MATCH(340, 輔助計算!$G$2:$G$801, 0)+1))&lt;=31,3,IF(INDEX(ERP資料!$G:$G, (MATCH(340, 輔助計算!$G$2:$G$801, 0)+1))&lt;=46.5,2,1)), IF(INDEX(ERP資料!$G:$G, (MATCH(340, 輔助計算!$G$2:$G$801, 0)+1))&lt;=790,3,IF(INDEX(ERP資料!$G:$G, (MATCH(340, 輔助計算!$G$2:$G$801, 0)+1))&lt;=1181,2,1))))&gt;0, IF(IF(INDEX(ERP資料!$G:$G, (MATCH(340, 輔助計算!$G$2:$G$801, 0)+1))&lt;100, IF(INDEX(ERP資料!$G:$G, (MATCH(340, 輔助計算!$G$2:$G$801, 0)+1))&lt;=31,3,IF(INDEX(ERP資料!$G:$G, (MATCH(340, 輔助計算!$G$2:$G$801, 0)+1))&lt;=46.5,2,1)), IF(INDEX(ERP資料!$G:$G, (MATCH(340, 輔助計算!$G$2:$G$801, 0)+1))&lt;=790,3,IF(INDEX(ERP資料!$G:$G, (MATCH(340, 輔助計算!$G$2:$G$801, 0)+1))&lt;=1181,2,1)))=1,TEXT(INDEX(ERP資料!$G:$G, (MATCH(340, 輔助計算!$G$2:$G$801, 0)+1)),"0.##"),IF(IF(INDEX(ERP資料!$G:$G, (MATCH(340, 輔助計算!$G$2:$G$801, 0)+1))&lt;100, IF(INDEX(ERP資料!$G:$G, (MATCH(340, 輔助計算!$G$2:$G$801, 0)+1))&lt;=31,3,IF(INDEX(ERP資料!$G:$G, (MATCH(340, 輔助計算!$G$2:$G$801, 0)+1))&lt;=46.5,2,1)), IF(INDEX(ERP資料!$G:$G, (MATCH(340, 輔助計算!$G$2:$G$801, 0)+1))&lt;=790,3,IF(INDEX(ERP資料!$G:$G, (MATCH(340, 輔助計算!$G$2:$G$801, 0)+1))&lt;=1181,2,1)))=2,TEXT(INDEX(ERP資料!$G:$G, (MATCH(340, 輔助計算!$G$2:$G$801, 0)+1)),"0.##")&amp;"+"&amp;TEXT(INDEX(ERP資料!$G:$G, (MATCH(340, 輔助計算!$G$2:$G$801, 0)+1)),"0.##"),TEXT(INDEX(ERP資料!$G:$G, (MATCH(340, 輔助計算!$G$2:$G$801, 0)+1)),"0.##")&amp;"+"&amp;TEXT(INDEX(ERP資料!$G:$G, (MATCH(340, 輔助計算!$G$2:$G$801, 0)+1)),"0.##")&amp;"+"&amp;TEXT(INDEX(ERP資料!$G:$G, (MATCH(340, 輔助計算!$G$2:$G$801, 0)+1)),"0.##")))&amp;"-"&amp;INT(INDEX(輔助計算!$D:$D, (MATCH(340, 輔助計算!$G$2:$G$801, 0)+1))/IF(INDEX(ERP資料!$G:$G, (MATCH(340, 輔助計算!$G$2:$G$801, 0)+1))&lt;100, IF(INDEX(ERP資料!$G:$G, (MATCH(340, 輔助計算!$G$2:$G$801, 0)+1))&lt;=31,3,IF(INDEX(ERP資料!$G:$G, (MATCH(340, 輔助計算!$G$2:$G$801, 0)+1))&lt;=46.5,2,1)), IF(INDEX(ERP資料!$G:$G, (MATCH(340, 輔助計算!$G$2:$G$801, 0)+1))&lt;=790,3,IF(INDEX(ERP資料!$G:$G, (MATCH(340, 輔助計算!$G$2:$G$801, 0)+1))&lt;=1181,2,1)))), "")&amp;IF(AND(IF(INT(INDEX(輔助計算!$D:$D, (MATCH(340, 輔助計算!$G$2:$G$801, 0)+1))/IF(INDEX(ERP資料!$G:$G, (MATCH(340, 輔助計算!$G$2:$G$801, 0)+1))&lt;100, IF(INDEX(ERP資料!$G:$G, (MATCH(340, 輔助計算!$G$2:$G$801, 0)+1))&lt;=31,3,IF(INDEX(ERP資料!$G:$G, (MATCH(340, 輔助計算!$G$2:$G$801, 0)+1))&lt;=46.5,2,1)), IF(INDEX(ERP資料!$G:$G, (MATCH(340, 輔助計算!$G$2:$G$801, 0)+1))&lt;=790,3,IF(INDEX(ERP資料!$G:$G, (MATCH(340, 輔助計算!$G$2:$G$801, 0)+1))&lt;=1181,2,1))))&gt;0, IF(IF(INDEX(ERP資料!$G:$G, (MATCH(340, 輔助計算!$G$2:$G$801, 0)+1))&lt;100, IF(INDEX(ERP資料!$G:$G, (MATCH(340, 輔助計算!$G$2:$G$801, 0)+1))&lt;=31,3,IF(INDEX(ERP資料!$G:$G, (MATCH(340, 輔助計算!$G$2:$G$801, 0)+1))&lt;=46.5,2,1)), IF(INDEX(ERP資料!$G:$G, (MATCH(340, 輔助計算!$G$2:$G$801, 0)+1))&lt;=790,3,IF(INDEX(ERP資料!$G:$G, (MATCH(340, 輔助計算!$G$2:$G$801, 0)+1))&lt;=1181,2,1)))=1,TEXT(INDEX(ERP資料!$G:$G, (MATCH(340, 輔助計算!$G$2:$G$801, 0)+1)),"0.##"),IF(IF(INDEX(ERP資料!$G:$G, (MATCH(340, 輔助計算!$G$2:$G$801, 0)+1))&lt;100, IF(INDEX(ERP資料!$G:$G, (MATCH(340, 輔助計算!$G$2:$G$801, 0)+1))&lt;=31,3,IF(INDEX(ERP資料!$G:$G, (MATCH(340, 輔助計算!$G$2:$G$801, 0)+1))&lt;=46.5,2,1)), IF(INDEX(ERP資料!$G:$G, (MATCH(340, 輔助計算!$G$2:$G$801, 0)+1))&lt;=790,3,IF(INDEX(ERP資料!$G:$G, (MATCH(340, 輔助計算!$G$2:$G$801, 0)+1))&lt;=1181,2,1)))=2,TEXT(INDEX(ERP資料!$G:$G, (MATCH(340, 輔助計算!$G$2:$G$801, 0)+1)),"0.##")&amp;"+"&amp;TEXT(INDEX(ERP資料!$G:$G, (MATCH(340, 輔助計算!$G$2:$G$801, 0)+1)),"0.##"),TEXT(INDEX(ERP資料!$G:$G, (MATCH(340, 輔助計算!$G$2:$G$801, 0)+1)),"0.##")&amp;"+"&amp;TEXT(INDEX(ERP資料!$G:$G, (MATCH(340, 輔助計算!$G$2:$G$801, 0)+1)),"0.##")&amp;"+"&amp;TEXT(INDEX(ERP資料!$G:$G, (MATCH(340, 輔助計算!$G$2:$G$801, 0)+1)),"0.##")))&amp;"-"&amp;INT(INDEX(輔助計算!$D:$D, (MATCH(340, 輔助計算!$G$2:$G$801, 0)+1))/IF(INDEX(ERP資料!$G:$G, (MATCH(340, 輔助計算!$G$2:$G$801, 0)+1))&lt;100, IF(INDEX(ERP資料!$G:$G, (MATCH(340, 輔助計算!$G$2:$G$801, 0)+1))&lt;=31,3,IF(INDEX(ERP資料!$G:$G, (MATCH(340, 輔助計算!$G$2:$G$801, 0)+1))&lt;=46.5,2,1)), IF(INDEX(ERP資料!$G:$G, (MATCH(340, 輔助計算!$G$2:$G$801, 0)+1))&lt;=790,3,IF(INDEX(ERP資料!$G:$G, (MATCH(340, 輔助計算!$G$2:$G$801, 0)+1))&lt;=1181,2,1)))), "")&lt;&gt;"",IF(MOD(INDEX(輔助計算!$D:$D, (MATCH(340, 輔助計算!$G$2:$G$801, 0)+1)),IF(INDEX(ERP資料!$G:$G, (MATCH(340, 輔助計算!$G$2:$G$801, 0)+1))&lt;100, IF(INDEX(ERP資料!$G:$G, (MATCH(340, 輔助計算!$G$2:$G$801, 0)+1))&lt;=31,3,IF(INDEX(ERP資料!$G:$G, (MATCH(340, 輔助計算!$G$2:$G$801, 0)+1))&lt;=46.5,2,1)), IF(INDEX(ERP資料!$G:$G, (MATCH(340, 輔助計算!$G$2:$G$801, 0)+1))&lt;=790,3,IF(INDEX(ERP資料!$G:$G, (MATCH(340, 輔助計算!$G$2:$G$801, 0)+1))&lt;=1181,2,1))))=0,"",IF(MOD(INDEX(輔助計算!$D:$D, (MATCH(340, 輔助計算!$G$2:$G$801, 0)+1)),IF(INDEX(ERP資料!$G:$G, (MATCH(340, 輔助計算!$G$2:$G$801, 0)+1))&lt;100, IF(INDEX(ERP資料!$G:$G, (MATCH(340, 輔助計算!$G$2:$G$801, 0)+1))&lt;=31,3,IF(INDEX(ERP資料!$G:$G, (MATCH(340, 輔助計算!$G$2:$G$801, 0)+1))&lt;=46.5,2,1)), IF(INDEX(ERP資料!$G:$G, (MATCH(340, 輔助計算!$G$2:$G$801, 0)+1))&lt;=790,3,IF(INDEX(ERP資料!$G:$G, (MATCH(340, 輔助計算!$G$2:$G$801, 0)+1))&lt;=1181,2,1))))=0,"",IF(MOD(INDEX(輔助計算!$D:$D, (MATCH(340, 輔助計算!$G$2:$G$801, 0)+1)),IF(INDEX(ERP資料!$G:$G, (MATCH(340, 輔助計算!$G$2:$G$801, 0)+1))&lt;100, IF(INDEX(ERP資料!$G:$G, (MATCH(340, 輔助計算!$G$2:$G$801, 0)+1))&lt;=31,3,IF(INDEX(ERP資料!$G:$G, (MATCH(340, 輔助計算!$G$2:$G$801, 0)+1))&lt;=46.5,2,1)), IF(INDEX(ERP資料!$G:$G, (MATCH(340, 輔助計算!$G$2:$G$801, 0)+1))&lt;=790,3,IF(INDEX(ERP資料!$G:$G, (MATCH(340, 輔助計算!$G$2:$G$801, 0)+1))&lt;=1181,2,1))))=1,TEXT(INDEX(ERP資料!$G:$G, (MATCH(340, 輔助計算!$G$2:$G$801, 0)+1)),"0.##"),IF(MOD(INDEX(輔助計算!$D:$D, (MATCH(340, 輔助計算!$G$2:$G$801, 0)+1)),IF(INDEX(ERP資料!$G:$G, (MATCH(340, 輔助計算!$G$2:$G$801, 0)+1))&lt;100, IF(INDEX(ERP資料!$G:$G, (MATCH(340, 輔助計算!$G$2:$G$801, 0)+1))&lt;=31,3,IF(INDEX(ERP資料!$G:$G, (MATCH(340, 輔助計算!$G$2:$G$801, 0)+1))&lt;=46.5,2,1)), IF(INDEX(ERP資料!$G:$G, (MATCH(340, 輔助計算!$G$2:$G$801, 0)+1))&lt;=790,3,IF(INDEX(ERP資料!$G:$G, (MATCH(340, 輔助計算!$G$2:$G$801, 0)+1))&lt;=1181,2,1))))=2,TEXT(INDEX(ERP資料!$G:$G, (MATCH(340, 輔助計算!$G$2:$G$801, 0)+1)),"0.##")&amp;"+"&amp;TEXT(INDEX(ERP資料!$G:$G, (MATCH(340, 輔助計算!$G$2:$G$801, 0)+1)),"0.##"),TEXT(INDEX(ERP資料!$G:$G, (MATCH(340, 輔助計算!$G$2:$G$801, 0)+1)),"0.##")&amp;"+"&amp;TEXT(INDEX(ERP資料!$G:$G, (MATCH(340, 輔助計算!$G$2:$G$801, 0)+1)),"0.##")&amp;"+"&amp;TEXT(INDEX(ERP資料!$G:$G, (MATCH(340, 輔助計算!$G$2:$G$801, 0)+1)),"0.##"))))&amp;"-1")&lt;&gt;""),"  ","")&amp;IF(MOD(INDEX(輔助計算!$D:$D, (MATCH(340, 輔助計算!$G$2:$G$801, 0)+1)),IF(INDEX(ERP資料!$G:$G, (MATCH(340, 輔助計算!$G$2:$G$801, 0)+1))&lt;100, IF(INDEX(ERP資料!$G:$G, (MATCH(340, 輔助計算!$G$2:$G$801, 0)+1))&lt;=31,3,IF(INDEX(ERP資料!$G:$G, (MATCH(340, 輔助計算!$G$2:$G$801, 0)+1))&lt;=46.5,2,1)), IF(INDEX(ERP資料!$G:$G, (MATCH(340, 輔助計算!$G$2:$G$801, 0)+1))&lt;=790,3,IF(INDEX(ERP資料!$G:$G, (MATCH(340, 輔助計算!$G$2:$G$801, 0)+1))&lt;=1181,2,1))))=0,"",IF(MOD(INDEX(輔助計算!$D:$D, (MATCH(340, 輔助計算!$G$2:$G$801, 0)+1)),IF(INDEX(ERP資料!$G:$G, (MATCH(340, 輔助計算!$G$2:$G$801, 0)+1))&lt;100, IF(INDEX(ERP資料!$G:$G, (MATCH(340, 輔助計算!$G$2:$G$801, 0)+1))&lt;=31,3,IF(INDEX(ERP資料!$G:$G, (MATCH(340, 輔助計算!$G$2:$G$801, 0)+1))&lt;=46.5,2,1)), IF(INDEX(ERP資料!$G:$G, (MATCH(340, 輔助計算!$G$2:$G$801, 0)+1))&lt;=790,3,IF(INDEX(ERP資料!$G:$G, (MATCH(340, 輔助計算!$G$2:$G$801, 0)+1))&lt;=1181,2,1))))=0,"",IF(MOD(INDEX(輔助計算!$D:$D, (MATCH(340, 輔助計算!$G$2:$G$801, 0)+1)),IF(INDEX(ERP資料!$G:$G, (MATCH(340, 輔助計算!$G$2:$G$801, 0)+1))&lt;100, IF(INDEX(ERP資料!$G:$G, (MATCH(340, 輔助計算!$G$2:$G$801, 0)+1))&lt;=31,3,IF(INDEX(ERP資料!$G:$G, (MATCH(340, 輔助計算!$G$2:$G$801, 0)+1))&lt;=46.5,2,1)), IF(INDEX(ERP資料!$G:$G, (MATCH(340, 輔助計算!$G$2:$G$801, 0)+1))&lt;=790,3,IF(INDEX(ERP資料!$G:$G, (MATCH(340, 輔助計算!$G$2:$G$801, 0)+1))&lt;=1181,2,1))))=1,TEXT(INDEX(ERP資料!$G:$G, (MATCH(340, 輔助計算!$G$2:$G$801, 0)+1)),"0.##"),IF(MOD(INDEX(輔助計算!$D:$D, (MATCH(340, 輔助計算!$G$2:$G$801, 0)+1)),IF(INDEX(ERP資料!$G:$G, (MATCH(340, 輔助計算!$G$2:$G$801, 0)+1))&lt;100, IF(INDEX(ERP資料!$G:$G, (MATCH(340, 輔助計算!$G$2:$G$801, 0)+1))&lt;=31,3,IF(INDEX(ERP資料!$G:$G, (MATCH(340, 輔助計算!$G$2:$G$801, 0)+1))&lt;=46.5,2,1)), IF(INDEX(ERP資料!$G:$G, (MATCH(340, 輔助計算!$G$2:$G$801, 0)+1))&lt;=790,3,IF(INDEX(ERP資料!$G:$G, (MATCH(340, 輔助計算!$G$2:$G$801, 0)+1))&lt;=1181,2,1))))=2,TEXT(INDEX(ERP資料!$G:$G, (MATCH(340, 輔助計算!$G$2:$G$801, 0)+1)),"0.##")&amp;"+"&amp;TEXT(INDEX(ERP資料!$G:$G, (MATCH(340, 輔助計算!$G$2:$G$801, 0)+1)),"0.##"),TEXT(INDEX(ERP資料!$G:$G, (MATCH(340, 輔助計算!$G$2:$G$801, 0)+1)),"0.##")&amp;"+"&amp;TEXT(INDEX(ERP資料!$G:$G, (MATCH(340, 輔助計算!$G$2:$G$801, 0)+1)),"0.##")&amp;"+"&amp;TEXT(INDEX(ERP資料!$G:$G, (MATCH(340, 輔助計算!$G$2:$G$801, 0)+1)),"0.##"))))&amp;"-1")), ""), "")</f>
        <v/>
      </c>
      <c r="K341" s="16" t="n"/>
      <c r="L341" s="14">
        <f>IFERROR(IF(AND(IFERROR(INDEX(ERP資料!$A:$A, (MATCH(340, 輔助計算!$G$2:$G$801, 0)+1)), "")&lt;&gt;"", IFERROR(INDEX(ERP資料!$A:$A, (MATCH(340, 輔助計算!$G$2:$G$801, 0)+1)), "")&lt;&gt;IFERROR(INDEX(ERP資料!$A:$A, MATCH(339, 輔助計算!$G$2:$G$801, 0)+1), "")), INDEX(ERP資料!$B:$B, (MATCH(340, 輔助計算!$G$2:$G$801, 0)+1)), ""), "")</f>
        <v/>
      </c>
      <c r="M341" s="17" t="n"/>
    </row>
    <row r="342">
      <c r="A342" s="10">
        <f>IFERROR(IF(AND(IFERROR(INDEX(ERP資料!$A:$A, (MATCH(341, 輔助計算!$G$2:$G$801, 0)+1)), "")&lt;&gt;"", IFERROR(INDEX(ERP資料!$A:$A, (MATCH(341, 輔助計算!$G$2:$G$801, 0)+1)), "")&lt;&gt;IFERROR(INDEX(ERP資料!$A:$A, MATCH(340, 輔助計算!$G$2:$G$801, 0)+1), "")), IFERROR(INDEX(ERP資料!$A:$A, (MATCH(341, 輔助計算!$G$2:$G$801, 0)+1)), ""), ""), "")</f>
        <v/>
      </c>
      <c r="B342" s="10">
        <f>IFERROR(IF(AND(IFERROR(INDEX(ERP資料!$A:$A, (MATCH(341, 輔助計算!$G$2:$G$801, 0)+1)), "")&lt;&gt;"", IFERROR(INDEX(ERP資料!$A:$A, (MATCH(341, 輔助計算!$G$2:$G$801, 0)+1)), "")&lt;&gt;IFERROR(INDEX(ERP資料!$A:$A, MATCH(340, 輔助計算!$G$2:$G$801, 0)+1), "")), INDEX(ERP資料!$S:$S, (MATCH(341, 輔助計算!$G$2:$G$801, 0)+1)), ""), "")</f>
        <v/>
      </c>
      <c r="C342" s="19">
        <f>IFERROR(IF(AND(IFERROR(INDEX(ERP資料!$A:$A, (MATCH(341, 輔助計算!$G$2:$G$801, 0)+1)), "")&lt;&gt;"", IFERROR(INDEX(ERP資料!$A:$A, (MATCH(341, 輔助計算!$G$2:$G$801, 0)+1)), "")&lt;&gt;IFERROR(INDEX(ERP資料!$A:$A, MATCH(340, 輔助計算!$G$2:$G$801, 0)+1), "")), IFERROR(VLOOKUP(LEFT(INDEX(ERP資料!$S:$S, (MATCH(341, 輔助計算!$G$2:$G$801, 0)+1)), 4), 紙管對照表!$A:$C, 3, FALSE), ""), ""), "")</f>
        <v/>
      </c>
      <c r="D342" s="16" t="n"/>
      <c r="E342" s="10">
        <f>IFERROR(IF(INDEX(ERP資料!$H:$H, (MATCH(341, 輔助計算!$G$2:$G$801, 0)+1))="","",INDEX(ERP資料!$H:$H, (MATCH(341, 輔助計算!$G$2:$G$801, 0)+1))), "")</f>
        <v/>
      </c>
      <c r="F342" s="10">
        <f>IFERROR(IF(INDEX(ERP資料!$E:$E, (MATCH(341, 輔助計算!$G$2:$G$801, 0)+1))="","",TRIM(INDEX(ERP資料!$E:$E, (MATCH(341, 輔助計算!$G$2:$G$801, 0)+1)))), "")</f>
        <v/>
      </c>
      <c r="G342" s="10">
        <f>IFERROR(IF(INDEX(ERP資料!$F:$F, (MATCH(341, 輔助計算!$G$2:$G$801, 0)+1))="","",INDEX(ERP資料!$F:$F, (MATCH(341, 輔助計算!$G$2:$G$801, 0)+1))), "")</f>
        <v/>
      </c>
      <c r="H342" s="10">
        <f>IFERROR(IF(INDEX(ERP資料!$G:$G, (MATCH(341, 輔助計算!$G$2:$G$801, 0)+1))="","",INDEX(ERP資料!$G:$G, (MATCH(341, 輔助計算!$G$2:$G$801, 0)+1))), "")</f>
        <v/>
      </c>
      <c r="I342" s="15">
        <f>IFERROR(INDEX(輔助計算!$D:$D, (MATCH(341, 輔助計算!$G$2:$G$801, 0)+1)), "")</f>
        <v/>
      </c>
      <c r="J342" s="15">
        <f>IFERROR(IF(AND(INDEX(輔助計算!$D:$D, (MATCH(341, 輔助計算!$G$2:$G$801, 0)+1))&lt;&gt;"", INDEX(ERP資料!$G:$G, (MATCH(341, 輔助計算!$G$2:$G$801, 0)+1))&lt;&gt;""), TRIM(IF(INT(INDEX(輔助計算!$D:$D, (MATCH(341, 輔助計算!$G$2:$G$801, 0)+1))/IF(INDEX(ERP資料!$G:$G, (MATCH(341, 輔助計算!$G$2:$G$801, 0)+1))&lt;100, IF(INDEX(ERP資料!$G:$G, (MATCH(341, 輔助計算!$G$2:$G$801, 0)+1))&lt;=31,3,IF(INDEX(ERP資料!$G:$G, (MATCH(341, 輔助計算!$G$2:$G$801, 0)+1))&lt;=46.5,2,1)), IF(INDEX(ERP資料!$G:$G, (MATCH(341, 輔助計算!$G$2:$G$801, 0)+1))&lt;=790,3,IF(INDEX(ERP資料!$G:$G, (MATCH(341, 輔助計算!$G$2:$G$801, 0)+1))&lt;=1181,2,1))))&gt;0, IF(IF(INDEX(ERP資料!$G:$G, (MATCH(341, 輔助計算!$G$2:$G$801, 0)+1))&lt;100, IF(INDEX(ERP資料!$G:$G, (MATCH(341, 輔助計算!$G$2:$G$801, 0)+1))&lt;=31,3,IF(INDEX(ERP資料!$G:$G, (MATCH(341, 輔助計算!$G$2:$G$801, 0)+1))&lt;=46.5,2,1)), IF(INDEX(ERP資料!$G:$G, (MATCH(341, 輔助計算!$G$2:$G$801, 0)+1))&lt;=790,3,IF(INDEX(ERP資料!$G:$G, (MATCH(341, 輔助計算!$G$2:$G$801, 0)+1))&lt;=1181,2,1)))=1,TEXT(INDEX(ERP資料!$G:$G, (MATCH(341, 輔助計算!$G$2:$G$801, 0)+1)),"0.##"),IF(IF(INDEX(ERP資料!$G:$G, (MATCH(341, 輔助計算!$G$2:$G$801, 0)+1))&lt;100, IF(INDEX(ERP資料!$G:$G, (MATCH(341, 輔助計算!$G$2:$G$801, 0)+1))&lt;=31,3,IF(INDEX(ERP資料!$G:$G, (MATCH(341, 輔助計算!$G$2:$G$801, 0)+1))&lt;=46.5,2,1)), IF(INDEX(ERP資料!$G:$G, (MATCH(341, 輔助計算!$G$2:$G$801, 0)+1))&lt;=790,3,IF(INDEX(ERP資料!$G:$G, (MATCH(341, 輔助計算!$G$2:$G$801, 0)+1))&lt;=1181,2,1)))=2,TEXT(INDEX(ERP資料!$G:$G, (MATCH(341, 輔助計算!$G$2:$G$801, 0)+1)),"0.##")&amp;"+"&amp;TEXT(INDEX(ERP資料!$G:$G, (MATCH(341, 輔助計算!$G$2:$G$801, 0)+1)),"0.##"),TEXT(INDEX(ERP資料!$G:$G, (MATCH(341, 輔助計算!$G$2:$G$801, 0)+1)),"0.##")&amp;"+"&amp;TEXT(INDEX(ERP資料!$G:$G, (MATCH(341, 輔助計算!$G$2:$G$801, 0)+1)),"0.##")&amp;"+"&amp;TEXT(INDEX(ERP資料!$G:$G, (MATCH(341, 輔助計算!$G$2:$G$801, 0)+1)),"0.##")))&amp;"-"&amp;INT(INDEX(輔助計算!$D:$D, (MATCH(341, 輔助計算!$G$2:$G$801, 0)+1))/IF(INDEX(ERP資料!$G:$G, (MATCH(341, 輔助計算!$G$2:$G$801, 0)+1))&lt;100, IF(INDEX(ERP資料!$G:$G, (MATCH(341, 輔助計算!$G$2:$G$801, 0)+1))&lt;=31,3,IF(INDEX(ERP資料!$G:$G, (MATCH(341, 輔助計算!$G$2:$G$801, 0)+1))&lt;=46.5,2,1)), IF(INDEX(ERP資料!$G:$G, (MATCH(341, 輔助計算!$G$2:$G$801, 0)+1))&lt;=790,3,IF(INDEX(ERP資料!$G:$G, (MATCH(341, 輔助計算!$G$2:$G$801, 0)+1))&lt;=1181,2,1)))), "")&amp;IF(AND(IF(INT(INDEX(輔助計算!$D:$D, (MATCH(341, 輔助計算!$G$2:$G$801, 0)+1))/IF(INDEX(ERP資料!$G:$G, (MATCH(341, 輔助計算!$G$2:$G$801, 0)+1))&lt;100, IF(INDEX(ERP資料!$G:$G, (MATCH(341, 輔助計算!$G$2:$G$801, 0)+1))&lt;=31,3,IF(INDEX(ERP資料!$G:$G, (MATCH(341, 輔助計算!$G$2:$G$801, 0)+1))&lt;=46.5,2,1)), IF(INDEX(ERP資料!$G:$G, (MATCH(341, 輔助計算!$G$2:$G$801, 0)+1))&lt;=790,3,IF(INDEX(ERP資料!$G:$G, (MATCH(341, 輔助計算!$G$2:$G$801, 0)+1))&lt;=1181,2,1))))&gt;0, IF(IF(INDEX(ERP資料!$G:$G, (MATCH(341, 輔助計算!$G$2:$G$801, 0)+1))&lt;100, IF(INDEX(ERP資料!$G:$G, (MATCH(341, 輔助計算!$G$2:$G$801, 0)+1))&lt;=31,3,IF(INDEX(ERP資料!$G:$G, (MATCH(341, 輔助計算!$G$2:$G$801, 0)+1))&lt;=46.5,2,1)), IF(INDEX(ERP資料!$G:$G, (MATCH(341, 輔助計算!$G$2:$G$801, 0)+1))&lt;=790,3,IF(INDEX(ERP資料!$G:$G, (MATCH(341, 輔助計算!$G$2:$G$801, 0)+1))&lt;=1181,2,1)))=1,TEXT(INDEX(ERP資料!$G:$G, (MATCH(341, 輔助計算!$G$2:$G$801, 0)+1)),"0.##"),IF(IF(INDEX(ERP資料!$G:$G, (MATCH(341, 輔助計算!$G$2:$G$801, 0)+1))&lt;100, IF(INDEX(ERP資料!$G:$G, (MATCH(341, 輔助計算!$G$2:$G$801, 0)+1))&lt;=31,3,IF(INDEX(ERP資料!$G:$G, (MATCH(341, 輔助計算!$G$2:$G$801, 0)+1))&lt;=46.5,2,1)), IF(INDEX(ERP資料!$G:$G, (MATCH(341, 輔助計算!$G$2:$G$801, 0)+1))&lt;=790,3,IF(INDEX(ERP資料!$G:$G, (MATCH(341, 輔助計算!$G$2:$G$801, 0)+1))&lt;=1181,2,1)))=2,TEXT(INDEX(ERP資料!$G:$G, (MATCH(341, 輔助計算!$G$2:$G$801, 0)+1)),"0.##")&amp;"+"&amp;TEXT(INDEX(ERP資料!$G:$G, (MATCH(341, 輔助計算!$G$2:$G$801, 0)+1)),"0.##"),TEXT(INDEX(ERP資料!$G:$G, (MATCH(341, 輔助計算!$G$2:$G$801, 0)+1)),"0.##")&amp;"+"&amp;TEXT(INDEX(ERP資料!$G:$G, (MATCH(341, 輔助計算!$G$2:$G$801, 0)+1)),"0.##")&amp;"+"&amp;TEXT(INDEX(ERP資料!$G:$G, (MATCH(341, 輔助計算!$G$2:$G$801, 0)+1)),"0.##")))&amp;"-"&amp;INT(INDEX(輔助計算!$D:$D, (MATCH(341, 輔助計算!$G$2:$G$801, 0)+1))/IF(INDEX(ERP資料!$G:$G, (MATCH(341, 輔助計算!$G$2:$G$801, 0)+1))&lt;100, IF(INDEX(ERP資料!$G:$G, (MATCH(341, 輔助計算!$G$2:$G$801, 0)+1))&lt;=31,3,IF(INDEX(ERP資料!$G:$G, (MATCH(341, 輔助計算!$G$2:$G$801, 0)+1))&lt;=46.5,2,1)), IF(INDEX(ERP資料!$G:$G, (MATCH(341, 輔助計算!$G$2:$G$801, 0)+1))&lt;=790,3,IF(INDEX(ERP資料!$G:$G, (MATCH(341, 輔助計算!$G$2:$G$801, 0)+1))&lt;=1181,2,1)))), "")&lt;&gt;"",IF(MOD(INDEX(輔助計算!$D:$D, (MATCH(341, 輔助計算!$G$2:$G$801, 0)+1)),IF(INDEX(ERP資料!$G:$G, (MATCH(341, 輔助計算!$G$2:$G$801, 0)+1))&lt;100, IF(INDEX(ERP資料!$G:$G, (MATCH(341, 輔助計算!$G$2:$G$801, 0)+1))&lt;=31,3,IF(INDEX(ERP資料!$G:$G, (MATCH(341, 輔助計算!$G$2:$G$801, 0)+1))&lt;=46.5,2,1)), IF(INDEX(ERP資料!$G:$G, (MATCH(341, 輔助計算!$G$2:$G$801, 0)+1))&lt;=790,3,IF(INDEX(ERP資料!$G:$G, (MATCH(341, 輔助計算!$G$2:$G$801, 0)+1))&lt;=1181,2,1))))=0,"",IF(MOD(INDEX(輔助計算!$D:$D, (MATCH(341, 輔助計算!$G$2:$G$801, 0)+1)),IF(INDEX(ERP資料!$G:$G, (MATCH(341, 輔助計算!$G$2:$G$801, 0)+1))&lt;100, IF(INDEX(ERP資料!$G:$G, (MATCH(341, 輔助計算!$G$2:$G$801, 0)+1))&lt;=31,3,IF(INDEX(ERP資料!$G:$G, (MATCH(341, 輔助計算!$G$2:$G$801, 0)+1))&lt;=46.5,2,1)), IF(INDEX(ERP資料!$G:$G, (MATCH(341, 輔助計算!$G$2:$G$801, 0)+1))&lt;=790,3,IF(INDEX(ERP資料!$G:$G, (MATCH(341, 輔助計算!$G$2:$G$801, 0)+1))&lt;=1181,2,1))))=0,"",IF(MOD(INDEX(輔助計算!$D:$D, (MATCH(341, 輔助計算!$G$2:$G$801, 0)+1)),IF(INDEX(ERP資料!$G:$G, (MATCH(341, 輔助計算!$G$2:$G$801, 0)+1))&lt;100, IF(INDEX(ERP資料!$G:$G, (MATCH(341, 輔助計算!$G$2:$G$801, 0)+1))&lt;=31,3,IF(INDEX(ERP資料!$G:$G, (MATCH(341, 輔助計算!$G$2:$G$801, 0)+1))&lt;=46.5,2,1)), IF(INDEX(ERP資料!$G:$G, (MATCH(341, 輔助計算!$G$2:$G$801, 0)+1))&lt;=790,3,IF(INDEX(ERP資料!$G:$G, (MATCH(341, 輔助計算!$G$2:$G$801, 0)+1))&lt;=1181,2,1))))=1,TEXT(INDEX(ERP資料!$G:$G, (MATCH(341, 輔助計算!$G$2:$G$801, 0)+1)),"0.##"),IF(MOD(INDEX(輔助計算!$D:$D, (MATCH(341, 輔助計算!$G$2:$G$801, 0)+1)),IF(INDEX(ERP資料!$G:$G, (MATCH(341, 輔助計算!$G$2:$G$801, 0)+1))&lt;100, IF(INDEX(ERP資料!$G:$G, (MATCH(341, 輔助計算!$G$2:$G$801, 0)+1))&lt;=31,3,IF(INDEX(ERP資料!$G:$G, (MATCH(341, 輔助計算!$G$2:$G$801, 0)+1))&lt;=46.5,2,1)), IF(INDEX(ERP資料!$G:$G, (MATCH(341, 輔助計算!$G$2:$G$801, 0)+1))&lt;=790,3,IF(INDEX(ERP資料!$G:$G, (MATCH(341, 輔助計算!$G$2:$G$801, 0)+1))&lt;=1181,2,1))))=2,TEXT(INDEX(ERP資料!$G:$G, (MATCH(341, 輔助計算!$G$2:$G$801, 0)+1)),"0.##")&amp;"+"&amp;TEXT(INDEX(ERP資料!$G:$G, (MATCH(341, 輔助計算!$G$2:$G$801, 0)+1)),"0.##"),TEXT(INDEX(ERP資料!$G:$G, (MATCH(341, 輔助計算!$G$2:$G$801, 0)+1)),"0.##")&amp;"+"&amp;TEXT(INDEX(ERP資料!$G:$G, (MATCH(341, 輔助計算!$G$2:$G$801, 0)+1)),"0.##")&amp;"+"&amp;TEXT(INDEX(ERP資料!$G:$G, (MATCH(341, 輔助計算!$G$2:$G$801, 0)+1)),"0.##"))))&amp;"-1")&lt;&gt;""),"  ","")&amp;IF(MOD(INDEX(輔助計算!$D:$D, (MATCH(341, 輔助計算!$G$2:$G$801, 0)+1)),IF(INDEX(ERP資料!$G:$G, (MATCH(341, 輔助計算!$G$2:$G$801, 0)+1))&lt;100, IF(INDEX(ERP資料!$G:$G, (MATCH(341, 輔助計算!$G$2:$G$801, 0)+1))&lt;=31,3,IF(INDEX(ERP資料!$G:$G, (MATCH(341, 輔助計算!$G$2:$G$801, 0)+1))&lt;=46.5,2,1)), IF(INDEX(ERP資料!$G:$G, (MATCH(341, 輔助計算!$G$2:$G$801, 0)+1))&lt;=790,3,IF(INDEX(ERP資料!$G:$G, (MATCH(341, 輔助計算!$G$2:$G$801, 0)+1))&lt;=1181,2,1))))=0,"",IF(MOD(INDEX(輔助計算!$D:$D, (MATCH(341, 輔助計算!$G$2:$G$801, 0)+1)),IF(INDEX(ERP資料!$G:$G, (MATCH(341, 輔助計算!$G$2:$G$801, 0)+1))&lt;100, IF(INDEX(ERP資料!$G:$G, (MATCH(341, 輔助計算!$G$2:$G$801, 0)+1))&lt;=31,3,IF(INDEX(ERP資料!$G:$G, (MATCH(341, 輔助計算!$G$2:$G$801, 0)+1))&lt;=46.5,2,1)), IF(INDEX(ERP資料!$G:$G, (MATCH(341, 輔助計算!$G$2:$G$801, 0)+1))&lt;=790,3,IF(INDEX(ERP資料!$G:$G, (MATCH(341, 輔助計算!$G$2:$G$801, 0)+1))&lt;=1181,2,1))))=0,"",IF(MOD(INDEX(輔助計算!$D:$D, (MATCH(341, 輔助計算!$G$2:$G$801, 0)+1)),IF(INDEX(ERP資料!$G:$G, (MATCH(341, 輔助計算!$G$2:$G$801, 0)+1))&lt;100, IF(INDEX(ERP資料!$G:$G, (MATCH(341, 輔助計算!$G$2:$G$801, 0)+1))&lt;=31,3,IF(INDEX(ERP資料!$G:$G, (MATCH(341, 輔助計算!$G$2:$G$801, 0)+1))&lt;=46.5,2,1)), IF(INDEX(ERP資料!$G:$G, (MATCH(341, 輔助計算!$G$2:$G$801, 0)+1))&lt;=790,3,IF(INDEX(ERP資料!$G:$G, (MATCH(341, 輔助計算!$G$2:$G$801, 0)+1))&lt;=1181,2,1))))=1,TEXT(INDEX(ERP資料!$G:$G, (MATCH(341, 輔助計算!$G$2:$G$801, 0)+1)),"0.##"),IF(MOD(INDEX(輔助計算!$D:$D, (MATCH(341, 輔助計算!$G$2:$G$801, 0)+1)),IF(INDEX(ERP資料!$G:$G, (MATCH(341, 輔助計算!$G$2:$G$801, 0)+1))&lt;100, IF(INDEX(ERP資料!$G:$G, (MATCH(341, 輔助計算!$G$2:$G$801, 0)+1))&lt;=31,3,IF(INDEX(ERP資料!$G:$G, (MATCH(341, 輔助計算!$G$2:$G$801, 0)+1))&lt;=46.5,2,1)), IF(INDEX(ERP資料!$G:$G, (MATCH(341, 輔助計算!$G$2:$G$801, 0)+1))&lt;=790,3,IF(INDEX(ERP資料!$G:$G, (MATCH(341, 輔助計算!$G$2:$G$801, 0)+1))&lt;=1181,2,1))))=2,TEXT(INDEX(ERP資料!$G:$G, (MATCH(341, 輔助計算!$G$2:$G$801, 0)+1)),"0.##")&amp;"+"&amp;TEXT(INDEX(ERP資料!$G:$G, (MATCH(341, 輔助計算!$G$2:$G$801, 0)+1)),"0.##"),TEXT(INDEX(ERP資料!$G:$G, (MATCH(341, 輔助計算!$G$2:$G$801, 0)+1)),"0.##")&amp;"+"&amp;TEXT(INDEX(ERP資料!$G:$G, (MATCH(341, 輔助計算!$G$2:$G$801, 0)+1)),"0.##")&amp;"+"&amp;TEXT(INDEX(ERP資料!$G:$G, (MATCH(341, 輔助計算!$G$2:$G$801, 0)+1)),"0.##"))))&amp;"-1")), ""), "")</f>
        <v/>
      </c>
      <c r="K342" s="16" t="n"/>
      <c r="L342" s="14">
        <f>IFERROR(IF(AND(IFERROR(INDEX(ERP資料!$A:$A, (MATCH(341, 輔助計算!$G$2:$G$801, 0)+1)), "")&lt;&gt;"", IFERROR(INDEX(ERP資料!$A:$A, (MATCH(341, 輔助計算!$G$2:$G$801, 0)+1)), "")&lt;&gt;IFERROR(INDEX(ERP資料!$A:$A, MATCH(340, 輔助計算!$G$2:$G$801, 0)+1), "")), INDEX(ERP資料!$B:$B, (MATCH(341, 輔助計算!$G$2:$G$801, 0)+1)), ""), "")</f>
        <v/>
      </c>
      <c r="M342" s="17" t="n"/>
    </row>
    <row r="343">
      <c r="A343" s="10">
        <f>IFERROR(IF(AND(IFERROR(INDEX(ERP資料!$A:$A, (MATCH(342, 輔助計算!$G$2:$G$801, 0)+1)), "")&lt;&gt;"", IFERROR(INDEX(ERP資料!$A:$A, (MATCH(342, 輔助計算!$G$2:$G$801, 0)+1)), "")&lt;&gt;IFERROR(INDEX(ERP資料!$A:$A, MATCH(341, 輔助計算!$G$2:$G$801, 0)+1), "")), IFERROR(INDEX(ERP資料!$A:$A, (MATCH(342, 輔助計算!$G$2:$G$801, 0)+1)), ""), ""), "")</f>
        <v/>
      </c>
      <c r="B343" s="10">
        <f>IFERROR(IF(AND(IFERROR(INDEX(ERP資料!$A:$A, (MATCH(342, 輔助計算!$G$2:$G$801, 0)+1)), "")&lt;&gt;"", IFERROR(INDEX(ERP資料!$A:$A, (MATCH(342, 輔助計算!$G$2:$G$801, 0)+1)), "")&lt;&gt;IFERROR(INDEX(ERP資料!$A:$A, MATCH(341, 輔助計算!$G$2:$G$801, 0)+1), "")), INDEX(ERP資料!$S:$S, (MATCH(342, 輔助計算!$G$2:$G$801, 0)+1)), ""), "")</f>
        <v/>
      </c>
      <c r="C343" s="19">
        <f>IFERROR(IF(AND(IFERROR(INDEX(ERP資料!$A:$A, (MATCH(342, 輔助計算!$G$2:$G$801, 0)+1)), "")&lt;&gt;"", IFERROR(INDEX(ERP資料!$A:$A, (MATCH(342, 輔助計算!$G$2:$G$801, 0)+1)), "")&lt;&gt;IFERROR(INDEX(ERP資料!$A:$A, MATCH(341, 輔助計算!$G$2:$G$801, 0)+1), "")), IFERROR(VLOOKUP(LEFT(INDEX(ERP資料!$S:$S, (MATCH(342, 輔助計算!$G$2:$G$801, 0)+1)), 4), 紙管對照表!$A:$C, 3, FALSE), ""), ""), "")</f>
        <v/>
      </c>
      <c r="D343" s="16" t="n"/>
      <c r="E343" s="10">
        <f>IFERROR(IF(INDEX(ERP資料!$H:$H, (MATCH(342, 輔助計算!$G$2:$G$801, 0)+1))="","",INDEX(ERP資料!$H:$H, (MATCH(342, 輔助計算!$G$2:$G$801, 0)+1))), "")</f>
        <v/>
      </c>
      <c r="F343" s="10">
        <f>IFERROR(IF(INDEX(ERP資料!$E:$E, (MATCH(342, 輔助計算!$G$2:$G$801, 0)+1))="","",TRIM(INDEX(ERP資料!$E:$E, (MATCH(342, 輔助計算!$G$2:$G$801, 0)+1)))), "")</f>
        <v/>
      </c>
      <c r="G343" s="10">
        <f>IFERROR(IF(INDEX(ERP資料!$F:$F, (MATCH(342, 輔助計算!$G$2:$G$801, 0)+1))="","",INDEX(ERP資料!$F:$F, (MATCH(342, 輔助計算!$G$2:$G$801, 0)+1))), "")</f>
        <v/>
      </c>
      <c r="H343" s="10">
        <f>IFERROR(IF(INDEX(ERP資料!$G:$G, (MATCH(342, 輔助計算!$G$2:$G$801, 0)+1))="","",INDEX(ERP資料!$G:$G, (MATCH(342, 輔助計算!$G$2:$G$801, 0)+1))), "")</f>
        <v/>
      </c>
      <c r="I343" s="15">
        <f>IFERROR(INDEX(輔助計算!$D:$D, (MATCH(342, 輔助計算!$G$2:$G$801, 0)+1)), "")</f>
        <v/>
      </c>
      <c r="J343" s="15">
        <f>IFERROR(IF(AND(INDEX(輔助計算!$D:$D, (MATCH(342, 輔助計算!$G$2:$G$801, 0)+1))&lt;&gt;"", INDEX(ERP資料!$G:$G, (MATCH(342, 輔助計算!$G$2:$G$801, 0)+1))&lt;&gt;""), TRIM(IF(INT(INDEX(輔助計算!$D:$D, (MATCH(342, 輔助計算!$G$2:$G$801, 0)+1))/IF(INDEX(ERP資料!$G:$G, (MATCH(342, 輔助計算!$G$2:$G$801, 0)+1))&lt;100, IF(INDEX(ERP資料!$G:$G, (MATCH(342, 輔助計算!$G$2:$G$801, 0)+1))&lt;=31,3,IF(INDEX(ERP資料!$G:$G, (MATCH(342, 輔助計算!$G$2:$G$801, 0)+1))&lt;=46.5,2,1)), IF(INDEX(ERP資料!$G:$G, (MATCH(342, 輔助計算!$G$2:$G$801, 0)+1))&lt;=790,3,IF(INDEX(ERP資料!$G:$G, (MATCH(342, 輔助計算!$G$2:$G$801, 0)+1))&lt;=1181,2,1))))&gt;0, IF(IF(INDEX(ERP資料!$G:$G, (MATCH(342, 輔助計算!$G$2:$G$801, 0)+1))&lt;100, IF(INDEX(ERP資料!$G:$G, (MATCH(342, 輔助計算!$G$2:$G$801, 0)+1))&lt;=31,3,IF(INDEX(ERP資料!$G:$G, (MATCH(342, 輔助計算!$G$2:$G$801, 0)+1))&lt;=46.5,2,1)), IF(INDEX(ERP資料!$G:$G, (MATCH(342, 輔助計算!$G$2:$G$801, 0)+1))&lt;=790,3,IF(INDEX(ERP資料!$G:$G, (MATCH(342, 輔助計算!$G$2:$G$801, 0)+1))&lt;=1181,2,1)))=1,TEXT(INDEX(ERP資料!$G:$G, (MATCH(342, 輔助計算!$G$2:$G$801, 0)+1)),"0.##"),IF(IF(INDEX(ERP資料!$G:$G, (MATCH(342, 輔助計算!$G$2:$G$801, 0)+1))&lt;100, IF(INDEX(ERP資料!$G:$G, (MATCH(342, 輔助計算!$G$2:$G$801, 0)+1))&lt;=31,3,IF(INDEX(ERP資料!$G:$G, (MATCH(342, 輔助計算!$G$2:$G$801, 0)+1))&lt;=46.5,2,1)), IF(INDEX(ERP資料!$G:$G, (MATCH(342, 輔助計算!$G$2:$G$801, 0)+1))&lt;=790,3,IF(INDEX(ERP資料!$G:$G, (MATCH(342, 輔助計算!$G$2:$G$801, 0)+1))&lt;=1181,2,1)))=2,TEXT(INDEX(ERP資料!$G:$G, (MATCH(342, 輔助計算!$G$2:$G$801, 0)+1)),"0.##")&amp;"+"&amp;TEXT(INDEX(ERP資料!$G:$G, (MATCH(342, 輔助計算!$G$2:$G$801, 0)+1)),"0.##"),TEXT(INDEX(ERP資料!$G:$G, (MATCH(342, 輔助計算!$G$2:$G$801, 0)+1)),"0.##")&amp;"+"&amp;TEXT(INDEX(ERP資料!$G:$G, (MATCH(342, 輔助計算!$G$2:$G$801, 0)+1)),"0.##")&amp;"+"&amp;TEXT(INDEX(ERP資料!$G:$G, (MATCH(342, 輔助計算!$G$2:$G$801, 0)+1)),"0.##")))&amp;"-"&amp;INT(INDEX(輔助計算!$D:$D, (MATCH(342, 輔助計算!$G$2:$G$801, 0)+1))/IF(INDEX(ERP資料!$G:$G, (MATCH(342, 輔助計算!$G$2:$G$801, 0)+1))&lt;100, IF(INDEX(ERP資料!$G:$G, (MATCH(342, 輔助計算!$G$2:$G$801, 0)+1))&lt;=31,3,IF(INDEX(ERP資料!$G:$G, (MATCH(342, 輔助計算!$G$2:$G$801, 0)+1))&lt;=46.5,2,1)), IF(INDEX(ERP資料!$G:$G, (MATCH(342, 輔助計算!$G$2:$G$801, 0)+1))&lt;=790,3,IF(INDEX(ERP資料!$G:$G, (MATCH(342, 輔助計算!$G$2:$G$801, 0)+1))&lt;=1181,2,1)))), "")&amp;IF(AND(IF(INT(INDEX(輔助計算!$D:$D, (MATCH(342, 輔助計算!$G$2:$G$801, 0)+1))/IF(INDEX(ERP資料!$G:$G, (MATCH(342, 輔助計算!$G$2:$G$801, 0)+1))&lt;100, IF(INDEX(ERP資料!$G:$G, (MATCH(342, 輔助計算!$G$2:$G$801, 0)+1))&lt;=31,3,IF(INDEX(ERP資料!$G:$G, (MATCH(342, 輔助計算!$G$2:$G$801, 0)+1))&lt;=46.5,2,1)), IF(INDEX(ERP資料!$G:$G, (MATCH(342, 輔助計算!$G$2:$G$801, 0)+1))&lt;=790,3,IF(INDEX(ERP資料!$G:$G, (MATCH(342, 輔助計算!$G$2:$G$801, 0)+1))&lt;=1181,2,1))))&gt;0, IF(IF(INDEX(ERP資料!$G:$G, (MATCH(342, 輔助計算!$G$2:$G$801, 0)+1))&lt;100, IF(INDEX(ERP資料!$G:$G, (MATCH(342, 輔助計算!$G$2:$G$801, 0)+1))&lt;=31,3,IF(INDEX(ERP資料!$G:$G, (MATCH(342, 輔助計算!$G$2:$G$801, 0)+1))&lt;=46.5,2,1)), IF(INDEX(ERP資料!$G:$G, (MATCH(342, 輔助計算!$G$2:$G$801, 0)+1))&lt;=790,3,IF(INDEX(ERP資料!$G:$G, (MATCH(342, 輔助計算!$G$2:$G$801, 0)+1))&lt;=1181,2,1)))=1,TEXT(INDEX(ERP資料!$G:$G, (MATCH(342, 輔助計算!$G$2:$G$801, 0)+1)),"0.##"),IF(IF(INDEX(ERP資料!$G:$G, (MATCH(342, 輔助計算!$G$2:$G$801, 0)+1))&lt;100, IF(INDEX(ERP資料!$G:$G, (MATCH(342, 輔助計算!$G$2:$G$801, 0)+1))&lt;=31,3,IF(INDEX(ERP資料!$G:$G, (MATCH(342, 輔助計算!$G$2:$G$801, 0)+1))&lt;=46.5,2,1)), IF(INDEX(ERP資料!$G:$G, (MATCH(342, 輔助計算!$G$2:$G$801, 0)+1))&lt;=790,3,IF(INDEX(ERP資料!$G:$G, (MATCH(342, 輔助計算!$G$2:$G$801, 0)+1))&lt;=1181,2,1)))=2,TEXT(INDEX(ERP資料!$G:$G, (MATCH(342, 輔助計算!$G$2:$G$801, 0)+1)),"0.##")&amp;"+"&amp;TEXT(INDEX(ERP資料!$G:$G, (MATCH(342, 輔助計算!$G$2:$G$801, 0)+1)),"0.##"),TEXT(INDEX(ERP資料!$G:$G, (MATCH(342, 輔助計算!$G$2:$G$801, 0)+1)),"0.##")&amp;"+"&amp;TEXT(INDEX(ERP資料!$G:$G, (MATCH(342, 輔助計算!$G$2:$G$801, 0)+1)),"0.##")&amp;"+"&amp;TEXT(INDEX(ERP資料!$G:$G, (MATCH(342, 輔助計算!$G$2:$G$801, 0)+1)),"0.##")))&amp;"-"&amp;INT(INDEX(輔助計算!$D:$D, (MATCH(342, 輔助計算!$G$2:$G$801, 0)+1))/IF(INDEX(ERP資料!$G:$G, (MATCH(342, 輔助計算!$G$2:$G$801, 0)+1))&lt;100, IF(INDEX(ERP資料!$G:$G, (MATCH(342, 輔助計算!$G$2:$G$801, 0)+1))&lt;=31,3,IF(INDEX(ERP資料!$G:$G, (MATCH(342, 輔助計算!$G$2:$G$801, 0)+1))&lt;=46.5,2,1)), IF(INDEX(ERP資料!$G:$G, (MATCH(342, 輔助計算!$G$2:$G$801, 0)+1))&lt;=790,3,IF(INDEX(ERP資料!$G:$G, (MATCH(342, 輔助計算!$G$2:$G$801, 0)+1))&lt;=1181,2,1)))), "")&lt;&gt;"",IF(MOD(INDEX(輔助計算!$D:$D, (MATCH(342, 輔助計算!$G$2:$G$801, 0)+1)),IF(INDEX(ERP資料!$G:$G, (MATCH(342, 輔助計算!$G$2:$G$801, 0)+1))&lt;100, IF(INDEX(ERP資料!$G:$G, (MATCH(342, 輔助計算!$G$2:$G$801, 0)+1))&lt;=31,3,IF(INDEX(ERP資料!$G:$G, (MATCH(342, 輔助計算!$G$2:$G$801, 0)+1))&lt;=46.5,2,1)), IF(INDEX(ERP資料!$G:$G, (MATCH(342, 輔助計算!$G$2:$G$801, 0)+1))&lt;=790,3,IF(INDEX(ERP資料!$G:$G, (MATCH(342, 輔助計算!$G$2:$G$801, 0)+1))&lt;=1181,2,1))))=0,"",IF(MOD(INDEX(輔助計算!$D:$D, (MATCH(342, 輔助計算!$G$2:$G$801, 0)+1)),IF(INDEX(ERP資料!$G:$G, (MATCH(342, 輔助計算!$G$2:$G$801, 0)+1))&lt;100, IF(INDEX(ERP資料!$G:$G, (MATCH(342, 輔助計算!$G$2:$G$801, 0)+1))&lt;=31,3,IF(INDEX(ERP資料!$G:$G, (MATCH(342, 輔助計算!$G$2:$G$801, 0)+1))&lt;=46.5,2,1)), IF(INDEX(ERP資料!$G:$G, (MATCH(342, 輔助計算!$G$2:$G$801, 0)+1))&lt;=790,3,IF(INDEX(ERP資料!$G:$G, (MATCH(342, 輔助計算!$G$2:$G$801, 0)+1))&lt;=1181,2,1))))=0,"",IF(MOD(INDEX(輔助計算!$D:$D, (MATCH(342, 輔助計算!$G$2:$G$801, 0)+1)),IF(INDEX(ERP資料!$G:$G, (MATCH(342, 輔助計算!$G$2:$G$801, 0)+1))&lt;100, IF(INDEX(ERP資料!$G:$G, (MATCH(342, 輔助計算!$G$2:$G$801, 0)+1))&lt;=31,3,IF(INDEX(ERP資料!$G:$G, (MATCH(342, 輔助計算!$G$2:$G$801, 0)+1))&lt;=46.5,2,1)), IF(INDEX(ERP資料!$G:$G, (MATCH(342, 輔助計算!$G$2:$G$801, 0)+1))&lt;=790,3,IF(INDEX(ERP資料!$G:$G, (MATCH(342, 輔助計算!$G$2:$G$801, 0)+1))&lt;=1181,2,1))))=1,TEXT(INDEX(ERP資料!$G:$G, (MATCH(342, 輔助計算!$G$2:$G$801, 0)+1)),"0.##"),IF(MOD(INDEX(輔助計算!$D:$D, (MATCH(342, 輔助計算!$G$2:$G$801, 0)+1)),IF(INDEX(ERP資料!$G:$G, (MATCH(342, 輔助計算!$G$2:$G$801, 0)+1))&lt;100, IF(INDEX(ERP資料!$G:$G, (MATCH(342, 輔助計算!$G$2:$G$801, 0)+1))&lt;=31,3,IF(INDEX(ERP資料!$G:$G, (MATCH(342, 輔助計算!$G$2:$G$801, 0)+1))&lt;=46.5,2,1)), IF(INDEX(ERP資料!$G:$G, (MATCH(342, 輔助計算!$G$2:$G$801, 0)+1))&lt;=790,3,IF(INDEX(ERP資料!$G:$G, (MATCH(342, 輔助計算!$G$2:$G$801, 0)+1))&lt;=1181,2,1))))=2,TEXT(INDEX(ERP資料!$G:$G, (MATCH(342, 輔助計算!$G$2:$G$801, 0)+1)),"0.##")&amp;"+"&amp;TEXT(INDEX(ERP資料!$G:$G, (MATCH(342, 輔助計算!$G$2:$G$801, 0)+1)),"0.##"),TEXT(INDEX(ERP資料!$G:$G, (MATCH(342, 輔助計算!$G$2:$G$801, 0)+1)),"0.##")&amp;"+"&amp;TEXT(INDEX(ERP資料!$G:$G, (MATCH(342, 輔助計算!$G$2:$G$801, 0)+1)),"0.##")&amp;"+"&amp;TEXT(INDEX(ERP資料!$G:$G, (MATCH(342, 輔助計算!$G$2:$G$801, 0)+1)),"0.##"))))&amp;"-1")&lt;&gt;""),"  ","")&amp;IF(MOD(INDEX(輔助計算!$D:$D, (MATCH(342, 輔助計算!$G$2:$G$801, 0)+1)),IF(INDEX(ERP資料!$G:$G, (MATCH(342, 輔助計算!$G$2:$G$801, 0)+1))&lt;100, IF(INDEX(ERP資料!$G:$G, (MATCH(342, 輔助計算!$G$2:$G$801, 0)+1))&lt;=31,3,IF(INDEX(ERP資料!$G:$G, (MATCH(342, 輔助計算!$G$2:$G$801, 0)+1))&lt;=46.5,2,1)), IF(INDEX(ERP資料!$G:$G, (MATCH(342, 輔助計算!$G$2:$G$801, 0)+1))&lt;=790,3,IF(INDEX(ERP資料!$G:$G, (MATCH(342, 輔助計算!$G$2:$G$801, 0)+1))&lt;=1181,2,1))))=0,"",IF(MOD(INDEX(輔助計算!$D:$D, (MATCH(342, 輔助計算!$G$2:$G$801, 0)+1)),IF(INDEX(ERP資料!$G:$G, (MATCH(342, 輔助計算!$G$2:$G$801, 0)+1))&lt;100, IF(INDEX(ERP資料!$G:$G, (MATCH(342, 輔助計算!$G$2:$G$801, 0)+1))&lt;=31,3,IF(INDEX(ERP資料!$G:$G, (MATCH(342, 輔助計算!$G$2:$G$801, 0)+1))&lt;=46.5,2,1)), IF(INDEX(ERP資料!$G:$G, (MATCH(342, 輔助計算!$G$2:$G$801, 0)+1))&lt;=790,3,IF(INDEX(ERP資料!$G:$G, (MATCH(342, 輔助計算!$G$2:$G$801, 0)+1))&lt;=1181,2,1))))=0,"",IF(MOD(INDEX(輔助計算!$D:$D, (MATCH(342, 輔助計算!$G$2:$G$801, 0)+1)),IF(INDEX(ERP資料!$G:$G, (MATCH(342, 輔助計算!$G$2:$G$801, 0)+1))&lt;100, IF(INDEX(ERP資料!$G:$G, (MATCH(342, 輔助計算!$G$2:$G$801, 0)+1))&lt;=31,3,IF(INDEX(ERP資料!$G:$G, (MATCH(342, 輔助計算!$G$2:$G$801, 0)+1))&lt;=46.5,2,1)), IF(INDEX(ERP資料!$G:$G, (MATCH(342, 輔助計算!$G$2:$G$801, 0)+1))&lt;=790,3,IF(INDEX(ERP資料!$G:$G, (MATCH(342, 輔助計算!$G$2:$G$801, 0)+1))&lt;=1181,2,1))))=1,TEXT(INDEX(ERP資料!$G:$G, (MATCH(342, 輔助計算!$G$2:$G$801, 0)+1)),"0.##"),IF(MOD(INDEX(輔助計算!$D:$D, (MATCH(342, 輔助計算!$G$2:$G$801, 0)+1)),IF(INDEX(ERP資料!$G:$G, (MATCH(342, 輔助計算!$G$2:$G$801, 0)+1))&lt;100, IF(INDEX(ERP資料!$G:$G, (MATCH(342, 輔助計算!$G$2:$G$801, 0)+1))&lt;=31,3,IF(INDEX(ERP資料!$G:$G, (MATCH(342, 輔助計算!$G$2:$G$801, 0)+1))&lt;=46.5,2,1)), IF(INDEX(ERP資料!$G:$G, (MATCH(342, 輔助計算!$G$2:$G$801, 0)+1))&lt;=790,3,IF(INDEX(ERP資料!$G:$G, (MATCH(342, 輔助計算!$G$2:$G$801, 0)+1))&lt;=1181,2,1))))=2,TEXT(INDEX(ERP資料!$G:$G, (MATCH(342, 輔助計算!$G$2:$G$801, 0)+1)),"0.##")&amp;"+"&amp;TEXT(INDEX(ERP資料!$G:$G, (MATCH(342, 輔助計算!$G$2:$G$801, 0)+1)),"0.##"),TEXT(INDEX(ERP資料!$G:$G, (MATCH(342, 輔助計算!$G$2:$G$801, 0)+1)),"0.##")&amp;"+"&amp;TEXT(INDEX(ERP資料!$G:$G, (MATCH(342, 輔助計算!$G$2:$G$801, 0)+1)),"0.##")&amp;"+"&amp;TEXT(INDEX(ERP資料!$G:$G, (MATCH(342, 輔助計算!$G$2:$G$801, 0)+1)),"0.##"))))&amp;"-1")), ""), "")</f>
        <v/>
      </c>
      <c r="K343" s="16" t="n"/>
      <c r="L343" s="14">
        <f>IFERROR(IF(AND(IFERROR(INDEX(ERP資料!$A:$A, (MATCH(342, 輔助計算!$G$2:$G$801, 0)+1)), "")&lt;&gt;"", IFERROR(INDEX(ERP資料!$A:$A, (MATCH(342, 輔助計算!$G$2:$G$801, 0)+1)), "")&lt;&gt;IFERROR(INDEX(ERP資料!$A:$A, MATCH(341, 輔助計算!$G$2:$G$801, 0)+1), "")), INDEX(ERP資料!$B:$B, (MATCH(342, 輔助計算!$G$2:$G$801, 0)+1)), ""), "")</f>
        <v/>
      </c>
      <c r="M343" s="17" t="n"/>
    </row>
    <row r="344">
      <c r="A344" s="10">
        <f>IFERROR(IF(AND(IFERROR(INDEX(ERP資料!$A:$A, (MATCH(343, 輔助計算!$G$2:$G$801, 0)+1)), "")&lt;&gt;"", IFERROR(INDEX(ERP資料!$A:$A, (MATCH(343, 輔助計算!$G$2:$G$801, 0)+1)), "")&lt;&gt;IFERROR(INDEX(ERP資料!$A:$A, MATCH(342, 輔助計算!$G$2:$G$801, 0)+1), "")), IFERROR(INDEX(ERP資料!$A:$A, (MATCH(343, 輔助計算!$G$2:$G$801, 0)+1)), ""), ""), "")</f>
        <v/>
      </c>
      <c r="B344" s="10">
        <f>IFERROR(IF(AND(IFERROR(INDEX(ERP資料!$A:$A, (MATCH(343, 輔助計算!$G$2:$G$801, 0)+1)), "")&lt;&gt;"", IFERROR(INDEX(ERP資料!$A:$A, (MATCH(343, 輔助計算!$G$2:$G$801, 0)+1)), "")&lt;&gt;IFERROR(INDEX(ERP資料!$A:$A, MATCH(342, 輔助計算!$G$2:$G$801, 0)+1), "")), INDEX(ERP資料!$S:$S, (MATCH(343, 輔助計算!$G$2:$G$801, 0)+1)), ""), "")</f>
        <v/>
      </c>
      <c r="C344" s="19">
        <f>IFERROR(IF(AND(IFERROR(INDEX(ERP資料!$A:$A, (MATCH(343, 輔助計算!$G$2:$G$801, 0)+1)), "")&lt;&gt;"", IFERROR(INDEX(ERP資料!$A:$A, (MATCH(343, 輔助計算!$G$2:$G$801, 0)+1)), "")&lt;&gt;IFERROR(INDEX(ERP資料!$A:$A, MATCH(342, 輔助計算!$G$2:$G$801, 0)+1), "")), IFERROR(VLOOKUP(LEFT(INDEX(ERP資料!$S:$S, (MATCH(343, 輔助計算!$G$2:$G$801, 0)+1)), 4), 紙管對照表!$A:$C, 3, FALSE), ""), ""), "")</f>
        <v/>
      </c>
      <c r="D344" s="16" t="n"/>
      <c r="E344" s="10">
        <f>IFERROR(IF(INDEX(ERP資料!$H:$H, (MATCH(343, 輔助計算!$G$2:$G$801, 0)+1))="","",INDEX(ERP資料!$H:$H, (MATCH(343, 輔助計算!$G$2:$G$801, 0)+1))), "")</f>
        <v/>
      </c>
      <c r="F344" s="10">
        <f>IFERROR(IF(INDEX(ERP資料!$E:$E, (MATCH(343, 輔助計算!$G$2:$G$801, 0)+1))="","",TRIM(INDEX(ERP資料!$E:$E, (MATCH(343, 輔助計算!$G$2:$G$801, 0)+1)))), "")</f>
        <v/>
      </c>
      <c r="G344" s="10">
        <f>IFERROR(IF(INDEX(ERP資料!$F:$F, (MATCH(343, 輔助計算!$G$2:$G$801, 0)+1))="","",INDEX(ERP資料!$F:$F, (MATCH(343, 輔助計算!$G$2:$G$801, 0)+1))), "")</f>
        <v/>
      </c>
      <c r="H344" s="10">
        <f>IFERROR(IF(INDEX(ERP資料!$G:$G, (MATCH(343, 輔助計算!$G$2:$G$801, 0)+1))="","",INDEX(ERP資料!$G:$G, (MATCH(343, 輔助計算!$G$2:$G$801, 0)+1))), "")</f>
        <v/>
      </c>
      <c r="I344" s="15">
        <f>IFERROR(INDEX(輔助計算!$D:$D, (MATCH(343, 輔助計算!$G$2:$G$801, 0)+1)), "")</f>
        <v/>
      </c>
      <c r="J344" s="15">
        <f>IFERROR(IF(AND(INDEX(輔助計算!$D:$D, (MATCH(343, 輔助計算!$G$2:$G$801, 0)+1))&lt;&gt;"", INDEX(ERP資料!$G:$G, (MATCH(343, 輔助計算!$G$2:$G$801, 0)+1))&lt;&gt;""), TRIM(IF(INT(INDEX(輔助計算!$D:$D, (MATCH(343, 輔助計算!$G$2:$G$801, 0)+1))/IF(INDEX(ERP資料!$G:$G, (MATCH(343, 輔助計算!$G$2:$G$801, 0)+1))&lt;100, IF(INDEX(ERP資料!$G:$G, (MATCH(343, 輔助計算!$G$2:$G$801, 0)+1))&lt;=31,3,IF(INDEX(ERP資料!$G:$G, (MATCH(343, 輔助計算!$G$2:$G$801, 0)+1))&lt;=46.5,2,1)), IF(INDEX(ERP資料!$G:$G, (MATCH(343, 輔助計算!$G$2:$G$801, 0)+1))&lt;=790,3,IF(INDEX(ERP資料!$G:$G, (MATCH(343, 輔助計算!$G$2:$G$801, 0)+1))&lt;=1181,2,1))))&gt;0, IF(IF(INDEX(ERP資料!$G:$G, (MATCH(343, 輔助計算!$G$2:$G$801, 0)+1))&lt;100, IF(INDEX(ERP資料!$G:$G, (MATCH(343, 輔助計算!$G$2:$G$801, 0)+1))&lt;=31,3,IF(INDEX(ERP資料!$G:$G, (MATCH(343, 輔助計算!$G$2:$G$801, 0)+1))&lt;=46.5,2,1)), IF(INDEX(ERP資料!$G:$G, (MATCH(343, 輔助計算!$G$2:$G$801, 0)+1))&lt;=790,3,IF(INDEX(ERP資料!$G:$G, (MATCH(343, 輔助計算!$G$2:$G$801, 0)+1))&lt;=1181,2,1)))=1,TEXT(INDEX(ERP資料!$G:$G, (MATCH(343, 輔助計算!$G$2:$G$801, 0)+1)),"0.##"),IF(IF(INDEX(ERP資料!$G:$G, (MATCH(343, 輔助計算!$G$2:$G$801, 0)+1))&lt;100, IF(INDEX(ERP資料!$G:$G, (MATCH(343, 輔助計算!$G$2:$G$801, 0)+1))&lt;=31,3,IF(INDEX(ERP資料!$G:$G, (MATCH(343, 輔助計算!$G$2:$G$801, 0)+1))&lt;=46.5,2,1)), IF(INDEX(ERP資料!$G:$G, (MATCH(343, 輔助計算!$G$2:$G$801, 0)+1))&lt;=790,3,IF(INDEX(ERP資料!$G:$G, (MATCH(343, 輔助計算!$G$2:$G$801, 0)+1))&lt;=1181,2,1)))=2,TEXT(INDEX(ERP資料!$G:$G, (MATCH(343, 輔助計算!$G$2:$G$801, 0)+1)),"0.##")&amp;"+"&amp;TEXT(INDEX(ERP資料!$G:$G, (MATCH(343, 輔助計算!$G$2:$G$801, 0)+1)),"0.##"),TEXT(INDEX(ERP資料!$G:$G, (MATCH(343, 輔助計算!$G$2:$G$801, 0)+1)),"0.##")&amp;"+"&amp;TEXT(INDEX(ERP資料!$G:$G, (MATCH(343, 輔助計算!$G$2:$G$801, 0)+1)),"0.##")&amp;"+"&amp;TEXT(INDEX(ERP資料!$G:$G, (MATCH(343, 輔助計算!$G$2:$G$801, 0)+1)),"0.##")))&amp;"-"&amp;INT(INDEX(輔助計算!$D:$D, (MATCH(343, 輔助計算!$G$2:$G$801, 0)+1))/IF(INDEX(ERP資料!$G:$G, (MATCH(343, 輔助計算!$G$2:$G$801, 0)+1))&lt;100, IF(INDEX(ERP資料!$G:$G, (MATCH(343, 輔助計算!$G$2:$G$801, 0)+1))&lt;=31,3,IF(INDEX(ERP資料!$G:$G, (MATCH(343, 輔助計算!$G$2:$G$801, 0)+1))&lt;=46.5,2,1)), IF(INDEX(ERP資料!$G:$G, (MATCH(343, 輔助計算!$G$2:$G$801, 0)+1))&lt;=790,3,IF(INDEX(ERP資料!$G:$G, (MATCH(343, 輔助計算!$G$2:$G$801, 0)+1))&lt;=1181,2,1)))), "")&amp;IF(AND(IF(INT(INDEX(輔助計算!$D:$D, (MATCH(343, 輔助計算!$G$2:$G$801, 0)+1))/IF(INDEX(ERP資料!$G:$G, (MATCH(343, 輔助計算!$G$2:$G$801, 0)+1))&lt;100, IF(INDEX(ERP資料!$G:$G, (MATCH(343, 輔助計算!$G$2:$G$801, 0)+1))&lt;=31,3,IF(INDEX(ERP資料!$G:$G, (MATCH(343, 輔助計算!$G$2:$G$801, 0)+1))&lt;=46.5,2,1)), IF(INDEX(ERP資料!$G:$G, (MATCH(343, 輔助計算!$G$2:$G$801, 0)+1))&lt;=790,3,IF(INDEX(ERP資料!$G:$G, (MATCH(343, 輔助計算!$G$2:$G$801, 0)+1))&lt;=1181,2,1))))&gt;0, IF(IF(INDEX(ERP資料!$G:$G, (MATCH(343, 輔助計算!$G$2:$G$801, 0)+1))&lt;100, IF(INDEX(ERP資料!$G:$G, (MATCH(343, 輔助計算!$G$2:$G$801, 0)+1))&lt;=31,3,IF(INDEX(ERP資料!$G:$G, (MATCH(343, 輔助計算!$G$2:$G$801, 0)+1))&lt;=46.5,2,1)), IF(INDEX(ERP資料!$G:$G, (MATCH(343, 輔助計算!$G$2:$G$801, 0)+1))&lt;=790,3,IF(INDEX(ERP資料!$G:$G, (MATCH(343, 輔助計算!$G$2:$G$801, 0)+1))&lt;=1181,2,1)))=1,TEXT(INDEX(ERP資料!$G:$G, (MATCH(343, 輔助計算!$G$2:$G$801, 0)+1)),"0.##"),IF(IF(INDEX(ERP資料!$G:$G, (MATCH(343, 輔助計算!$G$2:$G$801, 0)+1))&lt;100, IF(INDEX(ERP資料!$G:$G, (MATCH(343, 輔助計算!$G$2:$G$801, 0)+1))&lt;=31,3,IF(INDEX(ERP資料!$G:$G, (MATCH(343, 輔助計算!$G$2:$G$801, 0)+1))&lt;=46.5,2,1)), IF(INDEX(ERP資料!$G:$G, (MATCH(343, 輔助計算!$G$2:$G$801, 0)+1))&lt;=790,3,IF(INDEX(ERP資料!$G:$G, (MATCH(343, 輔助計算!$G$2:$G$801, 0)+1))&lt;=1181,2,1)))=2,TEXT(INDEX(ERP資料!$G:$G, (MATCH(343, 輔助計算!$G$2:$G$801, 0)+1)),"0.##")&amp;"+"&amp;TEXT(INDEX(ERP資料!$G:$G, (MATCH(343, 輔助計算!$G$2:$G$801, 0)+1)),"0.##"),TEXT(INDEX(ERP資料!$G:$G, (MATCH(343, 輔助計算!$G$2:$G$801, 0)+1)),"0.##")&amp;"+"&amp;TEXT(INDEX(ERP資料!$G:$G, (MATCH(343, 輔助計算!$G$2:$G$801, 0)+1)),"0.##")&amp;"+"&amp;TEXT(INDEX(ERP資料!$G:$G, (MATCH(343, 輔助計算!$G$2:$G$801, 0)+1)),"0.##")))&amp;"-"&amp;INT(INDEX(輔助計算!$D:$D, (MATCH(343, 輔助計算!$G$2:$G$801, 0)+1))/IF(INDEX(ERP資料!$G:$G, (MATCH(343, 輔助計算!$G$2:$G$801, 0)+1))&lt;100, IF(INDEX(ERP資料!$G:$G, (MATCH(343, 輔助計算!$G$2:$G$801, 0)+1))&lt;=31,3,IF(INDEX(ERP資料!$G:$G, (MATCH(343, 輔助計算!$G$2:$G$801, 0)+1))&lt;=46.5,2,1)), IF(INDEX(ERP資料!$G:$G, (MATCH(343, 輔助計算!$G$2:$G$801, 0)+1))&lt;=790,3,IF(INDEX(ERP資料!$G:$G, (MATCH(343, 輔助計算!$G$2:$G$801, 0)+1))&lt;=1181,2,1)))), "")&lt;&gt;"",IF(MOD(INDEX(輔助計算!$D:$D, (MATCH(343, 輔助計算!$G$2:$G$801, 0)+1)),IF(INDEX(ERP資料!$G:$G, (MATCH(343, 輔助計算!$G$2:$G$801, 0)+1))&lt;100, IF(INDEX(ERP資料!$G:$G, (MATCH(343, 輔助計算!$G$2:$G$801, 0)+1))&lt;=31,3,IF(INDEX(ERP資料!$G:$G, (MATCH(343, 輔助計算!$G$2:$G$801, 0)+1))&lt;=46.5,2,1)), IF(INDEX(ERP資料!$G:$G, (MATCH(343, 輔助計算!$G$2:$G$801, 0)+1))&lt;=790,3,IF(INDEX(ERP資料!$G:$G, (MATCH(343, 輔助計算!$G$2:$G$801, 0)+1))&lt;=1181,2,1))))=0,"",IF(MOD(INDEX(輔助計算!$D:$D, (MATCH(343, 輔助計算!$G$2:$G$801, 0)+1)),IF(INDEX(ERP資料!$G:$G, (MATCH(343, 輔助計算!$G$2:$G$801, 0)+1))&lt;100, IF(INDEX(ERP資料!$G:$G, (MATCH(343, 輔助計算!$G$2:$G$801, 0)+1))&lt;=31,3,IF(INDEX(ERP資料!$G:$G, (MATCH(343, 輔助計算!$G$2:$G$801, 0)+1))&lt;=46.5,2,1)), IF(INDEX(ERP資料!$G:$G, (MATCH(343, 輔助計算!$G$2:$G$801, 0)+1))&lt;=790,3,IF(INDEX(ERP資料!$G:$G, (MATCH(343, 輔助計算!$G$2:$G$801, 0)+1))&lt;=1181,2,1))))=0,"",IF(MOD(INDEX(輔助計算!$D:$D, (MATCH(343, 輔助計算!$G$2:$G$801, 0)+1)),IF(INDEX(ERP資料!$G:$G, (MATCH(343, 輔助計算!$G$2:$G$801, 0)+1))&lt;100, IF(INDEX(ERP資料!$G:$G, (MATCH(343, 輔助計算!$G$2:$G$801, 0)+1))&lt;=31,3,IF(INDEX(ERP資料!$G:$G, (MATCH(343, 輔助計算!$G$2:$G$801, 0)+1))&lt;=46.5,2,1)), IF(INDEX(ERP資料!$G:$G, (MATCH(343, 輔助計算!$G$2:$G$801, 0)+1))&lt;=790,3,IF(INDEX(ERP資料!$G:$G, (MATCH(343, 輔助計算!$G$2:$G$801, 0)+1))&lt;=1181,2,1))))=1,TEXT(INDEX(ERP資料!$G:$G, (MATCH(343, 輔助計算!$G$2:$G$801, 0)+1)),"0.##"),IF(MOD(INDEX(輔助計算!$D:$D, (MATCH(343, 輔助計算!$G$2:$G$801, 0)+1)),IF(INDEX(ERP資料!$G:$G, (MATCH(343, 輔助計算!$G$2:$G$801, 0)+1))&lt;100, IF(INDEX(ERP資料!$G:$G, (MATCH(343, 輔助計算!$G$2:$G$801, 0)+1))&lt;=31,3,IF(INDEX(ERP資料!$G:$G, (MATCH(343, 輔助計算!$G$2:$G$801, 0)+1))&lt;=46.5,2,1)), IF(INDEX(ERP資料!$G:$G, (MATCH(343, 輔助計算!$G$2:$G$801, 0)+1))&lt;=790,3,IF(INDEX(ERP資料!$G:$G, (MATCH(343, 輔助計算!$G$2:$G$801, 0)+1))&lt;=1181,2,1))))=2,TEXT(INDEX(ERP資料!$G:$G, (MATCH(343, 輔助計算!$G$2:$G$801, 0)+1)),"0.##")&amp;"+"&amp;TEXT(INDEX(ERP資料!$G:$G, (MATCH(343, 輔助計算!$G$2:$G$801, 0)+1)),"0.##"),TEXT(INDEX(ERP資料!$G:$G, (MATCH(343, 輔助計算!$G$2:$G$801, 0)+1)),"0.##")&amp;"+"&amp;TEXT(INDEX(ERP資料!$G:$G, (MATCH(343, 輔助計算!$G$2:$G$801, 0)+1)),"0.##")&amp;"+"&amp;TEXT(INDEX(ERP資料!$G:$G, (MATCH(343, 輔助計算!$G$2:$G$801, 0)+1)),"0.##"))))&amp;"-1")&lt;&gt;""),"  ","")&amp;IF(MOD(INDEX(輔助計算!$D:$D, (MATCH(343, 輔助計算!$G$2:$G$801, 0)+1)),IF(INDEX(ERP資料!$G:$G, (MATCH(343, 輔助計算!$G$2:$G$801, 0)+1))&lt;100, IF(INDEX(ERP資料!$G:$G, (MATCH(343, 輔助計算!$G$2:$G$801, 0)+1))&lt;=31,3,IF(INDEX(ERP資料!$G:$G, (MATCH(343, 輔助計算!$G$2:$G$801, 0)+1))&lt;=46.5,2,1)), IF(INDEX(ERP資料!$G:$G, (MATCH(343, 輔助計算!$G$2:$G$801, 0)+1))&lt;=790,3,IF(INDEX(ERP資料!$G:$G, (MATCH(343, 輔助計算!$G$2:$G$801, 0)+1))&lt;=1181,2,1))))=0,"",IF(MOD(INDEX(輔助計算!$D:$D, (MATCH(343, 輔助計算!$G$2:$G$801, 0)+1)),IF(INDEX(ERP資料!$G:$G, (MATCH(343, 輔助計算!$G$2:$G$801, 0)+1))&lt;100, IF(INDEX(ERP資料!$G:$G, (MATCH(343, 輔助計算!$G$2:$G$801, 0)+1))&lt;=31,3,IF(INDEX(ERP資料!$G:$G, (MATCH(343, 輔助計算!$G$2:$G$801, 0)+1))&lt;=46.5,2,1)), IF(INDEX(ERP資料!$G:$G, (MATCH(343, 輔助計算!$G$2:$G$801, 0)+1))&lt;=790,3,IF(INDEX(ERP資料!$G:$G, (MATCH(343, 輔助計算!$G$2:$G$801, 0)+1))&lt;=1181,2,1))))=0,"",IF(MOD(INDEX(輔助計算!$D:$D, (MATCH(343, 輔助計算!$G$2:$G$801, 0)+1)),IF(INDEX(ERP資料!$G:$G, (MATCH(343, 輔助計算!$G$2:$G$801, 0)+1))&lt;100, IF(INDEX(ERP資料!$G:$G, (MATCH(343, 輔助計算!$G$2:$G$801, 0)+1))&lt;=31,3,IF(INDEX(ERP資料!$G:$G, (MATCH(343, 輔助計算!$G$2:$G$801, 0)+1))&lt;=46.5,2,1)), IF(INDEX(ERP資料!$G:$G, (MATCH(343, 輔助計算!$G$2:$G$801, 0)+1))&lt;=790,3,IF(INDEX(ERP資料!$G:$G, (MATCH(343, 輔助計算!$G$2:$G$801, 0)+1))&lt;=1181,2,1))))=1,TEXT(INDEX(ERP資料!$G:$G, (MATCH(343, 輔助計算!$G$2:$G$801, 0)+1)),"0.##"),IF(MOD(INDEX(輔助計算!$D:$D, (MATCH(343, 輔助計算!$G$2:$G$801, 0)+1)),IF(INDEX(ERP資料!$G:$G, (MATCH(343, 輔助計算!$G$2:$G$801, 0)+1))&lt;100, IF(INDEX(ERP資料!$G:$G, (MATCH(343, 輔助計算!$G$2:$G$801, 0)+1))&lt;=31,3,IF(INDEX(ERP資料!$G:$G, (MATCH(343, 輔助計算!$G$2:$G$801, 0)+1))&lt;=46.5,2,1)), IF(INDEX(ERP資料!$G:$G, (MATCH(343, 輔助計算!$G$2:$G$801, 0)+1))&lt;=790,3,IF(INDEX(ERP資料!$G:$G, (MATCH(343, 輔助計算!$G$2:$G$801, 0)+1))&lt;=1181,2,1))))=2,TEXT(INDEX(ERP資料!$G:$G, (MATCH(343, 輔助計算!$G$2:$G$801, 0)+1)),"0.##")&amp;"+"&amp;TEXT(INDEX(ERP資料!$G:$G, (MATCH(343, 輔助計算!$G$2:$G$801, 0)+1)),"0.##"),TEXT(INDEX(ERP資料!$G:$G, (MATCH(343, 輔助計算!$G$2:$G$801, 0)+1)),"0.##")&amp;"+"&amp;TEXT(INDEX(ERP資料!$G:$G, (MATCH(343, 輔助計算!$G$2:$G$801, 0)+1)),"0.##")&amp;"+"&amp;TEXT(INDEX(ERP資料!$G:$G, (MATCH(343, 輔助計算!$G$2:$G$801, 0)+1)),"0.##"))))&amp;"-1")), ""), "")</f>
        <v/>
      </c>
      <c r="K344" s="16" t="n"/>
      <c r="L344" s="14">
        <f>IFERROR(IF(AND(IFERROR(INDEX(ERP資料!$A:$A, (MATCH(343, 輔助計算!$G$2:$G$801, 0)+1)), "")&lt;&gt;"", IFERROR(INDEX(ERP資料!$A:$A, (MATCH(343, 輔助計算!$G$2:$G$801, 0)+1)), "")&lt;&gt;IFERROR(INDEX(ERP資料!$A:$A, MATCH(342, 輔助計算!$G$2:$G$801, 0)+1), "")), INDEX(ERP資料!$B:$B, (MATCH(343, 輔助計算!$G$2:$G$801, 0)+1)), ""), "")</f>
        <v/>
      </c>
      <c r="M344" s="17" t="n"/>
    </row>
    <row r="345">
      <c r="A345" s="10">
        <f>IFERROR(IF(AND(IFERROR(INDEX(ERP資料!$A:$A, (MATCH(344, 輔助計算!$G$2:$G$801, 0)+1)), "")&lt;&gt;"", IFERROR(INDEX(ERP資料!$A:$A, (MATCH(344, 輔助計算!$G$2:$G$801, 0)+1)), "")&lt;&gt;IFERROR(INDEX(ERP資料!$A:$A, MATCH(343, 輔助計算!$G$2:$G$801, 0)+1), "")), IFERROR(INDEX(ERP資料!$A:$A, (MATCH(344, 輔助計算!$G$2:$G$801, 0)+1)), ""), ""), "")</f>
        <v/>
      </c>
      <c r="B345" s="10">
        <f>IFERROR(IF(AND(IFERROR(INDEX(ERP資料!$A:$A, (MATCH(344, 輔助計算!$G$2:$G$801, 0)+1)), "")&lt;&gt;"", IFERROR(INDEX(ERP資料!$A:$A, (MATCH(344, 輔助計算!$G$2:$G$801, 0)+1)), "")&lt;&gt;IFERROR(INDEX(ERP資料!$A:$A, MATCH(343, 輔助計算!$G$2:$G$801, 0)+1), "")), INDEX(ERP資料!$S:$S, (MATCH(344, 輔助計算!$G$2:$G$801, 0)+1)), ""), "")</f>
        <v/>
      </c>
      <c r="C345" s="19">
        <f>IFERROR(IF(AND(IFERROR(INDEX(ERP資料!$A:$A, (MATCH(344, 輔助計算!$G$2:$G$801, 0)+1)), "")&lt;&gt;"", IFERROR(INDEX(ERP資料!$A:$A, (MATCH(344, 輔助計算!$G$2:$G$801, 0)+1)), "")&lt;&gt;IFERROR(INDEX(ERP資料!$A:$A, MATCH(343, 輔助計算!$G$2:$G$801, 0)+1), "")), IFERROR(VLOOKUP(LEFT(INDEX(ERP資料!$S:$S, (MATCH(344, 輔助計算!$G$2:$G$801, 0)+1)), 4), 紙管對照表!$A:$C, 3, FALSE), ""), ""), "")</f>
        <v/>
      </c>
      <c r="D345" s="16" t="n"/>
      <c r="E345" s="10">
        <f>IFERROR(IF(INDEX(ERP資料!$H:$H, (MATCH(344, 輔助計算!$G$2:$G$801, 0)+1))="","",INDEX(ERP資料!$H:$H, (MATCH(344, 輔助計算!$G$2:$G$801, 0)+1))), "")</f>
        <v/>
      </c>
      <c r="F345" s="10">
        <f>IFERROR(IF(INDEX(ERP資料!$E:$E, (MATCH(344, 輔助計算!$G$2:$G$801, 0)+1))="","",TRIM(INDEX(ERP資料!$E:$E, (MATCH(344, 輔助計算!$G$2:$G$801, 0)+1)))), "")</f>
        <v/>
      </c>
      <c r="G345" s="10">
        <f>IFERROR(IF(INDEX(ERP資料!$F:$F, (MATCH(344, 輔助計算!$G$2:$G$801, 0)+1))="","",INDEX(ERP資料!$F:$F, (MATCH(344, 輔助計算!$G$2:$G$801, 0)+1))), "")</f>
        <v/>
      </c>
      <c r="H345" s="10">
        <f>IFERROR(IF(INDEX(ERP資料!$G:$G, (MATCH(344, 輔助計算!$G$2:$G$801, 0)+1))="","",INDEX(ERP資料!$G:$G, (MATCH(344, 輔助計算!$G$2:$G$801, 0)+1))), "")</f>
        <v/>
      </c>
      <c r="I345" s="15">
        <f>IFERROR(INDEX(輔助計算!$D:$D, (MATCH(344, 輔助計算!$G$2:$G$801, 0)+1)), "")</f>
        <v/>
      </c>
      <c r="J345" s="15">
        <f>IFERROR(IF(AND(INDEX(輔助計算!$D:$D, (MATCH(344, 輔助計算!$G$2:$G$801, 0)+1))&lt;&gt;"", INDEX(ERP資料!$G:$G, (MATCH(344, 輔助計算!$G$2:$G$801, 0)+1))&lt;&gt;""), TRIM(IF(INT(INDEX(輔助計算!$D:$D, (MATCH(344, 輔助計算!$G$2:$G$801, 0)+1))/IF(INDEX(ERP資料!$G:$G, (MATCH(344, 輔助計算!$G$2:$G$801, 0)+1))&lt;100, IF(INDEX(ERP資料!$G:$G, (MATCH(344, 輔助計算!$G$2:$G$801, 0)+1))&lt;=31,3,IF(INDEX(ERP資料!$G:$G, (MATCH(344, 輔助計算!$G$2:$G$801, 0)+1))&lt;=46.5,2,1)), IF(INDEX(ERP資料!$G:$G, (MATCH(344, 輔助計算!$G$2:$G$801, 0)+1))&lt;=790,3,IF(INDEX(ERP資料!$G:$G, (MATCH(344, 輔助計算!$G$2:$G$801, 0)+1))&lt;=1181,2,1))))&gt;0, IF(IF(INDEX(ERP資料!$G:$G, (MATCH(344, 輔助計算!$G$2:$G$801, 0)+1))&lt;100, IF(INDEX(ERP資料!$G:$G, (MATCH(344, 輔助計算!$G$2:$G$801, 0)+1))&lt;=31,3,IF(INDEX(ERP資料!$G:$G, (MATCH(344, 輔助計算!$G$2:$G$801, 0)+1))&lt;=46.5,2,1)), IF(INDEX(ERP資料!$G:$G, (MATCH(344, 輔助計算!$G$2:$G$801, 0)+1))&lt;=790,3,IF(INDEX(ERP資料!$G:$G, (MATCH(344, 輔助計算!$G$2:$G$801, 0)+1))&lt;=1181,2,1)))=1,TEXT(INDEX(ERP資料!$G:$G, (MATCH(344, 輔助計算!$G$2:$G$801, 0)+1)),"0.##"),IF(IF(INDEX(ERP資料!$G:$G, (MATCH(344, 輔助計算!$G$2:$G$801, 0)+1))&lt;100, IF(INDEX(ERP資料!$G:$G, (MATCH(344, 輔助計算!$G$2:$G$801, 0)+1))&lt;=31,3,IF(INDEX(ERP資料!$G:$G, (MATCH(344, 輔助計算!$G$2:$G$801, 0)+1))&lt;=46.5,2,1)), IF(INDEX(ERP資料!$G:$G, (MATCH(344, 輔助計算!$G$2:$G$801, 0)+1))&lt;=790,3,IF(INDEX(ERP資料!$G:$G, (MATCH(344, 輔助計算!$G$2:$G$801, 0)+1))&lt;=1181,2,1)))=2,TEXT(INDEX(ERP資料!$G:$G, (MATCH(344, 輔助計算!$G$2:$G$801, 0)+1)),"0.##")&amp;"+"&amp;TEXT(INDEX(ERP資料!$G:$G, (MATCH(344, 輔助計算!$G$2:$G$801, 0)+1)),"0.##"),TEXT(INDEX(ERP資料!$G:$G, (MATCH(344, 輔助計算!$G$2:$G$801, 0)+1)),"0.##")&amp;"+"&amp;TEXT(INDEX(ERP資料!$G:$G, (MATCH(344, 輔助計算!$G$2:$G$801, 0)+1)),"0.##")&amp;"+"&amp;TEXT(INDEX(ERP資料!$G:$G, (MATCH(344, 輔助計算!$G$2:$G$801, 0)+1)),"0.##")))&amp;"-"&amp;INT(INDEX(輔助計算!$D:$D, (MATCH(344, 輔助計算!$G$2:$G$801, 0)+1))/IF(INDEX(ERP資料!$G:$G, (MATCH(344, 輔助計算!$G$2:$G$801, 0)+1))&lt;100, IF(INDEX(ERP資料!$G:$G, (MATCH(344, 輔助計算!$G$2:$G$801, 0)+1))&lt;=31,3,IF(INDEX(ERP資料!$G:$G, (MATCH(344, 輔助計算!$G$2:$G$801, 0)+1))&lt;=46.5,2,1)), IF(INDEX(ERP資料!$G:$G, (MATCH(344, 輔助計算!$G$2:$G$801, 0)+1))&lt;=790,3,IF(INDEX(ERP資料!$G:$G, (MATCH(344, 輔助計算!$G$2:$G$801, 0)+1))&lt;=1181,2,1)))), "")&amp;IF(AND(IF(INT(INDEX(輔助計算!$D:$D, (MATCH(344, 輔助計算!$G$2:$G$801, 0)+1))/IF(INDEX(ERP資料!$G:$G, (MATCH(344, 輔助計算!$G$2:$G$801, 0)+1))&lt;100, IF(INDEX(ERP資料!$G:$G, (MATCH(344, 輔助計算!$G$2:$G$801, 0)+1))&lt;=31,3,IF(INDEX(ERP資料!$G:$G, (MATCH(344, 輔助計算!$G$2:$G$801, 0)+1))&lt;=46.5,2,1)), IF(INDEX(ERP資料!$G:$G, (MATCH(344, 輔助計算!$G$2:$G$801, 0)+1))&lt;=790,3,IF(INDEX(ERP資料!$G:$G, (MATCH(344, 輔助計算!$G$2:$G$801, 0)+1))&lt;=1181,2,1))))&gt;0, IF(IF(INDEX(ERP資料!$G:$G, (MATCH(344, 輔助計算!$G$2:$G$801, 0)+1))&lt;100, IF(INDEX(ERP資料!$G:$G, (MATCH(344, 輔助計算!$G$2:$G$801, 0)+1))&lt;=31,3,IF(INDEX(ERP資料!$G:$G, (MATCH(344, 輔助計算!$G$2:$G$801, 0)+1))&lt;=46.5,2,1)), IF(INDEX(ERP資料!$G:$G, (MATCH(344, 輔助計算!$G$2:$G$801, 0)+1))&lt;=790,3,IF(INDEX(ERP資料!$G:$G, (MATCH(344, 輔助計算!$G$2:$G$801, 0)+1))&lt;=1181,2,1)))=1,TEXT(INDEX(ERP資料!$G:$G, (MATCH(344, 輔助計算!$G$2:$G$801, 0)+1)),"0.##"),IF(IF(INDEX(ERP資料!$G:$G, (MATCH(344, 輔助計算!$G$2:$G$801, 0)+1))&lt;100, IF(INDEX(ERP資料!$G:$G, (MATCH(344, 輔助計算!$G$2:$G$801, 0)+1))&lt;=31,3,IF(INDEX(ERP資料!$G:$G, (MATCH(344, 輔助計算!$G$2:$G$801, 0)+1))&lt;=46.5,2,1)), IF(INDEX(ERP資料!$G:$G, (MATCH(344, 輔助計算!$G$2:$G$801, 0)+1))&lt;=790,3,IF(INDEX(ERP資料!$G:$G, (MATCH(344, 輔助計算!$G$2:$G$801, 0)+1))&lt;=1181,2,1)))=2,TEXT(INDEX(ERP資料!$G:$G, (MATCH(344, 輔助計算!$G$2:$G$801, 0)+1)),"0.##")&amp;"+"&amp;TEXT(INDEX(ERP資料!$G:$G, (MATCH(344, 輔助計算!$G$2:$G$801, 0)+1)),"0.##"),TEXT(INDEX(ERP資料!$G:$G, (MATCH(344, 輔助計算!$G$2:$G$801, 0)+1)),"0.##")&amp;"+"&amp;TEXT(INDEX(ERP資料!$G:$G, (MATCH(344, 輔助計算!$G$2:$G$801, 0)+1)),"0.##")&amp;"+"&amp;TEXT(INDEX(ERP資料!$G:$G, (MATCH(344, 輔助計算!$G$2:$G$801, 0)+1)),"0.##")))&amp;"-"&amp;INT(INDEX(輔助計算!$D:$D, (MATCH(344, 輔助計算!$G$2:$G$801, 0)+1))/IF(INDEX(ERP資料!$G:$G, (MATCH(344, 輔助計算!$G$2:$G$801, 0)+1))&lt;100, IF(INDEX(ERP資料!$G:$G, (MATCH(344, 輔助計算!$G$2:$G$801, 0)+1))&lt;=31,3,IF(INDEX(ERP資料!$G:$G, (MATCH(344, 輔助計算!$G$2:$G$801, 0)+1))&lt;=46.5,2,1)), IF(INDEX(ERP資料!$G:$G, (MATCH(344, 輔助計算!$G$2:$G$801, 0)+1))&lt;=790,3,IF(INDEX(ERP資料!$G:$G, (MATCH(344, 輔助計算!$G$2:$G$801, 0)+1))&lt;=1181,2,1)))), "")&lt;&gt;"",IF(MOD(INDEX(輔助計算!$D:$D, (MATCH(344, 輔助計算!$G$2:$G$801, 0)+1)),IF(INDEX(ERP資料!$G:$G, (MATCH(344, 輔助計算!$G$2:$G$801, 0)+1))&lt;100, IF(INDEX(ERP資料!$G:$G, (MATCH(344, 輔助計算!$G$2:$G$801, 0)+1))&lt;=31,3,IF(INDEX(ERP資料!$G:$G, (MATCH(344, 輔助計算!$G$2:$G$801, 0)+1))&lt;=46.5,2,1)), IF(INDEX(ERP資料!$G:$G, (MATCH(344, 輔助計算!$G$2:$G$801, 0)+1))&lt;=790,3,IF(INDEX(ERP資料!$G:$G, (MATCH(344, 輔助計算!$G$2:$G$801, 0)+1))&lt;=1181,2,1))))=0,"",IF(MOD(INDEX(輔助計算!$D:$D, (MATCH(344, 輔助計算!$G$2:$G$801, 0)+1)),IF(INDEX(ERP資料!$G:$G, (MATCH(344, 輔助計算!$G$2:$G$801, 0)+1))&lt;100, IF(INDEX(ERP資料!$G:$G, (MATCH(344, 輔助計算!$G$2:$G$801, 0)+1))&lt;=31,3,IF(INDEX(ERP資料!$G:$G, (MATCH(344, 輔助計算!$G$2:$G$801, 0)+1))&lt;=46.5,2,1)), IF(INDEX(ERP資料!$G:$G, (MATCH(344, 輔助計算!$G$2:$G$801, 0)+1))&lt;=790,3,IF(INDEX(ERP資料!$G:$G, (MATCH(344, 輔助計算!$G$2:$G$801, 0)+1))&lt;=1181,2,1))))=0,"",IF(MOD(INDEX(輔助計算!$D:$D, (MATCH(344, 輔助計算!$G$2:$G$801, 0)+1)),IF(INDEX(ERP資料!$G:$G, (MATCH(344, 輔助計算!$G$2:$G$801, 0)+1))&lt;100, IF(INDEX(ERP資料!$G:$G, (MATCH(344, 輔助計算!$G$2:$G$801, 0)+1))&lt;=31,3,IF(INDEX(ERP資料!$G:$G, (MATCH(344, 輔助計算!$G$2:$G$801, 0)+1))&lt;=46.5,2,1)), IF(INDEX(ERP資料!$G:$G, (MATCH(344, 輔助計算!$G$2:$G$801, 0)+1))&lt;=790,3,IF(INDEX(ERP資料!$G:$G, (MATCH(344, 輔助計算!$G$2:$G$801, 0)+1))&lt;=1181,2,1))))=1,TEXT(INDEX(ERP資料!$G:$G, (MATCH(344, 輔助計算!$G$2:$G$801, 0)+1)),"0.##"),IF(MOD(INDEX(輔助計算!$D:$D, (MATCH(344, 輔助計算!$G$2:$G$801, 0)+1)),IF(INDEX(ERP資料!$G:$G, (MATCH(344, 輔助計算!$G$2:$G$801, 0)+1))&lt;100, IF(INDEX(ERP資料!$G:$G, (MATCH(344, 輔助計算!$G$2:$G$801, 0)+1))&lt;=31,3,IF(INDEX(ERP資料!$G:$G, (MATCH(344, 輔助計算!$G$2:$G$801, 0)+1))&lt;=46.5,2,1)), IF(INDEX(ERP資料!$G:$G, (MATCH(344, 輔助計算!$G$2:$G$801, 0)+1))&lt;=790,3,IF(INDEX(ERP資料!$G:$G, (MATCH(344, 輔助計算!$G$2:$G$801, 0)+1))&lt;=1181,2,1))))=2,TEXT(INDEX(ERP資料!$G:$G, (MATCH(344, 輔助計算!$G$2:$G$801, 0)+1)),"0.##")&amp;"+"&amp;TEXT(INDEX(ERP資料!$G:$G, (MATCH(344, 輔助計算!$G$2:$G$801, 0)+1)),"0.##"),TEXT(INDEX(ERP資料!$G:$G, (MATCH(344, 輔助計算!$G$2:$G$801, 0)+1)),"0.##")&amp;"+"&amp;TEXT(INDEX(ERP資料!$G:$G, (MATCH(344, 輔助計算!$G$2:$G$801, 0)+1)),"0.##")&amp;"+"&amp;TEXT(INDEX(ERP資料!$G:$G, (MATCH(344, 輔助計算!$G$2:$G$801, 0)+1)),"0.##"))))&amp;"-1")&lt;&gt;""),"  ","")&amp;IF(MOD(INDEX(輔助計算!$D:$D, (MATCH(344, 輔助計算!$G$2:$G$801, 0)+1)),IF(INDEX(ERP資料!$G:$G, (MATCH(344, 輔助計算!$G$2:$G$801, 0)+1))&lt;100, IF(INDEX(ERP資料!$G:$G, (MATCH(344, 輔助計算!$G$2:$G$801, 0)+1))&lt;=31,3,IF(INDEX(ERP資料!$G:$G, (MATCH(344, 輔助計算!$G$2:$G$801, 0)+1))&lt;=46.5,2,1)), IF(INDEX(ERP資料!$G:$G, (MATCH(344, 輔助計算!$G$2:$G$801, 0)+1))&lt;=790,3,IF(INDEX(ERP資料!$G:$G, (MATCH(344, 輔助計算!$G$2:$G$801, 0)+1))&lt;=1181,2,1))))=0,"",IF(MOD(INDEX(輔助計算!$D:$D, (MATCH(344, 輔助計算!$G$2:$G$801, 0)+1)),IF(INDEX(ERP資料!$G:$G, (MATCH(344, 輔助計算!$G$2:$G$801, 0)+1))&lt;100, IF(INDEX(ERP資料!$G:$G, (MATCH(344, 輔助計算!$G$2:$G$801, 0)+1))&lt;=31,3,IF(INDEX(ERP資料!$G:$G, (MATCH(344, 輔助計算!$G$2:$G$801, 0)+1))&lt;=46.5,2,1)), IF(INDEX(ERP資料!$G:$G, (MATCH(344, 輔助計算!$G$2:$G$801, 0)+1))&lt;=790,3,IF(INDEX(ERP資料!$G:$G, (MATCH(344, 輔助計算!$G$2:$G$801, 0)+1))&lt;=1181,2,1))))=0,"",IF(MOD(INDEX(輔助計算!$D:$D, (MATCH(344, 輔助計算!$G$2:$G$801, 0)+1)),IF(INDEX(ERP資料!$G:$G, (MATCH(344, 輔助計算!$G$2:$G$801, 0)+1))&lt;100, IF(INDEX(ERP資料!$G:$G, (MATCH(344, 輔助計算!$G$2:$G$801, 0)+1))&lt;=31,3,IF(INDEX(ERP資料!$G:$G, (MATCH(344, 輔助計算!$G$2:$G$801, 0)+1))&lt;=46.5,2,1)), IF(INDEX(ERP資料!$G:$G, (MATCH(344, 輔助計算!$G$2:$G$801, 0)+1))&lt;=790,3,IF(INDEX(ERP資料!$G:$G, (MATCH(344, 輔助計算!$G$2:$G$801, 0)+1))&lt;=1181,2,1))))=1,TEXT(INDEX(ERP資料!$G:$G, (MATCH(344, 輔助計算!$G$2:$G$801, 0)+1)),"0.##"),IF(MOD(INDEX(輔助計算!$D:$D, (MATCH(344, 輔助計算!$G$2:$G$801, 0)+1)),IF(INDEX(ERP資料!$G:$G, (MATCH(344, 輔助計算!$G$2:$G$801, 0)+1))&lt;100, IF(INDEX(ERP資料!$G:$G, (MATCH(344, 輔助計算!$G$2:$G$801, 0)+1))&lt;=31,3,IF(INDEX(ERP資料!$G:$G, (MATCH(344, 輔助計算!$G$2:$G$801, 0)+1))&lt;=46.5,2,1)), IF(INDEX(ERP資料!$G:$G, (MATCH(344, 輔助計算!$G$2:$G$801, 0)+1))&lt;=790,3,IF(INDEX(ERP資料!$G:$G, (MATCH(344, 輔助計算!$G$2:$G$801, 0)+1))&lt;=1181,2,1))))=2,TEXT(INDEX(ERP資料!$G:$G, (MATCH(344, 輔助計算!$G$2:$G$801, 0)+1)),"0.##")&amp;"+"&amp;TEXT(INDEX(ERP資料!$G:$G, (MATCH(344, 輔助計算!$G$2:$G$801, 0)+1)),"0.##"),TEXT(INDEX(ERP資料!$G:$G, (MATCH(344, 輔助計算!$G$2:$G$801, 0)+1)),"0.##")&amp;"+"&amp;TEXT(INDEX(ERP資料!$G:$G, (MATCH(344, 輔助計算!$G$2:$G$801, 0)+1)),"0.##")&amp;"+"&amp;TEXT(INDEX(ERP資料!$G:$G, (MATCH(344, 輔助計算!$G$2:$G$801, 0)+1)),"0.##"))))&amp;"-1")), ""), "")</f>
        <v/>
      </c>
      <c r="K345" s="16" t="n"/>
      <c r="L345" s="14">
        <f>IFERROR(IF(AND(IFERROR(INDEX(ERP資料!$A:$A, (MATCH(344, 輔助計算!$G$2:$G$801, 0)+1)), "")&lt;&gt;"", IFERROR(INDEX(ERP資料!$A:$A, (MATCH(344, 輔助計算!$G$2:$G$801, 0)+1)), "")&lt;&gt;IFERROR(INDEX(ERP資料!$A:$A, MATCH(343, 輔助計算!$G$2:$G$801, 0)+1), "")), INDEX(ERP資料!$B:$B, (MATCH(344, 輔助計算!$G$2:$G$801, 0)+1)), ""), "")</f>
        <v/>
      </c>
      <c r="M345" s="17" t="n"/>
    </row>
    <row r="346">
      <c r="A346" s="10">
        <f>IFERROR(IF(AND(IFERROR(INDEX(ERP資料!$A:$A, (MATCH(345, 輔助計算!$G$2:$G$801, 0)+1)), "")&lt;&gt;"", IFERROR(INDEX(ERP資料!$A:$A, (MATCH(345, 輔助計算!$G$2:$G$801, 0)+1)), "")&lt;&gt;IFERROR(INDEX(ERP資料!$A:$A, MATCH(344, 輔助計算!$G$2:$G$801, 0)+1), "")), IFERROR(INDEX(ERP資料!$A:$A, (MATCH(345, 輔助計算!$G$2:$G$801, 0)+1)), ""), ""), "")</f>
        <v/>
      </c>
      <c r="B346" s="10">
        <f>IFERROR(IF(AND(IFERROR(INDEX(ERP資料!$A:$A, (MATCH(345, 輔助計算!$G$2:$G$801, 0)+1)), "")&lt;&gt;"", IFERROR(INDEX(ERP資料!$A:$A, (MATCH(345, 輔助計算!$G$2:$G$801, 0)+1)), "")&lt;&gt;IFERROR(INDEX(ERP資料!$A:$A, MATCH(344, 輔助計算!$G$2:$G$801, 0)+1), "")), INDEX(ERP資料!$S:$S, (MATCH(345, 輔助計算!$G$2:$G$801, 0)+1)), ""), "")</f>
        <v/>
      </c>
      <c r="C346" s="19">
        <f>IFERROR(IF(AND(IFERROR(INDEX(ERP資料!$A:$A, (MATCH(345, 輔助計算!$G$2:$G$801, 0)+1)), "")&lt;&gt;"", IFERROR(INDEX(ERP資料!$A:$A, (MATCH(345, 輔助計算!$G$2:$G$801, 0)+1)), "")&lt;&gt;IFERROR(INDEX(ERP資料!$A:$A, MATCH(344, 輔助計算!$G$2:$G$801, 0)+1), "")), IFERROR(VLOOKUP(LEFT(INDEX(ERP資料!$S:$S, (MATCH(345, 輔助計算!$G$2:$G$801, 0)+1)), 4), 紙管對照表!$A:$C, 3, FALSE), ""), ""), "")</f>
        <v/>
      </c>
      <c r="D346" s="16" t="n"/>
      <c r="E346" s="10">
        <f>IFERROR(IF(INDEX(ERP資料!$H:$H, (MATCH(345, 輔助計算!$G$2:$G$801, 0)+1))="","",INDEX(ERP資料!$H:$H, (MATCH(345, 輔助計算!$G$2:$G$801, 0)+1))), "")</f>
        <v/>
      </c>
      <c r="F346" s="10">
        <f>IFERROR(IF(INDEX(ERP資料!$E:$E, (MATCH(345, 輔助計算!$G$2:$G$801, 0)+1))="","",TRIM(INDEX(ERP資料!$E:$E, (MATCH(345, 輔助計算!$G$2:$G$801, 0)+1)))), "")</f>
        <v/>
      </c>
      <c r="G346" s="10">
        <f>IFERROR(IF(INDEX(ERP資料!$F:$F, (MATCH(345, 輔助計算!$G$2:$G$801, 0)+1))="","",INDEX(ERP資料!$F:$F, (MATCH(345, 輔助計算!$G$2:$G$801, 0)+1))), "")</f>
        <v/>
      </c>
      <c r="H346" s="10">
        <f>IFERROR(IF(INDEX(ERP資料!$G:$G, (MATCH(345, 輔助計算!$G$2:$G$801, 0)+1))="","",INDEX(ERP資料!$G:$G, (MATCH(345, 輔助計算!$G$2:$G$801, 0)+1))), "")</f>
        <v/>
      </c>
      <c r="I346" s="15">
        <f>IFERROR(INDEX(輔助計算!$D:$D, (MATCH(345, 輔助計算!$G$2:$G$801, 0)+1)), "")</f>
        <v/>
      </c>
      <c r="J346" s="15">
        <f>IFERROR(IF(AND(INDEX(輔助計算!$D:$D, (MATCH(345, 輔助計算!$G$2:$G$801, 0)+1))&lt;&gt;"", INDEX(ERP資料!$G:$G, (MATCH(345, 輔助計算!$G$2:$G$801, 0)+1))&lt;&gt;""), TRIM(IF(INT(INDEX(輔助計算!$D:$D, (MATCH(345, 輔助計算!$G$2:$G$801, 0)+1))/IF(INDEX(ERP資料!$G:$G, (MATCH(345, 輔助計算!$G$2:$G$801, 0)+1))&lt;100, IF(INDEX(ERP資料!$G:$G, (MATCH(345, 輔助計算!$G$2:$G$801, 0)+1))&lt;=31,3,IF(INDEX(ERP資料!$G:$G, (MATCH(345, 輔助計算!$G$2:$G$801, 0)+1))&lt;=46.5,2,1)), IF(INDEX(ERP資料!$G:$G, (MATCH(345, 輔助計算!$G$2:$G$801, 0)+1))&lt;=790,3,IF(INDEX(ERP資料!$G:$G, (MATCH(345, 輔助計算!$G$2:$G$801, 0)+1))&lt;=1181,2,1))))&gt;0, IF(IF(INDEX(ERP資料!$G:$G, (MATCH(345, 輔助計算!$G$2:$G$801, 0)+1))&lt;100, IF(INDEX(ERP資料!$G:$G, (MATCH(345, 輔助計算!$G$2:$G$801, 0)+1))&lt;=31,3,IF(INDEX(ERP資料!$G:$G, (MATCH(345, 輔助計算!$G$2:$G$801, 0)+1))&lt;=46.5,2,1)), IF(INDEX(ERP資料!$G:$G, (MATCH(345, 輔助計算!$G$2:$G$801, 0)+1))&lt;=790,3,IF(INDEX(ERP資料!$G:$G, (MATCH(345, 輔助計算!$G$2:$G$801, 0)+1))&lt;=1181,2,1)))=1,TEXT(INDEX(ERP資料!$G:$G, (MATCH(345, 輔助計算!$G$2:$G$801, 0)+1)),"0.##"),IF(IF(INDEX(ERP資料!$G:$G, (MATCH(345, 輔助計算!$G$2:$G$801, 0)+1))&lt;100, IF(INDEX(ERP資料!$G:$G, (MATCH(345, 輔助計算!$G$2:$G$801, 0)+1))&lt;=31,3,IF(INDEX(ERP資料!$G:$G, (MATCH(345, 輔助計算!$G$2:$G$801, 0)+1))&lt;=46.5,2,1)), IF(INDEX(ERP資料!$G:$G, (MATCH(345, 輔助計算!$G$2:$G$801, 0)+1))&lt;=790,3,IF(INDEX(ERP資料!$G:$G, (MATCH(345, 輔助計算!$G$2:$G$801, 0)+1))&lt;=1181,2,1)))=2,TEXT(INDEX(ERP資料!$G:$G, (MATCH(345, 輔助計算!$G$2:$G$801, 0)+1)),"0.##")&amp;"+"&amp;TEXT(INDEX(ERP資料!$G:$G, (MATCH(345, 輔助計算!$G$2:$G$801, 0)+1)),"0.##"),TEXT(INDEX(ERP資料!$G:$G, (MATCH(345, 輔助計算!$G$2:$G$801, 0)+1)),"0.##")&amp;"+"&amp;TEXT(INDEX(ERP資料!$G:$G, (MATCH(345, 輔助計算!$G$2:$G$801, 0)+1)),"0.##")&amp;"+"&amp;TEXT(INDEX(ERP資料!$G:$G, (MATCH(345, 輔助計算!$G$2:$G$801, 0)+1)),"0.##")))&amp;"-"&amp;INT(INDEX(輔助計算!$D:$D, (MATCH(345, 輔助計算!$G$2:$G$801, 0)+1))/IF(INDEX(ERP資料!$G:$G, (MATCH(345, 輔助計算!$G$2:$G$801, 0)+1))&lt;100, IF(INDEX(ERP資料!$G:$G, (MATCH(345, 輔助計算!$G$2:$G$801, 0)+1))&lt;=31,3,IF(INDEX(ERP資料!$G:$G, (MATCH(345, 輔助計算!$G$2:$G$801, 0)+1))&lt;=46.5,2,1)), IF(INDEX(ERP資料!$G:$G, (MATCH(345, 輔助計算!$G$2:$G$801, 0)+1))&lt;=790,3,IF(INDEX(ERP資料!$G:$G, (MATCH(345, 輔助計算!$G$2:$G$801, 0)+1))&lt;=1181,2,1)))), "")&amp;IF(AND(IF(INT(INDEX(輔助計算!$D:$D, (MATCH(345, 輔助計算!$G$2:$G$801, 0)+1))/IF(INDEX(ERP資料!$G:$G, (MATCH(345, 輔助計算!$G$2:$G$801, 0)+1))&lt;100, IF(INDEX(ERP資料!$G:$G, (MATCH(345, 輔助計算!$G$2:$G$801, 0)+1))&lt;=31,3,IF(INDEX(ERP資料!$G:$G, (MATCH(345, 輔助計算!$G$2:$G$801, 0)+1))&lt;=46.5,2,1)), IF(INDEX(ERP資料!$G:$G, (MATCH(345, 輔助計算!$G$2:$G$801, 0)+1))&lt;=790,3,IF(INDEX(ERP資料!$G:$G, (MATCH(345, 輔助計算!$G$2:$G$801, 0)+1))&lt;=1181,2,1))))&gt;0, IF(IF(INDEX(ERP資料!$G:$G, (MATCH(345, 輔助計算!$G$2:$G$801, 0)+1))&lt;100, IF(INDEX(ERP資料!$G:$G, (MATCH(345, 輔助計算!$G$2:$G$801, 0)+1))&lt;=31,3,IF(INDEX(ERP資料!$G:$G, (MATCH(345, 輔助計算!$G$2:$G$801, 0)+1))&lt;=46.5,2,1)), IF(INDEX(ERP資料!$G:$G, (MATCH(345, 輔助計算!$G$2:$G$801, 0)+1))&lt;=790,3,IF(INDEX(ERP資料!$G:$G, (MATCH(345, 輔助計算!$G$2:$G$801, 0)+1))&lt;=1181,2,1)))=1,TEXT(INDEX(ERP資料!$G:$G, (MATCH(345, 輔助計算!$G$2:$G$801, 0)+1)),"0.##"),IF(IF(INDEX(ERP資料!$G:$G, (MATCH(345, 輔助計算!$G$2:$G$801, 0)+1))&lt;100, IF(INDEX(ERP資料!$G:$G, (MATCH(345, 輔助計算!$G$2:$G$801, 0)+1))&lt;=31,3,IF(INDEX(ERP資料!$G:$G, (MATCH(345, 輔助計算!$G$2:$G$801, 0)+1))&lt;=46.5,2,1)), IF(INDEX(ERP資料!$G:$G, (MATCH(345, 輔助計算!$G$2:$G$801, 0)+1))&lt;=790,3,IF(INDEX(ERP資料!$G:$G, (MATCH(345, 輔助計算!$G$2:$G$801, 0)+1))&lt;=1181,2,1)))=2,TEXT(INDEX(ERP資料!$G:$G, (MATCH(345, 輔助計算!$G$2:$G$801, 0)+1)),"0.##")&amp;"+"&amp;TEXT(INDEX(ERP資料!$G:$G, (MATCH(345, 輔助計算!$G$2:$G$801, 0)+1)),"0.##"),TEXT(INDEX(ERP資料!$G:$G, (MATCH(345, 輔助計算!$G$2:$G$801, 0)+1)),"0.##")&amp;"+"&amp;TEXT(INDEX(ERP資料!$G:$G, (MATCH(345, 輔助計算!$G$2:$G$801, 0)+1)),"0.##")&amp;"+"&amp;TEXT(INDEX(ERP資料!$G:$G, (MATCH(345, 輔助計算!$G$2:$G$801, 0)+1)),"0.##")))&amp;"-"&amp;INT(INDEX(輔助計算!$D:$D, (MATCH(345, 輔助計算!$G$2:$G$801, 0)+1))/IF(INDEX(ERP資料!$G:$G, (MATCH(345, 輔助計算!$G$2:$G$801, 0)+1))&lt;100, IF(INDEX(ERP資料!$G:$G, (MATCH(345, 輔助計算!$G$2:$G$801, 0)+1))&lt;=31,3,IF(INDEX(ERP資料!$G:$G, (MATCH(345, 輔助計算!$G$2:$G$801, 0)+1))&lt;=46.5,2,1)), IF(INDEX(ERP資料!$G:$G, (MATCH(345, 輔助計算!$G$2:$G$801, 0)+1))&lt;=790,3,IF(INDEX(ERP資料!$G:$G, (MATCH(345, 輔助計算!$G$2:$G$801, 0)+1))&lt;=1181,2,1)))), "")&lt;&gt;"",IF(MOD(INDEX(輔助計算!$D:$D, (MATCH(345, 輔助計算!$G$2:$G$801, 0)+1)),IF(INDEX(ERP資料!$G:$G, (MATCH(345, 輔助計算!$G$2:$G$801, 0)+1))&lt;100, IF(INDEX(ERP資料!$G:$G, (MATCH(345, 輔助計算!$G$2:$G$801, 0)+1))&lt;=31,3,IF(INDEX(ERP資料!$G:$G, (MATCH(345, 輔助計算!$G$2:$G$801, 0)+1))&lt;=46.5,2,1)), IF(INDEX(ERP資料!$G:$G, (MATCH(345, 輔助計算!$G$2:$G$801, 0)+1))&lt;=790,3,IF(INDEX(ERP資料!$G:$G, (MATCH(345, 輔助計算!$G$2:$G$801, 0)+1))&lt;=1181,2,1))))=0,"",IF(MOD(INDEX(輔助計算!$D:$D, (MATCH(345, 輔助計算!$G$2:$G$801, 0)+1)),IF(INDEX(ERP資料!$G:$G, (MATCH(345, 輔助計算!$G$2:$G$801, 0)+1))&lt;100, IF(INDEX(ERP資料!$G:$G, (MATCH(345, 輔助計算!$G$2:$G$801, 0)+1))&lt;=31,3,IF(INDEX(ERP資料!$G:$G, (MATCH(345, 輔助計算!$G$2:$G$801, 0)+1))&lt;=46.5,2,1)), IF(INDEX(ERP資料!$G:$G, (MATCH(345, 輔助計算!$G$2:$G$801, 0)+1))&lt;=790,3,IF(INDEX(ERP資料!$G:$G, (MATCH(345, 輔助計算!$G$2:$G$801, 0)+1))&lt;=1181,2,1))))=0,"",IF(MOD(INDEX(輔助計算!$D:$D, (MATCH(345, 輔助計算!$G$2:$G$801, 0)+1)),IF(INDEX(ERP資料!$G:$G, (MATCH(345, 輔助計算!$G$2:$G$801, 0)+1))&lt;100, IF(INDEX(ERP資料!$G:$G, (MATCH(345, 輔助計算!$G$2:$G$801, 0)+1))&lt;=31,3,IF(INDEX(ERP資料!$G:$G, (MATCH(345, 輔助計算!$G$2:$G$801, 0)+1))&lt;=46.5,2,1)), IF(INDEX(ERP資料!$G:$G, (MATCH(345, 輔助計算!$G$2:$G$801, 0)+1))&lt;=790,3,IF(INDEX(ERP資料!$G:$G, (MATCH(345, 輔助計算!$G$2:$G$801, 0)+1))&lt;=1181,2,1))))=1,TEXT(INDEX(ERP資料!$G:$G, (MATCH(345, 輔助計算!$G$2:$G$801, 0)+1)),"0.##"),IF(MOD(INDEX(輔助計算!$D:$D, (MATCH(345, 輔助計算!$G$2:$G$801, 0)+1)),IF(INDEX(ERP資料!$G:$G, (MATCH(345, 輔助計算!$G$2:$G$801, 0)+1))&lt;100, IF(INDEX(ERP資料!$G:$G, (MATCH(345, 輔助計算!$G$2:$G$801, 0)+1))&lt;=31,3,IF(INDEX(ERP資料!$G:$G, (MATCH(345, 輔助計算!$G$2:$G$801, 0)+1))&lt;=46.5,2,1)), IF(INDEX(ERP資料!$G:$G, (MATCH(345, 輔助計算!$G$2:$G$801, 0)+1))&lt;=790,3,IF(INDEX(ERP資料!$G:$G, (MATCH(345, 輔助計算!$G$2:$G$801, 0)+1))&lt;=1181,2,1))))=2,TEXT(INDEX(ERP資料!$G:$G, (MATCH(345, 輔助計算!$G$2:$G$801, 0)+1)),"0.##")&amp;"+"&amp;TEXT(INDEX(ERP資料!$G:$G, (MATCH(345, 輔助計算!$G$2:$G$801, 0)+1)),"0.##"),TEXT(INDEX(ERP資料!$G:$G, (MATCH(345, 輔助計算!$G$2:$G$801, 0)+1)),"0.##")&amp;"+"&amp;TEXT(INDEX(ERP資料!$G:$G, (MATCH(345, 輔助計算!$G$2:$G$801, 0)+1)),"0.##")&amp;"+"&amp;TEXT(INDEX(ERP資料!$G:$G, (MATCH(345, 輔助計算!$G$2:$G$801, 0)+1)),"0.##"))))&amp;"-1")&lt;&gt;""),"  ","")&amp;IF(MOD(INDEX(輔助計算!$D:$D, (MATCH(345, 輔助計算!$G$2:$G$801, 0)+1)),IF(INDEX(ERP資料!$G:$G, (MATCH(345, 輔助計算!$G$2:$G$801, 0)+1))&lt;100, IF(INDEX(ERP資料!$G:$G, (MATCH(345, 輔助計算!$G$2:$G$801, 0)+1))&lt;=31,3,IF(INDEX(ERP資料!$G:$G, (MATCH(345, 輔助計算!$G$2:$G$801, 0)+1))&lt;=46.5,2,1)), IF(INDEX(ERP資料!$G:$G, (MATCH(345, 輔助計算!$G$2:$G$801, 0)+1))&lt;=790,3,IF(INDEX(ERP資料!$G:$G, (MATCH(345, 輔助計算!$G$2:$G$801, 0)+1))&lt;=1181,2,1))))=0,"",IF(MOD(INDEX(輔助計算!$D:$D, (MATCH(345, 輔助計算!$G$2:$G$801, 0)+1)),IF(INDEX(ERP資料!$G:$G, (MATCH(345, 輔助計算!$G$2:$G$801, 0)+1))&lt;100, IF(INDEX(ERP資料!$G:$G, (MATCH(345, 輔助計算!$G$2:$G$801, 0)+1))&lt;=31,3,IF(INDEX(ERP資料!$G:$G, (MATCH(345, 輔助計算!$G$2:$G$801, 0)+1))&lt;=46.5,2,1)), IF(INDEX(ERP資料!$G:$G, (MATCH(345, 輔助計算!$G$2:$G$801, 0)+1))&lt;=790,3,IF(INDEX(ERP資料!$G:$G, (MATCH(345, 輔助計算!$G$2:$G$801, 0)+1))&lt;=1181,2,1))))=0,"",IF(MOD(INDEX(輔助計算!$D:$D, (MATCH(345, 輔助計算!$G$2:$G$801, 0)+1)),IF(INDEX(ERP資料!$G:$G, (MATCH(345, 輔助計算!$G$2:$G$801, 0)+1))&lt;100, IF(INDEX(ERP資料!$G:$G, (MATCH(345, 輔助計算!$G$2:$G$801, 0)+1))&lt;=31,3,IF(INDEX(ERP資料!$G:$G, (MATCH(345, 輔助計算!$G$2:$G$801, 0)+1))&lt;=46.5,2,1)), IF(INDEX(ERP資料!$G:$G, (MATCH(345, 輔助計算!$G$2:$G$801, 0)+1))&lt;=790,3,IF(INDEX(ERP資料!$G:$G, (MATCH(345, 輔助計算!$G$2:$G$801, 0)+1))&lt;=1181,2,1))))=1,TEXT(INDEX(ERP資料!$G:$G, (MATCH(345, 輔助計算!$G$2:$G$801, 0)+1)),"0.##"),IF(MOD(INDEX(輔助計算!$D:$D, (MATCH(345, 輔助計算!$G$2:$G$801, 0)+1)),IF(INDEX(ERP資料!$G:$G, (MATCH(345, 輔助計算!$G$2:$G$801, 0)+1))&lt;100, IF(INDEX(ERP資料!$G:$G, (MATCH(345, 輔助計算!$G$2:$G$801, 0)+1))&lt;=31,3,IF(INDEX(ERP資料!$G:$G, (MATCH(345, 輔助計算!$G$2:$G$801, 0)+1))&lt;=46.5,2,1)), IF(INDEX(ERP資料!$G:$G, (MATCH(345, 輔助計算!$G$2:$G$801, 0)+1))&lt;=790,3,IF(INDEX(ERP資料!$G:$G, (MATCH(345, 輔助計算!$G$2:$G$801, 0)+1))&lt;=1181,2,1))))=2,TEXT(INDEX(ERP資料!$G:$G, (MATCH(345, 輔助計算!$G$2:$G$801, 0)+1)),"0.##")&amp;"+"&amp;TEXT(INDEX(ERP資料!$G:$G, (MATCH(345, 輔助計算!$G$2:$G$801, 0)+1)),"0.##"),TEXT(INDEX(ERP資料!$G:$G, (MATCH(345, 輔助計算!$G$2:$G$801, 0)+1)),"0.##")&amp;"+"&amp;TEXT(INDEX(ERP資料!$G:$G, (MATCH(345, 輔助計算!$G$2:$G$801, 0)+1)),"0.##")&amp;"+"&amp;TEXT(INDEX(ERP資料!$G:$G, (MATCH(345, 輔助計算!$G$2:$G$801, 0)+1)),"0.##"))))&amp;"-1")), ""), "")</f>
        <v/>
      </c>
      <c r="K346" s="16" t="n"/>
      <c r="L346" s="14">
        <f>IFERROR(IF(AND(IFERROR(INDEX(ERP資料!$A:$A, (MATCH(345, 輔助計算!$G$2:$G$801, 0)+1)), "")&lt;&gt;"", IFERROR(INDEX(ERP資料!$A:$A, (MATCH(345, 輔助計算!$G$2:$G$801, 0)+1)), "")&lt;&gt;IFERROR(INDEX(ERP資料!$A:$A, MATCH(344, 輔助計算!$G$2:$G$801, 0)+1), "")), INDEX(ERP資料!$B:$B, (MATCH(345, 輔助計算!$G$2:$G$801, 0)+1)), ""), "")</f>
        <v/>
      </c>
      <c r="M346" s="17" t="n"/>
    </row>
    <row r="347">
      <c r="A347" s="10">
        <f>IFERROR(IF(AND(IFERROR(INDEX(ERP資料!$A:$A, (MATCH(346, 輔助計算!$G$2:$G$801, 0)+1)), "")&lt;&gt;"", IFERROR(INDEX(ERP資料!$A:$A, (MATCH(346, 輔助計算!$G$2:$G$801, 0)+1)), "")&lt;&gt;IFERROR(INDEX(ERP資料!$A:$A, MATCH(345, 輔助計算!$G$2:$G$801, 0)+1), "")), IFERROR(INDEX(ERP資料!$A:$A, (MATCH(346, 輔助計算!$G$2:$G$801, 0)+1)), ""), ""), "")</f>
        <v/>
      </c>
      <c r="B347" s="10">
        <f>IFERROR(IF(AND(IFERROR(INDEX(ERP資料!$A:$A, (MATCH(346, 輔助計算!$G$2:$G$801, 0)+1)), "")&lt;&gt;"", IFERROR(INDEX(ERP資料!$A:$A, (MATCH(346, 輔助計算!$G$2:$G$801, 0)+1)), "")&lt;&gt;IFERROR(INDEX(ERP資料!$A:$A, MATCH(345, 輔助計算!$G$2:$G$801, 0)+1), "")), INDEX(ERP資料!$S:$S, (MATCH(346, 輔助計算!$G$2:$G$801, 0)+1)), ""), "")</f>
        <v/>
      </c>
      <c r="C347" s="19">
        <f>IFERROR(IF(AND(IFERROR(INDEX(ERP資料!$A:$A, (MATCH(346, 輔助計算!$G$2:$G$801, 0)+1)), "")&lt;&gt;"", IFERROR(INDEX(ERP資料!$A:$A, (MATCH(346, 輔助計算!$G$2:$G$801, 0)+1)), "")&lt;&gt;IFERROR(INDEX(ERP資料!$A:$A, MATCH(345, 輔助計算!$G$2:$G$801, 0)+1), "")), IFERROR(VLOOKUP(LEFT(INDEX(ERP資料!$S:$S, (MATCH(346, 輔助計算!$G$2:$G$801, 0)+1)), 4), 紙管對照表!$A:$C, 3, FALSE), ""), ""), "")</f>
        <v/>
      </c>
      <c r="D347" s="16" t="n"/>
      <c r="E347" s="10">
        <f>IFERROR(IF(INDEX(ERP資料!$H:$H, (MATCH(346, 輔助計算!$G$2:$G$801, 0)+1))="","",INDEX(ERP資料!$H:$H, (MATCH(346, 輔助計算!$G$2:$G$801, 0)+1))), "")</f>
        <v/>
      </c>
      <c r="F347" s="10">
        <f>IFERROR(IF(INDEX(ERP資料!$E:$E, (MATCH(346, 輔助計算!$G$2:$G$801, 0)+1))="","",TRIM(INDEX(ERP資料!$E:$E, (MATCH(346, 輔助計算!$G$2:$G$801, 0)+1)))), "")</f>
        <v/>
      </c>
      <c r="G347" s="10">
        <f>IFERROR(IF(INDEX(ERP資料!$F:$F, (MATCH(346, 輔助計算!$G$2:$G$801, 0)+1))="","",INDEX(ERP資料!$F:$F, (MATCH(346, 輔助計算!$G$2:$G$801, 0)+1))), "")</f>
        <v/>
      </c>
      <c r="H347" s="10">
        <f>IFERROR(IF(INDEX(ERP資料!$G:$G, (MATCH(346, 輔助計算!$G$2:$G$801, 0)+1))="","",INDEX(ERP資料!$G:$G, (MATCH(346, 輔助計算!$G$2:$G$801, 0)+1))), "")</f>
        <v/>
      </c>
      <c r="I347" s="15">
        <f>IFERROR(INDEX(輔助計算!$D:$D, (MATCH(346, 輔助計算!$G$2:$G$801, 0)+1)), "")</f>
        <v/>
      </c>
      <c r="J347" s="15">
        <f>IFERROR(IF(AND(INDEX(輔助計算!$D:$D, (MATCH(346, 輔助計算!$G$2:$G$801, 0)+1))&lt;&gt;"", INDEX(ERP資料!$G:$G, (MATCH(346, 輔助計算!$G$2:$G$801, 0)+1))&lt;&gt;""), TRIM(IF(INT(INDEX(輔助計算!$D:$D, (MATCH(346, 輔助計算!$G$2:$G$801, 0)+1))/IF(INDEX(ERP資料!$G:$G, (MATCH(346, 輔助計算!$G$2:$G$801, 0)+1))&lt;100, IF(INDEX(ERP資料!$G:$G, (MATCH(346, 輔助計算!$G$2:$G$801, 0)+1))&lt;=31,3,IF(INDEX(ERP資料!$G:$G, (MATCH(346, 輔助計算!$G$2:$G$801, 0)+1))&lt;=46.5,2,1)), IF(INDEX(ERP資料!$G:$G, (MATCH(346, 輔助計算!$G$2:$G$801, 0)+1))&lt;=790,3,IF(INDEX(ERP資料!$G:$G, (MATCH(346, 輔助計算!$G$2:$G$801, 0)+1))&lt;=1181,2,1))))&gt;0, IF(IF(INDEX(ERP資料!$G:$G, (MATCH(346, 輔助計算!$G$2:$G$801, 0)+1))&lt;100, IF(INDEX(ERP資料!$G:$G, (MATCH(346, 輔助計算!$G$2:$G$801, 0)+1))&lt;=31,3,IF(INDEX(ERP資料!$G:$G, (MATCH(346, 輔助計算!$G$2:$G$801, 0)+1))&lt;=46.5,2,1)), IF(INDEX(ERP資料!$G:$G, (MATCH(346, 輔助計算!$G$2:$G$801, 0)+1))&lt;=790,3,IF(INDEX(ERP資料!$G:$G, (MATCH(346, 輔助計算!$G$2:$G$801, 0)+1))&lt;=1181,2,1)))=1,TEXT(INDEX(ERP資料!$G:$G, (MATCH(346, 輔助計算!$G$2:$G$801, 0)+1)),"0.##"),IF(IF(INDEX(ERP資料!$G:$G, (MATCH(346, 輔助計算!$G$2:$G$801, 0)+1))&lt;100, IF(INDEX(ERP資料!$G:$G, (MATCH(346, 輔助計算!$G$2:$G$801, 0)+1))&lt;=31,3,IF(INDEX(ERP資料!$G:$G, (MATCH(346, 輔助計算!$G$2:$G$801, 0)+1))&lt;=46.5,2,1)), IF(INDEX(ERP資料!$G:$G, (MATCH(346, 輔助計算!$G$2:$G$801, 0)+1))&lt;=790,3,IF(INDEX(ERP資料!$G:$G, (MATCH(346, 輔助計算!$G$2:$G$801, 0)+1))&lt;=1181,2,1)))=2,TEXT(INDEX(ERP資料!$G:$G, (MATCH(346, 輔助計算!$G$2:$G$801, 0)+1)),"0.##")&amp;"+"&amp;TEXT(INDEX(ERP資料!$G:$G, (MATCH(346, 輔助計算!$G$2:$G$801, 0)+1)),"0.##"),TEXT(INDEX(ERP資料!$G:$G, (MATCH(346, 輔助計算!$G$2:$G$801, 0)+1)),"0.##")&amp;"+"&amp;TEXT(INDEX(ERP資料!$G:$G, (MATCH(346, 輔助計算!$G$2:$G$801, 0)+1)),"0.##")&amp;"+"&amp;TEXT(INDEX(ERP資料!$G:$G, (MATCH(346, 輔助計算!$G$2:$G$801, 0)+1)),"0.##")))&amp;"-"&amp;INT(INDEX(輔助計算!$D:$D, (MATCH(346, 輔助計算!$G$2:$G$801, 0)+1))/IF(INDEX(ERP資料!$G:$G, (MATCH(346, 輔助計算!$G$2:$G$801, 0)+1))&lt;100, IF(INDEX(ERP資料!$G:$G, (MATCH(346, 輔助計算!$G$2:$G$801, 0)+1))&lt;=31,3,IF(INDEX(ERP資料!$G:$G, (MATCH(346, 輔助計算!$G$2:$G$801, 0)+1))&lt;=46.5,2,1)), IF(INDEX(ERP資料!$G:$G, (MATCH(346, 輔助計算!$G$2:$G$801, 0)+1))&lt;=790,3,IF(INDEX(ERP資料!$G:$G, (MATCH(346, 輔助計算!$G$2:$G$801, 0)+1))&lt;=1181,2,1)))), "")&amp;IF(AND(IF(INT(INDEX(輔助計算!$D:$D, (MATCH(346, 輔助計算!$G$2:$G$801, 0)+1))/IF(INDEX(ERP資料!$G:$G, (MATCH(346, 輔助計算!$G$2:$G$801, 0)+1))&lt;100, IF(INDEX(ERP資料!$G:$G, (MATCH(346, 輔助計算!$G$2:$G$801, 0)+1))&lt;=31,3,IF(INDEX(ERP資料!$G:$G, (MATCH(346, 輔助計算!$G$2:$G$801, 0)+1))&lt;=46.5,2,1)), IF(INDEX(ERP資料!$G:$G, (MATCH(346, 輔助計算!$G$2:$G$801, 0)+1))&lt;=790,3,IF(INDEX(ERP資料!$G:$G, (MATCH(346, 輔助計算!$G$2:$G$801, 0)+1))&lt;=1181,2,1))))&gt;0, IF(IF(INDEX(ERP資料!$G:$G, (MATCH(346, 輔助計算!$G$2:$G$801, 0)+1))&lt;100, IF(INDEX(ERP資料!$G:$G, (MATCH(346, 輔助計算!$G$2:$G$801, 0)+1))&lt;=31,3,IF(INDEX(ERP資料!$G:$G, (MATCH(346, 輔助計算!$G$2:$G$801, 0)+1))&lt;=46.5,2,1)), IF(INDEX(ERP資料!$G:$G, (MATCH(346, 輔助計算!$G$2:$G$801, 0)+1))&lt;=790,3,IF(INDEX(ERP資料!$G:$G, (MATCH(346, 輔助計算!$G$2:$G$801, 0)+1))&lt;=1181,2,1)))=1,TEXT(INDEX(ERP資料!$G:$G, (MATCH(346, 輔助計算!$G$2:$G$801, 0)+1)),"0.##"),IF(IF(INDEX(ERP資料!$G:$G, (MATCH(346, 輔助計算!$G$2:$G$801, 0)+1))&lt;100, IF(INDEX(ERP資料!$G:$G, (MATCH(346, 輔助計算!$G$2:$G$801, 0)+1))&lt;=31,3,IF(INDEX(ERP資料!$G:$G, (MATCH(346, 輔助計算!$G$2:$G$801, 0)+1))&lt;=46.5,2,1)), IF(INDEX(ERP資料!$G:$G, (MATCH(346, 輔助計算!$G$2:$G$801, 0)+1))&lt;=790,3,IF(INDEX(ERP資料!$G:$G, (MATCH(346, 輔助計算!$G$2:$G$801, 0)+1))&lt;=1181,2,1)))=2,TEXT(INDEX(ERP資料!$G:$G, (MATCH(346, 輔助計算!$G$2:$G$801, 0)+1)),"0.##")&amp;"+"&amp;TEXT(INDEX(ERP資料!$G:$G, (MATCH(346, 輔助計算!$G$2:$G$801, 0)+1)),"0.##"),TEXT(INDEX(ERP資料!$G:$G, (MATCH(346, 輔助計算!$G$2:$G$801, 0)+1)),"0.##")&amp;"+"&amp;TEXT(INDEX(ERP資料!$G:$G, (MATCH(346, 輔助計算!$G$2:$G$801, 0)+1)),"0.##")&amp;"+"&amp;TEXT(INDEX(ERP資料!$G:$G, (MATCH(346, 輔助計算!$G$2:$G$801, 0)+1)),"0.##")))&amp;"-"&amp;INT(INDEX(輔助計算!$D:$D, (MATCH(346, 輔助計算!$G$2:$G$801, 0)+1))/IF(INDEX(ERP資料!$G:$G, (MATCH(346, 輔助計算!$G$2:$G$801, 0)+1))&lt;100, IF(INDEX(ERP資料!$G:$G, (MATCH(346, 輔助計算!$G$2:$G$801, 0)+1))&lt;=31,3,IF(INDEX(ERP資料!$G:$G, (MATCH(346, 輔助計算!$G$2:$G$801, 0)+1))&lt;=46.5,2,1)), IF(INDEX(ERP資料!$G:$G, (MATCH(346, 輔助計算!$G$2:$G$801, 0)+1))&lt;=790,3,IF(INDEX(ERP資料!$G:$G, (MATCH(346, 輔助計算!$G$2:$G$801, 0)+1))&lt;=1181,2,1)))), "")&lt;&gt;"",IF(MOD(INDEX(輔助計算!$D:$D, (MATCH(346, 輔助計算!$G$2:$G$801, 0)+1)),IF(INDEX(ERP資料!$G:$G, (MATCH(346, 輔助計算!$G$2:$G$801, 0)+1))&lt;100, IF(INDEX(ERP資料!$G:$G, (MATCH(346, 輔助計算!$G$2:$G$801, 0)+1))&lt;=31,3,IF(INDEX(ERP資料!$G:$G, (MATCH(346, 輔助計算!$G$2:$G$801, 0)+1))&lt;=46.5,2,1)), IF(INDEX(ERP資料!$G:$G, (MATCH(346, 輔助計算!$G$2:$G$801, 0)+1))&lt;=790,3,IF(INDEX(ERP資料!$G:$G, (MATCH(346, 輔助計算!$G$2:$G$801, 0)+1))&lt;=1181,2,1))))=0,"",IF(MOD(INDEX(輔助計算!$D:$D, (MATCH(346, 輔助計算!$G$2:$G$801, 0)+1)),IF(INDEX(ERP資料!$G:$G, (MATCH(346, 輔助計算!$G$2:$G$801, 0)+1))&lt;100, IF(INDEX(ERP資料!$G:$G, (MATCH(346, 輔助計算!$G$2:$G$801, 0)+1))&lt;=31,3,IF(INDEX(ERP資料!$G:$G, (MATCH(346, 輔助計算!$G$2:$G$801, 0)+1))&lt;=46.5,2,1)), IF(INDEX(ERP資料!$G:$G, (MATCH(346, 輔助計算!$G$2:$G$801, 0)+1))&lt;=790,3,IF(INDEX(ERP資料!$G:$G, (MATCH(346, 輔助計算!$G$2:$G$801, 0)+1))&lt;=1181,2,1))))=0,"",IF(MOD(INDEX(輔助計算!$D:$D, (MATCH(346, 輔助計算!$G$2:$G$801, 0)+1)),IF(INDEX(ERP資料!$G:$G, (MATCH(346, 輔助計算!$G$2:$G$801, 0)+1))&lt;100, IF(INDEX(ERP資料!$G:$G, (MATCH(346, 輔助計算!$G$2:$G$801, 0)+1))&lt;=31,3,IF(INDEX(ERP資料!$G:$G, (MATCH(346, 輔助計算!$G$2:$G$801, 0)+1))&lt;=46.5,2,1)), IF(INDEX(ERP資料!$G:$G, (MATCH(346, 輔助計算!$G$2:$G$801, 0)+1))&lt;=790,3,IF(INDEX(ERP資料!$G:$G, (MATCH(346, 輔助計算!$G$2:$G$801, 0)+1))&lt;=1181,2,1))))=1,TEXT(INDEX(ERP資料!$G:$G, (MATCH(346, 輔助計算!$G$2:$G$801, 0)+1)),"0.##"),IF(MOD(INDEX(輔助計算!$D:$D, (MATCH(346, 輔助計算!$G$2:$G$801, 0)+1)),IF(INDEX(ERP資料!$G:$G, (MATCH(346, 輔助計算!$G$2:$G$801, 0)+1))&lt;100, IF(INDEX(ERP資料!$G:$G, (MATCH(346, 輔助計算!$G$2:$G$801, 0)+1))&lt;=31,3,IF(INDEX(ERP資料!$G:$G, (MATCH(346, 輔助計算!$G$2:$G$801, 0)+1))&lt;=46.5,2,1)), IF(INDEX(ERP資料!$G:$G, (MATCH(346, 輔助計算!$G$2:$G$801, 0)+1))&lt;=790,3,IF(INDEX(ERP資料!$G:$G, (MATCH(346, 輔助計算!$G$2:$G$801, 0)+1))&lt;=1181,2,1))))=2,TEXT(INDEX(ERP資料!$G:$G, (MATCH(346, 輔助計算!$G$2:$G$801, 0)+1)),"0.##")&amp;"+"&amp;TEXT(INDEX(ERP資料!$G:$G, (MATCH(346, 輔助計算!$G$2:$G$801, 0)+1)),"0.##"),TEXT(INDEX(ERP資料!$G:$G, (MATCH(346, 輔助計算!$G$2:$G$801, 0)+1)),"0.##")&amp;"+"&amp;TEXT(INDEX(ERP資料!$G:$G, (MATCH(346, 輔助計算!$G$2:$G$801, 0)+1)),"0.##")&amp;"+"&amp;TEXT(INDEX(ERP資料!$G:$G, (MATCH(346, 輔助計算!$G$2:$G$801, 0)+1)),"0.##"))))&amp;"-1")&lt;&gt;""),"  ","")&amp;IF(MOD(INDEX(輔助計算!$D:$D, (MATCH(346, 輔助計算!$G$2:$G$801, 0)+1)),IF(INDEX(ERP資料!$G:$G, (MATCH(346, 輔助計算!$G$2:$G$801, 0)+1))&lt;100, IF(INDEX(ERP資料!$G:$G, (MATCH(346, 輔助計算!$G$2:$G$801, 0)+1))&lt;=31,3,IF(INDEX(ERP資料!$G:$G, (MATCH(346, 輔助計算!$G$2:$G$801, 0)+1))&lt;=46.5,2,1)), IF(INDEX(ERP資料!$G:$G, (MATCH(346, 輔助計算!$G$2:$G$801, 0)+1))&lt;=790,3,IF(INDEX(ERP資料!$G:$G, (MATCH(346, 輔助計算!$G$2:$G$801, 0)+1))&lt;=1181,2,1))))=0,"",IF(MOD(INDEX(輔助計算!$D:$D, (MATCH(346, 輔助計算!$G$2:$G$801, 0)+1)),IF(INDEX(ERP資料!$G:$G, (MATCH(346, 輔助計算!$G$2:$G$801, 0)+1))&lt;100, IF(INDEX(ERP資料!$G:$G, (MATCH(346, 輔助計算!$G$2:$G$801, 0)+1))&lt;=31,3,IF(INDEX(ERP資料!$G:$G, (MATCH(346, 輔助計算!$G$2:$G$801, 0)+1))&lt;=46.5,2,1)), IF(INDEX(ERP資料!$G:$G, (MATCH(346, 輔助計算!$G$2:$G$801, 0)+1))&lt;=790,3,IF(INDEX(ERP資料!$G:$G, (MATCH(346, 輔助計算!$G$2:$G$801, 0)+1))&lt;=1181,2,1))))=0,"",IF(MOD(INDEX(輔助計算!$D:$D, (MATCH(346, 輔助計算!$G$2:$G$801, 0)+1)),IF(INDEX(ERP資料!$G:$G, (MATCH(346, 輔助計算!$G$2:$G$801, 0)+1))&lt;100, IF(INDEX(ERP資料!$G:$G, (MATCH(346, 輔助計算!$G$2:$G$801, 0)+1))&lt;=31,3,IF(INDEX(ERP資料!$G:$G, (MATCH(346, 輔助計算!$G$2:$G$801, 0)+1))&lt;=46.5,2,1)), IF(INDEX(ERP資料!$G:$G, (MATCH(346, 輔助計算!$G$2:$G$801, 0)+1))&lt;=790,3,IF(INDEX(ERP資料!$G:$G, (MATCH(346, 輔助計算!$G$2:$G$801, 0)+1))&lt;=1181,2,1))))=1,TEXT(INDEX(ERP資料!$G:$G, (MATCH(346, 輔助計算!$G$2:$G$801, 0)+1)),"0.##"),IF(MOD(INDEX(輔助計算!$D:$D, (MATCH(346, 輔助計算!$G$2:$G$801, 0)+1)),IF(INDEX(ERP資料!$G:$G, (MATCH(346, 輔助計算!$G$2:$G$801, 0)+1))&lt;100, IF(INDEX(ERP資料!$G:$G, (MATCH(346, 輔助計算!$G$2:$G$801, 0)+1))&lt;=31,3,IF(INDEX(ERP資料!$G:$G, (MATCH(346, 輔助計算!$G$2:$G$801, 0)+1))&lt;=46.5,2,1)), IF(INDEX(ERP資料!$G:$G, (MATCH(346, 輔助計算!$G$2:$G$801, 0)+1))&lt;=790,3,IF(INDEX(ERP資料!$G:$G, (MATCH(346, 輔助計算!$G$2:$G$801, 0)+1))&lt;=1181,2,1))))=2,TEXT(INDEX(ERP資料!$G:$G, (MATCH(346, 輔助計算!$G$2:$G$801, 0)+1)),"0.##")&amp;"+"&amp;TEXT(INDEX(ERP資料!$G:$G, (MATCH(346, 輔助計算!$G$2:$G$801, 0)+1)),"0.##"),TEXT(INDEX(ERP資料!$G:$G, (MATCH(346, 輔助計算!$G$2:$G$801, 0)+1)),"0.##")&amp;"+"&amp;TEXT(INDEX(ERP資料!$G:$G, (MATCH(346, 輔助計算!$G$2:$G$801, 0)+1)),"0.##")&amp;"+"&amp;TEXT(INDEX(ERP資料!$G:$G, (MATCH(346, 輔助計算!$G$2:$G$801, 0)+1)),"0.##"))))&amp;"-1")), ""), "")</f>
        <v/>
      </c>
      <c r="K347" s="16" t="n"/>
      <c r="L347" s="14">
        <f>IFERROR(IF(AND(IFERROR(INDEX(ERP資料!$A:$A, (MATCH(346, 輔助計算!$G$2:$G$801, 0)+1)), "")&lt;&gt;"", IFERROR(INDEX(ERP資料!$A:$A, (MATCH(346, 輔助計算!$G$2:$G$801, 0)+1)), "")&lt;&gt;IFERROR(INDEX(ERP資料!$A:$A, MATCH(345, 輔助計算!$G$2:$G$801, 0)+1), "")), INDEX(ERP資料!$B:$B, (MATCH(346, 輔助計算!$G$2:$G$801, 0)+1)), ""), "")</f>
        <v/>
      </c>
      <c r="M347" s="17" t="n"/>
    </row>
    <row r="348">
      <c r="A348" s="10">
        <f>IFERROR(IF(AND(IFERROR(INDEX(ERP資料!$A:$A, (MATCH(347, 輔助計算!$G$2:$G$801, 0)+1)), "")&lt;&gt;"", IFERROR(INDEX(ERP資料!$A:$A, (MATCH(347, 輔助計算!$G$2:$G$801, 0)+1)), "")&lt;&gt;IFERROR(INDEX(ERP資料!$A:$A, MATCH(346, 輔助計算!$G$2:$G$801, 0)+1), "")), IFERROR(INDEX(ERP資料!$A:$A, (MATCH(347, 輔助計算!$G$2:$G$801, 0)+1)), ""), ""), "")</f>
        <v/>
      </c>
      <c r="B348" s="10">
        <f>IFERROR(IF(AND(IFERROR(INDEX(ERP資料!$A:$A, (MATCH(347, 輔助計算!$G$2:$G$801, 0)+1)), "")&lt;&gt;"", IFERROR(INDEX(ERP資料!$A:$A, (MATCH(347, 輔助計算!$G$2:$G$801, 0)+1)), "")&lt;&gt;IFERROR(INDEX(ERP資料!$A:$A, MATCH(346, 輔助計算!$G$2:$G$801, 0)+1), "")), INDEX(ERP資料!$S:$S, (MATCH(347, 輔助計算!$G$2:$G$801, 0)+1)), ""), "")</f>
        <v/>
      </c>
      <c r="C348" s="19">
        <f>IFERROR(IF(AND(IFERROR(INDEX(ERP資料!$A:$A, (MATCH(347, 輔助計算!$G$2:$G$801, 0)+1)), "")&lt;&gt;"", IFERROR(INDEX(ERP資料!$A:$A, (MATCH(347, 輔助計算!$G$2:$G$801, 0)+1)), "")&lt;&gt;IFERROR(INDEX(ERP資料!$A:$A, MATCH(346, 輔助計算!$G$2:$G$801, 0)+1), "")), IFERROR(VLOOKUP(LEFT(INDEX(ERP資料!$S:$S, (MATCH(347, 輔助計算!$G$2:$G$801, 0)+1)), 4), 紙管對照表!$A:$C, 3, FALSE), ""), ""), "")</f>
        <v/>
      </c>
      <c r="D348" s="16" t="n"/>
      <c r="E348" s="10">
        <f>IFERROR(IF(INDEX(ERP資料!$H:$H, (MATCH(347, 輔助計算!$G$2:$G$801, 0)+1))="","",INDEX(ERP資料!$H:$H, (MATCH(347, 輔助計算!$G$2:$G$801, 0)+1))), "")</f>
        <v/>
      </c>
      <c r="F348" s="10">
        <f>IFERROR(IF(INDEX(ERP資料!$E:$E, (MATCH(347, 輔助計算!$G$2:$G$801, 0)+1))="","",TRIM(INDEX(ERP資料!$E:$E, (MATCH(347, 輔助計算!$G$2:$G$801, 0)+1)))), "")</f>
        <v/>
      </c>
      <c r="G348" s="10">
        <f>IFERROR(IF(INDEX(ERP資料!$F:$F, (MATCH(347, 輔助計算!$G$2:$G$801, 0)+1))="","",INDEX(ERP資料!$F:$F, (MATCH(347, 輔助計算!$G$2:$G$801, 0)+1))), "")</f>
        <v/>
      </c>
      <c r="H348" s="10">
        <f>IFERROR(IF(INDEX(ERP資料!$G:$G, (MATCH(347, 輔助計算!$G$2:$G$801, 0)+1))="","",INDEX(ERP資料!$G:$G, (MATCH(347, 輔助計算!$G$2:$G$801, 0)+1))), "")</f>
        <v/>
      </c>
      <c r="I348" s="15">
        <f>IFERROR(INDEX(輔助計算!$D:$D, (MATCH(347, 輔助計算!$G$2:$G$801, 0)+1)), "")</f>
        <v/>
      </c>
      <c r="J348" s="15">
        <f>IFERROR(IF(AND(INDEX(輔助計算!$D:$D, (MATCH(347, 輔助計算!$G$2:$G$801, 0)+1))&lt;&gt;"", INDEX(ERP資料!$G:$G, (MATCH(347, 輔助計算!$G$2:$G$801, 0)+1))&lt;&gt;""), TRIM(IF(INT(INDEX(輔助計算!$D:$D, (MATCH(347, 輔助計算!$G$2:$G$801, 0)+1))/IF(INDEX(ERP資料!$G:$G, (MATCH(347, 輔助計算!$G$2:$G$801, 0)+1))&lt;100, IF(INDEX(ERP資料!$G:$G, (MATCH(347, 輔助計算!$G$2:$G$801, 0)+1))&lt;=31,3,IF(INDEX(ERP資料!$G:$G, (MATCH(347, 輔助計算!$G$2:$G$801, 0)+1))&lt;=46.5,2,1)), IF(INDEX(ERP資料!$G:$G, (MATCH(347, 輔助計算!$G$2:$G$801, 0)+1))&lt;=790,3,IF(INDEX(ERP資料!$G:$G, (MATCH(347, 輔助計算!$G$2:$G$801, 0)+1))&lt;=1181,2,1))))&gt;0, IF(IF(INDEX(ERP資料!$G:$G, (MATCH(347, 輔助計算!$G$2:$G$801, 0)+1))&lt;100, IF(INDEX(ERP資料!$G:$G, (MATCH(347, 輔助計算!$G$2:$G$801, 0)+1))&lt;=31,3,IF(INDEX(ERP資料!$G:$G, (MATCH(347, 輔助計算!$G$2:$G$801, 0)+1))&lt;=46.5,2,1)), IF(INDEX(ERP資料!$G:$G, (MATCH(347, 輔助計算!$G$2:$G$801, 0)+1))&lt;=790,3,IF(INDEX(ERP資料!$G:$G, (MATCH(347, 輔助計算!$G$2:$G$801, 0)+1))&lt;=1181,2,1)))=1,TEXT(INDEX(ERP資料!$G:$G, (MATCH(347, 輔助計算!$G$2:$G$801, 0)+1)),"0.##"),IF(IF(INDEX(ERP資料!$G:$G, (MATCH(347, 輔助計算!$G$2:$G$801, 0)+1))&lt;100, IF(INDEX(ERP資料!$G:$G, (MATCH(347, 輔助計算!$G$2:$G$801, 0)+1))&lt;=31,3,IF(INDEX(ERP資料!$G:$G, (MATCH(347, 輔助計算!$G$2:$G$801, 0)+1))&lt;=46.5,2,1)), IF(INDEX(ERP資料!$G:$G, (MATCH(347, 輔助計算!$G$2:$G$801, 0)+1))&lt;=790,3,IF(INDEX(ERP資料!$G:$G, (MATCH(347, 輔助計算!$G$2:$G$801, 0)+1))&lt;=1181,2,1)))=2,TEXT(INDEX(ERP資料!$G:$G, (MATCH(347, 輔助計算!$G$2:$G$801, 0)+1)),"0.##")&amp;"+"&amp;TEXT(INDEX(ERP資料!$G:$G, (MATCH(347, 輔助計算!$G$2:$G$801, 0)+1)),"0.##"),TEXT(INDEX(ERP資料!$G:$G, (MATCH(347, 輔助計算!$G$2:$G$801, 0)+1)),"0.##")&amp;"+"&amp;TEXT(INDEX(ERP資料!$G:$G, (MATCH(347, 輔助計算!$G$2:$G$801, 0)+1)),"0.##")&amp;"+"&amp;TEXT(INDEX(ERP資料!$G:$G, (MATCH(347, 輔助計算!$G$2:$G$801, 0)+1)),"0.##")))&amp;"-"&amp;INT(INDEX(輔助計算!$D:$D, (MATCH(347, 輔助計算!$G$2:$G$801, 0)+1))/IF(INDEX(ERP資料!$G:$G, (MATCH(347, 輔助計算!$G$2:$G$801, 0)+1))&lt;100, IF(INDEX(ERP資料!$G:$G, (MATCH(347, 輔助計算!$G$2:$G$801, 0)+1))&lt;=31,3,IF(INDEX(ERP資料!$G:$G, (MATCH(347, 輔助計算!$G$2:$G$801, 0)+1))&lt;=46.5,2,1)), IF(INDEX(ERP資料!$G:$G, (MATCH(347, 輔助計算!$G$2:$G$801, 0)+1))&lt;=790,3,IF(INDEX(ERP資料!$G:$G, (MATCH(347, 輔助計算!$G$2:$G$801, 0)+1))&lt;=1181,2,1)))), "")&amp;IF(AND(IF(INT(INDEX(輔助計算!$D:$D, (MATCH(347, 輔助計算!$G$2:$G$801, 0)+1))/IF(INDEX(ERP資料!$G:$G, (MATCH(347, 輔助計算!$G$2:$G$801, 0)+1))&lt;100, IF(INDEX(ERP資料!$G:$G, (MATCH(347, 輔助計算!$G$2:$G$801, 0)+1))&lt;=31,3,IF(INDEX(ERP資料!$G:$G, (MATCH(347, 輔助計算!$G$2:$G$801, 0)+1))&lt;=46.5,2,1)), IF(INDEX(ERP資料!$G:$G, (MATCH(347, 輔助計算!$G$2:$G$801, 0)+1))&lt;=790,3,IF(INDEX(ERP資料!$G:$G, (MATCH(347, 輔助計算!$G$2:$G$801, 0)+1))&lt;=1181,2,1))))&gt;0, IF(IF(INDEX(ERP資料!$G:$G, (MATCH(347, 輔助計算!$G$2:$G$801, 0)+1))&lt;100, IF(INDEX(ERP資料!$G:$G, (MATCH(347, 輔助計算!$G$2:$G$801, 0)+1))&lt;=31,3,IF(INDEX(ERP資料!$G:$G, (MATCH(347, 輔助計算!$G$2:$G$801, 0)+1))&lt;=46.5,2,1)), IF(INDEX(ERP資料!$G:$G, (MATCH(347, 輔助計算!$G$2:$G$801, 0)+1))&lt;=790,3,IF(INDEX(ERP資料!$G:$G, (MATCH(347, 輔助計算!$G$2:$G$801, 0)+1))&lt;=1181,2,1)))=1,TEXT(INDEX(ERP資料!$G:$G, (MATCH(347, 輔助計算!$G$2:$G$801, 0)+1)),"0.##"),IF(IF(INDEX(ERP資料!$G:$G, (MATCH(347, 輔助計算!$G$2:$G$801, 0)+1))&lt;100, IF(INDEX(ERP資料!$G:$G, (MATCH(347, 輔助計算!$G$2:$G$801, 0)+1))&lt;=31,3,IF(INDEX(ERP資料!$G:$G, (MATCH(347, 輔助計算!$G$2:$G$801, 0)+1))&lt;=46.5,2,1)), IF(INDEX(ERP資料!$G:$G, (MATCH(347, 輔助計算!$G$2:$G$801, 0)+1))&lt;=790,3,IF(INDEX(ERP資料!$G:$G, (MATCH(347, 輔助計算!$G$2:$G$801, 0)+1))&lt;=1181,2,1)))=2,TEXT(INDEX(ERP資料!$G:$G, (MATCH(347, 輔助計算!$G$2:$G$801, 0)+1)),"0.##")&amp;"+"&amp;TEXT(INDEX(ERP資料!$G:$G, (MATCH(347, 輔助計算!$G$2:$G$801, 0)+1)),"0.##"),TEXT(INDEX(ERP資料!$G:$G, (MATCH(347, 輔助計算!$G$2:$G$801, 0)+1)),"0.##")&amp;"+"&amp;TEXT(INDEX(ERP資料!$G:$G, (MATCH(347, 輔助計算!$G$2:$G$801, 0)+1)),"0.##")&amp;"+"&amp;TEXT(INDEX(ERP資料!$G:$G, (MATCH(347, 輔助計算!$G$2:$G$801, 0)+1)),"0.##")))&amp;"-"&amp;INT(INDEX(輔助計算!$D:$D, (MATCH(347, 輔助計算!$G$2:$G$801, 0)+1))/IF(INDEX(ERP資料!$G:$G, (MATCH(347, 輔助計算!$G$2:$G$801, 0)+1))&lt;100, IF(INDEX(ERP資料!$G:$G, (MATCH(347, 輔助計算!$G$2:$G$801, 0)+1))&lt;=31,3,IF(INDEX(ERP資料!$G:$G, (MATCH(347, 輔助計算!$G$2:$G$801, 0)+1))&lt;=46.5,2,1)), IF(INDEX(ERP資料!$G:$G, (MATCH(347, 輔助計算!$G$2:$G$801, 0)+1))&lt;=790,3,IF(INDEX(ERP資料!$G:$G, (MATCH(347, 輔助計算!$G$2:$G$801, 0)+1))&lt;=1181,2,1)))), "")&lt;&gt;"",IF(MOD(INDEX(輔助計算!$D:$D, (MATCH(347, 輔助計算!$G$2:$G$801, 0)+1)),IF(INDEX(ERP資料!$G:$G, (MATCH(347, 輔助計算!$G$2:$G$801, 0)+1))&lt;100, IF(INDEX(ERP資料!$G:$G, (MATCH(347, 輔助計算!$G$2:$G$801, 0)+1))&lt;=31,3,IF(INDEX(ERP資料!$G:$G, (MATCH(347, 輔助計算!$G$2:$G$801, 0)+1))&lt;=46.5,2,1)), IF(INDEX(ERP資料!$G:$G, (MATCH(347, 輔助計算!$G$2:$G$801, 0)+1))&lt;=790,3,IF(INDEX(ERP資料!$G:$G, (MATCH(347, 輔助計算!$G$2:$G$801, 0)+1))&lt;=1181,2,1))))=0,"",IF(MOD(INDEX(輔助計算!$D:$D, (MATCH(347, 輔助計算!$G$2:$G$801, 0)+1)),IF(INDEX(ERP資料!$G:$G, (MATCH(347, 輔助計算!$G$2:$G$801, 0)+1))&lt;100, IF(INDEX(ERP資料!$G:$G, (MATCH(347, 輔助計算!$G$2:$G$801, 0)+1))&lt;=31,3,IF(INDEX(ERP資料!$G:$G, (MATCH(347, 輔助計算!$G$2:$G$801, 0)+1))&lt;=46.5,2,1)), IF(INDEX(ERP資料!$G:$G, (MATCH(347, 輔助計算!$G$2:$G$801, 0)+1))&lt;=790,3,IF(INDEX(ERP資料!$G:$G, (MATCH(347, 輔助計算!$G$2:$G$801, 0)+1))&lt;=1181,2,1))))=0,"",IF(MOD(INDEX(輔助計算!$D:$D, (MATCH(347, 輔助計算!$G$2:$G$801, 0)+1)),IF(INDEX(ERP資料!$G:$G, (MATCH(347, 輔助計算!$G$2:$G$801, 0)+1))&lt;100, IF(INDEX(ERP資料!$G:$G, (MATCH(347, 輔助計算!$G$2:$G$801, 0)+1))&lt;=31,3,IF(INDEX(ERP資料!$G:$G, (MATCH(347, 輔助計算!$G$2:$G$801, 0)+1))&lt;=46.5,2,1)), IF(INDEX(ERP資料!$G:$G, (MATCH(347, 輔助計算!$G$2:$G$801, 0)+1))&lt;=790,3,IF(INDEX(ERP資料!$G:$G, (MATCH(347, 輔助計算!$G$2:$G$801, 0)+1))&lt;=1181,2,1))))=1,TEXT(INDEX(ERP資料!$G:$G, (MATCH(347, 輔助計算!$G$2:$G$801, 0)+1)),"0.##"),IF(MOD(INDEX(輔助計算!$D:$D, (MATCH(347, 輔助計算!$G$2:$G$801, 0)+1)),IF(INDEX(ERP資料!$G:$G, (MATCH(347, 輔助計算!$G$2:$G$801, 0)+1))&lt;100, IF(INDEX(ERP資料!$G:$G, (MATCH(347, 輔助計算!$G$2:$G$801, 0)+1))&lt;=31,3,IF(INDEX(ERP資料!$G:$G, (MATCH(347, 輔助計算!$G$2:$G$801, 0)+1))&lt;=46.5,2,1)), IF(INDEX(ERP資料!$G:$G, (MATCH(347, 輔助計算!$G$2:$G$801, 0)+1))&lt;=790,3,IF(INDEX(ERP資料!$G:$G, (MATCH(347, 輔助計算!$G$2:$G$801, 0)+1))&lt;=1181,2,1))))=2,TEXT(INDEX(ERP資料!$G:$G, (MATCH(347, 輔助計算!$G$2:$G$801, 0)+1)),"0.##")&amp;"+"&amp;TEXT(INDEX(ERP資料!$G:$G, (MATCH(347, 輔助計算!$G$2:$G$801, 0)+1)),"0.##"),TEXT(INDEX(ERP資料!$G:$G, (MATCH(347, 輔助計算!$G$2:$G$801, 0)+1)),"0.##")&amp;"+"&amp;TEXT(INDEX(ERP資料!$G:$G, (MATCH(347, 輔助計算!$G$2:$G$801, 0)+1)),"0.##")&amp;"+"&amp;TEXT(INDEX(ERP資料!$G:$G, (MATCH(347, 輔助計算!$G$2:$G$801, 0)+1)),"0.##"))))&amp;"-1")&lt;&gt;""),"  ","")&amp;IF(MOD(INDEX(輔助計算!$D:$D, (MATCH(347, 輔助計算!$G$2:$G$801, 0)+1)),IF(INDEX(ERP資料!$G:$G, (MATCH(347, 輔助計算!$G$2:$G$801, 0)+1))&lt;100, IF(INDEX(ERP資料!$G:$G, (MATCH(347, 輔助計算!$G$2:$G$801, 0)+1))&lt;=31,3,IF(INDEX(ERP資料!$G:$G, (MATCH(347, 輔助計算!$G$2:$G$801, 0)+1))&lt;=46.5,2,1)), IF(INDEX(ERP資料!$G:$G, (MATCH(347, 輔助計算!$G$2:$G$801, 0)+1))&lt;=790,3,IF(INDEX(ERP資料!$G:$G, (MATCH(347, 輔助計算!$G$2:$G$801, 0)+1))&lt;=1181,2,1))))=0,"",IF(MOD(INDEX(輔助計算!$D:$D, (MATCH(347, 輔助計算!$G$2:$G$801, 0)+1)),IF(INDEX(ERP資料!$G:$G, (MATCH(347, 輔助計算!$G$2:$G$801, 0)+1))&lt;100, IF(INDEX(ERP資料!$G:$G, (MATCH(347, 輔助計算!$G$2:$G$801, 0)+1))&lt;=31,3,IF(INDEX(ERP資料!$G:$G, (MATCH(347, 輔助計算!$G$2:$G$801, 0)+1))&lt;=46.5,2,1)), IF(INDEX(ERP資料!$G:$G, (MATCH(347, 輔助計算!$G$2:$G$801, 0)+1))&lt;=790,3,IF(INDEX(ERP資料!$G:$G, (MATCH(347, 輔助計算!$G$2:$G$801, 0)+1))&lt;=1181,2,1))))=0,"",IF(MOD(INDEX(輔助計算!$D:$D, (MATCH(347, 輔助計算!$G$2:$G$801, 0)+1)),IF(INDEX(ERP資料!$G:$G, (MATCH(347, 輔助計算!$G$2:$G$801, 0)+1))&lt;100, IF(INDEX(ERP資料!$G:$G, (MATCH(347, 輔助計算!$G$2:$G$801, 0)+1))&lt;=31,3,IF(INDEX(ERP資料!$G:$G, (MATCH(347, 輔助計算!$G$2:$G$801, 0)+1))&lt;=46.5,2,1)), IF(INDEX(ERP資料!$G:$G, (MATCH(347, 輔助計算!$G$2:$G$801, 0)+1))&lt;=790,3,IF(INDEX(ERP資料!$G:$G, (MATCH(347, 輔助計算!$G$2:$G$801, 0)+1))&lt;=1181,2,1))))=1,TEXT(INDEX(ERP資料!$G:$G, (MATCH(347, 輔助計算!$G$2:$G$801, 0)+1)),"0.##"),IF(MOD(INDEX(輔助計算!$D:$D, (MATCH(347, 輔助計算!$G$2:$G$801, 0)+1)),IF(INDEX(ERP資料!$G:$G, (MATCH(347, 輔助計算!$G$2:$G$801, 0)+1))&lt;100, IF(INDEX(ERP資料!$G:$G, (MATCH(347, 輔助計算!$G$2:$G$801, 0)+1))&lt;=31,3,IF(INDEX(ERP資料!$G:$G, (MATCH(347, 輔助計算!$G$2:$G$801, 0)+1))&lt;=46.5,2,1)), IF(INDEX(ERP資料!$G:$G, (MATCH(347, 輔助計算!$G$2:$G$801, 0)+1))&lt;=790,3,IF(INDEX(ERP資料!$G:$G, (MATCH(347, 輔助計算!$G$2:$G$801, 0)+1))&lt;=1181,2,1))))=2,TEXT(INDEX(ERP資料!$G:$G, (MATCH(347, 輔助計算!$G$2:$G$801, 0)+1)),"0.##")&amp;"+"&amp;TEXT(INDEX(ERP資料!$G:$G, (MATCH(347, 輔助計算!$G$2:$G$801, 0)+1)),"0.##"),TEXT(INDEX(ERP資料!$G:$G, (MATCH(347, 輔助計算!$G$2:$G$801, 0)+1)),"0.##")&amp;"+"&amp;TEXT(INDEX(ERP資料!$G:$G, (MATCH(347, 輔助計算!$G$2:$G$801, 0)+1)),"0.##")&amp;"+"&amp;TEXT(INDEX(ERP資料!$G:$G, (MATCH(347, 輔助計算!$G$2:$G$801, 0)+1)),"0.##"))))&amp;"-1")), ""), "")</f>
        <v/>
      </c>
      <c r="K348" s="16" t="n"/>
      <c r="L348" s="14">
        <f>IFERROR(IF(AND(IFERROR(INDEX(ERP資料!$A:$A, (MATCH(347, 輔助計算!$G$2:$G$801, 0)+1)), "")&lt;&gt;"", IFERROR(INDEX(ERP資料!$A:$A, (MATCH(347, 輔助計算!$G$2:$G$801, 0)+1)), "")&lt;&gt;IFERROR(INDEX(ERP資料!$A:$A, MATCH(346, 輔助計算!$G$2:$G$801, 0)+1), "")), INDEX(ERP資料!$B:$B, (MATCH(347, 輔助計算!$G$2:$G$801, 0)+1)), ""), "")</f>
        <v/>
      </c>
      <c r="M348" s="17" t="n"/>
    </row>
    <row r="349">
      <c r="A349" s="10">
        <f>IFERROR(IF(AND(IFERROR(INDEX(ERP資料!$A:$A, (MATCH(348, 輔助計算!$G$2:$G$801, 0)+1)), "")&lt;&gt;"", IFERROR(INDEX(ERP資料!$A:$A, (MATCH(348, 輔助計算!$G$2:$G$801, 0)+1)), "")&lt;&gt;IFERROR(INDEX(ERP資料!$A:$A, MATCH(347, 輔助計算!$G$2:$G$801, 0)+1), "")), IFERROR(INDEX(ERP資料!$A:$A, (MATCH(348, 輔助計算!$G$2:$G$801, 0)+1)), ""), ""), "")</f>
        <v/>
      </c>
      <c r="B349" s="10">
        <f>IFERROR(IF(AND(IFERROR(INDEX(ERP資料!$A:$A, (MATCH(348, 輔助計算!$G$2:$G$801, 0)+1)), "")&lt;&gt;"", IFERROR(INDEX(ERP資料!$A:$A, (MATCH(348, 輔助計算!$G$2:$G$801, 0)+1)), "")&lt;&gt;IFERROR(INDEX(ERP資料!$A:$A, MATCH(347, 輔助計算!$G$2:$G$801, 0)+1), "")), INDEX(ERP資料!$S:$S, (MATCH(348, 輔助計算!$G$2:$G$801, 0)+1)), ""), "")</f>
        <v/>
      </c>
      <c r="C349" s="19">
        <f>IFERROR(IF(AND(IFERROR(INDEX(ERP資料!$A:$A, (MATCH(348, 輔助計算!$G$2:$G$801, 0)+1)), "")&lt;&gt;"", IFERROR(INDEX(ERP資料!$A:$A, (MATCH(348, 輔助計算!$G$2:$G$801, 0)+1)), "")&lt;&gt;IFERROR(INDEX(ERP資料!$A:$A, MATCH(347, 輔助計算!$G$2:$G$801, 0)+1), "")), IFERROR(VLOOKUP(LEFT(INDEX(ERP資料!$S:$S, (MATCH(348, 輔助計算!$G$2:$G$801, 0)+1)), 4), 紙管對照表!$A:$C, 3, FALSE), ""), ""), "")</f>
        <v/>
      </c>
      <c r="D349" s="16" t="n"/>
      <c r="E349" s="10">
        <f>IFERROR(IF(INDEX(ERP資料!$H:$H, (MATCH(348, 輔助計算!$G$2:$G$801, 0)+1))="","",INDEX(ERP資料!$H:$H, (MATCH(348, 輔助計算!$G$2:$G$801, 0)+1))), "")</f>
        <v/>
      </c>
      <c r="F349" s="10">
        <f>IFERROR(IF(INDEX(ERP資料!$E:$E, (MATCH(348, 輔助計算!$G$2:$G$801, 0)+1))="","",TRIM(INDEX(ERP資料!$E:$E, (MATCH(348, 輔助計算!$G$2:$G$801, 0)+1)))), "")</f>
        <v/>
      </c>
      <c r="G349" s="10">
        <f>IFERROR(IF(INDEX(ERP資料!$F:$F, (MATCH(348, 輔助計算!$G$2:$G$801, 0)+1))="","",INDEX(ERP資料!$F:$F, (MATCH(348, 輔助計算!$G$2:$G$801, 0)+1))), "")</f>
        <v/>
      </c>
      <c r="H349" s="10">
        <f>IFERROR(IF(INDEX(ERP資料!$G:$G, (MATCH(348, 輔助計算!$G$2:$G$801, 0)+1))="","",INDEX(ERP資料!$G:$G, (MATCH(348, 輔助計算!$G$2:$G$801, 0)+1))), "")</f>
        <v/>
      </c>
      <c r="I349" s="15">
        <f>IFERROR(INDEX(輔助計算!$D:$D, (MATCH(348, 輔助計算!$G$2:$G$801, 0)+1)), "")</f>
        <v/>
      </c>
      <c r="J349" s="15">
        <f>IFERROR(IF(AND(INDEX(輔助計算!$D:$D, (MATCH(348, 輔助計算!$G$2:$G$801, 0)+1))&lt;&gt;"", INDEX(ERP資料!$G:$G, (MATCH(348, 輔助計算!$G$2:$G$801, 0)+1))&lt;&gt;""), TRIM(IF(INT(INDEX(輔助計算!$D:$D, (MATCH(348, 輔助計算!$G$2:$G$801, 0)+1))/IF(INDEX(ERP資料!$G:$G, (MATCH(348, 輔助計算!$G$2:$G$801, 0)+1))&lt;100, IF(INDEX(ERP資料!$G:$G, (MATCH(348, 輔助計算!$G$2:$G$801, 0)+1))&lt;=31,3,IF(INDEX(ERP資料!$G:$G, (MATCH(348, 輔助計算!$G$2:$G$801, 0)+1))&lt;=46.5,2,1)), IF(INDEX(ERP資料!$G:$G, (MATCH(348, 輔助計算!$G$2:$G$801, 0)+1))&lt;=790,3,IF(INDEX(ERP資料!$G:$G, (MATCH(348, 輔助計算!$G$2:$G$801, 0)+1))&lt;=1181,2,1))))&gt;0, IF(IF(INDEX(ERP資料!$G:$G, (MATCH(348, 輔助計算!$G$2:$G$801, 0)+1))&lt;100, IF(INDEX(ERP資料!$G:$G, (MATCH(348, 輔助計算!$G$2:$G$801, 0)+1))&lt;=31,3,IF(INDEX(ERP資料!$G:$G, (MATCH(348, 輔助計算!$G$2:$G$801, 0)+1))&lt;=46.5,2,1)), IF(INDEX(ERP資料!$G:$G, (MATCH(348, 輔助計算!$G$2:$G$801, 0)+1))&lt;=790,3,IF(INDEX(ERP資料!$G:$G, (MATCH(348, 輔助計算!$G$2:$G$801, 0)+1))&lt;=1181,2,1)))=1,TEXT(INDEX(ERP資料!$G:$G, (MATCH(348, 輔助計算!$G$2:$G$801, 0)+1)),"0.##"),IF(IF(INDEX(ERP資料!$G:$G, (MATCH(348, 輔助計算!$G$2:$G$801, 0)+1))&lt;100, IF(INDEX(ERP資料!$G:$G, (MATCH(348, 輔助計算!$G$2:$G$801, 0)+1))&lt;=31,3,IF(INDEX(ERP資料!$G:$G, (MATCH(348, 輔助計算!$G$2:$G$801, 0)+1))&lt;=46.5,2,1)), IF(INDEX(ERP資料!$G:$G, (MATCH(348, 輔助計算!$G$2:$G$801, 0)+1))&lt;=790,3,IF(INDEX(ERP資料!$G:$G, (MATCH(348, 輔助計算!$G$2:$G$801, 0)+1))&lt;=1181,2,1)))=2,TEXT(INDEX(ERP資料!$G:$G, (MATCH(348, 輔助計算!$G$2:$G$801, 0)+1)),"0.##")&amp;"+"&amp;TEXT(INDEX(ERP資料!$G:$G, (MATCH(348, 輔助計算!$G$2:$G$801, 0)+1)),"0.##"),TEXT(INDEX(ERP資料!$G:$G, (MATCH(348, 輔助計算!$G$2:$G$801, 0)+1)),"0.##")&amp;"+"&amp;TEXT(INDEX(ERP資料!$G:$G, (MATCH(348, 輔助計算!$G$2:$G$801, 0)+1)),"0.##")&amp;"+"&amp;TEXT(INDEX(ERP資料!$G:$G, (MATCH(348, 輔助計算!$G$2:$G$801, 0)+1)),"0.##")))&amp;"-"&amp;INT(INDEX(輔助計算!$D:$D, (MATCH(348, 輔助計算!$G$2:$G$801, 0)+1))/IF(INDEX(ERP資料!$G:$G, (MATCH(348, 輔助計算!$G$2:$G$801, 0)+1))&lt;100, IF(INDEX(ERP資料!$G:$G, (MATCH(348, 輔助計算!$G$2:$G$801, 0)+1))&lt;=31,3,IF(INDEX(ERP資料!$G:$G, (MATCH(348, 輔助計算!$G$2:$G$801, 0)+1))&lt;=46.5,2,1)), IF(INDEX(ERP資料!$G:$G, (MATCH(348, 輔助計算!$G$2:$G$801, 0)+1))&lt;=790,3,IF(INDEX(ERP資料!$G:$G, (MATCH(348, 輔助計算!$G$2:$G$801, 0)+1))&lt;=1181,2,1)))), "")&amp;IF(AND(IF(INT(INDEX(輔助計算!$D:$D, (MATCH(348, 輔助計算!$G$2:$G$801, 0)+1))/IF(INDEX(ERP資料!$G:$G, (MATCH(348, 輔助計算!$G$2:$G$801, 0)+1))&lt;100, IF(INDEX(ERP資料!$G:$G, (MATCH(348, 輔助計算!$G$2:$G$801, 0)+1))&lt;=31,3,IF(INDEX(ERP資料!$G:$G, (MATCH(348, 輔助計算!$G$2:$G$801, 0)+1))&lt;=46.5,2,1)), IF(INDEX(ERP資料!$G:$G, (MATCH(348, 輔助計算!$G$2:$G$801, 0)+1))&lt;=790,3,IF(INDEX(ERP資料!$G:$G, (MATCH(348, 輔助計算!$G$2:$G$801, 0)+1))&lt;=1181,2,1))))&gt;0, IF(IF(INDEX(ERP資料!$G:$G, (MATCH(348, 輔助計算!$G$2:$G$801, 0)+1))&lt;100, IF(INDEX(ERP資料!$G:$G, (MATCH(348, 輔助計算!$G$2:$G$801, 0)+1))&lt;=31,3,IF(INDEX(ERP資料!$G:$G, (MATCH(348, 輔助計算!$G$2:$G$801, 0)+1))&lt;=46.5,2,1)), IF(INDEX(ERP資料!$G:$G, (MATCH(348, 輔助計算!$G$2:$G$801, 0)+1))&lt;=790,3,IF(INDEX(ERP資料!$G:$G, (MATCH(348, 輔助計算!$G$2:$G$801, 0)+1))&lt;=1181,2,1)))=1,TEXT(INDEX(ERP資料!$G:$G, (MATCH(348, 輔助計算!$G$2:$G$801, 0)+1)),"0.##"),IF(IF(INDEX(ERP資料!$G:$G, (MATCH(348, 輔助計算!$G$2:$G$801, 0)+1))&lt;100, IF(INDEX(ERP資料!$G:$G, (MATCH(348, 輔助計算!$G$2:$G$801, 0)+1))&lt;=31,3,IF(INDEX(ERP資料!$G:$G, (MATCH(348, 輔助計算!$G$2:$G$801, 0)+1))&lt;=46.5,2,1)), IF(INDEX(ERP資料!$G:$G, (MATCH(348, 輔助計算!$G$2:$G$801, 0)+1))&lt;=790,3,IF(INDEX(ERP資料!$G:$G, (MATCH(348, 輔助計算!$G$2:$G$801, 0)+1))&lt;=1181,2,1)))=2,TEXT(INDEX(ERP資料!$G:$G, (MATCH(348, 輔助計算!$G$2:$G$801, 0)+1)),"0.##")&amp;"+"&amp;TEXT(INDEX(ERP資料!$G:$G, (MATCH(348, 輔助計算!$G$2:$G$801, 0)+1)),"0.##"),TEXT(INDEX(ERP資料!$G:$G, (MATCH(348, 輔助計算!$G$2:$G$801, 0)+1)),"0.##")&amp;"+"&amp;TEXT(INDEX(ERP資料!$G:$G, (MATCH(348, 輔助計算!$G$2:$G$801, 0)+1)),"0.##")&amp;"+"&amp;TEXT(INDEX(ERP資料!$G:$G, (MATCH(348, 輔助計算!$G$2:$G$801, 0)+1)),"0.##")))&amp;"-"&amp;INT(INDEX(輔助計算!$D:$D, (MATCH(348, 輔助計算!$G$2:$G$801, 0)+1))/IF(INDEX(ERP資料!$G:$G, (MATCH(348, 輔助計算!$G$2:$G$801, 0)+1))&lt;100, IF(INDEX(ERP資料!$G:$G, (MATCH(348, 輔助計算!$G$2:$G$801, 0)+1))&lt;=31,3,IF(INDEX(ERP資料!$G:$G, (MATCH(348, 輔助計算!$G$2:$G$801, 0)+1))&lt;=46.5,2,1)), IF(INDEX(ERP資料!$G:$G, (MATCH(348, 輔助計算!$G$2:$G$801, 0)+1))&lt;=790,3,IF(INDEX(ERP資料!$G:$G, (MATCH(348, 輔助計算!$G$2:$G$801, 0)+1))&lt;=1181,2,1)))), "")&lt;&gt;"",IF(MOD(INDEX(輔助計算!$D:$D, (MATCH(348, 輔助計算!$G$2:$G$801, 0)+1)),IF(INDEX(ERP資料!$G:$G, (MATCH(348, 輔助計算!$G$2:$G$801, 0)+1))&lt;100, IF(INDEX(ERP資料!$G:$G, (MATCH(348, 輔助計算!$G$2:$G$801, 0)+1))&lt;=31,3,IF(INDEX(ERP資料!$G:$G, (MATCH(348, 輔助計算!$G$2:$G$801, 0)+1))&lt;=46.5,2,1)), IF(INDEX(ERP資料!$G:$G, (MATCH(348, 輔助計算!$G$2:$G$801, 0)+1))&lt;=790,3,IF(INDEX(ERP資料!$G:$G, (MATCH(348, 輔助計算!$G$2:$G$801, 0)+1))&lt;=1181,2,1))))=0,"",IF(MOD(INDEX(輔助計算!$D:$D, (MATCH(348, 輔助計算!$G$2:$G$801, 0)+1)),IF(INDEX(ERP資料!$G:$G, (MATCH(348, 輔助計算!$G$2:$G$801, 0)+1))&lt;100, IF(INDEX(ERP資料!$G:$G, (MATCH(348, 輔助計算!$G$2:$G$801, 0)+1))&lt;=31,3,IF(INDEX(ERP資料!$G:$G, (MATCH(348, 輔助計算!$G$2:$G$801, 0)+1))&lt;=46.5,2,1)), IF(INDEX(ERP資料!$G:$G, (MATCH(348, 輔助計算!$G$2:$G$801, 0)+1))&lt;=790,3,IF(INDEX(ERP資料!$G:$G, (MATCH(348, 輔助計算!$G$2:$G$801, 0)+1))&lt;=1181,2,1))))=0,"",IF(MOD(INDEX(輔助計算!$D:$D, (MATCH(348, 輔助計算!$G$2:$G$801, 0)+1)),IF(INDEX(ERP資料!$G:$G, (MATCH(348, 輔助計算!$G$2:$G$801, 0)+1))&lt;100, IF(INDEX(ERP資料!$G:$G, (MATCH(348, 輔助計算!$G$2:$G$801, 0)+1))&lt;=31,3,IF(INDEX(ERP資料!$G:$G, (MATCH(348, 輔助計算!$G$2:$G$801, 0)+1))&lt;=46.5,2,1)), IF(INDEX(ERP資料!$G:$G, (MATCH(348, 輔助計算!$G$2:$G$801, 0)+1))&lt;=790,3,IF(INDEX(ERP資料!$G:$G, (MATCH(348, 輔助計算!$G$2:$G$801, 0)+1))&lt;=1181,2,1))))=1,TEXT(INDEX(ERP資料!$G:$G, (MATCH(348, 輔助計算!$G$2:$G$801, 0)+1)),"0.##"),IF(MOD(INDEX(輔助計算!$D:$D, (MATCH(348, 輔助計算!$G$2:$G$801, 0)+1)),IF(INDEX(ERP資料!$G:$G, (MATCH(348, 輔助計算!$G$2:$G$801, 0)+1))&lt;100, IF(INDEX(ERP資料!$G:$G, (MATCH(348, 輔助計算!$G$2:$G$801, 0)+1))&lt;=31,3,IF(INDEX(ERP資料!$G:$G, (MATCH(348, 輔助計算!$G$2:$G$801, 0)+1))&lt;=46.5,2,1)), IF(INDEX(ERP資料!$G:$G, (MATCH(348, 輔助計算!$G$2:$G$801, 0)+1))&lt;=790,3,IF(INDEX(ERP資料!$G:$G, (MATCH(348, 輔助計算!$G$2:$G$801, 0)+1))&lt;=1181,2,1))))=2,TEXT(INDEX(ERP資料!$G:$G, (MATCH(348, 輔助計算!$G$2:$G$801, 0)+1)),"0.##")&amp;"+"&amp;TEXT(INDEX(ERP資料!$G:$G, (MATCH(348, 輔助計算!$G$2:$G$801, 0)+1)),"0.##"),TEXT(INDEX(ERP資料!$G:$G, (MATCH(348, 輔助計算!$G$2:$G$801, 0)+1)),"0.##")&amp;"+"&amp;TEXT(INDEX(ERP資料!$G:$G, (MATCH(348, 輔助計算!$G$2:$G$801, 0)+1)),"0.##")&amp;"+"&amp;TEXT(INDEX(ERP資料!$G:$G, (MATCH(348, 輔助計算!$G$2:$G$801, 0)+1)),"0.##"))))&amp;"-1")&lt;&gt;""),"  ","")&amp;IF(MOD(INDEX(輔助計算!$D:$D, (MATCH(348, 輔助計算!$G$2:$G$801, 0)+1)),IF(INDEX(ERP資料!$G:$G, (MATCH(348, 輔助計算!$G$2:$G$801, 0)+1))&lt;100, IF(INDEX(ERP資料!$G:$G, (MATCH(348, 輔助計算!$G$2:$G$801, 0)+1))&lt;=31,3,IF(INDEX(ERP資料!$G:$G, (MATCH(348, 輔助計算!$G$2:$G$801, 0)+1))&lt;=46.5,2,1)), IF(INDEX(ERP資料!$G:$G, (MATCH(348, 輔助計算!$G$2:$G$801, 0)+1))&lt;=790,3,IF(INDEX(ERP資料!$G:$G, (MATCH(348, 輔助計算!$G$2:$G$801, 0)+1))&lt;=1181,2,1))))=0,"",IF(MOD(INDEX(輔助計算!$D:$D, (MATCH(348, 輔助計算!$G$2:$G$801, 0)+1)),IF(INDEX(ERP資料!$G:$G, (MATCH(348, 輔助計算!$G$2:$G$801, 0)+1))&lt;100, IF(INDEX(ERP資料!$G:$G, (MATCH(348, 輔助計算!$G$2:$G$801, 0)+1))&lt;=31,3,IF(INDEX(ERP資料!$G:$G, (MATCH(348, 輔助計算!$G$2:$G$801, 0)+1))&lt;=46.5,2,1)), IF(INDEX(ERP資料!$G:$G, (MATCH(348, 輔助計算!$G$2:$G$801, 0)+1))&lt;=790,3,IF(INDEX(ERP資料!$G:$G, (MATCH(348, 輔助計算!$G$2:$G$801, 0)+1))&lt;=1181,2,1))))=0,"",IF(MOD(INDEX(輔助計算!$D:$D, (MATCH(348, 輔助計算!$G$2:$G$801, 0)+1)),IF(INDEX(ERP資料!$G:$G, (MATCH(348, 輔助計算!$G$2:$G$801, 0)+1))&lt;100, IF(INDEX(ERP資料!$G:$G, (MATCH(348, 輔助計算!$G$2:$G$801, 0)+1))&lt;=31,3,IF(INDEX(ERP資料!$G:$G, (MATCH(348, 輔助計算!$G$2:$G$801, 0)+1))&lt;=46.5,2,1)), IF(INDEX(ERP資料!$G:$G, (MATCH(348, 輔助計算!$G$2:$G$801, 0)+1))&lt;=790,3,IF(INDEX(ERP資料!$G:$G, (MATCH(348, 輔助計算!$G$2:$G$801, 0)+1))&lt;=1181,2,1))))=1,TEXT(INDEX(ERP資料!$G:$G, (MATCH(348, 輔助計算!$G$2:$G$801, 0)+1)),"0.##"),IF(MOD(INDEX(輔助計算!$D:$D, (MATCH(348, 輔助計算!$G$2:$G$801, 0)+1)),IF(INDEX(ERP資料!$G:$G, (MATCH(348, 輔助計算!$G$2:$G$801, 0)+1))&lt;100, IF(INDEX(ERP資料!$G:$G, (MATCH(348, 輔助計算!$G$2:$G$801, 0)+1))&lt;=31,3,IF(INDEX(ERP資料!$G:$G, (MATCH(348, 輔助計算!$G$2:$G$801, 0)+1))&lt;=46.5,2,1)), IF(INDEX(ERP資料!$G:$G, (MATCH(348, 輔助計算!$G$2:$G$801, 0)+1))&lt;=790,3,IF(INDEX(ERP資料!$G:$G, (MATCH(348, 輔助計算!$G$2:$G$801, 0)+1))&lt;=1181,2,1))))=2,TEXT(INDEX(ERP資料!$G:$G, (MATCH(348, 輔助計算!$G$2:$G$801, 0)+1)),"0.##")&amp;"+"&amp;TEXT(INDEX(ERP資料!$G:$G, (MATCH(348, 輔助計算!$G$2:$G$801, 0)+1)),"0.##"),TEXT(INDEX(ERP資料!$G:$G, (MATCH(348, 輔助計算!$G$2:$G$801, 0)+1)),"0.##")&amp;"+"&amp;TEXT(INDEX(ERP資料!$G:$G, (MATCH(348, 輔助計算!$G$2:$G$801, 0)+1)),"0.##")&amp;"+"&amp;TEXT(INDEX(ERP資料!$G:$G, (MATCH(348, 輔助計算!$G$2:$G$801, 0)+1)),"0.##"))))&amp;"-1")), ""), "")</f>
        <v/>
      </c>
      <c r="K349" s="16" t="n"/>
      <c r="L349" s="14">
        <f>IFERROR(IF(AND(IFERROR(INDEX(ERP資料!$A:$A, (MATCH(348, 輔助計算!$G$2:$G$801, 0)+1)), "")&lt;&gt;"", IFERROR(INDEX(ERP資料!$A:$A, (MATCH(348, 輔助計算!$G$2:$G$801, 0)+1)), "")&lt;&gt;IFERROR(INDEX(ERP資料!$A:$A, MATCH(347, 輔助計算!$G$2:$G$801, 0)+1), "")), INDEX(ERP資料!$B:$B, (MATCH(348, 輔助計算!$G$2:$G$801, 0)+1)), ""), "")</f>
        <v/>
      </c>
      <c r="M349" s="17" t="n"/>
    </row>
    <row r="350">
      <c r="A350" s="10">
        <f>IFERROR(IF(AND(IFERROR(INDEX(ERP資料!$A:$A, (MATCH(349, 輔助計算!$G$2:$G$801, 0)+1)), "")&lt;&gt;"", IFERROR(INDEX(ERP資料!$A:$A, (MATCH(349, 輔助計算!$G$2:$G$801, 0)+1)), "")&lt;&gt;IFERROR(INDEX(ERP資料!$A:$A, MATCH(348, 輔助計算!$G$2:$G$801, 0)+1), "")), IFERROR(INDEX(ERP資料!$A:$A, (MATCH(349, 輔助計算!$G$2:$G$801, 0)+1)), ""), ""), "")</f>
        <v/>
      </c>
      <c r="B350" s="10">
        <f>IFERROR(IF(AND(IFERROR(INDEX(ERP資料!$A:$A, (MATCH(349, 輔助計算!$G$2:$G$801, 0)+1)), "")&lt;&gt;"", IFERROR(INDEX(ERP資料!$A:$A, (MATCH(349, 輔助計算!$G$2:$G$801, 0)+1)), "")&lt;&gt;IFERROR(INDEX(ERP資料!$A:$A, MATCH(348, 輔助計算!$G$2:$G$801, 0)+1), "")), INDEX(ERP資料!$S:$S, (MATCH(349, 輔助計算!$G$2:$G$801, 0)+1)), ""), "")</f>
        <v/>
      </c>
      <c r="C350" s="19">
        <f>IFERROR(IF(AND(IFERROR(INDEX(ERP資料!$A:$A, (MATCH(349, 輔助計算!$G$2:$G$801, 0)+1)), "")&lt;&gt;"", IFERROR(INDEX(ERP資料!$A:$A, (MATCH(349, 輔助計算!$G$2:$G$801, 0)+1)), "")&lt;&gt;IFERROR(INDEX(ERP資料!$A:$A, MATCH(348, 輔助計算!$G$2:$G$801, 0)+1), "")), IFERROR(VLOOKUP(LEFT(INDEX(ERP資料!$S:$S, (MATCH(349, 輔助計算!$G$2:$G$801, 0)+1)), 4), 紙管對照表!$A:$C, 3, FALSE), ""), ""), "")</f>
        <v/>
      </c>
      <c r="D350" s="16" t="n"/>
      <c r="E350" s="10">
        <f>IFERROR(IF(INDEX(ERP資料!$H:$H, (MATCH(349, 輔助計算!$G$2:$G$801, 0)+1))="","",INDEX(ERP資料!$H:$H, (MATCH(349, 輔助計算!$G$2:$G$801, 0)+1))), "")</f>
        <v/>
      </c>
      <c r="F350" s="10">
        <f>IFERROR(IF(INDEX(ERP資料!$E:$E, (MATCH(349, 輔助計算!$G$2:$G$801, 0)+1))="","",TRIM(INDEX(ERP資料!$E:$E, (MATCH(349, 輔助計算!$G$2:$G$801, 0)+1)))), "")</f>
        <v/>
      </c>
      <c r="G350" s="10">
        <f>IFERROR(IF(INDEX(ERP資料!$F:$F, (MATCH(349, 輔助計算!$G$2:$G$801, 0)+1))="","",INDEX(ERP資料!$F:$F, (MATCH(349, 輔助計算!$G$2:$G$801, 0)+1))), "")</f>
        <v/>
      </c>
      <c r="H350" s="10">
        <f>IFERROR(IF(INDEX(ERP資料!$G:$G, (MATCH(349, 輔助計算!$G$2:$G$801, 0)+1))="","",INDEX(ERP資料!$G:$G, (MATCH(349, 輔助計算!$G$2:$G$801, 0)+1))), "")</f>
        <v/>
      </c>
      <c r="I350" s="15">
        <f>IFERROR(INDEX(輔助計算!$D:$D, (MATCH(349, 輔助計算!$G$2:$G$801, 0)+1)), "")</f>
        <v/>
      </c>
      <c r="J350" s="15">
        <f>IFERROR(IF(AND(INDEX(輔助計算!$D:$D, (MATCH(349, 輔助計算!$G$2:$G$801, 0)+1))&lt;&gt;"", INDEX(ERP資料!$G:$G, (MATCH(349, 輔助計算!$G$2:$G$801, 0)+1))&lt;&gt;""), TRIM(IF(INT(INDEX(輔助計算!$D:$D, (MATCH(349, 輔助計算!$G$2:$G$801, 0)+1))/IF(INDEX(ERP資料!$G:$G, (MATCH(349, 輔助計算!$G$2:$G$801, 0)+1))&lt;100, IF(INDEX(ERP資料!$G:$G, (MATCH(349, 輔助計算!$G$2:$G$801, 0)+1))&lt;=31,3,IF(INDEX(ERP資料!$G:$G, (MATCH(349, 輔助計算!$G$2:$G$801, 0)+1))&lt;=46.5,2,1)), IF(INDEX(ERP資料!$G:$G, (MATCH(349, 輔助計算!$G$2:$G$801, 0)+1))&lt;=790,3,IF(INDEX(ERP資料!$G:$G, (MATCH(349, 輔助計算!$G$2:$G$801, 0)+1))&lt;=1181,2,1))))&gt;0, IF(IF(INDEX(ERP資料!$G:$G, (MATCH(349, 輔助計算!$G$2:$G$801, 0)+1))&lt;100, IF(INDEX(ERP資料!$G:$G, (MATCH(349, 輔助計算!$G$2:$G$801, 0)+1))&lt;=31,3,IF(INDEX(ERP資料!$G:$G, (MATCH(349, 輔助計算!$G$2:$G$801, 0)+1))&lt;=46.5,2,1)), IF(INDEX(ERP資料!$G:$G, (MATCH(349, 輔助計算!$G$2:$G$801, 0)+1))&lt;=790,3,IF(INDEX(ERP資料!$G:$G, (MATCH(349, 輔助計算!$G$2:$G$801, 0)+1))&lt;=1181,2,1)))=1,TEXT(INDEX(ERP資料!$G:$G, (MATCH(349, 輔助計算!$G$2:$G$801, 0)+1)),"0.##"),IF(IF(INDEX(ERP資料!$G:$G, (MATCH(349, 輔助計算!$G$2:$G$801, 0)+1))&lt;100, IF(INDEX(ERP資料!$G:$G, (MATCH(349, 輔助計算!$G$2:$G$801, 0)+1))&lt;=31,3,IF(INDEX(ERP資料!$G:$G, (MATCH(349, 輔助計算!$G$2:$G$801, 0)+1))&lt;=46.5,2,1)), IF(INDEX(ERP資料!$G:$G, (MATCH(349, 輔助計算!$G$2:$G$801, 0)+1))&lt;=790,3,IF(INDEX(ERP資料!$G:$G, (MATCH(349, 輔助計算!$G$2:$G$801, 0)+1))&lt;=1181,2,1)))=2,TEXT(INDEX(ERP資料!$G:$G, (MATCH(349, 輔助計算!$G$2:$G$801, 0)+1)),"0.##")&amp;"+"&amp;TEXT(INDEX(ERP資料!$G:$G, (MATCH(349, 輔助計算!$G$2:$G$801, 0)+1)),"0.##"),TEXT(INDEX(ERP資料!$G:$G, (MATCH(349, 輔助計算!$G$2:$G$801, 0)+1)),"0.##")&amp;"+"&amp;TEXT(INDEX(ERP資料!$G:$G, (MATCH(349, 輔助計算!$G$2:$G$801, 0)+1)),"0.##")&amp;"+"&amp;TEXT(INDEX(ERP資料!$G:$G, (MATCH(349, 輔助計算!$G$2:$G$801, 0)+1)),"0.##")))&amp;"-"&amp;INT(INDEX(輔助計算!$D:$D, (MATCH(349, 輔助計算!$G$2:$G$801, 0)+1))/IF(INDEX(ERP資料!$G:$G, (MATCH(349, 輔助計算!$G$2:$G$801, 0)+1))&lt;100, IF(INDEX(ERP資料!$G:$G, (MATCH(349, 輔助計算!$G$2:$G$801, 0)+1))&lt;=31,3,IF(INDEX(ERP資料!$G:$G, (MATCH(349, 輔助計算!$G$2:$G$801, 0)+1))&lt;=46.5,2,1)), IF(INDEX(ERP資料!$G:$G, (MATCH(349, 輔助計算!$G$2:$G$801, 0)+1))&lt;=790,3,IF(INDEX(ERP資料!$G:$G, (MATCH(349, 輔助計算!$G$2:$G$801, 0)+1))&lt;=1181,2,1)))), "")&amp;IF(AND(IF(INT(INDEX(輔助計算!$D:$D, (MATCH(349, 輔助計算!$G$2:$G$801, 0)+1))/IF(INDEX(ERP資料!$G:$G, (MATCH(349, 輔助計算!$G$2:$G$801, 0)+1))&lt;100, IF(INDEX(ERP資料!$G:$G, (MATCH(349, 輔助計算!$G$2:$G$801, 0)+1))&lt;=31,3,IF(INDEX(ERP資料!$G:$G, (MATCH(349, 輔助計算!$G$2:$G$801, 0)+1))&lt;=46.5,2,1)), IF(INDEX(ERP資料!$G:$G, (MATCH(349, 輔助計算!$G$2:$G$801, 0)+1))&lt;=790,3,IF(INDEX(ERP資料!$G:$G, (MATCH(349, 輔助計算!$G$2:$G$801, 0)+1))&lt;=1181,2,1))))&gt;0, IF(IF(INDEX(ERP資料!$G:$G, (MATCH(349, 輔助計算!$G$2:$G$801, 0)+1))&lt;100, IF(INDEX(ERP資料!$G:$G, (MATCH(349, 輔助計算!$G$2:$G$801, 0)+1))&lt;=31,3,IF(INDEX(ERP資料!$G:$G, (MATCH(349, 輔助計算!$G$2:$G$801, 0)+1))&lt;=46.5,2,1)), IF(INDEX(ERP資料!$G:$G, (MATCH(349, 輔助計算!$G$2:$G$801, 0)+1))&lt;=790,3,IF(INDEX(ERP資料!$G:$G, (MATCH(349, 輔助計算!$G$2:$G$801, 0)+1))&lt;=1181,2,1)))=1,TEXT(INDEX(ERP資料!$G:$G, (MATCH(349, 輔助計算!$G$2:$G$801, 0)+1)),"0.##"),IF(IF(INDEX(ERP資料!$G:$G, (MATCH(349, 輔助計算!$G$2:$G$801, 0)+1))&lt;100, IF(INDEX(ERP資料!$G:$G, (MATCH(349, 輔助計算!$G$2:$G$801, 0)+1))&lt;=31,3,IF(INDEX(ERP資料!$G:$G, (MATCH(349, 輔助計算!$G$2:$G$801, 0)+1))&lt;=46.5,2,1)), IF(INDEX(ERP資料!$G:$G, (MATCH(349, 輔助計算!$G$2:$G$801, 0)+1))&lt;=790,3,IF(INDEX(ERP資料!$G:$G, (MATCH(349, 輔助計算!$G$2:$G$801, 0)+1))&lt;=1181,2,1)))=2,TEXT(INDEX(ERP資料!$G:$G, (MATCH(349, 輔助計算!$G$2:$G$801, 0)+1)),"0.##")&amp;"+"&amp;TEXT(INDEX(ERP資料!$G:$G, (MATCH(349, 輔助計算!$G$2:$G$801, 0)+1)),"0.##"),TEXT(INDEX(ERP資料!$G:$G, (MATCH(349, 輔助計算!$G$2:$G$801, 0)+1)),"0.##")&amp;"+"&amp;TEXT(INDEX(ERP資料!$G:$G, (MATCH(349, 輔助計算!$G$2:$G$801, 0)+1)),"0.##")&amp;"+"&amp;TEXT(INDEX(ERP資料!$G:$G, (MATCH(349, 輔助計算!$G$2:$G$801, 0)+1)),"0.##")))&amp;"-"&amp;INT(INDEX(輔助計算!$D:$D, (MATCH(349, 輔助計算!$G$2:$G$801, 0)+1))/IF(INDEX(ERP資料!$G:$G, (MATCH(349, 輔助計算!$G$2:$G$801, 0)+1))&lt;100, IF(INDEX(ERP資料!$G:$G, (MATCH(349, 輔助計算!$G$2:$G$801, 0)+1))&lt;=31,3,IF(INDEX(ERP資料!$G:$G, (MATCH(349, 輔助計算!$G$2:$G$801, 0)+1))&lt;=46.5,2,1)), IF(INDEX(ERP資料!$G:$G, (MATCH(349, 輔助計算!$G$2:$G$801, 0)+1))&lt;=790,3,IF(INDEX(ERP資料!$G:$G, (MATCH(349, 輔助計算!$G$2:$G$801, 0)+1))&lt;=1181,2,1)))), "")&lt;&gt;"",IF(MOD(INDEX(輔助計算!$D:$D, (MATCH(349, 輔助計算!$G$2:$G$801, 0)+1)),IF(INDEX(ERP資料!$G:$G, (MATCH(349, 輔助計算!$G$2:$G$801, 0)+1))&lt;100, IF(INDEX(ERP資料!$G:$G, (MATCH(349, 輔助計算!$G$2:$G$801, 0)+1))&lt;=31,3,IF(INDEX(ERP資料!$G:$G, (MATCH(349, 輔助計算!$G$2:$G$801, 0)+1))&lt;=46.5,2,1)), IF(INDEX(ERP資料!$G:$G, (MATCH(349, 輔助計算!$G$2:$G$801, 0)+1))&lt;=790,3,IF(INDEX(ERP資料!$G:$G, (MATCH(349, 輔助計算!$G$2:$G$801, 0)+1))&lt;=1181,2,1))))=0,"",IF(MOD(INDEX(輔助計算!$D:$D, (MATCH(349, 輔助計算!$G$2:$G$801, 0)+1)),IF(INDEX(ERP資料!$G:$G, (MATCH(349, 輔助計算!$G$2:$G$801, 0)+1))&lt;100, IF(INDEX(ERP資料!$G:$G, (MATCH(349, 輔助計算!$G$2:$G$801, 0)+1))&lt;=31,3,IF(INDEX(ERP資料!$G:$G, (MATCH(349, 輔助計算!$G$2:$G$801, 0)+1))&lt;=46.5,2,1)), IF(INDEX(ERP資料!$G:$G, (MATCH(349, 輔助計算!$G$2:$G$801, 0)+1))&lt;=790,3,IF(INDEX(ERP資料!$G:$G, (MATCH(349, 輔助計算!$G$2:$G$801, 0)+1))&lt;=1181,2,1))))=0,"",IF(MOD(INDEX(輔助計算!$D:$D, (MATCH(349, 輔助計算!$G$2:$G$801, 0)+1)),IF(INDEX(ERP資料!$G:$G, (MATCH(349, 輔助計算!$G$2:$G$801, 0)+1))&lt;100, IF(INDEX(ERP資料!$G:$G, (MATCH(349, 輔助計算!$G$2:$G$801, 0)+1))&lt;=31,3,IF(INDEX(ERP資料!$G:$G, (MATCH(349, 輔助計算!$G$2:$G$801, 0)+1))&lt;=46.5,2,1)), IF(INDEX(ERP資料!$G:$G, (MATCH(349, 輔助計算!$G$2:$G$801, 0)+1))&lt;=790,3,IF(INDEX(ERP資料!$G:$G, (MATCH(349, 輔助計算!$G$2:$G$801, 0)+1))&lt;=1181,2,1))))=1,TEXT(INDEX(ERP資料!$G:$G, (MATCH(349, 輔助計算!$G$2:$G$801, 0)+1)),"0.##"),IF(MOD(INDEX(輔助計算!$D:$D, (MATCH(349, 輔助計算!$G$2:$G$801, 0)+1)),IF(INDEX(ERP資料!$G:$G, (MATCH(349, 輔助計算!$G$2:$G$801, 0)+1))&lt;100, IF(INDEX(ERP資料!$G:$G, (MATCH(349, 輔助計算!$G$2:$G$801, 0)+1))&lt;=31,3,IF(INDEX(ERP資料!$G:$G, (MATCH(349, 輔助計算!$G$2:$G$801, 0)+1))&lt;=46.5,2,1)), IF(INDEX(ERP資料!$G:$G, (MATCH(349, 輔助計算!$G$2:$G$801, 0)+1))&lt;=790,3,IF(INDEX(ERP資料!$G:$G, (MATCH(349, 輔助計算!$G$2:$G$801, 0)+1))&lt;=1181,2,1))))=2,TEXT(INDEX(ERP資料!$G:$G, (MATCH(349, 輔助計算!$G$2:$G$801, 0)+1)),"0.##")&amp;"+"&amp;TEXT(INDEX(ERP資料!$G:$G, (MATCH(349, 輔助計算!$G$2:$G$801, 0)+1)),"0.##"),TEXT(INDEX(ERP資料!$G:$G, (MATCH(349, 輔助計算!$G$2:$G$801, 0)+1)),"0.##")&amp;"+"&amp;TEXT(INDEX(ERP資料!$G:$G, (MATCH(349, 輔助計算!$G$2:$G$801, 0)+1)),"0.##")&amp;"+"&amp;TEXT(INDEX(ERP資料!$G:$G, (MATCH(349, 輔助計算!$G$2:$G$801, 0)+1)),"0.##"))))&amp;"-1")&lt;&gt;""),"  ","")&amp;IF(MOD(INDEX(輔助計算!$D:$D, (MATCH(349, 輔助計算!$G$2:$G$801, 0)+1)),IF(INDEX(ERP資料!$G:$G, (MATCH(349, 輔助計算!$G$2:$G$801, 0)+1))&lt;100, IF(INDEX(ERP資料!$G:$G, (MATCH(349, 輔助計算!$G$2:$G$801, 0)+1))&lt;=31,3,IF(INDEX(ERP資料!$G:$G, (MATCH(349, 輔助計算!$G$2:$G$801, 0)+1))&lt;=46.5,2,1)), IF(INDEX(ERP資料!$G:$G, (MATCH(349, 輔助計算!$G$2:$G$801, 0)+1))&lt;=790,3,IF(INDEX(ERP資料!$G:$G, (MATCH(349, 輔助計算!$G$2:$G$801, 0)+1))&lt;=1181,2,1))))=0,"",IF(MOD(INDEX(輔助計算!$D:$D, (MATCH(349, 輔助計算!$G$2:$G$801, 0)+1)),IF(INDEX(ERP資料!$G:$G, (MATCH(349, 輔助計算!$G$2:$G$801, 0)+1))&lt;100, IF(INDEX(ERP資料!$G:$G, (MATCH(349, 輔助計算!$G$2:$G$801, 0)+1))&lt;=31,3,IF(INDEX(ERP資料!$G:$G, (MATCH(349, 輔助計算!$G$2:$G$801, 0)+1))&lt;=46.5,2,1)), IF(INDEX(ERP資料!$G:$G, (MATCH(349, 輔助計算!$G$2:$G$801, 0)+1))&lt;=790,3,IF(INDEX(ERP資料!$G:$G, (MATCH(349, 輔助計算!$G$2:$G$801, 0)+1))&lt;=1181,2,1))))=0,"",IF(MOD(INDEX(輔助計算!$D:$D, (MATCH(349, 輔助計算!$G$2:$G$801, 0)+1)),IF(INDEX(ERP資料!$G:$G, (MATCH(349, 輔助計算!$G$2:$G$801, 0)+1))&lt;100, IF(INDEX(ERP資料!$G:$G, (MATCH(349, 輔助計算!$G$2:$G$801, 0)+1))&lt;=31,3,IF(INDEX(ERP資料!$G:$G, (MATCH(349, 輔助計算!$G$2:$G$801, 0)+1))&lt;=46.5,2,1)), IF(INDEX(ERP資料!$G:$G, (MATCH(349, 輔助計算!$G$2:$G$801, 0)+1))&lt;=790,3,IF(INDEX(ERP資料!$G:$G, (MATCH(349, 輔助計算!$G$2:$G$801, 0)+1))&lt;=1181,2,1))))=1,TEXT(INDEX(ERP資料!$G:$G, (MATCH(349, 輔助計算!$G$2:$G$801, 0)+1)),"0.##"),IF(MOD(INDEX(輔助計算!$D:$D, (MATCH(349, 輔助計算!$G$2:$G$801, 0)+1)),IF(INDEX(ERP資料!$G:$G, (MATCH(349, 輔助計算!$G$2:$G$801, 0)+1))&lt;100, IF(INDEX(ERP資料!$G:$G, (MATCH(349, 輔助計算!$G$2:$G$801, 0)+1))&lt;=31,3,IF(INDEX(ERP資料!$G:$G, (MATCH(349, 輔助計算!$G$2:$G$801, 0)+1))&lt;=46.5,2,1)), IF(INDEX(ERP資料!$G:$G, (MATCH(349, 輔助計算!$G$2:$G$801, 0)+1))&lt;=790,3,IF(INDEX(ERP資料!$G:$G, (MATCH(349, 輔助計算!$G$2:$G$801, 0)+1))&lt;=1181,2,1))))=2,TEXT(INDEX(ERP資料!$G:$G, (MATCH(349, 輔助計算!$G$2:$G$801, 0)+1)),"0.##")&amp;"+"&amp;TEXT(INDEX(ERP資料!$G:$G, (MATCH(349, 輔助計算!$G$2:$G$801, 0)+1)),"0.##"),TEXT(INDEX(ERP資料!$G:$G, (MATCH(349, 輔助計算!$G$2:$G$801, 0)+1)),"0.##")&amp;"+"&amp;TEXT(INDEX(ERP資料!$G:$G, (MATCH(349, 輔助計算!$G$2:$G$801, 0)+1)),"0.##")&amp;"+"&amp;TEXT(INDEX(ERP資料!$G:$G, (MATCH(349, 輔助計算!$G$2:$G$801, 0)+1)),"0.##"))))&amp;"-1")), ""), "")</f>
        <v/>
      </c>
      <c r="K350" s="16" t="n"/>
      <c r="L350" s="14">
        <f>IFERROR(IF(AND(IFERROR(INDEX(ERP資料!$A:$A, (MATCH(349, 輔助計算!$G$2:$G$801, 0)+1)), "")&lt;&gt;"", IFERROR(INDEX(ERP資料!$A:$A, (MATCH(349, 輔助計算!$G$2:$G$801, 0)+1)), "")&lt;&gt;IFERROR(INDEX(ERP資料!$A:$A, MATCH(348, 輔助計算!$G$2:$G$801, 0)+1), "")), INDEX(ERP資料!$B:$B, (MATCH(349, 輔助計算!$G$2:$G$801, 0)+1)), ""), "")</f>
        <v/>
      </c>
      <c r="M350" s="17" t="n"/>
    </row>
    <row r="351">
      <c r="A351" s="10">
        <f>IFERROR(IF(AND(IFERROR(INDEX(ERP資料!$A:$A, (MATCH(350, 輔助計算!$G$2:$G$801, 0)+1)), "")&lt;&gt;"", IFERROR(INDEX(ERP資料!$A:$A, (MATCH(350, 輔助計算!$G$2:$G$801, 0)+1)), "")&lt;&gt;IFERROR(INDEX(ERP資料!$A:$A, MATCH(349, 輔助計算!$G$2:$G$801, 0)+1), "")), IFERROR(INDEX(ERP資料!$A:$A, (MATCH(350, 輔助計算!$G$2:$G$801, 0)+1)), ""), ""), "")</f>
        <v/>
      </c>
      <c r="B351" s="10">
        <f>IFERROR(IF(AND(IFERROR(INDEX(ERP資料!$A:$A, (MATCH(350, 輔助計算!$G$2:$G$801, 0)+1)), "")&lt;&gt;"", IFERROR(INDEX(ERP資料!$A:$A, (MATCH(350, 輔助計算!$G$2:$G$801, 0)+1)), "")&lt;&gt;IFERROR(INDEX(ERP資料!$A:$A, MATCH(349, 輔助計算!$G$2:$G$801, 0)+1), "")), INDEX(ERP資料!$S:$S, (MATCH(350, 輔助計算!$G$2:$G$801, 0)+1)), ""), "")</f>
        <v/>
      </c>
      <c r="C351" s="19">
        <f>IFERROR(IF(AND(IFERROR(INDEX(ERP資料!$A:$A, (MATCH(350, 輔助計算!$G$2:$G$801, 0)+1)), "")&lt;&gt;"", IFERROR(INDEX(ERP資料!$A:$A, (MATCH(350, 輔助計算!$G$2:$G$801, 0)+1)), "")&lt;&gt;IFERROR(INDEX(ERP資料!$A:$A, MATCH(349, 輔助計算!$G$2:$G$801, 0)+1), "")), IFERROR(VLOOKUP(LEFT(INDEX(ERP資料!$S:$S, (MATCH(350, 輔助計算!$G$2:$G$801, 0)+1)), 4), 紙管對照表!$A:$C, 3, FALSE), ""), ""), "")</f>
        <v/>
      </c>
      <c r="D351" s="16" t="n"/>
      <c r="E351" s="10">
        <f>IFERROR(IF(INDEX(ERP資料!$H:$H, (MATCH(350, 輔助計算!$G$2:$G$801, 0)+1))="","",INDEX(ERP資料!$H:$H, (MATCH(350, 輔助計算!$G$2:$G$801, 0)+1))), "")</f>
        <v/>
      </c>
      <c r="F351" s="10">
        <f>IFERROR(IF(INDEX(ERP資料!$E:$E, (MATCH(350, 輔助計算!$G$2:$G$801, 0)+1))="","",TRIM(INDEX(ERP資料!$E:$E, (MATCH(350, 輔助計算!$G$2:$G$801, 0)+1)))), "")</f>
        <v/>
      </c>
      <c r="G351" s="10">
        <f>IFERROR(IF(INDEX(ERP資料!$F:$F, (MATCH(350, 輔助計算!$G$2:$G$801, 0)+1))="","",INDEX(ERP資料!$F:$F, (MATCH(350, 輔助計算!$G$2:$G$801, 0)+1))), "")</f>
        <v/>
      </c>
      <c r="H351" s="10">
        <f>IFERROR(IF(INDEX(ERP資料!$G:$G, (MATCH(350, 輔助計算!$G$2:$G$801, 0)+1))="","",INDEX(ERP資料!$G:$G, (MATCH(350, 輔助計算!$G$2:$G$801, 0)+1))), "")</f>
        <v/>
      </c>
      <c r="I351" s="15">
        <f>IFERROR(INDEX(輔助計算!$D:$D, (MATCH(350, 輔助計算!$G$2:$G$801, 0)+1)), "")</f>
        <v/>
      </c>
      <c r="J351" s="15">
        <f>IFERROR(IF(AND(INDEX(輔助計算!$D:$D, (MATCH(350, 輔助計算!$G$2:$G$801, 0)+1))&lt;&gt;"", INDEX(ERP資料!$G:$G, (MATCH(350, 輔助計算!$G$2:$G$801, 0)+1))&lt;&gt;""), TRIM(IF(INT(INDEX(輔助計算!$D:$D, (MATCH(350, 輔助計算!$G$2:$G$801, 0)+1))/IF(INDEX(ERP資料!$G:$G, (MATCH(350, 輔助計算!$G$2:$G$801, 0)+1))&lt;100, IF(INDEX(ERP資料!$G:$G, (MATCH(350, 輔助計算!$G$2:$G$801, 0)+1))&lt;=31,3,IF(INDEX(ERP資料!$G:$G, (MATCH(350, 輔助計算!$G$2:$G$801, 0)+1))&lt;=46.5,2,1)), IF(INDEX(ERP資料!$G:$G, (MATCH(350, 輔助計算!$G$2:$G$801, 0)+1))&lt;=790,3,IF(INDEX(ERP資料!$G:$G, (MATCH(350, 輔助計算!$G$2:$G$801, 0)+1))&lt;=1181,2,1))))&gt;0, IF(IF(INDEX(ERP資料!$G:$G, (MATCH(350, 輔助計算!$G$2:$G$801, 0)+1))&lt;100, IF(INDEX(ERP資料!$G:$G, (MATCH(350, 輔助計算!$G$2:$G$801, 0)+1))&lt;=31,3,IF(INDEX(ERP資料!$G:$G, (MATCH(350, 輔助計算!$G$2:$G$801, 0)+1))&lt;=46.5,2,1)), IF(INDEX(ERP資料!$G:$G, (MATCH(350, 輔助計算!$G$2:$G$801, 0)+1))&lt;=790,3,IF(INDEX(ERP資料!$G:$G, (MATCH(350, 輔助計算!$G$2:$G$801, 0)+1))&lt;=1181,2,1)))=1,TEXT(INDEX(ERP資料!$G:$G, (MATCH(350, 輔助計算!$G$2:$G$801, 0)+1)),"0.##"),IF(IF(INDEX(ERP資料!$G:$G, (MATCH(350, 輔助計算!$G$2:$G$801, 0)+1))&lt;100, IF(INDEX(ERP資料!$G:$G, (MATCH(350, 輔助計算!$G$2:$G$801, 0)+1))&lt;=31,3,IF(INDEX(ERP資料!$G:$G, (MATCH(350, 輔助計算!$G$2:$G$801, 0)+1))&lt;=46.5,2,1)), IF(INDEX(ERP資料!$G:$G, (MATCH(350, 輔助計算!$G$2:$G$801, 0)+1))&lt;=790,3,IF(INDEX(ERP資料!$G:$G, (MATCH(350, 輔助計算!$G$2:$G$801, 0)+1))&lt;=1181,2,1)))=2,TEXT(INDEX(ERP資料!$G:$G, (MATCH(350, 輔助計算!$G$2:$G$801, 0)+1)),"0.##")&amp;"+"&amp;TEXT(INDEX(ERP資料!$G:$G, (MATCH(350, 輔助計算!$G$2:$G$801, 0)+1)),"0.##"),TEXT(INDEX(ERP資料!$G:$G, (MATCH(350, 輔助計算!$G$2:$G$801, 0)+1)),"0.##")&amp;"+"&amp;TEXT(INDEX(ERP資料!$G:$G, (MATCH(350, 輔助計算!$G$2:$G$801, 0)+1)),"0.##")&amp;"+"&amp;TEXT(INDEX(ERP資料!$G:$G, (MATCH(350, 輔助計算!$G$2:$G$801, 0)+1)),"0.##")))&amp;"-"&amp;INT(INDEX(輔助計算!$D:$D, (MATCH(350, 輔助計算!$G$2:$G$801, 0)+1))/IF(INDEX(ERP資料!$G:$G, (MATCH(350, 輔助計算!$G$2:$G$801, 0)+1))&lt;100, IF(INDEX(ERP資料!$G:$G, (MATCH(350, 輔助計算!$G$2:$G$801, 0)+1))&lt;=31,3,IF(INDEX(ERP資料!$G:$G, (MATCH(350, 輔助計算!$G$2:$G$801, 0)+1))&lt;=46.5,2,1)), IF(INDEX(ERP資料!$G:$G, (MATCH(350, 輔助計算!$G$2:$G$801, 0)+1))&lt;=790,3,IF(INDEX(ERP資料!$G:$G, (MATCH(350, 輔助計算!$G$2:$G$801, 0)+1))&lt;=1181,2,1)))), "")&amp;IF(AND(IF(INT(INDEX(輔助計算!$D:$D, (MATCH(350, 輔助計算!$G$2:$G$801, 0)+1))/IF(INDEX(ERP資料!$G:$G, (MATCH(350, 輔助計算!$G$2:$G$801, 0)+1))&lt;100, IF(INDEX(ERP資料!$G:$G, (MATCH(350, 輔助計算!$G$2:$G$801, 0)+1))&lt;=31,3,IF(INDEX(ERP資料!$G:$G, (MATCH(350, 輔助計算!$G$2:$G$801, 0)+1))&lt;=46.5,2,1)), IF(INDEX(ERP資料!$G:$G, (MATCH(350, 輔助計算!$G$2:$G$801, 0)+1))&lt;=790,3,IF(INDEX(ERP資料!$G:$G, (MATCH(350, 輔助計算!$G$2:$G$801, 0)+1))&lt;=1181,2,1))))&gt;0, IF(IF(INDEX(ERP資料!$G:$G, (MATCH(350, 輔助計算!$G$2:$G$801, 0)+1))&lt;100, IF(INDEX(ERP資料!$G:$G, (MATCH(350, 輔助計算!$G$2:$G$801, 0)+1))&lt;=31,3,IF(INDEX(ERP資料!$G:$G, (MATCH(350, 輔助計算!$G$2:$G$801, 0)+1))&lt;=46.5,2,1)), IF(INDEX(ERP資料!$G:$G, (MATCH(350, 輔助計算!$G$2:$G$801, 0)+1))&lt;=790,3,IF(INDEX(ERP資料!$G:$G, (MATCH(350, 輔助計算!$G$2:$G$801, 0)+1))&lt;=1181,2,1)))=1,TEXT(INDEX(ERP資料!$G:$G, (MATCH(350, 輔助計算!$G$2:$G$801, 0)+1)),"0.##"),IF(IF(INDEX(ERP資料!$G:$G, (MATCH(350, 輔助計算!$G$2:$G$801, 0)+1))&lt;100, IF(INDEX(ERP資料!$G:$G, (MATCH(350, 輔助計算!$G$2:$G$801, 0)+1))&lt;=31,3,IF(INDEX(ERP資料!$G:$G, (MATCH(350, 輔助計算!$G$2:$G$801, 0)+1))&lt;=46.5,2,1)), IF(INDEX(ERP資料!$G:$G, (MATCH(350, 輔助計算!$G$2:$G$801, 0)+1))&lt;=790,3,IF(INDEX(ERP資料!$G:$G, (MATCH(350, 輔助計算!$G$2:$G$801, 0)+1))&lt;=1181,2,1)))=2,TEXT(INDEX(ERP資料!$G:$G, (MATCH(350, 輔助計算!$G$2:$G$801, 0)+1)),"0.##")&amp;"+"&amp;TEXT(INDEX(ERP資料!$G:$G, (MATCH(350, 輔助計算!$G$2:$G$801, 0)+1)),"0.##"),TEXT(INDEX(ERP資料!$G:$G, (MATCH(350, 輔助計算!$G$2:$G$801, 0)+1)),"0.##")&amp;"+"&amp;TEXT(INDEX(ERP資料!$G:$G, (MATCH(350, 輔助計算!$G$2:$G$801, 0)+1)),"0.##")&amp;"+"&amp;TEXT(INDEX(ERP資料!$G:$G, (MATCH(350, 輔助計算!$G$2:$G$801, 0)+1)),"0.##")))&amp;"-"&amp;INT(INDEX(輔助計算!$D:$D, (MATCH(350, 輔助計算!$G$2:$G$801, 0)+1))/IF(INDEX(ERP資料!$G:$G, (MATCH(350, 輔助計算!$G$2:$G$801, 0)+1))&lt;100, IF(INDEX(ERP資料!$G:$G, (MATCH(350, 輔助計算!$G$2:$G$801, 0)+1))&lt;=31,3,IF(INDEX(ERP資料!$G:$G, (MATCH(350, 輔助計算!$G$2:$G$801, 0)+1))&lt;=46.5,2,1)), IF(INDEX(ERP資料!$G:$G, (MATCH(350, 輔助計算!$G$2:$G$801, 0)+1))&lt;=790,3,IF(INDEX(ERP資料!$G:$G, (MATCH(350, 輔助計算!$G$2:$G$801, 0)+1))&lt;=1181,2,1)))), "")&lt;&gt;"",IF(MOD(INDEX(輔助計算!$D:$D, (MATCH(350, 輔助計算!$G$2:$G$801, 0)+1)),IF(INDEX(ERP資料!$G:$G, (MATCH(350, 輔助計算!$G$2:$G$801, 0)+1))&lt;100, IF(INDEX(ERP資料!$G:$G, (MATCH(350, 輔助計算!$G$2:$G$801, 0)+1))&lt;=31,3,IF(INDEX(ERP資料!$G:$G, (MATCH(350, 輔助計算!$G$2:$G$801, 0)+1))&lt;=46.5,2,1)), IF(INDEX(ERP資料!$G:$G, (MATCH(350, 輔助計算!$G$2:$G$801, 0)+1))&lt;=790,3,IF(INDEX(ERP資料!$G:$G, (MATCH(350, 輔助計算!$G$2:$G$801, 0)+1))&lt;=1181,2,1))))=0,"",IF(MOD(INDEX(輔助計算!$D:$D, (MATCH(350, 輔助計算!$G$2:$G$801, 0)+1)),IF(INDEX(ERP資料!$G:$G, (MATCH(350, 輔助計算!$G$2:$G$801, 0)+1))&lt;100, IF(INDEX(ERP資料!$G:$G, (MATCH(350, 輔助計算!$G$2:$G$801, 0)+1))&lt;=31,3,IF(INDEX(ERP資料!$G:$G, (MATCH(350, 輔助計算!$G$2:$G$801, 0)+1))&lt;=46.5,2,1)), IF(INDEX(ERP資料!$G:$G, (MATCH(350, 輔助計算!$G$2:$G$801, 0)+1))&lt;=790,3,IF(INDEX(ERP資料!$G:$G, (MATCH(350, 輔助計算!$G$2:$G$801, 0)+1))&lt;=1181,2,1))))=0,"",IF(MOD(INDEX(輔助計算!$D:$D, (MATCH(350, 輔助計算!$G$2:$G$801, 0)+1)),IF(INDEX(ERP資料!$G:$G, (MATCH(350, 輔助計算!$G$2:$G$801, 0)+1))&lt;100, IF(INDEX(ERP資料!$G:$G, (MATCH(350, 輔助計算!$G$2:$G$801, 0)+1))&lt;=31,3,IF(INDEX(ERP資料!$G:$G, (MATCH(350, 輔助計算!$G$2:$G$801, 0)+1))&lt;=46.5,2,1)), IF(INDEX(ERP資料!$G:$G, (MATCH(350, 輔助計算!$G$2:$G$801, 0)+1))&lt;=790,3,IF(INDEX(ERP資料!$G:$G, (MATCH(350, 輔助計算!$G$2:$G$801, 0)+1))&lt;=1181,2,1))))=1,TEXT(INDEX(ERP資料!$G:$G, (MATCH(350, 輔助計算!$G$2:$G$801, 0)+1)),"0.##"),IF(MOD(INDEX(輔助計算!$D:$D, (MATCH(350, 輔助計算!$G$2:$G$801, 0)+1)),IF(INDEX(ERP資料!$G:$G, (MATCH(350, 輔助計算!$G$2:$G$801, 0)+1))&lt;100, IF(INDEX(ERP資料!$G:$G, (MATCH(350, 輔助計算!$G$2:$G$801, 0)+1))&lt;=31,3,IF(INDEX(ERP資料!$G:$G, (MATCH(350, 輔助計算!$G$2:$G$801, 0)+1))&lt;=46.5,2,1)), IF(INDEX(ERP資料!$G:$G, (MATCH(350, 輔助計算!$G$2:$G$801, 0)+1))&lt;=790,3,IF(INDEX(ERP資料!$G:$G, (MATCH(350, 輔助計算!$G$2:$G$801, 0)+1))&lt;=1181,2,1))))=2,TEXT(INDEX(ERP資料!$G:$G, (MATCH(350, 輔助計算!$G$2:$G$801, 0)+1)),"0.##")&amp;"+"&amp;TEXT(INDEX(ERP資料!$G:$G, (MATCH(350, 輔助計算!$G$2:$G$801, 0)+1)),"0.##"),TEXT(INDEX(ERP資料!$G:$G, (MATCH(350, 輔助計算!$G$2:$G$801, 0)+1)),"0.##")&amp;"+"&amp;TEXT(INDEX(ERP資料!$G:$G, (MATCH(350, 輔助計算!$G$2:$G$801, 0)+1)),"0.##")&amp;"+"&amp;TEXT(INDEX(ERP資料!$G:$G, (MATCH(350, 輔助計算!$G$2:$G$801, 0)+1)),"0.##"))))&amp;"-1")&lt;&gt;""),"  ","")&amp;IF(MOD(INDEX(輔助計算!$D:$D, (MATCH(350, 輔助計算!$G$2:$G$801, 0)+1)),IF(INDEX(ERP資料!$G:$G, (MATCH(350, 輔助計算!$G$2:$G$801, 0)+1))&lt;100, IF(INDEX(ERP資料!$G:$G, (MATCH(350, 輔助計算!$G$2:$G$801, 0)+1))&lt;=31,3,IF(INDEX(ERP資料!$G:$G, (MATCH(350, 輔助計算!$G$2:$G$801, 0)+1))&lt;=46.5,2,1)), IF(INDEX(ERP資料!$G:$G, (MATCH(350, 輔助計算!$G$2:$G$801, 0)+1))&lt;=790,3,IF(INDEX(ERP資料!$G:$G, (MATCH(350, 輔助計算!$G$2:$G$801, 0)+1))&lt;=1181,2,1))))=0,"",IF(MOD(INDEX(輔助計算!$D:$D, (MATCH(350, 輔助計算!$G$2:$G$801, 0)+1)),IF(INDEX(ERP資料!$G:$G, (MATCH(350, 輔助計算!$G$2:$G$801, 0)+1))&lt;100, IF(INDEX(ERP資料!$G:$G, (MATCH(350, 輔助計算!$G$2:$G$801, 0)+1))&lt;=31,3,IF(INDEX(ERP資料!$G:$G, (MATCH(350, 輔助計算!$G$2:$G$801, 0)+1))&lt;=46.5,2,1)), IF(INDEX(ERP資料!$G:$G, (MATCH(350, 輔助計算!$G$2:$G$801, 0)+1))&lt;=790,3,IF(INDEX(ERP資料!$G:$G, (MATCH(350, 輔助計算!$G$2:$G$801, 0)+1))&lt;=1181,2,1))))=0,"",IF(MOD(INDEX(輔助計算!$D:$D, (MATCH(350, 輔助計算!$G$2:$G$801, 0)+1)),IF(INDEX(ERP資料!$G:$G, (MATCH(350, 輔助計算!$G$2:$G$801, 0)+1))&lt;100, IF(INDEX(ERP資料!$G:$G, (MATCH(350, 輔助計算!$G$2:$G$801, 0)+1))&lt;=31,3,IF(INDEX(ERP資料!$G:$G, (MATCH(350, 輔助計算!$G$2:$G$801, 0)+1))&lt;=46.5,2,1)), IF(INDEX(ERP資料!$G:$G, (MATCH(350, 輔助計算!$G$2:$G$801, 0)+1))&lt;=790,3,IF(INDEX(ERP資料!$G:$G, (MATCH(350, 輔助計算!$G$2:$G$801, 0)+1))&lt;=1181,2,1))))=1,TEXT(INDEX(ERP資料!$G:$G, (MATCH(350, 輔助計算!$G$2:$G$801, 0)+1)),"0.##"),IF(MOD(INDEX(輔助計算!$D:$D, (MATCH(350, 輔助計算!$G$2:$G$801, 0)+1)),IF(INDEX(ERP資料!$G:$G, (MATCH(350, 輔助計算!$G$2:$G$801, 0)+1))&lt;100, IF(INDEX(ERP資料!$G:$G, (MATCH(350, 輔助計算!$G$2:$G$801, 0)+1))&lt;=31,3,IF(INDEX(ERP資料!$G:$G, (MATCH(350, 輔助計算!$G$2:$G$801, 0)+1))&lt;=46.5,2,1)), IF(INDEX(ERP資料!$G:$G, (MATCH(350, 輔助計算!$G$2:$G$801, 0)+1))&lt;=790,3,IF(INDEX(ERP資料!$G:$G, (MATCH(350, 輔助計算!$G$2:$G$801, 0)+1))&lt;=1181,2,1))))=2,TEXT(INDEX(ERP資料!$G:$G, (MATCH(350, 輔助計算!$G$2:$G$801, 0)+1)),"0.##")&amp;"+"&amp;TEXT(INDEX(ERP資料!$G:$G, (MATCH(350, 輔助計算!$G$2:$G$801, 0)+1)),"0.##"),TEXT(INDEX(ERP資料!$G:$G, (MATCH(350, 輔助計算!$G$2:$G$801, 0)+1)),"0.##")&amp;"+"&amp;TEXT(INDEX(ERP資料!$G:$G, (MATCH(350, 輔助計算!$G$2:$G$801, 0)+1)),"0.##")&amp;"+"&amp;TEXT(INDEX(ERP資料!$G:$G, (MATCH(350, 輔助計算!$G$2:$G$801, 0)+1)),"0.##"))))&amp;"-1")), ""), "")</f>
        <v/>
      </c>
      <c r="K351" s="16" t="n"/>
      <c r="L351" s="14">
        <f>IFERROR(IF(AND(IFERROR(INDEX(ERP資料!$A:$A, (MATCH(350, 輔助計算!$G$2:$G$801, 0)+1)), "")&lt;&gt;"", IFERROR(INDEX(ERP資料!$A:$A, (MATCH(350, 輔助計算!$G$2:$G$801, 0)+1)), "")&lt;&gt;IFERROR(INDEX(ERP資料!$A:$A, MATCH(349, 輔助計算!$G$2:$G$801, 0)+1), "")), INDEX(ERP資料!$B:$B, (MATCH(350, 輔助計算!$G$2:$G$801, 0)+1)), ""), "")</f>
        <v/>
      </c>
      <c r="M351" s="17" t="n"/>
    </row>
    <row r="352">
      <c r="A352" s="10">
        <f>IFERROR(IF(AND(IFERROR(INDEX(ERP資料!$A:$A, (MATCH(351, 輔助計算!$G$2:$G$801, 0)+1)), "")&lt;&gt;"", IFERROR(INDEX(ERP資料!$A:$A, (MATCH(351, 輔助計算!$G$2:$G$801, 0)+1)), "")&lt;&gt;IFERROR(INDEX(ERP資料!$A:$A, MATCH(350, 輔助計算!$G$2:$G$801, 0)+1), "")), IFERROR(INDEX(ERP資料!$A:$A, (MATCH(351, 輔助計算!$G$2:$G$801, 0)+1)), ""), ""), "")</f>
        <v/>
      </c>
      <c r="B352" s="10">
        <f>IFERROR(IF(AND(IFERROR(INDEX(ERP資料!$A:$A, (MATCH(351, 輔助計算!$G$2:$G$801, 0)+1)), "")&lt;&gt;"", IFERROR(INDEX(ERP資料!$A:$A, (MATCH(351, 輔助計算!$G$2:$G$801, 0)+1)), "")&lt;&gt;IFERROR(INDEX(ERP資料!$A:$A, MATCH(350, 輔助計算!$G$2:$G$801, 0)+1), "")), INDEX(ERP資料!$S:$S, (MATCH(351, 輔助計算!$G$2:$G$801, 0)+1)), ""), "")</f>
        <v/>
      </c>
      <c r="C352" s="19">
        <f>IFERROR(IF(AND(IFERROR(INDEX(ERP資料!$A:$A, (MATCH(351, 輔助計算!$G$2:$G$801, 0)+1)), "")&lt;&gt;"", IFERROR(INDEX(ERP資料!$A:$A, (MATCH(351, 輔助計算!$G$2:$G$801, 0)+1)), "")&lt;&gt;IFERROR(INDEX(ERP資料!$A:$A, MATCH(350, 輔助計算!$G$2:$G$801, 0)+1), "")), IFERROR(VLOOKUP(LEFT(INDEX(ERP資料!$S:$S, (MATCH(351, 輔助計算!$G$2:$G$801, 0)+1)), 4), 紙管對照表!$A:$C, 3, FALSE), ""), ""), "")</f>
        <v/>
      </c>
      <c r="D352" s="16" t="n"/>
      <c r="E352" s="10">
        <f>IFERROR(IF(INDEX(ERP資料!$H:$H, (MATCH(351, 輔助計算!$G$2:$G$801, 0)+1))="","",INDEX(ERP資料!$H:$H, (MATCH(351, 輔助計算!$G$2:$G$801, 0)+1))), "")</f>
        <v/>
      </c>
      <c r="F352" s="10">
        <f>IFERROR(IF(INDEX(ERP資料!$E:$E, (MATCH(351, 輔助計算!$G$2:$G$801, 0)+1))="","",TRIM(INDEX(ERP資料!$E:$E, (MATCH(351, 輔助計算!$G$2:$G$801, 0)+1)))), "")</f>
        <v/>
      </c>
      <c r="G352" s="10">
        <f>IFERROR(IF(INDEX(ERP資料!$F:$F, (MATCH(351, 輔助計算!$G$2:$G$801, 0)+1))="","",INDEX(ERP資料!$F:$F, (MATCH(351, 輔助計算!$G$2:$G$801, 0)+1))), "")</f>
        <v/>
      </c>
      <c r="H352" s="10">
        <f>IFERROR(IF(INDEX(ERP資料!$G:$G, (MATCH(351, 輔助計算!$G$2:$G$801, 0)+1))="","",INDEX(ERP資料!$G:$G, (MATCH(351, 輔助計算!$G$2:$G$801, 0)+1))), "")</f>
        <v/>
      </c>
      <c r="I352" s="15">
        <f>IFERROR(INDEX(輔助計算!$D:$D, (MATCH(351, 輔助計算!$G$2:$G$801, 0)+1)), "")</f>
        <v/>
      </c>
      <c r="J352" s="15">
        <f>IFERROR(IF(AND(INDEX(輔助計算!$D:$D, (MATCH(351, 輔助計算!$G$2:$G$801, 0)+1))&lt;&gt;"", INDEX(ERP資料!$G:$G, (MATCH(351, 輔助計算!$G$2:$G$801, 0)+1))&lt;&gt;""), TRIM(IF(INT(INDEX(輔助計算!$D:$D, (MATCH(351, 輔助計算!$G$2:$G$801, 0)+1))/IF(INDEX(ERP資料!$G:$G, (MATCH(351, 輔助計算!$G$2:$G$801, 0)+1))&lt;100, IF(INDEX(ERP資料!$G:$G, (MATCH(351, 輔助計算!$G$2:$G$801, 0)+1))&lt;=31,3,IF(INDEX(ERP資料!$G:$G, (MATCH(351, 輔助計算!$G$2:$G$801, 0)+1))&lt;=46.5,2,1)), IF(INDEX(ERP資料!$G:$G, (MATCH(351, 輔助計算!$G$2:$G$801, 0)+1))&lt;=790,3,IF(INDEX(ERP資料!$G:$G, (MATCH(351, 輔助計算!$G$2:$G$801, 0)+1))&lt;=1181,2,1))))&gt;0, IF(IF(INDEX(ERP資料!$G:$G, (MATCH(351, 輔助計算!$G$2:$G$801, 0)+1))&lt;100, IF(INDEX(ERP資料!$G:$G, (MATCH(351, 輔助計算!$G$2:$G$801, 0)+1))&lt;=31,3,IF(INDEX(ERP資料!$G:$G, (MATCH(351, 輔助計算!$G$2:$G$801, 0)+1))&lt;=46.5,2,1)), IF(INDEX(ERP資料!$G:$G, (MATCH(351, 輔助計算!$G$2:$G$801, 0)+1))&lt;=790,3,IF(INDEX(ERP資料!$G:$G, (MATCH(351, 輔助計算!$G$2:$G$801, 0)+1))&lt;=1181,2,1)))=1,TEXT(INDEX(ERP資料!$G:$G, (MATCH(351, 輔助計算!$G$2:$G$801, 0)+1)),"0.##"),IF(IF(INDEX(ERP資料!$G:$G, (MATCH(351, 輔助計算!$G$2:$G$801, 0)+1))&lt;100, IF(INDEX(ERP資料!$G:$G, (MATCH(351, 輔助計算!$G$2:$G$801, 0)+1))&lt;=31,3,IF(INDEX(ERP資料!$G:$G, (MATCH(351, 輔助計算!$G$2:$G$801, 0)+1))&lt;=46.5,2,1)), IF(INDEX(ERP資料!$G:$G, (MATCH(351, 輔助計算!$G$2:$G$801, 0)+1))&lt;=790,3,IF(INDEX(ERP資料!$G:$G, (MATCH(351, 輔助計算!$G$2:$G$801, 0)+1))&lt;=1181,2,1)))=2,TEXT(INDEX(ERP資料!$G:$G, (MATCH(351, 輔助計算!$G$2:$G$801, 0)+1)),"0.##")&amp;"+"&amp;TEXT(INDEX(ERP資料!$G:$G, (MATCH(351, 輔助計算!$G$2:$G$801, 0)+1)),"0.##"),TEXT(INDEX(ERP資料!$G:$G, (MATCH(351, 輔助計算!$G$2:$G$801, 0)+1)),"0.##")&amp;"+"&amp;TEXT(INDEX(ERP資料!$G:$G, (MATCH(351, 輔助計算!$G$2:$G$801, 0)+1)),"0.##")&amp;"+"&amp;TEXT(INDEX(ERP資料!$G:$G, (MATCH(351, 輔助計算!$G$2:$G$801, 0)+1)),"0.##")))&amp;"-"&amp;INT(INDEX(輔助計算!$D:$D, (MATCH(351, 輔助計算!$G$2:$G$801, 0)+1))/IF(INDEX(ERP資料!$G:$G, (MATCH(351, 輔助計算!$G$2:$G$801, 0)+1))&lt;100, IF(INDEX(ERP資料!$G:$G, (MATCH(351, 輔助計算!$G$2:$G$801, 0)+1))&lt;=31,3,IF(INDEX(ERP資料!$G:$G, (MATCH(351, 輔助計算!$G$2:$G$801, 0)+1))&lt;=46.5,2,1)), IF(INDEX(ERP資料!$G:$G, (MATCH(351, 輔助計算!$G$2:$G$801, 0)+1))&lt;=790,3,IF(INDEX(ERP資料!$G:$G, (MATCH(351, 輔助計算!$G$2:$G$801, 0)+1))&lt;=1181,2,1)))), "")&amp;IF(AND(IF(INT(INDEX(輔助計算!$D:$D, (MATCH(351, 輔助計算!$G$2:$G$801, 0)+1))/IF(INDEX(ERP資料!$G:$G, (MATCH(351, 輔助計算!$G$2:$G$801, 0)+1))&lt;100, IF(INDEX(ERP資料!$G:$G, (MATCH(351, 輔助計算!$G$2:$G$801, 0)+1))&lt;=31,3,IF(INDEX(ERP資料!$G:$G, (MATCH(351, 輔助計算!$G$2:$G$801, 0)+1))&lt;=46.5,2,1)), IF(INDEX(ERP資料!$G:$G, (MATCH(351, 輔助計算!$G$2:$G$801, 0)+1))&lt;=790,3,IF(INDEX(ERP資料!$G:$G, (MATCH(351, 輔助計算!$G$2:$G$801, 0)+1))&lt;=1181,2,1))))&gt;0, IF(IF(INDEX(ERP資料!$G:$G, (MATCH(351, 輔助計算!$G$2:$G$801, 0)+1))&lt;100, IF(INDEX(ERP資料!$G:$G, (MATCH(351, 輔助計算!$G$2:$G$801, 0)+1))&lt;=31,3,IF(INDEX(ERP資料!$G:$G, (MATCH(351, 輔助計算!$G$2:$G$801, 0)+1))&lt;=46.5,2,1)), IF(INDEX(ERP資料!$G:$G, (MATCH(351, 輔助計算!$G$2:$G$801, 0)+1))&lt;=790,3,IF(INDEX(ERP資料!$G:$G, (MATCH(351, 輔助計算!$G$2:$G$801, 0)+1))&lt;=1181,2,1)))=1,TEXT(INDEX(ERP資料!$G:$G, (MATCH(351, 輔助計算!$G$2:$G$801, 0)+1)),"0.##"),IF(IF(INDEX(ERP資料!$G:$G, (MATCH(351, 輔助計算!$G$2:$G$801, 0)+1))&lt;100, IF(INDEX(ERP資料!$G:$G, (MATCH(351, 輔助計算!$G$2:$G$801, 0)+1))&lt;=31,3,IF(INDEX(ERP資料!$G:$G, (MATCH(351, 輔助計算!$G$2:$G$801, 0)+1))&lt;=46.5,2,1)), IF(INDEX(ERP資料!$G:$G, (MATCH(351, 輔助計算!$G$2:$G$801, 0)+1))&lt;=790,3,IF(INDEX(ERP資料!$G:$G, (MATCH(351, 輔助計算!$G$2:$G$801, 0)+1))&lt;=1181,2,1)))=2,TEXT(INDEX(ERP資料!$G:$G, (MATCH(351, 輔助計算!$G$2:$G$801, 0)+1)),"0.##")&amp;"+"&amp;TEXT(INDEX(ERP資料!$G:$G, (MATCH(351, 輔助計算!$G$2:$G$801, 0)+1)),"0.##"),TEXT(INDEX(ERP資料!$G:$G, (MATCH(351, 輔助計算!$G$2:$G$801, 0)+1)),"0.##")&amp;"+"&amp;TEXT(INDEX(ERP資料!$G:$G, (MATCH(351, 輔助計算!$G$2:$G$801, 0)+1)),"0.##")&amp;"+"&amp;TEXT(INDEX(ERP資料!$G:$G, (MATCH(351, 輔助計算!$G$2:$G$801, 0)+1)),"0.##")))&amp;"-"&amp;INT(INDEX(輔助計算!$D:$D, (MATCH(351, 輔助計算!$G$2:$G$801, 0)+1))/IF(INDEX(ERP資料!$G:$G, (MATCH(351, 輔助計算!$G$2:$G$801, 0)+1))&lt;100, IF(INDEX(ERP資料!$G:$G, (MATCH(351, 輔助計算!$G$2:$G$801, 0)+1))&lt;=31,3,IF(INDEX(ERP資料!$G:$G, (MATCH(351, 輔助計算!$G$2:$G$801, 0)+1))&lt;=46.5,2,1)), IF(INDEX(ERP資料!$G:$G, (MATCH(351, 輔助計算!$G$2:$G$801, 0)+1))&lt;=790,3,IF(INDEX(ERP資料!$G:$G, (MATCH(351, 輔助計算!$G$2:$G$801, 0)+1))&lt;=1181,2,1)))), "")&lt;&gt;"",IF(MOD(INDEX(輔助計算!$D:$D, (MATCH(351, 輔助計算!$G$2:$G$801, 0)+1)),IF(INDEX(ERP資料!$G:$G, (MATCH(351, 輔助計算!$G$2:$G$801, 0)+1))&lt;100, IF(INDEX(ERP資料!$G:$G, (MATCH(351, 輔助計算!$G$2:$G$801, 0)+1))&lt;=31,3,IF(INDEX(ERP資料!$G:$G, (MATCH(351, 輔助計算!$G$2:$G$801, 0)+1))&lt;=46.5,2,1)), IF(INDEX(ERP資料!$G:$G, (MATCH(351, 輔助計算!$G$2:$G$801, 0)+1))&lt;=790,3,IF(INDEX(ERP資料!$G:$G, (MATCH(351, 輔助計算!$G$2:$G$801, 0)+1))&lt;=1181,2,1))))=0,"",IF(MOD(INDEX(輔助計算!$D:$D, (MATCH(351, 輔助計算!$G$2:$G$801, 0)+1)),IF(INDEX(ERP資料!$G:$G, (MATCH(351, 輔助計算!$G$2:$G$801, 0)+1))&lt;100, IF(INDEX(ERP資料!$G:$G, (MATCH(351, 輔助計算!$G$2:$G$801, 0)+1))&lt;=31,3,IF(INDEX(ERP資料!$G:$G, (MATCH(351, 輔助計算!$G$2:$G$801, 0)+1))&lt;=46.5,2,1)), IF(INDEX(ERP資料!$G:$G, (MATCH(351, 輔助計算!$G$2:$G$801, 0)+1))&lt;=790,3,IF(INDEX(ERP資料!$G:$G, (MATCH(351, 輔助計算!$G$2:$G$801, 0)+1))&lt;=1181,2,1))))=0,"",IF(MOD(INDEX(輔助計算!$D:$D, (MATCH(351, 輔助計算!$G$2:$G$801, 0)+1)),IF(INDEX(ERP資料!$G:$G, (MATCH(351, 輔助計算!$G$2:$G$801, 0)+1))&lt;100, IF(INDEX(ERP資料!$G:$G, (MATCH(351, 輔助計算!$G$2:$G$801, 0)+1))&lt;=31,3,IF(INDEX(ERP資料!$G:$G, (MATCH(351, 輔助計算!$G$2:$G$801, 0)+1))&lt;=46.5,2,1)), IF(INDEX(ERP資料!$G:$G, (MATCH(351, 輔助計算!$G$2:$G$801, 0)+1))&lt;=790,3,IF(INDEX(ERP資料!$G:$G, (MATCH(351, 輔助計算!$G$2:$G$801, 0)+1))&lt;=1181,2,1))))=1,TEXT(INDEX(ERP資料!$G:$G, (MATCH(351, 輔助計算!$G$2:$G$801, 0)+1)),"0.##"),IF(MOD(INDEX(輔助計算!$D:$D, (MATCH(351, 輔助計算!$G$2:$G$801, 0)+1)),IF(INDEX(ERP資料!$G:$G, (MATCH(351, 輔助計算!$G$2:$G$801, 0)+1))&lt;100, IF(INDEX(ERP資料!$G:$G, (MATCH(351, 輔助計算!$G$2:$G$801, 0)+1))&lt;=31,3,IF(INDEX(ERP資料!$G:$G, (MATCH(351, 輔助計算!$G$2:$G$801, 0)+1))&lt;=46.5,2,1)), IF(INDEX(ERP資料!$G:$G, (MATCH(351, 輔助計算!$G$2:$G$801, 0)+1))&lt;=790,3,IF(INDEX(ERP資料!$G:$G, (MATCH(351, 輔助計算!$G$2:$G$801, 0)+1))&lt;=1181,2,1))))=2,TEXT(INDEX(ERP資料!$G:$G, (MATCH(351, 輔助計算!$G$2:$G$801, 0)+1)),"0.##")&amp;"+"&amp;TEXT(INDEX(ERP資料!$G:$G, (MATCH(351, 輔助計算!$G$2:$G$801, 0)+1)),"0.##"),TEXT(INDEX(ERP資料!$G:$G, (MATCH(351, 輔助計算!$G$2:$G$801, 0)+1)),"0.##")&amp;"+"&amp;TEXT(INDEX(ERP資料!$G:$G, (MATCH(351, 輔助計算!$G$2:$G$801, 0)+1)),"0.##")&amp;"+"&amp;TEXT(INDEX(ERP資料!$G:$G, (MATCH(351, 輔助計算!$G$2:$G$801, 0)+1)),"0.##"))))&amp;"-1")&lt;&gt;""),"  ","")&amp;IF(MOD(INDEX(輔助計算!$D:$D, (MATCH(351, 輔助計算!$G$2:$G$801, 0)+1)),IF(INDEX(ERP資料!$G:$G, (MATCH(351, 輔助計算!$G$2:$G$801, 0)+1))&lt;100, IF(INDEX(ERP資料!$G:$G, (MATCH(351, 輔助計算!$G$2:$G$801, 0)+1))&lt;=31,3,IF(INDEX(ERP資料!$G:$G, (MATCH(351, 輔助計算!$G$2:$G$801, 0)+1))&lt;=46.5,2,1)), IF(INDEX(ERP資料!$G:$G, (MATCH(351, 輔助計算!$G$2:$G$801, 0)+1))&lt;=790,3,IF(INDEX(ERP資料!$G:$G, (MATCH(351, 輔助計算!$G$2:$G$801, 0)+1))&lt;=1181,2,1))))=0,"",IF(MOD(INDEX(輔助計算!$D:$D, (MATCH(351, 輔助計算!$G$2:$G$801, 0)+1)),IF(INDEX(ERP資料!$G:$G, (MATCH(351, 輔助計算!$G$2:$G$801, 0)+1))&lt;100, IF(INDEX(ERP資料!$G:$G, (MATCH(351, 輔助計算!$G$2:$G$801, 0)+1))&lt;=31,3,IF(INDEX(ERP資料!$G:$G, (MATCH(351, 輔助計算!$G$2:$G$801, 0)+1))&lt;=46.5,2,1)), IF(INDEX(ERP資料!$G:$G, (MATCH(351, 輔助計算!$G$2:$G$801, 0)+1))&lt;=790,3,IF(INDEX(ERP資料!$G:$G, (MATCH(351, 輔助計算!$G$2:$G$801, 0)+1))&lt;=1181,2,1))))=0,"",IF(MOD(INDEX(輔助計算!$D:$D, (MATCH(351, 輔助計算!$G$2:$G$801, 0)+1)),IF(INDEX(ERP資料!$G:$G, (MATCH(351, 輔助計算!$G$2:$G$801, 0)+1))&lt;100, IF(INDEX(ERP資料!$G:$G, (MATCH(351, 輔助計算!$G$2:$G$801, 0)+1))&lt;=31,3,IF(INDEX(ERP資料!$G:$G, (MATCH(351, 輔助計算!$G$2:$G$801, 0)+1))&lt;=46.5,2,1)), IF(INDEX(ERP資料!$G:$G, (MATCH(351, 輔助計算!$G$2:$G$801, 0)+1))&lt;=790,3,IF(INDEX(ERP資料!$G:$G, (MATCH(351, 輔助計算!$G$2:$G$801, 0)+1))&lt;=1181,2,1))))=1,TEXT(INDEX(ERP資料!$G:$G, (MATCH(351, 輔助計算!$G$2:$G$801, 0)+1)),"0.##"),IF(MOD(INDEX(輔助計算!$D:$D, (MATCH(351, 輔助計算!$G$2:$G$801, 0)+1)),IF(INDEX(ERP資料!$G:$G, (MATCH(351, 輔助計算!$G$2:$G$801, 0)+1))&lt;100, IF(INDEX(ERP資料!$G:$G, (MATCH(351, 輔助計算!$G$2:$G$801, 0)+1))&lt;=31,3,IF(INDEX(ERP資料!$G:$G, (MATCH(351, 輔助計算!$G$2:$G$801, 0)+1))&lt;=46.5,2,1)), IF(INDEX(ERP資料!$G:$G, (MATCH(351, 輔助計算!$G$2:$G$801, 0)+1))&lt;=790,3,IF(INDEX(ERP資料!$G:$G, (MATCH(351, 輔助計算!$G$2:$G$801, 0)+1))&lt;=1181,2,1))))=2,TEXT(INDEX(ERP資料!$G:$G, (MATCH(351, 輔助計算!$G$2:$G$801, 0)+1)),"0.##")&amp;"+"&amp;TEXT(INDEX(ERP資料!$G:$G, (MATCH(351, 輔助計算!$G$2:$G$801, 0)+1)),"0.##"),TEXT(INDEX(ERP資料!$G:$G, (MATCH(351, 輔助計算!$G$2:$G$801, 0)+1)),"0.##")&amp;"+"&amp;TEXT(INDEX(ERP資料!$G:$G, (MATCH(351, 輔助計算!$G$2:$G$801, 0)+1)),"0.##")&amp;"+"&amp;TEXT(INDEX(ERP資料!$G:$G, (MATCH(351, 輔助計算!$G$2:$G$801, 0)+1)),"0.##"))))&amp;"-1")), ""), "")</f>
        <v/>
      </c>
      <c r="K352" s="16" t="n"/>
      <c r="L352" s="14">
        <f>IFERROR(IF(AND(IFERROR(INDEX(ERP資料!$A:$A, (MATCH(351, 輔助計算!$G$2:$G$801, 0)+1)), "")&lt;&gt;"", IFERROR(INDEX(ERP資料!$A:$A, (MATCH(351, 輔助計算!$G$2:$G$801, 0)+1)), "")&lt;&gt;IFERROR(INDEX(ERP資料!$A:$A, MATCH(350, 輔助計算!$G$2:$G$801, 0)+1), "")), INDEX(ERP資料!$B:$B, (MATCH(351, 輔助計算!$G$2:$G$801, 0)+1)), ""), "")</f>
        <v/>
      </c>
      <c r="M352" s="17" t="n"/>
    </row>
    <row r="353">
      <c r="A353" s="10">
        <f>IFERROR(IF(AND(IFERROR(INDEX(ERP資料!$A:$A, (MATCH(352, 輔助計算!$G$2:$G$801, 0)+1)), "")&lt;&gt;"", IFERROR(INDEX(ERP資料!$A:$A, (MATCH(352, 輔助計算!$G$2:$G$801, 0)+1)), "")&lt;&gt;IFERROR(INDEX(ERP資料!$A:$A, MATCH(351, 輔助計算!$G$2:$G$801, 0)+1), "")), IFERROR(INDEX(ERP資料!$A:$A, (MATCH(352, 輔助計算!$G$2:$G$801, 0)+1)), ""), ""), "")</f>
        <v/>
      </c>
      <c r="B353" s="10">
        <f>IFERROR(IF(AND(IFERROR(INDEX(ERP資料!$A:$A, (MATCH(352, 輔助計算!$G$2:$G$801, 0)+1)), "")&lt;&gt;"", IFERROR(INDEX(ERP資料!$A:$A, (MATCH(352, 輔助計算!$G$2:$G$801, 0)+1)), "")&lt;&gt;IFERROR(INDEX(ERP資料!$A:$A, MATCH(351, 輔助計算!$G$2:$G$801, 0)+1), "")), INDEX(ERP資料!$S:$S, (MATCH(352, 輔助計算!$G$2:$G$801, 0)+1)), ""), "")</f>
        <v/>
      </c>
      <c r="C353" s="19">
        <f>IFERROR(IF(AND(IFERROR(INDEX(ERP資料!$A:$A, (MATCH(352, 輔助計算!$G$2:$G$801, 0)+1)), "")&lt;&gt;"", IFERROR(INDEX(ERP資料!$A:$A, (MATCH(352, 輔助計算!$G$2:$G$801, 0)+1)), "")&lt;&gt;IFERROR(INDEX(ERP資料!$A:$A, MATCH(351, 輔助計算!$G$2:$G$801, 0)+1), "")), IFERROR(VLOOKUP(LEFT(INDEX(ERP資料!$S:$S, (MATCH(352, 輔助計算!$G$2:$G$801, 0)+1)), 4), 紙管對照表!$A:$C, 3, FALSE), ""), ""), "")</f>
        <v/>
      </c>
      <c r="D353" s="16" t="n"/>
      <c r="E353" s="10">
        <f>IFERROR(IF(INDEX(ERP資料!$H:$H, (MATCH(352, 輔助計算!$G$2:$G$801, 0)+1))="","",INDEX(ERP資料!$H:$H, (MATCH(352, 輔助計算!$G$2:$G$801, 0)+1))), "")</f>
        <v/>
      </c>
      <c r="F353" s="10">
        <f>IFERROR(IF(INDEX(ERP資料!$E:$E, (MATCH(352, 輔助計算!$G$2:$G$801, 0)+1))="","",TRIM(INDEX(ERP資料!$E:$E, (MATCH(352, 輔助計算!$G$2:$G$801, 0)+1)))), "")</f>
        <v/>
      </c>
      <c r="G353" s="10">
        <f>IFERROR(IF(INDEX(ERP資料!$F:$F, (MATCH(352, 輔助計算!$G$2:$G$801, 0)+1))="","",INDEX(ERP資料!$F:$F, (MATCH(352, 輔助計算!$G$2:$G$801, 0)+1))), "")</f>
        <v/>
      </c>
      <c r="H353" s="10">
        <f>IFERROR(IF(INDEX(ERP資料!$G:$G, (MATCH(352, 輔助計算!$G$2:$G$801, 0)+1))="","",INDEX(ERP資料!$G:$G, (MATCH(352, 輔助計算!$G$2:$G$801, 0)+1))), "")</f>
        <v/>
      </c>
      <c r="I353" s="15">
        <f>IFERROR(INDEX(輔助計算!$D:$D, (MATCH(352, 輔助計算!$G$2:$G$801, 0)+1)), "")</f>
        <v/>
      </c>
      <c r="J353" s="15">
        <f>IFERROR(IF(AND(INDEX(輔助計算!$D:$D, (MATCH(352, 輔助計算!$G$2:$G$801, 0)+1))&lt;&gt;"", INDEX(ERP資料!$G:$G, (MATCH(352, 輔助計算!$G$2:$G$801, 0)+1))&lt;&gt;""), TRIM(IF(INT(INDEX(輔助計算!$D:$D, (MATCH(352, 輔助計算!$G$2:$G$801, 0)+1))/IF(INDEX(ERP資料!$G:$G, (MATCH(352, 輔助計算!$G$2:$G$801, 0)+1))&lt;100, IF(INDEX(ERP資料!$G:$G, (MATCH(352, 輔助計算!$G$2:$G$801, 0)+1))&lt;=31,3,IF(INDEX(ERP資料!$G:$G, (MATCH(352, 輔助計算!$G$2:$G$801, 0)+1))&lt;=46.5,2,1)), IF(INDEX(ERP資料!$G:$G, (MATCH(352, 輔助計算!$G$2:$G$801, 0)+1))&lt;=790,3,IF(INDEX(ERP資料!$G:$G, (MATCH(352, 輔助計算!$G$2:$G$801, 0)+1))&lt;=1181,2,1))))&gt;0, IF(IF(INDEX(ERP資料!$G:$G, (MATCH(352, 輔助計算!$G$2:$G$801, 0)+1))&lt;100, IF(INDEX(ERP資料!$G:$G, (MATCH(352, 輔助計算!$G$2:$G$801, 0)+1))&lt;=31,3,IF(INDEX(ERP資料!$G:$G, (MATCH(352, 輔助計算!$G$2:$G$801, 0)+1))&lt;=46.5,2,1)), IF(INDEX(ERP資料!$G:$G, (MATCH(352, 輔助計算!$G$2:$G$801, 0)+1))&lt;=790,3,IF(INDEX(ERP資料!$G:$G, (MATCH(352, 輔助計算!$G$2:$G$801, 0)+1))&lt;=1181,2,1)))=1,TEXT(INDEX(ERP資料!$G:$G, (MATCH(352, 輔助計算!$G$2:$G$801, 0)+1)),"0.##"),IF(IF(INDEX(ERP資料!$G:$G, (MATCH(352, 輔助計算!$G$2:$G$801, 0)+1))&lt;100, IF(INDEX(ERP資料!$G:$G, (MATCH(352, 輔助計算!$G$2:$G$801, 0)+1))&lt;=31,3,IF(INDEX(ERP資料!$G:$G, (MATCH(352, 輔助計算!$G$2:$G$801, 0)+1))&lt;=46.5,2,1)), IF(INDEX(ERP資料!$G:$G, (MATCH(352, 輔助計算!$G$2:$G$801, 0)+1))&lt;=790,3,IF(INDEX(ERP資料!$G:$G, (MATCH(352, 輔助計算!$G$2:$G$801, 0)+1))&lt;=1181,2,1)))=2,TEXT(INDEX(ERP資料!$G:$G, (MATCH(352, 輔助計算!$G$2:$G$801, 0)+1)),"0.##")&amp;"+"&amp;TEXT(INDEX(ERP資料!$G:$G, (MATCH(352, 輔助計算!$G$2:$G$801, 0)+1)),"0.##"),TEXT(INDEX(ERP資料!$G:$G, (MATCH(352, 輔助計算!$G$2:$G$801, 0)+1)),"0.##")&amp;"+"&amp;TEXT(INDEX(ERP資料!$G:$G, (MATCH(352, 輔助計算!$G$2:$G$801, 0)+1)),"0.##")&amp;"+"&amp;TEXT(INDEX(ERP資料!$G:$G, (MATCH(352, 輔助計算!$G$2:$G$801, 0)+1)),"0.##")))&amp;"-"&amp;INT(INDEX(輔助計算!$D:$D, (MATCH(352, 輔助計算!$G$2:$G$801, 0)+1))/IF(INDEX(ERP資料!$G:$G, (MATCH(352, 輔助計算!$G$2:$G$801, 0)+1))&lt;100, IF(INDEX(ERP資料!$G:$G, (MATCH(352, 輔助計算!$G$2:$G$801, 0)+1))&lt;=31,3,IF(INDEX(ERP資料!$G:$G, (MATCH(352, 輔助計算!$G$2:$G$801, 0)+1))&lt;=46.5,2,1)), IF(INDEX(ERP資料!$G:$G, (MATCH(352, 輔助計算!$G$2:$G$801, 0)+1))&lt;=790,3,IF(INDEX(ERP資料!$G:$G, (MATCH(352, 輔助計算!$G$2:$G$801, 0)+1))&lt;=1181,2,1)))), "")&amp;IF(AND(IF(INT(INDEX(輔助計算!$D:$D, (MATCH(352, 輔助計算!$G$2:$G$801, 0)+1))/IF(INDEX(ERP資料!$G:$G, (MATCH(352, 輔助計算!$G$2:$G$801, 0)+1))&lt;100, IF(INDEX(ERP資料!$G:$G, (MATCH(352, 輔助計算!$G$2:$G$801, 0)+1))&lt;=31,3,IF(INDEX(ERP資料!$G:$G, (MATCH(352, 輔助計算!$G$2:$G$801, 0)+1))&lt;=46.5,2,1)), IF(INDEX(ERP資料!$G:$G, (MATCH(352, 輔助計算!$G$2:$G$801, 0)+1))&lt;=790,3,IF(INDEX(ERP資料!$G:$G, (MATCH(352, 輔助計算!$G$2:$G$801, 0)+1))&lt;=1181,2,1))))&gt;0, IF(IF(INDEX(ERP資料!$G:$G, (MATCH(352, 輔助計算!$G$2:$G$801, 0)+1))&lt;100, IF(INDEX(ERP資料!$G:$G, (MATCH(352, 輔助計算!$G$2:$G$801, 0)+1))&lt;=31,3,IF(INDEX(ERP資料!$G:$G, (MATCH(352, 輔助計算!$G$2:$G$801, 0)+1))&lt;=46.5,2,1)), IF(INDEX(ERP資料!$G:$G, (MATCH(352, 輔助計算!$G$2:$G$801, 0)+1))&lt;=790,3,IF(INDEX(ERP資料!$G:$G, (MATCH(352, 輔助計算!$G$2:$G$801, 0)+1))&lt;=1181,2,1)))=1,TEXT(INDEX(ERP資料!$G:$G, (MATCH(352, 輔助計算!$G$2:$G$801, 0)+1)),"0.##"),IF(IF(INDEX(ERP資料!$G:$G, (MATCH(352, 輔助計算!$G$2:$G$801, 0)+1))&lt;100, IF(INDEX(ERP資料!$G:$G, (MATCH(352, 輔助計算!$G$2:$G$801, 0)+1))&lt;=31,3,IF(INDEX(ERP資料!$G:$G, (MATCH(352, 輔助計算!$G$2:$G$801, 0)+1))&lt;=46.5,2,1)), IF(INDEX(ERP資料!$G:$G, (MATCH(352, 輔助計算!$G$2:$G$801, 0)+1))&lt;=790,3,IF(INDEX(ERP資料!$G:$G, (MATCH(352, 輔助計算!$G$2:$G$801, 0)+1))&lt;=1181,2,1)))=2,TEXT(INDEX(ERP資料!$G:$G, (MATCH(352, 輔助計算!$G$2:$G$801, 0)+1)),"0.##")&amp;"+"&amp;TEXT(INDEX(ERP資料!$G:$G, (MATCH(352, 輔助計算!$G$2:$G$801, 0)+1)),"0.##"),TEXT(INDEX(ERP資料!$G:$G, (MATCH(352, 輔助計算!$G$2:$G$801, 0)+1)),"0.##")&amp;"+"&amp;TEXT(INDEX(ERP資料!$G:$G, (MATCH(352, 輔助計算!$G$2:$G$801, 0)+1)),"0.##")&amp;"+"&amp;TEXT(INDEX(ERP資料!$G:$G, (MATCH(352, 輔助計算!$G$2:$G$801, 0)+1)),"0.##")))&amp;"-"&amp;INT(INDEX(輔助計算!$D:$D, (MATCH(352, 輔助計算!$G$2:$G$801, 0)+1))/IF(INDEX(ERP資料!$G:$G, (MATCH(352, 輔助計算!$G$2:$G$801, 0)+1))&lt;100, IF(INDEX(ERP資料!$G:$G, (MATCH(352, 輔助計算!$G$2:$G$801, 0)+1))&lt;=31,3,IF(INDEX(ERP資料!$G:$G, (MATCH(352, 輔助計算!$G$2:$G$801, 0)+1))&lt;=46.5,2,1)), IF(INDEX(ERP資料!$G:$G, (MATCH(352, 輔助計算!$G$2:$G$801, 0)+1))&lt;=790,3,IF(INDEX(ERP資料!$G:$G, (MATCH(352, 輔助計算!$G$2:$G$801, 0)+1))&lt;=1181,2,1)))), "")&lt;&gt;"",IF(MOD(INDEX(輔助計算!$D:$D, (MATCH(352, 輔助計算!$G$2:$G$801, 0)+1)),IF(INDEX(ERP資料!$G:$G, (MATCH(352, 輔助計算!$G$2:$G$801, 0)+1))&lt;100, IF(INDEX(ERP資料!$G:$G, (MATCH(352, 輔助計算!$G$2:$G$801, 0)+1))&lt;=31,3,IF(INDEX(ERP資料!$G:$G, (MATCH(352, 輔助計算!$G$2:$G$801, 0)+1))&lt;=46.5,2,1)), IF(INDEX(ERP資料!$G:$G, (MATCH(352, 輔助計算!$G$2:$G$801, 0)+1))&lt;=790,3,IF(INDEX(ERP資料!$G:$G, (MATCH(352, 輔助計算!$G$2:$G$801, 0)+1))&lt;=1181,2,1))))=0,"",IF(MOD(INDEX(輔助計算!$D:$D, (MATCH(352, 輔助計算!$G$2:$G$801, 0)+1)),IF(INDEX(ERP資料!$G:$G, (MATCH(352, 輔助計算!$G$2:$G$801, 0)+1))&lt;100, IF(INDEX(ERP資料!$G:$G, (MATCH(352, 輔助計算!$G$2:$G$801, 0)+1))&lt;=31,3,IF(INDEX(ERP資料!$G:$G, (MATCH(352, 輔助計算!$G$2:$G$801, 0)+1))&lt;=46.5,2,1)), IF(INDEX(ERP資料!$G:$G, (MATCH(352, 輔助計算!$G$2:$G$801, 0)+1))&lt;=790,3,IF(INDEX(ERP資料!$G:$G, (MATCH(352, 輔助計算!$G$2:$G$801, 0)+1))&lt;=1181,2,1))))=0,"",IF(MOD(INDEX(輔助計算!$D:$D, (MATCH(352, 輔助計算!$G$2:$G$801, 0)+1)),IF(INDEX(ERP資料!$G:$G, (MATCH(352, 輔助計算!$G$2:$G$801, 0)+1))&lt;100, IF(INDEX(ERP資料!$G:$G, (MATCH(352, 輔助計算!$G$2:$G$801, 0)+1))&lt;=31,3,IF(INDEX(ERP資料!$G:$G, (MATCH(352, 輔助計算!$G$2:$G$801, 0)+1))&lt;=46.5,2,1)), IF(INDEX(ERP資料!$G:$G, (MATCH(352, 輔助計算!$G$2:$G$801, 0)+1))&lt;=790,3,IF(INDEX(ERP資料!$G:$G, (MATCH(352, 輔助計算!$G$2:$G$801, 0)+1))&lt;=1181,2,1))))=1,TEXT(INDEX(ERP資料!$G:$G, (MATCH(352, 輔助計算!$G$2:$G$801, 0)+1)),"0.##"),IF(MOD(INDEX(輔助計算!$D:$D, (MATCH(352, 輔助計算!$G$2:$G$801, 0)+1)),IF(INDEX(ERP資料!$G:$G, (MATCH(352, 輔助計算!$G$2:$G$801, 0)+1))&lt;100, IF(INDEX(ERP資料!$G:$G, (MATCH(352, 輔助計算!$G$2:$G$801, 0)+1))&lt;=31,3,IF(INDEX(ERP資料!$G:$G, (MATCH(352, 輔助計算!$G$2:$G$801, 0)+1))&lt;=46.5,2,1)), IF(INDEX(ERP資料!$G:$G, (MATCH(352, 輔助計算!$G$2:$G$801, 0)+1))&lt;=790,3,IF(INDEX(ERP資料!$G:$G, (MATCH(352, 輔助計算!$G$2:$G$801, 0)+1))&lt;=1181,2,1))))=2,TEXT(INDEX(ERP資料!$G:$G, (MATCH(352, 輔助計算!$G$2:$G$801, 0)+1)),"0.##")&amp;"+"&amp;TEXT(INDEX(ERP資料!$G:$G, (MATCH(352, 輔助計算!$G$2:$G$801, 0)+1)),"0.##"),TEXT(INDEX(ERP資料!$G:$G, (MATCH(352, 輔助計算!$G$2:$G$801, 0)+1)),"0.##")&amp;"+"&amp;TEXT(INDEX(ERP資料!$G:$G, (MATCH(352, 輔助計算!$G$2:$G$801, 0)+1)),"0.##")&amp;"+"&amp;TEXT(INDEX(ERP資料!$G:$G, (MATCH(352, 輔助計算!$G$2:$G$801, 0)+1)),"0.##"))))&amp;"-1")&lt;&gt;""),"  ","")&amp;IF(MOD(INDEX(輔助計算!$D:$D, (MATCH(352, 輔助計算!$G$2:$G$801, 0)+1)),IF(INDEX(ERP資料!$G:$G, (MATCH(352, 輔助計算!$G$2:$G$801, 0)+1))&lt;100, IF(INDEX(ERP資料!$G:$G, (MATCH(352, 輔助計算!$G$2:$G$801, 0)+1))&lt;=31,3,IF(INDEX(ERP資料!$G:$G, (MATCH(352, 輔助計算!$G$2:$G$801, 0)+1))&lt;=46.5,2,1)), IF(INDEX(ERP資料!$G:$G, (MATCH(352, 輔助計算!$G$2:$G$801, 0)+1))&lt;=790,3,IF(INDEX(ERP資料!$G:$G, (MATCH(352, 輔助計算!$G$2:$G$801, 0)+1))&lt;=1181,2,1))))=0,"",IF(MOD(INDEX(輔助計算!$D:$D, (MATCH(352, 輔助計算!$G$2:$G$801, 0)+1)),IF(INDEX(ERP資料!$G:$G, (MATCH(352, 輔助計算!$G$2:$G$801, 0)+1))&lt;100, IF(INDEX(ERP資料!$G:$G, (MATCH(352, 輔助計算!$G$2:$G$801, 0)+1))&lt;=31,3,IF(INDEX(ERP資料!$G:$G, (MATCH(352, 輔助計算!$G$2:$G$801, 0)+1))&lt;=46.5,2,1)), IF(INDEX(ERP資料!$G:$G, (MATCH(352, 輔助計算!$G$2:$G$801, 0)+1))&lt;=790,3,IF(INDEX(ERP資料!$G:$G, (MATCH(352, 輔助計算!$G$2:$G$801, 0)+1))&lt;=1181,2,1))))=0,"",IF(MOD(INDEX(輔助計算!$D:$D, (MATCH(352, 輔助計算!$G$2:$G$801, 0)+1)),IF(INDEX(ERP資料!$G:$G, (MATCH(352, 輔助計算!$G$2:$G$801, 0)+1))&lt;100, IF(INDEX(ERP資料!$G:$G, (MATCH(352, 輔助計算!$G$2:$G$801, 0)+1))&lt;=31,3,IF(INDEX(ERP資料!$G:$G, (MATCH(352, 輔助計算!$G$2:$G$801, 0)+1))&lt;=46.5,2,1)), IF(INDEX(ERP資料!$G:$G, (MATCH(352, 輔助計算!$G$2:$G$801, 0)+1))&lt;=790,3,IF(INDEX(ERP資料!$G:$G, (MATCH(352, 輔助計算!$G$2:$G$801, 0)+1))&lt;=1181,2,1))))=1,TEXT(INDEX(ERP資料!$G:$G, (MATCH(352, 輔助計算!$G$2:$G$801, 0)+1)),"0.##"),IF(MOD(INDEX(輔助計算!$D:$D, (MATCH(352, 輔助計算!$G$2:$G$801, 0)+1)),IF(INDEX(ERP資料!$G:$G, (MATCH(352, 輔助計算!$G$2:$G$801, 0)+1))&lt;100, IF(INDEX(ERP資料!$G:$G, (MATCH(352, 輔助計算!$G$2:$G$801, 0)+1))&lt;=31,3,IF(INDEX(ERP資料!$G:$G, (MATCH(352, 輔助計算!$G$2:$G$801, 0)+1))&lt;=46.5,2,1)), IF(INDEX(ERP資料!$G:$G, (MATCH(352, 輔助計算!$G$2:$G$801, 0)+1))&lt;=790,3,IF(INDEX(ERP資料!$G:$G, (MATCH(352, 輔助計算!$G$2:$G$801, 0)+1))&lt;=1181,2,1))))=2,TEXT(INDEX(ERP資料!$G:$G, (MATCH(352, 輔助計算!$G$2:$G$801, 0)+1)),"0.##")&amp;"+"&amp;TEXT(INDEX(ERP資料!$G:$G, (MATCH(352, 輔助計算!$G$2:$G$801, 0)+1)),"0.##"),TEXT(INDEX(ERP資料!$G:$G, (MATCH(352, 輔助計算!$G$2:$G$801, 0)+1)),"0.##")&amp;"+"&amp;TEXT(INDEX(ERP資料!$G:$G, (MATCH(352, 輔助計算!$G$2:$G$801, 0)+1)),"0.##")&amp;"+"&amp;TEXT(INDEX(ERP資料!$G:$G, (MATCH(352, 輔助計算!$G$2:$G$801, 0)+1)),"0.##"))))&amp;"-1")), ""), "")</f>
        <v/>
      </c>
      <c r="K353" s="16" t="n"/>
      <c r="L353" s="14">
        <f>IFERROR(IF(AND(IFERROR(INDEX(ERP資料!$A:$A, (MATCH(352, 輔助計算!$G$2:$G$801, 0)+1)), "")&lt;&gt;"", IFERROR(INDEX(ERP資料!$A:$A, (MATCH(352, 輔助計算!$G$2:$G$801, 0)+1)), "")&lt;&gt;IFERROR(INDEX(ERP資料!$A:$A, MATCH(351, 輔助計算!$G$2:$G$801, 0)+1), "")), INDEX(ERP資料!$B:$B, (MATCH(352, 輔助計算!$G$2:$G$801, 0)+1)), ""), "")</f>
        <v/>
      </c>
      <c r="M353" s="17" t="n"/>
    </row>
    <row r="354">
      <c r="A354" s="10">
        <f>IFERROR(IF(AND(IFERROR(INDEX(ERP資料!$A:$A, (MATCH(353, 輔助計算!$G$2:$G$801, 0)+1)), "")&lt;&gt;"", IFERROR(INDEX(ERP資料!$A:$A, (MATCH(353, 輔助計算!$G$2:$G$801, 0)+1)), "")&lt;&gt;IFERROR(INDEX(ERP資料!$A:$A, MATCH(352, 輔助計算!$G$2:$G$801, 0)+1), "")), IFERROR(INDEX(ERP資料!$A:$A, (MATCH(353, 輔助計算!$G$2:$G$801, 0)+1)), ""), ""), "")</f>
        <v/>
      </c>
      <c r="B354" s="10">
        <f>IFERROR(IF(AND(IFERROR(INDEX(ERP資料!$A:$A, (MATCH(353, 輔助計算!$G$2:$G$801, 0)+1)), "")&lt;&gt;"", IFERROR(INDEX(ERP資料!$A:$A, (MATCH(353, 輔助計算!$G$2:$G$801, 0)+1)), "")&lt;&gt;IFERROR(INDEX(ERP資料!$A:$A, MATCH(352, 輔助計算!$G$2:$G$801, 0)+1), "")), INDEX(ERP資料!$S:$S, (MATCH(353, 輔助計算!$G$2:$G$801, 0)+1)), ""), "")</f>
        <v/>
      </c>
      <c r="C354" s="19">
        <f>IFERROR(IF(AND(IFERROR(INDEX(ERP資料!$A:$A, (MATCH(353, 輔助計算!$G$2:$G$801, 0)+1)), "")&lt;&gt;"", IFERROR(INDEX(ERP資料!$A:$A, (MATCH(353, 輔助計算!$G$2:$G$801, 0)+1)), "")&lt;&gt;IFERROR(INDEX(ERP資料!$A:$A, MATCH(352, 輔助計算!$G$2:$G$801, 0)+1), "")), IFERROR(VLOOKUP(LEFT(INDEX(ERP資料!$S:$S, (MATCH(353, 輔助計算!$G$2:$G$801, 0)+1)), 4), 紙管對照表!$A:$C, 3, FALSE), ""), ""), "")</f>
        <v/>
      </c>
      <c r="D354" s="16" t="n"/>
      <c r="E354" s="10">
        <f>IFERROR(IF(INDEX(ERP資料!$H:$H, (MATCH(353, 輔助計算!$G$2:$G$801, 0)+1))="","",INDEX(ERP資料!$H:$H, (MATCH(353, 輔助計算!$G$2:$G$801, 0)+1))), "")</f>
        <v/>
      </c>
      <c r="F354" s="10">
        <f>IFERROR(IF(INDEX(ERP資料!$E:$E, (MATCH(353, 輔助計算!$G$2:$G$801, 0)+1))="","",TRIM(INDEX(ERP資料!$E:$E, (MATCH(353, 輔助計算!$G$2:$G$801, 0)+1)))), "")</f>
        <v/>
      </c>
      <c r="G354" s="10">
        <f>IFERROR(IF(INDEX(ERP資料!$F:$F, (MATCH(353, 輔助計算!$G$2:$G$801, 0)+1))="","",INDEX(ERP資料!$F:$F, (MATCH(353, 輔助計算!$G$2:$G$801, 0)+1))), "")</f>
        <v/>
      </c>
      <c r="H354" s="10">
        <f>IFERROR(IF(INDEX(ERP資料!$G:$G, (MATCH(353, 輔助計算!$G$2:$G$801, 0)+1))="","",INDEX(ERP資料!$G:$G, (MATCH(353, 輔助計算!$G$2:$G$801, 0)+1))), "")</f>
        <v/>
      </c>
      <c r="I354" s="15">
        <f>IFERROR(INDEX(輔助計算!$D:$D, (MATCH(353, 輔助計算!$G$2:$G$801, 0)+1)), "")</f>
        <v/>
      </c>
      <c r="J354" s="15">
        <f>IFERROR(IF(AND(INDEX(輔助計算!$D:$D, (MATCH(353, 輔助計算!$G$2:$G$801, 0)+1))&lt;&gt;"", INDEX(ERP資料!$G:$G, (MATCH(353, 輔助計算!$G$2:$G$801, 0)+1))&lt;&gt;""), TRIM(IF(INT(INDEX(輔助計算!$D:$D, (MATCH(353, 輔助計算!$G$2:$G$801, 0)+1))/IF(INDEX(ERP資料!$G:$G, (MATCH(353, 輔助計算!$G$2:$G$801, 0)+1))&lt;100, IF(INDEX(ERP資料!$G:$G, (MATCH(353, 輔助計算!$G$2:$G$801, 0)+1))&lt;=31,3,IF(INDEX(ERP資料!$G:$G, (MATCH(353, 輔助計算!$G$2:$G$801, 0)+1))&lt;=46.5,2,1)), IF(INDEX(ERP資料!$G:$G, (MATCH(353, 輔助計算!$G$2:$G$801, 0)+1))&lt;=790,3,IF(INDEX(ERP資料!$G:$G, (MATCH(353, 輔助計算!$G$2:$G$801, 0)+1))&lt;=1181,2,1))))&gt;0, IF(IF(INDEX(ERP資料!$G:$G, (MATCH(353, 輔助計算!$G$2:$G$801, 0)+1))&lt;100, IF(INDEX(ERP資料!$G:$G, (MATCH(353, 輔助計算!$G$2:$G$801, 0)+1))&lt;=31,3,IF(INDEX(ERP資料!$G:$G, (MATCH(353, 輔助計算!$G$2:$G$801, 0)+1))&lt;=46.5,2,1)), IF(INDEX(ERP資料!$G:$G, (MATCH(353, 輔助計算!$G$2:$G$801, 0)+1))&lt;=790,3,IF(INDEX(ERP資料!$G:$G, (MATCH(353, 輔助計算!$G$2:$G$801, 0)+1))&lt;=1181,2,1)))=1,TEXT(INDEX(ERP資料!$G:$G, (MATCH(353, 輔助計算!$G$2:$G$801, 0)+1)),"0.##"),IF(IF(INDEX(ERP資料!$G:$G, (MATCH(353, 輔助計算!$G$2:$G$801, 0)+1))&lt;100, IF(INDEX(ERP資料!$G:$G, (MATCH(353, 輔助計算!$G$2:$G$801, 0)+1))&lt;=31,3,IF(INDEX(ERP資料!$G:$G, (MATCH(353, 輔助計算!$G$2:$G$801, 0)+1))&lt;=46.5,2,1)), IF(INDEX(ERP資料!$G:$G, (MATCH(353, 輔助計算!$G$2:$G$801, 0)+1))&lt;=790,3,IF(INDEX(ERP資料!$G:$G, (MATCH(353, 輔助計算!$G$2:$G$801, 0)+1))&lt;=1181,2,1)))=2,TEXT(INDEX(ERP資料!$G:$G, (MATCH(353, 輔助計算!$G$2:$G$801, 0)+1)),"0.##")&amp;"+"&amp;TEXT(INDEX(ERP資料!$G:$G, (MATCH(353, 輔助計算!$G$2:$G$801, 0)+1)),"0.##"),TEXT(INDEX(ERP資料!$G:$G, (MATCH(353, 輔助計算!$G$2:$G$801, 0)+1)),"0.##")&amp;"+"&amp;TEXT(INDEX(ERP資料!$G:$G, (MATCH(353, 輔助計算!$G$2:$G$801, 0)+1)),"0.##")&amp;"+"&amp;TEXT(INDEX(ERP資料!$G:$G, (MATCH(353, 輔助計算!$G$2:$G$801, 0)+1)),"0.##")))&amp;"-"&amp;INT(INDEX(輔助計算!$D:$D, (MATCH(353, 輔助計算!$G$2:$G$801, 0)+1))/IF(INDEX(ERP資料!$G:$G, (MATCH(353, 輔助計算!$G$2:$G$801, 0)+1))&lt;100, IF(INDEX(ERP資料!$G:$G, (MATCH(353, 輔助計算!$G$2:$G$801, 0)+1))&lt;=31,3,IF(INDEX(ERP資料!$G:$G, (MATCH(353, 輔助計算!$G$2:$G$801, 0)+1))&lt;=46.5,2,1)), IF(INDEX(ERP資料!$G:$G, (MATCH(353, 輔助計算!$G$2:$G$801, 0)+1))&lt;=790,3,IF(INDEX(ERP資料!$G:$G, (MATCH(353, 輔助計算!$G$2:$G$801, 0)+1))&lt;=1181,2,1)))), "")&amp;IF(AND(IF(INT(INDEX(輔助計算!$D:$D, (MATCH(353, 輔助計算!$G$2:$G$801, 0)+1))/IF(INDEX(ERP資料!$G:$G, (MATCH(353, 輔助計算!$G$2:$G$801, 0)+1))&lt;100, IF(INDEX(ERP資料!$G:$G, (MATCH(353, 輔助計算!$G$2:$G$801, 0)+1))&lt;=31,3,IF(INDEX(ERP資料!$G:$G, (MATCH(353, 輔助計算!$G$2:$G$801, 0)+1))&lt;=46.5,2,1)), IF(INDEX(ERP資料!$G:$G, (MATCH(353, 輔助計算!$G$2:$G$801, 0)+1))&lt;=790,3,IF(INDEX(ERP資料!$G:$G, (MATCH(353, 輔助計算!$G$2:$G$801, 0)+1))&lt;=1181,2,1))))&gt;0, IF(IF(INDEX(ERP資料!$G:$G, (MATCH(353, 輔助計算!$G$2:$G$801, 0)+1))&lt;100, IF(INDEX(ERP資料!$G:$G, (MATCH(353, 輔助計算!$G$2:$G$801, 0)+1))&lt;=31,3,IF(INDEX(ERP資料!$G:$G, (MATCH(353, 輔助計算!$G$2:$G$801, 0)+1))&lt;=46.5,2,1)), IF(INDEX(ERP資料!$G:$G, (MATCH(353, 輔助計算!$G$2:$G$801, 0)+1))&lt;=790,3,IF(INDEX(ERP資料!$G:$G, (MATCH(353, 輔助計算!$G$2:$G$801, 0)+1))&lt;=1181,2,1)))=1,TEXT(INDEX(ERP資料!$G:$G, (MATCH(353, 輔助計算!$G$2:$G$801, 0)+1)),"0.##"),IF(IF(INDEX(ERP資料!$G:$G, (MATCH(353, 輔助計算!$G$2:$G$801, 0)+1))&lt;100, IF(INDEX(ERP資料!$G:$G, (MATCH(353, 輔助計算!$G$2:$G$801, 0)+1))&lt;=31,3,IF(INDEX(ERP資料!$G:$G, (MATCH(353, 輔助計算!$G$2:$G$801, 0)+1))&lt;=46.5,2,1)), IF(INDEX(ERP資料!$G:$G, (MATCH(353, 輔助計算!$G$2:$G$801, 0)+1))&lt;=790,3,IF(INDEX(ERP資料!$G:$G, (MATCH(353, 輔助計算!$G$2:$G$801, 0)+1))&lt;=1181,2,1)))=2,TEXT(INDEX(ERP資料!$G:$G, (MATCH(353, 輔助計算!$G$2:$G$801, 0)+1)),"0.##")&amp;"+"&amp;TEXT(INDEX(ERP資料!$G:$G, (MATCH(353, 輔助計算!$G$2:$G$801, 0)+1)),"0.##"),TEXT(INDEX(ERP資料!$G:$G, (MATCH(353, 輔助計算!$G$2:$G$801, 0)+1)),"0.##")&amp;"+"&amp;TEXT(INDEX(ERP資料!$G:$G, (MATCH(353, 輔助計算!$G$2:$G$801, 0)+1)),"0.##")&amp;"+"&amp;TEXT(INDEX(ERP資料!$G:$G, (MATCH(353, 輔助計算!$G$2:$G$801, 0)+1)),"0.##")))&amp;"-"&amp;INT(INDEX(輔助計算!$D:$D, (MATCH(353, 輔助計算!$G$2:$G$801, 0)+1))/IF(INDEX(ERP資料!$G:$G, (MATCH(353, 輔助計算!$G$2:$G$801, 0)+1))&lt;100, IF(INDEX(ERP資料!$G:$G, (MATCH(353, 輔助計算!$G$2:$G$801, 0)+1))&lt;=31,3,IF(INDEX(ERP資料!$G:$G, (MATCH(353, 輔助計算!$G$2:$G$801, 0)+1))&lt;=46.5,2,1)), IF(INDEX(ERP資料!$G:$G, (MATCH(353, 輔助計算!$G$2:$G$801, 0)+1))&lt;=790,3,IF(INDEX(ERP資料!$G:$G, (MATCH(353, 輔助計算!$G$2:$G$801, 0)+1))&lt;=1181,2,1)))), "")&lt;&gt;"",IF(MOD(INDEX(輔助計算!$D:$D, (MATCH(353, 輔助計算!$G$2:$G$801, 0)+1)),IF(INDEX(ERP資料!$G:$G, (MATCH(353, 輔助計算!$G$2:$G$801, 0)+1))&lt;100, IF(INDEX(ERP資料!$G:$G, (MATCH(353, 輔助計算!$G$2:$G$801, 0)+1))&lt;=31,3,IF(INDEX(ERP資料!$G:$G, (MATCH(353, 輔助計算!$G$2:$G$801, 0)+1))&lt;=46.5,2,1)), IF(INDEX(ERP資料!$G:$G, (MATCH(353, 輔助計算!$G$2:$G$801, 0)+1))&lt;=790,3,IF(INDEX(ERP資料!$G:$G, (MATCH(353, 輔助計算!$G$2:$G$801, 0)+1))&lt;=1181,2,1))))=0,"",IF(MOD(INDEX(輔助計算!$D:$D, (MATCH(353, 輔助計算!$G$2:$G$801, 0)+1)),IF(INDEX(ERP資料!$G:$G, (MATCH(353, 輔助計算!$G$2:$G$801, 0)+1))&lt;100, IF(INDEX(ERP資料!$G:$G, (MATCH(353, 輔助計算!$G$2:$G$801, 0)+1))&lt;=31,3,IF(INDEX(ERP資料!$G:$G, (MATCH(353, 輔助計算!$G$2:$G$801, 0)+1))&lt;=46.5,2,1)), IF(INDEX(ERP資料!$G:$G, (MATCH(353, 輔助計算!$G$2:$G$801, 0)+1))&lt;=790,3,IF(INDEX(ERP資料!$G:$G, (MATCH(353, 輔助計算!$G$2:$G$801, 0)+1))&lt;=1181,2,1))))=0,"",IF(MOD(INDEX(輔助計算!$D:$D, (MATCH(353, 輔助計算!$G$2:$G$801, 0)+1)),IF(INDEX(ERP資料!$G:$G, (MATCH(353, 輔助計算!$G$2:$G$801, 0)+1))&lt;100, IF(INDEX(ERP資料!$G:$G, (MATCH(353, 輔助計算!$G$2:$G$801, 0)+1))&lt;=31,3,IF(INDEX(ERP資料!$G:$G, (MATCH(353, 輔助計算!$G$2:$G$801, 0)+1))&lt;=46.5,2,1)), IF(INDEX(ERP資料!$G:$G, (MATCH(353, 輔助計算!$G$2:$G$801, 0)+1))&lt;=790,3,IF(INDEX(ERP資料!$G:$G, (MATCH(353, 輔助計算!$G$2:$G$801, 0)+1))&lt;=1181,2,1))))=1,TEXT(INDEX(ERP資料!$G:$G, (MATCH(353, 輔助計算!$G$2:$G$801, 0)+1)),"0.##"),IF(MOD(INDEX(輔助計算!$D:$D, (MATCH(353, 輔助計算!$G$2:$G$801, 0)+1)),IF(INDEX(ERP資料!$G:$G, (MATCH(353, 輔助計算!$G$2:$G$801, 0)+1))&lt;100, IF(INDEX(ERP資料!$G:$G, (MATCH(353, 輔助計算!$G$2:$G$801, 0)+1))&lt;=31,3,IF(INDEX(ERP資料!$G:$G, (MATCH(353, 輔助計算!$G$2:$G$801, 0)+1))&lt;=46.5,2,1)), IF(INDEX(ERP資料!$G:$G, (MATCH(353, 輔助計算!$G$2:$G$801, 0)+1))&lt;=790,3,IF(INDEX(ERP資料!$G:$G, (MATCH(353, 輔助計算!$G$2:$G$801, 0)+1))&lt;=1181,2,1))))=2,TEXT(INDEX(ERP資料!$G:$G, (MATCH(353, 輔助計算!$G$2:$G$801, 0)+1)),"0.##")&amp;"+"&amp;TEXT(INDEX(ERP資料!$G:$G, (MATCH(353, 輔助計算!$G$2:$G$801, 0)+1)),"0.##"),TEXT(INDEX(ERP資料!$G:$G, (MATCH(353, 輔助計算!$G$2:$G$801, 0)+1)),"0.##")&amp;"+"&amp;TEXT(INDEX(ERP資料!$G:$G, (MATCH(353, 輔助計算!$G$2:$G$801, 0)+1)),"0.##")&amp;"+"&amp;TEXT(INDEX(ERP資料!$G:$G, (MATCH(353, 輔助計算!$G$2:$G$801, 0)+1)),"0.##"))))&amp;"-1")&lt;&gt;""),"  ","")&amp;IF(MOD(INDEX(輔助計算!$D:$D, (MATCH(353, 輔助計算!$G$2:$G$801, 0)+1)),IF(INDEX(ERP資料!$G:$G, (MATCH(353, 輔助計算!$G$2:$G$801, 0)+1))&lt;100, IF(INDEX(ERP資料!$G:$G, (MATCH(353, 輔助計算!$G$2:$G$801, 0)+1))&lt;=31,3,IF(INDEX(ERP資料!$G:$G, (MATCH(353, 輔助計算!$G$2:$G$801, 0)+1))&lt;=46.5,2,1)), IF(INDEX(ERP資料!$G:$G, (MATCH(353, 輔助計算!$G$2:$G$801, 0)+1))&lt;=790,3,IF(INDEX(ERP資料!$G:$G, (MATCH(353, 輔助計算!$G$2:$G$801, 0)+1))&lt;=1181,2,1))))=0,"",IF(MOD(INDEX(輔助計算!$D:$D, (MATCH(353, 輔助計算!$G$2:$G$801, 0)+1)),IF(INDEX(ERP資料!$G:$G, (MATCH(353, 輔助計算!$G$2:$G$801, 0)+1))&lt;100, IF(INDEX(ERP資料!$G:$G, (MATCH(353, 輔助計算!$G$2:$G$801, 0)+1))&lt;=31,3,IF(INDEX(ERP資料!$G:$G, (MATCH(353, 輔助計算!$G$2:$G$801, 0)+1))&lt;=46.5,2,1)), IF(INDEX(ERP資料!$G:$G, (MATCH(353, 輔助計算!$G$2:$G$801, 0)+1))&lt;=790,3,IF(INDEX(ERP資料!$G:$G, (MATCH(353, 輔助計算!$G$2:$G$801, 0)+1))&lt;=1181,2,1))))=0,"",IF(MOD(INDEX(輔助計算!$D:$D, (MATCH(353, 輔助計算!$G$2:$G$801, 0)+1)),IF(INDEX(ERP資料!$G:$G, (MATCH(353, 輔助計算!$G$2:$G$801, 0)+1))&lt;100, IF(INDEX(ERP資料!$G:$G, (MATCH(353, 輔助計算!$G$2:$G$801, 0)+1))&lt;=31,3,IF(INDEX(ERP資料!$G:$G, (MATCH(353, 輔助計算!$G$2:$G$801, 0)+1))&lt;=46.5,2,1)), IF(INDEX(ERP資料!$G:$G, (MATCH(353, 輔助計算!$G$2:$G$801, 0)+1))&lt;=790,3,IF(INDEX(ERP資料!$G:$G, (MATCH(353, 輔助計算!$G$2:$G$801, 0)+1))&lt;=1181,2,1))))=1,TEXT(INDEX(ERP資料!$G:$G, (MATCH(353, 輔助計算!$G$2:$G$801, 0)+1)),"0.##"),IF(MOD(INDEX(輔助計算!$D:$D, (MATCH(353, 輔助計算!$G$2:$G$801, 0)+1)),IF(INDEX(ERP資料!$G:$G, (MATCH(353, 輔助計算!$G$2:$G$801, 0)+1))&lt;100, IF(INDEX(ERP資料!$G:$G, (MATCH(353, 輔助計算!$G$2:$G$801, 0)+1))&lt;=31,3,IF(INDEX(ERP資料!$G:$G, (MATCH(353, 輔助計算!$G$2:$G$801, 0)+1))&lt;=46.5,2,1)), IF(INDEX(ERP資料!$G:$G, (MATCH(353, 輔助計算!$G$2:$G$801, 0)+1))&lt;=790,3,IF(INDEX(ERP資料!$G:$G, (MATCH(353, 輔助計算!$G$2:$G$801, 0)+1))&lt;=1181,2,1))))=2,TEXT(INDEX(ERP資料!$G:$G, (MATCH(353, 輔助計算!$G$2:$G$801, 0)+1)),"0.##")&amp;"+"&amp;TEXT(INDEX(ERP資料!$G:$G, (MATCH(353, 輔助計算!$G$2:$G$801, 0)+1)),"0.##"),TEXT(INDEX(ERP資料!$G:$G, (MATCH(353, 輔助計算!$G$2:$G$801, 0)+1)),"0.##")&amp;"+"&amp;TEXT(INDEX(ERP資料!$G:$G, (MATCH(353, 輔助計算!$G$2:$G$801, 0)+1)),"0.##")&amp;"+"&amp;TEXT(INDEX(ERP資料!$G:$G, (MATCH(353, 輔助計算!$G$2:$G$801, 0)+1)),"0.##"))))&amp;"-1")), ""), "")</f>
        <v/>
      </c>
      <c r="K354" s="16" t="n"/>
      <c r="L354" s="14">
        <f>IFERROR(IF(AND(IFERROR(INDEX(ERP資料!$A:$A, (MATCH(353, 輔助計算!$G$2:$G$801, 0)+1)), "")&lt;&gt;"", IFERROR(INDEX(ERP資料!$A:$A, (MATCH(353, 輔助計算!$G$2:$G$801, 0)+1)), "")&lt;&gt;IFERROR(INDEX(ERP資料!$A:$A, MATCH(352, 輔助計算!$G$2:$G$801, 0)+1), "")), INDEX(ERP資料!$B:$B, (MATCH(353, 輔助計算!$G$2:$G$801, 0)+1)), ""), "")</f>
        <v/>
      </c>
      <c r="M354" s="17" t="n"/>
    </row>
    <row r="355">
      <c r="A355" s="10">
        <f>IFERROR(IF(AND(IFERROR(INDEX(ERP資料!$A:$A, (MATCH(354, 輔助計算!$G$2:$G$801, 0)+1)), "")&lt;&gt;"", IFERROR(INDEX(ERP資料!$A:$A, (MATCH(354, 輔助計算!$G$2:$G$801, 0)+1)), "")&lt;&gt;IFERROR(INDEX(ERP資料!$A:$A, MATCH(353, 輔助計算!$G$2:$G$801, 0)+1), "")), IFERROR(INDEX(ERP資料!$A:$A, (MATCH(354, 輔助計算!$G$2:$G$801, 0)+1)), ""), ""), "")</f>
        <v/>
      </c>
      <c r="B355" s="10">
        <f>IFERROR(IF(AND(IFERROR(INDEX(ERP資料!$A:$A, (MATCH(354, 輔助計算!$G$2:$G$801, 0)+1)), "")&lt;&gt;"", IFERROR(INDEX(ERP資料!$A:$A, (MATCH(354, 輔助計算!$G$2:$G$801, 0)+1)), "")&lt;&gt;IFERROR(INDEX(ERP資料!$A:$A, MATCH(353, 輔助計算!$G$2:$G$801, 0)+1), "")), INDEX(ERP資料!$S:$S, (MATCH(354, 輔助計算!$G$2:$G$801, 0)+1)), ""), "")</f>
        <v/>
      </c>
      <c r="C355" s="19">
        <f>IFERROR(IF(AND(IFERROR(INDEX(ERP資料!$A:$A, (MATCH(354, 輔助計算!$G$2:$G$801, 0)+1)), "")&lt;&gt;"", IFERROR(INDEX(ERP資料!$A:$A, (MATCH(354, 輔助計算!$G$2:$G$801, 0)+1)), "")&lt;&gt;IFERROR(INDEX(ERP資料!$A:$A, MATCH(353, 輔助計算!$G$2:$G$801, 0)+1), "")), IFERROR(VLOOKUP(LEFT(INDEX(ERP資料!$S:$S, (MATCH(354, 輔助計算!$G$2:$G$801, 0)+1)), 4), 紙管對照表!$A:$C, 3, FALSE), ""), ""), "")</f>
        <v/>
      </c>
      <c r="D355" s="16" t="n"/>
      <c r="E355" s="10">
        <f>IFERROR(IF(INDEX(ERP資料!$H:$H, (MATCH(354, 輔助計算!$G$2:$G$801, 0)+1))="","",INDEX(ERP資料!$H:$H, (MATCH(354, 輔助計算!$G$2:$G$801, 0)+1))), "")</f>
        <v/>
      </c>
      <c r="F355" s="10">
        <f>IFERROR(IF(INDEX(ERP資料!$E:$E, (MATCH(354, 輔助計算!$G$2:$G$801, 0)+1))="","",TRIM(INDEX(ERP資料!$E:$E, (MATCH(354, 輔助計算!$G$2:$G$801, 0)+1)))), "")</f>
        <v/>
      </c>
      <c r="G355" s="10">
        <f>IFERROR(IF(INDEX(ERP資料!$F:$F, (MATCH(354, 輔助計算!$G$2:$G$801, 0)+1))="","",INDEX(ERP資料!$F:$F, (MATCH(354, 輔助計算!$G$2:$G$801, 0)+1))), "")</f>
        <v/>
      </c>
      <c r="H355" s="10">
        <f>IFERROR(IF(INDEX(ERP資料!$G:$G, (MATCH(354, 輔助計算!$G$2:$G$801, 0)+1))="","",INDEX(ERP資料!$G:$G, (MATCH(354, 輔助計算!$G$2:$G$801, 0)+1))), "")</f>
        <v/>
      </c>
      <c r="I355" s="15">
        <f>IFERROR(INDEX(輔助計算!$D:$D, (MATCH(354, 輔助計算!$G$2:$G$801, 0)+1)), "")</f>
        <v/>
      </c>
      <c r="J355" s="15">
        <f>IFERROR(IF(AND(INDEX(輔助計算!$D:$D, (MATCH(354, 輔助計算!$G$2:$G$801, 0)+1))&lt;&gt;"", INDEX(ERP資料!$G:$G, (MATCH(354, 輔助計算!$G$2:$G$801, 0)+1))&lt;&gt;""), TRIM(IF(INT(INDEX(輔助計算!$D:$D, (MATCH(354, 輔助計算!$G$2:$G$801, 0)+1))/IF(INDEX(ERP資料!$G:$G, (MATCH(354, 輔助計算!$G$2:$G$801, 0)+1))&lt;100, IF(INDEX(ERP資料!$G:$G, (MATCH(354, 輔助計算!$G$2:$G$801, 0)+1))&lt;=31,3,IF(INDEX(ERP資料!$G:$G, (MATCH(354, 輔助計算!$G$2:$G$801, 0)+1))&lt;=46.5,2,1)), IF(INDEX(ERP資料!$G:$G, (MATCH(354, 輔助計算!$G$2:$G$801, 0)+1))&lt;=790,3,IF(INDEX(ERP資料!$G:$G, (MATCH(354, 輔助計算!$G$2:$G$801, 0)+1))&lt;=1181,2,1))))&gt;0, IF(IF(INDEX(ERP資料!$G:$G, (MATCH(354, 輔助計算!$G$2:$G$801, 0)+1))&lt;100, IF(INDEX(ERP資料!$G:$G, (MATCH(354, 輔助計算!$G$2:$G$801, 0)+1))&lt;=31,3,IF(INDEX(ERP資料!$G:$G, (MATCH(354, 輔助計算!$G$2:$G$801, 0)+1))&lt;=46.5,2,1)), IF(INDEX(ERP資料!$G:$G, (MATCH(354, 輔助計算!$G$2:$G$801, 0)+1))&lt;=790,3,IF(INDEX(ERP資料!$G:$G, (MATCH(354, 輔助計算!$G$2:$G$801, 0)+1))&lt;=1181,2,1)))=1,TEXT(INDEX(ERP資料!$G:$G, (MATCH(354, 輔助計算!$G$2:$G$801, 0)+1)),"0.##"),IF(IF(INDEX(ERP資料!$G:$G, (MATCH(354, 輔助計算!$G$2:$G$801, 0)+1))&lt;100, IF(INDEX(ERP資料!$G:$G, (MATCH(354, 輔助計算!$G$2:$G$801, 0)+1))&lt;=31,3,IF(INDEX(ERP資料!$G:$G, (MATCH(354, 輔助計算!$G$2:$G$801, 0)+1))&lt;=46.5,2,1)), IF(INDEX(ERP資料!$G:$G, (MATCH(354, 輔助計算!$G$2:$G$801, 0)+1))&lt;=790,3,IF(INDEX(ERP資料!$G:$G, (MATCH(354, 輔助計算!$G$2:$G$801, 0)+1))&lt;=1181,2,1)))=2,TEXT(INDEX(ERP資料!$G:$G, (MATCH(354, 輔助計算!$G$2:$G$801, 0)+1)),"0.##")&amp;"+"&amp;TEXT(INDEX(ERP資料!$G:$G, (MATCH(354, 輔助計算!$G$2:$G$801, 0)+1)),"0.##"),TEXT(INDEX(ERP資料!$G:$G, (MATCH(354, 輔助計算!$G$2:$G$801, 0)+1)),"0.##")&amp;"+"&amp;TEXT(INDEX(ERP資料!$G:$G, (MATCH(354, 輔助計算!$G$2:$G$801, 0)+1)),"0.##")&amp;"+"&amp;TEXT(INDEX(ERP資料!$G:$G, (MATCH(354, 輔助計算!$G$2:$G$801, 0)+1)),"0.##")))&amp;"-"&amp;INT(INDEX(輔助計算!$D:$D, (MATCH(354, 輔助計算!$G$2:$G$801, 0)+1))/IF(INDEX(ERP資料!$G:$G, (MATCH(354, 輔助計算!$G$2:$G$801, 0)+1))&lt;100, IF(INDEX(ERP資料!$G:$G, (MATCH(354, 輔助計算!$G$2:$G$801, 0)+1))&lt;=31,3,IF(INDEX(ERP資料!$G:$G, (MATCH(354, 輔助計算!$G$2:$G$801, 0)+1))&lt;=46.5,2,1)), IF(INDEX(ERP資料!$G:$G, (MATCH(354, 輔助計算!$G$2:$G$801, 0)+1))&lt;=790,3,IF(INDEX(ERP資料!$G:$G, (MATCH(354, 輔助計算!$G$2:$G$801, 0)+1))&lt;=1181,2,1)))), "")&amp;IF(AND(IF(INT(INDEX(輔助計算!$D:$D, (MATCH(354, 輔助計算!$G$2:$G$801, 0)+1))/IF(INDEX(ERP資料!$G:$G, (MATCH(354, 輔助計算!$G$2:$G$801, 0)+1))&lt;100, IF(INDEX(ERP資料!$G:$G, (MATCH(354, 輔助計算!$G$2:$G$801, 0)+1))&lt;=31,3,IF(INDEX(ERP資料!$G:$G, (MATCH(354, 輔助計算!$G$2:$G$801, 0)+1))&lt;=46.5,2,1)), IF(INDEX(ERP資料!$G:$G, (MATCH(354, 輔助計算!$G$2:$G$801, 0)+1))&lt;=790,3,IF(INDEX(ERP資料!$G:$G, (MATCH(354, 輔助計算!$G$2:$G$801, 0)+1))&lt;=1181,2,1))))&gt;0, IF(IF(INDEX(ERP資料!$G:$G, (MATCH(354, 輔助計算!$G$2:$G$801, 0)+1))&lt;100, IF(INDEX(ERP資料!$G:$G, (MATCH(354, 輔助計算!$G$2:$G$801, 0)+1))&lt;=31,3,IF(INDEX(ERP資料!$G:$G, (MATCH(354, 輔助計算!$G$2:$G$801, 0)+1))&lt;=46.5,2,1)), IF(INDEX(ERP資料!$G:$G, (MATCH(354, 輔助計算!$G$2:$G$801, 0)+1))&lt;=790,3,IF(INDEX(ERP資料!$G:$G, (MATCH(354, 輔助計算!$G$2:$G$801, 0)+1))&lt;=1181,2,1)))=1,TEXT(INDEX(ERP資料!$G:$G, (MATCH(354, 輔助計算!$G$2:$G$801, 0)+1)),"0.##"),IF(IF(INDEX(ERP資料!$G:$G, (MATCH(354, 輔助計算!$G$2:$G$801, 0)+1))&lt;100, IF(INDEX(ERP資料!$G:$G, (MATCH(354, 輔助計算!$G$2:$G$801, 0)+1))&lt;=31,3,IF(INDEX(ERP資料!$G:$G, (MATCH(354, 輔助計算!$G$2:$G$801, 0)+1))&lt;=46.5,2,1)), IF(INDEX(ERP資料!$G:$G, (MATCH(354, 輔助計算!$G$2:$G$801, 0)+1))&lt;=790,3,IF(INDEX(ERP資料!$G:$G, (MATCH(354, 輔助計算!$G$2:$G$801, 0)+1))&lt;=1181,2,1)))=2,TEXT(INDEX(ERP資料!$G:$G, (MATCH(354, 輔助計算!$G$2:$G$801, 0)+1)),"0.##")&amp;"+"&amp;TEXT(INDEX(ERP資料!$G:$G, (MATCH(354, 輔助計算!$G$2:$G$801, 0)+1)),"0.##"),TEXT(INDEX(ERP資料!$G:$G, (MATCH(354, 輔助計算!$G$2:$G$801, 0)+1)),"0.##")&amp;"+"&amp;TEXT(INDEX(ERP資料!$G:$G, (MATCH(354, 輔助計算!$G$2:$G$801, 0)+1)),"0.##")&amp;"+"&amp;TEXT(INDEX(ERP資料!$G:$G, (MATCH(354, 輔助計算!$G$2:$G$801, 0)+1)),"0.##")))&amp;"-"&amp;INT(INDEX(輔助計算!$D:$D, (MATCH(354, 輔助計算!$G$2:$G$801, 0)+1))/IF(INDEX(ERP資料!$G:$G, (MATCH(354, 輔助計算!$G$2:$G$801, 0)+1))&lt;100, IF(INDEX(ERP資料!$G:$G, (MATCH(354, 輔助計算!$G$2:$G$801, 0)+1))&lt;=31,3,IF(INDEX(ERP資料!$G:$G, (MATCH(354, 輔助計算!$G$2:$G$801, 0)+1))&lt;=46.5,2,1)), IF(INDEX(ERP資料!$G:$G, (MATCH(354, 輔助計算!$G$2:$G$801, 0)+1))&lt;=790,3,IF(INDEX(ERP資料!$G:$G, (MATCH(354, 輔助計算!$G$2:$G$801, 0)+1))&lt;=1181,2,1)))), "")&lt;&gt;"",IF(MOD(INDEX(輔助計算!$D:$D, (MATCH(354, 輔助計算!$G$2:$G$801, 0)+1)),IF(INDEX(ERP資料!$G:$G, (MATCH(354, 輔助計算!$G$2:$G$801, 0)+1))&lt;100, IF(INDEX(ERP資料!$G:$G, (MATCH(354, 輔助計算!$G$2:$G$801, 0)+1))&lt;=31,3,IF(INDEX(ERP資料!$G:$G, (MATCH(354, 輔助計算!$G$2:$G$801, 0)+1))&lt;=46.5,2,1)), IF(INDEX(ERP資料!$G:$G, (MATCH(354, 輔助計算!$G$2:$G$801, 0)+1))&lt;=790,3,IF(INDEX(ERP資料!$G:$G, (MATCH(354, 輔助計算!$G$2:$G$801, 0)+1))&lt;=1181,2,1))))=0,"",IF(MOD(INDEX(輔助計算!$D:$D, (MATCH(354, 輔助計算!$G$2:$G$801, 0)+1)),IF(INDEX(ERP資料!$G:$G, (MATCH(354, 輔助計算!$G$2:$G$801, 0)+1))&lt;100, IF(INDEX(ERP資料!$G:$G, (MATCH(354, 輔助計算!$G$2:$G$801, 0)+1))&lt;=31,3,IF(INDEX(ERP資料!$G:$G, (MATCH(354, 輔助計算!$G$2:$G$801, 0)+1))&lt;=46.5,2,1)), IF(INDEX(ERP資料!$G:$G, (MATCH(354, 輔助計算!$G$2:$G$801, 0)+1))&lt;=790,3,IF(INDEX(ERP資料!$G:$G, (MATCH(354, 輔助計算!$G$2:$G$801, 0)+1))&lt;=1181,2,1))))=0,"",IF(MOD(INDEX(輔助計算!$D:$D, (MATCH(354, 輔助計算!$G$2:$G$801, 0)+1)),IF(INDEX(ERP資料!$G:$G, (MATCH(354, 輔助計算!$G$2:$G$801, 0)+1))&lt;100, IF(INDEX(ERP資料!$G:$G, (MATCH(354, 輔助計算!$G$2:$G$801, 0)+1))&lt;=31,3,IF(INDEX(ERP資料!$G:$G, (MATCH(354, 輔助計算!$G$2:$G$801, 0)+1))&lt;=46.5,2,1)), IF(INDEX(ERP資料!$G:$G, (MATCH(354, 輔助計算!$G$2:$G$801, 0)+1))&lt;=790,3,IF(INDEX(ERP資料!$G:$G, (MATCH(354, 輔助計算!$G$2:$G$801, 0)+1))&lt;=1181,2,1))))=1,TEXT(INDEX(ERP資料!$G:$G, (MATCH(354, 輔助計算!$G$2:$G$801, 0)+1)),"0.##"),IF(MOD(INDEX(輔助計算!$D:$D, (MATCH(354, 輔助計算!$G$2:$G$801, 0)+1)),IF(INDEX(ERP資料!$G:$G, (MATCH(354, 輔助計算!$G$2:$G$801, 0)+1))&lt;100, IF(INDEX(ERP資料!$G:$G, (MATCH(354, 輔助計算!$G$2:$G$801, 0)+1))&lt;=31,3,IF(INDEX(ERP資料!$G:$G, (MATCH(354, 輔助計算!$G$2:$G$801, 0)+1))&lt;=46.5,2,1)), IF(INDEX(ERP資料!$G:$G, (MATCH(354, 輔助計算!$G$2:$G$801, 0)+1))&lt;=790,3,IF(INDEX(ERP資料!$G:$G, (MATCH(354, 輔助計算!$G$2:$G$801, 0)+1))&lt;=1181,2,1))))=2,TEXT(INDEX(ERP資料!$G:$G, (MATCH(354, 輔助計算!$G$2:$G$801, 0)+1)),"0.##")&amp;"+"&amp;TEXT(INDEX(ERP資料!$G:$G, (MATCH(354, 輔助計算!$G$2:$G$801, 0)+1)),"0.##"),TEXT(INDEX(ERP資料!$G:$G, (MATCH(354, 輔助計算!$G$2:$G$801, 0)+1)),"0.##")&amp;"+"&amp;TEXT(INDEX(ERP資料!$G:$G, (MATCH(354, 輔助計算!$G$2:$G$801, 0)+1)),"0.##")&amp;"+"&amp;TEXT(INDEX(ERP資料!$G:$G, (MATCH(354, 輔助計算!$G$2:$G$801, 0)+1)),"0.##"))))&amp;"-1")&lt;&gt;""),"  ","")&amp;IF(MOD(INDEX(輔助計算!$D:$D, (MATCH(354, 輔助計算!$G$2:$G$801, 0)+1)),IF(INDEX(ERP資料!$G:$G, (MATCH(354, 輔助計算!$G$2:$G$801, 0)+1))&lt;100, IF(INDEX(ERP資料!$G:$G, (MATCH(354, 輔助計算!$G$2:$G$801, 0)+1))&lt;=31,3,IF(INDEX(ERP資料!$G:$G, (MATCH(354, 輔助計算!$G$2:$G$801, 0)+1))&lt;=46.5,2,1)), IF(INDEX(ERP資料!$G:$G, (MATCH(354, 輔助計算!$G$2:$G$801, 0)+1))&lt;=790,3,IF(INDEX(ERP資料!$G:$G, (MATCH(354, 輔助計算!$G$2:$G$801, 0)+1))&lt;=1181,2,1))))=0,"",IF(MOD(INDEX(輔助計算!$D:$D, (MATCH(354, 輔助計算!$G$2:$G$801, 0)+1)),IF(INDEX(ERP資料!$G:$G, (MATCH(354, 輔助計算!$G$2:$G$801, 0)+1))&lt;100, IF(INDEX(ERP資料!$G:$G, (MATCH(354, 輔助計算!$G$2:$G$801, 0)+1))&lt;=31,3,IF(INDEX(ERP資料!$G:$G, (MATCH(354, 輔助計算!$G$2:$G$801, 0)+1))&lt;=46.5,2,1)), IF(INDEX(ERP資料!$G:$G, (MATCH(354, 輔助計算!$G$2:$G$801, 0)+1))&lt;=790,3,IF(INDEX(ERP資料!$G:$G, (MATCH(354, 輔助計算!$G$2:$G$801, 0)+1))&lt;=1181,2,1))))=0,"",IF(MOD(INDEX(輔助計算!$D:$D, (MATCH(354, 輔助計算!$G$2:$G$801, 0)+1)),IF(INDEX(ERP資料!$G:$G, (MATCH(354, 輔助計算!$G$2:$G$801, 0)+1))&lt;100, IF(INDEX(ERP資料!$G:$G, (MATCH(354, 輔助計算!$G$2:$G$801, 0)+1))&lt;=31,3,IF(INDEX(ERP資料!$G:$G, (MATCH(354, 輔助計算!$G$2:$G$801, 0)+1))&lt;=46.5,2,1)), IF(INDEX(ERP資料!$G:$G, (MATCH(354, 輔助計算!$G$2:$G$801, 0)+1))&lt;=790,3,IF(INDEX(ERP資料!$G:$G, (MATCH(354, 輔助計算!$G$2:$G$801, 0)+1))&lt;=1181,2,1))))=1,TEXT(INDEX(ERP資料!$G:$G, (MATCH(354, 輔助計算!$G$2:$G$801, 0)+1)),"0.##"),IF(MOD(INDEX(輔助計算!$D:$D, (MATCH(354, 輔助計算!$G$2:$G$801, 0)+1)),IF(INDEX(ERP資料!$G:$G, (MATCH(354, 輔助計算!$G$2:$G$801, 0)+1))&lt;100, IF(INDEX(ERP資料!$G:$G, (MATCH(354, 輔助計算!$G$2:$G$801, 0)+1))&lt;=31,3,IF(INDEX(ERP資料!$G:$G, (MATCH(354, 輔助計算!$G$2:$G$801, 0)+1))&lt;=46.5,2,1)), IF(INDEX(ERP資料!$G:$G, (MATCH(354, 輔助計算!$G$2:$G$801, 0)+1))&lt;=790,3,IF(INDEX(ERP資料!$G:$G, (MATCH(354, 輔助計算!$G$2:$G$801, 0)+1))&lt;=1181,2,1))))=2,TEXT(INDEX(ERP資料!$G:$G, (MATCH(354, 輔助計算!$G$2:$G$801, 0)+1)),"0.##")&amp;"+"&amp;TEXT(INDEX(ERP資料!$G:$G, (MATCH(354, 輔助計算!$G$2:$G$801, 0)+1)),"0.##"),TEXT(INDEX(ERP資料!$G:$G, (MATCH(354, 輔助計算!$G$2:$G$801, 0)+1)),"0.##")&amp;"+"&amp;TEXT(INDEX(ERP資料!$G:$G, (MATCH(354, 輔助計算!$G$2:$G$801, 0)+1)),"0.##")&amp;"+"&amp;TEXT(INDEX(ERP資料!$G:$G, (MATCH(354, 輔助計算!$G$2:$G$801, 0)+1)),"0.##"))))&amp;"-1")), ""), "")</f>
        <v/>
      </c>
      <c r="K355" s="16" t="n"/>
      <c r="L355" s="14">
        <f>IFERROR(IF(AND(IFERROR(INDEX(ERP資料!$A:$A, (MATCH(354, 輔助計算!$G$2:$G$801, 0)+1)), "")&lt;&gt;"", IFERROR(INDEX(ERP資料!$A:$A, (MATCH(354, 輔助計算!$G$2:$G$801, 0)+1)), "")&lt;&gt;IFERROR(INDEX(ERP資料!$A:$A, MATCH(353, 輔助計算!$G$2:$G$801, 0)+1), "")), INDEX(ERP資料!$B:$B, (MATCH(354, 輔助計算!$G$2:$G$801, 0)+1)), ""), "")</f>
        <v/>
      </c>
      <c r="M355" s="17" t="n"/>
    </row>
    <row r="356">
      <c r="A356" s="10">
        <f>IFERROR(IF(AND(IFERROR(INDEX(ERP資料!$A:$A, (MATCH(355, 輔助計算!$G$2:$G$801, 0)+1)), "")&lt;&gt;"", IFERROR(INDEX(ERP資料!$A:$A, (MATCH(355, 輔助計算!$G$2:$G$801, 0)+1)), "")&lt;&gt;IFERROR(INDEX(ERP資料!$A:$A, MATCH(354, 輔助計算!$G$2:$G$801, 0)+1), "")), IFERROR(INDEX(ERP資料!$A:$A, (MATCH(355, 輔助計算!$G$2:$G$801, 0)+1)), ""), ""), "")</f>
        <v/>
      </c>
      <c r="B356" s="10">
        <f>IFERROR(IF(AND(IFERROR(INDEX(ERP資料!$A:$A, (MATCH(355, 輔助計算!$G$2:$G$801, 0)+1)), "")&lt;&gt;"", IFERROR(INDEX(ERP資料!$A:$A, (MATCH(355, 輔助計算!$G$2:$G$801, 0)+1)), "")&lt;&gt;IFERROR(INDEX(ERP資料!$A:$A, MATCH(354, 輔助計算!$G$2:$G$801, 0)+1), "")), INDEX(ERP資料!$S:$S, (MATCH(355, 輔助計算!$G$2:$G$801, 0)+1)), ""), "")</f>
        <v/>
      </c>
      <c r="C356" s="19">
        <f>IFERROR(IF(AND(IFERROR(INDEX(ERP資料!$A:$A, (MATCH(355, 輔助計算!$G$2:$G$801, 0)+1)), "")&lt;&gt;"", IFERROR(INDEX(ERP資料!$A:$A, (MATCH(355, 輔助計算!$G$2:$G$801, 0)+1)), "")&lt;&gt;IFERROR(INDEX(ERP資料!$A:$A, MATCH(354, 輔助計算!$G$2:$G$801, 0)+1), "")), IFERROR(VLOOKUP(LEFT(INDEX(ERP資料!$S:$S, (MATCH(355, 輔助計算!$G$2:$G$801, 0)+1)), 4), 紙管對照表!$A:$C, 3, FALSE), ""), ""), "")</f>
        <v/>
      </c>
      <c r="D356" s="16" t="n"/>
      <c r="E356" s="10">
        <f>IFERROR(IF(INDEX(ERP資料!$H:$H, (MATCH(355, 輔助計算!$G$2:$G$801, 0)+1))="","",INDEX(ERP資料!$H:$H, (MATCH(355, 輔助計算!$G$2:$G$801, 0)+1))), "")</f>
        <v/>
      </c>
      <c r="F356" s="10">
        <f>IFERROR(IF(INDEX(ERP資料!$E:$E, (MATCH(355, 輔助計算!$G$2:$G$801, 0)+1))="","",TRIM(INDEX(ERP資料!$E:$E, (MATCH(355, 輔助計算!$G$2:$G$801, 0)+1)))), "")</f>
        <v/>
      </c>
      <c r="G356" s="10">
        <f>IFERROR(IF(INDEX(ERP資料!$F:$F, (MATCH(355, 輔助計算!$G$2:$G$801, 0)+1))="","",INDEX(ERP資料!$F:$F, (MATCH(355, 輔助計算!$G$2:$G$801, 0)+1))), "")</f>
        <v/>
      </c>
      <c r="H356" s="10">
        <f>IFERROR(IF(INDEX(ERP資料!$G:$G, (MATCH(355, 輔助計算!$G$2:$G$801, 0)+1))="","",INDEX(ERP資料!$G:$G, (MATCH(355, 輔助計算!$G$2:$G$801, 0)+1))), "")</f>
        <v/>
      </c>
      <c r="I356" s="15">
        <f>IFERROR(INDEX(輔助計算!$D:$D, (MATCH(355, 輔助計算!$G$2:$G$801, 0)+1)), "")</f>
        <v/>
      </c>
      <c r="J356" s="15">
        <f>IFERROR(IF(AND(INDEX(輔助計算!$D:$D, (MATCH(355, 輔助計算!$G$2:$G$801, 0)+1))&lt;&gt;"", INDEX(ERP資料!$G:$G, (MATCH(355, 輔助計算!$G$2:$G$801, 0)+1))&lt;&gt;""), TRIM(IF(INT(INDEX(輔助計算!$D:$D, (MATCH(355, 輔助計算!$G$2:$G$801, 0)+1))/IF(INDEX(ERP資料!$G:$G, (MATCH(355, 輔助計算!$G$2:$G$801, 0)+1))&lt;100, IF(INDEX(ERP資料!$G:$G, (MATCH(355, 輔助計算!$G$2:$G$801, 0)+1))&lt;=31,3,IF(INDEX(ERP資料!$G:$G, (MATCH(355, 輔助計算!$G$2:$G$801, 0)+1))&lt;=46.5,2,1)), IF(INDEX(ERP資料!$G:$G, (MATCH(355, 輔助計算!$G$2:$G$801, 0)+1))&lt;=790,3,IF(INDEX(ERP資料!$G:$G, (MATCH(355, 輔助計算!$G$2:$G$801, 0)+1))&lt;=1181,2,1))))&gt;0, IF(IF(INDEX(ERP資料!$G:$G, (MATCH(355, 輔助計算!$G$2:$G$801, 0)+1))&lt;100, IF(INDEX(ERP資料!$G:$G, (MATCH(355, 輔助計算!$G$2:$G$801, 0)+1))&lt;=31,3,IF(INDEX(ERP資料!$G:$G, (MATCH(355, 輔助計算!$G$2:$G$801, 0)+1))&lt;=46.5,2,1)), IF(INDEX(ERP資料!$G:$G, (MATCH(355, 輔助計算!$G$2:$G$801, 0)+1))&lt;=790,3,IF(INDEX(ERP資料!$G:$G, (MATCH(355, 輔助計算!$G$2:$G$801, 0)+1))&lt;=1181,2,1)))=1,TEXT(INDEX(ERP資料!$G:$G, (MATCH(355, 輔助計算!$G$2:$G$801, 0)+1)),"0.##"),IF(IF(INDEX(ERP資料!$G:$G, (MATCH(355, 輔助計算!$G$2:$G$801, 0)+1))&lt;100, IF(INDEX(ERP資料!$G:$G, (MATCH(355, 輔助計算!$G$2:$G$801, 0)+1))&lt;=31,3,IF(INDEX(ERP資料!$G:$G, (MATCH(355, 輔助計算!$G$2:$G$801, 0)+1))&lt;=46.5,2,1)), IF(INDEX(ERP資料!$G:$G, (MATCH(355, 輔助計算!$G$2:$G$801, 0)+1))&lt;=790,3,IF(INDEX(ERP資料!$G:$G, (MATCH(355, 輔助計算!$G$2:$G$801, 0)+1))&lt;=1181,2,1)))=2,TEXT(INDEX(ERP資料!$G:$G, (MATCH(355, 輔助計算!$G$2:$G$801, 0)+1)),"0.##")&amp;"+"&amp;TEXT(INDEX(ERP資料!$G:$G, (MATCH(355, 輔助計算!$G$2:$G$801, 0)+1)),"0.##"),TEXT(INDEX(ERP資料!$G:$G, (MATCH(355, 輔助計算!$G$2:$G$801, 0)+1)),"0.##")&amp;"+"&amp;TEXT(INDEX(ERP資料!$G:$G, (MATCH(355, 輔助計算!$G$2:$G$801, 0)+1)),"0.##")&amp;"+"&amp;TEXT(INDEX(ERP資料!$G:$G, (MATCH(355, 輔助計算!$G$2:$G$801, 0)+1)),"0.##")))&amp;"-"&amp;INT(INDEX(輔助計算!$D:$D, (MATCH(355, 輔助計算!$G$2:$G$801, 0)+1))/IF(INDEX(ERP資料!$G:$G, (MATCH(355, 輔助計算!$G$2:$G$801, 0)+1))&lt;100, IF(INDEX(ERP資料!$G:$G, (MATCH(355, 輔助計算!$G$2:$G$801, 0)+1))&lt;=31,3,IF(INDEX(ERP資料!$G:$G, (MATCH(355, 輔助計算!$G$2:$G$801, 0)+1))&lt;=46.5,2,1)), IF(INDEX(ERP資料!$G:$G, (MATCH(355, 輔助計算!$G$2:$G$801, 0)+1))&lt;=790,3,IF(INDEX(ERP資料!$G:$G, (MATCH(355, 輔助計算!$G$2:$G$801, 0)+1))&lt;=1181,2,1)))), "")&amp;IF(AND(IF(INT(INDEX(輔助計算!$D:$D, (MATCH(355, 輔助計算!$G$2:$G$801, 0)+1))/IF(INDEX(ERP資料!$G:$G, (MATCH(355, 輔助計算!$G$2:$G$801, 0)+1))&lt;100, IF(INDEX(ERP資料!$G:$G, (MATCH(355, 輔助計算!$G$2:$G$801, 0)+1))&lt;=31,3,IF(INDEX(ERP資料!$G:$G, (MATCH(355, 輔助計算!$G$2:$G$801, 0)+1))&lt;=46.5,2,1)), IF(INDEX(ERP資料!$G:$G, (MATCH(355, 輔助計算!$G$2:$G$801, 0)+1))&lt;=790,3,IF(INDEX(ERP資料!$G:$G, (MATCH(355, 輔助計算!$G$2:$G$801, 0)+1))&lt;=1181,2,1))))&gt;0, IF(IF(INDEX(ERP資料!$G:$G, (MATCH(355, 輔助計算!$G$2:$G$801, 0)+1))&lt;100, IF(INDEX(ERP資料!$G:$G, (MATCH(355, 輔助計算!$G$2:$G$801, 0)+1))&lt;=31,3,IF(INDEX(ERP資料!$G:$G, (MATCH(355, 輔助計算!$G$2:$G$801, 0)+1))&lt;=46.5,2,1)), IF(INDEX(ERP資料!$G:$G, (MATCH(355, 輔助計算!$G$2:$G$801, 0)+1))&lt;=790,3,IF(INDEX(ERP資料!$G:$G, (MATCH(355, 輔助計算!$G$2:$G$801, 0)+1))&lt;=1181,2,1)))=1,TEXT(INDEX(ERP資料!$G:$G, (MATCH(355, 輔助計算!$G$2:$G$801, 0)+1)),"0.##"),IF(IF(INDEX(ERP資料!$G:$G, (MATCH(355, 輔助計算!$G$2:$G$801, 0)+1))&lt;100, IF(INDEX(ERP資料!$G:$G, (MATCH(355, 輔助計算!$G$2:$G$801, 0)+1))&lt;=31,3,IF(INDEX(ERP資料!$G:$G, (MATCH(355, 輔助計算!$G$2:$G$801, 0)+1))&lt;=46.5,2,1)), IF(INDEX(ERP資料!$G:$G, (MATCH(355, 輔助計算!$G$2:$G$801, 0)+1))&lt;=790,3,IF(INDEX(ERP資料!$G:$G, (MATCH(355, 輔助計算!$G$2:$G$801, 0)+1))&lt;=1181,2,1)))=2,TEXT(INDEX(ERP資料!$G:$G, (MATCH(355, 輔助計算!$G$2:$G$801, 0)+1)),"0.##")&amp;"+"&amp;TEXT(INDEX(ERP資料!$G:$G, (MATCH(355, 輔助計算!$G$2:$G$801, 0)+1)),"0.##"),TEXT(INDEX(ERP資料!$G:$G, (MATCH(355, 輔助計算!$G$2:$G$801, 0)+1)),"0.##")&amp;"+"&amp;TEXT(INDEX(ERP資料!$G:$G, (MATCH(355, 輔助計算!$G$2:$G$801, 0)+1)),"0.##")&amp;"+"&amp;TEXT(INDEX(ERP資料!$G:$G, (MATCH(355, 輔助計算!$G$2:$G$801, 0)+1)),"0.##")))&amp;"-"&amp;INT(INDEX(輔助計算!$D:$D, (MATCH(355, 輔助計算!$G$2:$G$801, 0)+1))/IF(INDEX(ERP資料!$G:$G, (MATCH(355, 輔助計算!$G$2:$G$801, 0)+1))&lt;100, IF(INDEX(ERP資料!$G:$G, (MATCH(355, 輔助計算!$G$2:$G$801, 0)+1))&lt;=31,3,IF(INDEX(ERP資料!$G:$G, (MATCH(355, 輔助計算!$G$2:$G$801, 0)+1))&lt;=46.5,2,1)), IF(INDEX(ERP資料!$G:$G, (MATCH(355, 輔助計算!$G$2:$G$801, 0)+1))&lt;=790,3,IF(INDEX(ERP資料!$G:$G, (MATCH(355, 輔助計算!$G$2:$G$801, 0)+1))&lt;=1181,2,1)))), "")&lt;&gt;"",IF(MOD(INDEX(輔助計算!$D:$D, (MATCH(355, 輔助計算!$G$2:$G$801, 0)+1)),IF(INDEX(ERP資料!$G:$G, (MATCH(355, 輔助計算!$G$2:$G$801, 0)+1))&lt;100, IF(INDEX(ERP資料!$G:$G, (MATCH(355, 輔助計算!$G$2:$G$801, 0)+1))&lt;=31,3,IF(INDEX(ERP資料!$G:$G, (MATCH(355, 輔助計算!$G$2:$G$801, 0)+1))&lt;=46.5,2,1)), IF(INDEX(ERP資料!$G:$G, (MATCH(355, 輔助計算!$G$2:$G$801, 0)+1))&lt;=790,3,IF(INDEX(ERP資料!$G:$G, (MATCH(355, 輔助計算!$G$2:$G$801, 0)+1))&lt;=1181,2,1))))=0,"",IF(MOD(INDEX(輔助計算!$D:$D, (MATCH(355, 輔助計算!$G$2:$G$801, 0)+1)),IF(INDEX(ERP資料!$G:$G, (MATCH(355, 輔助計算!$G$2:$G$801, 0)+1))&lt;100, IF(INDEX(ERP資料!$G:$G, (MATCH(355, 輔助計算!$G$2:$G$801, 0)+1))&lt;=31,3,IF(INDEX(ERP資料!$G:$G, (MATCH(355, 輔助計算!$G$2:$G$801, 0)+1))&lt;=46.5,2,1)), IF(INDEX(ERP資料!$G:$G, (MATCH(355, 輔助計算!$G$2:$G$801, 0)+1))&lt;=790,3,IF(INDEX(ERP資料!$G:$G, (MATCH(355, 輔助計算!$G$2:$G$801, 0)+1))&lt;=1181,2,1))))=0,"",IF(MOD(INDEX(輔助計算!$D:$D, (MATCH(355, 輔助計算!$G$2:$G$801, 0)+1)),IF(INDEX(ERP資料!$G:$G, (MATCH(355, 輔助計算!$G$2:$G$801, 0)+1))&lt;100, IF(INDEX(ERP資料!$G:$G, (MATCH(355, 輔助計算!$G$2:$G$801, 0)+1))&lt;=31,3,IF(INDEX(ERP資料!$G:$G, (MATCH(355, 輔助計算!$G$2:$G$801, 0)+1))&lt;=46.5,2,1)), IF(INDEX(ERP資料!$G:$G, (MATCH(355, 輔助計算!$G$2:$G$801, 0)+1))&lt;=790,3,IF(INDEX(ERP資料!$G:$G, (MATCH(355, 輔助計算!$G$2:$G$801, 0)+1))&lt;=1181,2,1))))=1,TEXT(INDEX(ERP資料!$G:$G, (MATCH(355, 輔助計算!$G$2:$G$801, 0)+1)),"0.##"),IF(MOD(INDEX(輔助計算!$D:$D, (MATCH(355, 輔助計算!$G$2:$G$801, 0)+1)),IF(INDEX(ERP資料!$G:$G, (MATCH(355, 輔助計算!$G$2:$G$801, 0)+1))&lt;100, IF(INDEX(ERP資料!$G:$G, (MATCH(355, 輔助計算!$G$2:$G$801, 0)+1))&lt;=31,3,IF(INDEX(ERP資料!$G:$G, (MATCH(355, 輔助計算!$G$2:$G$801, 0)+1))&lt;=46.5,2,1)), IF(INDEX(ERP資料!$G:$G, (MATCH(355, 輔助計算!$G$2:$G$801, 0)+1))&lt;=790,3,IF(INDEX(ERP資料!$G:$G, (MATCH(355, 輔助計算!$G$2:$G$801, 0)+1))&lt;=1181,2,1))))=2,TEXT(INDEX(ERP資料!$G:$G, (MATCH(355, 輔助計算!$G$2:$G$801, 0)+1)),"0.##")&amp;"+"&amp;TEXT(INDEX(ERP資料!$G:$G, (MATCH(355, 輔助計算!$G$2:$G$801, 0)+1)),"0.##"),TEXT(INDEX(ERP資料!$G:$G, (MATCH(355, 輔助計算!$G$2:$G$801, 0)+1)),"0.##")&amp;"+"&amp;TEXT(INDEX(ERP資料!$G:$G, (MATCH(355, 輔助計算!$G$2:$G$801, 0)+1)),"0.##")&amp;"+"&amp;TEXT(INDEX(ERP資料!$G:$G, (MATCH(355, 輔助計算!$G$2:$G$801, 0)+1)),"0.##"))))&amp;"-1")&lt;&gt;""),"  ","")&amp;IF(MOD(INDEX(輔助計算!$D:$D, (MATCH(355, 輔助計算!$G$2:$G$801, 0)+1)),IF(INDEX(ERP資料!$G:$G, (MATCH(355, 輔助計算!$G$2:$G$801, 0)+1))&lt;100, IF(INDEX(ERP資料!$G:$G, (MATCH(355, 輔助計算!$G$2:$G$801, 0)+1))&lt;=31,3,IF(INDEX(ERP資料!$G:$G, (MATCH(355, 輔助計算!$G$2:$G$801, 0)+1))&lt;=46.5,2,1)), IF(INDEX(ERP資料!$G:$G, (MATCH(355, 輔助計算!$G$2:$G$801, 0)+1))&lt;=790,3,IF(INDEX(ERP資料!$G:$G, (MATCH(355, 輔助計算!$G$2:$G$801, 0)+1))&lt;=1181,2,1))))=0,"",IF(MOD(INDEX(輔助計算!$D:$D, (MATCH(355, 輔助計算!$G$2:$G$801, 0)+1)),IF(INDEX(ERP資料!$G:$G, (MATCH(355, 輔助計算!$G$2:$G$801, 0)+1))&lt;100, IF(INDEX(ERP資料!$G:$G, (MATCH(355, 輔助計算!$G$2:$G$801, 0)+1))&lt;=31,3,IF(INDEX(ERP資料!$G:$G, (MATCH(355, 輔助計算!$G$2:$G$801, 0)+1))&lt;=46.5,2,1)), IF(INDEX(ERP資料!$G:$G, (MATCH(355, 輔助計算!$G$2:$G$801, 0)+1))&lt;=790,3,IF(INDEX(ERP資料!$G:$G, (MATCH(355, 輔助計算!$G$2:$G$801, 0)+1))&lt;=1181,2,1))))=0,"",IF(MOD(INDEX(輔助計算!$D:$D, (MATCH(355, 輔助計算!$G$2:$G$801, 0)+1)),IF(INDEX(ERP資料!$G:$G, (MATCH(355, 輔助計算!$G$2:$G$801, 0)+1))&lt;100, IF(INDEX(ERP資料!$G:$G, (MATCH(355, 輔助計算!$G$2:$G$801, 0)+1))&lt;=31,3,IF(INDEX(ERP資料!$G:$G, (MATCH(355, 輔助計算!$G$2:$G$801, 0)+1))&lt;=46.5,2,1)), IF(INDEX(ERP資料!$G:$G, (MATCH(355, 輔助計算!$G$2:$G$801, 0)+1))&lt;=790,3,IF(INDEX(ERP資料!$G:$G, (MATCH(355, 輔助計算!$G$2:$G$801, 0)+1))&lt;=1181,2,1))))=1,TEXT(INDEX(ERP資料!$G:$G, (MATCH(355, 輔助計算!$G$2:$G$801, 0)+1)),"0.##"),IF(MOD(INDEX(輔助計算!$D:$D, (MATCH(355, 輔助計算!$G$2:$G$801, 0)+1)),IF(INDEX(ERP資料!$G:$G, (MATCH(355, 輔助計算!$G$2:$G$801, 0)+1))&lt;100, IF(INDEX(ERP資料!$G:$G, (MATCH(355, 輔助計算!$G$2:$G$801, 0)+1))&lt;=31,3,IF(INDEX(ERP資料!$G:$G, (MATCH(355, 輔助計算!$G$2:$G$801, 0)+1))&lt;=46.5,2,1)), IF(INDEX(ERP資料!$G:$G, (MATCH(355, 輔助計算!$G$2:$G$801, 0)+1))&lt;=790,3,IF(INDEX(ERP資料!$G:$G, (MATCH(355, 輔助計算!$G$2:$G$801, 0)+1))&lt;=1181,2,1))))=2,TEXT(INDEX(ERP資料!$G:$G, (MATCH(355, 輔助計算!$G$2:$G$801, 0)+1)),"0.##")&amp;"+"&amp;TEXT(INDEX(ERP資料!$G:$G, (MATCH(355, 輔助計算!$G$2:$G$801, 0)+1)),"0.##"),TEXT(INDEX(ERP資料!$G:$G, (MATCH(355, 輔助計算!$G$2:$G$801, 0)+1)),"0.##")&amp;"+"&amp;TEXT(INDEX(ERP資料!$G:$G, (MATCH(355, 輔助計算!$G$2:$G$801, 0)+1)),"0.##")&amp;"+"&amp;TEXT(INDEX(ERP資料!$G:$G, (MATCH(355, 輔助計算!$G$2:$G$801, 0)+1)),"0.##"))))&amp;"-1")), ""), "")</f>
        <v/>
      </c>
      <c r="K356" s="16" t="n"/>
      <c r="L356" s="14">
        <f>IFERROR(IF(AND(IFERROR(INDEX(ERP資料!$A:$A, (MATCH(355, 輔助計算!$G$2:$G$801, 0)+1)), "")&lt;&gt;"", IFERROR(INDEX(ERP資料!$A:$A, (MATCH(355, 輔助計算!$G$2:$G$801, 0)+1)), "")&lt;&gt;IFERROR(INDEX(ERP資料!$A:$A, MATCH(354, 輔助計算!$G$2:$G$801, 0)+1), "")), INDEX(ERP資料!$B:$B, (MATCH(355, 輔助計算!$G$2:$G$801, 0)+1)), ""), "")</f>
        <v/>
      </c>
      <c r="M356" s="17" t="n"/>
    </row>
    <row r="357">
      <c r="A357" s="10">
        <f>IFERROR(IF(AND(IFERROR(INDEX(ERP資料!$A:$A, (MATCH(356, 輔助計算!$G$2:$G$801, 0)+1)), "")&lt;&gt;"", IFERROR(INDEX(ERP資料!$A:$A, (MATCH(356, 輔助計算!$G$2:$G$801, 0)+1)), "")&lt;&gt;IFERROR(INDEX(ERP資料!$A:$A, MATCH(355, 輔助計算!$G$2:$G$801, 0)+1), "")), IFERROR(INDEX(ERP資料!$A:$A, (MATCH(356, 輔助計算!$G$2:$G$801, 0)+1)), ""), ""), "")</f>
        <v/>
      </c>
      <c r="B357" s="10">
        <f>IFERROR(IF(AND(IFERROR(INDEX(ERP資料!$A:$A, (MATCH(356, 輔助計算!$G$2:$G$801, 0)+1)), "")&lt;&gt;"", IFERROR(INDEX(ERP資料!$A:$A, (MATCH(356, 輔助計算!$G$2:$G$801, 0)+1)), "")&lt;&gt;IFERROR(INDEX(ERP資料!$A:$A, MATCH(355, 輔助計算!$G$2:$G$801, 0)+1), "")), INDEX(ERP資料!$S:$S, (MATCH(356, 輔助計算!$G$2:$G$801, 0)+1)), ""), "")</f>
        <v/>
      </c>
      <c r="C357" s="19">
        <f>IFERROR(IF(AND(IFERROR(INDEX(ERP資料!$A:$A, (MATCH(356, 輔助計算!$G$2:$G$801, 0)+1)), "")&lt;&gt;"", IFERROR(INDEX(ERP資料!$A:$A, (MATCH(356, 輔助計算!$G$2:$G$801, 0)+1)), "")&lt;&gt;IFERROR(INDEX(ERP資料!$A:$A, MATCH(355, 輔助計算!$G$2:$G$801, 0)+1), "")), IFERROR(VLOOKUP(LEFT(INDEX(ERP資料!$S:$S, (MATCH(356, 輔助計算!$G$2:$G$801, 0)+1)), 4), 紙管對照表!$A:$C, 3, FALSE), ""), ""), "")</f>
        <v/>
      </c>
      <c r="D357" s="16" t="n"/>
      <c r="E357" s="10">
        <f>IFERROR(IF(INDEX(ERP資料!$H:$H, (MATCH(356, 輔助計算!$G$2:$G$801, 0)+1))="","",INDEX(ERP資料!$H:$H, (MATCH(356, 輔助計算!$G$2:$G$801, 0)+1))), "")</f>
        <v/>
      </c>
      <c r="F357" s="10">
        <f>IFERROR(IF(INDEX(ERP資料!$E:$E, (MATCH(356, 輔助計算!$G$2:$G$801, 0)+1))="","",TRIM(INDEX(ERP資料!$E:$E, (MATCH(356, 輔助計算!$G$2:$G$801, 0)+1)))), "")</f>
        <v/>
      </c>
      <c r="G357" s="10">
        <f>IFERROR(IF(INDEX(ERP資料!$F:$F, (MATCH(356, 輔助計算!$G$2:$G$801, 0)+1))="","",INDEX(ERP資料!$F:$F, (MATCH(356, 輔助計算!$G$2:$G$801, 0)+1))), "")</f>
        <v/>
      </c>
      <c r="H357" s="10">
        <f>IFERROR(IF(INDEX(ERP資料!$G:$G, (MATCH(356, 輔助計算!$G$2:$G$801, 0)+1))="","",INDEX(ERP資料!$G:$G, (MATCH(356, 輔助計算!$G$2:$G$801, 0)+1))), "")</f>
        <v/>
      </c>
      <c r="I357" s="15">
        <f>IFERROR(INDEX(輔助計算!$D:$D, (MATCH(356, 輔助計算!$G$2:$G$801, 0)+1)), "")</f>
        <v/>
      </c>
      <c r="J357" s="15">
        <f>IFERROR(IF(AND(INDEX(輔助計算!$D:$D, (MATCH(356, 輔助計算!$G$2:$G$801, 0)+1))&lt;&gt;"", INDEX(ERP資料!$G:$G, (MATCH(356, 輔助計算!$G$2:$G$801, 0)+1))&lt;&gt;""), TRIM(IF(INT(INDEX(輔助計算!$D:$D, (MATCH(356, 輔助計算!$G$2:$G$801, 0)+1))/IF(INDEX(ERP資料!$G:$G, (MATCH(356, 輔助計算!$G$2:$G$801, 0)+1))&lt;100, IF(INDEX(ERP資料!$G:$G, (MATCH(356, 輔助計算!$G$2:$G$801, 0)+1))&lt;=31,3,IF(INDEX(ERP資料!$G:$G, (MATCH(356, 輔助計算!$G$2:$G$801, 0)+1))&lt;=46.5,2,1)), IF(INDEX(ERP資料!$G:$G, (MATCH(356, 輔助計算!$G$2:$G$801, 0)+1))&lt;=790,3,IF(INDEX(ERP資料!$G:$G, (MATCH(356, 輔助計算!$G$2:$G$801, 0)+1))&lt;=1181,2,1))))&gt;0, IF(IF(INDEX(ERP資料!$G:$G, (MATCH(356, 輔助計算!$G$2:$G$801, 0)+1))&lt;100, IF(INDEX(ERP資料!$G:$G, (MATCH(356, 輔助計算!$G$2:$G$801, 0)+1))&lt;=31,3,IF(INDEX(ERP資料!$G:$G, (MATCH(356, 輔助計算!$G$2:$G$801, 0)+1))&lt;=46.5,2,1)), IF(INDEX(ERP資料!$G:$G, (MATCH(356, 輔助計算!$G$2:$G$801, 0)+1))&lt;=790,3,IF(INDEX(ERP資料!$G:$G, (MATCH(356, 輔助計算!$G$2:$G$801, 0)+1))&lt;=1181,2,1)))=1,TEXT(INDEX(ERP資料!$G:$G, (MATCH(356, 輔助計算!$G$2:$G$801, 0)+1)),"0.##"),IF(IF(INDEX(ERP資料!$G:$G, (MATCH(356, 輔助計算!$G$2:$G$801, 0)+1))&lt;100, IF(INDEX(ERP資料!$G:$G, (MATCH(356, 輔助計算!$G$2:$G$801, 0)+1))&lt;=31,3,IF(INDEX(ERP資料!$G:$G, (MATCH(356, 輔助計算!$G$2:$G$801, 0)+1))&lt;=46.5,2,1)), IF(INDEX(ERP資料!$G:$G, (MATCH(356, 輔助計算!$G$2:$G$801, 0)+1))&lt;=790,3,IF(INDEX(ERP資料!$G:$G, (MATCH(356, 輔助計算!$G$2:$G$801, 0)+1))&lt;=1181,2,1)))=2,TEXT(INDEX(ERP資料!$G:$G, (MATCH(356, 輔助計算!$G$2:$G$801, 0)+1)),"0.##")&amp;"+"&amp;TEXT(INDEX(ERP資料!$G:$G, (MATCH(356, 輔助計算!$G$2:$G$801, 0)+1)),"0.##"),TEXT(INDEX(ERP資料!$G:$G, (MATCH(356, 輔助計算!$G$2:$G$801, 0)+1)),"0.##")&amp;"+"&amp;TEXT(INDEX(ERP資料!$G:$G, (MATCH(356, 輔助計算!$G$2:$G$801, 0)+1)),"0.##")&amp;"+"&amp;TEXT(INDEX(ERP資料!$G:$G, (MATCH(356, 輔助計算!$G$2:$G$801, 0)+1)),"0.##")))&amp;"-"&amp;INT(INDEX(輔助計算!$D:$D, (MATCH(356, 輔助計算!$G$2:$G$801, 0)+1))/IF(INDEX(ERP資料!$G:$G, (MATCH(356, 輔助計算!$G$2:$G$801, 0)+1))&lt;100, IF(INDEX(ERP資料!$G:$G, (MATCH(356, 輔助計算!$G$2:$G$801, 0)+1))&lt;=31,3,IF(INDEX(ERP資料!$G:$G, (MATCH(356, 輔助計算!$G$2:$G$801, 0)+1))&lt;=46.5,2,1)), IF(INDEX(ERP資料!$G:$G, (MATCH(356, 輔助計算!$G$2:$G$801, 0)+1))&lt;=790,3,IF(INDEX(ERP資料!$G:$G, (MATCH(356, 輔助計算!$G$2:$G$801, 0)+1))&lt;=1181,2,1)))), "")&amp;IF(AND(IF(INT(INDEX(輔助計算!$D:$D, (MATCH(356, 輔助計算!$G$2:$G$801, 0)+1))/IF(INDEX(ERP資料!$G:$G, (MATCH(356, 輔助計算!$G$2:$G$801, 0)+1))&lt;100, IF(INDEX(ERP資料!$G:$G, (MATCH(356, 輔助計算!$G$2:$G$801, 0)+1))&lt;=31,3,IF(INDEX(ERP資料!$G:$G, (MATCH(356, 輔助計算!$G$2:$G$801, 0)+1))&lt;=46.5,2,1)), IF(INDEX(ERP資料!$G:$G, (MATCH(356, 輔助計算!$G$2:$G$801, 0)+1))&lt;=790,3,IF(INDEX(ERP資料!$G:$G, (MATCH(356, 輔助計算!$G$2:$G$801, 0)+1))&lt;=1181,2,1))))&gt;0, IF(IF(INDEX(ERP資料!$G:$G, (MATCH(356, 輔助計算!$G$2:$G$801, 0)+1))&lt;100, IF(INDEX(ERP資料!$G:$G, (MATCH(356, 輔助計算!$G$2:$G$801, 0)+1))&lt;=31,3,IF(INDEX(ERP資料!$G:$G, (MATCH(356, 輔助計算!$G$2:$G$801, 0)+1))&lt;=46.5,2,1)), IF(INDEX(ERP資料!$G:$G, (MATCH(356, 輔助計算!$G$2:$G$801, 0)+1))&lt;=790,3,IF(INDEX(ERP資料!$G:$G, (MATCH(356, 輔助計算!$G$2:$G$801, 0)+1))&lt;=1181,2,1)))=1,TEXT(INDEX(ERP資料!$G:$G, (MATCH(356, 輔助計算!$G$2:$G$801, 0)+1)),"0.##"),IF(IF(INDEX(ERP資料!$G:$G, (MATCH(356, 輔助計算!$G$2:$G$801, 0)+1))&lt;100, IF(INDEX(ERP資料!$G:$G, (MATCH(356, 輔助計算!$G$2:$G$801, 0)+1))&lt;=31,3,IF(INDEX(ERP資料!$G:$G, (MATCH(356, 輔助計算!$G$2:$G$801, 0)+1))&lt;=46.5,2,1)), IF(INDEX(ERP資料!$G:$G, (MATCH(356, 輔助計算!$G$2:$G$801, 0)+1))&lt;=790,3,IF(INDEX(ERP資料!$G:$G, (MATCH(356, 輔助計算!$G$2:$G$801, 0)+1))&lt;=1181,2,1)))=2,TEXT(INDEX(ERP資料!$G:$G, (MATCH(356, 輔助計算!$G$2:$G$801, 0)+1)),"0.##")&amp;"+"&amp;TEXT(INDEX(ERP資料!$G:$G, (MATCH(356, 輔助計算!$G$2:$G$801, 0)+1)),"0.##"),TEXT(INDEX(ERP資料!$G:$G, (MATCH(356, 輔助計算!$G$2:$G$801, 0)+1)),"0.##")&amp;"+"&amp;TEXT(INDEX(ERP資料!$G:$G, (MATCH(356, 輔助計算!$G$2:$G$801, 0)+1)),"0.##")&amp;"+"&amp;TEXT(INDEX(ERP資料!$G:$G, (MATCH(356, 輔助計算!$G$2:$G$801, 0)+1)),"0.##")))&amp;"-"&amp;INT(INDEX(輔助計算!$D:$D, (MATCH(356, 輔助計算!$G$2:$G$801, 0)+1))/IF(INDEX(ERP資料!$G:$G, (MATCH(356, 輔助計算!$G$2:$G$801, 0)+1))&lt;100, IF(INDEX(ERP資料!$G:$G, (MATCH(356, 輔助計算!$G$2:$G$801, 0)+1))&lt;=31,3,IF(INDEX(ERP資料!$G:$G, (MATCH(356, 輔助計算!$G$2:$G$801, 0)+1))&lt;=46.5,2,1)), IF(INDEX(ERP資料!$G:$G, (MATCH(356, 輔助計算!$G$2:$G$801, 0)+1))&lt;=790,3,IF(INDEX(ERP資料!$G:$G, (MATCH(356, 輔助計算!$G$2:$G$801, 0)+1))&lt;=1181,2,1)))), "")&lt;&gt;"",IF(MOD(INDEX(輔助計算!$D:$D, (MATCH(356, 輔助計算!$G$2:$G$801, 0)+1)),IF(INDEX(ERP資料!$G:$G, (MATCH(356, 輔助計算!$G$2:$G$801, 0)+1))&lt;100, IF(INDEX(ERP資料!$G:$G, (MATCH(356, 輔助計算!$G$2:$G$801, 0)+1))&lt;=31,3,IF(INDEX(ERP資料!$G:$G, (MATCH(356, 輔助計算!$G$2:$G$801, 0)+1))&lt;=46.5,2,1)), IF(INDEX(ERP資料!$G:$G, (MATCH(356, 輔助計算!$G$2:$G$801, 0)+1))&lt;=790,3,IF(INDEX(ERP資料!$G:$G, (MATCH(356, 輔助計算!$G$2:$G$801, 0)+1))&lt;=1181,2,1))))=0,"",IF(MOD(INDEX(輔助計算!$D:$D, (MATCH(356, 輔助計算!$G$2:$G$801, 0)+1)),IF(INDEX(ERP資料!$G:$G, (MATCH(356, 輔助計算!$G$2:$G$801, 0)+1))&lt;100, IF(INDEX(ERP資料!$G:$G, (MATCH(356, 輔助計算!$G$2:$G$801, 0)+1))&lt;=31,3,IF(INDEX(ERP資料!$G:$G, (MATCH(356, 輔助計算!$G$2:$G$801, 0)+1))&lt;=46.5,2,1)), IF(INDEX(ERP資料!$G:$G, (MATCH(356, 輔助計算!$G$2:$G$801, 0)+1))&lt;=790,3,IF(INDEX(ERP資料!$G:$G, (MATCH(356, 輔助計算!$G$2:$G$801, 0)+1))&lt;=1181,2,1))))=0,"",IF(MOD(INDEX(輔助計算!$D:$D, (MATCH(356, 輔助計算!$G$2:$G$801, 0)+1)),IF(INDEX(ERP資料!$G:$G, (MATCH(356, 輔助計算!$G$2:$G$801, 0)+1))&lt;100, IF(INDEX(ERP資料!$G:$G, (MATCH(356, 輔助計算!$G$2:$G$801, 0)+1))&lt;=31,3,IF(INDEX(ERP資料!$G:$G, (MATCH(356, 輔助計算!$G$2:$G$801, 0)+1))&lt;=46.5,2,1)), IF(INDEX(ERP資料!$G:$G, (MATCH(356, 輔助計算!$G$2:$G$801, 0)+1))&lt;=790,3,IF(INDEX(ERP資料!$G:$G, (MATCH(356, 輔助計算!$G$2:$G$801, 0)+1))&lt;=1181,2,1))))=1,TEXT(INDEX(ERP資料!$G:$G, (MATCH(356, 輔助計算!$G$2:$G$801, 0)+1)),"0.##"),IF(MOD(INDEX(輔助計算!$D:$D, (MATCH(356, 輔助計算!$G$2:$G$801, 0)+1)),IF(INDEX(ERP資料!$G:$G, (MATCH(356, 輔助計算!$G$2:$G$801, 0)+1))&lt;100, IF(INDEX(ERP資料!$G:$G, (MATCH(356, 輔助計算!$G$2:$G$801, 0)+1))&lt;=31,3,IF(INDEX(ERP資料!$G:$G, (MATCH(356, 輔助計算!$G$2:$G$801, 0)+1))&lt;=46.5,2,1)), IF(INDEX(ERP資料!$G:$G, (MATCH(356, 輔助計算!$G$2:$G$801, 0)+1))&lt;=790,3,IF(INDEX(ERP資料!$G:$G, (MATCH(356, 輔助計算!$G$2:$G$801, 0)+1))&lt;=1181,2,1))))=2,TEXT(INDEX(ERP資料!$G:$G, (MATCH(356, 輔助計算!$G$2:$G$801, 0)+1)),"0.##")&amp;"+"&amp;TEXT(INDEX(ERP資料!$G:$G, (MATCH(356, 輔助計算!$G$2:$G$801, 0)+1)),"0.##"),TEXT(INDEX(ERP資料!$G:$G, (MATCH(356, 輔助計算!$G$2:$G$801, 0)+1)),"0.##")&amp;"+"&amp;TEXT(INDEX(ERP資料!$G:$G, (MATCH(356, 輔助計算!$G$2:$G$801, 0)+1)),"0.##")&amp;"+"&amp;TEXT(INDEX(ERP資料!$G:$G, (MATCH(356, 輔助計算!$G$2:$G$801, 0)+1)),"0.##"))))&amp;"-1")&lt;&gt;""),"  ","")&amp;IF(MOD(INDEX(輔助計算!$D:$D, (MATCH(356, 輔助計算!$G$2:$G$801, 0)+1)),IF(INDEX(ERP資料!$G:$G, (MATCH(356, 輔助計算!$G$2:$G$801, 0)+1))&lt;100, IF(INDEX(ERP資料!$G:$G, (MATCH(356, 輔助計算!$G$2:$G$801, 0)+1))&lt;=31,3,IF(INDEX(ERP資料!$G:$G, (MATCH(356, 輔助計算!$G$2:$G$801, 0)+1))&lt;=46.5,2,1)), IF(INDEX(ERP資料!$G:$G, (MATCH(356, 輔助計算!$G$2:$G$801, 0)+1))&lt;=790,3,IF(INDEX(ERP資料!$G:$G, (MATCH(356, 輔助計算!$G$2:$G$801, 0)+1))&lt;=1181,2,1))))=0,"",IF(MOD(INDEX(輔助計算!$D:$D, (MATCH(356, 輔助計算!$G$2:$G$801, 0)+1)),IF(INDEX(ERP資料!$G:$G, (MATCH(356, 輔助計算!$G$2:$G$801, 0)+1))&lt;100, IF(INDEX(ERP資料!$G:$G, (MATCH(356, 輔助計算!$G$2:$G$801, 0)+1))&lt;=31,3,IF(INDEX(ERP資料!$G:$G, (MATCH(356, 輔助計算!$G$2:$G$801, 0)+1))&lt;=46.5,2,1)), IF(INDEX(ERP資料!$G:$G, (MATCH(356, 輔助計算!$G$2:$G$801, 0)+1))&lt;=790,3,IF(INDEX(ERP資料!$G:$G, (MATCH(356, 輔助計算!$G$2:$G$801, 0)+1))&lt;=1181,2,1))))=0,"",IF(MOD(INDEX(輔助計算!$D:$D, (MATCH(356, 輔助計算!$G$2:$G$801, 0)+1)),IF(INDEX(ERP資料!$G:$G, (MATCH(356, 輔助計算!$G$2:$G$801, 0)+1))&lt;100, IF(INDEX(ERP資料!$G:$G, (MATCH(356, 輔助計算!$G$2:$G$801, 0)+1))&lt;=31,3,IF(INDEX(ERP資料!$G:$G, (MATCH(356, 輔助計算!$G$2:$G$801, 0)+1))&lt;=46.5,2,1)), IF(INDEX(ERP資料!$G:$G, (MATCH(356, 輔助計算!$G$2:$G$801, 0)+1))&lt;=790,3,IF(INDEX(ERP資料!$G:$G, (MATCH(356, 輔助計算!$G$2:$G$801, 0)+1))&lt;=1181,2,1))))=1,TEXT(INDEX(ERP資料!$G:$G, (MATCH(356, 輔助計算!$G$2:$G$801, 0)+1)),"0.##"),IF(MOD(INDEX(輔助計算!$D:$D, (MATCH(356, 輔助計算!$G$2:$G$801, 0)+1)),IF(INDEX(ERP資料!$G:$G, (MATCH(356, 輔助計算!$G$2:$G$801, 0)+1))&lt;100, IF(INDEX(ERP資料!$G:$G, (MATCH(356, 輔助計算!$G$2:$G$801, 0)+1))&lt;=31,3,IF(INDEX(ERP資料!$G:$G, (MATCH(356, 輔助計算!$G$2:$G$801, 0)+1))&lt;=46.5,2,1)), IF(INDEX(ERP資料!$G:$G, (MATCH(356, 輔助計算!$G$2:$G$801, 0)+1))&lt;=790,3,IF(INDEX(ERP資料!$G:$G, (MATCH(356, 輔助計算!$G$2:$G$801, 0)+1))&lt;=1181,2,1))))=2,TEXT(INDEX(ERP資料!$G:$G, (MATCH(356, 輔助計算!$G$2:$G$801, 0)+1)),"0.##")&amp;"+"&amp;TEXT(INDEX(ERP資料!$G:$G, (MATCH(356, 輔助計算!$G$2:$G$801, 0)+1)),"0.##"),TEXT(INDEX(ERP資料!$G:$G, (MATCH(356, 輔助計算!$G$2:$G$801, 0)+1)),"0.##")&amp;"+"&amp;TEXT(INDEX(ERP資料!$G:$G, (MATCH(356, 輔助計算!$G$2:$G$801, 0)+1)),"0.##")&amp;"+"&amp;TEXT(INDEX(ERP資料!$G:$G, (MATCH(356, 輔助計算!$G$2:$G$801, 0)+1)),"0.##"))))&amp;"-1")), ""), "")</f>
        <v/>
      </c>
      <c r="K357" s="16" t="n"/>
      <c r="L357" s="14">
        <f>IFERROR(IF(AND(IFERROR(INDEX(ERP資料!$A:$A, (MATCH(356, 輔助計算!$G$2:$G$801, 0)+1)), "")&lt;&gt;"", IFERROR(INDEX(ERP資料!$A:$A, (MATCH(356, 輔助計算!$G$2:$G$801, 0)+1)), "")&lt;&gt;IFERROR(INDEX(ERP資料!$A:$A, MATCH(355, 輔助計算!$G$2:$G$801, 0)+1), "")), INDEX(ERP資料!$B:$B, (MATCH(356, 輔助計算!$G$2:$G$801, 0)+1)), ""), "")</f>
        <v/>
      </c>
      <c r="M357" s="17" t="n"/>
    </row>
    <row r="358">
      <c r="A358" s="10">
        <f>IFERROR(IF(AND(IFERROR(INDEX(ERP資料!$A:$A, (MATCH(357, 輔助計算!$G$2:$G$801, 0)+1)), "")&lt;&gt;"", IFERROR(INDEX(ERP資料!$A:$A, (MATCH(357, 輔助計算!$G$2:$G$801, 0)+1)), "")&lt;&gt;IFERROR(INDEX(ERP資料!$A:$A, MATCH(356, 輔助計算!$G$2:$G$801, 0)+1), "")), IFERROR(INDEX(ERP資料!$A:$A, (MATCH(357, 輔助計算!$G$2:$G$801, 0)+1)), ""), ""), "")</f>
        <v/>
      </c>
      <c r="B358" s="10">
        <f>IFERROR(IF(AND(IFERROR(INDEX(ERP資料!$A:$A, (MATCH(357, 輔助計算!$G$2:$G$801, 0)+1)), "")&lt;&gt;"", IFERROR(INDEX(ERP資料!$A:$A, (MATCH(357, 輔助計算!$G$2:$G$801, 0)+1)), "")&lt;&gt;IFERROR(INDEX(ERP資料!$A:$A, MATCH(356, 輔助計算!$G$2:$G$801, 0)+1), "")), INDEX(ERP資料!$S:$S, (MATCH(357, 輔助計算!$G$2:$G$801, 0)+1)), ""), "")</f>
        <v/>
      </c>
      <c r="C358" s="19">
        <f>IFERROR(IF(AND(IFERROR(INDEX(ERP資料!$A:$A, (MATCH(357, 輔助計算!$G$2:$G$801, 0)+1)), "")&lt;&gt;"", IFERROR(INDEX(ERP資料!$A:$A, (MATCH(357, 輔助計算!$G$2:$G$801, 0)+1)), "")&lt;&gt;IFERROR(INDEX(ERP資料!$A:$A, MATCH(356, 輔助計算!$G$2:$G$801, 0)+1), "")), IFERROR(VLOOKUP(LEFT(INDEX(ERP資料!$S:$S, (MATCH(357, 輔助計算!$G$2:$G$801, 0)+1)), 4), 紙管對照表!$A:$C, 3, FALSE), ""), ""), "")</f>
        <v/>
      </c>
      <c r="D358" s="16" t="n"/>
      <c r="E358" s="10">
        <f>IFERROR(IF(INDEX(ERP資料!$H:$H, (MATCH(357, 輔助計算!$G$2:$G$801, 0)+1))="","",INDEX(ERP資料!$H:$H, (MATCH(357, 輔助計算!$G$2:$G$801, 0)+1))), "")</f>
        <v/>
      </c>
      <c r="F358" s="10">
        <f>IFERROR(IF(INDEX(ERP資料!$E:$E, (MATCH(357, 輔助計算!$G$2:$G$801, 0)+1))="","",TRIM(INDEX(ERP資料!$E:$E, (MATCH(357, 輔助計算!$G$2:$G$801, 0)+1)))), "")</f>
        <v/>
      </c>
      <c r="G358" s="10">
        <f>IFERROR(IF(INDEX(ERP資料!$F:$F, (MATCH(357, 輔助計算!$G$2:$G$801, 0)+1))="","",INDEX(ERP資料!$F:$F, (MATCH(357, 輔助計算!$G$2:$G$801, 0)+1))), "")</f>
        <v/>
      </c>
      <c r="H358" s="10">
        <f>IFERROR(IF(INDEX(ERP資料!$G:$G, (MATCH(357, 輔助計算!$G$2:$G$801, 0)+1))="","",INDEX(ERP資料!$G:$G, (MATCH(357, 輔助計算!$G$2:$G$801, 0)+1))), "")</f>
        <v/>
      </c>
      <c r="I358" s="15">
        <f>IFERROR(INDEX(輔助計算!$D:$D, (MATCH(357, 輔助計算!$G$2:$G$801, 0)+1)), "")</f>
        <v/>
      </c>
      <c r="J358" s="15">
        <f>IFERROR(IF(AND(INDEX(輔助計算!$D:$D, (MATCH(357, 輔助計算!$G$2:$G$801, 0)+1))&lt;&gt;"", INDEX(ERP資料!$G:$G, (MATCH(357, 輔助計算!$G$2:$G$801, 0)+1))&lt;&gt;""), TRIM(IF(INT(INDEX(輔助計算!$D:$D, (MATCH(357, 輔助計算!$G$2:$G$801, 0)+1))/IF(INDEX(ERP資料!$G:$G, (MATCH(357, 輔助計算!$G$2:$G$801, 0)+1))&lt;100, IF(INDEX(ERP資料!$G:$G, (MATCH(357, 輔助計算!$G$2:$G$801, 0)+1))&lt;=31,3,IF(INDEX(ERP資料!$G:$G, (MATCH(357, 輔助計算!$G$2:$G$801, 0)+1))&lt;=46.5,2,1)), IF(INDEX(ERP資料!$G:$G, (MATCH(357, 輔助計算!$G$2:$G$801, 0)+1))&lt;=790,3,IF(INDEX(ERP資料!$G:$G, (MATCH(357, 輔助計算!$G$2:$G$801, 0)+1))&lt;=1181,2,1))))&gt;0, IF(IF(INDEX(ERP資料!$G:$G, (MATCH(357, 輔助計算!$G$2:$G$801, 0)+1))&lt;100, IF(INDEX(ERP資料!$G:$G, (MATCH(357, 輔助計算!$G$2:$G$801, 0)+1))&lt;=31,3,IF(INDEX(ERP資料!$G:$G, (MATCH(357, 輔助計算!$G$2:$G$801, 0)+1))&lt;=46.5,2,1)), IF(INDEX(ERP資料!$G:$G, (MATCH(357, 輔助計算!$G$2:$G$801, 0)+1))&lt;=790,3,IF(INDEX(ERP資料!$G:$G, (MATCH(357, 輔助計算!$G$2:$G$801, 0)+1))&lt;=1181,2,1)))=1,TEXT(INDEX(ERP資料!$G:$G, (MATCH(357, 輔助計算!$G$2:$G$801, 0)+1)),"0.##"),IF(IF(INDEX(ERP資料!$G:$G, (MATCH(357, 輔助計算!$G$2:$G$801, 0)+1))&lt;100, IF(INDEX(ERP資料!$G:$G, (MATCH(357, 輔助計算!$G$2:$G$801, 0)+1))&lt;=31,3,IF(INDEX(ERP資料!$G:$G, (MATCH(357, 輔助計算!$G$2:$G$801, 0)+1))&lt;=46.5,2,1)), IF(INDEX(ERP資料!$G:$G, (MATCH(357, 輔助計算!$G$2:$G$801, 0)+1))&lt;=790,3,IF(INDEX(ERP資料!$G:$G, (MATCH(357, 輔助計算!$G$2:$G$801, 0)+1))&lt;=1181,2,1)))=2,TEXT(INDEX(ERP資料!$G:$G, (MATCH(357, 輔助計算!$G$2:$G$801, 0)+1)),"0.##")&amp;"+"&amp;TEXT(INDEX(ERP資料!$G:$G, (MATCH(357, 輔助計算!$G$2:$G$801, 0)+1)),"0.##"),TEXT(INDEX(ERP資料!$G:$G, (MATCH(357, 輔助計算!$G$2:$G$801, 0)+1)),"0.##")&amp;"+"&amp;TEXT(INDEX(ERP資料!$G:$G, (MATCH(357, 輔助計算!$G$2:$G$801, 0)+1)),"0.##")&amp;"+"&amp;TEXT(INDEX(ERP資料!$G:$G, (MATCH(357, 輔助計算!$G$2:$G$801, 0)+1)),"0.##")))&amp;"-"&amp;INT(INDEX(輔助計算!$D:$D, (MATCH(357, 輔助計算!$G$2:$G$801, 0)+1))/IF(INDEX(ERP資料!$G:$G, (MATCH(357, 輔助計算!$G$2:$G$801, 0)+1))&lt;100, IF(INDEX(ERP資料!$G:$G, (MATCH(357, 輔助計算!$G$2:$G$801, 0)+1))&lt;=31,3,IF(INDEX(ERP資料!$G:$G, (MATCH(357, 輔助計算!$G$2:$G$801, 0)+1))&lt;=46.5,2,1)), IF(INDEX(ERP資料!$G:$G, (MATCH(357, 輔助計算!$G$2:$G$801, 0)+1))&lt;=790,3,IF(INDEX(ERP資料!$G:$G, (MATCH(357, 輔助計算!$G$2:$G$801, 0)+1))&lt;=1181,2,1)))), "")&amp;IF(AND(IF(INT(INDEX(輔助計算!$D:$D, (MATCH(357, 輔助計算!$G$2:$G$801, 0)+1))/IF(INDEX(ERP資料!$G:$G, (MATCH(357, 輔助計算!$G$2:$G$801, 0)+1))&lt;100, IF(INDEX(ERP資料!$G:$G, (MATCH(357, 輔助計算!$G$2:$G$801, 0)+1))&lt;=31,3,IF(INDEX(ERP資料!$G:$G, (MATCH(357, 輔助計算!$G$2:$G$801, 0)+1))&lt;=46.5,2,1)), IF(INDEX(ERP資料!$G:$G, (MATCH(357, 輔助計算!$G$2:$G$801, 0)+1))&lt;=790,3,IF(INDEX(ERP資料!$G:$G, (MATCH(357, 輔助計算!$G$2:$G$801, 0)+1))&lt;=1181,2,1))))&gt;0, IF(IF(INDEX(ERP資料!$G:$G, (MATCH(357, 輔助計算!$G$2:$G$801, 0)+1))&lt;100, IF(INDEX(ERP資料!$G:$G, (MATCH(357, 輔助計算!$G$2:$G$801, 0)+1))&lt;=31,3,IF(INDEX(ERP資料!$G:$G, (MATCH(357, 輔助計算!$G$2:$G$801, 0)+1))&lt;=46.5,2,1)), IF(INDEX(ERP資料!$G:$G, (MATCH(357, 輔助計算!$G$2:$G$801, 0)+1))&lt;=790,3,IF(INDEX(ERP資料!$G:$G, (MATCH(357, 輔助計算!$G$2:$G$801, 0)+1))&lt;=1181,2,1)))=1,TEXT(INDEX(ERP資料!$G:$G, (MATCH(357, 輔助計算!$G$2:$G$801, 0)+1)),"0.##"),IF(IF(INDEX(ERP資料!$G:$G, (MATCH(357, 輔助計算!$G$2:$G$801, 0)+1))&lt;100, IF(INDEX(ERP資料!$G:$G, (MATCH(357, 輔助計算!$G$2:$G$801, 0)+1))&lt;=31,3,IF(INDEX(ERP資料!$G:$G, (MATCH(357, 輔助計算!$G$2:$G$801, 0)+1))&lt;=46.5,2,1)), IF(INDEX(ERP資料!$G:$G, (MATCH(357, 輔助計算!$G$2:$G$801, 0)+1))&lt;=790,3,IF(INDEX(ERP資料!$G:$G, (MATCH(357, 輔助計算!$G$2:$G$801, 0)+1))&lt;=1181,2,1)))=2,TEXT(INDEX(ERP資料!$G:$G, (MATCH(357, 輔助計算!$G$2:$G$801, 0)+1)),"0.##")&amp;"+"&amp;TEXT(INDEX(ERP資料!$G:$G, (MATCH(357, 輔助計算!$G$2:$G$801, 0)+1)),"0.##"),TEXT(INDEX(ERP資料!$G:$G, (MATCH(357, 輔助計算!$G$2:$G$801, 0)+1)),"0.##")&amp;"+"&amp;TEXT(INDEX(ERP資料!$G:$G, (MATCH(357, 輔助計算!$G$2:$G$801, 0)+1)),"0.##")&amp;"+"&amp;TEXT(INDEX(ERP資料!$G:$G, (MATCH(357, 輔助計算!$G$2:$G$801, 0)+1)),"0.##")))&amp;"-"&amp;INT(INDEX(輔助計算!$D:$D, (MATCH(357, 輔助計算!$G$2:$G$801, 0)+1))/IF(INDEX(ERP資料!$G:$G, (MATCH(357, 輔助計算!$G$2:$G$801, 0)+1))&lt;100, IF(INDEX(ERP資料!$G:$G, (MATCH(357, 輔助計算!$G$2:$G$801, 0)+1))&lt;=31,3,IF(INDEX(ERP資料!$G:$G, (MATCH(357, 輔助計算!$G$2:$G$801, 0)+1))&lt;=46.5,2,1)), IF(INDEX(ERP資料!$G:$G, (MATCH(357, 輔助計算!$G$2:$G$801, 0)+1))&lt;=790,3,IF(INDEX(ERP資料!$G:$G, (MATCH(357, 輔助計算!$G$2:$G$801, 0)+1))&lt;=1181,2,1)))), "")&lt;&gt;"",IF(MOD(INDEX(輔助計算!$D:$D, (MATCH(357, 輔助計算!$G$2:$G$801, 0)+1)),IF(INDEX(ERP資料!$G:$G, (MATCH(357, 輔助計算!$G$2:$G$801, 0)+1))&lt;100, IF(INDEX(ERP資料!$G:$G, (MATCH(357, 輔助計算!$G$2:$G$801, 0)+1))&lt;=31,3,IF(INDEX(ERP資料!$G:$G, (MATCH(357, 輔助計算!$G$2:$G$801, 0)+1))&lt;=46.5,2,1)), IF(INDEX(ERP資料!$G:$G, (MATCH(357, 輔助計算!$G$2:$G$801, 0)+1))&lt;=790,3,IF(INDEX(ERP資料!$G:$G, (MATCH(357, 輔助計算!$G$2:$G$801, 0)+1))&lt;=1181,2,1))))=0,"",IF(MOD(INDEX(輔助計算!$D:$D, (MATCH(357, 輔助計算!$G$2:$G$801, 0)+1)),IF(INDEX(ERP資料!$G:$G, (MATCH(357, 輔助計算!$G$2:$G$801, 0)+1))&lt;100, IF(INDEX(ERP資料!$G:$G, (MATCH(357, 輔助計算!$G$2:$G$801, 0)+1))&lt;=31,3,IF(INDEX(ERP資料!$G:$G, (MATCH(357, 輔助計算!$G$2:$G$801, 0)+1))&lt;=46.5,2,1)), IF(INDEX(ERP資料!$G:$G, (MATCH(357, 輔助計算!$G$2:$G$801, 0)+1))&lt;=790,3,IF(INDEX(ERP資料!$G:$G, (MATCH(357, 輔助計算!$G$2:$G$801, 0)+1))&lt;=1181,2,1))))=0,"",IF(MOD(INDEX(輔助計算!$D:$D, (MATCH(357, 輔助計算!$G$2:$G$801, 0)+1)),IF(INDEX(ERP資料!$G:$G, (MATCH(357, 輔助計算!$G$2:$G$801, 0)+1))&lt;100, IF(INDEX(ERP資料!$G:$G, (MATCH(357, 輔助計算!$G$2:$G$801, 0)+1))&lt;=31,3,IF(INDEX(ERP資料!$G:$G, (MATCH(357, 輔助計算!$G$2:$G$801, 0)+1))&lt;=46.5,2,1)), IF(INDEX(ERP資料!$G:$G, (MATCH(357, 輔助計算!$G$2:$G$801, 0)+1))&lt;=790,3,IF(INDEX(ERP資料!$G:$G, (MATCH(357, 輔助計算!$G$2:$G$801, 0)+1))&lt;=1181,2,1))))=1,TEXT(INDEX(ERP資料!$G:$G, (MATCH(357, 輔助計算!$G$2:$G$801, 0)+1)),"0.##"),IF(MOD(INDEX(輔助計算!$D:$D, (MATCH(357, 輔助計算!$G$2:$G$801, 0)+1)),IF(INDEX(ERP資料!$G:$G, (MATCH(357, 輔助計算!$G$2:$G$801, 0)+1))&lt;100, IF(INDEX(ERP資料!$G:$G, (MATCH(357, 輔助計算!$G$2:$G$801, 0)+1))&lt;=31,3,IF(INDEX(ERP資料!$G:$G, (MATCH(357, 輔助計算!$G$2:$G$801, 0)+1))&lt;=46.5,2,1)), IF(INDEX(ERP資料!$G:$G, (MATCH(357, 輔助計算!$G$2:$G$801, 0)+1))&lt;=790,3,IF(INDEX(ERP資料!$G:$G, (MATCH(357, 輔助計算!$G$2:$G$801, 0)+1))&lt;=1181,2,1))))=2,TEXT(INDEX(ERP資料!$G:$G, (MATCH(357, 輔助計算!$G$2:$G$801, 0)+1)),"0.##")&amp;"+"&amp;TEXT(INDEX(ERP資料!$G:$G, (MATCH(357, 輔助計算!$G$2:$G$801, 0)+1)),"0.##"),TEXT(INDEX(ERP資料!$G:$G, (MATCH(357, 輔助計算!$G$2:$G$801, 0)+1)),"0.##")&amp;"+"&amp;TEXT(INDEX(ERP資料!$G:$G, (MATCH(357, 輔助計算!$G$2:$G$801, 0)+1)),"0.##")&amp;"+"&amp;TEXT(INDEX(ERP資料!$G:$G, (MATCH(357, 輔助計算!$G$2:$G$801, 0)+1)),"0.##"))))&amp;"-1")&lt;&gt;""),"  ","")&amp;IF(MOD(INDEX(輔助計算!$D:$D, (MATCH(357, 輔助計算!$G$2:$G$801, 0)+1)),IF(INDEX(ERP資料!$G:$G, (MATCH(357, 輔助計算!$G$2:$G$801, 0)+1))&lt;100, IF(INDEX(ERP資料!$G:$G, (MATCH(357, 輔助計算!$G$2:$G$801, 0)+1))&lt;=31,3,IF(INDEX(ERP資料!$G:$G, (MATCH(357, 輔助計算!$G$2:$G$801, 0)+1))&lt;=46.5,2,1)), IF(INDEX(ERP資料!$G:$G, (MATCH(357, 輔助計算!$G$2:$G$801, 0)+1))&lt;=790,3,IF(INDEX(ERP資料!$G:$G, (MATCH(357, 輔助計算!$G$2:$G$801, 0)+1))&lt;=1181,2,1))))=0,"",IF(MOD(INDEX(輔助計算!$D:$D, (MATCH(357, 輔助計算!$G$2:$G$801, 0)+1)),IF(INDEX(ERP資料!$G:$G, (MATCH(357, 輔助計算!$G$2:$G$801, 0)+1))&lt;100, IF(INDEX(ERP資料!$G:$G, (MATCH(357, 輔助計算!$G$2:$G$801, 0)+1))&lt;=31,3,IF(INDEX(ERP資料!$G:$G, (MATCH(357, 輔助計算!$G$2:$G$801, 0)+1))&lt;=46.5,2,1)), IF(INDEX(ERP資料!$G:$G, (MATCH(357, 輔助計算!$G$2:$G$801, 0)+1))&lt;=790,3,IF(INDEX(ERP資料!$G:$G, (MATCH(357, 輔助計算!$G$2:$G$801, 0)+1))&lt;=1181,2,1))))=0,"",IF(MOD(INDEX(輔助計算!$D:$D, (MATCH(357, 輔助計算!$G$2:$G$801, 0)+1)),IF(INDEX(ERP資料!$G:$G, (MATCH(357, 輔助計算!$G$2:$G$801, 0)+1))&lt;100, IF(INDEX(ERP資料!$G:$G, (MATCH(357, 輔助計算!$G$2:$G$801, 0)+1))&lt;=31,3,IF(INDEX(ERP資料!$G:$G, (MATCH(357, 輔助計算!$G$2:$G$801, 0)+1))&lt;=46.5,2,1)), IF(INDEX(ERP資料!$G:$G, (MATCH(357, 輔助計算!$G$2:$G$801, 0)+1))&lt;=790,3,IF(INDEX(ERP資料!$G:$G, (MATCH(357, 輔助計算!$G$2:$G$801, 0)+1))&lt;=1181,2,1))))=1,TEXT(INDEX(ERP資料!$G:$G, (MATCH(357, 輔助計算!$G$2:$G$801, 0)+1)),"0.##"),IF(MOD(INDEX(輔助計算!$D:$D, (MATCH(357, 輔助計算!$G$2:$G$801, 0)+1)),IF(INDEX(ERP資料!$G:$G, (MATCH(357, 輔助計算!$G$2:$G$801, 0)+1))&lt;100, IF(INDEX(ERP資料!$G:$G, (MATCH(357, 輔助計算!$G$2:$G$801, 0)+1))&lt;=31,3,IF(INDEX(ERP資料!$G:$G, (MATCH(357, 輔助計算!$G$2:$G$801, 0)+1))&lt;=46.5,2,1)), IF(INDEX(ERP資料!$G:$G, (MATCH(357, 輔助計算!$G$2:$G$801, 0)+1))&lt;=790,3,IF(INDEX(ERP資料!$G:$G, (MATCH(357, 輔助計算!$G$2:$G$801, 0)+1))&lt;=1181,2,1))))=2,TEXT(INDEX(ERP資料!$G:$G, (MATCH(357, 輔助計算!$G$2:$G$801, 0)+1)),"0.##")&amp;"+"&amp;TEXT(INDEX(ERP資料!$G:$G, (MATCH(357, 輔助計算!$G$2:$G$801, 0)+1)),"0.##"),TEXT(INDEX(ERP資料!$G:$G, (MATCH(357, 輔助計算!$G$2:$G$801, 0)+1)),"0.##")&amp;"+"&amp;TEXT(INDEX(ERP資料!$G:$G, (MATCH(357, 輔助計算!$G$2:$G$801, 0)+1)),"0.##")&amp;"+"&amp;TEXT(INDEX(ERP資料!$G:$G, (MATCH(357, 輔助計算!$G$2:$G$801, 0)+1)),"0.##"))))&amp;"-1")), ""), "")</f>
        <v/>
      </c>
      <c r="K358" s="16" t="n"/>
      <c r="L358" s="14">
        <f>IFERROR(IF(AND(IFERROR(INDEX(ERP資料!$A:$A, (MATCH(357, 輔助計算!$G$2:$G$801, 0)+1)), "")&lt;&gt;"", IFERROR(INDEX(ERP資料!$A:$A, (MATCH(357, 輔助計算!$G$2:$G$801, 0)+1)), "")&lt;&gt;IFERROR(INDEX(ERP資料!$A:$A, MATCH(356, 輔助計算!$G$2:$G$801, 0)+1), "")), INDEX(ERP資料!$B:$B, (MATCH(357, 輔助計算!$G$2:$G$801, 0)+1)), ""), "")</f>
        <v/>
      </c>
      <c r="M358" s="17" t="n"/>
    </row>
    <row r="359">
      <c r="A359" s="10">
        <f>IFERROR(IF(AND(IFERROR(INDEX(ERP資料!$A:$A, (MATCH(358, 輔助計算!$G$2:$G$801, 0)+1)), "")&lt;&gt;"", IFERROR(INDEX(ERP資料!$A:$A, (MATCH(358, 輔助計算!$G$2:$G$801, 0)+1)), "")&lt;&gt;IFERROR(INDEX(ERP資料!$A:$A, MATCH(357, 輔助計算!$G$2:$G$801, 0)+1), "")), IFERROR(INDEX(ERP資料!$A:$A, (MATCH(358, 輔助計算!$G$2:$G$801, 0)+1)), ""), ""), "")</f>
        <v/>
      </c>
      <c r="B359" s="10">
        <f>IFERROR(IF(AND(IFERROR(INDEX(ERP資料!$A:$A, (MATCH(358, 輔助計算!$G$2:$G$801, 0)+1)), "")&lt;&gt;"", IFERROR(INDEX(ERP資料!$A:$A, (MATCH(358, 輔助計算!$G$2:$G$801, 0)+1)), "")&lt;&gt;IFERROR(INDEX(ERP資料!$A:$A, MATCH(357, 輔助計算!$G$2:$G$801, 0)+1), "")), INDEX(ERP資料!$S:$S, (MATCH(358, 輔助計算!$G$2:$G$801, 0)+1)), ""), "")</f>
        <v/>
      </c>
      <c r="C359" s="19">
        <f>IFERROR(IF(AND(IFERROR(INDEX(ERP資料!$A:$A, (MATCH(358, 輔助計算!$G$2:$G$801, 0)+1)), "")&lt;&gt;"", IFERROR(INDEX(ERP資料!$A:$A, (MATCH(358, 輔助計算!$G$2:$G$801, 0)+1)), "")&lt;&gt;IFERROR(INDEX(ERP資料!$A:$A, MATCH(357, 輔助計算!$G$2:$G$801, 0)+1), "")), IFERROR(VLOOKUP(LEFT(INDEX(ERP資料!$S:$S, (MATCH(358, 輔助計算!$G$2:$G$801, 0)+1)), 4), 紙管對照表!$A:$C, 3, FALSE), ""), ""), "")</f>
        <v/>
      </c>
      <c r="D359" s="16" t="n"/>
      <c r="E359" s="10">
        <f>IFERROR(IF(INDEX(ERP資料!$H:$H, (MATCH(358, 輔助計算!$G$2:$G$801, 0)+1))="","",INDEX(ERP資料!$H:$H, (MATCH(358, 輔助計算!$G$2:$G$801, 0)+1))), "")</f>
        <v/>
      </c>
      <c r="F359" s="10">
        <f>IFERROR(IF(INDEX(ERP資料!$E:$E, (MATCH(358, 輔助計算!$G$2:$G$801, 0)+1))="","",TRIM(INDEX(ERP資料!$E:$E, (MATCH(358, 輔助計算!$G$2:$G$801, 0)+1)))), "")</f>
        <v/>
      </c>
      <c r="G359" s="10">
        <f>IFERROR(IF(INDEX(ERP資料!$F:$F, (MATCH(358, 輔助計算!$G$2:$G$801, 0)+1))="","",INDEX(ERP資料!$F:$F, (MATCH(358, 輔助計算!$G$2:$G$801, 0)+1))), "")</f>
        <v/>
      </c>
      <c r="H359" s="10">
        <f>IFERROR(IF(INDEX(ERP資料!$G:$G, (MATCH(358, 輔助計算!$G$2:$G$801, 0)+1))="","",INDEX(ERP資料!$G:$G, (MATCH(358, 輔助計算!$G$2:$G$801, 0)+1))), "")</f>
        <v/>
      </c>
      <c r="I359" s="15">
        <f>IFERROR(INDEX(輔助計算!$D:$D, (MATCH(358, 輔助計算!$G$2:$G$801, 0)+1)), "")</f>
        <v/>
      </c>
      <c r="J359" s="15">
        <f>IFERROR(IF(AND(INDEX(輔助計算!$D:$D, (MATCH(358, 輔助計算!$G$2:$G$801, 0)+1))&lt;&gt;"", INDEX(ERP資料!$G:$G, (MATCH(358, 輔助計算!$G$2:$G$801, 0)+1))&lt;&gt;""), TRIM(IF(INT(INDEX(輔助計算!$D:$D, (MATCH(358, 輔助計算!$G$2:$G$801, 0)+1))/IF(INDEX(ERP資料!$G:$G, (MATCH(358, 輔助計算!$G$2:$G$801, 0)+1))&lt;100, IF(INDEX(ERP資料!$G:$G, (MATCH(358, 輔助計算!$G$2:$G$801, 0)+1))&lt;=31,3,IF(INDEX(ERP資料!$G:$G, (MATCH(358, 輔助計算!$G$2:$G$801, 0)+1))&lt;=46.5,2,1)), IF(INDEX(ERP資料!$G:$G, (MATCH(358, 輔助計算!$G$2:$G$801, 0)+1))&lt;=790,3,IF(INDEX(ERP資料!$G:$G, (MATCH(358, 輔助計算!$G$2:$G$801, 0)+1))&lt;=1181,2,1))))&gt;0, IF(IF(INDEX(ERP資料!$G:$G, (MATCH(358, 輔助計算!$G$2:$G$801, 0)+1))&lt;100, IF(INDEX(ERP資料!$G:$G, (MATCH(358, 輔助計算!$G$2:$G$801, 0)+1))&lt;=31,3,IF(INDEX(ERP資料!$G:$G, (MATCH(358, 輔助計算!$G$2:$G$801, 0)+1))&lt;=46.5,2,1)), IF(INDEX(ERP資料!$G:$G, (MATCH(358, 輔助計算!$G$2:$G$801, 0)+1))&lt;=790,3,IF(INDEX(ERP資料!$G:$G, (MATCH(358, 輔助計算!$G$2:$G$801, 0)+1))&lt;=1181,2,1)))=1,TEXT(INDEX(ERP資料!$G:$G, (MATCH(358, 輔助計算!$G$2:$G$801, 0)+1)),"0.##"),IF(IF(INDEX(ERP資料!$G:$G, (MATCH(358, 輔助計算!$G$2:$G$801, 0)+1))&lt;100, IF(INDEX(ERP資料!$G:$G, (MATCH(358, 輔助計算!$G$2:$G$801, 0)+1))&lt;=31,3,IF(INDEX(ERP資料!$G:$G, (MATCH(358, 輔助計算!$G$2:$G$801, 0)+1))&lt;=46.5,2,1)), IF(INDEX(ERP資料!$G:$G, (MATCH(358, 輔助計算!$G$2:$G$801, 0)+1))&lt;=790,3,IF(INDEX(ERP資料!$G:$G, (MATCH(358, 輔助計算!$G$2:$G$801, 0)+1))&lt;=1181,2,1)))=2,TEXT(INDEX(ERP資料!$G:$G, (MATCH(358, 輔助計算!$G$2:$G$801, 0)+1)),"0.##")&amp;"+"&amp;TEXT(INDEX(ERP資料!$G:$G, (MATCH(358, 輔助計算!$G$2:$G$801, 0)+1)),"0.##"),TEXT(INDEX(ERP資料!$G:$G, (MATCH(358, 輔助計算!$G$2:$G$801, 0)+1)),"0.##")&amp;"+"&amp;TEXT(INDEX(ERP資料!$G:$G, (MATCH(358, 輔助計算!$G$2:$G$801, 0)+1)),"0.##")&amp;"+"&amp;TEXT(INDEX(ERP資料!$G:$G, (MATCH(358, 輔助計算!$G$2:$G$801, 0)+1)),"0.##")))&amp;"-"&amp;INT(INDEX(輔助計算!$D:$D, (MATCH(358, 輔助計算!$G$2:$G$801, 0)+1))/IF(INDEX(ERP資料!$G:$G, (MATCH(358, 輔助計算!$G$2:$G$801, 0)+1))&lt;100, IF(INDEX(ERP資料!$G:$G, (MATCH(358, 輔助計算!$G$2:$G$801, 0)+1))&lt;=31,3,IF(INDEX(ERP資料!$G:$G, (MATCH(358, 輔助計算!$G$2:$G$801, 0)+1))&lt;=46.5,2,1)), IF(INDEX(ERP資料!$G:$G, (MATCH(358, 輔助計算!$G$2:$G$801, 0)+1))&lt;=790,3,IF(INDEX(ERP資料!$G:$G, (MATCH(358, 輔助計算!$G$2:$G$801, 0)+1))&lt;=1181,2,1)))), "")&amp;IF(AND(IF(INT(INDEX(輔助計算!$D:$D, (MATCH(358, 輔助計算!$G$2:$G$801, 0)+1))/IF(INDEX(ERP資料!$G:$G, (MATCH(358, 輔助計算!$G$2:$G$801, 0)+1))&lt;100, IF(INDEX(ERP資料!$G:$G, (MATCH(358, 輔助計算!$G$2:$G$801, 0)+1))&lt;=31,3,IF(INDEX(ERP資料!$G:$G, (MATCH(358, 輔助計算!$G$2:$G$801, 0)+1))&lt;=46.5,2,1)), IF(INDEX(ERP資料!$G:$G, (MATCH(358, 輔助計算!$G$2:$G$801, 0)+1))&lt;=790,3,IF(INDEX(ERP資料!$G:$G, (MATCH(358, 輔助計算!$G$2:$G$801, 0)+1))&lt;=1181,2,1))))&gt;0, IF(IF(INDEX(ERP資料!$G:$G, (MATCH(358, 輔助計算!$G$2:$G$801, 0)+1))&lt;100, IF(INDEX(ERP資料!$G:$G, (MATCH(358, 輔助計算!$G$2:$G$801, 0)+1))&lt;=31,3,IF(INDEX(ERP資料!$G:$G, (MATCH(358, 輔助計算!$G$2:$G$801, 0)+1))&lt;=46.5,2,1)), IF(INDEX(ERP資料!$G:$G, (MATCH(358, 輔助計算!$G$2:$G$801, 0)+1))&lt;=790,3,IF(INDEX(ERP資料!$G:$G, (MATCH(358, 輔助計算!$G$2:$G$801, 0)+1))&lt;=1181,2,1)))=1,TEXT(INDEX(ERP資料!$G:$G, (MATCH(358, 輔助計算!$G$2:$G$801, 0)+1)),"0.##"),IF(IF(INDEX(ERP資料!$G:$G, (MATCH(358, 輔助計算!$G$2:$G$801, 0)+1))&lt;100, IF(INDEX(ERP資料!$G:$G, (MATCH(358, 輔助計算!$G$2:$G$801, 0)+1))&lt;=31,3,IF(INDEX(ERP資料!$G:$G, (MATCH(358, 輔助計算!$G$2:$G$801, 0)+1))&lt;=46.5,2,1)), IF(INDEX(ERP資料!$G:$G, (MATCH(358, 輔助計算!$G$2:$G$801, 0)+1))&lt;=790,3,IF(INDEX(ERP資料!$G:$G, (MATCH(358, 輔助計算!$G$2:$G$801, 0)+1))&lt;=1181,2,1)))=2,TEXT(INDEX(ERP資料!$G:$G, (MATCH(358, 輔助計算!$G$2:$G$801, 0)+1)),"0.##")&amp;"+"&amp;TEXT(INDEX(ERP資料!$G:$G, (MATCH(358, 輔助計算!$G$2:$G$801, 0)+1)),"0.##"),TEXT(INDEX(ERP資料!$G:$G, (MATCH(358, 輔助計算!$G$2:$G$801, 0)+1)),"0.##")&amp;"+"&amp;TEXT(INDEX(ERP資料!$G:$G, (MATCH(358, 輔助計算!$G$2:$G$801, 0)+1)),"0.##")&amp;"+"&amp;TEXT(INDEX(ERP資料!$G:$G, (MATCH(358, 輔助計算!$G$2:$G$801, 0)+1)),"0.##")))&amp;"-"&amp;INT(INDEX(輔助計算!$D:$D, (MATCH(358, 輔助計算!$G$2:$G$801, 0)+1))/IF(INDEX(ERP資料!$G:$G, (MATCH(358, 輔助計算!$G$2:$G$801, 0)+1))&lt;100, IF(INDEX(ERP資料!$G:$G, (MATCH(358, 輔助計算!$G$2:$G$801, 0)+1))&lt;=31,3,IF(INDEX(ERP資料!$G:$G, (MATCH(358, 輔助計算!$G$2:$G$801, 0)+1))&lt;=46.5,2,1)), IF(INDEX(ERP資料!$G:$G, (MATCH(358, 輔助計算!$G$2:$G$801, 0)+1))&lt;=790,3,IF(INDEX(ERP資料!$G:$G, (MATCH(358, 輔助計算!$G$2:$G$801, 0)+1))&lt;=1181,2,1)))), "")&lt;&gt;"",IF(MOD(INDEX(輔助計算!$D:$D, (MATCH(358, 輔助計算!$G$2:$G$801, 0)+1)),IF(INDEX(ERP資料!$G:$G, (MATCH(358, 輔助計算!$G$2:$G$801, 0)+1))&lt;100, IF(INDEX(ERP資料!$G:$G, (MATCH(358, 輔助計算!$G$2:$G$801, 0)+1))&lt;=31,3,IF(INDEX(ERP資料!$G:$G, (MATCH(358, 輔助計算!$G$2:$G$801, 0)+1))&lt;=46.5,2,1)), IF(INDEX(ERP資料!$G:$G, (MATCH(358, 輔助計算!$G$2:$G$801, 0)+1))&lt;=790,3,IF(INDEX(ERP資料!$G:$G, (MATCH(358, 輔助計算!$G$2:$G$801, 0)+1))&lt;=1181,2,1))))=0,"",IF(MOD(INDEX(輔助計算!$D:$D, (MATCH(358, 輔助計算!$G$2:$G$801, 0)+1)),IF(INDEX(ERP資料!$G:$G, (MATCH(358, 輔助計算!$G$2:$G$801, 0)+1))&lt;100, IF(INDEX(ERP資料!$G:$G, (MATCH(358, 輔助計算!$G$2:$G$801, 0)+1))&lt;=31,3,IF(INDEX(ERP資料!$G:$G, (MATCH(358, 輔助計算!$G$2:$G$801, 0)+1))&lt;=46.5,2,1)), IF(INDEX(ERP資料!$G:$G, (MATCH(358, 輔助計算!$G$2:$G$801, 0)+1))&lt;=790,3,IF(INDEX(ERP資料!$G:$G, (MATCH(358, 輔助計算!$G$2:$G$801, 0)+1))&lt;=1181,2,1))))=0,"",IF(MOD(INDEX(輔助計算!$D:$D, (MATCH(358, 輔助計算!$G$2:$G$801, 0)+1)),IF(INDEX(ERP資料!$G:$G, (MATCH(358, 輔助計算!$G$2:$G$801, 0)+1))&lt;100, IF(INDEX(ERP資料!$G:$G, (MATCH(358, 輔助計算!$G$2:$G$801, 0)+1))&lt;=31,3,IF(INDEX(ERP資料!$G:$G, (MATCH(358, 輔助計算!$G$2:$G$801, 0)+1))&lt;=46.5,2,1)), IF(INDEX(ERP資料!$G:$G, (MATCH(358, 輔助計算!$G$2:$G$801, 0)+1))&lt;=790,3,IF(INDEX(ERP資料!$G:$G, (MATCH(358, 輔助計算!$G$2:$G$801, 0)+1))&lt;=1181,2,1))))=1,TEXT(INDEX(ERP資料!$G:$G, (MATCH(358, 輔助計算!$G$2:$G$801, 0)+1)),"0.##"),IF(MOD(INDEX(輔助計算!$D:$D, (MATCH(358, 輔助計算!$G$2:$G$801, 0)+1)),IF(INDEX(ERP資料!$G:$G, (MATCH(358, 輔助計算!$G$2:$G$801, 0)+1))&lt;100, IF(INDEX(ERP資料!$G:$G, (MATCH(358, 輔助計算!$G$2:$G$801, 0)+1))&lt;=31,3,IF(INDEX(ERP資料!$G:$G, (MATCH(358, 輔助計算!$G$2:$G$801, 0)+1))&lt;=46.5,2,1)), IF(INDEX(ERP資料!$G:$G, (MATCH(358, 輔助計算!$G$2:$G$801, 0)+1))&lt;=790,3,IF(INDEX(ERP資料!$G:$G, (MATCH(358, 輔助計算!$G$2:$G$801, 0)+1))&lt;=1181,2,1))))=2,TEXT(INDEX(ERP資料!$G:$G, (MATCH(358, 輔助計算!$G$2:$G$801, 0)+1)),"0.##")&amp;"+"&amp;TEXT(INDEX(ERP資料!$G:$G, (MATCH(358, 輔助計算!$G$2:$G$801, 0)+1)),"0.##"),TEXT(INDEX(ERP資料!$G:$G, (MATCH(358, 輔助計算!$G$2:$G$801, 0)+1)),"0.##")&amp;"+"&amp;TEXT(INDEX(ERP資料!$G:$G, (MATCH(358, 輔助計算!$G$2:$G$801, 0)+1)),"0.##")&amp;"+"&amp;TEXT(INDEX(ERP資料!$G:$G, (MATCH(358, 輔助計算!$G$2:$G$801, 0)+1)),"0.##"))))&amp;"-1")&lt;&gt;""),"  ","")&amp;IF(MOD(INDEX(輔助計算!$D:$D, (MATCH(358, 輔助計算!$G$2:$G$801, 0)+1)),IF(INDEX(ERP資料!$G:$G, (MATCH(358, 輔助計算!$G$2:$G$801, 0)+1))&lt;100, IF(INDEX(ERP資料!$G:$G, (MATCH(358, 輔助計算!$G$2:$G$801, 0)+1))&lt;=31,3,IF(INDEX(ERP資料!$G:$G, (MATCH(358, 輔助計算!$G$2:$G$801, 0)+1))&lt;=46.5,2,1)), IF(INDEX(ERP資料!$G:$G, (MATCH(358, 輔助計算!$G$2:$G$801, 0)+1))&lt;=790,3,IF(INDEX(ERP資料!$G:$G, (MATCH(358, 輔助計算!$G$2:$G$801, 0)+1))&lt;=1181,2,1))))=0,"",IF(MOD(INDEX(輔助計算!$D:$D, (MATCH(358, 輔助計算!$G$2:$G$801, 0)+1)),IF(INDEX(ERP資料!$G:$G, (MATCH(358, 輔助計算!$G$2:$G$801, 0)+1))&lt;100, IF(INDEX(ERP資料!$G:$G, (MATCH(358, 輔助計算!$G$2:$G$801, 0)+1))&lt;=31,3,IF(INDEX(ERP資料!$G:$G, (MATCH(358, 輔助計算!$G$2:$G$801, 0)+1))&lt;=46.5,2,1)), IF(INDEX(ERP資料!$G:$G, (MATCH(358, 輔助計算!$G$2:$G$801, 0)+1))&lt;=790,3,IF(INDEX(ERP資料!$G:$G, (MATCH(358, 輔助計算!$G$2:$G$801, 0)+1))&lt;=1181,2,1))))=0,"",IF(MOD(INDEX(輔助計算!$D:$D, (MATCH(358, 輔助計算!$G$2:$G$801, 0)+1)),IF(INDEX(ERP資料!$G:$G, (MATCH(358, 輔助計算!$G$2:$G$801, 0)+1))&lt;100, IF(INDEX(ERP資料!$G:$G, (MATCH(358, 輔助計算!$G$2:$G$801, 0)+1))&lt;=31,3,IF(INDEX(ERP資料!$G:$G, (MATCH(358, 輔助計算!$G$2:$G$801, 0)+1))&lt;=46.5,2,1)), IF(INDEX(ERP資料!$G:$G, (MATCH(358, 輔助計算!$G$2:$G$801, 0)+1))&lt;=790,3,IF(INDEX(ERP資料!$G:$G, (MATCH(358, 輔助計算!$G$2:$G$801, 0)+1))&lt;=1181,2,1))))=1,TEXT(INDEX(ERP資料!$G:$G, (MATCH(358, 輔助計算!$G$2:$G$801, 0)+1)),"0.##"),IF(MOD(INDEX(輔助計算!$D:$D, (MATCH(358, 輔助計算!$G$2:$G$801, 0)+1)),IF(INDEX(ERP資料!$G:$G, (MATCH(358, 輔助計算!$G$2:$G$801, 0)+1))&lt;100, IF(INDEX(ERP資料!$G:$G, (MATCH(358, 輔助計算!$G$2:$G$801, 0)+1))&lt;=31,3,IF(INDEX(ERP資料!$G:$G, (MATCH(358, 輔助計算!$G$2:$G$801, 0)+1))&lt;=46.5,2,1)), IF(INDEX(ERP資料!$G:$G, (MATCH(358, 輔助計算!$G$2:$G$801, 0)+1))&lt;=790,3,IF(INDEX(ERP資料!$G:$G, (MATCH(358, 輔助計算!$G$2:$G$801, 0)+1))&lt;=1181,2,1))))=2,TEXT(INDEX(ERP資料!$G:$G, (MATCH(358, 輔助計算!$G$2:$G$801, 0)+1)),"0.##")&amp;"+"&amp;TEXT(INDEX(ERP資料!$G:$G, (MATCH(358, 輔助計算!$G$2:$G$801, 0)+1)),"0.##"),TEXT(INDEX(ERP資料!$G:$G, (MATCH(358, 輔助計算!$G$2:$G$801, 0)+1)),"0.##")&amp;"+"&amp;TEXT(INDEX(ERP資料!$G:$G, (MATCH(358, 輔助計算!$G$2:$G$801, 0)+1)),"0.##")&amp;"+"&amp;TEXT(INDEX(ERP資料!$G:$G, (MATCH(358, 輔助計算!$G$2:$G$801, 0)+1)),"0.##"))))&amp;"-1")), ""), "")</f>
        <v/>
      </c>
      <c r="K359" s="16" t="n"/>
      <c r="L359" s="14">
        <f>IFERROR(IF(AND(IFERROR(INDEX(ERP資料!$A:$A, (MATCH(358, 輔助計算!$G$2:$G$801, 0)+1)), "")&lt;&gt;"", IFERROR(INDEX(ERP資料!$A:$A, (MATCH(358, 輔助計算!$G$2:$G$801, 0)+1)), "")&lt;&gt;IFERROR(INDEX(ERP資料!$A:$A, MATCH(357, 輔助計算!$G$2:$G$801, 0)+1), "")), INDEX(ERP資料!$B:$B, (MATCH(358, 輔助計算!$G$2:$G$801, 0)+1)), ""), "")</f>
        <v/>
      </c>
      <c r="M359" s="17" t="n"/>
    </row>
    <row r="360">
      <c r="A360" s="10">
        <f>IFERROR(IF(AND(IFERROR(INDEX(ERP資料!$A:$A, (MATCH(359, 輔助計算!$G$2:$G$801, 0)+1)), "")&lt;&gt;"", IFERROR(INDEX(ERP資料!$A:$A, (MATCH(359, 輔助計算!$G$2:$G$801, 0)+1)), "")&lt;&gt;IFERROR(INDEX(ERP資料!$A:$A, MATCH(358, 輔助計算!$G$2:$G$801, 0)+1), "")), IFERROR(INDEX(ERP資料!$A:$A, (MATCH(359, 輔助計算!$G$2:$G$801, 0)+1)), ""), ""), "")</f>
        <v/>
      </c>
      <c r="B360" s="10">
        <f>IFERROR(IF(AND(IFERROR(INDEX(ERP資料!$A:$A, (MATCH(359, 輔助計算!$G$2:$G$801, 0)+1)), "")&lt;&gt;"", IFERROR(INDEX(ERP資料!$A:$A, (MATCH(359, 輔助計算!$G$2:$G$801, 0)+1)), "")&lt;&gt;IFERROR(INDEX(ERP資料!$A:$A, MATCH(358, 輔助計算!$G$2:$G$801, 0)+1), "")), INDEX(ERP資料!$S:$S, (MATCH(359, 輔助計算!$G$2:$G$801, 0)+1)), ""), "")</f>
        <v/>
      </c>
      <c r="C360" s="19">
        <f>IFERROR(IF(AND(IFERROR(INDEX(ERP資料!$A:$A, (MATCH(359, 輔助計算!$G$2:$G$801, 0)+1)), "")&lt;&gt;"", IFERROR(INDEX(ERP資料!$A:$A, (MATCH(359, 輔助計算!$G$2:$G$801, 0)+1)), "")&lt;&gt;IFERROR(INDEX(ERP資料!$A:$A, MATCH(358, 輔助計算!$G$2:$G$801, 0)+1), "")), IFERROR(VLOOKUP(LEFT(INDEX(ERP資料!$S:$S, (MATCH(359, 輔助計算!$G$2:$G$801, 0)+1)), 4), 紙管對照表!$A:$C, 3, FALSE), ""), ""), "")</f>
        <v/>
      </c>
      <c r="D360" s="16" t="n"/>
      <c r="E360" s="10">
        <f>IFERROR(IF(INDEX(ERP資料!$H:$H, (MATCH(359, 輔助計算!$G$2:$G$801, 0)+1))="","",INDEX(ERP資料!$H:$H, (MATCH(359, 輔助計算!$G$2:$G$801, 0)+1))), "")</f>
        <v/>
      </c>
      <c r="F360" s="10">
        <f>IFERROR(IF(INDEX(ERP資料!$E:$E, (MATCH(359, 輔助計算!$G$2:$G$801, 0)+1))="","",TRIM(INDEX(ERP資料!$E:$E, (MATCH(359, 輔助計算!$G$2:$G$801, 0)+1)))), "")</f>
        <v/>
      </c>
      <c r="G360" s="10">
        <f>IFERROR(IF(INDEX(ERP資料!$F:$F, (MATCH(359, 輔助計算!$G$2:$G$801, 0)+1))="","",INDEX(ERP資料!$F:$F, (MATCH(359, 輔助計算!$G$2:$G$801, 0)+1))), "")</f>
        <v/>
      </c>
      <c r="H360" s="10">
        <f>IFERROR(IF(INDEX(ERP資料!$G:$G, (MATCH(359, 輔助計算!$G$2:$G$801, 0)+1))="","",INDEX(ERP資料!$G:$G, (MATCH(359, 輔助計算!$G$2:$G$801, 0)+1))), "")</f>
        <v/>
      </c>
      <c r="I360" s="15">
        <f>IFERROR(INDEX(輔助計算!$D:$D, (MATCH(359, 輔助計算!$G$2:$G$801, 0)+1)), "")</f>
        <v/>
      </c>
      <c r="J360" s="15">
        <f>IFERROR(IF(AND(INDEX(輔助計算!$D:$D, (MATCH(359, 輔助計算!$G$2:$G$801, 0)+1))&lt;&gt;"", INDEX(ERP資料!$G:$G, (MATCH(359, 輔助計算!$G$2:$G$801, 0)+1))&lt;&gt;""), TRIM(IF(INT(INDEX(輔助計算!$D:$D, (MATCH(359, 輔助計算!$G$2:$G$801, 0)+1))/IF(INDEX(ERP資料!$G:$G, (MATCH(359, 輔助計算!$G$2:$G$801, 0)+1))&lt;100, IF(INDEX(ERP資料!$G:$G, (MATCH(359, 輔助計算!$G$2:$G$801, 0)+1))&lt;=31,3,IF(INDEX(ERP資料!$G:$G, (MATCH(359, 輔助計算!$G$2:$G$801, 0)+1))&lt;=46.5,2,1)), IF(INDEX(ERP資料!$G:$G, (MATCH(359, 輔助計算!$G$2:$G$801, 0)+1))&lt;=790,3,IF(INDEX(ERP資料!$G:$G, (MATCH(359, 輔助計算!$G$2:$G$801, 0)+1))&lt;=1181,2,1))))&gt;0, IF(IF(INDEX(ERP資料!$G:$G, (MATCH(359, 輔助計算!$G$2:$G$801, 0)+1))&lt;100, IF(INDEX(ERP資料!$G:$G, (MATCH(359, 輔助計算!$G$2:$G$801, 0)+1))&lt;=31,3,IF(INDEX(ERP資料!$G:$G, (MATCH(359, 輔助計算!$G$2:$G$801, 0)+1))&lt;=46.5,2,1)), IF(INDEX(ERP資料!$G:$G, (MATCH(359, 輔助計算!$G$2:$G$801, 0)+1))&lt;=790,3,IF(INDEX(ERP資料!$G:$G, (MATCH(359, 輔助計算!$G$2:$G$801, 0)+1))&lt;=1181,2,1)))=1,TEXT(INDEX(ERP資料!$G:$G, (MATCH(359, 輔助計算!$G$2:$G$801, 0)+1)),"0.##"),IF(IF(INDEX(ERP資料!$G:$G, (MATCH(359, 輔助計算!$G$2:$G$801, 0)+1))&lt;100, IF(INDEX(ERP資料!$G:$G, (MATCH(359, 輔助計算!$G$2:$G$801, 0)+1))&lt;=31,3,IF(INDEX(ERP資料!$G:$G, (MATCH(359, 輔助計算!$G$2:$G$801, 0)+1))&lt;=46.5,2,1)), IF(INDEX(ERP資料!$G:$G, (MATCH(359, 輔助計算!$G$2:$G$801, 0)+1))&lt;=790,3,IF(INDEX(ERP資料!$G:$G, (MATCH(359, 輔助計算!$G$2:$G$801, 0)+1))&lt;=1181,2,1)))=2,TEXT(INDEX(ERP資料!$G:$G, (MATCH(359, 輔助計算!$G$2:$G$801, 0)+1)),"0.##")&amp;"+"&amp;TEXT(INDEX(ERP資料!$G:$G, (MATCH(359, 輔助計算!$G$2:$G$801, 0)+1)),"0.##"),TEXT(INDEX(ERP資料!$G:$G, (MATCH(359, 輔助計算!$G$2:$G$801, 0)+1)),"0.##")&amp;"+"&amp;TEXT(INDEX(ERP資料!$G:$G, (MATCH(359, 輔助計算!$G$2:$G$801, 0)+1)),"0.##")&amp;"+"&amp;TEXT(INDEX(ERP資料!$G:$G, (MATCH(359, 輔助計算!$G$2:$G$801, 0)+1)),"0.##")))&amp;"-"&amp;INT(INDEX(輔助計算!$D:$D, (MATCH(359, 輔助計算!$G$2:$G$801, 0)+1))/IF(INDEX(ERP資料!$G:$G, (MATCH(359, 輔助計算!$G$2:$G$801, 0)+1))&lt;100, IF(INDEX(ERP資料!$G:$G, (MATCH(359, 輔助計算!$G$2:$G$801, 0)+1))&lt;=31,3,IF(INDEX(ERP資料!$G:$G, (MATCH(359, 輔助計算!$G$2:$G$801, 0)+1))&lt;=46.5,2,1)), IF(INDEX(ERP資料!$G:$G, (MATCH(359, 輔助計算!$G$2:$G$801, 0)+1))&lt;=790,3,IF(INDEX(ERP資料!$G:$G, (MATCH(359, 輔助計算!$G$2:$G$801, 0)+1))&lt;=1181,2,1)))), "")&amp;IF(AND(IF(INT(INDEX(輔助計算!$D:$D, (MATCH(359, 輔助計算!$G$2:$G$801, 0)+1))/IF(INDEX(ERP資料!$G:$G, (MATCH(359, 輔助計算!$G$2:$G$801, 0)+1))&lt;100, IF(INDEX(ERP資料!$G:$G, (MATCH(359, 輔助計算!$G$2:$G$801, 0)+1))&lt;=31,3,IF(INDEX(ERP資料!$G:$G, (MATCH(359, 輔助計算!$G$2:$G$801, 0)+1))&lt;=46.5,2,1)), IF(INDEX(ERP資料!$G:$G, (MATCH(359, 輔助計算!$G$2:$G$801, 0)+1))&lt;=790,3,IF(INDEX(ERP資料!$G:$G, (MATCH(359, 輔助計算!$G$2:$G$801, 0)+1))&lt;=1181,2,1))))&gt;0, IF(IF(INDEX(ERP資料!$G:$G, (MATCH(359, 輔助計算!$G$2:$G$801, 0)+1))&lt;100, IF(INDEX(ERP資料!$G:$G, (MATCH(359, 輔助計算!$G$2:$G$801, 0)+1))&lt;=31,3,IF(INDEX(ERP資料!$G:$G, (MATCH(359, 輔助計算!$G$2:$G$801, 0)+1))&lt;=46.5,2,1)), IF(INDEX(ERP資料!$G:$G, (MATCH(359, 輔助計算!$G$2:$G$801, 0)+1))&lt;=790,3,IF(INDEX(ERP資料!$G:$G, (MATCH(359, 輔助計算!$G$2:$G$801, 0)+1))&lt;=1181,2,1)))=1,TEXT(INDEX(ERP資料!$G:$G, (MATCH(359, 輔助計算!$G$2:$G$801, 0)+1)),"0.##"),IF(IF(INDEX(ERP資料!$G:$G, (MATCH(359, 輔助計算!$G$2:$G$801, 0)+1))&lt;100, IF(INDEX(ERP資料!$G:$G, (MATCH(359, 輔助計算!$G$2:$G$801, 0)+1))&lt;=31,3,IF(INDEX(ERP資料!$G:$G, (MATCH(359, 輔助計算!$G$2:$G$801, 0)+1))&lt;=46.5,2,1)), IF(INDEX(ERP資料!$G:$G, (MATCH(359, 輔助計算!$G$2:$G$801, 0)+1))&lt;=790,3,IF(INDEX(ERP資料!$G:$G, (MATCH(359, 輔助計算!$G$2:$G$801, 0)+1))&lt;=1181,2,1)))=2,TEXT(INDEX(ERP資料!$G:$G, (MATCH(359, 輔助計算!$G$2:$G$801, 0)+1)),"0.##")&amp;"+"&amp;TEXT(INDEX(ERP資料!$G:$G, (MATCH(359, 輔助計算!$G$2:$G$801, 0)+1)),"0.##"),TEXT(INDEX(ERP資料!$G:$G, (MATCH(359, 輔助計算!$G$2:$G$801, 0)+1)),"0.##")&amp;"+"&amp;TEXT(INDEX(ERP資料!$G:$G, (MATCH(359, 輔助計算!$G$2:$G$801, 0)+1)),"0.##")&amp;"+"&amp;TEXT(INDEX(ERP資料!$G:$G, (MATCH(359, 輔助計算!$G$2:$G$801, 0)+1)),"0.##")))&amp;"-"&amp;INT(INDEX(輔助計算!$D:$D, (MATCH(359, 輔助計算!$G$2:$G$801, 0)+1))/IF(INDEX(ERP資料!$G:$G, (MATCH(359, 輔助計算!$G$2:$G$801, 0)+1))&lt;100, IF(INDEX(ERP資料!$G:$G, (MATCH(359, 輔助計算!$G$2:$G$801, 0)+1))&lt;=31,3,IF(INDEX(ERP資料!$G:$G, (MATCH(359, 輔助計算!$G$2:$G$801, 0)+1))&lt;=46.5,2,1)), IF(INDEX(ERP資料!$G:$G, (MATCH(359, 輔助計算!$G$2:$G$801, 0)+1))&lt;=790,3,IF(INDEX(ERP資料!$G:$G, (MATCH(359, 輔助計算!$G$2:$G$801, 0)+1))&lt;=1181,2,1)))), "")&lt;&gt;"",IF(MOD(INDEX(輔助計算!$D:$D, (MATCH(359, 輔助計算!$G$2:$G$801, 0)+1)),IF(INDEX(ERP資料!$G:$G, (MATCH(359, 輔助計算!$G$2:$G$801, 0)+1))&lt;100, IF(INDEX(ERP資料!$G:$G, (MATCH(359, 輔助計算!$G$2:$G$801, 0)+1))&lt;=31,3,IF(INDEX(ERP資料!$G:$G, (MATCH(359, 輔助計算!$G$2:$G$801, 0)+1))&lt;=46.5,2,1)), IF(INDEX(ERP資料!$G:$G, (MATCH(359, 輔助計算!$G$2:$G$801, 0)+1))&lt;=790,3,IF(INDEX(ERP資料!$G:$G, (MATCH(359, 輔助計算!$G$2:$G$801, 0)+1))&lt;=1181,2,1))))=0,"",IF(MOD(INDEX(輔助計算!$D:$D, (MATCH(359, 輔助計算!$G$2:$G$801, 0)+1)),IF(INDEX(ERP資料!$G:$G, (MATCH(359, 輔助計算!$G$2:$G$801, 0)+1))&lt;100, IF(INDEX(ERP資料!$G:$G, (MATCH(359, 輔助計算!$G$2:$G$801, 0)+1))&lt;=31,3,IF(INDEX(ERP資料!$G:$G, (MATCH(359, 輔助計算!$G$2:$G$801, 0)+1))&lt;=46.5,2,1)), IF(INDEX(ERP資料!$G:$G, (MATCH(359, 輔助計算!$G$2:$G$801, 0)+1))&lt;=790,3,IF(INDEX(ERP資料!$G:$G, (MATCH(359, 輔助計算!$G$2:$G$801, 0)+1))&lt;=1181,2,1))))=0,"",IF(MOD(INDEX(輔助計算!$D:$D, (MATCH(359, 輔助計算!$G$2:$G$801, 0)+1)),IF(INDEX(ERP資料!$G:$G, (MATCH(359, 輔助計算!$G$2:$G$801, 0)+1))&lt;100, IF(INDEX(ERP資料!$G:$G, (MATCH(359, 輔助計算!$G$2:$G$801, 0)+1))&lt;=31,3,IF(INDEX(ERP資料!$G:$G, (MATCH(359, 輔助計算!$G$2:$G$801, 0)+1))&lt;=46.5,2,1)), IF(INDEX(ERP資料!$G:$G, (MATCH(359, 輔助計算!$G$2:$G$801, 0)+1))&lt;=790,3,IF(INDEX(ERP資料!$G:$G, (MATCH(359, 輔助計算!$G$2:$G$801, 0)+1))&lt;=1181,2,1))))=1,TEXT(INDEX(ERP資料!$G:$G, (MATCH(359, 輔助計算!$G$2:$G$801, 0)+1)),"0.##"),IF(MOD(INDEX(輔助計算!$D:$D, (MATCH(359, 輔助計算!$G$2:$G$801, 0)+1)),IF(INDEX(ERP資料!$G:$G, (MATCH(359, 輔助計算!$G$2:$G$801, 0)+1))&lt;100, IF(INDEX(ERP資料!$G:$G, (MATCH(359, 輔助計算!$G$2:$G$801, 0)+1))&lt;=31,3,IF(INDEX(ERP資料!$G:$G, (MATCH(359, 輔助計算!$G$2:$G$801, 0)+1))&lt;=46.5,2,1)), IF(INDEX(ERP資料!$G:$G, (MATCH(359, 輔助計算!$G$2:$G$801, 0)+1))&lt;=790,3,IF(INDEX(ERP資料!$G:$G, (MATCH(359, 輔助計算!$G$2:$G$801, 0)+1))&lt;=1181,2,1))))=2,TEXT(INDEX(ERP資料!$G:$G, (MATCH(359, 輔助計算!$G$2:$G$801, 0)+1)),"0.##")&amp;"+"&amp;TEXT(INDEX(ERP資料!$G:$G, (MATCH(359, 輔助計算!$G$2:$G$801, 0)+1)),"0.##"),TEXT(INDEX(ERP資料!$G:$G, (MATCH(359, 輔助計算!$G$2:$G$801, 0)+1)),"0.##")&amp;"+"&amp;TEXT(INDEX(ERP資料!$G:$G, (MATCH(359, 輔助計算!$G$2:$G$801, 0)+1)),"0.##")&amp;"+"&amp;TEXT(INDEX(ERP資料!$G:$G, (MATCH(359, 輔助計算!$G$2:$G$801, 0)+1)),"0.##"))))&amp;"-1")&lt;&gt;""),"  ","")&amp;IF(MOD(INDEX(輔助計算!$D:$D, (MATCH(359, 輔助計算!$G$2:$G$801, 0)+1)),IF(INDEX(ERP資料!$G:$G, (MATCH(359, 輔助計算!$G$2:$G$801, 0)+1))&lt;100, IF(INDEX(ERP資料!$G:$G, (MATCH(359, 輔助計算!$G$2:$G$801, 0)+1))&lt;=31,3,IF(INDEX(ERP資料!$G:$G, (MATCH(359, 輔助計算!$G$2:$G$801, 0)+1))&lt;=46.5,2,1)), IF(INDEX(ERP資料!$G:$G, (MATCH(359, 輔助計算!$G$2:$G$801, 0)+1))&lt;=790,3,IF(INDEX(ERP資料!$G:$G, (MATCH(359, 輔助計算!$G$2:$G$801, 0)+1))&lt;=1181,2,1))))=0,"",IF(MOD(INDEX(輔助計算!$D:$D, (MATCH(359, 輔助計算!$G$2:$G$801, 0)+1)),IF(INDEX(ERP資料!$G:$G, (MATCH(359, 輔助計算!$G$2:$G$801, 0)+1))&lt;100, IF(INDEX(ERP資料!$G:$G, (MATCH(359, 輔助計算!$G$2:$G$801, 0)+1))&lt;=31,3,IF(INDEX(ERP資料!$G:$G, (MATCH(359, 輔助計算!$G$2:$G$801, 0)+1))&lt;=46.5,2,1)), IF(INDEX(ERP資料!$G:$G, (MATCH(359, 輔助計算!$G$2:$G$801, 0)+1))&lt;=790,3,IF(INDEX(ERP資料!$G:$G, (MATCH(359, 輔助計算!$G$2:$G$801, 0)+1))&lt;=1181,2,1))))=0,"",IF(MOD(INDEX(輔助計算!$D:$D, (MATCH(359, 輔助計算!$G$2:$G$801, 0)+1)),IF(INDEX(ERP資料!$G:$G, (MATCH(359, 輔助計算!$G$2:$G$801, 0)+1))&lt;100, IF(INDEX(ERP資料!$G:$G, (MATCH(359, 輔助計算!$G$2:$G$801, 0)+1))&lt;=31,3,IF(INDEX(ERP資料!$G:$G, (MATCH(359, 輔助計算!$G$2:$G$801, 0)+1))&lt;=46.5,2,1)), IF(INDEX(ERP資料!$G:$G, (MATCH(359, 輔助計算!$G$2:$G$801, 0)+1))&lt;=790,3,IF(INDEX(ERP資料!$G:$G, (MATCH(359, 輔助計算!$G$2:$G$801, 0)+1))&lt;=1181,2,1))))=1,TEXT(INDEX(ERP資料!$G:$G, (MATCH(359, 輔助計算!$G$2:$G$801, 0)+1)),"0.##"),IF(MOD(INDEX(輔助計算!$D:$D, (MATCH(359, 輔助計算!$G$2:$G$801, 0)+1)),IF(INDEX(ERP資料!$G:$G, (MATCH(359, 輔助計算!$G$2:$G$801, 0)+1))&lt;100, IF(INDEX(ERP資料!$G:$G, (MATCH(359, 輔助計算!$G$2:$G$801, 0)+1))&lt;=31,3,IF(INDEX(ERP資料!$G:$G, (MATCH(359, 輔助計算!$G$2:$G$801, 0)+1))&lt;=46.5,2,1)), IF(INDEX(ERP資料!$G:$G, (MATCH(359, 輔助計算!$G$2:$G$801, 0)+1))&lt;=790,3,IF(INDEX(ERP資料!$G:$G, (MATCH(359, 輔助計算!$G$2:$G$801, 0)+1))&lt;=1181,2,1))))=2,TEXT(INDEX(ERP資料!$G:$G, (MATCH(359, 輔助計算!$G$2:$G$801, 0)+1)),"0.##")&amp;"+"&amp;TEXT(INDEX(ERP資料!$G:$G, (MATCH(359, 輔助計算!$G$2:$G$801, 0)+1)),"0.##"),TEXT(INDEX(ERP資料!$G:$G, (MATCH(359, 輔助計算!$G$2:$G$801, 0)+1)),"0.##")&amp;"+"&amp;TEXT(INDEX(ERP資料!$G:$G, (MATCH(359, 輔助計算!$G$2:$G$801, 0)+1)),"0.##")&amp;"+"&amp;TEXT(INDEX(ERP資料!$G:$G, (MATCH(359, 輔助計算!$G$2:$G$801, 0)+1)),"0.##"))))&amp;"-1")), ""), "")</f>
        <v/>
      </c>
      <c r="K360" s="16" t="n"/>
      <c r="L360" s="14">
        <f>IFERROR(IF(AND(IFERROR(INDEX(ERP資料!$A:$A, (MATCH(359, 輔助計算!$G$2:$G$801, 0)+1)), "")&lt;&gt;"", IFERROR(INDEX(ERP資料!$A:$A, (MATCH(359, 輔助計算!$G$2:$G$801, 0)+1)), "")&lt;&gt;IFERROR(INDEX(ERP資料!$A:$A, MATCH(358, 輔助計算!$G$2:$G$801, 0)+1), "")), INDEX(ERP資料!$B:$B, (MATCH(359, 輔助計算!$G$2:$G$801, 0)+1)), ""), "")</f>
        <v/>
      </c>
      <c r="M360" s="17" t="n"/>
    </row>
    <row r="361">
      <c r="A361" s="10">
        <f>IFERROR(IF(AND(IFERROR(INDEX(ERP資料!$A:$A, (MATCH(360, 輔助計算!$G$2:$G$801, 0)+1)), "")&lt;&gt;"", IFERROR(INDEX(ERP資料!$A:$A, (MATCH(360, 輔助計算!$G$2:$G$801, 0)+1)), "")&lt;&gt;IFERROR(INDEX(ERP資料!$A:$A, MATCH(359, 輔助計算!$G$2:$G$801, 0)+1), "")), IFERROR(INDEX(ERP資料!$A:$A, (MATCH(360, 輔助計算!$G$2:$G$801, 0)+1)), ""), ""), "")</f>
        <v/>
      </c>
      <c r="B361" s="10">
        <f>IFERROR(IF(AND(IFERROR(INDEX(ERP資料!$A:$A, (MATCH(360, 輔助計算!$G$2:$G$801, 0)+1)), "")&lt;&gt;"", IFERROR(INDEX(ERP資料!$A:$A, (MATCH(360, 輔助計算!$G$2:$G$801, 0)+1)), "")&lt;&gt;IFERROR(INDEX(ERP資料!$A:$A, MATCH(359, 輔助計算!$G$2:$G$801, 0)+1), "")), INDEX(ERP資料!$S:$S, (MATCH(360, 輔助計算!$G$2:$G$801, 0)+1)), ""), "")</f>
        <v/>
      </c>
      <c r="C361" s="19">
        <f>IFERROR(IF(AND(IFERROR(INDEX(ERP資料!$A:$A, (MATCH(360, 輔助計算!$G$2:$G$801, 0)+1)), "")&lt;&gt;"", IFERROR(INDEX(ERP資料!$A:$A, (MATCH(360, 輔助計算!$G$2:$G$801, 0)+1)), "")&lt;&gt;IFERROR(INDEX(ERP資料!$A:$A, MATCH(359, 輔助計算!$G$2:$G$801, 0)+1), "")), IFERROR(VLOOKUP(LEFT(INDEX(ERP資料!$S:$S, (MATCH(360, 輔助計算!$G$2:$G$801, 0)+1)), 4), 紙管對照表!$A:$C, 3, FALSE), ""), ""), "")</f>
        <v/>
      </c>
      <c r="D361" s="16" t="n"/>
      <c r="E361" s="10">
        <f>IFERROR(IF(INDEX(ERP資料!$H:$H, (MATCH(360, 輔助計算!$G$2:$G$801, 0)+1))="","",INDEX(ERP資料!$H:$H, (MATCH(360, 輔助計算!$G$2:$G$801, 0)+1))), "")</f>
        <v/>
      </c>
      <c r="F361" s="10">
        <f>IFERROR(IF(INDEX(ERP資料!$E:$E, (MATCH(360, 輔助計算!$G$2:$G$801, 0)+1))="","",TRIM(INDEX(ERP資料!$E:$E, (MATCH(360, 輔助計算!$G$2:$G$801, 0)+1)))), "")</f>
        <v/>
      </c>
      <c r="G361" s="10">
        <f>IFERROR(IF(INDEX(ERP資料!$F:$F, (MATCH(360, 輔助計算!$G$2:$G$801, 0)+1))="","",INDEX(ERP資料!$F:$F, (MATCH(360, 輔助計算!$G$2:$G$801, 0)+1))), "")</f>
        <v/>
      </c>
      <c r="H361" s="10">
        <f>IFERROR(IF(INDEX(ERP資料!$G:$G, (MATCH(360, 輔助計算!$G$2:$G$801, 0)+1))="","",INDEX(ERP資料!$G:$G, (MATCH(360, 輔助計算!$G$2:$G$801, 0)+1))), "")</f>
        <v/>
      </c>
      <c r="I361" s="15">
        <f>IFERROR(INDEX(輔助計算!$D:$D, (MATCH(360, 輔助計算!$G$2:$G$801, 0)+1)), "")</f>
        <v/>
      </c>
      <c r="J361" s="15">
        <f>IFERROR(IF(AND(INDEX(輔助計算!$D:$D, (MATCH(360, 輔助計算!$G$2:$G$801, 0)+1))&lt;&gt;"", INDEX(ERP資料!$G:$G, (MATCH(360, 輔助計算!$G$2:$G$801, 0)+1))&lt;&gt;""), TRIM(IF(INT(INDEX(輔助計算!$D:$D, (MATCH(360, 輔助計算!$G$2:$G$801, 0)+1))/IF(INDEX(ERP資料!$G:$G, (MATCH(360, 輔助計算!$G$2:$G$801, 0)+1))&lt;100, IF(INDEX(ERP資料!$G:$G, (MATCH(360, 輔助計算!$G$2:$G$801, 0)+1))&lt;=31,3,IF(INDEX(ERP資料!$G:$G, (MATCH(360, 輔助計算!$G$2:$G$801, 0)+1))&lt;=46.5,2,1)), IF(INDEX(ERP資料!$G:$G, (MATCH(360, 輔助計算!$G$2:$G$801, 0)+1))&lt;=790,3,IF(INDEX(ERP資料!$G:$G, (MATCH(360, 輔助計算!$G$2:$G$801, 0)+1))&lt;=1181,2,1))))&gt;0, IF(IF(INDEX(ERP資料!$G:$G, (MATCH(360, 輔助計算!$G$2:$G$801, 0)+1))&lt;100, IF(INDEX(ERP資料!$G:$G, (MATCH(360, 輔助計算!$G$2:$G$801, 0)+1))&lt;=31,3,IF(INDEX(ERP資料!$G:$G, (MATCH(360, 輔助計算!$G$2:$G$801, 0)+1))&lt;=46.5,2,1)), IF(INDEX(ERP資料!$G:$G, (MATCH(360, 輔助計算!$G$2:$G$801, 0)+1))&lt;=790,3,IF(INDEX(ERP資料!$G:$G, (MATCH(360, 輔助計算!$G$2:$G$801, 0)+1))&lt;=1181,2,1)))=1,TEXT(INDEX(ERP資料!$G:$G, (MATCH(360, 輔助計算!$G$2:$G$801, 0)+1)),"0.##"),IF(IF(INDEX(ERP資料!$G:$G, (MATCH(360, 輔助計算!$G$2:$G$801, 0)+1))&lt;100, IF(INDEX(ERP資料!$G:$G, (MATCH(360, 輔助計算!$G$2:$G$801, 0)+1))&lt;=31,3,IF(INDEX(ERP資料!$G:$G, (MATCH(360, 輔助計算!$G$2:$G$801, 0)+1))&lt;=46.5,2,1)), IF(INDEX(ERP資料!$G:$G, (MATCH(360, 輔助計算!$G$2:$G$801, 0)+1))&lt;=790,3,IF(INDEX(ERP資料!$G:$G, (MATCH(360, 輔助計算!$G$2:$G$801, 0)+1))&lt;=1181,2,1)))=2,TEXT(INDEX(ERP資料!$G:$G, (MATCH(360, 輔助計算!$G$2:$G$801, 0)+1)),"0.##")&amp;"+"&amp;TEXT(INDEX(ERP資料!$G:$G, (MATCH(360, 輔助計算!$G$2:$G$801, 0)+1)),"0.##"),TEXT(INDEX(ERP資料!$G:$G, (MATCH(360, 輔助計算!$G$2:$G$801, 0)+1)),"0.##")&amp;"+"&amp;TEXT(INDEX(ERP資料!$G:$G, (MATCH(360, 輔助計算!$G$2:$G$801, 0)+1)),"0.##")&amp;"+"&amp;TEXT(INDEX(ERP資料!$G:$G, (MATCH(360, 輔助計算!$G$2:$G$801, 0)+1)),"0.##")))&amp;"-"&amp;INT(INDEX(輔助計算!$D:$D, (MATCH(360, 輔助計算!$G$2:$G$801, 0)+1))/IF(INDEX(ERP資料!$G:$G, (MATCH(360, 輔助計算!$G$2:$G$801, 0)+1))&lt;100, IF(INDEX(ERP資料!$G:$G, (MATCH(360, 輔助計算!$G$2:$G$801, 0)+1))&lt;=31,3,IF(INDEX(ERP資料!$G:$G, (MATCH(360, 輔助計算!$G$2:$G$801, 0)+1))&lt;=46.5,2,1)), IF(INDEX(ERP資料!$G:$G, (MATCH(360, 輔助計算!$G$2:$G$801, 0)+1))&lt;=790,3,IF(INDEX(ERP資料!$G:$G, (MATCH(360, 輔助計算!$G$2:$G$801, 0)+1))&lt;=1181,2,1)))), "")&amp;IF(AND(IF(INT(INDEX(輔助計算!$D:$D, (MATCH(360, 輔助計算!$G$2:$G$801, 0)+1))/IF(INDEX(ERP資料!$G:$G, (MATCH(360, 輔助計算!$G$2:$G$801, 0)+1))&lt;100, IF(INDEX(ERP資料!$G:$G, (MATCH(360, 輔助計算!$G$2:$G$801, 0)+1))&lt;=31,3,IF(INDEX(ERP資料!$G:$G, (MATCH(360, 輔助計算!$G$2:$G$801, 0)+1))&lt;=46.5,2,1)), IF(INDEX(ERP資料!$G:$G, (MATCH(360, 輔助計算!$G$2:$G$801, 0)+1))&lt;=790,3,IF(INDEX(ERP資料!$G:$G, (MATCH(360, 輔助計算!$G$2:$G$801, 0)+1))&lt;=1181,2,1))))&gt;0, IF(IF(INDEX(ERP資料!$G:$G, (MATCH(360, 輔助計算!$G$2:$G$801, 0)+1))&lt;100, IF(INDEX(ERP資料!$G:$G, (MATCH(360, 輔助計算!$G$2:$G$801, 0)+1))&lt;=31,3,IF(INDEX(ERP資料!$G:$G, (MATCH(360, 輔助計算!$G$2:$G$801, 0)+1))&lt;=46.5,2,1)), IF(INDEX(ERP資料!$G:$G, (MATCH(360, 輔助計算!$G$2:$G$801, 0)+1))&lt;=790,3,IF(INDEX(ERP資料!$G:$G, (MATCH(360, 輔助計算!$G$2:$G$801, 0)+1))&lt;=1181,2,1)))=1,TEXT(INDEX(ERP資料!$G:$G, (MATCH(360, 輔助計算!$G$2:$G$801, 0)+1)),"0.##"),IF(IF(INDEX(ERP資料!$G:$G, (MATCH(360, 輔助計算!$G$2:$G$801, 0)+1))&lt;100, IF(INDEX(ERP資料!$G:$G, (MATCH(360, 輔助計算!$G$2:$G$801, 0)+1))&lt;=31,3,IF(INDEX(ERP資料!$G:$G, (MATCH(360, 輔助計算!$G$2:$G$801, 0)+1))&lt;=46.5,2,1)), IF(INDEX(ERP資料!$G:$G, (MATCH(360, 輔助計算!$G$2:$G$801, 0)+1))&lt;=790,3,IF(INDEX(ERP資料!$G:$G, (MATCH(360, 輔助計算!$G$2:$G$801, 0)+1))&lt;=1181,2,1)))=2,TEXT(INDEX(ERP資料!$G:$G, (MATCH(360, 輔助計算!$G$2:$G$801, 0)+1)),"0.##")&amp;"+"&amp;TEXT(INDEX(ERP資料!$G:$G, (MATCH(360, 輔助計算!$G$2:$G$801, 0)+1)),"0.##"),TEXT(INDEX(ERP資料!$G:$G, (MATCH(360, 輔助計算!$G$2:$G$801, 0)+1)),"0.##")&amp;"+"&amp;TEXT(INDEX(ERP資料!$G:$G, (MATCH(360, 輔助計算!$G$2:$G$801, 0)+1)),"0.##")&amp;"+"&amp;TEXT(INDEX(ERP資料!$G:$G, (MATCH(360, 輔助計算!$G$2:$G$801, 0)+1)),"0.##")))&amp;"-"&amp;INT(INDEX(輔助計算!$D:$D, (MATCH(360, 輔助計算!$G$2:$G$801, 0)+1))/IF(INDEX(ERP資料!$G:$G, (MATCH(360, 輔助計算!$G$2:$G$801, 0)+1))&lt;100, IF(INDEX(ERP資料!$G:$G, (MATCH(360, 輔助計算!$G$2:$G$801, 0)+1))&lt;=31,3,IF(INDEX(ERP資料!$G:$G, (MATCH(360, 輔助計算!$G$2:$G$801, 0)+1))&lt;=46.5,2,1)), IF(INDEX(ERP資料!$G:$G, (MATCH(360, 輔助計算!$G$2:$G$801, 0)+1))&lt;=790,3,IF(INDEX(ERP資料!$G:$G, (MATCH(360, 輔助計算!$G$2:$G$801, 0)+1))&lt;=1181,2,1)))), "")&lt;&gt;"",IF(MOD(INDEX(輔助計算!$D:$D, (MATCH(360, 輔助計算!$G$2:$G$801, 0)+1)),IF(INDEX(ERP資料!$G:$G, (MATCH(360, 輔助計算!$G$2:$G$801, 0)+1))&lt;100, IF(INDEX(ERP資料!$G:$G, (MATCH(360, 輔助計算!$G$2:$G$801, 0)+1))&lt;=31,3,IF(INDEX(ERP資料!$G:$G, (MATCH(360, 輔助計算!$G$2:$G$801, 0)+1))&lt;=46.5,2,1)), IF(INDEX(ERP資料!$G:$G, (MATCH(360, 輔助計算!$G$2:$G$801, 0)+1))&lt;=790,3,IF(INDEX(ERP資料!$G:$G, (MATCH(360, 輔助計算!$G$2:$G$801, 0)+1))&lt;=1181,2,1))))=0,"",IF(MOD(INDEX(輔助計算!$D:$D, (MATCH(360, 輔助計算!$G$2:$G$801, 0)+1)),IF(INDEX(ERP資料!$G:$G, (MATCH(360, 輔助計算!$G$2:$G$801, 0)+1))&lt;100, IF(INDEX(ERP資料!$G:$G, (MATCH(360, 輔助計算!$G$2:$G$801, 0)+1))&lt;=31,3,IF(INDEX(ERP資料!$G:$G, (MATCH(360, 輔助計算!$G$2:$G$801, 0)+1))&lt;=46.5,2,1)), IF(INDEX(ERP資料!$G:$G, (MATCH(360, 輔助計算!$G$2:$G$801, 0)+1))&lt;=790,3,IF(INDEX(ERP資料!$G:$G, (MATCH(360, 輔助計算!$G$2:$G$801, 0)+1))&lt;=1181,2,1))))=0,"",IF(MOD(INDEX(輔助計算!$D:$D, (MATCH(360, 輔助計算!$G$2:$G$801, 0)+1)),IF(INDEX(ERP資料!$G:$G, (MATCH(360, 輔助計算!$G$2:$G$801, 0)+1))&lt;100, IF(INDEX(ERP資料!$G:$G, (MATCH(360, 輔助計算!$G$2:$G$801, 0)+1))&lt;=31,3,IF(INDEX(ERP資料!$G:$G, (MATCH(360, 輔助計算!$G$2:$G$801, 0)+1))&lt;=46.5,2,1)), IF(INDEX(ERP資料!$G:$G, (MATCH(360, 輔助計算!$G$2:$G$801, 0)+1))&lt;=790,3,IF(INDEX(ERP資料!$G:$G, (MATCH(360, 輔助計算!$G$2:$G$801, 0)+1))&lt;=1181,2,1))))=1,TEXT(INDEX(ERP資料!$G:$G, (MATCH(360, 輔助計算!$G$2:$G$801, 0)+1)),"0.##"),IF(MOD(INDEX(輔助計算!$D:$D, (MATCH(360, 輔助計算!$G$2:$G$801, 0)+1)),IF(INDEX(ERP資料!$G:$G, (MATCH(360, 輔助計算!$G$2:$G$801, 0)+1))&lt;100, IF(INDEX(ERP資料!$G:$G, (MATCH(360, 輔助計算!$G$2:$G$801, 0)+1))&lt;=31,3,IF(INDEX(ERP資料!$G:$G, (MATCH(360, 輔助計算!$G$2:$G$801, 0)+1))&lt;=46.5,2,1)), IF(INDEX(ERP資料!$G:$G, (MATCH(360, 輔助計算!$G$2:$G$801, 0)+1))&lt;=790,3,IF(INDEX(ERP資料!$G:$G, (MATCH(360, 輔助計算!$G$2:$G$801, 0)+1))&lt;=1181,2,1))))=2,TEXT(INDEX(ERP資料!$G:$G, (MATCH(360, 輔助計算!$G$2:$G$801, 0)+1)),"0.##")&amp;"+"&amp;TEXT(INDEX(ERP資料!$G:$G, (MATCH(360, 輔助計算!$G$2:$G$801, 0)+1)),"0.##"),TEXT(INDEX(ERP資料!$G:$G, (MATCH(360, 輔助計算!$G$2:$G$801, 0)+1)),"0.##")&amp;"+"&amp;TEXT(INDEX(ERP資料!$G:$G, (MATCH(360, 輔助計算!$G$2:$G$801, 0)+1)),"0.##")&amp;"+"&amp;TEXT(INDEX(ERP資料!$G:$G, (MATCH(360, 輔助計算!$G$2:$G$801, 0)+1)),"0.##"))))&amp;"-1")&lt;&gt;""),"  ","")&amp;IF(MOD(INDEX(輔助計算!$D:$D, (MATCH(360, 輔助計算!$G$2:$G$801, 0)+1)),IF(INDEX(ERP資料!$G:$G, (MATCH(360, 輔助計算!$G$2:$G$801, 0)+1))&lt;100, IF(INDEX(ERP資料!$G:$G, (MATCH(360, 輔助計算!$G$2:$G$801, 0)+1))&lt;=31,3,IF(INDEX(ERP資料!$G:$G, (MATCH(360, 輔助計算!$G$2:$G$801, 0)+1))&lt;=46.5,2,1)), IF(INDEX(ERP資料!$G:$G, (MATCH(360, 輔助計算!$G$2:$G$801, 0)+1))&lt;=790,3,IF(INDEX(ERP資料!$G:$G, (MATCH(360, 輔助計算!$G$2:$G$801, 0)+1))&lt;=1181,2,1))))=0,"",IF(MOD(INDEX(輔助計算!$D:$D, (MATCH(360, 輔助計算!$G$2:$G$801, 0)+1)),IF(INDEX(ERP資料!$G:$G, (MATCH(360, 輔助計算!$G$2:$G$801, 0)+1))&lt;100, IF(INDEX(ERP資料!$G:$G, (MATCH(360, 輔助計算!$G$2:$G$801, 0)+1))&lt;=31,3,IF(INDEX(ERP資料!$G:$G, (MATCH(360, 輔助計算!$G$2:$G$801, 0)+1))&lt;=46.5,2,1)), IF(INDEX(ERP資料!$G:$G, (MATCH(360, 輔助計算!$G$2:$G$801, 0)+1))&lt;=790,3,IF(INDEX(ERP資料!$G:$G, (MATCH(360, 輔助計算!$G$2:$G$801, 0)+1))&lt;=1181,2,1))))=0,"",IF(MOD(INDEX(輔助計算!$D:$D, (MATCH(360, 輔助計算!$G$2:$G$801, 0)+1)),IF(INDEX(ERP資料!$G:$G, (MATCH(360, 輔助計算!$G$2:$G$801, 0)+1))&lt;100, IF(INDEX(ERP資料!$G:$G, (MATCH(360, 輔助計算!$G$2:$G$801, 0)+1))&lt;=31,3,IF(INDEX(ERP資料!$G:$G, (MATCH(360, 輔助計算!$G$2:$G$801, 0)+1))&lt;=46.5,2,1)), IF(INDEX(ERP資料!$G:$G, (MATCH(360, 輔助計算!$G$2:$G$801, 0)+1))&lt;=790,3,IF(INDEX(ERP資料!$G:$G, (MATCH(360, 輔助計算!$G$2:$G$801, 0)+1))&lt;=1181,2,1))))=1,TEXT(INDEX(ERP資料!$G:$G, (MATCH(360, 輔助計算!$G$2:$G$801, 0)+1)),"0.##"),IF(MOD(INDEX(輔助計算!$D:$D, (MATCH(360, 輔助計算!$G$2:$G$801, 0)+1)),IF(INDEX(ERP資料!$G:$G, (MATCH(360, 輔助計算!$G$2:$G$801, 0)+1))&lt;100, IF(INDEX(ERP資料!$G:$G, (MATCH(360, 輔助計算!$G$2:$G$801, 0)+1))&lt;=31,3,IF(INDEX(ERP資料!$G:$G, (MATCH(360, 輔助計算!$G$2:$G$801, 0)+1))&lt;=46.5,2,1)), IF(INDEX(ERP資料!$G:$G, (MATCH(360, 輔助計算!$G$2:$G$801, 0)+1))&lt;=790,3,IF(INDEX(ERP資料!$G:$G, (MATCH(360, 輔助計算!$G$2:$G$801, 0)+1))&lt;=1181,2,1))))=2,TEXT(INDEX(ERP資料!$G:$G, (MATCH(360, 輔助計算!$G$2:$G$801, 0)+1)),"0.##")&amp;"+"&amp;TEXT(INDEX(ERP資料!$G:$G, (MATCH(360, 輔助計算!$G$2:$G$801, 0)+1)),"0.##"),TEXT(INDEX(ERP資料!$G:$G, (MATCH(360, 輔助計算!$G$2:$G$801, 0)+1)),"0.##")&amp;"+"&amp;TEXT(INDEX(ERP資料!$G:$G, (MATCH(360, 輔助計算!$G$2:$G$801, 0)+1)),"0.##")&amp;"+"&amp;TEXT(INDEX(ERP資料!$G:$G, (MATCH(360, 輔助計算!$G$2:$G$801, 0)+1)),"0.##"))))&amp;"-1")), ""), "")</f>
        <v/>
      </c>
      <c r="K361" s="16" t="n"/>
      <c r="L361" s="14">
        <f>IFERROR(IF(AND(IFERROR(INDEX(ERP資料!$A:$A, (MATCH(360, 輔助計算!$G$2:$G$801, 0)+1)), "")&lt;&gt;"", IFERROR(INDEX(ERP資料!$A:$A, (MATCH(360, 輔助計算!$G$2:$G$801, 0)+1)), "")&lt;&gt;IFERROR(INDEX(ERP資料!$A:$A, MATCH(359, 輔助計算!$G$2:$G$801, 0)+1), "")), INDEX(ERP資料!$B:$B, (MATCH(360, 輔助計算!$G$2:$G$801, 0)+1)), ""), "")</f>
        <v/>
      </c>
      <c r="M361" s="17" t="n"/>
    </row>
    <row r="362">
      <c r="A362" s="10">
        <f>IFERROR(IF(AND(IFERROR(INDEX(ERP資料!$A:$A, (MATCH(361, 輔助計算!$G$2:$G$801, 0)+1)), "")&lt;&gt;"", IFERROR(INDEX(ERP資料!$A:$A, (MATCH(361, 輔助計算!$G$2:$G$801, 0)+1)), "")&lt;&gt;IFERROR(INDEX(ERP資料!$A:$A, MATCH(360, 輔助計算!$G$2:$G$801, 0)+1), "")), IFERROR(INDEX(ERP資料!$A:$A, (MATCH(361, 輔助計算!$G$2:$G$801, 0)+1)), ""), ""), "")</f>
        <v/>
      </c>
      <c r="B362" s="10">
        <f>IFERROR(IF(AND(IFERROR(INDEX(ERP資料!$A:$A, (MATCH(361, 輔助計算!$G$2:$G$801, 0)+1)), "")&lt;&gt;"", IFERROR(INDEX(ERP資料!$A:$A, (MATCH(361, 輔助計算!$G$2:$G$801, 0)+1)), "")&lt;&gt;IFERROR(INDEX(ERP資料!$A:$A, MATCH(360, 輔助計算!$G$2:$G$801, 0)+1), "")), INDEX(ERP資料!$S:$S, (MATCH(361, 輔助計算!$G$2:$G$801, 0)+1)), ""), "")</f>
        <v/>
      </c>
      <c r="C362" s="19">
        <f>IFERROR(IF(AND(IFERROR(INDEX(ERP資料!$A:$A, (MATCH(361, 輔助計算!$G$2:$G$801, 0)+1)), "")&lt;&gt;"", IFERROR(INDEX(ERP資料!$A:$A, (MATCH(361, 輔助計算!$G$2:$G$801, 0)+1)), "")&lt;&gt;IFERROR(INDEX(ERP資料!$A:$A, MATCH(360, 輔助計算!$G$2:$G$801, 0)+1), "")), IFERROR(VLOOKUP(LEFT(INDEX(ERP資料!$S:$S, (MATCH(361, 輔助計算!$G$2:$G$801, 0)+1)), 4), 紙管對照表!$A:$C, 3, FALSE), ""), ""), "")</f>
        <v/>
      </c>
      <c r="D362" s="16" t="n"/>
      <c r="E362" s="10">
        <f>IFERROR(IF(INDEX(ERP資料!$H:$H, (MATCH(361, 輔助計算!$G$2:$G$801, 0)+1))="","",INDEX(ERP資料!$H:$H, (MATCH(361, 輔助計算!$G$2:$G$801, 0)+1))), "")</f>
        <v/>
      </c>
      <c r="F362" s="10">
        <f>IFERROR(IF(INDEX(ERP資料!$E:$E, (MATCH(361, 輔助計算!$G$2:$G$801, 0)+1))="","",TRIM(INDEX(ERP資料!$E:$E, (MATCH(361, 輔助計算!$G$2:$G$801, 0)+1)))), "")</f>
        <v/>
      </c>
      <c r="G362" s="10">
        <f>IFERROR(IF(INDEX(ERP資料!$F:$F, (MATCH(361, 輔助計算!$G$2:$G$801, 0)+1))="","",INDEX(ERP資料!$F:$F, (MATCH(361, 輔助計算!$G$2:$G$801, 0)+1))), "")</f>
        <v/>
      </c>
      <c r="H362" s="10">
        <f>IFERROR(IF(INDEX(ERP資料!$G:$G, (MATCH(361, 輔助計算!$G$2:$G$801, 0)+1))="","",INDEX(ERP資料!$G:$G, (MATCH(361, 輔助計算!$G$2:$G$801, 0)+1))), "")</f>
        <v/>
      </c>
      <c r="I362" s="15">
        <f>IFERROR(INDEX(輔助計算!$D:$D, (MATCH(361, 輔助計算!$G$2:$G$801, 0)+1)), "")</f>
        <v/>
      </c>
      <c r="J362" s="15">
        <f>IFERROR(IF(AND(INDEX(輔助計算!$D:$D, (MATCH(361, 輔助計算!$G$2:$G$801, 0)+1))&lt;&gt;"", INDEX(ERP資料!$G:$G, (MATCH(361, 輔助計算!$G$2:$G$801, 0)+1))&lt;&gt;""), TRIM(IF(INT(INDEX(輔助計算!$D:$D, (MATCH(361, 輔助計算!$G$2:$G$801, 0)+1))/IF(INDEX(ERP資料!$G:$G, (MATCH(361, 輔助計算!$G$2:$G$801, 0)+1))&lt;100, IF(INDEX(ERP資料!$G:$G, (MATCH(361, 輔助計算!$G$2:$G$801, 0)+1))&lt;=31,3,IF(INDEX(ERP資料!$G:$G, (MATCH(361, 輔助計算!$G$2:$G$801, 0)+1))&lt;=46.5,2,1)), IF(INDEX(ERP資料!$G:$G, (MATCH(361, 輔助計算!$G$2:$G$801, 0)+1))&lt;=790,3,IF(INDEX(ERP資料!$G:$G, (MATCH(361, 輔助計算!$G$2:$G$801, 0)+1))&lt;=1181,2,1))))&gt;0, IF(IF(INDEX(ERP資料!$G:$G, (MATCH(361, 輔助計算!$G$2:$G$801, 0)+1))&lt;100, IF(INDEX(ERP資料!$G:$G, (MATCH(361, 輔助計算!$G$2:$G$801, 0)+1))&lt;=31,3,IF(INDEX(ERP資料!$G:$G, (MATCH(361, 輔助計算!$G$2:$G$801, 0)+1))&lt;=46.5,2,1)), IF(INDEX(ERP資料!$G:$G, (MATCH(361, 輔助計算!$G$2:$G$801, 0)+1))&lt;=790,3,IF(INDEX(ERP資料!$G:$G, (MATCH(361, 輔助計算!$G$2:$G$801, 0)+1))&lt;=1181,2,1)))=1,TEXT(INDEX(ERP資料!$G:$G, (MATCH(361, 輔助計算!$G$2:$G$801, 0)+1)),"0.##"),IF(IF(INDEX(ERP資料!$G:$G, (MATCH(361, 輔助計算!$G$2:$G$801, 0)+1))&lt;100, IF(INDEX(ERP資料!$G:$G, (MATCH(361, 輔助計算!$G$2:$G$801, 0)+1))&lt;=31,3,IF(INDEX(ERP資料!$G:$G, (MATCH(361, 輔助計算!$G$2:$G$801, 0)+1))&lt;=46.5,2,1)), IF(INDEX(ERP資料!$G:$G, (MATCH(361, 輔助計算!$G$2:$G$801, 0)+1))&lt;=790,3,IF(INDEX(ERP資料!$G:$G, (MATCH(361, 輔助計算!$G$2:$G$801, 0)+1))&lt;=1181,2,1)))=2,TEXT(INDEX(ERP資料!$G:$G, (MATCH(361, 輔助計算!$G$2:$G$801, 0)+1)),"0.##")&amp;"+"&amp;TEXT(INDEX(ERP資料!$G:$G, (MATCH(361, 輔助計算!$G$2:$G$801, 0)+1)),"0.##"),TEXT(INDEX(ERP資料!$G:$G, (MATCH(361, 輔助計算!$G$2:$G$801, 0)+1)),"0.##")&amp;"+"&amp;TEXT(INDEX(ERP資料!$G:$G, (MATCH(361, 輔助計算!$G$2:$G$801, 0)+1)),"0.##")&amp;"+"&amp;TEXT(INDEX(ERP資料!$G:$G, (MATCH(361, 輔助計算!$G$2:$G$801, 0)+1)),"0.##")))&amp;"-"&amp;INT(INDEX(輔助計算!$D:$D, (MATCH(361, 輔助計算!$G$2:$G$801, 0)+1))/IF(INDEX(ERP資料!$G:$G, (MATCH(361, 輔助計算!$G$2:$G$801, 0)+1))&lt;100, IF(INDEX(ERP資料!$G:$G, (MATCH(361, 輔助計算!$G$2:$G$801, 0)+1))&lt;=31,3,IF(INDEX(ERP資料!$G:$G, (MATCH(361, 輔助計算!$G$2:$G$801, 0)+1))&lt;=46.5,2,1)), IF(INDEX(ERP資料!$G:$G, (MATCH(361, 輔助計算!$G$2:$G$801, 0)+1))&lt;=790,3,IF(INDEX(ERP資料!$G:$G, (MATCH(361, 輔助計算!$G$2:$G$801, 0)+1))&lt;=1181,2,1)))), "")&amp;IF(AND(IF(INT(INDEX(輔助計算!$D:$D, (MATCH(361, 輔助計算!$G$2:$G$801, 0)+1))/IF(INDEX(ERP資料!$G:$G, (MATCH(361, 輔助計算!$G$2:$G$801, 0)+1))&lt;100, IF(INDEX(ERP資料!$G:$G, (MATCH(361, 輔助計算!$G$2:$G$801, 0)+1))&lt;=31,3,IF(INDEX(ERP資料!$G:$G, (MATCH(361, 輔助計算!$G$2:$G$801, 0)+1))&lt;=46.5,2,1)), IF(INDEX(ERP資料!$G:$G, (MATCH(361, 輔助計算!$G$2:$G$801, 0)+1))&lt;=790,3,IF(INDEX(ERP資料!$G:$G, (MATCH(361, 輔助計算!$G$2:$G$801, 0)+1))&lt;=1181,2,1))))&gt;0, IF(IF(INDEX(ERP資料!$G:$G, (MATCH(361, 輔助計算!$G$2:$G$801, 0)+1))&lt;100, IF(INDEX(ERP資料!$G:$G, (MATCH(361, 輔助計算!$G$2:$G$801, 0)+1))&lt;=31,3,IF(INDEX(ERP資料!$G:$G, (MATCH(361, 輔助計算!$G$2:$G$801, 0)+1))&lt;=46.5,2,1)), IF(INDEX(ERP資料!$G:$G, (MATCH(361, 輔助計算!$G$2:$G$801, 0)+1))&lt;=790,3,IF(INDEX(ERP資料!$G:$G, (MATCH(361, 輔助計算!$G$2:$G$801, 0)+1))&lt;=1181,2,1)))=1,TEXT(INDEX(ERP資料!$G:$G, (MATCH(361, 輔助計算!$G$2:$G$801, 0)+1)),"0.##"),IF(IF(INDEX(ERP資料!$G:$G, (MATCH(361, 輔助計算!$G$2:$G$801, 0)+1))&lt;100, IF(INDEX(ERP資料!$G:$G, (MATCH(361, 輔助計算!$G$2:$G$801, 0)+1))&lt;=31,3,IF(INDEX(ERP資料!$G:$G, (MATCH(361, 輔助計算!$G$2:$G$801, 0)+1))&lt;=46.5,2,1)), IF(INDEX(ERP資料!$G:$G, (MATCH(361, 輔助計算!$G$2:$G$801, 0)+1))&lt;=790,3,IF(INDEX(ERP資料!$G:$G, (MATCH(361, 輔助計算!$G$2:$G$801, 0)+1))&lt;=1181,2,1)))=2,TEXT(INDEX(ERP資料!$G:$G, (MATCH(361, 輔助計算!$G$2:$G$801, 0)+1)),"0.##")&amp;"+"&amp;TEXT(INDEX(ERP資料!$G:$G, (MATCH(361, 輔助計算!$G$2:$G$801, 0)+1)),"0.##"),TEXT(INDEX(ERP資料!$G:$G, (MATCH(361, 輔助計算!$G$2:$G$801, 0)+1)),"0.##")&amp;"+"&amp;TEXT(INDEX(ERP資料!$G:$G, (MATCH(361, 輔助計算!$G$2:$G$801, 0)+1)),"0.##")&amp;"+"&amp;TEXT(INDEX(ERP資料!$G:$G, (MATCH(361, 輔助計算!$G$2:$G$801, 0)+1)),"0.##")))&amp;"-"&amp;INT(INDEX(輔助計算!$D:$D, (MATCH(361, 輔助計算!$G$2:$G$801, 0)+1))/IF(INDEX(ERP資料!$G:$G, (MATCH(361, 輔助計算!$G$2:$G$801, 0)+1))&lt;100, IF(INDEX(ERP資料!$G:$G, (MATCH(361, 輔助計算!$G$2:$G$801, 0)+1))&lt;=31,3,IF(INDEX(ERP資料!$G:$G, (MATCH(361, 輔助計算!$G$2:$G$801, 0)+1))&lt;=46.5,2,1)), IF(INDEX(ERP資料!$G:$G, (MATCH(361, 輔助計算!$G$2:$G$801, 0)+1))&lt;=790,3,IF(INDEX(ERP資料!$G:$G, (MATCH(361, 輔助計算!$G$2:$G$801, 0)+1))&lt;=1181,2,1)))), "")&lt;&gt;"",IF(MOD(INDEX(輔助計算!$D:$D, (MATCH(361, 輔助計算!$G$2:$G$801, 0)+1)),IF(INDEX(ERP資料!$G:$G, (MATCH(361, 輔助計算!$G$2:$G$801, 0)+1))&lt;100, IF(INDEX(ERP資料!$G:$G, (MATCH(361, 輔助計算!$G$2:$G$801, 0)+1))&lt;=31,3,IF(INDEX(ERP資料!$G:$G, (MATCH(361, 輔助計算!$G$2:$G$801, 0)+1))&lt;=46.5,2,1)), IF(INDEX(ERP資料!$G:$G, (MATCH(361, 輔助計算!$G$2:$G$801, 0)+1))&lt;=790,3,IF(INDEX(ERP資料!$G:$G, (MATCH(361, 輔助計算!$G$2:$G$801, 0)+1))&lt;=1181,2,1))))=0,"",IF(MOD(INDEX(輔助計算!$D:$D, (MATCH(361, 輔助計算!$G$2:$G$801, 0)+1)),IF(INDEX(ERP資料!$G:$G, (MATCH(361, 輔助計算!$G$2:$G$801, 0)+1))&lt;100, IF(INDEX(ERP資料!$G:$G, (MATCH(361, 輔助計算!$G$2:$G$801, 0)+1))&lt;=31,3,IF(INDEX(ERP資料!$G:$G, (MATCH(361, 輔助計算!$G$2:$G$801, 0)+1))&lt;=46.5,2,1)), IF(INDEX(ERP資料!$G:$G, (MATCH(361, 輔助計算!$G$2:$G$801, 0)+1))&lt;=790,3,IF(INDEX(ERP資料!$G:$G, (MATCH(361, 輔助計算!$G$2:$G$801, 0)+1))&lt;=1181,2,1))))=0,"",IF(MOD(INDEX(輔助計算!$D:$D, (MATCH(361, 輔助計算!$G$2:$G$801, 0)+1)),IF(INDEX(ERP資料!$G:$G, (MATCH(361, 輔助計算!$G$2:$G$801, 0)+1))&lt;100, IF(INDEX(ERP資料!$G:$G, (MATCH(361, 輔助計算!$G$2:$G$801, 0)+1))&lt;=31,3,IF(INDEX(ERP資料!$G:$G, (MATCH(361, 輔助計算!$G$2:$G$801, 0)+1))&lt;=46.5,2,1)), IF(INDEX(ERP資料!$G:$G, (MATCH(361, 輔助計算!$G$2:$G$801, 0)+1))&lt;=790,3,IF(INDEX(ERP資料!$G:$G, (MATCH(361, 輔助計算!$G$2:$G$801, 0)+1))&lt;=1181,2,1))))=1,TEXT(INDEX(ERP資料!$G:$G, (MATCH(361, 輔助計算!$G$2:$G$801, 0)+1)),"0.##"),IF(MOD(INDEX(輔助計算!$D:$D, (MATCH(361, 輔助計算!$G$2:$G$801, 0)+1)),IF(INDEX(ERP資料!$G:$G, (MATCH(361, 輔助計算!$G$2:$G$801, 0)+1))&lt;100, IF(INDEX(ERP資料!$G:$G, (MATCH(361, 輔助計算!$G$2:$G$801, 0)+1))&lt;=31,3,IF(INDEX(ERP資料!$G:$G, (MATCH(361, 輔助計算!$G$2:$G$801, 0)+1))&lt;=46.5,2,1)), IF(INDEX(ERP資料!$G:$G, (MATCH(361, 輔助計算!$G$2:$G$801, 0)+1))&lt;=790,3,IF(INDEX(ERP資料!$G:$G, (MATCH(361, 輔助計算!$G$2:$G$801, 0)+1))&lt;=1181,2,1))))=2,TEXT(INDEX(ERP資料!$G:$G, (MATCH(361, 輔助計算!$G$2:$G$801, 0)+1)),"0.##")&amp;"+"&amp;TEXT(INDEX(ERP資料!$G:$G, (MATCH(361, 輔助計算!$G$2:$G$801, 0)+1)),"0.##"),TEXT(INDEX(ERP資料!$G:$G, (MATCH(361, 輔助計算!$G$2:$G$801, 0)+1)),"0.##")&amp;"+"&amp;TEXT(INDEX(ERP資料!$G:$G, (MATCH(361, 輔助計算!$G$2:$G$801, 0)+1)),"0.##")&amp;"+"&amp;TEXT(INDEX(ERP資料!$G:$G, (MATCH(361, 輔助計算!$G$2:$G$801, 0)+1)),"0.##"))))&amp;"-1")&lt;&gt;""),"  ","")&amp;IF(MOD(INDEX(輔助計算!$D:$D, (MATCH(361, 輔助計算!$G$2:$G$801, 0)+1)),IF(INDEX(ERP資料!$G:$G, (MATCH(361, 輔助計算!$G$2:$G$801, 0)+1))&lt;100, IF(INDEX(ERP資料!$G:$G, (MATCH(361, 輔助計算!$G$2:$G$801, 0)+1))&lt;=31,3,IF(INDEX(ERP資料!$G:$G, (MATCH(361, 輔助計算!$G$2:$G$801, 0)+1))&lt;=46.5,2,1)), IF(INDEX(ERP資料!$G:$G, (MATCH(361, 輔助計算!$G$2:$G$801, 0)+1))&lt;=790,3,IF(INDEX(ERP資料!$G:$G, (MATCH(361, 輔助計算!$G$2:$G$801, 0)+1))&lt;=1181,2,1))))=0,"",IF(MOD(INDEX(輔助計算!$D:$D, (MATCH(361, 輔助計算!$G$2:$G$801, 0)+1)),IF(INDEX(ERP資料!$G:$G, (MATCH(361, 輔助計算!$G$2:$G$801, 0)+1))&lt;100, IF(INDEX(ERP資料!$G:$G, (MATCH(361, 輔助計算!$G$2:$G$801, 0)+1))&lt;=31,3,IF(INDEX(ERP資料!$G:$G, (MATCH(361, 輔助計算!$G$2:$G$801, 0)+1))&lt;=46.5,2,1)), IF(INDEX(ERP資料!$G:$G, (MATCH(361, 輔助計算!$G$2:$G$801, 0)+1))&lt;=790,3,IF(INDEX(ERP資料!$G:$G, (MATCH(361, 輔助計算!$G$2:$G$801, 0)+1))&lt;=1181,2,1))))=0,"",IF(MOD(INDEX(輔助計算!$D:$D, (MATCH(361, 輔助計算!$G$2:$G$801, 0)+1)),IF(INDEX(ERP資料!$G:$G, (MATCH(361, 輔助計算!$G$2:$G$801, 0)+1))&lt;100, IF(INDEX(ERP資料!$G:$G, (MATCH(361, 輔助計算!$G$2:$G$801, 0)+1))&lt;=31,3,IF(INDEX(ERP資料!$G:$G, (MATCH(361, 輔助計算!$G$2:$G$801, 0)+1))&lt;=46.5,2,1)), IF(INDEX(ERP資料!$G:$G, (MATCH(361, 輔助計算!$G$2:$G$801, 0)+1))&lt;=790,3,IF(INDEX(ERP資料!$G:$G, (MATCH(361, 輔助計算!$G$2:$G$801, 0)+1))&lt;=1181,2,1))))=1,TEXT(INDEX(ERP資料!$G:$G, (MATCH(361, 輔助計算!$G$2:$G$801, 0)+1)),"0.##"),IF(MOD(INDEX(輔助計算!$D:$D, (MATCH(361, 輔助計算!$G$2:$G$801, 0)+1)),IF(INDEX(ERP資料!$G:$G, (MATCH(361, 輔助計算!$G$2:$G$801, 0)+1))&lt;100, IF(INDEX(ERP資料!$G:$G, (MATCH(361, 輔助計算!$G$2:$G$801, 0)+1))&lt;=31,3,IF(INDEX(ERP資料!$G:$G, (MATCH(361, 輔助計算!$G$2:$G$801, 0)+1))&lt;=46.5,2,1)), IF(INDEX(ERP資料!$G:$G, (MATCH(361, 輔助計算!$G$2:$G$801, 0)+1))&lt;=790,3,IF(INDEX(ERP資料!$G:$G, (MATCH(361, 輔助計算!$G$2:$G$801, 0)+1))&lt;=1181,2,1))))=2,TEXT(INDEX(ERP資料!$G:$G, (MATCH(361, 輔助計算!$G$2:$G$801, 0)+1)),"0.##")&amp;"+"&amp;TEXT(INDEX(ERP資料!$G:$G, (MATCH(361, 輔助計算!$G$2:$G$801, 0)+1)),"0.##"),TEXT(INDEX(ERP資料!$G:$G, (MATCH(361, 輔助計算!$G$2:$G$801, 0)+1)),"0.##")&amp;"+"&amp;TEXT(INDEX(ERP資料!$G:$G, (MATCH(361, 輔助計算!$G$2:$G$801, 0)+1)),"0.##")&amp;"+"&amp;TEXT(INDEX(ERP資料!$G:$G, (MATCH(361, 輔助計算!$G$2:$G$801, 0)+1)),"0.##"))))&amp;"-1")), ""), "")</f>
        <v/>
      </c>
      <c r="K362" s="16" t="n"/>
      <c r="L362" s="14">
        <f>IFERROR(IF(AND(IFERROR(INDEX(ERP資料!$A:$A, (MATCH(361, 輔助計算!$G$2:$G$801, 0)+1)), "")&lt;&gt;"", IFERROR(INDEX(ERP資料!$A:$A, (MATCH(361, 輔助計算!$G$2:$G$801, 0)+1)), "")&lt;&gt;IFERROR(INDEX(ERP資料!$A:$A, MATCH(360, 輔助計算!$G$2:$G$801, 0)+1), "")), INDEX(ERP資料!$B:$B, (MATCH(361, 輔助計算!$G$2:$G$801, 0)+1)), ""), "")</f>
        <v/>
      </c>
      <c r="M362" s="17" t="n"/>
    </row>
    <row r="363">
      <c r="A363" s="10">
        <f>IFERROR(IF(AND(IFERROR(INDEX(ERP資料!$A:$A, (MATCH(362, 輔助計算!$G$2:$G$801, 0)+1)), "")&lt;&gt;"", IFERROR(INDEX(ERP資料!$A:$A, (MATCH(362, 輔助計算!$G$2:$G$801, 0)+1)), "")&lt;&gt;IFERROR(INDEX(ERP資料!$A:$A, MATCH(361, 輔助計算!$G$2:$G$801, 0)+1), "")), IFERROR(INDEX(ERP資料!$A:$A, (MATCH(362, 輔助計算!$G$2:$G$801, 0)+1)), ""), ""), "")</f>
        <v/>
      </c>
      <c r="B363" s="10">
        <f>IFERROR(IF(AND(IFERROR(INDEX(ERP資料!$A:$A, (MATCH(362, 輔助計算!$G$2:$G$801, 0)+1)), "")&lt;&gt;"", IFERROR(INDEX(ERP資料!$A:$A, (MATCH(362, 輔助計算!$G$2:$G$801, 0)+1)), "")&lt;&gt;IFERROR(INDEX(ERP資料!$A:$A, MATCH(361, 輔助計算!$G$2:$G$801, 0)+1), "")), INDEX(ERP資料!$S:$S, (MATCH(362, 輔助計算!$G$2:$G$801, 0)+1)), ""), "")</f>
        <v/>
      </c>
      <c r="C363" s="19">
        <f>IFERROR(IF(AND(IFERROR(INDEX(ERP資料!$A:$A, (MATCH(362, 輔助計算!$G$2:$G$801, 0)+1)), "")&lt;&gt;"", IFERROR(INDEX(ERP資料!$A:$A, (MATCH(362, 輔助計算!$G$2:$G$801, 0)+1)), "")&lt;&gt;IFERROR(INDEX(ERP資料!$A:$A, MATCH(361, 輔助計算!$G$2:$G$801, 0)+1), "")), IFERROR(VLOOKUP(LEFT(INDEX(ERP資料!$S:$S, (MATCH(362, 輔助計算!$G$2:$G$801, 0)+1)), 4), 紙管對照表!$A:$C, 3, FALSE), ""), ""), "")</f>
        <v/>
      </c>
      <c r="D363" s="16" t="n"/>
      <c r="E363" s="10">
        <f>IFERROR(IF(INDEX(ERP資料!$H:$H, (MATCH(362, 輔助計算!$G$2:$G$801, 0)+1))="","",INDEX(ERP資料!$H:$H, (MATCH(362, 輔助計算!$G$2:$G$801, 0)+1))), "")</f>
        <v/>
      </c>
      <c r="F363" s="10">
        <f>IFERROR(IF(INDEX(ERP資料!$E:$E, (MATCH(362, 輔助計算!$G$2:$G$801, 0)+1))="","",TRIM(INDEX(ERP資料!$E:$E, (MATCH(362, 輔助計算!$G$2:$G$801, 0)+1)))), "")</f>
        <v/>
      </c>
      <c r="G363" s="10">
        <f>IFERROR(IF(INDEX(ERP資料!$F:$F, (MATCH(362, 輔助計算!$G$2:$G$801, 0)+1))="","",INDEX(ERP資料!$F:$F, (MATCH(362, 輔助計算!$G$2:$G$801, 0)+1))), "")</f>
        <v/>
      </c>
      <c r="H363" s="10">
        <f>IFERROR(IF(INDEX(ERP資料!$G:$G, (MATCH(362, 輔助計算!$G$2:$G$801, 0)+1))="","",INDEX(ERP資料!$G:$G, (MATCH(362, 輔助計算!$G$2:$G$801, 0)+1))), "")</f>
        <v/>
      </c>
      <c r="I363" s="15">
        <f>IFERROR(INDEX(輔助計算!$D:$D, (MATCH(362, 輔助計算!$G$2:$G$801, 0)+1)), "")</f>
        <v/>
      </c>
      <c r="J363" s="15">
        <f>IFERROR(IF(AND(INDEX(輔助計算!$D:$D, (MATCH(362, 輔助計算!$G$2:$G$801, 0)+1))&lt;&gt;"", INDEX(ERP資料!$G:$G, (MATCH(362, 輔助計算!$G$2:$G$801, 0)+1))&lt;&gt;""), TRIM(IF(INT(INDEX(輔助計算!$D:$D, (MATCH(362, 輔助計算!$G$2:$G$801, 0)+1))/IF(INDEX(ERP資料!$G:$G, (MATCH(362, 輔助計算!$G$2:$G$801, 0)+1))&lt;100, IF(INDEX(ERP資料!$G:$G, (MATCH(362, 輔助計算!$G$2:$G$801, 0)+1))&lt;=31,3,IF(INDEX(ERP資料!$G:$G, (MATCH(362, 輔助計算!$G$2:$G$801, 0)+1))&lt;=46.5,2,1)), IF(INDEX(ERP資料!$G:$G, (MATCH(362, 輔助計算!$G$2:$G$801, 0)+1))&lt;=790,3,IF(INDEX(ERP資料!$G:$G, (MATCH(362, 輔助計算!$G$2:$G$801, 0)+1))&lt;=1181,2,1))))&gt;0, IF(IF(INDEX(ERP資料!$G:$G, (MATCH(362, 輔助計算!$G$2:$G$801, 0)+1))&lt;100, IF(INDEX(ERP資料!$G:$G, (MATCH(362, 輔助計算!$G$2:$G$801, 0)+1))&lt;=31,3,IF(INDEX(ERP資料!$G:$G, (MATCH(362, 輔助計算!$G$2:$G$801, 0)+1))&lt;=46.5,2,1)), IF(INDEX(ERP資料!$G:$G, (MATCH(362, 輔助計算!$G$2:$G$801, 0)+1))&lt;=790,3,IF(INDEX(ERP資料!$G:$G, (MATCH(362, 輔助計算!$G$2:$G$801, 0)+1))&lt;=1181,2,1)))=1,TEXT(INDEX(ERP資料!$G:$G, (MATCH(362, 輔助計算!$G$2:$G$801, 0)+1)),"0.##"),IF(IF(INDEX(ERP資料!$G:$G, (MATCH(362, 輔助計算!$G$2:$G$801, 0)+1))&lt;100, IF(INDEX(ERP資料!$G:$G, (MATCH(362, 輔助計算!$G$2:$G$801, 0)+1))&lt;=31,3,IF(INDEX(ERP資料!$G:$G, (MATCH(362, 輔助計算!$G$2:$G$801, 0)+1))&lt;=46.5,2,1)), IF(INDEX(ERP資料!$G:$G, (MATCH(362, 輔助計算!$G$2:$G$801, 0)+1))&lt;=790,3,IF(INDEX(ERP資料!$G:$G, (MATCH(362, 輔助計算!$G$2:$G$801, 0)+1))&lt;=1181,2,1)))=2,TEXT(INDEX(ERP資料!$G:$G, (MATCH(362, 輔助計算!$G$2:$G$801, 0)+1)),"0.##")&amp;"+"&amp;TEXT(INDEX(ERP資料!$G:$G, (MATCH(362, 輔助計算!$G$2:$G$801, 0)+1)),"0.##"),TEXT(INDEX(ERP資料!$G:$G, (MATCH(362, 輔助計算!$G$2:$G$801, 0)+1)),"0.##")&amp;"+"&amp;TEXT(INDEX(ERP資料!$G:$G, (MATCH(362, 輔助計算!$G$2:$G$801, 0)+1)),"0.##")&amp;"+"&amp;TEXT(INDEX(ERP資料!$G:$G, (MATCH(362, 輔助計算!$G$2:$G$801, 0)+1)),"0.##")))&amp;"-"&amp;INT(INDEX(輔助計算!$D:$D, (MATCH(362, 輔助計算!$G$2:$G$801, 0)+1))/IF(INDEX(ERP資料!$G:$G, (MATCH(362, 輔助計算!$G$2:$G$801, 0)+1))&lt;100, IF(INDEX(ERP資料!$G:$G, (MATCH(362, 輔助計算!$G$2:$G$801, 0)+1))&lt;=31,3,IF(INDEX(ERP資料!$G:$G, (MATCH(362, 輔助計算!$G$2:$G$801, 0)+1))&lt;=46.5,2,1)), IF(INDEX(ERP資料!$G:$G, (MATCH(362, 輔助計算!$G$2:$G$801, 0)+1))&lt;=790,3,IF(INDEX(ERP資料!$G:$G, (MATCH(362, 輔助計算!$G$2:$G$801, 0)+1))&lt;=1181,2,1)))), "")&amp;IF(AND(IF(INT(INDEX(輔助計算!$D:$D, (MATCH(362, 輔助計算!$G$2:$G$801, 0)+1))/IF(INDEX(ERP資料!$G:$G, (MATCH(362, 輔助計算!$G$2:$G$801, 0)+1))&lt;100, IF(INDEX(ERP資料!$G:$G, (MATCH(362, 輔助計算!$G$2:$G$801, 0)+1))&lt;=31,3,IF(INDEX(ERP資料!$G:$G, (MATCH(362, 輔助計算!$G$2:$G$801, 0)+1))&lt;=46.5,2,1)), IF(INDEX(ERP資料!$G:$G, (MATCH(362, 輔助計算!$G$2:$G$801, 0)+1))&lt;=790,3,IF(INDEX(ERP資料!$G:$G, (MATCH(362, 輔助計算!$G$2:$G$801, 0)+1))&lt;=1181,2,1))))&gt;0, IF(IF(INDEX(ERP資料!$G:$G, (MATCH(362, 輔助計算!$G$2:$G$801, 0)+1))&lt;100, IF(INDEX(ERP資料!$G:$G, (MATCH(362, 輔助計算!$G$2:$G$801, 0)+1))&lt;=31,3,IF(INDEX(ERP資料!$G:$G, (MATCH(362, 輔助計算!$G$2:$G$801, 0)+1))&lt;=46.5,2,1)), IF(INDEX(ERP資料!$G:$G, (MATCH(362, 輔助計算!$G$2:$G$801, 0)+1))&lt;=790,3,IF(INDEX(ERP資料!$G:$G, (MATCH(362, 輔助計算!$G$2:$G$801, 0)+1))&lt;=1181,2,1)))=1,TEXT(INDEX(ERP資料!$G:$G, (MATCH(362, 輔助計算!$G$2:$G$801, 0)+1)),"0.##"),IF(IF(INDEX(ERP資料!$G:$G, (MATCH(362, 輔助計算!$G$2:$G$801, 0)+1))&lt;100, IF(INDEX(ERP資料!$G:$G, (MATCH(362, 輔助計算!$G$2:$G$801, 0)+1))&lt;=31,3,IF(INDEX(ERP資料!$G:$G, (MATCH(362, 輔助計算!$G$2:$G$801, 0)+1))&lt;=46.5,2,1)), IF(INDEX(ERP資料!$G:$G, (MATCH(362, 輔助計算!$G$2:$G$801, 0)+1))&lt;=790,3,IF(INDEX(ERP資料!$G:$G, (MATCH(362, 輔助計算!$G$2:$G$801, 0)+1))&lt;=1181,2,1)))=2,TEXT(INDEX(ERP資料!$G:$G, (MATCH(362, 輔助計算!$G$2:$G$801, 0)+1)),"0.##")&amp;"+"&amp;TEXT(INDEX(ERP資料!$G:$G, (MATCH(362, 輔助計算!$G$2:$G$801, 0)+1)),"0.##"),TEXT(INDEX(ERP資料!$G:$G, (MATCH(362, 輔助計算!$G$2:$G$801, 0)+1)),"0.##")&amp;"+"&amp;TEXT(INDEX(ERP資料!$G:$G, (MATCH(362, 輔助計算!$G$2:$G$801, 0)+1)),"0.##")&amp;"+"&amp;TEXT(INDEX(ERP資料!$G:$G, (MATCH(362, 輔助計算!$G$2:$G$801, 0)+1)),"0.##")))&amp;"-"&amp;INT(INDEX(輔助計算!$D:$D, (MATCH(362, 輔助計算!$G$2:$G$801, 0)+1))/IF(INDEX(ERP資料!$G:$G, (MATCH(362, 輔助計算!$G$2:$G$801, 0)+1))&lt;100, IF(INDEX(ERP資料!$G:$G, (MATCH(362, 輔助計算!$G$2:$G$801, 0)+1))&lt;=31,3,IF(INDEX(ERP資料!$G:$G, (MATCH(362, 輔助計算!$G$2:$G$801, 0)+1))&lt;=46.5,2,1)), IF(INDEX(ERP資料!$G:$G, (MATCH(362, 輔助計算!$G$2:$G$801, 0)+1))&lt;=790,3,IF(INDEX(ERP資料!$G:$G, (MATCH(362, 輔助計算!$G$2:$G$801, 0)+1))&lt;=1181,2,1)))), "")&lt;&gt;"",IF(MOD(INDEX(輔助計算!$D:$D, (MATCH(362, 輔助計算!$G$2:$G$801, 0)+1)),IF(INDEX(ERP資料!$G:$G, (MATCH(362, 輔助計算!$G$2:$G$801, 0)+1))&lt;100, IF(INDEX(ERP資料!$G:$G, (MATCH(362, 輔助計算!$G$2:$G$801, 0)+1))&lt;=31,3,IF(INDEX(ERP資料!$G:$G, (MATCH(362, 輔助計算!$G$2:$G$801, 0)+1))&lt;=46.5,2,1)), IF(INDEX(ERP資料!$G:$G, (MATCH(362, 輔助計算!$G$2:$G$801, 0)+1))&lt;=790,3,IF(INDEX(ERP資料!$G:$G, (MATCH(362, 輔助計算!$G$2:$G$801, 0)+1))&lt;=1181,2,1))))=0,"",IF(MOD(INDEX(輔助計算!$D:$D, (MATCH(362, 輔助計算!$G$2:$G$801, 0)+1)),IF(INDEX(ERP資料!$G:$G, (MATCH(362, 輔助計算!$G$2:$G$801, 0)+1))&lt;100, IF(INDEX(ERP資料!$G:$G, (MATCH(362, 輔助計算!$G$2:$G$801, 0)+1))&lt;=31,3,IF(INDEX(ERP資料!$G:$G, (MATCH(362, 輔助計算!$G$2:$G$801, 0)+1))&lt;=46.5,2,1)), IF(INDEX(ERP資料!$G:$G, (MATCH(362, 輔助計算!$G$2:$G$801, 0)+1))&lt;=790,3,IF(INDEX(ERP資料!$G:$G, (MATCH(362, 輔助計算!$G$2:$G$801, 0)+1))&lt;=1181,2,1))))=0,"",IF(MOD(INDEX(輔助計算!$D:$D, (MATCH(362, 輔助計算!$G$2:$G$801, 0)+1)),IF(INDEX(ERP資料!$G:$G, (MATCH(362, 輔助計算!$G$2:$G$801, 0)+1))&lt;100, IF(INDEX(ERP資料!$G:$G, (MATCH(362, 輔助計算!$G$2:$G$801, 0)+1))&lt;=31,3,IF(INDEX(ERP資料!$G:$G, (MATCH(362, 輔助計算!$G$2:$G$801, 0)+1))&lt;=46.5,2,1)), IF(INDEX(ERP資料!$G:$G, (MATCH(362, 輔助計算!$G$2:$G$801, 0)+1))&lt;=790,3,IF(INDEX(ERP資料!$G:$G, (MATCH(362, 輔助計算!$G$2:$G$801, 0)+1))&lt;=1181,2,1))))=1,TEXT(INDEX(ERP資料!$G:$G, (MATCH(362, 輔助計算!$G$2:$G$801, 0)+1)),"0.##"),IF(MOD(INDEX(輔助計算!$D:$D, (MATCH(362, 輔助計算!$G$2:$G$801, 0)+1)),IF(INDEX(ERP資料!$G:$G, (MATCH(362, 輔助計算!$G$2:$G$801, 0)+1))&lt;100, IF(INDEX(ERP資料!$G:$G, (MATCH(362, 輔助計算!$G$2:$G$801, 0)+1))&lt;=31,3,IF(INDEX(ERP資料!$G:$G, (MATCH(362, 輔助計算!$G$2:$G$801, 0)+1))&lt;=46.5,2,1)), IF(INDEX(ERP資料!$G:$G, (MATCH(362, 輔助計算!$G$2:$G$801, 0)+1))&lt;=790,3,IF(INDEX(ERP資料!$G:$G, (MATCH(362, 輔助計算!$G$2:$G$801, 0)+1))&lt;=1181,2,1))))=2,TEXT(INDEX(ERP資料!$G:$G, (MATCH(362, 輔助計算!$G$2:$G$801, 0)+1)),"0.##")&amp;"+"&amp;TEXT(INDEX(ERP資料!$G:$G, (MATCH(362, 輔助計算!$G$2:$G$801, 0)+1)),"0.##"),TEXT(INDEX(ERP資料!$G:$G, (MATCH(362, 輔助計算!$G$2:$G$801, 0)+1)),"0.##")&amp;"+"&amp;TEXT(INDEX(ERP資料!$G:$G, (MATCH(362, 輔助計算!$G$2:$G$801, 0)+1)),"0.##")&amp;"+"&amp;TEXT(INDEX(ERP資料!$G:$G, (MATCH(362, 輔助計算!$G$2:$G$801, 0)+1)),"0.##"))))&amp;"-1")&lt;&gt;""),"  ","")&amp;IF(MOD(INDEX(輔助計算!$D:$D, (MATCH(362, 輔助計算!$G$2:$G$801, 0)+1)),IF(INDEX(ERP資料!$G:$G, (MATCH(362, 輔助計算!$G$2:$G$801, 0)+1))&lt;100, IF(INDEX(ERP資料!$G:$G, (MATCH(362, 輔助計算!$G$2:$G$801, 0)+1))&lt;=31,3,IF(INDEX(ERP資料!$G:$G, (MATCH(362, 輔助計算!$G$2:$G$801, 0)+1))&lt;=46.5,2,1)), IF(INDEX(ERP資料!$G:$G, (MATCH(362, 輔助計算!$G$2:$G$801, 0)+1))&lt;=790,3,IF(INDEX(ERP資料!$G:$G, (MATCH(362, 輔助計算!$G$2:$G$801, 0)+1))&lt;=1181,2,1))))=0,"",IF(MOD(INDEX(輔助計算!$D:$D, (MATCH(362, 輔助計算!$G$2:$G$801, 0)+1)),IF(INDEX(ERP資料!$G:$G, (MATCH(362, 輔助計算!$G$2:$G$801, 0)+1))&lt;100, IF(INDEX(ERP資料!$G:$G, (MATCH(362, 輔助計算!$G$2:$G$801, 0)+1))&lt;=31,3,IF(INDEX(ERP資料!$G:$G, (MATCH(362, 輔助計算!$G$2:$G$801, 0)+1))&lt;=46.5,2,1)), IF(INDEX(ERP資料!$G:$G, (MATCH(362, 輔助計算!$G$2:$G$801, 0)+1))&lt;=790,3,IF(INDEX(ERP資料!$G:$G, (MATCH(362, 輔助計算!$G$2:$G$801, 0)+1))&lt;=1181,2,1))))=0,"",IF(MOD(INDEX(輔助計算!$D:$D, (MATCH(362, 輔助計算!$G$2:$G$801, 0)+1)),IF(INDEX(ERP資料!$G:$G, (MATCH(362, 輔助計算!$G$2:$G$801, 0)+1))&lt;100, IF(INDEX(ERP資料!$G:$G, (MATCH(362, 輔助計算!$G$2:$G$801, 0)+1))&lt;=31,3,IF(INDEX(ERP資料!$G:$G, (MATCH(362, 輔助計算!$G$2:$G$801, 0)+1))&lt;=46.5,2,1)), IF(INDEX(ERP資料!$G:$G, (MATCH(362, 輔助計算!$G$2:$G$801, 0)+1))&lt;=790,3,IF(INDEX(ERP資料!$G:$G, (MATCH(362, 輔助計算!$G$2:$G$801, 0)+1))&lt;=1181,2,1))))=1,TEXT(INDEX(ERP資料!$G:$G, (MATCH(362, 輔助計算!$G$2:$G$801, 0)+1)),"0.##"),IF(MOD(INDEX(輔助計算!$D:$D, (MATCH(362, 輔助計算!$G$2:$G$801, 0)+1)),IF(INDEX(ERP資料!$G:$G, (MATCH(362, 輔助計算!$G$2:$G$801, 0)+1))&lt;100, IF(INDEX(ERP資料!$G:$G, (MATCH(362, 輔助計算!$G$2:$G$801, 0)+1))&lt;=31,3,IF(INDEX(ERP資料!$G:$G, (MATCH(362, 輔助計算!$G$2:$G$801, 0)+1))&lt;=46.5,2,1)), IF(INDEX(ERP資料!$G:$G, (MATCH(362, 輔助計算!$G$2:$G$801, 0)+1))&lt;=790,3,IF(INDEX(ERP資料!$G:$G, (MATCH(362, 輔助計算!$G$2:$G$801, 0)+1))&lt;=1181,2,1))))=2,TEXT(INDEX(ERP資料!$G:$G, (MATCH(362, 輔助計算!$G$2:$G$801, 0)+1)),"0.##")&amp;"+"&amp;TEXT(INDEX(ERP資料!$G:$G, (MATCH(362, 輔助計算!$G$2:$G$801, 0)+1)),"0.##"),TEXT(INDEX(ERP資料!$G:$G, (MATCH(362, 輔助計算!$G$2:$G$801, 0)+1)),"0.##")&amp;"+"&amp;TEXT(INDEX(ERP資料!$G:$G, (MATCH(362, 輔助計算!$G$2:$G$801, 0)+1)),"0.##")&amp;"+"&amp;TEXT(INDEX(ERP資料!$G:$G, (MATCH(362, 輔助計算!$G$2:$G$801, 0)+1)),"0.##"))))&amp;"-1")), ""), "")</f>
        <v/>
      </c>
      <c r="K363" s="16" t="n"/>
      <c r="L363" s="14">
        <f>IFERROR(IF(AND(IFERROR(INDEX(ERP資料!$A:$A, (MATCH(362, 輔助計算!$G$2:$G$801, 0)+1)), "")&lt;&gt;"", IFERROR(INDEX(ERP資料!$A:$A, (MATCH(362, 輔助計算!$G$2:$G$801, 0)+1)), "")&lt;&gt;IFERROR(INDEX(ERP資料!$A:$A, MATCH(361, 輔助計算!$G$2:$G$801, 0)+1), "")), INDEX(ERP資料!$B:$B, (MATCH(362, 輔助計算!$G$2:$G$801, 0)+1)), ""), "")</f>
        <v/>
      </c>
      <c r="M363" s="17" t="n"/>
    </row>
    <row r="364">
      <c r="A364" s="10">
        <f>IFERROR(IF(AND(IFERROR(INDEX(ERP資料!$A:$A, (MATCH(363, 輔助計算!$G$2:$G$801, 0)+1)), "")&lt;&gt;"", IFERROR(INDEX(ERP資料!$A:$A, (MATCH(363, 輔助計算!$G$2:$G$801, 0)+1)), "")&lt;&gt;IFERROR(INDEX(ERP資料!$A:$A, MATCH(362, 輔助計算!$G$2:$G$801, 0)+1), "")), IFERROR(INDEX(ERP資料!$A:$A, (MATCH(363, 輔助計算!$G$2:$G$801, 0)+1)), ""), ""), "")</f>
        <v/>
      </c>
      <c r="B364" s="10">
        <f>IFERROR(IF(AND(IFERROR(INDEX(ERP資料!$A:$A, (MATCH(363, 輔助計算!$G$2:$G$801, 0)+1)), "")&lt;&gt;"", IFERROR(INDEX(ERP資料!$A:$A, (MATCH(363, 輔助計算!$G$2:$G$801, 0)+1)), "")&lt;&gt;IFERROR(INDEX(ERP資料!$A:$A, MATCH(362, 輔助計算!$G$2:$G$801, 0)+1), "")), INDEX(ERP資料!$S:$S, (MATCH(363, 輔助計算!$G$2:$G$801, 0)+1)), ""), "")</f>
        <v/>
      </c>
      <c r="C364" s="19">
        <f>IFERROR(IF(AND(IFERROR(INDEX(ERP資料!$A:$A, (MATCH(363, 輔助計算!$G$2:$G$801, 0)+1)), "")&lt;&gt;"", IFERROR(INDEX(ERP資料!$A:$A, (MATCH(363, 輔助計算!$G$2:$G$801, 0)+1)), "")&lt;&gt;IFERROR(INDEX(ERP資料!$A:$A, MATCH(362, 輔助計算!$G$2:$G$801, 0)+1), "")), IFERROR(VLOOKUP(LEFT(INDEX(ERP資料!$S:$S, (MATCH(363, 輔助計算!$G$2:$G$801, 0)+1)), 4), 紙管對照表!$A:$C, 3, FALSE), ""), ""), "")</f>
        <v/>
      </c>
      <c r="D364" s="16" t="n"/>
      <c r="E364" s="10">
        <f>IFERROR(IF(INDEX(ERP資料!$H:$H, (MATCH(363, 輔助計算!$G$2:$G$801, 0)+1))="","",INDEX(ERP資料!$H:$H, (MATCH(363, 輔助計算!$G$2:$G$801, 0)+1))), "")</f>
        <v/>
      </c>
      <c r="F364" s="10">
        <f>IFERROR(IF(INDEX(ERP資料!$E:$E, (MATCH(363, 輔助計算!$G$2:$G$801, 0)+1))="","",TRIM(INDEX(ERP資料!$E:$E, (MATCH(363, 輔助計算!$G$2:$G$801, 0)+1)))), "")</f>
        <v/>
      </c>
      <c r="G364" s="10">
        <f>IFERROR(IF(INDEX(ERP資料!$F:$F, (MATCH(363, 輔助計算!$G$2:$G$801, 0)+1))="","",INDEX(ERP資料!$F:$F, (MATCH(363, 輔助計算!$G$2:$G$801, 0)+1))), "")</f>
        <v/>
      </c>
      <c r="H364" s="10">
        <f>IFERROR(IF(INDEX(ERP資料!$G:$G, (MATCH(363, 輔助計算!$G$2:$G$801, 0)+1))="","",INDEX(ERP資料!$G:$G, (MATCH(363, 輔助計算!$G$2:$G$801, 0)+1))), "")</f>
        <v/>
      </c>
      <c r="I364" s="15">
        <f>IFERROR(INDEX(輔助計算!$D:$D, (MATCH(363, 輔助計算!$G$2:$G$801, 0)+1)), "")</f>
        <v/>
      </c>
      <c r="J364" s="15">
        <f>IFERROR(IF(AND(INDEX(輔助計算!$D:$D, (MATCH(363, 輔助計算!$G$2:$G$801, 0)+1))&lt;&gt;"", INDEX(ERP資料!$G:$G, (MATCH(363, 輔助計算!$G$2:$G$801, 0)+1))&lt;&gt;""), TRIM(IF(INT(INDEX(輔助計算!$D:$D, (MATCH(363, 輔助計算!$G$2:$G$801, 0)+1))/IF(INDEX(ERP資料!$G:$G, (MATCH(363, 輔助計算!$G$2:$G$801, 0)+1))&lt;100, IF(INDEX(ERP資料!$G:$G, (MATCH(363, 輔助計算!$G$2:$G$801, 0)+1))&lt;=31,3,IF(INDEX(ERP資料!$G:$G, (MATCH(363, 輔助計算!$G$2:$G$801, 0)+1))&lt;=46.5,2,1)), IF(INDEX(ERP資料!$G:$G, (MATCH(363, 輔助計算!$G$2:$G$801, 0)+1))&lt;=790,3,IF(INDEX(ERP資料!$G:$G, (MATCH(363, 輔助計算!$G$2:$G$801, 0)+1))&lt;=1181,2,1))))&gt;0, IF(IF(INDEX(ERP資料!$G:$G, (MATCH(363, 輔助計算!$G$2:$G$801, 0)+1))&lt;100, IF(INDEX(ERP資料!$G:$G, (MATCH(363, 輔助計算!$G$2:$G$801, 0)+1))&lt;=31,3,IF(INDEX(ERP資料!$G:$G, (MATCH(363, 輔助計算!$G$2:$G$801, 0)+1))&lt;=46.5,2,1)), IF(INDEX(ERP資料!$G:$G, (MATCH(363, 輔助計算!$G$2:$G$801, 0)+1))&lt;=790,3,IF(INDEX(ERP資料!$G:$G, (MATCH(363, 輔助計算!$G$2:$G$801, 0)+1))&lt;=1181,2,1)))=1,TEXT(INDEX(ERP資料!$G:$G, (MATCH(363, 輔助計算!$G$2:$G$801, 0)+1)),"0.##"),IF(IF(INDEX(ERP資料!$G:$G, (MATCH(363, 輔助計算!$G$2:$G$801, 0)+1))&lt;100, IF(INDEX(ERP資料!$G:$G, (MATCH(363, 輔助計算!$G$2:$G$801, 0)+1))&lt;=31,3,IF(INDEX(ERP資料!$G:$G, (MATCH(363, 輔助計算!$G$2:$G$801, 0)+1))&lt;=46.5,2,1)), IF(INDEX(ERP資料!$G:$G, (MATCH(363, 輔助計算!$G$2:$G$801, 0)+1))&lt;=790,3,IF(INDEX(ERP資料!$G:$G, (MATCH(363, 輔助計算!$G$2:$G$801, 0)+1))&lt;=1181,2,1)))=2,TEXT(INDEX(ERP資料!$G:$G, (MATCH(363, 輔助計算!$G$2:$G$801, 0)+1)),"0.##")&amp;"+"&amp;TEXT(INDEX(ERP資料!$G:$G, (MATCH(363, 輔助計算!$G$2:$G$801, 0)+1)),"0.##"),TEXT(INDEX(ERP資料!$G:$G, (MATCH(363, 輔助計算!$G$2:$G$801, 0)+1)),"0.##")&amp;"+"&amp;TEXT(INDEX(ERP資料!$G:$G, (MATCH(363, 輔助計算!$G$2:$G$801, 0)+1)),"0.##")&amp;"+"&amp;TEXT(INDEX(ERP資料!$G:$G, (MATCH(363, 輔助計算!$G$2:$G$801, 0)+1)),"0.##")))&amp;"-"&amp;INT(INDEX(輔助計算!$D:$D, (MATCH(363, 輔助計算!$G$2:$G$801, 0)+1))/IF(INDEX(ERP資料!$G:$G, (MATCH(363, 輔助計算!$G$2:$G$801, 0)+1))&lt;100, IF(INDEX(ERP資料!$G:$G, (MATCH(363, 輔助計算!$G$2:$G$801, 0)+1))&lt;=31,3,IF(INDEX(ERP資料!$G:$G, (MATCH(363, 輔助計算!$G$2:$G$801, 0)+1))&lt;=46.5,2,1)), IF(INDEX(ERP資料!$G:$G, (MATCH(363, 輔助計算!$G$2:$G$801, 0)+1))&lt;=790,3,IF(INDEX(ERP資料!$G:$G, (MATCH(363, 輔助計算!$G$2:$G$801, 0)+1))&lt;=1181,2,1)))), "")&amp;IF(AND(IF(INT(INDEX(輔助計算!$D:$D, (MATCH(363, 輔助計算!$G$2:$G$801, 0)+1))/IF(INDEX(ERP資料!$G:$G, (MATCH(363, 輔助計算!$G$2:$G$801, 0)+1))&lt;100, IF(INDEX(ERP資料!$G:$G, (MATCH(363, 輔助計算!$G$2:$G$801, 0)+1))&lt;=31,3,IF(INDEX(ERP資料!$G:$G, (MATCH(363, 輔助計算!$G$2:$G$801, 0)+1))&lt;=46.5,2,1)), IF(INDEX(ERP資料!$G:$G, (MATCH(363, 輔助計算!$G$2:$G$801, 0)+1))&lt;=790,3,IF(INDEX(ERP資料!$G:$G, (MATCH(363, 輔助計算!$G$2:$G$801, 0)+1))&lt;=1181,2,1))))&gt;0, IF(IF(INDEX(ERP資料!$G:$G, (MATCH(363, 輔助計算!$G$2:$G$801, 0)+1))&lt;100, IF(INDEX(ERP資料!$G:$G, (MATCH(363, 輔助計算!$G$2:$G$801, 0)+1))&lt;=31,3,IF(INDEX(ERP資料!$G:$G, (MATCH(363, 輔助計算!$G$2:$G$801, 0)+1))&lt;=46.5,2,1)), IF(INDEX(ERP資料!$G:$G, (MATCH(363, 輔助計算!$G$2:$G$801, 0)+1))&lt;=790,3,IF(INDEX(ERP資料!$G:$G, (MATCH(363, 輔助計算!$G$2:$G$801, 0)+1))&lt;=1181,2,1)))=1,TEXT(INDEX(ERP資料!$G:$G, (MATCH(363, 輔助計算!$G$2:$G$801, 0)+1)),"0.##"),IF(IF(INDEX(ERP資料!$G:$G, (MATCH(363, 輔助計算!$G$2:$G$801, 0)+1))&lt;100, IF(INDEX(ERP資料!$G:$G, (MATCH(363, 輔助計算!$G$2:$G$801, 0)+1))&lt;=31,3,IF(INDEX(ERP資料!$G:$G, (MATCH(363, 輔助計算!$G$2:$G$801, 0)+1))&lt;=46.5,2,1)), IF(INDEX(ERP資料!$G:$G, (MATCH(363, 輔助計算!$G$2:$G$801, 0)+1))&lt;=790,3,IF(INDEX(ERP資料!$G:$G, (MATCH(363, 輔助計算!$G$2:$G$801, 0)+1))&lt;=1181,2,1)))=2,TEXT(INDEX(ERP資料!$G:$G, (MATCH(363, 輔助計算!$G$2:$G$801, 0)+1)),"0.##")&amp;"+"&amp;TEXT(INDEX(ERP資料!$G:$G, (MATCH(363, 輔助計算!$G$2:$G$801, 0)+1)),"0.##"),TEXT(INDEX(ERP資料!$G:$G, (MATCH(363, 輔助計算!$G$2:$G$801, 0)+1)),"0.##")&amp;"+"&amp;TEXT(INDEX(ERP資料!$G:$G, (MATCH(363, 輔助計算!$G$2:$G$801, 0)+1)),"0.##")&amp;"+"&amp;TEXT(INDEX(ERP資料!$G:$G, (MATCH(363, 輔助計算!$G$2:$G$801, 0)+1)),"0.##")))&amp;"-"&amp;INT(INDEX(輔助計算!$D:$D, (MATCH(363, 輔助計算!$G$2:$G$801, 0)+1))/IF(INDEX(ERP資料!$G:$G, (MATCH(363, 輔助計算!$G$2:$G$801, 0)+1))&lt;100, IF(INDEX(ERP資料!$G:$G, (MATCH(363, 輔助計算!$G$2:$G$801, 0)+1))&lt;=31,3,IF(INDEX(ERP資料!$G:$G, (MATCH(363, 輔助計算!$G$2:$G$801, 0)+1))&lt;=46.5,2,1)), IF(INDEX(ERP資料!$G:$G, (MATCH(363, 輔助計算!$G$2:$G$801, 0)+1))&lt;=790,3,IF(INDEX(ERP資料!$G:$G, (MATCH(363, 輔助計算!$G$2:$G$801, 0)+1))&lt;=1181,2,1)))), "")&lt;&gt;"",IF(MOD(INDEX(輔助計算!$D:$D, (MATCH(363, 輔助計算!$G$2:$G$801, 0)+1)),IF(INDEX(ERP資料!$G:$G, (MATCH(363, 輔助計算!$G$2:$G$801, 0)+1))&lt;100, IF(INDEX(ERP資料!$G:$G, (MATCH(363, 輔助計算!$G$2:$G$801, 0)+1))&lt;=31,3,IF(INDEX(ERP資料!$G:$G, (MATCH(363, 輔助計算!$G$2:$G$801, 0)+1))&lt;=46.5,2,1)), IF(INDEX(ERP資料!$G:$G, (MATCH(363, 輔助計算!$G$2:$G$801, 0)+1))&lt;=790,3,IF(INDEX(ERP資料!$G:$G, (MATCH(363, 輔助計算!$G$2:$G$801, 0)+1))&lt;=1181,2,1))))=0,"",IF(MOD(INDEX(輔助計算!$D:$D, (MATCH(363, 輔助計算!$G$2:$G$801, 0)+1)),IF(INDEX(ERP資料!$G:$G, (MATCH(363, 輔助計算!$G$2:$G$801, 0)+1))&lt;100, IF(INDEX(ERP資料!$G:$G, (MATCH(363, 輔助計算!$G$2:$G$801, 0)+1))&lt;=31,3,IF(INDEX(ERP資料!$G:$G, (MATCH(363, 輔助計算!$G$2:$G$801, 0)+1))&lt;=46.5,2,1)), IF(INDEX(ERP資料!$G:$G, (MATCH(363, 輔助計算!$G$2:$G$801, 0)+1))&lt;=790,3,IF(INDEX(ERP資料!$G:$G, (MATCH(363, 輔助計算!$G$2:$G$801, 0)+1))&lt;=1181,2,1))))=0,"",IF(MOD(INDEX(輔助計算!$D:$D, (MATCH(363, 輔助計算!$G$2:$G$801, 0)+1)),IF(INDEX(ERP資料!$G:$G, (MATCH(363, 輔助計算!$G$2:$G$801, 0)+1))&lt;100, IF(INDEX(ERP資料!$G:$G, (MATCH(363, 輔助計算!$G$2:$G$801, 0)+1))&lt;=31,3,IF(INDEX(ERP資料!$G:$G, (MATCH(363, 輔助計算!$G$2:$G$801, 0)+1))&lt;=46.5,2,1)), IF(INDEX(ERP資料!$G:$G, (MATCH(363, 輔助計算!$G$2:$G$801, 0)+1))&lt;=790,3,IF(INDEX(ERP資料!$G:$G, (MATCH(363, 輔助計算!$G$2:$G$801, 0)+1))&lt;=1181,2,1))))=1,TEXT(INDEX(ERP資料!$G:$G, (MATCH(363, 輔助計算!$G$2:$G$801, 0)+1)),"0.##"),IF(MOD(INDEX(輔助計算!$D:$D, (MATCH(363, 輔助計算!$G$2:$G$801, 0)+1)),IF(INDEX(ERP資料!$G:$G, (MATCH(363, 輔助計算!$G$2:$G$801, 0)+1))&lt;100, IF(INDEX(ERP資料!$G:$G, (MATCH(363, 輔助計算!$G$2:$G$801, 0)+1))&lt;=31,3,IF(INDEX(ERP資料!$G:$G, (MATCH(363, 輔助計算!$G$2:$G$801, 0)+1))&lt;=46.5,2,1)), IF(INDEX(ERP資料!$G:$G, (MATCH(363, 輔助計算!$G$2:$G$801, 0)+1))&lt;=790,3,IF(INDEX(ERP資料!$G:$G, (MATCH(363, 輔助計算!$G$2:$G$801, 0)+1))&lt;=1181,2,1))))=2,TEXT(INDEX(ERP資料!$G:$G, (MATCH(363, 輔助計算!$G$2:$G$801, 0)+1)),"0.##")&amp;"+"&amp;TEXT(INDEX(ERP資料!$G:$G, (MATCH(363, 輔助計算!$G$2:$G$801, 0)+1)),"0.##"),TEXT(INDEX(ERP資料!$G:$G, (MATCH(363, 輔助計算!$G$2:$G$801, 0)+1)),"0.##")&amp;"+"&amp;TEXT(INDEX(ERP資料!$G:$G, (MATCH(363, 輔助計算!$G$2:$G$801, 0)+1)),"0.##")&amp;"+"&amp;TEXT(INDEX(ERP資料!$G:$G, (MATCH(363, 輔助計算!$G$2:$G$801, 0)+1)),"0.##"))))&amp;"-1")&lt;&gt;""),"  ","")&amp;IF(MOD(INDEX(輔助計算!$D:$D, (MATCH(363, 輔助計算!$G$2:$G$801, 0)+1)),IF(INDEX(ERP資料!$G:$G, (MATCH(363, 輔助計算!$G$2:$G$801, 0)+1))&lt;100, IF(INDEX(ERP資料!$G:$G, (MATCH(363, 輔助計算!$G$2:$G$801, 0)+1))&lt;=31,3,IF(INDEX(ERP資料!$G:$G, (MATCH(363, 輔助計算!$G$2:$G$801, 0)+1))&lt;=46.5,2,1)), IF(INDEX(ERP資料!$G:$G, (MATCH(363, 輔助計算!$G$2:$G$801, 0)+1))&lt;=790,3,IF(INDEX(ERP資料!$G:$G, (MATCH(363, 輔助計算!$G$2:$G$801, 0)+1))&lt;=1181,2,1))))=0,"",IF(MOD(INDEX(輔助計算!$D:$D, (MATCH(363, 輔助計算!$G$2:$G$801, 0)+1)),IF(INDEX(ERP資料!$G:$G, (MATCH(363, 輔助計算!$G$2:$G$801, 0)+1))&lt;100, IF(INDEX(ERP資料!$G:$G, (MATCH(363, 輔助計算!$G$2:$G$801, 0)+1))&lt;=31,3,IF(INDEX(ERP資料!$G:$G, (MATCH(363, 輔助計算!$G$2:$G$801, 0)+1))&lt;=46.5,2,1)), IF(INDEX(ERP資料!$G:$G, (MATCH(363, 輔助計算!$G$2:$G$801, 0)+1))&lt;=790,3,IF(INDEX(ERP資料!$G:$G, (MATCH(363, 輔助計算!$G$2:$G$801, 0)+1))&lt;=1181,2,1))))=0,"",IF(MOD(INDEX(輔助計算!$D:$D, (MATCH(363, 輔助計算!$G$2:$G$801, 0)+1)),IF(INDEX(ERP資料!$G:$G, (MATCH(363, 輔助計算!$G$2:$G$801, 0)+1))&lt;100, IF(INDEX(ERP資料!$G:$G, (MATCH(363, 輔助計算!$G$2:$G$801, 0)+1))&lt;=31,3,IF(INDEX(ERP資料!$G:$G, (MATCH(363, 輔助計算!$G$2:$G$801, 0)+1))&lt;=46.5,2,1)), IF(INDEX(ERP資料!$G:$G, (MATCH(363, 輔助計算!$G$2:$G$801, 0)+1))&lt;=790,3,IF(INDEX(ERP資料!$G:$G, (MATCH(363, 輔助計算!$G$2:$G$801, 0)+1))&lt;=1181,2,1))))=1,TEXT(INDEX(ERP資料!$G:$G, (MATCH(363, 輔助計算!$G$2:$G$801, 0)+1)),"0.##"),IF(MOD(INDEX(輔助計算!$D:$D, (MATCH(363, 輔助計算!$G$2:$G$801, 0)+1)),IF(INDEX(ERP資料!$G:$G, (MATCH(363, 輔助計算!$G$2:$G$801, 0)+1))&lt;100, IF(INDEX(ERP資料!$G:$G, (MATCH(363, 輔助計算!$G$2:$G$801, 0)+1))&lt;=31,3,IF(INDEX(ERP資料!$G:$G, (MATCH(363, 輔助計算!$G$2:$G$801, 0)+1))&lt;=46.5,2,1)), IF(INDEX(ERP資料!$G:$G, (MATCH(363, 輔助計算!$G$2:$G$801, 0)+1))&lt;=790,3,IF(INDEX(ERP資料!$G:$G, (MATCH(363, 輔助計算!$G$2:$G$801, 0)+1))&lt;=1181,2,1))))=2,TEXT(INDEX(ERP資料!$G:$G, (MATCH(363, 輔助計算!$G$2:$G$801, 0)+1)),"0.##")&amp;"+"&amp;TEXT(INDEX(ERP資料!$G:$G, (MATCH(363, 輔助計算!$G$2:$G$801, 0)+1)),"0.##"),TEXT(INDEX(ERP資料!$G:$G, (MATCH(363, 輔助計算!$G$2:$G$801, 0)+1)),"0.##")&amp;"+"&amp;TEXT(INDEX(ERP資料!$G:$G, (MATCH(363, 輔助計算!$G$2:$G$801, 0)+1)),"0.##")&amp;"+"&amp;TEXT(INDEX(ERP資料!$G:$G, (MATCH(363, 輔助計算!$G$2:$G$801, 0)+1)),"0.##"))))&amp;"-1")), ""), "")</f>
        <v/>
      </c>
      <c r="K364" s="16" t="n"/>
      <c r="L364" s="14">
        <f>IFERROR(IF(AND(IFERROR(INDEX(ERP資料!$A:$A, (MATCH(363, 輔助計算!$G$2:$G$801, 0)+1)), "")&lt;&gt;"", IFERROR(INDEX(ERP資料!$A:$A, (MATCH(363, 輔助計算!$G$2:$G$801, 0)+1)), "")&lt;&gt;IFERROR(INDEX(ERP資料!$A:$A, MATCH(362, 輔助計算!$G$2:$G$801, 0)+1), "")), INDEX(ERP資料!$B:$B, (MATCH(363, 輔助計算!$G$2:$G$801, 0)+1)), ""), "")</f>
        <v/>
      </c>
      <c r="M364" s="17" t="n"/>
    </row>
    <row r="365">
      <c r="A365" s="10">
        <f>IFERROR(IF(AND(IFERROR(INDEX(ERP資料!$A:$A, (MATCH(364, 輔助計算!$G$2:$G$801, 0)+1)), "")&lt;&gt;"", IFERROR(INDEX(ERP資料!$A:$A, (MATCH(364, 輔助計算!$G$2:$G$801, 0)+1)), "")&lt;&gt;IFERROR(INDEX(ERP資料!$A:$A, MATCH(363, 輔助計算!$G$2:$G$801, 0)+1), "")), IFERROR(INDEX(ERP資料!$A:$A, (MATCH(364, 輔助計算!$G$2:$G$801, 0)+1)), ""), ""), "")</f>
        <v/>
      </c>
      <c r="B365" s="10">
        <f>IFERROR(IF(AND(IFERROR(INDEX(ERP資料!$A:$A, (MATCH(364, 輔助計算!$G$2:$G$801, 0)+1)), "")&lt;&gt;"", IFERROR(INDEX(ERP資料!$A:$A, (MATCH(364, 輔助計算!$G$2:$G$801, 0)+1)), "")&lt;&gt;IFERROR(INDEX(ERP資料!$A:$A, MATCH(363, 輔助計算!$G$2:$G$801, 0)+1), "")), INDEX(ERP資料!$S:$S, (MATCH(364, 輔助計算!$G$2:$G$801, 0)+1)), ""), "")</f>
        <v/>
      </c>
      <c r="C365" s="19">
        <f>IFERROR(IF(AND(IFERROR(INDEX(ERP資料!$A:$A, (MATCH(364, 輔助計算!$G$2:$G$801, 0)+1)), "")&lt;&gt;"", IFERROR(INDEX(ERP資料!$A:$A, (MATCH(364, 輔助計算!$G$2:$G$801, 0)+1)), "")&lt;&gt;IFERROR(INDEX(ERP資料!$A:$A, MATCH(363, 輔助計算!$G$2:$G$801, 0)+1), "")), IFERROR(VLOOKUP(LEFT(INDEX(ERP資料!$S:$S, (MATCH(364, 輔助計算!$G$2:$G$801, 0)+1)), 4), 紙管對照表!$A:$C, 3, FALSE), ""), ""), "")</f>
        <v/>
      </c>
      <c r="D365" s="16" t="n"/>
      <c r="E365" s="10">
        <f>IFERROR(IF(INDEX(ERP資料!$H:$H, (MATCH(364, 輔助計算!$G$2:$G$801, 0)+1))="","",INDEX(ERP資料!$H:$H, (MATCH(364, 輔助計算!$G$2:$G$801, 0)+1))), "")</f>
        <v/>
      </c>
      <c r="F365" s="10">
        <f>IFERROR(IF(INDEX(ERP資料!$E:$E, (MATCH(364, 輔助計算!$G$2:$G$801, 0)+1))="","",TRIM(INDEX(ERP資料!$E:$E, (MATCH(364, 輔助計算!$G$2:$G$801, 0)+1)))), "")</f>
        <v/>
      </c>
      <c r="G365" s="10">
        <f>IFERROR(IF(INDEX(ERP資料!$F:$F, (MATCH(364, 輔助計算!$G$2:$G$801, 0)+1))="","",INDEX(ERP資料!$F:$F, (MATCH(364, 輔助計算!$G$2:$G$801, 0)+1))), "")</f>
        <v/>
      </c>
      <c r="H365" s="10">
        <f>IFERROR(IF(INDEX(ERP資料!$G:$G, (MATCH(364, 輔助計算!$G$2:$G$801, 0)+1))="","",INDEX(ERP資料!$G:$G, (MATCH(364, 輔助計算!$G$2:$G$801, 0)+1))), "")</f>
        <v/>
      </c>
      <c r="I365" s="15">
        <f>IFERROR(INDEX(輔助計算!$D:$D, (MATCH(364, 輔助計算!$G$2:$G$801, 0)+1)), "")</f>
        <v/>
      </c>
      <c r="J365" s="15">
        <f>IFERROR(IF(AND(INDEX(輔助計算!$D:$D, (MATCH(364, 輔助計算!$G$2:$G$801, 0)+1))&lt;&gt;"", INDEX(ERP資料!$G:$G, (MATCH(364, 輔助計算!$G$2:$G$801, 0)+1))&lt;&gt;""), TRIM(IF(INT(INDEX(輔助計算!$D:$D, (MATCH(364, 輔助計算!$G$2:$G$801, 0)+1))/IF(INDEX(ERP資料!$G:$G, (MATCH(364, 輔助計算!$G$2:$G$801, 0)+1))&lt;100, IF(INDEX(ERP資料!$G:$G, (MATCH(364, 輔助計算!$G$2:$G$801, 0)+1))&lt;=31,3,IF(INDEX(ERP資料!$G:$G, (MATCH(364, 輔助計算!$G$2:$G$801, 0)+1))&lt;=46.5,2,1)), IF(INDEX(ERP資料!$G:$G, (MATCH(364, 輔助計算!$G$2:$G$801, 0)+1))&lt;=790,3,IF(INDEX(ERP資料!$G:$G, (MATCH(364, 輔助計算!$G$2:$G$801, 0)+1))&lt;=1181,2,1))))&gt;0, IF(IF(INDEX(ERP資料!$G:$G, (MATCH(364, 輔助計算!$G$2:$G$801, 0)+1))&lt;100, IF(INDEX(ERP資料!$G:$G, (MATCH(364, 輔助計算!$G$2:$G$801, 0)+1))&lt;=31,3,IF(INDEX(ERP資料!$G:$G, (MATCH(364, 輔助計算!$G$2:$G$801, 0)+1))&lt;=46.5,2,1)), IF(INDEX(ERP資料!$G:$G, (MATCH(364, 輔助計算!$G$2:$G$801, 0)+1))&lt;=790,3,IF(INDEX(ERP資料!$G:$G, (MATCH(364, 輔助計算!$G$2:$G$801, 0)+1))&lt;=1181,2,1)))=1,TEXT(INDEX(ERP資料!$G:$G, (MATCH(364, 輔助計算!$G$2:$G$801, 0)+1)),"0.##"),IF(IF(INDEX(ERP資料!$G:$G, (MATCH(364, 輔助計算!$G$2:$G$801, 0)+1))&lt;100, IF(INDEX(ERP資料!$G:$G, (MATCH(364, 輔助計算!$G$2:$G$801, 0)+1))&lt;=31,3,IF(INDEX(ERP資料!$G:$G, (MATCH(364, 輔助計算!$G$2:$G$801, 0)+1))&lt;=46.5,2,1)), IF(INDEX(ERP資料!$G:$G, (MATCH(364, 輔助計算!$G$2:$G$801, 0)+1))&lt;=790,3,IF(INDEX(ERP資料!$G:$G, (MATCH(364, 輔助計算!$G$2:$G$801, 0)+1))&lt;=1181,2,1)))=2,TEXT(INDEX(ERP資料!$G:$G, (MATCH(364, 輔助計算!$G$2:$G$801, 0)+1)),"0.##")&amp;"+"&amp;TEXT(INDEX(ERP資料!$G:$G, (MATCH(364, 輔助計算!$G$2:$G$801, 0)+1)),"0.##"),TEXT(INDEX(ERP資料!$G:$G, (MATCH(364, 輔助計算!$G$2:$G$801, 0)+1)),"0.##")&amp;"+"&amp;TEXT(INDEX(ERP資料!$G:$G, (MATCH(364, 輔助計算!$G$2:$G$801, 0)+1)),"0.##")&amp;"+"&amp;TEXT(INDEX(ERP資料!$G:$G, (MATCH(364, 輔助計算!$G$2:$G$801, 0)+1)),"0.##")))&amp;"-"&amp;INT(INDEX(輔助計算!$D:$D, (MATCH(364, 輔助計算!$G$2:$G$801, 0)+1))/IF(INDEX(ERP資料!$G:$G, (MATCH(364, 輔助計算!$G$2:$G$801, 0)+1))&lt;100, IF(INDEX(ERP資料!$G:$G, (MATCH(364, 輔助計算!$G$2:$G$801, 0)+1))&lt;=31,3,IF(INDEX(ERP資料!$G:$G, (MATCH(364, 輔助計算!$G$2:$G$801, 0)+1))&lt;=46.5,2,1)), IF(INDEX(ERP資料!$G:$G, (MATCH(364, 輔助計算!$G$2:$G$801, 0)+1))&lt;=790,3,IF(INDEX(ERP資料!$G:$G, (MATCH(364, 輔助計算!$G$2:$G$801, 0)+1))&lt;=1181,2,1)))), "")&amp;IF(AND(IF(INT(INDEX(輔助計算!$D:$D, (MATCH(364, 輔助計算!$G$2:$G$801, 0)+1))/IF(INDEX(ERP資料!$G:$G, (MATCH(364, 輔助計算!$G$2:$G$801, 0)+1))&lt;100, IF(INDEX(ERP資料!$G:$G, (MATCH(364, 輔助計算!$G$2:$G$801, 0)+1))&lt;=31,3,IF(INDEX(ERP資料!$G:$G, (MATCH(364, 輔助計算!$G$2:$G$801, 0)+1))&lt;=46.5,2,1)), IF(INDEX(ERP資料!$G:$G, (MATCH(364, 輔助計算!$G$2:$G$801, 0)+1))&lt;=790,3,IF(INDEX(ERP資料!$G:$G, (MATCH(364, 輔助計算!$G$2:$G$801, 0)+1))&lt;=1181,2,1))))&gt;0, IF(IF(INDEX(ERP資料!$G:$G, (MATCH(364, 輔助計算!$G$2:$G$801, 0)+1))&lt;100, IF(INDEX(ERP資料!$G:$G, (MATCH(364, 輔助計算!$G$2:$G$801, 0)+1))&lt;=31,3,IF(INDEX(ERP資料!$G:$G, (MATCH(364, 輔助計算!$G$2:$G$801, 0)+1))&lt;=46.5,2,1)), IF(INDEX(ERP資料!$G:$G, (MATCH(364, 輔助計算!$G$2:$G$801, 0)+1))&lt;=790,3,IF(INDEX(ERP資料!$G:$G, (MATCH(364, 輔助計算!$G$2:$G$801, 0)+1))&lt;=1181,2,1)))=1,TEXT(INDEX(ERP資料!$G:$G, (MATCH(364, 輔助計算!$G$2:$G$801, 0)+1)),"0.##"),IF(IF(INDEX(ERP資料!$G:$G, (MATCH(364, 輔助計算!$G$2:$G$801, 0)+1))&lt;100, IF(INDEX(ERP資料!$G:$G, (MATCH(364, 輔助計算!$G$2:$G$801, 0)+1))&lt;=31,3,IF(INDEX(ERP資料!$G:$G, (MATCH(364, 輔助計算!$G$2:$G$801, 0)+1))&lt;=46.5,2,1)), IF(INDEX(ERP資料!$G:$G, (MATCH(364, 輔助計算!$G$2:$G$801, 0)+1))&lt;=790,3,IF(INDEX(ERP資料!$G:$G, (MATCH(364, 輔助計算!$G$2:$G$801, 0)+1))&lt;=1181,2,1)))=2,TEXT(INDEX(ERP資料!$G:$G, (MATCH(364, 輔助計算!$G$2:$G$801, 0)+1)),"0.##")&amp;"+"&amp;TEXT(INDEX(ERP資料!$G:$G, (MATCH(364, 輔助計算!$G$2:$G$801, 0)+1)),"0.##"),TEXT(INDEX(ERP資料!$G:$G, (MATCH(364, 輔助計算!$G$2:$G$801, 0)+1)),"0.##")&amp;"+"&amp;TEXT(INDEX(ERP資料!$G:$G, (MATCH(364, 輔助計算!$G$2:$G$801, 0)+1)),"0.##")&amp;"+"&amp;TEXT(INDEX(ERP資料!$G:$G, (MATCH(364, 輔助計算!$G$2:$G$801, 0)+1)),"0.##")))&amp;"-"&amp;INT(INDEX(輔助計算!$D:$D, (MATCH(364, 輔助計算!$G$2:$G$801, 0)+1))/IF(INDEX(ERP資料!$G:$G, (MATCH(364, 輔助計算!$G$2:$G$801, 0)+1))&lt;100, IF(INDEX(ERP資料!$G:$G, (MATCH(364, 輔助計算!$G$2:$G$801, 0)+1))&lt;=31,3,IF(INDEX(ERP資料!$G:$G, (MATCH(364, 輔助計算!$G$2:$G$801, 0)+1))&lt;=46.5,2,1)), IF(INDEX(ERP資料!$G:$G, (MATCH(364, 輔助計算!$G$2:$G$801, 0)+1))&lt;=790,3,IF(INDEX(ERP資料!$G:$G, (MATCH(364, 輔助計算!$G$2:$G$801, 0)+1))&lt;=1181,2,1)))), "")&lt;&gt;"",IF(MOD(INDEX(輔助計算!$D:$D, (MATCH(364, 輔助計算!$G$2:$G$801, 0)+1)),IF(INDEX(ERP資料!$G:$G, (MATCH(364, 輔助計算!$G$2:$G$801, 0)+1))&lt;100, IF(INDEX(ERP資料!$G:$G, (MATCH(364, 輔助計算!$G$2:$G$801, 0)+1))&lt;=31,3,IF(INDEX(ERP資料!$G:$G, (MATCH(364, 輔助計算!$G$2:$G$801, 0)+1))&lt;=46.5,2,1)), IF(INDEX(ERP資料!$G:$G, (MATCH(364, 輔助計算!$G$2:$G$801, 0)+1))&lt;=790,3,IF(INDEX(ERP資料!$G:$G, (MATCH(364, 輔助計算!$G$2:$G$801, 0)+1))&lt;=1181,2,1))))=0,"",IF(MOD(INDEX(輔助計算!$D:$D, (MATCH(364, 輔助計算!$G$2:$G$801, 0)+1)),IF(INDEX(ERP資料!$G:$G, (MATCH(364, 輔助計算!$G$2:$G$801, 0)+1))&lt;100, IF(INDEX(ERP資料!$G:$G, (MATCH(364, 輔助計算!$G$2:$G$801, 0)+1))&lt;=31,3,IF(INDEX(ERP資料!$G:$G, (MATCH(364, 輔助計算!$G$2:$G$801, 0)+1))&lt;=46.5,2,1)), IF(INDEX(ERP資料!$G:$G, (MATCH(364, 輔助計算!$G$2:$G$801, 0)+1))&lt;=790,3,IF(INDEX(ERP資料!$G:$G, (MATCH(364, 輔助計算!$G$2:$G$801, 0)+1))&lt;=1181,2,1))))=0,"",IF(MOD(INDEX(輔助計算!$D:$D, (MATCH(364, 輔助計算!$G$2:$G$801, 0)+1)),IF(INDEX(ERP資料!$G:$G, (MATCH(364, 輔助計算!$G$2:$G$801, 0)+1))&lt;100, IF(INDEX(ERP資料!$G:$G, (MATCH(364, 輔助計算!$G$2:$G$801, 0)+1))&lt;=31,3,IF(INDEX(ERP資料!$G:$G, (MATCH(364, 輔助計算!$G$2:$G$801, 0)+1))&lt;=46.5,2,1)), IF(INDEX(ERP資料!$G:$G, (MATCH(364, 輔助計算!$G$2:$G$801, 0)+1))&lt;=790,3,IF(INDEX(ERP資料!$G:$G, (MATCH(364, 輔助計算!$G$2:$G$801, 0)+1))&lt;=1181,2,1))))=1,TEXT(INDEX(ERP資料!$G:$G, (MATCH(364, 輔助計算!$G$2:$G$801, 0)+1)),"0.##"),IF(MOD(INDEX(輔助計算!$D:$D, (MATCH(364, 輔助計算!$G$2:$G$801, 0)+1)),IF(INDEX(ERP資料!$G:$G, (MATCH(364, 輔助計算!$G$2:$G$801, 0)+1))&lt;100, IF(INDEX(ERP資料!$G:$G, (MATCH(364, 輔助計算!$G$2:$G$801, 0)+1))&lt;=31,3,IF(INDEX(ERP資料!$G:$G, (MATCH(364, 輔助計算!$G$2:$G$801, 0)+1))&lt;=46.5,2,1)), IF(INDEX(ERP資料!$G:$G, (MATCH(364, 輔助計算!$G$2:$G$801, 0)+1))&lt;=790,3,IF(INDEX(ERP資料!$G:$G, (MATCH(364, 輔助計算!$G$2:$G$801, 0)+1))&lt;=1181,2,1))))=2,TEXT(INDEX(ERP資料!$G:$G, (MATCH(364, 輔助計算!$G$2:$G$801, 0)+1)),"0.##")&amp;"+"&amp;TEXT(INDEX(ERP資料!$G:$G, (MATCH(364, 輔助計算!$G$2:$G$801, 0)+1)),"0.##"),TEXT(INDEX(ERP資料!$G:$G, (MATCH(364, 輔助計算!$G$2:$G$801, 0)+1)),"0.##")&amp;"+"&amp;TEXT(INDEX(ERP資料!$G:$G, (MATCH(364, 輔助計算!$G$2:$G$801, 0)+1)),"0.##")&amp;"+"&amp;TEXT(INDEX(ERP資料!$G:$G, (MATCH(364, 輔助計算!$G$2:$G$801, 0)+1)),"0.##"))))&amp;"-1")&lt;&gt;""),"  ","")&amp;IF(MOD(INDEX(輔助計算!$D:$D, (MATCH(364, 輔助計算!$G$2:$G$801, 0)+1)),IF(INDEX(ERP資料!$G:$G, (MATCH(364, 輔助計算!$G$2:$G$801, 0)+1))&lt;100, IF(INDEX(ERP資料!$G:$G, (MATCH(364, 輔助計算!$G$2:$G$801, 0)+1))&lt;=31,3,IF(INDEX(ERP資料!$G:$G, (MATCH(364, 輔助計算!$G$2:$G$801, 0)+1))&lt;=46.5,2,1)), IF(INDEX(ERP資料!$G:$G, (MATCH(364, 輔助計算!$G$2:$G$801, 0)+1))&lt;=790,3,IF(INDEX(ERP資料!$G:$G, (MATCH(364, 輔助計算!$G$2:$G$801, 0)+1))&lt;=1181,2,1))))=0,"",IF(MOD(INDEX(輔助計算!$D:$D, (MATCH(364, 輔助計算!$G$2:$G$801, 0)+1)),IF(INDEX(ERP資料!$G:$G, (MATCH(364, 輔助計算!$G$2:$G$801, 0)+1))&lt;100, IF(INDEX(ERP資料!$G:$G, (MATCH(364, 輔助計算!$G$2:$G$801, 0)+1))&lt;=31,3,IF(INDEX(ERP資料!$G:$G, (MATCH(364, 輔助計算!$G$2:$G$801, 0)+1))&lt;=46.5,2,1)), IF(INDEX(ERP資料!$G:$G, (MATCH(364, 輔助計算!$G$2:$G$801, 0)+1))&lt;=790,3,IF(INDEX(ERP資料!$G:$G, (MATCH(364, 輔助計算!$G$2:$G$801, 0)+1))&lt;=1181,2,1))))=0,"",IF(MOD(INDEX(輔助計算!$D:$D, (MATCH(364, 輔助計算!$G$2:$G$801, 0)+1)),IF(INDEX(ERP資料!$G:$G, (MATCH(364, 輔助計算!$G$2:$G$801, 0)+1))&lt;100, IF(INDEX(ERP資料!$G:$G, (MATCH(364, 輔助計算!$G$2:$G$801, 0)+1))&lt;=31,3,IF(INDEX(ERP資料!$G:$G, (MATCH(364, 輔助計算!$G$2:$G$801, 0)+1))&lt;=46.5,2,1)), IF(INDEX(ERP資料!$G:$G, (MATCH(364, 輔助計算!$G$2:$G$801, 0)+1))&lt;=790,3,IF(INDEX(ERP資料!$G:$G, (MATCH(364, 輔助計算!$G$2:$G$801, 0)+1))&lt;=1181,2,1))))=1,TEXT(INDEX(ERP資料!$G:$G, (MATCH(364, 輔助計算!$G$2:$G$801, 0)+1)),"0.##"),IF(MOD(INDEX(輔助計算!$D:$D, (MATCH(364, 輔助計算!$G$2:$G$801, 0)+1)),IF(INDEX(ERP資料!$G:$G, (MATCH(364, 輔助計算!$G$2:$G$801, 0)+1))&lt;100, IF(INDEX(ERP資料!$G:$G, (MATCH(364, 輔助計算!$G$2:$G$801, 0)+1))&lt;=31,3,IF(INDEX(ERP資料!$G:$G, (MATCH(364, 輔助計算!$G$2:$G$801, 0)+1))&lt;=46.5,2,1)), IF(INDEX(ERP資料!$G:$G, (MATCH(364, 輔助計算!$G$2:$G$801, 0)+1))&lt;=790,3,IF(INDEX(ERP資料!$G:$G, (MATCH(364, 輔助計算!$G$2:$G$801, 0)+1))&lt;=1181,2,1))))=2,TEXT(INDEX(ERP資料!$G:$G, (MATCH(364, 輔助計算!$G$2:$G$801, 0)+1)),"0.##")&amp;"+"&amp;TEXT(INDEX(ERP資料!$G:$G, (MATCH(364, 輔助計算!$G$2:$G$801, 0)+1)),"0.##"),TEXT(INDEX(ERP資料!$G:$G, (MATCH(364, 輔助計算!$G$2:$G$801, 0)+1)),"0.##")&amp;"+"&amp;TEXT(INDEX(ERP資料!$G:$G, (MATCH(364, 輔助計算!$G$2:$G$801, 0)+1)),"0.##")&amp;"+"&amp;TEXT(INDEX(ERP資料!$G:$G, (MATCH(364, 輔助計算!$G$2:$G$801, 0)+1)),"0.##"))))&amp;"-1")), ""), "")</f>
        <v/>
      </c>
      <c r="K365" s="16" t="n"/>
      <c r="L365" s="14">
        <f>IFERROR(IF(AND(IFERROR(INDEX(ERP資料!$A:$A, (MATCH(364, 輔助計算!$G$2:$G$801, 0)+1)), "")&lt;&gt;"", IFERROR(INDEX(ERP資料!$A:$A, (MATCH(364, 輔助計算!$G$2:$G$801, 0)+1)), "")&lt;&gt;IFERROR(INDEX(ERP資料!$A:$A, MATCH(363, 輔助計算!$G$2:$G$801, 0)+1), "")), INDEX(ERP資料!$B:$B, (MATCH(364, 輔助計算!$G$2:$G$801, 0)+1)), ""), "")</f>
        <v/>
      </c>
      <c r="M365" s="17" t="n"/>
    </row>
    <row r="366">
      <c r="A366" s="10">
        <f>IFERROR(IF(AND(IFERROR(INDEX(ERP資料!$A:$A, (MATCH(365, 輔助計算!$G$2:$G$801, 0)+1)), "")&lt;&gt;"", IFERROR(INDEX(ERP資料!$A:$A, (MATCH(365, 輔助計算!$G$2:$G$801, 0)+1)), "")&lt;&gt;IFERROR(INDEX(ERP資料!$A:$A, MATCH(364, 輔助計算!$G$2:$G$801, 0)+1), "")), IFERROR(INDEX(ERP資料!$A:$A, (MATCH(365, 輔助計算!$G$2:$G$801, 0)+1)), ""), ""), "")</f>
        <v/>
      </c>
      <c r="B366" s="10">
        <f>IFERROR(IF(AND(IFERROR(INDEX(ERP資料!$A:$A, (MATCH(365, 輔助計算!$G$2:$G$801, 0)+1)), "")&lt;&gt;"", IFERROR(INDEX(ERP資料!$A:$A, (MATCH(365, 輔助計算!$G$2:$G$801, 0)+1)), "")&lt;&gt;IFERROR(INDEX(ERP資料!$A:$A, MATCH(364, 輔助計算!$G$2:$G$801, 0)+1), "")), INDEX(ERP資料!$S:$S, (MATCH(365, 輔助計算!$G$2:$G$801, 0)+1)), ""), "")</f>
        <v/>
      </c>
      <c r="C366" s="19">
        <f>IFERROR(IF(AND(IFERROR(INDEX(ERP資料!$A:$A, (MATCH(365, 輔助計算!$G$2:$G$801, 0)+1)), "")&lt;&gt;"", IFERROR(INDEX(ERP資料!$A:$A, (MATCH(365, 輔助計算!$G$2:$G$801, 0)+1)), "")&lt;&gt;IFERROR(INDEX(ERP資料!$A:$A, MATCH(364, 輔助計算!$G$2:$G$801, 0)+1), "")), IFERROR(VLOOKUP(LEFT(INDEX(ERP資料!$S:$S, (MATCH(365, 輔助計算!$G$2:$G$801, 0)+1)), 4), 紙管對照表!$A:$C, 3, FALSE), ""), ""), "")</f>
        <v/>
      </c>
      <c r="D366" s="16" t="n"/>
      <c r="E366" s="10">
        <f>IFERROR(IF(INDEX(ERP資料!$H:$H, (MATCH(365, 輔助計算!$G$2:$G$801, 0)+1))="","",INDEX(ERP資料!$H:$H, (MATCH(365, 輔助計算!$G$2:$G$801, 0)+1))), "")</f>
        <v/>
      </c>
      <c r="F366" s="10">
        <f>IFERROR(IF(INDEX(ERP資料!$E:$E, (MATCH(365, 輔助計算!$G$2:$G$801, 0)+1))="","",TRIM(INDEX(ERP資料!$E:$E, (MATCH(365, 輔助計算!$G$2:$G$801, 0)+1)))), "")</f>
        <v/>
      </c>
      <c r="G366" s="10">
        <f>IFERROR(IF(INDEX(ERP資料!$F:$F, (MATCH(365, 輔助計算!$G$2:$G$801, 0)+1))="","",INDEX(ERP資料!$F:$F, (MATCH(365, 輔助計算!$G$2:$G$801, 0)+1))), "")</f>
        <v/>
      </c>
      <c r="H366" s="10">
        <f>IFERROR(IF(INDEX(ERP資料!$G:$G, (MATCH(365, 輔助計算!$G$2:$G$801, 0)+1))="","",INDEX(ERP資料!$G:$G, (MATCH(365, 輔助計算!$G$2:$G$801, 0)+1))), "")</f>
        <v/>
      </c>
      <c r="I366" s="15">
        <f>IFERROR(INDEX(輔助計算!$D:$D, (MATCH(365, 輔助計算!$G$2:$G$801, 0)+1)), "")</f>
        <v/>
      </c>
      <c r="J366" s="15">
        <f>IFERROR(IF(AND(INDEX(輔助計算!$D:$D, (MATCH(365, 輔助計算!$G$2:$G$801, 0)+1))&lt;&gt;"", INDEX(ERP資料!$G:$G, (MATCH(365, 輔助計算!$G$2:$G$801, 0)+1))&lt;&gt;""), TRIM(IF(INT(INDEX(輔助計算!$D:$D, (MATCH(365, 輔助計算!$G$2:$G$801, 0)+1))/IF(INDEX(ERP資料!$G:$G, (MATCH(365, 輔助計算!$G$2:$G$801, 0)+1))&lt;100, IF(INDEX(ERP資料!$G:$G, (MATCH(365, 輔助計算!$G$2:$G$801, 0)+1))&lt;=31,3,IF(INDEX(ERP資料!$G:$G, (MATCH(365, 輔助計算!$G$2:$G$801, 0)+1))&lt;=46.5,2,1)), IF(INDEX(ERP資料!$G:$G, (MATCH(365, 輔助計算!$G$2:$G$801, 0)+1))&lt;=790,3,IF(INDEX(ERP資料!$G:$G, (MATCH(365, 輔助計算!$G$2:$G$801, 0)+1))&lt;=1181,2,1))))&gt;0, IF(IF(INDEX(ERP資料!$G:$G, (MATCH(365, 輔助計算!$G$2:$G$801, 0)+1))&lt;100, IF(INDEX(ERP資料!$G:$G, (MATCH(365, 輔助計算!$G$2:$G$801, 0)+1))&lt;=31,3,IF(INDEX(ERP資料!$G:$G, (MATCH(365, 輔助計算!$G$2:$G$801, 0)+1))&lt;=46.5,2,1)), IF(INDEX(ERP資料!$G:$G, (MATCH(365, 輔助計算!$G$2:$G$801, 0)+1))&lt;=790,3,IF(INDEX(ERP資料!$G:$G, (MATCH(365, 輔助計算!$G$2:$G$801, 0)+1))&lt;=1181,2,1)))=1,TEXT(INDEX(ERP資料!$G:$G, (MATCH(365, 輔助計算!$G$2:$G$801, 0)+1)),"0.##"),IF(IF(INDEX(ERP資料!$G:$G, (MATCH(365, 輔助計算!$G$2:$G$801, 0)+1))&lt;100, IF(INDEX(ERP資料!$G:$G, (MATCH(365, 輔助計算!$G$2:$G$801, 0)+1))&lt;=31,3,IF(INDEX(ERP資料!$G:$G, (MATCH(365, 輔助計算!$G$2:$G$801, 0)+1))&lt;=46.5,2,1)), IF(INDEX(ERP資料!$G:$G, (MATCH(365, 輔助計算!$G$2:$G$801, 0)+1))&lt;=790,3,IF(INDEX(ERP資料!$G:$G, (MATCH(365, 輔助計算!$G$2:$G$801, 0)+1))&lt;=1181,2,1)))=2,TEXT(INDEX(ERP資料!$G:$G, (MATCH(365, 輔助計算!$G$2:$G$801, 0)+1)),"0.##")&amp;"+"&amp;TEXT(INDEX(ERP資料!$G:$G, (MATCH(365, 輔助計算!$G$2:$G$801, 0)+1)),"0.##"),TEXT(INDEX(ERP資料!$G:$G, (MATCH(365, 輔助計算!$G$2:$G$801, 0)+1)),"0.##")&amp;"+"&amp;TEXT(INDEX(ERP資料!$G:$G, (MATCH(365, 輔助計算!$G$2:$G$801, 0)+1)),"0.##")&amp;"+"&amp;TEXT(INDEX(ERP資料!$G:$G, (MATCH(365, 輔助計算!$G$2:$G$801, 0)+1)),"0.##")))&amp;"-"&amp;INT(INDEX(輔助計算!$D:$D, (MATCH(365, 輔助計算!$G$2:$G$801, 0)+1))/IF(INDEX(ERP資料!$G:$G, (MATCH(365, 輔助計算!$G$2:$G$801, 0)+1))&lt;100, IF(INDEX(ERP資料!$G:$G, (MATCH(365, 輔助計算!$G$2:$G$801, 0)+1))&lt;=31,3,IF(INDEX(ERP資料!$G:$G, (MATCH(365, 輔助計算!$G$2:$G$801, 0)+1))&lt;=46.5,2,1)), IF(INDEX(ERP資料!$G:$G, (MATCH(365, 輔助計算!$G$2:$G$801, 0)+1))&lt;=790,3,IF(INDEX(ERP資料!$G:$G, (MATCH(365, 輔助計算!$G$2:$G$801, 0)+1))&lt;=1181,2,1)))), "")&amp;IF(AND(IF(INT(INDEX(輔助計算!$D:$D, (MATCH(365, 輔助計算!$G$2:$G$801, 0)+1))/IF(INDEX(ERP資料!$G:$G, (MATCH(365, 輔助計算!$G$2:$G$801, 0)+1))&lt;100, IF(INDEX(ERP資料!$G:$G, (MATCH(365, 輔助計算!$G$2:$G$801, 0)+1))&lt;=31,3,IF(INDEX(ERP資料!$G:$G, (MATCH(365, 輔助計算!$G$2:$G$801, 0)+1))&lt;=46.5,2,1)), IF(INDEX(ERP資料!$G:$G, (MATCH(365, 輔助計算!$G$2:$G$801, 0)+1))&lt;=790,3,IF(INDEX(ERP資料!$G:$G, (MATCH(365, 輔助計算!$G$2:$G$801, 0)+1))&lt;=1181,2,1))))&gt;0, IF(IF(INDEX(ERP資料!$G:$G, (MATCH(365, 輔助計算!$G$2:$G$801, 0)+1))&lt;100, IF(INDEX(ERP資料!$G:$G, (MATCH(365, 輔助計算!$G$2:$G$801, 0)+1))&lt;=31,3,IF(INDEX(ERP資料!$G:$G, (MATCH(365, 輔助計算!$G$2:$G$801, 0)+1))&lt;=46.5,2,1)), IF(INDEX(ERP資料!$G:$G, (MATCH(365, 輔助計算!$G$2:$G$801, 0)+1))&lt;=790,3,IF(INDEX(ERP資料!$G:$G, (MATCH(365, 輔助計算!$G$2:$G$801, 0)+1))&lt;=1181,2,1)))=1,TEXT(INDEX(ERP資料!$G:$G, (MATCH(365, 輔助計算!$G$2:$G$801, 0)+1)),"0.##"),IF(IF(INDEX(ERP資料!$G:$G, (MATCH(365, 輔助計算!$G$2:$G$801, 0)+1))&lt;100, IF(INDEX(ERP資料!$G:$G, (MATCH(365, 輔助計算!$G$2:$G$801, 0)+1))&lt;=31,3,IF(INDEX(ERP資料!$G:$G, (MATCH(365, 輔助計算!$G$2:$G$801, 0)+1))&lt;=46.5,2,1)), IF(INDEX(ERP資料!$G:$G, (MATCH(365, 輔助計算!$G$2:$G$801, 0)+1))&lt;=790,3,IF(INDEX(ERP資料!$G:$G, (MATCH(365, 輔助計算!$G$2:$G$801, 0)+1))&lt;=1181,2,1)))=2,TEXT(INDEX(ERP資料!$G:$G, (MATCH(365, 輔助計算!$G$2:$G$801, 0)+1)),"0.##")&amp;"+"&amp;TEXT(INDEX(ERP資料!$G:$G, (MATCH(365, 輔助計算!$G$2:$G$801, 0)+1)),"0.##"),TEXT(INDEX(ERP資料!$G:$G, (MATCH(365, 輔助計算!$G$2:$G$801, 0)+1)),"0.##")&amp;"+"&amp;TEXT(INDEX(ERP資料!$G:$G, (MATCH(365, 輔助計算!$G$2:$G$801, 0)+1)),"0.##")&amp;"+"&amp;TEXT(INDEX(ERP資料!$G:$G, (MATCH(365, 輔助計算!$G$2:$G$801, 0)+1)),"0.##")))&amp;"-"&amp;INT(INDEX(輔助計算!$D:$D, (MATCH(365, 輔助計算!$G$2:$G$801, 0)+1))/IF(INDEX(ERP資料!$G:$G, (MATCH(365, 輔助計算!$G$2:$G$801, 0)+1))&lt;100, IF(INDEX(ERP資料!$G:$G, (MATCH(365, 輔助計算!$G$2:$G$801, 0)+1))&lt;=31,3,IF(INDEX(ERP資料!$G:$G, (MATCH(365, 輔助計算!$G$2:$G$801, 0)+1))&lt;=46.5,2,1)), IF(INDEX(ERP資料!$G:$G, (MATCH(365, 輔助計算!$G$2:$G$801, 0)+1))&lt;=790,3,IF(INDEX(ERP資料!$G:$G, (MATCH(365, 輔助計算!$G$2:$G$801, 0)+1))&lt;=1181,2,1)))), "")&lt;&gt;"",IF(MOD(INDEX(輔助計算!$D:$D, (MATCH(365, 輔助計算!$G$2:$G$801, 0)+1)),IF(INDEX(ERP資料!$G:$G, (MATCH(365, 輔助計算!$G$2:$G$801, 0)+1))&lt;100, IF(INDEX(ERP資料!$G:$G, (MATCH(365, 輔助計算!$G$2:$G$801, 0)+1))&lt;=31,3,IF(INDEX(ERP資料!$G:$G, (MATCH(365, 輔助計算!$G$2:$G$801, 0)+1))&lt;=46.5,2,1)), IF(INDEX(ERP資料!$G:$G, (MATCH(365, 輔助計算!$G$2:$G$801, 0)+1))&lt;=790,3,IF(INDEX(ERP資料!$G:$G, (MATCH(365, 輔助計算!$G$2:$G$801, 0)+1))&lt;=1181,2,1))))=0,"",IF(MOD(INDEX(輔助計算!$D:$D, (MATCH(365, 輔助計算!$G$2:$G$801, 0)+1)),IF(INDEX(ERP資料!$G:$G, (MATCH(365, 輔助計算!$G$2:$G$801, 0)+1))&lt;100, IF(INDEX(ERP資料!$G:$G, (MATCH(365, 輔助計算!$G$2:$G$801, 0)+1))&lt;=31,3,IF(INDEX(ERP資料!$G:$G, (MATCH(365, 輔助計算!$G$2:$G$801, 0)+1))&lt;=46.5,2,1)), IF(INDEX(ERP資料!$G:$G, (MATCH(365, 輔助計算!$G$2:$G$801, 0)+1))&lt;=790,3,IF(INDEX(ERP資料!$G:$G, (MATCH(365, 輔助計算!$G$2:$G$801, 0)+1))&lt;=1181,2,1))))=0,"",IF(MOD(INDEX(輔助計算!$D:$D, (MATCH(365, 輔助計算!$G$2:$G$801, 0)+1)),IF(INDEX(ERP資料!$G:$G, (MATCH(365, 輔助計算!$G$2:$G$801, 0)+1))&lt;100, IF(INDEX(ERP資料!$G:$G, (MATCH(365, 輔助計算!$G$2:$G$801, 0)+1))&lt;=31,3,IF(INDEX(ERP資料!$G:$G, (MATCH(365, 輔助計算!$G$2:$G$801, 0)+1))&lt;=46.5,2,1)), IF(INDEX(ERP資料!$G:$G, (MATCH(365, 輔助計算!$G$2:$G$801, 0)+1))&lt;=790,3,IF(INDEX(ERP資料!$G:$G, (MATCH(365, 輔助計算!$G$2:$G$801, 0)+1))&lt;=1181,2,1))))=1,TEXT(INDEX(ERP資料!$G:$G, (MATCH(365, 輔助計算!$G$2:$G$801, 0)+1)),"0.##"),IF(MOD(INDEX(輔助計算!$D:$D, (MATCH(365, 輔助計算!$G$2:$G$801, 0)+1)),IF(INDEX(ERP資料!$G:$G, (MATCH(365, 輔助計算!$G$2:$G$801, 0)+1))&lt;100, IF(INDEX(ERP資料!$G:$G, (MATCH(365, 輔助計算!$G$2:$G$801, 0)+1))&lt;=31,3,IF(INDEX(ERP資料!$G:$G, (MATCH(365, 輔助計算!$G$2:$G$801, 0)+1))&lt;=46.5,2,1)), IF(INDEX(ERP資料!$G:$G, (MATCH(365, 輔助計算!$G$2:$G$801, 0)+1))&lt;=790,3,IF(INDEX(ERP資料!$G:$G, (MATCH(365, 輔助計算!$G$2:$G$801, 0)+1))&lt;=1181,2,1))))=2,TEXT(INDEX(ERP資料!$G:$G, (MATCH(365, 輔助計算!$G$2:$G$801, 0)+1)),"0.##")&amp;"+"&amp;TEXT(INDEX(ERP資料!$G:$G, (MATCH(365, 輔助計算!$G$2:$G$801, 0)+1)),"0.##"),TEXT(INDEX(ERP資料!$G:$G, (MATCH(365, 輔助計算!$G$2:$G$801, 0)+1)),"0.##")&amp;"+"&amp;TEXT(INDEX(ERP資料!$G:$G, (MATCH(365, 輔助計算!$G$2:$G$801, 0)+1)),"0.##")&amp;"+"&amp;TEXT(INDEX(ERP資料!$G:$G, (MATCH(365, 輔助計算!$G$2:$G$801, 0)+1)),"0.##"))))&amp;"-1")&lt;&gt;""),"  ","")&amp;IF(MOD(INDEX(輔助計算!$D:$D, (MATCH(365, 輔助計算!$G$2:$G$801, 0)+1)),IF(INDEX(ERP資料!$G:$G, (MATCH(365, 輔助計算!$G$2:$G$801, 0)+1))&lt;100, IF(INDEX(ERP資料!$G:$G, (MATCH(365, 輔助計算!$G$2:$G$801, 0)+1))&lt;=31,3,IF(INDEX(ERP資料!$G:$G, (MATCH(365, 輔助計算!$G$2:$G$801, 0)+1))&lt;=46.5,2,1)), IF(INDEX(ERP資料!$G:$G, (MATCH(365, 輔助計算!$G$2:$G$801, 0)+1))&lt;=790,3,IF(INDEX(ERP資料!$G:$G, (MATCH(365, 輔助計算!$G$2:$G$801, 0)+1))&lt;=1181,2,1))))=0,"",IF(MOD(INDEX(輔助計算!$D:$D, (MATCH(365, 輔助計算!$G$2:$G$801, 0)+1)),IF(INDEX(ERP資料!$G:$G, (MATCH(365, 輔助計算!$G$2:$G$801, 0)+1))&lt;100, IF(INDEX(ERP資料!$G:$G, (MATCH(365, 輔助計算!$G$2:$G$801, 0)+1))&lt;=31,3,IF(INDEX(ERP資料!$G:$G, (MATCH(365, 輔助計算!$G$2:$G$801, 0)+1))&lt;=46.5,2,1)), IF(INDEX(ERP資料!$G:$G, (MATCH(365, 輔助計算!$G$2:$G$801, 0)+1))&lt;=790,3,IF(INDEX(ERP資料!$G:$G, (MATCH(365, 輔助計算!$G$2:$G$801, 0)+1))&lt;=1181,2,1))))=0,"",IF(MOD(INDEX(輔助計算!$D:$D, (MATCH(365, 輔助計算!$G$2:$G$801, 0)+1)),IF(INDEX(ERP資料!$G:$G, (MATCH(365, 輔助計算!$G$2:$G$801, 0)+1))&lt;100, IF(INDEX(ERP資料!$G:$G, (MATCH(365, 輔助計算!$G$2:$G$801, 0)+1))&lt;=31,3,IF(INDEX(ERP資料!$G:$G, (MATCH(365, 輔助計算!$G$2:$G$801, 0)+1))&lt;=46.5,2,1)), IF(INDEX(ERP資料!$G:$G, (MATCH(365, 輔助計算!$G$2:$G$801, 0)+1))&lt;=790,3,IF(INDEX(ERP資料!$G:$G, (MATCH(365, 輔助計算!$G$2:$G$801, 0)+1))&lt;=1181,2,1))))=1,TEXT(INDEX(ERP資料!$G:$G, (MATCH(365, 輔助計算!$G$2:$G$801, 0)+1)),"0.##"),IF(MOD(INDEX(輔助計算!$D:$D, (MATCH(365, 輔助計算!$G$2:$G$801, 0)+1)),IF(INDEX(ERP資料!$G:$G, (MATCH(365, 輔助計算!$G$2:$G$801, 0)+1))&lt;100, IF(INDEX(ERP資料!$G:$G, (MATCH(365, 輔助計算!$G$2:$G$801, 0)+1))&lt;=31,3,IF(INDEX(ERP資料!$G:$G, (MATCH(365, 輔助計算!$G$2:$G$801, 0)+1))&lt;=46.5,2,1)), IF(INDEX(ERP資料!$G:$G, (MATCH(365, 輔助計算!$G$2:$G$801, 0)+1))&lt;=790,3,IF(INDEX(ERP資料!$G:$G, (MATCH(365, 輔助計算!$G$2:$G$801, 0)+1))&lt;=1181,2,1))))=2,TEXT(INDEX(ERP資料!$G:$G, (MATCH(365, 輔助計算!$G$2:$G$801, 0)+1)),"0.##")&amp;"+"&amp;TEXT(INDEX(ERP資料!$G:$G, (MATCH(365, 輔助計算!$G$2:$G$801, 0)+1)),"0.##"),TEXT(INDEX(ERP資料!$G:$G, (MATCH(365, 輔助計算!$G$2:$G$801, 0)+1)),"0.##")&amp;"+"&amp;TEXT(INDEX(ERP資料!$G:$G, (MATCH(365, 輔助計算!$G$2:$G$801, 0)+1)),"0.##")&amp;"+"&amp;TEXT(INDEX(ERP資料!$G:$G, (MATCH(365, 輔助計算!$G$2:$G$801, 0)+1)),"0.##"))))&amp;"-1")), ""), "")</f>
        <v/>
      </c>
      <c r="K366" s="16" t="n"/>
      <c r="L366" s="14">
        <f>IFERROR(IF(AND(IFERROR(INDEX(ERP資料!$A:$A, (MATCH(365, 輔助計算!$G$2:$G$801, 0)+1)), "")&lt;&gt;"", IFERROR(INDEX(ERP資料!$A:$A, (MATCH(365, 輔助計算!$G$2:$G$801, 0)+1)), "")&lt;&gt;IFERROR(INDEX(ERP資料!$A:$A, MATCH(364, 輔助計算!$G$2:$G$801, 0)+1), "")), INDEX(ERP資料!$B:$B, (MATCH(365, 輔助計算!$G$2:$G$801, 0)+1)), ""), "")</f>
        <v/>
      </c>
      <c r="M366" s="17" t="n"/>
    </row>
    <row r="367">
      <c r="A367" s="10">
        <f>IFERROR(IF(AND(IFERROR(INDEX(ERP資料!$A:$A, (MATCH(366, 輔助計算!$G$2:$G$801, 0)+1)), "")&lt;&gt;"", IFERROR(INDEX(ERP資料!$A:$A, (MATCH(366, 輔助計算!$G$2:$G$801, 0)+1)), "")&lt;&gt;IFERROR(INDEX(ERP資料!$A:$A, MATCH(365, 輔助計算!$G$2:$G$801, 0)+1), "")), IFERROR(INDEX(ERP資料!$A:$A, (MATCH(366, 輔助計算!$G$2:$G$801, 0)+1)), ""), ""), "")</f>
        <v/>
      </c>
      <c r="B367" s="10">
        <f>IFERROR(IF(AND(IFERROR(INDEX(ERP資料!$A:$A, (MATCH(366, 輔助計算!$G$2:$G$801, 0)+1)), "")&lt;&gt;"", IFERROR(INDEX(ERP資料!$A:$A, (MATCH(366, 輔助計算!$G$2:$G$801, 0)+1)), "")&lt;&gt;IFERROR(INDEX(ERP資料!$A:$A, MATCH(365, 輔助計算!$G$2:$G$801, 0)+1), "")), INDEX(ERP資料!$S:$S, (MATCH(366, 輔助計算!$G$2:$G$801, 0)+1)), ""), "")</f>
        <v/>
      </c>
      <c r="C367" s="19">
        <f>IFERROR(IF(AND(IFERROR(INDEX(ERP資料!$A:$A, (MATCH(366, 輔助計算!$G$2:$G$801, 0)+1)), "")&lt;&gt;"", IFERROR(INDEX(ERP資料!$A:$A, (MATCH(366, 輔助計算!$G$2:$G$801, 0)+1)), "")&lt;&gt;IFERROR(INDEX(ERP資料!$A:$A, MATCH(365, 輔助計算!$G$2:$G$801, 0)+1), "")), IFERROR(VLOOKUP(LEFT(INDEX(ERP資料!$S:$S, (MATCH(366, 輔助計算!$G$2:$G$801, 0)+1)), 4), 紙管對照表!$A:$C, 3, FALSE), ""), ""), "")</f>
        <v/>
      </c>
      <c r="D367" s="16" t="n"/>
      <c r="E367" s="10">
        <f>IFERROR(IF(INDEX(ERP資料!$H:$H, (MATCH(366, 輔助計算!$G$2:$G$801, 0)+1))="","",INDEX(ERP資料!$H:$H, (MATCH(366, 輔助計算!$G$2:$G$801, 0)+1))), "")</f>
        <v/>
      </c>
      <c r="F367" s="10">
        <f>IFERROR(IF(INDEX(ERP資料!$E:$E, (MATCH(366, 輔助計算!$G$2:$G$801, 0)+1))="","",TRIM(INDEX(ERP資料!$E:$E, (MATCH(366, 輔助計算!$G$2:$G$801, 0)+1)))), "")</f>
        <v/>
      </c>
      <c r="G367" s="10">
        <f>IFERROR(IF(INDEX(ERP資料!$F:$F, (MATCH(366, 輔助計算!$G$2:$G$801, 0)+1))="","",INDEX(ERP資料!$F:$F, (MATCH(366, 輔助計算!$G$2:$G$801, 0)+1))), "")</f>
        <v/>
      </c>
      <c r="H367" s="10">
        <f>IFERROR(IF(INDEX(ERP資料!$G:$G, (MATCH(366, 輔助計算!$G$2:$G$801, 0)+1))="","",INDEX(ERP資料!$G:$G, (MATCH(366, 輔助計算!$G$2:$G$801, 0)+1))), "")</f>
        <v/>
      </c>
      <c r="I367" s="15">
        <f>IFERROR(INDEX(輔助計算!$D:$D, (MATCH(366, 輔助計算!$G$2:$G$801, 0)+1)), "")</f>
        <v/>
      </c>
      <c r="J367" s="15">
        <f>IFERROR(IF(AND(INDEX(輔助計算!$D:$D, (MATCH(366, 輔助計算!$G$2:$G$801, 0)+1))&lt;&gt;"", INDEX(ERP資料!$G:$G, (MATCH(366, 輔助計算!$G$2:$G$801, 0)+1))&lt;&gt;""), TRIM(IF(INT(INDEX(輔助計算!$D:$D, (MATCH(366, 輔助計算!$G$2:$G$801, 0)+1))/IF(INDEX(ERP資料!$G:$G, (MATCH(366, 輔助計算!$G$2:$G$801, 0)+1))&lt;100, IF(INDEX(ERP資料!$G:$G, (MATCH(366, 輔助計算!$G$2:$G$801, 0)+1))&lt;=31,3,IF(INDEX(ERP資料!$G:$G, (MATCH(366, 輔助計算!$G$2:$G$801, 0)+1))&lt;=46.5,2,1)), IF(INDEX(ERP資料!$G:$G, (MATCH(366, 輔助計算!$G$2:$G$801, 0)+1))&lt;=790,3,IF(INDEX(ERP資料!$G:$G, (MATCH(366, 輔助計算!$G$2:$G$801, 0)+1))&lt;=1181,2,1))))&gt;0, IF(IF(INDEX(ERP資料!$G:$G, (MATCH(366, 輔助計算!$G$2:$G$801, 0)+1))&lt;100, IF(INDEX(ERP資料!$G:$G, (MATCH(366, 輔助計算!$G$2:$G$801, 0)+1))&lt;=31,3,IF(INDEX(ERP資料!$G:$G, (MATCH(366, 輔助計算!$G$2:$G$801, 0)+1))&lt;=46.5,2,1)), IF(INDEX(ERP資料!$G:$G, (MATCH(366, 輔助計算!$G$2:$G$801, 0)+1))&lt;=790,3,IF(INDEX(ERP資料!$G:$G, (MATCH(366, 輔助計算!$G$2:$G$801, 0)+1))&lt;=1181,2,1)))=1,TEXT(INDEX(ERP資料!$G:$G, (MATCH(366, 輔助計算!$G$2:$G$801, 0)+1)),"0.##"),IF(IF(INDEX(ERP資料!$G:$G, (MATCH(366, 輔助計算!$G$2:$G$801, 0)+1))&lt;100, IF(INDEX(ERP資料!$G:$G, (MATCH(366, 輔助計算!$G$2:$G$801, 0)+1))&lt;=31,3,IF(INDEX(ERP資料!$G:$G, (MATCH(366, 輔助計算!$G$2:$G$801, 0)+1))&lt;=46.5,2,1)), IF(INDEX(ERP資料!$G:$G, (MATCH(366, 輔助計算!$G$2:$G$801, 0)+1))&lt;=790,3,IF(INDEX(ERP資料!$G:$G, (MATCH(366, 輔助計算!$G$2:$G$801, 0)+1))&lt;=1181,2,1)))=2,TEXT(INDEX(ERP資料!$G:$G, (MATCH(366, 輔助計算!$G$2:$G$801, 0)+1)),"0.##")&amp;"+"&amp;TEXT(INDEX(ERP資料!$G:$G, (MATCH(366, 輔助計算!$G$2:$G$801, 0)+1)),"0.##"),TEXT(INDEX(ERP資料!$G:$G, (MATCH(366, 輔助計算!$G$2:$G$801, 0)+1)),"0.##")&amp;"+"&amp;TEXT(INDEX(ERP資料!$G:$G, (MATCH(366, 輔助計算!$G$2:$G$801, 0)+1)),"0.##")&amp;"+"&amp;TEXT(INDEX(ERP資料!$G:$G, (MATCH(366, 輔助計算!$G$2:$G$801, 0)+1)),"0.##")))&amp;"-"&amp;INT(INDEX(輔助計算!$D:$D, (MATCH(366, 輔助計算!$G$2:$G$801, 0)+1))/IF(INDEX(ERP資料!$G:$G, (MATCH(366, 輔助計算!$G$2:$G$801, 0)+1))&lt;100, IF(INDEX(ERP資料!$G:$G, (MATCH(366, 輔助計算!$G$2:$G$801, 0)+1))&lt;=31,3,IF(INDEX(ERP資料!$G:$G, (MATCH(366, 輔助計算!$G$2:$G$801, 0)+1))&lt;=46.5,2,1)), IF(INDEX(ERP資料!$G:$G, (MATCH(366, 輔助計算!$G$2:$G$801, 0)+1))&lt;=790,3,IF(INDEX(ERP資料!$G:$G, (MATCH(366, 輔助計算!$G$2:$G$801, 0)+1))&lt;=1181,2,1)))), "")&amp;IF(AND(IF(INT(INDEX(輔助計算!$D:$D, (MATCH(366, 輔助計算!$G$2:$G$801, 0)+1))/IF(INDEX(ERP資料!$G:$G, (MATCH(366, 輔助計算!$G$2:$G$801, 0)+1))&lt;100, IF(INDEX(ERP資料!$G:$G, (MATCH(366, 輔助計算!$G$2:$G$801, 0)+1))&lt;=31,3,IF(INDEX(ERP資料!$G:$G, (MATCH(366, 輔助計算!$G$2:$G$801, 0)+1))&lt;=46.5,2,1)), IF(INDEX(ERP資料!$G:$G, (MATCH(366, 輔助計算!$G$2:$G$801, 0)+1))&lt;=790,3,IF(INDEX(ERP資料!$G:$G, (MATCH(366, 輔助計算!$G$2:$G$801, 0)+1))&lt;=1181,2,1))))&gt;0, IF(IF(INDEX(ERP資料!$G:$G, (MATCH(366, 輔助計算!$G$2:$G$801, 0)+1))&lt;100, IF(INDEX(ERP資料!$G:$G, (MATCH(366, 輔助計算!$G$2:$G$801, 0)+1))&lt;=31,3,IF(INDEX(ERP資料!$G:$G, (MATCH(366, 輔助計算!$G$2:$G$801, 0)+1))&lt;=46.5,2,1)), IF(INDEX(ERP資料!$G:$G, (MATCH(366, 輔助計算!$G$2:$G$801, 0)+1))&lt;=790,3,IF(INDEX(ERP資料!$G:$G, (MATCH(366, 輔助計算!$G$2:$G$801, 0)+1))&lt;=1181,2,1)))=1,TEXT(INDEX(ERP資料!$G:$G, (MATCH(366, 輔助計算!$G$2:$G$801, 0)+1)),"0.##"),IF(IF(INDEX(ERP資料!$G:$G, (MATCH(366, 輔助計算!$G$2:$G$801, 0)+1))&lt;100, IF(INDEX(ERP資料!$G:$G, (MATCH(366, 輔助計算!$G$2:$G$801, 0)+1))&lt;=31,3,IF(INDEX(ERP資料!$G:$G, (MATCH(366, 輔助計算!$G$2:$G$801, 0)+1))&lt;=46.5,2,1)), IF(INDEX(ERP資料!$G:$G, (MATCH(366, 輔助計算!$G$2:$G$801, 0)+1))&lt;=790,3,IF(INDEX(ERP資料!$G:$G, (MATCH(366, 輔助計算!$G$2:$G$801, 0)+1))&lt;=1181,2,1)))=2,TEXT(INDEX(ERP資料!$G:$G, (MATCH(366, 輔助計算!$G$2:$G$801, 0)+1)),"0.##")&amp;"+"&amp;TEXT(INDEX(ERP資料!$G:$G, (MATCH(366, 輔助計算!$G$2:$G$801, 0)+1)),"0.##"),TEXT(INDEX(ERP資料!$G:$G, (MATCH(366, 輔助計算!$G$2:$G$801, 0)+1)),"0.##")&amp;"+"&amp;TEXT(INDEX(ERP資料!$G:$G, (MATCH(366, 輔助計算!$G$2:$G$801, 0)+1)),"0.##")&amp;"+"&amp;TEXT(INDEX(ERP資料!$G:$G, (MATCH(366, 輔助計算!$G$2:$G$801, 0)+1)),"0.##")))&amp;"-"&amp;INT(INDEX(輔助計算!$D:$D, (MATCH(366, 輔助計算!$G$2:$G$801, 0)+1))/IF(INDEX(ERP資料!$G:$G, (MATCH(366, 輔助計算!$G$2:$G$801, 0)+1))&lt;100, IF(INDEX(ERP資料!$G:$G, (MATCH(366, 輔助計算!$G$2:$G$801, 0)+1))&lt;=31,3,IF(INDEX(ERP資料!$G:$G, (MATCH(366, 輔助計算!$G$2:$G$801, 0)+1))&lt;=46.5,2,1)), IF(INDEX(ERP資料!$G:$G, (MATCH(366, 輔助計算!$G$2:$G$801, 0)+1))&lt;=790,3,IF(INDEX(ERP資料!$G:$G, (MATCH(366, 輔助計算!$G$2:$G$801, 0)+1))&lt;=1181,2,1)))), "")&lt;&gt;"",IF(MOD(INDEX(輔助計算!$D:$D, (MATCH(366, 輔助計算!$G$2:$G$801, 0)+1)),IF(INDEX(ERP資料!$G:$G, (MATCH(366, 輔助計算!$G$2:$G$801, 0)+1))&lt;100, IF(INDEX(ERP資料!$G:$G, (MATCH(366, 輔助計算!$G$2:$G$801, 0)+1))&lt;=31,3,IF(INDEX(ERP資料!$G:$G, (MATCH(366, 輔助計算!$G$2:$G$801, 0)+1))&lt;=46.5,2,1)), IF(INDEX(ERP資料!$G:$G, (MATCH(366, 輔助計算!$G$2:$G$801, 0)+1))&lt;=790,3,IF(INDEX(ERP資料!$G:$G, (MATCH(366, 輔助計算!$G$2:$G$801, 0)+1))&lt;=1181,2,1))))=0,"",IF(MOD(INDEX(輔助計算!$D:$D, (MATCH(366, 輔助計算!$G$2:$G$801, 0)+1)),IF(INDEX(ERP資料!$G:$G, (MATCH(366, 輔助計算!$G$2:$G$801, 0)+1))&lt;100, IF(INDEX(ERP資料!$G:$G, (MATCH(366, 輔助計算!$G$2:$G$801, 0)+1))&lt;=31,3,IF(INDEX(ERP資料!$G:$G, (MATCH(366, 輔助計算!$G$2:$G$801, 0)+1))&lt;=46.5,2,1)), IF(INDEX(ERP資料!$G:$G, (MATCH(366, 輔助計算!$G$2:$G$801, 0)+1))&lt;=790,3,IF(INDEX(ERP資料!$G:$G, (MATCH(366, 輔助計算!$G$2:$G$801, 0)+1))&lt;=1181,2,1))))=0,"",IF(MOD(INDEX(輔助計算!$D:$D, (MATCH(366, 輔助計算!$G$2:$G$801, 0)+1)),IF(INDEX(ERP資料!$G:$G, (MATCH(366, 輔助計算!$G$2:$G$801, 0)+1))&lt;100, IF(INDEX(ERP資料!$G:$G, (MATCH(366, 輔助計算!$G$2:$G$801, 0)+1))&lt;=31,3,IF(INDEX(ERP資料!$G:$G, (MATCH(366, 輔助計算!$G$2:$G$801, 0)+1))&lt;=46.5,2,1)), IF(INDEX(ERP資料!$G:$G, (MATCH(366, 輔助計算!$G$2:$G$801, 0)+1))&lt;=790,3,IF(INDEX(ERP資料!$G:$G, (MATCH(366, 輔助計算!$G$2:$G$801, 0)+1))&lt;=1181,2,1))))=1,TEXT(INDEX(ERP資料!$G:$G, (MATCH(366, 輔助計算!$G$2:$G$801, 0)+1)),"0.##"),IF(MOD(INDEX(輔助計算!$D:$D, (MATCH(366, 輔助計算!$G$2:$G$801, 0)+1)),IF(INDEX(ERP資料!$G:$G, (MATCH(366, 輔助計算!$G$2:$G$801, 0)+1))&lt;100, IF(INDEX(ERP資料!$G:$G, (MATCH(366, 輔助計算!$G$2:$G$801, 0)+1))&lt;=31,3,IF(INDEX(ERP資料!$G:$G, (MATCH(366, 輔助計算!$G$2:$G$801, 0)+1))&lt;=46.5,2,1)), IF(INDEX(ERP資料!$G:$G, (MATCH(366, 輔助計算!$G$2:$G$801, 0)+1))&lt;=790,3,IF(INDEX(ERP資料!$G:$G, (MATCH(366, 輔助計算!$G$2:$G$801, 0)+1))&lt;=1181,2,1))))=2,TEXT(INDEX(ERP資料!$G:$G, (MATCH(366, 輔助計算!$G$2:$G$801, 0)+1)),"0.##")&amp;"+"&amp;TEXT(INDEX(ERP資料!$G:$G, (MATCH(366, 輔助計算!$G$2:$G$801, 0)+1)),"0.##"),TEXT(INDEX(ERP資料!$G:$G, (MATCH(366, 輔助計算!$G$2:$G$801, 0)+1)),"0.##")&amp;"+"&amp;TEXT(INDEX(ERP資料!$G:$G, (MATCH(366, 輔助計算!$G$2:$G$801, 0)+1)),"0.##")&amp;"+"&amp;TEXT(INDEX(ERP資料!$G:$G, (MATCH(366, 輔助計算!$G$2:$G$801, 0)+1)),"0.##"))))&amp;"-1")&lt;&gt;""),"  ","")&amp;IF(MOD(INDEX(輔助計算!$D:$D, (MATCH(366, 輔助計算!$G$2:$G$801, 0)+1)),IF(INDEX(ERP資料!$G:$G, (MATCH(366, 輔助計算!$G$2:$G$801, 0)+1))&lt;100, IF(INDEX(ERP資料!$G:$G, (MATCH(366, 輔助計算!$G$2:$G$801, 0)+1))&lt;=31,3,IF(INDEX(ERP資料!$G:$G, (MATCH(366, 輔助計算!$G$2:$G$801, 0)+1))&lt;=46.5,2,1)), IF(INDEX(ERP資料!$G:$G, (MATCH(366, 輔助計算!$G$2:$G$801, 0)+1))&lt;=790,3,IF(INDEX(ERP資料!$G:$G, (MATCH(366, 輔助計算!$G$2:$G$801, 0)+1))&lt;=1181,2,1))))=0,"",IF(MOD(INDEX(輔助計算!$D:$D, (MATCH(366, 輔助計算!$G$2:$G$801, 0)+1)),IF(INDEX(ERP資料!$G:$G, (MATCH(366, 輔助計算!$G$2:$G$801, 0)+1))&lt;100, IF(INDEX(ERP資料!$G:$G, (MATCH(366, 輔助計算!$G$2:$G$801, 0)+1))&lt;=31,3,IF(INDEX(ERP資料!$G:$G, (MATCH(366, 輔助計算!$G$2:$G$801, 0)+1))&lt;=46.5,2,1)), IF(INDEX(ERP資料!$G:$G, (MATCH(366, 輔助計算!$G$2:$G$801, 0)+1))&lt;=790,3,IF(INDEX(ERP資料!$G:$G, (MATCH(366, 輔助計算!$G$2:$G$801, 0)+1))&lt;=1181,2,1))))=0,"",IF(MOD(INDEX(輔助計算!$D:$D, (MATCH(366, 輔助計算!$G$2:$G$801, 0)+1)),IF(INDEX(ERP資料!$G:$G, (MATCH(366, 輔助計算!$G$2:$G$801, 0)+1))&lt;100, IF(INDEX(ERP資料!$G:$G, (MATCH(366, 輔助計算!$G$2:$G$801, 0)+1))&lt;=31,3,IF(INDEX(ERP資料!$G:$G, (MATCH(366, 輔助計算!$G$2:$G$801, 0)+1))&lt;=46.5,2,1)), IF(INDEX(ERP資料!$G:$G, (MATCH(366, 輔助計算!$G$2:$G$801, 0)+1))&lt;=790,3,IF(INDEX(ERP資料!$G:$G, (MATCH(366, 輔助計算!$G$2:$G$801, 0)+1))&lt;=1181,2,1))))=1,TEXT(INDEX(ERP資料!$G:$G, (MATCH(366, 輔助計算!$G$2:$G$801, 0)+1)),"0.##"),IF(MOD(INDEX(輔助計算!$D:$D, (MATCH(366, 輔助計算!$G$2:$G$801, 0)+1)),IF(INDEX(ERP資料!$G:$G, (MATCH(366, 輔助計算!$G$2:$G$801, 0)+1))&lt;100, IF(INDEX(ERP資料!$G:$G, (MATCH(366, 輔助計算!$G$2:$G$801, 0)+1))&lt;=31,3,IF(INDEX(ERP資料!$G:$G, (MATCH(366, 輔助計算!$G$2:$G$801, 0)+1))&lt;=46.5,2,1)), IF(INDEX(ERP資料!$G:$G, (MATCH(366, 輔助計算!$G$2:$G$801, 0)+1))&lt;=790,3,IF(INDEX(ERP資料!$G:$G, (MATCH(366, 輔助計算!$G$2:$G$801, 0)+1))&lt;=1181,2,1))))=2,TEXT(INDEX(ERP資料!$G:$G, (MATCH(366, 輔助計算!$G$2:$G$801, 0)+1)),"0.##")&amp;"+"&amp;TEXT(INDEX(ERP資料!$G:$G, (MATCH(366, 輔助計算!$G$2:$G$801, 0)+1)),"0.##"),TEXT(INDEX(ERP資料!$G:$G, (MATCH(366, 輔助計算!$G$2:$G$801, 0)+1)),"0.##")&amp;"+"&amp;TEXT(INDEX(ERP資料!$G:$G, (MATCH(366, 輔助計算!$G$2:$G$801, 0)+1)),"0.##")&amp;"+"&amp;TEXT(INDEX(ERP資料!$G:$G, (MATCH(366, 輔助計算!$G$2:$G$801, 0)+1)),"0.##"))))&amp;"-1")), ""), "")</f>
        <v/>
      </c>
      <c r="K367" s="16" t="n"/>
      <c r="L367" s="14">
        <f>IFERROR(IF(AND(IFERROR(INDEX(ERP資料!$A:$A, (MATCH(366, 輔助計算!$G$2:$G$801, 0)+1)), "")&lt;&gt;"", IFERROR(INDEX(ERP資料!$A:$A, (MATCH(366, 輔助計算!$G$2:$G$801, 0)+1)), "")&lt;&gt;IFERROR(INDEX(ERP資料!$A:$A, MATCH(365, 輔助計算!$G$2:$G$801, 0)+1), "")), INDEX(ERP資料!$B:$B, (MATCH(366, 輔助計算!$G$2:$G$801, 0)+1)), ""), "")</f>
        <v/>
      </c>
      <c r="M367" s="17" t="n"/>
    </row>
    <row r="368">
      <c r="A368" s="10">
        <f>IFERROR(IF(AND(IFERROR(INDEX(ERP資料!$A:$A, (MATCH(367, 輔助計算!$G$2:$G$801, 0)+1)), "")&lt;&gt;"", IFERROR(INDEX(ERP資料!$A:$A, (MATCH(367, 輔助計算!$G$2:$G$801, 0)+1)), "")&lt;&gt;IFERROR(INDEX(ERP資料!$A:$A, MATCH(366, 輔助計算!$G$2:$G$801, 0)+1), "")), IFERROR(INDEX(ERP資料!$A:$A, (MATCH(367, 輔助計算!$G$2:$G$801, 0)+1)), ""), ""), "")</f>
        <v/>
      </c>
      <c r="B368" s="10">
        <f>IFERROR(IF(AND(IFERROR(INDEX(ERP資料!$A:$A, (MATCH(367, 輔助計算!$G$2:$G$801, 0)+1)), "")&lt;&gt;"", IFERROR(INDEX(ERP資料!$A:$A, (MATCH(367, 輔助計算!$G$2:$G$801, 0)+1)), "")&lt;&gt;IFERROR(INDEX(ERP資料!$A:$A, MATCH(366, 輔助計算!$G$2:$G$801, 0)+1), "")), INDEX(ERP資料!$S:$S, (MATCH(367, 輔助計算!$G$2:$G$801, 0)+1)), ""), "")</f>
        <v/>
      </c>
      <c r="C368" s="19">
        <f>IFERROR(IF(AND(IFERROR(INDEX(ERP資料!$A:$A, (MATCH(367, 輔助計算!$G$2:$G$801, 0)+1)), "")&lt;&gt;"", IFERROR(INDEX(ERP資料!$A:$A, (MATCH(367, 輔助計算!$G$2:$G$801, 0)+1)), "")&lt;&gt;IFERROR(INDEX(ERP資料!$A:$A, MATCH(366, 輔助計算!$G$2:$G$801, 0)+1), "")), IFERROR(VLOOKUP(LEFT(INDEX(ERP資料!$S:$S, (MATCH(367, 輔助計算!$G$2:$G$801, 0)+1)), 4), 紙管對照表!$A:$C, 3, FALSE), ""), ""), "")</f>
        <v/>
      </c>
      <c r="D368" s="16" t="n"/>
      <c r="E368" s="10">
        <f>IFERROR(IF(INDEX(ERP資料!$H:$H, (MATCH(367, 輔助計算!$G$2:$G$801, 0)+1))="","",INDEX(ERP資料!$H:$H, (MATCH(367, 輔助計算!$G$2:$G$801, 0)+1))), "")</f>
        <v/>
      </c>
      <c r="F368" s="10">
        <f>IFERROR(IF(INDEX(ERP資料!$E:$E, (MATCH(367, 輔助計算!$G$2:$G$801, 0)+1))="","",TRIM(INDEX(ERP資料!$E:$E, (MATCH(367, 輔助計算!$G$2:$G$801, 0)+1)))), "")</f>
        <v/>
      </c>
      <c r="G368" s="10">
        <f>IFERROR(IF(INDEX(ERP資料!$F:$F, (MATCH(367, 輔助計算!$G$2:$G$801, 0)+1))="","",INDEX(ERP資料!$F:$F, (MATCH(367, 輔助計算!$G$2:$G$801, 0)+1))), "")</f>
        <v/>
      </c>
      <c r="H368" s="10">
        <f>IFERROR(IF(INDEX(ERP資料!$G:$G, (MATCH(367, 輔助計算!$G$2:$G$801, 0)+1))="","",INDEX(ERP資料!$G:$G, (MATCH(367, 輔助計算!$G$2:$G$801, 0)+1))), "")</f>
        <v/>
      </c>
      <c r="I368" s="15">
        <f>IFERROR(INDEX(輔助計算!$D:$D, (MATCH(367, 輔助計算!$G$2:$G$801, 0)+1)), "")</f>
        <v/>
      </c>
      <c r="J368" s="15">
        <f>IFERROR(IF(AND(INDEX(輔助計算!$D:$D, (MATCH(367, 輔助計算!$G$2:$G$801, 0)+1))&lt;&gt;"", INDEX(ERP資料!$G:$G, (MATCH(367, 輔助計算!$G$2:$G$801, 0)+1))&lt;&gt;""), TRIM(IF(INT(INDEX(輔助計算!$D:$D, (MATCH(367, 輔助計算!$G$2:$G$801, 0)+1))/IF(INDEX(ERP資料!$G:$G, (MATCH(367, 輔助計算!$G$2:$G$801, 0)+1))&lt;100, IF(INDEX(ERP資料!$G:$G, (MATCH(367, 輔助計算!$G$2:$G$801, 0)+1))&lt;=31,3,IF(INDEX(ERP資料!$G:$G, (MATCH(367, 輔助計算!$G$2:$G$801, 0)+1))&lt;=46.5,2,1)), IF(INDEX(ERP資料!$G:$G, (MATCH(367, 輔助計算!$G$2:$G$801, 0)+1))&lt;=790,3,IF(INDEX(ERP資料!$G:$G, (MATCH(367, 輔助計算!$G$2:$G$801, 0)+1))&lt;=1181,2,1))))&gt;0, IF(IF(INDEX(ERP資料!$G:$G, (MATCH(367, 輔助計算!$G$2:$G$801, 0)+1))&lt;100, IF(INDEX(ERP資料!$G:$G, (MATCH(367, 輔助計算!$G$2:$G$801, 0)+1))&lt;=31,3,IF(INDEX(ERP資料!$G:$G, (MATCH(367, 輔助計算!$G$2:$G$801, 0)+1))&lt;=46.5,2,1)), IF(INDEX(ERP資料!$G:$G, (MATCH(367, 輔助計算!$G$2:$G$801, 0)+1))&lt;=790,3,IF(INDEX(ERP資料!$G:$G, (MATCH(367, 輔助計算!$G$2:$G$801, 0)+1))&lt;=1181,2,1)))=1,TEXT(INDEX(ERP資料!$G:$G, (MATCH(367, 輔助計算!$G$2:$G$801, 0)+1)),"0.##"),IF(IF(INDEX(ERP資料!$G:$G, (MATCH(367, 輔助計算!$G$2:$G$801, 0)+1))&lt;100, IF(INDEX(ERP資料!$G:$G, (MATCH(367, 輔助計算!$G$2:$G$801, 0)+1))&lt;=31,3,IF(INDEX(ERP資料!$G:$G, (MATCH(367, 輔助計算!$G$2:$G$801, 0)+1))&lt;=46.5,2,1)), IF(INDEX(ERP資料!$G:$G, (MATCH(367, 輔助計算!$G$2:$G$801, 0)+1))&lt;=790,3,IF(INDEX(ERP資料!$G:$G, (MATCH(367, 輔助計算!$G$2:$G$801, 0)+1))&lt;=1181,2,1)))=2,TEXT(INDEX(ERP資料!$G:$G, (MATCH(367, 輔助計算!$G$2:$G$801, 0)+1)),"0.##")&amp;"+"&amp;TEXT(INDEX(ERP資料!$G:$G, (MATCH(367, 輔助計算!$G$2:$G$801, 0)+1)),"0.##"),TEXT(INDEX(ERP資料!$G:$G, (MATCH(367, 輔助計算!$G$2:$G$801, 0)+1)),"0.##")&amp;"+"&amp;TEXT(INDEX(ERP資料!$G:$G, (MATCH(367, 輔助計算!$G$2:$G$801, 0)+1)),"0.##")&amp;"+"&amp;TEXT(INDEX(ERP資料!$G:$G, (MATCH(367, 輔助計算!$G$2:$G$801, 0)+1)),"0.##")))&amp;"-"&amp;INT(INDEX(輔助計算!$D:$D, (MATCH(367, 輔助計算!$G$2:$G$801, 0)+1))/IF(INDEX(ERP資料!$G:$G, (MATCH(367, 輔助計算!$G$2:$G$801, 0)+1))&lt;100, IF(INDEX(ERP資料!$G:$G, (MATCH(367, 輔助計算!$G$2:$G$801, 0)+1))&lt;=31,3,IF(INDEX(ERP資料!$G:$G, (MATCH(367, 輔助計算!$G$2:$G$801, 0)+1))&lt;=46.5,2,1)), IF(INDEX(ERP資料!$G:$G, (MATCH(367, 輔助計算!$G$2:$G$801, 0)+1))&lt;=790,3,IF(INDEX(ERP資料!$G:$G, (MATCH(367, 輔助計算!$G$2:$G$801, 0)+1))&lt;=1181,2,1)))), "")&amp;IF(AND(IF(INT(INDEX(輔助計算!$D:$D, (MATCH(367, 輔助計算!$G$2:$G$801, 0)+1))/IF(INDEX(ERP資料!$G:$G, (MATCH(367, 輔助計算!$G$2:$G$801, 0)+1))&lt;100, IF(INDEX(ERP資料!$G:$G, (MATCH(367, 輔助計算!$G$2:$G$801, 0)+1))&lt;=31,3,IF(INDEX(ERP資料!$G:$G, (MATCH(367, 輔助計算!$G$2:$G$801, 0)+1))&lt;=46.5,2,1)), IF(INDEX(ERP資料!$G:$G, (MATCH(367, 輔助計算!$G$2:$G$801, 0)+1))&lt;=790,3,IF(INDEX(ERP資料!$G:$G, (MATCH(367, 輔助計算!$G$2:$G$801, 0)+1))&lt;=1181,2,1))))&gt;0, IF(IF(INDEX(ERP資料!$G:$G, (MATCH(367, 輔助計算!$G$2:$G$801, 0)+1))&lt;100, IF(INDEX(ERP資料!$G:$G, (MATCH(367, 輔助計算!$G$2:$G$801, 0)+1))&lt;=31,3,IF(INDEX(ERP資料!$G:$G, (MATCH(367, 輔助計算!$G$2:$G$801, 0)+1))&lt;=46.5,2,1)), IF(INDEX(ERP資料!$G:$G, (MATCH(367, 輔助計算!$G$2:$G$801, 0)+1))&lt;=790,3,IF(INDEX(ERP資料!$G:$G, (MATCH(367, 輔助計算!$G$2:$G$801, 0)+1))&lt;=1181,2,1)))=1,TEXT(INDEX(ERP資料!$G:$G, (MATCH(367, 輔助計算!$G$2:$G$801, 0)+1)),"0.##"),IF(IF(INDEX(ERP資料!$G:$G, (MATCH(367, 輔助計算!$G$2:$G$801, 0)+1))&lt;100, IF(INDEX(ERP資料!$G:$G, (MATCH(367, 輔助計算!$G$2:$G$801, 0)+1))&lt;=31,3,IF(INDEX(ERP資料!$G:$G, (MATCH(367, 輔助計算!$G$2:$G$801, 0)+1))&lt;=46.5,2,1)), IF(INDEX(ERP資料!$G:$G, (MATCH(367, 輔助計算!$G$2:$G$801, 0)+1))&lt;=790,3,IF(INDEX(ERP資料!$G:$G, (MATCH(367, 輔助計算!$G$2:$G$801, 0)+1))&lt;=1181,2,1)))=2,TEXT(INDEX(ERP資料!$G:$G, (MATCH(367, 輔助計算!$G$2:$G$801, 0)+1)),"0.##")&amp;"+"&amp;TEXT(INDEX(ERP資料!$G:$G, (MATCH(367, 輔助計算!$G$2:$G$801, 0)+1)),"0.##"),TEXT(INDEX(ERP資料!$G:$G, (MATCH(367, 輔助計算!$G$2:$G$801, 0)+1)),"0.##")&amp;"+"&amp;TEXT(INDEX(ERP資料!$G:$G, (MATCH(367, 輔助計算!$G$2:$G$801, 0)+1)),"0.##")&amp;"+"&amp;TEXT(INDEX(ERP資料!$G:$G, (MATCH(367, 輔助計算!$G$2:$G$801, 0)+1)),"0.##")))&amp;"-"&amp;INT(INDEX(輔助計算!$D:$D, (MATCH(367, 輔助計算!$G$2:$G$801, 0)+1))/IF(INDEX(ERP資料!$G:$G, (MATCH(367, 輔助計算!$G$2:$G$801, 0)+1))&lt;100, IF(INDEX(ERP資料!$G:$G, (MATCH(367, 輔助計算!$G$2:$G$801, 0)+1))&lt;=31,3,IF(INDEX(ERP資料!$G:$G, (MATCH(367, 輔助計算!$G$2:$G$801, 0)+1))&lt;=46.5,2,1)), IF(INDEX(ERP資料!$G:$G, (MATCH(367, 輔助計算!$G$2:$G$801, 0)+1))&lt;=790,3,IF(INDEX(ERP資料!$G:$G, (MATCH(367, 輔助計算!$G$2:$G$801, 0)+1))&lt;=1181,2,1)))), "")&lt;&gt;"",IF(MOD(INDEX(輔助計算!$D:$D, (MATCH(367, 輔助計算!$G$2:$G$801, 0)+1)),IF(INDEX(ERP資料!$G:$G, (MATCH(367, 輔助計算!$G$2:$G$801, 0)+1))&lt;100, IF(INDEX(ERP資料!$G:$G, (MATCH(367, 輔助計算!$G$2:$G$801, 0)+1))&lt;=31,3,IF(INDEX(ERP資料!$G:$G, (MATCH(367, 輔助計算!$G$2:$G$801, 0)+1))&lt;=46.5,2,1)), IF(INDEX(ERP資料!$G:$G, (MATCH(367, 輔助計算!$G$2:$G$801, 0)+1))&lt;=790,3,IF(INDEX(ERP資料!$G:$G, (MATCH(367, 輔助計算!$G$2:$G$801, 0)+1))&lt;=1181,2,1))))=0,"",IF(MOD(INDEX(輔助計算!$D:$D, (MATCH(367, 輔助計算!$G$2:$G$801, 0)+1)),IF(INDEX(ERP資料!$G:$G, (MATCH(367, 輔助計算!$G$2:$G$801, 0)+1))&lt;100, IF(INDEX(ERP資料!$G:$G, (MATCH(367, 輔助計算!$G$2:$G$801, 0)+1))&lt;=31,3,IF(INDEX(ERP資料!$G:$G, (MATCH(367, 輔助計算!$G$2:$G$801, 0)+1))&lt;=46.5,2,1)), IF(INDEX(ERP資料!$G:$G, (MATCH(367, 輔助計算!$G$2:$G$801, 0)+1))&lt;=790,3,IF(INDEX(ERP資料!$G:$G, (MATCH(367, 輔助計算!$G$2:$G$801, 0)+1))&lt;=1181,2,1))))=0,"",IF(MOD(INDEX(輔助計算!$D:$D, (MATCH(367, 輔助計算!$G$2:$G$801, 0)+1)),IF(INDEX(ERP資料!$G:$G, (MATCH(367, 輔助計算!$G$2:$G$801, 0)+1))&lt;100, IF(INDEX(ERP資料!$G:$G, (MATCH(367, 輔助計算!$G$2:$G$801, 0)+1))&lt;=31,3,IF(INDEX(ERP資料!$G:$G, (MATCH(367, 輔助計算!$G$2:$G$801, 0)+1))&lt;=46.5,2,1)), IF(INDEX(ERP資料!$G:$G, (MATCH(367, 輔助計算!$G$2:$G$801, 0)+1))&lt;=790,3,IF(INDEX(ERP資料!$G:$G, (MATCH(367, 輔助計算!$G$2:$G$801, 0)+1))&lt;=1181,2,1))))=1,TEXT(INDEX(ERP資料!$G:$G, (MATCH(367, 輔助計算!$G$2:$G$801, 0)+1)),"0.##"),IF(MOD(INDEX(輔助計算!$D:$D, (MATCH(367, 輔助計算!$G$2:$G$801, 0)+1)),IF(INDEX(ERP資料!$G:$G, (MATCH(367, 輔助計算!$G$2:$G$801, 0)+1))&lt;100, IF(INDEX(ERP資料!$G:$G, (MATCH(367, 輔助計算!$G$2:$G$801, 0)+1))&lt;=31,3,IF(INDEX(ERP資料!$G:$G, (MATCH(367, 輔助計算!$G$2:$G$801, 0)+1))&lt;=46.5,2,1)), IF(INDEX(ERP資料!$G:$G, (MATCH(367, 輔助計算!$G$2:$G$801, 0)+1))&lt;=790,3,IF(INDEX(ERP資料!$G:$G, (MATCH(367, 輔助計算!$G$2:$G$801, 0)+1))&lt;=1181,2,1))))=2,TEXT(INDEX(ERP資料!$G:$G, (MATCH(367, 輔助計算!$G$2:$G$801, 0)+1)),"0.##")&amp;"+"&amp;TEXT(INDEX(ERP資料!$G:$G, (MATCH(367, 輔助計算!$G$2:$G$801, 0)+1)),"0.##"),TEXT(INDEX(ERP資料!$G:$G, (MATCH(367, 輔助計算!$G$2:$G$801, 0)+1)),"0.##")&amp;"+"&amp;TEXT(INDEX(ERP資料!$G:$G, (MATCH(367, 輔助計算!$G$2:$G$801, 0)+1)),"0.##")&amp;"+"&amp;TEXT(INDEX(ERP資料!$G:$G, (MATCH(367, 輔助計算!$G$2:$G$801, 0)+1)),"0.##"))))&amp;"-1")&lt;&gt;""),"  ","")&amp;IF(MOD(INDEX(輔助計算!$D:$D, (MATCH(367, 輔助計算!$G$2:$G$801, 0)+1)),IF(INDEX(ERP資料!$G:$G, (MATCH(367, 輔助計算!$G$2:$G$801, 0)+1))&lt;100, IF(INDEX(ERP資料!$G:$G, (MATCH(367, 輔助計算!$G$2:$G$801, 0)+1))&lt;=31,3,IF(INDEX(ERP資料!$G:$G, (MATCH(367, 輔助計算!$G$2:$G$801, 0)+1))&lt;=46.5,2,1)), IF(INDEX(ERP資料!$G:$G, (MATCH(367, 輔助計算!$G$2:$G$801, 0)+1))&lt;=790,3,IF(INDEX(ERP資料!$G:$G, (MATCH(367, 輔助計算!$G$2:$G$801, 0)+1))&lt;=1181,2,1))))=0,"",IF(MOD(INDEX(輔助計算!$D:$D, (MATCH(367, 輔助計算!$G$2:$G$801, 0)+1)),IF(INDEX(ERP資料!$G:$G, (MATCH(367, 輔助計算!$G$2:$G$801, 0)+1))&lt;100, IF(INDEX(ERP資料!$G:$G, (MATCH(367, 輔助計算!$G$2:$G$801, 0)+1))&lt;=31,3,IF(INDEX(ERP資料!$G:$G, (MATCH(367, 輔助計算!$G$2:$G$801, 0)+1))&lt;=46.5,2,1)), IF(INDEX(ERP資料!$G:$G, (MATCH(367, 輔助計算!$G$2:$G$801, 0)+1))&lt;=790,3,IF(INDEX(ERP資料!$G:$G, (MATCH(367, 輔助計算!$G$2:$G$801, 0)+1))&lt;=1181,2,1))))=0,"",IF(MOD(INDEX(輔助計算!$D:$D, (MATCH(367, 輔助計算!$G$2:$G$801, 0)+1)),IF(INDEX(ERP資料!$G:$G, (MATCH(367, 輔助計算!$G$2:$G$801, 0)+1))&lt;100, IF(INDEX(ERP資料!$G:$G, (MATCH(367, 輔助計算!$G$2:$G$801, 0)+1))&lt;=31,3,IF(INDEX(ERP資料!$G:$G, (MATCH(367, 輔助計算!$G$2:$G$801, 0)+1))&lt;=46.5,2,1)), IF(INDEX(ERP資料!$G:$G, (MATCH(367, 輔助計算!$G$2:$G$801, 0)+1))&lt;=790,3,IF(INDEX(ERP資料!$G:$G, (MATCH(367, 輔助計算!$G$2:$G$801, 0)+1))&lt;=1181,2,1))))=1,TEXT(INDEX(ERP資料!$G:$G, (MATCH(367, 輔助計算!$G$2:$G$801, 0)+1)),"0.##"),IF(MOD(INDEX(輔助計算!$D:$D, (MATCH(367, 輔助計算!$G$2:$G$801, 0)+1)),IF(INDEX(ERP資料!$G:$G, (MATCH(367, 輔助計算!$G$2:$G$801, 0)+1))&lt;100, IF(INDEX(ERP資料!$G:$G, (MATCH(367, 輔助計算!$G$2:$G$801, 0)+1))&lt;=31,3,IF(INDEX(ERP資料!$G:$G, (MATCH(367, 輔助計算!$G$2:$G$801, 0)+1))&lt;=46.5,2,1)), IF(INDEX(ERP資料!$G:$G, (MATCH(367, 輔助計算!$G$2:$G$801, 0)+1))&lt;=790,3,IF(INDEX(ERP資料!$G:$G, (MATCH(367, 輔助計算!$G$2:$G$801, 0)+1))&lt;=1181,2,1))))=2,TEXT(INDEX(ERP資料!$G:$G, (MATCH(367, 輔助計算!$G$2:$G$801, 0)+1)),"0.##")&amp;"+"&amp;TEXT(INDEX(ERP資料!$G:$G, (MATCH(367, 輔助計算!$G$2:$G$801, 0)+1)),"0.##"),TEXT(INDEX(ERP資料!$G:$G, (MATCH(367, 輔助計算!$G$2:$G$801, 0)+1)),"0.##")&amp;"+"&amp;TEXT(INDEX(ERP資料!$G:$G, (MATCH(367, 輔助計算!$G$2:$G$801, 0)+1)),"0.##")&amp;"+"&amp;TEXT(INDEX(ERP資料!$G:$G, (MATCH(367, 輔助計算!$G$2:$G$801, 0)+1)),"0.##"))))&amp;"-1")), ""), "")</f>
        <v/>
      </c>
      <c r="K368" s="16" t="n"/>
      <c r="L368" s="14">
        <f>IFERROR(IF(AND(IFERROR(INDEX(ERP資料!$A:$A, (MATCH(367, 輔助計算!$G$2:$G$801, 0)+1)), "")&lt;&gt;"", IFERROR(INDEX(ERP資料!$A:$A, (MATCH(367, 輔助計算!$G$2:$G$801, 0)+1)), "")&lt;&gt;IFERROR(INDEX(ERP資料!$A:$A, MATCH(366, 輔助計算!$G$2:$G$801, 0)+1), "")), INDEX(ERP資料!$B:$B, (MATCH(367, 輔助計算!$G$2:$G$801, 0)+1)), ""), "")</f>
        <v/>
      </c>
      <c r="M368" s="17" t="n"/>
    </row>
    <row r="369">
      <c r="A369" s="10">
        <f>IFERROR(IF(AND(IFERROR(INDEX(ERP資料!$A:$A, (MATCH(368, 輔助計算!$G$2:$G$801, 0)+1)), "")&lt;&gt;"", IFERROR(INDEX(ERP資料!$A:$A, (MATCH(368, 輔助計算!$G$2:$G$801, 0)+1)), "")&lt;&gt;IFERROR(INDEX(ERP資料!$A:$A, MATCH(367, 輔助計算!$G$2:$G$801, 0)+1), "")), IFERROR(INDEX(ERP資料!$A:$A, (MATCH(368, 輔助計算!$G$2:$G$801, 0)+1)), ""), ""), "")</f>
        <v/>
      </c>
      <c r="B369" s="10">
        <f>IFERROR(IF(AND(IFERROR(INDEX(ERP資料!$A:$A, (MATCH(368, 輔助計算!$G$2:$G$801, 0)+1)), "")&lt;&gt;"", IFERROR(INDEX(ERP資料!$A:$A, (MATCH(368, 輔助計算!$G$2:$G$801, 0)+1)), "")&lt;&gt;IFERROR(INDEX(ERP資料!$A:$A, MATCH(367, 輔助計算!$G$2:$G$801, 0)+1), "")), INDEX(ERP資料!$S:$S, (MATCH(368, 輔助計算!$G$2:$G$801, 0)+1)), ""), "")</f>
        <v/>
      </c>
      <c r="C369" s="19">
        <f>IFERROR(IF(AND(IFERROR(INDEX(ERP資料!$A:$A, (MATCH(368, 輔助計算!$G$2:$G$801, 0)+1)), "")&lt;&gt;"", IFERROR(INDEX(ERP資料!$A:$A, (MATCH(368, 輔助計算!$G$2:$G$801, 0)+1)), "")&lt;&gt;IFERROR(INDEX(ERP資料!$A:$A, MATCH(367, 輔助計算!$G$2:$G$801, 0)+1), "")), IFERROR(VLOOKUP(LEFT(INDEX(ERP資料!$S:$S, (MATCH(368, 輔助計算!$G$2:$G$801, 0)+1)), 4), 紙管對照表!$A:$C, 3, FALSE), ""), ""), "")</f>
        <v/>
      </c>
      <c r="D369" s="16" t="n"/>
      <c r="E369" s="10">
        <f>IFERROR(IF(INDEX(ERP資料!$H:$H, (MATCH(368, 輔助計算!$G$2:$G$801, 0)+1))="","",INDEX(ERP資料!$H:$H, (MATCH(368, 輔助計算!$G$2:$G$801, 0)+1))), "")</f>
        <v/>
      </c>
      <c r="F369" s="10">
        <f>IFERROR(IF(INDEX(ERP資料!$E:$E, (MATCH(368, 輔助計算!$G$2:$G$801, 0)+1))="","",TRIM(INDEX(ERP資料!$E:$E, (MATCH(368, 輔助計算!$G$2:$G$801, 0)+1)))), "")</f>
        <v/>
      </c>
      <c r="G369" s="10">
        <f>IFERROR(IF(INDEX(ERP資料!$F:$F, (MATCH(368, 輔助計算!$G$2:$G$801, 0)+1))="","",INDEX(ERP資料!$F:$F, (MATCH(368, 輔助計算!$G$2:$G$801, 0)+1))), "")</f>
        <v/>
      </c>
      <c r="H369" s="10">
        <f>IFERROR(IF(INDEX(ERP資料!$G:$G, (MATCH(368, 輔助計算!$G$2:$G$801, 0)+1))="","",INDEX(ERP資料!$G:$G, (MATCH(368, 輔助計算!$G$2:$G$801, 0)+1))), "")</f>
        <v/>
      </c>
      <c r="I369" s="15">
        <f>IFERROR(INDEX(輔助計算!$D:$D, (MATCH(368, 輔助計算!$G$2:$G$801, 0)+1)), "")</f>
        <v/>
      </c>
      <c r="J369" s="15">
        <f>IFERROR(IF(AND(INDEX(輔助計算!$D:$D, (MATCH(368, 輔助計算!$G$2:$G$801, 0)+1))&lt;&gt;"", INDEX(ERP資料!$G:$G, (MATCH(368, 輔助計算!$G$2:$G$801, 0)+1))&lt;&gt;""), TRIM(IF(INT(INDEX(輔助計算!$D:$D, (MATCH(368, 輔助計算!$G$2:$G$801, 0)+1))/IF(INDEX(ERP資料!$G:$G, (MATCH(368, 輔助計算!$G$2:$G$801, 0)+1))&lt;100, IF(INDEX(ERP資料!$G:$G, (MATCH(368, 輔助計算!$G$2:$G$801, 0)+1))&lt;=31,3,IF(INDEX(ERP資料!$G:$G, (MATCH(368, 輔助計算!$G$2:$G$801, 0)+1))&lt;=46.5,2,1)), IF(INDEX(ERP資料!$G:$G, (MATCH(368, 輔助計算!$G$2:$G$801, 0)+1))&lt;=790,3,IF(INDEX(ERP資料!$G:$G, (MATCH(368, 輔助計算!$G$2:$G$801, 0)+1))&lt;=1181,2,1))))&gt;0, IF(IF(INDEX(ERP資料!$G:$G, (MATCH(368, 輔助計算!$G$2:$G$801, 0)+1))&lt;100, IF(INDEX(ERP資料!$G:$G, (MATCH(368, 輔助計算!$G$2:$G$801, 0)+1))&lt;=31,3,IF(INDEX(ERP資料!$G:$G, (MATCH(368, 輔助計算!$G$2:$G$801, 0)+1))&lt;=46.5,2,1)), IF(INDEX(ERP資料!$G:$G, (MATCH(368, 輔助計算!$G$2:$G$801, 0)+1))&lt;=790,3,IF(INDEX(ERP資料!$G:$G, (MATCH(368, 輔助計算!$G$2:$G$801, 0)+1))&lt;=1181,2,1)))=1,TEXT(INDEX(ERP資料!$G:$G, (MATCH(368, 輔助計算!$G$2:$G$801, 0)+1)),"0.##"),IF(IF(INDEX(ERP資料!$G:$G, (MATCH(368, 輔助計算!$G$2:$G$801, 0)+1))&lt;100, IF(INDEX(ERP資料!$G:$G, (MATCH(368, 輔助計算!$G$2:$G$801, 0)+1))&lt;=31,3,IF(INDEX(ERP資料!$G:$G, (MATCH(368, 輔助計算!$G$2:$G$801, 0)+1))&lt;=46.5,2,1)), IF(INDEX(ERP資料!$G:$G, (MATCH(368, 輔助計算!$G$2:$G$801, 0)+1))&lt;=790,3,IF(INDEX(ERP資料!$G:$G, (MATCH(368, 輔助計算!$G$2:$G$801, 0)+1))&lt;=1181,2,1)))=2,TEXT(INDEX(ERP資料!$G:$G, (MATCH(368, 輔助計算!$G$2:$G$801, 0)+1)),"0.##")&amp;"+"&amp;TEXT(INDEX(ERP資料!$G:$G, (MATCH(368, 輔助計算!$G$2:$G$801, 0)+1)),"0.##"),TEXT(INDEX(ERP資料!$G:$G, (MATCH(368, 輔助計算!$G$2:$G$801, 0)+1)),"0.##")&amp;"+"&amp;TEXT(INDEX(ERP資料!$G:$G, (MATCH(368, 輔助計算!$G$2:$G$801, 0)+1)),"0.##")&amp;"+"&amp;TEXT(INDEX(ERP資料!$G:$G, (MATCH(368, 輔助計算!$G$2:$G$801, 0)+1)),"0.##")))&amp;"-"&amp;INT(INDEX(輔助計算!$D:$D, (MATCH(368, 輔助計算!$G$2:$G$801, 0)+1))/IF(INDEX(ERP資料!$G:$G, (MATCH(368, 輔助計算!$G$2:$G$801, 0)+1))&lt;100, IF(INDEX(ERP資料!$G:$G, (MATCH(368, 輔助計算!$G$2:$G$801, 0)+1))&lt;=31,3,IF(INDEX(ERP資料!$G:$G, (MATCH(368, 輔助計算!$G$2:$G$801, 0)+1))&lt;=46.5,2,1)), IF(INDEX(ERP資料!$G:$G, (MATCH(368, 輔助計算!$G$2:$G$801, 0)+1))&lt;=790,3,IF(INDEX(ERP資料!$G:$G, (MATCH(368, 輔助計算!$G$2:$G$801, 0)+1))&lt;=1181,2,1)))), "")&amp;IF(AND(IF(INT(INDEX(輔助計算!$D:$D, (MATCH(368, 輔助計算!$G$2:$G$801, 0)+1))/IF(INDEX(ERP資料!$G:$G, (MATCH(368, 輔助計算!$G$2:$G$801, 0)+1))&lt;100, IF(INDEX(ERP資料!$G:$G, (MATCH(368, 輔助計算!$G$2:$G$801, 0)+1))&lt;=31,3,IF(INDEX(ERP資料!$G:$G, (MATCH(368, 輔助計算!$G$2:$G$801, 0)+1))&lt;=46.5,2,1)), IF(INDEX(ERP資料!$G:$G, (MATCH(368, 輔助計算!$G$2:$G$801, 0)+1))&lt;=790,3,IF(INDEX(ERP資料!$G:$G, (MATCH(368, 輔助計算!$G$2:$G$801, 0)+1))&lt;=1181,2,1))))&gt;0, IF(IF(INDEX(ERP資料!$G:$G, (MATCH(368, 輔助計算!$G$2:$G$801, 0)+1))&lt;100, IF(INDEX(ERP資料!$G:$G, (MATCH(368, 輔助計算!$G$2:$G$801, 0)+1))&lt;=31,3,IF(INDEX(ERP資料!$G:$G, (MATCH(368, 輔助計算!$G$2:$G$801, 0)+1))&lt;=46.5,2,1)), IF(INDEX(ERP資料!$G:$G, (MATCH(368, 輔助計算!$G$2:$G$801, 0)+1))&lt;=790,3,IF(INDEX(ERP資料!$G:$G, (MATCH(368, 輔助計算!$G$2:$G$801, 0)+1))&lt;=1181,2,1)))=1,TEXT(INDEX(ERP資料!$G:$G, (MATCH(368, 輔助計算!$G$2:$G$801, 0)+1)),"0.##"),IF(IF(INDEX(ERP資料!$G:$G, (MATCH(368, 輔助計算!$G$2:$G$801, 0)+1))&lt;100, IF(INDEX(ERP資料!$G:$G, (MATCH(368, 輔助計算!$G$2:$G$801, 0)+1))&lt;=31,3,IF(INDEX(ERP資料!$G:$G, (MATCH(368, 輔助計算!$G$2:$G$801, 0)+1))&lt;=46.5,2,1)), IF(INDEX(ERP資料!$G:$G, (MATCH(368, 輔助計算!$G$2:$G$801, 0)+1))&lt;=790,3,IF(INDEX(ERP資料!$G:$G, (MATCH(368, 輔助計算!$G$2:$G$801, 0)+1))&lt;=1181,2,1)))=2,TEXT(INDEX(ERP資料!$G:$G, (MATCH(368, 輔助計算!$G$2:$G$801, 0)+1)),"0.##")&amp;"+"&amp;TEXT(INDEX(ERP資料!$G:$G, (MATCH(368, 輔助計算!$G$2:$G$801, 0)+1)),"0.##"),TEXT(INDEX(ERP資料!$G:$G, (MATCH(368, 輔助計算!$G$2:$G$801, 0)+1)),"0.##")&amp;"+"&amp;TEXT(INDEX(ERP資料!$G:$G, (MATCH(368, 輔助計算!$G$2:$G$801, 0)+1)),"0.##")&amp;"+"&amp;TEXT(INDEX(ERP資料!$G:$G, (MATCH(368, 輔助計算!$G$2:$G$801, 0)+1)),"0.##")))&amp;"-"&amp;INT(INDEX(輔助計算!$D:$D, (MATCH(368, 輔助計算!$G$2:$G$801, 0)+1))/IF(INDEX(ERP資料!$G:$G, (MATCH(368, 輔助計算!$G$2:$G$801, 0)+1))&lt;100, IF(INDEX(ERP資料!$G:$G, (MATCH(368, 輔助計算!$G$2:$G$801, 0)+1))&lt;=31,3,IF(INDEX(ERP資料!$G:$G, (MATCH(368, 輔助計算!$G$2:$G$801, 0)+1))&lt;=46.5,2,1)), IF(INDEX(ERP資料!$G:$G, (MATCH(368, 輔助計算!$G$2:$G$801, 0)+1))&lt;=790,3,IF(INDEX(ERP資料!$G:$G, (MATCH(368, 輔助計算!$G$2:$G$801, 0)+1))&lt;=1181,2,1)))), "")&lt;&gt;"",IF(MOD(INDEX(輔助計算!$D:$D, (MATCH(368, 輔助計算!$G$2:$G$801, 0)+1)),IF(INDEX(ERP資料!$G:$G, (MATCH(368, 輔助計算!$G$2:$G$801, 0)+1))&lt;100, IF(INDEX(ERP資料!$G:$G, (MATCH(368, 輔助計算!$G$2:$G$801, 0)+1))&lt;=31,3,IF(INDEX(ERP資料!$G:$G, (MATCH(368, 輔助計算!$G$2:$G$801, 0)+1))&lt;=46.5,2,1)), IF(INDEX(ERP資料!$G:$G, (MATCH(368, 輔助計算!$G$2:$G$801, 0)+1))&lt;=790,3,IF(INDEX(ERP資料!$G:$G, (MATCH(368, 輔助計算!$G$2:$G$801, 0)+1))&lt;=1181,2,1))))=0,"",IF(MOD(INDEX(輔助計算!$D:$D, (MATCH(368, 輔助計算!$G$2:$G$801, 0)+1)),IF(INDEX(ERP資料!$G:$G, (MATCH(368, 輔助計算!$G$2:$G$801, 0)+1))&lt;100, IF(INDEX(ERP資料!$G:$G, (MATCH(368, 輔助計算!$G$2:$G$801, 0)+1))&lt;=31,3,IF(INDEX(ERP資料!$G:$G, (MATCH(368, 輔助計算!$G$2:$G$801, 0)+1))&lt;=46.5,2,1)), IF(INDEX(ERP資料!$G:$G, (MATCH(368, 輔助計算!$G$2:$G$801, 0)+1))&lt;=790,3,IF(INDEX(ERP資料!$G:$G, (MATCH(368, 輔助計算!$G$2:$G$801, 0)+1))&lt;=1181,2,1))))=0,"",IF(MOD(INDEX(輔助計算!$D:$D, (MATCH(368, 輔助計算!$G$2:$G$801, 0)+1)),IF(INDEX(ERP資料!$G:$G, (MATCH(368, 輔助計算!$G$2:$G$801, 0)+1))&lt;100, IF(INDEX(ERP資料!$G:$G, (MATCH(368, 輔助計算!$G$2:$G$801, 0)+1))&lt;=31,3,IF(INDEX(ERP資料!$G:$G, (MATCH(368, 輔助計算!$G$2:$G$801, 0)+1))&lt;=46.5,2,1)), IF(INDEX(ERP資料!$G:$G, (MATCH(368, 輔助計算!$G$2:$G$801, 0)+1))&lt;=790,3,IF(INDEX(ERP資料!$G:$G, (MATCH(368, 輔助計算!$G$2:$G$801, 0)+1))&lt;=1181,2,1))))=1,TEXT(INDEX(ERP資料!$G:$G, (MATCH(368, 輔助計算!$G$2:$G$801, 0)+1)),"0.##"),IF(MOD(INDEX(輔助計算!$D:$D, (MATCH(368, 輔助計算!$G$2:$G$801, 0)+1)),IF(INDEX(ERP資料!$G:$G, (MATCH(368, 輔助計算!$G$2:$G$801, 0)+1))&lt;100, IF(INDEX(ERP資料!$G:$G, (MATCH(368, 輔助計算!$G$2:$G$801, 0)+1))&lt;=31,3,IF(INDEX(ERP資料!$G:$G, (MATCH(368, 輔助計算!$G$2:$G$801, 0)+1))&lt;=46.5,2,1)), IF(INDEX(ERP資料!$G:$G, (MATCH(368, 輔助計算!$G$2:$G$801, 0)+1))&lt;=790,3,IF(INDEX(ERP資料!$G:$G, (MATCH(368, 輔助計算!$G$2:$G$801, 0)+1))&lt;=1181,2,1))))=2,TEXT(INDEX(ERP資料!$G:$G, (MATCH(368, 輔助計算!$G$2:$G$801, 0)+1)),"0.##")&amp;"+"&amp;TEXT(INDEX(ERP資料!$G:$G, (MATCH(368, 輔助計算!$G$2:$G$801, 0)+1)),"0.##"),TEXT(INDEX(ERP資料!$G:$G, (MATCH(368, 輔助計算!$G$2:$G$801, 0)+1)),"0.##")&amp;"+"&amp;TEXT(INDEX(ERP資料!$G:$G, (MATCH(368, 輔助計算!$G$2:$G$801, 0)+1)),"0.##")&amp;"+"&amp;TEXT(INDEX(ERP資料!$G:$G, (MATCH(368, 輔助計算!$G$2:$G$801, 0)+1)),"0.##"))))&amp;"-1")&lt;&gt;""),"  ","")&amp;IF(MOD(INDEX(輔助計算!$D:$D, (MATCH(368, 輔助計算!$G$2:$G$801, 0)+1)),IF(INDEX(ERP資料!$G:$G, (MATCH(368, 輔助計算!$G$2:$G$801, 0)+1))&lt;100, IF(INDEX(ERP資料!$G:$G, (MATCH(368, 輔助計算!$G$2:$G$801, 0)+1))&lt;=31,3,IF(INDEX(ERP資料!$G:$G, (MATCH(368, 輔助計算!$G$2:$G$801, 0)+1))&lt;=46.5,2,1)), IF(INDEX(ERP資料!$G:$G, (MATCH(368, 輔助計算!$G$2:$G$801, 0)+1))&lt;=790,3,IF(INDEX(ERP資料!$G:$G, (MATCH(368, 輔助計算!$G$2:$G$801, 0)+1))&lt;=1181,2,1))))=0,"",IF(MOD(INDEX(輔助計算!$D:$D, (MATCH(368, 輔助計算!$G$2:$G$801, 0)+1)),IF(INDEX(ERP資料!$G:$G, (MATCH(368, 輔助計算!$G$2:$G$801, 0)+1))&lt;100, IF(INDEX(ERP資料!$G:$G, (MATCH(368, 輔助計算!$G$2:$G$801, 0)+1))&lt;=31,3,IF(INDEX(ERP資料!$G:$G, (MATCH(368, 輔助計算!$G$2:$G$801, 0)+1))&lt;=46.5,2,1)), IF(INDEX(ERP資料!$G:$G, (MATCH(368, 輔助計算!$G$2:$G$801, 0)+1))&lt;=790,3,IF(INDEX(ERP資料!$G:$G, (MATCH(368, 輔助計算!$G$2:$G$801, 0)+1))&lt;=1181,2,1))))=0,"",IF(MOD(INDEX(輔助計算!$D:$D, (MATCH(368, 輔助計算!$G$2:$G$801, 0)+1)),IF(INDEX(ERP資料!$G:$G, (MATCH(368, 輔助計算!$G$2:$G$801, 0)+1))&lt;100, IF(INDEX(ERP資料!$G:$G, (MATCH(368, 輔助計算!$G$2:$G$801, 0)+1))&lt;=31,3,IF(INDEX(ERP資料!$G:$G, (MATCH(368, 輔助計算!$G$2:$G$801, 0)+1))&lt;=46.5,2,1)), IF(INDEX(ERP資料!$G:$G, (MATCH(368, 輔助計算!$G$2:$G$801, 0)+1))&lt;=790,3,IF(INDEX(ERP資料!$G:$G, (MATCH(368, 輔助計算!$G$2:$G$801, 0)+1))&lt;=1181,2,1))))=1,TEXT(INDEX(ERP資料!$G:$G, (MATCH(368, 輔助計算!$G$2:$G$801, 0)+1)),"0.##"),IF(MOD(INDEX(輔助計算!$D:$D, (MATCH(368, 輔助計算!$G$2:$G$801, 0)+1)),IF(INDEX(ERP資料!$G:$G, (MATCH(368, 輔助計算!$G$2:$G$801, 0)+1))&lt;100, IF(INDEX(ERP資料!$G:$G, (MATCH(368, 輔助計算!$G$2:$G$801, 0)+1))&lt;=31,3,IF(INDEX(ERP資料!$G:$G, (MATCH(368, 輔助計算!$G$2:$G$801, 0)+1))&lt;=46.5,2,1)), IF(INDEX(ERP資料!$G:$G, (MATCH(368, 輔助計算!$G$2:$G$801, 0)+1))&lt;=790,3,IF(INDEX(ERP資料!$G:$G, (MATCH(368, 輔助計算!$G$2:$G$801, 0)+1))&lt;=1181,2,1))))=2,TEXT(INDEX(ERP資料!$G:$G, (MATCH(368, 輔助計算!$G$2:$G$801, 0)+1)),"0.##")&amp;"+"&amp;TEXT(INDEX(ERP資料!$G:$G, (MATCH(368, 輔助計算!$G$2:$G$801, 0)+1)),"0.##"),TEXT(INDEX(ERP資料!$G:$G, (MATCH(368, 輔助計算!$G$2:$G$801, 0)+1)),"0.##")&amp;"+"&amp;TEXT(INDEX(ERP資料!$G:$G, (MATCH(368, 輔助計算!$G$2:$G$801, 0)+1)),"0.##")&amp;"+"&amp;TEXT(INDEX(ERP資料!$G:$G, (MATCH(368, 輔助計算!$G$2:$G$801, 0)+1)),"0.##"))))&amp;"-1")), ""), "")</f>
        <v/>
      </c>
      <c r="K369" s="16" t="n"/>
      <c r="L369" s="14">
        <f>IFERROR(IF(AND(IFERROR(INDEX(ERP資料!$A:$A, (MATCH(368, 輔助計算!$G$2:$G$801, 0)+1)), "")&lt;&gt;"", IFERROR(INDEX(ERP資料!$A:$A, (MATCH(368, 輔助計算!$G$2:$G$801, 0)+1)), "")&lt;&gt;IFERROR(INDEX(ERP資料!$A:$A, MATCH(367, 輔助計算!$G$2:$G$801, 0)+1), "")), INDEX(ERP資料!$B:$B, (MATCH(368, 輔助計算!$G$2:$G$801, 0)+1)), ""), "")</f>
        <v/>
      </c>
      <c r="M369" s="17" t="n"/>
    </row>
    <row r="370">
      <c r="A370" s="10">
        <f>IFERROR(IF(AND(IFERROR(INDEX(ERP資料!$A:$A, (MATCH(369, 輔助計算!$G$2:$G$801, 0)+1)), "")&lt;&gt;"", IFERROR(INDEX(ERP資料!$A:$A, (MATCH(369, 輔助計算!$G$2:$G$801, 0)+1)), "")&lt;&gt;IFERROR(INDEX(ERP資料!$A:$A, MATCH(368, 輔助計算!$G$2:$G$801, 0)+1), "")), IFERROR(INDEX(ERP資料!$A:$A, (MATCH(369, 輔助計算!$G$2:$G$801, 0)+1)), ""), ""), "")</f>
        <v/>
      </c>
      <c r="B370" s="10">
        <f>IFERROR(IF(AND(IFERROR(INDEX(ERP資料!$A:$A, (MATCH(369, 輔助計算!$G$2:$G$801, 0)+1)), "")&lt;&gt;"", IFERROR(INDEX(ERP資料!$A:$A, (MATCH(369, 輔助計算!$G$2:$G$801, 0)+1)), "")&lt;&gt;IFERROR(INDEX(ERP資料!$A:$A, MATCH(368, 輔助計算!$G$2:$G$801, 0)+1), "")), INDEX(ERP資料!$S:$S, (MATCH(369, 輔助計算!$G$2:$G$801, 0)+1)), ""), "")</f>
        <v/>
      </c>
      <c r="C370" s="19">
        <f>IFERROR(IF(AND(IFERROR(INDEX(ERP資料!$A:$A, (MATCH(369, 輔助計算!$G$2:$G$801, 0)+1)), "")&lt;&gt;"", IFERROR(INDEX(ERP資料!$A:$A, (MATCH(369, 輔助計算!$G$2:$G$801, 0)+1)), "")&lt;&gt;IFERROR(INDEX(ERP資料!$A:$A, MATCH(368, 輔助計算!$G$2:$G$801, 0)+1), "")), IFERROR(VLOOKUP(LEFT(INDEX(ERP資料!$S:$S, (MATCH(369, 輔助計算!$G$2:$G$801, 0)+1)), 4), 紙管對照表!$A:$C, 3, FALSE), ""), ""), "")</f>
        <v/>
      </c>
      <c r="D370" s="16" t="n"/>
      <c r="E370" s="10">
        <f>IFERROR(IF(INDEX(ERP資料!$H:$H, (MATCH(369, 輔助計算!$G$2:$G$801, 0)+1))="","",INDEX(ERP資料!$H:$H, (MATCH(369, 輔助計算!$G$2:$G$801, 0)+1))), "")</f>
        <v/>
      </c>
      <c r="F370" s="10">
        <f>IFERROR(IF(INDEX(ERP資料!$E:$E, (MATCH(369, 輔助計算!$G$2:$G$801, 0)+1))="","",TRIM(INDEX(ERP資料!$E:$E, (MATCH(369, 輔助計算!$G$2:$G$801, 0)+1)))), "")</f>
        <v/>
      </c>
      <c r="G370" s="10">
        <f>IFERROR(IF(INDEX(ERP資料!$F:$F, (MATCH(369, 輔助計算!$G$2:$G$801, 0)+1))="","",INDEX(ERP資料!$F:$F, (MATCH(369, 輔助計算!$G$2:$G$801, 0)+1))), "")</f>
        <v/>
      </c>
      <c r="H370" s="10">
        <f>IFERROR(IF(INDEX(ERP資料!$G:$G, (MATCH(369, 輔助計算!$G$2:$G$801, 0)+1))="","",INDEX(ERP資料!$G:$G, (MATCH(369, 輔助計算!$G$2:$G$801, 0)+1))), "")</f>
        <v/>
      </c>
      <c r="I370" s="15">
        <f>IFERROR(INDEX(輔助計算!$D:$D, (MATCH(369, 輔助計算!$G$2:$G$801, 0)+1)), "")</f>
        <v/>
      </c>
      <c r="J370" s="15">
        <f>IFERROR(IF(AND(INDEX(輔助計算!$D:$D, (MATCH(369, 輔助計算!$G$2:$G$801, 0)+1))&lt;&gt;"", INDEX(ERP資料!$G:$G, (MATCH(369, 輔助計算!$G$2:$G$801, 0)+1))&lt;&gt;""), TRIM(IF(INT(INDEX(輔助計算!$D:$D, (MATCH(369, 輔助計算!$G$2:$G$801, 0)+1))/IF(INDEX(ERP資料!$G:$G, (MATCH(369, 輔助計算!$G$2:$G$801, 0)+1))&lt;100, IF(INDEX(ERP資料!$G:$G, (MATCH(369, 輔助計算!$G$2:$G$801, 0)+1))&lt;=31,3,IF(INDEX(ERP資料!$G:$G, (MATCH(369, 輔助計算!$G$2:$G$801, 0)+1))&lt;=46.5,2,1)), IF(INDEX(ERP資料!$G:$G, (MATCH(369, 輔助計算!$G$2:$G$801, 0)+1))&lt;=790,3,IF(INDEX(ERP資料!$G:$G, (MATCH(369, 輔助計算!$G$2:$G$801, 0)+1))&lt;=1181,2,1))))&gt;0, IF(IF(INDEX(ERP資料!$G:$G, (MATCH(369, 輔助計算!$G$2:$G$801, 0)+1))&lt;100, IF(INDEX(ERP資料!$G:$G, (MATCH(369, 輔助計算!$G$2:$G$801, 0)+1))&lt;=31,3,IF(INDEX(ERP資料!$G:$G, (MATCH(369, 輔助計算!$G$2:$G$801, 0)+1))&lt;=46.5,2,1)), IF(INDEX(ERP資料!$G:$G, (MATCH(369, 輔助計算!$G$2:$G$801, 0)+1))&lt;=790,3,IF(INDEX(ERP資料!$G:$G, (MATCH(369, 輔助計算!$G$2:$G$801, 0)+1))&lt;=1181,2,1)))=1,TEXT(INDEX(ERP資料!$G:$G, (MATCH(369, 輔助計算!$G$2:$G$801, 0)+1)),"0.##"),IF(IF(INDEX(ERP資料!$G:$G, (MATCH(369, 輔助計算!$G$2:$G$801, 0)+1))&lt;100, IF(INDEX(ERP資料!$G:$G, (MATCH(369, 輔助計算!$G$2:$G$801, 0)+1))&lt;=31,3,IF(INDEX(ERP資料!$G:$G, (MATCH(369, 輔助計算!$G$2:$G$801, 0)+1))&lt;=46.5,2,1)), IF(INDEX(ERP資料!$G:$G, (MATCH(369, 輔助計算!$G$2:$G$801, 0)+1))&lt;=790,3,IF(INDEX(ERP資料!$G:$G, (MATCH(369, 輔助計算!$G$2:$G$801, 0)+1))&lt;=1181,2,1)))=2,TEXT(INDEX(ERP資料!$G:$G, (MATCH(369, 輔助計算!$G$2:$G$801, 0)+1)),"0.##")&amp;"+"&amp;TEXT(INDEX(ERP資料!$G:$G, (MATCH(369, 輔助計算!$G$2:$G$801, 0)+1)),"0.##"),TEXT(INDEX(ERP資料!$G:$G, (MATCH(369, 輔助計算!$G$2:$G$801, 0)+1)),"0.##")&amp;"+"&amp;TEXT(INDEX(ERP資料!$G:$G, (MATCH(369, 輔助計算!$G$2:$G$801, 0)+1)),"0.##")&amp;"+"&amp;TEXT(INDEX(ERP資料!$G:$G, (MATCH(369, 輔助計算!$G$2:$G$801, 0)+1)),"0.##")))&amp;"-"&amp;INT(INDEX(輔助計算!$D:$D, (MATCH(369, 輔助計算!$G$2:$G$801, 0)+1))/IF(INDEX(ERP資料!$G:$G, (MATCH(369, 輔助計算!$G$2:$G$801, 0)+1))&lt;100, IF(INDEX(ERP資料!$G:$G, (MATCH(369, 輔助計算!$G$2:$G$801, 0)+1))&lt;=31,3,IF(INDEX(ERP資料!$G:$G, (MATCH(369, 輔助計算!$G$2:$G$801, 0)+1))&lt;=46.5,2,1)), IF(INDEX(ERP資料!$G:$G, (MATCH(369, 輔助計算!$G$2:$G$801, 0)+1))&lt;=790,3,IF(INDEX(ERP資料!$G:$G, (MATCH(369, 輔助計算!$G$2:$G$801, 0)+1))&lt;=1181,2,1)))), "")&amp;IF(AND(IF(INT(INDEX(輔助計算!$D:$D, (MATCH(369, 輔助計算!$G$2:$G$801, 0)+1))/IF(INDEX(ERP資料!$G:$G, (MATCH(369, 輔助計算!$G$2:$G$801, 0)+1))&lt;100, IF(INDEX(ERP資料!$G:$G, (MATCH(369, 輔助計算!$G$2:$G$801, 0)+1))&lt;=31,3,IF(INDEX(ERP資料!$G:$G, (MATCH(369, 輔助計算!$G$2:$G$801, 0)+1))&lt;=46.5,2,1)), IF(INDEX(ERP資料!$G:$G, (MATCH(369, 輔助計算!$G$2:$G$801, 0)+1))&lt;=790,3,IF(INDEX(ERP資料!$G:$G, (MATCH(369, 輔助計算!$G$2:$G$801, 0)+1))&lt;=1181,2,1))))&gt;0, IF(IF(INDEX(ERP資料!$G:$G, (MATCH(369, 輔助計算!$G$2:$G$801, 0)+1))&lt;100, IF(INDEX(ERP資料!$G:$G, (MATCH(369, 輔助計算!$G$2:$G$801, 0)+1))&lt;=31,3,IF(INDEX(ERP資料!$G:$G, (MATCH(369, 輔助計算!$G$2:$G$801, 0)+1))&lt;=46.5,2,1)), IF(INDEX(ERP資料!$G:$G, (MATCH(369, 輔助計算!$G$2:$G$801, 0)+1))&lt;=790,3,IF(INDEX(ERP資料!$G:$G, (MATCH(369, 輔助計算!$G$2:$G$801, 0)+1))&lt;=1181,2,1)))=1,TEXT(INDEX(ERP資料!$G:$G, (MATCH(369, 輔助計算!$G$2:$G$801, 0)+1)),"0.##"),IF(IF(INDEX(ERP資料!$G:$G, (MATCH(369, 輔助計算!$G$2:$G$801, 0)+1))&lt;100, IF(INDEX(ERP資料!$G:$G, (MATCH(369, 輔助計算!$G$2:$G$801, 0)+1))&lt;=31,3,IF(INDEX(ERP資料!$G:$G, (MATCH(369, 輔助計算!$G$2:$G$801, 0)+1))&lt;=46.5,2,1)), IF(INDEX(ERP資料!$G:$G, (MATCH(369, 輔助計算!$G$2:$G$801, 0)+1))&lt;=790,3,IF(INDEX(ERP資料!$G:$G, (MATCH(369, 輔助計算!$G$2:$G$801, 0)+1))&lt;=1181,2,1)))=2,TEXT(INDEX(ERP資料!$G:$G, (MATCH(369, 輔助計算!$G$2:$G$801, 0)+1)),"0.##")&amp;"+"&amp;TEXT(INDEX(ERP資料!$G:$G, (MATCH(369, 輔助計算!$G$2:$G$801, 0)+1)),"0.##"),TEXT(INDEX(ERP資料!$G:$G, (MATCH(369, 輔助計算!$G$2:$G$801, 0)+1)),"0.##")&amp;"+"&amp;TEXT(INDEX(ERP資料!$G:$G, (MATCH(369, 輔助計算!$G$2:$G$801, 0)+1)),"0.##")&amp;"+"&amp;TEXT(INDEX(ERP資料!$G:$G, (MATCH(369, 輔助計算!$G$2:$G$801, 0)+1)),"0.##")))&amp;"-"&amp;INT(INDEX(輔助計算!$D:$D, (MATCH(369, 輔助計算!$G$2:$G$801, 0)+1))/IF(INDEX(ERP資料!$G:$G, (MATCH(369, 輔助計算!$G$2:$G$801, 0)+1))&lt;100, IF(INDEX(ERP資料!$G:$G, (MATCH(369, 輔助計算!$G$2:$G$801, 0)+1))&lt;=31,3,IF(INDEX(ERP資料!$G:$G, (MATCH(369, 輔助計算!$G$2:$G$801, 0)+1))&lt;=46.5,2,1)), IF(INDEX(ERP資料!$G:$G, (MATCH(369, 輔助計算!$G$2:$G$801, 0)+1))&lt;=790,3,IF(INDEX(ERP資料!$G:$G, (MATCH(369, 輔助計算!$G$2:$G$801, 0)+1))&lt;=1181,2,1)))), "")&lt;&gt;"",IF(MOD(INDEX(輔助計算!$D:$D, (MATCH(369, 輔助計算!$G$2:$G$801, 0)+1)),IF(INDEX(ERP資料!$G:$G, (MATCH(369, 輔助計算!$G$2:$G$801, 0)+1))&lt;100, IF(INDEX(ERP資料!$G:$G, (MATCH(369, 輔助計算!$G$2:$G$801, 0)+1))&lt;=31,3,IF(INDEX(ERP資料!$G:$G, (MATCH(369, 輔助計算!$G$2:$G$801, 0)+1))&lt;=46.5,2,1)), IF(INDEX(ERP資料!$G:$G, (MATCH(369, 輔助計算!$G$2:$G$801, 0)+1))&lt;=790,3,IF(INDEX(ERP資料!$G:$G, (MATCH(369, 輔助計算!$G$2:$G$801, 0)+1))&lt;=1181,2,1))))=0,"",IF(MOD(INDEX(輔助計算!$D:$D, (MATCH(369, 輔助計算!$G$2:$G$801, 0)+1)),IF(INDEX(ERP資料!$G:$G, (MATCH(369, 輔助計算!$G$2:$G$801, 0)+1))&lt;100, IF(INDEX(ERP資料!$G:$G, (MATCH(369, 輔助計算!$G$2:$G$801, 0)+1))&lt;=31,3,IF(INDEX(ERP資料!$G:$G, (MATCH(369, 輔助計算!$G$2:$G$801, 0)+1))&lt;=46.5,2,1)), IF(INDEX(ERP資料!$G:$G, (MATCH(369, 輔助計算!$G$2:$G$801, 0)+1))&lt;=790,3,IF(INDEX(ERP資料!$G:$G, (MATCH(369, 輔助計算!$G$2:$G$801, 0)+1))&lt;=1181,2,1))))=0,"",IF(MOD(INDEX(輔助計算!$D:$D, (MATCH(369, 輔助計算!$G$2:$G$801, 0)+1)),IF(INDEX(ERP資料!$G:$G, (MATCH(369, 輔助計算!$G$2:$G$801, 0)+1))&lt;100, IF(INDEX(ERP資料!$G:$G, (MATCH(369, 輔助計算!$G$2:$G$801, 0)+1))&lt;=31,3,IF(INDEX(ERP資料!$G:$G, (MATCH(369, 輔助計算!$G$2:$G$801, 0)+1))&lt;=46.5,2,1)), IF(INDEX(ERP資料!$G:$G, (MATCH(369, 輔助計算!$G$2:$G$801, 0)+1))&lt;=790,3,IF(INDEX(ERP資料!$G:$G, (MATCH(369, 輔助計算!$G$2:$G$801, 0)+1))&lt;=1181,2,1))))=1,TEXT(INDEX(ERP資料!$G:$G, (MATCH(369, 輔助計算!$G$2:$G$801, 0)+1)),"0.##"),IF(MOD(INDEX(輔助計算!$D:$D, (MATCH(369, 輔助計算!$G$2:$G$801, 0)+1)),IF(INDEX(ERP資料!$G:$G, (MATCH(369, 輔助計算!$G$2:$G$801, 0)+1))&lt;100, IF(INDEX(ERP資料!$G:$G, (MATCH(369, 輔助計算!$G$2:$G$801, 0)+1))&lt;=31,3,IF(INDEX(ERP資料!$G:$G, (MATCH(369, 輔助計算!$G$2:$G$801, 0)+1))&lt;=46.5,2,1)), IF(INDEX(ERP資料!$G:$G, (MATCH(369, 輔助計算!$G$2:$G$801, 0)+1))&lt;=790,3,IF(INDEX(ERP資料!$G:$G, (MATCH(369, 輔助計算!$G$2:$G$801, 0)+1))&lt;=1181,2,1))))=2,TEXT(INDEX(ERP資料!$G:$G, (MATCH(369, 輔助計算!$G$2:$G$801, 0)+1)),"0.##")&amp;"+"&amp;TEXT(INDEX(ERP資料!$G:$G, (MATCH(369, 輔助計算!$G$2:$G$801, 0)+1)),"0.##"),TEXT(INDEX(ERP資料!$G:$G, (MATCH(369, 輔助計算!$G$2:$G$801, 0)+1)),"0.##")&amp;"+"&amp;TEXT(INDEX(ERP資料!$G:$G, (MATCH(369, 輔助計算!$G$2:$G$801, 0)+1)),"0.##")&amp;"+"&amp;TEXT(INDEX(ERP資料!$G:$G, (MATCH(369, 輔助計算!$G$2:$G$801, 0)+1)),"0.##"))))&amp;"-1")&lt;&gt;""),"  ","")&amp;IF(MOD(INDEX(輔助計算!$D:$D, (MATCH(369, 輔助計算!$G$2:$G$801, 0)+1)),IF(INDEX(ERP資料!$G:$G, (MATCH(369, 輔助計算!$G$2:$G$801, 0)+1))&lt;100, IF(INDEX(ERP資料!$G:$G, (MATCH(369, 輔助計算!$G$2:$G$801, 0)+1))&lt;=31,3,IF(INDEX(ERP資料!$G:$G, (MATCH(369, 輔助計算!$G$2:$G$801, 0)+1))&lt;=46.5,2,1)), IF(INDEX(ERP資料!$G:$G, (MATCH(369, 輔助計算!$G$2:$G$801, 0)+1))&lt;=790,3,IF(INDEX(ERP資料!$G:$G, (MATCH(369, 輔助計算!$G$2:$G$801, 0)+1))&lt;=1181,2,1))))=0,"",IF(MOD(INDEX(輔助計算!$D:$D, (MATCH(369, 輔助計算!$G$2:$G$801, 0)+1)),IF(INDEX(ERP資料!$G:$G, (MATCH(369, 輔助計算!$G$2:$G$801, 0)+1))&lt;100, IF(INDEX(ERP資料!$G:$G, (MATCH(369, 輔助計算!$G$2:$G$801, 0)+1))&lt;=31,3,IF(INDEX(ERP資料!$G:$G, (MATCH(369, 輔助計算!$G$2:$G$801, 0)+1))&lt;=46.5,2,1)), IF(INDEX(ERP資料!$G:$G, (MATCH(369, 輔助計算!$G$2:$G$801, 0)+1))&lt;=790,3,IF(INDEX(ERP資料!$G:$G, (MATCH(369, 輔助計算!$G$2:$G$801, 0)+1))&lt;=1181,2,1))))=0,"",IF(MOD(INDEX(輔助計算!$D:$D, (MATCH(369, 輔助計算!$G$2:$G$801, 0)+1)),IF(INDEX(ERP資料!$G:$G, (MATCH(369, 輔助計算!$G$2:$G$801, 0)+1))&lt;100, IF(INDEX(ERP資料!$G:$G, (MATCH(369, 輔助計算!$G$2:$G$801, 0)+1))&lt;=31,3,IF(INDEX(ERP資料!$G:$G, (MATCH(369, 輔助計算!$G$2:$G$801, 0)+1))&lt;=46.5,2,1)), IF(INDEX(ERP資料!$G:$G, (MATCH(369, 輔助計算!$G$2:$G$801, 0)+1))&lt;=790,3,IF(INDEX(ERP資料!$G:$G, (MATCH(369, 輔助計算!$G$2:$G$801, 0)+1))&lt;=1181,2,1))))=1,TEXT(INDEX(ERP資料!$G:$G, (MATCH(369, 輔助計算!$G$2:$G$801, 0)+1)),"0.##"),IF(MOD(INDEX(輔助計算!$D:$D, (MATCH(369, 輔助計算!$G$2:$G$801, 0)+1)),IF(INDEX(ERP資料!$G:$G, (MATCH(369, 輔助計算!$G$2:$G$801, 0)+1))&lt;100, IF(INDEX(ERP資料!$G:$G, (MATCH(369, 輔助計算!$G$2:$G$801, 0)+1))&lt;=31,3,IF(INDEX(ERP資料!$G:$G, (MATCH(369, 輔助計算!$G$2:$G$801, 0)+1))&lt;=46.5,2,1)), IF(INDEX(ERP資料!$G:$G, (MATCH(369, 輔助計算!$G$2:$G$801, 0)+1))&lt;=790,3,IF(INDEX(ERP資料!$G:$G, (MATCH(369, 輔助計算!$G$2:$G$801, 0)+1))&lt;=1181,2,1))))=2,TEXT(INDEX(ERP資料!$G:$G, (MATCH(369, 輔助計算!$G$2:$G$801, 0)+1)),"0.##")&amp;"+"&amp;TEXT(INDEX(ERP資料!$G:$G, (MATCH(369, 輔助計算!$G$2:$G$801, 0)+1)),"0.##"),TEXT(INDEX(ERP資料!$G:$G, (MATCH(369, 輔助計算!$G$2:$G$801, 0)+1)),"0.##")&amp;"+"&amp;TEXT(INDEX(ERP資料!$G:$G, (MATCH(369, 輔助計算!$G$2:$G$801, 0)+1)),"0.##")&amp;"+"&amp;TEXT(INDEX(ERP資料!$G:$G, (MATCH(369, 輔助計算!$G$2:$G$801, 0)+1)),"0.##"))))&amp;"-1")), ""), "")</f>
        <v/>
      </c>
      <c r="K370" s="16" t="n"/>
      <c r="L370" s="14">
        <f>IFERROR(IF(AND(IFERROR(INDEX(ERP資料!$A:$A, (MATCH(369, 輔助計算!$G$2:$G$801, 0)+1)), "")&lt;&gt;"", IFERROR(INDEX(ERP資料!$A:$A, (MATCH(369, 輔助計算!$G$2:$G$801, 0)+1)), "")&lt;&gt;IFERROR(INDEX(ERP資料!$A:$A, MATCH(368, 輔助計算!$G$2:$G$801, 0)+1), "")), INDEX(ERP資料!$B:$B, (MATCH(369, 輔助計算!$G$2:$G$801, 0)+1)), ""), "")</f>
        <v/>
      </c>
      <c r="M370" s="17" t="n"/>
    </row>
    <row r="371">
      <c r="A371" s="10">
        <f>IFERROR(IF(AND(IFERROR(INDEX(ERP資料!$A:$A, (MATCH(370, 輔助計算!$G$2:$G$801, 0)+1)), "")&lt;&gt;"", IFERROR(INDEX(ERP資料!$A:$A, (MATCH(370, 輔助計算!$G$2:$G$801, 0)+1)), "")&lt;&gt;IFERROR(INDEX(ERP資料!$A:$A, MATCH(369, 輔助計算!$G$2:$G$801, 0)+1), "")), IFERROR(INDEX(ERP資料!$A:$A, (MATCH(370, 輔助計算!$G$2:$G$801, 0)+1)), ""), ""), "")</f>
        <v/>
      </c>
      <c r="B371" s="10">
        <f>IFERROR(IF(AND(IFERROR(INDEX(ERP資料!$A:$A, (MATCH(370, 輔助計算!$G$2:$G$801, 0)+1)), "")&lt;&gt;"", IFERROR(INDEX(ERP資料!$A:$A, (MATCH(370, 輔助計算!$G$2:$G$801, 0)+1)), "")&lt;&gt;IFERROR(INDEX(ERP資料!$A:$A, MATCH(369, 輔助計算!$G$2:$G$801, 0)+1), "")), INDEX(ERP資料!$S:$S, (MATCH(370, 輔助計算!$G$2:$G$801, 0)+1)), ""), "")</f>
        <v/>
      </c>
      <c r="C371" s="19">
        <f>IFERROR(IF(AND(IFERROR(INDEX(ERP資料!$A:$A, (MATCH(370, 輔助計算!$G$2:$G$801, 0)+1)), "")&lt;&gt;"", IFERROR(INDEX(ERP資料!$A:$A, (MATCH(370, 輔助計算!$G$2:$G$801, 0)+1)), "")&lt;&gt;IFERROR(INDEX(ERP資料!$A:$A, MATCH(369, 輔助計算!$G$2:$G$801, 0)+1), "")), IFERROR(VLOOKUP(LEFT(INDEX(ERP資料!$S:$S, (MATCH(370, 輔助計算!$G$2:$G$801, 0)+1)), 4), 紙管對照表!$A:$C, 3, FALSE), ""), ""), "")</f>
        <v/>
      </c>
      <c r="D371" s="16" t="n"/>
      <c r="E371" s="10">
        <f>IFERROR(IF(INDEX(ERP資料!$H:$H, (MATCH(370, 輔助計算!$G$2:$G$801, 0)+1))="","",INDEX(ERP資料!$H:$H, (MATCH(370, 輔助計算!$G$2:$G$801, 0)+1))), "")</f>
        <v/>
      </c>
      <c r="F371" s="10">
        <f>IFERROR(IF(INDEX(ERP資料!$E:$E, (MATCH(370, 輔助計算!$G$2:$G$801, 0)+1))="","",TRIM(INDEX(ERP資料!$E:$E, (MATCH(370, 輔助計算!$G$2:$G$801, 0)+1)))), "")</f>
        <v/>
      </c>
      <c r="G371" s="10">
        <f>IFERROR(IF(INDEX(ERP資料!$F:$F, (MATCH(370, 輔助計算!$G$2:$G$801, 0)+1))="","",INDEX(ERP資料!$F:$F, (MATCH(370, 輔助計算!$G$2:$G$801, 0)+1))), "")</f>
        <v/>
      </c>
      <c r="H371" s="10">
        <f>IFERROR(IF(INDEX(ERP資料!$G:$G, (MATCH(370, 輔助計算!$G$2:$G$801, 0)+1))="","",INDEX(ERP資料!$G:$G, (MATCH(370, 輔助計算!$G$2:$G$801, 0)+1))), "")</f>
        <v/>
      </c>
      <c r="I371" s="15">
        <f>IFERROR(INDEX(輔助計算!$D:$D, (MATCH(370, 輔助計算!$G$2:$G$801, 0)+1)), "")</f>
        <v/>
      </c>
      <c r="J371" s="15">
        <f>IFERROR(IF(AND(INDEX(輔助計算!$D:$D, (MATCH(370, 輔助計算!$G$2:$G$801, 0)+1))&lt;&gt;"", INDEX(ERP資料!$G:$G, (MATCH(370, 輔助計算!$G$2:$G$801, 0)+1))&lt;&gt;""), TRIM(IF(INT(INDEX(輔助計算!$D:$D, (MATCH(370, 輔助計算!$G$2:$G$801, 0)+1))/IF(INDEX(ERP資料!$G:$G, (MATCH(370, 輔助計算!$G$2:$G$801, 0)+1))&lt;100, IF(INDEX(ERP資料!$G:$G, (MATCH(370, 輔助計算!$G$2:$G$801, 0)+1))&lt;=31,3,IF(INDEX(ERP資料!$G:$G, (MATCH(370, 輔助計算!$G$2:$G$801, 0)+1))&lt;=46.5,2,1)), IF(INDEX(ERP資料!$G:$G, (MATCH(370, 輔助計算!$G$2:$G$801, 0)+1))&lt;=790,3,IF(INDEX(ERP資料!$G:$G, (MATCH(370, 輔助計算!$G$2:$G$801, 0)+1))&lt;=1181,2,1))))&gt;0, IF(IF(INDEX(ERP資料!$G:$G, (MATCH(370, 輔助計算!$G$2:$G$801, 0)+1))&lt;100, IF(INDEX(ERP資料!$G:$G, (MATCH(370, 輔助計算!$G$2:$G$801, 0)+1))&lt;=31,3,IF(INDEX(ERP資料!$G:$G, (MATCH(370, 輔助計算!$G$2:$G$801, 0)+1))&lt;=46.5,2,1)), IF(INDEX(ERP資料!$G:$G, (MATCH(370, 輔助計算!$G$2:$G$801, 0)+1))&lt;=790,3,IF(INDEX(ERP資料!$G:$G, (MATCH(370, 輔助計算!$G$2:$G$801, 0)+1))&lt;=1181,2,1)))=1,TEXT(INDEX(ERP資料!$G:$G, (MATCH(370, 輔助計算!$G$2:$G$801, 0)+1)),"0.##"),IF(IF(INDEX(ERP資料!$G:$G, (MATCH(370, 輔助計算!$G$2:$G$801, 0)+1))&lt;100, IF(INDEX(ERP資料!$G:$G, (MATCH(370, 輔助計算!$G$2:$G$801, 0)+1))&lt;=31,3,IF(INDEX(ERP資料!$G:$G, (MATCH(370, 輔助計算!$G$2:$G$801, 0)+1))&lt;=46.5,2,1)), IF(INDEX(ERP資料!$G:$G, (MATCH(370, 輔助計算!$G$2:$G$801, 0)+1))&lt;=790,3,IF(INDEX(ERP資料!$G:$G, (MATCH(370, 輔助計算!$G$2:$G$801, 0)+1))&lt;=1181,2,1)))=2,TEXT(INDEX(ERP資料!$G:$G, (MATCH(370, 輔助計算!$G$2:$G$801, 0)+1)),"0.##")&amp;"+"&amp;TEXT(INDEX(ERP資料!$G:$G, (MATCH(370, 輔助計算!$G$2:$G$801, 0)+1)),"0.##"),TEXT(INDEX(ERP資料!$G:$G, (MATCH(370, 輔助計算!$G$2:$G$801, 0)+1)),"0.##")&amp;"+"&amp;TEXT(INDEX(ERP資料!$G:$G, (MATCH(370, 輔助計算!$G$2:$G$801, 0)+1)),"0.##")&amp;"+"&amp;TEXT(INDEX(ERP資料!$G:$G, (MATCH(370, 輔助計算!$G$2:$G$801, 0)+1)),"0.##")))&amp;"-"&amp;INT(INDEX(輔助計算!$D:$D, (MATCH(370, 輔助計算!$G$2:$G$801, 0)+1))/IF(INDEX(ERP資料!$G:$G, (MATCH(370, 輔助計算!$G$2:$G$801, 0)+1))&lt;100, IF(INDEX(ERP資料!$G:$G, (MATCH(370, 輔助計算!$G$2:$G$801, 0)+1))&lt;=31,3,IF(INDEX(ERP資料!$G:$G, (MATCH(370, 輔助計算!$G$2:$G$801, 0)+1))&lt;=46.5,2,1)), IF(INDEX(ERP資料!$G:$G, (MATCH(370, 輔助計算!$G$2:$G$801, 0)+1))&lt;=790,3,IF(INDEX(ERP資料!$G:$G, (MATCH(370, 輔助計算!$G$2:$G$801, 0)+1))&lt;=1181,2,1)))), "")&amp;IF(AND(IF(INT(INDEX(輔助計算!$D:$D, (MATCH(370, 輔助計算!$G$2:$G$801, 0)+1))/IF(INDEX(ERP資料!$G:$G, (MATCH(370, 輔助計算!$G$2:$G$801, 0)+1))&lt;100, IF(INDEX(ERP資料!$G:$G, (MATCH(370, 輔助計算!$G$2:$G$801, 0)+1))&lt;=31,3,IF(INDEX(ERP資料!$G:$G, (MATCH(370, 輔助計算!$G$2:$G$801, 0)+1))&lt;=46.5,2,1)), IF(INDEX(ERP資料!$G:$G, (MATCH(370, 輔助計算!$G$2:$G$801, 0)+1))&lt;=790,3,IF(INDEX(ERP資料!$G:$G, (MATCH(370, 輔助計算!$G$2:$G$801, 0)+1))&lt;=1181,2,1))))&gt;0, IF(IF(INDEX(ERP資料!$G:$G, (MATCH(370, 輔助計算!$G$2:$G$801, 0)+1))&lt;100, IF(INDEX(ERP資料!$G:$G, (MATCH(370, 輔助計算!$G$2:$G$801, 0)+1))&lt;=31,3,IF(INDEX(ERP資料!$G:$G, (MATCH(370, 輔助計算!$G$2:$G$801, 0)+1))&lt;=46.5,2,1)), IF(INDEX(ERP資料!$G:$G, (MATCH(370, 輔助計算!$G$2:$G$801, 0)+1))&lt;=790,3,IF(INDEX(ERP資料!$G:$G, (MATCH(370, 輔助計算!$G$2:$G$801, 0)+1))&lt;=1181,2,1)))=1,TEXT(INDEX(ERP資料!$G:$G, (MATCH(370, 輔助計算!$G$2:$G$801, 0)+1)),"0.##"),IF(IF(INDEX(ERP資料!$G:$G, (MATCH(370, 輔助計算!$G$2:$G$801, 0)+1))&lt;100, IF(INDEX(ERP資料!$G:$G, (MATCH(370, 輔助計算!$G$2:$G$801, 0)+1))&lt;=31,3,IF(INDEX(ERP資料!$G:$G, (MATCH(370, 輔助計算!$G$2:$G$801, 0)+1))&lt;=46.5,2,1)), IF(INDEX(ERP資料!$G:$G, (MATCH(370, 輔助計算!$G$2:$G$801, 0)+1))&lt;=790,3,IF(INDEX(ERP資料!$G:$G, (MATCH(370, 輔助計算!$G$2:$G$801, 0)+1))&lt;=1181,2,1)))=2,TEXT(INDEX(ERP資料!$G:$G, (MATCH(370, 輔助計算!$G$2:$G$801, 0)+1)),"0.##")&amp;"+"&amp;TEXT(INDEX(ERP資料!$G:$G, (MATCH(370, 輔助計算!$G$2:$G$801, 0)+1)),"0.##"),TEXT(INDEX(ERP資料!$G:$G, (MATCH(370, 輔助計算!$G$2:$G$801, 0)+1)),"0.##")&amp;"+"&amp;TEXT(INDEX(ERP資料!$G:$G, (MATCH(370, 輔助計算!$G$2:$G$801, 0)+1)),"0.##")&amp;"+"&amp;TEXT(INDEX(ERP資料!$G:$G, (MATCH(370, 輔助計算!$G$2:$G$801, 0)+1)),"0.##")))&amp;"-"&amp;INT(INDEX(輔助計算!$D:$D, (MATCH(370, 輔助計算!$G$2:$G$801, 0)+1))/IF(INDEX(ERP資料!$G:$G, (MATCH(370, 輔助計算!$G$2:$G$801, 0)+1))&lt;100, IF(INDEX(ERP資料!$G:$G, (MATCH(370, 輔助計算!$G$2:$G$801, 0)+1))&lt;=31,3,IF(INDEX(ERP資料!$G:$G, (MATCH(370, 輔助計算!$G$2:$G$801, 0)+1))&lt;=46.5,2,1)), IF(INDEX(ERP資料!$G:$G, (MATCH(370, 輔助計算!$G$2:$G$801, 0)+1))&lt;=790,3,IF(INDEX(ERP資料!$G:$G, (MATCH(370, 輔助計算!$G$2:$G$801, 0)+1))&lt;=1181,2,1)))), "")&lt;&gt;"",IF(MOD(INDEX(輔助計算!$D:$D, (MATCH(370, 輔助計算!$G$2:$G$801, 0)+1)),IF(INDEX(ERP資料!$G:$G, (MATCH(370, 輔助計算!$G$2:$G$801, 0)+1))&lt;100, IF(INDEX(ERP資料!$G:$G, (MATCH(370, 輔助計算!$G$2:$G$801, 0)+1))&lt;=31,3,IF(INDEX(ERP資料!$G:$G, (MATCH(370, 輔助計算!$G$2:$G$801, 0)+1))&lt;=46.5,2,1)), IF(INDEX(ERP資料!$G:$G, (MATCH(370, 輔助計算!$G$2:$G$801, 0)+1))&lt;=790,3,IF(INDEX(ERP資料!$G:$G, (MATCH(370, 輔助計算!$G$2:$G$801, 0)+1))&lt;=1181,2,1))))=0,"",IF(MOD(INDEX(輔助計算!$D:$D, (MATCH(370, 輔助計算!$G$2:$G$801, 0)+1)),IF(INDEX(ERP資料!$G:$G, (MATCH(370, 輔助計算!$G$2:$G$801, 0)+1))&lt;100, IF(INDEX(ERP資料!$G:$G, (MATCH(370, 輔助計算!$G$2:$G$801, 0)+1))&lt;=31,3,IF(INDEX(ERP資料!$G:$G, (MATCH(370, 輔助計算!$G$2:$G$801, 0)+1))&lt;=46.5,2,1)), IF(INDEX(ERP資料!$G:$G, (MATCH(370, 輔助計算!$G$2:$G$801, 0)+1))&lt;=790,3,IF(INDEX(ERP資料!$G:$G, (MATCH(370, 輔助計算!$G$2:$G$801, 0)+1))&lt;=1181,2,1))))=0,"",IF(MOD(INDEX(輔助計算!$D:$D, (MATCH(370, 輔助計算!$G$2:$G$801, 0)+1)),IF(INDEX(ERP資料!$G:$G, (MATCH(370, 輔助計算!$G$2:$G$801, 0)+1))&lt;100, IF(INDEX(ERP資料!$G:$G, (MATCH(370, 輔助計算!$G$2:$G$801, 0)+1))&lt;=31,3,IF(INDEX(ERP資料!$G:$G, (MATCH(370, 輔助計算!$G$2:$G$801, 0)+1))&lt;=46.5,2,1)), IF(INDEX(ERP資料!$G:$G, (MATCH(370, 輔助計算!$G$2:$G$801, 0)+1))&lt;=790,3,IF(INDEX(ERP資料!$G:$G, (MATCH(370, 輔助計算!$G$2:$G$801, 0)+1))&lt;=1181,2,1))))=1,TEXT(INDEX(ERP資料!$G:$G, (MATCH(370, 輔助計算!$G$2:$G$801, 0)+1)),"0.##"),IF(MOD(INDEX(輔助計算!$D:$D, (MATCH(370, 輔助計算!$G$2:$G$801, 0)+1)),IF(INDEX(ERP資料!$G:$G, (MATCH(370, 輔助計算!$G$2:$G$801, 0)+1))&lt;100, IF(INDEX(ERP資料!$G:$G, (MATCH(370, 輔助計算!$G$2:$G$801, 0)+1))&lt;=31,3,IF(INDEX(ERP資料!$G:$G, (MATCH(370, 輔助計算!$G$2:$G$801, 0)+1))&lt;=46.5,2,1)), IF(INDEX(ERP資料!$G:$G, (MATCH(370, 輔助計算!$G$2:$G$801, 0)+1))&lt;=790,3,IF(INDEX(ERP資料!$G:$G, (MATCH(370, 輔助計算!$G$2:$G$801, 0)+1))&lt;=1181,2,1))))=2,TEXT(INDEX(ERP資料!$G:$G, (MATCH(370, 輔助計算!$G$2:$G$801, 0)+1)),"0.##")&amp;"+"&amp;TEXT(INDEX(ERP資料!$G:$G, (MATCH(370, 輔助計算!$G$2:$G$801, 0)+1)),"0.##"),TEXT(INDEX(ERP資料!$G:$G, (MATCH(370, 輔助計算!$G$2:$G$801, 0)+1)),"0.##")&amp;"+"&amp;TEXT(INDEX(ERP資料!$G:$G, (MATCH(370, 輔助計算!$G$2:$G$801, 0)+1)),"0.##")&amp;"+"&amp;TEXT(INDEX(ERP資料!$G:$G, (MATCH(370, 輔助計算!$G$2:$G$801, 0)+1)),"0.##"))))&amp;"-1")&lt;&gt;""),"  ","")&amp;IF(MOD(INDEX(輔助計算!$D:$D, (MATCH(370, 輔助計算!$G$2:$G$801, 0)+1)),IF(INDEX(ERP資料!$G:$G, (MATCH(370, 輔助計算!$G$2:$G$801, 0)+1))&lt;100, IF(INDEX(ERP資料!$G:$G, (MATCH(370, 輔助計算!$G$2:$G$801, 0)+1))&lt;=31,3,IF(INDEX(ERP資料!$G:$G, (MATCH(370, 輔助計算!$G$2:$G$801, 0)+1))&lt;=46.5,2,1)), IF(INDEX(ERP資料!$G:$G, (MATCH(370, 輔助計算!$G$2:$G$801, 0)+1))&lt;=790,3,IF(INDEX(ERP資料!$G:$G, (MATCH(370, 輔助計算!$G$2:$G$801, 0)+1))&lt;=1181,2,1))))=0,"",IF(MOD(INDEX(輔助計算!$D:$D, (MATCH(370, 輔助計算!$G$2:$G$801, 0)+1)),IF(INDEX(ERP資料!$G:$G, (MATCH(370, 輔助計算!$G$2:$G$801, 0)+1))&lt;100, IF(INDEX(ERP資料!$G:$G, (MATCH(370, 輔助計算!$G$2:$G$801, 0)+1))&lt;=31,3,IF(INDEX(ERP資料!$G:$G, (MATCH(370, 輔助計算!$G$2:$G$801, 0)+1))&lt;=46.5,2,1)), IF(INDEX(ERP資料!$G:$G, (MATCH(370, 輔助計算!$G$2:$G$801, 0)+1))&lt;=790,3,IF(INDEX(ERP資料!$G:$G, (MATCH(370, 輔助計算!$G$2:$G$801, 0)+1))&lt;=1181,2,1))))=0,"",IF(MOD(INDEX(輔助計算!$D:$D, (MATCH(370, 輔助計算!$G$2:$G$801, 0)+1)),IF(INDEX(ERP資料!$G:$G, (MATCH(370, 輔助計算!$G$2:$G$801, 0)+1))&lt;100, IF(INDEX(ERP資料!$G:$G, (MATCH(370, 輔助計算!$G$2:$G$801, 0)+1))&lt;=31,3,IF(INDEX(ERP資料!$G:$G, (MATCH(370, 輔助計算!$G$2:$G$801, 0)+1))&lt;=46.5,2,1)), IF(INDEX(ERP資料!$G:$G, (MATCH(370, 輔助計算!$G$2:$G$801, 0)+1))&lt;=790,3,IF(INDEX(ERP資料!$G:$G, (MATCH(370, 輔助計算!$G$2:$G$801, 0)+1))&lt;=1181,2,1))))=1,TEXT(INDEX(ERP資料!$G:$G, (MATCH(370, 輔助計算!$G$2:$G$801, 0)+1)),"0.##"),IF(MOD(INDEX(輔助計算!$D:$D, (MATCH(370, 輔助計算!$G$2:$G$801, 0)+1)),IF(INDEX(ERP資料!$G:$G, (MATCH(370, 輔助計算!$G$2:$G$801, 0)+1))&lt;100, IF(INDEX(ERP資料!$G:$G, (MATCH(370, 輔助計算!$G$2:$G$801, 0)+1))&lt;=31,3,IF(INDEX(ERP資料!$G:$G, (MATCH(370, 輔助計算!$G$2:$G$801, 0)+1))&lt;=46.5,2,1)), IF(INDEX(ERP資料!$G:$G, (MATCH(370, 輔助計算!$G$2:$G$801, 0)+1))&lt;=790,3,IF(INDEX(ERP資料!$G:$G, (MATCH(370, 輔助計算!$G$2:$G$801, 0)+1))&lt;=1181,2,1))))=2,TEXT(INDEX(ERP資料!$G:$G, (MATCH(370, 輔助計算!$G$2:$G$801, 0)+1)),"0.##")&amp;"+"&amp;TEXT(INDEX(ERP資料!$G:$G, (MATCH(370, 輔助計算!$G$2:$G$801, 0)+1)),"0.##"),TEXT(INDEX(ERP資料!$G:$G, (MATCH(370, 輔助計算!$G$2:$G$801, 0)+1)),"0.##")&amp;"+"&amp;TEXT(INDEX(ERP資料!$G:$G, (MATCH(370, 輔助計算!$G$2:$G$801, 0)+1)),"0.##")&amp;"+"&amp;TEXT(INDEX(ERP資料!$G:$G, (MATCH(370, 輔助計算!$G$2:$G$801, 0)+1)),"0.##"))))&amp;"-1")), ""), "")</f>
        <v/>
      </c>
      <c r="K371" s="16" t="n"/>
      <c r="L371" s="14">
        <f>IFERROR(IF(AND(IFERROR(INDEX(ERP資料!$A:$A, (MATCH(370, 輔助計算!$G$2:$G$801, 0)+1)), "")&lt;&gt;"", IFERROR(INDEX(ERP資料!$A:$A, (MATCH(370, 輔助計算!$G$2:$G$801, 0)+1)), "")&lt;&gt;IFERROR(INDEX(ERP資料!$A:$A, MATCH(369, 輔助計算!$G$2:$G$801, 0)+1), "")), INDEX(ERP資料!$B:$B, (MATCH(370, 輔助計算!$G$2:$G$801, 0)+1)), ""), "")</f>
        <v/>
      </c>
      <c r="M371" s="17" t="n"/>
    </row>
    <row r="372">
      <c r="A372" s="10">
        <f>IFERROR(IF(AND(IFERROR(INDEX(ERP資料!$A:$A, (MATCH(371, 輔助計算!$G$2:$G$801, 0)+1)), "")&lt;&gt;"", IFERROR(INDEX(ERP資料!$A:$A, (MATCH(371, 輔助計算!$G$2:$G$801, 0)+1)), "")&lt;&gt;IFERROR(INDEX(ERP資料!$A:$A, MATCH(370, 輔助計算!$G$2:$G$801, 0)+1), "")), IFERROR(INDEX(ERP資料!$A:$A, (MATCH(371, 輔助計算!$G$2:$G$801, 0)+1)), ""), ""), "")</f>
        <v/>
      </c>
      <c r="B372" s="10">
        <f>IFERROR(IF(AND(IFERROR(INDEX(ERP資料!$A:$A, (MATCH(371, 輔助計算!$G$2:$G$801, 0)+1)), "")&lt;&gt;"", IFERROR(INDEX(ERP資料!$A:$A, (MATCH(371, 輔助計算!$G$2:$G$801, 0)+1)), "")&lt;&gt;IFERROR(INDEX(ERP資料!$A:$A, MATCH(370, 輔助計算!$G$2:$G$801, 0)+1), "")), INDEX(ERP資料!$S:$S, (MATCH(371, 輔助計算!$G$2:$G$801, 0)+1)), ""), "")</f>
        <v/>
      </c>
      <c r="C372" s="19">
        <f>IFERROR(IF(AND(IFERROR(INDEX(ERP資料!$A:$A, (MATCH(371, 輔助計算!$G$2:$G$801, 0)+1)), "")&lt;&gt;"", IFERROR(INDEX(ERP資料!$A:$A, (MATCH(371, 輔助計算!$G$2:$G$801, 0)+1)), "")&lt;&gt;IFERROR(INDEX(ERP資料!$A:$A, MATCH(370, 輔助計算!$G$2:$G$801, 0)+1), "")), IFERROR(VLOOKUP(LEFT(INDEX(ERP資料!$S:$S, (MATCH(371, 輔助計算!$G$2:$G$801, 0)+1)), 4), 紙管對照表!$A:$C, 3, FALSE), ""), ""), "")</f>
        <v/>
      </c>
      <c r="D372" s="16" t="n"/>
      <c r="E372" s="10">
        <f>IFERROR(IF(INDEX(ERP資料!$H:$H, (MATCH(371, 輔助計算!$G$2:$G$801, 0)+1))="","",INDEX(ERP資料!$H:$H, (MATCH(371, 輔助計算!$G$2:$G$801, 0)+1))), "")</f>
        <v/>
      </c>
      <c r="F372" s="10">
        <f>IFERROR(IF(INDEX(ERP資料!$E:$E, (MATCH(371, 輔助計算!$G$2:$G$801, 0)+1))="","",TRIM(INDEX(ERP資料!$E:$E, (MATCH(371, 輔助計算!$G$2:$G$801, 0)+1)))), "")</f>
        <v/>
      </c>
      <c r="G372" s="10">
        <f>IFERROR(IF(INDEX(ERP資料!$F:$F, (MATCH(371, 輔助計算!$G$2:$G$801, 0)+1))="","",INDEX(ERP資料!$F:$F, (MATCH(371, 輔助計算!$G$2:$G$801, 0)+1))), "")</f>
        <v/>
      </c>
      <c r="H372" s="10">
        <f>IFERROR(IF(INDEX(ERP資料!$G:$G, (MATCH(371, 輔助計算!$G$2:$G$801, 0)+1))="","",INDEX(ERP資料!$G:$G, (MATCH(371, 輔助計算!$G$2:$G$801, 0)+1))), "")</f>
        <v/>
      </c>
      <c r="I372" s="15">
        <f>IFERROR(INDEX(輔助計算!$D:$D, (MATCH(371, 輔助計算!$G$2:$G$801, 0)+1)), "")</f>
        <v/>
      </c>
      <c r="J372" s="15">
        <f>IFERROR(IF(AND(INDEX(輔助計算!$D:$D, (MATCH(371, 輔助計算!$G$2:$G$801, 0)+1))&lt;&gt;"", INDEX(ERP資料!$G:$G, (MATCH(371, 輔助計算!$G$2:$G$801, 0)+1))&lt;&gt;""), TRIM(IF(INT(INDEX(輔助計算!$D:$D, (MATCH(371, 輔助計算!$G$2:$G$801, 0)+1))/IF(INDEX(ERP資料!$G:$G, (MATCH(371, 輔助計算!$G$2:$G$801, 0)+1))&lt;100, IF(INDEX(ERP資料!$G:$G, (MATCH(371, 輔助計算!$G$2:$G$801, 0)+1))&lt;=31,3,IF(INDEX(ERP資料!$G:$G, (MATCH(371, 輔助計算!$G$2:$G$801, 0)+1))&lt;=46.5,2,1)), IF(INDEX(ERP資料!$G:$G, (MATCH(371, 輔助計算!$G$2:$G$801, 0)+1))&lt;=790,3,IF(INDEX(ERP資料!$G:$G, (MATCH(371, 輔助計算!$G$2:$G$801, 0)+1))&lt;=1181,2,1))))&gt;0, IF(IF(INDEX(ERP資料!$G:$G, (MATCH(371, 輔助計算!$G$2:$G$801, 0)+1))&lt;100, IF(INDEX(ERP資料!$G:$G, (MATCH(371, 輔助計算!$G$2:$G$801, 0)+1))&lt;=31,3,IF(INDEX(ERP資料!$G:$G, (MATCH(371, 輔助計算!$G$2:$G$801, 0)+1))&lt;=46.5,2,1)), IF(INDEX(ERP資料!$G:$G, (MATCH(371, 輔助計算!$G$2:$G$801, 0)+1))&lt;=790,3,IF(INDEX(ERP資料!$G:$G, (MATCH(371, 輔助計算!$G$2:$G$801, 0)+1))&lt;=1181,2,1)))=1,TEXT(INDEX(ERP資料!$G:$G, (MATCH(371, 輔助計算!$G$2:$G$801, 0)+1)),"0.##"),IF(IF(INDEX(ERP資料!$G:$G, (MATCH(371, 輔助計算!$G$2:$G$801, 0)+1))&lt;100, IF(INDEX(ERP資料!$G:$G, (MATCH(371, 輔助計算!$G$2:$G$801, 0)+1))&lt;=31,3,IF(INDEX(ERP資料!$G:$G, (MATCH(371, 輔助計算!$G$2:$G$801, 0)+1))&lt;=46.5,2,1)), IF(INDEX(ERP資料!$G:$G, (MATCH(371, 輔助計算!$G$2:$G$801, 0)+1))&lt;=790,3,IF(INDEX(ERP資料!$G:$G, (MATCH(371, 輔助計算!$G$2:$G$801, 0)+1))&lt;=1181,2,1)))=2,TEXT(INDEX(ERP資料!$G:$G, (MATCH(371, 輔助計算!$G$2:$G$801, 0)+1)),"0.##")&amp;"+"&amp;TEXT(INDEX(ERP資料!$G:$G, (MATCH(371, 輔助計算!$G$2:$G$801, 0)+1)),"0.##"),TEXT(INDEX(ERP資料!$G:$G, (MATCH(371, 輔助計算!$G$2:$G$801, 0)+1)),"0.##")&amp;"+"&amp;TEXT(INDEX(ERP資料!$G:$G, (MATCH(371, 輔助計算!$G$2:$G$801, 0)+1)),"0.##")&amp;"+"&amp;TEXT(INDEX(ERP資料!$G:$G, (MATCH(371, 輔助計算!$G$2:$G$801, 0)+1)),"0.##")))&amp;"-"&amp;INT(INDEX(輔助計算!$D:$D, (MATCH(371, 輔助計算!$G$2:$G$801, 0)+1))/IF(INDEX(ERP資料!$G:$G, (MATCH(371, 輔助計算!$G$2:$G$801, 0)+1))&lt;100, IF(INDEX(ERP資料!$G:$G, (MATCH(371, 輔助計算!$G$2:$G$801, 0)+1))&lt;=31,3,IF(INDEX(ERP資料!$G:$G, (MATCH(371, 輔助計算!$G$2:$G$801, 0)+1))&lt;=46.5,2,1)), IF(INDEX(ERP資料!$G:$G, (MATCH(371, 輔助計算!$G$2:$G$801, 0)+1))&lt;=790,3,IF(INDEX(ERP資料!$G:$G, (MATCH(371, 輔助計算!$G$2:$G$801, 0)+1))&lt;=1181,2,1)))), "")&amp;IF(AND(IF(INT(INDEX(輔助計算!$D:$D, (MATCH(371, 輔助計算!$G$2:$G$801, 0)+1))/IF(INDEX(ERP資料!$G:$G, (MATCH(371, 輔助計算!$G$2:$G$801, 0)+1))&lt;100, IF(INDEX(ERP資料!$G:$G, (MATCH(371, 輔助計算!$G$2:$G$801, 0)+1))&lt;=31,3,IF(INDEX(ERP資料!$G:$G, (MATCH(371, 輔助計算!$G$2:$G$801, 0)+1))&lt;=46.5,2,1)), IF(INDEX(ERP資料!$G:$G, (MATCH(371, 輔助計算!$G$2:$G$801, 0)+1))&lt;=790,3,IF(INDEX(ERP資料!$G:$G, (MATCH(371, 輔助計算!$G$2:$G$801, 0)+1))&lt;=1181,2,1))))&gt;0, IF(IF(INDEX(ERP資料!$G:$G, (MATCH(371, 輔助計算!$G$2:$G$801, 0)+1))&lt;100, IF(INDEX(ERP資料!$G:$G, (MATCH(371, 輔助計算!$G$2:$G$801, 0)+1))&lt;=31,3,IF(INDEX(ERP資料!$G:$G, (MATCH(371, 輔助計算!$G$2:$G$801, 0)+1))&lt;=46.5,2,1)), IF(INDEX(ERP資料!$G:$G, (MATCH(371, 輔助計算!$G$2:$G$801, 0)+1))&lt;=790,3,IF(INDEX(ERP資料!$G:$G, (MATCH(371, 輔助計算!$G$2:$G$801, 0)+1))&lt;=1181,2,1)))=1,TEXT(INDEX(ERP資料!$G:$G, (MATCH(371, 輔助計算!$G$2:$G$801, 0)+1)),"0.##"),IF(IF(INDEX(ERP資料!$G:$G, (MATCH(371, 輔助計算!$G$2:$G$801, 0)+1))&lt;100, IF(INDEX(ERP資料!$G:$G, (MATCH(371, 輔助計算!$G$2:$G$801, 0)+1))&lt;=31,3,IF(INDEX(ERP資料!$G:$G, (MATCH(371, 輔助計算!$G$2:$G$801, 0)+1))&lt;=46.5,2,1)), IF(INDEX(ERP資料!$G:$G, (MATCH(371, 輔助計算!$G$2:$G$801, 0)+1))&lt;=790,3,IF(INDEX(ERP資料!$G:$G, (MATCH(371, 輔助計算!$G$2:$G$801, 0)+1))&lt;=1181,2,1)))=2,TEXT(INDEX(ERP資料!$G:$G, (MATCH(371, 輔助計算!$G$2:$G$801, 0)+1)),"0.##")&amp;"+"&amp;TEXT(INDEX(ERP資料!$G:$G, (MATCH(371, 輔助計算!$G$2:$G$801, 0)+1)),"0.##"),TEXT(INDEX(ERP資料!$G:$G, (MATCH(371, 輔助計算!$G$2:$G$801, 0)+1)),"0.##")&amp;"+"&amp;TEXT(INDEX(ERP資料!$G:$G, (MATCH(371, 輔助計算!$G$2:$G$801, 0)+1)),"0.##")&amp;"+"&amp;TEXT(INDEX(ERP資料!$G:$G, (MATCH(371, 輔助計算!$G$2:$G$801, 0)+1)),"0.##")))&amp;"-"&amp;INT(INDEX(輔助計算!$D:$D, (MATCH(371, 輔助計算!$G$2:$G$801, 0)+1))/IF(INDEX(ERP資料!$G:$G, (MATCH(371, 輔助計算!$G$2:$G$801, 0)+1))&lt;100, IF(INDEX(ERP資料!$G:$G, (MATCH(371, 輔助計算!$G$2:$G$801, 0)+1))&lt;=31,3,IF(INDEX(ERP資料!$G:$G, (MATCH(371, 輔助計算!$G$2:$G$801, 0)+1))&lt;=46.5,2,1)), IF(INDEX(ERP資料!$G:$G, (MATCH(371, 輔助計算!$G$2:$G$801, 0)+1))&lt;=790,3,IF(INDEX(ERP資料!$G:$G, (MATCH(371, 輔助計算!$G$2:$G$801, 0)+1))&lt;=1181,2,1)))), "")&lt;&gt;"",IF(MOD(INDEX(輔助計算!$D:$D, (MATCH(371, 輔助計算!$G$2:$G$801, 0)+1)),IF(INDEX(ERP資料!$G:$G, (MATCH(371, 輔助計算!$G$2:$G$801, 0)+1))&lt;100, IF(INDEX(ERP資料!$G:$G, (MATCH(371, 輔助計算!$G$2:$G$801, 0)+1))&lt;=31,3,IF(INDEX(ERP資料!$G:$G, (MATCH(371, 輔助計算!$G$2:$G$801, 0)+1))&lt;=46.5,2,1)), IF(INDEX(ERP資料!$G:$G, (MATCH(371, 輔助計算!$G$2:$G$801, 0)+1))&lt;=790,3,IF(INDEX(ERP資料!$G:$G, (MATCH(371, 輔助計算!$G$2:$G$801, 0)+1))&lt;=1181,2,1))))=0,"",IF(MOD(INDEX(輔助計算!$D:$D, (MATCH(371, 輔助計算!$G$2:$G$801, 0)+1)),IF(INDEX(ERP資料!$G:$G, (MATCH(371, 輔助計算!$G$2:$G$801, 0)+1))&lt;100, IF(INDEX(ERP資料!$G:$G, (MATCH(371, 輔助計算!$G$2:$G$801, 0)+1))&lt;=31,3,IF(INDEX(ERP資料!$G:$G, (MATCH(371, 輔助計算!$G$2:$G$801, 0)+1))&lt;=46.5,2,1)), IF(INDEX(ERP資料!$G:$G, (MATCH(371, 輔助計算!$G$2:$G$801, 0)+1))&lt;=790,3,IF(INDEX(ERP資料!$G:$G, (MATCH(371, 輔助計算!$G$2:$G$801, 0)+1))&lt;=1181,2,1))))=0,"",IF(MOD(INDEX(輔助計算!$D:$D, (MATCH(371, 輔助計算!$G$2:$G$801, 0)+1)),IF(INDEX(ERP資料!$G:$G, (MATCH(371, 輔助計算!$G$2:$G$801, 0)+1))&lt;100, IF(INDEX(ERP資料!$G:$G, (MATCH(371, 輔助計算!$G$2:$G$801, 0)+1))&lt;=31,3,IF(INDEX(ERP資料!$G:$G, (MATCH(371, 輔助計算!$G$2:$G$801, 0)+1))&lt;=46.5,2,1)), IF(INDEX(ERP資料!$G:$G, (MATCH(371, 輔助計算!$G$2:$G$801, 0)+1))&lt;=790,3,IF(INDEX(ERP資料!$G:$G, (MATCH(371, 輔助計算!$G$2:$G$801, 0)+1))&lt;=1181,2,1))))=1,TEXT(INDEX(ERP資料!$G:$G, (MATCH(371, 輔助計算!$G$2:$G$801, 0)+1)),"0.##"),IF(MOD(INDEX(輔助計算!$D:$D, (MATCH(371, 輔助計算!$G$2:$G$801, 0)+1)),IF(INDEX(ERP資料!$G:$G, (MATCH(371, 輔助計算!$G$2:$G$801, 0)+1))&lt;100, IF(INDEX(ERP資料!$G:$G, (MATCH(371, 輔助計算!$G$2:$G$801, 0)+1))&lt;=31,3,IF(INDEX(ERP資料!$G:$G, (MATCH(371, 輔助計算!$G$2:$G$801, 0)+1))&lt;=46.5,2,1)), IF(INDEX(ERP資料!$G:$G, (MATCH(371, 輔助計算!$G$2:$G$801, 0)+1))&lt;=790,3,IF(INDEX(ERP資料!$G:$G, (MATCH(371, 輔助計算!$G$2:$G$801, 0)+1))&lt;=1181,2,1))))=2,TEXT(INDEX(ERP資料!$G:$G, (MATCH(371, 輔助計算!$G$2:$G$801, 0)+1)),"0.##")&amp;"+"&amp;TEXT(INDEX(ERP資料!$G:$G, (MATCH(371, 輔助計算!$G$2:$G$801, 0)+1)),"0.##"),TEXT(INDEX(ERP資料!$G:$G, (MATCH(371, 輔助計算!$G$2:$G$801, 0)+1)),"0.##")&amp;"+"&amp;TEXT(INDEX(ERP資料!$G:$G, (MATCH(371, 輔助計算!$G$2:$G$801, 0)+1)),"0.##")&amp;"+"&amp;TEXT(INDEX(ERP資料!$G:$G, (MATCH(371, 輔助計算!$G$2:$G$801, 0)+1)),"0.##"))))&amp;"-1")&lt;&gt;""),"  ","")&amp;IF(MOD(INDEX(輔助計算!$D:$D, (MATCH(371, 輔助計算!$G$2:$G$801, 0)+1)),IF(INDEX(ERP資料!$G:$G, (MATCH(371, 輔助計算!$G$2:$G$801, 0)+1))&lt;100, IF(INDEX(ERP資料!$G:$G, (MATCH(371, 輔助計算!$G$2:$G$801, 0)+1))&lt;=31,3,IF(INDEX(ERP資料!$G:$G, (MATCH(371, 輔助計算!$G$2:$G$801, 0)+1))&lt;=46.5,2,1)), IF(INDEX(ERP資料!$G:$G, (MATCH(371, 輔助計算!$G$2:$G$801, 0)+1))&lt;=790,3,IF(INDEX(ERP資料!$G:$G, (MATCH(371, 輔助計算!$G$2:$G$801, 0)+1))&lt;=1181,2,1))))=0,"",IF(MOD(INDEX(輔助計算!$D:$D, (MATCH(371, 輔助計算!$G$2:$G$801, 0)+1)),IF(INDEX(ERP資料!$G:$G, (MATCH(371, 輔助計算!$G$2:$G$801, 0)+1))&lt;100, IF(INDEX(ERP資料!$G:$G, (MATCH(371, 輔助計算!$G$2:$G$801, 0)+1))&lt;=31,3,IF(INDEX(ERP資料!$G:$G, (MATCH(371, 輔助計算!$G$2:$G$801, 0)+1))&lt;=46.5,2,1)), IF(INDEX(ERP資料!$G:$G, (MATCH(371, 輔助計算!$G$2:$G$801, 0)+1))&lt;=790,3,IF(INDEX(ERP資料!$G:$G, (MATCH(371, 輔助計算!$G$2:$G$801, 0)+1))&lt;=1181,2,1))))=0,"",IF(MOD(INDEX(輔助計算!$D:$D, (MATCH(371, 輔助計算!$G$2:$G$801, 0)+1)),IF(INDEX(ERP資料!$G:$G, (MATCH(371, 輔助計算!$G$2:$G$801, 0)+1))&lt;100, IF(INDEX(ERP資料!$G:$G, (MATCH(371, 輔助計算!$G$2:$G$801, 0)+1))&lt;=31,3,IF(INDEX(ERP資料!$G:$G, (MATCH(371, 輔助計算!$G$2:$G$801, 0)+1))&lt;=46.5,2,1)), IF(INDEX(ERP資料!$G:$G, (MATCH(371, 輔助計算!$G$2:$G$801, 0)+1))&lt;=790,3,IF(INDEX(ERP資料!$G:$G, (MATCH(371, 輔助計算!$G$2:$G$801, 0)+1))&lt;=1181,2,1))))=1,TEXT(INDEX(ERP資料!$G:$G, (MATCH(371, 輔助計算!$G$2:$G$801, 0)+1)),"0.##"),IF(MOD(INDEX(輔助計算!$D:$D, (MATCH(371, 輔助計算!$G$2:$G$801, 0)+1)),IF(INDEX(ERP資料!$G:$G, (MATCH(371, 輔助計算!$G$2:$G$801, 0)+1))&lt;100, IF(INDEX(ERP資料!$G:$G, (MATCH(371, 輔助計算!$G$2:$G$801, 0)+1))&lt;=31,3,IF(INDEX(ERP資料!$G:$G, (MATCH(371, 輔助計算!$G$2:$G$801, 0)+1))&lt;=46.5,2,1)), IF(INDEX(ERP資料!$G:$G, (MATCH(371, 輔助計算!$G$2:$G$801, 0)+1))&lt;=790,3,IF(INDEX(ERP資料!$G:$G, (MATCH(371, 輔助計算!$G$2:$G$801, 0)+1))&lt;=1181,2,1))))=2,TEXT(INDEX(ERP資料!$G:$G, (MATCH(371, 輔助計算!$G$2:$G$801, 0)+1)),"0.##")&amp;"+"&amp;TEXT(INDEX(ERP資料!$G:$G, (MATCH(371, 輔助計算!$G$2:$G$801, 0)+1)),"0.##"),TEXT(INDEX(ERP資料!$G:$G, (MATCH(371, 輔助計算!$G$2:$G$801, 0)+1)),"0.##")&amp;"+"&amp;TEXT(INDEX(ERP資料!$G:$G, (MATCH(371, 輔助計算!$G$2:$G$801, 0)+1)),"0.##")&amp;"+"&amp;TEXT(INDEX(ERP資料!$G:$G, (MATCH(371, 輔助計算!$G$2:$G$801, 0)+1)),"0.##"))))&amp;"-1")), ""), "")</f>
        <v/>
      </c>
      <c r="K372" s="16" t="n"/>
      <c r="L372" s="14">
        <f>IFERROR(IF(AND(IFERROR(INDEX(ERP資料!$A:$A, (MATCH(371, 輔助計算!$G$2:$G$801, 0)+1)), "")&lt;&gt;"", IFERROR(INDEX(ERP資料!$A:$A, (MATCH(371, 輔助計算!$G$2:$G$801, 0)+1)), "")&lt;&gt;IFERROR(INDEX(ERP資料!$A:$A, MATCH(370, 輔助計算!$G$2:$G$801, 0)+1), "")), INDEX(ERP資料!$B:$B, (MATCH(371, 輔助計算!$G$2:$G$801, 0)+1)), ""), "")</f>
        <v/>
      </c>
      <c r="M372" s="17" t="n"/>
    </row>
    <row r="373">
      <c r="A373" s="10">
        <f>IFERROR(IF(AND(IFERROR(INDEX(ERP資料!$A:$A, (MATCH(372, 輔助計算!$G$2:$G$801, 0)+1)), "")&lt;&gt;"", IFERROR(INDEX(ERP資料!$A:$A, (MATCH(372, 輔助計算!$G$2:$G$801, 0)+1)), "")&lt;&gt;IFERROR(INDEX(ERP資料!$A:$A, MATCH(371, 輔助計算!$G$2:$G$801, 0)+1), "")), IFERROR(INDEX(ERP資料!$A:$A, (MATCH(372, 輔助計算!$G$2:$G$801, 0)+1)), ""), ""), "")</f>
        <v/>
      </c>
      <c r="B373" s="10">
        <f>IFERROR(IF(AND(IFERROR(INDEX(ERP資料!$A:$A, (MATCH(372, 輔助計算!$G$2:$G$801, 0)+1)), "")&lt;&gt;"", IFERROR(INDEX(ERP資料!$A:$A, (MATCH(372, 輔助計算!$G$2:$G$801, 0)+1)), "")&lt;&gt;IFERROR(INDEX(ERP資料!$A:$A, MATCH(371, 輔助計算!$G$2:$G$801, 0)+1), "")), INDEX(ERP資料!$S:$S, (MATCH(372, 輔助計算!$G$2:$G$801, 0)+1)), ""), "")</f>
        <v/>
      </c>
      <c r="C373" s="19">
        <f>IFERROR(IF(AND(IFERROR(INDEX(ERP資料!$A:$A, (MATCH(372, 輔助計算!$G$2:$G$801, 0)+1)), "")&lt;&gt;"", IFERROR(INDEX(ERP資料!$A:$A, (MATCH(372, 輔助計算!$G$2:$G$801, 0)+1)), "")&lt;&gt;IFERROR(INDEX(ERP資料!$A:$A, MATCH(371, 輔助計算!$G$2:$G$801, 0)+1), "")), IFERROR(VLOOKUP(LEFT(INDEX(ERP資料!$S:$S, (MATCH(372, 輔助計算!$G$2:$G$801, 0)+1)), 4), 紙管對照表!$A:$C, 3, FALSE), ""), ""), "")</f>
        <v/>
      </c>
      <c r="D373" s="16" t="n"/>
      <c r="E373" s="10">
        <f>IFERROR(IF(INDEX(ERP資料!$H:$H, (MATCH(372, 輔助計算!$G$2:$G$801, 0)+1))="","",INDEX(ERP資料!$H:$H, (MATCH(372, 輔助計算!$G$2:$G$801, 0)+1))), "")</f>
        <v/>
      </c>
      <c r="F373" s="10">
        <f>IFERROR(IF(INDEX(ERP資料!$E:$E, (MATCH(372, 輔助計算!$G$2:$G$801, 0)+1))="","",TRIM(INDEX(ERP資料!$E:$E, (MATCH(372, 輔助計算!$G$2:$G$801, 0)+1)))), "")</f>
        <v/>
      </c>
      <c r="G373" s="10">
        <f>IFERROR(IF(INDEX(ERP資料!$F:$F, (MATCH(372, 輔助計算!$G$2:$G$801, 0)+1))="","",INDEX(ERP資料!$F:$F, (MATCH(372, 輔助計算!$G$2:$G$801, 0)+1))), "")</f>
        <v/>
      </c>
      <c r="H373" s="10">
        <f>IFERROR(IF(INDEX(ERP資料!$G:$G, (MATCH(372, 輔助計算!$G$2:$G$801, 0)+1))="","",INDEX(ERP資料!$G:$G, (MATCH(372, 輔助計算!$G$2:$G$801, 0)+1))), "")</f>
        <v/>
      </c>
      <c r="I373" s="15">
        <f>IFERROR(INDEX(輔助計算!$D:$D, (MATCH(372, 輔助計算!$G$2:$G$801, 0)+1)), "")</f>
        <v/>
      </c>
      <c r="J373" s="15">
        <f>IFERROR(IF(AND(INDEX(輔助計算!$D:$D, (MATCH(372, 輔助計算!$G$2:$G$801, 0)+1))&lt;&gt;"", INDEX(ERP資料!$G:$G, (MATCH(372, 輔助計算!$G$2:$G$801, 0)+1))&lt;&gt;""), TRIM(IF(INT(INDEX(輔助計算!$D:$D, (MATCH(372, 輔助計算!$G$2:$G$801, 0)+1))/IF(INDEX(ERP資料!$G:$G, (MATCH(372, 輔助計算!$G$2:$G$801, 0)+1))&lt;100, IF(INDEX(ERP資料!$G:$G, (MATCH(372, 輔助計算!$G$2:$G$801, 0)+1))&lt;=31,3,IF(INDEX(ERP資料!$G:$G, (MATCH(372, 輔助計算!$G$2:$G$801, 0)+1))&lt;=46.5,2,1)), IF(INDEX(ERP資料!$G:$G, (MATCH(372, 輔助計算!$G$2:$G$801, 0)+1))&lt;=790,3,IF(INDEX(ERP資料!$G:$G, (MATCH(372, 輔助計算!$G$2:$G$801, 0)+1))&lt;=1181,2,1))))&gt;0, IF(IF(INDEX(ERP資料!$G:$G, (MATCH(372, 輔助計算!$G$2:$G$801, 0)+1))&lt;100, IF(INDEX(ERP資料!$G:$G, (MATCH(372, 輔助計算!$G$2:$G$801, 0)+1))&lt;=31,3,IF(INDEX(ERP資料!$G:$G, (MATCH(372, 輔助計算!$G$2:$G$801, 0)+1))&lt;=46.5,2,1)), IF(INDEX(ERP資料!$G:$G, (MATCH(372, 輔助計算!$G$2:$G$801, 0)+1))&lt;=790,3,IF(INDEX(ERP資料!$G:$G, (MATCH(372, 輔助計算!$G$2:$G$801, 0)+1))&lt;=1181,2,1)))=1,TEXT(INDEX(ERP資料!$G:$G, (MATCH(372, 輔助計算!$G$2:$G$801, 0)+1)),"0.##"),IF(IF(INDEX(ERP資料!$G:$G, (MATCH(372, 輔助計算!$G$2:$G$801, 0)+1))&lt;100, IF(INDEX(ERP資料!$G:$G, (MATCH(372, 輔助計算!$G$2:$G$801, 0)+1))&lt;=31,3,IF(INDEX(ERP資料!$G:$G, (MATCH(372, 輔助計算!$G$2:$G$801, 0)+1))&lt;=46.5,2,1)), IF(INDEX(ERP資料!$G:$G, (MATCH(372, 輔助計算!$G$2:$G$801, 0)+1))&lt;=790,3,IF(INDEX(ERP資料!$G:$G, (MATCH(372, 輔助計算!$G$2:$G$801, 0)+1))&lt;=1181,2,1)))=2,TEXT(INDEX(ERP資料!$G:$G, (MATCH(372, 輔助計算!$G$2:$G$801, 0)+1)),"0.##")&amp;"+"&amp;TEXT(INDEX(ERP資料!$G:$G, (MATCH(372, 輔助計算!$G$2:$G$801, 0)+1)),"0.##"),TEXT(INDEX(ERP資料!$G:$G, (MATCH(372, 輔助計算!$G$2:$G$801, 0)+1)),"0.##")&amp;"+"&amp;TEXT(INDEX(ERP資料!$G:$G, (MATCH(372, 輔助計算!$G$2:$G$801, 0)+1)),"0.##")&amp;"+"&amp;TEXT(INDEX(ERP資料!$G:$G, (MATCH(372, 輔助計算!$G$2:$G$801, 0)+1)),"0.##")))&amp;"-"&amp;INT(INDEX(輔助計算!$D:$D, (MATCH(372, 輔助計算!$G$2:$G$801, 0)+1))/IF(INDEX(ERP資料!$G:$G, (MATCH(372, 輔助計算!$G$2:$G$801, 0)+1))&lt;100, IF(INDEX(ERP資料!$G:$G, (MATCH(372, 輔助計算!$G$2:$G$801, 0)+1))&lt;=31,3,IF(INDEX(ERP資料!$G:$G, (MATCH(372, 輔助計算!$G$2:$G$801, 0)+1))&lt;=46.5,2,1)), IF(INDEX(ERP資料!$G:$G, (MATCH(372, 輔助計算!$G$2:$G$801, 0)+1))&lt;=790,3,IF(INDEX(ERP資料!$G:$G, (MATCH(372, 輔助計算!$G$2:$G$801, 0)+1))&lt;=1181,2,1)))), "")&amp;IF(AND(IF(INT(INDEX(輔助計算!$D:$D, (MATCH(372, 輔助計算!$G$2:$G$801, 0)+1))/IF(INDEX(ERP資料!$G:$G, (MATCH(372, 輔助計算!$G$2:$G$801, 0)+1))&lt;100, IF(INDEX(ERP資料!$G:$G, (MATCH(372, 輔助計算!$G$2:$G$801, 0)+1))&lt;=31,3,IF(INDEX(ERP資料!$G:$G, (MATCH(372, 輔助計算!$G$2:$G$801, 0)+1))&lt;=46.5,2,1)), IF(INDEX(ERP資料!$G:$G, (MATCH(372, 輔助計算!$G$2:$G$801, 0)+1))&lt;=790,3,IF(INDEX(ERP資料!$G:$G, (MATCH(372, 輔助計算!$G$2:$G$801, 0)+1))&lt;=1181,2,1))))&gt;0, IF(IF(INDEX(ERP資料!$G:$G, (MATCH(372, 輔助計算!$G$2:$G$801, 0)+1))&lt;100, IF(INDEX(ERP資料!$G:$G, (MATCH(372, 輔助計算!$G$2:$G$801, 0)+1))&lt;=31,3,IF(INDEX(ERP資料!$G:$G, (MATCH(372, 輔助計算!$G$2:$G$801, 0)+1))&lt;=46.5,2,1)), IF(INDEX(ERP資料!$G:$G, (MATCH(372, 輔助計算!$G$2:$G$801, 0)+1))&lt;=790,3,IF(INDEX(ERP資料!$G:$G, (MATCH(372, 輔助計算!$G$2:$G$801, 0)+1))&lt;=1181,2,1)))=1,TEXT(INDEX(ERP資料!$G:$G, (MATCH(372, 輔助計算!$G$2:$G$801, 0)+1)),"0.##"),IF(IF(INDEX(ERP資料!$G:$G, (MATCH(372, 輔助計算!$G$2:$G$801, 0)+1))&lt;100, IF(INDEX(ERP資料!$G:$G, (MATCH(372, 輔助計算!$G$2:$G$801, 0)+1))&lt;=31,3,IF(INDEX(ERP資料!$G:$G, (MATCH(372, 輔助計算!$G$2:$G$801, 0)+1))&lt;=46.5,2,1)), IF(INDEX(ERP資料!$G:$G, (MATCH(372, 輔助計算!$G$2:$G$801, 0)+1))&lt;=790,3,IF(INDEX(ERP資料!$G:$G, (MATCH(372, 輔助計算!$G$2:$G$801, 0)+1))&lt;=1181,2,1)))=2,TEXT(INDEX(ERP資料!$G:$G, (MATCH(372, 輔助計算!$G$2:$G$801, 0)+1)),"0.##")&amp;"+"&amp;TEXT(INDEX(ERP資料!$G:$G, (MATCH(372, 輔助計算!$G$2:$G$801, 0)+1)),"0.##"),TEXT(INDEX(ERP資料!$G:$G, (MATCH(372, 輔助計算!$G$2:$G$801, 0)+1)),"0.##")&amp;"+"&amp;TEXT(INDEX(ERP資料!$G:$G, (MATCH(372, 輔助計算!$G$2:$G$801, 0)+1)),"0.##")&amp;"+"&amp;TEXT(INDEX(ERP資料!$G:$G, (MATCH(372, 輔助計算!$G$2:$G$801, 0)+1)),"0.##")))&amp;"-"&amp;INT(INDEX(輔助計算!$D:$D, (MATCH(372, 輔助計算!$G$2:$G$801, 0)+1))/IF(INDEX(ERP資料!$G:$G, (MATCH(372, 輔助計算!$G$2:$G$801, 0)+1))&lt;100, IF(INDEX(ERP資料!$G:$G, (MATCH(372, 輔助計算!$G$2:$G$801, 0)+1))&lt;=31,3,IF(INDEX(ERP資料!$G:$G, (MATCH(372, 輔助計算!$G$2:$G$801, 0)+1))&lt;=46.5,2,1)), IF(INDEX(ERP資料!$G:$G, (MATCH(372, 輔助計算!$G$2:$G$801, 0)+1))&lt;=790,3,IF(INDEX(ERP資料!$G:$G, (MATCH(372, 輔助計算!$G$2:$G$801, 0)+1))&lt;=1181,2,1)))), "")&lt;&gt;"",IF(MOD(INDEX(輔助計算!$D:$D, (MATCH(372, 輔助計算!$G$2:$G$801, 0)+1)),IF(INDEX(ERP資料!$G:$G, (MATCH(372, 輔助計算!$G$2:$G$801, 0)+1))&lt;100, IF(INDEX(ERP資料!$G:$G, (MATCH(372, 輔助計算!$G$2:$G$801, 0)+1))&lt;=31,3,IF(INDEX(ERP資料!$G:$G, (MATCH(372, 輔助計算!$G$2:$G$801, 0)+1))&lt;=46.5,2,1)), IF(INDEX(ERP資料!$G:$G, (MATCH(372, 輔助計算!$G$2:$G$801, 0)+1))&lt;=790,3,IF(INDEX(ERP資料!$G:$G, (MATCH(372, 輔助計算!$G$2:$G$801, 0)+1))&lt;=1181,2,1))))=0,"",IF(MOD(INDEX(輔助計算!$D:$D, (MATCH(372, 輔助計算!$G$2:$G$801, 0)+1)),IF(INDEX(ERP資料!$G:$G, (MATCH(372, 輔助計算!$G$2:$G$801, 0)+1))&lt;100, IF(INDEX(ERP資料!$G:$G, (MATCH(372, 輔助計算!$G$2:$G$801, 0)+1))&lt;=31,3,IF(INDEX(ERP資料!$G:$G, (MATCH(372, 輔助計算!$G$2:$G$801, 0)+1))&lt;=46.5,2,1)), IF(INDEX(ERP資料!$G:$G, (MATCH(372, 輔助計算!$G$2:$G$801, 0)+1))&lt;=790,3,IF(INDEX(ERP資料!$G:$G, (MATCH(372, 輔助計算!$G$2:$G$801, 0)+1))&lt;=1181,2,1))))=0,"",IF(MOD(INDEX(輔助計算!$D:$D, (MATCH(372, 輔助計算!$G$2:$G$801, 0)+1)),IF(INDEX(ERP資料!$G:$G, (MATCH(372, 輔助計算!$G$2:$G$801, 0)+1))&lt;100, IF(INDEX(ERP資料!$G:$G, (MATCH(372, 輔助計算!$G$2:$G$801, 0)+1))&lt;=31,3,IF(INDEX(ERP資料!$G:$G, (MATCH(372, 輔助計算!$G$2:$G$801, 0)+1))&lt;=46.5,2,1)), IF(INDEX(ERP資料!$G:$G, (MATCH(372, 輔助計算!$G$2:$G$801, 0)+1))&lt;=790,3,IF(INDEX(ERP資料!$G:$G, (MATCH(372, 輔助計算!$G$2:$G$801, 0)+1))&lt;=1181,2,1))))=1,TEXT(INDEX(ERP資料!$G:$G, (MATCH(372, 輔助計算!$G$2:$G$801, 0)+1)),"0.##"),IF(MOD(INDEX(輔助計算!$D:$D, (MATCH(372, 輔助計算!$G$2:$G$801, 0)+1)),IF(INDEX(ERP資料!$G:$G, (MATCH(372, 輔助計算!$G$2:$G$801, 0)+1))&lt;100, IF(INDEX(ERP資料!$G:$G, (MATCH(372, 輔助計算!$G$2:$G$801, 0)+1))&lt;=31,3,IF(INDEX(ERP資料!$G:$G, (MATCH(372, 輔助計算!$G$2:$G$801, 0)+1))&lt;=46.5,2,1)), IF(INDEX(ERP資料!$G:$G, (MATCH(372, 輔助計算!$G$2:$G$801, 0)+1))&lt;=790,3,IF(INDEX(ERP資料!$G:$G, (MATCH(372, 輔助計算!$G$2:$G$801, 0)+1))&lt;=1181,2,1))))=2,TEXT(INDEX(ERP資料!$G:$G, (MATCH(372, 輔助計算!$G$2:$G$801, 0)+1)),"0.##")&amp;"+"&amp;TEXT(INDEX(ERP資料!$G:$G, (MATCH(372, 輔助計算!$G$2:$G$801, 0)+1)),"0.##"),TEXT(INDEX(ERP資料!$G:$G, (MATCH(372, 輔助計算!$G$2:$G$801, 0)+1)),"0.##")&amp;"+"&amp;TEXT(INDEX(ERP資料!$G:$G, (MATCH(372, 輔助計算!$G$2:$G$801, 0)+1)),"0.##")&amp;"+"&amp;TEXT(INDEX(ERP資料!$G:$G, (MATCH(372, 輔助計算!$G$2:$G$801, 0)+1)),"0.##"))))&amp;"-1")&lt;&gt;""),"  ","")&amp;IF(MOD(INDEX(輔助計算!$D:$D, (MATCH(372, 輔助計算!$G$2:$G$801, 0)+1)),IF(INDEX(ERP資料!$G:$G, (MATCH(372, 輔助計算!$G$2:$G$801, 0)+1))&lt;100, IF(INDEX(ERP資料!$G:$G, (MATCH(372, 輔助計算!$G$2:$G$801, 0)+1))&lt;=31,3,IF(INDEX(ERP資料!$G:$G, (MATCH(372, 輔助計算!$G$2:$G$801, 0)+1))&lt;=46.5,2,1)), IF(INDEX(ERP資料!$G:$G, (MATCH(372, 輔助計算!$G$2:$G$801, 0)+1))&lt;=790,3,IF(INDEX(ERP資料!$G:$G, (MATCH(372, 輔助計算!$G$2:$G$801, 0)+1))&lt;=1181,2,1))))=0,"",IF(MOD(INDEX(輔助計算!$D:$D, (MATCH(372, 輔助計算!$G$2:$G$801, 0)+1)),IF(INDEX(ERP資料!$G:$G, (MATCH(372, 輔助計算!$G$2:$G$801, 0)+1))&lt;100, IF(INDEX(ERP資料!$G:$G, (MATCH(372, 輔助計算!$G$2:$G$801, 0)+1))&lt;=31,3,IF(INDEX(ERP資料!$G:$G, (MATCH(372, 輔助計算!$G$2:$G$801, 0)+1))&lt;=46.5,2,1)), IF(INDEX(ERP資料!$G:$G, (MATCH(372, 輔助計算!$G$2:$G$801, 0)+1))&lt;=790,3,IF(INDEX(ERP資料!$G:$G, (MATCH(372, 輔助計算!$G$2:$G$801, 0)+1))&lt;=1181,2,1))))=0,"",IF(MOD(INDEX(輔助計算!$D:$D, (MATCH(372, 輔助計算!$G$2:$G$801, 0)+1)),IF(INDEX(ERP資料!$G:$G, (MATCH(372, 輔助計算!$G$2:$G$801, 0)+1))&lt;100, IF(INDEX(ERP資料!$G:$G, (MATCH(372, 輔助計算!$G$2:$G$801, 0)+1))&lt;=31,3,IF(INDEX(ERP資料!$G:$G, (MATCH(372, 輔助計算!$G$2:$G$801, 0)+1))&lt;=46.5,2,1)), IF(INDEX(ERP資料!$G:$G, (MATCH(372, 輔助計算!$G$2:$G$801, 0)+1))&lt;=790,3,IF(INDEX(ERP資料!$G:$G, (MATCH(372, 輔助計算!$G$2:$G$801, 0)+1))&lt;=1181,2,1))))=1,TEXT(INDEX(ERP資料!$G:$G, (MATCH(372, 輔助計算!$G$2:$G$801, 0)+1)),"0.##"),IF(MOD(INDEX(輔助計算!$D:$D, (MATCH(372, 輔助計算!$G$2:$G$801, 0)+1)),IF(INDEX(ERP資料!$G:$G, (MATCH(372, 輔助計算!$G$2:$G$801, 0)+1))&lt;100, IF(INDEX(ERP資料!$G:$G, (MATCH(372, 輔助計算!$G$2:$G$801, 0)+1))&lt;=31,3,IF(INDEX(ERP資料!$G:$G, (MATCH(372, 輔助計算!$G$2:$G$801, 0)+1))&lt;=46.5,2,1)), IF(INDEX(ERP資料!$G:$G, (MATCH(372, 輔助計算!$G$2:$G$801, 0)+1))&lt;=790,3,IF(INDEX(ERP資料!$G:$G, (MATCH(372, 輔助計算!$G$2:$G$801, 0)+1))&lt;=1181,2,1))))=2,TEXT(INDEX(ERP資料!$G:$G, (MATCH(372, 輔助計算!$G$2:$G$801, 0)+1)),"0.##")&amp;"+"&amp;TEXT(INDEX(ERP資料!$G:$G, (MATCH(372, 輔助計算!$G$2:$G$801, 0)+1)),"0.##"),TEXT(INDEX(ERP資料!$G:$G, (MATCH(372, 輔助計算!$G$2:$G$801, 0)+1)),"0.##")&amp;"+"&amp;TEXT(INDEX(ERP資料!$G:$G, (MATCH(372, 輔助計算!$G$2:$G$801, 0)+1)),"0.##")&amp;"+"&amp;TEXT(INDEX(ERP資料!$G:$G, (MATCH(372, 輔助計算!$G$2:$G$801, 0)+1)),"0.##"))))&amp;"-1")), ""), "")</f>
        <v/>
      </c>
      <c r="K373" s="16" t="n"/>
      <c r="L373" s="14">
        <f>IFERROR(IF(AND(IFERROR(INDEX(ERP資料!$A:$A, (MATCH(372, 輔助計算!$G$2:$G$801, 0)+1)), "")&lt;&gt;"", IFERROR(INDEX(ERP資料!$A:$A, (MATCH(372, 輔助計算!$G$2:$G$801, 0)+1)), "")&lt;&gt;IFERROR(INDEX(ERP資料!$A:$A, MATCH(371, 輔助計算!$G$2:$G$801, 0)+1), "")), INDEX(ERP資料!$B:$B, (MATCH(372, 輔助計算!$G$2:$G$801, 0)+1)), ""), "")</f>
        <v/>
      </c>
      <c r="M373" s="17" t="n"/>
    </row>
    <row r="374">
      <c r="A374" s="10">
        <f>IFERROR(IF(AND(IFERROR(INDEX(ERP資料!$A:$A, (MATCH(373, 輔助計算!$G$2:$G$801, 0)+1)), "")&lt;&gt;"", IFERROR(INDEX(ERP資料!$A:$A, (MATCH(373, 輔助計算!$G$2:$G$801, 0)+1)), "")&lt;&gt;IFERROR(INDEX(ERP資料!$A:$A, MATCH(372, 輔助計算!$G$2:$G$801, 0)+1), "")), IFERROR(INDEX(ERP資料!$A:$A, (MATCH(373, 輔助計算!$G$2:$G$801, 0)+1)), ""), ""), "")</f>
        <v/>
      </c>
      <c r="B374" s="10">
        <f>IFERROR(IF(AND(IFERROR(INDEX(ERP資料!$A:$A, (MATCH(373, 輔助計算!$G$2:$G$801, 0)+1)), "")&lt;&gt;"", IFERROR(INDEX(ERP資料!$A:$A, (MATCH(373, 輔助計算!$G$2:$G$801, 0)+1)), "")&lt;&gt;IFERROR(INDEX(ERP資料!$A:$A, MATCH(372, 輔助計算!$G$2:$G$801, 0)+1), "")), INDEX(ERP資料!$S:$S, (MATCH(373, 輔助計算!$G$2:$G$801, 0)+1)), ""), "")</f>
        <v/>
      </c>
      <c r="C374" s="19">
        <f>IFERROR(IF(AND(IFERROR(INDEX(ERP資料!$A:$A, (MATCH(373, 輔助計算!$G$2:$G$801, 0)+1)), "")&lt;&gt;"", IFERROR(INDEX(ERP資料!$A:$A, (MATCH(373, 輔助計算!$G$2:$G$801, 0)+1)), "")&lt;&gt;IFERROR(INDEX(ERP資料!$A:$A, MATCH(372, 輔助計算!$G$2:$G$801, 0)+1), "")), IFERROR(VLOOKUP(LEFT(INDEX(ERP資料!$S:$S, (MATCH(373, 輔助計算!$G$2:$G$801, 0)+1)), 4), 紙管對照表!$A:$C, 3, FALSE), ""), ""), "")</f>
        <v/>
      </c>
      <c r="D374" s="16" t="n"/>
      <c r="E374" s="10">
        <f>IFERROR(IF(INDEX(ERP資料!$H:$H, (MATCH(373, 輔助計算!$G$2:$G$801, 0)+1))="","",INDEX(ERP資料!$H:$H, (MATCH(373, 輔助計算!$G$2:$G$801, 0)+1))), "")</f>
        <v/>
      </c>
      <c r="F374" s="10">
        <f>IFERROR(IF(INDEX(ERP資料!$E:$E, (MATCH(373, 輔助計算!$G$2:$G$801, 0)+1))="","",TRIM(INDEX(ERP資料!$E:$E, (MATCH(373, 輔助計算!$G$2:$G$801, 0)+1)))), "")</f>
        <v/>
      </c>
      <c r="G374" s="10">
        <f>IFERROR(IF(INDEX(ERP資料!$F:$F, (MATCH(373, 輔助計算!$G$2:$G$801, 0)+1))="","",INDEX(ERP資料!$F:$F, (MATCH(373, 輔助計算!$G$2:$G$801, 0)+1))), "")</f>
        <v/>
      </c>
      <c r="H374" s="10">
        <f>IFERROR(IF(INDEX(ERP資料!$G:$G, (MATCH(373, 輔助計算!$G$2:$G$801, 0)+1))="","",INDEX(ERP資料!$G:$G, (MATCH(373, 輔助計算!$G$2:$G$801, 0)+1))), "")</f>
        <v/>
      </c>
      <c r="I374" s="15">
        <f>IFERROR(INDEX(輔助計算!$D:$D, (MATCH(373, 輔助計算!$G$2:$G$801, 0)+1)), "")</f>
        <v/>
      </c>
      <c r="J374" s="15">
        <f>IFERROR(IF(AND(INDEX(輔助計算!$D:$D, (MATCH(373, 輔助計算!$G$2:$G$801, 0)+1))&lt;&gt;"", INDEX(ERP資料!$G:$G, (MATCH(373, 輔助計算!$G$2:$G$801, 0)+1))&lt;&gt;""), TRIM(IF(INT(INDEX(輔助計算!$D:$D, (MATCH(373, 輔助計算!$G$2:$G$801, 0)+1))/IF(INDEX(ERP資料!$G:$G, (MATCH(373, 輔助計算!$G$2:$G$801, 0)+1))&lt;100, IF(INDEX(ERP資料!$G:$G, (MATCH(373, 輔助計算!$G$2:$G$801, 0)+1))&lt;=31,3,IF(INDEX(ERP資料!$G:$G, (MATCH(373, 輔助計算!$G$2:$G$801, 0)+1))&lt;=46.5,2,1)), IF(INDEX(ERP資料!$G:$G, (MATCH(373, 輔助計算!$G$2:$G$801, 0)+1))&lt;=790,3,IF(INDEX(ERP資料!$G:$G, (MATCH(373, 輔助計算!$G$2:$G$801, 0)+1))&lt;=1181,2,1))))&gt;0, IF(IF(INDEX(ERP資料!$G:$G, (MATCH(373, 輔助計算!$G$2:$G$801, 0)+1))&lt;100, IF(INDEX(ERP資料!$G:$G, (MATCH(373, 輔助計算!$G$2:$G$801, 0)+1))&lt;=31,3,IF(INDEX(ERP資料!$G:$G, (MATCH(373, 輔助計算!$G$2:$G$801, 0)+1))&lt;=46.5,2,1)), IF(INDEX(ERP資料!$G:$G, (MATCH(373, 輔助計算!$G$2:$G$801, 0)+1))&lt;=790,3,IF(INDEX(ERP資料!$G:$G, (MATCH(373, 輔助計算!$G$2:$G$801, 0)+1))&lt;=1181,2,1)))=1,TEXT(INDEX(ERP資料!$G:$G, (MATCH(373, 輔助計算!$G$2:$G$801, 0)+1)),"0.##"),IF(IF(INDEX(ERP資料!$G:$G, (MATCH(373, 輔助計算!$G$2:$G$801, 0)+1))&lt;100, IF(INDEX(ERP資料!$G:$G, (MATCH(373, 輔助計算!$G$2:$G$801, 0)+1))&lt;=31,3,IF(INDEX(ERP資料!$G:$G, (MATCH(373, 輔助計算!$G$2:$G$801, 0)+1))&lt;=46.5,2,1)), IF(INDEX(ERP資料!$G:$G, (MATCH(373, 輔助計算!$G$2:$G$801, 0)+1))&lt;=790,3,IF(INDEX(ERP資料!$G:$G, (MATCH(373, 輔助計算!$G$2:$G$801, 0)+1))&lt;=1181,2,1)))=2,TEXT(INDEX(ERP資料!$G:$G, (MATCH(373, 輔助計算!$G$2:$G$801, 0)+1)),"0.##")&amp;"+"&amp;TEXT(INDEX(ERP資料!$G:$G, (MATCH(373, 輔助計算!$G$2:$G$801, 0)+1)),"0.##"),TEXT(INDEX(ERP資料!$G:$G, (MATCH(373, 輔助計算!$G$2:$G$801, 0)+1)),"0.##")&amp;"+"&amp;TEXT(INDEX(ERP資料!$G:$G, (MATCH(373, 輔助計算!$G$2:$G$801, 0)+1)),"0.##")&amp;"+"&amp;TEXT(INDEX(ERP資料!$G:$G, (MATCH(373, 輔助計算!$G$2:$G$801, 0)+1)),"0.##")))&amp;"-"&amp;INT(INDEX(輔助計算!$D:$D, (MATCH(373, 輔助計算!$G$2:$G$801, 0)+1))/IF(INDEX(ERP資料!$G:$G, (MATCH(373, 輔助計算!$G$2:$G$801, 0)+1))&lt;100, IF(INDEX(ERP資料!$G:$G, (MATCH(373, 輔助計算!$G$2:$G$801, 0)+1))&lt;=31,3,IF(INDEX(ERP資料!$G:$G, (MATCH(373, 輔助計算!$G$2:$G$801, 0)+1))&lt;=46.5,2,1)), IF(INDEX(ERP資料!$G:$G, (MATCH(373, 輔助計算!$G$2:$G$801, 0)+1))&lt;=790,3,IF(INDEX(ERP資料!$G:$G, (MATCH(373, 輔助計算!$G$2:$G$801, 0)+1))&lt;=1181,2,1)))), "")&amp;IF(AND(IF(INT(INDEX(輔助計算!$D:$D, (MATCH(373, 輔助計算!$G$2:$G$801, 0)+1))/IF(INDEX(ERP資料!$G:$G, (MATCH(373, 輔助計算!$G$2:$G$801, 0)+1))&lt;100, IF(INDEX(ERP資料!$G:$G, (MATCH(373, 輔助計算!$G$2:$G$801, 0)+1))&lt;=31,3,IF(INDEX(ERP資料!$G:$G, (MATCH(373, 輔助計算!$G$2:$G$801, 0)+1))&lt;=46.5,2,1)), IF(INDEX(ERP資料!$G:$G, (MATCH(373, 輔助計算!$G$2:$G$801, 0)+1))&lt;=790,3,IF(INDEX(ERP資料!$G:$G, (MATCH(373, 輔助計算!$G$2:$G$801, 0)+1))&lt;=1181,2,1))))&gt;0, IF(IF(INDEX(ERP資料!$G:$G, (MATCH(373, 輔助計算!$G$2:$G$801, 0)+1))&lt;100, IF(INDEX(ERP資料!$G:$G, (MATCH(373, 輔助計算!$G$2:$G$801, 0)+1))&lt;=31,3,IF(INDEX(ERP資料!$G:$G, (MATCH(373, 輔助計算!$G$2:$G$801, 0)+1))&lt;=46.5,2,1)), IF(INDEX(ERP資料!$G:$G, (MATCH(373, 輔助計算!$G$2:$G$801, 0)+1))&lt;=790,3,IF(INDEX(ERP資料!$G:$G, (MATCH(373, 輔助計算!$G$2:$G$801, 0)+1))&lt;=1181,2,1)))=1,TEXT(INDEX(ERP資料!$G:$G, (MATCH(373, 輔助計算!$G$2:$G$801, 0)+1)),"0.##"),IF(IF(INDEX(ERP資料!$G:$G, (MATCH(373, 輔助計算!$G$2:$G$801, 0)+1))&lt;100, IF(INDEX(ERP資料!$G:$G, (MATCH(373, 輔助計算!$G$2:$G$801, 0)+1))&lt;=31,3,IF(INDEX(ERP資料!$G:$G, (MATCH(373, 輔助計算!$G$2:$G$801, 0)+1))&lt;=46.5,2,1)), IF(INDEX(ERP資料!$G:$G, (MATCH(373, 輔助計算!$G$2:$G$801, 0)+1))&lt;=790,3,IF(INDEX(ERP資料!$G:$G, (MATCH(373, 輔助計算!$G$2:$G$801, 0)+1))&lt;=1181,2,1)))=2,TEXT(INDEX(ERP資料!$G:$G, (MATCH(373, 輔助計算!$G$2:$G$801, 0)+1)),"0.##")&amp;"+"&amp;TEXT(INDEX(ERP資料!$G:$G, (MATCH(373, 輔助計算!$G$2:$G$801, 0)+1)),"0.##"),TEXT(INDEX(ERP資料!$G:$G, (MATCH(373, 輔助計算!$G$2:$G$801, 0)+1)),"0.##")&amp;"+"&amp;TEXT(INDEX(ERP資料!$G:$G, (MATCH(373, 輔助計算!$G$2:$G$801, 0)+1)),"0.##")&amp;"+"&amp;TEXT(INDEX(ERP資料!$G:$G, (MATCH(373, 輔助計算!$G$2:$G$801, 0)+1)),"0.##")))&amp;"-"&amp;INT(INDEX(輔助計算!$D:$D, (MATCH(373, 輔助計算!$G$2:$G$801, 0)+1))/IF(INDEX(ERP資料!$G:$G, (MATCH(373, 輔助計算!$G$2:$G$801, 0)+1))&lt;100, IF(INDEX(ERP資料!$G:$G, (MATCH(373, 輔助計算!$G$2:$G$801, 0)+1))&lt;=31,3,IF(INDEX(ERP資料!$G:$G, (MATCH(373, 輔助計算!$G$2:$G$801, 0)+1))&lt;=46.5,2,1)), IF(INDEX(ERP資料!$G:$G, (MATCH(373, 輔助計算!$G$2:$G$801, 0)+1))&lt;=790,3,IF(INDEX(ERP資料!$G:$G, (MATCH(373, 輔助計算!$G$2:$G$801, 0)+1))&lt;=1181,2,1)))), "")&lt;&gt;"",IF(MOD(INDEX(輔助計算!$D:$D, (MATCH(373, 輔助計算!$G$2:$G$801, 0)+1)),IF(INDEX(ERP資料!$G:$G, (MATCH(373, 輔助計算!$G$2:$G$801, 0)+1))&lt;100, IF(INDEX(ERP資料!$G:$G, (MATCH(373, 輔助計算!$G$2:$G$801, 0)+1))&lt;=31,3,IF(INDEX(ERP資料!$G:$G, (MATCH(373, 輔助計算!$G$2:$G$801, 0)+1))&lt;=46.5,2,1)), IF(INDEX(ERP資料!$G:$G, (MATCH(373, 輔助計算!$G$2:$G$801, 0)+1))&lt;=790,3,IF(INDEX(ERP資料!$G:$G, (MATCH(373, 輔助計算!$G$2:$G$801, 0)+1))&lt;=1181,2,1))))=0,"",IF(MOD(INDEX(輔助計算!$D:$D, (MATCH(373, 輔助計算!$G$2:$G$801, 0)+1)),IF(INDEX(ERP資料!$G:$G, (MATCH(373, 輔助計算!$G$2:$G$801, 0)+1))&lt;100, IF(INDEX(ERP資料!$G:$G, (MATCH(373, 輔助計算!$G$2:$G$801, 0)+1))&lt;=31,3,IF(INDEX(ERP資料!$G:$G, (MATCH(373, 輔助計算!$G$2:$G$801, 0)+1))&lt;=46.5,2,1)), IF(INDEX(ERP資料!$G:$G, (MATCH(373, 輔助計算!$G$2:$G$801, 0)+1))&lt;=790,3,IF(INDEX(ERP資料!$G:$G, (MATCH(373, 輔助計算!$G$2:$G$801, 0)+1))&lt;=1181,2,1))))=0,"",IF(MOD(INDEX(輔助計算!$D:$D, (MATCH(373, 輔助計算!$G$2:$G$801, 0)+1)),IF(INDEX(ERP資料!$G:$G, (MATCH(373, 輔助計算!$G$2:$G$801, 0)+1))&lt;100, IF(INDEX(ERP資料!$G:$G, (MATCH(373, 輔助計算!$G$2:$G$801, 0)+1))&lt;=31,3,IF(INDEX(ERP資料!$G:$G, (MATCH(373, 輔助計算!$G$2:$G$801, 0)+1))&lt;=46.5,2,1)), IF(INDEX(ERP資料!$G:$G, (MATCH(373, 輔助計算!$G$2:$G$801, 0)+1))&lt;=790,3,IF(INDEX(ERP資料!$G:$G, (MATCH(373, 輔助計算!$G$2:$G$801, 0)+1))&lt;=1181,2,1))))=1,TEXT(INDEX(ERP資料!$G:$G, (MATCH(373, 輔助計算!$G$2:$G$801, 0)+1)),"0.##"),IF(MOD(INDEX(輔助計算!$D:$D, (MATCH(373, 輔助計算!$G$2:$G$801, 0)+1)),IF(INDEX(ERP資料!$G:$G, (MATCH(373, 輔助計算!$G$2:$G$801, 0)+1))&lt;100, IF(INDEX(ERP資料!$G:$G, (MATCH(373, 輔助計算!$G$2:$G$801, 0)+1))&lt;=31,3,IF(INDEX(ERP資料!$G:$G, (MATCH(373, 輔助計算!$G$2:$G$801, 0)+1))&lt;=46.5,2,1)), IF(INDEX(ERP資料!$G:$G, (MATCH(373, 輔助計算!$G$2:$G$801, 0)+1))&lt;=790,3,IF(INDEX(ERP資料!$G:$G, (MATCH(373, 輔助計算!$G$2:$G$801, 0)+1))&lt;=1181,2,1))))=2,TEXT(INDEX(ERP資料!$G:$G, (MATCH(373, 輔助計算!$G$2:$G$801, 0)+1)),"0.##")&amp;"+"&amp;TEXT(INDEX(ERP資料!$G:$G, (MATCH(373, 輔助計算!$G$2:$G$801, 0)+1)),"0.##"),TEXT(INDEX(ERP資料!$G:$G, (MATCH(373, 輔助計算!$G$2:$G$801, 0)+1)),"0.##")&amp;"+"&amp;TEXT(INDEX(ERP資料!$G:$G, (MATCH(373, 輔助計算!$G$2:$G$801, 0)+1)),"0.##")&amp;"+"&amp;TEXT(INDEX(ERP資料!$G:$G, (MATCH(373, 輔助計算!$G$2:$G$801, 0)+1)),"0.##"))))&amp;"-1")&lt;&gt;""),"  ","")&amp;IF(MOD(INDEX(輔助計算!$D:$D, (MATCH(373, 輔助計算!$G$2:$G$801, 0)+1)),IF(INDEX(ERP資料!$G:$G, (MATCH(373, 輔助計算!$G$2:$G$801, 0)+1))&lt;100, IF(INDEX(ERP資料!$G:$G, (MATCH(373, 輔助計算!$G$2:$G$801, 0)+1))&lt;=31,3,IF(INDEX(ERP資料!$G:$G, (MATCH(373, 輔助計算!$G$2:$G$801, 0)+1))&lt;=46.5,2,1)), IF(INDEX(ERP資料!$G:$G, (MATCH(373, 輔助計算!$G$2:$G$801, 0)+1))&lt;=790,3,IF(INDEX(ERP資料!$G:$G, (MATCH(373, 輔助計算!$G$2:$G$801, 0)+1))&lt;=1181,2,1))))=0,"",IF(MOD(INDEX(輔助計算!$D:$D, (MATCH(373, 輔助計算!$G$2:$G$801, 0)+1)),IF(INDEX(ERP資料!$G:$G, (MATCH(373, 輔助計算!$G$2:$G$801, 0)+1))&lt;100, IF(INDEX(ERP資料!$G:$G, (MATCH(373, 輔助計算!$G$2:$G$801, 0)+1))&lt;=31,3,IF(INDEX(ERP資料!$G:$G, (MATCH(373, 輔助計算!$G$2:$G$801, 0)+1))&lt;=46.5,2,1)), IF(INDEX(ERP資料!$G:$G, (MATCH(373, 輔助計算!$G$2:$G$801, 0)+1))&lt;=790,3,IF(INDEX(ERP資料!$G:$G, (MATCH(373, 輔助計算!$G$2:$G$801, 0)+1))&lt;=1181,2,1))))=0,"",IF(MOD(INDEX(輔助計算!$D:$D, (MATCH(373, 輔助計算!$G$2:$G$801, 0)+1)),IF(INDEX(ERP資料!$G:$G, (MATCH(373, 輔助計算!$G$2:$G$801, 0)+1))&lt;100, IF(INDEX(ERP資料!$G:$G, (MATCH(373, 輔助計算!$G$2:$G$801, 0)+1))&lt;=31,3,IF(INDEX(ERP資料!$G:$G, (MATCH(373, 輔助計算!$G$2:$G$801, 0)+1))&lt;=46.5,2,1)), IF(INDEX(ERP資料!$G:$G, (MATCH(373, 輔助計算!$G$2:$G$801, 0)+1))&lt;=790,3,IF(INDEX(ERP資料!$G:$G, (MATCH(373, 輔助計算!$G$2:$G$801, 0)+1))&lt;=1181,2,1))))=1,TEXT(INDEX(ERP資料!$G:$G, (MATCH(373, 輔助計算!$G$2:$G$801, 0)+1)),"0.##"),IF(MOD(INDEX(輔助計算!$D:$D, (MATCH(373, 輔助計算!$G$2:$G$801, 0)+1)),IF(INDEX(ERP資料!$G:$G, (MATCH(373, 輔助計算!$G$2:$G$801, 0)+1))&lt;100, IF(INDEX(ERP資料!$G:$G, (MATCH(373, 輔助計算!$G$2:$G$801, 0)+1))&lt;=31,3,IF(INDEX(ERP資料!$G:$G, (MATCH(373, 輔助計算!$G$2:$G$801, 0)+1))&lt;=46.5,2,1)), IF(INDEX(ERP資料!$G:$G, (MATCH(373, 輔助計算!$G$2:$G$801, 0)+1))&lt;=790,3,IF(INDEX(ERP資料!$G:$G, (MATCH(373, 輔助計算!$G$2:$G$801, 0)+1))&lt;=1181,2,1))))=2,TEXT(INDEX(ERP資料!$G:$G, (MATCH(373, 輔助計算!$G$2:$G$801, 0)+1)),"0.##")&amp;"+"&amp;TEXT(INDEX(ERP資料!$G:$G, (MATCH(373, 輔助計算!$G$2:$G$801, 0)+1)),"0.##"),TEXT(INDEX(ERP資料!$G:$G, (MATCH(373, 輔助計算!$G$2:$G$801, 0)+1)),"0.##")&amp;"+"&amp;TEXT(INDEX(ERP資料!$G:$G, (MATCH(373, 輔助計算!$G$2:$G$801, 0)+1)),"0.##")&amp;"+"&amp;TEXT(INDEX(ERP資料!$G:$G, (MATCH(373, 輔助計算!$G$2:$G$801, 0)+1)),"0.##"))))&amp;"-1")), ""), "")</f>
        <v/>
      </c>
      <c r="K374" s="16" t="n"/>
      <c r="L374" s="14">
        <f>IFERROR(IF(AND(IFERROR(INDEX(ERP資料!$A:$A, (MATCH(373, 輔助計算!$G$2:$G$801, 0)+1)), "")&lt;&gt;"", IFERROR(INDEX(ERP資料!$A:$A, (MATCH(373, 輔助計算!$G$2:$G$801, 0)+1)), "")&lt;&gt;IFERROR(INDEX(ERP資料!$A:$A, MATCH(372, 輔助計算!$G$2:$G$801, 0)+1), "")), INDEX(ERP資料!$B:$B, (MATCH(373, 輔助計算!$G$2:$G$801, 0)+1)), ""), "")</f>
        <v/>
      </c>
      <c r="M374" s="17" t="n"/>
    </row>
    <row r="375">
      <c r="A375" s="10">
        <f>IFERROR(IF(AND(IFERROR(INDEX(ERP資料!$A:$A, (MATCH(374, 輔助計算!$G$2:$G$801, 0)+1)), "")&lt;&gt;"", IFERROR(INDEX(ERP資料!$A:$A, (MATCH(374, 輔助計算!$G$2:$G$801, 0)+1)), "")&lt;&gt;IFERROR(INDEX(ERP資料!$A:$A, MATCH(373, 輔助計算!$G$2:$G$801, 0)+1), "")), IFERROR(INDEX(ERP資料!$A:$A, (MATCH(374, 輔助計算!$G$2:$G$801, 0)+1)), ""), ""), "")</f>
        <v/>
      </c>
      <c r="B375" s="10">
        <f>IFERROR(IF(AND(IFERROR(INDEX(ERP資料!$A:$A, (MATCH(374, 輔助計算!$G$2:$G$801, 0)+1)), "")&lt;&gt;"", IFERROR(INDEX(ERP資料!$A:$A, (MATCH(374, 輔助計算!$G$2:$G$801, 0)+1)), "")&lt;&gt;IFERROR(INDEX(ERP資料!$A:$A, MATCH(373, 輔助計算!$G$2:$G$801, 0)+1), "")), INDEX(ERP資料!$S:$S, (MATCH(374, 輔助計算!$G$2:$G$801, 0)+1)), ""), "")</f>
        <v/>
      </c>
      <c r="C375" s="19">
        <f>IFERROR(IF(AND(IFERROR(INDEX(ERP資料!$A:$A, (MATCH(374, 輔助計算!$G$2:$G$801, 0)+1)), "")&lt;&gt;"", IFERROR(INDEX(ERP資料!$A:$A, (MATCH(374, 輔助計算!$G$2:$G$801, 0)+1)), "")&lt;&gt;IFERROR(INDEX(ERP資料!$A:$A, MATCH(373, 輔助計算!$G$2:$G$801, 0)+1), "")), IFERROR(VLOOKUP(LEFT(INDEX(ERP資料!$S:$S, (MATCH(374, 輔助計算!$G$2:$G$801, 0)+1)), 4), 紙管對照表!$A:$C, 3, FALSE), ""), ""), "")</f>
        <v/>
      </c>
      <c r="D375" s="16" t="n"/>
      <c r="E375" s="10">
        <f>IFERROR(IF(INDEX(ERP資料!$H:$H, (MATCH(374, 輔助計算!$G$2:$G$801, 0)+1))="","",INDEX(ERP資料!$H:$H, (MATCH(374, 輔助計算!$G$2:$G$801, 0)+1))), "")</f>
        <v/>
      </c>
      <c r="F375" s="10">
        <f>IFERROR(IF(INDEX(ERP資料!$E:$E, (MATCH(374, 輔助計算!$G$2:$G$801, 0)+1))="","",TRIM(INDEX(ERP資料!$E:$E, (MATCH(374, 輔助計算!$G$2:$G$801, 0)+1)))), "")</f>
        <v/>
      </c>
      <c r="G375" s="10">
        <f>IFERROR(IF(INDEX(ERP資料!$F:$F, (MATCH(374, 輔助計算!$G$2:$G$801, 0)+1))="","",INDEX(ERP資料!$F:$F, (MATCH(374, 輔助計算!$G$2:$G$801, 0)+1))), "")</f>
        <v/>
      </c>
      <c r="H375" s="10">
        <f>IFERROR(IF(INDEX(ERP資料!$G:$G, (MATCH(374, 輔助計算!$G$2:$G$801, 0)+1))="","",INDEX(ERP資料!$G:$G, (MATCH(374, 輔助計算!$G$2:$G$801, 0)+1))), "")</f>
        <v/>
      </c>
      <c r="I375" s="15">
        <f>IFERROR(INDEX(輔助計算!$D:$D, (MATCH(374, 輔助計算!$G$2:$G$801, 0)+1)), "")</f>
        <v/>
      </c>
      <c r="J375" s="15">
        <f>IFERROR(IF(AND(INDEX(輔助計算!$D:$D, (MATCH(374, 輔助計算!$G$2:$G$801, 0)+1))&lt;&gt;"", INDEX(ERP資料!$G:$G, (MATCH(374, 輔助計算!$G$2:$G$801, 0)+1))&lt;&gt;""), TRIM(IF(INT(INDEX(輔助計算!$D:$D, (MATCH(374, 輔助計算!$G$2:$G$801, 0)+1))/IF(INDEX(ERP資料!$G:$G, (MATCH(374, 輔助計算!$G$2:$G$801, 0)+1))&lt;100, IF(INDEX(ERP資料!$G:$G, (MATCH(374, 輔助計算!$G$2:$G$801, 0)+1))&lt;=31,3,IF(INDEX(ERP資料!$G:$G, (MATCH(374, 輔助計算!$G$2:$G$801, 0)+1))&lt;=46.5,2,1)), IF(INDEX(ERP資料!$G:$G, (MATCH(374, 輔助計算!$G$2:$G$801, 0)+1))&lt;=790,3,IF(INDEX(ERP資料!$G:$G, (MATCH(374, 輔助計算!$G$2:$G$801, 0)+1))&lt;=1181,2,1))))&gt;0, IF(IF(INDEX(ERP資料!$G:$G, (MATCH(374, 輔助計算!$G$2:$G$801, 0)+1))&lt;100, IF(INDEX(ERP資料!$G:$G, (MATCH(374, 輔助計算!$G$2:$G$801, 0)+1))&lt;=31,3,IF(INDEX(ERP資料!$G:$G, (MATCH(374, 輔助計算!$G$2:$G$801, 0)+1))&lt;=46.5,2,1)), IF(INDEX(ERP資料!$G:$G, (MATCH(374, 輔助計算!$G$2:$G$801, 0)+1))&lt;=790,3,IF(INDEX(ERP資料!$G:$G, (MATCH(374, 輔助計算!$G$2:$G$801, 0)+1))&lt;=1181,2,1)))=1,TEXT(INDEX(ERP資料!$G:$G, (MATCH(374, 輔助計算!$G$2:$G$801, 0)+1)),"0.##"),IF(IF(INDEX(ERP資料!$G:$G, (MATCH(374, 輔助計算!$G$2:$G$801, 0)+1))&lt;100, IF(INDEX(ERP資料!$G:$G, (MATCH(374, 輔助計算!$G$2:$G$801, 0)+1))&lt;=31,3,IF(INDEX(ERP資料!$G:$G, (MATCH(374, 輔助計算!$G$2:$G$801, 0)+1))&lt;=46.5,2,1)), IF(INDEX(ERP資料!$G:$G, (MATCH(374, 輔助計算!$G$2:$G$801, 0)+1))&lt;=790,3,IF(INDEX(ERP資料!$G:$G, (MATCH(374, 輔助計算!$G$2:$G$801, 0)+1))&lt;=1181,2,1)))=2,TEXT(INDEX(ERP資料!$G:$G, (MATCH(374, 輔助計算!$G$2:$G$801, 0)+1)),"0.##")&amp;"+"&amp;TEXT(INDEX(ERP資料!$G:$G, (MATCH(374, 輔助計算!$G$2:$G$801, 0)+1)),"0.##"),TEXT(INDEX(ERP資料!$G:$G, (MATCH(374, 輔助計算!$G$2:$G$801, 0)+1)),"0.##")&amp;"+"&amp;TEXT(INDEX(ERP資料!$G:$G, (MATCH(374, 輔助計算!$G$2:$G$801, 0)+1)),"0.##")&amp;"+"&amp;TEXT(INDEX(ERP資料!$G:$G, (MATCH(374, 輔助計算!$G$2:$G$801, 0)+1)),"0.##")))&amp;"-"&amp;INT(INDEX(輔助計算!$D:$D, (MATCH(374, 輔助計算!$G$2:$G$801, 0)+1))/IF(INDEX(ERP資料!$G:$G, (MATCH(374, 輔助計算!$G$2:$G$801, 0)+1))&lt;100, IF(INDEX(ERP資料!$G:$G, (MATCH(374, 輔助計算!$G$2:$G$801, 0)+1))&lt;=31,3,IF(INDEX(ERP資料!$G:$G, (MATCH(374, 輔助計算!$G$2:$G$801, 0)+1))&lt;=46.5,2,1)), IF(INDEX(ERP資料!$G:$G, (MATCH(374, 輔助計算!$G$2:$G$801, 0)+1))&lt;=790,3,IF(INDEX(ERP資料!$G:$G, (MATCH(374, 輔助計算!$G$2:$G$801, 0)+1))&lt;=1181,2,1)))), "")&amp;IF(AND(IF(INT(INDEX(輔助計算!$D:$D, (MATCH(374, 輔助計算!$G$2:$G$801, 0)+1))/IF(INDEX(ERP資料!$G:$G, (MATCH(374, 輔助計算!$G$2:$G$801, 0)+1))&lt;100, IF(INDEX(ERP資料!$G:$G, (MATCH(374, 輔助計算!$G$2:$G$801, 0)+1))&lt;=31,3,IF(INDEX(ERP資料!$G:$G, (MATCH(374, 輔助計算!$G$2:$G$801, 0)+1))&lt;=46.5,2,1)), IF(INDEX(ERP資料!$G:$G, (MATCH(374, 輔助計算!$G$2:$G$801, 0)+1))&lt;=790,3,IF(INDEX(ERP資料!$G:$G, (MATCH(374, 輔助計算!$G$2:$G$801, 0)+1))&lt;=1181,2,1))))&gt;0, IF(IF(INDEX(ERP資料!$G:$G, (MATCH(374, 輔助計算!$G$2:$G$801, 0)+1))&lt;100, IF(INDEX(ERP資料!$G:$G, (MATCH(374, 輔助計算!$G$2:$G$801, 0)+1))&lt;=31,3,IF(INDEX(ERP資料!$G:$G, (MATCH(374, 輔助計算!$G$2:$G$801, 0)+1))&lt;=46.5,2,1)), IF(INDEX(ERP資料!$G:$G, (MATCH(374, 輔助計算!$G$2:$G$801, 0)+1))&lt;=790,3,IF(INDEX(ERP資料!$G:$G, (MATCH(374, 輔助計算!$G$2:$G$801, 0)+1))&lt;=1181,2,1)))=1,TEXT(INDEX(ERP資料!$G:$G, (MATCH(374, 輔助計算!$G$2:$G$801, 0)+1)),"0.##"),IF(IF(INDEX(ERP資料!$G:$G, (MATCH(374, 輔助計算!$G$2:$G$801, 0)+1))&lt;100, IF(INDEX(ERP資料!$G:$G, (MATCH(374, 輔助計算!$G$2:$G$801, 0)+1))&lt;=31,3,IF(INDEX(ERP資料!$G:$G, (MATCH(374, 輔助計算!$G$2:$G$801, 0)+1))&lt;=46.5,2,1)), IF(INDEX(ERP資料!$G:$G, (MATCH(374, 輔助計算!$G$2:$G$801, 0)+1))&lt;=790,3,IF(INDEX(ERP資料!$G:$G, (MATCH(374, 輔助計算!$G$2:$G$801, 0)+1))&lt;=1181,2,1)))=2,TEXT(INDEX(ERP資料!$G:$G, (MATCH(374, 輔助計算!$G$2:$G$801, 0)+1)),"0.##")&amp;"+"&amp;TEXT(INDEX(ERP資料!$G:$G, (MATCH(374, 輔助計算!$G$2:$G$801, 0)+1)),"0.##"),TEXT(INDEX(ERP資料!$G:$G, (MATCH(374, 輔助計算!$G$2:$G$801, 0)+1)),"0.##")&amp;"+"&amp;TEXT(INDEX(ERP資料!$G:$G, (MATCH(374, 輔助計算!$G$2:$G$801, 0)+1)),"0.##")&amp;"+"&amp;TEXT(INDEX(ERP資料!$G:$G, (MATCH(374, 輔助計算!$G$2:$G$801, 0)+1)),"0.##")))&amp;"-"&amp;INT(INDEX(輔助計算!$D:$D, (MATCH(374, 輔助計算!$G$2:$G$801, 0)+1))/IF(INDEX(ERP資料!$G:$G, (MATCH(374, 輔助計算!$G$2:$G$801, 0)+1))&lt;100, IF(INDEX(ERP資料!$G:$G, (MATCH(374, 輔助計算!$G$2:$G$801, 0)+1))&lt;=31,3,IF(INDEX(ERP資料!$G:$G, (MATCH(374, 輔助計算!$G$2:$G$801, 0)+1))&lt;=46.5,2,1)), IF(INDEX(ERP資料!$G:$G, (MATCH(374, 輔助計算!$G$2:$G$801, 0)+1))&lt;=790,3,IF(INDEX(ERP資料!$G:$G, (MATCH(374, 輔助計算!$G$2:$G$801, 0)+1))&lt;=1181,2,1)))), "")&lt;&gt;"",IF(MOD(INDEX(輔助計算!$D:$D, (MATCH(374, 輔助計算!$G$2:$G$801, 0)+1)),IF(INDEX(ERP資料!$G:$G, (MATCH(374, 輔助計算!$G$2:$G$801, 0)+1))&lt;100, IF(INDEX(ERP資料!$G:$G, (MATCH(374, 輔助計算!$G$2:$G$801, 0)+1))&lt;=31,3,IF(INDEX(ERP資料!$G:$G, (MATCH(374, 輔助計算!$G$2:$G$801, 0)+1))&lt;=46.5,2,1)), IF(INDEX(ERP資料!$G:$G, (MATCH(374, 輔助計算!$G$2:$G$801, 0)+1))&lt;=790,3,IF(INDEX(ERP資料!$G:$G, (MATCH(374, 輔助計算!$G$2:$G$801, 0)+1))&lt;=1181,2,1))))=0,"",IF(MOD(INDEX(輔助計算!$D:$D, (MATCH(374, 輔助計算!$G$2:$G$801, 0)+1)),IF(INDEX(ERP資料!$G:$G, (MATCH(374, 輔助計算!$G$2:$G$801, 0)+1))&lt;100, IF(INDEX(ERP資料!$G:$G, (MATCH(374, 輔助計算!$G$2:$G$801, 0)+1))&lt;=31,3,IF(INDEX(ERP資料!$G:$G, (MATCH(374, 輔助計算!$G$2:$G$801, 0)+1))&lt;=46.5,2,1)), IF(INDEX(ERP資料!$G:$G, (MATCH(374, 輔助計算!$G$2:$G$801, 0)+1))&lt;=790,3,IF(INDEX(ERP資料!$G:$G, (MATCH(374, 輔助計算!$G$2:$G$801, 0)+1))&lt;=1181,2,1))))=0,"",IF(MOD(INDEX(輔助計算!$D:$D, (MATCH(374, 輔助計算!$G$2:$G$801, 0)+1)),IF(INDEX(ERP資料!$G:$G, (MATCH(374, 輔助計算!$G$2:$G$801, 0)+1))&lt;100, IF(INDEX(ERP資料!$G:$G, (MATCH(374, 輔助計算!$G$2:$G$801, 0)+1))&lt;=31,3,IF(INDEX(ERP資料!$G:$G, (MATCH(374, 輔助計算!$G$2:$G$801, 0)+1))&lt;=46.5,2,1)), IF(INDEX(ERP資料!$G:$G, (MATCH(374, 輔助計算!$G$2:$G$801, 0)+1))&lt;=790,3,IF(INDEX(ERP資料!$G:$G, (MATCH(374, 輔助計算!$G$2:$G$801, 0)+1))&lt;=1181,2,1))))=1,TEXT(INDEX(ERP資料!$G:$G, (MATCH(374, 輔助計算!$G$2:$G$801, 0)+1)),"0.##"),IF(MOD(INDEX(輔助計算!$D:$D, (MATCH(374, 輔助計算!$G$2:$G$801, 0)+1)),IF(INDEX(ERP資料!$G:$G, (MATCH(374, 輔助計算!$G$2:$G$801, 0)+1))&lt;100, IF(INDEX(ERP資料!$G:$G, (MATCH(374, 輔助計算!$G$2:$G$801, 0)+1))&lt;=31,3,IF(INDEX(ERP資料!$G:$G, (MATCH(374, 輔助計算!$G$2:$G$801, 0)+1))&lt;=46.5,2,1)), IF(INDEX(ERP資料!$G:$G, (MATCH(374, 輔助計算!$G$2:$G$801, 0)+1))&lt;=790,3,IF(INDEX(ERP資料!$G:$G, (MATCH(374, 輔助計算!$G$2:$G$801, 0)+1))&lt;=1181,2,1))))=2,TEXT(INDEX(ERP資料!$G:$G, (MATCH(374, 輔助計算!$G$2:$G$801, 0)+1)),"0.##")&amp;"+"&amp;TEXT(INDEX(ERP資料!$G:$G, (MATCH(374, 輔助計算!$G$2:$G$801, 0)+1)),"0.##"),TEXT(INDEX(ERP資料!$G:$G, (MATCH(374, 輔助計算!$G$2:$G$801, 0)+1)),"0.##")&amp;"+"&amp;TEXT(INDEX(ERP資料!$G:$G, (MATCH(374, 輔助計算!$G$2:$G$801, 0)+1)),"0.##")&amp;"+"&amp;TEXT(INDEX(ERP資料!$G:$G, (MATCH(374, 輔助計算!$G$2:$G$801, 0)+1)),"0.##"))))&amp;"-1")&lt;&gt;""),"  ","")&amp;IF(MOD(INDEX(輔助計算!$D:$D, (MATCH(374, 輔助計算!$G$2:$G$801, 0)+1)),IF(INDEX(ERP資料!$G:$G, (MATCH(374, 輔助計算!$G$2:$G$801, 0)+1))&lt;100, IF(INDEX(ERP資料!$G:$G, (MATCH(374, 輔助計算!$G$2:$G$801, 0)+1))&lt;=31,3,IF(INDEX(ERP資料!$G:$G, (MATCH(374, 輔助計算!$G$2:$G$801, 0)+1))&lt;=46.5,2,1)), IF(INDEX(ERP資料!$G:$G, (MATCH(374, 輔助計算!$G$2:$G$801, 0)+1))&lt;=790,3,IF(INDEX(ERP資料!$G:$G, (MATCH(374, 輔助計算!$G$2:$G$801, 0)+1))&lt;=1181,2,1))))=0,"",IF(MOD(INDEX(輔助計算!$D:$D, (MATCH(374, 輔助計算!$G$2:$G$801, 0)+1)),IF(INDEX(ERP資料!$G:$G, (MATCH(374, 輔助計算!$G$2:$G$801, 0)+1))&lt;100, IF(INDEX(ERP資料!$G:$G, (MATCH(374, 輔助計算!$G$2:$G$801, 0)+1))&lt;=31,3,IF(INDEX(ERP資料!$G:$G, (MATCH(374, 輔助計算!$G$2:$G$801, 0)+1))&lt;=46.5,2,1)), IF(INDEX(ERP資料!$G:$G, (MATCH(374, 輔助計算!$G$2:$G$801, 0)+1))&lt;=790,3,IF(INDEX(ERP資料!$G:$G, (MATCH(374, 輔助計算!$G$2:$G$801, 0)+1))&lt;=1181,2,1))))=0,"",IF(MOD(INDEX(輔助計算!$D:$D, (MATCH(374, 輔助計算!$G$2:$G$801, 0)+1)),IF(INDEX(ERP資料!$G:$G, (MATCH(374, 輔助計算!$G$2:$G$801, 0)+1))&lt;100, IF(INDEX(ERP資料!$G:$G, (MATCH(374, 輔助計算!$G$2:$G$801, 0)+1))&lt;=31,3,IF(INDEX(ERP資料!$G:$G, (MATCH(374, 輔助計算!$G$2:$G$801, 0)+1))&lt;=46.5,2,1)), IF(INDEX(ERP資料!$G:$G, (MATCH(374, 輔助計算!$G$2:$G$801, 0)+1))&lt;=790,3,IF(INDEX(ERP資料!$G:$G, (MATCH(374, 輔助計算!$G$2:$G$801, 0)+1))&lt;=1181,2,1))))=1,TEXT(INDEX(ERP資料!$G:$G, (MATCH(374, 輔助計算!$G$2:$G$801, 0)+1)),"0.##"),IF(MOD(INDEX(輔助計算!$D:$D, (MATCH(374, 輔助計算!$G$2:$G$801, 0)+1)),IF(INDEX(ERP資料!$G:$G, (MATCH(374, 輔助計算!$G$2:$G$801, 0)+1))&lt;100, IF(INDEX(ERP資料!$G:$G, (MATCH(374, 輔助計算!$G$2:$G$801, 0)+1))&lt;=31,3,IF(INDEX(ERP資料!$G:$G, (MATCH(374, 輔助計算!$G$2:$G$801, 0)+1))&lt;=46.5,2,1)), IF(INDEX(ERP資料!$G:$G, (MATCH(374, 輔助計算!$G$2:$G$801, 0)+1))&lt;=790,3,IF(INDEX(ERP資料!$G:$G, (MATCH(374, 輔助計算!$G$2:$G$801, 0)+1))&lt;=1181,2,1))))=2,TEXT(INDEX(ERP資料!$G:$G, (MATCH(374, 輔助計算!$G$2:$G$801, 0)+1)),"0.##")&amp;"+"&amp;TEXT(INDEX(ERP資料!$G:$G, (MATCH(374, 輔助計算!$G$2:$G$801, 0)+1)),"0.##"),TEXT(INDEX(ERP資料!$G:$G, (MATCH(374, 輔助計算!$G$2:$G$801, 0)+1)),"0.##")&amp;"+"&amp;TEXT(INDEX(ERP資料!$G:$G, (MATCH(374, 輔助計算!$G$2:$G$801, 0)+1)),"0.##")&amp;"+"&amp;TEXT(INDEX(ERP資料!$G:$G, (MATCH(374, 輔助計算!$G$2:$G$801, 0)+1)),"0.##"))))&amp;"-1")), ""), "")</f>
        <v/>
      </c>
      <c r="K375" s="16" t="n"/>
      <c r="L375" s="14">
        <f>IFERROR(IF(AND(IFERROR(INDEX(ERP資料!$A:$A, (MATCH(374, 輔助計算!$G$2:$G$801, 0)+1)), "")&lt;&gt;"", IFERROR(INDEX(ERP資料!$A:$A, (MATCH(374, 輔助計算!$G$2:$G$801, 0)+1)), "")&lt;&gt;IFERROR(INDEX(ERP資料!$A:$A, MATCH(373, 輔助計算!$G$2:$G$801, 0)+1), "")), INDEX(ERP資料!$B:$B, (MATCH(374, 輔助計算!$G$2:$G$801, 0)+1)), ""), "")</f>
        <v/>
      </c>
      <c r="M375" s="17" t="n"/>
    </row>
    <row r="376">
      <c r="A376" s="10">
        <f>IFERROR(IF(AND(IFERROR(INDEX(ERP資料!$A:$A, (MATCH(375, 輔助計算!$G$2:$G$801, 0)+1)), "")&lt;&gt;"", IFERROR(INDEX(ERP資料!$A:$A, (MATCH(375, 輔助計算!$G$2:$G$801, 0)+1)), "")&lt;&gt;IFERROR(INDEX(ERP資料!$A:$A, MATCH(374, 輔助計算!$G$2:$G$801, 0)+1), "")), IFERROR(INDEX(ERP資料!$A:$A, (MATCH(375, 輔助計算!$G$2:$G$801, 0)+1)), ""), ""), "")</f>
        <v/>
      </c>
      <c r="B376" s="10">
        <f>IFERROR(IF(AND(IFERROR(INDEX(ERP資料!$A:$A, (MATCH(375, 輔助計算!$G$2:$G$801, 0)+1)), "")&lt;&gt;"", IFERROR(INDEX(ERP資料!$A:$A, (MATCH(375, 輔助計算!$G$2:$G$801, 0)+1)), "")&lt;&gt;IFERROR(INDEX(ERP資料!$A:$A, MATCH(374, 輔助計算!$G$2:$G$801, 0)+1), "")), INDEX(ERP資料!$S:$S, (MATCH(375, 輔助計算!$G$2:$G$801, 0)+1)), ""), "")</f>
        <v/>
      </c>
      <c r="C376" s="19">
        <f>IFERROR(IF(AND(IFERROR(INDEX(ERP資料!$A:$A, (MATCH(375, 輔助計算!$G$2:$G$801, 0)+1)), "")&lt;&gt;"", IFERROR(INDEX(ERP資料!$A:$A, (MATCH(375, 輔助計算!$G$2:$G$801, 0)+1)), "")&lt;&gt;IFERROR(INDEX(ERP資料!$A:$A, MATCH(374, 輔助計算!$G$2:$G$801, 0)+1), "")), IFERROR(VLOOKUP(LEFT(INDEX(ERP資料!$S:$S, (MATCH(375, 輔助計算!$G$2:$G$801, 0)+1)), 4), 紙管對照表!$A:$C, 3, FALSE), ""), ""), "")</f>
        <v/>
      </c>
      <c r="D376" s="16" t="n"/>
      <c r="E376" s="10">
        <f>IFERROR(IF(INDEX(ERP資料!$H:$H, (MATCH(375, 輔助計算!$G$2:$G$801, 0)+1))="","",INDEX(ERP資料!$H:$H, (MATCH(375, 輔助計算!$G$2:$G$801, 0)+1))), "")</f>
        <v/>
      </c>
      <c r="F376" s="10">
        <f>IFERROR(IF(INDEX(ERP資料!$E:$E, (MATCH(375, 輔助計算!$G$2:$G$801, 0)+1))="","",TRIM(INDEX(ERP資料!$E:$E, (MATCH(375, 輔助計算!$G$2:$G$801, 0)+1)))), "")</f>
        <v/>
      </c>
      <c r="G376" s="10">
        <f>IFERROR(IF(INDEX(ERP資料!$F:$F, (MATCH(375, 輔助計算!$G$2:$G$801, 0)+1))="","",INDEX(ERP資料!$F:$F, (MATCH(375, 輔助計算!$G$2:$G$801, 0)+1))), "")</f>
        <v/>
      </c>
      <c r="H376" s="10">
        <f>IFERROR(IF(INDEX(ERP資料!$G:$G, (MATCH(375, 輔助計算!$G$2:$G$801, 0)+1))="","",INDEX(ERP資料!$G:$G, (MATCH(375, 輔助計算!$G$2:$G$801, 0)+1))), "")</f>
        <v/>
      </c>
      <c r="I376" s="15">
        <f>IFERROR(INDEX(輔助計算!$D:$D, (MATCH(375, 輔助計算!$G$2:$G$801, 0)+1)), "")</f>
        <v/>
      </c>
      <c r="J376" s="15">
        <f>IFERROR(IF(AND(INDEX(輔助計算!$D:$D, (MATCH(375, 輔助計算!$G$2:$G$801, 0)+1))&lt;&gt;"", INDEX(ERP資料!$G:$G, (MATCH(375, 輔助計算!$G$2:$G$801, 0)+1))&lt;&gt;""), TRIM(IF(INT(INDEX(輔助計算!$D:$D, (MATCH(375, 輔助計算!$G$2:$G$801, 0)+1))/IF(INDEX(ERP資料!$G:$G, (MATCH(375, 輔助計算!$G$2:$G$801, 0)+1))&lt;100, IF(INDEX(ERP資料!$G:$G, (MATCH(375, 輔助計算!$G$2:$G$801, 0)+1))&lt;=31,3,IF(INDEX(ERP資料!$G:$G, (MATCH(375, 輔助計算!$G$2:$G$801, 0)+1))&lt;=46.5,2,1)), IF(INDEX(ERP資料!$G:$G, (MATCH(375, 輔助計算!$G$2:$G$801, 0)+1))&lt;=790,3,IF(INDEX(ERP資料!$G:$G, (MATCH(375, 輔助計算!$G$2:$G$801, 0)+1))&lt;=1181,2,1))))&gt;0, IF(IF(INDEX(ERP資料!$G:$G, (MATCH(375, 輔助計算!$G$2:$G$801, 0)+1))&lt;100, IF(INDEX(ERP資料!$G:$G, (MATCH(375, 輔助計算!$G$2:$G$801, 0)+1))&lt;=31,3,IF(INDEX(ERP資料!$G:$G, (MATCH(375, 輔助計算!$G$2:$G$801, 0)+1))&lt;=46.5,2,1)), IF(INDEX(ERP資料!$G:$G, (MATCH(375, 輔助計算!$G$2:$G$801, 0)+1))&lt;=790,3,IF(INDEX(ERP資料!$G:$G, (MATCH(375, 輔助計算!$G$2:$G$801, 0)+1))&lt;=1181,2,1)))=1,TEXT(INDEX(ERP資料!$G:$G, (MATCH(375, 輔助計算!$G$2:$G$801, 0)+1)),"0.##"),IF(IF(INDEX(ERP資料!$G:$G, (MATCH(375, 輔助計算!$G$2:$G$801, 0)+1))&lt;100, IF(INDEX(ERP資料!$G:$G, (MATCH(375, 輔助計算!$G$2:$G$801, 0)+1))&lt;=31,3,IF(INDEX(ERP資料!$G:$G, (MATCH(375, 輔助計算!$G$2:$G$801, 0)+1))&lt;=46.5,2,1)), IF(INDEX(ERP資料!$G:$G, (MATCH(375, 輔助計算!$G$2:$G$801, 0)+1))&lt;=790,3,IF(INDEX(ERP資料!$G:$G, (MATCH(375, 輔助計算!$G$2:$G$801, 0)+1))&lt;=1181,2,1)))=2,TEXT(INDEX(ERP資料!$G:$G, (MATCH(375, 輔助計算!$G$2:$G$801, 0)+1)),"0.##")&amp;"+"&amp;TEXT(INDEX(ERP資料!$G:$G, (MATCH(375, 輔助計算!$G$2:$G$801, 0)+1)),"0.##"),TEXT(INDEX(ERP資料!$G:$G, (MATCH(375, 輔助計算!$G$2:$G$801, 0)+1)),"0.##")&amp;"+"&amp;TEXT(INDEX(ERP資料!$G:$G, (MATCH(375, 輔助計算!$G$2:$G$801, 0)+1)),"0.##")&amp;"+"&amp;TEXT(INDEX(ERP資料!$G:$G, (MATCH(375, 輔助計算!$G$2:$G$801, 0)+1)),"0.##")))&amp;"-"&amp;INT(INDEX(輔助計算!$D:$D, (MATCH(375, 輔助計算!$G$2:$G$801, 0)+1))/IF(INDEX(ERP資料!$G:$G, (MATCH(375, 輔助計算!$G$2:$G$801, 0)+1))&lt;100, IF(INDEX(ERP資料!$G:$G, (MATCH(375, 輔助計算!$G$2:$G$801, 0)+1))&lt;=31,3,IF(INDEX(ERP資料!$G:$G, (MATCH(375, 輔助計算!$G$2:$G$801, 0)+1))&lt;=46.5,2,1)), IF(INDEX(ERP資料!$G:$G, (MATCH(375, 輔助計算!$G$2:$G$801, 0)+1))&lt;=790,3,IF(INDEX(ERP資料!$G:$G, (MATCH(375, 輔助計算!$G$2:$G$801, 0)+1))&lt;=1181,2,1)))), "")&amp;IF(AND(IF(INT(INDEX(輔助計算!$D:$D, (MATCH(375, 輔助計算!$G$2:$G$801, 0)+1))/IF(INDEX(ERP資料!$G:$G, (MATCH(375, 輔助計算!$G$2:$G$801, 0)+1))&lt;100, IF(INDEX(ERP資料!$G:$G, (MATCH(375, 輔助計算!$G$2:$G$801, 0)+1))&lt;=31,3,IF(INDEX(ERP資料!$G:$G, (MATCH(375, 輔助計算!$G$2:$G$801, 0)+1))&lt;=46.5,2,1)), IF(INDEX(ERP資料!$G:$G, (MATCH(375, 輔助計算!$G$2:$G$801, 0)+1))&lt;=790,3,IF(INDEX(ERP資料!$G:$G, (MATCH(375, 輔助計算!$G$2:$G$801, 0)+1))&lt;=1181,2,1))))&gt;0, IF(IF(INDEX(ERP資料!$G:$G, (MATCH(375, 輔助計算!$G$2:$G$801, 0)+1))&lt;100, IF(INDEX(ERP資料!$G:$G, (MATCH(375, 輔助計算!$G$2:$G$801, 0)+1))&lt;=31,3,IF(INDEX(ERP資料!$G:$G, (MATCH(375, 輔助計算!$G$2:$G$801, 0)+1))&lt;=46.5,2,1)), IF(INDEX(ERP資料!$G:$G, (MATCH(375, 輔助計算!$G$2:$G$801, 0)+1))&lt;=790,3,IF(INDEX(ERP資料!$G:$G, (MATCH(375, 輔助計算!$G$2:$G$801, 0)+1))&lt;=1181,2,1)))=1,TEXT(INDEX(ERP資料!$G:$G, (MATCH(375, 輔助計算!$G$2:$G$801, 0)+1)),"0.##"),IF(IF(INDEX(ERP資料!$G:$G, (MATCH(375, 輔助計算!$G$2:$G$801, 0)+1))&lt;100, IF(INDEX(ERP資料!$G:$G, (MATCH(375, 輔助計算!$G$2:$G$801, 0)+1))&lt;=31,3,IF(INDEX(ERP資料!$G:$G, (MATCH(375, 輔助計算!$G$2:$G$801, 0)+1))&lt;=46.5,2,1)), IF(INDEX(ERP資料!$G:$G, (MATCH(375, 輔助計算!$G$2:$G$801, 0)+1))&lt;=790,3,IF(INDEX(ERP資料!$G:$G, (MATCH(375, 輔助計算!$G$2:$G$801, 0)+1))&lt;=1181,2,1)))=2,TEXT(INDEX(ERP資料!$G:$G, (MATCH(375, 輔助計算!$G$2:$G$801, 0)+1)),"0.##")&amp;"+"&amp;TEXT(INDEX(ERP資料!$G:$G, (MATCH(375, 輔助計算!$G$2:$G$801, 0)+1)),"0.##"),TEXT(INDEX(ERP資料!$G:$G, (MATCH(375, 輔助計算!$G$2:$G$801, 0)+1)),"0.##")&amp;"+"&amp;TEXT(INDEX(ERP資料!$G:$G, (MATCH(375, 輔助計算!$G$2:$G$801, 0)+1)),"0.##")&amp;"+"&amp;TEXT(INDEX(ERP資料!$G:$G, (MATCH(375, 輔助計算!$G$2:$G$801, 0)+1)),"0.##")))&amp;"-"&amp;INT(INDEX(輔助計算!$D:$D, (MATCH(375, 輔助計算!$G$2:$G$801, 0)+1))/IF(INDEX(ERP資料!$G:$G, (MATCH(375, 輔助計算!$G$2:$G$801, 0)+1))&lt;100, IF(INDEX(ERP資料!$G:$G, (MATCH(375, 輔助計算!$G$2:$G$801, 0)+1))&lt;=31,3,IF(INDEX(ERP資料!$G:$G, (MATCH(375, 輔助計算!$G$2:$G$801, 0)+1))&lt;=46.5,2,1)), IF(INDEX(ERP資料!$G:$G, (MATCH(375, 輔助計算!$G$2:$G$801, 0)+1))&lt;=790,3,IF(INDEX(ERP資料!$G:$G, (MATCH(375, 輔助計算!$G$2:$G$801, 0)+1))&lt;=1181,2,1)))), "")&lt;&gt;"",IF(MOD(INDEX(輔助計算!$D:$D, (MATCH(375, 輔助計算!$G$2:$G$801, 0)+1)),IF(INDEX(ERP資料!$G:$G, (MATCH(375, 輔助計算!$G$2:$G$801, 0)+1))&lt;100, IF(INDEX(ERP資料!$G:$G, (MATCH(375, 輔助計算!$G$2:$G$801, 0)+1))&lt;=31,3,IF(INDEX(ERP資料!$G:$G, (MATCH(375, 輔助計算!$G$2:$G$801, 0)+1))&lt;=46.5,2,1)), IF(INDEX(ERP資料!$G:$G, (MATCH(375, 輔助計算!$G$2:$G$801, 0)+1))&lt;=790,3,IF(INDEX(ERP資料!$G:$G, (MATCH(375, 輔助計算!$G$2:$G$801, 0)+1))&lt;=1181,2,1))))=0,"",IF(MOD(INDEX(輔助計算!$D:$D, (MATCH(375, 輔助計算!$G$2:$G$801, 0)+1)),IF(INDEX(ERP資料!$G:$G, (MATCH(375, 輔助計算!$G$2:$G$801, 0)+1))&lt;100, IF(INDEX(ERP資料!$G:$G, (MATCH(375, 輔助計算!$G$2:$G$801, 0)+1))&lt;=31,3,IF(INDEX(ERP資料!$G:$G, (MATCH(375, 輔助計算!$G$2:$G$801, 0)+1))&lt;=46.5,2,1)), IF(INDEX(ERP資料!$G:$G, (MATCH(375, 輔助計算!$G$2:$G$801, 0)+1))&lt;=790,3,IF(INDEX(ERP資料!$G:$G, (MATCH(375, 輔助計算!$G$2:$G$801, 0)+1))&lt;=1181,2,1))))=0,"",IF(MOD(INDEX(輔助計算!$D:$D, (MATCH(375, 輔助計算!$G$2:$G$801, 0)+1)),IF(INDEX(ERP資料!$G:$G, (MATCH(375, 輔助計算!$G$2:$G$801, 0)+1))&lt;100, IF(INDEX(ERP資料!$G:$G, (MATCH(375, 輔助計算!$G$2:$G$801, 0)+1))&lt;=31,3,IF(INDEX(ERP資料!$G:$G, (MATCH(375, 輔助計算!$G$2:$G$801, 0)+1))&lt;=46.5,2,1)), IF(INDEX(ERP資料!$G:$G, (MATCH(375, 輔助計算!$G$2:$G$801, 0)+1))&lt;=790,3,IF(INDEX(ERP資料!$G:$G, (MATCH(375, 輔助計算!$G$2:$G$801, 0)+1))&lt;=1181,2,1))))=1,TEXT(INDEX(ERP資料!$G:$G, (MATCH(375, 輔助計算!$G$2:$G$801, 0)+1)),"0.##"),IF(MOD(INDEX(輔助計算!$D:$D, (MATCH(375, 輔助計算!$G$2:$G$801, 0)+1)),IF(INDEX(ERP資料!$G:$G, (MATCH(375, 輔助計算!$G$2:$G$801, 0)+1))&lt;100, IF(INDEX(ERP資料!$G:$G, (MATCH(375, 輔助計算!$G$2:$G$801, 0)+1))&lt;=31,3,IF(INDEX(ERP資料!$G:$G, (MATCH(375, 輔助計算!$G$2:$G$801, 0)+1))&lt;=46.5,2,1)), IF(INDEX(ERP資料!$G:$G, (MATCH(375, 輔助計算!$G$2:$G$801, 0)+1))&lt;=790,3,IF(INDEX(ERP資料!$G:$G, (MATCH(375, 輔助計算!$G$2:$G$801, 0)+1))&lt;=1181,2,1))))=2,TEXT(INDEX(ERP資料!$G:$G, (MATCH(375, 輔助計算!$G$2:$G$801, 0)+1)),"0.##")&amp;"+"&amp;TEXT(INDEX(ERP資料!$G:$G, (MATCH(375, 輔助計算!$G$2:$G$801, 0)+1)),"0.##"),TEXT(INDEX(ERP資料!$G:$G, (MATCH(375, 輔助計算!$G$2:$G$801, 0)+1)),"0.##")&amp;"+"&amp;TEXT(INDEX(ERP資料!$G:$G, (MATCH(375, 輔助計算!$G$2:$G$801, 0)+1)),"0.##")&amp;"+"&amp;TEXT(INDEX(ERP資料!$G:$G, (MATCH(375, 輔助計算!$G$2:$G$801, 0)+1)),"0.##"))))&amp;"-1")&lt;&gt;""),"  ","")&amp;IF(MOD(INDEX(輔助計算!$D:$D, (MATCH(375, 輔助計算!$G$2:$G$801, 0)+1)),IF(INDEX(ERP資料!$G:$G, (MATCH(375, 輔助計算!$G$2:$G$801, 0)+1))&lt;100, IF(INDEX(ERP資料!$G:$G, (MATCH(375, 輔助計算!$G$2:$G$801, 0)+1))&lt;=31,3,IF(INDEX(ERP資料!$G:$G, (MATCH(375, 輔助計算!$G$2:$G$801, 0)+1))&lt;=46.5,2,1)), IF(INDEX(ERP資料!$G:$G, (MATCH(375, 輔助計算!$G$2:$G$801, 0)+1))&lt;=790,3,IF(INDEX(ERP資料!$G:$G, (MATCH(375, 輔助計算!$G$2:$G$801, 0)+1))&lt;=1181,2,1))))=0,"",IF(MOD(INDEX(輔助計算!$D:$D, (MATCH(375, 輔助計算!$G$2:$G$801, 0)+1)),IF(INDEX(ERP資料!$G:$G, (MATCH(375, 輔助計算!$G$2:$G$801, 0)+1))&lt;100, IF(INDEX(ERP資料!$G:$G, (MATCH(375, 輔助計算!$G$2:$G$801, 0)+1))&lt;=31,3,IF(INDEX(ERP資料!$G:$G, (MATCH(375, 輔助計算!$G$2:$G$801, 0)+1))&lt;=46.5,2,1)), IF(INDEX(ERP資料!$G:$G, (MATCH(375, 輔助計算!$G$2:$G$801, 0)+1))&lt;=790,3,IF(INDEX(ERP資料!$G:$G, (MATCH(375, 輔助計算!$G$2:$G$801, 0)+1))&lt;=1181,2,1))))=0,"",IF(MOD(INDEX(輔助計算!$D:$D, (MATCH(375, 輔助計算!$G$2:$G$801, 0)+1)),IF(INDEX(ERP資料!$G:$G, (MATCH(375, 輔助計算!$G$2:$G$801, 0)+1))&lt;100, IF(INDEX(ERP資料!$G:$G, (MATCH(375, 輔助計算!$G$2:$G$801, 0)+1))&lt;=31,3,IF(INDEX(ERP資料!$G:$G, (MATCH(375, 輔助計算!$G$2:$G$801, 0)+1))&lt;=46.5,2,1)), IF(INDEX(ERP資料!$G:$G, (MATCH(375, 輔助計算!$G$2:$G$801, 0)+1))&lt;=790,3,IF(INDEX(ERP資料!$G:$G, (MATCH(375, 輔助計算!$G$2:$G$801, 0)+1))&lt;=1181,2,1))))=1,TEXT(INDEX(ERP資料!$G:$G, (MATCH(375, 輔助計算!$G$2:$G$801, 0)+1)),"0.##"),IF(MOD(INDEX(輔助計算!$D:$D, (MATCH(375, 輔助計算!$G$2:$G$801, 0)+1)),IF(INDEX(ERP資料!$G:$G, (MATCH(375, 輔助計算!$G$2:$G$801, 0)+1))&lt;100, IF(INDEX(ERP資料!$G:$G, (MATCH(375, 輔助計算!$G$2:$G$801, 0)+1))&lt;=31,3,IF(INDEX(ERP資料!$G:$G, (MATCH(375, 輔助計算!$G$2:$G$801, 0)+1))&lt;=46.5,2,1)), IF(INDEX(ERP資料!$G:$G, (MATCH(375, 輔助計算!$G$2:$G$801, 0)+1))&lt;=790,3,IF(INDEX(ERP資料!$G:$G, (MATCH(375, 輔助計算!$G$2:$G$801, 0)+1))&lt;=1181,2,1))))=2,TEXT(INDEX(ERP資料!$G:$G, (MATCH(375, 輔助計算!$G$2:$G$801, 0)+1)),"0.##")&amp;"+"&amp;TEXT(INDEX(ERP資料!$G:$G, (MATCH(375, 輔助計算!$G$2:$G$801, 0)+1)),"0.##"),TEXT(INDEX(ERP資料!$G:$G, (MATCH(375, 輔助計算!$G$2:$G$801, 0)+1)),"0.##")&amp;"+"&amp;TEXT(INDEX(ERP資料!$G:$G, (MATCH(375, 輔助計算!$G$2:$G$801, 0)+1)),"0.##")&amp;"+"&amp;TEXT(INDEX(ERP資料!$G:$G, (MATCH(375, 輔助計算!$G$2:$G$801, 0)+1)),"0.##"))))&amp;"-1")), ""), "")</f>
        <v/>
      </c>
      <c r="K376" s="16" t="n"/>
      <c r="L376" s="14">
        <f>IFERROR(IF(AND(IFERROR(INDEX(ERP資料!$A:$A, (MATCH(375, 輔助計算!$G$2:$G$801, 0)+1)), "")&lt;&gt;"", IFERROR(INDEX(ERP資料!$A:$A, (MATCH(375, 輔助計算!$G$2:$G$801, 0)+1)), "")&lt;&gt;IFERROR(INDEX(ERP資料!$A:$A, MATCH(374, 輔助計算!$G$2:$G$801, 0)+1), "")), INDEX(ERP資料!$B:$B, (MATCH(375, 輔助計算!$G$2:$G$801, 0)+1)), ""), "")</f>
        <v/>
      </c>
      <c r="M376" s="17" t="n"/>
    </row>
    <row r="377">
      <c r="A377" s="10">
        <f>IFERROR(IF(AND(IFERROR(INDEX(ERP資料!$A:$A, (MATCH(376, 輔助計算!$G$2:$G$801, 0)+1)), "")&lt;&gt;"", IFERROR(INDEX(ERP資料!$A:$A, (MATCH(376, 輔助計算!$G$2:$G$801, 0)+1)), "")&lt;&gt;IFERROR(INDEX(ERP資料!$A:$A, MATCH(375, 輔助計算!$G$2:$G$801, 0)+1), "")), IFERROR(INDEX(ERP資料!$A:$A, (MATCH(376, 輔助計算!$G$2:$G$801, 0)+1)), ""), ""), "")</f>
        <v/>
      </c>
      <c r="B377" s="10">
        <f>IFERROR(IF(AND(IFERROR(INDEX(ERP資料!$A:$A, (MATCH(376, 輔助計算!$G$2:$G$801, 0)+1)), "")&lt;&gt;"", IFERROR(INDEX(ERP資料!$A:$A, (MATCH(376, 輔助計算!$G$2:$G$801, 0)+1)), "")&lt;&gt;IFERROR(INDEX(ERP資料!$A:$A, MATCH(375, 輔助計算!$G$2:$G$801, 0)+1), "")), INDEX(ERP資料!$S:$S, (MATCH(376, 輔助計算!$G$2:$G$801, 0)+1)), ""), "")</f>
        <v/>
      </c>
      <c r="C377" s="19">
        <f>IFERROR(IF(AND(IFERROR(INDEX(ERP資料!$A:$A, (MATCH(376, 輔助計算!$G$2:$G$801, 0)+1)), "")&lt;&gt;"", IFERROR(INDEX(ERP資料!$A:$A, (MATCH(376, 輔助計算!$G$2:$G$801, 0)+1)), "")&lt;&gt;IFERROR(INDEX(ERP資料!$A:$A, MATCH(375, 輔助計算!$G$2:$G$801, 0)+1), "")), IFERROR(VLOOKUP(LEFT(INDEX(ERP資料!$S:$S, (MATCH(376, 輔助計算!$G$2:$G$801, 0)+1)), 4), 紙管對照表!$A:$C, 3, FALSE), ""), ""), "")</f>
        <v/>
      </c>
      <c r="D377" s="16" t="n"/>
      <c r="E377" s="10">
        <f>IFERROR(IF(INDEX(ERP資料!$H:$H, (MATCH(376, 輔助計算!$G$2:$G$801, 0)+1))="","",INDEX(ERP資料!$H:$H, (MATCH(376, 輔助計算!$G$2:$G$801, 0)+1))), "")</f>
        <v/>
      </c>
      <c r="F377" s="10">
        <f>IFERROR(IF(INDEX(ERP資料!$E:$E, (MATCH(376, 輔助計算!$G$2:$G$801, 0)+1))="","",TRIM(INDEX(ERP資料!$E:$E, (MATCH(376, 輔助計算!$G$2:$G$801, 0)+1)))), "")</f>
        <v/>
      </c>
      <c r="G377" s="10">
        <f>IFERROR(IF(INDEX(ERP資料!$F:$F, (MATCH(376, 輔助計算!$G$2:$G$801, 0)+1))="","",INDEX(ERP資料!$F:$F, (MATCH(376, 輔助計算!$G$2:$G$801, 0)+1))), "")</f>
        <v/>
      </c>
      <c r="H377" s="10">
        <f>IFERROR(IF(INDEX(ERP資料!$G:$G, (MATCH(376, 輔助計算!$G$2:$G$801, 0)+1))="","",INDEX(ERP資料!$G:$G, (MATCH(376, 輔助計算!$G$2:$G$801, 0)+1))), "")</f>
        <v/>
      </c>
      <c r="I377" s="15">
        <f>IFERROR(INDEX(輔助計算!$D:$D, (MATCH(376, 輔助計算!$G$2:$G$801, 0)+1)), "")</f>
        <v/>
      </c>
      <c r="J377" s="15">
        <f>IFERROR(IF(AND(INDEX(輔助計算!$D:$D, (MATCH(376, 輔助計算!$G$2:$G$801, 0)+1))&lt;&gt;"", INDEX(ERP資料!$G:$G, (MATCH(376, 輔助計算!$G$2:$G$801, 0)+1))&lt;&gt;""), TRIM(IF(INT(INDEX(輔助計算!$D:$D, (MATCH(376, 輔助計算!$G$2:$G$801, 0)+1))/IF(INDEX(ERP資料!$G:$G, (MATCH(376, 輔助計算!$G$2:$G$801, 0)+1))&lt;100, IF(INDEX(ERP資料!$G:$G, (MATCH(376, 輔助計算!$G$2:$G$801, 0)+1))&lt;=31,3,IF(INDEX(ERP資料!$G:$G, (MATCH(376, 輔助計算!$G$2:$G$801, 0)+1))&lt;=46.5,2,1)), IF(INDEX(ERP資料!$G:$G, (MATCH(376, 輔助計算!$G$2:$G$801, 0)+1))&lt;=790,3,IF(INDEX(ERP資料!$G:$G, (MATCH(376, 輔助計算!$G$2:$G$801, 0)+1))&lt;=1181,2,1))))&gt;0, IF(IF(INDEX(ERP資料!$G:$G, (MATCH(376, 輔助計算!$G$2:$G$801, 0)+1))&lt;100, IF(INDEX(ERP資料!$G:$G, (MATCH(376, 輔助計算!$G$2:$G$801, 0)+1))&lt;=31,3,IF(INDEX(ERP資料!$G:$G, (MATCH(376, 輔助計算!$G$2:$G$801, 0)+1))&lt;=46.5,2,1)), IF(INDEX(ERP資料!$G:$G, (MATCH(376, 輔助計算!$G$2:$G$801, 0)+1))&lt;=790,3,IF(INDEX(ERP資料!$G:$G, (MATCH(376, 輔助計算!$G$2:$G$801, 0)+1))&lt;=1181,2,1)))=1,TEXT(INDEX(ERP資料!$G:$G, (MATCH(376, 輔助計算!$G$2:$G$801, 0)+1)),"0.##"),IF(IF(INDEX(ERP資料!$G:$G, (MATCH(376, 輔助計算!$G$2:$G$801, 0)+1))&lt;100, IF(INDEX(ERP資料!$G:$G, (MATCH(376, 輔助計算!$G$2:$G$801, 0)+1))&lt;=31,3,IF(INDEX(ERP資料!$G:$G, (MATCH(376, 輔助計算!$G$2:$G$801, 0)+1))&lt;=46.5,2,1)), IF(INDEX(ERP資料!$G:$G, (MATCH(376, 輔助計算!$G$2:$G$801, 0)+1))&lt;=790,3,IF(INDEX(ERP資料!$G:$G, (MATCH(376, 輔助計算!$G$2:$G$801, 0)+1))&lt;=1181,2,1)))=2,TEXT(INDEX(ERP資料!$G:$G, (MATCH(376, 輔助計算!$G$2:$G$801, 0)+1)),"0.##")&amp;"+"&amp;TEXT(INDEX(ERP資料!$G:$G, (MATCH(376, 輔助計算!$G$2:$G$801, 0)+1)),"0.##"),TEXT(INDEX(ERP資料!$G:$G, (MATCH(376, 輔助計算!$G$2:$G$801, 0)+1)),"0.##")&amp;"+"&amp;TEXT(INDEX(ERP資料!$G:$G, (MATCH(376, 輔助計算!$G$2:$G$801, 0)+1)),"0.##")&amp;"+"&amp;TEXT(INDEX(ERP資料!$G:$G, (MATCH(376, 輔助計算!$G$2:$G$801, 0)+1)),"0.##")))&amp;"-"&amp;INT(INDEX(輔助計算!$D:$D, (MATCH(376, 輔助計算!$G$2:$G$801, 0)+1))/IF(INDEX(ERP資料!$G:$G, (MATCH(376, 輔助計算!$G$2:$G$801, 0)+1))&lt;100, IF(INDEX(ERP資料!$G:$G, (MATCH(376, 輔助計算!$G$2:$G$801, 0)+1))&lt;=31,3,IF(INDEX(ERP資料!$G:$G, (MATCH(376, 輔助計算!$G$2:$G$801, 0)+1))&lt;=46.5,2,1)), IF(INDEX(ERP資料!$G:$G, (MATCH(376, 輔助計算!$G$2:$G$801, 0)+1))&lt;=790,3,IF(INDEX(ERP資料!$G:$G, (MATCH(376, 輔助計算!$G$2:$G$801, 0)+1))&lt;=1181,2,1)))), "")&amp;IF(AND(IF(INT(INDEX(輔助計算!$D:$D, (MATCH(376, 輔助計算!$G$2:$G$801, 0)+1))/IF(INDEX(ERP資料!$G:$G, (MATCH(376, 輔助計算!$G$2:$G$801, 0)+1))&lt;100, IF(INDEX(ERP資料!$G:$G, (MATCH(376, 輔助計算!$G$2:$G$801, 0)+1))&lt;=31,3,IF(INDEX(ERP資料!$G:$G, (MATCH(376, 輔助計算!$G$2:$G$801, 0)+1))&lt;=46.5,2,1)), IF(INDEX(ERP資料!$G:$G, (MATCH(376, 輔助計算!$G$2:$G$801, 0)+1))&lt;=790,3,IF(INDEX(ERP資料!$G:$G, (MATCH(376, 輔助計算!$G$2:$G$801, 0)+1))&lt;=1181,2,1))))&gt;0, IF(IF(INDEX(ERP資料!$G:$G, (MATCH(376, 輔助計算!$G$2:$G$801, 0)+1))&lt;100, IF(INDEX(ERP資料!$G:$G, (MATCH(376, 輔助計算!$G$2:$G$801, 0)+1))&lt;=31,3,IF(INDEX(ERP資料!$G:$G, (MATCH(376, 輔助計算!$G$2:$G$801, 0)+1))&lt;=46.5,2,1)), IF(INDEX(ERP資料!$G:$G, (MATCH(376, 輔助計算!$G$2:$G$801, 0)+1))&lt;=790,3,IF(INDEX(ERP資料!$G:$G, (MATCH(376, 輔助計算!$G$2:$G$801, 0)+1))&lt;=1181,2,1)))=1,TEXT(INDEX(ERP資料!$G:$G, (MATCH(376, 輔助計算!$G$2:$G$801, 0)+1)),"0.##"),IF(IF(INDEX(ERP資料!$G:$G, (MATCH(376, 輔助計算!$G$2:$G$801, 0)+1))&lt;100, IF(INDEX(ERP資料!$G:$G, (MATCH(376, 輔助計算!$G$2:$G$801, 0)+1))&lt;=31,3,IF(INDEX(ERP資料!$G:$G, (MATCH(376, 輔助計算!$G$2:$G$801, 0)+1))&lt;=46.5,2,1)), IF(INDEX(ERP資料!$G:$G, (MATCH(376, 輔助計算!$G$2:$G$801, 0)+1))&lt;=790,3,IF(INDEX(ERP資料!$G:$G, (MATCH(376, 輔助計算!$G$2:$G$801, 0)+1))&lt;=1181,2,1)))=2,TEXT(INDEX(ERP資料!$G:$G, (MATCH(376, 輔助計算!$G$2:$G$801, 0)+1)),"0.##")&amp;"+"&amp;TEXT(INDEX(ERP資料!$G:$G, (MATCH(376, 輔助計算!$G$2:$G$801, 0)+1)),"0.##"),TEXT(INDEX(ERP資料!$G:$G, (MATCH(376, 輔助計算!$G$2:$G$801, 0)+1)),"0.##")&amp;"+"&amp;TEXT(INDEX(ERP資料!$G:$G, (MATCH(376, 輔助計算!$G$2:$G$801, 0)+1)),"0.##")&amp;"+"&amp;TEXT(INDEX(ERP資料!$G:$G, (MATCH(376, 輔助計算!$G$2:$G$801, 0)+1)),"0.##")))&amp;"-"&amp;INT(INDEX(輔助計算!$D:$D, (MATCH(376, 輔助計算!$G$2:$G$801, 0)+1))/IF(INDEX(ERP資料!$G:$G, (MATCH(376, 輔助計算!$G$2:$G$801, 0)+1))&lt;100, IF(INDEX(ERP資料!$G:$G, (MATCH(376, 輔助計算!$G$2:$G$801, 0)+1))&lt;=31,3,IF(INDEX(ERP資料!$G:$G, (MATCH(376, 輔助計算!$G$2:$G$801, 0)+1))&lt;=46.5,2,1)), IF(INDEX(ERP資料!$G:$G, (MATCH(376, 輔助計算!$G$2:$G$801, 0)+1))&lt;=790,3,IF(INDEX(ERP資料!$G:$G, (MATCH(376, 輔助計算!$G$2:$G$801, 0)+1))&lt;=1181,2,1)))), "")&lt;&gt;"",IF(MOD(INDEX(輔助計算!$D:$D, (MATCH(376, 輔助計算!$G$2:$G$801, 0)+1)),IF(INDEX(ERP資料!$G:$G, (MATCH(376, 輔助計算!$G$2:$G$801, 0)+1))&lt;100, IF(INDEX(ERP資料!$G:$G, (MATCH(376, 輔助計算!$G$2:$G$801, 0)+1))&lt;=31,3,IF(INDEX(ERP資料!$G:$G, (MATCH(376, 輔助計算!$G$2:$G$801, 0)+1))&lt;=46.5,2,1)), IF(INDEX(ERP資料!$G:$G, (MATCH(376, 輔助計算!$G$2:$G$801, 0)+1))&lt;=790,3,IF(INDEX(ERP資料!$G:$G, (MATCH(376, 輔助計算!$G$2:$G$801, 0)+1))&lt;=1181,2,1))))=0,"",IF(MOD(INDEX(輔助計算!$D:$D, (MATCH(376, 輔助計算!$G$2:$G$801, 0)+1)),IF(INDEX(ERP資料!$G:$G, (MATCH(376, 輔助計算!$G$2:$G$801, 0)+1))&lt;100, IF(INDEX(ERP資料!$G:$G, (MATCH(376, 輔助計算!$G$2:$G$801, 0)+1))&lt;=31,3,IF(INDEX(ERP資料!$G:$G, (MATCH(376, 輔助計算!$G$2:$G$801, 0)+1))&lt;=46.5,2,1)), IF(INDEX(ERP資料!$G:$G, (MATCH(376, 輔助計算!$G$2:$G$801, 0)+1))&lt;=790,3,IF(INDEX(ERP資料!$G:$G, (MATCH(376, 輔助計算!$G$2:$G$801, 0)+1))&lt;=1181,2,1))))=0,"",IF(MOD(INDEX(輔助計算!$D:$D, (MATCH(376, 輔助計算!$G$2:$G$801, 0)+1)),IF(INDEX(ERP資料!$G:$G, (MATCH(376, 輔助計算!$G$2:$G$801, 0)+1))&lt;100, IF(INDEX(ERP資料!$G:$G, (MATCH(376, 輔助計算!$G$2:$G$801, 0)+1))&lt;=31,3,IF(INDEX(ERP資料!$G:$G, (MATCH(376, 輔助計算!$G$2:$G$801, 0)+1))&lt;=46.5,2,1)), IF(INDEX(ERP資料!$G:$G, (MATCH(376, 輔助計算!$G$2:$G$801, 0)+1))&lt;=790,3,IF(INDEX(ERP資料!$G:$G, (MATCH(376, 輔助計算!$G$2:$G$801, 0)+1))&lt;=1181,2,1))))=1,TEXT(INDEX(ERP資料!$G:$G, (MATCH(376, 輔助計算!$G$2:$G$801, 0)+1)),"0.##"),IF(MOD(INDEX(輔助計算!$D:$D, (MATCH(376, 輔助計算!$G$2:$G$801, 0)+1)),IF(INDEX(ERP資料!$G:$G, (MATCH(376, 輔助計算!$G$2:$G$801, 0)+1))&lt;100, IF(INDEX(ERP資料!$G:$G, (MATCH(376, 輔助計算!$G$2:$G$801, 0)+1))&lt;=31,3,IF(INDEX(ERP資料!$G:$G, (MATCH(376, 輔助計算!$G$2:$G$801, 0)+1))&lt;=46.5,2,1)), IF(INDEX(ERP資料!$G:$G, (MATCH(376, 輔助計算!$G$2:$G$801, 0)+1))&lt;=790,3,IF(INDEX(ERP資料!$G:$G, (MATCH(376, 輔助計算!$G$2:$G$801, 0)+1))&lt;=1181,2,1))))=2,TEXT(INDEX(ERP資料!$G:$G, (MATCH(376, 輔助計算!$G$2:$G$801, 0)+1)),"0.##")&amp;"+"&amp;TEXT(INDEX(ERP資料!$G:$G, (MATCH(376, 輔助計算!$G$2:$G$801, 0)+1)),"0.##"),TEXT(INDEX(ERP資料!$G:$G, (MATCH(376, 輔助計算!$G$2:$G$801, 0)+1)),"0.##")&amp;"+"&amp;TEXT(INDEX(ERP資料!$G:$G, (MATCH(376, 輔助計算!$G$2:$G$801, 0)+1)),"0.##")&amp;"+"&amp;TEXT(INDEX(ERP資料!$G:$G, (MATCH(376, 輔助計算!$G$2:$G$801, 0)+1)),"0.##"))))&amp;"-1")&lt;&gt;""),"  ","")&amp;IF(MOD(INDEX(輔助計算!$D:$D, (MATCH(376, 輔助計算!$G$2:$G$801, 0)+1)),IF(INDEX(ERP資料!$G:$G, (MATCH(376, 輔助計算!$G$2:$G$801, 0)+1))&lt;100, IF(INDEX(ERP資料!$G:$G, (MATCH(376, 輔助計算!$G$2:$G$801, 0)+1))&lt;=31,3,IF(INDEX(ERP資料!$G:$G, (MATCH(376, 輔助計算!$G$2:$G$801, 0)+1))&lt;=46.5,2,1)), IF(INDEX(ERP資料!$G:$G, (MATCH(376, 輔助計算!$G$2:$G$801, 0)+1))&lt;=790,3,IF(INDEX(ERP資料!$G:$G, (MATCH(376, 輔助計算!$G$2:$G$801, 0)+1))&lt;=1181,2,1))))=0,"",IF(MOD(INDEX(輔助計算!$D:$D, (MATCH(376, 輔助計算!$G$2:$G$801, 0)+1)),IF(INDEX(ERP資料!$G:$G, (MATCH(376, 輔助計算!$G$2:$G$801, 0)+1))&lt;100, IF(INDEX(ERP資料!$G:$G, (MATCH(376, 輔助計算!$G$2:$G$801, 0)+1))&lt;=31,3,IF(INDEX(ERP資料!$G:$G, (MATCH(376, 輔助計算!$G$2:$G$801, 0)+1))&lt;=46.5,2,1)), IF(INDEX(ERP資料!$G:$G, (MATCH(376, 輔助計算!$G$2:$G$801, 0)+1))&lt;=790,3,IF(INDEX(ERP資料!$G:$G, (MATCH(376, 輔助計算!$G$2:$G$801, 0)+1))&lt;=1181,2,1))))=0,"",IF(MOD(INDEX(輔助計算!$D:$D, (MATCH(376, 輔助計算!$G$2:$G$801, 0)+1)),IF(INDEX(ERP資料!$G:$G, (MATCH(376, 輔助計算!$G$2:$G$801, 0)+1))&lt;100, IF(INDEX(ERP資料!$G:$G, (MATCH(376, 輔助計算!$G$2:$G$801, 0)+1))&lt;=31,3,IF(INDEX(ERP資料!$G:$G, (MATCH(376, 輔助計算!$G$2:$G$801, 0)+1))&lt;=46.5,2,1)), IF(INDEX(ERP資料!$G:$G, (MATCH(376, 輔助計算!$G$2:$G$801, 0)+1))&lt;=790,3,IF(INDEX(ERP資料!$G:$G, (MATCH(376, 輔助計算!$G$2:$G$801, 0)+1))&lt;=1181,2,1))))=1,TEXT(INDEX(ERP資料!$G:$G, (MATCH(376, 輔助計算!$G$2:$G$801, 0)+1)),"0.##"),IF(MOD(INDEX(輔助計算!$D:$D, (MATCH(376, 輔助計算!$G$2:$G$801, 0)+1)),IF(INDEX(ERP資料!$G:$G, (MATCH(376, 輔助計算!$G$2:$G$801, 0)+1))&lt;100, IF(INDEX(ERP資料!$G:$G, (MATCH(376, 輔助計算!$G$2:$G$801, 0)+1))&lt;=31,3,IF(INDEX(ERP資料!$G:$G, (MATCH(376, 輔助計算!$G$2:$G$801, 0)+1))&lt;=46.5,2,1)), IF(INDEX(ERP資料!$G:$G, (MATCH(376, 輔助計算!$G$2:$G$801, 0)+1))&lt;=790,3,IF(INDEX(ERP資料!$G:$G, (MATCH(376, 輔助計算!$G$2:$G$801, 0)+1))&lt;=1181,2,1))))=2,TEXT(INDEX(ERP資料!$G:$G, (MATCH(376, 輔助計算!$G$2:$G$801, 0)+1)),"0.##")&amp;"+"&amp;TEXT(INDEX(ERP資料!$G:$G, (MATCH(376, 輔助計算!$G$2:$G$801, 0)+1)),"0.##"),TEXT(INDEX(ERP資料!$G:$G, (MATCH(376, 輔助計算!$G$2:$G$801, 0)+1)),"0.##")&amp;"+"&amp;TEXT(INDEX(ERP資料!$G:$G, (MATCH(376, 輔助計算!$G$2:$G$801, 0)+1)),"0.##")&amp;"+"&amp;TEXT(INDEX(ERP資料!$G:$G, (MATCH(376, 輔助計算!$G$2:$G$801, 0)+1)),"0.##"))))&amp;"-1")), ""), "")</f>
        <v/>
      </c>
      <c r="K377" s="16" t="n"/>
      <c r="L377" s="14">
        <f>IFERROR(IF(AND(IFERROR(INDEX(ERP資料!$A:$A, (MATCH(376, 輔助計算!$G$2:$G$801, 0)+1)), "")&lt;&gt;"", IFERROR(INDEX(ERP資料!$A:$A, (MATCH(376, 輔助計算!$G$2:$G$801, 0)+1)), "")&lt;&gt;IFERROR(INDEX(ERP資料!$A:$A, MATCH(375, 輔助計算!$G$2:$G$801, 0)+1), "")), INDEX(ERP資料!$B:$B, (MATCH(376, 輔助計算!$G$2:$G$801, 0)+1)), ""), "")</f>
        <v/>
      </c>
      <c r="M377" s="17" t="n"/>
    </row>
    <row r="378">
      <c r="A378" s="10">
        <f>IFERROR(IF(AND(IFERROR(INDEX(ERP資料!$A:$A, (MATCH(377, 輔助計算!$G$2:$G$801, 0)+1)), "")&lt;&gt;"", IFERROR(INDEX(ERP資料!$A:$A, (MATCH(377, 輔助計算!$G$2:$G$801, 0)+1)), "")&lt;&gt;IFERROR(INDEX(ERP資料!$A:$A, MATCH(376, 輔助計算!$G$2:$G$801, 0)+1), "")), IFERROR(INDEX(ERP資料!$A:$A, (MATCH(377, 輔助計算!$G$2:$G$801, 0)+1)), ""), ""), "")</f>
        <v/>
      </c>
      <c r="B378" s="10">
        <f>IFERROR(IF(AND(IFERROR(INDEX(ERP資料!$A:$A, (MATCH(377, 輔助計算!$G$2:$G$801, 0)+1)), "")&lt;&gt;"", IFERROR(INDEX(ERP資料!$A:$A, (MATCH(377, 輔助計算!$G$2:$G$801, 0)+1)), "")&lt;&gt;IFERROR(INDEX(ERP資料!$A:$A, MATCH(376, 輔助計算!$G$2:$G$801, 0)+1), "")), INDEX(ERP資料!$S:$S, (MATCH(377, 輔助計算!$G$2:$G$801, 0)+1)), ""), "")</f>
        <v/>
      </c>
      <c r="C378" s="19">
        <f>IFERROR(IF(AND(IFERROR(INDEX(ERP資料!$A:$A, (MATCH(377, 輔助計算!$G$2:$G$801, 0)+1)), "")&lt;&gt;"", IFERROR(INDEX(ERP資料!$A:$A, (MATCH(377, 輔助計算!$G$2:$G$801, 0)+1)), "")&lt;&gt;IFERROR(INDEX(ERP資料!$A:$A, MATCH(376, 輔助計算!$G$2:$G$801, 0)+1), "")), IFERROR(VLOOKUP(LEFT(INDEX(ERP資料!$S:$S, (MATCH(377, 輔助計算!$G$2:$G$801, 0)+1)), 4), 紙管對照表!$A:$C, 3, FALSE), ""), ""), "")</f>
        <v/>
      </c>
      <c r="D378" s="16" t="n"/>
      <c r="E378" s="10">
        <f>IFERROR(IF(INDEX(ERP資料!$H:$H, (MATCH(377, 輔助計算!$G$2:$G$801, 0)+1))="","",INDEX(ERP資料!$H:$H, (MATCH(377, 輔助計算!$G$2:$G$801, 0)+1))), "")</f>
        <v/>
      </c>
      <c r="F378" s="10">
        <f>IFERROR(IF(INDEX(ERP資料!$E:$E, (MATCH(377, 輔助計算!$G$2:$G$801, 0)+1))="","",TRIM(INDEX(ERP資料!$E:$E, (MATCH(377, 輔助計算!$G$2:$G$801, 0)+1)))), "")</f>
        <v/>
      </c>
      <c r="G378" s="10">
        <f>IFERROR(IF(INDEX(ERP資料!$F:$F, (MATCH(377, 輔助計算!$G$2:$G$801, 0)+1))="","",INDEX(ERP資料!$F:$F, (MATCH(377, 輔助計算!$G$2:$G$801, 0)+1))), "")</f>
        <v/>
      </c>
      <c r="H378" s="10">
        <f>IFERROR(IF(INDEX(ERP資料!$G:$G, (MATCH(377, 輔助計算!$G$2:$G$801, 0)+1))="","",INDEX(ERP資料!$G:$G, (MATCH(377, 輔助計算!$G$2:$G$801, 0)+1))), "")</f>
        <v/>
      </c>
      <c r="I378" s="15">
        <f>IFERROR(INDEX(輔助計算!$D:$D, (MATCH(377, 輔助計算!$G$2:$G$801, 0)+1)), "")</f>
        <v/>
      </c>
      <c r="J378" s="15">
        <f>IFERROR(IF(AND(INDEX(輔助計算!$D:$D, (MATCH(377, 輔助計算!$G$2:$G$801, 0)+1))&lt;&gt;"", INDEX(ERP資料!$G:$G, (MATCH(377, 輔助計算!$G$2:$G$801, 0)+1))&lt;&gt;""), TRIM(IF(INT(INDEX(輔助計算!$D:$D, (MATCH(377, 輔助計算!$G$2:$G$801, 0)+1))/IF(INDEX(ERP資料!$G:$G, (MATCH(377, 輔助計算!$G$2:$G$801, 0)+1))&lt;100, IF(INDEX(ERP資料!$G:$G, (MATCH(377, 輔助計算!$G$2:$G$801, 0)+1))&lt;=31,3,IF(INDEX(ERP資料!$G:$G, (MATCH(377, 輔助計算!$G$2:$G$801, 0)+1))&lt;=46.5,2,1)), IF(INDEX(ERP資料!$G:$G, (MATCH(377, 輔助計算!$G$2:$G$801, 0)+1))&lt;=790,3,IF(INDEX(ERP資料!$G:$G, (MATCH(377, 輔助計算!$G$2:$G$801, 0)+1))&lt;=1181,2,1))))&gt;0, IF(IF(INDEX(ERP資料!$G:$G, (MATCH(377, 輔助計算!$G$2:$G$801, 0)+1))&lt;100, IF(INDEX(ERP資料!$G:$G, (MATCH(377, 輔助計算!$G$2:$G$801, 0)+1))&lt;=31,3,IF(INDEX(ERP資料!$G:$G, (MATCH(377, 輔助計算!$G$2:$G$801, 0)+1))&lt;=46.5,2,1)), IF(INDEX(ERP資料!$G:$G, (MATCH(377, 輔助計算!$G$2:$G$801, 0)+1))&lt;=790,3,IF(INDEX(ERP資料!$G:$G, (MATCH(377, 輔助計算!$G$2:$G$801, 0)+1))&lt;=1181,2,1)))=1,TEXT(INDEX(ERP資料!$G:$G, (MATCH(377, 輔助計算!$G$2:$G$801, 0)+1)),"0.##"),IF(IF(INDEX(ERP資料!$G:$G, (MATCH(377, 輔助計算!$G$2:$G$801, 0)+1))&lt;100, IF(INDEX(ERP資料!$G:$G, (MATCH(377, 輔助計算!$G$2:$G$801, 0)+1))&lt;=31,3,IF(INDEX(ERP資料!$G:$G, (MATCH(377, 輔助計算!$G$2:$G$801, 0)+1))&lt;=46.5,2,1)), IF(INDEX(ERP資料!$G:$G, (MATCH(377, 輔助計算!$G$2:$G$801, 0)+1))&lt;=790,3,IF(INDEX(ERP資料!$G:$G, (MATCH(377, 輔助計算!$G$2:$G$801, 0)+1))&lt;=1181,2,1)))=2,TEXT(INDEX(ERP資料!$G:$G, (MATCH(377, 輔助計算!$G$2:$G$801, 0)+1)),"0.##")&amp;"+"&amp;TEXT(INDEX(ERP資料!$G:$G, (MATCH(377, 輔助計算!$G$2:$G$801, 0)+1)),"0.##"),TEXT(INDEX(ERP資料!$G:$G, (MATCH(377, 輔助計算!$G$2:$G$801, 0)+1)),"0.##")&amp;"+"&amp;TEXT(INDEX(ERP資料!$G:$G, (MATCH(377, 輔助計算!$G$2:$G$801, 0)+1)),"0.##")&amp;"+"&amp;TEXT(INDEX(ERP資料!$G:$G, (MATCH(377, 輔助計算!$G$2:$G$801, 0)+1)),"0.##")))&amp;"-"&amp;INT(INDEX(輔助計算!$D:$D, (MATCH(377, 輔助計算!$G$2:$G$801, 0)+1))/IF(INDEX(ERP資料!$G:$G, (MATCH(377, 輔助計算!$G$2:$G$801, 0)+1))&lt;100, IF(INDEX(ERP資料!$G:$G, (MATCH(377, 輔助計算!$G$2:$G$801, 0)+1))&lt;=31,3,IF(INDEX(ERP資料!$G:$G, (MATCH(377, 輔助計算!$G$2:$G$801, 0)+1))&lt;=46.5,2,1)), IF(INDEX(ERP資料!$G:$G, (MATCH(377, 輔助計算!$G$2:$G$801, 0)+1))&lt;=790,3,IF(INDEX(ERP資料!$G:$G, (MATCH(377, 輔助計算!$G$2:$G$801, 0)+1))&lt;=1181,2,1)))), "")&amp;IF(AND(IF(INT(INDEX(輔助計算!$D:$D, (MATCH(377, 輔助計算!$G$2:$G$801, 0)+1))/IF(INDEX(ERP資料!$G:$G, (MATCH(377, 輔助計算!$G$2:$G$801, 0)+1))&lt;100, IF(INDEX(ERP資料!$G:$G, (MATCH(377, 輔助計算!$G$2:$G$801, 0)+1))&lt;=31,3,IF(INDEX(ERP資料!$G:$G, (MATCH(377, 輔助計算!$G$2:$G$801, 0)+1))&lt;=46.5,2,1)), IF(INDEX(ERP資料!$G:$G, (MATCH(377, 輔助計算!$G$2:$G$801, 0)+1))&lt;=790,3,IF(INDEX(ERP資料!$G:$G, (MATCH(377, 輔助計算!$G$2:$G$801, 0)+1))&lt;=1181,2,1))))&gt;0, IF(IF(INDEX(ERP資料!$G:$G, (MATCH(377, 輔助計算!$G$2:$G$801, 0)+1))&lt;100, IF(INDEX(ERP資料!$G:$G, (MATCH(377, 輔助計算!$G$2:$G$801, 0)+1))&lt;=31,3,IF(INDEX(ERP資料!$G:$G, (MATCH(377, 輔助計算!$G$2:$G$801, 0)+1))&lt;=46.5,2,1)), IF(INDEX(ERP資料!$G:$G, (MATCH(377, 輔助計算!$G$2:$G$801, 0)+1))&lt;=790,3,IF(INDEX(ERP資料!$G:$G, (MATCH(377, 輔助計算!$G$2:$G$801, 0)+1))&lt;=1181,2,1)))=1,TEXT(INDEX(ERP資料!$G:$G, (MATCH(377, 輔助計算!$G$2:$G$801, 0)+1)),"0.##"),IF(IF(INDEX(ERP資料!$G:$G, (MATCH(377, 輔助計算!$G$2:$G$801, 0)+1))&lt;100, IF(INDEX(ERP資料!$G:$G, (MATCH(377, 輔助計算!$G$2:$G$801, 0)+1))&lt;=31,3,IF(INDEX(ERP資料!$G:$G, (MATCH(377, 輔助計算!$G$2:$G$801, 0)+1))&lt;=46.5,2,1)), IF(INDEX(ERP資料!$G:$G, (MATCH(377, 輔助計算!$G$2:$G$801, 0)+1))&lt;=790,3,IF(INDEX(ERP資料!$G:$G, (MATCH(377, 輔助計算!$G$2:$G$801, 0)+1))&lt;=1181,2,1)))=2,TEXT(INDEX(ERP資料!$G:$G, (MATCH(377, 輔助計算!$G$2:$G$801, 0)+1)),"0.##")&amp;"+"&amp;TEXT(INDEX(ERP資料!$G:$G, (MATCH(377, 輔助計算!$G$2:$G$801, 0)+1)),"0.##"),TEXT(INDEX(ERP資料!$G:$G, (MATCH(377, 輔助計算!$G$2:$G$801, 0)+1)),"0.##")&amp;"+"&amp;TEXT(INDEX(ERP資料!$G:$G, (MATCH(377, 輔助計算!$G$2:$G$801, 0)+1)),"0.##")&amp;"+"&amp;TEXT(INDEX(ERP資料!$G:$G, (MATCH(377, 輔助計算!$G$2:$G$801, 0)+1)),"0.##")))&amp;"-"&amp;INT(INDEX(輔助計算!$D:$D, (MATCH(377, 輔助計算!$G$2:$G$801, 0)+1))/IF(INDEX(ERP資料!$G:$G, (MATCH(377, 輔助計算!$G$2:$G$801, 0)+1))&lt;100, IF(INDEX(ERP資料!$G:$G, (MATCH(377, 輔助計算!$G$2:$G$801, 0)+1))&lt;=31,3,IF(INDEX(ERP資料!$G:$G, (MATCH(377, 輔助計算!$G$2:$G$801, 0)+1))&lt;=46.5,2,1)), IF(INDEX(ERP資料!$G:$G, (MATCH(377, 輔助計算!$G$2:$G$801, 0)+1))&lt;=790,3,IF(INDEX(ERP資料!$G:$G, (MATCH(377, 輔助計算!$G$2:$G$801, 0)+1))&lt;=1181,2,1)))), "")&lt;&gt;"",IF(MOD(INDEX(輔助計算!$D:$D, (MATCH(377, 輔助計算!$G$2:$G$801, 0)+1)),IF(INDEX(ERP資料!$G:$G, (MATCH(377, 輔助計算!$G$2:$G$801, 0)+1))&lt;100, IF(INDEX(ERP資料!$G:$G, (MATCH(377, 輔助計算!$G$2:$G$801, 0)+1))&lt;=31,3,IF(INDEX(ERP資料!$G:$G, (MATCH(377, 輔助計算!$G$2:$G$801, 0)+1))&lt;=46.5,2,1)), IF(INDEX(ERP資料!$G:$G, (MATCH(377, 輔助計算!$G$2:$G$801, 0)+1))&lt;=790,3,IF(INDEX(ERP資料!$G:$G, (MATCH(377, 輔助計算!$G$2:$G$801, 0)+1))&lt;=1181,2,1))))=0,"",IF(MOD(INDEX(輔助計算!$D:$D, (MATCH(377, 輔助計算!$G$2:$G$801, 0)+1)),IF(INDEX(ERP資料!$G:$G, (MATCH(377, 輔助計算!$G$2:$G$801, 0)+1))&lt;100, IF(INDEX(ERP資料!$G:$G, (MATCH(377, 輔助計算!$G$2:$G$801, 0)+1))&lt;=31,3,IF(INDEX(ERP資料!$G:$G, (MATCH(377, 輔助計算!$G$2:$G$801, 0)+1))&lt;=46.5,2,1)), IF(INDEX(ERP資料!$G:$G, (MATCH(377, 輔助計算!$G$2:$G$801, 0)+1))&lt;=790,3,IF(INDEX(ERP資料!$G:$G, (MATCH(377, 輔助計算!$G$2:$G$801, 0)+1))&lt;=1181,2,1))))=0,"",IF(MOD(INDEX(輔助計算!$D:$D, (MATCH(377, 輔助計算!$G$2:$G$801, 0)+1)),IF(INDEX(ERP資料!$G:$G, (MATCH(377, 輔助計算!$G$2:$G$801, 0)+1))&lt;100, IF(INDEX(ERP資料!$G:$G, (MATCH(377, 輔助計算!$G$2:$G$801, 0)+1))&lt;=31,3,IF(INDEX(ERP資料!$G:$G, (MATCH(377, 輔助計算!$G$2:$G$801, 0)+1))&lt;=46.5,2,1)), IF(INDEX(ERP資料!$G:$G, (MATCH(377, 輔助計算!$G$2:$G$801, 0)+1))&lt;=790,3,IF(INDEX(ERP資料!$G:$G, (MATCH(377, 輔助計算!$G$2:$G$801, 0)+1))&lt;=1181,2,1))))=1,TEXT(INDEX(ERP資料!$G:$G, (MATCH(377, 輔助計算!$G$2:$G$801, 0)+1)),"0.##"),IF(MOD(INDEX(輔助計算!$D:$D, (MATCH(377, 輔助計算!$G$2:$G$801, 0)+1)),IF(INDEX(ERP資料!$G:$G, (MATCH(377, 輔助計算!$G$2:$G$801, 0)+1))&lt;100, IF(INDEX(ERP資料!$G:$G, (MATCH(377, 輔助計算!$G$2:$G$801, 0)+1))&lt;=31,3,IF(INDEX(ERP資料!$G:$G, (MATCH(377, 輔助計算!$G$2:$G$801, 0)+1))&lt;=46.5,2,1)), IF(INDEX(ERP資料!$G:$G, (MATCH(377, 輔助計算!$G$2:$G$801, 0)+1))&lt;=790,3,IF(INDEX(ERP資料!$G:$G, (MATCH(377, 輔助計算!$G$2:$G$801, 0)+1))&lt;=1181,2,1))))=2,TEXT(INDEX(ERP資料!$G:$G, (MATCH(377, 輔助計算!$G$2:$G$801, 0)+1)),"0.##")&amp;"+"&amp;TEXT(INDEX(ERP資料!$G:$G, (MATCH(377, 輔助計算!$G$2:$G$801, 0)+1)),"0.##"),TEXT(INDEX(ERP資料!$G:$G, (MATCH(377, 輔助計算!$G$2:$G$801, 0)+1)),"0.##")&amp;"+"&amp;TEXT(INDEX(ERP資料!$G:$G, (MATCH(377, 輔助計算!$G$2:$G$801, 0)+1)),"0.##")&amp;"+"&amp;TEXT(INDEX(ERP資料!$G:$G, (MATCH(377, 輔助計算!$G$2:$G$801, 0)+1)),"0.##"))))&amp;"-1")&lt;&gt;""),"  ","")&amp;IF(MOD(INDEX(輔助計算!$D:$D, (MATCH(377, 輔助計算!$G$2:$G$801, 0)+1)),IF(INDEX(ERP資料!$G:$G, (MATCH(377, 輔助計算!$G$2:$G$801, 0)+1))&lt;100, IF(INDEX(ERP資料!$G:$G, (MATCH(377, 輔助計算!$G$2:$G$801, 0)+1))&lt;=31,3,IF(INDEX(ERP資料!$G:$G, (MATCH(377, 輔助計算!$G$2:$G$801, 0)+1))&lt;=46.5,2,1)), IF(INDEX(ERP資料!$G:$G, (MATCH(377, 輔助計算!$G$2:$G$801, 0)+1))&lt;=790,3,IF(INDEX(ERP資料!$G:$G, (MATCH(377, 輔助計算!$G$2:$G$801, 0)+1))&lt;=1181,2,1))))=0,"",IF(MOD(INDEX(輔助計算!$D:$D, (MATCH(377, 輔助計算!$G$2:$G$801, 0)+1)),IF(INDEX(ERP資料!$G:$G, (MATCH(377, 輔助計算!$G$2:$G$801, 0)+1))&lt;100, IF(INDEX(ERP資料!$G:$G, (MATCH(377, 輔助計算!$G$2:$G$801, 0)+1))&lt;=31,3,IF(INDEX(ERP資料!$G:$G, (MATCH(377, 輔助計算!$G$2:$G$801, 0)+1))&lt;=46.5,2,1)), IF(INDEX(ERP資料!$G:$G, (MATCH(377, 輔助計算!$G$2:$G$801, 0)+1))&lt;=790,3,IF(INDEX(ERP資料!$G:$G, (MATCH(377, 輔助計算!$G$2:$G$801, 0)+1))&lt;=1181,2,1))))=0,"",IF(MOD(INDEX(輔助計算!$D:$D, (MATCH(377, 輔助計算!$G$2:$G$801, 0)+1)),IF(INDEX(ERP資料!$G:$G, (MATCH(377, 輔助計算!$G$2:$G$801, 0)+1))&lt;100, IF(INDEX(ERP資料!$G:$G, (MATCH(377, 輔助計算!$G$2:$G$801, 0)+1))&lt;=31,3,IF(INDEX(ERP資料!$G:$G, (MATCH(377, 輔助計算!$G$2:$G$801, 0)+1))&lt;=46.5,2,1)), IF(INDEX(ERP資料!$G:$G, (MATCH(377, 輔助計算!$G$2:$G$801, 0)+1))&lt;=790,3,IF(INDEX(ERP資料!$G:$G, (MATCH(377, 輔助計算!$G$2:$G$801, 0)+1))&lt;=1181,2,1))))=1,TEXT(INDEX(ERP資料!$G:$G, (MATCH(377, 輔助計算!$G$2:$G$801, 0)+1)),"0.##"),IF(MOD(INDEX(輔助計算!$D:$D, (MATCH(377, 輔助計算!$G$2:$G$801, 0)+1)),IF(INDEX(ERP資料!$G:$G, (MATCH(377, 輔助計算!$G$2:$G$801, 0)+1))&lt;100, IF(INDEX(ERP資料!$G:$G, (MATCH(377, 輔助計算!$G$2:$G$801, 0)+1))&lt;=31,3,IF(INDEX(ERP資料!$G:$G, (MATCH(377, 輔助計算!$G$2:$G$801, 0)+1))&lt;=46.5,2,1)), IF(INDEX(ERP資料!$G:$G, (MATCH(377, 輔助計算!$G$2:$G$801, 0)+1))&lt;=790,3,IF(INDEX(ERP資料!$G:$G, (MATCH(377, 輔助計算!$G$2:$G$801, 0)+1))&lt;=1181,2,1))))=2,TEXT(INDEX(ERP資料!$G:$G, (MATCH(377, 輔助計算!$G$2:$G$801, 0)+1)),"0.##")&amp;"+"&amp;TEXT(INDEX(ERP資料!$G:$G, (MATCH(377, 輔助計算!$G$2:$G$801, 0)+1)),"0.##"),TEXT(INDEX(ERP資料!$G:$G, (MATCH(377, 輔助計算!$G$2:$G$801, 0)+1)),"0.##")&amp;"+"&amp;TEXT(INDEX(ERP資料!$G:$G, (MATCH(377, 輔助計算!$G$2:$G$801, 0)+1)),"0.##")&amp;"+"&amp;TEXT(INDEX(ERP資料!$G:$G, (MATCH(377, 輔助計算!$G$2:$G$801, 0)+1)),"0.##"))))&amp;"-1")), ""), "")</f>
        <v/>
      </c>
      <c r="K378" s="16" t="n"/>
      <c r="L378" s="14">
        <f>IFERROR(IF(AND(IFERROR(INDEX(ERP資料!$A:$A, (MATCH(377, 輔助計算!$G$2:$G$801, 0)+1)), "")&lt;&gt;"", IFERROR(INDEX(ERP資料!$A:$A, (MATCH(377, 輔助計算!$G$2:$G$801, 0)+1)), "")&lt;&gt;IFERROR(INDEX(ERP資料!$A:$A, MATCH(376, 輔助計算!$G$2:$G$801, 0)+1), "")), INDEX(ERP資料!$B:$B, (MATCH(377, 輔助計算!$G$2:$G$801, 0)+1)), ""), "")</f>
        <v/>
      </c>
      <c r="M378" s="17" t="n"/>
    </row>
    <row r="379">
      <c r="A379" s="10">
        <f>IFERROR(IF(AND(IFERROR(INDEX(ERP資料!$A:$A, (MATCH(378, 輔助計算!$G$2:$G$801, 0)+1)), "")&lt;&gt;"", IFERROR(INDEX(ERP資料!$A:$A, (MATCH(378, 輔助計算!$G$2:$G$801, 0)+1)), "")&lt;&gt;IFERROR(INDEX(ERP資料!$A:$A, MATCH(377, 輔助計算!$G$2:$G$801, 0)+1), "")), IFERROR(INDEX(ERP資料!$A:$A, (MATCH(378, 輔助計算!$G$2:$G$801, 0)+1)), ""), ""), "")</f>
        <v/>
      </c>
      <c r="B379" s="10">
        <f>IFERROR(IF(AND(IFERROR(INDEX(ERP資料!$A:$A, (MATCH(378, 輔助計算!$G$2:$G$801, 0)+1)), "")&lt;&gt;"", IFERROR(INDEX(ERP資料!$A:$A, (MATCH(378, 輔助計算!$G$2:$G$801, 0)+1)), "")&lt;&gt;IFERROR(INDEX(ERP資料!$A:$A, MATCH(377, 輔助計算!$G$2:$G$801, 0)+1), "")), INDEX(ERP資料!$S:$S, (MATCH(378, 輔助計算!$G$2:$G$801, 0)+1)), ""), "")</f>
        <v/>
      </c>
      <c r="C379" s="19">
        <f>IFERROR(IF(AND(IFERROR(INDEX(ERP資料!$A:$A, (MATCH(378, 輔助計算!$G$2:$G$801, 0)+1)), "")&lt;&gt;"", IFERROR(INDEX(ERP資料!$A:$A, (MATCH(378, 輔助計算!$G$2:$G$801, 0)+1)), "")&lt;&gt;IFERROR(INDEX(ERP資料!$A:$A, MATCH(377, 輔助計算!$G$2:$G$801, 0)+1), "")), IFERROR(VLOOKUP(LEFT(INDEX(ERP資料!$S:$S, (MATCH(378, 輔助計算!$G$2:$G$801, 0)+1)), 4), 紙管對照表!$A:$C, 3, FALSE), ""), ""), "")</f>
        <v/>
      </c>
      <c r="D379" s="16" t="n"/>
      <c r="E379" s="10">
        <f>IFERROR(IF(INDEX(ERP資料!$H:$H, (MATCH(378, 輔助計算!$G$2:$G$801, 0)+1))="","",INDEX(ERP資料!$H:$H, (MATCH(378, 輔助計算!$G$2:$G$801, 0)+1))), "")</f>
        <v/>
      </c>
      <c r="F379" s="10">
        <f>IFERROR(IF(INDEX(ERP資料!$E:$E, (MATCH(378, 輔助計算!$G$2:$G$801, 0)+1))="","",TRIM(INDEX(ERP資料!$E:$E, (MATCH(378, 輔助計算!$G$2:$G$801, 0)+1)))), "")</f>
        <v/>
      </c>
      <c r="G379" s="10">
        <f>IFERROR(IF(INDEX(ERP資料!$F:$F, (MATCH(378, 輔助計算!$G$2:$G$801, 0)+1))="","",INDEX(ERP資料!$F:$F, (MATCH(378, 輔助計算!$G$2:$G$801, 0)+1))), "")</f>
        <v/>
      </c>
      <c r="H379" s="10">
        <f>IFERROR(IF(INDEX(ERP資料!$G:$G, (MATCH(378, 輔助計算!$G$2:$G$801, 0)+1))="","",INDEX(ERP資料!$G:$G, (MATCH(378, 輔助計算!$G$2:$G$801, 0)+1))), "")</f>
        <v/>
      </c>
      <c r="I379" s="15">
        <f>IFERROR(INDEX(輔助計算!$D:$D, (MATCH(378, 輔助計算!$G$2:$G$801, 0)+1)), "")</f>
        <v/>
      </c>
      <c r="J379" s="15">
        <f>IFERROR(IF(AND(INDEX(輔助計算!$D:$D, (MATCH(378, 輔助計算!$G$2:$G$801, 0)+1))&lt;&gt;"", INDEX(ERP資料!$G:$G, (MATCH(378, 輔助計算!$G$2:$G$801, 0)+1))&lt;&gt;""), TRIM(IF(INT(INDEX(輔助計算!$D:$D, (MATCH(378, 輔助計算!$G$2:$G$801, 0)+1))/IF(INDEX(ERP資料!$G:$G, (MATCH(378, 輔助計算!$G$2:$G$801, 0)+1))&lt;100, IF(INDEX(ERP資料!$G:$G, (MATCH(378, 輔助計算!$G$2:$G$801, 0)+1))&lt;=31,3,IF(INDEX(ERP資料!$G:$G, (MATCH(378, 輔助計算!$G$2:$G$801, 0)+1))&lt;=46.5,2,1)), IF(INDEX(ERP資料!$G:$G, (MATCH(378, 輔助計算!$G$2:$G$801, 0)+1))&lt;=790,3,IF(INDEX(ERP資料!$G:$G, (MATCH(378, 輔助計算!$G$2:$G$801, 0)+1))&lt;=1181,2,1))))&gt;0, IF(IF(INDEX(ERP資料!$G:$G, (MATCH(378, 輔助計算!$G$2:$G$801, 0)+1))&lt;100, IF(INDEX(ERP資料!$G:$G, (MATCH(378, 輔助計算!$G$2:$G$801, 0)+1))&lt;=31,3,IF(INDEX(ERP資料!$G:$G, (MATCH(378, 輔助計算!$G$2:$G$801, 0)+1))&lt;=46.5,2,1)), IF(INDEX(ERP資料!$G:$G, (MATCH(378, 輔助計算!$G$2:$G$801, 0)+1))&lt;=790,3,IF(INDEX(ERP資料!$G:$G, (MATCH(378, 輔助計算!$G$2:$G$801, 0)+1))&lt;=1181,2,1)))=1,TEXT(INDEX(ERP資料!$G:$G, (MATCH(378, 輔助計算!$G$2:$G$801, 0)+1)),"0.##"),IF(IF(INDEX(ERP資料!$G:$G, (MATCH(378, 輔助計算!$G$2:$G$801, 0)+1))&lt;100, IF(INDEX(ERP資料!$G:$G, (MATCH(378, 輔助計算!$G$2:$G$801, 0)+1))&lt;=31,3,IF(INDEX(ERP資料!$G:$G, (MATCH(378, 輔助計算!$G$2:$G$801, 0)+1))&lt;=46.5,2,1)), IF(INDEX(ERP資料!$G:$G, (MATCH(378, 輔助計算!$G$2:$G$801, 0)+1))&lt;=790,3,IF(INDEX(ERP資料!$G:$G, (MATCH(378, 輔助計算!$G$2:$G$801, 0)+1))&lt;=1181,2,1)))=2,TEXT(INDEX(ERP資料!$G:$G, (MATCH(378, 輔助計算!$G$2:$G$801, 0)+1)),"0.##")&amp;"+"&amp;TEXT(INDEX(ERP資料!$G:$G, (MATCH(378, 輔助計算!$G$2:$G$801, 0)+1)),"0.##"),TEXT(INDEX(ERP資料!$G:$G, (MATCH(378, 輔助計算!$G$2:$G$801, 0)+1)),"0.##")&amp;"+"&amp;TEXT(INDEX(ERP資料!$G:$G, (MATCH(378, 輔助計算!$G$2:$G$801, 0)+1)),"0.##")&amp;"+"&amp;TEXT(INDEX(ERP資料!$G:$G, (MATCH(378, 輔助計算!$G$2:$G$801, 0)+1)),"0.##")))&amp;"-"&amp;INT(INDEX(輔助計算!$D:$D, (MATCH(378, 輔助計算!$G$2:$G$801, 0)+1))/IF(INDEX(ERP資料!$G:$G, (MATCH(378, 輔助計算!$G$2:$G$801, 0)+1))&lt;100, IF(INDEX(ERP資料!$G:$G, (MATCH(378, 輔助計算!$G$2:$G$801, 0)+1))&lt;=31,3,IF(INDEX(ERP資料!$G:$G, (MATCH(378, 輔助計算!$G$2:$G$801, 0)+1))&lt;=46.5,2,1)), IF(INDEX(ERP資料!$G:$G, (MATCH(378, 輔助計算!$G$2:$G$801, 0)+1))&lt;=790,3,IF(INDEX(ERP資料!$G:$G, (MATCH(378, 輔助計算!$G$2:$G$801, 0)+1))&lt;=1181,2,1)))), "")&amp;IF(AND(IF(INT(INDEX(輔助計算!$D:$D, (MATCH(378, 輔助計算!$G$2:$G$801, 0)+1))/IF(INDEX(ERP資料!$G:$G, (MATCH(378, 輔助計算!$G$2:$G$801, 0)+1))&lt;100, IF(INDEX(ERP資料!$G:$G, (MATCH(378, 輔助計算!$G$2:$G$801, 0)+1))&lt;=31,3,IF(INDEX(ERP資料!$G:$G, (MATCH(378, 輔助計算!$G$2:$G$801, 0)+1))&lt;=46.5,2,1)), IF(INDEX(ERP資料!$G:$G, (MATCH(378, 輔助計算!$G$2:$G$801, 0)+1))&lt;=790,3,IF(INDEX(ERP資料!$G:$G, (MATCH(378, 輔助計算!$G$2:$G$801, 0)+1))&lt;=1181,2,1))))&gt;0, IF(IF(INDEX(ERP資料!$G:$G, (MATCH(378, 輔助計算!$G$2:$G$801, 0)+1))&lt;100, IF(INDEX(ERP資料!$G:$G, (MATCH(378, 輔助計算!$G$2:$G$801, 0)+1))&lt;=31,3,IF(INDEX(ERP資料!$G:$G, (MATCH(378, 輔助計算!$G$2:$G$801, 0)+1))&lt;=46.5,2,1)), IF(INDEX(ERP資料!$G:$G, (MATCH(378, 輔助計算!$G$2:$G$801, 0)+1))&lt;=790,3,IF(INDEX(ERP資料!$G:$G, (MATCH(378, 輔助計算!$G$2:$G$801, 0)+1))&lt;=1181,2,1)))=1,TEXT(INDEX(ERP資料!$G:$G, (MATCH(378, 輔助計算!$G$2:$G$801, 0)+1)),"0.##"),IF(IF(INDEX(ERP資料!$G:$G, (MATCH(378, 輔助計算!$G$2:$G$801, 0)+1))&lt;100, IF(INDEX(ERP資料!$G:$G, (MATCH(378, 輔助計算!$G$2:$G$801, 0)+1))&lt;=31,3,IF(INDEX(ERP資料!$G:$G, (MATCH(378, 輔助計算!$G$2:$G$801, 0)+1))&lt;=46.5,2,1)), IF(INDEX(ERP資料!$G:$G, (MATCH(378, 輔助計算!$G$2:$G$801, 0)+1))&lt;=790,3,IF(INDEX(ERP資料!$G:$G, (MATCH(378, 輔助計算!$G$2:$G$801, 0)+1))&lt;=1181,2,1)))=2,TEXT(INDEX(ERP資料!$G:$G, (MATCH(378, 輔助計算!$G$2:$G$801, 0)+1)),"0.##")&amp;"+"&amp;TEXT(INDEX(ERP資料!$G:$G, (MATCH(378, 輔助計算!$G$2:$G$801, 0)+1)),"0.##"),TEXT(INDEX(ERP資料!$G:$G, (MATCH(378, 輔助計算!$G$2:$G$801, 0)+1)),"0.##")&amp;"+"&amp;TEXT(INDEX(ERP資料!$G:$G, (MATCH(378, 輔助計算!$G$2:$G$801, 0)+1)),"0.##")&amp;"+"&amp;TEXT(INDEX(ERP資料!$G:$G, (MATCH(378, 輔助計算!$G$2:$G$801, 0)+1)),"0.##")))&amp;"-"&amp;INT(INDEX(輔助計算!$D:$D, (MATCH(378, 輔助計算!$G$2:$G$801, 0)+1))/IF(INDEX(ERP資料!$G:$G, (MATCH(378, 輔助計算!$G$2:$G$801, 0)+1))&lt;100, IF(INDEX(ERP資料!$G:$G, (MATCH(378, 輔助計算!$G$2:$G$801, 0)+1))&lt;=31,3,IF(INDEX(ERP資料!$G:$G, (MATCH(378, 輔助計算!$G$2:$G$801, 0)+1))&lt;=46.5,2,1)), IF(INDEX(ERP資料!$G:$G, (MATCH(378, 輔助計算!$G$2:$G$801, 0)+1))&lt;=790,3,IF(INDEX(ERP資料!$G:$G, (MATCH(378, 輔助計算!$G$2:$G$801, 0)+1))&lt;=1181,2,1)))), "")&lt;&gt;"",IF(MOD(INDEX(輔助計算!$D:$D, (MATCH(378, 輔助計算!$G$2:$G$801, 0)+1)),IF(INDEX(ERP資料!$G:$G, (MATCH(378, 輔助計算!$G$2:$G$801, 0)+1))&lt;100, IF(INDEX(ERP資料!$G:$G, (MATCH(378, 輔助計算!$G$2:$G$801, 0)+1))&lt;=31,3,IF(INDEX(ERP資料!$G:$G, (MATCH(378, 輔助計算!$G$2:$G$801, 0)+1))&lt;=46.5,2,1)), IF(INDEX(ERP資料!$G:$G, (MATCH(378, 輔助計算!$G$2:$G$801, 0)+1))&lt;=790,3,IF(INDEX(ERP資料!$G:$G, (MATCH(378, 輔助計算!$G$2:$G$801, 0)+1))&lt;=1181,2,1))))=0,"",IF(MOD(INDEX(輔助計算!$D:$D, (MATCH(378, 輔助計算!$G$2:$G$801, 0)+1)),IF(INDEX(ERP資料!$G:$G, (MATCH(378, 輔助計算!$G$2:$G$801, 0)+1))&lt;100, IF(INDEX(ERP資料!$G:$G, (MATCH(378, 輔助計算!$G$2:$G$801, 0)+1))&lt;=31,3,IF(INDEX(ERP資料!$G:$G, (MATCH(378, 輔助計算!$G$2:$G$801, 0)+1))&lt;=46.5,2,1)), IF(INDEX(ERP資料!$G:$G, (MATCH(378, 輔助計算!$G$2:$G$801, 0)+1))&lt;=790,3,IF(INDEX(ERP資料!$G:$G, (MATCH(378, 輔助計算!$G$2:$G$801, 0)+1))&lt;=1181,2,1))))=0,"",IF(MOD(INDEX(輔助計算!$D:$D, (MATCH(378, 輔助計算!$G$2:$G$801, 0)+1)),IF(INDEX(ERP資料!$G:$G, (MATCH(378, 輔助計算!$G$2:$G$801, 0)+1))&lt;100, IF(INDEX(ERP資料!$G:$G, (MATCH(378, 輔助計算!$G$2:$G$801, 0)+1))&lt;=31,3,IF(INDEX(ERP資料!$G:$G, (MATCH(378, 輔助計算!$G$2:$G$801, 0)+1))&lt;=46.5,2,1)), IF(INDEX(ERP資料!$G:$G, (MATCH(378, 輔助計算!$G$2:$G$801, 0)+1))&lt;=790,3,IF(INDEX(ERP資料!$G:$G, (MATCH(378, 輔助計算!$G$2:$G$801, 0)+1))&lt;=1181,2,1))))=1,TEXT(INDEX(ERP資料!$G:$G, (MATCH(378, 輔助計算!$G$2:$G$801, 0)+1)),"0.##"),IF(MOD(INDEX(輔助計算!$D:$D, (MATCH(378, 輔助計算!$G$2:$G$801, 0)+1)),IF(INDEX(ERP資料!$G:$G, (MATCH(378, 輔助計算!$G$2:$G$801, 0)+1))&lt;100, IF(INDEX(ERP資料!$G:$G, (MATCH(378, 輔助計算!$G$2:$G$801, 0)+1))&lt;=31,3,IF(INDEX(ERP資料!$G:$G, (MATCH(378, 輔助計算!$G$2:$G$801, 0)+1))&lt;=46.5,2,1)), IF(INDEX(ERP資料!$G:$G, (MATCH(378, 輔助計算!$G$2:$G$801, 0)+1))&lt;=790,3,IF(INDEX(ERP資料!$G:$G, (MATCH(378, 輔助計算!$G$2:$G$801, 0)+1))&lt;=1181,2,1))))=2,TEXT(INDEX(ERP資料!$G:$G, (MATCH(378, 輔助計算!$G$2:$G$801, 0)+1)),"0.##")&amp;"+"&amp;TEXT(INDEX(ERP資料!$G:$G, (MATCH(378, 輔助計算!$G$2:$G$801, 0)+1)),"0.##"),TEXT(INDEX(ERP資料!$G:$G, (MATCH(378, 輔助計算!$G$2:$G$801, 0)+1)),"0.##")&amp;"+"&amp;TEXT(INDEX(ERP資料!$G:$G, (MATCH(378, 輔助計算!$G$2:$G$801, 0)+1)),"0.##")&amp;"+"&amp;TEXT(INDEX(ERP資料!$G:$G, (MATCH(378, 輔助計算!$G$2:$G$801, 0)+1)),"0.##"))))&amp;"-1")&lt;&gt;""),"  ","")&amp;IF(MOD(INDEX(輔助計算!$D:$D, (MATCH(378, 輔助計算!$G$2:$G$801, 0)+1)),IF(INDEX(ERP資料!$G:$G, (MATCH(378, 輔助計算!$G$2:$G$801, 0)+1))&lt;100, IF(INDEX(ERP資料!$G:$G, (MATCH(378, 輔助計算!$G$2:$G$801, 0)+1))&lt;=31,3,IF(INDEX(ERP資料!$G:$G, (MATCH(378, 輔助計算!$G$2:$G$801, 0)+1))&lt;=46.5,2,1)), IF(INDEX(ERP資料!$G:$G, (MATCH(378, 輔助計算!$G$2:$G$801, 0)+1))&lt;=790,3,IF(INDEX(ERP資料!$G:$G, (MATCH(378, 輔助計算!$G$2:$G$801, 0)+1))&lt;=1181,2,1))))=0,"",IF(MOD(INDEX(輔助計算!$D:$D, (MATCH(378, 輔助計算!$G$2:$G$801, 0)+1)),IF(INDEX(ERP資料!$G:$G, (MATCH(378, 輔助計算!$G$2:$G$801, 0)+1))&lt;100, IF(INDEX(ERP資料!$G:$G, (MATCH(378, 輔助計算!$G$2:$G$801, 0)+1))&lt;=31,3,IF(INDEX(ERP資料!$G:$G, (MATCH(378, 輔助計算!$G$2:$G$801, 0)+1))&lt;=46.5,2,1)), IF(INDEX(ERP資料!$G:$G, (MATCH(378, 輔助計算!$G$2:$G$801, 0)+1))&lt;=790,3,IF(INDEX(ERP資料!$G:$G, (MATCH(378, 輔助計算!$G$2:$G$801, 0)+1))&lt;=1181,2,1))))=0,"",IF(MOD(INDEX(輔助計算!$D:$D, (MATCH(378, 輔助計算!$G$2:$G$801, 0)+1)),IF(INDEX(ERP資料!$G:$G, (MATCH(378, 輔助計算!$G$2:$G$801, 0)+1))&lt;100, IF(INDEX(ERP資料!$G:$G, (MATCH(378, 輔助計算!$G$2:$G$801, 0)+1))&lt;=31,3,IF(INDEX(ERP資料!$G:$G, (MATCH(378, 輔助計算!$G$2:$G$801, 0)+1))&lt;=46.5,2,1)), IF(INDEX(ERP資料!$G:$G, (MATCH(378, 輔助計算!$G$2:$G$801, 0)+1))&lt;=790,3,IF(INDEX(ERP資料!$G:$G, (MATCH(378, 輔助計算!$G$2:$G$801, 0)+1))&lt;=1181,2,1))))=1,TEXT(INDEX(ERP資料!$G:$G, (MATCH(378, 輔助計算!$G$2:$G$801, 0)+1)),"0.##"),IF(MOD(INDEX(輔助計算!$D:$D, (MATCH(378, 輔助計算!$G$2:$G$801, 0)+1)),IF(INDEX(ERP資料!$G:$G, (MATCH(378, 輔助計算!$G$2:$G$801, 0)+1))&lt;100, IF(INDEX(ERP資料!$G:$G, (MATCH(378, 輔助計算!$G$2:$G$801, 0)+1))&lt;=31,3,IF(INDEX(ERP資料!$G:$G, (MATCH(378, 輔助計算!$G$2:$G$801, 0)+1))&lt;=46.5,2,1)), IF(INDEX(ERP資料!$G:$G, (MATCH(378, 輔助計算!$G$2:$G$801, 0)+1))&lt;=790,3,IF(INDEX(ERP資料!$G:$G, (MATCH(378, 輔助計算!$G$2:$G$801, 0)+1))&lt;=1181,2,1))))=2,TEXT(INDEX(ERP資料!$G:$G, (MATCH(378, 輔助計算!$G$2:$G$801, 0)+1)),"0.##")&amp;"+"&amp;TEXT(INDEX(ERP資料!$G:$G, (MATCH(378, 輔助計算!$G$2:$G$801, 0)+1)),"0.##"),TEXT(INDEX(ERP資料!$G:$G, (MATCH(378, 輔助計算!$G$2:$G$801, 0)+1)),"0.##")&amp;"+"&amp;TEXT(INDEX(ERP資料!$G:$G, (MATCH(378, 輔助計算!$G$2:$G$801, 0)+1)),"0.##")&amp;"+"&amp;TEXT(INDEX(ERP資料!$G:$G, (MATCH(378, 輔助計算!$G$2:$G$801, 0)+1)),"0.##"))))&amp;"-1")), ""), "")</f>
        <v/>
      </c>
      <c r="K379" s="16" t="n"/>
      <c r="L379" s="14">
        <f>IFERROR(IF(AND(IFERROR(INDEX(ERP資料!$A:$A, (MATCH(378, 輔助計算!$G$2:$G$801, 0)+1)), "")&lt;&gt;"", IFERROR(INDEX(ERP資料!$A:$A, (MATCH(378, 輔助計算!$G$2:$G$801, 0)+1)), "")&lt;&gt;IFERROR(INDEX(ERP資料!$A:$A, MATCH(377, 輔助計算!$G$2:$G$801, 0)+1), "")), INDEX(ERP資料!$B:$B, (MATCH(378, 輔助計算!$G$2:$G$801, 0)+1)), ""), "")</f>
        <v/>
      </c>
      <c r="M379" s="17" t="n"/>
    </row>
    <row r="380">
      <c r="A380" s="10">
        <f>IFERROR(IF(AND(IFERROR(INDEX(ERP資料!$A:$A, (MATCH(379, 輔助計算!$G$2:$G$801, 0)+1)), "")&lt;&gt;"", IFERROR(INDEX(ERP資料!$A:$A, (MATCH(379, 輔助計算!$G$2:$G$801, 0)+1)), "")&lt;&gt;IFERROR(INDEX(ERP資料!$A:$A, MATCH(378, 輔助計算!$G$2:$G$801, 0)+1), "")), IFERROR(INDEX(ERP資料!$A:$A, (MATCH(379, 輔助計算!$G$2:$G$801, 0)+1)), ""), ""), "")</f>
        <v/>
      </c>
      <c r="B380" s="10">
        <f>IFERROR(IF(AND(IFERROR(INDEX(ERP資料!$A:$A, (MATCH(379, 輔助計算!$G$2:$G$801, 0)+1)), "")&lt;&gt;"", IFERROR(INDEX(ERP資料!$A:$A, (MATCH(379, 輔助計算!$G$2:$G$801, 0)+1)), "")&lt;&gt;IFERROR(INDEX(ERP資料!$A:$A, MATCH(378, 輔助計算!$G$2:$G$801, 0)+1), "")), INDEX(ERP資料!$S:$S, (MATCH(379, 輔助計算!$G$2:$G$801, 0)+1)), ""), "")</f>
        <v/>
      </c>
      <c r="C380" s="19">
        <f>IFERROR(IF(AND(IFERROR(INDEX(ERP資料!$A:$A, (MATCH(379, 輔助計算!$G$2:$G$801, 0)+1)), "")&lt;&gt;"", IFERROR(INDEX(ERP資料!$A:$A, (MATCH(379, 輔助計算!$G$2:$G$801, 0)+1)), "")&lt;&gt;IFERROR(INDEX(ERP資料!$A:$A, MATCH(378, 輔助計算!$G$2:$G$801, 0)+1), "")), IFERROR(VLOOKUP(LEFT(INDEX(ERP資料!$S:$S, (MATCH(379, 輔助計算!$G$2:$G$801, 0)+1)), 4), 紙管對照表!$A:$C, 3, FALSE), ""), ""), "")</f>
        <v/>
      </c>
      <c r="D380" s="16" t="n"/>
      <c r="E380" s="10">
        <f>IFERROR(IF(INDEX(ERP資料!$H:$H, (MATCH(379, 輔助計算!$G$2:$G$801, 0)+1))="","",INDEX(ERP資料!$H:$H, (MATCH(379, 輔助計算!$G$2:$G$801, 0)+1))), "")</f>
        <v/>
      </c>
      <c r="F380" s="10">
        <f>IFERROR(IF(INDEX(ERP資料!$E:$E, (MATCH(379, 輔助計算!$G$2:$G$801, 0)+1))="","",TRIM(INDEX(ERP資料!$E:$E, (MATCH(379, 輔助計算!$G$2:$G$801, 0)+1)))), "")</f>
        <v/>
      </c>
      <c r="G380" s="10">
        <f>IFERROR(IF(INDEX(ERP資料!$F:$F, (MATCH(379, 輔助計算!$G$2:$G$801, 0)+1))="","",INDEX(ERP資料!$F:$F, (MATCH(379, 輔助計算!$G$2:$G$801, 0)+1))), "")</f>
        <v/>
      </c>
      <c r="H380" s="10">
        <f>IFERROR(IF(INDEX(ERP資料!$G:$G, (MATCH(379, 輔助計算!$G$2:$G$801, 0)+1))="","",INDEX(ERP資料!$G:$G, (MATCH(379, 輔助計算!$G$2:$G$801, 0)+1))), "")</f>
        <v/>
      </c>
      <c r="I380" s="15">
        <f>IFERROR(INDEX(輔助計算!$D:$D, (MATCH(379, 輔助計算!$G$2:$G$801, 0)+1)), "")</f>
        <v/>
      </c>
      <c r="J380" s="15">
        <f>IFERROR(IF(AND(INDEX(輔助計算!$D:$D, (MATCH(379, 輔助計算!$G$2:$G$801, 0)+1))&lt;&gt;"", INDEX(ERP資料!$G:$G, (MATCH(379, 輔助計算!$G$2:$G$801, 0)+1))&lt;&gt;""), TRIM(IF(INT(INDEX(輔助計算!$D:$D, (MATCH(379, 輔助計算!$G$2:$G$801, 0)+1))/IF(INDEX(ERP資料!$G:$G, (MATCH(379, 輔助計算!$G$2:$G$801, 0)+1))&lt;100, IF(INDEX(ERP資料!$G:$G, (MATCH(379, 輔助計算!$G$2:$G$801, 0)+1))&lt;=31,3,IF(INDEX(ERP資料!$G:$G, (MATCH(379, 輔助計算!$G$2:$G$801, 0)+1))&lt;=46.5,2,1)), IF(INDEX(ERP資料!$G:$G, (MATCH(379, 輔助計算!$G$2:$G$801, 0)+1))&lt;=790,3,IF(INDEX(ERP資料!$G:$G, (MATCH(379, 輔助計算!$G$2:$G$801, 0)+1))&lt;=1181,2,1))))&gt;0, IF(IF(INDEX(ERP資料!$G:$G, (MATCH(379, 輔助計算!$G$2:$G$801, 0)+1))&lt;100, IF(INDEX(ERP資料!$G:$G, (MATCH(379, 輔助計算!$G$2:$G$801, 0)+1))&lt;=31,3,IF(INDEX(ERP資料!$G:$G, (MATCH(379, 輔助計算!$G$2:$G$801, 0)+1))&lt;=46.5,2,1)), IF(INDEX(ERP資料!$G:$G, (MATCH(379, 輔助計算!$G$2:$G$801, 0)+1))&lt;=790,3,IF(INDEX(ERP資料!$G:$G, (MATCH(379, 輔助計算!$G$2:$G$801, 0)+1))&lt;=1181,2,1)))=1,TEXT(INDEX(ERP資料!$G:$G, (MATCH(379, 輔助計算!$G$2:$G$801, 0)+1)),"0.##"),IF(IF(INDEX(ERP資料!$G:$G, (MATCH(379, 輔助計算!$G$2:$G$801, 0)+1))&lt;100, IF(INDEX(ERP資料!$G:$G, (MATCH(379, 輔助計算!$G$2:$G$801, 0)+1))&lt;=31,3,IF(INDEX(ERP資料!$G:$G, (MATCH(379, 輔助計算!$G$2:$G$801, 0)+1))&lt;=46.5,2,1)), IF(INDEX(ERP資料!$G:$G, (MATCH(379, 輔助計算!$G$2:$G$801, 0)+1))&lt;=790,3,IF(INDEX(ERP資料!$G:$G, (MATCH(379, 輔助計算!$G$2:$G$801, 0)+1))&lt;=1181,2,1)))=2,TEXT(INDEX(ERP資料!$G:$G, (MATCH(379, 輔助計算!$G$2:$G$801, 0)+1)),"0.##")&amp;"+"&amp;TEXT(INDEX(ERP資料!$G:$G, (MATCH(379, 輔助計算!$G$2:$G$801, 0)+1)),"0.##"),TEXT(INDEX(ERP資料!$G:$G, (MATCH(379, 輔助計算!$G$2:$G$801, 0)+1)),"0.##")&amp;"+"&amp;TEXT(INDEX(ERP資料!$G:$G, (MATCH(379, 輔助計算!$G$2:$G$801, 0)+1)),"0.##")&amp;"+"&amp;TEXT(INDEX(ERP資料!$G:$G, (MATCH(379, 輔助計算!$G$2:$G$801, 0)+1)),"0.##")))&amp;"-"&amp;INT(INDEX(輔助計算!$D:$D, (MATCH(379, 輔助計算!$G$2:$G$801, 0)+1))/IF(INDEX(ERP資料!$G:$G, (MATCH(379, 輔助計算!$G$2:$G$801, 0)+1))&lt;100, IF(INDEX(ERP資料!$G:$G, (MATCH(379, 輔助計算!$G$2:$G$801, 0)+1))&lt;=31,3,IF(INDEX(ERP資料!$G:$G, (MATCH(379, 輔助計算!$G$2:$G$801, 0)+1))&lt;=46.5,2,1)), IF(INDEX(ERP資料!$G:$G, (MATCH(379, 輔助計算!$G$2:$G$801, 0)+1))&lt;=790,3,IF(INDEX(ERP資料!$G:$G, (MATCH(379, 輔助計算!$G$2:$G$801, 0)+1))&lt;=1181,2,1)))), "")&amp;IF(AND(IF(INT(INDEX(輔助計算!$D:$D, (MATCH(379, 輔助計算!$G$2:$G$801, 0)+1))/IF(INDEX(ERP資料!$G:$G, (MATCH(379, 輔助計算!$G$2:$G$801, 0)+1))&lt;100, IF(INDEX(ERP資料!$G:$G, (MATCH(379, 輔助計算!$G$2:$G$801, 0)+1))&lt;=31,3,IF(INDEX(ERP資料!$G:$G, (MATCH(379, 輔助計算!$G$2:$G$801, 0)+1))&lt;=46.5,2,1)), IF(INDEX(ERP資料!$G:$G, (MATCH(379, 輔助計算!$G$2:$G$801, 0)+1))&lt;=790,3,IF(INDEX(ERP資料!$G:$G, (MATCH(379, 輔助計算!$G$2:$G$801, 0)+1))&lt;=1181,2,1))))&gt;0, IF(IF(INDEX(ERP資料!$G:$G, (MATCH(379, 輔助計算!$G$2:$G$801, 0)+1))&lt;100, IF(INDEX(ERP資料!$G:$G, (MATCH(379, 輔助計算!$G$2:$G$801, 0)+1))&lt;=31,3,IF(INDEX(ERP資料!$G:$G, (MATCH(379, 輔助計算!$G$2:$G$801, 0)+1))&lt;=46.5,2,1)), IF(INDEX(ERP資料!$G:$G, (MATCH(379, 輔助計算!$G$2:$G$801, 0)+1))&lt;=790,3,IF(INDEX(ERP資料!$G:$G, (MATCH(379, 輔助計算!$G$2:$G$801, 0)+1))&lt;=1181,2,1)))=1,TEXT(INDEX(ERP資料!$G:$G, (MATCH(379, 輔助計算!$G$2:$G$801, 0)+1)),"0.##"),IF(IF(INDEX(ERP資料!$G:$G, (MATCH(379, 輔助計算!$G$2:$G$801, 0)+1))&lt;100, IF(INDEX(ERP資料!$G:$G, (MATCH(379, 輔助計算!$G$2:$G$801, 0)+1))&lt;=31,3,IF(INDEX(ERP資料!$G:$G, (MATCH(379, 輔助計算!$G$2:$G$801, 0)+1))&lt;=46.5,2,1)), IF(INDEX(ERP資料!$G:$G, (MATCH(379, 輔助計算!$G$2:$G$801, 0)+1))&lt;=790,3,IF(INDEX(ERP資料!$G:$G, (MATCH(379, 輔助計算!$G$2:$G$801, 0)+1))&lt;=1181,2,1)))=2,TEXT(INDEX(ERP資料!$G:$G, (MATCH(379, 輔助計算!$G$2:$G$801, 0)+1)),"0.##")&amp;"+"&amp;TEXT(INDEX(ERP資料!$G:$G, (MATCH(379, 輔助計算!$G$2:$G$801, 0)+1)),"0.##"),TEXT(INDEX(ERP資料!$G:$G, (MATCH(379, 輔助計算!$G$2:$G$801, 0)+1)),"0.##")&amp;"+"&amp;TEXT(INDEX(ERP資料!$G:$G, (MATCH(379, 輔助計算!$G$2:$G$801, 0)+1)),"0.##")&amp;"+"&amp;TEXT(INDEX(ERP資料!$G:$G, (MATCH(379, 輔助計算!$G$2:$G$801, 0)+1)),"0.##")))&amp;"-"&amp;INT(INDEX(輔助計算!$D:$D, (MATCH(379, 輔助計算!$G$2:$G$801, 0)+1))/IF(INDEX(ERP資料!$G:$G, (MATCH(379, 輔助計算!$G$2:$G$801, 0)+1))&lt;100, IF(INDEX(ERP資料!$G:$G, (MATCH(379, 輔助計算!$G$2:$G$801, 0)+1))&lt;=31,3,IF(INDEX(ERP資料!$G:$G, (MATCH(379, 輔助計算!$G$2:$G$801, 0)+1))&lt;=46.5,2,1)), IF(INDEX(ERP資料!$G:$G, (MATCH(379, 輔助計算!$G$2:$G$801, 0)+1))&lt;=790,3,IF(INDEX(ERP資料!$G:$G, (MATCH(379, 輔助計算!$G$2:$G$801, 0)+1))&lt;=1181,2,1)))), "")&lt;&gt;"",IF(MOD(INDEX(輔助計算!$D:$D, (MATCH(379, 輔助計算!$G$2:$G$801, 0)+1)),IF(INDEX(ERP資料!$G:$G, (MATCH(379, 輔助計算!$G$2:$G$801, 0)+1))&lt;100, IF(INDEX(ERP資料!$G:$G, (MATCH(379, 輔助計算!$G$2:$G$801, 0)+1))&lt;=31,3,IF(INDEX(ERP資料!$G:$G, (MATCH(379, 輔助計算!$G$2:$G$801, 0)+1))&lt;=46.5,2,1)), IF(INDEX(ERP資料!$G:$G, (MATCH(379, 輔助計算!$G$2:$G$801, 0)+1))&lt;=790,3,IF(INDEX(ERP資料!$G:$G, (MATCH(379, 輔助計算!$G$2:$G$801, 0)+1))&lt;=1181,2,1))))=0,"",IF(MOD(INDEX(輔助計算!$D:$D, (MATCH(379, 輔助計算!$G$2:$G$801, 0)+1)),IF(INDEX(ERP資料!$G:$G, (MATCH(379, 輔助計算!$G$2:$G$801, 0)+1))&lt;100, IF(INDEX(ERP資料!$G:$G, (MATCH(379, 輔助計算!$G$2:$G$801, 0)+1))&lt;=31,3,IF(INDEX(ERP資料!$G:$G, (MATCH(379, 輔助計算!$G$2:$G$801, 0)+1))&lt;=46.5,2,1)), IF(INDEX(ERP資料!$G:$G, (MATCH(379, 輔助計算!$G$2:$G$801, 0)+1))&lt;=790,3,IF(INDEX(ERP資料!$G:$G, (MATCH(379, 輔助計算!$G$2:$G$801, 0)+1))&lt;=1181,2,1))))=0,"",IF(MOD(INDEX(輔助計算!$D:$D, (MATCH(379, 輔助計算!$G$2:$G$801, 0)+1)),IF(INDEX(ERP資料!$G:$G, (MATCH(379, 輔助計算!$G$2:$G$801, 0)+1))&lt;100, IF(INDEX(ERP資料!$G:$G, (MATCH(379, 輔助計算!$G$2:$G$801, 0)+1))&lt;=31,3,IF(INDEX(ERP資料!$G:$G, (MATCH(379, 輔助計算!$G$2:$G$801, 0)+1))&lt;=46.5,2,1)), IF(INDEX(ERP資料!$G:$G, (MATCH(379, 輔助計算!$G$2:$G$801, 0)+1))&lt;=790,3,IF(INDEX(ERP資料!$G:$G, (MATCH(379, 輔助計算!$G$2:$G$801, 0)+1))&lt;=1181,2,1))))=1,TEXT(INDEX(ERP資料!$G:$G, (MATCH(379, 輔助計算!$G$2:$G$801, 0)+1)),"0.##"),IF(MOD(INDEX(輔助計算!$D:$D, (MATCH(379, 輔助計算!$G$2:$G$801, 0)+1)),IF(INDEX(ERP資料!$G:$G, (MATCH(379, 輔助計算!$G$2:$G$801, 0)+1))&lt;100, IF(INDEX(ERP資料!$G:$G, (MATCH(379, 輔助計算!$G$2:$G$801, 0)+1))&lt;=31,3,IF(INDEX(ERP資料!$G:$G, (MATCH(379, 輔助計算!$G$2:$G$801, 0)+1))&lt;=46.5,2,1)), IF(INDEX(ERP資料!$G:$G, (MATCH(379, 輔助計算!$G$2:$G$801, 0)+1))&lt;=790,3,IF(INDEX(ERP資料!$G:$G, (MATCH(379, 輔助計算!$G$2:$G$801, 0)+1))&lt;=1181,2,1))))=2,TEXT(INDEX(ERP資料!$G:$G, (MATCH(379, 輔助計算!$G$2:$G$801, 0)+1)),"0.##")&amp;"+"&amp;TEXT(INDEX(ERP資料!$G:$G, (MATCH(379, 輔助計算!$G$2:$G$801, 0)+1)),"0.##"),TEXT(INDEX(ERP資料!$G:$G, (MATCH(379, 輔助計算!$G$2:$G$801, 0)+1)),"0.##")&amp;"+"&amp;TEXT(INDEX(ERP資料!$G:$G, (MATCH(379, 輔助計算!$G$2:$G$801, 0)+1)),"0.##")&amp;"+"&amp;TEXT(INDEX(ERP資料!$G:$G, (MATCH(379, 輔助計算!$G$2:$G$801, 0)+1)),"0.##"))))&amp;"-1")&lt;&gt;""),"  ","")&amp;IF(MOD(INDEX(輔助計算!$D:$D, (MATCH(379, 輔助計算!$G$2:$G$801, 0)+1)),IF(INDEX(ERP資料!$G:$G, (MATCH(379, 輔助計算!$G$2:$G$801, 0)+1))&lt;100, IF(INDEX(ERP資料!$G:$G, (MATCH(379, 輔助計算!$G$2:$G$801, 0)+1))&lt;=31,3,IF(INDEX(ERP資料!$G:$G, (MATCH(379, 輔助計算!$G$2:$G$801, 0)+1))&lt;=46.5,2,1)), IF(INDEX(ERP資料!$G:$G, (MATCH(379, 輔助計算!$G$2:$G$801, 0)+1))&lt;=790,3,IF(INDEX(ERP資料!$G:$G, (MATCH(379, 輔助計算!$G$2:$G$801, 0)+1))&lt;=1181,2,1))))=0,"",IF(MOD(INDEX(輔助計算!$D:$D, (MATCH(379, 輔助計算!$G$2:$G$801, 0)+1)),IF(INDEX(ERP資料!$G:$G, (MATCH(379, 輔助計算!$G$2:$G$801, 0)+1))&lt;100, IF(INDEX(ERP資料!$G:$G, (MATCH(379, 輔助計算!$G$2:$G$801, 0)+1))&lt;=31,3,IF(INDEX(ERP資料!$G:$G, (MATCH(379, 輔助計算!$G$2:$G$801, 0)+1))&lt;=46.5,2,1)), IF(INDEX(ERP資料!$G:$G, (MATCH(379, 輔助計算!$G$2:$G$801, 0)+1))&lt;=790,3,IF(INDEX(ERP資料!$G:$G, (MATCH(379, 輔助計算!$G$2:$G$801, 0)+1))&lt;=1181,2,1))))=0,"",IF(MOD(INDEX(輔助計算!$D:$D, (MATCH(379, 輔助計算!$G$2:$G$801, 0)+1)),IF(INDEX(ERP資料!$G:$G, (MATCH(379, 輔助計算!$G$2:$G$801, 0)+1))&lt;100, IF(INDEX(ERP資料!$G:$G, (MATCH(379, 輔助計算!$G$2:$G$801, 0)+1))&lt;=31,3,IF(INDEX(ERP資料!$G:$G, (MATCH(379, 輔助計算!$G$2:$G$801, 0)+1))&lt;=46.5,2,1)), IF(INDEX(ERP資料!$G:$G, (MATCH(379, 輔助計算!$G$2:$G$801, 0)+1))&lt;=790,3,IF(INDEX(ERP資料!$G:$G, (MATCH(379, 輔助計算!$G$2:$G$801, 0)+1))&lt;=1181,2,1))))=1,TEXT(INDEX(ERP資料!$G:$G, (MATCH(379, 輔助計算!$G$2:$G$801, 0)+1)),"0.##"),IF(MOD(INDEX(輔助計算!$D:$D, (MATCH(379, 輔助計算!$G$2:$G$801, 0)+1)),IF(INDEX(ERP資料!$G:$G, (MATCH(379, 輔助計算!$G$2:$G$801, 0)+1))&lt;100, IF(INDEX(ERP資料!$G:$G, (MATCH(379, 輔助計算!$G$2:$G$801, 0)+1))&lt;=31,3,IF(INDEX(ERP資料!$G:$G, (MATCH(379, 輔助計算!$G$2:$G$801, 0)+1))&lt;=46.5,2,1)), IF(INDEX(ERP資料!$G:$G, (MATCH(379, 輔助計算!$G$2:$G$801, 0)+1))&lt;=790,3,IF(INDEX(ERP資料!$G:$G, (MATCH(379, 輔助計算!$G$2:$G$801, 0)+1))&lt;=1181,2,1))))=2,TEXT(INDEX(ERP資料!$G:$G, (MATCH(379, 輔助計算!$G$2:$G$801, 0)+1)),"0.##")&amp;"+"&amp;TEXT(INDEX(ERP資料!$G:$G, (MATCH(379, 輔助計算!$G$2:$G$801, 0)+1)),"0.##"),TEXT(INDEX(ERP資料!$G:$G, (MATCH(379, 輔助計算!$G$2:$G$801, 0)+1)),"0.##")&amp;"+"&amp;TEXT(INDEX(ERP資料!$G:$G, (MATCH(379, 輔助計算!$G$2:$G$801, 0)+1)),"0.##")&amp;"+"&amp;TEXT(INDEX(ERP資料!$G:$G, (MATCH(379, 輔助計算!$G$2:$G$801, 0)+1)),"0.##"))))&amp;"-1")), ""), "")</f>
        <v/>
      </c>
      <c r="K380" s="16" t="n"/>
      <c r="L380" s="14">
        <f>IFERROR(IF(AND(IFERROR(INDEX(ERP資料!$A:$A, (MATCH(379, 輔助計算!$G$2:$G$801, 0)+1)), "")&lt;&gt;"", IFERROR(INDEX(ERP資料!$A:$A, (MATCH(379, 輔助計算!$G$2:$G$801, 0)+1)), "")&lt;&gt;IFERROR(INDEX(ERP資料!$A:$A, MATCH(378, 輔助計算!$G$2:$G$801, 0)+1), "")), INDEX(ERP資料!$B:$B, (MATCH(379, 輔助計算!$G$2:$G$801, 0)+1)), ""), "")</f>
        <v/>
      </c>
      <c r="M380" s="17" t="n"/>
    </row>
    <row r="381">
      <c r="A381" s="10">
        <f>IFERROR(IF(AND(IFERROR(INDEX(ERP資料!$A:$A, (MATCH(380, 輔助計算!$G$2:$G$801, 0)+1)), "")&lt;&gt;"", IFERROR(INDEX(ERP資料!$A:$A, (MATCH(380, 輔助計算!$G$2:$G$801, 0)+1)), "")&lt;&gt;IFERROR(INDEX(ERP資料!$A:$A, MATCH(379, 輔助計算!$G$2:$G$801, 0)+1), "")), IFERROR(INDEX(ERP資料!$A:$A, (MATCH(380, 輔助計算!$G$2:$G$801, 0)+1)), ""), ""), "")</f>
        <v/>
      </c>
      <c r="B381" s="10">
        <f>IFERROR(IF(AND(IFERROR(INDEX(ERP資料!$A:$A, (MATCH(380, 輔助計算!$G$2:$G$801, 0)+1)), "")&lt;&gt;"", IFERROR(INDEX(ERP資料!$A:$A, (MATCH(380, 輔助計算!$G$2:$G$801, 0)+1)), "")&lt;&gt;IFERROR(INDEX(ERP資料!$A:$A, MATCH(379, 輔助計算!$G$2:$G$801, 0)+1), "")), INDEX(ERP資料!$S:$S, (MATCH(380, 輔助計算!$G$2:$G$801, 0)+1)), ""), "")</f>
        <v/>
      </c>
      <c r="C381" s="19">
        <f>IFERROR(IF(AND(IFERROR(INDEX(ERP資料!$A:$A, (MATCH(380, 輔助計算!$G$2:$G$801, 0)+1)), "")&lt;&gt;"", IFERROR(INDEX(ERP資料!$A:$A, (MATCH(380, 輔助計算!$G$2:$G$801, 0)+1)), "")&lt;&gt;IFERROR(INDEX(ERP資料!$A:$A, MATCH(379, 輔助計算!$G$2:$G$801, 0)+1), "")), IFERROR(VLOOKUP(LEFT(INDEX(ERP資料!$S:$S, (MATCH(380, 輔助計算!$G$2:$G$801, 0)+1)), 4), 紙管對照表!$A:$C, 3, FALSE), ""), ""), "")</f>
        <v/>
      </c>
      <c r="D381" s="16" t="n"/>
      <c r="E381" s="10">
        <f>IFERROR(IF(INDEX(ERP資料!$H:$H, (MATCH(380, 輔助計算!$G$2:$G$801, 0)+1))="","",INDEX(ERP資料!$H:$H, (MATCH(380, 輔助計算!$G$2:$G$801, 0)+1))), "")</f>
        <v/>
      </c>
      <c r="F381" s="10">
        <f>IFERROR(IF(INDEX(ERP資料!$E:$E, (MATCH(380, 輔助計算!$G$2:$G$801, 0)+1))="","",TRIM(INDEX(ERP資料!$E:$E, (MATCH(380, 輔助計算!$G$2:$G$801, 0)+1)))), "")</f>
        <v/>
      </c>
      <c r="G381" s="10">
        <f>IFERROR(IF(INDEX(ERP資料!$F:$F, (MATCH(380, 輔助計算!$G$2:$G$801, 0)+1))="","",INDEX(ERP資料!$F:$F, (MATCH(380, 輔助計算!$G$2:$G$801, 0)+1))), "")</f>
        <v/>
      </c>
      <c r="H381" s="10">
        <f>IFERROR(IF(INDEX(ERP資料!$G:$G, (MATCH(380, 輔助計算!$G$2:$G$801, 0)+1))="","",INDEX(ERP資料!$G:$G, (MATCH(380, 輔助計算!$G$2:$G$801, 0)+1))), "")</f>
        <v/>
      </c>
      <c r="I381" s="15">
        <f>IFERROR(INDEX(輔助計算!$D:$D, (MATCH(380, 輔助計算!$G$2:$G$801, 0)+1)), "")</f>
        <v/>
      </c>
      <c r="J381" s="15">
        <f>IFERROR(IF(AND(INDEX(輔助計算!$D:$D, (MATCH(380, 輔助計算!$G$2:$G$801, 0)+1))&lt;&gt;"", INDEX(ERP資料!$G:$G, (MATCH(380, 輔助計算!$G$2:$G$801, 0)+1))&lt;&gt;""), TRIM(IF(INT(INDEX(輔助計算!$D:$D, (MATCH(380, 輔助計算!$G$2:$G$801, 0)+1))/IF(INDEX(ERP資料!$G:$G, (MATCH(380, 輔助計算!$G$2:$G$801, 0)+1))&lt;100, IF(INDEX(ERP資料!$G:$G, (MATCH(380, 輔助計算!$G$2:$G$801, 0)+1))&lt;=31,3,IF(INDEX(ERP資料!$G:$G, (MATCH(380, 輔助計算!$G$2:$G$801, 0)+1))&lt;=46.5,2,1)), IF(INDEX(ERP資料!$G:$G, (MATCH(380, 輔助計算!$G$2:$G$801, 0)+1))&lt;=790,3,IF(INDEX(ERP資料!$G:$G, (MATCH(380, 輔助計算!$G$2:$G$801, 0)+1))&lt;=1181,2,1))))&gt;0, IF(IF(INDEX(ERP資料!$G:$G, (MATCH(380, 輔助計算!$G$2:$G$801, 0)+1))&lt;100, IF(INDEX(ERP資料!$G:$G, (MATCH(380, 輔助計算!$G$2:$G$801, 0)+1))&lt;=31,3,IF(INDEX(ERP資料!$G:$G, (MATCH(380, 輔助計算!$G$2:$G$801, 0)+1))&lt;=46.5,2,1)), IF(INDEX(ERP資料!$G:$G, (MATCH(380, 輔助計算!$G$2:$G$801, 0)+1))&lt;=790,3,IF(INDEX(ERP資料!$G:$G, (MATCH(380, 輔助計算!$G$2:$G$801, 0)+1))&lt;=1181,2,1)))=1,TEXT(INDEX(ERP資料!$G:$G, (MATCH(380, 輔助計算!$G$2:$G$801, 0)+1)),"0.##"),IF(IF(INDEX(ERP資料!$G:$G, (MATCH(380, 輔助計算!$G$2:$G$801, 0)+1))&lt;100, IF(INDEX(ERP資料!$G:$G, (MATCH(380, 輔助計算!$G$2:$G$801, 0)+1))&lt;=31,3,IF(INDEX(ERP資料!$G:$G, (MATCH(380, 輔助計算!$G$2:$G$801, 0)+1))&lt;=46.5,2,1)), IF(INDEX(ERP資料!$G:$G, (MATCH(380, 輔助計算!$G$2:$G$801, 0)+1))&lt;=790,3,IF(INDEX(ERP資料!$G:$G, (MATCH(380, 輔助計算!$G$2:$G$801, 0)+1))&lt;=1181,2,1)))=2,TEXT(INDEX(ERP資料!$G:$G, (MATCH(380, 輔助計算!$G$2:$G$801, 0)+1)),"0.##")&amp;"+"&amp;TEXT(INDEX(ERP資料!$G:$G, (MATCH(380, 輔助計算!$G$2:$G$801, 0)+1)),"0.##"),TEXT(INDEX(ERP資料!$G:$G, (MATCH(380, 輔助計算!$G$2:$G$801, 0)+1)),"0.##")&amp;"+"&amp;TEXT(INDEX(ERP資料!$G:$G, (MATCH(380, 輔助計算!$G$2:$G$801, 0)+1)),"0.##")&amp;"+"&amp;TEXT(INDEX(ERP資料!$G:$G, (MATCH(380, 輔助計算!$G$2:$G$801, 0)+1)),"0.##")))&amp;"-"&amp;INT(INDEX(輔助計算!$D:$D, (MATCH(380, 輔助計算!$G$2:$G$801, 0)+1))/IF(INDEX(ERP資料!$G:$G, (MATCH(380, 輔助計算!$G$2:$G$801, 0)+1))&lt;100, IF(INDEX(ERP資料!$G:$G, (MATCH(380, 輔助計算!$G$2:$G$801, 0)+1))&lt;=31,3,IF(INDEX(ERP資料!$G:$G, (MATCH(380, 輔助計算!$G$2:$G$801, 0)+1))&lt;=46.5,2,1)), IF(INDEX(ERP資料!$G:$G, (MATCH(380, 輔助計算!$G$2:$G$801, 0)+1))&lt;=790,3,IF(INDEX(ERP資料!$G:$G, (MATCH(380, 輔助計算!$G$2:$G$801, 0)+1))&lt;=1181,2,1)))), "")&amp;IF(AND(IF(INT(INDEX(輔助計算!$D:$D, (MATCH(380, 輔助計算!$G$2:$G$801, 0)+1))/IF(INDEX(ERP資料!$G:$G, (MATCH(380, 輔助計算!$G$2:$G$801, 0)+1))&lt;100, IF(INDEX(ERP資料!$G:$G, (MATCH(380, 輔助計算!$G$2:$G$801, 0)+1))&lt;=31,3,IF(INDEX(ERP資料!$G:$G, (MATCH(380, 輔助計算!$G$2:$G$801, 0)+1))&lt;=46.5,2,1)), IF(INDEX(ERP資料!$G:$G, (MATCH(380, 輔助計算!$G$2:$G$801, 0)+1))&lt;=790,3,IF(INDEX(ERP資料!$G:$G, (MATCH(380, 輔助計算!$G$2:$G$801, 0)+1))&lt;=1181,2,1))))&gt;0, IF(IF(INDEX(ERP資料!$G:$G, (MATCH(380, 輔助計算!$G$2:$G$801, 0)+1))&lt;100, IF(INDEX(ERP資料!$G:$G, (MATCH(380, 輔助計算!$G$2:$G$801, 0)+1))&lt;=31,3,IF(INDEX(ERP資料!$G:$G, (MATCH(380, 輔助計算!$G$2:$G$801, 0)+1))&lt;=46.5,2,1)), IF(INDEX(ERP資料!$G:$G, (MATCH(380, 輔助計算!$G$2:$G$801, 0)+1))&lt;=790,3,IF(INDEX(ERP資料!$G:$G, (MATCH(380, 輔助計算!$G$2:$G$801, 0)+1))&lt;=1181,2,1)))=1,TEXT(INDEX(ERP資料!$G:$G, (MATCH(380, 輔助計算!$G$2:$G$801, 0)+1)),"0.##"),IF(IF(INDEX(ERP資料!$G:$G, (MATCH(380, 輔助計算!$G$2:$G$801, 0)+1))&lt;100, IF(INDEX(ERP資料!$G:$G, (MATCH(380, 輔助計算!$G$2:$G$801, 0)+1))&lt;=31,3,IF(INDEX(ERP資料!$G:$G, (MATCH(380, 輔助計算!$G$2:$G$801, 0)+1))&lt;=46.5,2,1)), IF(INDEX(ERP資料!$G:$G, (MATCH(380, 輔助計算!$G$2:$G$801, 0)+1))&lt;=790,3,IF(INDEX(ERP資料!$G:$G, (MATCH(380, 輔助計算!$G$2:$G$801, 0)+1))&lt;=1181,2,1)))=2,TEXT(INDEX(ERP資料!$G:$G, (MATCH(380, 輔助計算!$G$2:$G$801, 0)+1)),"0.##")&amp;"+"&amp;TEXT(INDEX(ERP資料!$G:$G, (MATCH(380, 輔助計算!$G$2:$G$801, 0)+1)),"0.##"),TEXT(INDEX(ERP資料!$G:$G, (MATCH(380, 輔助計算!$G$2:$G$801, 0)+1)),"0.##")&amp;"+"&amp;TEXT(INDEX(ERP資料!$G:$G, (MATCH(380, 輔助計算!$G$2:$G$801, 0)+1)),"0.##")&amp;"+"&amp;TEXT(INDEX(ERP資料!$G:$G, (MATCH(380, 輔助計算!$G$2:$G$801, 0)+1)),"0.##")))&amp;"-"&amp;INT(INDEX(輔助計算!$D:$D, (MATCH(380, 輔助計算!$G$2:$G$801, 0)+1))/IF(INDEX(ERP資料!$G:$G, (MATCH(380, 輔助計算!$G$2:$G$801, 0)+1))&lt;100, IF(INDEX(ERP資料!$G:$G, (MATCH(380, 輔助計算!$G$2:$G$801, 0)+1))&lt;=31,3,IF(INDEX(ERP資料!$G:$G, (MATCH(380, 輔助計算!$G$2:$G$801, 0)+1))&lt;=46.5,2,1)), IF(INDEX(ERP資料!$G:$G, (MATCH(380, 輔助計算!$G$2:$G$801, 0)+1))&lt;=790,3,IF(INDEX(ERP資料!$G:$G, (MATCH(380, 輔助計算!$G$2:$G$801, 0)+1))&lt;=1181,2,1)))), "")&lt;&gt;"",IF(MOD(INDEX(輔助計算!$D:$D, (MATCH(380, 輔助計算!$G$2:$G$801, 0)+1)),IF(INDEX(ERP資料!$G:$G, (MATCH(380, 輔助計算!$G$2:$G$801, 0)+1))&lt;100, IF(INDEX(ERP資料!$G:$G, (MATCH(380, 輔助計算!$G$2:$G$801, 0)+1))&lt;=31,3,IF(INDEX(ERP資料!$G:$G, (MATCH(380, 輔助計算!$G$2:$G$801, 0)+1))&lt;=46.5,2,1)), IF(INDEX(ERP資料!$G:$G, (MATCH(380, 輔助計算!$G$2:$G$801, 0)+1))&lt;=790,3,IF(INDEX(ERP資料!$G:$G, (MATCH(380, 輔助計算!$G$2:$G$801, 0)+1))&lt;=1181,2,1))))=0,"",IF(MOD(INDEX(輔助計算!$D:$D, (MATCH(380, 輔助計算!$G$2:$G$801, 0)+1)),IF(INDEX(ERP資料!$G:$G, (MATCH(380, 輔助計算!$G$2:$G$801, 0)+1))&lt;100, IF(INDEX(ERP資料!$G:$G, (MATCH(380, 輔助計算!$G$2:$G$801, 0)+1))&lt;=31,3,IF(INDEX(ERP資料!$G:$G, (MATCH(380, 輔助計算!$G$2:$G$801, 0)+1))&lt;=46.5,2,1)), IF(INDEX(ERP資料!$G:$G, (MATCH(380, 輔助計算!$G$2:$G$801, 0)+1))&lt;=790,3,IF(INDEX(ERP資料!$G:$G, (MATCH(380, 輔助計算!$G$2:$G$801, 0)+1))&lt;=1181,2,1))))=0,"",IF(MOD(INDEX(輔助計算!$D:$D, (MATCH(380, 輔助計算!$G$2:$G$801, 0)+1)),IF(INDEX(ERP資料!$G:$G, (MATCH(380, 輔助計算!$G$2:$G$801, 0)+1))&lt;100, IF(INDEX(ERP資料!$G:$G, (MATCH(380, 輔助計算!$G$2:$G$801, 0)+1))&lt;=31,3,IF(INDEX(ERP資料!$G:$G, (MATCH(380, 輔助計算!$G$2:$G$801, 0)+1))&lt;=46.5,2,1)), IF(INDEX(ERP資料!$G:$G, (MATCH(380, 輔助計算!$G$2:$G$801, 0)+1))&lt;=790,3,IF(INDEX(ERP資料!$G:$G, (MATCH(380, 輔助計算!$G$2:$G$801, 0)+1))&lt;=1181,2,1))))=1,TEXT(INDEX(ERP資料!$G:$G, (MATCH(380, 輔助計算!$G$2:$G$801, 0)+1)),"0.##"),IF(MOD(INDEX(輔助計算!$D:$D, (MATCH(380, 輔助計算!$G$2:$G$801, 0)+1)),IF(INDEX(ERP資料!$G:$G, (MATCH(380, 輔助計算!$G$2:$G$801, 0)+1))&lt;100, IF(INDEX(ERP資料!$G:$G, (MATCH(380, 輔助計算!$G$2:$G$801, 0)+1))&lt;=31,3,IF(INDEX(ERP資料!$G:$G, (MATCH(380, 輔助計算!$G$2:$G$801, 0)+1))&lt;=46.5,2,1)), IF(INDEX(ERP資料!$G:$G, (MATCH(380, 輔助計算!$G$2:$G$801, 0)+1))&lt;=790,3,IF(INDEX(ERP資料!$G:$G, (MATCH(380, 輔助計算!$G$2:$G$801, 0)+1))&lt;=1181,2,1))))=2,TEXT(INDEX(ERP資料!$G:$G, (MATCH(380, 輔助計算!$G$2:$G$801, 0)+1)),"0.##")&amp;"+"&amp;TEXT(INDEX(ERP資料!$G:$G, (MATCH(380, 輔助計算!$G$2:$G$801, 0)+1)),"0.##"),TEXT(INDEX(ERP資料!$G:$G, (MATCH(380, 輔助計算!$G$2:$G$801, 0)+1)),"0.##")&amp;"+"&amp;TEXT(INDEX(ERP資料!$G:$G, (MATCH(380, 輔助計算!$G$2:$G$801, 0)+1)),"0.##")&amp;"+"&amp;TEXT(INDEX(ERP資料!$G:$G, (MATCH(380, 輔助計算!$G$2:$G$801, 0)+1)),"0.##"))))&amp;"-1")&lt;&gt;""),"  ","")&amp;IF(MOD(INDEX(輔助計算!$D:$D, (MATCH(380, 輔助計算!$G$2:$G$801, 0)+1)),IF(INDEX(ERP資料!$G:$G, (MATCH(380, 輔助計算!$G$2:$G$801, 0)+1))&lt;100, IF(INDEX(ERP資料!$G:$G, (MATCH(380, 輔助計算!$G$2:$G$801, 0)+1))&lt;=31,3,IF(INDEX(ERP資料!$G:$G, (MATCH(380, 輔助計算!$G$2:$G$801, 0)+1))&lt;=46.5,2,1)), IF(INDEX(ERP資料!$G:$G, (MATCH(380, 輔助計算!$G$2:$G$801, 0)+1))&lt;=790,3,IF(INDEX(ERP資料!$G:$G, (MATCH(380, 輔助計算!$G$2:$G$801, 0)+1))&lt;=1181,2,1))))=0,"",IF(MOD(INDEX(輔助計算!$D:$D, (MATCH(380, 輔助計算!$G$2:$G$801, 0)+1)),IF(INDEX(ERP資料!$G:$G, (MATCH(380, 輔助計算!$G$2:$G$801, 0)+1))&lt;100, IF(INDEX(ERP資料!$G:$G, (MATCH(380, 輔助計算!$G$2:$G$801, 0)+1))&lt;=31,3,IF(INDEX(ERP資料!$G:$G, (MATCH(380, 輔助計算!$G$2:$G$801, 0)+1))&lt;=46.5,2,1)), IF(INDEX(ERP資料!$G:$G, (MATCH(380, 輔助計算!$G$2:$G$801, 0)+1))&lt;=790,3,IF(INDEX(ERP資料!$G:$G, (MATCH(380, 輔助計算!$G$2:$G$801, 0)+1))&lt;=1181,2,1))))=0,"",IF(MOD(INDEX(輔助計算!$D:$D, (MATCH(380, 輔助計算!$G$2:$G$801, 0)+1)),IF(INDEX(ERP資料!$G:$G, (MATCH(380, 輔助計算!$G$2:$G$801, 0)+1))&lt;100, IF(INDEX(ERP資料!$G:$G, (MATCH(380, 輔助計算!$G$2:$G$801, 0)+1))&lt;=31,3,IF(INDEX(ERP資料!$G:$G, (MATCH(380, 輔助計算!$G$2:$G$801, 0)+1))&lt;=46.5,2,1)), IF(INDEX(ERP資料!$G:$G, (MATCH(380, 輔助計算!$G$2:$G$801, 0)+1))&lt;=790,3,IF(INDEX(ERP資料!$G:$G, (MATCH(380, 輔助計算!$G$2:$G$801, 0)+1))&lt;=1181,2,1))))=1,TEXT(INDEX(ERP資料!$G:$G, (MATCH(380, 輔助計算!$G$2:$G$801, 0)+1)),"0.##"),IF(MOD(INDEX(輔助計算!$D:$D, (MATCH(380, 輔助計算!$G$2:$G$801, 0)+1)),IF(INDEX(ERP資料!$G:$G, (MATCH(380, 輔助計算!$G$2:$G$801, 0)+1))&lt;100, IF(INDEX(ERP資料!$G:$G, (MATCH(380, 輔助計算!$G$2:$G$801, 0)+1))&lt;=31,3,IF(INDEX(ERP資料!$G:$G, (MATCH(380, 輔助計算!$G$2:$G$801, 0)+1))&lt;=46.5,2,1)), IF(INDEX(ERP資料!$G:$G, (MATCH(380, 輔助計算!$G$2:$G$801, 0)+1))&lt;=790,3,IF(INDEX(ERP資料!$G:$G, (MATCH(380, 輔助計算!$G$2:$G$801, 0)+1))&lt;=1181,2,1))))=2,TEXT(INDEX(ERP資料!$G:$G, (MATCH(380, 輔助計算!$G$2:$G$801, 0)+1)),"0.##")&amp;"+"&amp;TEXT(INDEX(ERP資料!$G:$G, (MATCH(380, 輔助計算!$G$2:$G$801, 0)+1)),"0.##"),TEXT(INDEX(ERP資料!$G:$G, (MATCH(380, 輔助計算!$G$2:$G$801, 0)+1)),"0.##")&amp;"+"&amp;TEXT(INDEX(ERP資料!$G:$G, (MATCH(380, 輔助計算!$G$2:$G$801, 0)+1)),"0.##")&amp;"+"&amp;TEXT(INDEX(ERP資料!$G:$G, (MATCH(380, 輔助計算!$G$2:$G$801, 0)+1)),"0.##"))))&amp;"-1")), ""), "")</f>
        <v/>
      </c>
      <c r="K381" s="16" t="n"/>
      <c r="L381" s="14">
        <f>IFERROR(IF(AND(IFERROR(INDEX(ERP資料!$A:$A, (MATCH(380, 輔助計算!$G$2:$G$801, 0)+1)), "")&lt;&gt;"", IFERROR(INDEX(ERP資料!$A:$A, (MATCH(380, 輔助計算!$G$2:$G$801, 0)+1)), "")&lt;&gt;IFERROR(INDEX(ERP資料!$A:$A, MATCH(379, 輔助計算!$G$2:$G$801, 0)+1), "")), INDEX(ERP資料!$B:$B, (MATCH(380, 輔助計算!$G$2:$G$801, 0)+1)), ""), "")</f>
        <v/>
      </c>
      <c r="M381" s="17" t="n"/>
    </row>
    <row r="382">
      <c r="A382" s="10">
        <f>IFERROR(IF(AND(IFERROR(INDEX(ERP資料!$A:$A, (MATCH(381, 輔助計算!$G$2:$G$801, 0)+1)), "")&lt;&gt;"", IFERROR(INDEX(ERP資料!$A:$A, (MATCH(381, 輔助計算!$G$2:$G$801, 0)+1)), "")&lt;&gt;IFERROR(INDEX(ERP資料!$A:$A, MATCH(380, 輔助計算!$G$2:$G$801, 0)+1), "")), IFERROR(INDEX(ERP資料!$A:$A, (MATCH(381, 輔助計算!$G$2:$G$801, 0)+1)), ""), ""), "")</f>
        <v/>
      </c>
      <c r="B382" s="10">
        <f>IFERROR(IF(AND(IFERROR(INDEX(ERP資料!$A:$A, (MATCH(381, 輔助計算!$G$2:$G$801, 0)+1)), "")&lt;&gt;"", IFERROR(INDEX(ERP資料!$A:$A, (MATCH(381, 輔助計算!$G$2:$G$801, 0)+1)), "")&lt;&gt;IFERROR(INDEX(ERP資料!$A:$A, MATCH(380, 輔助計算!$G$2:$G$801, 0)+1), "")), INDEX(ERP資料!$S:$S, (MATCH(381, 輔助計算!$G$2:$G$801, 0)+1)), ""), "")</f>
        <v/>
      </c>
      <c r="C382" s="19">
        <f>IFERROR(IF(AND(IFERROR(INDEX(ERP資料!$A:$A, (MATCH(381, 輔助計算!$G$2:$G$801, 0)+1)), "")&lt;&gt;"", IFERROR(INDEX(ERP資料!$A:$A, (MATCH(381, 輔助計算!$G$2:$G$801, 0)+1)), "")&lt;&gt;IFERROR(INDEX(ERP資料!$A:$A, MATCH(380, 輔助計算!$G$2:$G$801, 0)+1), "")), IFERROR(VLOOKUP(LEFT(INDEX(ERP資料!$S:$S, (MATCH(381, 輔助計算!$G$2:$G$801, 0)+1)), 4), 紙管對照表!$A:$C, 3, FALSE), ""), ""), "")</f>
        <v/>
      </c>
      <c r="D382" s="16" t="n"/>
      <c r="E382" s="10">
        <f>IFERROR(IF(INDEX(ERP資料!$H:$H, (MATCH(381, 輔助計算!$G$2:$G$801, 0)+1))="","",INDEX(ERP資料!$H:$H, (MATCH(381, 輔助計算!$G$2:$G$801, 0)+1))), "")</f>
        <v/>
      </c>
      <c r="F382" s="10">
        <f>IFERROR(IF(INDEX(ERP資料!$E:$E, (MATCH(381, 輔助計算!$G$2:$G$801, 0)+1))="","",TRIM(INDEX(ERP資料!$E:$E, (MATCH(381, 輔助計算!$G$2:$G$801, 0)+1)))), "")</f>
        <v/>
      </c>
      <c r="G382" s="10">
        <f>IFERROR(IF(INDEX(ERP資料!$F:$F, (MATCH(381, 輔助計算!$G$2:$G$801, 0)+1))="","",INDEX(ERP資料!$F:$F, (MATCH(381, 輔助計算!$G$2:$G$801, 0)+1))), "")</f>
        <v/>
      </c>
      <c r="H382" s="10">
        <f>IFERROR(IF(INDEX(ERP資料!$G:$G, (MATCH(381, 輔助計算!$G$2:$G$801, 0)+1))="","",INDEX(ERP資料!$G:$G, (MATCH(381, 輔助計算!$G$2:$G$801, 0)+1))), "")</f>
        <v/>
      </c>
      <c r="I382" s="15">
        <f>IFERROR(INDEX(輔助計算!$D:$D, (MATCH(381, 輔助計算!$G$2:$G$801, 0)+1)), "")</f>
        <v/>
      </c>
      <c r="J382" s="15">
        <f>IFERROR(IF(AND(INDEX(輔助計算!$D:$D, (MATCH(381, 輔助計算!$G$2:$G$801, 0)+1))&lt;&gt;"", INDEX(ERP資料!$G:$G, (MATCH(381, 輔助計算!$G$2:$G$801, 0)+1))&lt;&gt;""), TRIM(IF(INT(INDEX(輔助計算!$D:$D, (MATCH(381, 輔助計算!$G$2:$G$801, 0)+1))/IF(INDEX(ERP資料!$G:$G, (MATCH(381, 輔助計算!$G$2:$G$801, 0)+1))&lt;100, IF(INDEX(ERP資料!$G:$G, (MATCH(381, 輔助計算!$G$2:$G$801, 0)+1))&lt;=31,3,IF(INDEX(ERP資料!$G:$G, (MATCH(381, 輔助計算!$G$2:$G$801, 0)+1))&lt;=46.5,2,1)), IF(INDEX(ERP資料!$G:$G, (MATCH(381, 輔助計算!$G$2:$G$801, 0)+1))&lt;=790,3,IF(INDEX(ERP資料!$G:$G, (MATCH(381, 輔助計算!$G$2:$G$801, 0)+1))&lt;=1181,2,1))))&gt;0, IF(IF(INDEX(ERP資料!$G:$G, (MATCH(381, 輔助計算!$G$2:$G$801, 0)+1))&lt;100, IF(INDEX(ERP資料!$G:$G, (MATCH(381, 輔助計算!$G$2:$G$801, 0)+1))&lt;=31,3,IF(INDEX(ERP資料!$G:$G, (MATCH(381, 輔助計算!$G$2:$G$801, 0)+1))&lt;=46.5,2,1)), IF(INDEX(ERP資料!$G:$G, (MATCH(381, 輔助計算!$G$2:$G$801, 0)+1))&lt;=790,3,IF(INDEX(ERP資料!$G:$G, (MATCH(381, 輔助計算!$G$2:$G$801, 0)+1))&lt;=1181,2,1)))=1,TEXT(INDEX(ERP資料!$G:$G, (MATCH(381, 輔助計算!$G$2:$G$801, 0)+1)),"0.##"),IF(IF(INDEX(ERP資料!$G:$G, (MATCH(381, 輔助計算!$G$2:$G$801, 0)+1))&lt;100, IF(INDEX(ERP資料!$G:$G, (MATCH(381, 輔助計算!$G$2:$G$801, 0)+1))&lt;=31,3,IF(INDEX(ERP資料!$G:$G, (MATCH(381, 輔助計算!$G$2:$G$801, 0)+1))&lt;=46.5,2,1)), IF(INDEX(ERP資料!$G:$G, (MATCH(381, 輔助計算!$G$2:$G$801, 0)+1))&lt;=790,3,IF(INDEX(ERP資料!$G:$G, (MATCH(381, 輔助計算!$G$2:$G$801, 0)+1))&lt;=1181,2,1)))=2,TEXT(INDEX(ERP資料!$G:$G, (MATCH(381, 輔助計算!$G$2:$G$801, 0)+1)),"0.##")&amp;"+"&amp;TEXT(INDEX(ERP資料!$G:$G, (MATCH(381, 輔助計算!$G$2:$G$801, 0)+1)),"0.##"),TEXT(INDEX(ERP資料!$G:$G, (MATCH(381, 輔助計算!$G$2:$G$801, 0)+1)),"0.##")&amp;"+"&amp;TEXT(INDEX(ERP資料!$G:$G, (MATCH(381, 輔助計算!$G$2:$G$801, 0)+1)),"0.##")&amp;"+"&amp;TEXT(INDEX(ERP資料!$G:$G, (MATCH(381, 輔助計算!$G$2:$G$801, 0)+1)),"0.##")))&amp;"-"&amp;INT(INDEX(輔助計算!$D:$D, (MATCH(381, 輔助計算!$G$2:$G$801, 0)+1))/IF(INDEX(ERP資料!$G:$G, (MATCH(381, 輔助計算!$G$2:$G$801, 0)+1))&lt;100, IF(INDEX(ERP資料!$G:$G, (MATCH(381, 輔助計算!$G$2:$G$801, 0)+1))&lt;=31,3,IF(INDEX(ERP資料!$G:$G, (MATCH(381, 輔助計算!$G$2:$G$801, 0)+1))&lt;=46.5,2,1)), IF(INDEX(ERP資料!$G:$G, (MATCH(381, 輔助計算!$G$2:$G$801, 0)+1))&lt;=790,3,IF(INDEX(ERP資料!$G:$G, (MATCH(381, 輔助計算!$G$2:$G$801, 0)+1))&lt;=1181,2,1)))), "")&amp;IF(AND(IF(INT(INDEX(輔助計算!$D:$D, (MATCH(381, 輔助計算!$G$2:$G$801, 0)+1))/IF(INDEX(ERP資料!$G:$G, (MATCH(381, 輔助計算!$G$2:$G$801, 0)+1))&lt;100, IF(INDEX(ERP資料!$G:$G, (MATCH(381, 輔助計算!$G$2:$G$801, 0)+1))&lt;=31,3,IF(INDEX(ERP資料!$G:$G, (MATCH(381, 輔助計算!$G$2:$G$801, 0)+1))&lt;=46.5,2,1)), IF(INDEX(ERP資料!$G:$G, (MATCH(381, 輔助計算!$G$2:$G$801, 0)+1))&lt;=790,3,IF(INDEX(ERP資料!$G:$G, (MATCH(381, 輔助計算!$G$2:$G$801, 0)+1))&lt;=1181,2,1))))&gt;0, IF(IF(INDEX(ERP資料!$G:$G, (MATCH(381, 輔助計算!$G$2:$G$801, 0)+1))&lt;100, IF(INDEX(ERP資料!$G:$G, (MATCH(381, 輔助計算!$G$2:$G$801, 0)+1))&lt;=31,3,IF(INDEX(ERP資料!$G:$G, (MATCH(381, 輔助計算!$G$2:$G$801, 0)+1))&lt;=46.5,2,1)), IF(INDEX(ERP資料!$G:$G, (MATCH(381, 輔助計算!$G$2:$G$801, 0)+1))&lt;=790,3,IF(INDEX(ERP資料!$G:$G, (MATCH(381, 輔助計算!$G$2:$G$801, 0)+1))&lt;=1181,2,1)))=1,TEXT(INDEX(ERP資料!$G:$G, (MATCH(381, 輔助計算!$G$2:$G$801, 0)+1)),"0.##"),IF(IF(INDEX(ERP資料!$G:$G, (MATCH(381, 輔助計算!$G$2:$G$801, 0)+1))&lt;100, IF(INDEX(ERP資料!$G:$G, (MATCH(381, 輔助計算!$G$2:$G$801, 0)+1))&lt;=31,3,IF(INDEX(ERP資料!$G:$G, (MATCH(381, 輔助計算!$G$2:$G$801, 0)+1))&lt;=46.5,2,1)), IF(INDEX(ERP資料!$G:$G, (MATCH(381, 輔助計算!$G$2:$G$801, 0)+1))&lt;=790,3,IF(INDEX(ERP資料!$G:$G, (MATCH(381, 輔助計算!$G$2:$G$801, 0)+1))&lt;=1181,2,1)))=2,TEXT(INDEX(ERP資料!$G:$G, (MATCH(381, 輔助計算!$G$2:$G$801, 0)+1)),"0.##")&amp;"+"&amp;TEXT(INDEX(ERP資料!$G:$G, (MATCH(381, 輔助計算!$G$2:$G$801, 0)+1)),"0.##"),TEXT(INDEX(ERP資料!$G:$G, (MATCH(381, 輔助計算!$G$2:$G$801, 0)+1)),"0.##")&amp;"+"&amp;TEXT(INDEX(ERP資料!$G:$G, (MATCH(381, 輔助計算!$G$2:$G$801, 0)+1)),"0.##")&amp;"+"&amp;TEXT(INDEX(ERP資料!$G:$G, (MATCH(381, 輔助計算!$G$2:$G$801, 0)+1)),"0.##")))&amp;"-"&amp;INT(INDEX(輔助計算!$D:$D, (MATCH(381, 輔助計算!$G$2:$G$801, 0)+1))/IF(INDEX(ERP資料!$G:$G, (MATCH(381, 輔助計算!$G$2:$G$801, 0)+1))&lt;100, IF(INDEX(ERP資料!$G:$G, (MATCH(381, 輔助計算!$G$2:$G$801, 0)+1))&lt;=31,3,IF(INDEX(ERP資料!$G:$G, (MATCH(381, 輔助計算!$G$2:$G$801, 0)+1))&lt;=46.5,2,1)), IF(INDEX(ERP資料!$G:$G, (MATCH(381, 輔助計算!$G$2:$G$801, 0)+1))&lt;=790,3,IF(INDEX(ERP資料!$G:$G, (MATCH(381, 輔助計算!$G$2:$G$801, 0)+1))&lt;=1181,2,1)))), "")&lt;&gt;"",IF(MOD(INDEX(輔助計算!$D:$D, (MATCH(381, 輔助計算!$G$2:$G$801, 0)+1)),IF(INDEX(ERP資料!$G:$G, (MATCH(381, 輔助計算!$G$2:$G$801, 0)+1))&lt;100, IF(INDEX(ERP資料!$G:$G, (MATCH(381, 輔助計算!$G$2:$G$801, 0)+1))&lt;=31,3,IF(INDEX(ERP資料!$G:$G, (MATCH(381, 輔助計算!$G$2:$G$801, 0)+1))&lt;=46.5,2,1)), IF(INDEX(ERP資料!$G:$G, (MATCH(381, 輔助計算!$G$2:$G$801, 0)+1))&lt;=790,3,IF(INDEX(ERP資料!$G:$G, (MATCH(381, 輔助計算!$G$2:$G$801, 0)+1))&lt;=1181,2,1))))=0,"",IF(MOD(INDEX(輔助計算!$D:$D, (MATCH(381, 輔助計算!$G$2:$G$801, 0)+1)),IF(INDEX(ERP資料!$G:$G, (MATCH(381, 輔助計算!$G$2:$G$801, 0)+1))&lt;100, IF(INDEX(ERP資料!$G:$G, (MATCH(381, 輔助計算!$G$2:$G$801, 0)+1))&lt;=31,3,IF(INDEX(ERP資料!$G:$G, (MATCH(381, 輔助計算!$G$2:$G$801, 0)+1))&lt;=46.5,2,1)), IF(INDEX(ERP資料!$G:$G, (MATCH(381, 輔助計算!$G$2:$G$801, 0)+1))&lt;=790,3,IF(INDEX(ERP資料!$G:$G, (MATCH(381, 輔助計算!$G$2:$G$801, 0)+1))&lt;=1181,2,1))))=0,"",IF(MOD(INDEX(輔助計算!$D:$D, (MATCH(381, 輔助計算!$G$2:$G$801, 0)+1)),IF(INDEX(ERP資料!$G:$G, (MATCH(381, 輔助計算!$G$2:$G$801, 0)+1))&lt;100, IF(INDEX(ERP資料!$G:$G, (MATCH(381, 輔助計算!$G$2:$G$801, 0)+1))&lt;=31,3,IF(INDEX(ERP資料!$G:$G, (MATCH(381, 輔助計算!$G$2:$G$801, 0)+1))&lt;=46.5,2,1)), IF(INDEX(ERP資料!$G:$G, (MATCH(381, 輔助計算!$G$2:$G$801, 0)+1))&lt;=790,3,IF(INDEX(ERP資料!$G:$G, (MATCH(381, 輔助計算!$G$2:$G$801, 0)+1))&lt;=1181,2,1))))=1,TEXT(INDEX(ERP資料!$G:$G, (MATCH(381, 輔助計算!$G$2:$G$801, 0)+1)),"0.##"),IF(MOD(INDEX(輔助計算!$D:$D, (MATCH(381, 輔助計算!$G$2:$G$801, 0)+1)),IF(INDEX(ERP資料!$G:$G, (MATCH(381, 輔助計算!$G$2:$G$801, 0)+1))&lt;100, IF(INDEX(ERP資料!$G:$G, (MATCH(381, 輔助計算!$G$2:$G$801, 0)+1))&lt;=31,3,IF(INDEX(ERP資料!$G:$G, (MATCH(381, 輔助計算!$G$2:$G$801, 0)+1))&lt;=46.5,2,1)), IF(INDEX(ERP資料!$G:$G, (MATCH(381, 輔助計算!$G$2:$G$801, 0)+1))&lt;=790,3,IF(INDEX(ERP資料!$G:$G, (MATCH(381, 輔助計算!$G$2:$G$801, 0)+1))&lt;=1181,2,1))))=2,TEXT(INDEX(ERP資料!$G:$G, (MATCH(381, 輔助計算!$G$2:$G$801, 0)+1)),"0.##")&amp;"+"&amp;TEXT(INDEX(ERP資料!$G:$G, (MATCH(381, 輔助計算!$G$2:$G$801, 0)+1)),"0.##"),TEXT(INDEX(ERP資料!$G:$G, (MATCH(381, 輔助計算!$G$2:$G$801, 0)+1)),"0.##")&amp;"+"&amp;TEXT(INDEX(ERP資料!$G:$G, (MATCH(381, 輔助計算!$G$2:$G$801, 0)+1)),"0.##")&amp;"+"&amp;TEXT(INDEX(ERP資料!$G:$G, (MATCH(381, 輔助計算!$G$2:$G$801, 0)+1)),"0.##"))))&amp;"-1")&lt;&gt;""),"  ","")&amp;IF(MOD(INDEX(輔助計算!$D:$D, (MATCH(381, 輔助計算!$G$2:$G$801, 0)+1)),IF(INDEX(ERP資料!$G:$G, (MATCH(381, 輔助計算!$G$2:$G$801, 0)+1))&lt;100, IF(INDEX(ERP資料!$G:$G, (MATCH(381, 輔助計算!$G$2:$G$801, 0)+1))&lt;=31,3,IF(INDEX(ERP資料!$G:$G, (MATCH(381, 輔助計算!$G$2:$G$801, 0)+1))&lt;=46.5,2,1)), IF(INDEX(ERP資料!$G:$G, (MATCH(381, 輔助計算!$G$2:$G$801, 0)+1))&lt;=790,3,IF(INDEX(ERP資料!$G:$G, (MATCH(381, 輔助計算!$G$2:$G$801, 0)+1))&lt;=1181,2,1))))=0,"",IF(MOD(INDEX(輔助計算!$D:$D, (MATCH(381, 輔助計算!$G$2:$G$801, 0)+1)),IF(INDEX(ERP資料!$G:$G, (MATCH(381, 輔助計算!$G$2:$G$801, 0)+1))&lt;100, IF(INDEX(ERP資料!$G:$G, (MATCH(381, 輔助計算!$G$2:$G$801, 0)+1))&lt;=31,3,IF(INDEX(ERP資料!$G:$G, (MATCH(381, 輔助計算!$G$2:$G$801, 0)+1))&lt;=46.5,2,1)), IF(INDEX(ERP資料!$G:$G, (MATCH(381, 輔助計算!$G$2:$G$801, 0)+1))&lt;=790,3,IF(INDEX(ERP資料!$G:$G, (MATCH(381, 輔助計算!$G$2:$G$801, 0)+1))&lt;=1181,2,1))))=0,"",IF(MOD(INDEX(輔助計算!$D:$D, (MATCH(381, 輔助計算!$G$2:$G$801, 0)+1)),IF(INDEX(ERP資料!$G:$G, (MATCH(381, 輔助計算!$G$2:$G$801, 0)+1))&lt;100, IF(INDEX(ERP資料!$G:$G, (MATCH(381, 輔助計算!$G$2:$G$801, 0)+1))&lt;=31,3,IF(INDEX(ERP資料!$G:$G, (MATCH(381, 輔助計算!$G$2:$G$801, 0)+1))&lt;=46.5,2,1)), IF(INDEX(ERP資料!$G:$G, (MATCH(381, 輔助計算!$G$2:$G$801, 0)+1))&lt;=790,3,IF(INDEX(ERP資料!$G:$G, (MATCH(381, 輔助計算!$G$2:$G$801, 0)+1))&lt;=1181,2,1))))=1,TEXT(INDEX(ERP資料!$G:$G, (MATCH(381, 輔助計算!$G$2:$G$801, 0)+1)),"0.##"),IF(MOD(INDEX(輔助計算!$D:$D, (MATCH(381, 輔助計算!$G$2:$G$801, 0)+1)),IF(INDEX(ERP資料!$G:$G, (MATCH(381, 輔助計算!$G$2:$G$801, 0)+1))&lt;100, IF(INDEX(ERP資料!$G:$G, (MATCH(381, 輔助計算!$G$2:$G$801, 0)+1))&lt;=31,3,IF(INDEX(ERP資料!$G:$G, (MATCH(381, 輔助計算!$G$2:$G$801, 0)+1))&lt;=46.5,2,1)), IF(INDEX(ERP資料!$G:$G, (MATCH(381, 輔助計算!$G$2:$G$801, 0)+1))&lt;=790,3,IF(INDEX(ERP資料!$G:$G, (MATCH(381, 輔助計算!$G$2:$G$801, 0)+1))&lt;=1181,2,1))))=2,TEXT(INDEX(ERP資料!$G:$G, (MATCH(381, 輔助計算!$G$2:$G$801, 0)+1)),"0.##")&amp;"+"&amp;TEXT(INDEX(ERP資料!$G:$G, (MATCH(381, 輔助計算!$G$2:$G$801, 0)+1)),"0.##"),TEXT(INDEX(ERP資料!$G:$G, (MATCH(381, 輔助計算!$G$2:$G$801, 0)+1)),"0.##")&amp;"+"&amp;TEXT(INDEX(ERP資料!$G:$G, (MATCH(381, 輔助計算!$G$2:$G$801, 0)+1)),"0.##")&amp;"+"&amp;TEXT(INDEX(ERP資料!$G:$G, (MATCH(381, 輔助計算!$G$2:$G$801, 0)+1)),"0.##"))))&amp;"-1")), ""), "")</f>
        <v/>
      </c>
      <c r="K382" s="16" t="n"/>
      <c r="L382" s="14">
        <f>IFERROR(IF(AND(IFERROR(INDEX(ERP資料!$A:$A, (MATCH(381, 輔助計算!$G$2:$G$801, 0)+1)), "")&lt;&gt;"", IFERROR(INDEX(ERP資料!$A:$A, (MATCH(381, 輔助計算!$G$2:$G$801, 0)+1)), "")&lt;&gt;IFERROR(INDEX(ERP資料!$A:$A, MATCH(380, 輔助計算!$G$2:$G$801, 0)+1), "")), INDEX(ERP資料!$B:$B, (MATCH(381, 輔助計算!$G$2:$G$801, 0)+1)), ""), "")</f>
        <v/>
      </c>
      <c r="M382" s="17" t="n"/>
    </row>
    <row r="383">
      <c r="A383" s="10">
        <f>IFERROR(IF(AND(IFERROR(INDEX(ERP資料!$A:$A, (MATCH(382, 輔助計算!$G$2:$G$801, 0)+1)), "")&lt;&gt;"", IFERROR(INDEX(ERP資料!$A:$A, (MATCH(382, 輔助計算!$G$2:$G$801, 0)+1)), "")&lt;&gt;IFERROR(INDEX(ERP資料!$A:$A, MATCH(381, 輔助計算!$G$2:$G$801, 0)+1), "")), IFERROR(INDEX(ERP資料!$A:$A, (MATCH(382, 輔助計算!$G$2:$G$801, 0)+1)), ""), ""), "")</f>
        <v/>
      </c>
      <c r="B383" s="10">
        <f>IFERROR(IF(AND(IFERROR(INDEX(ERP資料!$A:$A, (MATCH(382, 輔助計算!$G$2:$G$801, 0)+1)), "")&lt;&gt;"", IFERROR(INDEX(ERP資料!$A:$A, (MATCH(382, 輔助計算!$G$2:$G$801, 0)+1)), "")&lt;&gt;IFERROR(INDEX(ERP資料!$A:$A, MATCH(381, 輔助計算!$G$2:$G$801, 0)+1), "")), INDEX(ERP資料!$S:$S, (MATCH(382, 輔助計算!$G$2:$G$801, 0)+1)), ""), "")</f>
        <v/>
      </c>
      <c r="C383" s="19">
        <f>IFERROR(IF(AND(IFERROR(INDEX(ERP資料!$A:$A, (MATCH(382, 輔助計算!$G$2:$G$801, 0)+1)), "")&lt;&gt;"", IFERROR(INDEX(ERP資料!$A:$A, (MATCH(382, 輔助計算!$G$2:$G$801, 0)+1)), "")&lt;&gt;IFERROR(INDEX(ERP資料!$A:$A, MATCH(381, 輔助計算!$G$2:$G$801, 0)+1), "")), IFERROR(VLOOKUP(LEFT(INDEX(ERP資料!$S:$S, (MATCH(382, 輔助計算!$G$2:$G$801, 0)+1)), 4), 紙管對照表!$A:$C, 3, FALSE), ""), ""), "")</f>
        <v/>
      </c>
      <c r="D383" s="16" t="n"/>
      <c r="E383" s="10">
        <f>IFERROR(IF(INDEX(ERP資料!$H:$H, (MATCH(382, 輔助計算!$G$2:$G$801, 0)+1))="","",INDEX(ERP資料!$H:$H, (MATCH(382, 輔助計算!$G$2:$G$801, 0)+1))), "")</f>
        <v/>
      </c>
      <c r="F383" s="10">
        <f>IFERROR(IF(INDEX(ERP資料!$E:$E, (MATCH(382, 輔助計算!$G$2:$G$801, 0)+1))="","",TRIM(INDEX(ERP資料!$E:$E, (MATCH(382, 輔助計算!$G$2:$G$801, 0)+1)))), "")</f>
        <v/>
      </c>
      <c r="G383" s="10">
        <f>IFERROR(IF(INDEX(ERP資料!$F:$F, (MATCH(382, 輔助計算!$G$2:$G$801, 0)+1))="","",INDEX(ERP資料!$F:$F, (MATCH(382, 輔助計算!$G$2:$G$801, 0)+1))), "")</f>
        <v/>
      </c>
      <c r="H383" s="10">
        <f>IFERROR(IF(INDEX(ERP資料!$G:$G, (MATCH(382, 輔助計算!$G$2:$G$801, 0)+1))="","",INDEX(ERP資料!$G:$G, (MATCH(382, 輔助計算!$G$2:$G$801, 0)+1))), "")</f>
        <v/>
      </c>
      <c r="I383" s="15">
        <f>IFERROR(INDEX(輔助計算!$D:$D, (MATCH(382, 輔助計算!$G$2:$G$801, 0)+1)), "")</f>
        <v/>
      </c>
      <c r="J383" s="15">
        <f>IFERROR(IF(AND(INDEX(輔助計算!$D:$D, (MATCH(382, 輔助計算!$G$2:$G$801, 0)+1))&lt;&gt;"", INDEX(ERP資料!$G:$G, (MATCH(382, 輔助計算!$G$2:$G$801, 0)+1))&lt;&gt;""), TRIM(IF(INT(INDEX(輔助計算!$D:$D, (MATCH(382, 輔助計算!$G$2:$G$801, 0)+1))/IF(INDEX(ERP資料!$G:$G, (MATCH(382, 輔助計算!$G$2:$G$801, 0)+1))&lt;100, IF(INDEX(ERP資料!$G:$G, (MATCH(382, 輔助計算!$G$2:$G$801, 0)+1))&lt;=31,3,IF(INDEX(ERP資料!$G:$G, (MATCH(382, 輔助計算!$G$2:$G$801, 0)+1))&lt;=46.5,2,1)), IF(INDEX(ERP資料!$G:$G, (MATCH(382, 輔助計算!$G$2:$G$801, 0)+1))&lt;=790,3,IF(INDEX(ERP資料!$G:$G, (MATCH(382, 輔助計算!$G$2:$G$801, 0)+1))&lt;=1181,2,1))))&gt;0, IF(IF(INDEX(ERP資料!$G:$G, (MATCH(382, 輔助計算!$G$2:$G$801, 0)+1))&lt;100, IF(INDEX(ERP資料!$G:$G, (MATCH(382, 輔助計算!$G$2:$G$801, 0)+1))&lt;=31,3,IF(INDEX(ERP資料!$G:$G, (MATCH(382, 輔助計算!$G$2:$G$801, 0)+1))&lt;=46.5,2,1)), IF(INDEX(ERP資料!$G:$G, (MATCH(382, 輔助計算!$G$2:$G$801, 0)+1))&lt;=790,3,IF(INDEX(ERP資料!$G:$G, (MATCH(382, 輔助計算!$G$2:$G$801, 0)+1))&lt;=1181,2,1)))=1,TEXT(INDEX(ERP資料!$G:$G, (MATCH(382, 輔助計算!$G$2:$G$801, 0)+1)),"0.##"),IF(IF(INDEX(ERP資料!$G:$G, (MATCH(382, 輔助計算!$G$2:$G$801, 0)+1))&lt;100, IF(INDEX(ERP資料!$G:$G, (MATCH(382, 輔助計算!$G$2:$G$801, 0)+1))&lt;=31,3,IF(INDEX(ERP資料!$G:$G, (MATCH(382, 輔助計算!$G$2:$G$801, 0)+1))&lt;=46.5,2,1)), IF(INDEX(ERP資料!$G:$G, (MATCH(382, 輔助計算!$G$2:$G$801, 0)+1))&lt;=790,3,IF(INDEX(ERP資料!$G:$G, (MATCH(382, 輔助計算!$G$2:$G$801, 0)+1))&lt;=1181,2,1)))=2,TEXT(INDEX(ERP資料!$G:$G, (MATCH(382, 輔助計算!$G$2:$G$801, 0)+1)),"0.##")&amp;"+"&amp;TEXT(INDEX(ERP資料!$G:$G, (MATCH(382, 輔助計算!$G$2:$G$801, 0)+1)),"0.##"),TEXT(INDEX(ERP資料!$G:$G, (MATCH(382, 輔助計算!$G$2:$G$801, 0)+1)),"0.##")&amp;"+"&amp;TEXT(INDEX(ERP資料!$G:$G, (MATCH(382, 輔助計算!$G$2:$G$801, 0)+1)),"0.##")&amp;"+"&amp;TEXT(INDEX(ERP資料!$G:$G, (MATCH(382, 輔助計算!$G$2:$G$801, 0)+1)),"0.##")))&amp;"-"&amp;INT(INDEX(輔助計算!$D:$D, (MATCH(382, 輔助計算!$G$2:$G$801, 0)+1))/IF(INDEX(ERP資料!$G:$G, (MATCH(382, 輔助計算!$G$2:$G$801, 0)+1))&lt;100, IF(INDEX(ERP資料!$G:$G, (MATCH(382, 輔助計算!$G$2:$G$801, 0)+1))&lt;=31,3,IF(INDEX(ERP資料!$G:$G, (MATCH(382, 輔助計算!$G$2:$G$801, 0)+1))&lt;=46.5,2,1)), IF(INDEX(ERP資料!$G:$G, (MATCH(382, 輔助計算!$G$2:$G$801, 0)+1))&lt;=790,3,IF(INDEX(ERP資料!$G:$G, (MATCH(382, 輔助計算!$G$2:$G$801, 0)+1))&lt;=1181,2,1)))), "")&amp;IF(AND(IF(INT(INDEX(輔助計算!$D:$D, (MATCH(382, 輔助計算!$G$2:$G$801, 0)+1))/IF(INDEX(ERP資料!$G:$G, (MATCH(382, 輔助計算!$G$2:$G$801, 0)+1))&lt;100, IF(INDEX(ERP資料!$G:$G, (MATCH(382, 輔助計算!$G$2:$G$801, 0)+1))&lt;=31,3,IF(INDEX(ERP資料!$G:$G, (MATCH(382, 輔助計算!$G$2:$G$801, 0)+1))&lt;=46.5,2,1)), IF(INDEX(ERP資料!$G:$G, (MATCH(382, 輔助計算!$G$2:$G$801, 0)+1))&lt;=790,3,IF(INDEX(ERP資料!$G:$G, (MATCH(382, 輔助計算!$G$2:$G$801, 0)+1))&lt;=1181,2,1))))&gt;0, IF(IF(INDEX(ERP資料!$G:$G, (MATCH(382, 輔助計算!$G$2:$G$801, 0)+1))&lt;100, IF(INDEX(ERP資料!$G:$G, (MATCH(382, 輔助計算!$G$2:$G$801, 0)+1))&lt;=31,3,IF(INDEX(ERP資料!$G:$G, (MATCH(382, 輔助計算!$G$2:$G$801, 0)+1))&lt;=46.5,2,1)), IF(INDEX(ERP資料!$G:$G, (MATCH(382, 輔助計算!$G$2:$G$801, 0)+1))&lt;=790,3,IF(INDEX(ERP資料!$G:$G, (MATCH(382, 輔助計算!$G$2:$G$801, 0)+1))&lt;=1181,2,1)))=1,TEXT(INDEX(ERP資料!$G:$G, (MATCH(382, 輔助計算!$G$2:$G$801, 0)+1)),"0.##"),IF(IF(INDEX(ERP資料!$G:$G, (MATCH(382, 輔助計算!$G$2:$G$801, 0)+1))&lt;100, IF(INDEX(ERP資料!$G:$G, (MATCH(382, 輔助計算!$G$2:$G$801, 0)+1))&lt;=31,3,IF(INDEX(ERP資料!$G:$G, (MATCH(382, 輔助計算!$G$2:$G$801, 0)+1))&lt;=46.5,2,1)), IF(INDEX(ERP資料!$G:$G, (MATCH(382, 輔助計算!$G$2:$G$801, 0)+1))&lt;=790,3,IF(INDEX(ERP資料!$G:$G, (MATCH(382, 輔助計算!$G$2:$G$801, 0)+1))&lt;=1181,2,1)))=2,TEXT(INDEX(ERP資料!$G:$G, (MATCH(382, 輔助計算!$G$2:$G$801, 0)+1)),"0.##")&amp;"+"&amp;TEXT(INDEX(ERP資料!$G:$G, (MATCH(382, 輔助計算!$G$2:$G$801, 0)+1)),"0.##"),TEXT(INDEX(ERP資料!$G:$G, (MATCH(382, 輔助計算!$G$2:$G$801, 0)+1)),"0.##")&amp;"+"&amp;TEXT(INDEX(ERP資料!$G:$G, (MATCH(382, 輔助計算!$G$2:$G$801, 0)+1)),"0.##")&amp;"+"&amp;TEXT(INDEX(ERP資料!$G:$G, (MATCH(382, 輔助計算!$G$2:$G$801, 0)+1)),"0.##")))&amp;"-"&amp;INT(INDEX(輔助計算!$D:$D, (MATCH(382, 輔助計算!$G$2:$G$801, 0)+1))/IF(INDEX(ERP資料!$G:$G, (MATCH(382, 輔助計算!$G$2:$G$801, 0)+1))&lt;100, IF(INDEX(ERP資料!$G:$G, (MATCH(382, 輔助計算!$G$2:$G$801, 0)+1))&lt;=31,3,IF(INDEX(ERP資料!$G:$G, (MATCH(382, 輔助計算!$G$2:$G$801, 0)+1))&lt;=46.5,2,1)), IF(INDEX(ERP資料!$G:$G, (MATCH(382, 輔助計算!$G$2:$G$801, 0)+1))&lt;=790,3,IF(INDEX(ERP資料!$G:$G, (MATCH(382, 輔助計算!$G$2:$G$801, 0)+1))&lt;=1181,2,1)))), "")&lt;&gt;"",IF(MOD(INDEX(輔助計算!$D:$D, (MATCH(382, 輔助計算!$G$2:$G$801, 0)+1)),IF(INDEX(ERP資料!$G:$G, (MATCH(382, 輔助計算!$G$2:$G$801, 0)+1))&lt;100, IF(INDEX(ERP資料!$G:$G, (MATCH(382, 輔助計算!$G$2:$G$801, 0)+1))&lt;=31,3,IF(INDEX(ERP資料!$G:$G, (MATCH(382, 輔助計算!$G$2:$G$801, 0)+1))&lt;=46.5,2,1)), IF(INDEX(ERP資料!$G:$G, (MATCH(382, 輔助計算!$G$2:$G$801, 0)+1))&lt;=790,3,IF(INDEX(ERP資料!$G:$G, (MATCH(382, 輔助計算!$G$2:$G$801, 0)+1))&lt;=1181,2,1))))=0,"",IF(MOD(INDEX(輔助計算!$D:$D, (MATCH(382, 輔助計算!$G$2:$G$801, 0)+1)),IF(INDEX(ERP資料!$G:$G, (MATCH(382, 輔助計算!$G$2:$G$801, 0)+1))&lt;100, IF(INDEX(ERP資料!$G:$G, (MATCH(382, 輔助計算!$G$2:$G$801, 0)+1))&lt;=31,3,IF(INDEX(ERP資料!$G:$G, (MATCH(382, 輔助計算!$G$2:$G$801, 0)+1))&lt;=46.5,2,1)), IF(INDEX(ERP資料!$G:$G, (MATCH(382, 輔助計算!$G$2:$G$801, 0)+1))&lt;=790,3,IF(INDEX(ERP資料!$G:$G, (MATCH(382, 輔助計算!$G$2:$G$801, 0)+1))&lt;=1181,2,1))))=0,"",IF(MOD(INDEX(輔助計算!$D:$D, (MATCH(382, 輔助計算!$G$2:$G$801, 0)+1)),IF(INDEX(ERP資料!$G:$G, (MATCH(382, 輔助計算!$G$2:$G$801, 0)+1))&lt;100, IF(INDEX(ERP資料!$G:$G, (MATCH(382, 輔助計算!$G$2:$G$801, 0)+1))&lt;=31,3,IF(INDEX(ERP資料!$G:$G, (MATCH(382, 輔助計算!$G$2:$G$801, 0)+1))&lt;=46.5,2,1)), IF(INDEX(ERP資料!$G:$G, (MATCH(382, 輔助計算!$G$2:$G$801, 0)+1))&lt;=790,3,IF(INDEX(ERP資料!$G:$G, (MATCH(382, 輔助計算!$G$2:$G$801, 0)+1))&lt;=1181,2,1))))=1,TEXT(INDEX(ERP資料!$G:$G, (MATCH(382, 輔助計算!$G$2:$G$801, 0)+1)),"0.##"),IF(MOD(INDEX(輔助計算!$D:$D, (MATCH(382, 輔助計算!$G$2:$G$801, 0)+1)),IF(INDEX(ERP資料!$G:$G, (MATCH(382, 輔助計算!$G$2:$G$801, 0)+1))&lt;100, IF(INDEX(ERP資料!$G:$G, (MATCH(382, 輔助計算!$G$2:$G$801, 0)+1))&lt;=31,3,IF(INDEX(ERP資料!$G:$G, (MATCH(382, 輔助計算!$G$2:$G$801, 0)+1))&lt;=46.5,2,1)), IF(INDEX(ERP資料!$G:$G, (MATCH(382, 輔助計算!$G$2:$G$801, 0)+1))&lt;=790,3,IF(INDEX(ERP資料!$G:$G, (MATCH(382, 輔助計算!$G$2:$G$801, 0)+1))&lt;=1181,2,1))))=2,TEXT(INDEX(ERP資料!$G:$G, (MATCH(382, 輔助計算!$G$2:$G$801, 0)+1)),"0.##")&amp;"+"&amp;TEXT(INDEX(ERP資料!$G:$G, (MATCH(382, 輔助計算!$G$2:$G$801, 0)+1)),"0.##"),TEXT(INDEX(ERP資料!$G:$G, (MATCH(382, 輔助計算!$G$2:$G$801, 0)+1)),"0.##")&amp;"+"&amp;TEXT(INDEX(ERP資料!$G:$G, (MATCH(382, 輔助計算!$G$2:$G$801, 0)+1)),"0.##")&amp;"+"&amp;TEXT(INDEX(ERP資料!$G:$G, (MATCH(382, 輔助計算!$G$2:$G$801, 0)+1)),"0.##"))))&amp;"-1")&lt;&gt;""),"  ","")&amp;IF(MOD(INDEX(輔助計算!$D:$D, (MATCH(382, 輔助計算!$G$2:$G$801, 0)+1)),IF(INDEX(ERP資料!$G:$G, (MATCH(382, 輔助計算!$G$2:$G$801, 0)+1))&lt;100, IF(INDEX(ERP資料!$G:$G, (MATCH(382, 輔助計算!$G$2:$G$801, 0)+1))&lt;=31,3,IF(INDEX(ERP資料!$G:$G, (MATCH(382, 輔助計算!$G$2:$G$801, 0)+1))&lt;=46.5,2,1)), IF(INDEX(ERP資料!$G:$G, (MATCH(382, 輔助計算!$G$2:$G$801, 0)+1))&lt;=790,3,IF(INDEX(ERP資料!$G:$G, (MATCH(382, 輔助計算!$G$2:$G$801, 0)+1))&lt;=1181,2,1))))=0,"",IF(MOD(INDEX(輔助計算!$D:$D, (MATCH(382, 輔助計算!$G$2:$G$801, 0)+1)),IF(INDEX(ERP資料!$G:$G, (MATCH(382, 輔助計算!$G$2:$G$801, 0)+1))&lt;100, IF(INDEX(ERP資料!$G:$G, (MATCH(382, 輔助計算!$G$2:$G$801, 0)+1))&lt;=31,3,IF(INDEX(ERP資料!$G:$G, (MATCH(382, 輔助計算!$G$2:$G$801, 0)+1))&lt;=46.5,2,1)), IF(INDEX(ERP資料!$G:$G, (MATCH(382, 輔助計算!$G$2:$G$801, 0)+1))&lt;=790,3,IF(INDEX(ERP資料!$G:$G, (MATCH(382, 輔助計算!$G$2:$G$801, 0)+1))&lt;=1181,2,1))))=0,"",IF(MOD(INDEX(輔助計算!$D:$D, (MATCH(382, 輔助計算!$G$2:$G$801, 0)+1)),IF(INDEX(ERP資料!$G:$G, (MATCH(382, 輔助計算!$G$2:$G$801, 0)+1))&lt;100, IF(INDEX(ERP資料!$G:$G, (MATCH(382, 輔助計算!$G$2:$G$801, 0)+1))&lt;=31,3,IF(INDEX(ERP資料!$G:$G, (MATCH(382, 輔助計算!$G$2:$G$801, 0)+1))&lt;=46.5,2,1)), IF(INDEX(ERP資料!$G:$G, (MATCH(382, 輔助計算!$G$2:$G$801, 0)+1))&lt;=790,3,IF(INDEX(ERP資料!$G:$G, (MATCH(382, 輔助計算!$G$2:$G$801, 0)+1))&lt;=1181,2,1))))=1,TEXT(INDEX(ERP資料!$G:$G, (MATCH(382, 輔助計算!$G$2:$G$801, 0)+1)),"0.##"),IF(MOD(INDEX(輔助計算!$D:$D, (MATCH(382, 輔助計算!$G$2:$G$801, 0)+1)),IF(INDEX(ERP資料!$G:$G, (MATCH(382, 輔助計算!$G$2:$G$801, 0)+1))&lt;100, IF(INDEX(ERP資料!$G:$G, (MATCH(382, 輔助計算!$G$2:$G$801, 0)+1))&lt;=31,3,IF(INDEX(ERP資料!$G:$G, (MATCH(382, 輔助計算!$G$2:$G$801, 0)+1))&lt;=46.5,2,1)), IF(INDEX(ERP資料!$G:$G, (MATCH(382, 輔助計算!$G$2:$G$801, 0)+1))&lt;=790,3,IF(INDEX(ERP資料!$G:$G, (MATCH(382, 輔助計算!$G$2:$G$801, 0)+1))&lt;=1181,2,1))))=2,TEXT(INDEX(ERP資料!$G:$G, (MATCH(382, 輔助計算!$G$2:$G$801, 0)+1)),"0.##")&amp;"+"&amp;TEXT(INDEX(ERP資料!$G:$G, (MATCH(382, 輔助計算!$G$2:$G$801, 0)+1)),"0.##"),TEXT(INDEX(ERP資料!$G:$G, (MATCH(382, 輔助計算!$G$2:$G$801, 0)+1)),"0.##")&amp;"+"&amp;TEXT(INDEX(ERP資料!$G:$G, (MATCH(382, 輔助計算!$G$2:$G$801, 0)+1)),"0.##")&amp;"+"&amp;TEXT(INDEX(ERP資料!$G:$G, (MATCH(382, 輔助計算!$G$2:$G$801, 0)+1)),"0.##"))))&amp;"-1")), ""), "")</f>
        <v/>
      </c>
      <c r="K383" s="16" t="n"/>
      <c r="L383" s="14">
        <f>IFERROR(IF(AND(IFERROR(INDEX(ERP資料!$A:$A, (MATCH(382, 輔助計算!$G$2:$G$801, 0)+1)), "")&lt;&gt;"", IFERROR(INDEX(ERP資料!$A:$A, (MATCH(382, 輔助計算!$G$2:$G$801, 0)+1)), "")&lt;&gt;IFERROR(INDEX(ERP資料!$A:$A, MATCH(381, 輔助計算!$G$2:$G$801, 0)+1), "")), INDEX(ERP資料!$B:$B, (MATCH(382, 輔助計算!$G$2:$G$801, 0)+1)), ""), "")</f>
        <v/>
      </c>
      <c r="M383" s="17" t="n"/>
    </row>
    <row r="384">
      <c r="A384" s="10">
        <f>IFERROR(IF(AND(IFERROR(INDEX(ERP資料!$A:$A, (MATCH(383, 輔助計算!$G$2:$G$801, 0)+1)), "")&lt;&gt;"", IFERROR(INDEX(ERP資料!$A:$A, (MATCH(383, 輔助計算!$G$2:$G$801, 0)+1)), "")&lt;&gt;IFERROR(INDEX(ERP資料!$A:$A, MATCH(382, 輔助計算!$G$2:$G$801, 0)+1), "")), IFERROR(INDEX(ERP資料!$A:$A, (MATCH(383, 輔助計算!$G$2:$G$801, 0)+1)), ""), ""), "")</f>
        <v/>
      </c>
      <c r="B384" s="10">
        <f>IFERROR(IF(AND(IFERROR(INDEX(ERP資料!$A:$A, (MATCH(383, 輔助計算!$G$2:$G$801, 0)+1)), "")&lt;&gt;"", IFERROR(INDEX(ERP資料!$A:$A, (MATCH(383, 輔助計算!$G$2:$G$801, 0)+1)), "")&lt;&gt;IFERROR(INDEX(ERP資料!$A:$A, MATCH(382, 輔助計算!$G$2:$G$801, 0)+1), "")), INDEX(ERP資料!$S:$S, (MATCH(383, 輔助計算!$G$2:$G$801, 0)+1)), ""), "")</f>
        <v/>
      </c>
      <c r="C384" s="19">
        <f>IFERROR(IF(AND(IFERROR(INDEX(ERP資料!$A:$A, (MATCH(383, 輔助計算!$G$2:$G$801, 0)+1)), "")&lt;&gt;"", IFERROR(INDEX(ERP資料!$A:$A, (MATCH(383, 輔助計算!$G$2:$G$801, 0)+1)), "")&lt;&gt;IFERROR(INDEX(ERP資料!$A:$A, MATCH(382, 輔助計算!$G$2:$G$801, 0)+1), "")), IFERROR(VLOOKUP(LEFT(INDEX(ERP資料!$S:$S, (MATCH(383, 輔助計算!$G$2:$G$801, 0)+1)), 4), 紙管對照表!$A:$C, 3, FALSE), ""), ""), "")</f>
        <v/>
      </c>
      <c r="D384" s="16" t="n"/>
      <c r="E384" s="10">
        <f>IFERROR(IF(INDEX(ERP資料!$H:$H, (MATCH(383, 輔助計算!$G$2:$G$801, 0)+1))="","",INDEX(ERP資料!$H:$H, (MATCH(383, 輔助計算!$G$2:$G$801, 0)+1))), "")</f>
        <v/>
      </c>
      <c r="F384" s="10">
        <f>IFERROR(IF(INDEX(ERP資料!$E:$E, (MATCH(383, 輔助計算!$G$2:$G$801, 0)+1))="","",TRIM(INDEX(ERP資料!$E:$E, (MATCH(383, 輔助計算!$G$2:$G$801, 0)+1)))), "")</f>
        <v/>
      </c>
      <c r="G384" s="10">
        <f>IFERROR(IF(INDEX(ERP資料!$F:$F, (MATCH(383, 輔助計算!$G$2:$G$801, 0)+1))="","",INDEX(ERP資料!$F:$F, (MATCH(383, 輔助計算!$G$2:$G$801, 0)+1))), "")</f>
        <v/>
      </c>
      <c r="H384" s="10">
        <f>IFERROR(IF(INDEX(ERP資料!$G:$G, (MATCH(383, 輔助計算!$G$2:$G$801, 0)+1))="","",INDEX(ERP資料!$G:$G, (MATCH(383, 輔助計算!$G$2:$G$801, 0)+1))), "")</f>
        <v/>
      </c>
      <c r="I384" s="15">
        <f>IFERROR(INDEX(輔助計算!$D:$D, (MATCH(383, 輔助計算!$G$2:$G$801, 0)+1)), "")</f>
        <v/>
      </c>
      <c r="J384" s="15">
        <f>IFERROR(IF(AND(INDEX(輔助計算!$D:$D, (MATCH(383, 輔助計算!$G$2:$G$801, 0)+1))&lt;&gt;"", INDEX(ERP資料!$G:$G, (MATCH(383, 輔助計算!$G$2:$G$801, 0)+1))&lt;&gt;""), TRIM(IF(INT(INDEX(輔助計算!$D:$D, (MATCH(383, 輔助計算!$G$2:$G$801, 0)+1))/IF(INDEX(ERP資料!$G:$G, (MATCH(383, 輔助計算!$G$2:$G$801, 0)+1))&lt;100, IF(INDEX(ERP資料!$G:$G, (MATCH(383, 輔助計算!$G$2:$G$801, 0)+1))&lt;=31,3,IF(INDEX(ERP資料!$G:$G, (MATCH(383, 輔助計算!$G$2:$G$801, 0)+1))&lt;=46.5,2,1)), IF(INDEX(ERP資料!$G:$G, (MATCH(383, 輔助計算!$G$2:$G$801, 0)+1))&lt;=790,3,IF(INDEX(ERP資料!$G:$G, (MATCH(383, 輔助計算!$G$2:$G$801, 0)+1))&lt;=1181,2,1))))&gt;0, IF(IF(INDEX(ERP資料!$G:$G, (MATCH(383, 輔助計算!$G$2:$G$801, 0)+1))&lt;100, IF(INDEX(ERP資料!$G:$G, (MATCH(383, 輔助計算!$G$2:$G$801, 0)+1))&lt;=31,3,IF(INDEX(ERP資料!$G:$G, (MATCH(383, 輔助計算!$G$2:$G$801, 0)+1))&lt;=46.5,2,1)), IF(INDEX(ERP資料!$G:$G, (MATCH(383, 輔助計算!$G$2:$G$801, 0)+1))&lt;=790,3,IF(INDEX(ERP資料!$G:$G, (MATCH(383, 輔助計算!$G$2:$G$801, 0)+1))&lt;=1181,2,1)))=1,TEXT(INDEX(ERP資料!$G:$G, (MATCH(383, 輔助計算!$G$2:$G$801, 0)+1)),"0.##"),IF(IF(INDEX(ERP資料!$G:$G, (MATCH(383, 輔助計算!$G$2:$G$801, 0)+1))&lt;100, IF(INDEX(ERP資料!$G:$G, (MATCH(383, 輔助計算!$G$2:$G$801, 0)+1))&lt;=31,3,IF(INDEX(ERP資料!$G:$G, (MATCH(383, 輔助計算!$G$2:$G$801, 0)+1))&lt;=46.5,2,1)), IF(INDEX(ERP資料!$G:$G, (MATCH(383, 輔助計算!$G$2:$G$801, 0)+1))&lt;=790,3,IF(INDEX(ERP資料!$G:$G, (MATCH(383, 輔助計算!$G$2:$G$801, 0)+1))&lt;=1181,2,1)))=2,TEXT(INDEX(ERP資料!$G:$G, (MATCH(383, 輔助計算!$G$2:$G$801, 0)+1)),"0.##")&amp;"+"&amp;TEXT(INDEX(ERP資料!$G:$G, (MATCH(383, 輔助計算!$G$2:$G$801, 0)+1)),"0.##"),TEXT(INDEX(ERP資料!$G:$G, (MATCH(383, 輔助計算!$G$2:$G$801, 0)+1)),"0.##")&amp;"+"&amp;TEXT(INDEX(ERP資料!$G:$G, (MATCH(383, 輔助計算!$G$2:$G$801, 0)+1)),"0.##")&amp;"+"&amp;TEXT(INDEX(ERP資料!$G:$G, (MATCH(383, 輔助計算!$G$2:$G$801, 0)+1)),"0.##")))&amp;"-"&amp;INT(INDEX(輔助計算!$D:$D, (MATCH(383, 輔助計算!$G$2:$G$801, 0)+1))/IF(INDEX(ERP資料!$G:$G, (MATCH(383, 輔助計算!$G$2:$G$801, 0)+1))&lt;100, IF(INDEX(ERP資料!$G:$G, (MATCH(383, 輔助計算!$G$2:$G$801, 0)+1))&lt;=31,3,IF(INDEX(ERP資料!$G:$G, (MATCH(383, 輔助計算!$G$2:$G$801, 0)+1))&lt;=46.5,2,1)), IF(INDEX(ERP資料!$G:$G, (MATCH(383, 輔助計算!$G$2:$G$801, 0)+1))&lt;=790,3,IF(INDEX(ERP資料!$G:$G, (MATCH(383, 輔助計算!$G$2:$G$801, 0)+1))&lt;=1181,2,1)))), "")&amp;IF(AND(IF(INT(INDEX(輔助計算!$D:$D, (MATCH(383, 輔助計算!$G$2:$G$801, 0)+1))/IF(INDEX(ERP資料!$G:$G, (MATCH(383, 輔助計算!$G$2:$G$801, 0)+1))&lt;100, IF(INDEX(ERP資料!$G:$G, (MATCH(383, 輔助計算!$G$2:$G$801, 0)+1))&lt;=31,3,IF(INDEX(ERP資料!$G:$G, (MATCH(383, 輔助計算!$G$2:$G$801, 0)+1))&lt;=46.5,2,1)), IF(INDEX(ERP資料!$G:$G, (MATCH(383, 輔助計算!$G$2:$G$801, 0)+1))&lt;=790,3,IF(INDEX(ERP資料!$G:$G, (MATCH(383, 輔助計算!$G$2:$G$801, 0)+1))&lt;=1181,2,1))))&gt;0, IF(IF(INDEX(ERP資料!$G:$G, (MATCH(383, 輔助計算!$G$2:$G$801, 0)+1))&lt;100, IF(INDEX(ERP資料!$G:$G, (MATCH(383, 輔助計算!$G$2:$G$801, 0)+1))&lt;=31,3,IF(INDEX(ERP資料!$G:$G, (MATCH(383, 輔助計算!$G$2:$G$801, 0)+1))&lt;=46.5,2,1)), IF(INDEX(ERP資料!$G:$G, (MATCH(383, 輔助計算!$G$2:$G$801, 0)+1))&lt;=790,3,IF(INDEX(ERP資料!$G:$G, (MATCH(383, 輔助計算!$G$2:$G$801, 0)+1))&lt;=1181,2,1)))=1,TEXT(INDEX(ERP資料!$G:$G, (MATCH(383, 輔助計算!$G$2:$G$801, 0)+1)),"0.##"),IF(IF(INDEX(ERP資料!$G:$G, (MATCH(383, 輔助計算!$G$2:$G$801, 0)+1))&lt;100, IF(INDEX(ERP資料!$G:$G, (MATCH(383, 輔助計算!$G$2:$G$801, 0)+1))&lt;=31,3,IF(INDEX(ERP資料!$G:$G, (MATCH(383, 輔助計算!$G$2:$G$801, 0)+1))&lt;=46.5,2,1)), IF(INDEX(ERP資料!$G:$G, (MATCH(383, 輔助計算!$G$2:$G$801, 0)+1))&lt;=790,3,IF(INDEX(ERP資料!$G:$G, (MATCH(383, 輔助計算!$G$2:$G$801, 0)+1))&lt;=1181,2,1)))=2,TEXT(INDEX(ERP資料!$G:$G, (MATCH(383, 輔助計算!$G$2:$G$801, 0)+1)),"0.##")&amp;"+"&amp;TEXT(INDEX(ERP資料!$G:$G, (MATCH(383, 輔助計算!$G$2:$G$801, 0)+1)),"0.##"),TEXT(INDEX(ERP資料!$G:$G, (MATCH(383, 輔助計算!$G$2:$G$801, 0)+1)),"0.##")&amp;"+"&amp;TEXT(INDEX(ERP資料!$G:$G, (MATCH(383, 輔助計算!$G$2:$G$801, 0)+1)),"0.##")&amp;"+"&amp;TEXT(INDEX(ERP資料!$G:$G, (MATCH(383, 輔助計算!$G$2:$G$801, 0)+1)),"0.##")))&amp;"-"&amp;INT(INDEX(輔助計算!$D:$D, (MATCH(383, 輔助計算!$G$2:$G$801, 0)+1))/IF(INDEX(ERP資料!$G:$G, (MATCH(383, 輔助計算!$G$2:$G$801, 0)+1))&lt;100, IF(INDEX(ERP資料!$G:$G, (MATCH(383, 輔助計算!$G$2:$G$801, 0)+1))&lt;=31,3,IF(INDEX(ERP資料!$G:$G, (MATCH(383, 輔助計算!$G$2:$G$801, 0)+1))&lt;=46.5,2,1)), IF(INDEX(ERP資料!$G:$G, (MATCH(383, 輔助計算!$G$2:$G$801, 0)+1))&lt;=790,3,IF(INDEX(ERP資料!$G:$G, (MATCH(383, 輔助計算!$G$2:$G$801, 0)+1))&lt;=1181,2,1)))), "")&lt;&gt;"",IF(MOD(INDEX(輔助計算!$D:$D, (MATCH(383, 輔助計算!$G$2:$G$801, 0)+1)),IF(INDEX(ERP資料!$G:$G, (MATCH(383, 輔助計算!$G$2:$G$801, 0)+1))&lt;100, IF(INDEX(ERP資料!$G:$G, (MATCH(383, 輔助計算!$G$2:$G$801, 0)+1))&lt;=31,3,IF(INDEX(ERP資料!$G:$G, (MATCH(383, 輔助計算!$G$2:$G$801, 0)+1))&lt;=46.5,2,1)), IF(INDEX(ERP資料!$G:$G, (MATCH(383, 輔助計算!$G$2:$G$801, 0)+1))&lt;=790,3,IF(INDEX(ERP資料!$G:$G, (MATCH(383, 輔助計算!$G$2:$G$801, 0)+1))&lt;=1181,2,1))))=0,"",IF(MOD(INDEX(輔助計算!$D:$D, (MATCH(383, 輔助計算!$G$2:$G$801, 0)+1)),IF(INDEX(ERP資料!$G:$G, (MATCH(383, 輔助計算!$G$2:$G$801, 0)+1))&lt;100, IF(INDEX(ERP資料!$G:$G, (MATCH(383, 輔助計算!$G$2:$G$801, 0)+1))&lt;=31,3,IF(INDEX(ERP資料!$G:$G, (MATCH(383, 輔助計算!$G$2:$G$801, 0)+1))&lt;=46.5,2,1)), IF(INDEX(ERP資料!$G:$G, (MATCH(383, 輔助計算!$G$2:$G$801, 0)+1))&lt;=790,3,IF(INDEX(ERP資料!$G:$G, (MATCH(383, 輔助計算!$G$2:$G$801, 0)+1))&lt;=1181,2,1))))=0,"",IF(MOD(INDEX(輔助計算!$D:$D, (MATCH(383, 輔助計算!$G$2:$G$801, 0)+1)),IF(INDEX(ERP資料!$G:$G, (MATCH(383, 輔助計算!$G$2:$G$801, 0)+1))&lt;100, IF(INDEX(ERP資料!$G:$G, (MATCH(383, 輔助計算!$G$2:$G$801, 0)+1))&lt;=31,3,IF(INDEX(ERP資料!$G:$G, (MATCH(383, 輔助計算!$G$2:$G$801, 0)+1))&lt;=46.5,2,1)), IF(INDEX(ERP資料!$G:$G, (MATCH(383, 輔助計算!$G$2:$G$801, 0)+1))&lt;=790,3,IF(INDEX(ERP資料!$G:$G, (MATCH(383, 輔助計算!$G$2:$G$801, 0)+1))&lt;=1181,2,1))))=1,TEXT(INDEX(ERP資料!$G:$G, (MATCH(383, 輔助計算!$G$2:$G$801, 0)+1)),"0.##"),IF(MOD(INDEX(輔助計算!$D:$D, (MATCH(383, 輔助計算!$G$2:$G$801, 0)+1)),IF(INDEX(ERP資料!$G:$G, (MATCH(383, 輔助計算!$G$2:$G$801, 0)+1))&lt;100, IF(INDEX(ERP資料!$G:$G, (MATCH(383, 輔助計算!$G$2:$G$801, 0)+1))&lt;=31,3,IF(INDEX(ERP資料!$G:$G, (MATCH(383, 輔助計算!$G$2:$G$801, 0)+1))&lt;=46.5,2,1)), IF(INDEX(ERP資料!$G:$G, (MATCH(383, 輔助計算!$G$2:$G$801, 0)+1))&lt;=790,3,IF(INDEX(ERP資料!$G:$G, (MATCH(383, 輔助計算!$G$2:$G$801, 0)+1))&lt;=1181,2,1))))=2,TEXT(INDEX(ERP資料!$G:$G, (MATCH(383, 輔助計算!$G$2:$G$801, 0)+1)),"0.##")&amp;"+"&amp;TEXT(INDEX(ERP資料!$G:$G, (MATCH(383, 輔助計算!$G$2:$G$801, 0)+1)),"0.##"),TEXT(INDEX(ERP資料!$G:$G, (MATCH(383, 輔助計算!$G$2:$G$801, 0)+1)),"0.##")&amp;"+"&amp;TEXT(INDEX(ERP資料!$G:$G, (MATCH(383, 輔助計算!$G$2:$G$801, 0)+1)),"0.##")&amp;"+"&amp;TEXT(INDEX(ERP資料!$G:$G, (MATCH(383, 輔助計算!$G$2:$G$801, 0)+1)),"0.##"))))&amp;"-1")&lt;&gt;""),"  ","")&amp;IF(MOD(INDEX(輔助計算!$D:$D, (MATCH(383, 輔助計算!$G$2:$G$801, 0)+1)),IF(INDEX(ERP資料!$G:$G, (MATCH(383, 輔助計算!$G$2:$G$801, 0)+1))&lt;100, IF(INDEX(ERP資料!$G:$G, (MATCH(383, 輔助計算!$G$2:$G$801, 0)+1))&lt;=31,3,IF(INDEX(ERP資料!$G:$G, (MATCH(383, 輔助計算!$G$2:$G$801, 0)+1))&lt;=46.5,2,1)), IF(INDEX(ERP資料!$G:$G, (MATCH(383, 輔助計算!$G$2:$G$801, 0)+1))&lt;=790,3,IF(INDEX(ERP資料!$G:$G, (MATCH(383, 輔助計算!$G$2:$G$801, 0)+1))&lt;=1181,2,1))))=0,"",IF(MOD(INDEX(輔助計算!$D:$D, (MATCH(383, 輔助計算!$G$2:$G$801, 0)+1)),IF(INDEX(ERP資料!$G:$G, (MATCH(383, 輔助計算!$G$2:$G$801, 0)+1))&lt;100, IF(INDEX(ERP資料!$G:$G, (MATCH(383, 輔助計算!$G$2:$G$801, 0)+1))&lt;=31,3,IF(INDEX(ERP資料!$G:$G, (MATCH(383, 輔助計算!$G$2:$G$801, 0)+1))&lt;=46.5,2,1)), IF(INDEX(ERP資料!$G:$G, (MATCH(383, 輔助計算!$G$2:$G$801, 0)+1))&lt;=790,3,IF(INDEX(ERP資料!$G:$G, (MATCH(383, 輔助計算!$G$2:$G$801, 0)+1))&lt;=1181,2,1))))=0,"",IF(MOD(INDEX(輔助計算!$D:$D, (MATCH(383, 輔助計算!$G$2:$G$801, 0)+1)),IF(INDEX(ERP資料!$G:$G, (MATCH(383, 輔助計算!$G$2:$G$801, 0)+1))&lt;100, IF(INDEX(ERP資料!$G:$G, (MATCH(383, 輔助計算!$G$2:$G$801, 0)+1))&lt;=31,3,IF(INDEX(ERP資料!$G:$G, (MATCH(383, 輔助計算!$G$2:$G$801, 0)+1))&lt;=46.5,2,1)), IF(INDEX(ERP資料!$G:$G, (MATCH(383, 輔助計算!$G$2:$G$801, 0)+1))&lt;=790,3,IF(INDEX(ERP資料!$G:$G, (MATCH(383, 輔助計算!$G$2:$G$801, 0)+1))&lt;=1181,2,1))))=1,TEXT(INDEX(ERP資料!$G:$G, (MATCH(383, 輔助計算!$G$2:$G$801, 0)+1)),"0.##"),IF(MOD(INDEX(輔助計算!$D:$D, (MATCH(383, 輔助計算!$G$2:$G$801, 0)+1)),IF(INDEX(ERP資料!$G:$G, (MATCH(383, 輔助計算!$G$2:$G$801, 0)+1))&lt;100, IF(INDEX(ERP資料!$G:$G, (MATCH(383, 輔助計算!$G$2:$G$801, 0)+1))&lt;=31,3,IF(INDEX(ERP資料!$G:$G, (MATCH(383, 輔助計算!$G$2:$G$801, 0)+1))&lt;=46.5,2,1)), IF(INDEX(ERP資料!$G:$G, (MATCH(383, 輔助計算!$G$2:$G$801, 0)+1))&lt;=790,3,IF(INDEX(ERP資料!$G:$G, (MATCH(383, 輔助計算!$G$2:$G$801, 0)+1))&lt;=1181,2,1))))=2,TEXT(INDEX(ERP資料!$G:$G, (MATCH(383, 輔助計算!$G$2:$G$801, 0)+1)),"0.##")&amp;"+"&amp;TEXT(INDEX(ERP資料!$G:$G, (MATCH(383, 輔助計算!$G$2:$G$801, 0)+1)),"0.##"),TEXT(INDEX(ERP資料!$G:$G, (MATCH(383, 輔助計算!$G$2:$G$801, 0)+1)),"0.##")&amp;"+"&amp;TEXT(INDEX(ERP資料!$G:$G, (MATCH(383, 輔助計算!$G$2:$G$801, 0)+1)),"0.##")&amp;"+"&amp;TEXT(INDEX(ERP資料!$G:$G, (MATCH(383, 輔助計算!$G$2:$G$801, 0)+1)),"0.##"))))&amp;"-1")), ""), "")</f>
        <v/>
      </c>
      <c r="K384" s="16" t="n"/>
      <c r="L384" s="14">
        <f>IFERROR(IF(AND(IFERROR(INDEX(ERP資料!$A:$A, (MATCH(383, 輔助計算!$G$2:$G$801, 0)+1)), "")&lt;&gt;"", IFERROR(INDEX(ERP資料!$A:$A, (MATCH(383, 輔助計算!$G$2:$G$801, 0)+1)), "")&lt;&gt;IFERROR(INDEX(ERP資料!$A:$A, MATCH(382, 輔助計算!$G$2:$G$801, 0)+1), "")), INDEX(ERP資料!$B:$B, (MATCH(383, 輔助計算!$G$2:$G$801, 0)+1)), ""), "")</f>
        <v/>
      </c>
      <c r="M384" s="17" t="n"/>
    </row>
    <row r="385">
      <c r="A385" s="10">
        <f>IFERROR(IF(AND(IFERROR(INDEX(ERP資料!$A:$A, (MATCH(384, 輔助計算!$G$2:$G$801, 0)+1)), "")&lt;&gt;"", IFERROR(INDEX(ERP資料!$A:$A, (MATCH(384, 輔助計算!$G$2:$G$801, 0)+1)), "")&lt;&gt;IFERROR(INDEX(ERP資料!$A:$A, MATCH(383, 輔助計算!$G$2:$G$801, 0)+1), "")), IFERROR(INDEX(ERP資料!$A:$A, (MATCH(384, 輔助計算!$G$2:$G$801, 0)+1)), ""), ""), "")</f>
        <v/>
      </c>
      <c r="B385" s="10">
        <f>IFERROR(IF(AND(IFERROR(INDEX(ERP資料!$A:$A, (MATCH(384, 輔助計算!$G$2:$G$801, 0)+1)), "")&lt;&gt;"", IFERROR(INDEX(ERP資料!$A:$A, (MATCH(384, 輔助計算!$G$2:$G$801, 0)+1)), "")&lt;&gt;IFERROR(INDEX(ERP資料!$A:$A, MATCH(383, 輔助計算!$G$2:$G$801, 0)+1), "")), INDEX(ERP資料!$S:$S, (MATCH(384, 輔助計算!$G$2:$G$801, 0)+1)), ""), "")</f>
        <v/>
      </c>
      <c r="C385" s="19">
        <f>IFERROR(IF(AND(IFERROR(INDEX(ERP資料!$A:$A, (MATCH(384, 輔助計算!$G$2:$G$801, 0)+1)), "")&lt;&gt;"", IFERROR(INDEX(ERP資料!$A:$A, (MATCH(384, 輔助計算!$G$2:$G$801, 0)+1)), "")&lt;&gt;IFERROR(INDEX(ERP資料!$A:$A, MATCH(383, 輔助計算!$G$2:$G$801, 0)+1), "")), IFERROR(VLOOKUP(LEFT(INDEX(ERP資料!$S:$S, (MATCH(384, 輔助計算!$G$2:$G$801, 0)+1)), 4), 紙管對照表!$A:$C, 3, FALSE), ""), ""), "")</f>
        <v/>
      </c>
      <c r="D385" s="16" t="n"/>
      <c r="E385" s="10">
        <f>IFERROR(IF(INDEX(ERP資料!$H:$H, (MATCH(384, 輔助計算!$G$2:$G$801, 0)+1))="","",INDEX(ERP資料!$H:$H, (MATCH(384, 輔助計算!$G$2:$G$801, 0)+1))), "")</f>
        <v/>
      </c>
      <c r="F385" s="10">
        <f>IFERROR(IF(INDEX(ERP資料!$E:$E, (MATCH(384, 輔助計算!$G$2:$G$801, 0)+1))="","",TRIM(INDEX(ERP資料!$E:$E, (MATCH(384, 輔助計算!$G$2:$G$801, 0)+1)))), "")</f>
        <v/>
      </c>
      <c r="G385" s="10">
        <f>IFERROR(IF(INDEX(ERP資料!$F:$F, (MATCH(384, 輔助計算!$G$2:$G$801, 0)+1))="","",INDEX(ERP資料!$F:$F, (MATCH(384, 輔助計算!$G$2:$G$801, 0)+1))), "")</f>
        <v/>
      </c>
      <c r="H385" s="10">
        <f>IFERROR(IF(INDEX(ERP資料!$G:$G, (MATCH(384, 輔助計算!$G$2:$G$801, 0)+1))="","",INDEX(ERP資料!$G:$G, (MATCH(384, 輔助計算!$G$2:$G$801, 0)+1))), "")</f>
        <v/>
      </c>
      <c r="I385" s="15">
        <f>IFERROR(INDEX(輔助計算!$D:$D, (MATCH(384, 輔助計算!$G$2:$G$801, 0)+1)), "")</f>
        <v/>
      </c>
      <c r="J385" s="15">
        <f>IFERROR(IF(AND(INDEX(輔助計算!$D:$D, (MATCH(384, 輔助計算!$G$2:$G$801, 0)+1))&lt;&gt;"", INDEX(ERP資料!$G:$G, (MATCH(384, 輔助計算!$G$2:$G$801, 0)+1))&lt;&gt;""), TRIM(IF(INT(INDEX(輔助計算!$D:$D, (MATCH(384, 輔助計算!$G$2:$G$801, 0)+1))/IF(INDEX(ERP資料!$G:$G, (MATCH(384, 輔助計算!$G$2:$G$801, 0)+1))&lt;100, IF(INDEX(ERP資料!$G:$G, (MATCH(384, 輔助計算!$G$2:$G$801, 0)+1))&lt;=31,3,IF(INDEX(ERP資料!$G:$G, (MATCH(384, 輔助計算!$G$2:$G$801, 0)+1))&lt;=46.5,2,1)), IF(INDEX(ERP資料!$G:$G, (MATCH(384, 輔助計算!$G$2:$G$801, 0)+1))&lt;=790,3,IF(INDEX(ERP資料!$G:$G, (MATCH(384, 輔助計算!$G$2:$G$801, 0)+1))&lt;=1181,2,1))))&gt;0, IF(IF(INDEX(ERP資料!$G:$G, (MATCH(384, 輔助計算!$G$2:$G$801, 0)+1))&lt;100, IF(INDEX(ERP資料!$G:$G, (MATCH(384, 輔助計算!$G$2:$G$801, 0)+1))&lt;=31,3,IF(INDEX(ERP資料!$G:$G, (MATCH(384, 輔助計算!$G$2:$G$801, 0)+1))&lt;=46.5,2,1)), IF(INDEX(ERP資料!$G:$G, (MATCH(384, 輔助計算!$G$2:$G$801, 0)+1))&lt;=790,3,IF(INDEX(ERP資料!$G:$G, (MATCH(384, 輔助計算!$G$2:$G$801, 0)+1))&lt;=1181,2,1)))=1,TEXT(INDEX(ERP資料!$G:$G, (MATCH(384, 輔助計算!$G$2:$G$801, 0)+1)),"0.##"),IF(IF(INDEX(ERP資料!$G:$G, (MATCH(384, 輔助計算!$G$2:$G$801, 0)+1))&lt;100, IF(INDEX(ERP資料!$G:$G, (MATCH(384, 輔助計算!$G$2:$G$801, 0)+1))&lt;=31,3,IF(INDEX(ERP資料!$G:$G, (MATCH(384, 輔助計算!$G$2:$G$801, 0)+1))&lt;=46.5,2,1)), IF(INDEX(ERP資料!$G:$G, (MATCH(384, 輔助計算!$G$2:$G$801, 0)+1))&lt;=790,3,IF(INDEX(ERP資料!$G:$G, (MATCH(384, 輔助計算!$G$2:$G$801, 0)+1))&lt;=1181,2,1)))=2,TEXT(INDEX(ERP資料!$G:$G, (MATCH(384, 輔助計算!$G$2:$G$801, 0)+1)),"0.##")&amp;"+"&amp;TEXT(INDEX(ERP資料!$G:$G, (MATCH(384, 輔助計算!$G$2:$G$801, 0)+1)),"0.##"),TEXT(INDEX(ERP資料!$G:$G, (MATCH(384, 輔助計算!$G$2:$G$801, 0)+1)),"0.##")&amp;"+"&amp;TEXT(INDEX(ERP資料!$G:$G, (MATCH(384, 輔助計算!$G$2:$G$801, 0)+1)),"0.##")&amp;"+"&amp;TEXT(INDEX(ERP資料!$G:$G, (MATCH(384, 輔助計算!$G$2:$G$801, 0)+1)),"0.##")))&amp;"-"&amp;INT(INDEX(輔助計算!$D:$D, (MATCH(384, 輔助計算!$G$2:$G$801, 0)+1))/IF(INDEX(ERP資料!$G:$G, (MATCH(384, 輔助計算!$G$2:$G$801, 0)+1))&lt;100, IF(INDEX(ERP資料!$G:$G, (MATCH(384, 輔助計算!$G$2:$G$801, 0)+1))&lt;=31,3,IF(INDEX(ERP資料!$G:$G, (MATCH(384, 輔助計算!$G$2:$G$801, 0)+1))&lt;=46.5,2,1)), IF(INDEX(ERP資料!$G:$G, (MATCH(384, 輔助計算!$G$2:$G$801, 0)+1))&lt;=790,3,IF(INDEX(ERP資料!$G:$G, (MATCH(384, 輔助計算!$G$2:$G$801, 0)+1))&lt;=1181,2,1)))), "")&amp;IF(AND(IF(INT(INDEX(輔助計算!$D:$D, (MATCH(384, 輔助計算!$G$2:$G$801, 0)+1))/IF(INDEX(ERP資料!$G:$G, (MATCH(384, 輔助計算!$G$2:$G$801, 0)+1))&lt;100, IF(INDEX(ERP資料!$G:$G, (MATCH(384, 輔助計算!$G$2:$G$801, 0)+1))&lt;=31,3,IF(INDEX(ERP資料!$G:$G, (MATCH(384, 輔助計算!$G$2:$G$801, 0)+1))&lt;=46.5,2,1)), IF(INDEX(ERP資料!$G:$G, (MATCH(384, 輔助計算!$G$2:$G$801, 0)+1))&lt;=790,3,IF(INDEX(ERP資料!$G:$G, (MATCH(384, 輔助計算!$G$2:$G$801, 0)+1))&lt;=1181,2,1))))&gt;0, IF(IF(INDEX(ERP資料!$G:$G, (MATCH(384, 輔助計算!$G$2:$G$801, 0)+1))&lt;100, IF(INDEX(ERP資料!$G:$G, (MATCH(384, 輔助計算!$G$2:$G$801, 0)+1))&lt;=31,3,IF(INDEX(ERP資料!$G:$G, (MATCH(384, 輔助計算!$G$2:$G$801, 0)+1))&lt;=46.5,2,1)), IF(INDEX(ERP資料!$G:$G, (MATCH(384, 輔助計算!$G$2:$G$801, 0)+1))&lt;=790,3,IF(INDEX(ERP資料!$G:$G, (MATCH(384, 輔助計算!$G$2:$G$801, 0)+1))&lt;=1181,2,1)))=1,TEXT(INDEX(ERP資料!$G:$G, (MATCH(384, 輔助計算!$G$2:$G$801, 0)+1)),"0.##"),IF(IF(INDEX(ERP資料!$G:$G, (MATCH(384, 輔助計算!$G$2:$G$801, 0)+1))&lt;100, IF(INDEX(ERP資料!$G:$G, (MATCH(384, 輔助計算!$G$2:$G$801, 0)+1))&lt;=31,3,IF(INDEX(ERP資料!$G:$G, (MATCH(384, 輔助計算!$G$2:$G$801, 0)+1))&lt;=46.5,2,1)), IF(INDEX(ERP資料!$G:$G, (MATCH(384, 輔助計算!$G$2:$G$801, 0)+1))&lt;=790,3,IF(INDEX(ERP資料!$G:$G, (MATCH(384, 輔助計算!$G$2:$G$801, 0)+1))&lt;=1181,2,1)))=2,TEXT(INDEX(ERP資料!$G:$G, (MATCH(384, 輔助計算!$G$2:$G$801, 0)+1)),"0.##")&amp;"+"&amp;TEXT(INDEX(ERP資料!$G:$G, (MATCH(384, 輔助計算!$G$2:$G$801, 0)+1)),"0.##"),TEXT(INDEX(ERP資料!$G:$G, (MATCH(384, 輔助計算!$G$2:$G$801, 0)+1)),"0.##")&amp;"+"&amp;TEXT(INDEX(ERP資料!$G:$G, (MATCH(384, 輔助計算!$G$2:$G$801, 0)+1)),"0.##")&amp;"+"&amp;TEXT(INDEX(ERP資料!$G:$G, (MATCH(384, 輔助計算!$G$2:$G$801, 0)+1)),"0.##")))&amp;"-"&amp;INT(INDEX(輔助計算!$D:$D, (MATCH(384, 輔助計算!$G$2:$G$801, 0)+1))/IF(INDEX(ERP資料!$G:$G, (MATCH(384, 輔助計算!$G$2:$G$801, 0)+1))&lt;100, IF(INDEX(ERP資料!$G:$G, (MATCH(384, 輔助計算!$G$2:$G$801, 0)+1))&lt;=31,3,IF(INDEX(ERP資料!$G:$G, (MATCH(384, 輔助計算!$G$2:$G$801, 0)+1))&lt;=46.5,2,1)), IF(INDEX(ERP資料!$G:$G, (MATCH(384, 輔助計算!$G$2:$G$801, 0)+1))&lt;=790,3,IF(INDEX(ERP資料!$G:$G, (MATCH(384, 輔助計算!$G$2:$G$801, 0)+1))&lt;=1181,2,1)))), "")&lt;&gt;"",IF(MOD(INDEX(輔助計算!$D:$D, (MATCH(384, 輔助計算!$G$2:$G$801, 0)+1)),IF(INDEX(ERP資料!$G:$G, (MATCH(384, 輔助計算!$G$2:$G$801, 0)+1))&lt;100, IF(INDEX(ERP資料!$G:$G, (MATCH(384, 輔助計算!$G$2:$G$801, 0)+1))&lt;=31,3,IF(INDEX(ERP資料!$G:$G, (MATCH(384, 輔助計算!$G$2:$G$801, 0)+1))&lt;=46.5,2,1)), IF(INDEX(ERP資料!$G:$G, (MATCH(384, 輔助計算!$G$2:$G$801, 0)+1))&lt;=790,3,IF(INDEX(ERP資料!$G:$G, (MATCH(384, 輔助計算!$G$2:$G$801, 0)+1))&lt;=1181,2,1))))=0,"",IF(MOD(INDEX(輔助計算!$D:$D, (MATCH(384, 輔助計算!$G$2:$G$801, 0)+1)),IF(INDEX(ERP資料!$G:$G, (MATCH(384, 輔助計算!$G$2:$G$801, 0)+1))&lt;100, IF(INDEX(ERP資料!$G:$G, (MATCH(384, 輔助計算!$G$2:$G$801, 0)+1))&lt;=31,3,IF(INDEX(ERP資料!$G:$G, (MATCH(384, 輔助計算!$G$2:$G$801, 0)+1))&lt;=46.5,2,1)), IF(INDEX(ERP資料!$G:$G, (MATCH(384, 輔助計算!$G$2:$G$801, 0)+1))&lt;=790,3,IF(INDEX(ERP資料!$G:$G, (MATCH(384, 輔助計算!$G$2:$G$801, 0)+1))&lt;=1181,2,1))))=0,"",IF(MOD(INDEX(輔助計算!$D:$D, (MATCH(384, 輔助計算!$G$2:$G$801, 0)+1)),IF(INDEX(ERP資料!$G:$G, (MATCH(384, 輔助計算!$G$2:$G$801, 0)+1))&lt;100, IF(INDEX(ERP資料!$G:$G, (MATCH(384, 輔助計算!$G$2:$G$801, 0)+1))&lt;=31,3,IF(INDEX(ERP資料!$G:$G, (MATCH(384, 輔助計算!$G$2:$G$801, 0)+1))&lt;=46.5,2,1)), IF(INDEX(ERP資料!$G:$G, (MATCH(384, 輔助計算!$G$2:$G$801, 0)+1))&lt;=790,3,IF(INDEX(ERP資料!$G:$G, (MATCH(384, 輔助計算!$G$2:$G$801, 0)+1))&lt;=1181,2,1))))=1,TEXT(INDEX(ERP資料!$G:$G, (MATCH(384, 輔助計算!$G$2:$G$801, 0)+1)),"0.##"),IF(MOD(INDEX(輔助計算!$D:$D, (MATCH(384, 輔助計算!$G$2:$G$801, 0)+1)),IF(INDEX(ERP資料!$G:$G, (MATCH(384, 輔助計算!$G$2:$G$801, 0)+1))&lt;100, IF(INDEX(ERP資料!$G:$G, (MATCH(384, 輔助計算!$G$2:$G$801, 0)+1))&lt;=31,3,IF(INDEX(ERP資料!$G:$G, (MATCH(384, 輔助計算!$G$2:$G$801, 0)+1))&lt;=46.5,2,1)), IF(INDEX(ERP資料!$G:$G, (MATCH(384, 輔助計算!$G$2:$G$801, 0)+1))&lt;=790,3,IF(INDEX(ERP資料!$G:$G, (MATCH(384, 輔助計算!$G$2:$G$801, 0)+1))&lt;=1181,2,1))))=2,TEXT(INDEX(ERP資料!$G:$G, (MATCH(384, 輔助計算!$G$2:$G$801, 0)+1)),"0.##")&amp;"+"&amp;TEXT(INDEX(ERP資料!$G:$G, (MATCH(384, 輔助計算!$G$2:$G$801, 0)+1)),"0.##"),TEXT(INDEX(ERP資料!$G:$G, (MATCH(384, 輔助計算!$G$2:$G$801, 0)+1)),"0.##")&amp;"+"&amp;TEXT(INDEX(ERP資料!$G:$G, (MATCH(384, 輔助計算!$G$2:$G$801, 0)+1)),"0.##")&amp;"+"&amp;TEXT(INDEX(ERP資料!$G:$G, (MATCH(384, 輔助計算!$G$2:$G$801, 0)+1)),"0.##"))))&amp;"-1")&lt;&gt;""),"  ","")&amp;IF(MOD(INDEX(輔助計算!$D:$D, (MATCH(384, 輔助計算!$G$2:$G$801, 0)+1)),IF(INDEX(ERP資料!$G:$G, (MATCH(384, 輔助計算!$G$2:$G$801, 0)+1))&lt;100, IF(INDEX(ERP資料!$G:$G, (MATCH(384, 輔助計算!$G$2:$G$801, 0)+1))&lt;=31,3,IF(INDEX(ERP資料!$G:$G, (MATCH(384, 輔助計算!$G$2:$G$801, 0)+1))&lt;=46.5,2,1)), IF(INDEX(ERP資料!$G:$G, (MATCH(384, 輔助計算!$G$2:$G$801, 0)+1))&lt;=790,3,IF(INDEX(ERP資料!$G:$G, (MATCH(384, 輔助計算!$G$2:$G$801, 0)+1))&lt;=1181,2,1))))=0,"",IF(MOD(INDEX(輔助計算!$D:$D, (MATCH(384, 輔助計算!$G$2:$G$801, 0)+1)),IF(INDEX(ERP資料!$G:$G, (MATCH(384, 輔助計算!$G$2:$G$801, 0)+1))&lt;100, IF(INDEX(ERP資料!$G:$G, (MATCH(384, 輔助計算!$G$2:$G$801, 0)+1))&lt;=31,3,IF(INDEX(ERP資料!$G:$G, (MATCH(384, 輔助計算!$G$2:$G$801, 0)+1))&lt;=46.5,2,1)), IF(INDEX(ERP資料!$G:$G, (MATCH(384, 輔助計算!$G$2:$G$801, 0)+1))&lt;=790,3,IF(INDEX(ERP資料!$G:$G, (MATCH(384, 輔助計算!$G$2:$G$801, 0)+1))&lt;=1181,2,1))))=0,"",IF(MOD(INDEX(輔助計算!$D:$D, (MATCH(384, 輔助計算!$G$2:$G$801, 0)+1)),IF(INDEX(ERP資料!$G:$G, (MATCH(384, 輔助計算!$G$2:$G$801, 0)+1))&lt;100, IF(INDEX(ERP資料!$G:$G, (MATCH(384, 輔助計算!$G$2:$G$801, 0)+1))&lt;=31,3,IF(INDEX(ERP資料!$G:$G, (MATCH(384, 輔助計算!$G$2:$G$801, 0)+1))&lt;=46.5,2,1)), IF(INDEX(ERP資料!$G:$G, (MATCH(384, 輔助計算!$G$2:$G$801, 0)+1))&lt;=790,3,IF(INDEX(ERP資料!$G:$G, (MATCH(384, 輔助計算!$G$2:$G$801, 0)+1))&lt;=1181,2,1))))=1,TEXT(INDEX(ERP資料!$G:$G, (MATCH(384, 輔助計算!$G$2:$G$801, 0)+1)),"0.##"),IF(MOD(INDEX(輔助計算!$D:$D, (MATCH(384, 輔助計算!$G$2:$G$801, 0)+1)),IF(INDEX(ERP資料!$G:$G, (MATCH(384, 輔助計算!$G$2:$G$801, 0)+1))&lt;100, IF(INDEX(ERP資料!$G:$G, (MATCH(384, 輔助計算!$G$2:$G$801, 0)+1))&lt;=31,3,IF(INDEX(ERP資料!$G:$G, (MATCH(384, 輔助計算!$G$2:$G$801, 0)+1))&lt;=46.5,2,1)), IF(INDEX(ERP資料!$G:$G, (MATCH(384, 輔助計算!$G$2:$G$801, 0)+1))&lt;=790,3,IF(INDEX(ERP資料!$G:$G, (MATCH(384, 輔助計算!$G$2:$G$801, 0)+1))&lt;=1181,2,1))))=2,TEXT(INDEX(ERP資料!$G:$G, (MATCH(384, 輔助計算!$G$2:$G$801, 0)+1)),"0.##")&amp;"+"&amp;TEXT(INDEX(ERP資料!$G:$G, (MATCH(384, 輔助計算!$G$2:$G$801, 0)+1)),"0.##"),TEXT(INDEX(ERP資料!$G:$G, (MATCH(384, 輔助計算!$G$2:$G$801, 0)+1)),"0.##")&amp;"+"&amp;TEXT(INDEX(ERP資料!$G:$G, (MATCH(384, 輔助計算!$G$2:$G$801, 0)+1)),"0.##")&amp;"+"&amp;TEXT(INDEX(ERP資料!$G:$G, (MATCH(384, 輔助計算!$G$2:$G$801, 0)+1)),"0.##"))))&amp;"-1")), ""), "")</f>
        <v/>
      </c>
      <c r="K385" s="16" t="n"/>
      <c r="L385" s="14">
        <f>IFERROR(IF(AND(IFERROR(INDEX(ERP資料!$A:$A, (MATCH(384, 輔助計算!$G$2:$G$801, 0)+1)), "")&lt;&gt;"", IFERROR(INDEX(ERP資料!$A:$A, (MATCH(384, 輔助計算!$G$2:$G$801, 0)+1)), "")&lt;&gt;IFERROR(INDEX(ERP資料!$A:$A, MATCH(383, 輔助計算!$G$2:$G$801, 0)+1), "")), INDEX(ERP資料!$B:$B, (MATCH(384, 輔助計算!$G$2:$G$801, 0)+1)), ""), "")</f>
        <v/>
      </c>
      <c r="M385" s="17" t="n"/>
    </row>
    <row r="386">
      <c r="A386" s="10">
        <f>IFERROR(IF(AND(IFERROR(INDEX(ERP資料!$A:$A, (MATCH(385, 輔助計算!$G$2:$G$801, 0)+1)), "")&lt;&gt;"", IFERROR(INDEX(ERP資料!$A:$A, (MATCH(385, 輔助計算!$G$2:$G$801, 0)+1)), "")&lt;&gt;IFERROR(INDEX(ERP資料!$A:$A, MATCH(384, 輔助計算!$G$2:$G$801, 0)+1), "")), IFERROR(INDEX(ERP資料!$A:$A, (MATCH(385, 輔助計算!$G$2:$G$801, 0)+1)), ""), ""), "")</f>
        <v/>
      </c>
      <c r="B386" s="10">
        <f>IFERROR(IF(AND(IFERROR(INDEX(ERP資料!$A:$A, (MATCH(385, 輔助計算!$G$2:$G$801, 0)+1)), "")&lt;&gt;"", IFERROR(INDEX(ERP資料!$A:$A, (MATCH(385, 輔助計算!$G$2:$G$801, 0)+1)), "")&lt;&gt;IFERROR(INDEX(ERP資料!$A:$A, MATCH(384, 輔助計算!$G$2:$G$801, 0)+1), "")), INDEX(ERP資料!$S:$S, (MATCH(385, 輔助計算!$G$2:$G$801, 0)+1)), ""), "")</f>
        <v/>
      </c>
      <c r="C386" s="19">
        <f>IFERROR(IF(AND(IFERROR(INDEX(ERP資料!$A:$A, (MATCH(385, 輔助計算!$G$2:$G$801, 0)+1)), "")&lt;&gt;"", IFERROR(INDEX(ERP資料!$A:$A, (MATCH(385, 輔助計算!$G$2:$G$801, 0)+1)), "")&lt;&gt;IFERROR(INDEX(ERP資料!$A:$A, MATCH(384, 輔助計算!$G$2:$G$801, 0)+1), "")), IFERROR(VLOOKUP(LEFT(INDEX(ERP資料!$S:$S, (MATCH(385, 輔助計算!$G$2:$G$801, 0)+1)), 4), 紙管對照表!$A:$C, 3, FALSE), ""), ""), "")</f>
        <v/>
      </c>
      <c r="D386" s="16" t="n"/>
      <c r="E386" s="10">
        <f>IFERROR(IF(INDEX(ERP資料!$H:$H, (MATCH(385, 輔助計算!$G$2:$G$801, 0)+1))="","",INDEX(ERP資料!$H:$H, (MATCH(385, 輔助計算!$G$2:$G$801, 0)+1))), "")</f>
        <v/>
      </c>
      <c r="F386" s="10">
        <f>IFERROR(IF(INDEX(ERP資料!$E:$E, (MATCH(385, 輔助計算!$G$2:$G$801, 0)+1))="","",TRIM(INDEX(ERP資料!$E:$E, (MATCH(385, 輔助計算!$G$2:$G$801, 0)+1)))), "")</f>
        <v/>
      </c>
      <c r="G386" s="10">
        <f>IFERROR(IF(INDEX(ERP資料!$F:$F, (MATCH(385, 輔助計算!$G$2:$G$801, 0)+1))="","",INDEX(ERP資料!$F:$F, (MATCH(385, 輔助計算!$G$2:$G$801, 0)+1))), "")</f>
        <v/>
      </c>
      <c r="H386" s="10">
        <f>IFERROR(IF(INDEX(ERP資料!$G:$G, (MATCH(385, 輔助計算!$G$2:$G$801, 0)+1))="","",INDEX(ERP資料!$G:$G, (MATCH(385, 輔助計算!$G$2:$G$801, 0)+1))), "")</f>
        <v/>
      </c>
      <c r="I386" s="15">
        <f>IFERROR(INDEX(輔助計算!$D:$D, (MATCH(385, 輔助計算!$G$2:$G$801, 0)+1)), "")</f>
        <v/>
      </c>
      <c r="J386" s="15">
        <f>IFERROR(IF(AND(INDEX(輔助計算!$D:$D, (MATCH(385, 輔助計算!$G$2:$G$801, 0)+1))&lt;&gt;"", INDEX(ERP資料!$G:$G, (MATCH(385, 輔助計算!$G$2:$G$801, 0)+1))&lt;&gt;""), TRIM(IF(INT(INDEX(輔助計算!$D:$D, (MATCH(385, 輔助計算!$G$2:$G$801, 0)+1))/IF(INDEX(ERP資料!$G:$G, (MATCH(385, 輔助計算!$G$2:$G$801, 0)+1))&lt;100, IF(INDEX(ERP資料!$G:$G, (MATCH(385, 輔助計算!$G$2:$G$801, 0)+1))&lt;=31,3,IF(INDEX(ERP資料!$G:$G, (MATCH(385, 輔助計算!$G$2:$G$801, 0)+1))&lt;=46.5,2,1)), IF(INDEX(ERP資料!$G:$G, (MATCH(385, 輔助計算!$G$2:$G$801, 0)+1))&lt;=790,3,IF(INDEX(ERP資料!$G:$G, (MATCH(385, 輔助計算!$G$2:$G$801, 0)+1))&lt;=1181,2,1))))&gt;0, IF(IF(INDEX(ERP資料!$G:$G, (MATCH(385, 輔助計算!$G$2:$G$801, 0)+1))&lt;100, IF(INDEX(ERP資料!$G:$G, (MATCH(385, 輔助計算!$G$2:$G$801, 0)+1))&lt;=31,3,IF(INDEX(ERP資料!$G:$G, (MATCH(385, 輔助計算!$G$2:$G$801, 0)+1))&lt;=46.5,2,1)), IF(INDEX(ERP資料!$G:$G, (MATCH(385, 輔助計算!$G$2:$G$801, 0)+1))&lt;=790,3,IF(INDEX(ERP資料!$G:$G, (MATCH(385, 輔助計算!$G$2:$G$801, 0)+1))&lt;=1181,2,1)))=1,TEXT(INDEX(ERP資料!$G:$G, (MATCH(385, 輔助計算!$G$2:$G$801, 0)+1)),"0.##"),IF(IF(INDEX(ERP資料!$G:$G, (MATCH(385, 輔助計算!$G$2:$G$801, 0)+1))&lt;100, IF(INDEX(ERP資料!$G:$G, (MATCH(385, 輔助計算!$G$2:$G$801, 0)+1))&lt;=31,3,IF(INDEX(ERP資料!$G:$G, (MATCH(385, 輔助計算!$G$2:$G$801, 0)+1))&lt;=46.5,2,1)), IF(INDEX(ERP資料!$G:$G, (MATCH(385, 輔助計算!$G$2:$G$801, 0)+1))&lt;=790,3,IF(INDEX(ERP資料!$G:$G, (MATCH(385, 輔助計算!$G$2:$G$801, 0)+1))&lt;=1181,2,1)))=2,TEXT(INDEX(ERP資料!$G:$G, (MATCH(385, 輔助計算!$G$2:$G$801, 0)+1)),"0.##")&amp;"+"&amp;TEXT(INDEX(ERP資料!$G:$G, (MATCH(385, 輔助計算!$G$2:$G$801, 0)+1)),"0.##"),TEXT(INDEX(ERP資料!$G:$G, (MATCH(385, 輔助計算!$G$2:$G$801, 0)+1)),"0.##")&amp;"+"&amp;TEXT(INDEX(ERP資料!$G:$G, (MATCH(385, 輔助計算!$G$2:$G$801, 0)+1)),"0.##")&amp;"+"&amp;TEXT(INDEX(ERP資料!$G:$G, (MATCH(385, 輔助計算!$G$2:$G$801, 0)+1)),"0.##")))&amp;"-"&amp;INT(INDEX(輔助計算!$D:$D, (MATCH(385, 輔助計算!$G$2:$G$801, 0)+1))/IF(INDEX(ERP資料!$G:$G, (MATCH(385, 輔助計算!$G$2:$G$801, 0)+1))&lt;100, IF(INDEX(ERP資料!$G:$G, (MATCH(385, 輔助計算!$G$2:$G$801, 0)+1))&lt;=31,3,IF(INDEX(ERP資料!$G:$G, (MATCH(385, 輔助計算!$G$2:$G$801, 0)+1))&lt;=46.5,2,1)), IF(INDEX(ERP資料!$G:$G, (MATCH(385, 輔助計算!$G$2:$G$801, 0)+1))&lt;=790,3,IF(INDEX(ERP資料!$G:$G, (MATCH(385, 輔助計算!$G$2:$G$801, 0)+1))&lt;=1181,2,1)))), "")&amp;IF(AND(IF(INT(INDEX(輔助計算!$D:$D, (MATCH(385, 輔助計算!$G$2:$G$801, 0)+1))/IF(INDEX(ERP資料!$G:$G, (MATCH(385, 輔助計算!$G$2:$G$801, 0)+1))&lt;100, IF(INDEX(ERP資料!$G:$G, (MATCH(385, 輔助計算!$G$2:$G$801, 0)+1))&lt;=31,3,IF(INDEX(ERP資料!$G:$G, (MATCH(385, 輔助計算!$G$2:$G$801, 0)+1))&lt;=46.5,2,1)), IF(INDEX(ERP資料!$G:$G, (MATCH(385, 輔助計算!$G$2:$G$801, 0)+1))&lt;=790,3,IF(INDEX(ERP資料!$G:$G, (MATCH(385, 輔助計算!$G$2:$G$801, 0)+1))&lt;=1181,2,1))))&gt;0, IF(IF(INDEX(ERP資料!$G:$G, (MATCH(385, 輔助計算!$G$2:$G$801, 0)+1))&lt;100, IF(INDEX(ERP資料!$G:$G, (MATCH(385, 輔助計算!$G$2:$G$801, 0)+1))&lt;=31,3,IF(INDEX(ERP資料!$G:$G, (MATCH(385, 輔助計算!$G$2:$G$801, 0)+1))&lt;=46.5,2,1)), IF(INDEX(ERP資料!$G:$G, (MATCH(385, 輔助計算!$G$2:$G$801, 0)+1))&lt;=790,3,IF(INDEX(ERP資料!$G:$G, (MATCH(385, 輔助計算!$G$2:$G$801, 0)+1))&lt;=1181,2,1)))=1,TEXT(INDEX(ERP資料!$G:$G, (MATCH(385, 輔助計算!$G$2:$G$801, 0)+1)),"0.##"),IF(IF(INDEX(ERP資料!$G:$G, (MATCH(385, 輔助計算!$G$2:$G$801, 0)+1))&lt;100, IF(INDEX(ERP資料!$G:$G, (MATCH(385, 輔助計算!$G$2:$G$801, 0)+1))&lt;=31,3,IF(INDEX(ERP資料!$G:$G, (MATCH(385, 輔助計算!$G$2:$G$801, 0)+1))&lt;=46.5,2,1)), IF(INDEX(ERP資料!$G:$G, (MATCH(385, 輔助計算!$G$2:$G$801, 0)+1))&lt;=790,3,IF(INDEX(ERP資料!$G:$G, (MATCH(385, 輔助計算!$G$2:$G$801, 0)+1))&lt;=1181,2,1)))=2,TEXT(INDEX(ERP資料!$G:$G, (MATCH(385, 輔助計算!$G$2:$G$801, 0)+1)),"0.##")&amp;"+"&amp;TEXT(INDEX(ERP資料!$G:$G, (MATCH(385, 輔助計算!$G$2:$G$801, 0)+1)),"0.##"),TEXT(INDEX(ERP資料!$G:$G, (MATCH(385, 輔助計算!$G$2:$G$801, 0)+1)),"0.##")&amp;"+"&amp;TEXT(INDEX(ERP資料!$G:$G, (MATCH(385, 輔助計算!$G$2:$G$801, 0)+1)),"0.##")&amp;"+"&amp;TEXT(INDEX(ERP資料!$G:$G, (MATCH(385, 輔助計算!$G$2:$G$801, 0)+1)),"0.##")))&amp;"-"&amp;INT(INDEX(輔助計算!$D:$D, (MATCH(385, 輔助計算!$G$2:$G$801, 0)+1))/IF(INDEX(ERP資料!$G:$G, (MATCH(385, 輔助計算!$G$2:$G$801, 0)+1))&lt;100, IF(INDEX(ERP資料!$G:$G, (MATCH(385, 輔助計算!$G$2:$G$801, 0)+1))&lt;=31,3,IF(INDEX(ERP資料!$G:$G, (MATCH(385, 輔助計算!$G$2:$G$801, 0)+1))&lt;=46.5,2,1)), IF(INDEX(ERP資料!$G:$G, (MATCH(385, 輔助計算!$G$2:$G$801, 0)+1))&lt;=790,3,IF(INDEX(ERP資料!$G:$G, (MATCH(385, 輔助計算!$G$2:$G$801, 0)+1))&lt;=1181,2,1)))), "")&lt;&gt;"",IF(MOD(INDEX(輔助計算!$D:$D, (MATCH(385, 輔助計算!$G$2:$G$801, 0)+1)),IF(INDEX(ERP資料!$G:$G, (MATCH(385, 輔助計算!$G$2:$G$801, 0)+1))&lt;100, IF(INDEX(ERP資料!$G:$G, (MATCH(385, 輔助計算!$G$2:$G$801, 0)+1))&lt;=31,3,IF(INDEX(ERP資料!$G:$G, (MATCH(385, 輔助計算!$G$2:$G$801, 0)+1))&lt;=46.5,2,1)), IF(INDEX(ERP資料!$G:$G, (MATCH(385, 輔助計算!$G$2:$G$801, 0)+1))&lt;=790,3,IF(INDEX(ERP資料!$G:$G, (MATCH(385, 輔助計算!$G$2:$G$801, 0)+1))&lt;=1181,2,1))))=0,"",IF(MOD(INDEX(輔助計算!$D:$D, (MATCH(385, 輔助計算!$G$2:$G$801, 0)+1)),IF(INDEX(ERP資料!$G:$G, (MATCH(385, 輔助計算!$G$2:$G$801, 0)+1))&lt;100, IF(INDEX(ERP資料!$G:$G, (MATCH(385, 輔助計算!$G$2:$G$801, 0)+1))&lt;=31,3,IF(INDEX(ERP資料!$G:$G, (MATCH(385, 輔助計算!$G$2:$G$801, 0)+1))&lt;=46.5,2,1)), IF(INDEX(ERP資料!$G:$G, (MATCH(385, 輔助計算!$G$2:$G$801, 0)+1))&lt;=790,3,IF(INDEX(ERP資料!$G:$G, (MATCH(385, 輔助計算!$G$2:$G$801, 0)+1))&lt;=1181,2,1))))=0,"",IF(MOD(INDEX(輔助計算!$D:$D, (MATCH(385, 輔助計算!$G$2:$G$801, 0)+1)),IF(INDEX(ERP資料!$G:$G, (MATCH(385, 輔助計算!$G$2:$G$801, 0)+1))&lt;100, IF(INDEX(ERP資料!$G:$G, (MATCH(385, 輔助計算!$G$2:$G$801, 0)+1))&lt;=31,3,IF(INDEX(ERP資料!$G:$G, (MATCH(385, 輔助計算!$G$2:$G$801, 0)+1))&lt;=46.5,2,1)), IF(INDEX(ERP資料!$G:$G, (MATCH(385, 輔助計算!$G$2:$G$801, 0)+1))&lt;=790,3,IF(INDEX(ERP資料!$G:$G, (MATCH(385, 輔助計算!$G$2:$G$801, 0)+1))&lt;=1181,2,1))))=1,TEXT(INDEX(ERP資料!$G:$G, (MATCH(385, 輔助計算!$G$2:$G$801, 0)+1)),"0.##"),IF(MOD(INDEX(輔助計算!$D:$D, (MATCH(385, 輔助計算!$G$2:$G$801, 0)+1)),IF(INDEX(ERP資料!$G:$G, (MATCH(385, 輔助計算!$G$2:$G$801, 0)+1))&lt;100, IF(INDEX(ERP資料!$G:$G, (MATCH(385, 輔助計算!$G$2:$G$801, 0)+1))&lt;=31,3,IF(INDEX(ERP資料!$G:$G, (MATCH(385, 輔助計算!$G$2:$G$801, 0)+1))&lt;=46.5,2,1)), IF(INDEX(ERP資料!$G:$G, (MATCH(385, 輔助計算!$G$2:$G$801, 0)+1))&lt;=790,3,IF(INDEX(ERP資料!$G:$G, (MATCH(385, 輔助計算!$G$2:$G$801, 0)+1))&lt;=1181,2,1))))=2,TEXT(INDEX(ERP資料!$G:$G, (MATCH(385, 輔助計算!$G$2:$G$801, 0)+1)),"0.##")&amp;"+"&amp;TEXT(INDEX(ERP資料!$G:$G, (MATCH(385, 輔助計算!$G$2:$G$801, 0)+1)),"0.##"),TEXT(INDEX(ERP資料!$G:$G, (MATCH(385, 輔助計算!$G$2:$G$801, 0)+1)),"0.##")&amp;"+"&amp;TEXT(INDEX(ERP資料!$G:$G, (MATCH(385, 輔助計算!$G$2:$G$801, 0)+1)),"0.##")&amp;"+"&amp;TEXT(INDEX(ERP資料!$G:$G, (MATCH(385, 輔助計算!$G$2:$G$801, 0)+1)),"0.##"))))&amp;"-1")&lt;&gt;""),"  ","")&amp;IF(MOD(INDEX(輔助計算!$D:$D, (MATCH(385, 輔助計算!$G$2:$G$801, 0)+1)),IF(INDEX(ERP資料!$G:$G, (MATCH(385, 輔助計算!$G$2:$G$801, 0)+1))&lt;100, IF(INDEX(ERP資料!$G:$G, (MATCH(385, 輔助計算!$G$2:$G$801, 0)+1))&lt;=31,3,IF(INDEX(ERP資料!$G:$G, (MATCH(385, 輔助計算!$G$2:$G$801, 0)+1))&lt;=46.5,2,1)), IF(INDEX(ERP資料!$G:$G, (MATCH(385, 輔助計算!$G$2:$G$801, 0)+1))&lt;=790,3,IF(INDEX(ERP資料!$G:$G, (MATCH(385, 輔助計算!$G$2:$G$801, 0)+1))&lt;=1181,2,1))))=0,"",IF(MOD(INDEX(輔助計算!$D:$D, (MATCH(385, 輔助計算!$G$2:$G$801, 0)+1)),IF(INDEX(ERP資料!$G:$G, (MATCH(385, 輔助計算!$G$2:$G$801, 0)+1))&lt;100, IF(INDEX(ERP資料!$G:$G, (MATCH(385, 輔助計算!$G$2:$G$801, 0)+1))&lt;=31,3,IF(INDEX(ERP資料!$G:$G, (MATCH(385, 輔助計算!$G$2:$G$801, 0)+1))&lt;=46.5,2,1)), IF(INDEX(ERP資料!$G:$G, (MATCH(385, 輔助計算!$G$2:$G$801, 0)+1))&lt;=790,3,IF(INDEX(ERP資料!$G:$G, (MATCH(385, 輔助計算!$G$2:$G$801, 0)+1))&lt;=1181,2,1))))=0,"",IF(MOD(INDEX(輔助計算!$D:$D, (MATCH(385, 輔助計算!$G$2:$G$801, 0)+1)),IF(INDEX(ERP資料!$G:$G, (MATCH(385, 輔助計算!$G$2:$G$801, 0)+1))&lt;100, IF(INDEX(ERP資料!$G:$G, (MATCH(385, 輔助計算!$G$2:$G$801, 0)+1))&lt;=31,3,IF(INDEX(ERP資料!$G:$G, (MATCH(385, 輔助計算!$G$2:$G$801, 0)+1))&lt;=46.5,2,1)), IF(INDEX(ERP資料!$G:$G, (MATCH(385, 輔助計算!$G$2:$G$801, 0)+1))&lt;=790,3,IF(INDEX(ERP資料!$G:$G, (MATCH(385, 輔助計算!$G$2:$G$801, 0)+1))&lt;=1181,2,1))))=1,TEXT(INDEX(ERP資料!$G:$G, (MATCH(385, 輔助計算!$G$2:$G$801, 0)+1)),"0.##"),IF(MOD(INDEX(輔助計算!$D:$D, (MATCH(385, 輔助計算!$G$2:$G$801, 0)+1)),IF(INDEX(ERP資料!$G:$G, (MATCH(385, 輔助計算!$G$2:$G$801, 0)+1))&lt;100, IF(INDEX(ERP資料!$G:$G, (MATCH(385, 輔助計算!$G$2:$G$801, 0)+1))&lt;=31,3,IF(INDEX(ERP資料!$G:$G, (MATCH(385, 輔助計算!$G$2:$G$801, 0)+1))&lt;=46.5,2,1)), IF(INDEX(ERP資料!$G:$G, (MATCH(385, 輔助計算!$G$2:$G$801, 0)+1))&lt;=790,3,IF(INDEX(ERP資料!$G:$G, (MATCH(385, 輔助計算!$G$2:$G$801, 0)+1))&lt;=1181,2,1))))=2,TEXT(INDEX(ERP資料!$G:$G, (MATCH(385, 輔助計算!$G$2:$G$801, 0)+1)),"0.##")&amp;"+"&amp;TEXT(INDEX(ERP資料!$G:$G, (MATCH(385, 輔助計算!$G$2:$G$801, 0)+1)),"0.##"),TEXT(INDEX(ERP資料!$G:$G, (MATCH(385, 輔助計算!$G$2:$G$801, 0)+1)),"0.##")&amp;"+"&amp;TEXT(INDEX(ERP資料!$G:$G, (MATCH(385, 輔助計算!$G$2:$G$801, 0)+1)),"0.##")&amp;"+"&amp;TEXT(INDEX(ERP資料!$G:$G, (MATCH(385, 輔助計算!$G$2:$G$801, 0)+1)),"0.##"))))&amp;"-1")), ""), "")</f>
        <v/>
      </c>
      <c r="K386" s="16" t="n"/>
      <c r="L386" s="14">
        <f>IFERROR(IF(AND(IFERROR(INDEX(ERP資料!$A:$A, (MATCH(385, 輔助計算!$G$2:$G$801, 0)+1)), "")&lt;&gt;"", IFERROR(INDEX(ERP資料!$A:$A, (MATCH(385, 輔助計算!$G$2:$G$801, 0)+1)), "")&lt;&gt;IFERROR(INDEX(ERP資料!$A:$A, MATCH(384, 輔助計算!$G$2:$G$801, 0)+1), "")), INDEX(ERP資料!$B:$B, (MATCH(385, 輔助計算!$G$2:$G$801, 0)+1)), ""), "")</f>
        <v/>
      </c>
      <c r="M386" s="17" t="n"/>
    </row>
    <row r="387">
      <c r="A387" s="10">
        <f>IFERROR(IF(AND(IFERROR(INDEX(ERP資料!$A:$A, (MATCH(386, 輔助計算!$G$2:$G$801, 0)+1)), "")&lt;&gt;"", IFERROR(INDEX(ERP資料!$A:$A, (MATCH(386, 輔助計算!$G$2:$G$801, 0)+1)), "")&lt;&gt;IFERROR(INDEX(ERP資料!$A:$A, MATCH(385, 輔助計算!$G$2:$G$801, 0)+1), "")), IFERROR(INDEX(ERP資料!$A:$A, (MATCH(386, 輔助計算!$G$2:$G$801, 0)+1)), ""), ""), "")</f>
        <v/>
      </c>
      <c r="B387" s="10">
        <f>IFERROR(IF(AND(IFERROR(INDEX(ERP資料!$A:$A, (MATCH(386, 輔助計算!$G$2:$G$801, 0)+1)), "")&lt;&gt;"", IFERROR(INDEX(ERP資料!$A:$A, (MATCH(386, 輔助計算!$G$2:$G$801, 0)+1)), "")&lt;&gt;IFERROR(INDEX(ERP資料!$A:$A, MATCH(385, 輔助計算!$G$2:$G$801, 0)+1), "")), INDEX(ERP資料!$S:$S, (MATCH(386, 輔助計算!$G$2:$G$801, 0)+1)), ""), "")</f>
        <v/>
      </c>
      <c r="C387" s="19">
        <f>IFERROR(IF(AND(IFERROR(INDEX(ERP資料!$A:$A, (MATCH(386, 輔助計算!$G$2:$G$801, 0)+1)), "")&lt;&gt;"", IFERROR(INDEX(ERP資料!$A:$A, (MATCH(386, 輔助計算!$G$2:$G$801, 0)+1)), "")&lt;&gt;IFERROR(INDEX(ERP資料!$A:$A, MATCH(385, 輔助計算!$G$2:$G$801, 0)+1), "")), IFERROR(VLOOKUP(LEFT(INDEX(ERP資料!$S:$S, (MATCH(386, 輔助計算!$G$2:$G$801, 0)+1)), 4), 紙管對照表!$A:$C, 3, FALSE), ""), ""), "")</f>
        <v/>
      </c>
      <c r="D387" s="16" t="n"/>
      <c r="E387" s="10">
        <f>IFERROR(IF(INDEX(ERP資料!$H:$H, (MATCH(386, 輔助計算!$G$2:$G$801, 0)+1))="","",INDEX(ERP資料!$H:$H, (MATCH(386, 輔助計算!$G$2:$G$801, 0)+1))), "")</f>
        <v/>
      </c>
      <c r="F387" s="10">
        <f>IFERROR(IF(INDEX(ERP資料!$E:$E, (MATCH(386, 輔助計算!$G$2:$G$801, 0)+1))="","",TRIM(INDEX(ERP資料!$E:$E, (MATCH(386, 輔助計算!$G$2:$G$801, 0)+1)))), "")</f>
        <v/>
      </c>
      <c r="G387" s="10">
        <f>IFERROR(IF(INDEX(ERP資料!$F:$F, (MATCH(386, 輔助計算!$G$2:$G$801, 0)+1))="","",INDEX(ERP資料!$F:$F, (MATCH(386, 輔助計算!$G$2:$G$801, 0)+1))), "")</f>
        <v/>
      </c>
      <c r="H387" s="10">
        <f>IFERROR(IF(INDEX(ERP資料!$G:$G, (MATCH(386, 輔助計算!$G$2:$G$801, 0)+1))="","",INDEX(ERP資料!$G:$G, (MATCH(386, 輔助計算!$G$2:$G$801, 0)+1))), "")</f>
        <v/>
      </c>
      <c r="I387" s="15">
        <f>IFERROR(INDEX(輔助計算!$D:$D, (MATCH(386, 輔助計算!$G$2:$G$801, 0)+1)), "")</f>
        <v/>
      </c>
      <c r="J387" s="15">
        <f>IFERROR(IF(AND(INDEX(輔助計算!$D:$D, (MATCH(386, 輔助計算!$G$2:$G$801, 0)+1))&lt;&gt;"", INDEX(ERP資料!$G:$G, (MATCH(386, 輔助計算!$G$2:$G$801, 0)+1))&lt;&gt;""), TRIM(IF(INT(INDEX(輔助計算!$D:$D, (MATCH(386, 輔助計算!$G$2:$G$801, 0)+1))/IF(INDEX(ERP資料!$G:$G, (MATCH(386, 輔助計算!$G$2:$G$801, 0)+1))&lt;100, IF(INDEX(ERP資料!$G:$G, (MATCH(386, 輔助計算!$G$2:$G$801, 0)+1))&lt;=31,3,IF(INDEX(ERP資料!$G:$G, (MATCH(386, 輔助計算!$G$2:$G$801, 0)+1))&lt;=46.5,2,1)), IF(INDEX(ERP資料!$G:$G, (MATCH(386, 輔助計算!$G$2:$G$801, 0)+1))&lt;=790,3,IF(INDEX(ERP資料!$G:$G, (MATCH(386, 輔助計算!$G$2:$G$801, 0)+1))&lt;=1181,2,1))))&gt;0, IF(IF(INDEX(ERP資料!$G:$G, (MATCH(386, 輔助計算!$G$2:$G$801, 0)+1))&lt;100, IF(INDEX(ERP資料!$G:$G, (MATCH(386, 輔助計算!$G$2:$G$801, 0)+1))&lt;=31,3,IF(INDEX(ERP資料!$G:$G, (MATCH(386, 輔助計算!$G$2:$G$801, 0)+1))&lt;=46.5,2,1)), IF(INDEX(ERP資料!$G:$G, (MATCH(386, 輔助計算!$G$2:$G$801, 0)+1))&lt;=790,3,IF(INDEX(ERP資料!$G:$G, (MATCH(386, 輔助計算!$G$2:$G$801, 0)+1))&lt;=1181,2,1)))=1,TEXT(INDEX(ERP資料!$G:$G, (MATCH(386, 輔助計算!$G$2:$G$801, 0)+1)),"0.##"),IF(IF(INDEX(ERP資料!$G:$G, (MATCH(386, 輔助計算!$G$2:$G$801, 0)+1))&lt;100, IF(INDEX(ERP資料!$G:$G, (MATCH(386, 輔助計算!$G$2:$G$801, 0)+1))&lt;=31,3,IF(INDEX(ERP資料!$G:$G, (MATCH(386, 輔助計算!$G$2:$G$801, 0)+1))&lt;=46.5,2,1)), IF(INDEX(ERP資料!$G:$G, (MATCH(386, 輔助計算!$G$2:$G$801, 0)+1))&lt;=790,3,IF(INDEX(ERP資料!$G:$G, (MATCH(386, 輔助計算!$G$2:$G$801, 0)+1))&lt;=1181,2,1)))=2,TEXT(INDEX(ERP資料!$G:$G, (MATCH(386, 輔助計算!$G$2:$G$801, 0)+1)),"0.##")&amp;"+"&amp;TEXT(INDEX(ERP資料!$G:$G, (MATCH(386, 輔助計算!$G$2:$G$801, 0)+1)),"0.##"),TEXT(INDEX(ERP資料!$G:$G, (MATCH(386, 輔助計算!$G$2:$G$801, 0)+1)),"0.##")&amp;"+"&amp;TEXT(INDEX(ERP資料!$G:$G, (MATCH(386, 輔助計算!$G$2:$G$801, 0)+1)),"0.##")&amp;"+"&amp;TEXT(INDEX(ERP資料!$G:$G, (MATCH(386, 輔助計算!$G$2:$G$801, 0)+1)),"0.##")))&amp;"-"&amp;INT(INDEX(輔助計算!$D:$D, (MATCH(386, 輔助計算!$G$2:$G$801, 0)+1))/IF(INDEX(ERP資料!$G:$G, (MATCH(386, 輔助計算!$G$2:$G$801, 0)+1))&lt;100, IF(INDEX(ERP資料!$G:$G, (MATCH(386, 輔助計算!$G$2:$G$801, 0)+1))&lt;=31,3,IF(INDEX(ERP資料!$G:$G, (MATCH(386, 輔助計算!$G$2:$G$801, 0)+1))&lt;=46.5,2,1)), IF(INDEX(ERP資料!$G:$G, (MATCH(386, 輔助計算!$G$2:$G$801, 0)+1))&lt;=790,3,IF(INDEX(ERP資料!$G:$G, (MATCH(386, 輔助計算!$G$2:$G$801, 0)+1))&lt;=1181,2,1)))), "")&amp;IF(AND(IF(INT(INDEX(輔助計算!$D:$D, (MATCH(386, 輔助計算!$G$2:$G$801, 0)+1))/IF(INDEX(ERP資料!$G:$G, (MATCH(386, 輔助計算!$G$2:$G$801, 0)+1))&lt;100, IF(INDEX(ERP資料!$G:$G, (MATCH(386, 輔助計算!$G$2:$G$801, 0)+1))&lt;=31,3,IF(INDEX(ERP資料!$G:$G, (MATCH(386, 輔助計算!$G$2:$G$801, 0)+1))&lt;=46.5,2,1)), IF(INDEX(ERP資料!$G:$G, (MATCH(386, 輔助計算!$G$2:$G$801, 0)+1))&lt;=790,3,IF(INDEX(ERP資料!$G:$G, (MATCH(386, 輔助計算!$G$2:$G$801, 0)+1))&lt;=1181,2,1))))&gt;0, IF(IF(INDEX(ERP資料!$G:$G, (MATCH(386, 輔助計算!$G$2:$G$801, 0)+1))&lt;100, IF(INDEX(ERP資料!$G:$G, (MATCH(386, 輔助計算!$G$2:$G$801, 0)+1))&lt;=31,3,IF(INDEX(ERP資料!$G:$G, (MATCH(386, 輔助計算!$G$2:$G$801, 0)+1))&lt;=46.5,2,1)), IF(INDEX(ERP資料!$G:$G, (MATCH(386, 輔助計算!$G$2:$G$801, 0)+1))&lt;=790,3,IF(INDEX(ERP資料!$G:$G, (MATCH(386, 輔助計算!$G$2:$G$801, 0)+1))&lt;=1181,2,1)))=1,TEXT(INDEX(ERP資料!$G:$G, (MATCH(386, 輔助計算!$G$2:$G$801, 0)+1)),"0.##"),IF(IF(INDEX(ERP資料!$G:$G, (MATCH(386, 輔助計算!$G$2:$G$801, 0)+1))&lt;100, IF(INDEX(ERP資料!$G:$G, (MATCH(386, 輔助計算!$G$2:$G$801, 0)+1))&lt;=31,3,IF(INDEX(ERP資料!$G:$G, (MATCH(386, 輔助計算!$G$2:$G$801, 0)+1))&lt;=46.5,2,1)), IF(INDEX(ERP資料!$G:$G, (MATCH(386, 輔助計算!$G$2:$G$801, 0)+1))&lt;=790,3,IF(INDEX(ERP資料!$G:$G, (MATCH(386, 輔助計算!$G$2:$G$801, 0)+1))&lt;=1181,2,1)))=2,TEXT(INDEX(ERP資料!$G:$G, (MATCH(386, 輔助計算!$G$2:$G$801, 0)+1)),"0.##")&amp;"+"&amp;TEXT(INDEX(ERP資料!$G:$G, (MATCH(386, 輔助計算!$G$2:$G$801, 0)+1)),"0.##"),TEXT(INDEX(ERP資料!$G:$G, (MATCH(386, 輔助計算!$G$2:$G$801, 0)+1)),"0.##")&amp;"+"&amp;TEXT(INDEX(ERP資料!$G:$G, (MATCH(386, 輔助計算!$G$2:$G$801, 0)+1)),"0.##")&amp;"+"&amp;TEXT(INDEX(ERP資料!$G:$G, (MATCH(386, 輔助計算!$G$2:$G$801, 0)+1)),"0.##")))&amp;"-"&amp;INT(INDEX(輔助計算!$D:$D, (MATCH(386, 輔助計算!$G$2:$G$801, 0)+1))/IF(INDEX(ERP資料!$G:$G, (MATCH(386, 輔助計算!$G$2:$G$801, 0)+1))&lt;100, IF(INDEX(ERP資料!$G:$G, (MATCH(386, 輔助計算!$G$2:$G$801, 0)+1))&lt;=31,3,IF(INDEX(ERP資料!$G:$G, (MATCH(386, 輔助計算!$G$2:$G$801, 0)+1))&lt;=46.5,2,1)), IF(INDEX(ERP資料!$G:$G, (MATCH(386, 輔助計算!$G$2:$G$801, 0)+1))&lt;=790,3,IF(INDEX(ERP資料!$G:$G, (MATCH(386, 輔助計算!$G$2:$G$801, 0)+1))&lt;=1181,2,1)))), "")&lt;&gt;"",IF(MOD(INDEX(輔助計算!$D:$D, (MATCH(386, 輔助計算!$G$2:$G$801, 0)+1)),IF(INDEX(ERP資料!$G:$G, (MATCH(386, 輔助計算!$G$2:$G$801, 0)+1))&lt;100, IF(INDEX(ERP資料!$G:$G, (MATCH(386, 輔助計算!$G$2:$G$801, 0)+1))&lt;=31,3,IF(INDEX(ERP資料!$G:$G, (MATCH(386, 輔助計算!$G$2:$G$801, 0)+1))&lt;=46.5,2,1)), IF(INDEX(ERP資料!$G:$G, (MATCH(386, 輔助計算!$G$2:$G$801, 0)+1))&lt;=790,3,IF(INDEX(ERP資料!$G:$G, (MATCH(386, 輔助計算!$G$2:$G$801, 0)+1))&lt;=1181,2,1))))=0,"",IF(MOD(INDEX(輔助計算!$D:$D, (MATCH(386, 輔助計算!$G$2:$G$801, 0)+1)),IF(INDEX(ERP資料!$G:$G, (MATCH(386, 輔助計算!$G$2:$G$801, 0)+1))&lt;100, IF(INDEX(ERP資料!$G:$G, (MATCH(386, 輔助計算!$G$2:$G$801, 0)+1))&lt;=31,3,IF(INDEX(ERP資料!$G:$G, (MATCH(386, 輔助計算!$G$2:$G$801, 0)+1))&lt;=46.5,2,1)), IF(INDEX(ERP資料!$G:$G, (MATCH(386, 輔助計算!$G$2:$G$801, 0)+1))&lt;=790,3,IF(INDEX(ERP資料!$G:$G, (MATCH(386, 輔助計算!$G$2:$G$801, 0)+1))&lt;=1181,2,1))))=0,"",IF(MOD(INDEX(輔助計算!$D:$D, (MATCH(386, 輔助計算!$G$2:$G$801, 0)+1)),IF(INDEX(ERP資料!$G:$G, (MATCH(386, 輔助計算!$G$2:$G$801, 0)+1))&lt;100, IF(INDEX(ERP資料!$G:$G, (MATCH(386, 輔助計算!$G$2:$G$801, 0)+1))&lt;=31,3,IF(INDEX(ERP資料!$G:$G, (MATCH(386, 輔助計算!$G$2:$G$801, 0)+1))&lt;=46.5,2,1)), IF(INDEX(ERP資料!$G:$G, (MATCH(386, 輔助計算!$G$2:$G$801, 0)+1))&lt;=790,3,IF(INDEX(ERP資料!$G:$G, (MATCH(386, 輔助計算!$G$2:$G$801, 0)+1))&lt;=1181,2,1))))=1,TEXT(INDEX(ERP資料!$G:$G, (MATCH(386, 輔助計算!$G$2:$G$801, 0)+1)),"0.##"),IF(MOD(INDEX(輔助計算!$D:$D, (MATCH(386, 輔助計算!$G$2:$G$801, 0)+1)),IF(INDEX(ERP資料!$G:$G, (MATCH(386, 輔助計算!$G$2:$G$801, 0)+1))&lt;100, IF(INDEX(ERP資料!$G:$G, (MATCH(386, 輔助計算!$G$2:$G$801, 0)+1))&lt;=31,3,IF(INDEX(ERP資料!$G:$G, (MATCH(386, 輔助計算!$G$2:$G$801, 0)+1))&lt;=46.5,2,1)), IF(INDEX(ERP資料!$G:$G, (MATCH(386, 輔助計算!$G$2:$G$801, 0)+1))&lt;=790,3,IF(INDEX(ERP資料!$G:$G, (MATCH(386, 輔助計算!$G$2:$G$801, 0)+1))&lt;=1181,2,1))))=2,TEXT(INDEX(ERP資料!$G:$G, (MATCH(386, 輔助計算!$G$2:$G$801, 0)+1)),"0.##")&amp;"+"&amp;TEXT(INDEX(ERP資料!$G:$G, (MATCH(386, 輔助計算!$G$2:$G$801, 0)+1)),"0.##"),TEXT(INDEX(ERP資料!$G:$G, (MATCH(386, 輔助計算!$G$2:$G$801, 0)+1)),"0.##")&amp;"+"&amp;TEXT(INDEX(ERP資料!$G:$G, (MATCH(386, 輔助計算!$G$2:$G$801, 0)+1)),"0.##")&amp;"+"&amp;TEXT(INDEX(ERP資料!$G:$G, (MATCH(386, 輔助計算!$G$2:$G$801, 0)+1)),"0.##"))))&amp;"-1")&lt;&gt;""),"  ","")&amp;IF(MOD(INDEX(輔助計算!$D:$D, (MATCH(386, 輔助計算!$G$2:$G$801, 0)+1)),IF(INDEX(ERP資料!$G:$G, (MATCH(386, 輔助計算!$G$2:$G$801, 0)+1))&lt;100, IF(INDEX(ERP資料!$G:$G, (MATCH(386, 輔助計算!$G$2:$G$801, 0)+1))&lt;=31,3,IF(INDEX(ERP資料!$G:$G, (MATCH(386, 輔助計算!$G$2:$G$801, 0)+1))&lt;=46.5,2,1)), IF(INDEX(ERP資料!$G:$G, (MATCH(386, 輔助計算!$G$2:$G$801, 0)+1))&lt;=790,3,IF(INDEX(ERP資料!$G:$G, (MATCH(386, 輔助計算!$G$2:$G$801, 0)+1))&lt;=1181,2,1))))=0,"",IF(MOD(INDEX(輔助計算!$D:$D, (MATCH(386, 輔助計算!$G$2:$G$801, 0)+1)),IF(INDEX(ERP資料!$G:$G, (MATCH(386, 輔助計算!$G$2:$G$801, 0)+1))&lt;100, IF(INDEX(ERP資料!$G:$G, (MATCH(386, 輔助計算!$G$2:$G$801, 0)+1))&lt;=31,3,IF(INDEX(ERP資料!$G:$G, (MATCH(386, 輔助計算!$G$2:$G$801, 0)+1))&lt;=46.5,2,1)), IF(INDEX(ERP資料!$G:$G, (MATCH(386, 輔助計算!$G$2:$G$801, 0)+1))&lt;=790,3,IF(INDEX(ERP資料!$G:$G, (MATCH(386, 輔助計算!$G$2:$G$801, 0)+1))&lt;=1181,2,1))))=0,"",IF(MOD(INDEX(輔助計算!$D:$D, (MATCH(386, 輔助計算!$G$2:$G$801, 0)+1)),IF(INDEX(ERP資料!$G:$G, (MATCH(386, 輔助計算!$G$2:$G$801, 0)+1))&lt;100, IF(INDEX(ERP資料!$G:$G, (MATCH(386, 輔助計算!$G$2:$G$801, 0)+1))&lt;=31,3,IF(INDEX(ERP資料!$G:$G, (MATCH(386, 輔助計算!$G$2:$G$801, 0)+1))&lt;=46.5,2,1)), IF(INDEX(ERP資料!$G:$G, (MATCH(386, 輔助計算!$G$2:$G$801, 0)+1))&lt;=790,3,IF(INDEX(ERP資料!$G:$G, (MATCH(386, 輔助計算!$G$2:$G$801, 0)+1))&lt;=1181,2,1))))=1,TEXT(INDEX(ERP資料!$G:$G, (MATCH(386, 輔助計算!$G$2:$G$801, 0)+1)),"0.##"),IF(MOD(INDEX(輔助計算!$D:$D, (MATCH(386, 輔助計算!$G$2:$G$801, 0)+1)),IF(INDEX(ERP資料!$G:$G, (MATCH(386, 輔助計算!$G$2:$G$801, 0)+1))&lt;100, IF(INDEX(ERP資料!$G:$G, (MATCH(386, 輔助計算!$G$2:$G$801, 0)+1))&lt;=31,3,IF(INDEX(ERP資料!$G:$G, (MATCH(386, 輔助計算!$G$2:$G$801, 0)+1))&lt;=46.5,2,1)), IF(INDEX(ERP資料!$G:$G, (MATCH(386, 輔助計算!$G$2:$G$801, 0)+1))&lt;=790,3,IF(INDEX(ERP資料!$G:$G, (MATCH(386, 輔助計算!$G$2:$G$801, 0)+1))&lt;=1181,2,1))))=2,TEXT(INDEX(ERP資料!$G:$G, (MATCH(386, 輔助計算!$G$2:$G$801, 0)+1)),"0.##")&amp;"+"&amp;TEXT(INDEX(ERP資料!$G:$G, (MATCH(386, 輔助計算!$G$2:$G$801, 0)+1)),"0.##"),TEXT(INDEX(ERP資料!$G:$G, (MATCH(386, 輔助計算!$G$2:$G$801, 0)+1)),"0.##")&amp;"+"&amp;TEXT(INDEX(ERP資料!$G:$G, (MATCH(386, 輔助計算!$G$2:$G$801, 0)+1)),"0.##")&amp;"+"&amp;TEXT(INDEX(ERP資料!$G:$G, (MATCH(386, 輔助計算!$G$2:$G$801, 0)+1)),"0.##"))))&amp;"-1")), ""), "")</f>
        <v/>
      </c>
      <c r="K387" s="16" t="n"/>
      <c r="L387" s="14">
        <f>IFERROR(IF(AND(IFERROR(INDEX(ERP資料!$A:$A, (MATCH(386, 輔助計算!$G$2:$G$801, 0)+1)), "")&lt;&gt;"", IFERROR(INDEX(ERP資料!$A:$A, (MATCH(386, 輔助計算!$G$2:$G$801, 0)+1)), "")&lt;&gt;IFERROR(INDEX(ERP資料!$A:$A, MATCH(385, 輔助計算!$G$2:$G$801, 0)+1), "")), INDEX(ERP資料!$B:$B, (MATCH(386, 輔助計算!$G$2:$G$801, 0)+1)), ""), "")</f>
        <v/>
      </c>
      <c r="M387" s="17" t="n"/>
    </row>
    <row r="388">
      <c r="A388" s="10">
        <f>IFERROR(IF(AND(IFERROR(INDEX(ERP資料!$A:$A, (MATCH(387, 輔助計算!$G$2:$G$801, 0)+1)), "")&lt;&gt;"", IFERROR(INDEX(ERP資料!$A:$A, (MATCH(387, 輔助計算!$G$2:$G$801, 0)+1)), "")&lt;&gt;IFERROR(INDEX(ERP資料!$A:$A, MATCH(386, 輔助計算!$G$2:$G$801, 0)+1), "")), IFERROR(INDEX(ERP資料!$A:$A, (MATCH(387, 輔助計算!$G$2:$G$801, 0)+1)), ""), ""), "")</f>
        <v/>
      </c>
      <c r="B388" s="10">
        <f>IFERROR(IF(AND(IFERROR(INDEX(ERP資料!$A:$A, (MATCH(387, 輔助計算!$G$2:$G$801, 0)+1)), "")&lt;&gt;"", IFERROR(INDEX(ERP資料!$A:$A, (MATCH(387, 輔助計算!$G$2:$G$801, 0)+1)), "")&lt;&gt;IFERROR(INDEX(ERP資料!$A:$A, MATCH(386, 輔助計算!$G$2:$G$801, 0)+1), "")), INDEX(ERP資料!$S:$S, (MATCH(387, 輔助計算!$G$2:$G$801, 0)+1)), ""), "")</f>
        <v/>
      </c>
      <c r="C388" s="19">
        <f>IFERROR(IF(AND(IFERROR(INDEX(ERP資料!$A:$A, (MATCH(387, 輔助計算!$G$2:$G$801, 0)+1)), "")&lt;&gt;"", IFERROR(INDEX(ERP資料!$A:$A, (MATCH(387, 輔助計算!$G$2:$G$801, 0)+1)), "")&lt;&gt;IFERROR(INDEX(ERP資料!$A:$A, MATCH(386, 輔助計算!$G$2:$G$801, 0)+1), "")), IFERROR(VLOOKUP(LEFT(INDEX(ERP資料!$S:$S, (MATCH(387, 輔助計算!$G$2:$G$801, 0)+1)), 4), 紙管對照表!$A:$C, 3, FALSE), ""), ""), "")</f>
        <v/>
      </c>
      <c r="D388" s="16" t="n"/>
      <c r="E388" s="10">
        <f>IFERROR(IF(INDEX(ERP資料!$H:$H, (MATCH(387, 輔助計算!$G$2:$G$801, 0)+1))="","",INDEX(ERP資料!$H:$H, (MATCH(387, 輔助計算!$G$2:$G$801, 0)+1))), "")</f>
        <v/>
      </c>
      <c r="F388" s="10">
        <f>IFERROR(IF(INDEX(ERP資料!$E:$E, (MATCH(387, 輔助計算!$G$2:$G$801, 0)+1))="","",TRIM(INDEX(ERP資料!$E:$E, (MATCH(387, 輔助計算!$G$2:$G$801, 0)+1)))), "")</f>
        <v/>
      </c>
      <c r="G388" s="10">
        <f>IFERROR(IF(INDEX(ERP資料!$F:$F, (MATCH(387, 輔助計算!$G$2:$G$801, 0)+1))="","",INDEX(ERP資料!$F:$F, (MATCH(387, 輔助計算!$G$2:$G$801, 0)+1))), "")</f>
        <v/>
      </c>
      <c r="H388" s="10">
        <f>IFERROR(IF(INDEX(ERP資料!$G:$G, (MATCH(387, 輔助計算!$G$2:$G$801, 0)+1))="","",INDEX(ERP資料!$G:$G, (MATCH(387, 輔助計算!$G$2:$G$801, 0)+1))), "")</f>
        <v/>
      </c>
      <c r="I388" s="15">
        <f>IFERROR(INDEX(輔助計算!$D:$D, (MATCH(387, 輔助計算!$G$2:$G$801, 0)+1)), "")</f>
        <v/>
      </c>
      <c r="J388" s="15">
        <f>IFERROR(IF(AND(INDEX(輔助計算!$D:$D, (MATCH(387, 輔助計算!$G$2:$G$801, 0)+1))&lt;&gt;"", INDEX(ERP資料!$G:$G, (MATCH(387, 輔助計算!$G$2:$G$801, 0)+1))&lt;&gt;""), TRIM(IF(INT(INDEX(輔助計算!$D:$D, (MATCH(387, 輔助計算!$G$2:$G$801, 0)+1))/IF(INDEX(ERP資料!$G:$G, (MATCH(387, 輔助計算!$G$2:$G$801, 0)+1))&lt;100, IF(INDEX(ERP資料!$G:$G, (MATCH(387, 輔助計算!$G$2:$G$801, 0)+1))&lt;=31,3,IF(INDEX(ERP資料!$G:$G, (MATCH(387, 輔助計算!$G$2:$G$801, 0)+1))&lt;=46.5,2,1)), IF(INDEX(ERP資料!$G:$G, (MATCH(387, 輔助計算!$G$2:$G$801, 0)+1))&lt;=790,3,IF(INDEX(ERP資料!$G:$G, (MATCH(387, 輔助計算!$G$2:$G$801, 0)+1))&lt;=1181,2,1))))&gt;0, IF(IF(INDEX(ERP資料!$G:$G, (MATCH(387, 輔助計算!$G$2:$G$801, 0)+1))&lt;100, IF(INDEX(ERP資料!$G:$G, (MATCH(387, 輔助計算!$G$2:$G$801, 0)+1))&lt;=31,3,IF(INDEX(ERP資料!$G:$G, (MATCH(387, 輔助計算!$G$2:$G$801, 0)+1))&lt;=46.5,2,1)), IF(INDEX(ERP資料!$G:$G, (MATCH(387, 輔助計算!$G$2:$G$801, 0)+1))&lt;=790,3,IF(INDEX(ERP資料!$G:$G, (MATCH(387, 輔助計算!$G$2:$G$801, 0)+1))&lt;=1181,2,1)))=1,TEXT(INDEX(ERP資料!$G:$G, (MATCH(387, 輔助計算!$G$2:$G$801, 0)+1)),"0.##"),IF(IF(INDEX(ERP資料!$G:$G, (MATCH(387, 輔助計算!$G$2:$G$801, 0)+1))&lt;100, IF(INDEX(ERP資料!$G:$G, (MATCH(387, 輔助計算!$G$2:$G$801, 0)+1))&lt;=31,3,IF(INDEX(ERP資料!$G:$G, (MATCH(387, 輔助計算!$G$2:$G$801, 0)+1))&lt;=46.5,2,1)), IF(INDEX(ERP資料!$G:$G, (MATCH(387, 輔助計算!$G$2:$G$801, 0)+1))&lt;=790,3,IF(INDEX(ERP資料!$G:$G, (MATCH(387, 輔助計算!$G$2:$G$801, 0)+1))&lt;=1181,2,1)))=2,TEXT(INDEX(ERP資料!$G:$G, (MATCH(387, 輔助計算!$G$2:$G$801, 0)+1)),"0.##")&amp;"+"&amp;TEXT(INDEX(ERP資料!$G:$G, (MATCH(387, 輔助計算!$G$2:$G$801, 0)+1)),"0.##"),TEXT(INDEX(ERP資料!$G:$G, (MATCH(387, 輔助計算!$G$2:$G$801, 0)+1)),"0.##")&amp;"+"&amp;TEXT(INDEX(ERP資料!$G:$G, (MATCH(387, 輔助計算!$G$2:$G$801, 0)+1)),"0.##")&amp;"+"&amp;TEXT(INDEX(ERP資料!$G:$G, (MATCH(387, 輔助計算!$G$2:$G$801, 0)+1)),"0.##")))&amp;"-"&amp;INT(INDEX(輔助計算!$D:$D, (MATCH(387, 輔助計算!$G$2:$G$801, 0)+1))/IF(INDEX(ERP資料!$G:$G, (MATCH(387, 輔助計算!$G$2:$G$801, 0)+1))&lt;100, IF(INDEX(ERP資料!$G:$G, (MATCH(387, 輔助計算!$G$2:$G$801, 0)+1))&lt;=31,3,IF(INDEX(ERP資料!$G:$G, (MATCH(387, 輔助計算!$G$2:$G$801, 0)+1))&lt;=46.5,2,1)), IF(INDEX(ERP資料!$G:$G, (MATCH(387, 輔助計算!$G$2:$G$801, 0)+1))&lt;=790,3,IF(INDEX(ERP資料!$G:$G, (MATCH(387, 輔助計算!$G$2:$G$801, 0)+1))&lt;=1181,2,1)))), "")&amp;IF(AND(IF(INT(INDEX(輔助計算!$D:$D, (MATCH(387, 輔助計算!$G$2:$G$801, 0)+1))/IF(INDEX(ERP資料!$G:$G, (MATCH(387, 輔助計算!$G$2:$G$801, 0)+1))&lt;100, IF(INDEX(ERP資料!$G:$G, (MATCH(387, 輔助計算!$G$2:$G$801, 0)+1))&lt;=31,3,IF(INDEX(ERP資料!$G:$G, (MATCH(387, 輔助計算!$G$2:$G$801, 0)+1))&lt;=46.5,2,1)), IF(INDEX(ERP資料!$G:$G, (MATCH(387, 輔助計算!$G$2:$G$801, 0)+1))&lt;=790,3,IF(INDEX(ERP資料!$G:$G, (MATCH(387, 輔助計算!$G$2:$G$801, 0)+1))&lt;=1181,2,1))))&gt;0, IF(IF(INDEX(ERP資料!$G:$G, (MATCH(387, 輔助計算!$G$2:$G$801, 0)+1))&lt;100, IF(INDEX(ERP資料!$G:$G, (MATCH(387, 輔助計算!$G$2:$G$801, 0)+1))&lt;=31,3,IF(INDEX(ERP資料!$G:$G, (MATCH(387, 輔助計算!$G$2:$G$801, 0)+1))&lt;=46.5,2,1)), IF(INDEX(ERP資料!$G:$G, (MATCH(387, 輔助計算!$G$2:$G$801, 0)+1))&lt;=790,3,IF(INDEX(ERP資料!$G:$G, (MATCH(387, 輔助計算!$G$2:$G$801, 0)+1))&lt;=1181,2,1)))=1,TEXT(INDEX(ERP資料!$G:$G, (MATCH(387, 輔助計算!$G$2:$G$801, 0)+1)),"0.##"),IF(IF(INDEX(ERP資料!$G:$G, (MATCH(387, 輔助計算!$G$2:$G$801, 0)+1))&lt;100, IF(INDEX(ERP資料!$G:$G, (MATCH(387, 輔助計算!$G$2:$G$801, 0)+1))&lt;=31,3,IF(INDEX(ERP資料!$G:$G, (MATCH(387, 輔助計算!$G$2:$G$801, 0)+1))&lt;=46.5,2,1)), IF(INDEX(ERP資料!$G:$G, (MATCH(387, 輔助計算!$G$2:$G$801, 0)+1))&lt;=790,3,IF(INDEX(ERP資料!$G:$G, (MATCH(387, 輔助計算!$G$2:$G$801, 0)+1))&lt;=1181,2,1)))=2,TEXT(INDEX(ERP資料!$G:$G, (MATCH(387, 輔助計算!$G$2:$G$801, 0)+1)),"0.##")&amp;"+"&amp;TEXT(INDEX(ERP資料!$G:$G, (MATCH(387, 輔助計算!$G$2:$G$801, 0)+1)),"0.##"),TEXT(INDEX(ERP資料!$G:$G, (MATCH(387, 輔助計算!$G$2:$G$801, 0)+1)),"0.##")&amp;"+"&amp;TEXT(INDEX(ERP資料!$G:$G, (MATCH(387, 輔助計算!$G$2:$G$801, 0)+1)),"0.##")&amp;"+"&amp;TEXT(INDEX(ERP資料!$G:$G, (MATCH(387, 輔助計算!$G$2:$G$801, 0)+1)),"0.##")))&amp;"-"&amp;INT(INDEX(輔助計算!$D:$D, (MATCH(387, 輔助計算!$G$2:$G$801, 0)+1))/IF(INDEX(ERP資料!$G:$G, (MATCH(387, 輔助計算!$G$2:$G$801, 0)+1))&lt;100, IF(INDEX(ERP資料!$G:$G, (MATCH(387, 輔助計算!$G$2:$G$801, 0)+1))&lt;=31,3,IF(INDEX(ERP資料!$G:$G, (MATCH(387, 輔助計算!$G$2:$G$801, 0)+1))&lt;=46.5,2,1)), IF(INDEX(ERP資料!$G:$G, (MATCH(387, 輔助計算!$G$2:$G$801, 0)+1))&lt;=790,3,IF(INDEX(ERP資料!$G:$G, (MATCH(387, 輔助計算!$G$2:$G$801, 0)+1))&lt;=1181,2,1)))), "")&lt;&gt;"",IF(MOD(INDEX(輔助計算!$D:$D, (MATCH(387, 輔助計算!$G$2:$G$801, 0)+1)),IF(INDEX(ERP資料!$G:$G, (MATCH(387, 輔助計算!$G$2:$G$801, 0)+1))&lt;100, IF(INDEX(ERP資料!$G:$G, (MATCH(387, 輔助計算!$G$2:$G$801, 0)+1))&lt;=31,3,IF(INDEX(ERP資料!$G:$G, (MATCH(387, 輔助計算!$G$2:$G$801, 0)+1))&lt;=46.5,2,1)), IF(INDEX(ERP資料!$G:$G, (MATCH(387, 輔助計算!$G$2:$G$801, 0)+1))&lt;=790,3,IF(INDEX(ERP資料!$G:$G, (MATCH(387, 輔助計算!$G$2:$G$801, 0)+1))&lt;=1181,2,1))))=0,"",IF(MOD(INDEX(輔助計算!$D:$D, (MATCH(387, 輔助計算!$G$2:$G$801, 0)+1)),IF(INDEX(ERP資料!$G:$G, (MATCH(387, 輔助計算!$G$2:$G$801, 0)+1))&lt;100, IF(INDEX(ERP資料!$G:$G, (MATCH(387, 輔助計算!$G$2:$G$801, 0)+1))&lt;=31,3,IF(INDEX(ERP資料!$G:$G, (MATCH(387, 輔助計算!$G$2:$G$801, 0)+1))&lt;=46.5,2,1)), IF(INDEX(ERP資料!$G:$G, (MATCH(387, 輔助計算!$G$2:$G$801, 0)+1))&lt;=790,3,IF(INDEX(ERP資料!$G:$G, (MATCH(387, 輔助計算!$G$2:$G$801, 0)+1))&lt;=1181,2,1))))=0,"",IF(MOD(INDEX(輔助計算!$D:$D, (MATCH(387, 輔助計算!$G$2:$G$801, 0)+1)),IF(INDEX(ERP資料!$G:$G, (MATCH(387, 輔助計算!$G$2:$G$801, 0)+1))&lt;100, IF(INDEX(ERP資料!$G:$G, (MATCH(387, 輔助計算!$G$2:$G$801, 0)+1))&lt;=31,3,IF(INDEX(ERP資料!$G:$G, (MATCH(387, 輔助計算!$G$2:$G$801, 0)+1))&lt;=46.5,2,1)), IF(INDEX(ERP資料!$G:$G, (MATCH(387, 輔助計算!$G$2:$G$801, 0)+1))&lt;=790,3,IF(INDEX(ERP資料!$G:$G, (MATCH(387, 輔助計算!$G$2:$G$801, 0)+1))&lt;=1181,2,1))))=1,TEXT(INDEX(ERP資料!$G:$G, (MATCH(387, 輔助計算!$G$2:$G$801, 0)+1)),"0.##"),IF(MOD(INDEX(輔助計算!$D:$D, (MATCH(387, 輔助計算!$G$2:$G$801, 0)+1)),IF(INDEX(ERP資料!$G:$G, (MATCH(387, 輔助計算!$G$2:$G$801, 0)+1))&lt;100, IF(INDEX(ERP資料!$G:$G, (MATCH(387, 輔助計算!$G$2:$G$801, 0)+1))&lt;=31,3,IF(INDEX(ERP資料!$G:$G, (MATCH(387, 輔助計算!$G$2:$G$801, 0)+1))&lt;=46.5,2,1)), IF(INDEX(ERP資料!$G:$G, (MATCH(387, 輔助計算!$G$2:$G$801, 0)+1))&lt;=790,3,IF(INDEX(ERP資料!$G:$G, (MATCH(387, 輔助計算!$G$2:$G$801, 0)+1))&lt;=1181,2,1))))=2,TEXT(INDEX(ERP資料!$G:$G, (MATCH(387, 輔助計算!$G$2:$G$801, 0)+1)),"0.##")&amp;"+"&amp;TEXT(INDEX(ERP資料!$G:$G, (MATCH(387, 輔助計算!$G$2:$G$801, 0)+1)),"0.##"),TEXT(INDEX(ERP資料!$G:$G, (MATCH(387, 輔助計算!$G$2:$G$801, 0)+1)),"0.##")&amp;"+"&amp;TEXT(INDEX(ERP資料!$G:$G, (MATCH(387, 輔助計算!$G$2:$G$801, 0)+1)),"0.##")&amp;"+"&amp;TEXT(INDEX(ERP資料!$G:$G, (MATCH(387, 輔助計算!$G$2:$G$801, 0)+1)),"0.##"))))&amp;"-1")&lt;&gt;""),"  ","")&amp;IF(MOD(INDEX(輔助計算!$D:$D, (MATCH(387, 輔助計算!$G$2:$G$801, 0)+1)),IF(INDEX(ERP資料!$G:$G, (MATCH(387, 輔助計算!$G$2:$G$801, 0)+1))&lt;100, IF(INDEX(ERP資料!$G:$G, (MATCH(387, 輔助計算!$G$2:$G$801, 0)+1))&lt;=31,3,IF(INDEX(ERP資料!$G:$G, (MATCH(387, 輔助計算!$G$2:$G$801, 0)+1))&lt;=46.5,2,1)), IF(INDEX(ERP資料!$G:$G, (MATCH(387, 輔助計算!$G$2:$G$801, 0)+1))&lt;=790,3,IF(INDEX(ERP資料!$G:$G, (MATCH(387, 輔助計算!$G$2:$G$801, 0)+1))&lt;=1181,2,1))))=0,"",IF(MOD(INDEX(輔助計算!$D:$D, (MATCH(387, 輔助計算!$G$2:$G$801, 0)+1)),IF(INDEX(ERP資料!$G:$G, (MATCH(387, 輔助計算!$G$2:$G$801, 0)+1))&lt;100, IF(INDEX(ERP資料!$G:$G, (MATCH(387, 輔助計算!$G$2:$G$801, 0)+1))&lt;=31,3,IF(INDEX(ERP資料!$G:$G, (MATCH(387, 輔助計算!$G$2:$G$801, 0)+1))&lt;=46.5,2,1)), IF(INDEX(ERP資料!$G:$G, (MATCH(387, 輔助計算!$G$2:$G$801, 0)+1))&lt;=790,3,IF(INDEX(ERP資料!$G:$G, (MATCH(387, 輔助計算!$G$2:$G$801, 0)+1))&lt;=1181,2,1))))=0,"",IF(MOD(INDEX(輔助計算!$D:$D, (MATCH(387, 輔助計算!$G$2:$G$801, 0)+1)),IF(INDEX(ERP資料!$G:$G, (MATCH(387, 輔助計算!$G$2:$G$801, 0)+1))&lt;100, IF(INDEX(ERP資料!$G:$G, (MATCH(387, 輔助計算!$G$2:$G$801, 0)+1))&lt;=31,3,IF(INDEX(ERP資料!$G:$G, (MATCH(387, 輔助計算!$G$2:$G$801, 0)+1))&lt;=46.5,2,1)), IF(INDEX(ERP資料!$G:$G, (MATCH(387, 輔助計算!$G$2:$G$801, 0)+1))&lt;=790,3,IF(INDEX(ERP資料!$G:$G, (MATCH(387, 輔助計算!$G$2:$G$801, 0)+1))&lt;=1181,2,1))))=1,TEXT(INDEX(ERP資料!$G:$G, (MATCH(387, 輔助計算!$G$2:$G$801, 0)+1)),"0.##"),IF(MOD(INDEX(輔助計算!$D:$D, (MATCH(387, 輔助計算!$G$2:$G$801, 0)+1)),IF(INDEX(ERP資料!$G:$G, (MATCH(387, 輔助計算!$G$2:$G$801, 0)+1))&lt;100, IF(INDEX(ERP資料!$G:$G, (MATCH(387, 輔助計算!$G$2:$G$801, 0)+1))&lt;=31,3,IF(INDEX(ERP資料!$G:$G, (MATCH(387, 輔助計算!$G$2:$G$801, 0)+1))&lt;=46.5,2,1)), IF(INDEX(ERP資料!$G:$G, (MATCH(387, 輔助計算!$G$2:$G$801, 0)+1))&lt;=790,3,IF(INDEX(ERP資料!$G:$G, (MATCH(387, 輔助計算!$G$2:$G$801, 0)+1))&lt;=1181,2,1))))=2,TEXT(INDEX(ERP資料!$G:$G, (MATCH(387, 輔助計算!$G$2:$G$801, 0)+1)),"0.##")&amp;"+"&amp;TEXT(INDEX(ERP資料!$G:$G, (MATCH(387, 輔助計算!$G$2:$G$801, 0)+1)),"0.##"),TEXT(INDEX(ERP資料!$G:$G, (MATCH(387, 輔助計算!$G$2:$G$801, 0)+1)),"0.##")&amp;"+"&amp;TEXT(INDEX(ERP資料!$G:$G, (MATCH(387, 輔助計算!$G$2:$G$801, 0)+1)),"0.##")&amp;"+"&amp;TEXT(INDEX(ERP資料!$G:$G, (MATCH(387, 輔助計算!$G$2:$G$801, 0)+1)),"0.##"))))&amp;"-1")), ""), "")</f>
        <v/>
      </c>
      <c r="K388" s="16" t="n"/>
      <c r="L388" s="14">
        <f>IFERROR(IF(AND(IFERROR(INDEX(ERP資料!$A:$A, (MATCH(387, 輔助計算!$G$2:$G$801, 0)+1)), "")&lt;&gt;"", IFERROR(INDEX(ERP資料!$A:$A, (MATCH(387, 輔助計算!$G$2:$G$801, 0)+1)), "")&lt;&gt;IFERROR(INDEX(ERP資料!$A:$A, MATCH(386, 輔助計算!$G$2:$G$801, 0)+1), "")), INDEX(ERP資料!$B:$B, (MATCH(387, 輔助計算!$G$2:$G$801, 0)+1)), ""), "")</f>
        <v/>
      </c>
      <c r="M388" s="17" t="n"/>
    </row>
    <row r="389">
      <c r="A389" s="10">
        <f>IFERROR(IF(AND(IFERROR(INDEX(ERP資料!$A:$A, (MATCH(388, 輔助計算!$G$2:$G$801, 0)+1)), "")&lt;&gt;"", IFERROR(INDEX(ERP資料!$A:$A, (MATCH(388, 輔助計算!$G$2:$G$801, 0)+1)), "")&lt;&gt;IFERROR(INDEX(ERP資料!$A:$A, MATCH(387, 輔助計算!$G$2:$G$801, 0)+1), "")), IFERROR(INDEX(ERP資料!$A:$A, (MATCH(388, 輔助計算!$G$2:$G$801, 0)+1)), ""), ""), "")</f>
        <v/>
      </c>
      <c r="B389" s="10">
        <f>IFERROR(IF(AND(IFERROR(INDEX(ERP資料!$A:$A, (MATCH(388, 輔助計算!$G$2:$G$801, 0)+1)), "")&lt;&gt;"", IFERROR(INDEX(ERP資料!$A:$A, (MATCH(388, 輔助計算!$G$2:$G$801, 0)+1)), "")&lt;&gt;IFERROR(INDEX(ERP資料!$A:$A, MATCH(387, 輔助計算!$G$2:$G$801, 0)+1), "")), INDEX(ERP資料!$S:$S, (MATCH(388, 輔助計算!$G$2:$G$801, 0)+1)), ""), "")</f>
        <v/>
      </c>
      <c r="C389" s="19">
        <f>IFERROR(IF(AND(IFERROR(INDEX(ERP資料!$A:$A, (MATCH(388, 輔助計算!$G$2:$G$801, 0)+1)), "")&lt;&gt;"", IFERROR(INDEX(ERP資料!$A:$A, (MATCH(388, 輔助計算!$G$2:$G$801, 0)+1)), "")&lt;&gt;IFERROR(INDEX(ERP資料!$A:$A, MATCH(387, 輔助計算!$G$2:$G$801, 0)+1), "")), IFERROR(VLOOKUP(LEFT(INDEX(ERP資料!$S:$S, (MATCH(388, 輔助計算!$G$2:$G$801, 0)+1)), 4), 紙管對照表!$A:$C, 3, FALSE), ""), ""), "")</f>
        <v/>
      </c>
      <c r="D389" s="16" t="n"/>
      <c r="E389" s="10">
        <f>IFERROR(IF(INDEX(ERP資料!$H:$H, (MATCH(388, 輔助計算!$G$2:$G$801, 0)+1))="","",INDEX(ERP資料!$H:$H, (MATCH(388, 輔助計算!$G$2:$G$801, 0)+1))), "")</f>
        <v/>
      </c>
      <c r="F389" s="10">
        <f>IFERROR(IF(INDEX(ERP資料!$E:$E, (MATCH(388, 輔助計算!$G$2:$G$801, 0)+1))="","",TRIM(INDEX(ERP資料!$E:$E, (MATCH(388, 輔助計算!$G$2:$G$801, 0)+1)))), "")</f>
        <v/>
      </c>
      <c r="G389" s="10">
        <f>IFERROR(IF(INDEX(ERP資料!$F:$F, (MATCH(388, 輔助計算!$G$2:$G$801, 0)+1))="","",INDEX(ERP資料!$F:$F, (MATCH(388, 輔助計算!$G$2:$G$801, 0)+1))), "")</f>
        <v/>
      </c>
      <c r="H389" s="10">
        <f>IFERROR(IF(INDEX(ERP資料!$G:$G, (MATCH(388, 輔助計算!$G$2:$G$801, 0)+1))="","",INDEX(ERP資料!$G:$G, (MATCH(388, 輔助計算!$G$2:$G$801, 0)+1))), "")</f>
        <v/>
      </c>
      <c r="I389" s="15">
        <f>IFERROR(INDEX(輔助計算!$D:$D, (MATCH(388, 輔助計算!$G$2:$G$801, 0)+1)), "")</f>
        <v/>
      </c>
      <c r="J389" s="15">
        <f>IFERROR(IF(AND(INDEX(輔助計算!$D:$D, (MATCH(388, 輔助計算!$G$2:$G$801, 0)+1))&lt;&gt;"", INDEX(ERP資料!$G:$G, (MATCH(388, 輔助計算!$G$2:$G$801, 0)+1))&lt;&gt;""), TRIM(IF(INT(INDEX(輔助計算!$D:$D, (MATCH(388, 輔助計算!$G$2:$G$801, 0)+1))/IF(INDEX(ERP資料!$G:$G, (MATCH(388, 輔助計算!$G$2:$G$801, 0)+1))&lt;100, IF(INDEX(ERP資料!$G:$G, (MATCH(388, 輔助計算!$G$2:$G$801, 0)+1))&lt;=31,3,IF(INDEX(ERP資料!$G:$G, (MATCH(388, 輔助計算!$G$2:$G$801, 0)+1))&lt;=46.5,2,1)), IF(INDEX(ERP資料!$G:$G, (MATCH(388, 輔助計算!$G$2:$G$801, 0)+1))&lt;=790,3,IF(INDEX(ERP資料!$G:$G, (MATCH(388, 輔助計算!$G$2:$G$801, 0)+1))&lt;=1181,2,1))))&gt;0, IF(IF(INDEX(ERP資料!$G:$G, (MATCH(388, 輔助計算!$G$2:$G$801, 0)+1))&lt;100, IF(INDEX(ERP資料!$G:$G, (MATCH(388, 輔助計算!$G$2:$G$801, 0)+1))&lt;=31,3,IF(INDEX(ERP資料!$G:$G, (MATCH(388, 輔助計算!$G$2:$G$801, 0)+1))&lt;=46.5,2,1)), IF(INDEX(ERP資料!$G:$G, (MATCH(388, 輔助計算!$G$2:$G$801, 0)+1))&lt;=790,3,IF(INDEX(ERP資料!$G:$G, (MATCH(388, 輔助計算!$G$2:$G$801, 0)+1))&lt;=1181,2,1)))=1,TEXT(INDEX(ERP資料!$G:$G, (MATCH(388, 輔助計算!$G$2:$G$801, 0)+1)),"0.##"),IF(IF(INDEX(ERP資料!$G:$G, (MATCH(388, 輔助計算!$G$2:$G$801, 0)+1))&lt;100, IF(INDEX(ERP資料!$G:$G, (MATCH(388, 輔助計算!$G$2:$G$801, 0)+1))&lt;=31,3,IF(INDEX(ERP資料!$G:$G, (MATCH(388, 輔助計算!$G$2:$G$801, 0)+1))&lt;=46.5,2,1)), IF(INDEX(ERP資料!$G:$G, (MATCH(388, 輔助計算!$G$2:$G$801, 0)+1))&lt;=790,3,IF(INDEX(ERP資料!$G:$G, (MATCH(388, 輔助計算!$G$2:$G$801, 0)+1))&lt;=1181,2,1)))=2,TEXT(INDEX(ERP資料!$G:$G, (MATCH(388, 輔助計算!$G$2:$G$801, 0)+1)),"0.##")&amp;"+"&amp;TEXT(INDEX(ERP資料!$G:$G, (MATCH(388, 輔助計算!$G$2:$G$801, 0)+1)),"0.##"),TEXT(INDEX(ERP資料!$G:$G, (MATCH(388, 輔助計算!$G$2:$G$801, 0)+1)),"0.##")&amp;"+"&amp;TEXT(INDEX(ERP資料!$G:$G, (MATCH(388, 輔助計算!$G$2:$G$801, 0)+1)),"0.##")&amp;"+"&amp;TEXT(INDEX(ERP資料!$G:$G, (MATCH(388, 輔助計算!$G$2:$G$801, 0)+1)),"0.##")))&amp;"-"&amp;INT(INDEX(輔助計算!$D:$D, (MATCH(388, 輔助計算!$G$2:$G$801, 0)+1))/IF(INDEX(ERP資料!$G:$G, (MATCH(388, 輔助計算!$G$2:$G$801, 0)+1))&lt;100, IF(INDEX(ERP資料!$G:$G, (MATCH(388, 輔助計算!$G$2:$G$801, 0)+1))&lt;=31,3,IF(INDEX(ERP資料!$G:$G, (MATCH(388, 輔助計算!$G$2:$G$801, 0)+1))&lt;=46.5,2,1)), IF(INDEX(ERP資料!$G:$G, (MATCH(388, 輔助計算!$G$2:$G$801, 0)+1))&lt;=790,3,IF(INDEX(ERP資料!$G:$G, (MATCH(388, 輔助計算!$G$2:$G$801, 0)+1))&lt;=1181,2,1)))), "")&amp;IF(AND(IF(INT(INDEX(輔助計算!$D:$D, (MATCH(388, 輔助計算!$G$2:$G$801, 0)+1))/IF(INDEX(ERP資料!$G:$G, (MATCH(388, 輔助計算!$G$2:$G$801, 0)+1))&lt;100, IF(INDEX(ERP資料!$G:$G, (MATCH(388, 輔助計算!$G$2:$G$801, 0)+1))&lt;=31,3,IF(INDEX(ERP資料!$G:$G, (MATCH(388, 輔助計算!$G$2:$G$801, 0)+1))&lt;=46.5,2,1)), IF(INDEX(ERP資料!$G:$G, (MATCH(388, 輔助計算!$G$2:$G$801, 0)+1))&lt;=790,3,IF(INDEX(ERP資料!$G:$G, (MATCH(388, 輔助計算!$G$2:$G$801, 0)+1))&lt;=1181,2,1))))&gt;0, IF(IF(INDEX(ERP資料!$G:$G, (MATCH(388, 輔助計算!$G$2:$G$801, 0)+1))&lt;100, IF(INDEX(ERP資料!$G:$G, (MATCH(388, 輔助計算!$G$2:$G$801, 0)+1))&lt;=31,3,IF(INDEX(ERP資料!$G:$G, (MATCH(388, 輔助計算!$G$2:$G$801, 0)+1))&lt;=46.5,2,1)), IF(INDEX(ERP資料!$G:$G, (MATCH(388, 輔助計算!$G$2:$G$801, 0)+1))&lt;=790,3,IF(INDEX(ERP資料!$G:$G, (MATCH(388, 輔助計算!$G$2:$G$801, 0)+1))&lt;=1181,2,1)))=1,TEXT(INDEX(ERP資料!$G:$G, (MATCH(388, 輔助計算!$G$2:$G$801, 0)+1)),"0.##"),IF(IF(INDEX(ERP資料!$G:$G, (MATCH(388, 輔助計算!$G$2:$G$801, 0)+1))&lt;100, IF(INDEX(ERP資料!$G:$G, (MATCH(388, 輔助計算!$G$2:$G$801, 0)+1))&lt;=31,3,IF(INDEX(ERP資料!$G:$G, (MATCH(388, 輔助計算!$G$2:$G$801, 0)+1))&lt;=46.5,2,1)), IF(INDEX(ERP資料!$G:$G, (MATCH(388, 輔助計算!$G$2:$G$801, 0)+1))&lt;=790,3,IF(INDEX(ERP資料!$G:$G, (MATCH(388, 輔助計算!$G$2:$G$801, 0)+1))&lt;=1181,2,1)))=2,TEXT(INDEX(ERP資料!$G:$G, (MATCH(388, 輔助計算!$G$2:$G$801, 0)+1)),"0.##")&amp;"+"&amp;TEXT(INDEX(ERP資料!$G:$G, (MATCH(388, 輔助計算!$G$2:$G$801, 0)+1)),"0.##"),TEXT(INDEX(ERP資料!$G:$G, (MATCH(388, 輔助計算!$G$2:$G$801, 0)+1)),"0.##")&amp;"+"&amp;TEXT(INDEX(ERP資料!$G:$G, (MATCH(388, 輔助計算!$G$2:$G$801, 0)+1)),"0.##")&amp;"+"&amp;TEXT(INDEX(ERP資料!$G:$G, (MATCH(388, 輔助計算!$G$2:$G$801, 0)+1)),"0.##")))&amp;"-"&amp;INT(INDEX(輔助計算!$D:$D, (MATCH(388, 輔助計算!$G$2:$G$801, 0)+1))/IF(INDEX(ERP資料!$G:$G, (MATCH(388, 輔助計算!$G$2:$G$801, 0)+1))&lt;100, IF(INDEX(ERP資料!$G:$G, (MATCH(388, 輔助計算!$G$2:$G$801, 0)+1))&lt;=31,3,IF(INDEX(ERP資料!$G:$G, (MATCH(388, 輔助計算!$G$2:$G$801, 0)+1))&lt;=46.5,2,1)), IF(INDEX(ERP資料!$G:$G, (MATCH(388, 輔助計算!$G$2:$G$801, 0)+1))&lt;=790,3,IF(INDEX(ERP資料!$G:$G, (MATCH(388, 輔助計算!$G$2:$G$801, 0)+1))&lt;=1181,2,1)))), "")&lt;&gt;"",IF(MOD(INDEX(輔助計算!$D:$D, (MATCH(388, 輔助計算!$G$2:$G$801, 0)+1)),IF(INDEX(ERP資料!$G:$G, (MATCH(388, 輔助計算!$G$2:$G$801, 0)+1))&lt;100, IF(INDEX(ERP資料!$G:$G, (MATCH(388, 輔助計算!$G$2:$G$801, 0)+1))&lt;=31,3,IF(INDEX(ERP資料!$G:$G, (MATCH(388, 輔助計算!$G$2:$G$801, 0)+1))&lt;=46.5,2,1)), IF(INDEX(ERP資料!$G:$G, (MATCH(388, 輔助計算!$G$2:$G$801, 0)+1))&lt;=790,3,IF(INDEX(ERP資料!$G:$G, (MATCH(388, 輔助計算!$G$2:$G$801, 0)+1))&lt;=1181,2,1))))=0,"",IF(MOD(INDEX(輔助計算!$D:$D, (MATCH(388, 輔助計算!$G$2:$G$801, 0)+1)),IF(INDEX(ERP資料!$G:$G, (MATCH(388, 輔助計算!$G$2:$G$801, 0)+1))&lt;100, IF(INDEX(ERP資料!$G:$G, (MATCH(388, 輔助計算!$G$2:$G$801, 0)+1))&lt;=31,3,IF(INDEX(ERP資料!$G:$G, (MATCH(388, 輔助計算!$G$2:$G$801, 0)+1))&lt;=46.5,2,1)), IF(INDEX(ERP資料!$G:$G, (MATCH(388, 輔助計算!$G$2:$G$801, 0)+1))&lt;=790,3,IF(INDEX(ERP資料!$G:$G, (MATCH(388, 輔助計算!$G$2:$G$801, 0)+1))&lt;=1181,2,1))))=0,"",IF(MOD(INDEX(輔助計算!$D:$D, (MATCH(388, 輔助計算!$G$2:$G$801, 0)+1)),IF(INDEX(ERP資料!$G:$G, (MATCH(388, 輔助計算!$G$2:$G$801, 0)+1))&lt;100, IF(INDEX(ERP資料!$G:$G, (MATCH(388, 輔助計算!$G$2:$G$801, 0)+1))&lt;=31,3,IF(INDEX(ERP資料!$G:$G, (MATCH(388, 輔助計算!$G$2:$G$801, 0)+1))&lt;=46.5,2,1)), IF(INDEX(ERP資料!$G:$G, (MATCH(388, 輔助計算!$G$2:$G$801, 0)+1))&lt;=790,3,IF(INDEX(ERP資料!$G:$G, (MATCH(388, 輔助計算!$G$2:$G$801, 0)+1))&lt;=1181,2,1))))=1,TEXT(INDEX(ERP資料!$G:$G, (MATCH(388, 輔助計算!$G$2:$G$801, 0)+1)),"0.##"),IF(MOD(INDEX(輔助計算!$D:$D, (MATCH(388, 輔助計算!$G$2:$G$801, 0)+1)),IF(INDEX(ERP資料!$G:$G, (MATCH(388, 輔助計算!$G$2:$G$801, 0)+1))&lt;100, IF(INDEX(ERP資料!$G:$G, (MATCH(388, 輔助計算!$G$2:$G$801, 0)+1))&lt;=31,3,IF(INDEX(ERP資料!$G:$G, (MATCH(388, 輔助計算!$G$2:$G$801, 0)+1))&lt;=46.5,2,1)), IF(INDEX(ERP資料!$G:$G, (MATCH(388, 輔助計算!$G$2:$G$801, 0)+1))&lt;=790,3,IF(INDEX(ERP資料!$G:$G, (MATCH(388, 輔助計算!$G$2:$G$801, 0)+1))&lt;=1181,2,1))))=2,TEXT(INDEX(ERP資料!$G:$G, (MATCH(388, 輔助計算!$G$2:$G$801, 0)+1)),"0.##")&amp;"+"&amp;TEXT(INDEX(ERP資料!$G:$G, (MATCH(388, 輔助計算!$G$2:$G$801, 0)+1)),"0.##"),TEXT(INDEX(ERP資料!$G:$G, (MATCH(388, 輔助計算!$G$2:$G$801, 0)+1)),"0.##")&amp;"+"&amp;TEXT(INDEX(ERP資料!$G:$G, (MATCH(388, 輔助計算!$G$2:$G$801, 0)+1)),"0.##")&amp;"+"&amp;TEXT(INDEX(ERP資料!$G:$G, (MATCH(388, 輔助計算!$G$2:$G$801, 0)+1)),"0.##"))))&amp;"-1")&lt;&gt;""),"  ","")&amp;IF(MOD(INDEX(輔助計算!$D:$D, (MATCH(388, 輔助計算!$G$2:$G$801, 0)+1)),IF(INDEX(ERP資料!$G:$G, (MATCH(388, 輔助計算!$G$2:$G$801, 0)+1))&lt;100, IF(INDEX(ERP資料!$G:$G, (MATCH(388, 輔助計算!$G$2:$G$801, 0)+1))&lt;=31,3,IF(INDEX(ERP資料!$G:$G, (MATCH(388, 輔助計算!$G$2:$G$801, 0)+1))&lt;=46.5,2,1)), IF(INDEX(ERP資料!$G:$G, (MATCH(388, 輔助計算!$G$2:$G$801, 0)+1))&lt;=790,3,IF(INDEX(ERP資料!$G:$G, (MATCH(388, 輔助計算!$G$2:$G$801, 0)+1))&lt;=1181,2,1))))=0,"",IF(MOD(INDEX(輔助計算!$D:$D, (MATCH(388, 輔助計算!$G$2:$G$801, 0)+1)),IF(INDEX(ERP資料!$G:$G, (MATCH(388, 輔助計算!$G$2:$G$801, 0)+1))&lt;100, IF(INDEX(ERP資料!$G:$G, (MATCH(388, 輔助計算!$G$2:$G$801, 0)+1))&lt;=31,3,IF(INDEX(ERP資料!$G:$G, (MATCH(388, 輔助計算!$G$2:$G$801, 0)+1))&lt;=46.5,2,1)), IF(INDEX(ERP資料!$G:$G, (MATCH(388, 輔助計算!$G$2:$G$801, 0)+1))&lt;=790,3,IF(INDEX(ERP資料!$G:$G, (MATCH(388, 輔助計算!$G$2:$G$801, 0)+1))&lt;=1181,2,1))))=0,"",IF(MOD(INDEX(輔助計算!$D:$D, (MATCH(388, 輔助計算!$G$2:$G$801, 0)+1)),IF(INDEX(ERP資料!$G:$G, (MATCH(388, 輔助計算!$G$2:$G$801, 0)+1))&lt;100, IF(INDEX(ERP資料!$G:$G, (MATCH(388, 輔助計算!$G$2:$G$801, 0)+1))&lt;=31,3,IF(INDEX(ERP資料!$G:$G, (MATCH(388, 輔助計算!$G$2:$G$801, 0)+1))&lt;=46.5,2,1)), IF(INDEX(ERP資料!$G:$G, (MATCH(388, 輔助計算!$G$2:$G$801, 0)+1))&lt;=790,3,IF(INDEX(ERP資料!$G:$G, (MATCH(388, 輔助計算!$G$2:$G$801, 0)+1))&lt;=1181,2,1))))=1,TEXT(INDEX(ERP資料!$G:$G, (MATCH(388, 輔助計算!$G$2:$G$801, 0)+1)),"0.##"),IF(MOD(INDEX(輔助計算!$D:$D, (MATCH(388, 輔助計算!$G$2:$G$801, 0)+1)),IF(INDEX(ERP資料!$G:$G, (MATCH(388, 輔助計算!$G$2:$G$801, 0)+1))&lt;100, IF(INDEX(ERP資料!$G:$G, (MATCH(388, 輔助計算!$G$2:$G$801, 0)+1))&lt;=31,3,IF(INDEX(ERP資料!$G:$G, (MATCH(388, 輔助計算!$G$2:$G$801, 0)+1))&lt;=46.5,2,1)), IF(INDEX(ERP資料!$G:$G, (MATCH(388, 輔助計算!$G$2:$G$801, 0)+1))&lt;=790,3,IF(INDEX(ERP資料!$G:$G, (MATCH(388, 輔助計算!$G$2:$G$801, 0)+1))&lt;=1181,2,1))))=2,TEXT(INDEX(ERP資料!$G:$G, (MATCH(388, 輔助計算!$G$2:$G$801, 0)+1)),"0.##")&amp;"+"&amp;TEXT(INDEX(ERP資料!$G:$G, (MATCH(388, 輔助計算!$G$2:$G$801, 0)+1)),"0.##"),TEXT(INDEX(ERP資料!$G:$G, (MATCH(388, 輔助計算!$G$2:$G$801, 0)+1)),"0.##")&amp;"+"&amp;TEXT(INDEX(ERP資料!$G:$G, (MATCH(388, 輔助計算!$G$2:$G$801, 0)+1)),"0.##")&amp;"+"&amp;TEXT(INDEX(ERP資料!$G:$G, (MATCH(388, 輔助計算!$G$2:$G$801, 0)+1)),"0.##"))))&amp;"-1")), ""), "")</f>
        <v/>
      </c>
      <c r="K389" s="16" t="n"/>
      <c r="L389" s="14">
        <f>IFERROR(IF(AND(IFERROR(INDEX(ERP資料!$A:$A, (MATCH(388, 輔助計算!$G$2:$G$801, 0)+1)), "")&lt;&gt;"", IFERROR(INDEX(ERP資料!$A:$A, (MATCH(388, 輔助計算!$G$2:$G$801, 0)+1)), "")&lt;&gt;IFERROR(INDEX(ERP資料!$A:$A, MATCH(387, 輔助計算!$G$2:$G$801, 0)+1), "")), INDEX(ERP資料!$B:$B, (MATCH(388, 輔助計算!$G$2:$G$801, 0)+1)), ""), "")</f>
        <v/>
      </c>
      <c r="M389" s="17" t="n"/>
    </row>
    <row r="390">
      <c r="A390" s="10">
        <f>IFERROR(IF(AND(IFERROR(INDEX(ERP資料!$A:$A, (MATCH(389, 輔助計算!$G$2:$G$801, 0)+1)), "")&lt;&gt;"", IFERROR(INDEX(ERP資料!$A:$A, (MATCH(389, 輔助計算!$G$2:$G$801, 0)+1)), "")&lt;&gt;IFERROR(INDEX(ERP資料!$A:$A, MATCH(388, 輔助計算!$G$2:$G$801, 0)+1), "")), IFERROR(INDEX(ERP資料!$A:$A, (MATCH(389, 輔助計算!$G$2:$G$801, 0)+1)), ""), ""), "")</f>
        <v/>
      </c>
      <c r="B390" s="10">
        <f>IFERROR(IF(AND(IFERROR(INDEX(ERP資料!$A:$A, (MATCH(389, 輔助計算!$G$2:$G$801, 0)+1)), "")&lt;&gt;"", IFERROR(INDEX(ERP資料!$A:$A, (MATCH(389, 輔助計算!$G$2:$G$801, 0)+1)), "")&lt;&gt;IFERROR(INDEX(ERP資料!$A:$A, MATCH(388, 輔助計算!$G$2:$G$801, 0)+1), "")), INDEX(ERP資料!$S:$S, (MATCH(389, 輔助計算!$G$2:$G$801, 0)+1)), ""), "")</f>
        <v/>
      </c>
      <c r="C390" s="19">
        <f>IFERROR(IF(AND(IFERROR(INDEX(ERP資料!$A:$A, (MATCH(389, 輔助計算!$G$2:$G$801, 0)+1)), "")&lt;&gt;"", IFERROR(INDEX(ERP資料!$A:$A, (MATCH(389, 輔助計算!$G$2:$G$801, 0)+1)), "")&lt;&gt;IFERROR(INDEX(ERP資料!$A:$A, MATCH(388, 輔助計算!$G$2:$G$801, 0)+1), "")), IFERROR(VLOOKUP(LEFT(INDEX(ERP資料!$S:$S, (MATCH(389, 輔助計算!$G$2:$G$801, 0)+1)), 4), 紙管對照表!$A:$C, 3, FALSE), ""), ""), "")</f>
        <v/>
      </c>
      <c r="D390" s="16" t="n"/>
      <c r="E390" s="10">
        <f>IFERROR(IF(INDEX(ERP資料!$H:$H, (MATCH(389, 輔助計算!$G$2:$G$801, 0)+1))="","",INDEX(ERP資料!$H:$H, (MATCH(389, 輔助計算!$G$2:$G$801, 0)+1))), "")</f>
        <v/>
      </c>
      <c r="F390" s="10">
        <f>IFERROR(IF(INDEX(ERP資料!$E:$E, (MATCH(389, 輔助計算!$G$2:$G$801, 0)+1))="","",TRIM(INDEX(ERP資料!$E:$E, (MATCH(389, 輔助計算!$G$2:$G$801, 0)+1)))), "")</f>
        <v/>
      </c>
      <c r="G390" s="10">
        <f>IFERROR(IF(INDEX(ERP資料!$F:$F, (MATCH(389, 輔助計算!$G$2:$G$801, 0)+1))="","",INDEX(ERP資料!$F:$F, (MATCH(389, 輔助計算!$G$2:$G$801, 0)+1))), "")</f>
        <v/>
      </c>
      <c r="H390" s="10">
        <f>IFERROR(IF(INDEX(ERP資料!$G:$G, (MATCH(389, 輔助計算!$G$2:$G$801, 0)+1))="","",INDEX(ERP資料!$G:$G, (MATCH(389, 輔助計算!$G$2:$G$801, 0)+1))), "")</f>
        <v/>
      </c>
      <c r="I390" s="15">
        <f>IFERROR(INDEX(輔助計算!$D:$D, (MATCH(389, 輔助計算!$G$2:$G$801, 0)+1)), "")</f>
        <v/>
      </c>
      <c r="J390" s="15">
        <f>IFERROR(IF(AND(INDEX(輔助計算!$D:$D, (MATCH(389, 輔助計算!$G$2:$G$801, 0)+1))&lt;&gt;"", INDEX(ERP資料!$G:$G, (MATCH(389, 輔助計算!$G$2:$G$801, 0)+1))&lt;&gt;""), TRIM(IF(INT(INDEX(輔助計算!$D:$D, (MATCH(389, 輔助計算!$G$2:$G$801, 0)+1))/IF(INDEX(ERP資料!$G:$G, (MATCH(389, 輔助計算!$G$2:$G$801, 0)+1))&lt;100, IF(INDEX(ERP資料!$G:$G, (MATCH(389, 輔助計算!$G$2:$G$801, 0)+1))&lt;=31,3,IF(INDEX(ERP資料!$G:$G, (MATCH(389, 輔助計算!$G$2:$G$801, 0)+1))&lt;=46.5,2,1)), IF(INDEX(ERP資料!$G:$G, (MATCH(389, 輔助計算!$G$2:$G$801, 0)+1))&lt;=790,3,IF(INDEX(ERP資料!$G:$G, (MATCH(389, 輔助計算!$G$2:$G$801, 0)+1))&lt;=1181,2,1))))&gt;0, IF(IF(INDEX(ERP資料!$G:$G, (MATCH(389, 輔助計算!$G$2:$G$801, 0)+1))&lt;100, IF(INDEX(ERP資料!$G:$G, (MATCH(389, 輔助計算!$G$2:$G$801, 0)+1))&lt;=31,3,IF(INDEX(ERP資料!$G:$G, (MATCH(389, 輔助計算!$G$2:$G$801, 0)+1))&lt;=46.5,2,1)), IF(INDEX(ERP資料!$G:$G, (MATCH(389, 輔助計算!$G$2:$G$801, 0)+1))&lt;=790,3,IF(INDEX(ERP資料!$G:$G, (MATCH(389, 輔助計算!$G$2:$G$801, 0)+1))&lt;=1181,2,1)))=1,TEXT(INDEX(ERP資料!$G:$G, (MATCH(389, 輔助計算!$G$2:$G$801, 0)+1)),"0.##"),IF(IF(INDEX(ERP資料!$G:$G, (MATCH(389, 輔助計算!$G$2:$G$801, 0)+1))&lt;100, IF(INDEX(ERP資料!$G:$G, (MATCH(389, 輔助計算!$G$2:$G$801, 0)+1))&lt;=31,3,IF(INDEX(ERP資料!$G:$G, (MATCH(389, 輔助計算!$G$2:$G$801, 0)+1))&lt;=46.5,2,1)), IF(INDEX(ERP資料!$G:$G, (MATCH(389, 輔助計算!$G$2:$G$801, 0)+1))&lt;=790,3,IF(INDEX(ERP資料!$G:$G, (MATCH(389, 輔助計算!$G$2:$G$801, 0)+1))&lt;=1181,2,1)))=2,TEXT(INDEX(ERP資料!$G:$G, (MATCH(389, 輔助計算!$G$2:$G$801, 0)+1)),"0.##")&amp;"+"&amp;TEXT(INDEX(ERP資料!$G:$G, (MATCH(389, 輔助計算!$G$2:$G$801, 0)+1)),"0.##"),TEXT(INDEX(ERP資料!$G:$G, (MATCH(389, 輔助計算!$G$2:$G$801, 0)+1)),"0.##")&amp;"+"&amp;TEXT(INDEX(ERP資料!$G:$G, (MATCH(389, 輔助計算!$G$2:$G$801, 0)+1)),"0.##")&amp;"+"&amp;TEXT(INDEX(ERP資料!$G:$G, (MATCH(389, 輔助計算!$G$2:$G$801, 0)+1)),"0.##")))&amp;"-"&amp;INT(INDEX(輔助計算!$D:$D, (MATCH(389, 輔助計算!$G$2:$G$801, 0)+1))/IF(INDEX(ERP資料!$G:$G, (MATCH(389, 輔助計算!$G$2:$G$801, 0)+1))&lt;100, IF(INDEX(ERP資料!$G:$G, (MATCH(389, 輔助計算!$G$2:$G$801, 0)+1))&lt;=31,3,IF(INDEX(ERP資料!$G:$G, (MATCH(389, 輔助計算!$G$2:$G$801, 0)+1))&lt;=46.5,2,1)), IF(INDEX(ERP資料!$G:$G, (MATCH(389, 輔助計算!$G$2:$G$801, 0)+1))&lt;=790,3,IF(INDEX(ERP資料!$G:$G, (MATCH(389, 輔助計算!$G$2:$G$801, 0)+1))&lt;=1181,2,1)))), "")&amp;IF(AND(IF(INT(INDEX(輔助計算!$D:$D, (MATCH(389, 輔助計算!$G$2:$G$801, 0)+1))/IF(INDEX(ERP資料!$G:$G, (MATCH(389, 輔助計算!$G$2:$G$801, 0)+1))&lt;100, IF(INDEX(ERP資料!$G:$G, (MATCH(389, 輔助計算!$G$2:$G$801, 0)+1))&lt;=31,3,IF(INDEX(ERP資料!$G:$G, (MATCH(389, 輔助計算!$G$2:$G$801, 0)+1))&lt;=46.5,2,1)), IF(INDEX(ERP資料!$G:$G, (MATCH(389, 輔助計算!$G$2:$G$801, 0)+1))&lt;=790,3,IF(INDEX(ERP資料!$G:$G, (MATCH(389, 輔助計算!$G$2:$G$801, 0)+1))&lt;=1181,2,1))))&gt;0, IF(IF(INDEX(ERP資料!$G:$G, (MATCH(389, 輔助計算!$G$2:$G$801, 0)+1))&lt;100, IF(INDEX(ERP資料!$G:$G, (MATCH(389, 輔助計算!$G$2:$G$801, 0)+1))&lt;=31,3,IF(INDEX(ERP資料!$G:$G, (MATCH(389, 輔助計算!$G$2:$G$801, 0)+1))&lt;=46.5,2,1)), IF(INDEX(ERP資料!$G:$G, (MATCH(389, 輔助計算!$G$2:$G$801, 0)+1))&lt;=790,3,IF(INDEX(ERP資料!$G:$G, (MATCH(389, 輔助計算!$G$2:$G$801, 0)+1))&lt;=1181,2,1)))=1,TEXT(INDEX(ERP資料!$G:$G, (MATCH(389, 輔助計算!$G$2:$G$801, 0)+1)),"0.##"),IF(IF(INDEX(ERP資料!$G:$G, (MATCH(389, 輔助計算!$G$2:$G$801, 0)+1))&lt;100, IF(INDEX(ERP資料!$G:$G, (MATCH(389, 輔助計算!$G$2:$G$801, 0)+1))&lt;=31,3,IF(INDEX(ERP資料!$G:$G, (MATCH(389, 輔助計算!$G$2:$G$801, 0)+1))&lt;=46.5,2,1)), IF(INDEX(ERP資料!$G:$G, (MATCH(389, 輔助計算!$G$2:$G$801, 0)+1))&lt;=790,3,IF(INDEX(ERP資料!$G:$G, (MATCH(389, 輔助計算!$G$2:$G$801, 0)+1))&lt;=1181,2,1)))=2,TEXT(INDEX(ERP資料!$G:$G, (MATCH(389, 輔助計算!$G$2:$G$801, 0)+1)),"0.##")&amp;"+"&amp;TEXT(INDEX(ERP資料!$G:$G, (MATCH(389, 輔助計算!$G$2:$G$801, 0)+1)),"0.##"),TEXT(INDEX(ERP資料!$G:$G, (MATCH(389, 輔助計算!$G$2:$G$801, 0)+1)),"0.##")&amp;"+"&amp;TEXT(INDEX(ERP資料!$G:$G, (MATCH(389, 輔助計算!$G$2:$G$801, 0)+1)),"0.##")&amp;"+"&amp;TEXT(INDEX(ERP資料!$G:$G, (MATCH(389, 輔助計算!$G$2:$G$801, 0)+1)),"0.##")))&amp;"-"&amp;INT(INDEX(輔助計算!$D:$D, (MATCH(389, 輔助計算!$G$2:$G$801, 0)+1))/IF(INDEX(ERP資料!$G:$G, (MATCH(389, 輔助計算!$G$2:$G$801, 0)+1))&lt;100, IF(INDEX(ERP資料!$G:$G, (MATCH(389, 輔助計算!$G$2:$G$801, 0)+1))&lt;=31,3,IF(INDEX(ERP資料!$G:$G, (MATCH(389, 輔助計算!$G$2:$G$801, 0)+1))&lt;=46.5,2,1)), IF(INDEX(ERP資料!$G:$G, (MATCH(389, 輔助計算!$G$2:$G$801, 0)+1))&lt;=790,3,IF(INDEX(ERP資料!$G:$G, (MATCH(389, 輔助計算!$G$2:$G$801, 0)+1))&lt;=1181,2,1)))), "")&lt;&gt;"",IF(MOD(INDEX(輔助計算!$D:$D, (MATCH(389, 輔助計算!$G$2:$G$801, 0)+1)),IF(INDEX(ERP資料!$G:$G, (MATCH(389, 輔助計算!$G$2:$G$801, 0)+1))&lt;100, IF(INDEX(ERP資料!$G:$G, (MATCH(389, 輔助計算!$G$2:$G$801, 0)+1))&lt;=31,3,IF(INDEX(ERP資料!$G:$G, (MATCH(389, 輔助計算!$G$2:$G$801, 0)+1))&lt;=46.5,2,1)), IF(INDEX(ERP資料!$G:$G, (MATCH(389, 輔助計算!$G$2:$G$801, 0)+1))&lt;=790,3,IF(INDEX(ERP資料!$G:$G, (MATCH(389, 輔助計算!$G$2:$G$801, 0)+1))&lt;=1181,2,1))))=0,"",IF(MOD(INDEX(輔助計算!$D:$D, (MATCH(389, 輔助計算!$G$2:$G$801, 0)+1)),IF(INDEX(ERP資料!$G:$G, (MATCH(389, 輔助計算!$G$2:$G$801, 0)+1))&lt;100, IF(INDEX(ERP資料!$G:$G, (MATCH(389, 輔助計算!$G$2:$G$801, 0)+1))&lt;=31,3,IF(INDEX(ERP資料!$G:$G, (MATCH(389, 輔助計算!$G$2:$G$801, 0)+1))&lt;=46.5,2,1)), IF(INDEX(ERP資料!$G:$G, (MATCH(389, 輔助計算!$G$2:$G$801, 0)+1))&lt;=790,3,IF(INDEX(ERP資料!$G:$G, (MATCH(389, 輔助計算!$G$2:$G$801, 0)+1))&lt;=1181,2,1))))=0,"",IF(MOD(INDEX(輔助計算!$D:$D, (MATCH(389, 輔助計算!$G$2:$G$801, 0)+1)),IF(INDEX(ERP資料!$G:$G, (MATCH(389, 輔助計算!$G$2:$G$801, 0)+1))&lt;100, IF(INDEX(ERP資料!$G:$G, (MATCH(389, 輔助計算!$G$2:$G$801, 0)+1))&lt;=31,3,IF(INDEX(ERP資料!$G:$G, (MATCH(389, 輔助計算!$G$2:$G$801, 0)+1))&lt;=46.5,2,1)), IF(INDEX(ERP資料!$G:$G, (MATCH(389, 輔助計算!$G$2:$G$801, 0)+1))&lt;=790,3,IF(INDEX(ERP資料!$G:$G, (MATCH(389, 輔助計算!$G$2:$G$801, 0)+1))&lt;=1181,2,1))))=1,TEXT(INDEX(ERP資料!$G:$G, (MATCH(389, 輔助計算!$G$2:$G$801, 0)+1)),"0.##"),IF(MOD(INDEX(輔助計算!$D:$D, (MATCH(389, 輔助計算!$G$2:$G$801, 0)+1)),IF(INDEX(ERP資料!$G:$G, (MATCH(389, 輔助計算!$G$2:$G$801, 0)+1))&lt;100, IF(INDEX(ERP資料!$G:$G, (MATCH(389, 輔助計算!$G$2:$G$801, 0)+1))&lt;=31,3,IF(INDEX(ERP資料!$G:$G, (MATCH(389, 輔助計算!$G$2:$G$801, 0)+1))&lt;=46.5,2,1)), IF(INDEX(ERP資料!$G:$G, (MATCH(389, 輔助計算!$G$2:$G$801, 0)+1))&lt;=790,3,IF(INDEX(ERP資料!$G:$G, (MATCH(389, 輔助計算!$G$2:$G$801, 0)+1))&lt;=1181,2,1))))=2,TEXT(INDEX(ERP資料!$G:$G, (MATCH(389, 輔助計算!$G$2:$G$801, 0)+1)),"0.##")&amp;"+"&amp;TEXT(INDEX(ERP資料!$G:$G, (MATCH(389, 輔助計算!$G$2:$G$801, 0)+1)),"0.##"),TEXT(INDEX(ERP資料!$G:$G, (MATCH(389, 輔助計算!$G$2:$G$801, 0)+1)),"0.##")&amp;"+"&amp;TEXT(INDEX(ERP資料!$G:$G, (MATCH(389, 輔助計算!$G$2:$G$801, 0)+1)),"0.##")&amp;"+"&amp;TEXT(INDEX(ERP資料!$G:$G, (MATCH(389, 輔助計算!$G$2:$G$801, 0)+1)),"0.##"))))&amp;"-1")&lt;&gt;""),"  ","")&amp;IF(MOD(INDEX(輔助計算!$D:$D, (MATCH(389, 輔助計算!$G$2:$G$801, 0)+1)),IF(INDEX(ERP資料!$G:$G, (MATCH(389, 輔助計算!$G$2:$G$801, 0)+1))&lt;100, IF(INDEX(ERP資料!$G:$G, (MATCH(389, 輔助計算!$G$2:$G$801, 0)+1))&lt;=31,3,IF(INDEX(ERP資料!$G:$G, (MATCH(389, 輔助計算!$G$2:$G$801, 0)+1))&lt;=46.5,2,1)), IF(INDEX(ERP資料!$G:$G, (MATCH(389, 輔助計算!$G$2:$G$801, 0)+1))&lt;=790,3,IF(INDEX(ERP資料!$G:$G, (MATCH(389, 輔助計算!$G$2:$G$801, 0)+1))&lt;=1181,2,1))))=0,"",IF(MOD(INDEX(輔助計算!$D:$D, (MATCH(389, 輔助計算!$G$2:$G$801, 0)+1)),IF(INDEX(ERP資料!$G:$G, (MATCH(389, 輔助計算!$G$2:$G$801, 0)+1))&lt;100, IF(INDEX(ERP資料!$G:$G, (MATCH(389, 輔助計算!$G$2:$G$801, 0)+1))&lt;=31,3,IF(INDEX(ERP資料!$G:$G, (MATCH(389, 輔助計算!$G$2:$G$801, 0)+1))&lt;=46.5,2,1)), IF(INDEX(ERP資料!$G:$G, (MATCH(389, 輔助計算!$G$2:$G$801, 0)+1))&lt;=790,3,IF(INDEX(ERP資料!$G:$G, (MATCH(389, 輔助計算!$G$2:$G$801, 0)+1))&lt;=1181,2,1))))=0,"",IF(MOD(INDEX(輔助計算!$D:$D, (MATCH(389, 輔助計算!$G$2:$G$801, 0)+1)),IF(INDEX(ERP資料!$G:$G, (MATCH(389, 輔助計算!$G$2:$G$801, 0)+1))&lt;100, IF(INDEX(ERP資料!$G:$G, (MATCH(389, 輔助計算!$G$2:$G$801, 0)+1))&lt;=31,3,IF(INDEX(ERP資料!$G:$G, (MATCH(389, 輔助計算!$G$2:$G$801, 0)+1))&lt;=46.5,2,1)), IF(INDEX(ERP資料!$G:$G, (MATCH(389, 輔助計算!$G$2:$G$801, 0)+1))&lt;=790,3,IF(INDEX(ERP資料!$G:$G, (MATCH(389, 輔助計算!$G$2:$G$801, 0)+1))&lt;=1181,2,1))))=1,TEXT(INDEX(ERP資料!$G:$G, (MATCH(389, 輔助計算!$G$2:$G$801, 0)+1)),"0.##"),IF(MOD(INDEX(輔助計算!$D:$D, (MATCH(389, 輔助計算!$G$2:$G$801, 0)+1)),IF(INDEX(ERP資料!$G:$G, (MATCH(389, 輔助計算!$G$2:$G$801, 0)+1))&lt;100, IF(INDEX(ERP資料!$G:$G, (MATCH(389, 輔助計算!$G$2:$G$801, 0)+1))&lt;=31,3,IF(INDEX(ERP資料!$G:$G, (MATCH(389, 輔助計算!$G$2:$G$801, 0)+1))&lt;=46.5,2,1)), IF(INDEX(ERP資料!$G:$G, (MATCH(389, 輔助計算!$G$2:$G$801, 0)+1))&lt;=790,3,IF(INDEX(ERP資料!$G:$G, (MATCH(389, 輔助計算!$G$2:$G$801, 0)+1))&lt;=1181,2,1))))=2,TEXT(INDEX(ERP資料!$G:$G, (MATCH(389, 輔助計算!$G$2:$G$801, 0)+1)),"0.##")&amp;"+"&amp;TEXT(INDEX(ERP資料!$G:$G, (MATCH(389, 輔助計算!$G$2:$G$801, 0)+1)),"0.##"),TEXT(INDEX(ERP資料!$G:$G, (MATCH(389, 輔助計算!$G$2:$G$801, 0)+1)),"0.##")&amp;"+"&amp;TEXT(INDEX(ERP資料!$G:$G, (MATCH(389, 輔助計算!$G$2:$G$801, 0)+1)),"0.##")&amp;"+"&amp;TEXT(INDEX(ERP資料!$G:$G, (MATCH(389, 輔助計算!$G$2:$G$801, 0)+1)),"0.##"))))&amp;"-1")), ""), "")</f>
        <v/>
      </c>
      <c r="K390" s="16" t="n"/>
      <c r="L390" s="14">
        <f>IFERROR(IF(AND(IFERROR(INDEX(ERP資料!$A:$A, (MATCH(389, 輔助計算!$G$2:$G$801, 0)+1)), "")&lt;&gt;"", IFERROR(INDEX(ERP資料!$A:$A, (MATCH(389, 輔助計算!$G$2:$G$801, 0)+1)), "")&lt;&gt;IFERROR(INDEX(ERP資料!$A:$A, MATCH(388, 輔助計算!$G$2:$G$801, 0)+1), "")), INDEX(ERP資料!$B:$B, (MATCH(389, 輔助計算!$G$2:$G$801, 0)+1)), ""), "")</f>
        <v/>
      </c>
      <c r="M390" s="17" t="n"/>
    </row>
    <row r="391">
      <c r="A391" s="10">
        <f>IFERROR(IF(AND(IFERROR(INDEX(ERP資料!$A:$A, (MATCH(390, 輔助計算!$G$2:$G$801, 0)+1)), "")&lt;&gt;"", IFERROR(INDEX(ERP資料!$A:$A, (MATCH(390, 輔助計算!$G$2:$G$801, 0)+1)), "")&lt;&gt;IFERROR(INDEX(ERP資料!$A:$A, MATCH(389, 輔助計算!$G$2:$G$801, 0)+1), "")), IFERROR(INDEX(ERP資料!$A:$A, (MATCH(390, 輔助計算!$G$2:$G$801, 0)+1)), ""), ""), "")</f>
        <v/>
      </c>
      <c r="B391" s="10">
        <f>IFERROR(IF(AND(IFERROR(INDEX(ERP資料!$A:$A, (MATCH(390, 輔助計算!$G$2:$G$801, 0)+1)), "")&lt;&gt;"", IFERROR(INDEX(ERP資料!$A:$A, (MATCH(390, 輔助計算!$G$2:$G$801, 0)+1)), "")&lt;&gt;IFERROR(INDEX(ERP資料!$A:$A, MATCH(389, 輔助計算!$G$2:$G$801, 0)+1), "")), INDEX(ERP資料!$S:$S, (MATCH(390, 輔助計算!$G$2:$G$801, 0)+1)), ""), "")</f>
        <v/>
      </c>
      <c r="C391" s="19">
        <f>IFERROR(IF(AND(IFERROR(INDEX(ERP資料!$A:$A, (MATCH(390, 輔助計算!$G$2:$G$801, 0)+1)), "")&lt;&gt;"", IFERROR(INDEX(ERP資料!$A:$A, (MATCH(390, 輔助計算!$G$2:$G$801, 0)+1)), "")&lt;&gt;IFERROR(INDEX(ERP資料!$A:$A, MATCH(389, 輔助計算!$G$2:$G$801, 0)+1), "")), IFERROR(VLOOKUP(LEFT(INDEX(ERP資料!$S:$S, (MATCH(390, 輔助計算!$G$2:$G$801, 0)+1)), 4), 紙管對照表!$A:$C, 3, FALSE), ""), ""), "")</f>
        <v/>
      </c>
      <c r="D391" s="16" t="n"/>
      <c r="E391" s="10">
        <f>IFERROR(IF(INDEX(ERP資料!$H:$H, (MATCH(390, 輔助計算!$G$2:$G$801, 0)+1))="","",INDEX(ERP資料!$H:$H, (MATCH(390, 輔助計算!$G$2:$G$801, 0)+1))), "")</f>
        <v/>
      </c>
      <c r="F391" s="10">
        <f>IFERROR(IF(INDEX(ERP資料!$E:$E, (MATCH(390, 輔助計算!$G$2:$G$801, 0)+1))="","",TRIM(INDEX(ERP資料!$E:$E, (MATCH(390, 輔助計算!$G$2:$G$801, 0)+1)))), "")</f>
        <v/>
      </c>
      <c r="G391" s="10">
        <f>IFERROR(IF(INDEX(ERP資料!$F:$F, (MATCH(390, 輔助計算!$G$2:$G$801, 0)+1))="","",INDEX(ERP資料!$F:$F, (MATCH(390, 輔助計算!$G$2:$G$801, 0)+1))), "")</f>
        <v/>
      </c>
      <c r="H391" s="10">
        <f>IFERROR(IF(INDEX(ERP資料!$G:$G, (MATCH(390, 輔助計算!$G$2:$G$801, 0)+1))="","",INDEX(ERP資料!$G:$G, (MATCH(390, 輔助計算!$G$2:$G$801, 0)+1))), "")</f>
        <v/>
      </c>
      <c r="I391" s="15">
        <f>IFERROR(INDEX(輔助計算!$D:$D, (MATCH(390, 輔助計算!$G$2:$G$801, 0)+1)), "")</f>
        <v/>
      </c>
      <c r="J391" s="15">
        <f>IFERROR(IF(AND(INDEX(輔助計算!$D:$D, (MATCH(390, 輔助計算!$G$2:$G$801, 0)+1))&lt;&gt;"", INDEX(ERP資料!$G:$G, (MATCH(390, 輔助計算!$G$2:$G$801, 0)+1))&lt;&gt;""), TRIM(IF(INT(INDEX(輔助計算!$D:$D, (MATCH(390, 輔助計算!$G$2:$G$801, 0)+1))/IF(INDEX(ERP資料!$G:$G, (MATCH(390, 輔助計算!$G$2:$G$801, 0)+1))&lt;100, IF(INDEX(ERP資料!$G:$G, (MATCH(390, 輔助計算!$G$2:$G$801, 0)+1))&lt;=31,3,IF(INDEX(ERP資料!$G:$G, (MATCH(390, 輔助計算!$G$2:$G$801, 0)+1))&lt;=46.5,2,1)), IF(INDEX(ERP資料!$G:$G, (MATCH(390, 輔助計算!$G$2:$G$801, 0)+1))&lt;=790,3,IF(INDEX(ERP資料!$G:$G, (MATCH(390, 輔助計算!$G$2:$G$801, 0)+1))&lt;=1181,2,1))))&gt;0, IF(IF(INDEX(ERP資料!$G:$G, (MATCH(390, 輔助計算!$G$2:$G$801, 0)+1))&lt;100, IF(INDEX(ERP資料!$G:$G, (MATCH(390, 輔助計算!$G$2:$G$801, 0)+1))&lt;=31,3,IF(INDEX(ERP資料!$G:$G, (MATCH(390, 輔助計算!$G$2:$G$801, 0)+1))&lt;=46.5,2,1)), IF(INDEX(ERP資料!$G:$G, (MATCH(390, 輔助計算!$G$2:$G$801, 0)+1))&lt;=790,3,IF(INDEX(ERP資料!$G:$G, (MATCH(390, 輔助計算!$G$2:$G$801, 0)+1))&lt;=1181,2,1)))=1,TEXT(INDEX(ERP資料!$G:$G, (MATCH(390, 輔助計算!$G$2:$G$801, 0)+1)),"0.##"),IF(IF(INDEX(ERP資料!$G:$G, (MATCH(390, 輔助計算!$G$2:$G$801, 0)+1))&lt;100, IF(INDEX(ERP資料!$G:$G, (MATCH(390, 輔助計算!$G$2:$G$801, 0)+1))&lt;=31,3,IF(INDEX(ERP資料!$G:$G, (MATCH(390, 輔助計算!$G$2:$G$801, 0)+1))&lt;=46.5,2,1)), IF(INDEX(ERP資料!$G:$G, (MATCH(390, 輔助計算!$G$2:$G$801, 0)+1))&lt;=790,3,IF(INDEX(ERP資料!$G:$G, (MATCH(390, 輔助計算!$G$2:$G$801, 0)+1))&lt;=1181,2,1)))=2,TEXT(INDEX(ERP資料!$G:$G, (MATCH(390, 輔助計算!$G$2:$G$801, 0)+1)),"0.##")&amp;"+"&amp;TEXT(INDEX(ERP資料!$G:$G, (MATCH(390, 輔助計算!$G$2:$G$801, 0)+1)),"0.##"),TEXT(INDEX(ERP資料!$G:$G, (MATCH(390, 輔助計算!$G$2:$G$801, 0)+1)),"0.##")&amp;"+"&amp;TEXT(INDEX(ERP資料!$G:$G, (MATCH(390, 輔助計算!$G$2:$G$801, 0)+1)),"0.##")&amp;"+"&amp;TEXT(INDEX(ERP資料!$G:$G, (MATCH(390, 輔助計算!$G$2:$G$801, 0)+1)),"0.##")))&amp;"-"&amp;INT(INDEX(輔助計算!$D:$D, (MATCH(390, 輔助計算!$G$2:$G$801, 0)+1))/IF(INDEX(ERP資料!$G:$G, (MATCH(390, 輔助計算!$G$2:$G$801, 0)+1))&lt;100, IF(INDEX(ERP資料!$G:$G, (MATCH(390, 輔助計算!$G$2:$G$801, 0)+1))&lt;=31,3,IF(INDEX(ERP資料!$G:$G, (MATCH(390, 輔助計算!$G$2:$G$801, 0)+1))&lt;=46.5,2,1)), IF(INDEX(ERP資料!$G:$G, (MATCH(390, 輔助計算!$G$2:$G$801, 0)+1))&lt;=790,3,IF(INDEX(ERP資料!$G:$G, (MATCH(390, 輔助計算!$G$2:$G$801, 0)+1))&lt;=1181,2,1)))), "")&amp;IF(AND(IF(INT(INDEX(輔助計算!$D:$D, (MATCH(390, 輔助計算!$G$2:$G$801, 0)+1))/IF(INDEX(ERP資料!$G:$G, (MATCH(390, 輔助計算!$G$2:$G$801, 0)+1))&lt;100, IF(INDEX(ERP資料!$G:$G, (MATCH(390, 輔助計算!$G$2:$G$801, 0)+1))&lt;=31,3,IF(INDEX(ERP資料!$G:$G, (MATCH(390, 輔助計算!$G$2:$G$801, 0)+1))&lt;=46.5,2,1)), IF(INDEX(ERP資料!$G:$G, (MATCH(390, 輔助計算!$G$2:$G$801, 0)+1))&lt;=790,3,IF(INDEX(ERP資料!$G:$G, (MATCH(390, 輔助計算!$G$2:$G$801, 0)+1))&lt;=1181,2,1))))&gt;0, IF(IF(INDEX(ERP資料!$G:$G, (MATCH(390, 輔助計算!$G$2:$G$801, 0)+1))&lt;100, IF(INDEX(ERP資料!$G:$G, (MATCH(390, 輔助計算!$G$2:$G$801, 0)+1))&lt;=31,3,IF(INDEX(ERP資料!$G:$G, (MATCH(390, 輔助計算!$G$2:$G$801, 0)+1))&lt;=46.5,2,1)), IF(INDEX(ERP資料!$G:$G, (MATCH(390, 輔助計算!$G$2:$G$801, 0)+1))&lt;=790,3,IF(INDEX(ERP資料!$G:$G, (MATCH(390, 輔助計算!$G$2:$G$801, 0)+1))&lt;=1181,2,1)))=1,TEXT(INDEX(ERP資料!$G:$G, (MATCH(390, 輔助計算!$G$2:$G$801, 0)+1)),"0.##"),IF(IF(INDEX(ERP資料!$G:$G, (MATCH(390, 輔助計算!$G$2:$G$801, 0)+1))&lt;100, IF(INDEX(ERP資料!$G:$G, (MATCH(390, 輔助計算!$G$2:$G$801, 0)+1))&lt;=31,3,IF(INDEX(ERP資料!$G:$G, (MATCH(390, 輔助計算!$G$2:$G$801, 0)+1))&lt;=46.5,2,1)), IF(INDEX(ERP資料!$G:$G, (MATCH(390, 輔助計算!$G$2:$G$801, 0)+1))&lt;=790,3,IF(INDEX(ERP資料!$G:$G, (MATCH(390, 輔助計算!$G$2:$G$801, 0)+1))&lt;=1181,2,1)))=2,TEXT(INDEX(ERP資料!$G:$G, (MATCH(390, 輔助計算!$G$2:$G$801, 0)+1)),"0.##")&amp;"+"&amp;TEXT(INDEX(ERP資料!$G:$G, (MATCH(390, 輔助計算!$G$2:$G$801, 0)+1)),"0.##"),TEXT(INDEX(ERP資料!$G:$G, (MATCH(390, 輔助計算!$G$2:$G$801, 0)+1)),"0.##")&amp;"+"&amp;TEXT(INDEX(ERP資料!$G:$G, (MATCH(390, 輔助計算!$G$2:$G$801, 0)+1)),"0.##")&amp;"+"&amp;TEXT(INDEX(ERP資料!$G:$G, (MATCH(390, 輔助計算!$G$2:$G$801, 0)+1)),"0.##")))&amp;"-"&amp;INT(INDEX(輔助計算!$D:$D, (MATCH(390, 輔助計算!$G$2:$G$801, 0)+1))/IF(INDEX(ERP資料!$G:$G, (MATCH(390, 輔助計算!$G$2:$G$801, 0)+1))&lt;100, IF(INDEX(ERP資料!$G:$G, (MATCH(390, 輔助計算!$G$2:$G$801, 0)+1))&lt;=31,3,IF(INDEX(ERP資料!$G:$G, (MATCH(390, 輔助計算!$G$2:$G$801, 0)+1))&lt;=46.5,2,1)), IF(INDEX(ERP資料!$G:$G, (MATCH(390, 輔助計算!$G$2:$G$801, 0)+1))&lt;=790,3,IF(INDEX(ERP資料!$G:$G, (MATCH(390, 輔助計算!$G$2:$G$801, 0)+1))&lt;=1181,2,1)))), "")&lt;&gt;"",IF(MOD(INDEX(輔助計算!$D:$D, (MATCH(390, 輔助計算!$G$2:$G$801, 0)+1)),IF(INDEX(ERP資料!$G:$G, (MATCH(390, 輔助計算!$G$2:$G$801, 0)+1))&lt;100, IF(INDEX(ERP資料!$G:$G, (MATCH(390, 輔助計算!$G$2:$G$801, 0)+1))&lt;=31,3,IF(INDEX(ERP資料!$G:$G, (MATCH(390, 輔助計算!$G$2:$G$801, 0)+1))&lt;=46.5,2,1)), IF(INDEX(ERP資料!$G:$G, (MATCH(390, 輔助計算!$G$2:$G$801, 0)+1))&lt;=790,3,IF(INDEX(ERP資料!$G:$G, (MATCH(390, 輔助計算!$G$2:$G$801, 0)+1))&lt;=1181,2,1))))=0,"",IF(MOD(INDEX(輔助計算!$D:$D, (MATCH(390, 輔助計算!$G$2:$G$801, 0)+1)),IF(INDEX(ERP資料!$G:$G, (MATCH(390, 輔助計算!$G$2:$G$801, 0)+1))&lt;100, IF(INDEX(ERP資料!$G:$G, (MATCH(390, 輔助計算!$G$2:$G$801, 0)+1))&lt;=31,3,IF(INDEX(ERP資料!$G:$G, (MATCH(390, 輔助計算!$G$2:$G$801, 0)+1))&lt;=46.5,2,1)), IF(INDEX(ERP資料!$G:$G, (MATCH(390, 輔助計算!$G$2:$G$801, 0)+1))&lt;=790,3,IF(INDEX(ERP資料!$G:$G, (MATCH(390, 輔助計算!$G$2:$G$801, 0)+1))&lt;=1181,2,1))))=0,"",IF(MOD(INDEX(輔助計算!$D:$D, (MATCH(390, 輔助計算!$G$2:$G$801, 0)+1)),IF(INDEX(ERP資料!$G:$G, (MATCH(390, 輔助計算!$G$2:$G$801, 0)+1))&lt;100, IF(INDEX(ERP資料!$G:$G, (MATCH(390, 輔助計算!$G$2:$G$801, 0)+1))&lt;=31,3,IF(INDEX(ERP資料!$G:$G, (MATCH(390, 輔助計算!$G$2:$G$801, 0)+1))&lt;=46.5,2,1)), IF(INDEX(ERP資料!$G:$G, (MATCH(390, 輔助計算!$G$2:$G$801, 0)+1))&lt;=790,3,IF(INDEX(ERP資料!$G:$G, (MATCH(390, 輔助計算!$G$2:$G$801, 0)+1))&lt;=1181,2,1))))=1,TEXT(INDEX(ERP資料!$G:$G, (MATCH(390, 輔助計算!$G$2:$G$801, 0)+1)),"0.##"),IF(MOD(INDEX(輔助計算!$D:$D, (MATCH(390, 輔助計算!$G$2:$G$801, 0)+1)),IF(INDEX(ERP資料!$G:$G, (MATCH(390, 輔助計算!$G$2:$G$801, 0)+1))&lt;100, IF(INDEX(ERP資料!$G:$G, (MATCH(390, 輔助計算!$G$2:$G$801, 0)+1))&lt;=31,3,IF(INDEX(ERP資料!$G:$G, (MATCH(390, 輔助計算!$G$2:$G$801, 0)+1))&lt;=46.5,2,1)), IF(INDEX(ERP資料!$G:$G, (MATCH(390, 輔助計算!$G$2:$G$801, 0)+1))&lt;=790,3,IF(INDEX(ERP資料!$G:$G, (MATCH(390, 輔助計算!$G$2:$G$801, 0)+1))&lt;=1181,2,1))))=2,TEXT(INDEX(ERP資料!$G:$G, (MATCH(390, 輔助計算!$G$2:$G$801, 0)+1)),"0.##")&amp;"+"&amp;TEXT(INDEX(ERP資料!$G:$G, (MATCH(390, 輔助計算!$G$2:$G$801, 0)+1)),"0.##"),TEXT(INDEX(ERP資料!$G:$G, (MATCH(390, 輔助計算!$G$2:$G$801, 0)+1)),"0.##")&amp;"+"&amp;TEXT(INDEX(ERP資料!$G:$G, (MATCH(390, 輔助計算!$G$2:$G$801, 0)+1)),"0.##")&amp;"+"&amp;TEXT(INDEX(ERP資料!$G:$G, (MATCH(390, 輔助計算!$G$2:$G$801, 0)+1)),"0.##"))))&amp;"-1")&lt;&gt;""),"  ","")&amp;IF(MOD(INDEX(輔助計算!$D:$D, (MATCH(390, 輔助計算!$G$2:$G$801, 0)+1)),IF(INDEX(ERP資料!$G:$G, (MATCH(390, 輔助計算!$G$2:$G$801, 0)+1))&lt;100, IF(INDEX(ERP資料!$G:$G, (MATCH(390, 輔助計算!$G$2:$G$801, 0)+1))&lt;=31,3,IF(INDEX(ERP資料!$G:$G, (MATCH(390, 輔助計算!$G$2:$G$801, 0)+1))&lt;=46.5,2,1)), IF(INDEX(ERP資料!$G:$G, (MATCH(390, 輔助計算!$G$2:$G$801, 0)+1))&lt;=790,3,IF(INDEX(ERP資料!$G:$G, (MATCH(390, 輔助計算!$G$2:$G$801, 0)+1))&lt;=1181,2,1))))=0,"",IF(MOD(INDEX(輔助計算!$D:$D, (MATCH(390, 輔助計算!$G$2:$G$801, 0)+1)),IF(INDEX(ERP資料!$G:$G, (MATCH(390, 輔助計算!$G$2:$G$801, 0)+1))&lt;100, IF(INDEX(ERP資料!$G:$G, (MATCH(390, 輔助計算!$G$2:$G$801, 0)+1))&lt;=31,3,IF(INDEX(ERP資料!$G:$G, (MATCH(390, 輔助計算!$G$2:$G$801, 0)+1))&lt;=46.5,2,1)), IF(INDEX(ERP資料!$G:$G, (MATCH(390, 輔助計算!$G$2:$G$801, 0)+1))&lt;=790,3,IF(INDEX(ERP資料!$G:$G, (MATCH(390, 輔助計算!$G$2:$G$801, 0)+1))&lt;=1181,2,1))))=0,"",IF(MOD(INDEX(輔助計算!$D:$D, (MATCH(390, 輔助計算!$G$2:$G$801, 0)+1)),IF(INDEX(ERP資料!$G:$G, (MATCH(390, 輔助計算!$G$2:$G$801, 0)+1))&lt;100, IF(INDEX(ERP資料!$G:$G, (MATCH(390, 輔助計算!$G$2:$G$801, 0)+1))&lt;=31,3,IF(INDEX(ERP資料!$G:$G, (MATCH(390, 輔助計算!$G$2:$G$801, 0)+1))&lt;=46.5,2,1)), IF(INDEX(ERP資料!$G:$G, (MATCH(390, 輔助計算!$G$2:$G$801, 0)+1))&lt;=790,3,IF(INDEX(ERP資料!$G:$G, (MATCH(390, 輔助計算!$G$2:$G$801, 0)+1))&lt;=1181,2,1))))=1,TEXT(INDEX(ERP資料!$G:$G, (MATCH(390, 輔助計算!$G$2:$G$801, 0)+1)),"0.##"),IF(MOD(INDEX(輔助計算!$D:$D, (MATCH(390, 輔助計算!$G$2:$G$801, 0)+1)),IF(INDEX(ERP資料!$G:$G, (MATCH(390, 輔助計算!$G$2:$G$801, 0)+1))&lt;100, IF(INDEX(ERP資料!$G:$G, (MATCH(390, 輔助計算!$G$2:$G$801, 0)+1))&lt;=31,3,IF(INDEX(ERP資料!$G:$G, (MATCH(390, 輔助計算!$G$2:$G$801, 0)+1))&lt;=46.5,2,1)), IF(INDEX(ERP資料!$G:$G, (MATCH(390, 輔助計算!$G$2:$G$801, 0)+1))&lt;=790,3,IF(INDEX(ERP資料!$G:$G, (MATCH(390, 輔助計算!$G$2:$G$801, 0)+1))&lt;=1181,2,1))))=2,TEXT(INDEX(ERP資料!$G:$G, (MATCH(390, 輔助計算!$G$2:$G$801, 0)+1)),"0.##")&amp;"+"&amp;TEXT(INDEX(ERP資料!$G:$G, (MATCH(390, 輔助計算!$G$2:$G$801, 0)+1)),"0.##"),TEXT(INDEX(ERP資料!$G:$G, (MATCH(390, 輔助計算!$G$2:$G$801, 0)+1)),"0.##")&amp;"+"&amp;TEXT(INDEX(ERP資料!$G:$G, (MATCH(390, 輔助計算!$G$2:$G$801, 0)+1)),"0.##")&amp;"+"&amp;TEXT(INDEX(ERP資料!$G:$G, (MATCH(390, 輔助計算!$G$2:$G$801, 0)+1)),"0.##"))))&amp;"-1")), ""), "")</f>
        <v/>
      </c>
      <c r="K391" s="16" t="n"/>
      <c r="L391" s="14">
        <f>IFERROR(IF(AND(IFERROR(INDEX(ERP資料!$A:$A, (MATCH(390, 輔助計算!$G$2:$G$801, 0)+1)), "")&lt;&gt;"", IFERROR(INDEX(ERP資料!$A:$A, (MATCH(390, 輔助計算!$G$2:$G$801, 0)+1)), "")&lt;&gt;IFERROR(INDEX(ERP資料!$A:$A, MATCH(389, 輔助計算!$G$2:$G$801, 0)+1), "")), INDEX(ERP資料!$B:$B, (MATCH(390, 輔助計算!$G$2:$G$801, 0)+1)), ""), "")</f>
        <v/>
      </c>
      <c r="M391" s="17" t="n"/>
    </row>
    <row r="392">
      <c r="A392" s="10">
        <f>IFERROR(IF(AND(IFERROR(INDEX(ERP資料!$A:$A, (MATCH(391, 輔助計算!$G$2:$G$801, 0)+1)), "")&lt;&gt;"", IFERROR(INDEX(ERP資料!$A:$A, (MATCH(391, 輔助計算!$G$2:$G$801, 0)+1)), "")&lt;&gt;IFERROR(INDEX(ERP資料!$A:$A, MATCH(390, 輔助計算!$G$2:$G$801, 0)+1), "")), IFERROR(INDEX(ERP資料!$A:$A, (MATCH(391, 輔助計算!$G$2:$G$801, 0)+1)), ""), ""), "")</f>
        <v/>
      </c>
      <c r="B392" s="10">
        <f>IFERROR(IF(AND(IFERROR(INDEX(ERP資料!$A:$A, (MATCH(391, 輔助計算!$G$2:$G$801, 0)+1)), "")&lt;&gt;"", IFERROR(INDEX(ERP資料!$A:$A, (MATCH(391, 輔助計算!$G$2:$G$801, 0)+1)), "")&lt;&gt;IFERROR(INDEX(ERP資料!$A:$A, MATCH(390, 輔助計算!$G$2:$G$801, 0)+1), "")), INDEX(ERP資料!$S:$S, (MATCH(391, 輔助計算!$G$2:$G$801, 0)+1)), ""), "")</f>
        <v/>
      </c>
      <c r="C392" s="19">
        <f>IFERROR(IF(AND(IFERROR(INDEX(ERP資料!$A:$A, (MATCH(391, 輔助計算!$G$2:$G$801, 0)+1)), "")&lt;&gt;"", IFERROR(INDEX(ERP資料!$A:$A, (MATCH(391, 輔助計算!$G$2:$G$801, 0)+1)), "")&lt;&gt;IFERROR(INDEX(ERP資料!$A:$A, MATCH(390, 輔助計算!$G$2:$G$801, 0)+1), "")), IFERROR(VLOOKUP(LEFT(INDEX(ERP資料!$S:$S, (MATCH(391, 輔助計算!$G$2:$G$801, 0)+1)), 4), 紙管對照表!$A:$C, 3, FALSE), ""), ""), "")</f>
        <v/>
      </c>
      <c r="D392" s="16" t="n"/>
      <c r="E392" s="10">
        <f>IFERROR(IF(INDEX(ERP資料!$H:$H, (MATCH(391, 輔助計算!$G$2:$G$801, 0)+1))="","",INDEX(ERP資料!$H:$H, (MATCH(391, 輔助計算!$G$2:$G$801, 0)+1))), "")</f>
        <v/>
      </c>
      <c r="F392" s="10">
        <f>IFERROR(IF(INDEX(ERP資料!$E:$E, (MATCH(391, 輔助計算!$G$2:$G$801, 0)+1))="","",TRIM(INDEX(ERP資料!$E:$E, (MATCH(391, 輔助計算!$G$2:$G$801, 0)+1)))), "")</f>
        <v/>
      </c>
      <c r="G392" s="10">
        <f>IFERROR(IF(INDEX(ERP資料!$F:$F, (MATCH(391, 輔助計算!$G$2:$G$801, 0)+1))="","",INDEX(ERP資料!$F:$F, (MATCH(391, 輔助計算!$G$2:$G$801, 0)+1))), "")</f>
        <v/>
      </c>
      <c r="H392" s="10">
        <f>IFERROR(IF(INDEX(ERP資料!$G:$G, (MATCH(391, 輔助計算!$G$2:$G$801, 0)+1))="","",INDEX(ERP資料!$G:$G, (MATCH(391, 輔助計算!$G$2:$G$801, 0)+1))), "")</f>
        <v/>
      </c>
      <c r="I392" s="15">
        <f>IFERROR(INDEX(輔助計算!$D:$D, (MATCH(391, 輔助計算!$G$2:$G$801, 0)+1)), "")</f>
        <v/>
      </c>
      <c r="J392" s="15">
        <f>IFERROR(IF(AND(INDEX(輔助計算!$D:$D, (MATCH(391, 輔助計算!$G$2:$G$801, 0)+1))&lt;&gt;"", INDEX(ERP資料!$G:$G, (MATCH(391, 輔助計算!$G$2:$G$801, 0)+1))&lt;&gt;""), TRIM(IF(INT(INDEX(輔助計算!$D:$D, (MATCH(391, 輔助計算!$G$2:$G$801, 0)+1))/IF(INDEX(ERP資料!$G:$G, (MATCH(391, 輔助計算!$G$2:$G$801, 0)+1))&lt;100, IF(INDEX(ERP資料!$G:$G, (MATCH(391, 輔助計算!$G$2:$G$801, 0)+1))&lt;=31,3,IF(INDEX(ERP資料!$G:$G, (MATCH(391, 輔助計算!$G$2:$G$801, 0)+1))&lt;=46.5,2,1)), IF(INDEX(ERP資料!$G:$G, (MATCH(391, 輔助計算!$G$2:$G$801, 0)+1))&lt;=790,3,IF(INDEX(ERP資料!$G:$G, (MATCH(391, 輔助計算!$G$2:$G$801, 0)+1))&lt;=1181,2,1))))&gt;0, IF(IF(INDEX(ERP資料!$G:$G, (MATCH(391, 輔助計算!$G$2:$G$801, 0)+1))&lt;100, IF(INDEX(ERP資料!$G:$G, (MATCH(391, 輔助計算!$G$2:$G$801, 0)+1))&lt;=31,3,IF(INDEX(ERP資料!$G:$G, (MATCH(391, 輔助計算!$G$2:$G$801, 0)+1))&lt;=46.5,2,1)), IF(INDEX(ERP資料!$G:$G, (MATCH(391, 輔助計算!$G$2:$G$801, 0)+1))&lt;=790,3,IF(INDEX(ERP資料!$G:$G, (MATCH(391, 輔助計算!$G$2:$G$801, 0)+1))&lt;=1181,2,1)))=1,TEXT(INDEX(ERP資料!$G:$G, (MATCH(391, 輔助計算!$G$2:$G$801, 0)+1)),"0.##"),IF(IF(INDEX(ERP資料!$G:$G, (MATCH(391, 輔助計算!$G$2:$G$801, 0)+1))&lt;100, IF(INDEX(ERP資料!$G:$G, (MATCH(391, 輔助計算!$G$2:$G$801, 0)+1))&lt;=31,3,IF(INDEX(ERP資料!$G:$G, (MATCH(391, 輔助計算!$G$2:$G$801, 0)+1))&lt;=46.5,2,1)), IF(INDEX(ERP資料!$G:$G, (MATCH(391, 輔助計算!$G$2:$G$801, 0)+1))&lt;=790,3,IF(INDEX(ERP資料!$G:$G, (MATCH(391, 輔助計算!$G$2:$G$801, 0)+1))&lt;=1181,2,1)))=2,TEXT(INDEX(ERP資料!$G:$G, (MATCH(391, 輔助計算!$G$2:$G$801, 0)+1)),"0.##")&amp;"+"&amp;TEXT(INDEX(ERP資料!$G:$G, (MATCH(391, 輔助計算!$G$2:$G$801, 0)+1)),"0.##"),TEXT(INDEX(ERP資料!$G:$G, (MATCH(391, 輔助計算!$G$2:$G$801, 0)+1)),"0.##")&amp;"+"&amp;TEXT(INDEX(ERP資料!$G:$G, (MATCH(391, 輔助計算!$G$2:$G$801, 0)+1)),"0.##")&amp;"+"&amp;TEXT(INDEX(ERP資料!$G:$G, (MATCH(391, 輔助計算!$G$2:$G$801, 0)+1)),"0.##")))&amp;"-"&amp;INT(INDEX(輔助計算!$D:$D, (MATCH(391, 輔助計算!$G$2:$G$801, 0)+1))/IF(INDEX(ERP資料!$G:$G, (MATCH(391, 輔助計算!$G$2:$G$801, 0)+1))&lt;100, IF(INDEX(ERP資料!$G:$G, (MATCH(391, 輔助計算!$G$2:$G$801, 0)+1))&lt;=31,3,IF(INDEX(ERP資料!$G:$G, (MATCH(391, 輔助計算!$G$2:$G$801, 0)+1))&lt;=46.5,2,1)), IF(INDEX(ERP資料!$G:$G, (MATCH(391, 輔助計算!$G$2:$G$801, 0)+1))&lt;=790,3,IF(INDEX(ERP資料!$G:$G, (MATCH(391, 輔助計算!$G$2:$G$801, 0)+1))&lt;=1181,2,1)))), "")&amp;IF(AND(IF(INT(INDEX(輔助計算!$D:$D, (MATCH(391, 輔助計算!$G$2:$G$801, 0)+1))/IF(INDEX(ERP資料!$G:$G, (MATCH(391, 輔助計算!$G$2:$G$801, 0)+1))&lt;100, IF(INDEX(ERP資料!$G:$G, (MATCH(391, 輔助計算!$G$2:$G$801, 0)+1))&lt;=31,3,IF(INDEX(ERP資料!$G:$G, (MATCH(391, 輔助計算!$G$2:$G$801, 0)+1))&lt;=46.5,2,1)), IF(INDEX(ERP資料!$G:$G, (MATCH(391, 輔助計算!$G$2:$G$801, 0)+1))&lt;=790,3,IF(INDEX(ERP資料!$G:$G, (MATCH(391, 輔助計算!$G$2:$G$801, 0)+1))&lt;=1181,2,1))))&gt;0, IF(IF(INDEX(ERP資料!$G:$G, (MATCH(391, 輔助計算!$G$2:$G$801, 0)+1))&lt;100, IF(INDEX(ERP資料!$G:$G, (MATCH(391, 輔助計算!$G$2:$G$801, 0)+1))&lt;=31,3,IF(INDEX(ERP資料!$G:$G, (MATCH(391, 輔助計算!$G$2:$G$801, 0)+1))&lt;=46.5,2,1)), IF(INDEX(ERP資料!$G:$G, (MATCH(391, 輔助計算!$G$2:$G$801, 0)+1))&lt;=790,3,IF(INDEX(ERP資料!$G:$G, (MATCH(391, 輔助計算!$G$2:$G$801, 0)+1))&lt;=1181,2,1)))=1,TEXT(INDEX(ERP資料!$G:$G, (MATCH(391, 輔助計算!$G$2:$G$801, 0)+1)),"0.##"),IF(IF(INDEX(ERP資料!$G:$G, (MATCH(391, 輔助計算!$G$2:$G$801, 0)+1))&lt;100, IF(INDEX(ERP資料!$G:$G, (MATCH(391, 輔助計算!$G$2:$G$801, 0)+1))&lt;=31,3,IF(INDEX(ERP資料!$G:$G, (MATCH(391, 輔助計算!$G$2:$G$801, 0)+1))&lt;=46.5,2,1)), IF(INDEX(ERP資料!$G:$G, (MATCH(391, 輔助計算!$G$2:$G$801, 0)+1))&lt;=790,3,IF(INDEX(ERP資料!$G:$G, (MATCH(391, 輔助計算!$G$2:$G$801, 0)+1))&lt;=1181,2,1)))=2,TEXT(INDEX(ERP資料!$G:$G, (MATCH(391, 輔助計算!$G$2:$G$801, 0)+1)),"0.##")&amp;"+"&amp;TEXT(INDEX(ERP資料!$G:$G, (MATCH(391, 輔助計算!$G$2:$G$801, 0)+1)),"0.##"),TEXT(INDEX(ERP資料!$G:$G, (MATCH(391, 輔助計算!$G$2:$G$801, 0)+1)),"0.##")&amp;"+"&amp;TEXT(INDEX(ERP資料!$G:$G, (MATCH(391, 輔助計算!$G$2:$G$801, 0)+1)),"0.##")&amp;"+"&amp;TEXT(INDEX(ERP資料!$G:$G, (MATCH(391, 輔助計算!$G$2:$G$801, 0)+1)),"0.##")))&amp;"-"&amp;INT(INDEX(輔助計算!$D:$D, (MATCH(391, 輔助計算!$G$2:$G$801, 0)+1))/IF(INDEX(ERP資料!$G:$G, (MATCH(391, 輔助計算!$G$2:$G$801, 0)+1))&lt;100, IF(INDEX(ERP資料!$G:$G, (MATCH(391, 輔助計算!$G$2:$G$801, 0)+1))&lt;=31,3,IF(INDEX(ERP資料!$G:$G, (MATCH(391, 輔助計算!$G$2:$G$801, 0)+1))&lt;=46.5,2,1)), IF(INDEX(ERP資料!$G:$G, (MATCH(391, 輔助計算!$G$2:$G$801, 0)+1))&lt;=790,3,IF(INDEX(ERP資料!$G:$G, (MATCH(391, 輔助計算!$G$2:$G$801, 0)+1))&lt;=1181,2,1)))), "")&lt;&gt;"",IF(MOD(INDEX(輔助計算!$D:$D, (MATCH(391, 輔助計算!$G$2:$G$801, 0)+1)),IF(INDEX(ERP資料!$G:$G, (MATCH(391, 輔助計算!$G$2:$G$801, 0)+1))&lt;100, IF(INDEX(ERP資料!$G:$G, (MATCH(391, 輔助計算!$G$2:$G$801, 0)+1))&lt;=31,3,IF(INDEX(ERP資料!$G:$G, (MATCH(391, 輔助計算!$G$2:$G$801, 0)+1))&lt;=46.5,2,1)), IF(INDEX(ERP資料!$G:$G, (MATCH(391, 輔助計算!$G$2:$G$801, 0)+1))&lt;=790,3,IF(INDEX(ERP資料!$G:$G, (MATCH(391, 輔助計算!$G$2:$G$801, 0)+1))&lt;=1181,2,1))))=0,"",IF(MOD(INDEX(輔助計算!$D:$D, (MATCH(391, 輔助計算!$G$2:$G$801, 0)+1)),IF(INDEX(ERP資料!$G:$G, (MATCH(391, 輔助計算!$G$2:$G$801, 0)+1))&lt;100, IF(INDEX(ERP資料!$G:$G, (MATCH(391, 輔助計算!$G$2:$G$801, 0)+1))&lt;=31,3,IF(INDEX(ERP資料!$G:$G, (MATCH(391, 輔助計算!$G$2:$G$801, 0)+1))&lt;=46.5,2,1)), IF(INDEX(ERP資料!$G:$G, (MATCH(391, 輔助計算!$G$2:$G$801, 0)+1))&lt;=790,3,IF(INDEX(ERP資料!$G:$G, (MATCH(391, 輔助計算!$G$2:$G$801, 0)+1))&lt;=1181,2,1))))=0,"",IF(MOD(INDEX(輔助計算!$D:$D, (MATCH(391, 輔助計算!$G$2:$G$801, 0)+1)),IF(INDEX(ERP資料!$G:$G, (MATCH(391, 輔助計算!$G$2:$G$801, 0)+1))&lt;100, IF(INDEX(ERP資料!$G:$G, (MATCH(391, 輔助計算!$G$2:$G$801, 0)+1))&lt;=31,3,IF(INDEX(ERP資料!$G:$G, (MATCH(391, 輔助計算!$G$2:$G$801, 0)+1))&lt;=46.5,2,1)), IF(INDEX(ERP資料!$G:$G, (MATCH(391, 輔助計算!$G$2:$G$801, 0)+1))&lt;=790,3,IF(INDEX(ERP資料!$G:$G, (MATCH(391, 輔助計算!$G$2:$G$801, 0)+1))&lt;=1181,2,1))))=1,TEXT(INDEX(ERP資料!$G:$G, (MATCH(391, 輔助計算!$G$2:$G$801, 0)+1)),"0.##"),IF(MOD(INDEX(輔助計算!$D:$D, (MATCH(391, 輔助計算!$G$2:$G$801, 0)+1)),IF(INDEX(ERP資料!$G:$G, (MATCH(391, 輔助計算!$G$2:$G$801, 0)+1))&lt;100, IF(INDEX(ERP資料!$G:$G, (MATCH(391, 輔助計算!$G$2:$G$801, 0)+1))&lt;=31,3,IF(INDEX(ERP資料!$G:$G, (MATCH(391, 輔助計算!$G$2:$G$801, 0)+1))&lt;=46.5,2,1)), IF(INDEX(ERP資料!$G:$G, (MATCH(391, 輔助計算!$G$2:$G$801, 0)+1))&lt;=790,3,IF(INDEX(ERP資料!$G:$G, (MATCH(391, 輔助計算!$G$2:$G$801, 0)+1))&lt;=1181,2,1))))=2,TEXT(INDEX(ERP資料!$G:$G, (MATCH(391, 輔助計算!$G$2:$G$801, 0)+1)),"0.##")&amp;"+"&amp;TEXT(INDEX(ERP資料!$G:$G, (MATCH(391, 輔助計算!$G$2:$G$801, 0)+1)),"0.##"),TEXT(INDEX(ERP資料!$G:$G, (MATCH(391, 輔助計算!$G$2:$G$801, 0)+1)),"0.##")&amp;"+"&amp;TEXT(INDEX(ERP資料!$G:$G, (MATCH(391, 輔助計算!$G$2:$G$801, 0)+1)),"0.##")&amp;"+"&amp;TEXT(INDEX(ERP資料!$G:$G, (MATCH(391, 輔助計算!$G$2:$G$801, 0)+1)),"0.##"))))&amp;"-1")&lt;&gt;""),"  ","")&amp;IF(MOD(INDEX(輔助計算!$D:$D, (MATCH(391, 輔助計算!$G$2:$G$801, 0)+1)),IF(INDEX(ERP資料!$G:$G, (MATCH(391, 輔助計算!$G$2:$G$801, 0)+1))&lt;100, IF(INDEX(ERP資料!$G:$G, (MATCH(391, 輔助計算!$G$2:$G$801, 0)+1))&lt;=31,3,IF(INDEX(ERP資料!$G:$G, (MATCH(391, 輔助計算!$G$2:$G$801, 0)+1))&lt;=46.5,2,1)), IF(INDEX(ERP資料!$G:$G, (MATCH(391, 輔助計算!$G$2:$G$801, 0)+1))&lt;=790,3,IF(INDEX(ERP資料!$G:$G, (MATCH(391, 輔助計算!$G$2:$G$801, 0)+1))&lt;=1181,2,1))))=0,"",IF(MOD(INDEX(輔助計算!$D:$D, (MATCH(391, 輔助計算!$G$2:$G$801, 0)+1)),IF(INDEX(ERP資料!$G:$G, (MATCH(391, 輔助計算!$G$2:$G$801, 0)+1))&lt;100, IF(INDEX(ERP資料!$G:$G, (MATCH(391, 輔助計算!$G$2:$G$801, 0)+1))&lt;=31,3,IF(INDEX(ERP資料!$G:$G, (MATCH(391, 輔助計算!$G$2:$G$801, 0)+1))&lt;=46.5,2,1)), IF(INDEX(ERP資料!$G:$G, (MATCH(391, 輔助計算!$G$2:$G$801, 0)+1))&lt;=790,3,IF(INDEX(ERP資料!$G:$G, (MATCH(391, 輔助計算!$G$2:$G$801, 0)+1))&lt;=1181,2,1))))=0,"",IF(MOD(INDEX(輔助計算!$D:$D, (MATCH(391, 輔助計算!$G$2:$G$801, 0)+1)),IF(INDEX(ERP資料!$G:$G, (MATCH(391, 輔助計算!$G$2:$G$801, 0)+1))&lt;100, IF(INDEX(ERP資料!$G:$G, (MATCH(391, 輔助計算!$G$2:$G$801, 0)+1))&lt;=31,3,IF(INDEX(ERP資料!$G:$G, (MATCH(391, 輔助計算!$G$2:$G$801, 0)+1))&lt;=46.5,2,1)), IF(INDEX(ERP資料!$G:$G, (MATCH(391, 輔助計算!$G$2:$G$801, 0)+1))&lt;=790,3,IF(INDEX(ERP資料!$G:$G, (MATCH(391, 輔助計算!$G$2:$G$801, 0)+1))&lt;=1181,2,1))))=1,TEXT(INDEX(ERP資料!$G:$G, (MATCH(391, 輔助計算!$G$2:$G$801, 0)+1)),"0.##"),IF(MOD(INDEX(輔助計算!$D:$D, (MATCH(391, 輔助計算!$G$2:$G$801, 0)+1)),IF(INDEX(ERP資料!$G:$G, (MATCH(391, 輔助計算!$G$2:$G$801, 0)+1))&lt;100, IF(INDEX(ERP資料!$G:$G, (MATCH(391, 輔助計算!$G$2:$G$801, 0)+1))&lt;=31,3,IF(INDEX(ERP資料!$G:$G, (MATCH(391, 輔助計算!$G$2:$G$801, 0)+1))&lt;=46.5,2,1)), IF(INDEX(ERP資料!$G:$G, (MATCH(391, 輔助計算!$G$2:$G$801, 0)+1))&lt;=790,3,IF(INDEX(ERP資料!$G:$G, (MATCH(391, 輔助計算!$G$2:$G$801, 0)+1))&lt;=1181,2,1))))=2,TEXT(INDEX(ERP資料!$G:$G, (MATCH(391, 輔助計算!$G$2:$G$801, 0)+1)),"0.##")&amp;"+"&amp;TEXT(INDEX(ERP資料!$G:$G, (MATCH(391, 輔助計算!$G$2:$G$801, 0)+1)),"0.##"),TEXT(INDEX(ERP資料!$G:$G, (MATCH(391, 輔助計算!$G$2:$G$801, 0)+1)),"0.##")&amp;"+"&amp;TEXT(INDEX(ERP資料!$G:$G, (MATCH(391, 輔助計算!$G$2:$G$801, 0)+1)),"0.##")&amp;"+"&amp;TEXT(INDEX(ERP資料!$G:$G, (MATCH(391, 輔助計算!$G$2:$G$801, 0)+1)),"0.##"))))&amp;"-1")), ""), "")</f>
        <v/>
      </c>
      <c r="K392" s="16" t="n"/>
      <c r="L392" s="14">
        <f>IFERROR(IF(AND(IFERROR(INDEX(ERP資料!$A:$A, (MATCH(391, 輔助計算!$G$2:$G$801, 0)+1)), "")&lt;&gt;"", IFERROR(INDEX(ERP資料!$A:$A, (MATCH(391, 輔助計算!$G$2:$G$801, 0)+1)), "")&lt;&gt;IFERROR(INDEX(ERP資料!$A:$A, MATCH(390, 輔助計算!$G$2:$G$801, 0)+1), "")), INDEX(ERP資料!$B:$B, (MATCH(391, 輔助計算!$G$2:$G$801, 0)+1)), ""), "")</f>
        <v/>
      </c>
      <c r="M392" s="17" t="n"/>
    </row>
    <row r="393">
      <c r="A393" s="10">
        <f>IFERROR(IF(AND(IFERROR(INDEX(ERP資料!$A:$A, (MATCH(392, 輔助計算!$G$2:$G$801, 0)+1)), "")&lt;&gt;"", IFERROR(INDEX(ERP資料!$A:$A, (MATCH(392, 輔助計算!$G$2:$G$801, 0)+1)), "")&lt;&gt;IFERROR(INDEX(ERP資料!$A:$A, MATCH(391, 輔助計算!$G$2:$G$801, 0)+1), "")), IFERROR(INDEX(ERP資料!$A:$A, (MATCH(392, 輔助計算!$G$2:$G$801, 0)+1)), ""), ""), "")</f>
        <v/>
      </c>
      <c r="B393" s="10">
        <f>IFERROR(IF(AND(IFERROR(INDEX(ERP資料!$A:$A, (MATCH(392, 輔助計算!$G$2:$G$801, 0)+1)), "")&lt;&gt;"", IFERROR(INDEX(ERP資料!$A:$A, (MATCH(392, 輔助計算!$G$2:$G$801, 0)+1)), "")&lt;&gt;IFERROR(INDEX(ERP資料!$A:$A, MATCH(391, 輔助計算!$G$2:$G$801, 0)+1), "")), INDEX(ERP資料!$S:$S, (MATCH(392, 輔助計算!$G$2:$G$801, 0)+1)), ""), "")</f>
        <v/>
      </c>
      <c r="C393" s="19">
        <f>IFERROR(IF(AND(IFERROR(INDEX(ERP資料!$A:$A, (MATCH(392, 輔助計算!$G$2:$G$801, 0)+1)), "")&lt;&gt;"", IFERROR(INDEX(ERP資料!$A:$A, (MATCH(392, 輔助計算!$G$2:$G$801, 0)+1)), "")&lt;&gt;IFERROR(INDEX(ERP資料!$A:$A, MATCH(391, 輔助計算!$G$2:$G$801, 0)+1), "")), IFERROR(VLOOKUP(LEFT(INDEX(ERP資料!$S:$S, (MATCH(392, 輔助計算!$G$2:$G$801, 0)+1)), 4), 紙管對照表!$A:$C, 3, FALSE), ""), ""), "")</f>
        <v/>
      </c>
      <c r="D393" s="16" t="n"/>
      <c r="E393" s="10">
        <f>IFERROR(IF(INDEX(ERP資料!$H:$H, (MATCH(392, 輔助計算!$G$2:$G$801, 0)+1))="","",INDEX(ERP資料!$H:$H, (MATCH(392, 輔助計算!$G$2:$G$801, 0)+1))), "")</f>
        <v/>
      </c>
      <c r="F393" s="10">
        <f>IFERROR(IF(INDEX(ERP資料!$E:$E, (MATCH(392, 輔助計算!$G$2:$G$801, 0)+1))="","",TRIM(INDEX(ERP資料!$E:$E, (MATCH(392, 輔助計算!$G$2:$G$801, 0)+1)))), "")</f>
        <v/>
      </c>
      <c r="G393" s="10">
        <f>IFERROR(IF(INDEX(ERP資料!$F:$F, (MATCH(392, 輔助計算!$G$2:$G$801, 0)+1))="","",INDEX(ERP資料!$F:$F, (MATCH(392, 輔助計算!$G$2:$G$801, 0)+1))), "")</f>
        <v/>
      </c>
      <c r="H393" s="10">
        <f>IFERROR(IF(INDEX(ERP資料!$G:$G, (MATCH(392, 輔助計算!$G$2:$G$801, 0)+1))="","",INDEX(ERP資料!$G:$G, (MATCH(392, 輔助計算!$G$2:$G$801, 0)+1))), "")</f>
        <v/>
      </c>
      <c r="I393" s="15">
        <f>IFERROR(INDEX(輔助計算!$D:$D, (MATCH(392, 輔助計算!$G$2:$G$801, 0)+1)), "")</f>
        <v/>
      </c>
      <c r="J393" s="15">
        <f>IFERROR(IF(AND(INDEX(輔助計算!$D:$D, (MATCH(392, 輔助計算!$G$2:$G$801, 0)+1))&lt;&gt;"", INDEX(ERP資料!$G:$G, (MATCH(392, 輔助計算!$G$2:$G$801, 0)+1))&lt;&gt;""), TRIM(IF(INT(INDEX(輔助計算!$D:$D, (MATCH(392, 輔助計算!$G$2:$G$801, 0)+1))/IF(INDEX(ERP資料!$G:$G, (MATCH(392, 輔助計算!$G$2:$G$801, 0)+1))&lt;100, IF(INDEX(ERP資料!$G:$G, (MATCH(392, 輔助計算!$G$2:$G$801, 0)+1))&lt;=31,3,IF(INDEX(ERP資料!$G:$G, (MATCH(392, 輔助計算!$G$2:$G$801, 0)+1))&lt;=46.5,2,1)), IF(INDEX(ERP資料!$G:$G, (MATCH(392, 輔助計算!$G$2:$G$801, 0)+1))&lt;=790,3,IF(INDEX(ERP資料!$G:$G, (MATCH(392, 輔助計算!$G$2:$G$801, 0)+1))&lt;=1181,2,1))))&gt;0, IF(IF(INDEX(ERP資料!$G:$G, (MATCH(392, 輔助計算!$G$2:$G$801, 0)+1))&lt;100, IF(INDEX(ERP資料!$G:$G, (MATCH(392, 輔助計算!$G$2:$G$801, 0)+1))&lt;=31,3,IF(INDEX(ERP資料!$G:$G, (MATCH(392, 輔助計算!$G$2:$G$801, 0)+1))&lt;=46.5,2,1)), IF(INDEX(ERP資料!$G:$G, (MATCH(392, 輔助計算!$G$2:$G$801, 0)+1))&lt;=790,3,IF(INDEX(ERP資料!$G:$G, (MATCH(392, 輔助計算!$G$2:$G$801, 0)+1))&lt;=1181,2,1)))=1,TEXT(INDEX(ERP資料!$G:$G, (MATCH(392, 輔助計算!$G$2:$G$801, 0)+1)),"0.##"),IF(IF(INDEX(ERP資料!$G:$G, (MATCH(392, 輔助計算!$G$2:$G$801, 0)+1))&lt;100, IF(INDEX(ERP資料!$G:$G, (MATCH(392, 輔助計算!$G$2:$G$801, 0)+1))&lt;=31,3,IF(INDEX(ERP資料!$G:$G, (MATCH(392, 輔助計算!$G$2:$G$801, 0)+1))&lt;=46.5,2,1)), IF(INDEX(ERP資料!$G:$G, (MATCH(392, 輔助計算!$G$2:$G$801, 0)+1))&lt;=790,3,IF(INDEX(ERP資料!$G:$G, (MATCH(392, 輔助計算!$G$2:$G$801, 0)+1))&lt;=1181,2,1)))=2,TEXT(INDEX(ERP資料!$G:$G, (MATCH(392, 輔助計算!$G$2:$G$801, 0)+1)),"0.##")&amp;"+"&amp;TEXT(INDEX(ERP資料!$G:$G, (MATCH(392, 輔助計算!$G$2:$G$801, 0)+1)),"0.##"),TEXT(INDEX(ERP資料!$G:$G, (MATCH(392, 輔助計算!$G$2:$G$801, 0)+1)),"0.##")&amp;"+"&amp;TEXT(INDEX(ERP資料!$G:$G, (MATCH(392, 輔助計算!$G$2:$G$801, 0)+1)),"0.##")&amp;"+"&amp;TEXT(INDEX(ERP資料!$G:$G, (MATCH(392, 輔助計算!$G$2:$G$801, 0)+1)),"0.##")))&amp;"-"&amp;INT(INDEX(輔助計算!$D:$D, (MATCH(392, 輔助計算!$G$2:$G$801, 0)+1))/IF(INDEX(ERP資料!$G:$G, (MATCH(392, 輔助計算!$G$2:$G$801, 0)+1))&lt;100, IF(INDEX(ERP資料!$G:$G, (MATCH(392, 輔助計算!$G$2:$G$801, 0)+1))&lt;=31,3,IF(INDEX(ERP資料!$G:$G, (MATCH(392, 輔助計算!$G$2:$G$801, 0)+1))&lt;=46.5,2,1)), IF(INDEX(ERP資料!$G:$G, (MATCH(392, 輔助計算!$G$2:$G$801, 0)+1))&lt;=790,3,IF(INDEX(ERP資料!$G:$G, (MATCH(392, 輔助計算!$G$2:$G$801, 0)+1))&lt;=1181,2,1)))), "")&amp;IF(AND(IF(INT(INDEX(輔助計算!$D:$D, (MATCH(392, 輔助計算!$G$2:$G$801, 0)+1))/IF(INDEX(ERP資料!$G:$G, (MATCH(392, 輔助計算!$G$2:$G$801, 0)+1))&lt;100, IF(INDEX(ERP資料!$G:$G, (MATCH(392, 輔助計算!$G$2:$G$801, 0)+1))&lt;=31,3,IF(INDEX(ERP資料!$G:$G, (MATCH(392, 輔助計算!$G$2:$G$801, 0)+1))&lt;=46.5,2,1)), IF(INDEX(ERP資料!$G:$G, (MATCH(392, 輔助計算!$G$2:$G$801, 0)+1))&lt;=790,3,IF(INDEX(ERP資料!$G:$G, (MATCH(392, 輔助計算!$G$2:$G$801, 0)+1))&lt;=1181,2,1))))&gt;0, IF(IF(INDEX(ERP資料!$G:$G, (MATCH(392, 輔助計算!$G$2:$G$801, 0)+1))&lt;100, IF(INDEX(ERP資料!$G:$G, (MATCH(392, 輔助計算!$G$2:$G$801, 0)+1))&lt;=31,3,IF(INDEX(ERP資料!$G:$G, (MATCH(392, 輔助計算!$G$2:$G$801, 0)+1))&lt;=46.5,2,1)), IF(INDEX(ERP資料!$G:$G, (MATCH(392, 輔助計算!$G$2:$G$801, 0)+1))&lt;=790,3,IF(INDEX(ERP資料!$G:$G, (MATCH(392, 輔助計算!$G$2:$G$801, 0)+1))&lt;=1181,2,1)))=1,TEXT(INDEX(ERP資料!$G:$G, (MATCH(392, 輔助計算!$G$2:$G$801, 0)+1)),"0.##"),IF(IF(INDEX(ERP資料!$G:$G, (MATCH(392, 輔助計算!$G$2:$G$801, 0)+1))&lt;100, IF(INDEX(ERP資料!$G:$G, (MATCH(392, 輔助計算!$G$2:$G$801, 0)+1))&lt;=31,3,IF(INDEX(ERP資料!$G:$G, (MATCH(392, 輔助計算!$G$2:$G$801, 0)+1))&lt;=46.5,2,1)), IF(INDEX(ERP資料!$G:$G, (MATCH(392, 輔助計算!$G$2:$G$801, 0)+1))&lt;=790,3,IF(INDEX(ERP資料!$G:$G, (MATCH(392, 輔助計算!$G$2:$G$801, 0)+1))&lt;=1181,2,1)))=2,TEXT(INDEX(ERP資料!$G:$G, (MATCH(392, 輔助計算!$G$2:$G$801, 0)+1)),"0.##")&amp;"+"&amp;TEXT(INDEX(ERP資料!$G:$G, (MATCH(392, 輔助計算!$G$2:$G$801, 0)+1)),"0.##"),TEXT(INDEX(ERP資料!$G:$G, (MATCH(392, 輔助計算!$G$2:$G$801, 0)+1)),"0.##")&amp;"+"&amp;TEXT(INDEX(ERP資料!$G:$G, (MATCH(392, 輔助計算!$G$2:$G$801, 0)+1)),"0.##")&amp;"+"&amp;TEXT(INDEX(ERP資料!$G:$G, (MATCH(392, 輔助計算!$G$2:$G$801, 0)+1)),"0.##")))&amp;"-"&amp;INT(INDEX(輔助計算!$D:$D, (MATCH(392, 輔助計算!$G$2:$G$801, 0)+1))/IF(INDEX(ERP資料!$G:$G, (MATCH(392, 輔助計算!$G$2:$G$801, 0)+1))&lt;100, IF(INDEX(ERP資料!$G:$G, (MATCH(392, 輔助計算!$G$2:$G$801, 0)+1))&lt;=31,3,IF(INDEX(ERP資料!$G:$G, (MATCH(392, 輔助計算!$G$2:$G$801, 0)+1))&lt;=46.5,2,1)), IF(INDEX(ERP資料!$G:$G, (MATCH(392, 輔助計算!$G$2:$G$801, 0)+1))&lt;=790,3,IF(INDEX(ERP資料!$G:$G, (MATCH(392, 輔助計算!$G$2:$G$801, 0)+1))&lt;=1181,2,1)))), "")&lt;&gt;"",IF(MOD(INDEX(輔助計算!$D:$D, (MATCH(392, 輔助計算!$G$2:$G$801, 0)+1)),IF(INDEX(ERP資料!$G:$G, (MATCH(392, 輔助計算!$G$2:$G$801, 0)+1))&lt;100, IF(INDEX(ERP資料!$G:$G, (MATCH(392, 輔助計算!$G$2:$G$801, 0)+1))&lt;=31,3,IF(INDEX(ERP資料!$G:$G, (MATCH(392, 輔助計算!$G$2:$G$801, 0)+1))&lt;=46.5,2,1)), IF(INDEX(ERP資料!$G:$G, (MATCH(392, 輔助計算!$G$2:$G$801, 0)+1))&lt;=790,3,IF(INDEX(ERP資料!$G:$G, (MATCH(392, 輔助計算!$G$2:$G$801, 0)+1))&lt;=1181,2,1))))=0,"",IF(MOD(INDEX(輔助計算!$D:$D, (MATCH(392, 輔助計算!$G$2:$G$801, 0)+1)),IF(INDEX(ERP資料!$G:$G, (MATCH(392, 輔助計算!$G$2:$G$801, 0)+1))&lt;100, IF(INDEX(ERP資料!$G:$G, (MATCH(392, 輔助計算!$G$2:$G$801, 0)+1))&lt;=31,3,IF(INDEX(ERP資料!$G:$G, (MATCH(392, 輔助計算!$G$2:$G$801, 0)+1))&lt;=46.5,2,1)), IF(INDEX(ERP資料!$G:$G, (MATCH(392, 輔助計算!$G$2:$G$801, 0)+1))&lt;=790,3,IF(INDEX(ERP資料!$G:$G, (MATCH(392, 輔助計算!$G$2:$G$801, 0)+1))&lt;=1181,2,1))))=0,"",IF(MOD(INDEX(輔助計算!$D:$D, (MATCH(392, 輔助計算!$G$2:$G$801, 0)+1)),IF(INDEX(ERP資料!$G:$G, (MATCH(392, 輔助計算!$G$2:$G$801, 0)+1))&lt;100, IF(INDEX(ERP資料!$G:$G, (MATCH(392, 輔助計算!$G$2:$G$801, 0)+1))&lt;=31,3,IF(INDEX(ERP資料!$G:$G, (MATCH(392, 輔助計算!$G$2:$G$801, 0)+1))&lt;=46.5,2,1)), IF(INDEX(ERP資料!$G:$G, (MATCH(392, 輔助計算!$G$2:$G$801, 0)+1))&lt;=790,3,IF(INDEX(ERP資料!$G:$G, (MATCH(392, 輔助計算!$G$2:$G$801, 0)+1))&lt;=1181,2,1))))=1,TEXT(INDEX(ERP資料!$G:$G, (MATCH(392, 輔助計算!$G$2:$G$801, 0)+1)),"0.##"),IF(MOD(INDEX(輔助計算!$D:$D, (MATCH(392, 輔助計算!$G$2:$G$801, 0)+1)),IF(INDEX(ERP資料!$G:$G, (MATCH(392, 輔助計算!$G$2:$G$801, 0)+1))&lt;100, IF(INDEX(ERP資料!$G:$G, (MATCH(392, 輔助計算!$G$2:$G$801, 0)+1))&lt;=31,3,IF(INDEX(ERP資料!$G:$G, (MATCH(392, 輔助計算!$G$2:$G$801, 0)+1))&lt;=46.5,2,1)), IF(INDEX(ERP資料!$G:$G, (MATCH(392, 輔助計算!$G$2:$G$801, 0)+1))&lt;=790,3,IF(INDEX(ERP資料!$G:$G, (MATCH(392, 輔助計算!$G$2:$G$801, 0)+1))&lt;=1181,2,1))))=2,TEXT(INDEX(ERP資料!$G:$G, (MATCH(392, 輔助計算!$G$2:$G$801, 0)+1)),"0.##")&amp;"+"&amp;TEXT(INDEX(ERP資料!$G:$G, (MATCH(392, 輔助計算!$G$2:$G$801, 0)+1)),"0.##"),TEXT(INDEX(ERP資料!$G:$G, (MATCH(392, 輔助計算!$G$2:$G$801, 0)+1)),"0.##")&amp;"+"&amp;TEXT(INDEX(ERP資料!$G:$G, (MATCH(392, 輔助計算!$G$2:$G$801, 0)+1)),"0.##")&amp;"+"&amp;TEXT(INDEX(ERP資料!$G:$G, (MATCH(392, 輔助計算!$G$2:$G$801, 0)+1)),"0.##"))))&amp;"-1")&lt;&gt;""),"  ","")&amp;IF(MOD(INDEX(輔助計算!$D:$D, (MATCH(392, 輔助計算!$G$2:$G$801, 0)+1)),IF(INDEX(ERP資料!$G:$G, (MATCH(392, 輔助計算!$G$2:$G$801, 0)+1))&lt;100, IF(INDEX(ERP資料!$G:$G, (MATCH(392, 輔助計算!$G$2:$G$801, 0)+1))&lt;=31,3,IF(INDEX(ERP資料!$G:$G, (MATCH(392, 輔助計算!$G$2:$G$801, 0)+1))&lt;=46.5,2,1)), IF(INDEX(ERP資料!$G:$G, (MATCH(392, 輔助計算!$G$2:$G$801, 0)+1))&lt;=790,3,IF(INDEX(ERP資料!$G:$G, (MATCH(392, 輔助計算!$G$2:$G$801, 0)+1))&lt;=1181,2,1))))=0,"",IF(MOD(INDEX(輔助計算!$D:$D, (MATCH(392, 輔助計算!$G$2:$G$801, 0)+1)),IF(INDEX(ERP資料!$G:$G, (MATCH(392, 輔助計算!$G$2:$G$801, 0)+1))&lt;100, IF(INDEX(ERP資料!$G:$G, (MATCH(392, 輔助計算!$G$2:$G$801, 0)+1))&lt;=31,3,IF(INDEX(ERP資料!$G:$G, (MATCH(392, 輔助計算!$G$2:$G$801, 0)+1))&lt;=46.5,2,1)), IF(INDEX(ERP資料!$G:$G, (MATCH(392, 輔助計算!$G$2:$G$801, 0)+1))&lt;=790,3,IF(INDEX(ERP資料!$G:$G, (MATCH(392, 輔助計算!$G$2:$G$801, 0)+1))&lt;=1181,2,1))))=0,"",IF(MOD(INDEX(輔助計算!$D:$D, (MATCH(392, 輔助計算!$G$2:$G$801, 0)+1)),IF(INDEX(ERP資料!$G:$G, (MATCH(392, 輔助計算!$G$2:$G$801, 0)+1))&lt;100, IF(INDEX(ERP資料!$G:$G, (MATCH(392, 輔助計算!$G$2:$G$801, 0)+1))&lt;=31,3,IF(INDEX(ERP資料!$G:$G, (MATCH(392, 輔助計算!$G$2:$G$801, 0)+1))&lt;=46.5,2,1)), IF(INDEX(ERP資料!$G:$G, (MATCH(392, 輔助計算!$G$2:$G$801, 0)+1))&lt;=790,3,IF(INDEX(ERP資料!$G:$G, (MATCH(392, 輔助計算!$G$2:$G$801, 0)+1))&lt;=1181,2,1))))=1,TEXT(INDEX(ERP資料!$G:$G, (MATCH(392, 輔助計算!$G$2:$G$801, 0)+1)),"0.##"),IF(MOD(INDEX(輔助計算!$D:$D, (MATCH(392, 輔助計算!$G$2:$G$801, 0)+1)),IF(INDEX(ERP資料!$G:$G, (MATCH(392, 輔助計算!$G$2:$G$801, 0)+1))&lt;100, IF(INDEX(ERP資料!$G:$G, (MATCH(392, 輔助計算!$G$2:$G$801, 0)+1))&lt;=31,3,IF(INDEX(ERP資料!$G:$G, (MATCH(392, 輔助計算!$G$2:$G$801, 0)+1))&lt;=46.5,2,1)), IF(INDEX(ERP資料!$G:$G, (MATCH(392, 輔助計算!$G$2:$G$801, 0)+1))&lt;=790,3,IF(INDEX(ERP資料!$G:$G, (MATCH(392, 輔助計算!$G$2:$G$801, 0)+1))&lt;=1181,2,1))))=2,TEXT(INDEX(ERP資料!$G:$G, (MATCH(392, 輔助計算!$G$2:$G$801, 0)+1)),"0.##")&amp;"+"&amp;TEXT(INDEX(ERP資料!$G:$G, (MATCH(392, 輔助計算!$G$2:$G$801, 0)+1)),"0.##"),TEXT(INDEX(ERP資料!$G:$G, (MATCH(392, 輔助計算!$G$2:$G$801, 0)+1)),"0.##")&amp;"+"&amp;TEXT(INDEX(ERP資料!$G:$G, (MATCH(392, 輔助計算!$G$2:$G$801, 0)+1)),"0.##")&amp;"+"&amp;TEXT(INDEX(ERP資料!$G:$G, (MATCH(392, 輔助計算!$G$2:$G$801, 0)+1)),"0.##"))))&amp;"-1")), ""), "")</f>
        <v/>
      </c>
      <c r="K393" s="16" t="n"/>
      <c r="L393" s="14">
        <f>IFERROR(IF(AND(IFERROR(INDEX(ERP資料!$A:$A, (MATCH(392, 輔助計算!$G$2:$G$801, 0)+1)), "")&lt;&gt;"", IFERROR(INDEX(ERP資料!$A:$A, (MATCH(392, 輔助計算!$G$2:$G$801, 0)+1)), "")&lt;&gt;IFERROR(INDEX(ERP資料!$A:$A, MATCH(391, 輔助計算!$G$2:$G$801, 0)+1), "")), INDEX(ERP資料!$B:$B, (MATCH(392, 輔助計算!$G$2:$G$801, 0)+1)), ""), "")</f>
        <v/>
      </c>
      <c r="M393" s="17" t="n"/>
    </row>
    <row r="394">
      <c r="A394" s="10">
        <f>IFERROR(IF(AND(IFERROR(INDEX(ERP資料!$A:$A, (MATCH(393, 輔助計算!$G$2:$G$801, 0)+1)), "")&lt;&gt;"", IFERROR(INDEX(ERP資料!$A:$A, (MATCH(393, 輔助計算!$G$2:$G$801, 0)+1)), "")&lt;&gt;IFERROR(INDEX(ERP資料!$A:$A, MATCH(392, 輔助計算!$G$2:$G$801, 0)+1), "")), IFERROR(INDEX(ERP資料!$A:$A, (MATCH(393, 輔助計算!$G$2:$G$801, 0)+1)), ""), ""), "")</f>
        <v/>
      </c>
      <c r="B394" s="10">
        <f>IFERROR(IF(AND(IFERROR(INDEX(ERP資料!$A:$A, (MATCH(393, 輔助計算!$G$2:$G$801, 0)+1)), "")&lt;&gt;"", IFERROR(INDEX(ERP資料!$A:$A, (MATCH(393, 輔助計算!$G$2:$G$801, 0)+1)), "")&lt;&gt;IFERROR(INDEX(ERP資料!$A:$A, MATCH(392, 輔助計算!$G$2:$G$801, 0)+1), "")), INDEX(ERP資料!$S:$S, (MATCH(393, 輔助計算!$G$2:$G$801, 0)+1)), ""), "")</f>
        <v/>
      </c>
      <c r="C394" s="19">
        <f>IFERROR(IF(AND(IFERROR(INDEX(ERP資料!$A:$A, (MATCH(393, 輔助計算!$G$2:$G$801, 0)+1)), "")&lt;&gt;"", IFERROR(INDEX(ERP資料!$A:$A, (MATCH(393, 輔助計算!$G$2:$G$801, 0)+1)), "")&lt;&gt;IFERROR(INDEX(ERP資料!$A:$A, MATCH(392, 輔助計算!$G$2:$G$801, 0)+1), "")), IFERROR(VLOOKUP(LEFT(INDEX(ERP資料!$S:$S, (MATCH(393, 輔助計算!$G$2:$G$801, 0)+1)), 4), 紙管對照表!$A:$C, 3, FALSE), ""), ""), "")</f>
        <v/>
      </c>
      <c r="D394" s="16" t="n"/>
      <c r="E394" s="10">
        <f>IFERROR(IF(INDEX(ERP資料!$H:$H, (MATCH(393, 輔助計算!$G$2:$G$801, 0)+1))="","",INDEX(ERP資料!$H:$H, (MATCH(393, 輔助計算!$G$2:$G$801, 0)+1))), "")</f>
        <v/>
      </c>
      <c r="F394" s="10">
        <f>IFERROR(IF(INDEX(ERP資料!$E:$E, (MATCH(393, 輔助計算!$G$2:$G$801, 0)+1))="","",TRIM(INDEX(ERP資料!$E:$E, (MATCH(393, 輔助計算!$G$2:$G$801, 0)+1)))), "")</f>
        <v/>
      </c>
      <c r="G394" s="10">
        <f>IFERROR(IF(INDEX(ERP資料!$F:$F, (MATCH(393, 輔助計算!$G$2:$G$801, 0)+1))="","",INDEX(ERP資料!$F:$F, (MATCH(393, 輔助計算!$G$2:$G$801, 0)+1))), "")</f>
        <v/>
      </c>
      <c r="H394" s="10">
        <f>IFERROR(IF(INDEX(ERP資料!$G:$G, (MATCH(393, 輔助計算!$G$2:$G$801, 0)+1))="","",INDEX(ERP資料!$G:$G, (MATCH(393, 輔助計算!$G$2:$G$801, 0)+1))), "")</f>
        <v/>
      </c>
      <c r="I394" s="15">
        <f>IFERROR(INDEX(輔助計算!$D:$D, (MATCH(393, 輔助計算!$G$2:$G$801, 0)+1)), "")</f>
        <v/>
      </c>
      <c r="J394" s="15">
        <f>IFERROR(IF(AND(INDEX(輔助計算!$D:$D, (MATCH(393, 輔助計算!$G$2:$G$801, 0)+1))&lt;&gt;"", INDEX(ERP資料!$G:$G, (MATCH(393, 輔助計算!$G$2:$G$801, 0)+1))&lt;&gt;""), TRIM(IF(INT(INDEX(輔助計算!$D:$D, (MATCH(393, 輔助計算!$G$2:$G$801, 0)+1))/IF(INDEX(ERP資料!$G:$G, (MATCH(393, 輔助計算!$G$2:$G$801, 0)+1))&lt;100, IF(INDEX(ERP資料!$G:$G, (MATCH(393, 輔助計算!$G$2:$G$801, 0)+1))&lt;=31,3,IF(INDEX(ERP資料!$G:$G, (MATCH(393, 輔助計算!$G$2:$G$801, 0)+1))&lt;=46.5,2,1)), IF(INDEX(ERP資料!$G:$G, (MATCH(393, 輔助計算!$G$2:$G$801, 0)+1))&lt;=790,3,IF(INDEX(ERP資料!$G:$G, (MATCH(393, 輔助計算!$G$2:$G$801, 0)+1))&lt;=1181,2,1))))&gt;0, IF(IF(INDEX(ERP資料!$G:$G, (MATCH(393, 輔助計算!$G$2:$G$801, 0)+1))&lt;100, IF(INDEX(ERP資料!$G:$G, (MATCH(393, 輔助計算!$G$2:$G$801, 0)+1))&lt;=31,3,IF(INDEX(ERP資料!$G:$G, (MATCH(393, 輔助計算!$G$2:$G$801, 0)+1))&lt;=46.5,2,1)), IF(INDEX(ERP資料!$G:$G, (MATCH(393, 輔助計算!$G$2:$G$801, 0)+1))&lt;=790,3,IF(INDEX(ERP資料!$G:$G, (MATCH(393, 輔助計算!$G$2:$G$801, 0)+1))&lt;=1181,2,1)))=1,TEXT(INDEX(ERP資料!$G:$G, (MATCH(393, 輔助計算!$G$2:$G$801, 0)+1)),"0.##"),IF(IF(INDEX(ERP資料!$G:$G, (MATCH(393, 輔助計算!$G$2:$G$801, 0)+1))&lt;100, IF(INDEX(ERP資料!$G:$G, (MATCH(393, 輔助計算!$G$2:$G$801, 0)+1))&lt;=31,3,IF(INDEX(ERP資料!$G:$G, (MATCH(393, 輔助計算!$G$2:$G$801, 0)+1))&lt;=46.5,2,1)), IF(INDEX(ERP資料!$G:$G, (MATCH(393, 輔助計算!$G$2:$G$801, 0)+1))&lt;=790,3,IF(INDEX(ERP資料!$G:$G, (MATCH(393, 輔助計算!$G$2:$G$801, 0)+1))&lt;=1181,2,1)))=2,TEXT(INDEX(ERP資料!$G:$G, (MATCH(393, 輔助計算!$G$2:$G$801, 0)+1)),"0.##")&amp;"+"&amp;TEXT(INDEX(ERP資料!$G:$G, (MATCH(393, 輔助計算!$G$2:$G$801, 0)+1)),"0.##"),TEXT(INDEX(ERP資料!$G:$G, (MATCH(393, 輔助計算!$G$2:$G$801, 0)+1)),"0.##")&amp;"+"&amp;TEXT(INDEX(ERP資料!$G:$G, (MATCH(393, 輔助計算!$G$2:$G$801, 0)+1)),"0.##")&amp;"+"&amp;TEXT(INDEX(ERP資料!$G:$G, (MATCH(393, 輔助計算!$G$2:$G$801, 0)+1)),"0.##")))&amp;"-"&amp;INT(INDEX(輔助計算!$D:$D, (MATCH(393, 輔助計算!$G$2:$G$801, 0)+1))/IF(INDEX(ERP資料!$G:$G, (MATCH(393, 輔助計算!$G$2:$G$801, 0)+1))&lt;100, IF(INDEX(ERP資料!$G:$G, (MATCH(393, 輔助計算!$G$2:$G$801, 0)+1))&lt;=31,3,IF(INDEX(ERP資料!$G:$G, (MATCH(393, 輔助計算!$G$2:$G$801, 0)+1))&lt;=46.5,2,1)), IF(INDEX(ERP資料!$G:$G, (MATCH(393, 輔助計算!$G$2:$G$801, 0)+1))&lt;=790,3,IF(INDEX(ERP資料!$G:$G, (MATCH(393, 輔助計算!$G$2:$G$801, 0)+1))&lt;=1181,2,1)))), "")&amp;IF(AND(IF(INT(INDEX(輔助計算!$D:$D, (MATCH(393, 輔助計算!$G$2:$G$801, 0)+1))/IF(INDEX(ERP資料!$G:$G, (MATCH(393, 輔助計算!$G$2:$G$801, 0)+1))&lt;100, IF(INDEX(ERP資料!$G:$G, (MATCH(393, 輔助計算!$G$2:$G$801, 0)+1))&lt;=31,3,IF(INDEX(ERP資料!$G:$G, (MATCH(393, 輔助計算!$G$2:$G$801, 0)+1))&lt;=46.5,2,1)), IF(INDEX(ERP資料!$G:$G, (MATCH(393, 輔助計算!$G$2:$G$801, 0)+1))&lt;=790,3,IF(INDEX(ERP資料!$G:$G, (MATCH(393, 輔助計算!$G$2:$G$801, 0)+1))&lt;=1181,2,1))))&gt;0, IF(IF(INDEX(ERP資料!$G:$G, (MATCH(393, 輔助計算!$G$2:$G$801, 0)+1))&lt;100, IF(INDEX(ERP資料!$G:$G, (MATCH(393, 輔助計算!$G$2:$G$801, 0)+1))&lt;=31,3,IF(INDEX(ERP資料!$G:$G, (MATCH(393, 輔助計算!$G$2:$G$801, 0)+1))&lt;=46.5,2,1)), IF(INDEX(ERP資料!$G:$G, (MATCH(393, 輔助計算!$G$2:$G$801, 0)+1))&lt;=790,3,IF(INDEX(ERP資料!$G:$G, (MATCH(393, 輔助計算!$G$2:$G$801, 0)+1))&lt;=1181,2,1)))=1,TEXT(INDEX(ERP資料!$G:$G, (MATCH(393, 輔助計算!$G$2:$G$801, 0)+1)),"0.##"),IF(IF(INDEX(ERP資料!$G:$G, (MATCH(393, 輔助計算!$G$2:$G$801, 0)+1))&lt;100, IF(INDEX(ERP資料!$G:$G, (MATCH(393, 輔助計算!$G$2:$G$801, 0)+1))&lt;=31,3,IF(INDEX(ERP資料!$G:$G, (MATCH(393, 輔助計算!$G$2:$G$801, 0)+1))&lt;=46.5,2,1)), IF(INDEX(ERP資料!$G:$G, (MATCH(393, 輔助計算!$G$2:$G$801, 0)+1))&lt;=790,3,IF(INDEX(ERP資料!$G:$G, (MATCH(393, 輔助計算!$G$2:$G$801, 0)+1))&lt;=1181,2,1)))=2,TEXT(INDEX(ERP資料!$G:$G, (MATCH(393, 輔助計算!$G$2:$G$801, 0)+1)),"0.##")&amp;"+"&amp;TEXT(INDEX(ERP資料!$G:$G, (MATCH(393, 輔助計算!$G$2:$G$801, 0)+1)),"0.##"),TEXT(INDEX(ERP資料!$G:$G, (MATCH(393, 輔助計算!$G$2:$G$801, 0)+1)),"0.##")&amp;"+"&amp;TEXT(INDEX(ERP資料!$G:$G, (MATCH(393, 輔助計算!$G$2:$G$801, 0)+1)),"0.##")&amp;"+"&amp;TEXT(INDEX(ERP資料!$G:$G, (MATCH(393, 輔助計算!$G$2:$G$801, 0)+1)),"0.##")))&amp;"-"&amp;INT(INDEX(輔助計算!$D:$D, (MATCH(393, 輔助計算!$G$2:$G$801, 0)+1))/IF(INDEX(ERP資料!$G:$G, (MATCH(393, 輔助計算!$G$2:$G$801, 0)+1))&lt;100, IF(INDEX(ERP資料!$G:$G, (MATCH(393, 輔助計算!$G$2:$G$801, 0)+1))&lt;=31,3,IF(INDEX(ERP資料!$G:$G, (MATCH(393, 輔助計算!$G$2:$G$801, 0)+1))&lt;=46.5,2,1)), IF(INDEX(ERP資料!$G:$G, (MATCH(393, 輔助計算!$G$2:$G$801, 0)+1))&lt;=790,3,IF(INDEX(ERP資料!$G:$G, (MATCH(393, 輔助計算!$G$2:$G$801, 0)+1))&lt;=1181,2,1)))), "")&lt;&gt;"",IF(MOD(INDEX(輔助計算!$D:$D, (MATCH(393, 輔助計算!$G$2:$G$801, 0)+1)),IF(INDEX(ERP資料!$G:$G, (MATCH(393, 輔助計算!$G$2:$G$801, 0)+1))&lt;100, IF(INDEX(ERP資料!$G:$G, (MATCH(393, 輔助計算!$G$2:$G$801, 0)+1))&lt;=31,3,IF(INDEX(ERP資料!$G:$G, (MATCH(393, 輔助計算!$G$2:$G$801, 0)+1))&lt;=46.5,2,1)), IF(INDEX(ERP資料!$G:$G, (MATCH(393, 輔助計算!$G$2:$G$801, 0)+1))&lt;=790,3,IF(INDEX(ERP資料!$G:$G, (MATCH(393, 輔助計算!$G$2:$G$801, 0)+1))&lt;=1181,2,1))))=0,"",IF(MOD(INDEX(輔助計算!$D:$D, (MATCH(393, 輔助計算!$G$2:$G$801, 0)+1)),IF(INDEX(ERP資料!$G:$G, (MATCH(393, 輔助計算!$G$2:$G$801, 0)+1))&lt;100, IF(INDEX(ERP資料!$G:$G, (MATCH(393, 輔助計算!$G$2:$G$801, 0)+1))&lt;=31,3,IF(INDEX(ERP資料!$G:$G, (MATCH(393, 輔助計算!$G$2:$G$801, 0)+1))&lt;=46.5,2,1)), IF(INDEX(ERP資料!$G:$G, (MATCH(393, 輔助計算!$G$2:$G$801, 0)+1))&lt;=790,3,IF(INDEX(ERP資料!$G:$G, (MATCH(393, 輔助計算!$G$2:$G$801, 0)+1))&lt;=1181,2,1))))=0,"",IF(MOD(INDEX(輔助計算!$D:$D, (MATCH(393, 輔助計算!$G$2:$G$801, 0)+1)),IF(INDEX(ERP資料!$G:$G, (MATCH(393, 輔助計算!$G$2:$G$801, 0)+1))&lt;100, IF(INDEX(ERP資料!$G:$G, (MATCH(393, 輔助計算!$G$2:$G$801, 0)+1))&lt;=31,3,IF(INDEX(ERP資料!$G:$G, (MATCH(393, 輔助計算!$G$2:$G$801, 0)+1))&lt;=46.5,2,1)), IF(INDEX(ERP資料!$G:$G, (MATCH(393, 輔助計算!$G$2:$G$801, 0)+1))&lt;=790,3,IF(INDEX(ERP資料!$G:$G, (MATCH(393, 輔助計算!$G$2:$G$801, 0)+1))&lt;=1181,2,1))))=1,TEXT(INDEX(ERP資料!$G:$G, (MATCH(393, 輔助計算!$G$2:$G$801, 0)+1)),"0.##"),IF(MOD(INDEX(輔助計算!$D:$D, (MATCH(393, 輔助計算!$G$2:$G$801, 0)+1)),IF(INDEX(ERP資料!$G:$G, (MATCH(393, 輔助計算!$G$2:$G$801, 0)+1))&lt;100, IF(INDEX(ERP資料!$G:$G, (MATCH(393, 輔助計算!$G$2:$G$801, 0)+1))&lt;=31,3,IF(INDEX(ERP資料!$G:$G, (MATCH(393, 輔助計算!$G$2:$G$801, 0)+1))&lt;=46.5,2,1)), IF(INDEX(ERP資料!$G:$G, (MATCH(393, 輔助計算!$G$2:$G$801, 0)+1))&lt;=790,3,IF(INDEX(ERP資料!$G:$G, (MATCH(393, 輔助計算!$G$2:$G$801, 0)+1))&lt;=1181,2,1))))=2,TEXT(INDEX(ERP資料!$G:$G, (MATCH(393, 輔助計算!$G$2:$G$801, 0)+1)),"0.##")&amp;"+"&amp;TEXT(INDEX(ERP資料!$G:$G, (MATCH(393, 輔助計算!$G$2:$G$801, 0)+1)),"0.##"),TEXT(INDEX(ERP資料!$G:$G, (MATCH(393, 輔助計算!$G$2:$G$801, 0)+1)),"0.##")&amp;"+"&amp;TEXT(INDEX(ERP資料!$G:$G, (MATCH(393, 輔助計算!$G$2:$G$801, 0)+1)),"0.##")&amp;"+"&amp;TEXT(INDEX(ERP資料!$G:$G, (MATCH(393, 輔助計算!$G$2:$G$801, 0)+1)),"0.##"))))&amp;"-1")&lt;&gt;""),"  ","")&amp;IF(MOD(INDEX(輔助計算!$D:$D, (MATCH(393, 輔助計算!$G$2:$G$801, 0)+1)),IF(INDEX(ERP資料!$G:$G, (MATCH(393, 輔助計算!$G$2:$G$801, 0)+1))&lt;100, IF(INDEX(ERP資料!$G:$G, (MATCH(393, 輔助計算!$G$2:$G$801, 0)+1))&lt;=31,3,IF(INDEX(ERP資料!$G:$G, (MATCH(393, 輔助計算!$G$2:$G$801, 0)+1))&lt;=46.5,2,1)), IF(INDEX(ERP資料!$G:$G, (MATCH(393, 輔助計算!$G$2:$G$801, 0)+1))&lt;=790,3,IF(INDEX(ERP資料!$G:$G, (MATCH(393, 輔助計算!$G$2:$G$801, 0)+1))&lt;=1181,2,1))))=0,"",IF(MOD(INDEX(輔助計算!$D:$D, (MATCH(393, 輔助計算!$G$2:$G$801, 0)+1)),IF(INDEX(ERP資料!$G:$G, (MATCH(393, 輔助計算!$G$2:$G$801, 0)+1))&lt;100, IF(INDEX(ERP資料!$G:$G, (MATCH(393, 輔助計算!$G$2:$G$801, 0)+1))&lt;=31,3,IF(INDEX(ERP資料!$G:$G, (MATCH(393, 輔助計算!$G$2:$G$801, 0)+1))&lt;=46.5,2,1)), IF(INDEX(ERP資料!$G:$G, (MATCH(393, 輔助計算!$G$2:$G$801, 0)+1))&lt;=790,3,IF(INDEX(ERP資料!$G:$G, (MATCH(393, 輔助計算!$G$2:$G$801, 0)+1))&lt;=1181,2,1))))=0,"",IF(MOD(INDEX(輔助計算!$D:$D, (MATCH(393, 輔助計算!$G$2:$G$801, 0)+1)),IF(INDEX(ERP資料!$G:$G, (MATCH(393, 輔助計算!$G$2:$G$801, 0)+1))&lt;100, IF(INDEX(ERP資料!$G:$G, (MATCH(393, 輔助計算!$G$2:$G$801, 0)+1))&lt;=31,3,IF(INDEX(ERP資料!$G:$G, (MATCH(393, 輔助計算!$G$2:$G$801, 0)+1))&lt;=46.5,2,1)), IF(INDEX(ERP資料!$G:$G, (MATCH(393, 輔助計算!$G$2:$G$801, 0)+1))&lt;=790,3,IF(INDEX(ERP資料!$G:$G, (MATCH(393, 輔助計算!$G$2:$G$801, 0)+1))&lt;=1181,2,1))))=1,TEXT(INDEX(ERP資料!$G:$G, (MATCH(393, 輔助計算!$G$2:$G$801, 0)+1)),"0.##"),IF(MOD(INDEX(輔助計算!$D:$D, (MATCH(393, 輔助計算!$G$2:$G$801, 0)+1)),IF(INDEX(ERP資料!$G:$G, (MATCH(393, 輔助計算!$G$2:$G$801, 0)+1))&lt;100, IF(INDEX(ERP資料!$G:$G, (MATCH(393, 輔助計算!$G$2:$G$801, 0)+1))&lt;=31,3,IF(INDEX(ERP資料!$G:$G, (MATCH(393, 輔助計算!$G$2:$G$801, 0)+1))&lt;=46.5,2,1)), IF(INDEX(ERP資料!$G:$G, (MATCH(393, 輔助計算!$G$2:$G$801, 0)+1))&lt;=790,3,IF(INDEX(ERP資料!$G:$G, (MATCH(393, 輔助計算!$G$2:$G$801, 0)+1))&lt;=1181,2,1))))=2,TEXT(INDEX(ERP資料!$G:$G, (MATCH(393, 輔助計算!$G$2:$G$801, 0)+1)),"0.##")&amp;"+"&amp;TEXT(INDEX(ERP資料!$G:$G, (MATCH(393, 輔助計算!$G$2:$G$801, 0)+1)),"0.##"),TEXT(INDEX(ERP資料!$G:$G, (MATCH(393, 輔助計算!$G$2:$G$801, 0)+1)),"0.##")&amp;"+"&amp;TEXT(INDEX(ERP資料!$G:$G, (MATCH(393, 輔助計算!$G$2:$G$801, 0)+1)),"0.##")&amp;"+"&amp;TEXT(INDEX(ERP資料!$G:$G, (MATCH(393, 輔助計算!$G$2:$G$801, 0)+1)),"0.##"))))&amp;"-1")), ""), "")</f>
        <v/>
      </c>
      <c r="K394" s="16" t="n"/>
      <c r="L394" s="14">
        <f>IFERROR(IF(AND(IFERROR(INDEX(ERP資料!$A:$A, (MATCH(393, 輔助計算!$G$2:$G$801, 0)+1)), "")&lt;&gt;"", IFERROR(INDEX(ERP資料!$A:$A, (MATCH(393, 輔助計算!$G$2:$G$801, 0)+1)), "")&lt;&gt;IFERROR(INDEX(ERP資料!$A:$A, MATCH(392, 輔助計算!$G$2:$G$801, 0)+1), "")), INDEX(ERP資料!$B:$B, (MATCH(393, 輔助計算!$G$2:$G$801, 0)+1)), ""), "")</f>
        <v/>
      </c>
      <c r="M394" s="17" t="n"/>
    </row>
    <row r="395">
      <c r="A395" s="10">
        <f>IFERROR(IF(AND(IFERROR(INDEX(ERP資料!$A:$A, (MATCH(394, 輔助計算!$G$2:$G$801, 0)+1)), "")&lt;&gt;"", IFERROR(INDEX(ERP資料!$A:$A, (MATCH(394, 輔助計算!$G$2:$G$801, 0)+1)), "")&lt;&gt;IFERROR(INDEX(ERP資料!$A:$A, MATCH(393, 輔助計算!$G$2:$G$801, 0)+1), "")), IFERROR(INDEX(ERP資料!$A:$A, (MATCH(394, 輔助計算!$G$2:$G$801, 0)+1)), ""), ""), "")</f>
        <v/>
      </c>
      <c r="B395" s="10">
        <f>IFERROR(IF(AND(IFERROR(INDEX(ERP資料!$A:$A, (MATCH(394, 輔助計算!$G$2:$G$801, 0)+1)), "")&lt;&gt;"", IFERROR(INDEX(ERP資料!$A:$A, (MATCH(394, 輔助計算!$G$2:$G$801, 0)+1)), "")&lt;&gt;IFERROR(INDEX(ERP資料!$A:$A, MATCH(393, 輔助計算!$G$2:$G$801, 0)+1), "")), INDEX(ERP資料!$S:$S, (MATCH(394, 輔助計算!$G$2:$G$801, 0)+1)), ""), "")</f>
        <v/>
      </c>
      <c r="C395" s="19">
        <f>IFERROR(IF(AND(IFERROR(INDEX(ERP資料!$A:$A, (MATCH(394, 輔助計算!$G$2:$G$801, 0)+1)), "")&lt;&gt;"", IFERROR(INDEX(ERP資料!$A:$A, (MATCH(394, 輔助計算!$G$2:$G$801, 0)+1)), "")&lt;&gt;IFERROR(INDEX(ERP資料!$A:$A, MATCH(393, 輔助計算!$G$2:$G$801, 0)+1), "")), IFERROR(VLOOKUP(LEFT(INDEX(ERP資料!$S:$S, (MATCH(394, 輔助計算!$G$2:$G$801, 0)+1)), 4), 紙管對照表!$A:$C, 3, FALSE), ""), ""), "")</f>
        <v/>
      </c>
      <c r="D395" s="16" t="n"/>
      <c r="E395" s="10">
        <f>IFERROR(IF(INDEX(ERP資料!$H:$H, (MATCH(394, 輔助計算!$G$2:$G$801, 0)+1))="","",INDEX(ERP資料!$H:$H, (MATCH(394, 輔助計算!$G$2:$G$801, 0)+1))), "")</f>
        <v/>
      </c>
      <c r="F395" s="10">
        <f>IFERROR(IF(INDEX(ERP資料!$E:$E, (MATCH(394, 輔助計算!$G$2:$G$801, 0)+1))="","",TRIM(INDEX(ERP資料!$E:$E, (MATCH(394, 輔助計算!$G$2:$G$801, 0)+1)))), "")</f>
        <v/>
      </c>
      <c r="G395" s="10">
        <f>IFERROR(IF(INDEX(ERP資料!$F:$F, (MATCH(394, 輔助計算!$G$2:$G$801, 0)+1))="","",INDEX(ERP資料!$F:$F, (MATCH(394, 輔助計算!$G$2:$G$801, 0)+1))), "")</f>
        <v/>
      </c>
      <c r="H395" s="10">
        <f>IFERROR(IF(INDEX(ERP資料!$G:$G, (MATCH(394, 輔助計算!$G$2:$G$801, 0)+1))="","",INDEX(ERP資料!$G:$G, (MATCH(394, 輔助計算!$G$2:$G$801, 0)+1))), "")</f>
        <v/>
      </c>
      <c r="I395" s="15">
        <f>IFERROR(INDEX(輔助計算!$D:$D, (MATCH(394, 輔助計算!$G$2:$G$801, 0)+1)), "")</f>
        <v/>
      </c>
      <c r="J395" s="15">
        <f>IFERROR(IF(AND(INDEX(輔助計算!$D:$D, (MATCH(394, 輔助計算!$G$2:$G$801, 0)+1))&lt;&gt;"", INDEX(ERP資料!$G:$G, (MATCH(394, 輔助計算!$G$2:$G$801, 0)+1))&lt;&gt;""), TRIM(IF(INT(INDEX(輔助計算!$D:$D, (MATCH(394, 輔助計算!$G$2:$G$801, 0)+1))/IF(INDEX(ERP資料!$G:$G, (MATCH(394, 輔助計算!$G$2:$G$801, 0)+1))&lt;100, IF(INDEX(ERP資料!$G:$G, (MATCH(394, 輔助計算!$G$2:$G$801, 0)+1))&lt;=31,3,IF(INDEX(ERP資料!$G:$G, (MATCH(394, 輔助計算!$G$2:$G$801, 0)+1))&lt;=46.5,2,1)), IF(INDEX(ERP資料!$G:$G, (MATCH(394, 輔助計算!$G$2:$G$801, 0)+1))&lt;=790,3,IF(INDEX(ERP資料!$G:$G, (MATCH(394, 輔助計算!$G$2:$G$801, 0)+1))&lt;=1181,2,1))))&gt;0, IF(IF(INDEX(ERP資料!$G:$G, (MATCH(394, 輔助計算!$G$2:$G$801, 0)+1))&lt;100, IF(INDEX(ERP資料!$G:$G, (MATCH(394, 輔助計算!$G$2:$G$801, 0)+1))&lt;=31,3,IF(INDEX(ERP資料!$G:$G, (MATCH(394, 輔助計算!$G$2:$G$801, 0)+1))&lt;=46.5,2,1)), IF(INDEX(ERP資料!$G:$G, (MATCH(394, 輔助計算!$G$2:$G$801, 0)+1))&lt;=790,3,IF(INDEX(ERP資料!$G:$G, (MATCH(394, 輔助計算!$G$2:$G$801, 0)+1))&lt;=1181,2,1)))=1,TEXT(INDEX(ERP資料!$G:$G, (MATCH(394, 輔助計算!$G$2:$G$801, 0)+1)),"0.##"),IF(IF(INDEX(ERP資料!$G:$G, (MATCH(394, 輔助計算!$G$2:$G$801, 0)+1))&lt;100, IF(INDEX(ERP資料!$G:$G, (MATCH(394, 輔助計算!$G$2:$G$801, 0)+1))&lt;=31,3,IF(INDEX(ERP資料!$G:$G, (MATCH(394, 輔助計算!$G$2:$G$801, 0)+1))&lt;=46.5,2,1)), IF(INDEX(ERP資料!$G:$G, (MATCH(394, 輔助計算!$G$2:$G$801, 0)+1))&lt;=790,3,IF(INDEX(ERP資料!$G:$G, (MATCH(394, 輔助計算!$G$2:$G$801, 0)+1))&lt;=1181,2,1)))=2,TEXT(INDEX(ERP資料!$G:$G, (MATCH(394, 輔助計算!$G$2:$G$801, 0)+1)),"0.##")&amp;"+"&amp;TEXT(INDEX(ERP資料!$G:$G, (MATCH(394, 輔助計算!$G$2:$G$801, 0)+1)),"0.##"),TEXT(INDEX(ERP資料!$G:$G, (MATCH(394, 輔助計算!$G$2:$G$801, 0)+1)),"0.##")&amp;"+"&amp;TEXT(INDEX(ERP資料!$G:$G, (MATCH(394, 輔助計算!$G$2:$G$801, 0)+1)),"0.##")&amp;"+"&amp;TEXT(INDEX(ERP資料!$G:$G, (MATCH(394, 輔助計算!$G$2:$G$801, 0)+1)),"0.##")))&amp;"-"&amp;INT(INDEX(輔助計算!$D:$D, (MATCH(394, 輔助計算!$G$2:$G$801, 0)+1))/IF(INDEX(ERP資料!$G:$G, (MATCH(394, 輔助計算!$G$2:$G$801, 0)+1))&lt;100, IF(INDEX(ERP資料!$G:$G, (MATCH(394, 輔助計算!$G$2:$G$801, 0)+1))&lt;=31,3,IF(INDEX(ERP資料!$G:$G, (MATCH(394, 輔助計算!$G$2:$G$801, 0)+1))&lt;=46.5,2,1)), IF(INDEX(ERP資料!$G:$G, (MATCH(394, 輔助計算!$G$2:$G$801, 0)+1))&lt;=790,3,IF(INDEX(ERP資料!$G:$G, (MATCH(394, 輔助計算!$G$2:$G$801, 0)+1))&lt;=1181,2,1)))), "")&amp;IF(AND(IF(INT(INDEX(輔助計算!$D:$D, (MATCH(394, 輔助計算!$G$2:$G$801, 0)+1))/IF(INDEX(ERP資料!$G:$G, (MATCH(394, 輔助計算!$G$2:$G$801, 0)+1))&lt;100, IF(INDEX(ERP資料!$G:$G, (MATCH(394, 輔助計算!$G$2:$G$801, 0)+1))&lt;=31,3,IF(INDEX(ERP資料!$G:$G, (MATCH(394, 輔助計算!$G$2:$G$801, 0)+1))&lt;=46.5,2,1)), IF(INDEX(ERP資料!$G:$G, (MATCH(394, 輔助計算!$G$2:$G$801, 0)+1))&lt;=790,3,IF(INDEX(ERP資料!$G:$G, (MATCH(394, 輔助計算!$G$2:$G$801, 0)+1))&lt;=1181,2,1))))&gt;0, IF(IF(INDEX(ERP資料!$G:$G, (MATCH(394, 輔助計算!$G$2:$G$801, 0)+1))&lt;100, IF(INDEX(ERP資料!$G:$G, (MATCH(394, 輔助計算!$G$2:$G$801, 0)+1))&lt;=31,3,IF(INDEX(ERP資料!$G:$G, (MATCH(394, 輔助計算!$G$2:$G$801, 0)+1))&lt;=46.5,2,1)), IF(INDEX(ERP資料!$G:$G, (MATCH(394, 輔助計算!$G$2:$G$801, 0)+1))&lt;=790,3,IF(INDEX(ERP資料!$G:$G, (MATCH(394, 輔助計算!$G$2:$G$801, 0)+1))&lt;=1181,2,1)))=1,TEXT(INDEX(ERP資料!$G:$G, (MATCH(394, 輔助計算!$G$2:$G$801, 0)+1)),"0.##"),IF(IF(INDEX(ERP資料!$G:$G, (MATCH(394, 輔助計算!$G$2:$G$801, 0)+1))&lt;100, IF(INDEX(ERP資料!$G:$G, (MATCH(394, 輔助計算!$G$2:$G$801, 0)+1))&lt;=31,3,IF(INDEX(ERP資料!$G:$G, (MATCH(394, 輔助計算!$G$2:$G$801, 0)+1))&lt;=46.5,2,1)), IF(INDEX(ERP資料!$G:$G, (MATCH(394, 輔助計算!$G$2:$G$801, 0)+1))&lt;=790,3,IF(INDEX(ERP資料!$G:$G, (MATCH(394, 輔助計算!$G$2:$G$801, 0)+1))&lt;=1181,2,1)))=2,TEXT(INDEX(ERP資料!$G:$G, (MATCH(394, 輔助計算!$G$2:$G$801, 0)+1)),"0.##")&amp;"+"&amp;TEXT(INDEX(ERP資料!$G:$G, (MATCH(394, 輔助計算!$G$2:$G$801, 0)+1)),"0.##"),TEXT(INDEX(ERP資料!$G:$G, (MATCH(394, 輔助計算!$G$2:$G$801, 0)+1)),"0.##")&amp;"+"&amp;TEXT(INDEX(ERP資料!$G:$G, (MATCH(394, 輔助計算!$G$2:$G$801, 0)+1)),"0.##")&amp;"+"&amp;TEXT(INDEX(ERP資料!$G:$G, (MATCH(394, 輔助計算!$G$2:$G$801, 0)+1)),"0.##")))&amp;"-"&amp;INT(INDEX(輔助計算!$D:$D, (MATCH(394, 輔助計算!$G$2:$G$801, 0)+1))/IF(INDEX(ERP資料!$G:$G, (MATCH(394, 輔助計算!$G$2:$G$801, 0)+1))&lt;100, IF(INDEX(ERP資料!$G:$G, (MATCH(394, 輔助計算!$G$2:$G$801, 0)+1))&lt;=31,3,IF(INDEX(ERP資料!$G:$G, (MATCH(394, 輔助計算!$G$2:$G$801, 0)+1))&lt;=46.5,2,1)), IF(INDEX(ERP資料!$G:$G, (MATCH(394, 輔助計算!$G$2:$G$801, 0)+1))&lt;=790,3,IF(INDEX(ERP資料!$G:$G, (MATCH(394, 輔助計算!$G$2:$G$801, 0)+1))&lt;=1181,2,1)))), "")&lt;&gt;"",IF(MOD(INDEX(輔助計算!$D:$D, (MATCH(394, 輔助計算!$G$2:$G$801, 0)+1)),IF(INDEX(ERP資料!$G:$G, (MATCH(394, 輔助計算!$G$2:$G$801, 0)+1))&lt;100, IF(INDEX(ERP資料!$G:$G, (MATCH(394, 輔助計算!$G$2:$G$801, 0)+1))&lt;=31,3,IF(INDEX(ERP資料!$G:$G, (MATCH(394, 輔助計算!$G$2:$G$801, 0)+1))&lt;=46.5,2,1)), IF(INDEX(ERP資料!$G:$G, (MATCH(394, 輔助計算!$G$2:$G$801, 0)+1))&lt;=790,3,IF(INDEX(ERP資料!$G:$G, (MATCH(394, 輔助計算!$G$2:$G$801, 0)+1))&lt;=1181,2,1))))=0,"",IF(MOD(INDEX(輔助計算!$D:$D, (MATCH(394, 輔助計算!$G$2:$G$801, 0)+1)),IF(INDEX(ERP資料!$G:$G, (MATCH(394, 輔助計算!$G$2:$G$801, 0)+1))&lt;100, IF(INDEX(ERP資料!$G:$G, (MATCH(394, 輔助計算!$G$2:$G$801, 0)+1))&lt;=31,3,IF(INDEX(ERP資料!$G:$G, (MATCH(394, 輔助計算!$G$2:$G$801, 0)+1))&lt;=46.5,2,1)), IF(INDEX(ERP資料!$G:$G, (MATCH(394, 輔助計算!$G$2:$G$801, 0)+1))&lt;=790,3,IF(INDEX(ERP資料!$G:$G, (MATCH(394, 輔助計算!$G$2:$G$801, 0)+1))&lt;=1181,2,1))))=0,"",IF(MOD(INDEX(輔助計算!$D:$D, (MATCH(394, 輔助計算!$G$2:$G$801, 0)+1)),IF(INDEX(ERP資料!$G:$G, (MATCH(394, 輔助計算!$G$2:$G$801, 0)+1))&lt;100, IF(INDEX(ERP資料!$G:$G, (MATCH(394, 輔助計算!$G$2:$G$801, 0)+1))&lt;=31,3,IF(INDEX(ERP資料!$G:$G, (MATCH(394, 輔助計算!$G$2:$G$801, 0)+1))&lt;=46.5,2,1)), IF(INDEX(ERP資料!$G:$G, (MATCH(394, 輔助計算!$G$2:$G$801, 0)+1))&lt;=790,3,IF(INDEX(ERP資料!$G:$G, (MATCH(394, 輔助計算!$G$2:$G$801, 0)+1))&lt;=1181,2,1))))=1,TEXT(INDEX(ERP資料!$G:$G, (MATCH(394, 輔助計算!$G$2:$G$801, 0)+1)),"0.##"),IF(MOD(INDEX(輔助計算!$D:$D, (MATCH(394, 輔助計算!$G$2:$G$801, 0)+1)),IF(INDEX(ERP資料!$G:$G, (MATCH(394, 輔助計算!$G$2:$G$801, 0)+1))&lt;100, IF(INDEX(ERP資料!$G:$G, (MATCH(394, 輔助計算!$G$2:$G$801, 0)+1))&lt;=31,3,IF(INDEX(ERP資料!$G:$G, (MATCH(394, 輔助計算!$G$2:$G$801, 0)+1))&lt;=46.5,2,1)), IF(INDEX(ERP資料!$G:$G, (MATCH(394, 輔助計算!$G$2:$G$801, 0)+1))&lt;=790,3,IF(INDEX(ERP資料!$G:$G, (MATCH(394, 輔助計算!$G$2:$G$801, 0)+1))&lt;=1181,2,1))))=2,TEXT(INDEX(ERP資料!$G:$G, (MATCH(394, 輔助計算!$G$2:$G$801, 0)+1)),"0.##")&amp;"+"&amp;TEXT(INDEX(ERP資料!$G:$G, (MATCH(394, 輔助計算!$G$2:$G$801, 0)+1)),"0.##"),TEXT(INDEX(ERP資料!$G:$G, (MATCH(394, 輔助計算!$G$2:$G$801, 0)+1)),"0.##")&amp;"+"&amp;TEXT(INDEX(ERP資料!$G:$G, (MATCH(394, 輔助計算!$G$2:$G$801, 0)+1)),"0.##")&amp;"+"&amp;TEXT(INDEX(ERP資料!$G:$G, (MATCH(394, 輔助計算!$G$2:$G$801, 0)+1)),"0.##"))))&amp;"-1")&lt;&gt;""),"  ","")&amp;IF(MOD(INDEX(輔助計算!$D:$D, (MATCH(394, 輔助計算!$G$2:$G$801, 0)+1)),IF(INDEX(ERP資料!$G:$G, (MATCH(394, 輔助計算!$G$2:$G$801, 0)+1))&lt;100, IF(INDEX(ERP資料!$G:$G, (MATCH(394, 輔助計算!$G$2:$G$801, 0)+1))&lt;=31,3,IF(INDEX(ERP資料!$G:$G, (MATCH(394, 輔助計算!$G$2:$G$801, 0)+1))&lt;=46.5,2,1)), IF(INDEX(ERP資料!$G:$G, (MATCH(394, 輔助計算!$G$2:$G$801, 0)+1))&lt;=790,3,IF(INDEX(ERP資料!$G:$G, (MATCH(394, 輔助計算!$G$2:$G$801, 0)+1))&lt;=1181,2,1))))=0,"",IF(MOD(INDEX(輔助計算!$D:$D, (MATCH(394, 輔助計算!$G$2:$G$801, 0)+1)),IF(INDEX(ERP資料!$G:$G, (MATCH(394, 輔助計算!$G$2:$G$801, 0)+1))&lt;100, IF(INDEX(ERP資料!$G:$G, (MATCH(394, 輔助計算!$G$2:$G$801, 0)+1))&lt;=31,3,IF(INDEX(ERP資料!$G:$G, (MATCH(394, 輔助計算!$G$2:$G$801, 0)+1))&lt;=46.5,2,1)), IF(INDEX(ERP資料!$G:$G, (MATCH(394, 輔助計算!$G$2:$G$801, 0)+1))&lt;=790,3,IF(INDEX(ERP資料!$G:$G, (MATCH(394, 輔助計算!$G$2:$G$801, 0)+1))&lt;=1181,2,1))))=0,"",IF(MOD(INDEX(輔助計算!$D:$D, (MATCH(394, 輔助計算!$G$2:$G$801, 0)+1)),IF(INDEX(ERP資料!$G:$G, (MATCH(394, 輔助計算!$G$2:$G$801, 0)+1))&lt;100, IF(INDEX(ERP資料!$G:$G, (MATCH(394, 輔助計算!$G$2:$G$801, 0)+1))&lt;=31,3,IF(INDEX(ERP資料!$G:$G, (MATCH(394, 輔助計算!$G$2:$G$801, 0)+1))&lt;=46.5,2,1)), IF(INDEX(ERP資料!$G:$G, (MATCH(394, 輔助計算!$G$2:$G$801, 0)+1))&lt;=790,3,IF(INDEX(ERP資料!$G:$G, (MATCH(394, 輔助計算!$G$2:$G$801, 0)+1))&lt;=1181,2,1))))=1,TEXT(INDEX(ERP資料!$G:$G, (MATCH(394, 輔助計算!$G$2:$G$801, 0)+1)),"0.##"),IF(MOD(INDEX(輔助計算!$D:$D, (MATCH(394, 輔助計算!$G$2:$G$801, 0)+1)),IF(INDEX(ERP資料!$G:$G, (MATCH(394, 輔助計算!$G$2:$G$801, 0)+1))&lt;100, IF(INDEX(ERP資料!$G:$G, (MATCH(394, 輔助計算!$G$2:$G$801, 0)+1))&lt;=31,3,IF(INDEX(ERP資料!$G:$G, (MATCH(394, 輔助計算!$G$2:$G$801, 0)+1))&lt;=46.5,2,1)), IF(INDEX(ERP資料!$G:$G, (MATCH(394, 輔助計算!$G$2:$G$801, 0)+1))&lt;=790,3,IF(INDEX(ERP資料!$G:$G, (MATCH(394, 輔助計算!$G$2:$G$801, 0)+1))&lt;=1181,2,1))))=2,TEXT(INDEX(ERP資料!$G:$G, (MATCH(394, 輔助計算!$G$2:$G$801, 0)+1)),"0.##")&amp;"+"&amp;TEXT(INDEX(ERP資料!$G:$G, (MATCH(394, 輔助計算!$G$2:$G$801, 0)+1)),"0.##"),TEXT(INDEX(ERP資料!$G:$G, (MATCH(394, 輔助計算!$G$2:$G$801, 0)+1)),"0.##")&amp;"+"&amp;TEXT(INDEX(ERP資料!$G:$G, (MATCH(394, 輔助計算!$G$2:$G$801, 0)+1)),"0.##")&amp;"+"&amp;TEXT(INDEX(ERP資料!$G:$G, (MATCH(394, 輔助計算!$G$2:$G$801, 0)+1)),"0.##"))))&amp;"-1")), ""), "")</f>
        <v/>
      </c>
      <c r="K395" s="16" t="n"/>
      <c r="L395" s="14">
        <f>IFERROR(IF(AND(IFERROR(INDEX(ERP資料!$A:$A, (MATCH(394, 輔助計算!$G$2:$G$801, 0)+1)), "")&lt;&gt;"", IFERROR(INDEX(ERP資料!$A:$A, (MATCH(394, 輔助計算!$G$2:$G$801, 0)+1)), "")&lt;&gt;IFERROR(INDEX(ERP資料!$A:$A, MATCH(393, 輔助計算!$G$2:$G$801, 0)+1), "")), INDEX(ERP資料!$B:$B, (MATCH(394, 輔助計算!$G$2:$G$801, 0)+1)), ""), "")</f>
        <v/>
      </c>
      <c r="M395" s="17" t="n"/>
    </row>
    <row r="396">
      <c r="A396" s="10">
        <f>IFERROR(IF(AND(IFERROR(INDEX(ERP資料!$A:$A, (MATCH(395, 輔助計算!$G$2:$G$801, 0)+1)), "")&lt;&gt;"", IFERROR(INDEX(ERP資料!$A:$A, (MATCH(395, 輔助計算!$G$2:$G$801, 0)+1)), "")&lt;&gt;IFERROR(INDEX(ERP資料!$A:$A, MATCH(394, 輔助計算!$G$2:$G$801, 0)+1), "")), IFERROR(INDEX(ERP資料!$A:$A, (MATCH(395, 輔助計算!$G$2:$G$801, 0)+1)), ""), ""), "")</f>
        <v/>
      </c>
      <c r="B396" s="10">
        <f>IFERROR(IF(AND(IFERROR(INDEX(ERP資料!$A:$A, (MATCH(395, 輔助計算!$G$2:$G$801, 0)+1)), "")&lt;&gt;"", IFERROR(INDEX(ERP資料!$A:$A, (MATCH(395, 輔助計算!$G$2:$G$801, 0)+1)), "")&lt;&gt;IFERROR(INDEX(ERP資料!$A:$A, MATCH(394, 輔助計算!$G$2:$G$801, 0)+1), "")), INDEX(ERP資料!$S:$S, (MATCH(395, 輔助計算!$G$2:$G$801, 0)+1)), ""), "")</f>
        <v/>
      </c>
      <c r="C396" s="19">
        <f>IFERROR(IF(AND(IFERROR(INDEX(ERP資料!$A:$A, (MATCH(395, 輔助計算!$G$2:$G$801, 0)+1)), "")&lt;&gt;"", IFERROR(INDEX(ERP資料!$A:$A, (MATCH(395, 輔助計算!$G$2:$G$801, 0)+1)), "")&lt;&gt;IFERROR(INDEX(ERP資料!$A:$A, MATCH(394, 輔助計算!$G$2:$G$801, 0)+1), "")), IFERROR(VLOOKUP(LEFT(INDEX(ERP資料!$S:$S, (MATCH(395, 輔助計算!$G$2:$G$801, 0)+1)), 4), 紙管對照表!$A:$C, 3, FALSE), ""), ""), "")</f>
        <v/>
      </c>
      <c r="D396" s="16" t="n"/>
      <c r="E396" s="10">
        <f>IFERROR(IF(INDEX(ERP資料!$H:$H, (MATCH(395, 輔助計算!$G$2:$G$801, 0)+1))="","",INDEX(ERP資料!$H:$H, (MATCH(395, 輔助計算!$G$2:$G$801, 0)+1))), "")</f>
        <v/>
      </c>
      <c r="F396" s="10">
        <f>IFERROR(IF(INDEX(ERP資料!$E:$E, (MATCH(395, 輔助計算!$G$2:$G$801, 0)+1))="","",TRIM(INDEX(ERP資料!$E:$E, (MATCH(395, 輔助計算!$G$2:$G$801, 0)+1)))), "")</f>
        <v/>
      </c>
      <c r="G396" s="10">
        <f>IFERROR(IF(INDEX(ERP資料!$F:$F, (MATCH(395, 輔助計算!$G$2:$G$801, 0)+1))="","",INDEX(ERP資料!$F:$F, (MATCH(395, 輔助計算!$G$2:$G$801, 0)+1))), "")</f>
        <v/>
      </c>
      <c r="H396" s="10">
        <f>IFERROR(IF(INDEX(ERP資料!$G:$G, (MATCH(395, 輔助計算!$G$2:$G$801, 0)+1))="","",INDEX(ERP資料!$G:$G, (MATCH(395, 輔助計算!$G$2:$G$801, 0)+1))), "")</f>
        <v/>
      </c>
      <c r="I396" s="15">
        <f>IFERROR(INDEX(輔助計算!$D:$D, (MATCH(395, 輔助計算!$G$2:$G$801, 0)+1)), "")</f>
        <v/>
      </c>
      <c r="J396" s="15">
        <f>IFERROR(IF(AND(INDEX(輔助計算!$D:$D, (MATCH(395, 輔助計算!$G$2:$G$801, 0)+1))&lt;&gt;"", INDEX(ERP資料!$G:$G, (MATCH(395, 輔助計算!$G$2:$G$801, 0)+1))&lt;&gt;""), TRIM(IF(INT(INDEX(輔助計算!$D:$D, (MATCH(395, 輔助計算!$G$2:$G$801, 0)+1))/IF(INDEX(ERP資料!$G:$G, (MATCH(395, 輔助計算!$G$2:$G$801, 0)+1))&lt;100, IF(INDEX(ERP資料!$G:$G, (MATCH(395, 輔助計算!$G$2:$G$801, 0)+1))&lt;=31,3,IF(INDEX(ERP資料!$G:$G, (MATCH(395, 輔助計算!$G$2:$G$801, 0)+1))&lt;=46.5,2,1)), IF(INDEX(ERP資料!$G:$G, (MATCH(395, 輔助計算!$G$2:$G$801, 0)+1))&lt;=790,3,IF(INDEX(ERP資料!$G:$G, (MATCH(395, 輔助計算!$G$2:$G$801, 0)+1))&lt;=1181,2,1))))&gt;0, IF(IF(INDEX(ERP資料!$G:$G, (MATCH(395, 輔助計算!$G$2:$G$801, 0)+1))&lt;100, IF(INDEX(ERP資料!$G:$G, (MATCH(395, 輔助計算!$G$2:$G$801, 0)+1))&lt;=31,3,IF(INDEX(ERP資料!$G:$G, (MATCH(395, 輔助計算!$G$2:$G$801, 0)+1))&lt;=46.5,2,1)), IF(INDEX(ERP資料!$G:$G, (MATCH(395, 輔助計算!$G$2:$G$801, 0)+1))&lt;=790,3,IF(INDEX(ERP資料!$G:$G, (MATCH(395, 輔助計算!$G$2:$G$801, 0)+1))&lt;=1181,2,1)))=1,TEXT(INDEX(ERP資料!$G:$G, (MATCH(395, 輔助計算!$G$2:$G$801, 0)+1)),"0.##"),IF(IF(INDEX(ERP資料!$G:$G, (MATCH(395, 輔助計算!$G$2:$G$801, 0)+1))&lt;100, IF(INDEX(ERP資料!$G:$G, (MATCH(395, 輔助計算!$G$2:$G$801, 0)+1))&lt;=31,3,IF(INDEX(ERP資料!$G:$G, (MATCH(395, 輔助計算!$G$2:$G$801, 0)+1))&lt;=46.5,2,1)), IF(INDEX(ERP資料!$G:$G, (MATCH(395, 輔助計算!$G$2:$G$801, 0)+1))&lt;=790,3,IF(INDEX(ERP資料!$G:$G, (MATCH(395, 輔助計算!$G$2:$G$801, 0)+1))&lt;=1181,2,1)))=2,TEXT(INDEX(ERP資料!$G:$G, (MATCH(395, 輔助計算!$G$2:$G$801, 0)+1)),"0.##")&amp;"+"&amp;TEXT(INDEX(ERP資料!$G:$G, (MATCH(395, 輔助計算!$G$2:$G$801, 0)+1)),"0.##"),TEXT(INDEX(ERP資料!$G:$G, (MATCH(395, 輔助計算!$G$2:$G$801, 0)+1)),"0.##")&amp;"+"&amp;TEXT(INDEX(ERP資料!$G:$G, (MATCH(395, 輔助計算!$G$2:$G$801, 0)+1)),"0.##")&amp;"+"&amp;TEXT(INDEX(ERP資料!$G:$G, (MATCH(395, 輔助計算!$G$2:$G$801, 0)+1)),"0.##")))&amp;"-"&amp;INT(INDEX(輔助計算!$D:$D, (MATCH(395, 輔助計算!$G$2:$G$801, 0)+1))/IF(INDEX(ERP資料!$G:$G, (MATCH(395, 輔助計算!$G$2:$G$801, 0)+1))&lt;100, IF(INDEX(ERP資料!$G:$G, (MATCH(395, 輔助計算!$G$2:$G$801, 0)+1))&lt;=31,3,IF(INDEX(ERP資料!$G:$G, (MATCH(395, 輔助計算!$G$2:$G$801, 0)+1))&lt;=46.5,2,1)), IF(INDEX(ERP資料!$G:$G, (MATCH(395, 輔助計算!$G$2:$G$801, 0)+1))&lt;=790,3,IF(INDEX(ERP資料!$G:$G, (MATCH(395, 輔助計算!$G$2:$G$801, 0)+1))&lt;=1181,2,1)))), "")&amp;IF(AND(IF(INT(INDEX(輔助計算!$D:$D, (MATCH(395, 輔助計算!$G$2:$G$801, 0)+1))/IF(INDEX(ERP資料!$G:$G, (MATCH(395, 輔助計算!$G$2:$G$801, 0)+1))&lt;100, IF(INDEX(ERP資料!$G:$G, (MATCH(395, 輔助計算!$G$2:$G$801, 0)+1))&lt;=31,3,IF(INDEX(ERP資料!$G:$G, (MATCH(395, 輔助計算!$G$2:$G$801, 0)+1))&lt;=46.5,2,1)), IF(INDEX(ERP資料!$G:$G, (MATCH(395, 輔助計算!$G$2:$G$801, 0)+1))&lt;=790,3,IF(INDEX(ERP資料!$G:$G, (MATCH(395, 輔助計算!$G$2:$G$801, 0)+1))&lt;=1181,2,1))))&gt;0, IF(IF(INDEX(ERP資料!$G:$G, (MATCH(395, 輔助計算!$G$2:$G$801, 0)+1))&lt;100, IF(INDEX(ERP資料!$G:$G, (MATCH(395, 輔助計算!$G$2:$G$801, 0)+1))&lt;=31,3,IF(INDEX(ERP資料!$G:$G, (MATCH(395, 輔助計算!$G$2:$G$801, 0)+1))&lt;=46.5,2,1)), IF(INDEX(ERP資料!$G:$G, (MATCH(395, 輔助計算!$G$2:$G$801, 0)+1))&lt;=790,3,IF(INDEX(ERP資料!$G:$G, (MATCH(395, 輔助計算!$G$2:$G$801, 0)+1))&lt;=1181,2,1)))=1,TEXT(INDEX(ERP資料!$G:$G, (MATCH(395, 輔助計算!$G$2:$G$801, 0)+1)),"0.##"),IF(IF(INDEX(ERP資料!$G:$G, (MATCH(395, 輔助計算!$G$2:$G$801, 0)+1))&lt;100, IF(INDEX(ERP資料!$G:$G, (MATCH(395, 輔助計算!$G$2:$G$801, 0)+1))&lt;=31,3,IF(INDEX(ERP資料!$G:$G, (MATCH(395, 輔助計算!$G$2:$G$801, 0)+1))&lt;=46.5,2,1)), IF(INDEX(ERP資料!$G:$G, (MATCH(395, 輔助計算!$G$2:$G$801, 0)+1))&lt;=790,3,IF(INDEX(ERP資料!$G:$G, (MATCH(395, 輔助計算!$G$2:$G$801, 0)+1))&lt;=1181,2,1)))=2,TEXT(INDEX(ERP資料!$G:$G, (MATCH(395, 輔助計算!$G$2:$G$801, 0)+1)),"0.##")&amp;"+"&amp;TEXT(INDEX(ERP資料!$G:$G, (MATCH(395, 輔助計算!$G$2:$G$801, 0)+1)),"0.##"),TEXT(INDEX(ERP資料!$G:$G, (MATCH(395, 輔助計算!$G$2:$G$801, 0)+1)),"0.##")&amp;"+"&amp;TEXT(INDEX(ERP資料!$G:$G, (MATCH(395, 輔助計算!$G$2:$G$801, 0)+1)),"0.##")&amp;"+"&amp;TEXT(INDEX(ERP資料!$G:$G, (MATCH(395, 輔助計算!$G$2:$G$801, 0)+1)),"0.##")))&amp;"-"&amp;INT(INDEX(輔助計算!$D:$D, (MATCH(395, 輔助計算!$G$2:$G$801, 0)+1))/IF(INDEX(ERP資料!$G:$G, (MATCH(395, 輔助計算!$G$2:$G$801, 0)+1))&lt;100, IF(INDEX(ERP資料!$G:$G, (MATCH(395, 輔助計算!$G$2:$G$801, 0)+1))&lt;=31,3,IF(INDEX(ERP資料!$G:$G, (MATCH(395, 輔助計算!$G$2:$G$801, 0)+1))&lt;=46.5,2,1)), IF(INDEX(ERP資料!$G:$G, (MATCH(395, 輔助計算!$G$2:$G$801, 0)+1))&lt;=790,3,IF(INDEX(ERP資料!$G:$G, (MATCH(395, 輔助計算!$G$2:$G$801, 0)+1))&lt;=1181,2,1)))), "")&lt;&gt;"",IF(MOD(INDEX(輔助計算!$D:$D, (MATCH(395, 輔助計算!$G$2:$G$801, 0)+1)),IF(INDEX(ERP資料!$G:$G, (MATCH(395, 輔助計算!$G$2:$G$801, 0)+1))&lt;100, IF(INDEX(ERP資料!$G:$G, (MATCH(395, 輔助計算!$G$2:$G$801, 0)+1))&lt;=31,3,IF(INDEX(ERP資料!$G:$G, (MATCH(395, 輔助計算!$G$2:$G$801, 0)+1))&lt;=46.5,2,1)), IF(INDEX(ERP資料!$G:$G, (MATCH(395, 輔助計算!$G$2:$G$801, 0)+1))&lt;=790,3,IF(INDEX(ERP資料!$G:$G, (MATCH(395, 輔助計算!$G$2:$G$801, 0)+1))&lt;=1181,2,1))))=0,"",IF(MOD(INDEX(輔助計算!$D:$D, (MATCH(395, 輔助計算!$G$2:$G$801, 0)+1)),IF(INDEX(ERP資料!$G:$G, (MATCH(395, 輔助計算!$G$2:$G$801, 0)+1))&lt;100, IF(INDEX(ERP資料!$G:$G, (MATCH(395, 輔助計算!$G$2:$G$801, 0)+1))&lt;=31,3,IF(INDEX(ERP資料!$G:$G, (MATCH(395, 輔助計算!$G$2:$G$801, 0)+1))&lt;=46.5,2,1)), IF(INDEX(ERP資料!$G:$G, (MATCH(395, 輔助計算!$G$2:$G$801, 0)+1))&lt;=790,3,IF(INDEX(ERP資料!$G:$G, (MATCH(395, 輔助計算!$G$2:$G$801, 0)+1))&lt;=1181,2,1))))=0,"",IF(MOD(INDEX(輔助計算!$D:$D, (MATCH(395, 輔助計算!$G$2:$G$801, 0)+1)),IF(INDEX(ERP資料!$G:$G, (MATCH(395, 輔助計算!$G$2:$G$801, 0)+1))&lt;100, IF(INDEX(ERP資料!$G:$G, (MATCH(395, 輔助計算!$G$2:$G$801, 0)+1))&lt;=31,3,IF(INDEX(ERP資料!$G:$G, (MATCH(395, 輔助計算!$G$2:$G$801, 0)+1))&lt;=46.5,2,1)), IF(INDEX(ERP資料!$G:$G, (MATCH(395, 輔助計算!$G$2:$G$801, 0)+1))&lt;=790,3,IF(INDEX(ERP資料!$G:$G, (MATCH(395, 輔助計算!$G$2:$G$801, 0)+1))&lt;=1181,2,1))))=1,TEXT(INDEX(ERP資料!$G:$G, (MATCH(395, 輔助計算!$G$2:$G$801, 0)+1)),"0.##"),IF(MOD(INDEX(輔助計算!$D:$D, (MATCH(395, 輔助計算!$G$2:$G$801, 0)+1)),IF(INDEX(ERP資料!$G:$G, (MATCH(395, 輔助計算!$G$2:$G$801, 0)+1))&lt;100, IF(INDEX(ERP資料!$G:$G, (MATCH(395, 輔助計算!$G$2:$G$801, 0)+1))&lt;=31,3,IF(INDEX(ERP資料!$G:$G, (MATCH(395, 輔助計算!$G$2:$G$801, 0)+1))&lt;=46.5,2,1)), IF(INDEX(ERP資料!$G:$G, (MATCH(395, 輔助計算!$G$2:$G$801, 0)+1))&lt;=790,3,IF(INDEX(ERP資料!$G:$G, (MATCH(395, 輔助計算!$G$2:$G$801, 0)+1))&lt;=1181,2,1))))=2,TEXT(INDEX(ERP資料!$G:$G, (MATCH(395, 輔助計算!$G$2:$G$801, 0)+1)),"0.##")&amp;"+"&amp;TEXT(INDEX(ERP資料!$G:$G, (MATCH(395, 輔助計算!$G$2:$G$801, 0)+1)),"0.##"),TEXT(INDEX(ERP資料!$G:$G, (MATCH(395, 輔助計算!$G$2:$G$801, 0)+1)),"0.##")&amp;"+"&amp;TEXT(INDEX(ERP資料!$G:$G, (MATCH(395, 輔助計算!$G$2:$G$801, 0)+1)),"0.##")&amp;"+"&amp;TEXT(INDEX(ERP資料!$G:$G, (MATCH(395, 輔助計算!$G$2:$G$801, 0)+1)),"0.##"))))&amp;"-1")&lt;&gt;""),"  ","")&amp;IF(MOD(INDEX(輔助計算!$D:$D, (MATCH(395, 輔助計算!$G$2:$G$801, 0)+1)),IF(INDEX(ERP資料!$G:$G, (MATCH(395, 輔助計算!$G$2:$G$801, 0)+1))&lt;100, IF(INDEX(ERP資料!$G:$G, (MATCH(395, 輔助計算!$G$2:$G$801, 0)+1))&lt;=31,3,IF(INDEX(ERP資料!$G:$G, (MATCH(395, 輔助計算!$G$2:$G$801, 0)+1))&lt;=46.5,2,1)), IF(INDEX(ERP資料!$G:$G, (MATCH(395, 輔助計算!$G$2:$G$801, 0)+1))&lt;=790,3,IF(INDEX(ERP資料!$G:$G, (MATCH(395, 輔助計算!$G$2:$G$801, 0)+1))&lt;=1181,2,1))))=0,"",IF(MOD(INDEX(輔助計算!$D:$D, (MATCH(395, 輔助計算!$G$2:$G$801, 0)+1)),IF(INDEX(ERP資料!$G:$G, (MATCH(395, 輔助計算!$G$2:$G$801, 0)+1))&lt;100, IF(INDEX(ERP資料!$G:$G, (MATCH(395, 輔助計算!$G$2:$G$801, 0)+1))&lt;=31,3,IF(INDEX(ERP資料!$G:$G, (MATCH(395, 輔助計算!$G$2:$G$801, 0)+1))&lt;=46.5,2,1)), IF(INDEX(ERP資料!$G:$G, (MATCH(395, 輔助計算!$G$2:$G$801, 0)+1))&lt;=790,3,IF(INDEX(ERP資料!$G:$G, (MATCH(395, 輔助計算!$G$2:$G$801, 0)+1))&lt;=1181,2,1))))=0,"",IF(MOD(INDEX(輔助計算!$D:$D, (MATCH(395, 輔助計算!$G$2:$G$801, 0)+1)),IF(INDEX(ERP資料!$G:$G, (MATCH(395, 輔助計算!$G$2:$G$801, 0)+1))&lt;100, IF(INDEX(ERP資料!$G:$G, (MATCH(395, 輔助計算!$G$2:$G$801, 0)+1))&lt;=31,3,IF(INDEX(ERP資料!$G:$G, (MATCH(395, 輔助計算!$G$2:$G$801, 0)+1))&lt;=46.5,2,1)), IF(INDEX(ERP資料!$G:$G, (MATCH(395, 輔助計算!$G$2:$G$801, 0)+1))&lt;=790,3,IF(INDEX(ERP資料!$G:$G, (MATCH(395, 輔助計算!$G$2:$G$801, 0)+1))&lt;=1181,2,1))))=1,TEXT(INDEX(ERP資料!$G:$G, (MATCH(395, 輔助計算!$G$2:$G$801, 0)+1)),"0.##"),IF(MOD(INDEX(輔助計算!$D:$D, (MATCH(395, 輔助計算!$G$2:$G$801, 0)+1)),IF(INDEX(ERP資料!$G:$G, (MATCH(395, 輔助計算!$G$2:$G$801, 0)+1))&lt;100, IF(INDEX(ERP資料!$G:$G, (MATCH(395, 輔助計算!$G$2:$G$801, 0)+1))&lt;=31,3,IF(INDEX(ERP資料!$G:$G, (MATCH(395, 輔助計算!$G$2:$G$801, 0)+1))&lt;=46.5,2,1)), IF(INDEX(ERP資料!$G:$G, (MATCH(395, 輔助計算!$G$2:$G$801, 0)+1))&lt;=790,3,IF(INDEX(ERP資料!$G:$G, (MATCH(395, 輔助計算!$G$2:$G$801, 0)+1))&lt;=1181,2,1))))=2,TEXT(INDEX(ERP資料!$G:$G, (MATCH(395, 輔助計算!$G$2:$G$801, 0)+1)),"0.##")&amp;"+"&amp;TEXT(INDEX(ERP資料!$G:$G, (MATCH(395, 輔助計算!$G$2:$G$801, 0)+1)),"0.##"),TEXT(INDEX(ERP資料!$G:$G, (MATCH(395, 輔助計算!$G$2:$G$801, 0)+1)),"0.##")&amp;"+"&amp;TEXT(INDEX(ERP資料!$G:$G, (MATCH(395, 輔助計算!$G$2:$G$801, 0)+1)),"0.##")&amp;"+"&amp;TEXT(INDEX(ERP資料!$G:$G, (MATCH(395, 輔助計算!$G$2:$G$801, 0)+1)),"0.##"))))&amp;"-1")), ""), "")</f>
        <v/>
      </c>
      <c r="K396" s="16" t="n"/>
      <c r="L396" s="14">
        <f>IFERROR(IF(AND(IFERROR(INDEX(ERP資料!$A:$A, (MATCH(395, 輔助計算!$G$2:$G$801, 0)+1)), "")&lt;&gt;"", IFERROR(INDEX(ERP資料!$A:$A, (MATCH(395, 輔助計算!$G$2:$G$801, 0)+1)), "")&lt;&gt;IFERROR(INDEX(ERP資料!$A:$A, MATCH(394, 輔助計算!$G$2:$G$801, 0)+1), "")), INDEX(ERP資料!$B:$B, (MATCH(395, 輔助計算!$G$2:$G$801, 0)+1)), ""), "")</f>
        <v/>
      </c>
      <c r="M396" s="17" t="n"/>
    </row>
    <row r="397">
      <c r="A397" s="10">
        <f>IFERROR(IF(AND(IFERROR(INDEX(ERP資料!$A:$A, (MATCH(396, 輔助計算!$G$2:$G$801, 0)+1)), "")&lt;&gt;"", IFERROR(INDEX(ERP資料!$A:$A, (MATCH(396, 輔助計算!$G$2:$G$801, 0)+1)), "")&lt;&gt;IFERROR(INDEX(ERP資料!$A:$A, MATCH(395, 輔助計算!$G$2:$G$801, 0)+1), "")), IFERROR(INDEX(ERP資料!$A:$A, (MATCH(396, 輔助計算!$G$2:$G$801, 0)+1)), ""), ""), "")</f>
        <v/>
      </c>
      <c r="B397" s="10">
        <f>IFERROR(IF(AND(IFERROR(INDEX(ERP資料!$A:$A, (MATCH(396, 輔助計算!$G$2:$G$801, 0)+1)), "")&lt;&gt;"", IFERROR(INDEX(ERP資料!$A:$A, (MATCH(396, 輔助計算!$G$2:$G$801, 0)+1)), "")&lt;&gt;IFERROR(INDEX(ERP資料!$A:$A, MATCH(395, 輔助計算!$G$2:$G$801, 0)+1), "")), INDEX(ERP資料!$S:$S, (MATCH(396, 輔助計算!$G$2:$G$801, 0)+1)), ""), "")</f>
        <v/>
      </c>
      <c r="C397" s="19">
        <f>IFERROR(IF(AND(IFERROR(INDEX(ERP資料!$A:$A, (MATCH(396, 輔助計算!$G$2:$G$801, 0)+1)), "")&lt;&gt;"", IFERROR(INDEX(ERP資料!$A:$A, (MATCH(396, 輔助計算!$G$2:$G$801, 0)+1)), "")&lt;&gt;IFERROR(INDEX(ERP資料!$A:$A, MATCH(395, 輔助計算!$G$2:$G$801, 0)+1), "")), IFERROR(VLOOKUP(LEFT(INDEX(ERP資料!$S:$S, (MATCH(396, 輔助計算!$G$2:$G$801, 0)+1)), 4), 紙管對照表!$A:$C, 3, FALSE), ""), ""), "")</f>
        <v/>
      </c>
      <c r="D397" s="16" t="n"/>
      <c r="E397" s="10">
        <f>IFERROR(IF(INDEX(ERP資料!$H:$H, (MATCH(396, 輔助計算!$G$2:$G$801, 0)+1))="","",INDEX(ERP資料!$H:$H, (MATCH(396, 輔助計算!$G$2:$G$801, 0)+1))), "")</f>
        <v/>
      </c>
      <c r="F397" s="10">
        <f>IFERROR(IF(INDEX(ERP資料!$E:$E, (MATCH(396, 輔助計算!$G$2:$G$801, 0)+1))="","",TRIM(INDEX(ERP資料!$E:$E, (MATCH(396, 輔助計算!$G$2:$G$801, 0)+1)))), "")</f>
        <v/>
      </c>
      <c r="G397" s="10">
        <f>IFERROR(IF(INDEX(ERP資料!$F:$F, (MATCH(396, 輔助計算!$G$2:$G$801, 0)+1))="","",INDEX(ERP資料!$F:$F, (MATCH(396, 輔助計算!$G$2:$G$801, 0)+1))), "")</f>
        <v/>
      </c>
      <c r="H397" s="10">
        <f>IFERROR(IF(INDEX(ERP資料!$G:$G, (MATCH(396, 輔助計算!$G$2:$G$801, 0)+1))="","",INDEX(ERP資料!$G:$G, (MATCH(396, 輔助計算!$G$2:$G$801, 0)+1))), "")</f>
        <v/>
      </c>
      <c r="I397" s="15">
        <f>IFERROR(INDEX(輔助計算!$D:$D, (MATCH(396, 輔助計算!$G$2:$G$801, 0)+1)), "")</f>
        <v/>
      </c>
      <c r="J397" s="15">
        <f>IFERROR(IF(AND(INDEX(輔助計算!$D:$D, (MATCH(396, 輔助計算!$G$2:$G$801, 0)+1))&lt;&gt;"", INDEX(ERP資料!$G:$G, (MATCH(396, 輔助計算!$G$2:$G$801, 0)+1))&lt;&gt;""), TRIM(IF(INT(INDEX(輔助計算!$D:$D, (MATCH(396, 輔助計算!$G$2:$G$801, 0)+1))/IF(INDEX(ERP資料!$G:$G, (MATCH(396, 輔助計算!$G$2:$G$801, 0)+1))&lt;100, IF(INDEX(ERP資料!$G:$G, (MATCH(396, 輔助計算!$G$2:$G$801, 0)+1))&lt;=31,3,IF(INDEX(ERP資料!$G:$G, (MATCH(396, 輔助計算!$G$2:$G$801, 0)+1))&lt;=46.5,2,1)), IF(INDEX(ERP資料!$G:$G, (MATCH(396, 輔助計算!$G$2:$G$801, 0)+1))&lt;=790,3,IF(INDEX(ERP資料!$G:$G, (MATCH(396, 輔助計算!$G$2:$G$801, 0)+1))&lt;=1181,2,1))))&gt;0, IF(IF(INDEX(ERP資料!$G:$G, (MATCH(396, 輔助計算!$G$2:$G$801, 0)+1))&lt;100, IF(INDEX(ERP資料!$G:$G, (MATCH(396, 輔助計算!$G$2:$G$801, 0)+1))&lt;=31,3,IF(INDEX(ERP資料!$G:$G, (MATCH(396, 輔助計算!$G$2:$G$801, 0)+1))&lt;=46.5,2,1)), IF(INDEX(ERP資料!$G:$G, (MATCH(396, 輔助計算!$G$2:$G$801, 0)+1))&lt;=790,3,IF(INDEX(ERP資料!$G:$G, (MATCH(396, 輔助計算!$G$2:$G$801, 0)+1))&lt;=1181,2,1)))=1,TEXT(INDEX(ERP資料!$G:$G, (MATCH(396, 輔助計算!$G$2:$G$801, 0)+1)),"0.##"),IF(IF(INDEX(ERP資料!$G:$G, (MATCH(396, 輔助計算!$G$2:$G$801, 0)+1))&lt;100, IF(INDEX(ERP資料!$G:$G, (MATCH(396, 輔助計算!$G$2:$G$801, 0)+1))&lt;=31,3,IF(INDEX(ERP資料!$G:$G, (MATCH(396, 輔助計算!$G$2:$G$801, 0)+1))&lt;=46.5,2,1)), IF(INDEX(ERP資料!$G:$G, (MATCH(396, 輔助計算!$G$2:$G$801, 0)+1))&lt;=790,3,IF(INDEX(ERP資料!$G:$G, (MATCH(396, 輔助計算!$G$2:$G$801, 0)+1))&lt;=1181,2,1)))=2,TEXT(INDEX(ERP資料!$G:$G, (MATCH(396, 輔助計算!$G$2:$G$801, 0)+1)),"0.##")&amp;"+"&amp;TEXT(INDEX(ERP資料!$G:$G, (MATCH(396, 輔助計算!$G$2:$G$801, 0)+1)),"0.##"),TEXT(INDEX(ERP資料!$G:$G, (MATCH(396, 輔助計算!$G$2:$G$801, 0)+1)),"0.##")&amp;"+"&amp;TEXT(INDEX(ERP資料!$G:$G, (MATCH(396, 輔助計算!$G$2:$G$801, 0)+1)),"0.##")&amp;"+"&amp;TEXT(INDEX(ERP資料!$G:$G, (MATCH(396, 輔助計算!$G$2:$G$801, 0)+1)),"0.##")))&amp;"-"&amp;INT(INDEX(輔助計算!$D:$D, (MATCH(396, 輔助計算!$G$2:$G$801, 0)+1))/IF(INDEX(ERP資料!$G:$G, (MATCH(396, 輔助計算!$G$2:$G$801, 0)+1))&lt;100, IF(INDEX(ERP資料!$G:$G, (MATCH(396, 輔助計算!$G$2:$G$801, 0)+1))&lt;=31,3,IF(INDEX(ERP資料!$G:$G, (MATCH(396, 輔助計算!$G$2:$G$801, 0)+1))&lt;=46.5,2,1)), IF(INDEX(ERP資料!$G:$G, (MATCH(396, 輔助計算!$G$2:$G$801, 0)+1))&lt;=790,3,IF(INDEX(ERP資料!$G:$G, (MATCH(396, 輔助計算!$G$2:$G$801, 0)+1))&lt;=1181,2,1)))), "")&amp;IF(AND(IF(INT(INDEX(輔助計算!$D:$D, (MATCH(396, 輔助計算!$G$2:$G$801, 0)+1))/IF(INDEX(ERP資料!$G:$G, (MATCH(396, 輔助計算!$G$2:$G$801, 0)+1))&lt;100, IF(INDEX(ERP資料!$G:$G, (MATCH(396, 輔助計算!$G$2:$G$801, 0)+1))&lt;=31,3,IF(INDEX(ERP資料!$G:$G, (MATCH(396, 輔助計算!$G$2:$G$801, 0)+1))&lt;=46.5,2,1)), IF(INDEX(ERP資料!$G:$G, (MATCH(396, 輔助計算!$G$2:$G$801, 0)+1))&lt;=790,3,IF(INDEX(ERP資料!$G:$G, (MATCH(396, 輔助計算!$G$2:$G$801, 0)+1))&lt;=1181,2,1))))&gt;0, IF(IF(INDEX(ERP資料!$G:$G, (MATCH(396, 輔助計算!$G$2:$G$801, 0)+1))&lt;100, IF(INDEX(ERP資料!$G:$G, (MATCH(396, 輔助計算!$G$2:$G$801, 0)+1))&lt;=31,3,IF(INDEX(ERP資料!$G:$G, (MATCH(396, 輔助計算!$G$2:$G$801, 0)+1))&lt;=46.5,2,1)), IF(INDEX(ERP資料!$G:$G, (MATCH(396, 輔助計算!$G$2:$G$801, 0)+1))&lt;=790,3,IF(INDEX(ERP資料!$G:$G, (MATCH(396, 輔助計算!$G$2:$G$801, 0)+1))&lt;=1181,2,1)))=1,TEXT(INDEX(ERP資料!$G:$G, (MATCH(396, 輔助計算!$G$2:$G$801, 0)+1)),"0.##"),IF(IF(INDEX(ERP資料!$G:$G, (MATCH(396, 輔助計算!$G$2:$G$801, 0)+1))&lt;100, IF(INDEX(ERP資料!$G:$G, (MATCH(396, 輔助計算!$G$2:$G$801, 0)+1))&lt;=31,3,IF(INDEX(ERP資料!$G:$G, (MATCH(396, 輔助計算!$G$2:$G$801, 0)+1))&lt;=46.5,2,1)), IF(INDEX(ERP資料!$G:$G, (MATCH(396, 輔助計算!$G$2:$G$801, 0)+1))&lt;=790,3,IF(INDEX(ERP資料!$G:$G, (MATCH(396, 輔助計算!$G$2:$G$801, 0)+1))&lt;=1181,2,1)))=2,TEXT(INDEX(ERP資料!$G:$G, (MATCH(396, 輔助計算!$G$2:$G$801, 0)+1)),"0.##")&amp;"+"&amp;TEXT(INDEX(ERP資料!$G:$G, (MATCH(396, 輔助計算!$G$2:$G$801, 0)+1)),"0.##"),TEXT(INDEX(ERP資料!$G:$G, (MATCH(396, 輔助計算!$G$2:$G$801, 0)+1)),"0.##")&amp;"+"&amp;TEXT(INDEX(ERP資料!$G:$G, (MATCH(396, 輔助計算!$G$2:$G$801, 0)+1)),"0.##")&amp;"+"&amp;TEXT(INDEX(ERP資料!$G:$G, (MATCH(396, 輔助計算!$G$2:$G$801, 0)+1)),"0.##")))&amp;"-"&amp;INT(INDEX(輔助計算!$D:$D, (MATCH(396, 輔助計算!$G$2:$G$801, 0)+1))/IF(INDEX(ERP資料!$G:$G, (MATCH(396, 輔助計算!$G$2:$G$801, 0)+1))&lt;100, IF(INDEX(ERP資料!$G:$G, (MATCH(396, 輔助計算!$G$2:$G$801, 0)+1))&lt;=31,3,IF(INDEX(ERP資料!$G:$G, (MATCH(396, 輔助計算!$G$2:$G$801, 0)+1))&lt;=46.5,2,1)), IF(INDEX(ERP資料!$G:$G, (MATCH(396, 輔助計算!$G$2:$G$801, 0)+1))&lt;=790,3,IF(INDEX(ERP資料!$G:$G, (MATCH(396, 輔助計算!$G$2:$G$801, 0)+1))&lt;=1181,2,1)))), "")&lt;&gt;"",IF(MOD(INDEX(輔助計算!$D:$D, (MATCH(396, 輔助計算!$G$2:$G$801, 0)+1)),IF(INDEX(ERP資料!$G:$G, (MATCH(396, 輔助計算!$G$2:$G$801, 0)+1))&lt;100, IF(INDEX(ERP資料!$G:$G, (MATCH(396, 輔助計算!$G$2:$G$801, 0)+1))&lt;=31,3,IF(INDEX(ERP資料!$G:$G, (MATCH(396, 輔助計算!$G$2:$G$801, 0)+1))&lt;=46.5,2,1)), IF(INDEX(ERP資料!$G:$G, (MATCH(396, 輔助計算!$G$2:$G$801, 0)+1))&lt;=790,3,IF(INDEX(ERP資料!$G:$G, (MATCH(396, 輔助計算!$G$2:$G$801, 0)+1))&lt;=1181,2,1))))=0,"",IF(MOD(INDEX(輔助計算!$D:$D, (MATCH(396, 輔助計算!$G$2:$G$801, 0)+1)),IF(INDEX(ERP資料!$G:$G, (MATCH(396, 輔助計算!$G$2:$G$801, 0)+1))&lt;100, IF(INDEX(ERP資料!$G:$G, (MATCH(396, 輔助計算!$G$2:$G$801, 0)+1))&lt;=31,3,IF(INDEX(ERP資料!$G:$G, (MATCH(396, 輔助計算!$G$2:$G$801, 0)+1))&lt;=46.5,2,1)), IF(INDEX(ERP資料!$G:$G, (MATCH(396, 輔助計算!$G$2:$G$801, 0)+1))&lt;=790,3,IF(INDEX(ERP資料!$G:$G, (MATCH(396, 輔助計算!$G$2:$G$801, 0)+1))&lt;=1181,2,1))))=0,"",IF(MOD(INDEX(輔助計算!$D:$D, (MATCH(396, 輔助計算!$G$2:$G$801, 0)+1)),IF(INDEX(ERP資料!$G:$G, (MATCH(396, 輔助計算!$G$2:$G$801, 0)+1))&lt;100, IF(INDEX(ERP資料!$G:$G, (MATCH(396, 輔助計算!$G$2:$G$801, 0)+1))&lt;=31,3,IF(INDEX(ERP資料!$G:$G, (MATCH(396, 輔助計算!$G$2:$G$801, 0)+1))&lt;=46.5,2,1)), IF(INDEX(ERP資料!$G:$G, (MATCH(396, 輔助計算!$G$2:$G$801, 0)+1))&lt;=790,3,IF(INDEX(ERP資料!$G:$G, (MATCH(396, 輔助計算!$G$2:$G$801, 0)+1))&lt;=1181,2,1))))=1,TEXT(INDEX(ERP資料!$G:$G, (MATCH(396, 輔助計算!$G$2:$G$801, 0)+1)),"0.##"),IF(MOD(INDEX(輔助計算!$D:$D, (MATCH(396, 輔助計算!$G$2:$G$801, 0)+1)),IF(INDEX(ERP資料!$G:$G, (MATCH(396, 輔助計算!$G$2:$G$801, 0)+1))&lt;100, IF(INDEX(ERP資料!$G:$G, (MATCH(396, 輔助計算!$G$2:$G$801, 0)+1))&lt;=31,3,IF(INDEX(ERP資料!$G:$G, (MATCH(396, 輔助計算!$G$2:$G$801, 0)+1))&lt;=46.5,2,1)), IF(INDEX(ERP資料!$G:$G, (MATCH(396, 輔助計算!$G$2:$G$801, 0)+1))&lt;=790,3,IF(INDEX(ERP資料!$G:$G, (MATCH(396, 輔助計算!$G$2:$G$801, 0)+1))&lt;=1181,2,1))))=2,TEXT(INDEX(ERP資料!$G:$G, (MATCH(396, 輔助計算!$G$2:$G$801, 0)+1)),"0.##")&amp;"+"&amp;TEXT(INDEX(ERP資料!$G:$G, (MATCH(396, 輔助計算!$G$2:$G$801, 0)+1)),"0.##"),TEXT(INDEX(ERP資料!$G:$G, (MATCH(396, 輔助計算!$G$2:$G$801, 0)+1)),"0.##")&amp;"+"&amp;TEXT(INDEX(ERP資料!$G:$G, (MATCH(396, 輔助計算!$G$2:$G$801, 0)+1)),"0.##")&amp;"+"&amp;TEXT(INDEX(ERP資料!$G:$G, (MATCH(396, 輔助計算!$G$2:$G$801, 0)+1)),"0.##"))))&amp;"-1")&lt;&gt;""),"  ","")&amp;IF(MOD(INDEX(輔助計算!$D:$D, (MATCH(396, 輔助計算!$G$2:$G$801, 0)+1)),IF(INDEX(ERP資料!$G:$G, (MATCH(396, 輔助計算!$G$2:$G$801, 0)+1))&lt;100, IF(INDEX(ERP資料!$G:$G, (MATCH(396, 輔助計算!$G$2:$G$801, 0)+1))&lt;=31,3,IF(INDEX(ERP資料!$G:$G, (MATCH(396, 輔助計算!$G$2:$G$801, 0)+1))&lt;=46.5,2,1)), IF(INDEX(ERP資料!$G:$G, (MATCH(396, 輔助計算!$G$2:$G$801, 0)+1))&lt;=790,3,IF(INDEX(ERP資料!$G:$G, (MATCH(396, 輔助計算!$G$2:$G$801, 0)+1))&lt;=1181,2,1))))=0,"",IF(MOD(INDEX(輔助計算!$D:$D, (MATCH(396, 輔助計算!$G$2:$G$801, 0)+1)),IF(INDEX(ERP資料!$G:$G, (MATCH(396, 輔助計算!$G$2:$G$801, 0)+1))&lt;100, IF(INDEX(ERP資料!$G:$G, (MATCH(396, 輔助計算!$G$2:$G$801, 0)+1))&lt;=31,3,IF(INDEX(ERP資料!$G:$G, (MATCH(396, 輔助計算!$G$2:$G$801, 0)+1))&lt;=46.5,2,1)), IF(INDEX(ERP資料!$G:$G, (MATCH(396, 輔助計算!$G$2:$G$801, 0)+1))&lt;=790,3,IF(INDEX(ERP資料!$G:$G, (MATCH(396, 輔助計算!$G$2:$G$801, 0)+1))&lt;=1181,2,1))))=0,"",IF(MOD(INDEX(輔助計算!$D:$D, (MATCH(396, 輔助計算!$G$2:$G$801, 0)+1)),IF(INDEX(ERP資料!$G:$G, (MATCH(396, 輔助計算!$G$2:$G$801, 0)+1))&lt;100, IF(INDEX(ERP資料!$G:$G, (MATCH(396, 輔助計算!$G$2:$G$801, 0)+1))&lt;=31,3,IF(INDEX(ERP資料!$G:$G, (MATCH(396, 輔助計算!$G$2:$G$801, 0)+1))&lt;=46.5,2,1)), IF(INDEX(ERP資料!$G:$G, (MATCH(396, 輔助計算!$G$2:$G$801, 0)+1))&lt;=790,3,IF(INDEX(ERP資料!$G:$G, (MATCH(396, 輔助計算!$G$2:$G$801, 0)+1))&lt;=1181,2,1))))=1,TEXT(INDEX(ERP資料!$G:$G, (MATCH(396, 輔助計算!$G$2:$G$801, 0)+1)),"0.##"),IF(MOD(INDEX(輔助計算!$D:$D, (MATCH(396, 輔助計算!$G$2:$G$801, 0)+1)),IF(INDEX(ERP資料!$G:$G, (MATCH(396, 輔助計算!$G$2:$G$801, 0)+1))&lt;100, IF(INDEX(ERP資料!$G:$G, (MATCH(396, 輔助計算!$G$2:$G$801, 0)+1))&lt;=31,3,IF(INDEX(ERP資料!$G:$G, (MATCH(396, 輔助計算!$G$2:$G$801, 0)+1))&lt;=46.5,2,1)), IF(INDEX(ERP資料!$G:$G, (MATCH(396, 輔助計算!$G$2:$G$801, 0)+1))&lt;=790,3,IF(INDEX(ERP資料!$G:$G, (MATCH(396, 輔助計算!$G$2:$G$801, 0)+1))&lt;=1181,2,1))))=2,TEXT(INDEX(ERP資料!$G:$G, (MATCH(396, 輔助計算!$G$2:$G$801, 0)+1)),"0.##")&amp;"+"&amp;TEXT(INDEX(ERP資料!$G:$G, (MATCH(396, 輔助計算!$G$2:$G$801, 0)+1)),"0.##"),TEXT(INDEX(ERP資料!$G:$G, (MATCH(396, 輔助計算!$G$2:$G$801, 0)+1)),"0.##")&amp;"+"&amp;TEXT(INDEX(ERP資料!$G:$G, (MATCH(396, 輔助計算!$G$2:$G$801, 0)+1)),"0.##")&amp;"+"&amp;TEXT(INDEX(ERP資料!$G:$G, (MATCH(396, 輔助計算!$G$2:$G$801, 0)+1)),"0.##"))))&amp;"-1")), ""), "")</f>
        <v/>
      </c>
      <c r="K397" s="16" t="n"/>
      <c r="L397" s="14">
        <f>IFERROR(IF(AND(IFERROR(INDEX(ERP資料!$A:$A, (MATCH(396, 輔助計算!$G$2:$G$801, 0)+1)), "")&lt;&gt;"", IFERROR(INDEX(ERP資料!$A:$A, (MATCH(396, 輔助計算!$G$2:$G$801, 0)+1)), "")&lt;&gt;IFERROR(INDEX(ERP資料!$A:$A, MATCH(395, 輔助計算!$G$2:$G$801, 0)+1), "")), INDEX(ERP資料!$B:$B, (MATCH(396, 輔助計算!$G$2:$G$801, 0)+1)), ""), "")</f>
        <v/>
      </c>
      <c r="M397" s="17" t="n"/>
    </row>
    <row r="398">
      <c r="A398" s="10">
        <f>IFERROR(IF(AND(IFERROR(INDEX(ERP資料!$A:$A, (MATCH(397, 輔助計算!$G$2:$G$801, 0)+1)), "")&lt;&gt;"", IFERROR(INDEX(ERP資料!$A:$A, (MATCH(397, 輔助計算!$G$2:$G$801, 0)+1)), "")&lt;&gt;IFERROR(INDEX(ERP資料!$A:$A, MATCH(396, 輔助計算!$G$2:$G$801, 0)+1), "")), IFERROR(INDEX(ERP資料!$A:$A, (MATCH(397, 輔助計算!$G$2:$G$801, 0)+1)), ""), ""), "")</f>
        <v/>
      </c>
      <c r="B398" s="10">
        <f>IFERROR(IF(AND(IFERROR(INDEX(ERP資料!$A:$A, (MATCH(397, 輔助計算!$G$2:$G$801, 0)+1)), "")&lt;&gt;"", IFERROR(INDEX(ERP資料!$A:$A, (MATCH(397, 輔助計算!$G$2:$G$801, 0)+1)), "")&lt;&gt;IFERROR(INDEX(ERP資料!$A:$A, MATCH(396, 輔助計算!$G$2:$G$801, 0)+1), "")), INDEX(ERP資料!$S:$S, (MATCH(397, 輔助計算!$G$2:$G$801, 0)+1)), ""), "")</f>
        <v/>
      </c>
      <c r="C398" s="19">
        <f>IFERROR(IF(AND(IFERROR(INDEX(ERP資料!$A:$A, (MATCH(397, 輔助計算!$G$2:$G$801, 0)+1)), "")&lt;&gt;"", IFERROR(INDEX(ERP資料!$A:$A, (MATCH(397, 輔助計算!$G$2:$G$801, 0)+1)), "")&lt;&gt;IFERROR(INDEX(ERP資料!$A:$A, MATCH(396, 輔助計算!$G$2:$G$801, 0)+1), "")), IFERROR(VLOOKUP(LEFT(INDEX(ERP資料!$S:$S, (MATCH(397, 輔助計算!$G$2:$G$801, 0)+1)), 4), 紙管對照表!$A:$C, 3, FALSE), ""), ""), "")</f>
        <v/>
      </c>
      <c r="D398" s="16" t="n"/>
      <c r="E398" s="10">
        <f>IFERROR(IF(INDEX(ERP資料!$H:$H, (MATCH(397, 輔助計算!$G$2:$G$801, 0)+1))="","",INDEX(ERP資料!$H:$H, (MATCH(397, 輔助計算!$G$2:$G$801, 0)+1))), "")</f>
        <v/>
      </c>
      <c r="F398" s="10">
        <f>IFERROR(IF(INDEX(ERP資料!$E:$E, (MATCH(397, 輔助計算!$G$2:$G$801, 0)+1))="","",TRIM(INDEX(ERP資料!$E:$E, (MATCH(397, 輔助計算!$G$2:$G$801, 0)+1)))), "")</f>
        <v/>
      </c>
      <c r="G398" s="10">
        <f>IFERROR(IF(INDEX(ERP資料!$F:$F, (MATCH(397, 輔助計算!$G$2:$G$801, 0)+1))="","",INDEX(ERP資料!$F:$F, (MATCH(397, 輔助計算!$G$2:$G$801, 0)+1))), "")</f>
        <v/>
      </c>
      <c r="H398" s="10">
        <f>IFERROR(IF(INDEX(ERP資料!$G:$G, (MATCH(397, 輔助計算!$G$2:$G$801, 0)+1))="","",INDEX(ERP資料!$G:$G, (MATCH(397, 輔助計算!$G$2:$G$801, 0)+1))), "")</f>
        <v/>
      </c>
      <c r="I398" s="15">
        <f>IFERROR(INDEX(輔助計算!$D:$D, (MATCH(397, 輔助計算!$G$2:$G$801, 0)+1)), "")</f>
        <v/>
      </c>
      <c r="J398" s="15">
        <f>IFERROR(IF(AND(INDEX(輔助計算!$D:$D, (MATCH(397, 輔助計算!$G$2:$G$801, 0)+1))&lt;&gt;"", INDEX(ERP資料!$G:$G, (MATCH(397, 輔助計算!$G$2:$G$801, 0)+1))&lt;&gt;""), TRIM(IF(INT(INDEX(輔助計算!$D:$D, (MATCH(397, 輔助計算!$G$2:$G$801, 0)+1))/IF(INDEX(ERP資料!$G:$G, (MATCH(397, 輔助計算!$G$2:$G$801, 0)+1))&lt;100, IF(INDEX(ERP資料!$G:$G, (MATCH(397, 輔助計算!$G$2:$G$801, 0)+1))&lt;=31,3,IF(INDEX(ERP資料!$G:$G, (MATCH(397, 輔助計算!$G$2:$G$801, 0)+1))&lt;=46.5,2,1)), IF(INDEX(ERP資料!$G:$G, (MATCH(397, 輔助計算!$G$2:$G$801, 0)+1))&lt;=790,3,IF(INDEX(ERP資料!$G:$G, (MATCH(397, 輔助計算!$G$2:$G$801, 0)+1))&lt;=1181,2,1))))&gt;0, IF(IF(INDEX(ERP資料!$G:$G, (MATCH(397, 輔助計算!$G$2:$G$801, 0)+1))&lt;100, IF(INDEX(ERP資料!$G:$G, (MATCH(397, 輔助計算!$G$2:$G$801, 0)+1))&lt;=31,3,IF(INDEX(ERP資料!$G:$G, (MATCH(397, 輔助計算!$G$2:$G$801, 0)+1))&lt;=46.5,2,1)), IF(INDEX(ERP資料!$G:$G, (MATCH(397, 輔助計算!$G$2:$G$801, 0)+1))&lt;=790,3,IF(INDEX(ERP資料!$G:$G, (MATCH(397, 輔助計算!$G$2:$G$801, 0)+1))&lt;=1181,2,1)))=1,TEXT(INDEX(ERP資料!$G:$G, (MATCH(397, 輔助計算!$G$2:$G$801, 0)+1)),"0.##"),IF(IF(INDEX(ERP資料!$G:$G, (MATCH(397, 輔助計算!$G$2:$G$801, 0)+1))&lt;100, IF(INDEX(ERP資料!$G:$G, (MATCH(397, 輔助計算!$G$2:$G$801, 0)+1))&lt;=31,3,IF(INDEX(ERP資料!$G:$G, (MATCH(397, 輔助計算!$G$2:$G$801, 0)+1))&lt;=46.5,2,1)), IF(INDEX(ERP資料!$G:$G, (MATCH(397, 輔助計算!$G$2:$G$801, 0)+1))&lt;=790,3,IF(INDEX(ERP資料!$G:$G, (MATCH(397, 輔助計算!$G$2:$G$801, 0)+1))&lt;=1181,2,1)))=2,TEXT(INDEX(ERP資料!$G:$G, (MATCH(397, 輔助計算!$G$2:$G$801, 0)+1)),"0.##")&amp;"+"&amp;TEXT(INDEX(ERP資料!$G:$G, (MATCH(397, 輔助計算!$G$2:$G$801, 0)+1)),"0.##"),TEXT(INDEX(ERP資料!$G:$G, (MATCH(397, 輔助計算!$G$2:$G$801, 0)+1)),"0.##")&amp;"+"&amp;TEXT(INDEX(ERP資料!$G:$G, (MATCH(397, 輔助計算!$G$2:$G$801, 0)+1)),"0.##")&amp;"+"&amp;TEXT(INDEX(ERP資料!$G:$G, (MATCH(397, 輔助計算!$G$2:$G$801, 0)+1)),"0.##")))&amp;"-"&amp;INT(INDEX(輔助計算!$D:$D, (MATCH(397, 輔助計算!$G$2:$G$801, 0)+1))/IF(INDEX(ERP資料!$G:$G, (MATCH(397, 輔助計算!$G$2:$G$801, 0)+1))&lt;100, IF(INDEX(ERP資料!$G:$G, (MATCH(397, 輔助計算!$G$2:$G$801, 0)+1))&lt;=31,3,IF(INDEX(ERP資料!$G:$G, (MATCH(397, 輔助計算!$G$2:$G$801, 0)+1))&lt;=46.5,2,1)), IF(INDEX(ERP資料!$G:$G, (MATCH(397, 輔助計算!$G$2:$G$801, 0)+1))&lt;=790,3,IF(INDEX(ERP資料!$G:$G, (MATCH(397, 輔助計算!$G$2:$G$801, 0)+1))&lt;=1181,2,1)))), "")&amp;IF(AND(IF(INT(INDEX(輔助計算!$D:$D, (MATCH(397, 輔助計算!$G$2:$G$801, 0)+1))/IF(INDEX(ERP資料!$G:$G, (MATCH(397, 輔助計算!$G$2:$G$801, 0)+1))&lt;100, IF(INDEX(ERP資料!$G:$G, (MATCH(397, 輔助計算!$G$2:$G$801, 0)+1))&lt;=31,3,IF(INDEX(ERP資料!$G:$G, (MATCH(397, 輔助計算!$G$2:$G$801, 0)+1))&lt;=46.5,2,1)), IF(INDEX(ERP資料!$G:$G, (MATCH(397, 輔助計算!$G$2:$G$801, 0)+1))&lt;=790,3,IF(INDEX(ERP資料!$G:$G, (MATCH(397, 輔助計算!$G$2:$G$801, 0)+1))&lt;=1181,2,1))))&gt;0, IF(IF(INDEX(ERP資料!$G:$G, (MATCH(397, 輔助計算!$G$2:$G$801, 0)+1))&lt;100, IF(INDEX(ERP資料!$G:$G, (MATCH(397, 輔助計算!$G$2:$G$801, 0)+1))&lt;=31,3,IF(INDEX(ERP資料!$G:$G, (MATCH(397, 輔助計算!$G$2:$G$801, 0)+1))&lt;=46.5,2,1)), IF(INDEX(ERP資料!$G:$G, (MATCH(397, 輔助計算!$G$2:$G$801, 0)+1))&lt;=790,3,IF(INDEX(ERP資料!$G:$G, (MATCH(397, 輔助計算!$G$2:$G$801, 0)+1))&lt;=1181,2,1)))=1,TEXT(INDEX(ERP資料!$G:$G, (MATCH(397, 輔助計算!$G$2:$G$801, 0)+1)),"0.##"),IF(IF(INDEX(ERP資料!$G:$G, (MATCH(397, 輔助計算!$G$2:$G$801, 0)+1))&lt;100, IF(INDEX(ERP資料!$G:$G, (MATCH(397, 輔助計算!$G$2:$G$801, 0)+1))&lt;=31,3,IF(INDEX(ERP資料!$G:$G, (MATCH(397, 輔助計算!$G$2:$G$801, 0)+1))&lt;=46.5,2,1)), IF(INDEX(ERP資料!$G:$G, (MATCH(397, 輔助計算!$G$2:$G$801, 0)+1))&lt;=790,3,IF(INDEX(ERP資料!$G:$G, (MATCH(397, 輔助計算!$G$2:$G$801, 0)+1))&lt;=1181,2,1)))=2,TEXT(INDEX(ERP資料!$G:$G, (MATCH(397, 輔助計算!$G$2:$G$801, 0)+1)),"0.##")&amp;"+"&amp;TEXT(INDEX(ERP資料!$G:$G, (MATCH(397, 輔助計算!$G$2:$G$801, 0)+1)),"0.##"),TEXT(INDEX(ERP資料!$G:$G, (MATCH(397, 輔助計算!$G$2:$G$801, 0)+1)),"0.##")&amp;"+"&amp;TEXT(INDEX(ERP資料!$G:$G, (MATCH(397, 輔助計算!$G$2:$G$801, 0)+1)),"0.##")&amp;"+"&amp;TEXT(INDEX(ERP資料!$G:$G, (MATCH(397, 輔助計算!$G$2:$G$801, 0)+1)),"0.##")))&amp;"-"&amp;INT(INDEX(輔助計算!$D:$D, (MATCH(397, 輔助計算!$G$2:$G$801, 0)+1))/IF(INDEX(ERP資料!$G:$G, (MATCH(397, 輔助計算!$G$2:$G$801, 0)+1))&lt;100, IF(INDEX(ERP資料!$G:$G, (MATCH(397, 輔助計算!$G$2:$G$801, 0)+1))&lt;=31,3,IF(INDEX(ERP資料!$G:$G, (MATCH(397, 輔助計算!$G$2:$G$801, 0)+1))&lt;=46.5,2,1)), IF(INDEX(ERP資料!$G:$G, (MATCH(397, 輔助計算!$G$2:$G$801, 0)+1))&lt;=790,3,IF(INDEX(ERP資料!$G:$G, (MATCH(397, 輔助計算!$G$2:$G$801, 0)+1))&lt;=1181,2,1)))), "")&lt;&gt;"",IF(MOD(INDEX(輔助計算!$D:$D, (MATCH(397, 輔助計算!$G$2:$G$801, 0)+1)),IF(INDEX(ERP資料!$G:$G, (MATCH(397, 輔助計算!$G$2:$G$801, 0)+1))&lt;100, IF(INDEX(ERP資料!$G:$G, (MATCH(397, 輔助計算!$G$2:$G$801, 0)+1))&lt;=31,3,IF(INDEX(ERP資料!$G:$G, (MATCH(397, 輔助計算!$G$2:$G$801, 0)+1))&lt;=46.5,2,1)), IF(INDEX(ERP資料!$G:$G, (MATCH(397, 輔助計算!$G$2:$G$801, 0)+1))&lt;=790,3,IF(INDEX(ERP資料!$G:$G, (MATCH(397, 輔助計算!$G$2:$G$801, 0)+1))&lt;=1181,2,1))))=0,"",IF(MOD(INDEX(輔助計算!$D:$D, (MATCH(397, 輔助計算!$G$2:$G$801, 0)+1)),IF(INDEX(ERP資料!$G:$G, (MATCH(397, 輔助計算!$G$2:$G$801, 0)+1))&lt;100, IF(INDEX(ERP資料!$G:$G, (MATCH(397, 輔助計算!$G$2:$G$801, 0)+1))&lt;=31,3,IF(INDEX(ERP資料!$G:$G, (MATCH(397, 輔助計算!$G$2:$G$801, 0)+1))&lt;=46.5,2,1)), IF(INDEX(ERP資料!$G:$G, (MATCH(397, 輔助計算!$G$2:$G$801, 0)+1))&lt;=790,3,IF(INDEX(ERP資料!$G:$G, (MATCH(397, 輔助計算!$G$2:$G$801, 0)+1))&lt;=1181,2,1))))=0,"",IF(MOD(INDEX(輔助計算!$D:$D, (MATCH(397, 輔助計算!$G$2:$G$801, 0)+1)),IF(INDEX(ERP資料!$G:$G, (MATCH(397, 輔助計算!$G$2:$G$801, 0)+1))&lt;100, IF(INDEX(ERP資料!$G:$G, (MATCH(397, 輔助計算!$G$2:$G$801, 0)+1))&lt;=31,3,IF(INDEX(ERP資料!$G:$G, (MATCH(397, 輔助計算!$G$2:$G$801, 0)+1))&lt;=46.5,2,1)), IF(INDEX(ERP資料!$G:$G, (MATCH(397, 輔助計算!$G$2:$G$801, 0)+1))&lt;=790,3,IF(INDEX(ERP資料!$G:$G, (MATCH(397, 輔助計算!$G$2:$G$801, 0)+1))&lt;=1181,2,1))))=1,TEXT(INDEX(ERP資料!$G:$G, (MATCH(397, 輔助計算!$G$2:$G$801, 0)+1)),"0.##"),IF(MOD(INDEX(輔助計算!$D:$D, (MATCH(397, 輔助計算!$G$2:$G$801, 0)+1)),IF(INDEX(ERP資料!$G:$G, (MATCH(397, 輔助計算!$G$2:$G$801, 0)+1))&lt;100, IF(INDEX(ERP資料!$G:$G, (MATCH(397, 輔助計算!$G$2:$G$801, 0)+1))&lt;=31,3,IF(INDEX(ERP資料!$G:$G, (MATCH(397, 輔助計算!$G$2:$G$801, 0)+1))&lt;=46.5,2,1)), IF(INDEX(ERP資料!$G:$G, (MATCH(397, 輔助計算!$G$2:$G$801, 0)+1))&lt;=790,3,IF(INDEX(ERP資料!$G:$G, (MATCH(397, 輔助計算!$G$2:$G$801, 0)+1))&lt;=1181,2,1))))=2,TEXT(INDEX(ERP資料!$G:$G, (MATCH(397, 輔助計算!$G$2:$G$801, 0)+1)),"0.##")&amp;"+"&amp;TEXT(INDEX(ERP資料!$G:$G, (MATCH(397, 輔助計算!$G$2:$G$801, 0)+1)),"0.##"),TEXT(INDEX(ERP資料!$G:$G, (MATCH(397, 輔助計算!$G$2:$G$801, 0)+1)),"0.##")&amp;"+"&amp;TEXT(INDEX(ERP資料!$G:$G, (MATCH(397, 輔助計算!$G$2:$G$801, 0)+1)),"0.##")&amp;"+"&amp;TEXT(INDEX(ERP資料!$G:$G, (MATCH(397, 輔助計算!$G$2:$G$801, 0)+1)),"0.##"))))&amp;"-1")&lt;&gt;""),"  ","")&amp;IF(MOD(INDEX(輔助計算!$D:$D, (MATCH(397, 輔助計算!$G$2:$G$801, 0)+1)),IF(INDEX(ERP資料!$G:$G, (MATCH(397, 輔助計算!$G$2:$G$801, 0)+1))&lt;100, IF(INDEX(ERP資料!$G:$G, (MATCH(397, 輔助計算!$G$2:$G$801, 0)+1))&lt;=31,3,IF(INDEX(ERP資料!$G:$G, (MATCH(397, 輔助計算!$G$2:$G$801, 0)+1))&lt;=46.5,2,1)), IF(INDEX(ERP資料!$G:$G, (MATCH(397, 輔助計算!$G$2:$G$801, 0)+1))&lt;=790,3,IF(INDEX(ERP資料!$G:$G, (MATCH(397, 輔助計算!$G$2:$G$801, 0)+1))&lt;=1181,2,1))))=0,"",IF(MOD(INDEX(輔助計算!$D:$D, (MATCH(397, 輔助計算!$G$2:$G$801, 0)+1)),IF(INDEX(ERP資料!$G:$G, (MATCH(397, 輔助計算!$G$2:$G$801, 0)+1))&lt;100, IF(INDEX(ERP資料!$G:$G, (MATCH(397, 輔助計算!$G$2:$G$801, 0)+1))&lt;=31,3,IF(INDEX(ERP資料!$G:$G, (MATCH(397, 輔助計算!$G$2:$G$801, 0)+1))&lt;=46.5,2,1)), IF(INDEX(ERP資料!$G:$G, (MATCH(397, 輔助計算!$G$2:$G$801, 0)+1))&lt;=790,3,IF(INDEX(ERP資料!$G:$G, (MATCH(397, 輔助計算!$G$2:$G$801, 0)+1))&lt;=1181,2,1))))=0,"",IF(MOD(INDEX(輔助計算!$D:$D, (MATCH(397, 輔助計算!$G$2:$G$801, 0)+1)),IF(INDEX(ERP資料!$G:$G, (MATCH(397, 輔助計算!$G$2:$G$801, 0)+1))&lt;100, IF(INDEX(ERP資料!$G:$G, (MATCH(397, 輔助計算!$G$2:$G$801, 0)+1))&lt;=31,3,IF(INDEX(ERP資料!$G:$G, (MATCH(397, 輔助計算!$G$2:$G$801, 0)+1))&lt;=46.5,2,1)), IF(INDEX(ERP資料!$G:$G, (MATCH(397, 輔助計算!$G$2:$G$801, 0)+1))&lt;=790,3,IF(INDEX(ERP資料!$G:$G, (MATCH(397, 輔助計算!$G$2:$G$801, 0)+1))&lt;=1181,2,1))))=1,TEXT(INDEX(ERP資料!$G:$G, (MATCH(397, 輔助計算!$G$2:$G$801, 0)+1)),"0.##"),IF(MOD(INDEX(輔助計算!$D:$D, (MATCH(397, 輔助計算!$G$2:$G$801, 0)+1)),IF(INDEX(ERP資料!$G:$G, (MATCH(397, 輔助計算!$G$2:$G$801, 0)+1))&lt;100, IF(INDEX(ERP資料!$G:$G, (MATCH(397, 輔助計算!$G$2:$G$801, 0)+1))&lt;=31,3,IF(INDEX(ERP資料!$G:$G, (MATCH(397, 輔助計算!$G$2:$G$801, 0)+1))&lt;=46.5,2,1)), IF(INDEX(ERP資料!$G:$G, (MATCH(397, 輔助計算!$G$2:$G$801, 0)+1))&lt;=790,3,IF(INDEX(ERP資料!$G:$G, (MATCH(397, 輔助計算!$G$2:$G$801, 0)+1))&lt;=1181,2,1))))=2,TEXT(INDEX(ERP資料!$G:$G, (MATCH(397, 輔助計算!$G$2:$G$801, 0)+1)),"0.##")&amp;"+"&amp;TEXT(INDEX(ERP資料!$G:$G, (MATCH(397, 輔助計算!$G$2:$G$801, 0)+1)),"0.##"),TEXT(INDEX(ERP資料!$G:$G, (MATCH(397, 輔助計算!$G$2:$G$801, 0)+1)),"0.##")&amp;"+"&amp;TEXT(INDEX(ERP資料!$G:$G, (MATCH(397, 輔助計算!$G$2:$G$801, 0)+1)),"0.##")&amp;"+"&amp;TEXT(INDEX(ERP資料!$G:$G, (MATCH(397, 輔助計算!$G$2:$G$801, 0)+1)),"0.##"))))&amp;"-1")), ""), "")</f>
        <v/>
      </c>
      <c r="K398" s="16" t="n"/>
      <c r="L398" s="14">
        <f>IFERROR(IF(AND(IFERROR(INDEX(ERP資料!$A:$A, (MATCH(397, 輔助計算!$G$2:$G$801, 0)+1)), "")&lt;&gt;"", IFERROR(INDEX(ERP資料!$A:$A, (MATCH(397, 輔助計算!$G$2:$G$801, 0)+1)), "")&lt;&gt;IFERROR(INDEX(ERP資料!$A:$A, MATCH(396, 輔助計算!$G$2:$G$801, 0)+1), "")), INDEX(ERP資料!$B:$B, (MATCH(397, 輔助計算!$G$2:$G$801, 0)+1)), ""), "")</f>
        <v/>
      </c>
      <c r="M398" s="17" t="n"/>
    </row>
    <row r="399">
      <c r="A399" s="10">
        <f>IFERROR(IF(AND(IFERROR(INDEX(ERP資料!$A:$A, (MATCH(398, 輔助計算!$G$2:$G$801, 0)+1)), "")&lt;&gt;"", IFERROR(INDEX(ERP資料!$A:$A, (MATCH(398, 輔助計算!$G$2:$G$801, 0)+1)), "")&lt;&gt;IFERROR(INDEX(ERP資料!$A:$A, MATCH(397, 輔助計算!$G$2:$G$801, 0)+1), "")), IFERROR(INDEX(ERP資料!$A:$A, (MATCH(398, 輔助計算!$G$2:$G$801, 0)+1)), ""), ""), "")</f>
        <v/>
      </c>
      <c r="B399" s="10">
        <f>IFERROR(IF(AND(IFERROR(INDEX(ERP資料!$A:$A, (MATCH(398, 輔助計算!$G$2:$G$801, 0)+1)), "")&lt;&gt;"", IFERROR(INDEX(ERP資料!$A:$A, (MATCH(398, 輔助計算!$G$2:$G$801, 0)+1)), "")&lt;&gt;IFERROR(INDEX(ERP資料!$A:$A, MATCH(397, 輔助計算!$G$2:$G$801, 0)+1), "")), INDEX(ERP資料!$S:$S, (MATCH(398, 輔助計算!$G$2:$G$801, 0)+1)), ""), "")</f>
        <v/>
      </c>
      <c r="C399" s="19">
        <f>IFERROR(IF(AND(IFERROR(INDEX(ERP資料!$A:$A, (MATCH(398, 輔助計算!$G$2:$G$801, 0)+1)), "")&lt;&gt;"", IFERROR(INDEX(ERP資料!$A:$A, (MATCH(398, 輔助計算!$G$2:$G$801, 0)+1)), "")&lt;&gt;IFERROR(INDEX(ERP資料!$A:$A, MATCH(397, 輔助計算!$G$2:$G$801, 0)+1), "")), IFERROR(VLOOKUP(LEFT(INDEX(ERP資料!$S:$S, (MATCH(398, 輔助計算!$G$2:$G$801, 0)+1)), 4), 紙管對照表!$A:$C, 3, FALSE), ""), ""), "")</f>
        <v/>
      </c>
      <c r="D399" s="16" t="n"/>
      <c r="E399" s="10">
        <f>IFERROR(IF(INDEX(ERP資料!$H:$H, (MATCH(398, 輔助計算!$G$2:$G$801, 0)+1))="","",INDEX(ERP資料!$H:$H, (MATCH(398, 輔助計算!$G$2:$G$801, 0)+1))), "")</f>
        <v/>
      </c>
      <c r="F399" s="10">
        <f>IFERROR(IF(INDEX(ERP資料!$E:$E, (MATCH(398, 輔助計算!$G$2:$G$801, 0)+1))="","",TRIM(INDEX(ERP資料!$E:$E, (MATCH(398, 輔助計算!$G$2:$G$801, 0)+1)))), "")</f>
        <v/>
      </c>
      <c r="G399" s="10">
        <f>IFERROR(IF(INDEX(ERP資料!$F:$F, (MATCH(398, 輔助計算!$G$2:$G$801, 0)+1))="","",INDEX(ERP資料!$F:$F, (MATCH(398, 輔助計算!$G$2:$G$801, 0)+1))), "")</f>
        <v/>
      </c>
      <c r="H399" s="10">
        <f>IFERROR(IF(INDEX(ERP資料!$G:$G, (MATCH(398, 輔助計算!$G$2:$G$801, 0)+1))="","",INDEX(ERP資料!$G:$G, (MATCH(398, 輔助計算!$G$2:$G$801, 0)+1))), "")</f>
        <v/>
      </c>
      <c r="I399" s="15">
        <f>IFERROR(INDEX(輔助計算!$D:$D, (MATCH(398, 輔助計算!$G$2:$G$801, 0)+1)), "")</f>
        <v/>
      </c>
      <c r="J399" s="15">
        <f>IFERROR(IF(AND(INDEX(輔助計算!$D:$D, (MATCH(398, 輔助計算!$G$2:$G$801, 0)+1))&lt;&gt;"", INDEX(ERP資料!$G:$G, (MATCH(398, 輔助計算!$G$2:$G$801, 0)+1))&lt;&gt;""), TRIM(IF(INT(INDEX(輔助計算!$D:$D, (MATCH(398, 輔助計算!$G$2:$G$801, 0)+1))/IF(INDEX(ERP資料!$G:$G, (MATCH(398, 輔助計算!$G$2:$G$801, 0)+1))&lt;100, IF(INDEX(ERP資料!$G:$G, (MATCH(398, 輔助計算!$G$2:$G$801, 0)+1))&lt;=31,3,IF(INDEX(ERP資料!$G:$G, (MATCH(398, 輔助計算!$G$2:$G$801, 0)+1))&lt;=46.5,2,1)), IF(INDEX(ERP資料!$G:$G, (MATCH(398, 輔助計算!$G$2:$G$801, 0)+1))&lt;=790,3,IF(INDEX(ERP資料!$G:$G, (MATCH(398, 輔助計算!$G$2:$G$801, 0)+1))&lt;=1181,2,1))))&gt;0, IF(IF(INDEX(ERP資料!$G:$G, (MATCH(398, 輔助計算!$G$2:$G$801, 0)+1))&lt;100, IF(INDEX(ERP資料!$G:$G, (MATCH(398, 輔助計算!$G$2:$G$801, 0)+1))&lt;=31,3,IF(INDEX(ERP資料!$G:$G, (MATCH(398, 輔助計算!$G$2:$G$801, 0)+1))&lt;=46.5,2,1)), IF(INDEX(ERP資料!$G:$G, (MATCH(398, 輔助計算!$G$2:$G$801, 0)+1))&lt;=790,3,IF(INDEX(ERP資料!$G:$G, (MATCH(398, 輔助計算!$G$2:$G$801, 0)+1))&lt;=1181,2,1)))=1,TEXT(INDEX(ERP資料!$G:$G, (MATCH(398, 輔助計算!$G$2:$G$801, 0)+1)),"0.##"),IF(IF(INDEX(ERP資料!$G:$G, (MATCH(398, 輔助計算!$G$2:$G$801, 0)+1))&lt;100, IF(INDEX(ERP資料!$G:$G, (MATCH(398, 輔助計算!$G$2:$G$801, 0)+1))&lt;=31,3,IF(INDEX(ERP資料!$G:$G, (MATCH(398, 輔助計算!$G$2:$G$801, 0)+1))&lt;=46.5,2,1)), IF(INDEX(ERP資料!$G:$G, (MATCH(398, 輔助計算!$G$2:$G$801, 0)+1))&lt;=790,3,IF(INDEX(ERP資料!$G:$G, (MATCH(398, 輔助計算!$G$2:$G$801, 0)+1))&lt;=1181,2,1)))=2,TEXT(INDEX(ERP資料!$G:$G, (MATCH(398, 輔助計算!$G$2:$G$801, 0)+1)),"0.##")&amp;"+"&amp;TEXT(INDEX(ERP資料!$G:$G, (MATCH(398, 輔助計算!$G$2:$G$801, 0)+1)),"0.##"),TEXT(INDEX(ERP資料!$G:$G, (MATCH(398, 輔助計算!$G$2:$G$801, 0)+1)),"0.##")&amp;"+"&amp;TEXT(INDEX(ERP資料!$G:$G, (MATCH(398, 輔助計算!$G$2:$G$801, 0)+1)),"0.##")&amp;"+"&amp;TEXT(INDEX(ERP資料!$G:$G, (MATCH(398, 輔助計算!$G$2:$G$801, 0)+1)),"0.##")))&amp;"-"&amp;INT(INDEX(輔助計算!$D:$D, (MATCH(398, 輔助計算!$G$2:$G$801, 0)+1))/IF(INDEX(ERP資料!$G:$G, (MATCH(398, 輔助計算!$G$2:$G$801, 0)+1))&lt;100, IF(INDEX(ERP資料!$G:$G, (MATCH(398, 輔助計算!$G$2:$G$801, 0)+1))&lt;=31,3,IF(INDEX(ERP資料!$G:$G, (MATCH(398, 輔助計算!$G$2:$G$801, 0)+1))&lt;=46.5,2,1)), IF(INDEX(ERP資料!$G:$G, (MATCH(398, 輔助計算!$G$2:$G$801, 0)+1))&lt;=790,3,IF(INDEX(ERP資料!$G:$G, (MATCH(398, 輔助計算!$G$2:$G$801, 0)+1))&lt;=1181,2,1)))), "")&amp;IF(AND(IF(INT(INDEX(輔助計算!$D:$D, (MATCH(398, 輔助計算!$G$2:$G$801, 0)+1))/IF(INDEX(ERP資料!$G:$G, (MATCH(398, 輔助計算!$G$2:$G$801, 0)+1))&lt;100, IF(INDEX(ERP資料!$G:$G, (MATCH(398, 輔助計算!$G$2:$G$801, 0)+1))&lt;=31,3,IF(INDEX(ERP資料!$G:$G, (MATCH(398, 輔助計算!$G$2:$G$801, 0)+1))&lt;=46.5,2,1)), IF(INDEX(ERP資料!$G:$G, (MATCH(398, 輔助計算!$G$2:$G$801, 0)+1))&lt;=790,3,IF(INDEX(ERP資料!$G:$G, (MATCH(398, 輔助計算!$G$2:$G$801, 0)+1))&lt;=1181,2,1))))&gt;0, IF(IF(INDEX(ERP資料!$G:$G, (MATCH(398, 輔助計算!$G$2:$G$801, 0)+1))&lt;100, IF(INDEX(ERP資料!$G:$G, (MATCH(398, 輔助計算!$G$2:$G$801, 0)+1))&lt;=31,3,IF(INDEX(ERP資料!$G:$G, (MATCH(398, 輔助計算!$G$2:$G$801, 0)+1))&lt;=46.5,2,1)), IF(INDEX(ERP資料!$G:$G, (MATCH(398, 輔助計算!$G$2:$G$801, 0)+1))&lt;=790,3,IF(INDEX(ERP資料!$G:$G, (MATCH(398, 輔助計算!$G$2:$G$801, 0)+1))&lt;=1181,2,1)))=1,TEXT(INDEX(ERP資料!$G:$G, (MATCH(398, 輔助計算!$G$2:$G$801, 0)+1)),"0.##"),IF(IF(INDEX(ERP資料!$G:$G, (MATCH(398, 輔助計算!$G$2:$G$801, 0)+1))&lt;100, IF(INDEX(ERP資料!$G:$G, (MATCH(398, 輔助計算!$G$2:$G$801, 0)+1))&lt;=31,3,IF(INDEX(ERP資料!$G:$G, (MATCH(398, 輔助計算!$G$2:$G$801, 0)+1))&lt;=46.5,2,1)), IF(INDEX(ERP資料!$G:$G, (MATCH(398, 輔助計算!$G$2:$G$801, 0)+1))&lt;=790,3,IF(INDEX(ERP資料!$G:$G, (MATCH(398, 輔助計算!$G$2:$G$801, 0)+1))&lt;=1181,2,1)))=2,TEXT(INDEX(ERP資料!$G:$G, (MATCH(398, 輔助計算!$G$2:$G$801, 0)+1)),"0.##")&amp;"+"&amp;TEXT(INDEX(ERP資料!$G:$G, (MATCH(398, 輔助計算!$G$2:$G$801, 0)+1)),"0.##"),TEXT(INDEX(ERP資料!$G:$G, (MATCH(398, 輔助計算!$G$2:$G$801, 0)+1)),"0.##")&amp;"+"&amp;TEXT(INDEX(ERP資料!$G:$G, (MATCH(398, 輔助計算!$G$2:$G$801, 0)+1)),"0.##")&amp;"+"&amp;TEXT(INDEX(ERP資料!$G:$G, (MATCH(398, 輔助計算!$G$2:$G$801, 0)+1)),"0.##")))&amp;"-"&amp;INT(INDEX(輔助計算!$D:$D, (MATCH(398, 輔助計算!$G$2:$G$801, 0)+1))/IF(INDEX(ERP資料!$G:$G, (MATCH(398, 輔助計算!$G$2:$G$801, 0)+1))&lt;100, IF(INDEX(ERP資料!$G:$G, (MATCH(398, 輔助計算!$G$2:$G$801, 0)+1))&lt;=31,3,IF(INDEX(ERP資料!$G:$G, (MATCH(398, 輔助計算!$G$2:$G$801, 0)+1))&lt;=46.5,2,1)), IF(INDEX(ERP資料!$G:$G, (MATCH(398, 輔助計算!$G$2:$G$801, 0)+1))&lt;=790,3,IF(INDEX(ERP資料!$G:$G, (MATCH(398, 輔助計算!$G$2:$G$801, 0)+1))&lt;=1181,2,1)))), "")&lt;&gt;"",IF(MOD(INDEX(輔助計算!$D:$D, (MATCH(398, 輔助計算!$G$2:$G$801, 0)+1)),IF(INDEX(ERP資料!$G:$G, (MATCH(398, 輔助計算!$G$2:$G$801, 0)+1))&lt;100, IF(INDEX(ERP資料!$G:$G, (MATCH(398, 輔助計算!$G$2:$G$801, 0)+1))&lt;=31,3,IF(INDEX(ERP資料!$G:$G, (MATCH(398, 輔助計算!$G$2:$G$801, 0)+1))&lt;=46.5,2,1)), IF(INDEX(ERP資料!$G:$G, (MATCH(398, 輔助計算!$G$2:$G$801, 0)+1))&lt;=790,3,IF(INDEX(ERP資料!$G:$G, (MATCH(398, 輔助計算!$G$2:$G$801, 0)+1))&lt;=1181,2,1))))=0,"",IF(MOD(INDEX(輔助計算!$D:$D, (MATCH(398, 輔助計算!$G$2:$G$801, 0)+1)),IF(INDEX(ERP資料!$G:$G, (MATCH(398, 輔助計算!$G$2:$G$801, 0)+1))&lt;100, IF(INDEX(ERP資料!$G:$G, (MATCH(398, 輔助計算!$G$2:$G$801, 0)+1))&lt;=31,3,IF(INDEX(ERP資料!$G:$G, (MATCH(398, 輔助計算!$G$2:$G$801, 0)+1))&lt;=46.5,2,1)), IF(INDEX(ERP資料!$G:$G, (MATCH(398, 輔助計算!$G$2:$G$801, 0)+1))&lt;=790,3,IF(INDEX(ERP資料!$G:$G, (MATCH(398, 輔助計算!$G$2:$G$801, 0)+1))&lt;=1181,2,1))))=0,"",IF(MOD(INDEX(輔助計算!$D:$D, (MATCH(398, 輔助計算!$G$2:$G$801, 0)+1)),IF(INDEX(ERP資料!$G:$G, (MATCH(398, 輔助計算!$G$2:$G$801, 0)+1))&lt;100, IF(INDEX(ERP資料!$G:$G, (MATCH(398, 輔助計算!$G$2:$G$801, 0)+1))&lt;=31,3,IF(INDEX(ERP資料!$G:$G, (MATCH(398, 輔助計算!$G$2:$G$801, 0)+1))&lt;=46.5,2,1)), IF(INDEX(ERP資料!$G:$G, (MATCH(398, 輔助計算!$G$2:$G$801, 0)+1))&lt;=790,3,IF(INDEX(ERP資料!$G:$G, (MATCH(398, 輔助計算!$G$2:$G$801, 0)+1))&lt;=1181,2,1))))=1,TEXT(INDEX(ERP資料!$G:$G, (MATCH(398, 輔助計算!$G$2:$G$801, 0)+1)),"0.##"),IF(MOD(INDEX(輔助計算!$D:$D, (MATCH(398, 輔助計算!$G$2:$G$801, 0)+1)),IF(INDEX(ERP資料!$G:$G, (MATCH(398, 輔助計算!$G$2:$G$801, 0)+1))&lt;100, IF(INDEX(ERP資料!$G:$G, (MATCH(398, 輔助計算!$G$2:$G$801, 0)+1))&lt;=31,3,IF(INDEX(ERP資料!$G:$G, (MATCH(398, 輔助計算!$G$2:$G$801, 0)+1))&lt;=46.5,2,1)), IF(INDEX(ERP資料!$G:$G, (MATCH(398, 輔助計算!$G$2:$G$801, 0)+1))&lt;=790,3,IF(INDEX(ERP資料!$G:$G, (MATCH(398, 輔助計算!$G$2:$G$801, 0)+1))&lt;=1181,2,1))))=2,TEXT(INDEX(ERP資料!$G:$G, (MATCH(398, 輔助計算!$G$2:$G$801, 0)+1)),"0.##")&amp;"+"&amp;TEXT(INDEX(ERP資料!$G:$G, (MATCH(398, 輔助計算!$G$2:$G$801, 0)+1)),"0.##"),TEXT(INDEX(ERP資料!$G:$G, (MATCH(398, 輔助計算!$G$2:$G$801, 0)+1)),"0.##")&amp;"+"&amp;TEXT(INDEX(ERP資料!$G:$G, (MATCH(398, 輔助計算!$G$2:$G$801, 0)+1)),"0.##")&amp;"+"&amp;TEXT(INDEX(ERP資料!$G:$G, (MATCH(398, 輔助計算!$G$2:$G$801, 0)+1)),"0.##"))))&amp;"-1")&lt;&gt;""),"  ","")&amp;IF(MOD(INDEX(輔助計算!$D:$D, (MATCH(398, 輔助計算!$G$2:$G$801, 0)+1)),IF(INDEX(ERP資料!$G:$G, (MATCH(398, 輔助計算!$G$2:$G$801, 0)+1))&lt;100, IF(INDEX(ERP資料!$G:$G, (MATCH(398, 輔助計算!$G$2:$G$801, 0)+1))&lt;=31,3,IF(INDEX(ERP資料!$G:$G, (MATCH(398, 輔助計算!$G$2:$G$801, 0)+1))&lt;=46.5,2,1)), IF(INDEX(ERP資料!$G:$G, (MATCH(398, 輔助計算!$G$2:$G$801, 0)+1))&lt;=790,3,IF(INDEX(ERP資料!$G:$G, (MATCH(398, 輔助計算!$G$2:$G$801, 0)+1))&lt;=1181,2,1))))=0,"",IF(MOD(INDEX(輔助計算!$D:$D, (MATCH(398, 輔助計算!$G$2:$G$801, 0)+1)),IF(INDEX(ERP資料!$G:$G, (MATCH(398, 輔助計算!$G$2:$G$801, 0)+1))&lt;100, IF(INDEX(ERP資料!$G:$G, (MATCH(398, 輔助計算!$G$2:$G$801, 0)+1))&lt;=31,3,IF(INDEX(ERP資料!$G:$G, (MATCH(398, 輔助計算!$G$2:$G$801, 0)+1))&lt;=46.5,2,1)), IF(INDEX(ERP資料!$G:$G, (MATCH(398, 輔助計算!$G$2:$G$801, 0)+1))&lt;=790,3,IF(INDEX(ERP資料!$G:$G, (MATCH(398, 輔助計算!$G$2:$G$801, 0)+1))&lt;=1181,2,1))))=0,"",IF(MOD(INDEX(輔助計算!$D:$D, (MATCH(398, 輔助計算!$G$2:$G$801, 0)+1)),IF(INDEX(ERP資料!$G:$G, (MATCH(398, 輔助計算!$G$2:$G$801, 0)+1))&lt;100, IF(INDEX(ERP資料!$G:$G, (MATCH(398, 輔助計算!$G$2:$G$801, 0)+1))&lt;=31,3,IF(INDEX(ERP資料!$G:$G, (MATCH(398, 輔助計算!$G$2:$G$801, 0)+1))&lt;=46.5,2,1)), IF(INDEX(ERP資料!$G:$G, (MATCH(398, 輔助計算!$G$2:$G$801, 0)+1))&lt;=790,3,IF(INDEX(ERP資料!$G:$G, (MATCH(398, 輔助計算!$G$2:$G$801, 0)+1))&lt;=1181,2,1))))=1,TEXT(INDEX(ERP資料!$G:$G, (MATCH(398, 輔助計算!$G$2:$G$801, 0)+1)),"0.##"),IF(MOD(INDEX(輔助計算!$D:$D, (MATCH(398, 輔助計算!$G$2:$G$801, 0)+1)),IF(INDEX(ERP資料!$G:$G, (MATCH(398, 輔助計算!$G$2:$G$801, 0)+1))&lt;100, IF(INDEX(ERP資料!$G:$G, (MATCH(398, 輔助計算!$G$2:$G$801, 0)+1))&lt;=31,3,IF(INDEX(ERP資料!$G:$G, (MATCH(398, 輔助計算!$G$2:$G$801, 0)+1))&lt;=46.5,2,1)), IF(INDEX(ERP資料!$G:$G, (MATCH(398, 輔助計算!$G$2:$G$801, 0)+1))&lt;=790,3,IF(INDEX(ERP資料!$G:$G, (MATCH(398, 輔助計算!$G$2:$G$801, 0)+1))&lt;=1181,2,1))))=2,TEXT(INDEX(ERP資料!$G:$G, (MATCH(398, 輔助計算!$G$2:$G$801, 0)+1)),"0.##")&amp;"+"&amp;TEXT(INDEX(ERP資料!$G:$G, (MATCH(398, 輔助計算!$G$2:$G$801, 0)+1)),"0.##"),TEXT(INDEX(ERP資料!$G:$G, (MATCH(398, 輔助計算!$G$2:$G$801, 0)+1)),"0.##")&amp;"+"&amp;TEXT(INDEX(ERP資料!$G:$G, (MATCH(398, 輔助計算!$G$2:$G$801, 0)+1)),"0.##")&amp;"+"&amp;TEXT(INDEX(ERP資料!$G:$G, (MATCH(398, 輔助計算!$G$2:$G$801, 0)+1)),"0.##"))))&amp;"-1")), ""), "")</f>
        <v/>
      </c>
      <c r="K399" s="16" t="n"/>
      <c r="L399" s="14">
        <f>IFERROR(IF(AND(IFERROR(INDEX(ERP資料!$A:$A, (MATCH(398, 輔助計算!$G$2:$G$801, 0)+1)), "")&lt;&gt;"", IFERROR(INDEX(ERP資料!$A:$A, (MATCH(398, 輔助計算!$G$2:$G$801, 0)+1)), "")&lt;&gt;IFERROR(INDEX(ERP資料!$A:$A, MATCH(397, 輔助計算!$G$2:$G$801, 0)+1), "")), INDEX(ERP資料!$B:$B, (MATCH(398, 輔助計算!$G$2:$G$801, 0)+1)), ""), "")</f>
        <v/>
      </c>
      <c r="M399" s="17" t="n"/>
    </row>
    <row r="400">
      <c r="A400" s="10">
        <f>IFERROR(IF(AND(IFERROR(INDEX(ERP資料!$A:$A, (MATCH(399, 輔助計算!$G$2:$G$801, 0)+1)), "")&lt;&gt;"", IFERROR(INDEX(ERP資料!$A:$A, (MATCH(399, 輔助計算!$G$2:$G$801, 0)+1)), "")&lt;&gt;IFERROR(INDEX(ERP資料!$A:$A, MATCH(398, 輔助計算!$G$2:$G$801, 0)+1), "")), IFERROR(INDEX(ERP資料!$A:$A, (MATCH(399, 輔助計算!$G$2:$G$801, 0)+1)), ""), ""), "")</f>
        <v/>
      </c>
      <c r="B400" s="10">
        <f>IFERROR(IF(AND(IFERROR(INDEX(ERP資料!$A:$A, (MATCH(399, 輔助計算!$G$2:$G$801, 0)+1)), "")&lt;&gt;"", IFERROR(INDEX(ERP資料!$A:$A, (MATCH(399, 輔助計算!$G$2:$G$801, 0)+1)), "")&lt;&gt;IFERROR(INDEX(ERP資料!$A:$A, MATCH(398, 輔助計算!$G$2:$G$801, 0)+1), "")), INDEX(ERP資料!$S:$S, (MATCH(399, 輔助計算!$G$2:$G$801, 0)+1)), ""), "")</f>
        <v/>
      </c>
      <c r="C400" s="19">
        <f>IFERROR(IF(AND(IFERROR(INDEX(ERP資料!$A:$A, (MATCH(399, 輔助計算!$G$2:$G$801, 0)+1)), "")&lt;&gt;"", IFERROR(INDEX(ERP資料!$A:$A, (MATCH(399, 輔助計算!$G$2:$G$801, 0)+1)), "")&lt;&gt;IFERROR(INDEX(ERP資料!$A:$A, MATCH(398, 輔助計算!$G$2:$G$801, 0)+1), "")), IFERROR(VLOOKUP(LEFT(INDEX(ERP資料!$S:$S, (MATCH(399, 輔助計算!$G$2:$G$801, 0)+1)), 4), 紙管對照表!$A:$C, 3, FALSE), ""), ""), "")</f>
        <v/>
      </c>
      <c r="D400" s="16" t="n"/>
      <c r="E400" s="10">
        <f>IFERROR(IF(INDEX(ERP資料!$H:$H, (MATCH(399, 輔助計算!$G$2:$G$801, 0)+1))="","",INDEX(ERP資料!$H:$H, (MATCH(399, 輔助計算!$G$2:$G$801, 0)+1))), "")</f>
        <v/>
      </c>
      <c r="F400" s="10">
        <f>IFERROR(IF(INDEX(ERP資料!$E:$E, (MATCH(399, 輔助計算!$G$2:$G$801, 0)+1))="","",TRIM(INDEX(ERP資料!$E:$E, (MATCH(399, 輔助計算!$G$2:$G$801, 0)+1)))), "")</f>
        <v/>
      </c>
      <c r="G400" s="10">
        <f>IFERROR(IF(INDEX(ERP資料!$F:$F, (MATCH(399, 輔助計算!$G$2:$G$801, 0)+1))="","",INDEX(ERP資料!$F:$F, (MATCH(399, 輔助計算!$G$2:$G$801, 0)+1))), "")</f>
        <v/>
      </c>
      <c r="H400" s="10">
        <f>IFERROR(IF(INDEX(ERP資料!$G:$G, (MATCH(399, 輔助計算!$G$2:$G$801, 0)+1))="","",INDEX(ERP資料!$G:$G, (MATCH(399, 輔助計算!$G$2:$G$801, 0)+1))), "")</f>
        <v/>
      </c>
      <c r="I400" s="15">
        <f>IFERROR(INDEX(輔助計算!$D:$D, (MATCH(399, 輔助計算!$G$2:$G$801, 0)+1)), "")</f>
        <v/>
      </c>
      <c r="J400" s="15">
        <f>IFERROR(IF(AND(INDEX(輔助計算!$D:$D, (MATCH(399, 輔助計算!$G$2:$G$801, 0)+1))&lt;&gt;"", INDEX(ERP資料!$G:$G, (MATCH(399, 輔助計算!$G$2:$G$801, 0)+1))&lt;&gt;""), TRIM(IF(INT(INDEX(輔助計算!$D:$D, (MATCH(399, 輔助計算!$G$2:$G$801, 0)+1))/IF(INDEX(ERP資料!$G:$G, (MATCH(399, 輔助計算!$G$2:$G$801, 0)+1))&lt;100, IF(INDEX(ERP資料!$G:$G, (MATCH(399, 輔助計算!$G$2:$G$801, 0)+1))&lt;=31,3,IF(INDEX(ERP資料!$G:$G, (MATCH(399, 輔助計算!$G$2:$G$801, 0)+1))&lt;=46.5,2,1)), IF(INDEX(ERP資料!$G:$G, (MATCH(399, 輔助計算!$G$2:$G$801, 0)+1))&lt;=790,3,IF(INDEX(ERP資料!$G:$G, (MATCH(399, 輔助計算!$G$2:$G$801, 0)+1))&lt;=1181,2,1))))&gt;0, IF(IF(INDEX(ERP資料!$G:$G, (MATCH(399, 輔助計算!$G$2:$G$801, 0)+1))&lt;100, IF(INDEX(ERP資料!$G:$G, (MATCH(399, 輔助計算!$G$2:$G$801, 0)+1))&lt;=31,3,IF(INDEX(ERP資料!$G:$G, (MATCH(399, 輔助計算!$G$2:$G$801, 0)+1))&lt;=46.5,2,1)), IF(INDEX(ERP資料!$G:$G, (MATCH(399, 輔助計算!$G$2:$G$801, 0)+1))&lt;=790,3,IF(INDEX(ERP資料!$G:$G, (MATCH(399, 輔助計算!$G$2:$G$801, 0)+1))&lt;=1181,2,1)))=1,TEXT(INDEX(ERP資料!$G:$G, (MATCH(399, 輔助計算!$G$2:$G$801, 0)+1)),"0.##"),IF(IF(INDEX(ERP資料!$G:$G, (MATCH(399, 輔助計算!$G$2:$G$801, 0)+1))&lt;100, IF(INDEX(ERP資料!$G:$G, (MATCH(399, 輔助計算!$G$2:$G$801, 0)+1))&lt;=31,3,IF(INDEX(ERP資料!$G:$G, (MATCH(399, 輔助計算!$G$2:$G$801, 0)+1))&lt;=46.5,2,1)), IF(INDEX(ERP資料!$G:$G, (MATCH(399, 輔助計算!$G$2:$G$801, 0)+1))&lt;=790,3,IF(INDEX(ERP資料!$G:$G, (MATCH(399, 輔助計算!$G$2:$G$801, 0)+1))&lt;=1181,2,1)))=2,TEXT(INDEX(ERP資料!$G:$G, (MATCH(399, 輔助計算!$G$2:$G$801, 0)+1)),"0.##")&amp;"+"&amp;TEXT(INDEX(ERP資料!$G:$G, (MATCH(399, 輔助計算!$G$2:$G$801, 0)+1)),"0.##"),TEXT(INDEX(ERP資料!$G:$G, (MATCH(399, 輔助計算!$G$2:$G$801, 0)+1)),"0.##")&amp;"+"&amp;TEXT(INDEX(ERP資料!$G:$G, (MATCH(399, 輔助計算!$G$2:$G$801, 0)+1)),"0.##")&amp;"+"&amp;TEXT(INDEX(ERP資料!$G:$G, (MATCH(399, 輔助計算!$G$2:$G$801, 0)+1)),"0.##")))&amp;"-"&amp;INT(INDEX(輔助計算!$D:$D, (MATCH(399, 輔助計算!$G$2:$G$801, 0)+1))/IF(INDEX(ERP資料!$G:$G, (MATCH(399, 輔助計算!$G$2:$G$801, 0)+1))&lt;100, IF(INDEX(ERP資料!$G:$G, (MATCH(399, 輔助計算!$G$2:$G$801, 0)+1))&lt;=31,3,IF(INDEX(ERP資料!$G:$G, (MATCH(399, 輔助計算!$G$2:$G$801, 0)+1))&lt;=46.5,2,1)), IF(INDEX(ERP資料!$G:$G, (MATCH(399, 輔助計算!$G$2:$G$801, 0)+1))&lt;=790,3,IF(INDEX(ERP資料!$G:$G, (MATCH(399, 輔助計算!$G$2:$G$801, 0)+1))&lt;=1181,2,1)))), "")&amp;IF(AND(IF(INT(INDEX(輔助計算!$D:$D, (MATCH(399, 輔助計算!$G$2:$G$801, 0)+1))/IF(INDEX(ERP資料!$G:$G, (MATCH(399, 輔助計算!$G$2:$G$801, 0)+1))&lt;100, IF(INDEX(ERP資料!$G:$G, (MATCH(399, 輔助計算!$G$2:$G$801, 0)+1))&lt;=31,3,IF(INDEX(ERP資料!$G:$G, (MATCH(399, 輔助計算!$G$2:$G$801, 0)+1))&lt;=46.5,2,1)), IF(INDEX(ERP資料!$G:$G, (MATCH(399, 輔助計算!$G$2:$G$801, 0)+1))&lt;=790,3,IF(INDEX(ERP資料!$G:$G, (MATCH(399, 輔助計算!$G$2:$G$801, 0)+1))&lt;=1181,2,1))))&gt;0, IF(IF(INDEX(ERP資料!$G:$G, (MATCH(399, 輔助計算!$G$2:$G$801, 0)+1))&lt;100, IF(INDEX(ERP資料!$G:$G, (MATCH(399, 輔助計算!$G$2:$G$801, 0)+1))&lt;=31,3,IF(INDEX(ERP資料!$G:$G, (MATCH(399, 輔助計算!$G$2:$G$801, 0)+1))&lt;=46.5,2,1)), IF(INDEX(ERP資料!$G:$G, (MATCH(399, 輔助計算!$G$2:$G$801, 0)+1))&lt;=790,3,IF(INDEX(ERP資料!$G:$G, (MATCH(399, 輔助計算!$G$2:$G$801, 0)+1))&lt;=1181,2,1)))=1,TEXT(INDEX(ERP資料!$G:$G, (MATCH(399, 輔助計算!$G$2:$G$801, 0)+1)),"0.##"),IF(IF(INDEX(ERP資料!$G:$G, (MATCH(399, 輔助計算!$G$2:$G$801, 0)+1))&lt;100, IF(INDEX(ERP資料!$G:$G, (MATCH(399, 輔助計算!$G$2:$G$801, 0)+1))&lt;=31,3,IF(INDEX(ERP資料!$G:$G, (MATCH(399, 輔助計算!$G$2:$G$801, 0)+1))&lt;=46.5,2,1)), IF(INDEX(ERP資料!$G:$G, (MATCH(399, 輔助計算!$G$2:$G$801, 0)+1))&lt;=790,3,IF(INDEX(ERP資料!$G:$G, (MATCH(399, 輔助計算!$G$2:$G$801, 0)+1))&lt;=1181,2,1)))=2,TEXT(INDEX(ERP資料!$G:$G, (MATCH(399, 輔助計算!$G$2:$G$801, 0)+1)),"0.##")&amp;"+"&amp;TEXT(INDEX(ERP資料!$G:$G, (MATCH(399, 輔助計算!$G$2:$G$801, 0)+1)),"0.##"),TEXT(INDEX(ERP資料!$G:$G, (MATCH(399, 輔助計算!$G$2:$G$801, 0)+1)),"0.##")&amp;"+"&amp;TEXT(INDEX(ERP資料!$G:$G, (MATCH(399, 輔助計算!$G$2:$G$801, 0)+1)),"0.##")&amp;"+"&amp;TEXT(INDEX(ERP資料!$G:$G, (MATCH(399, 輔助計算!$G$2:$G$801, 0)+1)),"0.##")))&amp;"-"&amp;INT(INDEX(輔助計算!$D:$D, (MATCH(399, 輔助計算!$G$2:$G$801, 0)+1))/IF(INDEX(ERP資料!$G:$G, (MATCH(399, 輔助計算!$G$2:$G$801, 0)+1))&lt;100, IF(INDEX(ERP資料!$G:$G, (MATCH(399, 輔助計算!$G$2:$G$801, 0)+1))&lt;=31,3,IF(INDEX(ERP資料!$G:$G, (MATCH(399, 輔助計算!$G$2:$G$801, 0)+1))&lt;=46.5,2,1)), IF(INDEX(ERP資料!$G:$G, (MATCH(399, 輔助計算!$G$2:$G$801, 0)+1))&lt;=790,3,IF(INDEX(ERP資料!$G:$G, (MATCH(399, 輔助計算!$G$2:$G$801, 0)+1))&lt;=1181,2,1)))), "")&lt;&gt;"",IF(MOD(INDEX(輔助計算!$D:$D, (MATCH(399, 輔助計算!$G$2:$G$801, 0)+1)),IF(INDEX(ERP資料!$G:$G, (MATCH(399, 輔助計算!$G$2:$G$801, 0)+1))&lt;100, IF(INDEX(ERP資料!$G:$G, (MATCH(399, 輔助計算!$G$2:$G$801, 0)+1))&lt;=31,3,IF(INDEX(ERP資料!$G:$G, (MATCH(399, 輔助計算!$G$2:$G$801, 0)+1))&lt;=46.5,2,1)), IF(INDEX(ERP資料!$G:$G, (MATCH(399, 輔助計算!$G$2:$G$801, 0)+1))&lt;=790,3,IF(INDEX(ERP資料!$G:$G, (MATCH(399, 輔助計算!$G$2:$G$801, 0)+1))&lt;=1181,2,1))))=0,"",IF(MOD(INDEX(輔助計算!$D:$D, (MATCH(399, 輔助計算!$G$2:$G$801, 0)+1)),IF(INDEX(ERP資料!$G:$G, (MATCH(399, 輔助計算!$G$2:$G$801, 0)+1))&lt;100, IF(INDEX(ERP資料!$G:$G, (MATCH(399, 輔助計算!$G$2:$G$801, 0)+1))&lt;=31,3,IF(INDEX(ERP資料!$G:$G, (MATCH(399, 輔助計算!$G$2:$G$801, 0)+1))&lt;=46.5,2,1)), IF(INDEX(ERP資料!$G:$G, (MATCH(399, 輔助計算!$G$2:$G$801, 0)+1))&lt;=790,3,IF(INDEX(ERP資料!$G:$G, (MATCH(399, 輔助計算!$G$2:$G$801, 0)+1))&lt;=1181,2,1))))=0,"",IF(MOD(INDEX(輔助計算!$D:$D, (MATCH(399, 輔助計算!$G$2:$G$801, 0)+1)),IF(INDEX(ERP資料!$G:$G, (MATCH(399, 輔助計算!$G$2:$G$801, 0)+1))&lt;100, IF(INDEX(ERP資料!$G:$G, (MATCH(399, 輔助計算!$G$2:$G$801, 0)+1))&lt;=31,3,IF(INDEX(ERP資料!$G:$G, (MATCH(399, 輔助計算!$G$2:$G$801, 0)+1))&lt;=46.5,2,1)), IF(INDEX(ERP資料!$G:$G, (MATCH(399, 輔助計算!$G$2:$G$801, 0)+1))&lt;=790,3,IF(INDEX(ERP資料!$G:$G, (MATCH(399, 輔助計算!$G$2:$G$801, 0)+1))&lt;=1181,2,1))))=1,TEXT(INDEX(ERP資料!$G:$G, (MATCH(399, 輔助計算!$G$2:$G$801, 0)+1)),"0.##"),IF(MOD(INDEX(輔助計算!$D:$D, (MATCH(399, 輔助計算!$G$2:$G$801, 0)+1)),IF(INDEX(ERP資料!$G:$G, (MATCH(399, 輔助計算!$G$2:$G$801, 0)+1))&lt;100, IF(INDEX(ERP資料!$G:$G, (MATCH(399, 輔助計算!$G$2:$G$801, 0)+1))&lt;=31,3,IF(INDEX(ERP資料!$G:$G, (MATCH(399, 輔助計算!$G$2:$G$801, 0)+1))&lt;=46.5,2,1)), IF(INDEX(ERP資料!$G:$G, (MATCH(399, 輔助計算!$G$2:$G$801, 0)+1))&lt;=790,3,IF(INDEX(ERP資料!$G:$G, (MATCH(399, 輔助計算!$G$2:$G$801, 0)+1))&lt;=1181,2,1))))=2,TEXT(INDEX(ERP資料!$G:$G, (MATCH(399, 輔助計算!$G$2:$G$801, 0)+1)),"0.##")&amp;"+"&amp;TEXT(INDEX(ERP資料!$G:$G, (MATCH(399, 輔助計算!$G$2:$G$801, 0)+1)),"0.##"),TEXT(INDEX(ERP資料!$G:$G, (MATCH(399, 輔助計算!$G$2:$G$801, 0)+1)),"0.##")&amp;"+"&amp;TEXT(INDEX(ERP資料!$G:$G, (MATCH(399, 輔助計算!$G$2:$G$801, 0)+1)),"0.##")&amp;"+"&amp;TEXT(INDEX(ERP資料!$G:$G, (MATCH(399, 輔助計算!$G$2:$G$801, 0)+1)),"0.##"))))&amp;"-1")&lt;&gt;""),"  ","")&amp;IF(MOD(INDEX(輔助計算!$D:$D, (MATCH(399, 輔助計算!$G$2:$G$801, 0)+1)),IF(INDEX(ERP資料!$G:$G, (MATCH(399, 輔助計算!$G$2:$G$801, 0)+1))&lt;100, IF(INDEX(ERP資料!$G:$G, (MATCH(399, 輔助計算!$G$2:$G$801, 0)+1))&lt;=31,3,IF(INDEX(ERP資料!$G:$G, (MATCH(399, 輔助計算!$G$2:$G$801, 0)+1))&lt;=46.5,2,1)), IF(INDEX(ERP資料!$G:$G, (MATCH(399, 輔助計算!$G$2:$G$801, 0)+1))&lt;=790,3,IF(INDEX(ERP資料!$G:$G, (MATCH(399, 輔助計算!$G$2:$G$801, 0)+1))&lt;=1181,2,1))))=0,"",IF(MOD(INDEX(輔助計算!$D:$D, (MATCH(399, 輔助計算!$G$2:$G$801, 0)+1)),IF(INDEX(ERP資料!$G:$G, (MATCH(399, 輔助計算!$G$2:$G$801, 0)+1))&lt;100, IF(INDEX(ERP資料!$G:$G, (MATCH(399, 輔助計算!$G$2:$G$801, 0)+1))&lt;=31,3,IF(INDEX(ERP資料!$G:$G, (MATCH(399, 輔助計算!$G$2:$G$801, 0)+1))&lt;=46.5,2,1)), IF(INDEX(ERP資料!$G:$G, (MATCH(399, 輔助計算!$G$2:$G$801, 0)+1))&lt;=790,3,IF(INDEX(ERP資料!$G:$G, (MATCH(399, 輔助計算!$G$2:$G$801, 0)+1))&lt;=1181,2,1))))=0,"",IF(MOD(INDEX(輔助計算!$D:$D, (MATCH(399, 輔助計算!$G$2:$G$801, 0)+1)),IF(INDEX(ERP資料!$G:$G, (MATCH(399, 輔助計算!$G$2:$G$801, 0)+1))&lt;100, IF(INDEX(ERP資料!$G:$G, (MATCH(399, 輔助計算!$G$2:$G$801, 0)+1))&lt;=31,3,IF(INDEX(ERP資料!$G:$G, (MATCH(399, 輔助計算!$G$2:$G$801, 0)+1))&lt;=46.5,2,1)), IF(INDEX(ERP資料!$G:$G, (MATCH(399, 輔助計算!$G$2:$G$801, 0)+1))&lt;=790,3,IF(INDEX(ERP資料!$G:$G, (MATCH(399, 輔助計算!$G$2:$G$801, 0)+1))&lt;=1181,2,1))))=1,TEXT(INDEX(ERP資料!$G:$G, (MATCH(399, 輔助計算!$G$2:$G$801, 0)+1)),"0.##"),IF(MOD(INDEX(輔助計算!$D:$D, (MATCH(399, 輔助計算!$G$2:$G$801, 0)+1)),IF(INDEX(ERP資料!$G:$G, (MATCH(399, 輔助計算!$G$2:$G$801, 0)+1))&lt;100, IF(INDEX(ERP資料!$G:$G, (MATCH(399, 輔助計算!$G$2:$G$801, 0)+1))&lt;=31,3,IF(INDEX(ERP資料!$G:$G, (MATCH(399, 輔助計算!$G$2:$G$801, 0)+1))&lt;=46.5,2,1)), IF(INDEX(ERP資料!$G:$G, (MATCH(399, 輔助計算!$G$2:$G$801, 0)+1))&lt;=790,3,IF(INDEX(ERP資料!$G:$G, (MATCH(399, 輔助計算!$G$2:$G$801, 0)+1))&lt;=1181,2,1))))=2,TEXT(INDEX(ERP資料!$G:$G, (MATCH(399, 輔助計算!$G$2:$G$801, 0)+1)),"0.##")&amp;"+"&amp;TEXT(INDEX(ERP資料!$G:$G, (MATCH(399, 輔助計算!$G$2:$G$801, 0)+1)),"0.##"),TEXT(INDEX(ERP資料!$G:$G, (MATCH(399, 輔助計算!$G$2:$G$801, 0)+1)),"0.##")&amp;"+"&amp;TEXT(INDEX(ERP資料!$G:$G, (MATCH(399, 輔助計算!$G$2:$G$801, 0)+1)),"0.##")&amp;"+"&amp;TEXT(INDEX(ERP資料!$G:$G, (MATCH(399, 輔助計算!$G$2:$G$801, 0)+1)),"0.##"))))&amp;"-1")), ""), "")</f>
        <v/>
      </c>
      <c r="K400" s="16" t="n"/>
      <c r="L400" s="14">
        <f>IFERROR(IF(AND(IFERROR(INDEX(ERP資料!$A:$A, (MATCH(399, 輔助計算!$G$2:$G$801, 0)+1)), "")&lt;&gt;"", IFERROR(INDEX(ERP資料!$A:$A, (MATCH(399, 輔助計算!$G$2:$G$801, 0)+1)), "")&lt;&gt;IFERROR(INDEX(ERP資料!$A:$A, MATCH(398, 輔助計算!$G$2:$G$801, 0)+1), "")), INDEX(ERP資料!$B:$B, (MATCH(399, 輔助計算!$G$2:$G$801, 0)+1)), ""), "")</f>
        <v/>
      </c>
      <c r="M400" s="17" t="n"/>
    </row>
    <row r="401">
      <c r="A401" s="10">
        <f>IFERROR(IF(AND(IFERROR(INDEX(ERP資料!$A:$A, (MATCH(400, 輔助計算!$G$2:$G$801, 0)+1)), "")&lt;&gt;"", IFERROR(INDEX(ERP資料!$A:$A, (MATCH(400, 輔助計算!$G$2:$G$801, 0)+1)), "")&lt;&gt;IFERROR(INDEX(ERP資料!$A:$A, MATCH(399, 輔助計算!$G$2:$G$801, 0)+1), "")), IFERROR(INDEX(ERP資料!$A:$A, (MATCH(400, 輔助計算!$G$2:$G$801, 0)+1)), ""), ""), "")</f>
        <v/>
      </c>
      <c r="B401" s="10">
        <f>IFERROR(IF(AND(IFERROR(INDEX(ERP資料!$A:$A, (MATCH(400, 輔助計算!$G$2:$G$801, 0)+1)), "")&lt;&gt;"", IFERROR(INDEX(ERP資料!$A:$A, (MATCH(400, 輔助計算!$G$2:$G$801, 0)+1)), "")&lt;&gt;IFERROR(INDEX(ERP資料!$A:$A, MATCH(399, 輔助計算!$G$2:$G$801, 0)+1), "")), INDEX(ERP資料!$S:$S, (MATCH(400, 輔助計算!$G$2:$G$801, 0)+1)), ""), "")</f>
        <v/>
      </c>
      <c r="C401" s="19">
        <f>IFERROR(IF(AND(IFERROR(INDEX(ERP資料!$A:$A, (MATCH(400, 輔助計算!$G$2:$G$801, 0)+1)), "")&lt;&gt;"", IFERROR(INDEX(ERP資料!$A:$A, (MATCH(400, 輔助計算!$G$2:$G$801, 0)+1)), "")&lt;&gt;IFERROR(INDEX(ERP資料!$A:$A, MATCH(399, 輔助計算!$G$2:$G$801, 0)+1), "")), IFERROR(VLOOKUP(LEFT(INDEX(ERP資料!$S:$S, (MATCH(400, 輔助計算!$G$2:$G$801, 0)+1)), 4), 紙管對照表!$A:$C, 3, FALSE), ""), ""), "")</f>
        <v/>
      </c>
      <c r="D401" s="16" t="n"/>
      <c r="E401" s="10">
        <f>IFERROR(IF(INDEX(ERP資料!$H:$H, (MATCH(400, 輔助計算!$G$2:$G$801, 0)+1))="","",INDEX(ERP資料!$H:$H, (MATCH(400, 輔助計算!$G$2:$G$801, 0)+1))), "")</f>
        <v/>
      </c>
      <c r="F401" s="10">
        <f>IFERROR(IF(INDEX(ERP資料!$E:$E, (MATCH(400, 輔助計算!$G$2:$G$801, 0)+1))="","",TRIM(INDEX(ERP資料!$E:$E, (MATCH(400, 輔助計算!$G$2:$G$801, 0)+1)))), "")</f>
        <v/>
      </c>
      <c r="G401" s="10">
        <f>IFERROR(IF(INDEX(ERP資料!$F:$F, (MATCH(400, 輔助計算!$G$2:$G$801, 0)+1))="","",INDEX(ERP資料!$F:$F, (MATCH(400, 輔助計算!$G$2:$G$801, 0)+1))), "")</f>
        <v/>
      </c>
      <c r="H401" s="10">
        <f>IFERROR(IF(INDEX(ERP資料!$G:$G, (MATCH(400, 輔助計算!$G$2:$G$801, 0)+1))="","",INDEX(ERP資料!$G:$G, (MATCH(400, 輔助計算!$G$2:$G$801, 0)+1))), "")</f>
        <v/>
      </c>
      <c r="I401" s="15">
        <f>IFERROR(INDEX(輔助計算!$D:$D, (MATCH(400, 輔助計算!$G$2:$G$801, 0)+1)), "")</f>
        <v/>
      </c>
      <c r="J401" s="15">
        <f>IFERROR(IF(AND(INDEX(輔助計算!$D:$D, (MATCH(400, 輔助計算!$G$2:$G$801, 0)+1))&lt;&gt;"", INDEX(ERP資料!$G:$G, (MATCH(400, 輔助計算!$G$2:$G$801, 0)+1))&lt;&gt;""), TRIM(IF(INT(INDEX(輔助計算!$D:$D, (MATCH(400, 輔助計算!$G$2:$G$801, 0)+1))/IF(INDEX(ERP資料!$G:$G, (MATCH(400, 輔助計算!$G$2:$G$801, 0)+1))&lt;100, IF(INDEX(ERP資料!$G:$G, (MATCH(400, 輔助計算!$G$2:$G$801, 0)+1))&lt;=31,3,IF(INDEX(ERP資料!$G:$G, (MATCH(400, 輔助計算!$G$2:$G$801, 0)+1))&lt;=46.5,2,1)), IF(INDEX(ERP資料!$G:$G, (MATCH(400, 輔助計算!$G$2:$G$801, 0)+1))&lt;=790,3,IF(INDEX(ERP資料!$G:$G, (MATCH(400, 輔助計算!$G$2:$G$801, 0)+1))&lt;=1181,2,1))))&gt;0, IF(IF(INDEX(ERP資料!$G:$G, (MATCH(400, 輔助計算!$G$2:$G$801, 0)+1))&lt;100, IF(INDEX(ERP資料!$G:$G, (MATCH(400, 輔助計算!$G$2:$G$801, 0)+1))&lt;=31,3,IF(INDEX(ERP資料!$G:$G, (MATCH(400, 輔助計算!$G$2:$G$801, 0)+1))&lt;=46.5,2,1)), IF(INDEX(ERP資料!$G:$G, (MATCH(400, 輔助計算!$G$2:$G$801, 0)+1))&lt;=790,3,IF(INDEX(ERP資料!$G:$G, (MATCH(400, 輔助計算!$G$2:$G$801, 0)+1))&lt;=1181,2,1)))=1,TEXT(INDEX(ERP資料!$G:$G, (MATCH(400, 輔助計算!$G$2:$G$801, 0)+1)),"0.##"),IF(IF(INDEX(ERP資料!$G:$G, (MATCH(400, 輔助計算!$G$2:$G$801, 0)+1))&lt;100, IF(INDEX(ERP資料!$G:$G, (MATCH(400, 輔助計算!$G$2:$G$801, 0)+1))&lt;=31,3,IF(INDEX(ERP資料!$G:$G, (MATCH(400, 輔助計算!$G$2:$G$801, 0)+1))&lt;=46.5,2,1)), IF(INDEX(ERP資料!$G:$G, (MATCH(400, 輔助計算!$G$2:$G$801, 0)+1))&lt;=790,3,IF(INDEX(ERP資料!$G:$G, (MATCH(400, 輔助計算!$G$2:$G$801, 0)+1))&lt;=1181,2,1)))=2,TEXT(INDEX(ERP資料!$G:$G, (MATCH(400, 輔助計算!$G$2:$G$801, 0)+1)),"0.##")&amp;"+"&amp;TEXT(INDEX(ERP資料!$G:$G, (MATCH(400, 輔助計算!$G$2:$G$801, 0)+1)),"0.##"),TEXT(INDEX(ERP資料!$G:$G, (MATCH(400, 輔助計算!$G$2:$G$801, 0)+1)),"0.##")&amp;"+"&amp;TEXT(INDEX(ERP資料!$G:$G, (MATCH(400, 輔助計算!$G$2:$G$801, 0)+1)),"0.##")&amp;"+"&amp;TEXT(INDEX(ERP資料!$G:$G, (MATCH(400, 輔助計算!$G$2:$G$801, 0)+1)),"0.##")))&amp;"-"&amp;INT(INDEX(輔助計算!$D:$D, (MATCH(400, 輔助計算!$G$2:$G$801, 0)+1))/IF(INDEX(ERP資料!$G:$G, (MATCH(400, 輔助計算!$G$2:$G$801, 0)+1))&lt;100, IF(INDEX(ERP資料!$G:$G, (MATCH(400, 輔助計算!$G$2:$G$801, 0)+1))&lt;=31,3,IF(INDEX(ERP資料!$G:$G, (MATCH(400, 輔助計算!$G$2:$G$801, 0)+1))&lt;=46.5,2,1)), IF(INDEX(ERP資料!$G:$G, (MATCH(400, 輔助計算!$G$2:$G$801, 0)+1))&lt;=790,3,IF(INDEX(ERP資料!$G:$G, (MATCH(400, 輔助計算!$G$2:$G$801, 0)+1))&lt;=1181,2,1)))), "")&amp;IF(AND(IF(INT(INDEX(輔助計算!$D:$D, (MATCH(400, 輔助計算!$G$2:$G$801, 0)+1))/IF(INDEX(ERP資料!$G:$G, (MATCH(400, 輔助計算!$G$2:$G$801, 0)+1))&lt;100, IF(INDEX(ERP資料!$G:$G, (MATCH(400, 輔助計算!$G$2:$G$801, 0)+1))&lt;=31,3,IF(INDEX(ERP資料!$G:$G, (MATCH(400, 輔助計算!$G$2:$G$801, 0)+1))&lt;=46.5,2,1)), IF(INDEX(ERP資料!$G:$G, (MATCH(400, 輔助計算!$G$2:$G$801, 0)+1))&lt;=790,3,IF(INDEX(ERP資料!$G:$G, (MATCH(400, 輔助計算!$G$2:$G$801, 0)+1))&lt;=1181,2,1))))&gt;0, IF(IF(INDEX(ERP資料!$G:$G, (MATCH(400, 輔助計算!$G$2:$G$801, 0)+1))&lt;100, IF(INDEX(ERP資料!$G:$G, (MATCH(400, 輔助計算!$G$2:$G$801, 0)+1))&lt;=31,3,IF(INDEX(ERP資料!$G:$G, (MATCH(400, 輔助計算!$G$2:$G$801, 0)+1))&lt;=46.5,2,1)), IF(INDEX(ERP資料!$G:$G, (MATCH(400, 輔助計算!$G$2:$G$801, 0)+1))&lt;=790,3,IF(INDEX(ERP資料!$G:$G, (MATCH(400, 輔助計算!$G$2:$G$801, 0)+1))&lt;=1181,2,1)))=1,TEXT(INDEX(ERP資料!$G:$G, (MATCH(400, 輔助計算!$G$2:$G$801, 0)+1)),"0.##"),IF(IF(INDEX(ERP資料!$G:$G, (MATCH(400, 輔助計算!$G$2:$G$801, 0)+1))&lt;100, IF(INDEX(ERP資料!$G:$G, (MATCH(400, 輔助計算!$G$2:$G$801, 0)+1))&lt;=31,3,IF(INDEX(ERP資料!$G:$G, (MATCH(400, 輔助計算!$G$2:$G$801, 0)+1))&lt;=46.5,2,1)), IF(INDEX(ERP資料!$G:$G, (MATCH(400, 輔助計算!$G$2:$G$801, 0)+1))&lt;=790,3,IF(INDEX(ERP資料!$G:$G, (MATCH(400, 輔助計算!$G$2:$G$801, 0)+1))&lt;=1181,2,1)))=2,TEXT(INDEX(ERP資料!$G:$G, (MATCH(400, 輔助計算!$G$2:$G$801, 0)+1)),"0.##")&amp;"+"&amp;TEXT(INDEX(ERP資料!$G:$G, (MATCH(400, 輔助計算!$G$2:$G$801, 0)+1)),"0.##"),TEXT(INDEX(ERP資料!$G:$G, (MATCH(400, 輔助計算!$G$2:$G$801, 0)+1)),"0.##")&amp;"+"&amp;TEXT(INDEX(ERP資料!$G:$G, (MATCH(400, 輔助計算!$G$2:$G$801, 0)+1)),"0.##")&amp;"+"&amp;TEXT(INDEX(ERP資料!$G:$G, (MATCH(400, 輔助計算!$G$2:$G$801, 0)+1)),"0.##")))&amp;"-"&amp;INT(INDEX(輔助計算!$D:$D, (MATCH(400, 輔助計算!$G$2:$G$801, 0)+1))/IF(INDEX(ERP資料!$G:$G, (MATCH(400, 輔助計算!$G$2:$G$801, 0)+1))&lt;100, IF(INDEX(ERP資料!$G:$G, (MATCH(400, 輔助計算!$G$2:$G$801, 0)+1))&lt;=31,3,IF(INDEX(ERP資料!$G:$G, (MATCH(400, 輔助計算!$G$2:$G$801, 0)+1))&lt;=46.5,2,1)), IF(INDEX(ERP資料!$G:$G, (MATCH(400, 輔助計算!$G$2:$G$801, 0)+1))&lt;=790,3,IF(INDEX(ERP資料!$G:$G, (MATCH(400, 輔助計算!$G$2:$G$801, 0)+1))&lt;=1181,2,1)))), "")&lt;&gt;"",IF(MOD(INDEX(輔助計算!$D:$D, (MATCH(400, 輔助計算!$G$2:$G$801, 0)+1)),IF(INDEX(ERP資料!$G:$G, (MATCH(400, 輔助計算!$G$2:$G$801, 0)+1))&lt;100, IF(INDEX(ERP資料!$G:$G, (MATCH(400, 輔助計算!$G$2:$G$801, 0)+1))&lt;=31,3,IF(INDEX(ERP資料!$G:$G, (MATCH(400, 輔助計算!$G$2:$G$801, 0)+1))&lt;=46.5,2,1)), IF(INDEX(ERP資料!$G:$G, (MATCH(400, 輔助計算!$G$2:$G$801, 0)+1))&lt;=790,3,IF(INDEX(ERP資料!$G:$G, (MATCH(400, 輔助計算!$G$2:$G$801, 0)+1))&lt;=1181,2,1))))=0,"",IF(MOD(INDEX(輔助計算!$D:$D, (MATCH(400, 輔助計算!$G$2:$G$801, 0)+1)),IF(INDEX(ERP資料!$G:$G, (MATCH(400, 輔助計算!$G$2:$G$801, 0)+1))&lt;100, IF(INDEX(ERP資料!$G:$G, (MATCH(400, 輔助計算!$G$2:$G$801, 0)+1))&lt;=31,3,IF(INDEX(ERP資料!$G:$G, (MATCH(400, 輔助計算!$G$2:$G$801, 0)+1))&lt;=46.5,2,1)), IF(INDEX(ERP資料!$G:$G, (MATCH(400, 輔助計算!$G$2:$G$801, 0)+1))&lt;=790,3,IF(INDEX(ERP資料!$G:$G, (MATCH(400, 輔助計算!$G$2:$G$801, 0)+1))&lt;=1181,2,1))))=0,"",IF(MOD(INDEX(輔助計算!$D:$D, (MATCH(400, 輔助計算!$G$2:$G$801, 0)+1)),IF(INDEX(ERP資料!$G:$G, (MATCH(400, 輔助計算!$G$2:$G$801, 0)+1))&lt;100, IF(INDEX(ERP資料!$G:$G, (MATCH(400, 輔助計算!$G$2:$G$801, 0)+1))&lt;=31,3,IF(INDEX(ERP資料!$G:$G, (MATCH(400, 輔助計算!$G$2:$G$801, 0)+1))&lt;=46.5,2,1)), IF(INDEX(ERP資料!$G:$G, (MATCH(400, 輔助計算!$G$2:$G$801, 0)+1))&lt;=790,3,IF(INDEX(ERP資料!$G:$G, (MATCH(400, 輔助計算!$G$2:$G$801, 0)+1))&lt;=1181,2,1))))=1,TEXT(INDEX(ERP資料!$G:$G, (MATCH(400, 輔助計算!$G$2:$G$801, 0)+1)),"0.##"),IF(MOD(INDEX(輔助計算!$D:$D, (MATCH(400, 輔助計算!$G$2:$G$801, 0)+1)),IF(INDEX(ERP資料!$G:$G, (MATCH(400, 輔助計算!$G$2:$G$801, 0)+1))&lt;100, IF(INDEX(ERP資料!$G:$G, (MATCH(400, 輔助計算!$G$2:$G$801, 0)+1))&lt;=31,3,IF(INDEX(ERP資料!$G:$G, (MATCH(400, 輔助計算!$G$2:$G$801, 0)+1))&lt;=46.5,2,1)), IF(INDEX(ERP資料!$G:$G, (MATCH(400, 輔助計算!$G$2:$G$801, 0)+1))&lt;=790,3,IF(INDEX(ERP資料!$G:$G, (MATCH(400, 輔助計算!$G$2:$G$801, 0)+1))&lt;=1181,2,1))))=2,TEXT(INDEX(ERP資料!$G:$G, (MATCH(400, 輔助計算!$G$2:$G$801, 0)+1)),"0.##")&amp;"+"&amp;TEXT(INDEX(ERP資料!$G:$G, (MATCH(400, 輔助計算!$G$2:$G$801, 0)+1)),"0.##"),TEXT(INDEX(ERP資料!$G:$G, (MATCH(400, 輔助計算!$G$2:$G$801, 0)+1)),"0.##")&amp;"+"&amp;TEXT(INDEX(ERP資料!$G:$G, (MATCH(400, 輔助計算!$G$2:$G$801, 0)+1)),"0.##")&amp;"+"&amp;TEXT(INDEX(ERP資料!$G:$G, (MATCH(400, 輔助計算!$G$2:$G$801, 0)+1)),"0.##"))))&amp;"-1")&lt;&gt;""),"  ","")&amp;IF(MOD(INDEX(輔助計算!$D:$D, (MATCH(400, 輔助計算!$G$2:$G$801, 0)+1)),IF(INDEX(ERP資料!$G:$G, (MATCH(400, 輔助計算!$G$2:$G$801, 0)+1))&lt;100, IF(INDEX(ERP資料!$G:$G, (MATCH(400, 輔助計算!$G$2:$G$801, 0)+1))&lt;=31,3,IF(INDEX(ERP資料!$G:$G, (MATCH(400, 輔助計算!$G$2:$G$801, 0)+1))&lt;=46.5,2,1)), IF(INDEX(ERP資料!$G:$G, (MATCH(400, 輔助計算!$G$2:$G$801, 0)+1))&lt;=790,3,IF(INDEX(ERP資料!$G:$G, (MATCH(400, 輔助計算!$G$2:$G$801, 0)+1))&lt;=1181,2,1))))=0,"",IF(MOD(INDEX(輔助計算!$D:$D, (MATCH(400, 輔助計算!$G$2:$G$801, 0)+1)),IF(INDEX(ERP資料!$G:$G, (MATCH(400, 輔助計算!$G$2:$G$801, 0)+1))&lt;100, IF(INDEX(ERP資料!$G:$G, (MATCH(400, 輔助計算!$G$2:$G$801, 0)+1))&lt;=31,3,IF(INDEX(ERP資料!$G:$G, (MATCH(400, 輔助計算!$G$2:$G$801, 0)+1))&lt;=46.5,2,1)), IF(INDEX(ERP資料!$G:$G, (MATCH(400, 輔助計算!$G$2:$G$801, 0)+1))&lt;=790,3,IF(INDEX(ERP資料!$G:$G, (MATCH(400, 輔助計算!$G$2:$G$801, 0)+1))&lt;=1181,2,1))))=0,"",IF(MOD(INDEX(輔助計算!$D:$D, (MATCH(400, 輔助計算!$G$2:$G$801, 0)+1)),IF(INDEX(ERP資料!$G:$G, (MATCH(400, 輔助計算!$G$2:$G$801, 0)+1))&lt;100, IF(INDEX(ERP資料!$G:$G, (MATCH(400, 輔助計算!$G$2:$G$801, 0)+1))&lt;=31,3,IF(INDEX(ERP資料!$G:$G, (MATCH(400, 輔助計算!$G$2:$G$801, 0)+1))&lt;=46.5,2,1)), IF(INDEX(ERP資料!$G:$G, (MATCH(400, 輔助計算!$G$2:$G$801, 0)+1))&lt;=790,3,IF(INDEX(ERP資料!$G:$G, (MATCH(400, 輔助計算!$G$2:$G$801, 0)+1))&lt;=1181,2,1))))=1,TEXT(INDEX(ERP資料!$G:$G, (MATCH(400, 輔助計算!$G$2:$G$801, 0)+1)),"0.##"),IF(MOD(INDEX(輔助計算!$D:$D, (MATCH(400, 輔助計算!$G$2:$G$801, 0)+1)),IF(INDEX(ERP資料!$G:$G, (MATCH(400, 輔助計算!$G$2:$G$801, 0)+1))&lt;100, IF(INDEX(ERP資料!$G:$G, (MATCH(400, 輔助計算!$G$2:$G$801, 0)+1))&lt;=31,3,IF(INDEX(ERP資料!$G:$G, (MATCH(400, 輔助計算!$G$2:$G$801, 0)+1))&lt;=46.5,2,1)), IF(INDEX(ERP資料!$G:$G, (MATCH(400, 輔助計算!$G$2:$G$801, 0)+1))&lt;=790,3,IF(INDEX(ERP資料!$G:$G, (MATCH(400, 輔助計算!$G$2:$G$801, 0)+1))&lt;=1181,2,1))))=2,TEXT(INDEX(ERP資料!$G:$G, (MATCH(400, 輔助計算!$G$2:$G$801, 0)+1)),"0.##")&amp;"+"&amp;TEXT(INDEX(ERP資料!$G:$G, (MATCH(400, 輔助計算!$G$2:$G$801, 0)+1)),"0.##"),TEXT(INDEX(ERP資料!$G:$G, (MATCH(400, 輔助計算!$G$2:$G$801, 0)+1)),"0.##")&amp;"+"&amp;TEXT(INDEX(ERP資料!$G:$G, (MATCH(400, 輔助計算!$G$2:$G$801, 0)+1)),"0.##")&amp;"+"&amp;TEXT(INDEX(ERP資料!$G:$G, (MATCH(400, 輔助計算!$G$2:$G$801, 0)+1)),"0.##"))))&amp;"-1")), ""), "")</f>
        <v/>
      </c>
      <c r="K401" s="16" t="n"/>
      <c r="L401" s="14">
        <f>IFERROR(IF(AND(IFERROR(INDEX(ERP資料!$A:$A, (MATCH(400, 輔助計算!$G$2:$G$801, 0)+1)), "")&lt;&gt;"", IFERROR(INDEX(ERP資料!$A:$A, (MATCH(400, 輔助計算!$G$2:$G$801, 0)+1)), "")&lt;&gt;IFERROR(INDEX(ERP資料!$A:$A, MATCH(399, 輔助計算!$G$2:$G$801, 0)+1), "")), INDEX(ERP資料!$B:$B, (MATCH(400, 輔助計算!$G$2:$G$801, 0)+1)), ""), "")</f>
        <v/>
      </c>
      <c r="M401" s="17" t="n"/>
    </row>
    <row r="402">
      <c r="A402" s="10">
        <f>IFERROR(IF(AND(IFERROR(INDEX(ERP資料!$A:$A, (MATCH(401, 輔助計算!$G$2:$G$801, 0)+1)), "")&lt;&gt;"", IFERROR(INDEX(ERP資料!$A:$A, (MATCH(401, 輔助計算!$G$2:$G$801, 0)+1)), "")&lt;&gt;IFERROR(INDEX(ERP資料!$A:$A, MATCH(400, 輔助計算!$G$2:$G$801, 0)+1), "")), IFERROR(INDEX(ERP資料!$A:$A, (MATCH(401, 輔助計算!$G$2:$G$801, 0)+1)), ""), ""), "")</f>
        <v/>
      </c>
      <c r="B402" s="10">
        <f>IFERROR(IF(AND(IFERROR(INDEX(ERP資料!$A:$A, (MATCH(401, 輔助計算!$G$2:$G$801, 0)+1)), "")&lt;&gt;"", IFERROR(INDEX(ERP資料!$A:$A, (MATCH(401, 輔助計算!$G$2:$G$801, 0)+1)), "")&lt;&gt;IFERROR(INDEX(ERP資料!$A:$A, MATCH(400, 輔助計算!$G$2:$G$801, 0)+1), "")), INDEX(ERP資料!$S:$S, (MATCH(401, 輔助計算!$G$2:$G$801, 0)+1)), ""), "")</f>
        <v/>
      </c>
      <c r="C402" s="19">
        <f>IFERROR(IF(AND(IFERROR(INDEX(ERP資料!$A:$A, (MATCH(401, 輔助計算!$G$2:$G$801, 0)+1)), "")&lt;&gt;"", IFERROR(INDEX(ERP資料!$A:$A, (MATCH(401, 輔助計算!$G$2:$G$801, 0)+1)), "")&lt;&gt;IFERROR(INDEX(ERP資料!$A:$A, MATCH(400, 輔助計算!$G$2:$G$801, 0)+1), "")), IFERROR(VLOOKUP(LEFT(INDEX(ERP資料!$S:$S, (MATCH(401, 輔助計算!$G$2:$G$801, 0)+1)), 4), 紙管對照表!$A:$C, 3, FALSE), ""), ""), "")</f>
        <v/>
      </c>
      <c r="D402" s="16" t="n"/>
      <c r="E402" s="10">
        <f>IFERROR(IF(INDEX(ERP資料!$H:$H, (MATCH(401, 輔助計算!$G$2:$G$801, 0)+1))="","",INDEX(ERP資料!$H:$H, (MATCH(401, 輔助計算!$G$2:$G$801, 0)+1))), "")</f>
        <v/>
      </c>
      <c r="F402" s="10">
        <f>IFERROR(IF(INDEX(ERP資料!$E:$E, (MATCH(401, 輔助計算!$G$2:$G$801, 0)+1))="","",TRIM(INDEX(ERP資料!$E:$E, (MATCH(401, 輔助計算!$G$2:$G$801, 0)+1)))), "")</f>
        <v/>
      </c>
      <c r="G402" s="10">
        <f>IFERROR(IF(INDEX(ERP資料!$F:$F, (MATCH(401, 輔助計算!$G$2:$G$801, 0)+1))="","",INDEX(ERP資料!$F:$F, (MATCH(401, 輔助計算!$G$2:$G$801, 0)+1))), "")</f>
        <v/>
      </c>
      <c r="H402" s="10">
        <f>IFERROR(IF(INDEX(ERP資料!$G:$G, (MATCH(401, 輔助計算!$G$2:$G$801, 0)+1))="","",INDEX(ERP資料!$G:$G, (MATCH(401, 輔助計算!$G$2:$G$801, 0)+1))), "")</f>
        <v/>
      </c>
      <c r="I402" s="15">
        <f>IFERROR(INDEX(輔助計算!$D:$D, (MATCH(401, 輔助計算!$G$2:$G$801, 0)+1)), "")</f>
        <v/>
      </c>
      <c r="J402" s="15">
        <f>IFERROR(IF(AND(INDEX(輔助計算!$D:$D, (MATCH(401, 輔助計算!$G$2:$G$801, 0)+1))&lt;&gt;"", INDEX(ERP資料!$G:$G, (MATCH(401, 輔助計算!$G$2:$G$801, 0)+1))&lt;&gt;""), TRIM(IF(INT(INDEX(輔助計算!$D:$D, (MATCH(401, 輔助計算!$G$2:$G$801, 0)+1))/IF(INDEX(ERP資料!$G:$G, (MATCH(401, 輔助計算!$G$2:$G$801, 0)+1))&lt;100, IF(INDEX(ERP資料!$G:$G, (MATCH(401, 輔助計算!$G$2:$G$801, 0)+1))&lt;=31,3,IF(INDEX(ERP資料!$G:$G, (MATCH(401, 輔助計算!$G$2:$G$801, 0)+1))&lt;=46.5,2,1)), IF(INDEX(ERP資料!$G:$G, (MATCH(401, 輔助計算!$G$2:$G$801, 0)+1))&lt;=790,3,IF(INDEX(ERP資料!$G:$G, (MATCH(401, 輔助計算!$G$2:$G$801, 0)+1))&lt;=1181,2,1))))&gt;0, IF(IF(INDEX(ERP資料!$G:$G, (MATCH(401, 輔助計算!$G$2:$G$801, 0)+1))&lt;100, IF(INDEX(ERP資料!$G:$G, (MATCH(401, 輔助計算!$G$2:$G$801, 0)+1))&lt;=31,3,IF(INDEX(ERP資料!$G:$G, (MATCH(401, 輔助計算!$G$2:$G$801, 0)+1))&lt;=46.5,2,1)), IF(INDEX(ERP資料!$G:$G, (MATCH(401, 輔助計算!$G$2:$G$801, 0)+1))&lt;=790,3,IF(INDEX(ERP資料!$G:$G, (MATCH(401, 輔助計算!$G$2:$G$801, 0)+1))&lt;=1181,2,1)))=1,TEXT(INDEX(ERP資料!$G:$G, (MATCH(401, 輔助計算!$G$2:$G$801, 0)+1)),"0.##"),IF(IF(INDEX(ERP資料!$G:$G, (MATCH(401, 輔助計算!$G$2:$G$801, 0)+1))&lt;100, IF(INDEX(ERP資料!$G:$G, (MATCH(401, 輔助計算!$G$2:$G$801, 0)+1))&lt;=31,3,IF(INDEX(ERP資料!$G:$G, (MATCH(401, 輔助計算!$G$2:$G$801, 0)+1))&lt;=46.5,2,1)), IF(INDEX(ERP資料!$G:$G, (MATCH(401, 輔助計算!$G$2:$G$801, 0)+1))&lt;=790,3,IF(INDEX(ERP資料!$G:$G, (MATCH(401, 輔助計算!$G$2:$G$801, 0)+1))&lt;=1181,2,1)))=2,TEXT(INDEX(ERP資料!$G:$G, (MATCH(401, 輔助計算!$G$2:$G$801, 0)+1)),"0.##")&amp;"+"&amp;TEXT(INDEX(ERP資料!$G:$G, (MATCH(401, 輔助計算!$G$2:$G$801, 0)+1)),"0.##"),TEXT(INDEX(ERP資料!$G:$G, (MATCH(401, 輔助計算!$G$2:$G$801, 0)+1)),"0.##")&amp;"+"&amp;TEXT(INDEX(ERP資料!$G:$G, (MATCH(401, 輔助計算!$G$2:$G$801, 0)+1)),"0.##")&amp;"+"&amp;TEXT(INDEX(ERP資料!$G:$G, (MATCH(401, 輔助計算!$G$2:$G$801, 0)+1)),"0.##")))&amp;"-"&amp;INT(INDEX(輔助計算!$D:$D, (MATCH(401, 輔助計算!$G$2:$G$801, 0)+1))/IF(INDEX(ERP資料!$G:$G, (MATCH(401, 輔助計算!$G$2:$G$801, 0)+1))&lt;100, IF(INDEX(ERP資料!$G:$G, (MATCH(401, 輔助計算!$G$2:$G$801, 0)+1))&lt;=31,3,IF(INDEX(ERP資料!$G:$G, (MATCH(401, 輔助計算!$G$2:$G$801, 0)+1))&lt;=46.5,2,1)), IF(INDEX(ERP資料!$G:$G, (MATCH(401, 輔助計算!$G$2:$G$801, 0)+1))&lt;=790,3,IF(INDEX(ERP資料!$G:$G, (MATCH(401, 輔助計算!$G$2:$G$801, 0)+1))&lt;=1181,2,1)))), "")&amp;IF(AND(IF(INT(INDEX(輔助計算!$D:$D, (MATCH(401, 輔助計算!$G$2:$G$801, 0)+1))/IF(INDEX(ERP資料!$G:$G, (MATCH(401, 輔助計算!$G$2:$G$801, 0)+1))&lt;100, IF(INDEX(ERP資料!$G:$G, (MATCH(401, 輔助計算!$G$2:$G$801, 0)+1))&lt;=31,3,IF(INDEX(ERP資料!$G:$G, (MATCH(401, 輔助計算!$G$2:$G$801, 0)+1))&lt;=46.5,2,1)), IF(INDEX(ERP資料!$G:$G, (MATCH(401, 輔助計算!$G$2:$G$801, 0)+1))&lt;=790,3,IF(INDEX(ERP資料!$G:$G, (MATCH(401, 輔助計算!$G$2:$G$801, 0)+1))&lt;=1181,2,1))))&gt;0, IF(IF(INDEX(ERP資料!$G:$G, (MATCH(401, 輔助計算!$G$2:$G$801, 0)+1))&lt;100, IF(INDEX(ERP資料!$G:$G, (MATCH(401, 輔助計算!$G$2:$G$801, 0)+1))&lt;=31,3,IF(INDEX(ERP資料!$G:$G, (MATCH(401, 輔助計算!$G$2:$G$801, 0)+1))&lt;=46.5,2,1)), IF(INDEX(ERP資料!$G:$G, (MATCH(401, 輔助計算!$G$2:$G$801, 0)+1))&lt;=790,3,IF(INDEX(ERP資料!$G:$G, (MATCH(401, 輔助計算!$G$2:$G$801, 0)+1))&lt;=1181,2,1)))=1,TEXT(INDEX(ERP資料!$G:$G, (MATCH(401, 輔助計算!$G$2:$G$801, 0)+1)),"0.##"),IF(IF(INDEX(ERP資料!$G:$G, (MATCH(401, 輔助計算!$G$2:$G$801, 0)+1))&lt;100, IF(INDEX(ERP資料!$G:$G, (MATCH(401, 輔助計算!$G$2:$G$801, 0)+1))&lt;=31,3,IF(INDEX(ERP資料!$G:$G, (MATCH(401, 輔助計算!$G$2:$G$801, 0)+1))&lt;=46.5,2,1)), IF(INDEX(ERP資料!$G:$G, (MATCH(401, 輔助計算!$G$2:$G$801, 0)+1))&lt;=790,3,IF(INDEX(ERP資料!$G:$G, (MATCH(401, 輔助計算!$G$2:$G$801, 0)+1))&lt;=1181,2,1)))=2,TEXT(INDEX(ERP資料!$G:$G, (MATCH(401, 輔助計算!$G$2:$G$801, 0)+1)),"0.##")&amp;"+"&amp;TEXT(INDEX(ERP資料!$G:$G, (MATCH(401, 輔助計算!$G$2:$G$801, 0)+1)),"0.##"),TEXT(INDEX(ERP資料!$G:$G, (MATCH(401, 輔助計算!$G$2:$G$801, 0)+1)),"0.##")&amp;"+"&amp;TEXT(INDEX(ERP資料!$G:$G, (MATCH(401, 輔助計算!$G$2:$G$801, 0)+1)),"0.##")&amp;"+"&amp;TEXT(INDEX(ERP資料!$G:$G, (MATCH(401, 輔助計算!$G$2:$G$801, 0)+1)),"0.##")))&amp;"-"&amp;INT(INDEX(輔助計算!$D:$D, (MATCH(401, 輔助計算!$G$2:$G$801, 0)+1))/IF(INDEX(ERP資料!$G:$G, (MATCH(401, 輔助計算!$G$2:$G$801, 0)+1))&lt;100, IF(INDEX(ERP資料!$G:$G, (MATCH(401, 輔助計算!$G$2:$G$801, 0)+1))&lt;=31,3,IF(INDEX(ERP資料!$G:$G, (MATCH(401, 輔助計算!$G$2:$G$801, 0)+1))&lt;=46.5,2,1)), IF(INDEX(ERP資料!$G:$G, (MATCH(401, 輔助計算!$G$2:$G$801, 0)+1))&lt;=790,3,IF(INDEX(ERP資料!$G:$G, (MATCH(401, 輔助計算!$G$2:$G$801, 0)+1))&lt;=1181,2,1)))), "")&lt;&gt;"",IF(MOD(INDEX(輔助計算!$D:$D, (MATCH(401, 輔助計算!$G$2:$G$801, 0)+1)),IF(INDEX(ERP資料!$G:$G, (MATCH(401, 輔助計算!$G$2:$G$801, 0)+1))&lt;100, IF(INDEX(ERP資料!$G:$G, (MATCH(401, 輔助計算!$G$2:$G$801, 0)+1))&lt;=31,3,IF(INDEX(ERP資料!$G:$G, (MATCH(401, 輔助計算!$G$2:$G$801, 0)+1))&lt;=46.5,2,1)), IF(INDEX(ERP資料!$G:$G, (MATCH(401, 輔助計算!$G$2:$G$801, 0)+1))&lt;=790,3,IF(INDEX(ERP資料!$G:$G, (MATCH(401, 輔助計算!$G$2:$G$801, 0)+1))&lt;=1181,2,1))))=0,"",IF(MOD(INDEX(輔助計算!$D:$D, (MATCH(401, 輔助計算!$G$2:$G$801, 0)+1)),IF(INDEX(ERP資料!$G:$G, (MATCH(401, 輔助計算!$G$2:$G$801, 0)+1))&lt;100, IF(INDEX(ERP資料!$G:$G, (MATCH(401, 輔助計算!$G$2:$G$801, 0)+1))&lt;=31,3,IF(INDEX(ERP資料!$G:$G, (MATCH(401, 輔助計算!$G$2:$G$801, 0)+1))&lt;=46.5,2,1)), IF(INDEX(ERP資料!$G:$G, (MATCH(401, 輔助計算!$G$2:$G$801, 0)+1))&lt;=790,3,IF(INDEX(ERP資料!$G:$G, (MATCH(401, 輔助計算!$G$2:$G$801, 0)+1))&lt;=1181,2,1))))=0,"",IF(MOD(INDEX(輔助計算!$D:$D, (MATCH(401, 輔助計算!$G$2:$G$801, 0)+1)),IF(INDEX(ERP資料!$G:$G, (MATCH(401, 輔助計算!$G$2:$G$801, 0)+1))&lt;100, IF(INDEX(ERP資料!$G:$G, (MATCH(401, 輔助計算!$G$2:$G$801, 0)+1))&lt;=31,3,IF(INDEX(ERP資料!$G:$G, (MATCH(401, 輔助計算!$G$2:$G$801, 0)+1))&lt;=46.5,2,1)), IF(INDEX(ERP資料!$G:$G, (MATCH(401, 輔助計算!$G$2:$G$801, 0)+1))&lt;=790,3,IF(INDEX(ERP資料!$G:$G, (MATCH(401, 輔助計算!$G$2:$G$801, 0)+1))&lt;=1181,2,1))))=1,TEXT(INDEX(ERP資料!$G:$G, (MATCH(401, 輔助計算!$G$2:$G$801, 0)+1)),"0.##"),IF(MOD(INDEX(輔助計算!$D:$D, (MATCH(401, 輔助計算!$G$2:$G$801, 0)+1)),IF(INDEX(ERP資料!$G:$G, (MATCH(401, 輔助計算!$G$2:$G$801, 0)+1))&lt;100, IF(INDEX(ERP資料!$G:$G, (MATCH(401, 輔助計算!$G$2:$G$801, 0)+1))&lt;=31,3,IF(INDEX(ERP資料!$G:$G, (MATCH(401, 輔助計算!$G$2:$G$801, 0)+1))&lt;=46.5,2,1)), IF(INDEX(ERP資料!$G:$G, (MATCH(401, 輔助計算!$G$2:$G$801, 0)+1))&lt;=790,3,IF(INDEX(ERP資料!$G:$G, (MATCH(401, 輔助計算!$G$2:$G$801, 0)+1))&lt;=1181,2,1))))=2,TEXT(INDEX(ERP資料!$G:$G, (MATCH(401, 輔助計算!$G$2:$G$801, 0)+1)),"0.##")&amp;"+"&amp;TEXT(INDEX(ERP資料!$G:$G, (MATCH(401, 輔助計算!$G$2:$G$801, 0)+1)),"0.##"),TEXT(INDEX(ERP資料!$G:$G, (MATCH(401, 輔助計算!$G$2:$G$801, 0)+1)),"0.##")&amp;"+"&amp;TEXT(INDEX(ERP資料!$G:$G, (MATCH(401, 輔助計算!$G$2:$G$801, 0)+1)),"0.##")&amp;"+"&amp;TEXT(INDEX(ERP資料!$G:$G, (MATCH(401, 輔助計算!$G$2:$G$801, 0)+1)),"0.##"))))&amp;"-1")&lt;&gt;""),"  ","")&amp;IF(MOD(INDEX(輔助計算!$D:$D, (MATCH(401, 輔助計算!$G$2:$G$801, 0)+1)),IF(INDEX(ERP資料!$G:$G, (MATCH(401, 輔助計算!$G$2:$G$801, 0)+1))&lt;100, IF(INDEX(ERP資料!$G:$G, (MATCH(401, 輔助計算!$G$2:$G$801, 0)+1))&lt;=31,3,IF(INDEX(ERP資料!$G:$G, (MATCH(401, 輔助計算!$G$2:$G$801, 0)+1))&lt;=46.5,2,1)), IF(INDEX(ERP資料!$G:$G, (MATCH(401, 輔助計算!$G$2:$G$801, 0)+1))&lt;=790,3,IF(INDEX(ERP資料!$G:$G, (MATCH(401, 輔助計算!$G$2:$G$801, 0)+1))&lt;=1181,2,1))))=0,"",IF(MOD(INDEX(輔助計算!$D:$D, (MATCH(401, 輔助計算!$G$2:$G$801, 0)+1)),IF(INDEX(ERP資料!$G:$G, (MATCH(401, 輔助計算!$G$2:$G$801, 0)+1))&lt;100, IF(INDEX(ERP資料!$G:$G, (MATCH(401, 輔助計算!$G$2:$G$801, 0)+1))&lt;=31,3,IF(INDEX(ERP資料!$G:$G, (MATCH(401, 輔助計算!$G$2:$G$801, 0)+1))&lt;=46.5,2,1)), IF(INDEX(ERP資料!$G:$G, (MATCH(401, 輔助計算!$G$2:$G$801, 0)+1))&lt;=790,3,IF(INDEX(ERP資料!$G:$G, (MATCH(401, 輔助計算!$G$2:$G$801, 0)+1))&lt;=1181,2,1))))=0,"",IF(MOD(INDEX(輔助計算!$D:$D, (MATCH(401, 輔助計算!$G$2:$G$801, 0)+1)),IF(INDEX(ERP資料!$G:$G, (MATCH(401, 輔助計算!$G$2:$G$801, 0)+1))&lt;100, IF(INDEX(ERP資料!$G:$G, (MATCH(401, 輔助計算!$G$2:$G$801, 0)+1))&lt;=31,3,IF(INDEX(ERP資料!$G:$G, (MATCH(401, 輔助計算!$G$2:$G$801, 0)+1))&lt;=46.5,2,1)), IF(INDEX(ERP資料!$G:$G, (MATCH(401, 輔助計算!$G$2:$G$801, 0)+1))&lt;=790,3,IF(INDEX(ERP資料!$G:$G, (MATCH(401, 輔助計算!$G$2:$G$801, 0)+1))&lt;=1181,2,1))))=1,TEXT(INDEX(ERP資料!$G:$G, (MATCH(401, 輔助計算!$G$2:$G$801, 0)+1)),"0.##"),IF(MOD(INDEX(輔助計算!$D:$D, (MATCH(401, 輔助計算!$G$2:$G$801, 0)+1)),IF(INDEX(ERP資料!$G:$G, (MATCH(401, 輔助計算!$G$2:$G$801, 0)+1))&lt;100, IF(INDEX(ERP資料!$G:$G, (MATCH(401, 輔助計算!$G$2:$G$801, 0)+1))&lt;=31,3,IF(INDEX(ERP資料!$G:$G, (MATCH(401, 輔助計算!$G$2:$G$801, 0)+1))&lt;=46.5,2,1)), IF(INDEX(ERP資料!$G:$G, (MATCH(401, 輔助計算!$G$2:$G$801, 0)+1))&lt;=790,3,IF(INDEX(ERP資料!$G:$G, (MATCH(401, 輔助計算!$G$2:$G$801, 0)+1))&lt;=1181,2,1))))=2,TEXT(INDEX(ERP資料!$G:$G, (MATCH(401, 輔助計算!$G$2:$G$801, 0)+1)),"0.##")&amp;"+"&amp;TEXT(INDEX(ERP資料!$G:$G, (MATCH(401, 輔助計算!$G$2:$G$801, 0)+1)),"0.##"),TEXT(INDEX(ERP資料!$G:$G, (MATCH(401, 輔助計算!$G$2:$G$801, 0)+1)),"0.##")&amp;"+"&amp;TEXT(INDEX(ERP資料!$G:$G, (MATCH(401, 輔助計算!$G$2:$G$801, 0)+1)),"0.##")&amp;"+"&amp;TEXT(INDEX(ERP資料!$G:$G, (MATCH(401, 輔助計算!$G$2:$G$801, 0)+1)),"0.##"))))&amp;"-1")), ""), "")</f>
        <v/>
      </c>
      <c r="K402" s="16" t="n"/>
      <c r="L402" s="14">
        <f>IFERROR(IF(AND(IFERROR(INDEX(ERP資料!$A:$A, (MATCH(401, 輔助計算!$G$2:$G$801, 0)+1)), "")&lt;&gt;"", IFERROR(INDEX(ERP資料!$A:$A, (MATCH(401, 輔助計算!$G$2:$G$801, 0)+1)), "")&lt;&gt;IFERROR(INDEX(ERP資料!$A:$A, MATCH(400, 輔助計算!$G$2:$G$801, 0)+1), "")), INDEX(ERP資料!$B:$B, (MATCH(401, 輔助計算!$G$2:$G$801, 0)+1)), ""), "")</f>
        <v/>
      </c>
      <c r="M402" s="17" t="n"/>
    </row>
    <row r="403">
      <c r="A403" s="10">
        <f>IFERROR(IF(AND(IFERROR(INDEX(ERP資料!$A:$A, (MATCH(402, 輔助計算!$G$2:$G$801, 0)+1)), "")&lt;&gt;"", IFERROR(INDEX(ERP資料!$A:$A, (MATCH(402, 輔助計算!$G$2:$G$801, 0)+1)), "")&lt;&gt;IFERROR(INDEX(ERP資料!$A:$A, MATCH(401, 輔助計算!$G$2:$G$801, 0)+1), "")), IFERROR(INDEX(ERP資料!$A:$A, (MATCH(402, 輔助計算!$G$2:$G$801, 0)+1)), ""), ""), "")</f>
        <v/>
      </c>
      <c r="B403" s="10">
        <f>IFERROR(IF(AND(IFERROR(INDEX(ERP資料!$A:$A, (MATCH(402, 輔助計算!$G$2:$G$801, 0)+1)), "")&lt;&gt;"", IFERROR(INDEX(ERP資料!$A:$A, (MATCH(402, 輔助計算!$G$2:$G$801, 0)+1)), "")&lt;&gt;IFERROR(INDEX(ERP資料!$A:$A, MATCH(401, 輔助計算!$G$2:$G$801, 0)+1), "")), INDEX(ERP資料!$S:$S, (MATCH(402, 輔助計算!$G$2:$G$801, 0)+1)), ""), "")</f>
        <v/>
      </c>
      <c r="C403" s="19">
        <f>IFERROR(IF(AND(IFERROR(INDEX(ERP資料!$A:$A, (MATCH(402, 輔助計算!$G$2:$G$801, 0)+1)), "")&lt;&gt;"", IFERROR(INDEX(ERP資料!$A:$A, (MATCH(402, 輔助計算!$G$2:$G$801, 0)+1)), "")&lt;&gt;IFERROR(INDEX(ERP資料!$A:$A, MATCH(401, 輔助計算!$G$2:$G$801, 0)+1), "")), IFERROR(VLOOKUP(LEFT(INDEX(ERP資料!$S:$S, (MATCH(402, 輔助計算!$G$2:$G$801, 0)+1)), 4), 紙管對照表!$A:$C, 3, FALSE), ""), ""), "")</f>
        <v/>
      </c>
      <c r="D403" s="16" t="n"/>
      <c r="E403" s="10">
        <f>IFERROR(IF(INDEX(ERP資料!$H:$H, (MATCH(402, 輔助計算!$G$2:$G$801, 0)+1))="","",INDEX(ERP資料!$H:$H, (MATCH(402, 輔助計算!$G$2:$G$801, 0)+1))), "")</f>
        <v/>
      </c>
      <c r="F403" s="10">
        <f>IFERROR(IF(INDEX(ERP資料!$E:$E, (MATCH(402, 輔助計算!$G$2:$G$801, 0)+1))="","",TRIM(INDEX(ERP資料!$E:$E, (MATCH(402, 輔助計算!$G$2:$G$801, 0)+1)))), "")</f>
        <v/>
      </c>
      <c r="G403" s="10">
        <f>IFERROR(IF(INDEX(ERP資料!$F:$F, (MATCH(402, 輔助計算!$G$2:$G$801, 0)+1))="","",INDEX(ERP資料!$F:$F, (MATCH(402, 輔助計算!$G$2:$G$801, 0)+1))), "")</f>
        <v/>
      </c>
      <c r="H403" s="10">
        <f>IFERROR(IF(INDEX(ERP資料!$G:$G, (MATCH(402, 輔助計算!$G$2:$G$801, 0)+1))="","",INDEX(ERP資料!$G:$G, (MATCH(402, 輔助計算!$G$2:$G$801, 0)+1))), "")</f>
        <v/>
      </c>
      <c r="I403" s="15">
        <f>IFERROR(INDEX(輔助計算!$D:$D, (MATCH(402, 輔助計算!$G$2:$G$801, 0)+1)), "")</f>
        <v/>
      </c>
      <c r="J403" s="15">
        <f>IFERROR(IF(AND(INDEX(輔助計算!$D:$D, (MATCH(402, 輔助計算!$G$2:$G$801, 0)+1))&lt;&gt;"", INDEX(ERP資料!$G:$G, (MATCH(402, 輔助計算!$G$2:$G$801, 0)+1))&lt;&gt;""), TRIM(IF(INT(INDEX(輔助計算!$D:$D, (MATCH(402, 輔助計算!$G$2:$G$801, 0)+1))/IF(INDEX(ERP資料!$G:$G, (MATCH(402, 輔助計算!$G$2:$G$801, 0)+1))&lt;100, IF(INDEX(ERP資料!$G:$G, (MATCH(402, 輔助計算!$G$2:$G$801, 0)+1))&lt;=31,3,IF(INDEX(ERP資料!$G:$G, (MATCH(402, 輔助計算!$G$2:$G$801, 0)+1))&lt;=46.5,2,1)), IF(INDEX(ERP資料!$G:$G, (MATCH(402, 輔助計算!$G$2:$G$801, 0)+1))&lt;=790,3,IF(INDEX(ERP資料!$G:$G, (MATCH(402, 輔助計算!$G$2:$G$801, 0)+1))&lt;=1181,2,1))))&gt;0, IF(IF(INDEX(ERP資料!$G:$G, (MATCH(402, 輔助計算!$G$2:$G$801, 0)+1))&lt;100, IF(INDEX(ERP資料!$G:$G, (MATCH(402, 輔助計算!$G$2:$G$801, 0)+1))&lt;=31,3,IF(INDEX(ERP資料!$G:$G, (MATCH(402, 輔助計算!$G$2:$G$801, 0)+1))&lt;=46.5,2,1)), IF(INDEX(ERP資料!$G:$G, (MATCH(402, 輔助計算!$G$2:$G$801, 0)+1))&lt;=790,3,IF(INDEX(ERP資料!$G:$G, (MATCH(402, 輔助計算!$G$2:$G$801, 0)+1))&lt;=1181,2,1)))=1,TEXT(INDEX(ERP資料!$G:$G, (MATCH(402, 輔助計算!$G$2:$G$801, 0)+1)),"0.##"),IF(IF(INDEX(ERP資料!$G:$G, (MATCH(402, 輔助計算!$G$2:$G$801, 0)+1))&lt;100, IF(INDEX(ERP資料!$G:$G, (MATCH(402, 輔助計算!$G$2:$G$801, 0)+1))&lt;=31,3,IF(INDEX(ERP資料!$G:$G, (MATCH(402, 輔助計算!$G$2:$G$801, 0)+1))&lt;=46.5,2,1)), IF(INDEX(ERP資料!$G:$G, (MATCH(402, 輔助計算!$G$2:$G$801, 0)+1))&lt;=790,3,IF(INDEX(ERP資料!$G:$G, (MATCH(402, 輔助計算!$G$2:$G$801, 0)+1))&lt;=1181,2,1)))=2,TEXT(INDEX(ERP資料!$G:$G, (MATCH(402, 輔助計算!$G$2:$G$801, 0)+1)),"0.##")&amp;"+"&amp;TEXT(INDEX(ERP資料!$G:$G, (MATCH(402, 輔助計算!$G$2:$G$801, 0)+1)),"0.##"),TEXT(INDEX(ERP資料!$G:$G, (MATCH(402, 輔助計算!$G$2:$G$801, 0)+1)),"0.##")&amp;"+"&amp;TEXT(INDEX(ERP資料!$G:$G, (MATCH(402, 輔助計算!$G$2:$G$801, 0)+1)),"0.##")&amp;"+"&amp;TEXT(INDEX(ERP資料!$G:$G, (MATCH(402, 輔助計算!$G$2:$G$801, 0)+1)),"0.##")))&amp;"-"&amp;INT(INDEX(輔助計算!$D:$D, (MATCH(402, 輔助計算!$G$2:$G$801, 0)+1))/IF(INDEX(ERP資料!$G:$G, (MATCH(402, 輔助計算!$G$2:$G$801, 0)+1))&lt;100, IF(INDEX(ERP資料!$G:$G, (MATCH(402, 輔助計算!$G$2:$G$801, 0)+1))&lt;=31,3,IF(INDEX(ERP資料!$G:$G, (MATCH(402, 輔助計算!$G$2:$G$801, 0)+1))&lt;=46.5,2,1)), IF(INDEX(ERP資料!$G:$G, (MATCH(402, 輔助計算!$G$2:$G$801, 0)+1))&lt;=790,3,IF(INDEX(ERP資料!$G:$G, (MATCH(402, 輔助計算!$G$2:$G$801, 0)+1))&lt;=1181,2,1)))), "")&amp;IF(AND(IF(INT(INDEX(輔助計算!$D:$D, (MATCH(402, 輔助計算!$G$2:$G$801, 0)+1))/IF(INDEX(ERP資料!$G:$G, (MATCH(402, 輔助計算!$G$2:$G$801, 0)+1))&lt;100, IF(INDEX(ERP資料!$G:$G, (MATCH(402, 輔助計算!$G$2:$G$801, 0)+1))&lt;=31,3,IF(INDEX(ERP資料!$G:$G, (MATCH(402, 輔助計算!$G$2:$G$801, 0)+1))&lt;=46.5,2,1)), IF(INDEX(ERP資料!$G:$G, (MATCH(402, 輔助計算!$G$2:$G$801, 0)+1))&lt;=790,3,IF(INDEX(ERP資料!$G:$G, (MATCH(402, 輔助計算!$G$2:$G$801, 0)+1))&lt;=1181,2,1))))&gt;0, IF(IF(INDEX(ERP資料!$G:$G, (MATCH(402, 輔助計算!$G$2:$G$801, 0)+1))&lt;100, IF(INDEX(ERP資料!$G:$G, (MATCH(402, 輔助計算!$G$2:$G$801, 0)+1))&lt;=31,3,IF(INDEX(ERP資料!$G:$G, (MATCH(402, 輔助計算!$G$2:$G$801, 0)+1))&lt;=46.5,2,1)), IF(INDEX(ERP資料!$G:$G, (MATCH(402, 輔助計算!$G$2:$G$801, 0)+1))&lt;=790,3,IF(INDEX(ERP資料!$G:$G, (MATCH(402, 輔助計算!$G$2:$G$801, 0)+1))&lt;=1181,2,1)))=1,TEXT(INDEX(ERP資料!$G:$G, (MATCH(402, 輔助計算!$G$2:$G$801, 0)+1)),"0.##"),IF(IF(INDEX(ERP資料!$G:$G, (MATCH(402, 輔助計算!$G$2:$G$801, 0)+1))&lt;100, IF(INDEX(ERP資料!$G:$G, (MATCH(402, 輔助計算!$G$2:$G$801, 0)+1))&lt;=31,3,IF(INDEX(ERP資料!$G:$G, (MATCH(402, 輔助計算!$G$2:$G$801, 0)+1))&lt;=46.5,2,1)), IF(INDEX(ERP資料!$G:$G, (MATCH(402, 輔助計算!$G$2:$G$801, 0)+1))&lt;=790,3,IF(INDEX(ERP資料!$G:$G, (MATCH(402, 輔助計算!$G$2:$G$801, 0)+1))&lt;=1181,2,1)))=2,TEXT(INDEX(ERP資料!$G:$G, (MATCH(402, 輔助計算!$G$2:$G$801, 0)+1)),"0.##")&amp;"+"&amp;TEXT(INDEX(ERP資料!$G:$G, (MATCH(402, 輔助計算!$G$2:$G$801, 0)+1)),"0.##"),TEXT(INDEX(ERP資料!$G:$G, (MATCH(402, 輔助計算!$G$2:$G$801, 0)+1)),"0.##")&amp;"+"&amp;TEXT(INDEX(ERP資料!$G:$G, (MATCH(402, 輔助計算!$G$2:$G$801, 0)+1)),"0.##")&amp;"+"&amp;TEXT(INDEX(ERP資料!$G:$G, (MATCH(402, 輔助計算!$G$2:$G$801, 0)+1)),"0.##")))&amp;"-"&amp;INT(INDEX(輔助計算!$D:$D, (MATCH(402, 輔助計算!$G$2:$G$801, 0)+1))/IF(INDEX(ERP資料!$G:$G, (MATCH(402, 輔助計算!$G$2:$G$801, 0)+1))&lt;100, IF(INDEX(ERP資料!$G:$G, (MATCH(402, 輔助計算!$G$2:$G$801, 0)+1))&lt;=31,3,IF(INDEX(ERP資料!$G:$G, (MATCH(402, 輔助計算!$G$2:$G$801, 0)+1))&lt;=46.5,2,1)), IF(INDEX(ERP資料!$G:$G, (MATCH(402, 輔助計算!$G$2:$G$801, 0)+1))&lt;=790,3,IF(INDEX(ERP資料!$G:$G, (MATCH(402, 輔助計算!$G$2:$G$801, 0)+1))&lt;=1181,2,1)))), "")&lt;&gt;"",IF(MOD(INDEX(輔助計算!$D:$D, (MATCH(402, 輔助計算!$G$2:$G$801, 0)+1)),IF(INDEX(ERP資料!$G:$G, (MATCH(402, 輔助計算!$G$2:$G$801, 0)+1))&lt;100, IF(INDEX(ERP資料!$G:$G, (MATCH(402, 輔助計算!$G$2:$G$801, 0)+1))&lt;=31,3,IF(INDEX(ERP資料!$G:$G, (MATCH(402, 輔助計算!$G$2:$G$801, 0)+1))&lt;=46.5,2,1)), IF(INDEX(ERP資料!$G:$G, (MATCH(402, 輔助計算!$G$2:$G$801, 0)+1))&lt;=790,3,IF(INDEX(ERP資料!$G:$G, (MATCH(402, 輔助計算!$G$2:$G$801, 0)+1))&lt;=1181,2,1))))=0,"",IF(MOD(INDEX(輔助計算!$D:$D, (MATCH(402, 輔助計算!$G$2:$G$801, 0)+1)),IF(INDEX(ERP資料!$G:$G, (MATCH(402, 輔助計算!$G$2:$G$801, 0)+1))&lt;100, IF(INDEX(ERP資料!$G:$G, (MATCH(402, 輔助計算!$G$2:$G$801, 0)+1))&lt;=31,3,IF(INDEX(ERP資料!$G:$G, (MATCH(402, 輔助計算!$G$2:$G$801, 0)+1))&lt;=46.5,2,1)), IF(INDEX(ERP資料!$G:$G, (MATCH(402, 輔助計算!$G$2:$G$801, 0)+1))&lt;=790,3,IF(INDEX(ERP資料!$G:$G, (MATCH(402, 輔助計算!$G$2:$G$801, 0)+1))&lt;=1181,2,1))))=0,"",IF(MOD(INDEX(輔助計算!$D:$D, (MATCH(402, 輔助計算!$G$2:$G$801, 0)+1)),IF(INDEX(ERP資料!$G:$G, (MATCH(402, 輔助計算!$G$2:$G$801, 0)+1))&lt;100, IF(INDEX(ERP資料!$G:$G, (MATCH(402, 輔助計算!$G$2:$G$801, 0)+1))&lt;=31,3,IF(INDEX(ERP資料!$G:$G, (MATCH(402, 輔助計算!$G$2:$G$801, 0)+1))&lt;=46.5,2,1)), IF(INDEX(ERP資料!$G:$G, (MATCH(402, 輔助計算!$G$2:$G$801, 0)+1))&lt;=790,3,IF(INDEX(ERP資料!$G:$G, (MATCH(402, 輔助計算!$G$2:$G$801, 0)+1))&lt;=1181,2,1))))=1,TEXT(INDEX(ERP資料!$G:$G, (MATCH(402, 輔助計算!$G$2:$G$801, 0)+1)),"0.##"),IF(MOD(INDEX(輔助計算!$D:$D, (MATCH(402, 輔助計算!$G$2:$G$801, 0)+1)),IF(INDEX(ERP資料!$G:$G, (MATCH(402, 輔助計算!$G$2:$G$801, 0)+1))&lt;100, IF(INDEX(ERP資料!$G:$G, (MATCH(402, 輔助計算!$G$2:$G$801, 0)+1))&lt;=31,3,IF(INDEX(ERP資料!$G:$G, (MATCH(402, 輔助計算!$G$2:$G$801, 0)+1))&lt;=46.5,2,1)), IF(INDEX(ERP資料!$G:$G, (MATCH(402, 輔助計算!$G$2:$G$801, 0)+1))&lt;=790,3,IF(INDEX(ERP資料!$G:$G, (MATCH(402, 輔助計算!$G$2:$G$801, 0)+1))&lt;=1181,2,1))))=2,TEXT(INDEX(ERP資料!$G:$G, (MATCH(402, 輔助計算!$G$2:$G$801, 0)+1)),"0.##")&amp;"+"&amp;TEXT(INDEX(ERP資料!$G:$G, (MATCH(402, 輔助計算!$G$2:$G$801, 0)+1)),"0.##"),TEXT(INDEX(ERP資料!$G:$G, (MATCH(402, 輔助計算!$G$2:$G$801, 0)+1)),"0.##")&amp;"+"&amp;TEXT(INDEX(ERP資料!$G:$G, (MATCH(402, 輔助計算!$G$2:$G$801, 0)+1)),"0.##")&amp;"+"&amp;TEXT(INDEX(ERP資料!$G:$G, (MATCH(402, 輔助計算!$G$2:$G$801, 0)+1)),"0.##"))))&amp;"-1")&lt;&gt;""),"  ","")&amp;IF(MOD(INDEX(輔助計算!$D:$D, (MATCH(402, 輔助計算!$G$2:$G$801, 0)+1)),IF(INDEX(ERP資料!$G:$G, (MATCH(402, 輔助計算!$G$2:$G$801, 0)+1))&lt;100, IF(INDEX(ERP資料!$G:$G, (MATCH(402, 輔助計算!$G$2:$G$801, 0)+1))&lt;=31,3,IF(INDEX(ERP資料!$G:$G, (MATCH(402, 輔助計算!$G$2:$G$801, 0)+1))&lt;=46.5,2,1)), IF(INDEX(ERP資料!$G:$G, (MATCH(402, 輔助計算!$G$2:$G$801, 0)+1))&lt;=790,3,IF(INDEX(ERP資料!$G:$G, (MATCH(402, 輔助計算!$G$2:$G$801, 0)+1))&lt;=1181,2,1))))=0,"",IF(MOD(INDEX(輔助計算!$D:$D, (MATCH(402, 輔助計算!$G$2:$G$801, 0)+1)),IF(INDEX(ERP資料!$G:$G, (MATCH(402, 輔助計算!$G$2:$G$801, 0)+1))&lt;100, IF(INDEX(ERP資料!$G:$G, (MATCH(402, 輔助計算!$G$2:$G$801, 0)+1))&lt;=31,3,IF(INDEX(ERP資料!$G:$G, (MATCH(402, 輔助計算!$G$2:$G$801, 0)+1))&lt;=46.5,2,1)), IF(INDEX(ERP資料!$G:$G, (MATCH(402, 輔助計算!$G$2:$G$801, 0)+1))&lt;=790,3,IF(INDEX(ERP資料!$G:$G, (MATCH(402, 輔助計算!$G$2:$G$801, 0)+1))&lt;=1181,2,1))))=0,"",IF(MOD(INDEX(輔助計算!$D:$D, (MATCH(402, 輔助計算!$G$2:$G$801, 0)+1)),IF(INDEX(ERP資料!$G:$G, (MATCH(402, 輔助計算!$G$2:$G$801, 0)+1))&lt;100, IF(INDEX(ERP資料!$G:$G, (MATCH(402, 輔助計算!$G$2:$G$801, 0)+1))&lt;=31,3,IF(INDEX(ERP資料!$G:$G, (MATCH(402, 輔助計算!$G$2:$G$801, 0)+1))&lt;=46.5,2,1)), IF(INDEX(ERP資料!$G:$G, (MATCH(402, 輔助計算!$G$2:$G$801, 0)+1))&lt;=790,3,IF(INDEX(ERP資料!$G:$G, (MATCH(402, 輔助計算!$G$2:$G$801, 0)+1))&lt;=1181,2,1))))=1,TEXT(INDEX(ERP資料!$G:$G, (MATCH(402, 輔助計算!$G$2:$G$801, 0)+1)),"0.##"),IF(MOD(INDEX(輔助計算!$D:$D, (MATCH(402, 輔助計算!$G$2:$G$801, 0)+1)),IF(INDEX(ERP資料!$G:$G, (MATCH(402, 輔助計算!$G$2:$G$801, 0)+1))&lt;100, IF(INDEX(ERP資料!$G:$G, (MATCH(402, 輔助計算!$G$2:$G$801, 0)+1))&lt;=31,3,IF(INDEX(ERP資料!$G:$G, (MATCH(402, 輔助計算!$G$2:$G$801, 0)+1))&lt;=46.5,2,1)), IF(INDEX(ERP資料!$G:$G, (MATCH(402, 輔助計算!$G$2:$G$801, 0)+1))&lt;=790,3,IF(INDEX(ERP資料!$G:$G, (MATCH(402, 輔助計算!$G$2:$G$801, 0)+1))&lt;=1181,2,1))))=2,TEXT(INDEX(ERP資料!$G:$G, (MATCH(402, 輔助計算!$G$2:$G$801, 0)+1)),"0.##")&amp;"+"&amp;TEXT(INDEX(ERP資料!$G:$G, (MATCH(402, 輔助計算!$G$2:$G$801, 0)+1)),"0.##"),TEXT(INDEX(ERP資料!$G:$G, (MATCH(402, 輔助計算!$G$2:$G$801, 0)+1)),"0.##")&amp;"+"&amp;TEXT(INDEX(ERP資料!$G:$G, (MATCH(402, 輔助計算!$G$2:$G$801, 0)+1)),"0.##")&amp;"+"&amp;TEXT(INDEX(ERP資料!$G:$G, (MATCH(402, 輔助計算!$G$2:$G$801, 0)+1)),"0.##"))))&amp;"-1")), ""), "")</f>
        <v/>
      </c>
      <c r="K403" s="16" t="n"/>
      <c r="L403" s="14">
        <f>IFERROR(IF(AND(IFERROR(INDEX(ERP資料!$A:$A, (MATCH(402, 輔助計算!$G$2:$G$801, 0)+1)), "")&lt;&gt;"", IFERROR(INDEX(ERP資料!$A:$A, (MATCH(402, 輔助計算!$G$2:$G$801, 0)+1)), "")&lt;&gt;IFERROR(INDEX(ERP資料!$A:$A, MATCH(401, 輔助計算!$G$2:$G$801, 0)+1), "")), INDEX(ERP資料!$B:$B, (MATCH(402, 輔助計算!$G$2:$G$801, 0)+1)), ""), "")</f>
        <v/>
      </c>
      <c r="M403" s="17" t="n"/>
    </row>
    <row r="404">
      <c r="A404" s="10">
        <f>IFERROR(IF(AND(IFERROR(INDEX(ERP資料!$A:$A, (MATCH(403, 輔助計算!$G$2:$G$801, 0)+1)), "")&lt;&gt;"", IFERROR(INDEX(ERP資料!$A:$A, (MATCH(403, 輔助計算!$G$2:$G$801, 0)+1)), "")&lt;&gt;IFERROR(INDEX(ERP資料!$A:$A, MATCH(402, 輔助計算!$G$2:$G$801, 0)+1), "")), IFERROR(INDEX(ERP資料!$A:$A, (MATCH(403, 輔助計算!$G$2:$G$801, 0)+1)), ""), ""), "")</f>
        <v/>
      </c>
      <c r="B404" s="10">
        <f>IFERROR(IF(AND(IFERROR(INDEX(ERP資料!$A:$A, (MATCH(403, 輔助計算!$G$2:$G$801, 0)+1)), "")&lt;&gt;"", IFERROR(INDEX(ERP資料!$A:$A, (MATCH(403, 輔助計算!$G$2:$G$801, 0)+1)), "")&lt;&gt;IFERROR(INDEX(ERP資料!$A:$A, MATCH(402, 輔助計算!$G$2:$G$801, 0)+1), "")), INDEX(ERP資料!$S:$S, (MATCH(403, 輔助計算!$G$2:$G$801, 0)+1)), ""), "")</f>
        <v/>
      </c>
      <c r="C404" s="19">
        <f>IFERROR(IF(AND(IFERROR(INDEX(ERP資料!$A:$A, (MATCH(403, 輔助計算!$G$2:$G$801, 0)+1)), "")&lt;&gt;"", IFERROR(INDEX(ERP資料!$A:$A, (MATCH(403, 輔助計算!$G$2:$G$801, 0)+1)), "")&lt;&gt;IFERROR(INDEX(ERP資料!$A:$A, MATCH(402, 輔助計算!$G$2:$G$801, 0)+1), "")), IFERROR(VLOOKUP(LEFT(INDEX(ERP資料!$S:$S, (MATCH(403, 輔助計算!$G$2:$G$801, 0)+1)), 4), 紙管對照表!$A:$C, 3, FALSE), ""), ""), "")</f>
        <v/>
      </c>
      <c r="D404" s="16" t="n"/>
      <c r="E404" s="10">
        <f>IFERROR(IF(INDEX(ERP資料!$H:$H, (MATCH(403, 輔助計算!$G$2:$G$801, 0)+1))="","",INDEX(ERP資料!$H:$H, (MATCH(403, 輔助計算!$G$2:$G$801, 0)+1))), "")</f>
        <v/>
      </c>
      <c r="F404" s="10">
        <f>IFERROR(IF(INDEX(ERP資料!$E:$E, (MATCH(403, 輔助計算!$G$2:$G$801, 0)+1))="","",TRIM(INDEX(ERP資料!$E:$E, (MATCH(403, 輔助計算!$G$2:$G$801, 0)+1)))), "")</f>
        <v/>
      </c>
      <c r="G404" s="10">
        <f>IFERROR(IF(INDEX(ERP資料!$F:$F, (MATCH(403, 輔助計算!$G$2:$G$801, 0)+1))="","",INDEX(ERP資料!$F:$F, (MATCH(403, 輔助計算!$G$2:$G$801, 0)+1))), "")</f>
        <v/>
      </c>
      <c r="H404" s="10">
        <f>IFERROR(IF(INDEX(ERP資料!$G:$G, (MATCH(403, 輔助計算!$G$2:$G$801, 0)+1))="","",INDEX(ERP資料!$G:$G, (MATCH(403, 輔助計算!$G$2:$G$801, 0)+1))), "")</f>
        <v/>
      </c>
      <c r="I404" s="15">
        <f>IFERROR(INDEX(輔助計算!$D:$D, (MATCH(403, 輔助計算!$G$2:$G$801, 0)+1)), "")</f>
        <v/>
      </c>
      <c r="J404" s="15">
        <f>IFERROR(IF(AND(INDEX(輔助計算!$D:$D, (MATCH(403, 輔助計算!$G$2:$G$801, 0)+1))&lt;&gt;"", INDEX(ERP資料!$G:$G, (MATCH(403, 輔助計算!$G$2:$G$801, 0)+1))&lt;&gt;""), TRIM(IF(INT(INDEX(輔助計算!$D:$D, (MATCH(403, 輔助計算!$G$2:$G$801, 0)+1))/IF(INDEX(ERP資料!$G:$G, (MATCH(403, 輔助計算!$G$2:$G$801, 0)+1))&lt;100, IF(INDEX(ERP資料!$G:$G, (MATCH(403, 輔助計算!$G$2:$G$801, 0)+1))&lt;=31,3,IF(INDEX(ERP資料!$G:$G, (MATCH(403, 輔助計算!$G$2:$G$801, 0)+1))&lt;=46.5,2,1)), IF(INDEX(ERP資料!$G:$G, (MATCH(403, 輔助計算!$G$2:$G$801, 0)+1))&lt;=790,3,IF(INDEX(ERP資料!$G:$G, (MATCH(403, 輔助計算!$G$2:$G$801, 0)+1))&lt;=1181,2,1))))&gt;0, IF(IF(INDEX(ERP資料!$G:$G, (MATCH(403, 輔助計算!$G$2:$G$801, 0)+1))&lt;100, IF(INDEX(ERP資料!$G:$G, (MATCH(403, 輔助計算!$G$2:$G$801, 0)+1))&lt;=31,3,IF(INDEX(ERP資料!$G:$G, (MATCH(403, 輔助計算!$G$2:$G$801, 0)+1))&lt;=46.5,2,1)), IF(INDEX(ERP資料!$G:$G, (MATCH(403, 輔助計算!$G$2:$G$801, 0)+1))&lt;=790,3,IF(INDEX(ERP資料!$G:$G, (MATCH(403, 輔助計算!$G$2:$G$801, 0)+1))&lt;=1181,2,1)))=1,TEXT(INDEX(ERP資料!$G:$G, (MATCH(403, 輔助計算!$G$2:$G$801, 0)+1)),"0.##"),IF(IF(INDEX(ERP資料!$G:$G, (MATCH(403, 輔助計算!$G$2:$G$801, 0)+1))&lt;100, IF(INDEX(ERP資料!$G:$G, (MATCH(403, 輔助計算!$G$2:$G$801, 0)+1))&lt;=31,3,IF(INDEX(ERP資料!$G:$G, (MATCH(403, 輔助計算!$G$2:$G$801, 0)+1))&lt;=46.5,2,1)), IF(INDEX(ERP資料!$G:$G, (MATCH(403, 輔助計算!$G$2:$G$801, 0)+1))&lt;=790,3,IF(INDEX(ERP資料!$G:$G, (MATCH(403, 輔助計算!$G$2:$G$801, 0)+1))&lt;=1181,2,1)))=2,TEXT(INDEX(ERP資料!$G:$G, (MATCH(403, 輔助計算!$G$2:$G$801, 0)+1)),"0.##")&amp;"+"&amp;TEXT(INDEX(ERP資料!$G:$G, (MATCH(403, 輔助計算!$G$2:$G$801, 0)+1)),"0.##"),TEXT(INDEX(ERP資料!$G:$G, (MATCH(403, 輔助計算!$G$2:$G$801, 0)+1)),"0.##")&amp;"+"&amp;TEXT(INDEX(ERP資料!$G:$G, (MATCH(403, 輔助計算!$G$2:$G$801, 0)+1)),"0.##")&amp;"+"&amp;TEXT(INDEX(ERP資料!$G:$G, (MATCH(403, 輔助計算!$G$2:$G$801, 0)+1)),"0.##")))&amp;"-"&amp;INT(INDEX(輔助計算!$D:$D, (MATCH(403, 輔助計算!$G$2:$G$801, 0)+1))/IF(INDEX(ERP資料!$G:$G, (MATCH(403, 輔助計算!$G$2:$G$801, 0)+1))&lt;100, IF(INDEX(ERP資料!$G:$G, (MATCH(403, 輔助計算!$G$2:$G$801, 0)+1))&lt;=31,3,IF(INDEX(ERP資料!$G:$G, (MATCH(403, 輔助計算!$G$2:$G$801, 0)+1))&lt;=46.5,2,1)), IF(INDEX(ERP資料!$G:$G, (MATCH(403, 輔助計算!$G$2:$G$801, 0)+1))&lt;=790,3,IF(INDEX(ERP資料!$G:$G, (MATCH(403, 輔助計算!$G$2:$G$801, 0)+1))&lt;=1181,2,1)))), "")&amp;IF(AND(IF(INT(INDEX(輔助計算!$D:$D, (MATCH(403, 輔助計算!$G$2:$G$801, 0)+1))/IF(INDEX(ERP資料!$G:$G, (MATCH(403, 輔助計算!$G$2:$G$801, 0)+1))&lt;100, IF(INDEX(ERP資料!$G:$G, (MATCH(403, 輔助計算!$G$2:$G$801, 0)+1))&lt;=31,3,IF(INDEX(ERP資料!$G:$G, (MATCH(403, 輔助計算!$G$2:$G$801, 0)+1))&lt;=46.5,2,1)), IF(INDEX(ERP資料!$G:$G, (MATCH(403, 輔助計算!$G$2:$G$801, 0)+1))&lt;=790,3,IF(INDEX(ERP資料!$G:$G, (MATCH(403, 輔助計算!$G$2:$G$801, 0)+1))&lt;=1181,2,1))))&gt;0, IF(IF(INDEX(ERP資料!$G:$G, (MATCH(403, 輔助計算!$G$2:$G$801, 0)+1))&lt;100, IF(INDEX(ERP資料!$G:$G, (MATCH(403, 輔助計算!$G$2:$G$801, 0)+1))&lt;=31,3,IF(INDEX(ERP資料!$G:$G, (MATCH(403, 輔助計算!$G$2:$G$801, 0)+1))&lt;=46.5,2,1)), IF(INDEX(ERP資料!$G:$G, (MATCH(403, 輔助計算!$G$2:$G$801, 0)+1))&lt;=790,3,IF(INDEX(ERP資料!$G:$G, (MATCH(403, 輔助計算!$G$2:$G$801, 0)+1))&lt;=1181,2,1)))=1,TEXT(INDEX(ERP資料!$G:$G, (MATCH(403, 輔助計算!$G$2:$G$801, 0)+1)),"0.##"),IF(IF(INDEX(ERP資料!$G:$G, (MATCH(403, 輔助計算!$G$2:$G$801, 0)+1))&lt;100, IF(INDEX(ERP資料!$G:$G, (MATCH(403, 輔助計算!$G$2:$G$801, 0)+1))&lt;=31,3,IF(INDEX(ERP資料!$G:$G, (MATCH(403, 輔助計算!$G$2:$G$801, 0)+1))&lt;=46.5,2,1)), IF(INDEX(ERP資料!$G:$G, (MATCH(403, 輔助計算!$G$2:$G$801, 0)+1))&lt;=790,3,IF(INDEX(ERP資料!$G:$G, (MATCH(403, 輔助計算!$G$2:$G$801, 0)+1))&lt;=1181,2,1)))=2,TEXT(INDEX(ERP資料!$G:$G, (MATCH(403, 輔助計算!$G$2:$G$801, 0)+1)),"0.##")&amp;"+"&amp;TEXT(INDEX(ERP資料!$G:$G, (MATCH(403, 輔助計算!$G$2:$G$801, 0)+1)),"0.##"),TEXT(INDEX(ERP資料!$G:$G, (MATCH(403, 輔助計算!$G$2:$G$801, 0)+1)),"0.##")&amp;"+"&amp;TEXT(INDEX(ERP資料!$G:$G, (MATCH(403, 輔助計算!$G$2:$G$801, 0)+1)),"0.##")&amp;"+"&amp;TEXT(INDEX(ERP資料!$G:$G, (MATCH(403, 輔助計算!$G$2:$G$801, 0)+1)),"0.##")))&amp;"-"&amp;INT(INDEX(輔助計算!$D:$D, (MATCH(403, 輔助計算!$G$2:$G$801, 0)+1))/IF(INDEX(ERP資料!$G:$G, (MATCH(403, 輔助計算!$G$2:$G$801, 0)+1))&lt;100, IF(INDEX(ERP資料!$G:$G, (MATCH(403, 輔助計算!$G$2:$G$801, 0)+1))&lt;=31,3,IF(INDEX(ERP資料!$G:$G, (MATCH(403, 輔助計算!$G$2:$G$801, 0)+1))&lt;=46.5,2,1)), IF(INDEX(ERP資料!$G:$G, (MATCH(403, 輔助計算!$G$2:$G$801, 0)+1))&lt;=790,3,IF(INDEX(ERP資料!$G:$G, (MATCH(403, 輔助計算!$G$2:$G$801, 0)+1))&lt;=1181,2,1)))), "")&lt;&gt;"",IF(MOD(INDEX(輔助計算!$D:$D, (MATCH(403, 輔助計算!$G$2:$G$801, 0)+1)),IF(INDEX(ERP資料!$G:$G, (MATCH(403, 輔助計算!$G$2:$G$801, 0)+1))&lt;100, IF(INDEX(ERP資料!$G:$G, (MATCH(403, 輔助計算!$G$2:$G$801, 0)+1))&lt;=31,3,IF(INDEX(ERP資料!$G:$G, (MATCH(403, 輔助計算!$G$2:$G$801, 0)+1))&lt;=46.5,2,1)), IF(INDEX(ERP資料!$G:$G, (MATCH(403, 輔助計算!$G$2:$G$801, 0)+1))&lt;=790,3,IF(INDEX(ERP資料!$G:$G, (MATCH(403, 輔助計算!$G$2:$G$801, 0)+1))&lt;=1181,2,1))))=0,"",IF(MOD(INDEX(輔助計算!$D:$D, (MATCH(403, 輔助計算!$G$2:$G$801, 0)+1)),IF(INDEX(ERP資料!$G:$G, (MATCH(403, 輔助計算!$G$2:$G$801, 0)+1))&lt;100, IF(INDEX(ERP資料!$G:$G, (MATCH(403, 輔助計算!$G$2:$G$801, 0)+1))&lt;=31,3,IF(INDEX(ERP資料!$G:$G, (MATCH(403, 輔助計算!$G$2:$G$801, 0)+1))&lt;=46.5,2,1)), IF(INDEX(ERP資料!$G:$G, (MATCH(403, 輔助計算!$G$2:$G$801, 0)+1))&lt;=790,3,IF(INDEX(ERP資料!$G:$G, (MATCH(403, 輔助計算!$G$2:$G$801, 0)+1))&lt;=1181,2,1))))=0,"",IF(MOD(INDEX(輔助計算!$D:$D, (MATCH(403, 輔助計算!$G$2:$G$801, 0)+1)),IF(INDEX(ERP資料!$G:$G, (MATCH(403, 輔助計算!$G$2:$G$801, 0)+1))&lt;100, IF(INDEX(ERP資料!$G:$G, (MATCH(403, 輔助計算!$G$2:$G$801, 0)+1))&lt;=31,3,IF(INDEX(ERP資料!$G:$G, (MATCH(403, 輔助計算!$G$2:$G$801, 0)+1))&lt;=46.5,2,1)), IF(INDEX(ERP資料!$G:$G, (MATCH(403, 輔助計算!$G$2:$G$801, 0)+1))&lt;=790,3,IF(INDEX(ERP資料!$G:$G, (MATCH(403, 輔助計算!$G$2:$G$801, 0)+1))&lt;=1181,2,1))))=1,TEXT(INDEX(ERP資料!$G:$G, (MATCH(403, 輔助計算!$G$2:$G$801, 0)+1)),"0.##"),IF(MOD(INDEX(輔助計算!$D:$D, (MATCH(403, 輔助計算!$G$2:$G$801, 0)+1)),IF(INDEX(ERP資料!$G:$G, (MATCH(403, 輔助計算!$G$2:$G$801, 0)+1))&lt;100, IF(INDEX(ERP資料!$G:$G, (MATCH(403, 輔助計算!$G$2:$G$801, 0)+1))&lt;=31,3,IF(INDEX(ERP資料!$G:$G, (MATCH(403, 輔助計算!$G$2:$G$801, 0)+1))&lt;=46.5,2,1)), IF(INDEX(ERP資料!$G:$G, (MATCH(403, 輔助計算!$G$2:$G$801, 0)+1))&lt;=790,3,IF(INDEX(ERP資料!$G:$G, (MATCH(403, 輔助計算!$G$2:$G$801, 0)+1))&lt;=1181,2,1))))=2,TEXT(INDEX(ERP資料!$G:$G, (MATCH(403, 輔助計算!$G$2:$G$801, 0)+1)),"0.##")&amp;"+"&amp;TEXT(INDEX(ERP資料!$G:$G, (MATCH(403, 輔助計算!$G$2:$G$801, 0)+1)),"0.##"),TEXT(INDEX(ERP資料!$G:$G, (MATCH(403, 輔助計算!$G$2:$G$801, 0)+1)),"0.##")&amp;"+"&amp;TEXT(INDEX(ERP資料!$G:$G, (MATCH(403, 輔助計算!$G$2:$G$801, 0)+1)),"0.##")&amp;"+"&amp;TEXT(INDEX(ERP資料!$G:$G, (MATCH(403, 輔助計算!$G$2:$G$801, 0)+1)),"0.##"))))&amp;"-1")&lt;&gt;""),"  ","")&amp;IF(MOD(INDEX(輔助計算!$D:$D, (MATCH(403, 輔助計算!$G$2:$G$801, 0)+1)),IF(INDEX(ERP資料!$G:$G, (MATCH(403, 輔助計算!$G$2:$G$801, 0)+1))&lt;100, IF(INDEX(ERP資料!$G:$G, (MATCH(403, 輔助計算!$G$2:$G$801, 0)+1))&lt;=31,3,IF(INDEX(ERP資料!$G:$G, (MATCH(403, 輔助計算!$G$2:$G$801, 0)+1))&lt;=46.5,2,1)), IF(INDEX(ERP資料!$G:$G, (MATCH(403, 輔助計算!$G$2:$G$801, 0)+1))&lt;=790,3,IF(INDEX(ERP資料!$G:$G, (MATCH(403, 輔助計算!$G$2:$G$801, 0)+1))&lt;=1181,2,1))))=0,"",IF(MOD(INDEX(輔助計算!$D:$D, (MATCH(403, 輔助計算!$G$2:$G$801, 0)+1)),IF(INDEX(ERP資料!$G:$G, (MATCH(403, 輔助計算!$G$2:$G$801, 0)+1))&lt;100, IF(INDEX(ERP資料!$G:$G, (MATCH(403, 輔助計算!$G$2:$G$801, 0)+1))&lt;=31,3,IF(INDEX(ERP資料!$G:$G, (MATCH(403, 輔助計算!$G$2:$G$801, 0)+1))&lt;=46.5,2,1)), IF(INDEX(ERP資料!$G:$G, (MATCH(403, 輔助計算!$G$2:$G$801, 0)+1))&lt;=790,3,IF(INDEX(ERP資料!$G:$G, (MATCH(403, 輔助計算!$G$2:$G$801, 0)+1))&lt;=1181,2,1))))=0,"",IF(MOD(INDEX(輔助計算!$D:$D, (MATCH(403, 輔助計算!$G$2:$G$801, 0)+1)),IF(INDEX(ERP資料!$G:$G, (MATCH(403, 輔助計算!$G$2:$G$801, 0)+1))&lt;100, IF(INDEX(ERP資料!$G:$G, (MATCH(403, 輔助計算!$G$2:$G$801, 0)+1))&lt;=31,3,IF(INDEX(ERP資料!$G:$G, (MATCH(403, 輔助計算!$G$2:$G$801, 0)+1))&lt;=46.5,2,1)), IF(INDEX(ERP資料!$G:$G, (MATCH(403, 輔助計算!$G$2:$G$801, 0)+1))&lt;=790,3,IF(INDEX(ERP資料!$G:$G, (MATCH(403, 輔助計算!$G$2:$G$801, 0)+1))&lt;=1181,2,1))))=1,TEXT(INDEX(ERP資料!$G:$G, (MATCH(403, 輔助計算!$G$2:$G$801, 0)+1)),"0.##"),IF(MOD(INDEX(輔助計算!$D:$D, (MATCH(403, 輔助計算!$G$2:$G$801, 0)+1)),IF(INDEX(ERP資料!$G:$G, (MATCH(403, 輔助計算!$G$2:$G$801, 0)+1))&lt;100, IF(INDEX(ERP資料!$G:$G, (MATCH(403, 輔助計算!$G$2:$G$801, 0)+1))&lt;=31,3,IF(INDEX(ERP資料!$G:$G, (MATCH(403, 輔助計算!$G$2:$G$801, 0)+1))&lt;=46.5,2,1)), IF(INDEX(ERP資料!$G:$G, (MATCH(403, 輔助計算!$G$2:$G$801, 0)+1))&lt;=790,3,IF(INDEX(ERP資料!$G:$G, (MATCH(403, 輔助計算!$G$2:$G$801, 0)+1))&lt;=1181,2,1))))=2,TEXT(INDEX(ERP資料!$G:$G, (MATCH(403, 輔助計算!$G$2:$G$801, 0)+1)),"0.##")&amp;"+"&amp;TEXT(INDEX(ERP資料!$G:$G, (MATCH(403, 輔助計算!$G$2:$G$801, 0)+1)),"0.##"),TEXT(INDEX(ERP資料!$G:$G, (MATCH(403, 輔助計算!$G$2:$G$801, 0)+1)),"0.##")&amp;"+"&amp;TEXT(INDEX(ERP資料!$G:$G, (MATCH(403, 輔助計算!$G$2:$G$801, 0)+1)),"0.##")&amp;"+"&amp;TEXT(INDEX(ERP資料!$G:$G, (MATCH(403, 輔助計算!$G$2:$G$801, 0)+1)),"0.##"))))&amp;"-1")), ""), "")</f>
        <v/>
      </c>
      <c r="K404" s="16" t="n"/>
      <c r="L404" s="14">
        <f>IFERROR(IF(AND(IFERROR(INDEX(ERP資料!$A:$A, (MATCH(403, 輔助計算!$G$2:$G$801, 0)+1)), "")&lt;&gt;"", IFERROR(INDEX(ERP資料!$A:$A, (MATCH(403, 輔助計算!$G$2:$G$801, 0)+1)), "")&lt;&gt;IFERROR(INDEX(ERP資料!$A:$A, MATCH(402, 輔助計算!$G$2:$G$801, 0)+1), "")), INDEX(ERP資料!$B:$B, (MATCH(403, 輔助計算!$G$2:$G$801, 0)+1)), ""), "")</f>
        <v/>
      </c>
      <c r="M404" s="17" t="n"/>
    </row>
    <row r="405">
      <c r="A405" s="10">
        <f>IFERROR(IF(AND(IFERROR(INDEX(ERP資料!$A:$A, (MATCH(404, 輔助計算!$G$2:$G$801, 0)+1)), "")&lt;&gt;"", IFERROR(INDEX(ERP資料!$A:$A, (MATCH(404, 輔助計算!$G$2:$G$801, 0)+1)), "")&lt;&gt;IFERROR(INDEX(ERP資料!$A:$A, MATCH(403, 輔助計算!$G$2:$G$801, 0)+1), "")), IFERROR(INDEX(ERP資料!$A:$A, (MATCH(404, 輔助計算!$G$2:$G$801, 0)+1)), ""), ""), "")</f>
        <v/>
      </c>
      <c r="B405" s="10">
        <f>IFERROR(IF(AND(IFERROR(INDEX(ERP資料!$A:$A, (MATCH(404, 輔助計算!$G$2:$G$801, 0)+1)), "")&lt;&gt;"", IFERROR(INDEX(ERP資料!$A:$A, (MATCH(404, 輔助計算!$G$2:$G$801, 0)+1)), "")&lt;&gt;IFERROR(INDEX(ERP資料!$A:$A, MATCH(403, 輔助計算!$G$2:$G$801, 0)+1), "")), INDEX(ERP資料!$S:$S, (MATCH(404, 輔助計算!$G$2:$G$801, 0)+1)), ""), "")</f>
        <v/>
      </c>
      <c r="C405" s="19">
        <f>IFERROR(IF(AND(IFERROR(INDEX(ERP資料!$A:$A, (MATCH(404, 輔助計算!$G$2:$G$801, 0)+1)), "")&lt;&gt;"", IFERROR(INDEX(ERP資料!$A:$A, (MATCH(404, 輔助計算!$G$2:$G$801, 0)+1)), "")&lt;&gt;IFERROR(INDEX(ERP資料!$A:$A, MATCH(403, 輔助計算!$G$2:$G$801, 0)+1), "")), IFERROR(VLOOKUP(LEFT(INDEX(ERP資料!$S:$S, (MATCH(404, 輔助計算!$G$2:$G$801, 0)+1)), 4), 紙管對照表!$A:$C, 3, FALSE), ""), ""), "")</f>
        <v/>
      </c>
      <c r="D405" s="16" t="n"/>
      <c r="E405" s="10">
        <f>IFERROR(IF(INDEX(ERP資料!$H:$H, (MATCH(404, 輔助計算!$G$2:$G$801, 0)+1))="","",INDEX(ERP資料!$H:$H, (MATCH(404, 輔助計算!$G$2:$G$801, 0)+1))), "")</f>
        <v/>
      </c>
      <c r="F405" s="10">
        <f>IFERROR(IF(INDEX(ERP資料!$E:$E, (MATCH(404, 輔助計算!$G$2:$G$801, 0)+1))="","",TRIM(INDEX(ERP資料!$E:$E, (MATCH(404, 輔助計算!$G$2:$G$801, 0)+1)))), "")</f>
        <v/>
      </c>
      <c r="G405" s="10">
        <f>IFERROR(IF(INDEX(ERP資料!$F:$F, (MATCH(404, 輔助計算!$G$2:$G$801, 0)+1))="","",INDEX(ERP資料!$F:$F, (MATCH(404, 輔助計算!$G$2:$G$801, 0)+1))), "")</f>
        <v/>
      </c>
      <c r="H405" s="10">
        <f>IFERROR(IF(INDEX(ERP資料!$G:$G, (MATCH(404, 輔助計算!$G$2:$G$801, 0)+1))="","",INDEX(ERP資料!$G:$G, (MATCH(404, 輔助計算!$G$2:$G$801, 0)+1))), "")</f>
        <v/>
      </c>
      <c r="I405" s="15">
        <f>IFERROR(INDEX(輔助計算!$D:$D, (MATCH(404, 輔助計算!$G$2:$G$801, 0)+1)), "")</f>
        <v/>
      </c>
      <c r="J405" s="15">
        <f>IFERROR(IF(AND(INDEX(輔助計算!$D:$D, (MATCH(404, 輔助計算!$G$2:$G$801, 0)+1))&lt;&gt;"", INDEX(ERP資料!$G:$G, (MATCH(404, 輔助計算!$G$2:$G$801, 0)+1))&lt;&gt;""), TRIM(IF(INT(INDEX(輔助計算!$D:$D, (MATCH(404, 輔助計算!$G$2:$G$801, 0)+1))/IF(INDEX(ERP資料!$G:$G, (MATCH(404, 輔助計算!$G$2:$G$801, 0)+1))&lt;100, IF(INDEX(ERP資料!$G:$G, (MATCH(404, 輔助計算!$G$2:$G$801, 0)+1))&lt;=31,3,IF(INDEX(ERP資料!$G:$G, (MATCH(404, 輔助計算!$G$2:$G$801, 0)+1))&lt;=46.5,2,1)), IF(INDEX(ERP資料!$G:$G, (MATCH(404, 輔助計算!$G$2:$G$801, 0)+1))&lt;=790,3,IF(INDEX(ERP資料!$G:$G, (MATCH(404, 輔助計算!$G$2:$G$801, 0)+1))&lt;=1181,2,1))))&gt;0, IF(IF(INDEX(ERP資料!$G:$G, (MATCH(404, 輔助計算!$G$2:$G$801, 0)+1))&lt;100, IF(INDEX(ERP資料!$G:$G, (MATCH(404, 輔助計算!$G$2:$G$801, 0)+1))&lt;=31,3,IF(INDEX(ERP資料!$G:$G, (MATCH(404, 輔助計算!$G$2:$G$801, 0)+1))&lt;=46.5,2,1)), IF(INDEX(ERP資料!$G:$G, (MATCH(404, 輔助計算!$G$2:$G$801, 0)+1))&lt;=790,3,IF(INDEX(ERP資料!$G:$G, (MATCH(404, 輔助計算!$G$2:$G$801, 0)+1))&lt;=1181,2,1)))=1,TEXT(INDEX(ERP資料!$G:$G, (MATCH(404, 輔助計算!$G$2:$G$801, 0)+1)),"0.##"),IF(IF(INDEX(ERP資料!$G:$G, (MATCH(404, 輔助計算!$G$2:$G$801, 0)+1))&lt;100, IF(INDEX(ERP資料!$G:$G, (MATCH(404, 輔助計算!$G$2:$G$801, 0)+1))&lt;=31,3,IF(INDEX(ERP資料!$G:$G, (MATCH(404, 輔助計算!$G$2:$G$801, 0)+1))&lt;=46.5,2,1)), IF(INDEX(ERP資料!$G:$G, (MATCH(404, 輔助計算!$G$2:$G$801, 0)+1))&lt;=790,3,IF(INDEX(ERP資料!$G:$G, (MATCH(404, 輔助計算!$G$2:$G$801, 0)+1))&lt;=1181,2,1)))=2,TEXT(INDEX(ERP資料!$G:$G, (MATCH(404, 輔助計算!$G$2:$G$801, 0)+1)),"0.##")&amp;"+"&amp;TEXT(INDEX(ERP資料!$G:$G, (MATCH(404, 輔助計算!$G$2:$G$801, 0)+1)),"0.##"),TEXT(INDEX(ERP資料!$G:$G, (MATCH(404, 輔助計算!$G$2:$G$801, 0)+1)),"0.##")&amp;"+"&amp;TEXT(INDEX(ERP資料!$G:$G, (MATCH(404, 輔助計算!$G$2:$G$801, 0)+1)),"0.##")&amp;"+"&amp;TEXT(INDEX(ERP資料!$G:$G, (MATCH(404, 輔助計算!$G$2:$G$801, 0)+1)),"0.##")))&amp;"-"&amp;INT(INDEX(輔助計算!$D:$D, (MATCH(404, 輔助計算!$G$2:$G$801, 0)+1))/IF(INDEX(ERP資料!$G:$G, (MATCH(404, 輔助計算!$G$2:$G$801, 0)+1))&lt;100, IF(INDEX(ERP資料!$G:$G, (MATCH(404, 輔助計算!$G$2:$G$801, 0)+1))&lt;=31,3,IF(INDEX(ERP資料!$G:$G, (MATCH(404, 輔助計算!$G$2:$G$801, 0)+1))&lt;=46.5,2,1)), IF(INDEX(ERP資料!$G:$G, (MATCH(404, 輔助計算!$G$2:$G$801, 0)+1))&lt;=790,3,IF(INDEX(ERP資料!$G:$G, (MATCH(404, 輔助計算!$G$2:$G$801, 0)+1))&lt;=1181,2,1)))), "")&amp;IF(AND(IF(INT(INDEX(輔助計算!$D:$D, (MATCH(404, 輔助計算!$G$2:$G$801, 0)+1))/IF(INDEX(ERP資料!$G:$G, (MATCH(404, 輔助計算!$G$2:$G$801, 0)+1))&lt;100, IF(INDEX(ERP資料!$G:$G, (MATCH(404, 輔助計算!$G$2:$G$801, 0)+1))&lt;=31,3,IF(INDEX(ERP資料!$G:$G, (MATCH(404, 輔助計算!$G$2:$G$801, 0)+1))&lt;=46.5,2,1)), IF(INDEX(ERP資料!$G:$G, (MATCH(404, 輔助計算!$G$2:$G$801, 0)+1))&lt;=790,3,IF(INDEX(ERP資料!$G:$G, (MATCH(404, 輔助計算!$G$2:$G$801, 0)+1))&lt;=1181,2,1))))&gt;0, IF(IF(INDEX(ERP資料!$G:$G, (MATCH(404, 輔助計算!$G$2:$G$801, 0)+1))&lt;100, IF(INDEX(ERP資料!$G:$G, (MATCH(404, 輔助計算!$G$2:$G$801, 0)+1))&lt;=31,3,IF(INDEX(ERP資料!$G:$G, (MATCH(404, 輔助計算!$G$2:$G$801, 0)+1))&lt;=46.5,2,1)), IF(INDEX(ERP資料!$G:$G, (MATCH(404, 輔助計算!$G$2:$G$801, 0)+1))&lt;=790,3,IF(INDEX(ERP資料!$G:$G, (MATCH(404, 輔助計算!$G$2:$G$801, 0)+1))&lt;=1181,2,1)))=1,TEXT(INDEX(ERP資料!$G:$G, (MATCH(404, 輔助計算!$G$2:$G$801, 0)+1)),"0.##"),IF(IF(INDEX(ERP資料!$G:$G, (MATCH(404, 輔助計算!$G$2:$G$801, 0)+1))&lt;100, IF(INDEX(ERP資料!$G:$G, (MATCH(404, 輔助計算!$G$2:$G$801, 0)+1))&lt;=31,3,IF(INDEX(ERP資料!$G:$G, (MATCH(404, 輔助計算!$G$2:$G$801, 0)+1))&lt;=46.5,2,1)), IF(INDEX(ERP資料!$G:$G, (MATCH(404, 輔助計算!$G$2:$G$801, 0)+1))&lt;=790,3,IF(INDEX(ERP資料!$G:$G, (MATCH(404, 輔助計算!$G$2:$G$801, 0)+1))&lt;=1181,2,1)))=2,TEXT(INDEX(ERP資料!$G:$G, (MATCH(404, 輔助計算!$G$2:$G$801, 0)+1)),"0.##")&amp;"+"&amp;TEXT(INDEX(ERP資料!$G:$G, (MATCH(404, 輔助計算!$G$2:$G$801, 0)+1)),"0.##"),TEXT(INDEX(ERP資料!$G:$G, (MATCH(404, 輔助計算!$G$2:$G$801, 0)+1)),"0.##")&amp;"+"&amp;TEXT(INDEX(ERP資料!$G:$G, (MATCH(404, 輔助計算!$G$2:$G$801, 0)+1)),"0.##")&amp;"+"&amp;TEXT(INDEX(ERP資料!$G:$G, (MATCH(404, 輔助計算!$G$2:$G$801, 0)+1)),"0.##")))&amp;"-"&amp;INT(INDEX(輔助計算!$D:$D, (MATCH(404, 輔助計算!$G$2:$G$801, 0)+1))/IF(INDEX(ERP資料!$G:$G, (MATCH(404, 輔助計算!$G$2:$G$801, 0)+1))&lt;100, IF(INDEX(ERP資料!$G:$G, (MATCH(404, 輔助計算!$G$2:$G$801, 0)+1))&lt;=31,3,IF(INDEX(ERP資料!$G:$G, (MATCH(404, 輔助計算!$G$2:$G$801, 0)+1))&lt;=46.5,2,1)), IF(INDEX(ERP資料!$G:$G, (MATCH(404, 輔助計算!$G$2:$G$801, 0)+1))&lt;=790,3,IF(INDEX(ERP資料!$G:$G, (MATCH(404, 輔助計算!$G$2:$G$801, 0)+1))&lt;=1181,2,1)))), "")&lt;&gt;"",IF(MOD(INDEX(輔助計算!$D:$D, (MATCH(404, 輔助計算!$G$2:$G$801, 0)+1)),IF(INDEX(ERP資料!$G:$G, (MATCH(404, 輔助計算!$G$2:$G$801, 0)+1))&lt;100, IF(INDEX(ERP資料!$G:$G, (MATCH(404, 輔助計算!$G$2:$G$801, 0)+1))&lt;=31,3,IF(INDEX(ERP資料!$G:$G, (MATCH(404, 輔助計算!$G$2:$G$801, 0)+1))&lt;=46.5,2,1)), IF(INDEX(ERP資料!$G:$G, (MATCH(404, 輔助計算!$G$2:$G$801, 0)+1))&lt;=790,3,IF(INDEX(ERP資料!$G:$G, (MATCH(404, 輔助計算!$G$2:$G$801, 0)+1))&lt;=1181,2,1))))=0,"",IF(MOD(INDEX(輔助計算!$D:$D, (MATCH(404, 輔助計算!$G$2:$G$801, 0)+1)),IF(INDEX(ERP資料!$G:$G, (MATCH(404, 輔助計算!$G$2:$G$801, 0)+1))&lt;100, IF(INDEX(ERP資料!$G:$G, (MATCH(404, 輔助計算!$G$2:$G$801, 0)+1))&lt;=31,3,IF(INDEX(ERP資料!$G:$G, (MATCH(404, 輔助計算!$G$2:$G$801, 0)+1))&lt;=46.5,2,1)), IF(INDEX(ERP資料!$G:$G, (MATCH(404, 輔助計算!$G$2:$G$801, 0)+1))&lt;=790,3,IF(INDEX(ERP資料!$G:$G, (MATCH(404, 輔助計算!$G$2:$G$801, 0)+1))&lt;=1181,2,1))))=0,"",IF(MOD(INDEX(輔助計算!$D:$D, (MATCH(404, 輔助計算!$G$2:$G$801, 0)+1)),IF(INDEX(ERP資料!$G:$G, (MATCH(404, 輔助計算!$G$2:$G$801, 0)+1))&lt;100, IF(INDEX(ERP資料!$G:$G, (MATCH(404, 輔助計算!$G$2:$G$801, 0)+1))&lt;=31,3,IF(INDEX(ERP資料!$G:$G, (MATCH(404, 輔助計算!$G$2:$G$801, 0)+1))&lt;=46.5,2,1)), IF(INDEX(ERP資料!$G:$G, (MATCH(404, 輔助計算!$G$2:$G$801, 0)+1))&lt;=790,3,IF(INDEX(ERP資料!$G:$G, (MATCH(404, 輔助計算!$G$2:$G$801, 0)+1))&lt;=1181,2,1))))=1,TEXT(INDEX(ERP資料!$G:$G, (MATCH(404, 輔助計算!$G$2:$G$801, 0)+1)),"0.##"),IF(MOD(INDEX(輔助計算!$D:$D, (MATCH(404, 輔助計算!$G$2:$G$801, 0)+1)),IF(INDEX(ERP資料!$G:$G, (MATCH(404, 輔助計算!$G$2:$G$801, 0)+1))&lt;100, IF(INDEX(ERP資料!$G:$G, (MATCH(404, 輔助計算!$G$2:$G$801, 0)+1))&lt;=31,3,IF(INDEX(ERP資料!$G:$G, (MATCH(404, 輔助計算!$G$2:$G$801, 0)+1))&lt;=46.5,2,1)), IF(INDEX(ERP資料!$G:$G, (MATCH(404, 輔助計算!$G$2:$G$801, 0)+1))&lt;=790,3,IF(INDEX(ERP資料!$G:$G, (MATCH(404, 輔助計算!$G$2:$G$801, 0)+1))&lt;=1181,2,1))))=2,TEXT(INDEX(ERP資料!$G:$G, (MATCH(404, 輔助計算!$G$2:$G$801, 0)+1)),"0.##")&amp;"+"&amp;TEXT(INDEX(ERP資料!$G:$G, (MATCH(404, 輔助計算!$G$2:$G$801, 0)+1)),"0.##"),TEXT(INDEX(ERP資料!$G:$G, (MATCH(404, 輔助計算!$G$2:$G$801, 0)+1)),"0.##")&amp;"+"&amp;TEXT(INDEX(ERP資料!$G:$G, (MATCH(404, 輔助計算!$G$2:$G$801, 0)+1)),"0.##")&amp;"+"&amp;TEXT(INDEX(ERP資料!$G:$G, (MATCH(404, 輔助計算!$G$2:$G$801, 0)+1)),"0.##"))))&amp;"-1")&lt;&gt;""),"  ","")&amp;IF(MOD(INDEX(輔助計算!$D:$D, (MATCH(404, 輔助計算!$G$2:$G$801, 0)+1)),IF(INDEX(ERP資料!$G:$G, (MATCH(404, 輔助計算!$G$2:$G$801, 0)+1))&lt;100, IF(INDEX(ERP資料!$G:$G, (MATCH(404, 輔助計算!$G$2:$G$801, 0)+1))&lt;=31,3,IF(INDEX(ERP資料!$G:$G, (MATCH(404, 輔助計算!$G$2:$G$801, 0)+1))&lt;=46.5,2,1)), IF(INDEX(ERP資料!$G:$G, (MATCH(404, 輔助計算!$G$2:$G$801, 0)+1))&lt;=790,3,IF(INDEX(ERP資料!$G:$G, (MATCH(404, 輔助計算!$G$2:$G$801, 0)+1))&lt;=1181,2,1))))=0,"",IF(MOD(INDEX(輔助計算!$D:$D, (MATCH(404, 輔助計算!$G$2:$G$801, 0)+1)),IF(INDEX(ERP資料!$G:$G, (MATCH(404, 輔助計算!$G$2:$G$801, 0)+1))&lt;100, IF(INDEX(ERP資料!$G:$G, (MATCH(404, 輔助計算!$G$2:$G$801, 0)+1))&lt;=31,3,IF(INDEX(ERP資料!$G:$G, (MATCH(404, 輔助計算!$G$2:$G$801, 0)+1))&lt;=46.5,2,1)), IF(INDEX(ERP資料!$G:$G, (MATCH(404, 輔助計算!$G$2:$G$801, 0)+1))&lt;=790,3,IF(INDEX(ERP資料!$G:$G, (MATCH(404, 輔助計算!$G$2:$G$801, 0)+1))&lt;=1181,2,1))))=0,"",IF(MOD(INDEX(輔助計算!$D:$D, (MATCH(404, 輔助計算!$G$2:$G$801, 0)+1)),IF(INDEX(ERP資料!$G:$G, (MATCH(404, 輔助計算!$G$2:$G$801, 0)+1))&lt;100, IF(INDEX(ERP資料!$G:$G, (MATCH(404, 輔助計算!$G$2:$G$801, 0)+1))&lt;=31,3,IF(INDEX(ERP資料!$G:$G, (MATCH(404, 輔助計算!$G$2:$G$801, 0)+1))&lt;=46.5,2,1)), IF(INDEX(ERP資料!$G:$G, (MATCH(404, 輔助計算!$G$2:$G$801, 0)+1))&lt;=790,3,IF(INDEX(ERP資料!$G:$G, (MATCH(404, 輔助計算!$G$2:$G$801, 0)+1))&lt;=1181,2,1))))=1,TEXT(INDEX(ERP資料!$G:$G, (MATCH(404, 輔助計算!$G$2:$G$801, 0)+1)),"0.##"),IF(MOD(INDEX(輔助計算!$D:$D, (MATCH(404, 輔助計算!$G$2:$G$801, 0)+1)),IF(INDEX(ERP資料!$G:$G, (MATCH(404, 輔助計算!$G$2:$G$801, 0)+1))&lt;100, IF(INDEX(ERP資料!$G:$G, (MATCH(404, 輔助計算!$G$2:$G$801, 0)+1))&lt;=31,3,IF(INDEX(ERP資料!$G:$G, (MATCH(404, 輔助計算!$G$2:$G$801, 0)+1))&lt;=46.5,2,1)), IF(INDEX(ERP資料!$G:$G, (MATCH(404, 輔助計算!$G$2:$G$801, 0)+1))&lt;=790,3,IF(INDEX(ERP資料!$G:$G, (MATCH(404, 輔助計算!$G$2:$G$801, 0)+1))&lt;=1181,2,1))))=2,TEXT(INDEX(ERP資料!$G:$G, (MATCH(404, 輔助計算!$G$2:$G$801, 0)+1)),"0.##")&amp;"+"&amp;TEXT(INDEX(ERP資料!$G:$G, (MATCH(404, 輔助計算!$G$2:$G$801, 0)+1)),"0.##"),TEXT(INDEX(ERP資料!$G:$G, (MATCH(404, 輔助計算!$G$2:$G$801, 0)+1)),"0.##")&amp;"+"&amp;TEXT(INDEX(ERP資料!$G:$G, (MATCH(404, 輔助計算!$G$2:$G$801, 0)+1)),"0.##")&amp;"+"&amp;TEXT(INDEX(ERP資料!$G:$G, (MATCH(404, 輔助計算!$G$2:$G$801, 0)+1)),"0.##"))))&amp;"-1")), ""), "")</f>
        <v/>
      </c>
      <c r="K405" s="16" t="n"/>
      <c r="L405" s="14">
        <f>IFERROR(IF(AND(IFERROR(INDEX(ERP資料!$A:$A, (MATCH(404, 輔助計算!$G$2:$G$801, 0)+1)), "")&lt;&gt;"", IFERROR(INDEX(ERP資料!$A:$A, (MATCH(404, 輔助計算!$G$2:$G$801, 0)+1)), "")&lt;&gt;IFERROR(INDEX(ERP資料!$A:$A, MATCH(403, 輔助計算!$G$2:$G$801, 0)+1), "")), INDEX(ERP資料!$B:$B, (MATCH(404, 輔助計算!$G$2:$G$801, 0)+1)), ""), "")</f>
        <v/>
      </c>
      <c r="M405" s="17" t="n"/>
    </row>
    <row r="406">
      <c r="A406" s="10">
        <f>IFERROR(IF(AND(IFERROR(INDEX(ERP資料!$A:$A, (MATCH(405, 輔助計算!$G$2:$G$801, 0)+1)), "")&lt;&gt;"", IFERROR(INDEX(ERP資料!$A:$A, (MATCH(405, 輔助計算!$G$2:$G$801, 0)+1)), "")&lt;&gt;IFERROR(INDEX(ERP資料!$A:$A, MATCH(404, 輔助計算!$G$2:$G$801, 0)+1), "")), IFERROR(INDEX(ERP資料!$A:$A, (MATCH(405, 輔助計算!$G$2:$G$801, 0)+1)), ""), ""), "")</f>
        <v/>
      </c>
      <c r="B406" s="10">
        <f>IFERROR(IF(AND(IFERROR(INDEX(ERP資料!$A:$A, (MATCH(405, 輔助計算!$G$2:$G$801, 0)+1)), "")&lt;&gt;"", IFERROR(INDEX(ERP資料!$A:$A, (MATCH(405, 輔助計算!$G$2:$G$801, 0)+1)), "")&lt;&gt;IFERROR(INDEX(ERP資料!$A:$A, MATCH(404, 輔助計算!$G$2:$G$801, 0)+1), "")), INDEX(ERP資料!$S:$S, (MATCH(405, 輔助計算!$G$2:$G$801, 0)+1)), ""), "")</f>
        <v/>
      </c>
      <c r="C406" s="19">
        <f>IFERROR(IF(AND(IFERROR(INDEX(ERP資料!$A:$A, (MATCH(405, 輔助計算!$G$2:$G$801, 0)+1)), "")&lt;&gt;"", IFERROR(INDEX(ERP資料!$A:$A, (MATCH(405, 輔助計算!$G$2:$G$801, 0)+1)), "")&lt;&gt;IFERROR(INDEX(ERP資料!$A:$A, MATCH(404, 輔助計算!$G$2:$G$801, 0)+1), "")), IFERROR(VLOOKUP(LEFT(INDEX(ERP資料!$S:$S, (MATCH(405, 輔助計算!$G$2:$G$801, 0)+1)), 4), 紙管對照表!$A:$C, 3, FALSE), ""), ""), "")</f>
        <v/>
      </c>
      <c r="D406" s="16" t="n"/>
      <c r="E406" s="10">
        <f>IFERROR(IF(INDEX(ERP資料!$H:$H, (MATCH(405, 輔助計算!$G$2:$G$801, 0)+1))="","",INDEX(ERP資料!$H:$H, (MATCH(405, 輔助計算!$G$2:$G$801, 0)+1))), "")</f>
        <v/>
      </c>
      <c r="F406" s="10">
        <f>IFERROR(IF(INDEX(ERP資料!$E:$E, (MATCH(405, 輔助計算!$G$2:$G$801, 0)+1))="","",TRIM(INDEX(ERP資料!$E:$E, (MATCH(405, 輔助計算!$G$2:$G$801, 0)+1)))), "")</f>
        <v/>
      </c>
      <c r="G406" s="10">
        <f>IFERROR(IF(INDEX(ERP資料!$F:$F, (MATCH(405, 輔助計算!$G$2:$G$801, 0)+1))="","",INDEX(ERP資料!$F:$F, (MATCH(405, 輔助計算!$G$2:$G$801, 0)+1))), "")</f>
        <v/>
      </c>
      <c r="H406" s="10">
        <f>IFERROR(IF(INDEX(ERP資料!$G:$G, (MATCH(405, 輔助計算!$G$2:$G$801, 0)+1))="","",INDEX(ERP資料!$G:$G, (MATCH(405, 輔助計算!$G$2:$G$801, 0)+1))), "")</f>
        <v/>
      </c>
      <c r="I406" s="15">
        <f>IFERROR(INDEX(輔助計算!$D:$D, (MATCH(405, 輔助計算!$G$2:$G$801, 0)+1)), "")</f>
        <v/>
      </c>
      <c r="J406" s="15">
        <f>IFERROR(IF(AND(INDEX(輔助計算!$D:$D, (MATCH(405, 輔助計算!$G$2:$G$801, 0)+1))&lt;&gt;"", INDEX(ERP資料!$G:$G, (MATCH(405, 輔助計算!$G$2:$G$801, 0)+1))&lt;&gt;""), TRIM(IF(INT(INDEX(輔助計算!$D:$D, (MATCH(405, 輔助計算!$G$2:$G$801, 0)+1))/IF(INDEX(ERP資料!$G:$G, (MATCH(405, 輔助計算!$G$2:$G$801, 0)+1))&lt;100, IF(INDEX(ERP資料!$G:$G, (MATCH(405, 輔助計算!$G$2:$G$801, 0)+1))&lt;=31,3,IF(INDEX(ERP資料!$G:$G, (MATCH(405, 輔助計算!$G$2:$G$801, 0)+1))&lt;=46.5,2,1)), IF(INDEX(ERP資料!$G:$G, (MATCH(405, 輔助計算!$G$2:$G$801, 0)+1))&lt;=790,3,IF(INDEX(ERP資料!$G:$G, (MATCH(405, 輔助計算!$G$2:$G$801, 0)+1))&lt;=1181,2,1))))&gt;0, IF(IF(INDEX(ERP資料!$G:$G, (MATCH(405, 輔助計算!$G$2:$G$801, 0)+1))&lt;100, IF(INDEX(ERP資料!$G:$G, (MATCH(405, 輔助計算!$G$2:$G$801, 0)+1))&lt;=31,3,IF(INDEX(ERP資料!$G:$G, (MATCH(405, 輔助計算!$G$2:$G$801, 0)+1))&lt;=46.5,2,1)), IF(INDEX(ERP資料!$G:$G, (MATCH(405, 輔助計算!$G$2:$G$801, 0)+1))&lt;=790,3,IF(INDEX(ERP資料!$G:$G, (MATCH(405, 輔助計算!$G$2:$G$801, 0)+1))&lt;=1181,2,1)))=1,TEXT(INDEX(ERP資料!$G:$G, (MATCH(405, 輔助計算!$G$2:$G$801, 0)+1)),"0.##"),IF(IF(INDEX(ERP資料!$G:$G, (MATCH(405, 輔助計算!$G$2:$G$801, 0)+1))&lt;100, IF(INDEX(ERP資料!$G:$G, (MATCH(405, 輔助計算!$G$2:$G$801, 0)+1))&lt;=31,3,IF(INDEX(ERP資料!$G:$G, (MATCH(405, 輔助計算!$G$2:$G$801, 0)+1))&lt;=46.5,2,1)), IF(INDEX(ERP資料!$G:$G, (MATCH(405, 輔助計算!$G$2:$G$801, 0)+1))&lt;=790,3,IF(INDEX(ERP資料!$G:$G, (MATCH(405, 輔助計算!$G$2:$G$801, 0)+1))&lt;=1181,2,1)))=2,TEXT(INDEX(ERP資料!$G:$G, (MATCH(405, 輔助計算!$G$2:$G$801, 0)+1)),"0.##")&amp;"+"&amp;TEXT(INDEX(ERP資料!$G:$G, (MATCH(405, 輔助計算!$G$2:$G$801, 0)+1)),"0.##"),TEXT(INDEX(ERP資料!$G:$G, (MATCH(405, 輔助計算!$G$2:$G$801, 0)+1)),"0.##")&amp;"+"&amp;TEXT(INDEX(ERP資料!$G:$G, (MATCH(405, 輔助計算!$G$2:$G$801, 0)+1)),"0.##")&amp;"+"&amp;TEXT(INDEX(ERP資料!$G:$G, (MATCH(405, 輔助計算!$G$2:$G$801, 0)+1)),"0.##")))&amp;"-"&amp;INT(INDEX(輔助計算!$D:$D, (MATCH(405, 輔助計算!$G$2:$G$801, 0)+1))/IF(INDEX(ERP資料!$G:$G, (MATCH(405, 輔助計算!$G$2:$G$801, 0)+1))&lt;100, IF(INDEX(ERP資料!$G:$G, (MATCH(405, 輔助計算!$G$2:$G$801, 0)+1))&lt;=31,3,IF(INDEX(ERP資料!$G:$G, (MATCH(405, 輔助計算!$G$2:$G$801, 0)+1))&lt;=46.5,2,1)), IF(INDEX(ERP資料!$G:$G, (MATCH(405, 輔助計算!$G$2:$G$801, 0)+1))&lt;=790,3,IF(INDEX(ERP資料!$G:$G, (MATCH(405, 輔助計算!$G$2:$G$801, 0)+1))&lt;=1181,2,1)))), "")&amp;IF(AND(IF(INT(INDEX(輔助計算!$D:$D, (MATCH(405, 輔助計算!$G$2:$G$801, 0)+1))/IF(INDEX(ERP資料!$G:$G, (MATCH(405, 輔助計算!$G$2:$G$801, 0)+1))&lt;100, IF(INDEX(ERP資料!$G:$G, (MATCH(405, 輔助計算!$G$2:$G$801, 0)+1))&lt;=31,3,IF(INDEX(ERP資料!$G:$G, (MATCH(405, 輔助計算!$G$2:$G$801, 0)+1))&lt;=46.5,2,1)), IF(INDEX(ERP資料!$G:$G, (MATCH(405, 輔助計算!$G$2:$G$801, 0)+1))&lt;=790,3,IF(INDEX(ERP資料!$G:$G, (MATCH(405, 輔助計算!$G$2:$G$801, 0)+1))&lt;=1181,2,1))))&gt;0, IF(IF(INDEX(ERP資料!$G:$G, (MATCH(405, 輔助計算!$G$2:$G$801, 0)+1))&lt;100, IF(INDEX(ERP資料!$G:$G, (MATCH(405, 輔助計算!$G$2:$G$801, 0)+1))&lt;=31,3,IF(INDEX(ERP資料!$G:$G, (MATCH(405, 輔助計算!$G$2:$G$801, 0)+1))&lt;=46.5,2,1)), IF(INDEX(ERP資料!$G:$G, (MATCH(405, 輔助計算!$G$2:$G$801, 0)+1))&lt;=790,3,IF(INDEX(ERP資料!$G:$G, (MATCH(405, 輔助計算!$G$2:$G$801, 0)+1))&lt;=1181,2,1)))=1,TEXT(INDEX(ERP資料!$G:$G, (MATCH(405, 輔助計算!$G$2:$G$801, 0)+1)),"0.##"),IF(IF(INDEX(ERP資料!$G:$G, (MATCH(405, 輔助計算!$G$2:$G$801, 0)+1))&lt;100, IF(INDEX(ERP資料!$G:$G, (MATCH(405, 輔助計算!$G$2:$G$801, 0)+1))&lt;=31,3,IF(INDEX(ERP資料!$G:$G, (MATCH(405, 輔助計算!$G$2:$G$801, 0)+1))&lt;=46.5,2,1)), IF(INDEX(ERP資料!$G:$G, (MATCH(405, 輔助計算!$G$2:$G$801, 0)+1))&lt;=790,3,IF(INDEX(ERP資料!$G:$G, (MATCH(405, 輔助計算!$G$2:$G$801, 0)+1))&lt;=1181,2,1)))=2,TEXT(INDEX(ERP資料!$G:$G, (MATCH(405, 輔助計算!$G$2:$G$801, 0)+1)),"0.##")&amp;"+"&amp;TEXT(INDEX(ERP資料!$G:$G, (MATCH(405, 輔助計算!$G$2:$G$801, 0)+1)),"0.##"),TEXT(INDEX(ERP資料!$G:$G, (MATCH(405, 輔助計算!$G$2:$G$801, 0)+1)),"0.##")&amp;"+"&amp;TEXT(INDEX(ERP資料!$G:$G, (MATCH(405, 輔助計算!$G$2:$G$801, 0)+1)),"0.##")&amp;"+"&amp;TEXT(INDEX(ERP資料!$G:$G, (MATCH(405, 輔助計算!$G$2:$G$801, 0)+1)),"0.##")))&amp;"-"&amp;INT(INDEX(輔助計算!$D:$D, (MATCH(405, 輔助計算!$G$2:$G$801, 0)+1))/IF(INDEX(ERP資料!$G:$G, (MATCH(405, 輔助計算!$G$2:$G$801, 0)+1))&lt;100, IF(INDEX(ERP資料!$G:$G, (MATCH(405, 輔助計算!$G$2:$G$801, 0)+1))&lt;=31,3,IF(INDEX(ERP資料!$G:$G, (MATCH(405, 輔助計算!$G$2:$G$801, 0)+1))&lt;=46.5,2,1)), IF(INDEX(ERP資料!$G:$G, (MATCH(405, 輔助計算!$G$2:$G$801, 0)+1))&lt;=790,3,IF(INDEX(ERP資料!$G:$G, (MATCH(405, 輔助計算!$G$2:$G$801, 0)+1))&lt;=1181,2,1)))), "")&lt;&gt;"",IF(MOD(INDEX(輔助計算!$D:$D, (MATCH(405, 輔助計算!$G$2:$G$801, 0)+1)),IF(INDEX(ERP資料!$G:$G, (MATCH(405, 輔助計算!$G$2:$G$801, 0)+1))&lt;100, IF(INDEX(ERP資料!$G:$G, (MATCH(405, 輔助計算!$G$2:$G$801, 0)+1))&lt;=31,3,IF(INDEX(ERP資料!$G:$G, (MATCH(405, 輔助計算!$G$2:$G$801, 0)+1))&lt;=46.5,2,1)), IF(INDEX(ERP資料!$G:$G, (MATCH(405, 輔助計算!$G$2:$G$801, 0)+1))&lt;=790,3,IF(INDEX(ERP資料!$G:$G, (MATCH(405, 輔助計算!$G$2:$G$801, 0)+1))&lt;=1181,2,1))))=0,"",IF(MOD(INDEX(輔助計算!$D:$D, (MATCH(405, 輔助計算!$G$2:$G$801, 0)+1)),IF(INDEX(ERP資料!$G:$G, (MATCH(405, 輔助計算!$G$2:$G$801, 0)+1))&lt;100, IF(INDEX(ERP資料!$G:$G, (MATCH(405, 輔助計算!$G$2:$G$801, 0)+1))&lt;=31,3,IF(INDEX(ERP資料!$G:$G, (MATCH(405, 輔助計算!$G$2:$G$801, 0)+1))&lt;=46.5,2,1)), IF(INDEX(ERP資料!$G:$G, (MATCH(405, 輔助計算!$G$2:$G$801, 0)+1))&lt;=790,3,IF(INDEX(ERP資料!$G:$G, (MATCH(405, 輔助計算!$G$2:$G$801, 0)+1))&lt;=1181,2,1))))=0,"",IF(MOD(INDEX(輔助計算!$D:$D, (MATCH(405, 輔助計算!$G$2:$G$801, 0)+1)),IF(INDEX(ERP資料!$G:$G, (MATCH(405, 輔助計算!$G$2:$G$801, 0)+1))&lt;100, IF(INDEX(ERP資料!$G:$G, (MATCH(405, 輔助計算!$G$2:$G$801, 0)+1))&lt;=31,3,IF(INDEX(ERP資料!$G:$G, (MATCH(405, 輔助計算!$G$2:$G$801, 0)+1))&lt;=46.5,2,1)), IF(INDEX(ERP資料!$G:$G, (MATCH(405, 輔助計算!$G$2:$G$801, 0)+1))&lt;=790,3,IF(INDEX(ERP資料!$G:$G, (MATCH(405, 輔助計算!$G$2:$G$801, 0)+1))&lt;=1181,2,1))))=1,TEXT(INDEX(ERP資料!$G:$G, (MATCH(405, 輔助計算!$G$2:$G$801, 0)+1)),"0.##"),IF(MOD(INDEX(輔助計算!$D:$D, (MATCH(405, 輔助計算!$G$2:$G$801, 0)+1)),IF(INDEX(ERP資料!$G:$G, (MATCH(405, 輔助計算!$G$2:$G$801, 0)+1))&lt;100, IF(INDEX(ERP資料!$G:$G, (MATCH(405, 輔助計算!$G$2:$G$801, 0)+1))&lt;=31,3,IF(INDEX(ERP資料!$G:$G, (MATCH(405, 輔助計算!$G$2:$G$801, 0)+1))&lt;=46.5,2,1)), IF(INDEX(ERP資料!$G:$G, (MATCH(405, 輔助計算!$G$2:$G$801, 0)+1))&lt;=790,3,IF(INDEX(ERP資料!$G:$G, (MATCH(405, 輔助計算!$G$2:$G$801, 0)+1))&lt;=1181,2,1))))=2,TEXT(INDEX(ERP資料!$G:$G, (MATCH(405, 輔助計算!$G$2:$G$801, 0)+1)),"0.##")&amp;"+"&amp;TEXT(INDEX(ERP資料!$G:$G, (MATCH(405, 輔助計算!$G$2:$G$801, 0)+1)),"0.##"),TEXT(INDEX(ERP資料!$G:$G, (MATCH(405, 輔助計算!$G$2:$G$801, 0)+1)),"0.##")&amp;"+"&amp;TEXT(INDEX(ERP資料!$G:$G, (MATCH(405, 輔助計算!$G$2:$G$801, 0)+1)),"0.##")&amp;"+"&amp;TEXT(INDEX(ERP資料!$G:$G, (MATCH(405, 輔助計算!$G$2:$G$801, 0)+1)),"0.##"))))&amp;"-1")&lt;&gt;""),"  ","")&amp;IF(MOD(INDEX(輔助計算!$D:$D, (MATCH(405, 輔助計算!$G$2:$G$801, 0)+1)),IF(INDEX(ERP資料!$G:$G, (MATCH(405, 輔助計算!$G$2:$G$801, 0)+1))&lt;100, IF(INDEX(ERP資料!$G:$G, (MATCH(405, 輔助計算!$G$2:$G$801, 0)+1))&lt;=31,3,IF(INDEX(ERP資料!$G:$G, (MATCH(405, 輔助計算!$G$2:$G$801, 0)+1))&lt;=46.5,2,1)), IF(INDEX(ERP資料!$G:$G, (MATCH(405, 輔助計算!$G$2:$G$801, 0)+1))&lt;=790,3,IF(INDEX(ERP資料!$G:$G, (MATCH(405, 輔助計算!$G$2:$G$801, 0)+1))&lt;=1181,2,1))))=0,"",IF(MOD(INDEX(輔助計算!$D:$D, (MATCH(405, 輔助計算!$G$2:$G$801, 0)+1)),IF(INDEX(ERP資料!$G:$G, (MATCH(405, 輔助計算!$G$2:$G$801, 0)+1))&lt;100, IF(INDEX(ERP資料!$G:$G, (MATCH(405, 輔助計算!$G$2:$G$801, 0)+1))&lt;=31,3,IF(INDEX(ERP資料!$G:$G, (MATCH(405, 輔助計算!$G$2:$G$801, 0)+1))&lt;=46.5,2,1)), IF(INDEX(ERP資料!$G:$G, (MATCH(405, 輔助計算!$G$2:$G$801, 0)+1))&lt;=790,3,IF(INDEX(ERP資料!$G:$G, (MATCH(405, 輔助計算!$G$2:$G$801, 0)+1))&lt;=1181,2,1))))=0,"",IF(MOD(INDEX(輔助計算!$D:$D, (MATCH(405, 輔助計算!$G$2:$G$801, 0)+1)),IF(INDEX(ERP資料!$G:$G, (MATCH(405, 輔助計算!$G$2:$G$801, 0)+1))&lt;100, IF(INDEX(ERP資料!$G:$G, (MATCH(405, 輔助計算!$G$2:$G$801, 0)+1))&lt;=31,3,IF(INDEX(ERP資料!$G:$G, (MATCH(405, 輔助計算!$G$2:$G$801, 0)+1))&lt;=46.5,2,1)), IF(INDEX(ERP資料!$G:$G, (MATCH(405, 輔助計算!$G$2:$G$801, 0)+1))&lt;=790,3,IF(INDEX(ERP資料!$G:$G, (MATCH(405, 輔助計算!$G$2:$G$801, 0)+1))&lt;=1181,2,1))))=1,TEXT(INDEX(ERP資料!$G:$G, (MATCH(405, 輔助計算!$G$2:$G$801, 0)+1)),"0.##"),IF(MOD(INDEX(輔助計算!$D:$D, (MATCH(405, 輔助計算!$G$2:$G$801, 0)+1)),IF(INDEX(ERP資料!$G:$G, (MATCH(405, 輔助計算!$G$2:$G$801, 0)+1))&lt;100, IF(INDEX(ERP資料!$G:$G, (MATCH(405, 輔助計算!$G$2:$G$801, 0)+1))&lt;=31,3,IF(INDEX(ERP資料!$G:$G, (MATCH(405, 輔助計算!$G$2:$G$801, 0)+1))&lt;=46.5,2,1)), IF(INDEX(ERP資料!$G:$G, (MATCH(405, 輔助計算!$G$2:$G$801, 0)+1))&lt;=790,3,IF(INDEX(ERP資料!$G:$G, (MATCH(405, 輔助計算!$G$2:$G$801, 0)+1))&lt;=1181,2,1))))=2,TEXT(INDEX(ERP資料!$G:$G, (MATCH(405, 輔助計算!$G$2:$G$801, 0)+1)),"0.##")&amp;"+"&amp;TEXT(INDEX(ERP資料!$G:$G, (MATCH(405, 輔助計算!$G$2:$G$801, 0)+1)),"0.##"),TEXT(INDEX(ERP資料!$G:$G, (MATCH(405, 輔助計算!$G$2:$G$801, 0)+1)),"0.##")&amp;"+"&amp;TEXT(INDEX(ERP資料!$G:$G, (MATCH(405, 輔助計算!$G$2:$G$801, 0)+1)),"0.##")&amp;"+"&amp;TEXT(INDEX(ERP資料!$G:$G, (MATCH(405, 輔助計算!$G$2:$G$801, 0)+1)),"0.##"))))&amp;"-1")), ""), "")</f>
        <v/>
      </c>
      <c r="K406" s="16" t="n"/>
      <c r="L406" s="14">
        <f>IFERROR(IF(AND(IFERROR(INDEX(ERP資料!$A:$A, (MATCH(405, 輔助計算!$G$2:$G$801, 0)+1)), "")&lt;&gt;"", IFERROR(INDEX(ERP資料!$A:$A, (MATCH(405, 輔助計算!$G$2:$G$801, 0)+1)), "")&lt;&gt;IFERROR(INDEX(ERP資料!$A:$A, MATCH(404, 輔助計算!$G$2:$G$801, 0)+1), "")), INDEX(ERP資料!$B:$B, (MATCH(405, 輔助計算!$G$2:$G$801, 0)+1)), ""), "")</f>
        <v/>
      </c>
      <c r="M406" s="17" t="n"/>
    </row>
    <row r="407">
      <c r="A407" s="10">
        <f>IFERROR(IF(AND(IFERROR(INDEX(ERP資料!$A:$A, (MATCH(406, 輔助計算!$G$2:$G$801, 0)+1)), "")&lt;&gt;"", IFERROR(INDEX(ERP資料!$A:$A, (MATCH(406, 輔助計算!$G$2:$G$801, 0)+1)), "")&lt;&gt;IFERROR(INDEX(ERP資料!$A:$A, MATCH(405, 輔助計算!$G$2:$G$801, 0)+1), "")), IFERROR(INDEX(ERP資料!$A:$A, (MATCH(406, 輔助計算!$G$2:$G$801, 0)+1)), ""), ""), "")</f>
        <v/>
      </c>
      <c r="B407" s="10">
        <f>IFERROR(IF(AND(IFERROR(INDEX(ERP資料!$A:$A, (MATCH(406, 輔助計算!$G$2:$G$801, 0)+1)), "")&lt;&gt;"", IFERROR(INDEX(ERP資料!$A:$A, (MATCH(406, 輔助計算!$G$2:$G$801, 0)+1)), "")&lt;&gt;IFERROR(INDEX(ERP資料!$A:$A, MATCH(405, 輔助計算!$G$2:$G$801, 0)+1), "")), INDEX(ERP資料!$S:$S, (MATCH(406, 輔助計算!$G$2:$G$801, 0)+1)), ""), "")</f>
        <v/>
      </c>
      <c r="C407" s="19">
        <f>IFERROR(IF(AND(IFERROR(INDEX(ERP資料!$A:$A, (MATCH(406, 輔助計算!$G$2:$G$801, 0)+1)), "")&lt;&gt;"", IFERROR(INDEX(ERP資料!$A:$A, (MATCH(406, 輔助計算!$G$2:$G$801, 0)+1)), "")&lt;&gt;IFERROR(INDEX(ERP資料!$A:$A, MATCH(405, 輔助計算!$G$2:$G$801, 0)+1), "")), IFERROR(VLOOKUP(LEFT(INDEX(ERP資料!$S:$S, (MATCH(406, 輔助計算!$G$2:$G$801, 0)+1)), 4), 紙管對照表!$A:$C, 3, FALSE), ""), ""), "")</f>
        <v/>
      </c>
      <c r="D407" s="16" t="n"/>
      <c r="E407" s="10">
        <f>IFERROR(IF(INDEX(ERP資料!$H:$H, (MATCH(406, 輔助計算!$G$2:$G$801, 0)+1))="","",INDEX(ERP資料!$H:$H, (MATCH(406, 輔助計算!$G$2:$G$801, 0)+1))), "")</f>
        <v/>
      </c>
      <c r="F407" s="10">
        <f>IFERROR(IF(INDEX(ERP資料!$E:$E, (MATCH(406, 輔助計算!$G$2:$G$801, 0)+1))="","",TRIM(INDEX(ERP資料!$E:$E, (MATCH(406, 輔助計算!$G$2:$G$801, 0)+1)))), "")</f>
        <v/>
      </c>
      <c r="G407" s="10">
        <f>IFERROR(IF(INDEX(ERP資料!$F:$F, (MATCH(406, 輔助計算!$G$2:$G$801, 0)+1))="","",INDEX(ERP資料!$F:$F, (MATCH(406, 輔助計算!$G$2:$G$801, 0)+1))), "")</f>
        <v/>
      </c>
      <c r="H407" s="10">
        <f>IFERROR(IF(INDEX(ERP資料!$G:$G, (MATCH(406, 輔助計算!$G$2:$G$801, 0)+1))="","",INDEX(ERP資料!$G:$G, (MATCH(406, 輔助計算!$G$2:$G$801, 0)+1))), "")</f>
        <v/>
      </c>
      <c r="I407" s="15">
        <f>IFERROR(INDEX(輔助計算!$D:$D, (MATCH(406, 輔助計算!$G$2:$G$801, 0)+1)), "")</f>
        <v/>
      </c>
      <c r="J407" s="15">
        <f>IFERROR(IF(AND(INDEX(輔助計算!$D:$D, (MATCH(406, 輔助計算!$G$2:$G$801, 0)+1))&lt;&gt;"", INDEX(ERP資料!$G:$G, (MATCH(406, 輔助計算!$G$2:$G$801, 0)+1))&lt;&gt;""), TRIM(IF(INT(INDEX(輔助計算!$D:$D, (MATCH(406, 輔助計算!$G$2:$G$801, 0)+1))/IF(INDEX(ERP資料!$G:$G, (MATCH(406, 輔助計算!$G$2:$G$801, 0)+1))&lt;100, IF(INDEX(ERP資料!$G:$G, (MATCH(406, 輔助計算!$G$2:$G$801, 0)+1))&lt;=31,3,IF(INDEX(ERP資料!$G:$G, (MATCH(406, 輔助計算!$G$2:$G$801, 0)+1))&lt;=46.5,2,1)), IF(INDEX(ERP資料!$G:$G, (MATCH(406, 輔助計算!$G$2:$G$801, 0)+1))&lt;=790,3,IF(INDEX(ERP資料!$G:$G, (MATCH(406, 輔助計算!$G$2:$G$801, 0)+1))&lt;=1181,2,1))))&gt;0, IF(IF(INDEX(ERP資料!$G:$G, (MATCH(406, 輔助計算!$G$2:$G$801, 0)+1))&lt;100, IF(INDEX(ERP資料!$G:$G, (MATCH(406, 輔助計算!$G$2:$G$801, 0)+1))&lt;=31,3,IF(INDEX(ERP資料!$G:$G, (MATCH(406, 輔助計算!$G$2:$G$801, 0)+1))&lt;=46.5,2,1)), IF(INDEX(ERP資料!$G:$G, (MATCH(406, 輔助計算!$G$2:$G$801, 0)+1))&lt;=790,3,IF(INDEX(ERP資料!$G:$G, (MATCH(406, 輔助計算!$G$2:$G$801, 0)+1))&lt;=1181,2,1)))=1,TEXT(INDEX(ERP資料!$G:$G, (MATCH(406, 輔助計算!$G$2:$G$801, 0)+1)),"0.##"),IF(IF(INDEX(ERP資料!$G:$G, (MATCH(406, 輔助計算!$G$2:$G$801, 0)+1))&lt;100, IF(INDEX(ERP資料!$G:$G, (MATCH(406, 輔助計算!$G$2:$G$801, 0)+1))&lt;=31,3,IF(INDEX(ERP資料!$G:$G, (MATCH(406, 輔助計算!$G$2:$G$801, 0)+1))&lt;=46.5,2,1)), IF(INDEX(ERP資料!$G:$G, (MATCH(406, 輔助計算!$G$2:$G$801, 0)+1))&lt;=790,3,IF(INDEX(ERP資料!$G:$G, (MATCH(406, 輔助計算!$G$2:$G$801, 0)+1))&lt;=1181,2,1)))=2,TEXT(INDEX(ERP資料!$G:$G, (MATCH(406, 輔助計算!$G$2:$G$801, 0)+1)),"0.##")&amp;"+"&amp;TEXT(INDEX(ERP資料!$G:$G, (MATCH(406, 輔助計算!$G$2:$G$801, 0)+1)),"0.##"),TEXT(INDEX(ERP資料!$G:$G, (MATCH(406, 輔助計算!$G$2:$G$801, 0)+1)),"0.##")&amp;"+"&amp;TEXT(INDEX(ERP資料!$G:$G, (MATCH(406, 輔助計算!$G$2:$G$801, 0)+1)),"0.##")&amp;"+"&amp;TEXT(INDEX(ERP資料!$G:$G, (MATCH(406, 輔助計算!$G$2:$G$801, 0)+1)),"0.##")))&amp;"-"&amp;INT(INDEX(輔助計算!$D:$D, (MATCH(406, 輔助計算!$G$2:$G$801, 0)+1))/IF(INDEX(ERP資料!$G:$G, (MATCH(406, 輔助計算!$G$2:$G$801, 0)+1))&lt;100, IF(INDEX(ERP資料!$G:$G, (MATCH(406, 輔助計算!$G$2:$G$801, 0)+1))&lt;=31,3,IF(INDEX(ERP資料!$G:$G, (MATCH(406, 輔助計算!$G$2:$G$801, 0)+1))&lt;=46.5,2,1)), IF(INDEX(ERP資料!$G:$G, (MATCH(406, 輔助計算!$G$2:$G$801, 0)+1))&lt;=790,3,IF(INDEX(ERP資料!$G:$G, (MATCH(406, 輔助計算!$G$2:$G$801, 0)+1))&lt;=1181,2,1)))), "")&amp;IF(AND(IF(INT(INDEX(輔助計算!$D:$D, (MATCH(406, 輔助計算!$G$2:$G$801, 0)+1))/IF(INDEX(ERP資料!$G:$G, (MATCH(406, 輔助計算!$G$2:$G$801, 0)+1))&lt;100, IF(INDEX(ERP資料!$G:$G, (MATCH(406, 輔助計算!$G$2:$G$801, 0)+1))&lt;=31,3,IF(INDEX(ERP資料!$G:$G, (MATCH(406, 輔助計算!$G$2:$G$801, 0)+1))&lt;=46.5,2,1)), IF(INDEX(ERP資料!$G:$G, (MATCH(406, 輔助計算!$G$2:$G$801, 0)+1))&lt;=790,3,IF(INDEX(ERP資料!$G:$G, (MATCH(406, 輔助計算!$G$2:$G$801, 0)+1))&lt;=1181,2,1))))&gt;0, IF(IF(INDEX(ERP資料!$G:$G, (MATCH(406, 輔助計算!$G$2:$G$801, 0)+1))&lt;100, IF(INDEX(ERP資料!$G:$G, (MATCH(406, 輔助計算!$G$2:$G$801, 0)+1))&lt;=31,3,IF(INDEX(ERP資料!$G:$G, (MATCH(406, 輔助計算!$G$2:$G$801, 0)+1))&lt;=46.5,2,1)), IF(INDEX(ERP資料!$G:$G, (MATCH(406, 輔助計算!$G$2:$G$801, 0)+1))&lt;=790,3,IF(INDEX(ERP資料!$G:$G, (MATCH(406, 輔助計算!$G$2:$G$801, 0)+1))&lt;=1181,2,1)))=1,TEXT(INDEX(ERP資料!$G:$G, (MATCH(406, 輔助計算!$G$2:$G$801, 0)+1)),"0.##"),IF(IF(INDEX(ERP資料!$G:$G, (MATCH(406, 輔助計算!$G$2:$G$801, 0)+1))&lt;100, IF(INDEX(ERP資料!$G:$G, (MATCH(406, 輔助計算!$G$2:$G$801, 0)+1))&lt;=31,3,IF(INDEX(ERP資料!$G:$G, (MATCH(406, 輔助計算!$G$2:$G$801, 0)+1))&lt;=46.5,2,1)), IF(INDEX(ERP資料!$G:$G, (MATCH(406, 輔助計算!$G$2:$G$801, 0)+1))&lt;=790,3,IF(INDEX(ERP資料!$G:$G, (MATCH(406, 輔助計算!$G$2:$G$801, 0)+1))&lt;=1181,2,1)))=2,TEXT(INDEX(ERP資料!$G:$G, (MATCH(406, 輔助計算!$G$2:$G$801, 0)+1)),"0.##")&amp;"+"&amp;TEXT(INDEX(ERP資料!$G:$G, (MATCH(406, 輔助計算!$G$2:$G$801, 0)+1)),"0.##"),TEXT(INDEX(ERP資料!$G:$G, (MATCH(406, 輔助計算!$G$2:$G$801, 0)+1)),"0.##")&amp;"+"&amp;TEXT(INDEX(ERP資料!$G:$G, (MATCH(406, 輔助計算!$G$2:$G$801, 0)+1)),"0.##")&amp;"+"&amp;TEXT(INDEX(ERP資料!$G:$G, (MATCH(406, 輔助計算!$G$2:$G$801, 0)+1)),"0.##")))&amp;"-"&amp;INT(INDEX(輔助計算!$D:$D, (MATCH(406, 輔助計算!$G$2:$G$801, 0)+1))/IF(INDEX(ERP資料!$G:$G, (MATCH(406, 輔助計算!$G$2:$G$801, 0)+1))&lt;100, IF(INDEX(ERP資料!$G:$G, (MATCH(406, 輔助計算!$G$2:$G$801, 0)+1))&lt;=31,3,IF(INDEX(ERP資料!$G:$G, (MATCH(406, 輔助計算!$G$2:$G$801, 0)+1))&lt;=46.5,2,1)), IF(INDEX(ERP資料!$G:$G, (MATCH(406, 輔助計算!$G$2:$G$801, 0)+1))&lt;=790,3,IF(INDEX(ERP資料!$G:$G, (MATCH(406, 輔助計算!$G$2:$G$801, 0)+1))&lt;=1181,2,1)))), "")&lt;&gt;"",IF(MOD(INDEX(輔助計算!$D:$D, (MATCH(406, 輔助計算!$G$2:$G$801, 0)+1)),IF(INDEX(ERP資料!$G:$G, (MATCH(406, 輔助計算!$G$2:$G$801, 0)+1))&lt;100, IF(INDEX(ERP資料!$G:$G, (MATCH(406, 輔助計算!$G$2:$G$801, 0)+1))&lt;=31,3,IF(INDEX(ERP資料!$G:$G, (MATCH(406, 輔助計算!$G$2:$G$801, 0)+1))&lt;=46.5,2,1)), IF(INDEX(ERP資料!$G:$G, (MATCH(406, 輔助計算!$G$2:$G$801, 0)+1))&lt;=790,3,IF(INDEX(ERP資料!$G:$G, (MATCH(406, 輔助計算!$G$2:$G$801, 0)+1))&lt;=1181,2,1))))=0,"",IF(MOD(INDEX(輔助計算!$D:$D, (MATCH(406, 輔助計算!$G$2:$G$801, 0)+1)),IF(INDEX(ERP資料!$G:$G, (MATCH(406, 輔助計算!$G$2:$G$801, 0)+1))&lt;100, IF(INDEX(ERP資料!$G:$G, (MATCH(406, 輔助計算!$G$2:$G$801, 0)+1))&lt;=31,3,IF(INDEX(ERP資料!$G:$G, (MATCH(406, 輔助計算!$G$2:$G$801, 0)+1))&lt;=46.5,2,1)), IF(INDEX(ERP資料!$G:$G, (MATCH(406, 輔助計算!$G$2:$G$801, 0)+1))&lt;=790,3,IF(INDEX(ERP資料!$G:$G, (MATCH(406, 輔助計算!$G$2:$G$801, 0)+1))&lt;=1181,2,1))))=0,"",IF(MOD(INDEX(輔助計算!$D:$D, (MATCH(406, 輔助計算!$G$2:$G$801, 0)+1)),IF(INDEX(ERP資料!$G:$G, (MATCH(406, 輔助計算!$G$2:$G$801, 0)+1))&lt;100, IF(INDEX(ERP資料!$G:$G, (MATCH(406, 輔助計算!$G$2:$G$801, 0)+1))&lt;=31,3,IF(INDEX(ERP資料!$G:$G, (MATCH(406, 輔助計算!$G$2:$G$801, 0)+1))&lt;=46.5,2,1)), IF(INDEX(ERP資料!$G:$G, (MATCH(406, 輔助計算!$G$2:$G$801, 0)+1))&lt;=790,3,IF(INDEX(ERP資料!$G:$G, (MATCH(406, 輔助計算!$G$2:$G$801, 0)+1))&lt;=1181,2,1))))=1,TEXT(INDEX(ERP資料!$G:$G, (MATCH(406, 輔助計算!$G$2:$G$801, 0)+1)),"0.##"),IF(MOD(INDEX(輔助計算!$D:$D, (MATCH(406, 輔助計算!$G$2:$G$801, 0)+1)),IF(INDEX(ERP資料!$G:$G, (MATCH(406, 輔助計算!$G$2:$G$801, 0)+1))&lt;100, IF(INDEX(ERP資料!$G:$G, (MATCH(406, 輔助計算!$G$2:$G$801, 0)+1))&lt;=31,3,IF(INDEX(ERP資料!$G:$G, (MATCH(406, 輔助計算!$G$2:$G$801, 0)+1))&lt;=46.5,2,1)), IF(INDEX(ERP資料!$G:$G, (MATCH(406, 輔助計算!$G$2:$G$801, 0)+1))&lt;=790,3,IF(INDEX(ERP資料!$G:$G, (MATCH(406, 輔助計算!$G$2:$G$801, 0)+1))&lt;=1181,2,1))))=2,TEXT(INDEX(ERP資料!$G:$G, (MATCH(406, 輔助計算!$G$2:$G$801, 0)+1)),"0.##")&amp;"+"&amp;TEXT(INDEX(ERP資料!$G:$G, (MATCH(406, 輔助計算!$G$2:$G$801, 0)+1)),"0.##"),TEXT(INDEX(ERP資料!$G:$G, (MATCH(406, 輔助計算!$G$2:$G$801, 0)+1)),"0.##")&amp;"+"&amp;TEXT(INDEX(ERP資料!$G:$G, (MATCH(406, 輔助計算!$G$2:$G$801, 0)+1)),"0.##")&amp;"+"&amp;TEXT(INDEX(ERP資料!$G:$G, (MATCH(406, 輔助計算!$G$2:$G$801, 0)+1)),"0.##"))))&amp;"-1")&lt;&gt;""),"  ","")&amp;IF(MOD(INDEX(輔助計算!$D:$D, (MATCH(406, 輔助計算!$G$2:$G$801, 0)+1)),IF(INDEX(ERP資料!$G:$G, (MATCH(406, 輔助計算!$G$2:$G$801, 0)+1))&lt;100, IF(INDEX(ERP資料!$G:$G, (MATCH(406, 輔助計算!$G$2:$G$801, 0)+1))&lt;=31,3,IF(INDEX(ERP資料!$G:$G, (MATCH(406, 輔助計算!$G$2:$G$801, 0)+1))&lt;=46.5,2,1)), IF(INDEX(ERP資料!$G:$G, (MATCH(406, 輔助計算!$G$2:$G$801, 0)+1))&lt;=790,3,IF(INDEX(ERP資料!$G:$G, (MATCH(406, 輔助計算!$G$2:$G$801, 0)+1))&lt;=1181,2,1))))=0,"",IF(MOD(INDEX(輔助計算!$D:$D, (MATCH(406, 輔助計算!$G$2:$G$801, 0)+1)),IF(INDEX(ERP資料!$G:$G, (MATCH(406, 輔助計算!$G$2:$G$801, 0)+1))&lt;100, IF(INDEX(ERP資料!$G:$G, (MATCH(406, 輔助計算!$G$2:$G$801, 0)+1))&lt;=31,3,IF(INDEX(ERP資料!$G:$G, (MATCH(406, 輔助計算!$G$2:$G$801, 0)+1))&lt;=46.5,2,1)), IF(INDEX(ERP資料!$G:$G, (MATCH(406, 輔助計算!$G$2:$G$801, 0)+1))&lt;=790,3,IF(INDEX(ERP資料!$G:$G, (MATCH(406, 輔助計算!$G$2:$G$801, 0)+1))&lt;=1181,2,1))))=0,"",IF(MOD(INDEX(輔助計算!$D:$D, (MATCH(406, 輔助計算!$G$2:$G$801, 0)+1)),IF(INDEX(ERP資料!$G:$G, (MATCH(406, 輔助計算!$G$2:$G$801, 0)+1))&lt;100, IF(INDEX(ERP資料!$G:$G, (MATCH(406, 輔助計算!$G$2:$G$801, 0)+1))&lt;=31,3,IF(INDEX(ERP資料!$G:$G, (MATCH(406, 輔助計算!$G$2:$G$801, 0)+1))&lt;=46.5,2,1)), IF(INDEX(ERP資料!$G:$G, (MATCH(406, 輔助計算!$G$2:$G$801, 0)+1))&lt;=790,3,IF(INDEX(ERP資料!$G:$G, (MATCH(406, 輔助計算!$G$2:$G$801, 0)+1))&lt;=1181,2,1))))=1,TEXT(INDEX(ERP資料!$G:$G, (MATCH(406, 輔助計算!$G$2:$G$801, 0)+1)),"0.##"),IF(MOD(INDEX(輔助計算!$D:$D, (MATCH(406, 輔助計算!$G$2:$G$801, 0)+1)),IF(INDEX(ERP資料!$G:$G, (MATCH(406, 輔助計算!$G$2:$G$801, 0)+1))&lt;100, IF(INDEX(ERP資料!$G:$G, (MATCH(406, 輔助計算!$G$2:$G$801, 0)+1))&lt;=31,3,IF(INDEX(ERP資料!$G:$G, (MATCH(406, 輔助計算!$G$2:$G$801, 0)+1))&lt;=46.5,2,1)), IF(INDEX(ERP資料!$G:$G, (MATCH(406, 輔助計算!$G$2:$G$801, 0)+1))&lt;=790,3,IF(INDEX(ERP資料!$G:$G, (MATCH(406, 輔助計算!$G$2:$G$801, 0)+1))&lt;=1181,2,1))))=2,TEXT(INDEX(ERP資料!$G:$G, (MATCH(406, 輔助計算!$G$2:$G$801, 0)+1)),"0.##")&amp;"+"&amp;TEXT(INDEX(ERP資料!$G:$G, (MATCH(406, 輔助計算!$G$2:$G$801, 0)+1)),"0.##"),TEXT(INDEX(ERP資料!$G:$G, (MATCH(406, 輔助計算!$G$2:$G$801, 0)+1)),"0.##")&amp;"+"&amp;TEXT(INDEX(ERP資料!$G:$G, (MATCH(406, 輔助計算!$G$2:$G$801, 0)+1)),"0.##")&amp;"+"&amp;TEXT(INDEX(ERP資料!$G:$G, (MATCH(406, 輔助計算!$G$2:$G$801, 0)+1)),"0.##"))))&amp;"-1")), ""), "")</f>
        <v/>
      </c>
      <c r="K407" s="16" t="n"/>
      <c r="L407" s="14">
        <f>IFERROR(IF(AND(IFERROR(INDEX(ERP資料!$A:$A, (MATCH(406, 輔助計算!$G$2:$G$801, 0)+1)), "")&lt;&gt;"", IFERROR(INDEX(ERP資料!$A:$A, (MATCH(406, 輔助計算!$G$2:$G$801, 0)+1)), "")&lt;&gt;IFERROR(INDEX(ERP資料!$A:$A, MATCH(405, 輔助計算!$G$2:$G$801, 0)+1), "")), INDEX(ERP資料!$B:$B, (MATCH(406, 輔助計算!$G$2:$G$801, 0)+1)), ""), "")</f>
        <v/>
      </c>
      <c r="M407" s="17" t="n"/>
    </row>
    <row r="408">
      <c r="A408" s="10">
        <f>IFERROR(IF(AND(IFERROR(INDEX(ERP資料!$A:$A, (MATCH(407, 輔助計算!$G$2:$G$801, 0)+1)), "")&lt;&gt;"", IFERROR(INDEX(ERP資料!$A:$A, (MATCH(407, 輔助計算!$G$2:$G$801, 0)+1)), "")&lt;&gt;IFERROR(INDEX(ERP資料!$A:$A, MATCH(406, 輔助計算!$G$2:$G$801, 0)+1), "")), IFERROR(INDEX(ERP資料!$A:$A, (MATCH(407, 輔助計算!$G$2:$G$801, 0)+1)), ""), ""), "")</f>
        <v/>
      </c>
      <c r="B408" s="10">
        <f>IFERROR(IF(AND(IFERROR(INDEX(ERP資料!$A:$A, (MATCH(407, 輔助計算!$G$2:$G$801, 0)+1)), "")&lt;&gt;"", IFERROR(INDEX(ERP資料!$A:$A, (MATCH(407, 輔助計算!$G$2:$G$801, 0)+1)), "")&lt;&gt;IFERROR(INDEX(ERP資料!$A:$A, MATCH(406, 輔助計算!$G$2:$G$801, 0)+1), "")), INDEX(ERP資料!$S:$S, (MATCH(407, 輔助計算!$G$2:$G$801, 0)+1)), ""), "")</f>
        <v/>
      </c>
      <c r="C408" s="19">
        <f>IFERROR(IF(AND(IFERROR(INDEX(ERP資料!$A:$A, (MATCH(407, 輔助計算!$G$2:$G$801, 0)+1)), "")&lt;&gt;"", IFERROR(INDEX(ERP資料!$A:$A, (MATCH(407, 輔助計算!$G$2:$G$801, 0)+1)), "")&lt;&gt;IFERROR(INDEX(ERP資料!$A:$A, MATCH(406, 輔助計算!$G$2:$G$801, 0)+1), "")), IFERROR(VLOOKUP(LEFT(INDEX(ERP資料!$S:$S, (MATCH(407, 輔助計算!$G$2:$G$801, 0)+1)), 4), 紙管對照表!$A:$C, 3, FALSE), ""), ""), "")</f>
        <v/>
      </c>
      <c r="D408" s="16" t="n"/>
      <c r="E408" s="10">
        <f>IFERROR(IF(INDEX(ERP資料!$H:$H, (MATCH(407, 輔助計算!$G$2:$G$801, 0)+1))="","",INDEX(ERP資料!$H:$H, (MATCH(407, 輔助計算!$G$2:$G$801, 0)+1))), "")</f>
        <v/>
      </c>
      <c r="F408" s="10">
        <f>IFERROR(IF(INDEX(ERP資料!$E:$E, (MATCH(407, 輔助計算!$G$2:$G$801, 0)+1))="","",TRIM(INDEX(ERP資料!$E:$E, (MATCH(407, 輔助計算!$G$2:$G$801, 0)+1)))), "")</f>
        <v/>
      </c>
      <c r="G408" s="10">
        <f>IFERROR(IF(INDEX(ERP資料!$F:$F, (MATCH(407, 輔助計算!$G$2:$G$801, 0)+1))="","",INDEX(ERP資料!$F:$F, (MATCH(407, 輔助計算!$G$2:$G$801, 0)+1))), "")</f>
        <v/>
      </c>
      <c r="H408" s="10">
        <f>IFERROR(IF(INDEX(ERP資料!$G:$G, (MATCH(407, 輔助計算!$G$2:$G$801, 0)+1))="","",INDEX(ERP資料!$G:$G, (MATCH(407, 輔助計算!$G$2:$G$801, 0)+1))), "")</f>
        <v/>
      </c>
      <c r="I408" s="15">
        <f>IFERROR(INDEX(輔助計算!$D:$D, (MATCH(407, 輔助計算!$G$2:$G$801, 0)+1)), "")</f>
        <v/>
      </c>
      <c r="J408" s="15">
        <f>IFERROR(IF(AND(INDEX(輔助計算!$D:$D, (MATCH(407, 輔助計算!$G$2:$G$801, 0)+1))&lt;&gt;"", INDEX(ERP資料!$G:$G, (MATCH(407, 輔助計算!$G$2:$G$801, 0)+1))&lt;&gt;""), TRIM(IF(INT(INDEX(輔助計算!$D:$D, (MATCH(407, 輔助計算!$G$2:$G$801, 0)+1))/IF(INDEX(ERP資料!$G:$G, (MATCH(407, 輔助計算!$G$2:$G$801, 0)+1))&lt;100, IF(INDEX(ERP資料!$G:$G, (MATCH(407, 輔助計算!$G$2:$G$801, 0)+1))&lt;=31,3,IF(INDEX(ERP資料!$G:$G, (MATCH(407, 輔助計算!$G$2:$G$801, 0)+1))&lt;=46.5,2,1)), IF(INDEX(ERP資料!$G:$G, (MATCH(407, 輔助計算!$G$2:$G$801, 0)+1))&lt;=790,3,IF(INDEX(ERP資料!$G:$G, (MATCH(407, 輔助計算!$G$2:$G$801, 0)+1))&lt;=1181,2,1))))&gt;0, IF(IF(INDEX(ERP資料!$G:$G, (MATCH(407, 輔助計算!$G$2:$G$801, 0)+1))&lt;100, IF(INDEX(ERP資料!$G:$G, (MATCH(407, 輔助計算!$G$2:$G$801, 0)+1))&lt;=31,3,IF(INDEX(ERP資料!$G:$G, (MATCH(407, 輔助計算!$G$2:$G$801, 0)+1))&lt;=46.5,2,1)), IF(INDEX(ERP資料!$G:$G, (MATCH(407, 輔助計算!$G$2:$G$801, 0)+1))&lt;=790,3,IF(INDEX(ERP資料!$G:$G, (MATCH(407, 輔助計算!$G$2:$G$801, 0)+1))&lt;=1181,2,1)))=1,TEXT(INDEX(ERP資料!$G:$G, (MATCH(407, 輔助計算!$G$2:$G$801, 0)+1)),"0.##"),IF(IF(INDEX(ERP資料!$G:$G, (MATCH(407, 輔助計算!$G$2:$G$801, 0)+1))&lt;100, IF(INDEX(ERP資料!$G:$G, (MATCH(407, 輔助計算!$G$2:$G$801, 0)+1))&lt;=31,3,IF(INDEX(ERP資料!$G:$G, (MATCH(407, 輔助計算!$G$2:$G$801, 0)+1))&lt;=46.5,2,1)), IF(INDEX(ERP資料!$G:$G, (MATCH(407, 輔助計算!$G$2:$G$801, 0)+1))&lt;=790,3,IF(INDEX(ERP資料!$G:$G, (MATCH(407, 輔助計算!$G$2:$G$801, 0)+1))&lt;=1181,2,1)))=2,TEXT(INDEX(ERP資料!$G:$G, (MATCH(407, 輔助計算!$G$2:$G$801, 0)+1)),"0.##")&amp;"+"&amp;TEXT(INDEX(ERP資料!$G:$G, (MATCH(407, 輔助計算!$G$2:$G$801, 0)+1)),"0.##"),TEXT(INDEX(ERP資料!$G:$G, (MATCH(407, 輔助計算!$G$2:$G$801, 0)+1)),"0.##")&amp;"+"&amp;TEXT(INDEX(ERP資料!$G:$G, (MATCH(407, 輔助計算!$G$2:$G$801, 0)+1)),"0.##")&amp;"+"&amp;TEXT(INDEX(ERP資料!$G:$G, (MATCH(407, 輔助計算!$G$2:$G$801, 0)+1)),"0.##")))&amp;"-"&amp;INT(INDEX(輔助計算!$D:$D, (MATCH(407, 輔助計算!$G$2:$G$801, 0)+1))/IF(INDEX(ERP資料!$G:$G, (MATCH(407, 輔助計算!$G$2:$G$801, 0)+1))&lt;100, IF(INDEX(ERP資料!$G:$G, (MATCH(407, 輔助計算!$G$2:$G$801, 0)+1))&lt;=31,3,IF(INDEX(ERP資料!$G:$G, (MATCH(407, 輔助計算!$G$2:$G$801, 0)+1))&lt;=46.5,2,1)), IF(INDEX(ERP資料!$G:$G, (MATCH(407, 輔助計算!$G$2:$G$801, 0)+1))&lt;=790,3,IF(INDEX(ERP資料!$G:$G, (MATCH(407, 輔助計算!$G$2:$G$801, 0)+1))&lt;=1181,2,1)))), "")&amp;IF(AND(IF(INT(INDEX(輔助計算!$D:$D, (MATCH(407, 輔助計算!$G$2:$G$801, 0)+1))/IF(INDEX(ERP資料!$G:$G, (MATCH(407, 輔助計算!$G$2:$G$801, 0)+1))&lt;100, IF(INDEX(ERP資料!$G:$G, (MATCH(407, 輔助計算!$G$2:$G$801, 0)+1))&lt;=31,3,IF(INDEX(ERP資料!$G:$G, (MATCH(407, 輔助計算!$G$2:$G$801, 0)+1))&lt;=46.5,2,1)), IF(INDEX(ERP資料!$G:$G, (MATCH(407, 輔助計算!$G$2:$G$801, 0)+1))&lt;=790,3,IF(INDEX(ERP資料!$G:$G, (MATCH(407, 輔助計算!$G$2:$G$801, 0)+1))&lt;=1181,2,1))))&gt;0, IF(IF(INDEX(ERP資料!$G:$G, (MATCH(407, 輔助計算!$G$2:$G$801, 0)+1))&lt;100, IF(INDEX(ERP資料!$G:$G, (MATCH(407, 輔助計算!$G$2:$G$801, 0)+1))&lt;=31,3,IF(INDEX(ERP資料!$G:$G, (MATCH(407, 輔助計算!$G$2:$G$801, 0)+1))&lt;=46.5,2,1)), IF(INDEX(ERP資料!$G:$G, (MATCH(407, 輔助計算!$G$2:$G$801, 0)+1))&lt;=790,3,IF(INDEX(ERP資料!$G:$G, (MATCH(407, 輔助計算!$G$2:$G$801, 0)+1))&lt;=1181,2,1)))=1,TEXT(INDEX(ERP資料!$G:$G, (MATCH(407, 輔助計算!$G$2:$G$801, 0)+1)),"0.##"),IF(IF(INDEX(ERP資料!$G:$G, (MATCH(407, 輔助計算!$G$2:$G$801, 0)+1))&lt;100, IF(INDEX(ERP資料!$G:$G, (MATCH(407, 輔助計算!$G$2:$G$801, 0)+1))&lt;=31,3,IF(INDEX(ERP資料!$G:$G, (MATCH(407, 輔助計算!$G$2:$G$801, 0)+1))&lt;=46.5,2,1)), IF(INDEX(ERP資料!$G:$G, (MATCH(407, 輔助計算!$G$2:$G$801, 0)+1))&lt;=790,3,IF(INDEX(ERP資料!$G:$G, (MATCH(407, 輔助計算!$G$2:$G$801, 0)+1))&lt;=1181,2,1)))=2,TEXT(INDEX(ERP資料!$G:$G, (MATCH(407, 輔助計算!$G$2:$G$801, 0)+1)),"0.##")&amp;"+"&amp;TEXT(INDEX(ERP資料!$G:$G, (MATCH(407, 輔助計算!$G$2:$G$801, 0)+1)),"0.##"),TEXT(INDEX(ERP資料!$G:$G, (MATCH(407, 輔助計算!$G$2:$G$801, 0)+1)),"0.##")&amp;"+"&amp;TEXT(INDEX(ERP資料!$G:$G, (MATCH(407, 輔助計算!$G$2:$G$801, 0)+1)),"0.##")&amp;"+"&amp;TEXT(INDEX(ERP資料!$G:$G, (MATCH(407, 輔助計算!$G$2:$G$801, 0)+1)),"0.##")))&amp;"-"&amp;INT(INDEX(輔助計算!$D:$D, (MATCH(407, 輔助計算!$G$2:$G$801, 0)+1))/IF(INDEX(ERP資料!$G:$G, (MATCH(407, 輔助計算!$G$2:$G$801, 0)+1))&lt;100, IF(INDEX(ERP資料!$G:$G, (MATCH(407, 輔助計算!$G$2:$G$801, 0)+1))&lt;=31,3,IF(INDEX(ERP資料!$G:$G, (MATCH(407, 輔助計算!$G$2:$G$801, 0)+1))&lt;=46.5,2,1)), IF(INDEX(ERP資料!$G:$G, (MATCH(407, 輔助計算!$G$2:$G$801, 0)+1))&lt;=790,3,IF(INDEX(ERP資料!$G:$G, (MATCH(407, 輔助計算!$G$2:$G$801, 0)+1))&lt;=1181,2,1)))), "")&lt;&gt;"",IF(MOD(INDEX(輔助計算!$D:$D, (MATCH(407, 輔助計算!$G$2:$G$801, 0)+1)),IF(INDEX(ERP資料!$G:$G, (MATCH(407, 輔助計算!$G$2:$G$801, 0)+1))&lt;100, IF(INDEX(ERP資料!$G:$G, (MATCH(407, 輔助計算!$G$2:$G$801, 0)+1))&lt;=31,3,IF(INDEX(ERP資料!$G:$G, (MATCH(407, 輔助計算!$G$2:$G$801, 0)+1))&lt;=46.5,2,1)), IF(INDEX(ERP資料!$G:$G, (MATCH(407, 輔助計算!$G$2:$G$801, 0)+1))&lt;=790,3,IF(INDEX(ERP資料!$G:$G, (MATCH(407, 輔助計算!$G$2:$G$801, 0)+1))&lt;=1181,2,1))))=0,"",IF(MOD(INDEX(輔助計算!$D:$D, (MATCH(407, 輔助計算!$G$2:$G$801, 0)+1)),IF(INDEX(ERP資料!$G:$G, (MATCH(407, 輔助計算!$G$2:$G$801, 0)+1))&lt;100, IF(INDEX(ERP資料!$G:$G, (MATCH(407, 輔助計算!$G$2:$G$801, 0)+1))&lt;=31,3,IF(INDEX(ERP資料!$G:$G, (MATCH(407, 輔助計算!$G$2:$G$801, 0)+1))&lt;=46.5,2,1)), IF(INDEX(ERP資料!$G:$G, (MATCH(407, 輔助計算!$G$2:$G$801, 0)+1))&lt;=790,3,IF(INDEX(ERP資料!$G:$G, (MATCH(407, 輔助計算!$G$2:$G$801, 0)+1))&lt;=1181,2,1))))=0,"",IF(MOD(INDEX(輔助計算!$D:$D, (MATCH(407, 輔助計算!$G$2:$G$801, 0)+1)),IF(INDEX(ERP資料!$G:$G, (MATCH(407, 輔助計算!$G$2:$G$801, 0)+1))&lt;100, IF(INDEX(ERP資料!$G:$G, (MATCH(407, 輔助計算!$G$2:$G$801, 0)+1))&lt;=31,3,IF(INDEX(ERP資料!$G:$G, (MATCH(407, 輔助計算!$G$2:$G$801, 0)+1))&lt;=46.5,2,1)), IF(INDEX(ERP資料!$G:$G, (MATCH(407, 輔助計算!$G$2:$G$801, 0)+1))&lt;=790,3,IF(INDEX(ERP資料!$G:$G, (MATCH(407, 輔助計算!$G$2:$G$801, 0)+1))&lt;=1181,2,1))))=1,TEXT(INDEX(ERP資料!$G:$G, (MATCH(407, 輔助計算!$G$2:$G$801, 0)+1)),"0.##"),IF(MOD(INDEX(輔助計算!$D:$D, (MATCH(407, 輔助計算!$G$2:$G$801, 0)+1)),IF(INDEX(ERP資料!$G:$G, (MATCH(407, 輔助計算!$G$2:$G$801, 0)+1))&lt;100, IF(INDEX(ERP資料!$G:$G, (MATCH(407, 輔助計算!$G$2:$G$801, 0)+1))&lt;=31,3,IF(INDEX(ERP資料!$G:$G, (MATCH(407, 輔助計算!$G$2:$G$801, 0)+1))&lt;=46.5,2,1)), IF(INDEX(ERP資料!$G:$G, (MATCH(407, 輔助計算!$G$2:$G$801, 0)+1))&lt;=790,3,IF(INDEX(ERP資料!$G:$G, (MATCH(407, 輔助計算!$G$2:$G$801, 0)+1))&lt;=1181,2,1))))=2,TEXT(INDEX(ERP資料!$G:$G, (MATCH(407, 輔助計算!$G$2:$G$801, 0)+1)),"0.##")&amp;"+"&amp;TEXT(INDEX(ERP資料!$G:$G, (MATCH(407, 輔助計算!$G$2:$G$801, 0)+1)),"0.##"),TEXT(INDEX(ERP資料!$G:$G, (MATCH(407, 輔助計算!$G$2:$G$801, 0)+1)),"0.##")&amp;"+"&amp;TEXT(INDEX(ERP資料!$G:$G, (MATCH(407, 輔助計算!$G$2:$G$801, 0)+1)),"0.##")&amp;"+"&amp;TEXT(INDEX(ERP資料!$G:$G, (MATCH(407, 輔助計算!$G$2:$G$801, 0)+1)),"0.##"))))&amp;"-1")&lt;&gt;""),"  ","")&amp;IF(MOD(INDEX(輔助計算!$D:$D, (MATCH(407, 輔助計算!$G$2:$G$801, 0)+1)),IF(INDEX(ERP資料!$G:$G, (MATCH(407, 輔助計算!$G$2:$G$801, 0)+1))&lt;100, IF(INDEX(ERP資料!$G:$G, (MATCH(407, 輔助計算!$G$2:$G$801, 0)+1))&lt;=31,3,IF(INDEX(ERP資料!$G:$G, (MATCH(407, 輔助計算!$G$2:$G$801, 0)+1))&lt;=46.5,2,1)), IF(INDEX(ERP資料!$G:$G, (MATCH(407, 輔助計算!$G$2:$G$801, 0)+1))&lt;=790,3,IF(INDEX(ERP資料!$G:$G, (MATCH(407, 輔助計算!$G$2:$G$801, 0)+1))&lt;=1181,2,1))))=0,"",IF(MOD(INDEX(輔助計算!$D:$D, (MATCH(407, 輔助計算!$G$2:$G$801, 0)+1)),IF(INDEX(ERP資料!$G:$G, (MATCH(407, 輔助計算!$G$2:$G$801, 0)+1))&lt;100, IF(INDEX(ERP資料!$G:$G, (MATCH(407, 輔助計算!$G$2:$G$801, 0)+1))&lt;=31,3,IF(INDEX(ERP資料!$G:$G, (MATCH(407, 輔助計算!$G$2:$G$801, 0)+1))&lt;=46.5,2,1)), IF(INDEX(ERP資料!$G:$G, (MATCH(407, 輔助計算!$G$2:$G$801, 0)+1))&lt;=790,3,IF(INDEX(ERP資料!$G:$G, (MATCH(407, 輔助計算!$G$2:$G$801, 0)+1))&lt;=1181,2,1))))=0,"",IF(MOD(INDEX(輔助計算!$D:$D, (MATCH(407, 輔助計算!$G$2:$G$801, 0)+1)),IF(INDEX(ERP資料!$G:$G, (MATCH(407, 輔助計算!$G$2:$G$801, 0)+1))&lt;100, IF(INDEX(ERP資料!$G:$G, (MATCH(407, 輔助計算!$G$2:$G$801, 0)+1))&lt;=31,3,IF(INDEX(ERP資料!$G:$G, (MATCH(407, 輔助計算!$G$2:$G$801, 0)+1))&lt;=46.5,2,1)), IF(INDEX(ERP資料!$G:$G, (MATCH(407, 輔助計算!$G$2:$G$801, 0)+1))&lt;=790,3,IF(INDEX(ERP資料!$G:$G, (MATCH(407, 輔助計算!$G$2:$G$801, 0)+1))&lt;=1181,2,1))))=1,TEXT(INDEX(ERP資料!$G:$G, (MATCH(407, 輔助計算!$G$2:$G$801, 0)+1)),"0.##"),IF(MOD(INDEX(輔助計算!$D:$D, (MATCH(407, 輔助計算!$G$2:$G$801, 0)+1)),IF(INDEX(ERP資料!$G:$G, (MATCH(407, 輔助計算!$G$2:$G$801, 0)+1))&lt;100, IF(INDEX(ERP資料!$G:$G, (MATCH(407, 輔助計算!$G$2:$G$801, 0)+1))&lt;=31,3,IF(INDEX(ERP資料!$G:$G, (MATCH(407, 輔助計算!$G$2:$G$801, 0)+1))&lt;=46.5,2,1)), IF(INDEX(ERP資料!$G:$G, (MATCH(407, 輔助計算!$G$2:$G$801, 0)+1))&lt;=790,3,IF(INDEX(ERP資料!$G:$G, (MATCH(407, 輔助計算!$G$2:$G$801, 0)+1))&lt;=1181,2,1))))=2,TEXT(INDEX(ERP資料!$G:$G, (MATCH(407, 輔助計算!$G$2:$G$801, 0)+1)),"0.##")&amp;"+"&amp;TEXT(INDEX(ERP資料!$G:$G, (MATCH(407, 輔助計算!$G$2:$G$801, 0)+1)),"0.##"),TEXT(INDEX(ERP資料!$G:$G, (MATCH(407, 輔助計算!$G$2:$G$801, 0)+1)),"0.##")&amp;"+"&amp;TEXT(INDEX(ERP資料!$G:$G, (MATCH(407, 輔助計算!$G$2:$G$801, 0)+1)),"0.##")&amp;"+"&amp;TEXT(INDEX(ERP資料!$G:$G, (MATCH(407, 輔助計算!$G$2:$G$801, 0)+1)),"0.##"))))&amp;"-1")), ""), "")</f>
        <v/>
      </c>
      <c r="K408" s="16" t="n"/>
      <c r="L408" s="14">
        <f>IFERROR(IF(AND(IFERROR(INDEX(ERP資料!$A:$A, (MATCH(407, 輔助計算!$G$2:$G$801, 0)+1)), "")&lt;&gt;"", IFERROR(INDEX(ERP資料!$A:$A, (MATCH(407, 輔助計算!$G$2:$G$801, 0)+1)), "")&lt;&gt;IFERROR(INDEX(ERP資料!$A:$A, MATCH(406, 輔助計算!$G$2:$G$801, 0)+1), "")), INDEX(ERP資料!$B:$B, (MATCH(407, 輔助計算!$G$2:$G$801, 0)+1)), ""), "")</f>
        <v/>
      </c>
      <c r="M408" s="17" t="n"/>
    </row>
    <row r="409">
      <c r="A409" s="10">
        <f>IFERROR(IF(AND(IFERROR(INDEX(ERP資料!$A:$A, (MATCH(408, 輔助計算!$G$2:$G$801, 0)+1)), "")&lt;&gt;"", IFERROR(INDEX(ERP資料!$A:$A, (MATCH(408, 輔助計算!$G$2:$G$801, 0)+1)), "")&lt;&gt;IFERROR(INDEX(ERP資料!$A:$A, MATCH(407, 輔助計算!$G$2:$G$801, 0)+1), "")), IFERROR(INDEX(ERP資料!$A:$A, (MATCH(408, 輔助計算!$G$2:$G$801, 0)+1)), ""), ""), "")</f>
        <v/>
      </c>
      <c r="B409" s="10">
        <f>IFERROR(IF(AND(IFERROR(INDEX(ERP資料!$A:$A, (MATCH(408, 輔助計算!$G$2:$G$801, 0)+1)), "")&lt;&gt;"", IFERROR(INDEX(ERP資料!$A:$A, (MATCH(408, 輔助計算!$G$2:$G$801, 0)+1)), "")&lt;&gt;IFERROR(INDEX(ERP資料!$A:$A, MATCH(407, 輔助計算!$G$2:$G$801, 0)+1), "")), INDEX(ERP資料!$S:$S, (MATCH(408, 輔助計算!$G$2:$G$801, 0)+1)), ""), "")</f>
        <v/>
      </c>
      <c r="C409" s="19">
        <f>IFERROR(IF(AND(IFERROR(INDEX(ERP資料!$A:$A, (MATCH(408, 輔助計算!$G$2:$G$801, 0)+1)), "")&lt;&gt;"", IFERROR(INDEX(ERP資料!$A:$A, (MATCH(408, 輔助計算!$G$2:$G$801, 0)+1)), "")&lt;&gt;IFERROR(INDEX(ERP資料!$A:$A, MATCH(407, 輔助計算!$G$2:$G$801, 0)+1), "")), IFERROR(VLOOKUP(LEFT(INDEX(ERP資料!$S:$S, (MATCH(408, 輔助計算!$G$2:$G$801, 0)+1)), 4), 紙管對照表!$A:$C, 3, FALSE), ""), ""), "")</f>
        <v/>
      </c>
      <c r="D409" s="16" t="n"/>
      <c r="E409" s="10">
        <f>IFERROR(IF(INDEX(ERP資料!$H:$H, (MATCH(408, 輔助計算!$G$2:$G$801, 0)+1))="","",INDEX(ERP資料!$H:$H, (MATCH(408, 輔助計算!$G$2:$G$801, 0)+1))), "")</f>
        <v/>
      </c>
      <c r="F409" s="10">
        <f>IFERROR(IF(INDEX(ERP資料!$E:$E, (MATCH(408, 輔助計算!$G$2:$G$801, 0)+1))="","",TRIM(INDEX(ERP資料!$E:$E, (MATCH(408, 輔助計算!$G$2:$G$801, 0)+1)))), "")</f>
        <v/>
      </c>
      <c r="G409" s="10">
        <f>IFERROR(IF(INDEX(ERP資料!$F:$F, (MATCH(408, 輔助計算!$G$2:$G$801, 0)+1))="","",INDEX(ERP資料!$F:$F, (MATCH(408, 輔助計算!$G$2:$G$801, 0)+1))), "")</f>
        <v/>
      </c>
      <c r="H409" s="10">
        <f>IFERROR(IF(INDEX(ERP資料!$G:$G, (MATCH(408, 輔助計算!$G$2:$G$801, 0)+1))="","",INDEX(ERP資料!$G:$G, (MATCH(408, 輔助計算!$G$2:$G$801, 0)+1))), "")</f>
        <v/>
      </c>
      <c r="I409" s="15">
        <f>IFERROR(INDEX(輔助計算!$D:$D, (MATCH(408, 輔助計算!$G$2:$G$801, 0)+1)), "")</f>
        <v/>
      </c>
      <c r="J409" s="15">
        <f>IFERROR(IF(AND(INDEX(輔助計算!$D:$D, (MATCH(408, 輔助計算!$G$2:$G$801, 0)+1))&lt;&gt;"", INDEX(ERP資料!$G:$G, (MATCH(408, 輔助計算!$G$2:$G$801, 0)+1))&lt;&gt;""), TRIM(IF(INT(INDEX(輔助計算!$D:$D, (MATCH(408, 輔助計算!$G$2:$G$801, 0)+1))/IF(INDEX(ERP資料!$G:$G, (MATCH(408, 輔助計算!$G$2:$G$801, 0)+1))&lt;100, IF(INDEX(ERP資料!$G:$G, (MATCH(408, 輔助計算!$G$2:$G$801, 0)+1))&lt;=31,3,IF(INDEX(ERP資料!$G:$G, (MATCH(408, 輔助計算!$G$2:$G$801, 0)+1))&lt;=46.5,2,1)), IF(INDEX(ERP資料!$G:$G, (MATCH(408, 輔助計算!$G$2:$G$801, 0)+1))&lt;=790,3,IF(INDEX(ERP資料!$G:$G, (MATCH(408, 輔助計算!$G$2:$G$801, 0)+1))&lt;=1181,2,1))))&gt;0, IF(IF(INDEX(ERP資料!$G:$G, (MATCH(408, 輔助計算!$G$2:$G$801, 0)+1))&lt;100, IF(INDEX(ERP資料!$G:$G, (MATCH(408, 輔助計算!$G$2:$G$801, 0)+1))&lt;=31,3,IF(INDEX(ERP資料!$G:$G, (MATCH(408, 輔助計算!$G$2:$G$801, 0)+1))&lt;=46.5,2,1)), IF(INDEX(ERP資料!$G:$G, (MATCH(408, 輔助計算!$G$2:$G$801, 0)+1))&lt;=790,3,IF(INDEX(ERP資料!$G:$G, (MATCH(408, 輔助計算!$G$2:$G$801, 0)+1))&lt;=1181,2,1)))=1,TEXT(INDEX(ERP資料!$G:$G, (MATCH(408, 輔助計算!$G$2:$G$801, 0)+1)),"0.##"),IF(IF(INDEX(ERP資料!$G:$G, (MATCH(408, 輔助計算!$G$2:$G$801, 0)+1))&lt;100, IF(INDEX(ERP資料!$G:$G, (MATCH(408, 輔助計算!$G$2:$G$801, 0)+1))&lt;=31,3,IF(INDEX(ERP資料!$G:$G, (MATCH(408, 輔助計算!$G$2:$G$801, 0)+1))&lt;=46.5,2,1)), IF(INDEX(ERP資料!$G:$G, (MATCH(408, 輔助計算!$G$2:$G$801, 0)+1))&lt;=790,3,IF(INDEX(ERP資料!$G:$G, (MATCH(408, 輔助計算!$G$2:$G$801, 0)+1))&lt;=1181,2,1)))=2,TEXT(INDEX(ERP資料!$G:$G, (MATCH(408, 輔助計算!$G$2:$G$801, 0)+1)),"0.##")&amp;"+"&amp;TEXT(INDEX(ERP資料!$G:$G, (MATCH(408, 輔助計算!$G$2:$G$801, 0)+1)),"0.##"),TEXT(INDEX(ERP資料!$G:$G, (MATCH(408, 輔助計算!$G$2:$G$801, 0)+1)),"0.##")&amp;"+"&amp;TEXT(INDEX(ERP資料!$G:$G, (MATCH(408, 輔助計算!$G$2:$G$801, 0)+1)),"0.##")&amp;"+"&amp;TEXT(INDEX(ERP資料!$G:$G, (MATCH(408, 輔助計算!$G$2:$G$801, 0)+1)),"0.##")))&amp;"-"&amp;INT(INDEX(輔助計算!$D:$D, (MATCH(408, 輔助計算!$G$2:$G$801, 0)+1))/IF(INDEX(ERP資料!$G:$G, (MATCH(408, 輔助計算!$G$2:$G$801, 0)+1))&lt;100, IF(INDEX(ERP資料!$G:$G, (MATCH(408, 輔助計算!$G$2:$G$801, 0)+1))&lt;=31,3,IF(INDEX(ERP資料!$G:$G, (MATCH(408, 輔助計算!$G$2:$G$801, 0)+1))&lt;=46.5,2,1)), IF(INDEX(ERP資料!$G:$G, (MATCH(408, 輔助計算!$G$2:$G$801, 0)+1))&lt;=790,3,IF(INDEX(ERP資料!$G:$G, (MATCH(408, 輔助計算!$G$2:$G$801, 0)+1))&lt;=1181,2,1)))), "")&amp;IF(AND(IF(INT(INDEX(輔助計算!$D:$D, (MATCH(408, 輔助計算!$G$2:$G$801, 0)+1))/IF(INDEX(ERP資料!$G:$G, (MATCH(408, 輔助計算!$G$2:$G$801, 0)+1))&lt;100, IF(INDEX(ERP資料!$G:$G, (MATCH(408, 輔助計算!$G$2:$G$801, 0)+1))&lt;=31,3,IF(INDEX(ERP資料!$G:$G, (MATCH(408, 輔助計算!$G$2:$G$801, 0)+1))&lt;=46.5,2,1)), IF(INDEX(ERP資料!$G:$G, (MATCH(408, 輔助計算!$G$2:$G$801, 0)+1))&lt;=790,3,IF(INDEX(ERP資料!$G:$G, (MATCH(408, 輔助計算!$G$2:$G$801, 0)+1))&lt;=1181,2,1))))&gt;0, IF(IF(INDEX(ERP資料!$G:$G, (MATCH(408, 輔助計算!$G$2:$G$801, 0)+1))&lt;100, IF(INDEX(ERP資料!$G:$G, (MATCH(408, 輔助計算!$G$2:$G$801, 0)+1))&lt;=31,3,IF(INDEX(ERP資料!$G:$G, (MATCH(408, 輔助計算!$G$2:$G$801, 0)+1))&lt;=46.5,2,1)), IF(INDEX(ERP資料!$G:$G, (MATCH(408, 輔助計算!$G$2:$G$801, 0)+1))&lt;=790,3,IF(INDEX(ERP資料!$G:$G, (MATCH(408, 輔助計算!$G$2:$G$801, 0)+1))&lt;=1181,2,1)))=1,TEXT(INDEX(ERP資料!$G:$G, (MATCH(408, 輔助計算!$G$2:$G$801, 0)+1)),"0.##"),IF(IF(INDEX(ERP資料!$G:$G, (MATCH(408, 輔助計算!$G$2:$G$801, 0)+1))&lt;100, IF(INDEX(ERP資料!$G:$G, (MATCH(408, 輔助計算!$G$2:$G$801, 0)+1))&lt;=31,3,IF(INDEX(ERP資料!$G:$G, (MATCH(408, 輔助計算!$G$2:$G$801, 0)+1))&lt;=46.5,2,1)), IF(INDEX(ERP資料!$G:$G, (MATCH(408, 輔助計算!$G$2:$G$801, 0)+1))&lt;=790,3,IF(INDEX(ERP資料!$G:$G, (MATCH(408, 輔助計算!$G$2:$G$801, 0)+1))&lt;=1181,2,1)))=2,TEXT(INDEX(ERP資料!$G:$G, (MATCH(408, 輔助計算!$G$2:$G$801, 0)+1)),"0.##")&amp;"+"&amp;TEXT(INDEX(ERP資料!$G:$G, (MATCH(408, 輔助計算!$G$2:$G$801, 0)+1)),"0.##"),TEXT(INDEX(ERP資料!$G:$G, (MATCH(408, 輔助計算!$G$2:$G$801, 0)+1)),"0.##")&amp;"+"&amp;TEXT(INDEX(ERP資料!$G:$G, (MATCH(408, 輔助計算!$G$2:$G$801, 0)+1)),"0.##")&amp;"+"&amp;TEXT(INDEX(ERP資料!$G:$G, (MATCH(408, 輔助計算!$G$2:$G$801, 0)+1)),"0.##")))&amp;"-"&amp;INT(INDEX(輔助計算!$D:$D, (MATCH(408, 輔助計算!$G$2:$G$801, 0)+1))/IF(INDEX(ERP資料!$G:$G, (MATCH(408, 輔助計算!$G$2:$G$801, 0)+1))&lt;100, IF(INDEX(ERP資料!$G:$G, (MATCH(408, 輔助計算!$G$2:$G$801, 0)+1))&lt;=31,3,IF(INDEX(ERP資料!$G:$G, (MATCH(408, 輔助計算!$G$2:$G$801, 0)+1))&lt;=46.5,2,1)), IF(INDEX(ERP資料!$G:$G, (MATCH(408, 輔助計算!$G$2:$G$801, 0)+1))&lt;=790,3,IF(INDEX(ERP資料!$G:$G, (MATCH(408, 輔助計算!$G$2:$G$801, 0)+1))&lt;=1181,2,1)))), "")&lt;&gt;"",IF(MOD(INDEX(輔助計算!$D:$D, (MATCH(408, 輔助計算!$G$2:$G$801, 0)+1)),IF(INDEX(ERP資料!$G:$G, (MATCH(408, 輔助計算!$G$2:$G$801, 0)+1))&lt;100, IF(INDEX(ERP資料!$G:$G, (MATCH(408, 輔助計算!$G$2:$G$801, 0)+1))&lt;=31,3,IF(INDEX(ERP資料!$G:$G, (MATCH(408, 輔助計算!$G$2:$G$801, 0)+1))&lt;=46.5,2,1)), IF(INDEX(ERP資料!$G:$G, (MATCH(408, 輔助計算!$G$2:$G$801, 0)+1))&lt;=790,3,IF(INDEX(ERP資料!$G:$G, (MATCH(408, 輔助計算!$G$2:$G$801, 0)+1))&lt;=1181,2,1))))=0,"",IF(MOD(INDEX(輔助計算!$D:$D, (MATCH(408, 輔助計算!$G$2:$G$801, 0)+1)),IF(INDEX(ERP資料!$G:$G, (MATCH(408, 輔助計算!$G$2:$G$801, 0)+1))&lt;100, IF(INDEX(ERP資料!$G:$G, (MATCH(408, 輔助計算!$G$2:$G$801, 0)+1))&lt;=31,3,IF(INDEX(ERP資料!$G:$G, (MATCH(408, 輔助計算!$G$2:$G$801, 0)+1))&lt;=46.5,2,1)), IF(INDEX(ERP資料!$G:$G, (MATCH(408, 輔助計算!$G$2:$G$801, 0)+1))&lt;=790,3,IF(INDEX(ERP資料!$G:$G, (MATCH(408, 輔助計算!$G$2:$G$801, 0)+1))&lt;=1181,2,1))))=0,"",IF(MOD(INDEX(輔助計算!$D:$D, (MATCH(408, 輔助計算!$G$2:$G$801, 0)+1)),IF(INDEX(ERP資料!$G:$G, (MATCH(408, 輔助計算!$G$2:$G$801, 0)+1))&lt;100, IF(INDEX(ERP資料!$G:$G, (MATCH(408, 輔助計算!$G$2:$G$801, 0)+1))&lt;=31,3,IF(INDEX(ERP資料!$G:$G, (MATCH(408, 輔助計算!$G$2:$G$801, 0)+1))&lt;=46.5,2,1)), IF(INDEX(ERP資料!$G:$G, (MATCH(408, 輔助計算!$G$2:$G$801, 0)+1))&lt;=790,3,IF(INDEX(ERP資料!$G:$G, (MATCH(408, 輔助計算!$G$2:$G$801, 0)+1))&lt;=1181,2,1))))=1,TEXT(INDEX(ERP資料!$G:$G, (MATCH(408, 輔助計算!$G$2:$G$801, 0)+1)),"0.##"),IF(MOD(INDEX(輔助計算!$D:$D, (MATCH(408, 輔助計算!$G$2:$G$801, 0)+1)),IF(INDEX(ERP資料!$G:$G, (MATCH(408, 輔助計算!$G$2:$G$801, 0)+1))&lt;100, IF(INDEX(ERP資料!$G:$G, (MATCH(408, 輔助計算!$G$2:$G$801, 0)+1))&lt;=31,3,IF(INDEX(ERP資料!$G:$G, (MATCH(408, 輔助計算!$G$2:$G$801, 0)+1))&lt;=46.5,2,1)), IF(INDEX(ERP資料!$G:$G, (MATCH(408, 輔助計算!$G$2:$G$801, 0)+1))&lt;=790,3,IF(INDEX(ERP資料!$G:$G, (MATCH(408, 輔助計算!$G$2:$G$801, 0)+1))&lt;=1181,2,1))))=2,TEXT(INDEX(ERP資料!$G:$G, (MATCH(408, 輔助計算!$G$2:$G$801, 0)+1)),"0.##")&amp;"+"&amp;TEXT(INDEX(ERP資料!$G:$G, (MATCH(408, 輔助計算!$G$2:$G$801, 0)+1)),"0.##"),TEXT(INDEX(ERP資料!$G:$G, (MATCH(408, 輔助計算!$G$2:$G$801, 0)+1)),"0.##")&amp;"+"&amp;TEXT(INDEX(ERP資料!$G:$G, (MATCH(408, 輔助計算!$G$2:$G$801, 0)+1)),"0.##")&amp;"+"&amp;TEXT(INDEX(ERP資料!$G:$G, (MATCH(408, 輔助計算!$G$2:$G$801, 0)+1)),"0.##"))))&amp;"-1")&lt;&gt;""),"  ","")&amp;IF(MOD(INDEX(輔助計算!$D:$D, (MATCH(408, 輔助計算!$G$2:$G$801, 0)+1)),IF(INDEX(ERP資料!$G:$G, (MATCH(408, 輔助計算!$G$2:$G$801, 0)+1))&lt;100, IF(INDEX(ERP資料!$G:$G, (MATCH(408, 輔助計算!$G$2:$G$801, 0)+1))&lt;=31,3,IF(INDEX(ERP資料!$G:$G, (MATCH(408, 輔助計算!$G$2:$G$801, 0)+1))&lt;=46.5,2,1)), IF(INDEX(ERP資料!$G:$G, (MATCH(408, 輔助計算!$G$2:$G$801, 0)+1))&lt;=790,3,IF(INDEX(ERP資料!$G:$G, (MATCH(408, 輔助計算!$G$2:$G$801, 0)+1))&lt;=1181,2,1))))=0,"",IF(MOD(INDEX(輔助計算!$D:$D, (MATCH(408, 輔助計算!$G$2:$G$801, 0)+1)),IF(INDEX(ERP資料!$G:$G, (MATCH(408, 輔助計算!$G$2:$G$801, 0)+1))&lt;100, IF(INDEX(ERP資料!$G:$G, (MATCH(408, 輔助計算!$G$2:$G$801, 0)+1))&lt;=31,3,IF(INDEX(ERP資料!$G:$G, (MATCH(408, 輔助計算!$G$2:$G$801, 0)+1))&lt;=46.5,2,1)), IF(INDEX(ERP資料!$G:$G, (MATCH(408, 輔助計算!$G$2:$G$801, 0)+1))&lt;=790,3,IF(INDEX(ERP資料!$G:$G, (MATCH(408, 輔助計算!$G$2:$G$801, 0)+1))&lt;=1181,2,1))))=0,"",IF(MOD(INDEX(輔助計算!$D:$D, (MATCH(408, 輔助計算!$G$2:$G$801, 0)+1)),IF(INDEX(ERP資料!$G:$G, (MATCH(408, 輔助計算!$G$2:$G$801, 0)+1))&lt;100, IF(INDEX(ERP資料!$G:$G, (MATCH(408, 輔助計算!$G$2:$G$801, 0)+1))&lt;=31,3,IF(INDEX(ERP資料!$G:$G, (MATCH(408, 輔助計算!$G$2:$G$801, 0)+1))&lt;=46.5,2,1)), IF(INDEX(ERP資料!$G:$G, (MATCH(408, 輔助計算!$G$2:$G$801, 0)+1))&lt;=790,3,IF(INDEX(ERP資料!$G:$G, (MATCH(408, 輔助計算!$G$2:$G$801, 0)+1))&lt;=1181,2,1))))=1,TEXT(INDEX(ERP資料!$G:$G, (MATCH(408, 輔助計算!$G$2:$G$801, 0)+1)),"0.##"),IF(MOD(INDEX(輔助計算!$D:$D, (MATCH(408, 輔助計算!$G$2:$G$801, 0)+1)),IF(INDEX(ERP資料!$G:$G, (MATCH(408, 輔助計算!$G$2:$G$801, 0)+1))&lt;100, IF(INDEX(ERP資料!$G:$G, (MATCH(408, 輔助計算!$G$2:$G$801, 0)+1))&lt;=31,3,IF(INDEX(ERP資料!$G:$G, (MATCH(408, 輔助計算!$G$2:$G$801, 0)+1))&lt;=46.5,2,1)), IF(INDEX(ERP資料!$G:$G, (MATCH(408, 輔助計算!$G$2:$G$801, 0)+1))&lt;=790,3,IF(INDEX(ERP資料!$G:$G, (MATCH(408, 輔助計算!$G$2:$G$801, 0)+1))&lt;=1181,2,1))))=2,TEXT(INDEX(ERP資料!$G:$G, (MATCH(408, 輔助計算!$G$2:$G$801, 0)+1)),"0.##")&amp;"+"&amp;TEXT(INDEX(ERP資料!$G:$G, (MATCH(408, 輔助計算!$G$2:$G$801, 0)+1)),"0.##"),TEXT(INDEX(ERP資料!$G:$G, (MATCH(408, 輔助計算!$G$2:$G$801, 0)+1)),"0.##")&amp;"+"&amp;TEXT(INDEX(ERP資料!$G:$G, (MATCH(408, 輔助計算!$G$2:$G$801, 0)+1)),"0.##")&amp;"+"&amp;TEXT(INDEX(ERP資料!$G:$G, (MATCH(408, 輔助計算!$G$2:$G$801, 0)+1)),"0.##"))))&amp;"-1")), ""), "")</f>
        <v/>
      </c>
      <c r="K409" s="16" t="n"/>
      <c r="L409" s="14">
        <f>IFERROR(IF(AND(IFERROR(INDEX(ERP資料!$A:$A, (MATCH(408, 輔助計算!$G$2:$G$801, 0)+1)), "")&lt;&gt;"", IFERROR(INDEX(ERP資料!$A:$A, (MATCH(408, 輔助計算!$G$2:$G$801, 0)+1)), "")&lt;&gt;IFERROR(INDEX(ERP資料!$A:$A, MATCH(407, 輔助計算!$G$2:$G$801, 0)+1), "")), INDEX(ERP資料!$B:$B, (MATCH(408, 輔助計算!$G$2:$G$801, 0)+1)), ""), "")</f>
        <v/>
      </c>
      <c r="M409" s="17" t="n"/>
    </row>
    <row r="410">
      <c r="A410" s="10">
        <f>IFERROR(IF(AND(IFERROR(INDEX(ERP資料!$A:$A, (MATCH(409, 輔助計算!$G$2:$G$801, 0)+1)), "")&lt;&gt;"", IFERROR(INDEX(ERP資料!$A:$A, (MATCH(409, 輔助計算!$G$2:$G$801, 0)+1)), "")&lt;&gt;IFERROR(INDEX(ERP資料!$A:$A, MATCH(408, 輔助計算!$G$2:$G$801, 0)+1), "")), IFERROR(INDEX(ERP資料!$A:$A, (MATCH(409, 輔助計算!$G$2:$G$801, 0)+1)), ""), ""), "")</f>
        <v/>
      </c>
      <c r="B410" s="10">
        <f>IFERROR(IF(AND(IFERROR(INDEX(ERP資料!$A:$A, (MATCH(409, 輔助計算!$G$2:$G$801, 0)+1)), "")&lt;&gt;"", IFERROR(INDEX(ERP資料!$A:$A, (MATCH(409, 輔助計算!$G$2:$G$801, 0)+1)), "")&lt;&gt;IFERROR(INDEX(ERP資料!$A:$A, MATCH(408, 輔助計算!$G$2:$G$801, 0)+1), "")), INDEX(ERP資料!$S:$S, (MATCH(409, 輔助計算!$G$2:$G$801, 0)+1)), ""), "")</f>
        <v/>
      </c>
      <c r="C410" s="19">
        <f>IFERROR(IF(AND(IFERROR(INDEX(ERP資料!$A:$A, (MATCH(409, 輔助計算!$G$2:$G$801, 0)+1)), "")&lt;&gt;"", IFERROR(INDEX(ERP資料!$A:$A, (MATCH(409, 輔助計算!$G$2:$G$801, 0)+1)), "")&lt;&gt;IFERROR(INDEX(ERP資料!$A:$A, MATCH(408, 輔助計算!$G$2:$G$801, 0)+1), "")), IFERROR(VLOOKUP(LEFT(INDEX(ERP資料!$S:$S, (MATCH(409, 輔助計算!$G$2:$G$801, 0)+1)), 4), 紙管對照表!$A:$C, 3, FALSE), ""), ""), "")</f>
        <v/>
      </c>
      <c r="D410" s="16" t="n"/>
      <c r="E410" s="10">
        <f>IFERROR(IF(INDEX(ERP資料!$H:$H, (MATCH(409, 輔助計算!$G$2:$G$801, 0)+1))="","",INDEX(ERP資料!$H:$H, (MATCH(409, 輔助計算!$G$2:$G$801, 0)+1))), "")</f>
        <v/>
      </c>
      <c r="F410" s="10">
        <f>IFERROR(IF(INDEX(ERP資料!$E:$E, (MATCH(409, 輔助計算!$G$2:$G$801, 0)+1))="","",TRIM(INDEX(ERP資料!$E:$E, (MATCH(409, 輔助計算!$G$2:$G$801, 0)+1)))), "")</f>
        <v/>
      </c>
      <c r="G410" s="10">
        <f>IFERROR(IF(INDEX(ERP資料!$F:$F, (MATCH(409, 輔助計算!$G$2:$G$801, 0)+1))="","",INDEX(ERP資料!$F:$F, (MATCH(409, 輔助計算!$G$2:$G$801, 0)+1))), "")</f>
        <v/>
      </c>
      <c r="H410" s="10">
        <f>IFERROR(IF(INDEX(ERP資料!$G:$G, (MATCH(409, 輔助計算!$G$2:$G$801, 0)+1))="","",INDEX(ERP資料!$G:$G, (MATCH(409, 輔助計算!$G$2:$G$801, 0)+1))), "")</f>
        <v/>
      </c>
      <c r="I410" s="15">
        <f>IFERROR(INDEX(輔助計算!$D:$D, (MATCH(409, 輔助計算!$G$2:$G$801, 0)+1)), "")</f>
        <v/>
      </c>
      <c r="J410" s="15">
        <f>IFERROR(IF(AND(INDEX(輔助計算!$D:$D, (MATCH(409, 輔助計算!$G$2:$G$801, 0)+1))&lt;&gt;"", INDEX(ERP資料!$G:$G, (MATCH(409, 輔助計算!$G$2:$G$801, 0)+1))&lt;&gt;""), TRIM(IF(INT(INDEX(輔助計算!$D:$D, (MATCH(409, 輔助計算!$G$2:$G$801, 0)+1))/IF(INDEX(ERP資料!$G:$G, (MATCH(409, 輔助計算!$G$2:$G$801, 0)+1))&lt;100, IF(INDEX(ERP資料!$G:$G, (MATCH(409, 輔助計算!$G$2:$G$801, 0)+1))&lt;=31,3,IF(INDEX(ERP資料!$G:$G, (MATCH(409, 輔助計算!$G$2:$G$801, 0)+1))&lt;=46.5,2,1)), IF(INDEX(ERP資料!$G:$G, (MATCH(409, 輔助計算!$G$2:$G$801, 0)+1))&lt;=790,3,IF(INDEX(ERP資料!$G:$G, (MATCH(409, 輔助計算!$G$2:$G$801, 0)+1))&lt;=1181,2,1))))&gt;0, IF(IF(INDEX(ERP資料!$G:$G, (MATCH(409, 輔助計算!$G$2:$G$801, 0)+1))&lt;100, IF(INDEX(ERP資料!$G:$G, (MATCH(409, 輔助計算!$G$2:$G$801, 0)+1))&lt;=31,3,IF(INDEX(ERP資料!$G:$G, (MATCH(409, 輔助計算!$G$2:$G$801, 0)+1))&lt;=46.5,2,1)), IF(INDEX(ERP資料!$G:$G, (MATCH(409, 輔助計算!$G$2:$G$801, 0)+1))&lt;=790,3,IF(INDEX(ERP資料!$G:$G, (MATCH(409, 輔助計算!$G$2:$G$801, 0)+1))&lt;=1181,2,1)))=1,TEXT(INDEX(ERP資料!$G:$G, (MATCH(409, 輔助計算!$G$2:$G$801, 0)+1)),"0.##"),IF(IF(INDEX(ERP資料!$G:$G, (MATCH(409, 輔助計算!$G$2:$G$801, 0)+1))&lt;100, IF(INDEX(ERP資料!$G:$G, (MATCH(409, 輔助計算!$G$2:$G$801, 0)+1))&lt;=31,3,IF(INDEX(ERP資料!$G:$G, (MATCH(409, 輔助計算!$G$2:$G$801, 0)+1))&lt;=46.5,2,1)), IF(INDEX(ERP資料!$G:$G, (MATCH(409, 輔助計算!$G$2:$G$801, 0)+1))&lt;=790,3,IF(INDEX(ERP資料!$G:$G, (MATCH(409, 輔助計算!$G$2:$G$801, 0)+1))&lt;=1181,2,1)))=2,TEXT(INDEX(ERP資料!$G:$G, (MATCH(409, 輔助計算!$G$2:$G$801, 0)+1)),"0.##")&amp;"+"&amp;TEXT(INDEX(ERP資料!$G:$G, (MATCH(409, 輔助計算!$G$2:$G$801, 0)+1)),"0.##"),TEXT(INDEX(ERP資料!$G:$G, (MATCH(409, 輔助計算!$G$2:$G$801, 0)+1)),"0.##")&amp;"+"&amp;TEXT(INDEX(ERP資料!$G:$G, (MATCH(409, 輔助計算!$G$2:$G$801, 0)+1)),"0.##")&amp;"+"&amp;TEXT(INDEX(ERP資料!$G:$G, (MATCH(409, 輔助計算!$G$2:$G$801, 0)+1)),"0.##")))&amp;"-"&amp;INT(INDEX(輔助計算!$D:$D, (MATCH(409, 輔助計算!$G$2:$G$801, 0)+1))/IF(INDEX(ERP資料!$G:$G, (MATCH(409, 輔助計算!$G$2:$G$801, 0)+1))&lt;100, IF(INDEX(ERP資料!$G:$G, (MATCH(409, 輔助計算!$G$2:$G$801, 0)+1))&lt;=31,3,IF(INDEX(ERP資料!$G:$G, (MATCH(409, 輔助計算!$G$2:$G$801, 0)+1))&lt;=46.5,2,1)), IF(INDEX(ERP資料!$G:$G, (MATCH(409, 輔助計算!$G$2:$G$801, 0)+1))&lt;=790,3,IF(INDEX(ERP資料!$G:$G, (MATCH(409, 輔助計算!$G$2:$G$801, 0)+1))&lt;=1181,2,1)))), "")&amp;IF(AND(IF(INT(INDEX(輔助計算!$D:$D, (MATCH(409, 輔助計算!$G$2:$G$801, 0)+1))/IF(INDEX(ERP資料!$G:$G, (MATCH(409, 輔助計算!$G$2:$G$801, 0)+1))&lt;100, IF(INDEX(ERP資料!$G:$G, (MATCH(409, 輔助計算!$G$2:$G$801, 0)+1))&lt;=31,3,IF(INDEX(ERP資料!$G:$G, (MATCH(409, 輔助計算!$G$2:$G$801, 0)+1))&lt;=46.5,2,1)), IF(INDEX(ERP資料!$G:$G, (MATCH(409, 輔助計算!$G$2:$G$801, 0)+1))&lt;=790,3,IF(INDEX(ERP資料!$G:$G, (MATCH(409, 輔助計算!$G$2:$G$801, 0)+1))&lt;=1181,2,1))))&gt;0, IF(IF(INDEX(ERP資料!$G:$G, (MATCH(409, 輔助計算!$G$2:$G$801, 0)+1))&lt;100, IF(INDEX(ERP資料!$G:$G, (MATCH(409, 輔助計算!$G$2:$G$801, 0)+1))&lt;=31,3,IF(INDEX(ERP資料!$G:$G, (MATCH(409, 輔助計算!$G$2:$G$801, 0)+1))&lt;=46.5,2,1)), IF(INDEX(ERP資料!$G:$G, (MATCH(409, 輔助計算!$G$2:$G$801, 0)+1))&lt;=790,3,IF(INDEX(ERP資料!$G:$G, (MATCH(409, 輔助計算!$G$2:$G$801, 0)+1))&lt;=1181,2,1)))=1,TEXT(INDEX(ERP資料!$G:$G, (MATCH(409, 輔助計算!$G$2:$G$801, 0)+1)),"0.##"),IF(IF(INDEX(ERP資料!$G:$G, (MATCH(409, 輔助計算!$G$2:$G$801, 0)+1))&lt;100, IF(INDEX(ERP資料!$G:$G, (MATCH(409, 輔助計算!$G$2:$G$801, 0)+1))&lt;=31,3,IF(INDEX(ERP資料!$G:$G, (MATCH(409, 輔助計算!$G$2:$G$801, 0)+1))&lt;=46.5,2,1)), IF(INDEX(ERP資料!$G:$G, (MATCH(409, 輔助計算!$G$2:$G$801, 0)+1))&lt;=790,3,IF(INDEX(ERP資料!$G:$G, (MATCH(409, 輔助計算!$G$2:$G$801, 0)+1))&lt;=1181,2,1)))=2,TEXT(INDEX(ERP資料!$G:$G, (MATCH(409, 輔助計算!$G$2:$G$801, 0)+1)),"0.##")&amp;"+"&amp;TEXT(INDEX(ERP資料!$G:$G, (MATCH(409, 輔助計算!$G$2:$G$801, 0)+1)),"0.##"),TEXT(INDEX(ERP資料!$G:$G, (MATCH(409, 輔助計算!$G$2:$G$801, 0)+1)),"0.##")&amp;"+"&amp;TEXT(INDEX(ERP資料!$G:$G, (MATCH(409, 輔助計算!$G$2:$G$801, 0)+1)),"0.##")&amp;"+"&amp;TEXT(INDEX(ERP資料!$G:$G, (MATCH(409, 輔助計算!$G$2:$G$801, 0)+1)),"0.##")))&amp;"-"&amp;INT(INDEX(輔助計算!$D:$D, (MATCH(409, 輔助計算!$G$2:$G$801, 0)+1))/IF(INDEX(ERP資料!$G:$G, (MATCH(409, 輔助計算!$G$2:$G$801, 0)+1))&lt;100, IF(INDEX(ERP資料!$G:$G, (MATCH(409, 輔助計算!$G$2:$G$801, 0)+1))&lt;=31,3,IF(INDEX(ERP資料!$G:$G, (MATCH(409, 輔助計算!$G$2:$G$801, 0)+1))&lt;=46.5,2,1)), IF(INDEX(ERP資料!$G:$G, (MATCH(409, 輔助計算!$G$2:$G$801, 0)+1))&lt;=790,3,IF(INDEX(ERP資料!$G:$G, (MATCH(409, 輔助計算!$G$2:$G$801, 0)+1))&lt;=1181,2,1)))), "")&lt;&gt;"",IF(MOD(INDEX(輔助計算!$D:$D, (MATCH(409, 輔助計算!$G$2:$G$801, 0)+1)),IF(INDEX(ERP資料!$G:$G, (MATCH(409, 輔助計算!$G$2:$G$801, 0)+1))&lt;100, IF(INDEX(ERP資料!$G:$G, (MATCH(409, 輔助計算!$G$2:$G$801, 0)+1))&lt;=31,3,IF(INDEX(ERP資料!$G:$G, (MATCH(409, 輔助計算!$G$2:$G$801, 0)+1))&lt;=46.5,2,1)), IF(INDEX(ERP資料!$G:$G, (MATCH(409, 輔助計算!$G$2:$G$801, 0)+1))&lt;=790,3,IF(INDEX(ERP資料!$G:$G, (MATCH(409, 輔助計算!$G$2:$G$801, 0)+1))&lt;=1181,2,1))))=0,"",IF(MOD(INDEX(輔助計算!$D:$D, (MATCH(409, 輔助計算!$G$2:$G$801, 0)+1)),IF(INDEX(ERP資料!$G:$G, (MATCH(409, 輔助計算!$G$2:$G$801, 0)+1))&lt;100, IF(INDEX(ERP資料!$G:$G, (MATCH(409, 輔助計算!$G$2:$G$801, 0)+1))&lt;=31,3,IF(INDEX(ERP資料!$G:$G, (MATCH(409, 輔助計算!$G$2:$G$801, 0)+1))&lt;=46.5,2,1)), IF(INDEX(ERP資料!$G:$G, (MATCH(409, 輔助計算!$G$2:$G$801, 0)+1))&lt;=790,3,IF(INDEX(ERP資料!$G:$G, (MATCH(409, 輔助計算!$G$2:$G$801, 0)+1))&lt;=1181,2,1))))=0,"",IF(MOD(INDEX(輔助計算!$D:$D, (MATCH(409, 輔助計算!$G$2:$G$801, 0)+1)),IF(INDEX(ERP資料!$G:$G, (MATCH(409, 輔助計算!$G$2:$G$801, 0)+1))&lt;100, IF(INDEX(ERP資料!$G:$G, (MATCH(409, 輔助計算!$G$2:$G$801, 0)+1))&lt;=31,3,IF(INDEX(ERP資料!$G:$G, (MATCH(409, 輔助計算!$G$2:$G$801, 0)+1))&lt;=46.5,2,1)), IF(INDEX(ERP資料!$G:$G, (MATCH(409, 輔助計算!$G$2:$G$801, 0)+1))&lt;=790,3,IF(INDEX(ERP資料!$G:$G, (MATCH(409, 輔助計算!$G$2:$G$801, 0)+1))&lt;=1181,2,1))))=1,TEXT(INDEX(ERP資料!$G:$G, (MATCH(409, 輔助計算!$G$2:$G$801, 0)+1)),"0.##"),IF(MOD(INDEX(輔助計算!$D:$D, (MATCH(409, 輔助計算!$G$2:$G$801, 0)+1)),IF(INDEX(ERP資料!$G:$G, (MATCH(409, 輔助計算!$G$2:$G$801, 0)+1))&lt;100, IF(INDEX(ERP資料!$G:$G, (MATCH(409, 輔助計算!$G$2:$G$801, 0)+1))&lt;=31,3,IF(INDEX(ERP資料!$G:$G, (MATCH(409, 輔助計算!$G$2:$G$801, 0)+1))&lt;=46.5,2,1)), IF(INDEX(ERP資料!$G:$G, (MATCH(409, 輔助計算!$G$2:$G$801, 0)+1))&lt;=790,3,IF(INDEX(ERP資料!$G:$G, (MATCH(409, 輔助計算!$G$2:$G$801, 0)+1))&lt;=1181,2,1))))=2,TEXT(INDEX(ERP資料!$G:$G, (MATCH(409, 輔助計算!$G$2:$G$801, 0)+1)),"0.##")&amp;"+"&amp;TEXT(INDEX(ERP資料!$G:$G, (MATCH(409, 輔助計算!$G$2:$G$801, 0)+1)),"0.##"),TEXT(INDEX(ERP資料!$G:$G, (MATCH(409, 輔助計算!$G$2:$G$801, 0)+1)),"0.##")&amp;"+"&amp;TEXT(INDEX(ERP資料!$G:$G, (MATCH(409, 輔助計算!$G$2:$G$801, 0)+1)),"0.##")&amp;"+"&amp;TEXT(INDEX(ERP資料!$G:$G, (MATCH(409, 輔助計算!$G$2:$G$801, 0)+1)),"0.##"))))&amp;"-1")&lt;&gt;""),"  ","")&amp;IF(MOD(INDEX(輔助計算!$D:$D, (MATCH(409, 輔助計算!$G$2:$G$801, 0)+1)),IF(INDEX(ERP資料!$G:$G, (MATCH(409, 輔助計算!$G$2:$G$801, 0)+1))&lt;100, IF(INDEX(ERP資料!$G:$G, (MATCH(409, 輔助計算!$G$2:$G$801, 0)+1))&lt;=31,3,IF(INDEX(ERP資料!$G:$G, (MATCH(409, 輔助計算!$G$2:$G$801, 0)+1))&lt;=46.5,2,1)), IF(INDEX(ERP資料!$G:$G, (MATCH(409, 輔助計算!$G$2:$G$801, 0)+1))&lt;=790,3,IF(INDEX(ERP資料!$G:$G, (MATCH(409, 輔助計算!$G$2:$G$801, 0)+1))&lt;=1181,2,1))))=0,"",IF(MOD(INDEX(輔助計算!$D:$D, (MATCH(409, 輔助計算!$G$2:$G$801, 0)+1)),IF(INDEX(ERP資料!$G:$G, (MATCH(409, 輔助計算!$G$2:$G$801, 0)+1))&lt;100, IF(INDEX(ERP資料!$G:$G, (MATCH(409, 輔助計算!$G$2:$G$801, 0)+1))&lt;=31,3,IF(INDEX(ERP資料!$G:$G, (MATCH(409, 輔助計算!$G$2:$G$801, 0)+1))&lt;=46.5,2,1)), IF(INDEX(ERP資料!$G:$G, (MATCH(409, 輔助計算!$G$2:$G$801, 0)+1))&lt;=790,3,IF(INDEX(ERP資料!$G:$G, (MATCH(409, 輔助計算!$G$2:$G$801, 0)+1))&lt;=1181,2,1))))=0,"",IF(MOD(INDEX(輔助計算!$D:$D, (MATCH(409, 輔助計算!$G$2:$G$801, 0)+1)),IF(INDEX(ERP資料!$G:$G, (MATCH(409, 輔助計算!$G$2:$G$801, 0)+1))&lt;100, IF(INDEX(ERP資料!$G:$G, (MATCH(409, 輔助計算!$G$2:$G$801, 0)+1))&lt;=31,3,IF(INDEX(ERP資料!$G:$G, (MATCH(409, 輔助計算!$G$2:$G$801, 0)+1))&lt;=46.5,2,1)), IF(INDEX(ERP資料!$G:$G, (MATCH(409, 輔助計算!$G$2:$G$801, 0)+1))&lt;=790,3,IF(INDEX(ERP資料!$G:$G, (MATCH(409, 輔助計算!$G$2:$G$801, 0)+1))&lt;=1181,2,1))))=1,TEXT(INDEX(ERP資料!$G:$G, (MATCH(409, 輔助計算!$G$2:$G$801, 0)+1)),"0.##"),IF(MOD(INDEX(輔助計算!$D:$D, (MATCH(409, 輔助計算!$G$2:$G$801, 0)+1)),IF(INDEX(ERP資料!$G:$G, (MATCH(409, 輔助計算!$G$2:$G$801, 0)+1))&lt;100, IF(INDEX(ERP資料!$G:$G, (MATCH(409, 輔助計算!$G$2:$G$801, 0)+1))&lt;=31,3,IF(INDEX(ERP資料!$G:$G, (MATCH(409, 輔助計算!$G$2:$G$801, 0)+1))&lt;=46.5,2,1)), IF(INDEX(ERP資料!$G:$G, (MATCH(409, 輔助計算!$G$2:$G$801, 0)+1))&lt;=790,3,IF(INDEX(ERP資料!$G:$G, (MATCH(409, 輔助計算!$G$2:$G$801, 0)+1))&lt;=1181,2,1))))=2,TEXT(INDEX(ERP資料!$G:$G, (MATCH(409, 輔助計算!$G$2:$G$801, 0)+1)),"0.##")&amp;"+"&amp;TEXT(INDEX(ERP資料!$G:$G, (MATCH(409, 輔助計算!$G$2:$G$801, 0)+1)),"0.##"),TEXT(INDEX(ERP資料!$G:$G, (MATCH(409, 輔助計算!$G$2:$G$801, 0)+1)),"0.##")&amp;"+"&amp;TEXT(INDEX(ERP資料!$G:$G, (MATCH(409, 輔助計算!$G$2:$G$801, 0)+1)),"0.##")&amp;"+"&amp;TEXT(INDEX(ERP資料!$G:$G, (MATCH(409, 輔助計算!$G$2:$G$801, 0)+1)),"0.##"))))&amp;"-1")), ""), "")</f>
        <v/>
      </c>
      <c r="K410" s="16" t="n"/>
      <c r="L410" s="14">
        <f>IFERROR(IF(AND(IFERROR(INDEX(ERP資料!$A:$A, (MATCH(409, 輔助計算!$G$2:$G$801, 0)+1)), "")&lt;&gt;"", IFERROR(INDEX(ERP資料!$A:$A, (MATCH(409, 輔助計算!$G$2:$G$801, 0)+1)), "")&lt;&gt;IFERROR(INDEX(ERP資料!$A:$A, MATCH(408, 輔助計算!$G$2:$G$801, 0)+1), "")), INDEX(ERP資料!$B:$B, (MATCH(409, 輔助計算!$G$2:$G$801, 0)+1)), ""), "")</f>
        <v/>
      </c>
      <c r="M410" s="17" t="n"/>
    </row>
    <row r="411">
      <c r="A411" s="10">
        <f>IFERROR(IF(AND(IFERROR(INDEX(ERP資料!$A:$A, (MATCH(410, 輔助計算!$G$2:$G$801, 0)+1)), "")&lt;&gt;"", IFERROR(INDEX(ERP資料!$A:$A, (MATCH(410, 輔助計算!$G$2:$G$801, 0)+1)), "")&lt;&gt;IFERROR(INDEX(ERP資料!$A:$A, MATCH(409, 輔助計算!$G$2:$G$801, 0)+1), "")), IFERROR(INDEX(ERP資料!$A:$A, (MATCH(410, 輔助計算!$G$2:$G$801, 0)+1)), ""), ""), "")</f>
        <v/>
      </c>
      <c r="B411" s="10">
        <f>IFERROR(IF(AND(IFERROR(INDEX(ERP資料!$A:$A, (MATCH(410, 輔助計算!$G$2:$G$801, 0)+1)), "")&lt;&gt;"", IFERROR(INDEX(ERP資料!$A:$A, (MATCH(410, 輔助計算!$G$2:$G$801, 0)+1)), "")&lt;&gt;IFERROR(INDEX(ERP資料!$A:$A, MATCH(409, 輔助計算!$G$2:$G$801, 0)+1), "")), INDEX(ERP資料!$S:$S, (MATCH(410, 輔助計算!$G$2:$G$801, 0)+1)), ""), "")</f>
        <v/>
      </c>
      <c r="C411" s="19">
        <f>IFERROR(IF(AND(IFERROR(INDEX(ERP資料!$A:$A, (MATCH(410, 輔助計算!$G$2:$G$801, 0)+1)), "")&lt;&gt;"", IFERROR(INDEX(ERP資料!$A:$A, (MATCH(410, 輔助計算!$G$2:$G$801, 0)+1)), "")&lt;&gt;IFERROR(INDEX(ERP資料!$A:$A, MATCH(409, 輔助計算!$G$2:$G$801, 0)+1), "")), IFERROR(VLOOKUP(LEFT(INDEX(ERP資料!$S:$S, (MATCH(410, 輔助計算!$G$2:$G$801, 0)+1)), 4), 紙管對照表!$A:$C, 3, FALSE), ""), ""), "")</f>
        <v/>
      </c>
      <c r="D411" s="16" t="n"/>
      <c r="E411" s="10">
        <f>IFERROR(IF(INDEX(ERP資料!$H:$H, (MATCH(410, 輔助計算!$G$2:$G$801, 0)+1))="","",INDEX(ERP資料!$H:$H, (MATCH(410, 輔助計算!$G$2:$G$801, 0)+1))), "")</f>
        <v/>
      </c>
      <c r="F411" s="10">
        <f>IFERROR(IF(INDEX(ERP資料!$E:$E, (MATCH(410, 輔助計算!$G$2:$G$801, 0)+1))="","",TRIM(INDEX(ERP資料!$E:$E, (MATCH(410, 輔助計算!$G$2:$G$801, 0)+1)))), "")</f>
        <v/>
      </c>
      <c r="G411" s="10">
        <f>IFERROR(IF(INDEX(ERP資料!$F:$F, (MATCH(410, 輔助計算!$G$2:$G$801, 0)+1))="","",INDEX(ERP資料!$F:$F, (MATCH(410, 輔助計算!$G$2:$G$801, 0)+1))), "")</f>
        <v/>
      </c>
      <c r="H411" s="10">
        <f>IFERROR(IF(INDEX(ERP資料!$G:$G, (MATCH(410, 輔助計算!$G$2:$G$801, 0)+1))="","",INDEX(ERP資料!$G:$G, (MATCH(410, 輔助計算!$G$2:$G$801, 0)+1))), "")</f>
        <v/>
      </c>
      <c r="I411" s="15">
        <f>IFERROR(INDEX(輔助計算!$D:$D, (MATCH(410, 輔助計算!$G$2:$G$801, 0)+1)), "")</f>
        <v/>
      </c>
      <c r="J411" s="15">
        <f>IFERROR(IF(AND(INDEX(輔助計算!$D:$D, (MATCH(410, 輔助計算!$G$2:$G$801, 0)+1))&lt;&gt;"", INDEX(ERP資料!$G:$G, (MATCH(410, 輔助計算!$G$2:$G$801, 0)+1))&lt;&gt;""), TRIM(IF(INT(INDEX(輔助計算!$D:$D, (MATCH(410, 輔助計算!$G$2:$G$801, 0)+1))/IF(INDEX(ERP資料!$G:$G, (MATCH(410, 輔助計算!$G$2:$G$801, 0)+1))&lt;100, IF(INDEX(ERP資料!$G:$G, (MATCH(410, 輔助計算!$G$2:$G$801, 0)+1))&lt;=31,3,IF(INDEX(ERP資料!$G:$G, (MATCH(410, 輔助計算!$G$2:$G$801, 0)+1))&lt;=46.5,2,1)), IF(INDEX(ERP資料!$G:$G, (MATCH(410, 輔助計算!$G$2:$G$801, 0)+1))&lt;=790,3,IF(INDEX(ERP資料!$G:$G, (MATCH(410, 輔助計算!$G$2:$G$801, 0)+1))&lt;=1181,2,1))))&gt;0, IF(IF(INDEX(ERP資料!$G:$G, (MATCH(410, 輔助計算!$G$2:$G$801, 0)+1))&lt;100, IF(INDEX(ERP資料!$G:$G, (MATCH(410, 輔助計算!$G$2:$G$801, 0)+1))&lt;=31,3,IF(INDEX(ERP資料!$G:$G, (MATCH(410, 輔助計算!$G$2:$G$801, 0)+1))&lt;=46.5,2,1)), IF(INDEX(ERP資料!$G:$G, (MATCH(410, 輔助計算!$G$2:$G$801, 0)+1))&lt;=790,3,IF(INDEX(ERP資料!$G:$G, (MATCH(410, 輔助計算!$G$2:$G$801, 0)+1))&lt;=1181,2,1)))=1,TEXT(INDEX(ERP資料!$G:$G, (MATCH(410, 輔助計算!$G$2:$G$801, 0)+1)),"0.##"),IF(IF(INDEX(ERP資料!$G:$G, (MATCH(410, 輔助計算!$G$2:$G$801, 0)+1))&lt;100, IF(INDEX(ERP資料!$G:$G, (MATCH(410, 輔助計算!$G$2:$G$801, 0)+1))&lt;=31,3,IF(INDEX(ERP資料!$G:$G, (MATCH(410, 輔助計算!$G$2:$G$801, 0)+1))&lt;=46.5,2,1)), IF(INDEX(ERP資料!$G:$G, (MATCH(410, 輔助計算!$G$2:$G$801, 0)+1))&lt;=790,3,IF(INDEX(ERP資料!$G:$G, (MATCH(410, 輔助計算!$G$2:$G$801, 0)+1))&lt;=1181,2,1)))=2,TEXT(INDEX(ERP資料!$G:$G, (MATCH(410, 輔助計算!$G$2:$G$801, 0)+1)),"0.##")&amp;"+"&amp;TEXT(INDEX(ERP資料!$G:$G, (MATCH(410, 輔助計算!$G$2:$G$801, 0)+1)),"0.##"),TEXT(INDEX(ERP資料!$G:$G, (MATCH(410, 輔助計算!$G$2:$G$801, 0)+1)),"0.##")&amp;"+"&amp;TEXT(INDEX(ERP資料!$G:$G, (MATCH(410, 輔助計算!$G$2:$G$801, 0)+1)),"0.##")&amp;"+"&amp;TEXT(INDEX(ERP資料!$G:$G, (MATCH(410, 輔助計算!$G$2:$G$801, 0)+1)),"0.##")))&amp;"-"&amp;INT(INDEX(輔助計算!$D:$D, (MATCH(410, 輔助計算!$G$2:$G$801, 0)+1))/IF(INDEX(ERP資料!$G:$G, (MATCH(410, 輔助計算!$G$2:$G$801, 0)+1))&lt;100, IF(INDEX(ERP資料!$G:$G, (MATCH(410, 輔助計算!$G$2:$G$801, 0)+1))&lt;=31,3,IF(INDEX(ERP資料!$G:$G, (MATCH(410, 輔助計算!$G$2:$G$801, 0)+1))&lt;=46.5,2,1)), IF(INDEX(ERP資料!$G:$G, (MATCH(410, 輔助計算!$G$2:$G$801, 0)+1))&lt;=790,3,IF(INDEX(ERP資料!$G:$G, (MATCH(410, 輔助計算!$G$2:$G$801, 0)+1))&lt;=1181,2,1)))), "")&amp;IF(AND(IF(INT(INDEX(輔助計算!$D:$D, (MATCH(410, 輔助計算!$G$2:$G$801, 0)+1))/IF(INDEX(ERP資料!$G:$G, (MATCH(410, 輔助計算!$G$2:$G$801, 0)+1))&lt;100, IF(INDEX(ERP資料!$G:$G, (MATCH(410, 輔助計算!$G$2:$G$801, 0)+1))&lt;=31,3,IF(INDEX(ERP資料!$G:$G, (MATCH(410, 輔助計算!$G$2:$G$801, 0)+1))&lt;=46.5,2,1)), IF(INDEX(ERP資料!$G:$G, (MATCH(410, 輔助計算!$G$2:$G$801, 0)+1))&lt;=790,3,IF(INDEX(ERP資料!$G:$G, (MATCH(410, 輔助計算!$G$2:$G$801, 0)+1))&lt;=1181,2,1))))&gt;0, IF(IF(INDEX(ERP資料!$G:$G, (MATCH(410, 輔助計算!$G$2:$G$801, 0)+1))&lt;100, IF(INDEX(ERP資料!$G:$G, (MATCH(410, 輔助計算!$G$2:$G$801, 0)+1))&lt;=31,3,IF(INDEX(ERP資料!$G:$G, (MATCH(410, 輔助計算!$G$2:$G$801, 0)+1))&lt;=46.5,2,1)), IF(INDEX(ERP資料!$G:$G, (MATCH(410, 輔助計算!$G$2:$G$801, 0)+1))&lt;=790,3,IF(INDEX(ERP資料!$G:$G, (MATCH(410, 輔助計算!$G$2:$G$801, 0)+1))&lt;=1181,2,1)))=1,TEXT(INDEX(ERP資料!$G:$G, (MATCH(410, 輔助計算!$G$2:$G$801, 0)+1)),"0.##"),IF(IF(INDEX(ERP資料!$G:$G, (MATCH(410, 輔助計算!$G$2:$G$801, 0)+1))&lt;100, IF(INDEX(ERP資料!$G:$G, (MATCH(410, 輔助計算!$G$2:$G$801, 0)+1))&lt;=31,3,IF(INDEX(ERP資料!$G:$G, (MATCH(410, 輔助計算!$G$2:$G$801, 0)+1))&lt;=46.5,2,1)), IF(INDEX(ERP資料!$G:$G, (MATCH(410, 輔助計算!$G$2:$G$801, 0)+1))&lt;=790,3,IF(INDEX(ERP資料!$G:$G, (MATCH(410, 輔助計算!$G$2:$G$801, 0)+1))&lt;=1181,2,1)))=2,TEXT(INDEX(ERP資料!$G:$G, (MATCH(410, 輔助計算!$G$2:$G$801, 0)+1)),"0.##")&amp;"+"&amp;TEXT(INDEX(ERP資料!$G:$G, (MATCH(410, 輔助計算!$G$2:$G$801, 0)+1)),"0.##"),TEXT(INDEX(ERP資料!$G:$G, (MATCH(410, 輔助計算!$G$2:$G$801, 0)+1)),"0.##")&amp;"+"&amp;TEXT(INDEX(ERP資料!$G:$G, (MATCH(410, 輔助計算!$G$2:$G$801, 0)+1)),"0.##")&amp;"+"&amp;TEXT(INDEX(ERP資料!$G:$G, (MATCH(410, 輔助計算!$G$2:$G$801, 0)+1)),"0.##")))&amp;"-"&amp;INT(INDEX(輔助計算!$D:$D, (MATCH(410, 輔助計算!$G$2:$G$801, 0)+1))/IF(INDEX(ERP資料!$G:$G, (MATCH(410, 輔助計算!$G$2:$G$801, 0)+1))&lt;100, IF(INDEX(ERP資料!$G:$G, (MATCH(410, 輔助計算!$G$2:$G$801, 0)+1))&lt;=31,3,IF(INDEX(ERP資料!$G:$G, (MATCH(410, 輔助計算!$G$2:$G$801, 0)+1))&lt;=46.5,2,1)), IF(INDEX(ERP資料!$G:$G, (MATCH(410, 輔助計算!$G$2:$G$801, 0)+1))&lt;=790,3,IF(INDEX(ERP資料!$G:$G, (MATCH(410, 輔助計算!$G$2:$G$801, 0)+1))&lt;=1181,2,1)))), "")&lt;&gt;"",IF(MOD(INDEX(輔助計算!$D:$D, (MATCH(410, 輔助計算!$G$2:$G$801, 0)+1)),IF(INDEX(ERP資料!$G:$G, (MATCH(410, 輔助計算!$G$2:$G$801, 0)+1))&lt;100, IF(INDEX(ERP資料!$G:$G, (MATCH(410, 輔助計算!$G$2:$G$801, 0)+1))&lt;=31,3,IF(INDEX(ERP資料!$G:$G, (MATCH(410, 輔助計算!$G$2:$G$801, 0)+1))&lt;=46.5,2,1)), IF(INDEX(ERP資料!$G:$G, (MATCH(410, 輔助計算!$G$2:$G$801, 0)+1))&lt;=790,3,IF(INDEX(ERP資料!$G:$G, (MATCH(410, 輔助計算!$G$2:$G$801, 0)+1))&lt;=1181,2,1))))=0,"",IF(MOD(INDEX(輔助計算!$D:$D, (MATCH(410, 輔助計算!$G$2:$G$801, 0)+1)),IF(INDEX(ERP資料!$G:$G, (MATCH(410, 輔助計算!$G$2:$G$801, 0)+1))&lt;100, IF(INDEX(ERP資料!$G:$G, (MATCH(410, 輔助計算!$G$2:$G$801, 0)+1))&lt;=31,3,IF(INDEX(ERP資料!$G:$G, (MATCH(410, 輔助計算!$G$2:$G$801, 0)+1))&lt;=46.5,2,1)), IF(INDEX(ERP資料!$G:$G, (MATCH(410, 輔助計算!$G$2:$G$801, 0)+1))&lt;=790,3,IF(INDEX(ERP資料!$G:$G, (MATCH(410, 輔助計算!$G$2:$G$801, 0)+1))&lt;=1181,2,1))))=0,"",IF(MOD(INDEX(輔助計算!$D:$D, (MATCH(410, 輔助計算!$G$2:$G$801, 0)+1)),IF(INDEX(ERP資料!$G:$G, (MATCH(410, 輔助計算!$G$2:$G$801, 0)+1))&lt;100, IF(INDEX(ERP資料!$G:$G, (MATCH(410, 輔助計算!$G$2:$G$801, 0)+1))&lt;=31,3,IF(INDEX(ERP資料!$G:$G, (MATCH(410, 輔助計算!$G$2:$G$801, 0)+1))&lt;=46.5,2,1)), IF(INDEX(ERP資料!$G:$G, (MATCH(410, 輔助計算!$G$2:$G$801, 0)+1))&lt;=790,3,IF(INDEX(ERP資料!$G:$G, (MATCH(410, 輔助計算!$G$2:$G$801, 0)+1))&lt;=1181,2,1))))=1,TEXT(INDEX(ERP資料!$G:$G, (MATCH(410, 輔助計算!$G$2:$G$801, 0)+1)),"0.##"),IF(MOD(INDEX(輔助計算!$D:$D, (MATCH(410, 輔助計算!$G$2:$G$801, 0)+1)),IF(INDEX(ERP資料!$G:$G, (MATCH(410, 輔助計算!$G$2:$G$801, 0)+1))&lt;100, IF(INDEX(ERP資料!$G:$G, (MATCH(410, 輔助計算!$G$2:$G$801, 0)+1))&lt;=31,3,IF(INDEX(ERP資料!$G:$G, (MATCH(410, 輔助計算!$G$2:$G$801, 0)+1))&lt;=46.5,2,1)), IF(INDEX(ERP資料!$G:$G, (MATCH(410, 輔助計算!$G$2:$G$801, 0)+1))&lt;=790,3,IF(INDEX(ERP資料!$G:$G, (MATCH(410, 輔助計算!$G$2:$G$801, 0)+1))&lt;=1181,2,1))))=2,TEXT(INDEX(ERP資料!$G:$G, (MATCH(410, 輔助計算!$G$2:$G$801, 0)+1)),"0.##")&amp;"+"&amp;TEXT(INDEX(ERP資料!$G:$G, (MATCH(410, 輔助計算!$G$2:$G$801, 0)+1)),"0.##"),TEXT(INDEX(ERP資料!$G:$G, (MATCH(410, 輔助計算!$G$2:$G$801, 0)+1)),"0.##")&amp;"+"&amp;TEXT(INDEX(ERP資料!$G:$G, (MATCH(410, 輔助計算!$G$2:$G$801, 0)+1)),"0.##")&amp;"+"&amp;TEXT(INDEX(ERP資料!$G:$G, (MATCH(410, 輔助計算!$G$2:$G$801, 0)+1)),"0.##"))))&amp;"-1")&lt;&gt;""),"  ","")&amp;IF(MOD(INDEX(輔助計算!$D:$D, (MATCH(410, 輔助計算!$G$2:$G$801, 0)+1)),IF(INDEX(ERP資料!$G:$G, (MATCH(410, 輔助計算!$G$2:$G$801, 0)+1))&lt;100, IF(INDEX(ERP資料!$G:$G, (MATCH(410, 輔助計算!$G$2:$G$801, 0)+1))&lt;=31,3,IF(INDEX(ERP資料!$G:$G, (MATCH(410, 輔助計算!$G$2:$G$801, 0)+1))&lt;=46.5,2,1)), IF(INDEX(ERP資料!$G:$G, (MATCH(410, 輔助計算!$G$2:$G$801, 0)+1))&lt;=790,3,IF(INDEX(ERP資料!$G:$G, (MATCH(410, 輔助計算!$G$2:$G$801, 0)+1))&lt;=1181,2,1))))=0,"",IF(MOD(INDEX(輔助計算!$D:$D, (MATCH(410, 輔助計算!$G$2:$G$801, 0)+1)),IF(INDEX(ERP資料!$G:$G, (MATCH(410, 輔助計算!$G$2:$G$801, 0)+1))&lt;100, IF(INDEX(ERP資料!$G:$G, (MATCH(410, 輔助計算!$G$2:$G$801, 0)+1))&lt;=31,3,IF(INDEX(ERP資料!$G:$G, (MATCH(410, 輔助計算!$G$2:$G$801, 0)+1))&lt;=46.5,2,1)), IF(INDEX(ERP資料!$G:$G, (MATCH(410, 輔助計算!$G$2:$G$801, 0)+1))&lt;=790,3,IF(INDEX(ERP資料!$G:$G, (MATCH(410, 輔助計算!$G$2:$G$801, 0)+1))&lt;=1181,2,1))))=0,"",IF(MOD(INDEX(輔助計算!$D:$D, (MATCH(410, 輔助計算!$G$2:$G$801, 0)+1)),IF(INDEX(ERP資料!$G:$G, (MATCH(410, 輔助計算!$G$2:$G$801, 0)+1))&lt;100, IF(INDEX(ERP資料!$G:$G, (MATCH(410, 輔助計算!$G$2:$G$801, 0)+1))&lt;=31,3,IF(INDEX(ERP資料!$G:$G, (MATCH(410, 輔助計算!$G$2:$G$801, 0)+1))&lt;=46.5,2,1)), IF(INDEX(ERP資料!$G:$G, (MATCH(410, 輔助計算!$G$2:$G$801, 0)+1))&lt;=790,3,IF(INDEX(ERP資料!$G:$G, (MATCH(410, 輔助計算!$G$2:$G$801, 0)+1))&lt;=1181,2,1))))=1,TEXT(INDEX(ERP資料!$G:$G, (MATCH(410, 輔助計算!$G$2:$G$801, 0)+1)),"0.##"),IF(MOD(INDEX(輔助計算!$D:$D, (MATCH(410, 輔助計算!$G$2:$G$801, 0)+1)),IF(INDEX(ERP資料!$G:$G, (MATCH(410, 輔助計算!$G$2:$G$801, 0)+1))&lt;100, IF(INDEX(ERP資料!$G:$G, (MATCH(410, 輔助計算!$G$2:$G$801, 0)+1))&lt;=31,3,IF(INDEX(ERP資料!$G:$G, (MATCH(410, 輔助計算!$G$2:$G$801, 0)+1))&lt;=46.5,2,1)), IF(INDEX(ERP資料!$G:$G, (MATCH(410, 輔助計算!$G$2:$G$801, 0)+1))&lt;=790,3,IF(INDEX(ERP資料!$G:$G, (MATCH(410, 輔助計算!$G$2:$G$801, 0)+1))&lt;=1181,2,1))))=2,TEXT(INDEX(ERP資料!$G:$G, (MATCH(410, 輔助計算!$G$2:$G$801, 0)+1)),"0.##")&amp;"+"&amp;TEXT(INDEX(ERP資料!$G:$G, (MATCH(410, 輔助計算!$G$2:$G$801, 0)+1)),"0.##"),TEXT(INDEX(ERP資料!$G:$G, (MATCH(410, 輔助計算!$G$2:$G$801, 0)+1)),"0.##")&amp;"+"&amp;TEXT(INDEX(ERP資料!$G:$G, (MATCH(410, 輔助計算!$G$2:$G$801, 0)+1)),"0.##")&amp;"+"&amp;TEXT(INDEX(ERP資料!$G:$G, (MATCH(410, 輔助計算!$G$2:$G$801, 0)+1)),"0.##"))))&amp;"-1")), ""), "")</f>
        <v/>
      </c>
      <c r="K411" s="16" t="n"/>
      <c r="L411" s="14">
        <f>IFERROR(IF(AND(IFERROR(INDEX(ERP資料!$A:$A, (MATCH(410, 輔助計算!$G$2:$G$801, 0)+1)), "")&lt;&gt;"", IFERROR(INDEX(ERP資料!$A:$A, (MATCH(410, 輔助計算!$G$2:$G$801, 0)+1)), "")&lt;&gt;IFERROR(INDEX(ERP資料!$A:$A, MATCH(409, 輔助計算!$G$2:$G$801, 0)+1), "")), INDEX(ERP資料!$B:$B, (MATCH(410, 輔助計算!$G$2:$G$801, 0)+1)), ""), "")</f>
        <v/>
      </c>
      <c r="M411" s="17" t="n"/>
    </row>
    <row r="412">
      <c r="A412" s="10">
        <f>IFERROR(IF(AND(IFERROR(INDEX(ERP資料!$A:$A, (MATCH(411, 輔助計算!$G$2:$G$801, 0)+1)), "")&lt;&gt;"", IFERROR(INDEX(ERP資料!$A:$A, (MATCH(411, 輔助計算!$G$2:$G$801, 0)+1)), "")&lt;&gt;IFERROR(INDEX(ERP資料!$A:$A, MATCH(410, 輔助計算!$G$2:$G$801, 0)+1), "")), IFERROR(INDEX(ERP資料!$A:$A, (MATCH(411, 輔助計算!$G$2:$G$801, 0)+1)), ""), ""), "")</f>
        <v/>
      </c>
      <c r="B412" s="10">
        <f>IFERROR(IF(AND(IFERROR(INDEX(ERP資料!$A:$A, (MATCH(411, 輔助計算!$G$2:$G$801, 0)+1)), "")&lt;&gt;"", IFERROR(INDEX(ERP資料!$A:$A, (MATCH(411, 輔助計算!$G$2:$G$801, 0)+1)), "")&lt;&gt;IFERROR(INDEX(ERP資料!$A:$A, MATCH(410, 輔助計算!$G$2:$G$801, 0)+1), "")), INDEX(ERP資料!$S:$S, (MATCH(411, 輔助計算!$G$2:$G$801, 0)+1)), ""), "")</f>
        <v/>
      </c>
      <c r="C412" s="19">
        <f>IFERROR(IF(AND(IFERROR(INDEX(ERP資料!$A:$A, (MATCH(411, 輔助計算!$G$2:$G$801, 0)+1)), "")&lt;&gt;"", IFERROR(INDEX(ERP資料!$A:$A, (MATCH(411, 輔助計算!$G$2:$G$801, 0)+1)), "")&lt;&gt;IFERROR(INDEX(ERP資料!$A:$A, MATCH(410, 輔助計算!$G$2:$G$801, 0)+1), "")), IFERROR(VLOOKUP(LEFT(INDEX(ERP資料!$S:$S, (MATCH(411, 輔助計算!$G$2:$G$801, 0)+1)), 4), 紙管對照表!$A:$C, 3, FALSE), ""), ""), "")</f>
        <v/>
      </c>
      <c r="D412" s="16" t="n"/>
      <c r="E412" s="10">
        <f>IFERROR(IF(INDEX(ERP資料!$H:$H, (MATCH(411, 輔助計算!$G$2:$G$801, 0)+1))="","",INDEX(ERP資料!$H:$H, (MATCH(411, 輔助計算!$G$2:$G$801, 0)+1))), "")</f>
        <v/>
      </c>
      <c r="F412" s="10">
        <f>IFERROR(IF(INDEX(ERP資料!$E:$E, (MATCH(411, 輔助計算!$G$2:$G$801, 0)+1))="","",TRIM(INDEX(ERP資料!$E:$E, (MATCH(411, 輔助計算!$G$2:$G$801, 0)+1)))), "")</f>
        <v/>
      </c>
      <c r="G412" s="10">
        <f>IFERROR(IF(INDEX(ERP資料!$F:$F, (MATCH(411, 輔助計算!$G$2:$G$801, 0)+1))="","",INDEX(ERP資料!$F:$F, (MATCH(411, 輔助計算!$G$2:$G$801, 0)+1))), "")</f>
        <v/>
      </c>
      <c r="H412" s="10">
        <f>IFERROR(IF(INDEX(ERP資料!$G:$G, (MATCH(411, 輔助計算!$G$2:$G$801, 0)+1))="","",INDEX(ERP資料!$G:$G, (MATCH(411, 輔助計算!$G$2:$G$801, 0)+1))), "")</f>
        <v/>
      </c>
      <c r="I412" s="15">
        <f>IFERROR(INDEX(輔助計算!$D:$D, (MATCH(411, 輔助計算!$G$2:$G$801, 0)+1)), "")</f>
        <v/>
      </c>
      <c r="J412" s="15">
        <f>IFERROR(IF(AND(INDEX(輔助計算!$D:$D, (MATCH(411, 輔助計算!$G$2:$G$801, 0)+1))&lt;&gt;"", INDEX(ERP資料!$G:$G, (MATCH(411, 輔助計算!$G$2:$G$801, 0)+1))&lt;&gt;""), TRIM(IF(INT(INDEX(輔助計算!$D:$D, (MATCH(411, 輔助計算!$G$2:$G$801, 0)+1))/IF(INDEX(ERP資料!$G:$G, (MATCH(411, 輔助計算!$G$2:$G$801, 0)+1))&lt;100, IF(INDEX(ERP資料!$G:$G, (MATCH(411, 輔助計算!$G$2:$G$801, 0)+1))&lt;=31,3,IF(INDEX(ERP資料!$G:$G, (MATCH(411, 輔助計算!$G$2:$G$801, 0)+1))&lt;=46.5,2,1)), IF(INDEX(ERP資料!$G:$G, (MATCH(411, 輔助計算!$G$2:$G$801, 0)+1))&lt;=790,3,IF(INDEX(ERP資料!$G:$G, (MATCH(411, 輔助計算!$G$2:$G$801, 0)+1))&lt;=1181,2,1))))&gt;0, IF(IF(INDEX(ERP資料!$G:$G, (MATCH(411, 輔助計算!$G$2:$G$801, 0)+1))&lt;100, IF(INDEX(ERP資料!$G:$G, (MATCH(411, 輔助計算!$G$2:$G$801, 0)+1))&lt;=31,3,IF(INDEX(ERP資料!$G:$G, (MATCH(411, 輔助計算!$G$2:$G$801, 0)+1))&lt;=46.5,2,1)), IF(INDEX(ERP資料!$G:$G, (MATCH(411, 輔助計算!$G$2:$G$801, 0)+1))&lt;=790,3,IF(INDEX(ERP資料!$G:$G, (MATCH(411, 輔助計算!$G$2:$G$801, 0)+1))&lt;=1181,2,1)))=1,TEXT(INDEX(ERP資料!$G:$G, (MATCH(411, 輔助計算!$G$2:$G$801, 0)+1)),"0.##"),IF(IF(INDEX(ERP資料!$G:$G, (MATCH(411, 輔助計算!$G$2:$G$801, 0)+1))&lt;100, IF(INDEX(ERP資料!$G:$G, (MATCH(411, 輔助計算!$G$2:$G$801, 0)+1))&lt;=31,3,IF(INDEX(ERP資料!$G:$G, (MATCH(411, 輔助計算!$G$2:$G$801, 0)+1))&lt;=46.5,2,1)), IF(INDEX(ERP資料!$G:$G, (MATCH(411, 輔助計算!$G$2:$G$801, 0)+1))&lt;=790,3,IF(INDEX(ERP資料!$G:$G, (MATCH(411, 輔助計算!$G$2:$G$801, 0)+1))&lt;=1181,2,1)))=2,TEXT(INDEX(ERP資料!$G:$G, (MATCH(411, 輔助計算!$G$2:$G$801, 0)+1)),"0.##")&amp;"+"&amp;TEXT(INDEX(ERP資料!$G:$G, (MATCH(411, 輔助計算!$G$2:$G$801, 0)+1)),"0.##"),TEXT(INDEX(ERP資料!$G:$G, (MATCH(411, 輔助計算!$G$2:$G$801, 0)+1)),"0.##")&amp;"+"&amp;TEXT(INDEX(ERP資料!$G:$G, (MATCH(411, 輔助計算!$G$2:$G$801, 0)+1)),"0.##")&amp;"+"&amp;TEXT(INDEX(ERP資料!$G:$G, (MATCH(411, 輔助計算!$G$2:$G$801, 0)+1)),"0.##")))&amp;"-"&amp;INT(INDEX(輔助計算!$D:$D, (MATCH(411, 輔助計算!$G$2:$G$801, 0)+1))/IF(INDEX(ERP資料!$G:$G, (MATCH(411, 輔助計算!$G$2:$G$801, 0)+1))&lt;100, IF(INDEX(ERP資料!$G:$G, (MATCH(411, 輔助計算!$G$2:$G$801, 0)+1))&lt;=31,3,IF(INDEX(ERP資料!$G:$G, (MATCH(411, 輔助計算!$G$2:$G$801, 0)+1))&lt;=46.5,2,1)), IF(INDEX(ERP資料!$G:$G, (MATCH(411, 輔助計算!$G$2:$G$801, 0)+1))&lt;=790,3,IF(INDEX(ERP資料!$G:$G, (MATCH(411, 輔助計算!$G$2:$G$801, 0)+1))&lt;=1181,2,1)))), "")&amp;IF(AND(IF(INT(INDEX(輔助計算!$D:$D, (MATCH(411, 輔助計算!$G$2:$G$801, 0)+1))/IF(INDEX(ERP資料!$G:$G, (MATCH(411, 輔助計算!$G$2:$G$801, 0)+1))&lt;100, IF(INDEX(ERP資料!$G:$G, (MATCH(411, 輔助計算!$G$2:$G$801, 0)+1))&lt;=31,3,IF(INDEX(ERP資料!$G:$G, (MATCH(411, 輔助計算!$G$2:$G$801, 0)+1))&lt;=46.5,2,1)), IF(INDEX(ERP資料!$G:$G, (MATCH(411, 輔助計算!$G$2:$G$801, 0)+1))&lt;=790,3,IF(INDEX(ERP資料!$G:$G, (MATCH(411, 輔助計算!$G$2:$G$801, 0)+1))&lt;=1181,2,1))))&gt;0, IF(IF(INDEX(ERP資料!$G:$G, (MATCH(411, 輔助計算!$G$2:$G$801, 0)+1))&lt;100, IF(INDEX(ERP資料!$G:$G, (MATCH(411, 輔助計算!$G$2:$G$801, 0)+1))&lt;=31,3,IF(INDEX(ERP資料!$G:$G, (MATCH(411, 輔助計算!$G$2:$G$801, 0)+1))&lt;=46.5,2,1)), IF(INDEX(ERP資料!$G:$G, (MATCH(411, 輔助計算!$G$2:$G$801, 0)+1))&lt;=790,3,IF(INDEX(ERP資料!$G:$G, (MATCH(411, 輔助計算!$G$2:$G$801, 0)+1))&lt;=1181,2,1)))=1,TEXT(INDEX(ERP資料!$G:$G, (MATCH(411, 輔助計算!$G$2:$G$801, 0)+1)),"0.##"),IF(IF(INDEX(ERP資料!$G:$G, (MATCH(411, 輔助計算!$G$2:$G$801, 0)+1))&lt;100, IF(INDEX(ERP資料!$G:$G, (MATCH(411, 輔助計算!$G$2:$G$801, 0)+1))&lt;=31,3,IF(INDEX(ERP資料!$G:$G, (MATCH(411, 輔助計算!$G$2:$G$801, 0)+1))&lt;=46.5,2,1)), IF(INDEX(ERP資料!$G:$G, (MATCH(411, 輔助計算!$G$2:$G$801, 0)+1))&lt;=790,3,IF(INDEX(ERP資料!$G:$G, (MATCH(411, 輔助計算!$G$2:$G$801, 0)+1))&lt;=1181,2,1)))=2,TEXT(INDEX(ERP資料!$G:$G, (MATCH(411, 輔助計算!$G$2:$G$801, 0)+1)),"0.##")&amp;"+"&amp;TEXT(INDEX(ERP資料!$G:$G, (MATCH(411, 輔助計算!$G$2:$G$801, 0)+1)),"0.##"),TEXT(INDEX(ERP資料!$G:$G, (MATCH(411, 輔助計算!$G$2:$G$801, 0)+1)),"0.##")&amp;"+"&amp;TEXT(INDEX(ERP資料!$G:$G, (MATCH(411, 輔助計算!$G$2:$G$801, 0)+1)),"0.##")&amp;"+"&amp;TEXT(INDEX(ERP資料!$G:$G, (MATCH(411, 輔助計算!$G$2:$G$801, 0)+1)),"0.##")))&amp;"-"&amp;INT(INDEX(輔助計算!$D:$D, (MATCH(411, 輔助計算!$G$2:$G$801, 0)+1))/IF(INDEX(ERP資料!$G:$G, (MATCH(411, 輔助計算!$G$2:$G$801, 0)+1))&lt;100, IF(INDEX(ERP資料!$G:$G, (MATCH(411, 輔助計算!$G$2:$G$801, 0)+1))&lt;=31,3,IF(INDEX(ERP資料!$G:$G, (MATCH(411, 輔助計算!$G$2:$G$801, 0)+1))&lt;=46.5,2,1)), IF(INDEX(ERP資料!$G:$G, (MATCH(411, 輔助計算!$G$2:$G$801, 0)+1))&lt;=790,3,IF(INDEX(ERP資料!$G:$G, (MATCH(411, 輔助計算!$G$2:$G$801, 0)+1))&lt;=1181,2,1)))), "")&lt;&gt;"",IF(MOD(INDEX(輔助計算!$D:$D, (MATCH(411, 輔助計算!$G$2:$G$801, 0)+1)),IF(INDEX(ERP資料!$G:$G, (MATCH(411, 輔助計算!$G$2:$G$801, 0)+1))&lt;100, IF(INDEX(ERP資料!$G:$G, (MATCH(411, 輔助計算!$G$2:$G$801, 0)+1))&lt;=31,3,IF(INDEX(ERP資料!$G:$G, (MATCH(411, 輔助計算!$G$2:$G$801, 0)+1))&lt;=46.5,2,1)), IF(INDEX(ERP資料!$G:$G, (MATCH(411, 輔助計算!$G$2:$G$801, 0)+1))&lt;=790,3,IF(INDEX(ERP資料!$G:$G, (MATCH(411, 輔助計算!$G$2:$G$801, 0)+1))&lt;=1181,2,1))))=0,"",IF(MOD(INDEX(輔助計算!$D:$D, (MATCH(411, 輔助計算!$G$2:$G$801, 0)+1)),IF(INDEX(ERP資料!$G:$G, (MATCH(411, 輔助計算!$G$2:$G$801, 0)+1))&lt;100, IF(INDEX(ERP資料!$G:$G, (MATCH(411, 輔助計算!$G$2:$G$801, 0)+1))&lt;=31,3,IF(INDEX(ERP資料!$G:$G, (MATCH(411, 輔助計算!$G$2:$G$801, 0)+1))&lt;=46.5,2,1)), IF(INDEX(ERP資料!$G:$G, (MATCH(411, 輔助計算!$G$2:$G$801, 0)+1))&lt;=790,3,IF(INDEX(ERP資料!$G:$G, (MATCH(411, 輔助計算!$G$2:$G$801, 0)+1))&lt;=1181,2,1))))=0,"",IF(MOD(INDEX(輔助計算!$D:$D, (MATCH(411, 輔助計算!$G$2:$G$801, 0)+1)),IF(INDEX(ERP資料!$G:$G, (MATCH(411, 輔助計算!$G$2:$G$801, 0)+1))&lt;100, IF(INDEX(ERP資料!$G:$G, (MATCH(411, 輔助計算!$G$2:$G$801, 0)+1))&lt;=31,3,IF(INDEX(ERP資料!$G:$G, (MATCH(411, 輔助計算!$G$2:$G$801, 0)+1))&lt;=46.5,2,1)), IF(INDEX(ERP資料!$G:$G, (MATCH(411, 輔助計算!$G$2:$G$801, 0)+1))&lt;=790,3,IF(INDEX(ERP資料!$G:$G, (MATCH(411, 輔助計算!$G$2:$G$801, 0)+1))&lt;=1181,2,1))))=1,TEXT(INDEX(ERP資料!$G:$G, (MATCH(411, 輔助計算!$G$2:$G$801, 0)+1)),"0.##"),IF(MOD(INDEX(輔助計算!$D:$D, (MATCH(411, 輔助計算!$G$2:$G$801, 0)+1)),IF(INDEX(ERP資料!$G:$G, (MATCH(411, 輔助計算!$G$2:$G$801, 0)+1))&lt;100, IF(INDEX(ERP資料!$G:$G, (MATCH(411, 輔助計算!$G$2:$G$801, 0)+1))&lt;=31,3,IF(INDEX(ERP資料!$G:$G, (MATCH(411, 輔助計算!$G$2:$G$801, 0)+1))&lt;=46.5,2,1)), IF(INDEX(ERP資料!$G:$G, (MATCH(411, 輔助計算!$G$2:$G$801, 0)+1))&lt;=790,3,IF(INDEX(ERP資料!$G:$G, (MATCH(411, 輔助計算!$G$2:$G$801, 0)+1))&lt;=1181,2,1))))=2,TEXT(INDEX(ERP資料!$G:$G, (MATCH(411, 輔助計算!$G$2:$G$801, 0)+1)),"0.##")&amp;"+"&amp;TEXT(INDEX(ERP資料!$G:$G, (MATCH(411, 輔助計算!$G$2:$G$801, 0)+1)),"0.##"),TEXT(INDEX(ERP資料!$G:$G, (MATCH(411, 輔助計算!$G$2:$G$801, 0)+1)),"0.##")&amp;"+"&amp;TEXT(INDEX(ERP資料!$G:$G, (MATCH(411, 輔助計算!$G$2:$G$801, 0)+1)),"0.##")&amp;"+"&amp;TEXT(INDEX(ERP資料!$G:$G, (MATCH(411, 輔助計算!$G$2:$G$801, 0)+1)),"0.##"))))&amp;"-1")&lt;&gt;""),"  ","")&amp;IF(MOD(INDEX(輔助計算!$D:$D, (MATCH(411, 輔助計算!$G$2:$G$801, 0)+1)),IF(INDEX(ERP資料!$G:$G, (MATCH(411, 輔助計算!$G$2:$G$801, 0)+1))&lt;100, IF(INDEX(ERP資料!$G:$G, (MATCH(411, 輔助計算!$G$2:$G$801, 0)+1))&lt;=31,3,IF(INDEX(ERP資料!$G:$G, (MATCH(411, 輔助計算!$G$2:$G$801, 0)+1))&lt;=46.5,2,1)), IF(INDEX(ERP資料!$G:$G, (MATCH(411, 輔助計算!$G$2:$G$801, 0)+1))&lt;=790,3,IF(INDEX(ERP資料!$G:$G, (MATCH(411, 輔助計算!$G$2:$G$801, 0)+1))&lt;=1181,2,1))))=0,"",IF(MOD(INDEX(輔助計算!$D:$D, (MATCH(411, 輔助計算!$G$2:$G$801, 0)+1)),IF(INDEX(ERP資料!$G:$G, (MATCH(411, 輔助計算!$G$2:$G$801, 0)+1))&lt;100, IF(INDEX(ERP資料!$G:$G, (MATCH(411, 輔助計算!$G$2:$G$801, 0)+1))&lt;=31,3,IF(INDEX(ERP資料!$G:$G, (MATCH(411, 輔助計算!$G$2:$G$801, 0)+1))&lt;=46.5,2,1)), IF(INDEX(ERP資料!$G:$G, (MATCH(411, 輔助計算!$G$2:$G$801, 0)+1))&lt;=790,3,IF(INDEX(ERP資料!$G:$G, (MATCH(411, 輔助計算!$G$2:$G$801, 0)+1))&lt;=1181,2,1))))=0,"",IF(MOD(INDEX(輔助計算!$D:$D, (MATCH(411, 輔助計算!$G$2:$G$801, 0)+1)),IF(INDEX(ERP資料!$G:$G, (MATCH(411, 輔助計算!$G$2:$G$801, 0)+1))&lt;100, IF(INDEX(ERP資料!$G:$G, (MATCH(411, 輔助計算!$G$2:$G$801, 0)+1))&lt;=31,3,IF(INDEX(ERP資料!$G:$G, (MATCH(411, 輔助計算!$G$2:$G$801, 0)+1))&lt;=46.5,2,1)), IF(INDEX(ERP資料!$G:$G, (MATCH(411, 輔助計算!$G$2:$G$801, 0)+1))&lt;=790,3,IF(INDEX(ERP資料!$G:$G, (MATCH(411, 輔助計算!$G$2:$G$801, 0)+1))&lt;=1181,2,1))))=1,TEXT(INDEX(ERP資料!$G:$G, (MATCH(411, 輔助計算!$G$2:$G$801, 0)+1)),"0.##"),IF(MOD(INDEX(輔助計算!$D:$D, (MATCH(411, 輔助計算!$G$2:$G$801, 0)+1)),IF(INDEX(ERP資料!$G:$G, (MATCH(411, 輔助計算!$G$2:$G$801, 0)+1))&lt;100, IF(INDEX(ERP資料!$G:$G, (MATCH(411, 輔助計算!$G$2:$G$801, 0)+1))&lt;=31,3,IF(INDEX(ERP資料!$G:$G, (MATCH(411, 輔助計算!$G$2:$G$801, 0)+1))&lt;=46.5,2,1)), IF(INDEX(ERP資料!$G:$G, (MATCH(411, 輔助計算!$G$2:$G$801, 0)+1))&lt;=790,3,IF(INDEX(ERP資料!$G:$G, (MATCH(411, 輔助計算!$G$2:$G$801, 0)+1))&lt;=1181,2,1))))=2,TEXT(INDEX(ERP資料!$G:$G, (MATCH(411, 輔助計算!$G$2:$G$801, 0)+1)),"0.##")&amp;"+"&amp;TEXT(INDEX(ERP資料!$G:$G, (MATCH(411, 輔助計算!$G$2:$G$801, 0)+1)),"0.##"),TEXT(INDEX(ERP資料!$G:$G, (MATCH(411, 輔助計算!$G$2:$G$801, 0)+1)),"0.##")&amp;"+"&amp;TEXT(INDEX(ERP資料!$G:$G, (MATCH(411, 輔助計算!$G$2:$G$801, 0)+1)),"0.##")&amp;"+"&amp;TEXT(INDEX(ERP資料!$G:$G, (MATCH(411, 輔助計算!$G$2:$G$801, 0)+1)),"0.##"))))&amp;"-1")), ""), "")</f>
        <v/>
      </c>
      <c r="K412" s="16" t="n"/>
      <c r="L412" s="14">
        <f>IFERROR(IF(AND(IFERROR(INDEX(ERP資料!$A:$A, (MATCH(411, 輔助計算!$G$2:$G$801, 0)+1)), "")&lt;&gt;"", IFERROR(INDEX(ERP資料!$A:$A, (MATCH(411, 輔助計算!$G$2:$G$801, 0)+1)), "")&lt;&gt;IFERROR(INDEX(ERP資料!$A:$A, MATCH(410, 輔助計算!$G$2:$G$801, 0)+1), "")), INDEX(ERP資料!$B:$B, (MATCH(411, 輔助計算!$G$2:$G$801, 0)+1)), ""), "")</f>
        <v/>
      </c>
      <c r="M412" s="17" t="n"/>
    </row>
    <row r="413">
      <c r="A413" s="10">
        <f>IFERROR(IF(AND(IFERROR(INDEX(ERP資料!$A:$A, (MATCH(412, 輔助計算!$G$2:$G$801, 0)+1)), "")&lt;&gt;"", IFERROR(INDEX(ERP資料!$A:$A, (MATCH(412, 輔助計算!$G$2:$G$801, 0)+1)), "")&lt;&gt;IFERROR(INDEX(ERP資料!$A:$A, MATCH(411, 輔助計算!$G$2:$G$801, 0)+1), "")), IFERROR(INDEX(ERP資料!$A:$A, (MATCH(412, 輔助計算!$G$2:$G$801, 0)+1)), ""), ""), "")</f>
        <v/>
      </c>
      <c r="B413" s="10">
        <f>IFERROR(IF(AND(IFERROR(INDEX(ERP資料!$A:$A, (MATCH(412, 輔助計算!$G$2:$G$801, 0)+1)), "")&lt;&gt;"", IFERROR(INDEX(ERP資料!$A:$A, (MATCH(412, 輔助計算!$G$2:$G$801, 0)+1)), "")&lt;&gt;IFERROR(INDEX(ERP資料!$A:$A, MATCH(411, 輔助計算!$G$2:$G$801, 0)+1), "")), INDEX(ERP資料!$S:$S, (MATCH(412, 輔助計算!$G$2:$G$801, 0)+1)), ""), "")</f>
        <v/>
      </c>
      <c r="C413" s="19">
        <f>IFERROR(IF(AND(IFERROR(INDEX(ERP資料!$A:$A, (MATCH(412, 輔助計算!$G$2:$G$801, 0)+1)), "")&lt;&gt;"", IFERROR(INDEX(ERP資料!$A:$A, (MATCH(412, 輔助計算!$G$2:$G$801, 0)+1)), "")&lt;&gt;IFERROR(INDEX(ERP資料!$A:$A, MATCH(411, 輔助計算!$G$2:$G$801, 0)+1), "")), IFERROR(VLOOKUP(LEFT(INDEX(ERP資料!$S:$S, (MATCH(412, 輔助計算!$G$2:$G$801, 0)+1)), 4), 紙管對照表!$A:$C, 3, FALSE), ""), ""), "")</f>
        <v/>
      </c>
      <c r="D413" s="16" t="n"/>
      <c r="E413" s="10">
        <f>IFERROR(IF(INDEX(ERP資料!$H:$H, (MATCH(412, 輔助計算!$G$2:$G$801, 0)+1))="","",INDEX(ERP資料!$H:$H, (MATCH(412, 輔助計算!$G$2:$G$801, 0)+1))), "")</f>
        <v/>
      </c>
      <c r="F413" s="10">
        <f>IFERROR(IF(INDEX(ERP資料!$E:$E, (MATCH(412, 輔助計算!$G$2:$G$801, 0)+1))="","",TRIM(INDEX(ERP資料!$E:$E, (MATCH(412, 輔助計算!$G$2:$G$801, 0)+1)))), "")</f>
        <v/>
      </c>
      <c r="G413" s="10">
        <f>IFERROR(IF(INDEX(ERP資料!$F:$F, (MATCH(412, 輔助計算!$G$2:$G$801, 0)+1))="","",INDEX(ERP資料!$F:$F, (MATCH(412, 輔助計算!$G$2:$G$801, 0)+1))), "")</f>
        <v/>
      </c>
      <c r="H413" s="10">
        <f>IFERROR(IF(INDEX(ERP資料!$G:$G, (MATCH(412, 輔助計算!$G$2:$G$801, 0)+1))="","",INDEX(ERP資料!$G:$G, (MATCH(412, 輔助計算!$G$2:$G$801, 0)+1))), "")</f>
        <v/>
      </c>
      <c r="I413" s="15">
        <f>IFERROR(INDEX(輔助計算!$D:$D, (MATCH(412, 輔助計算!$G$2:$G$801, 0)+1)), "")</f>
        <v/>
      </c>
      <c r="J413" s="15">
        <f>IFERROR(IF(AND(INDEX(輔助計算!$D:$D, (MATCH(412, 輔助計算!$G$2:$G$801, 0)+1))&lt;&gt;"", INDEX(ERP資料!$G:$G, (MATCH(412, 輔助計算!$G$2:$G$801, 0)+1))&lt;&gt;""), TRIM(IF(INT(INDEX(輔助計算!$D:$D, (MATCH(412, 輔助計算!$G$2:$G$801, 0)+1))/IF(INDEX(ERP資料!$G:$G, (MATCH(412, 輔助計算!$G$2:$G$801, 0)+1))&lt;100, IF(INDEX(ERP資料!$G:$G, (MATCH(412, 輔助計算!$G$2:$G$801, 0)+1))&lt;=31,3,IF(INDEX(ERP資料!$G:$G, (MATCH(412, 輔助計算!$G$2:$G$801, 0)+1))&lt;=46.5,2,1)), IF(INDEX(ERP資料!$G:$G, (MATCH(412, 輔助計算!$G$2:$G$801, 0)+1))&lt;=790,3,IF(INDEX(ERP資料!$G:$G, (MATCH(412, 輔助計算!$G$2:$G$801, 0)+1))&lt;=1181,2,1))))&gt;0, IF(IF(INDEX(ERP資料!$G:$G, (MATCH(412, 輔助計算!$G$2:$G$801, 0)+1))&lt;100, IF(INDEX(ERP資料!$G:$G, (MATCH(412, 輔助計算!$G$2:$G$801, 0)+1))&lt;=31,3,IF(INDEX(ERP資料!$G:$G, (MATCH(412, 輔助計算!$G$2:$G$801, 0)+1))&lt;=46.5,2,1)), IF(INDEX(ERP資料!$G:$G, (MATCH(412, 輔助計算!$G$2:$G$801, 0)+1))&lt;=790,3,IF(INDEX(ERP資料!$G:$G, (MATCH(412, 輔助計算!$G$2:$G$801, 0)+1))&lt;=1181,2,1)))=1,TEXT(INDEX(ERP資料!$G:$G, (MATCH(412, 輔助計算!$G$2:$G$801, 0)+1)),"0.##"),IF(IF(INDEX(ERP資料!$G:$G, (MATCH(412, 輔助計算!$G$2:$G$801, 0)+1))&lt;100, IF(INDEX(ERP資料!$G:$G, (MATCH(412, 輔助計算!$G$2:$G$801, 0)+1))&lt;=31,3,IF(INDEX(ERP資料!$G:$G, (MATCH(412, 輔助計算!$G$2:$G$801, 0)+1))&lt;=46.5,2,1)), IF(INDEX(ERP資料!$G:$G, (MATCH(412, 輔助計算!$G$2:$G$801, 0)+1))&lt;=790,3,IF(INDEX(ERP資料!$G:$G, (MATCH(412, 輔助計算!$G$2:$G$801, 0)+1))&lt;=1181,2,1)))=2,TEXT(INDEX(ERP資料!$G:$G, (MATCH(412, 輔助計算!$G$2:$G$801, 0)+1)),"0.##")&amp;"+"&amp;TEXT(INDEX(ERP資料!$G:$G, (MATCH(412, 輔助計算!$G$2:$G$801, 0)+1)),"0.##"),TEXT(INDEX(ERP資料!$G:$G, (MATCH(412, 輔助計算!$G$2:$G$801, 0)+1)),"0.##")&amp;"+"&amp;TEXT(INDEX(ERP資料!$G:$G, (MATCH(412, 輔助計算!$G$2:$G$801, 0)+1)),"0.##")&amp;"+"&amp;TEXT(INDEX(ERP資料!$G:$G, (MATCH(412, 輔助計算!$G$2:$G$801, 0)+1)),"0.##")))&amp;"-"&amp;INT(INDEX(輔助計算!$D:$D, (MATCH(412, 輔助計算!$G$2:$G$801, 0)+1))/IF(INDEX(ERP資料!$G:$G, (MATCH(412, 輔助計算!$G$2:$G$801, 0)+1))&lt;100, IF(INDEX(ERP資料!$G:$G, (MATCH(412, 輔助計算!$G$2:$G$801, 0)+1))&lt;=31,3,IF(INDEX(ERP資料!$G:$G, (MATCH(412, 輔助計算!$G$2:$G$801, 0)+1))&lt;=46.5,2,1)), IF(INDEX(ERP資料!$G:$G, (MATCH(412, 輔助計算!$G$2:$G$801, 0)+1))&lt;=790,3,IF(INDEX(ERP資料!$G:$G, (MATCH(412, 輔助計算!$G$2:$G$801, 0)+1))&lt;=1181,2,1)))), "")&amp;IF(AND(IF(INT(INDEX(輔助計算!$D:$D, (MATCH(412, 輔助計算!$G$2:$G$801, 0)+1))/IF(INDEX(ERP資料!$G:$G, (MATCH(412, 輔助計算!$G$2:$G$801, 0)+1))&lt;100, IF(INDEX(ERP資料!$G:$G, (MATCH(412, 輔助計算!$G$2:$G$801, 0)+1))&lt;=31,3,IF(INDEX(ERP資料!$G:$G, (MATCH(412, 輔助計算!$G$2:$G$801, 0)+1))&lt;=46.5,2,1)), IF(INDEX(ERP資料!$G:$G, (MATCH(412, 輔助計算!$G$2:$G$801, 0)+1))&lt;=790,3,IF(INDEX(ERP資料!$G:$G, (MATCH(412, 輔助計算!$G$2:$G$801, 0)+1))&lt;=1181,2,1))))&gt;0, IF(IF(INDEX(ERP資料!$G:$G, (MATCH(412, 輔助計算!$G$2:$G$801, 0)+1))&lt;100, IF(INDEX(ERP資料!$G:$G, (MATCH(412, 輔助計算!$G$2:$G$801, 0)+1))&lt;=31,3,IF(INDEX(ERP資料!$G:$G, (MATCH(412, 輔助計算!$G$2:$G$801, 0)+1))&lt;=46.5,2,1)), IF(INDEX(ERP資料!$G:$G, (MATCH(412, 輔助計算!$G$2:$G$801, 0)+1))&lt;=790,3,IF(INDEX(ERP資料!$G:$G, (MATCH(412, 輔助計算!$G$2:$G$801, 0)+1))&lt;=1181,2,1)))=1,TEXT(INDEX(ERP資料!$G:$G, (MATCH(412, 輔助計算!$G$2:$G$801, 0)+1)),"0.##"),IF(IF(INDEX(ERP資料!$G:$G, (MATCH(412, 輔助計算!$G$2:$G$801, 0)+1))&lt;100, IF(INDEX(ERP資料!$G:$G, (MATCH(412, 輔助計算!$G$2:$G$801, 0)+1))&lt;=31,3,IF(INDEX(ERP資料!$G:$G, (MATCH(412, 輔助計算!$G$2:$G$801, 0)+1))&lt;=46.5,2,1)), IF(INDEX(ERP資料!$G:$G, (MATCH(412, 輔助計算!$G$2:$G$801, 0)+1))&lt;=790,3,IF(INDEX(ERP資料!$G:$G, (MATCH(412, 輔助計算!$G$2:$G$801, 0)+1))&lt;=1181,2,1)))=2,TEXT(INDEX(ERP資料!$G:$G, (MATCH(412, 輔助計算!$G$2:$G$801, 0)+1)),"0.##")&amp;"+"&amp;TEXT(INDEX(ERP資料!$G:$G, (MATCH(412, 輔助計算!$G$2:$G$801, 0)+1)),"0.##"),TEXT(INDEX(ERP資料!$G:$G, (MATCH(412, 輔助計算!$G$2:$G$801, 0)+1)),"0.##")&amp;"+"&amp;TEXT(INDEX(ERP資料!$G:$G, (MATCH(412, 輔助計算!$G$2:$G$801, 0)+1)),"0.##")&amp;"+"&amp;TEXT(INDEX(ERP資料!$G:$G, (MATCH(412, 輔助計算!$G$2:$G$801, 0)+1)),"0.##")))&amp;"-"&amp;INT(INDEX(輔助計算!$D:$D, (MATCH(412, 輔助計算!$G$2:$G$801, 0)+1))/IF(INDEX(ERP資料!$G:$G, (MATCH(412, 輔助計算!$G$2:$G$801, 0)+1))&lt;100, IF(INDEX(ERP資料!$G:$G, (MATCH(412, 輔助計算!$G$2:$G$801, 0)+1))&lt;=31,3,IF(INDEX(ERP資料!$G:$G, (MATCH(412, 輔助計算!$G$2:$G$801, 0)+1))&lt;=46.5,2,1)), IF(INDEX(ERP資料!$G:$G, (MATCH(412, 輔助計算!$G$2:$G$801, 0)+1))&lt;=790,3,IF(INDEX(ERP資料!$G:$G, (MATCH(412, 輔助計算!$G$2:$G$801, 0)+1))&lt;=1181,2,1)))), "")&lt;&gt;"",IF(MOD(INDEX(輔助計算!$D:$D, (MATCH(412, 輔助計算!$G$2:$G$801, 0)+1)),IF(INDEX(ERP資料!$G:$G, (MATCH(412, 輔助計算!$G$2:$G$801, 0)+1))&lt;100, IF(INDEX(ERP資料!$G:$G, (MATCH(412, 輔助計算!$G$2:$G$801, 0)+1))&lt;=31,3,IF(INDEX(ERP資料!$G:$G, (MATCH(412, 輔助計算!$G$2:$G$801, 0)+1))&lt;=46.5,2,1)), IF(INDEX(ERP資料!$G:$G, (MATCH(412, 輔助計算!$G$2:$G$801, 0)+1))&lt;=790,3,IF(INDEX(ERP資料!$G:$G, (MATCH(412, 輔助計算!$G$2:$G$801, 0)+1))&lt;=1181,2,1))))=0,"",IF(MOD(INDEX(輔助計算!$D:$D, (MATCH(412, 輔助計算!$G$2:$G$801, 0)+1)),IF(INDEX(ERP資料!$G:$G, (MATCH(412, 輔助計算!$G$2:$G$801, 0)+1))&lt;100, IF(INDEX(ERP資料!$G:$G, (MATCH(412, 輔助計算!$G$2:$G$801, 0)+1))&lt;=31,3,IF(INDEX(ERP資料!$G:$G, (MATCH(412, 輔助計算!$G$2:$G$801, 0)+1))&lt;=46.5,2,1)), IF(INDEX(ERP資料!$G:$G, (MATCH(412, 輔助計算!$G$2:$G$801, 0)+1))&lt;=790,3,IF(INDEX(ERP資料!$G:$G, (MATCH(412, 輔助計算!$G$2:$G$801, 0)+1))&lt;=1181,2,1))))=0,"",IF(MOD(INDEX(輔助計算!$D:$D, (MATCH(412, 輔助計算!$G$2:$G$801, 0)+1)),IF(INDEX(ERP資料!$G:$G, (MATCH(412, 輔助計算!$G$2:$G$801, 0)+1))&lt;100, IF(INDEX(ERP資料!$G:$G, (MATCH(412, 輔助計算!$G$2:$G$801, 0)+1))&lt;=31,3,IF(INDEX(ERP資料!$G:$G, (MATCH(412, 輔助計算!$G$2:$G$801, 0)+1))&lt;=46.5,2,1)), IF(INDEX(ERP資料!$G:$G, (MATCH(412, 輔助計算!$G$2:$G$801, 0)+1))&lt;=790,3,IF(INDEX(ERP資料!$G:$G, (MATCH(412, 輔助計算!$G$2:$G$801, 0)+1))&lt;=1181,2,1))))=1,TEXT(INDEX(ERP資料!$G:$G, (MATCH(412, 輔助計算!$G$2:$G$801, 0)+1)),"0.##"),IF(MOD(INDEX(輔助計算!$D:$D, (MATCH(412, 輔助計算!$G$2:$G$801, 0)+1)),IF(INDEX(ERP資料!$G:$G, (MATCH(412, 輔助計算!$G$2:$G$801, 0)+1))&lt;100, IF(INDEX(ERP資料!$G:$G, (MATCH(412, 輔助計算!$G$2:$G$801, 0)+1))&lt;=31,3,IF(INDEX(ERP資料!$G:$G, (MATCH(412, 輔助計算!$G$2:$G$801, 0)+1))&lt;=46.5,2,1)), IF(INDEX(ERP資料!$G:$G, (MATCH(412, 輔助計算!$G$2:$G$801, 0)+1))&lt;=790,3,IF(INDEX(ERP資料!$G:$G, (MATCH(412, 輔助計算!$G$2:$G$801, 0)+1))&lt;=1181,2,1))))=2,TEXT(INDEX(ERP資料!$G:$G, (MATCH(412, 輔助計算!$G$2:$G$801, 0)+1)),"0.##")&amp;"+"&amp;TEXT(INDEX(ERP資料!$G:$G, (MATCH(412, 輔助計算!$G$2:$G$801, 0)+1)),"0.##"),TEXT(INDEX(ERP資料!$G:$G, (MATCH(412, 輔助計算!$G$2:$G$801, 0)+1)),"0.##")&amp;"+"&amp;TEXT(INDEX(ERP資料!$G:$G, (MATCH(412, 輔助計算!$G$2:$G$801, 0)+1)),"0.##")&amp;"+"&amp;TEXT(INDEX(ERP資料!$G:$G, (MATCH(412, 輔助計算!$G$2:$G$801, 0)+1)),"0.##"))))&amp;"-1")&lt;&gt;""),"  ","")&amp;IF(MOD(INDEX(輔助計算!$D:$D, (MATCH(412, 輔助計算!$G$2:$G$801, 0)+1)),IF(INDEX(ERP資料!$G:$G, (MATCH(412, 輔助計算!$G$2:$G$801, 0)+1))&lt;100, IF(INDEX(ERP資料!$G:$G, (MATCH(412, 輔助計算!$G$2:$G$801, 0)+1))&lt;=31,3,IF(INDEX(ERP資料!$G:$G, (MATCH(412, 輔助計算!$G$2:$G$801, 0)+1))&lt;=46.5,2,1)), IF(INDEX(ERP資料!$G:$G, (MATCH(412, 輔助計算!$G$2:$G$801, 0)+1))&lt;=790,3,IF(INDEX(ERP資料!$G:$G, (MATCH(412, 輔助計算!$G$2:$G$801, 0)+1))&lt;=1181,2,1))))=0,"",IF(MOD(INDEX(輔助計算!$D:$D, (MATCH(412, 輔助計算!$G$2:$G$801, 0)+1)),IF(INDEX(ERP資料!$G:$G, (MATCH(412, 輔助計算!$G$2:$G$801, 0)+1))&lt;100, IF(INDEX(ERP資料!$G:$G, (MATCH(412, 輔助計算!$G$2:$G$801, 0)+1))&lt;=31,3,IF(INDEX(ERP資料!$G:$G, (MATCH(412, 輔助計算!$G$2:$G$801, 0)+1))&lt;=46.5,2,1)), IF(INDEX(ERP資料!$G:$G, (MATCH(412, 輔助計算!$G$2:$G$801, 0)+1))&lt;=790,3,IF(INDEX(ERP資料!$G:$G, (MATCH(412, 輔助計算!$G$2:$G$801, 0)+1))&lt;=1181,2,1))))=0,"",IF(MOD(INDEX(輔助計算!$D:$D, (MATCH(412, 輔助計算!$G$2:$G$801, 0)+1)),IF(INDEX(ERP資料!$G:$G, (MATCH(412, 輔助計算!$G$2:$G$801, 0)+1))&lt;100, IF(INDEX(ERP資料!$G:$G, (MATCH(412, 輔助計算!$G$2:$G$801, 0)+1))&lt;=31,3,IF(INDEX(ERP資料!$G:$G, (MATCH(412, 輔助計算!$G$2:$G$801, 0)+1))&lt;=46.5,2,1)), IF(INDEX(ERP資料!$G:$G, (MATCH(412, 輔助計算!$G$2:$G$801, 0)+1))&lt;=790,3,IF(INDEX(ERP資料!$G:$G, (MATCH(412, 輔助計算!$G$2:$G$801, 0)+1))&lt;=1181,2,1))))=1,TEXT(INDEX(ERP資料!$G:$G, (MATCH(412, 輔助計算!$G$2:$G$801, 0)+1)),"0.##"),IF(MOD(INDEX(輔助計算!$D:$D, (MATCH(412, 輔助計算!$G$2:$G$801, 0)+1)),IF(INDEX(ERP資料!$G:$G, (MATCH(412, 輔助計算!$G$2:$G$801, 0)+1))&lt;100, IF(INDEX(ERP資料!$G:$G, (MATCH(412, 輔助計算!$G$2:$G$801, 0)+1))&lt;=31,3,IF(INDEX(ERP資料!$G:$G, (MATCH(412, 輔助計算!$G$2:$G$801, 0)+1))&lt;=46.5,2,1)), IF(INDEX(ERP資料!$G:$G, (MATCH(412, 輔助計算!$G$2:$G$801, 0)+1))&lt;=790,3,IF(INDEX(ERP資料!$G:$G, (MATCH(412, 輔助計算!$G$2:$G$801, 0)+1))&lt;=1181,2,1))))=2,TEXT(INDEX(ERP資料!$G:$G, (MATCH(412, 輔助計算!$G$2:$G$801, 0)+1)),"0.##")&amp;"+"&amp;TEXT(INDEX(ERP資料!$G:$G, (MATCH(412, 輔助計算!$G$2:$G$801, 0)+1)),"0.##"),TEXT(INDEX(ERP資料!$G:$G, (MATCH(412, 輔助計算!$G$2:$G$801, 0)+1)),"0.##")&amp;"+"&amp;TEXT(INDEX(ERP資料!$G:$G, (MATCH(412, 輔助計算!$G$2:$G$801, 0)+1)),"0.##")&amp;"+"&amp;TEXT(INDEX(ERP資料!$G:$G, (MATCH(412, 輔助計算!$G$2:$G$801, 0)+1)),"0.##"))))&amp;"-1")), ""), "")</f>
        <v/>
      </c>
      <c r="K413" s="16" t="n"/>
      <c r="L413" s="14">
        <f>IFERROR(IF(AND(IFERROR(INDEX(ERP資料!$A:$A, (MATCH(412, 輔助計算!$G$2:$G$801, 0)+1)), "")&lt;&gt;"", IFERROR(INDEX(ERP資料!$A:$A, (MATCH(412, 輔助計算!$G$2:$G$801, 0)+1)), "")&lt;&gt;IFERROR(INDEX(ERP資料!$A:$A, MATCH(411, 輔助計算!$G$2:$G$801, 0)+1), "")), INDEX(ERP資料!$B:$B, (MATCH(412, 輔助計算!$G$2:$G$801, 0)+1)), ""), "")</f>
        <v/>
      </c>
      <c r="M413" s="17" t="n"/>
    </row>
    <row r="414">
      <c r="A414" s="10">
        <f>IFERROR(IF(AND(IFERROR(INDEX(ERP資料!$A:$A, (MATCH(413, 輔助計算!$G$2:$G$801, 0)+1)), "")&lt;&gt;"", IFERROR(INDEX(ERP資料!$A:$A, (MATCH(413, 輔助計算!$G$2:$G$801, 0)+1)), "")&lt;&gt;IFERROR(INDEX(ERP資料!$A:$A, MATCH(412, 輔助計算!$G$2:$G$801, 0)+1), "")), IFERROR(INDEX(ERP資料!$A:$A, (MATCH(413, 輔助計算!$G$2:$G$801, 0)+1)), ""), ""), "")</f>
        <v/>
      </c>
      <c r="B414" s="10">
        <f>IFERROR(IF(AND(IFERROR(INDEX(ERP資料!$A:$A, (MATCH(413, 輔助計算!$G$2:$G$801, 0)+1)), "")&lt;&gt;"", IFERROR(INDEX(ERP資料!$A:$A, (MATCH(413, 輔助計算!$G$2:$G$801, 0)+1)), "")&lt;&gt;IFERROR(INDEX(ERP資料!$A:$A, MATCH(412, 輔助計算!$G$2:$G$801, 0)+1), "")), INDEX(ERP資料!$S:$S, (MATCH(413, 輔助計算!$G$2:$G$801, 0)+1)), ""), "")</f>
        <v/>
      </c>
      <c r="C414" s="19">
        <f>IFERROR(IF(AND(IFERROR(INDEX(ERP資料!$A:$A, (MATCH(413, 輔助計算!$G$2:$G$801, 0)+1)), "")&lt;&gt;"", IFERROR(INDEX(ERP資料!$A:$A, (MATCH(413, 輔助計算!$G$2:$G$801, 0)+1)), "")&lt;&gt;IFERROR(INDEX(ERP資料!$A:$A, MATCH(412, 輔助計算!$G$2:$G$801, 0)+1), "")), IFERROR(VLOOKUP(LEFT(INDEX(ERP資料!$S:$S, (MATCH(413, 輔助計算!$G$2:$G$801, 0)+1)), 4), 紙管對照表!$A:$C, 3, FALSE), ""), ""), "")</f>
        <v/>
      </c>
      <c r="D414" s="16" t="n"/>
      <c r="E414" s="10">
        <f>IFERROR(IF(INDEX(ERP資料!$H:$H, (MATCH(413, 輔助計算!$G$2:$G$801, 0)+1))="","",INDEX(ERP資料!$H:$H, (MATCH(413, 輔助計算!$G$2:$G$801, 0)+1))), "")</f>
        <v/>
      </c>
      <c r="F414" s="10">
        <f>IFERROR(IF(INDEX(ERP資料!$E:$E, (MATCH(413, 輔助計算!$G$2:$G$801, 0)+1))="","",TRIM(INDEX(ERP資料!$E:$E, (MATCH(413, 輔助計算!$G$2:$G$801, 0)+1)))), "")</f>
        <v/>
      </c>
      <c r="G414" s="10">
        <f>IFERROR(IF(INDEX(ERP資料!$F:$F, (MATCH(413, 輔助計算!$G$2:$G$801, 0)+1))="","",INDEX(ERP資料!$F:$F, (MATCH(413, 輔助計算!$G$2:$G$801, 0)+1))), "")</f>
        <v/>
      </c>
      <c r="H414" s="10">
        <f>IFERROR(IF(INDEX(ERP資料!$G:$G, (MATCH(413, 輔助計算!$G$2:$G$801, 0)+1))="","",INDEX(ERP資料!$G:$G, (MATCH(413, 輔助計算!$G$2:$G$801, 0)+1))), "")</f>
        <v/>
      </c>
      <c r="I414" s="15">
        <f>IFERROR(INDEX(輔助計算!$D:$D, (MATCH(413, 輔助計算!$G$2:$G$801, 0)+1)), "")</f>
        <v/>
      </c>
      <c r="J414" s="15">
        <f>IFERROR(IF(AND(INDEX(輔助計算!$D:$D, (MATCH(413, 輔助計算!$G$2:$G$801, 0)+1))&lt;&gt;"", INDEX(ERP資料!$G:$G, (MATCH(413, 輔助計算!$G$2:$G$801, 0)+1))&lt;&gt;""), TRIM(IF(INT(INDEX(輔助計算!$D:$D, (MATCH(413, 輔助計算!$G$2:$G$801, 0)+1))/IF(INDEX(ERP資料!$G:$G, (MATCH(413, 輔助計算!$G$2:$G$801, 0)+1))&lt;100, IF(INDEX(ERP資料!$G:$G, (MATCH(413, 輔助計算!$G$2:$G$801, 0)+1))&lt;=31,3,IF(INDEX(ERP資料!$G:$G, (MATCH(413, 輔助計算!$G$2:$G$801, 0)+1))&lt;=46.5,2,1)), IF(INDEX(ERP資料!$G:$G, (MATCH(413, 輔助計算!$G$2:$G$801, 0)+1))&lt;=790,3,IF(INDEX(ERP資料!$G:$G, (MATCH(413, 輔助計算!$G$2:$G$801, 0)+1))&lt;=1181,2,1))))&gt;0, IF(IF(INDEX(ERP資料!$G:$G, (MATCH(413, 輔助計算!$G$2:$G$801, 0)+1))&lt;100, IF(INDEX(ERP資料!$G:$G, (MATCH(413, 輔助計算!$G$2:$G$801, 0)+1))&lt;=31,3,IF(INDEX(ERP資料!$G:$G, (MATCH(413, 輔助計算!$G$2:$G$801, 0)+1))&lt;=46.5,2,1)), IF(INDEX(ERP資料!$G:$G, (MATCH(413, 輔助計算!$G$2:$G$801, 0)+1))&lt;=790,3,IF(INDEX(ERP資料!$G:$G, (MATCH(413, 輔助計算!$G$2:$G$801, 0)+1))&lt;=1181,2,1)))=1,TEXT(INDEX(ERP資料!$G:$G, (MATCH(413, 輔助計算!$G$2:$G$801, 0)+1)),"0.##"),IF(IF(INDEX(ERP資料!$G:$G, (MATCH(413, 輔助計算!$G$2:$G$801, 0)+1))&lt;100, IF(INDEX(ERP資料!$G:$G, (MATCH(413, 輔助計算!$G$2:$G$801, 0)+1))&lt;=31,3,IF(INDEX(ERP資料!$G:$G, (MATCH(413, 輔助計算!$G$2:$G$801, 0)+1))&lt;=46.5,2,1)), IF(INDEX(ERP資料!$G:$G, (MATCH(413, 輔助計算!$G$2:$G$801, 0)+1))&lt;=790,3,IF(INDEX(ERP資料!$G:$G, (MATCH(413, 輔助計算!$G$2:$G$801, 0)+1))&lt;=1181,2,1)))=2,TEXT(INDEX(ERP資料!$G:$G, (MATCH(413, 輔助計算!$G$2:$G$801, 0)+1)),"0.##")&amp;"+"&amp;TEXT(INDEX(ERP資料!$G:$G, (MATCH(413, 輔助計算!$G$2:$G$801, 0)+1)),"0.##"),TEXT(INDEX(ERP資料!$G:$G, (MATCH(413, 輔助計算!$G$2:$G$801, 0)+1)),"0.##")&amp;"+"&amp;TEXT(INDEX(ERP資料!$G:$G, (MATCH(413, 輔助計算!$G$2:$G$801, 0)+1)),"0.##")&amp;"+"&amp;TEXT(INDEX(ERP資料!$G:$G, (MATCH(413, 輔助計算!$G$2:$G$801, 0)+1)),"0.##")))&amp;"-"&amp;INT(INDEX(輔助計算!$D:$D, (MATCH(413, 輔助計算!$G$2:$G$801, 0)+1))/IF(INDEX(ERP資料!$G:$G, (MATCH(413, 輔助計算!$G$2:$G$801, 0)+1))&lt;100, IF(INDEX(ERP資料!$G:$G, (MATCH(413, 輔助計算!$G$2:$G$801, 0)+1))&lt;=31,3,IF(INDEX(ERP資料!$G:$G, (MATCH(413, 輔助計算!$G$2:$G$801, 0)+1))&lt;=46.5,2,1)), IF(INDEX(ERP資料!$G:$G, (MATCH(413, 輔助計算!$G$2:$G$801, 0)+1))&lt;=790,3,IF(INDEX(ERP資料!$G:$G, (MATCH(413, 輔助計算!$G$2:$G$801, 0)+1))&lt;=1181,2,1)))), "")&amp;IF(AND(IF(INT(INDEX(輔助計算!$D:$D, (MATCH(413, 輔助計算!$G$2:$G$801, 0)+1))/IF(INDEX(ERP資料!$G:$G, (MATCH(413, 輔助計算!$G$2:$G$801, 0)+1))&lt;100, IF(INDEX(ERP資料!$G:$G, (MATCH(413, 輔助計算!$G$2:$G$801, 0)+1))&lt;=31,3,IF(INDEX(ERP資料!$G:$G, (MATCH(413, 輔助計算!$G$2:$G$801, 0)+1))&lt;=46.5,2,1)), IF(INDEX(ERP資料!$G:$G, (MATCH(413, 輔助計算!$G$2:$G$801, 0)+1))&lt;=790,3,IF(INDEX(ERP資料!$G:$G, (MATCH(413, 輔助計算!$G$2:$G$801, 0)+1))&lt;=1181,2,1))))&gt;0, IF(IF(INDEX(ERP資料!$G:$G, (MATCH(413, 輔助計算!$G$2:$G$801, 0)+1))&lt;100, IF(INDEX(ERP資料!$G:$G, (MATCH(413, 輔助計算!$G$2:$G$801, 0)+1))&lt;=31,3,IF(INDEX(ERP資料!$G:$G, (MATCH(413, 輔助計算!$G$2:$G$801, 0)+1))&lt;=46.5,2,1)), IF(INDEX(ERP資料!$G:$G, (MATCH(413, 輔助計算!$G$2:$G$801, 0)+1))&lt;=790,3,IF(INDEX(ERP資料!$G:$G, (MATCH(413, 輔助計算!$G$2:$G$801, 0)+1))&lt;=1181,2,1)))=1,TEXT(INDEX(ERP資料!$G:$G, (MATCH(413, 輔助計算!$G$2:$G$801, 0)+1)),"0.##"),IF(IF(INDEX(ERP資料!$G:$G, (MATCH(413, 輔助計算!$G$2:$G$801, 0)+1))&lt;100, IF(INDEX(ERP資料!$G:$G, (MATCH(413, 輔助計算!$G$2:$G$801, 0)+1))&lt;=31,3,IF(INDEX(ERP資料!$G:$G, (MATCH(413, 輔助計算!$G$2:$G$801, 0)+1))&lt;=46.5,2,1)), IF(INDEX(ERP資料!$G:$G, (MATCH(413, 輔助計算!$G$2:$G$801, 0)+1))&lt;=790,3,IF(INDEX(ERP資料!$G:$G, (MATCH(413, 輔助計算!$G$2:$G$801, 0)+1))&lt;=1181,2,1)))=2,TEXT(INDEX(ERP資料!$G:$G, (MATCH(413, 輔助計算!$G$2:$G$801, 0)+1)),"0.##")&amp;"+"&amp;TEXT(INDEX(ERP資料!$G:$G, (MATCH(413, 輔助計算!$G$2:$G$801, 0)+1)),"0.##"),TEXT(INDEX(ERP資料!$G:$G, (MATCH(413, 輔助計算!$G$2:$G$801, 0)+1)),"0.##")&amp;"+"&amp;TEXT(INDEX(ERP資料!$G:$G, (MATCH(413, 輔助計算!$G$2:$G$801, 0)+1)),"0.##")&amp;"+"&amp;TEXT(INDEX(ERP資料!$G:$G, (MATCH(413, 輔助計算!$G$2:$G$801, 0)+1)),"0.##")))&amp;"-"&amp;INT(INDEX(輔助計算!$D:$D, (MATCH(413, 輔助計算!$G$2:$G$801, 0)+1))/IF(INDEX(ERP資料!$G:$G, (MATCH(413, 輔助計算!$G$2:$G$801, 0)+1))&lt;100, IF(INDEX(ERP資料!$G:$G, (MATCH(413, 輔助計算!$G$2:$G$801, 0)+1))&lt;=31,3,IF(INDEX(ERP資料!$G:$G, (MATCH(413, 輔助計算!$G$2:$G$801, 0)+1))&lt;=46.5,2,1)), IF(INDEX(ERP資料!$G:$G, (MATCH(413, 輔助計算!$G$2:$G$801, 0)+1))&lt;=790,3,IF(INDEX(ERP資料!$G:$G, (MATCH(413, 輔助計算!$G$2:$G$801, 0)+1))&lt;=1181,2,1)))), "")&lt;&gt;"",IF(MOD(INDEX(輔助計算!$D:$D, (MATCH(413, 輔助計算!$G$2:$G$801, 0)+1)),IF(INDEX(ERP資料!$G:$G, (MATCH(413, 輔助計算!$G$2:$G$801, 0)+1))&lt;100, IF(INDEX(ERP資料!$G:$G, (MATCH(413, 輔助計算!$G$2:$G$801, 0)+1))&lt;=31,3,IF(INDEX(ERP資料!$G:$G, (MATCH(413, 輔助計算!$G$2:$G$801, 0)+1))&lt;=46.5,2,1)), IF(INDEX(ERP資料!$G:$G, (MATCH(413, 輔助計算!$G$2:$G$801, 0)+1))&lt;=790,3,IF(INDEX(ERP資料!$G:$G, (MATCH(413, 輔助計算!$G$2:$G$801, 0)+1))&lt;=1181,2,1))))=0,"",IF(MOD(INDEX(輔助計算!$D:$D, (MATCH(413, 輔助計算!$G$2:$G$801, 0)+1)),IF(INDEX(ERP資料!$G:$G, (MATCH(413, 輔助計算!$G$2:$G$801, 0)+1))&lt;100, IF(INDEX(ERP資料!$G:$G, (MATCH(413, 輔助計算!$G$2:$G$801, 0)+1))&lt;=31,3,IF(INDEX(ERP資料!$G:$G, (MATCH(413, 輔助計算!$G$2:$G$801, 0)+1))&lt;=46.5,2,1)), IF(INDEX(ERP資料!$G:$G, (MATCH(413, 輔助計算!$G$2:$G$801, 0)+1))&lt;=790,3,IF(INDEX(ERP資料!$G:$G, (MATCH(413, 輔助計算!$G$2:$G$801, 0)+1))&lt;=1181,2,1))))=0,"",IF(MOD(INDEX(輔助計算!$D:$D, (MATCH(413, 輔助計算!$G$2:$G$801, 0)+1)),IF(INDEX(ERP資料!$G:$G, (MATCH(413, 輔助計算!$G$2:$G$801, 0)+1))&lt;100, IF(INDEX(ERP資料!$G:$G, (MATCH(413, 輔助計算!$G$2:$G$801, 0)+1))&lt;=31,3,IF(INDEX(ERP資料!$G:$G, (MATCH(413, 輔助計算!$G$2:$G$801, 0)+1))&lt;=46.5,2,1)), IF(INDEX(ERP資料!$G:$G, (MATCH(413, 輔助計算!$G$2:$G$801, 0)+1))&lt;=790,3,IF(INDEX(ERP資料!$G:$G, (MATCH(413, 輔助計算!$G$2:$G$801, 0)+1))&lt;=1181,2,1))))=1,TEXT(INDEX(ERP資料!$G:$G, (MATCH(413, 輔助計算!$G$2:$G$801, 0)+1)),"0.##"),IF(MOD(INDEX(輔助計算!$D:$D, (MATCH(413, 輔助計算!$G$2:$G$801, 0)+1)),IF(INDEX(ERP資料!$G:$G, (MATCH(413, 輔助計算!$G$2:$G$801, 0)+1))&lt;100, IF(INDEX(ERP資料!$G:$G, (MATCH(413, 輔助計算!$G$2:$G$801, 0)+1))&lt;=31,3,IF(INDEX(ERP資料!$G:$G, (MATCH(413, 輔助計算!$G$2:$G$801, 0)+1))&lt;=46.5,2,1)), IF(INDEX(ERP資料!$G:$G, (MATCH(413, 輔助計算!$G$2:$G$801, 0)+1))&lt;=790,3,IF(INDEX(ERP資料!$G:$G, (MATCH(413, 輔助計算!$G$2:$G$801, 0)+1))&lt;=1181,2,1))))=2,TEXT(INDEX(ERP資料!$G:$G, (MATCH(413, 輔助計算!$G$2:$G$801, 0)+1)),"0.##")&amp;"+"&amp;TEXT(INDEX(ERP資料!$G:$G, (MATCH(413, 輔助計算!$G$2:$G$801, 0)+1)),"0.##"),TEXT(INDEX(ERP資料!$G:$G, (MATCH(413, 輔助計算!$G$2:$G$801, 0)+1)),"0.##")&amp;"+"&amp;TEXT(INDEX(ERP資料!$G:$G, (MATCH(413, 輔助計算!$G$2:$G$801, 0)+1)),"0.##")&amp;"+"&amp;TEXT(INDEX(ERP資料!$G:$G, (MATCH(413, 輔助計算!$G$2:$G$801, 0)+1)),"0.##"))))&amp;"-1")&lt;&gt;""),"  ","")&amp;IF(MOD(INDEX(輔助計算!$D:$D, (MATCH(413, 輔助計算!$G$2:$G$801, 0)+1)),IF(INDEX(ERP資料!$G:$G, (MATCH(413, 輔助計算!$G$2:$G$801, 0)+1))&lt;100, IF(INDEX(ERP資料!$G:$G, (MATCH(413, 輔助計算!$G$2:$G$801, 0)+1))&lt;=31,3,IF(INDEX(ERP資料!$G:$G, (MATCH(413, 輔助計算!$G$2:$G$801, 0)+1))&lt;=46.5,2,1)), IF(INDEX(ERP資料!$G:$G, (MATCH(413, 輔助計算!$G$2:$G$801, 0)+1))&lt;=790,3,IF(INDEX(ERP資料!$G:$G, (MATCH(413, 輔助計算!$G$2:$G$801, 0)+1))&lt;=1181,2,1))))=0,"",IF(MOD(INDEX(輔助計算!$D:$D, (MATCH(413, 輔助計算!$G$2:$G$801, 0)+1)),IF(INDEX(ERP資料!$G:$G, (MATCH(413, 輔助計算!$G$2:$G$801, 0)+1))&lt;100, IF(INDEX(ERP資料!$G:$G, (MATCH(413, 輔助計算!$G$2:$G$801, 0)+1))&lt;=31,3,IF(INDEX(ERP資料!$G:$G, (MATCH(413, 輔助計算!$G$2:$G$801, 0)+1))&lt;=46.5,2,1)), IF(INDEX(ERP資料!$G:$G, (MATCH(413, 輔助計算!$G$2:$G$801, 0)+1))&lt;=790,3,IF(INDEX(ERP資料!$G:$G, (MATCH(413, 輔助計算!$G$2:$G$801, 0)+1))&lt;=1181,2,1))))=0,"",IF(MOD(INDEX(輔助計算!$D:$D, (MATCH(413, 輔助計算!$G$2:$G$801, 0)+1)),IF(INDEX(ERP資料!$G:$G, (MATCH(413, 輔助計算!$G$2:$G$801, 0)+1))&lt;100, IF(INDEX(ERP資料!$G:$G, (MATCH(413, 輔助計算!$G$2:$G$801, 0)+1))&lt;=31,3,IF(INDEX(ERP資料!$G:$G, (MATCH(413, 輔助計算!$G$2:$G$801, 0)+1))&lt;=46.5,2,1)), IF(INDEX(ERP資料!$G:$G, (MATCH(413, 輔助計算!$G$2:$G$801, 0)+1))&lt;=790,3,IF(INDEX(ERP資料!$G:$G, (MATCH(413, 輔助計算!$G$2:$G$801, 0)+1))&lt;=1181,2,1))))=1,TEXT(INDEX(ERP資料!$G:$G, (MATCH(413, 輔助計算!$G$2:$G$801, 0)+1)),"0.##"),IF(MOD(INDEX(輔助計算!$D:$D, (MATCH(413, 輔助計算!$G$2:$G$801, 0)+1)),IF(INDEX(ERP資料!$G:$G, (MATCH(413, 輔助計算!$G$2:$G$801, 0)+1))&lt;100, IF(INDEX(ERP資料!$G:$G, (MATCH(413, 輔助計算!$G$2:$G$801, 0)+1))&lt;=31,3,IF(INDEX(ERP資料!$G:$G, (MATCH(413, 輔助計算!$G$2:$G$801, 0)+1))&lt;=46.5,2,1)), IF(INDEX(ERP資料!$G:$G, (MATCH(413, 輔助計算!$G$2:$G$801, 0)+1))&lt;=790,3,IF(INDEX(ERP資料!$G:$G, (MATCH(413, 輔助計算!$G$2:$G$801, 0)+1))&lt;=1181,2,1))))=2,TEXT(INDEX(ERP資料!$G:$G, (MATCH(413, 輔助計算!$G$2:$G$801, 0)+1)),"0.##")&amp;"+"&amp;TEXT(INDEX(ERP資料!$G:$G, (MATCH(413, 輔助計算!$G$2:$G$801, 0)+1)),"0.##"),TEXT(INDEX(ERP資料!$G:$G, (MATCH(413, 輔助計算!$G$2:$G$801, 0)+1)),"0.##")&amp;"+"&amp;TEXT(INDEX(ERP資料!$G:$G, (MATCH(413, 輔助計算!$G$2:$G$801, 0)+1)),"0.##")&amp;"+"&amp;TEXT(INDEX(ERP資料!$G:$G, (MATCH(413, 輔助計算!$G$2:$G$801, 0)+1)),"0.##"))))&amp;"-1")), ""), "")</f>
        <v/>
      </c>
      <c r="K414" s="16" t="n"/>
      <c r="L414" s="14">
        <f>IFERROR(IF(AND(IFERROR(INDEX(ERP資料!$A:$A, (MATCH(413, 輔助計算!$G$2:$G$801, 0)+1)), "")&lt;&gt;"", IFERROR(INDEX(ERP資料!$A:$A, (MATCH(413, 輔助計算!$G$2:$G$801, 0)+1)), "")&lt;&gt;IFERROR(INDEX(ERP資料!$A:$A, MATCH(412, 輔助計算!$G$2:$G$801, 0)+1), "")), INDEX(ERP資料!$B:$B, (MATCH(413, 輔助計算!$G$2:$G$801, 0)+1)), ""), "")</f>
        <v/>
      </c>
      <c r="M414" s="17" t="n"/>
    </row>
    <row r="415">
      <c r="A415" s="10">
        <f>IFERROR(IF(AND(IFERROR(INDEX(ERP資料!$A:$A, (MATCH(414, 輔助計算!$G$2:$G$801, 0)+1)), "")&lt;&gt;"", IFERROR(INDEX(ERP資料!$A:$A, (MATCH(414, 輔助計算!$G$2:$G$801, 0)+1)), "")&lt;&gt;IFERROR(INDEX(ERP資料!$A:$A, MATCH(413, 輔助計算!$G$2:$G$801, 0)+1), "")), IFERROR(INDEX(ERP資料!$A:$A, (MATCH(414, 輔助計算!$G$2:$G$801, 0)+1)), ""), ""), "")</f>
        <v/>
      </c>
      <c r="B415" s="10">
        <f>IFERROR(IF(AND(IFERROR(INDEX(ERP資料!$A:$A, (MATCH(414, 輔助計算!$G$2:$G$801, 0)+1)), "")&lt;&gt;"", IFERROR(INDEX(ERP資料!$A:$A, (MATCH(414, 輔助計算!$G$2:$G$801, 0)+1)), "")&lt;&gt;IFERROR(INDEX(ERP資料!$A:$A, MATCH(413, 輔助計算!$G$2:$G$801, 0)+1), "")), INDEX(ERP資料!$S:$S, (MATCH(414, 輔助計算!$G$2:$G$801, 0)+1)), ""), "")</f>
        <v/>
      </c>
      <c r="C415" s="19">
        <f>IFERROR(IF(AND(IFERROR(INDEX(ERP資料!$A:$A, (MATCH(414, 輔助計算!$G$2:$G$801, 0)+1)), "")&lt;&gt;"", IFERROR(INDEX(ERP資料!$A:$A, (MATCH(414, 輔助計算!$G$2:$G$801, 0)+1)), "")&lt;&gt;IFERROR(INDEX(ERP資料!$A:$A, MATCH(413, 輔助計算!$G$2:$G$801, 0)+1), "")), IFERROR(VLOOKUP(LEFT(INDEX(ERP資料!$S:$S, (MATCH(414, 輔助計算!$G$2:$G$801, 0)+1)), 4), 紙管對照表!$A:$C, 3, FALSE), ""), ""), "")</f>
        <v/>
      </c>
      <c r="D415" s="16" t="n"/>
      <c r="E415" s="10">
        <f>IFERROR(IF(INDEX(ERP資料!$H:$H, (MATCH(414, 輔助計算!$G$2:$G$801, 0)+1))="","",INDEX(ERP資料!$H:$H, (MATCH(414, 輔助計算!$G$2:$G$801, 0)+1))), "")</f>
        <v/>
      </c>
      <c r="F415" s="10">
        <f>IFERROR(IF(INDEX(ERP資料!$E:$E, (MATCH(414, 輔助計算!$G$2:$G$801, 0)+1))="","",TRIM(INDEX(ERP資料!$E:$E, (MATCH(414, 輔助計算!$G$2:$G$801, 0)+1)))), "")</f>
        <v/>
      </c>
      <c r="G415" s="10">
        <f>IFERROR(IF(INDEX(ERP資料!$F:$F, (MATCH(414, 輔助計算!$G$2:$G$801, 0)+1))="","",INDEX(ERP資料!$F:$F, (MATCH(414, 輔助計算!$G$2:$G$801, 0)+1))), "")</f>
        <v/>
      </c>
      <c r="H415" s="10">
        <f>IFERROR(IF(INDEX(ERP資料!$G:$G, (MATCH(414, 輔助計算!$G$2:$G$801, 0)+1))="","",INDEX(ERP資料!$G:$G, (MATCH(414, 輔助計算!$G$2:$G$801, 0)+1))), "")</f>
        <v/>
      </c>
      <c r="I415" s="15">
        <f>IFERROR(INDEX(輔助計算!$D:$D, (MATCH(414, 輔助計算!$G$2:$G$801, 0)+1)), "")</f>
        <v/>
      </c>
      <c r="J415" s="15">
        <f>IFERROR(IF(AND(INDEX(輔助計算!$D:$D, (MATCH(414, 輔助計算!$G$2:$G$801, 0)+1))&lt;&gt;"", INDEX(ERP資料!$G:$G, (MATCH(414, 輔助計算!$G$2:$G$801, 0)+1))&lt;&gt;""), TRIM(IF(INT(INDEX(輔助計算!$D:$D, (MATCH(414, 輔助計算!$G$2:$G$801, 0)+1))/IF(INDEX(ERP資料!$G:$G, (MATCH(414, 輔助計算!$G$2:$G$801, 0)+1))&lt;100, IF(INDEX(ERP資料!$G:$G, (MATCH(414, 輔助計算!$G$2:$G$801, 0)+1))&lt;=31,3,IF(INDEX(ERP資料!$G:$G, (MATCH(414, 輔助計算!$G$2:$G$801, 0)+1))&lt;=46.5,2,1)), IF(INDEX(ERP資料!$G:$G, (MATCH(414, 輔助計算!$G$2:$G$801, 0)+1))&lt;=790,3,IF(INDEX(ERP資料!$G:$G, (MATCH(414, 輔助計算!$G$2:$G$801, 0)+1))&lt;=1181,2,1))))&gt;0, IF(IF(INDEX(ERP資料!$G:$G, (MATCH(414, 輔助計算!$G$2:$G$801, 0)+1))&lt;100, IF(INDEX(ERP資料!$G:$G, (MATCH(414, 輔助計算!$G$2:$G$801, 0)+1))&lt;=31,3,IF(INDEX(ERP資料!$G:$G, (MATCH(414, 輔助計算!$G$2:$G$801, 0)+1))&lt;=46.5,2,1)), IF(INDEX(ERP資料!$G:$G, (MATCH(414, 輔助計算!$G$2:$G$801, 0)+1))&lt;=790,3,IF(INDEX(ERP資料!$G:$G, (MATCH(414, 輔助計算!$G$2:$G$801, 0)+1))&lt;=1181,2,1)))=1,TEXT(INDEX(ERP資料!$G:$G, (MATCH(414, 輔助計算!$G$2:$G$801, 0)+1)),"0.##"),IF(IF(INDEX(ERP資料!$G:$G, (MATCH(414, 輔助計算!$G$2:$G$801, 0)+1))&lt;100, IF(INDEX(ERP資料!$G:$G, (MATCH(414, 輔助計算!$G$2:$G$801, 0)+1))&lt;=31,3,IF(INDEX(ERP資料!$G:$G, (MATCH(414, 輔助計算!$G$2:$G$801, 0)+1))&lt;=46.5,2,1)), IF(INDEX(ERP資料!$G:$G, (MATCH(414, 輔助計算!$G$2:$G$801, 0)+1))&lt;=790,3,IF(INDEX(ERP資料!$G:$G, (MATCH(414, 輔助計算!$G$2:$G$801, 0)+1))&lt;=1181,2,1)))=2,TEXT(INDEX(ERP資料!$G:$G, (MATCH(414, 輔助計算!$G$2:$G$801, 0)+1)),"0.##")&amp;"+"&amp;TEXT(INDEX(ERP資料!$G:$G, (MATCH(414, 輔助計算!$G$2:$G$801, 0)+1)),"0.##"),TEXT(INDEX(ERP資料!$G:$G, (MATCH(414, 輔助計算!$G$2:$G$801, 0)+1)),"0.##")&amp;"+"&amp;TEXT(INDEX(ERP資料!$G:$G, (MATCH(414, 輔助計算!$G$2:$G$801, 0)+1)),"0.##")&amp;"+"&amp;TEXT(INDEX(ERP資料!$G:$G, (MATCH(414, 輔助計算!$G$2:$G$801, 0)+1)),"0.##")))&amp;"-"&amp;INT(INDEX(輔助計算!$D:$D, (MATCH(414, 輔助計算!$G$2:$G$801, 0)+1))/IF(INDEX(ERP資料!$G:$G, (MATCH(414, 輔助計算!$G$2:$G$801, 0)+1))&lt;100, IF(INDEX(ERP資料!$G:$G, (MATCH(414, 輔助計算!$G$2:$G$801, 0)+1))&lt;=31,3,IF(INDEX(ERP資料!$G:$G, (MATCH(414, 輔助計算!$G$2:$G$801, 0)+1))&lt;=46.5,2,1)), IF(INDEX(ERP資料!$G:$G, (MATCH(414, 輔助計算!$G$2:$G$801, 0)+1))&lt;=790,3,IF(INDEX(ERP資料!$G:$G, (MATCH(414, 輔助計算!$G$2:$G$801, 0)+1))&lt;=1181,2,1)))), "")&amp;IF(AND(IF(INT(INDEX(輔助計算!$D:$D, (MATCH(414, 輔助計算!$G$2:$G$801, 0)+1))/IF(INDEX(ERP資料!$G:$G, (MATCH(414, 輔助計算!$G$2:$G$801, 0)+1))&lt;100, IF(INDEX(ERP資料!$G:$G, (MATCH(414, 輔助計算!$G$2:$G$801, 0)+1))&lt;=31,3,IF(INDEX(ERP資料!$G:$G, (MATCH(414, 輔助計算!$G$2:$G$801, 0)+1))&lt;=46.5,2,1)), IF(INDEX(ERP資料!$G:$G, (MATCH(414, 輔助計算!$G$2:$G$801, 0)+1))&lt;=790,3,IF(INDEX(ERP資料!$G:$G, (MATCH(414, 輔助計算!$G$2:$G$801, 0)+1))&lt;=1181,2,1))))&gt;0, IF(IF(INDEX(ERP資料!$G:$G, (MATCH(414, 輔助計算!$G$2:$G$801, 0)+1))&lt;100, IF(INDEX(ERP資料!$G:$G, (MATCH(414, 輔助計算!$G$2:$G$801, 0)+1))&lt;=31,3,IF(INDEX(ERP資料!$G:$G, (MATCH(414, 輔助計算!$G$2:$G$801, 0)+1))&lt;=46.5,2,1)), IF(INDEX(ERP資料!$G:$G, (MATCH(414, 輔助計算!$G$2:$G$801, 0)+1))&lt;=790,3,IF(INDEX(ERP資料!$G:$G, (MATCH(414, 輔助計算!$G$2:$G$801, 0)+1))&lt;=1181,2,1)))=1,TEXT(INDEX(ERP資料!$G:$G, (MATCH(414, 輔助計算!$G$2:$G$801, 0)+1)),"0.##"),IF(IF(INDEX(ERP資料!$G:$G, (MATCH(414, 輔助計算!$G$2:$G$801, 0)+1))&lt;100, IF(INDEX(ERP資料!$G:$G, (MATCH(414, 輔助計算!$G$2:$G$801, 0)+1))&lt;=31,3,IF(INDEX(ERP資料!$G:$G, (MATCH(414, 輔助計算!$G$2:$G$801, 0)+1))&lt;=46.5,2,1)), IF(INDEX(ERP資料!$G:$G, (MATCH(414, 輔助計算!$G$2:$G$801, 0)+1))&lt;=790,3,IF(INDEX(ERP資料!$G:$G, (MATCH(414, 輔助計算!$G$2:$G$801, 0)+1))&lt;=1181,2,1)))=2,TEXT(INDEX(ERP資料!$G:$G, (MATCH(414, 輔助計算!$G$2:$G$801, 0)+1)),"0.##")&amp;"+"&amp;TEXT(INDEX(ERP資料!$G:$G, (MATCH(414, 輔助計算!$G$2:$G$801, 0)+1)),"0.##"),TEXT(INDEX(ERP資料!$G:$G, (MATCH(414, 輔助計算!$G$2:$G$801, 0)+1)),"0.##")&amp;"+"&amp;TEXT(INDEX(ERP資料!$G:$G, (MATCH(414, 輔助計算!$G$2:$G$801, 0)+1)),"0.##")&amp;"+"&amp;TEXT(INDEX(ERP資料!$G:$G, (MATCH(414, 輔助計算!$G$2:$G$801, 0)+1)),"0.##")))&amp;"-"&amp;INT(INDEX(輔助計算!$D:$D, (MATCH(414, 輔助計算!$G$2:$G$801, 0)+1))/IF(INDEX(ERP資料!$G:$G, (MATCH(414, 輔助計算!$G$2:$G$801, 0)+1))&lt;100, IF(INDEX(ERP資料!$G:$G, (MATCH(414, 輔助計算!$G$2:$G$801, 0)+1))&lt;=31,3,IF(INDEX(ERP資料!$G:$G, (MATCH(414, 輔助計算!$G$2:$G$801, 0)+1))&lt;=46.5,2,1)), IF(INDEX(ERP資料!$G:$G, (MATCH(414, 輔助計算!$G$2:$G$801, 0)+1))&lt;=790,3,IF(INDEX(ERP資料!$G:$G, (MATCH(414, 輔助計算!$G$2:$G$801, 0)+1))&lt;=1181,2,1)))), "")&lt;&gt;"",IF(MOD(INDEX(輔助計算!$D:$D, (MATCH(414, 輔助計算!$G$2:$G$801, 0)+1)),IF(INDEX(ERP資料!$G:$G, (MATCH(414, 輔助計算!$G$2:$G$801, 0)+1))&lt;100, IF(INDEX(ERP資料!$G:$G, (MATCH(414, 輔助計算!$G$2:$G$801, 0)+1))&lt;=31,3,IF(INDEX(ERP資料!$G:$G, (MATCH(414, 輔助計算!$G$2:$G$801, 0)+1))&lt;=46.5,2,1)), IF(INDEX(ERP資料!$G:$G, (MATCH(414, 輔助計算!$G$2:$G$801, 0)+1))&lt;=790,3,IF(INDEX(ERP資料!$G:$G, (MATCH(414, 輔助計算!$G$2:$G$801, 0)+1))&lt;=1181,2,1))))=0,"",IF(MOD(INDEX(輔助計算!$D:$D, (MATCH(414, 輔助計算!$G$2:$G$801, 0)+1)),IF(INDEX(ERP資料!$G:$G, (MATCH(414, 輔助計算!$G$2:$G$801, 0)+1))&lt;100, IF(INDEX(ERP資料!$G:$G, (MATCH(414, 輔助計算!$G$2:$G$801, 0)+1))&lt;=31,3,IF(INDEX(ERP資料!$G:$G, (MATCH(414, 輔助計算!$G$2:$G$801, 0)+1))&lt;=46.5,2,1)), IF(INDEX(ERP資料!$G:$G, (MATCH(414, 輔助計算!$G$2:$G$801, 0)+1))&lt;=790,3,IF(INDEX(ERP資料!$G:$G, (MATCH(414, 輔助計算!$G$2:$G$801, 0)+1))&lt;=1181,2,1))))=0,"",IF(MOD(INDEX(輔助計算!$D:$D, (MATCH(414, 輔助計算!$G$2:$G$801, 0)+1)),IF(INDEX(ERP資料!$G:$G, (MATCH(414, 輔助計算!$G$2:$G$801, 0)+1))&lt;100, IF(INDEX(ERP資料!$G:$G, (MATCH(414, 輔助計算!$G$2:$G$801, 0)+1))&lt;=31,3,IF(INDEX(ERP資料!$G:$G, (MATCH(414, 輔助計算!$G$2:$G$801, 0)+1))&lt;=46.5,2,1)), IF(INDEX(ERP資料!$G:$G, (MATCH(414, 輔助計算!$G$2:$G$801, 0)+1))&lt;=790,3,IF(INDEX(ERP資料!$G:$G, (MATCH(414, 輔助計算!$G$2:$G$801, 0)+1))&lt;=1181,2,1))))=1,TEXT(INDEX(ERP資料!$G:$G, (MATCH(414, 輔助計算!$G$2:$G$801, 0)+1)),"0.##"),IF(MOD(INDEX(輔助計算!$D:$D, (MATCH(414, 輔助計算!$G$2:$G$801, 0)+1)),IF(INDEX(ERP資料!$G:$G, (MATCH(414, 輔助計算!$G$2:$G$801, 0)+1))&lt;100, IF(INDEX(ERP資料!$G:$G, (MATCH(414, 輔助計算!$G$2:$G$801, 0)+1))&lt;=31,3,IF(INDEX(ERP資料!$G:$G, (MATCH(414, 輔助計算!$G$2:$G$801, 0)+1))&lt;=46.5,2,1)), IF(INDEX(ERP資料!$G:$G, (MATCH(414, 輔助計算!$G$2:$G$801, 0)+1))&lt;=790,3,IF(INDEX(ERP資料!$G:$G, (MATCH(414, 輔助計算!$G$2:$G$801, 0)+1))&lt;=1181,2,1))))=2,TEXT(INDEX(ERP資料!$G:$G, (MATCH(414, 輔助計算!$G$2:$G$801, 0)+1)),"0.##")&amp;"+"&amp;TEXT(INDEX(ERP資料!$G:$G, (MATCH(414, 輔助計算!$G$2:$G$801, 0)+1)),"0.##"),TEXT(INDEX(ERP資料!$G:$G, (MATCH(414, 輔助計算!$G$2:$G$801, 0)+1)),"0.##")&amp;"+"&amp;TEXT(INDEX(ERP資料!$G:$G, (MATCH(414, 輔助計算!$G$2:$G$801, 0)+1)),"0.##")&amp;"+"&amp;TEXT(INDEX(ERP資料!$G:$G, (MATCH(414, 輔助計算!$G$2:$G$801, 0)+1)),"0.##"))))&amp;"-1")&lt;&gt;""),"  ","")&amp;IF(MOD(INDEX(輔助計算!$D:$D, (MATCH(414, 輔助計算!$G$2:$G$801, 0)+1)),IF(INDEX(ERP資料!$G:$G, (MATCH(414, 輔助計算!$G$2:$G$801, 0)+1))&lt;100, IF(INDEX(ERP資料!$G:$G, (MATCH(414, 輔助計算!$G$2:$G$801, 0)+1))&lt;=31,3,IF(INDEX(ERP資料!$G:$G, (MATCH(414, 輔助計算!$G$2:$G$801, 0)+1))&lt;=46.5,2,1)), IF(INDEX(ERP資料!$G:$G, (MATCH(414, 輔助計算!$G$2:$G$801, 0)+1))&lt;=790,3,IF(INDEX(ERP資料!$G:$G, (MATCH(414, 輔助計算!$G$2:$G$801, 0)+1))&lt;=1181,2,1))))=0,"",IF(MOD(INDEX(輔助計算!$D:$D, (MATCH(414, 輔助計算!$G$2:$G$801, 0)+1)),IF(INDEX(ERP資料!$G:$G, (MATCH(414, 輔助計算!$G$2:$G$801, 0)+1))&lt;100, IF(INDEX(ERP資料!$G:$G, (MATCH(414, 輔助計算!$G$2:$G$801, 0)+1))&lt;=31,3,IF(INDEX(ERP資料!$G:$G, (MATCH(414, 輔助計算!$G$2:$G$801, 0)+1))&lt;=46.5,2,1)), IF(INDEX(ERP資料!$G:$G, (MATCH(414, 輔助計算!$G$2:$G$801, 0)+1))&lt;=790,3,IF(INDEX(ERP資料!$G:$G, (MATCH(414, 輔助計算!$G$2:$G$801, 0)+1))&lt;=1181,2,1))))=0,"",IF(MOD(INDEX(輔助計算!$D:$D, (MATCH(414, 輔助計算!$G$2:$G$801, 0)+1)),IF(INDEX(ERP資料!$G:$G, (MATCH(414, 輔助計算!$G$2:$G$801, 0)+1))&lt;100, IF(INDEX(ERP資料!$G:$G, (MATCH(414, 輔助計算!$G$2:$G$801, 0)+1))&lt;=31,3,IF(INDEX(ERP資料!$G:$G, (MATCH(414, 輔助計算!$G$2:$G$801, 0)+1))&lt;=46.5,2,1)), IF(INDEX(ERP資料!$G:$G, (MATCH(414, 輔助計算!$G$2:$G$801, 0)+1))&lt;=790,3,IF(INDEX(ERP資料!$G:$G, (MATCH(414, 輔助計算!$G$2:$G$801, 0)+1))&lt;=1181,2,1))))=1,TEXT(INDEX(ERP資料!$G:$G, (MATCH(414, 輔助計算!$G$2:$G$801, 0)+1)),"0.##"),IF(MOD(INDEX(輔助計算!$D:$D, (MATCH(414, 輔助計算!$G$2:$G$801, 0)+1)),IF(INDEX(ERP資料!$G:$G, (MATCH(414, 輔助計算!$G$2:$G$801, 0)+1))&lt;100, IF(INDEX(ERP資料!$G:$G, (MATCH(414, 輔助計算!$G$2:$G$801, 0)+1))&lt;=31,3,IF(INDEX(ERP資料!$G:$G, (MATCH(414, 輔助計算!$G$2:$G$801, 0)+1))&lt;=46.5,2,1)), IF(INDEX(ERP資料!$G:$G, (MATCH(414, 輔助計算!$G$2:$G$801, 0)+1))&lt;=790,3,IF(INDEX(ERP資料!$G:$G, (MATCH(414, 輔助計算!$G$2:$G$801, 0)+1))&lt;=1181,2,1))))=2,TEXT(INDEX(ERP資料!$G:$G, (MATCH(414, 輔助計算!$G$2:$G$801, 0)+1)),"0.##")&amp;"+"&amp;TEXT(INDEX(ERP資料!$G:$G, (MATCH(414, 輔助計算!$G$2:$G$801, 0)+1)),"0.##"),TEXT(INDEX(ERP資料!$G:$G, (MATCH(414, 輔助計算!$G$2:$G$801, 0)+1)),"0.##")&amp;"+"&amp;TEXT(INDEX(ERP資料!$G:$G, (MATCH(414, 輔助計算!$G$2:$G$801, 0)+1)),"0.##")&amp;"+"&amp;TEXT(INDEX(ERP資料!$G:$G, (MATCH(414, 輔助計算!$G$2:$G$801, 0)+1)),"0.##"))))&amp;"-1")), ""), "")</f>
        <v/>
      </c>
      <c r="K415" s="16" t="n"/>
      <c r="L415" s="14">
        <f>IFERROR(IF(AND(IFERROR(INDEX(ERP資料!$A:$A, (MATCH(414, 輔助計算!$G$2:$G$801, 0)+1)), "")&lt;&gt;"", IFERROR(INDEX(ERP資料!$A:$A, (MATCH(414, 輔助計算!$G$2:$G$801, 0)+1)), "")&lt;&gt;IFERROR(INDEX(ERP資料!$A:$A, MATCH(413, 輔助計算!$G$2:$G$801, 0)+1), "")), INDEX(ERP資料!$B:$B, (MATCH(414, 輔助計算!$G$2:$G$801, 0)+1)), ""), "")</f>
        <v/>
      </c>
      <c r="M415" s="17" t="n"/>
    </row>
    <row r="416">
      <c r="A416" s="10">
        <f>IFERROR(IF(AND(IFERROR(INDEX(ERP資料!$A:$A, (MATCH(415, 輔助計算!$G$2:$G$801, 0)+1)), "")&lt;&gt;"", IFERROR(INDEX(ERP資料!$A:$A, (MATCH(415, 輔助計算!$G$2:$G$801, 0)+1)), "")&lt;&gt;IFERROR(INDEX(ERP資料!$A:$A, MATCH(414, 輔助計算!$G$2:$G$801, 0)+1), "")), IFERROR(INDEX(ERP資料!$A:$A, (MATCH(415, 輔助計算!$G$2:$G$801, 0)+1)), ""), ""), "")</f>
        <v/>
      </c>
      <c r="B416" s="10">
        <f>IFERROR(IF(AND(IFERROR(INDEX(ERP資料!$A:$A, (MATCH(415, 輔助計算!$G$2:$G$801, 0)+1)), "")&lt;&gt;"", IFERROR(INDEX(ERP資料!$A:$A, (MATCH(415, 輔助計算!$G$2:$G$801, 0)+1)), "")&lt;&gt;IFERROR(INDEX(ERP資料!$A:$A, MATCH(414, 輔助計算!$G$2:$G$801, 0)+1), "")), INDEX(ERP資料!$S:$S, (MATCH(415, 輔助計算!$G$2:$G$801, 0)+1)), ""), "")</f>
        <v/>
      </c>
      <c r="C416" s="19">
        <f>IFERROR(IF(AND(IFERROR(INDEX(ERP資料!$A:$A, (MATCH(415, 輔助計算!$G$2:$G$801, 0)+1)), "")&lt;&gt;"", IFERROR(INDEX(ERP資料!$A:$A, (MATCH(415, 輔助計算!$G$2:$G$801, 0)+1)), "")&lt;&gt;IFERROR(INDEX(ERP資料!$A:$A, MATCH(414, 輔助計算!$G$2:$G$801, 0)+1), "")), IFERROR(VLOOKUP(LEFT(INDEX(ERP資料!$S:$S, (MATCH(415, 輔助計算!$G$2:$G$801, 0)+1)), 4), 紙管對照表!$A:$C, 3, FALSE), ""), ""), "")</f>
        <v/>
      </c>
      <c r="D416" s="16" t="n"/>
      <c r="E416" s="10">
        <f>IFERROR(IF(INDEX(ERP資料!$H:$H, (MATCH(415, 輔助計算!$G$2:$G$801, 0)+1))="","",INDEX(ERP資料!$H:$H, (MATCH(415, 輔助計算!$G$2:$G$801, 0)+1))), "")</f>
        <v/>
      </c>
      <c r="F416" s="10">
        <f>IFERROR(IF(INDEX(ERP資料!$E:$E, (MATCH(415, 輔助計算!$G$2:$G$801, 0)+1))="","",TRIM(INDEX(ERP資料!$E:$E, (MATCH(415, 輔助計算!$G$2:$G$801, 0)+1)))), "")</f>
        <v/>
      </c>
      <c r="G416" s="10">
        <f>IFERROR(IF(INDEX(ERP資料!$F:$F, (MATCH(415, 輔助計算!$G$2:$G$801, 0)+1))="","",INDEX(ERP資料!$F:$F, (MATCH(415, 輔助計算!$G$2:$G$801, 0)+1))), "")</f>
        <v/>
      </c>
      <c r="H416" s="10">
        <f>IFERROR(IF(INDEX(ERP資料!$G:$G, (MATCH(415, 輔助計算!$G$2:$G$801, 0)+1))="","",INDEX(ERP資料!$G:$G, (MATCH(415, 輔助計算!$G$2:$G$801, 0)+1))), "")</f>
        <v/>
      </c>
      <c r="I416" s="15">
        <f>IFERROR(INDEX(輔助計算!$D:$D, (MATCH(415, 輔助計算!$G$2:$G$801, 0)+1)), "")</f>
        <v/>
      </c>
      <c r="J416" s="15">
        <f>IFERROR(IF(AND(INDEX(輔助計算!$D:$D, (MATCH(415, 輔助計算!$G$2:$G$801, 0)+1))&lt;&gt;"", INDEX(ERP資料!$G:$G, (MATCH(415, 輔助計算!$G$2:$G$801, 0)+1))&lt;&gt;""), TRIM(IF(INT(INDEX(輔助計算!$D:$D, (MATCH(415, 輔助計算!$G$2:$G$801, 0)+1))/IF(INDEX(ERP資料!$G:$G, (MATCH(415, 輔助計算!$G$2:$G$801, 0)+1))&lt;100, IF(INDEX(ERP資料!$G:$G, (MATCH(415, 輔助計算!$G$2:$G$801, 0)+1))&lt;=31,3,IF(INDEX(ERP資料!$G:$G, (MATCH(415, 輔助計算!$G$2:$G$801, 0)+1))&lt;=46.5,2,1)), IF(INDEX(ERP資料!$G:$G, (MATCH(415, 輔助計算!$G$2:$G$801, 0)+1))&lt;=790,3,IF(INDEX(ERP資料!$G:$G, (MATCH(415, 輔助計算!$G$2:$G$801, 0)+1))&lt;=1181,2,1))))&gt;0, IF(IF(INDEX(ERP資料!$G:$G, (MATCH(415, 輔助計算!$G$2:$G$801, 0)+1))&lt;100, IF(INDEX(ERP資料!$G:$G, (MATCH(415, 輔助計算!$G$2:$G$801, 0)+1))&lt;=31,3,IF(INDEX(ERP資料!$G:$G, (MATCH(415, 輔助計算!$G$2:$G$801, 0)+1))&lt;=46.5,2,1)), IF(INDEX(ERP資料!$G:$G, (MATCH(415, 輔助計算!$G$2:$G$801, 0)+1))&lt;=790,3,IF(INDEX(ERP資料!$G:$G, (MATCH(415, 輔助計算!$G$2:$G$801, 0)+1))&lt;=1181,2,1)))=1,TEXT(INDEX(ERP資料!$G:$G, (MATCH(415, 輔助計算!$G$2:$G$801, 0)+1)),"0.##"),IF(IF(INDEX(ERP資料!$G:$G, (MATCH(415, 輔助計算!$G$2:$G$801, 0)+1))&lt;100, IF(INDEX(ERP資料!$G:$G, (MATCH(415, 輔助計算!$G$2:$G$801, 0)+1))&lt;=31,3,IF(INDEX(ERP資料!$G:$G, (MATCH(415, 輔助計算!$G$2:$G$801, 0)+1))&lt;=46.5,2,1)), IF(INDEX(ERP資料!$G:$G, (MATCH(415, 輔助計算!$G$2:$G$801, 0)+1))&lt;=790,3,IF(INDEX(ERP資料!$G:$G, (MATCH(415, 輔助計算!$G$2:$G$801, 0)+1))&lt;=1181,2,1)))=2,TEXT(INDEX(ERP資料!$G:$G, (MATCH(415, 輔助計算!$G$2:$G$801, 0)+1)),"0.##")&amp;"+"&amp;TEXT(INDEX(ERP資料!$G:$G, (MATCH(415, 輔助計算!$G$2:$G$801, 0)+1)),"0.##"),TEXT(INDEX(ERP資料!$G:$G, (MATCH(415, 輔助計算!$G$2:$G$801, 0)+1)),"0.##")&amp;"+"&amp;TEXT(INDEX(ERP資料!$G:$G, (MATCH(415, 輔助計算!$G$2:$G$801, 0)+1)),"0.##")&amp;"+"&amp;TEXT(INDEX(ERP資料!$G:$G, (MATCH(415, 輔助計算!$G$2:$G$801, 0)+1)),"0.##")))&amp;"-"&amp;INT(INDEX(輔助計算!$D:$D, (MATCH(415, 輔助計算!$G$2:$G$801, 0)+1))/IF(INDEX(ERP資料!$G:$G, (MATCH(415, 輔助計算!$G$2:$G$801, 0)+1))&lt;100, IF(INDEX(ERP資料!$G:$G, (MATCH(415, 輔助計算!$G$2:$G$801, 0)+1))&lt;=31,3,IF(INDEX(ERP資料!$G:$G, (MATCH(415, 輔助計算!$G$2:$G$801, 0)+1))&lt;=46.5,2,1)), IF(INDEX(ERP資料!$G:$G, (MATCH(415, 輔助計算!$G$2:$G$801, 0)+1))&lt;=790,3,IF(INDEX(ERP資料!$G:$G, (MATCH(415, 輔助計算!$G$2:$G$801, 0)+1))&lt;=1181,2,1)))), "")&amp;IF(AND(IF(INT(INDEX(輔助計算!$D:$D, (MATCH(415, 輔助計算!$G$2:$G$801, 0)+1))/IF(INDEX(ERP資料!$G:$G, (MATCH(415, 輔助計算!$G$2:$G$801, 0)+1))&lt;100, IF(INDEX(ERP資料!$G:$G, (MATCH(415, 輔助計算!$G$2:$G$801, 0)+1))&lt;=31,3,IF(INDEX(ERP資料!$G:$G, (MATCH(415, 輔助計算!$G$2:$G$801, 0)+1))&lt;=46.5,2,1)), IF(INDEX(ERP資料!$G:$G, (MATCH(415, 輔助計算!$G$2:$G$801, 0)+1))&lt;=790,3,IF(INDEX(ERP資料!$G:$G, (MATCH(415, 輔助計算!$G$2:$G$801, 0)+1))&lt;=1181,2,1))))&gt;0, IF(IF(INDEX(ERP資料!$G:$G, (MATCH(415, 輔助計算!$G$2:$G$801, 0)+1))&lt;100, IF(INDEX(ERP資料!$G:$G, (MATCH(415, 輔助計算!$G$2:$G$801, 0)+1))&lt;=31,3,IF(INDEX(ERP資料!$G:$G, (MATCH(415, 輔助計算!$G$2:$G$801, 0)+1))&lt;=46.5,2,1)), IF(INDEX(ERP資料!$G:$G, (MATCH(415, 輔助計算!$G$2:$G$801, 0)+1))&lt;=790,3,IF(INDEX(ERP資料!$G:$G, (MATCH(415, 輔助計算!$G$2:$G$801, 0)+1))&lt;=1181,2,1)))=1,TEXT(INDEX(ERP資料!$G:$G, (MATCH(415, 輔助計算!$G$2:$G$801, 0)+1)),"0.##"),IF(IF(INDEX(ERP資料!$G:$G, (MATCH(415, 輔助計算!$G$2:$G$801, 0)+1))&lt;100, IF(INDEX(ERP資料!$G:$G, (MATCH(415, 輔助計算!$G$2:$G$801, 0)+1))&lt;=31,3,IF(INDEX(ERP資料!$G:$G, (MATCH(415, 輔助計算!$G$2:$G$801, 0)+1))&lt;=46.5,2,1)), IF(INDEX(ERP資料!$G:$G, (MATCH(415, 輔助計算!$G$2:$G$801, 0)+1))&lt;=790,3,IF(INDEX(ERP資料!$G:$G, (MATCH(415, 輔助計算!$G$2:$G$801, 0)+1))&lt;=1181,2,1)))=2,TEXT(INDEX(ERP資料!$G:$G, (MATCH(415, 輔助計算!$G$2:$G$801, 0)+1)),"0.##")&amp;"+"&amp;TEXT(INDEX(ERP資料!$G:$G, (MATCH(415, 輔助計算!$G$2:$G$801, 0)+1)),"0.##"),TEXT(INDEX(ERP資料!$G:$G, (MATCH(415, 輔助計算!$G$2:$G$801, 0)+1)),"0.##")&amp;"+"&amp;TEXT(INDEX(ERP資料!$G:$G, (MATCH(415, 輔助計算!$G$2:$G$801, 0)+1)),"0.##")&amp;"+"&amp;TEXT(INDEX(ERP資料!$G:$G, (MATCH(415, 輔助計算!$G$2:$G$801, 0)+1)),"0.##")))&amp;"-"&amp;INT(INDEX(輔助計算!$D:$D, (MATCH(415, 輔助計算!$G$2:$G$801, 0)+1))/IF(INDEX(ERP資料!$G:$G, (MATCH(415, 輔助計算!$G$2:$G$801, 0)+1))&lt;100, IF(INDEX(ERP資料!$G:$G, (MATCH(415, 輔助計算!$G$2:$G$801, 0)+1))&lt;=31,3,IF(INDEX(ERP資料!$G:$G, (MATCH(415, 輔助計算!$G$2:$G$801, 0)+1))&lt;=46.5,2,1)), IF(INDEX(ERP資料!$G:$G, (MATCH(415, 輔助計算!$G$2:$G$801, 0)+1))&lt;=790,3,IF(INDEX(ERP資料!$G:$G, (MATCH(415, 輔助計算!$G$2:$G$801, 0)+1))&lt;=1181,2,1)))), "")&lt;&gt;"",IF(MOD(INDEX(輔助計算!$D:$D, (MATCH(415, 輔助計算!$G$2:$G$801, 0)+1)),IF(INDEX(ERP資料!$G:$G, (MATCH(415, 輔助計算!$G$2:$G$801, 0)+1))&lt;100, IF(INDEX(ERP資料!$G:$G, (MATCH(415, 輔助計算!$G$2:$G$801, 0)+1))&lt;=31,3,IF(INDEX(ERP資料!$G:$G, (MATCH(415, 輔助計算!$G$2:$G$801, 0)+1))&lt;=46.5,2,1)), IF(INDEX(ERP資料!$G:$G, (MATCH(415, 輔助計算!$G$2:$G$801, 0)+1))&lt;=790,3,IF(INDEX(ERP資料!$G:$G, (MATCH(415, 輔助計算!$G$2:$G$801, 0)+1))&lt;=1181,2,1))))=0,"",IF(MOD(INDEX(輔助計算!$D:$D, (MATCH(415, 輔助計算!$G$2:$G$801, 0)+1)),IF(INDEX(ERP資料!$G:$G, (MATCH(415, 輔助計算!$G$2:$G$801, 0)+1))&lt;100, IF(INDEX(ERP資料!$G:$G, (MATCH(415, 輔助計算!$G$2:$G$801, 0)+1))&lt;=31,3,IF(INDEX(ERP資料!$G:$G, (MATCH(415, 輔助計算!$G$2:$G$801, 0)+1))&lt;=46.5,2,1)), IF(INDEX(ERP資料!$G:$G, (MATCH(415, 輔助計算!$G$2:$G$801, 0)+1))&lt;=790,3,IF(INDEX(ERP資料!$G:$G, (MATCH(415, 輔助計算!$G$2:$G$801, 0)+1))&lt;=1181,2,1))))=0,"",IF(MOD(INDEX(輔助計算!$D:$D, (MATCH(415, 輔助計算!$G$2:$G$801, 0)+1)),IF(INDEX(ERP資料!$G:$G, (MATCH(415, 輔助計算!$G$2:$G$801, 0)+1))&lt;100, IF(INDEX(ERP資料!$G:$G, (MATCH(415, 輔助計算!$G$2:$G$801, 0)+1))&lt;=31,3,IF(INDEX(ERP資料!$G:$G, (MATCH(415, 輔助計算!$G$2:$G$801, 0)+1))&lt;=46.5,2,1)), IF(INDEX(ERP資料!$G:$G, (MATCH(415, 輔助計算!$G$2:$G$801, 0)+1))&lt;=790,3,IF(INDEX(ERP資料!$G:$G, (MATCH(415, 輔助計算!$G$2:$G$801, 0)+1))&lt;=1181,2,1))))=1,TEXT(INDEX(ERP資料!$G:$G, (MATCH(415, 輔助計算!$G$2:$G$801, 0)+1)),"0.##"),IF(MOD(INDEX(輔助計算!$D:$D, (MATCH(415, 輔助計算!$G$2:$G$801, 0)+1)),IF(INDEX(ERP資料!$G:$G, (MATCH(415, 輔助計算!$G$2:$G$801, 0)+1))&lt;100, IF(INDEX(ERP資料!$G:$G, (MATCH(415, 輔助計算!$G$2:$G$801, 0)+1))&lt;=31,3,IF(INDEX(ERP資料!$G:$G, (MATCH(415, 輔助計算!$G$2:$G$801, 0)+1))&lt;=46.5,2,1)), IF(INDEX(ERP資料!$G:$G, (MATCH(415, 輔助計算!$G$2:$G$801, 0)+1))&lt;=790,3,IF(INDEX(ERP資料!$G:$G, (MATCH(415, 輔助計算!$G$2:$G$801, 0)+1))&lt;=1181,2,1))))=2,TEXT(INDEX(ERP資料!$G:$G, (MATCH(415, 輔助計算!$G$2:$G$801, 0)+1)),"0.##")&amp;"+"&amp;TEXT(INDEX(ERP資料!$G:$G, (MATCH(415, 輔助計算!$G$2:$G$801, 0)+1)),"0.##"),TEXT(INDEX(ERP資料!$G:$G, (MATCH(415, 輔助計算!$G$2:$G$801, 0)+1)),"0.##")&amp;"+"&amp;TEXT(INDEX(ERP資料!$G:$G, (MATCH(415, 輔助計算!$G$2:$G$801, 0)+1)),"0.##")&amp;"+"&amp;TEXT(INDEX(ERP資料!$G:$G, (MATCH(415, 輔助計算!$G$2:$G$801, 0)+1)),"0.##"))))&amp;"-1")&lt;&gt;""),"  ","")&amp;IF(MOD(INDEX(輔助計算!$D:$D, (MATCH(415, 輔助計算!$G$2:$G$801, 0)+1)),IF(INDEX(ERP資料!$G:$G, (MATCH(415, 輔助計算!$G$2:$G$801, 0)+1))&lt;100, IF(INDEX(ERP資料!$G:$G, (MATCH(415, 輔助計算!$G$2:$G$801, 0)+1))&lt;=31,3,IF(INDEX(ERP資料!$G:$G, (MATCH(415, 輔助計算!$G$2:$G$801, 0)+1))&lt;=46.5,2,1)), IF(INDEX(ERP資料!$G:$G, (MATCH(415, 輔助計算!$G$2:$G$801, 0)+1))&lt;=790,3,IF(INDEX(ERP資料!$G:$G, (MATCH(415, 輔助計算!$G$2:$G$801, 0)+1))&lt;=1181,2,1))))=0,"",IF(MOD(INDEX(輔助計算!$D:$D, (MATCH(415, 輔助計算!$G$2:$G$801, 0)+1)),IF(INDEX(ERP資料!$G:$G, (MATCH(415, 輔助計算!$G$2:$G$801, 0)+1))&lt;100, IF(INDEX(ERP資料!$G:$G, (MATCH(415, 輔助計算!$G$2:$G$801, 0)+1))&lt;=31,3,IF(INDEX(ERP資料!$G:$G, (MATCH(415, 輔助計算!$G$2:$G$801, 0)+1))&lt;=46.5,2,1)), IF(INDEX(ERP資料!$G:$G, (MATCH(415, 輔助計算!$G$2:$G$801, 0)+1))&lt;=790,3,IF(INDEX(ERP資料!$G:$G, (MATCH(415, 輔助計算!$G$2:$G$801, 0)+1))&lt;=1181,2,1))))=0,"",IF(MOD(INDEX(輔助計算!$D:$D, (MATCH(415, 輔助計算!$G$2:$G$801, 0)+1)),IF(INDEX(ERP資料!$G:$G, (MATCH(415, 輔助計算!$G$2:$G$801, 0)+1))&lt;100, IF(INDEX(ERP資料!$G:$G, (MATCH(415, 輔助計算!$G$2:$G$801, 0)+1))&lt;=31,3,IF(INDEX(ERP資料!$G:$G, (MATCH(415, 輔助計算!$G$2:$G$801, 0)+1))&lt;=46.5,2,1)), IF(INDEX(ERP資料!$G:$G, (MATCH(415, 輔助計算!$G$2:$G$801, 0)+1))&lt;=790,3,IF(INDEX(ERP資料!$G:$G, (MATCH(415, 輔助計算!$G$2:$G$801, 0)+1))&lt;=1181,2,1))))=1,TEXT(INDEX(ERP資料!$G:$G, (MATCH(415, 輔助計算!$G$2:$G$801, 0)+1)),"0.##"),IF(MOD(INDEX(輔助計算!$D:$D, (MATCH(415, 輔助計算!$G$2:$G$801, 0)+1)),IF(INDEX(ERP資料!$G:$G, (MATCH(415, 輔助計算!$G$2:$G$801, 0)+1))&lt;100, IF(INDEX(ERP資料!$G:$G, (MATCH(415, 輔助計算!$G$2:$G$801, 0)+1))&lt;=31,3,IF(INDEX(ERP資料!$G:$G, (MATCH(415, 輔助計算!$G$2:$G$801, 0)+1))&lt;=46.5,2,1)), IF(INDEX(ERP資料!$G:$G, (MATCH(415, 輔助計算!$G$2:$G$801, 0)+1))&lt;=790,3,IF(INDEX(ERP資料!$G:$G, (MATCH(415, 輔助計算!$G$2:$G$801, 0)+1))&lt;=1181,2,1))))=2,TEXT(INDEX(ERP資料!$G:$G, (MATCH(415, 輔助計算!$G$2:$G$801, 0)+1)),"0.##")&amp;"+"&amp;TEXT(INDEX(ERP資料!$G:$G, (MATCH(415, 輔助計算!$G$2:$G$801, 0)+1)),"0.##"),TEXT(INDEX(ERP資料!$G:$G, (MATCH(415, 輔助計算!$G$2:$G$801, 0)+1)),"0.##")&amp;"+"&amp;TEXT(INDEX(ERP資料!$G:$G, (MATCH(415, 輔助計算!$G$2:$G$801, 0)+1)),"0.##")&amp;"+"&amp;TEXT(INDEX(ERP資料!$G:$G, (MATCH(415, 輔助計算!$G$2:$G$801, 0)+1)),"0.##"))))&amp;"-1")), ""), "")</f>
        <v/>
      </c>
      <c r="K416" s="16" t="n"/>
      <c r="L416" s="14">
        <f>IFERROR(IF(AND(IFERROR(INDEX(ERP資料!$A:$A, (MATCH(415, 輔助計算!$G$2:$G$801, 0)+1)), "")&lt;&gt;"", IFERROR(INDEX(ERP資料!$A:$A, (MATCH(415, 輔助計算!$G$2:$G$801, 0)+1)), "")&lt;&gt;IFERROR(INDEX(ERP資料!$A:$A, MATCH(414, 輔助計算!$G$2:$G$801, 0)+1), "")), INDEX(ERP資料!$B:$B, (MATCH(415, 輔助計算!$G$2:$G$801, 0)+1)), ""), "")</f>
        <v/>
      </c>
      <c r="M416" s="17" t="n"/>
    </row>
    <row r="417">
      <c r="A417" s="10">
        <f>IFERROR(IF(AND(IFERROR(INDEX(ERP資料!$A:$A, (MATCH(416, 輔助計算!$G$2:$G$801, 0)+1)), "")&lt;&gt;"", IFERROR(INDEX(ERP資料!$A:$A, (MATCH(416, 輔助計算!$G$2:$G$801, 0)+1)), "")&lt;&gt;IFERROR(INDEX(ERP資料!$A:$A, MATCH(415, 輔助計算!$G$2:$G$801, 0)+1), "")), IFERROR(INDEX(ERP資料!$A:$A, (MATCH(416, 輔助計算!$G$2:$G$801, 0)+1)), ""), ""), "")</f>
        <v/>
      </c>
      <c r="B417" s="10">
        <f>IFERROR(IF(AND(IFERROR(INDEX(ERP資料!$A:$A, (MATCH(416, 輔助計算!$G$2:$G$801, 0)+1)), "")&lt;&gt;"", IFERROR(INDEX(ERP資料!$A:$A, (MATCH(416, 輔助計算!$G$2:$G$801, 0)+1)), "")&lt;&gt;IFERROR(INDEX(ERP資料!$A:$A, MATCH(415, 輔助計算!$G$2:$G$801, 0)+1), "")), INDEX(ERP資料!$S:$S, (MATCH(416, 輔助計算!$G$2:$G$801, 0)+1)), ""), "")</f>
        <v/>
      </c>
      <c r="C417" s="19">
        <f>IFERROR(IF(AND(IFERROR(INDEX(ERP資料!$A:$A, (MATCH(416, 輔助計算!$G$2:$G$801, 0)+1)), "")&lt;&gt;"", IFERROR(INDEX(ERP資料!$A:$A, (MATCH(416, 輔助計算!$G$2:$G$801, 0)+1)), "")&lt;&gt;IFERROR(INDEX(ERP資料!$A:$A, MATCH(415, 輔助計算!$G$2:$G$801, 0)+1), "")), IFERROR(VLOOKUP(LEFT(INDEX(ERP資料!$S:$S, (MATCH(416, 輔助計算!$G$2:$G$801, 0)+1)), 4), 紙管對照表!$A:$C, 3, FALSE), ""), ""), "")</f>
        <v/>
      </c>
      <c r="D417" s="16" t="n"/>
      <c r="E417" s="10">
        <f>IFERROR(IF(INDEX(ERP資料!$H:$H, (MATCH(416, 輔助計算!$G$2:$G$801, 0)+1))="","",INDEX(ERP資料!$H:$H, (MATCH(416, 輔助計算!$G$2:$G$801, 0)+1))), "")</f>
        <v/>
      </c>
      <c r="F417" s="10">
        <f>IFERROR(IF(INDEX(ERP資料!$E:$E, (MATCH(416, 輔助計算!$G$2:$G$801, 0)+1))="","",TRIM(INDEX(ERP資料!$E:$E, (MATCH(416, 輔助計算!$G$2:$G$801, 0)+1)))), "")</f>
        <v/>
      </c>
      <c r="G417" s="10">
        <f>IFERROR(IF(INDEX(ERP資料!$F:$F, (MATCH(416, 輔助計算!$G$2:$G$801, 0)+1))="","",INDEX(ERP資料!$F:$F, (MATCH(416, 輔助計算!$G$2:$G$801, 0)+1))), "")</f>
        <v/>
      </c>
      <c r="H417" s="10">
        <f>IFERROR(IF(INDEX(ERP資料!$G:$G, (MATCH(416, 輔助計算!$G$2:$G$801, 0)+1))="","",INDEX(ERP資料!$G:$G, (MATCH(416, 輔助計算!$G$2:$G$801, 0)+1))), "")</f>
        <v/>
      </c>
      <c r="I417" s="15">
        <f>IFERROR(INDEX(輔助計算!$D:$D, (MATCH(416, 輔助計算!$G$2:$G$801, 0)+1)), "")</f>
        <v/>
      </c>
      <c r="J417" s="15">
        <f>IFERROR(IF(AND(INDEX(輔助計算!$D:$D, (MATCH(416, 輔助計算!$G$2:$G$801, 0)+1))&lt;&gt;"", INDEX(ERP資料!$G:$G, (MATCH(416, 輔助計算!$G$2:$G$801, 0)+1))&lt;&gt;""), TRIM(IF(INT(INDEX(輔助計算!$D:$D, (MATCH(416, 輔助計算!$G$2:$G$801, 0)+1))/IF(INDEX(ERP資料!$G:$G, (MATCH(416, 輔助計算!$G$2:$G$801, 0)+1))&lt;100, IF(INDEX(ERP資料!$G:$G, (MATCH(416, 輔助計算!$G$2:$G$801, 0)+1))&lt;=31,3,IF(INDEX(ERP資料!$G:$G, (MATCH(416, 輔助計算!$G$2:$G$801, 0)+1))&lt;=46.5,2,1)), IF(INDEX(ERP資料!$G:$G, (MATCH(416, 輔助計算!$G$2:$G$801, 0)+1))&lt;=790,3,IF(INDEX(ERP資料!$G:$G, (MATCH(416, 輔助計算!$G$2:$G$801, 0)+1))&lt;=1181,2,1))))&gt;0, IF(IF(INDEX(ERP資料!$G:$G, (MATCH(416, 輔助計算!$G$2:$G$801, 0)+1))&lt;100, IF(INDEX(ERP資料!$G:$G, (MATCH(416, 輔助計算!$G$2:$G$801, 0)+1))&lt;=31,3,IF(INDEX(ERP資料!$G:$G, (MATCH(416, 輔助計算!$G$2:$G$801, 0)+1))&lt;=46.5,2,1)), IF(INDEX(ERP資料!$G:$G, (MATCH(416, 輔助計算!$G$2:$G$801, 0)+1))&lt;=790,3,IF(INDEX(ERP資料!$G:$G, (MATCH(416, 輔助計算!$G$2:$G$801, 0)+1))&lt;=1181,2,1)))=1,TEXT(INDEX(ERP資料!$G:$G, (MATCH(416, 輔助計算!$G$2:$G$801, 0)+1)),"0.##"),IF(IF(INDEX(ERP資料!$G:$G, (MATCH(416, 輔助計算!$G$2:$G$801, 0)+1))&lt;100, IF(INDEX(ERP資料!$G:$G, (MATCH(416, 輔助計算!$G$2:$G$801, 0)+1))&lt;=31,3,IF(INDEX(ERP資料!$G:$G, (MATCH(416, 輔助計算!$G$2:$G$801, 0)+1))&lt;=46.5,2,1)), IF(INDEX(ERP資料!$G:$G, (MATCH(416, 輔助計算!$G$2:$G$801, 0)+1))&lt;=790,3,IF(INDEX(ERP資料!$G:$G, (MATCH(416, 輔助計算!$G$2:$G$801, 0)+1))&lt;=1181,2,1)))=2,TEXT(INDEX(ERP資料!$G:$G, (MATCH(416, 輔助計算!$G$2:$G$801, 0)+1)),"0.##")&amp;"+"&amp;TEXT(INDEX(ERP資料!$G:$G, (MATCH(416, 輔助計算!$G$2:$G$801, 0)+1)),"0.##"),TEXT(INDEX(ERP資料!$G:$G, (MATCH(416, 輔助計算!$G$2:$G$801, 0)+1)),"0.##")&amp;"+"&amp;TEXT(INDEX(ERP資料!$G:$G, (MATCH(416, 輔助計算!$G$2:$G$801, 0)+1)),"0.##")&amp;"+"&amp;TEXT(INDEX(ERP資料!$G:$G, (MATCH(416, 輔助計算!$G$2:$G$801, 0)+1)),"0.##")))&amp;"-"&amp;INT(INDEX(輔助計算!$D:$D, (MATCH(416, 輔助計算!$G$2:$G$801, 0)+1))/IF(INDEX(ERP資料!$G:$G, (MATCH(416, 輔助計算!$G$2:$G$801, 0)+1))&lt;100, IF(INDEX(ERP資料!$G:$G, (MATCH(416, 輔助計算!$G$2:$G$801, 0)+1))&lt;=31,3,IF(INDEX(ERP資料!$G:$G, (MATCH(416, 輔助計算!$G$2:$G$801, 0)+1))&lt;=46.5,2,1)), IF(INDEX(ERP資料!$G:$G, (MATCH(416, 輔助計算!$G$2:$G$801, 0)+1))&lt;=790,3,IF(INDEX(ERP資料!$G:$G, (MATCH(416, 輔助計算!$G$2:$G$801, 0)+1))&lt;=1181,2,1)))), "")&amp;IF(AND(IF(INT(INDEX(輔助計算!$D:$D, (MATCH(416, 輔助計算!$G$2:$G$801, 0)+1))/IF(INDEX(ERP資料!$G:$G, (MATCH(416, 輔助計算!$G$2:$G$801, 0)+1))&lt;100, IF(INDEX(ERP資料!$G:$G, (MATCH(416, 輔助計算!$G$2:$G$801, 0)+1))&lt;=31,3,IF(INDEX(ERP資料!$G:$G, (MATCH(416, 輔助計算!$G$2:$G$801, 0)+1))&lt;=46.5,2,1)), IF(INDEX(ERP資料!$G:$G, (MATCH(416, 輔助計算!$G$2:$G$801, 0)+1))&lt;=790,3,IF(INDEX(ERP資料!$G:$G, (MATCH(416, 輔助計算!$G$2:$G$801, 0)+1))&lt;=1181,2,1))))&gt;0, IF(IF(INDEX(ERP資料!$G:$G, (MATCH(416, 輔助計算!$G$2:$G$801, 0)+1))&lt;100, IF(INDEX(ERP資料!$G:$G, (MATCH(416, 輔助計算!$G$2:$G$801, 0)+1))&lt;=31,3,IF(INDEX(ERP資料!$G:$G, (MATCH(416, 輔助計算!$G$2:$G$801, 0)+1))&lt;=46.5,2,1)), IF(INDEX(ERP資料!$G:$G, (MATCH(416, 輔助計算!$G$2:$G$801, 0)+1))&lt;=790,3,IF(INDEX(ERP資料!$G:$G, (MATCH(416, 輔助計算!$G$2:$G$801, 0)+1))&lt;=1181,2,1)))=1,TEXT(INDEX(ERP資料!$G:$G, (MATCH(416, 輔助計算!$G$2:$G$801, 0)+1)),"0.##"),IF(IF(INDEX(ERP資料!$G:$G, (MATCH(416, 輔助計算!$G$2:$G$801, 0)+1))&lt;100, IF(INDEX(ERP資料!$G:$G, (MATCH(416, 輔助計算!$G$2:$G$801, 0)+1))&lt;=31,3,IF(INDEX(ERP資料!$G:$G, (MATCH(416, 輔助計算!$G$2:$G$801, 0)+1))&lt;=46.5,2,1)), IF(INDEX(ERP資料!$G:$G, (MATCH(416, 輔助計算!$G$2:$G$801, 0)+1))&lt;=790,3,IF(INDEX(ERP資料!$G:$G, (MATCH(416, 輔助計算!$G$2:$G$801, 0)+1))&lt;=1181,2,1)))=2,TEXT(INDEX(ERP資料!$G:$G, (MATCH(416, 輔助計算!$G$2:$G$801, 0)+1)),"0.##")&amp;"+"&amp;TEXT(INDEX(ERP資料!$G:$G, (MATCH(416, 輔助計算!$G$2:$G$801, 0)+1)),"0.##"),TEXT(INDEX(ERP資料!$G:$G, (MATCH(416, 輔助計算!$G$2:$G$801, 0)+1)),"0.##")&amp;"+"&amp;TEXT(INDEX(ERP資料!$G:$G, (MATCH(416, 輔助計算!$G$2:$G$801, 0)+1)),"0.##")&amp;"+"&amp;TEXT(INDEX(ERP資料!$G:$G, (MATCH(416, 輔助計算!$G$2:$G$801, 0)+1)),"0.##")))&amp;"-"&amp;INT(INDEX(輔助計算!$D:$D, (MATCH(416, 輔助計算!$G$2:$G$801, 0)+1))/IF(INDEX(ERP資料!$G:$G, (MATCH(416, 輔助計算!$G$2:$G$801, 0)+1))&lt;100, IF(INDEX(ERP資料!$G:$G, (MATCH(416, 輔助計算!$G$2:$G$801, 0)+1))&lt;=31,3,IF(INDEX(ERP資料!$G:$G, (MATCH(416, 輔助計算!$G$2:$G$801, 0)+1))&lt;=46.5,2,1)), IF(INDEX(ERP資料!$G:$G, (MATCH(416, 輔助計算!$G$2:$G$801, 0)+1))&lt;=790,3,IF(INDEX(ERP資料!$G:$G, (MATCH(416, 輔助計算!$G$2:$G$801, 0)+1))&lt;=1181,2,1)))), "")&lt;&gt;"",IF(MOD(INDEX(輔助計算!$D:$D, (MATCH(416, 輔助計算!$G$2:$G$801, 0)+1)),IF(INDEX(ERP資料!$G:$G, (MATCH(416, 輔助計算!$G$2:$G$801, 0)+1))&lt;100, IF(INDEX(ERP資料!$G:$G, (MATCH(416, 輔助計算!$G$2:$G$801, 0)+1))&lt;=31,3,IF(INDEX(ERP資料!$G:$G, (MATCH(416, 輔助計算!$G$2:$G$801, 0)+1))&lt;=46.5,2,1)), IF(INDEX(ERP資料!$G:$G, (MATCH(416, 輔助計算!$G$2:$G$801, 0)+1))&lt;=790,3,IF(INDEX(ERP資料!$G:$G, (MATCH(416, 輔助計算!$G$2:$G$801, 0)+1))&lt;=1181,2,1))))=0,"",IF(MOD(INDEX(輔助計算!$D:$D, (MATCH(416, 輔助計算!$G$2:$G$801, 0)+1)),IF(INDEX(ERP資料!$G:$G, (MATCH(416, 輔助計算!$G$2:$G$801, 0)+1))&lt;100, IF(INDEX(ERP資料!$G:$G, (MATCH(416, 輔助計算!$G$2:$G$801, 0)+1))&lt;=31,3,IF(INDEX(ERP資料!$G:$G, (MATCH(416, 輔助計算!$G$2:$G$801, 0)+1))&lt;=46.5,2,1)), IF(INDEX(ERP資料!$G:$G, (MATCH(416, 輔助計算!$G$2:$G$801, 0)+1))&lt;=790,3,IF(INDEX(ERP資料!$G:$G, (MATCH(416, 輔助計算!$G$2:$G$801, 0)+1))&lt;=1181,2,1))))=0,"",IF(MOD(INDEX(輔助計算!$D:$D, (MATCH(416, 輔助計算!$G$2:$G$801, 0)+1)),IF(INDEX(ERP資料!$G:$G, (MATCH(416, 輔助計算!$G$2:$G$801, 0)+1))&lt;100, IF(INDEX(ERP資料!$G:$G, (MATCH(416, 輔助計算!$G$2:$G$801, 0)+1))&lt;=31,3,IF(INDEX(ERP資料!$G:$G, (MATCH(416, 輔助計算!$G$2:$G$801, 0)+1))&lt;=46.5,2,1)), IF(INDEX(ERP資料!$G:$G, (MATCH(416, 輔助計算!$G$2:$G$801, 0)+1))&lt;=790,3,IF(INDEX(ERP資料!$G:$G, (MATCH(416, 輔助計算!$G$2:$G$801, 0)+1))&lt;=1181,2,1))))=1,TEXT(INDEX(ERP資料!$G:$G, (MATCH(416, 輔助計算!$G$2:$G$801, 0)+1)),"0.##"),IF(MOD(INDEX(輔助計算!$D:$D, (MATCH(416, 輔助計算!$G$2:$G$801, 0)+1)),IF(INDEX(ERP資料!$G:$G, (MATCH(416, 輔助計算!$G$2:$G$801, 0)+1))&lt;100, IF(INDEX(ERP資料!$G:$G, (MATCH(416, 輔助計算!$G$2:$G$801, 0)+1))&lt;=31,3,IF(INDEX(ERP資料!$G:$G, (MATCH(416, 輔助計算!$G$2:$G$801, 0)+1))&lt;=46.5,2,1)), IF(INDEX(ERP資料!$G:$G, (MATCH(416, 輔助計算!$G$2:$G$801, 0)+1))&lt;=790,3,IF(INDEX(ERP資料!$G:$G, (MATCH(416, 輔助計算!$G$2:$G$801, 0)+1))&lt;=1181,2,1))))=2,TEXT(INDEX(ERP資料!$G:$G, (MATCH(416, 輔助計算!$G$2:$G$801, 0)+1)),"0.##")&amp;"+"&amp;TEXT(INDEX(ERP資料!$G:$G, (MATCH(416, 輔助計算!$G$2:$G$801, 0)+1)),"0.##"),TEXT(INDEX(ERP資料!$G:$G, (MATCH(416, 輔助計算!$G$2:$G$801, 0)+1)),"0.##")&amp;"+"&amp;TEXT(INDEX(ERP資料!$G:$G, (MATCH(416, 輔助計算!$G$2:$G$801, 0)+1)),"0.##")&amp;"+"&amp;TEXT(INDEX(ERP資料!$G:$G, (MATCH(416, 輔助計算!$G$2:$G$801, 0)+1)),"0.##"))))&amp;"-1")&lt;&gt;""),"  ","")&amp;IF(MOD(INDEX(輔助計算!$D:$D, (MATCH(416, 輔助計算!$G$2:$G$801, 0)+1)),IF(INDEX(ERP資料!$G:$G, (MATCH(416, 輔助計算!$G$2:$G$801, 0)+1))&lt;100, IF(INDEX(ERP資料!$G:$G, (MATCH(416, 輔助計算!$G$2:$G$801, 0)+1))&lt;=31,3,IF(INDEX(ERP資料!$G:$G, (MATCH(416, 輔助計算!$G$2:$G$801, 0)+1))&lt;=46.5,2,1)), IF(INDEX(ERP資料!$G:$G, (MATCH(416, 輔助計算!$G$2:$G$801, 0)+1))&lt;=790,3,IF(INDEX(ERP資料!$G:$G, (MATCH(416, 輔助計算!$G$2:$G$801, 0)+1))&lt;=1181,2,1))))=0,"",IF(MOD(INDEX(輔助計算!$D:$D, (MATCH(416, 輔助計算!$G$2:$G$801, 0)+1)),IF(INDEX(ERP資料!$G:$G, (MATCH(416, 輔助計算!$G$2:$G$801, 0)+1))&lt;100, IF(INDEX(ERP資料!$G:$G, (MATCH(416, 輔助計算!$G$2:$G$801, 0)+1))&lt;=31,3,IF(INDEX(ERP資料!$G:$G, (MATCH(416, 輔助計算!$G$2:$G$801, 0)+1))&lt;=46.5,2,1)), IF(INDEX(ERP資料!$G:$G, (MATCH(416, 輔助計算!$G$2:$G$801, 0)+1))&lt;=790,3,IF(INDEX(ERP資料!$G:$G, (MATCH(416, 輔助計算!$G$2:$G$801, 0)+1))&lt;=1181,2,1))))=0,"",IF(MOD(INDEX(輔助計算!$D:$D, (MATCH(416, 輔助計算!$G$2:$G$801, 0)+1)),IF(INDEX(ERP資料!$G:$G, (MATCH(416, 輔助計算!$G$2:$G$801, 0)+1))&lt;100, IF(INDEX(ERP資料!$G:$G, (MATCH(416, 輔助計算!$G$2:$G$801, 0)+1))&lt;=31,3,IF(INDEX(ERP資料!$G:$G, (MATCH(416, 輔助計算!$G$2:$G$801, 0)+1))&lt;=46.5,2,1)), IF(INDEX(ERP資料!$G:$G, (MATCH(416, 輔助計算!$G$2:$G$801, 0)+1))&lt;=790,3,IF(INDEX(ERP資料!$G:$G, (MATCH(416, 輔助計算!$G$2:$G$801, 0)+1))&lt;=1181,2,1))))=1,TEXT(INDEX(ERP資料!$G:$G, (MATCH(416, 輔助計算!$G$2:$G$801, 0)+1)),"0.##"),IF(MOD(INDEX(輔助計算!$D:$D, (MATCH(416, 輔助計算!$G$2:$G$801, 0)+1)),IF(INDEX(ERP資料!$G:$G, (MATCH(416, 輔助計算!$G$2:$G$801, 0)+1))&lt;100, IF(INDEX(ERP資料!$G:$G, (MATCH(416, 輔助計算!$G$2:$G$801, 0)+1))&lt;=31,3,IF(INDEX(ERP資料!$G:$G, (MATCH(416, 輔助計算!$G$2:$G$801, 0)+1))&lt;=46.5,2,1)), IF(INDEX(ERP資料!$G:$G, (MATCH(416, 輔助計算!$G$2:$G$801, 0)+1))&lt;=790,3,IF(INDEX(ERP資料!$G:$G, (MATCH(416, 輔助計算!$G$2:$G$801, 0)+1))&lt;=1181,2,1))))=2,TEXT(INDEX(ERP資料!$G:$G, (MATCH(416, 輔助計算!$G$2:$G$801, 0)+1)),"0.##")&amp;"+"&amp;TEXT(INDEX(ERP資料!$G:$G, (MATCH(416, 輔助計算!$G$2:$G$801, 0)+1)),"0.##"),TEXT(INDEX(ERP資料!$G:$G, (MATCH(416, 輔助計算!$G$2:$G$801, 0)+1)),"0.##")&amp;"+"&amp;TEXT(INDEX(ERP資料!$G:$G, (MATCH(416, 輔助計算!$G$2:$G$801, 0)+1)),"0.##")&amp;"+"&amp;TEXT(INDEX(ERP資料!$G:$G, (MATCH(416, 輔助計算!$G$2:$G$801, 0)+1)),"0.##"))))&amp;"-1")), ""), "")</f>
        <v/>
      </c>
      <c r="K417" s="16" t="n"/>
      <c r="L417" s="14">
        <f>IFERROR(IF(AND(IFERROR(INDEX(ERP資料!$A:$A, (MATCH(416, 輔助計算!$G$2:$G$801, 0)+1)), "")&lt;&gt;"", IFERROR(INDEX(ERP資料!$A:$A, (MATCH(416, 輔助計算!$G$2:$G$801, 0)+1)), "")&lt;&gt;IFERROR(INDEX(ERP資料!$A:$A, MATCH(415, 輔助計算!$G$2:$G$801, 0)+1), "")), INDEX(ERP資料!$B:$B, (MATCH(416, 輔助計算!$G$2:$G$801, 0)+1)), ""), "")</f>
        <v/>
      </c>
      <c r="M417" s="17" t="n"/>
    </row>
    <row r="418">
      <c r="A418" s="10">
        <f>IFERROR(IF(AND(IFERROR(INDEX(ERP資料!$A:$A, (MATCH(417, 輔助計算!$G$2:$G$801, 0)+1)), "")&lt;&gt;"", IFERROR(INDEX(ERP資料!$A:$A, (MATCH(417, 輔助計算!$G$2:$G$801, 0)+1)), "")&lt;&gt;IFERROR(INDEX(ERP資料!$A:$A, MATCH(416, 輔助計算!$G$2:$G$801, 0)+1), "")), IFERROR(INDEX(ERP資料!$A:$A, (MATCH(417, 輔助計算!$G$2:$G$801, 0)+1)), ""), ""), "")</f>
        <v/>
      </c>
      <c r="B418" s="10">
        <f>IFERROR(IF(AND(IFERROR(INDEX(ERP資料!$A:$A, (MATCH(417, 輔助計算!$G$2:$G$801, 0)+1)), "")&lt;&gt;"", IFERROR(INDEX(ERP資料!$A:$A, (MATCH(417, 輔助計算!$G$2:$G$801, 0)+1)), "")&lt;&gt;IFERROR(INDEX(ERP資料!$A:$A, MATCH(416, 輔助計算!$G$2:$G$801, 0)+1), "")), INDEX(ERP資料!$S:$S, (MATCH(417, 輔助計算!$G$2:$G$801, 0)+1)), ""), "")</f>
        <v/>
      </c>
      <c r="C418" s="19">
        <f>IFERROR(IF(AND(IFERROR(INDEX(ERP資料!$A:$A, (MATCH(417, 輔助計算!$G$2:$G$801, 0)+1)), "")&lt;&gt;"", IFERROR(INDEX(ERP資料!$A:$A, (MATCH(417, 輔助計算!$G$2:$G$801, 0)+1)), "")&lt;&gt;IFERROR(INDEX(ERP資料!$A:$A, MATCH(416, 輔助計算!$G$2:$G$801, 0)+1), "")), IFERROR(VLOOKUP(LEFT(INDEX(ERP資料!$S:$S, (MATCH(417, 輔助計算!$G$2:$G$801, 0)+1)), 4), 紙管對照表!$A:$C, 3, FALSE), ""), ""), "")</f>
        <v/>
      </c>
      <c r="D418" s="16" t="n"/>
      <c r="E418" s="10">
        <f>IFERROR(IF(INDEX(ERP資料!$H:$H, (MATCH(417, 輔助計算!$G$2:$G$801, 0)+1))="","",INDEX(ERP資料!$H:$H, (MATCH(417, 輔助計算!$G$2:$G$801, 0)+1))), "")</f>
        <v/>
      </c>
      <c r="F418" s="10">
        <f>IFERROR(IF(INDEX(ERP資料!$E:$E, (MATCH(417, 輔助計算!$G$2:$G$801, 0)+1))="","",TRIM(INDEX(ERP資料!$E:$E, (MATCH(417, 輔助計算!$G$2:$G$801, 0)+1)))), "")</f>
        <v/>
      </c>
      <c r="G418" s="10">
        <f>IFERROR(IF(INDEX(ERP資料!$F:$F, (MATCH(417, 輔助計算!$G$2:$G$801, 0)+1))="","",INDEX(ERP資料!$F:$F, (MATCH(417, 輔助計算!$G$2:$G$801, 0)+1))), "")</f>
        <v/>
      </c>
      <c r="H418" s="10">
        <f>IFERROR(IF(INDEX(ERP資料!$G:$G, (MATCH(417, 輔助計算!$G$2:$G$801, 0)+1))="","",INDEX(ERP資料!$G:$G, (MATCH(417, 輔助計算!$G$2:$G$801, 0)+1))), "")</f>
        <v/>
      </c>
      <c r="I418" s="15">
        <f>IFERROR(INDEX(輔助計算!$D:$D, (MATCH(417, 輔助計算!$G$2:$G$801, 0)+1)), "")</f>
        <v/>
      </c>
      <c r="J418" s="15">
        <f>IFERROR(IF(AND(INDEX(輔助計算!$D:$D, (MATCH(417, 輔助計算!$G$2:$G$801, 0)+1))&lt;&gt;"", INDEX(ERP資料!$G:$G, (MATCH(417, 輔助計算!$G$2:$G$801, 0)+1))&lt;&gt;""), TRIM(IF(INT(INDEX(輔助計算!$D:$D, (MATCH(417, 輔助計算!$G$2:$G$801, 0)+1))/IF(INDEX(ERP資料!$G:$G, (MATCH(417, 輔助計算!$G$2:$G$801, 0)+1))&lt;100, IF(INDEX(ERP資料!$G:$G, (MATCH(417, 輔助計算!$G$2:$G$801, 0)+1))&lt;=31,3,IF(INDEX(ERP資料!$G:$G, (MATCH(417, 輔助計算!$G$2:$G$801, 0)+1))&lt;=46.5,2,1)), IF(INDEX(ERP資料!$G:$G, (MATCH(417, 輔助計算!$G$2:$G$801, 0)+1))&lt;=790,3,IF(INDEX(ERP資料!$G:$G, (MATCH(417, 輔助計算!$G$2:$G$801, 0)+1))&lt;=1181,2,1))))&gt;0, IF(IF(INDEX(ERP資料!$G:$G, (MATCH(417, 輔助計算!$G$2:$G$801, 0)+1))&lt;100, IF(INDEX(ERP資料!$G:$G, (MATCH(417, 輔助計算!$G$2:$G$801, 0)+1))&lt;=31,3,IF(INDEX(ERP資料!$G:$G, (MATCH(417, 輔助計算!$G$2:$G$801, 0)+1))&lt;=46.5,2,1)), IF(INDEX(ERP資料!$G:$G, (MATCH(417, 輔助計算!$G$2:$G$801, 0)+1))&lt;=790,3,IF(INDEX(ERP資料!$G:$G, (MATCH(417, 輔助計算!$G$2:$G$801, 0)+1))&lt;=1181,2,1)))=1,TEXT(INDEX(ERP資料!$G:$G, (MATCH(417, 輔助計算!$G$2:$G$801, 0)+1)),"0.##"),IF(IF(INDEX(ERP資料!$G:$G, (MATCH(417, 輔助計算!$G$2:$G$801, 0)+1))&lt;100, IF(INDEX(ERP資料!$G:$G, (MATCH(417, 輔助計算!$G$2:$G$801, 0)+1))&lt;=31,3,IF(INDEX(ERP資料!$G:$G, (MATCH(417, 輔助計算!$G$2:$G$801, 0)+1))&lt;=46.5,2,1)), IF(INDEX(ERP資料!$G:$G, (MATCH(417, 輔助計算!$G$2:$G$801, 0)+1))&lt;=790,3,IF(INDEX(ERP資料!$G:$G, (MATCH(417, 輔助計算!$G$2:$G$801, 0)+1))&lt;=1181,2,1)))=2,TEXT(INDEX(ERP資料!$G:$G, (MATCH(417, 輔助計算!$G$2:$G$801, 0)+1)),"0.##")&amp;"+"&amp;TEXT(INDEX(ERP資料!$G:$G, (MATCH(417, 輔助計算!$G$2:$G$801, 0)+1)),"0.##"),TEXT(INDEX(ERP資料!$G:$G, (MATCH(417, 輔助計算!$G$2:$G$801, 0)+1)),"0.##")&amp;"+"&amp;TEXT(INDEX(ERP資料!$G:$G, (MATCH(417, 輔助計算!$G$2:$G$801, 0)+1)),"0.##")&amp;"+"&amp;TEXT(INDEX(ERP資料!$G:$G, (MATCH(417, 輔助計算!$G$2:$G$801, 0)+1)),"0.##")))&amp;"-"&amp;INT(INDEX(輔助計算!$D:$D, (MATCH(417, 輔助計算!$G$2:$G$801, 0)+1))/IF(INDEX(ERP資料!$G:$G, (MATCH(417, 輔助計算!$G$2:$G$801, 0)+1))&lt;100, IF(INDEX(ERP資料!$G:$G, (MATCH(417, 輔助計算!$G$2:$G$801, 0)+1))&lt;=31,3,IF(INDEX(ERP資料!$G:$G, (MATCH(417, 輔助計算!$G$2:$G$801, 0)+1))&lt;=46.5,2,1)), IF(INDEX(ERP資料!$G:$G, (MATCH(417, 輔助計算!$G$2:$G$801, 0)+1))&lt;=790,3,IF(INDEX(ERP資料!$G:$G, (MATCH(417, 輔助計算!$G$2:$G$801, 0)+1))&lt;=1181,2,1)))), "")&amp;IF(AND(IF(INT(INDEX(輔助計算!$D:$D, (MATCH(417, 輔助計算!$G$2:$G$801, 0)+1))/IF(INDEX(ERP資料!$G:$G, (MATCH(417, 輔助計算!$G$2:$G$801, 0)+1))&lt;100, IF(INDEX(ERP資料!$G:$G, (MATCH(417, 輔助計算!$G$2:$G$801, 0)+1))&lt;=31,3,IF(INDEX(ERP資料!$G:$G, (MATCH(417, 輔助計算!$G$2:$G$801, 0)+1))&lt;=46.5,2,1)), IF(INDEX(ERP資料!$G:$G, (MATCH(417, 輔助計算!$G$2:$G$801, 0)+1))&lt;=790,3,IF(INDEX(ERP資料!$G:$G, (MATCH(417, 輔助計算!$G$2:$G$801, 0)+1))&lt;=1181,2,1))))&gt;0, IF(IF(INDEX(ERP資料!$G:$G, (MATCH(417, 輔助計算!$G$2:$G$801, 0)+1))&lt;100, IF(INDEX(ERP資料!$G:$G, (MATCH(417, 輔助計算!$G$2:$G$801, 0)+1))&lt;=31,3,IF(INDEX(ERP資料!$G:$G, (MATCH(417, 輔助計算!$G$2:$G$801, 0)+1))&lt;=46.5,2,1)), IF(INDEX(ERP資料!$G:$G, (MATCH(417, 輔助計算!$G$2:$G$801, 0)+1))&lt;=790,3,IF(INDEX(ERP資料!$G:$G, (MATCH(417, 輔助計算!$G$2:$G$801, 0)+1))&lt;=1181,2,1)))=1,TEXT(INDEX(ERP資料!$G:$G, (MATCH(417, 輔助計算!$G$2:$G$801, 0)+1)),"0.##"),IF(IF(INDEX(ERP資料!$G:$G, (MATCH(417, 輔助計算!$G$2:$G$801, 0)+1))&lt;100, IF(INDEX(ERP資料!$G:$G, (MATCH(417, 輔助計算!$G$2:$G$801, 0)+1))&lt;=31,3,IF(INDEX(ERP資料!$G:$G, (MATCH(417, 輔助計算!$G$2:$G$801, 0)+1))&lt;=46.5,2,1)), IF(INDEX(ERP資料!$G:$G, (MATCH(417, 輔助計算!$G$2:$G$801, 0)+1))&lt;=790,3,IF(INDEX(ERP資料!$G:$G, (MATCH(417, 輔助計算!$G$2:$G$801, 0)+1))&lt;=1181,2,1)))=2,TEXT(INDEX(ERP資料!$G:$G, (MATCH(417, 輔助計算!$G$2:$G$801, 0)+1)),"0.##")&amp;"+"&amp;TEXT(INDEX(ERP資料!$G:$G, (MATCH(417, 輔助計算!$G$2:$G$801, 0)+1)),"0.##"),TEXT(INDEX(ERP資料!$G:$G, (MATCH(417, 輔助計算!$G$2:$G$801, 0)+1)),"0.##")&amp;"+"&amp;TEXT(INDEX(ERP資料!$G:$G, (MATCH(417, 輔助計算!$G$2:$G$801, 0)+1)),"0.##")&amp;"+"&amp;TEXT(INDEX(ERP資料!$G:$G, (MATCH(417, 輔助計算!$G$2:$G$801, 0)+1)),"0.##")))&amp;"-"&amp;INT(INDEX(輔助計算!$D:$D, (MATCH(417, 輔助計算!$G$2:$G$801, 0)+1))/IF(INDEX(ERP資料!$G:$G, (MATCH(417, 輔助計算!$G$2:$G$801, 0)+1))&lt;100, IF(INDEX(ERP資料!$G:$G, (MATCH(417, 輔助計算!$G$2:$G$801, 0)+1))&lt;=31,3,IF(INDEX(ERP資料!$G:$G, (MATCH(417, 輔助計算!$G$2:$G$801, 0)+1))&lt;=46.5,2,1)), IF(INDEX(ERP資料!$G:$G, (MATCH(417, 輔助計算!$G$2:$G$801, 0)+1))&lt;=790,3,IF(INDEX(ERP資料!$G:$G, (MATCH(417, 輔助計算!$G$2:$G$801, 0)+1))&lt;=1181,2,1)))), "")&lt;&gt;"",IF(MOD(INDEX(輔助計算!$D:$D, (MATCH(417, 輔助計算!$G$2:$G$801, 0)+1)),IF(INDEX(ERP資料!$G:$G, (MATCH(417, 輔助計算!$G$2:$G$801, 0)+1))&lt;100, IF(INDEX(ERP資料!$G:$G, (MATCH(417, 輔助計算!$G$2:$G$801, 0)+1))&lt;=31,3,IF(INDEX(ERP資料!$G:$G, (MATCH(417, 輔助計算!$G$2:$G$801, 0)+1))&lt;=46.5,2,1)), IF(INDEX(ERP資料!$G:$G, (MATCH(417, 輔助計算!$G$2:$G$801, 0)+1))&lt;=790,3,IF(INDEX(ERP資料!$G:$G, (MATCH(417, 輔助計算!$G$2:$G$801, 0)+1))&lt;=1181,2,1))))=0,"",IF(MOD(INDEX(輔助計算!$D:$D, (MATCH(417, 輔助計算!$G$2:$G$801, 0)+1)),IF(INDEX(ERP資料!$G:$G, (MATCH(417, 輔助計算!$G$2:$G$801, 0)+1))&lt;100, IF(INDEX(ERP資料!$G:$G, (MATCH(417, 輔助計算!$G$2:$G$801, 0)+1))&lt;=31,3,IF(INDEX(ERP資料!$G:$G, (MATCH(417, 輔助計算!$G$2:$G$801, 0)+1))&lt;=46.5,2,1)), IF(INDEX(ERP資料!$G:$G, (MATCH(417, 輔助計算!$G$2:$G$801, 0)+1))&lt;=790,3,IF(INDEX(ERP資料!$G:$G, (MATCH(417, 輔助計算!$G$2:$G$801, 0)+1))&lt;=1181,2,1))))=0,"",IF(MOD(INDEX(輔助計算!$D:$D, (MATCH(417, 輔助計算!$G$2:$G$801, 0)+1)),IF(INDEX(ERP資料!$G:$G, (MATCH(417, 輔助計算!$G$2:$G$801, 0)+1))&lt;100, IF(INDEX(ERP資料!$G:$G, (MATCH(417, 輔助計算!$G$2:$G$801, 0)+1))&lt;=31,3,IF(INDEX(ERP資料!$G:$G, (MATCH(417, 輔助計算!$G$2:$G$801, 0)+1))&lt;=46.5,2,1)), IF(INDEX(ERP資料!$G:$G, (MATCH(417, 輔助計算!$G$2:$G$801, 0)+1))&lt;=790,3,IF(INDEX(ERP資料!$G:$G, (MATCH(417, 輔助計算!$G$2:$G$801, 0)+1))&lt;=1181,2,1))))=1,TEXT(INDEX(ERP資料!$G:$G, (MATCH(417, 輔助計算!$G$2:$G$801, 0)+1)),"0.##"),IF(MOD(INDEX(輔助計算!$D:$D, (MATCH(417, 輔助計算!$G$2:$G$801, 0)+1)),IF(INDEX(ERP資料!$G:$G, (MATCH(417, 輔助計算!$G$2:$G$801, 0)+1))&lt;100, IF(INDEX(ERP資料!$G:$G, (MATCH(417, 輔助計算!$G$2:$G$801, 0)+1))&lt;=31,3,IF(INDEX(ERP資料!$G:$G, (MATCH(417, 輔助計算!$G$2:$G$801, 0)+1))&lt;=46.5,2,1)), IF(INDEX(ERP資料!$G:$G, (MATCH(417, 輔助計算!$G$2:$G$801, 0)+1))&lt;=790,3,IF(INDEX(ERP資料!$G:$G, (MATCH(417, 輔助計算!$G$2:$G$801, 0)+1))&lt;=1181,2,1))))=2,TEXT(INDEX(ERP資料!$G:$G, (MATCH(417, 輔助計算!$G$2:$G$801, 0)+1)),"0.##")&amp;"+"&amp;TEXT(INDEX(ERP資料!$G:$G, (MATCH(417, 輔助計算!$G$2:$G$801, 0)+1)),"0.##"),TEXT(INDEX(ERP資料!$G:$G, (MATCH(417, 輔助計算!$G$2:$G$801, 0)+1)),"0.##")&amp;"+"&amp;TEXT(INDEX(ERP資料!$G:$G, (MATCH(417, 輔助計算!$G$2:$G$801, 0)+1)),"0.##")&amp;"+"&amp;TEXT(INDEX(ERP資料!$G:$G, (MATCH(417, 輔助計算!$G$2:$G$801, 0)+1)),"0.##"))))&amp;"-1")&lt;&gt;""),"  ","")&amp;IF(MOD(INDEX(輔助計算!$D:$D, (MATCH(417, 輔助計算!$G$2:$G$801, 0)+1)),IF(INDEX(ERP資料!$G:$G, (MATCH(417, 輔助計算!$G$2:$G$801, 0)+1))&lt;100, IF(INDEX(ERP資料!$G:$G, (MATCH(417, 輔助計算!$G$2:$G$801, 0)+1))&lt;=31,3,IF(INDEX(ERP資料!$G:$G, (MATCH(417, 輔助計算!$G$2:$G$801, 0)+1))&lt;=46.5,2,1)), IF(INDEX(ERP資料!$G:$G, (MATCH(417, 輔助計算!$G$2:$G$801, 0)+1))&lt;=790,3,IF(INDEX(ERP資料!$G:$G, (MATCH(417, 輔助計算!$G$2:$G$801, 0)+1))&lt;=1181,2,1))))=0,"",IF(MOD(INDEX(輔助計算!$D:$D, (MATCH(417, 輔助計算!$G$2:$G$801, 0)+1)),IF(INDEX(ERP資料!$G:$G, (MATCH(417, 輔助計算!$G$2:$G$801, 0)+1))&lt;100, IF(INDEX(ERP資料!$G:$G, (MATCH(417, 輔助計算!$G$2:$G$801, 0)+1))&lt;=31,3,IF(INDEX(ERP資料!$G:$G, (MATCH(417, 輔助計算!$G$2:$G$801, 0)+1))&lt;=46.5,2,1)), IF(INDEX(ERP資料!$G:$G, (MATCH(417, 輔助計算!$G$2:$G$801, 0)+1))&lt;=790,3,IF(INDEX(ERP資料!$G:$G, (MATCH(417, 輔助計算!$G$2:$G$801, 0)+1))&lt;=1181,2,1))))=0,"",IF(MOD(INDEX(輔助計算!$D:$D, (MATCH(417, 輔助計算!$G$2:$G$801, 0)+1)),IF(INDEX(ERP資料!$G:$G, (MATCH(417, 輔助計算!$G$2:$G$801, 0)+1))&lt;100, IF(INDEX(ERP資料!$G:$G, (MATCH(417, 輔助計算!$G$2:$G$801, 0)+1))&lt;=31,3,IF(INDEX(ERP資料!$G:$G, (MATCH(417, 輔助計算!$G$2:$G$801, 0)+1))&lt;=46.5,2,1)), IF(INDEX(ERP資料!$G:$G, (MATCH(417, 輔助計算!$G$2:$G$801, 0)+1))&lt;=790,3,IF(INDEX(ERP資料!$G:$G, (MATCH(417, 輔助計算!$G$2:$G$801, 0)+1))&lt;=1181,2,1))))=1,TEXT(INDEX(ERP資料!$G:$G, (MATCH(417, 輔助計算!$G$2:$G$801, 0)+1)),"0.##"),IF(MOD(INDEX(輔助計算!$D:$D, (MATCH(417, 輔助計算!$G$2:$G$801, 0)+1)),IF(INDEX(ERP資料!$G:$G, (MATCH(417, 輔助計算!$G$2:$G$801, 0)+1))&lt;100, IF(INDEX(ERP資料!$G:$G, (MATCH(417, 輔助計算!$G$2:$G$801, 0)+1))&lt;=31,3,IF(INDEX(ERP資料!$G:$G, (MATCH(417, 輔助計算!$G$2:$G$801, 0)+1))&lt;=46.5,2,1)), IF(INDEX(ERP資料!$G:$G, (MATCH(417, 輔助計算!$G$2:$G$801, 0)+1))&lt;=790,3,IF(INDEX(ERP資料!$G:$G, (MATCH(417, 輔助計算!$G$2:$G$801, 0)+1))&lt;=1181,2,1))))=2,TEXT(INDEX(ERP資料!$G:$G, (MATCH(417, 輔助計算!$G$2:$G$801, 0)+1)),"0.##")&amp;"+"&amp;TEXT(INDEX(ERP資料!$G:$G, (MATCH(417, 輔助計算!$G$2:$G$801, 0)+1)),"0.##"),TEXT(INDEX(ERP資料!$G:$G, (MATCH(417, 輔助計算!$G$2:$G$801, 0)+1)),"0.##")&amp;"+"&amp;TEXT(INDEX(ERP資料!$G:$G, (MATCH(417, 輔助計算!$G$2:$G$801, 0)+1)),"0.##")&amp;"+"&amp;TEXT(INDEX(ERP資料!$G:$G, (MATCH(417, 輔助計算!$G$2:$G$801, 0)+1)),"0.##"))))&amp;"-1")), ""), "")</f>
        <v/>
      </c>
      <c r="K418" s="16" t="n"/>
      <c r="L418" s="14">
        <f>IFERROR(IF(AND(IFERROR(INDEX(ERP資料!$A:$A, (MATCH(417, 輔助計算!$G$2:$G$801, 0)+1)), "")&lt;&gt;"", IFERROR(INDEX(ERP資料!$A:$A, (MATCH(417, 輔助計算!$G$2:$G$801, 0)+1)), "")&lt;&gt;IFERROR(INDEX(ERP資料!$A:$A, MATCH(416, 輔助計算!$G$2:$G$801, 0)+1), "")), INDEX(ERP資料!$B:$B, (MATCH(417, 輔助計算!$G$2:$G$801, 0)+1)), ""), "")</f>
        <v/>
      </c>
      <c r="M418" s="17" t="n"/>
    </row>
    <row r="419">
      <c r="A419" s="10">
        <f>IFERROR(IF(AND(IFERROR(INDEX(ERP資料!$A:$A, (MATCH(418, 輔助計算!$G$2:$G$801, 0)+1)), "")&lt;&gt;"", IFERROR(INDEX(ERP資料!$A:$A, (MATCH(418, 輔助計算!$G$2:$G$801, 0)+1)), "")&lt;&gt;IFERROR(INDEX(ERP資料!$A:$A, MATCH(417, 輔助計算!$G$2:$G$801, 0)+1), "")), IFERROR(INDEX(ERP資料!$A:$A, (MATCH(418, 輔助計算!$G$2:$G$801, 0)+1)), ""), ""), "")</f>
        <v/>
      </c>
      <c r="B419" s="10">
        <f>IFERROR(IF(AND(IFERROR(INDEX(ERP資料!$A:$A, (MATCH(418, 輔助計算!$G$2:$G$801, 0)+1)), "")&lt;&gt;"", IFERROR(INDEX(ERP資料!$A:$A, (MATCH(418, 輔助計算!$G$2:$G$801, 0)+1)), "")&lt;&gt;IFERROR(INDEX(ERP資料!$A:$A, MATCH(417, 輔助計算!$G$2:$G$801, 0)+1), "")), INDEX(ERP資料!$S:$S, (MATCH(418, 輔助計算!$G$2:$G$801, 0)+1)), ""), "")</f>
        <v/>
      </c>
      <c r="C419" s="19">
        <f>IFERROR(IF(AND(IFERROR(INDEX(ERP資料!$A:$A, (MATCH(418, 輔助計算!$G$2:$G$801, 0)+1)), "")&lt;&gt;"", IFERROR(INDEX(ERP資料!$A:$A, (MATCH(418, 輔助計算!$G$2:$G$801, 0)+1)), "")&lt;&gt;IFERROR(INDEX(ERP資料!$A:$A, MATCH(417, 輔助計算!$G$2:$G$801, 0)+1), "")), IFERROR(VLOOKUP(LEFT(INDEX(ERP資料!$S:$S, (MATCH(418, 輔助計算!$G$2:$G$801, 0)+1)), 4), 紙管對照表!$A:$C, 3, FALSE), ""), ""), "")</f>
        <v/>
      </c>
      <c r="D419" s="16" t="n"/>
      <c r="E419" s="10">
        <f>IFERROR(IF(INDEX(ERP資料!$H:$H, (MATCH(418, 輔助計算!$G$2:$G$801, 0)+1))="","",INDEX(ERP資料!$H:$H, (MATCH(418, 輔助計算!$G$2:$G$801, 0)+1))), "")</f>
        <v/>
      </c>
      <c r="F419" s="10">
        <f>IFERROR(IF(INDEX(ERP資料!$E:$E, (MATCH(418, 輔助計算!$G$2:$G$801, 0)+1))="","",TRIM(INDEX(ERP資料!$E:$E, (MATCH(418, 輔助計算!$G$2:$G$801, 0)+1)))), "")</f>
        <v/>
      </c>
      <c r="G419" s="10">
        <f>IFERROR(IF(INDEX(ERP資料!$F:$F, (MATCH(418, 輔助計算!$G$2:$G$801, 0)+1))="","",INDEX(ERP資料!$F:$F, (MATCH(418, 輔助計算!$G$2:$G$801, 0)+1))), "")</f>
        <v/>
      </c>
      <c r="H419" s="10">
        <f>IFERROR(IF(INDEX(ERP資料!$G:$G, (MATCH(418, 輔助計算!$G$2:$G$801, 0)+1))="","",INDEX(ERP資料!$G:$G, (MATCH(418, 輔助計算!$G$2:$G$801, 0)+1))), "")</f>
        <v/>
      </c>
      <c r="I419" s="15">
        <f>IFERROR(INDEX(輔助計算!$D:$D, (MATCH(418, 輔助計算!$G$2:$G$801, 0)+1)), "")</f>
        <v/>
      </c>
      <c r="J419" s="15">
        <f>IFERROR(IF(AND(INDEX(輔助計算!$D:$D, (MATCH(418, 輔助計算!$G$2:$G$801, 0)+1))&lt;&gt;"", INDEX(ERP資料!$G:$G, (MATCH(418, 輔助計算!$G$2:$G$801, 0)+1))&lt;&gt;""), TRIM(IF(INT(INDEX(輔助計算!$D:$D, (MATCH(418, 輔助計算!$G$2:$G$801, 0)+1))/IF(INDEX(ERP資料!$G:$G, (MATCH(418, 輔助計算!$G$2:$G$801, 0)+1))&lt;100, IF(INDEX(ERP資料!$G:$G, (MATCH(418, 輔助計算!$G$2:$G$801, 0)+1))&lt;=31,3,IF(INDEX(ERP資料!$G:$G, (MATCH(418, 輔助計算!$G$2:$G$801, 0)+1))&lt;=46.5,2,1)), IF(INDEX(ERP資料!$G:$G, (MATCH(418, 輔助計算!$G$2:$G$801, 0)+1))&lt;=790,3,IF(INDEX(ERP資料!$G:$G, (MATCH(418, 輔助計算!$G$2:$G$801, 0)+1))&lt;=1181,2,1))))&gt;0, IF(IF(INDEX(ERP資料!$G:$G, (MATCH(418, 輔助計算!$G$2:$G$801, 0)+1))&lt;100, IF(INDEX(ERP資料!$G:$G, (MATCH(418, 輔助計算!$G$2:$G$801, 0)+1))&lt;=31,3,IF(INDEX(ERP資料!$G:$G, (MATCH(418, 輔助計算!$G$2:$G$801, 0)+1))&lt;=46.5,2,1)), IF(INDEX(ERP資料!$G:$G, (MATCH(418, 輔助計算!$G$2:$G$801, 0)+1))&lt;=790,3,IF(INDEX(ERP資料!$G:$G, (MATCH(418, 輔助計算!$G$2:$G$801, 0)+1))&lt;=1181,2,1)))=1,TEXT(INDEX(ERP資料!$G:$G, (MATCH(418, 輔助計算!$G$2:$G$801, 0)+1)),"0.##"),IF(IF(INDEX(ERP資料!$G:$G, (MATCH(418, 輔助計算!$G$2:$G$801, 0)+1))&lt;100, IF(INDEX(ERP資料!$G:$G, (MATCH(418, 輔助計算!$G$2:$G$801, 0)+1))&lt;=31,3,IF(INDEX(ERP資料!$G:$G, (MATCH(418, 輔助計算!$G$2:$G$801, 0)+1))&lt;=46.5,2,1)), IF(INDEX(ERP資料!$G:$G, (MATCH(418, 輔助計算!$G$2:$G$801, 0)+1))&lt;=790,3,IF(INDEX(ERP資料!$G:$G, (MATCH(418, 輔助計算!$G$2:$G$801, 0)+1))&lt;=1181,2,1)))=2,TEXT(INDEX(ERP資料!$G:$G, (MATCH(418, 輔助計算!$G$2:$G$801, 0)+1)),"0.##")&amp;"+"&amp;TEXT(INDEX(ERP資料!$G:$G, (MATCH(418, 輔助計算!$G$2:$G$801, 0)+1)),"0.##"),TEXT(INDEX(ERP資料!$G:$G, (MATCH(418, 輔助計算!$G$2:$G$801, 0)+1)),"0.##")&amp;"+"&amp;TEXT(INDEX(ERP資料!$G:$G, (MATCH(418, 輔助計算!$G$2:$G$801, 0)+1)),"0.##")&amp;"+"&amp;TEXT(INDEX(ERP資料!$G:$G, (MATCH(418, 輔助計算!$G$2:$G$801, 0)+1)),"0.##")))&amp;"-"&amp;INT(INDEX(輔助計算!$D:$D, (MATCH(418, 輔助計算!$G$2:$G$801, 0)+1))/IF(INDEX(ERP資料!$G:$G, (MATCH(418, 輔助計算!$G$2:$G$801, 0)+1))&lt;100, IF(INDEX(ERP資料!$G:$G, (MATCH(418, 輔助計算!$G$2:$G$801, 0)+1))&lt;=31,3,IF(INDEX(ERP資料!$G:$G, (MATCH(418, 輔助計算!$G$2:$G$801, 0)+1))&lt;=46.5,2,1)), IF(INDEX(ERP資料!$G:$G, (MATCH(418, 輔助計算!$G$2:$G$801, 0)+1))&lt;=790,3,IF(INDEX(ERP資料!$G:$G, (MATCH(418, 輔助計算!$G$2:$G$801, 0)+1))&lt;=1181,2,1)))), "")&amp;IF(AND(IF(INT(INDEX(輔助計算!$D:$D, (MATCH(418, 輔助計算!$G$2:$G$801, 0)+1))/IF(INDEX(ERP資料!$G:$G, (MATCH(418, 輔助計算!$G$2:$G$801, 0)+1))&lt;100, IF(INDEX(ERP資料!$G:$G, (MATCH(418, 輔助計算!$G$2:$G$801, 0)+1))&lt;=31,3,IF(INDEX(ERP資料!$G:$G, (MATCH(418, 輔助計算!$G$2:$G$801, 0)+1))&lt;=46.5,2,1)), IF(INDEX(ERP資料!$G:$G, (MATCH(418, 輔助計算!$G$2:$G$801, 0)+1))&lt;=790,3,IF(INDEX(ERP資料!$G:$G, (MATCH(418, 輔助計算!$G$2:$G$801, 0)+1))&lt;=1181,2,1))))&gt;0, IF(IF(INDEX(ERP資料!$G:$G, (MATCH(418, 輔助計算!$G$2:$G$801, 0)+1))&lt;100, IF(INDEX(ERP資料!$G:$G, (MATCH(418, 輔助計算!$G$2:$G$801, 0)+1))&lt;=31,3,IF(INDEX(ERP資料!$G:$G, (MATCH(418, 輔助計算!$G$2:$G$801, 0)+1))&lt;=46.5,2,1)), IF(INDEX(ERP資料!$G:$G, (MATCH(418, 輔助計算!$G$2:$G$801, 0)+1))&lt;=790,3,IF(INDEX(ERP資料!$G:$G, (MATCH(418, 輔助計算!$G$2:$G$801, 0)+1))&lt;=1181,2,1)))=1,TEXT(INDEX(ERP資料!$G:$G, (MATCH(418, 輔助計算!$G$2:$G$801, 0)+1)),"0.##"),IF(IF(INDEX(ERP資料!$G:$G, (MATCH(418, 輔助計算!$G$2:$G$801, 0)+1))&lt;100, IF(INDEX(ERP資料!$G:$G, (MATCH(418, 輔助計算!$G$2:$G$801, 0)+1))&lt;=31,3,IF(INDEX(ERP資料!$G:$G, (MATCH(418, 輔助計算!$G$2:$G$801, 0)+1))&lt;=46.5,2,1)), IF(INDEX(ERP資料!$G:$G, (MATCH(418, 輔助計算!$G$2:$G$801, 0)+1))&lt;=790,3,IF(INDEX(ERP資料!$G:$G, (MATCH(418, 輔助計算!$G$2:$G$801, 0)+1))&lt;=1181,2,1)))=2,TEXT(INDEX(ERP資料!$G:$G, (MATCH(418, 輔助計算!$G$2:$G$801, 0)+1)),"0.##")&amp;"+"&amp;TEXT(INDEX(ERP資料!$G:$G, (MATCH(418, 輔助計算!$G$2:$G$801, 0)+1)),"0.##"),TEXT(INDEX(ERP資料!$G:$G, (MATCH(418, 輔助計算!$G$2:$G$801, 0)+1)),"0.##")&amp;"+"&amp;TEXT(INDEX(ERP資料!$G:$G, (MATCH(418, 輔助計算!$G$2:$G$801, 0)+1)),"0.##")&amp;"+"&amp;TEXT(INDEX(ERP資料!$G:$G, (MATCH(418, 輔助計算!$G$2:$G$801, 0)+1)),"0.##")))&amp;"-"&amp;INT(INDEX(輔助計算!$D:$D, (MATCH(418, 輔助計算!$G$2:$G$801, 0)+1))/IF(INDEX(ERP資料!$G:$G, (MATCH(418, 輔助計算!$G$2:$G$801, 0)+1))&lt;100, IF(INDEX(ERP資料!$G:$G, (MATCH(418, 輔助計算!$G$2:$G$801, 0)+1))&lt;=31,3,IF(INDEX(ERP資料!$G:$G, (MATCH(418, 輔助計算!$G$2:$G$801, 0)+1))&lt;=46.5,2,1)), IF(INDEX(ERP資料!$G:$G, (MATCH(418, 輔助計算!$G$2:$G$801, 0)+1))&lt;=790,3,IF(INDEX(ERP資料!$G:$G, (MATCH(418, 輔助計算!$G$2:$G$801, 0)+1))&lt;=1181,2,1)))), "")&lt;&gt;"",IF(MOD(INDEX(輔助計算!$D:$D, (MATCH(418, 輔助計算!$G$2:$G$801, 0)+1)),IF(INDEX(ERP資料!$G:$G, (MATCH(418, 輔助計算!$G$2:$G$801, 0)+1))&lt;100, IF(INDEX(ERP資料!$G:$G, (MATCH(418, 輔助計算!$G$2:$G$801, 0)+1))&lt;=31,3,IF(INDEX(ERP資料!$G:$G, (MATCH(418, 輔助計算!$G$2:$G$801, 0)+1))&lt;=46.5,2,1)), IF(INDEX(ERP資料!$G:$G, (MATCH(418, 輔助計算!$G$2:$G$801, 0)+1))&lt;=790,3,IF(INDEX(ERP資料!$G:$G, (MATCH(418, 輔助計算!$G$2:$G$801, 0)+1))&lt;=1181,2,1))))=0,"",IF(MOD(INDEX(輔助計算!$D:$D, (MATCH(418, 輔助計算!$G$2:$G$801, 0)+1)),IF(INDEX(ERP資料!$G:$G, (MATCH(418, 輔助計算!$G$2:$G$801, 0)+1))&lt;100, IF(INDEX(ERP資料!$G:$G, (MATCH(418, 輔助計算!$G$2:$G$801, 0)+1))&lt;=31,3,IF(INDEX(ERP資料!$G:$G, (MATCH(418, 輔助計算!$G$2:$G$801, 0)+1))&lt;=46.5,2,1)), IF(INDEX(ERP資料!$G:$G, (MATCH(418, 輔助計算!$G$2:$G$801, 0)+1))&lt;=790,3,IF(INDEX(ERP資料!$G:$G, (MATCH(418, 輔助計算!$G$2:$G$801, 0)+1))&lt;=1181,2,1))))=0,"",IF(MOD(INDEX(輔助計算!$D:$D, (MATCH(418, 輔助計算!$G$2:$G$801, 0)+1)),IF(INDEX(ERP資料!$G:$G, (MATCH(418, 輔助計算!$G$2:$G$801, 0)+1))&lt;100, IF(INDEX(ERP資料!$G:$G, (MATCH(418, 輔助計算!$G$2:$G$801, 0)+1))&lt;=31,3,IF(INDEX(ERP資料!$G:$G, (MATCH(418, 輔助計算!$G$2:$G$801, 0)+1))&lt;=46.5,2,1)), IF(INDEX(ERP資料!$G:$G, (MATCH(418, 輔助計算!$G$2:$G$801, 0)+1))&lt;=790,3,IF(INDEX(ERP資料!$G:$G, (MATCH(418, 輔助計算!$G$2:$G$801, 0)+1))&lt;=1181,2,1))))=1,TEXT(INDEX(ERP資料!$G:$G, (MATCH(418, 輔助計算!$G$2:$G$801, 0)+1)),"0.##"),IF(MOD(INDEX(輔助計算!$D:$D, (MATCH(418, 輔助計算!$G$2:$G$801, 0)+1)),IF(INDEX(ERP資料!$G:$G, (MATCH(418, 輔助計算!$G$2:$G$801, 0)+1))&lt;100, IF(INDEX(ERP資料!$G:$G, (MATCH(418, 輔助計算!$G$2:$G$801, 0)+1))&lt;=31,3,IF(INDEX(ERP資料!$G:$G, (MATCH(418, 輔助計算!$G$2:$G$801, 0)+1))&lt;=46.5,2,1)), IF(INDEX(ERP資料!$G:$G, (MATCH(418, 輔助計算!$G$2:$G$801, 0)+1))&lt;=790,3,IF(INDEX(ERP資料!$G:$G, (MATCH(418, 輔助計算!$G$2:$G$801, 0)+1))&lt;=1181,2,1))))=2,TEXT(INDEX(ERP資料!$G:$G, (MATCH(418, 輔助計算!$G$2:$G$801, 0)+1)),"0.##")&amp;"+"&amp;TEXT(INDEX(ERP資料!$G:$G, (MATCH(418, 輔助計算!$G$2:$G$801, 0)+1)),"0.##"),TEXT(INDEX(ERP資料!$G:$G, (MATCH(418, 輔助計算!$G$2:$G$801, 0)+1)),"0.##")&amp;"+"&amp;TEXT(INDEX(ERP資料!$G:$G, (MATCH(418, 輔助計算!$G$2:$G$801, 0)+1)),"0.##")&amp;"+"&amp;TEXT(INDEX(ERP資料!$G:$G, (MATCH(418, 輔助計算!$G$2:$G$801, 0)+1)),"0.##"))))&amp;"-1")&lt;&gt;""),"  ","")&amp;IF(MOD(INDEX(輔助計算!$D:$D, (MATCH(418, 輔助計算!$G$2:$G$801, 0)+1)),IF(INDEX(ERP資料!$G:$G, (MATCH(418, 輔助計算!$G$2:$G$801, 0)+1))&lt;100, IF(INDEX(ERP資料!$G:$G, (MATCH(418, 輔助計算!$G$2:$G$801, 0)+1))&lt;=31,3,IF(INDEX(ERP資料!$G:$G, (MATCH(418, 輔助計算!$G$2:$G$801, 0)+1))&lt;=46.5,2,1)), IF(INDEX(ERP資料!$G:$G, (MATCH(418, 輔助計算!$G$2:$G$801, 0)+1))&lt;=790,3,IF(INDEX(ERP資料!$G:$G, (MATCH(418, 輔助計算!$G$2:$G$801, 0)+1))&lt;=1181,2,1))))=0,"",IF(MOD(INDEX(輔助計算!$D:$D, (MATCH(418, 輔助計算!$G$2:$G$801, 0)+1)),IF(INDEX(ERP資料!$G:$G, (MATCH(418, 輔助計算!$G$2:$G$801, 0)+1))&lt;100, IF(INDEX(ERP資料!$G:$G, (MATCH(418, 輔助計算!$G$2:$G$801, 0)+1))&lt;=31,3,IF(INDEX(ERP資料!$G:$G, (MATCH(418, 輔助計算!$G$2:$G$801, 0)+1))&lt;=46.5,2,1)), IF(INDEX(ERP資料!$G:$G, (MATCH(418, 輔助計算!$G$2:$G$801, 0)+1))&lt;=790,3,IF(INDEX(ERP資料!$G:$G, (MATCH(418, 輔助計算!$G$2:$G$801, 0)+1))&lt;=1181,2,1))))=0,"",IF(MOD(INDEX(輔助計算!$D:$D, (MATCH(418, 輔助計算!$G$2:$G$801, 0)+1)),IF(INDEX(ERP資料!$G:$G, (MATCH(418, 輔助計算!$G$2:$G$801, 0)+1))&lt;100, IF(INDEX(ERP資料!$G:$G, (MATCH(418, 輔助計算!$G$2:$G$801, 0)+1))&lt;=31,3,IF(INDEX(ERP資料!$G:$G, (MATCH(418, 輔助計算!$G$2:$G$801, 0)+1))&lt;=46.5,2,1)), IF(INDEX(ERP資料!$G:$G, (MATCH(418, 輔助計算!$G$2:$G$801, 0)+1))&lt;=790,3,IF(INDEX(ERP資料!$G:$G, (MATCH(418, 輔助計算!$G$2:$G$801, 0)+1))&lt;=1181,2,1))))=1,TEXT(INDEX(ERP資料!$G:$G, (MATCH(418, 輔助計算!$G$2:$G$801, 0)+1)),"0.##"),IF(MOD(INDEX(輔助計算!$D:$D, (MATCH(418, 輔助計算!$G$2:$G$801, 0)+1)),IF(INDEX(ERP資料!$G:$G, (MATCH(418, 輔助計算!$G$2:$G$801, 0)+1))&lt;100, IF(INDEX(ERP資料!$G:$G, (MATCH(418, 輔助計算!$G$2:$G$801, 0)+1))&lt;=31,3,IF(INDEX(ERP資料!$G:$G, (MATCH(418, 輔助計算!$G$2:$G$801, 0)+1))&lt;=46.5,2,1)), IF(INDEX(ERP資料!$G:$G, (MATCH(418, 輔助計算!$G$2:$G$801, 0)+1))&lt;=790,3,IF(INDEX(ERP資料!$G:$G, (MATCH(418, 輔助計算!$G$2:$G$801, 0)+1))&lt;=1181,2,1))))=2,TEXT(INDEX(ERP資料!$G:$G, (MATCH(418, 輔助計算!$G$2:$G$801, 0)+1)),"0.##")&amp;"+"&amp;TEXT(INDEX(ERP資料!$G:$G, (MATCH(418, 輔助計算!$G$2:$G$801, 0)+1)),"0.##"),TEXT(INDEX(ERP資料!$G:$G, (MATCH(418, 輔助計算!$G$2:$G$801, 0)+1)),"0.##")&amp;"+"&amp;TEXT(INDEX(ERP資料!$G:$G, (MATCH(418, 輔助計算!$G$2:$G$801, 0)+1)),"0.##")&amp;"+"&amp;TEXT(INDEX(ERP資料!$G:$G, (MATCH(418, 輔助計算!$G$2:$G$801, 0)+1)),"0.##"))))&amp;"-1")), ""), "")</f>
        <v/>
      </c>
      <c r="K419" s="16" t="n"/>
      <c r="L419" s="14">
        <f>IFERROR(IF(AND(IFERROR(INDEX(ERP資料!$A:$A, (MATCH(418, 輔助計算!$G$2:$G$801, 0)+1)), "")&lt;&gt;"", IFERROR(INDEX(ERP資料!$A:$A, (MATCH(418, 輔助計算!$G$2:$G$801, 0)+1)), "")&lt;&gt;IFERROR(INDEX(ERP資料!$A:$A, MATCH(417, 輔助計算!$G$2:$G$801, 0)+1), "")), INDEX(ERP資料!$B:$B, (MATCH(418, 輔助計算!$G$2:$G$801, 0)+1)), ""), "")</f>
        <v/>
      </c>
      <c r="M419" s="17" t="n"/>
    </row>
    <row r="420">
      <c r="A420" s="10">
        <f>IFERROR(IF(AND(IFERROR(INDEX(ERP資料!$A:$A, (MATCH(419, 輔助計算!$G$2:$G$801, 0)+1)), "")&lt;&gt;"", IFERROR(INDEX(ERP資料!$A:$A, (MATCH(419, 輔助計算!$G$2:$G$801, 0)+1)), "")&lt;&gt;IFERROR(INDEX(ERP資料!$A:$A, MATCH(418, 輔助計算!$G$2:$G$801, 0)+1), "")), IFERROR(INDEX(ERP資料!$A:$A, (MATCH(419, 輔助計算!$G$2:$G$801, 0)+1)), ""), ""), "")</f>
        <v/>
      </c>
      <c r="B420" s="10">
        <f>IFERROR(IF(AND(IFERROR(INDEX(ERP資料!$A:$A, (MATCH(419, 輔助計算!$G$2:$G$801, 0)+1)), "")&lt;&gt;"", IFERROR(INDEX(ERP資料!$A:$A, (MATCH(419, 輔助計算!$G$2:$G$801, 0)+1)), "")&lt;&gt;IFERROR(INDEX(ERP資料!$A:$A, MATCH(418, 輔助計算!$G$2:$G$801, 0)+1), "")), INDEX(ERP資料!$S:$S, (MATCH(419, 輔助計算!$G$2:$G$801, 0)+1)), ""), "")</f>
        <v/>
      </c>
      <c r="C420" s="19">
        <f>IFERROR(IF(AND(IFERROR(INDEX(ERP資料!$A:$A, (MATCH(419, 輔助計算!$G$2:$G$801, 0)+1)), "")&lt;&gt;"", IFERROR(INDEX(ERP資料!$A:$A, (MATCH(419, 輔助計算!$G$2:$G$801, 0)+1)), "")&lt;&gt;IFERROR(INDEX(ERP資料!$A:$A, MATCH(418, 輔助計算!$G$2:$G$801, 0)+1), "")), IFERROR(VLOOKUP(LEFT(INDEX(ERP資料!$S:$S, (MATCH(419, 輔助計算!$G$2:$G$801, 0)+1)), 4), 紙管對照表!$A:$C, 3, FALSE), ""), ""), "")</f>
        <v/>
      </c>
      <c r="D420" s="16" t="n"/>
      <c r="E420" s="10">
        <f>IFERROR(IF(INDEX(ERP資料!$H:$H, (MATCH(419, 輔助計算!$G$2:$G$801, 0)+1))="","",INDEX(ERP資料!$H:$H, (MATCH(419, 輔助計算!$G$2:$G$801, 0)+1))), "")</f>
        <v/>
      </c>
      <c r="F420" s="10">
        <f>IFERROR(IF(INDEX(ERP資料!$E:$E, (MATCH(419, 輔助計算!$G$2:$G$801, 0)+1))="","",TRIM(INDEX(ERP資料!$E:$E, (MATCH(419, 輔助計算!$G$2:$G$801, 0)+1)))), "")</f>
        <v/>
      </c>
      <c r="G420" s="10">
        <f>IFERROR(IF(INDEX(ERP資料!$F:$F, (MATCH(419, 輔助計算!$G$2:$G$801, 0)+1))="","",INDEX(ERP資料!$F:$F, (MATCH(419, 輔助計算!$G$2:$G$801, 0)+1))), "")</f>
        <v/>
      </c>
      <c r="H420" s="10">
        <f>IFERROR(IF(INDEX(ERP資料!$G:$G, (MATCH(419, 輔助計算!$G$2:$G$801, 0)+1))="","",INDEX(ERP資料!$G:$G, (MATCH(419, 輔助計算!$G$2:$G$801, 0)+1))), "")</f>
        <v/>
      </c>
      <c r="I420" s="15">
        <f>IFERROR(INDEX(輔助計算!$D:$D, (MATCH(419, 輔助計算!$G$2:$G$801, 0)+1)), "")</f>
        <v/>
      </c>
      <c r="J420" s="15">
        <f>IFERROR(IF(AND(INDEX(輔助計算!$D:$D, (MATCH(419, 輔助計算!$G$2:$G$801, 0)+1))&lt;&gt;"", INDEX(ERP資料!$G:$G, (MATCH(419, 輔助計算!$G$2:$G$801, 0)+1))&lt;&gt;""), TRIM(IF(INT(INDEX(輔助計算!$D:$D, (MATCH(419, 輔助計算!$G$2:$G$801, 0)+1))/IF(INDEX(ERP資料!$G:$G, (MATCH(419, 輔助計算!$G$2:$G$801, 0)+1))&lt;100, IF(INDEX(ERP資料!$G:$G, (MATCH(419, 輔助計算!$G$2:$G$801, 0)+1))&lt;=31,3,IF(INDEX(ERP資料!$G:$G, (MATCH(419, 輔助計算!$G$2:$G$801, 0)+1))&lt;=46.5,2,1)), IF(INDEX(ERP資料!$G:$G, (MATCH(419, 輔助計算!$G$2:$G$801, 0)+1))&lt;=790,3,IF(INDEX(ERP資料!$G:$G, (MATCH(419, 輔助計算!$G$2:$G$801, 0)+1))&lt;=1181,2,1))))&gt;0, IF(IF(INDEX(ERP資料!$G:$G, (MATCH(419, 輔助計算!$G$2:$G$801, 0)+1))&lt;100, IF(INDEX(ERP資料!$G:$G, (MATCH(419, 輔助計算!$G$2:$G$801, 0)+1))&lt;=31,3,IF(INDEX(ERP資料!$G:$G, (MATCH(419, 輔助計算!$G$2:$G$801, 0)+1))&lt;=46.5,2,1)), IF(INDEX(ERP資料!$G:$G, (MATCH(419, 輔助計算!$G$2:$G$801, 0)+1))&lt;=790,3,IF(INDEX(ERP資料!$G:$G, (MATCH(419, 輔助計算!$G$2:$G$801, 0)+1))&lt;=1181,2,1)))=1,TEXT(INDEX(ERP資料!$G:$G, (MATCH(419, 輔助計算!$G$2:$G$801, 0)+1)),"0.##"),IF(IF(INDEX(ERP資料!$G:$G, (MATCH(419, 輔助計算!$G$2:$G$801, 0)+1))&lt;100, IF(INDEX(ERP資料!$G:$G, (MATCH(419, 輔助計算!$G$2:$G$801, 0)+1))&lt;=31,3,IF(INDEX(ERP資料!$G:$G, (MATCH(419, 輔助計算!$G$2:$G$801, 0)+1))&lt;=46.5,2,1)), IF(INDEX(ERP資料!$G:$G, (MATCH(419, 輔助計算!$G$2:$G$801, 0)+1))&lt;=790,3,IF(INDEX(ERP資料!$G:$G, (MATCH(419, 輔助計算!$G$2:$G$801, 0)+1))&lt;=1181,2,1)))=2,TEXT(INDEX(ERP資料!$G:$G, (MATCH(419, 輔助計算!$G$2:$G$801, 0)+1)),"0.##")&amp;"+"&amp;TEXT(INDEX(ERP資料!$G:$G, (MATCH(419, 輔助計算!$G$2:$G$801, 0)+1)),"0.##"),TEXT(INDEX(ERP資料!$G:$G, (MATCH(419, 輔助計算!$G$2:$G$801, 0)+1)),"0.##")&amp;"+"&amp;TEXT(INDEX(ERP資料!$G:$G, (MATCH(419, 輔助計算!$G$2:$G$801, 0)+1)),"0.##")&amp;"+"&amp;TEXT(INDEX(ERP資料!$G:$G, (MATCH(419, 輔助計算!$G$2:$G$801, 0)+1)),"0.##")))&amp;"-"&amp;INT(INDEX(輔助計算!$D:$D, (MATCH(419, 輔助計算!$G$2:$G$801, 0)+1))/IF(INDEX(ERP資料!$G:$G, (MATCH(419, 輔助計算!$G$2:$G$801, 0)+1))&lt;100, IF(INDEX(ERP資料!$G:$G, (MATCH(419, 輔助計算!$G$2:$G$801, 0)+1))&lt;=31,3,IF(INDEX(ERP資料!$G:$G, (MATCH(419, 輔助計算!$G$2:$G$801, 0)+1))&lt;=46.5,2,1)), IF(INDEX(ERP資料!$G:$G, (MATCH(419, 輔助計算!$G$2:$G$801, 0)+1))&lt;=790,3,IF(INDEX(ERP資料!$G:$G, (MATCH(419, 輔助計算!$G$2:$G$801, 0)+1))&lt;=1181,2,1)))), "")&amp;IF(AND(IF(INT(INDEX(輔助計算!$D:$D, (MATCH(419, 輔助計算!$G$2:$G$801, 0)+1))/IF(INDEX(ERP資料!$G:$G, (MATCH(419, 輔助計算!$G$2:$G$801, 0)+1))&lt;100, IF(INDEX(ERP資料!$G:$G, (MATCH(419, 輔助計算!$G$2:$G$801, 0)+1))&lt;=31,3,IF(INDEX(ERP資料!$G:$G, (MATCH(419, 輔助計算!$G$2:$G$801, 0)+1))&lt;=46.5,2,1)), IF(INDEX(ERP資料!$G:$G, (MATCH(419, 輔助計算!$G$2:$G$801, 0)+1))&lt;=790,3,IF(INDEX(ERP資料!$G:$G, (MATCH(419, 輔助計算!$G$2:$G$801, 0)+1))&lt;=1181,2,1))))&gt;0, IF(IF(INDEX(ERP資料!$G:$G, (MATCH(419, 輔助計算!$G$2:$G$801, 0)+1))&lt;100, IF(INDEX(ERP資料!$G:$G, (MATCH(419, 輔助計算!$G$2:$G$801, 0)+1))&lt;=31,3,IF(INDEX(ERP資料!$G:$G, (MATCH(419, 輔助計算!$G$2:$G$801, 0)+1))&lt;=46.5,2,1)), IF(INDEX(ERP資料!$G:$G, (MATCH(419, 輔助計算!$G$2:$G$801, 0)+1))&lt;=790,3,IF(INDEX(ERP資料!$G:$G, (MATCH(419, 輔助計算!$G$2:$G$801, 0)+1))&lt;=1181,2,1)))=1,TEXT(INDEX(ERP資料!$G:$G, (MATCH(419, 輔助計算!$G$2:$G$801, 0)+1)),"0.##"),IF(IF(INDEX(ERP資料!$G:$G, (MATCH(419, 輔助計算!$G$2:$G$801, 0)+1))&lt;100, IF(INDEX(ERP資料!$G:$G, (MATCH(419, 輔助計算!$G$2:$G$801, 0)+1))&lt;=31,3,IF(INDEX(ERP資料!$G:$G, (MATCH(419, 輔助計算!$G$2:$G$801, 0)+1))&lt;=46.5,2,1)), IF(INDEX(ERP資料!$G:$G, (MATCH(419, 輔助計算!$G$2:$G$801, 0)+1))&lt;=790,3,IF(INDEX(ERP資料!$G:$G, (MATCH(419, 輔助計算!$G$2:$G$801, 0)+1))&lt;=1181,2,1)))=2,TEXT(INDEX(ERP資料!$G:$G, (MATCH(419, 輔助計算!$G$2:$G$801, 0)+1)),"0.##")&amp;"+"&amp;TEXT(INDEX(ERP資料!$G:$G, (MATCH(419, 輔助計算!$G$2:$G$801, 0)+1)),"0.##"),TEXT(INDEX(ERP資料!$G:$G, (MATCH(419, 輔助計算!$G$2:$G$801, 0)+1)),"0.##")&amp;"+"&amp;TEXT(INDEX(ERP資料!$G:$G, (MATCH(419, 輔助計算!$G$2:$G$801, 0)+1)),"0.##")&amp;"+"&amp;TEXT(INDEX(ERP資料!$G:$G, (MATCH(419, 輔助計算!$G$2:$G$801, 0)+1)),"0.##")))&amp;"-"&amp;INT(INDEX(輔助計算!$D:$D, (MATCH(419, 輔助計算!$G$2:$G$801, 0)+1))/IF(INDEX(ERP資料!$G:$G, (MATCH(419, 輔助計算!$G$2:$G$801, 0)+1))&lt;100, IF(INDEX(ERP資料!$G:$G, (MATCH(419, 輔助計算!$G$2:$G$801, 0)+1))&lt;=31,3,IF(INDEX(ERP資料!$G:$G, (MATCH(419, 輔助計算!$G$2:$G$801, 0)+1))&lt;=46.5,2,1)), IF(INDEX(ERP資料!$G:$G, (MATCH(419, 輔助計算!$G$2:$G$801, 0)+1))&lt;=790,3,IF(INDEX(ERP資料!$G:$G, (MATCH(419, 輔助計算!$G$2:$G$801, 0)+1))&lt;=1181,2,1)))), "")&lt;&gt;"",IF(MOD(INDEX(輔助計算!$D:$D, (MATCH(419, 輔助計算!$G$2:$G$801, 0)+1)),IF(INDEX(ERP資料!$G:$G, (MATCH(419, 輔助計算!$G$2:$G$801, 0)+1))&lt;100, IF(INDEX(ERP資料!$G:$G, (MATCH(419, 輔助計算!$G$2:$G$801, 0)+1))&lt;=31,3,IF(INDEX(ERP資料!$G:$G, (MATCH(419, 輔助計算!$G$2:$G$801, 0)+1))&lt;=46.5,2,1)), IF(INDEX(ERP資料!$G:$G, (MATCH(419, 輔助計算!$G$2:$G$801, 0)+1))&lt;=790,3,IF(INDEX(ERP資料!$G:$G, (MATCH(419, 輔助計算!$G$2:$G$801, 0)+1))&lt;=1181,2,1))))=0,"",IF(MOD(INDEX(輔助計算!$D:$D, (MATCH(419, 輔助計算!$G$2:$G$801, 0)+1)),IF(INDEX(ERP資料!$G:$G, (MATCH(419, 輔助計算!$G$2:$G$801, 0)+1))&lt;100, IF(INDEX(ERP資料!$G:$G, (MATCH(419, 輔助計算!$G$2:$G$801, 0)+1))&lt;=31,3,IF(INDEX(ERP資料!$G:$G, (MATCH(419, 輔助計算!$G$2:$G$801, 0)+1))&lt;=46.5,2,1)), IF(INDEX(ERP資料!$G:$G, (MATCH(419, 輔助計算!$G$2:$G$801, 0)+1))&lt;=790,3,IF(INDEX(ERP資料!$G:$G, (MATCH(419, 輔助計算!$G$2:$G$801, 0)+1))&lt;=1181,2,1))))=0,"",IF(MOD(INDEX(輔助計算!$D:$D, (MATCH(419, 輔助計算!$G$2:$G$801, 0)+1)),IF(INDEX(ERP資料!$G:$G, (MATCH(419, 輔助計算!$G$2:$G$801, 0)+1))&lt;100, IF(INDEX(ERP資料!$G:$G, (MATCH(419, 輔助計算!$G$2:$G$801, 0)+1))&lt;=31,3,IF(INDEX(ERP資料!$G:$G, (MATCH(419, 輔助計算!$G$2:$G$801, 0)+1))&lt;=46.5,2,1)), IF(INDEX(ERP資料!$G:$G, (MATCH(419, 輔助計算!$G$2:$G$801, 0)+1))&lt;=790,3,IF(INDEX(ERP資料!$G:$G, (MATCH(419, 輔助計算!$G$2:$G$801, 0)+1))&lt;=1181,2,1))))=1,TEXT(INDEX(ERP資料!$G:$G, (MATCH(419, 輔助計算!$G$2:$G$801, 0)+1)),"0.##"),IF(MOD(INDEX(輔助計算!$D:$D, (MATCH(419, 輔助計算!$G$2:$G$801, 0)+1)),IF(INDEX(ERP資料!$G:$G, (MATCH(419, 輔助計算!$G$2:$G$801, 0)+1))&lt;100, IF(INDEX(ERP資料!$G:$G, (MATCH(419, 輔助計算!$G$2:$G$801, 0)+1))&lt;=31,3,IF(INDEX(ERP資料!$G:$G, (MATCH(419, 輔助計算!$G$2:$G$801, 0)+1))&lt;=46.5,2,1)), IF(INDEX(ERP資料!$G:$G, (MATCH(419, 輔助計算!$G$2:$G$801, 0)+1))&lt;=790,3,IF(INDEX(ERP資料!$G:$G, (MATCH(419, 輔助計算!$G$2:$G$801, 0)+1))&lt;=1181,2,1))))=2,TEXT(INDEX(ERP資料!$G:$G, (MATCH(419, 輔助計算!$G$2:$G$801, 0)+1)),"0.##")&amp;"+"&amp;TEXT(INDEX(ERP資料!$G:$G, (MATCH(419, 輔助計算!$G$2:$G$801, 0)+1)),"0.##"),TEXT(INDEX(ERP資料!$G:$G, (MATCH(419, 輔助計算!$G$2:$G$801, 0)+1)),"0.##")&amp;"+"&amp;TEXT(INDEX(ERP資料!$G:$G, (MATCH(419, 輔助計算!$G$2:$G$801, 0)+1)),"0.##")&amp;"+"&amp;TEXT(INDEX(ERP資料!$G:$G, (MATCH(419, 輔助計算!$G$2:$G$801, 0)+1)),"0.##"))))&amp;"-1")&lt;&gt;""),"  ","")&amp;IF(MOD(INDEX(輔助計算!$D:$D, (MATCH(419, 輔助計算!$G$2:$G$801, 0)+1)),IF(INDEX(ERP資料!$G:$G, (MATCH(419, 輔助計算!$G$2:$G$801, 0)+1))&lt;100, IF(INDEX(ERP資料!$G:$G, (MATCH(419, 輔助計算!$G$2:$G$801, 0)+1))&lt;=31,3,IF(INDEX(ERP資料!$G:$G, (MATCH(419, 輔助計算!$G$2:$G$801, 0)+1))&lt;=46.5,2,1)), IF(INDEX(ERP資料!$G:$G, (MATCH(419, 輔助計算!$G$2:$G$801, 0)+1))&lt;=790,3,IF(INDEX(ERP資料!$G:$G, (MATCH(419, 輔助計算!$G$2:$G$801, 0)+1))&lt;=1181,2,1))))=0,"",IF(MOD(INDEX(輔助計算!$D:$D, (MATCH(419, 輔助計算!$G$2:$G$801, 0)+1)),IF(INDEX(ERP資料!$G:$G, (MATCH(419, 輔助計算!$G$2:$G$801, 0)+1))&lt;100, IF(INDEX(ERP資料!$G:$G, (MATCH(419, 輔助計算!$G$2:$G$801, 0)+1))&lt;=31,3,IF(INDEX(ERP資料!$G:$G, (MATCH(419, 輔助計算!$G$2:$G$801, 0)+1))&lt;=46.5,2,1)), IF(INDEX(ERP資料!$G:$G, (MATCH(419, 輔助計算!$G$2:$G$801, 0)+1))&lt;=790,3,IF(INDEX(ERP資料!$G:$G, (MATCH(419, 輔助計算!$G$2:$G$801, 0)+1))&lt;=1181,2,1))))=0,"",IF(MOD(INDEX(輔助計算!$D:$D, (MATCH(419, 輔助計算!$G$2:$G$801, 0)+1)),IF(INDEX(ERP資料!$G:$G, (MATCH(419, 輔助計算!$G$2:$G$801, 0)+1))&lt;100, IF(INDEX(ERP資料!$G:$G, (MATCH(419, 輔助計算!$G$2:$G$801, 0)+1))&lt;=31,3,IF(INDEX(ERP資料!$G:$G, (MATCH(419, 輔助計算!$G$2:$G$801, 0)+1))&lt;=46.5,2,1)), IF(INDEX(ERP資料!$G:$G, (MATCH(419, 輔助計算!$G$2:$G$801, 0)+1))&lt;=790,3,IF(INDEX(ERP資料!$G:$G, (MATCH(419, 輔助計算!$G$2:$G$801, 0)+1))&lt;=1181,2,1))))=1,TEXT(INDEX(ERP資料!$G:$G, (MATCH(419, 輔助計算!$G$2:$G$801, 0)+1)),"0.##"),IF(MOD(INDEX(輔助計算!$D:$D, (MATCH(419, 輔助計算!$G$2:$G$801, 0)+1)),IF(INDEX(ERP資料!$G:$G, (MATCH(419, 輔助計算!$G$2:$G$801, 0)+1))&lt;100, IF(INDEX(ERP資料!$G:$G, (MATCH(419, 輔助計算!$G$2:$G$801, 0)+1))&lt;=31,3,IF(INDEX(ERP資料!$G:$G, (MATCH(419, 輔助計算!$G$2:$G$801, 0)+1))&lt;=46.5,2,1)), IF(INDEX(ERP資料!$G:$G, (MATCH(419, 輔助計算!$G$2:$G$801, 0)+1))&lt;=790,3,IF(INDEX(ERP資料!$G:$G, (MATCH(419, 輔助計算!$G$2:$G$801, 0)+1))&lt;=1181,2,1))))=2,TEXT(INDEX(ERP資料!$G:$G, (MATCH(419, 輔助計算!$G$2:$G$801, 0)+1)),"0.##")&amp;"+"&amp;TEXT(INDEX(ERP資料!$G:$G, (MATCH(419, 輔助計算!$G$2:$G$801, 0)+1)),"0.##"),TEXT(INDEX(ERP資料!$G:$G, (MATCH(419, 輔助計算!$G$2:$G$801, 0)+1)),"0.##")&amp;"+"&amp;TEXT(INDEX(ERP資料!$G:$G, (MATCH(419, 輔助計算!$G$2:$G$801, 0)+1)),"0.##")&amp;"+"&amp;TEXT(INDEX(ERP資料!$G:$G, (MATCH(419, 輔助計算!$G$2:$G$801, 0)+1)),"0.##"))))&amp;"-1")), ""), "")</f>
        <v/>
      </c>
      <c r="K420" s="16" t="n"/>
      <c r="L420" s="14">
        <f>IFERROR(IF(AND(IFERROR(INDEX(ERP資料!$A:$A, (MATCH(419, 輔助計算!$G$2:$G$801, 0)+1)), "")&lt;&gt;"", IFERROR(INDEX(ERP資料!$A:$A, (MATCH(419, 輔助計算!$G$2:$G$801, 0)+1)), "")&lt;&gt;IFERROR(INDEX(ERP資料!$A:$A, MATCH(418, 輔助計算!$G$2:$G$801, 0)+1), "")), INDEX(ERP資料!$B:$B, (MATCH(419, 輔助計算!$G$2:$G$801, 0)+1)), ""), "")</f>
        <v/>
      </c>
      <c r="M420" s="17" t="n"/>
    </row>
    <row r="421">
      <c r="A421" s="10">
        <f>IFERROR(IF(AND(IFERROR(INDEX(ERP資料!$A:$A, (MATCH(420, 輔助計算!$G$2:$G$801, 0)+1)), "")&lt;&gt;"", IFERROR(INDEX(ERP資料!$A:$A, (MATCH(420, 輔助計算!$G$2:$G$801, 0)+1)), "")&lt;&gt;IFERROR(INDEX(ERP資料!$A:$A, MATCH(419, 輔助計算!$G$2:$G$801, 0)+1), "")), IFERROR(INDEX(ERP資料!$A:$A, (MATCH(420, 輔助計算!$G$2:$G$801, 0)+1)), ""), ""), "")</f>
        <v/>
      </c>
      <c r="B421" s="10">
        <f>IFERROR(IF(AND(IFERROR(INDEX(ERP資料!$A:$A, (MATCH(420, 輔助計算!$G$2:$G$801, 0)+1)), "")&lt;&gt;"", IFERROR(INDEX(ERP資料!$A:$A, (MATCH(420, 輔助計算!$G$2:$G$801, 0)+1)), "")&lt;&gt;IFERROR(INDEX(ERP資料!$A:$A, MATCH(419, 輔助計算!$G$2:$G$801, 0)+1), "")), INDEX(ERP資料!$S:$S, (MATCH(420, 輔助計算!$G$2:$G$801, 0)+1)), ""), "")</f>
        <v/>
      </c>
      <c r="C421" s="19">
        <f>IFERROR(IF(AND(IFERROR(INDEX(ERP資料!$A:$A, (MATCH(420, 輔助計算!$G$2:$G$801, 0)+1)), "")&lt;&gt;"", IFERROR(INDEX(ERP資料!$A:$A, (MATCH(420, 輔助計算!$G$2:$G$801, 0)+1)), "")&lt;&gt;IFERROR(INDEX(ERP資料!$A:$A, MATCH(419, 輔助計算!$G$2:$G$801, 0)+1), "")), IFERROR(VLOOKUP(LEFT(INDEX(ERP資料!$S:$S, (MATCH(420, 輔助計算!$G$2:$G$801, 0)+1)), 4), 紙管對照表!$A:$C, 3, FALSE), ""), ""), "")</f>
        <v/>
      </c>
      <c r="D421" s="16" t="n"/>
      <c r="E421" s="10">
        <f>IFERROR(IF(INDEX(ERP資料!$H:$H, (MATCH(420, 輔助計算!$G$2:$G$801, 0)+1))="","",INDEX(ERP資料!$H:$H, (MATCH(420, 輔助計算!$G$2:$G$801, 0)+1))), "")</f>
        <v/>
      </c>
      <c r="F421" s="10">
        <f>IFERROR(IF(INDEX(ERP資料!$E:$E, (MATCH(420, 輔助計算!$G$2:$G$801, 0)+1))="","",TRIM(INDEX(ERP資料!$E:$E, (MATCH(420, 輔助計算!$G$2:$G$801, 0)+1)))), "")</f>
        <v/>
      </c>
      <c r="G421" s="10">
        <f>IFERROR(IF(INDEX(ERP資料!$F:$F, (MATCH(420, 輔助計算!$G$2:$G$801, 0)+1))="","",INDEX(ERP資料!$F:$F, (MATCH(420, 輔助計算!$G$2:$G$801, 0)+1))), "")</f>
        <v/>
      </c>
      <c r="H421" s="10">
        <f>IFERROR(IF(INDEX(ERP資料!$G:$G, (MATCH(420, 輔助計算!$G$2:$G$801, 0)+1))="","",INDEX(ERP資料!$G:$G, (MATCH(420, 輔助計算!$G$2:$G$801, 0)+1))), "")</f>
        <v/>
      </c>
      <c r="I421" s="15">
        <f>IFERROR(INDEX(輔助計算!$D:$D, (MATCH(420, 輔助計算!$G$2:$G$801, 0)+1)), "")</f>
        <v/>
      </c>
      <c r="J421" s="15">
        <f>IFERROR(IF(AND(INDEX(輔助計算!$D:$D, (MATCH(420, 輔助計算!$G$2:$G$801, 0)+1))&lt;&gt;"", INDEX(ERP資料!$G:$G, (MATCH(420, 輔助計算!$G$2:$G$801, 0)+1))&lt;&gt;""), TRIM(IF(INT(INDEX(輔助計算!$D:$D, (MATCH(420, 輔助計算!$G$2:$G$801, 0)+1))/IF(INDEX(ERP資料!$G:$G, (MATCH(420, 輔助計算!$G$2:$G$801, 0)+1))&lt;100, IF(INDEX(ERP資料!$G:$G, (MATCH(420, 輔助計算!$G$2:$G$801, 0)+1))&lt;=31,3,IF(INDEX(ERP資料!$G:$G, (MATCH(420, 輔助計算!$G$2:$G$801, 0)+1))&lt;=46.5,2,1)), IF(INDEX(ERP資料!$G:$G, (MATCH(420, 輔助計算!$G$2:$G$801, 0)+1))&lt;=790,3,IF(INDEX(ERP資料!$G:$G, (MATCH(420, 輔助計算!$G$2:$G$801, 0)+1))&lt;=1181,2,1))))&gt;0, IF(IF(INDEX(ERP資料!$G:$G, (MATCH(420, 輔助計算!$G$2:$G$801, 0)+1))&lt;100, IF(INDEX(ERP資料!$G:$G, (MATCH(420, 輔助計算!$G$2:$G$801, 0)+1))&lt;=31,3,IF(INDEX(ERP資料!$G:$G, (MATCH(420, 輔助計算!$G$2:$G$801, 0)+1))&lt;=46.5,2,1)), IF(INDEX(ERP資料!$G:$G, (MATCH(420, 輔助計算!$G$2:$G$801, 0)+1))&lt;=790,3,IF(INDEX(ERP資料!$G:$G, (MATCH(420, 輔助計算!$G$2:$G$801, 0)+1))&lt;=1181,2,1)))=1,TEXT(INDEX(ERP資料!$G:$G, (MATCH(420, 輔助計算!$G$2:$G$801, 0)+1)),"0.##"),IF(IF(INDEX(ERP資料!$G:$G, (MATCH(420, 輔助計算!$G$2:$G$801, 0)+1))&lt;100, IF(INDEX(ERP資料!$G:$G, (MATCH(420, 輔助計算!$G$2:$G$801, 0)+1))&lt;=31,3,IF(INDEX(ERP資料!$G:$G, (MATCH(420, 輔助計算!$G$2:$G$801, 0)+1))&lt;=46.5,2,1)), IF(INDEX(ERP資料!$G:$G, (MATCH(420, 輔助計算!$G$2:$G$801, 0)+1))&lt;=790,3,IF(INDEX(ERP資料!$G:$G, (MATCH(420, 輔助計算!$G$2:$G$801, 0)+1))&lt;=1181,2,1)))=2,TEXT(INDEX(ERP資料!$G:$G, (MATCH(420, 輔助計算!$G$2:$G$801, 0)+1)),"0.##")&amp;"+"&amp;TEXT(INDEX(ERP資料!$G:$G, (MATCH(420, 輔助計算!$G$2:$G$801, 0)+1)),"0.##"),TEXT(INDEX(ERP資料!$G:$G, (MATCH(420, 輔助計算!$G$2:$G$801, 0)+1)),"0.##")&amp;"+"&amp;TEXT(INDEX(ERP資料!$G:$G, (MATCH(420, 輔助計算!$G$2:$G$801, 0)+1)),"0.##")&amp;"+"&amp;TEXT(INDEX(ERP資料!$G:$G, (MATCH(420, 輔助計算!$G$2:$G$801, 0)+1)),"0.##")))&amp;"-"&amp;INT(INDEX(輔助計算!$D:$D, (MATCH(420, 輔助計算!$G$2:$G$801, 0)+1))/IF(INDEX(ERP資料!$G:$G, (MATCH(420, 輔助計算!$G$2:$G$801, 0)+1))&lt;100, IF(INDEX(ERP資料!$G:$G, (MATCH(420, 輔助計算!$G$2:$G$801, 0)+1))&lt;=31,3,IF(INDEX(ERP資料!$G:$G, (MATCH(420, 輔助計算!$G$2:$G$801, 0)+1))&lt;=46.5,2,1)), IF(INDEX(ERP資料!$G:$G, (MATCH(420, 輔助計算!$G$2:$G$801, 0)+1))&lt;=790,3,IF(INDEX(ERP資料!$G:$G, (MATCH(420, 輔助計算!$G$2:$G$801, 0)+1))&lt;=1181,2,1)))), "")&amp;IF(AND(IF(INT(INDEX(輔助計算!$D:$D, (MATCH(420, 輔助計算!$G$2:$G$801, 0)+1))/IF(INDEX(ERP資料!$G:$G, (MATCH(420, 輔助計算!$G$2:$G$801, 0)+1))&lt;100, IF(INDEX(ERP資料!$G:$G, (MATCH(420, 輔助計算!$G$2:$G$801, 0)+1))&lt;=31,3,IF(INDEX(ERP資料!$G:$G, (MATCH(420, 輔助計算!$G$2:$G$801, 0)+1))&lt;=46.5,2,1)), IF(INDEX(ERP資料!$G:$G, (MATCH(420, 輔助計算!$G$2:$G$801, 0)+1))&lt;=790,3,IF(INDEX(ERP資料!$G:$G, (MATCH(420, 輔助計算!$G$2:$G$801, 0)+1))&lt;=1181,2,1))))&gt;0, IF(IF(INDEX(ERP資料!$G:$G, (MATCH(420, 輔助計算!$G$2:$G$801, 0)+1))&lt;100, IF(INDEX(ERP資料!$G:$G, (MATCH(420, 輔助計算!$G$2:$G$801, 0)+1))&lt;=31,3,IF(INDEX(ERP資料!$G:$G, (MATCH(420, 輔助計算!$G$2:$G$801, 0)+1))&lt;=46.5,2,1)), IF(INDEX(ERP資料!$G:$G, (MATCH(420, 輔助計算!$G$2:$G$801, 0)+1))&lt;=790,3,IF(INDEX(ERP資料!$G:$G, (MATCH(420, 輔助計算!$G$2:$G$801, 0)+1))&lt;=1181,2,1)))=1,TEXT(INDEX(ERP資料!$G:$G, (MATCH(420, 輔助計算!$G$2:$G$801, 0)+1)),"0.##"),IF(IF(INDEX(ERP資料!$G:$G, (MATCH(420, 輔助計算!$G$2:$G$801, 0)+1))&lt;100, IF(INDEX(ERP資料!$G:$G, (MATCH(420, 輔助計算!$G$2:$G$801, 0)+1))&lt;=31,3,IF(INDEX(ERP資料!$G:$G, (MATCH(420, 輔助計算!$G$2:$G$801, 0)+1))&lt;=46.5,2,1)), IF(INDEX(ERP資料!$G:$G, (MATCH(420, 輔助計算!$G$2:$G$801, 0)+1))&lt;=790,3,IF(INDEX(ERP資料!$G:$G, (MATCH(420, 輔助計算!$G$2:$G$801, 0)+1))&lt;=1181,2,1)))=2,TEXT(INDEX(ERP資料!$G:$G, (MATCH(420, 輔助計算!$G$2:$G$801, 0)+1)),"0.##")&amp;"+"&amp;TEXT(INDEX(ERP資料!$G:$G, (MATCH(420, 輔助計算!$G$2:$G$801, 0)+1)),"0.##"),TEXT(INDEX(ERP資料!$G:$G, (MATCH(420, 輔助計算!$G$2:$G$801, 0)+1)),"0.##")&amp;"+"&amp;TEXT(INDEX(ERP資料!$G:$G, (MATCH(420, 輔助計算!$G$2:$G$801, 0)+1)),"0.##")&amp;"+"&amp;TEXT(INDEX(ERP資料!$G:$G, (MATCH(420, 輔助計算!$G$2:$G$801, 0)+1)),"0.##")))&amp;"-"&amp;INT(INDEX(輔助計算!$D:$D, (MATCH(420, 輔助計算!$G$2:$G$801, 0)+1))/IF(INDEX(ERP資料!$G:$G, (MATCH(420, 輔助計算!$G$2:$G$801, 0)+1))&lt;100, IF(INDEX(ERP資料!$G:$G, (MATCH(420, 輔助計算!$G$2:$G$801, 0)+1))&lt;=31,3,IF(INDEX(ERP資料!$G:$G, (MATCH(420, 輔助計算!$G$2:$G$801, 0)+1))&lt;=46.5,2,1)), IF(INDEX(ERP資料!$G:$G, (MATCH(420, 輔助計算!$G$2:$G$801, 0)+1))&lt;=790,3,IF(INDEX(ERP資料!$G:$G, (MATCH(420, 輔助計算!$G$2:$G$801, 0)+1))&lt;=1181,2,1)))), "")&lt;&gt;"",IF(MOD(INDEX(輔助計算!$D:$D, (MATCH(420, 輔助計算!$G$2:$G$801, 0)+1)),IF(INDEX(ERP資料!$G:$G, (MATCH(420, 輔助計算!$G$2:$G$801, 0)+1))&lt;100, IF(INDEX(ERP資料!$G:$G, (MATCH(420, 輔助計算!$G$2:$G$801, 0)+1))&lt;=31,3,IF(INDEX(ERP資料!$G:$G, (MATCH(420, 輔助計算!$G$2:$G$801, 0)+1))&lt;=46.5,2,1)), IF(INDEX(ERP資料!$G:$G, (MATCH(420, 輔助計算!$G$2:$G$801, 0)+1))&lt;=790,3,IF(INDEX(ERP資料!$G:$G, (MATCH(420, 輔助計算!$G$2:$G$801, 0)+1))&lt;=1181,2,1))))=0,"",IF(MOD(INDEX(輔助計算!$D:$D, (MATCH(420, 輔助計算!$G$2:$G$801, 0)+1)),IF(INDEX(ERP資料!$G:$G, (MATCH(420, 輔助計算!$G$2:$G$801, 0)+1))&lt;100, IF(INDEX(ERP資料!$G:$G, (MATCH(420, 輔助計算!$G$2:$G$801, 0)+1))&lt;=31,3,IF(INDEX(ERP資料!$G:$G, (MATCH(420, 輔助計算!$G$2:$G$801, 0)+1))&lt;=46.5,2,1)), IF(INDEX(ERP資料!$G:$G, (MATCH(420, 輔助計算!$G$2:$G$801, 0)+1))&lt;=790,3,IF(INDEX(ERP資料!$G:$G, (MATCH(420, 輔助計算!$G$2:$G$801, 0)+1))&lt;=1181,2,1))))=0,"",IF(MOD(INDEX(輔助計算!$D:$D, (MATCH(420, 輔助計算!$G$2:$G$801, 0)+1)),IF(INDEX(ERP資料!$G:$G, (MATCH(420, 輔助計算!$G$2:$G$801, 0)+1))&lt;100, IF(INDEX(ERP資料!$G:$G, (MATCH(420, 輔助計算!$G$2:$G$801, 0)+1))&lt;=31,3,IF(INDEX(ERP資料!$G:$G, (MATCH(420, 輔助計算!$G$2:$G$801, 0)+1))&lt;=46.5,2,1)), IF(INDEX(ERP資料!$G:$G, (MATCH(420, 輔助計算!$G$2:$G$801, 0)+1))&lt;=790,3,IF(INDEX(ERP資料!$G:$G, (MATCH(420, 輔助計算!$G$2:$G$801, 0)+1))&lt;=1181,2,1))))=1,TEXT(INDEX(ERP資料!$G:$G, (MATCH(420, 輔助計算!$G$2:$G$801, 0)+1)),"0.##"),IF(MOD(INDEX(輔助計算!$D:$D, (MATCH(420, 輔助計算!$G$2:$G$801, 0)+1)),IF(INDEX(ERP資料!$G:$G, (MATCH(420, 輔助計算!$G$2:$G$801, 0)+1))&lt;100, IF(INDEX(ERP資料!$G:$G, (MATCH(420, 輔助計算!$G$2:$G$801, 0)+1))&lt;=31,3,IF(INDEX(ERP資料!$G:$G, (MATCH(420, 輔助計算!$G$2:$G$801, 0)+1))&lt;=46.5,2,1)), IF(INDEX(ERP資料!$G:$G, (MATCH(420, 輔助計算!$G$2:$G$801, 0)+1))&lt;=790,3,IF(INDEX(ERP資料!$G:$G, (MATCH(420, 輔助計算!$G$2:$G$801, 0)+1))&lt;=1181,2,1))))=2,TEXT(INDEX(ERP資料!$G:$G, (MATCH(420, 輔助計算!$G$2:$G$801, 0)+1)),"0.##")&amp;"+"&amp;TEXT(INDEX(ERP資料!$G:$G, (MATCH(420, 輔助計算!$G$2:$G$801, 0)+1)),"0.##"),TEXT(INDEX(ERP資料!$G:$G, (MATCH(420, 輔助計算!$G$2:$G$801, 0)+1)),"0.##")&amp;"+"&amp;TEXT(INDEX(ERP資料!$G:$G, (MATCH(420, 輔助計算!$G$2:$G$801, 0)+1)),"0.##")&amp;"+"&amp;TEXT(INDEX(ERP資料!$G:$G, (MATCH(420, 輔助計算!$G$2:$G$801, 0)+1)),"0.##"))))&amp;"-1")&lt;&gt;""),"  ","")&amp;IF(MOD(INDEX(輔助計算!$D:$D, (MATCH(420, 輔助計算!$G$2:$G$801, 0)+1)),IF(INDEX(ERP資料!$G:$G, (MATCH(420, 輔助計算!$G$2:$G$801, 0)+1))&lt;100, IF(INDEX(ERP資料!$G:$G, (MATCH(420, 輔助計算!$G$2:$G$801, 0)+1))&lt;=31,3,IF(INDEX(ERP資料!$G:$G, (MATCH(420, 輔助計算!$G$2:$G$801, 0)+1))&lt;=46.5,2,1)), IF(INDEX(ERP資料!$G:$G, (MATCH(420, 輔助計算!$G$2:$G$801, 0)+1))&lt;=790,3,IF(INDEX(ERP資料!$G:$G, (MATCH(420, 輔助計算!$G$2:$G$801, 0)+1))&lt;=1181,2,1))))=0,"",IF(MOD(INDEX(輔助計算!$D:$D, (MATCH(420, 輔助計算!$G$2:$G$801, 0)+1)),IF(INDEX(ERP資料!$G:$G, (MATCH(420, 輔助計算!$G$2:$G$801, 0)+1))&lt;100, IF(INDEX(ERP資料!$G:$G, (MATCH(420, 輔助計算!$G$2:$G$801, 0)+1))&lt;=31,3,IF(INDEX(ERP資料!$G:$G, (MATCH(420, 輔助計算!$G$2:$G$801, 0)+1))&lt;=46.5,2,1)), IF(INDEX(ERP資料!$G:$G, (MATCH(420, 輔助計算!$G$2:$G$801, 0)+1))&lt;=790,3,IF(INDEX(ERP資料!$G:$G, (MATCH(420, 輔助計算!$G$2:$G$801, 0)+1))&lt;=1181,2,1))))=0,"",IF(MOD(INDEX(輔助計算!$D:$D, (MATCH(420, 輔助計算!$G$2:$G$801, 0)+1)),IF(INDEX(ERP資料!$G:$G, (MATCH(420, 輔助計算!$G$2:$G$801, 0)+1))&lt;100, IF(INDEX(ERP資料!$G:$G, (MATCH(420, 輔助計算!$G$2:$G$801, 0)+1))&lt;=31,3,IF(INDEX(ERP資料!$G:$G, (MATCH(420, 輔助計算!$G$2:$G$801, 0)+1))&lt;=46.5,2,1)), IF(INDEX(ERP資料!$G:$G, (MATCH(420, 輔助計算!$G$2:$G$801, 0)+1))&lt;=790,3,IF(INDEX(ERP資料!$G:$G, (MATCH(420, 輔助計算!$G$2:$G$801, 0)+1))&lt;=1181,2,1))))=1,TEXT(INDEX(ERP資料!$G:$G, (MATCH(420, 輔助計算!$G$2:$G$801, 0)+1)),"0.##"),IF(MOD(INDEX(輔助計算!$D:$D, (MATCH(420, 輔助計算!$G$2:$G$801, 0)+1)),IF(INDEX(ERP資料!$G:$G, (MATCH(420, 輔助計算!$G$2:$G$801, 0)+1))&lt;100, IF(INDEX(ERP資料!$G:$G, (MATCH(420, 輔助計算!$G$2:$G$801, 0)+1))&lt;=31,3,IF(INDEX(ERP資料!$G:$G, (MATCH(420, 輔助計算!$G$2:$G$801, 0)+1))&lt;=46.5,2,1)), IF(INDEX(ERP資料!$G:$G, (MATCH(420, 輔助計算!$G$2:$G$801, 0)+1))&lt;=790,3,IF(INDEX(ERP資料!$G:$G, (MATCH(420, 輔助計算!$G$2:$G$801, 0)+1))&lt;=1181,2,1))))=2,TEXT(INDEX(ERP資料!$G:$G, (MATCH(420, 輔助計算!$G$2:$G$801, 0)+1)),"0.##")&amp;"+"&amp;TEXT(INDEX(ERP資料!$G:$G, (MATCH(420, 輔助計算!$G$2:$G$801, 0)+1)),"0.##"),TEXT(INDEX(ERP資料!$G:$G, (MATCH(420, 輔助計算!$G$2:$G$801, 0)+1)),"0.##")&amp;"+"&amp;TEXT(INDEX(ERP資料!$G:$G, (MATCH(420, 輔助計算!$G$2:$G$801, 0)+1)),"0.##")&amp;"+"&amp;TEXT(INDEX(ERP資料!$G:$G, (MATCH(420, 輔助計算!$G$2:$G$801, 0)+1)),"0.##"))))&amp;"-1")), ""), "")</f>
        <v/>
      </c>
      <c r="K421" s="16" t="n"/>
      <c r="L421" s="14">
        <f>IFERROR(IF(AND(IFERROR(INDEX(ERP資料!$A:$A, (MATCH(420, 輔助計算!$G$2:$G$801, 0)+1)), "")&lt;&gt;"", IFERROR(INDEX(ERP資料!$A:$A, (MATCH(420, 輔助計算!$G$2:$G$801, 0)+1)), "")&lt;&gt;IFERROR(INDEX(ERP資料!$A:$A, MATCH(419, 輔助計算!$G$2:$G$801, 0)+1), "")), INDEX(ERP資料!$B:$B, (MATCH(420, 輔助計算!$G$2:$G$801, 0)+1)), ""), "")</f>
        <v/>
      </c>
      <c r="M421" s="17" t="n"/>
    </row>
    <row r="422">
      <c r="A422" s="10">
        <f>IFERROR(IF(AND(IFERROR(INDEX(ERP資料!$A:$A, (MATCH(421, 輔助計算!$G$2:$G$801, 0)+1)), "")&lt;&gt;"", IFERROR(INDEX(ERP資料!$A:$A, (MATCH(421, 輔助計算!$G$2:$G$801, 0)+1)), "")&lt;&gt;IFERROR(INDEX(ERP資料!$A:$A, MATCH(420, 輔助計算!$G$2:$G$801, 0)+1), "")), IFERROR(INDEX(ERP資料!$A:$A, (MATCH(421, 輔助計算!$G$2:$G$801, 0)+1)), ""), ""), "")</f>
        <v/>
      </c>
      <c r="B422" s="10">
        <f>IFERROR(IF(AND(IFERROR(INDEX(ERP資料!$A:$A, (MATCH(421, 輔助計算!$G$2:$G$801, 0)+1)), "")&lt;&gt;"", IFERROR(INDEX(ERP資料!$A:$A, (MATCH(421, 輔助計算!$G$2:$G$801, 0)+1)), "")&lt;&gt;IFERROR(INDEX(ERP資料!$A:$A, MATCH(420, 輔助計算!$G$2:$G$801, 0)+1), "")), INDEX(ERP資料!$S:$S, (MATCH(421, 輔助計算!$G$2:$G$801, 0)+1)), ""), "")</f>
        <v/>
      </c>
      <c r="C422" s="19">
        <f>IFERROR(IF(AND(IFERROR(INDEX(ERP資料!$A:$A, (MATCH(421, 輔助計算!$G$2:$G$801, 0)+1)), "")&lt;&gt;"", IFERROR(INDEX(ERP資料!$A:$A, (MATCH(421, 輔助計算!$G$2:$G$801, 0)+1)), "")&lt;&gt;IFERROR(INDEX(ERP資料!$A:$A, MATCH(420, 輔助計算!$G$2:$G$801, 0)+1), "")), IFERROR(VLOOKUP(LEFT(INDEX(ERP資料!$S:$S, (MATCH(421, 輔助計算!$G$2:$G$801, 0)+1)), 4), 紙管對照表!$A:$C, 3, FALSE), ""), ""), "")</f>
        <v/>
      </c>
      <c r="D422" s="16" t="n"/>
      <c r="E422" s="10">
        <f>IFERROR(IF(INDEX(ERP資料!$H:$H, (MATCH(421, 輔助計算!$G$2:$G$801, 0)+1))="","",INDEX(ERP資料!$H:$H, (MATCH(421, 輔助計算!$G$2:$G$801, 0)+1))), "")</f>
        <v/>
      </c>
      <c r="F422" s="10">
        <f>IFERROR(IF(INDEX(ERP資料!$E:$E, (MATCH(421, 輔助計算!$G$2:$G$801, 0)+1))="","",TRIM(INDEX(ERP資料!$E:$E, (MATCH(421, 輔助計算!$G$2:$G$801, 0)+1)))), "")</f>
        <v/>
      </c>
      <c r="G422" s="10">
        <f>IFERROR(IF(INDEX(ERP資料!$F:$F, (MATCH(421, 輔助計算!$G$2:$G$801, 0)+1))="","",INDEX(ERP資料!$F:$F, (MATCH(421, 輔助計算!$G$2:$G$801, 0)+1))), "")</f>
        <v/>
      </c>
      <c r="H422" s="10">
        <f>IFERROR(IF(INDEX(ERP資料!$G:$G, (MATCH(421, 輔助計算!$G$2:$G$801, 0)+1))="","",INDEX(ERP資料!$G:$G, (MATCH(421, 輔助計算!$G$2:$G$801, 0)+1))), "")</f>
        <v/>
      </c>
      <c r="I422" s="15">
        <f>IFERROR(INDEX(輔助計算!$D:$D, (MATCH(421, 輔助計算!$G$2:$G$801, 0)+1)), "")</f>
        <v/>
      </c>
      <c r="J422" s="15">
        <f>IFERROR(IF(AND(INDEX(輔助計算!$D:$D, (MATCH(421, 輔助計算!$G$2:$G$801, 0)+1))&lt;&gt;"", INDEX(ERP資料!$G:$G, (MATCH(421, 輔助計算!$G$2:$G$801, 0)+1))&lt;&gt;""), TRIM(IF(INT(INDEX(輔助計算!$D:$D, (MATCH(421, 輔助計算!$G$2:$G$801, 0)+1))/IF(INDEX(ERP資料!$G:$G, (MATCH(421, 輔助計算!$G$2:$G$801, 0)+1))&lt;100, IF(INDEX(ERP資料!$G:$G, (MATCH(421, 輔助計算!$G$2:$G$801, 0)+1))&lt;=31,3,IF(INDEX(ERP資料!$G:$G, (MATCH(421, 輔助計算!$G$2:$G$801, 0)+1))&lt;=46.5,2,1)), IF(INDEX(ERP資料!$G:$G, (MATCH(421, 輔助計算!$G$2:$G$801, 0)+1))&lt;=790,3,IF(INDEX(ERP資料!$G:$G, (MATCH(421, 輔助計算!$G$2:$G$801, 0)+1))&lt;=1181,2,1))))&gt;0, IF(IF(INDEX(ERP資料!$G:$G, (MATCH(421, 輔助計算!$G$2:$G$801, 0)+1))&lt;100, IF(INDEX(ERP資料!$G:$G, (MATCH(421, 輔助計算!$G$2:$G$801, 0)+1))&lt;=31,3,IF(INDEX(ERP資料!$G:$G, (MATCH(421, 輔助計算!$G$2:$G$801, 0)+1))&lt;=46.5,2,1)), IF(INDEX(ERP資料!$G:$G, (MATCH(421, 輔助計算!$G$2:$G$801, 0)+1))&lt;=790,3,IF(INDEX(ERP資料!$G:$G, (MATCH(421, 輔助計算!$G$2:$G$801, 0)+1))&lt;=1181,2,1)))=1,TEXT(INDEX(ERP資料!$G:$G, (MATCH(421, 輔助計算!$G$2:$G$801, 0)+1)),"0.##"),IF(IF(INDEX(ERP資料!$G:$G, (MATCH(421, 輔助計算!$G$2:$G$801, 0)+1))&lt;100, IF(INDEX(ERP資料!$G:$G, (MATCH(421, 輔助計算!$G$2:$G$801, 0)+1))&lt;=31,3,IF(INDEX(ERP資料!$G:$G, (MATCH(421, 輔助計算!$G$2:$G$801, 0)+1))&lt;=46.5,2,1)), IF(INDEX(ERP資料!$G:$G, (MATCH(421, 輔助計算!$G$2:$G$801, 0)+1))&lt;=790,3,IF(INDEX(ERP資料!$G:$G, (MATCH(421, 輔助計算!$G$2:$G$801, 0)+1))&lt;=1181,2,1)))=2,TEXT(INDEX(ERP資料!$G:$G, (MATCH(421, 輔助計算!$G$2:$G$801, 0)+1)),"0.##")&amp;"+"&amp;TEXT(INDEX(ERP資料!$G:$G, (MATCH(421, 輔助計算!$G$2:$G$801, 0)+1)),"0.##"),TEXT(INDEX(ERP資料!$G:$G, (MATCH(421, 輔助計算!$G$2:$G$801, 0)+1)),"0.##")&amp;"+"&amp;TEXT(INDEX(ERP資料!$G:$G, (MATCH(421, 輔助計算!$G$2:$G$801, 0)+1)),"0.##")&amp;"+"&amp;TEXT(INDEX(ERP資料!$G:$G, (MATCH(421, 輔助計算!$G$2:$G$801, 0)+1)),"0.##")))&amp;"-"&amp;INT(INDEX(輔助計算!$D:$D, (MATCH(421, 輔助計算!$G$2:$G$801, 0)+1))/IF(INDEX(ERP資料!$G:$G, (MATCH(421, 輔助計算!$G$2:$G$801, 0)+1))&lt;100, IF(INDEX(ERP資料!$G:$G, (MATCH(421, 輔助計算!$G$2:$G$801, 0)+1))&lt;=31,3,IF(INDEX(ERP資料!$G:$G, (MATCH(421, 輔助計算!$G$2:$G$801, 0)+1))&lt;=46.5,2,1)), IF(INDEX(ERP資料!$G:$G, (MATCH(421, 輔助計算!$G$2:$G$801, 0)+1))&lt;=790,3,IF(INDEX(ERP資料!$G:$G, (MATCH(421, 輔助計算!$G$2:$G$801, 0)+1))&lt;=1181,2,1)))), "")&amp;IF(AND(IF(INT(INDEX(輔助計算!$D:$D, (MATCH(421, 輔助計算!$G$2:$G$801, 0)+1))/IF(INDEX(ERP資料!$G:$G, (MATCH(421, 輔助計算!$G$2:$G$801, 0)+1))&lt;100, IF(INDEX(ERP資料!$G:$G, (MATCH(421, 輔助計算!$G$2:$G$801, 0)+1))&lt;=31,3,IF(INDEX(ERP資料!$G:$G, (MATCH(421, 輔助計算!$G$2:$G$801, 0)+1))&lt;=46.5,2,1)), IF(INDEX(ERP資料!$G:$G, (MATCH(421, 輔助計算!$G$2:$G$801, 0)+1))&lt;=790,3,IF(INDEX(ERP資料!$G:$G, (MATCH(421, 輔助計算!$G$2:$G$801, 0)+1))&lt;=1181,2,1))))&gt;0, IF(IF(INDEX(ERP資料!$G:$G, (MATCH(421, 輔助計算!$G$2:$G$801, 0)+1))&lt;100, IF(INDEX(ERP資料!$G:$G, (MATCH(421, 輔助計算!$G$2:$G$801, 0)+1))&lt;=31,3,IF(INDEX(ERP資料!$G:$G, (MATCH(421, 輔助計算!$G$2:$G$801, 0)+1))&lt;=46.5,2,1)), IF(INDEX(ERP資料!$G:$G, (MATCH(421, 輔助計算!$G$2:$G$801, 0)+1))&lt;=790,3,IF(INDEX(ERP資料!$G:$G, (MATCH(421, 輔助計算!$G$2:$G$801, 0)+1))&lt;=1181,2,1)))=1,TEXT(INDEX(ERP資料!$G:$G, (MATCH(421, 輔助計算!$G$2:$G$801, 0)+1)),"0.##"),IF(IF(INDEX(ERP資料!$G:$G, (MATCH(421, 輔助計算!$G$2:$G$801, 0)+1))&lt;100, IF(INDEX(ERP資料!$G:$G, (MATCH(421, 輔助計算!$G$2:$G$801, 0)+1))&lt;=31,3,IF(INDEX(ERP資料!$G:$G, (MATCH(421, 輔助計算!$G$2:$G$801, 0)+1))&lt;=46.5,2,1)), IF(INDEX(ERP資料!$G:$G, (MATCH(421, 輔助計算!$G$2:$G$801, 0)+1))&lt;=790,3,IF(INDEX(ERP資料!$G:$G, (MATCH(421, 輔助計算!$G$2:$G$801, 0)+1))&lt;=1181,2,1)))=2,TEXT(INDEX(ERP資料!$G:$G, (MATCH(421, 輔助計算!$G$2:$G$801, 0)+1)),"0.##")&amp;"+"&amp;TEXT(INDEX(ERP資料!$G:$G, (MATCH(421, 輔助計算!$G$2:$G$801, 0)+1)),"0.##"),TEXT(INDEX(ERP資料!$G:$G, (MATCH(421, 輔助計算!$G$2:$G$801, 0)+1)),"0.##")&amp;"+"&amp;TEXT(INDEX(ERP資料!$G:$G, (MATCH(421, 輔助計算!$G$2:$G$801, 0)+1)),"0.##")&amp;"+"&amp;TEXT(INDEX(ERP資料!$G:$G, (MATCH(421, 輔助計算!$G$2:$G$801, 0)+1)),"0.##")))&amp;"-"&amp;INT(INDEX(輔助計算!$D:$D, (MATCH(421, 輔助計算!$G$2:$G$801, 0)+1))/IF(INDEX(ERP資料!$G:$G, (MATCH(421, 輔助計算!$G$2:$G$801, 0)+1))&lt;100, IF(INDEX(ERP資料!$G:$G, (MATCH(421, 輔助計算!$G$2:$G$801, 0)+1))&lt;=31,3,IF(INDEX(ERP資料!$G:$G, (MATCH(421, 輔助計算!$G$2:$G$801, 0)+1))&lt;=46.5,2,1)), IF(INDEX(ERP資料!$G:$G, (MATCH(421, 輔助計算!$G$2:$G$801, 0)+1))&lt;=790,3,IF(INDEX(ERP資料!$G:$G, (MATCH(421, 輔助計算!$G$2:$G$801, 0)+1))&lt;=1181,2,1)))), "")&lt;&gt;"",IF(MOD(INDEX(輔助計算!$D:$D, (MATCH(421, 輔助計算!$G$2:$G$801, 0)+1)),IF(INDEX(ERP資料!$G:$G, (MATCH(421, 輔助計算!$G$2:$G$801, 0)+1))&lt;100, IF(INDEX(ERP資料!$G:$G, (MATCH(421, 輔助計算!$G$2:$G$801, 0)+1))&lt;=31,3,IF(INDEX(ERP資料!$G:$G, (MATCH(421, 輔助計算!$G$2:$G$801, 0)+1))&lt;=46.5,2,1)), IF(INDEX(ERP資料!$G:$G, (MATCH(421, 輔助計算!$G$2:$G$801, 0)+1))&lt;=790,3,IF(INDEX(ERP資料!$G:$G, (MATCH(421, 輔助計算!$G$2:$G$801, 0)+1))&lt;=1181,2,1))))=0,"",IF(MOD(INDEX(輔助計算!$D:$D, (MATCH(421, 輔助計算!$G$2:$G$801, 0)+1)),IF(INDEX(ERP資料!$G:$G, (MATCH(421, 輔助計算!$G$2:$G$801, 0)+1))&lt;100, IF(INDEX(ERP資料!$G:$G, (MATCH(421, 輔助計算!$G$2:$G$801, 0)+1))&lt;=31,3,IF(INDEX(ERP資料!$G:$G, (MATCH(421, 輔助計算!$G$2:$G$801, 0)+1))&lt;=46.5,2,1)), IF(INDEX(ERP資料!$G:$G, (MATCH(421, 輔助計算!$G$2:$G$801, 0)+1))&lt;=790,3,IF(INDEX(ERP資料!$G:$G, (MATCH(421, 輔助計算!$G$2:$G$801, 0)+1))&lt;=1181,2,1))))=0,"",IF(MOD(INDEX(輔助計算!$D:$D, (MATCH(421, 輔助計算!$G$2:$G$801, 0)+1)),IF(INDEX(ERP資料!$G:$G, (MATCH(421, 輔助計算!$G$2:$G$801, 0)+1))&lt;100, IF(INDEX(ERP資料!$G:$G, (MATCH(421, 輔助計算!$G$2:$G$801, 0)+1))&lt;=31,3,IF(INDEX(ERP資料!$G:$G, (MATCH(421, 輔助計算!$G$2:$G$801, 0)+1))&lt;=46.5,2,1)), IF(INDEX(ERP資料!$G:$G, (MATCH(421, 輔助計算!$G$2:$G$801, 0)+1))&lt;=790,3,IF(INDEX(ERP資料!$G:$G, (MATCH(421, 輔助計算!$G$2:$G$801, 0)+1))&lt;=1181,2,1))))=1,TEXT(INDEX(ERP資料!$G:$G, (MATCH(421, 輔助計算!$G$2:$G$801, 0)+1)),"0.##"),IF(MOD(INDEX(輔助計算!$D:$D, (MATCH(421, 輔助計算!$G$2:$G$801, 0)+1)),IF(INDEX(ERP資料!$G:$G, (MATCH(421, 輔助計算!$G$2:$G$801, 0)+1))&lt;100, IF(INDEX(ERP資料!$G:$G, (MATCH(421, 輔助計算!$G$2:$G$801, 0)+1))&lt;=31,3,IF(INDEX(ERP資料!$G:$G, (MATCH(421, 輔助計算!$G$2:$G$801, 0)+1))&lt;=46.5,2,1)), IF(INDEX(ERP資料!$G:$G, (MATCH(421, 輔助計算!$G$2:$G$801, 0)+1))&lt;=790,3,IF(INDEX(ERP資料!$G:$G, (MATCH(421, 輔助計算!$G$2:$G$801, 0)+1))&lt;=1181,2,1))))=2,TEXT(INDEX(ERP資料!$G:$G, (MATCH(421, 輔助計算!$G$2:$G$801, 0)+1)),"0.##")&amp;"+"&amp;TEXT(INDEX(ERP資料!$G:$G, (MATCH(421, 輔助計算!$G$2:$G$801, 0)+1)),"0.##"),TEXT(INDEX(ERP資料!$G:$G, (MATCH(421, 輔助計算!$G$2:$G$801, 0)+1)),"0.##")&amp;"+"&amp;TEXT(INDEX(ERP資料!$G:$G, (MATCH(421, 輔助計算!$G$2:$G$801, 0)+1)),"0.##")&amp;"+"&amp;TEXT(INDEX(ERP資料!$G:$G, (MATCH(421, 輔助計算!$G$2:$G$801, 0)+1)),"0.##"))))&amp;"-1")&lt;&gt;""),"  ","")&amp;IF(MOD(INDEX(輔助計算!$D:$D, (MATCH(421, 輔助計算!$G$2:$G$801, 0)+1)),IF(INDEX(ERP資料!$G:$G, (MATCH(421, 輔助計算!$G$2:$G$801, 0)+1))&lt;100, IF(INDEX(ERP資料!$G:$G, (MATCH(421, 輔助計算!$G$2:$G$801, 0)+1))&lt;=31,3,IF(INDEX(ERP資料!$G:$G, (MATCH(421, 輔助計算!$G$2:$G$801, 0)+1))&lt;=46.5,2,1)), IF(INDEX(ERP資料!$G:$G, (MATCH(421, 輔助計算!$G$2:$G$801, 0)+1))&lt;=790,3,IF(INDEX(ERP資料!$G:$G, (MATCH(421, 輔助計算!$G$2:$G$801, 0)+1))&lt;=1181,2,1))))=0,"",IF(MOD(INDEX(輔助計算!$D:$D, (MATCH(421, 輔助計算!$G$2:$G$801, 0)+1)),IF(INDEX(ERP資料!$G:$G, (MATCH(421, 輔助計算!$G$2:$G$801, 0)+1))&lt;100, IF(INDEX(ERP資料!$G:$G, (MATCH(421, 輔助計算!$G$2:$G$801, 0)+1))&lt;=31,3,IF(INDEX(ERP資料!$G:$G, (MATCH(421, 輔助計算!$G$2:$G$801, 0)+1))&lt;=46.5,2,1)), IF(INDEX(ERP資料!$G:$G, (MATCH(421, 輔助計算!$G$2:$G$801, 0)+1))&lt;=790,3,IF(INDEX(ERP資料!$G:$G, (MATCH(421, 輔助計算!$G$2:$G$801, 0)+1))&lt;=1181,2,1))))=0,"",IF(MOD(INDEX(輔助計算!$D:$D, (MATCH(421, 輔助計算!$G$2:$G$801, 0)+1)),IF(INDEX(ERP資料!$G:$G, (MATCH(421, 輔助計算!$G$2:$G$801, 0)+1))&lt;100, IF(INDEX(ERP資料!$G:$G, (MATCH(421, 輔助計算!$G$2:$G$801, 0)+1))&lt;=31,3,IF(INDEX(ERP資料!$G:$G, (MATCH(421, 輔助計算!$G$2:$G$801, 0)+1))&lt;=46.5,2,1)), IF(INDEX(ERP資料!$G:$G, (MATCH(421, 輔助計算!$G$2:$G$801, 0)+1))&lt;=790,3,IF(INDEX(ERP資料!$G:$G, (MATCH(421, 輔助計算!$G$2:$G$801, 0)+1))&lt;=1181,2,1))))=1,TEXT(INDEX(ERP資料!$G:$G, (MATCH(421, 輔助計算!$G$2:$G$801, 0)+1)),"0.##"),IF(MOD(INDEX(輔助計算!$D:$D, (MATCH(421, 輔助計算!$G$2:$G$801, 0)+1)),IF(INDEX(ERP資料!$G:$G, (MATCH(421, 輔助計算!$G$2:$G$801, 0)+1))&lt;100, IF(INDEX(ERP資料!$G:$G, (MATCH(421, 輔助計算!$G$2:$G$801, 0)+1))&lt;=31,3,IF(INDEX(ERP資料!$G:$G, (MATCH(421, 輔助計算!$G$2:$G$801, 0)+1))&lt;=46.5,2,1)), IF(INDEX(ERP資料!$G:$G, (MATCH(421, 輔助計算!$G$2:$G$801, 0)+1))&lt;=790,3,IF(INDEX(ERP資料!$G:$G, (MATCH(421, 輔助計算!$G$2:$G$801, 0)+1))&lt;=1181,2,1))))=2,TEXT(INDEX(ERP資料!$G:$G, (MATCH(421, 輔助計算!$G$2:$G$801, 0)+1)),"0.##")&amp;"+"&amp;TEXT(INDEX(ERP資料!$G:$G, (MATCH(421, 輔助計算!$G$2:$G$801, 0)+1)),"0.##"),TEXT(INDEX(ERP資料!$G:$G, (MATCH(421, 輔助計算!$G$2:$G$801, 0)+1)),"0.##")&amp;"+"&amp;TEXT(INDEX(ERP資料!$G:$G, (MATCH(421, 輔助計算!$G$2:$G$801, 0)+1)),"0.##")&amp;"+"&amp;TEXT(INDEX(ERP資料!$G:$G, (MATCH(421, 輔助計算!$G$2:$G$801, 0)+1)),"0.##"))))&amp;"-1")), ""), "")</f>
        <v/>
      </c>
      <c r="K422" s="16" t="n"/>
      <c r="L422" s="14">
        <f>IFERROR(IF(AND(IFERROR(INDEX(ERP資料!$A:$A, (MATCH(421, 輔助計算!$G$2:$G$801, 0)+1)), "")&lt;&gt;"", IFERROR(INDEX(ERP資料!$A:$A, (MATCH(421, 輔助計算!$G$2:$G$801, 0)+1)), "")&lt;&gt;IFERROR(INDEX(ERP資料!$A:$A, MATCH(420, 輔助計算!$G$2:$G$801, 0)+1), "")), INDEX(ERP資料!$B:$B, (MATCH(421, 輔助計算!$G$2:$G$801, 0)+1)), ""), "")</f>
        <v/>
      </c>
      <c r="M422" s="17" t="n"/>
    </row>
    <row r="423">
      <c r="A423" s="10">
        <f>IFERROR(IF(AND(IFERROR(INDEX(ERP資料!$A:$A, (MATCH(422, 輔助計算!$G$2:$G$801, 0)+1)), "")&lt;&gt;"", IFERROR(INDEX(ERP資料!$A:$A, (MATCH(422, 輔助計算!$G$2:$G$801, 0)+1)), "")&lt;&gt;IFERROR(INDEX(ERP資料!$A:$A, MATCH(421, 輔助計算!$G$2:$G$801, 0)+1), "")), IFERROR(INDEX(ERP資料!$A:$A, (MATCH(422, 輔助計算!$G$2:$G$801, 0)+1)), ""), ""), "")</f>
        <v/>
      </c>
      <c r="B423" s="10">
        <f>IFERROR(IF(AND(IFERROR(INDEX(ERP資料!$A:$A, (MATCH(422, 輔助計算!$G$2:$G$801, 0)+1)), "")&lt;&gt;"", IFERROR(INDEX(ERP資料!$A:$A, (MATCH(422, 輔助計算!$G$2:$G$801, 0)+1)), "")&lt;&gt;IFERROR(INDEX(ERP資料!$A:$A, MATCH(421, 輔助計算!$G$2:$G$801, 0)+1), "")), INDEX(ERP資料!$S:$S, (MATCH(422, 輔助計算!$G$2:$G$801, 0)+1)), ""), "")</f>
        <v/>
      </c>
      <c r="C423" s="19">
        <f>IFERROR(IF(AND(IFERROR(INDEX(ERP資料!$A:$A, (MATCH(422, 輔助計算!$G$2:$G$801, 0)+1)), "")&lt;&gt;"", IFERROR(INDEX(ERP資料!$A:$A, (MATCH(422, 輔助計算!$G$2:$G$801, 0)+1)), "")&lt;&gt;IFERROR(INDEX(ERP資料!$A:$A, MATCH(421, 輔助計算!$G$2:$G$801, 0)+1), "")), IFERROR(VLOOKUP(LEFT(INDEX(ERP資料!$S:$S, (MATCH(422, 輔助計算!$G$2:$G$801, 0)+1)), 4), 紙管對照表!$A:$C, 3, FALSE), ""), ""), "")</f>
        <v/>
      </c>
      <c r="D423" s="16" t="n"/>
      <c r="E423" s="10">
        <f>IFERROR(IF(INDEX(ERP資料!$H:$H, (MATCH(422, 輔助計算!$G$2:$G$801, 0)+1))="","",INDEX(ERP資料!$H:$H, (MATCH(422, 輔助計算!$G$2:$G$801, 0)+1))), "")</f>
        <v/>
      </c>
      <c r="F423" s="10">
        <f>IFERROR(IF(INDEX(ERP資料!$E:$E, (MATCH(422, 輔助計算!$G$2:$G$801, 0)+1))="","",TRIM(INDEX(ERP資料!$E:$E, (MATCH(422, 輔助計算!$G$2:$G$801, 0)+1)))), "")</f>
        <v/>
      </c>
      <c r="G423" s="10">
        <f>IFERROR(IF(INDEX(ERP資料!$F:$F, (MATCH(422, 輔助計算!$G$2:$G$801, 0)+1))="","",INDEX(ERP資料!$F:$F, (MATCH(422, 輔助計算!$G$2:$G$801, 0)+1))), "")</f>
        <v/>
      </c>
      <c r="H423" s="10">
        <f>IFERROR(IF(INDEX(ERP資料!$G:$G, (MATCH(422, 輔助計算!$G$2:$G$801, 0)+1))="","",INDEX(ERP資料!$G:$G, (MATCH(422, 輔助計算!$G$2:$G$801, 0)+1))), "")</f>
        <v/>
      </c>
      <c r="I423" s="15">
        <f>IFERROR(INDEX(輔助計算!$D:$D, (MATCH(422, 輔助計算!$G$2:$G$801, 0)+1)), "")</f>
        <v/>
      </c>
      <c r="J423" s="15">
        <f>IFERROR(IF(AND(INDEX(輔助計算!$D:$D, (MATCH(422, 輔助計算!$G$2:$G$801, 0)+1))&lt;&gt;"", INDEX(ERP資料!$G:$G, (MATCH(422, 輔助計算!$G$2:$G$801, 0)+1))&lt;&gt;""), TRIM(IF(INT(INDEX(輔助計算!$D:$D, (MATCH(422, 輔助計算!$G$2:$G$801, 0)+1))/IF(INDEX(ERP資料!$G:$G, (MATCH(422, 輔助計算!$G$2:$G$801, 0)+1))&lt;100, IF(INDEX(ERP資料!$G:$G, (MATCH(422, 輔助計算!$G$2:$G$801, 0)+1))&lt;=31,3,IF(INDEX(ERP資料!$G:$G, (MATCH(422, 輔助計算!$G$2:$G$801, 0)+1))&lt;=46.5,2,1)), IF(INDEX(ERP資料!$G:$G, (MATCH(422, 輔助計算!$G$2:$G$801, 0)+1))&lt;=790,3,IF(INDEX(ERP資料!$G:$G, (MATCH(422, 輔助計算!$G$2:$G$801, 0)+1))&lt;=1181,2,1))))&gt;0, IF(IF(INDEX(ERP資料!$G:$G, (MATCH(422, 輔助計算!$G$2:$G$801, 0)+1))&lt;100, IF(INDEX(ERP資料!$G:$G, (MATCH(422, 輔助計算!$G$2:$G$801, 0)+1))&lt;=31,3,IF(INDEX(ERP資料!$G:$G, (MATCH(422, 輔助計算!$G$2:$G$801, 0)+1))&lt;=46.5,2,1)), IF(INDEX(ERP資料!$G:$G, (MATCH(422, 輔助計算!$G$2:$G$801, 0)+1))&lt;=790,3,IF(INDEX(ERP資料!$G:$G, (MATCH(422, 輔助計算!$G$2:$G$801, 0)+1))&lt;=1181,2,1)))=1,TEXT(INDEX(ERP資料!$G:$G, (MATCH(422, 輔助計算!$G$2:$G$801, 0)+1)),"0.##"),IF(IF(INDEX(ERP資料!$G:$G, (MATCH(422, 輔助計算!$G$2:$G$801, 0)+1))&lt;100, IF(INDEX(ERP資料!$G:$G, (MATCH(422, 輔助計算!$G$2:$G$801, 0)+1))&lt;=31,3,IF(INDEX(ERP資料!$G:$G, (MATCH(422, 輔助計算!$G$2:$G$801, 0)+1))&lt;=46.5,2,1)), IF(INDEX(ERP資料!$G:$G, (MATCH(422, 輔助計算!$G$2:$G$801, 0)+1))&lt;=790,3,IF(INDEX(ERP資料!$G:$G, (MATCH(422, 輔助計算!$G$2:$G$801, 0)+1))&lt;=1181,2,1)))=2,TEXT(INDEX(ERP資料!$G:$G, (MATCH(422, 輔助計算!$G$2:$G$801, 0)+1)),"0.##")&amp;"+"&amp;TEXT(INDEX(ERP資料!$G:$G, (MATCH(422, 輔助計算!$G$2:$G$801, 0)+1)),"0.##"),TEXT(INDEX(ERP資料!$G:$G, (MATCH(422, 輔助計算!$G$2:$G$801, 0)+1)),"0.##")&amp;"+"&amp;TEXT(INDEX(ERP資料!$G:$G, (MATCH(422, 輔助計算!$G$2:$G$801, 0)+1)),"0.##")&amp;"+"&amp;TEXT(INDEX(ERP資料!$G:$G, (MATCH(422, 輔助計算!$G$2:$G$801, 0)+1)),"0.##")))&amp;"-"&amp;INT(INDEX(輔助計算!$D:$D, (MATCH(422, 輔助計算!$G$2:$G$801, 0)+1))/IF(INDEX(ERP資料!$G:$G, (MATCH(422, 輔助計算!$G$2:$G$801, 0)+1))&lt;100, IF(INDEX(ERP資料!$G:$G, (MATCH(422, 輔助計算!$G$2:$G$801, 0)+1))&lt;=31,3,IF(INDEX(ERP資料!$G:$G, (MATCH(422, 輔助計算!$G$2:$G$801, 0)+1))&lt;=46.5,2,1)), IF(INDEX(ERP資料!$G:$G, (MATCH(422, 輔助計算!$G$2:$G$801, 0)+1))&lt;=790,3,IF(INDEX(ERP資料!$G:$G, (MATCH(422, 輔助計算!$G$2:$G$801, 0)+1))&lt;=1181,2,1)))), "")&amp;IF(AND(IF(INT(INDEX(輔助計算!$D:$D, (MATCH(422, 輔助計算!$G$2:$G$801, 0)+1))/IF(INDEX(ERP資料!$G:$G, (MATCH(422, 輔助計算!$G$2:$G$801, 0)+1))&lt;100, IF(INDEX(ERP資料!$G:$G, (MATCH(422, 輔助計算!$G$2:$G$801, 0)+1))&lt;=31,3,IF(INDEX(ERP資料!$G:$G, (MATCH(422, 輔助計算!$G$2:$G$801, 0)+1))&lt;=46.5,2,1)), IF(INDEX(ERP資料!$G:$G, (MATCH(422, 輔助計算!$G$2:$G$801, 0)+1))&lt;=790,3,IF(INDEX(ERP資料!$G:$G, (MATCH(422, 輔助計算!$G$2:$G$801, 0)+1))&lt;=1181,2,1))))&gt;0, IF(IF(INDEX(ERP資料!$G:$G, (MATCH(422, 輔助計算!$G$2:$G$801, 0)+1))&lt;100, IF(INDEX(ERP資料!$G:$G, (MATCH(422, 輔助計算!$G$2:$G$801, 0)+1))&lt;=31,3,IF(INDEX(ERP資料!$G:$G, (MATCH(422, 輔助計算!$G$2:$G$801, 0)+1))&lt;=46.5,2,1)), IF(INDEX(ERP資料!$G:$G, (MATCH(422, 輔助計算!$G$2:$G$801, 0)+1))&lt;=790,3,IF(INDEX(ERP資料!$G:$G, (MATCH(422, 輔助計算!$G$2:$G$801, 0)+1))&lt;=1181,2,1)))=1,TEXT(INDEX(ERP資料!$G:$G, (MATCH(422, 輔助計算!$G$2:$G$801, 0)+1)),"0.##"),IF(IF(INDEX(ERP資料!$G:$G, (MATCH(422, 輔助計算!$G$2:$G$801, 0)+1))&lt;100, IF(INDEX(ERP資料!$G:$G, (MATCH(422, 輔助計算!$G$2:$G$801, 0)+1))&lt;=31,3,IF(INDEX(ERP資料!$G:$G, (MATCH(422, 輔助計算!$G$2:$G$801, 0)+1))&lt;=46.5,2,1)), IF(INDEX(ERP資料!$G:$G, (MATCH(422, 輔助計算!$G$2:$G$801, 0)+1))&lt;=790,3,IF(INDEX(ERP資料!$G:$G, (MATCH(422, 輔助計算!$G$2:$G$801, 0)+1))&lt;=1181,2,1)))=2,TEXT(INDEX(ERP資料!$G:$G, (MATCH(422, 輔助計算!$G$2:$G$801, 0)+1)),"0.##")&amp;"+"&amp;TEXT(INDEX(ERP資料!$G:$G, (MATCH(422, 輔助計算!$G$2:$G$801, 0)+1)),"0.##"),TEXT(INDEX(ERP資料!$G:$G, (MATCH(422, 輔助計算!$G$2:$G$801, 0)+1)),"0.##")&amp;"+"&amp;TEXT(INDEX(ERP資料!$G:$G, (MATCH(422, 輔助計算!$G$2:$G$801, 0)+1)),"0.##")&amp;"+"&amp;TEXT(INDEX(ERP資料!$G:$G, (MATCH(422, 輔助計算!$G$2:$G$801, 0)+1)),"0.##")))&amp;"-"&amp;INT(INDEX(輔助計算!$D:$D, (MATCH(422, 輔助計算!$G$2:$G$801, 0)+1))/IF(INDEX(ERP資料!$G:$G, (MATCH(422, 輔助計算!$G$2:$G$801, 0)+1))&lt;100, IF(INDEX(ERP資料!$G:$G, (MATCH(422, 輔助計算!$G$2:$G$801, 0)+1))&lt;=31,3,IF(INDEX(ERP資料!$G:$G, (MATCH(422, 輔助計算!$G$2:$G$801, 0)+1))&lt;=46.5,2,1)), IF(INDEX(ERP資料!$G:$G, (MATCH(422, 輔助計算!$G$2:$G$801, 0)+1))&lt;=790,3,IF(INDEX(ERP資料!$G:$G, (MATCH(422, 輔助計算!$G$2:$G$801, 0)+1))&lt;=1181,2,1)))), "")&lt;&gt;"",IF(MOD(INDEX(輔助計算!$D:$D, (MATCH(422, 輔助計算!$G$2:$G$801, 0)+1)),IF(INDEX(ERP資料!$G:$G, (MATCH(422, 輔助計算!$G$2:$G$801, 0)+1))&lt;100, IF(INDEX(ERP資料!$G:$G, (MATCH(422, 輔助計算!$G$2:$G$801, 0)+1))&lt;=31,3,IF(INDEX(ERP資料!$G:$G, (MATCH(422, 輔助計算!$G$2:$G$801, 0)+1))&lt;=46.5,2,1)), IF(INDEX(ERP資料!$G:$G, (MATCH(422, 輔助計算!$G$2:$G$801, 0)+1))&lt;=790,3,IF(INDEX(ERP資料!$G:$G, (MATCH(422, 輔助計算!$G$2:$G$801, 0)+1))&lt;=1181,2,1))))=0,"",IF(MOD(INDEX(輔助計算!$D:$D, (MATCH(422, 輔助計算!$G$2:$G$801, 0)+1)),IF(INDEX(ERP資料!$G:$G, (MATCH(422, 輔助計算!$G$2:$G$801, 0)+1))&lt;100, IF(INDEX(ERP資料!$G:$G, (MATCH(422, 輔助計算!$G$2:$G$801, 0)+1))&lt;=31,3,IF(INDEX(ERP資料!$G:$G, (MATCH(422, 輔助計算!$G$2:$G$801, 0)+1))&lt;=46.5,2,1)), IF(INDEX(ERP資料!$G:$G, (MATCH(422, 輔助計算!$G$2:$G$801, 0)+1))&lt;=790,3,IF(INDEX(ERP資料!$G:$G, (MATCH(422, 輔助計算!$G$2:$G$801, 0)+1))&lt;=1181,2,1))))=0,"",IF(MOD(INDEX(輔助計算!$D:$D, (MATCH(422, 輔助計算!$G$2:$G$801, 0)+1)),IF(INDEX(ERP資料!$G:$G, (MATCH(422, 輔助計算!$G$2:$G$801, 0)+1))&lt;100, IF(INDEX(ERP資料!$G:$G, (MATCH(422, 輔助計算!$G$2:$G$801, 0)+1))&lt;=31,3,IF(INDEX(ERP資料!$G:$G, (MATCH(422, 輔助計算!$G$2:$G$801, 0)+1))&lt;=46.5,2,1)), IF(INDEX(ERP資料!$G:$G, (MATCH(422, 輔助計算!$G$2:$G$801, 0)+1))&lt;=790,3,IF(INDEX(ERP資料!$G:$G, (MATCH(422, 輔助計算!$G$2:$G$801, 0)+1))&lt;=1181,2,1))))=1,TEXT(INDEX(ERP資料!$G:$G, (MATCH(422, 輔助計算!$G$2:$G$801, 0)+1)),"0.##"),IF(MOD(INDEX(輔助計算!$D:$D, (MATCH(422, 輔助計算!$G$2:$G$801, 0)+1)),IF(INDEX(ERP資料!$G:$G, (MATCH(422, 輔助計算!$G$2:$G$801, 0)+1))&lt;100, IF(INDEX(ERP資料!$G:$G, (MATCH(422, 輔助計算!$G$2:$G$801, 0)+1))&lt;=31,3,IF(INDEX(ERP資料!$G:$G, (MATCH(422, 輔助計算!$G$2:$G$801, 0)+1))&lt;=46.5,2,1)), IF(INDEX(ERP資料!$G:$G, (MATCH(422, 輔助計算!$G$2:$G$801, 0)+1))&lt;=790,3,IF(INDEX(ERP資料!$G:$G, (MATCH(422, 輔助計算!$G$2:$G$801, 0)+1))&lt;=1181,2,1))))=2,TEXT(INDEX(ERP資料!$G:$G, (MATCH(422, 輔助計算!$G$2:$G$801, 0)+1)),"0.##")&amp;"+"&amp;TEXT(INDEX(ERP資料!$G:$G, (MATCH(422, 輔助計算!$G$2:$G$801, 0)+1)),"0.##"),TEXT(INDEX(ERP資料!$G:$G, (MATCH(422, 輔助計算!$G$2:$G$801, 0)+1)),"0.##")&amp;"+"&amp;TEXT(INDEX(ERP資料!$G:$G, (MATCH(422, 輔助計算!$G$2:$G$801, 0)+1)),"0.##")&amp;"+"&amp;TEXT(INDEX(ERP資料!$G:$G, (MATCH(422, 輔助計算!$G$2:$G$801, 0)+1)),"0.##"))))&amp;"-1")&lt;&gt;""),"  ","")&amp;IF(MOD(INDEX(輔助計算!$D:$D, (MATCH(422, 輔助計算!$G$2:$G$801, 0)+1)),IF(INDEX(ERP資料!$G:$G, (MATCH(422, 輔助計算!$G$2:$G$801, 0)+1))&lt;100, IF(INDEX(ERP資料!$G:$G, (MATCH(422, 輔助計算!$G$2:$G$801, 0)+1))&lt;=31,3,IF(INDEX(ERP資料!$G:$G, (MATCH(422, 輔助計算!$G$2:$G$801, 0)+1))&lt;=46.5,2,1)), IF(INDEX(ERP資料!$G:$G, (MATCH(422, 輔助計算!$G$2:$G$801, 0)+1))&lt;=790,3,IF(INDEX(ERP資料!$G:$G, (MATCH(422, 輔助計算!$G$2:$G$801, 0)+1))&lt;=1181,2,1))))=0,"",IF(MOD(INDEX(輔助計算!$D:$D, (MATCH(422, 輔助計算!$G$2:$G$801, 0)+1)),IF(INDEX(ERP資料!$G:$G, (MATCH(422, 輔助計算!$G$2:$G$801, 0)+1))&lt;100, IF(INDEX(ERP資料!$G:$G, (MATCH(422, 輔助計算!$G$2:$G$801, 0)+1))&lt;=31,3,IF(INDEX(ERP資料!$G:$G, (MATCH(422, 輔助計算!$G$2:$G$801, 0)+1))&lt;=46.5,2,1)), IF(INDEX(ERP資料!$G:$G, (MATCH(422, 輔助計算!$G$2:$G$801, 0)+1))&lt;=790,3,IF(INDEX(ERP資料!$G:$G, (MATCH(422, 輔助計算!$G$2:$G$801, 0)+1))&lt;=1181,2,1))))=0,"",IF(MOD(INDEX(輔助計算!$D:$D, (MATCH(422, 輔助計算!$G$2:$G$801, 0)+1)),IF(INDEX(ERP資料!$G:$G, (MATCH(422, 輔助計算!$G$2:$G$801, 0)+1))&lt;100, IF(INDEX(ERP資料!$G:$G, (MATCH(422, 輔助計算!$G$2:$G$801, 0)+1))&lt;=31,3,IF(INDEX(ERP資料!$G:$G, (MATCH(422, 輔助計算!$G$2:$G$801, 0)+1))&lt;=46.5,2,1)), IF(INDEX(ERP資料!$G:$G, (MATCH(422, 輔助計算!$G$2:$G$801, 0)+1))&lt;=790,3,IF(INDEX(ERP資料!$G:$G, (MATCH(422, 輔助計算!$G$2:$G$801, 0)+1))&lt;=1181,2,1))))=1,TEXT(INDEX(ERP資料!$G:$G, (MATCH(422, 輔助計算!$G$2:$G$801, 0)+1)),"0.##"),IF(MOD(INDEX(輔助計算!$D:$D, (MATCH(422, 輔助計算!$G$2:$G$801, 0)+1)),IF(INDEX(ERP資料!$G:$G, (MATCH(422, 輔助計算!$G$2:$G$801, 0)+1))&lt;100, IF(INDEX(ERP資料!$G:$G, (MATCH(422, 輔助計算!$G$2:$G$801, 0)+1))&lt;=31,3,IF(INDEX(ERP資料!$G:$G, (MATCH(422, 輔助計算!$G$2:$G$801, 0)+1))&lt;=46.5,2,1)), IF(INDEX(ERP資料!$G:$G, (MATCH(422, 輔助計算!$G$2:$G$801, 0)+1))&lt;=790,3,IF(INDEX(ERP資料!$G:$G, (MATCH(422, 輔助計算!$G$2:$G$801, 0)+1))&lt;=1181,2,1))))=2,TEXT(INDEX(ERP資料!$G:$G, (MATCH(422, 輔助計算!$G$2:$G$801, 0)+1)),"0.##")&amp;"+"&amp;TEXT(INDEX(ERP資料!$G:$G, (MATCH(422, 輔助計算!$G$2:$G$801, 0)+1)),"0.##"),TEXT(INDEX(ERP資料!$G:$G, (MATCH(422, 輔助計算!$G$2:$G$801, 0)+1)),"0.##")&amp;"+"&amp;TEXT(INDEX(ERP資料!$G:$G, (MATCH(422, 輔助計算!$G$2:$G$801, 0)+1)),"0.##")&amp;"+"&amp;TEXT(INDEX(ERP資料!$G:$G, (MATCH(422, 輔助計算!$G$2:$G$801, 0)+1)),"0.##"))))&amp;"-1")), ""), "")</f>
        <v/>
      </c>
      <c r="K423" s="16" t="n"/>
      <c r="L423" s="14">
        <f>IFERROR(IF(AND(IFERROR(INDEX(ERP資料!$A:$A, (MATCH(422, 輔助計算!$G$2:$G$801, 0)+1)), "")&lt;&gt;"", IFERROR(INDEX(ERP資料!$A:$A, (MATCH(422, 輔助計算!$G$2:$G$801, 0)+1)), "")&lt;&gt;IFERROR(INDEX(ERP資料!$A:$A, MATCH(421, 輔助計算!$G$2:$G$801, 0)+1), "")), INDEX(ERP資料!$B:$B, (MATCH(422, 輔助計算!$G$2:$G$801, 0)+1)), ""), "")</f>
        <v/>
      </c>
      <c r="M423" s="17" t="n"/>
    </row>
    <row r="424">
      <c r="A424" s="10">
        <f>IFERROR(IF(AND(IFERROR(INDEX(ERP資料!$A:$A, (MATCH(423, 輔助計算!$G$2:$G$801, 0)+1)), "")&lt;&gt;"", IFERROR(INDEX(ERP資料!$A:$A, (MATCH(423, 輔助計算!$G$2:$G$801, 0)+1)), "")&lt;&gt;IFERROR(INDEX(ERP資料!$A:$A, MATCH(422, 輔助計算!$G$2:$G$801, 0)+1), "")), IFERROR(INDEX(ERP資料!$A:$A, (MATCH(423, 輔助計算!$G$2:$G$801, 0)+1)), ""), ""), "")</f>
        <v/>
      </c>
      <c r="B424" s="10">
        <f>IFERROR(IF(AND(IFERROR(INDEX(ERP資料!$A:$A, (MATCH(423, 輔助計算!$G$2:$G$801, 0)+1)), "")&lt;&gt;"", IFERROR(INDEX(ERP資料!$A:$A, (MATCH(423, 輔助計算!$G$2:$G$801, 0)+1)), "")&lt;&gt;IFERROR(INDEX(ERP資料!$A:$A, MATCH(422, 輔助計算!$G$2:$G$801, 0)+1), "")), INDEX(ERP資料!$S:$S, (MATCH(423, 輔助計算!$G$2:$G$801, 0)+1)), ""), "")</f>
        <v/>
      </c>
      <c r="C424" s="19">
        <f>IFERROR(IF(AND(IFERROR(INDEX(ERP資料!$A:$A, (MATCH(423, 輔助計算!$G$2:$G$801, 0)+1)), "")&lt;&gt;"", IFERROR(INDEX(ERP資料!$A:$A, (MATCH(423, 輔助計算!$G$2:$G$801, 0)+1)), "")&lt;&gt;IFERROR(INDEX(ERP資料!$A:$A, MATCH(422, 輔助計算!$G$2:$G$801, 0)+1), "")), IFERROR(VLOOKUP(LEFT(INDEX(ERP資料!$S:$S, (MATCH(423, 輔助計算!$G$2:$G$801, 0)+1)), 4), 紙管對照表!$A:$C, 3, FALSE), ""), ""), "")</f>
        <v/>
      </c>
      <c r="D424" s="16" t="n"/>
      <c r="E424" s="10">
        <f>IFERROR(IF(INDEX(ERP資料!$H:$H, (MATCH(423, 輔助計算!$G$2:$G$801, 0)+1))="","",INDEX(ERP資料!$H:$H, (MATCH(423, 輔助計算!$G$2:$G$801, 0)+1))), "")</f>
        <v/>
      </c>
      <c r="F424" s="10">
        <f>IFERROR(IF(INDEX(ERP資料!$E:$E, (MATCH(423, 輔助計算!$G$2:$G$801, 0)+1))="","",TRIM(INDEX(ERP資料!$E:$E, (MATCH(423, 輔助計算!$G$2:$G$801, 0)+1)))), "")</f>
        <v/>
      </c>
      <c r="G424" s="10">
        <f>IFERROR(IF(INDEX(ERP資料!$F:$F, (MATCH(423, 輔助計算!$G$2:$G$801, 0)+1))="","",INDEX(ERP資料!$F:$F, (MATCH(423, 輔助計算!$G$2:$G$801, 0)+1))), "")</f>
        <v/>
      </c>
      <c r="H424" s="10">
        <f>IFERROR(IF(INDEX(ERP資料!$G:$G, (MATCH(423, 輔助計算!$G$2:$G$801, 0)+1))="","",INDEX(ERP資料!$G:$G, (MATCH(423, 輔助計算!$G$2:$G$801, 0)+1))), "")</f>
        <v/>
      </c>
      <c r="I424" s="15">
        <f>IFERROR(INDEX(輔助計算!$D:$D, (MATCH(423, 輔助計算!$G$2:$G$801, 0)+1)), "")</f>
        <v/>
      </c>
      <c r="J424" s="15">
        <f>IFERROR(IF(AND(INDEX(輔助計算!$D:$D, (MATCH(423, 輔助計算!$G$2:$G$801, 0)+1))&lt;&gt;"", INDEX(ERP資料!$G:$G, (MATCH(423, 輔助計算!$G$2:$G$801, 0)+1))&lt;&gt;""), TRIM(IF(INT(INDEX(輔助計算!$D:$D, (MATCH(423, 輔助計算!$G$2:$G$801, 0)+1))/IF(INDEX(ERP資料!$G:$G, (MATCH(423, 輔助計算!$G$2:$G$801, 0)+1))&lt;100, IF(INDEX(ERP資料!$G:$G, (MATCH(423, 輔助計算!$G$2:$G$801, 0)+1))&lt;=31,3,IF(INDEX(ERP資料!$G:$G, (MATCH(423, 輔助計算!$G$2:$G$801, 0)+1))&lt;=46.5,2,1)), IF(INDEX(ERP資料!$G:$G, (MATCH(423, 輔助計算!$G$2:$G$801, 0)+1))&lt;=790,3,IF(INDEX(ERP資料!$G:$G, (MATCH(423, 輔助計算!$G$2:$G$801, 0)+1))&lt;=1181,2,1))))&gt;0, IF(IF(INDEX(ERP資料!$G:$G, (MATCH(423, 輔助計算!$G$2:$G$801, 0)+1))&lt;100, IF(INDEX(ERP資料!$G:$G, (MATCH(423, 輔助計算!$G$2:$G$801, 0)+1))&lt;=31,3,IF(INDEX(ERP資料!$G:$G, (MATCH(423, 輔助計算!$G$2:$G$801, 0)+1))&lt;=46.5,2,1)), IF(INDEX(ERP資料!$G:$G, (MATCH(423, 輔助計算!$G$2:$G$801, 0)+1))&lt;=790,3,IF(INDEX(ERP資料!$G:$G, (MATCH(423, 輔助計算!$G$2:$G$801, 0)+1))&lt;=1181,2,1)))=1,TEXT(INDEX(ERP資料!$G:$G, (MATCH(423, 輔助計算!$G$2:$G$801, 0)+1)),"0.##"),IF(IF(INDEX(ERP資料!$G:$G, (MATCH(423, 輔助計算!$G$2:$G$801, 0)+1))&lt;100, IF(INDEX(ERP資料!$G:$G, (MATCH(423, 輔助計算!$G$2:$G$801, 0)+1))&lt;=31,3,IF(INDEX(ERP資料!$G:$G, (MATCH(423, 輔助計算!$G$2:$G$801, 0)+1))&lt;=46.5,2,1)), IF(INDEX(ERP資料!$G:$G, (MATCH(423, 輔助計算!$G$2:$G$801, 0)+1))&lt;=790,3,IF(INDEX(ERP資料!$G:$G, (MATCH(423, 輔助計算!$G$2:$G$801, 0)+1))&lt;=1181,2,1)))=2,TEXT(INDEX(ERP資料!$G:$G, (MATCH(423, 輔助計算!$G$2:$G$801, 0)+1)),"0.##")&amp;"+"&amp;TEXT(INDEX(ERP資料!$G:$G, (MATCH(423, 輔助計算!$G$2:$G$801, 0)+1)),"0.##"),TEXT(INDEX(ERP資料!$G:$G, (MATCH(423, 輔助計算!$G$2:$G$801, 0)+1)),"0.##")&amp;"+"&amp;TEXT(INDEX(ERP資料!$G:$G, (MATCH(423, 輔助計算!$G$2:$G$801, 0)+1)),"0.##")&amp;"+"&amp;TEXT(INDEX(ERP資料!$G:$G, (MATCH(423, 輔助計算!$G$2:$G$801, 0)+1)),"0.##")))&amp;"-"&amp;INT(INDEX(輔助計算!$D:$D, (MATCH(423, 輔助計算!$G$2:$G$801, 0)+1))/IF(INDEX(ERP資料!$G:$G, (MATCH(423, 輔助計算!$G$2:$G$801, 0)+1))&lt;100, IF(INDEX(ERP資料!$G:$G, (MATCH(423, 輔助計算!$G$2:$G$801, 0)+1))&lt;=31,3,IF(INDEX(ERP資料!$G:$G, (MATCH(423, 輔助計算!$G$2:$G$801, 0)+1))&lt;=46.5,2,1)), IF(INDEX(ERP資料!$G:$G, (MATCH(423, 輔助計算!$G$2:$G$801, 0)+1))&lt;=790,3,IF(INDEX(ERP資料!$G:$G, (MATCH(423, 輔助計算!$G$2:$G$801, 0)+1))&lt;=1181,2,1)))), "")&amp;IF(AND(IF(INT(INDEX(輔助計算!$D:$D, (MATCH(423, 輔助計算!$G$2:$G$801, 0)+1))/IF(INDEX(ERP資料!$G:$G, (MATCH(423, 輔助計算!$G$2:$G$801, 0)+1))&lt;100, IF(INDEX(ERP資料!$G:$G, (MATCH(423, 輔助計算!$G$2:$G$801, 0)+1))&lt;=31,3,IF(INDEX(ERP資料!$G:$G, (MATCH(423, 輔助計算!$G$2:$G$801, 0)+1))&lt;=46.5,2,1)), IF(INDEX(ERP資料!$G:$G, (MATCH(423, 輔助計算!$G$2:$G$801, 0)+1))&lt;=790,3,IF(INDEX(ERP資料!$G:$G, (MATCH(423, 輔助計算!$G$2:$G$801, 0)+1))&lt;=1181,2,1))))&gt;0, IF(IF(INDEX(ERP資料!$G:$G, (MATCH(423, 輔助計算!$G$2:$G$801, 0)+1))&lt;100, IF(INDEX(ERP資料!$G:$G, (MATCH(423, 輔助計算!$G$2:$G$801, 0)+1))&lt;=31,3,IF(INDEX(ERP資料!$G:$G, (MATCH(423, 輔助計算!$G$2:$G$801, 0)+1))&lt;=46.5,2,1)), IF(INDEX(ERP資料!$G:$G, (MATCH(423, 輔助計算!$G$2:$G$801, 0)+1))&lt;=790,3,IF(INDEX(ERP資料!$G:$G, (MATCH(423, 輔助計算!$G$2:$G$801, 0)+1))&lt;=1181,2,1)))=1,TEXT(INDEX(ERP資料!$G:$G, (MATCH(423, 輔助計算!$G$2:$G$801, 0)+1)),"0.##"),IF(IF(INDEX(ERP資料!$G:$G, (MATCH(423, 輔助計算!$G$2:$G$801, 0)+1))&lt;100, IF(INDEX(ERP資料!$G:$G, (MATCH(423, 輔助計算!$G$2:$G$801, 0)+1))&lt;=31,3,IF(INDEX(ERP資料!$G:$G, (MATCH(423, 輔助計算!$G$2:$G$801, 0)+1))&lt;=46.5,2,1)), IF(INDEX(ERP資料!$G:$G, (MATCH(423, 輔助計算!$G$2:$G$801, 0)+1))&lt;=790,3,IF(INDEX(ERP資料!$G:$G, (MATCH(423, 輔助計算!$G$2:$G$801, 0)+1))&lt;=1181,2,1)))=2,TEXT(INDEX(ERP資料!$G:$G, (MATCH(423, 輔助計算!$G$2:$G$801, 0)+1)),"0.##")&amp;"+"&amp;TEXT(INDEX(ERP資料!$G:$G, (MATCH(423, 輔助計算!$G$2:$G$801, 0)+1)),"0.##"),TEXT(INDEX(ERP資料!$G:$G, (MATCH(423, 輔助計算!$G$2:$G$801, 0)+1)),"0.##")&amp;"+"&amp;TEXT(INDEX(ERP資料!$G:$G, (MATCH(423, 輔助計算!$G$2:$G$801, 0)+1)),"0.##")&amp;"+"&amp;TEXT(INDEX(ERP資料!$G:$G, (MATCH(423, 輔助計算!$G$2:$G$801, 0)+1)),"0.##")))&amp;"-"&amp;INT(INDEX(輔助計算!$D:$D, (MATCH(423, 輔助計算!$G$2:$G$801, 0)+1))/IF(INDEX(ERP資料!$G:$G, (MATCH(423, 輔助計算!$G$2:$G$801, 0)+1))&lt;100, IF(INDEX(ERP資料!$G:$G, (MATCH(423, 輔助計算!$G$2:$G$801, 0)+1))&lt;=31,3,IF(INDEX(ERP資料!$G:$G, (MATCH(423, 輔助計算!$G$2:$G$801, 0)+1))&lt;=46.5,2,1)), IF(INDEX(ERP資料!$G:$G, (MATCH(423, 輔助計算!$G$2:$G$801, 0)+1))&lt;=790,3,IF(INDEX(ERP資料!$G:$G, (MATCH(423, 輔助計算!$G$2:$G$801, 0)+1))&lt;=1181,2,1)))), "")&lt;&gt;"",IF(MOD(INDEX(輔助計算!$D:$D, (MATCH(423, 輔助計算!$G$2:$G$801, 0)+1)),IF(INDEX(ERP資料!$G:$G, (MATCH(423, 輔助計算!$G$2:$G$801, 0)+1))&lt;100, IF(INDEX(ERP資料!$G:$G, (MATCH(423, 輔助計算!$G$2:$G$801, 0)+1))&lt;=31,3,IF(INDEX(ERP資料!$G:$G, (MATCH(423, 輔助計算!$G$2:$G$801, 0)+1))&lt;=46.5,2,1)), IF(INDEX(ERP資料!$G:$G, (MATCH(423, 輔助計算!$G$2:$G$801, 0)+1))&lt;=790,3,IF(INDEX(ERP資料!$G:$G, (MATCH(423, 輔助計算!$G$2:$G$801, 0)+1))&lt;=1181,2,1))))=0,"",IF(MOD(INDEX(輔助計算!$D:$D, (MATCH(423, 輔助計算!$G$2:$G$801, 0)+1)),IF(INDEX(ERP資料!$G:$G, (MATCH(423, 輔助計算!$G$2:$G$801, 0)+1))&lt;100, IF(INDEX(ERP資料!$G:$G, (MATCH(423, 輔助計算!$G$2:$G$801, 0)+1))&lt;=31,3,IF(INDEX(ERP資料!$G:$G, (MATCH(423, 輔助計算!$G$2:$G$801, 0)+1))&lt;=46.5,2,1)), IF(INDEX(ERP資料!$G:$G, (MATCH(423, 輔助計算!$G$2:$G$801, 0)+1))&lt;=790,3,IF(INDEX(ERP資料!$G:$G, (MATCH(423, 輔助計算!$G$2:$G$801, 0)+1))&lt;=1181,2,1))))=0,"",IF(MOD(INDEX(輔助計算!$D:$D, (MATCH(423, 輔助計算!$G$2:$G$801, 0)+1)),IF(INDEX(ERP資料!$G:$G, (MATCH(423, 輔助計算!$G$2:$G$801, 0)+1))&lt;100, IF(INDEX(ERP資料!$G:$G, (MATCH(423, 輔助計算!$G$2:$G$801, 0)+1))&lt;=31,3,IF(INDEX(ERP資料!$G:$G, (MATCH(423, 輔助計算!$G$2:$G$801, 0)+1))&lt;=46.5,2,1)), IF(INDEX(ERP資料!$G:$G, (MATCH(423, 輔助計算!$G$2:$G$801, 0)+1))&lt;=790,3,IF(INDEX(ERP資料!$G:$G, (MATCH(423, 輔助計算!$G$2:$G$801, 0)+1))&lt;=1181,2,1))))=1,TEXT(INDEX(ERP資料!$G:$G, (MATCH(423, 輔助計算!$G$2:$G$801, 0)+1)),"0.##"),IF(MOD(INDEX(輔助計算!$D:$D, (MATCH(423, 輔助計算!$G$2:$G$801, 0)+1)),IF(INDEX(ERP資料!$G:$G, (MATCH(423, 輔助計算!$G$2:$G$801, 0)+1))&lt;100, IF(INDEX(ERP資料!$G:$G, (MATCH(423, 輔助計算!$G$2:$G$801, 0)+1))&lt;=31,3,IF(INDEX(ERP資料!$G:$G, (MATCH(423, 輔助計算!$G$2:$G$801, 0)+1))&lt;=46.5,2,1)), IF(INDEX(ERP資料!$G:$G, (MATCH(423, 輔助計算!$G$2:$G$801, 0)+1))&lt;=790,3,IF(INDEX(ERP資料!$G:$G, (MATCH(423, 輔助計算!$G$2:$G$801, 0)+1))&lt;=1181,2,1))))=2,TEXT(INDEX(ERP資料!$G:$G, (MATCH(423, 輔助計算!$G$2:$G$801, 0)+1)),"0.##")&amp;"+"&amp;TEXT(INDEX(ERP資料!$G:$G, (MATCH(423, 輔助計算!$G$2:$G$801, 0)+1)),"0.##"),TEXT(INDEX(ERP資料!$G:$G, (MATCH(423, 輔助計算!$G$2:$G$801, 0)+1)),"0.##")&amp;"+"&amp;TEXT(INDEX(ERP資料!$G:$G, (MATCH(423, 輔助計算!$G$2:$G$801, 0)+1)),"0.##")&amp;"+"&amp;TEXT(INDEX(ERP資料!$G:$G, (MATCH(423, 輔助計算!$G$2:$G$801, 0)+1)),"0.##"))))&amp;"-1")&lt;&gt;""),"  ","")&amp;IF(MOD(INDEX(輔助計算!$D:$D, (MATCH(423, 輔助計算!$G$2:$G$801, 0)+1)),IF(INDEX(ERP資料!$G:$G, (MATCH(423, 輔助計算!$G$2:$G$801, 0)+1))&lt;100, IF(INDEX(ERP資料!$G:$G, (MATCH(423, 輔助計算!$G$2:$G$801, 0)+1))&lt;=31,3,IF(INDEX(ERP資料!$G:$G, (MATCH(423, 輔助計算!$G$2:$G$801, 0)+1))&lt;=46.5,2,1)), IF(INDEX(ERP資料!$G:$G, (MATCH(423, 輔助計算!$G$2:$G$801, 0)+1))&lt;=790,3,IF(INDEX(ERP資料!$G:$G, (MATCH(423, 輔助計算!$G$2:$G$801, 0)+1))&lt;=1181,2,1))))=0,"",IF(MOD(INDEX(輔助計算!$D:$D, (MATCH(423, 輔助計算!$G$2:$G$801, 0)+1)),IF(INDEX(ERP資料!$G:$G, (MATCH(423, 輔助計算!$G$2:$G$801, 0)+1))&lt;100, IF(INDEX(ERP資料!$G:$G, (MATCH(423, 輔助計算!$G$2:$G$801, 0)+1))&lt;=31,3,IF(INDEX(ERP資料!$G:$G, (MATCH(423, 輔助計算!$G$2:$G$801, 0)+1))&lt;=46.5,2,1)), IF(INDEX(ERP資料!$G:$G, (MATCH(423, 輔助計算!$G$2:$G$801, 0)+1))&lt;=790,3,IF(INDEX(ERP資料!$G:$G, (MATCH(423, 輔助計算!$G$2:$G$801, 0)+1))&lt;=1181,2,1))))=0,"",IF(MOD(INDEX(輔助計算!$D:$D, (MATCH(423, 輔助計算!$G$2:$G$801, 0)+1)),IF(INDEX(ERP資料!$G:$G, (MATCH(423, 輔助計算!$G$2:$G$801, 0)+1))&lt;100, IF(INDEX(ERP資料!$G:$G, (MATCH(423, 輔助計算!$G$2:$G$801, 0)+1))&lt;=31,3,IF(INDEX(ERP資料!$G:$G, (MATCH(423, 輔助計算!$G$2:$G$801, 0)+1))&lt;=46.5,2,1)), IF(INDEX(ERP資料!$G:$G, (MATCH(423, 輔助計算!$G$2:$G$801, 0)+1))&lt;=790,3,IF(INDEX(ERP資料!$G:$G, (MATCH(423, 輔助計算!$G$2:$G$801, 0)+1))&lt;=1181,2,1))))=1,TEXT(INDEX(ERP資料!$G:$G, (MATCH(423, 輔助計算!$G$2:$G$801, 0)+1)),"0.##"),IF(MOD(INDEX(輔助計算!$D:$D, (MATCH(423, 輔助計算!$G$2:$G$801, 0)+1)),IF(INDEX(ERP資料!$G:$G, (MATCH(423, 輔助計算!$G$2:$G$801, 0)+1))&lt;100, IF(INDEX(ERP資料!$G:$G, (MATCH(423, 輔助計算!$G$2:$G$801, 0)+1))&lt;=31,3,IF(INDEX(ERP資料!$G:$G, (MATCH(423, 輔助計算!$G$2:$G$801, 0)+1))&lt;=46.5,2,1)), IF(INDEX(ERP資料!$G:$G, (MATCH(423, 輔助計算!$G$2:$G$801, 0)+1))&lt;=790,3,IF(INDEX(ERP資料!$G:$G, (MATCH(423, 輔助計算!$G$2:$G$801, 0)+1))&lt;=1181,2,1))))=2,TEXT(INDEX(ERP資料!$G:$G, (MATCH(423, 輔助計算!$G$2:$G$801, 0)+1)),"0.##")&amp;"+"&amp;TEXT(INDEX(ERP資料!$G:$G, (MATCH(423, 輔助計算!$G$2:$G$801, 0)+1)),"0.##"),TEXT(INDEX(ERP資料!$G:$G, (MATCH(423, 輔助計算!$G$2:$G$801, 0)+1)),"0.##")&amp;"+"&amp;TEXT(INDEX(ERP資料!$G:$G, (MATCH(423, 輔助計算!$G$2:$G$801, 0)+1)),"0.##")&amp;"+"&amp;TEXT(INDEX(ERP資料!$G:$G, (MATCH(423, 輔助計算!$G$2:$G$801, 0)+1)),"0.##"))))&amp;"-1")), ""), "")</f>
        <v/>
      </c>
      <c r="K424" s="16" t="n"/>
      <c r="L424" s="14">
        <f>IFERROR(IF(AND(IFERROR(INDEX(ERP資料!$A:$A, (MATCH(423, 輔助計算!$G$2:$G$801, 0)+1)), "")&lt;&gt;"", IFERROR(INDEX(ERP資料!$A:$A, (MATCH(423, 輔助計算!$G$2:$G$801, 0)+1)), "")&lt;&gt;IFERROR(INDEX(ERP資料!$A:$A, MATCH(422, 輔助計算!$G$2:$G$801, 0)+1), "")), INDEX(ERP資料!$B:$B, (MATCH(423, 輔助計算!$G$2:$G$801, 0)+1)), ""), "")</f>
        <v/>
      </c>
      <c r="M424" s="17" t="n"/>
    </row>
    <row r="425">
      <c r="A425" s="10">
        <f>IFERROR(IF(AND(IFERROR(INDEX(ERP資料!$A:$A, (MATCH(424, 輔助計算!$G$2:$G$801, 0)+1)), "")&lt;&gt;"", IFERROR(INDEX(ERP資料!$A:$A, (MATCH(424, 輔助計算!$G$2:$G$801, 0)+1)), "")&lt;&gt;IFERROR(INDEX(ERP資料!$A:$A, MATCH(423, 輔助計算!$G$2:$G$801, 0)+1), "")), IFERROR(INDEX(ERP資料!$A:$A, (MATCH(424, 輔助計算!$G$2:$G$801, 0)+1)), ""), ""), "")</f>
        <v/>
      </c>
      <c r="B425" s="10">
        <f>IFERROR(IF(AND(IFERROR(INDEX(ERP資料!$A:$A, (MATCH(424, 輔助計算!$G$2:$G$801, 0)+1)), "")&lt;&gt;"", IFERROR(INDEX(ERP資料!$A:$A, (MATCH(424, 輔助計算!$G$2:$G$801, 0)+1)), "")&lt;&gt;IFERROR(INDEX(ERP資料!$A:$A, MATCH(423, 輔助計算!$G$2:$G$801, 0)+1), "")), INDEX(ERP資料!$S:$S, (MATCH(424, 輔助計算!$G$2:$G$801, 0)+1)), ""), "")</f>
        <v/>
      </c>
      <c r="C425" s="19">
        <f>IFERROR(IF(AND(IFERROR(INDEX(ERP資料!$A:$A, (MATCH(424, 輔助計算!$G$2:$G$801, 0)+1)), "")&lt;&gt;"", IFERROR(INDEX(ERP資料!$A:$A, (MATCH(424, 輔助計算!$G$2:$G$801, 0)+1)), "")&lt;&gt;IFERROR(INDEX(ERP資料!$A:$A, MATCH(423, 輔助計算!$G$2:$G$801, 0)+1), "")), IFERROR(VLOOKUP(LEFT(INDEX(ERP資料!$S:$S, (MATCH(424, 輔助計算!$G$2:$G$801, 0)+1)), 4), 紙管對照表!$A:$C, 3, FALSE), ""), ""), "")</f>
        <v/>
      </c>
      <c r="D425" s="16" t="n"/>
      <c r="E425" s="10">
        <f>IFERROR(IF(INDEX(ERP資料!$H:$H, (MATCH(424, 輔助計算!$G$2:$G$801, 0)+1))="","",INDEX(ERP資料!$H:$H, (MATCH(424, 輔助計算!$G$2:$G$801, 0)+1))), "")</f>
        <v/>
      </c>
      <c r="F425" s="10">
        <f>IFERROR(IF(INDEX(ERP資料!$E:$E, (MATCH(424, 輔助計算!$G$2:$G$801, 0)+1))="","",TRIM(INDEX(ERP資料!$E:$E, (MATCH(424, 輔助計算!$G$2:$G$801, 0)+1)))), "")</f>
        <v/>
      </c>
      <c r="G425" s="10">
        <f>IFERROR(IF(INDEX(ERP資料!$F:$F, (MATCH(424, 輔助計算!$G$2:$G$801, 0)+1))="","",INDEX(ERP資料!$F:$F, (MATCH(424, 輔助計算!$G$2:$G$801, 0)+1))), "")</f>
        <v/>
      </c>
      <c r="H425" s="10">
        <f>IFERROR(IF(INDEX(ERP資料!$G:$G, (MATCH(424, 輔助計算!$G$2:$G$801, 0)+1))="","",INDEX(ERP資料!$G:$G, (MATCH(424, 輔助計算!$G$2:$G$801, 0)+1))), "")</f>
        <v/>
      </c>
      <c r="I425" s="15">
        <f>IFERROR(INDEX(輔助計算!$D:$D, (MATCH(424, 輔助計算!$G$2:$G$801, 0)+1)), "")</f>
        <v/>
      </c>
      <c r="J425" s="15">
        <f>IFERROR(IF(AND(INDEX(輔助計算!$D:$D, (MATCH(424, 輔助計算!$G$2:$G$801, 0)+1))&lt;&gt;"", INDEX(ERP資料!$G:$G, (MATCH(424, 輔助計算!$G$2:$G$801, 0)+1))&lt;&gt;""), TRIM(IF(INT(INDEX(輔助計算!$D:$D, (MATCH(424, 輔助計算!$G$2:$G$801, 0)+1))/IF(INDEX(ERP資料!$G:$G, (MATCH(424, 輔助計算!$G$2:$G$801, 0)+1))&lt;100, IF(INDEX(ERP資料!$G:$G, (MATCH(424, 輔助計算!$G$2:$G$801, 0)+1))&lt;=31,3,IF(INDEX(ERP資料!$G:$G, (MATCH(424, 輔助計算!$G$2:$G$801, 0)+1))&lt;=46.5,2,1)), IF(INDEX(ERP資料!$G:$G, (MATCH(424, 輔助計算!$G$2:$G$801, 0)+1))&lt;=790,3,IF(INDEX(ERP資料!$G:$G, (MATCH(424, 輔助計算!$G$2:$G$801, 0)+1))&lt;=1181,2,1))))&gt;0, IF(IF(INDEX(ERP資料!$G:$G, (MATCH(424, 輔助計算!$G$2:$G$801, 0)+1))&lt;100, IF(INDEX(ERP資料!$G:$G, (MATCH(424, 輔助計算!$G$2:$G$801, 0)+1))&lt;=31,3,IF(INDEX(ERP資料!$G:$G, (MATCH(424, 輔助計算!$G$2:$G$801, 0)+1))&lt;=46.5,2,1)), IF(INDEX(ERP資料!$G:$G, (MATCH(424, 輔助計算!$G$2:$G$801, 0)+1))&lt;=790,3,IF(INDEX(ERP資料!$G:$G, (MATCH(424, 輔助計算!$G$2:$G$801, 0)+1))&lt;=1181,2,1)))=1,TEXT(INDEX(ERP資料!$G:$G, (MATCH(424, 輔助計算!$G$2:$G$801, 0)+1)),"0.##"),IF(IF(INDEX(ERP資料!$G:$G, (MATCH(424, 輔助計算!$G$2:$G$801, 0)+1))&lt;100, IF(INDEX(ERP資料!$G:$G, (MATCH(424, 輔助計算!$G$2:$G$801, 0)+1))&lt;=31,3,IF(INDEX(ERP資料!$G:$G, (MATCH(424, 輔助計算!$G$2:$G$801, 0)+1))&lt;=46.5,2,1)), IF(INDEX(ERP資料!$G:$G, (MATCH(424, 輔助計算!$G$2:$G$801, 0)+1))&lt;=790,3,IF(INDEX(ERP資料!$G:$G, (MATCH(424, 輔助計算!$G$2:$G$801, 0)+1))&lt;=1181,2,1)))=2,TEXT(INDEX(ERP資料!$G:$G, (MATCH(424, 輔助計算!$G$2:$G$801, 0)+1)),"0.##")&amp;"+"&amp;TEXT(INDEX(ERP資料!$G:$G, (MATCH(424, 輔助計算!$G$2:$G$801, 0)+1)),"0.##"),TEXT(INDEX(ERP資料!$G:$G, (MATCH(424, 輔助計算!$G$2:$G$801, 0)+1)),"0.##")&amp;"+"&amp;TEXT(INDEX(ERP資料!$G:$G, (MATCH(424, 輔助計算!$G$2:$G$801, 0)+1)),"0.##")&amp;"+"&amp;TEXT(INDEX(ERP資料!$G:$G, (MATCH(424, 輔助計算!$G$2:$G$801, 0)+1)),"0.##")))&amp;"-"&amp;INT(INDEX(輔助計算!$D:$D, (MATCH(424, 輔助計算!$G$2:$G$801, 0)+1))/IF(INDEX(ERP資料!$G:$G, (MATCH(424, 輔助計算!$G$2:$G$801, 0)+1))&lt;100, IF(INDEX(ERP資料!$G:$G, (MATCH(424, 輔助計算!$G$2:$G$801, 0)+1))&lt;=31,3,IF(INDEX(ERP資料!$G:$G, (MATCH(424, 輔助計算!$G$2:$G$801, 0)+1))&lt;=46.5,2,1)), IF(INDEX(ERP資料!$G:$G, (MATCH(424, 輔助計算!$G$2:$G$801, 0)+1))&lt;=790,3,IF(INDEX(ERP資料!$G:$G, (MATCH(424, 輔助計算!$G$2:$G$801, 0)+1))&lt;=1181,2,1)))), "")&amp;IF(AND(IF(INT(INDEX(輔助計算!$D:$D, (MATCH(424, 輔助計算!$G$2:$G$801, 0)+1))/IF(INDEX(ERP資料!$G:$G, (MATCH(424, 輔助計算!$G$2:$G$801, 0)+1))&lt;100, IF(INDEX(ERP資料!$G:$G, (MATCH(424, 輔助計算!$G$2:$G$801, 0)+1))&lt;=31,3,IF(INDEX(ERP資料!$G:$G, (MATCH(424, 輔助計算!$G$2:$G$801, 0)+1))&lt;=46.5,2,1)), IF(INDEX(ERP資料!$G:$G, (MATCH(424, 輔助計算!$G$2:$G$801, 0)+1))&lt;=790,3,IF(INDEX(ERP資料!$G:$G, (MATCH(424, 輔助計算!$G$2:$G$801, 0)+1))&lt;=1181,2,1))))&gt;0, IF(IF(INDEX(ERP資料!$G:$G, (MATCH(424, 輔助計算!$G$2:$G$801, 0)+1))&lt;100, IF(INDEX(ERP資料!$G:$G, (MATCH(424, 輔助計算!$G$2:$G$801, 0)+1))&lt;=31,3,IF(INDEX(ERP資料!$G:$G, (MATCH(424, 輔助計算!$G$2:$G$801, 0)+1))&lt;=46.5,2,1)), IF(INDEX(ERP資料!$G:$G, (MATCH(424, 輔助計算!$G$2:$G$801, 0)+1))&lt;=790,3,IF(INDEX(ERP資料!$G:$G, (MATCH(424, 輔助計算!$G$2:$G$801, 0)+1))&lt;=1181,2,1)))=1,TEXT(INDEX(ERP資料!$G:$G, (MATCH(424, 輔助計算!$G$2:$G$801, 0)+1)),"0.##"),IF(IF(INDEX(ERP資料!$G:$G, (MATCH(424, 輔助計算!$G$2:$G$801, 0)+1))&lt;100, IF(INDEX(ERP資料!$G:$G, (MATCH(424, 輔助計算!$G$2:$G$801, 0)+1))&lt;=31,3,IF(INDEX(ERP資料!$G:$G, (MATCH(424, 輔助計算!$G$2:$G$801, 0)+1))&lt;=46.5,2,1)), IF(INDEX(ERP資料!$G:$G, (MATCH(424, 輔助計算!$G$2:$G$801, 0)+1))&lt;=790,3,IF(INDEX(ERP資料!$G:$G, (MATCH(424, 輔助計算!$G$2:$G$801, 0)+1))&lt;=1181,2,1)))=2,TEXT(INDEX(ERP資料!$G:$G, (MATCH(424, 輔助計算!$G$2:$G$801, 0)+1)),"0.##")&amp;"+"&amp;TEXT(INDEX(ERP資料!$G:$G, (MATCH(424, 輔助計算!$G$2:$G$801, 0)+1)),"0.##"),TEXT(INDEX(ERP資料!$G:$G, (MATCH(424, 輔助計算!$G$2:$G$801, 0)+1)),"0.##")&amp;"+"&amp;TEXT(INDEX(ERP資料!$G:$G, (MATCH(424, 輔助計算!$G$2:$G$801, 0)+1)),"0.##")&amp;"+"&amp;TEXT(INDEX(ERP資料!$G:$G, (MATCH(424, 輔助計算!$G$2:$G$801, 0)+1)),"0.##")))&amp;"-"&amp;INT(INDEX(輔助計算!$D:$D, (MATCH(424, 輔助計算!$G$2:$G$801, 0)+1))/IF(INDEX(ERP資料!$G:$G, (MATCH(424, 輔助計算!$G$2:$G$801, 0)+1))&lt;100, IF(INDEX(ERP資料!$G:$G, (MATCH(424, 輔助計算!$G$2:$G$801, 0)+1))&lt;=31,3,IF(INDEX(ERP資料!$G:$G, (MATCH(424, 輔助計算!$G$2:$G$801, 0)+1))&lt;=46.5,2,1)), IF(INDEX(ERP資料!$G:$G, (MATCH(424, 輔助計算!$G$2:$G$801, 0)+1))&lt;=790,3,IF(INDEX(ERP資料!$G:$G, (MATCH(424, 輔助計算!$G$2:$G$801, 0)+1))&lt;=1181,2,1)))), "")&lt;&gt;"",IF(MOD(INDEX(輔助計算!$D:$D, (MATCH(424, 輔助計算!$G$2:$G$801, 0)+1)),IF(INDEX(ERP資料!$G:$G, (MATCH(424, 輔助計算!$G$2:$G$801, 0)+1))&lt;100, IF(INDEX(ERP資料!$G:$G, (MATCH(424, 輔助計算!$G$2:$G$801, 0)+1))&lt;=31,3,IF(INDEX(ERP資料!$G:$G, (MATCH(424, 輔助計算!$G$2:$G$801, 0)+1))&lt;=46.5,2,1)), IF(INDEX(ERP資料!$G:$G, (MATCH(424, 輔助計算!$G$2:$G$801, 0)+1))&lt;=790,3,IF(INDEX(ERP資料!$G:$G, (MATCH(424, 輔助計算!$G$2:$G$801, 0)+1))&lt;=1181,2,1))))=0,"",IF(MOD(INDEX(輔助計算!$D:$D, (MATCH(424, 輔助計算!$G$2:$G$801, 0)+1)),IF(INDEX(ERP資料!$G:$G, (MATCH(424, 輔助計算!$G$2:$G$801, 0)+1))&lt;100, IF(INDEX(ERP資料!$G:$G, (MATCH(424, 輔助計算!$G$2:$G$801, 0)+1))&lt;=31,3,IF(INDEX(ERP資料!$G:$G, (MATCH(424, 輔助計算!$G$2:$G$801, 0)+1))&lt;=46.5,2,1)), IF(INDEX(ERP資料!$G:$G, (MATCH(424, 輔助計算!$G$2:$G$801, 0)+1))&lt;=790,3,IF(INDEX(ERP資料!$G:$G, (MATCH(424, 輔助計算!$G$2:$G$801, 0)+1))&lt;=1181,2,1))))=0,"",IF(MOD(INDEX(輔助計算!$D:$D, (MATCH(424, 輔助計算!$G$2:$G$801, 0)+1)),IF(INDEX(ERP資料!$G:$G, (MATCH(424, 輔助計算!$G$2:$G$801, 0)+1))&lt;100, IF(INDEX(ERP資料!$G:$G, (MATCH(424, 輔助計算!$G$2:$G$801, 0)+1))&lt;=31,3,IF(INDEX(ERP資料!$G:$G, (MATCH(424, 輔助計算!$G$2:$G$801, 0)+1))&lt;=46.5,2,1)), IF(INDEX(ERP資料!$G:$G, (MATCH(424, 輔助計算!$G$2:$G$801, 0)+1))&lt;=790,3,IF(INDEX(ERP資料!$G:$G, (MATCH(424, 輔助計算!$G$2:$G$801, 0)+1))&lt;=1181,2,1))))=1,TEXT(INDEX(ERP資料!$G:$G, (MATCH(424, 輔助計算!$G$2:$G$801, 0)+1)),"0.##"),IF(MOD(INDEX(輔助計算!$D:$D, (MATCH(424, 輔助計算!$G$2:$G$801, 0)+1)),IF(INDEX(ERP資料!$G:$G, (MATCH(424, 輔助計算!$G$2:$G$801, 0)+1))&lt;100, IF(INDEX(ERP資料!$G:$G, (MATCH(424, 輔助計算!$G$2:$G$801, 0)+1))&lt;=31,3,IF(INDEX(ERP資料!$G:$G, (MATCH(424, 輔助計算!$G$2:$G$801, 0)+1))&lt;=46.5,2,1)), IF(INDEX(ERP資料!$G:$G, (MATCH(424, 輔助計算!$G$2:$G$801, 0)+1))&lt;=790,3,IF(INDEX(ERP資料!$G:$G, (MATCH(424, 輔助計算!$G$2:$G$801, 0)+1))&lt;=1181,2,1))))=2,TEXT(INDEX(ERP資料!$G:$G, (MATCH(424, 輔助計算!$G$2:$G$801, 0)+1)),"0.##")&amp;"+"&amp;TEXT(INDEX(ERP資料!$G:$G, (MATCH(424, 輔助計算!$G$2:$G$801, 0)+1)),"0.##"),TEXT(INDEX(ERP資料!$G:$G, (MATCH(424, 輔助計算!$G$2:$G$801, 0)+1)),"0.##")&amp;"+"&amp;TEXT(INDEX(ERP資料!$G:$G, (MATCH(424, 輔助計算!$G$2:$G$801, 0)+1)),"0.##")&amp;"+"&amp;TEXT(INDEX(ERP資料!$G:$G, (MATCH(424, 輔助計算!$G$2:$G$801, 0)+1)),"0.##"))))&amp;"-1")&lt;&gt;""),"  ","")&amp;IF(MOD(INDEX(輔助計算!$D:$D, (MATCH(424, 輔助計算!$G$2:$G$801, 0)+1)),IF(INDEX(ERP資料!$G:$G, (MATCH(424, 輔助計算!$G$2:$G$801, 0)+1))&lt;100, IF(INDEX(ERP資料!$G:$G, (MATCH(424, 輔助計算!$G$2:$G$801, 0)+1))&lt;=31,3,IF(INDEX(ERP資料!$G:$G, (MATCH(424, 輔助計算!$G$2:$G$801, 0)+1))&lt;=46.5,2,1)), IF(INDEX(ERP資料!$G:$G, (MATCH(424, 輔助計算!$G$2:$G$801, 0)+1))&lt;=790,3,IF(INDEX(ERP資料!$G:$G, (MATCH(424, 輔助計算!$G$2:$G$801, 0)+1))&lt;=1181,2,1))))=0,"",IF(MOD(INDEX(輔助計算!$D:$D, (MATCH(424, 輔助計算!$G$2:$G$801, 0)+1)),IF(INDEX(ERP資料!$G:$G, (MATCH(424, 輔助計算!$G$2:$G$801, 0)+1))&lt;100, IF(INDEX(ERP資料!$G:$G, (MATCH(424, 輔助計算!$G$2:$G$801, 0)+1))&lt;=31,3,IF(INDEX(ERP資料!$G:$G, (MATCH(424, 輔助計算!$G$2:$G$801, 0)+1))&lt;=46.5,2,1)), IF(INDEX(ERP資料!$G:$G, (MATCH(424, 輔助計算!$G$2:$G$801, 0)+1))&lt;=790,3,IF(INDEX(ERP資料!$G:$G, (MATCH(424, 輔助計算!$G$2:$G$801, 0)+1))&lt;=1181,2,1))))=0,"",IF(MOD(INDEX(輔助計算!$D:$D, (MATCH(424, 輔助計算!$G$2:$G$801, 0)+1)),IF(INDEX(ERP資料!$G:$G, (MATCH(424, 輔助計算!$G$2:$G$801, 0)+1))&lt;100, IF(INDEX(ERP資料!$G:$G, (MATCH(424, 輔助計算!$G$2:$G$801, 0)+1))&lt;=31,3,IF(INDEX(ERP資料!$G:$G, (MATCH(424, 輔助計算!$G$2:$G$801, 0)+1))&lt;=46.5,2,1)), IF(INDEX(ERP資料!$G:$G, (MATCH(424, 輔助計算!$G$2:$G$801, 0)+1))&lt;=790,3,IF(INDEX(ERP資料!$G:$G, (MATCH(424, 輔助計算!$G$2:$G$801, 0)+1))&lt;=1181,2,1))))=1,TEXT(INDEX(ERP資料!$G:$G, (MATCH(424, 輔助計算!$G$2:$G$801, 0)+1)),"0.##"),IF(MOD(INDEX(輔助計算!$D:$D, (MATCH(424, 輔助計算!$G$2:$G$801, 0)+1)),IF(INDEX(ERP資料!$G:$G, (MATCH(424, 輔助計算!$G$2:$G$801, 0)+1))&lt;100, IF(INDEX(ERP資料!$G:$G, (MATCH(424, 輔助計算!$G$2:$G$801, 0)+1))&lt;=31,3,IF(INDEX(ERP資料!$G:$G, (MATCH(424, 輔助計算!$G$2:$G$801, 0)+1))&lt;=46.5,2,1)), IF(INDEX(ERP資料!$G:$G, (MATCH(424, 輔助計算!$G$2:$G$801, 0)+1))&lt;=790,3,IF(INDEX(ERP資料!$G:$G, (MATCH(424, 輔助計算!$G$2:$G$801, 0)+1))&lt;=1181,2,1))))=2,TEXT(INDEX(ERP資料!$G:$G, (MATCH(424, 輔助計算!$G$2:$G$801, 0)+1)),"0.##")&amp;"+"&amp;TEXT(INDEX(ERP資料!$G:$G, (MATCH(424, 輔助計算!$G$2:$G$801, 0)+1)),"0.##"),TEXT(INDEX(ERP資料!$G:$G, (MATCH(424, 輔助計算!$G$2:$G$801, 0)+1)),"0.##")&amp;"+"&amp;TEXT(INDEX(ERP資料!$G:$G, (MATCH(424, 輔助計算!$G$2:$G$801, 0)+1)),"0.##")&amp;"+"&amp;TEXT(INDEX(ERP資料!$G:$G, (MATCH(424, 輔助計算!$G$2:$G$801, 0)+1)),"0.##"))))&amp;"-1")), ""), "")</f>
        <v/>
      </c>
      <c r="K425" s="16" t="n"/>
      <c r="L425" s="14">
        <f>IFERROR(IF(AND(IFERROR(INDEX(ERP資料!$A:$A, (MATCH(424, 輔助計算!$G$2:$G$801, 0)+1)), "")&lt;&gt;"", IFERROR(INDEX(ERP資料!$A:$A, (MATCH(424, 輔助計算!$G$2:$G$801, 0)+1)), "")&lt;&gt;IFERROR(INDEX(ERP資料!$A:$A, MATCH(423, 輔助計算!$G$2:$G$801, 0)+1), "")), INDEX(ERP資料!$B:$B, (MATCH(424, 輔助計算!$G$2:$G$801, 0)+1)), ""), "")</f>
        <v/>
      </c>
      <c r="M425" s="17" t="n"/>
    </row>
    <row r="426">
      <c r="A426" s="10">
        <f>IFERROR(IF(AND(IFERROR(INDEX(ERP資料!$A:$A, (MATCH(425, 輔助計算!$G$2:$G$801, 0)+1)), "")&lt;&gt;"", IFERROR(INDEX(ERP資料!$A:$A, (MATCH(425, 輔助計算!$G$2:$G$801, 0)+1)), "")&lt;&gt;IFERROR(INDEX(ERP資料!$A:$A, MATCH(424, 輔助計算!$G$2:$G$801, 0)+1), "")), IFERROR(INDEX(ERP資料!$A:$A, (MATCH(425, 輔助計算!$G$2:$G$801, 0)+1)), ""), ""), "")</f>
        <v/>
      </c>
      <c r="B426" s="10">
        <f>IFERROR(IF(AND(IFERROR(INDEX(ERP資料!$A:$A, (MATCH(425, 輔助計算!$G$2:$G$801, 0)+1)), "")&lt;&gt;"", IFERROR(INDEX(ERP資料!$A:$A, (MATCH(425, 輔助計算!$G$2:$G$801, 0)+1)), "")&lt;&gt;IFERROR(INDEX(ERP資料!$A:$A, MATCH(424, 輔助計算!$G$2:$G$801, 0)+1), "")), INDEX(ERP資料!$S:$S, (MATCH(425, 輔助計算!$G$2:$G$801, 0)+1)), ""), "")</f>
        <v/>
      </c>
      <c r="C426" s="19">
        <f>IFERROR(IF(AND(IFERROR(INDEX(ERP資料!$A:$A, (MATCH(425, 輔助計算!$G$2:$G$801, 0)+1)), "")&lt;&gt;"", IFERROR(INDEX(ERP資料!$A:$A, (MATCH(425, 輔助計算!$G$2:$G$801, 0)+1)), "")&lt;&gt;IFERROR(INDEX(ERP資料!$A:$A, MATCH(424, 輔助計算!$G$2:$G$801, 0)+1), "")), IFERROR(VLOOKUP(LEFT(INDEX(ERP資料!$S:$S, (MATCH(425, 輔助計算!$G$2:$G$801, 0)+1)), 4), 紙管對照表!$A:$C, 3, FALSE), ""), ""), "")</f>
        <v/>
      </c>
      <c r="D426" s="16" t="n"/>
      <c r="E426" s="10">
        <f>IFERROR(IF(INDEX(ERP資料!$H:$H, (MATCH(425, 輔助計算!$G$2:$G$801, 0)+1))="","",INDEX(ERP資料!$H:$H, (MATCH(425, 輔助計算!$G$2:$G$801, 0)+1))), "")</f>
        <v/>
      </c>
      <c r="F426" s="10">
        <f>IFERROR(IF(INDEX(ERP資料!$E:$E, (MATCH(425, 輔助計算!$G$2:$G$801, 0)+1))="","",TRIM(INDEX(ERP資料!$E:$E, (MATCH(425, 輔助計算!$G$2:$G$801, 0)+1)))), "")</f>
        <v/>
      </c>
      <c r="G426" s="10">
        <f>IFERROR(IF(INDEX(ERP資料!$F:$F, (MATCH(425, 輔助計算!$G$2:$G$801, 0)+1))="","",INDEX(ERP資料!$F:$F, (MATCH(425, 輔助計算!$G$2:$G$801, 0)+1))), "")</f>
        <v/>
      </c>
      <c r="H426" s="10">
        <f>IFERROR(IF(INDEX(ERP資料!$G:$G, (MATCH(425, 輔助計算!$G$2:$G$801, 0)+1))="","",INDEX(ERP資料!$G:$G, (MATCH(425, 輔助計算!$G$2:$G$801, 0)+1))), "")</f>
        <v/>
      </c>
      <c r="I426" s="15">
        <f>IFERROR(INDEX(輔助計算!$D:$D, (MATCH(425, 輔助計算!$G$2:$G$801, 0)+1)), "")</f>
        <v/>
      </c>
      <c r="J426" s="15">
        <f>IFERROR(IF(AND(INDEX(輔助計算!$D:$D, (MATCH(425, 輔助計算!$G$2:$G$801, 0)+1))&lt;&gt;"", INDEX(ERP資料!$G:$G, (MATCH(425, 輔助計算!$G$2:$G$801, 0)+1))&lt;&gt;""), TRIM(IF(INT(INDEX(輔助計算!$D:$D, (MATCH(425, 輔助計算!$G$2:$G$801, 0)+1))/IF(INDEX(ERP資料!$G:$G, (MATCH(425, 輔助計算!$G$2:$G$801, 0)+1))&lt;100, IF(INDEX(ERP資料!$G:$G, (MATCH(425, 輔助計算!$G$2:$G$801, 0)+1))&lt;=31,3,IF(INDEX(ERP資料!$G:$G, (MATCH(425, 輔助計算!$G$2:$G$801, 0)+1))&lt;=46.5,2,1)), IF(INDEX(ERP資料!$G:$G, (MATCH(425, 輔助計算!$G$2:$G$801, 0)+1))&lt;=790,3,IF(INDEX(ERP資料!$G:$G, (MATCH(425, 輔助計算!$G$2:$G$801, 0)+1))&lt;=1181,2,1))))&gt;0, IF(IF(INDEX(ERP資料!$G:$G, (MATCH(425, 輔助計算!$G$2:$G$801, 0)+1))&lt;100, IF(INDEX(ERP資料!$G:$G, (MATCH(425, 輔助計算!$G$2:$G$801, 0)+1))&lt;=31,3,IF(INDEX(ERP資料!$G:$G, (MATCH(425, 輔助計算!$G$2:$G$801, 0)+1))&lt;=46.5,2,1)), IF(INDEX(ERP資料!$G:$G, (MATCH(425, 輔助計算!$G$2:$G$801, 0)+1))&lt;=790,3,IF(INDEX(ERP資料!$G:$G, (MATCH(425, 輔助計算!$G$2:$G$801, 0)+1))&lt;=1181,2,1)))=1,TEXT(INDEX(ERP資料!$G:$G, (MATCH(425, 輔助計算!$G$2:$G$801, 0)+1)),"0.##"),IF(IF(INDEX(ERP資料!$G:$G, (MATCH(425, 輔助計算!$G$2:$G$801, 0)+1))&lt;100, IF(INDEX(ERP資料!$G:$G, (MATCH(425, 輔助計算!$G$2:$G$801, 0)+1))&lt;=31,3,IF(INDEX(ERP資料!$G:$G, (MATCH(425, 輔助計算!$G$2:$G$801, 0)+1))&lt;=46.5,2,1)), IF(INDEX(ERP資料!$G:$G, (MATCH(425, 輔助計算!$G$2:$G$801, 0)+1))&lt;=790,3,IF(INDEX(ERP資料!$G:$G, (MATCH(425, 輔助計算!$G$2:$G$801, 0)+1))&lt;=1181,2,1)))=2,TEXT(INDEX(ERP資料!$G:$G, (MATCH(425, 輔助計算!$G$2:$G$801, 0)+1)),"0.##")&amp;"+"&amp;TEXT(INDEX(ERP資料!$G:$G, (MATCH(425, 輔助計算!$G$2:$G$801, 0)+1)),"0.##"),TEXT(INDEX(ERP資料!$G:$G, (MATCH(425, 輔助計算!$G$2:$G$801, 0)+1)),"0.##")&amp;"+"&amp;TEXT(INDEX(ERP資料!$G:$G, (MATCH(425, 輔助計算!$G$2:$G$801, 0)+1)),"0.##")&amp;"+"&amp;TEXT(INDEX(ERP資料!$G:$G, (MATCH(425, 輔助計算!$G$2:$G$801, 0)+1)),"0.##")))&amp;"-"&amp;INT(INDEX(輔助計算!$D:$D, (MATCH(425, 輔助計算!$G$2:$G$801, 0)+1))/IF(INDEX(ERP資料!$G:$G, (MATCH(425, 輔助計算!$G$2:$G$801, 0)+1))&lt;100, IF(INDEX(ERP資料!$G:$G, (MATCH(425, 輔助計算!$G$2:$G$801, 0)+1))&lt;=31,3,IF(INDEX(ERP資料!$G:$G, (MATCH(425, 輔助計算!$G$2:$G$801, 0)+1))&lt;=46.5,2,1)), IF(INDEX(ERP資料!$G:$G, (MATCH(425, 輔助計算!$G$2:$G$801, 0)+1))&lt;=790,3,IF(INDEX(ERP資料!$G:$G, (MATCH(425, 輔助計算!$G$2:$G$801, 0)+1))&lt;=1181,2,1)))), "")&amp;IF(AND(IF(INT(INDEX(輔助計算!$D:$D, (MATCH(425, 輔助計算!$G$2:$G$801, 0)+1))/IF(INDEX(ERP資料!$G:$G, (MATCH(425, 輔助計算!$G$2:$G$801, 0)+1))&lt;100, IF(INDEX(ERP資料!$G:$G, (MATCH(425, 輔助計算!$G$2:$G$801, 0)+1))&lt;=31,3,IF(INDEX(ERP資料!$G:$G, (MATCH(425, 輔助計算!$G$2:$G$801, 0)+1))&lt;=46.5,2,1)), IF(INDEX(ERP資料!$G:$G, (MATCH(425, 輔助計算!$G$2:$G$801, 0)+1))&lt;=790,3,IF(INDEX(ERP資料!$G:$G, (MATCH(425, 輔助計算!$G$2:$G$801, 0)+1))&lt;=1181,2,1))))&gt;0, IF(IF(INDEX(ERP資料!$G:$G, (MATCH(425, 輔助計算!$G$2:$G$801, 0)+1))&lt;100, IF(INDEX(ERP資料!$G:$G, (MATCH(425, 輔助計算!$G$2:$G$801, 0)+1))&lt;=31,3,IF(INDEX(ERP資料!$G:$G, (MATCH(425, 輔助計算!$G$2:$G$801, 0)+1))&lt;=46.5,2,1)), IF(INDEX(ERP資料!$G:$G, (MATCH(425, 輔助計算!$G$2:$G$801, 0)+1))&lt;=790,3,IF(INDEX(ERP資料!$G:$G, (MATCH(425, 輔助計算!$G$2:$G$801, 0)+1))&lt;=1181,2,1)))=1,TEXT(INDEX(ERP資料!$G:$G, (MATCH(425, 輔助計算!$G$2:$G$801, 0)+1)),"0.##"),IF(IF(INDEX(ERP資料!$G:$G, (MATCH(425, 輔助計算!$G$2:$G$801, 0)+1))&lt;100, IF(INDEX(ERP資料!$G:$G, (MATCH(425, 輔助計算!$G$2:$G$801, 0)+1))&lt;=31,3,IF(INDEX(ERP資料!$G:$G, (MATCH(425, 輔助計算!$G$2:$G$801, 0)+1))&lt;=46.5,2,1)), IF(INDEX(ERP資料!$G:$G, (MATCH(425, 輔助計算!$G$2:$G$801, 0)+1))&lt;=790,3,IF(INDEX(ERP資料!$G:$G, (MATCH(425, 輔助計算!$G$2:$G$801, 0)+1))&lt;=1181,2,1)))=2,TEXT(INDEX(ERP資料!$G:$G, (MATCH(425, 輔助計算!$G$2:$G$801, 0)+1)),"0.##")&amp;"+"&amp;TEXT(INDEX(ERP資料!$G:$G, (MATCH(425, 輔助計算!$G$2:$G$801, 0)+1)),"0.##"),TEXT(INDEX(ERP資料!$G:$G, (MATCH(425, 輔助計算!$G$2:$G$801, 0)+1)),"0.##")&amp;"+"&amp;TEXT(INDEX(ERP資料!$G:$G, (MATCH(425, 輔助計算!$G$2:$G$801, 0)+1)),"0.##")&amp;"+"&amp;TEXT(INDEX(ERP資料!$G:$G, (MATCH(425, 輔助計算!$G$2:$G$801, 0)+1)),"0.##")))&amp;"-"&amp;INT(INDEX(輔助計算!$D:$D, (MATCH(425, 輔助計算!$G$2:$G$801, 0)+1))/IF(INDEX(ERP資料!$G:$G, (MATCH(425, 輔助計算!$G$2:$G$801, 0)+1))&lt;100, IF(INDEX(ERP資料!$G:$G, (MATCH(425, 輔助計算!$G$2:$G$801, 0)+1))&lt;=31,3,IF(INDEX(ERP資料!$G:$G, (MATCH(425, 輔助計算!$G$2:$G$801, 0)+1))&lt;=46.5,2,1)), IF(INDEX(ERP資料!$G:$G, (MATCH(425, 輔助計算!$G$2:$G$801, 0)+1))&lt;=790,3,IF(INDEX(ERP資料!$G:$G, (MATCH(425, 輔助計算!$G$2:$G$801, 0)+1))&lt;=1181,2,1)))), "")&lt;&gt;"",IF(MOD(INDEX(輔助計算!$D:$D, (MATCH(425, 輔助計算!$G$2:$G$801, 0)+1)),IF(INDEX(ERP資料!$G:$G, (MATCH(425, 輔助計算!$G$2:$G$801, 0)+1))&lt;100, IF(INDEX(ERP資料!$G:$G, (MATCH(425, 輔助計算!$G$2:$G$801, 0)+1))&lt;=31,3,IF(INDEX(ERP資料!$G:$G, (MATCH(425, 輔助計算!$G$2:$G$801, 0)+1))&lt;=46.5,2,1)), IF(INDEX(ERP資料!$G:$G, (MATCH(425, 輔助計算!$G$2:$G$801, 0)+1))&lt;=790,3,IF(INDEX(ERP資料!$G:$G, (MATCH(425, 輔助計算!$G$2:$G$801, 0)+1))&lt;=1181,2,1))))=0,"",IF(MOD(INDEX(輔助計算!$D:$D, (MATCH(425, 輔助計算!$G$2:$G$801, 0)+1)),IF(INDEX(ERP資料!$G:$G, (MATCH(425, 輔助計算!$G$2:$G$801, 0)+1))&lt;100, IF(INDEX(ERP資料!$G:$G, (MATCH(425, 輔助計算!$G$2:$G$801, 0)+1))&lt;=31,3,IF(INDEX(ERP資料!$G:$G, (MATCH(425, 輔助計算!$G$2:$G$801, 0)+1))&lt;=46.5,2,1)), IF(INDEX(ERP資料!$G:$G, (MATCH(425, 輔助計算!$G$2:$G$801, 0)+1))&lt;=790,3,IF(INDEX(ERP資料!$G:$G, (MATCH(425, 輔助計算!$G$2:$G$801, 0)+1))&lt;=1181,2,1))))=0,"",IF(MOD(INDEX(輔助計算!$D:$D, (MATCH(425, 輔助計算!$G$2:$G$801, 0)+1)),IF(INDEX(ERP資料!$G:$G, (MATCH(425, 輔助計算!$G$2:$G$801, 0)+1))&lt;100, IF(INDEX(ERP資料!$G:$G, (MATCH(425, 輔助計算!$G$2:$G$801, 0)+1))&lt;=31,3,IF(INDEX(ERP資料!$G:$G, (MATCH(425, 輔助計算!$G$2:$G$801, 0)+1))&lt;=46.5,2,1)), IF(INDEX(ERP資料!$G:$G, (MATCH(425, 輔助計算!$G$2:$G$801, 0)+1))&lt;=790,3,IF(INDEX(ERP資料!$G:$G, (MATCH(425, 輔助計算!$G$2:$G$801, 0)+1))&lt;=1181,2,1))))=1,TEXT(INDEX(ERP資料!$G:$G, (MATCH(425, 輔助計算!$G$2:$G$801, 0)+1)),"0.##"),IF(MOD(INDEX(輔助計算!$D:$D, (MATCH(425, 輔助計算!$G$2:$G$801, 0)+1)),IF(INDEX(ERP資料!$G:$G, (MATCH(425, 輔助計算!$G$2:$G$801, 0)+1))&lt;100, IF(INDEX(ERP資料!$G:$G, (MATCH(425, 輔助計算!$G$2:$G$801, 0)+1))&lt;=31,3,IF(INDEX(ERP資料!$G:$G, (MATCH(425, 輔助計算!$G$2:$G$801, 0)+1))&lt;=46.5,2,1)), IF(INDEX(ERP資料!$G:$G, (MATCH(425, 輔助計算!$G$2:$G$801, 0)+1))&lt;=790,3,IF(INDEX(ERP資料!$G:$G, (MATCH(425, 輔助計算!$G$2:$G$801, 0)+1))&lt;=1181,2,1))))=2,TEXT(INDEX(ERP資料!$G:$G, (MATCH(425, 輔助計算!$G$2:$G$801, 0)+1)),"0.##")&amp;"+"&amp;TEXT(INDEX(ERP資料!$G:$G, (MATCH(425, 輔助計算!$G$2:$G$801, 0)+1)),"0.##"),TEXT(INDEX(ERP資料!$G:$G, (MATCH(425, 輔助計算!$G$2:$G$801, 0)+1)),"0.##")&amp;"+"&amp;TEXT(INDEX(ERP資料!$G:$G, (MATCH(425, 輔助計算!$G$2:$G$801, 0)+1)),"0.##")&amp;"+"&amp;TEXT(INDEX(ERP資料!$G:$G, (MATCH(425, 輔助計算!$G$2:$G$801, 0)+1)),"0.##"))))&amp;"-1")&lt;&gt;""),"  ","")&amp;IF(MOD(INDEX(輔助計算!$D:$D, (MATCH(425, 輔助計算!$G$2:$G$801, 0)+1)),IF(INDEX(ERP資料!$G:$G, (MATCH(425, 輔助計算!$G$2:$G$801, 0)+1))&lt;100, IF(INDEX(ERP資料!$G:$G, (MATCH(425, 輔助計算!$G$2:$G$801, 0)+1))&lt;=31,3,IF(INDEX(ERP資料!$G:$G, (MATCH(425, 輔助計算!$G$2:$G$801, 0)+1))&lt;=46.5,2,1)), IF(INDEX(ERP資料!$G:$G, (MATCH(425, 輔助計算!$G$2:$G$801, 0)+1))&lt;=790,3,IF(INDEX(ERP資料!$G:$G, (MATCH(425, 輔助計算!$G$2:$G$801, 0)+1))&lt;=1181,2,1))))=0,"",IF(MOD(INDEX(輔助計算!$D:$D, (MATCH(425, 輔助計算!$G$2:$G$801, 0)+1)),IF(INDEX(ERP資料!$G:$G, (MATCH(425, 輔助計算!$G$2:$G$801, 0)+1))&lt;100, IF(INDEX(ERP資料!$G:$G, (MATCH(425, 輔助計算!$G$2:$G$801, 0)+1))&lt;=31,3,IF(INDEX(ERP資料!$G:$G, (MATCH(425, 輔助計算!$G$2:$G$801, 0)+1))&lt;=46.5,2,1)), IF(INDEX(ERP資料!$G:$G, (MATCH(425, 輔助計算!$G$2:$G$801, 0)+1))&lt;=790,3,IF(INDEX(ERP資料!$G:$G, (MATCH(425, 輔助計算!$G$2:$G$801, 0)+1))&lt;=1181,2,1))))=0,"",IF(MOD(INDEX(輔助計算!$D:$D, (MATCH(425, 輔助計算!$G$2:$G$801, 0)+1)),IF(INDEX(ERP資料!$G:$G, (MATCH(425, 輔助計算!$G$2:$G$801, 0)+1))&lt;100, IF(INDEX(ERP資料!$G:$G, (MATCH(425, 輔助計算!$G$2:$G$801, 0)+1))&lt;=31,3,IF(INDEX(ERP資料!$G:$G, (MATCH(425, 輔助計算!$G$2:$G$801, 0)+1))&lt;=46.5,2,1)), IF(INDEX(ERP資料!$G:$G, (MATCH(425, 輔助計算!$G$2:$G$801, 0)+1))&lt;=790,3,IF(INDEX(ERP資料!$G:$G, (MATCH(425, 輔助計算!$G$2:$G$801, 0)+1))&lt;=1181,2,1))))=1,TEXT(INDEX(ERP資料!$G:$G, (MATCH(425, 輔助計算!$G$2:$G$801, 0)+1)),"0.##"),IF(MOD(INDEX(輔助計算!$D:$D, (MATCH(425, 輔助計算!$G$2:$G$801, 0)+1)),IF(INDEX(ERP資料!$G:$G, (MATCH(425, 輔助計算!$G$2:$G$801, 0)+1))&lt;100, IF(INDEX(ERP資料!$G:$G, (MATCH(425, 輔助計算!$G$2:$G$801, 0)+1))&lt;=31,3,IF(INDEX(ERP資料!$G:$G, (MATCH(425, 輔助計算!$G$2:$G$801, 0)+1))&lt;=46.5,2,1)), IF(INDEX(ERP資料!$G:$G, (MATCH(425, 輔助計算!$G$2:$G$801, 0)+1))&lt;=790,3,IF(INDEX(ERP資料!$G:$G, (MATCH(425, 輔助計算!$G$2:$G$801, 0)+1))&lt;=1181,2,1))))=2,TEXT(INDEX(ERP資料!$G:$G, (MATCH(425, 輔助計算!$G$2:$G$801, 0)+1)),"0.##")&amp;"+"&amp;TEXT(INDEX(ERP資料!$G:$G, (MATCH(425, 輔助計算!$G$2:$G$801, 0)+1)),"0.##"),TEXT(INDEX(ERP資料!$G:$G, (MATCH(425, 輔助計算!$G$2:$G$801, 0)+1)),"0.##")&amp;"+"&amp;TEXT(INDEX(ERP資料!$G:$G, (MATCH(425, 輔助計算!$G$2:$G$801, 0)+1)),"0.##")&amp;"+"&amp;TEXT(INDEX(ERP資料!$G:$G, (MATCH(425, 輔助計算!$G$2:$G$801, 0)+1)),"0.##"))))&amp;"-1")), ""), "")</f>
        <v/>
      </c>
      <c r="K426" s="16" t="n"/>
      <c r="L426" s="14">
        <f>IFERROR(IF(AND(IFERROR(INDEX(ERP資料!$A:$A, (MATCH(425, 輔助計算!$G$2:$G$801, 0)+1)), "")&lt;&gt;"", IFERROR(INDEX(ERP資料!$A:$A, (MATCH(425, 輔助計算!$G$2:$G$801, 0)+1)), "")&lt;&gt;IFERROR(INDEX(ERP資料!$A:$A, MATCH(424, 輔助計算!$G$2:$G$801, 0)+1), "")), INDEX(ERP資料!$B:$B, (MATCH(425, 輔助計算!$G$2:$G$801, 0)+1)), ""), "")</f>
        <v/>
      </c>
      <c r="M426" s="17" t="n"/>
    </row>
    <row r="427">
      <c r="A427" s="10">
        <f>IFERROR(IF(AND(IFERROR(INDEX(ERP資料!$A:$A, (MATCH(426, 輔助計算!$G$2:$G$801, 0)+1)), "")&lt;&gt;"", IFERROR(INDEX(ERP資料!$A:$A, (MATCH(426, 輔助計算!$G$2:$G$801, 0)+1)), "")&lt;&gt;IFERROR(INDEX(ERP資料!$A:$A, MATCH(425, 輔助計算!$G$2:$G$801, 0)+1), "")), IFERROR(INDEX(ERP資料!$A:$A, (MATCH(426, 輔助計算!$G$2:$G$801, 0)+1)), ""), ""), "")</f>
        <v/>
      </c>
      <c r="B427" s="10">
        <f>IFERROR(IF(AND(IFERROR(INDEX(ERP資料!$A:$A, (MATCH(426, 輔助計算!$G$2:$G$801, 0)+1)), "")&lt;&gt;"", IFERROR(INDEX(ERP資料!$A:$A, (MATCH(426, 輔助計算!$G$2:$G$801, 0)+1)), "")&lt;&gt;IFERROR(INDEX(ERP資料!$A:$A, MATCH(425, 輔助計算!$G$2:$G$801, 0)+1), "")), INDEX(ERP資料!$S:$S, (MATCH(426, 輔助計算!$G$2:$G$801, 0)+1)), ""), "")</f>
        <v/>
      </c>
      <c r="C427" s="19">
        <f>IFERROR(IF(AND(IFERROR(INDEX(ERP資料!$A:$A, (MATCH(426, 輔助計算!$G$2:$G$801, 0)+1)), "")&lt;&gt;"", IFERROR(INDEX(ERP資料!$A:$A, (MATCH(426, 輔助計算!$G$2:$G$801, 0)+1)), "")&lt;&gt;IFERROR(INDEX(ERP資料!$A:$A, MATCH(425, 輔助計算!$G$2:$G$801, 0)+1), "")), IFERROR(VLOOKUP(LEFT(INDEX(ERP資料!$S:$S, (MATCH(426, 輔助計算!$G$2:$G$801, 0)+1)), 4), 紙管對照表!$A:$C, 3, FALSE), ""), ""), "")</f>
        <v/>
      </c>
      <c r="D427" s="16" t="n"/>
      <c r="E427" s="10">
        <f>IFERROR(IF(INDEX(ERP資料!$H:$H, (MATCH(426, 輔助計算!$G$2:$G$801, 0)+1))="","",INDEX(ERP資料!$H:$H, (MATCH(426, 輔助計算!$G$2:$G$801, 0)+1))), "")</f>
        <v/>
      </c>
      <c r="F427" s="10">
        <f>IFERROR(IF(INDEX(ERP資料!$E:$E, (MATCH(426, 輔助計算!$G$2:$G$801, 0)+1))="","",TRIM(INDEX(ERP資料!$E:$E, (MATCH(426, 輔助計算!$G$2:$G$801, 0)+1)))), "")</f>
        <v/>
      </c>
      <c r="G427" s="10">
        <f>IFERROR(IF(INDEX(ERP資料!$F:$F, (MATCH(426, 輔助計算!$G$2:$G$801, 0)+1))="","",INDEX(ERP資料!$F:$F, (MATCH(426, 輔助計算!$G$2:$G$801, 0)+1))), "")</f>
        <v/>
      </c>
      <c r="H427" s="10">
        <f>IFERROR(IF(INDEX(ERP資料!$G:$G, (MATCH(426, 輔助計算!$G$2:$G$801, 0)+1))="","",INDEX(ERP資料!$G:$G, (MATCH(426, 輔助計算!$G$2:$G$801, 0)+1))), "")</f>
        <v/>
      </c>
      <c r="I427" s="15">
        <f>IFERROR(INDEX(輔助計算!$D:$D, (MATCH(426, 輔助計算!$G$2:$G$801, 0)+1)), "")</f>
        <v/>
      </c>
      <c r="J427" s="15">
        <f>IFERROR(IF(AND(INDEX(輔助計算!$D:$D, (MATCH(426, 輔助計算!$G$2:$G$801, 0)+1))&lt;&gt;"", INDEX(ERP資料!$G:$G, (MATCH(426, 輔助計算!$G$2:$G$801, 0)+1))&lt;&gt;""), TRIM(IF(INT(INDEX(輔助計算!$D:$D, (MATCH(426, 輔助計算!$G$2:$G$801, 0)+1))/IF(INDEX(ERP資料!$G:$G, (MATCH(426, 輔助計算!$G$2:$G$801, 0)+1))&lt;100, IF(INDEX(ERP資料!$G:$G, (MATCH(426, 輔助計算!$G$2:$G$801, 0)+1))&lt;=31,3,IF(INDEX(ERP資料!$G:$G, (MATCH(426, 輔助計算!$G$2:$G$801, 0)+1))&lt;=46.5,2,1)), IF(INDEX(ERP資料!$G:$G, (MATCH(426, 輔助計算!$G$2:$G$801, 0)+1))&lt;=790,3,IF(INDEX(ERP資料!$G:$G, (MATCH(426, 輔助計算!$G$2:$G$801, 0)+1))&lt;=1181,2,1))))&gt;0, IF(IF(INDEX(ERP資料!$G:$G, (MATCH(426, 輔助計算!$G$2:$G$801, 0)+1))&lt;100, IF(INDEX(ERP資料!$G:$G, (MATCH(426, 輔助計算!$G$2:$G$801, 0)+1))&lt;=31,3,IF(INDEX(ERP資料!$G:$G, (MATCH(426, 輔助計算!$G$2:$G$801, 0)+1))&lt;=46.5,2,1)), IF(INDEX(ERP資料!$G:$G, (MATCH(426, 輔助計算!$G$2:$G$801, 0)+1))&lt;=790,3,IF(INDEX(ERP資料!$G:$G, (MATCH(426, 輔助計算!$G$2:$G$801, 0)+1))&lt;=1181,2,1)))=1,TEXT(INDEX(ERP資料!$G:$G, (MATCH(426, 輔助計算!$G$2:$G$801, 0)+1)),"0.##"),IF(IF(INDEX(ERP資料!$G:$G, (MATCH(426, 輔助計算!$G$2:$G$801, 0)+1))&lt;100, IF(INDEX(ERP資料!$G:$G, (MATCH(426, 輔助計算!$G$2:$G$801, 0)+1))&lt;=31,3,IF(INDEX(ERP資料!$G:$G, (MATCH(426, 輔助計算!$G$2:$G$801, 0)+1))&lt;=46.5,2,1)), IF(INDEX(ERP資料!$G:$G, (MATCH(426, 輔助計算!$G$2:$G$801, 0)+1))&lt;=790,3,IF(INDEX(ERP資料!$G:$G, (MATCH(426, 輔助計算!$G$2:$G$801, 0)+1))&lt;=1181,2,1)))=2,TEXT(INDEX(ERP資料!$G:$G, (MATCH(426, 輔助計算!$G$2:$G$801, 0)+1)),"0.##")&amp;"+"&amp;TEXT(INDEX(ERP資料!$G:$G, (MATCH(426, 輔助計算!$G$2:$G$801, 0)+1)),"0.##"),TEXT(INDEX(ERP資料!$G:$G, (MATCH(426, 輔助計算!$G$2:$G$801, 0)+1)),"0.##")&amp;"+"&amp;TEXT(INDEX(ERP資料!$G:$G, (MATCH(426, 輔助計算!$G$2:$G$801, 0)+1)),"0.##")&amp;"+"&amp;TEXT(INDEX(ERP資料!$G:$G, (MATCH(426, 輔助計算!$G$2:$G$801, 0)+1)),"0.##")))&amp;"-"&amp;INT(INDEX(輔助計算!$D:$D, (MATCH(426, 輔助計算!$G$2:$G$801, 0)+1))/IF(INDEX(ERP資料!$G:$G, (MATCH(426, 輔助計算!$G$2:$G$801, 0)+1))&lt;100, IF(INDEX(ERP資料!$G:$G, (MATCH(426, 輔助計算!$G$2:$G$801, 0)+1))&lt;=31,3,IF(INDEX(ERP資料!$G:$G, (MATCH(426, 輔助計算!$G$2:$G$801, 0)+1))&lt;=46.5,2,1)), IF(INDEX(ERP資料!$G:$G, (MATCH(426, 輔助計算!$G$2:$G$801, 0)+1))&lt;=790,3,IF(INDEX(ERP資料!$G:$G, (MATCH(426, 輔助計算!$G$2:$G$801, 0)+1))&lt;=1181,2,1)))), "")&amp;IF(AND(IF(INT(INDEX(輔助計算!$D:$D, (MATCH(426, 輔助計算!$G$2:$G$801, 0)+1))/IF(INDEX(ERP資料!$G:$G, (MATCH(426, 輔助計算!$G$2:$G$801, 0)+1))&lt;100, IF(INDEX(ERP資料!$G:$G, (MATCH(426, 輔助計算!$G$2:$G$801, 0)+1))&lt;=31,3,IF(INDEX(ERP資料!$G:$G, (MATCH(426, 輔助計算!$G$2:$G$801, 0)+1))&lt;=46.5,2,1)), IF(INDEX(ERP資料!$G:$G, (MATCH(426, 輔助計算!$G$2:$G$801, 0)+1))&lt;=790,3,IF(INDEX(ERP資料!$G:$G, (MATCH(426, 輔助計算!$G$2:$G$801, 0)+1))&lt;=1181,2,1))))&gt;0, IF(IF(INDEX(ERP資料!$G:$G, (MATCH(426, 輔助計算!$G$2:$G$801, 0)+1))&lt;100, IF(INDEX(ERP資料!$G:$G, (MATCH(426, 輔助計算!$G$2:$G$801, 0)+1))&lt;=31,3,IF(INDEX(ERP資料!$G:$G, (MATCH(426, 輔助計算!$G$2:$G$801, 0)+1))&lt;=46.5,2,1)), IF(INDEX(ERP資料!$G:$G, (MATCH(426, 輔助計算!$G$2:$G$801, 0)+1))&lt;=790,3,IF(INDEX(ERP資料!$G:$G, (MATCH(426, 輔助計算!$G$2:$G$801, 0)+1))&lt;=1181,2,1)))=1,TEXT(INDEX(ERP資料!$G:$G, (MATCH(426, 輔助計算!$G$2:$G$801, 0)+1)),"0.##"),IF(IF(INDEX(ERP資料!$G:$G, (MATCH(426, 輔助計算!$G$2:$G$801, 0)+1))&lt;100, IF(INDEX(ERP資料!$G:$G, (MATCH(426, 輔助計算!$G$2:$G$801, 0)+1))&lt;=31,3,IF(INDEX(ERP資料!$G:$G, (MATCH(426, 輔助計算!$G$2:$G$801, 0)+1))&lt;=46.5,2,1)), IF(INDEX(ERP資料!$G:$G, (MATCH(426, 輔助計算!$G$2:$G$801, 0)+1))&lt;=790,3,IF(INDEX(ERP資料!$G:$G, (MATCH(426, 輔助計算!$G$2:$G$801, 0)+1))&lt;=1181,2,1)))=2,TEXT(INDEX(ERP資料!$G:$G, (MATCH(426, 輔助計算!$G$2:$G$801, 0)+1)),"0.##")&amp;"+"&amp;TEXT(INDEX(ERP資料!$G:$G, (MATCH(426, 輔助計算!$G$2:$G$801, 0)+1)),"0.##"),TEXT(INDEX(ERP資料!$G:$G, (MATCH(426, 輔助計算!$G$2:$G$801, 0)+1)),"0.##")&amp;"+"&amp;TEXT(INDEX(ERP資料!$G:$G, (MATCH(426, 輔助計算!$G$2:$G$801, 0)+1)),"0.##")&amp;"+"&amp;TEXT(INDEX(ERP資料!$G:$G, (MATCH(426, 輔助計算!$G$2:$G$801, 0)+1)),"0.##")))&amp;"-"&amp;INT(INDEX(輔助計算!$D:$D, (MATCH(426, 輔助計算!$G$2:$G$801, 0)+1))/IF(INDEX(ERP資料!$G:$G, (MATCH(426, 輔助計算!$G$2:$G$801, 0)+1))&lt;100, IF(INDEX(ERP資料!$G:$G, (MATCH(426, 輔助計算!$G$2:$G$801, 0)+1))&lt;=31,3,IF(INDEX(ERP資料!$G:$G, (MATCH(426, 輔助計算!$G$2:$G$801, 0)+1))&lt;=46.5,2,1)), IF(INDEX(ERP資料!$G:$G, (MATCH(426, 輔助計算!$G$2:$G$801, 0)+1))&lt;=790,3,IF(INDEX(ERP資料!$G:$G, (MATCH(426, 輔助計算!$G$2:$G$801, 0)+1))&lt;=1181,2,1)))), "")&lt;&gt;"",IF(MOD(INDEX(輔助計算!$D:$D, (MATCH(426, 輔助計算!$G$2:$G$801, 0)+1)),IF(INDEX(ERP資料!$G:$G, (MATCH(426, 輔助計算!$G$2:$G$801, 0)+1))&lt;100, IF(INDEX(ERP資料!$G:$G, (MATCH(426, 輔助計算!$G$2:$G$801, 0)+1))&lt;=31,3,IF(INDEX(ERP資料!$G:$G, (MATCH(426, 輔助計算!$G$2:$G$801, 0)+1))&lt;=46.5,2,1)), IF(INDEX(ERP資料!$G:$G, (MATCH(426, 輔助計算!$G$2:$G$801, 0)+1))&lt;=790,3,IF(INDEX(ERP資料!$G:$G, (MATCH(426, 輔助計算!$G$2:$G$801, 0)+1))&lt;=1181,2,1))))=0,"",IF(MOD(INDEX(輔助計算!$D:$D, (MATCH(426, 輔助計算!$G$2:$G$801, 0)+1)),IF(INDEX(ERP資料!$G:$G, (MATCH(426, 輔助計算!$G$2:$G$801, 0)+1))&lt;100, IF(INDEX(ERP資料!$G:$G, (MATCH(426, 輔助計算!$G$2:$G$801, 0)+1))&lt;=31,3,IF(INDEX(ERP資料!$G:$G, (MATCH(426, 輔助計算!$G$2:$G$801, 0)+1))&lt;=46.5,2,1)), IF(INDEX(ERP資料!$G:$G, (MATCH(426, 輔助計算!$G$2:$G$801, 0)+1))&lt;=790,3,IF(INDEX(ERP資料!$G:$G, (MATCH(426, 輔助計算!$G$2:$G$801, 0)+1))&lt;=1181,2,1))))=0,"",IF(MOD(INDEX(輔助計算!$D:$D, (MATCH(426, 輔助計算!$G$2:$G$801, 0)+1)),IF(INDEX(ERP資料!$G:$G, (MATCH(426, 輔助計算!$G$2:$G$801, 0)+1))&lt;100, IF(INDEX(ERP資料!$G:$G, (MATCH(426, 輔助計算!$G$2:$G$801, 0)+1))&lt;=31,3,IF(INDEX(ERP資料!$G:$G, (MATCH(426, 輔助計算!$G$2:$G$801, 0)+1))&lt;=46.5,2,1)), IF(INDEX(ERP資料!$G:$G, (MATCH(426, 輔助計算!$G$2:$G$801, 0)+1))&lt;=790,3,IF(INDEX(ERP資料!$G:$G, (MATCH(426, 輔助計算!$G$2:$G$801, 0)+1))&lt;=1181,2,1))))=1,TEXT(INDEX(ERP資料!$G:$G, (MATCH(426, 輔助計算!$G$2:$G$801, 0)+1)),"0.##"),IF(MOD(INDEX(輔助計算!$D:$D, (MATCH(426, 輔助計算!$G$2:$G$801, 0)+1)),IF(INDEX(ERP資料!$G:$G, (MATCH(426, 輔助計算!$G$2:$G$801, 0)+1))&lt;100, IF(INDEX(ERP資料!$G:$G, (MATCH(426, 輔助計算!$G$2:$G$801, 0)+1))&lt;=31,3,IF(INDEX(ERP資料!$G:$G, (MATCH(426, 輔助計算!$G$2:$G$801, 0)+1))&lt;=46.5,2,1)), IF(INDEX(ERP資料!$G:$G, (MATCH(426, 輔助計算!$G$2:$G$801, 0)+1))&lt;=790,3,IF(INDEX(ERP資料!$G:$G, (MATCH(426, 輔助計算!$G$2:$G$801, 0)+1))&lt;=1181,2,1))))=2,TEXT(INDEX(ERP資料!$G:$G, (MATCH(426, 輔助計算!$G$2:$G$801, 0)+1)),"0.##")&amp;"+"&amp;TEXT(INDEX(ERP資料!$G:$G, (MATCH(426, 輔助計算!$G$2:$G$801, 0)+1)),"0.##"),TEXT(INDEX(ERP資料!$G:$G, (MATCH(426, 輔助計算!$G$2:$G$801, 0)+1)),"0.##")&amp;"+"&amp;TEXT(INDEX(ERP資料!$G:$G, (MATCH(426, 輔助計算!$G$2:$G$801, 0)+1)),"0.##")&amp;"+"&amp;TEXT(INDEX(ERP資料!$G:$G, (MATCH(426, 輔助計算!$G$2:$G$801, 0)+1)),"0.##"))))&amp;"-1")&lt;&gt;""),"  ","")&amp;IF(MOD(INDEX(輔助計算!$D:$D, (MATCH(426, 輔助計算!$G$2:$G$801, 0)+1)),IF(INDEX(ERP資料!$G:$G, (MATCH(426, 輔助計算!$G$2:$G$801, 0)+1))&lt;100, IF(INDEX(ERP資料!$G:$G, (MATCH(426, 輔助計算!$G$2:$G$801, 0)+1))&lt;=31,3,IF(INDEX(ERP資料!$G:$G, (MATCH(426, 輔助計算!$G$2:$G$801, 0)+1))&lt;=46.5,2,1)), IF(INDEX(ERP資料!$G:$G, (MATCH(426, 輔助計算!$G$2:$G$801, 0)+1))&lt;=790,3,IF(INDEX(ERP資料!$G:$G, (MATCH(426, 輔助計算!$G$2:$G$801, 0)+1))&lt;=1181,2,1))))=0,"",IF(MOD(INDEX(輔助計算!$D:$D, (MATCH(426, 輔助計算!$G$2:$G$801, 0)+1)),IF(INDEX(ERP資料!$G:$G, (MATCH(426, 輔助計算!$G$2:$G$801, 0)+1))&lt;100, IF(INDEX(ERP資料!$G:$G, (MATCH(426, 輔助計算!$G$2:$G$801, 0)+1))&lt;=31,3,IF(INDEX(ERP資料!$G:$G, (MATCH(426, 輔助計算!$G$2:$G$801, 0)+1))&lt;=46.5,2,1)), IF(INDEX(ERP資料!$G:$G, (MATCH(426, 輔助計算!$G$2:$G$801, 0)+1))&lt;=790,3,IF(INDEX(ERP資料!$G:$G, (MATCH(426, 輔助計算!$G$2:$G$801, 0)+1))&lt;=1181,2,1))))=0,"",IF(MOD(INDEX(輔助計算!$D:$D, (MATCH(426, 輔助計算!$G$2:$G$801, 0)+1)),IF(INDEX(ERP資料!$G:$G, (MATCH(426, 輔助計算!$G$2:$G$801, 0)+1))&lt;100, IF(INDEX(ERP資料!$G:$G, (MATCH(426, 輔助計算!$G$2:$G$801, 0)+1))&lt;=31,3,IF(INDEX(ERP資料!$G:$G, (MATCH(426, 輔助計算!$G$2:$G$801, 0)+1))&lt;=46.5,2,1)), IF(INDEX(ERP資料!$G:$G, (MATCH(426, 輔助計算!$G$2:$G$801, 0)+1))&lt;=790,3,IF(INDEX(ERP資料!$G:$G, (MATCH(426, 輔助計算!$G$2:$G$801, 0)+1))&lt;=1181,2,1))))=1,TEXT(INDEX(ERP資料!$G:$G, (MATCH(426, 輔助計算!$G$2:$G$801, 0)+1)),"0.##"),IF(MOD(INDEX(輔助計算!$D:$D, (MATCH(426, 輔助計算!$G$2:$G$801, 0)+1)),IF(INDEX(ERP資料!$G:$G, (MATCH(426, 輔助計算!$G$2:$G$801, 0)+1))&lt;100, IF(INDEX(ERP資料!$G:$G, (MATCH(426, 輔助計算!$G$2:$G$801, 0)+1))&lt;=31,3,IF(INDEX(ERP資料!$G:$G, (MATCH(426, 輔助計算!$G$2:$G$801, 0)+1))&lt;=46.5,2,1)), IF(INDEX(ERP資料!$G:$G, (MATCH(426, 輔助計算!$G$2:$G$801, 0)+1))&lt;=790,3,IF(INDEX(ERP資料!$G:$G, (MATCH(426, 輔助計算!$G$2:$G$801, 0)+1))&lt;=1181,2,1))))=2,TEXT(INDEX(ERP資料!$G:$G, (MATCH(426, 輔助計算!$G$2:$G$801, 0)+1)),"0.##")&amp;"+"&amp;TEXT(INDEX(ERP資料!$G:$G, (MATCH(426, 輔助計算!$G$2:$G$801, 0)+1)),"0.##"),TEXT(INDEX(ERP資料!$G:$G, (MATCH(426, 輔助計算!$G$2:$G$801, 0)+1)),"0.##")&amp;"+"&amp;TEXT(INDEX(ERP資料!$G:$G, (MATCH(426, 輔助計算!$G$2:$G$801, 0)+1)),"0.##")&amp;"+"&amp;TEXT(INDEX(ERP資料!$G:$G, (MATCH(426, 輔助計算!$G$2:$G$801, 0)+1)),"0.##"))))&amp;"-1")), ""), "")</f>
        <v/>
      </c>
      <c r="K427" s="16" t="n"/>
      <c r="L427" s="14">
        <f>IFERROR(IF(AND(IFERROR(INDEX(ERP資料!$A:$A, (MATCH(426, 輔助計算!$G$2:$G$801, 0)+1)), "")&lt;&gt;"", IFERROR(INDEX(ERP資料!$A:$A, (MATCH(426, 輔助計算!$G$2:$G$801, 0)+1)), "")&lt;&gt;IFERROR(INDEX(ERP資料!$A:$A, MATCH(425, 輔助計算!$G$2:$G$801, 0)+1), "")), INDEX(ERP資料!$B:$B, (MATCH(426, 輔助計算!$G$2:$G$801, 0)+1)), ""), "")</f>
        <v/>
      </c>
      <c r="M427" s="17" t="n"/>
    </row>
    <row r="428">
      <c r="A428" s="10">
        <f>IFERROR(IF(AND(IFERROR(INDEX(ERP資料!$A:$A, (MATCH(427, 輔助計算!$G$2:$G$801, 0)+1)), "")&lt;&gt;"", IFERROR(INDEX(ERP資料!$A:$A, (MATCH(427, 輔助計算!$G$2:$G$801, 0)+1)), "")&lt;&gt;IFERROR(INDEX(ERP資料!$A:$A, MATCH(426, 輔助計算!$G$2:$G$801, 0)+1), "")), IFERROR(INDEX(ERP資料!$A:$A, (MATCH(427, 輔助計算!$G$2:$G$801, 0)+1)), ""), ""), "")</f>
        <v/>
      </c>
      <c r="B428" s="10">
        <f>IFERROR(IF(AND(IFERROR(INDEX(ERP資料!$A:$A, (MATCH(427, 輔助計算!$G$2:$G$801, 0)+1)), "")&lt;&gt;"", IFERROR(INDEX(ERP資料!$A:$A, (MATCH(427, 輔助計算!$G$2:$G$801, 0)+1)), "")&lt;&gt;IFERROR(INDEX(ERP資料!$A:$A, MATCH(426, 輔助計算!$G$2:$G$801, 0)+1), "")), INDEX(ERP資料!$S:$S, (MATCH(427, 輔助計算!$G$2:$G$801, 0)+1)), ""), "")</f>
        <v/>
      </c>
      <c r="C428" s="19">
        <f>IFERROR(IF(AND(IFERROR(INDEX(ERP資料!$A:$A, (MATCH(427, 輔助計算!$G$2:$G$801, 0)+1)), "")&lt;&gt;"", IFERROR(INDEX(ERP資料!$A:$A, (MATCH(427, 輔助計算!$G$2:$G$801, 0)+1)), "")&lt;&gt;IFERROR(INDEX(ERP資料!$A:$A, MATCH(426, 輔助計算!$G$2:$G$801, 0)+1), "")), IFERROR(VLOOKUP(LEFT(INDEX(ERP資料!$S:$S, (MATCH(427, 輔助計算!$G$2:$G$801, 0)+1)), 4), 紙管對照表!$A:$C, 3, FALSE), ""), ""), "")</f>
        <v/>
      </c>
      <c r="D428" s="16" t="n"/>
      <c r="E428" s="10">
        <f>IFERROR(IF(INDEX(ERP資料!$H:$H, (MATCH(427, 輔助計算!$G$2:$G$801, 0)+1))="","",INDEX(ERP資料!$H:$H, (MATCH(427, 輔助計算!$G$2:$G$801, 0)+1))), "")</f>
        <v/>
      </c>
      <c r="F428" s="10">
        <f>IFERROR(IF(INDEX(ERP資料!$E:$E, (MATCH(427, 輔助計算!$G$2:$G$801, 0)+1))="","",TRIM(INDEX(ERP資料!$E:$E, (MATCH(427, 輔助計算!$G$2:$G$801, 0)+1)))), "")</f>
        <v/>
      </c>
      <c r="G428" s="10">
        <f>IFERROR(IF(INDEX(ERP資料!$F:$F, (MATCH(427, 輔助計算!$G$2:$G$801, 0)+1))="","",INDEX(ERP資料!$F:$F, (MATCH(427, 輔助計算!$G$2:$G$801, 0)+1))), "")</f>
        <v/>
      </c>
      <c r="H428" s="10">
        <f>IFERROR(IF(INDEX(ERP資料!$G:$G, (MATCH(427, 輔助計算!$G$2:$G$801, 0)+1))="","",INDEX(ERP資料!$G:$G, (MATCH(427, 輔助計算!$G$2:$G$801, 0)+1))), "")</f>
        <v/>
      </c>
      <c r="I428" s="15">
        <f>IFERROR(INDEX(輔助計算!$D:$D, (MATCH(427, 輔助計算!$G$2:$G$801, 0)+1)), "")</f>
        <v/>
      </c>
      <c r="J428" s="15">
        <f>IFERROR(IF(AND(INDEX(輔助計算!$D:$D, (MATCH(427, 輔助計算!$G$2:$G$801, 0)+1))&lt;&gt;"", INDEX(ERP資料!$G:$G, (MATCH(427, 輔助計算!$G$2:$G$801, 0)+1))&lt;&gt;""), TRIM(IF(INT(INDEX(輔助計算!$D:$D, (MATCH(427, 輔助計算!$G$2:$G$801, 0)+1))/IF(INDEX(ERP資料!$G:$G, (MATCH(427, 輔助計算!$G$2:$G$801, 0)+1))&lt;100, IF(INDEX(ERP資料!$G:$G, (MATCH(427, 輔助計算!$G$2:$G$801, 0)+1))&lt;=31,3,IF(INDEX(ERP資料!$G:$G, (MATCH(427, 輔助計算!$G$2:$G$801, 0)+1))&lt;=46.5,2,1)), IF(INDEX(ERP資料!$G:$G, (MATCH(427, 輔助計算!$G$2:$G$801, 0)+1))&lt;=790,3,IF(INDEX(ERP資料!$G:$G, (MATCH(427, 輔助計算!$G$2:$G$801, 0)+1))&lt;=1181,2,1))))&gt;0, IF(IF(INDEX(ERP資料!$G:$G, (MATCH(427, 輔助計算!$G$2:$G$801, 0)+1))&lt;100, IF(INDEX(ERP資料!$G:$G, (MATCH(427, 輔助計算!$G$2:$G$801, 0)+1))&lt;=31,3,IF(INDEX(ERP資料!$G:$G, (MATCH(427, 輔助計算!$G$2:$G$801, 0)+1))&lt;=46.5,2,1)), IF(INDEX(ERP資料!$G:$G, (MATCH(427, 輔助計算!$G$2:$G$801, 0)+1))&lt;=790,3,IF(INDEX(ERP資料!$G:$G, (MATCH(427, 輔助計算!$G$2:$G$801, 0)+1))&lt;=1181,2,1)))=1,TEXT(INDEX(ERP資料!$G:$G, (MATCH(427, 輔助計算!$G$2:$G$801, 0)+1)),"0.##"),IF(IF(INDEX(ERP資料!$G:$G, (MATCH(427, 輔助計算!$G$2:$G$801, 0)+1))&lt;100, IF(INDEX(ERP資料!$G:$G, (MATCH(427, 輔助計算!$G$2:$G$801, 0)+1))&lt;=31,3,IF(INDEX(ERP資料!$G:$G, (MATCH(427, 輔助計算!$G$2:$G$801, 0)+1))&lt;=46.5,2,1)), IF(INDEX(ERP資料!$G:$G, (MATCH(427, 輔助計算!$G$2:$G$801, 0)+1))&lt;=790,3,IF(INDEX(ERP資料!$G:$G, (MATCH(427, 輔助計算!$G$2:$G$801, 0)+1))&lt;=1181,2,1)))=2,TEXT(INDEX(ERP資料!$G:$G, (MATCH(427, 輔助計算!$G$2:$G$801, 0)+1)),"0.##")&amp;"+"&amp;TEXT(INDEX(ERP資料!$G:$G, (MATCH(427, 輔助計算!$G$2:$G$801, 0)+1)),"0.##"),TEXT(INDEX(ERP資料!$G:$G, (MATCH(427, 輔助計算!$G$2:$G$801, 0)+1)),"0.##")&amp;"+"&amp;TEXT(INDEX(ERP資料!$G:$G, (MATCH(427, 輔助計算!$G$2:$G$801, 0)+1)),"0.##")&amp;"+"&amp;TEXT(INDEX(ERP資料!$G:$G, (MATCH(427, 輔助計算!$G$2:$G$801, 0)+1)),"0.##")))&amp;"-"&amp;INT(INDEX(輔助計算!$D:$D, (MATCH(427, 輔助計算!$G$2:$G$801, 0)+1))/IF(INDEX(ERP資料!$G:$G, (MATCH(427, 輔助計算!$G$2:$G$801, 0)+1))&lt;100, IF(INDEX(ERP資料!$G:$G, (MATCH(427, 輔助計算!$G$2:$G$801, 0)+1))&lt;=31,3,IF(INDEX(ERP資料!$G:$G, (MATCH(427, 輔助計算!$G$2:$G$801, 0)+1))&lt;=46.5,2,1)), IF(INDEX(ERP資料!$G:$G, (MATCH(427, 輔助計算!$G$2:$G$801, 0)+1))&lt;=790,3,IF(INDEX(ERP資料!$G:$G, (MATCH(427, 輔助計算!$G$2:$G$801, 0)+1))&lt;=1181,2,1)))), "")&amp;IF(AND(IF(INT(INDEX(輔助計算!$D:$D, (MATCH(427, 輔助計算!$G$2:$G$801, 0)+1))/IF(INDEX(ERP資料!$G:$G, (MATCH(427, 輔助計算!$G$2:$G$801, 0)+1))&lt;100, IF(INDEX(ERP資料!$G:$G, (MATCH(427, 輔助計算!$G$2:$G$801, 0)+1))&lt;=31,3,IF(INDEX(ERP資料!$G:$G, (MATCH(427, 輔助計算!$G$2:$G$801, 0)+1))&lt;=46.5,2,1)), IF(INDEX(ERP資料!$G:$G, (MATCH(427, 輔助計算!$G$2:$G$801, 0)+1))&lt;=790,3,IF(INDEX(ERP資料!$G:$G, (MATCH(427, 輔助計算!$G$2:$G$801, 0)+1))&lt;=1181,2,1))))&gt;0, IF(IF(INDEX(ERP資料!$G:$G, (MATCH(427, 輔助計算!$G$2:$G$801, 0)+1))&lt;100, IF(INDEX(ERP資料!$G:$G, (MATCH(427, 輔助計算!$G$2:$G$801, 0)+1))&lt;=31,3,IF(INDEX(ERP資料!$G:$G, (MATCH(427, 輔助計算!$G$2:$G$801, 0)+1))&lt;=46.5,2,1)), IF(INDEX(ERP資料!$G:$G, (MATCH(427, 輔助計算!$G$2:$G$801, 0)+1))&lt;=790,3,IF(INDEX(ERP資料!$G:$G, (MATCH(427, 輔助計算!$G$2:$G$801, 0)+1))&lt;=1181,2,1)))=1,TEXT(INDEX(ERP資料!$G:$G, (MATCH(427, 輔助計算!$G$2:$G$801, 0)+1)),"0.##"),IF(IF(INDEX(ERP資料!$G:$G, (MATCH(427, 輔助計算!$G$2:$G$801, 0)+1))&lt;100, IF(INDEX(ERP資料!$G:$G, (MATCH(427, 輔助計算!$G$2:$G$801, 0)+1))&lt;=31,3,IF(INDEX(ERP資料!$G:$G, (MATCH(427, 輔助計算!$G$2:$G$801, 0)+1))&lt;=46.5,2,1)), IF(INDEX(ERP資料!$G:$G, (MATCH(427, 輔助計算!$G$2:$G$801, 0)+1))&lt;=790,3,IF(INDEX(ERP資料!$G:$G, (MATCH(427, 輔助計算!$G$2:$G$801, 0)+1))&lt;=1181,2,1)))=2,TEXT(INDEX(ERP資料!$G:$G, (MATCH(427, 輔助計算!$G$2:$G$801, 0)+1)),"0.##")&amp;"+"&amp;TEXT(INDEX(ERP資料!$G:$G, (MATCH(427, 輔助計算!$G$2:$G$801, 0)+1)),"0.##"),TEXT(INDEX(ERP資料!$G:$G, (MATCH(427, 輔助計算!$G$2:$G$801, 0)+1)),"0.##")&amp;"+"&amp;TEXT(INDEX(ERP資料!$G:$G, (MATCH(427, 輔助計算!$G$2:$G$801, 0)+1)),"0.##")&amp;"+"&amp;TEXT(INDEX(ERP資料!$G:$G, (MATCH(427, 輔助計算!$G$2:$G$801, 0)+1)),"0.##")))&amp;"-"&amp;INT(INDEX(輔助計算!$D:$D, (MATCH(427, 輔助計算!$G$2:$G$801, 0)+1))/IF(INDEX(ERP資料!$G:$G, (MATCH(427, 輔助計算!$G$2:$G$801, 0)+1))&lt;100, IF(INDEX(ERP資料!$G:$G, (MATCH(427, 輔助計算!$G$2:$G$801, 0)+1))&lt;=31,3,IF(INDEX(ERP資料!$G:$G, (MATCH(427, 輔助計算!$G$2:$G$801, 0)+1))&lt;=46.5,2,1)), IF(INDEX(ERP資料!$G:$G, (MATCH(427, 輔助計算!$G$2:$G$801, 0)+1))&lt;=790,3,IF(INDEX(ERP資料!$G:$G, (MATCH(427, 輔助計算!$G$2:$G$801, 0)+1))&lt;=1181,2,1)))), "")&lt;&gt;"",IF(MOD(INDEX(輔助計算!$D:$D, (MATCH(427, 輔助計算!$G$2:$G$801, 0)+1)),IF(INDEX(ERP資料!$G:$G, (MATCH(427, 輔助計算!$G$2:$G$801, 0)+1))&lt;100, IF(INDEX(ERP資料!$G:$G, (MATCH(427, 輔助計算!$G$2:$G$801, 0)+1))&lt;=31,3,IF(INDEX(ERP資料!$G:$G, (MATCH(427, 輔助計算!$G$2:$G$801, 0)+1))&lt;=46.5,2,1)), IF(INDEX(ERP資料!$G:$G, (MATCH(427, 輔助計算!$G$2:$G$801, 0)+1))&lt;=790,3,IF(INDEX(ERP資料!$G:$G, (MATCH(427, 輔助計算!$G$2:$G$801, 0)+1))&lt;=1181,2,1))))=0,"",IF(MOD(INDEX(輔助計算!$D:$D, (MATCH(427, 輔助計算!$G$2:$G$801, 0)+1)),IF(INDEX(ERP資料!$G:$G, (MATCH(427, 輔助計算!$G$2:$G$801, 0)+1))&lt;100, IF(INDEX(ERP資料!$G:$G, (MATCH(427, 輔助計算!$G$2:$G$801, 0)+1))&lt;=31,3,IF(INDEX(ERP資料!$G:$G, (MATCH(427, 輔助計算!$G$2:$G$801, 0)+1))&lt;=46.5,2,1)), IF(INDEX(ERP資料!$G:$G, (MATCH(427, 輔助計算!$G$2:$G$801, 0)+1))&lt;=790,3,IF(INDEX(ERP資料!$G:$G, (MATCH(427, 輔助計算!$G$2:$G$801, 0)+1))&lt;=1181,2,1))))=0,"",IF(MOD(INDEX(輔助計算!$D:$D, (MATCH(427, 輔助計算!$G$2:$G$801, 0)+1)),IF(INDEX(ERP資料!$G:$G, (MATCH(427, 輔助計算!$G$2:$G$801, 0)+1))&lt;100, IF(INDEX(ERP資料!$G:$G, (MATCH(427, 輔助計算!$G$2:$G$801, 0)+1))&lt;=31,3,IF(INDEX(ERP資料!$G:$G, (MATCH(427, 輔助計算!$G$2:$G$801, 0)+1))&lt;=46.5,2,1)), IF(INDEX(ERP資料!$G:$G, (MATCH(427, 輔助計算!$G$2:$G$801, 0)+1))&lt;=790,3,IF(INDEX(ERP資料!$G:$G, (MATCH(427, 輔助計算!$G$2:$G$801, 0)+1))&lt;=1181,2,1))))=1,TEXT(INDEX(ERP資料!$G:$G, (MATCH(427, 輔助計算!$G$2:$G$801, 0)+1)),"0.##"),IF(MOD(INDEX(輔助計算!$D:$D, (MATCH(427, 輔助計算!$G$2:$G$801, 0)+1)),IF(INDEX(ERP資料!$G:$G, (MATCH(427, 輔助計算!$G$2:$G$801, 0)+1))&lt;100, IF(INDEX(ERP資料!$G:$G, (MATCH(427, 輔助計算!$G$2:$G$801, 0)+1))&lt;=31,3,IF(INDEX(ERP資料!$G:$G, (MATCH(427, 輔助計算!$G$2:$G$801, 0)+1))&lt;=46.5,2,1)), IF(INDEX(ERP資料!$G:$G, (MATCH(427, 輔助計算!$G$2:$G$801, 0)+1))&lt;=790,3,IF(INDEX(ERP資料!$G:$G, (MATCH(427, 輔助計算!$G$2:$G$801, 0)+1))&lt;=1181,2,1))))=2,TEXT(INDEX(ERP資料!$G:$G, (MATCH(427, 輔助計算!$G$2:$G$801, 0)+1)),"0.##")&amp;"+"&amp;TEXT(INDEX(ERP資料!$G:$G, (MATCH(427, 輔助計算!$G$2:$G$801, 0)+1)),"0.##"),TEXT(INDEX(ERP資料!$G:$G, (MATCH(427, 輔助計算!$G$2:$G$801, 0)+1)),"0.##")&amp;"+"&amp;TEXT(INDEX(ERP資料!$G:$G, (MATCH(427, 輔助計算!$G$2:$G$801, 0)+1)),"0.##")&amp;"+"&amp;TEXT(INDEX(ERP資料!$G:$G, (MATCH(427, 輔助計算!$G$2:$G$801, 0)+1)),"0.##"))))&amp;"-1")&lt;&gt;""),"  ","")&amp;IF(MOD(INDEX(輔助計算!$D:$D, (MATCH(427, 輔助計算!$G$2:$G$801, 0)+1)),IF(INDEX(ERP資料!$G:$G, (MATCH(427, 輔助計算!$G$2:$G$801, 0)+1))&lt;100, IF(INDEX(ERP資料!$G:$G, (MATCH(427, 輔助計算!$G$2:$G$801, 0)+1))&lt;=31,3,IF(INDEX(ERP資料!$G:$G, (MATCH(427, 輔助計算!$G$2:$G$801, 0)+1))&lt;=46.5,2,1)), IF(INDEX(ERP資料!$G:$G, (MATCH(427, 輔助計算!$G$2:$G$801, 0)+1))&lt;=790,3,IF(INDEX(ERP資料!$G:$G, (MATCH(427, 輔助計算!$G$2:$G$801, 0)+1))&lt;=1181,2,1))))=0,"",IF(MOD(INDEX(輔助計算!$D:$D, (MATCH(427, 輔助計算!$G$2:$G$801, 0)+1)),IF(INDEX(ERP資料!$G:$G, (MATCH(427, 輔助計算!$G$2:$G$801, 0)+1))&lt;100, IF(INDEX(ERP資料!$G:$G, (MATCH(427, 輔助計算!$G$2:$G$801, 0)+1))&lt;=31,3,IF(INDEX(ERP資料!$G:$G, (MATCH(427, 輔助計算!$G$2:$G$801, 0)+1))&lt;=46.5,2,1)), IF(INDEX(ERP資料!$G:$G, (MATCH(427, 輔助計算!$G$2:$G$801, 0)+1))&lt;=790,3,IF(INDEX(ERP資料!$G:$G, (MATCH(427, 輔助計算!$G$2:$G$801, 0)+1))&lt;=1181,2,1))))=0,"",IF(MOD(INDEX(輔助計算!$D:$D, (MATCH(427, 輔助計算!$G$2:$G$801, 0)+1)),IF(INDEX(ERP資料!$G:$G, (MATCH(427, 輔助計算!$G$2:$G$801, 0)+1))&lt;100, IF(INDEX(ERP資料!$G:$G, (MATCH(427, 輔助計算!$G$2:$G$801, 0)+1))&lt;=31,3,IF(INDEX(ERP資料!$G:$G, (MATCH(427, 輔助計算!$G$2:$G$801, 0)+1))&lt;=46.5,2,1)), IF(INDEX(ERP資料!$G:$G, (MATCH(427, 輔助計算!$G$2:$G$801, 0)+1))&lt;=790,3,IF(INDEX(ERP資料!$G:$G, (MATCH(427, 輔助計算!$G$2:$G$801, 0)+1))&lt;=1181,2,1))))=1,TEXT(INDEX(ERP資料!$G:$G, (MATCH(427, 輔助計算!$G$2:$G$801, 0)+1)),"0.##"),IF(MOD(INDEX(輔助計算!$D:$D, (MATCH(427, 輔助計算!$G$2:$G$801, 0)+1)),IF(INDEX(ERP資料!$G:$G, (MATCH(427, 輔助計算!$G$2:$G$801, 0)+1))&lt;100, IF(INDEX(ERP資料!$G:$G, (MATCH(427, 輔助計算!$G$2:$G$801, 0)+1))&lt;=31,3,IF(INDEX(ERP資料!$G:$G, (MATCH(427, 輔助計算!$G$2:$G$801, 0)+1))&lt;=46.5,2,1)), IF(INDEX(ERP資料!$G:$G, (MATCH(427, 輔助計算!$G$2:$G$801, 0)+1))&lt;=790,3,IF(INDEX(ERP資料!$G:$G, (MATCH(427, 輔助計算!$G$2:$G$801, 0)+1))&lt;=1181,2,1))))=2,TEXT(INDEX(ERP資料!$G:$G, (MATCH(427, 輔助計算!$G$2:$G$801, 0)+1)),"0.##")&amp;"+"&amp;TEXT(INDEX(ERP資料!$G:$G, (MATCH(427, 輔助計算!$G$2:$G$801, 0)+1)),"0.##"),TEXT(INDEX(ERP資料!$G:$G, (MATCH(427, 輔助計算!$G$2:$G$801, 0)+1)),"0.##")&amp;"+"&amp;TEXT(INDEX(ERP資料!$G:$G, (MATCH(427, 輔助計算!$G$2:$G$801, 0)+1)),"0.##")&amp;"+"&amp;TEXT(INDEX(ERP資料!$G:$G, (MATCH(427, 輔助計算!$G$2:$G$801, 0)+1)),"0.##"))))&amp;"-1")), ""), "")</f>
        <v/>
      </c>
      <c r="K428" s="16" t="n"/>
      <c r="L428" s="14">
        <f>IFERROR(IF(AND(IFERROR(INDEX(ERP資料!$A:$A, (MATCH(427, 輔助計算!$G$2:$G$801, 0)+1)), "")&lt;&gt;"", IFERROR(INDEX(ERP資料!$A:$A, (MATCH(427, 輔助計算!$G$2:$G$801, 0)+1)), "")&lt;&gt;IFERROR(INDEX(ERP資料!$A:$A, MATCH(426, 輔助計算!$G$2:$G$801, 0)+1), "")), INDEX(ERP資料!$B:$B, (MATCH(427, 輔助計算!$G$2:$G$801, 0)+1)), ""), "")</f>
        <v/>
      </c>
      <c r="M428" s="17" t="n"/>
    </row>
    <row r="429">
      <c r="A429" s="10">
        <f>IFERROR(IF(AND(IFERROR(INDEX(ERP資料!$A:$A, (MATCH(428, 輔助計算!$G$2:$G$801, 0)+1)), "")&lt;&gt;"", IFERROR(INDEX(ERP資料!$A:$A, (MATCH(428, 輔助計算!$G$2:$G$801, 0)+1)), "")&lt;&gt;IFERROR(INDEX(ERP資料!$A:$A, MATCH(427, 輔助計算!$G$2:$G$801, 0)+1), "")), IFERROR(INDEX(ERP資料!$A:$A, (MATCH(428, 輔助計算!$G$2:$G$801, 0)+1)), ""), ""), "")</f>
        <v/>
      </c>
      <c r="B429" s="10">
        <f>IFERROR(IF(AND(IFERROR(INDEX(ERP資料!$A:$A, (MATCH(428, 輔助計算!$G$2:$G$801, 0)+1)), "")&lt;&gt;"", IFERROR(INDEX(ERP資料!$A:$A, (MATCH(428, 輔助計算!$G$2:$G$801, 0)+1)), "")&lt;&gt;IFERROR(INDEX(ERP資料!$A:$A, MATCH(427, 輔助計算!$G$2:$G$801, 0)+1), "")), INDEX(ERP資料!$S:$S, (MATCH(428, 輔助計算!$G$2:$G$801, 0)+1)), ""), "")</f>
        <v/>
      </c>
      <c r="C429" s="19">
        <f>IFERROR(IF(AND(IFERROR(INDEX(ERP資料!$A:$A, (MATCH(428, 輔助計算!$G$2:$G$801, 0)+1)), "")&lt;&gt;"", IFERROR(INDEX(ERP資料!$A:$A, (MATCH(428, 輔助計算!$G$2:$G$801, 0)+1)), "")&lt;&gt;IFERROR(INDEX(ERP資料!$A:$A, MATCH(427, 輔助計算!$G$2:$G$801, 0)+1), "")), IFERROR(VLOOKUP(LEFT(INDEX(ERP資料!$S:$S, (MATCH(428, 輔助計算!$G$2:$G$801, 0)+1)), 4), 紙管對照表!$A:$C, 3, FALSE), ""), ""), "")</f>
        <v/>
      </c>
      <c r="D429" s="16" t="n"/>
      <c r="E429" s="10">
        <f>IFERROR(IF(INDEX(ERP資料!$H:$H, (MATCH(428, 輔助計算!$G$2:$G$801, 0)+1))="","",INDEX(ERP資料!$H:$H, (MATCH(428, 輔助計算!$G$2:$G$801, 0)+1))), "")</f>
        <v/>
      </c>
      <c r="F429" s="10">
        <f>IFERROR(IF(INDEX(ERP資料!$E:$E, (MATCH(428, 輔助計算!$G$2:$G$801, 0)+1))="","",TRIM(INDEX(ERP資料!$E:$E, (MATCH(428, 輔助計算!$G$2:$G$801, 0)+1)))), "")</f>
        <v/>
      </c>
      <c r="G429" s="10">
        <f>IFERROR(IF(INDEX(ERP資料!$F:$F, (MATCH(428, 輔助計算!$G$2:$G$801, 0)+1))="","",INDEX(ERP資料!$F:$F, (MATCH(428, 輔助計算!$G$2:$G$801, 0)+1))), "")</f>
        <v/>
      </c>
      <c r="H429" s="10">
        <f>IFERROR(IF(INDEX(ERP資料!$G:$G, (MATCH(428, 輔助計算!$G$2:$G$801, 0)+1))="","",INDEX(ERP資料!$G:$G, (MATCH(428, 輔助計算!$G$2:$G$801, 0)+1))), "")</f>
        <v/>
      </c>
      <c r="I429" s="15">
        <f>IFERROR(INDEX(輔助計算!$D:$D, (MATCH(428, 輔助計算!$G$2:$G$801, 0)+1)), "")</f>
        <v/>
      </c>
      <c r="J429" s="15">
        <f>IFERROR(IF(AND(INDEX(輔助計算!$D:$D, (MATCH(428, 輔助計算!$G$2:$G$801, 0)+1))&lt;&gt;"", INDEX(ERP資料!$G:$G, (MATCH(428, 輔助計算!$G$2:$G$801, 0)+1))&lt;&gt;""), TRIM(IF(INT(INDEX(輔助計算!$D:$D, (MATCH(428, 輔助計算!$G$2:$G$801, 0)+1))/IF(INDEX(ERP資料!$G:$G, (MATCH(428, 輔助計算!$G$2:$G$801, 0)+1))&lt;100, IF(INDEX(ERP資料!$G:$G, (MATCH(428, 輔助計算!$G$2:$G$801, 0)+1))&lt;=31,3,IF(INDEX(ERP資料!$G:$G, (MATCH(428, 輔助計算!$G$2:$G$801, 0)+1))&lt;=46.5,2,1)), IF(INDEX(ERP資料!$G:$G, (MATCH(428, 輔助計算!$G$2:$G$801, 0)+1))&lt;=790,3,IF(INDEX(ERP資料!$G:$G, (MATCH(428, 輔助計算!$G$2:$G$801, 0)+1))&lt;=1181,2,1))))&gt;0, IF(IF(INDEX(ERP資料!$G:$G, (MATCH(428, 輔助計算!$G$2:$G$801, 0)+1))&lt;100, IF(INDEX(ERP資料!$G:$G, (MATCH(428, 輔助計算!$G$2:$G$801, 0)+1))&lt;=31,3,IF(INDEX(ERP資料!$G:$G, (MATCH(428, 輔助計算!$G$2:$G$801, 0)+1))&lt;=46.5,2,1)), IF(INDEX(ERP資料!$G:$G, (MATCH(428, 輔助計算!$G$2:$G$801, 0)+1))&lt;=790,3,IF(INDEX(ERP資料!$G:$G, (MATCH(428, 輔助計算!$G$2:$G$801, 0)+1))&lt;=1181,2,1)))=1,TEXT(INDEX(ERP資料!$G:$G, (MATCH(428, 輔助計算!$G$2:$G$801, 0)+1)),"0.##"),IF(IF(INDEX(ERP資料!$G:$G, (MATCH(428, 輔助計算!$G$2:$G$801, 0)+1))&lt;100, IF(INDEX(ERP資料!$G:$G, (MATCH(428, 輔助計算!$G$2:$G$801, 0)+1))&lt;=31,3,IF(INDEX(ERP資料!$G:$G, (MATCH(428, 輔助計算!$G$2:$G$801, 0)+1))&lt;=46.5,2,1)), IF(INDEX(ERP資料!$G:$G, (MATCH(428, 輔助計算!$G$2:$G$801, 0)+1))&lt;=790,3,IF(INDEX(ERP資料!$G:$G, (MATCH(428, 輔助計算!$G$2:$G$801, 0)+1))&lt;=1181,2,1)))=2,TEXT(INDEX(ERP資料!$G:$G, (MATCH(428, 輔助計算!$G$2:$G$801, 0)+1)),"0.##")&amp;"+"&amp;TEXT(INDEX(ERP資料!$G:$G, (MATCH(428, 輔助計算!$G$2:$G$801, 0)+1)),"0.##"),TEXT(INDEX(ERP資料!$G:$G, (MATCH(428, 輔助計算!$G$2:$G$801, 0)+1)),"0.##")&amp;"+"&amp;TEXT(INDEX(ERP資料!$G:$G, (MATCH(428, 輔助計算!$G$2:$G$801, 0)+1)),"0.##")&amp;"+"&amp;TEXT(INDEX(ERP資料!$G:$G, (MATCH(428, 輔助計算!$G$2:$G$801, 0)+1)),"0.##")))&amp;"-"&amp;INT(INDEX(輔助計算!$D:$D, (MATCH(428, 輔助計算!$G$2:$G$801, 0)+1))/IF(INDEX(ERP資料!$G:$G, (MATCH(428, 輔助計算!$G$2:$G$801, 0)+1))&lt;100, IF(INDEX(ERP資料!$G:$G, (MATCH(428, 輔助計算!$G$2:$G$801, 0)+1))&lt;=31,3,IF(INDEX(ERP資料!$G:$G, (MATCH(428, 輔助計算!$G$2:$G$801, 0)+1))&lt;=46.5,2,1)), IF(INDEX(ERP資料!$G:$G, (MATCH(428, 輔助計算!$G$2:$G$801, 0)+1))&lt;=790,3,IF(INDEX(ERP資料!$G:$G, (MATCH(428, 輔助計算!$G$2:$G$801, 0)+1))&lt;=1181,2,1)))), "")&amp;IF(AND(IF(INT(INDEX(輔助計算!$D:$D, (MATCH(428, 輔助計算!$G$2:$G$801, 0)+1))/IF(INDEX(ERP資料!$G:$G, (MATCH(428, 輔助計算!$G$2:$G$801, 0)+1))&lt;100, IF(INDEX(ERP資料!$G:$G, (MATCH(428, 輔助計算!$G$2:$G$801, 0)+1))&lt;=31,3,IF(INDEX(ERP資料!$G:$G, (MATCH(428, 輔助計算!$G$2:$G$801, 0)+1))&lt;=46.5,2,1)), IF(INDEX(ERP資料!$G:$G, (MATCH(428, 輔助計算!$G$2:$G$801, 0)+1))&lt;=790,3,IF(INDEX(ERP資料!$G:$G, (MATCH(428, 輔助計算!$G$2:$G$801, 0)+1))&lt;=1181,2,1))))&gt;0, IF(IF(INDEX(ERP資料!$G:$G, (MATCH(428, 輔助計算!$G$2:$G$801, 0)+1))&lt;100, IF(INDEX(ERP資料!$G:$G, (MATCH(428, 輔助計算!$G$2:$G$801, 0)+1))&lt;=31,3,IF(INDEX(ERP資料!$G:$G, (MATCH(428, 輔助計算!$G$2:$G$801, 0)+1))&lt;=46.5,2,1)), IF(INDEX(ERP資料!$G:$G, (MATCH(428, 輔助計算!$G$2:$G$801, 0)+1))&lt;=790,3,IF(INDEX(ERP資料!$G:$G, (MATCH(428, 輔助計算!$G$2:$G$801, 0)+1))&lt;=1181,2,1)))=1,TEXT(INDEX(ERP資料!$G:$G, (MATCH(428, 輔助計算!$G$2:$G$801, 0)+1)),"0.##"),IF(IF(INDEX(ERP資料!$G:$G, (MATCH(428, 輔助計算!$G$2:$G$801, 0)+1))&lt;100, IF(INDEX(ERP資料!$G:$G, (MATCH(428, 輔助計算!$G$2:$G$801, 0)+1))&lt;=31,3,IF(INDEX(ERP資料!$G:$G, (MATCH(428, 輔助計算!$G$2:$G$801, 0)+1))&lt;=46.5,2,1)), IF(INDEX(ERP資料!$G:$G, (MATCH(428, 輔助計算!$G$2:$G$801, 0)+1))&lt;=790,3,IF(INDEX(ERP資料!$G:$G, (MATCH(428, 輔助計算!$G$2:$G$801, 0)+1))&lt;=1181,2,1)))=2,TEXT(INDEX(ERP資料!$G:$G, (MATCH(428, 輔助計算!$G$2:$G$801, 0)+1)),"0.##")&amp;"+"&amp;TEXT(INDEX(ERP資料!$G:$G, (MATCH(428, 輔助計算!$G$2:$G$801, 0)+1)),"0.##"),TEXT(INDEX(ERP資料!$G:$G, (MATCH(428, 輔助計算!$G$2:$G$801, 0)+1)),"0.##")&amp;"+"&amp;TEXT(INDEX(ERP資料!$G:$G, (MATCH(428, 輔助計算!$G$2:$G$801, 0)+1)),"0.##")&amp;"+"&amp;TEXT(INDEX(ERP資料!$G:$G, (MATCH(428, 輔助計算!$G$2:$G$801, 0)+1)),"0.##")))&amp;"-"&amp;INT(INDEX(輔助計算!$D:$D, (MATCH(428, 輔助計算!$G$2:$G$801, 0)+1))/IF(INDEX(ERP資料!$G:$G, (MATCH(428, 輔助計算!$G$2:$G$801, 0)+1))&lt;100, IF(INDEX(ERP資料!$G:$G, (MATCH(428, 輔助計算!$G$2:$G$801, 0)+1))&lt;=31,3,IF(INDEX(ERP資料!$G:$G, (MATCH(428, 輔助計算!$G$2:$G$801, 0)+1))&lt;=46.5,2,1)), IF(INDEX(ERP資料!$G:$G, (MATCH(428, 輔助計算!$G$2:$G$801, 0)+1))&lt;=790,3,IF(INDEX(ERP資料!$G:$G, (MATCH(428, 輔助計算!$G$2:$G$801, 0)+1))&lt;=1181,2,1)))), "")&lt;&gt;"",IF(MOD(INDEX(輔助計算!$D:$D, (MATCH(428, 輔助計算!$G$2:$G$801, 0)+1)),IF(INDEX(ERP資料!$G:$G, (MATCH(428, 輔助計算!$G$2:$G$801, 0)+1))&lt;100, IF(INDEX(ERP資料!$G:$G, (MATCH(428, 輔助計算!$G$2:$G$801, 0)+1))&lt;=31,3,IF(INDEX(ERP資料!$G:$G, (MATCH(428, 輔助計算!$G$2:$G$801, 0)+1))&lt;=46.5,2,1)), IF(INDEX(ERP資料!$G:$G, (MATCH(428, 輔助計算!$G$2:$G$801, 0)+1))&lt;=790,3,IF(INDEX(ERP資料!$G:$G, (MATCH(428, 輔助計算!$G$2:$G$801, 0)+1))&lt;=1181,2,1))))=0,"",IF(MOD(INDEX(輔助計算!$D:$D, (MATCH(428, 輔助計算!$G$2:$G$801, 0)+1)),IF(INDEX(ERP資料!$G:$G, (MATCH(428, 輔助計算!$G$2:$G$801, 0)+1))&lt;100, IF(INDEX(ERP資料!$G:$G, (MATCH(428, 輔助計算!$G$2:$G$801, 0)+1))&lt;=31,3,IF(INDEX(ERP資料!$G:$G, (MATCH(428, 輔助計算!$G$2:$G$801, 0)+1))&lt;=46.5,2,1)), IF(INDEX(ERP資料!$G:$G, (MATCH(428, 輔助計算!$G$2:$G$801, 0)+1))&lt;=790,3,IF(INDEX(ERP資料!$G:$G, (MATCH(428, 輔助計算!$G$2:$G$801, 0)+1))&lt;=1181,2,1))))=0,"",IF(MOD(INDEX(輔助計算!$D:$D, (MATCH(428, 輔助計算!$G$2:$G$801, 0)+1)),IF(INDEX(ERP資料!$G:$G, (MATCH(428, 輔助計算!$G$2:$G$801, 0)+1))&lt;100, IF(INDEX(ERP資料!$G:$G, (MATCH(428, 輔助計算!$G$2:$G$801, 0)+1))&lt;=31,3,IF(INDEX(ERP資料!$G:$G, (MATCH(428, 輔助計算!$G$2:$G$801, 0)+1))&lt;=46.5,2,1)), IF(INDEX(ERP資料!$G:$G, (MATCH(428, 輔助計算!$G$2:$G$801, 0)+1))&lt;=790,3,IF(INDEX(ERP資料!$G:$G, (MATCH(428, 輔助計算!$G$2:$G$801, 0)+1))&lt;=1181,2,1))))=1,TEXT(INDEX(ERP資料!$G:$G, (MATCH(428, 輔助計算!$G$2:$G$801, 0)+1)),"0.##"),IF(MOD(INDEX(輔助計算!$D:$D, (MATCH(428, 輔助計算!$G$2:$G$801, 0)+1)),IF(INDEX(ERP資料!$G:$G, (MATCH(428, 輔助計算!$G$2:$G$801, 0)+1))&lt;100, IF(INDEX(ERP資料!$G:$G, (MATCH(428, 輔助計算!$G$2:$G$801, 0)+1))&lt;=31,3,IF(INDEX(ERP資料!$G:$G, (MATCH(428, 輔助計算!$G$2:$G$801, 0)+1))&lt;=46.5,2,1)), IF(INDEX(ERP資料!$G:$G, (MATCH(428, 輔助計算!$G$2:$G$801, 0)+1))&lt;=790,3,IF(INDEX(ERP資料!$G:$G, (MATCH(428, 輔助計算!$G$2:$G$801, 0)+1))&lt;=1181,2,1))))=2,TEXT(INDEX(ERP資料!$G:$G, (MATCH(428, 輔助計算!$G$2:$G$801, 0)+1)),"0.##")&amp;"+"&amp;TEXT(INDEX(ERP資料!$G:$G, (MATCH(428, 輔助計算!$G$2:$G$801, 0)+1)),"0.##"),TEXT(INDEX(ERP資料!$G:$G, (MATCH(428, 輔助計算!$G$2:$G$801, 0)+1)),"0.##")&amp;"+"&amp;TEXT(INDEX(ERP資料!$G:$G, (MATCH(428, 輔助計算!$G$2:$G$801, 0)+1)),"0.##")&amp;"+"&amp;TEXT(INDEX(ERP資料!$G:$G, (MATCH(428, 輔助計算!$G$2:$G$801, 0)+1)),"0.##"))))&amp;"-1")&lt;&gt;""),"  ","")&amp;IF(MOD(INDEX(輔助計算!$D:$D, (MATCH(428, 輔助計算!$G$2:$G$801, 0)+1)),IF(INDEX(ERP資料!$G:$G, (MATCH(428, 輔助計算!$G$2:$G$801, 0)+1))&lt;100, IF(INDEX(ERP資料!$G:$G, (MATCH(428, 輔助計算!$G$2:$G$801, 0)+1))&lt;=31,3,IF(INDEX(ERP資料!$G:$G, (MATCH(428, 輔助計算!$G$2:$G$801, 0)+1))&lt;=46.5,2,1)), IF(INDEX(ERP資料!$G:$G, (MATCH(428, 輔助計算!$G$2:$G$801, 0)+1))&lt;=790,3,IF(INDEX(ERP資料!$G:$G, (MATCH(428, 輔助計算!$G$2:$G$801, 0)+1))&lt;=1181,2,1))))=0,"",IF(MOD(INDEX(輔助計算!$D:$D, (MATCH(428, 輔助計算!$G$2:$G$801, 0)+1)),IF(INDEX(ERP資料!$G:$G, (MATCH(428, 輔助計算!$G$2:$G$801, 0)+1))&lt;100, IF(INDEX(ERP資料!$G:$G, (MATCH(428, 輔助計算!$G$2:$G$801, 0)+1))&lt;=31,3,IF(INDEX(ERP資料!$G:$G, (MATCH(428, 輔助計算!$G$2:$G$801, 0)+1))&lt;=46.5,2,1)), IF(INDEX(ERP資料!$G:$G, (MATCH(428, 輔助計算!$G$2:$G$801, 0)+1))&lt;=790,3,IF(INDEX(ERP資料!$G:$G, (MATCH(428, 輔助計算!$G$2:$G$801, 0)+1))&lt;=1181,2,1))))=0,"",IF(MOD(INDEX(輔助計算!$D:$D, (MATCH(428, 輔助計算!$G$2:$G$801, 0)+1)),IF(INDEX(ERP資料!$G:$G, (MATCH(428, 輔助計算!$G$2:$G$801, 0)+1))&lt;100, IF(INDEX(ERP資料!$G:$G, (MATCH(428, 輔助計算!$G$2:$G$801, 0)+1))&lt;=31,3,IF(INDEX(ERP資料!$G:$G, (MATCH(428, 輔助計算!$G$2:$G$801, 0)+1))&lt;=46.5,2,1)), IF(INDEX(ERP資料!$G:$G, (MATCH(428, 輔助計算!$G$2:$G$801, 0)+1))&lt;=790,3,IF(INDEX(ERP資料!$G:$G, (MATCH(428, 輔助計算!$G$2:$G$801, 0)+1))&lt;=1181,2,1))))=1,TEXT(INDEX(ERP資料!$G:$G, (MATCH(428, 輔助計算!$G$2:$G$801, 0)+1)),"0.##"),IF(MOD(INDEX(輔助計算!$D:$D, (MATCH(428, 輔助計算!$G$2:$G$801, 0)+1)),IF(INDEX(ERP資料!$G:$G, (MATCH(428, 輔助計算!$G$2:$G$801, 0)+1))&lt;100, IF(INDEX(ERP資料!$G:$G, (MATCH(428, 輔助計算!$G$2:$G$801, 0)+1))&lt;=31,3,IF(INDEX(ERP資料!$G:$G, (MATCH(428, 輔助計算!$G$2:$G$801, 0)+1))&lt;=46.5,2,1)), IF(INDEX(ERP資料!$G:$G, (MATCH(428, 輔助計算!$G$2:$G$801, 0)+1))&lt;=790,3,IF(INDEX(ERP資料!$G:$G, (MATCH(428, 輔助計算!$G$2:$G$801, 0)+1))&lt;=1181,2,1))))=2,TEXT(INDEX(ERP資料!$G:$G, (MATCH(428, 輔助計算!$G$2:$G$801, 0)+1)),"0.##")&amp;"+"&amp;TEXT(INDEX(ERP資料!$G:$G, (MATCH(428, 輔助計算!$G$2:$G$801, 0)+1)),"0.##"),TEXT(INDEX(ERP資料!$G:$G, (MATCH(428, 輔助計算!$G$2:$G$801, 0)+1)),"0.##")&amp;"+"&amp;TEXT(INDEX(ERP資料!$G:$G, (MATCH(428, 輔助計算!$G$2:$G$801, 0)+1)),"0.##")&amp;"+"&amp;TEXT(INDEX(ERP資料!$G:$G, (MATCH(428, 輔助計算!$G$2:$G$801, 0)+1)),"0.##"))))&amp;"-1")), ""), "")</f>
        <v/>
      </c>
      <c r="K429" s="16" t="n"/>
      <c r="L429" s="14">
        <f>IFERROR(IF(AND(IFERROR(INDEX(ERP資料!$A:$A, (MATCH(428, 輔助計算!$G$2:$G$801, 0)+1)), "")&lt;&gt;"", IFERROR(INDEX(ERP資料!$A:$A, (MATCH(428, 輔助計算!$G$2:$G$801, 0)+1)), "")&lt;&gt;IFERROR(INDEX(ERP資料!$A:$A, MATCH(427, 輔助計算!$G$2:$G$801, 0)+1), "")), INDEX(ERP資料!$B:$B, (MATCH(428, 輔助計算!$G$2:$G$801, 0)+1)), ""), "")</f>
        <v/>
      </c>
      <c r="M429" s="17" t="n"/>
    </row>
    <row r="430">
      <c r="A430" s="10">
        <f>IFERROR(IF(AND(IFERROR(INDEX(ERP資料!$A:$A, (MATCH(429, 輔助計算!$G$2:$G$801, 0)+1)), "")&lt;&gt;"", IFERROR(INDEX(ERP資料!$A:$A, (MATCH(429, 輔助計算!$G$2:$G$801, 0)+1)), "")&lt;&gt;IFERROR(INDEX(ERP資料!$A:$A, MATCH(428, 輔助計算!$G$2:$G$801, 0)+1), "")), IFERROR(INDEX(ERP資料!$A:$A, (MATCH(429, 輔助計算!$G$2:$G$801, 0)+1)), ""), ""), "")</f>
        <v/>
      </c>
      <c r="B430" s="10">
        <f>IFERROR(IF(AND(IFERROR(INDEX(ERP資料!$A:$A, (MATCH(429, 輔助計算!$G$2:$G$801, 0)+1)), "")&lt;&gt;"", IFERROR(INDEX(ERP資料!$A:$A, (MATCH(429, 輔助計算!$G$2:$G$801, 0)+1)), "")&lt;&gt;IFERROR(INDEX(ERP資料!$A:$A, MATCH(428, 輔助計算!$G$2:$G$801, 0)+1), "")), INDEX(ERP資料!$S:$S, (MATCH(429, 輔助計算!$G$2:$G$801, 0)+1)), ""), "")</f>
        <v/>
      </c>
      <c r="C430" s="19">
        <f>IFERROR(IF(AND(IFERROR(INDEX(ERP資料!$A:$A, (MATCH(429, 輔助計算!$G$2:$G$801, 0)+1)), "")&lt;&gt;"", IFERROR(INDEX(ERP資料!$A:$A, (MATCH(429, 輔助計算!$G$2:$G$801, 0)+1)), "")&lt;&gt;IFERROR(INDEX(ERP資料!$A:$A, MATCH(428, 輔助計算!$G$2:$G$801, 0)+1), "")), IFERROR(VLOOKUP(LEFT(INDEX(ERP資料!$S:$S, (MATCH(429, 輔助計算!$G$2:$G$801, 0)+1)), 4), 紙管對照表!$A:$C, 3, FALSE), ""), ""), "")</f>
        <v/>
      </c>
      <c r="D430" s="16" t="n"/>
      <c r="E430" s="10">
        <f>IFERROR(IF(INDEX(ERP資料!$H:$H, (MATCH(429, 輔助計算!$G$2:$G$801, 0)+1))="","",INDEX(ERP資料!$H:$H, (MATCH(429, 輔助計算!$G$2:$G$801, 0)+1))), "")</f>
        <v/>
      </c>
      <c r="F430" s="10">
        <f>IFERROR(IF(INDEX(ERP資料!$E:$E, (MATCH(429, 輔助計算!$G$2:$G$801, 0)+1))="","",TRIM(INDEX(ERP資料!$E:$E, (MATCH(429, 輔助計算!$G$2:$G$801, 0)+1)))), "")</f>
        <v/>
      </c>
      <c r="G430" s="10">
        <f>IFERROR(IF(INDEX(ERP資料!$F:$F, (MATCH(429, 輔助計算!$G$2:$G$801, 0)+1))="","",INDEX(ERP資料!$F:$F, (MATCH(429, 輔助計算!$G$2:$G$801, 0)+1))), "")</f>
        <v/>
      </c>
      <c r="H430" s="10">
        <f>IFERROR(IF(INDEX(ERP資料!$G:$G, (MATCH(429, 輔助計算!$G$2:$G$801, 0)+1))="","",INDEX(ERP資料!$G:$G, (MATCH(429, 輔助計算!$G$2:$G$801, 0)+1))), "")</f>
        <v/>
      </c>
      <c r="I430" s="15">
        <f>IFERROR(INDEX(輔助計算!$D:$D, (MATCH(429, 輔助計算!$G$2:$G$801, 0)+1)), "")</f>
        <v/>
      </c>
      <c r="J430" s="15">
        <f>IFERROR(IF(AND(INDEX(輔助計算!$D:$D, (MATCH(429, 輔助計算!$G$2:$G$801, 0)+1))&lt;&gt;"", INDEX(ERP資料!$G:$G, (MATCH(429, 輔助計算!$G$2:$G$801, 0)+1))&lt;&gt;""), TRIM(IF(INT(INDEX(輔助計算!$D:$D, (MATCH(429, 輔助計算!$G$2:$G$801, 0)+1))/IF(INDEX(ERP資料!$G:$G, (MATCH(429, 輔助計算!$G$2:$G$801, 0)+1))&lt;100, IF(INDEX(ERP資料!$G:$G, (MATCH(429, 輔助計算!$G$2:$G$801, 0)+1))&lt;=31,3,IF(INDEX(ERP資料!$G:$G, (MATCH(429, 輔助計算!$G$2:$G$801, 0)+1))&lt;=46.5,2,1)), IF(INDEX(ERP資料!$G:$G, (MATCH(429, 輔助計算!$G$2:$G$801, 0)+1))&lt;=790,3,IF(INDEX(ERP資料!$G:$G, (MATCH(429, 輔助計算!$G$2:$G$801, 0)+1))&lt;=1181,2,1))))&gt;0, IF(IF(INDEX(ERP資料!$G:$G, (MATCH(429, 輔助計算!$G$2:$G$801, 0)+1))&lt;100, IF(INDEX(ERP資料!$G:$G, (MATCH(429, 輔助計算!$G$2:$G$801, 0)+1))&lt;=31,3,IF(INDEX(ERP資料!$G:$G, (MATCH(429, 輔助計算!$G$2:$G$801, 0)+1))&lt;=46.5,2,1)), IF(INDEX(ERP資料!$G:$G, (MATCH(429, 輔助計算!$G$2:$G$801, 0)+1))&lt;=790,3,IF(INDEX(ERP資料!$G:$G, (MATCH(429, 輔助計算!$G$2:$G$801, 0)+1))&lt;=1181,2,1)))=1,TEXT(INDEX(ERP資料!$G:$G, (MATCH(429, 輔助計算!$G$2:$G$801, 0)+1)),"0.##"),IF(IF(INDEX(ERP資料!$G:$G, (MATCH(429, 輔助計算!$G$2:$G$801, 0)+1))&lt;100, IF(INDEX(ERP資料!$G:$G, (MATCH(429, 輔助計算!$G$2:$G$801, 0)+1))&lt;=31,3,IF(INDEX(ERP資料!$G:$G, (MATCH(429, 輔助計算!$G$2:$G$801, 0)+1))&lt;=46.5,2,1)), IF(INDEX(ERP資料!$G:$G, (MATCH(429, 輔助計算!$G$2:$G$801, 0)+1))&lt;=790,3,IF(INDEX(ERP資料!$G:$G, (MATCH(429, 輔助計算!$G$2:$G$801, 0)+1))&lt;=1181,2,1)))=2,TEXT(INDEX(ERP資料!$G:$G, (MATCH(429, 輔助計算!$G$2:$G$801, 0)+1)),"0.##")&amp;"+"&amp;TEXT(INDEX(ERP資料!$G:$G, (MATCH(429, 輔助計算!$G$2:$G$801, 0)+1)),"0.##"),TEXT(INDEX(ERP資料!$G:$G, (MATCH(429, 輔助計算!$G$2:$G$801, 0)+1)),"0.##")&amp;"+"&amp;TEXT(INDEX(ERP資料!$G:$G, (MATCH(429, 輔助計算!$G$2:$G$801, 0)+1)),"0.##")&amp;"+"&amp;TEXT(INDEX(ERP資料!$G:$G, (MATCH(429, 輔助計算!$G$2:$G$801, 0)+1)),"0.##")))&amp;"-"&amp;INT(INDEX(輔助計算!$D:$D, (MATCH(429, 輔助計算!$G$2:$G$801, 0)+1))/IF(INDEX(ERP資料!$G:$G, (MATCH(429, 輔助計算!$G$2:$G$801, 0)+1))&lt;100, IF(INDEX(ERP資料!$G:$G, (MATCH(429, 輔助計算!$G$2:$G$801, 0)+1))&lt;=31,3,IF(INDEX(ERP資料!$G:$G, (MATCH(429, 輔助計算!$G$2:$G$801, 0)+1))&lt;=46.5,2,1)), IF(INDEX(ERP資料!$G:$G, (MATCH(429, 輔助計算!$G$2:$G$801, 0)+1))&lt;=790,3,IF(INDEX(ERP資料!$G:$G, (MATCH(429, 輔助計算!$G$2:$G$801, 0)+1))&lt;=1181,2,1)))), "")&amp;IF(AND(IF(INT(INDEX(輔助計算!$D:$D, (MATCH(429, 輔助計算!$G$2:$G$801, 0)+1))/IF(INDEX(ERP資料!$G:$G, (MATCH(429, 輔助計算!$G$2:$G$801, 0)+1))&lt;100, IF(INDEX(ERP資料!$G:$G, (MATCH(429, 輔助計算!$G$2:$G$801, 0)+1))&lt;=31,3,IF(INDEX(ERP資料!$G:$G, (MATCH(429, 輔助計算!$G$2:$G$801, 0)+1))&lt;=46.5,2,1)), IF(INDEX(ERP資料!$G:$G, (MATCH(429, 輔助計算!$G$2:$G$801, 0)+1))&lt;=790,3,IF(INDEX(ERP資料!$G:$G, (MATCH(429, 輔助計算!$G$2:$G$801, 0)+1))&lt;=1181,2,1))))&gt;0, IF(IF(INDEX(ERP資料!$G:$G, (MATCH(429, 輔助計算!$G$2:$G$801, 0)+1))&lt;100, IF(INDEX(ERP資料!$G:$G, (MATCH(429, 輔助計算!$G$2:$G$801, 0)+1))&lt;=31,3,IF(INDEX(ERP資料!$G:$G, (MATCH(429, 輔助計算!$G$2:$G$801, 0)+1))&lt;=46.5,2,1)), IF(INDEX(ERP資料!$G:$G, (MATCH(429, 輔助計算!$G$2:$G$801, 0)+1))&lt;=790,3,IF(INDEX(ERP資料!$G:$G, (MATCH(429, 輔助計算!$G$2:$G$801, 0)+1))&lt;=1181,2,1)))=1,TEXT(INDEX(ERP資料!$G:$G, (MATCH(429, 輔助計算!$G$2:$G$801, 0)+1)),"0.##"),IF(IF(INDEX(ERP資料!$G:$G, (MATCH(429, 輔助計算!$G$2:$G$801, 0)+1))&lt;100, IF(INDEX(ERP資料!$G:$G, (MATCH(429, 輔助計算!$G$2:$G$801, 0)+1))&lt;=31,3,IF(INDEX(ERP資料!$G:$G, (MATCH(429, 輔助計算!$G$2:$G$801, 0)+1))&lt;=46.5,2,1)), IF(INDEX(ERP資料!$G:$G, (MATCH(429, 輔助計算!$G$2:$G$801, 0)+1))&lt;=790,3,IF(INDEX(ERP資料!$G:$G, (MATCH(429, 輔助計算!$G$2:$G$801, 0)+1))&lt;=1181,2,1)))=2,TEXT(INDEX(ERP資料!$G:$G, (MATCH(429, 輔助計算!$G$2:$G$801, 0)+1)),"0.##")&amp;"+"&amp;TEXT(INDEX(ERP資料!$G:$G, (MATCH(429, 輔助計算!$G$2:$G$801, 0)+1)),"0.##"),TEXT(INDEX(ERP資料!$G:$G, (MATCH(429, 輔助計算!$G$2:$G$801, 0)+1)),"0.##")&amp;"+"&amp;TEXT(INDEX(ERP資料!$G:$G, (MATCH(429, 輔助計算!$G$2:$G$801, 0)+1)),"0.##")&amp;"+"&amp;TEXT(INDEX(ERP資料!$G:$G, (MATCH(429, 輔助計算!$G$2:$G$801, 0)+1)),"0.##")))&amp;"-"&amp;INT(INDEX(輔助計算!$D:$D, (MATCH(429, 輔助計算!$G$2:$G$801, 0)+1))/IF(INDEX(ERP資料!$G:$G, (MATCH(429, 輔助計算!$G$2:$G$801, 0)+1))&lt;100, IF(INDEX(ERP資料!$G:$G, (MATCH(429, 輔助計算!$G$2:$G$801, 0)+1))&lt;=31,3,IF(INDEX(ERP資料!$G:$G, (MATCH(429, 輔助計算!$G$2:$G$801, 0)+1))&lt;=46.5,2,1)), IF(INDEX(ERP資料!$G:$G, (MATCH(429, 輔助計算!$G$2:$G$801, 0)+1))&lt;=790,3,IF(INDEX(ERP資料!$G:$G, (MATCH(429, 輔助計算!$G$2:$G$801, 0)+1))&lt;=1181,2,1)))), "")&lt;&gt;"",IF(MOD(INDEX(輔助計算!$D:$D, (MATCH(429, 輔助計算!$G$2:$G$801, 0)+1)),IF(INDEX(ERP資料!$G:$G, (MATCH(429, 輔助計算!$G$2:$G$801, 0)+1))&lt;100, IF(INDEX(ERP資料!$G:$G, (MATCH(429, 輔助計算!$G$2:$G$801, 0)+1))&lt;=31,3,IF(INDEX(ERP資料!$G:$G, (MATCH(429, 輔助計算!$G$2:$G$801, 0)+1))&lt;=46.5,2,1)), IF(INDEX(ERP資料!$G:$G, (MATCH(429, 輔助計算!$G$2:$G$801, 0)+1))&lt;=790,3,IF(INDEX(ERP資料!$G:$G, (MATCH(429, 輔助計算!$G$2:$G$801, 0)+1))&lt;=1181,2,1))))=0,"",IF(MOD(INDEX(輔助計算!$D:$D, (MATCH(429, 輔助計算!$G$2:$G$801, 0)+1)),IF(INDEX(ERP資料!$G:$G, (MATCH(429, 輔助計算!$G$2:$G$801, 0)+1))&lt;100, IF(INDEX(ERP資料!$G:$G, (MATCH(429, 輔助計算!$G$2:$G$801, 0)+1))&lt;=31,3,IF(INDEX(ERP資料!$G:$G, (MATCH(429, 輔助計算!$G$2:$G$801, 0)+1))&lt;=46.5,2,1)), IF(INDEX(ERP資料!$G:$G, (MATCH(429, 輔助計算!$G$2:$G$801, 0)+1))&lt;=790,3,IF(INDEX(ERP資料!$G:$G, (MATCH(429, 輔助計算!$G$2:$G$801, 0)+1))&lt;=1181,2,1))))=0,"",IF(MOD(INDEX(輔助計算!$D:$D, (MATCH(429, 輔助計算!$G$2:$G$801, 0)+1)),IF(INDEX(ERP資料!$G:$G, (MATCH(429, 輔助計算!$G$2:$G$801, 0)+1))&lt;100, IF(INDEX(ERP資料!$G:$G, (MATCH(429, 輔助計算!$G$2:$G$801, 0)+1))&lt;=31,3,IF(INDEX(ERP資料!$G:$G, (MATCH(429, 輔助計算!$G$2:$G$801, 0)+1))&lt;=46.5,2,1)), IF(INDEX(ERP資料!$G:$G, (MATCH(429, 輔助計算!$G$2:$G$801, 0)+1))&lt;=790,3,IF(INDEX(ERP資料!$G:$G, (MATCH(429, 輔助計算!$G$2:$G$801, 0)+1))&lt;=1181,2,1))))=1,TEXT(INDEX(ERP資料!$G:$G, (MATCH(429, 輔助計算!$G$2:$G$801, 0)+1)),"0.##"),IF(MOD(INDEX(輔助計算!$D:$D, (MATCH(429, 輔助計算!$G$2:$G$801, 0)+1)),IF(INDEX(ERP資料!$G:$G, (MATCH(429, 輔助計算!$G$2:$G$801, 0)+1))&lt;100, IF(INDEX(ERP資料!$G:$G, (MATCH(429, 輔助計算!$G$2:$G$801, 0)+1))&lt;=31,3,IF(INDEX(ERP資料!$G:$G, (MATCH(429, 輔助計算!$G$2:$G$801, 0)+1))&lt;=46.5,2,1)), IF(INDEX(ERP資料!$G:$G, (MATCH(429, 輔助計算!$G$2:$G$801, 0)+1))&lt;=790,3,IF(INDEX(ERP資料!$G:$G, (MATCH(429, 輔助計算!$G$2:$G$801, 0)+1))&lt;=1181,2,1))))=2,TEXT(INDEX(ERP資料!$G:$G, (MATCH(429, 輔助計算!$G$2:$G$801, 0)+1)),"0.##")&amp;"+"&amp;TEXT(INDEX(ERP資料!$G:$G, (MATCH(429, 輔助計算!$G$2:$G$801, 0)+1)),"0.##"),TEXT(INDEX(ERP資料!$G:$G, (MATCH(429, 輔助計算!$G$2:$G$801, 0)+1)),"0.##")&amp;"+"&amp;TEXT(INDEX(ERP資料!$G:$G, (MATCH(429, 輔助計算!$G$2:$G$801, 0)+1)),"0.##")&amp;"+"&amp;TEXT(INDEX(ERP資料!$G:$G, (MATCH(429, 輔助計算!$G$2:$G$801, 0)+1)),"0.##"))))&amp;"-1")&lt;&gt;""),"  ","")&amp;IF(MOD(INDEX(輔助計算!$D:$D, (MATCH(429, 輔助計算!$G$2:$G$801, 0)+1)),IF(INDEX(ERP資料!$G:$G, (MATCH(429, 輔助計算!$G$2:$G$801, 0)+1))&lt;100, IF(INDEX(ERP資料!$G:$G, (MATCH(429, 輔助計算!$G$2:$G$801, 0)+1))&lt;=31,3,IF(INDEX(ERP資料!$G:$G, (MATCH(429, 輔助計算!$G$2:$G$801, 0)+1))&lt;=46.5,2,1)), IF(INDEX(ERP資料!$G:$G, (MATCH(429, 輔助計算!$G$2:$G$801, 0)+1))&lt;=790,3,IF(INDEX(ERP資料!$G:$G, (MATCH(429, 輔助計算!$G$2:$G$801, 0)+1))&lt;=1181,2,1))))=0,"",IF(MOD(INDEX(輔助計算!$D:$D, (MATCH(429, 輔助計算!$G$2:$G$801, 0)+1)),IF(INDEX(ERP資料!$G:$G, (MATCH(429, 輔助計算!$G$2:$G$801, 0)+1))&lt;100, IF(INDEX(ERP資料!$G:$G, (MATCH(429, 輔助計算!$G$2:$G$801, 0)+1))&lt;=31,3,IF(INDEX(ERP資料!$G:$G, (MATCH(429, 輔助計算!$G$2:$G$801, 0)+1))&lt;=46.5,2,1)), IF(INDEX(ERP資料!$G:$G, (MATCH(429, 輔助計算!$G$2:$G$801, 0)+1))&lt;=790,3,IF(INDEX(ERP資料!$G:$G, (MATCH(429, 輔助計算!$G$2:$G$801, 0)+1))&lt;=1181,2,1))))=0,"",IF(MOD(INDEX(輔助計算!$D:$D, (MATCH(429, 輔助計算!$G$2:$G$801, 0)+1)),IF(INDEX(ERP資料!$G:$G, (MATCH(429, 輔助計算!$G$2:$G$801, 0)+1))&lt;100, IF(INDEX(ERP資料!$G:$G, (MATCH(429, 輔助計算!$G$2:$G$801, 0)+1))&lt;=31,3,IF(INDEX(ERP資料!$G:$G, (MATCH(429, 輔助計算!$G$2:$G$801, 0)+1))&lt;=46.5,2,1)), IF(INDEX(ERP資料!$G:$G, (MATCH(429, 輔助計算!$G$2:$G$801, 0)+1))&lt;=790,3,IF(INDEX(ERP資料!$G:$G, (MATCH(429, 輔助計算!$G$2:$G$801, 0)+1))&lt;=1181,2,1))))=1,TEXT(INDEX(ERP資料!$G:$G, (MATCH(429, 輔助計算!$G$2:$G$801, 0)+1)),"0.##"),IF(MOD(INDEX(輔助計算!$D:$D, (MATCH(429, 輔助計算!$G$2:$G$801, 0)+1)),IF(INDEX(ERP資料!$G:$G, (MATCH(429, 輔助計算!$G$2:$G$801, 0)+1))&lt;100, IF(INDEX(ERP資料!$G:$G, (MATCH(429, 輔助計算!$G$2:$G$801, 0)+1))&lt;=31,3,IF(INDEX(ERP資料!$G:$G, (MATCH(429, 輔助計算!$G$2:$G$801, 0)+1))&lt;=46.5,2,1)), IF(INDEX(ERP資料!$G:$G, (MATCH(429, 輔助計算!$G$2:$G$801, 0)+1))&lt;=790,3,IF(INDEX(ERP資料!$G:$G, (MATCH(429, 輔助計算!$G$2:$G$801, 0)+1))&lt;=1181,2,1))))=2,TEXT(INDEX(ERP資料!$G:$G, (MATCH(429, 輔助計算!$G$2:$G$801, 0)+1)),"0.##")&amp;"+"&amp;TEXT(INDEX(ERP資料!$G:$G, (MATCH(429, 輔助計算!$G$2:$G$801, 0)+1)),"0.##"),TEXT(INDEX(ERP資料!$G:$G, (MATCH(429, 輔助計算!$G$2:$G$801, 0)+1)),"0.##")&amp;"+"&amp;TEXT(INDEX(ERP資料!$G:$G, (MATCH(429, 輔助計算!$G$2:$G$801, 0)+1)),"0.##")&amp;"+"&amp;TEXT(INDEX(ERP資料!$G:$G, (MATCH(429, 輔助計算!$G$2:$G$801, 0)+1)),"0.##"))))&amp;"-1")), ""), "")</f>
        <v/>
      </c>
      <c r="K430" s="16" t="n"/>
      <c r="L430" s="14">
        <f>IFERROR(IF(AND(IFERROR(INDEX(ERP資料!$A:$A, (MATCH(429, 輔助計算!$G$2:$G$801, 0)+1)), "")&lt;&gt;"", IFERROR(INDEX(ERP資料!$A:$A, (MATCH(429, 輔助計算!$G$2:$G$801, 0)+1)), "")&lt;&gt;IFERROR(INDEX(ERP資料!$A:$A, MATCH(428, 輔助計算!$G$2:$G$801, 0)+1), "")), INDEX(ERP資料!$B:$B, (MATCH(429, 輔助計算!$G$2:$G$801, 0)+1)), ""), "")</f>
        <v/>
      </c>
      <c r="M430" s="17" t="n"/>
    </row>
    <row r="431">
      <c r="A431" s="10">
        <f>IFERROR(IF(AND(IFERROR(INDEX(ERP資料!$A:$A, (MATCH(430, 輔助計算!$G$2:$G$801, 0)+1)), "")&lt;&gt;"", IFERROR(INDEX(ERP資料!$A:$A, (MATCH(430, 輔助計算!$G$2:$G$801, 0)+1)), "")&lt;&gt;IFERROR(INDEX(ERP資料!$A:$A, MATCH(429, 輔助計算!$G$2:$G$801, 0)+1), "")), IFERROR(INDEX(ERP資料!$A:$A, (MATCH(430, 輔助計算!$G$2:$G$801, 0)+1)), ""), ""), "")</f>
        <v/>
      </c>
      <c r="B431" s="10">
        <f>IFERROR(IF(AND(IFERROR(INDEX(ERP資料!$A:$A, (MATCH(430, 輔助計算!$G$2:$G$801, 0)+1)), "")&lt;&gt;"", IFERROR(INDEX(ERP資料!$A:$A, (MATCH(430, 輔助計算!$G$2:$G$801, 0)+1)), "")&lt;&gt;IFERROR(INDEX(ERP資料!$A:$A, MATCH(429, 輔助計算!$G$2:$G$801, 0)+1), "")), INDEX(ERP資料!$S:$S, (MATCH(430, 輔助計算!$G$2:$G$801, 0)+1)), ""), "")</f>
        <v/>
      </c>
      <c r="C431" s="19">
        <f>IFERROR(IF(AND(IFERROR(INDEX(ERP資料!$A:$A, (MATCH(430, 輔助計算!$G$2:$G$801, 0)+1)), "")&lt;&gt;"", IFERROR(INDEX(ERP資料!$A:$A, (MATCH(430, 輔助計算!$G$2:$G$801, 0)+1)), "")&lt;&gt;IFERROR(INDEX(ERP資料!$A:$A, MATCH(429, 輔助計算!$G$2:$G$801, 0)+1), "")), IFERROR(VLOOKUP(LEFT(INDEX(ERP資料!$S:$S, (MATCH(430, 輔助計算!$G$2:$G$801, 0)+1)), 4), 紙管對照表!$A:$C, 3, FALSE), ""), ""), "")</f>
        <v/>
      </c>
      <c r="D431" s="16" t="n"/>
      <c r="E431" s="10">
        <f>IFERROR(IF(INDEX(ERP資料!$H:$H, (MATCH(430, 輔助計算!$G$2:$G$801, 0)+1))="","",INDEX(ERP資料!$H:$H, (MATCH(430, 輔助計算!$G$2:$G$801, 0)+1))), "")</f>
        <v/>
      </c>
      <c r="F431" s="10">
        <f>IFERROR(IF(INDEX(ERP資料!$E:$E, (MATCH(430, 輔助計算!$G$2:$G$801, 0)+1))="","",TRIM(INDEX(ERP資料!$E:$E, (MATCH(430, 輔助計算!$G$2:$G$801, 0)+1)))), "")</f>
        <v/>
      </c>
      <c r="G431" s="10">
        <f>IFERROR(IF(INDEX(ERP資料!$F:$F, (MATCH(430, 輔助計算!$G$2:$G$801, 0)+1))="","",INDEX(ERP資料!$F:$F, (MATCH(430, 輔助計算!$G$2:$G$801, 0)+1))), "")</f>
        <v/>
      </c>
      <c r="H431" s="10">
        <f>IFERROR(IF(INDEX(ERP資料!$G:$G, (MATCH(430, 輔助計算!$G$2:$G$801, 0)+1))="","",INDEX(ERP資料!$G:$G, (MATCH(430, 輔助計算!$G$2:$G$801, 0)+1))), "")</f>
        <v/>
      </c>
      <c r="I431" s="15">
        <f>IFERROR(INDEX(輔助計算!$D:$D, (MATCH(430, 輔助計算!$G$2:$G$801, 0)+1)), "")</f>
        <v/>
      </c>
      <c r="J431" s="15">
        <f>IFERROR(IF(AND(INDEX(輔助計算!$D:$D, (MATCH(430, 輔助計算!$G$2:$G$801, 0)+1))&lt;&gt;"", INDEX(ERP資料!$G:$G, (MATCH(430, 輔助計算!$G$2:$G$801, 0)+1))&lt;&gt;""), TRIM(IF(INT(INDEX(輔助計算!$D:$D, (MATCH(430, 輔助計算!$G$2:$G$801, 0)+1))/IF(INDEX(ERP資料!$G:$G, (MATCH(430, 輔助計算!$G$2:$G$801, 0)+1))&lt;100, IF(INDEX(ERP資料!$G:$G, (MATCH(430, 輔助計算!$G$2:$G$801, 0)+1))&lt;=31,3,IF(INDEX(ERP資料!$G:$G, (MATCH(430, 輔助計算!$G$2:$G$801, 0)+1))&lt;=46.5,2,1)), IF(INDEX(ERP資料!$G:$G, (MATCH(430, 輔助計算!$G$2:$G$801, 0)+1))&lt;=790,3,IF(INDEX(ERP資料!$G:$G, (MATCH(430, 輔助計算!$G$2:$G$801, 0)+1))&lt;=1181,2,1))))&gt;0, IF(IF(INDEX(ERP資料!$G:$G, (MATCH(430, 輔助計算!$G$2:$G$801, 0)+1))&lt;100, IF(INDEX(ERP資料!$G:$G, (MATCH(430, 輔助計算!$G$2:$G$801, 0)+1))&lt;=31,3,IF(INDEX(ERP資料!$G:$G, (MATCH(430, 輔助計算!$G$2:$G$801, 0)+1))&lt;=46.5,2,1)), IF(INDEX(ERP資料!$G:$G, (MATCH(430, 輔助計算!$G$2:$G$801, 0)+1))&lt;=790,3,IF(INDEX(ERP資料!$G:$G, (MATCH(430, 輔助計算!$G$2:$G$801, 0)+1))&lt;=1181,2,1)))=1,TEXT(INDEX(ERP資料!$G:$G, (MATCH(430, 輔助計算!$G$2:$G$801, 0)+1)),"0.##"),IF(IF(INDEX(ERP資料!$G:$G, (MATCH(430, 輔助計算!$G$2:$G$801, 0)+1))&lt;100, IF(INDEX(ERP資料!$G:$G, (MATCH(430, 輔助計算!$G$2:$G$801, 0)+1))&lt;=31,3,IF(INDEX(ERP資料!$G:$G, (MATCH(430, 輔助計算!$G$2:$G$801, 0)+1))&lt;=46.5,2,1)), IF(INDEX(ERP資料!$G:$G, (MATCH(430, 輔助計算!$G$2:$G$801, 0)+1))&lt;=790,3,IF(INDEX(ERP資料!$G:$G, (MATCH(430, 輔助計算!$G$2:$G$801, 0)+1))&lt;=1181,2,1)))=2,TEXT(INDEX(ERP資料!$G:$G, (MATCH(430, 輔助計算!$G$2:$G$801, 0)+1)),"0.##")&amp;"+"&amp;TEXT(INDEX(ERP資料!$G:$G, (MATCH(430, 輔助計算!$G$2:$G$801, 0)+1)),"0.##"),TEXT(INDEX(ERP資料!$G:$G, (MATCH(430, 輔助計算!$G$2:$G$801, 0)+1)),"0.##")&amp;"+"&amp;TEXT(INDEX(ERP資料!$G:$G, (MATCH(430, 輔助計算!$G$2:$G$801, 0)+1)),"0.##")&amp;"+"&amp;TEXT(INDEX(ERP資料!$G:$G, (MATCH(430, 輔助計算!$G$2:$G$801, 0)+1)),"0.##")))&amp;"-"&amp;INT(INDEX(輔助計算!$D:$D, (MATCH(430, 輔助計算!$G$2:$G$801, 0)+1))/IF(INDEX(ERP資料!$G:$G, (MATCH(430, 輔助計算!$G$2:$G$801, 0)+1))&lt;100, IF(INDEX(ERP資料!$G:$G, (MATCH(430, 輔助計算!$G$2:$G$801, 0)+1))&lt;=31,3,IF(INDEX(ERP資料!$G:$G, (MATCH(430, 輔助計算!$G$2:$G$801, 0)+1))&lt;=46.5,2,1)), IF(INDEX(ERP資料!$G:$G, (MATCH(430, 輔助計算!$G$2:$G$801, 0)+1))&lt;=790,3,IF(INDEX(ERP資料!$G:$G, (MATCH(430, 輔助計算!$G$2:$G$801, 0)+1))&lt;=1181,2,1)))), "")&amp;IF(AND(IF(INT(INDEX(輔助計算!$D:$D, (MATCH(430, 輔助計算!$G$2:$G$801, 0)+1))/IF(INDEX(ERP資料!$G:$G, (MATCH(430, 輔助計算!$G$2:$G$801, 0)+1))&lt;100, IF(INDEX(ERP資料!$G:$G, (MATCH(430, 輔助計算!$G$2:$G$801, 0)+1))&lt;=31,3,IF(INDEX(ERP資料!$G:$G, (MATCH(430, 輔助計算!$G$2:$G$801, 0)+1))&lt;=46.5,2,1)), IF(INDEX(ERP資料!$G:$G, (MATCH(430, 輔助計算!$G$2:$G$801, 0)+1))&lt;=790,3,IF(INDEX(ERP資料!$G:$G, (MATCH(430, 輔助計算!$G$2:$G$801, 0)+1))&lt;=1181,2,1))))&gt;0, IF(IF(INDEX(ERP資料!$G:$G, (MATCH(430, 輔助計算!$G$2:$G$801, 0)+1))&lt;100, IF(INDEX(ERP資料!$G:$G, (MATCH(430, 輔助計算!$G$2:$G$801, 0)+1))&lt;=31,3,IF(INDEX(ERP資料!$G:$G, (MATCH(430, 輔助計算!$G$2:$G$801, 0)+1))&lt;=46.5,2,1)), IF(INDEX(ERP資料!$G:$G, (MATCH(430, 輔助計算!$G$2:$G$801, 0)+1))&lt;=790,3,IF(INDEX(ERP資料!$G:$G, (MATCH(430, 輔助計算!$G$2:$G$801, 0)+1))&lt;=1181,2,1)))=1,TEXT(INDEX(ERP資料!$G:$G, (MATCH(430, 輔助計算!$G$2:$G$801, 0)+1)),"0.##"),IF(IF(INDEX(ERP資料!$G:$G, (MATCH(430, 輔助計算!$G$2:$G$801, 0)+1))&lt;100, IF(INDEX(ERP資料!$G:$G, (MATCH(430, 輔助計算!$G$2:$G$801, 0)+1))&lt;=31,3,IF(INDEX(ERP資料!$G:$G, (MATCH(430, 輔助計算!$G$2:$G$801, 0)+1))&lt;=46.5,2,1)), IF(INDEX(ERP資料!$G:$G, (MATCH(430, 輔助計算!$G$2:$G$801, 0)+1))&lt;=790,3,IF(INDEX(ERP資料!$G:$G, (MATCH(430, 輔助計算!$G$2:$G$801, 0)+1))&lt;=1181,2,1)))=2,TEXT(INDEX(ERP資料!$G:$G, (MATCH(430, 輔助計算!$G$2:$G$801, 0)+1)),"0.##")&amp;"+"&amp;TEXT(INDEX(ERP資料!$G:$G, (MATCH(430, 輔助計算!$G$2:$G$801, 0)+1)),"0.##"),TEXT(INDEX(ERP資料!$G:$G, (MATCH(430, 輔助計算!$G$2:$G$801, 0)+1)),"0.##")&amp;"+"&amp;TEXT(INDEX(ERP資料!$G:$G, (MATCH(430, 輔助計算!$G$2:$G$801, 0)+1)),"0.##")&amp;"+"&amp;TEXT(INDEX(ERP資料!$G:$G, (MATCH(430, 輔助計算!$G$2:$G$801, 0)+1)),"0.##")))&amp;"-"&amp;INT(INDEX(輔助計算!$D:$D, (MATCH(430, 輔助計算!$G$2:$G$801, 0)+1))/IF(INDEX(ERP資料!$G:$G, (MATCH(430, 輔助計算!$G$2:$G$801, 0)+1))&lt;100, IF(INDEX(ERP資料!$G:$G, (MATCH(430, 輔助計算!$G$2:$G$801, 0)+1))&lt;=31,3,IF(INDEX(ERP資料!$G:$G, (MATCH(430, 輔助計算!$G$2:$G$801, 0)+1))&lt;=46.5,2,1)), IF(INDEX(ERP資料!$G:$G, (MATCH(430, 輔助計算!$G$2:$G$801, 0)+1))&lt;=790,3,IF(INDEX(ERP資料!$G:$G, (MATCH(430, 輔助計算!$G$2:$G$801, 0)+1))&lt;=1181,2,1)))), "")&lt;&gt;"",IF(MOD(INDEX(輔助計算!$D:$D, (MATCH(430, 輔助計算!$G$2:$G$801, 0)+1)),IF(INDEX(ERP資料!$G:$G, (MATCH(430, 輔助計算!$G$2:$G$801, 0)+1))&lt;100, IF(INDEX(ERP資料!$G:$G, (MATCH(430, 輔助計算!$G$2:$G$801, 0)+1))&lt;=31,3,IF(INDEX(ERP資料!$G:$G, (MATCH(430, 輔助計算!$G$2:$G$801, 0)+1))&lt;=46.5,2,1)), IF(INDEX(ERP資料!$G:$G, (MATCH(430, 輔助計算!$G$2:$G$801, 0)+1))&lt;=790,3,IF(INDEX(ERP資料!$G:$G, (MATCH(430, 輔助計算!$G$2:$G$801, 0)+1))&lt;=1181,2,1))))=0,"",IF(MOD(INDEX(輔助計算!$D:$D, (MATCH(430, 輔助計算!$G$2:$G$801, 0)+1)),IF(INDEX(ERP資料!$G:$G, (MATCH(430, 輔助計算!$G$2:$G$801, 0)+1))&lt;100, IF(INDEX(ERP資料!$G:$G, (MATCH(430, 輔助計算!$G$2:$G$801, 0)+1))&lt;=31,3,IF(INDEX(ERP資料!$G:$G, (MATCH(430, 輔助計算!$G$2:$G$801, 0)+1))&lt;=46.5,2,1)), IF(INDEX(ERP資料!$G:$G, (MATCH(430, 輔助計算!$G$2:$G$801, 0)+1))&lt;=790,3,IF(INDEX(ERP資料!$G:$G, (MATCH(430, 輔助計算!$G$2:$G$801, 0)+1))&lt;=1181,2,1))))=0,"",IF(MOD(INDEX(輔助計算!$D:$D, (MATCH(430, 輔助計算!$G$2:$G$801, 0)+1)),IF(INDEX(ERP資料!$G:$G, (MATCH(430, 輔助計算!$G$2:$G$801, 0)+1))&lt;100, IF(INDEX(ERP資料!$G:$G, (MATCH(430, 輔助計算!$G$2:$G$801, 0)+1))&lt;=31,3,IF(INDEX(ERP資料!$G:$G, (MATCH(430, 輔助計算!$G$2:$G$801, 0)+1))&lt;=46.5,2,1)), IF(INDEX(ERP資料!$G:$G, (MATCH(430, 輔助計算!$G$2:$G$801, 0)+1))&lt;=790,3,IF(INDEX(ERP資料!$G:$G, (MATCH(430, 輔助計算!$G$2:$G$801, 0)+1))&lt;=1181,2,1))))=1,TEXT(INDEX(ERP資料!$G:$G, (MATCH(430, 輔助計算!$G$2:$G$801, 0)+1)),"0.##"),IF(MOD(INDEX(輔助計算!$D:$D, (MATCH(430, 輔助計算!$G$2:$G$801, 0)+1)),IF(INDEX(ERP資料!$G:$G, (MATCH(430, 輔助計算!$G$2:$G$801, 0)+1))&lt;100, IF(INDEX(ERP資料!$G:$G, (MATCH(430, 輔助計算!$G$2:$G$801, 0)+1))&lt;=31,3,IF(INDEX(ERP資料!$G:$G, (MATCH(430, 輔助計算!$G$2:$G$801, 0)+1))&lt;=46.5,2,1)), IF(INDEX(ERP資料!$G:$G, (MATCH(430, 輔助計算!$G$2:$G$801, 0)+1))&lt;=790,3,IF(INDEX(ERP資料!$G:$G, (MATCH(430, 輔助計算!$G$2:$G$801, 0)+1))&lt;=1181,2,1))))=2,TEXT(INDEX(ERP資料!$G:$G, (MATCH(430, 輔助計算!$G$2:$G$801, 0)+1)),"0.##")&amp;"+"&amp;TEXT(INDEX(ERP資料!$G:$G, (MATCH(430, 輔助計算!$G$2:$G$801, 0)+1)),"0.##"),TEXT(INDEX(ERP資料!$G:$G, (MATCH(430, 輔助計算!$G$2:$G$801, 0)+1)),"0.##")&amp;"+"&amp;TEXT(INDEX(ERP資料!$G:$G, (MATCH(430, 輔助計算!$G$2:$G$801, 0)+1)),"0.##")&amp;"+"&amp;TEXT(INDEX(ERP資料!$G:$G, (MATCH(430, 輔助計算!$G$2:$G$801, 0)+1)),"0.##"))))&amp;"-1")&lt;&gt;""),"  ","")&amp;IF(MOD(INDEX(輔助計算!$D:$D, (MATCH(430, 輔助計算!$G$2:$G$801, 0)+1)),IF(INDEX(ERP資料!$G:$G, (MATCH(430, 輔助計算!$G$2:$G$801, 0)+1))&lt;100, IF(INDEX(ERP資料!$G:$G, (MATCH(430, 輔助計算!$G$2:$G$801, 0)+1))&lt;=31,3,IF(INDEX(ERP資料!$G:$G, (MATCH(430, 輔助計算!$G$2:$G$801, 0)+1))&lt;=46.5,2,1)), IF(INDEX(ERP資料!$G:$G, (MATCH(430, 輔助計算!$G$2:$G$801, 0)+1))&lt;=790,3,IF(INDEX(ERP資料!$G:$G, (MATCH(430, 輔助計算!$G$2:$G$801, 0)+1))&lt;=1181,2,1))))=0,"",IF(MOD(INDEX(輔助計算!$D:$D, (MATCH(430, 輔助計算!$G$2:$G$801, 0)+1)),IF(INDEX(ERP資料!$G:$G, (MATCH(430, 輔助計算!$G$2:$G$801, 0)+1))&lt;100, IF(INDEX(ERP資料!$G:$G, (MATCH(430, 輔助計算!$G$2:$G$801, 0)+1))&lt;=31,3,IF(INDEX(ERP資料!$G:$G, (MATCH(430, 輔助計算!$G$2:$G$801, 0)+1))&lt;=46.5,2,1)), IF(INDEX(ERP資料!$G:$G, (MATCH(430, 輔助計算!$G$2:$G$801, 0)+1))&lt;=790,3,IF(INDEX(ERP資料!$G:$G, (MATCH(430, 輔助計算!$G$2:$G$801, 0)+1))&lt;=1181,2,1))))=0,"",IF(MOD(INDEX(輔助計算!$D:$D, (MATCH(430, 輔助計算!$G$2:$G$801, 0)+1)),IF(INDEX(ERP資料!$G:$G, (MATCH(430, 輔助計算!$G$2:$G$801, 0)+1))&lt;100, IF(INDEX(ERP資料!$G:$G, (MATCH(430, 輔助計算!$G$2:$G$801, 0)+1))&lt;=31,3,IF(INDEX(ERP資料!$G:$G, (MATCH(430, 輔助計算!$G$2:$G$801, 0)+1))&lt;=46.5,2,1)), IF(INDEX(ERP資料!$G:$G, (MATCH(430, 輔助計算!$G$2:$G$801, 0)+1))&lt;=790,3,IF(INDEX(ERP資料!$G:$G, (MATCH(430, 輔助計算!$G$2:$G$801, 0)+1))&lt;=1181,2,1))))=1,TEXT(INDEX(ERP資料!$G:$G, (MATCH(430, 輔助計算!$G$2:$G$801, 0)+1)),"0.##"),IF(MOD(INDEX(輔助計算!$D:$D, (MATCH(430, 輔助計算!$G$2:$G$801, 0)+1)),IF(INDEX(ERP資料!$G:$G, (MATCH(430, 輔助計算!$G$2:$G$801, 0)+1))&lt;100, IF(INDEX(ERP資料!$G:$G, (MATCH(430, 輔助計算!$G$2:$G$801, 0)+1))&lt;=31,3,IF(INDEX(ERP資料!$G:$G, (MATCH(430, 輔助計算!$G$2:$G$801, 0)+1))&lt;=46.5,2,1)), IF(INDEX(ERP資料!$G:$G, (MATCH(430, 輔助計算!$G$2:$G$801, 0)+1))&lt;=790,3,IF(INDEX(ERP資料!$G:$G, (MATCH(430, 輔助計算!$G$2:$G$801, 0)+1))&lt;=1181,2,1))))=2,TEXT(INDEX(ERP資料!$G:$G, (MATCH(430, 輔助計算!$G$2:$G$801, 0)+1)),"0.##")&amp;"+"&amp;TEXT(INDEX(ERP資料!$G:$G, (MATCH(430, 輔助計算!$G$2:$G$801, 0)+1)),"0.##"),TEXT(INDEX(ERP資料!$G:$G, (MATCH(430, 輔助計算!$G$2:$G$801, 0)+1)),"0.##")&amp;"+"&amp;TEXT(INDEX(ERP資料!$G:$G, (MATCH(430, 輔助計算!$G$2:$G$801, 0)+1)),"0.##")&amp;"+"&amp;TEXT(INDEX(ERP資料!$G:$G, (MATCH(430, 輔助計算!$G$2:$G$801, 0)+1)),"0.##"))))&amp;"-1")), ""), "")</f>
        <v/>
      </c>
      <c r="K431" s="16" t="n"/>
      <c r="L431" s="14">
        <f>IFERROR(IF(AND(IFERROR(INDEX(ERP資料!$A:$A, (MATCH(430, 輔助計算!$G$2:$G$801, 0)+1)), "")&lt;&gt;"", IFERROR(INDEX(ERP資料!$A:$A, (MATCH(430, 輔助計算!$G$2:$G$801, 0)+1)), "")&lt;&gt;IFERROR(INDEX(ERP資料!$A:$A, MATCH(429, 輔助計算!$G$2:$G$801, 0)+1), "")), INDEX(ERP資料!$B:$B, (MATCH(430, 輔助計算!$G$2:$G$801, 0)+1)), ""), "")</f>
        <v/>
      </c>
      <c r="M431" s="17" t="n"/>
    </row>
    <row r="432">
      <c r="A432" s="10">
        <f>IFERROR(IF(AND(IFERROR(INDEX(ERP資料!$A:$A, (MATCH(431, 輔助計算!$G$2:$G$801, 0)+1)), "")&lt;&gt;"", IFERROR(INDEX(ERP資料!$A:$A, (MATCH(431, 輔助計算!$G$2:$G$801, 0)+1)), "")&lt;&gt;IFERROR(INDEX(ERP資料!$A:$A, MATCH(430, 輔助計算!$G$2:$G$801, 0)+1), "")), IFERROR(INDEX(ERP資料!$A:$A, (MATCH(431, 輔助計算!$G$2:$G$801, 0)+1)), ""), ""), "")</f>
        <v/>
      </c>
      <c r="B432" s="10">
        <f>IFERROR(IF(AND(IFERROR(INDEX(ERP資料!$A:$A, (MATCH(431, 輔助計算!$G$2:$G$801, 0)+1)), "")&lt;&gt;"", IFERROR(INDEX(ERP資料!$A:$A, (MATCH(431, 輔助計算!$G$2:$G$801, 0)+1)), "")&lt;&gt;IFERROR(INDEX(ERP資料!$A:$A, MATCH(430, 輔助計算!$G$2:$G$801, 0)+1), "")), INDEX(ERP資料!$S:$S, (MATCH(431, 輔助計算!$G$2:$G$801, 0)+1)), ""), "")</f>
        <v/>
      </c>
      <c r="C432" s="19">
        <f>IFERROR(IF(AND(IFERROR(INDEX(ERP資料!$A:$A, (MATCH(431, 輔助計算!$G$2:$G$801, 0)+1)), "")&lt;&gt;"", IFERROR(INDEX(ERP資料!$A:$A, (MATCH(431, 輔助計算!$G$2:$G$801, 0)+1)), "")&lt;&gt;IFERROR(INDEX(ERP資料!$A:$A, MATCH(430, 輔助計算!$G$2:$G$801, 0)+1), "")), IFERROR(VLOOKUP(LEFT(INDEX(ERP資料!$S:$S, (MATCH(431, 輔助計算!$G$2:$G$801, 0)+1)), 4), 紙管對照表!$A:$C, 3, FALSE), ""), ""), "")</f>
        <v/>
      </c>
      <c r="D432" s="16" t="n"/>
      <c r="E432" s="10">
        <f>IFERROR(IF(INDEX(ERP資料!$H:$H, (MATCH(431, 輔助計算!$G$2:$G$801, 0)+1))="","",INDEX(ERP資料!$H:$H, (MATCH(431, 輔助計算!$G$2:$G$801, 0)+1))), "")</f>
        <v/>
      </c>
      <c r="F432" s="10">
        <f>IFERROR(IF(INDEX(ERP資料!$E:$E, (MATCH(431, 輔助計算!$G$2:$G$801, 0)+1))="","",TRIM(INDEX(ERP資料!$E:$E, (MATCH(431, 輔助計算!$G$2:$G$801, 0)+1)))), "")</f>
        <v/>
      </c>
      <c r="G432" s="10">
        <f>IFERROR(IF(INDEX(ERP資料!$F:$F, (MATCH(431, 輔助計算!$G$2:$G$801, 0)+1))="","",INDEX(ERP資料!$F:$F, (MATCH(431, 輔助計算!$G$2:$G$801, 0)+1))), "")</f>
        <v/>
      </c>
      <c r="H432" s="10">
        <f>IFERROR(IF(INDEX(ERP資料!$G:$G, (MATCH(431, 輔助計算!$G$2:$G$801, 0)+1))="","",INDEX(ERP資料!$G:$G, (MATCH(431, 輔助計算!$G$2:$G$801, 0)+1))), "")</f>
        <v/>
      </c>
      <c r="I432" s="15">
        <f>IFERROR(INDEX(輔助計算!$D:$D, (MATCH(431, 輔助計算!$G$2:$G$801, 0)+1)), "")</f>
        <v/>
      </c>
      <c r="J432" s="15">
        <f>IFERROR(IF(AND(INDEX(輔助計算!$D:$D, (MATCH(431, 輔助計算!$G$2:$G$801, 0)+1))&lt;&gt;"", INDEX(ERP資料!$G:$G, (MATCH(431, 輔助計算!$G$2:$G$801, 0)+1))&lt;&gt;""), TRIM(IF(INT(INDEX(輔助計算!$D:$D, (MATCH(431, 輔助計算!$G$2:$G$801, 0)+1))/IF(INDEX(ERP資料!$G:$G, (MATCH(431, 輔助計算!$G$2:$G$801, 0)+1))&lt;100, IF(INDEX(ERP資料!$G:$G, (MATCH(431, 輔助計算!$G$2:$G$801, 0)+1))&lt;=31,3,IF(INDEX(ERP資料!$G:$G, (MATCH(431, 輔助計算!$G$2:$G$801, 0)+1))&lt;=46.5,2,1)), IF(INDEX(ERP資料!$G:$G, (MATCH(431, 輔助計算!$G$2:$G$801, 0)+1))&lt;=790,3,IF(INDEX(ERP資料!$G:$G, (MATCH(431, 輔助計算!$G$2:$G$801, 0)+1))&lt;=1181,2,1))))&gt;0, IF(IF(INDEX(ERP資料!$G:$G, (MATCH(431, 輔助計算!$G$2:$G$801, 0)+1))&lt;100, IF(INDEX(ERP資料!$G:$G, (MATCH(431, 輔助計算!$G$2:$G$801, 0)+1))&lt;=31,3,IF(INDEX(ERP資料!$G:$G, (MATCH(431, 輔助計算!$G$2:$G$801, 0)+1))&lt;=46.5,2,1)), IF(INDEX(ERP資料!$G:$G, (MATCH(431, 輔助計算!$G$2:$G$801, 0)+1))&lt;=790,3,IF(INDEX(ERP資料!$G:$G, (MATCH(431, 輔助計算!$G$2:$G$801, 0)+1))&lt;=1181,2,1)))=1,TEXT(INDEX(ERP資料!$G:$G, (MATCH(431, 輔助計算!$G$2:$G$801, 0)+1)),"0.##"),IF(IF(INDEX(ERP資料!$G:$G, (MATCH(431, 輔助計算!$G$2:$G$801, 0)+1))&lt;100, IF(INDEX(ERP資料!$G:$G, (MATCH(431, 輔助計算!$G$2:$G$801, 0)+1))&lt;=31,3,IF(INDEX(ERP資料!$G:$G, (MATCH(431, 輔助計算!$G$2:$G$801, 0)+1))&lt;=46.5,2,1)), IF(INDEX(ERP資料!$G:$G, (MATCH(431, 輔助計算!$G$2:$G$801, 0)+1))&lt;=790,3,IF(INDEX(ERP資料!$G:$G, (MATCH(431, 輔助計算!$G$2:$G$801, 0)+1))&lt;=1181,2,1)))=2,TEXT(INDEX(ERP資料!$G:$G, (MATCH(431, 輔助計算!$G$2:$G$801, 0)+1)),"0.##")&amp;"+"&amp;TEXT(INDEX(ERP資料!$G:$G, (MATCH(431, 輔助計算!$G$2:$G$801, 0)+1)),"0.##"),TEXT(INDEX(ERP資料!$G:$G, (MATCH(431, 輔助計算!$G$2:$G$801, 0)+1)),"0.##")&amp;"+"&amp;TEXT(INDEX(ERP資料!$G:$G, (MATCH(431, 輔助計算!$G$2:$G$801, 0)+1)),"0.##")&amp;"+"&amp;TEXT(INDEX(ERP資料!$G:$G, (MATCH(431, 輔助計算!$G$2:$G$801, 0)+1)),"0.##")))&amp;"-"&amp;INT(INDEX(輔助計算!$D:$D, (MATCH(431, 輔助計算!$G$2:$G$801, 0)+1))/IF(INDEX(ERP資料!$G:$G, (MATCH(431, 輔助計算!$G$2:$G$801, 0)+1))&lt;100, IF(INDEX(ERP資料!$G:$G, (MATCH(431, 輔助計算!$G$2:$G$801, 0)+1))&lt;=31,3,IF(INDEX(ERP資料!$G:$G, (MATCH(431, 輔助計算!$G$2:$G$801, 0)+1))&lt;=46.5,2,1)), IF(INDEX(ERP資料!$G:$G, (MATCH(431, 輔助計算!$G$2:$G$801, 0)+1))&lt;=790,3,IF(INDEX(ERP資料!$G:$G, (MATCH(431, 輔助計算!$G$2:$G$801, 0)+1))&lt;=1181,2,1)))), "")&amp;IF(AND(IF(INT(INDEX(輔助計算!$D:$D, (MATCH(431, 輔助計算!$G$2:$G$801, 0)+1))/IF(INDEX(ERP資料!$G:$G, (MATCH(431, 輔助計算!$G$2:$G$801, 0)+1))&lt;100, IF(INDEX(ERP資料!$G:$G, (MATCH(431, 輔助計算!$G$2:$G$801, 0)+1))&lt;=31,3,IF(INDEX(ERP資料!$G:$G, (MATCH(431, 輔助計算!$G$2:$G$801, 0)+1))&lt;=46.5,2,1)), IF(INDEX(ERP資料!$G:$G, (MATCH(431, 輔助計算!$G$2:$G$801, 0)+1))&lt;=790,3,IF(INDEX(ERP資料!$G:$G, (MATCH(431, 輔助計算!$G$2:$G$801, 0)+1))&lt;=1181,2,1))))&gt;0, IF(IF(INDEX(ERP資料!$G:$G, (MATCH(431, 輔助計算!$G$2:$G$801, 0)+1))&lt;100, IF(INDEX(ERP資料!$G:$G, (MATCH(431, 輔助計算!$G$2:$G$801, 0)+1))&lt;=31,3,IF(INDEX(ERP資料!$G:$G, (MATCH(431, 輔助計算!$G$2:$G$801, 0)+1))&lt;=46.5,2,1)), IF(INDEX(ERP資料!$G:$G, (MATCH(431, 輔助計算!$G$2:$G$801, 0)+1))&lt;=790,3,IF(INDEX(ERP資料!$G:$G, (MATCH(431, 輔助計算!$G$2:$G$801, 0)+1))&lt;=1181,2,1)))=1,TEXT(INDEX(ERP資料!$G:$G, (MATCH(431, 輔助計算!$G$2:$G$801, 0)+1)),"0.##"),IF(IF(INDEX(ERP資料!$G:$G, (MATCH(431, 輔助計算!$G$2:$G$801, 0)+1))&lt;100, IF(INDEX(ERP資料!$G:$G, (MATCH(431, 輔助計算!$G$2:$G$801, 0)+1))&lt;=31,3,IF(INDEX(ERP資料!$G:$G, (MATCH(431, 輔助計算!$G$2:$G$801, 0)+1))&lt;=46.5,2,1)), IF(INDEX(ERP資料!$G:$G, (MATCH(431, 輔助計算!$G$2:$G$801, 0)+1))&lt;=790,3,IF(INDEX(ERP資料!$G:$G, (MATCH(431, 輔助計算!$G$2:$G$801, 0)+1))&lt;=1181,2,1)))=2,TEXT(INDEX(ERP資料!$G:$G, (MATCH(431, 輔助計算!$G$2:$G$801, 0)+1)),"0.##")&amp;"+"&amp;TEXT(INDEX(ERP資料!$G:$G, (MATCH(431, 輔助計算!$G$2:$G$801, 0)+1)),"0.##"),TEXT(INDEX(ERP資料!$G:$G, (MATCH(431, 輔助計算!$G$2:$G$801, 0)+1)),"0.##")&amp;"+"&amp;TEXT(INDEX(ERP資料!$G:$G, (MATCH(431, 輔助計算!$G$2:$G$801, 0)+1)),"0.##")&amp;"+"&amp;TEXT(INDEX(ERP資料!$G:$G, (MATCH(431, 輔助計算!$G$2:$G$801, 0)+1)),"0.##")))&amp;"-"&amp;INT(INDEX(輔助計算!$D:$D, (MATCH(431, 輔助計算!$G$2:$G$801, 0)+1))/IF(INDEX(ERP資料!$G:$G, (MATCH(431, 輔助計算!$G$2:$G$801, 0)+1))&lt;100, IF(INDEX(ERP資料!$G:$G, (MATCH(431, 輔助計算!$G$2:$G$801, 0)+1))&lt;=31,3,IF(INDEX(ERP資料!$G:$G, (MATCH(431, 輔助計算!$G$2:$G$801, 0)+1))&lt;=46.5,2,1)), IF(INDEX(ERP資料!$G:$G, (MATCH(431, 輔助計算!$G$2:$G$801, 0)+1))&lt;=790,3,IF(INDEX(ERP資料!$G:$G, (MATCH(431, 輔助計算!$G$2:$G$801, 0)+1))&lt;=1181,2,1)))), "")&lt;&gt;"",IF(MOD(INDEX(輔助計算!$D:$D, (MATCH(431, 輔助計算!$G$2:$G$801, 0)+1)),IF(INDEX(ERP資料!$G:$G, (MATCH(431, 輔助計算!$G$2:$G$801, 0)+1))&lt;100, IF(INDEX(ERP資料!$G:$G, (MATCH(431, 輔助計算!$G$2:$G$801, 0)+1))&lt;=31,3,IF(INDEX(ERP資料!$G:$G, (MATCH(431, 輔助計算!$G$2:$G$801, 0)+1))&lt;=46.5,2,1)), IF(INDEX(ERP資料!$G:$G, (MATCH(431, 輔助計算!$G$2:$G$801, 0)+1))&lt;=790,3,IF(INDEX(ERP資料!$G:$G, (MATCH(431, 輔助計算!$G$2:$G$801, 0)+1))&lt;=1181,2,1))))=0,"",IF(MOD(INDEX(輔助計算!$D:$D, (MATCH(431, 輔助計算!$G$2:$G$801, 0)+1)),IF(INDEX(ERP資料!$G:$G, (MATCH(431, 輔助計算!$G$2:$G$801, 0)+1))&lt;100, IF(INDEX(ERP資料!$G:$G, (MATCH(431, 輔助計算!$G$2:$G$801, 0)+1))&lt;=31,3,IF(INDEX(ERP資料!$G:$G, (MATCH(431, 輔助計算!$G$2:$G$801, 0)+1))&lt;=46.5,2,1)), IF(INDEX(ERP資料!$G:$G, (MATCH(431, 輔助計算!$G$2:$G$801, 0)+1))&lt;=790,3,IF(INDEX(ERP資料!$G:$G, (MATCH(431, 輔助計算!$G$2:$G$801, 0)+1))&lt;=1181,2,1))))=0,"",IF(MOD(INDEX(輔助計算!$D:$D, (MATCH(431, 輔助計算!$G$2:$G$801, 0)+1)),IF(INDEX(ERP資料!$G:$G, (MATCH(431, 輔助計算!$G$2:$G$801, 0)+1))&lt;100, IF(INDEX(ERP資料!$G:$G, (MATCH(431, 輔助計算!$G$2:$G$801, 0)+1))&lt;=31,3,IF(INDEX(ERP資料!$G:$G, (MATCH(431, 輔助計算!$G$2:$G$801, 0)+1))&lt;=46.5,2,1)), IF(INDEX(ERP資料!$G:$G, (MATCH(431, 輔助計算!$G$2:$G$801, 0)+1))&lt;=790,3,IF(INDEX(ERP資料!$G:$G, (MATCH(431, 輔助計算!$G$2:$G$801, 0)+1))&lt;=1181,2,1))))=1,TEXT(INDEX(ERP資料!$G:$G, (MATCH(431, 輔助計算!$G$2:$G$801, 0)+1)),"0.##"),IF(MOD(INDEX(輔助計算!$D:$D, (MATCH(431, 輔助計算!$G$2:$G$801, 0)+1)),IF(INDEX(ERP資料!$G:$G, (MATCH(431, 輔助計算!$G$2:$G$801, 0)+1))&lt;100, IF(INDEX(ERP資料!$G:$G, (MATCH(431, 輔助計算!$G$2:$G$801, 0)+1))&lt;=31,3,IF(INDEX(ERP資料!$G:$G, (MATCH(431, 輔助計算!$G$2:$G$801, 0)+1))&lt;=46.5,2,1)), IF(INDEX(ERP資料!$G:$G, (MATCH(431, 輔助計算!$G$2:$G$801, 0)+1))&lt;=790,3,IF(INDEX(ERP資料!$G:$G, (MATCH(431, 輔助計算!$G$2:$G$801, 0)+1))&lt;=1181,2,1))))=2,TEXT(INDEX(ERP資料!$G:$G, (MATCH(431, 輔助計算!$G$2:$G$801, 0)+1)),"0.##")&amp;"+"&amp;TEXT(INDEX(ERP資料!$G:$G, (MATCH(431, 輔助計算!$G$2:$G$801, 0)+1)),"0.##"),TEXT(INDEX(ERP資料!$G:$G, (MATCH(431, 輔助計算!$G$2:$G$801, 0)+1)),"0.##")&amp;"+"&amp;TEXT(INDEX(ERP資料!$G:$G, (MATCH(431, 輔助計算!$G$2:$G$801, 0)+1)),"0.##")&amp;"+"&amp;TEXT(INDEX(ERP資料!$G:$G, (MATCH(431, 輔助計算!$G$2:$G$801, 0)+1)),"0.##"))))&amp;"-1")&lt;&gt;""),"  ","")&amp;IF(MOD(INDEX(輔助計算!$D:$D, (MATCH(431, 輔助計算!$G$2:$G$801, 0)+1)),IF(INDEX(ERP資料!$G:$G, (MATCH(431, 輔助計算!$G$2:$G$801, 0)+1))&lt;100, IF(INDEX(ERP資料!$G:$G, (MATCH(431, 輔助計算!$G$2:$G$801, 0)+1))&lt;=31,3,IF(INDEX(ERP資料!$G:$G, (MATCH(431, 輔助計算!$G$2:$G$801, 0)+1))&lt;=46.5,2,1)), IF(INDEX(ERP資料!$G:$G, (MATCH(431, 輔助計算!$G$2:$G$801, 0)+1))&lt;=790,3,IF(INDEX(ERP資料!$G:$G, (MATCH(431, 輔助計算!$G$2:$G$801, 0)+1))&lt;=1181,2,1))))=0,"",IF(MOD(INDEX(輔助計算!$D:$D, (MATCH(431, 輔助計算!$G$2:$G$801, 0)+1)),IF(INDEX(ERP資料!$G:$G, (MATCH(431, 輔助計算!$G$2:$G$801, 0)+1))&lt;100, IF(INDEX(ERP資料!$G:$G, (MATCH(431, 輔助計算!$G$2:$G$801, 0)+1))&lt;=31,3,IF(INDEX(ERP資料!$G:$G, (MATCH(431, 輔助計算!$G$2:$G$801, 0)+1))&lt;=46.5,2,1)), IF(INDEX(ERP資料!$G:$G, (MATCH(431, 輔助計算!$G$2:$G$801, 0)+1))&lt;=790,3,IF(INDEX(ERP資料!$G:$G, (MATCH(431, 輔助計算!$G$2:$G$801, 0)+1))&lt;=1181,2,1))))=0,"",IF(MOD(INDEX(輔助計算!$D:$D, (MATCH(431, 輔助計算!$G$2:$G$801, 0)+1)),IF(INDEX(ERP資料!$G:$G, (MATCH(431, 輔助計算!$G$2:$G$801, 0)+1))&lt;100, IF(INDEX(ERP資料!$G:$G, (MATCH(431, 輔助計算!$G$2:$G$801, 0)+1))&lt;=31,3,IF(INDEX(ERP資料!$G:$G, (MATCH(431, 輔助計算!$G$2:$G$801, 0)+1))&lt;=46.5,2,1)), IF(INDEX(ERP資料!$G:$G, (MATCH(431, 輔助計算!$G$2:$G$801, 0)+1))&lt;=790,3,IF(INDEX(ERP資料!$G:$G, (MATCH(431, 輔助計算!$G$2:$G$801, 0)+1))&lt;=1181,2,1))))=1,TEXT(INDEX(ERP資料!$G:$G, (MATCH(431, 輔助計算!$G$2:$G$801, 0)+1)),"0.##"),IF(MOD(INDEX(輔助計算!$D:$D, (MATCH(431, 輔助計算!$G$2:$G$801, 0)+1)),IF(INDEX(ERP資料!$G:$G, (MATCH(431, 輔助計算!$G$2:$G$801, 0)+1))&lt;100, IF(INDEX(ERP資料!$G:$G, (MATCH(431, 輔助計算!$G$2:$G$801, 0)+1))&lt;=31,3,IF(INDEX(ERP資料!$G:$G, (MATCH(431, 輔助計算!$G$2:$G$801, 0)+1))&lt;=46.5,2,1)), IF(INDEX(ERP資料!$G:$G, (MATCH(431, 輔助計算!$G$2:$G$801, 0)+1))&lt;=790,3,IF(INDEX(ERP資料!$G:$G, (MATCH(431, 輔助計算!$G$2:$G$801, 0)+1))&lt;=1181,2,1))))=2,TEXT(INDEX(ERP資料!$G:$G, (MATCH(431, 輔助計算!$G$2:$G$801, 0)+1)),"0.##")&amp;"+"&amp;TEXT(INDEX(ERP資料!$G:$G, (MATCH(431, 輔助計算!$G$2:$G$801, 0)+1)),"0.##"),TEXT(INDEX(ERP資料!$G:$G, (MATCH(431, 輔助計算!$G$2:$G$801, 0)+1)),"0.##")&amp;"+"&amp;TEXT(INDEX(ERP資料!$G:$G, (MATCH(431, 輔助計算!$G$2:$G$801, 0)+1)),"0.##")&amp;"+"&amp;TEXT(INDEX(ERP資料!$G:$G, (MATCH(431, 輔助計算!$G$2:$G$801, 0)+1)),"0.##"))))&amp;"-1")), ""), "")</f>
        <v/>
      </c>
      <c r="K432" s="16" t="n"/>
      <c r="L432" s="14">
        <f>IFERROR(IF(AND(IFERROR(INDEX(ERP資料!$A:$A, (MATCH(431, 輔助計算!$G$2:$G$801, 0)+1)), "")&lt;&gt;"", IFERROR(INDEX(ERP資料!$A:$A, (MATCH(431, 輔助計算!$G$2:$G$801, 0)+1)), "")&lt;&gt;IFERROR(INDEX(ERP資料!$A:$A, MATCH(430, 輔助計算!$G$2:$G$801, 0)+1), "")), INDEX(ERP資料!$B:$B, (MATCH(431, 輔助計算!$G$2:$G$801, 0)+1)), ""), "")</f>
        <v/>
      </c>
      <c r="M432" s="17" t="n"/>
    </row>
    <row r="433">
      <c r="A433" s="10">
        <f>IFERROR(IF(AND(IFERROR(INDEX(ERP資料!$A:$A, (MATCH(432, 輔助計算!$G$2:$G$801, 0)+1)), "")&lt;&gt;"", IFERROR(INDEX(ERP資料!$A:$A, (MATCH(432, 輔助計算!$G$2:$G$801, 0)+1)), "")&lt;&gt;IFERROR(INDEX(ERP資料!$A:$A, MATCH(431, 輔助計算!$G$2:$G$801, 0)+1), "")), IFERROR(INDEX(ERP資料!$A:$A, (MATCH(432, 輔助計算!$G$2:$G$801, 0)+1)), ""), ""), "")</f>
        <v/>
      </c>
      <c r="B433" s="10">
        <f>IFERROR(IF(AND(IFERROR(INDEX(ERP資料!$A:$A, (MATCH(432, 輔助計算!$G$2:$G$801, 0)+1)), "")&lt;&gt;"", IFERROR(INDEX(ERP資料!$A:$A, (MATCH(432, 輔助計算!$G$2:$G$801, 0)+1)), "")&lt;&gt;IFERROR(INDEX(ERP資料!$A:$A, MATCH(431, 輔助計算!$G$2:$G$801, 0)+1), "")), INDEX(ERP資料!$S:$S, (MATCH(432, 輔助計算!$G$2:$G$801, 0)+1)), ""), "")</f>
        <v/>
      </c>
      <c r="C433" s="19">
        <f>IFERROR(IF(AND(IFERROR(INDEX(ERP資料!$A:$A, (MATCH(432, 輔助計算!$G$2:$G$801, 0)+1)), "")&lt;&gt;"", IFERROR(INDEX(ERP資料!$A:$A, (MATCH(432, 輔助計算!$G$2:$G$801, 0)+1)), "")&lt;&gt;IFERROR(INDEX(ERP資料!$A:$A, MATCH(431, 輔助計算!$G$2:$G$801, 0)+1), "")), IFERROR(VLOOKUP(LEFT(INDEX(ERP資料!$S:$S, (MATCH(432, 輔助計算!$G$2:$G$801, 0)+1)), 4), 紙管對照表!$A:$C, 3, FALSE), ""), ""), "")</f>
        <v/>
      </c>
      <c r="D433" s="16" t="n"/>
      <c r="E433" s="10">
        <f>IFERROR(IF(INDEX(ERP資料!$H:$H, (MATCH(432, 輔助計算!$G$2:$G$801, 0)+1))="","",INDEX(ERP資料!$H:$H, (MATCH(432, 輔助計算!$G$2:$G$801, 0)+1))), "")</f>
        <v/>
      </c>
      <c r="F433" s="10">
        <f>IFERROR(IF(INDEX(ERP資料!$E:$E, (MATCH(432, 輔助計算!$G$2:$G$801, 0)+1))="","",TRIM(INDEX(ERP資料!$E:$E, (MATCH(432, 輔助計算!$G$2:$G$801, 0)+1)))), "")</f>
        <v/>
      </c>
      <c r="G433" s="10">
        <f>IFERROR(IF(INDEX(ERP資料!$F:$F, (MATCH(432, 輔助計算!$G$2:$G$801, 0)+1))="","",INDEX(ERP資料!$F:$F, (MATCH(432, 輔助計算!$G$2:$G$801, 0)+1))), "")</f>
        <v/>
      </c>
      <c r="H433" s="10">
        <f>IFERROR(IF(INDEX(ERP資料!$G:$G, (MATCH(432, 輔助計算!$G$2:$G$801, 0)+1))="","",INDEX(ERP資料!$G:$G, (MATCH(432, 輔助計算!$G$2:$G$801, 0)+1))), "")</f>
        <v/>
      </c>
      <c r="I433" s="15">
        <f>IFERROR(INDEX(輔助計算!$D:$D, (MATCH(432, 輔助計算!$G$2:$G$801, 0)+1)), "")</f>
        <v/>
      </c>
      <c r="J433" s="15">
        <f>IFERROR(IF(AND(INDEX(輔助計算!$D:$D, (MATCH(432, 輔助計算!$G$2:$G$801, 0)+1))&lt;&gt;"", INDEX(ERP資料!$G:$G, (MATCH(432, 輔助計算!$G$2:$G$801, 0)+1))&lt;&gt;""), TRIM(IF(INT(INDEX(輔助計算!$D:$D, (MATCH(432, 輔助計算!$G$2:$G$801, 0)+1))/IF(INDEX(ERP資料!$G:$G, (MATCH(432, 輔助計算!$G$2:$G$801, 0)+1))&lt;100, IF(INDEX(ERP資料!$G:$G, (MATCH(432, 輔助計算!$G$2:$G$801, 0)+1))&lt;=31,3,IF(INDEX(ERP資料!$G:$G, (MATCH(432, 輔助計算!$G$2:$G$801, 0)+1))&lt;=46.5,2,1)), IF(INDEX(ERP資料!$G:$G, (MATCH(432, 輔助計算!$G$2:$G$801, 0)+1))&lt;=790,3,IF(INDEX(ERP資料!$G:$G, (MATCH(432, 輔助計算!$G$2:$G$801, 0)+1))&lt;=1181,2,1))))&gt;0, IF(IF(INDEX(ERP資料!$G:$G, (MATCH(432, 輔助計算!$G$2:$G$801, 0)+1))&lt;100, IF(INDEX(ERP資料!$G:$G, (MATCH(432, 輔助計算!$G$2:$G$801, 0)+1))&lt;=31,3,IF(INDEX(ERP資料!$G:$G, (MATCH(432, 輔助計算!$G$2:$G$801, 0)+1))&lt;=46.5,2,1)), IF(INDEX(ERP資料!$G:$G, (MATCH(432, 輔助計算!$G$2:$G$801, 0)+1))&lt;=790,3,IF(INDEX(ERP資料!$G:$G, (MATCH(432, 輔助計算!$G$2:$G$801, 0)+1))&lt;=1181,2,1)))=1,TEXT(INDEX(ERP資料!$G:$G, (MATCH(432, 輔助計算!$G$2:$G$801, 0)+1)),"0.##"),IF(IF(INDEX(ERP資料!$G:$G, (MATCH(432, 輔助計算!$G$2:$G$801, 0)+1))&lt;100, IF(INDEX(ERP資料!$G:$G, (MATCH(432, 輔助計算!$G$2:$G$801, 0)+1))&lt;=31,3,IF(INDEX(ERP資料!$G:$G, (MATCH(432, 輔助計算!$G$2:$G$801, 0)+1))&lt;=46.5,2,1)), IF(INDEX(ERP資料!$G:$G, (MATCH(432, 輔助計算!$G$2:$G$801, 0)+1))&lt;=790,3,IF(INDEX(ERP資料!$G:$G, (MATCH(432, 輔助計算!$G$2:$G$801, 0)+1))&lt;=1181,2,1)))=2,TEXT(INDEX(ERP資料!$G:$G, (MATCH(432, 輔助計算!$G$2:$G$801, 0)+1)),"0.##")&amp;"+"&amp;TEXT(INDEX(ERP資料!$G:$G, (MATCH(432, 輔助計算!$G$2:$G$801, 0)+1)),"0.##"),TEXT(INDEX(ERP資料!$G:$G, (MATCH(432, 輔助計算!$G$2:$G$801, 0)+1)),"0.##")&amp;"+"&amp;TEXT(INDEX(ERP資料!$G:$G, (MATCH(432, 輔助計算!$G$2:$G$801, 0)+1)),"0.##")&amp;"+"&amp;TEXT(INDEX(ERP資料!$G:$G, (MATCH(432, 輔助計算!$G$2:$G$801, 0)+1)),"0.##")))&amp;"-"&amp;INT(INDEX(輔助計算!$D:$D, (MATCH(432, 輔助計算!$G$2:$G$801, 0)+1))/IF(INDEX(ERP資料!$G:$G, (MATCH(432, 輔助計算!$G$2:$G$801, 0)+1))&lt;100, IF(INDEX(ERP資料!$G:$G, (MATCH(432, 輔助計算!$G$2:$G$801, 0)+1))&lt;=31,3,IF(INDEX(ERP資料!$G:$G, (MATCH(432, 輔助計算!$G$2:$G$801, 0)+1))&lt;=46.5,2,1)), IF(INDEX(ERP資料!$G:$G, (MATCH(432, 輔助計算!$G$2:$G$801, 0)+1))&lt;=790,3,IF(INDEX(ERP資料!$G:$G, (MATCH(432, 輔助計算!$G$2:$G$801, 0)+1))&lt;=1181,2,1)))), "")&amp;IF(AND(IF(INT(INDEX(輔助計算!$D:$D, (MATCH(432, 輔助計算!$G$2:$G$801, 0)+1))/IF(INDEX(ERP資料!$G:$G, (MATCH(432, 輔助計算!$G$2:$G$801, 0)+1))&lt;100, IF(INDEX(ERP資料!$G:$G, (MATCH(432, 輔助計算!$G$2:$G$801, 0)+1))&lt;=31,3,IF(INDEX(ERP資料!$G:$G, (MATCH(432, 輔助計算!$G$2:$G$801, 0)+1))&lt;=46.5,2,1)), IF(INDEX(ERP資料!$G:$G, (MATCH(432, 輔助計算!$G$2:$G$801, 0)+1))&lt;=790,3,IF(INDEX(ERP資料!$G:$G, (MATCH(432, 輔助計算!$G$2:$G$801, 0)+1))&lt;=1181,2,1))))&gt;0, IF(IF(INDEX(ERP資料!$G:$G, (MATCH(432, 輔助計算!$G$2:$G$801, 0)+1))&lt;100, IF(INDEX(ERP資料!$G:$G, (MATCH(432, 輔助計算!$G$2:$G$801, 0)+1))&lt;=31,3,IF(INDEX(ERP資料!$G:$G, (MATCH(432, 輔助計算!$G$2:$G$801, 0)+1))&lt;=46.5,2,1)), IF(INDEX(ERP資料!$G:$G, (MATCH(432, 輔助計算!$G$2:$G$801, 0)+1))&lt;=790,3,IF(INDEX(ERP資料!$G:$G, (MATCH(432, 輔助計算!$G$2:$G$801, 0)+1))&lt;=1181,2,1)))=1,TEXT(INDEX(ERP資料!$G:$G, (MATCH(432, 輔助計算!$G$2:$G$801, 0)+1)),"0.##"),IF(IF(INDEX(ERP資料!$G:$G, (MATCH(432, 輔助計算!$G$2:$G$801, 0)+1))&lt;100, IF(INDEX(ERP資料!$G:$G, (MATCH(432, 輔助計算!$G$2:$G$801, 0)+1))&lt;=31,3,IF(INDEX(ERP資料!$G:$G, (MATCH(432, 輔助計算!$G$2:$G$801, 0)+1))&lt;=46.5,2,1)), IF(INDEX(ERP資料!$G:$G, (MATCH(432, 輔助計算!$G$2:$G$801, 0)+1))&lt;=790,3,IF(INDEX(ERP資料!$G:$G, (MATCH(432, 輔助計算!$G$2:$G$801, 0)+1))&lt;=1181,2,1)))=2,TEXT(INDEX(ERP資料!$G:$G, (MATCH(432, 輔助計算!$G$2:$G$801, 0)+1)),"0.##")&amp;"+"&amp;TEXT(INDEX(ERP資料!$G:$G, (MATCH(432, 輔助計算!$G$2:$G$801, 0)+1)),"0.##"),TEXT(INDEX(ERP資料!$G:$G, (MATCH(432, 輔助計算!$G$2:$G$801, 0)+1)),"0.##")&amp;"+"&amp;TEXT(INDEX(ERP資料!$G:$G, (MATCH(432, 輔助計算!$G$2:$G$801, 0)+1)),"0.##")&amp;"+"&amp;TEXT(INDEX(ERP資料!$G:$G, (MATCH(432, 輔助計算!$G$2:$G$801, 0)+1)),"0.##")))&amp;"-"&amp;INT(INDEX(輔助計算!$D:$D, (MATCH(432, 輔助計算!$G$2:$G$801, 0)+1))/IF(INDEX(ERP資料!$G:$G, (MATCH(432, 輔助計算!$G$2:$G$801, 0)+1))&lt;100, IF(INDEX(ERP資料!$G:$G, (MATCH(432, 輔助計算!$G$2:$G$801, 0)+1))&lt;=31,3,IF(INDEX(ERP資料!$G:$G, (MATCH(432, 輔助計算!$G$2:$G$801, 0)+1))&lt;=46.5,2,1)), IF(INDEX(ERP資料!$G:$G, (MATCH(432, 輔助計算!$G$2:$G$801, 0)+1))&lt;=790,3,IF(INDEX(ERP資料!$G:$G, (MATCH(432, 輔助計算!$G$2:$G$801, 0)+1))&lt;=1181,2,1)))), "")&lt;&gt;"",IF(MOD(INDEX(輔助計算!$D:$D, (MATCH(432, 輔助計算!$G$2:$G$801, 0)+1)),IF(INDEX(ERP資料!$G:$G, (MATCH(432, 輔助計算!$G$2:$G$801, 0)+1))&lt;100, IF(INDEX(ERP資料!$G:$G, (MATCH(432, 輔助計算!$G$2:$G$801, 0)+1))&lt;=31,3,IF(INDEX(ERP資料!$G:$G, (MATCH(432, 輔助計算!$G$2:$G$801, 0)+1))&lt;=46.5,2,1)), IF(INDEX(ERP資料!$G:$G, (MATCH(432, 輔助計算!$G$2:$G$801, 0)+1))&lt;=790,3,IF(INDEX(ERP資料!$G:$G, (MATCH(432, 輔助計算!$G$2:$G$801, 0)+1))&lt;=1181,2,1))))=0,"",IF(MOD(INDEX(輔助計算!$D:$D, (MATCH(432, 輔助計算!$G$2:$G$801, 0)+1)),IF(INDEX(ERP資料!$G:$G, (MATCH(432, 輔助計算!$G$2:$G$801, 0)+1))&lt;100, IF(INDEX(ERP資料!$G:$G, (MATCH(432, 輔助計算!$G$2:$G$801, 0)+1))&lt;=31,3,IF(INDEX(ERP資料!$G:$G, (MATCH(432, 輔助計算!$G$2:$G$801, 0)+1))&lt;=46.5,2,1)), IF(INDEX(ERP資料!$G:$G, (MATCH(432, 輔助計算!$G$2:$G$801, 0)+1))&lt;=790,3,IF(INDEX(ERP資料!$G:$G, (MATCH(432, 輔助計算!$G$2:$G$801, 0)+1))&lt;=1181,2,1))))=0,"",IF(MOD(INDEX(輔助計算!$D:$D, (MATCH(432, 輔助計算!$G$2:$G$801, 0)+1)),IF(INDEX(ERP資料!$G:$G, (MATCH(432, 輔助計算!$G$2:$G$801, 0)+1))&lt;100, IF(INDEX(ERP資料!$G:$G, (MATCH(432, 輔助計算!$G$2:$G$801, 0)+1))&lt;=31,3,IF(INDEX(ERP資料!$G:$G, (MATCH(432, 輔助計算!$G$2:$G$801, 0)+1))&lt;=46.5,2,1)), IF(INDEX(ERP資料!$G:$G, (MATCH(432, 輔助計算!$G$2:$G$801, 0)+1))&lt;=790,3,IF(INDEX(ERP資料!$G:$G, (MATCH(432, 輔助計算!$G$2:$G$801, 0)+1))&lt;=1181,2,1))))=1,TEXT(INDEX(ERP資料!$G:$G, (MATCH(432, 輔助計算!$G$2:$G$801, 0)+1)),"0.##"),IF(MOD(INDEX(輔助計算!$D:$D, (MATCH(432, 輔助計算!$G$2:$G$801, 0)+1)),IF(INDEX(ERP資料!$G:$G, (MATCH(432, 輔助計算!$G$2:$G$801, 0)+1))&lt;100, IF(INDEX(ERP資料!$G:$G, (MATCH(432, 輔助計算!$G$2:$G$801, 0)+1))&lt;=31,3,IF(INDEX(ERP資料!$G:$G, (MATCH(432, 輔助計算!$G$2:$G$801, 0)+1))&lt;=46.5,2,1)), IF(INDEX(ERP資料!$G:$G, (MATCH(432, 輔助計算!$G$2:$G$801, 0)+1))&lt;=790,3,IF(INDEX(ERP資料!$G:$G, (MATCH(432, 輔助計算!$G$2:$G$801, 0)+1))&lt;=1181,2,1))))=2,TEXT(INDEX(ERP資料!$G:$G, (MATCH(432, 輔助計算!$G$2:$G$801, 0)+1)),"0.##")&amp;"+"&amp;TEXT(INDEX(ERP資料!$G:$G, (MATCH(432, 輔助計算!$G$2:$G$801, 0)+1)),"0.##"),TEXT(INDEX(ERP資料!$G:$G, (MATCH(432, 輔助計算!$G$2:$G$801, 0)+1)),"0.##")&amp;"+"&amp;TEXT(INDEX(ERP資料!$G:$G, (MATCH(432, 輔助計算!$G$2:$G$801, 0)+1)),"0.##")&amp;"+"&amp;TEXT(INDEX(ERP資料!$G:$G, (MATCH(432, 輔助計算!$G$2:$G$801, 0)+1)),"0.##"))))&amp;"-1")&lt;&gt;""),"  ","")&amp;IF(MOD(INDEX(輔助計算!$D:$D, (MATCH(432, 輔助計算!$G$2:$G$801, 0)+1)),IF(INDEX(ERP資料!$G:$G, (MATCH(432, 輔助計算!$G$2:$G$801, 0)+1))&lt;100, IF(INDEX(ERP資料!$G:$G, (MATCH(432, 輔助計算!$G$2:$G$801, 0)+1))&lt;=31,3,IF(INDEX(ERP資料!$G:$G, (MATCH(432, 輔助計算!$G$2:$G$801, 0)+1))&lt;=46.5,2,1)), IF(INDEX(ERP資料!$G:$G, (MATCH(432, 輔助計算!$G$2:$G$801, 0)+1))&lt;=790,3,IF(INDEX(ERP資料!$G:$G, (MATCH(432, 輔助計算!$G$2:$G$801, 0)+1))&lt;=1181,2,1))))=0,"",IF(MOD(INDEX(輔助計算!$D:$D, (MATCH(432, 輔助計算!$G$2:$G$801, 0)+1)),IF(INDEX(ERP資料!$G:$G, (MATCH(432, 輔助計算!$G$2:$G$801, 0)+1))&lt;100, IF(INDEX(ERP資料!$G:$G, (MATCH(432, 輔助計算!$G$2:$G$801, 0)+1))&lt;=31,3,IF(INDEX(ERP資料!$G:$G, (MATCH(432, 輔助計算!$G$2:$G$801, 0)+1))&lt;=46.5,2,1)), IF(INDEX(ERP資料!$G:$G, (MATCH(432, 輔助計算!$G$2:$G$801, 0)+1))&lt;=790,3,IF(INDEX(ERP資料!$G:$G, (MATCH(432, 輔助計算!$G$2:$G$801, 0)+1))&lt;=1181,2,1))))=0,"",IF(MOD(INDEX(輔助計算!$D:$D, (MATCH(432, 輔助計算!$G$2:$G$801, 0)+1)),IF(INDEX(ERP資料!$G:$G, (MATCH(432, 輔助計算!$G$2:$G$801, 0)+1))&lt;100, IF(INDEX(ERP資料!$G:$G, (MATCH(432, 輔助計算!$G$2:$G$801, 0)+1))&lt;=31,3,IF(INDEX(ERP資料!$G:$G, (MATCH(432, 輔助計算!$G$2:$G$801, 0)+1))&lt;=46.5,2,1)), IF(INDEX(ERP資料!$G:$G, (MATCH(432, 輔助計算!$G$2:$G$801, 0)+1))&lt;=790,3,IF(INDEX(ERP資料!$G:$G, (MATCH(432, 輔助計算!$G$2:$G$801, 0)+1))&lt;=1181,2,1))))=1,TEXT(INDEX(ERP資料!$G:$G, (MATCH(432, 輔助計算!$G$2:$G$801, 0)+1)),"0.##"),IF(MOD(INDEX(輔助計算!$D:$D, (MATCH(432, 輔助計算!$G$2:$G$801, 0)+1)),IF(INDEX(ERP資料!$G:$G, (MATCH(432, 輔助計算!$G$2:$G$801, 0)+1))&lt;100, IF(INDEX(ERP資料!$G:$G, (MATCH(432, 輔助計算!$G$2:$G$801, 0)+1))&lt;=31,3,IF(INDEX(ERP資料!$G:$G, (MATCH(432, 輔助計算!$G$2:$G$801, 0)+1))&lt;=46.5,2,1)), IF(INDEX(ERP資料!$G:$G, (MATCH(432, 輔助計算!$G$2:$G$801, 0)+1))&lt;=790,3,IF(INDEX(ERP資料!$G:$G, (MATCH(432, 輔助計算!$G$2:$G$801, 0)+1))&lt;=1181,2,1))))=2,TEXT(INDEX(ERP資料!$G:$G, (MATCH(432, 輔助計算!$G$2:$G$801, 0)+1)),"0.##")&amp;"+"&amp;TEXT(INDEX(ERP資料!$G:$G, (MATCH(432, 輔助計算!$G$2:$G$801, 0)+1)),"0.##"),TEXT(INDEX(ERP資料!$G:$G, (MATCH(432, 輔助計算!$G$2:$G$801, 0)+1)),"0.##")&amp;"+"&amp;TEXT(INDEX(ERP資料!$G:$G, (MATCH(432, 輔助計算!$G$2:$G$801, 0)+1)),"0.##")&amp;"+"&amp;TEXT(INDEX(ERP資料!$G:$G, (MATCH(432, 輔助計算!$G$2:$G$801, 0)+1)),"0.##"))))&amp;"-1")), ""), "")</f>
        <v/>
      </c>
      <c r="K433" s="16" t="n"/>
      <c r="L433" s="14">
        <f>IFERROR(IF(AND(IFERROR(INDEX(ERP資料!$A:$A, (MATCH(432, 輔助計算!$G$2:$G$801, 0)+1)), "")&lt;&gt;"", IFERROR(INDEX(ERP資料!$A:$A, (MATCH(432, 輔助計算!$G$2:$G$801, 0)+1)), "")&lt;&gt;IFERROR(INDEX(ERP資料!$A:$A, MATCH(431, 輔助計算!$G$2:$G$801, 0)+1), "")), INDEX(ERP資料!$B:$B, (MATCH(432, 輔助計算!$G$2:$G$801, 0)+1)), ""), "")</f>
        <v/>
      </c>
      <c r="M433" s="17" t="n"/>
    </row>
    <row r="434">
      <c r="A434" s="10">
        <f>IFERROR(IF(AND(IFERROR(INDEX(ERP資料!$A:$A, (MATCH(433, 輔助計算!$G$2:$G$801, 0)+1)), "")&lt;&gt;"", IFERROR(INDEX(ERP資料!$A:$A, (MATCH(433, 輔助計算!$G$2:$G$801, 0)+1)), "")&lt;&gt;IFERROR(INDEX(ERP資料!$A:$A, MATCH(432, 輔助計算!$G$2:$G$801, 0)+1), "")), IFERROR(INDEX(ERP資料!$A:$A, (MATCH(433, 輔助計算!$G$2:$G$801, 0)+1)), ""), ""), "")</f>
        <v/>
      </c>
      <c r="B434" s="10">
        <f>IFERROR(IF(AND(IFERROR(INDEX(ERP資料!$A:$A, (MATCH(433, 輔助計算!$G$2:$G$801, 0)+1)), "")&lt;&gt;"", IFERROR(INDEX(ERP資料!$A:$A, (MATCH(433, 輔助計算!$G$2:$G$801, 0)+1)), "")&lt;&gt;IFERROR(INDEX(ERP資料!$A:$A, MATCH(432, 輔助計算!$G$2:$G$801, 0)+1), "")), INDEX(ERP資料!$S:$S, (MATCH(433, 輔助計算!$G$2:$G$801, 0)+1)), ""), "")</f>
        <v/>
      </c>
      <c r="C434" s="19">
        <f>IFERROR(IF(AND(IFERROR(INDEX(ERP資料!$A:$A, (MATCH(433, 輔助計算!$G$2:$G$801, 0)+1)), "")&lt;&gt;"", IFERROR(INDEX(ERP資料!$A:$A, (MATCH(433, 輔助計算!$G$2:$G$801, 0)+1)), "")&lt;&gt;IFERROR(INDEX(ERP資料!$A:$A, MATCH(432, 輔助計算!$G$2:$G$801, 0)+1), "")), IFERROR(VLOOKUP(LEFT(INDEX(ERP資料!$S:$S, (MATCH(433, 輔助計算!$G$2:$G$801, 0)+1)), 4), 紙管對照表!$A:$C, 3, FALSE), ""), ""), "")</f>
        <v/>
      </c>
      <c r="D434" s="16" t="n"/>
      <c r="E434" s="10">
        <f>IFERROR(IF(INDEX(ERP資料!$H:$H, (MATCH(433, 輔助計算!$G$2:$G$801, 0)+1))="","",INDEX(ERP資料!$H:$H, (MATCH(433, 輔助計算!$G$2:$G$801, 0)+1))), "")</f>
        <v/>
      </c>
      <c r="F434" s="10">
        <f>IFERROR(IF(INDEX(ERP資料!$E:$E, (MATCH(433, 輔助計算!$G$2:$G$801, 0)+1))="","",TRIM(INDEX(ERP資料!$E:$E, (MATCH(433, 輔助計算!$G$2:$G$801, 0)+1)))), "")</f>
        <v/>
      </c>
      <c r="G434" s="10">
        <f>IFERROR(IF(INDEX(ERP資料!$F:$F, (MATCH(433, 輔助計算!$G$2:$G$801, 0)+1))="","",INDEX(ERP資料!$F:$F, (MATCH(433, 輔助計算!$G$2:$G$801, 0)+1))), "")</f>
        <v/>
      </c>
      <c r="H434" s="10">
        <f>IFERROR(IF(INDEX(ERP資料!$G:$G, (MATCH(433, 輔助計算!$G$2:$G$801, 0)+1))="","",INDEX(ERP資料!$G:$G, (MATCH(433, 輔助計算!$G$2:$G$801, 0)+1))), "")</f>
        <v/>
      </c>
      <c r="I434" s="15">
        <f>IFERROR(INDEX(輔助計算!$D:$D, (MATCH(433, 輔助計算!$G$2:$G$801, 0)+1)), "")</f>
        <v/>
      </c>
      <c r="J434" s="15">
        <f>IFERROR(IF(AND(INDEX(輔助計算!$D:$D, (MATCH(433, 輔助計算!$G$2:$G$801, 0)+1))&lt;&gt;"", INDEX(ERP資料!$G:$G, (MATCH(433, 輔助計算!$G$2:$G$801, 0)+1))&lt;&gt;""), TRIM(IF(INT(INDEX(輔助計算!$D:$D, (MATCH(433, 輔助計算!$G$2:$G$801, 0)+1))/IF(INDEX(ERP資料!$G:$G, (MATCH(433, 輔助計算!$G$2:$G$801, 0)+1))&lt;100, IF(INDEX(ERP資料!$G:$G, (MATCH(433, 輔助計算!$G$2:$G$801, 0)+1))&lt;=31,3,IF(INDEX(ERP資料!$G:$G, (MATCH(433, 輔助計算!$G$2:$G$801, 0)+1))&lt;=46.5,2,1)), IF(INDEX(ERP資料!$G:$G, (MATCH(433, 輔助計算!$G$2:$G$801, 0)+1))&lt;=790,3,IF(INDEX(ERP資料!$G:$G, (MATCH(433, 輔助計算!$G$2:$G$801, 0)+1))&lt;=1181,2,1))))&gt;0, IF(IF(INDEX(ERP資料!$G:$G, (MATCH(433, 輔助計算!$G$2:$G$801, 0)+1))&lt;100, IF(INDEX(ERP資料!$G:$G, (MATCH(433, 輔助計算!$G$2:$G$801, 0)+1))&lt;=31,3,IF(INDEX(ERP資料!$G:$G, (MATCH(433, 輔助計算!$G$2:$G$801, 0)+1))&lt;=46.5,2,1)), IF(INDEX(ERP資料!$G:$G, (MATCH(433, 輔助計算!$G$2:$G$801, 0)+1))&lt;=790,3,IF(INDEX(ERP資料!$G:$G, (MATCH(433, 輔助計算!$G$2:$G$801, 0)+1))&lt;=1181,2,1)))=1,TEXT(INDEX(ERP資料!$G:$G, (MATCH(433, 輔助計算!$G$2:$G$801, 0)+1)),"0.##"),IF(IF(INDEX(ERP資料!$G:$G, (MATCH(433, 輔助計算!$G$2:$G$801, 0)+1))&lt;100, IF(INDEX(ERP資料!$G:$G, (MATCH(433, 輔助計算!$G$2:$G$801, 0)+1))&lt;=31,3,IF(INDEX(ERP資料!$G:$G, (MATCH(433, 輔助計算!$G$2:$G$801, 0)+1))&lt;=46.5,2,1)), IF(INDEX(ERP資料!$G:$G, (MATCH(433, 輔助計算!$G$2:$G$801, 0)+1))&lt;=790,3,IF(INDEX(ERP資料!$G:$G, (MATCH(433, 輔助計算!$G$2:$G$801, 0)+1))&lt;=1181,2,1)))=2,TEXT(INDEX(ERP資料!$G:$G, (MATCH(433, 輔助計算!$G$2:$G$801, 0)+1)),"0.##")&amp;"+"&amp;TEXT(INDEX(ERP資料!$G:$G, (MATCH(433, 輔助計算!$G$2:$G$801, 0)+1)),"0.##"),TEXT(INDEX(ERP資料!$G:$G, (MATCH(433, 輔助計算!$G$2:$G$801, 0)+1)),"0.##")&amp;"+"&amp;TEXT(INDEX(ERP資料!$G:$G, (MATCH(433, 輔助計算!$G$2:$G$801, 0)+1)),"0.##")&amp;"+"&amp;TEXT(INDEX(ERP資料!$G:$G, (MATCH(433, 輔助計算!$G$2:$G$801, 0)+1)),"0.##")))&amp;"-"&amp;INT(INDEX(輔助計算!$D:$D, (MATCH(433, 輔助計算!$G$2:$G$801, 0)+1))/IF(INDEX(ERP資料!$G:$G, (MATCH(433, 輔助計算!$G$2:$G$801, 0)+1))&lt;100, IF(INDEX(ERP資料!$G:$G, (MATCH(433, 輔助計算!$G$2:$G$801, 0)+1))&lt;=31,3,IF(INDEX(ERP資料!$G:$G, (MATCH(433, 輔助計算!$G$2:$G$801, 0)+1))&lt;=46.5,2,1)), IF(INDEX(ERP資料!$G:$G, (MATCH(433, 輔助計算!$G$2:$G$801, 0)+1))&lt;=790,3,IF(INDEX(ERP資料!$G:$G, (MATCH(433, 輔助計算!$G$2:$G$801, 0)+1))&lt;=1181,2,1)))), "")&amp;IF(AND(IF(INT(INDEX(輔助計算!$D:$D, (MATCH(433, 輔助計算!$G$2:$G$801, 0)+1))/IF(INDEX(ERP資料!$G:$G, (MATCH(433, 輔助計算!$G$2:$G$801, 0)+1))&lt;100, IF(INDEX(ERP資料!$G:$G, (MATCH(433, 輔助計算!$G$2:$G$801, 0)+1))&lt;=31,3,IF(INDEX(ERP資料!$G:$G, (MATCH(433, 輔助計算!$G$2:$G$801, 0)+1))&lt;=46.5,2,1)), IF(INDEX(ERP資料!$G:$G, (MATCH(433, 輔助計算!$G$2:$G$801, 0)+1))&lt;=790,3,IF(INDEX(ERP資料!$G:$G, (MATCH(433, 輔助計算!$G$2:$G$801, 0)+1))&lt;=1181,2,1))))&gt;0, IF(IF(INDEX(ERP資料!$G:$G, (MATCH(433, 輔助計算!$G$2:$G$801, 0)+1))&lt;100, IF(INDEX(ERP資料!$G:$G, (MATCH(433, 輔助計算!$G$2:$G$801, 0)+1))&lt;=31,3,IF(INDEX(ERP資料!$G:$G, (MATCH(433, 輔助計算!$G$2:$G$801, 0)+1))&lt;=46.5,2,1)), IF(INDEX(ERP資料!$G:$G, (MATCH(433, 輔助計算!$G$2:$G$801, 0)+1))&lt;=790,3,IF(INDEX(ERP資料!$G:$G, (MATCH(433, 輔助計算!$G$2:$G$801, 0)+1))&lt;=1181,2,1)))=1,TEXT(INDEX(ERP資料!$G:$G, (MATCH(433, 輔助計算!$G$2:$G$801, 0)+1)),"0.##"),IF(IF(INDEX(ERP資料!$G:$G, (MATCH(433, 輔助計算!$G$2:$G$801, 0)+1))&lt;100, IF(INDEX(ERP資料!$G:$G, (MATCH(433, 輔助計算!$G$2:$G$801, 0)+1))&lt;=31,3,IF(INDEX(ERP資料!$G:$G, (MATCH(433, 輔助計算!$G$2:$G$801, 0)+1))&lt;=46.5,2,1)), IF(INDEX(ERP資料!$G:$G, (MATCH(433, 輔助計算!$G$2:$G$801, 0)+1))&lt;=790,3,IF(INDEX(ERP資料!$G:$G, (MATCH(433, 輔助計算!$G$2:$G$801, 0)+1))&lt;=1181,2,1)))=2,TEXT(INDEX(ERP資料!$G:$G, (MATCH(433, 輔助計算!$G$2:$G$801, 0)+1)),"0.##")&amp;"+"&amp;TEXT(INDEX(ERP資料!$G:$G, (MATCH(433, 輔助計算!$G$2:$G$801, 0)+1)),"0.##"),TEXT(INDEX(ERP資料!$G:$G, (MATCH(433, 輔助計算!$G$2:$G$801, 0)+1)),"0.##")&amp;"+"&amp;TEXT(INDEX(ERP資料!$G:$G, (MATCH(433, 輔助計算!$G$2:$G$801, 0)+1)),"0.##")&amp;"+"&amp;TEXT(INDEX(ERP資料!$G:$G, (MATCH(433, 輔助計算!$G$2:$G$801, 0)+1)),"0.##")))&amp;"-"&amp;INT(INDEX(輔助計算!$D:$D, (MATCH(433, 輔助計算!$G$2:$G$801, 0)+1))/IF(INDEX(ERP資料!$G:$G, (MATCH(433, 輔助計算!$G$2:$G$801, 0)+1))&lt;100, IF(INDEX(ERP資料!$G:$G, (MATCH(433, 輔助計算!$G$2:$G$801, 0)+1))&lt;=31,3,IF(INDEX(ERP資料!$G:$G, (MATCH(433, 輔助計算!$G$2:$G$801, 0)+1))&lt;=46.5,2,1)), IF(INDEX(ERP資料!$G:$G, (MATCH(433, 輔助計算!$G$2:$G$801, 0)+1))&lt;=790,3,IF(INDEX(ERP資料!$G:$G, (MATCH(433, 輔助計算!$G$2:$G$801, 0)+1))&lt;=1181,2,1)))), "")&lt;&gt;"",IF(MOD(INDEX(輔助計算!$D:$D, (MATCH(433, 輔助計算!$G$2:$G$801, 0)+1)),IF(INDEX(ERP資料!$G:$G, (MATCH(433, 輔助計算!$G$2:$G$801, 0)+1))&lt;100, IF(INDEX(ERP資料!$G:$G, (MATCH(433, 輔助計算!$G$2:$G$801, 0)+1))&lt;=31,3,IF(INDEX(ERP資料!$G:$G, (MATCH(433, 輔助計算!$G$2:$G$801, 0)+1))&lt;=46.5,2,1)), IF(INDEX(ERP資料!$G:$G, (MATCH(433, 輔助計算!$G$2:$G$801, 0)+1))&lt;=790,3,IF(INDEX(ERP資料!$G:$G, (MATCH(433, 輔助計算!$G$2:$G$801, 0)+1))&lt;=1181,2,1))))=0,"",IF(MOD(INDEX(輔助計算!$D:$D, (MATCH(433, 輔助計算!$G$2:$G$801, 0)+1)),IF(INDEX(ERP資料!$G:$G, (MATCH(433, 輔助計算!$G$2:$G$801, 0)+1))&lt;100, IF(INDEX(ERP資料!$G:$G, (MATCH(433, 輔助計算!$G$2:$G$801, 0)+1))&lt;=31,3,IF(INDEX(ERP資料!$G:$G, (MATCH(433, 輔助計算!$G$2:$G$801, 0)+1))&lt;=46.5,2,1)), IF(INDEX(ERP資料!$G:$G, (MATCH(433, 輔助計算!$G$2:$G$801, 0)+1))&lt;=790,3,IF(INDEX(ERP資料!$G:$G, (MATCH(433, 輔助計算!$G$2:$G$801, 0)+1))&lt;=1181,2,1))))=0,"",IF(MOD(INDEX(輔助計算!$D:$D, (MATCH(433, 輔助計算!$G$2:$G$801, 0)+1)),IF(INDEX(ERP資料!$G:$G, (MATCH(433, 輔助計算!$G$2:$G$801, 0)+1))&lt;100, IF(INDEX(ERP資料!$G:$G, (MATCH(433, 輔助計算!$G$2:$G$801, 0)+1))&lt;=31,3,IF(INDEX(ERP資料!$G:$G, (MATCH(433, 輔助計算!$G$2:$G$801, 0)+1))&lt;=46.5,2,1)), IF(INDEX(ERP資料!$G:$G, (MATCH(433, 輔助計算!$G$2:$G$801, 0)+1))&lt;=790,3,IF(INDEX(ERP資料!$G:$G, (MATCH(433, 輔助計算!$G$2:$G$801, 0)+1))&lt;=1181,2,1))))=1,TEXT(INDEX(ERP資料!$G:$G, (MATCH(433, 輔助計算!$G$2:$G$801, 0)+1)),"0.##"),IF(MOD(INDEX(輔助計算!$D:$D, (MATCH(433, 輔助計算!$G$2:$G$801, 0)+1)),IF(INDEX(ERP資料!$G:$G, (MATCH(433, 輔助計算!$G$2:$G$801, 0)+1))&lt;100, IF(INDEX(ERP資料!$G:$G, (MATCH(433, 輔助計算!$G$2:$G$801, 0)+1))&lt;=31,3,IF(INDEX(ERP資料!$G:$G, (MATCH(433, 輔助計算!$G$2:$G$801, 0)+1))&lt;=46.5,2,1)), IF(INDEX(ERP資料!$G:$G, (MATCH(433, 輔助計算!$G$2:$G$801, 0)+1))&lt;=790,3,IF(INDEX(ERP資料!$G:$G, (MATCH(433, 輔助計算!$G$2:$G$801, 0)+1))&lt;=1181,2,1))))=2,TEXT(INDEX(ERP資料!$G:$G, (MATCH(433, 輔助計算!$G$2:$G$801, 0)+1)),"0.##")&amp;"+"&amp;TEXT(INDEX(ERP資料!$G:$G, (MATCH(433, 輔助計算!$G$2:$G$801, 0)+1)),"0.##"),TEXT(INDEX(ERP資料!$G:$G, (MATCH(433, 輔助計算!$G$2:$G$801, 0)+1)),"0.##")&amp;"+"&amp;TEXT(INDEX(ERP資料!$G:$G, (MATCH(433, 輔助計算!$G$2:$G$801, 0)+1)),"0.##")&amp;"+"&amp;TEXT(INDEX(ERP資料!$G:$G, (MATCH(433, 輔助計算!$G$2:$G$801, 0)+1)),"0.##"))))&amp;"-1")&lt;&gt;""),"  ","")&amp;IF(MOD(INDEX(輔助計算!$D:$D, (MATCH(433, 輔助計算!$G$2:$G$801, 0)+1)),IF(INDEX(ERP資料!$G:$G, (MATCH(433, 輔助計算!$G$2:$G$801, 0)+1))&lt;100, IF(INDEX(ERP資料!$G:$G, (MATCH(433, 輔助計算!$G$2:$G$801, 0)+1))&lt;=31,3,IF(INDEX(ERP資料!$G:$G, (MATCH(433, 輔助計算!$G$2:$G$801, 0)+1))&lt;=46.5,2,1)), IF(INDEX(ERP資料!$G:$G, (MATCH(433, 輔助計算!$G$2:$G$801, 0)+1))&lt;=790,3,IF(INDEX(ERP資料!$G:$G, (MATCH(433, 輔助計算!$G$2:$G$801, 0)+1))&lt;=1181,2,1))))=0,"",IF(MOD(INDEX(輔助計算!$D:$D, (MATCH(433, 輔助計算!$G$2:$G$801, 0)+1)),IF(INDEX(ERP資料!$G:$G, (MATCH(433, 輔助計算!$G$2:$G$801, 0)+1))&lt;100, IF(INDEX(ERP資料!$G:$G, (MATCH(433, 輔助計算!$G$2:$G$801, 0)+1))&lt;=31,3,IF(INDEX(ERP資料!$G:$G, (MATCH(433, 輔助計算!$G$2:$G$801, 0)+1))&lt;=46.5,2,1)), IF(INDEX(ERP資料!$G:$G, (MATCH(433, 輔助計算!$G$2:$G$801, 0)+1))&lt;=790,3,IF(INDEX(ERP資料!$G:$G, (MATCH(433, 輔助計算!$G$2:$G$801, 0)+1))&lt;=1181,2,1))))=0,"",IF(MOD(INDEX(輔助計算!$D:$D, (MATCH(433, 輔助計算!$G$2:$G$801, 0)+1)),IF(INDEX(ERP資料!$G:$G, (MATCH(433, 輔助計算!$G$2:$G$801, 0)+1))&lt;100, IF(INDEX(ERP資料!$G:$G, (MATCH(433, 輔助計算!$G$2:$G$801, 0)+1))&lt;=31,3,IF(INDEX(ERP資料!$G:$G, (MATCH(433, 輔助計算!$G$2:$G$801, 0)+1))&lt;=46.5,2,1)), IF(INDEX(ERP資料!$G:$G, (MATCH(433, 輔助計算!$G$2:$G$801, 0)+1))&lt;=790,3,IF(INDEX(ERP資料!$G:$G, (MATCH(433, 輔助計算!$G$2:$G$801, 0)+1))&lt;=1181,2,1))))=1,TEXT(INDEX(ERP資料!$G:$G, (MATCH(433, 輔助計算!$G$2:$G$801, 0)+1)),"0.##"),IF(MOD(INDEX(輔助計算!$D:$D, (MATCH(433, 輔助計算!$G$2:$G$801, 0)+1)),IF(INDEX(ERP資料!$G:$G, (MATCH(433, 輔助計算!$G$2:$G$801, 0)+1))&lt;100, IF(INDEX(ERP資料!$G:$G, (MATCH(433, 輔助計算!$G$2:$G$801, 0)+1))&lt;=31,3,IF(INDEX(ERP資料!$G:$G, (MATCH(433, 輔助計算!$G$2:$G$801, 0)+1))&lt;=46.5,2,1)), IF(INDEX(ERP資料!$G:$G, (MATCH(433, 輔助計算!$G$2:$G$801, 0)+1))&lt;=790,3,IF(INDEX(ERP資料!$G:$G, (MATCH(433, 輔助計算!$G$2:$G$801, 0)+1))&lt;=1181,2,1))))=2,TEXT(INDEX(ERP資料!$G:$G, (MATCH(433, 輔助計算!$G$2:$G$801, 0)+1)),"0.##")&amp;"+"&amp;TEXT(INDEX(ERP資料!$G:$G, (MATCH(433, 輔助計算!$G$2:$G$801, 0)+1)),"0.##"),TEXT(INDEX(ERP資料!$G:$G, (MATCH(433, 輔助計算!$G$2:$G$801, 0)+1)),"0.##")&amp;"+"&amp;TEXT(INDEX(ERP資料!$G:$G, (MATCH(433, 輔助計算!$G$2:$G$801, 0)+1)),"0.##")&amp;"+"&amp;TEXT(INDEX(ERP資料!$G:$G, (MATCH(433, 輔助計算!$G$2:$G$801, 0)+1)),"0.##"))))&amp;"-1")), ""), "")</f>
        <v/>
      </c>
      <c r="K434" s="16" t="n"/>
      <c r="L434" s="14">
        <f>IFERROR(IF(AND(IFERROR(INDEX(ERP資料!$A:$A, (MATCH(433, 輔助計算!$G$2:$G$801, 0)+1)), "")&lt;&gt;"", IFERROR(INDEX(ERP資料!$A:$A, (MATCH(433, 輔助計算!$G$2:$G$801, 0)+1)), "")&lt;&gt;IFERROR(INDEX(ERP資料!$A:$A, MATCH(432, 輔助計算!$G$2:$G$801, 0)+1), "")), INDEX(ERP資料!$B:$B, (MATCH(433, 輔助計算!$G$2:$G$801, 0)+1)), ""), "")</f>
        <v/>
      </c>
      <c r="M434" s="17" t="n"/>
    </row>
    <row r="435">
      <c r="A435" s="10">
        <f>IFERROR(IF(AND(IFERROR(INDEX(ERP資料!$A:$A, (MATCH(434, 輔助計算!$G$2:$G$801, 0)+1)), "")&lt;&gt;"", IFERROR(INDEX(ERP資料!$A:$A, (MATCH(434, 輔助計算!$G$2:$G$801, 0)+1)), "")&lt;&gt;IFERROR(INDEX(ERP資料!$A:$A, MATCH(433, 輔助計算!$G$2:$G$801, 0)+1), "")), IFERROR(INDEX(ERP資料!$A:$A, (MATCH(434, 輔助計算!$G$2:$G$801, 0)+1)), ""), ""), "")</f>
        <v/>
      </c>
      <c r="B435" s="10">
        <f>IFERROR(IF(AND(IFERROR(INDEX(ERP資料!$A:$A, (MATCH(434, 輔助計算!$G$2:$G$801, 0)+1)), "")&lt;&gt;"", IFERROR(INDEX(ERP資料!$A:$A, (MATCH(434, 輔助計算!$G$2:$G$801, 0)+1)), "")&lt;&gt;IFERROR(INDEX(ERP資料!$A:$A, MATCH(433, 輔助計算!$G$2:$G$801, 0)+1), "")), INDEX(ERP資料!$S:$S, (MATCH(434, 輔助計算!$G$2:$G$801, 0)+1)), ""), "")</f>
        <v/>
      </c>
      <c r="C435" s="19">
        <f>IFERROR(IF(AND(IFERROR(INDEX(ERP資料!$A:$A, (MATCH(434, 輔助計算!$G$2:$G$801, 0)+1)), "")&lt;&gt;"", IFERROR(INDEX(ERP資料!$A:$A, (MATCH(434, 輔助計算!$G$2:$G$801, 0)+1)), "")&lt;&gt;IFERROR(INDEX(ERP資料!$A:$A, MATCH(433, 輔助計算!$G$2:$G$801, 0)+1), "")), IFERROR(VLOOKUP(LEFT(INDEX(ERP資料!$S:$S, (MATCH(434, 輔助計算!$G$2:$G$801, 0)+1)), 4), 紙管對照表!$A:$C, 3, FALSE), ""), ""), "")</f>
        <v/>
      </c>
      <c r="D435" s="16" t="n"/>
      <c r="E435" s="10">
        <f>IFERROR(IF(INDEX(ERP資料!$H:$H, (MATCH(434, 輔助計算!$G$2:$G$801, 0)+1))="","",INDEX(ERP資料!$H:$H, (MATCH(434, 輔助計算!$G$2:$G$801, 0)+1))), "")</f>
        <v/>
      </c>
      <c r="F435" s="10">
        <f>IFERROR(IF(INDEX(ERP資料!$E:$E, (MATCH(434, 輔助計算!$G$2:$G$801, 0)+1))="","",TRIM(INDEX(ERP資料!$E:$E, (MATCH(434, 輔助計算!$G$2:$G$801, 0)+1)))), "")</f>
        <v/>
      </c>
      <c r="G435" s="10">
        <f>IFERROR(IF(INDEX(ERP資料!$F:$F, (MATCH(434, 輔助計算!$G$2:$G$801, 0)+1))="","",INDEX(ERP資料!$F:$F, (MATCH(434, 輔助計算!$G$2:$G$801, 0)+1))), "")</f>
        <v/>
      </c>
      <c r="H435" s="10">
        <f>IFERROR(IF(INDEX(ERP資料!$G:$G, (MATCH(434, 輔助計算!$G$2:$G$801, 0)+1))="","",INDEX(ERP資料!$G:$G, (MATCH(434, 輔助計算!$G$2:$G$801, 0)+1))), "")</f>
        <v/>
      </c>
      <c r="I435" s="15">
        <f>IFERROR(INDEX(輔助計算!$D:$D, (MATCH(434, 輔助計算!$G$2:$G$801, 0)+1)), "")</f>
        <v/>
      </c>
      <c r="J435" s="15">
        <f>IFERROR(IF(AND(INDEX(輔助計算!$D:$D, (MATCH(434, 輔助計算!$G$2:$G$801, 0)+1))&lt;&gt;"", INDEX(ERP資料!$G:$G, (MATCH(434, 輔助計算!$G$2:$G$801, 0)+1))&lt;&gt;""), TRIM(IF(INT(INDEX(輔助計算!$D:$D, (MATCH(434, 輔助計算!$G$2:$G$801, 0)+1))/IF(INDEX(ERP資料!$G:$G, (MATCH(434, 輔助計算!$G$2:$G$801, 0)+1))&lt;100, IF(INDEX(ERP資料!$G:$G, (MATCH(434, 輔助計算!$G$2:$G$801, 0)+1))&lt;=31,3,IF(INDEX(ERP資料!$G:$G, (MATCH(434, 輔助計算!$G$2:$G$801, 0)+1))&lt;=46.5,2,1)), IF(INDEX(ERP資料!$G:$G, (MATCH(434, 輔助計算!$G$2:$G$801, 0)+1))&lt;=790,3,IF(INDEX(ERP資料!$G:$G, (MATCH(434, 輔助計算!$G$2:$G$801, 0)+1))&lt;=1181,2,1))))&gt;0, IF(IF(INDEX(ERP資料!$G:$G, (MATCH(434, 輔助計算!$G$2:$G$801, 0)+1))&lt;100, IF(INDEX(ERP資料!$G:$G, (MATCH(434, 輔助計算!$G$2:$G$801, 0)+1))&lt;=31,3,IF(INDEX(ERP資料!$G:$G, (MATCH(434, 輔助計算!$G$2:$G$801, 0)+1))&lt;=46.5,2,1)), IF(INDEX(ERP資料!$G:$G, (MATCH(434, 輔助計算!$G$2:$G$801, 0)+1))&lt;=790,3,IF(INDEX(ERP資料!$G:$G, (MATCH(434, 輔助計算!$G$2:$G$801, 0)+1))&lt;=1181,2,1)))=1,TEXT(INDEX(ERP資料!$G:$G, (MATCH(434, 輔助計算!$G$2:$G$801, 0)+1)),"0.##"),IF(IF(INDEX(ERP資料!$G:$G, (MATCH(434, 輔助計算!$G$2:$G$801, 0)+1))&lt;100, IF(INDEX(ERP資料!$G:$G, (MATCH(434, 輔助計算!$G$2:$G$801, 0)+1))&lt;=31,3,IF(INDEX(ERP資料!$G:$G, (MATCH(434, 輔助計算!$G$2:$G$801, 0)+1))&lt;=46.5,2,1)), IF(INDEX(ERP資料!$G:$G, (MATCH(434, 輔助計算!$G$2:$G$801, 0)+1))&lt;=790,3,IF(INDEX(ERP資料!$G:$G, (MATCH(434, 輔助計算!$G$2:$G$801, 0)+1))&lt;=1181,2,1)))=2,TEXT(INDEX(ERP資料!$G:$G, (MATCH(434, 輔助計算!$G$2:$G$801, 0)+1)),"0.##")&amp;"+"&amp;TEXT(INDEX(ERP資料!$G:$G, (MATCH(434, 輔助計算!$G$2:$G$801, 0)+1)),"0.##"),TEXT(INDEX(ERP資料!$G:$G, (MATCH(434, 輔助計算!$G$2:$G$801, 0)+1)),"0.##")&amp;"+"&amp;TEXT(INDEX(ERP資料!$G:$G, (MATCH(434, 輔助計算!$G$2:$G$801, 0)+1)),"0.##")&amp;"+"&amp;TEXT(INDEX(ERP資料!$G:$G, (MATCH(434, 輔助計算!$G$2:$G$801, 0)+1)),"0.##")))&amp;"-"&amp;INT(INDEX(輔助計算!$D:$D, (MATCH(434, 輔助計算!$G$2:$G$801, 0)+1))/IF(INDEX(ERP資料!$G:$G, (MATCH(434, 輔助計算!$G$2:$G$801, 0)+1))&lt;100, IF(INDEX(ERP資料!$G:$G, (MATCH(434, 輔助計算!$G$2:$G$801, 0)+1))&lt;=31,3,IF(INDEX(ERP資料!$G:$G, (MATCH(434, 輔助計算!$G$2:$G$801, 0)+1))&lt;=46.5,2,1)), IF(INDEX(ERP資料!$G:$G, (MATCH(434, 輔助計算!$G$2:$G$801, 0)+1))&lt;=790,3,IF(INDEX(ERP資料!$G:$G, (MATCH(434, 輔助計算!$G$2:$G$801, 0)+1))&lt;=1181,2,1)))), "")&amp;IF(AND(IF(INT(INDEX(輔助計算!$D:$D, (MATCH(434, 輔助計算!$G$2:$G$801, 0)+1))/IF(INDEX(ERP資料!$G:$G, (MATCH(434, 輔助計算!$G$2:$G$801, 0)+1))&lt;100, IF(INDEX(ERP資料!$G:$G, (MATCH(434, 輔助計算!$G$2:$G$801, 0)+1))&lt;=31,3,IF(INDEX(ERP資料!$G:$G, (MATCH(434, 輔助計算!$G$2:$G$801, 0)+1))&lt;=46.5,2,1)), IF(INDEX(ERP資料!$G:$G, (MATCH(434, 輔助計算!$G$2:$G$801, 0)+1))&lt;=790,3,IF(INDEX(ERP資料!$G:$G, (MATCH(434, 輔助計算!$G$2:$G$801, 0)+1))&lt;=1181,2,1))))&gt;0, IF(IF(INDEX(ERP資料!$G:$G, (MATCH(434, 輔助計算!$G$2:$G$801, 0)+1))&lt;100, IF(INDEX(ERP資料!$G:$G, (MATCH(434, 輔助計算!$G$2:$G$801, 0)+1))&lt;=31,3,IF(INDEX(ERP資料!$G:$G, (MATCH(434, 輔助計算!$G$2:$G$801, 0)+1))&lt;=46.5,2,1)), IF(INDEX(ERP資料!$G:$G, (MATCH(434, 輔助計算!$G$2:$G$801, 0)+1))&lt;=790,3,IF(INDEX(ERP資料!$G:$G, (MATCH(434, 輔助計算!$G$2:$G$801, 0)+1))&lt;=1181,2,1)))=1,TEXT(INDEX(ERP資料!$G:$G, (MATCH(434, 輔助計算!$G$2:$G$801, 0)+1)),"0.##"),IF(IF(INDEX(ERP資料!$G:$G, (MATCH(434, 輔助計算!$G$2:$G$801, 0)+1))&lt;100, IF(INDEX(ERP資料!$G:$G, (MATCH(434, 輔助計算!$G$2:$G$801, 0)+1))&lt;=31,3,IF(INDEX(ERP資料!$G:$G, (MATCH(434, 輔助計算!$G$2:$G$801, 0)+1))&lt;=46.5,2,1)), IF(INDEX(ERP資料!$G:$G, (MATCH(434, 輔助計算!$G$2:$G$801, 0)+1))&lt;=790,3,IF(INDEX(ERP資料!$G:$G, (MATCH(434, 輔助計算!$G$2:$G$801, 0)+1))&lt;=1181,2,1)))=2,TEXT(INDEX(ERP資料!$G:$G, (MATCH(434, 輔助計算!$G$2:$G$801, 0)+1)),"0.##")&amp;"+"&amp;TEXT(INDEX(ERP資料!$G:$G, (MATCH(434, 輔助計算!$G$2:$G$801, 0)+1)),"0.##"),TEXT(INDEX(ERP資料!$G:$G, (MATCH(434, 輔助計算!$G$2:$G$801, 0)+1)),"0.##")&amp;"+"&amp;TEXT(INDEX(ERP資料!$G:$G, (MATCH(434, 輔助計算!$G$2:$G$801, 0)+1)),"0.##")&amp;"+"&amp;TEXT(INDEX(ERP資料!$G:$G, (MATCH(434, 輔助計算!$G$2:$G$801, 0)+1)),"0.##")))&amp;"-"&amp;INT(INDEX(輔助計算!$D:$D, (MATCH(434, 輔助計算!$G$2:$G$801, 0)+1))/IF(INDEX(ERP資料!$G:$G, (MATCH(434, 輔助計算!$G$2:$G$801, 0)+1))&lt;100, IF(INDEX(ERP資料!$G:$G, (MATCH(434, 輔助計算!$G$2:$G$801, 0)+1))&lt;=31,3,IF(INDEX(ERP資料!$G:$G, (MATCH(434, 輔助計算!$G$2:$G$801, 0)+1))&lt;=46.5,2,1)), IF(INDEX(ERP資料!$G:$G, (MATCH(434, 輔助計算!$G$2:$G$801, 0)+1))&lt;=790,3,IF(INDEX(ERP資料!$G:$G, (MATCH(434, 輔助計算!$G$2:$G$801, 0)+1))&lt;=1181,2,1)))), "")&lt;&gt;"",IF(MOD(INDEX(輔助計算!$D:$D, (MATCH(434, 輔助計算!$G$2:$G$801, 0)+1)),IF(INDEX(ERP資料!$G:$G, (MATCH(434, 輔助計算!$G$2:$G$801, 0)+1))&lt;100, IF(INDEX(ERP資料!$G:$G, (MATCH(434, 輔助計算!$G$2:$G$801, 0)+1))&lt;=31,3,IF(INDEX(ERP資料!$G:$G, (MATCH(434, 輔助計算!$G$2:$G$801, 0)+1))&lt;=46.5,2,1)), IF(INDEX(ERP資料!$G:$G, (MATCH(434, 輔助計算!$G$2:$G$801, 0)+1))&lt;=790,3,IF(INDEX(ERP資料!$G:$G, (MATCH(434, 輔助計算!$G$2:$G$801, 0)+1))&lt;=1181,2,1))))=0,"",IF(MOD(INDEX(輔助計算!$D:$D, (MATCH(434, 輔助計算!$G$2:$G$801, 0)+1)),IF(INDEX(ERP資料!$G:$G, (MATCH(434, 輔助計算!$G$2:$G$801, 0)+1))&lt;100, IF(INDEX(ERP資料!$G:$G, (MATCH(434, 輔助計算!$G$2:$G$801, 0)+1))&lt;=31,3,IF(INDEX(ERP資料!$G:$G, (MATCH(434, 輔助計算!$G$2:$G$801, 0)+1))&lt;=46.5,2,1)), IF(INDEX(ERP資料!$G:$G, (MATCH(434, 輔助計算!$G$2:$G$801, 0)+1))&lt;=790,3,IF(INDEX(ERP資料!$G:$G, (MATCH(434, 輔助計算!$G$2:$G$801, 0)+1))&lt;=1181,2,1))))=0,"",IF(MOD(INDEX(輔助計算!$D:$D, (MATCH(434, 輔助計算!$G$2:$G$801, 0)+1)),IF(INDEX(ERP資料!$G:$G, (MATCH(434, 輔助計算!$G$2:$G$801, 0)+1))&lt;100, IF(INDEX(ERP資料!$G:$G, (MATCH(434, 輔助計算!$G$2:$G$801, 0)+1))&lt;=31,3,IF(INDEX(ERP資料!$G:$G, (MATCH(434, 輔助計算!$G$2:$G$801, 0)+1))&lt;=46.5,2,1)), IF(INDEX(ERP資料!$G:$G, (MATCH(434, 輔助計算!$G$2:$G$801, 0)+1))&lt;=790,3,IF(INDEX(ERP資料!$G:$G, (MATCH(434, 輔助計算!$G$2:$G$801, 0)+1))&lt;=1181,2,1))))=1,TEXT(INDEX(ERP資料!$G:$G, (MATCH(434, 輔助計算!$G$2:$G$801, 0)+1)),"0.##"),IF(MOD(INDEX(輔助計算!$D:$D, (MATCH(434, 輔助計算!$G$2:$G$801, 0)+1)),IF(INDEX(ERP資料!$G:$G, (MATCH(434, 輔助計算!$G$2:$G$801, 0)+1))&lt;100, IF(INDEX(ERP資料!$G:$G, (MATCH(434, 輔助計算!$G$2:$G$801, 0)+1))&lt;=31,3,IF(INDEX(ERP資料!$G:$G, (MATCH(434, 輔助計算!$G$2:$G$801, 0)+1))&lt;=46.5,2,1)), IF(INDEX(ERP資料!$G:$G, (MATCH(434, 輔助計算!$G$2:$G$801, 0)+1))&lt;=790,3,IF(INDEX(ERP資料!$G:$G, (MATCH(434, 輔助計算!$G$2:$G$801, 0)+1))&lt;=1181,2,1))))=2,TEXT(INDEX(ERP資料!$G:$G, (MATCH(434, 輔助計算!$G$2:$G$801, 0)+1)),"0.##")&amp;"+"&amp;TEXT(INDEX(ERP資料!$G:$G, (MATCH(434, 輔助計算!$G$2:$G$801, 0)+1)),"0.##"),TEXT(INDEX(ERP資料!$G:$G, (MATCH(434, 輔助計算!$G$2:$G$801, 0)+1)),"0.##")&amp;"+"&amp;TEXT(INDEX(ERP資料!$G:$G, (MATCH(434, 輔助計算!$G$2:$G$801, 0)+1)),"0.##")&amp;"+"&amp;TEXT(INDEX(ERP資料!$G:$G, (MATCH(434, 輔助計算!$G$2:$G$801, 0)+1)),"0.##"))))&amp;"-1")&lt;&gt;""),"  ","")&amp;IF(MOD(INDEX(輔助計算!$D:$D, (MATCH(434, 輔助計算!$G$2:$G$801, 0)+1)),IF(INDEX(ERP資料!$G:$G, (MATCH(434, 輔助計算!$G$2:$G$801, 0)+1))&lt;100, IF(INDEX(ERP資料!$G:$G, (MATCH(434, 輔助計算!$G$2:$G$801, 0)+1))&lt;=31,3,IF(INDEX(ERP資料!$G:$G, (MATCH(434, 輔助計算!$G$2:$G$801, 0)+1))&lt;=46.5,2,1)), IF(INDEX(ERP資料!$G:$G, (MATCH(434, 輔助計算!$G$2:$G$801, 0)+1))&lt;=790,3,IF(INDEX(ERP資料!$G:$G, (MATCH(434, 輔助計算!$G$2:$G$801, 0)+1))&lt;=1181,2,1))))=0,"",IF(MOD(INDEX(輔助計算!$D:$D, (MATCH(434, 輔助計算!$G$2:$G$801, 0)+1)),IF(INDEX(ERP資料!$G:$G, (MATCH(434, 輔助計算!$G$2:$G$801, 0)+1))&lt;100, IF(INDEX(ERP資料!$G:$G, (MATCH(434, 輔助計算!$G$2:$G$801, 0)+1))&lt;=31,3,IF(INDEX(ERP資料!$G:$G, (MATCH(434, 輔助計算!$G$2:$G$801, 0)+1))&lt;=46.5,2,1)), IF(INDEX(ERP資料!$G:$G, (MATCH(434, 輔助計算!$G$2:$G$801, 0)+1))&lt;=790,3,IF(INDEX(ERP資料!$G:$G, (MATCH(434, 輔助計算!$G$2:$G$801, 0)+1))&lt;=1181,2,1))))=0,"",IF(MOD(INDEX(輔助計算!$D:$D, (MATCH(434, 輔助計算!$G$2:$G$801, 0)+1)),IF(INDEX(ERP資料!$G:$G, (MATCH(434, 輔助計算!$G$2:$G$801, 0)+1))&lt;100, IF(INDEX(ERP資料!$G:$G, (MATCH(434, 輔助計算!$G$2:$G$801, 0)+1))&lt;=31,3,IF(INDEX(ERP資料!$G:$G, (MATCH(434, 輔助計算!$G$2:$G$801, 0)+1))&lt;=46.5,2,1)), IF(INDEX(ERP資料!$G:$G, (MATCH(434, 輔助計算!$G$2:$G$801, 0)+1))&lt;=790,3,IF(INDEX(ERP資料!$G:$G, (MATCH(434, 輔助計算!$G$2:$G$801, 0)+1))&lt;=1181,2,1))))=1,TEXT(INDEX(ERP資料!$G:$G, (MATCH(434, 輔助計算!$G$2:$G$801, 0)+1)),"0.##"),IF(MOD(INDEX(輔助計算!$D:$D, (MATCH(434, 輔助計算!$G$2:$G$801, 0)+1)),IF(INDEX(ERP資料!$G:$G, (MATCH(434, 輔助計算!$G$2:$G$801, 0)+1))&lt;100, IF(INDEX(ERP資料!$G:$G, (MATCH(434, 輔助計算!$G$2:$G$801, 0)+1))&lt;=31,3,IF(INDEX(ERP資料!$G:$G, (MATCH(434, 輔助計算!$G$2:$G$801, 0)+1))&lt;=46.5,2,1)), IF(INDEX(ERP資料!$G:$G, (MATCH(434, 輔助計算!$G$2:$G$801, 0)+1))&lt;=790,3,IF(INDEX(ERP資料!$G:$G, (MATCH(434, 輔助計算!$G$2:$G$801, 0)+1))&lt;=1181,2,1))))=2,TEXT(INDEX(ERP資料!$G:$G, (MATCH(434, 輔助計算!$G$2:$G$801, 0)+1)),"0.##")&amp;"+"&amp;TEXT(INDEX(ERP資料!$G:$G, (MATCH(434, 輔助計算!$G$2:$G$801, 0)+1)),"0.##"),TEXT(INDEX(ERP資料!$G:$G, (MATCH(434, 輔助計算!$G$2:$G$801, 0)+1)),"0.##")&amp;"+"&amp;TEXT(INDEX(ERP資料!$G:$G, (MATCH(434, 輔助計算!$G$2:$G$801, 0)+1)),"0.##")&amp;"+"&amp;TEXT(INDEX(ERP資料!$G:$G, (MATCH(434, 輔助計算!$G$2:$G$801, 0)+1)),"0.##"))))&amp;"-1")), ""), "")</f>
        <v/>
      </c>
      <c r="K435" s="16" t="n"/>
      <c r="L435" s="14">
        <f>IFERROR(IF(AND(IFERROR(INDEX(ERP資料!$A:$A, (MATCH(434, 輔助計算!$G$2:$G$801, 0)+1)), "")&lt;&gt;"", IFERROR(INDEX(ERP資料!$A:$A, (MATCH(434, 輔助計算!$G$2:$G$801, 0)+1)), "")&lt;&gt;IFERROR(INDEX(ERP資料!$A:$A, MATCH(433, 輔助計算!$G$2:$G$801, 0)+1), "")), INDEX(ERP資料!$B:$B, (MATCH(434, 輔助計算!$G$2:$G$801, 0)+1)), ""), "")</f>
        <v/>
      </c>
      <c r="M435" s="17" t="n"/>
    </row>
    <row r="436">
      <c r="A436" s="10">
        <f>IFERROR(IF(AND(IFERROR(INDEX(ERP資料!$A:$A, (MATCH(435, 輔助計算!$G$2:$G$801, 0)+1)), "")&lt;&gt;"", IFERROR(INDEX(ERP資料!$A:$A, (MATCH(435, 輔助計算!$G$2:$G$801, 0)+1)), "")&lt;&gt;IFERROR(INDEX(ERP資料!$A:$A, MATCH(434, 輔助計算!$G$2:$G$801, 0)+1), "")), IFERROR(INDEX(ERP資料!$A:$A, (MATCH(435, 輔助計算!$G$2:$G$801, 0)+1)), ""), ""), "")</f>
        <v/>
      </c>
      <c r="B436" s="10">
        <f>IFERROR(IF(AND(IFERROR(INDEX(ERP資料!$A:$A, (MATCH(435, 輔助計算!$G$2:$G$801, 0)+1)), "")&lt;&gt;"", IFERROR(INDEX(ERP資料!$A:$A, (MATCH(435, 輔助計算!$G$2:$G$801, 0)+1)), "")&lt;&gt;IFERROR(INDEX(ERP資料!$A:$A, MATCH(434, 輔助計算!$G$2:$G$801, 0)+1), "")), INDEX(ERP資料!$S:$S, (MATCH(435, 輔助計算!$G$2:$G$801, 0)+1)), ""), "")</f>
        <v/>
      </c>
      <c r="C436" s="19">
        <f>IFERROR(IF(AND(IFERROR(INDEX(ERP資料!$A:$A, (MATCH(435, 輔助計算!$G$2:$G$801, 0)+1)), "")&lt;&gt;"", IFERROR(INDEX(ERP資料!$A:$A, (MATCH(435, 輔助計算!$G$2:$G$801, 0)+1)), "")&lt;&gt;IFERROR(INDEX(ERP資料!$A:$A, MATCH(434, 輔助計算!$G$2:$G$801, 0)+1), "")), IFERROR(VLOOKUP(LEFT(INDEX(ERP資料!$S:$S, (MATCH(435, 輔助計算!$G$2:$G$801, 0)+1)), 4), 紙管對照表!$A:$C, 3, FALSE), ""), ""), "")</f>
        <v/>
      </c>
      <c r="D436" s="16" t="n"/>
      <c r="E436" s="10">
        <f>IFERROR(IF(INDEX(ERP資料!$H:$H, (MATCH(435, 輔助計算!$G$2:$G$801, 0)+1))="","",INDEX(ERP資料!$H:$H, (MATCH(435, 輔助計算!$G$2:$G$801, 0)+1))), "")</f>
        <v/>
      </c>
      <c r="F436" s="10">
        <f>IFERROR(IF(INDEX(ERP資料!$E:$E, (MATCH(435, 輔助計算!$G$2:$G$801, 0)+1))="","",TRIM(INDEX(ERP資料!$E:$E, (MATCH(435, 輔助計算!$G$2:$G$801, 0)+1)))), "")</f>
        <v/>
      </c>
      <c r="G436" s="10">
        <f>IFERROR(IF(INDEX(ERP資料!$F:$F, (MATCH(435, 輔助計算!$G$2:$G$801, 0)+1))="","",INDEX(ERP資料!$F:$F, (MATCH(435, 輔助計算!$G$2:$G$801, 0)+1))), "")</f>
        <v/>
      </c>
      <c r="H436" s="10">
        <f>IFERROR(IF(INDEX(ERP資料!$G:$G, (MATCH(435, 輔助計算!$G$2:$G$801, 0)+1))="","",INDEX(ERP資料!$G:$G, (MATCH(435, 輔助計算!$G$2:$G$801, 0)+1))), "")</f>
        <v/>
      </c>
      <c r="I436" s="15">
        <f>IFERROR(INDEX(輔助計算!$D:$D, (MATCH(435, 輔助計算!$G$2:$G$801, 0)+1)), "")</f>
        <v/>
      </c>
      <c r="J436" s="15">
        <f>IFERROR(IF(AND(INDEX(輔助計算!$D:$D, (MATCH(435, 輔助計算!$G$2:$G$801, 0)+1))&lt;&gt;"", INDEX(ERP資料!$G:$G, (MATCH(435, 輔助計算!$G$2:$G$801, 0)+1))&lt;&gt;""), TRIM(IF(INT(INDEX(輔助計算!$D:$D, (MATCH(435, 輔助計算!$G$2:$G$801, 0)+1))/IF(INDEX(ERP資料!$G:$G, (MATCH(435, 輔助計算!$G$2:$G$801, 0)+1))&lt;100, IF(INDEX(ERP資料!$G:$G, (MATCH(435, 輔助計算!$G$2:$G$801, 0)+1))&lt;=31,3,IF(INDEX(ERP資料!$G:$G, (MATCH(435, 輔助計算!$G$2:$G$801, 0)+1))&lt;=46.5,2,1)), IF(INDEX(ERP資料!$G:$G, (MATCH(435, 輔助計算!$G$2:$G$801, 0)+1))&lt;=790,3,IF(INDEX(ERP資料!$G:$G, (MATCH(435, 輔助計算!$G$2:$G$801, 0)+1))&lt;=1181,2,1))))&gt;0, IF(IF(INDEX(ERP資料!$G:$G, (MATCH(435, 輔助計算!$G$2:$G$801, 0)+1))&lt;100, IF(INDEX(ERP資料!$G:$G, (MATCH(435, 輔助計算!$G$2:$G$801, 0)+1))&lt;=31,3,IF(INDEX(ERP資料!$G:$G, (MATCH(435, 輔助計算!$G$2:$G$801, 0)+1))&lt;=46.5,2,1)), IF(INDEX(ERP資料!$G:$G, (MATCH(435, 輔助計算!$G$2:$G$801, 0)+1))&lt;=790,3,IF(INDEX(ERP資料!$G:$G, (MATCH(435, 輔助計算!$G$2:$G$801, 0)+1))&lt;=1181,2,1)))=1,TEXT(INDEX(ERP資料!$G:$G, (MATCH(435, 輔助計算!$G$2:$G$801, 0)+1)),"0.##"),IF(IF(INDEX(ERP資料!$G:$G, (MATCH(435, 輔助計算!$G$2:$G$801, 0)+1))&lt;100, IF(INDEX(ERP資料!$G:$G, (MATCH(435, 輔助計算!$G$2:$G$801, 0)+1))&lt;=31,3,IF(INDEX(ERP資料!$G:$G, (MATCH(435, 輔助計算!$G$2:$G$801, 0)+1))&lt;=46.5,2,1)), IF(INDEX(ERP資料!$G:$G, (MATCH(435, 輔助計算!$G$2:$G$801, 0)+1))&lt;=790,3,IF(INDEX(ERP資料!$G:$G, (MATCH(435, 輔助計算!$G$2:$G$801, 0)+1))&lt;=1181,2,1)))=2,TEXT(INDEX(ERP資料!$G:$G, (MATCH(435, 輔助計算!$G$2:$G$801, 0)+1)),"0.##")&amp;"+"&amp;TEXT(INDEX(ERP資料!$G:$G, (MATCH(435, 輔助計算!$G$2:$G$801, 0)+1)),"0.##"),TEXT(INDEX(ERP資料!$G:$G, (MATCH(435, 輔助計算!$G$2:$G$801, 0)+1)),"0.##")&amp;"+"&amp;TEXT(INDEX(ERP資料!$G:$G, (MATCH(435, 輔助計算!$G$2:$G$801, 0)+1)),"0.##")&amp;"+"&amp;TEXT(INDEX(ERP資料!$G:$G, (MATCH(435, 輔助計算!$G$2:$G$801, 0)+1)),"0.##")))&amp;"-"&amp;INT(INDEX(輔助計算!$D:$D, (MATCH(435, 輔助計算!$G$2:$G$801, 0)+1))/IF(INDEX(ERP資料!$G:$G, (MATCH(435, 輔助計算!$G$2:$G$801, 0)+1))&lt;100, IF(INDEX(ERP資料!$G:$G, (MATCH(435, 輔助計算!$G$2:$G$801, 0)+1))&lt;=31,3,IF(INDEX(ERP資料!$G:$G, (MATCH(435, 輔助計算!$G$2:$G$801, 0)+1))&lt;=46.5,2,1)), IF(INDEX(ERP資料!$G:$G, (MATCH(435, 輔助計算!$G$2:$G$801, 0)+1))&lt;=790,3,IF(INDEX(ERP資料!$G:$G, (MATCH(435, 輔助計算!$G$2:$G$801, 0)+1))&lt;=1181,2,1)))), "")&amp;IF(AND(IF(INT(INDEX(輔助計算!$D:$D, (MATCH(435, 輔助計算!$G$2:$G$801, 0)+1))/IF(INDEX(ERP資料!$G:$G, (MATCH(435, 輔助計算!$G$2:$G$801, 0)+1))&lt;100, IF(INDEX(ERP資料!$G:$G, (MATCH(435, 輔助計算!$G$2:$G$801, 0)+1))&lt;=31,3,IF(INDEX(ERP資料!$G:$G, (MATCH(435, 輔助計算!$G$2:$G$801, 0)+1))&lt;=46.5,2,1)), IF(INDEX(ERP資料!$G:$G, (MATCH(435, 輔助計算!$G$2:$G$801, 0)+1))&lt;=790,3,IF(INDEX(ERP資料!$G:$G, (MATCH(435, 輔助計算!$G$2:$G$801, 0)+1))&lt;=1181,2,1))))&gt;0, IF(IF(INDEX(ERP資料!$G:$G, (MATCH(435, 輔助計算!$G$2:$G$801, 0)+1))&lt;100, IF(INDEX(ERP資料!$G:$G, (MATCH(435, 輔助計算!$G$2:$G$801, 0)+1))&lt;=31,3,IF(INDEX(ERP資料!$G:$G, (MATCH(435, 輔助計算!$G$2:$G$801, 0)+1))&lt;=46.5,2,1)), IF(INDEX(ERP資料!$G:$G, (MATCH(435, 輔助計算!$G$2:$G$801, 0)+1))&lt;=790,3,IF(INDEX(ERP資料!$G:$G, (MATCH(435, 輔助計算!$G$2:$G$801, 0)+1))&lt;=1181,2,1)))=1,TEXT(INDEX(ERP資料!$G:$G, (MATCH(435, 輔助計算!$G$2:$G$801, 0)+1)),"0.##"),IF(IF(INDEX(ERP資料!$G:$G, (MATCH(435, 輔助計算!$G$2:$G$801, 0)+1))&lt;100, IF(INDEX(ERP資料!$G:$G, (MATCH(435, 輔助計算!$G$2:$G$801, 0)+1))&lt;=31,3,IF(INDEX(ERP資料!$G:$G, (MATCH(435, 輔助計算!$G$2:$G$801, 0)+1))&lt;=46.5,2,1)), IF(INDEX(ERP資料!$G:$G, (MATCH(435, 輔助計算!$G$2:$G$801, 0)+1))&lt;=790,3,IF(INDEX(ERP資料!$G:$G, (MATCH(435, 輔助計算!$G$2:$G$801, 0)+1))&lt;=1181,2,1)))=2,TEXT(INDEX(ERP資料!$G:$G, (MATCH(435, 輔助計算!$G$2:$G$801, 0)+1)),"0.##")&amp;"+"&amp;TEXT(INDEX(ERP資料!$G:$G, (MATCH(435, 輔助計算!$G$2:$G$801, 0)+1)),"0.##"),TEXT(INDEX(ERP資料!$G:$G, (MATCH(435, 輔助計算!$G$2:$G$801, 0)+1)),"0.##")&amp;"+"&amp;TEXT(INDEX(ERP資料!$G:$G, (MATCH(435, 輔助計算!$G$2:$G$801, 0)+1)),"0.##")&amp;"+"&amp;TEXT(INDEX(ERP資料!$G:$G, (MATCH(435, 輔助計算!$G$2:$G$801, 0)+1)),"0.##")))&amp;"-"&amp;INT(INDEX(輔助計算!$D:$D, (MATCH(435, 輔助計算!$G$2:$G$801, 0)+1))/IF(INDEX(ERP資料!$G:$G, (MATCH(435, 輔助計算!$G$2:$G$801, 0)+1))&lt;100, IF(INDEX(ERP資料!$G:$G, (MATCH(435, 輔助計算!$G$2:$G$801, 0)+1))&lt;=31,3,IF(INDEX(ERP資料!$G:$G, (MATCH(435, 輔助計算!$G$2:$G$801, 0)+1))&lt;=46.5,2,1)), IF(INDEX(ERP資料!$G:$G, (MATCH(435, 輔助計算!$G$2:$G$801, 0)+1))&lt;=790,3,IF(INDEX(ERP資料!$G:$G, (MATCH(435, 輔助計算!$G$2:$G$801, 0)+1))&lt;=1181,2,1)))), "")&lt;&gt;"",IF(MOD(INDEX(輔助計算!$D:$D, (MATCH(435, 輔助計算!$G$2:$G$801, 0)+1)),IF(INDEX(ERP資料!$G:$G, (MATCH(435, 輔助計算!$G$2:$G$801, 0)+1))&lt;100, IF(INDEX(ERP資料!$G:$G, (MATCH(435, 輔助計算!$G$2:$G$801, 0)+1))&lt;=31,3,IF(INDEX(ERP資料!$G:$G, (MATCH(435, 輔助計算!$G$2:$G$801, 0)+1))&lt;=46.5,2,1)), IF(INDEX(ERP資料!$G:$G, (MATCH(435, 輔助計算!$G$2:$G$801, 0)+1))&lt;=790,3,IF(INDEX(ERP資料!$G:$G, (MATCH(435, 輔助計算!$G$2:$G$801, 0)+1))&lt;=1181,2,1))))=0,"",IF(MOD(INDEX(輔助計算!$D:$D, (MATCH(435, 輔助計算!$G$2:$G$801, 0)+1)),IF(INDEX(ERP資料!$G:$G, (MATCH(435, 輔助計算!$G$2:$G$801, 0)+1))&lt;100, IF(INDEX(ERP資料!$G:$G, (MATCH(435, 輔助計算!$G$2:$G$801, 0)+1))&lt;=31,3,IF(INDEX(ERP資料!$G:$G, (MATCH(435, 輔助計算!$G$2:$G$801, 0)+1))&lt;=46.5,2,1)), IF(INDEX(ERP資料!$G:$G, (MATCH(435, 輔助計算!$G$2:$G$801, 0)+1))&lt;=790,3,IF(INDEX(ERP資料!$G:$G, (MATCH(435, 輔助計算!$G$2:$G$801, 0)+1))&lt;=1181,2,1))))=0,"",IF(MOD(INDEX(輔助計算!$D:$D, (MATCH(435, 輔助計算!$G$2:$G$801, 0)+1)),IF(INDEX(ERP資料!$G:$G, (MATCH(435, 輔助計算!$G$2:$G$801, 0)+1))&lt;100, IF(INDEX(ERP資料!$G:$G, (MATCH(435, 輔助計算!$G$2:$G$801, 0)+1))&lt;=31,3,IF(INDEX(ERP資料!$G:$G, (MATCH(435, 輔助計算!$G$2:$G$801, 0)+1))&lt;=46.5,2,1)), IF(INDEX(ERP資料!$G:$G, (MATCH(435, 輔助計算!$G$2:$G$801, 0)+1))&lt;=790,3,IF(INDEX(ERP資料!$G:$G, (MATCH(435, 輔助計算!$G$2:$G$801, 0)+1))&lt;=1181,2,1))))=1,TEXT(INDEX(ERP資料!$G:$G, (MATCH(435, 輔助計算!$G$2:$G$801, 0)+1)),"0.##"),IF(MOD(INDEX(輔助計算!$D:$D, (MATCH(435, 輔助計算!$G$2:$G$801, 0)+1)),IF(INDEX(ERP資料!$G:$G, (MATCH(435, 輔助計算!$G$2:$G$801, 0)+1))&lt;100, IF(INDEX(ERP資料!$G:$G, (MATCH(435, 輔助計算!$G$2:$G$801, 0)+1))&lt;=31,3,IF(INDEX(ERP資料!$G:$G, (MATCH(435, 輔助計算!$G$2:$G$801, 0)+1))&lt;=46.5,2,1)), IF(INDEX(ERP資料!$G:$G, (MATCH(435, 輔助計算!$G$2:$G$801, 0)+1))&lt;=790,3,IF(INDEX(ERP資料!$G:$G, (MATCH(435, 輔助計算!$G$2:$G$801, 0)+1))&lt;=1181,2,1))))=2,TEXT(INDEX(ERP資料!$G:$G, (MATCH(435, 輔助計算!$G$2:$G$801, 0)+1)),"0.##")&amp;"+"&amp;TEXT(INDEX(ERP資料!$G:$G, (MATCH(435, 輔助計算!$G$2:$G$801, 0)+1)),"0.##"),TEXT(INDEX(ERP資料!$G:$G, (MATCH(435, 輔助計算!$G$2:$G$801, 0)+1)),"0.##")&amp;"+"&amp;TEXT(INDEX(ERP資料!$G:$G, (MATCH(435, 輔助計算!$G$2:$G$801, 0)+1)),"0.##")&amp;"+"&amp;TEXT(INDEX(ERP資料!$G:$G, (MATCH(435, 輔助計算!$G$2:$G$801, 0)+1)),"0.##"))))&amp;"-1")&lt;&gt;""),"  ","")&amp;IF(MOD(INDEX(輔助計算!$D:$D, (MATCH(435, 輔助計算!$G$2:$G$801, 0)+1)),IF(INDEX(ERP資料!$G:$G, (MATCH(435, 輔助計算!$G$2:$G$801, 0)+1))&lt;100, IF(INDEX(ERP資料!$G:$G, (MATCH(435, 輔助計算!$G$2:$G$801, 0)+1))&lt;=31,3,IF(INDEX(ERP資料!$G:$G, (MATCH(435, 輔助計算!$G$2:$G$801, 0)+1))&lt;=46.5,2,1)), IF(INDEX(ERP資料!$G:$G, (MATCH(435, 輔助計算!$G$2:$G$801, 0)+1))&lt;=790,3,IF(INDEX(ERP資料!$G:$G, (MATCH(435, 輔助計算!$G$2:$G$801, 0)+1))&lt;=1181,2,1))))=0,"",IF(MOD(INDEX(輔助計算!$D:$D, (MATCH(435, 輔助計算!$G$2:$G$801, 0)+1)),IF(INDEX(ERP資料!$G:$G, (MATCH(435, 輔助計算!$G$2:$G$801, 0)+1))&lt;100, IF(INDEX(ERP資料!$G:$G, (MATCH(435, 輔助計算!$G$2:$G$801, 0)+1))&lt;=31,3,IF(INDEX(ERP資料!$G:$G, (MATCH(435, 輔助計算!$G$2:$G$801, 0)+1))&lt;=46.5,2,1)), IF(INDEX(ERP資料!$G:$G, (MATCH(435, 輔助計算!$G$2:$G$801, 0)+1))&lt;=790,3,IF(INDEX(ERP資料!$G:$G, (MATCH(435, 輔助計算!$G$2:$G$801, 0)+1))&lt;=1181,2,1))))=0,"",IF(MOD(INDEX(輔助計算!$D:$D, (MATCH(435, 輔助計算!$G$2:$G$801, 0)+1)),IF(INDEX(ERP資料!$G:$G, (MATCH(435, 輔助計算!$G$2:$G$801, 0)+1))&lt;100, IF(INDEX(ERP資料!$G:$G, (MATCH(435, 輔助計算!$G$2:$G$801, 0)+1))&lt;=31,3,IF(INDEX(ERP資料!$G:$G, (MATCH(435, 輔助計算!$G$2:$G$801, 0)+1))&lt;=46.5,2,1)), IF(INDEX(ERP資料!$G:$G, (MATCH(435, 輔助計算!$G$2:$G$801, 0)+1))&lt;=790,3,IF(INDEX(ERP資料!$G:$G, (MATCH(435, 輔助計算!$G$2:$G$801, 0)+1))&lt;=1181,2,1))))=1,TEXT(INDEX(ERP資料!$G:$G, (MATCH(435, 輔助計算!$G$2:$G$801, 0)+1)),"0.##"),IF(MOD(INDEX(輔助計算!$D:$D, (MATCH(435, 輔助計算!$G$2:$G$801, 0)+1)),IF(INDEX(ERP資料!$G:$G, (MATCH(435, 輔助計算!$G$2:$G$801, 0)+1))&lt;100, IF(INDEX(ERP資料!$G:$G, (MATCH(435, 輔助計算!$G$2:$G$801, 0)+1))&lt;=31,3,IF(INDEX(ERP資料!$G:$G, (MATCH(435, 輔助計算!$G$2:$G$801, 0)+1))&lt;=46.5,2,1)), IF(INDEX(ERP資料!$G:$G, (MATCH(435, 輔助計算!$G$2:$G$801, 0)+1))&lt;=790,3,IF(INDEX(ERP資料!$G:$G, (MATCH(435, 輔助計算!$G$2:$G$801, 0)+1))&lt;=1181,2,1))))=2,TEXT(INDEX(ERP資料!$G:$G, (MATCH(435, 輔助計算!$G$2:$G$801, 0)+1)),"0.##")&amp;"+"&amp;TEXT(INDEX(ERP資料!$G:$G, (MATCH(435, 輔助計算!$G$2:$G$801, 0)+1)),"0.##"),TEXT(INDEX(ERP資料!$G:$G, (MATCH(435, 輔助計算!$G$2:$G$801, 0)+1)),"0.##")&amp;"+"&amp;TEXT(INDEX(ERP資料!$G:$G, (MATCH(435, 輔助計算!$G$2:$G$801, 0)+1)),"0.##")&amp;"+"&amp;TEXT(INDEX(ERP資料!$G:$G, (MATCH(435, 輔助計算!$G$2:$G$801, 0)+1)),"0.##"))))&amp;"-1")), ""), "")</f>
        <v/>
      </c>
      <c r="K436" s="16" t="n"/>
      <c r="L436" s="14">
        <f>IFERROR(IF(AND(IFERROR(INDEX(ERP資料!$A:$A, (MATCH(435, 輔助計算!$G$2:$G$801, 0)+1)), "")&lt;&gt;"", IFERROR(INDEX(ERP資料!$A:$A, (MATCH(435, 輔助計算!$G$2:$G$801, 0)+1)), "")&lt;&gt;IFERROR(INDEX(ERP資料!$A:$A, MATCH(434, 輔助計算!$G$2:$G$801, 0)+1), "")), INDEX(ERP資料!$B:$B, (MATCH(435, 輔助計算!$G$2:$G$801, 0)+1)), ""), "")</f>
        <v/>
      </c>
      <c r="M436" s="17" t="n"/>
    </row>
    <row r="437">
      <c r="A437" s="10">
        <f>IFERROR(IF(AND(IFERROR(INDEX(ERP資料!$A:$A, (MATCH(436, 輔助計算!$G$2:$G$801, 0)+1)), "")&lt;&gt;"", IFERROR(INDEX(ERP資料!$A:$A, (MATCH(436, 輔助計算!$G$2:$G$801, 0)+1)), "")&lt;&gt;IFERROR(INDEX(ERP資料!$A:$A, MATCH(435, 輔助計算!$G$2:$G$801, 0)+1), "")), IFERROR(INDEX(ERP資料!$A:$A, (MATCH(436, 輔助計算!$G$2:$G$801, 0)+1)), ""), ""), "")</f>
        <v/>
      </c>
      <c r="B437" s="10">
        <f>IFERROR(IF(AND(IFERROR(INDEX(ERP資料!$A:$A, (MATCH(436, 輔助計算!$G$2:$G$801, 0)+1)), "")&lt;&gt;"", IFERROR(INDEX(ERP資料!$A:$A, (MATCH(436, 輔助計算!$G$2:$G$801, 0)+1)), "")&lt;&gt;IFERROR(INDEX(ERP資料!$A:$A, MATCH(435, 輔助計算!$G$2:$G$801, 0)+1), "")), INDEX(ERP資料!$S:$S, (MATCH(436, 輔助計算!$G$2:$G$801, 0)+1)), ""), "")</f>
        <v/>
      </c>
      <c r="C437" s="19">
        <f>IFERROR(IF(AND(IFERROR(INDEX(ERP資料!$A:$A, (MATCH(436, 輔助計算!$G$2:$G$801, 0)+1)), "")&lt;&gt;"", IFERROR(INDEX(ERP資料!$A:$A, (MATCH(436, 輔助計算!$G$2:$G$801, 0)+1)), "")&lt;&gt;IFERROR(INDEX(ERP資料!$A:$A, MATCH(435, 輔助計算!$G$2:$G$801, 0)+1), "")), IFERROR(VLOOKUP(LEFT(INDEX(ERP資料!$S:$S, (MATCH(436, 輔助計算!$G$2:$G$801, 0)+1)), 4), 紙管對照表!$A:$C, 3, FALSE), ""), ""), "")</f>
        <v/>
      </c>
      <c r="D437" s="16" t="n"/>
      <c r="E437" s="10">
        <f>IFERROR(IF(INDEX(ERP資料!$H:$H, (MATCH(436, 輔助計算!$G$2:$G$801, 0)+1))="","",INDEX(ERP資料!$H:$H, (MATCH(436, 輔助計算!$G$2:$G$801, 0)+1))), "")</f>
        <v/>
      </c>
      <c r="F437" s="10">
        <f>IFERROR(IF(INDEX(ERP資料!$E:$E, (MATCH(436, 輔助計算!$G$2:$G$801, 0)+1))="","",TRIM(INDEX(ERP資料!$E:$E, (MATCH(436, 輔助計算!$G$2:$G$801, 0)+1)))), "")</f>
        <v/>
      </c>
      <c r="G437" s="10">
        <f>IFERROR(IF(INDEX(ERP資料!$F:$F, (MATCH(436, 輔助計算!$G$2:$G$801, 0)+1))="","",INDEX(ERP資料!$F:$F, (MATCH(436, 輔助計算!$G$2:$G$801, 0)+1))), "")</f>
        <v/>
      </c>
      <c r="H437" s="10">
        <f>IFERROR(IF(INDEX(ERP資料!$G:$G, (MATCH(436, 輔助計算!$G$2:$G$801, 0)+1))="","",INDEX(ERP資料!$G:$G, (MATCH(436, 輔助計算!$G$2:$G$801, 0)+1))), "")</f>
        <v/>
      </c>
      <c r="I437" s="15">
        <f>IFERROR(INDEX(輔助計算!$D:$D, (MATCH(436, 輔助計算!$G$2:$G$801, 0)+1)), "")</f>
        <v/>
      </c>
      <c r="J437" s="15">
        <f>IFERROR(IF(AND(INDEX(輔助計算!$D:$D, (MATCH(436, 輔助計算!$G$2:$G$801, 0)+1))&lt;&gt;"", INDEX(ERP資料!$G:$G, (MATCH(436, 輔助計算!$G$2:$G$801, 0)+1))&lt;&gt;""), TRIM(IF(INT(INDEX(輔助計算!$D:$D, (MATCH(436, 輔助計算!$G$2:$G$801, 0)+1))/IF(INDEX(ERP資料!$G:$G, (MATCH(436, 輔助計算!$G$2:$G$801, 0)+1))&lt;100, IF(INDEX(ERP資料!$G:$G, (MATCH(436, 輔助計算!$G$2:$G$801, 0)+1))&lt;=31,3,IF(INDEX(ERP資料!$G:$G, (MATCH(436, 輔助計算!$G$2:$G$801, 0)+1))&lt;=46.5,2,1)), IF(INDEX(ERP資料!$G:$G, (MATCH(436, 輔助計算!$G$2:$G$801, 0)+1))&lt;=790,3,IF(INDEX(ERP資料!$G:$G, (MATCH(436, 輔助計算!$G$2:$G$801, 0)+1))&lt;=1181,2,1))))&gt;0, IF(IF(INDEX(ERP資料!$G:$G, (MATCH(436, 輔助計算!$G$2:$G$801, 0)+1))&lt;100, IF(INDEX(ERP資料!$G:$G, (MATCH(436, 輔助計算!$G$2:$G$801, 0)+1))&lt;=31,3,IF(INDEX(ERP資料!$G:$G, (MATCH(436, 輔助計算!$G$2:$G$801, 0)+1))&lt;=46.5,2,1)), IF(INDEX(ERP資料!$G:$G, (MATCH(436, 輔助計算!$G$2:$G$801, 0)+1))&lt;=790,3,IF(INDEX(ERP資料!$G:$G, (MATCH(436, 輔助計算!$G$2:$G$801, 0)+1))&lt;=1181,2,1)))=1,TEXT(INDEX(ERP資料!$G:$G, (MATCH(436, 輔助計算!$G$2:$G$801, 0)+1)),"0.##"),IF(IF(INDEX(ERP資料!$G:$G, (MATCH(436, 輔助計算!$G$2:$G$801, 0)+1))&lt;100, IF(INDEX(ERP資料!$G:$G, (MATCH(436, 輔助計算!$G$2:$G$801, 0)+1))&lt;=31,3,IF(INDEX(ERP資料!$G:$G, (MATCH(436, 輔助計算!$G$2:$G$801, 0)+1))&lt;=46.5,2,1)), IF(INDEX(ERP資料!$G:$G, (MATCH(436, 輔助計算!$G$2:$G$801, 0)+1))&lt;=790,3,IF(INDEX(ERP資料!$G:$G, (MATCH(436, 輔助計算!$G$2:$G$801, 0)+1))&lt;=1181,2,1)))=2,TEXT(INDEX(ERP資料!$G:$G, (MATCH(436, 輔助計算!$G$2:$G$801, 0)+1)),"0.##")&amp;"+"&amp;TEXT(INDEX(ERP資料!$G:$G, (MATCH(436, 輔助計算!$G$2:$G$801, 0)+1)),"0.##"),TEXT(INDEX(ERP資料!$G:$G, (MATCH(436, 輔助計算!$G$2:$G$801, 0)+1)),"0.##")&amp;"+"&amp;TEXT(INDEX(ERP資料!$G:$G, (MATCH(436, 輔助計算!$G$2:$G$801, 0)+1)),"0.##")&amp;"+"&amp;TEXT(INDEX(ERP資料!$G:$G, (MATCH(436, 輔助計算!$G$2:$G$801, 0)+1)),"0.##")))&amp;"-"&amp;INT(INDEX(輔助計算!$D:$D, (MATCH(436, 輔助計算!$G$2:$G$801, 0)+1))/IF(INDEX(ERP資料!$G:$G, (MATCH(436, 輔助計算!$G$2:$G$801, 0)+1))&lt;100, IF(INDEX(ERP資料!$G:$G, (MATCH(436, 輔助計算!$G$2:$G$801, 0)+1))&lt;=31,3,IF(INDEX(ERP資料!$G:$G, (MATCH(436, 輔助計算!$G$2:$G$801, 0)+1))&lt;=46.5,2,1)), IF(INDEX(ERP資料!$G:$G, (MATCH(436, 輔助計算!$G$2:$G$801, 0)+1))&lt;=790,3,IF(INDEX(ERP資料!$G:$G, (MATCH(436, 輔助計算!$G$2:$G$801, 0)+1))&lt;=1181,2,1)))), "")&amp;IF(AND(IF(INT(INDEX(輔助計算!$D:$D, (MATCH(436, 輔助計算!$G$2:$G$801, 0)+1))/IF(INDEX(ERP資料!$G:$G, (MATCH(436, 輔助計算!$G$2:$G$801, 0)+1))&lt;100, IF(INDEX(ERP資料!$G:$G, (MATCH(436, 輔助計算!$G$2:$G$801, 0)+1))&lt;=31,3,IF(INDEX(ERP資料!$G:$G, (MATCH(436, 輔助計算!$G$2:$G$801, 0)+1))&lt;=46.5,2,1)), IF(INDEX(ERP資料!$G:$G, (MATCH(436, 輔助計算!$G$2:$G$801, 0)+1))&lt;=790,3,IF(INDEX(ERP資料!$G:$G, (MATCH(436, 輔助計算!$G$2:$G$801, 0)+1))&lt;=1181,2,1))))&gt;0, IF(IF(INDEX(ERP資料!$G:$G, (MATCH(436, 輔助計算!$G$2:$G$801, 0)+1))&lt;100, IF(INDEX(ERP資料!$G:$G, (MATCH(436, 輔助計算!$G$2:$G$801, 0)+1))&lt;=31,3,IF(INDEX(ERP資料!$G:$G, (MATCH(436, 輔助計算!$G$2:$G$801, 0)+1))&lt;=46.5,2,1)), IF(INDEX(ERP資料!$G:$G, (MATCH(436, 輔助計算!$G$2:$G$801, 0)+1))&lt;=790,3,IF(INDEX(ERP資料!$G:$G, (MATCH(436, 輔助計算!$G$2:$G$801, 0)+1))&lt;=1181,2,1)))=1,TEXT(INDEX(ERP資料!$G:$G, (MATCH(436, 輔助計算!$G$2:$G$801, 0)+1)),"0.##"),IF(IF(INDEX(ERP資料!$G:$G, (MATCH(436, 輔助計算!$G$2:$G$801, 0)+1))&lt;100, IF(INDEX(ERP資料!$G:$G, (MATCH(436, 輔助計算!$G$2:$G$801, 0)+1))&lt;=31,3,IF(INDEX(ERP資料!$G:$G, (MATCH(436, 輔助計算!$G$2:$G$801, 0)+1))&lt;=46.5,2,1)), IF(INDEX(ERP資料!$G:$G, (MATCH(436, 輔助計算!$G$2:$G$801, 0)+1))&lt;=790,3,IF(INDEX(ERP資料!$G:$G, (MATCH(436, 輔助計算!$G$2:$G$801, 0)+1))&lt;=1181,2,1)))=2,TEXT(INDEX(ERP資料!$G:$G, (MATCH(436, 輔助計算!$G$2:$G$801, 0)+1)),"0.##")&amp;"+"&amp;TEXT(INDEX(ERP資料!$G:$G, (MATCH(436, 輔助計算!$G$2:$G$801, 0)+1)),"0.##"),TEXT(INDEX(ERP資料!$G:$G, (MATCH(436, 輔助計算!$G$2:$G$801, 0)+1)),"0.##")&amp;"+"&amp;TEXT(INDEX(ERP資料!$G:$G, (MATCH(436, 輔助計算!$G$2:$G$801, 0)+1)),"0.##")&amp;"+"&amp;TEXT(INDEX(ERP資料!$G:$G, (MATCH(436, 輔助計算!$G$2:$G$801, 0)+1)),"0.##")))&amp;"-"&amp;INT(INDEX(輔助計算!$D:$D, (MATCH(436, 輔助計算!$G$2:$G$801, 0)+1))/IF(INDEX(ERP資料!$G:$G, (MATCH(436, 輔助計算!$G$2:$G$801, 0)+1))&lt;100, IF(INDEX(ERP資料!$G:$G, (MATCH(436, 輔助計算!$G$2:$G$801, 0)+1))&lt;=31,3,IF(INDEX(ERP資料!$G:$G, (MATCH(436, 輔助計算!$G$2:$G$801, 0)+1))&lt;=46.5,2,1)), IF(INDEX(ERP資料!$G:$G, (MATCH(436, 輔助計算!$G$2:$G$801, 0)+1))&lt;=790,3,IF(INDEX(ERP資料!$G:$G, (MATCH(436, 輔助計算!$G$2:$G$801, 0)+1))&lt;=1181,2,1)))), "")&lt;&gt;"",IF(MOD(INDEX(輔助計算!$D:$D, (MATCH(436, 輔助計算!$G$2:$G$801, 0)+1)),IF(INDEX(ERP資料!$G:$G, (MATCH(436, 輔助計算!$G$2:$G$801, 0)+1))&lt;100, IF(INDEX(ERP資料!$G:$G, (MATCH(436, 輔助計算!$G$2:$G$801, 0)+1))&lt;=31,3,IF(INDEX(ERP資料!$G:$G, (MATCH(436, 輔助計算!$G$2:$G$801, 0)+1))&lt;=46.5,2,1)), IF(INDEX(ERP資料!$G:$G, (MATCH(436, 輔助計算!$G$2:$G$801, 0)+1))&lt;=790,3,IF(INDEX(ERP資料!$G:$G, (MATCH(436, 輔助計算!$G$2:$G$801, 0)+1))&lt;=1181,2,1))))=0,"",IF(MOD(INDEX(輔助計算!$D:$D, (MATCH(436, 輔助計算!$G$2:$G$801, 0)+1)),IF(INDEX(ERP資料!$G:$G, (MATCH(436, 輔助計算!$G$2:$G$801, 0)+1))&lt;100, IF(INDEX(ERP資料!$G:$G, (MATCH(436, 輔助計算!$G$2:$G$801, 0)+1))&lt;=31,3,IF(INDEX(ERP資料!$G:$G, (MATCH(436, 輔助計算!$G$2:$G$801, 0)+1))&lt;=46.5,2,1)), IF(INDEX(ERP資料!$G:$G, (MATCH(436, 輔助計算!$G$2:$G$801, 0)+1))&lt;=790,3,IF(INDEX(ERP資料!$G:$G, (MATCH(436, 輔助計算!$G$2:$G$801, 0)+1))&lt;=1181,2,1))))=0,"",IF(MOD(INDEX(輔助計算!$D:$D, (MATCH(436, 輔助計算!$G$2:$G$801, 0)+1)),IF(INDEX(ERP資料!$G:$G, (MATCH(436, 輔助計算!$G$2:$G$801, 0)+1))&lt;100, IF(INDEX(ERP資料!$G:$G, (MATCH(436, 輔助計算!$G$2:$G$801, 0)+1))&lt;=31,3,IF(INDEX(ERP資料!$G:$G, (MATCH(436, 輔助計算!$G$2:$G$801, 0)+1))&lt;=46.5,2,1)), IF(INDEX(ERP資料!$G:$G, (MATCH(436, 輔助計算!$G$2:$G$801, 0)+1))&lt;=790,3,IF(INDEX(ERP資料!$G:$G, (MATCH(436, 輔助計算!$G$2:$G$801, 0)+1))&lt;=1181,2,1))))=1,TEXT(INDEX(ERP資料!$G:$G, (MATCH(436, 輔助計算!$G$2:$G$801, 0)+1)),"0.##"),IF(MOD(INDEX(輔助計算!$D:$D, (MATCH(436, 輔助計算!$G$2:$G$801, 0)+1)),IF(INDEX(ERP資料!$G:$G, (MATCH(436, 輔助計算!$G$2:$G$801, 0)+1))&lt;100, IF(INDEX(ERP資料!$G:$G, (MATCH(436, 輔助計算!$G$2:$G$801, 0)+1))&lt;=31,3,IF(INDEX(ERP資料!$G:$G, (MATCH(436, 輔助計算!$G$2:$G$801, 0)+1))&lt;=46.5,2,1)), IF(INDEX(ERP資料!$G:$G, (MATCH(436, 輔助計算!$G$2:$G$801, 0)+1))&lt;=790,3,IF(INDEX(ERP資料!$G:$G, (MATCH(436, 輔助計算!$G$2:$G$801, 0)+1))&lt;=1181,2,1))))=2,TEXT(INDEX(ERP資料!$G:$G, (MATCH(436, 輔助計算!$G$2:$G$801, 0)+1)),"0.##")&amp;"+"&amp;TEXT(INDEX(ERP資料!$G:$G, (MATCH(436, 輔助計算!$G$2:$G$801, 0)+1)),"0.##"),TEXT(INDEX(ERP資料!$G:$G, (MATCH(436, 輔助計算!$G$2:$G$801, 0)+1)),"0.##")&amp;"+"&amp;TEXT(INDEX(ERP資料!$G:$G, (MATCH(436, 輔助計算!$G$2:$G$801, 0)+1)),"0.##")&amp;"+"&amp;TEXT(INDEX(ERP資料!$G:$G, (MATCH(436, 輔助計算!$G$2:$G$801, 0)+1)),"0.##"))))&amp;"-1")&lt;&gt;""),"  ","")&amp;IF(MOD(INDEX(輔助計算!$D:$D, (MATCH(436, 輔助計算!$G$2:$G$801, 0)+1)),IF(INDEX(ERP資料!$G:$G, (MATCH(436, 輔助計算!$G$2:$G$801, 0)+1))&lt;100, IF(INDEX(ERP資料!$G:$G, (MATCH(436, 輔助計算!$G$2:$G$801, 0)+1))&lt;=31,3,IF(INDEX(ERP資料!$G:$G, (MATCH(436, 輔助計算!$G$2:$G$801, 0)+1))&lt;=46.5,2,1)), IF(INDEX(ERP資料!$G:$G, (MATCH(436, 輔助計算!$G$2:$G$801, 0)+1))&lt;=790,3,IF(INDEX(ERP資料!$G:$G, (MATCH(436, 輔助計算!$G$2:$G$801, 0)+1))&lt;=1181,2,1))))=0,"",IF(MOD(INDEX(輔助計算!$D:$D, (MATCH(436, 輔助計算!$G$2:$G$801, 0)+1)),IF(INDEX(ERP資料!$G:$G, (MATCH(436, 輔助計算!$G$2:$G$801, 0)+1))&lt;100, IF(INDEX(ERP資料!$G:$G, (MATCH(436, 輔助計算!$G$2:$G$801, 0)+1))&lt;=31,3,IF(INDEX(ERP資料!$G:$G, (MATCH(436, 輔助計算!$G$2:$G$801, 0)+1))&lt;=46.5,2,1)), IF(INDEX(ERP資料!$G:$G, (MATCH(436, 輔助計算!$G$2:$G$801, 0)+1))&lt;=790,3,IF(INDEX(ERP資料!$G:$G, (MATCH(436, 輔助計算!$G$2:$G$801, 0)+1))&lt;=1181,2,1))))=0,"",IF(MOD(INDEX(輔助計算!$D:$D, (MATCH(436, 輔助計算!$G$2:$G$801, 0)+1)),IF(INDEX(ERP資料!$G:$G, (MATCH(436, 輔助計算!$G$2:$G$801, 0)+1))&lt;100, IF(INDEX(ERP資料!$G:$G, (MATCH(436, 輔助計算!$G$2:$G$801, 0)+1))&lt;=31,3,IF(INDEX(ERP資料!$G:$G, (MATCH(436, 輔助計算!$G$2:$G$801, 0)+1))&lt;=46.5,2,1)), IF(INDEX(ERP資料!$G:$G, (MATCH(436, 輔助計算!$G$2:$G$801, 0)+1))&lt;=790,3,IF(INDEX(ERP資料!$G:$G, (MATCH(436, 輔助計算!$G$2:$G$801, 0)+1))&lt;=1181,2,1))))=1,TEXT(INDEX(ERP資料!$G:$G, (MATCH(436, 輔助計算!$G$2:$G$801, 0)+1)),"0.##"),IF(MOD(INDEX(輔助計算!$D:$D, (MATCH(436, 輔助計算!$G$2:$G$801, 0)+1)),IF(INDEX(ERP資料!$G:$G, (MATCH(436, 輔助計算!$G$2:$G$801, 0)+1))&lt;100, IF(INDEX(ERP資料!$G:$G, (MATCH(436, 輔助計算!$G$2:$G$801, 0)+1))&lt;=31,3,IF(INDEX(ERP資料!$G:$G, (MATCH(436, 輔助計算!$G$2:$G$801, 0)+1))&lt;=46.5,2,1)), IF(INDEX(ERP資料!$G:$G, (MATCH(436, 輔助計算!$G$2:$G$801, 0)+1))&lt;=790,3,IF(INDEX(ERP資料!$G:$G, (MATCH(436, 輔助計算!$G$2:$G$801, 0)+1))&lt;=1181,2,1))))=2,TEXT(INDEX(ERP資料!$G:$G, (MATCH(436, 輔助計算!$G$2:$G$801, 0)+1)),"0.##")&amp;"+"&amp;TEXT(INDEX(ERP資料!$G:$G, (MATCH(436, 輔助計算!$G$2:$G$801, 0)+1)),"0.##"),TEXT(INDEX(ERP資料!$G:$G, (MATCH(436, 輔助計算!$G$2:$G$801, 0)+1)),"0.##")&amp;"+"&amp;TEXT(INDEX(ERP資料!$G:$G, (MATCH(436, 輔助計算!$G$2:$G$801, 0)+1)),"0.##")&amp;"+"&amp;TEXT(INDEX(ERP資料!$G:$G, (MATCH(436, 輔助計算!$G$2:$G$801, 0)+1)),"0.##"))))&amp;"-1")), ""), "")</f>
        <v/>
      </c>
      <c r="K437" s="16" t="n"/>
      <c r="L437" s="14">
        <f>IFERROR(IF(AND(IFERROR(INDEX(ERP資料!$A:$A, (MATCH(436, 輔助計算!$G$2:$G$801, 0)+1)), "")&lt;&gt;"", IFERROR(INDEX(ERP資料!$A:$A, (MATCH(436, 輔助計算!$G$2:$G$801, 0)+1)), "")&lt;&gt;IFERROR(INDEX(ERP資料!$A:$A, MATCH(435, 輔助計算!$G$2:$G$801, 0)+1), "")), INDEX(ERP資料!$B:$B, (MATCH(436, 輔助計算!$G$2:$G$801, 0)+1)), ""), "")</f>
        <v/>
      </c>
      <c r="M437" s="17" t="n"/>
    </row>
    <row r="438">
      <c r="A438" s="10">
        <f>IFERROR(IF(AND(IFERROR(INDEX(ERP資料!$A:$A, (MATCH(437, 輔助計算!$G$2:$G$801, 0)+1)), "")&lt;&gt;"", IFERROR(INDEX(ERP資料!$A:$A, (MATCH(437, 輔助計算!$G$2:$G$801, 0)+1)), "")&lt;&gt;IFERROR(INDEX(ERP資料!$A:$A, MATCH(436, 輔助計算!$G$2:$G$801, 0)+1), "")), IFERROR(INDEX(ERP資料!$A:$A, (MATCH(437, 輔助計算!$G$2:$G$801, 0)+1)), ""), ""), "")</f>
        <v/>
      </c>
      <c r="B438" s="10">
        <f>IFERROR(IF(AND(IFERROR(INDEX(ERP資料!$A:$A, (MATCH(437, 輔助計算!$G$2:$G$801, 0)+1)), "")&lt;&gt;"", IFERROR(INDEX(ERP資料!$A:$A, (MATCH(437, 輔助計算!$G$2:$G$801, 0)+1)), "")&lt;&gt;IFERROR(INDEX(ERP資料!$A:$A, MATCH(436, 輔助計算!$G$2:$G$801, 0)+1), "")), INDEX(ERP資料!$S:$S, (MATCH(437, 輔助計算!$G$2:$G$801, 0)+1)), ""), "")</f>
        <v/>
      </c>
      <c r="C438" s="19">
        <f>IFERROR(IF(AND(IFERROR(INDEX(ERP資料!$A:$A, (MATCH(437, 輔助計算!$G$2:$G$801, 0)+1)), "")&lt;&gt;"", IFERROR(INDEX(ERP資料!$A:$A, (MATCH(437, 輔助計算!$G$2:$G$801, 0)+1)), "")&lt;&gt;IFERROR(INDEX(ERP資料!$A:$A, MATCH(436, 輔助計算!$G$2:$G$801, 0)+1), "")), IFERROR(VLOOKUP(LEFT(INDEX(ERP資料!$S:$S, (MATCH(437, 輔助計算!$G$2:$G$801, 0)+1)), 4), 紙管對照表!$A:$C, 3, FALSE), ""), ""), "")</f>
        <v/>
      </c>
      <c r="D438" s="16" t="n"/>
      <c r="E438" s="10">
        <f>IFERROR(IF(INDEX(ERP資料!$H:$H, (MATCH(437, 輔助計算!$G$2:$G$801, 0)+1))="","",INDEX(ERP資料!$H:$H, (MATCH(437, 輔助計算!$G$2:$G$801, 0)+1))), "")</f>
        <v/>
      </c>
      <c r="F438" s="10">
        <f>IFERROR(IF(INDEX(ERP資料!$E:$E, (MATCH(437, 輔助計算!$G$2:$G$801, 0)+1))="","",TRIM(INDEX(ERP資料!$E:$E, (MATCH(437, 輔助計算!$G$2:$G$801, 0)+1)))), "")</f>
        <v/>
      </c>
      <c r="G438" s="10">
        <f>IFERROR(IF(INDEX(ERP資料!$F:$F, (MATCH(437, 輔助計算!$G$2:$G$801, 0)+1))="","",INDEX(ERP資料!$F:$F, (MATCH(437, 輔助計算!$G$2:$G$801, 0)+1))), "")</f>
        <v/>
      </c>
      <c r="H438" s="10">
        <f>IFERROR(IF(INDEX(ERP資料!$G:$G, (MATCH(437, 輔助計算!$G$2:$G$801, 0)+1))="","",INDEX(ERP資料!$G:$G, (MATCH(437, 輔助計算!$G$2:$G$801, 0)+1))), "")</f>
        <v/>
      </c>
      <c r="I438" s="15">
        <f>IFERROR(INDEX(輔助計算!$D:$D, (MATCH(437, 輔助計算!$G$2:$G$801, 0)+1)), "")</f>
        <v/>
      </c>
      <c r="J438" s="15">
        <f>IFERROR(IF(AND(INDEX(輔助計算!$D:$D, (MATCH(437, 輔助計算!$G$2:$G$801, 0)+1))&lt;&gt;"", INDEX(ERP資料!$G:$G, (MATCH(437, 輔助計算!$G$2:$G$801, 0)+1))&lt;&gt;""), TRIM(IF(INT(INDEX(輔助計算!$D:$D, (MATCH(437, 輔助計算!$G$2:$G$801, 0)+1))/IF(INDEX(ERP資料!$G:$G, (MATCH(437, 輔助計算!$G$2:$G$801, 0)+1))&lt;100, IF(INDEX(ERP資料!$G:$G, (MATCH(437, 輔助計算!$G$2:$G$801, 0)+1))&lt;=31,3,IF(INDEX(ERP資料!$G:$G, (MATCH(437, 輔助計算!$G$2:$G$801, 0)+1))&lt;=46.5,2,1)), IF(INDEX(ERP資料!$G:$G, (MATCH(437, 輔助計算!$G$2:$G$801, 0)+1))&lt;=790,3,IF(INDEX(ERP資料!$G:$G, (MATCH(437, 輔助計算!$G$2:$G$801, 0)+1))&lt;=1181,2,1))))&gt;0, IF(IF(INDEX(ERP資料!$G:$G, (MATCH(437, 輔助計算!$G$2:$G$801, 0)+1))&lt;100, IF(INDEX(ERP資料!$G:$G, (MATCH(437, 輔助計算!$G$2:$G$801, 0)+1))&lt;=31,3,IF(INDEX(ERP資料!$G:$G, (MATCH(437, 輔助計算!$G$2:$G$801, 0)+1))&lt;=46.5,2,1)), IF(INDEX(ERP資料!$G:$G, (MATCH(437, 輔助計算!$G$2:$G$801, 0)+1))&lt;=790,3,IF(INDEX(ERP資料!$G:$G, (MATCH(437, 輔助計算!$G$2:$G$801, 0)+1))&lt;=1181,2,1)))=1,TEXT(INDEX(ERP資料!$G:$G, (MATCH(437, 輔助計算!$G$2:$G$801, 0)+1)),"0.##"),IF(IF(INDEX(ERP資料!$G:$G, (MATCH(437, 輔助計算!$G$2:$G$801, 0)+1))&lt;100, IF(INDEX(ERP資料!$G:$G, (MATCH(437, 輔助計算!$G$2:$G$801, 0)+1))&lt;=31,3,IF(INDEX(ERP資料!$G:$G, (MATCH(437, 輔助計算!$G$2:$G$801, 0)+1))&lt;=46.5,2,1)), IF(INDEX(ERP資料!$G:$G, (MATCH(437, 輔助計算!$G$2:$G$801, 0)+1))&lt;=790,3,IF(INDEX(ERP資料!$G:$G, (MATCH(437, 輔助計算!$G$2:$G$801, 0)+1))&lt;=1181,2,1)))=2,TEXT(INDEX(ERP資料!$G:$G, (MATCH(437, 輔助計算!$G$2:$G$801, 0)+1)),"0.##")&amp;"+"&amp;TEXT(INDEX(ERP資料!$G:$G, (MATCH(437, 輔助計算!$G$2:$G$801, 0)+1)),"0.##"),TEXT(INDEX(ERP資料!$G:$G, (MATCH(437, 輔助計算!$G$2:$G$801, 0)+1)),"0.##")&amp;"+"&amp;TEXT(INDEX(ERP資料!$G:$G, (MATCH(437, 輔助計算!$G$2:$G$801, 0)+1)),"0.##")&amp;"+"&amp;TEXT(INDEX(ERP資料!$G:$G, (MATCH(437, 輔助計算!$G$2:$G$801, 0)+1)),"0.##")))&amp;"-"&amp;INT(INDEX(輔助計算!$D:$D, (MATCH(437, 輔助計算!$G$2:$G$801, 0)+1))/IF(INDEX(ERP資料!$G:$G, (MATCH(437, 輔助計算!$G$2:$G$801, 0)+1))&lt;100, IF(INDEX(ERP資料!$G:$G, (MATCH(437, 輔助計算!$G$2:$G$801, 0)+1))&lt;=31,3,IF(INDEX(ERP資料!$G:$G, (MATCH(437, 輔助計算!$G$2:$G$801, 0)+1))&lt;=46.5,2,1)), IF(INDEX(ERP資料!$G:$G, (MATCH(437, 輔助計算!$G$2:$G$801, 0)+1))&lt;=790,3,IF(INDEX(ERP資料!$G:$G, (MATCH(437, 輔助計算!$G$2:$G$801, 0)+1))&lt;=1181,2,1)))), "")&amp;IF(AND(IF(INT(INDEX(輔助計算!$D:$D, (MATCH(437, 輔助計算!$G$2:$G$801, 0)+1))/IF(INDEX(ERP資料!$G:$G, (MATCH(437, 輔助計算!$G$2:$G$801, 0)+1))&lt;100, IF(INDEX(ERP資料!$G:$G, (MATCH(437, 輔助計算!$G$2:$G$801, 0)+1))&lt;=31,3,IF(INDEX(ERP資料!$G:$G, (MATCH(437, 輔助計算!$G$2:$G$801, 0)+1))&lt;=46.5,2,1)), IF(INDEX(ERP資料!$G:$G, (MATCH(437, 輔助計算!$G$2:$G$801, 0)+1))&lt;=790,3,IF(INDEX(ERP資料!$G:$G, (MATCH(437, 輔助計算!$G$2:$G$801, 0)+1))&lt;=1181,2,1))))&gt;0, IF(IF(INDEX(ERP資料!$G:$G, (MATCH(437, 輔助計算!$G$2:$G$801, 0)+1))&lt;100, IF(INDEX(ERP資料!$G:$G, (MATCH(437, 輔助計算!$G$2:$G$801, 0)+1))&lt;=31,3,IF(INDEX(ERP資料!$G:$G, (MATCH(437, 輔助計算!$G$2:$G$801, 0)+1))&lt;=46.5,2,1)), IF(INDEX(ERP資料!$G:$G, (MATCH(437, 輔助計算!$G$2:$G$801, 0)+1))&lt;=790,3,IF(INDEX(ERP資料!$G:$G, (MATCH(437, 輔助計算!$G$2:$G$801, 0)+1))&lt;=1181,2,1)))=1,TEXT(INDEX(ERP資料!$G:$G, (MATCH(437, 輔助計算!$G$2:$G$801, 0)+1)),"0.##"),IF(IF(INDEX(ERP資料!$G:$G, (MATCH(437, 輔助計算!$G$2:$G$801, 0)+1))&lt;100, IF(INDEX(ERP資料!$G:$G, (MATCH(437, 輔助計算!$G$2:$G$801, 0)+1))&lt;=31,3,IF(INDEX(ERP資料!$G:$G, (MATCH(437, 輔助計算!$G$2:$G$801, 0)+1))&lt;=46.5,2,1)), IF(INDEX(ERP資料!$G:$G, (MATCH(437, 輔助計算!$G$2:$G$801, 0)+1))&lt;=790,3,IF(INDEX(ERP資料!$G:$G, (MATCH(437, 輔助計算!$G$2:$G$801, 0)+1))&lt;=1181,2,1)))=2,TEXT(INDEX(ERP資料!$G:$G, (MATCH(437, 輔助計算!$G$2:$G$801, 0)+1)),"0.##")&amp;"+"&amp;TEXT(INDEX(ERP資料!$G:$G, (MATCH(437, 輔助計算!$G$2:$G$801, 0)+1)),"0.##"),TEXT(INDEX(ERP資料!$G:$G, (MATCH(437, 輔助計算!$G$2:$G$801, 0)+1)),"0.##")&amp;"+"&amp;TEXT(INDEX(ERP資料!$G:$G, (MATCH(437, 輔助計算!$G$2:$G$801, 0)+1)),"0.##")&amp;"+"&amp;TEXT(INDEX(ERP資料!$G:$G, (MATCH(437, 輔助計算!$G$2:$G$801, 0)+1)),"0.##")))&amp;"-"&amp;INT(INDEX(輔助計算!$D:$D, (MATCH(437, 輔助計算!$G$2:$G$801, 0)+1))/IF(INDEX(ERP資料!$G:$G, (MATCH(437, 輔助計算!$G$2:$G$801, 0)+1))&lt;100, IF(INDEX(ERP資料!$G:$G, (MATCH(437, 輔助計算!$G$2:$G$801, 0)+1))&lt;=31,3,IF(INDEX(ERP資料!$G:$G, (MATCH(437, 輔助計算!$G$2:$G$801, 0)+1))&lt;=46.5,2,1)), IF(INDEX(ERP資料!$G:$G, (MATCH(437, 輔助計算!$G$2:$G$801, 0)+1))&lt;=790,3,IF(INDEX(ERP資料!$G:$G, (MATCH(437, 輔助計算!$G$2:$G$801, 0)+1))&lt;=1181,2,1)))), "")&lt;&gt;"",IF(MOD(INDEX(輔助計算!$D:$D, (MATCH(437, 輔助計算!$G$2:$G$801, 0)+1)),IF(INDEX(ERP資料!$G:$G, (MATCH(437, 輔助計算!$G$2:$G$801, 0)+1))&lt;100, IF(INDEX(ERP資料!$G:$G, (MATCH(437, 輔助計算!$G$2:$G$801, 0)+1))&lt;=31,3,IF(INDEX(ERP資料!$G:$G, (MATCH(437, 輔助計算!$G$2:$G$801, 0)+1))&lt;=46.5,2,1)), IF(INDEX(ERP資料!$G:$G, (MATCH(437, 輔助計算!$G$2:$G$801, 0)+1))&lt;=790,3,IF(INDEX(ERP資料!$G:$G, (MATCH(437, 輔助計算!$G$2:$G$801, 0)+1))&lt;=1181,2,1))))=0,"",IF(MOD(INDEX(輔助計算!$D:$D, (MATCH(437, 輔助計算!$G$2:$G$801, 0)+1)),IF(INDEX(ERP資料!$G:$G, (MATCH(437, 輔助計算!$G$2:$G$801, 0)+1))&lt;100, IF(INDEX(ERP資料!$G:$G, (MATCH(437, 輔助計算!$G$2:$G$801, 0)+1))&lt;=31,3,IF(INDEX(ERP資料!$G:$G, (MATCH(437, 輔助計算!$G$2:$G$801, 0)+1))&lt;=46.5,2,1)), IF(INDEX(ERP資料!$G:$G, (MATCH(437, 輔助計算!$G$2:$G$801, 0)+1))&lt;=790,3,IF(INDEX(ERP資料!$G:$G, (MATCH(437, 輔助計算!$G$2:$G$801, 0)+1))&lt;=1181,2,1))))=0,"",IF(MOD(INDEX(輔助計算!$D:$D, (MATCH(437, 輔助計算!$G$2:$G$801, 0)+1)),IF(INDEX(ERP資料!$G:$G, (MATCH(437, 輔助計算!$G$2:$G$801, 0)+1))&lt;100, IF(INDEX(ERP資料!$G:$G, (MATCH(437, 輔助計算!$G$2:$G$801, 0)+1))&lt;=31,3,IF(INDEX(ERP資料!$G:$G, (MATCH(437, 輔助計算!$G$2:$G$801, 0)+1))&lt;=46.5,2,1)), IF(INDEX(ERP資料!$G:$G, (MATCH(437, 輔助計算!$G$2:$G$801, 0)+1))&lt;=790,3,IF(INDEX(ERP資料!$G:$G, (MATCH(437, 輔助計算!$G$2:$G$801, 0)+1))&lt;=1181,2,1))))=1,TEXT(INDEX(ERP資料!$G:$G, (MATCH(437, 輔助計算!$G$2:$G$801, 0)+1)),"0.##"),IF(MOD(INDEX(輔助計算!$D:$D, (MATCH(437, 輔助計算!$G$2:$G$801, 0)+1)),IF(INDEX(ERP資料!$G:$G, (MATCH(437, 輔助計算!$G$2:$G$801, 0)+1))&lt;100, IF(INDEX(ERP資料!$G:$G, (MATCH(437, 輔助計算!$G$2:$G$801, 0)+1))&lt;=31,3,IF(INDEX(ERP資料!$G:$G, (MATCH(437, 輔助計算!$G$2:$G$801, 0)+1))&lt;=46.5,2,1)), IF(INDEX(ERP資料!$G:$G, (MATCH(437, 輔助計算!$G$2:$G$801, 0)+1))&lt;=790,3,IF(INDEX(ERP資料!$G:$G, (MATCH(437, 輔助計算!$G$2:$G$801, 0)+1))&lt;=1181,2,1))))=2,TEXT(INDEX(ERP資料!$G:$G, (MATCH(437, 輔助計算!$G$2:$G$801, 0)+1)),"0.##")&amp;"+"&amp;TEXT(INDEX(ERP資料!$G:$G, (MATCH(437, 輔助計算!$G$2:$G$801, 0)+1)),"0.##"),TEXT(INDEX(ERP資料!$G:$G, (MATCH(437, 輔助計算!$G$2:$G$801, 0)+1)),"0.##")&amp;"+"&amp;TEXT(INDEX(ERP資料!$G:$G, (MATCH(437, 輔助計算!$G$2:$G$801, 0)+1)),"0.##")&amp;"+"&amp;TEXT(INDEX(ERP資料!$G:$G, (MATCH(437, 輔助計算!$G$2:$G$801, 0)+1)),"0.##"))))&amp;"-1")&lt;&gt;""),"  ","")&amp;IF(MOD(INDEX(輔助計算!$D:$D, (MATCH(437, 輔助計算!$G$2:$G$801, 0)+1)),IF(INDEX(ERP資料!$G:$G, (MATCH(437, 輔助計算!$G$2:$G$801, 0)+1))&lt;100, IF(INDEX(ERP資料!$G:$G, (MATCH(437, 輔助計算!$G$2:$G$801, 0)+1))&lt;=31,3,IF(INDEX(ERP資料!$G:$G, (MATCH(437, 輔助計算!$G$2:$G$801, 0)+1))&lt;=46.5,2,1)), IF(INDEX(ERP資料!$G:$G, (MATCH(437, 輔助計算!$G$2:$G$801, 0)+1))&lt;=790,3,IF(INDEX(ERP資料!$G:$G, (MATCH(437, 輔助計算!$G$2:$G$801, 0)+1))&lt;=1181,2,1))))=0,"",IF(MOD(INDEX(輔助計算!$D:$D, (MATCH(437, 輔助計算!$G$2:$G$801, 0)+1)),IF(INDEX(ERP資料!$G:$G, (MATCH(437, 輔助計算!$G$2:$G$801, 0)+1))&lt;100, IF(INDEX(ERP資料!$G:$G, (MATCH(437, 輔助計算!$G$2:$G$801, 0)+1))&lt;=31,3,IF(INDEX(ERP資料!$G:$G, (MATCH(437, 輔助計算!$G$2:$G$801, 0)+1))&lt;=46.5,2,1)), IF(INDEX(ERP資料!$G:$G, (MATCH(437, 輔助計算!$G$2:$G$801, 0)+1))&lt;=790,3,IF(INDEX(ERP資料!$G:$G, (MATCH(437, 輔助計算!$G$2:$G$801, 0)+1))&lt;=1181,2,1))))=0,"",IF(MOD(INDEX(輔助計算!$D:$D, (MATCH(437, 輔助計算!$G$2:$G$801, 0)+1)),IF(INDEX(ERP資料!$G:$G, (MATCH(437, 輔助計算!$G$2:$G$801, 0)+1))&lt;100, IF(INDEX(ERP資料!$G:$G, (MATCH(437, 輔助計算!$G$2:$G$801, 0)+1))&lt;=31,3,IF(INDEX(ERP資料!$G:$G, (MATCH(437, 輔助計算!$G$2:$G$801, 0)+1))&lt;=46.5,2,1)), IF(INDEX(ERP資料!$G:$G, (MATCH(437, 輔助計算!$G$2:$G$801, 0)+1))&lt;=790,3,IF(INDEX(ERP資料!$G:$G, (MATCH(437, 輔助計算!$G$2:$G$801, 0)+1))&lt;=1181,2,1))))=1,TEXT(INDEX(ERP資料!$G:$G, (MATCH(437, 輔助計算!$G$2:$G$801, 0)+1)),"0.##"),IF(MOD(INDEX(輔助計算!$D:$D, (MATCH(437, 輔助計算!$G$2:$G$801, 0)+1)),IF(INDEX(ERP資料!$G:$G, (MATCH(437, 輔助計算!$G$2:$G$801, 0)+1))&lt;100, IF(INDEX(ERP資料!$G:$G, (MATCH(437, 輔助計算!$G$2:$G$801, 0)+1))&lt;=31,3,IF(INDEX(ERP資料!$G:$G, (MATCH(437, 輔助計算!$G$2:$G$801, 0)+1))&lt;=46.5,2,1)), IF(INDEX(ERP資料!$G:$G, (MATCH(437, 輔助計算!$G$2:$G$801, 0)+1))&lt;=790,3,IF(INDEX(ERP資料!$G:$G, (MATCH(437, 輔助計算!$G$2:$G$801, 0)+1))&lt;=1181,2,1))))=2,TEXT(INDEX(ERP資料!$G:$G, (MATCH(437, 輔助計算!$G$2:$G$801, 0)+1)),"0.##")&amp;"+"&amp;TEXT(INDEX(ERP資料!$G:$G, (MATCH(437, 輔助計算!$G$2:$G$801, 0)+1)),"0.##"),TEXT(INDEX(ERP資料!$G:$G, (MATCH(437, 輔助計算!$G$2:$G$801, 0)+1)),"0.##")&amp;"+"&amp;TEXT(INDEX(ERP資料!$G:$G, (MATCH(437, 輔助計算!$G$2:$G$801, 0)+1)),"0.##")&amp;"+"&amp;TEXT(INDEX(ERP資料!$G:$G, (MATCH(437, 輔助計算!$G$2:$G$801, 0)+1)),"0.##"))))&amp;"-1")), ""), "")</f>
        <v/>
      </c>
      <c r="K438" s="16" t="n"/>
      <c r="L438" s="14">
        <f>IFERROR(IF(AND(IFERROR(INDEX(ERP資料!$A:$A, (MATCH(437, 輔助計算!$G$2:$G$801, 0)+1)), "")&lt;&gt;"", IFERROR(INDEX(ERP資料!$A:$A, (MATCH(437, 輔助計算!$G$2:$G$801, 0)+1)), "")&lt;&gt;IFERROR(INDEX(ERP資料!$A:$A, MATCH(436, 輔助計算!$G$2:$G$801, 0)+1), "")), INDEX(ERP資料!$B:$B, (MATCH(437, 輔助計算!$G$2:$G$801, 0)+1)), ""), "")</f>
        <v/>
      </c>
      <c r="M438" s="17" t="n"/>
    </row>
    <row r="439">
      <c r="A439" s="10">
        <f>IFERROR(IF(AND(IFERROR(INDEX(ERP資料!$A:$A, (MATCH(438, 輔助計算!$G$2:$G$801, 0)+1)), "")&lt;&gt;"", IFERROR(INDEX(ERP資料!$A:$A, (MATCH(438, 輔助計算!$G$2:$G$801, 0)+1)), "")&lt;&gt;IFERROR(INDEX(ERP資料!$A:$A, MATCH(437, 輔助計算!$G$2:$G$801, 0)+1), "")), IFERROR(INDEX(ERP資料!$A:$A, (MATCH(438, 輔助計算!$G$2:$G$801, 0)+1)), ""), ""), "")</f>
        <v/>
      </c>
      <c r="B439" s="10">
        <f>IFERROR(IF(AND(IFERROR(INDEX(ERP資料!$A:$A, (MATCH(438, 輔助計算!$G$2:$G$801, 0)+1)), "")&lt;&gt;"", IFERROR(INDEX(ERP資料!$A:$A, (MATCH(438, 輔助計算!$G$2:$G$801, 0)+1)), "")&lt;&gt;IFERROR(INDEX(ERP資料!$A:$A, MATCH(437, 輔助計算!$G$2:$G$801, 0)+1), "")), INDEX(ERP資料!$S:$S, (MATCH(438, 輔助計算!$G$2:$G$801, 0)+1)), ""), "")</f>
        <v/>
      </c>
      <c r="C439" s="19">
        <f>IFERROR(IF(AND(IFERROR(INDEX(ERP資料!$A:$A, (MATCH(438, 輔助計算!$G$2:$G$801, 0)+1)), "")&lt;&gt;"", IFERROR(INDEX(ERP資料!$A:$A, (MATCH(438, 輔助計算!$G$2:$G$801, 0)+1)), "")&lt;&gt;IFERROR(INDEX(ERP資料!$A:$A, MATCH(437, 輔助計算!$G$2:$G$801, 0)+1), "")), IFERROR(VLOOKUP(LEFT(INDEX(ERP資料!$S:$S, (MATCH(438, 輔助計算!$G$2:$G$801, 0)+1)), 4), 紙管對照表!$A:$C, 3, FALSE), ""), ""), "")</f>
        <v/>
      </c>
      <c r="D439" s="16" t="n"/>
      <c r="E439" s="10">
        <f>IFERROR(IF(INDEX(ERP資料!$H:$H, (MATCH(438, 輔助計算!$G$2:$G$801, 0)+1))="","",INDEX(ERP資料!$H:$H, (MATCH(438, 輔助計算!$G$2:$G$801, 0)+1))), "")</f>
        <v/>
      </c>
      <c r="F439" s="10">
        <f>IFERROR(IF(INDEX(ERP資料!$E:$E, (MATCH(438, 輔助計算!$G$2:$G$801, 0)+1))="","",TRIM(INDEX(ERP資料!$E:$E, (MATCH(438, 輔助計算!$G$2:$G$801, 0)+1)))), "")</f>
        <v/>
      </c>
      <c r="G439" s="10">
        <f>IFERROR(IF(INDEX(ERP資料!$F:$F, (MATCH(438, 輔助計算!$G$2:$G$801, 0)+1))="","",INDEX(ERP資料!$F:$F, (MATCH(438, 輔助計算!$G$2:$G$801, 0)+1))), "")</f>
        <v/>
      </c>
      <c r="H439" s="10">
        <f>IFERROR(IF(INDEX(ERP資料!$G:$G, (MATCH(438, 輔助計算!$G$2:$G$801, 0)+1))="","",INDEX(ERP資料!$G:$G, (MATCH(438, 輔助計算!$G$2:$G$801, 0)+1))), "")</f>
        <v/>
      </c>
      <c r="I439" s="15">
        <f>IFERROR(INDEX(輔助計算!$D:$D, (MATCH(438, 輔助計算!$G$2:$G$801, 0)+1)), "")</f>
        <v/>
      </c>
      <c r="J439" s="15">
        <f>IFERROR(IF(AND(INDEX(輔助計算!$D:$D, (MATCH(438, 輔助計算!$G$2:$G$801, 0)+1))&lt;&gt;"", INDEX(ERP資料!$G:$G, (MATCH(438, 輔助計算!$G$2:$G$801, 0)+1))&lt;&gt;""), TRIM(IF(INT(INDEX(輔助計算!$D:$D, (MATCH(438, 輔助計算!$G$2:$G$801, 0)+1))/IF(INDEX(ERP資料!$G:$G, (MATCH(438, 輔助計算!$G$2:$G$801, 0)+1))&lt;100, IF(INDEX(ERP資料!$G:$G, (MATCH(438, 輔助計算!$G$2:$G$801, 0)+1))&lt;=31,3,IF(INDEX(ERP資料!$G:$G, (MATCH(438, 輔助計算!$G$2:$G$801, 0)+1))&lt;=46.5,2,1)), IF(INDEX(ERP資料!$G:$G, (MATCH(438, 輔助計算!$G$2:$G$801, 0)+1))&lt;=790,3,IF(INDEX(ERP資料!$G:$G, (MATCH(438, 輔助計算!$G$2:$G$801, 0)+1))&lt;=1181,2,1))))&gt;0, IF(IF(INDEX(ERP資料!$G:$G, (MATCH(438, 輔助計算!$G$2:$G$801, 0)+1))&lt;100, IF(INDEX(ERP資料!$G:$G, (MATCH(438, 輔助計算!$G$2:$G$801, 0)+1))&lt;=31,3,IF(INDEX(ERP資料!$G:$G, (MATCH(438, 輔助計算!$G$2:$G$801, 0)+1))&lt;=46.5,2,1)), IF(INDEX(ERP資料!$G:$G, (MATCH(438, 輔助計算!$G$2:$G$801, 0)+1))&lt;=790,3,IF(INDEX(ERP資料!$G:$G, (MATCH(438, 輔助計算!$G$2:$G$801, 0)+1))&lt;=1181,2,1)))=1,TEXT(INDEX(ERP資料!$G:$G, (MATCH(438, 輔助計算!$G$2:$G$801, 0)+1)),"0.##"),IF(IF(INDEX(ERP資料!$G:$G, (MATCH(438, 輔助計算!$G$2:$G$801, 0)+1))&lt;100, IF(INDEX(ERP資料!$G:$G, (MATCH(438, 輔助計算!$G$2:$G$801, 0)+1))&lt;=31,3,IF(INDEX(ERP資料!$G:$G, (MATCH(438, 輔助計算!$G$2:$G$801, 0)+1))&lt;=46.5,2,1)), IF(INDEX(ERP資料!$G:$G, (MATCH(438, 輔助計算!$G$2:$G$801, 0)+1))&lt;=790,3,IF(INDEX(ERP資料!$G:$G, (MATCH(438, 輔助計算!$G$2:$G$801, 0)+1))&lt;=1181,2,1)))=2,TEXT(INDEX(ERP資料!$G:$G, (MATCH(438, 輔助計算!$G$2:$G$801, 0)+1)),"0.##")&amp;"+"&amp;TEXT(INDEX(ERP資料!$G:$G, (MATCH(438, 輔助計算!$G$2:$G$801, 0)+1)),"0.##"),TEXT(INDEX(ERP資料!$G:$G, (MATCH(438, 輔助計算!$G$2:$G$801, 0)+1)),"0.##")&amp;"+"&amp;TEXT(INDEX(ERP資料!$G:$G, (MATCH(438, 輔助計算!$G$2:$G$801, 0)+1)),"0.##")&amp;"+"&amp;TEXT(INDEX(ERP資料!$G:$G, (MATCH(438, 輔助計算!$G$2:$G$801, 0)+1)),"0.##")))&amp;"-"&amp;INT(INDEX(輔助計算!$D:$D, (MATCH(438, 輔助計算!$G$2:$G$801, 0)+1))/IF(INDEX(ERP資料!$G:$G, (MATCH(438, 輔助計算!$G$2:$G$801, 0)+1))&lt;100, IF(INDEX(ERP資料!$G:$G, (MATCH(438, 輔助計算!$G$2:$G$801, 0)+1))&lt;=31,3,IF(INDEX(ERP資料!$G:$G, (MATCH(438, 輔助計算!$G$2:$G$801, 0)+1))&lt;=46.5,2,1)), IF(INDEX(ERP資料!$G:$G, (MATCH(438, 輔助計算!$G$2:$G$801, 0)+1))&lt;=790,3,IF(INDEX(ERP資料!$G:$G, (MATCH(438, 輔助計算!$G$2:$G$801, 0)+1))&lt;=1181,2,1)))), "")&amp;IF(AND(IF(INT(INDEX(輔助計算!$D:$D, (MATCH(438, 輔助計算!$G$2:$G$801, 0)+1))/IF(INDEX(ERP資料!$G:$G, (MATCH(438, 輔助計算!$G$2:$G$801, 0)+1))&lt;100, IF(INDEX(ERP資料!$G:$G, (MATCH(438, 輔助計算!$G$2:$G$801, 0)+1))&lt;=31,3,IF(INDEX(ERP資料!$G:$G, (MATCH(438, 輔助計算!$G$2:$G$801, 0)+1))&lt;=46.5,2,1)), IF(INDEX(ERP資料!$G:$G, (MATCH(438, 輔助計算!$G$2:$G$801, 0)+1))&lt;=790,3,IF(INDEX(ERP資料!$G:$G, (MATCH(438, 輔助計算!$G$2:$G$801, 0)+1))&lt;=1181,2,1))))&gt;0, IF(IF(INDEX(ERP資料!$G:$G, (MATCH(438, 輔助計算!$G$2:$G$801, 0)+1))&lt;100, IF(INDEX(ERP資料!$G:$G, (MATCH(438, 輔助計算!$G$2:$G$801, 0)+1))&lt;=31,3,IF(INDEX(ERP資料!$G:$G, (MATCH(438, 輔助計算!$G$2:$G$801, 0)+1))&lt;=46.5,2,1)), IF(INDEX(ERP資料!$G:$G, (MATCH(438, 輔助計算!$G$2:$G$801, 0)+1))&lt;=790,3,IF(INDEX(ERP資料!$G:$G, (MATCH(438, 輔助計算!$G$2:$G$801, 0)+1))&lt;=1181,2,1)))=1,TEXT(INDEX(ERP資料!$G:$G, (MATCH(438, 輔助計算!$G$2:$G$801, 0)+1)),"0.##"),IF(IF(INDEX(ERP資料!$G:$G, (MATCH(438, 輔助計算!$G$2:$G$801, 0)+1))&lt;100, IF(INDEX(ERP資料!$G:$G, (MATCH(438, 輔助計算!$G$2:$G$801, 0)+1))&lt;=31,3,IF(INDEX(ERP資料!$G:$G, (MATCH(438, 輔助計算!$G$2:$G$801, 0)+1))&lt;=46.5,2,1)), IF(INDEX(ERP資料!$G:$G, (MATCH(438, 輔助計算!$G$2:$G$801, 0)+1))&lt;=790,3,IF(INDEX(ERP資料!$G:$G, (MATCH(438, 輔助計算!$G$2:$G$801, 0)+1))&lt;=1181,2,1)))=2,TEXT(INDEX(ERP資料!$G:$G, (MATCH(438, 輔助計算!$G$2:$G$801, 0)+1)),"0.##")&amp;"+"&amp;TEXT(INDEX(ERP資料!$G:$G, (MATCH(438, 輔助計算!$G$2:$G$801, 0)+1)),"0.##"),TEXT(INDEX(ERP資料!$G:$G, (MATCH(438, 輔助計算!$G$2:$G$801, 0)+1)),"0.##")&amp;"+"&amp;TEXT(INDEX(ERP資料!$G:$G, (MATCH(438, 輔助計算!$G$2:$G$801, 0)+1)),"0.##")&amp;"+"&amp;TEXT(INDEX(ERP資料!$G:$G, (MATCH(438, 輔助計算!$G$2:$G$801, 0)+1)),"0.##")))&amp;"-"&amp;INT(INDEX(輔助計算!$D:$D, (MATCH(438, 輔助計算!$G$2:$G$801, 0)+1))/IF(INDEX(ERP資料!$G:$G, (MATCH(438, 輔助計算!$G$2:$G$801, 0)+1))&lt;100, IF(INDEX(ERP資料!$G:$G, (MATCH(438, 輔助計算!$G$2:$G$801, 0)+1))&lt;=31,3,IF(INDEX(ERP資料!$G:$G, (MATCH(438, 輔助計算!$G$2:$G$801, 0)+1))&lt;=46.5,2,1)), IF(INDEX(ERP資料!$G:$G, (MATCH(438, 輔助計算!$G$2:$G$801, 0)+1))&lt;=790,3,IF(INDEX(ERP資料!$G:$G, (MATCH(438, 輔助計算!$G$2:$G$801, 0)+1))&lt;=1181,2,1)))), "")&lt;&gt;"",IF(MOD(INDEX(輔助計算!$D:$D, (MATCH(438, 輔助計算!$G$2:$G$801, 0)+1)),IF(INDEX(ERP資料!$G:$G, (MATCH(438, 輔助計算!$G$2:$G$801, 0)+1))&lt;100, IF(INDEX(ERP資料!$G:$G, (MATCH(438, 輔助計算!$G$2:$G$801, 0)+1))&lt;=31,3,IF(INDEX(ERP資料!$G:$G, (MATCH(438, 輔助計算!$G$2:$G$801, 0)+1))&lt;=46.5,2,1)), IF(INDEX(ERP資料!$G:$G, (MATCH(438, 輔助計算!$G$2:$G$801, 0)+1))&lt;=790,3,IF(INDEX(ERP資料!$G:$G, (MATCH(438, 輔助計算!$G$2:$G$801, 0)+1))&lt;=1181,2,1))))=0,"",IF(MOD(INDEX(輔助計算!$D:$D, (MATCH(438, 輔助計算!$G$2:$G$801, 0)+1)),IF(INDEX(ERP資料!$G:$G, (MATCH(438, 輔助計算!$G$2:$G$801, 0)+1))&lt;100, IF(INDEX(ERP資料!$G:$G, (MATCH(438, 輔助計算!$G$2:$G$801, 0)+1))&lt;=31,3,IF(INDEX(ERP資料!$G:$G, (MATCH(438, 輔助計算!$G$2:$G$801, 0)+1))&lt;=46.5,2,1)), IF(INDEX(ERP資料!$G:$G, (MATCH(438, 輔助計算!$G$2:$G$801, 0)+1))&lt;=790,3,IF(INDEX(ERP資料!$G:$G, (MATCH(438, 輔助計算!$G$2:$G$801, 0)+1))&lt;=1181,2,1))))=0,"",IF(MOD(INDEX(輔助計算!$D:$D, (MATCH(438, 輔助計算!$G$2:$G$801, 0)+1)),IF(INDEX(ERP資料!$G:$G, (MATCH(438, 輔助計算!$G$2:$G$801, 0)+1))&lt;100, IF(INDEX(ERP資料!$G:$G, (MATCH(438, 輔助計算!$G$2:$G$801, 0)+1))&lt;=31,3,IF(INDEX(ERP資料!$G:$G, (MATCH(438, 輔助計算!$G$2:$G$801, 0)+1))&lt;=46.5,2,1)), IF(INDEX(ERP資料!$G:$G, (MATCH(438, 輔助計算!$G$2:$G$801, 0)+1))&lt;=790,3,IF(INDEX(ERP資料!$G:$G, (MATCH(438, 輔助計算!$G$2:$G$801, 0)+1))&lt;=1181,2,1))))=1,TEXT(INDEX(ERP資料!$G:$G, (MATCH(438, 輔助計算!$G$2:$G$801, 0)+1)),"0.##"),IF(MOD(INDEX(輔助計算!$D:$D, (MATCH(438, 輔助計算!$G$2:$G$801, 0)+1)),IF(INDEX(ERP資料!$G:$G, (MATCH(438, 輔助計算!$G$2:$G$801, 0)+1))&lt;100, IF(INDEX(ERP資料!$G:$G, (MATCH(438, 輔助計算!$G$2:$G$801, 0)+1))&lt;=31,3,IF(INDEX(ERP資料!$G:$G, (MATCH(438, 輔助計算!$G$2:$G$801, 0)+1))&lt;=46.5,2,1)), IF(INDEX(ERP資料!$G:$G, (MATCH(438, 輔助計算!$G$2:$G$801, 0)+1))&lt;=790,3,IF(INDEX(ERP資料!$G:$G, (MATCH(438, 輔助計算!$G$2:$G$801, 0)+1))&lt;=1181,2,1))))=2,TEXT(INDEX(ERP資料!$G:$G, (MATCH(438, 輔助計算!$G$2:$G$801, 0)+1)),"0.##")&amp;"+"&amp;TEXT(INDEX(ERP資料!$G:$G, (MATCH(438, 輔助計算!$G$2:$G$801, 0)+1)),"0.##"),TEXT(INDEX(ERP資料!$G:$G, (MATCH(438, 輔助計算!$G$2:$G$801, 0)+1)),"0.##")&amp;"+"&amp;TEXT(INDEX(ERP資料!$G:$G, (MATCH(438, 輔助計算!$G$2:$G$801, 0)+1)),"0.##")&amp;"+"&amp;TEXT(INDEX(ERP資料!$G:$G, (MATCH(438, 輔助計算!$G$2:$G$801, 0)+1)),"0.##"))))&amp;"-1")&lt;&gt;""),"  ","")&amp;IF(MOD(INDEX(輔助計算!$D:$D, (MATCH(438, 輔助計算!$G$2:$G$801, 0)+1)),IF(INDEX(ERP資料!$G:$G, (MATCH(438, 輔助計算!$G$2:$G$801, 0)+1))&lt;100, IF(INDEX(ERP資料!$G:$G, (MATCH(438, 輔助計算!$G$2:$G$801, 0)+1))&lt;=31,3,IF(INDEX(ERP資料!$G:$G, (MATCH(438, 輔助計算!$G$2:$G$801, 0)+1))&lt;=46.5,2,1)), IF(INDEX(ERP資料!$G:$G, (MATCH(438, 輔助計算!$G$2:$G$801, 0)+1))&lt;=790,3,IF(INDEX(ERP資料!$G:$G, (MATCH(438, 輔助計算!$G$2:$G$801, 0)+1))&lt;=1181,2,1))))=0,"",IF(MOD(INDEX(輔助計算!$D:$D, (MATCH(438, 輔助計算!$G$2:$G$801, 0)+1)),IF(INDEX(ERP資料!$G:$G, (MATCH(438, 輔助計算!$G$2:$G$801, 0)+1))&lt;100, IF(INDEX(ERP資料!$G:$G, (MATCH(438, 輔助計算!$G$2:$G$801, 0)+1))&lt;=31,3,IF(INDEX(ERP資料!$G:$G, (MATCH(438, 輔助計算!$G$2:$G$801, 0)+1))&lt;=46.5,2,1)), IF(INDEX(ERP資料!$G:$G, (MATCH(438, 輔助計算!$G$2:$G$801, 0)+1))&lt;=790,3,IF(INDEX(ERP資料!$G:$G, (MATCH(438, 輔助計算!$G$2:$G$801, 0)+1))&lt;=1181,2,1))))=0,"",IF(MOD(INDEX(輔助計算!$D:$D, (MATCH(438, 輔助計算!$G$2:$G$801, 0)+1)),IF(INDEX(ERP資料!$G:$G, (MATCH(438, 輔助計算!$G$2:$G$801, 0)+1))&lt;100, IF(INDEX(ERP資料!$G:$G, (MATCH(438, 輔助計算!$G$2:$G$801, 0)+1))&lt;=31,3,IF(INDEX(ERP資料!$G:$G, (MATCH(438, 輔助計算!$G$2:$G$801, 0)+1))&lt;=46.5,2,1)), IF(INDEX(ERP資料!$G:$G, (MATCH(438, 輔助計算!$G$2:$G$801, 0)+1))&lt;=790,3,IF(INDEX(ERP資料!$G:$G, (MATCH(438, 輔助計算!$G$2:$G$801, 0)+1))&lt;=1181,2,1))))=1,TEXT(INDEX(ERP資料!$G:$G, (MATCH(438, 輔助計算!$G$2:$G$801, 0)+1)),"0.##"),IF(MOD(INDEX(輔助計算!$D:$D, (MATCH(438, 輔助計算!$G$2:$G$801, 0)+1)),IF(INDEX(ERP資料!$G:$G, (MATCH(438, 輔助計算!$G$2:$G$801, 0)+1))&lt;100, IF(INDEX(ERP資料!$G:$G, (MATCH(438, 輔助計算!$G$2:$G$801, 0)+1))&lt;=31,3,IF(INDEX(ERP資料!$G:$G, (MATCH(438, 輔助計算!$G$2:$G$801, 0)+1))&lt;=46.5,2,1)), IF(INDEX(ERP資料!$G:$G, (MATCH(438, 輔助計算!$G$2:$G$801, 0)+1))&lt;=790,3,IF(INDEX(ERP資料!$G:$G, (MATCH(438, 輔助計算!$G$2:$G$801, 0)+1))&lt;=1181,2,1))))=2,TEXT(INDEX(ERP資料!$G:$G, (MATCH(438, 輔助計算!$G$2:$G$801, 0)+1)),"0.##")&amp;"+"&amp;TEXT(INDEX(ERP資料!$G:$G, (MATCH(438, 輔助計算!$G$2:$G$801, 0)+1)),"0.##"),TEXT(INDEX(ERP資料!$G:$G, (MATCH(438, 輔助計算!$G$2:$G$801, 0)+1)),"0.##")&amp;"+"&amp;TEXT(INDEX(ERP資料!$G:$G, (MATCH(438, 輔助計算!$G$2:$G$801, 0)+1)),"0.##")&amp;"+"&amp;TEXT(INDEX(ERP資料!$G:$G, (MATCH(438, 輔助計算!$G$2:$G$801, 0)+1)),"0.##"))))&amp;"-1")), ""), "")</f>
        <v/>
      </c>
      <c r="K439" s="16" t="n"/>
      <c r="L439" s="14">
        <f>IFERROR(IF(AND(IFERROR(INDEX(ERP資料!$A:$A, (MATCH(438, 輔助計算!$G$2:$G$801, 0)+1)), "")&lt;&gt;"", IFERROR(INDEX(ERP資料!$A:$A, (MATCH(438, 輔助計算!$G$2:$G$801, 0)+1)), "")&lt;&gt;IFERROR(INDEX(ERP資料!$A:$A, MATCH(437, 輔助計算!$G$2:$G$801, 0)+1), "")), INDEX(ERP資料!$B:$B, (MATCH(438, 輔助計算!$G$2:$G$801, 0)+1)), ""), "")</f>
        <v/>
      </c>
      <c r="M439" s="17" t="n"/>
    </row>
    <row r="440">
      <c r="A440" s="10">
        <f>IFERROR(IF(AND(IFERROR(INDEX(ERP資料!$A:$A, (MATCH(439, 輔助計算!$G$2:$G$801, 0)+1)), "")&lt;&gt;"", IFERROR(INDEX(ERP資料!$A:$A, (MATCH(439, 輔助計算!$G$2:$G$801, 0)+1)), "")&lt;&gt;IFERROR(INDEX(ERP資料!$A:$A, MATCH(438, 輔助計算!$G$2:$G$801, 0)+1), "")), IFERROR(INDEX(ERP資料!$A:$A, (MATCH(439, 輔助計算!$G$2:$G$801, 0)+1)), ""), ""), "")</f>
        <v/>
      </c>
      <c r="B440" s="10">
        <f>IFERROR(IF(AND(IFERROR(INDEX(ERP資料!$A:$A, (MATCH(439, 輔助計算!$G$2:$G$801, 0)+1)), "")&lt;&gt;"", IFERROR(INDEX(ERP資料!$A:$A, (MATCH(439, 輔助計算!$G$2:$G$801, 0)+1)), "")&lt;&gt;IFERROR(INDEX(ERP資料!$A:$A, MATCH(438, 輔助計算!$G$2:$G$801, 0)+1), "")), INDEX(ERP資料!$S:$S, (MATCH(439, 輔助計算!$G$2:$G$801, 0)+1)), ""), "")</f>
        <v/>
      </c>
      <c r="C440" s="19">
        <f>IFERROR(IF(AND(IFERROR(INDEX(ERP資料!$A:$A, (MATCH(439, 輔助計算!$G$2:$G$801, 0)+1)), "")&lt;&gt;"", IFERROR(INDEX(ERP資料!$A:$A, (MATCH(439, 輔助計算!$G$2:$G$801, 0)+1)), "")&lt;&gt;IFERROR(INDEX(ERP資料!$A:$A, MATCH(438, 輔助計算!$G$2:$G$801, 0)+1), "")), IFERROR(VLOOKUP(LEFT(INDEX(ERP資料!$S:$S, (MATCH(439, 輔助計算!$G$2:$G$801, 0)+1)), 4), 紙管對照表!$A:$C, 3, FALSE), ""), ""), "")</f>
        <v/>
      </c>
      <c r="D440" s="16" t="n"/>
      <c r="E440" s="10">
        <f>IFERROR(IF(INDEX(ERP資料!$H:$H, (MATCH(439, 輔助計算!$G$2:$G$801, 0)+1))="","",INDEX(ERP資料!$H:$H, (MATCH(439, 輔助計算!$G$2:$G$801, 0)+1))), "")</f>
        <v/>
      </c>
      <c r="F440" s="10">
        <f>IFERROR(IF(INDEX(ERP資料!$E:$E, (MATCH(439, 輔助計算!$G$2:$G$801, 0)+1))="","",TRIM(INDEX(ERP資料!$E:$E, (MATCH(439, 輔助計算!$G$2:$G$801, 0)+1)))), "")</f>
        <v/>
      </c>
      <c r="G440" s="10">
        <f>IFERROR(IF(INDEX(ERP資料!$F:$F, (MATCH(439, 輔助計算!$G$2:$G$801, 0)+1))="","",INDEX(ERP資料!$F:$F, (MATCH(439, 輔助計算!$G$2:$G$801, 0)+1))), "")</f>
        <v/>
      </c>
      <c r="H440" s="10">
        <f>IFERROR(IF(INDEX(ERP資料!$G:$G, (MATCH(439, 輔助計算!$G$2:$G$801, 0)+1))="","",INDEX(ERP資料!$G:$G, (MATCH(439, 輔助計算!$G$2:$G$801, 0)+1))), "")</f>
        <v/>
      </c>
      <c r="I440" s="15">
        <f>IFERROR(INDEX(輔助計算!$D:$D, (MATCH(439, 輔助計算!$G$2:$G$801, 0)+1)), "")</f>
        <v/>
      </c>
      <c r="J440" s="15">
        <f>IFERROR(IF(AND(INDEX(輔助計算!$D:$D, (MATCH(439, 輔助計算!$G$2:$G$801, 0)+1))&lt;&gt;"", INDEX(ERP資料!$G:$G, (MATCH(439, 輔助計算!$G$2:$G$801, 0)+1))&lt;&gt;""), TRIM(IF(INT(INDEX(輔助計算!$D:$D, (MATCH(439, 輔助計算!$G$2:$G$801, 0)+1))/IF(INDEX(ERP資料!$G:$G, (MATCH(439, 輔助計算!$G$2:$G$801, 0)+1))&lt;100, IF(INDEX(ERP資料!$G:$G, (MATCH(439, 輔助計算!$G$2:$G$801, 0)+1))&lt;=31,3,IF(INDEX(ERP資料!$G:$G, (MATCH(439, 輔助計算!$G$2:$G$801, 0)+1))&lt;=46.5,2,1)), IF(INDEX(ERP資料!$G:$G, (MATCH(439, 輔助計算!$G$2:$G$801, 0)+1))&lt;=790,3,IF(INDEX(ERP資料!$G:$G, (MATCH(439, 輔助計算!$G$2:$G$801, 0)+1))&lt;=1181,2,1))))&gt;0, IF(IF(INDEX(ERP資料!$G:$G, (MATCH(439, 輔助計算!$G$2:$G$801, 0)+1))&lt;100, IF(INDEX(ERP資料!$G:$G, (MATCH(439, 輔助計算!$G$2:$G$801, 0)+1))&lt;=31,3,IF(INDEX(ERP資料!$G:$G, (MATCH(439, 輔助計算!$G$2:$G$801, 0)+1))&lt;=46.5,2,1)), IF(INDEX(ERP資料!$G:$G, (MATCH(439, 輔助計算!$G$2:$G$801, 0)+1))&lt;=790,3,IF(INDEX(ERP資料!$G:$G, (MATCH(439, 輔助計算!$G$2:$G$801, 0)+1))&lt;=1181,2,1)))=1,TEXT(INDEX(ERP資料!$G:$G, (MATCH(439, 輔助計算!$G$2:$G$801, 0)+1)),"0.##"),IF(IF(INDEX(ERP資料!$G:$G, (MATCH(439, 輔助計算!$G$2:$G$801, 0)+1))&lt;100, IF(INDEX(ERP資料!$G:$G, (MATCH(439, 輔助計算!$G$2:$G$801, 0)+1))&lt;=31,3,IF(INDEX(ERP資料!$G:$G, (MATCH(439, 輔助計算!$G$2:$G$801, 0)+1))&lt;=46.5,2,1)), IF(INDEX(ERP資料!$G:$G, (MATCH(439, 輔助計算!$G$2:$G$801, 0)+1))&lt;=790,3,IF(INDEX(ERP資料!$G:$G, (MATCH(439, 輔助計算!$G$2:$G$801, 0)+1))&lt;=1181,2,1)))=2,TEXT(INDEX(ERP資料!$G:$G, (MATCH(439, 輔助計算!$G$2:$G$801, 0)+1)),"0.##")&amp;"+"&amp;TEXT(INDEX(ERP資料!$G:$G, (MATCH(439, 輔助計算!$G$2:$G$801, 0)+1)),"0.##"),TEXT(INDEX(ERP資料!$G:$G, (MATCH(439, 輔助計算!$G$2:$G$801, 0)+1)),"0.##")&amp;"+"&amp;TEXT(INDEX(ERP資料!$G:$G, (MATCH(439, 輔助計算!$G$2:$G$801, 0)+1)),"0.##")&amp;"+"&amp;TEXT(INDEX(ERP資料!$G:$G, (MATCH(439, 輔助計算!$G$2:$G$801, 0)+1)),"0.##")))&amp;"-"&amp;INT(INDEX(輔助計算!$D:$D, (MATCH(439, 輔助計算!$G$2:$G$801, 0)+1))/IF(INDEX(ERP資料!$G:$G, (MATCH(439, 輔助計算!$G$2:$G$801, 0)+1))&lt;100, IF(INDEX(ERP資料!$G:$G, (MATCH(439, 輔助計算!$G$2:$G$801, 0)+1))&lt;=31,3,IF(INDEX(ERP資料!$G:$G, (MATCH(439, 輔助計算!$G$2:$G$801, 0)+1))&lt;=46.5,2,1)), IF(INDEX(ERP資料!$G:$G, (MATCH(439, 輔助計算!$G$2:$G$801, 0)+1))&lt;=790,3,IF(INDEX(ERP資料!$G:$G, (MATCH(439, 輔助計算!$G$2:$G$801, 0)+1))&lt;=1181,2,1)))), "")&amp;IF(AND(IF(INT(INDEX(輔助計算!$D:$D, (MATCH(439, 輔助計算!$G$2:$G$801, 0)+1))/IF(INDEX(ERP資料!$G:$G, (MATCH(439, 輔助計算!$G$2:$G$801, 0)+1))&lt;100, IF(INDEX(ERP資料!$G:$G, (MATCH(439, 輔助計算!$G$2:$G$801, 0)+1))&lt;=31,3,IF(INDEX(ERP資料!$G:$G, (MATCH(439, 輔助計算!$G$2:$G$801, 0)+1))&lt;=46.5,2,1)), IF(INDEX(ERP資料!$G:$G, (MATCH(439, 輔助計算!$G$2:$G$801, 0)+1))&lt;=790,3,IF(INDEX(ERP資料!$G:$G, (MATCH(439, 輔助計算!$G$2:$G$801, 0)+1))&lt;=1181,2,1))))&gt;0, IF(IF(INDEX(ERP資料!$G:$G, (MATCH(439, 輔助計算!$G$2:$G$801, 0)+1))&lt;100, IF(INDEX(ERP資料!$G:$G, (MATCH(439, 輔助計算!$G$2:$G$801, 0)+1))&lt;=31,3,IF(INDEX(ERP資料!$G:$G, (MATCH(439, 輔助計算!$G$2:$G$801, 0)+1))&lt;=46.5,2,1)), IF(INDEX(ERP資料!$G:$G, (MATCH(439, 輔助計算!$G$2:$G$801, 0)+1))&lt;=790,3,IF(INDEX(ERP資料!$G:$G, (MATCH(439, 輔助計算!$G$2:$G$801, 0)+1))&lt;=1181,2,1)))=1,TEXT(INDEX(ERP資料!$G:$G, (MATCH(439, 輔助計算!$G$2:$G$801, 0)+1)),"0.##"),IF(IF(INDEX(ERP資料!$G:$G, (MATCH(439, 輔助計算!$G$2:$G$801, 0)+1))&lt;100, IF(INDEX(ERP資料!$G:$G, (MATCH(439, 輔助計算!$G$2:$G$801, 0)+1))&lt;=31,3,IF(INDEX(ERP資料!$G:$G, (MATCH(439, 輔助計算!$G$2:$G$801, 0)+1))&lt;=46.5,2,1)), IF(INDEX(ERP資料!$G:$G, (MATCH(439, 輔助計算!$G$2:$G$801, 0)+1))&lt;=790,3,IF(INDEX(ERP資料!$G:$G, (MATCH(439, 輔助計算!$G$2:$G$801, 0)+1))&lt;=1181,2,1)))=2,TEXT(INDEX(ERP資料!$G:$G, (MATCH(439, 輔助計算!$G$2:$G$801, 0)+1)),"0.##")&amp;"+"&amp;TEXT(INDEX(ERP資料!$G:$G, (MATCH(439, 輔助計算!$G$2:$G$801, 0)+1)),"0.##"),TEXT(INDEX(ERP資料!$G:$G, (MATCH(439, 輔助計算!$G$2:$G$801, 0)+1)),"0.##")&amp;"+"&amp;TEXT(INDEX(ERP資料!$G:$G, (MATCH(439, 輔助計算!$G$2:$G$801, 0)+1)),"0.##")&amp;"+"&amp;TEXT(INDEX(ERP資料!$G:$G, (MATCH(439, 輔助計算!$G$2:$G$801, 0)+1)),"0.##")))&amp;"-"&amp;INT(INDEX(輔助計算!$D:$D, (MATCH(439, 輔助計算!$G$2:$G$801, 0)+1))/IF(INDEX(ERP資料!$G:$G, (MATCH(439, 輔助計算!$G$2:$G$801, 0)+1))&lt;100, IF(INDEX(ERP資料!$G:$G, (MATCH(439, 輔助計算!$G$2:$G$801, 0)+1))&lt;=31,3,IF(INDEX(ERP資料!$G:$G, (MATCH(439, 輔助計算!$G$2:$G$801, 0)+1))&lt;=46.5,2,1)), IF(INDEX(ERP資料!$G:$G, (MATCH(439, 輔助計算!$G$2:$G$801, 0)+1))&lt;=790,3,IF(INDEX(ERP資料!$G:$G, (MATCH(439, 輔助計算!$G$2:$G$801, 0)+1))&lt;=1181,2,1)))), "")&lt;&gt;"",IF(MOD(INDEX(輔助計算!$D:$D, (MATCH(439, 輔助計算!$G$2:$G$801, 0)+1)),IF(INDEX(ERP資料!$G:$G, (MATCH(439, 輔助計算!$G$2:$G$801, 0)+1))&lt;100, IF(INDEX(ERP資料!$G:$G, (MATCH(439, 輔助計算!$G$2:$G$801, 0)+1))&lt;=31,3,IF(INDEX(ERP資料!$G:$G, (MATCH(439, 輔助計算!$G$2:$G$801, 0)+1))&lt;=46.5,2,1)), IF(INDEX(ERP資料!$G:$G, (MATCH(439, 輔助計算!$G$2:$G$801, 0)+1))&lt;=790,3,IF(INDEX(ERP資料!$G:$G, (MATCH(439, 輔助計算!$G$2:$G$801, 0)+1))&lt;=1181,2,1))))=0,"",IF(MOD(INDEX(輔助計算!$D:$D, (MATCH(439, 輔助計算!$G$2:$G$801, 0)+1)),IF(INDEX(ERP資料!$G:$G, (MATCH(439, 輔助計算!$G$2:$G$801, 0)+1))&lt;100, IF(INDEX(ERP資料!$G:$G, (MATCH(439, 輔助計算!$G$2:$G$801, 0)+1))&lt;=31,3,IF(INDEX(ERP資料!$G:$G, (MATCH(439, 輔助計算!$G$2:$G$801, 0)+1))&lt;=46.5,2,1)), IF(INDEX(ERP資料!$G:$G, (MATCH(439, 輔助計算!$G$2:$G$801, 0)+1))&lt;=790,3,IF(INDEX(ERP資料!$G:$G, (MATCH(439, 輔助計算!$G$2:$G$801, 0)+1))&lt;=1181,2,1))))=0,"",IF(MOD(INDEX(輔助計算!$D:$D, (MATCH(439, 輔助計算!$G$2:$G$801, 0)+1)),IF(INDEX(ERP資料!$G:$G, (MATCH(439, 輔助計算!$G$2:$G$801, 0)+1))&lt;100, IF(INDEX(ERP資料!$G:$G, (MATCH(439, 輔助計算!$G$2:$G$801, 0)+1))&lt;=31,3,IF(INDEX(ERP資料!$G:$G, (MATCH(439, 輔助計算!$G$2:$G$801, 0)+1))&lt;=46.5,2,1)), IF(INDEX(ERP資料!$G:$G, (MATCH(439, 輔助計算!$G$2:$G$801, 0)+1))&lt;=790,3,IF(INDEX(ERP資料!$G:$G, (MATCH(439, 輔助計算!$G$2:$G$801, 0)+1))&lt;=1181,2,1))))=1,TEXT(INDEX(ERP資料!$G:$G, (MATCH(439, 輔助計算!$G$2:$G$801, 0)+1)),"0.##"),IF(MOD(INDEX(輔助計算!$D:$D, (MATCH(439, 輔助計算!$G$2:$G$801, 0)+1)),IF(INDEX(ERP資料!$G:$G, (MATCH(439, 輔助計算!$G$2:$G$801, 0)+1))&lt;100, IF(INDEX(ERP資料!$G:$G, (MATCH(439, 輔助計算!$G$2:$G$801, 0)+1))&lt;=31,3,IF(INDEX(ERP資料!$G:$G, (MATCH(439, 輔助計算!$G$2:$G$801, 0)+1))&lt;=46.5,2,1)), IF(INDEX(ERP資料!$G:$G, (MATCH(439, 輔助計算!$G$2:$G$801, 0)+1))&lt;=790,3,IF(INDEX(ERP資料!$G:$G, (MATCH(439, 輔助計算!$G$2:$G$801, 0)+1))&lt;=1181,2,1))))=2,TEXT(INDEX(ERP資料!$G:$G, (MATCH(439, 輔助計算!$G$2:$G$801, 0)+1)),"0.##")&amp;"+"&amp;TEXT(INDEX(ERP資料!$G:$G, (MATCH(439, 輔助計算!$G$2:$G$801, 0)+1)),"0.##"),TEXT(INDEX(ERP資料!$G:$G, (MATCH(439, 輔助計算!$G$2:$G$801, 0)+1)),"0.##")&amp;"+"&amp;TEXT(INDEX(ERP資料!$G:$G, (MATCH(439, 輔助計算!$G$2:$G$801, 0)+1)),"0.##")&amp;"+"&amp;TEXT(INDEX(ERP資料!$G:$G, (MATCH(439, 輔助計算!$G$2:$G$801, 0)+1)),"0.##"))))&amp;"-1")&lt;&gt;""),"  ","")&amp;IF(MOD(INDEX(輔助計算!$D:$D, (MATCH(439, 輔助計算!$G$2:$G$801, 0)+1)),IF(INDEX(ERP資料!$G:$G, (MATCH(439, 輔助計算!$G$2:$G$801, 0)+1))&lt;100, IF(INDEX(ERP資料!$G:$G, (MATCH(439, 輔助計算!$G$2:$G$801, 0)+1))&lt;=31,3,IF(INDEX(ERP資料!$G:$G, (MATCH(439, 輔助計算!$G$2:$G$801, 0)+1))&lt;=46.5,2,1)), IF(INDEX(ERP資料!$G:$G, (MATCH(439, 輔助計算!$G$2:$G$801, 0)+1))&lt;=790,3,IF(INDEX(ERP資料!$G:$G, (MATCH(439, 輔助計算!$G$2:$G$801, 0)+1))&lt;=1181,2,1))))=0,"",IF(MOD(INDEX(輔助計算!$D:$D, (MATCH(439, 輔助計算!$G$2:$G$801, 0)+1)),IF(INDEX(ERP資料!$G:$G, (MATCH(439, 輔助計算!$G$2:$G$801, 0)+1))&lt;100, IF(INDEX(ERP資料!$G:$G, (MATCH(439, 輔助計算!$G$2:$G$801, 0)+1))&lt;=31,3,IF(INDEX(ERP資料!$G:$G, (MATCH(439, 輔助計算!$G$2:$G$801, 0)+1))&lt;=46.5,2,1)), IF(INDEX(ERP資料!$G:$G, (MATCH(439, 輔助計算!$G$2:$G$801, 0)+1))&lt;=790,3,IF(INDEX(ERP資料!$G:$G, (MATCH(439, 輔助計算!$G$2:$G$801, 0)+1))&lt;=1181,2,1))))=0,"",IF(MOD(INDEX(輔助計算!$D:$D, (MATCH(439, 輔助計算!$G$2:$G$801, 0)+1)),IF(INDEX(ERP資料!$G:$G, (MATCH(439, 輔助計算!$G$2:$G$801, 0)+1))&lt;100, IF(INDEX(ERP資料!$G:$G, (MATCH(439, 輔助計算!$G$2:$G$801, 0)+1))&lt;=31,3,IF(INDEX(ERP資料!$G:$G, (MATCH(439, 輔助計算!$G$2:$G$801, 0)+1))&lt;=46.5,2,1)), IF(INDEX(ERP資料!$G:$G, (MATCH(439, 輔助計算!$G$2:$G$801, 0)+1))&lt;=790,3,IF(INDEX(ERP資料!$G:$G, (MATCH(439, 輔助計算!$G$2:$G$801, 0)+1))&lt;=1181,2,1))))=1,TEXT(INDEX(ERP資料!$G:$G, (MATCH(439, 輔助計算!$G$2:$G$801, 0)+1)),"0.##"),IF(MOD(INDEX(輔助計算!$D:$D, (MATCH(439, 輔助計算!$G$2:$G$801, 0)+1)),IF(INDEX(ERP資料!$G:$G, (MATCH(439, 輔助計算!$G$2:$G$801, 0)+1))&lt;100, IF(INDEX(ERP資料!$G:$G, (MATCH(439, 輔助計算!$G$2:$G$801, 0)+1))&lt;=31,3,IF(INDEX(ERP資料!$G:$G, (MATCH(439, 輔助計算!$G$2:$G$801, 0)+1))&lt;=46.5,2,1)), IF(INDEX(ERP資料!$G:$G, (MATCH(439, 輔助計算!$G$2:$G$801, 0)+1))&lt;=790,3,IF(INDEX(ERP資料!$G:$G, (MATCH(439, 輔助計算!$G$2:$G$801, 0)+1))&lt;=1181,2,1))))=2,TEXT(INDEX(ERP資料!$G:$G, (MATCH(439, 輔助計算!$G$2:$G$801, 0)+1)),"0.##")&amp;"+"&amp;TEXT(INDEX(ERP資料!$G:$G, (MATCH(439, 輔助計算!$G$2:$G$801, 0)+1)),"0.##"),TEXT(INDEX(ERP資料!$G:$G, (MATCH(439, 輔助計算!$G$2:$G$801, 0)+1)),"0.##")&amp;"+"&amp;TEXT(INDEX(ERP資料!$G:$G, (MATCH(439, 輔助計算!$G$2:$G$801, 0)+1)),"0.##")&amp;"+"&amp;TEXT(INDEX(ERP資料!$G:$G, (MATCH(439, 輔助計算!$G$2:$G$801, 0)+1)),"0.##"))))&amp;"-1")), ""), "")</f>
        <v/>
      </c>
      <c r="K440" s="16" t="n"/>
      <c r="L440" s="14">
        <f>IFERROR(IF(AND(IFERROR(INDEX(ERP資料!$A:$A, (MATCH(439, 輔助計算!$G$2:$G$801, 0)+1)), "")&lt;&gt;"", IFERROR(INDEX(ERP資料!$A:$A, (MATCH(439, 輔助計算!$G$2:$G$801, 0)+1)), "")&lt;&gt;IFERROR(INDEX(ERP資料!$A:$A, MATCH(438, 輔助計算!$G$2:$G$801, 0)+1), "")), INDEX(ERP資料!$B:$B, (MATCH(439, 輔助計算!$G$2:$G$801, 0)+1)), ""), "")</f>
        <v/>
      </c>
      <c r="M440" s="17" t="n"/>
    </row>
    <row r="441">
      <c r="A441" s="10">
        <f>IFERROR(IF(AND(IFERROR(INDEX(ERP資料!$A:$A, (MATCH(440, 輔助計算!$G$2:$G$801, 0)+1)), "")&lt;&gt;"", IFERROR(INDEX(ERP資料!$A:$A, (MATCH(440, 輔助計算!$G$2:$G$801, 0)+1)), "")&lt;&gt;IFERROR(INDEX(ERP資料!$A:$A, MATCH(439, 輔助計算!$G$2:$G$801, 0)+1), "")), IFERROR(INDEX(ERP資料!$A:$A, (MATCH(440, 輔助計算!$G$2:$G$801, 0)+1)), ""), ""), "")</f>
        <v/>
      </c>
      <c r="B441" s="10">
        <f>IFERROR(IF(AND(IFERROR(INDEX(ERP資料!$A:$A, (MATCH(440, 輔助計算!$G$2:$G$801, 0)+1)), "")&lt;&gt;"", IFERROR(INDEX(ERP資料!$A:$A, (MATCH(440, 輔助計算!$G$2:$G$801, 0)+1)), "")&lt;&gt;IFERROR(INDEX(ERP資料!$A:$A, MATCH(439, 輔助計算!$G$2:$G$801, 0)+1), "")), INDEX(ERP資料!$S:$S, (MATCH(440, 輔助計算!$G$2:$G$801, 0)+1)), ""), "")</f>
        <v/>
      </c>
      <c r="C441" s="19">
        <f>IFERROR(IF(AND(IFERROR(INDEX(ERP資料!$A:$A, (MATCH(440, 輔助計算!$G$2:$G$801, 0)+1)), "")&lt;&gt;"", IFERROR(INDEX(ERP資料!$A:$A, (MATCH(440, 輔助計算!$G$2:$G$801, 0)+1)), "")&lt;&gt;IFERROR(INDEX(ERP資料!$A:$A, MATCH(439, 輔助計算!$G$2:$G$801, 0)+1), "")), IFERROR(VLOOKUP(LEFT(INDEX(ERP資料!$S:$S, (MATCH(440, 輔助計算!$G$2:$G$801, 0)+1)), 4), 紙管對照表!$A:$C, 3, FALSE), ""), ""), "")</f>
        <v/>
      </c>
      <c r="D441" s="16" t="n"/>
      <c r="E441" s="10">
        <f>IFERROR(IF(INDEX(ERP資料!$H:$H, (MATCH(440, 輔助計算!$G$2:$G$801, 0)+1))="","",INDEX(ERP資料!$H:$H, (MATCH(440, 輔助計算!$G$2:$G$801, 0)+1))), "")</f>
        <v/>
      </c>
      <c r="F441" s="10">
        <f>IFERROR(IF(INDEX(ERP資料!$E:$E, (MATCH(440, 輔助計算!$G$2:$G$801, 0)+1))="","",TRIM(INDEX(ERP資料!$E:$E, (MATCH(440, 輔助計算!$G$2:$G$801, 0)+1)))), "")</f>
        <v/>
      </c>
      <c r="G441" s="10">
        <f>IFERROR(IF(INDEX(ERP資料!$F:$F, (MATCH(440, 輔助計算!$G$2:$G$801, 0)+1))="","",INDEX(ERP資料!$F:$F, (MATCH(440, 輔助計算!$G$2:$G$801, 0)+1))), "")</f>
        <v/>
      </c>
      <c r="H441" s="10">
        <f>IFERROR(IF(INDEX(ERP資料!$G:$G, (MATCH(440, 輔助計算!$G$2:$G$801, 0)+1))="","",INDEX(ERP資料!$G:$G, (MATCH(440, 輔助計算!$G$2:$G$801, 0)+1))), "")</f>
        <v/>
      </c>
      <c r="I441" s="15">
        <f>IFERROR(INDEX(輔助計算!$D:$D, (MATCH(440, 輔助計算!$G$2:$G$801, 0)+1)), "")</f>
        <v/>
      </c>
      <c r="J441" s="15">
        <f>IFERROR(IF(AND(INDEX(輔助計算!$D:$D, (MATCH(440, 輔助計算!$G$2:$G$801, 0)+1))&lt;&gt;"", INDEX(ERP資料!$G:$G, (MATCH(440, 輔助計算!$G$2:$G$801, 0)+1))&lt;&gt;""), TRIM(IF(INT(INDEX(輔助計算!$D:$D, (MATCH(440, 輔助計算!$G$2:$G$801, 0)+1))/IF(INDEX(ERP資料!$G:$G, (MATCH(440, 輔助計算!$G$2:$G$801, 0)+1))&lt;100, IF(INDEX(ERP資料!$G:$G, (MATCH(440, 輔助計算!$G$2:$G$801, 0)+1))&lt;=31,3,IF(INDEX(ERP資料!$G:$G, (MATCH(440, 輔助計算!$G$2:$G$801, 0)+1))&lt;=46.5,2,1)), IF(INDEX(ERP資料!$G:$G, (MATCH(440, 輔助計算!$G$2:$G$801, 0)+1))&lt;=790,3,IF(INDEX(ERP資料!$G:$G, (MATCH(440, 輔助計算!$G$2:$G$801, 0)+1))&lt;=1181,2,1))))&gt;0, IF(IF(INDEX(ERP資料!$G:$G, (MATCH(440, 輔助計算!$G$2:$G$801, 0)+1))&lt;100, IF(INDEX(ERP資料!$G:$G, (MATCH(440, 輔助計算!$G$2:$G$801, 0)+1))&lt;=31,3,IF(INDEX(ERP資料!$G:$G, (MATCH(440, 輔助計算!$G$2:$G$801, 0)+1))&lt;=46.5,2,1)), IF(INDEX(ERP資料!$G:$G, (MATCH(440, 輔助計算!$G$2:$G$801, 0)+1))&lt;=790,3,IF(INDEX(ERP資料!$G:$G, (MATCH(440, 輔助計算!$G$2:$G$801, 0)+1))&lt;=1181,2,1)))=1,TEXT(INDEX(ERP資料!$G:$G, (MATCH(440, 輔助計算!$G$2:$G$801, 0)+1)),"0.##"),IF(IF(INDEX(ERP資料!$G:$G, (MATCH(440, 輔助計算!$G$2:$G$801, 0)+1))&lt;100, IF(INDEX(ERP資料!$G:$G, (MATCH(440, 輔助計算!$G$2:$G$801, 0)+1))&lt;=31,3,IF(INDEX(ERP資料!$G:$G, (MATCH(440, 輔助計算!$G$2:$G$801, 0)+1))&lt;=46.5,2,1)), IF(INDEX(ERP資料!$G:$G, (MATCH(440, 輔助計算!$G$2:$G$801, 0)+1))&lt;=790,3,IF(INDEX(ERP資料!$G:$G, (MATCH(440, 輔助計算!$G$2:$G$801, 0)+1))&lt;=1181,2,1)))=2,TEXT(INDEX(ERP資料!$G:$G, (MATCH(440, 輔助計算!$G$2:$G$801, 0)+1)),"0.##")&amp;"+"&amp;TEXT(INDEX(ERP資料!$G:$G, (MATCH(440, 輔助計算!$G$2:$G$801, 0)+1)),"0.##"),TEXT(INDEX(ERP資料!$G:$G, (MATCH(440, 輔助計算!$G$2:$G$801, 0)+1)),"0.##")&amp;"+"&amp;TEXT(INDEX(ERP資料!$G:$G, (MATCH(440, 輔助計算!$G$2:$G$801, 0)+1)),"0.##")&amp;"+"&amp;TEXT(INDEX(ERP資料!$G:$G, (MATCH(440, 輔助計算!$G$2:$G$801, 0)+1)),"0.##")))&amp;"-"&amp;INT(INDEX(輔助計算!$D:$D, (MATCH(440, 輔助計算!$G$2:$G$801, 0)+1))/IF(INDEX(ERP資料!$G:$G, (MATCH(440, 輔助計算!$G$2:$G$801, 0)+1))&lt;100, IF(INDEX(ERP資料!$G:$G, (MATCH(440, 輔助計算!$G$2:$G$801, 0)+1))&lt;=31,3,IF(INDEX(ERP資料!$G:$G, (MATCH(440, 輔助計算!$G$2:$G$801, 0)+1))&lt;=46.5,2,1)), IF(INDEX(ERP資料!$G:$G, (MATCH(440, 輔助計算!$G$2:$G$801, 0)+1))&lt;=790,3,IF(INDEX(ERP資料!$G:$G, (MATCH(440, 輔助計算!$G$2:$G$801, 0)+1))&lt;=1181,2,1)))), "")&amp;IF(AND(IF(INT(INDEX(輔助計算!$D:$D, (MATCH(440, 輔助計算!$G$2:$G$801, 0)+1))/IF(INDEX(ERP資料!$G:$G, (MATCH(440, 輔助計算!$G$2:$G$801, 0)+1))&lt;100, IF(INDEX(ERP資料!$G:$G, (MATCH(440, 輔助計算!$G$2:$G$801, 0)+1))&lt;=31,3,IF(INDEX(ERP資料!$G:$G, (MATCH(440, 輔助計算!$G$2:$G$801, 0)+1))&lt;=46.5,2,1)), IF(INDEX(ERP資料!$G:$G, (MATCH(440, 輔助計算!$G$2:$G$801, 0)+1))&lt;=790,3,IF(INDEX(ERP資料!$G:$G, (MATCH(440, 輔助計算!$G$2:$G$801, 0)+1))&lt;=1181,2,1))))&gt;0, IF(IF(INDEX(ERP資料!$G:$G, (MATCH(440, 輔助計算!$G$2:$G$801, 0)+1))&lt;100, IF(INDEX(ERP資料!$G:$G, (MATCH(440, 輔助計算!$G$2:$G$801, 0)+1))&lt;=31,3,IF(INDEX(ERP資料!$G:$G, (MATCH(440, 輔助計算!$G$2:$G$801, 0)+1))&lt;=46.5,2,1)), IF(INDEX(ERP資料!$G:$G, (MATCH(440, 輔助計算!$G$2:$G$801, 0)+1))&lt;=790,3,IF(INDEX(ERP資料!$G:$G, (MATCH(440, 輔助計算!$G$2:$G$801, 0)+1))&lt;=1181,2,1)))=1,TEXT(INDEX(ERP資料!$G:$G, (MATCH(440, 輔助計算!$G$2:$G$801, 0)+1)),"0.##"),IF(IF(INDEX(ERP資料!$G:$G, (MATCH(440, 輔助計算!$G$2:$G$801, 0)+1))&lt;100, IF(INDEX(ERP資料!$G:$G, (MATCH(440, 輔助計算!$G$2:$G$801, 0)+1))&lt;=31,3,IF(INDEX(ERP資料!$G:$G, (MATCH(440, 輔助計算!$G$2:$G$801, 0)+1))&lt;=46.5,2,1)), IF(INDEX(ERP資料!$G:$G, (MATCH(440, 輔助計算!$G$2:$G$801, 0)+1))&lt;=790,3,IF(INDEX(ERP資料!$G:$G, (MATCH(440, 輔助計算!$G$2:$G$801, 0)+1))&lt;=1181,2,1)))=2,TEXT(INDEX(ERP資料!$G:$G, (MATCH(440, 輔助計算!$G$2:$G$801, 0)+1)),"0.##")&amp;"+"&amp;TEXT(INDEX(ERP資料!$G:$G, (MATCH(440, 輔助計算!$G$2:$G$801, 0)+1)),"0.##"),TEXT(INDEX(ERP資料!$G:$G, (MATCH(440, 輔助計算!$G$2:$G$801, 0)+1)),"0.##")&amp;"+"&amp;TEXT(INDEX(ERP資料!$G:$G, (MATCH(440, 輔助計算!$G$2:$G$801, 0)+1)),"0.##")&amp;"+"&amp;TEXT(INDEX(ERP資料!$G:$G, (MATCH(440, 輔助計算!$G$2:$G$801, 0)+1)),"0.##")))&amp;"-"&amp;INT(INDEX(輔助計算!$D:$D, (MATCH(440, 輔助計算!$G$2:$G$801, 0)+1))/IF(INDEX(ERP資料!$G:$G, (MATCH(440, 輔助計算!$G$2:$G$801, 0)+1))&lt;100, IF(INDEX(ERP資料!$G:$G, (MATCH(440, 輔助計算!$G$2:$G$801, 0)+1))&lt;=31,3,IF(INDEX(ERP資料!$G:$G, (MATCH(440, 輔助計算!$G$2:$G$801, 0)+1))&lt;=46.5,2,1)), IF(INDEX(ERP資料!$G:$G, (MATCH(440, 輔助計算!$G$2:$G$801, 0)+1))&lt;=790,3,IF(INDEX(ERP資料!$G:$G, (MATCH(440, 輔助計算!$G$2:$G$801, 0)+1))&lt;=1181,2,1)))), "")&lt;&gt;"",IF(MOD(INDEX(輔助計算!$D:$D, (MATCH(440, 輔助計算!$G$2:$G$801, 0)+1)),IF(INDEX(ERP資料!$G:$G, (MATCH(440, 輔助計算!$G$2:$G$801, 0)+1))&lt;100, IF(INDEX(ERP資料!$G:$G, (MATCH(440, 輔助計算!$G$2:$G$801, 0)+1))&lt;=31,3,IF(INDEX(ERP資料!$G:$G, (MATCH(440, 輔助計算!$G$2:$G$801, 0)+1))&lt;=46.5,2,1)), IF(INDEX(ERP資料!$G:$G, (MATCH(440, 輔助計算!$G$2:$G$801, 0)+1))&lt;=790,3,IF(INDEX(ERP資料!$G:$G, (MATCH(440, 輔助計算!$G$2:$G$801, 0)+1))&lt;=1181,2,1))))=0,"",IF(MOD(INDEX(輔助計算!$D:$D, (MATCH(440, 輔助計算!$G$2:$G$801, 0)+1)),IF(INDEX(ERP資料!$G:$G, (MATCH(440, 輔助計算!$G$2:$G$801, 0)+1))&lt;100, IF(INDEX(ERP資料!$G:$G, (MATCH(440, 輔助計算!$G$2:$G$801, 0)+1))&lt;=31,3,IF(INDEX(ERP資料!$G:$G, (MATCH(440, 輔助計算!$G$2:$G$801, 0)+1))&lt;=46.5,2,1)), IF(INDEX(ERP資料!$G:$G, (MATCH(440, 輔助計算!$G$2:$G$801, 0)+1))&lt;=790,3,IF(INDEX(ERP資料!$G:$G, (MATCH(440, 輔助計算!$G$2:$G$801, 0)+1))&lt;=1181,2,1))))=0,"",IF(MOD(INDEX(輔助計算!$D:$D, (MATCH(440, 輔助計算!$G$2:$G$801, 0)+1)),IF(INDEX(ERP資料!$G:$G, (MATCH(440, 輔助計算!$G$2:$G$801, 0)+1))&lt;100, IF(INDEX(ERP資料!$G:$G, (MATCH(440, 輔助計算!$G$2:$G$801, 0)+1))&lt;=31,3,IF(INDEX(ERP資料!$G:$G, (MATCH(440, 輔助計算!$G$2:$G$801, 0)+1))&lt;=46.5,2,1)), IF(INDEX(ERP資料!$G:$G, (MATCH(440, 輔助計算!$G$2:$G$801, 0)+1))&lt;=790,3,IF(INDEX(ERP資料!$G:$G, (MATCH(440, 輔助計算!$G$2:$G$801, 0)+1))&lt;=1181,2,1))))=1,TEXT(INDEX(ERP資料!$G:$G, (MATCH(440, 輔助計算!$G$2:$G$801, 0)+1)),"0.##"),IF(MOD(INDEX(輔助計算!$D:$D, (MATCH(440, 輔助計算!$G$2:$G$801, 0)+1)),IF(INDEX(ERP資料!$G:$G, (MATCH(440, 輔助計算!$G$2:$G$801, 0)+1))&lt;100, IF(INDEX(ERP資料!$G:$G, (MATCH(440, 輔助計算!$G$2:$G$801, 0)+1))&lt;=31,3,IF(INDEX(ERP資料!$G:$G, (MATCH(440, 輔助計算!$G$2:$G$801, 0)+1))&lt;=46.5,2,1)), IF(INDEX(ERP資料!$G:$G, (MATCH(440, 輔助計算!$G$2:$G$801, 0)+1))&lt;=790,3,IF(INDEX(ERP資料!$G:$G, (MATCH(440, 輔助計算!$G$2:$G$801, 0)+1))&lt;=1181,2,1))))=2,TEXT(INDEX(ERP資料!$G:$G, (MATCH(440, 輔助計算!$G$2:$G$801, 0)+1)),"0.##")&amp;"+"&amp;TEXT(INDEX(ERP資料!$G:$G, (MATCH(440, 輔助計算!$G$2:$G$801, 0)+1)),"0.##"),TEXT(INDEX(ERP資料!$G:$G, (MATCH(440, 輔助計算!$G$2:$G$801, 0)+1)),"0.##")&amp;"+"&amp;TEXT(INDEX(ERP資料!$G:$G, (MATCH(440, 輔助計算!$G$2:$G$801, 0)+1)),"0.##")&amp;"+"&amp;TEXT(INDEX(ERP資料!$G:$G, (MATCH(440, 輔助計算!$G$2:$G$801, 0)+1)),"0.##"))))&amp;"-1")&lt;&gt;""),"  ","")&amp;IF(MOD(INDEX(輔助計算!$D:$D, (MATCH(440, 輔助計算!$G$2:$G$801, 0)+1)),IF(INDEX(ERP資料!$G:$G, (MATCH(440, 輔助計算!$G$2:$G$801, 0)+1))&lt;100, IF(INDEX(ERP資料!$G:$G, (MATCH(440, 輔助計算!$G$2:$G$801, 0)+1))&lt;=31,3,IF(INDEX(ERP資料!$G:$G, (MATCH(440, 輔助計算!$G$2:$G$801, 0)+1))&lt;=46.5,2,1)), IF(INDEX(ERP資料!$G:$G, (MATCH(440, 輔助計算!$G$2:$G$801, 0)+1))&lt;=790,3,IF(INDEX(ERP資料!$G:$G, (MATCH(440, 輔助計算!$G$2:$G$801, 0)+1))&lt;=1181,2,1))))=0,"",IF(MOD(INDEX(輔助計算!$D:$D, (MATCH(440, 輔助計算!$G$2:$G$801, 0)+1)),IF(INDEX(ERP資料!$G:$G, (MATCH(440, 輔助計算!$G$2:$G$801, 0)+1))&lt;100, IF(INDEX(ERP資料!$G:$G, (MATCH(440, 輔助計算!$G$2:$G$801, 0)+1))&lt;=31,3,IF(INDEX(ERP資料!$G:$G, (MATCH(440, 輔助計算!$G$2:$G$801, 0)+1))&lt;=46.5,2,1)), IF(INDEX(ERP資料!$G:$G, (MATCH(440, 輔助計算!$G$2:$G$801, 0)+1))&lt;=790,3,IF(INDEX(ERP資料!$G:$G, (MATCH(440, 輔助計算!$G$2:$G$801, 0)+1))&lt;=1181,2,1))))=0,"",IF(MOD(INDEX(輔助計算!$D:$D, (MATCH(440, 輔助計算!$G$2:$G$801, 0)+1)),IF(INDEX(ERP資料!$G:$G, (MATCH(440, 輔助計算!$G$2:$G$801, 0)+1))&lt;100, IF(INDEX(ERP資料!$G:$G, (MATCH(440, 輔助計算!$G$2:$G$801, 0)+1))&lt;=31,3,IF(INDEX(ERP資料!$G:$G, (MATCH(440, 輔助計算!$G$2:$G$801, 0)+1))&lt;=46.5,2,1)), IF(INDEX(ERP資料!$G:$G, (MATCH(440, 輔助計算!$G$2:$G$801, 0)+1))&lt;=790,3,IF(INDEX(ERP資料!$G:$G, (MATCH(440, 輔助計算!$G$2:$G$801, 0)+1))&lt;=1181,2,1))))=1,TEXT(INDEX(ERP資料!$G:$G, (MATCH(440, 輔助計算!$G$2:$G$801, 0)+1)),"0.##"),IF(MOD(INDEX(輔助計算!$D:$D, (MATCH(440, 輔助計算!$G$2:$G$801, 0)+1)),IF(INDEX(ERP資料!$G:$G, (MATCH(440, 輔助計算!$G$2:$G$801, 0)+1))&lt;100, IF(INDEX(ERP資料!$G:$G, (MATCH(440, 輔助計算!$G$2:$G$801, 0)+1))&lt;=31,3,IF(INDEX(ERP資料!$G:$G, (MATCH(440, 輔助計算!$G$2:$G$801, 0)+1))&lt;=46.5,2,1)), IF(INDEX(ERP資料!$G:$G, (MATCH(440, 輔助計算!$G$2:$G$801, 0)+1))&lt;=790,3,IF(INDEX(ERP資料!$G:$G, (MATCH(440, 輔助計算!$G$2:$G$801, 0)+1))&lt;=1181,2,1))))=2,TEXT(INDEX(ERP資料!$G:$G, (MATCH(440, 輔助計算!$G$2:$G$801, 0)+1)),"0.##")&amp;"+"&amp;TEXT(INDEX(ERP資料!$G:$G, (MATCH(440, 輔助計算!$G$2:$G$801, 0)+1)),"0.##"),TEXT(INDEX(ERP資料!$G:$G, (MATCH(440, 輔助計算!$G$2:$G$801, 0)+1)),"0.##")&amp;"+"&amp;TEXT(INDEX(ERP資料!$G:$G, (MATCH(440, 輔助計算!$G$2:$G$801, 0)+1)),"0.##")&amp;"+"&amp;TEXT(INDEX(ERP資料!$G:$G, (MATCH(440, 輔助計算!$G$2:$G$801, 0)+1)),"0.##"))))&amp;"-1")), ""), "")</f>
        <v/>
      </c>
      <c r="K441" s="16" t="n"/>
      <c r="L441" s="14">
        <f>IFERROR(IF(AND(IFERROR(INDEX(ERP資料!$A:$A, (MATCH(440, 輔助計算!$G$2:$G$801, 0)+1)), "")&lt;&gt;"", IFERROR(INDEX(ERP資料!$A:$A, (MATCH(440, 輔助計算!$G$2:$G$801, 0)+1)), "")&lt;&gt;IFERROR(INDEX(ERP資料!$A:$A, MATCH(439, 輔助計算!$G$2:$G$801, 0)+1), "")), INDEX(ERP資料!$B:$B, (MATCH(440, 輔助計算!$G$2:$G$801, 0)+1)), ""), "")</f>
        <v/>
      </c>
      <c r="M441" s="17" t="n"/>
    </row>
    <row r="442">
      <c r="A442" s="10">
        <f>IFERROR(IF(AND(IFERROR(INDEX(ERP資料!$A:$A, (MATCH(441, 輔助計算!$G$2:$G$801, 0)+1)), "")&lt;&gt;"", IFERROR(INDEX(ERP資料!$A:$A, (MATCH(441, 輔助計算!$G$2:$G$801, 0)+1)), "")&lt;&gt;IFERROR(INDEX(ERP資料!$A:$A, MATCH(440, 輔助計算!$G$2:$G$801, 0)+1), "")), IFERROR(INDEX(ERP資料!$A:$A, (MATCH(441, 輔助計算!$G$2:$G$801, 0)+1)), ""), ""), "")</f>
        <v/>
      </c>
      <c r="B442" s="10">
        <f>IFERROR(IF(AND(IFERROR(INDEX(ERP資料!$A:$A, (MATCH(441, 輔助計算!$G$2:$G$801, 0)+1)), "")&lt;&gt;"", IFERROR(INDEX(ERP資料!$A:$A, (MATCH(441, 輔助計算!$G$2:$G$801, 0)+1)), "")&lt;&gt;IFERROR(INDEX(ERP資料!$A:$A, MATCH(440, 輔助計算!$G$2:$G$801, 0)+1), "")), INDEX(ERP資料!$S:$S, (MATCH(441, 輔助計算!$G$2:$G$801, 0)+1)), ""), "")</f>
        <v/>
      </c>
      <c r="C442" s="19">
        <f>IFERROR(IF(AND(IFERROR(INDEX(ERP資料!$A:$A, (MATCH(441, 輔助計算!$G$2:$G$801, 0)+1)), "")&lt;&gt;"", IFERROR(INDEX(ERP資料!$A:$A, (MATCH(441, 輔助計算!$G$2:$G$801, 0)+1)), "")&lt;&gt;IFERROR(INDEX(ERP資料!$A:$A, MATCH(440, 輔助計算!$G$2:$G$801, 0)+1), "")), IFERROR(VLOOKUP(LEFT(INDEX(ERP資料!$S:$S, (MATCH(441, 輔助計算!$G$2:$G$801, 0)+1)), 4), 紙管對照表!$A:$C, 3, FALSE), ""), ""), "")</f>
        <v/>
      </c>
      <c r="D442" s="16" t="n"/>
      <c r="E442" s="10">
        <f>IFERROR(IF(INDEX(ERP資料!$H:$H, (MATCH(441, 輔助計算!$G$2:$G$801, 0)+1))="","",INDEX(ERP資料!$H:$H, (MATCH(441, 輔助計算!$G$2:$G$801, 0)+1))), "")</f>
        <v/>
      </c>
      <c r="F442" s="10">
        <f>IFERROR(IF(INDEX(ERP資料!$E:$E, (MATCH(441, 輔助計算!$G$2:$G$801, 0)+1))="","",TRIM(INDEX(ERP資料!$E:$E, (MATCH(441, 輔助計算!$G$2:$G$801, 0)+1)))), "")</f>
        <v/>
      </c>
      <c r="G442" s="10">
        <f>IFERROR(IF(INDEX(ERP資料!$F:$F, (MATCH(441, 輔助計算!$G$2:$G$801, 0)+1))="","",INDEX(ERP資料!$F:$F, (MATCH(441, 輔助計算!$G$2:$G$801, 0)+1))), "")</f>
        <v/>
      </c>
      <c r="H442" s="10">
        <f>IFERROR(IF(INDEX(ERP資料!$G:$G, (MATCH(441, 輔助計算!$G$2:$G$801, 0)+1))="","",INDEX(ERP資料!$G:$G, (MATCH(441, 輔助計算!$G$2:$G$801, 0)+1))), "")</f>
        <v/>
      </c>
      <c r="I442" s="15">
        <f>IFERROR(INDEX(輔助計算!$D:$D, (MATCH(441, 輔助計算!$G$2:$G$801, 0)+1)), "")</f>
        <v/>
      </c>
      <c r="J442" s="15">
        <f>IFERROR(IF(AND(INDEX(輔助計算!$D:$D, (MATCH(441, 輔助計算!$G$2:$G$801, 0)+1))&lt;&gt;"", INDEX(ERP資料!$G:$G, (MATCH(441, 輔助計算!$G$2:$G$801, 0)+1))&lt;&gt;""), TRIM(IF(INT(INDEX(輔助計算!$D:$D, (MATCH(441, 輔助計算!$G$2:$G$801, 0)+1))/IF(INDEX(ERP資料!$G:$G, (MATCH(441, 輔助計算!$G$2:$G$801, 0)+1))&lt;100, IF(INDEX(ERP資料!$G:$G, (MATCH(441, 輔助計算!$G$2:$G$801, 0)+1))&lt;=31,3,IF(INDEX(ERP資料!$G:$G, (MATCH(441, 輔助計算!$G$2:$G$801, 0)+1))&lt;=46.5,2,1)), IF(INDEX(ERP資料!$G:$G, (MATCH(441, 輔助計算!$G$2:$G$801, 0)+1))&lt;=790,3,IF(INDEX(ERP資料!$G:$G, (MATCH(441, 輔助計算!$G$2:$G$801, 0)+1))&lt;=1181,2,1))))&gt;0, IF(IF(INDEX(ERP資料!$G:$G, (MATCH(441, 輔助計算!$G$2:$G$801, 0)+1))&lt;100, IF(INDEX(ERP資料!$G:$G, (MATCH(441, 輔助計算!$G$2:$G$801, 0)+1))&lt;=31,3,IF(INDEX(ERP資料!$G:$G, (MATCH(441, 輔助計算!$G$2:$G$801, 0)+1))&lt;=46.5,2,1)), IF(INDEX(ERP資料!$G:$G, (MATCH(441, 輔助計算!$G$2:$G$801, 0)+1))&lt;=790,3,IF(INDEX(ERP資料!$G:$G, (MATCH(441, 輔助計算!$G$2:$G$801, 0)+1))&lt;=1181,2,1)))=1,TEXT(INDEX(ERP資料!$G:$G, (MATCH(441, 輔助計算!$G$2:$G$801, 0)+1)),"0.##"),IF(IF(INDEX(ERP資料!$G:$G, (MATCH(441, 輔助計算!$G$2:$G$801, 0)+1))&lt;100, IF(INDEX(ERP資料!$G:$G, (MATCH(441, 輔助計算!$G$2:$G$801, 0)+1))&lt;=31,3,IF(INDEX(ERP資料!$G:$G, (MATCH(441, 輔助計算!$G$2:$G$801, 0)+1))&lt;=46.5,2,1)), IF(INDEX(ERP資料!$G:$G, (MATCH(441, 輔助計算!$G$2:$G$801, 0)+1))&lt;=790,3,IF(INDEX(ERP資料!$G:$G, (MATCH(441, 輔助計算!$G$2:$G$801, 0)+1))&lt;=1181,2,1)))=2,TEXT(INDEX(ERP資料!$G:$G, (MATCH(441, 輔助計算!$G$2:$G$801, 0)+1)),"0.##")&amp;"+"&amp;TEXT(INDEX(ERP資料!$G:$G, (MATCH(441, 輔助計算!$G$2:$G$801, 0)+1)),"0.##"),TEXT(INDEX(ERP資料!$G:$G, (MATCH(441, 輔助計算!$G$2:$G$801, 0)+1)),"0.##")&amp;"+"&amp;TEXT(INDEX(ERP資料!$G:$G, (MATCH(441, 輔助計算!$G$2:$G$801, 0)+1)),"0.##")&amp;"+"&amp;TEXT(INDEX(ERP資料!$G:$G, (MATCH(441, 輔助計算!$G$2:$G$801, 0)+1)),"0.##")))&amp;"-"&amp;INT(INDEX(輔助計算!$D:$D, (MATCH(441, 輔助計算!$G$2:$G$801, 0)+1))/IF(INDEX(ERP資料!$G:$G, (MATCH(441, 輔助計算!$G$2:$G$801, 0)+1))&lt;100, IF(INDEX(ERP資料!$G:$G, (MATCH(441, 輔助計算!$G$2:$G$801, 0)+1))&lt;=31,3,IF(INDEX(ERP資料!$G:$G, (MATCH(441, 輔助計算!$G$2:$G$801, 0)+1))&lt;=46.5,2,1)), IF(INDEX(ERP資料!$G:$G, (MATCH(441, 輔助計算!$G$2:$G$801, 0)+1))&lt;=790,3,IF(INDEX(ERP資料!$G:$G, (MATCH(441, 輔助計算!$G$2:$G$801, 0)+1))&lt;=1181,2,1)))), "")&amp;IF(AND(IF(INT(INDEX(輔助計算!$D:$D, (MATCH(441, 輔助計算!$G$2:$G$801, 0)+1))/IF(INDEX(ERP資料!$G:$G, (MATCH(441, 輔助計算!$G$2:$G$801, 0)+1))&lt;100, IF(INDEX(ERP資料!$G:$G, (MATCH(441, 輔助計算!$G$2:$G$801, 0)+1))&lt;=31,3,IF(INDEX(ERP資料!$G:$G, (MATCH(441, 輔助計算!$G$2:$G$801, 0)+1))&lt;=46.5,2,1)), IF(INDEX(ERP資料!$G:$G, (MATCH(441, 輔助計算!$G$2:$G$801, 0)+1))&lt;=790,3,IF(INDEX(ERP資料!$G:$G, (MATCH(441, 輔助計算!$G$2:$G$801, 0)+1))&lt;=1181,2,1))))&gt;0, IF(IF(INDEX(ERP資料!$G:$G, (MATCH(441, 輔助計算!$G$2:$G$801, 0)+1))&lt;100, IF(INDEX(ERP資料!$G:$G, (MATCH(441, 輔助計算!$G$2:$G$801, 0)+1))&lt;=31,3,IF(INDEX(ERP資料!$G:$G, (MATCH(441, 輔助計算!$G$2:$G$801, 0)+1))&lt;=46.5,2,1)), IF(INDEX(ERP資料!$G:$G, (MATCH(441, 輔助計算!$G$2:$G$801, 0)+1))&lt;=790,3,IF(INDEX(ERP資料!$G:$G, (MATCH(441, 輔助計算!$G$2:$G$801, 0)+1))&lt;=1181,2,1)))=1,TEXT(INDEX(ERP資料!$G:$G, (MATCH(441, 輔助計算!$G$2:$G$801, 0)+1)),"0.##"),IF(IF(INDEX(ERP資料!$G:$G, (MATCH(441, 輔助計算!$G$2:$G$801, 0)+1))&lt;100, IF(INDEX(ERP資料!$G:$G, (MATCH(441, 輔助計算!$G$2:$G$801, 0)+1))&lt;=31,3,IF(INDEX(ERP資料!$G:$G, (MATCH(441, 輔助計算!$G$2:$G$801, 0)+1))&lt;=46.5,2,1)), IF(INDEX(ERP資料!$G:$G, (MATCH(441, 輔助計算!$G$2:$G$801, 0)+1))&lt;=790,3,IF(INDEX(ERP資料!$G:$G, (MATCH(441, 輔助計算!$G$2:$G$801, 0)+1))&lt;=1181,2,1)))=2,TEXT(INDEX(ERP資料!$G:$G, (MATCH(441, 輔助計算!$G$2:$G$801, 0)+1)),"0.##")&amp;"+"&amp;TEXT(INDEX(ERP資料!$G:$G, (MATCH(441, 輔助計算!$G$2:$G$801, 0)+1)),"0.##"),TEXT(INDEX(ERP資料!$G:$G, (MATCH(441, 輔助計算!$G$2:$G$801, 0)+1)),"0.##")&amp;"+"&amp;TEXT(INDEX(ERP資料!$G:$G, (MATCH(441, 輔助計算!$G$2:$G$801, 0)+1)),"0.##")&amp;"+"&amp;TEXT(INDEX(ERP資料!$G:$G, (MATCH(441, 輔助計算!$G$2:$G$801, 0)+1)),"0.##")))&amp;"-"&amp;INT(INDEX(輔助計算!$D:$D, (MATCH(441, 輔助計算!$G$2:$G$801, 0)+1))/IF(INDEX(ERP資料!$G:$G, (MATCH(441, 輔助計算!$G$2:$G$801, 0)+1))&lt;100, IF(INDEX(ERP資料!$G:$G, (MATCH(441, 輔助計算!$G$2:$G$801, 0)+1))&lt;=31,3,IF(INDEX(ERP資料!$G:$G, (MATCH(441, 輔助計算!$G$2:$G$801, 0)+1))&lt;=46.5,2,1)), IF(INDEX(ERP資料!$G:$G, (MATCH(441, 輔助計算!$G$2:$G$801, 0)+1))&lt;=790,3,IF(INDEX(ERP資料!$G:$G, (MATCH(441, 輔助計算!$G$2:$G$801, 0)+1))&lt;=1181,2,1)))), "")&lt;&gt;"",IF(MOD(INDEX(輔助計算!$D:$D, (MATCH(441, 輔助計算!$G$2:$G$801, 0)+1)),IF(INDEX(ERP資料!$G:$G, (MATCH(441, 輔助計算!$G$2:$G$801, 0)+1))&lt;100, IF(INDEX(ERP資料!$G:$G, (MATCH(441, 輔助計算!$G$2:$G$801, 0)+1))&lt;=31,3,IF(INDEX(ERP資料!$G:$G, (MATCH(441, 輔助計算!$G$2:$G$801, 0)+1))&lt;=46.5,2,1)), IF(INDEX(ERP資料!$G:$G, (MATCH(441, 輔助計算!$G$2:$G$801, 0)+1))&lt;=790,3,IF(INDEX(ERP資料!$G:$G, (MATCH(441, 輔助計算!$G$2:$G$801, 0)+1))&lt;=1181,2,1))))=0,"",IF(MOD(INDEX(輔助計算!$D:$D, (MATCH(441, 輔助計算!$G$2:$G$801, 0)+1)),IF(INDEX(ERP資料!$G:$G, (MATCH(441, 輔助計算!$G$2:$G$801, 0)+1))&lt;100, IF(INDEX(ERP資料!$G:$G, (MATCH(441, 輔助計算!$G$2:$G$801, 0)+1))&lt;=31,3,IF(INDEX(ERP資料!$G:$G, (MATCH(441, 輔助計算!$G$2:$G$801, 0)+1))&lt;=46.5,2,1)), IF(INDEX(ERP資料!$G:$G, (MATCH(441, 輔助計算!$G$2:$G$801, 0)+1))&lt;=790,3,IF(INDEX(ERP資料!$G:$G, (MATCH(441, 輔助計算!$G$2:$G$801, 0)+1))&lt;=1181,2,1))))=0,"",IF(MOD(INDEX(輔助計算!$D:$D, (MATCH(441, 輔助計算!$G$2:$G$801, 0)+1)),IF(INDEX(ERP資料!$G:$G, (MATCH(441, 輔助計算!$G$2:$G$801, 0)+1))&lt;100, IF(INDEX(ERP資料!$G:$G, (MATCH(441, 輔助計算!$G$2:$G$801, 0)+1))&lt;=31,3,IF(INDEX(ERP資料!$G:$G, (MATCH(441, 輔助計算!$G$2:$G$801, 0)+1))&lt;=46.5,2,1)), IF(INDEX(ERP資料!$G:$G, (MATCH(441, 輔助計算!$G$2:$G$801, 0)+1))&lt;=790,3,IF(INDEX(ERP資料!$G:$G, (MATCH(441, 輔助計算!$G$2:$G$801, 0)+1))&lt;=1181,2,1))))=1,TEXT(INDEX(ERP資料!$G:$G, (MATCH(441, 輔助計算!$G$2:$G$801, 0)+1)),"0.##"),IF(MOD(INDEX(輔助計算!$D:$D, (MATCH(441, 輔助計算!$G$2:$G$801, 0)+1)),IF(INDEX(ERP資料!$G:$G, (MATCH(441, 輔助計算!$G$2:$G$801, 0)+1))&lt;100, IF(INDEX(ERP資料!$G:$G, (MATCH(441, 輔助計算!$G$2:$G$801, 0)+1))&lt;=31,3,IF(INDEX(ERP資料!$G:$G, (MATCH(441, 輔助計算!$G$2:$G$801, 0)+1))&lt;=46.5,2,1)), IF(INDEX(ERP資料!$G:$G, (MATCH(441, 輔助計算!$G$2:$G$801, 0)+1))&lt;=790,3,IF(INDEX(ERP資料!$G:$G, (MATCH(441, 輔助計算!$G$2:$G$801, 0)+1))&lt;=1181,2,1))))=2,TEXT(INDEX(ERP資料!$G:$G, (MATCH(441, 輔助計算!$G$2:$G$801, 0)+1)),"0.##")&amp;"+"&amp;TEXT(INDEX(ERP資料!$G:$G, (MATCH(441, 輔助計算!$G$2:$G$801, 0)+1)),"0.##"),TEXT(INDEX(ERP資料!$G:$G, (MATCH(441, 輔助計算!$G$2:$G$801, 0)+1)),"0.##")&amp;"+"&amp;TEXT(INDEX(ERP資料!$G:$G, (MATCH(441, 輔助計算!$G$2:$G$801, 0)+1)),"0.##")&amp;"+"&amp;TEXT(INDEX(ERP資料!$G:$G, (MATCH(441, 輔助計算!$G$2:$G$801, 0)+1)),"0.##"))))&amp;"-1")&lt;&gt;""),"  ","")&amp;IF(MOD(INDEX(輔助計算!$D:$D, (MATCH(441, 輔助計算!$G$2:$G$801, 0)+1)),IF(INDEX(ERP資料!$G:$G, (MATCH(441, 輔助計算!$G$2:$G$801, 0)+1))&lt;100, IF(INDEX(ERP資料!$G:$G, (MATCH(441, 輔助計算!$G$2:$G$801, 0)+1))&lt;=31,3,IF(INDEX(ERP資料!$G:$G, (MATCH(441, 輔助計算!$G$2:$G$801, 0)+1))&lt;=46.5,2,1)), IF(INDEX(ERP資料!$G:$G, (MATCH(441, 輔助計算!$G$2:$G$801, 0)+1))&lt;=790,3,IF(INDEX(ERP資料!$G:$G, (MATCH(441, 輔助計算!$G$2:$G$801, 0)+1))&lt;=1181,2,1))))=0,"",IF(MOD(INDEX(輔助計算!$D:$D, (MATCH(441, 輔助計算!$G$2:$G$801, 0)+1)),IF(INDEX(ERP資料!$G:$G, (MATCH(441, 輔助計算!$G$2:$G$801, 0)+1))&lt;100, IF(INDEX(ERP資料!$G:$G, (MATCH(441, 輔助計算!$G$2:$G$801, 0)+1))&lt;=31,3,IF(INDEX(ERP資料!$G:$G, (MATCH(441, 輔助計算!$G$2:$G$801, 0)+1))&lt;=46.5,2,1)), IF(INDEX(ERP資料!$G:$G, (MATCH(441, 輔助計算!$G$2:$G$801, 0)+1))&lt;=790,3,IF(INDEX(ERP資料!$G:$G, (MATCH(441, 輔助計算!$G$2:$G$801, 0)+1))&lt;=1181,2,1))))=0,"",IF(MOD(INDEX(輔助計算!$D:$D, (MATCH(441, 輔助計算!$G$2:$G$801, 0)+1)),IF(INDEX(ERP資料!$G:$G, (MATCH(441, 輔助計算!$G$2:$G$801, 0)+1))&lt;100, IF(INDEX(ERP資料!$G:$G, (MATCH(441, 輔助計算!$G$2:$G$801, 0)+1))&lt;=31,3,IF(INDEX(ERP資料!$G:$G, (MATCH(441, 輔助計算!$G$2:$G$801, 0)+1))&lt;=46.5,2,1)), IF(INDEX(ERP資料!$G:$G, (MATCH(441, 輔助計算!$G$2:$G$801, 0)+1))&lt;=790,3,IF(INDEX(ERP資料!$G:$G, (MATCH(441, 輔助計算!$G$2:$G$801, 0)+1))&lt;=1181,2,1))))=1,TEXT(INDEX(ERP資料!$G:$G, (MATCH(441, 輔助計算!$G$2:$G$801, 0)+1)),"0.##"),IF(MOD(INDEX(輔助計算!$D:$D, (MATCH(441, 輔助計算!$G$2:$G$801, 0)+1)),IF(INDEX(ERP資料!$G:$G, (MATCH(441, 輔助計算!$G$2:$G$801, 0)+1))&lt;100, IF(INDEX(ERP資料!$G:$G, (MATCH(441, 輔助計算!$G$2:$G$801, 0)+1))&lt;=31,3,IF(INDEX(ERP資料!$G:$G, (MATCH(441, 輔助計算!$G$2:$G$801, 0)+1))&lt;=46.5,2,1)), IF(INDEX(ERP資料!$G:$G, (MATCH(441, 輔助計算!$G$2:$G$801, 0)+1))&lt;=790,3,IF(INDEX(ERP資料!$G:$G, (MATCH(441, 輔助計算!$G$2:$G$801, 0)+1))&lt;=1181,2,1))))=2,TEXT(INDEX(ERP資料!$G:$G, (MATCH(441, 輔助計算!$G$2:$G$801, 0)+1)),"0.##")&amp;"+"&amp;TEXT(INDEX(ERP資料!$G:$G, (MATCH(441, 輔助計算!$G$2:$G$801, 0)+1)),"0.##"),TEXT(INDEX(ERP資料!$G:$G, (MATCH(441, 輔助計算!$G$2:$G$801, 0)+1)),"0.##")&amp;"+"&amp;TEXT(INDEX(ERP資料!$G:$G, (MATCH(441, 輔助計算!$G$2:$G$801, 0)+1)),"0.##")&amp;"+"&amp;TEXT(INDEX(ERP資料!$G:$G, (MATCH(441, 輔助計算!$G$2:$G$801, 0)+1)),"0.##"))))&amp;"-1")), ""), "")</f>
        <v/>
      </c>
      <c r="K442" s="16" t="n"/>
      <c r="L442" s="14">
        <f>IFERROR(IF(AND(IFERROR(INDEX(ERP資料!$A:$A, (MATCH(441, 輔助計算!$G$2:$G$801, 0)+1)), "")&lt;&gt;"", IFERROR(INDEX(ERP資料!$A:$A, (MATCH(441, 輔助計算!$G$2:$G$801, 0)+1)), "")&lt;&gt;IFERROR(INDEX(ERP資料!$A:$A, MATCH(440, 輔助計算!$G$2:$G$801, 0)+1), "")), INDEX(ERP資料!$B:$B, (MATCH(441, 輔助計算!$G$2:$G$801, 0)+1)), ""), "")</f>
        <v/>
      </c>
      <c r="M442" s="17" t="n"/>
    </row>
    <row r="443">
      <c r="A443" s="10">
        <f>IFERROR(IF(AND(IFERROR(INDEX(ERP資料!$A:$A, (MATCH(442, 輔助計算!$G$2:$G$801, 0)+1)), "")&lt;&gt;"", IFERROR(INDEX(ERP資料!$A:$A, (MATCH(442, 輔助計算!$G$2:$G$801, 0)+1)), "")&lt;&gt;IFERROR(INDEX(ERP資料!$A:$A, MATCH(441, 輔助計算!$G$2:$G$801, 0)+1), "")), IFERROR(INDEX(ERP資料!$A:$A, (MATCH(442, 輔助計算!$G$2:$G$801, 0)+1)), ""), ""), "")</f>
        <v/>
      </c>
      <c r="B443" s="10">
        <f>IFERROR(IF(AND(IFERROR(INDEX(ERP資料!$A:$A, (MATCH(442, 輔助計算!$G$2:$G$801, 0)+1)), "")&lt;&gt;"", IFERROR(INDEX(ERP資料!$A:$A, (MATCH(442, 輔助計算!$G$2:$G$801, 0)+1)), "")&lt;&gt;IFERROR(INDEX(ERP資料!$A:$A, MATCH(441, 輔助計算!$G$2:$G$801, 0)+1), "")), INDEX(ERP資料!$S:$S, (MATCH(442, 輔助計算!$G$2:$G$801, 0)+1)), ""), "")</f>
        <v/>
      </c>
      <c r="C443" s="19">
        <f>IFERROR(IF(AND(IFERROR(INDEX(ERP資料!$A:$A, (MATCH(442, 輔助計算!$G$2:$G$801, 0)+1)), "")&lt;&gt;"", IFERROR(INDEX(ERP資料!$A:$A, (MATCH(442, 輔助計算!$G$2:$G$801, 0)+1)), "")&lt;&gt;IFERROR(INDEX(ERP資料!$A:$A, MATCH(441, 輔助計算!$G$2:$G$801, 0)+1), "")), IFERROR(VLOOKUP(LEFT(INDEX(ERP資料!$S:$S, (MATCH(442, 輔助計算!$G$2:$G$801, 0)+1)), 4), 紙管對照表!$A:$C, 3, FALSE), ""), ""), "")</f>
        <v/>
      </c>
      <c r="D443" s="16" t="n"/>
      <c r="E443" s="10">
        <f>IFERROR(IF(INDEX(ERP資料!$H:$H, (MATCH(442, 輔助計算!$G$2:$G$801, 0)+1))="","",INDEX(ERP資料!$H:$H, (MATCH(442, 輔助計算!$G$2:$G$801, 0)+1))), "")</f>
        <v/>
      </c>
      <c r="F443" s="10">
        <f>IFERROR(IF(INDEX(ERP資料!$E:$E, (MATCH(442, 輔助計算!$G$2:$G$801, 0)+1))="","",TRIM(INDEX(ERP資料!$E:$E, (MATCH(442, 輔助計算!$G$2:$G$801, 0)+1)))), "")</f>
        <v/>
      </c>
      <c r="G443" s="10">
        <f>IFERROR(IF(INDEX(ERP資料!$F:$F, (MATCH(442, 輔助計算!$G$2:$G$801, 0)+1))="","",INDEX(ERP資料!$F:$F, (MATCH(442, 輔助計算!$G$2:$G$801, 0)+1))), "")</f>
        <v/>
      </c>
      <c r="H443" s="10">
        <f>IFERROR(IF(INDEX(ERP資料!$G:$G, (MATCH(442, 輔助計算!$G$2:$G$801, 0)+1))="","",INDEX(ERP資料!$G:$G, (MATCH(442, 輔助計算!$G$2:$G$801, 0)+1))), "")</f>
        <v/>
      </c>
      <c r="I443" s="15">
        <f>IFERROR(INDEX(輔助計算!$D:$D, (MATCH(442, 輔助計算!$G$2:$G$801, 0)+1)), "")</f>
        <v/>
      </c>
      <c r="J443" s="15">
        <f>IFERROR(IF(AND(INDEX(輔助計算!$D:$D, (MATCH(442, 輔助計算!$G$2:$G$801, 0)+1))&lt;&gt;"", INDEX(ERP資料!$G:$G, (MATCH(442, 輔助計算!$G$2:$G$801, 0)+1))&lt;&gt;""), TRIM(IF(INT(INDEX(輔助計算!$D:$D, (MATCH(442, 輔助計算!$G$2:$G$801, 0)+1))/IF(INDEX(ERP資料!$G:$G, (MATCH(442, 輔助計算!$G$2:$G$801, 0)+1))&lt;100, IF(INDEX(ERP資料!$G:$G, (MATCH(442, 輔助計算!$G$2:$G$801, 0)+1))&lt;=31,3,IF(INDEX(ERP資料!$G:$G, (MATCH(442, 輔助計算!$G$2:$G$801, 0)+1))&lt;=46.5,2,1)), IF(INDEX(ERP資料!$G:$G, (MATCH(442, 輔助計算!$G$2:$G$801, 0)+1))&lt;=790,3,IF(INDEX(ERP資料!$G:$G, (MATCH(442, 輔助計算!$G$2:$G$801, 0)+1))&lt;=1181,2,1))))&gt;0, IF(IF(INDEX(ERP資料!$G:$G, (MATCH(442, 輔助計算!$G$2:$G$801, 0)+1))&lt;100, IF(INDEX(ERP資料!$G:$G, (MATCH(442, 輔助計算!$G$2:$G$801, 0)+1))&lt;=31,3,IF(INDEX(ERP資料!$G:$G, (MATCH(442, 輔助計算!$G$2:$G$801, 0)+1))&lt;=46.5,2,1)), IF(INDEX(ERP資料!$G:$G, (MATCH(442, 輔助計算!$G$2:$G$801, 0)+1))&lt;=790,3,IF(INDEX(ERP資料!$G:$G, (MATCH(442, 輔助計算!$G$2:$G$801, 0)+1))&lt;=1181,2,1)))=1,TEXT(INDEX(ERP資料!$G:$G, (MATCH(442, 輔助計算!$G$2:$G$801, 0)+1)),"0.##"),IF(IF(INDEX(ERP資料!$G:$G, (MATCH(442, 輔助計算!$G$2:$G$801, 0)+1))&lt;100, IF(INDEX(ERP資料!$G:$G, (MATCH(442, 輔助計算!$G$2:$G$801, 0)+1))&lt;=31,3,IF(INDEX(ERP資料!$G:$G, (MATCH(442, 輔助計算!$G$2:$G$801, 0)+1))&lt;=46.5,2,1)), IF(INDEX(ERP資料!$G:$G, (MATCH(442, 輔助計算!$G$2:$G$801, 0)+1))&lt;=790,3,IF(INDEX(ERP資料!$G:$G, (MATCH(442, 輔助計算!$G$2:$G$801, 0)+1))&lt;=1181,2,1)))=2,TEXT(INDEX(ERP資料!$G:$G, (MATCH(442, 輔助計算!$G$2:$G$801, 0)+1)),"0.##")&amp;"+"&amp;TEXT(INDEX(ERP資料!$G:$G, (MATCH(442, 輔助計算!$G$2:$G$801, 0)+1)),"0.##"),TEXT(INDEX(ERP資料!$G:$G, (MATCH(442, 輔助計算!$G$2:$G$801, 0)+1)),"0.##")&amp;"+"&amp;TEXT(INDEX(ERP資料!$G:$G, (MATCH(442, 輔助計算!$G$2:$G$801, 0)+1)),"0.##")&amp;"+"&amp;TEXT(INDEX(ERP資料!$G:$G, (MATCH(442, 輔助計算!$G$2:$G$801, 0)+1)),"0.##")))&amp;"-"&amp;INT(INDEX(輔助計算!$D:$D, (MATCH(442, 輔助計算!$G$2:$G$801, 0)+1))/IF(INDEX(ERP資料!$G:$G, (MATCH(442, 輔助計算!$G$2:$G$801, 0)+1))&lt;100, IF(INDEX(ERP資料!$G:$G, (MATCH(442, 輔助計算!$G$2:$G$801, 0)+1))&lt;=31,3,IF(INDEX(ERP資料!$G:$G, (MATCH(442, 輔助計算!$G$2:$G$801, 0)+1))&lt;=46.5,2,1)), IF(INDEX(ERP資料!$G:$G, (MATCH(442, 輔助計算!$G$2:$G$801, 0)+1))&lt;=790,3,IF(INDEX(ERP資料!$G:$G, (MATCH(442, 輔助計算!$G$2:$G$801, 0)+1))&lt;=1181,2,1)))), "")&amp;IF(AND(IF(INT(INDEX(輔助計算!$D:$D, (MATCH(442, 輔助計算!$G$2:$G$801, 0)+1))/IF(INDEX(ERP資料!$G:$G, (MATCH(442, 輔助計算!$G$2:$G$801, 0)+1))&lt;100, IF(INDEX(ERP資料!$G:$G, (MATCH(442, 輔助計算!$G$2:$G$801, 0)+1))&lt;=31,3,IF(INDEX(ERP資料!$G:$G, (MATCH(442, 輔助計算!$G$2:$G$801, 0)+1))&lt;=46.5,2,1)), IF(INDEX(ERP資料!$G:$G, (MATCH(442, 輔助計算!$G$2:$G$801, 0)+1))&lt;=790,3,IF(INDEX(ERP資料!$G:$G, (MATCH(442, 輔助計算!$G$2:$G$801, 0)+1))&lt;=1181,2,1))))&gt;0, IF(IF(INDEX(ERP資料!$G:$G, (MATCH(442, 輔助計算!$G$2:$G$801, 0)+1))&lt;100, IF(INDEX(ERP資料!$G:$G, (MATCH(442, 輔助計算!$G$2:$G$801, 0)+1))&lt;=31,3,IF(INDEX(ERP資料!$G:$G, (MATCH(442, 輔助計算!$G$2:$G$801, 0)+1))&lt;=46.5,2,1)), IF(INDEX(ERP資料!$G:$G, (MATCH(442, 輔助計算!$G$2:$G$801, 0)+1))&lt;=790,3,IF(INDEX(ERP資料!$G:$G, (MATCH(442, 輔助計算!$G$2:$G$801, 0)+1))&lt;=1181,2,1)))=1,TEXT(INDEX(ERP資料!$G:$G, (MATCH(442, 輔助計算!$G$2:$G$801, 0)+1)),"0.##"),IF(IF(INDEX(ERP資料!$G:$G, (MATCH(442, 輔助計算!$G$2:$G$801, 0)+1))&lt;100, IF(INDEX(ERP資料!$G:$G, (MATCH(442, 輔助計算!$G$2:$G$801, 0)+1))&lt;=31,3,IF(INDEX(ERP資料!$G:$G, (MATCH(442, 輔助計算!$G$2:$G$801, 0)+1))&lt;=46.5,2,1)), IF(INDEX(ERP資料!$G:$G, (MATCH(442, 輔助計算!$G$2:$G$801, 0)+1))&lt;=790,3,IF(INDEX(ERP資料!$G:$G, (MATCH(442, 輔助計算!$G$2:$G$801, 0)+1))&lt;=1181,2,1)))=2,TEXT(INDEX(ERP資料!$G:$G, (MATCH(442, 輔助計算!$G$2:$G$801, 0)+1)),"0.##")&amp;"+"&amp;TEXT(INDEX(ERP資料!$G:$G, (MATCH(442, 輔助計算!$G$2:$G$801, 0)+1)),"0.##"),TEXT(INDEX(ERP資料!$G:$G, (MATCH(442, 輔助計算!$G$2:$G$801, 0)+1)),"0.##")&amp;"+"&amp;TEXT(INDEX(ERP資料!$G:$G, (MATCH(442, 輔助計算!$G$2:$G$801, 0)+1)),"0.##")&amp;"+"&amp;TEXT(INDEX(ERP資料!$G:$G, (MATCH(442, 輔助計算!$G$2:$G$801, 0)+1)),"0.##")))&amp;"-"&amp;INT(INDEX(輔助計算!$D:$D, (MATCH(442, 輔助計算!$G$2:$G$801, 0)+1))/IF(INDEX(ERP資料!$G:$G, (MATCH(442, 輔助計算!$G$2:$G$801, 0)+1))&lt;100, IF(INDEX(ERP資料!$G:$G, (MATCH(442, 輔助計算!$G$2:$G$801, 0)+1))&lt;=31,3,IF(INDEX(ERP資料!$G:$G, (MATCH(442, 輔助計算!$G$2:$G$801, 0)+1))&lt;=46.5,2,1)), IF(INDEX(ERP資料!$G:$G, (MATCH(442, 輔助計算!$G$2:$G$801, 0)+1))&lt;=790,3,IF(INDEX(ERP資料!$G:$G, (MATCH(442, 輔助計算!$G$2:$G$801, 0)+1))&lt;=1181,2,1)))), "")&lt;&gt;"",IF(MOD(INDEX(輔助計算!$D:$D, (MATCH(442, 輔助計算!$G$2:$G$801, 0)+1)),IF(INDEX(ERP資料!$G:$G, (MATCH(442, 輔助計算!$G$2:$G$801, 0)+1))&lt;100, IF(INDEX(ERP資料!$G:$G, (MATCH(442, 輔助計算!$G$2:$G$801, 0)+1))&lt;=31,3,IF(INDEX(ERP資料!$G:$G, (MATCH(442, 輔助計算!$G$2:$G$801, 0)+1))&lt;=46.5,2,1)), IF(INDEX(ERP資料!$G:$G, (MATCH(442, 輔助計算!$G$2:$G$801, 0)+1))&lt;=790,3,IF(INDEX(ERP資料!$G:$G, (MATCH(442, 輔助計算!$G$2:$G$801, 0)+1))&lt;=1181,2,1))))=0,"",IF(MOD(INDEX(輔助計算!$D:$D, (MATCH(442, 輔助計算!$G$2:$G$801, 0)+1)),IF(INDEX(ERP資料!$G:$G, (MATCH(442, 輔助計算!$G$2:$G$801, 0)+1))&lt;100, IF(INDEX(ERP資料!$G:$G, (MATCH(442, 輔助計算!$G$2:$G$801, 0)+1))&lt;=31,3,IF(INDEX(ERP資料!$G:$G, (MATCH(442, 輔助計算!$G$2:$G$801, 0)+1))&lt;=46.5,2,1)), IF(INDEX(ERP資料!$G:$G, (MATCH(442, 輔助計算!$G$2:$G$801, 0)+1))&lt;=790,3,IF(INDEX(ERP資料!$G:$G, (MATCH(442, 輔助計算!$G$2:$G$801, 0)+1))&lt;=1181,2,1))))=0,"",IF(MOD(INDEX(輔助計算!$D:$D, (MATCH(442, 輔助計算!$G$2:$G$801, 0)+1)),IF(INDEX(ERP資料!$G:$G, (MATCH(442, 輔助計算!$G$2:$G$801, 0)+1))&lt;100, IF(INDEX(ERP資料!$G:$G, (MATCH(442, 輔助計算!$G$2:$G$801, 0)+1))&lt;=31,3,IF(INDEX(ERP資料!$G:$G, (MATCH(442, 輔助計算!$G$2:$G$801, 0)+1))&lt;=46.5,2,1)), IF(INDEX(ERP資料!$G:$G, (MATCH(442, 輔助計算!$G$2:$G$801, 0)+1))&lt;=790,3,IF(INDEX(ERP資料!$G:$G, (MATCH(442, 輔助計算!$G$2:$G$801, 0)+1))&lt;=1181,2,1))))=1,TEXT(INDEX(ERP資料!$G:$G, (MATCH(442, 輔助計算!$G$2:$G$801, 0)+1)),"0.##"),IF(MOD(INDEX(輔助計算!$D:$D, (MATCH(442, 輔助計算!$G$2:$G$801, 0)+1)),IF(INDEX(ERP資料!$G:$G, (MATCH(442, 輔助計算!$G$2:$G$801, 0)+1))&lt;100, IF(INDEX(ERP資料!$G:$G, (MATCH(442, 輔助計算!$G$2:$G$801, 0)+1))&lt;=31,3,IF(INDEX(ERP資料!$G:$G, (MATCH(442, 輔助計算!$G$2:$G$801, 0)+1))&lt;=46.5,2,1)), IF(INDEX(ERP資料!$G:$G, (MATCH(442, 輔助計算!$G$2:$G$801, 0)+1))&lt;=790,3,IF(INDEX(ERP資料!$G:$G, (MATCH(442, 輔助計算!$G$2:$G$801, 0)+1))&lt;=1181,2,1))))=2,TEXT(INDEX(ERP資料!$G:$G, (MATCH(442, 輔助計算!$G$2:$G$801, 0)+1)),"0.##")&amp;"+"&amp;TEXT(INDEX(ERP資料!$G:$G, (MATCH(442, 輔助計算!$G$2:$G$801, 0)+1)),"0.##"),TEXT(INDEX(ERP資料!$G:$G, (MATCH(442, 輔助計算!$G$2:$G$801, 0)+1)),"0.##")&amp;"+"&amp;TEXT(INDEX(ERP資料!$G:$G, (MATCH(442, 輔助計算!$G$2:$G$801, 0)+1)),"0.##")&amp;"+"&amp;TEXT(INDEX(ERP資料!$G:$G, (MATCH(442, 輔助計算!$G$2:$G$801, 0)+1)),"0.##"))))&amp;"-1")&lt;&gt;""),"  ","")&amp;IF(MOD(INDEX(輔助計算!$D:$D, (MATCH(442, 輔助計算!$G$2:$G$801, 0)+1)),IF(INDEX(ERP資料!$G:$G, (MATCH(442, 輔助計算!$G$2:$G$801, 0)+1))&lt;100, IF(INDEX(ERP資料!$G:$G, (MATCH(442, 輔助計算!$G$2:$G$801, 0)+1))&lt;=31,3,IF(INDEX(ERP資料!$G:$G, (MATCH(442, 輔助計算!$G$2:$G$801, 0)+1))&lt;=46.5,2,1)), IF(INDEX(ERP資料!$G:$G, (MATCH(442, 輔助計算!$G$2:$G$801, 0)+1))&lt;=790,3,IF(INDEX(ERP資料!$G:$G, (MATCH(442, 輔助計算!$G$2:$G$801, 0)+1))&lt;=1181,2,1))))=0,"",IF(MOD(INDEX(輔助計算!$D:$D, (MATCH(442, 輔助計算!$G$2:$G$801, 0)+1)),IF(INDEX(ERP資料!$G:$G, (MATCH(442, 輔助計算!$G$2:$G$801, 0)+1))&lt;100, IF(INDEX(ERP資料!$G:$G, (MATCH(442, 輔助計算!$G$2:$G$801, 0)+1))&lt;=31,3,IF(INDEX(ERP資料!$G:$G, (MATCH(442, 輔助計算!$G$2:$G$801, 0)+1))&lt;=46.5,2,1)), IF(INDEX(ERP資料!$G:$G, (MATCH(442, 輔助計算!$G$2:$G$801, 0)+1))&lt;=790,3,IF(INDEX(ERP資料!$G:$G, (MATCH(442, 輔助計算!$G$2:$G$801, 0)+1))&lt;=1181,2,1))))=0,"",IF(MOD(INDEX(輔助計算!$D:$D, (MATCH(442, 輔助計算!$G$2:$G$801, 0)+1)),IF(INDEX(ERP資料!$G:$G, (MATCH(442, 輔助計算!$G$2:$G$801, 0)+1))&lt;100, IF(INDEX(ERP資料!$G:$G, (MATCH(442, 輔助計算!$G$2:$G$801, 0)+1))&lt;=31,3,IF(INDEX(ERP資料!$G:$G, (MATCH(442, 輔助計算!$G$2:$G$801, 0)+1))&lt;=46.5,2,1)), IF(INDEX(ERP資料!$G:$G, (MATCH(442, 輔助計算!$G$2:$G$801, 0)+1))&lt;=790,3,IF(INDEX(ERP資料!$G:$G, (MATCH(442, 輔助計算!$G$2:$G$801, 0)+1))&lt;=1181,2,1))))=1,TEXT(INDEX(ERP資料!$G:$G, (MATCH(442, 輔助計算!$G$2:$G$801, 0)+1)),"0.##"),IF(MOD(INDEX(輔助計算!$D:$D, (MATCH(442, 輔助計算!$G$2:$G$801, 0)+1)),IF(INDEX(ERP資料!$G:$G, (MATCH(442, 輔助計算!$G$2:$G$801, 0)+1))&lt;100, IF(INDEX(ERP資料!$G:$G, (MATCH(442, 輔助計算!$G$2:$G$801, 0)+1))&lt;=31,3,IF(INDEX(ERP資料!$G:$G, (MATCH(442, 輔助計算!$G$2:$G$801, 0)+1))&lt;=46.5,2,1)), IF(INDEX(ERP資料!$G:$G, (MATCH(442, 輔助計算!$G$2:$G$801, 0)+1))&lt;=790,3,IF(INDEX(ERP資料!$G:$G, (MATCH(442, 輔助計算!$G$2:$G$801, 0)+1))&lt;=1181,2,1))))=2,TEXT(INDEX(ERP資料!$G:$G, (MATCH(442, 輔助計算!$G$2:$G$801, 0)+1)),"0.##")&amp;"+"&amp;TEXT(INDEX(ERP資料!$G:$G, (MATCH(442, 輔助計算!$G$2:$G$801, 0)+1)),"0.##"),TEXT(INDEX(ERP資料!$G:$G, (MATCH(442, 輔助計算!$G$2:$G$801, 0)+1)),"0.##")&amp;"+"&amp;TEXT(INDEX(ERP資料!$G:$G, (MATCH(442, 輔助計算!$G$2:$G$801, 0)+1)),"0.##")&amp;"+"&amp;TEXT(INDEX(ERP資料!$G:$G, (MATCH(442, 輔助計算!$G$2:$G$801, 0)+1)),"0.##"))))&amp;"-1")), ""), "")</f>
        <v/>
      </c>
      <c r="K443" s="16" t="n"/>
      <c r="L443" s="14">
        <f>IFERROR(IF(AND(IFERROR(INDEX(ERP資料!$A:$A, (MATCH(442, 輔助計算!$G$2:$G$801, 0)+1)), "")&lt;&gt;"", IFERROR(INDEX(ERP資料!$A:$A, (MATCH(442, 輔助計算!$G$2:$G$801, 0)+1)), "")&lt;&gt;IFERROR(INDEX(ERP資料!$A:$A, MATCH(441, 輔助計算!$G$2:$G$801, 0)+1), "")), INDEX(ERP資料!$B:$B, (MATCH(442, 輔助計算!$G$2:$G$801, 0)+1)), ""), "")</f>
        <v/>
      </c>
      <c r="M443" s="17" t="n"/>
    </row>
    <row r="444">
      <c r="A444" s="10">
        <f>IFERROR(IF(AND(IFERROR(INDEX(ERP資料!$A:$A, (MATCH(443, 輔助計算!$G$2:$G$801, 0)+1)), "")&lt;&gt;"", IFERROR(INDEX(ERP資料!$A:$A, (MATCH(443, 輔助計算!$G$2:$G$801, 0)+1)), "")&lt;&gt;IFERROR(INDEX(ERP資料!$A:$A, MATCH(442, 輔助計算!$G$2:$G$801, 0)+1), "")), IFERROR(INDEX(ERP資料!$A:$A, (MATCH(443, 輔助計算!$G$2:$G$801, 0)+1)), ""), ""), "")</f>
        <v/>
      </c>
      <c r="B444" s="10">
        <f>IFERROR(IF(AND(IFERROR(INDEX(ERP資料!$A:$A, (MATCH(443, 輔助計算!$G$2:$G$801, 0)+1)), "")&lt;&gt;"", IFERROR(INDEX(ERP資料!$A:$A, (MATCH(443, 輔助計算!$G$2:$G$801, 0)+1)), "")&lt;&gt;IFERROR(INDEX(ERP資料!$A:$A, MATCH(442, 輔助計算!$G$2:$G$801, 0)+1), "")), INDEX(ERP資料!$S:$S, (MATCH(443, 輔助計算!$G$2:$G$801, 0)+1)), ""), "")</f>
        <v/>
      </c>
      <c r="C444" s="19">
        <f>IFERROR(IF(AND(IFERROR(INDEX(ERP資料!$A:$A, (MATCH(443, 輔助計算!$G$2:$G$801, 0)+1)), "")&lt;&gt;"", IFERROR(INDEX(ERP資料!$A:$A, (MATCH(443, 輔助計算!$G$2:$G$801, 0)+1)), "")&lt;&gt;IFERROR(INDEX(ERP資料!$A:$A, MATCH(442, 輔助計算!$G$2:$G$801, 0)+1), "")), IFERROR(VLOOKUP(LEFT(INDEX(ERP資料!$S:$S, (MATCH(443, 輔助計算!$G$2:$G$801, 0)+1)), 4), 紙管對照表!$A:$C, 3, FALSE), ""), ""), "")</f>
        <v/>
      </c>
      <c r="D444" s="16" t="n"/>
      <c r="E444" s="10">
        <f>IFERROR(IF(INDEX(ERP資料!$H:$H, (MATCH(443, 輔助計算!$G$2:$G$801, 0)+1))="","",INDEX(ERP資料!$H:$H, (MATCH(443, 輔助計算!$G$2:$G$801, 0)+1))), "")</f>
        <v/>
      </c>
      <c r="F444" s="10">
        <f>IFERROR(IF(INDEX(ERP資料!$E:$E, (MATCH(443, 輔助計算!$G$2:$G$801, 0)+1))="","",TRIM(INDEX(ERP資料!$E:$E, (MATCH(443, 輔助計算!$G$2:$G$801, 0)+1)))), "")</f>
        <v/>
      </c>
      <c r="G444" s="10">
        <f>IFERROR(IF(INDEX(ERP資料!$F:$F, (MATCH(443, 輔助計算!$G$2:$G$801, 0)+1))="","",INDEX(ERP資料!$F:$F, (MATCH(443, 輔助計算!$G$2:$G$801, 0)+1))), "")</f>
        <v/>
      </c>
      <c r="H444" s="10">
        <f>IFERROR(IF(INDEX(ERP資料!$G:$G, (MATCH(443, 輔助計算!$G$2:$G$801, 0)+1))="","",INDEX(ERP資料!$G:$G, (MATCH(443, 輔助計算!$G$2:$G$801, 0)+1))), "")</f>
        <v/>
      </c>
      <c r="I444" s="15">
        <f>IFERROR(INDEX(輔助計算!$D:$D, (MATCH(443, 輔助計算!$G$2:$G$801, 0)+1)), "")</f>
        <v/>
      </c>
      <c r="J444" s="15">
        <f>IFERROR(IF(AND(INDEX(輔助計算!$D:$D, (MATCH(443, 輔助計算!$G$2:$G$801, 0)+1))&lt;&gt;"", INDEX(ERP資料!$G:$G, (MATCH(443, 輔助計算!$G$2:$G$801, 0)+1))&lt;&gt;""), TRIM(IF(INT(INDEX(輔助計算!$D:$D, (MATCH(443, 輔助計算!$G$2:$G$801, 0)+1))/IF(INDEX(ERP資料!$G:$G, (MATCH(443, 輔助計算!$G$2:$G$801, 0)+1))&lt;100, IF(INDEX(ERP資料!$G:$G, (MATCH(443, 輔助計算!$G$2:$G$801, 0)+1))&lt;=31,3,IF(INDEX(ERP資料!$G:$G, (MATCH(443, 輔助計算!$G$2:$G$801, 0)+1))&lt;=46.5,2,1)), IF(INDEX(ERP資料!$G:$G, (MATCH(443, 輔助計算!$G$2:$G$801, 0)+1))&lt;=790,3,IF(INDEX(ERP資料!$G:$G, (MATCH(443, 輔助計算!$G$2:$G$801, 0)+1))&lt;=1181,2,1))))&gt;0, IF(IF(INDEX(ERP資料!$G:$G, (MATCH(443, 輔助計算!$G$2:$G$801, 0)+1))&lt;100, IF(INDEX(ERP資料!$G:$G, (MATCH(443, 輔助計算!$G$2:$G$801, 0)+1))&lt;=31,3,IF(INDEX(ERP資料!$G:$G, (MATCH(443, 輔助計算!$G$2:$G$801, 0)+1))&lt;=46.5,2,1)), IF(INDEX(ERP資料!$G:$G, (MATCH(443, 輔助計算!$G$2:$G$801, 0)+1))&lt;=790,3,IF(INDEX(ERP資料!$G:$G, (MATCH(443, 輔助計算!$G$2:$G$801, 0)+1))&lt;=1181,2,1)))=1,TEXT(INDEX(ERP資料!$G:$G, (MATCH(443, 輔助計算!$G$2:$G$801, 0)+1)),"0.##"),IF(IF(INDEX(ERP資料!$G:$G, (MATCH(443, 輔助計算!$G$2:$G$801, 0)+1))&lt;100, IF(INDEX(ERP資料!$G:$G, (MATCH(443, 輔助計算!$G$2:$G$801, 0)+1))&lt;=31,3,IF(INDEX(ERP資料!$G:$G, (MATCH(443, 輔助計算!$G$2:$G$801, 0)+1))&lt;=46.5,2,1)), IF(INDEX(ERP資料!$G:$G, (MATCH(443, 輔助計算!$G$2:$G$801, 0)+1))&lt;=790,3,IF(INDEX(ERP資料!$G:$G, (MATCH(443, 輔助計算!$G$2:$G$801, 0)+1))&lt;=1181,2,1)))=2,TEXT(INDEX(ERP資料!$G:$G, (MATCH(443, 輔助計算!$G$2:$G$801, 0)+1)),"0.##")&amp;"+"&amp;TEXT(INDEX(ERP資料!$G:$G, (MATCH(443, 輔助計算!$G$2:$G$801, 0)+1)),"0.##"),TEXT(INDEX(ERP資料!$G:$G, (MATCH(443, 輔助計算!$G$2:$G$801, 0)+1)),"0.##")&amp;"+"&amp;TEXT(INDEX(ERP資料!$G:$G, (MATCH(443, 輔助計算!$G$2:$G$801, 0)+1)),"0.##")&amp;"+"&amp;TEXT(INDEX(ERP資料!$G:$G, (MATCH(443, 輔助計算!$G$2:$G$801, 0)+1)),"0.##")))&amp;"-"&amp;INT(INDEX(輔助計算!$D:$D, (MATCH(443, 輔助計算!$G$2:$G$801, 0)+1))/IF(INDEX(ERP資料!$G:$G, (MATCH(443, 輔助計算!$G$2:$G$801, 0)+1))&lt;100, IF(INDEX(ERP資料!$G:$G, (MATCH(443, 輔助計算!$G$2:$G$801, 0)+1))&lt;=31,3,IF(INDEX(ERP資料!$G:$G, (MATCH(443, 輔助計算!$G$2:$G$801, 0)+1))&lt;=46.5,2,1)), IF(INDEX(ERP資料!$G:$G, (MATCH(443, 輔助計算!$G$2:$G$801, 0)+1))&lt;=790,3,IF(INDEX(ERP資料!$G:$G, (MATCH(443, 輔助計算!$G$2:$G$801, 0)+1))&lt;=1181,2,1)))), "")&amp;IF(AND(IF(INT(INDEX(輔助計算!$D:$D, (MATCH(443, 輔助計算!$G$2:$G$801, 0)+1))/IF(INDEX(ERP資料!$G:$G, (MATCH(443, 輔助計算!$G$2:$G$801, 0)+1))&lt;100, IF(INDEX(ERP資料!$G:$G, (MATCH(443, 輔助計算!$G$2:$G$801, 0)+1))&lt;=31,3,IF(INDEX(ERP資料!$G:$G, (MATCH(443, 輔助計算!$G$2:$G$801, 0)+1))&lt;=46.5,2,1)), IF(INDEX(ERP資料!$G:$G, (MATCH(443, 輔助計算!$G$2:$G$801, 0)+1))&lt;=790,3,IF(INDEX(ERP資料!$G:$G, (MATCH(443, 輔助計算!$G$2:$G$801, 0)+1))&lt;=1181,2,1))))&gt;0, IF(IF(INDEX(ERP資料!$G:$G, (MATCH(443, 輔助計算!$G$2:$G$801, 0)+1))&lt;100, IF(INDEX(ERP資料!$G:$G, (MATCH(443, 輔助計算!$G$2:$G$801, 0)+1))&lt;=31,3,IF(INDEX(ERP資料!$G:$G, (MATCH(443, 輔助計算!$G$2:$G$801, 0)+1))&lt;=46.5,2,1)), IF(INDEX(ERP資料!$G:$G, (MATCH(443, 輔助計算!$G$2:$G$801, 0)+1))&lt;=790,3,IF(INDEX(ERP資料!$G:$G, (MATCH(443, 輔助計算!$G$2:$G$801, 0)+1))&lt;=1181,2,1)))=1,TEXT(INDEX(ERP資料!$G:$G, (MATCH(443, 輔助計算!$G$2:$G$801, 0)+1)),"0.##"),IF(IF(INDEX(ERP資料!$G:$G, (MATCH(443, 輔助計算!$G$2:$G$801, 0)+1))&lt;100, IF(INDEX(ERP資料!$G:$G, (MATCH(443, 輔助計算!$G$2:$G$801, 0)+1))&lt;=31,3,IF(INDEX(ERP資料!$G:$G, (MATCH(443, 輔助計算!$G$2:$G$801, 0)+1))&lt;=46.5,2,1)), IF(INDEX(ERP資料!$G:$G, (MATCH(443, 輔助計算!$G$2:$G$801, 0)+1))&lt;=790,3,IF(INDEX(ERP資料!$G:$G, (MATCH(443, 輔助計算!$G$2:$G$801, 0)+1))&lt;=1181,2,1)))=2,TEXT(INDEX(ERP資料!$G:$G, (MATCH(443, 輔助計算!$G$2:$G$801, 0)+1)),"0.##")&amp;"+"&amp;TEXT(INDEX(ERP資料!$G:$G, (MATCH(443, 輔助計算!$G$2:$G$801, 0)+1)),"0.##"),TEXT(INDEX(ERP資料!$G:$G, (MATCH(443, 輔助計算!$G$2:$G$801, 0)+1)),"0.##")&amp;"+"&amp;TEXT(INDEX(ERP資料!$G:$G, (MATCH(443, 輔助計算!$G$2:$G$801, 0)+1)),"0.##")&amp;"+"&amp;TEXT(INDEX(ERP資料!$G:$G, (MATCH(443, 輔助計算!$G$2:$G$801, 0)+1)),"0.##")))&amp;"-"&amp;INT(INDEX(輔助計算!$D:$D, (MATCH(443, 輔助計算!$G$2:$G$801, 0)+1))/IF(INDEX(ERP資料!$G:$G, (MATCH(443, 輔助計算!$G$2:$G$801, 0)+1))&lt;100, IF(INDEX(ERP資料!$G:$G, (MATCH(443, 輔助計算!$G$2:$G$801, 0)+1))&lt;=31,3,IF(INDEX(ERP資料!$G:$G, (MATCH(443, 輔助計算!$G$2:$G$801, 0)+1))&lt;=46.5,2,1)), IF(INDEX(ERP資料!$G:$G, (MATCH(443, 輔助計算!$G$2:$G$801, 0)+1))&lt;=790,3,IF(INDEX(ERP資料!$G:$G, (MATCH(443, 輔助計算!$G$2:$G$801, 0)+1))&lt;=1181,2,1)))), "")&lt;&gt;"",IF(MOD(INDEX(輔助計算!$D:$D, (MATCH(443, 輔助計算!$G$2:$G$801, 0)+1)),IF(INDEX(ERP資料!$G:$G, (MATCH(443, 輔助計算!$G$2:$G$801, 0)+1))&lt;100, IF(INDEX(ERP資料!$G:$G, (MATCH(443, 輔助計算!$G$2:$G$801, 0)+1))&lt;=31,3,IF(INDEX(ERP資料!$G:$G, (MATCH(443, 輔助計算!$G$2:$G$801, 0)+1))&lt;=46.5,2,1)), IF(INDEX(ERP資料!$G:$G, (MATCH(443, 輔助計算!$G$2:$G$801, 0)+1))&lt;=790,3,IF(INDEX(ERP資料!$G:$G, (MATCH(443, 輔助計算!$G$2:$G$801, 0)+1))&lt;=1181,2,1))))=0,"",IF(MOD(INDEX(輔助計算!$D:$D, (MATCH(443, 輔助計算!$G$2:$G$801, 0)+1)),IF(INDEX(ERP資料!$G:$G, (MATCH(443, 輔助計算!$G$2:$G$801, 0)+1))&lt;100, IF(INDEX(ERP資料!$G:$G, (MATCH(443, 輔助計算!$G$2:$G$801, 0)+1))&lt;=31,3,IF(INDEX(ERP資料!$G:$G, (MATCH(443, 輔助計算!$G$2:$G$801, 0)+1))&lt;=46.5,2,1)), IF(INDEX(ERP資料!$G:$G, (MATCH(443, 輔助計算!$G$2:$G$801, 0)+1))&lt;=790,3,IF(INDEX(ERP資料!$G:$G, (MATCH(443, 輔助計算!$G$2:$G$801, 0)+1))&lt;=1181,2,1))))=0,"",IF(MOD(INDEX(輔助計算!$D:$D, (MATCH(443, 輔助計算!$G$2:$G$801, 0)+1)),IF(INDEX(ERP資料!$G:$G, (MATCH(443, 輔助計算!$G$2:$G$801, 0)+1))&lt;100, IF(INDEX(ERP資料!$G:$G, (MATCH(443, 輔助計算!$G$2:$G$801, 0)+1))&lt;=31,3,IF(INDEX(ERP資料!$G:$G, (MATCH(443, 輔助計算!$G$2:$G$801, 0)+1))&lt;=46.5,2,1)), IF(INDEX(ERP資料!$G:$G, (MATCH(443, 輔助計算!$G$2:$G$801, 0)+1))&lt;=790,3,IF(INDEX(ERP資料!$G:$G, (MATCH(443, 輔助計算!$G$2:$G$801, 0)+1))&lt;=1181,2,1))))=1,TEXT(INDEX(ERP資料!$G:$G, (MATCH(443, 輔助計算!$G$2:$G$801, 0)+1)),"0.##"),IF(MOD(INDEX(輔助計算!$D:$D, (MATCH(443, 輔助計算!$G$2:$G$801, 0)+1)),IF(INDEX(ERP資料!$G:$G, (MATCH(443, 輔助計算!$G$2:$G$801, 0)+1))&lt;100, IF(INDEX(ERP資料!$G:$G, (MATCH(443, 輔助計算!$G$2:$G$801, 0)+1))&lt;=31,3,IF(INDEX(ERP資料!$G:$G, (MATCH(443, 輔助計算!$G$2:$G$801, 0)+1))&lt;=46.5,2,1)), IF(INDEX(ERP資料!$G:$G, (MATCH(443, 輔助計算!$G$2:$G$801, 0)+1))&lt;=790,3,IF(INDEX(ERP資料!$G:$G, (MATCH(443, 輔助計算!$G$2:$G$801, 0)+1))&lt;=1181,2,1))))=2,TEXT(INDEX(ERP資料!$G:$G, (MATCH(443, 輔助計算!$G$2:$G$801, 0)+1)),"0.##")&amp;"+"&amp;TEXT(INDEX(ERP資料!$G:$G, (MATCH(443, 輔助計算!$G$2:$G$801, 0)+1)),"0.##"),TEXT(INDEX(ERP資料!$G:$G, (MATCH(443, 輔助計算!$G$2:$G$801, 0)+1)),"0.##")&amp;"+"&amp;TEXT(INDEX(ERP資料!$G:$G, (MATCH(443, 輔助計算!$G$2:$G$801, 0)+1)),"0.##")&amp;"+"&amp;TEXT(INDEX(ERP資料!$G:$G, (MATCH(443, 輔助計算!$G$2:$G$801, 0)+1)),"0.##"))))&amp;"-1")&lt;&gt;""),"  ","")&amp;IF(MOD(INDEX(輔助計算!$D:$D, (MATCH(443, 輔助計算!$G$2:$G$801, 0)+1)),IF(INDEX(ERP資料!$G:$G, (MATCH(443, 輔助計算!$G$2:$G$801, 0)+1))&lt;100, IF(INDEX(ERP資料!$G:$G, (MATCH(443, 輔助計算!$G$2:$G$801, 0)+1))&lt;=31,3,IF(INDEX(ERP資料!$G:$G, (MATCH(443, 輔助計算!$G$2:$G$801, 0)+1))&lt;=46.5,2,1)), IF(INDEX(ERP資料!$G:$G, (MATCH(443, 輔助計算!$G$2:$G$801, 0)+1))&lt;=790,3,IF(INDEX(ERP資料!$G:$G, (MATCH(443, 輔助計算!$G$2:$G$801, 0)+1))&lt;=1181,2,1))))=0,"",IF(MOD(INDEX(輔助計算!$D:$D, (MATCH(443, 輔助計算!$G$2:$G$801, 0)+1)),IF(INDEX(ERP資料!$G:$G, (MATCH(443, 輔助計算!$G$2:$G$801, 0)+1))&lt;100, IF(INDEX(ERP資料!$G:$G, (MATCH(443, 輔助計算!$G$2:$G$801, 0)+1))&lt;=31,3,IF(INDEX(ERP資料!$G:$G, (MATCH(443, 輔助計算!$G$2:$G$801, 0)+1))&lt;=46.5,2,1)), IF(INDEX(ERP資料!$G:$G, (MATCH(443, 輔助計算!$G$2:$G$801, 0)+1))&lt;=790,3,IF(INDEX(ERP資料!$G:$G, (MATCH(443, 輔助計算!$G$2:$G$801, 0)+1))&lt;=1181,2,1))))=0,"",IF(MOD(INDEX(輔助計算!$D:$D, (MATCH(443, 輔助計算!$G$2:$G$801, 0)+1)),IF(INDEX(ERP資料!$G:$G, (MATCH(443, 輔助計算!$G$2:$G$801, 0)+1))&lt;100, IF(INDEX(ERP資料!$G:$G, (MATCH(443, 輔助計算!$G$2:$G$801, 0)+1))&lt;=31,3,IF(INDEX(ERP資料!$G:$G, (MATCH(443, 輔助計算!$G$2:$G$801, 0)+1))&lt;=46.5,2,1)), IF(INDEX(ERP資料!$G:$G, (MATCH(443, 輔助計算!$G$2:$G$801, 0)+1))&lt;=790,3,IF(INDEX(ERP資料!$G:$G, (MATCH(443, 輔助計算!$G$2:$G$801, 0)+1))&lt;=1181,2,1))))=1,TEXT(INDEX(ERP資料!$G:$G, (MATCH(443, 輔助計算!$G$2:$G$801, 0)+1)),"0.##"),IF(MOD(INDEX(輔助計算!$D:$D, (MATCH(443, 輔助計算!$G$2:$G$801, 0)+1)),IF(INDEX(ERP資料!$G:$G, (MATCH(443, 輔助計算!$G$2:$G$801, 0)+1))&lt;100, IF(INDEX(ERP資料!$G:$G, (MATCH(443, 輔助計算!$G$2:$G$801, 0)+1))&lt;=31,3,IF(INDEX(ERP資料!$G:$G, (MATCH(443, 輔助計算!$G$2:$G$801, 0)+1))&lt;=46.5,2,1)), IF(INDEX(ERP資料!$G:$G, (MATCH(443, 輔助計算!$G$2:$G$801, 0)+1))&lt;=790,3,IF(INDEX(ERP資料!$G:$G, (MATCH(443, 輔助計算!$G$2:$G$801, 0)+1))&lt;=1181,2,1))))=2,TEXT(INDEX(ERP資料!$G:$G, (MATCH(443, 輔助計算!$G$2:$G$801, 0)+1)),"0.##")&amp;"+"&amp;TEXT(INDEX(ERP資料!$G:$G, (MATCH(443, 輔助計算!$G$2:$G$801, 0)+1)),"0.##"),TEXT(INDEX(ERP資料!$G:$G, (MATCH(443, 輔助計算!$G$2:$G$801, 0)+1)),"0.##")&amp;"+"&amp;TEXT(INDEX(ERP資料!$G:$G, (MATCH(443, 輔助計算!$G$2:$G$801, 0)+1)),"0.##")&amp;"+"&amp;TEXT(INDEX(ERP資料!$G:$G, (MATCH(443, 輔助計算!$G$2:$G$801, 0)+1)),"0.##"))))&amp;"-1")), ""), "")</f>
        <v/>
      </c>
      <c r="K444" s="16" t="n"/>
      <c r="L444" s="14">
        <f>IFERROR(IF(AND(IFERROR(INDEX(ERP資料!$A:$A, (MATCH(443, 輔助計算!$G$2:$G$801, 0)+1)), "")&lt;&gt;"", IFERROR(INDEX(ERP資料!$A:$A, (MATCH(443, 輔助計算!$G$2:$G$801, 0)+1)), "")&lt;&gt;IFERROR(INDEX(ERP資料!$A:$A, MATCH(442, 輔助計算!$G$2:$G$801, 0)+1), "")), INDEX(ERP資料!$B:$B, (MATCH(443, 輔助計算!$G$2:$G$801, 0)+1)), ""), "")</f>
        <v/>
      </c>
      <c r="M444" s="17" t="n"/>
    </row>
    <row r="445">
      <c r="A445" s="10">
        <f>IFERROR(IF(AND(IFERROR(INDEX(ERP資料!$A:$A, (MATCH(444, 輔助計算!$G$2:$G$801, 0)+1)), "")&lt;&gt;"", IFERROR(INDEX(ERP資料!$A:$A, (MATCH(444, 輔助計算!$G$2:$G$801, 0)+1)), "")&lt;&gt;IFERROR(INDEX(ERP資料!$A:$A, MATCH(443, 輔助計算!$G$2:$G$801, 0)+1), "")), IFERROR(INDEX(ERP資料!$A:$A, (MATCH(444, 輔助計算!$G$2:$G$801, 0)+1)), ""), ""), "")</f>
        <v/>
      </c>
      <c r="B445" s="10">
        <f>IFERROR(IF(AND(IFERROR(INDEX(ERP資料!$A:$A, (MATCH(444, 輔助計算!$G$2:$G$801, 0)+1)), "")&lt;&gt;"", IFERROR(INDEX(ERP資料!$A:$A, (MATCH(444, 輔助計算!$G$2:$G$801, 0)+1)), "")&lt;&gt;IFERROR(INDEX(ERP資料!$A:$A, MATCH(443, 輔助計算!$G$2:$G$801, 0)+1), "")), INDEX(ERP資料!$S:$S, (MATCH(444, 輔助計算!$G$2:$G$801, 0)+1)), ""), "")</f>
        <v/>
      </c>
      <c r="C445" s="19">
        <f>IFERROR(IF(AND(IFERROR(INDEX(ERP資料!$A:$A, (MATCH(444, 輔助計算!$G$2:$G$801, 0)+1)), "")&lt;&gt;"", IFERROR(INDEX(ERP資料!$A:$A, (MATCH(444, 輔助計算!$G$2:$G$801, 0)+1)), "")&lt;&gt;IFERROR(INDEX(ERP資料!$A:$A, MATCH(443, 輔助計算!$G$2:$G$801, 0)+1), "")), IFERROR(VLOOKUP(LEFT(INDEX(ERP資料!$S:$S, (MATCH(444, 輔助計算!$G$2:$G$801, 0)+1)), 4), 紙管對照表!$A:$C, 3, FALSE), ""), ""), "")</f>
        <v/>
      </c>
      <c r="D445" s="16" t="n"/>
      <c r="E445" s="10">
        <f>IFERROR(IF(INDEX(ERP資料!$H:$H, (MATCH(444, 輔助計算!$G$2:$G$801, 0)+1))="","",INDEX(ERP資料!$H:$H, (MATCH(444, 輔助計算!$G$2:$G$801, 0)+1))), "")</f>
        <v/>
      </c>
      <c r="F445" s="10">
        <f>IFERROR(IF(INDEX(ERP資料!$E:$E, (MATCH(444, 輔助計算!$G$2:$G$801, 0)+1))="","",TRIM(INDEX(ERP資料!$E:$E, (MATCH(444, 輔助計算!$G$2:$G$801, 0)+1)))), "")</f>
        <v/>
      </c>
      <c r="G445" s="10">
        <f>IFERROR(IF(INDEX(ERP資料!$F:$F, (MATCH(444, 輔助計算!$G$2:$G$801, 0)+1))="","",INDEX(ERP資料!$F:$F, (MATCH(444, 輔助計算!$G$2:$G$801, 0)+1))), "")</f>
        <v/>
      </c>
      <c r="H445" s="10">
        <f>IFERROR(IF(INDEX(ERP資料!$G:$G, (MATCH(444, 輔助計算!$G$2:$G$801, 0)+1))="","",INDEX(ERP資料!$G:$G, (MATCH(444, 輔助計算!$G$2:$G$801, 0)+1))), "")</f>
        <v/>
      </c>
      <c r="I445" s="15">
        <f>IFERROR(INDEX(輔助計算!$D:$D, (MATCH(444, 輔助計算!$G$2:$G$801, 0)+1)), "")</f>
        <v/>
      </c>
      <c r="J445" s="15">
        <f>IFERROR(IF(AND(INDEX(輔助計算!$D:$D, (MATCH(444, 輔助計算!$G$2:$G$801, 0)+1))&lt;&gt;"", INDEX(ERP資料!$G:$G, (MATCH(444, 輔助計算!$G$2:$G$801, 0)+1))&lt;&gt;""), TRIM(IF(INT(INDEX(輔助計算!$D:$D, (MATCH(444, 輔助計算!$G$2:$G$801, 0)+1))/IF(INDEX(ERP資料!$G:$G, (MATCH(444, 輔助計算!$G$2:$G$801, 0)+1))&lt;100, IF(INDEX(ERP資料!$G:$G, (MATCH(444, 輔助計算!$G$2:$G$801, 0)+1))&lt;=31,3,IF(INDEX(ERP資料!$G:$G, (MATCH(444, 輔助計算!$G$2:$G$801, 0)+1))&lt;=46.5,2,1)), IF(INDEX(ERP資料!$G:$G, (MATCH(444, 輔助計算!$G$2:$G$801, 0)+1))&lt;=790,3,IF(INDEX(ERP資料!$G:$G, (MATCH(444, 輔助計算!$G$2:$G$801, 0)+1))&lt;=1181,2,1))))&gt;0, IF(IF(INDEX(ERP資料!$G:$G, (MATCH(444, 輔助計算!$G$2:$G$801, 0)+1))&lt;100, IF(INDEX(ERP資料!$G:$G, (MATCH(444, 輔助計算!$G$2:$G$801, 0)+1))&lt;=31,3,IF(INDEX(ERP資料!$G:$G, (MATCH(444, 輔助計算!$G$2:$G$801, 0)+1))&lt;=46.5,2,1)), IF(INDEX(ERP資料!$G:$G, (MATCH(444, 輔助計算!$G$2:$G$801, 0)+1))&lt;=790,3,IF(INDEX(ERP資料!$G:$G, (MATCH(444, 輔助計算!$G$2:$G$801, 0)+1))&lt;=1181,2,1)))=1,TEXT(INDEX(ERP資料!$G:$G, (MATCH(444, 輔助計算!$G$2:$G$801, 0)+1)),"0.##"),IF(IF(INDEX(ERP資料!$G:$G, (MATCH(444, 輔助計算!$G$2:$G$801, 0)+1))&lt;100, IF(INDEX(ERP資料!$G:$G, (MATCH(444, 輔助計算!$G$2:$G$801, 0)+1))&lt;=31,3,IF(INDEX(ERP資料!$G:$G, (MATCH(444, 輔助計算!$G$2:$G$801, 0)+1))&lt;=46.5,2,1)), IF(INDEX(ERP資料!$G:$G, (MATCH(444, 輔助計算!$G$2:$G$801, 0)+1))&lt;=790,3,IF(INDEX(ERP資料!$G:$G, (MATCH(444, 輔助計算!$G$2:$G$801, 0)+1))&lt;=1181,2,1)))=2,TEXT(INDEX(ERP資料!$G:$G, (MATCH(444, 輔助計算!$G$2:$G$801, 0)+1)),"0.##")&amp;"+"&amp;TEXT(INDEX(ERP資料!$G:$G, (MATCH(444, 輔助計算!$G$2:$G$801, 0)+1)),"0.##"),TEXT(INDEX(ERP資料!$G:$G, (MATCH(444, 輔助計算!$G$2:$G$801, 0)+1)),"0.##")&amp;"+"&amp;TEXT(INDEX(ERP資料!$G:$G, (MATCH(444, 輔助計算!$G$2:$G$801, 0)+1)),"0.##")&amp;"+"&amp;TEXT(INDEX(ERP資料!$G:$G, (MATCH(444, 輔助計算!$G$2:$G$801, 0)+1)),"0.##")))&amp;"-"&amp;INT(INDEX(輔助計算!$D:$D, (MATCH(444, 輔助計算!$G$2:$G$801, 0)+1))/IF(INDEX(ERP資料!$G:$G, (MATCH(444, 輔助計算!$G$2:$G$801, 0)+1))&lt;100, IF(INDEX(ERP資料!$G:$G, (MATCH(444, 輔助計算!$G$2:$G$801, 0)+1))&lt;=31,3,IF(INDEX(ERP資料!$G:$G, (MATCH(444, 輔助計算!$G$2:$G$801, 0)+1))&lt;=46.5,2,1)), IF(INDEX(ERP資料!$G:$G, (MATCH(444, 輔助計算!$G$2:$G$801, 0)+1))&lt;=790,3,IF(INDEX(ERP資料!$G:$G, (MATCH(444, 輔助計算!$G$2:$G$801, 0)+1))&lt;=1181,2,1)))), "")&amp;IF(AND(IF(INT(INDEX(輔助計算!$D:$D, (MATCH(444, 輔助計算!$G$2:$G$801, 0)+1))/IF(INDEX(ERP資料!$G:$G, (MATCH(444, 輔助計算!$G$2:$G$801, 0)+1))&lt;100, IF(INDEX(ERP資料!$G:$G, (MATCH(444, 輔助計算!$G$2:$G$801, 0)+1))&lt;=31,3,IF(INDEX(ERP資料!$G:$G, (MATCH(444, 輔助計算!$G$2:$G$801, 0)+1))&lt;=46.5,2,1)), IF(INDEX(ERP資料!$G:$G, (MATCH(444, 輔助計算!$G$2:$G$801, 0)+1))&lt;=790,3,IF(INDEX(ERP資料!$G:$G, (MATCH(444, 輔助計算!$G$2:$G$801, 0)+1))&lt;=1181,2,1))))&gt;0, IF(IF(INDEX(ERP資料!$G:$G, (MATCH(444, 輔助計算!$G$2:$G$801, 0)+1))&lt;100, IF(INDEX(ERP資料!$G:$G, (MATCH(444, 輔助計算!$G$2:$G$801, 0)+1))&lt;=31,3,IF(INDEX(ERP資料!$G:$G, (MATCH(444, 輔助計算!$G$2:$G$801, 0)+1))&lt;=46.5,2,1)), IF(INDEX(ERP資料!$G:$G, (MATCH(444, 輔助計算!$G$2:$G$801, 0)+1))&lt;=790,3,IF(INDEX(ERP資料!$G:$G, (MATCH(444, 輔助計算!$G$2:$G$801, 0)+1))&lt;=1181,2,1)))=1,TEXT(INDEX(ERP資料!$G:$G, (MATCH(444, 輔助計算!$G$2:$G$801, 0)+1)),"0.##"),IF(IF(INDEX(ERP資料!$G:$G, (MATCH(444, 輔助計算!$G$2:$G$801, 0)+1))&lt;100, IF(INDEX(ERP資料!$G:$G, (MATCH(444, 輔助計算!$G$2:$G$801, 0)+1))&lt;=31,3,IF(INDEX(ERP資料!$G:$G, (MATCH(444, 輔助計算!$G$2:$G$801, 0)+1))&lt;=46.5,2,1)), IF(INDEX(ERP資料!$G:$G, (MATCH(444, 輔助計算!$G$2:$G$801, 0)+1))&lt;=790,3,IF(INDEX(ERP資料!$G:$G, (MATCH(444, 輔助計算!$G$2:$G$801, 0)+1))&lt;=1181,2,1)))=2,TEXT(INDEX(ERP資料!$G:$G, (MATCH(444, 輔助計算!$G$2:$G$801, 0)+1)),"0.##")&amp;"+"&amp;TEXT(INDEX(ERP資料!$G:$G, (MATCH(444, 輔助計算!$G$2:$G$801, 0)+1)),"0.##"),TEXT(INDEX(ERP資料!$G:$G, (MATCH(444, 輔助計算!$G$2:$G$801, 0)+1)),"0.##")&amp;"+"&amp;TEXT(INDEX(ERP資料!$G:$G, (MATCH(444, 輔助計算!$G$2:$G$801, 0)+1)),"0.##")&amp;"+"&amp;TEXT(INDEX(ERP資料!$G:$G, (MATCH(444, 輔助計算!$G$2:$G$801, 0)+1)),"0.##")))&amp;"-"&amp;INT(INDEX(輔助計算!$D:$D, (MATCH(444, 輔助計算!$G$2:$G$801, 0)+1))/IF(INDEX(ERP資料!$G:$G, (MATCH(444, 輔助計算!$G$2:$G$801, 0)+1))&lt;100, IF(INDEX(ERP資料!$G:$G, (MATCH(444, 輔助計算!$G$2:$G$801, 0)+1))&lt;=31,3,IF(INDEX(ERP資料!$G:$G, (MATCH(444, 輔助計算!$G$2:$G$801, 0)+1))&lt;=46.5,2,1)), IF(INDEX(ERP資料!$G:$G, (MATCH(444, 輔助計算!$G$2:$G$801, 0)+1))&lt;=790,3,IF(INDEX(ERP資料!$G:$G, (MATCH(444, 輔助計算!$G$2:$G$801, 0)+1))&lt;=1181,2,1)))), "")&lt;&gt;"",IF(MOD(INDEX(輔助計算!$D:$D, (MATCH(444, 輔助計算!$G$2:$G$801, 0)+1)),IF(INDEX(ERP資料!$G:$G, (MATCH(444, 輔助計算!$G$2:$G$801, 0)+1))&lt;100, IF(INDEX(ERP資料!$G:$G, (MATCH(444, 輔助計算!$G$2:$G$801, 0)+1))&lt;=31,3,IF(INDEX(ERP資料!$G:$G, (MATCH(444, 輔助計算!$G$2:$G$801, 0)+1))&lt;=46.5,2,1)), IF(INDEX(ERP資料!$G:$G, (MATCH(444, 輔助計算!$G$2:$G$801, 0)+1))&lt;=790,3,IF(INDEX(ERP資料!$G:$G, (MATCH(444, 輔助計算!$G$2:$G$801, 0)+1))&lt;=1181,2,1))))=0,"",IF(MOD(INDEX(輔助計算!$D:$D, (MATCH(444, 輔助計算!$G$2:$G$801, 0)+1)),IF(INDEX(ERP資料!$G:$G, (MATCH(444, 輔助計算!$G$2:$G$801, 0)+1))&lt;100, IF(INDEX(ERP資料!$G:$G, (MATCH(444, 輔助計算!$G$2:$G$801, 0)+1))&lt;=31,3,IF(INDEX(ERP資料!$G:$G, (MATCH(444, 輔助計算!$G$2:$G$801, 0)+1))&lt;=46.5,2,1)), IF(INDEX(ERP資料!$G:$G, (MATCH(444, 輔助計算!$G$2:$G$801, 0)+1))&lt;=790,3,IF(INDEX(ERP資料!$G:$G, (MATCH(444, 輔助計算!$G$2:$G$801, 0)+1))&lt;=1181,2,1))))=0,"",IF(MOD(INDEX(輔助計算!$D:$D, (MATCH(444, 輔助計算!$G$2:$G$801, 0)+1)),IF(INDEX(ERP資料!$G:$G, (MATCH(444, 輔助計算!$G$2:$G$801, 0)+1))&lt;100, IF(INDEX(ERP資料!$G:$G, (MATCH(444, 輔助計算!$G$2:$G$801, 0)+1))&lt;=31,3,IF(INDEX(ERP資料!$G:$G, (MATCH(444, 輔助計算!$G$2:$G$801, 0)+1))&lt;=46.5,2,1)), IF(INDEX(ERP資料!$G:$G, (MATCH(444, 輔助計算!$G$2:$G$801, 0)+1))&lt;=790,3,IF(INDEX(ERP資料!$G:$G, (MATCH(444, 輔助計算!$G$2:$G$801, 0)+1))&lt;=1181,2,1))))=1,TEXT(INDEX(ERP資料!$G:$G, (MATCH(444, 輔助計算!$G$2:$G$801, 0)+1)),"0.##"),IF(MOD(INDEX(輔助計算!$D:$D, (MATCH(444, 輔助計算!$G$2:$G$801, 0)+1)),IF(INDEX(ERP資料!$G:$G, (MATCH(444, 輔助計算!$G$2:$G$801, 0)+1))&lt;100, IF(INDEX(ERP資料!$G:$G, (MATCH(444, 輔助計算!$G$2:$G$801, 0)+1))&lt;=31,3,IF(INDEX(ERP資料!$G:$G, (MATCH(444, 輔助計算!$G$2:$G$801, 0)+1))&lt;=46.5,2,1)), IF(INDEX(ERP資料!$G:$G, (MATCH(444, 輔助計算!$G$2:$G$801, 0)+1))&lt;=790,3,IF(INDEX(ERP資料!$G:$G, (MATCH(444, 輔助計算!$G$2:$G$801, 0)+1))&lt;=1181,2,1))))=2,TEXT(INDEX(ERP資料!$G:$G, (MATCH(444, 輔助計算!$G$2:$G$801, 0)+1)),"0.##")&amp;"+"&amp;TEXT(INDEX(ERP資料!$G:$G, (MATCH(444, 輔助計算!$G$2:$G$801, 0)+1)),"0.##"),TEXT(INDEX(ERP資料!$G:$G, (MATCH(444, 輔助計算!$G$2:$G$801, 0)+1)),"0.##")&amp;"+"&amp;TEXT(INDEX(ERP資料!$G:$G, (MATCH(444, 輔助計算!$G$2:$G$801, 0)+1)),"0.##")&amp;"+"&amp;TEXT(INDEX(ERP資料!$G:$G, (MATCH(444, 輔助計算!$G$2:$G$801, 0)+1)),"0.##"))))&amp;"-1")&lt;&gt;""),"  ","")&amp;IF(MOD(INDEX(輔助計算!$D:$D, (MATCH(444, 輔助計算!$G$2:$G$801, 0)+1)),IF(INDEX(ERP資料!$G:$G, (MATCH(444, 輔助計算!$G$2:$G$801, 0)+1))&lt;100, IF(INDEX(ERP資料!$G:$G, (MATCH(444, 輔助計算!$G$2:$G$801, 0)+1))&lt;=31,3,IF(INDEX(ERP資料!$G:$G, (MATCH(444, 輔助計算!$G$2:$G$801, 0)+1))&lt;=46.5,2,1)), IF(INDEX(ERP資料!$G:$G, (MATCH(444, 輔助計算!$G$2:$G$801, 0)+1))&lt;=790,3,IF(INDEX(ERP資料!$G:$G, (MATCH(444, 輔助計算!$G$2:$G$801, 0)+1))&lt;=1181,2,1))))=0,"",IF(MOD(INDEX(輔助計算!$D:$D, (MATCH(444, 輔助計算!$G$2:$G$801, 0)+1)),IF(INDEX(ERP資料!$G:$G, (MATCH(444, 輔助計算!$G$2:$G$801, 0)+1))&lt;100, IF(INDEX(ERP資料!$G:$G, (MATCH(444, 輔助計算!$G$2:$G$801, 0)+1))&lt;=31,3,IF(INDEX(ERP資料!$G:$G, (MATCH(444, 輔助計算!$G$2:$G$801, 0)+1))&lt;=46.5,2,1)), IF(INDEX(ERP資料!$G:$G, (MATCH(444, 輔助計算!$G$2:$G$801, 0)+1))&lt;=790,3,IF(INDEX(ERP資料!$G:$G, (MATCH(444, 輔助計算!$G$2:$G$801, 0)+1))&lt;=1181,2,1))))=0,"",IF(MOD(INDEX(輔助計算!$D:$D, (MATCH(444, 輔助計算!$G$2:$G$801, 0)+1)),IF(INDEX(ERP資料!$G:$G, (MATCH(444, 輔助計算!$G$2:$G$801, 0)+1))&lt;100, IF(INDEX(ERP資料!$G:$G, (MATCH(444, 輔助計算!$G$2:$G$801, 0)+1))&lt;=31,3,IF(INDEX(ERP資料!$G:$G, (MATCH(444, 輔助計算!$G$2:$G$801, 0)+1))&lt;=46.5,2,1)), IF(INDEX(ERP資料!$G:$G, (MATCH(444, 輔助計算!$G$2:$G$801, 0)+1))&lt;=790,3,IF(INDEX(ERP資料!$G:$G, (MATCH(444, 輔助計算!$G$2:$G$801, 0)+1))&lt;=1181,2,1))))=1,TEXT(INDEX(ERP資料!$G:$G, (MATCH(444, 輔助計算!$G$2:$G$801, 0)+1)),"0.##"),IF(MOD(INDEX(輔助計算!$D:$D, (MATCH(444, 輔助計算!$G$2:$G$801, 0)+1)),IF(INDEX(ERP資料!$G:$G, (MATCH(444, 輔助計算!$G$2:$G$801, 0)+1))&lt;100, IF(INDEX(ERP資料!$G:$G, (MATCH(444, 輔助計算!$G$2:$G$801, 0)+1))&lt;=31,3,IF(INDEX(ERP資料!$G:$G, (MATCH(444, 輔助計算!$G$2:$G$801, 0)+1))&lt;=46.5,2,1)), IF(INDEX(ERP資料!$G:$G, (MATCH(444, 輔助計算!$G$2:$G$801, 0)+1))&lt;=790,3,IF(INDEX(ERP資料!$G:$G, (MATCH(444, 輔助計算!$G$2:$G$801, 0)+1))&lt;=1181,2,1))))=2,TEXT(INDEX(ERP資料!$G:$G, (MATCH(444, 輔助計算!$G$2:$G$801, 0)+1)),"0.##")&amp;"+"&amp;TEXT(INDEX(ERP資料!$G:$G, (MATCH(444, 輔助計算!$G$2:$G$801, 0)+1)),"0.##"),TEXT(INDEX(ERP資料!$G:$G, (MATCH(444, 輔助計算!$G$2:$G$801, 0)+1)),"0.##")&amp;"+"&amp;TEXT(INDEX(ERP資料!$G:$G, (MATCH(444, 輔助計算!$G$2:$G$801, 0)+1)),"0.##")&amp;"+"&amp;TEXT(INDEX(ERP資料!$G:$G, (MATCH(444, 輔助計算!$G$2:$G$801, 0)+1)),"0.##"))))&amp;"-1")), ""), "")</f>
        <v/>
      </c>
      <c r="K445" s="16" t="n"/>
      <c r="L445" s="14">
        <f>IFERROR(IF(AND(IFERROR(INDEX(ERP資料!$A:$A, (MATCH(444, 輔助計算!$G$2:$G$801, 0)+1)), "")&lt;&gt;"", IFERROR(INDEX(ERP資料!$A:$A, (MATCH(444, 輔助計算!$G$2:$G$801, 0)+1)), "")&lt;&gt;IFERROR(INDEX(ERP資料!$A:$A, MATCH(443, 輔助計算!$G$2:$G$801, 0)+1), "")), INDEX(ERP資料!$B:$B, (MATCH(444, 輔助計算!$G$2:$G$801, 0)+1)), ""), "")</f>
        <v/>
      </c>
      <c r="M445" s="17" t="n"/>
    </row>
    <row r="446">
      <c r="A446" s="10">
        <f>IFERROR(IF(AND(IFERROR(INDEX(ERP資料!$A:$A, (MATCH(445, 輔助計算!$G$2:$G$801, 0)+1)), "")&lt;&gt;"", IFERROR(INDEX(ERP資料!$A:$A, (MATCH(445, 輔助計算!$G$2:$G$801, 0)+1)), "")&lt;&gt;IFERROR(INDEX(ERP資料!$A:$A, MATCH(444, 輔助計算!$G$2:$G$801, 0)+1), "")), IFERROR(INDEX(ERP資料!$A:$A, (MATCH(445, 輔助計算!$G$2:$G$801, 0)+1)), ""), ""), "")</f>
        <v/>
      </c>
      <c r="B446" s="10">
        <f>IFERROR(IF(AND(IFERROR(INDEX(ERP資料!$A:$A, (MATCH(445, 輔助計算!$G$2:$G$801, 0)+1)), "")&lt;&gt;"", IFERROR(INDEX(ERP資料!$A:$A, (MATCH(445, 輔助計算!$G$2:$G$801, 0)+1)), "")&lt;&gt;IFERROR(INDEX(ERP資料!$A:$A, MATCH(444, 輔助計算!$G$2:$G$801, 0)+1), "")), INDEX(ERP資料!$S:$S, (MATCH(445, 輔助計算!$G$2:$G$801, 0)+1)), ""), "")</f>
        <v/>
      </c>
      <c r="C446" s="19">
        <f>IFERROR(IF(AND(IFERROR(INDEX(ERP資料!$A:$A, (MATCH(445, 輔助計算!$G$2:$G$801, 0)+1)), "")&lt;&gt;"", IFERROR(INDEX(ERP資料!$A:$A, (MATCH(445, 輔助計算!$G$2:$G$801, 0)+1)), "")&lt;&gt;IFERROR(INDEX(ERP資料!$A:$A, MATCH(444, 輔助計算!$G$2:$G$801, 0)+1), "")), IFERROR(VLOOKUP(LEFT(INDEX(ERP資料!$S:$S, (MATCH(445, 輔助計算!$G$2:$G$801, 0)+1)), 4), 紙管對照表!$A:$C, 3, FALSE), ""), ""), "")</f>
        <v/>
      </c>
      <c r="D446" s="16" t="n"/>
      <c r="E446" s="10">
        <f>IFERROR(IF(INDEX(ERP資料!$H:$H, (MATCH(445, 輔助計算!$G$2:$G$801, 0)+1))="","",INDEX(ERP資料!$H:$H, (MATCH(445, 輔助計算!$G$2:$G$801, 0)+1))), "")</f>
        <v/>
      </c>
      <c r="F446" s="10">
        <f>IFERROR(IF(INDEX(ERP資料!$E:$E, (MATCH(445, 輔助計算!$G$2:$G$801, 0)+1))="","",TRIM(INDEX(ERP資料!$E:$E, (MATCH(445, 輔助計算!$G$2:$G$801, 0)+1)))), "")</f>
        <v/>
      </c>
      <c r="G446" s="10">
        <f>IFERROR(IF(INDEX(ERP資料!$F:$F, (MATCH(445, 輔助計算!$G$2:$G$801, 0)+1))="","",INDEX(ERP資料!$F:$F, (MATCH(445, 輔助計算!$G$2:$G$801, 0)+1))), "")</f>
        <v/>
      </c>
      <c r="H446" s="10">
        <f>IFERROR(IF(INDEX(ERP資料!$G:$G, (MATCH(445, 輔助計算!$G$2:$G$801, 0)+1))="","",INDEX(ERP資料!$G:$G, (MATCH(445, 輔助計算!$G$2:$G$801, 0)+1))), "")</f>
        <v/>
      </c>
      <c r="I446" s="15">
        <f>IFERROR(INDEX(輔助計算!$D:$D, (MATCH(445, 輔助計算!$G$2:$G$801, 0)+1)), "")</f>
        <v/>
      </c>
      <c r="J446" s="15">
        <f>IFERROR(IF(AND(INDEX(輔助計算!$D:$D, (MATCH(445, 輔助計算!$G$2:$G$801, 0)+1))&lt;&gt;"", INDEX(ERP資料!$G:$G, (MATCH(445, 輔助計算!$G$2:$G$801, 0)+1))&lt;&gt;""), TRIM(IF(INT(INDEX(輔助計算!$D:$D, (MATCH(445, 輔助計算!$G$2:$G$801, 0)+1))/IF(INDEX(ERP資料!$G:$G, (MATCH(445, 輔助計算!$G$2:$G$801, 0)+1))&lt;100, IF(INDEX(ERP資料!$G:$G, (MATCH(445, 輔助計算!$G$2:$G$801, 0)+1))&lt;=31,3,IF(INDEX(ERP資料!$G:$G, (MATCH(445, 輔助計算!$G$2:$G$801, 0)+1))&lt;=46.5,2,1)), IF(INDEX(ERP資料!$G:$G, (MATCH(445, 輔助計算!$G$2:$G$801, 0)+1))&lt;=790,3,IF(INDEX(ERP資料!$G:$G, (MATCH(445, 輔助計算!$G$2:$G$801, 0)+1))&lt;=1181,2,1))))&gt;0, IF(IF(INDEX(ERP資料!$G:$G, (MATCH(445, 輔助計算!$G$2:$G$801, 0)+1))&lt;100, IF(INDEX(ERP資料!$G:$G, (MATCH(445, 輔助計算!$G$2:$G$801, 0)+1))&lt;=31,3,IF(INDEX(ERP資料!$G:$G, (MATCH(445, 輔助計算!$G$2:$G$801, 0)+1))&lt;=46.5,2,1)), IF(INDEX(ERP資料!$G:$G, (MATCH(445, 輔助計算!$G$2:$G$801, 0)+1))&lt;=790,3,IF(INDEX(ERP資料!$G:$G, (MATCH(445, 輔助計算!$G$2:$G$801, 0)+1))&lt;=1181,2,1)))=1,TEXT(INDEX(ERP資料!$G:$G, (MATCH(445, 輔助計算!$G$2:$G$801, 0)+1)),"0.##"),IF(IF(INDEX(ERP資料!$G:$G, (MATCH(445, 輔助計算!$G$2:$G$801, 0)+1))&lt;100, IF(INDEX(ERP資料!$G:$G, (MATCH(445, 輔助計算!$G$2:$G$801, 0)+1))&lt;=31,3,IF(INDEX(ERP資料!$G:$G, (MATCH(445, 輔助計算!$G$2:$G$801, 0)+1))&lt;=46.5,2,1)), IF(INDEX(ERP資料!$G:$G, (MATCH(445, 輔助計算!$G$2:$G$801, 0)+1))&lt;=790,3,IF(INDEX(ERP資料!$G:$G, (MATCH(445, 輔助計算!$G$2:$G$801, 0)+1))&lt;=1181,2,1)))=2,TEXT(INDEX(ERP資料!$G:$G, (MATCH(445, 輔助計算!$G$2:$G$801, 0)+1)),"0.##")&amp;"+"&amp;TEXT(INDEX(ERP資料!$G:$G, (MATCH(445, 輔助計算!$G$2:$G$801, 0)+1)),"0.##"),TEXT(INDEX(ERP資料!$G:$G, (MATCH(445, 輔助計算!$G$2:$G$801, 0)+1)),"0.##")&amp;"+"&amp;TEXT(INDEX(ERP資料!$G:$G, (MATCH(445, 輔助計算!$G$2:$G$801, 0)+1)),"0.##")&amp;"+"&amp;TEXT(INDEX(ERP資料!$G:$G, (MATCH(445, 輔助計算!$G$2:$G$801, 0)+1)),"0.##")))&amp;"-"&amp;INT(INDEX(輔助計算!$D:$D, (MATCH(445, 輔助計算!$G$2:$G$801, 0)+1))/IF(INDEX(ERP資料!$G:$G, (MATCH(445, 輔助計算!$G$2:$G$801, 0)+1))&lt;100, IF(INDEX(ERP資料!$G:$G, (MATCH(445, 輔助計算!$G$2:$G$801, 0)+1))&lt;=31,3,IF(INDEX(ERP資料!$G:$G, (MATCH(445, 輔助計算!$G$2:$G$801, 0)+1))&lt;=46.5,2,1)), IF(INDEX(ERP資料!$G:$G, (MATCH(445, 輔助計算!$G$2:$G$801, 0)+1))&lt;=790,3,IF(INDEX(ERP資料!$G:$G, (MATCH(445, 輔助計算!$G$2:$G$801, 0)+1))&lt;=1181,2,1)))), "")&amp;IF(AND(IF(INT(INDEX(輔助計算!$D:$D, (MATCH(445, 輔助計算!$G$2:$G$801, 0)+1))/IF(INDEX(ERP資料!$G:$G, (MATCH(445, 輔助計算!$G$2:$G$801, 0)+1))&lt;100, IF(INDEX(ERP資料!$G:$G, (MATCH(445, 輔助計算!$G$2:$G$801, 0)+1))&lt;=31,3,IF(INDEX(ERP資料!$G:$G, (MATCH(445, 輔助計算!$G$2:$G$801, 0)+1))&lt;=46.5,2,1)), IF(INDEX(ERP資料!$G:$G, (MATCH(445, 輔助計算!$G$2:$G$801, 0)+1))&lt;=790,3,IF(INDEX(ERP資料!$G:$G, (MATCH(445, 輔助計算!$G$2:$G$801, 0)+1))&lt;=1181,2,1))))&gt;0, IF(IF(INDEX(ERP資料!$G:$G, (MATCH(445, 輔助計算!$G$2:$G$801, 0)+1))&lt;100, IF(INDEX(ERP資料!$G:$G, (MATCH(445, 輔助計算!$G$2:$G$801, 0)+1))&lt;=31,3,IF(INDEX(ERP資料!$G:$G, (MATCH(445, 輔助計算!$G$2:$G$801, 0)+1))&lt;=46.5,2,1)), IF(INDEX(ERP資料!$G:$G, (MATCH(445, 輔助計算!$G$2:$G$801, 0)+1))&lt;=790,3,IF(INDEX(ERP資料!$G:$G, (MATCH(445, 輔助計算!$G$2:$G$801, 0)+1))&lt;=1181,2,1)))=1,TEXT(INDEX(ERP資料!$G:$G, (MATCH(445, 輔助計算!$G$2:$G$801, 0)+1)),"0.##"),IF(IF(INDEX(ERP資料!$G:$G, (MATCH(445, 輔助計算!$G$2:$G$801, 0)+1))&lt;100, IF(INDEX(ERP資料!$G:$G, (MATCH(445, 輔助計算!$G$2:$G$801, 0)+1))&lt;=31,3,IF(INDEX(ERP資料!$G:$G, (MATCH(445, 輔助計算!$G$2:$G$801, 0)+1))&lt;=46.5,2,1)), IF(INDEX(ERP資料!$G:$G, (MATCH(445, 輔助計算!$G$2:$G$801, 0)+1))&lt;=790,3,IF(INDEX(ERP資料!$G:$G, (MATCH(445, 輔助計算!$G$2:$G$801, 0)+1))&lt;=1181,2,1)))=2,TEXT(INDEX(ERP資料!$G:$G, (MATCH(445, 輔助計算!$G$2:$G$801, 0)+1)),"0.##")&amp;"+"&amp;TEXT(INDEX(ERP資料!$G:$G, (MATCH(445, 輔助計算!$G$2:$G$801, 0)+1)),"0.##"),TEXT(INDEX(ERP資料!$G:$G, (MATCH(445, 輔助計算!$G$2:$G$801, 0)+1)),"0.##")&amp;"+"&amp;TEXT(INDEX(ERP資料!$G:$G, (MATCH(445, 輔助計算!$G$2:$G$801, 0)+1)),"0.##")&amp;"+"&amp;TEXT(INDEX(ERP資料!$G:$G, (MATCH(445, 輔助計算!$G$2:$G$801, 0)+1)),"0.##")))&amp;"-"&amp;INT(INDEX(輔助計算!$D:$D, (MATCH(445, 輔助計算!$G$2:$G$801, 0)+1))/IF(INDEX(ERP資料!$G:$G, (MATCH(445, 輔助計算!$G$2:$G$801, 0)+1))&lt;100, IF(INDEX(ERP資料!$G:$G, (MATCH(445, 輔助計算!$G$2:$G$801, 0)+1))&lt;=31,3,IF(INDEX(ERP資料!$G:$G, (MATCH(445, 輔助計算!$G$2:$G$801, 0)+1))&lt;=46.5,2,1)), IF(INDEX(ERP資料!$G:$G, (MATCH(445, 輔助計算!$G$2:$G$801, 0)+1))&lt;=790,3,IF(INDEX(ERP資料!$G:$G, (MATCH(445, 輔助計算!$G$2:$G$801, 0)+1))&lt;=1181,2,1)))), "")&lt;&gt;"",IF(MOD(INDEX(輔助計算!$D:$D, (MATCH(445, 輔助計算!$G$2:$G$801, 0)+1)),IF(INDEX(ERP資料!$G:$G, (MATCH(445, 輔助計算!$G$2:$G$801, 0)+1))&lt;100, IF(INDEX(ERP資料!$G:$G, (MATCH(445, 輔助計算!$G$2:$G$801, 0)+1))&lt;=31,3,IF(INDEX(ERP資料!$G:$G, (MATCH(445, 輔助計算!$G$2:$G$801, 0)+1))&lt;=46.5,2,1)), IF(INDEX(ERP資料!$G:$G, (MATCH(445, 輔助計算!$G$2:$G$801, 0)+1))&lt;=790,3,IF(INDEX(ERP資料!$G:$G, (MATCH(445, 輔助計算!$G$2:$G$801, 0)+1))&lt;=1181,2,1))))=0,"",IF(MOD(INDEX(輔助計算!$D:$D, (MATCH(445, 輔助計算!$G$2:$G$801, 0)+1)),IF(INDEX(ERP資料!$G:$G, (MATCH(445, 輔助計算!$G$2:$G$801, 0)+1))&lt;100, IF(INDEX(ERP資料!$G:$G, (MATCH(445, 輔助計算!$G$2:$G$801, 0)+1))&lt;=31,3,IF(INDEX(ERP資料!$G:$G, (MATCH(445, 輔助計算!$G$2:$G$801, 0)+1))&lt;=46.5,2,1)), IF(INDEX(ERP資料!$G:$G, (MATCH(445, 輔助計算!$G$2:$G$801, 0)+1))&lt;=790,3,IF(INDEX(ERP資料!$G:$G, (MATCH(445, 輔助計算!$G$2:$G$801, 0)+1))&lt;=1181,2,1))))=0,"",IF(MOD(INDEX(輔助計算!$D:$D, (MATCH(445, 輔助計算!$G$2:$G$801, 0)+1)),IF(INDEX(ERP資料!$G:$G, (MATCH(445, 輔助計算!$G$2:$G$801, 0)+1))&lt;100, IF(INDEX(ERP資料!$G:$G, (MATCH(445, 輔助計算!$G$2:$G$801, 0)+1))&lt;=31,3,IF(INDEX(ERP資料!$G:$G, (MATCH(445, 輔助計算!$G$2:$G$801, 0)+1))&lt;=46.5,2,1)), IF(INDEX(ERP資料!$G:$G, (MATCH(445, 輔助計算!$G$2:$G$801, 0)+1))&lt;=790,3,IF(INDEX(ERP資料!$G:$G, (MATCH(445, 輔助計算!$G$2:$G$801, 0)+1))&lt;=1181,2,1))))=1,TEXT(INDEX(ERP資料!$G:$G, (MATCH(445, 輔助計算!$G$2:$G$801, 0)+1)),"0.##"),IF(MOD(INDEX(輔助計算!$D:$D, (MATCH(445, 輔助計算!$G$2:$G$801, 0)+1)),IF(INDEX(ERP資料!$G:$G, (MATCH(445, 輔助計算!$G$2:$G$801, 0)+1))&lt;100, IF(INDEX(ERP資料!$G:$G, (MATCH(445, 輔助計算!$G$2:$G$801, 0)+1))&lt;=31,3,IF(INDEX(ERP資料!$G:$G, (MATCH(445, 輔助計算!$G$2:$G$801, 0)+1))&lt;=46.5,2,1)), IF(INDEX(ERP資料!$G:$G, (MATCH(445, 輔助計算!$G$2:$G$801, 0)+1))&lt;=790,3,IF(INDEX(ERP資料!$G:$G, (MATCH(445, 輔助計算!$G$2:$G$801, 0)+1))&lt;=1181,2,1))))=2,TEXT(INDEX(ERP資料!$G:$G, (MATCH(445, 輔助計算!$G$2:$G$801, 0)+1)),"0.##")&amp;"+"&amp;TEXT(INDEX(ERP資料!$G:$G, (MATCH(445, 輔助計算!$G$2:$G$801, 0)+1)),"0.##"),TEXT(INDEX(ERP資料!$G:$G, (MATCH(445, 輔助計算!$G$2:$G$801, 0)+1)),"0.##")&amp;"+"&amp;TEXT(INDEX(ERP資料!$G:$G, (MATCH(445, 輔助計算!$G$2:$G$801, 0)+1)),"0.##")&amp;"+"&amp;TEXT(INDEX(ERP資料!$G:$G, (MATCH(445, 輔助計算!$G$2:$G$801, 0)+1)),"0.##"))))&amp;"-1")&lt;&gt;""),"  ","")&amp;IF(MOD(INDEX(輔助計算!$D:$D, (MATCH(445, 輔助計算!$G$2:$G$801, 0)+1)),IF(INDEX(ERP資料!$G:$G, (MATCH(445, 輔助計算!$G$2:$G$801, 0)+1))&lt;100, IF(INDEX(ERP資料!$G:$G, (MATCH(445, 輔助計算!$G$2:$G$801, 0)+1))&lt;=31,3,IF(INDEX(ERP資料!$G:$G, (MATCH(445, 輔助計算!$G$2:$G$801, 0)+1))&lt;=46.5,2,1)), IF(INDEX(ERP資料!$G:$G, (MATCH(445, 輔助計算!$G$2:$G$801, 0)+1))&lt;=790,3,IF(INDEX(ERP資料!$G:$G, (MATCH(445, 輔助計算!$G$2:$G$801, 0)+1))&lt;=1181,2,1))))=0,"",IF(MOD(INDEX(輔助計算!$D:$D, (MATCH(445, 輔助計算!$G$2:$G$801, 0)+1)),IF(INDEX(ERP資料!$G:$G, (MATCH(445, 輔助計算!$G$2:$G$801, 0)+1))&lt;100, IF(INDEX(ERP資料!$G:$G, (MATCH(445, 輔助計算!$G$2:$G$801, 0)+1))&lt;=31,3,IF(INDEX(ERP資料!$G:$G, (MATCH(445, 輔助計算!$G$2:$G$801, 0)+1))&lt;=46.5,2,1)), IF(INDEX(ERP資料!$G:$G, (MATCH(445, 輔助計算!$G$2:$G$801, 0)+1))&lt;=790,3,IF(INDEX(ERP資料!$G:$G, (MATCH(445, 輔助計算!$G$2:$G$801, 0)+1))&lt;=1181,2,1))))=0,"",IF(MOD(INDEX(輔助計算!$D:$D, (MATCH(445, 輔助計算!$G$2:$G$801, 0)+1)),IF(INDEX(ERP資料!$G:$G, (MATCH(445, 輔助計算!$G$2:$G$801, 0)+1))&lt;100, IF(INDEX(ERP資料!$G:$G, (MATCH(445, 輔助計算!$G$2:$G$801, 0)+1))&lt;=31,3,IF(INDEX(ERP資料!$G:$G, (MATCH(445, 輔助計算!$G$2:$G$801, 0)+1))&lt;=46.5,2,1)), IF(INDEX(ERP資料!$G:$G, (MATCH(445, 輔助計算!$G$2:$G$801, 0)+1))&lt;=790,3,IF(INDEX(ERP資料!$G:$G, (MATCH(445, 輔助計算!$G$2:$G$801, 0)+1))&lt;=1181,2,1))))=1,TEXT(INDEX(ERP資料!$G:$G, (MATCH(445, 輔助計算!$G$2:$G$801, 0)+1)),"0.##"),IF(MOD(INDEX(輔助計算!$D:$D, (MATCH(445, 輔助計算!$G$2:$G$801, 0)+1)),IF(INDEX(ERP資料!$G:$G, (MATCH(445, 輔助計算!$G$2:$G$801, 0)+1))&lt;100, IF(INDEX(ERP資料!$G:$G, (MATCH(445, 輔助計算!$G$2:$G$801, 0)+1))&lt;=31,3,IF(INDEX(ERP資料!$G:$G, (MATCH(445, 輔助計算!$G$2:$G$801, 0)+1))&lt;=46.5,2,1)), IF(INDEX(ERP資料!$G:$G, (MATCH(445, 輔助計算!$G$2:$G$801, 0)+1))&lt;=790,3,IF(INDEX(ERP資料!$G:$G, (MATCH(445, 輔助計算!$G$2:$G$801, 0)+1))&lt;=1181,2,1))))=2,TEXT(INDEX(ERP資料!$G:$G, (MATCH(445, 輔助計算!$G$2:$G$801, 0)+1)),"0.##")&amp;"+"&amp;TEXT(INDEX(ERP資料!$G:$G, (MATCH(445, 輔助計算!$G$2:$G$801, 0)+1)),"0.##"),TEXT(INDEX(ERP資料!$G:$G, (MATCH(445, 輔助計算!$G$2:$G$801, 0)+1)),"0.##")&amp;"+"&amp;TEXT(INDEX(ERP資料!$G:$G, (MATCH(445, 輔助計算!$G$2:$G$801, 0)+1)),"0.##")&amp;"+"&amp;TEXT(INDEX(ERP資料!$G:$G, (MATCH(445, 輔助計算!$G$2:$G$801, 0)+1)),"0.##"))))&amp;"-1")), ""), "")</f>
        <v/>
      </c>
      <c r="K446" s="16" t="n"/>
      <c r="L446" s="14">
        <f>IFERROR(IF(AND(IFERROR(INDEX(ERP資料!$A:$A, (MATCH(445, 輔助計算!$G$2:$G$801, 0)+1)), "")&lt;&gt;"", IFERROR(INDEX(ERP資料!$A:$A, (MATCH(445, 輔助計算!$G$2:$G$801, 0)+1)), "")&lt;&gt;IFERROR(INDEX(ERP資料!$A:$A, MATCH(444, 輔助計算!$G$2:$G$801, 0)+1), "")), INDEX(ERP資料!$B:$B, (MATCH(445, 輔助計算!$G$2:$G$801, 0)+1)), ""), "")</f>
        <v/>
      </c>
      <c r="M446" s="17" t="n"/>
    </row>
    <row r="447">
      <c r="A447" s="10">
        <f>IFERROR(IF(AND(IFERROR(INDEX(ERP資料!$A:$A, (MATCH(446, 輔助計算!$G$2:$G$801, 0)+1)), "")&lt;&gt;"", IFERROR(INDEX(ERP資料!$A:$A, (MATCH(446, 輔助計算!$G$2:$G$801, 0)+1)), "")&lt;&gt;IFERROR(INDEX(ERP資料!$A:$A, MATCH(445, 輔助計算!$G$2:$G$801, 0)+1), "")), IFERROR(INDEX(ERP資料!$A:$A, (MATCH(446, 輔助計算!$G$2:$G$801, 0)+1)), ""), ""), "")</f>
        <v/>
      </c>
      <c r="B447" s="10">
        <f>IFERROR(IF(AND(IFERROR(INDEX(ERP資料!$A:$A, (MATCH(446, 輔助計算!$G$2:$G$801, 0)+1)), "")&lt;&gt;"", IFERROR(INDEX(ERP資料!$A:$A, (MATCH(446, 輔助計算!$G$2:$G$801, 0)+1)), "")&lt;&gt;IFERROR(INDEX(ERP資料!$A:$A, MATCH(445, 輔助計算!$G$2:$G$801, 0)+1), "")), INDEX(ERP資料!$S:$S, (MATCH(446, 輔助計算!$G$2:$G$801, 0)+1)), ""), "")</f>
        <v/>
      </c>
      <c r="C447" s="19">
        <f>IFERROR(IF(AND(IFERROR(INDEX(ERP資料!$A:$A, (MATCH(446, 輔助計算!$G$2:$G$801, 0)+1)), "")&lt;&gt;"", IFERROR(INDEX(ERP資料!$A:$A, (MATCH(446, 輔助計算!$G$2:$G$801, 0)+1)), "")&lt;&gt;IFERROR(INDEX(ERP資料!$A:$A, MATCH(445, 輔助計算!$G$2:$G$801, 0)+1), "")), IFERROR(VLOOKUP(LEFT(INDEX(ERP資料!$S:$S, (MATCH(446, 輔助計算!$G$2:$G$801, 0)+1)), 4), 紙管對照表!$A:$C, 3, FALSE), ""), ""), "")</f>
        <v/>
      </c>
      <c r="D447" s="16" t="n"/>
      <c r="E447" s="10">
        <f>IFERROR(IF(INDEX(ERP資料!$H:$H, (MATCH(446, 輔助計算!$G$2:$G$801, 0)+1))="","",INDEX(ERP資料!$H:$H, (MATCH(446, 輔助計算!$G$2:$G$801, 0)+1))), "")</f>
        <v/>
      </c>
      <c r="F447" s="10">
        <f>IFERROR(IF(INDEX(ERP資料!$E:$E, (MATCH(446, 輔助計算!$G$2:$G$801, 0)+1))="","",TRIM(INDEX(ERP資料!$E:$E, (MATCH(446, 輔助計算!$G$2:$G$801, 0)+1)))), "")</f>
        <v/>
      </c>
      <c r="G447" s="10">
        <f>IFERROR(IF(INDEX(ERP資料!$F:$F, (MATCH(446, 輔助計算!$G$2:$G$801, 0)+1))="","",INDEX(ERP資料!$F:$F, (MATCH(446, 輔助計算!$G$2:$G$801, 0)+1))), "")</f>
        <v/>
      </c>
      <c r="H447" s="10">
        <f>IFERROR(IF(INDEX(ERP資料!$G:$G, (MATCH(446, 輔助計算!$G$2:$G$801, 0)+1))="","",INDEX(ERP資料!$G:$G, (MATCH(446, 輔助計算!$G$2:$G$801, 0)+1))), "")</f>
        <v/>
      </c>
      <c r="I447" s="15">
        <f>IFERROR(INDEX(輔助計算!$D:$D, (MATCH(446, 輔助計算!$G$2:$G$801, 0)+1)), "")</f>
        <v/>
      </c>
      <c r="J447" s="15">
        <f>IFERROR(IF(AND(INDEX(輔助計算!$D:$D, (MATCH(446, 輔助計算!$G$2:$G$801, 0)+1))&lt;&gt;"", INDEX(ERP資料!$G:$G, (MATCH(446, 輔助計算!$G$2:$G$801, 0)+1))&lt;&gt;""), TRIM(IF(INT(INDEX(輔助計算!$D:$D, (MATCH(446, 輔助計算!$G$2:$G$801, 0)+1))/IF(INDEX(ERP資料!$G:$G, (MATCH(446, 輔助計算!$G$2:$G$801, 0)+1))&lt;100, IF(INDEX(ERP資料!$G:$G, (MATCH(446, 輔助計算!$G$2:$G$801, 0)+1))&lt;=31,3,IF(INDEX(ERP資料!$G:$G, (MATCH(446, 輔助計算!$G$2:$G$801, 0)+1))&lt;=46.5,2,1)), IF(INDEX(ERP資料!$G:$G, (MATCH(446, 輔助計算!$G$2:$G$801, 0)+1))&lt;=790,3,IF(INDEX(ERP資料!$G:$G, (MATCH(446, 輔助計算!$G$2:$G$801, 0)+1))&lt;=1181,2,1))))&gt;0, IF(IF(INDEX(ERP資料!$G:$G, (MATCH(446, 輔助計算!$G$2:$G$801, 0)+1))&lt;100, IF(INDEX(ERP資料!$G:$G, (MATCH(446, 輔助計算!$G$2:$G$801, 0)+1))&lt;=31,3,IF(INDEX(ERP資料!$G:$G, (MATCH(446, 輔助計算!$G$2:$G$801, 0)+1))&lt;=46.5,2,1)), IF(INDEX(ERP資料!$G:$G, (MATCH(446, 輔助計算!$G$2:$G$801, 0)+1))&lt;=790,3,IF(INDEX(ERP資料!$G:$G, (MATCH(446, 輔助計算!$G$2:$G$801, 0)+1))&lt;=1181,2,1)))=1,TEXT(INDEX(ERP資料!$G:$G, (MATCH(446, 輔助計算!$G$2:$G$801, 0)+1)),"0.##"),IF(IF(INDEX(ERP資料!$G:$G, (MATCH(446, 輔助計算!$G$2:$G$801, 0)+1))&lt;100, IF(INDEX(ERP資料!$G:$G, (MATCH(446, 輔助計算!$G$2:$G$801, 0)+1))&lt;=31,3,IF(INDEX(ERP資料!$G:$G, (MATCH(446, 輔助計算!$G$2:$G$801, 0)+1))&lt;=46.5,2,1)), IF(INDEX(ERP資料!$G:$G, (MATCH(446, 輔助計算!$G$2:$G$801, 0)+1))&lt;=790,3,IF(INDEX(ERP資料!$G:$G, (MATCH(446, 輔助計算!$G$2:$G$801, 0)+1))&lt;=1181,2,1)))=2,TEXT(INDEX(ERP資料!$G:$G, (MATCH(446, 輔助計算!$G$2:$G$801, 0)+1)),"0.##")&amp;"+"&amp;TEXT(INDEX(ERP資料!$G:$G, (MATCH(446, 輔助計算!$G$2:$G$801, 0)+1)),"0.##"),TEXT(INDEX(ERP資料!$G:$G, (MATCH(446, 輔助計算!$G$2:$G$801, 0)+1)),"0.##")&amp;"+"&amp;TEXT(INDEX(ERP資料!$G:$G, (MATCH(446, 輔助計算!$G$2:$G$801, 0)+1)),"0.##")&amp;"+"&amp;TEXT(INDEX(ERP資料!$G:$G, (MATCH(446, 輔助計算!$G$2:$G$801, 0)+1)),"0.##")))&amp;"-"&amp;INT(INDEX(輔助計算!$D:$D, (MATCH(446, 輔助計算!$G$2:$G$801, 0)+1))/IF(INDEX(ERP資料!$G:$G, (MATCH(446, 輔助計算!$G$2:$G$801, 0)+1))&lt;100, IF(INDEX(ERP資料!$G:$G, (MATCH(446, 輔助計算!$G$2:$G$801, 0)+1))&lt;=31,3,IF(INDEX(ERP資料!$G:$G, (MATCH(446, 輔助計算!$G$2:$G$801, 0)+1))&lt;=46.5,2,1)), IF(INDEX(ERP資料!$G:$G, (MATCH(446, 輔助計算!$G$2:$G$801, 0)+1))&lt;=790,3,IF(INDEX(ERP資料!$G:$G, (MATCH(446, 輔助計算!$G$2:$G$801, 0)+1))&lt;=1181,2,1)))), "")&amp;IF(AND(IF(INT(INDEX(輔助計算!$D:$D, (MATCH(446, 輔助計算!$G$2:$G$801, 0)+1))/IF(INDEX(ERP資料!$G:$G, (MATCH(446, 輔助計算!$G$2:$G$801, 0)+1))&lt;100, IF(INDEX(ERP資料!$G:$G, (MATCH(446, 輔助計算!$G$2:$G$801, 0)+1))&lt;=31,3,IF(INDEX(ERP資料!$G:$G, (MATCH(446, 輔助計算!$G$2:$G$801, 0)+1))&lt;=46.5,2,1)), IF(INDEX(ERP資料!$G:$G, (MATCH(446, 輔助計算!$G$2:$G$801, 0)+1))&lt;=790,3,IF(INDEX(ERP資料!$G:$G, (MATCH(446, 輔助計算!$G$2:$G$801, 0)+1))&lt;=1181,2,1))))&gt;0, IF(IF(INDEX(ERP資料!$G:$G, (MATCH(446, 輔助計算!$G$2:$G$801, 0)+1))&lt;100, IF(INDEX(ERP資料!$G:$G, (MATCH(446, 輔助計算!$G$2:$G$801, 0)+1))&lt;=31,3,IF(INDEX(ERP資料!$G:$G, (MATCH(446, 輔助計算!$G$2:$G$801, 0)+1))&lt;=46.5,2,1)), IF(INDEX(ERP資料!$G:$G, (MATCH(446, 輔助計算!$G$2:$G$801, 0)+1))&lt;=790,3,IF(INDEX(ERP資料!$G:$G, (MATCH(446, 輔助計算!$G$2:$G$801, 0)+1))&lt;=1181,2,1)))=1,TEXT(INDEX(ERP資料!$G:$G, (MATCH(446, 輔助計算!$G$2:$G$801, 0)+1)),"0.##"),IF(IF(INDEX(ERP資料!$G:$G, (MATCH(446, 輔助計算!$G$2:$G$801, 0)+1))&lt;100, IF(INDEX(ERP資料!$G:$G, (MATCH(446, 輔助計算!$G$2:$G$801, 0)+1))&lt;=31,3,IF(INDEX(ERP資料!$G:$G, (MATCH(446, 輔助計算!$G$2:$G$801, 0)+1))&lt;=46.5,2,1)), IF(INDEX(ERP資料!$G:$G, (MATCH(446, 輔助計算!$G$2:$G$801, 0)+1))&lt;=790,3,IF(INDEX(ERP資料!$G:$G, (MATCH(446, 輔助計算!$G$2:$G$801, 0)+1))&lt;=1181,2,1)))=2,TEXT(INDEX(ERP資料!$G:$G, (MATCH(446, 輔助計算!$G$2:$G$801, 0)+1)),"0.##")&amp;"+"&amp;TEXT(INDEX(ERP資料!$G:$G, (MATCH(446, 輔助計算!$G$2:$G$801, 0)+1)),"0.##"),TEXT(INDEX(ERP資料!$G:$G, (MATCH(446, 輔助計算!$G$2:$G$801, 0)+1)),"0.##")&amp;"+"&amp;TEXT(INDEX(ERP資料!$G:$G, (MATCH(446, 輔助計算!$G$2:$G$801, 0)+1)),"0.##")&amp;"+"&amp;TEXT(INDEX(ERP資料!$G:$G, (MATCH(446, 輔助計算!$G$2:$G$801, 0)+1)),"0.##")))&amp;"-"&amp;INT(INDEX(輔助計算!$D:$D, (MATCH(446, 輔助計算!$G$2:$G$801, 0)+1))/IF(INDEX(ERP資料!$G:$G, (MATCH(446, 輔助計算!$G$2:$G$801, 0)+1))&lt;100, IF(INDEX(ERP資料!$G:$G, (MATCH(446, 輔助計算!$G$2:$G$801, 0)+1))&lt;=31,3,IF(INDEX(ERP資料!$G:$G, (MATCH(446, 輔助計算!$G$2:$G$801, 0)+1))&lt;=46.5,2,1)), IF(INDEX(ERP資料!$G:$G, (MATCH(446, 輔助計算!$G$2:$G$801, 0)+1))&lt;=790,3,IF(INDEX(ERP資料!$G:$G, (MATCH(446, 輔助計算!$G$2:$G$801, 0)+1))&lt;=1181,2,1)))), "")&lt;&gt;"",IF(MOD(INDEX(輔助計算!$D:$D, (MATCH(446, 輔助計算!$G$2:$G$801, 0)+1)),IF(INDEX(ERP資料!$G:$G, (MATCH(446, 輔助計算!$G$2:$G$801, 0)+1))&lt;100, IF(INDEX(ERP資料!$G:$G, (MATCH(446, 輔助計算!$G$2:$G$801, 0)+1))&lt;=31,3,IF(INDEX(ERP資料!$G:$G, (MATCH(446, 輔助計算!$G$2:$G$801, 0)+1))&lt;=46.5,2,1)), IF(INDEX(ERP資料!$G:$G, (MATCH(446, 輔助計算!$G$2:$G$801, 0)+1))&lt;=790,3,IF(INDEX(ERP資料!$G:$G, (MATCH(446, 輔助計算!$G$2:$G$801, 0)+1))&lt;=1181,2,1))))=0,"",IF(MOD(INDEX(輔助計算!$D:$D, (MATCH(446, 輔助計算!$G$2:$G$801, 0)+1)),IF(INDEX(ERP資料!$G:$G, (MATCH(446, 輔助計算!$G$2:$G$801, 0)+1))&lt;100, IF(INDEX(ERP資料!$G:$G, (MATCH(446, 輔助計算!$G$2:$G$801, 0)+1))&lt;=31,3,IF(INDEX(ERP資料!$G:$G, (MATCH(446, 輔助計算!$G$2:$G$801, 0)+1))&lt;=46.5,2,1)), IF(INDEX(ERP資料!$G:$G, (MATCH(446, 輔助計算!$G$2:$G$801, 0)+1))&lt;=790,3,IF(INDEX(ERP資料!$G:$G, (MATCH(446, 輔助計算!$G$2:$G$801, 0)+1))&lt;=1181,2,1))))=0,"",IF(MOD(INDEX(輔助計算!$D:$D, (MATCH(446, 輔助計算!$G$2:$G$801, 0)+1)),IF(INDEX(ERP資料!$G:$G, (MATCH(446, 輔助計算!$G$2:$G$801, 0)+1))&lt;100, IF(INDEX(ERP資料!$G:$G, (MATCH(446, 輔助計算!$G$2:$G$801, 0)+1))&lt;=31,3,IF(INDEX(ERP資料!$G:$G, (MATCH(446, 輔助計算!$G$2:$G$801, 0)+1))&lt;=46.5,2,1)), IF(INDEX(ERP資料!$G:$G, (MATCH(446, 輔助計算!$G$2:$G$801, 0)+1))&lt;=790,3,IF(INDEX(ERP資料!$G:$G, (MATCH(446, 輔助計算!$G$2:$G$801, 0)+1))&lt;=1181,2,1))))=1,TEXT(INDEX(ERP資料!$G:$G, (MATCH(446, 輔助計算!$G$2:$G$801, 0)+1)),"0.##"),IF(MOD(INDEX(輔助計算!$D:$D, (MATCH(446, 輔助計算!$G$2:$G$801, 0)+1)),IF(INDEX(ERP資料!$G:$G, (MATCH(446, 輔助計算!$G$2:$G$801, 0)+1))&lt;100, IF(INDEX(ERP資料!$G:$G, (MATCH(446, 輔助計算!$G$2:$G$801, 0)+1))&lt;=31,3,IF(INDEX(ERP資料!$G:$G, (MATCH(446, 輔助計算!$G$2:$G$801, 0)+1))&lt;=46.5,2,1)), IF(INDEX(ERP資料!$G:$G, (MATCH(446, 輔助計算!$G$2:$G$801, 0)+1))&lt;=790,3,IF(INDEX(ERP資料!$G:$G, (MATCH(446, 輔助計算!$G$2:$G$801, 0)+1))&lt;=1181,2,1))))=2,TEXT(INDEX(ERP資料!$G:$G, (MATCH(446, 輔助計算!$G$2:$G$801, 0)+1)),"0.##")&amp;"+"&amp;TEXT(INDEX(ERP資料!$G:$G, (MATCH(446, 輔助計算!$G$2:$G$801, 0)+1)),"0.##"),TEXT(INDEX(ERP資料!$G:$G, (MATCH(446, 輔助計算!$G$2:$G$801, 0)+1)),"0.##")&amp;"+"&amp;TEXT(INDEX(ERP資料!$G:$G, (MATCH(446, 輔助計算!$G$2:$G$801, 0)+1)),"0.##")&amp;"+"&amp;TEXT(INDEX(ERP資料!$G:$G, (MATCH(446, 輔助計算!$G$2:$G$801, 0)+1)),"0.##"))))&amp;"-1")&lt;&gt;""),"  ","")&amp;IF(MOD(INDEX(輔助計算!$D:$D, (MATCH(446, 輔助計算!$G$2:$G$801, 0)+1)),IF(INDEX(ERP資料!$G:$G, (MATCH(446, 輔助計算!$G$2:$G$801, 0)+1))&lt;100, IF(INDEX(ERP資料!$G:$G, (MATCH(446, 輔助計算!$G$2:$G$801, 0)+1))&lt;=31,3,IF(INDEX(ERP資料!$G:$G, (MATCH(446, 輔助計算!$G$2:$G$801, 0)+1))&lt;=46.5,2,1)), IF(INDEX(ERP資料!$G:$G, (MATCH(446, 輔助計算!$G$2:$G$801, 0)+1))&lt;=790,3,IF(INDEX(ERP資料!$G:$G, (MATCH(446, 輔助計算!$G$2:$G$801, 0)+1))&lt;=1181,2,1))))=0,"",IF(MOD(INDEX(輔助計算!$D:$D, (MATCH(446, 輔助計算!$G$2:$G$801, 0)+1)),IF(INDEX(ERP資料!$G:$G, (MATCH(446, 輔助計算!$G$2:$G$801, 0)+1))&lt;100, IF(INDEX(ERP資料!$G:$G, (MATCH(446, 輔助計算!$G$2:$G$801, 0)+1))&lt;=31,3,IF(INDEX(ERP資料!$G:$G, (MATCH(446, 輔助計算!$G$2:$G$801, 0)+1))&lt;=46.5,2,1)), IF(INDEX(ERP資料!$G:$G, (MATCH(446, 輔助計算!$G$2:$G$801, 0)+1))&lt;=790,3,IF(INDEX(ERP資料!$G:$G, (MATCH(446, 輔助計算!$G$2:$G$801, 0)+1))&lt;=1181,2,1))))=0,"",IF(MOD(INDEX(輔助計算!$D:$D, (MATCH(446, 輔助計算!$G$2:$G$801, 0)+1)),IF(INDEX(ERP資料!$G:$G, (MATCH(446, 輔助計算!$G$2:$G$801, 0)+1))&lt;100, IF(INDEX(ERP資料!$G:$G, (MATCH(446, 輔助計算!$G$2:$G$801, 0)+1))&lt;=31,3,IF(INDEX(ERP資料!$G:$G, (MATCH(446, 輔助計算!$G$2:$G$801, 0)+1))&lt;=46.5,2,1)), IF(INDEX(ERP資料!$G:$G, (MATCH(446, 輔助計算!$G$2:$G$801, 0)+1))&lt;=790,3,IF(INDEX(ERP資料!$G:$G, (MATCH(446, 輔助計算!$G$2:$G$801, 0)+1))&lt;=1181,2,1))))=1,TEXT(INDEX(ERP資料!$G:$G, (MATCH(446, 輔助計算!$G$2:$G$801, 0)+1)),"0.##"),IF(MOD(INDEX(輔助計算!$D:$D, (MATCH(446, 輔助計算!$G$2:$G$801, 0)+1)),IF(INDEX(ERP資料!$G:$G, (MATCH(446, 輔助計算!$G$2:$G$801, 0)+1))&lt;100, IF(INDEX(ERP資料!$G:$G, (MATCH(446, 輔助計算!$G$2:$G$801, 0)+1))&lt;=31,3,IF(INDEX(ERP資料!$G:$G, (MATCH(446, 輔助計算!$G$2:$G$801, 0)+1))&lt;=46.5,2,1)), IF(INDEX(ERP資料!$G:$G, (MATCH(446, 輔助計算!$G$2:$G$801, 0)+1))&lt;=790,3,IF(INDEX(ERP資料!$G:$G, (MATCH(446, 輔助計算!$G$2:$G$801, 0)+1))&lt;=1181,2,1))))=2,TEXT(INDEX(ERP資料!$G:$G, (MATCH(446, 輔助計算!$G$2:$G$801, 0)+1)),"0.##")&amp;"+"&amp;TEXT(INDEX(ERP資料!$G:$G, (MATCH(446, 輔助計算!$G$2:$G$801, 0)+1)),"0.##"),TEXT(INDEX(ERP資料!$G:$G, (MATCH(446, 輔助計算!$G$2:$G$801, 0)+1)),"0.##")&amp;"+"&amp;TEXT(INDEX(ERP資料!$G:$G, (MATCH(446, 輔助計算!$G$2:$G$801, 0)+1)),"0.##")&amp;"+"&amp;TEXT(INDEX(ERP資料!$G:$G, (MATCH(446, 輔助計算!$G$2:$G$801, 0)+1)),"0.##"))))&amp;"-1")), ""), "")</f>
        <v/>
      </c>
      <c r="K447" s="16" t="n"/>
      <c r="L447" s="14">
        <f>IFERROR(IF(AND(IFERROR(INDEX(ERP資料!$A:$A, (MATCH(446, 輔助計算!$G$2:$G$801, 0)+1)), "")&lt;&gt;"", IFERROR(INDEX(ERP資料!$A:$A, (MATCH(446, 輔助計算!$G$2:$G$801, 0)+1)), "")&lt;&gt;IFERROR(INDEX(ERP資料!$A:$A, MATCH(445, 輔助計算!$G$2:$G$801, 0)+1), "")), INDEX(ERP資料!$B:$B, (MATCH(446, 輔助計算!$G$2:$G$801, 0)+1)), ""), "")</f>
        <v/>
      </c>
      <c r="M447" s="17" t="n"/>
    </row>
    <row r="448">
      <c r="A448" s="10">
        <f>IFERROR(IF(AND(IFERROR(INDEX(ERP資料!$A:$A, (MATCH(447, 輔助計算!$G$2:$G$801, 0)+1)), "")&lt;&gt;"", IFERROR(INDEX(ERP資料!$A:$A, (MATCH(447, 輔助計算!$G$2:$G$801, 0)+1)), "")&lt;&gt;IFERROR(INDEX(ERP資料!$A:$A, MATCH(446, 輔助計算!$G$2:$G$801, 0)+1), "")), IFERROR(INDEX(ERP資料!$A:$A, (MATCH(447, 輔助計算!$G$2:$G$801, 0)+1)), ""), ""), "")</f>
        <v/>
      </c>
      <c r="B448" s="10">
        <f>IFERROR(IF(AND(IFERROR(INDEX(ERP資料!$A:$A, (MATCH(447, 輔助計算!$G$2:$G$801, 0)+1)), "")&lt;&gt;"", IFERROR(INDEX(ERP資料!$A:$A, (MATCH(447, 輔助計算!$G$2:$G$801, 0)+1)), "")&lt;&gt;IFERROR(INDEX(ERP資料!$A:$A, MATCH(446, 輔助計算!$G$2:$G$801, 0)+1), "")), INDEX(ERP資料!$S:$S, (MATCH(447, 輔助計算!$G$2:$G$801, 0)+1)), ""), "")</f>
        <v/>
      </c>
      <c r="C448" s="19">
        <f>IFERROR(IF(AND(IFERROR(INDEX(ERP資料!$A:$A, (MATCH(447, 輔助計算!$G$2:$G$801, 0)+1)), "")&lt;&gt;"", IFERROR(INDEX(ERP資料!$A:$A, (MATCH(447, 輔助計算!$G$2:$G$801, 0)+1)), "")&lt;&gt;IFERROR(INDEX(ERP資料!$A:$A, MATCH(446, 輔助計算!$G$2:$G$801, 0)+1), "")), IFERROR(VLOOKUP(LEFT(INDEX(ERP資料!$S:$S, (MATCH(447, 輔助計算!$G$2:$G$801, 0)+1)), 4), 紙管對照表!$A:$C, 3, FALSE), ""), ""), "")</f>
        <v/>
      </c>
      <c r="D448" s="16" t="n"/>
      <c r="E448" s="10">
        <f>IFERROR(IF(INDEX(ERP資料!$H:$H, (MATCH(447, 輔助計算!$G$2:$G$801, 0)+1))="","",INDEX(ERP資料!$H:$H, (MATCH(447, 輔助計算!$G$2:$G$801, 0)+1))), "")</f>
        <v/>
      </c>
      <c r="F448" s="10">
        <f>IFERROR(IF(INDEX(ERP資料!$E:$E, (MATCH(447, 輔助計算!$G$2:$G$801, 0)+1))="","",TRIM(INDEX(ERP資料!$E:$E, (MATCH(447, 輔助計算!$G$2:$G$801, 0)+1)))), "")</f>
        <v/>
      </c>
      <c r="G448" s="10">
        <f>IFERROR(IF(INDEX(ERP資料!$F:$F, (MATCH(447, 輔助計算!$G$2:$G$801, 0)+1))="","",INDEX(ERP資料!$F:$F, (MATCH(447, 輔助計算!$G$2:$G$801, 0)+1))), "")</f>
        <v/>
      </c>
      <c r="H448" s="10">
        <f>IFERROR(IF(INDEX(ERP資料!$G:$G, (MATCH(447, 輔助計算!$G$2:$G$801, 0)+1))="","",INDEX(ERP資料!$G:$G, (MATCH(447, 輔助計算!$G$2:$G$801, 0)+1))), "")</f>
        <v/>
      </c>
      <c r="I448" s="15">
        <f>IFERROR(INDEX(輔助計算!$D:$D, (MATCH(447, 輔助計算!$G$2:$G$801, 0)+1)), "")</f>
        <v/>
      </c>
      <c r="J448" s="15">
        <f>IFERROR(IF(AND(INDEX(輔助計算!$D:$D, (MATCH(447, 輔助計算!$G$2:$G$801, 0)+1))&lt;&gt;"", INDEX(ERP資料!$G:$G, (MATCH(447, 輔助計算!$G$2:$G$801, 0)+1))&lt;&gt;""), TRIM(IF(INT(INDEX(輔助計算!$D:$D, (MATCH(447, 輔助計算!$G$2:$G$801, 0)+1))/IF(INDEX(ERP資料!$G:$G, (MATCH(447, 輔助計算!$G$2:$G$801, 0)+1))&lt;100, IF(INDEX(ERP資料!$G:$G, (MATCH(447, 輔助計算!$G$2:$G$801, 0)+1))&lt;=31,3,IF(INDEX(ERP資料!$G:$G, (MATCH(447, 輔助計算!$G$2:$G$801, 0)+1))&lt;=46.5,2,1)), IF(INDEX(ERP資料!$G:$G, (MATCH(447, 輔助計算!$G$2:$G$801, 0)+1))&lt;=790,3,IF(INDEX(ERP資料!$G:$G, (MATCH(447, 輔助計算!$G$2:$G$801, 0)+1))&lt;=1181,2,1))))&gt;0, IF(IF(INDEX(ERP資料!$G:$G, (MATCH(447, 輔助計算!$G$2:$G$801, 0)+1))&lt;100, IF(INDEX(ERP資料!$G:$G, (MATCH(447, 輔助計算!$G$2:$G$801, 0)+1))&lt;=31,3,IF(INDEX(ERP資料!$G:$G, (MATCH(447, 輔助計算!$G$2:$G$801, 0)+1))&lt;=46.5,2,1)), IF(INDEX(ERP資料!$G:$G, (MATCH(447, 輔助計算!$G$2:$G$801, 0)+1))&lt;=790,3,IF(INDEX(ERP資料!$G:$G, (MATCH(447, 輔助計算!$G$2:$G$801, 0)+1))&lt;=1181,2,1)))=1,TEXT(INDEX(ERP資料!$G:$G, (MATCH(447, 輔助計算!$G$2:$G$801, 0)+1)),"0.##"),IF(IF(INDEX(ERP資料!$G:$G, (MATCH(447, 輔助計算!$G$2:$G$801, 0)+1))&lt;100, IF(INDEX(ERP資料!$G:$G, (MATCH(447, 輔助計算!$G$2:$G$801, 0)+1))&lt;=31,3,IF(INDEX(ERP資料!$G:$G, (MATCH(447, 輔助計算!$G$2:$G$801, 0)+1))&lt;=46.5,2,1)), IF(INDEX(ERP資料!$G:$G, (MATCH(447, 輔助計算!$G$2:$G$801, 0)+1))&lt;=790,3,IF(INDEX(ERP資料!$G:$G, (MATCH(447, 輔助計算!$G$2:$G$801, 0)+1))&lt;=1181,2,1)))=2,TEXT(INDEX(ERP資料!$G:$G, (MATCH(447, 輔助計算!$G$2:$G$801, 0)+1)),"0.##")&amp;"+"&amp;TEXT(INDEX(ERP資料!$G:$G, (MATCH(447, 輔助計算!$G$2:$G$801, 0)+1)),"0.##"),TEXT(INDEX(ERP資料!$G:$G, (MATCH(447, 輔助計算!$G$2:$G$801, 0)+1)),"0.##")&amp;"+"&amp;TEXT(INDEX(ERP資料!$G:$G, (MATCH(447, 輔助計算!$G$2:$G$801, 0)+1)),"0.##")&amp;"+"&amp;TEXT(INDEX(ERP資料!$G:$G, (MATCH(447, 輔助計算!$G$2:$G$801, 0)+1)),"0.##")))&amp;"-"&amp;INT(INDEX(輔助計算!$D:$D, (MATCH(447, 輔助計算!$G$2:$G$801, 0)+1))/IF(INDEX(ERP資料!$G:$G, (MATCH(447, 輔助計算!$G$2:$G$801, 0)+1))&lt;100, IF(INDEX(ERP資料!$G:$G, (MATCH(447, 輔助計算!$G$2:$G$801, 0)+1))&lt;=31,3,IF(INDEX(ERP資料!$G:$G, (MATCH(447, 輔助計算!$G$2:$G$801, 0)+1))&lt;=46.5,2,1)), IF(INDEX(ERP資料!$G:$G, (MATCH(447, 輔助計算!$G$2:$G$801, 0)+1))&lt;=790,3,IF(INDEX(ERP資料!$G:$G, (MATCH(447, 輔助計算!$G$2:$G$801, 0)+1))&lt;=1181,2,1)))), "")&amp;IF(AND(IF(INT(INDEX(輔助計算!$D:$D, (MATCH(447, 輔助計算!$G$2:$G$801, 0)+1))/IF(INDEX(ERP資料!$G:$G, (MATCH(447, 輔助計算!$G$2:$G$801, 0)+1))&lt;100, IF(INDEX(ERP資料!$G:$G, (MATCH(447, 輔助計算!$G$2:$G$801, 0)+1))&lt;=31,3,IF(INDEX(ERP資料!$G:$G, (MATCH(447, 輔助計算!$G$2:$G$801, 0)+1))&lt;=46.5,2,1)), IF(INDEX(ERP資料!$G:$G, (MATCH(447, 輔助計算!$G$2:$G$801, 0)+1))&lt;=790,3,IF(INDEX(ERP資料!$G:$G, (MATCH(447, 輔助計算!$G$2:$G$801, 0)+1))&lt;=1181,2,1))))&gt;0, IF(IF(INDEX(ERP資料!$G:$G, (MATCH(447, 輔助計算!$G$2:$G$801, 0)+1))&lt;100, IF(INDEX(ERP資料!$G:$G, (MATCH(447, 輔助計算!$G$2:$G$801, 0)+1))&lt;=31,3,IF(INDEX(ERP資料!$G:$G, (MATCH(447, 輔助計算!$G$2:$G$801, 0)+1))&lt;=46.5,2,1)), IF(INDEX(ERP資料!$G:$G, (MATCH(447, 輔助計算!$G$2:$G$801, 0)+1))&lt;=790,3,IF(INDEX(ERP資料!$G:$G, (MATCH(447, 輔助計算!$G$2:$G$801, 0)+1))&lt;=1181,2,1)))=1,TEXT(INDEX(ERP資料!$G:$G, (MATCH(447, 輔助計算!$G$2:$G$801, 0)+1)),"0.##"),IF(IF(INDEX(ERP資料!$G:$G, (MATCH(447, 輔助計算!$G$2:$G$801, 0)+1))&lt;100, IF(INDEX(ERP資料!$G:$G, (MATCH(447, 輔助計算!$G$2:$G$801, 0)+1))&lt;=31,3,IF(INDEX(ERP資料!$G:$G, (MATCH(447, 輔助計算!$G$2:$G$801, 0)+1))&lt;=46.5,2,1)), IF(INDEX(ERP資料!$G:$G, (MATCH(447, 輔助計算!$G$2:$G$801, 0)+1))&lt;=790,3,IF(INDEX(ERP資料!$G:$G, (MATCH(447, 輔助計算!$G$2:$G$801, 0)+1))&lt;=1181,2,1)))=2,TEXT(INDEX(ERP資料!$G:$G, (MATCH(447, 輔助計算!$G$2:$G$801, 0)+1)),"0.##")&amp;"+"&amp;TEXT(INDEX(ERP資料!$G:$G, (MATCH(447, 輔助計算!$G$2:$G$801, 0)+1)),"0.##"),TEXT(INDEX(ERP資料!$G:$G, (MATCH(447, 輔助計算!$G$2:$G$801, 0)+1)),"0.##")&amp;"+"&amp;TEXT(INDEX(ERP資料!$G:$G, (MATCH(447, 輔助計算!$G$2:$G$801, 0)+1)),"0.##")&amp;"+"&amp;TEXT(INDEX(ERP資料!$G:$G, (MATCH(447, 輔助計算!$G$2:$G$801, 0)+1)),"0.##")))&amp;"-"&amp;INT(INDEX(輔助計算!$D:$D, (MATCH(447, 輔助計算!$G$2:$G$801, 0)+1))/IF(INDEX(ERP資料!$G:$G, (MATCH(447, 輔助計算!$G$2:$G$801, 0)+1))&lt;100, IF(INDEX(ERP資料!$G:$G, (MATCH(447, 輔助計算!$G$2:$G$801, 0)+1))&lt;=31,3,IF(INDEX(ERP資料!$G:$G, (MATCH(447, 輔助計算!$G$2:$G$801, 0)+1))&lt;=46.5,2,1)), IF(INDEX(ERP資料!$G:$G, (MATCH(447, 輔助計算!$G$2:$G$801, 0)+1))&lt;=790,3,IF(INDEX(ERP資料!$G:$G, (MATCH(447, 輔助計算!$G$2:$G$801, 0)+1))&lt;=1181,2,1)))), "")&lt;&gt;"",IF(MOD(INDEX(輔助計算!$D:$D, (MATCH(447, 輔助計算!$G$2:$G$801, 0)+1)),IF(INDEX(ERP資料!$G:$G, (MATCH(447, 輔助計算!$G$2:$G$801, 0)+1))&lt;100, IF(INDEX(ERP資料!$G:$G, (MATCH(447, 輔助計算!$G$2:$G$801, 0)+1))&lt;=31,3,IF(INDEX(ERP資料!$G:$G, (MATCH(447, 輔助計算!$G$2:$G$801, 0)+1))&lt;=46.5,2,1)), IF(INDEX(ERP資料!$G:$G, (MATCH(447, 輔助計算!$G$2:$G$801, 0)+1))&lt;=790,3,IF(INDEX(ERP資料!$G:$G, (MATCH(447, 輔助計算!$G$2:$G$801, 0)+1))&lt;=1181,2,1))))=0,"",IF(MOD(INDEX(輔助計算!$D:$D, (MATCH(447, 輔助計算!$G$2:$G$801, 0)+1)),IF(INDEX(ERP資料!$G:$G, (MATCH(447, 輔助計算!$G$2:$G$801, 0)+1))&lt;100, IF(INDEX(ERP資料!$G:$G, (MATCH(447, 輔助計算!$G$2:$G$801, 0)+1))&lt;=31,3,IF(INDEX(ERP資料!$G:$G, (MATCH(447, 輔助計算!$G$2:$G$801, 0)+1))&lt;=46.5,2,1)), IF(INDEX(ERP資料!$G:$G, (MATCH(447, 輔助計算!$G$2:$G$801, 0)+1))&lt;=790,3,IF(INDEX(ERP資料!$G:$G, (MATCH(447, 輔助計算!$G$2:$G$801, 0)+1))&lt;=1181,2,1))))=0,"",IF(MOD(INDEX(輔助計算!$D:$D, (MATCH(447, 輔助計算!$G$2:$G$801, 0)+1)),IF(INDEX(ERP資料!$G:$G, (MATCH(447, 輔助計算!$G$2:$G$801, 0)+1))&lt;100, IF(INDEX(ERP資料!$G:$G, (MATCH(447, 輔助計算!$G$2:$G$801, 0)+1))&lt;=31,3,IF(INDEX(ERP資料!$G:$G, (MATCH(447, 輔助計算!$G$2:$G$801, 0)+1))&lt;=46.5,2,1)), IF(INDEX(ERP資料!$G:$G, (MATCH(447, 輔助計算!$G$2:$G$801, 0)+1))&lt;=790,3,IF(INDEX(ERP資料!$G:$G, (MATCH(447, 輔助計算!$G$2:$G$801, 0)+1))&lt;=1181,2,1))))=1,TEXT(INDEX(ERP資料!$G:$G, (MATCH(447, 輔助計算!$G$2:$G$801, 0)+1)),"0.##"),IF(MOD(INDEX(輔助計算!$D:$D, (MATCH(447, 輔助計算!$G$2:$G$801, 0)+1)),IF(INDEX(ERP資料!$G:$G, (MATCH(447, 輔助計算!$G$2:$G$801, 0)+1))&lt;100, IF(INDEX(ERP資料!$G:$G, (MATCH(447, 輔助計算!$G$2:$G$801, 0)+1))&lt;=31,3,IF(INDEX(ERP資料!$G:$G, (MATCH(447, 輔助計算!$G$2:$G$801, 0)+1))&lt;=46.5,2,1)), IF(INDEX(ERP資料!$G:$G, (MATCH(447, 輔助計算!$G$2:$G$801, 0)+1))&lt;=790,3,IF(INDEX(ERP資料!$G:$G, (MATCH(447, 輔助計算!$G$2:$G$801, 0)+1))&lt;=1181,2,1))))=2,TEXT(INDEX(ERP資料!$G:$G, (MATCH(447, 輔助計算!$G$2:$G$801, 0)+1)),"0.##")&amp;"+"&amp;TEXT(INDEX(ERP資料!$G:$G, (MATCH(447, 輔助計算!$G$2:$G$801, 0)+1)),"0.##"),TEXT(INDEX(ERP資料!$G:$G, (MATCH(447, 輔助計算!$G$2:$G$801, 0)+1)),"0.##")&amp;"+"&amp;TEXT(INDEX(ERP資料!$G:$G, (MATCH(447, 輔助計算!$G$2:$G$801, 0)+1)),"0.##")&amp;"+"&amp;TEXT(INDEX(ERP資料!$G:$G, (MATCH(447, 輔助計算!$G$2:$G$801, 0)+1)),"0.##"))))&amp;"-1")&lt;&gt;""),"  ","")&amp;IF(MOD(INDEX(輔助計算!$D:$D, (MATCH(447, 輔助計算!$G$2:$G$801, 0)+1)),IF(INDEX(ERP資料!$G:$G, (MATCH(447, 輔助計算!$G$2:$G$801, 0)+1))&lt;100, IF(INDEX(ERP資料!$G:$G, (MATCH(447, 輔助計算!$G$2:$G$801, 0)+1))&lt;=31,3,IF(INDEX(ERP資料!$G:$G, (MATCH(447, 輔助計算!$G$2:$G$801, 0)+1))&lt;=46.5,2,1)), IF(INDEX(ERP資料!$G:$G, (MATCH(447, 輔助計算!$G$2:$G$801, 0)+1))&lt;=790,3,IF(INDEX(ERP資料!$G:$G, (MATCH(447, 輔助計算!$G$2:$G$801, 0)+1))&lt;=1181,2,1))))=0,"",IF(MOD(INDEX(輔助計算!$D:$D, (MATCH(447, 輔助計算!$G$2:$G$801, 0)+1)),IF(INDEX(ERP資料!$G:$G, (MATCH(447, 輔助計算!$G$2:$G$801, 0)+1))&lt;100, IF(INDEX(ERP資料!$G:$G, (MATCH(447, 輔助計算!$G$2:$G$801, 0)+1))&lt;=31,3,IF(INDEX(ERP資料!$G:$G, (MATCH(447, 輔助計算!$G$2:$G$801, 0)+1))&lt;=46.5,2,1)), IF(INDEX(ERP資料!$G:$G, (MATCH(447, 輔助計算!$G$2:$G$801, 0)+1))&lt;=790,3,IF(INDEX(ERP資料!$G:$G, (MATCH(447, 輔助計算!$G$2:$G$801, 0)+1))&lt;=1181,2,1))))=0,"",IF(MOD(INDEX(輔助計算!$D:$D, (MATCH(447, 輔助計算!$G$2:$G$801, 0)+1)),IF(INDEX(ERP資料!$G:$G, (MATCH(447, 輔助計算!$G$2:$G$801, 0)+1))&lt;100, IF(INDEX(ERP資料!$G:$G, (MATCH(447, 輔助計算!$G$2:$G$801, 0)+1))&lt;=31,3,IF(INDEX(ERP資料!$G:$G, (MATCH(447, 輔助計算!$G$2:$G$801, 0)+1))&lt;=46.5,2,1)), IF(INDEX(ERP資料!$G:$G, (MATCH(447, 輔助計算!$G$2:$G$801, 0)+1))&lt;=790,3,IF(INDEX(ERP資料!$G:$G, (MATCH(447, 輔助計算!$G$2:$G$801, 0)+1))&lt;=1181,2,1))))=1,TEXT(INDEX(ERP資料!$G:$G, (MATCH(447, 輔助計算!$G$2:$G$801, 0)+1)),"0.##"),IF(MOD(INDEX(輔助計算!$D:$D, (MATCH(447, 輔助計算!$G$2:$G$801, 0)+1)),IF(INDEX(ERP資料!$G:$G, (MATCH(447, 輔助計算!$G$2:$G$801, 0)+1))&lt;100, IF(INDEX(ERP資料!$G:$G, (MATCH(447, 輔助計算!$G$2:$G$801, 0)+1))&lt;=31,3,IF(INDEX(ERP資料!$G:$G, (MATCH(447, 輔助計算!$G$2:$G$801, 0)+1))&lt;=46.5,2,1)), IF(INDEX(ERP資料!$G:$G, (MATCH(447, 輔助計算!$G$2:$G$801, 0)+1))&lt;=790,3,IF(INDEX(ERP資料!$G:$G, (MATCH(447, 輔助計算!$G$2:$G$801, 0)+1))&lt;=1181,2,1))))=2,TEXT(INDEX(ERP資料!$G:$G, (MATCH(447, 輔助計算!$G$2:$G$801, 0)+1)),"0.##")&amp;"+"&amp;TEXT(INDEX(ERP資料!$G:$G, (MATCH(447, 輔助計算!$G$2:$G$801, 0)+1)),"0.##"),TEXT(INDEX(ERP資料!$G:$G, (MATCH(447, 輔助計算!$G$2:$G$801, 0)+1)),"0.##")&amp;"+"&amp;TEXT(INDEX(ERP資料!$G:$G, (MATCH(447, 輔助計算!$G$2:$G$801, 0)+1)),"0.##")&amp;"+"&amp;TEXT(INDEX(ERP資料!$G:$G, (MATCH(447, 輔助計算!$G$2:$G$801, 0)+1)),"0.##"))))&amp;"-1")), ""), "")</f>
        <v/>
      </c>
      <c r="K448" s="16" t="n"/>
      <c r="L448" s="14">
        <f>IFERROR(IF(AND(IFERROR(INDEX(ERP資料!$A:$A, (MATCH(447, 輔助計算!$G$2:$G$801, 0)+1)), "")&lt;&gt;"", IFERROR(INDEX(ERP資料!$A:$A, (MATCH(447, 輔助計算!$G$2:$G$801, 0)+1)), "")&lt;&gt;IFERROR(INDEX(ERP資料!$A:$A, MATCH(446, 輔助計算!$G$2:$G$801, 0)+1), "")), INDEX(ERP資料!$B:$B, (MATCH(447, 輔助計算!$G$2:$G$801, 0)+1)), ""), "")</f>
        <v/>
      </c>
      <c r="M448" s="17" t="n"/>
    </row>
    <row r="449">
      <c r="A449" s="10">
        <f>IFERROR(IF(AND(IFERROR(INDEX(ERP資料!$A:$A, (MATCH(448, 輔助計算!$G$2:$G$801, 0)+1)), "")&lt;&gt;"", IFERROR(INDEX(ERP資料!$A:$A, (MATCH(448, 輔助計算!$G$2:$G$801, 0)+1)), "")&lt;&gt;IFERROR(INDEX(ERP資料!$A:$A, MATCH(447, 輔助計算!$G$2:$G$801, 0)+1), "")), IFERROR(INDEX(ERP資料!$A:$A, (MATCH(448, 輔助計算!$G$2:$G$801, 0)+1)), ""), ""), "")</f>
        <v/>
      </c>
      <c r="B449" s="10">
        <f>IFERROR(IF(AND(IFERROR(INDEX(ERP資料!$A:$A, (MATCH(448, 輔助計算!$G$2:$G$801, 0)+1)), "")&lt;&gt;"", IFERROR(INDEX(ERP資料!$A:$A, (MATCH(448, 輔助計算!$G$2:$G$801, 0)+1)), "")&lt;&gt;IFERROR(INDEX(ERP資料!$A:$A, MATCH(447, 輔助計算!$G$2:$G$801, 0)+1), "")), INDEX(ERP資料!$S:$S, (MATCH(448, 輔助計算!$G$2:$G$801, 0)+1)), ""), "")</f>
        <v/>
      </c>
      <c r="C449" s="19">
        <f>IFERROR(IF(AND(IFERROR(INDEX(ERP資料!$A:$A, (MATCH(448, 輔助計算!$G$2:$G$801, 0)+1)), "")&lt;&gt;"", IFERROR(INDEX(ERP資料!$A:$A, (MATCH(448, 輔助計算!$G$2:$G$801, 0)+1)), "")&lt;&gt;IFERROR(INDEX(ERP資料!$A:$A, MATCH(447, 輔助計算!$G$2:$G$801, 0)+1), "")), IFERROR(VLOOKUP(LEFT(INDEX(ERP資料!$S:$S, (MATCH(448, 輔助計算!$G$2:$G$801, 0)+1)), 4), 紙管對照表!$A:$C, 3, FALSE), ""), ""), "")</f>
        <v/>
      </c>
      <c r="D449" s="16" t="n"/>
      <c r="E449" s="10">
        <f>IFERROR(IF(INDEX(ERP資料!$H:$H, (MATCH(448, 輔助計算!$G$2:$G$801, 0)+1))="","",INDEX(ERP資料!$H:$H, (MATCH(448, 輔助計算!$G$2:$G$801, 0)+1))), "")</f>
        <v/>
      </c>
      <c r="F449" s="10">
        <f>IFERROR(IF(INDEX(ERP資料!$E:$E, (MATCH(448, 輔助計算!$G$2:$G$801, 0)+1))="","",TRIM(INDEX(ERP資料!$E:$E, (MATCH(448, 輔助計算!$G$2:$G$801, 0)+1)))), "")</f>
        <v/>
      </c>
      <c r="G449" s="10">
        <f>IFERROR(IF(INDEX(ERP資料!$F:$F, (MATCH(448, 輔助計算!$G$2:$G$801, 0)+1))="","",INDEX(ERP資料!$F:$F, (MATCH(448, 輔助計算!$G$2:$G$801, 0)+1))), "")</f>
        <v/>
      </c>
      <c r="H449" s="10">
        <f>IFERROR(IF(INDEX(ERP資料!$G:$G, (MATCH(448, 輔助計算!$G$2:$G$801, 0)+1))="","",INDEX(ERP資料!$G:$G, (MATCH(448, 輔助計算!$G$2:$G$801, 0)+1))), "")</f>
        <v/>
      </c>
      <c r="I449" s="15">
        <f>IFERROR(INDEX(輔助計算!$D:$D, (MATCH(448, 輔助計算!$G$2:$G$801, 0)+1)), "")</f>
        <v/>
      </c>
      <c r="J449" s="15">
        <f>IFERROR(IF(AND(INDEX(輔助計算!$D:$D, (MATCH(448, 輔助計算!$G$2:$G$801, 0)+1))&lt;&gt;"", INDEX(ERP資料!$G:$G, (MATCH(448, 輔助計算!$G$2:$G$801, 0)+1))&lt;&gt;""), TRIM(IF(INT(INDEX(輔助計算!$D:$D, (MATCH(448, 輔助計算!$G$2:$G$801, 0)+1))/IF(INDEX(ERP資料!$G:$G, (MATCH(448, 輔助計算!$G$2:$G$801, 0)+1))&lt;100, IF(INDEX(ERP資料!$G:$G, (MATCH(448, 輔助計算!$G$2:$G$801, 0)+1))&lt;=31,3,IF(INDEX(ERP資料!$G:$G, (MATCH(448, 輔助計算!$G$2:$G$801, 0)+1))&lt;=46.5,2,1)), IF(INDEX(ERP資料!$G:$G, (MATCH(448, 輔助計算!$G$2:$G$801, 0)+1))&lt;=790,3,IF(INDEX(ERP資料!$G:$G, (MATCH(448, 輔助計算!$G$2:$G$801, 0)+1))&lt;=1181,2,1))))&gt;0, IF(IF(INDEX(ERP資料!$G:$G, (MATCH(448, 輔助計算!$G$2:$G$801, 0)+1))&lt;100, IF(INDEX(ERP資料!$G:$G, (MATCH(448, 輔助計算!$G$2:$G$801, 0)+1))&lt;=31,3,IF(INDEX(ERP資料!$G:$G, (MATCH(448, 輔助計算!$G$2:$G$801, 0)+1))&lt;=46.5,2,1)), IF(INDEX(ERP資料!$G:$G, (MATCH(448, 輔助計算!$G$2:$G$801, 0)+1))&lt;=790,3,IF(INDEX(ERP資料!$G:$G, (MATCH(448, 輔助計算!$G$2:$G$801, 0)+1))&lt;=1181,2,1)))=1,TEXT(INDEX(ERP資料!$G:$G, (MATCH(448, 輔助計算!$G$2:$G$801, 0)+1)),"0.##"),IF(IF(INDEX(ERP資料!$G:$G, (MATCH(448, 輔助計算!$G$2:$G$801, 0)+1))&lt;100, IF(INDEX(ERP資料!$G:$G, (MATCH(448, 輔助計算!$G$2:$G$801, 0)+1))&lt;=31,3,IF(INDEX(ERP資料!$G:$G, (MATCH(448, 輔助計算!$G$2:$G$801, 0)+1))&lt;=46.5,2,1)), IF(INDEX(ERP資料!$G:$G, (MATCH(448, 輔助計算!$G$2:$G$801, 0)+1))&lt;=790,3,IF(INDEX(ERP資料!$G:$G, (MATCH(448, 輔助計算!$G$2:$G$801, 0)+1))&lt;=1181,2,1)))=2,TEXT(INDEX(ERP資料!$G:$G, (MATCH(448, 輔助計算!$G$2:$G$801, 0)+1)),"0.##")&amp;"+"&amp;TEXT(INDEX(ERP資料!$G:$G, (MATCH(448, 輔助計算!$G$2:$G$801, 0)+1)),"0.##"),TEXT(INDEX(ERP資料!$G:$G, (MATCH(448, 輔助計算!$G$2:$G$801, 0)+1)),"0.##")&amp;"+"&amp;TEXT(INDEX(ERP資料!$G:$G, (MATCH(448, 輔助計算!$G$2:$G$801, 0)+1)),"0.##")&amp;"+"&amp;TEXT(INDEX(ERP資料!$G:$G, (MATCH(448, 輔助計算!$G$2:$G$801, 0)+1)),"0.##")))&amp;"-"&amp;INT(INDEX(輔助計算!$D:$D, (MATCH(448, 輔助計算!$G$2:$G$801, 0)+1))/IF(INDEX(ERP資料!$G:$G, (MATCH(448, 輔助計算!$G$2:$G$801, 0)+1))&lt;100, IF(INDEX(ERP資料!$G:$G, (MATCH(448, 輔助計算!$G$2:$G$801, 0)+1))&lt;=31,3,IF(INDEX(ERP資料!$G:$G, (MATCH(448, 輔助計算!$G$2:$G$801, 0)+1))&lt;=46.5,2,1)), IF(INDEX(ERP資料!$G:$G, (MATCH(448, 輔助計算!$G$2:$G$801, 0)+1))&lt;=790,3,IF(INDEX(ERP資料!$G:$G, (MATCH(448, 輔助計算!$G$2:$G$801, 0)+1))&lt;=1181,2,1)))), "")&amp;IF(AND(IF(INT(INDEX(輔助計算!$D:$D, (MATCH(448, 輔助計算!$G$2:$G$801, 0)+1))/IF(INDEX(ERP資料!$G:$G, (MATCH(448, 輔助計算!$G$2:$G$801, 0)+1))&lt;100, IF(INDEX(ERP資料!$G:$G, (MATCH(448, 輔助計算!$G$2:$G$801, 0)+1))&lt;=31,3,IF(INDEX(ERP資料!$G:$G, (MATCH(448, 輔助計算!$G$2:$G$801, 0)+1))&lt;=46.5,2,1)), IF(INDEX(ERP資料!$G:$G, (MATCH(448, 輔助計算!$G$2:$G$801, 0)+1))&lt;=790,3,IF(INDEX(ERP資料!$G:$G, (MATCH(448, 輔助計算!$G$2:$G$801, 0)+1))&lt;=1181,2,1))))&gt;0, IF(IF(INDEX(ERP資料!$G:$G, (MATCH(448, 輔助計算!$G$2:$G$801, 0)+1))&lt;100, IF(INDEX(ERP資料!$G:$G, (MATCH(448, 輔助計算!$G$2:$G$801, 0)+1))&lt;=31,3,IF(INDEX(ERP資料!$G:$G, (MATCH(448, 輔助計算!$G$2:$G$801, 0)+1))&lt;=46.5,2,1)), IF(INDEX(ERP資料!$G:$G, (MATCH(448, 輔助計算!$G$2:$G$801, 0)+1))&lt;=790,3,IF(INDEX(ERP資料!$G:$G, (MATCH(448, 輔助計算!$G$2:$G$801, 0)+1))&lt;=1181,2,1)))=1,TEXT(INDEX(ERP資料!$G:$G, (MATCH(448, 輔助計算!$G$2:$G$801, 0)+1)),"0.##"),IF(IF(INDEX(ERP資料!$G:$G, (MATCH(448, 輔助計算!$G$2:$G$801, 0)+1))&lt;100, IF(INDEX(ERP資料!$G:$G, (MATCH(448, 輔助計算!$G$2:$G$801, 0)+1))&lt;=31,3,IF(INDEX(ERP資料!$G:$G, (MATCH(448, 輔助計算!$G$2:$G$801, 0)+1))&lt;=46.5,2,1)), IF(INDEX(ERP資料!$G:$G, (MATCH(448, 輔助計算!$G$2:$G$801, 0)+1))&lt;=790,3,IF(INDEX(ERP資料!$G:$G, (MATCH(448, 輔助計算!$G$2:$G$801, 0)+1))&lt;=1181,2,1)))=2,TEXT(INDEX(ERP資料!$G:$G, (MATCH(448, 輔助計算!$G$2:$G$801, 0)+1)),"0.##")&amp;"+"&amp;TEXT(INDEX(ERP資料!$G:$G, (MATCH(448, 輔助計算!$G$2:$G$801, 0)+1)),"0.##"),TEXT(INDEX(ERP資料!$G:$G, (MATCH(448, 輔助計算!$G$2:$G$801, 0)+1)),"0.##")&amp;"+"&amp;TEXT(INDEX(ERP資料!$G:$G, (MATCH(448, 輔助計算!$G$2:$G$801, 0)+1)),"0.##")&amp;"+"&amp;TEXT(INDEX(ERP資料!$G:$G, (MATCH(448, 輔助計算!$G$2:$G$801, 0)+1)),"0.##")))&amp;"-"&amp;INT(INDEX(輔助計算!$D:$D, (MATCH(448, 輔助計算!$G$2:$G$801, 0)+1))/IF(INDEX(ERP資料!$G:$G, (MATCH(448, 輔助計算!$G$2:$G$801, 0)+1))&lt;100, IF(INDEX(ERP資料!$G:$G, (MATCH(448, 輔助計算!$G$2:$G$801, 0)+1))&lt;=31,3,IF(INDEX(ERP資料!$G:$G, (MATCH(448, 輔助計算!$G$2:$G$801, 0)+1))&lt;=46.5,2,1)), IF(INDEX(ERP資料!$G:$G, (MATCH(448, 輔助計算!$G$2:$G$801, 0)+1))&lt;=790,3,IF(INDEX(ERP資料!$G:$G, (MATCH(448, 輔助計算!$G$2:$G$801, 0)+1))&lt;=1181,2,1)))), "")&lt;&gt;"",IF(MOD(INDEX(輔助計算!$D:$D, (MATCH(448, 輔助計算!$G$2:$G$801, 0)+1)),IF(INDEX(ERP資料!$G:$G, (MATCH(448, 輔助計算!$G$2:$G$801, 0)+1))&lt;100, IF(INDEX(ERP資料!$G:$G, (MATCH(448, 輔助計算!$G$2:$G$801, 0)+1))&lt;=31,3,IF(INDEX(ERP資料!$G:$G, (MATCH(448, 輔助計算!$G$2:$G$801, 0)+1))&lt;=46.5,2,1)), IF(INDEX(ERP資料!$G:$G, (MATCH(448, 輔助計算!$G$2:$G$801, 0)+1))&lt;=790,3,IF(INDEX(ERP資料!$G:$G, (MATCH(448, 輔助計算!$G$2:$G$801, 0)+1))&lt;=1181,2,1))))=0,"",IF(MOD(INDEX(輔助計算!$D:$D, (MATCH(448, 輔助計算!$G$2:$G$801, 0)+1)),IF(INDEX(ERP資料!$G:$G, (MATCH(448, 輔助計算!$G$2:$G$801, 0)+1))&lt;100, IF(INDEX(ERP資料!$G:$G, (MATCH(448, 輔助計算!$G$2:$G$801, 0)+1))&lt;=31,3,IF(INDEX(ERP資料!$G:$G, (MATCH(448, 輔助計算!$G$2:$G$801, 0)+1))&lt;=46.5,2,1)), IF(INDEX(ERP資料!$G:$G, (MATCH(448, 輔助計算!$G$2:$G$801, 0)+1))&lt;=790,3,IF(INDEX(ERP資料!$G:$G, (MATCH(448, 輔助計算!$G$2:$G$801, 0)+1))&lt;=1181,2,1))))=0,"",IF(MOD(INDEX(輔助計算!$D:$D, (MATCH(448, 輔助計算!$G$2:$G$801, 0)+1)),IF(INDEX(ERP資料!$G:$G, (MATCH(448, 輔助計算!$G$2:$G$801, 0)+1))&lt;100, IF(INDEX(ERP資料!$G:$G, (MATCH(448, 輔助計算!$G$2:$G$801, 0)+1))&lt;=31,3,IF(INDEX(ERP資料!$G:$G, (MATCH(448, 輔助計算!$G$2:$G$801, 0)+1))&lt;=46.5,2,1)), IF(INDEX(ERP資料!$G:$G, (MATCH(448, 輔助計算!$G$2:$G$801, 0)+1))&lt;=790,3,IF(INDEX(ERP資料!$G:$G, (MATCH(448, 輔助計算!$G$2:$G$801, 0)+1))&lt;=1181,2,1))))=1,TEXT(INDEX(ERP資料!$G:$G, (MATCH(448, 輔助計算!$G$2:$G$801, 0)+1)),"0.##"),IF(MOD(INDEX(輔助計算!$D:$D, (MATCH(448, 輔助計算!$G$2:$G$801, 0)+1)),IF(INDEX(ERP資料!$G:$G, (MATCH(448, 輔助計算!$G$2:$G$801, 0)+1))&lt;100, IF(INDEX(ERP資料!$G:$G, (MATCH(448, 輔助計算!$G$2:$G$801, 0)+1))&lt;=31,3,IF(INDEX(ERP資料!$G:$G, (MATCH(448, 輔助計算!$G$2:$G$801, 0)+1))&lt;=46.5,2,1)), IF(INDEX(ERP資料!$G:$G, (MATCH(448, 輔助計算!$G$2:$G$801, 0)+1))&lt;=790,3,IF(INDEX(ERP資料!$G:$G, (MATCH(448, 輔助計算!$G$2:$G$801, 0)+1))&lt;=1181,2,1))))=2,TEXT(INDEX(ERP資料!$G:$G, (MATCH(448, 輔助計算!$G$2:$G$801, 0)+1)),"0.##")&amp;"+"&amp;TEXT(INDEX(ERP資料!$G:$G, (MATCH(448, 輔助計算!$G$2:$G$801, 0)+1)),"0.##"),TEXT(INDEX(ERP資料!$G:$G, (MATCH(448, 輔助計算!$G$2:$G$801, 0)+1)),"0.##")&amp;"+"&amp;TEXT(INDEX(ERP資料!$G:$G, (MATCH(448, 輔助計算!$G$2:$G$801, 0)+1)),"0.##")&amp;"+"&amp;TEXT(INDEX(ERP資料!$G:$G, (MATCH(448, 輔助計算!$G$2:$G$801, 0)+1)),"0.##"))))&amp;"-1")&lt;&gt;""),"  ","")&amp;IF(MOD(INDEX(輔助計算!$D:$D, (MATCH(448, 輔助計算!$G$2:$G$801, 0)+1)),IF(INDEX(ERP資料!$G:$G, (MATCH(448, 輔助計算!$G$2:$G$801, 0)+1))&lt;100, IF(INDEX(ERP資料!$G:$G, (MATCH(448, 輔助計算!$G$2:$G$801, 0)+1))&lt;=31,3,IF(INDEX(ERP資料!$G:$G, (MATCH(448, 輔助計算!$G$2:$G$801, 0)+1))&lt;=46.5,2,1)), IF(INDEX(ERP資料!$G:$G, (MATCH(448, 輔助計算!$G$2:$G$801, 0)+1))&lt;=790,3,IF(INDEX(ERP資料!$G:$G, (MATCH(448, 輔助計算!$G$2:$G$801, 0)+1))&lt;=1181,2,1))))=0,"",IF(MOD(INDEX(輔助計算!$D:$D, (MATCH(448, 輔助計算!$G$2:$G$801, 0)+1)),IF(INDEX(ERP資料!$G:$G, (MATCH(448, 輔助計算!$G$2:$G$801, 0)+1))&lt;100, IF(INDEX(ERP資料!$G:$G, (MATCH(448, 輔助計算!$G$2:$G$801, 0)+1))&lt;=31,3,IF(INDEX(ERP資料!$G:$G, (MATCH(448, 輔助計算!$G$2:$G$801, 0)+1))&lt;=46.5,2,1)), IF(INDEX(ERP資料!$G:$G, (MATCH(448, 輔助計算!$G$2:$G$801, 0)+1))&lt;=790,3,IF(INDEX(ERP資料!$G:$G, (MATCH(448, 輔助計算!$G$2:$G$801, 0)+1))&lt;=1181,2,1))))=0,"",IF(MOD(INDEX(輔助計算!$D:$D, (MATCH(448, 輔助計算!$G$2:$G$801, 0)+1)),IF(INDEX(ERP資料!$G:$G, (MATCH(448, 輔助計算!$G$2:$G$801, 0)+1))&lt;100, IF(INDEX(ERP資料!$G:$G, (MATCH(448, 輔助計算!$G$2:$G$801, 0)+1))&lt;=31,3,IF(INDEX(ERP資料!$G:$G, (MATCH(448, 輔助計算!$G$2:$G$801, 0)+1))&lt;=46.5,2,1)), IF(INDEX(ERP資料!$G:$G, (MATCH(448, 輔助計算!$G$2:$G$801, 0)+1))&lt;=790,3,IF(INDEX(ERP資料!$G:$G, (MATCH(448, 輔助計算!$G$2:$G$801, 0)+1))&lt;=1181,2,1))))=1,TEXT(INDEX(ERP資料!$G:$G, (MATCH(448, 輔助計算!$G$2:$G$801, 0)+1)),"0.##"),IF(MOD(INDEX(輔助計算!$D:$D, (MATCH(448, 輔助計算!$G$2:$G$801, 0)+1)),IF(INDEX(ERP資料!$G:$G, (MATCH(448, 輔助計算!$G$2:$G$801, 0)+1))&lt;100, IF(INDEX(ERP資料!$G:$G, (MATCH(448, 輔助計算!$G$2:$G$801, 0)+1))&lt;=31,3,IF(INDEX(ERP資料!$G:$G, (MATCH(448, 輔助計算!$G$2:$G$801, 0)+1))&lt;=46.5,2,1)), IF(INDEX(ERP資料!$G:$G, (MATCH(448, 輔助計算!$G$2:$G$801, 0)+1))&lt;=790,3,IF(INDEX(ERP資料!$G:$G, (MATCH(448, 輔助計算!$G$2:$G$801, 0)+1))&lt;=1181,2,1))))=2,TEXT(INDEX(ERP資料!$G:$G, (MATCH(448, 輔助計算!$G$2:$G$801, 0)+1)),"0.##")&amp;"+"&amp;TEXT(INDEX(ERP資料!$G:$G, (MATCH(448, 輔助計算!$G$2:$G$801, 0)+1)),"0.##"),TEXT(INDEX(ERP資料!$G:$G, (MATCH(448, 輔助計算!$G$2:$G$801, 0)+1)),"0.##")&amp;"+"&amp;TEXT(INDEX(ERP資料!$G:$G, (MATCH(448, 輔助計算!$G$2:$G$801, 0)+1)),"0.##")&amp;"+"&amp;TEXT(INDEX(ERP資料!$G:$G, (MATCH(448, 輔助計算!$G$2:$G$801, 0)+1)),"0.##"))))&amp;"-1")), ""), "")</f>
        <v/>
      </c>
      <c r="K449" s="16" t="n"/>
      <c r="L449" s="14">
        <f>IFERROR(IF(AND(IFERROR(INDEX(ERP資料!$A:$A, (MATCH(448, 輔助計算!$G$2:$G$801, 0)+1)), "")&lt;&gt;"", IFERROR(INDEX(ERP資料!$A:$A, (MATCH(448, 輔助計算!$G$2:$G$801, 0)+1)), "")&lt;&gt;IFERROR(INDEX(ERP資料!$A:$A, MATCH(447, 輔助計算!$G$2:$G$801, 0)+1), "")), INDEX(ERP資料!$B:$B, (MATCH(448, 輔助計算!$G$2:$G$801, 0)+1)), ""), "")</f>
        <v/>
      </c>
      <c r="M449" s="17" t="n"/>
    </row>
    <row r="450">
      <c r="A450" s="10">
        <f>IFERROR(IF(AND(IFERROR(INDEX(ERP資料!$A:$A, (MATCH(449, 輔助計算!$G$2:$G$801, 0)+1)), "")&lt;&gt;"", IFERROR(INDEX(ERP資料!$A:$A, (MATCH(449, 輔助計算!$G$2:$G$801, 0)+1)), "")&lt;&gt;IFERROR(INDEX(ERP資料!$A:$A, MATCH(448, 輔助計算!$G$2:$G$801, 0)+1), "")), IFERROR(INDEX(ERP資料!$A:$A, (MATCH(449, 輔助計算!$G$2:$G$801, 0)+1)), ""), ""), "")</f>
        <v/>
      </c>
      <c r="B450" s="10">
        <f>IFERROR(IF(AND(IFERROR(INDEX(ERP資料!$A:$A, (MATCH(449, 輔助計算!$G$2:$G$801, 0)+1)), "")&lt;&gt;"", IFERROR(INDEX(ERP資料!$A:$A, (MATCH(449, 輔助計算!$G$2:$G$801, 0)+1)), "")&lt;&gt;IFERROR(INDEX(ERP資料!$A:$A, MATCH(448, 輔助計算!$G$2:$G$801, 0)+1), "")), INDEX(ERP資料!$S:$S, (MATCH(449, 輔助計算!$G$2:$G$801, 0)+1)), ""), "")</f>
        <v/>
      </c>
      <c r="C450" s="19">
        <f>IFERROR(IF(AND(IFERROR(INDEX(ERP資料!$A:$A, (MATCH(449, 輔助計算!$G$2:$G$801, 0)+1)), "")&lt;&gt;"", IFERROR(INDEX(ERP資料!$A:$A, (MATCH(449, 輔助計算!$G$2:$G$801, 0)+1)), "")&lt;&gt;IFERROR(INDEX(ERP資料!$A:$A, MATCH(448, 輔助計算!$G$2:$G$801, 0)+1), "")), IFERROR(VLOOKUP(LEFT(INDEX(ERP資料!$S:$S, (MATCH(449, 輔助計算!$G$2:$G$801, 0)+1)), 4), 紙管對照表!$A:$C, 3, FALSE), ""), ""), "")</f>
        <v/>
      </c>
      <c r="D450" s="16" t="n"/>
      <c r="E450" s="10">
        <f>IFERROR(IF(INDEX(ERP資料!$H:$H, (MATCH(449, 輔助計算!$G$2:$G$801, 0)+1))="","",INDEX(ERP資料!$H:$H, (MATCH(449, 輔助計算!$G$2:$G$801, 0)+1))), "")</f>
        <v/>
      </c>
      <c r="F450" s="10">
        <f>IFERROR(IF(INDEX(ERP資料!$E:$E, (MATCH(449, 輔助計算!$G$2:$G$801, 0)+1))="","",TRIM(INDEX(ERP資料!$E:$E, (MATCH(449, 輔助計算!$G$2:$G$801, 0)+1)))), "")</f>
        <v/>
      </c>
      <c r="G450" s="10">
        <f>IFERROR(IF(INDEX(ERP資料!$F:$F, (MATCH(449, 輔助計算!$G$2:$G$801, 0)+1))="","",INDEX(ERP資料!$F:$F, (MATCH(449, 輔助計算!$G$2:$G$801, 0)+1))), "")</f>
        <v/>
      </c>
      <c r="H450" s="10">
        <f>IFERROR(IF(INDEX(ERP資料!$G:$G, (MATCH(449, 輔助計算!$G$2:$G$801, 0)+1))="","",INDEX(ERP資料!$G:$G, (MATCH(449, 輔助計算!$G$2:$G$801, 0)+1))), "")</f>
        <v/>
      </c>
      <c r="I450" s="15">
        <f>IFERROR(INDEX(輔助計算!$D:$D, (MATCH(449, 輔助計算!$G$2:$G$801, 0)+1)), "")</f>
        <v/>
      </c>
      <c r="J450" s="15">
        <f>IFERROR(IF(AND(INDEX(輔助計算!$D:$D, (MATCH(449, 輔助計算!$G$2:$G$801, 0)+1))&lt;&gt;"", INDEX(ERP資料!$G:$G, (MATCH(449, 輔助計算!$G$2:$G$801, 0)+1))&lt;&gt;""), TRIM(IF(INT(INDEX(輔助計算!$D:$D, (MATCH(449, 輔助計算!$G$2:$G$801, 0)+1))/IF(INDEX(ERP資料!$G:$G, (MATCH(449, 輔助計算!$G$2:$G$801, 0)+1))&lt;100, IF(INDEX(ERP資料!$G:$G, (MATCH(449, 輔助計算!$G$2:$G$801, 0)+1))&lt;=31,3,IF(INDEX(ERP資料!$G:$G, (MATCH(449, 輔助計算!$G$2:$G$801, 0)+1))&lt;=46.5,2,1)), IF(INDEX(ERP資料!$G:$G, (MATCH(449, 輔助計算!$G$2:$G$801, 0)+1))&lt;=790,3,IF(INDEX(ERP資料!$G:$G, (MATCH(449, 輔助計算!$G$2:$G$801, 0)+1))&lt;=1181,2,1))))&gt;0, IF(IF(INDEX(ERP資料!$G:$G, (MATCH(449, 輔助計算!$G$2:$G$801, 0)+1))&lt;100, IF(INDEX(ERP資料!$G:$G, (MATCH(449, 輔助計算!$G$2:$G$801, 0)+1))&lt;=31,3,IF(INDEX(ERP資料!$G:$G, (MATCH(449, 輔助計算!$G$2:$G$801, 0)+1))&lt;=46.5,2,1)), IF(INDEX(ERP資料!$G:$G, (MATCH(449, 輔助計算!$G$2:$G$801, 0)+1))&lt;=790,3,IF(INDEX(ERP資料!$G:$G, (MATCH(449, 輔助計算!$G$2:$G$801, 0)+1))&lt;=1181,2,1)))=1,TEXT(INDEX(ERP資料!$G:$G, (MATCH(449, 輔助計算!$G$2:$G$801, 0)+1)),"0.##"),IF(IF(INDEX(ERP資料!$G:$G, (MATCH(449, 輔助計算!$G$2:$G$801, 0)+1))&lt;100, IF(INDEX(ERP資料!$G:$G, (MATCH(449, 輔助計算!$G$2:$G$801, 0)+1))&lt;=31,3,IF(INDEX(ERP資料!$G:$G, (MATCH(449, 輔助計算!$G$2:$G$801, 0)+1))&lt;=46.5,2,1)), IF(INDEX(ERP資料!$G:$G, (MATCH(449, 輔助計算!$G$2:$G$801, 0)+1))&lt;=790,3,IF(INDEX(ERP資料!$G:$G, (MATCH(449, 輔助計算!$G$2:$G$801, 0)+1))&lt;=1181,2,1)))=2,TEXT(INDEX(ERP資料!$G:$G, (MATCH(449, 輔助計算!$G$2:$G$801, 0)+1)),"0.##")&amp;"+"&amp;TEXT(INDEX(ERP資料!$G:$G, (MATCH(449, 輔助計算!$G$2:$G$801, 0)+1)),"0.##"),TEXT(INDEX(ERP資料!$G:$G, (MATCH(449, 輔助計算!$G$2:$G$801, 0)+1)),"0.##")&amp;"+"&amp;TEXT(INDEX(ERP資料!$G:$G, (MATCH(449, 輔助計算!$G$2:$G$801, 0)+1)),"0.##")&amp;"+"&amp;TEXT(INDEX(ERP資料!$G:$G, (MATCH(449, 輔助計算!$G$2:$G$801, 0)+1)),"0.##")))&amp;"-"&amp;INT(INDEX(輔助計算!$D:$D, (MATCH(449, 輔助計算!$G$2:$G$801, 0)+1))/IF(INDEX(ERP資料!$G:$G, (MATCH(449, 輔助計算!$G$2:$G$801, 0)+1))&lt;100, IF(INDEX(ERP資料!$G:$G, (MATCH(449, 輔助計算!$G$2:$G$801, 0)+1))&lt;=31,3,IF(INDEX(ERP資料!$G:$G, (MATCH(449, 輔助計算!$G$2:$G$801, 0)+1))&lt;=46.5,2,1)), IF(INDEX(ERP資料!$G:$G, (MATCH(449, 輔助計算!$G$2:$G$801, 0)+1))&lt;=790,3,IF(INDEX(ERP資料!$G:$G, (MATCH(449, 輔助計算!$G$2:$G$801, 0)+1))&lt;=1181,2,1)))), "")&amp;IF(AND(IF(INT(INDEX(輔助計算!$D:$D, (MATCH(449, 輔助計算!$G$2:$G$801, 0)+1))/IF(INDEX(ERP資料!$G:$G, (MATCH(449, 輔助計算!$G$2:$G$801, 0)+1))&lt;100, IF(INDEX(ERP資料!$G:$G, (MATCH(449, 輔助計算!$G$2:$G$801, 0)+1))&lt;=31,3,IF(INDEX(ERP資料!$G:$G, (MATCH(449, 輔助計算!$G$2:$G$801, 0)+1))&lt;=46.5,2,1)), IF(INDEX(ERP資料!$G:$G, (MATCH(449, 輔助計算!$G$2:$G$801, 0)+1))&lt;=790,3,IF(INDEX(ERP資料!$G:$G, (MATCH(449, 輔助計算!$G$2:$G$801, 0)+1))&lt;=1181,2,1))))&gt;0, IF(IF(INDEX(ERP資料!$G:$G, (MATCH(449, 輔助計算!$G$2:$G$801, 0)+1))&lt;100, IF(INDEX(ERP資料!$G:$G, (MATCH(449, 輔助計算!$G$2:$G$801, 0)+1))&lt;=31,3,IF(INDEX(ERP資料!$G:$G, (MATCH(449, 輔助計算!$G$2:$G$801, 0)+1))&lt;=46.5,2,1)), IF(INDEX(ERP資料!$G:$G, (MATCH(449, 輔助計算!$G$2:$G$801, 0)+1))&lt;=790,3,IF(INDEX(ERP資料!$G:$G, (MATCH(449, 輔助計算!$G$2:$G$801, 0)+1))&lt;=1181,2,1)))=1,TEXT(INDEX(ERP資料!$G:$G, (MATCH(449, 輔助計算!$G$2:$G$801, 0)+1)),"0.##"),IF(IF(INDEX(ERP資料!$G:$G, (MATCH(449, 輔助計算!$G$2:$G$801, 0)+1))&lt;100, IF(INDEX(ERP資料!$G:$G, (MATCH(449, 輔助計算!$G$2:$G$801, 0)+1))&lt;=31,3,IF(INDEX(ERP資料!$G:$G, (MATCH(449, 輔助計算!$G$2:$G$801, 0)+1))&lt;=46.5,2,1)), IF(INDEX(ERP資料!$G:$G, (MATCH(449, 輔助計算!$G$2:$G$801, 0)+1))&lt;=790,3,IF(INDEX(ERP資料!$G:$G, (MATCH(449, 輔助計算!$G$2:$G$801, 0)+1))&lt;=1181,2,1)))=2,TEXT(INDEX(ERP資料!$G:$G, (MATCH(449, 輔助計算!$G$2:$G$801, 0)+1)),"0.##")&amp;"+"&amp;TEXT(INDEX(ERP資料!$G:$G, (MATCH(449, 輔助計算!$G$2:$G$801, 0)+1)),"0.##"),TEXT(INDEX(ERP資料!$G:$G, (MATCH(449, 輔助計算!$G$2:$G$801, 0)+1)),"0.##")&amp;"+"&amp;TEXT(INDEX(ERP資料!$G:$G, (MATCH(449, 輔助計算!$G$2:$G$801, 0)+1)),"0.##")&amp;"+"&amp;TEXT(INDEX(ERP資料!$G:$G, (MATCH(449, 輔助計算!$G$2:$G$801, 0)+1)),"0.##")))&amp;"-"&amp;INT(INDEX(輔助計算!$D:$D, (MATCH(449, 輔助計算!$G$2:$G$801, 0)+1))/IF(INDEX(ERP資料!$G:$G, (MATCH(449, 輔助計算!$G$2:$G$801, 0)+1))&lt;100, IF(INDEX(ERP資料!$G:$G, (MATCH(449, 輔助計算!$G$2:$G$801, 0)+1))&lt;=31,3,IF(INDEX(ERP資料!$G:$G, (MATCH(449, 輔助計算!$G$2:$G$801, 0)+1))&lt;=46.5,2,1)), IF(INDEX(ERP資料!$G:$G, (MATCH(449, 輔助計算!$G$2:$G$801, 0)+1))&lt;=790,3,IF(INDEX(ERP資料!$G:$G, (MATCH(449, 輔助計算!$G$2:$G$801, 0)+1))&lt;=1181,2,1)))), "")&lt;&gt;"",IF(MOD(INDEX(輔助計算!$D:$D, (MATCH(449, 輔助計算!$G$2:$G$801, 0)+1)),IF(INDEX(ERP資料!$G:$G, (MATCH(449, 輔助計算!$G$2:$G$801, 0)+1))&lt;100, IF(INDEX(ERP資料!$G:$G, (MATCH(449, 輔助計算!$G$2:$G$801, 0)+1))&lt;=31,3,IF(INDEX(ERP資料!$G:$G, (MATCH(449, 輔助計算!$G$2:$G$801, 0)+1))&lt;=46.5,2,1)), IF(INDEX(ERP資料!$G:$G, (MATCH(449, 輔助計算!$G$2:$G$801, 0)+1))&lt;=790,3,IF(INDEX(ERP資料!$G:$G, (MATCH(449, 輔助計算!$G$2:$G$801, 0)+1))&lt;=1181,2,1))))=0,"",IF(MOD(INDEX(輔助計算!$D:$D, (MATCH(449, 輔助計算!$G$2:$G$801, 0)+1)),IF(INDEX(ERP資料!$G:$G, (MATCH(449, 輔助計算!$G$2:$G$801, 0)+1))&lt;100, IF(INDEX(ERP資料!$G:$G, (MATCH(449, 輔助計算!$G$2:$G$801, 0)+1))&lt;=31,3,IF(INDEX(ERP資料!$G:$G, (MATCH(449, 輔助計算!$G$2:$G$801, 0)+1))&lt;=46.5,2,1)), IF(INDEX(ERP資料!$G:$G, (MATCH(449, 輔助計算!$G$2:$G$801, 0)+1))&lt;=790,3,IF(INDEX(ERP資料!$G:$G, (MATCH(449, 輔助計算!$G$2:$G$801, 0)+1))&lt;=1181,2,1))))=0,"",IF(MOD(INDEX(輔助計算!$D:$D, (MATCH(449, 輔助計算!$G$2:$G$801, 0)+1)),IF(INDEX(ERP資料!$G:$G, (MATCH(449, 輔助計算!$G$2:$G$801, 0)+1))&lt;100, IF(INDEX(ERP資料!$G:$G, (MATCH(449, 輔助計算!$G$2:$G$801, 0)+1))&lt;=31,3,IF(INDEX(ERP資料!$G:$G, (MATCH(449, 輔助計算!$G$2:$G$801, 0)+1))&lt;=46.5,2,1)), IF(INDEX(ERP資料!$G:$G, (MATCH(449, 輔助計算!$G$2:$G$801, 0)+1))&lt;=790,3,IF(INDEX(ERP資料!$G:$G, (MATCH(449, 輔助計算!$G$2:$G$801, 0)+1))&lt;=1181,2,1))))=1,TEXT(INDEX(ERP資料!$G:$G, (MATCH(449, 輔助計算!$G$2:$G$801, 0)+1)),"0.##"),IF(MOD(INDEX(輔助計算!$D:$D, (MATCH(449, 輔助計算!$G$2:$G$801, 0)+1)),IF(INDEX(ERP資料!$G:$G, (MATCH(449, 輔助計算!$G$2:$G$801, 0)+1))&lt;100, IF(INDEX(ERP資料!$G:$G, (MATCH(449, 輔助計算!$G$2:$G$801, 0)+1))&lt;=31,3,IF(INDEX(ERP資料!$G:$G, (MATCH(449, 輔助計算!$G$2:$G$801, 0)+1))&lt;=46.5,2,1)), IF(INDEX(ERP資料!$G:$G, (MATCH(449, 輔助計算!$G$2:$G$801, 0)+1))&lt;=790,3,IF(INDEX(ERP資料!$G:$G, (MATCH(449, 輔助計算!$G$2:$G$801, 0)+1))&lt;=1181,2,1))))=2,TEXT(INDEX(ERP資料!$G:$G, (MATCH(449, 輔助計算!$G$2:$G$801, 0)+1)),"0.##")&amp;"+"&amp;TEXT(INDEX(ERP資料!$G:$G, (MATCH(449, 輔助計算!$G$2:$G$801, 0)+1)),"0.##"),TEXT(INDEX(ERP資料!$G:$G, (MATCH(449, 輔助計算!$G$2:$G$801, 0)+1)),"0.##")&amp;"+"&amp;TEXT(INDEX(ERP資料!$G:$G, (MATCH(449, 輔助計算!$G$2:$G$801, 0)+1)),"0.##")&amp;"+"&amp;TEXT(INDEX(ERP資料!$G:$G, (MATCH(449, 輔助計算!$G$2:$G$801, 0)+1)),"0.##"))))&amp;"-1")&lt;&gt;""),"  ","")&amp;IF(MOD(INDEX(輔助計算!$D:$D, (MATCH(449, 輔助計算!$G$2:$G$801, 0)+1)),IF(INDEX(ERP資料!$G:$G, (MATCH(449, 輔助計算!$G$2:$G$801, 0)+1))&lt;100, IF(INDEX(ERP資料!$G:$G, (MATCH(449, 輔助計算!$G$2:$G$801, 0)+1))&lt;=31,3,IF(INDEX(ERP資料!$G:$G, (MATCH(449, 輔助計算!$G$2:$G$801, 0)+1))&lt;=46.5,2,1)), IF(INDEX(ERP資料!$G:$G, (MATCH(449, 輔助計算!$G$2:$G$801, 0)+1))&lt;=790,3,IF(INDEX(ERP資料!$G:$G, (MATCH(449, 輔助計算!$G$2:$G$801, 0)+1))&lt;=1181,2,1))))=0,"",IF(MOD(INDEX(輔助計算!$D:$D, (MATCH(449, 輔助計算!$G$2:$G$801, 0)+1)),IF(INDEX(ERP資料!$G:$G, (MATCH(449, 輔助計算!$G$2:$G$801, 0)+1))&lt;100, IF(INDEX(ERP資料!$G:$G, (MATCH(449, 輔助計算!$G$2:$G$801, 0)+1))&lt;=31,3,IF(INDEX(ERP資料!$G:$G, (MATCH(449, 輔助計算!$G$2:$G$801, 0)+1))&lt;=46.5,2,1)), IF(INDEX(ERP資料!$G:$G, (MATCH(449, 輔助計算!$G$2:$G$801, 0)+1))&lt;=790,3,IF(INDEX(ERP資料!$G:$G, (MATCH(449, 輔助計算!$G$2:$G$801, 0)+1))&lt;=1181,2,1))))=0,"",IF(MOD(INDEX(輔助計算!$D:$D, (MATCH(449, 輔助計算!$G$2:$G$801, 0)+1)),IF(INDEX(ERP資料!$G:$G, (MATCH(449, 輔助計算!$G$2:$G$801, 0)+1))&lt;100, IF(INDEX(ERP資料!$G:$G, (MATCH(449, 輔助計算!$G$2:$G$801, 0)+1))&lt;=31,3,IF(INDEX(ERP資料!$G:$G, (MATCH(449, 輔助計算!$G$2:$G$801, 0)+1))&lt;=46.5,2,1)), IF(INDEX(ERP資料!$G:$G, (MATCH(449, 輔助計算!$G$2:$G$801, 0)+1))&lt;=790,3,IF(INDEX(ERP資料!$G:$G, (MATCH(449, 輔助計算!$G$2:$G$801, 0)+1))&lt;=1181,2,1))))=1,TEXT(INDEX(ERP資料!$G:$G, (MATCH(449, 輔助計算!$G$2:$G$801, 0)+1)),"0.##"),IF(MOD(INDEX(輔助計算!$D:$D, (MATCH(449, 輔助計算!$G$2:$G$801, 0)+1)),IF(INDEX(ERP資料!$G:$G, (MATCH(449, 輔助計算!$G$2:$G$801, 0)+1))&lt;100, IF(INDEX(ERP資料!$G:$G, (MATCH(449, 輔助計算!$G$2:$G$801, 0)+1))&lt;=31,3,IF(INDEX(ERP資料!$G:$G, (MATCH(449, 輔助計算!$G$2:$G$801, 0)+1))&lt;=46.5,2,1)), IF(INDEX(ERP資料!$G:$G, (MATCH(449, 輔助計算!$G$2:$G$801, 0)+1))&lt;=790,3,IF(INDEX(ERP資料!$G:$G, (MATCH(449, 輔助計算!$G$2:$G$801, 0)+1))&lt;=1181,2,1))))=2,TEXT(INDEX(ERP資料!$G:$G, (MATCH(449, 輔助計算!$G$2:$G$801, 0)+1)),"0.##")&amp;"+"&amp;TEXT(INDEX(ERP資料!$G:$G, (MATCH(449, 輔助計算!$G$2:$G$801, 0)+1)),"0.##"),TEXT(INDEX(ERP資料!$G:$G, (MATCH(449, 輔助計算!$G$2:$G$801, 0)+1)),"0.##")&amp;"+"&amp;TEXT(INDEX(ERP資料!$G:$G, (MATCH(449, 輔助計算!$G$2:$G$801, 0)+1)),"0.##")&amp;"+"&amp;TEXT(INDEX(ERP資料!$G:$G, (MATCH(449, 輔助計算!$G$2:$G$801, 0)+1)),"0.##"))))&amp;"-1")), ""), "")</f>
        <v/>
      </c>
      <c r="K450" s="16" t="n"/>
      <c r="L450" s="14">
        <f>IFERROR(IF(AND(IFERROR(INDEX(ERP資料!$A:$A, (MATCH(449, 輔助計算!$G$2:$G$801, 0)+1)), "")&lt;&gt;"", IFERROR(INDEX(ERP資料!$A:$A, (MATCH(449, 輔助計算!$G$2:$G$801, 0)+1)), "")&lt;&gt;IFERROR(INDEX(ERP資料!$A:$A, MATCH(448, 輔助計算!$G$2:$G$801, 0)+1), "")), INDEX(ERP資料!$B:$B, (MATCH(449, 輔助計算!$G$2:$G$801, 0)+1)), ""), "")</f>
        <v/>
      </c>
      <c r="M450" s="17" t="n"/>
    </row>
    <row r="451">
      <c r="A451" s="10">
        <f>IFERROR(IF(AND(IFERROR(INDEX(ERP資料!$A:$A, (MATCH(450, 輔助計算!$G$2:$G$801, 0)+1)), "")&lt;&gt;"", IFERROR(INDEX(ERP資料!$A:$A, (MATCH(450, 輔助計算!$G$2:$G$801, 0)+1)), "")&lt;&gt;IFERROR(INDEX(ERP資料!$A:$A, MATCH(449, 輔助計算!$G$2:$G$801, 0)+1), "")), IFERROR(INDEX(ERP資料!$A:$A, (MATCH(450, 輔助計算!$G$2:$G$801, 0)+1)), ""), ""), "")</f>
        <v/>
      </c>
      <c r="B451" s="10">
        <f>IFERROR(IF(AND(IFERROR(INDEX(ERP資料!$A:$A, (MATCH(450, 輔助計算!$G$2:$G$801, 0)+1)), "")&lt;&gt;"", IFERROR(INDEX(ERP資料!$A:$A, (MATCH(450, 輔助計算!$G$2:$G$801, 0)+1)), "")&lt;&gt;IFERROR(INDEX(ERP資料!$A:$A, MATCH(449, 輔助計算!$G$2:$G$801, 0)+1), "")), INDEX(ERP資料!$S:$S, (MATCH(450, 輔助計算!$G$2:$G$801, 0)+1)), ""), "")</f>
        <v/>
      </c>
      <c r="C451" s="19">
        <f>IFERROR(IF(AND(IFERROR(INDEX(ERP資料!$A:$A, (MATCH(450, 輔助計算!$G$2:$G$801, 0)+1)), "")&lt;&gt;"", IFERROR(INDEX(ERP資料!$A:$A, (MATCH(450, 輔助計算!$G$2:$G$801, 0)+1)), "")&lt;&gt;IFERROR(INDEX(ERP資料!$A:$A, MATCH(449, 輔助計算!$G$2:$G$801, 0)+1), "")), IFERROR(VLOOKUP(LEFT(INDEX(ERP資料!$S:$S, (MATCH(450, 輔助計算!$G$2:$G$801, 0)+1)), 4), 紙管對照表!$A:$C, 3, FALSE), ""), ""), "")</f>
        <v/>
      </c>
      <c r="D451" s="16" t="n"/>
      <c r="E451" s="10">
        <f>IFERROR(IF(INDEX(ERP資料!$H:$H, (MATCH(450, 輔助計算!$G$2:$G$801, 0)+1))="","",INDEX(ERP資料!$H:$H, (MATCH(450, 輔助計算!$G$2:$G$801, 0)+1))), "")</f>
        <v/>
      </c>
      <c r="F451" s="10">
        <f>IFERROR(IF(INDEX(ERP資料!$E:$E, (MATCH(450, 輔助計算!$G$2:$G$801, 0)+1))="","",TRIM(INDEX(ERP資料!$E:$E, (MATCH(450, 輔助計算!$G$2:$G$801, 0)+1)))), "")</f>
        <v/>
      </c>
      <c r="G451" s="10">
        <f>IFERROR(IF(INDEX(ERP資料!$F:$F, (MATCH(450, 輔助計算!$G$2:$G$801, 0)+1))="","",INDEX(ERP資料!$F:$F, (MATCH(450, 輔助計算!$G$2:$G$801, 0)+1))), "")</f>
        <v/>
      </c>
      <c r="H451" s="10">
        <f>IFERROR(IF(INDEX(ERP資料!$G:$G, (MATCH(450, 輔助計算!$G$2:$G$801, 0)+1))="","",INDEX(ERP資料!$G:$G, (MATCH(450, 輔助計算!$G$2:$G$801, 0)+1))), "")</f>
        <v/>
      </c>
      <c r="I451" s="15">
        <f>IFERROR(INDEX(輔助計算!$D:$D, (MATCH(450, 輔助計算!$G$2:$G$801, 0)+1)), "")</f>
        <v/>
      </c>
      <c r="J451" s="15">
        <f>IFERROR(IF(AND(INDEX(輔助計算!$D:$D, (MATCH(450, 輔助計算!$G$2:$G$801, 0)+1))&lt;&gt;"", INDEX(ERP資料!$G:$G, (MATCH(450, 輔助計算!$G$2:$G$801, 0)+1))&lt;&gt;""), TRIM(IF(INT(INDEX(輔助計算!$D:$D, (MATCH(450, 輔助計算!$G$2:$G$801, 0)+1))/IF(INDEX(ERP資料!$G:$G, (MATCH(450, 輔助計算!$G$2:$G$801, 0)+1))&lt;100, IF(INDEX(ERP資料!$G:$G, (MATCH(450, 輔助計算!$G$2:$G$801, 0)+1))&lt;=31,3,IF(INDEX(ERP資料!$G:$G, (MATCH(450, 輔助計算!$G$2:$G$801, 0)+1))&lt;=46.5,2,1)), IF(INDEX(ERP資料!$G:$G, (MATCH(450, 輔助計算!$G$2:$G$801, 0)+1))&lt;=790,3,IF(INDEX(ERP資料!$G:$G, (MATCH(450, 輔助計算!$G$2:$G$801, 0)+1))&lt;=1181,2,1))))&gt;0, IF(IF(INDEX(ERP資料!$G:$G, (MATCH(450, 輔助計算!$G$2:$G$801, 0)+1))&lt;100, IF(INDEX(ERP資料!$G:$G, (MATCH(450, 輔助計算!$G$2:$G$801, 0)+1))&lt;=31,3,IF(INDEX(ERP資料!$G:$G, (MATCH(450, 輔助計算!$G$2:$G$801, 0)+1))&lt;=46.5,2,1)), IF(INDEX(ERP資料!$G:$G, (MATCH(450, 輔助計算!$G$2:$G$801, 0)+1))&lt;=790,3,IF(INDEX(ERP資料!$G:$G, (MATCH(450, 輔助計算!$G$2:$G$801, 0)+1))&lt;=1181,2,1)))=1,TEXT(INDEX(ERP資料!$G:$G, (MATCH(450, 輔助計算!$G$2:$G$801, 0)+1)),"0.##"),IF(IF(INDEX(ERP資料!$G:$G, (MATCH(450, 輔助計算!$G$2:$G$801, 0)+1))&lt;100, IF(INDEX(ERP資料!$G:$G, (MATCH(450, 輔助計算!$G$2:$G$801, 0)+1))&lt;=31,3,IF(INDEX(ERP資料!$G:$G, (MATCH(450, 輔助計算!$G$2:$G$801, 0)+1))&lt;=46.5,2,1)), IF(INDEX(ERP資料!$G:$G, (MATCH(450, 輔助計算!$G$2:$G$801, 0)+1))&lt;=790,3,IF(INDEX(ERP資料!$G:$G, (MATCH(450, 輔助計算!$G$2:$G$801, 0)+1))&lt;=1181,2,1)))=2,TEXT(INDEX(ERP資料!$G:$G, (MATCH(450, 輔助計算!$G$2:$G$801, 0)+1)),"0.##")&amp;"+"&amp;TEXT(INDEX(ERP資料!$G:$G, (MATCH(450, 輔助計算!$G$2:$G$801, 0)+1)),"0.##"),TEXT(INDEX(ERP資料!$G:$G, (MATCH(450, 輔助計算!$G$2:$G$801, 0)+1)),"0.##")&amp;"+"&amp;TEXT(INDEX(ERP資料!$G:$G, (MATCH(450, 輔助計算!$G$2:$G$801, 0)+1)),"0.##")&amp;"+"&amp;TEXT(INDEX(ERP資料!$G:$G, (MATCH(450, 輔助計算!$G$2:$G$801, 0)+1)),"0.##")))&amp;"-"&amp;INT(INDEX(輔助計算!$D:$D, (MATCH(450, 輔助計算!$G$2:$G$801, 0)+1))/IF(INDEX(ERP資料!$G:$G, (MATCH(450, 輔助計算!$G$2:$G$801, 0)+1))&lt;100, IF(INDEX(ERP資料!$G:$G, (MATCH(450, 輔助計算!$G$2:$G$801, 0)+1))&lt;=31,3,IF(INDEX(ERP資料!$G:$G, (MATCH(450, 輔助計算!$G$2:$G$801, 0)+1))&lt;=46.5,2,1)), IF(INDEX(ERP資料!$G:$G, (MATCH(450, 輔助計算!$G$2:$G$801, 0)+1))&lt;=790,3,IF(INDEX(ERP資料!$G:$G, (MATCH(450, 輔助計算!$G$2:$G$801, 0)+1))&lt;=1181,2,1)))), "")&amp;IF(AND(IF(INT(INDEX(輔助計算!$D:$D, (MATCH(450, 輔助計算!$G$2:$G$801, 0)+1))/IF(INDEX(ERP資料!$G:$G, (MATCH(450, 輔助計算!$G$2:$G$801, 0)+1))&lt;100, IF(INDEX(ERP資料!$G:$G, (MATCH(450, 輔助計算!$G$2:$G$801, 0)+1))&lt;=31,3,IF(INDEX(ERP資料!$G:$G, (MATCH(450, 輔助計算!$G$2:$G$801, 0)+1))&lt;=46.5,2,1)), IF(INDEX(ERP資料!$G:$G, (MATCH(450, 輔助計算!$G$2:$G$801, 0)+1))&lt;=790,3,IF(INDEX(ERP資料!$G:$G, (MATCH(450, 輔助計算!$G$2:$G$801, 0)+1))&lt;=1181,2,1))))&gt;0, IF(IF(INDEX(ERP資料!$G:$G, (MATCH(450, 輔助計算!$G$2:$G$801, 0)+1))&lt;100, IF(INDEX(ERP資料!$G:$G, (MATCH(450, 輔助計算!$G$2:$G$801, 0)+1))&lt;=31,3,IF(INDEX(ERP資料!$G:$G, (MATCH(450, 輔助計算!$G$2:$G$801, 0)+1))&lt;=46.5,2,1)), IF(INDEX(ERP資料!$G:$G, (MATCH(450, 輔助計算!$G$2:$G$801, 0)+1))&lt;=790,3,IF(INDEX(ERP資料!$G:$G, (MATCH(450, 輔助計算!$G$2:$G$801, 0)+1))&lt;=1181,2,1)))=1,TEXT(INDEX(ERP資料!$G:$G, (MATCH(450, 輔助計算!$G$2:$G$801, 0)+1)),"0.##"),IF(IF(INDEX(ERP資料!$G:$G, (MATCH(450, 輔助計算!$G$2:$G$801, 0)+1))&lt;100, IF(INDEX(ERP資料!$G:$G, (MATCH(450, 輔助計算!$G$2:$G$801, 0)+1))&lt;=31,3,IF(INDEX(ERP資料!$G:$G, (MATCH(450, 輔助計算!$G$2:$G$801, 0)+1))&lt;=46.5,2,1)), IF(INDEX(ERP資料!$G:$G, (MATCH(450, 輔助計算!$G$2:$G$801, 0)+1))&lt;=790,3,IF(INDEX(ERP資料!$G:$G, (MATCH(450, 輔助計算!$G$2:$G$801, 0)+1))&lt;=1181,2,1)))=2,TEXT(INDEX(ERP資料!$G:$G, (MATCH(450, 輔助計算!$G$2:$G$801, 0)+1)),"0.##")&amp;"+"&amp;TEXT(INDEX(ERP資料!$G:$G, (MATCH(450, 輔助計算!$G$2:$G$801, 0)+1)),"0.##"),TEXT(INDEX(ERP資料!$G:$G, (MATCH(450, 輔助計算!$G$2:$G$801, 0)+1)),"0.##")&amp;"+"&amp;TEXT(INDEX(ERP資料!$G:$G, (MATCH(450, 輔助計算!$G$2:$G$801, 0)+1)),"0.##")&amp;"+"&amp;TEXT(INDEX(ERP資料!$G:$G, (MATCH(450, 輔助計算!$G$2:$G$801, 0)+1)),"0.##")))&amp;"-"&amp;INT(INDEX(輔助計算!$D:$D, (MATCH(450, 輔助計算!$G$2:$G$801, 0)+1))/IF(INDEX(ERP資料!$G:$G, (MATCH(450, 輔助計算!$G$2:$G$801, 0)+1))&lt;100, IF(INDEX(ERP資料!$G:$G, (MATCH(450, 輔助計算!$G$2:$G$801, 0)+1))&lt;=31,3,IF(INDEX(ERP資料!$G:$G, (MATCH(450, 輔助計算!$G$2:$G$801, 0)+1))&lt;=46.5,2,1)), IF(INDEX(ERP資料!$G:$G, (MATCH(450, 輔助計算!$G$2:$G$801, 0)+1))&lt;=790,3,IF(INDEX(ERP資料!$G:$G, (MATCH(450, 輔助計算!$G$2:$G$801, 0)+1))&lt;=1181,2,1)))), "")&lt;&gt;"",IF(MOD(INDEX(輔助計算!$D:$D, (MATCH(450, 輔助計算!$G$2:$G$801, 0)+1)),IF(INDEX(ERP資料!$G:$G, (MATCH(450, 輔助計算!$G$2:$G$801, 0)+1))&lt;100, IF(INDEX(ERP資料!$G:$G, (MATCH(450, 輔助計算!$G$2:$G$801, 0)+1))&lt;=31,3,IF(INDEX(ERP資料!$G:$G, (MATCH(450, 輔助計算!$G$2:$G$801, 0)+1))&lt;=46.5,2,1)), IF(INDEX(ERP資料!$G:$G, (MATCH(450, 輔助計算!$G$2:$G$801, 0)+1))&lt;=790,3,IF(INDEX(ERP資料!$G:$G, (MATCH(450, 輔助計算!$G$2:$G$801, 0)+1))&lt;=1181,2,1))))=0,"",IF(MOD(INDEX(輔助計算!$D:$D, (MATCH(450, 輔助計算!$G$2:$G$801, 0)+1)),IF(INDEX(ERP資料!$G:$G, (MATCH(450, 輔助計算!$G$2:$G$801, 0)+1))&lt;100, IF(INDEX(ERP資料!$G:$G, (MATCH(450, 輔助計算!$G$2:$G$801, 0)+1))&lt;=31,3,IF(INDEX(ERP資料!$G:$G, (MATCH(450, 輔助計算!$G$2:$G$801, 0)+1))&lt;=46.5,2,1)), IF(INDEX(ERP資料!$G:$G, (MATCH(450, 輔助計算!$G$2:$G$801, 0)+1))&lt;=790,3,IF(INDEX(ERP資料!$G:$G, (MATCH(450, 輔助計算!$G$2:$G$801, 0)+1))&lt;=1181,2,1))))=0,"",IF(MOD(INDEX(輔助計算!$D:$D, (MATCH(450, 輔助計算!$G$2:$G$801, 0)+1)),IF(INDEX(ERP資料!$G:$G, (MATCH(450, 輔助計算!$G$2:$G$801, 0)+1))&lt;100, IF(INDEX(ERP資料!$G:$G, (MATCH(450, 輔助計算!$G$2:$G$801, 0)+1))&lt;=31,3,IF(INDEX(ERP資料!$G:$G, (MATCH(450, 輔助計算!$G$2:$G$801, 0)+1))&lt;=46.5,2,1)), IF(INDEX(ERP資料!$G:$G, (MATCH(450, 輔助計算!$G$2:$G$801, 0)+1))&lt;=790,3,IF(INDEX(ERP資料!$G:$G, (MATCH(450, 輔助計算!$G$2:$G$801, 0)+1))&lt;=1181,2,1))))=1,TEXT(INDEX(ERP資料!$G:$G, (MATCH(450, 輔助計算!$G$2:$G$801, 0)+1)),"0.##"),IF(MOD(INDEX(輔助計算!$D:$D, (MATCH(450, 輔助計算!$G$2:$G$801, 0)+1)),IF(INDEX(ERP資料!$G:$G, (MATCH(450, 輔助計算!$G$2:$G$801, 0)+1))&lt;100, IF(INDEX(ERP資料!$G:$G, (MATCH(450, 輔助計算!$G$2:$G$801, 0)+1))&lt;=31,3,IF(INDEX(ERP資料!$G:$G, (MATCH(450, 輔助計算!$G$2:$G$801, 0)+1))&lt;=46.5,2,1)), IF(INDEX(ERP資料!$G:$G, (MATCH(450, 輔助計算!$G$2:$G$801, 0)+1))&lt;=790,3,IF(INDEX(ERP資料!$G:$G, (MATCH(450, 輔助計算!$G$2:$G$801, 0)+1))&lt;=1181,2,1))))=2,TEXT(INDEX(ERP資料!$G:$G, (MATCH(450, 輔助計算!$G$2:$G$801, 0)+1)),"0.##")&amp;"+"&amp;TEXT(INDEX(ERP資料!$G:$G, (MATCH(450, 輔助計算!$G$2:$G$801, 0)+1)),"0.##"),TEXT(INDEX(ERP資料!$G:$G, (MATCH(450, 輔助計算!$G$2:$G$801, 0)+1)),"0.##")&amp;"+"&amp;TEXT(INDEX(ERP資料!$G:$G, (MATCH(450, 輔助計算!$G$2:$G$801, 0)+1)),"0.##")&amp;"+"&amp;TEXT(INDEX(ERP資料!$G:$G, (MATCH(450, 輔助計算!$G$2:$G$801, 0)+1)),"0.##"))))&amp;"-1")&lt;&gt;""),"  ","")&amp;IF(MOD(INDEX(輔助計算!$D:$D, (MATCH(450, 輔助計算!$G$2:$G$801, 0)+1)),IF(INDEX(ERP資料!$G:$G, (MATCH(450, 輔助計算!$G$2:$G$801, 0)+1))&lt;100, IF(INDEX(ERP資料!$G:$G, (MATCH(450, 輔助計算!$G$2:$G$801, 0)+1))&lt;=31,3,IF(INDEX(ERP資料!$G:$G, (MATCH(450, 輔助計算!$G$2:$G$801, 0)+1))&lt;=46.5,2,1)), IF(INDEX(ERP資料!$G:$G, (MATCH(450, 輔助計算!$G$2:$G$801, 0)+1))&lt;=790,3,IF(INDEX(ERP資料!$G:$G, (MATCH(450, 輔助計算!$G$2:$G$801, 0)+1))&lt;=1181,2,1))))=0,"",IF(MOD(INDEX(輔助計算!$D:$D, (MATCH(450, 輔助計算!$G$2:$G$801, 0)+1)),IF(INDEX(ERP資料!$G:$G, (MATCH(450, 輔助計算!$G$2:$G$801, 0)+1))&lt;100, IF(INDEX(ERP資料!$G:$G, (MATCH(450, 輔助計算!$G$2:$G$801, 0)+1))&lt;=31,3,IF(INDEX(ERP資料!$G:$G, (MATCH(450, 輔助計算!$G$2:$G$801, 0)+1))&lt;=46.5,2,1)), IF(INDEX(ERP資料!$G:$G, (MATCH(450, 輔助計算!$G$2:$G$801, 0)+1))&lt;=790,3,IF(INDEX(ERP資料!$G:$G, (MATCH(450, 輔助計算!$G$2:$G$801, 0)+1))&lt;=1181,2,1))))=0,"",IF(MOD(INDEX(輔助計算!$D:$D, (MATCH(450, 輔助計算!$G$2:$G$801, 0)+1)),IF(INDEX(ERP資料!$G:$G, (MATCH(450, 輔助計算!$G$2:$G$801, 0)+1))&lt;100, IF(INDEX(ERP資料!$G:$G, (MATCH(450, 輔助計算!$G$2:$G$801, 0)+1))&lt;=31,3,IF(INDEX(ERP資料!$G:$G, (MATCH(450, 輔助計算!$G$2:$G$801, 0)+1))&lt;=46.5,2,1)), IF(INDEX(ERP資料!$G:$G, (MATCH(450, 輔助計算!$G$2:$G$801, 0)+1))&lt;=790,3,IF(INDEX(ERP資料!$G:$G, (MATCH(450, 輔助計算!$G$2:$G$801, 0)+1))&lt;=1181,2,1))))=1,TEXT(INDEX(ERP資料!$G:$G, (MATCH(450, 輔助計算!$G$2:$G$801, 0)+1)),"0.##"),IF(MOD(INDEX(輔助計算!$D:$D, (MATCH(450, 輔助計算!$G$2:$G$801, 0)+1)),IF(INDEX(ERP資料!$G:$G, (MATCH(450, 輔助計算!$G$2:$G$801, 0)+1))&lt;100, IF(INDEX(ERP資料!$G:$G, (MATCH(450, 輔助計算!$G$2:$G$801, 0)+1))&lt;=31,3,IF(INDEX(ERP資料!$G:$G, (MATCH(450, 輔助計算!$G$2:$G$801, 0)+1))&lt;=46.5,2,1)), IF(INDEX(ERP資料!$G:$G, (MATCH(450, 輔助計算!$G$2:$G$801, 0)+1))&lt;=790,3,IF(INDEX(ERP資料!$G:$G, (MATCH(450, 輔助計算!$G$2:$G$801, 0)+1))&lt;=1181,2,1))))=2,TEXT(INDEX(ERP資料!$G:$G, (MATCH(450, 輔助計算!$G$2:$G$801, 0)+1)),"0.##")&amp;"+"&amp;TEXT(INDEX(ERP資料!$G:$G, (MATCH(450, 輔助計算!$G$2:$G$801, 0)+1)),"0.##"),TEXT(INDEX(ERP資料!$G:$G, (MATCH(450, 輔助計算!$G$2:$G$801, 0)+1)),"0.##")&amp;"+"&amp;TEXT(INDEX(ERP資料!$G:$G, (MATCH(450, 輔助計算!$G$2:$G$801, 0)+1)),"0.##")&amp;"+"&amp;TEXT(INDEX(ERP資料!$G:$G, (MATCH(450, 輔助計算!$G$2:$G$801, 0)+1)),"0.##"))))&amp;"-1")), ""), "")</f>
        <v/>
      </c>
      <c r="K451" s="16" t="n"/>
      <c r="L451" s="14">
        <f>IFERROR(IF(AND(IFERROR(INDEX(ERP資料!$A:$A, (MATCH(450, 輔助計算!$G$2:$G$801, 0)+1)), "")&lt;&gt;"", IFERROR(INDEX(ERP資料!$A:$A, (MATCH(450, 輔助計算!$G$2:$G$801, 0)+1)), "")&lt;&gt;IFERROR(INDEX(ERP資料!$A:$A, MATCH(449, 輔助計算!$G$2:$G$801, 0)+1), "")), INDEX(ERP資料!$B:$B, (MATCH(450, 輔助計算!$G$2:$G$801, 0)+1)), ""), "")</f>
        <v/>
      </c>
      <c r="M451" s="17" t="n"/>
    </row>
    <row r="452">
      <c r="A452" s="10">
        <f>IFERROR(IF(AND(IFERROR(INDEX(ERP資料!$A:$A, (MATCH(451, 輔助計算!$G$2:$G$801, 0)+1)), "")&lt;&gt;"", IFERROR(INDEX(ERP資料!$A:$A, (MATCH(451, 輔助計算!$G$2:$G$801, 0)+1)), "")&lt;&gt;IFERROR(INDEX(ERP資料!$A:$A, MATCH(450, 輔助計算!$G$2:$G$801, 0)+1), "")), IFERROR(INDEX(ERP資料!$A:$A, (MATCH(451, 輔助計算!$G$2:$G$801, 0)+1)), ""), ""), "")</f>
        <v/>
      </c>
      <c r="B452" s="10">
        <f>IFERROR(IF(AND(IFERROR(INDEX(ERP資料!$A:$A, (MATCH(451, 輔助計算!$G$2:$G$801, 0)+1)), "")&lt;&gt;"", IFERROR(INDEX(ERP資料!$A:$A, (MATCH(451, 輔助計算!$G$2:$G$801, 0)+1)), "")&lt;&gt;IFERROR(INDEX(ERP資料!$A:$A, MATCH(450, 輔助計算!$G$2:$G$801, 0)+1), "")), INDEX(ERP資料!$S:$S, (MATCH(451, 輔助計算!$G$2:$G$801, 0)+1)), ""), "")</f>
        <v/>
      </c>
      <c r="C452" s="19">
        <f>IFERROR(IF(AND(IFERROR(INDEX(ERP資料!$A:$A, (MATCH(451, 輔助計算!$G$2:$G$801, 0)+1)), "")&lt;&gt;"", IFERROR(INDEX(ERP資料!$A:$A, (MATCH(451, 輔助計算!$G$2:$G$801, 0)+1)), "")&lt;&gt;IFERROR(INDEX(ERP資料!$A:$A, MATCH(450, 輔助計算!$G$2:$G$801, 0)+1), "")), IFERROR(VLOOKUP(LEFT(INDEX(ERP資料!$S:$S, (MATCH(451, 輔助計算!$G$2:$G$801, 0)+1)), 4), 紙管對照表!$A:$C, 3, FALSE), ""), ""), "")</f>
        <v/>
      </c>
      <c r="D452" s="16" t="n"/>
      <c r="E452" s="10">
        <f>IFERROR(IF(INDEX(ERP資料!$H:$H, (MATCH(451, 輔助計算!$G$2:$G$801, 0)+1))="","",INDEX(ERP資料!$H:$H, (MATCH(451, 輔助計算!$G$2:$G$801, 0)+1))), "")</f>
        <v/>
      </c>
      <c r="F452" s="10">
        <f>IFERROR(IF(INDEX(ERP資料!$E:$E, (MATCH(451, 輔助計算!$G$2:$G$801, 0)+1))="","",TRIM(INDEX(ERP資料!$E:$E, (MATCH(451, 輔助計算!$G$2:$G$801, 0)+1)))), "")</f>
        <v/>
      </c>
      <c r="G452" s="10">
        <f>IFERROR(IF(INDEX(ERP資料!$F:$F, (MATCH(451, 輔助計算!$G$2:$G$801, 0)+1))="","",INDEX(ERP資料!$F:$F, (MATCH(451, 輔助計算!$G$2:$G$801, 0)+1))), "")</f>
        <v/>
      </c>
      <c r="H452" s="10">
        <f>IFERROR(IF(INDEX(ERP資料!$G:$G, (MATCH(451, 輔助計算!$G$2:$G$801, 0)+1))="","",INDEX(ERP資料!$G:$G, (MATCH(451, 輔助計算!$G$2:$G$801, 0)+1))), "")</f>
        <v/>
      </c>
      <c r="I452" s="15">
        <f>IFERROR(INDEX(輔助計算!$D:$D, (MATCH(451, 輔助計算!$G$2:$G$801, 0)+1)), "")</f>
        <v/>
      </c>
      <c r="J452" s="15">
        <f>IFERROR(IF(AND(INDEX(輔助計算!$D:$D, (MATCH(451, 輔助計算!$G$2:$G$801, 0)+1))&lt;&gt;"", INDEX(ERP資料!$G:$G, (MATCH(451, 輔助計算!$G$2:$G$801, 0)+1))&lt;&gt;""), TRIM(IF(INT(INDEX(輔助計算!$D:$D, (MATCH(451, 輔助計算!$G$2:$G$801, 0)+1))/IF(INDEX(ERP資料!$G:$G, (MATCH(451, 輔助計算!$G$2:$G$801, 0)+1))&lt;100, IF(INDEX(ERP資料!$G:$G, (MATCH(451, 輔助計算!$G$2:$G$801, 0)+1))&lt;=31,3,IF(INDEX(ERP資料!$G:$G, (MATCH(451, 輔助計算!$G$2:$G$801, 0)+1))&lt;=46.5,2,1)), IF(INDEX(ERP資料!$G:$G, (MATCH(451, 輔助計算!$G$2:$G$801, 0)+1))&lt;=790,3,IF(INDEX(ERP資料!$G:$G, (MATCH(451, 輔助計算!$G$2:$G$801, 0)+1))&lt;=1181,2,1))))&gt;0, IF(IF(INDEX(ERP資料!$G:$G, (MATCH(451, 輔助計算!$G$2:$G$801, 0)+1))&lt;100, IF(INDEX(ERP資料!$G:$G, (MATCH(451, 輔助計算!$G$2:$G$801, 0)+1))&lt;=31,3,IF(INDEX(ERP資料!$G:$G, (MATCH(451, 輔助計算!$G$2:$G$801, 0)+1))&lt;=46.5,2,1)), IF(INDEX(ERP資料!$G:$G, (MATCH(451, 輔助計算!$G$2:$G$801, 0)+1))&lt;=790,3,IF(INDEX(ERP資料!$G:$G, (MATCH(451, 輔助計算!$G$2:$G$801, 0)+1))&lt;=1181,2,1)))=1,TEXT(INDEX(ERP資料!$G:$G, (MATCH(451, 輔助計算!$G$2:$G$801, 0)+1)),"0.##"),IF(IF(INDEX(ERP資料!$G:$G, (MATCH(451, 輔助計算!$G$2:$G$801, 0)+1))&lt;100, IF(INDEX(ERP資料!$G:$G, (MATCH(451, 輔助計算!$G$2:$G$801, 0)+1))&lt;=31,3,IF(INDEX(ERP資料!$G:$G, (MATCH(451, 輔助計算!$G$2:$G$801, 0)+1))&lt;=46.5,2,1)), IF(INDEX(ERP資料!$G:$G, (MATCH(451, 輔助計算!$G$2:$G$801, 0)+1))&lt;=790,3,IF(INDEX(ERP資料!$G:$G, (MATCH(451, 輔助計算!$G$2:$G$801, 0)+1))&lt;=1181,2,1)))=2,TEXT(INDEX(ERP資料!$G:$G, (MATCH(451, 輔助計算!$G$2:$G$801, 0)+1)),"0.##")&amp;"+"&amp;TEXT(INDEX(ERP資料!$G:$G, (MATCH(451, 輔助計算!$G$2:$G$801, 0)+1)),"0.##"),TEXT(INDEX(ERP資料!$G:$G, (MATCH(451, 輔助計算!$G$2:$G$801, 0)+1)),"0.##")&amp;"+"&amp;TEXT(INDEX(ERP資料!$G:$G, (MATCH(451, 輔助計算!$G$2:$G$801, 0)+1)),"0.##")&amp;"+"&amp;TEXT(INDEX(ERP資料!$G:$G, (MATCH(451, 輔助計算!$G$2:$G$801, 0)+1)),"0.##")))&amp;"-"&amp;INT(INDEX(輔助計算!$D:$D, (MATCH(451, 輔助計算!$G$2:$G$801, 0)+1))/IF(INDEX(ERP資料!$G:$G, (MATCH(451, 輔助計算!$G$2:$G$801, 0)+1))&lt;100, IF(INDEX(ERP資料!$G:$G, (MATCH(451, 輔助計算!$G$2:$G$801, 0)+1))&lt;=31,3,IF(INDEX(ERP資料!$G:$G, (MATCH(451, 輔助計算!$G$2:$G$801, 0)+1))&lt;=46.5,2,1)), IF(INDEX(ERP資料!$G:$G, (MATCH(451, 輔助計算!$G$2:$G$801, 0)+1))&lt;=790,3,IF(INDEX(ERP資料!$G:$G, (MATCH(451, 輔助計算!$G$2:$G$801, 0)+1))&lt;=1181,2,1)))), "")&amp;IF(AND(IF(INT(INDEX(輔助計算!$D:$D, (MATCH(451, 輔助計算!$G$2:$G$801, 0)+1))/IF(INDEX(ERP資料!$G:$G, (MATCH(451, 輔助計算!$G$2:$G$801, 0)+1))&lt;100, IF(INDEX(ERP資料!$G:$G, (MATCH(451, 輔助計算!$G$2:$G$801, 0)+1))&lt;=31,3,IF(INDEX(ERP資料!$G:$G, (MATCH(451, 輔助計算!$G$2:$G$801, 0)+1))&lt;=46.5,2,1)), IF(INDEX(ERP資料!$G:$G, (MATCH(451, 輔助計算!$G$2:$G$801, 0)+1))&lt;=790,3,IF(INDEX(ERP資料!$G:$G, (MATCH(451, 輔助計算!$G$2:$G$801, 0)+1))&lt;=1181,2,1))))&gt;0, IF(IF(INDEX(ERP資料!$G:$G, (MATCH(451, 輔助計算!$G$2:$G$801, 0)+1))&lt;100, IF(INDEX(ERP資料!$G:$G, (MATCH(451, 輔助計算!$G$2:$G$801, 0)+1))&lt;=31,3,IF(INDEX(ERP資料!$G:$G, (MATCH(451, 輔助計算!$G$2:$G$801, 0)+1))&lt;=46.5,2,1)), IF(INDEX(ERP資料!$G:$G, (MATCH(451, 輔助計算!$G$2:$G$801, 0)+1))&lt;=790,3,IF(INDEX(ERP資料!$G:$G, (MATCH(451, 輔助計算!$G$2:$G$801, 0)+1))&lt;=1181,2,1)))=1,TEXT(INDEX(ERP資料!$G:$G, (MATCH(451, 輔助計算!$G$2:$G$801, 0)+1)),"0.##"),IF(IF(INDEX(ERP資料!$G:$G, (MATCH(451, 輔助計算!$G$2:$G$801, 0)+1))&lt;100, IF(INDEX(ERP資料!$G:$G, (MATCH(451, 輔助計算!$G$2:$G$801, 0)+1))&lt;=31,3,IF(INDEX(ERP資料!$G:$G, (MATCH(451, 輔助計算!$G$2:$G$801, 0)+1))&lt;=46.5,2,1)), IF(INDEX(ERP資料!$G:$G, (MATCH(451, 輔助計算!$G$2:$G$801, 0)+1))&lt;=790,3,IF(INDEX(ERP資料!$G:$G, (MATCH(451, 輔助計算!$G$2:$G$801, 0)+1))&lt;=1181,2,1)))=2,TEXT(INDEX(ERP資料!$G:$G, (MATCH(451, 輔助計算!$G$2:$G$801, 0)+1)),"0.##")&amp;"+"&amp;TEXT(INDEX(ERP資料!$G:$G, (MATCH(451, 輔助計算!$G$2:$G$801, 0)+1)),"0.##"),TEXT(INDEX(ERP資料!$G:$G, (MATCH(451, 輔助計算!$G$2:$G$801, 0)+1)),"0.##")&amp;"+"&amp;TEXT(INDEX(ERP資料!$G:$G, (MATCH(451, 輔助計算!$G$2:$G$801, 0)+1)),"0.##")&amp;"+"&amp;TEXT(INDEX(ERP資料!$G:$G, (MATCH(451, 輔助計算!$G$2:$G$801, 0)+1)),"0.##")))&amp;"-"&amp;INT(INDEX(輔助計算!$D:$D, (MATCH(451, 輔助計算!$G$2:$G$801, 0)+1))/IF(INDEX(ERP資料!$G:$G, (MATCH(451, 輔助計算!$G$2:$G$801, 0)+1))&lt;100, IF(INDEX(ERP資料!$G:$G, (MATCH(451, 輔助計算!$G$2:$G$801, 0)+1))&lt;=31,3,IF(INDEX(ERP資料!$G:$G, (MATCH(451, 輔助計算!$G$2:$G$801, 0)+1))&lt;=46.5,2,1)), IF(INDEX(ERP資料!$G:$G, (MATCH(451, 輔助計算!$G$2:$G$801, 0)+1))&lt;=790,3,IF(INDEX(ERP資料!$G:$G, (MATCH(451, 輔助計算!$G$2:$G$801, 0)+1))&lt;=1181,2,1)))), "")&lt;&gt;"",IF(MOD(INDEX(輔助計算!$D:$D, (MATCH(451, 輔助計算!$G$2:$G$801, 0)+1)),IF(INDEX(ERP資料!$G:$G, (MATCH(451, 輔助計算!$G$2:$G$801, 0)+1))&lt;100, IF(INDEX(ERP資料!$G:$G, (MATCH(451, 輔助計算!$G$2:$G$801, 0)+1))&lt;=31,3,IF(INDEX(ERP資料!$G:$G, (MATCH(451, 輔助計算!$G$2:$G$801, 0)+1))&lt;=46.5,2,1)), IF(INDEX(ERP資料!$G:$G, (MATCH(451, 輔助計算!$G$2:$G$801, 0)+1))&lt;=790,3,IF(INDEX(ERP資料!$G:$G, (MATCH(451, 輔助計算!$G$2:$G$801, 0)+1))&lt;=1181,2,1))))=0,"",IF(MOD(INDEX(輔助計算!$D:$D, (MATCH(451, 輔助計算!$G$2:$G$801, 0)+1)),IF(INDEX(ERP資料!$G:$G, (MATCH(451, 輔助計算!$G$2:$G$801, 0)+1))&lt;100, IF(INDEX(ERP資料!$G:$G, (MATCH(451, 輔助計算!$G$2:$G$801, 0)+1))&lt;=31,3,IF(INDEX(ERP資料!$G:$G, (MATCH(451, 輔助計算!$G$2:$G$801, 0)+1))&lt;=46.5,2,1)), IF(INDEX(ERP資料!$G:$G, (MATCH(451, 輔助計算!$G$2:$G$801, 0)+1))&lt;=790,3,IF(INDEX(ERP資料!$G:$G, (MATCH(451, 輔助計算!$G$2:$G$801, 0)+1))&lt;=1181,2,1))))=0,"",IF(MOD(INDEX(輔助計算!$D:$D, (MATCH(451, 輔助計算!$G$2:$G$801, 0)+1)),IF(INDEX(ERP資料!$G:$G, (MATCH(451, 輔助計算!$G$2:$G$801, 0)+1))&lt;100, IF(INDEX(ERP資料!$G:$G, (MATCH(451, 輔助計算!$G$2:$G$801, 0)+1))&lt;=31,3,IF(INDEX(ERP資料!$G:$G, (MATCH(451, 輔助計算!$G$2:$G$801, 0)+1))&lt;=46.5,2,1)), IF(INDEX(ERP資料!$G:$G, (MATCH(451, 輔助計算!$G$2:$G$801, 0)+1))&lt;=790,3,IF(INDEX(ERP資料!$G:$G, (MATCH(451, 輔助計算!$G$2:$G$801, 0)+1))&lt;=1181,2,1))))=1,TEXT(INDEX(ERP資料!$G:$G, (MATCH(451, 輔助計算!$G$2:$G$801, 0)+1)),"0.##"),IF(MOD(INDEX(輔助計算!$D:$D, (MATCH(451, 輔助計算!$G$2:$G$801, 0)+1)),IF(INDEX(ERP資料!$G:$G, (MATCH(451, 輔助計算!$G$2:$G$801, 0)+1))&lt;100, IF(INDEX(ERP資料!$G:$G, (MATCH(451, 輔助計算!$G$2:$G$801, 0)+1))&lt;=31,3,IF(INDEX(ERP資料!$G:$G, (MATCH(451, 輔助計算!$G$2:$G$801, 0)+1))&lt;=46.5,2,1)), IF(INDEX(ERP資料!$G:$G, (MATCH(451, 輔助計算!$G$2:$G$801, 0)+1))&lt;=790,3,IF(INDEX(ERP資料!$G:$G, (MATCH(451, 輔助計算!$G$2:$G$801, 0)+1))&lt;=1181,2,1))))=2,TEXT(INDEX(ERP資料!$G:$G, (MATCH(451, 輔助計算!$G$2:$G$801, 0)+1)),"0.##")&amp;"+"&amp;TEXT(INDEX(ERP資料!$G:$G, (MATCH(451, 輔助計算!$G$2:$G$801, 0)+1)),"0.##"),TEXT(INDEX(ERP資料!$G:$G, (MATCH(451, 輔助計算!$G$2:$G$801, 0)+1)),"0.##")&amp;"+"&amp;TEXT(INDEX(ERP資料!$G:$G, (MATCH(451, 輔助計算!$G$2:$G$801, 0)+1)),"0.##")&amp;"+"&amp;TEXT(INDEX(ERP資料!$G:$G, (MATCH(451, 輔助計算!$G$2:$G$801, 0)+1)),"0.##"))))&amp;"-1")&lt;&gt;""),"  ","")&amp;IF(MOD(INDEX(輔助計算!$D:$D, (MATCH(451, 輔助計算!$G$2:$G$801, 0)+1)),IF(INDEX(ERP資料!$G:$G, (MATCH(451, 輔助計算!$G$2:$G$801, 0)+1))&lt;100, IF(INDEX(ERP資料!$G:$G, (MATCH(451, 輔助計算!$G$2:$G$801, 0)+1))&lt;=31,3,IF(INDEX(ERP資料!$G:$G, (MATCH(451, 輔助計算!$G$2:$G$801, 0)+1))&lt;=46.5,2,1)), IF(INDEX(ERP資料!$G:$G, (MATCH(451, 輔助計算!$G$2:$G$801, 0)+1))&lt;=790,3,IF(INDEX(ERP資料!$G:$G, (MATCH(451, 輔助計算!$G$2:$G$801, 0)+1))&lt;=1181,2,1))))=0,"",IF(MOD(INDEX(輔助計算!$D:$D, (MATCH(451, 輔助計算!$G$2:$G$801, 0)+1)),IF(INDEX(ERP資料!$G:$G, (MATCH(451, 輔助計算!$G$2:$G$801, 0)+1))&lt;100, IF(INDEX(ERP資料!$G:$G, (MATCH(451, 輔助計算!$G$2:$G$801, 0)+1))&lt;=31,3,IF(INDEX(ERP資料!$G:$G, (MATCH(451, 輔助計算!$G$2:$G$801, 0)+1))&lt;=46.5,2,1)), IF(INDEX(ERP資料!$G:$G, (MATCH(451, 輔助計算!$G$2:$G$801, 0)+1))&lt;=790,3,IF(INDEX(ERP資料!$G:$G, (MATCH(451, 輔助計算!$G$2:$G$801, 0)+1))&lt;=1181,2,1))))=0,"",IF(MOD(INDEX(輔助計算!$D:$D, (MATCH(451, 輔助計算!$G$2:$G$801, 0)+1)),IF(INDEX(ERP資料!$G:$G, (MATCH(451, 輔助計算!$G$2:$G$801, 0)+1))&lt;100, IF(INDEX(ERP資料!$G:$G, (MATCH(451, 輔助計算!$G$2:$G$801, 0)+1))&lt;=31,3,IF(INDEX(ERP資料!$G:$G, (MATCH(451, 輔助計算!$G$2:$G$801, 0)+1))&lt;=46.5,2,1)), IF(INDEX(ERP資料!$G:$G, (MATCH(451, 輔助計算!$G$2:$G$801, 0)+1))&lt;=790,3,IF(INDEX(ERP資料!$G:$G, (MATCH(451, 輔助計算!$G$2:$G$801, 0)+1))&lt;=1181,2,1))))=1,TEXT(INDEX(ERP資料!$G:$G, (MATCH(451, 輔助計算!$G$2:$G$801, 0)+1)),"0.##"),IF(MOD(INDEX(輔助計算!$D:$D, (MATCH(451, 輔助計算!$G$2:$G$801, 0)+1)),IF(INDEX(ERP資料!$G:$G, (MATCH(451, 輔助計算!$G$2:$G$801, 0)+1))&lt;100, IF(INDEX(ERP資料!$G:$G, (MATCH(451, 輔助計算!$G$2:$G$801, 0)+1))&lt;=31,3,IF(INDEX(ERP資料!$G:$G, (MATCH(451, 輔助計算!$G$2:$G$801, 0)+1))&lt;=46.5,2,1)), IF(INDEX(ERP資料!$G:$G, (MATCH(451, 輔助計算!$G$2:$G$801, 0)+1))&lt;=790,3,IF(INDEX(ERP資料!$G:$G, (MATCH(451, 輔助計算!$G$2:$G$801, 0)+1))&lt;=1181,2,1))))=2,TEXT(INDEX(ERP資料!$G:$G, (MATCH(451, 輔助計算!$G$2:$G$801, 0)+1)),"0.##")&amp;"+"&amp;TEXT(INDEX(ERP資料!$G:$G, (MATCH(451, 輔助計算!$G$2:$G$801, 0)+1)),"0.##"),TEXT(INDEX(ERP資料!$G:$G, (MATCH(451, 輔助計算!$G$2:$G$801, 0)+1)),"0.##")&amp;"+"&amp;TEXT(INDEX(ERP資料!$G:$G, (MATCH(451, 輔助計算!$G$2:$G$801, 0)+1)),"0.##")&amp;"+"&amp;TEXT(INDEX(ERP資料!$G:$G, (MATCH(451, 輔助計算!$G$2:$G$801, 0)+1)),"0.##"))))&amp;"-1")), ""), "")</f>
        <v/>
      </c>
      <c r="K452" s="16" t="n"/>
      <c r="L452" s="14">
        <f>IFERROR(IF(AND(IFERROR(INDEX(ERP資料!$A:$A, (MATCH(451, 輔助計算!$G$2:$G$801, 0)+1)), "")&lt;&gt;"", IFERROR(INDEX(ERP資料!$A:$A, (MATCH(451, 輔助計算!$G$2:$G$801, 0)+1)), "")&lt;&gt;IFERROR(INDEX(ERP資料!$A:$A, MATCH(450, 輔助計算!$G$2:$G$801, 0)+1), "")), INDEX(ERP資料!$B:$B, (MATCH(451, 輔助計算!$G$2:$G$801, 0)+1)), ""), "")</f>
        <v/>
      </c>
      <c r="M452" s="17" t="n"/>
    </row>
    <row r="453">
      <c r="A453" s="10">
        <f>IFERROR(IF(AND(IFERROR(INDEX(ERP資料!$A:$A, (MATCH(452, 輔助計算!$G$2:$G$801, 0)+1)), "")&lt;&gt;"", IFERROR(INDEX(ERP資料!$A:$A, (MATCH(452, 輔助計算!$G$2:$G$801, 0)+1)), "")&lt;&gt;IFERROR(INDEX(ERP資料!$A:$A, MATCH(451, 輔助計算!$G$2:$G$801, 0)+1), "")), IFERROR(INDEX(ERP資料!$A:$A, (MATCH(452, 輔助計算!$G$2:$G$801, 0)+1)), ""), ""), "")</f>
        <v/>
      </c>
      <c r="B453" s="10">
        <f>IFERROR(IF(AND(IFERROR(INDEX(ERP資料!$A:$A, (MATCH(452, 輔助計算!$G$2:$G$801, 0)+1)), "")&lt;&gt;"", IFERROR(INDEX(ERP資料!$A:$A, (MATCH(452, 輔助計算!$G$2:$G$801, 0)+1)), "")&lt;&gt;IFERROR(INDEX(ERP資料!$A:$A, MATCH(451, 輔助計算!$G$2:$G$801, 0)+1), "")), INDEX(ERP資料!$S:$S, (MATCH(452, 輔助計算!$G$2:$G$801, 0)+1)), ""), "")</f>
        <v/>
      </c>
      <c r="C453" s="19">
        <f>IFERROR(IF(AND(IFERROR(INDEX(ERP資料!$A:$A, (MATCH(452, 輔助計算!$G$2:$G$801, 0)+1)), "")&lt;&gt;"", IFERROR(INDEX(ERP資料!$A:$A, (MATCH(452, 輔助計算!$G$2:$G$801, 0)+1)), "")&lt;&gt;IFERROR(INDEX(ERP資料!$A:$A, MATCH(451, 輔助計算!$G$2:$G$801, 0)+1), "")), IFERROR(VLOOKUP(LEFT(INDEX(ERP資料!$S:$S, (MATCH(452, 輔助計算!$G$2:$G$801, 0)+1)), 4), 紙管對照表!$A:$C, 3, FALSE), ""), ""), "")</f>
        <v/>
      </c>
      <c r="D453" s="16" t="n"/>
      <c r="E453" s="10">
        <f>IFERROR(IF(INDEX(ERP資料!$H:$H, (MATCH(452, 輔助計算!$G$2:$G$801, 0)+1))="","",INDEX(ERP資料!$H:$H, (MATCH(452, 輔助計算!$G$2:$G$801, 0)+1))), "")</f>
        <v/>
      </c>
      <c r="F453" s="10">
        <f>IFERROR(IF(INDEX(ERP資料!$E:$E, (MATCH(452, 輔助計算!$G$2:$G$801, 0)+1))="","",TRIM(INDEX(ERP資料!$E:$E, (MATCH(452, 輔助計算!$G$2:$G$801, 0)+1)))), "")</f>
        <v/>
      </c>
      <c r="G453" s="10">
        <f>IFERROR(IF(INDEX(ERP資料!$F:$F, (MATCH(452, 輔助計算!$G$2:$G$801, 0)+1))="","",INDEX(ERP資料!$F:$F, (MATCH(452, 輔助計算!$G$2:$G$801, 0)+1))), "")</f>
        <v/>
      </c>
      <c r="H453" s="10">
        <f>IFERROR(IF(INDEX(ERP資料!$G:$G, (MATCH(452, 輔助計算!$G$2:$G$801, 0)+1))="","",INDEX(ERP資料!$G:$G, (MATCH(452, 輔助計算!$G$2:$G$801, 0)+1))), "")</f>
        <v/>
      </c>
      <c r="I453" s="15">
        <f>IFERROR(INDEX(輔助計算!$D:$D, (MATCH(452, 輔助計算!$G$2:$G$801, 0)+1)), "")</f>
        <v/>
      </c>
      <c r="J453" s="15">
        <f>IFERROR(IF(AND(INDEX(輔助計算!$D:$D, (MATCH(452, 輔助計算!$G$2:$G$801, 0)+1))&lt;&gt;"", INDEX(ERP資料!$G:$G, (MATCH(452, 輔助計算!$G$2:$G$801, 0)+1))&lt;&gt;""), TRIM(IF(INT(INDEX(輔助計算!$D:$D, (MATCH(452, 輔助計算!$G$2:$G$801, 0)+1))/IF(INDEX(ERP資料!$G:$G, (MATCH(452, 輔助計算!$G$2:$G$801, 0)+1))&lt;100, IF(INDEX(ERP資料!$G:$G, (MATCH(452, 輔助計算!$G$2:$G$801, 0)+1))&lt;=31,3,IF(INDEX(ERP資料!$G:$G, (MATCH(452, 輔助計算!$G$2:$G$801, 0)+1))&lt;=46.5,2,1)), IF(INDEX(ERP資料!$G:$G, (MATCH(452, 輔助計算!$G$2:$G$801, 0)+1))&lt;=790,3,IF(INDEX(ERP資料!$G:$G, (MATCH(452, 輔助計算!$G$2:$G$801, 0)+1))&lt;=1181,2,1))))&gt;0, IF(IF(INDEX(ERP資料!$G:$G, (MATCH(452, 輔助計算!$G$2:$G$801, 0)+1))&lt;100, IF(INDEX(ERP資料!$G:$G, (MATCH(452, 輔助計算!$G$2:$G$801, 0)+1))&lt;=31,3,IF(INDEX(ERP資料!$G:$G, (MATCH(452, 輔助計算!$G$2:$G$801, 0)+1))&lt;=46.5,2,1)), IF(INDEX(ERP資料!$G:$G, (MATCH(452, 輔助計算!$G$2:$G$801, 0)+1))&lt;=790,3,IF(INDEX(ERP資料!$G:$G, (MATCH(452, 輔助計算!$G$2:$G$801, 0)+1))&lt;=1181,2,1)))=1,TEXT(INDEX(ERP資料!$G:$G, (MATCH(452, 輔助計算!$G$2:$G$801, 0)+1)),"0.##"),IF(IF(INDEX(ERP資料!$G:$G, (MATCH(452, 輔助計算!$G$2:$G$801, 0)+1))&lt;100, IF(INDEX(ERP資料!$G:$G, (MATCH(452, 輔助計算!$G$2:$G$801, 0)+1))&lt;=31,3,IF(INDEX(ERP資料!$G:$G, (MATCH(452, 輔助計算!$G$2:$G$801, 0)+1))&lt;=46.5,2,1)), IF(INDEX(ERP資料!$G:$G, (MATCH(452, 輔助計算!$G$2:$G$801, 0)+1))&lt;=790,3,IF(INDEX(ERP資料!$G:$G, (MATCH(452, 輔助計算!$G$2:$G$801, 0)+1))&lt;=1181,2,1)))=2,TEXT(INDEX(ERP資料!$G:$G, (MATCH(452, 輔助計算!$G$2:$G$801, 0)+1)),"0.##")&amp;"+"&amp;TEXT(INDEX(ERP資料!$G:$G, (MATCH(452, 輔助計算!$G$2:$G$801, 0)+1)),"0.##"),TEXT(INDEX(ERP資料!$G:$G, (MATCH(452, 輔助計算!$G$2:$G$801, 0)+1)),"0.##")&amp;"+"&amp;TEXT(INDEX(ERP資料!$G:$G, (MATCH(452, 輔助計算!$G$2:$G$801, 0)+1)),"0.##")&amp;"+"&amp;TEXT(INDEX(ERP資料!$G:$G, (MATCH(452, 輔助計算!$G$2:$G$801, 0)+1)),"0.##")))&amp;"-"&amp;INT(INDEX(輔助計算!$D:$D, (MATCH(452, 輔助計算!$G$2:$G$801, 0)+1))/IF(INDEX(ERP資料!$G:$G, (MATCH(452, 輔助計算!$G$2:$G$801, 0)+1))&lt;100, IF(INDEX(ERP資料!$G:$G, (MATCH(452, 輔助計算!$G$2:$G$801, 0)+1))&lt;=31,3,IF(INDEX(ERP資料!$G:$G, (MATCH(452, 輔助計算!$G$2:$G$801, 0)+1))&lt;=46.5,2,1)), IF(INDEX(ERP資料!$G:$G, (MATCH(452, 輔助計算!$G$2:$G$801, 0)+1))&lt;=790,3,IF(INDEX(ERP資料!$G:$G, (MATCH(452, 輔助計算!$G$2:$G$801, 0)+1))&lt;=1181,2,1)))), "")&amp;IF(AND(IF(INT(INDEX(輔助計算!$D:$D, (MATCH(452, 輔助計算!$G$2:$G$801, 0)+1))/IF(INDEX(ERP資料!$G:$G, (MATCH(452, 輔助計算!$G$2:$G$801, 0)+1))&lt;100, IF(INDEX(ERP資料!$G:$G, (MATCH(452, 輔助計算!$G$2:$G$801, 0)+1))&lt;=31,3,IF(INDEX(ERP資料!$G:$G, (MATCH(452, 輔助計算!$G$2:$G$801, 0)+1))&lt;=46.5,2,1)), IF(INDEX(ERP資料!$G:$G, (MATCH(452, 輔助計算!$G$2:$G$801, 0)+1))&lt;=790,3,IF(INDEX(ERP資料!$G:$G, (MATCH(452, 輔助計算!$G$2:$G$801, 0)+1))&lt;=1181,2,1))))&gt;0, IF(IF(INDEX(ERP資料!$G:$G, (MATCH(452, 輔助計算!$G$2:$G$801, 0)+1))&lt;100, IF(INDEX(ERP資料!$G:$G, (MATCH(452, 輔助計算!$G$2:$G$801, 0)+1))&lt;=31,3,IF(INDEX(ERP資料!$G:$G, (MATCH(452, 輔助計算!$G$2:$G$801, 0)+1))&lt;=46.5,2,1)), IF(INDEX(ERP資料!$G:$G, (MATCH(452, 輔助計算!$G$2:$G$801, 0)+1))&lt;=790,3,IF(INDEX(ERP資料!$G:$G, (MATCH(452, 輔助計算!$G$2:$G$801, 0)+1))&lt;=1181,2,1)))=1,TEXT(INDEX(ERP資料!$G:$G, (MATCH(452, 輔助計算!$G$2:$G$801, 0)+1)),"0.##"),IF(IF(INDEX(ERP資料!$G:$G, (MATCH(452, 輔助計算!$G$2:$G$801, 0)+1))&lt;100, IF(INDEX(ERP資料!$G:$G, (MATCH(452, 輔助計算!$G$2:$G$801, 0)+1))&lt;=31,3,IF(INDEX(ERP資料!$G:$G, (MATCH(452, 輔助計算!$G$2:$G$801, 0)+1))&lt;=46.5,2,1)), IF(INDEX(ERP資料!$G:$G, (MATCH(452, 輔助計算!$G$2:$G$801, 0)+1))&lt;=790,3,IF(INDEX(ERP資料!$G:$G, (MATCH(452, 輔助計算!$G$2:$G$801, 0)+1))&lt;=1181,2,1)))=2,TEXT(INDEX(ERP資料!$G:$G, (MATCH(452, 輔助計算!$G$2:$G$801, 0)+1)),"0.##")&amp;"+"&amp;TEXT(INDEX(ERP資料!$G:$G, (MATCH(452, 輔助計算!$G$2:$G$801, 0)+1)),"0.##"),TEXT(INDEX(ERP資料!$G:$G, (MATCH(452, 輔助計算!$G$2:$G$801, 0)+1)),"0.##")&amp;"+"&amp;TEXT(INDEX(ERP資料!$G:$G, (MATCH(452, 輔助計算!$G$2:$G$801, 0)+1)),"0.##")&amp;"+"&amp;TEXT(INDEX(ERP資料!$G:$G, (MATCH(452, 輔助計算!$G$2:$G$801, 0)+1)),"0.##")))&amp;"-"&amp;INT(INDEX(輔助計算!$D:$D, (MATCH(452, 輔助計算!$G$2:$G$801, 0)+1))/IF(INDEX(ERP資料!$G:$G, (MATCH(452, 輔助計算!$G$2:$G$801, 0)+1))&lt;100, IF(INDEX(ERP資料!$G:$G, (MATCH(452, 輔助計算!$G$2:$G$801, 0)+1))&lt;=31,3,IF(INDEX(ERP資料!$G:$G, (MATCH(452, 輔助計算!$G$2:$G$801, 0)+1))&lt;=46.5,2,1)), IF(INDEX(ERP資料!$G:$G, (MATCH(452, 輔助計算!$G$2:$G$801, 0)+1))&lt;=790,3,IF(INDEX(ERP資料!$G:$G, (MATCH(452, 輔助計算!$G$2:$G$801, 0)+1))&lt;=1181,2,1)))), "")&lt;&gt;"",IF(MOD(INDEX(輔助計算!$D:$D, (MATCH(452, 輔助計算!$G$2:$G$801, 0)+1)),IF(INDEX(ERP資料!$G:$G, (MATCH(452, 輔助計算!$G$2:$G$801, 0)+1))&lt;100, IF(INDEX(ERP資料!$G:$G, (MATCH(452, 輔助計算!$G$2:$G$801, 0)+1))&lt;=31,3,IF(INDEX(ERP資料!$G:$G, (MATCH(452, 輔助計算!$G$2:$G$801, 0)+1))&lt;=46.5,2,1)), IF(INDEX(ERP資料!$G:$G, (MATCH(452, 輔助計算!$G$2:$G$801, 0)+1))&lt;=790,3,IF(INDEX(ERP資料!$G:$G, (MATCH(452, 輔助計算!$G$2:$G$801, 0)+1))&lt;=1181,2,1))))=0,"",IF(MOD(INDEX(輔助計算!$D:$D, (MATCH(452, 輔助計算!$G$2:$G$801, 0)+1)),IF(INDEX(ERP資料!$G:$G, (MATCH(452, 輔助計算!$G$2:$G$801, 0)+1))&lt;100, IF(INDEX(ERP資料!$G:$G, (MATCH(452, 輔助計算!$G$2:$G$801, 0)+1))&lt;=31,3,IF(INDEX(ERP資料!$G:$G, (MATCH(452, 輔助計算!$G$2:$G$801, 0)+1))&lt;=46.5,2,1)), IF(INDEX(ERP資料!$G:$G, (MATCH(452, 輔助計算!$G$2:$G$801, 0)+1))&lt;=790,3,IF(INDEX(ERP資料!$G:$G, (MATCH(452, 輔助計算!$G$2:$G$801, 0)+1))&lt;=1181,2,1))))=0,"",IF(MOD(INDEX(輔助計算!$D:$D, (MATCH(452, 輔助計算!$G$2:$G$801, 0)+1)),IF(INDEX(ERP資料!$G:$G, (MATCH(452, 輔助計算!$G$2:$G$801, 0)+1))&lt;100, IF(INDEX(ERP資料!$G:$G, (MATCH(452, 輔助計算!$G$2:$G$801, 0)+1))&lt;=31,3,IF(INDEX(ERP資料!$G:$G, (MATCH(452, 輔助計算!$G$2:$G$801, 0)+1))&lt;=46.5,2,1)), IF(INDEX(ERP資料!$G:$G, (MATCH(452, 輔助計算!$G$2:$G$801, 0)+1))&lt;=790,3,IF(INDEX(ERP資料!$G:$G, (MATCH(452, 輔助計算!$G$2:$G$801, 0)+1))&lt;=1181,2,1))))=1,TEXT(INDEX(ERP資料!$G:$G, (MATCH(452, 輔助計算!$G$2:$G$801, 0)+1)),"0.##"),IF(MOD(INDEX(輔助計算!$D:$D, (MATCH(452, 輔助計算!$G$2:$G$801, 0)+1)),IF(INDEX(ERP資料!$G:$G, (MATCH(452, 輔助計算!$G$2:$G$801, 0)+1))&lt;100, IF(INDEX(ERP資料!$G:$G, (MATCH(452, 輔助計算!$G$2:$G$801, 0)+1))&lt;=31,3,IF(INDEX(ERP資料!$G:$G, (MATCH(452, 輔助計算!$G$2:$G$801, 0)+1))&lt;=46.5,2,1)), IF(INDEX(ERP資料!$G:$G, (MATCH(452, 輔助計算!$G$2:$G$801, 0)+1))&lt;=790,3,IF(INDEX(ERP資料!$G:$G, (MATCH(452, 輔助計算!$G$2:$G$801, 0)+1))&lt;=1181,2,1))))=2,TEXT(INDEX(ERP資料!$G:$G, (MATCH(452, 輔助計算!$G$2:$G$801, 0)+1)),"0.##")&amp;"+"&amp;TEXT(INDEX(ERP資料!$G:$G, (MATCH(452, 輔助計算!$G$2:$G$801, 0)+1)),"0.##"),TEXT(INDEX(ERP資料!$G:$G, (MATCH(452, 輔助計算!$G$2:$G$801, 0)+1)),"0.##")&amp;"+"&amp;TEXT(INDEX(ERP資料!$G:$G, (MATCH(452, 輔助計算!$G$2:$G$801, 0)+1)),"0.##")&amp;"+"&amp;TEXT(INDEX(ERP資料!$G:$G, (MATCH(452, 輔助計算!$G$2:$G$801, 0)+1)),"0.##"))))&amp;"-1")&lt;&gt;""),"  ","")&amp;IF(MOD(INDEX(輔助計算!$D:$D, (MATCH(452, 輔助計算!$G$2:$G$801, 0)+1)),IF(INDEX(ERP資料!$G:$G, (MATCH(452, 輔助計算!$G$2:$G$801, 0)+1))&lt;100, IF(INDEX(ERP資料!$G:$G, (MATCH(452, 輔助計算!$G$2:$G$801, 0)+1))&lt;=31,3,IF(INDEX(ERP資料!$G:$G, (MATCH(452, 輔助計算!$G$2:$G$801, 0)+1))&lt;=46.5,2,1)), IF(INDEX(ERP資料!$G:$G, (MATCH(452, 輔助計算!$G$2:$G$801, 0)+1))&lt;=790,3,IF(INDEX(ERP資料!$G:$G, (MATCH(452, 輔助計算!$G$2:$G$801, 0)+1))&lt;=1181,2,1))))=0,"",IF(MOD(INDEX(輔助計算!$D:$D, (MATCH(452, 輔助計算!$G$2:$G$801, 0)+1)),IF(INDEX(ERP資料!$G:$G, (MATCH(452, 輔助計算!$G$2:$G$801, 0)+1))&lt;100, IF(INDEX(ERP資料!$G:$G, (MATCH(452, 輔助計算!$G$2:$G$801, 0)+1))&lt;=31,3,IF(INDEX(ERP資料!$G:$G, (MATCH(452, 輔助計算!$G$2:$G$801, 0)+1))&lt;=46.5,2,1)), IF(INDEX(ERP資料!$G:$G, (MATCH(452, 輔助計算!$G$2:$G$801, 0)+1))&lt;=790,3,IF(INDEX(ERP資料!$G:$G, (MATCH(452, 輔助計算!$G$2:$G$801, 0)+1))&lt;=1181,2,1))))=0,"",IF(MOD(INDEX(輔助計算!$D:$D, (MATCH(452, 輔助計算!$G$2:$G$801, 0)+1)),IF(INDEX(ERP資料!$G:$G, (MATCH(452, 輔助計算!$G$2:$G$801, 0)+1))&lt;100, IF(INDEX(ERP資料!$G:$G, (MATCH(452, 輔助計算!$G$2:$G$801, 0)+1))&lt;=31,3,IF(INDEX(ERP資料!$G:$G, (MATCH(452, 輔助計算!$G$2:$G$801, 0)+1))&lt;=46.5,2,1)), IF(INDEX(ERP資料!$G:$G, (MATCH(452, 輔助計算!$G$2:$G$801, 0)+1))&lt;=790,3,IF(INDEX(ERP資料!$G:$G, (MATCH(452, 輔助計算!$G$2:$G$801, 0)+1))&lt;=1181,2,1))))=1,TEXT(INDEX(ERP資料!$G:$G, (MATCH(452, 輔助計算!$G$2:$G$801, 0)+1)),"0.##"),IF(MOD(INDEX(輔助計算!$D:$D, (MATCH(452, 輔助計算!$G$2:$G$801, 0)+1)),IF(INDEX(ERP資料!$G:$G, (MATCH(452, 輔助計算!$G$2:$G$801, 0)+1))&lt;100, IF(INDEX(ERP資料!$G:$G, (MATCH(452, 輔助計算!$G$2:$G$801, 0)+1))&lt;=31,3,IF(INDEX(ERP資料!$G:$G, (MATCH(452, 輔助計算!$G$2:$G$801, 0)+1))&lt;=46.5,2,1)), IF(INDEX(ERP資料!$G:$G, (MATCH(452, 輔助計算!$G$2:$G$801, 0)+1))&lt;=790,3,IF(INDEX(ERP資料!$G:$G, (MATCH(452, 輔助計算!$G$2:$G$801, 0)+1))&lt;=1181,2,1))))=2,TEXT(INDEX(ERP資料!$G:$G, (MATCH(452, 輔助計算!$G$2:$G$801, 0)+1)),"0.##")&amp;"+"&amp;TEXT(INDEX(ERP資料!$G:$G, (MATCH(452, 輔助計算!$G$2:$G$801, 0)+1)),"0.##"),TEXT(INDEX(ERP資料!$G:$G, (MATCH(452, 輔助計算!$G$2:$G$801, 0)+1)),"0.##")&amp;"+"&amp;TEXT(INDEX(ERP資料!$G:$G, (MATCH(452, 輔助計算!$G$2:$G$801, 0)+1)),"0.##")&amp;"+"&amp;TEXT(INDEX(ERP資料!$G:$G, (MATCH(452, 輔助計算!$G$2:$G$801, 0)+1)),"0.##"))))&amp;"-1")), ""), "")</f>
        <v/>
      </c>
      <c r="K453" s="16" t="n"/>
      <c r="L453" s="14">
        <f>IFERROR(IF(AND(IFERROR(INDEX(ERP資料!$A:$A, (MATCH(452, 輔助計算!$G$2:$G$801, 0)+1)), "")&lt;&gt;"", IFERROR(INDEX(ERP資料!$A:$A, (MATCH(452, 輔助計算!$G$2:$G$801, 0)+1)), "")&lt;&gt;IFERROR(INDEX(ERP資料!$A:$A, MATCH(451, 輔助計算!$G$2:$G$801, 0)+1), "")), INDEX(ERP資料!$B:$B, (MATCH(452, 輔助計算!$G$2:$G$801, 0)+1)), ""), "")</f>
        <v/>
      </c>
      <c r="M453" s="17" t="n"/>
    </row>
    <row r="454">
      <c r="A454" s="10">
        <f>IFERROR(IF(AND(IFERROR(INDEX(ERP資料!$A:$A, (MATCH(453, 輔助計算!$G$2:$G$801, 0)+1)), "")&lt;&gt;"", IFERROR(INDEX(ERP資料!$A:$A, (MATCH(453, 輔助計算!$G$2:$G$801, 0)+1)), "")&lt;&gt;IFERROR(INDEX(ERP資料!$A:$A, MATCH(452, 輔助計算!$G$2:$G$801, 0)+1), "")), IFERROR(INDEX(ERP資料!$A:$A, (MATCH(453, 輔助計算!$G$2:$G$801, 0)+1)), ""), ""), "")</f>
        <v/>
      </c>
      <c r="B454" s="10">
        <f>IFERROR(IF(AND(IFERROR(INDEX(ERP資料!$A:$A, (MATCH(453, 輔助計算!$G$2:$G$801, 0)+1)), "")&lt;&gt;"", IFERROR(INDEX(ERP資料!$A:$A, (MATCH(453, 輔助計算!$G$2:$G$801, 0)+1)), "")&lt;&gt;IFERROR(INDEX(ERP資料!$A:$A, MATCH(452, 輔助計算!$G$2:$G$801, 0)+1), "")), INDEX(ERP資料!$S:$S, (MATCH(453, 輔助計算!$G$2:$G$801, 0)+1)), ""), "")</f>
        <v/>
      </c>
      <c r="C454" s="19">
        <f>IFERROR(IF(AND(IFERROR(INDEX(ERP資料!$A:$A, (MATCH(453, 輔助計算!$G$2:$G$801, 0)+1)), "")&lt;&gt;"", IFERROR(INDEX(ERP資料!$A:$A, (MATCH(453, 輔助計算!$G$2:$G$801, 0)+1)), "")&lt;&gt;IFERROR(INDEX(ERP資料!$A:$A, MATCH(452, 輔助計算!$G$2:$G$801, 0)+1), "")), IFERROR(VLOOKUP(LEFT(INDEX(ERP資料!$S:$S, (MATCH(453, 輔助計算!$G$2:$G$801, 0)+1)), 4), 紙管對照表!$A:$C, 3, FALSE), ""), ""), "")</f>
        <v/>
      </c>
      <c r="D454" s="16" t="n"/>
      <c r="E454" s="10">
        <f>IFERROR(IF(INDEX(ERP資料!$H:$H, (MATCH(453, 輔助計算!$G$2:$G$801, 0)+1))="","",INDEX(ERP資料!$H:$H, (MATCH(453, 輔助計算!$G$2:$G$801, 0)+1))), "")</f>
        <v/>
      </c>
      <c r="F454" s="10">
        <f>IFERROR(IF(INDEX(ERP資料!$E:$E, (MATCH(453, 輔助計算!$G$2:$G$801, 0)+1))="","",TRIM(INDEX(ERP資料!$E:$E, (MATCH(453, 輔助計算!$G$2:$G$801, 0)+1)))), "")</f>
        <v/>
      </c>
      <c r="G454" s="10">
        <f>IFERROR(IF(INDEX(ERP資料!$F:$F, (MATCH(453, 輔助計算!$G$2:$G$801, 0)+1))="","",INDEX(ERP資料!$F:$F, (MATCH(453, 輔助計算!$G$2:$G$801, 0)+1))), "")</f>
        <v/>
      </c>
      <c r="H454" s="10">
        <f>IFERROR(IF(INDEX(ERP資料!$G:$G, (MATCH(453, 輔助計算!$G$2:$G$801, 0)+1))="","",INDEX(ERP資料!$G:$G, (MATCH(453, 輔助計算!$G$2:$G$801, 0)+1))), "")</f>
        <v/>
      </c>
      <c r="I454" s="15">
        <f>IFERROR(INDEX(輔助計算!$D:$D, (MATCH(453, 輔助計算!$G$2:$G$801, 0)+1)), "")</f>
        <v/>
      </c>
      <c r="J454" s="15">
        <f>IFERROR(IF(AND(INDEX(輔助計算!$D:$D, (MATCH(453, 輔助計算!$G$2:$G$801, 0)+1))&lt;&gt;"", INDEX(ERP資料!$G:$G, (MATCH(453, 輔助計算!$G$2:$G$801, 0)+1))&lt;&gt;""), TRIM(IF(INT(INDEX(輔助計算!$D:$D, (MATCH(453, 輔助計算!$G$2:$G$801, 0)+1))/IF(INDEX(ERP資料!$G:$G, (MATCH(453, 輔助計算!$G$2:$G$801, 0)+1))&lt;100, IF(INDEX(ERP資料!$G:$G, (MATCH(453, 輔助計算!$G$2:$G$801, 0)+1))&lt;=31,3,IF(INDEX(ERP資料!$G:$G, (MATCH(453, 輔助計算!$G$2:$G$801, 0)+1))&lt;=46.5,2,1)), IF(INDEX(ERP資料!$G:$G, (MATCH(453, 輔助計算!$G$2:$G$801, 0)+1))&lt;=790,3,IF(INDEX(ERP資料!$G:$G, (MATCH(453, 輔助計算!$G$2:$G$801, 0)+1))&lt;=1181,2,1))))&gt;0, IF(IF(INDEX(ERP資料!$G:$G, (MATCH(453, 輔助計算!$G$2:$G$801, 0)+1))&lt;100, IF(INDEX(ERP資料!$G:$G, (MATCH(453, 輔助計算!$G$2:$G$801, 0)+1))&lt;=31,3,IF(INDEX(ERP資料!$G:$G, (MATCH(453, 輔助計算!$G$2:$G$801, 0)+1))&lt;=46.5,2,1)), IF(INDEX(ERP資料!$G:$G, (MATCH(453, 輔助計算!$G$2:$G$801, 0)+1))&lt;=790,3,IF(INDEX(ERP資料!$G:$G, (MATCH(453, 輔助計算!$G$2:$G$801, 0)+1))&lt;=1181,2,1)))=1,TEXT(INDEX(ERP資料!$G:$G, (MATCH(453, 輔助計算!$G$2:$G$801, 0)+1)),"0.##"),IF(IF(INDEX(ERP資料!$G:$G, (MATCH(453, 輔助計算!$G$2:$G$801, 0)+1))&lt;100, IF(INDEX(ERP資料!$G:$G, (MATCH(453, 輔助計算!$G$2:$G$801, 0)+1))&lt;=31,3,IF(INDEX(ERP資料!$G:$G, (MATCH(453, 輔助計算!$G$2:$G$801, 0)+1))&lt;=46.5,2,1)), IF(INDEX(ERP資料!$G:$G, (MATCH(453, 輔助計算!$G$2:$G$801, 0)+1))&lt;=790,3,IF(INDEX(ERP資料!$G:$G, (MATCH(453, 輔助計算!$G$2:$G$801, 0)+1))&lt;=1181,2,1)))=2,TEXT(INDEX(ERP資料!$G:$G, (MATCH(453, 輔助計算!$G$2:$G$801, 0)+1)),"0.##")&amp;"+"&amp;TEXT(INDEX(ERP資料!$G:$G, (MATCH(453, 輔助計算!$G$2:$G$801, 0)+1)),"0.##"),TEXT(INDEX(ERP資料!$G:$G, (MATCH(453, 輔助計算!$G$2:$G$801, 0)+1)),"0.##")&amp;"+"&amp;TEXT(INDEX(ERP資料!$G:$G, (MATCH(453, 輔助計算!$G$2:$G$801, 0)+1)),"0.##")&amp;"+"&amp;TEXT(INDEX(ERP資料!$G:$G, (MATCH(453, 輔助計算!$G$2:$G$801, 0)+1)),"0.##")))&amp;"-"&amp;INT(INDEX(輔助計算!$D:$D, (MATCH(453, 輔助計算!$G$2:$G$801, 0)+1))/IF(INDEX(ERP資料!$G:$G, (MATCH(453, 輔助計算!$G$2:$G$801, 0)+1))&lt;100, IF(INDEX(ERP資料!$G:$G, (MATCH(453, 輔助計算!$G$2:$G$801, 0)+1))&lt;=31,3,IF(INDEX(ERP資料!$G:$G, (MATCH(453, 輔助計算!$G$2:$G$801, 0)+1))&lt;=46.5,2,1)), IF(INDEX(ERP資料!$G:$G, (MATCH(453, 輔助計算!$G$2:$G$801, 0)+1))&lt;=790,3,IF(INDEX(ERP資料!$G:$G, (MATCH(453, 輔助計算!$G$2:$G$801, 0)+1))&lt;=1181,2,1)))), "")&amp;IF(AND(IF(INT(INDEX(輔助計算!$D:$D, (MATCH(453, 輔助計算!$G$2:$G$801, 0)+1))/IF(INDEX(ERP資料!$G:$G, (MATCH(453, 輔助計算!$G$2:$G$801, 0)+1))&lt;100, IF(INDEX(ERP資料!$G:$G, (MATCH(453, 輔助計算!$G$2:$G$801, 0)+1))&lt;=31,3,IF(INDEX(ERP資料!$G:$G, (MATCH(453, 輔助計算!$G$2:$G$801, 0)+1))&lt;=46.5,2,1)), IF(INDEX(ERP資料!$G:$G, (MATCH(453, 輔助計算!$G$2:$G$801, 0)+1))&lt;=790,3,IF(INDEX(ERP資料!$G:$G, (MATCH(453, 輔助計算!$G$2:$G$801, 0)+1))&lt;=1181,2,1))))&gt;0, IF(IF(INDEX(ERP資料!$G:$G, (MATCH(453, 輔助計算!$G$2:$G$801, 0)+1))&lt;100, IF(INDEX(ERP資料!$G:$G, (MATCH(453, 輔助計算!$G$2:$G$801, 0)+1))&lt;=31,3,IF(INDEX(ERP資料!$G:$G, (MATCH(453, 輔助計算!$G$2:$G$801, 0)+1))&lt;=46.5,2,1)), IF(INDEX(ERP資料!$G:$G, (MATCH(453, 輔助計算!$G$2:$G$801, 0)+1))&lt;=790,3,IF(INDEX(ERP資料!$G:$G, (MATCH(453, 輔助計算!$G$2:$G$801, 0)+1))&lt;=1181,2,1)))=1,TEXT(INDEX(ERP資料!$G:$G, (MATCH(453, 輔助計算!$G$2:$G$801, 0)+1)),"0.##"),IF(IF(INDEX(ERP資料!$G:$G, (MATCH(453, 輔助計算!$G$2:$G$801, 0)+1))&lt;100, IF(INDEX(ERP資料!$G:$G, (MATCH(453, 輔助計算!$G$2:$G$801, 0)+1))&lt;=31,3,IF(INDEX(ERP資料!$G:$G, (MATCH(453, 輔助計算!$G$2:$G$801, 0)+1))&lt;=46.5,2,1)), IF(INDEX(ERP資料!$G:$G, (MATCH(453, 輔助計算!$G$2:$G$801, 0)+1))&lt;=790,3,IF(INDEX(ERP資料!$G:$G, (MATCH(453, 輔助計算!$G$2:$G$801, 0)+1))&lt;=1181,2,1)))=2,TEXT(INDEX(ERP資料!$G:$G, (MATCH(453, 輔助計算!$G$2:$G$801, 0)+1)),"0.##")&amp;"+"&amp;TEXT(INDEX(ERP資料!$G:$G, (MATCH(453, 輔助計算!$G$2:$G$801, 0)+1)),"0.##"),TEXT(INDEX(ERP資料!$G:$G, (MATCH(453, 輔助計算!$G$2:$G$801, 0)+1)),"0.##")&amp;"+"&amp;TEXT(INDEX(ERP資料!$G:$G, (MATCH(453, 輔助計算!$G$2:$G$801, 0)+1)),"0.##")&amp;"+"&amp;TEXT(INDEX(ERP資料!$G:$G, (MATCH(453, 輔助計算!$G$2:$G$801, 0)+1)),"0.##")))&amp;"-"&amp;INT(INDEX(輔助計算!$D:$D, (MATCH(453, 輔助計算!$G$2:$G$801, 0)+1))/IF(INDEX(ERP資料!$G:$G, (MATCH(453, 輔助計算!$G$2:$G$801, 0)+1))&lt;100, IF(INDEX(ERP資料!$G:$G, (MATCH(453, 輔助計算!$G$2:$G$801, 0)+1))&lt;=31,3,IF(INDEX(ERP資料!$G:$G, (MATCH(453, 輔助計算!$G$2:$G$801, 0)+1))&lt;=46.5,2,1)), IF(INDEX(ERP資料!$G:$G, (MATCH(453, 輔助計算!$G$2:$G$801, 0)+1))&lt;=790,3,IF(INDEX(ERP資料!$G:$G, (MATCH(453, 輔助計算!$G$2:$G$801, 0)+1))&lt;=1181,2,1)))), "")&lt;&gt;"",IF(MOD(INDEX(輔助計算!$D:$D, (MATCH(453, 輔助計算!$G$2:$G$801, 0)+1)),IF(INDEX(ERP資料!$G:$G, (MATCH(453, 輔助計算!$G$2:$G$801, 0)+1))&lt;100, IF(INDEX(ERP資料!$G:$G, (MATCH(453, 輔助計算!$G$2:$G$801, 0)+1))&lt;=31,3,IF(INDEX(ERP資料!$G:$G, (MATCH(453, 輔助計算!$G$2:$G$801, 0)+1))&lt;=46.5,2,1)), IF(INDEX(ERP資料!$G:$G, (MATCH(453, 輔助計算!$G$2:$G$801, 0)+1))&lt;=790,3,IF(INDEX(ERP資料!$G:$G, (MATCH(453, 輔助計算!$G$2:$G$801, 0)+1))&lt;=1181,2,1))))=0,"",IF(MOD(INDEX(輔助計算!$D:$D, (MATCH(453, 輔助計算!$G$2:$G$801, 0)+1)),IF(INDEX(ERP資料!$G:$G, (MATCH(453, 輔助計算!$G$2:$G$801, 0)+1))&lt;100, IF(INDEX(ERP資料!$G:$G, (MATCH(453, 輔助計算!$G$2:$G$801, 0)+1))&lt;=31,3,IF(INDEX(ERP資料!$G:$G, (MATCH(453, 輔助計算!$G$2:$G$801, 0)+1))&lt;=46.5,2,1)), IF(INDEX(ERP資料!$G:$G, (MATCH(453, 輔助計算!$G$2:$G$801, 0)+1))&lt;=790,3,IF(INDEX(ERP資料!$G:$G, (MATCH(453, 輔助計算!$G$2:$G$801, 0)+1))&lt;=1181,2,1))))=0,"",IF(MOD(INDEX(輔助計算!$D:$D, (MATCH(453, 輔助計算!$G$2:$G$801, 0)+1)),IF(INDEX(ERP資料!$G:$G, (MATCH(453, 輔助計算!$G$2:$G$801, 0)+1))&lt;100, IF(INDEX(ERP資料!$G:$G, (MATCH(453, 輔助計算!$G$2:$G$801, 0)+1))&lt;=31,3,IF(INDEX(ERP資料!$G:$G, (MATCH(453, 輔助計算!$G$2:$G$801, 0)+1))&lt;=46.5,2,1)), IF(INDEX(ERP資料!$G:$G, (MATCH(453, 輔助計算!$G$2:$G$801, 0)+1))&lt;=790,3,IF(INDEX(ERP資料!$G:$G, (MATCH(453, 輔助計算!$G$2:$G$801, 0)+1))&lt;=1181,2,1))))=1,TEXT(INDEX(ERP資料!$G:$G, (MATCH(453, 輔助計算!$G$2:$G$801, 0)+1)),"0.##"),IF(MOD(INDEX(輔助計算!$D:$D, (MATCH(453, 輔助計算!$G$2:$G$801, 0)+1)),IF(INDEX(ERP資料!$G:$G, (MATCH(453, 輔助計算!$G$2:$G$801, 0)+1))&lt;100, IF(INDEX(ERP資料!$G:$G, (MATCH(453, 輔助計算!$G$2:$G$801, 0)+1))&lt;=31,3,IF(INDEX(ERP資料!$G:$G, (MATCH(453, 輔助計算!$G$2:$G$801, 0)+1))&lt;=46.5,2,1)), IF(INDEX(ERP資料!$G:$G, (MATCH(453, 輔助計算!$G$2:$G$801, 0)+1))&lt;=790,3,IF(INDEX(ERP資料!$G:$G, (MATCH(453, 輔助計算!$G$2:$G$801, 0)+1))&lt;=1181,2,1))))=2,TEXT(INDEX(ERP資料!$G:$G, (MATCH(453, 輔助計算!$G$2:$G$801, 0)+1)),"0.##")&amp;"+"&amp;TEXT(INDEX(ERP資料!$G:$G, (MATCH(453, 輔助計算!$G$2:$G$801, 0)+1)),"0.##"),TEXT(INDEX(ERP資料!$G:$G, (MATCH(453, 輔助計算!$G$2:$G$801, 0)+1)),"0.##")&amp;"+"&amp;TEXT(INDEX(ERP資料!$G:$G, (MATCH(453, 輔助計算!$G$2:$G$801, 0)+1)),"0.##")&amp;"+"&amp;TEXT(INDEX(ERP資料!$G:$G, (MATCH(453, 輔助計算!$G$2:$G$801, 0)+1)),"0.##"))))&amp;"-1")&lt;&gt;""),"  ","")&amp;IF(MOD(INDEX(輔助計算!$D:$D, (MATCH(453, 輔助計算!$G$2:$G$801, 0)+1)),IF(INDEX(ERP資料!$G:$G, (MATCH(453, 輔助計算!$G$2:$G$801, 0)+1))&lt;100, IF(INDEX(ERP資料!$G:$G, (MATCH(453, 輔助計算!$G$2:$G$801, 0)+1))&lt;=31,3,IF(INDEX(ERP資料!$G:$G, (MATCH(453, 輔助計算!$G$2:$G$801, 0)+1))&lt;=46.5,2,1)), IF(INDEX(ERP資料!$G:$G, (MATCH(453, 輔助計算!$G$2:$G$801, 0)+1))&lt;=790,3,IF(INDEX(ERP資料!$G:$G, (MATCH(453, 輔助計算!$G$2:$G$801, 0)+1))&lt;=1181,2,1))))=0,"",IF(MOD(INDEX(輔助計算!$D:$D, (MATCH(453, 輔助計算!$G$2:$G$801, 0)+1)),IF(INDEX(ERP資料!$G:$G, (MATCH(453, 輔助計算!$G$2:$G$801, 0)+1))&lt;100, IF(INDEX(ERP資料!$G:$G, (MATCH(453, 輔助計算!$G$2:$G$801, 0)+1))&lt;=31,3,IF(INDEX(ERP資料!$G:$G, (MATCH(453, 輔助計算!$G$2:$G$801, 0)+1))&lt;=46.5,2,1)), IF(INDEX(ERP資料!$G:$G, (MATCH(453, 輔助計算!$G$2:$G$801, 0)+1))&lt;=790,3,IF(INDEX(ERP資料!$G:$G, (MATCH(453, 輔助計算!$G$2:$G$801, 0)+1))&lt;=1181,2,1))))=0,"",IF(MOD(INDEX(輔助計算!$D:$D, (MATCH(453, 輔助計算!$G$2:$G$801, 0)+1)),IF(INDEX(ERP資料!$G:$G, (MATCH(453, 輔助計算!$G$2:$G$801, 0)+1))&lt;100, IF(INDEX(ERP資料!$G:$G, (MATCH(453, 輔助計算!$G$2:$G$801, 0)+1))&lt;=31,3,IF(INDEX(ERP資料!$G:$G, (MATCH(453, 輔助計算!$G$2:$G$801, 0)+1))&lt;=46.5,2,1)), IF(INDEX(ERP資料!$G:$G, (MATCH(453, 輔助計算!$G$2:$G$801, 0)+1))&lt;=790,3,IF(INDEX(ERP資料!$G:$G, (MATCH(453, 輔助計算!$G$2:$G$801, 0)+1))&lt;=1181,2,1))))=1,TEXT(INDEX(ERP資料!$G:$G, (MATCH(453, 輔助計算!$G$2:$G$801, 0)+1)),"0.##"),IF(MOD(INDEX(輔助計算!$D:$D, (MATCH(453, 輔助計算!$G$2:$G$801, 0)+1)),IF(INDEX(ERP資料!$G:$G, (MATCH(453, 輔助計算!$G$2:$G$801, 0)+1))&lt;100, IF(INDEX(ERP資料!$G:$G, (MATCH(453, 輔助計算!$G$2:$G$801, 0)+1))&lt;=31,3,IF(INDEX(ERP資料!$G:$G, (MATCH(453, 輔助計算!$G$2:$G$801, 0)+1))&lt;=46.5,2,1)), IF(INDEX(ERP資料!$G:$G, (MATCH(453, 輔助計算!$G$2:$G$801, 0)+1))&lt;=790,3,IF(INDEX(ERP資料!$G:$G, (MATCH(453, 輔助計算!$G$2:$G$801, 0)+1))&lt;=1181,2,1))))=2,TEXT(INDEX(ERP資料!$G:$G, (MATCH(453, 輔助計算!$G$2:$G$801, 0)+1)),"0.##")&amp;"+"&amp;TEXT(INDEX(ERP資料!$G:$G, (MATCH(453, 輔助計算!$G$2:$G$801, 0)+1)),"0.##"),TEXT(INDEX(ERP資料!$G:$G, (MATCH(453, 輔助計算!$G$2:$G$801, 0)+1)),"0.##")&amp;"+"&amp;TEXT(INDEX(ERP資料!$G:$G, (MATCH(453, 輔助計算!$G$2:$G$801, 0)+1)),"0.##")&amp;"+"&amp;TEXT(INDEX(ERP資料!$G:$G, (MATCH(453, 輔助計算!$G$2:$G$801, 0)+1)),"0.##"))))&amp;"-1")), ""), "")</f>
        <v/>
      </c>
      <c r="K454" s="16" t="n"/>
      <c r="L454" s="14">
        <f>IFERROR(IF(AND(IFERROR(INDEX(ERP資料!$A:$A, (MATCH(453, 輔助計算!$G$2:$G$801, 0)+1)), "")&lt;&gt;"", IFERROR(INDEX(ERP資料!$A:$A, (MATCH(453, 輔助計算!$G$2:$G$801, 0)+1)), "")&lt;&gt;IFERROR(INDEX(ERP資料!$A:$A, MATCH(452, 輔助計算!$G$2:$G$801, 0)+1), "")), INDEX(ERP資料!$B:$B, (MATCH(453, 輔助計算!$G$2:$G$801, 0)+1)), ""), "")</f>
        <v/>
      </c>
      <c r="M454" s="17" t="n"/>
    </row>
    <row r="455">
      <c r="A455" s="10">
        <f>IFERROR(IF(AND(IFERROR(INDEX(ERP資料!$A:$A, (MATCH(454, 輔助計算!$G$2:$G$801, 0)+1)), "")&lt;&gt;"", IFERROR(INDEX(ERP資料!$A:$A, (MATCH(454, 輔助計算!$G$2:$G$801, 0)+1)), "")&lt;&gt;IFERROR(INDEX(ERP資料!$A:$A, MATCH(453, 輔助計算!$G$2:$G$801, 0)+1), "")), IFERROR(INDEX(ERP資料!$A:$A, (MATCH(454, 輔助計算!$G$2:$G$801, 0)+1)), ""), ""), "")</f>
        <v/>
      </c>
      <c r="B455" s="10">
        <f>IFERROR(IF(AND(IFERROR(INDEX(ERP資料!$A:$A, (MATCH(454, 輔助計算!$G$2:$G$801, 0)+1)), "")&lt;&gt;"", IFERROR(INDEX(ERP資料!$A:$A, (MATCH(454, 輔助計算!$G$2:$G$801, 0)+1)), "")&lt;&gt;IFERROR(INDEX(ERP資料!$A:$A, MATCH(453, 輔助計算!$G$2:$G$801, 0)+1), "")), INDEX(ERP資料!$S:$S, (MATCH(454, 輔助計算!$G$2:$G$801, 0)+1)), ""), "")</f>
        <v/>
      </c>
      <c r="C455" s="19">
        <f>IFERROR(IF(AND(IFERROR(INDEX(ERP資料!$A:$A, (MATCH(454, 輔助計算!$G$2:$G$801, 0)+1)), "")&lt;&gt;"", IFERROR(INDEX(ERP資料!$A:$A, (MATCH(454, 輔助計算!$G$2:$G$801, 0)+1)), "")&lt;&gt;IFERROR(INDEX(ERP資料!$A:$A, MATCH(453, 輔助計算!$G$2:$G$801, 0)+1), "")), IFERROR(VLOOKUP(LEFT(INDEX(ERP資料!$S:$S, (MATCH(454, 輔助計算!$G$2:$G$801, 0)+1)), 4), 紙管對照表!$A:$C, 3, FALSE), ""), ""), "")</f>
        <v/>
      </c>
      <c r="D455" s="16" t="n"/>
      <c r="E455" s="10">
        <f>IFERROR(IF(INDEX(ERP資料!$H:$H, (MATCH(454, 輔助計算!$G$2:$G$801, 0)+1))="","",INDEX(ERP資料!$H:$H, (MATCH(454, 輔助計算!$G$2:$G$801, 0)+1))), "")</f>
        <v/>
      </c>
      <c r="F455" s="10">
        <f>IFERROR(IF(INDEX(ERP資料!$E:$E, (MATCH(454, 輔助計算!$G$2:$G$801, 0)+1))="","",TRIM(INDEX(ERP資料!$E:$E, (MATCH(454, 輔助計算!$G$2:$G$801, 0)+1)))), "")</f>
        <v/>
      </c>
      <c r="G455" s="10">
        <f>IFERROR(IF(INDEX(ERP資料!$F:$F, (MATCH(454, 輔助計算!$G$2:$G$801, 0)+1))="","",INDEX(ERP資料!$F:$F, (MATCH(454, 輔助計算!$G$2:$G$801, 0)+1))), "")</f>
        <v/>
      </c>
      <c r="H455" s="10">
        <f>IFERROR(IF(INDEX(ERP資料!$G:$G, (MATCH(454, 輔助計算!$G$2:$G$801, 0)+1))="","",INDEX(ERP資料!$G:$G, (MATCH(454, 輔助計算!$G$2:$G$801, 0)+1))), "")</f>
        <v/>
      </c>
      <c r="I455" s="15">
        <f>IFERROR(INDEX(輔助計算!$D:$D, (MATCH(454, 輔助計算!$G$2:$G$801, 0)+1)), "")</f>
        <v/>
      </c>
      <c r="J455" s="15">
        <f>IFERROR(IF(AND(INDEX(輔助計算!$D:$D, (MATCH(454, 輔助計算!$G$2:$G$801, 0)+1))&lt;&gt;"", INDEX(ERP資料!$G:$G, (MATCH(454, 輔助計算!$G$2:$G$801, 0)+1))&lt;&gt;""), TRIM(IF(INT(INDEX(輔助計算!$D:$D, (MATCH(454, 輔助計算!$G$2:$G$801, 0)+1))/IF(INDEX(ERP資料!$G:$G, (MATCH(454, 輔助計算!$G$2:$G$801, 0)+1))&lt;100, IF(INDEX(ERP資料!$G:$G, (MATCH(454, 輔助計算!$G$2:$G$801, 0)+1))&lt;=31,3,IF(INDEX(ERP資料!$G:$G, (MATCH(454, 輔助計算!$G$2:$G$801, 0)+1))&lt;=46.5,2,1)), IF(INDEX(ERP資料!$G:$G, (MATCH(454, 輔助計算!$G$2:$G$801, 0)+1))&lt;=790,3,IF(INDEX(ERP資料!$G:$G, (MATCH(454, 輔助計算!$G$2:$G$801, 0)+1))&lt;=1181,2,1))))&gt;0, IF(IF(INDEX(ERP資料!$G:$G, (MATCH(454, 輔助計算!$G$2:$G$801, 0)+1))&lt;100, IF(INDEX(ERP資料!$G:$G, (MATCH(454, 輔助計算!$G$2:$G$801, 0)+1))&lt;=31,3,IF(INDEX(ERP資料!$G:$G, (MATCH(454, 輔助計算!$G$2:$G$801, 0)+1))&lt;=46.5,2,1)), IF(INDEX(ERP資料!$G:$G, (MATCH(454, 輔助計算!$G$2:$G$801, 0)+1))&lt;=790,3,IF(INDEX(ERP資料!$G:$G, (MATCH(454, 輔助計算!$G$2:$G$801, 0)+1))&lt;=1181,2,1)))=1,TEXT(INDEX(ERP資料!$G:$G, (MATCH(454, 輔助計算!$G$2:$G$801, 0)+1)),"0.##"),IF(IF(INDEX(ERP資料!$G:$G, (MATCH(454, 輔助計算!$G$2:$G$801, 0)+1))&lt;100, IF(INDEX(ERP資料!$G:$G, (MATCH(454, 輔助計算!$G$2:$G$801, 0)+1))&lt;=31,3,IF(INDEX(ERP資料!$G:$G, (MATCH(454, 輔助計算!$G$2:$G$801, 0)+1))&lt;=46.5,2,1)), IF(INDEX(ERP資料!$G:$G, (MATCH(454, 輔助計算!$G$2:$G$801, 0)+1))&lt;=790,3,IF(INDEX(ERP資料!$G:$G, (MATCH(454, 輔助計算!$G$2:$G$801, 0)+1))&lt;=1181,2,1)))=2,TEXT(INDEX(ERP資料!$G:$G, (MATCH(454, 輔助計算!$G$2:$G$801, 0)+1)),"0.##")&amp;"+"&amp;TEXT(INDEX(ERP資料!$G:$G, (MATCH(454, 輔助計算!$G$2:$G$801, 0)+1)),"0.##"),TEXT(INDEX(ERP資料!$G:$G, (MATCH(454, 輔助計算!$G$2:$G$801, 0)+1)),"0.##")&amp;"+"&amp;TEXT(INDEX(ERP資料!$G:$G, (MATCH(454, 輔助計算!$G$2:$G$801, 0)+1)),"0.##")&amp;"+"&amp;TEXT(INDEX(ERP資料!$G:$G, (MATCH(454, 輔助計算!$G$2:$G$801, 0)+1)),"0.##")))&amp;"-"&amp;INT(INDEX(輔助計算!$D:$D, (MATCH(454, 輔助計算!$G$2:$G$801, 0)+1))/IF(INDEX(ERP資料!$G:$G, (MATCH(454, 輔助計算!$G$2:$G$801, 0)+1))&lt;100, IF(INDEX(ERP資料!$G:$G, (MATCH(454, 輔助計算!$G$2:$G$801, 0)+1))&lt;=31,3,IF(INDEX(ERP資料!$G:$G, (MATCH(454, 輔助計算!$G$2:$G$801, 0)+1))&lt;=46.5,2,1)), IF(INDEX(ERP資料!$G:$G, (MATCH(454, 輔助計算!$G$2:$G$801, 0)+1))&lt;=790,3,IF(INDEX(ERP資料!$G:$G, (MATCH(454, 輔助計算!$G$2:$G$801, 0)+1))&lt;=1181,2,1)))), "")&amp;IF(AND(IF(INT(INDEX(輔助計算!$D:$D, (MATCH(454, 輔助計算!$G$2:$G$801, 0)+1))/IF(INDEX(ERP資料!$G:$G, (MATCH(454, 輔助計算!$G$2:$G$801, 0)+1))&lt;100, IF(INDEX(ERP資料!$G:$G, (MATCH(454, 輔助計算!$G$2:$G$801, 0)+1))&lt;=31,3,IF(INDEX(ERP資料!$G:$G, (MATCH(454, 輔助計算!$G$2:$G$801, 0)+1))&lt;=46.5,2,1)), IF(INDEX(ERP資料!$G:$G, (MATCH(454, 輔助計算!$G$2:$G$801, 0)+1))&lt;=790,3,IF(INDEX(ERP資料!$G:$G, (MATCH(454, 輔助計算!$G$2:$G$801, 0)+1))&lt;=1181,2,1))))&gt;0, IF(IF(INDEX(ERP資料!$G:$G, (MATCH(454, 輔助計算!$G$2:$G$801, 0)+1))&lt;100, IF(INDEX(ERP資料!$G:$G, (MATCH(454, 輔助計算!$G$2:$G$801, 0)+1))&lt;=31,3,IF(INDEX(ERP資料!$G:$G, (MATCH(454, 輔助計算!$G$2:$G$801, 0)+1))&lt;=46.5,2,1)), IF(INDEX(ERP資料!$G:$G, (MATCH(454, 輔助計算!$G$2:$G$801, 0)+1))&lt;=790,3,IF(INDEX(ERP資料!$G:$G, (MATCH(454, 輔助計算!$G$2:$G$801, 0)+1))&lt;=1181,2,1)))=1,TEXT(INDEX(ERP資料!$G:$G, (MATCH(454, 輔助計算!$G$2:$G$801, 0)+1)),"0.##"),IF(IF(INDEX(ERP資料!$G:$G, (MATCH(454, 輔助計算!$G$2:$G$801, 0)+1))&lt;100, IF(INDEX(ERP資料!$G:$G, (MATCH(454, 輔助計算!$G$2:$G$801, 0)+1))&lt;=31,3,IF(INDEX(ERP資料!$G:$G, (MATCH(454, 輔助計算!$G$2:$G$801, 0)+1))&lt;=46.5,2,1)), IF(INDEX(ERP資料!$G:$G, (MATCH(454, 輔助計算!$G$2:$G$801, 0)+1))&lt;=790,3,IF(INDEX(ERP資料!$G:$G, (MATCH(454, 輔助計算!$G$2:$G$801, 0)+1))&lt;=1181,2,1)))=2,TEXT(INDEX(ERP資料!$G:$G, (MATCH(454, 輔助計算!$G$2:$G$801, 0)+1)),"0.##")&amp;"+"&amp;TEXT(INDEX(ERP資料!$G:$G, (MATCH(454, 輔助計算!$G$2:$G$801, 0)+1)),"0.##"),TEXT(INDEX(ERP資料!$G:$G, (MATCH(454, 輔助計算!$G$2:$G$801, 0)+1)),"0.##")&amp;"+"&amp;TEXT(INDEX(ERP資料!$G:$G, (MATCH(454, 輔助計算!$G$2:$G$801, 0)+1)),"0.##")&amp;"+"&amp;TEXT(INDEX(ERP資料!$G:$G, (MATCH(454, 輔助計算!$G$2:$G$801, 0)+1)),"0.##")))&amp;"-"&amp;INT(INDEX(輔助計算!$D:$D, (MATCH(454, 輔助計算!$G$2:$G$801, 0)+1))/IF(INDEX(ERP資料!$G:$G, (MATCH(454, 輔助計算!$G$2:$G$801, 0)+1))&lt;100, IF(INDEX(ERP資料!$G:$G, (MATCH(454, 輔助計算!$G$2:$G$801, 0)+1))&lt;=31,3,IF(INDEX(ERP資料!$G:$G, (MATCH(454, 輔助計算!$G$2:$G$801, 0)+1))&lt;=46.5,2,1)), IF(INDEX(ERP資料!$G:$G, (MATCH(454, 輔助計算!$G$2:$G$801, 0)+1))&lt;=790,3,IF(INDEX(ERP資料!$G:$G, (MATCH(454, 輔助計算!$G$2:$G$801, 0)+1))&lt;=1181,2,1)))), "")&lt;&gt;"",IF(MOD(INDEX(輔助計算!$D:$D, (MATCH(454, 輔助計算!$G$2:$G$801, 0)+1)),IF(INDEX(ERP資料!$G:$G, (MATCH(454, 輔助計算!$G$2:$G$801, 0)+1))&lt;100, IF(INDEX(ERP資料!$G:$G, (MATCH(454, 輔助計算!$G$2:$G$801, 0)+1))&lt;=31,3,IF(INDEX(ERP資料!$G:$G, (MATCH(454, 輔助計算!$G$2:$G$801, 0)+1))&lt;=46.5,2,1)), IF(INDEX(ERP資料!$G:$G, (MATCH(454, 輔助計算!$G$2:$G$801, 0)+1))&lt;=790,3,IF(INDEX(ERP資料!$G:$G, (MATCH(454, 輔助計算!$G$2:$G$801, 0)+1))&lt;=1181,2,1))))=0,"",IF(MOD(INDEX(輔助計算!$D:$D, (MATCH(454, 輔助計算!$G$2:$G$801, 0)+1)),IF(INDEX(ERP資料!$G:$G, (MATCH(454, 輔助計算!$G$2:$G$801, 0)+1))&lt;100, IF(INDEX(ERP資料!$G:$G, (MATCH(454, 輔助計算!$G$2:$G$801, 0)+1))&lt;=31,3,IF(INDEX(ERP資料!$G:$G, (MATCH(454, 輔助計算!$G$2:$G$801, 0)+1))&lt;=46.5,2,1)), IF(INDEX(ERP資料!$G:$G, (MATCH(454, 輔助計算!$G$2:$G$801, 0)+1))&lt;=790,3,IF(INDEX(ERP資料!$G:$G, (MATCH(454, 輔助計算!$G$2:$G$801, 0)+1))&lt;=1181,2,1))))=0,"",IF(MOD(INDEX(輔助計算!$D:$D, (MATCH(454, 輔助計算!$G$2:$G$801, 0)+1)),IF(INDEX(ERP資料!$G:$G, (MATCH(454, 輔助計算!$G$2:$G$801, 0)+1))&lt;100, IF(INDEX(ERP資料!$G:$G, (MATCH(454, 輔助計算!$G$2:$G$801, 0)+1))&lt;=31,3,IF(INDEX(ERP資料!$G:$G, (MATCH(454, 輔助計算!$G$2:$G$801, 0)+1))&lt;=46.5,2,1)), IF(INDEX(ERP資料!$G:$G, (MATCH(454, 輔助計算!$G$2:$G$801, 0)+1))&lt;=790,3,IF(INDEX(ERP資料!$G:$G, (MATCH(454, 輔助計算!$G$2:$G$801, 0)+1))&lt;=1181,2,1))))=1,TEXT(INDEX(ERP資料!$G:$G, (MATCH(454, 輔助計算!$G$2:$G$801, 0)+1)),"0.##"),IF(MOD(INDEX(輔助計算!$D:$D, (MATCH(454, 輔助計算!$G$2:$G$801, 0)+1)),IF(INDEX(ERP資料!$G:$G, (MATCH(454, 輔助計算!$G$2:$G$801, 0)+1))&lt;100, IF(INDEX(ERP資料!$G:$G, (MATCH(454, 輔助計算!$G$2:$G$801, 0)+1))&lt;=31,3,IF(INDEX(ERP資料!$G:$G, (MATCH(454, 輔助計算!$G$2:$G$801, 0)+1))&lt;=46.5,2,1)), IF(INDEX(ERP資料!$G:$G, (MATCH(454, 輔助計算!$G$2:$G$801, 0)+1))&lt;=790,3,IF(INDEX(ERP資料!$G:$G, (MATCH(454, 輔助計算!$G$2:$G$801, 0)+1))&lt;=1181,2,1))))=2,TEXT(INDEX(ERP資料!$G:$G, (MATCH(454, 輔助計算!$G$2:$G$801, 0)+1)),"0.##")&amp;"+"&amp;TEXT(INDEX(ERP資料!$G:$G, (MATCH(454, 輔助計算!$G$2:$G$801, 0)+1)),"0.##"),TEXT(INDEX(ERP資料!$G:$G, (MATCH(454, 輔助計算!$G$2:$G$801, 0)+1)),"0.##")&amp;"+"&amp;TEXT(INDEX(ERP資料!$G:$G, (MATCH(454, 輔助計算!$G$2:$G$801, 0)+1)),"0.##")&amp;"+"&amp;TEXT(INDEX(ERP資料!$G:$G, (MATCH(454, 輔助計算!$G$2:$G$801, 0)+1)),"0.##"))))&amp;"-1")&lt;&gt;""),"  ","")&amp;IF(MOD(INDEX(輔助計算!$D:$D, (MATCH(454, 輔助計算!$G$2:$G$801, 0)+1)),IF(INDEX(ERP資料!$G:$G, (MATCH(454, 輔助計算!$G$2:$G$801, 0)+1))&lt;100, IF(INDEX(ERP資料!$G:$G, (MATCH(454, 輔助計算!$G$2:$G$801, 0)+1))&lt;=31,3,IF(INDEX(ERP資料!$G:$G, (MATCH(454, 輔助計算!$G$2:$G$801, 0)+1))&lt;=46.5,2,1)), IF(INDEX(ERP資料!$G:$G, (MATCH(454, 輔助計算!$G$2:$G$801, 0)+1))&lt;=790,3,IF(INDEX(ERP資料!$G:$G, (MATCH(454, 輔助計算!$G$2:$G$801, 0)+1))&lt;=1181,2,1))))=0,"",IF(MOD(INDEX(輔助計算!$D:$D, (MATCH(454, 輔助計算!$G$2:$G$801, 0)+1)),IF(INDEX(ERP資料!$G:$G, (MATCH(454, 輔助計算!$G$2:$G$801, 0)+1))&lt;100, IF(INDEX(ERP資料!$G:$G, (MATCH(454, 輔助計算!$G$2:$G$801, 0)+1))&lt;=31,3,IF(INDEX(ERP資料!$G:$G, (MATCH(454, 輔助計算!$G$2:$G$801, 0)+1))&lt;=46.5,2,1)), IF(INDEX(ERP資料!$G:$G, (MATCH(454, 輔助計算!$G$2:$G$801, 0)+1))&lt;=790,3,IF(INDEX(ERP資料!$G:$G, (MATCH(454, 輔助計算!$G$2:$G$801, 0)+1))&lt;=1181,2,1))))=0,"",IF(MOD(INDEX(輔助計算!$D:$D, (MATCH(454, 輔助計算!$G$2:$G$801, 0)+1)),IF(INDEX(ERP資料!$G:$G, (MATCH(454, 輔助計算!$G$2:$G$801, 0)+1))&lt;100, IF(INDEX(ERP資料!$G:$G, (MATCH(454, 輔助計算!$G$2:$G$801, 0)+1))&lt;=31,3,IF(INDEX(ERP資料!$G:$G, (MATCH(454, 輔助計算!$G$2:$G$801, 0)+1))&lt;=46.5,2,1)), IF(INDEX(ERP資料!$G:$G, (MATCH(454, 輔助計算!$G$2:$G$801, 0)+1))&lt;=790,3,IF(INDEX(ERP資料!$G:$G, (MATCH(454, 輔助計算!$G$2:$G$801, 0)+1))&lt;=1181,2,1))))=1,TEXT(INDEX(ERP資料!$G:$G, (MATCH(454, 輔助計算!$G$2:$G$801, 0)+1)),"0.##"),IF(MOD(INDEX(輔助計算!$D:$D, (MATCH(454, 輔助計算!$G$2:$G$801, 0)+1)),IF(INDEX(ERP資料!$G:$G, (MATCH(454, 輔助計算!$G$2:$G$801, 0)+1))&lt;100, IF(INDEX(ERP資料!$G:$G, (MATCH(454, 輔助計算!$G$2:$G$801, 0)+1))&lt;=31,3,IF(INDEX(ERP資料!$G:$G, (MATCH(454, 輔助計算!$G$2:$G$801, 0)+1))&lt;=46.5,2,1)), IF(INDEX(ERP資料!$G:$G, (MATCH(454, 輔助計算!$G$2:$G$801, 0)+1))&lt;=790,3,IF(INDEX(ERP資料!$G:$G, (MATCH(454, 輔助計算!$G$2:$G$801, 0)+1))&lt;=1181,2,1))))=2,TEXT(INDEX(ERP資料!$G:$G, (MATCH(454, 輔助計算!$G$2:$G$801, 0)+1)),"0.##")&amp;"+"&amp;TEXT(INDEX(ERP資料!$G:$G, (MATCH(454, 輔助計算!$G$2:$G$801, 0)+1)),"0.##"),TEXT(INDEX(ERP資料!$G:$G, (MATCH(454, 輔助計算!$G$2:$G$801, 0)+1)),"0.##")&amp;"+"&amp;TEXT(INDEX(ERP資料!$G:$G, (MATCH(454, 輔助計算!$G$2:$G$801, 0)+1)),"0.##")&amp;"+"&amp;TEXT(INDEX(ERP資料!$G:$G, (MATCH(454, 輔助計算!$G$2:$G$801, 0)+1)),"0.##"))))&amp;"-1")), ""), "")</f>
        <v/>
      </c>
      <c r="K455" s="16" t="n"/>
      <c r="L455" s="14">
        <f>IFERROR(IF(AND(IFERROR(INDEX(ERP資料!$A:$A, (MATCH(454, 輔助計算!$G$2:$G$801, 0)+1)), "")&lt;&gt;"", IFERROR(INDEX(ERP資料!$A:$A, (MATCH(454, 輔助計算!$G$2:$G$801, 0)+1)), "")&lt;&gt;IFERROR(INDEX(ERP資料!$A:$A, MATCH(453, 輔助計算!$G$2:$G$801, 0)+1), "")), INDEX(ERP資料!$B:$B, (MATCH(454, 輔助計算!$G$2:$G$801, 0)+1)), ""), "")</f>
        <v/>
      </c>
      <c r="M455" s="17" t="n"/>
    </row>
    <row r="456">
      <c r="A456" s="10">
        <f>IFERROR(IF(AND(IFERROR(INDEX(ERP資料!$A:$A, (MATCH(455, 輔助計算!$G$2:$G$801, 0)+1)), "")&lt;&gt;"", IFERROR(INDEX(ERP資料!$A:$A, (MATCH(455, 輔助計算!$G$2:$G$801, 0)+1)), "")&lt;&gt;IFERROR(INDEX(ERP資料!$A:$A, MATCH(454, 輔助計算!$G$2:$G$801, 0)+1), "")), IFERROR(INDEX(ERP資料!$A:$A, (MATCH(455, 輔助計算!$G$2:$G$801, 0)+1)), ""), ""), "")</f>
        <v/>
      </c>
      <c r="B456" s="10">
        <f>IFERROR(IF(AND(IFERROR(INDEX(ERP資料!$A:$A, (MATCH(455, 輔助計算!$G$2:$G$801, 0)+1)), "")&lt;&gt;"", IFERROR(INDEX(ERP資料!$A:$A, (MATCH(455, 輔助計算!$G$2:$G$801, 0)+1)), "")&lt;&gt;IFERROR(INDEX(ERP資料!$A:$A, MATCH(454, 輔助計算!$G$2:$G$801, 0)+1), "")), INDEX(ERP資料!$S:$S, (MATCH(455, 輔助計算!$G$2:$G$801, 0)+1)), ""), "")</f>
        <v/>
      </c>
      <c r="C456" s="19">
        <f>IFERROR(IF(AND(IFERROR(INDEX(ERP資料!$A:$A, (MATCH(455, 輔助計算!$G$2:$G$801, 0)+1)), "")&lt;&gt;"", IFERROR(INDEX(ERP資料!$A:$A, (MATCH(455, 輔助計算!$G$2:$G$801, 0)+1)), "")&lt;&gt;IFERROR(INDEX(ERP資料!$A:$A, MATCH(454, 輔助計算!$G$2:$G$801, 0)+1), "")), IFERROR(VLOOKUP(LEFT(INDEX(ERP資料!$S:$S, (MATCH(455, 輔助計算!$G$2:$G$801, 0)+1)), 4), 紙管對照表!$A:$C, 3, FALSE), ""), ""), "")</f>
        <v/>
      </c>
      <c r="D456" s="16" t="n"/>
      <c r="E456" s="10">
        <f>IFERROR(IF(INDEX(ERP資料!$H:$H, (MATCH(455, 輔助計算!$G$2:$G$801, 0)+1))="","",INDEX(ERP資料!$H:$H, (MATCH(455, 輔助計算!$G$2:$G$801, 0)+1))), "")</f>
        <v/>
      </c>
      <c r="F456" s="10">
        <f>IFERROR(IF(INDEX(ERP資料!$E:$E, (MATCH(455, 輔助計算!$G$2:$G$801, 0)+1))="","",TRIM(INDEX(ERP資料!$E:$E, (MATCH(455, 輔助計算!$G$2:$G$801, 0)+1)))), "")</f>
        <v/>
      </c>
      <c r="G456" s="10">
        <f>IFERROR(IF(INDEX(ERP資料!$F:$F, (MATCH(455, 輔助計算!$G$2:$G$801, 0)+1))="","",INDEX(ERP資料!$F:$F, (MATCH(455, 輔助計算!$G$2:$G$801, 0)+1))), "")</f>
        <v/>
      </c>
      <c r="H456" s="10">
        <f>IFERROR(IF(INDEX(ERP資料!$G:$G, (MATCH(455, 輔助計算!$G$2:$G$801, 0)+1))="","",INDEX(ERP資料!$G:$G, (MATCH(455, 輔助計算!$G$2:$G$801, 0)+1))), "")</f>
        <v/>
      </c>
      <c r="I456" s="15">
        <f>IFERROR(INDEX(輔助計算!$D:$D, (MATCH(455, 輔助計算!$G$2:$G$801, 0)+1)), "")</f>
        <v/>
      </c>
      <c r="J456" s="15">
        <f>IFERROR(IF(AND(INDEX(輔助計算!$D:$D, (MATCH(455, 輔助計算!$G$2:$G$801, 0)+1))&lt;&gt;"", INDEX(ERP資料!$G:$G, (MATCH(455, 輔助計算!$G$2:$G$801, 0)+1))&lt;&gt;""), TRIM(IF(INT(INDEX(輔助計算!$D:$D, (MATCH(455, 輔助計算!$G$2:$G$801, 0)+1))/IF(INDEX(ERP資料!$G:$G, (MATCH(455, 輔助計算!$G$2:$G$801, 0)+1))&lt;100, IF(INDEX(ERP資料!$G:$G, (MATCH(455, 輔助計算!$G$2:$G$801, 0)+1))&lt;=31,3,IF(INDEX(ERP資料!$G:$G, (MATCH(455, 輔助計算!$G$2:$G$801, 0)+1))&lt;=46.5,2,1)), IF(INDEX(ERP資料!$G:$G, (MATCH(455, 輔助計算!$G$2:$G$801, 0)+1))&lt;=790,3,IF(INDEX(ERP資料!$G:$G, (MATCH(455, 輔助計算!$G$2:$G$801, 0)+1))&lt;=1181,2,1))))&gt;0, IF(IF(INDEX(ERP資料!$G:$G, (MATCH(455, 輔助計算!$G$2:$G$801, 0)+1))&lt;100, IF(INDEX(ERP資料!$G:$G, (MATCH(455, 輔助計算!$G$2:$G$801, 0)+1))&lt;=31,3,IF(INDEX(ERP資料!$G:$G, (MATCH(455, 輔助計算!$G$2:$G$801, 0)+1))&lt;=46.5,2,1)), IF(INDEX(ERP資料!$G:$G, (MATCH(455, 輔助計算!$G$2:$G$801, 0)+1))&lt;=790,3,IF(INDEX(ERP資料!$G:$G, (MATCH(455, 輔助計算!$G$2:$G$801, 0)+1))&lt;=1181,2,1)))=1,TEXT(INDEX(ERP資料!$G:$G, (MATCH(455, 輔助計算!$G$2:$G$801, 0)+1)),"0.##"),IF(IF(INDEX(ERP資料!$G:$G, (MATCH(455, 輔助計算!$G$2:$G$801, 0)+1))&lt;100, IF(INDEX(ERP資料!$G:$G, (MATCH(455, 輔助計算!$G$2:$G$801, 0)+1))&lt;=31,3,IF(INDEX(ERP資料!$G:$G, (MATCH(455, 輔助計算!$G$2:$G$801, 0)+1))&lt;=46.5,2,1)), IF(INDEX(ERP資料!$G:$G, (MATCH(455, 輔助計算!$G$2:$G$801, 0)+1))&lt;=790,3,IF(INDEX(ERP資料!$G:$G, (MATCH(455, 輔助計算!$G$2:$G$801, 0)+1))&lt;=1181,2,1)))=2,TEXT(INDEX(ERP資料!$G:$G, (MATCH(455, 輔助計算!$G$2:$G$801, 0)+1)),"0.##")&amp;"+"&amp;TEXT(INDEX(ERP資料!$G:$G, (MATCH(455, 輔助計算!$G$2:$G$801, 0)+1)),"0.##"),TEXT(INDEX(ERP資料!$G:$G, (MATCH(455, 輔助計算!$G$2:$G$801, 0)+1)),"0.##")&amp;"+"&amp;TEXT(INDEX(ERP資料!$G:$G, (MATCH(455, 輔助計算!$G$2:$G$801, 0)+1)),"0.##")&amp;"+"&amp;TEXT(INDEX(ERP資料!$G:$G, (MATCH(455, 輔助計算!$G$2:$G$801, 0)+1)),"0.##")))&amp;"-"&amp;INT(INDEX(輔助計算!$D:$D, (MATCH(455, 輔助計算!$G$2:$G$801, 0)+1))/IF(INDEX(ERP資料!$G:$G, (MATCH(455, 輔助計算!$G$2:$G$801, 0)+1))&lt;100, IF(INDEX(ERP資料!$G:$G, (MATCH(455, 輔助計算!$G$2:$G$801, 0)+1))&lt;=31,3,IF(INDEX(ERP資料!$G:$G, (MATCH(455, 輔助計算!$G$2:$G$801, 0)+1))&lt;=46.5,2,1)), IF(INDEX(ERP資料!$G:$G, (MATCH(455, 輔助計算!$G$2:$G$801, 0)+1))&lt;=790,3,IF(INDEX(ERP資料!$G:$G, (MATCH(455, 輔助計算!$G$2:$G$801, 0)+1))&lt;=1181,2,1)))), "")&amp;IF(AND(IF(INT(INDEX(輔助計算!$D:$D, (MATCH(455, 輔助計算!$G$2:$G$801, 0)+1))/IF(INDEX(ERP資料!$G:$G, (MATCH(455, 輔助計算!$G$2:$G$801, 0)+1))&lt;100, IF(INDEX(ERP資料!$G:$G, (MATCH(455, 輔助計算!$G$2:$G$801, 0)+1))&lt;=31,3,IF(INDEX(ERP資料!$G:$G, (MATCH(455, 輔助計算!$G$2:$G$801, 0)+1))&lt;=46.5,2,1)), IF(INDEX(ERP資料!$G:$G, (MATCH(455, 輔助計算!$G$2:$G$801, 0)+1))&lt;=790,3,IF(INDEX(ERP資料!$G:$G, (MATCH(455, 輔助計算!$G$2:$G$801, 0)+1))&lt;=1181,2,1))))&gt;0, IF(IF(INDEX(ERP資料!$G:$G, (MATCH(455, 輔助計算!$G$2:$G$801, 0)+1))&lt;100, IF(INDEX(ERP資料!$G:$G, (MATCH(455, 輔助計算!$G$2:$G$801, 0)+1))&lt;=31,3,IF(INDEX(ERP資料!$G:$G, (MATCH(455, 輔助計算!$G$2:$G$801, 0)+1))&lt;=46.5,2,1)), IF(INDEX(ERP資料!$G:$G, (MATCH(455, 輔助計算!$G$2:$G$801, 0)+1))&lt;=790,3,IF(INDEX(ERP資料!$G:$G, (MATCH(455, 輔助計算!$G$2:$G$801, 0)+1))&lt;=1181,2,1)))=1,TEXT(INDEX(ERP資料!$G:$G, (MATCH(455, 輔助計算!$G$2:$G$801, 0)+1)),"0.##"),IF(IF(INDEX(ERP資料!$G:$G, (MATCH(455, 輔助計算!$G$2:$G$801, 0)+1))&lt;100, IF(INDEX(ERP資料!$G:$G, (MATCH(455, 輔助計算!$G$2:$G$801, 0)+1))&lt;=31,3,IF(INDEX(ERP資料!$G:$G, (MATCH(455, 輔助計算!$G$2:$G$801, 0)+1))&lt;=46.5,2,1)), IF(INDEX(ERP資料!$G:$G, (MATCH(455, 輔助計算!$G$2:$G$801, 0)+1))&lt;=790,3,IF(INDEX(ERP資料!$G:$G, (MATCH(455, 輔助計算!$G$2:$G$801, 0)+1))&lt;=1181,2,1)))=2,TEXT(INDEX(ERP資料!$G:$G, (MATCH(455, 輔助計算!$G$2:$G$801, 0)+1)),"0.##")&amp;"+"&amp;TEXT(INDEX(ERP資料!$G:$G, (MATCH(455, 輔助計算!$G$2:$G$801, 0)+1)),"0.##"),TEXT(INDEX(ERP資料!$G:$G, (MATCH(455, 輔助計算!$G$2:$G$801, 0)+1)),"0.##")&amp;"+"&amp;TEXT(INDEX(ERP資料!$G:$G, (MATCH(455, 輔助計算!$G$2:$G$801, 0)+1)),"0.##")&amp;"+"&amp;TEXT(INDEX(ERP資料!$G:$G, (MATCH(455, 輔助計算!$G$2:$G$801, 0)+1)),"0.##")))&amp;"-"&amp;INT(INDEX(輔助計算!$D:$D, (MATCH(455, 輔助計算!$G$2:$G$801, 0)+1))/IF(INDEX(ERP資料!$G:$G, (MATCH(455, 輔助計算!$G$2:$G$801, 0)+1))&lt;100, IF(INDEX(ERP資料!$G:$G, (MATCH(455, 輔助計算!$G$2:$G$801, 0)+1))&lt;=31,3,IF(INDEX(ERP資料!$G:$G, (MATCH(455, 輔助計算!$G$2:$G$801, 0)+1))&lt;=46.5,2,1)), IF(INDEX(ERP資料!$G:$G, (MATCH(455, 輔助計算!$G$2:$G$801, 0)+1))&lt;=790,3,IF(INDEX(ERP資料!$G:$G, (MATCH(455, 輔助計算!$G$2:$G$801, 0)+1))&lt;=1181,2,1)))), "")&lt;&gt;"",IF(MOD(INDEX(輔助計算!$D:$D, (MATCH(455, 輔助計算!$G$2:$G$801, 0)+1)),IF(INDEX(ERP資料!$G:$G, (MATCH(455, 輔助計算!$G$2:$G$801, 0)+1))&lt;100, IF(INDEX(ERP資料!$G:$G, (MATCH(455, 輔助計算!$G$2:$G$801, 0)+1))&lt;=31,3,IF(INDEX(ERP資料!$G:$G, (MATCH(455, 輔助計算!$G$2:$G$801, 0)+1))&lt;=46.5,2,1)), IF(INDEX(ERP資料!$G:$G, (MATCH(455, 輔助計算!$G$2:$G$801, 0)+1))&lt;=790,3,IF(INDEX(ERP資料!$G:$G, (MATCH(455, 輔助計算!$G$2:$G$801, 0)+1))&lt;=1181,2,1))))=0,"",IF(MOD(INDEX(輔助計算!$D:$D, (MATCH(455, 輔助計算!$G$2:$G$801, 0)+1)),IF(INDEX(ERP資料!$G:$G, (MATCH(455, 輔助計算!$G$2:$G$801, 0)+1))&lt;100, IF(INDEX(ERP資料!$G:$G, (MATCH(455, 輔助計算!$G$2:$G$801, 0)+1))&lt;=31,3,IF(INDEX(ERP資料!$G:$G, (MATCH(455, 輔助計算!$G$2:$G$801, 0)+1))&lt;=46.5,2,1)), IF(INDEX(ERP資料!$G:$G, (MATCH(455, 輔助計算!$G$2:$G$801, 0)+1))&lt;=790,3,IF(INDEX(ERP資料!$G:$G, (MATCH(455, 輔助計算!$G$2:$G$801, 0)+1))&lt;=1181,2,1))))=0,"",IF(MOD(INDEX(輔助計算!$D:$D, (MATCH(455, 輔助計算!$G$2:$G$801, 0)+1)),IF(INDEX(ERP資料!$G:$G, (MATCH(455, 輔助計算!$G$2:$G$801, 0)+1))&lt;100, IF(INDEX(ERP資料!$G:$G, (MATCH(455, 輔助計算!$G$2:$G$801, 0)+1))&lt;=31,3,IF(INDEX(ERP資料!$G:$G, (MATCH(455, 輔助計算!$G$2:$G$801, 0)+1))&lt;=46.5,2,1)), IF(INDEX(ERP資料!$G:$G, (MATCH(455, 輔助計算!$G$2:$G$801, 0)+1))&lt;=790,3,IF(INDEX(ERP資料!$G:$G, (MATCH(455, 輔助計算!$G$2:$G$801, 0)+1))&lt;=1181,2,1))))=1,TEXT(INDEX(ERP資料!$G:$G, (MATCH(455, 輔助計算!$G$2:$G$801, 0)+1)),"0.##"),IF(MOD(INDEX(輔助計算!$D:$D, (MATCH(455, 輔助計算!$G$2:$G$801, 0)+1)),IF(INDEX(ERP資料!$G:$G, (MATCH(455, 輔助計算!$G$2:$G$801, 0)+1))&lt;100, IF(INDEX(ERP資料!$G:$G, (MATCH(455, 輔助計算!$G$2:$G$801, 0)+1))&lt;=31,3,IF(INDEX(ERP資料!$G:$G, (MATCH(455, 輔助計算!$G$2:$G$801, 0)+1))&lt;=46.5,2,1)), IF(INDEX(ERP資料!$G:$G, (MATCH(455, 輔助計算!$G$2:$G$801, 0)+1))&lt;=790,3,IF(INDEX(ERP資料!$G:$G, (MATCH(455, 輔助計算!$G$2:$G$801, 0)+1))&lt;=1181,2,1))))=2,TEXT(INDEX(ERP資料!$G:$G, (MATCH(455, 輔助計算!$G$2:$G$801, 0)+1)),"0.##")&amp;"+"&amp;TEXT(INDEX(ERP資料!$G:$G, (MATCH(455, 輔助計算!$G$2:$G$801, 0)+1)),"0.##"),TEXT(INDEX(ERP資料!$G:$G, (MATCH(455, 輔助計算!$G$2:$G$801, 0)+1)),"0.##")&amp;"+"&amp;TEXT(INDEX(ERP資料!$G:$G, (MATCH(455, 輔助計算!$G$2:$G$801, 0)+1)),"0.##")&amp;"+"&amp;TEXT(INDEX(ERP資料!$G:$G, (MATCH(455, 輔助計算!$G$2:$G$801, 0)+1)),"0.##"))))&amp;"-1")&lt;&gt;""),"  ","")&amp;IF(MOD(INDEX(輔助計算!$D:$D, (MATCH(455, 輔助計算!$G$2:$G$801, 0)+1)),IF(INDEX(ERP資料!$G:$G, (MATCH(455, 輔助計算!$G$2:$G$801, 0)+1))&lt;100, IF(INDEX(ERP資料!$G:$G, (MATCH(455, 輔助計算!$G$2:$G$801, 0)+1))&lt;=31,3,IF(INDEX(ERP資料!$G:$G, (MATCH(455, 輔助計算!$G$2:$G$801, 0)+1))&lt;=46.5,2,1)), IF(INDEX(ERP資料!$G:$G, (MATCH(455, 輔助計算!$G$2:$G$801, 0)+1))&lt;=790,3,IF(INDEX(ERP資料!$G:$G, (MATCH(455, 輔助計算!$G$2:$G$801, 0)+1))&lt;=1181,2,1))))=0,"",IF(MOD(INDEX(輔助計算!$D:$D, (MATCH(455, 輔助計算!$G$2:$G$801, 0)+1)),IF(INDEX(ERP資料!$G:$G, (MATCH(455, 輔助計算!$G$2:$G$801, 0)+1))&lt;100, IF(INDEX(ERP資料!$G:$G, (MATCH(455, 輔助計算!$G$2:$G$801, 0)+1))&lt;=31,3,IF(INDEX(ERP資料!$G:$G, (MATCH(455, 輔助計算!$G$2:$G$801, 0)+1))&lt;=46.5,2,1)), IF(INDEX(ERP資料!$G:$G, (MATCH(455, 輔助計算!$G$2:$G$801, 0)+1))&lt;=790,3,IF(INDEX(ERP資料!$G:$G, (MATCH(455, 輔助計算!$G$2:$G$801, 0)+1))&lt;=1181,2,1))))=0,"",IF(MOD(INDEX(輔助計算!$D:$D, (MATCH(455, 輔助計算!$G$2:$G$801, 0)+1)),IF(INDEX(ERP資料!$G:$G, (MATCH(455, 輔助計算!$G$2:$G$801, 0)+1))&lt;100, IF(INDEX(ERP資料!$G:$G, (MATCH(455, 輔助計算!$G$2:$G$801, 0)+1))&lt;=31,3,IF(INDEX(ERP資料!$G:$G, (MATCH(455, 輔助計算!$G$2:$G$801, 0)+1))&lt;=46.5,2,1)), IF(INDEX(ERP資料!$G:$G, (MATCH(455, 輔助計算!$G$2:$G$801, 0)+1))&lt;=790,3,IF(INDEX(ERP資料!$G:$G, (MATCH(455, 輔助計算!$G$2:$G$801, 0)+1))&lt;=1181,2,1))))=1,TEXT(INDEX(ERP資料!$G:$G, (MATCH(455, 輔助計算!$G$2:$G$801, 0)+1)),"0.##"),IF(MOD(INDEX(輔助計算!$D:$D, (MATCH(455, 輔助計算!$G$2:$G$801, 0)+1)),IF(INDEX(ERP資料!$G:$G, (MATCH(455, 輔助計算!$G$2:$G$801, 0)+1))&lt;100, IF(INDEX(ERP資料!$G:$G, (MATCH(455, 輔助計算!$G$2:$G$801, 0)+1))&lt;=31,3,IF(INDEX(ERP資料!$G:$G, (MATCH(455, 輔助計算!$G$2:$G$801, 0)+1))&lt;=46.5,2,1)), IF(INDEX(ERP資料!$G:$G, (MATCH(455, 輔助計算!$G$2:$G$801, 0)+1))&lt;=790,3,IF(INDEX(ERP資料!$G:$G, (MATCH(455, 輔助計算!$G$2:$G$801, 0)+1))&lt;=1181,2,1))))=2,TEXT(INDEX(ERP資料!$G:$G, (MATCH(455, 輔助計算!$G$2:$G$801, 0)+1)),"0.##")&amp;"+"&amp;TEXT(INDEX(ERP資料!$G:$G, (MATCH(455, 輔助計算!$G$2:$G$801, 0)+1)),"0.##"),TEXT(INDEX(ERP資料!$G:$G, (MATCH(455, 輔助計算!$G$2:$G$801, 0)+1)),"0.##")&amp;"+"&amp;TEXT(INDEX(ERP資料!$G:$G, (MATCH(455, 輔助計算!$G$2:$G$801, 0)+1)),"0.##")&amp;"+"&amp;TEXT(INDEX(ERP資料!$G:$G, (MATCH(455, 輔助計算!$G$2:$G$801, 0)+1)),"0.##"))))&amp;"-1")), ""), "")</f>
        <v/>
      </c>
      <c r="K456" s="16" t="n"/>
      <c r="L456" s="14">
        <f>IFERROR(IF(AND(IFERROR(INDEX(ERP資料!$A:$A, (MATCH(455, 輔助計算!$G$2:$G$801, 0)+1)), "")&lt;&gt;"", IFERROR(INDEX(ERP資料!$A:$A, (MATCH(455, 輔助計算!$G$2:$G$801, 0)+1)), "")&lt;&gt;IFERROR(INDEX(ERP資料!$A:$A, MATCH(454, 輔助計算!$G$2:$G$801, 0)+1), "")), INDEX(ERP資料!$B:$B, (MATCH(455, 輔助計算!$G$2:$G$801, 0)+1)), ""), "")</f>
        <v/>
      </c>
      <c r="M456" s="17" t="n"/>
    </row>
    <row r="457">
      <c r="A457" s="10">
        <f>IFERROR(IF(AND(IFERROR(INDEX(ERP資料!$A:$A, (MATCH(456, 輔助計算!$G$2:$G$801, 0)+1)), "")&lt;&gt;"", IFERROR(INDEX(ERP資料!$A:$A, (MATCH(456, 輔助計算!$G$2:$G$801, 0)+1)), "")&lt;&gt;IFERROR(INDEX(ERP資料!$A:$A, MATCH(455, 輔助計算!$G$2:$G$801, 0)+1), "")), IFERROR(INDEX(ERP資料!$A:$A, (MATCH(456, 輔助計算!$G$2:$G$801, 0)+1)), ""), ""), "")</f>
        <v/>
      </c>
      <c r="B457" s="10">
        <f>IFERROR(IF(AND(IFERROR(INDEX(ERP資料!$A:$A, (MATCH(456, 輔助計算!$G$2:$G$801, 0)+1)), "")&lt;&gt;"", IFERROR(INDEX(ERP資料!$A:$A, (MATCH(456, 輔助計算!$G$2:$G$801, 0)+1)), "")&lt;&gt;IFERROR(INDEX(ERP資料!$A:$A, MATCH(455, 輔助計算!$G$2:$G$801, 0)+1), "")), INDEX(ERP資料!$S:$S, (MATCH(456, 輔助計算!$G$2:$G$801, 0)+1)), ""), "")</f>
        <v/>
      </c>
      <c r="C457" s="19">
        <f>IFERROR(IF(AND(IFERROR(INDEX(ERP資料!$A:$A, (MATCH(456, 輔助計算!$G$2:$G$801, 0)+1)), "")&lt;&gt;"", IFERROR(INDEX(ERP資料!$A:$A, (MATCH(456, 輔助計算!$G$2:$G$801, 0)+1)), "")&lt;&gt;IFERROR(INDEX(ERP資料!$A:$A, MATCH(455, 輔助計算!$G$2:$G$801, 0)+1), "")), IFERROR(VLOOKUP(LEFT(INDEX(ERP資料!$S:$S, (MATCH(456, 輔助計算!$G$2:$G$801, 0)+1)), 4), 紙管對照表!$A:$C, 3, FALSE), ""), ""), "")</f>
        <v/>
      </c>
      <c r="D457" s="16" t="n"/>
      <c r="E457" s="10">
        <f>IFERROR(IF(INDEX(ERP資料!$H:$H, (MATCH(456, 輔助計算!$G$2:$G$801, 0)+1))="","",INDEX(ERP資料!$H:$H, (MATCH(456, 輔助計算!$G$2:$G$801, 0)+1))), "")</f>
        <v/>
      </c>
      <c r="F457" s="10">
        <f>IFERROR(IF(INDEX(ERP資料!$E:$E, (MATCH(456, 輔助計算!$G$2:$G$801, 0)+1))="","",TRIM(INDEX(ERP資料!$E:$E, (MATCH(456, 輔助計算!$G$2:$G$801, 0)+1)))), "")</f>
        <v/>
      </c>
      <c r="G457" s="10">
        <f>IFERROR(IF(INDEX(ERP資料!$F:$F, (MATCH(456, 輔助計算!$G$2:$G$801, 0)+1))="","",INDEX(ERP資料!$F:$F, (MATCH(456, 輔助計算!$G$2:$G$801, 0)+1))), "")</f>
        <v/>
      </c>
      <c r="H457" s="10">
        <f>IFERROR(IF(INDEX(ERP資料!$G:$G, (MATCH(456, 輔助計算!$G$2:$G$801, 0)+1))="","",INDEX(ERP資料!$G:$G, (MATCH(456, 輔助計算!$G$2:$G$801, 0)+1))), "")</f>
        <v/>
      </c>
      <c r="I457" s="15">
        <f>IFERROR(INDEX(輔助計算!$D:$D, (MATCH(456, 輔助計算!$G$2:$G$801, 0)+1)), "")</f>
        <v/>
      </c>
      <c r="J457" s="15">
        <f>IFERROR(IF(AND(INDEX(輔助計算!$D:$D, (MATCH(456, 輔助計算!$G$2:$G$801, 0)+1))&lt;&gt;"", INDEX(ERP資料!$G:$G, (MATCH(456, 輔助計算!$G$2:$G$801, 0)+1))&lt;&gt;""), TRIM(IF(INT(INDEX(輔助計算!$D:$D, (MATCH(456, 輔助計算!$G$2:$G$801, 0)+1))/IF(INDEX(ERP資料!$G:$G, (MATCH(456, 輔助計算!$G$2:$G$801, 0)+1))&lt;100, IF(INDEX(ERP資料!$G:$G, (MATCH(456, 輔助計算!$G$2:$G$801, 0)+1))&lt;=31,3,IF(INDEX(ERP資料!$G:$G, (MATCH(456, 輔助計算!$G$2:$G$801, 0)+1))&lt;=46.5,2,1)), IF(INDEX(ERP資料!$G:$G, (MATCH(456, 輔助計算!$G$2:$G$801, 0)+1))&lt;=790,3,IF(INDEX(ERP資料!$G:$G, (MATCH(456, 輔助計算!$G$2:$G$801, 0)+1))&lt;=1181,2,1))))&gt;0, IF(IF(INDEX(ERP資料!$G:$G, (MATCH(456, 輔助計算!$G$2:$G$801, 0)+1))&lt;100, IF(INDEX(ERP資料!$G:$G, (MATCH(456, 輔助計算!$G$2:$G$801, 0)+1))&lt;=31,3,IF(INDEX(ERP資料!$G:$G, (MATCH(456, 輔助計算!$G$2:$G$801, 0)+1))&lt;=46.5,2,1)), IF(INDEX(ERP資料!$G:$G, (MATCH(456, 輔助計算!$G$2:$G$801, 0)+1))&lt;=790,3,IF(INDEX(ERP資料!$G:$G, (MATCH(456, 輔助計算!$G$2:$G$801, 0)+1))&lt;=1181,2,1)))=1,TEXT(INDEX(ERP資料!$G:$G, (MATCH(456, 輔助計算!$G$2:$G$801, 0)+1)),"0.##"),IF(IF(INDEX(ERP資料!$G:$G, (MATCH(456, 輔助計算!$G$2:$G$801, 0)+1))&lt;100, IF(INDEX(ERP資料!$G:$G, (MATCH(456, 輔助計算!$G$2:$G$801, 0)+1))&lt;=31,3,IF(INDEX(ERP資料!$G:$G, (MATCH(456, 輔助計算!$G$2:$G$801, 0)+1))&lt;=46.5,2,1)), IF(INDEX(ERP資料!$G:$G, (MATCH(456, 輔助計算!$G$2:$G$801, 0)+1))&lt;=790,3,IF(INDEX(ERP資料!$G:$G, (MATCH(456, 輔助計算!$G$2:$G$801, 0)+1))&lt;=1181,2,1)))=2,TEXT(INDEX(ERP資料!$G:$G, (MATCH(456, 輔助計算!$G$2:$G$801, 0)+1)),"0.##")&amp;"+"&amp;TEXT(INDEX(ERP資料!$G:$G, (MATCH(456, 輔助計算!$G$2:$G$801, 0)+1)),"0.##"),TEXT(INDEX(ERP資料!$G:$G, (MATCH(456, 輔助計算!$G$2:$G$801, 0)+1)),"0.##")&amp;"+"&amp;TEXT(INDEX(ERP資料!$G:$G, (MATCH(456, 輔助計算!$G$2:$G$801, 0)+1)),"0.##")&amp;"+"&amp;TEXT(INDEX(ERP資料!$G:$G, (MATCH(456, 輔助計算!$G$2:$G$801, 0)+1)),"0.##")))&amp;"-"&amp;INT(INDEX(輔助計算!$D:$D, (MATCH(456, 輔助計算!$G$2:$G$801, 0)+1))/IF(INDEX(ERP資料!$G:$G, (MATCH(456, 輔助計算!$G$2:$G$801, 0)+1))&lt;100, IF(INDEX(ERP資料!$G:$G, (MATCH(456, 輔助計算!$G$2:$G$801, 0)+1))&lt;=31,3,IF(INDEX(ERP資料!$G:$G, (MATCH(456, 輔助計算!$G$2:$G$801, 0)+1))&lt;=46.5,2,1)), IF(INDEX(ERP資料!$G:$G, (MATCH(456, 輔助計算!$G$2:$G$801, 0)+1))&lt;=790,3,IF(INDEX(ERP資料!$G:$G, (MATCH(456, 輔助計算!$G$2:$G$801, 0)+1))&lt;=1181,2,1)))), "")&amp;IF(AND(IF(INT(INDEX(輔助計算!$D:$D, (MATCH(456, 輔助計算!$G$2:$G$801, 0)+1))/IF(INDEX(ERP資料!$G:$G, (MATCH(456, 輔助計算!$G$2:$G$801, 0)+1))&lt;100, IF(INDEX(ERP資料!$G:$G, (MATCH(456, 輔助計算!$G$2:$G$801, 0)+1))&lt;=31,3,IF(INDEX(ERP資料!$G:$G, (MATCH(456, 輔助計算!$G$2:$G$801, 0)+1))&lt;=46.5,2,1)), IF(INDEX(ERP資料!$G:$G, (MATCH(456, 輔助計算!$G$2:$G$801, 0)+1))&lt;=790,3,IF(INDEX(ERP資料!$G:$G, (MATCH(456, 輔助計算!$G$2:$G$801, 0)+1))&lt;=1181,2,1))))&gt;0, IF(IF(INDEX(ERP資料!$G:$G, (MATCH(456, 輔助計算!$G$2:$G$801, 0)+1))&lt;100, IF(INDEX(ERP資料!$G:$G, (MATCH(456, 輔助計算!$G$2:$G$801, 0)+1))&lt;=31,3,IF(INDEX(ERP資料!$G:$G, (MATCH(456, 輔助計算!$G$2:$G$801, 0)+1))&lt;=46.5,2,1)), IF(INDEX(ERP資料!$G:$G, (MATCH(456, 輔助計算!$G$2:$G$801, 0)+1))&lt;=790,3,IF(INDEX(ERP資料!$G:$G, (MATCH(456, 輔助計算!$G$2:$G$801, 0)+1))&lt;=1181,2,1)))=1,TEXT(INDEX(ERP資料!$G:$G, (MATCH(456, 輔助計算!$G$2:$G$801, 0)+1)),"0.##"),IF(IF(INDEX(ERP資料!$G:$G, (MATCH(456, 輔助計算!$G$2:$G$801, 0)+1))&lt;100, IF(INDEX(ERP資料!$G:$G, (MATCH(456, 輔助計算!$G$2:$G$801, 0)+1))&lt;=31,3,IF(INDEX(ERP資料!$G:$G, (MATCH(456, 輔助計算!$G$2:$G$801, 0)+1))&lt;=46.5,2,1)), IF(INDEX(ERP資料!$G:$G, (MATCH(456, 輔助計算!$G$2:$G$801, 0)+1))&lt;=790,3,IF(INDEX(ERP資料!$G:$G, (MATCH(456, 輔助計算!$G$2:$G$801, 0)+1))&lt;=1181,2,1)))=2,TEXT(INDEX(ERP資料!$G:$G, (MATCH(456, 輔助計算!$G$2:$G$801, 0)+1)),"0.##")&amp;"+"&amp;TEXT(INDEX(ERP資料!$G:$G, (MATCH(456, 輔助計算!$G$2:$G$801, 0)+1)),"0.##"),TEXT(INDEX(ERP資料!$G:$G, (MATCH(456, 輔助計算!$G$2:$G$801, 0)+1)),"0.##")&amp;"+"&amp;TEXT(INDEX(ERP資料!$G:$G, (MATCH(456, 輔助計算!$G$2:$G$801, 0)+1)),"0.##")&amp;"+"&amp;TEXT(INDEX(ERP資料!$G:$G, (MATCH(456, 輔助計算!$G$2:$G$801, 0)+1)),"0.##")))&amp;"-"&amp;INT(INDEX(輔助計算!$D:$D, (MATCH(456, 輔助計算!$G$2:$G$801, 0)+1))/IF(INDEX(ERP資料!$G:$G, (MATCH(456, 輔助計算!$G$2:$G$801, 0)+1))&lt;100, IF(INDEX(ERP資料!$G:$G, (MATCH(456, 輔助計算!$G$2:$G$801, 0)+1))&lt;=31,3,IF(INDEX(ERP資料!$G:$G, (MATCH(456, 輔助計算!$G$2:$G$801, 0)+1))&lt;=46.5,2,1)), IF(INDEX(ERP資料!$G:$G, (MATCH(456, 輔助計算!$G$2:$G$801, 0)+1))&lt;=790,3,IF(INDEX(ERP資料!$G:$G, (MATCH(456, 輔助計算!$G$2:$G$801, 0)+1))&lt;=1181,2,1)))), "")&lt;&gt;"",IF(MOD(INDEX(輔助計算!$D:$D, (MATCH(456, 輔助計算!$G$2:$G$801, 0)+1)),IF(INDEX(ERP資料!$G:$G, (MATCH(456, 輔助計算!$G$2:$G$801, 0)+1))&lt;100, IF(INDEX(ERP資料!$G:$G, (MATCH(456, 輔助計算!$G$2:$G$801, 0)+1))&lt;=31,3,IF(INDEX(ERP資料!$G:$G, (MATCH(456, 輔助計算!$G$2:$G$801, 0)+1))&lt;=46.5,2,1)), IF(INDEX(ERP資料!$G:$G, (MATCH(456, 輔助計算!$G$2:$G$801, 0)+1))&lt;=790,3,IF(INDEX(ERP資料!$G:$G, (MATCH(456, 輔助計算!$G$2:$G$801, 0)+1))&lt;=1181,2,1))))=0,"",IF(MOD(INDEX(輔助計算!$D:$D, (MATCH(456, 輔助計算!$G$2:$G$801, 0)+1)),IF(INDEX(ERP資料!$G:$G, (MATCH(456, 輔助計算!$G$2:$G$801, 0)+1))&lt;100, IF(INDEX(ERP資料!$G:$G, (MATCH(456, 輔助計算!$G$2:$G$801, 0)+1))&lt;=31,3,IF(INDEX(ERP資料!$G:$G, (MATCH(456, 輔助計算!$G$2:$G$801, 0)+1))&lt;=46.5,2,1)), IF(INDEX(ERP資料!$G:$G, (MATCH(456, 輔助計算!$G$2:$G$801, 0)+1))&lt;=790,3,IF(INDEX(ERP資料!$G:$G, (MATCH(456, 輔助計算!$G$2:$G$801, 0)+1))&lt;=1181,2,1))))=0,"",IF(MOD(INDEX(輔助計算!$D:$D, (MATCH(456, 輔助計算!$G$2:$G$801, 0)+1)),IF(INDEX(ERP資料!$G:$G, (MATCH(456, 輔助計算!$G$2:$G$801, 0)+1))&lt;100, IF(INDEX(ERP資料!$G:$G, (MATCH(456, 輔助計算!$G$2:$G$801, 0)+1))&lt;=31,3,IF(INDEX(ERP資料!$G:$G, (MATCH(456, 輔助計算!$G$2:$G$801, 0)+1))&lt;=46.5,2,1)), IF(INDEX(ERP資料!$G:$G, (MATCH(456, 輔助計算!$G$2:$G$801, 0)+1))&lt;=790,3,IF(INDEX(ERP資料!$G:$G, (MATCH(456, 輔助計算!$G$2:$G$801, 0)+1))&lt;=1181,2,1))))=1,TEXT(INDEX(ERP資料!$G:$G, (MATCH(456, 輔助計算!$G$2:$G$801, 0)+1)),"0.##"),IF(MOD(INDEX(輔助計算!$D:$D, (MATCH(456, 輔助計算!$G$2:$G$801, 0)+1)),IF(INDEX(ERP資料!$G:$G, (MATCH(456, 輔助計算!$G$2:$G$801, 0)+1))&lt;100, IF(INDEX(ERP資料!$G:$G, (MATCH(456, 輔助計算!$G$2:$G$801, 0)+1))&lt;=31,3,IF(INDEX(ERP資料!$G:$G, (MATCH(456, 輔助計算!$G$2:$G$801, 0)+1))&lt;=46.5,2,1)), IF(INDEX(ERP資料!$G:$G, (MATCH(456, 輔助計算!$G$2:$G$801, 0)+1))&lt;=790,3,IF(INDEX(ERP資料!$G:$G, (MATCH(456, 輔助計算!$G$2:$G$801, 0)+1))&lt;=1181,2,1))))=2,TEXT(INDEX(ERP資料!$G:$G, (MATCH(456, 輔助計算!$G$2:$G$801, 0)+1)),"0.##")&amp;"+"&amp;TEXT(INDEX(ERP資料!$G:$G, (MATCH(456, 輔助計算!$G$2:$G$801, 0)+1)),"0.##"),TEXT(INDEX(ERP資料!$G:$G, (MATCH(456, 輔助計算!$G$2:$G$801, 0)+1)),"0.##")&amp;"+"&amp;TEXT(INDEX(ERP資料!$G:$G, (MATCH(456, 輔助計算!$G$2:$G$801, 0)+1)),"0.##")&amp;"+"&amp;TEXT(INDEX(ERP資料!$G:$G, (MATCH(456, 輔助計算!$G$2:$G$801, 0)+1)),"0.##"))))&amp;"-1")&lt;&gt;""),"  ","")&amp;IF(MOD(INDEX(輔助計算!$D:$D, (MATCH(456, 輔助計算!$G$2:$G$801, 0)+1)),IF(INDEX(ERP資料!$G:$G, (MATCH(456, 輔助計算!$G$2:$G$801, 0)+1))&lt;100, IF(INDEX(ERP資料!$G:$G, (MATCH(456, 輔助計算!$G$2:$G$801, 0)+1))&lt;=31,3,IF(INDEX(ERP資料!$G:$G, (MATCH(456, 輔助計算!$G$2:$G$801, 0)+1))&lt;=46.5,2,1)), IF(INDEX(ERP資料!$G:$G, (MATCH(456, 輔助計算!$G$2:$G$801, 0)+1))&lt;=790,3,IF(INDEX(ERP資料!$G:$G, (MATCH(456, 輔助計算!$G$2:$G$801, 0)+1))&lt;=1181,2,1))))=0,"",IF(MOD(INDEX(輔助計算!$D:$D, (MATCH(456, 輔助計算!$G$2:$G$801, 0)+1)),IF(INDEX(ERP資料!$G:$G, (MATCH(456, 輔助計算!$G$2:$G$801, 0)+1))&lt;100, IF(INDEX(ERP資料!$G:$G, (MATCH(456, 輔助計算!$G$2:$G$801, 0)+1))&lt;=31,3,IF(INDEX(ERP資料!$G:$G, (MATCH(456, 輔助計算!$G$2:$G$801, 0)+1))&lt;=46.5,2,1)), IF(INDEX(ERP資料!$G:$G, (MATCH(456, 輔助計算!$G$2:$G$801, 0)+1))&lt;=790,3,IF(INDEX(ERP資料!$G:$G, (MATCH(456, 輔助計算!$G$2:$G$801, 0)+1))&lt;=1181,2,1))))=0,"",IF(MOD(INDEX(輔助計算!$D:$D, (MATCH(456, 輔助計算!$G$2:$G$801, 0)+1)),IF(INDEX(ERP資料!$G:$G, (MATCH(456, 輔助計算!$G$2:$G$801, 0)+1))&lt;100, IF(INDEX(ERP資料!$G:$G, (MATCH(456, 輔助計算!$G$2:$G$801, 0)+1))&lt;=31,3,IF(INDEX(ERP資料!$G:$G, (MATCH(456, 輔助計算!$G$2:$G$801, 0)+1))&lt;=46.5,2,1)), IF(INDEX(ERP資料!$G:$G, (MATCH(456, 輔助計算!$G$2:$G$801, 0)+1))&lt;=790,3,IF(INDEX(ERP資料!$G:$G, (MATCH(456, 輔助計算!$G$2:$G$801, 0)+1))&lt;=1181,2,1))))=1,TEXT(INDEX(ERP資料!$G:$G, (MATCH(456, 輔助計算!$G$2:$G$801, 0)+1)),"0.##"),IF(MOD(INDEX(輔助計算!$D:$D, (MATCH(456, 輔助計算!$G$2:$G$801, 0)+1)),IF(INDEX(ERP資料!$G:$G, (MATCH(456, 輔助計算!$G$2:$G$801, 0)+1))&lt;100, IF(INDEX(ERP資料!$G:$G, (MATCH(456, 輔助計算!$G$2:$G$801, 0)+1))&lt;=31,3,IF(INDEX(ERP資料!$G:$G, (MATCH(456, 輔助計算!$G$2:$G$801, 0)+1))&lt;=46.5,2,1)), IF(INDEX(ERP資料!$G:$G, (MATCH(456, 輔助計算!$G$2:$G$801, 0)+1))&lt;=790,3,IF(INDEX(ERP資料!$G:$G, (MATCH(456, 輔助計算!$G$2:$G$801, 0)+1))&lt;=1181,2,1))))=2,TEXT(INDEX(ERP資料!$G:$G, (MATCH(456, 輔助計算!$G$2:$G$801, 0)+1)),"0.##")&amp;"+"&amp;TEXT(INDEX(ERP資料!$G:$G, (MATCH(456, 輔助計算!$G$2:$G$801, 0)+1)),"0.##"),TEXT(INDEX(ERP資料!$G:$G, (MATCH(456, 輔助計算!$G$2:$G$801, 0)+1)),"0.##")&amp;"+"&amp;TEXT(INDEX(ERP資料!$G:$G, (MATCH(456, 輔助計算!$G$2:$G$801, 0)+1)),"0.##")&amp;"+"&amp;TEXT(INDEX(ERP資料!$G:$G, (MATCH(456, 輔助計算!$G$2:$G$801, 0)+1)),"0.##"))))&amp;"-1")), ""), "")</f>
        <v/>
      </c>
      <c r="K457" s="16" t="n"/>
      <c r="L457" s="14">
        <f>IFERROR(IF(AND(IFERROR(INDEX(ERP資料!$A:$A, (MATCH(456, 輔助計算!$G$2:$G$801, 0)+1)), "")&lt;&gt;"", IFERROR(INDEX(ERP資料!$A:$A, (MATCH(456, 輔助計算!$G$2:$G$801, 0)+1)), "")&lt;&gt;IFERROR(INDEX(ERP資料!$A:$A, MATCH(455, 輔助計算!$G$2:$G$801, 0)+1), "")), INDEX(ERP資料!$B:$B, (MATCH(456, 輔助計算!$G$2:$G$801, 0)+1)), ""), "")</f>
        <v/>
      </c>
      <c r="M457" s="17" t="n"/>
    </row>
    <row r="458">
      <c r="A458" s="10">
        <f>IFERROR(IF(AND(IFERROR(INDEX(ERP資料!$A:$A, (MATCH(457, 輔助計算!$G$2:$G$801, 0)+1)), "")&lt;&gt;"", IFERROR(INDEX(ERP資料!$A:$A, (MATCH(457, 輔助計算!$G$2:$G$801, 0)+1)), "")&lt;&gt;IFERROR(INDEX(ERP資料!$A:$A, MATCH(456, 輔助計算!$G$2:$G$801, 0)+1), "")), IFERROR(INDEX(ERP資料!$A:$A, (MATCH(457, 輔助計算!$G$2:$G$801, 0)+1)), ""), ""), "")</f>
        <v/>
      </c>
      <c r="B458" s="10">
        <f>IFERROR(IF(AND(IFERROR(INDEX(ERP資料!$A:$A, (MATCH(457, 輔助計算!$G$2:$G$801, 0)+1)), "")&lt;&gt;"", IFERROR(INDEX(ERP資料!$A:$A, (MATCH(457, 輔助計算!$G$2:$G$801, 0)+1)), "")&lt;&gt;IFERROR(INDEX(ERP資料!$A:$A, MATCH(456, 輔助計算!$G$2:$G$801, 0)+1), "")), INDEX(ERP資料!$S:$S, (MATCH(457, 輔助計算!$G$2:$G$801, 0)+1)), ""), "")</f>
        <v/>
      </c>
      <c r="C458" s="19">
        <f>IFERROR(IF(AND(IFERROR(INDEX(ERP資料!$A:$A, (MATCH(457, 輔助計算!$G$2:$G$801, 0)+1)), "")&lt;&gt;"", IFERROR(INDEX(ERP資料!$A:$A, (MATCH(457, 輔助計算!$G$2:$G$801, 0)+1)), "")&lt;&gt;IFERROR(INDEX(ERP資料!$A:$A, MATCH(456, 輔助計算!$G$2:$G$801, 0)+1), "")), IFERROR(VLOOKUP(LEFT(INDEX(ERP資料!$S:$S, (MATCH(457, 輔助計算!$G$2:$G$801, 0)+1)), 4), 紙管對照表!$A:$C, 3, FALSE), ""), ""), "")</f>
        <v/>
      </c>
      <c r="D458" s="16" t="n"/>
      <c r="E458" s="10">
        <f>IFERROR(IF(INDEX(ERP資料!$H:$H, (MATCH(457, 輔助計算!$G$2:$G$801, 0)+1))="","",INDEX(ERP資料!$H:$H, (MATCH(457, 輔助計算!$G$2:$G$801, 0)+1))), "")</f>
        <v/>
      </c>
      <c r="F458" s="10">
        <f>IFERROR(IF(INDEX(ERP資料!$E:$E, (MATCH(457, 輔助計算!$G$2:$G$801, 0)+1))="","",TRIM(INDEX(ERP資料!$E:$E, (MATCH(457, 輔助計算!$G$2:$G$801, 0)+1)))), "")</f>
        <v/>
      </c>
      <c r="G458" s="10">
        <f>IFERROR(IF(INDEX(ERP資料!$F:$F, (MATCH(457, 輔助計算!$G$2:$G$801, 0)+1))="","",INDEX(ERP資料!$F:$F, (MATCH(457, 輔助計算!$G$2:$G$801, 0)+1))), "")</f>
        <v/>
      </c>
      <c r="H458" s="10">
        <f>IFERROR(IF(INDEX(ERP資料!$G:$G, (MATCH(457, 輔助計算!$G$2:$G$801, 0)+1))="","",INDEX(ERP資料!$G:$G, (MATCH(457, 輔助計算!$G$2:$G$801, 0)+1))), "")</f>
        <v/>
      </c>
      <c r="I458" s="15">
        <f>IFERROR(INDEX(輔助計算!$D:$D, (MATCH(457, 輔助計算!$G$2:$G$801, 0)+1)), "")</f>
        <v/>
      </c>
      <c r="J458" s="15">
        <f>IFERROR(IF(AND(INDEX(輔助計算!$D:$D, (MATCH(457, 輔助計算!$G$2:$G$801, 0)+1))&lt;&gt;"", INDEX(ERP資料!$G:$G, (MATCH(457, 輔助計算!$G$2:$G$801, 0)+1))&lt;&gt;""), TRIM(IF(INT(INDEX(輔助計算!$D:$D, (MATCH(457, 輔助計算!$G$2:$G$801, 0)+1))/IF(INDEX(ERP資料!$G:$G, (MATCH(457, 輔助計算!$G$2:$G$801, 0)+1))&lt;100, IF(INDEX(ERP資料!$G:$G, (MATCH(457, 輔助計算!$G$2:$G$801, 0)+1))&lt;=31,3,IF(INDEX(ERP資料!$G:$G, (MATCH(457, 輔助計算!$G$2:$G$801, 0)+1))&lt;=46.5,2,1)), IF(INDEX(ERP資料!$G:$G, (MATCH(457, 輔助計算!$G$2:$G$801, 0)+1))&lt;=790,3,IF(INDEX(ERP資料!$G:$G, (MATCH(457, 輔助計算!$G$2:$G$801, 0)+1))&lt;=1181,2,1))))&gt;0, IF(IF(INDEX(ERP資料!$G:$G, (MATCH(457, 輔助計算!$G$2:$G$801, 0)+1))&lt;100, IF(INDEX(ERP資料!$G:$G, (MATCH(457, 輔助計算!$G$2:$G$801, 0)+1))&lt;=31,3,IF(INDEX(ERP資料!$G:$G, (MATCH(457, 輔助計算!$G$2:$G$801, 0)+1))&lt;=46.5,2,1)), IF(INDEX(ERP資料!$G:$G, (MATCH(457, 輔助計算!$G$2:$G$801, 0)+1))&lt;=790,3,IF(INDEX(ERP資料!$G:$G, (MATCH(457, 輔助計算!$G$2:$G$801, 0)+1))&lt;=1181,2,1)))=1,TEXT(INDEX(ERP資料!$G:$G, (MATCH(457, 輔助計算!$G$2:$G$801, 0)+1)),"0.##"),IF(IF(INDEX(ERP資料!$G:$G, (MATCH(457, 輔助計算!$G$2:$G$801, 0)+1))&lt;100, IF(INDEX(ERP資料!$G:$G, (MATCH(457, 輔助計算!$G$2:$G$801, 0)+1))&lt;=31,3,IF(INDEX(ERP資料!$G:$G, (MATCH(457, 輔助計算!$G$2:$G$801, 0)+1))&lt;=46.5,2,1)), IF(INDEX(ERP資料!$G:$G, (MATCH(457, 輔助計算!$G$2:$G$801, 0)+1))&lt;=790,3,IF(INDEX(ERP資料!$G:$G, (MATCH(457, 輔助計算!$G$2:$G$801, 0)+1))&lt;=1181,2,1)))=2,TEXT(INDEX(ERP資料!$G:$G, (MATCH(457, 輔助計算!$G$2:$G$801, 0)+1)),"0.##")&amp;"+"&amp;TEXT(INDEX(ERP資料!$G:$G, (MATCH(457, 輔助計算!$G$2:$G$801, 0)+1)),"0.##"),TEXT(INDEX(ERP資料!$G:$G, (MATCH(457, 輔助計算!$G$2:$G$801, 0)+1)),"0.##")&amp;"+"&amp;TEXT(INDEX(ERP資料!$G:$G, (MATCH(457, 輔助計算!$G$2:$G$801, 0)+1)),"0.##")&amp;"+"&amp;TEXT(INDEX(ERP資料!$G:$G, (MATCH(457, 輔助計算!$G$2:$G$801, 0)+1)),"0.##")))&amp;"-"&amp;INT(INDEX(輔助計算!$D:$D, (MATCH(457, 輔助計算!$G$2:$G$801, 0)+1))/IF(INDEX(ERP資料!$G:$G, (MATCH(457, 輔助計算!$G$2:$G$801, 0)+1))&lt;100, IF(INDEX(ERP資料!$G:$G, (MATCH(457, 輔助計算!$G$2:$G$801, 0)+1))&lt;=31,3,IF(INDEX(ERP資料!$G:$G, (MATCH(457, 輔助計算!$G$2:$G$801, 0)+1))&lt;=46.5,2,1)), IF(INDEX(ERP資料!$G:$G, (MATCH(457, 輔助計算!$G$2:$G$801, 0)+1))&lt;=790,3,IF(INDEX(ERP資料!$G:$G, (MATCH(457, 輔助計算!$G$2:$G$801, 0)+1))&lt;=1181,2,1)))), "")&amp;IF(AND(IF(INT(INDEX(輔助計算!$D:$D, (MATCH(457, 輔助計算!$G$2:$G$801, 0)+1))/IF(INDEX(ERP資料!$G:$G, (MATCH(457, 輔助計算!$G$2:$G$801, 0)+1))&lt;100, IF(INDEX(ERP資料!$G:$G, (MATCH(457, 輔助計算!$G$2:$G$801, 0)+1))&lt;=31,3,IF(INDEX(ERP資料!$G:$G, (MATCH(457, 輔助計算!$G$2:$G$801, 0)+1))&lt;=46.5,2,1)), IF(INDEX(ERP資料!$G:$G, (MATCH(457, 輔助計算!$G$2:$G$801, 0)+1))&lt;=790,3,IF(INDEX(ERP資料!$G:$G, (MATCH(457, 輔助計算!$G$2:$G$801, 0)+1))&lt;=1181,2,1))))&gt;0, IF(IF(INDEX(ERP資料!$G:$G, (MATCH(457, 輔助計算!$G$2:$G$801, 0)+1))&lt;100, IF(INDEX(ERP資料!$G:$G, (MATCH(457, 輔助計算!$G$2:$G$801, 0)+1))&lt;=31,3,IF(INDEX(ERP資料!$G:$G, (MATCH(457, 輔助計算!$G$2:$G$801, 0)+1))&lt;=46.5,2,1)), IF(INDEX(ERP資料!$G:$G, (MATCH(457, 輔助計算!$G$2:$G$801, 0)+1))&lt;=790,3,IF(INDEX(ERP資料!$G:$G, (MATCH(457, 輔助計算!$G$2:$G$801, 0)+1))&lt;=1181,2,1)))=1,TEXT(INDEX(ERP資料!$G:$G, (MATCH(457, 輔助計算!$G$2:$G$801, 0)+1)),"0.##"),IF(IF(INDEX(ERP資料!$G:$G, (MATCH(457, 輔助計算!$G$2:$G$801, 0)+1))&lt;100, IF(INDEX(ERP資料!$G:$G, (MATCH(457, 輔助計算!$G$2:$G$801, 0)+1))&lt;=31,3,IF(INDEX(ERP資料!$G:$G, (MATCH(457, 輔助計算!$G$2:$G$801, 0)+1))&lt;=46.5,2,1)), IF(INDEX(ERP資料!$G:$G, (MATCH(457, 輔助計算!$G$2:$G$801, 0)+1))&lt;=790,3,IF(INDEX(ERP資料!$G:$G, (MATCH(457, 輔助計算!$G$2:$G$801, 0)+1))&lt;=1181,2,1)))=2,TEXT(INDEX(ERP資料!$G:$G, (MATCH(457, 輔助計算!$G$2:$G$801, 0)+1)),"0.##")&amp;"+"&amp;TEXT(INDEX(ERP資料!$G:$G, (MATCH(457, 輔助計算!$G$2:$G$801, 0)+1)),"0.##"),TEXT(INDEX(ERP資料!$G:$G, (MATCH(457, 輔助計算!$G$2:$G$801, 0)+1)),"0.##")&amp;"+"&amp;TEXT(INDEX(ERP資料!$G:$G, (MATCH(457, 輔助計算!$G$2:$G$801, 0)+1)),"0.##")&amp;"+"&amp;TEXT(INDEX(ERP資料!$G:$G, (MATCH(457, 輔助計算!$G$2:$G$801, 0)+1)),"0.##")))&amp;"-"&amp;INT(INDEX(輔助計算!$D:$D, (MATCH(457, 輔助計算!$G$2:$G$801, 0)+1))/IF(INDEX(ERP資料!$G:$G, (MATCH(457, 輔助計算!$G$2:$G$801, 0)+1))&lt;100, IF(INDEX(ERP資料!$G:$G, (MATCH(457, 輔助計算!$G$2:$G$801, 0)+1))&lt;=31,3,IF(INDEX(ERP資料!$G:$G, (MATCH(457, 輔助計算!$G$2:$G$801, 0)+1))&lt;=46.5,2,1)), IF(INDEX(ERP資料!$G:$G, (MATCH(457, 輔助計算!$G$2:$G$801, 0)+1))&lt;=790,3,IF(INDEX(ERP資料!$G:$G, (MATCH(457, 輔助計算!$G$2:$G$801, 0)+1))&lt;=1181,2,1)))), "")&lt;&gt;"",IF(MOD(INDEX(輔助計算!$D:$D, (MATCH(457, 輔助計算!$G$2:$G$801, 0)+1)),IF(INDEX(ERP資料!$G:$G, (MATCH(457, 輔助計算!$G$2:$G$801, 0)+1))&lt;100, IF(INDEX(ERP資料!$G:$G, (MATCH(457, 輔助計算!$G$2:$G$801, 0)+1))&lt;=31,3,IF(INDEX(ERP資料!$G:$G, (MATCH(457, 輔助計算!$G$2:$G$801, 0)+1))&lt;=46.5,2,1)), IF(INDEX(ERP資料!$G:$G, (MATCH(457, 輔助計算!$G$2:$G$801, 0)+1))&lt;=790,3,IF(INDEX(ERP資料!$G:$G, (MATCH(457, 輔助計算!$G$2:$G$801, 0)+1))&lt;=1181,2,1))))=0,"",IF(MOD(INDEX(輔助計算!$D:$D, (MATCH(457, 輔助計算!$G$2:$G$801, 0)+1)),IF(INDEX(ERP資料!$G:$G, (MATCH(457, 輔助計算!$G$2:$G$801, 0)+1))&lt;100, IF(INDEX(ERP資料!$G:$G, (MATCH(457, 輔助計算!$G$2:$G$801, 0)+1))&lt;=31,3,IF(INDEX(ERP資料!$G:$G, (MATCH(457, 輔助計算!$G$2:$G$801, 0)+1))&lt;=46.5,2,1)), IF(INDEX(ERP資料!$G:$G, (MATCH(457, 輔助計算!$G$2:$G$801, 0)+1))&lt;=790,3,IF(INDEX(ERP資料!$G:$G, (MATCH(457, 輔助計算!$G$2:$G$801, 0)+1))&lt;=1181,2,1))))=0,"",IF(MOD(INDEX(輔助計算!$D:$D, (MATCH(457, 輔助計算!$G$2:$G$801, 0)+1)),IF(INDEX(ERP資料!$G:$G, (MATCH(457, 輔助計算!$G$2:$G$801, 0)+1))&lt;100, IF(INDEX(ERP資料!$G:$G, (MATCH(457, 輔助計算!$G$2:$G$801, 0)+1))&lt;=31,3,IF(INDEX(ERP資料!$G:$G, (MATCH(457, 輔助計算!$G$2:$G$801, 0)+1))&lt;=46.5,2,1)), IF(INDEX(ERP資料!$G:$G, (MATCH(457, 輔助計算!$G$2:$G$801, 0)+1))&lt;=790,3,IF(INDEX(ERP資料!$G:$G, (MATCH(457, 輔助計算!$G$2:$G$801, 0)+1))&lt;=1181,2,1))))=1,TEXT(INDEX(ERP資料!$G:$G, (MATCH(457, 輔助計算!$G$2:$G$801, 0)+1)),"0.##"),IF(MOD(INDEX(輔助計算!$D:$D, (MATCH(457, 輔助計算!$G$2:$G$801, 0)+1)),IF(INDEX(ERP資料!$G:$G, (MATCH(457, 輔助計算!$G$2:$G$801, 0)+1))&lt;100, IF(INDEX(ERP資料!$G:$G, (MATCH(457, 輔助計算!$G$2:$G$801, 0)+1))&lt;=31,3,IF(INDEX(ERP資料!$G:$G, (MATCH(457, 輔助計算!$G$2:$G$801, 0)+1))&lt;=46.5,2,1)), IF(INDEX(ERP資料!$G:$G, (MATCH(457, 輔助計算!$G$2:$G$801, 0)+1))&lt;=790,3,IF(INDEX(ERP資料!$G:$G, (MATCH(457, 輔助計算!$G$2:$G$801, 0)+1))&lt;=1181,2,1))))=2,TEXT(INDEX(ERP資料!$G:$G, (MATCH(457, 輔助計算!$G$2:$G$801, 0)+1)),"0.##")&amp;"+"&amp;TEXT(INDEX(ERP資料!$G:$G, (MATCH(457, 輔助計算!$G$2:$G$801, 0)+1)),"0.##"),TEXT(INDEX(ERP資料!$G:$G, (MATCH(457, 輔助計算!$G$2:$G$801, 0)+1)),"0.##")&amp;"+"&amp;TEXT(INDEX(ERP資料!$G:$G, (MATCH(457, 輔助計算!$G$2:$G$801, 0)+1)),"0.##")&amp;"+"&amp;TEXT(INDEX(ERP資料!$G:$G, (MATCH(457, 輔助計算!$G$2:$G$801, 0)+1)),"0.##"))))&amp;"-1")&lt;&gt;""),"  ","")&amp;IF(MOD(INDEX(輔助計算!$D:$D, (MATCH(457, 輔助計算!$G$2:$G$801, 0)+1)),IF(INDEX(ERP資料!$G:$G, (MATCH(457, 輔助計算!$G$2:$G$801, 0)+1))&lt;100, IF(INDEX(ERP資料!$G:$G, (MATCH(457, 輔助計算!$G$2:$G$801, 0)+1))&lt;=31,3,IF(INDEX(ERP資料!$G:$G, (MATCH(457, 輔助計算!$G$2:$G$801, 0)+1))&lt;=46.5,2,1)), IF(INDEX(ERP資料!$G:$G, (MATCH(457, 輔助計算!$G$2:$G$801, 0)+1))&lt;=790,3,IF(INDEX(ERP資料!$G:$G, (MATCH(457, 輔助計算!$G$2:$G$801, 0)+1))&lt;=1181,2,1))))=0,"",IF(MOD(INDEX(輔助計算!$D:$D, (MATCH(457, 輔助計算!$G$2:$G$801, 0)+1)),IF(INDEX(ERP資料!$G:$G, (MATCH(457, 輔助計算!$G$2:$G$801, 0)+1))&lt;100, IF(INDEX(ERP資料!$G:$G, (MATCH(457, 輔助計算!$G$2:$G$801, 0)+1))&lt;=31,3,IF(INDEX(ERP資料!$G:$G, (MATCH(457, 輔助計算!$G$2:$G$801, 0)+1))&lt;=46.5,2,1)), IF(INDEX(ERP資料!$G:$G, (MATCH(457, 輔助計算!$G$2:$G$801, 0)+1))&lt;=790,3,IF(INDEX(ERP資料!$G:$G, (MATCH(457, 輔助計算!$G$2:$G$801, 0)+1))&lt;=1181,2,1))))=0,"",IF(MOD(INDEX(輔助計算!$D:$D, (MATCH(457, 輔助計算!$G$2:$G$801, 0)+1)),IF(INDEX(ERP資料!$G:$G, (MATCH(457, 輔助計算!$G$2:$G$801, 0)+1))&lt;100, IF(INDEX(ERP資料!$G:$G, (MATCH(457, 輔助計算!$G$2:$G$801, 0)+1))&lt;=31,3,IF(INDEX(ERP資料!$G:$G, (MATCH(457, 輔助計算!$G$2:$G$801, 0)+1))&lt;=46.5,2,1)), IF(INDEX(ERP資料!$G:$G, (MATCH(457, 輔助計算!$G$2:$G$801, 0)+1))&lt;=790,3,IF(INDEX(ERP資料!$G:$G, (MATCH(457, 輔助計算!$G$2:$G$801, 0)+1))&lt;=1181,2,1))))=1,TEXT(INDEX(ERP資料!$G:$G, (MATCH(457, 輔助計算!$G$2:$G$801, 0)+1)),"0.##"),IF(MOD(INDEX(輔助計算!$D:$D, (MATCH(457, 輔助計算!$G$2:$G$801, 0)+1)),IF(INDEX(ERP資料!$G:$G, (MATCH(457, 輔助計算!$G$2:$G$801, 0)+1))&lt;100, IF(INDEX(ERP資料!$G:$G, (MATCH(457, 輔助計算!$G$2:$G$801, 0)+1))&lt;=31,3,IF(INDEX(ERP資料!$G:$G, (MATCH(457, 輔助計算!$G$2:$G$801, 0)+1))&lt;=46.5,2,1)), IF(INDEX(ERP資料!$G:$G, (MATCH(457, 輔助計算!$G$2:$G$801, 0)+1))&lt;=790,3,IF(INDEX(ERP資料!$G:$G, (MATCH(457, 輔助計算!$G$2:$G$801, 0)+1))&lt;=1181,2,1))))=2,TEXT(INDEX(ERP資料!$G:$G, (MATCH(457, 輔助計算!$G$2:$G$801, 0)+1)),"0.##")&amp;"+"&amp;TEXT(INDEX(ERP資料!$G:$G, (MATCH(457, 輔助計算!$G$2:$G$801, 0)+1)),"0.##"),TEXT(INDEX(ERP資料!$G:$G, (MATCH(457, 輔助計算!$G$2:$G$801, 0)+1)),"0.##")&amp;"+"&amp;TEXT(INDEX(ERP資料!$G:$G, (MATCH(457, 輔助計算!$G$2:$G$801, 0)+1)),"0.##")&amp;"+"&amp;TEXT(INDEX(ERP資料!$G:$G, (MATCH(457, 輔助計算!$G$2:$G$801, 0)+1)),"0.##"))))&amp;"-1")), ""), "")</f>
        <v/>
      </c>
      <c r="K458" s="16" t="n"/>
      <c r="L458" s="14">
        <f>IFERROR(IF(AND(IFERROR(INDEX(ERP資料!$A:$A, (MATCH(457, 輔助計算!$G$2:$G$801, 0)+1)), "")&lt;&gt;"", IFERROR(INDEX(ERP資料!$A:$A, (MATCH(457, 輔助計算!$G$2:$G$801, 0)+1)), "")&lt;&gt;IFERROR(INDEX(ERP資料!$A:$A, MATCH(456, 輔助計算!$G$2:$G$801, 0)+1), "")), INDEX(ERP資料!$B:$B, (MATCH(457, 輔助計算!$G$2:$G$801, 0)+1)), ""), "")</f>
        <v/>
      </c>
      <c r="M458" s="17" t="n"/>
    </row>
    <row r="459">
      <c r="A459" s="10">
        <f>IFERROR(IF(AND(IFERROR(INDEX(ERP資料!$A:$A, (MATCH(458, 輔助計算!$G$2:$G$801, 0)+1)), "")&lt;&gt;"", IFERROR(INDEX(ERP資料!$A:$A, (MATCH(458, 輔助計算!$G$2:$G$801, 0)+1)), "")&lt;&gt;IFERROR(INDEX(ERP資料!$A:$A, MATCH(457, 輔助計算!$G$2:$G$801, 0)+1), "")), IFERROR(INDEX(ERP資料!$A:$A, (MATCH(458, 輔助計算!$G$2:$G$801, 0)+1)), ""), ""), "")</f>
        <v/>
      </c>
      <c r="B459" s="10">
        <f>IFERROR(IF(AND(IFERROR(INDEX(ERP資料!$A:$A, (MATCH(458, 輔助計算!$G$2:$G$801, 0)+1)), "")&lt;&gt;"", IFERROR(INDEX(ERP資料!$A:$A, (MATCH(458, 輔助計算!$G$2:$G$801, 0)+1)), "")&lt;&gt;IFERROR(INDEX(ERP資料!$A:$A, MATCH(457, 輔助計算!$G$2:$G$801, 0)+1), "")), INDEX(ERP資料!$S:$S, (MATCH(458, 輔助計算!$G$2:$G$801, 0)+1)), ""), "")</f>
        <v/>
      </c>
      <c r="C459" s="19">
        <f>IFERROR(IF(AND(IFERROR(INDEX(ERP資料!$A:$A, (MATCH(458, 輔助計算!$G$2:$G$801, 0)+1)), "")&lt;&gt;"", IFERROR(INDEX(ERP資料!$A:$A, (MATCH(458, 輔助計算!$G$2:$G$801, 0)+1)), "")&lt;&gt;IFERROR(INDEX(ERP資料!$A:$A, MATCH(457, 輔助計算!$G$2:$G$801, 0)+1), "")), IFERROR(VLOOKUP(LEFT(INDEX(ERP資料!$S:$S, (MATCH(458, 輔助計算!$G$2:$G$801, 0)+1)), 4), 紙管對照表!$A:$C, 3, FALSE), ""), ""), "")</f>
        <v/>
      </c>
      <c r="D459" s="16" t="n"/>
      <c r="E459" s="10">
        <f>IFERROR(IF(INDEX(ERP資料!$H:$H, (MATCH(458, 輔助計算!$G$2:$G$801, 0)+1))="","",INDEX(ERP資料!$H:$H, (MATCH(458, 輔助計算!$G$2:$G$801, 0)+1))), "")</f>
        <v/>
      </c>
      <c r="F459" s="10">
        <f>IFERROR(IF(INDEX(ERP資料!$E:$E, (MATCH(458, 輔助計算!$G$2:$G$801, 0)+1))="","",TRIM(INDEX(ERP資料!$E:$E, (MATCH(458, 輔助計算!$G$2:$G$801, 0)+1)))), "")</f>
        <v/>
      </c>
      <c r="G459" s="10">
        <f>IFERROR(IF(INDEX(ERP資料!$F:$F, (MATCH(458, 輔助計算!$G$2:$G$801, 0)+1))="","",INDEX(ERP資料!$F:$F, (MATCH(458, 輔助計算!$G$2:$G$801, 0)+1))), "")</f>
        <v/>
      </c>
      <c r="H459" s="10">
        <f>IFERROR(IF(INDEX(ERP資料!$G:$G, (MATCH(458, 輔助計算!$G$2:$G$801, 0)+1))="","",INDEX(ERP資料!$G:$G, (MATCH(458, 輔助計算!$G$2:$G$801, 0)+1))), "")</f>
        <v/>
      </c>
      <c r="I459" s="15">
        <f>IFERROR(INDEX(輔助計算!$D:$D, (MATCH(458, 輔助計算!$G$2:$G$801, 0)+1)), "")</f>
        <v/>
      </c>
      <c r="J459" s="15">
        <f>IFERROR(IF(AND(INDEX(輔助計算!$D:$D, (MATCH(458, 輔助計算!$G$2:$G$801, 0)+1))&lt;&gt;"", INDEX(ERP資料!$G:$G, (MATCH(458, 輔助計算!$G$2:$G$801, 0)+1))&lt;&gt;""), TRIM(IF(INT(INDEX(輔助計算!$D:$D, (MATCH(458, 輔助計算!$G$2:$G$801, 0)+1))/IF(INDEX(ERP資料!$G:$G, (MATCH(458, 輔助計算!$G$2:$G$801, 0)+1))&lt;100, IF(INDEX(ERP資料!$G:$G, (MATCH(458, 輔助計算!$G$2:$G$801, 0)+1))&lt;=31,3,IF(INDEX(ERP資料!$G:$G, (MATCH(458, 輔助計算!$G$2:$G$801, 0)+1))&lt;=46.5,2,1)), IF(INDEX(ERP資料!$G:$G, (MATCH(458, 輔助計算!$G$2:$G$801, 0)+1))&lt;=790,3,IF(INDEX(ERP資料!$G:$G, (MATCH(458, 輔助計算!$G$2:$G$801, 0)+1))&lt;=1181,2,1))))&gt;0, IF(IF(INDEX(ERP資料!$G:$G, (MATCH(458, 輔助計算!$G$2:$G$801, 0)+1))&lt;100, IF(INDEX(ERP資料!$G:$G, (MATCH(458, 輔助計算!$G$2:$G$801, 0)+1))&lt;=31,3,IF(INDEX(ERP資料!$G:$G, (MATCH(458, 輔助計算!$G$2:$G$801, 0)+1))&lt;=46.5,2,1)), IF(INDEX(ERP資料!$G:$G, (MATCH(458, 輔助計算!$G$2:$G$801, 0)+1))&lt;=790,3,IF(INDEX(ERP資料!$G:$G, (MATCH(458, 輔助計算!$G$2:$G$801, 0)+1))&lt;=1181,2,1)))=1,TEXT(INDEX(ERP資料!$G:$G, (MATCH(458, 輔助計算!$G$2:$G$801, 0)+1)),"0.##"),IF(IF(INDEX(ERP資料!$G:$G, (MATCH(458, 輔助計算!$G$2:$G$801, 0)+1))&lt;100, IF(INDEX(ERP資料!$G:$G, (MATCH(458, 輔助計算!$G$2:$G$801, 0)+1))&lt;=31,3,IF(INDEX(ERP資料!$G:$G, (MATCH(458, 輔助計算!$G$2:$G$801, 0)+1))&lt;=46.5,2,1)), IF(INDEX(ERP資料!$G:$G, (MATCH(458, 輔助計算!$G$2:$G$801, 0)+1))&lt;=790,3,IF(INDEX(ERP資料!$G:$G, (MATCH(458, 輔助計算!$G$2:$G$801, 0)+1))&lt;=1181,2,1)))=2,TEXT(INDEX(ERP資料!$G:$G, (MATCH(458, 輔助計算!$G$2:$G$801, 0)+1)),"0.##")&amp;"+"&amp;TEXT(INDEX(ERP資料!$G:$G, (MATCH(458, 輔助計算!$G$2:$G$801, 0)+1)),"0.##"),TEXT(INDEX(ERP資料!$G:$G, (MATCH(458, 輔助計算!$G$2:$G$801, 0)+1)),"0.##")&amp;"+"&amp;TEXT(INDEX(ERP資料!$G:$G, (MATCH(458, 輔助計算!$G$2:$G$801, 0)+1)),"0.##")&amp;"+"&amp;TEXT(INDEX(ERP資料!$G:$G, (MATCH(458, 輔助計算!$G$2:$G$801, 0)+1)),"0.##")))&amp;"-"&amp;INT(INDEX(輔助計算!$D:$D, (MATCH(458, 輔助計算!$G$2:$G$801, 0)+1))/IF(INDEX(ERP資料!$G:$G, (MATCH(458, 輔助計算!$G$2:$G$801, 0)+1))&lt;100, IF(INDEX(ERP資料!$G:$G, (MATCH(458, 輔助計算!$G$2:$G$801, 0)+1))&lt;=31,3,IF(INDEX(ERP資料!$G:$G, (MATCH(458, 輔助計算!$G$2:$G$801, 0)+1))&lt;=46.5,2,1)), IF(INDEX(ERP資料!$G:$G, (MATCH(458, 輔助計算!$G$2:$G$801, 0)+1))&lt;=790,3,IF(INDEX(ERP資料!$G:$G, (MATCH(458, 輔助計算!$G$2:$G$801, 0)+1))&lt;=1181,2,1)))), "")&amp;IF(AND(IF(INT(INDEX(輔助計算!$D:$D, (MATCH(458, 輔助計算!$G$2:$G$801, 0)+1))/IF(INDEX(ERP資料!$G:$G, (MATCH(458, 輔助計算!$G$2:$G$801, 0)+1))&lt;100, IF(INDEX(ERP資料!$G:$G, (MATCH(458, 輔助計算!$G$2:$G$801, 0)+1))&lt;=31,3,IF(INDEX(ERP資料!$G:$G, (MATCH(458, 輔助計算!$G$2:$G$801, 0)+1))&lt;=46.5,2,1)), IF(INDEX(ERP資料!$G:$G, (MATCH(458, 輔助計算!$G$2:$G$801, 0)+1))&lt;=790,3,IF(INDEX(ERP資料!$G:$G, (MATCH(458, 輔助計算!$G$2:$G$801, 0)+1))&lt;=1181,2,1))))&gt;0, IF(IF(INDEX(ERP資料!$G:$G, (MATCH(458, 輔助計算!$G$2:$G$801, 0)+1))&lt;100, IF(INDEX(ERP資料!$G:$G, (MATCH(458, 輔助計算!$G$2:$G$801, 0)+1))&lt;=31,3,IF(INDEX(ERP資料!$G:$G, (MATCH(458, 輔助計算!$G$2:$G$801, 0)+1))&lt;=46.5,2,1)), IF(INDEX(ERP資料!$G:$G, (MATCH(458, 輔助計算!$G$2:$G$801, 0)+1))&lt;=790,3,IF(INDEX(ERP資料!$G:$G, (MATCH(458, 輔助計算!$G$2:$G$801, 0)+1))&lt;=1181,2,1)))=1,TEXT(INDEX(ERP資料!$G:$G, (MATCH(458, 輔助計算!$G$2:$G$801, 0)+1)),"0.##"),IF(IF(INDEX(ERP資料!$G:$G, (MATCH(458, 輔助計算!$G$2:$G$801, 0)+1))&lt;100, IF(INDEX(ERP資料!$G:$G, (MATCH(458, 輔助計算!$G$2:$G$801, 0)+1))&lt;=31,3,IF(INDEX(ERP資料!$G:$G, (MATCH(458, 輔助計算!$G$2:$G$801, 0)+1))&lt;=46.5,2,1)), IF(INDEX(ERP資料!$G:$G, (MATCH(458, 輔助計算!$G$2:$G$801, 0)+1))&lt;=790,3,IF(INDEX(ERP資料!$G:$G, (MATCH(458, 輔助計算!$G$2:$G$801, 0)+1))&lt;=1181,2,1)))=2,TEXT(INDEX(ERP資料!$G:$G, (MATCH(458, 輔助計算!$G$2:$G$801, 0)+1)),"0.##")&amp;"+"&amp;TEXT(INDEX(ERP資料!$G:$G, (MATCH(458, 輔助計算!$G$2:$G$801, 0)+1)),"0.##"),TEXT(INDEX(ERP資料!$G:$G, (MATCH(458, 輔助計算!$G$2:$G$801, 0)+1)),"0.##")&amp;"+"&amp;TEXT(INDEX(ERP資料!$G:$G, (MATCH(458, 輔助計算!$G$2:$G$801, 0)+1)),"0.##")&amp;"+"&amp;TEXT(INDEX(ERP資料!$G:$G, (MATCH(458, 輔助計算!$G$2:$G$801, 0)+1)),"0.##")))&amp;"-"&amp;INT(INDEX(輔助計算!$D:$D, (MATCH(458, 輔助計算!$G$2:$G$801, 0)+1))/IF(INDEX(ERP資料!$G:$G, (MATCH(458, 輔助計算!$G$2:$G$801, 0)+1))&lt;100, IF(INDEX(ERP資料!$G:$G, (MATCH(458, 輔助計算!$G$2:$G$801, 0)+1))&lt;=31,3,IF(INDEX(ERP資料!$G:$G, (MATCH(458, 輔助計算!$G$2:$G$801, 0)+1))&lt;=46.5,2,1)), IF(INDEX(ERP資料!$G:$G, (MATCH(458, 輔助計算!$G$2:$G$801, 0)+1))&lt;=790,3,IF(INDEX(ERP資料!$G:$G, (MATCH(458, 輔助計算!$G$2:$G$801, 0)+1))&lt;=1181,2,1)))), "")&lt;&gt;"",IF(MOD(INDEX(輔助計算!$D:$D, (MATCH(458, 輔助計算!$G$2:$G$801, 0)+1)),IF(INDEX(ERP資料!$G:$G, (MATCH(458, 輔助計算!$G$2:$G$801, 0)+1))&lt;100, IF(INDEX(ERP資料!$G:$G, (MATCH(458, 輔助計算!$G$2:$G$801, 0)+1))&lt;=31,3,IF(INDEX(ERP資料!$G:$G, (MATCH(458, 輔助計算!$G$2:$G$801, 0)+1))&lt;=46.5,2,1)), IF(INDEX(ERP資料!$G:$G, (MATCH(458, 輔助計算!$G$2:$G$801, 0)+1))&lt;=790,3,IF(INDEX(ERP資料!$G:$G, (MATCH(458, 輔助計算!$G$2:$G$801, 0)+1))&lt;=1181,2,1))))=0,"",IF(MOD(INDEX(輔助計算!$D:$D, (MATCH(458, 輔助計算!$G$2:$G$801, 0)+1)),IF(INDEX(ERP資料!$G:$G, (MATCH(458, 輔助計算!$G$2:$G$801, 0)+1))&lt;100, IF(INDEX(ERP資料!$G:$G, (MATCH(458, 輔助計算!$G$2:$G$801, 0)+1))&lt;=31,3,IF(INDEX(ERP資料!$G:$G, (MATCH(458, 輔助計算!$G$2:$G$801, 0)+1))&lt;=46.5,2,1)), IF(INDEX(ERP資料!$G:$G, (MATCH(458, 輔助計算!$G$2:$G$801, 0)+1))&lt;=790,3,IF(INDEX(ERP資料!$G:$G, (MATCH(458, 輔助計算!$G$2:$G$801, 0)+1))&lt;=1181,2,1))))=0,"",IF(MOD(INDEX(輔助計算!$D:$D, (MATCH(458, 輔助計算!$G$2:$G$801, 0)+1)),IF(INDEX(ERP資料!$G:$G, (MATCH(458, 輔助計算!$G$2:$G$801, 0)+1))&lt;100, IF(INDEX(ERP資料!$G:$G, (MATCH(458, 輔助計算!$G$2:$G$801, 0)+1))&lt;=31,3,IF(INDEX(ERP資料!$G:$G, (MATCH(458, 輔助計算!$G$2:$G$801, 0)+1))&lt;=46.5,2,1)), IF(INDEX(ERP資料!$G:$G, (MATCH(458, 輔助計算!$G$2:$G$801, 0)+1))&lt;=790,3,IF(INDEX(ERP資料!$G:$G, (MATCH(458, 輔助計算!$G$2:$G$801, 0)+1))&lt;=1181,2,1))))=1,TEXT(INDEX(ERP資料!$G:$G, (MATCH(458, 輔助計算!$G$2:$G$801, 0)+1)),"0.##"),IF(MOD(INDEX(輔助計算!$D:$D, (MATCH(458, 輔助計算!$G$2:$G$801, 0)+1)),IF(INDEX(ERP資料!$G:$G, (MATCH(458, 輔助計算!$G$2:$G$801, 0)+1))&lt;100, IF(INDEX(ERP資料!$G:$G, (MATCH(458, 輔助計算!$G$2:$G$801, 0)+1))&lt;=31,3,IF(INDEX(ERP資料!$G:$G, (MATCH(458, 輔助計算!$G$2:$G$801, 0)+1))&lt;=46.5,2,1)), IF(INDEX(ERP資料!$G:$G, (MATCH(458, 輔助計算!$G$2:$G$801, 0)+1))&lt;=790,3,IF(INDEX(ERP資料!$G:$G, (MATCH(458, 輔助計算!$G$2:$G$801, 0)+1))&lt;=1181,2,1))))=2,TEXT(INDEX(ERP資料!$G:$G, (MATCH(458, 輔助計算!$G$2:$G$801, 0)+1)),"0.##")&amp;"+"&amp;TEXT(INDEX(ERP資料!$G:$G, (MATCH(458, 輔助計算!$G$2:$G$801, 0)+1)),"0.##"),TEXT(INDEX(ERP資料!$G:$G, (MATCH(458, 輔助計算!$G$2:$G$801, 0)+1)),"0.##")&amp;"+"&amp;TEXT(INDEX(ERP資料!$G:$G, (MATCH(458, 輔助計算!$G$2:$G$801, 0)+1)),"0.##")&amp;"+"&amp;TEXT(INDEX(ERP資料!$G:$G, (MATCH(458, 輔助計算!$G$2:$G$801, 0)+1)),"0.##"))))&amp;"-1")&lt;&gt;""),"  ","")&amp;IF(MOD(INDEX(輔助計算!$D:$D, (MATCH(458, 輔助計算!$G$2:$G$801, 0)+1)),IF(INDEX(ERP資料!$G:$G, (MATCH(458, 輔助計算!$G$2:$G$801, 0)+1))&lt;100, IF(INDEX(ERP資料!$G:$G, (MATCH(458, 輔助計算!$G$2:$G$801, 0)+1))&lt;=31,3,IF(INDEX(ERP資料!$G:$G, (MATCH(458, 輔助計算!$G$2:$G$801, 0)+1))&lt;=46.5,2,1)), IF(INDEX(ERP資料!$G:$G, (MATCH(458, 輔助計算!$G$2:$G$801, 0)+1))&lt;=790,3,IF(INDEX(ERP資料!$G:$G, (MATCH(458, 輔助計算!$G$2:$G$801, 0)+1))&lt;=1181,2,1))))=0,"",IF(MOD(INDEX(輔助計算!$D:$D, (MATCH(458, 輔助計算!$G$2:$G$801, 0)+1)),IF(INDEX(ERP資料!$G:$G, (MATCH(458, 輔助計算!$G$2:$G$801, 0)+1))&lt;100, IF(INDEX(ERP資料!$G:$G, (MATCH(458, 輔助計算!$G$2:$G$801, 0)+1))&lt;=31,3,IF(INDEX(ERP資料!$G:$G, (MATCH(458, 輔助計算!$G$2:$G$801, 0)+1))&lt;=46.5,2,1)), IF(INDEX(ERP資料!$G:$G, (MATCH(458, 輔助計算!$G$2:$G$801, 0)+1))&lt;=790,3,IF(INDEX(ERP資料!$G:$G, (MATCH(458, 輔助計算!$G$2:$G$801, 0)+1))&lt;=1181,2,1))))=0,"",IF(MOD(INDEX(輔助計算!$D:$D, (MATCH(458, 輔助計算!$G$2:$G$801, 0)+1)),IF(INDEX(ERP資料!$G:$G, (MATCH(458, 輔助計算!$G$2:$G$801, 0)+1))&lt;100, IF(INDEX(ERP資料!$G:$G, (MATCH(458, 輔助計算!$G$2:$G$801, 0)+1))&lt;=31,3,IF(INDEX(ERP資料!$G:$G, (MATCH(458, 輔助計算!$G$2:$G$801, 0)+1))&lt;=46.5,2,1)), IF(INDEX(ERP資料!$G:$G, (MATCH(458, 輔助計算!$G$2:$G$801, 0)+1))&lt;=790,3,IF(INDEX(ERP資料!$G:$G, (MATCH(458, 輔助計算!$G$2:$G$801, 0)+1))&lt;=1181,2,1))))=1,TEXT(INDEX(ERP資料!$G:$G, (MATCH(458, 輔助計算!$G$2:$G$801, 0)+1)),"0.##"),IF(MOD(INDEX(輔助計算!$D:$D, (MATCH(458, 輔助計算!$G$2:$G$801, 0)+1)),IF(INDEX(ERP資料!$G:$G, (MATCH(458, 輔助計算!$G$2:$G$801, 0)+1))&lt;100, IF(INDEX(ERP資料!$G:$G, (MATCH(458, 輔助計算!$G$2:$G$801, 0)+1))&lt;=31,3,IF(INDEX(ERP資料!$G:$G, (MATCH(458, 輔助計算!$G$2:$G$801, 0)+1))&lt;=46.5,2,1)), IF(INDEX(ERP資料!$G:$G, (MATCH(458, 輔助計算!$G$2:$G$801, 0)+1))&lt;=790,3,IF(INDEX(ERP資料!$G:$G, (MATCH(458, 輔助計算!$G$2:$G$801, 0)+1))&lt;=1181,2,1))))=2,TEXT(INDEX(ERP資料!$G:$G, (MATCH(458, 輔助計算!$G$2:$G$801, 0)+1)),"0.##")&amp;"+"&amp;TEXT(INDEX(ERP資料!$G:$G, (MATCH(458, 輔助計算!$G$2:$G$801, 0)+1)),"0.##"),TEXT(INDEX(ERP資料!$G:$G, (MATCH(458, 輔助計算!$G$2:$G$801, 0)+1)),"0.##")&amp;"+"&amp;TEXT(INDEX(ERP資料!$G:$G, (MATCH(458, 輔助計算!$G$2:$G$801, 0)+1)),"0.##")&amp;"+"&amp;TEXT(INDEX(ERP資料!$G:$G, (MATCH(458, 輔助計算!$G$2:$G$801, 0)+1)),"0.##"))))&amp;"-1")), ""), "")</f>
        <v/>
      </c>
      <c r="K459" s="16" t="n"/>
      <c r="L459" s="14">
        <f>IFERROR(IF(AND(IFERROR(INDEX(ERP資料!$A:$A, (MATCH(458, 輔助計算!$G$2:$G$801, 0)+1)), "")&lt;&gt;"", IFERROR(INDEX(ERP資料!$A:$A, (MATCH(458, 輔助計算!$G$2:$G$801, 0)+1)), "")&lt;&gt;IFERROR(INDEX(ERP資料!$A:$A, MATCH(457, 輔助計算!$G$2:$G$801, 0)+1), "")), INDEX(ERP資料!$B:$B, (MATCH(458, 輔助計算!$G$2:$G$801, 0)+1)), ""), "")</f>
        <v/>
      </c>
      <c r="M459" s="17" t="n"/>
    </row>
    <row r="460">
      <c r="A460" s="10">
        <f>IFERROR(IF(AND(IFERROR(INDEX(ERP資料!$A:$A, (MATCH(459, 輔助計算!$G$2:$G$801, 0)+1)), "")&lt;&gt;"", IFERROR(INDEX(ERP資料!$A:$A, (MATCH(459, 輔助計算!$G$2:$G$801, 0)+1)), "")&lt;&gt;IFERROR(INDEX(ERP資料!$A:$A, MATCH(458, 輔助計算!$G$2:$G$801, 0)+1), "")), IFERROR(INDEX(ERP資料!$A:$A, (MATCH(459, 輔助計算!$G$2:$G$801, 0)+1)), ""), ""), "")</f>
        <v/>
      </c>
      <c r="B460" s="10">
        <f>IFERROR(IF(AND(IFERROR(INDEX(ERP資料!$A:$A, (MATCH(459, 輔助計算!$G$2:$G$801, 0)+1)), "")&lt;&gt;"", IFERROR(INDEX(ERP資料!$A:$A, (MATCH(459, 輔助計算!$G$2:$G$801, 0)+1)), "")&lt;&gt;IFERROR(INDEX(ERP資料!$A:$A, MATCH(458, 輔助計算!$G$2:$G$801, 0)+1), "")), INDEX(ERP資料!$S:$S, (MATCH(459, 輔助計算!$G$2:$G$801, 0)+1)), ""), "")</f>
        <v/>
      </c>
      <c r="C460" s="19">
        <f>IFERROR(IF(AND(IFERROR(INDEX(ERP資料!$A:$A, (MATCH(459, 輔助計算!$G$2:$G$801, 0)+1)), "")&lt;&gt;"", IFERROR(INDEX(ERP資料!$A:$A, (MATCH(459, 輔助計算!$G$2:$G$801, 0)+1)), "")&lt;&gt;IFERROR(INDEX(ERP資料!$A:$A, MATCH(458, 輔助計算!$G$2:$G$801, 0)+1), "")), IFERROR(VLOOKUP(LEFT(INDEX(ERP資料!$S:$S, (MATCH(459, 輔助計算!$G$2:$G$801, 0)+1)), 4), 紙管對照表!$A:$C, 3, FALSE), ""), ""), "")</f>
        <v/>
      </c>
      <c r="D460" s="16" t="n"/>
      <c r="E460" s="10">
        <f>IFERROR(IF(INDEX(ERP資料!$H:$H, (MATCH(459, 輔助計算!$G$2:$G$801, 0)+1))="","",INDEX(ERP資料!$H:$H, (MATCH(459, 輔助計算!$G$2:$G$801, 0)+1))), "")</f>
        <v/>
      </c>
      <c r="F460" s="10">
        <f>IFERROR(IF(INDEX(ERP資料!$E:$E, (MATCH(459, 輔助計算!$G$2:$G$801, 0)+1))="","",TRIM(INDEX(ERP資料!$E:$E, (MATCH(459, 輔助計算!$G$2:$G$801, 0)+1)))), "")</f>
        <v/>
      </c>
      <c r="G460" s="10">
        <f>IFERROR(IF(INDEX(ERP資料!$F:$F, (MATCH(459, 輔助計算!$G$2:$G$801, 0)+1))="","",INDEX(ERP資料!$F:$F, (MATCH(459, 輔助計算!$G$2:$G$801, 0)+1))), "")</f>
        <v/>
      </c>
      <c r="H460" s="10">
        <f>IFERROR(IF(INDEX(ERP資料!$G:$G, (MATCH(459, 輔助計算!$G$2:$G$801, 0)+1))="","",INDEX(ERP資料!$G:$G, (MATCH(459, 輔助計算!$G$2:$G$801, 0)+1))), "")</f>
        <v/>
      </c>
      <c r="I460" s="15">
        <f>IFERROR(INDEX(輔助計算!$D:$D, (MATCH(459, 輔助計算!$G$2:$G$801, 0)+1)), "")</f>
        <v/>
      </c>
      <c r="J460" s="15">
        <f>IFERROR(IF(AND(INDEX(輔助計算!$D:$D, (MATCH(459, 輔助計算!$G$2:$G$801, 0)+1))&lt;&gt;"", INDEX(ERP資料!$G:$G, (MATCH(459, 輔助計算!$G$2:$G$801, 0)+1))&lt;&gt;""), TRIM(IF(INT(INDEX(輔助計算!$D:$D, (MATCH(459, 輔助計算!$G$2:$G$801, 0)+1))/IF(INDEX(ERP資料!$G:$G, (MATCH(459, 輔助計算!$G$2:$G$801, 0)+1))&lt;100, IF(INDEX(ERP資料!$G:$G, (MATCH(459, 輔助計算!$G$2:$G$801, 0)+1))&lt;=31,3,IF(INDEX(ERP資料!$G:$G, (MATCH(459, 輔助計算!$G$2:$G$801, 0)+1))&lt;=46.5,2,1)), IF(INDEX(ERP資料!$G:$G, (MATCH(459, 輔助計算!$G$2:$G$801, 0)+1))&lt;=790,3,IF(INDEX(ERP資料!$G:$G, (MATCH(459, 輔助計算!$G$2:$G$801, 0)+1))&lt;=1181,2,1))))&gt;0, IF(IF(INDEX(ERP資料!$G:$G, (MATCH(459, 輔助計算!$G$2:$G$801, 0)+1))&lt;100, IF(INDEX(ERP資料!$G:$G, (MATCH(459, 輔助計算!$G$2:$G$801, 0)+1))&lt;=31,3,IF(INDEX(ERP資料!$G:$G, (MATCH(459, 輔助計算!$G$2:$G$801, 0)+1))&lt;=46.5,2,1)), IF(INDEX(ERP資料!$G:$G, (MATCH(459, 輔助計算!$G$2:$G$801, 0)+1))&lt;=790,3,IF(INDEX(ERP資料!$G:$G, (MATCH(459, 輔助計算!$G$2:$G$801, 0)+1))&lt;=1181,2,1)))=1,TEXT(INDEX(ERP資料!$G:$G, (MATCH(459, 輔助計算!$G$2:$G$801, 0)+1)),"0.##"),IF(IF(INDEX(ERP資料!$G:$G, (MATCH(459, 輔助計算!$G$2:$G$801, 0)+1))&lt;100, IF(INDEX(ERP資料!$G:$G, (MATCH(459, 輔助計算!$G$2:$G$801, 0)+1))&lt;=31,3,IF(INDEX(ERP資料!$G:$G, (MATCH(459, 輔助計算!$G$2:$G$801, 0)+1))&lt;=46.5,2,1)), IF(INDEX(ERP資料!$G:$G, (MATCH(459, 輔助計算!$G$2:$G$801, 0)+1))&lt;=790,3,IF(INDEX(ERP資料!$G:$G, (MATCH(459, 輔助計算!$G$2:$G$801, 0)+1))&lt;=1181,2,1)))=2,TEXT(INDEX(ERP資料!$G:$G, (MATCH(459, 輔助計算!$G$2:$G$801, 0)+1)),"0.##")&amp;"+"&amp;TEXT(INDEX(ERP資料!$G:$G, (MATCH(459, 輔助計算!$G$2:$G$801, 0)+1)),"0.##"),TEXT(INDEX(ERP資料!$G:$G, (MATCH(459, 輔助計算!$G$2:$G$801, 0)+1)),"0.##")&amp;"+"&amp;TEXT(INDEX(ERP資料!$G:$G, (MATCH(459, 輔助計算!$G$2:$G$801, 0)+1)),"0.##")&amp;"+"&amp;TEXT(INDEX(ERP資料!$G:$G, (MATCH(459, 輔助計算!$G$2:$G$801, 0)+1)),"0.##")))&amp;"-"&amp;INT(INDEX(輔助計算!$D:$D, (MATCH(459, 輔助計算!$G$2:$G$801, 0)+1))/IF(INDEX(ERP資料!$G:$G, (MATCH(459, 輔助計算!$G$2:$G$801, 0)+1))&lt;100, IF(INDEX(ERP資料!$G:$G, (MATCH(459, 輔助計算!$G$2:$G$801, 0)+1))&lt;=31,3,IF(INDEX(ERP資料!$G:$G, (MATCH(459, 輔助計算!$G$2:$G$801, 0)+1))&lt;=46.5,2,1)), IF(INDEX(ERP資料!$G:$G, (MATCH(459, 輔助計算!$G$2:$G$801, 0)+1))&lt;=790,3,IF(INDEX(ERP資料!$G:$G, (MATCH(459, 輔助計算!$G$2:$G$801, 0)+1))&lt;=1181,2,1)))), "")&amp;IF(AND(IF(INT(INDEX(輔助計算!$D:$D, (MATCH(459, 輔助計算!$G$2:$G$801, 0)+1))/IF(INDEX(ERP資料!$G:$G, (MATCH(459, 輔助計算!$G$2:$G$801, 0)+1))&lt;100, IF(INDEX(ERP資料!$G:$G, (MATCH(459, 輔助計算!$G$2:$G$801, 0)+1))&lt;=31,3,IF(INDEX(ERP資料!$G:$G, (MATCH(459, 輔助計算!$G$2:$G$801, 0)+1))&lt;=46.5,2,1)), IF(INDEX(ERP資料!$G:$G, (MATCH(459, 輔助計算!$G$2:$G$801, 0)+1))&lt;=790,3,IF(INDEX(ERP資料!$G:$G, (MATCH(459, 輔助計算!$G$2:$G$801, 0)+1))&lt;=1181,2,1))))&gt;0, IF(IF(INDEX(ERP資料!$G:$G, (MATCH(459, 輔助計算!$G$2:$G$801, 0)+1))&lt;100, IF(INDEX(ERP資料!$G:$G, (MATCH(459, 輔助計算!$G$2:$G$801, 0)+1))&lt;=31,3,IF(INDEX(ERP資料!$G:$G, (MATCH(459, 輔助計算!$G$2:$G$801, 0)+1))&lt;=46.5,2,1)), IF(INDEX(ERP資料!$G:$G, (MATCH(459, 輔助計算!$G$2:$G$801, 0)+1))&lt;=790,3,IF(INDEX(ERP資料!$G:$G, (MATCH(459, 輔助計算!$G$2:$G$801, 0)+1))&lt;=1181,2,1)))=1,TEXT(INDEX(ERP資料!$G:$G, (MATCH(459, 輔助計算!$G$2:$G$801, 0)+1)),"0.##"),IF(IF(INDEX(ERP資料!$G:$G, (MATCH(459, 輔助計算!$G$2:$G$801, 0)+1))&lt;100, IF(INDEX(ERP資料!$G:$G, (MATCH(459, 輔助計算!$G$2:$G$801, 0)+1))&lt;=31,3,IF(INDEX(ERP資料!$G:$G, (MATCH(459, 輔助計算!$G$2:$G$801, 0)+1))&lt;=46.5,2,1)), IF(INDEX(ERP資料!$G:$G, (MATCH(459, 輔助計算!$G$2:$G$801, 0)+1))&lt;=790,3,IF(INDEX(ERP資料!$G:$G, (MATCH(459, 輔助計算!$G$2:$G$801, 0)+1))&lt;=1181,2,1)))=2,TEXT(INDEX(ERP資料!$G:$G, (MATCH(459, 輔助計算!$G$2:$G$801, 0)+1)),"0.##")&amp;"+"&amp;TEXT(INDEX(ERP資料!$G:$G, (MATCH(459, 輔助計算!$G$2:$G$801, 0)+1)),"0.##"),TEXT(INDEX(ERP資料!$G:$G, (MATCH(459, 輔助計算!$G$2:$G$801, 0)+1)),"0.##")&amp;"+"&amp;TEXT(INDEX(ERP資料!$G:$G, (MATCH(459, 輔助計算!$G$2:$G$801, 0)+1)),"0.##")&amp;"+"&amp;TEXT(INDEX(ERP資料!$G:$G, (MATCH(459, 輔助計算!$G$2:$G$801, 0)+1)),"0.##")))&amp;"-"&amp;INT(INDEX(輔助計算!$D:$D, (MATCH(459, 輔助計算!$G$2:$G$801, 0)+1))/IF(INDEX(ERP資料!$G:$G, (MATCH(459, 輔助計算!$G$2:$G$801, 0)+1))&lt;100, IF(INDEX(ERP資料!$G:$G, (MATCH(459, 輔助計算!$G$2:$G$801, 0)+1))&lt;=31,3,IF(INDEX(ERP資料!$G:$G, (MATCH(459, 輔助計算!$G$2:$G$801, 0)+1))&lt;=46.5,2,1)), IF(INDEX(ERP資料!$G:$G, (MATCH(459, 輔助計算!$G$2:$G$801, 0)+1))&lt;=790,3,IF(INDEX(ERP資料!$G:$G, (MATCH(459, 輔助計算!$G$2:$G$801, 0)+1))&lt;=1181,2,1)))), "")&lt;&gt;"",IF(MOD(INDEX(輔助計算!$D:$D, (MATCH(459, 輔助計算!$G$2:$G$801, 0)+1)),IF(INDEX(ERP資料!$G:$G, (MATCH(459, 輔助計算!$G$2:$G$801, 0)+1))&lt;100, IF(INDEX(ERP資料!$G:$G, (MATCH(459, 輔助計算!$G$2:$G$801, 0)+1))&lt;=31,3,IF(INDEX(ERP資料!$G:$G, (MATCH(459, 輔助計算!$G$2:$G$801, 0)+1))&lt;=46.5,2,1)), IF(INDEX(ERP資料!$G:$G, (MATCH(459, 輔助計算!$G$2:$G$801, 0)+1))&lt;=790,3,IF(INDEX(ERP資料!$G:$G, (MATCH(459, 輔助計算!$G$2:$G$801, 0)+1))&lt;=1181,2,1))))=0,"",IF(MOD(INDEX(輔助計算!$D:$D, (MATCH(459, 輔助計算!$G$2:$G$801, 0)+1)),IF(INDEX(ERP資料!$G:$G, (MATCH(459, 輔助計算!$G$2:$G$801, 0)+1))&lt;100, IF(INDEX(ERP資料!$G:$G, (MATCH(459, 輔助計算!$G$2:$G$801, 0)+1))&lt;=31,3,IF(INDEX(ERP資料!$G:$G, (MATCH(459, 輔助計算!$G$2:$G$801, 0)+1))&lt;=46.5,2,1)), IF(INDEX(ERP資料!$G:$G, (MATCH(459, 輔助計算!$G$2:$G$801, 0)+1))&lt;=790,3,IF(INDEX(ERP資料!$G:$G, (MATCH(459, 輔助計算!$G$2:$G$801, 0)+1))&lt;=1181,2,1))))=0,"",IF(MOD(INDEX(輔助計算!$D:$D, (MATCH(459, 輔助計算!$G$2:$G$801, 0)+1)),IF(INDEX(ERP資料!$G:$G, (MATCH(459, 輔助計算!$G$2:$G$801, 0)+1))&lt;100, IF(INDEX(ERP資料!$G:$G, (MATCH(459, 輔助計算!$G$2:$G$801, 0)+1))&lt;=31,3,IF(INDEX(ERP資料!$G:$G, (MATCH(459, 輔助計算!$G$2:$G$801, 0)+1))&lt;=46.5,2,1)), IF(INDEX(ERP資料!$G:$G, (MATCH(459, 輔助計算!$G$2:$G$801, 0)+1))&lt;=790,3,IF(INDEX(ERP資料!$G:$G, (MATCH(459, 輔助計算!$G$2:$G$801, 0)+1))&lt;=1181,2,1))))=1,TEXT(INDEX(ERP資料!$G:$G, (MATCH(459, 輔助計算!$G$2:$G$801, 0)+1)),"0.##"),IF(MOD(INDEX(輔助計算!$D:$D, (MATCH(459, 輔助計算!$G$2:$G$801, 0)+1)),IF(INDEX(ERP資料!$G:$G, (MATCH(459, 輔助計算!$G$2:$G$801, 0)+1))&lt;100, IF(INDEX(ERP資料!$G:$G, (MATCH(459, 輔助計算!$G$2:$G$801, 0)+1))&lt;=31,3,IF(INDEX(ERP資料!$G:$G, (MATCH(459, 輔助計算!$G$2:$G$801, 0)+1))&lt;=46.5,2,1)), IF(INDEX(ERP資料!$G:$G, (MATCH(459, 輔助計算!$G$2:$G$801, 0)+1))&lt;=790,3,IF(INDEX(ERP資料!$G:$G, (MATCH(459, 輔助計算!$G$2:$G$801, 0)+1))&lt;=1181,2,1))))=2,TEXT(INDEX(ERP資料!$G:$G, (MATCH(459, 輔助計算!$G$2:$G$801, 0)+1)),"0.##")&amp;"+"&amp;TEXT(INDEX(ERP資料!$G:$G, (MATCH(459, 輔助計算!$G$2:$G$801, 0)+1)),"0.##"),TEXT(INDEX(ERP資料!$G:$G, (MATCH(459, 輔助計算!$G$2:$G$801, 0)+1)),"0.##")&amp;"+"&amp;TEXT(INDEX(ERP資料!$G:$G, (MATCH(459, 輔助計算!$G$2:$G$801, 0)+1)),"0.##")&amp;"+"&amp;TEXT(INDEX(ERP資料!$G:$G, (MATCH(459, 輔助計算!$G$2:$G$801, 0)+1)),"0.##"))))&amp;"-1")&lt;&gt;""),"  ","")&amp;IF(MOD(INDEX(輔助計算!$D:$D, (MATCH(459, 輔助計算!$G$2:$G$801, 0)+1)),IF(INDEX(ERP資料!$G:$G, (MATCH(459, 輔助計算!$G$2:$G$801, 0)+1))&lt;100, IF(INDEX(ERP資料!$G:$G, (MATCH(459, 輔助計算!$G$2:$G$801, 0)+1))&lt;=31,3,IF(INDEX(ERP資料!$G:$G, (MATCH(459, 輔助計算!$G$2:$G$801, 0)+1))&lt;=46.5,2,1)), IF(INDEX(ERP資料!$G:$G, (MATCH(459, 輔助計算!$G$2:$G$801, 0)+1))&lt;=790,3,IF(INDEX(ERP資料!$G:$G, (MATCH(459, 輔助計算!$G$2:$G$801, 0)+1))&lt;=1181,2,1))))=0,"",IF(MOD(INDEX(輔助計算!$D:$D, (MATCH(459, 輔助計算!$G$2:$G$801, 0)+1)),IF(INDEX(ERP資料!$G:$G, (MATCH(459, 輔助計算!$G$2:$G$801, 0)+1))&lt;100, IF(INDEX(ERP資料!$G:$G, (MATCH(459, 輔助計算!$G$2:$G$801, 0)+1))&lt;=31,3,IF(INDEX(ERP資料!$G:$G, (MATCH(459, 輔助計算!$G$2:$G$801, 0)+1))&lt;=46.5,2,1)), IF(INDEX(ERP資料!$G:$G, (MATCH(459, 輔助計算!$G$2:$G$801, 0)+1))&lt;=790,3,IF(INDEX(ERP資料!$G:$G, (MATCH(459, 輔助計算!$G$2:$G$801, 0)+1))&lt;=1181,2,1))))=0,"",IF(MOD(INDEX(輔助計算!$D:$D, (MATCH(459, 輔助計算!$G$2:$G$801, 0)+1)),IF(INDEX(ERP資料!$G:$G, (MATCH(459, 輔助計算!$G$2:$G$801, 0)+1))&lt;100, IF(INDEX(ERP資料!$G:$G, (MATCH(459, 輔助計算!$G$2:$G$801, 0)+1))&lt;=31,3,IF(INDEX(ERP資料!$G:$G, (MATCH(459, 輔助計算!$G$2:$G$801, 0)+1))&lt;=46.5,2,1)), IF(INDEX(ERP資料!$G:$G, (MATCH(459, 輔助計算!$G$2:$G$801, 0)+1))&lt;=790,3,IF(INDEX(ERP資料!$G:$G, (MATCH(459, 輔助計算!$G$2:$G$801, 0)+1))&lt;=1181,2,1))))=1,TEXT(INDEX(ERP資料!$G:$G, (MATCH(459, 輔助計算!$G$2:$G$801, 0)+1)),"0.##"),IF(MOD(INDEX(輔助計算!$D:$D, (MATCH(459, 輔助計算!$G$2:$G$801, 0)+1)),IF(INDEX(ERP資料!$G:$G, (MATCH(459, 輔助計算!$G$2:$G$801, 0)+1))&lt;100, IF(INDEX(ERP資料!$G:$G, (MATCH(459, 輔助計算!$G$2:$G$801, 0)+1))&lt;=31,3,IF(INDEX(ERP資料!$G:$G, (MATCH(459, 輔助計算!$G$2:$G$801, 0)+1))&lt;=46.5,2,1)), IF(INDEX(ERP資料!$G:$G, (MATCH(459, 輔助計算!$G$2:$G$801, 0)+1))&lt;=790,3,IF(INDEX(ERP資料!$G:$G, (MATCH(459, 輔助計算!$G$2:$G$801, 0)+1))&lt;=1181,2,1))))=2,TEXT(INDEX(ERP資料!$G:$G, (MATCH(459, 輔助計算!$G$2:$G$801, 0)+1)),"0.##")&amp;"+"&amp;TEXT(INDEX(ERP資料!$G:$G, (MATCH(459, 輔助計算!$G$2:$G$801, 0)+1)),"0.##"),TEXT(INDEX(ERP資料!$G:$G, (MATCH(459, 輔助計算!$G$2:$G$801, 0)+1)),"0.##")&amp;"+"&amp;TEXT(INDEX(ERP資料!$G:$G, (MATCH(459, 輔助計算!$G$2:$G$801, 0)+1)),"0.##")&amp;"+"&amp;TEXT(INDEX(ERP資料!$G:$G, (MATCH(459, 輔助計算!$G$2:$G$801, 0)+1)),"0.##"))))&amp;"-1")), ""), "")</f>
        <v/>
      </c>
      <c r="K460" s="16" t="n"/>
      <c r="L460" s="14">
        <f>IFERROR(IF(AND(IFERROR(INDEX(ERP資料!$A:$A, (MATCH(459, 輔助計算!$G$2:$G$801, 0)+1)), "")&lt;&gt;"", IFERROR(INDEX(ERP資料!$A:$A, (MATCH(459, 輔助計算!$G$2:$G$801, 0)+1)), "")&lt;&gt;IFERROR(INDEX(ERP資料!$A:$A, MATCH(458, 輔助計算!$G$2:$G$801, 0)+1), "")), INDEX(ERP資料!$B:$B, (MATCH(459, 輔助計算!$G$2:$G$801, 0)+1)), ""), "")</f>
        <v/>
      </c>
      <c r="M460" s="17" t="n"/>
    </row>
    <row r="461">
      <c r="A461" s="10">
        <f>IFERROR(IF(AND(IFERROR(INDEX(ERP資料!$A:$A, (MATCH(460, 輔助計算!$G$2:$G$801, 0)+1)), "")&lt;&gt;"", IFERROR(INDEX(ERP資料!$A:$A, (MATCH(460, 輔助計算!$G$2:$G$801, 0)+1)), "")&lt;&gt;IFERROR(INDEX(ERP資料!$A:$A, MATCH(459, 輔助計算!$G$2:$G$801, 0)+1), "")), IFERROR(INDEX(ERP資料!$A:$A, (MATCH(460, 輔助計算!$G$2:$G$801, 0)+1)), ""), ""), "")</f>
        <v/>
      </c>
      <c r="B461" s="10">
        <f>IFERROR(IF(AND(IFERROR(INDEX(ERP資料!$A:$A, (MATCH(460, 輔助計算!$G$2:$G$801, 0)+1)), "")&lt;&gt;"", IFERROR(INDEX(ERP資料!$A:$A, (MATCH(460, 輔助計算!$G$2:$G$801, 0)+1)), "")&lt;&gt;IFERROR(INDEX(ERP資料!$A:$A, MATCH(459, 輔助計算!$G$2:$G$801, 0)+1), "")), INDEX(ERP資料!$S:$S, (MATCH(460, 輔助計算!$G$2:$G$801, 0)+1)), ""), "")</f>
        <v/>
      </c>
      <c r="C461" s="19">
        <f>IFERROR(IF(AND(IFERROR(INDEX(ERP資料!$A:$A, (MATCH(460, 輔助計算!$G$2:$G$801, 0)+1)), "")&lt;&gt;"", IFERROR(INDEX(ERP資料!$A:$A, (MATCH(460, 輔助計算!$G$2:$G$801, 0)+1)), "")&lt;&gt;IFERROR(INDEX(ERP資料!$A:$A, MATCH(459, 輔助計算!$G$2:$G$801, 0)+1), "")), IFERROR(VLOOKUP(LEFT(INDEX(ERP資料!$S:$S, (MATCH(460, 輔助計算!$G$2:$G$801, 0)+1)), 4), 紙管對照表!$A:$C, 3, FALSE), ""), ""), "")</f>
        <v/>
      </c>
      <c r="D461" s="16" t="n"/>
      <c r="E461" s="10">
        <f>IFERROR(IF(INDEX(ERP資料!$H:$H, (MATCH(460, 輔助計算!$G$2:$G$801, 0)+1))="","",INDEX(ERP資料!$H:$H, (MATCH(460, 輔助計算!$G$2:$G$801, 0)+1))), "")</f>
        <v/>
      </c>
      <c r="F461" s="10">
        <f>IFERROR(IF(INDEX(ERP資料!$E:$E, (MATCH(460, 輔助計算!$G$2:$G$801, 0)+1))="","",TRIM(INDEX(ERP資料!$E:$E, (MATCH(460, 輔助計算!$G$2:$G$801, 0)+1)))), "")</f>
        <v/>
      </c>
      <c r="G461" s="10">
        <f>IFERROR(IF(INDEX(ERP資料!$F:$F, (MATCH(460, 輔助計算!$G$2:$G$801, 0)+1))="","",INDEX(ERP資料!$F:$F, (MATCH(460, 輔助計算!$G$2:$G$801, 0)+1))), "")</f>
        <v/>
      </c>
      <c r="H461" s="10">
        <f>IFERROR(IF(INDEX(ERP資料!$G:$G, (MATCH(460, 輔助計算!$G$2:$G$801, 0)+1))="","",INDEX(ERP資料!$G:$G, (MATCH(460, 輔助計算!$G$2:$G$801, 0)+1))), "")</f>
        <v/>
      </c>
      <c r="I461" s="15">
        <f>IFERROR(INDEX(輔助計算!$D:$D, (MATCH(460, 輔助計算!$G$2:$G$801, 0)+1)), "")</f>
        <v/>
      </c>
      <c r="J461" s="15">
        <f>IFERROR(IF(AND(INDEX(輔助計算!$D:$D, (MATCH(460, 輔助計算!$G$2:$G$801, 0)+1))&lt;&gt;"", INDEX(ERP資料!$G:$G, (MATCH(460, 輔助計算!$G$2:$G$801, 0)+1))&lt;&gt;""), TRIM(IF(INT(INDEX(輔助計算!$D:$D, (MATCH(460, 輔助計算!$G$2:$G$801, 0)+1))/IF(INDEX(ERP資料!$G:$G, (MATCH(460, 輔助計算!$G$2:$G$801, 0)+1))&lt;100, IF(INDEX(ERP資料!$G:$G, (MATCH(460, 輔助計算!$G$2:$G$801, 0)+1))&lt;=31,3,IF(INDEX(ERP資料!$G:$G, (MATCH(460, 輔助計算!$G$2:$G$801, 0)+1))&lt;=46.5,2,1)), IF(INDEX(ERP資料!$G:$G, (MATCH(460, 輔助計算!$G$2:$G$801, 0)+1))&lt;=790,3,IF(INDEX(ERP資料!$G:$G, (MATCH(460, 輔助計算!$G$2:$G$801, 0)+1))&lt;=1181,2,1))))&gt;0, IF(IF(INDEX(ERP資料!$G:$G, (MATCH(460, 輔助計算!$G$2:$G$801, 0)+1))&lt;100, IF(INDEX(ERP資料!$G:$G, (MATCH(460, 輔助計算!$G$2:$G$801, 0)+1))&lt;=31,3,IF(INDEX(ERP資料!$G:$G, (MATCH(460, 輔助計算!$G$2:$G$801, 0)+1))&lt;=46.5,2,1)), IF(INDEX(ERP資料!$G:$G, (MATCH(460, 輔助計算!$G$2:$G$801, 0)+1))&lt;=790,3,IF(INDEX(ERP資料!$G:$G, (MATCH(460, 輔助計算!$G$2:$G$801, 0)+1))&lt;=1181,2,1)))=1,TEXT(INDEX(ERP資料!$G:$G, (MATCH(460, 輔助計算!$G$2:$G$801, 0)+1)),"0.##"),IF(IF(INDEX(ERP資料!$G:$G, (MATCH(460, 輔助計算!$G$2:$G$801, 0)+1))&lt;100, IF(INDEX(ERP資料!$G:$G, (MATCH(460, 輔助計算!$G$2:$G$801, 0)+1))&lt;=31,3,IF(INDEX(ERP資料!$G:$G, (MATCH(460, 輔助計算!$G$2:$G$801, 0)+1))&lt;=46.5,2,1)), IF(INDEX(ERP資料!$G:$G, (MATCH(460, 輔助計算!$G$2:$G$801, 0)+1))&lt;=790,3,IF(INDEX(ERP資料!$G:$G, (MATCH(460, 輔助計算!$G$2:$G$801, 0)+1))&lt;=1181,2,1)))=2,TEXT(INDEX(ERP資料!$G:$G, (MATCH(460, 輔助計算!$G$2:$G$801, 0)+1)),"0.##")&amp;"+"&amp;TEXT(INDEX(ERP資料!$G:$G, (MATCH(460, 輔助計算!$G$2:$G$801, 0)+1)),"0.##"),TEXT(INDEX(ERP資料!$G:$G, (MATCH(460, 輔助計算!$G$2:$G$801, 0)+1)),"0.##")&amp;"+"&amp;TEXT(INDEX(ERP資料!$G:$G, (MATCH(460, 輔助計算!$G$2:$G$801, 0)+1)),"0.##")&amp;"+"&amp;TEXT(INDEX(ERP資料!$G:$G, (MATCH(460, 輔助計算!$G$2:$G$801, 0)+1)),"0.##")))&amp;"-"&amp;INT(INDEX(輔助計算!$D:$D, (MATCH(460, 輔助計算!$G$2:$G$801, 0)+1))/IF(INDEX(ERP資料!$G:$G, (MATCH(460, 輔助計算!$G$2:$G$801, 0)+1))&lt;100, IF(INDEX(ERP資料!$G:$G, (MATCH(460, 輔助計算!$G$2:$G$801, 0)+1))&lt;=31,3,IF(INDEX(ERP資料!$G:$G, (MATCH(460, 輔助計算!$G$2:$G$801, 0)+1))&lt;=46.5,2,1)), IF(INDEX(ERP資料!$G:$G, (MATCH(460, 輔助計算!$G$2:$G$801, 0)+1))&lt;=790,3,IF(INDEX(ERP資料!$G:$G, (MATCH(460, 輔助計算!$G$2:$G$801, 0)+1))&lt;=1181,2,1)))), "")&amp;IF(AND(IF(INT(INDEX(輔助計算!$D:$D, (MATCH(460, 輔助計算!$G$2:$G$801, 0)+1))/IF(INDEX(ERP資料!$G:$G, (MATCH(460, 輔助計算!$G$2:$G$801, 0)+1))&lt;100, IF(INDEX(ERP資料!$G:$G, (MATCH(460, 輔助計算!$G$2:$G$801, 0)+1))&lt;=31,3,IF(INDEX(ERP資料!$G:$G, (MATCH(460, 輔助計算!$G$2:$G$801, 0)+1))&lt;=46.5,2,1)), IF(INDEX(ERP資料!$G:$G, (MATCH(460, 輔助計算!$G$2:$G$801, 0)+1))&lt;=790,3,IF(INDEX(ERP資料!$G:$G, (MATCH(460, 輔助計算!$G$2:$G$801, 0)+1))&lt;=1181,2,1))))&gt;0, IF(IF(INDEX(ERP資料!$G:$G, (MATCH(460, 輔助計算!$G$2:$G$801, 0)+1))&lt;100, IF(INDEX(ERP資料!$G:$G, (MATCH(460, 輔助計算!$G$2:$G$801, 0)+1))&lt;=31,3,IF(INDEX(ERP資料!$G:$G, (MATCH(460, 輔助計算!$G$2:$G$801, 0)+1))&lt;=46.5,2,1)), IF(INDEX(ERP資料!$G:$G, (MATCH(460, 輔助計算!$G$2:$G$801, 0)+1))&lt;=790,3,IF(INDEX(ERP資料!$G:$G, (MATCH(460, 輔助計算!$G$2:$G$801, 0)+1))&lt;=1181,2,1)))=1,TEXT(INDEX(ERP資料!$G:$G, (MATCH(460, 輔助計算!$G$2:$G$801, 0)+1)),"0.##"),IF(IF(INDEX(ERP資料!$G:$G, (MATCH(460, 輔助計算!$G$2:$G$801, 0)+1))&lt;100, IF(INDEX(ERP資料!$G:$G, (MATCH(460, 輔助計算!$G$2:$G$801, 0)+1))&lt;=31,3,IF(INDEX(ERP資料!$G:$G, (MATCH(460, 輔助計算!$G$2:$G$801, 0)+1))&lt;=46.5,2,1)), IF(INDEX(ERP資料!$G:$G, (MATCH(460, 輔助計算!$G$2:$G$801, 0)+1))&lt;=790,3,IF(INDEX(ERP資料!$G:$G, (MATCH(460, 輔助計算!$G$2:$G$801, 0)+1))&lt;=1181,2,1)))=2,TEXT(INDEX(ERP資料!$G:$G, (MATCH(460, 輔助計算!$G$2:$G$801, 0)+1)),"0.##")&amp;"+"&amp;TEXT(INDEX(ERP資料!$G:$G, (MATCH(460, 輔助計算!$G$2:$G$801, 0)+1)),"0.##"),TEXT(INDEX(ERP資料!$G:$G, (MATCH(460, 輔助計算!$G$2:$G$801, 0)+1)),"0.##")&amp;"+"&amp;TEXT(INDEX(ERP資料!$G:$G, (MATCH(460, 輔助計算!$G$2:$G$801, 0)+1)),"0.##")&amp;"+"&amp;TEXT(INDEX(ERP資料!$G:$G, (MATCH(460, 輔助計算!$G$2:$G$801, 0)+1)),"0.##")))&amp;"-"&amp;INT(INDEX(輔助計算!$D:$D, (MATCH(460, 輔助計算!$G$2:$G$801, 0)+1))/IF(INDEX(ERP資料!$G:$G, (MATCH(460, 輔助計算!$G$2:$G$801, 0)+1))&lt;100, IF(INDEX(ERP資料!$G:$G, (MATCH(460, 輔助計算!$G$2:$G$801, 0)+1))&lt;=31,3,IF(INDEX(ERP資料!$G:$G, (MATCH(460, 輔助計算!$G$2:$G$801, 0)+1))&lt;=46.5,2,1)), IF(INDEX(ERP資料!$G:$G, (MATCH(460, 輔助計算!$G$2:$G$801, 0)+1))&lt;=790,3,IF(INDEX(ERP資料!$G:$G, (MATCH(460, 輔助計算!$G$2:$G$801, 0)+1))&lt;=1181,2,1)))), "")&lt;&gt;"",IF(MOD(INDEX(輔助計算!$D:$D, (MATCH(460, 輔助計算!$G$2:$G$801, 0)+1)),IF(INDEX(ERP資料!$G:$G, (MATCH(460, 輔助計算!$G$2:$G$801, 0)+1))&lt;100, IF(INDEX(ERP資料!$G:$G, (MATCH(460, 輔助計算!$G$2:$G$801, 0)+1))&lt;=31,3,IF(INDEX(ERP資料!$G:$G, (MATCH(460, 輔助計算!$G$2:$G$801, 0)+1))&lt;=46.5,2,1)), IF(INDEX(ERP資料!$G:$G, (MATCH(460, 輔助計算!$G$2:$G$801, 0)+1))&lt;=790,3,IF(INDEX(ERP資料!$G:$G, (MATCH(460, 輔助計算!$G$2:$G$801, 0)+1))&lt;=1181,2,1))))=0,"",IF(MOD(INDEX(輔助計算!$D:$D, (MATCH(460, 輔助計算!$G$2:$G$801, 0)+1)),IF(INDEX(ERP資料!$G:$G, (MATCH(460, 輔助計算!$G$2:$G$801, 0)+1))&lt;100, IF(INDEX(ERP資料!$G:$G, (MATCH(460, 輔助計算!$G$2:$G$801, 0)+1))&lt;=31,3,IF(INDEX(ERP資料!$G:$G, (MATCH(460, 輔助計算!$G$2:$G$801, 0)+1))&lt;=46.5,2,1)), IF(INDEX(ERP資料!$G:$G, (MATCH(460, 輔助計算!$G$2:$G$801, 0)+1))&lt;=790,3,IF(INDEX(ERP資料!$G:$G, (MATCH(460, 輔助計算!$G$2:$G$801, 0)+1))&lt;=1181,2,1))))=0,"",IF(MOD(INDEX(輔助計算!$D:$D, (MATCH(460, 輔助計算!$G$2:$G$801, 0)+1)),IF(INDEX(ERP資料!$G:$G, (MATCH(460, 輔助計算!$G$2:$G$801, 0)+1))&lt;100, IF(INDEX(ERP資料!$G:$G, (MATCH(460, 輔助計算!$G$2:$G$801, 0)+1))&lt;=31,3,IF(INDEX(ERP資料!$G:$G, (MATCH(460, 輔助計算!$G$2:$G$801, 0)+1))&lt;=46.5,2,1)), IF(INDEX(ERP資料!$G:$G, (MATCH(460, 輔助計算!$G$2:$G$801, 0)+1))&lt;=790,3,IF(INDEX(ERP資料!$G:$G, (MATCH(460, 輔助計算!$G$2:$G$801, 0)+1))&lt;=1181,2,1))))=1,TEXT(INDEX(ERP資料!$G:$G, (MATCH(460, 輔助計算!$G$2:$G$801, 0)+1)),"0.##"),IF(MOD(INDEX(輔助計算!$D:$D, (MATCH(460, 輔助計算!$G$2:$G$801, 0)+1)),IF(INDEX(ERP資料!$G:$G, (MATCH(460, 輔助計算!$G$2:$G$801, 0)+1))&lt;100, IF(INDEX(ERP資料!$G:$G, (MATCH(460, 輔助計算!$G$2:$G$801, 0)+1))&lt;=31,3,IF(INDEX(ERP資料!$G:$G, (MATCH(460, 輔助計算!$G$2:$G$801, 0)+1))&lt;=46.5,2,1)), IF(INDEX(ERP資料!$G:$G, (MATCH(460, 輔助計算!$G$2:$G$801, 0)+1))&lt;=790,3,IF(INDEX(ERP資料!$G:$G, (MATCH(460, 輔助計算!$G$2:$G$801, 0)+1))&lt;=1181,2,1))))=2,TEXT(INDEX(ERP資料!$G:$G, (MATCH(460, 輔助計算!$G$2:$G$801, 0)+1)),"0.##")&amp;"+"&amp;TEXT(INDEX(ERP資料!$G:$G, (MATCH(460, 輔助計算!$G$2:$G$801, 0)+1)),"0.##"),TEXT(INDEX(ERP資料!$G:$G, (MATCH(460, 輔助計算!$G$2:$G$801, 0)+1)),"0.##")&amp;"+"&amp;TEXT(INDEX(ERP資料!$G:$G, (MATCH(460, 輔助計算!$G$2:$G$801, 0)+1)),"0.##")&amp;"+"&amp;TEXT(INDEX(ERP資料!$G:$G, (MATCH(460, 輔助計算!$G$2:$G$801, 0)+1)),"0.##"))))&amp;"-1")&lt;&gt;""),"  ","")&amp;IF(MOD(INDEX(輔助計算!$D:$D, (MATCH(460, 輔助計算!$G$2:$G$801, 0)+1)),IF(INDEX(ERP資料!$G:$G, (MATCH(460, 輔助計算!$G$2:$G$801, 0)+1))&lt;100, IF(INDEX(ERP資料!$G:$G, (MATCH(460, 輔助計算!$G$2:$G$801, 0)+1))&lt;=31,3,IF(INDEX(ERP資料!$G:$G, (MATCH(460, 輔助計算!$G$2:$G$801, 0)+1))&lt;=46.5,2,1)), IF(INDEX(ERP資料!$G:$G, (MATCH(460, 輔助計算!$G$2:$G$801, 0)+1))&lt;=790,3,IF(INDEX(ERP資料!$G:$G, (MATCH(460, 輔助計算!$G$2:$G$801, 0)+1))&lt;=1181,2,1))))=0,"",IF(MOD(INDEX(輔助計算!$D:$D, (MATCH(460, 輔助計算!$G$2:$G$801, 0)+1)),IF(INDEX(ERP資料!$G:$G, (MATCH(460, 輔助計算!$G$2:$G$801, 0)+1))&lt;100, IF(INDEX(ERP資料!$G:$G, (MATCH(460, 輔助計算!$G$2:$G$801, 0)+1))&lt;=31,3,IF(INDEX(ERP資料!$G:$G, (MATCH(460, 輔助計算!$G$2:$G$801, 0)+1))&lt;=46.5,2,1)), IF(INDEX(ERP資料!$G:$G, (MATCH(460, 輔助計算!$G$2:$G$801, 0)+1))&lt;=790,3,IF(INDEX(ERP資料!$G:$G, (MATCH(460, 輔助計算!$G$2:$G$801, 0)+1))&lt;=1181,2,1))))=0,"",IF(MOD(INDEX(輔助計算!$D:$D, (MATCH(460, 輔助計算!$G$2:$G$801, 0)+1)),IF(INDEX(ERP資料!$G:$G, (MATCH(460, 輔助計算!$G$2:$G$801, 0)+1))&lt;100, IF(INDEX(ERP資料!$G:$G, (MATCH(460, 輔助計算!$G$2:$G$801, 0)+1))&lt;=31,3,IF(INDEX(ERP資料!$G:$G, (MATCH(460, 輔助計算!$G$2:$G$801, 0)+1))&lt;=46.5,2,1)), IF(INDEX(ERP資料!$G:$G, (MATCH(460, 輔助計算!$G$2:$G$801, 0)+1))&lt;=790,3,IF(INDEX(ERP資料!$G:$G, (MATCH(460, 輔助計算!$G$2:$G$801, 0)+1))&lt;=1181,2,1))))=1,TEXT(INDEX(ERP資料!$G:$G, (MATCH(460, 輔助計算!$G$2:$G$801, 0)+1)),"0.##"),IF(MOD(INDEX(輔助計算!$D:$D, (MATCH(460, 輔助計算!$G$2:$G$801, 0)+1)),IF(INDEX(ERP資料!$G:$G, (MATCH(460, 輔助計算!$G$2:$G$801, 0)+1))&lt;100, IF(INDEX(ERP資料!$G:$G, (MATCH(460, 輔助計算!$G$2:$G$801, 0)+1))&lt;=31,3,IF(INDEX(ERP資料!$G:$G, (MATCH(460, 輔助計算!$G$2:$G$801, 0)+1))&lt;=46.5,2,1)), IF(INDEX(ERP資料!$G:$G, (MATCH(460, 輔助計算!$G$2:$G$801, 0)+1))&lt;=790,3,IF(INDEX(ERP資料!$G:$G, (MATCH(460, 輔助計算!$G$2:$G$801, 0)+1))&lt;=1181,2,1))))=2,TEXT(INDEX(ERP資料!$G:$G, (MATCH(460, 輔助計算!$G$2:$G$801, 0)+1)),"0.##")&amp;"+"&amp;TEXT(INDEX(ERP資料!$G:$G, (MATCH(460, 輔助計算!$G$2:$G$801, 0)+1)),"0.##"),TEXT(INDEX(ERP資料!$G:$G, (MATCH(460, 輔助計算!$G$2:$G$801, 0)+1)),"0.##")&amp;"+"&amp;TEXT(INDEX(ERP資料!$G:$G, (MATCH(460, 輔助計算!$G$2:$G$801, 0)+1)),"0.##")&amp;"+"&amp;TEXT(INDEX(ERP資料!$G:$G, (MATCH(460, 輔助計算!$G$2:$G$801, 0)+1)),"0.##"))))&amp;"-1")), ""), "")</f>
        <v/>
      </c>
      <c r="K461" s="16" t="n"/>
      <c r="L461" s="14">
        <f>IFERROR(IF(AND(IFERROR(INDEX(ERP資料!$A:$A, (MATCH(460, 輔助計算!$G$2:$G$801, 0)+1)), "")&lt;&gt;"", IFERROR(INDEX(ERP資料!$A:$A, (MATCH(460, 輔助計算!$G$2:$G$801, 0)+1)), "")&lt;&gt;IFERROR(INDEX(ERP資料!$A:$A, MATCH(459, 輔助計算!$G$2:$G$801, 0)+1), "")), INDEX(ERP資料!$B:$B, (MATCH(460, 輔助計算!$G$2:$G$801, 0)+1)), ""), "")</f>
        <v/>
      </c>
      <c r="M461" s="17" t="n"/>
    </row>
    <row r="462">
      <c r="A462" s="10">
        <f>IFERROR(IF(AND(IFERROR(INDEX(ERP資料!$A:$A, (MATCH(461, 輔助計算!$G$2:$G$801, 0)+1)), "")&lt;&gt;"", IFERROR(INDEX(ERP資料!$A:$A, (MATCH(461, 輔助計算!$G$2:$G$801, 0)+1)), "")&lt;&gt;IFERROR(INDEX(ERP資料!$A:$A, MATCH(460, 輔助計算!$G$2:$G$801, 0)+1), "")), IFERROR(INDEX(ERP資料!$A:$A, (MATCH(461, 輔助計算!$G$2:$G$801, 0)+1)), ""), ""), "")</f>
        <v/>
      </c>
      <c r="B462" s="10">
        <f>IFERROR(IF(AND(IFERROR(INDEX(ERP資料!$A:$A, (MATCH(461, 輔助計算!$G$2:$G$801, 0)+1)), "")&lt;&gt;"", IFERROR(INDEX(ERP資料!$A:$A, (MATCH(461, 輔助計算!$G$2:$G$801, 0)+1)), "")&lt;&gt;IFERROR(INDEX(ERP資料!$A:$A, MATCH(460, 輔助計算!$G$2:$G$801, 0)+1), "")), INDEX(ERP資料!$S:$S, (MATCH(461, 輔助計算!$G$2:$G$801, 0)+1)), ""), "")</f>
        <v/>
      </c>
      <c r="C462" s="19">
        <f>IFERROR(IF(AND(IFERROR(INDEX(ERP資料!$A:$A, (MATCH(461, 輔助計算!$G$2:$G$801, 0)+1)), "")&lt;&gt;"", IFERROR(INDEX(ERP資料!$A:$A, (MATCH(461, 輔助計算!$G$2:$G$801, 0)+1)), "")&lt;&gt;IFERROR(INDEX(ERP資料!$A:$A, MATCH(460, 輔助計算!$G$2:$G$801, 0)+1), "")), IFERROR(VLOOKUP(LEFT(INDEX(ERP資料!$S:$S, (MATCH(461, 輔助計算!$G$2:$G$801, 0)+1)), 4), 紙管對照表!$A:$C, 3, FALSE), ""), ""), "")</f>
        <v/>
      </c>
      <c r="D462" s="16" t="n"/>
      <c r="E462" s="10">
        <f>IFERROR(IF(INDEX(ERP資料!$H:$H, (MATCH(461, 輔助計算!$G$2:$G$801, 0)+1))="","",INDEX(ERP資料!$H:$H, (MATCH(461, 輔助計算!$G$2:$G$801, 0)+1))), "")</f>
        <v/>
      </c>
      <c r="F462" s="10">
        <f>IFERROR(IF(INDEX(ERP資料!$E:$E, (MATCH(461, 輔助計算!$G$2:$G$801, 0)+1))="","",TRIM(INDEX(ERP資料!$E:$E, (MATCH(461, 輔助計算!$G$2:$G$801, 0)+1)))), "")</f>
        <v/>
      </c>
      <c r="G462" s="10">
        <f>IFERROR(IF(INDEX(ERP資料!$F:$F, (MATCH(461, 輔助計算!$G$2:$G$801, 0)+1))="","",INDEX(ERP資料!$F:$F, (MATCH(461, 輔助計算!$G$2:$G$801, 0)+1))), "")</f>
        <v/>
      </c>
      <c r="H462" s="10">
        <f>IFERROR(IF(INDEX(ERP資料!$G:$G, (MATCH(461, 輔助計算!$G$2:$G$801, 0)+1))="","",INDEX(ERP資料!$G:$G, (MATCH(461, 輔助計算!$G$2:$G$801, 0)+1))), "")</f>
        <v/>
      </c>
      <c r="I462" s="15">
        <f>IFERROR(INDEX(輔助計算!$D:$D, (MATCH(461, 輔助計算!$G$2:$G$801, 0)+1)), "")</f>
        <v/>
      </c>
      <c r="J462" s="15">
        <f>IFERROR(IF(AND(INDEX(輔助計算!$D:$D, (MATCH(461, 輔助計算!$G$2:$G$801, 0)+1))&lt;&gt;"", INDEX(ERP資料!$G:$G, (MATCH(461, 輔助計算!$G$2:$G$801, 0)+1))&lt;&gt;""), TRIM(IF(INT(INDEX(輔助計算!$D:$D, (MATCH(461, 輔助計算!$G$2:$G$801, 0)+1))/IF(INDEX(ERP資料!$G:$G, (MATCH(461, 輔助計算!$G$2:$G$801, 0)+1))&lt;100, IF(INDEX(ERP資料!$G:$G, (MATCH(461, 輔助計算!$G$2:$G$801, 0)+1))&lt;=31,3,IF(INDEX(ERP資料!$G:$G, (MATCH(461, 輔助計算!$G$2:$G$801, 0)+1))&lt;=46.5,2,1)), IF(INDEX(ERP資料!$G:$G, (MATCH(461, 輔助計算!$G$2:$G$801, 0)+1))&lt;=790,3,IF(INDEX(ERP資料!$G:$G, (MATCH(461, 輔助計算!$G$2:$G$801, 0)+1))&lt;=1181,2,1))))&gt;0, IF(IF(INDEX(ERP資料!$G:$G, (MATCH(461, 輔助計算!$G$2:$G$801, 0)+1))&lt;100, IF(INDEX(ERP資料!$G:$G, (MATCH(461, 輔助計算!$G$2:$G$801, 0)+1))&lt;=31,3,IF(INDEX(ERP資料!$G:$G, (MATCH(461, 輔助計算!$G$2:$G$801, 0)+1))&lt;=46.5,2,1)), IF(INDEX(ERP資料!$G:$G, (MATCH(461, 輔助計算!$G$2:$G$801, 0)+1))&lt;=790,3,IF(INDEX(ERP資料!$G:$G, (MATCH(461, 輔助計算!$G$2:$G$801, 0)+1))&lt;=1181,2,1)))=1,TEXT(INDEX(ERP資料!$G:$G, (MATCH(461, 輔助計算!$G$2:$G$801, 0)+1)),"0.##"),IF(IF(INDEX(ERP資料!$G:$G, (MATCH(461, 輔助計算!$G$2:$G$801, 0)+1))&lt;100, IF(INDEX(ERP資料!$G:$G, (MATCH(461, 輔助計算!$G$2:$G$801, 0)+1))&lt;=31,3,IF(INDEX(ERP資料!$G:$G, (MATCH(461, 輔助計算!$G$2:$G$801, 0)+1))&lt;=46.5,2,1)), IF(INDEX(ERP資料!$G:$G, (MATCH(461, 輔助計算!$G$2:$G$801, 0)+1))&lt;=790,3,IF(INDEX(ERP資料!$G:$G, (MATCH(461, 輔助計算!$G$2:$G$801, 0)+1))&lt;=1181,2,1)))=2,TEXT(INDEX(ERP資料!$G:$G, (MATCH(461, 輔助計算!$G$2:$G$801, 0)+1)),"0.##")&amp;"+"&amp;TEXT(INDEX(ERP資料!$G:$G, (MATCH(461, 輔助計算!$G$2:$G$801, 0)+1)),"0.##"),TEXT(INDEX(ERP資料!$G:$G, (MATCH(461, 輔助計算!$G$2:$G$801, 0)+1)),"0.##")&amp;"+"&amp;TEXT(INDEX(ERP資料!$G:$G, (MATCH(461, 輔助計算!$G$2:$G$801, 0)+1)),"0.##")&amp;"+"&amp;TEXT(INDEX(ERP資料!$G:$G, (MATCH(461, 輔助計算!$G$2:$G$801, 0)+1)),"0.##")))&amp;"-"&amp;INT(INDEX(輔助計算!$D:$D, (MATCH(461, 輔助計算!$G$2:$G$801, 0)+1))/IF(INDEX(ERP資料!$G:$G, (MATCH(461, 輔助計算!$G$2:$G$801, 0)+1))&lt;100, IF(INDEX(ERP資料!$G:$G, (MATCH(461, 輔助計算!$G$2:$G$801, 0)+1))&lt;=31,3,IF(INDEX(ERP資料!$G:$G, (MATCH(461, 輔助計算!$G$2:$G$801, 0)+1))&lt;=46.5,2,1)), IF(INDEX(ERP資料!$G:$G, (MATCH(461, 輔助計算!$G$2:$G$801, 0)+1))&lt;=790,3,IF(INDEX(ERP資料!$G:$G, (MATCH(461, 輔助計算!$G$2:$G$801, 0)+1))&lt;=1181,2,1)))), "")&amp;IF(AND(IF(INT(INDEX(輔助計算!$D:$D, (MATCH(461, 輔助計算!$G$2:$G$801, 0)+1))/IF(INDEX(ERP資料!$G:$G, (MATCH(461, 輔助計算!$G$2:$G$801, 0)+1))&lt;100, IF(INDEX(ERP資料!$G:$G, (MATCH(461, 輔助計算!$G$2:$G$801, 0)+1))&lt;=31,3,IF(INDEX(ERP資料!$G:$G, (MATCH(461, 輔助計算!$G$2:$G$801, 0)+1))&lt;=46.5,2,1)), IF(INDEX(ERP資料!$G:$G, (MATCH(461, 輔助計算!$G$2:$G$801, 0)+1))&lt;=790,3,IF(INDEX(ERP資料!$G:$G, (MATCH(461, 輔助計算!$G$2:$G$801, 0)+1))&lt;=1181,2,1))))&gt;0, IF(IF(INDEX(ERP資料!$G:$G, (MATCH(461, 輔助計算!$G$2:$G$801, 0)+1))&lt;100, IF(INDEX(ERP資料!$G:$G, (MATCH(461, 輔助計算!$G$2:$G$801, 0)+1))&lt;=31,3,IF(INDEX(ERP資料!$G:$G, (MATCH(461, 輔助計算!$G$2:$G$801, 0)+1))&lt;=46.5,2,1)), IF(INDEX(ERP資料!$G:$G, (MATCH(461, 輔助計算!$G$2:$G$801, 0)+1))&lt;=790,3,IF(INDEX(ERP資料!$G:$G, (MATCH(461, 輔助計算!$G$2:$G$801, 0)+1))&lt;=1181,2,1)))=1,TEXT(INDEX(ERP資料!$G:$G, (MATCH(461, 輔助計算!$G$2:$G$801, 0)+1)),"0.##"),IF(IF(INDEX(ERP資料!$G:$G, (MATCH(461, 輔助計算!$G$2:$G$801, 0)+1))&lt;100, IF(INDEX(ERP資料!$G:$G, (MATCH(461, 輔助計算!$G$2:$G$801, 0)+1))&lt;=31,3,IF(INDEX(ERP資料!$G:$G, (MATCH(461, 輔助計算!$G$2:$G$801, 0)+1))&lt;=46.5,2,1)), IF(INDEX(ERP資料!$G:$G, (MATCH(461, 輔助計算!$G$2:$G$801, 0)+1))&lt;=790,3,IF(INDEX(ERP資料!$G:$G, (MATCH(461, 輔助計算!$G$2:$G$801, 0)+1))&lt;=1181,2,1)))=2,TEXT(INDEX(ERP資料!$G:$G, (MATCH(461, 輔助計算!$G$2:$G$801, 0)+1)),"0.##")&amp;"+"&amp;TEXT(INDEX(ERP資料!$G:$G, (MATCH(461, 輔助計算!$G$2:$G$801, 0)+1)),"0.##"),TEXT(INDEX(ERP資料!$G:$G, (MATCH(461, 輔助計算!$G$2:$G$801, 0)+1)),"0.##")&amp;"+"&amp;TEXT(INDEX(ERP資料!$G:$G, (MATCH(461, 輔助計算!$G$2:$G$801, 0)+1)),"0.##")&amp;"+"&amp;TEXT(INDEX(ERP資料!$G:$G, (MATCH(461, 輔助計算!$G$2:$G$801, 0)+1)),"0.##")))&amp;"-"&amp;INT(INDEX(輔助計算!$D:$D, (MATCH(461, 輔助計算!$G$2:$G$801, 0)+1))/IF(INDEX(ERP資料!$G:$G, (MATCH(461, 輔助計算!$G$2:$G$801, 0)+1))&lt;100, IF(INDEX(ERP資料!$G:$G, (MATCH(461, 輔助計算!$G$2:$G$801, 0)+1))&lt;=31,3,IF(INDEX(ERP資料!$G:$G, (MATCH(461, 輔助計算!$G$2:$G$801, 0)+1))&lt;=46.5,2,1)), IF(INDEX(ERP資料!$G:$G, (MATCH(461, 輔助計算!$G$2:$G$801, 0)+1))&lt;=790,3,IF(INDEX(ERP資料!$G:$G, (MATCH(461, 輔助計算!$G$2:$G$801, 0)+1))&lt;=1181,2,1)))), "")&lt;&gt;"",IF(MOD(INDEX(輔助計算!$D:$D, (MATCH(461, 輔助計算!$G$2:$G$801, 0)+1)),IF(INDEX(ERP資料!$G:$G, (MATCH(461, 輔助計算!$G$2:$G$801, 0)+1))&lt;100, IF(INDEX(ERP資料!$G:$G, (MATCH(461, 輔助計算!$G$2:$G$801, 0)+1))&lt;=31,3,IF(INDEX(ERP資料!$G:$G, (MATCH(461, 輔助計算!$G$2:$G$801, 0)+1))&lt;=46.5,2,1)), IF(INDEX(ERP資料!$G:$G, (MATCH(461, 輔助計算!$G$2:$G$801, 0)+1))&lt;=790,3,IF(INDEX(ERP資料!$G:$G, (MATCH(461, 輔助計算!$G$2:$G$801, 0)+1))&lt;=1181,2,1))))=0,"",IF(MOD(INDEX(輔助計算!$D:$D, (MATCH(461, 輔助計算!$G$2:$G$801, 0)+1)),IF(INDEX(ERP資料!$G:$G, (MATCH(461, 輔助計算!$G$2:$G$801, 0)+1))&lt;100, IF(INDEX(ERP資料!$G:$G, (MATCH(461, 輔助計算!$G$2:$G$801, 0)+1))&lt;=31,3,IF(INDEX(ERP資料!$G:$G, (MATCH(461, 輔助計算!$G$2:$G$801, 0)+1))&lt;=46.5,2,1)), IF(INDEX(ERP資料!$G:$G, (MATCH(461, 輔助計算!$G$2:$G$801, 0)+1))&lt;=790,3,IF(INDEX(ERP資料!$G:$G, (MATCH(461, 輔助計算!$G$2:$G$801, 0)+1))&lt;=1181,2,1))))=0,"",IF(MOD(INDEX(輔助計算!$D:$D, (MATCH(461, 輔助計算!$G$2:$G$801, 0)+1)),IF(INDEX(ERP資料!$G:$G, (MATCH(461, 輔助計算!$G$2:$G$801, 0)+1))&lt;100, IF(INDEX(ERP資料!$G:$G, (MATCH(461, 輔助計算!$G$2:$G$801, 0)+1))&lt;=31,3,IF(INDEX(ERP資料!$G:$G, (MATCH(461, 輔助計算!$G$2:$G$801, 0)+1))&lt;=46.5,2,1)), IF(INDEX(ERP資料!$G:$G, (MATCH(461, 輔助計算!$G$2:$G$801, 0)+1))&lt;=790,3,IF(INDEX(ERP資料!$G:$G, (MATCH(461, 輔助計算!$G$2:$G$801, 0)+1))&lt;=1181,2,1))))=1,TEXT(INDEX(ERP資料!$G:$G, (MATCH(461, 輔助計算!$G$2:$G$801, 0)+1)),"0.##"),IF(MOD(INDEX(輔助計算!$D:$D, (MATCH(461, 輔助計算!$G$2:$G$801, 0)+1)),IF(INDEX(ERP資料!$G:$G, (MATCH(461, 輔助計算!$G$2:$G$801, 0)+1))&lt;100, IF(INDEX(ERP資料!$G:$G, (MATCH(461, 輔助計算!$G$2:$G$801, 0)+1))&lt;=31,3,IF(INDEX(ERP資料!$G:$G, (MATCH(461, 輔助計算!$G$2:$G$801, 0)+1))&lt;=46.5,2,1)), IF(INDEX(ERP資料!$G:$G, (MATCH(461, 輔助計算!$G$2:$G$801, 0)+1))&lt;=790,3,IF(INDEX(ERP資料!$G:$G, (MATCH(461, 輔助計算!$G$2:$G$801, 0)+1))&lt;=1181,2,1))))=2,TEXT(INDEX(ERP資料!$G:$G, (MATCH(461, 輔助計算!$G$2:$G$801, 0)+1)),"0.##")&amp;"+"&amp;TEXT(INDEX(ERP資料!$G:$G, (MATCH(461, 輔助計算!$G$2:$G$801, 0)+1)),"0.##"),TEXT(INDEX(ERP資料!$G:$G, (MATCH(461, 輔助計算!$G$2:$G$801, 0)+1)),"0.##")&amp;"+"&amp;TEXT(INDEX(ERP資料!$G:$G, (MATCH(461, 輔助計算!$G$2:$G$801, 0)+1)),"0.##")&amp;"+"&amp;TEXT(INDEX(ERP資料!$G:$G, (MATCH(461, 輔助計算!$G$2:$G$801, 0)+1)),"0.##"))))&amp;"-1")&lt;&gt;""),"  ","")&amp;IF(MOD(INDEX(輔助計算!$D:$D, (MATCH(461, 輔助計算!$G$2:$G$801, 0)+1)),IF(INDEX(ERP資料!$G:$G, (MATCH(461, 輔助計算!$G$2:$G$801, 0)+1))&lt;100, IF(INDEX(ERP資料!$G:$G, (MATCH(461, 輔助計算!$G$2:$G$801, 0)+1))&lt;=31,3,IF(INDEX(ERP資料!$G:$G, (MATCH(461, 輔助計算!$G$2:$G$801, 0)+1))&lt;=46.5,2,1)), IF(INDEX(ERP資料!$G:$G, (MATCH(461, 輔助計算!$G$2:$G$801, 0)+1))&lt;=790,3,IF(INDEX(ERP資料!$G:$G, (MATCH(461, 輔助計算!$G$2:$G$801, 0)+1))&lt;=1181,2,1))))=0,"",IF(MOD(INDEX(輔助計算!$D:$D, (MATCH(461, 輔助計算!$G$2:$G$801, 0)+1)),IF(INDEX(ERP資料!$G:$G, (MATCH(461, 輔助計算!$G$2:$G$801, 0)+1))&lt;100, IF(INDEX(ERP資料!$G:$G, (MATCH(461, 輔助計算!$G$2:$G$801, 0)+1))&lt;=31,3,IF(INDEX(ERP資料!$G:$G, (MATCH(461, 輔助計算!$G$2:$G$801, 0)+1))&lt;=46.5,2,1)), IF(INDEX(ERP資料!$G:$G, (MATCH(461, 輔助計算!$G$2:$G$801, 0)+1))&lt;=790,3,IF(INDEX(ERP資料!$G:$G, (MATCH(461, 輔助計算!$G$2:$G$801, 0)+1))&lt;=1181,2,1))))=0,"",IF(MOD(INDEX(輔助計算!$D:$D, (MATCH(461, 輔助計算!$G$2:$G$801, 0)+1)),IF(INDEX(ERP資料!$G:$G, (MATCH(461, 輔助計算!$G$2:$G$801, 0)+1))&lt;100, IF(INDEX(ERP資料!$G:$G, (MATCH(461, 輔助計算!$G$2:$G$801, 0)+1))&lt;=31,3,IF(INDEX(ERP資料!$G:$G, (MATCH(461, 輔助計算!$G$2:$G$801, 0)+1))&lt;=46.5,2,1)), IF(INDEX(ERP資料!$G:$G, (MATCH(461, 輔助計算!$G$2:$G$801, 0)+1))&lt;=790,3,IF(INDEX(ERP資料!$G:$G, (MATCH(461, 輔助計算!$G$2:$G$801, 0)+1))&lt;=1181,2,1))))=1,TEXT(INDEX(ERP資料!$G:$G, (MATCH(461, 輔助計算!$G$2:$G$801, 0)+1)),"0.##"),IF(MOD(INDEX(輔助計算!$D:$D, (MATCH(461, 輔助計算!$G$2:$G$801, 0)+1)),IF(INDEX(ERP資料!$G:$G, (MATCH(461, 輔助計算!$G$2:$G$801, 0)+1))&lt;100, IF(INDEX(ERP資料!$G:$G, (MATCH(461, 輔助計算!$G$2:$G$801, 0)+1))&lt;=31,3,IF(INDEX(ERP資料!$G:$G, (MATCH(461, 輔助計算!$G$2:$G$801, 0)+1))&lt;=46.5,2,1)), IF(INDEX(ERP資料!$G:$G, (MATCH(461, 輔助計算!$G$2:$G$801, 0)+1))&lt;=790,3,IF(INDEX(ERP資料!$G:$G, (MATCH(461, 輔助計算!$G$2:$G$801, 0)+1))&lt;=1181,2,1))))=2,TEXT(INDEX(ERP資料!$G:$G, (MATCH(461, 輔助計算!$G$2:$G$801, 0)+1)),"0.##")&amp;"+"&amp;TEXT(INDEX(ERP資料!$G:$G, (MATCH(461, 輔助計算!$G$2:$G$801, 0)+1)),"0.##"),TEXT(INDEX(ERP資料!$G:$G, (MATCH(461, 輔助計算!$G$2:$G$801, 0)+1)),"0.##")&amp;"+"&amp;TEXT(INDEX(ERP資料!$G:$G, (MATCH(461, 輔助計算!$G$2:$G$801, 0)+1)),"0.##")&amp;"+"&amp;TEXT(INDEX(ERP資料!$G:$G, (MATCH(461, 輔助計算!$G$2:$G$801, 0)+1)),"0.##"))))&amp;"-1")), ""), "")</f>
        <v/>
      </c>
      <c r="K462" s="16" t="n"/>
      <c r="L462" s="14">
        <f>IFERROR(IF(AND(IFERROR(INDEX(ERP資料!$A:$A, (MATCH(461, 輔助計算!$G$2:$G$801, 0)+1)), "")&lt;&gt;"", IFERROR(INDEX(ERP資料!$A:$A, (MATCH(461, 輔助計算!$G$2:$G$801, 0)+1)), "")&lt;&gt;IFERROR(INDEX(ERP資料!$A:$A, MATCH(460, 輔助計算!$G$2:$G$801, 0)+1), "")), INDEX(ERP資料!$B:$B, (MATCH(461, 輔助計算!$G$2:$G$801, 0)+1)), ""), "")</f>
        <v/>
      </c>
      <c r="M462" s="17" t="n"/>
    </row>
    <row r="463">
      <c r="A463" s="10">
        <f>IFERROR(IF(AND(IFERROR(INDEX(ERP資料!$A:$A, (MATCH(462, 輔助計算!$G$2:$G$801, 0)+1)), "")&lt;&gt;"", IFERROR(INDEX(ERP資料!$A:$A, (MATCH(462, 輔助計算!$G$2:$G$801, 0)+1)), "")&lt;&gt;IFERROR(INDEX(ERP資料!$A:$A, MATCH(461, 輔助計算!$G$2:$G$801, 0)+1), "")), IFERROR(INDEX(ERP資料!$A:$A, (MATCH(462, 輔助計算!$G$2:$G$801, 0)+1)), ""), ""), "")</f>
        <v/>
      </c>
      <c r="B463" s="10">
        <f>IFERROR(IF(AND(IFERROR(INDEX(ERP資料!$A:$A, (MATCH(462, 輔助計算!$G$2:$G$801, 0)+1)), "")&lt;&gt;"", IFERROR(INDEX(ERP資料!$A:$A, (MATCH(462, 輔助計算!$G$2:$G$801, 0)+1)), "")&lt;&gt;IFERROR(INDEX(ERP資料!$A:$A, MATCH(461, 輔助計算!$G$2:$G$801, 0)+1), "")), INDEX(ERP資料!$S:$S, (MATCH(462, 輔助計算!$G$2:$G$801, 0)+1)), ""), "")</f>
        <v/>
      </c>
      <c r="C463" s="19">
        <f>IFERROR(IF(AND(IFERROR(INDEX(ERP資料!$A:$A, (MATCH(462, 輔助計算!$G$2:$G$801, 0)+1)), "")&lt;&gt;"", IFERROR(INDEX(ERP資料!$A:$A, (MATCH(462, 輔助計算!$G$2:$G$801, 0)+1)), "")&lt;&gt;IFERROR(INDEX(ERP資料!$A:$A, MATCH(461, 輔助計算!$G$2:$G$801, 0)+1), "")), IFERROR(VLOOKUP(LEFT(INDEX(ERP資料!$S:$S, (MATCH(462, 輔助計算!$G$2:$G$801, 0)+1)), 4), 紙管對照表!$A:$C, 3, FALSE), ""), ""), "")</f>
        <v/>
      </c>
      <c r="D463" s="16" t="n"/>
      <c r="E463" s="10">
        <f>IFERROR(IF(INDEX(ERP資料!$H:$H, (MATCH(462, 輔助計算!$G$2:$G$801, 0)+1))="","",INDEX(ERP資料!$H:$H, (MATCH(462, 輔助計算!$G$2:$G$801, 0)+1))), "")</f>
        <v/>
      </c>
      <c r="F463" s="10">
        <f>IFERROR(IF(INDEX(ERP資料!$E:$E, (MATCH(462, 輔助計算!$G$2:$G$801, 0)+1))="","",TRIM(INDEX(ERP資料!$E:$E, (MATCH(462, 輔助計算!$G$2:$G$801, 0)+1)))), "")</f>
        <v/>
      </c>
      <c r="G463" s="10">
        <f>IFERROR(IF(INDEX(ERP資料!$F:$F, (MATCH(462, 輔助計算!$G$2:$G$801, 0)+1))="","",INDEX(ERP資料!$F:$F, (MATCH(462, 輔助計算!$G$2:$G$801, 0)+1))), "")</f>
        <v/>
      </c>
      <c r="H463" s="10">
        <f>IFERROR(IF(INDEX(ERP資料!$G:$G, (MATCH(462, 輔助計算!$G$2:$G$801, 0)+1))="","",INDEX(ERP資料!$G:$G, (MATCH(462, 輔助計算!$G$2:$G$801, 0)+1))), "")</f>
        <v/>
      </c>
      <c r="I463" s="15">
        <f>IFERROR(INDEX(輔助計算!$D:$D, (MATCH(462, 輔助計算!$G$2:$G$801, 0)+1)), "")</f>
        <v/>
      </c>
      <c r="J463" s="15">
        <f>IFERROR(IF(AND(INDEX(輔助計算!$D:$D, (MATCH(462, 輔助計算!$G$2:$G$801, 0)+1))&lt;&gt;"", INDEX(ERP資料!$G:$G, (MATCH(462, 輔助計算!$G$2:$G$801, 0)+1))&lt;&gt;""), TRIM(IF(INT(INDEX(輔助計算!$D:$D, (MATCH(462, 輔助計算!$G$2:$G$801, 0)+1))/IF(INDEX(ERP資料!$G:$G, (MATCH(462, 輔助計算!$G$2:$G$801, 0)+1))&lt;100, IF(INDEX(ERP資料!$G:$G, (MATCH(462, 輔助計算!$G$2:$G$801, 0)+1))&lt;=31,3,IF(INDEX(ERP資料!$G:$G, (MATCH(462, 輔助計算!$G$2:$G$801, 0)+1))&lt;=46.5,2,1)), IF(INDEX(ERP資料!$G:$G, (MATCH(462, 輔助計算!$G$2:$G$801, 0)+1))&lt;=790,3,IF(INDEX(ERP資料!$G:$G, (MATCH(462, 輔助計算!$G$2:$G$801, 0)+1))&lt;=1181,2,1))))&gt;0, IF(IF(INDEX(ERP資料!$G:$G, (MATCH(462, 輔助計算!$G$2:$G$801, 0)+1))&lt;100, IF(INDEX(ERP資料!$G:$G, (MATCH(462, 輔助計算!$G$2:$G$801, 0)+1))&lt;=31,3,IF(INDEX(ERP資料!$G:$G, (MATCH(462, 輔助計算!$G$2:$G$801, 0)+1))&lt;=46.5,2,1)), IF(INDEX(ERP資料!$G:$G, (MATCH(462, 輔助計算!$G$2:$G$801, 0)+1))&lt;=790,3,IF(INDEX(ERP資料!$G:$G, (MATCH(462, 輔助計算!$G$2:$G$801, 0)+1))&lt;=1181,2,1)))=1,TEXT(INDEX(ERP資料!$G:$G, (MATCH(462, 輔助計算!$G$2:$G$801, 0)+1)),"0.##"),IF(IF(INDEX(ERP資料!$G:$G, (MATCH(462, 輔助計算!$G$2:$G$801, 0)+1))&lt;100, IF(INDEX(ERP資料!$G:$G, (MATCH(462, 輔助計算!$G$2:$G$801, 0)+1))&lt;=31,3,IF(INDEX(ERP資料!$G:$G, (MATCH(462, 輔助計算!$G$2:$G$801, 0)+1))&lt;=46.5,2,1)), IF(INDEX(ERP資料!$G:$G, (MATCH(462, 輔助計算!$G$2:$G$801, 0)+1))&lt;=790,3,IF(INDEX(ERP資料!$G:$G, (MATCH(462, 輔助計算!$G$2:$G$801, 0)+1))&lt;=1181,2,1)))=2,TEXT(INDEX(ERP資料!$G:$G, (MATCH(462, 輔助計算!$G$2:$G$801, 0)+1)),"0.##")&amp;"+"&amp;TEXT(INDEX(ERP資料!$G:$G, (MATCH(462, 輔助計算!$G$2:$G$801, 0)+1)),"0.##"),TEXT(INDEX(ERP資料!$G:$G, (MATCH(462, 輔助計算!$G$2:$G$801, 0)+1)),"0.##")&amp;"+"&amp;TEXT(INDEX(ERP資料!$G:$G, (MATCH(462, 輔助計算!$G$2:$G$801, 0)+1)),"0.##")&amp;"+"&amp;TEXT(INDEX(ERP資料!$G:$G, (MATCH(462, 輔助計算!$G$2:$G$801, 0)+1)),"0.##")))&amp;"-"&amp;INT(INDEX(輔助計算!$D:$D, (MATCH(462, 輔助計算!$G$2:$G$801, 0)+1))/IF(INDEX(ERP資料!$G:$G, (MATCH(462, 輔助計算!$G$2:$G$801, 0)+1))&lt;100, IF(INDEX(ERP資料!$G:$G, (MATCH(462, 輔助計算!$G$2:$G$801, 0)+1))&lt;=31,3,IF(INDEX(ERP資料!$G:$G, (MATCH(462, 輔助計算!$G$2:$G$801, 0)+1))&lt;=46.5,2,1)), IF(INDEX(ERP資料!$G:$G, (MATCH(462, 輔助計算!$G$2:$G$801, 0)+1))&lt;=790,3,IF(INDEX(ERP資料!$G:$G, (MATCH(462, 輔助計算!$G$2:$G$801, 0)+1))&lt;=1181,2,1)))), "")&amp;IF(AND(IF(INT(INDEX(輔助計算!$D:$D, (MATCH(462, 輔助計算!$G$2:$G$801, 0)+1))/IF(INDEX(ERP資料!$G:$G, (MATCH(462, 輔助計算!$G$2:$G$801, 0)+1))&lt;100, IF(INDEX(ERP資料!$G:$G, (MATCH(462, 輔助計算!$G$2:$G$801, 0)+1))&lt;=31,3,IF(INDEX(ERP資料!$G:$G, (MATCH(462, 輔助計算!$G$2:$G$801, 0)+1))&lt;=46.5,2,1)), IF(INDEX(ERP資料!$G:$G, (MATCH(462, 輔助計算!$G$2:$G$801, 0)+1))&lt;=790,3,IF(INDEX(ERP資料!$G:$G, (MATCH(462, 輔助計算!$G$2:$G$801, 0)+1))&lt;=1181,2,1))))&gt;0, IF(IF(INDEX(ERP資料!$G:$G, (MATCH(462, 輔助計算!$G$2:$G$801, 0)+1))&lt;100, IF(INDEX(ERP資料!$G:$G, (MATCH(462, 輔助計算!$G$2:$G$801, 0)+1))&lt;=31,3,IF(INDEX(ERP資料!$G:$G, (MATCH(462, 輔助計算!$G$2:$G$801, 0)+1))&lt;=46.5,2,1)), IF(INDEX(ERP資料!$G:$G, (MATCH(462, 輔助計算!$G$2:$G$801, 0)+1))&lt;=790,3,IF(INDEX(ERP資料!$G:$G, (MATCH(462, 輔助計算!$G$2:$G$801, 0)+1))&lt;=1181,2,1)))=1,TEXT(INDEX(ERP資料!$G:$G, (MATCH(462, 輔助計算!$G$2:$G$801, 0)+1)),"0.##"),IF(IF(INDEX(ERP資料!$G:$G, (MATCH(462, 輔助計算!$G$2:$G$801, 0)+1))&lt;100, IF(INDEX(ERP資料!$G:$G, (MATCH(462, 輔助計算!$G$2:$G$801, 0)+1))&lt;=31,3,IF(INDEX(ERP資料!$G:$G, (MATCH(462, 輔助計算!$G$2:$G$801, 0)+1))&lt;=46.5,2,1)), IF(INDEX(ERP資料!$G:$G, (MATCH(462, 輔助計算!$G$2:$G$801, 0)+1))&lt;=790,3,IF(INDEX(ERP資料!$G:$G, (MATCH(462, 輔助計算!$G$2:$G$801, 0)+1))&lt;=1181,2,1)))=2,TEXT(INDEX(ERP資料!$G:$G, (MATCH(462, 輔助計算!$G$2:$G$801, 0)+1)),"0.##")&amp;"+"&amp;TEXT(INDEX(ERP資料!$G:$G, (MATCH(462, 輔助計算!$G$2:$G$801, 0)+1)),"0.##"),TEXT(INDEX(ERP資料!$G:$G, (MATCH(462, 輔助計算!$G$2:$G$801, 0)+1)),"0.##")&amp;"+"&amp;TEXT(INDEX(ERP資料!$G:$G, (MATCH(462, 輔助計算!$G$2:$G$801, 0)+1)),"0.##")&amp;"+"&amp;TEXT(INDEX(ERP資料!$G:$G, (MATCH(462, 輔助計算!$G$2:$G$801, 0)+1)),"0.##")))&amp;"-"&amp;INT(INDEX(輔助計算!$D:$D, (MATCH(462, 輔助計算!$G$2:$G$801, 0)+1))/IF(INDEX(ERP資料!$G:$G, (MATCH(462, 輔助計算!$G$2:$G$801, 0)+1))&lt;100, IF(INDEX(ERP資料!$G:$G, (MATCH(462, 輔助計算!$G$2:$G$801, 0)+1))&lt;=31,3,IF(INDEX(ERP資料!$G:$G, (MATCH(462, 輔助計算!$G$2:$G$801, 0)+1))&lt;=46.5,2,1)), IF(INDEX(ERP資料!$G:$G, (MATCH(462, 輔助計算!$G$2:$G$801, 0)+1))&lt;=790,3,IF(INDEX(ERP資料!$G:$G, (MATCH(462, 輔助計算!$G$2:$G$801, 0)+1))&lt;=1181,2,1)))), "")&lt;&gt;"",IF(MOD(INDEX(輔助計算!$D:$D, (MATCH(462, 輔助計算!$G$2:$G$801, 0)+1)),IF(INDEX(ERP資料!$G:$G, (MATCH(462, 輔助計算!$G$2:$G$801, 0)+1))&lt;100, IF(INDEX(ERP資料!$G:$G, (MATCH(462, 輔助計算!$G$2:$G$801, 0)+1))&lt;=31,3,IF(INDEX(ERP資料!$G:$G, (MATCH(462, 輔助計算!$G$2:$G$801, 0)+1))&lt;=46.5,2,1)), IF(INDEX(ERP資料!$G:$G, (MATCH(462, 輔助計算!$G$2:$G$801, 0)+1))&lt;=790,3,IF(INDEX(ERP資料!$G:$G, (MATCH(462, 輔助計算!$G$2:$G$801, 0)+1))&lt;=1181,2,1))))=0,"",IF(MOD(INDEX(輔助計算!$D:$D, (MATCH(462, 輔助計算!$G$2:$G$801, 0)+1)),IF(INDEX(ERP資料!$G:$G, (MATCH(462, 輔助計算!$G$2:$G$801, 0)+1))&lt;100, IF(INDEX(ERP資料!$G:$G, (MATCH(462, 輔助計算!$G$2:$G$801, 0)+1))&lt;=31,3,IF(INDEX(ERP資料!$G:$G, (MATCH(462, 輔助計算!$G$2:$G$801, 0)+1))&lt;=46.5,2,1)), IF(INDEX(ERP資料!$G:$G, (MATCH(462, 輔助計算!$G$2:$G$801, 0)+1))&lt;=790,3,IF(INDEX(ERP資料!$G:$G, (MATCH(462, 輔助計算!$G$2:$G$801, 0)+1))&lt;=1181,2,1))))=0,"",IF(MOD(INDEX(輔助計算!$D:$D, (MATCH(462, 輔助計算!$G$2:$G$801, 0)+1)),IF(INDEX(ERP資料!$G:$G, (MATCH(462, 輔助計算!$G$2:$G$801, 0)+1))&lt;100, IF(INDEX(ERP資料!$G:$G, (MATCH(462, 輔助計算!$G$2:$G$801, 0)+1))&lt;=31,3,IF(INDEX(ERP資料!$G:$G, (MATCH(462, 輔助計算!$G$2:$G$801, 0)+1))&lt;=46.5,2,1)), IF(INDEX(ERP資料!$G:$G, (MATCH(462, 輔助計算!$G$2:$G$801, 0)+1))&lt;=790,3,IF(INDEX(ERP資料!$G:$G, (MATCH(462, 輔助計算!$G$2:$G$801, 0)+1))&lt;=1181,2,1))))=1,TEXT(INDEX(ERP資料!$G:$G, (MATCH(462, 輔助計算!$G$2:$G$801, 0)+1)),"0.##"),IF(MOD(INDEX(輔助計算!$D:$D, (MATCH(462, 輔助計算!$G$2:$G$801, 0)+1)),IF(INDEX(ERP資料!$G:$G, (MATCH(462, 輔助計算!$G$2:$G$801, 0)+1))&lt;100, IF(INDEX(ERP資料!$G:$G, (MATCH(462, 輔助計算!$G$2:$G$801, 0)+1))&lt;=31,3,IF(INDEX(ERP資料!$G:$G, (MATCH(462, 輔助計算!$G$2:$G$801, 0)+1))&lt;=46.5,2,1)), IF(INDEX(ERP資料!$G:$G, (MATCH(462, 輔助計算!$G$2:$G$801, 0)+1))&lt;=790,3,IF(INDEX(ERP資料!$G:$G, (MATCH(462, 輔助計算!$G$2:$G$801, 0)+1))&lt;=1181,2,1))))=2,TEXT(INDEX(ERP資料!$G:$G, (MATCH(462, 輔助計算!$G$2:$G$801, 0)+1)),"0.##")&amp;"+"&amp;TEXT(INDEX(ERP資料!$G:$G, (MATCH(462, 輔助計算!$G$2:$G$801, 0)+1)),"0.##"),TEXT(INDEX(ERP資料!$G:$G, (MATCH(462, 輔助計算!$G$2:$G$801, 0)+1)),"0.##")&amp;"+"&amp;TEXT(INDEX(ERP資料!$G:$G, (MATCH(462, 輔助計算!$G$2:$G$801, 0)+1)),"0.##")&amp;"+"&amp;TEXT(INDEX(ERP資料!$G:$G, (MATCH(462, 輔助計算!$G$2:$G$801, 0)+1)),"0.##"))))&amp;"-1")&lt;&gt;""),"  ","")&amp;IF(MOD(INDEX(輔助計算!$D:$D, (MATCH(462, 輔助計算!$G$2:$G$801, 0)+1)),IF(INDEX(ERP資料!$G:$G, (MATCH(462, 輔助計算!$G$2:$G$801, 0)+1))&lt;100, IF(INDEX(ERP資料!$G:$G, (MATCH(462, 輔助計算!$G$2:$G$801, 0)+1))&lt;=31,3,IF(INDEX(ERP資料!$G:$G, (MATCH(462, 輔助計算!$G$2:$G$801, 0)+1))&lt;=46.5,2,1)), IF(INDEX(ERP資料!$G:$G, (MATCH(462, 輔助計算!$G$2:$G$801, 0)+1))&lt;=790,3,IF(INDEX(ERP資料!$G:$G, (MATCH(462, 輔助計算!$G$2:$G$801, 0)+1))&lt;=1181,2,1))))=0,"",IF(MOD(INDEX(輔助計算!$D:$D, (MATCH(462, 輔助計算!$G$2:$G$801, 0)+1)),IF(INDEX(ERP資料!$G:$G, (MATCH(462, 輔助計算!$G$2:$G$801, 0)+1))&lt;100, IF(INDEX(ERP資料!$G:$G, (MATCH(462, 輔助計算!$G$2:$G$801, 0)+1))&lt;=31,3,IF(INDEX(ERP資料!$G:$G, (MATCH(462, 輔助計算!$G$2:$G$801, 0)+1))&lt;=46.5,2,1)), IF(INDEX(ERP資料!$G:$G, (MATCH(462, 輔助計算!$G$2:$G$801, 0)+1))&lt;=790,3,IF(INDEX(ERP資料!$G:$G, (MATCH(462, 輔助計算!$G$2:$G$801, 0)+1))&lt;=1181,2,1))))=0,"",IF(MOD(INDEX(輔助計算!$D:$D, (MATCH(462, 輔助計算!$G$2:$G$801, 0)+1)),IF(INDEX(ERP資料!$G:$G, (MATCH(462, 輔助計算!$G$2:$G$801, 0)+1))&lt;100, IF(INDEX(ERP資料!$G:$G, (MATCH(462, 輔助計算!$G$2:$G$801, 0)+1))&lt;=31,3,IF(INDEX(ERP資料!$G:$G, (MATCH(462, 輔助計算!$G$2:$G$801, 0)+1))&lt;=46.5,2,1)), IF(INDEX(ERP資料!$G:$G, (MATCH(462, 輔助計算!$G$2:$G$801, 0)+1))&lt;=790,3,IF(INDEX(ERP資料!$G:$G, (MATCH(462, 輔助計算!$G$2:$G$801, 0)+1))&lt;=1181,2,1))))=1,TEXT(INDEX(ERP資料!$G:$G, (MATCH(462, 輔助計算!$G$2:$G$801, 0)+1)),"0.##"),IF(MOD(INDEX(輔助計算!$D:$D, (MATCH(462, 輔助計算!$G$2:$G$801, 0)+1)),IF(INDEX(ERP資料!$G:$G, (MATCH(462, 輔助計算!$G$2:$G$801, 0)+1))&lt;100, IF(INDEX(ERP資料!$G:$G, (MATCH(462, 輔助計算!$G$2:$G$801, 0)+1))&lt;=31,3,IF(INDEX(ERP資料!$G:$G, (MATCH(462, 輔助計算!$G$2:$G$801, 0)+1))&lt;=46.5,2,1)), IF(INDEX(ERP資料!$G:$G, (MATCH(462, 輔助計算!$G$2:$G$801, 0)+1))&lt;=790,3,IF(INDEX(ERP資料!$G:$G, (MATCH(462, 輔助計算!$G$2:$G$801, 0)+1))&lt;=1181,2,1))))=2,TEXT(INDEX(ERP資料!$G:$G, (MATCH(462, 輔助計算!$G$2:$G$801, 0)+1)),"0.##")&amp;"+"&amp;TEXT(INDEX(ERP資料!$G:$G, (MATCH(462, 輔助計算!$G$2:$G$801, 0)+1)),"0.##"),TEXT(INDEX(ERP資料!$G:$G, (MATCH(462, 輔助計算!$G$2:$G$801, 0)+1)),"0.##")&amp;"+"&amp;TEXT(INDEX(ERP資料!$G:$G, (MATCH(462, 輔助計算!$G$2:$G$801, 0)+1)),"0.##")&amp;"+"&amp;TEXT(INDEX(ERP資料!$G:$G, (MATCH(462, 輔助計算!$G$2:$G$801, 0)+1)),"0.##"))))&amp;"-1")), ""), "")</f>
        <v/>
      </c>
      <c r="K463" s="16" t="n"/>
      <c r="L463" s="14">
        <f>IFERROR(IF(AND(IFERROR(INDEX(ERP資料!$A:$A, (MATCH(462, 輔助計算!$G$2:$G$801, 0)+1)), "")&lt;&gt;"", IFERROR(INDEX(ERP資料!$A:$A, (MATCH(462, 輔助計算!$G$2:$G$801, 0)+1)), "")&lt;&gt;IFERROR(INDEX(ERP資料!$A:$A, MATCH(461, 輔助計算!$G$2:$G$801, 0)+1), "")), INDEX(ERP資料!$B:$B, (MATCH(462, 輔助計算!$G$2:$G$801, 0)+1)), ""), "")</f>
        <v/>
      </c>
      <c r="M463" s="17" t="n"/>
    </row>
    <row r="464">
      <c r="A464" s="10">
        <f>IFERROR(IF(AND(IFERROR(INDEX(ERP資料!$A:$A, (MATCH(463, 輔助計算!$G$2:$G$801, 0)+1)), "")&lt;&gt;"", IFERROR(INDEX(ERP資料!$A:$A, (MATCH(463, 輔助計算!$G$2:$G$801, 0)+1)), "")&lt;&gt;IFERROR(INDEX(ERP資料!$A:$A, MATCH(462, 輔助計算!$G$2:$G$801, 0)+1), "")), IFERROR(INDEX(ERP資料!$A:$A, (MATCH(463, 輔助計算!$G$2:$G$801, 0)+1)), ""), ""), "")</f>
        <v/>
      </c>
      <c r="B464" s="10">
        <f>IFERROR(IF(AND(IFERROR(INDEX(ERP資料!$A:$A, (MATCH(463, 輔助計算!$G$2:$G$801, 0)+1)), "")&lt;&gt;"", IFERROR(INDEX(ERP資料!$A:$A, (MATCH(463, 輔助計算!$G$2:$G$801, 0)+1)), "")&lt;&gt;IFERROR(INDEX(ERP資料!$A:$A, MATCH(462, 輔助計算!$G$2:$G$801, 0)+1), "")), INDEX(ERP資料!$S:$S, (MATCH(463, 輔助計算!$G$2:$G$801, 0)+1)), ""), "")</f>
        <v/>
      </c>
      <c r="C464" s="19">
        <f>IFERROR(IF(AND(IFERROR(INDEX(ERP資料!$A:$A, (MATCH(463, 輔助計算!$G$2:$G$801, 0)+1)), "")&lt;&gt;"", IFERROR(INDEX(ERP資料!$A:$A, (MATCH(463, 輔助計算!$G$2:$G$801, 0)+1)), "")&lt;&gt;IFERROR(INDEX(ERP資料!$A:$A, MATCH(462, 輔助計算!$G$2:$G$801, 0)+1), "")), IFERROR(VLOOKUP(LEFT(INDEX(ERP資料!$S:$S, (MATCH(463, 輔助計算!$G$2:$G$801, 0)+1)), 4), 紙管對照表!$A:$C, 3, FALSE), ""), ""), "")</f>
        <v/>
      </c>
      <c r="D464" s="16" t="n"/>
      <c r="E464" s="10">
        <f>IFERROR(IF(INDEX(ERP資料!$H:$H, (MATCH(463, 輔助計算!$G$2:$G$801, 0)+1))="","",INDEX(ERP資料!$H:$H, (MATCH(463, 輔助計算!$G$2:$G$801, 0)+1))), "")</f>
        <v/>
      </c>
      <c r="F464" s="10">
        <f>IFERROR(IF(INDEX(ERP資料!$E:$E, (MATCH(463, 輔助計算!$G$2:$G$801, 0)+1))="","",TRIM(INDEX(ERP資料!$E:$E, (MATCH(463, 輔助計算!$G$2:$G$801, 0)+1)))), "")</f>
        <v/>
      </c>
      <c r="G464" s="10">
        <f>IFERROR(IF(INDEX(ERP資料!$F:$F, (MATCH(463, 輔助計算!$G$2:$G$801, 0)+1))="","",INDEX(ERP資料!$F:$F, (MATCH(463, 輔助計算!$G$2:$G$801, 0)+1))), "")</f>
        <v/>
      </c>
      <c r="H464" s="10">
        <f>IFERROR(IF(INDEX(ERP資料!$G:$G, (MATCH(463, 輔助計算!$G$2:$G$801, 0)+1))="","",INDEX(ERP資料!$G:$G, (MATCH(463, 輔助計算!$G$2:$G$801, 0)+1))), "")</f>
        <v/>
      </c>
      <c r="I464" s="15">
        <f>IFERROR(INDEX(輔助計算!$D:$D, (MATCH(463, 輔助計算!$G$2:$G$801, 0)+1)), "")</f>
        <v/>
      </c>
      <c r="J464" s="15">
        <f>IFERROR(IF(AND(INDEX(輔助計算!$D:$D, (MATCH(463, 輔助計算!$G$2:$G$801, 0)+1))&lt;&gt;"", INDEX(ERP資料!$G:$G, (MATCH(463, 輔助計算!$G$2:$G$801, 0)+1))&lt;&gt;""), TRIM(IF(INT(INDEX(輔助計算!$D:$D, (MATCH(463, 輔助計算!$G$2:$G$801, 0)+1))/IF(INDEX(ERP資料!$G:$G, (MATCH(463, 輔助計算!$G$2:$G$801, 0)+1))&lt;100, IF(INDEX(ERP資料!$G:$G, (MATCH(463, 輔助計算!$G$2:$G$801, 0)+1))&lt;=31,3,IF(INDEX(ERP資料!$G:$G, (MATCH(463, 輔助計算!$G$2:$G$801, 0)+1))&lt;=46.5,2,1)), IF(INDEX(ERP資料!$G:$G, (MATCH(463, 輔助計算!$G$2:$G$801, 0)+1))&lt;=790,3,IF(INDEX(ERP資料!$G:$G, (MATCH(463, 輔助計算!$G$2:$G$801, 0)+1))&lt;=1181,2,1))))&gt;0, IF(IF(INDEX(ERP資料!$G:$G, (MATCH(463, 輔助計算!$G$2:$G$801, 0)+1))&lt;100, IF(INDEX(ERP資料!$G:$G, (MATCH(463, 輔助計算!$G$2:$G$801, 0)+1))&lt;=31,3,IF(INDEX(ERP資料!$G:$G, (MATCH(463, 輔助計算!$G$2:$G$801, 0)+1))&lt;=46.5,2,1)), IF(INDEX(ERP資料!$G:$G, (MATCH(463, 輔助計算!$G$2:$G$801, 0)+1))&lt;=790,3,IF(INDEX(ERP資料!$G:$G, (MATCH(463, 輔助計算!$G$2:$G$801, 0)+1))&lt;=1181,2,1)))=1,TEXT(INDEX(ERP資料!$G:$G, (MATCH(463, 輔助計算!$G$2:$G$801, 0)+1)),"0.##"),IF(IF(INDEX(ERP資料!$G:$G, (MATCH(463, 輔助計算!$G$2:$G$801, 0)+1))&lt;100, IF(INDEX(ERP資料!$G:$G, (MATCH(463, 輔助計算!$G$2:$G$801, 0)+1))&lt;=31,3,IF(INDEX(ERP資料!$G:$G, (MATCH(463, 輔助計算!$G$2:$G$801, 0)+1))&lt;=46.5,2,1)), IF(INDEX(ERP資料!$G:$G, (MATCH(463, 輔助計算!$G$2:$G$801, 0)+1))&lt;=790,3,IF(INDEX(ERP資料!$G:$G, (MATCH(463, 輔助計算!$G$2:$G$801, 0)+1))&lt;=1181,2,1)))=2,TEXT(INDEX(ERP資料!$G:$G, (MATCH(463, 輔助計算!$G$2:$G$801, 0)+1)),"0.##")&amp;"+"&amp;TEXT(INDEX(ERP資料!$G:$G, (MATCH(463, 輔助計算!$G$2:$G$801, 0)+1)),"0.##"),TEXT(INDEX(ERP資料!$G:$G, (MATCH(463, 輔助計算!$G$2:$G$801, 0)+1)),"0.##")&amp;"+"&amp;TEXT(INDEX(ERP資料!$G:$G, (MATCH(463, 輔助計算!$G$2:$G$801, 0)+1)),"0.##")&amp;"+"&amp;TEXT(INDEX(ERP資料!$G:$G, (MATCH(463, 輔助計算!$G$2:$G$801, 0)+1)),"0.##")))&amp;"-"&amp;INT(INDEX(輔助計算!$D:$D, (MATCH(463, 輔助計算!$G$2:$G$801, 0)+1))/IF(INDEX(ERP資料!$G:$G, (MATCH(463, 輔助計算!$G$2:$G$801, 0)+1))&lt;100, IF(INDEX(ERP資料!$G:$G, (MATCH(463, 輔助計算!$G$2:$G$801, 0)+1))&lt;=31,3,IF(INDEX(ERP資料!$G:$G, (MATCH(463, 輔助計算!$G$2:$G$801, 0)+1))&lt;=46.5,2,1)), IF(INDEX(ERP資料!$G:$G, (MATCH(463, 輔助計算!$G$2:$G$801, 0)+1))&lt;=790,3,IF(INDEX(ERP資料!$G:$G, (MATCH(463, 輔助計算!$G$2:$G$801, 0)+1))&lt;=1181,2,1)))), "")&amp;IF(AND(IF(INT(INDEX(輔助計算!$D:$D, (MATCH(463, 輔助計算!$G$2:$G$801, 0)+1))/IF(INDEX(ERP資料!$G:$G, (MATCH(463, 輔助計算!$G$2:$G$801, 0)+1))&lt;100, IF(INDEX(ERP資料!$G:$G, (MATCH(463, 輔助計算!$G$2:$G$801, 0)+1))&lt;=31,3,IF(INDEX(ERP資料!$G:$G, (MATCH(463, 輔助計算!$G$2:$G$801, 0)+1))&lt;=46.5,2,1)), IF(INDEX(ERP資料!$G:$G, (MATCH(463, 輔助計算!$G$2:$G$801, 0)+1))&lt;=790,3,IF(INDEX(ERP資料!$G:$G, (MATCH(463, 輔助計算!$G$2:$G$801, 0)+1))&lt;=1181,2,1))))&gt;0, IF(IF(INDEX(ERP資料!$G:$G, (MATCH(463, 輔助計算!$G$2:$G$801, 0)+1))&lt;100, IF(INDEX(ERP資料!$G:$G, (MATCH(463, 輔助計算!$G$2:$G$801, 0)+1))&lt;=31,3,IF(INDEX(ERP資料!$G:$G, (MATCH(463, 輔助計算!$G$2:$G$801, 0)+1))&lt;=46.5,2,1)), IF(INDEX(ERP資料!$G:$G, (MATCH(463, 輔助計算!$G$2:$G$801, 0)+1))&lt;=790,3,IF(INDEX(ERP資料!$G:$G, (MATCH(463, 輔助計算!$G$2:$G$801, 0)+1))&lt;=1181,2,1)))=1,TEXT(INDEX(ERP資料!$G:$G, (MATCH(463, 輔助計算!$G$2:$G$801, 0)+1)),"0.##"),IF(IF(INDEX(ERP資料!$G:$G, (MATCH(463, 輔助計算!$G$2:$G$801, 0)+1))&lt;100, IF(INDEX(ERP資料!$G:$G, (MATCH(463, 輔助計算!$G$2:$G$801, 0)+1))&lt;=31,3,IF(INDEX(ERP資料!$G:$G, (MATCH(463, 輔助計算!$G$2:$G$801, 0)+1))&lt;=46.5,2,1)), IF(INDEX(ERP資料!$G:$G, (MATCH(463, 輔助計算!$G$2:$G$801, 0)+1))&lt;=790,3,IF(INDEX(ERP資料!$G:$G, (MATCH(463, 輔助計算!$G$2:$G$801, 0)+1))&lt;=1181,2,1)))=2,TEXT(INDEX(ERP資料!$G:$G, (MATCH(463, 輔助計算!$G$2:$G$801, 0)+1)),"0.##")&amp;"+"&amp;TEXT(INDEX(ERP資料!$G:$G, (MATCH(463, 輔助計算!$G$2:$G$801, 0)+1)),"0.##"),TEXT(INDEX(ERP資料!$G:$G, (MATCH(463, 輔助計算!$G$2:$G$801, 0)+1)),"0.##")&amp;"+"&amp;TEXT(INDEX(ERP資料!$G:$G, (MATCH(463, 輔助計算!$G$2:$G$801, 0)+1)),"0.##")&amp;"+"&amp;TEXT(INDEX(ERP資料!$G:$G, (MATCH(463, 輔助計算!$G$2:$G$801, 0)+1)),"0.##")))&amp;"-"&amp;INT(INDEX(輔助計算!$D:$D, (MATCH(463, 輔助計算!$G$2:$G$801, 0)+1))/IF(INDEX(ERP資料!$G:$G, (MATCH(463, 輔助計算!$G$2:$G$801, 0)+1))&lt;100, IF(INDEX(ERP資料!$G:$G, (MATCH(463, 輔助計算!$G$2:$G$801, 0)+1))&lt;=31,3,IF(INDEX(ERP資料!$G:$G, (MATCH(463, 輔助計算!$G$2:$G$801, 0)+1))&lt;=46.5,2,1)), IF(INDEX(ERP資料!$G:$G, (MATCH(463, 輔助計算!$G$2:$G$801, 0)+1))&lt;=790,3,IF(INDEX(ERP資料!$G:$G, (MATCH(463, 輔助計算!$G$2:$G$801, 0)+1))&lt;=1181,2,1)))), "")&lt;&gt;"",IF(MOD(INDEX(輔助計算!$D:$D, (MATCH(463, 輔助計算!$G$2:$G$801, 0)+1)),IF(INDEX(ERP資料!$G:$G, (MATCH(463, 輔助計算!$G$2:$G$801, 0)+1))&lt;100, IF(INDEX(ERP資料!$G:$G, (MATCH(463, 輔助計算!$G$2:$G$801, 0)+1))&lt;=31,3,IF(INDEX(ERP資料!$G:$G, (MATCH(463, 輔助計算!$G$2:$G$801, 0)+1))&lt;=46.5,2,1)), IF(INDEX(ERP資料!$G:$G, (MATCH(463, 輔助計算!$G$2:$G$801, 0)+1))&lt;=790,3,IF(INDEX(ERP資料!$G:$G, (MATCH(463, 輔助計算!$G$2:$G$801, 0)+1))&lt;=1181,2,1))))=0,"",IF(MOD(INDEX(輔助計算!$D:$D, (MATCH(463, 輔助計算!$G$2:$G$801, 0)+1)),IF(INDEX(ERP資料!$G:$G, (MATCH(463, 輔助計算!$G$2:$G$801, 0)+1))&lt;100, IF(INDEX(ERP資料!$G:$G, (MATCH(463, 輔助計算!$G$2:$G$801, 0)+1))&lt;=31,3,IF(INDEX(ERP資料!$G:$G, (MATCH(463, 輔助計算!$G$2:$G$801, 0)+1))&lt;=46.5,2,1)), IF(INDEX(ERP資料!$G:$G, (MATCH(463, 輔助計算!$G$2:$G$801, 0)+1))&lt;=790,3,IF(INDEX(ERP資料!$G:$G, (MATCH(463, 輔助計算!$G$2:$G$801, 0)+1))&lt;=1181,2,1))))=0,"",IF(MOD(INDEX(輔助計算!$D:$D, (MATCH(463, 輔助計算!$G$2:$G$801, 0)+1)),IF(INDEX(ERP資料!$G:$G, (MATCH(463, 輔助計算!$G$2:$G$801, 0)+1))&lt;100, IF(INDEX(ERP資料!$G:$G, (MATCH(463, 輔助計算!$G$2:$G$801, 0)+1))&lt;=31,3,IF(INDEX(ERP資料!$G:$G, (MATCH(463, 輔助計算!$G$2:$G$801, 0)+1))&lt;=46.5,2,1)), IF(INDEX(ERP資料!$G:$G, (MATCH(463, 輔助計算!$G$2:$G$801, 0)+1))&lt;=790,3,IF(INDEX(ERP資料!$G:$G, (MATCH(463, 輔助計算!$G$2:$G$801, 0)+1))&lt;=1181,2,1))))=1,TEXT(INDEX(ERP資料!$G:$G, (MATCH(463, 輔助計算!$G$2:$G$801, 0)+1)),"0.##"),IF(MOD(INDEX(輔助計算!$D:$D, (MATCH(463, 輔助計算!$G$2:$G$801, 0)+1)),IF(INDEX(ERP資料!$G:$G, (MATCH(463, 輔助計算!$G$2:$G$801, 0)+1))&lt;100, IF(INDEX(ERP資料!$G:$G, (MATCH(463, 輔助計算!$G$2:$G$801, 0)+1))&lt;=31,3,IF(INDEX(ERP資料!$G:$G, (MATCH(463, 輔助計算!$G$2:$G$801, 0)+1))&lt;=46.5,2,1)), IF(INDEX(ERP資料!$G:$G, (MATCH(463, 輔助計算!$G$2:$G$801, 0)+1))&lt;=790,3,IF(INDEX(ERP資料!$G:$G, (MATCH(463, 輔助計算!$G$2:$G$801, 0)+1))&lt;=1181,2,1))))=2,TEXT(INDEX(ERP資料!$G:$G, (MATCH(463, 輔助計算!$G$2:$G$801, 0)+1)),"0.##")&amp;"+"&amp;TEXT(INDEX(ERP資料!$G:$G, (MATCH(463, 輔助計算!$G$2:$G$801, 0)+1)),"0.##"),TEXT(INDEX(ERP資料!$G:$G, (MATCH(463, 輔助計算!$G$2:$G$801, 0)+1)),"0.##")&amp;"+"&amp;TEXT(INDEX(ERP資料!$G:$G, (MATCH(463, 輔助計算!$G$2:$G$801, 0)+1)),"0.##")&amp;"+"&amp;TEXT(INDEX(ERP資料!$G:$G, (MATCH(463, 輔助計算!$G$2:$G$801, 0)+1)),"0.##"))))&amp;"-1")&lt;&gt;""),"  ","")&amp;IF(MOD(INDEX(輔助計算!$D:$D, (MATCH(463, 輔助計算!$G$2:$G$801, 0)+1)),IF(INDEX(ERP資料!$G:$G, (MATCH(463, 輔助計算!$G$2:$G$801, 0)+1))&lt;100, IF(INDEX(ERP資料!$G:$G, (MATCH(463, 輔助計算!$G$2:$G$801, 0)+1))&lt;=31,3,IF(INDEX(ERP資料!$G:$G, (MATCH(463, 輔助計算!$G$2:$G$801, 0)+1))&lt;=46.5,2,1)), IF(INDEX(ERP資料!$G:$G, (MATCH(463, 輔助計算!$G$2:$G$801, 0)+1))&lt;=790,3,IF(INDEX(ERP資料!$G:$G, (MATCH(463, 輔助計算!$G$2:$G$801, 0)+1))&lt;=1181,2,1))))=0,"",IF(MOD(INDEX(輔助計算!$D:$D, (MATCH(463, 輔助計算!$G$2:$G$801, 0)+1)),IF(INDEX(ERP資料!$G:$G, (MATCH(463, 輔助計算!$G$2:$G$801, 0)+1))&lt;100, IF(INDEX(ERP資料!$G:$G, (MATCH(463, 輔助計算!$G$2:$G$801, 0)+1))&lt;=31,3,IF(INDEX(ERP資料!$G:$G, (MATCH(463, 輔助計算!$G$2:$G$801, 0)+1))&lt;=46.5,2,1)), IF(INDEX(ERP資料!$G:$G, (MATCH(463, 輔助計算!$G$2:$G$801, 0)+1))&lt;=790,3,IF(INDEX(ERP資料!$G:$G, (MATCH(463, 輔助計算!$G$2:$G$801, 0)+1))&lt;=1181,2,1))))=0,"",IF(MOD(INDEX(輔助計算!$D:$D, (MATCH(463, 輔助計算!$G$2:$G$801, 0)+1)),IF(INDEX(ERP資料!$G:$G, (MATCH(463, 輔助計算!$G$2:$G$801, 0)+1))&lt;100, IF(INDEX(ERP資料!$G:$G, (MATCH(463, 輔助計算!$G$2:$G$801, 0)+1))&lt;=31,3,IF(INDEX(ERP資料!$G:$G, (MATCH(463, 輔助計算!$G$2:$G$801, 0)+1))&lt;=46.5,2,1)), IF(INDEX(ERP資料!$G:$G, (MATCH(463, 輔助計算!$G$2:$G$801, 0)+1))&lt;=790,3,IF(INDEX(ERP資料!$G:$G, (MATCH(463, 輔助計算!$G$2:$G$801, 0)+1))&lt;=1181,2,1))))=1,TEXT(INDEX(ERP資料!$G:$G, (MATCH(463, 輔助計算!$G$2:$G$801, 0)+1)),"0.##"),IF(MOD(INDEX(輔助計算!$D:$D, (MATCH(463, 輔助計算!$G$2:$G$801, 0)+1)),IF(INDEX(ERP資料!$G:$G, (MATCH(463, 輔助計算!$G$2:$G$801, 0)+1))&lt;100, IF(INDEX(ERP資料!$G:$G, (MATCH(463, 輔助計算!$G$2:$G$801, 0)+1))&lt;=31,3,IF(INDEX(ERP資料!$G:$G, (MATCH(463, 輔助計算!$G$2:$G$801, 0)+1))&lt;=46.5,2,1)), IF(INDEX(ERP資料!$G:$G, (MATCH(463, 輔助計算!$G$2:$G$801, 0)+1))&lt;=790,3,IF(INDEX(ERP資料!$G:$G, (MATCH(463, 輔助計算!$G$2:$G$801, 0)+1))&lt;=1181,2,1))))=2,TEXT(INDEX(ERP資料!$G:$G, (MATCH(463, 輔助計算!$G$2:$G$801, 0)+1)),"0.##")&amp;"+"&amp;TEXT(INDEX(ERP資料!$G:$G, (MATCH(463, 輔助計算!$G$2:$G$801, 0)+1)),"0.##"),TEXT(INDEX(ERP資料!$G:$G, (MATCH(463, 輔助計算!$G$2:$G$801, 0)+1)),"0.##")&amp;"+"&amp;TEXT(INDEX(ERP資料!$G:$G, (MATCH(463, 輔助計算!$G$2:$G$801, 0)+1)),"0.##")&amp;"+"&amp;TEXT(INDEX(ERP資料!$G:$G, (MATCH(463, 輔助計算!$G$2:$G$801, 0)+1)),"0.##"))))&amp;"-1")), ""), "")</f>
        <v/>
      </c>
      <c r="K464" s="16" t="n"/>
      <c r="L464" s="14">
        <f>IFERROR(IF(AND(IFERROR(INDEX(ERP資料!$A:$A, (MATCH(463, 輔助計算!$G$2:$G$801, 0)+1)), "")&lt;&gt;"", IFERROR(INDEX(ERP資料!$A:$A, (MATCH(463, 輔助計算!$G$2:$G$801, 0)+1)), "")&lt;&gt;IFERROR(INDEX(ERP資料!$A:$A, MATCH(462, 輔助計算!$G$2:$G$801, 0)+1), "")), INDEX(ERP資料!$B:$B, (MATCH(463, 輔助計算!$G$2:$G$801, 0)+1)), ""), "")</f>
        <v/>
      </c>
      <c r="M464" s="17" t="n"/>
    </row>
    <row r="465">
      <c r="A465" s="10">
        <f>IFERROR(IF(AND(IFERROR(INDEX(ERP資料!$A:$A, (MATCH(464, 輔助計算!$G$2:$G$801, 0)+1)), "")&lt;&gt;"", IFERROR(INDEX(ERP資料!$A:$A, (MATCH(464, 輔助計算!$G$2:$G$801, 0)+1)), "")&lt;&gt;IFERROR(INDEX(ERP資料!$A:$A, MATCH(463, 輔助計算!$G$2:$G$801, 0)+1), "")), IFERROR(INDEX(ERP資料!$A:$A, (MATCH(464, 輔助計算!$G$2:$G$801, 0)+1)), ""), ""), "")</f>
        <v/>
      </c>
      <c r="B465" s="10">
        <f>IFERROR(IF(AND(IFERROR(INDEX(ERP資料!$A:$A, (MATCH(464, 輔助計算!$G$2:$G$801, 0)+1)), "")&lt;&gt;"", IFERROR(INDEX(ERP資料!$A:$A, (MATCH(464, 輔助計算!$G$2:$G$801, 0)+1)), "")&lt;&gt;IFERROR(INDEX(ERP資料!$A:$A, MATCH(463, 輔助計算!$G$2:$G$801, 0)+1), "")), INDEX(ERP資料!$S:$S, (MATCH(464, 輔助計算!$G$2:$G$801, 0)+1)), ""), "")</f>
        <v/>
      </c>
      <c r="C465" s="19">
        <f>IFERROR(IF(AND(IFERROR(INDEX(ERP資料!$A:$A, (MATCH(464, 輔助計算!$G$2:$G$801, 0)+1)), "")&lt;&gt;"", IFERROR(INDEX(ERP資料!$A:$A, (MATCH(464, 輔助計算!$G$2:$G$801, 0)+1)), "")&lt;&gt;IFERROR(INDEX(ERP資料!$A:$A, MATCH(463, 輔助計算!$G$2:$G$801, 0)+1), "")), IFERROR(VLOOKUP(LEFT(INDEX(ERP資料!$S:$S, (MATCH(464, 輔助計算!$G$2:$G$801, 0)+1)), 4), 紙管對照表!$A:$C, 3, FALSE), ""), ""), "")</f>
        <v/>
      </c>
      <c r="D465" s="16" t="n"/>
      <c r="E465" s="10">
        <f>IFERROR(IF(INDEX(ERP資料!$H:$H, (MATCH(464, 輔助計算!$G$2:$G$801, 0)+1))="","",INDEX(ERP資料!$H:$H, (MATCH(464, 輔助計算!$G$2:$G$801, 0)+1))), "")</f>
        <v/>
      </c>
      <c r="F465" s="10">
        <f>IFERROR(IF(INDEX(ERP資料!$E:$E, (MATCH(464, 輔助計算!$G$2:$G$801, 0)+1))="","",TRIM(INDEX(ERP資料!$E:$E, (MATCH(464, 輔助計算!$G$2:$G$801, 0)+1)))), "")</f>
        <v/>
      </c>
      <c r="G465" s="10">
        <f>IFERROR(IF(INDEX(ERP資料!$F:$F, (MATCH(464, 輔助計算!$G$2:$G$801, 0)+1))="","",INDEX(ERP資料!$F:$F, (MATCH(464, 輔助計算!$G$2:$G$801, 0)+1))), "")</f>
        <v/>
      </c>
      <c r="H465" s="10">
        <f>IFERROR(IF(INDEX(ERP資料!$G:$G, (MATCH(464, 輔助計算!$G$2:$G$801, 0)+1))="","",INDEX(ERP資料!$G:$G, (MATCH(464, 輔助計算!$G$2:$G$801, 0)+1))), "")</f>
        <v/>
      </c>
      <c r="I465" s="15">
        <f>IFERROR(INDEX(輔助計算!$D:$D, (MATCH(464, 輔助計算!$G$2:$G$801, 0)+1)), "")</f>
        <v/>
      </c>
      <c r="J465" s="15">
        <f>IFERROR(IF(AND(INDEX(輔助計算!$D:$D, (MATCH(464, 輔助計算!$G$2:$G$801, 0)+1))&lt;&gt;"", INDEX(ERP資料!$G:$G, (MATCH(464, 輔助計算!$G$2:$G$801, 0)+1))&lt;&gt;""), TRIM(IF(INT(INDEX(輔助計算!$D:$D, (MATCH(464, 輔助計算!$G$2:$G$801, 0)+1))/IF(INDEX(ERP資料!$G:$G, (MATCH(464, 輔助計算!$G$2:$G$801, 0)+1))&lt;100, IF(INDEX(ERP資料!$G:$G, (MATCH(464, 輔助計算!$G$2:$G$801, 0)+1))&lt;=31,3,IF(INDEX(ERP資料!$G:$G, (MATCH(464, 輔助計算!$G$2:$G$801, 0)+1))&lt;=46.5,2,1)), IF(INDEX(ERP資料!$G:$G, (MATCH(464, 輔助計算!$G$2:$G$801, 0)+1))&lt;=790,3,IF(INDEX(ERP資料!$G:$G, (MATCH(464, 輔助計算!$G$2:$G$801, 0)+1))&lt;=1181,2,1))))&gt;0, IF(IF(INDEX(ERP資料!$G:$G, (MATCH(464, 輔助計算!$G$2:$G$801, 0)+1))&lt;100, IF(INDEX(ERP資料!$G:$G, (MATCH(464, 輔助計算!$G$2:$G$801, 0)+1))&lt;=31,3,IF(INDEX(ERP資料!$G:$G, (MATCH(464, 輔助計算!$G$2:$G$801, 0)+1))&lt;=46.5,2,1)), IF(INDEX(ERP資料!$G:$G, (MATCH(464, 輔助計算!$G$2:$G$801, 0)+1))&lt;=790,3,IF(INDEX(ERP資料!$G:$G, (MATCH(464, 輔助計算!$G$2:$G$801, 0)+1))&lt;=1181,2,1)))=1,TEXT(INDEX(ERP資料!$G:$G, (MATCH(464, 輔助計算!$G$2:$G$801, 0)+1)),"0.##"),IF(IF(INDEX(ERP資料!$G:$G, (MATCH(464, 輔助計算!$G$2:$G$801, 0)+1))&lt;100, IF(INDEX(ERP資料!$G:$G, (MATCH(464, 輔助計算!$G$2:$G$801, 0)+1))&lt;=31,3,IF(INDEX(ERP資料!$G:$G, (MATCH(464, 輔助計算!$G$2:$G$801, 0)+1))&lt;=46.5,2,1)), IF(INDEX(ERP資料!$G:$G, (MATCH(464, 輔助計算!$G$2:$G$801, 0)+1))&lt;=790,3,IF(INDEX(ERP資料!$G:$G, (MATCH(464, 輔助計算!$G$2:$G$801, 0)+1))&lt;=1181,2,1)))=2,TEXT(INDEX(ERP資料!$G:$G, (MATCH(464, 輔助計算!$G$2:$G$801, 0)+1)),"0.##")&amp;"+"&amp;TEXT(INDEX(ERP資料!$G:$G, (MATCH(464, 輔助計算!$G$2:$G$801, 0)+1)),"0.##"),TEXT(INDEX(ERP資料!$G:$G, (MATCH(464, 輔助計算!$G$2:$G$801, 0)+1)),"0.##")&amp;"+"&amp;TEXT(INDEX(ERP資料!$G:$G, (MATCH(464, 輔助計算!$G$2:$G$801, 0)+1)),"0.##")&amp;"+"&amp;TEXT(INDEX(ERP資料!$G:$G, (MATCH(464, 輔助計算!$G$2:$G$801, 0)+1)),"0.##")))&amp;"-"&amp;INT(INDEX(輔助計算!$D:$D, (MATCH(464, 輔助計算!$G$2:$G$801, 0)+1))/IF(INDEX(ERP資料!$G:$G, (MATCH(464, 輔助計算!$G$2:$G$801, 0)+1))&lt;100, IF(INDEX(ERP資料!$G:$G, (MATCH(464, 輔助計算!$G$2:$G$801, 0)+1))&lt;=31,3,IF(INDEX(ERP資料!$G:$G, (MATCH(464, 輔助計算!$G$2:$G$801, 0)+1))&lt;=46.5,2,1)), IF(INDEX(ERP資料!$G:$G, (MATCH(464, 輔助計算!$G$2:$G$801, 0)+1))&lt;=790,3,IF(INDEX(ERP資料!$G:$G, (MATCH(464, 輔助計算!$G$2:$G$801, 0)+1))&lt;=1181,2,1)))), "")&amp;IF(AND(IF(INT(INDEX(輔助計算!$D:$D, (MATCH(464, 輔助計算!$G$2:$G$801, 0)+1))/IF(INDEX(ERP資料!$G:$G, (MATCH(464, 輔助計算!$G$2:$G$801, 0)+1))&lt;100, IF(INDEX(ERP資料!$G:$G, (MATCH(464, 輔助計算!$G$2:$G$801, 0)+1))&lt;=31,3,IF(INDEX(ERP資料!$G:$G, (MATCH(464, 輔助計算!$G$2:$G$801, 0)+1))&lt;=46.5,2,1)), IF(INDEX(ERP資料!$G:$G, (MATCH(464, 輔助計算!$G$2:$G$801, 0)+1))&lt;=790,3,IF(INDEX(ERP資料!$G:$G, (MATCH(464, 輔助計算!$G$2:$G$801, 0)+1))&lt;=1181,2,1))))&gt;0, IF(IF(INDEX(ERP資料!$G:$G, (MATCH(464, 輔助計算!$G$2:$G$801, 0)+1))&lt;100, IF(INDEX(ERP資料!$G:$G, (MATCH(464, 輔助計算!$G$2:$G$801, 0)+1))&lt;=31,3,IF(INDEX(ERP資料!$G:$G, (MATCH(464, 輔助計算!$G$2:$G$801, 0)+1))&lt;=46.5,2,1)), IF(INDEX(ERP資料!$G:$G, (MATCH(464, 輔助計算!$G$2:$G$801, 0)+1))&lt;=790,3,IF(INDEX(ERP資料!$G:$G, (MATCH(464, 輔助計算!$G$2:$G$801, 0)+1))&lt;=1181,2,1)))=1,TEXT(INDEX(ERP資料!$G:$G, (MATCH(464, 輔助計算!$G$2:$G$801, 0)+1)),"0.##"),IF(IF(INDEX(ERP資料!$G:$G, (MATCH(464, 輔助計算!$G$2:$G$801, 0)+1))&lt;100, IF(INDEX(ERP資料!$G:$G, (MATCH(464, 輔助計算!$G$2:$G$801, 0)+1))&lt;=31,3,IF(INDEX(ERP資料!$G:$G, (MATCH(464, 輔助計算!$G$2:$G$801, 0)+1))&lt;=46.5,2,1)), IF(INDEX(ERP資料!$G:$G, (MATCH(464, 輔助計算!$G$2:$G$801, 0)+1))&lt;=790,3,IF(INDEX(ERP資料!$G:$G, (MATCH(464, 輔助計算!$G$2:$G$801, 0)+1))&lt;=1181,2,1)))=2,TEXT(INDEX(ERP資料!$G:$G, (MATCH(464, 輔助計算!$G$2:$G$801, 0)+1)),"0.##")&amp;"+"&amp;TEXT(INDEX(ERP資料!$G:$G, (MATCH(464, 輔助計算!$G$2:$G$801, 0)+1)),"0.##"),TEXT(INDEX(ERP資料!$G:$G, (MATCH(464, 輔助計算!$G$2:$G$801, 0)+1)),"0.##")&amp;"+"&amp;TEXT(INDEX(ERP資料!$G:$G, (MATCH(464, 輔助計算!$G$2:$G$801, 0)+1)),"0.##")&amp;"+"&amp;TEXT(INDEX(ERP資料!$G:$G, (MATCH(464, 輔助計算!$G$2:$G$801, 0)+1)),"0.##")))&amp;"-"&amp;INT(INDEX(輔助計算!$D:$D, (MATCH(464, 輔助計算!$G$2:$G$801, 0)+1))/IF(INDEX(ERP資料!$G:$G, (MATCH(464, 輔助計算!$G$2:$G$801, 0)+1))&lt;100, IF(INDEX(ERP資料!$G:$G, (MATCH(464, 輔助計算!$G$2:$G$801, 0)+1))&lt;=31,3,IF(INDEX(ERP資料!$G:$G, (MATCH(464, 輔助計算!$G$2:$G$801, 0)+1))&lt;=46.5,2,1)), IF(INDEX(ERP資料!$G:$G, (MATCH(464, 輔助計算!$G$2:$G$801, 0)+1))&lt;=790,3,IF(INDEX(ERP資料!$G:$G, (MATCH(464, 輔助計算!$G$2:$G$801, 0)+1))&lt;=1181,2,1)))), "")&lt;&gt;"",IF(MOD(INDEX(輔助計算!$D:$D, (MATCH(464, 輔助計算!$G$2:$G$801, 0)+1)),IF(INDEX(ERP資料!$G:$G, (MATCH(464, 輔助計算!$G$2:$G$801, 0)+1))&lt;100, IF(INDEX(ERP資料!$G:$G, (MATCH(464, 輔助計算!$G$2:$G$801, 0)+1))&lt;=31,3,IF(INDEX(ERP資料!$G:$G, (MATCH(464, 輔助計算!$G$2:$G$801, 0)+1))&lt;=46.5,2,1)), IF(INDEX(ERP資料!$G:$G, (MATCH(464, 輔助計算!$G$2:$G$801, 0)+1))&lt;=790,3,IF(INDEX(ERP資料!$G:$G, (MATCH(464, 輔助計算!$G$2:$G$801, 0)+1))&lt;=1181,2,1))))=0,"",IF(MOD(INDEX(輔助計算!$D:$D, (MATCH(464, 輔助計算!$G$2:$G$801, 0)+1)),IF(INDEX(ERP資料!$G:$G, (MATCH(464, 輔助計算!$G$2:$G$801, 0)+1))&lt;100, IF(INDEX(ERP資料!$G:$G, (MATCH(464, 輔助計算!$G$2:$G$801, 0)+1))&lt;=31,3,IF(INDEX(ERP資料!$G:$G, (MATCH(464, 輔助計算!$G$2:$G$801, 0)+1))&lt;=46.5,2,1)), IF(INDEX(ERP資料!$G:$G, (MATCH(464, 輔助計算!$G$2:$G$801, 0)+1))&lt;=790,3,IF(INDEX(ERP資料!$G:$G, (MATCH(464, 輔助計算!$G$2:$G$801, 0)+1))&lt;=1181,2,1))))=0,"",IF(MOD(INDEX(輔助計算!$D:$D, (MATCH(464, 輔助計算!$G$2:$G$801, 0)+1)),IF(INDEX(ERP資料!$G:$G, (MATCH(464, 輔助計算!$G$2:$G$801, 0)+1))&lt;100, IF(INDEX(ERP資料!$G:$G, (MATCH(464, 輔助計算!$G$2:$G$801, 0)+1))&lt;=31,3,IF(INDEX(ERP資料!$G:$G, (MATCH(464, 輔助計算!$G$2:$G$801, 0)+1))&lt;=46.5,2,1)), IF(INDEX(ERP資料!$G:$G, (MATCH(464, 輔助計算!$G$2:$G$801, 0)+1))&lt;=790,3,IF(INDEX(ERP資料!$G:$G, (MATCH(464, 輔助計算!$G$2:$G$801, 0)+1))&lt;=1181,2,1))))=1,TEXT(INDEX(ERP資料!$G:$G, (MATCH(464, 輔助計算!$G$2:$G$801, 0)+1)),"0.##"),IF(MOD(INDEX(輔助計算!$D:$D, (MATCH(464, 輔助計算!$G$2:$G$801, 0)+1)),IF(INDEX(ERP資料!$G:$G, (MATCH(464, 輔助計算!$G$2:$G$801, 0)+1))&lt;100, IF(INDEX(ERP資料!$G:$G, (MATCH(464, 輔助計算!$G$2:$G$801, 0)+1))&lt;=31,3,IF(INDEX(ERP資料!$G:$G, (MATCH(464, 輔助計算!$G$2:$G$801, 0)+1))&lt;=46.5,2,1)), IF(INDEX(ERP資料!$G:$G, (MATCH(464, 輔助計算!$G$2:$G$801, 0)+1))&lt;=790,3,IF(INDEX(ERP資料!$G:$G, (MATCH(464, 輔助計算!$G$2:$G$801, 0)+1))&lt;=1181,2,1))))=2,TEXT(INDEX(ERP資料!$G:$G, (MATCH(464, 輔助計算!$G$2:$G$801, 0)+1)),"0.##")&amp;"+"&amp;TEXT(INDEX(ERP資料!$G:$G, (MATCH(464, 輔助計算!$G$2:$G$801, 0)+1)),"0.##"),TEXT(INDEX(ERP資料!$G:$G, (MATCH(464, 輔助計算!$G$2:$G$801, 0)+1)),"0.##")&amp;"+"&amp;TEXT(INDEX(ERP資料!$G:$G, (MATCH(464, 輔助計算!$G$2:$G$801, 0)+1)),"0.##")&amp;"+"&amp;TEXT(INDEX(ERP資料!$G:$G, (MATCH(464, 輔助計算!$G$2:$G$801, 0)+1)),"0.##"))))&amp;"-1")&lt;&gt;""),"  ","")&amp;IF(MOD(INDEX(輔助計算!$D:$D, (MATCH(464, 輔助計算!$G$2:$G$801, 0)+1)),IF(INDEX(ERP資料!$G:$G, (MATCH(464, 輔助計算!$G$2:$G$801, 0)+1))&lt;100, IF(INDEX(ERP資料!$G:$G, (MATCH(464, 輔助計算!$G$2:$G$801, 0)+1))&lt;=31,3,IF(INDEX(ERP資料!$G:$G, (MATCH(464, 輔助計算!$G$2:$G$801, 0)+1))&lt;=46.5,2,1)), IF(INDEX(ERP資料!$G:$G, (MATCH(464, 輔助計算!$G$2:$G$801, 0)+1))&lt;=790,3,IF(INDEX(ERP資料!$G:$G, (MATCH(464, 輔助計算!$G$2:$G$801, 0)+1))&lt;=1181,2,1))))=0,"",IF(MOD(INDEX(輔助計算!$D:$D, (MATCH(464, 輔助計算!$G$2:$G$801, 0)+1)),IF(INDEX(ERP資料!$G:$G, (MATCH(464, 輔助計算!$G$2:$G$801, 0)+1))&lt;100, IF(INDEX(ERP資料!$G:$G, (MATCH(464, 輔助計算!$G$2:$G$801, 0)+1))&lt;=31,3,IF(INDEX(ERP資料!$G:$G, (MATCH(464, 輔助計算!$G$2:$G$801, 0)+1))&lt;=46.5,2,1)), IF(INDEX(ERP資料!$G:$G, (MATCH(464, 輔助計算!$G$2:$G$801, 0)+1))&lt;=790,3,IF(INDEX(ERP資料!$G:$G, (MATCH(464, 輔助計算!$G$2:$G$801, 0)+1))&lt;=1181,2,1))))=0,"",IF(MOD(INDEX(輔助計算!$D:$D, (MATCH(464, 輔助計算!$G$2:$G$801, 0)+1)),IF(INDEX(ERP資料!$G:$G, (MATCH(464, 輔助計算!$G$2:$G$801, 0)+1))&lt;100, IF(INDEX(ERP資料!$G:$G, (MATCH(464, 輔助計算!$G$2:$G$801, 0)+1))&lt;=31,3,IF(INDEX(ERP資料!$G:$G, (MATCH(464, 輔助計算!$G$2:$G$801, 0)+1))&lt;=46.5,2,1)), IF(INDEX(ERP資料!$G:$G, (MATCH(464, 輔助計算!$G$2:$G$801, 0)+1))&lt;=790,3,IF(INDEX(ERP資料!$G:$G, (MATCH(464, 輔助計算!$G$2:$G$801, 0)+1))&lt;=1181,2,1))))=1,TEXT(INDEX(ERP資料!$G:$G, (MATCH(464, 輔助計算!$G$2:$G$801, 0)+1)),"0.##"),IF(MOD(INDEX(輔助計算!$D:$D, (MATCH(464, 輔助計算!$G$2:$G$801, 0)+1)),IF(INDEX(ERP資料!$G:$G, (MATCH(464, 輔助計算!$G$2:$G$801, 0)+1))&lt;100, IF(INDEX(ERP資料!$G:$G, (MATCH(464, 輔助計算!$G$2:$G$801, 0)+1))&lt;=31,3,IF(INDEX(ERP資料!$G:$G, (MATCH(464, 輔助計算!$G$2:$G$801, 0)+1))&lt;=46.5,2,1)), IF(INDEX(ERP資料!$G:$G, (MATCH(464, 輔助計算!$G$2:$G$801, 0)+1))&lt;=790,3,IF(INDEX(ERP資料!$G:$G, (MATCH(464, 輔助計算!$G$2:$G$801, 0)+1))&lt;=1181,2,1))))=2,TEXT(INDEX(ERP資料!$G:$G, (MATCH(464, 輔助計算!$G$2:$G$801, 0)+1)),"0.##")&amp;"+"&amp;TEXT(INDEX(ERP資料!$G:$G, (MATCH(464, 輔助計算!$G$2:$G$801, 0)+1)),"0.##"),TEXT(INDEX(ERP資料!$G:$G, (MATCH(464, 輔助計算!$G$2:$G$801, 0)+1)),"0.##")&amp;"+"&amp;TEXT(INDEX(ERP資料!$G:$G, (MATCH(464, 輔助計算!$G$2:$G$801, 0)+1)),"0.##")&amp;"+"&amp;TEXT(INDEX(ERP資料!$G:$G, (MATCH(464, 輔助計算!$G$2:$G$801, 0)+1)),"0.##"))))&amp;"-1")), ""), "")</f>
        <v/>
      </c>
      <c r="K465" s="16" t="n"/>
      <c r="L465" s="14">
        <f>IFERROR(IF(AND(IFERROR(INDEX(ERP資料!$A:$A, (MATCH(464, 輔助計算!$G$2:$G$801, 0)+1)), "")&lt;&gt;"", IFERROR(INDEX(ERP資料!$A:$A, (MATCH(464, 輔助計算!$G$2:$G$801, 0)+1)), "")&lt;&gt;IFERROR(INDEX(ERP資料!$A:$A, MATCH(463, 輔助計算!$G$2:$G$801, 0)+1), "")), INDEX(ERP資料!$B:$B, (MATCH(464, 輔助計算!$G$2:$G$801, 0)+1)), ""), "")</f>
        <v/>
      </c>
      <c r="M465" s="17" t="n"/>
    </row>
    <row r="466">
      <c r="A466" s="10">
        <f>IFERROR(IF(AND(IFERROR(INDEX(ERP資料!$A:$A, (MATCH(465, 輔助計算!$G$2:$G$801, 0)+1)), "")&lt;&gt;"", IFERROR(INDEX(ERP資料!$A:$A, (MATCH(465, 輔助計算!$G$2:$G$801, 0)+1)), "")&lt;&gt;IFERROR(INDEX(ERP資料!$A:$A, MATCH(464, 輔助計算!$G$2:$G$801, 0)+1), "")), IFERROR(INDEX(ERP資料!$A:$A, (MATCH(465, 輔助計算!$G$2:$G$801, 0)+1)), ""), ""), "")</f>
        <v/>
      </c>
      <c r="B466" s="10">
        <f>IFERROR(IF(AND(IFERROR(INDEX(ERP資料!$A:$A, (MATCH(465, 輔助計算!$G$2:$G$801, 0)+1)), "")&lt;&gt;"", IFERROR(INDEX(ERP資料!$A:$A, (MATCH(465, 輔助計算!$G$2:$G$801, 0)+1)), "")&lt;&gt;IFERROR(INDEX(ERP資料!$A:$A, MATCH(464, 輔助計算!$G$2:$G$801, 0)+1), "")), INDEX(ERP資料!$S:$S, (MATCH(465, 輔助計算!$G$2:$G$801, 0)+1)), ""), "")</f>
        <v/>
      </c>
      <c r="C466" s="19">
        <f>IFERROR(IF(AND(IFERROR(INDEX(ERP資料!$A:$A, (MATCH(465, 輔助計算!$G$2:$G$801, 0)+1)), "")&lt;&gt;"", IFERROR(INDEX(ERP資料!$A:$A, (MATCH(465, 輔助計算!$G$2:$G$801, 0)+1)), "")&lt;&gt;IFERROR(INDEX(ERP資料!$A:$A, MATCH(464, 輔助計算!$G$2:$G$801, 0)+1), "")), IFERROR(VLOOKUP(LEFT(INDEX(ERP資料!$S:$S, (MATCH(465, 輔助計算!$G$2:$G$801, 0)+1)), 4), 紙管對照表!$A:$C, 3, FALSE), ""), ""), "")</f>
        <v/>
      </c>
      <c r="D466" s="16" t="n"/>
      <c r="E466" s="10">
        <f>IFERROR(IF(INDEX(ERP資料!$H:$H, (MATCH(465, 輔助計算!$G$2:$G$801, 0)+1))="","",INDEX(ERP資料!$H:$H, (MATCH(465, 輔助計算!$G$2:$G$801, 0)+1))), "")</f>
        <v/>
      </c>
      <c r="F466" s="10">
        <f>IFERROR(IF(INDEX(ERP資料!$E:$E, (MATCH(465, 輔助計算!$G$2:$G$801, 0)+1))="","",TRIM(INDEX(ERP資料!$E:$E, (MATCH(465, 輔助計算!$G$2:$G$801, 0)+1)))), "")</f>
        <v/>
      </c>
      <c r="G466" s="10">
        <f>IFERROR(IF(INDEX(ERP資料!$F:$F, (MATCH(465, 輔助計算!$G$2:$G$801, 0)+1))="","",INDEX(ERP資料!$F:$F, (MATCH(465, 輔助計算!$G$2:$G$801, 0)+1))), "")</f>
        <v/>
      </c>
      <c r="H466" s="10">
        <f>IFERROR(IF(INDEX(ERP資料!$G:$G, (MATCH(465, 輔助計算!$G$2:$G$801, 0)+1))="","",INDEX(ERP資料!$G:$G, (MATCH(465, 輔助計算!$G$2:$G$801, 0)+1))), "")</f>
        <v/>
      </c>
      <c r="I466" s="15">
        <f>IFERROR(INDEX(輔助計算!$D:$D, (MATCH(465, 輔助計算!$G$2:$G$801, 0)+1)), "")</f>
        <v/>
      </c>
      <c r="J466" s="15">
        <f>IFERROR(IF(AND(INDEX(輔助計算!$D:$D, (MATCH(465, 輔助計算!$G$2:$G$801, 0)+1))&lt;&gt;"", INDEX(ERP資料!$G:$G, (MATCH(465, 輔助計算!$G$2:$G$801, 0)+1))&lt;&gt;""), TRIM(IF(INT(INDEX(輔助計算!$D:$D, (MATCH(465, 輔助計算!$G$2:$G$801, 0)+1))/IF(INDEX(ERP資料!$G:$G, (MATCH(465, 輔助計算!$G$2:$G$801, 0)+1))&lt;100, IF(INDEX(ERP資料!$G:$G, (MATCH(465, 輔助計算!$G$2:$G$801, 0)+1))&lt;=31,3,IF(INDEX(ERP資料!$G:$G, (MATCH(465, 輔助計算!$G$2:$G$801, 0)+1))&lt;=46.5,2,1)), IF(INDEX(ERP資料!$G:$G, (MATCH(465, 輔助計算!$G$2:$G$801, 0)+1))&lt;=790,3,IF(INDEX(ERP資料!$G:$G, (MATCH(465, 輔助計算!$G$2:$G$801, 0)+1))&lt;=1181,2,1))))&gt;0, IF(IF(INDEX(ERP資料!$G:$G, (MATCH(465, 輔助計算!$G$2:$G$801, 0)+1))&lt;100, IF(INDEX(ERP資料!$G:$G, (MATCH(465, 輔助計算!$G$2:$G$801, 0)+1))&lt;=31,3,IF(INDEX(ERP資料!$G:$G, (MATCH(465, 輔助計算!$G$2:$G$801, 0)+1))&lt;=46.5,2,1)), IF(INDEX(ERP資料!$G:$G, (MATCH(465, 輔助計算!$G$2:$G$801, 0)+1))&lt;=790,3,IF(INDEX(ERP資料!$G:$G, (MATCH(465, 輔助計算!$G$2:$G$801, 0)+1))&lt;=1181,2,1)))=1,TEXT(INDEX(ERP資料!$G:$G, (MATCH(465, 輔助計算!$G$2:$G$801, 0)+1)),"0.##"),IF(IF(INDEX(ERP資料!$G:$G, (MATCH(465, 輔助計算!$G$2:$G$801, 0)+1))&lt;100, IF(INDEX(ERP資料!$G:$G, (MATCH(465, 輔助計算!$G$2:$G$801, 0)+1))&lt;=31,3,IF(INDEX(ERP資料!$G:$G, (MATCH(465, 輔助計算!$G$2:$G$801, 0)+1))&lt;=46.5,2,1)), IF(INDEX(ERP資料!$G:$G, (MATCH(465, 輔助計算!$G$2:$G$801, 0)+1))&lt;=790,3,IF(INDEX(ERP資料!$G:$G, (MATCH(465, 輔助計算!$G$2:$G$801, 0)+1))&lt;=1181,2,1)))=2,TEXT(INDEX(ERP資料!$G:$G, (MATCH(465, 輔助計算!$G$2:$G$801, 0)+1)),"0.##")&amp;"+"&amp;TEXT(INDEX(ERP資料!$G:$G, (MATCH(465, 輔助計算!$G$2:$G$801, 0)+1)),"0.##"),TEXT(INDEX(ERP資料!$G:$G, (MATCH(465, 輔助計算!$G$2:$G$801, 0)+1)),"0.##")&amp;"+"&amp;TEXT(INDEX(ERP資料!$G:$G, (MATCH(465, 輔助計算!$G$2:$G$801, 0)+1)),"0.##")&amp;"+"&amp;TEXT(INDEX(ERP資料!$G:$G, (MATCH(465, 輔助計算!$G$2:$G$801, 0)+1)),"0.##")))&amp;"-"&amp;INT(INDEX(輔助計算!$D:$D, (MATCH(465, 輔助計算!$G$2:$G$801, 0)+1))/IF(INDEX(ERP資料!$G:$G, (MATCH(465, 輔助計算!$G$2:$G$801, 0)+1))&lt;100, IF(INDEX(ERP資料!$G:$G, (MATCH(465, 輔助計算!$G$2:$G$801, 0)+1))&lt;=31,3,IF(INDEX(ERP資料!$G:$G, (MATCH(465, 輔助計算!$G$2:$G$801, 0)+1))&lt;=46.5,2,1)), IF(INDEX(ERP資料!$G:$G, (MATCH(465, 輔助計算!$G$2:$G$801, 0)+1))&lt;=790,3,IF(INDEX(ERP資料!$G:$G, (MATCH(465, 輔助計算!$G$2:$G$801, 0)+1))&lt;=1181,2,1)))), "")&amp;IF(AND(IF(INT(INDEX(輔助計算!$D:$D, (MATCH(465, 輔助計算!$G$2:$G$801, 0)+1))/IF(INDEX(ERP資料!$G:$G, (MATCH(465, 輔助計算!$G$2:$G$801, 0)+1))&lt;100, IF(INDEX(ERP資料!$G:$G, (MATCH(465, 輔助計算!$G$2:$G$801, 0)+1))&lt;=31,3,IF(INDEX(ERP資料!$G:$G, (MATCH(465, 輔助計算!$G$2:$G$801, 0)+1))&lt;=46.5,2,1)), IF(INDEX(ERP資料!$G:$G, (MATCH(465, 輔助計算!$G$2:$G$801, 0)+1))&lt;=790,3,IF(INDEX(ERP資料!$G:$G, (MATCH(465, 輔助計算!$G$2:$G$801, 0)+1))&lt;=1181,2,1))))&gt;0, IF(IF(INDEX(ERP資料!$G:$G, (MATCH(465, 輔助計算!$G$2:$G$801, 0)+1))&lt;100, IF(INDEX(ERP資料!$G:$G, (MATCH(465, 輔助計算!$G$2:$G$801, 0)+1))&lt;=31,3,IF(INDEX(ERP資料!$G:$G, (MATCH(465, 輔助計算!$G$2:$G$801, 0)+1))&lt;=46.5,2,1)), IF(INDEX(ERP資料!$G:$G, (MATCH(465, 輔助計算!$G$2:$G$801, 0)+1))&lt;=790,3,IF(INDEX(ERP資料!$G:$G, (MATCH(465, 輔助計算!$G$2:$G$801, 0)+1))&lt;=1181,2,1)))=1,TEXT(INDEX(ERP資料!$G:$G, (MATCH(465, 輔助計算!$G$2:$G$801, 0)+1)),"0.##"),IF(IF(INDEX(ERP資料!$G:$G, (MATCH(465, 輔助計算!$G$2:$G$801, 0)+1))&lt;100, IF(INDEX(ERP資料!$G:$G, (MATCH(465, 輔助計算!$G$2:$G$801, 0)+1))&lt;=31,3,IF(INDEX(ERP資料!$G:$G, (MATCH(465, 輔助計算!$G$2:$G$801, 0)+1))&lt;=46.5,2,1)), IF(INDEX(ERP資料!$G:$G, (MATCH(465, 輔助計算!$G$2:$G$801, 0)+1))&lt;=790,3,IF(INDEX(ERP資料!$G:$G, (MATCH(465, 輔助計算!$G$2:$G$801, 0)+1))&lt;=1181,2,1)))=2,TEXT(INDEX(ERP資料!$G:$G, (MATCH(465, 輔助計算!$G$2:$G$801, 0)+1)),"0.##")&amp;"+"&amp;TEXT(INDEX(ERP資料!$G:$G, (MATCH(465, 輔助計算!$G$2:$G$801, 0)+1)),"0.##"),TEXT(INDEX(ERP資料!$G:$G, (MATCH(465, 輔助計算!$G$2:$G$801, 0)+1)),"0.##")&amp;"+"&amp;TEXT(INDEX(ERP資料!$G:$G, (MATCH(465, 輔助計算!$G$2:$G$801, 0)+1)),"0.##")&amp;"+"&amp;TEXT(INDEX(ERP資料!$G:$G, (MATCH(465, 輔助計算!$G$2:$G$801, 0)+1)),"0.##")))&amp;"-"&amp;INT(INDEX(輔助計算!$D:$D, (MATCH(465, 輔助計算!$G$2:$G$801, 0)+1))/IF(INDEX(ERP資料!$G:$G, (MATCH(465, 輔助計算!$G$2:$G$801, 0)+1))&lt;100, IF(INDEX(ERP資料!$G:$G, (MATCH(465, 輔助計算!$G$2:$G$801, 0)+1))&lt;=31,3,IF(INDEX(ERP資料!$G:$G, (MATCH(465, 輔助計算!$G$2:$G$801, 0)+1))&lt;=46.5,2,1)), IF(INDEX(ERP資料!$G:$G, (MATCH(465, 輔助計算!$G$2:$G$801, 0)+1))&lt;=790,3,IF(INDEX(ERP資料!$G:$G, (MATCH(465, 輔助計算!$G$2:$G$801, 0)+1))&lt;=1181,2,1)))), "")&lt;&gt;"",IF(MOD(INDEX(輔助計算!$D:$D, (MATCH(465, 輔助計算!$G$2:$G$801, 0)+1)),IF(INDEX(ERP資料!$G:$G, (MATCH(465, 輔助計算!$G$2:$G$801, 0)+1))&lt;100, IF(INDEX(ERP資料!$G:$G, (MATCH(465, 輔助計算!$G$2:$G$801, 0)+1))&lt;=31,3,IF(INDEX(ERP資料!$G:$G, (MATCH(465, 輔助計算!$G$2:$G$801, 0)+1))&lt;=46.5,2,1)), IF(INDEX(ERP資料!$G:$G, (MATCH(465, 輔助計算!$G$2:$G$801, 0)+1))&lt;=790,3,IF(INDEX(ERP資料!$G:$G, (MATCH(465, 輔助計算!$G$2:$G$801, 0)+1))&lt;=1181,2,1))))=0,"",IF(MOD(INDEX(輔助計算!$D:$D, (MATCH(465, 輔助計算!$G$2:$G$801, 0)+1)),IF(INDEX(ERP資料!$G:$G, (MATCH(465, 輔助計算!$G$2:$G$801, 0)+1))&lt;100, IF(INDEX(ERP資料!$G:$G, (MATCH(465, 輔助計算!$G$2:$G$801, 0)+1))&lt;=31,3,IF(INDEX(ERP資料!$G:$G, (MATCH(465, 輔助計算!$G$2:$G$801, 0)+1))&lt;=46.5,2,1)), IF(INDEX(ERP資料!$G:$G, (MATCH(465, 輔助計算!$G$2:$G$801, 0)+1))&lt;=790,3,IF(INDEX(ERP資料!$G:$G, (MATCH(465, 輔助計算!$G$2:$G$801, 0)+1))&lt;=1181,2,1))))=0,"",IF(MOD(INDEX(輔助計算!$D:$D, (MATCH(465, 輔助計算!$G$2:$G$801, 0)+1)),IF(INDEX(ERP資料!$G:$G, (MATCH(465, 輔助計算!$G$2:$G$801, 0)+1))&lt;100, IF(INDEX(ERP資料!$G:$G, (MATCH(465, 輔助計算!$G$2:$G$801, 0)+1))&lt;=31,3,IF(INDEX(ERP資料!$G:$G, (MATCH(465, 輔助計算!$G$2:$G$801, 0)+1))&lt;=46.5,2,1)), IF(INDEX(ERP資料!$G:$G, (MATCH(465, 輔助計算!$G$2:$G$801, 0)+1))&lt;=790,3,IF(INDEX(ERP資料!$G:$G, (MATCH(465, 輔助計算!$G$2:$G$801, 0)+1))&lt;=1181,2,1))))=1,TEXT(INDEX(ERP資料!$G:$G, (MATCH(465, 輔助計算!$G$2:$G$801, 0)+1)),"0.##"),IF(MOD(INDEX(輔助計算!$D:$D, (MATCH(465, 輔助計算!$G$2:$G$801, 0)+1)),IF(INDEX(ERP資料!$G:$G, (MATCH(465, 輔助計算!$G$2:$G$801, 0)+1))&lt;100, IF(INDEX(ERP資料!$G:$G, (MATCH(465, 輔助計算!$G$2:$G$801, 0)+1))&lt;=31,3,IF(INDEX(ERP資料!$G:$G, (MATCH(465, 輔助計算!$G$2:$G$801, 0)+1))&lt;=46.5,2,1)), IF(INDEX(ERP資料!$G:$G, (MATCH(465, 輔助計算!$G$2:$G$801, 0)+1))&lt;=790,3,IF(INDEX(ERP資料!$G:$G, (MATCH(465, 輔助計算!$G$2:$G$801, 0)+1))&lt;=1181,2,1))))=2,TEXT(INDEX(ERP資料!$G:$G, (MATCH(465, 輔助計算!$G$2:$G$801, 0)+1)),"0.##")&amp;"+"&amp;TEXT(INDEX(ERP資料!$G:$G, (MATCH(465, 輔助計算!$G$2:$G$801, 0)+1)),"0.##"),TEXT(INDEX(ERP資料!$G:$G, (MATCH(465, 輔助計算!$G$2:$G$801, 0)+1)),"0.##")&amp;"+"&amp;TEXT(INDEX(ERP資料!$G:$G, (MATCH(465, 輔助計算!$G$2:$G$801, 0)+1)),"0.##")&amp;"+"&amp;TEXT(INDEX(ERP資料!$G:$G, (MATCH(465, 輔助計算!$G$2:$G$801, 0)+1)),"0.##"))))&amp;"-1")&lt;&gt;""),"  ","")&amp;IF(MOD(INDEX(輔助計算!$D:$D, (MATCH(465, 輔助計算!$G$2:$G$801, 0)+1)),IF(INDEX(ERP資料!$G:$G, (MATCH(465, 輔助計算!$G$2:$G$801, 0)+1))&lt;100, IF(INDEX(ERP資料!$G:$G, (MATCH(465, 輔助計算!$G$2:$G$801, 0)+1))&lt;=31,3,IF(INDEX(ERP資料!$G:$G, (MATCH(465, 輔助計算!$G$2:$G$801, 0)+1))&lt;=46.5,2,1)), IF(INDEX(ERP資料!$G:$G, (MATCH(465, 輔助計算!$G$2:$G$801, 0)+1))&lt;=790,3,IF(INDEX(ERP資料!$G:$G, (MATCH(465, 輔助計算!$G$2:$G$801, 0)+1))&lt;=1181,2,1))))=0,"",IF(MOD(INDEX(輔助計算!$D:$D, (MATCH(465, 輔助計算!$G$2:$G$801, 0)+1)),IF(INDEX(ERP資料!$G:$G, (MATCH(465, 輔助計算!$G$2:$G$801, 0)+1))&lt;100, IF(INDEX(ERP資料!$G:$G, (MATCH(465, 輔助計算!$G$2:$G$801, 0)+1))&lt;=31,3,IF(INDEX(ERP資料!$G:$G, (MATCH(465, 輔助計算!$G$2:$G$801, 0)+1))&lt;=46.5,2,1)), IF(INDEX(ERP資料!$G:$G, (MATCH(465, 輔助計算!$G$2:$G$801, 0)+1))&lt;=790,3,IF(INDEX(ERP資料!$G:$G, (MATCH(465, 輔助計算!$G$2:$G$801, 0)+1))&lt;=1181,2,1))))=0,"",IF(MOD(INDEX(輔助計算!$D:$D, (MATCH(465, 輔助計算!$G$2:$G$801, 0)+1)),IF(INDEX(ERP資料!$G:$G, (MATCH(465, 輔助計算!$G$2:$G$801, 0)+1))&lt;100, IF(INDEX(ERP資料!$G:$G, (MATCH(465, 輔助計算!$G$2:$G$801, 0)+1))&lt;=31,3,IF(INDEX(ERP資料!$G:$G, (MATCH(465, 輔助計算!$G$2:$G$801, 0)+1))&lt;=46.5,2,1)), IF(INDEX(ERP資料!$G:$G, (MATCH(465, 輔助計算!$G$2:$G$801, 0)+1))&lt;=790,3,IF(INDEX(ERP資料!$G:$G, (MATCH(465, 輔助計算!$G$2:$G$801, 0)+1))&lt;=1181,2,1))))=1,TEXT(INDEX(ERP資料!$G:$G, (MATCH(465, 輔助計算!$G$2:$G$801, 0)+1)),"0.##"),IF(MOD(INDEX(輔助計算!$D:$D, (MATCH(465, 輔助計算!$G$2:$G$801, 0)+1)),IF(INDEX(ERP資料!$G:$G, (MATCH(465, 輔助計算!$G$2:$G$801, 0)+1))&lt;100, IF(INDEX(ERP資料!$G:$G, (MATCH(465, 輔助計算!$G$2:$G$801, 0)+1))&lt;=31,3,IF(INDEX(ERP資料!$G:$G, (MATCH(465, 輔助計算!$G$2:$G$801, 0)+1))&lt;=46.5,2,1)), IF(INDEX(ERP資料!$G:$G, (MATCH(465, 輔助計算!$G$2:$G$801, 0)+1))&lt;=790,3,IF(INDEX(ERP資料!$G:$G, (MATCH(465, 輔助計算!$G$2:$G$801, 0)+1))&lt;=1181,2,1))))=2,TEXT(INDEX(ERP資料!$G:$G, (MATCH(465, 輔助計算!$G$2:$G$801, 0)+1)),"0.##")&amp;"+"&amp;TEXT(INDEX(ERP資料!$G:$G, (MATCH(465, 輔助計算!$G$2:$G$801, 0)+1)),"0.##"),TEXT(INDEX(ERP資料!$G:$G, (MATCH(465, 輔助計算!$G$2:$G$801, 0)+1)),"0.##")&amp;"+"&amp;TEXT(INDEX(ERP資料!$G:$G, (MATCH(465, 輔助計算!$G$2:$G$801, 0)+1)),"0.##")&amp;"+"&amp;TEXT(INDEX(ERP資料!$G:$G, (MATCH(465, 輔助計算!$G$2:$G$801, 0)+1)),"0.##"))))&amp;"-1")), ""), "")</f>
        <v/>
      </c>
      <c r="K466" s="16" t="n"/>
      <c r="L466" s="14">
        <f>IFERROR(IF(AND(IFERROR(INDEX(ERP資料!$A:$A, (MATCH(465, 輔助計算!$G$2:$G$801, 0)+1)), "")&lt;&gt;"", IFERROR(INDEX(ERP資料!$A:$A, (MATCH(465, 輔助計算!$G$2:$G$801, 0)+1)), "")&lt;&gt;IFERROR(INDEX(ERP資料!$A:$A, MATCH(464, 輔助計算!$G$2:$G$801, 0)+1), "")), INDEX(ERP資料!$B:$B, (MATCH(465, 輔助計算!$G$2:$G$801, 0)+1)), ""), "")</f>
        <v/>
      </c>
      <c r="M466" s="17" t="n"/>
    </row>
    <row r="467">
      <c r="A467" s="10">
        <f>IFERROR(IF(AND(IFERROR(INDEX(ERP資料!$A:$A, (MATCH(466, 輔助計算!$G$2:$G$801, 0)+1)), "")&lt;&gt;"", IFERROR(INDEX(ERP資料!$A:$A, (MATCH(466, 輔助計算!$G$2:$G$801, 0)+1)), "")&lt;&gt;IFERROR(INDEX(ERP資料!$A:$A, MATCH(465, 輔助計算!$G$2:$G$801, 0)+1), "")), IFERROR(INDEX(ERP資料!$A:$A, (MATCH(466, 輔助計算!$G$2:$G$801, 0)+1)), ""), ""), "")</f>
        <v/>
      </c>
      <c r="B467" s="10">
        <f>IFERROR(IF(AND(IFERROR(INDEX(ERP資料!$A:$A, (MATCH(466, 輔助計算!$G$2:$G$801, 0)+1)), "")&lt;&gt;"", IFERROR(INDEX(ERP資料!$A:$A, (MATCH(466, 輔助計算!$G$2:$G$801, 0)+1)), "")&lt;&gt;IFERROR(INDEX(ERP資料!$A:$A, MATCH(465, 輔助計算!$G$2:$G$801, 0)+1), "")), INDEX(ERP資料!$S:$S, (MATCH(466, 輔助計算!$G$2:$G$801, 0)+1)), ""), "")</f>
        <v/>
      </c>
      <c r="C467" s="19">
        <f>IFERROR(IF(AND(IFERROR(INDEX(ERP資料!$A:$A, (MATCH(466, 輔助計算!$G$2:$G$801, 0)+1)), "")&lt;&gt;"", IFERROR(INDEX(ERP資料!$A:$A, (MATCH(466, 輔助計算!$G$2:$G$801, 0)+1)), "")&lt;&gt;IFERROR(INDEX(ERP資料!$A:$A, MATCH(465, 輔助計算!$G$2:$G$801, 0)+1), "")), IFERROR(VLOOKUP(LEFT(INDEX(ERP資料!$S:$S, (MATCH(466, 輔助計算!$G$2:$G$801, 0)+1)), 4), 紙管對照表!$A:$C, 3, FALSE), ""), ""), "")</f>
        <v/>
      </c>
      <c r="D467" s="16" t="n"/>
      <c r="E467" s="10">
        <f>IFERROR(IF(INDEX(ERP資料!$H:$H, (MATCH(466, 輔助計算!$G$2:$G$801, 0)+1))="","",INDEX(ERP資料!$H:$H, (MATCH(466, 輔助計算!$G$2:$G$801, 0)+1))), "")</f>
        <v/>
      </c>
      <c r="F467" s="10">
        <f>IFERROR(IF(INDEX(ERP資料!$E:$E, (MATCH(466, 輔助計算!$G$2:$G$801, 0)+1))="","",TRIM(INDEX(ERP資料!$E:$E, (MATCH(466, 輔助計算!$G$2:$G$801, 0)+1)))), "")</f>
        <v/>
      </c>
      <c r="G467" s="10">
        <f>IFERROR(IF(INDEX(ERP資料!$F:$F, (MATCH(466, 輔助計算!$G$2:$G$801, 0)+1))="","",INDEX(ERP資料!$F:$F, (MATCH(466, 輔助計算!$G$2:$G$801, 0)+1))), "")</f>
        <v/>
      </c>
      <c r="H467" s="10">
        <f>IFERROR(IF(INDEX(ERP資料!$G:$G, (MATCH(466, 輔助計算!$G$2:$G$801, 0)+1))="","",INDEX(ERP資料!$G:$G, (MATCH(466, 輔助計算!$G$2:$G$801, 0)+1))), "")</f>
        <v/>
      </c>
      <c r="I467" s="15">
        <f>IFERROR(INDEX(輔助計算!$D:$D, (MATCH(466, 輔助計算!$G$2:$G$801, 0)+1)), "")</f>
        <v/>
      </c>
      <c r="J467" s="15">
        <f>IFERROR(IF(AND(INDEX(輔助計算!$D:$D, (MATCH(466, 輔助計算!$G$2:$G$801, 0)+1))&lt;&gt;"", INDEX(ERP資料!$G:$G, (MATCH(466, 輔助計算!$G$2:$G$801, 0)+1))&lt;&gt;""), TRIM(IF(INT(INDEX(輔助計算!$D:$D, (MATCH(466, 輔助計算!$G$2:$G$801, 0)+1))/IF(INDEX(ERP資料!$G:$G, (MATCH(466, 輔助計算!$G$2:$G$801, 0)+1))&lt;100, IF(INDEX(ERP資料!$G:$G, (MATCH(466, 輔助計算!$G$2:$G$801, 0)+1))&lt;=31,3,IF(INDEX(ERP資料!$G:$G, (MATCH(466, 輔助計算!$G$2:$G$801, 0)+1))&lt;=46.5,2,1)), IF(INDEX(ERP資料!$G:$G, (MATCH(466, 輔助計算!$G$2:$G$801, 0)+1))&lt;=790,3,IF(INDEX(ERP資料!$G:$G, (MATCH(466, 輔助計算!$G$2:$G$801, 0)+1))&lt;=1181,2,1))))&gt;0, IF(IF(INDEX(ERP資料!$G:$G, (MATCH(466, 輔助計算!$G$2:$G$801, 0)+1))&lt;100, IF(INDEX(ERP資料!$G:$G, (MATCH(466, 輔助計算!$G$2:$G$801, 0)+1))&lt;=31,3,IF(INDEX(ERP資料!$G:$G, (MATCH(466, 輔助計算!$G$2:$G$801, 0)+1))&lt;=46.5,2,1)), IF(INDEX(ERP資料!$G:$G, (MATCH(466, 輔助計算!$G$2:$G$801, 0)+1))&lt;=790,3,IF(INDEX(ERP資料!$G:$G, (MATCH(466, 輔助計算!$G$2:$G$801, 0)+1))&lt;=1181,2,1)))=1,TEXT(INDEX(ERP資料!$G:$G, (MATCH(466, 輔助計算!$G$2:$G$801, 0)+1)),"0.##"),IF(IF(INDEX(ERP資料!$G:$G, (MATCH(466, 輔助計算!$G$2:$G$801, 0)+1))&lt;100, IF(INDEX(ERP資料!$G:$G, (MATCH(466, 輔助計算!$G$2:$G$801, 0)+1))&lt;=31,3,IF(INDEX(ERP資料!$G:$G, (MATCH(466, 輔助計算!$G$2:$G$801, 0)+1))&lt;=46.5,2,1)), IF(INDEX(ERP資料!$G:$G, (MATCH(466, 輔助計算!$G$2:$G$801, 0)+1))&lt;=790,3,IF(INDEX(ERP資料!$G:$G, (MATCH(466, 輔助計算!$G$2:$G$801, 0)+1))&lt;=1181,2,1)))=2,TEXT(INDEX(ERP資料!$G:$G, (MATCH(466, 輔助計算!$G$2:$G$801, 0)+1)),"0.##")&amp;"+"&amp;TEXT(INDEX(ERP資料!$G:$G, (MATCH(466, 輔助計算!$G$2:$G$801, 0)+1)),"0.##"),TEXT(INDEX(ERP資料!$G:$G, (MATCH(466, 輔助計算!$G$2:$G$801, 0)+1)),"0.##")&amp;"+"&amp;TEXT(INDEX(ERP資料!$G:$G, (MATCH(466, 輔助計算!$G$2:$G$801, 0)+1)),"0.##")&amp;"+"&amp;TEXT(INDEX(ERP資料!$G:$G, (MATCH(466, 輔助計算!$G$2:$G$801, 0)+1)),"0.##")))&amp;"-"&amp;INT(INDEX(輔助計算!$D:$D, (MATCH(466, 輔助計算!$G$2:$G$801, 0)+1))/IF(INDEX(ERP資料!$G:$G, (MATCH(466, 輔助計算!$G$2:$G$801, 0)+1))&lt;100, IF(INDEX(ERP資料!$G:$G, (MATCH(466, 輔助計算!$G$2:$G$801, 0)+1))&lt;=31,3,IF(INDEX(ERP資料!$G:$G, (MATCH(466, 輔助計算!$G$2:$G$801, 0)+1))&lt;=46.5,2,1)), IF(INDEX(ERP資料!$G:$G, (MATCH(466, 輔助計算!$G$2:$G$801, 0)+1))&lt;=790,3,IF(INDEX(ERP資料!$G:$G, (MATCH(466, 輔助計算!$G$2:$G$801, 0)+1))&lt;=1181,2,1)))), "")&amp;IF(AND(IF(INT(INDEX(輔助計算!$D:$D, (MATCH(466, 輔助計算!$G$2:$G$801, 0)+1))/IF(INDEX(ERP資料!$G:$G, (MATCH(466, 輔助計算!$G$2:$G$801, 0)+1))&lt;100, IF(INDEX(ERP資料!$G:$G, (MATCH(466, 輔助計算!$G$2:$G$801, 0)+1))&lt;=31,3,IF(INDEX(ERP資料!$G:$G, (MATCH(466, 輔助計算!$G$2:$G$801, 0)+1))&lt;=46.5,2,1)), IF(INDEX(ERP資料!$G:$G, (MATCH(466, 輔助計算!$G$2:$G$801, 0)+1))&lt;=790,3,IF(INDEX(ERP資料!$G:$G, (MATCH(466, 輔助計算!$G$2:$G$801, 0)+1))&lt;=1181,2,1))))&gt;0, IF(IF(INDEX(ERP資料!$G:$G, (MATCH(466, 輔助計算!$G$2:$G$801, 0)+1))&lt;100, IF(INDEX(ERP資料!$G:$G, (MATCH(466, 輔助計算!$G$2:$G$801, 0)+1))&lt;=31,3,IF(INDEX(ERP資料!$G:$G, (MATCH(466, 輔助計算!$G$2:$G$801, 0)+1))&lt;=46.5,2,1)), IF(INDEX(ERP資料!$G:$G, (MATCH(466, 輔助計算!$G$2:$G$801, 0)+1))&lt;=790,3,IF(INDEX(ERP資料!$G:$G, (MATCH(466, 輔助計算!$G$2:$G$801, 0)+1))&lt;=1181,2,1)))=1,TEXT(INDEX(ERP資料!$G:$G, (MATCH(466, 輔助計算!$G$2:$G$801, 0)+1)),"0.##"),IF(IF(INDEX(ERP資料!$G:$G, (MATCH(466, 輔助計算!$G$2:$G$801, 0)+1))&lt;100, IF(INDEX(ERP資料!$G:$G, (MATCH(466, 輔助計算!$G$2:$G$801, 0)+1))&lt;=31,3,IF(INDEX(ERP資料!$G:$G, (MATCH(466, 輔助計算!$G$2:$G$801, 0)+1))&lt;=46.5,2,1)), IF(INDEX(ERP資料!$G:$G, (MATCH(466, 輔助計算!$G$2:$G$801, 0)+1))&lt;=790,3,IF(INDEX(ERP資料!$G:$G, (MATCH(466, 輔助計算!$G$2:$G$801, 0)+1))&lt;=1181,2,1)))=2,TEXT(INDEX(ERP資料!$G:$G, (MATCH(466, 輔助計算!$G$2:$G$801, 0)+1)),"0.##")&amp;"+"&amp;TEXT(INDEX(ERP資料!$G:$G, (MATCH(466, 輔助計算!$G$2:$G$801, 0)+1)),"0.##"),TEXT(INDEX(ERP資料!$G:$G, (MATCH(466, 輔助計算!$G$2:$G$801, 0)+1)),"0.##")&amp;"+"&amp;TEXT(INDEX(ERP資料!$G:$G, (MATCH(466, 輔助計算!$G$2:$G$801, 0)+1)),"0.##")&amp;"+"&amp;TEXT(INDEX(ERP資料!$G:$G, (MATCH(466, 輔助計算!$G$2:$G$801, 0)+1)),"0.##")))&amp;"-"&amp;INT(INDEX(輔助計算!$D:$D, (MATCH(466, 輔助計算!$G$2:$G$801, 0)+1))/IF(INDEX(ERP資料!$G:$G, (MATCH(466, 輔助計算!$G$2:$G$801, 0)+1))&lt;100, IF(INDEX(ERP資料!$G:$G, (MATCH(466, 輔助計算!$G$2:$G$801, 0)+1))&lt;=31,3,IF(INDEX(ERP資料!$G:$G, (MATCH(466, 輔助計算!$G$2:$G$801, 0)+1))&lt;=46.5,2,1)), IF(INDEX(ERP資料!$G:$G, (MATCH(466, 輔助計算!$G$2:$G$801, 0)+1))&lt;=790,3,IF(INDEX(ERP資料!$G:$G, (MATCH(466, 輔助計算!$G$2:$G$801, 0)+1))&lt;=1181,2,1)))), "")&lt;&gt;"",IF(MOD(INDEX(輔助計算!$D:$D, (MATCH(466, 輔助計算!$G$2:$G$801, 0)+1)),IF(INDEX(ERP資料!$G:$G, (MATCH(466, 輔助計算!$G$2:$G$801, 0)+1))&lt;100, IF(INDEX(ERP資料!$G:$G, (MATCH(466, 輔助計算!$G$2:$G$801, 0)+1))&lt;=31,3,IF(INDEX(ERP資料!$G:$G, (MATCH(466, 輔助計算!$G$2:$G$801, 0)+1))&lt;=46.5,2,1)), IF(INDEX(ERP資料!$G:$G, (MATCH(466, 輔助計算!$G$2:$G$801, 0)+1))&lt;=790,3,IF(INDEX(ERP資料!$G:$G, (MATCH(466, 輔助計算!$G$2:$G$801, 0)+1))&lt;=1181,2,1))))=0,"",IF(MOD(INDEX(輔助計算!$D:$D, (MATCH(466, 輔助計算!$G$2:$G$801, 0)+1)),IF(INDEX(ERP資料!$G:$G, (MATCH(466, 輔助計算!$G$2:$G$801, 0)+1))&lt;100, IF(INDEX(ERP資料!$G:$G, (MATCH(466, 輔助計算!$G$2:$G$801, 0)+1))&lt;=31,3,IF(INDEX(ERP資料!$G:$G, (MATCH(466, 輔助計算!$G$2:$G$801, 0)+1))&lt;=46.5,2,1)), IF(INDEX(ERP資料!$G:$G, (MATCH(466, 輔助計算!$G$2:$G$801, 0)+1))&lt;=790,3,IF(INDEX(ERP資料!$G:$G, (MATCH(466, 輔助計算!$G$2:$G$801, 0)+1))&lt;=1181,2,1))))=0,"",IF(MOD(INDEX(輔助計算!$D:$D, (MATCH(466, 輔助計算!$G$2:$G$801, 0)+1)),IF(INDEX(ERP資料!$G:$G, (MATCH(466, 輔助計算!$G$2:$G$801, 0)+1))&lt;100, IF(INDEX(ERP資料!$G:$G, (MATCH(466, 輔助計算!$G$2:$G$801, 0)+1))&lt;=31,3,IF(INDEX(ERP資料!$G:$G, (MATCH(466, 輔助計算!$G$2:$G$801, 0)+1))&lt;=46.5,2,1)), IF(INDEX(ERP資料!$G:$G, (MATCH(466, 輔助計算!$G$2:$G$801, 0)+1))&lt;=790,3,IF(INDEX(ERP資料!$G:$G, (MATCH(466, 輔助計算!$G$2:$G$801, 0)+1))&lt;=1181,2,1))))=1,TEXT(INDEX(ERP資料!$G:$G, (MATCH(466, 輔助計算!$G$2:$G$801, 0)+1)),"0.##"),IF(MOD(INDEX(輔助計算!$D:$D, (MATCH(466, 輔助計算!$G$2:$G$801, 0)+1)),IF(INDEX(ERP資料!$G:$G, (MATCH(466, 輔助計算!$G$2:$G$801, 0)+1))&lt;100, IF(INDEX(ERP資料!$G:$G, (MATCH(466, 輔助計算!$G$2:$G$801, 0)+1))&lt;=31,3,IF(INDEX(ERP資料!$G:$G, (MATCH(466, 輔助計算!$G$2:$G$801, 0)+1))&lt;=46.5,2,1)), IF(INDEX(ERP資料!$G:$G, (MATCH(466, 輔助計算!$G$2:$G$801, 0)+1))&lt;=790,3,IF(INDEX(ERP資料!$G:$G, (MATCH(466, 輔助計算!$G$2:$G$801, 0)+1))&lt;=1181,2,1))))=2,TEXT(INDEX(ERP資料!$G:$G, (MATCH(466, 輔助計算!$G$2:$G$801, 0)+1)),"0.##")&amp;"+"&amp;TEXT(INDEX(ERP資料!$G:$G, (MATCH(466, 輔助計算!$G$2:$G$801, 0)+1)),"0.##"),TEXT(INDEX(ERP資料!$G:$G, (MATCH(466, 輔助計算!$G$2:$G$801, 0)+1)),"0.##")&amp;"+"&amp;TEXT(INDEX(ERP資料!$G:$G, (MATCH(466, 輔助計算!$G$2:$G$801, 0)+1)),"0.##")&amp;"+"&amp;TEXT(INDEX(ERP資料!$G:$G, (MATCH(466, 輔助計算!$G$2:$G$801, 0)+1)),"0.##"))))&amp;"-1")&lt;&gt;""),"  ","")&amp;IF(MOD(INDEX(輔助計算!$D:$D, (MATCH(466, 輔助計算!$G$2:$G$801, 0)+1)),IF(INDEX(ERP資料!$G:$G, (MATCH(466, 輔助計算!$G$2:$G$801, 0)+1))&lt;100, IF(INDEX(ERP資料!$G:$G, (MATCH(466, 輔助計算!$G$2:$G$801, 0)+1))&lt;=31,3,IF(INDEX(ERP資料!$G:$G, (MATCH(466, 輔助計算!$G$2:$G$801, 0)+1))&lt;=46.5,2,1)), IF(INDEX(ERP資料!$G:$G, (MATCH(466, 輔助計算!$G$2:$G$801, 0)+1))&lt;=790,3,IF(INDEX(ERP資料!$G:$G, (MATCH(466, 輔助計算!$G$2:$G$801, 0)+1))&lt;=1181,2,1))))=0,"",IF(MOD(INDEX(輔助計算!$D:$D, (MATCH(466, 輔助計算!$G$2:$G$801, 0)+1)),IF(INDEX(ERP資料!$G:$G, (MATCH(466, 輔助計算!$G$2:$G$801, 0)+1))&lt;100, IF(INDEX(ERP資料!$G:$G, (MATCH(466, 輔助計算!$G$2:$G$801, 0)+1))&lt;=31,3,IF(INDEX(ERP資料!$G:$G, (MATCH(466, 輔助計算!$G$2:$G$801, 0)+1))&lt;=46.5,2,1)), IF(INDEX(ERP資料!$G:$G, (MATCH(466, 輔助計算!$G$2:$G$801, 0)+1))&lt;=790,3,IF(INDEX(ERP資料!$G:$G, (MATCH(466, 輔助計算!$G$2:$G$801, 0)+1))&lt;=1181,2,1))))=0,"",IF(MOD(INDEX(輔助計算!$D:$D, (MATCH(466, 輔助計算!$G$2:$G$801, 0)+1)),IF(INDEX(ERP資料!$G:$G, (MATCH(466, 輔助計算!$G$2:$G$801, 0)+1))&lt;100, IF(INDEX(ERP資料!$G:$G, (MATCH(466, 輔助計算!$G$2:$G$801, 0)+1))&lt;=31,3,IF(INDEX(ERP資料!$G:$G, (MATCH(466, 輔助計算!$G$2:$G$801, 0)+1))&lt;=46.5,2,1)), IF(INDEX(ERP資料!$G:$G, (MATCH(466, 輔助計算!$G$2:$G$801, 0)+1))&lt;=790,3,IF(INDEX(ERP資料!$G:$G, (MATCH(466, 輔助計算!$G$2:$G$801, 0)+1))&lt;=1181,2,1))))=1,TEXT(INDEX(ERP資料!$G:$G, (MATCH(466, 輔助計算!$G$2:$G$801, 0)+1)),"0.##"),IF(MOD(INDEX(輔助計算!$D:$D, (MATCH(466, 輔助計算!$G$2:$G$801, 0)+1)),IF(INDEX(ERP資料!$G:$G, (MATCH(466, 輔助計算!$G$2:$G$801, 0)+1))&lt;100, IF(INDEX(ERP資料!$G:$G, (MATCH(466, 輔助計算!$G$2:$G$801, 0)+1))&lt;=31,3,IF(INDEX(ERP資料!$G:$G, (MATCH(466, 輔助計算!$G$2:$G$801, 0)+1))&lt;=46.5,2,1)), IF(INDEX(ERP資料!$G:$G, (MATCH(466, 輔助計算!$G$2:$G$801, 0)+1))&lt;=790,3,IF(INDEX(ERP資料!$G:$G, (MATCH(466, 輔助計算!$G$2:$G$801, 0)+1))&lt;=1181,2,1))))=2,TEXT(INDEX(ERP資料!$G:$G, (MATCH(466, 輔助計算!$G$2:$G$801, 0)+1)),"0.##")&amp;"+"&amp;TEXT(INDEX(ERP資料!$G:$G, (MATCH(466, 輔助計算!$G$2:$G$801, 0)+1)),"0.##"),TEXT(INDEX(ERP資料!$G:$G, (MATCH(466, 輔助計算!$G$2:$G$801, 0)+1)),"0.##")&amp;"+"&amp;TEXT(INDEX(ERP資料!$G:$G, (MATCH(466, 輔助計算!$G$2:$G$801, 0)+1)),"0.##")&amp;"+"&amp;TEXT(INDEX(ERP資料!$G:$G, (MATCH(466, 輔助計算!$G$2:$G$801, 0)+1)),"0.##"))))&amp;"-1")), ""), "")</f>
        <v/>
      </c>
      <c r="K467" s="16" t="n"/>
      <c r="L467" s="14">
        <f>IFERROR(IF(AND(IFERROR(INDEX(ERP資料!$A:$A, (MATCH(466, 輔助計算!$G$2:$G$801, 0)+1)), "")&lt;&gt;"", IFERROR(INDEX(ERP資料!$A:$A, (MATCH(466, 輔助計算!$G$2:$G$801, 0)+1)), "")&lt;&gt;IFERROR(INDEX(ERP資料!$A:$A, MATCH(465, 輔助計算!$G$2:$G$801, 0)+1), "")), INDEX(ERP資料!$B:$B, (MATCH(466, 輔助計算!$G$2:$G$801, 0)+1)), ""), "")</f>
        <v/>
      </c>
      <c r="M467" s="17" t="n"/>
    </row>
    <row r="468">
      <c r="A468" s="10">
        <f>IFERROR(IF(AND(IFERROR(INDEX(ERP資料!$A:$A, (MATCH(467, 輔助計算!$G$2:$G$801, 0)+1)), "")&lt;&gt;"", IFERROR(INDEX(ERP資料!$A:$A, (MATCH(467, 輔助計算!$G$2:$G$801, 0)+1)), "")&lt;&gt;IFERROR(INDEX(ERP資料!$A:$A, MATCH(466, 輔助計算!$G$2:$G$801, 0)+1), "")), IFERROR(INDEX(ERP資料!$A:$A, (MATCH(467, 輔助計算!$G$2:$G$801, 0)+1)), ""), ""), "")</f>
        <v/>
      </c>
      <c r="B468" s="10">
        <f>IFERROR(IF(AND(IFERROR(INDEX(ERP資料!$A:$A, (MATCH(467, 輔助計算!$G$2:$G$801, 0)+1)), "")&lt;&gt;"", IFERROR(INDEX(ERP資料!$A:$A, (MATCH(467, 輔助計算!$G$2:$G$801, 0)+1)), "")&lt;&gt;IFERROR(INDEX(ERP資料!$A:$A, MATCH(466, 輔助計算!$G$2:$G$801, 0)+1), "")), INDEX(ERP資料!$S:$S, (MATCH(467, 輔助計算!$G$2:$G$801, 0)+1)), ""), "")</f>
        <v/>
      </c>
      <c r="C468" s="19">
        <f>IFERROR(IF(AND(IFERROR(INDEX(ERP資料!$A:$A, (MATCH(467, 輔助計算!$G$2:$G$801, 0)+1)), "")&lt;&gt;"", IFERROR(INDEX(ERP資料!$A:$A, (MATCH(467, 輔助計算!$G$2:$G$801, 0)+1)), "")&lt;&gt;IFERROR(INDEX(ERP資料!$A:$A, MATCH(466, 輔助計算!$G$2:$G$801, 0)+1), "")), IFERROR(VLOOKUP(LEFT(INDEX(ERP資料!$S:$S, (MATCH(467, 輔助計算!$G$2:$G$801, 0)+1)), 4), 紙管對照表!$A:$C, 3, FALSE), ""), ""), "")</f>
        <v/>
      </c>
      <c r="D468" s="16" t="n"/>
      <c r="E468" s="10">
        <f>IFERROR(IF(INDEX(ERP資料!$H:$H, (MATCH(467, 輔助計算!$G$2:$G$801, 0)+1))="","",INDEX(ERP資料!$H:$H, (MATCH(467, 輔助計算!$G$2:$G$801, 0)+1))), "")</f>
        <v/>
      </c>
      <c r="F468" s="10">
        <f>IFERROR(IF(INDEX(ERP資料!$E:$E, (MATCH(467, 輔助計算!$G$2:$G$801, 0)+1))="","",TRIM(INDEX(ERP資料!$E:$E, (MATCH(467, 輔助計算!$G$2:$G$801, 0)+1)))), "")</f>
        <v/>
      </c>
      <c r="G468" s="10">
        <f>IFERROR(IF(INDEX(ERP資料!$F:$F, (MATCH(467, 輔助計算!$G$2:$G$801, 0)+1))="","",INDEX(ERP資料!$F:$F, (MATCH(467, 輔助計算!$G$2:$G$801, 0)+1))), "")</f>
        <v/>
      </c>
      <c r="H468" s="10">
        <f>IFERROR(IF(INDEX(ERP資料!$G:$G, (MATCH(467, 輔助計算!$G$2:$G$801, 0)+1))="","",INDEX(ERP資料!$G:$G, (MATCH(467, 輔助計算!$G$2:$G$801, 0)+1))), "")</f>
        <v/>
      </c>
      <c r="I468" s="15">
        <f>IFERROR(INDEX(輔助計算!$D:$D, (MATCH(467, 輔助計算!$G$2:$G$801, 0)+1)), "")</f>
        <v/>
      </c>
      <c r="J468" s="15">
        <f>IFERROR(IF(AND(INDEX(輔助計算!$D:$D, (MATCH(467, 輔助計算!$G$2:$G$801, 0)+1))&lt;&gt;"", INDEX(ERP資料!$G:$G, (MATCH(467, 輔助計算!$G$2:$G$801, 0)+1))&lt;&gt;""), TRIM(IF(INT(INDEX(輔助計算!$D:$D, (MATCH(467, 輔助計算!$G$2:$G$801, 0)+1))/IF(INDEX(ERP資料!$G:$G, (MATCH(467, 輔助計算!$G$2:$G$801, 0)+1))&lt;100, IF(INDEX(ERP資料!$G:$G, (MATCH(467, 輔助計算!$G$2:$G$801, 0)+1))&lt;=31,3,IF(INDEX(ERP資料!$G:$G, (MATCH(467, 輔助計算!$G$2:$G$801, 0)+1))&lt;=46.5,2,1)), IF(INDEX(ERP資料!$G:$G, (MATCH(467, 輔助計算!$G$2:$G$801, 0)+1))&lt;=790,3,IF(INDEX(ERP資料!$G:$G, (MATCH(467, 輔助計算!$G$2:$G$801, 0)+1))&lt;=1181,2,1))))&gt;0, IF(IF(INDEX(ERP資料!$G:$G, (MATCH(467, 輔助計算!$G$2:$G$801, 0)+1))&lt;100, IF(INDEX(ERP資料!$G:$G, (MATCH(467, 輔助計算!$G$2:$G$801, 0)+1))&lt;=31,3,IF(INDEX(ERP資料!$G:$G, (MATCH(467, 輔助計算!$G$2:$G$801, 0)+1))&lt;=46.5,2,1)), IF(INDEX(ERP資料!$G:$G, (MATCH(467, 輔助計算!$G$2:$G$801, 0)+1))&lt;=790,3,IF(INDEX(ERP資料!$G:$G, (MATCH(467, 輔助計算!$G$2:$G$801, 0)+1))&lt;=1181,2,1)))=1,TEXT(INDEX(ERP資料!$G:$G, (MATCH(467, 輔助計算!$G$2:$G$801, 0)+1)),"0.##"),IF(IF(INDEX(ERP資料!$G:$G, (MATCH(467, 輔助計算!$G$2:$G$801, 0)+1))&lt;100, IF(INDEX(ERP資料!$G:$G, (MATCH(467, 輔助計算!$G$2:$G$801, 0)+1))&lt;=31,3,IF(INDEX(ERP資料!$G:$G, (MATCH(467, 輔助計算!$G$2:$G$801, 0)+1))&lt;=46.5,2,1)), IF(INDEX(ERP資料!$G:$G, (MATCH(467, 輔助計算!$G$2:$G$801, 0)+1))&lt;=790,3,IF(INDEX(ERP資料!$G:$G, (MATCH(467, 輔助計算!$G$2:$G$801, 0)+1))&lt;=1181,2,1)))=2,TEXT(INDEX(ERP資料!$G:$G, (MATCH(467, 輔助計算!$G$2:$G$801, 0)+1)),"0.##")&amp;"+"&amp;TEXT(INDEX(ERP資料!$G:$G, (MATCH(467, 輔助計算!$G$2:$G$801, 0)+1)),"0.##"),TEXT(INDEX(ERP資料!$G:$G, (MATCH(467, 輔助計算!$G$2:$G$801, 0)+1)),"0.##")&amp;"+"&amp;TEXT(INDEX(ERP資料!$G:$G, (MATCH(467, 輔助計算!$G$2:$G$801, 0)+1)),"0.##")&amp;"+"&amp;TEXT(INDEX(ERP資料!$G:$G, (MATCH(467, 輔助計算!$G$2:$G$801, 0)+1)),"0.##")))&amp;"-"&amp;INT(INDEX(輔助計算!$D:$D, (MATCH(467, 輔助計算!$G$2:$G$801, 0)+1))/IF(INDEX(ERP資料!$G:$G, (MATCH(467, 輔助計算!$G$2:$G$801, 0)+1))&lt;100, IF(INDEX(ERP資料!$G:$G, (MATCH(467, 輔助計算!$G$2:$G$801, 0)+1))&lt;=31,3,IF(INDEX(ERP資料!$G:$G, (MATCH(467, 輔助計算!$G$2:$G$801, 0)+1))&lt;=46.5,2,1)), IF(INDEX(ERP資料!$G:$G, (MATCH(467, 輔助計算!$G$2:$G$801, 0)+1))&lt;=790,3,IF(INDEX(ERP資料!$G:$G, (MATCH(467, 輔助計算!$G$2:$G$801, 0)+1))&lt;=1181,2,1)))), "")&amp;IF(AND(IF(INT(INDEX(輔助計算!$D:$D, (MATCH(467, 輔助計算!$G$2:$G$801, 0)+1))/IF(INDEX(ERP資料!$G:$G, (MATCH(467, 輔助計算!$G$2:$G$801, 0)+1))&lt;100, IF(INDEX(ERP資料!$G:$G, (MATCH(467, 輔助計算!$G$2:$G$801, 0)+1))&lt;=31,3,IF(INDEX(ERP資料!$G:$G, (MATCH(467, 輔助計算!$G$2:$G$801, 0)+1))&lt;=46.5,2,1)), IF(INDEX(ERP資料!$G:$G, (MATCH(467, 輔助計算!$G$2:$G$801, 0)+1))&lt;=790,3,IF(INDEX(ERP資料!$G:$G, (MATCH(467, 輔助計算!$G$2:$G$801, 0)+1))&lt;=1181,2,1))))&gt;0, IF(IF(INDEX(ERP資料!$G:$G, (MATCH(467, 輔助計算!$G$2:$G$801, 0)+1))&lt;100, IF(INDEX(ERP資料!$G:$G, (MATCH(467, 輔助計算!$G$2:$G$801, 0)+1))&lt;=31,3,IF(INDEX(ERP資料!$G:$G, (MATCH(467, 輔助計算!$G$2:$G$801, 0)+1))&lt;=46.5,2,1)), IF(INDEX(ERP資料!$G:$G, (MATCH(467, 輔助計算!$G$2:$G$801, 0)+1))&lt;=790,3,IF(INDEX(ERP資料!$G:$G, (MATCH(467, 輔助計算!$G$2:$G$801, 0)+1))&lt;=1181,2,1)))=1,TEXT(INDEX(ERP資料!$G:$G, (MATCH(467, 輔助計算!$G$2:$G$801, 0)+1)),"0.##"),IF(IF(INDEX(ERP資料!$G:$G, (MATCH(467, 輔助計算!$G$2:$G$801, 0)+1))&lt;100, IF(INDEX(ERP資料!$G:$G, (MATCH(467, 輔助計算!$G$2:$G$801, 0)+1))&lt;=31,3,IF(INDEX(ERP資料!$G:$G, (MATCH(467, 輔助計算!$G$2:$G$801, 0)+1))&lt;=46.5,2,1)), IF(INDEX(ERP資料!$G:$G, (MATCH(467, 輔助計算!$G$2:$G$801, 0)+1))&lt;=790,3,IF(INDEX(ERP資料!$G:$G, (MATCH(467, 輔助計算!$G$2:$G$801, 0)+1))&lt;=1181,2,1)))=2,TEXT(INDEX(ERP資料!$G:$G, (MATCH(467, 輔助計算!$G$2:$G$801, 0)+1)),"0.##")&amp;"+"&amp;TEXT(INDEX(ERP資料!$G:$G, (MATCH(467, 輔助計算!$G$2:$G$801, 0)+1)),"0.##"),TEXT(INDEX(ERP資料!$G:$G, (MATCH(467, 輔助計算!$G$2:$G$801, 0)+1)),"0.##")&amp;"+"&amp;TEXT(INDEX(ERP資料!$G:$G, (MATCH(467, 輔助計算!$G$2:$G$801, 0)+1)),"0.##")&amp;"+"&amp;TEXT(INDEX(ERP資料!$G:$G, (MATCH(467, 輔助計算!$G$2:$G$801, 0)+1)),"0.##")))&amp;"-"&amp;INT(INDEX(輔助計算!$D:$D, (MATCH(467, 輔助計算!$G$2:$G$801, 0)+1))/IF(INDEX(ERP資料!$G:$G, (MATCH(467, 輔助計算!$G$2:$G$801, 0)+1))&lt;100, IF(INDEX(ERP資料!$G:$G, (MATCH(467, 輔助計算!$G$2:$G$801, 0)+1))&lt;=31,3,IF(INDEX(ERP資料!$G:$G, (MATCH(467, 輔助計算!$G$2:$G$801, 0)+1))&lt;=46.5,2,1)), IF(INDEX(ERP資料!$G:$G, (MATCH(467, 輔助計算!$G$2:$G$801, 0)+1))&lt;=790,3,IF(INDEX(ERP資料!$G:$G, (MATCH(467, 輔助計算!$G$2:$G$801, 0)+1))&lt;=1181,2,1)))), "")&lt;&gt;"",IF(MOD(INDEX(輔助計算!$D:$D, (MATCH(467, 輔助計算!$G$2:$G$801, 0)+1)),IF(INDEX(ERP資料!$G:$G, (MATCH(467, 輔助計算!$G$2:$G$801, 0)+1))&lt;100, IF(INDEX(ERP資料!$G:$G, (MATCH(467, 輔助計算!$G$2:$G$801, 0)+1))&lt;=31,3,IF(INDEX(ERP資料!$G:$G, (MATCH(467, 輔助計算!$G$2:$G$801, 0)+1))&lt;=46.5,2,1)), IF(INDEX(ERP資料!$G:$G, (MATCH(467, 輔助計算!$G$2:$G$801, 0)+1))&lt;=790,3,IF(INDEX(ERP資料!$G:$G, (MATCH(467, 輔助計算!$G$2:$G$801, 0)+1))&lt;=1181,2,1))))=0,"",IF(MOD(INDEX(輔助計算!$D:$D, (MATCH(467, 輔助計算!$G$2:$G$801, 0)+1)),IF(INDEX(ERP資料!$G:$G, (MATCH(467, 輔助計算!$G$2:$G$801, 0)+1))&lt;100, IF(INDEX(ERP資料!$G:$G, (MATCH(467, 輔助計算!$G$2:$G$801, 0)+1))&lt;=31,3,IF(INDEX(ERP資料!$G:$G, (MATCH(467, 輔助計算!$G$2:$G$801, 0)+1))&lt;=46.5,2,1)), IF(INDEX(ERP資料!$G:$G, (MATCH(467, 輔助計算!$G$2:$G$801, 0)+1))&lt;=790,3,IF(INDEX(ERP資料!$G:$G, (MATCH(467, 輔助計算!$G$2:$G$801, 0)+1))&lt;=1181,2,1))))=0,"",IF(MOD(INDEX(輔助計算!$D:$D, (MATCH(467, 輔助計算!$G$2:$G$801, 0)+1)),IF(INDEX(ERP資料!$G:$G, (MATCH(467, 輔助計算!$G$2:$G$801, 0)+1))&lt;100, IF(INDEX(ERP資料!$G:$G, (MATCH(467, 輔助計算!$G$2:$G$801, 0)+1))&lt;=31,3,IF(INDEX(ERP資料!$G:$G, (MATCH(467, 輔助計算!$G$2:$G$801, 0)+1))&lt;=46.5,2,1)), IF(INDEX(ERP資料!$G:$G, (MATCH(467, 輔助計算!$G$2:$G$801, 0)+1))&lt;=790,3,IF(INDEX(ERP資料!$G:$G, (MATCH(467, 輔助計算!$G$2:$G$801, 0)+1))&lt;=1181,2,1))))=1,TEXT(INDEX(ERP資料!$G:$G, (MATCH(467, 輔助計算!$G$2:$G$801, 0)+1)),"0.##"),IF(MOD(INDEX(輔助計算!$D:$D, (MATCH(467, 輔助計算!$G$2:$G$801, 0)+1)),IF(INDEX(ERP資料!$G:$G, (MATCH(467, 輔助計算!$G$2:$G$801, 0)+1))&lt;100, IF(INDEX(ERP資料!$G:$G, (MATCH(467, 輔助計算!$G$2:$G$801, 0)+1))&lt;=31,3,IF(INDEX(ERP資料!$G:$G, (MATCH(467, 輔助計算!$G$2:$G$801, 0)+1))&lt;=46.5,2,1)), IF(INDEX(ERP資料!$G:$G, (MATCH(467, 輔助計算!$G$2:$G$801, 0)+1))&lt;=790,3,IF(INDEX(ERP資料!$G:$G, (MATCH(467, 輔助計算!$G$2:$G$801, 0)+1))&lt;=1181,2,1))))=2,TEXT(INDEX(ERP資料!$G:$G, (MATCH(467, 輔助計算!$G$2:$G$801, 0)+1)),"0.##")&amp;"+"&amp;TEXT(INDEX(ERP資料!$G:$G, (MATCH(467, 輔助計算!$G$2:$G$801, 0)+1)),"0.##"),TEXT(INDEX(ERP資料!$G:$G, (MATCH(467, 輔助計算!$G$2:$G$801, 0)+1)),"0.##")&amp;"+"&amp;TEXT(INDEX(ERP資料!$G:$G, (MATCH(467, 輔助計算!$G$2:$G$801, 0)+1)),"0.##")&amp;"+"&amp;TEXT(INDEX(ERP資料!$G:$G, (MATCH(467, 輔助計算!$G$2:$G$801, 0)+1)),"0.##"))))&amp;"-1")&lt;&gt;""),"  ","")&amp;IF(MOD(INDEX(輔助計算!$D:$D, (MATCH(467, 輔助計算!$G$2:$G$801, 0)+1)),IF(INDEX(ERP資料!$G:$G, (MATCH(467, 輔助計算!$G$2:$G$801, 0)+1))&lt;100, IF(INDEX(ERP資料!$G:$G, (MATCH(467, 輔助計算!$G$2:$G$801, 0)+1))&lt;=31,3,IF(INDEX(ERP資料!$G:$G, (MATCH(467, 輔助計算!$G$2:$G$801, 0)+1))&lt;=46.5,2,1)), IF(INDEX(ERP資料!$G:$G, (MATCH(467, 輔助計算!$G$2:$G$801, 0)+1))&lt;=790,3,IF(INDEX(ERP資料!$G:$G, (MATCH(467, 輔助計算!$G$2:$G$801, 0)+1))&lt;=1181,2,1))))=0,"",IF(MOD(INDEX(輔助計算!$D:$D, (MATCH(467, 輔助計算!$G$2:$G$801, 0)+1)),IF(INDEX(ERP資料!$G:$G, (MATCH(467, 輔助計算!$G$2:$G$801, 0)+1))&lt;100, IF(INDEX(ERP資料!$G:$G, (MATCH(467, 輔助計算!$G$2:$G$801, 0)+1))&lt;=31,3,IF(INDEX(ERP資料!$G:$G, (MATCH(467, 輔助計算!$G$2:$G$801, 0)+1))&lt;=46.5,2,1)), IF(INDEX(ERP資料!$G:$G, (MATCH(467, 輔助計算!$G$2:$G$801, 0)+1))&lt;=790,3,IF(INDEX(ERP資料!$G:$G, (MATCH(467, 輔助計算!$G$2:$G$801, 0)+1))&lt;=1181,2,1))))=0,"",IF(MOD(INDEX(輔助計算!$D:$D, (MATCH(467, 輔助計算!$G$2:$G$801, 0)+1)),IF(INDEX(ERP資料!$G:$G, (MATCH(467, 輔助計算!$G$2:$G$801, 0)+1))&lt;100, IF(INDEX(ERP資料!$G:$G, (MATCH(467, 輔助計算!$G$2:$G$801, 0)+1))&lt;=31,3,IF(INDEX(ERP資料!$G:$G, (MATCH(467, 輔助計算!$G$2:$G$801, 0)+1))&lt;=46.5,2,1)), IF(INDEX(ERP資料!$G:$G, (MATCH(467, 輔助計算!$G$2:$G$801, 0)+1))&lt;=790,3,IF(INDEX(ERP資料!$G:$G, (MATCH(467, 輔助計算!$G$2:$G$801, 0)+1))&lt;=1181,2,1))))=1,TEXT(INDEX(ERP資料!$G:$G, (MATCH(467, 輔助計算!$G$2:$G$801, 0)+1)),"0.##"),IF(MOD(INDEX(輔助計算!$D:$D, (MATCH(467, 輔助計算!$G$2:$G$801, 0)+1)),IF(INDEX(ERP資料!$G:$G, (MATCH(467, 輔助計算!$G$2:$G$801, 0)+1))&lt;100, IF(INDEX(ERP資料!$G:$G, (MATCH(467, 輔助計算!$G$2:$G$801, 0)+1))&lt;=31,3,IF(INDEX(ERP資料!$G:$G, (MATCH(467, 輔助計算!$G$2:$G$801, 0)+1))&lt;=46.5,2,1)), IF(INDEX(ERP資料!$G:$G, (MATCH(467, 輔助計算!$G$2:$G$801, 0)+1))&lt;=790,3,IF(INDEX(ERP資料!$G:$G, (MATCH(467, 輔助計算!$G$2:$G$801, 0)+1))&lt;=1181,2,1))))=2,TEXT(INDEX(ERP資料!$G:$G, (MATCH(467, 輔助計算!$G$2:$G$801, 0)+1)),"0.##")&amp;"+"&amp;TEXT(INDEX(ERP資料!$G:$G, (MATCH(467, 輔助計算!$G$2:$G$801, 0)+1)),"0.##"),TEXT(INDEX(ERP資料!$G:$G, (MATCH(467, 輔助計算!$G$2:$G$801, 0)+1)),"0.##")&amp;"+"&amp;TEXT(INDEX(ERP資料!$G:$G, (MATCH(467, 輔助計算!$G$2:$G$801, 0)+1)),"0.##")&amp;"+"&amp;TEXT(INDEX(ERP資料!$G:$G, (MATCH(467, 輔助計算!$G$2:$G$801, 0)+1)),"0.##"))))&amp;"-1")), ""), "")</f>
        <v/>
      </c>
      <c r="K468" s="16" t="n"/>
      <c r="L468" s="14">
        <f>IFERROR(IF(AND(IFERROR(INDEX(ERP資料!$A:$A, (MATCH(467, 輔助計算!$G$2:$G$801, 0)+1)), "")&lt;&gt;"", IFERROR(INDEX(ERP資料!$A:$A, (MATCH(467, 輔助計算!$G$2:$G$801, 0)+1)), "")&lt;&gt;IFERROR(INDEX(ERP資料!$A:$A, MATCH(466, 輔助計算!$G$2:$G$801, 0)+1), "")), INDEX(ERP資料!$B:$B, (MATCH(467, 輔助計算!$G$2:$G$801, 0)+1)), ""), "")</f>
        <v/>
      </c>
      <c r="M468" s="17" t="n"/>
    </row>
    <row r="469">
      <c r="A469" s="10">
        <f>IFERROR(IF(AND(IFERROR(INDEX(ERP資料!$A:$A, (MATCH(468, 輔助計算!$G$2:$G$801, 0)+1)), "")&lt;&gt;"", IFERROR(INDEX(ERP資料!$A:$A, (MATCH(468, 輔助計算!$G$2:$G$801, 0)+1)), "")&lt;&gt;IFERROR(INDEX(ERP資料!$A:$A, MATCH(467, 輔助計算!$G$2:$G$801, 0)+1), "")), IFERROR(INDEX(ERP資料!$A:$A, (MATCH(468, 輔助計算!$G$2:$G$801, 0)+1)), ""), ""), "")</f>
        <v/>
      </c>
      <c r="B469" s="10">
        <f>IFERROR(IF(AND(IFERROR(INDEX(ERP資料!$A:$A, (MATCH(468, 輔助計算!$G$2:$G$801, 0)+1)), "")&lt;&gt;"", IFERROR(INDEX(ERP資料!$A:$A, (MATCH(468, 輔助計算!$G$2:$G$801, 0)+1)), "")&lt;&gt;IFERROR(INDEX(ERP資料!$A:$A, MATCH(467, 輔助計算!$G$2:$G$801, 0)+1), "")), INDEX(ERP資料!$S:$S, (MATCH(468, 輔助計算!$G$2:$G$801, 0)+1)), ""), "")</f>
        <v/>
      </c>
      <c r="C469" s="19">
        <f>IFERROR(IF(AND(IFERROR(INDEX(ERP資料!$A:$A, (MATCH(468, 輔助計算!$G$2:$G$801, 0)+1)), "")&lt;&gt;"", IFERROR(INDEX(ERP資料!$A:$A, (MATCH(468, 輔助計算!$G$2:$G$801, 0)+1)), "")&lt;&gt;IFERROR(INDEX(ERP資料!$A:$A, MATCH(467, 輔助計算!$G$2:$G$801, 0)+1), "")), IFERROR(VLOOKUP(LEFT(INDEX(ERP資料!$S:$S, (MATCH(468, 輔助計算!$G$2:$G$801, 0)+1)), 4), 紙管對照表!$A:$C, 3, FALSE), ""), ""), "")</f>
        <v/>
      </c>
      <c r="D469" s="16" t="n"/>
      <c r="E469" s="10">
        <f>IFERROR(IF(INDEX(ERP資料!$H:$H, (MATCH(468, 輔助計算!$G$2:$G$801, 0)+1))="","",INDEX(ERP資料!$H:$H, (MATCH(468, 輔助計算!$G$2:$G$801, 0)+1))), "")</f>
        <v/>
      </c>
      <c r="F469" s="10">
        <f>IFERROR(IF(INDEX(ERP資料!$E:$E, (MATCH(468, 輔助計算!$G$2:$G$801, 0)+1))="","",TRIM(INDEX(ERP資料!$E:$E, (MATCH(468, 輔助計算!$G$2:$G$801, 0)+1)))), "")</f>
        <v/>
      </c>
      <c r="G469" s="10">
        <f>IFERROR(IF(INDEX(ERP資料!$F:$F, (MATCH(468, 輔助計算!$G$2:$G$801, 0)+1))="","",INDEX(ERP資料!$F:$F, (MATCH(468, 輔助計算!$G$2:$G$801, 0)+1))), "")</f>
        <v/>
      </c>
      <c r="H469" s="10">
        <f>IFERROR(IF(INDEX(ERP資料!$G:$G, (MATCH(468, 輔助計算!$G$2:$G$801, 0)+1))="","",INDEX(ERP資料!$G:$G, (MATCH(468, 輔助計算!$G$2:$G$801, 0)+1))), "")</f>
        <v/>
      </c>
      <c r="I469" s="15">
        <f>IFERROR(INDEX(輔助計算!$D:$D, (MATCH(468, 輔助計算!$G$2:$G$801, 0)+1)), "")</f>
        <v/>
      </c>
      <c r="J469" s="15">
        <f>IFERROR(IF(AND(INDEX(輔助計算!$D:$D, (MATCH(468, 輔助計算!$G$2:$G$801, 0)+1))&lt;&gt;"", INDEX(ERP資料!$G:$G, (MATCH(468, 輔助計算!$G$2:$G$801, 0)+1))&lt;&gt;""), TRIM(IF(INT(INDEX(輔助計算!$D:$D, (MATCH(468, 輔助計算!$G$2:$G$801, 0)+1))/IF(INDEX(ERP資料!$G:$G, (MATCH(468, 輔助計算!$G$2:$G$801, 0)+1))&lt;100, IF(INDEX(ERP資料!$G:$G, (MATCH(468, 輔助計算!$G$2:$G$801, 0)+1))&lt;=31,3,IF(INDEX(ERP資料!$G:$G, (MATCH(468, 輔助計算!$G$2:$G$801, 0)+1))&lt;=46.5,2,1)), IF(INDEX(ERP資料!$G:$G, (MATCH(468, 輔助計算!$G$2:$G$801, 0)+1))&lt;=790,3,IF(INDEX(ERP資料!$G:$G, (MATCH(468, 輔助計算!$G$2:$G$801, 0)+1))&lt;=1181,2,1))))&gt;0, IF(IF(INDEX(ERP資料!$G:$G, (MATCH(468, 輔助計算!$G$2:$G$801, 0)+1))&lt;100, IF(INDEX(ERP資料!$G:$G, (MATCH(468, 輔助計算!$G$2:$G$801, 0)+1))&lt;=31,3,IF(INDEX(ERP資料!$G:$G, (MATCH(468, 輔助計算!$G$2:$G$801, 0)+1))&lt;=46.5,2,1)), IF(INDEX(ERP資料!$G:$G, (MATCH(468, 輔助計算!$G$2:$G$801, 0)+1))&lt;=790,3,IF(INDEX(ERP資料!$G:$G, (MATCH(468, 輔助計算!$G$2:$G$801, 0)+1))&lt;=1181,2,1)))=1,TEXT(INDEX(ERP資料!$G:$G, (MATCH(468, 輔助計算!$G$2:$G$801, 0)+1)),"0.##"),IF(IF(INDEX(ERP資料!$G:$G, (MATCH(468, 輔助計算!$G$2:$G$801, 0)+1))&lt;100, IF(INDEX(ERP資料!$G:$G, (MATCH(468, 輔助計算!$G$2:$G$801, 0)+1))&lt;=31,3,IF(INDEX(ERP資料!$G:$G, (MATCH(468, 輔助計算!$G$2:$G$801, 0)+1))&lt;=46.5,2,1)), IF(INDEX(ERP資料!$G:$G, (MATCH(468, 輔助計算!$G$2:$G$801, 0)+1))&lt;=790,3,IF(INDEX(ERP資料!$G:$G, (MATCH(468, 輔助計算!$G$2:$G$801, 0)+1))&lt;=1181,2,1)))=2,TEXT(INDEX(ERP資料!$G:$G, (MATCH(468, 輔助計算!$G$2:$G$801, 0)+1)),"0.##")&amp;"+"&amp;TEXT(INDEX(ERP資料!$G:$G, (MATCH(468, 輔助計算!$G$2:$G$801, 0)+1)),"0.##"),TEXT(INDEX(ERP資料!$G:$G, (MATCH(468, 輔助計算!$G$2:$G$801, 0)+1)),"0.##")&amp;"+"&amp;TEXT(INDEX(ERP資料!$G:$G, (MATCH(468, 輔助計算!$G$2:$G$801, 0)+1)),"0.##")&amp;"+"&amp;TEXT(INDEX(ERP資料!$G:$G, (MATCH(468, 輔助計算!$G$2:$G$801, 0)+1)),"0.##")))&amp;"-"&amp;INT(INDEX(輔助計算!$D:$D, (MATCH(468, 輔助計算!$G$2:$G$801, 0)+1))/IF(INDEX(ERP資料!$G:$G, (MATCH(468, 輔助計算!$G$2:$G$801, 0)+1))&lt;100, IF(INDEX(ERP資料!$G:$G, (MATCH(468, 輔助計算!$G$2:$G$801, 0)+1))&lt;=31,3,IF(INDEX(ERP資料!$G:$G, (MATCH(468, 輔助計算!$G$2:$G$801, 0)+1))&lt;=46.5,2,1)), IF(INDEX(ERP資料!$G:$G, (MATCH(468, 輔助計算!$G$2:$G$801, 0)+1))&lt;=790,3,IF(INDEX(ERP資料!$G:$G, (MATCH(468, 輔助計算!$G$2:$G$801, 0)+1))&lt;=1181,2,1)))), "")&amp;IF(AND(IF(INT(INDEX(輔助計算!$D:$D, (MATCH(468, 輔助計算!$G$2:$G$801, 0)+1))/IF(INDEX(ERP資料!$G:$G, (MATCH(468, 輔助計算!$G$2:$G$801, 0)+1))&lt;100, IF(INDEX(ERP資料!$G:$G, (MATCH(468, 輔助計算!$G$2:$G$801, 0)+1))&lt;=31,3,IF(INDEX(ERP資料!$G:$G, (MATCH(468, 輔助計算!$G$2:$G$801, 0)+1))&lt;=46.5,2,1)), IF(INDEX(ERP資料!$G:$G, (MATCH(468, 輔助計算!$G$2:$G$801, 0)+1))&lt;=790,3,IF(INDEX(ERP資料!$G:$G, (MATCH(468, 輔助計算!$G$2:$G$801, 0)+1))&lt;=1181,2,1))))&gt;0, IF(IF(INDEX(ERP資料!$G:$G, (MATCH(468, 輔助計算!$G$2:$G$801, 0)+1))&lt;100, IF(INDEX(ERP資料!$G:$G, (MATCH(468, 輔助計算!$G$2:$G$801, 0)+1))&lt;=31,3,IF(INDEX(ERP資料!$G:$G, (MATCH(468, 輔助計算!$G$2:$G$801, 0)+1))&lt;=46.5,2,1)), IF(INDEX(ERP資料!$G:$G, (MATCH(468, 輔助計算!$G$2:$G$801, 0)+1))&lt;=790,3,IF(INDEX(ERP資料!$G:$G, (MATCH(468, 輔助計算!$G$2:$G$801, 0)+1))&lt;=1181,2,1)))=1,TEXT(INDEX(ERP資料!$G:$G, (MATCH(468, 輔助計算!$G$2:$G$801, 0)+1)),"0.##"),IF(IF(INDEX(ERP資料!$G:$G, (MATCH(468, 輔助計算!$G$2:$G$801, 0)+1))&lt;100, IF(INDEX(ERP資料!$G:$G, (MATCH(468, 輔助計算!$G$2:$G$801, 0)+1))&lt;=31,3,IF(INDEX(ERP資料!$G:$G, (MATCH(468, 輔助計算!$G$2:$G$801, 0)+1))&lt;=46.5,2,1)), IF(INDEX(ERP資料!$G:$G, (MATCH(468, 輔助計算!$G$2:$G$801, 0)+1))&lt;=790,3,IF(INDEX(ERP資料!$G:$G, (MATCH(468, 輔助計算!$G$2:$G$801, 0)+1))&lt;=1181,2,1)))=2,TEXT(INDEX(ERP資料!$G:$G, (MATCH(468, 輔助計算!$G$2:$G$801, 0)+1)),"0.##")&amp;"+"&amp;TEXT(INDEX(ERP資料!$G:$G, (MATCH(468, 輔助計算!$G$2:$G$801, 0)+1)),"0.##"),TEXT(INDEX(ERP資料!$G:$G, (MATCH(468, 輔助計算!$G$2:$G$801, 0)+1)),"0.##")&amp;"+"&amp;TEXT(INDEX(ERP資料!$G:$G, (MATCH(468, 輔助計算!$G$2:$G$801, 0)+1)),"0.##")&amp;"+"&amp;TEXT(INDEX(ERP資料!$G:$G, (MATCH(468, 輔助計算!$G$2:$G$801, 0)+1)),"0.##")))&amp;"-"&amp;INT(INDEX(輔助計算!$D:$D, (MATCH(468, 輔助計算!$G$2:$G$801, 0)+1))/IF(INDEX(ERP資料!$G:$G, (MATCH(468, 輔助計算!$G$2:$G$801, 0)+1))&lt;100, IF(INDEX(ERP資料!$G:$G, (MATCH(468, 輔助計算!$G$2:$G$801, 0)+1))&lt;=31,3,IF(INDEX(ERP資料!$G:$G, (MATCH(468, 輔助計算!$G$2:$G$801, 0)+1))&lt;=46.5,2,1)), IF(INDEX(ERP資料!$G:$G, (MATCH(468, 輔助計算!$G$2:$G$801, 0)+1))&lt;=790,3,IF(INDEX(ERP資料!$G:$G, (MATCH(468, 輔助計算!$G$2:$G$801, 0)+1))&lt;=1181,2,1)))), "")&lt;&gt;"",IF(MOD(INDEX(輔助計算!$D:$D, (MATCH(468, 輔助計算!$G$2:$G$801, 0)+1)),IF(INDEX(ERP資料!$G:$G, (MATCH(468, 輔助計算!$G$2:$G$801, 0)+1))&lt;100, IF(INDEX(ERP資料!$G:$G, (MATCH(468, 輔助計算!$G$2:$G$801, 0)+1))&lt;=31,3,IF(INDEX(ERP資料!$G:$G, (MATCH(468, 輔助計算!$G$2:$G$801, 0)+1))&lt;=46.5,2,1)), IF(INDEX(ERP資料!$G:$G, (MATCH(468, 輔助計算!$G$2:$G$801, 0)+1))&lt;=790,3,IF(INDEX(ERP資料!$G:$G, (MATCH(468, 輔助計算!$G$2:$G$801, 0)+1))&lt;=1181,2,1))))=0,"",IF(MOD(INDEX(輔助計算!$D:$D, (MATCH(468, 輔助計算!$G$2:$G$801, 0)+1)),IF(INDEX(ERP資料!$G:$G, (MATCH(468, 輔助計算!$G$2:$G$801, 0)+1))&lt;100, IF(INDEX(ERP資料!$G:$G, (MATCH(468, 輔助計算!$G$2:$G$801, 0)+1))&lt;=31,3,IF(INDEX(ERP資料!$G:$G, (MATCH(468, 輔助計算!$G$2:$G$801, 0)+1))&lt;=46.5,2,1)), IF(INDEX(ERP資料!$G:$G, (MATCH(468, 輔助計算!$G$2:$G$801, 0)+1))&lt;=790,3,IF(INDEX(ERP資料!$G:$G, (MATCH(468, 輔助計算!$G$2:$G$801, 0)+1))&lt;=1181,2,1))))=0,"",IF(MOD(INDEX(輔助計算!$D:$D, (MATCH(468, 輔助計算!$G$2:$G$801, 0)+1)),IF(INDEX(ERP資料!$G:$G, (MATCH(468, 輔助計算!$G$2:$G$801, 0)+1))&lt;100, IF(INDEX(ERP資料!$G:$G, (MATCH(468, 輔助計算!$G$2:$G$801, 0)+1))&lt;=31,3,IF(INDEX(ERP資料!$G:$G, (MATCH(468, 輔助計算!$G$2:$G$801, 0)+1))&lt;=46.5,2,1)), IF(INDEX(ERP資料!$G:$G, (MATCH(468, 輔助計算!$G$2:$G$801, 0)+1))&lt;=790,3,IF(INDEX(ERP資料!$G:$G, (MATCH(468, 輔助計算!$G$2:$G$801, 0)+1))&lt;=1181,2,1))))=1,TEXT(INDEX(ERP資料!$G:$G, (MATCH(468, 輔助計算!$G$2:$G$801, 0)+1)),"0.##"),IF(MOD(INDEX(輔助計算!$D:$D, (MATCH(468, 輔助計算!$G$2:$G$801, 0)+1)),IF(INDEX(ERP資料!$G:$G, (MATCH(468, 輔助計算!$G$2:$G$801, 0)+1))&lt;100, IF(INDEX(ERP資料!$G:$G, (MATCH(468, 輔助計算!$G$2:$G$801, 0)+1))&lt;=31,3,IF(INDEX(ERP資料!$G:$G, (MATCH(468, 輔助計算!$G$2:$G$801, 0)+1))&lt;=46.5,2,1)), IF(INDEX(ERP資料!$G:$G, (MATCH(468, 輔助計算!$G$2:$G$801, 0)+1))&lt;=790,3,IF(INDEX(ERP資料!$G:$G, (MATCH(468, 輔助計算!$G$2:$G$801, 0)+1))&lt;=1181,2,1))))=2,TEXT(INDEX(ERP資料!$G:$G, (MATCH(468, 輔助計算!$G$2:$G$801, 0)+1)),"0.##")&amp;"+"&amp;TEXT(INDEX(ERP資料!$G:$G, (MATCH(468, 輔助計算!$G$2:$G$801, 0)+1)),"0.##"),TEXT(INDEX(ERP資料!$G:$G, (MATCH(468, 輔助計算!$G$2:$G$801, 0)+1)),"0.##")&amp;"+"&amp;TEXT(INDEX(ERP資料!$G:$G, (MATCH(468, 輔助計算!$G$2:$G$801, 0)+1)),"0.##")&amp;"+"&amp;TEXT(INDEX(ERP資料!$G:$G, (MATCH(468, 輔助計算!$G$2:$G$801, 0)+1)),"0.##"))))&amp;"-1")&lt;&gt;""),"  ","")&amp;IF(MOD(INDEX(輔助計算!$D:$D, (MATCH(468, 輔助計算!$G$2:$G$801, 0)+1)),IF(INDEX(ERP資料!$G:$G, (MATCH(468, 輔助計算!$G$2:$G$801, 0)+1))&lt;100, IF(INDEX(ERP資料!$G:$G, (MATCH(468, 輔助計算!$G$2:$G$801, 0)+1))&lt;=31,3,IF(INDEX(ERP資料!$G:$G, (MATCH(468, 輔助計算!$G$2:$G$801, 0)+1))&lt;=46.5,2,1)), IF(INDEX(ERP資料!$G:$G, (MATCH(468, 輔助計算!$G$2:$G$801, 0)+1))&lt;=790,3,IF(INDEX(ERP資料!$G:$G, (MATCH(468, 輔助計算!$G$2:$G$801, 0)+1))&lt;=1181,2,1))))=0,"",IF(MOD(INDEX(輔助計算!$D:$D, (MATCH(468, 輔助計算!$G$2:$G$801, 0)+1)),IF(INDEX(ERP資料!$G:$G, (MATCH(468, 輔助計算!$G$2:$G$801, 0)+1))&lt;100, IF(INDEX(ERP資料!$G:$G, (MATCH(468, 輔助計算!$G$2:$G$801, 0)+1))&lt;=31,3,IF(INDEX(ERP資料!$G:$G, (MATCH(468, 輔助計算!$G$2:$G$801, 0)+1))&lt;=46.5,2,1)), IF(INDEX(ERP資料!$G:$G, (MATCH(468, 輔助計算!$G$2:$G$801, 0)+1))&lt;=790,3,IF(INDEX(ERP資料!$G:$G, (MATCH(468, 輔助計算!$G$2:$G$801, 0)+1))&lt;=1181,2,1))))=0,"",IF(MOD(INDEX(輔助計算!$D:$D, (MATCH(468, 輔助計算!$G$2:$G$801, 0)+1)),IF(INDEX(ERP資料!$G:$G, (MATCH(468, 輔助計算!$G$2:$G$801, 0)+1))&lt;100, IF(INDEX(ERP資料!$G:$G, (MATCH(468, 輔助計算!$G$2:$G$801, 0)+1))&lt;=31,3,IF(INDEX(ERP資料!$G:$G, (MATCH(468, 輔助計算!$G$2:$G$801, 0)+1))&lt;=46.5,2,1)), IF(INDEX(ERP資料!$G:$G, (MATCH(468, 輔助計算!$G$2:$G$801, 0)+1))&lt;=790,3,IF(INDEX(ERP資料!$G:$G, (MATCH(468, 輔助計算!$G$2:$G$801, 0)+1))&lt;=1181,2,1))))=1,TEXT(INDEX(ERP資料!$G:$G, (MATCH(468, 輔助計算!$G$2:$G$801, 0)+1)),"0.##"),IF(MOD(INDEX(輔助計算!$D:$D, (MATCH(468, 輔助計算!$G$2:$G$801, 0)+1)),IF(INDEX(ERP資料!$G:$G, (MATCH(468, 輔助計算!$G$2:$G$801, 0)+1))&lt;100, IF(INDEX(ERP資料!$G:$G, (MATCH(468, 輔助計算!$G$2:$G$801, 0)+1))&lt;=31,3,IF(INDEX(ERP資料!$G:$G, (MATCH(468, 輔助計算!$G$2:$G$801, 0)+1))&lt;=46.5,2,1)), IF(INDEX(ERP資料!$G:$G, (MATCH(468, 輔助計算!$G$2:$G$801, 0)+1))&lt;=790,3,IF(INDEX(ERP資料!$G:$G, (MATCH(468, 輔助計算!$G$2:$G$801, 0)+1))&lt;=1181,2,1))))=2,TEXT(INDEX(ERP資料!$G:$G, (MATCH(468, 輔助計算!$G$2:$G$801, 0)+1)),"0.##")&amp;"+"&amp;TEXT(INDEX(ERP資料!$G:$G, (MATCH(468, 輔助計算!$G$2:$G$801, 0)+1)),"0.##"),TEXT(INDEX(ERP資料!$G:$G, (MATCH(468, 輔助計算!$G$2:$G$801, 0)+1)),"0.##")&amp;"+"&amp;TEXT(INDEX(ERP資料!$G:$G, (MATCH(468, 輔助計算!$G$2:$G$801, 0)+1)),"0.##")&amp;"+"&amp;TEXT(INDEX(ERP資料!$G:$G, (MATCH(468, 輔助計算!$G$2:$G$801, 0)+1)),"0.##"))))&amp;"-1")), ""), "")</f>
        <v/>
      </c>
      <c r="K469" s="16" t="n"/>
      <c r="L469" s="14">
        <f>IFERROR(IF(AND(IFERROR(INDEX(ERP資料!$A:$A, (MATCH(468, 輔助計算!$G$2:$G$801, 0)+1)), "")&lt;&gt;"", IFERROR(INDEX(ERP資料!$A:$A, (MATCH(468, 輔助計算!$G$2:$G$801, 0)+1)), "")&lt;&gt;IFERROR(INDEX(ERP資料!$A:$A, MATCH(467, 輔助計算!$G$2:$G$801, 0)+1), "")), INDEX(ERP資料!$B:$B, (MATCH(468, 輔助計算!$G$2:$G$801, 0)+1)), ""), "")</f>
        <v/>
      </c>
      <c r="M469" s="17" t="n"/>
    </row>
    <row r="470">
      <c r="A470" s="10">
        <f>IFERROR(IF(AND(IFERROR(INDEX(ERP資料!$A:$A, (MATCH(469, 輔助計算!$G$2:$G$801, 0)+1)), "")&lt;&gt;"", IFERROR(INDEX(ERP資料!$A:$A, (MATCH(469, 輔助計算!$G$2:$G$801, 0)+1)), "")&lt;&gt;IFERROR(INDEX(ERP資料!$A:$A, MATCH(468, 輔助計算!$G$2:$G$801, 0)+1), "")), IFERROR(INDEX(ERP資料!$A:$A, (MATCH(469, 輔助計算!$G$2:$G$801, 0)+1)), ""), ""), "")</f>
        <v/>
      </c>
      <c r="B470" s="10">
        <f>IFERROR(IF(AND(IFERROR(INDEX(ERP資料!$A:$A, (MATCH(469, 輔助計算!$G$2:$G$801, 0)+1)), "")&lt;&gt;"", IFERROR(INDEX(ERP資料!$A:$A, (MATCH(469, 輔助計算!$G$2:$G$801, 0)+1)), "")&lt;&gt;IFERROR(INDEX(ERP資料!$A:$A, MATCH(468, 輔助計算!$G$2:$G$801, 0)+1), "")), INDEX(ERP資料!$S:$S, (MATCH(469, 輔助計算!$G$2:$G$801, 0)+1)), ""), "")</f>
        <v/>
      </c>
      <c r="C470" s="19">
        <f>IFERROR(IF(AND(IFERROR(INDEX(ERP資料!$A:$A, (MATCH(469, 輔助計算!$G$2:$G$801, 0)+1)), "")&lt;&gt;"", IFERROR(INDEX(ERP資料!$A:$A, (MATCH(469, 輔助計算!$G$2:$G$801, 0)+1)), "")&lt;&gt;IFERROR(INDEX(ERP資料!$A:$A, MATCH(468, 輔助計算!$G$2:$G$801, 0)+1), "")), IFERROR(VLOOKUP(LEFT(INDEX(ERP資料!$S:$S, (MATCH(469, 輔助計算!$G$2:$G$801, 0)+1)), 4), 紙管對照表!$A:$C, 3, FALSE), ""), ""), "")</f>
        <v/>
      </c>
      <c r="D470" s="16" t="n"/>
      <c r="E470" s="10">
        <f>IFERROR(IF(INDEX(ERP資料!$H:$H, (MATCH(469, 輔助計算!$G$2:$G$801, 0)+1))="","",INDEX(ERP資料!$H:$H, (MATCH(469, 輔助計算!$G$2:$G$801, 0)+1))), "")</f>
        <v/>
      </c>
      <c r="F470" s="10">
        <f>IFERROR(IF(INDEX(ERP資料!$E:$E, (MATCH(469, 輔助計算!$G$2:$G$801, 0)+1))="","",TRIM(INDEX(ERP資料!$E:$E, (MATCH(469, 輔助計算!$G$2:$G$801, 0)+1)))), "")</f>
        <v/>
      </c>
      <c r="G470" s="10">
        <f>IFERROR(IF(INDEX(ERP資料!$F:$F, (MATCH(469, 輔助計算!$G$2:$G$801, 0)+1))="","",INDEX(ERP資料!$F:$F, (MATCH(469, 輔助計算!$G$2:$G$801, 0)+1))), "")</f>
        <v/>
      </c>
      <c r="H470" s="10">
        <f>IFERROR(IF(INDEX(ERP資料!$G:$G, (MATCH(469, 輔助計算!$G$2:$G$801, 0)+1))="","",INDEX(ERP資料!$G:$G, (MATCH(469, 輔助計算!$G$2:$G$801, 0)+1))), "")</f>
        <v/>
      </c>
      <c r="I470" s="15">
        <f>IFERROR(INDEX(輔助計算!$D:$D, (MATCH(469, 輔助計算!$G$2:$G$801, 0)+1)), "")</f>
        <v/>
      </c>
      <c r="J470" s="15">
        <f>IFERROR(IF(AND(INDEX(輔助計算!$D:$D, (MATCH(469, 輔助計算!$G$2:$G$801, 0)+1))&lt;&gt;"", INDEX(ERP資料!$G:$G, (MATCH(469, 輔助計算!$G$2:$G$801, 0)+1))&lt;&gt;""), TRIM(IF(INT(INDEX(輔助計算!$D:$D, (MATCH(469, 輔助計算!$G$2:$G$801, 0)+1))/IF(INDEX(ERP資料!$G:$G, (MATCH(469, 輔助計算!$G$2:$G$801, 0)+1))&lt;100, IF(INDEX(ERP資料!$G:$G, (MATCH(469, 輔助計算!$G$2:$G$801, 0)+1))&lt;=31,3,IF(INDEX(ERP資料!$G:$G, (MATCH(469, 輔助計算!$G$2:$G$801, 0)+1))&lt;=46.5,2,1)), IF(INDEX(ERP資料!$G:$G, (MATCH(469, 輔助計算!$G$2:$G$801, 0)+1))&lt;=790,3,IF(INDEX(ERP資料!$G:$G, (MATCH(469, 輔助計算!$G$2:$G$801, 0)+1))&lt;=1181,2,1))))&gt;0, IF(IF(INDEX(ERP資料!$G:$G, (MATCH(469, 輔助計算!$G$2:$G$801, 0)+1))&lt;100, IF(INDEX(ERP資料!$G:$G, (MATCH(469, 輔助計算!$G$2:$G$801, 0)+1))&lt;=31,3,IF(INDEX(ERP資料!$G:$G, (MATCH(469, 輔助計算!$G$2:$G$801, 0)+1))&lt;=46.5,2,1)), IF(INDEX(ERP資料!$G:$G, (MATCH(469, 輔助計算!$G$2:$G$801, 0)+1))&lt;=790,3,IF(INDEX(ERP資料!$G:$G, (MATCH(469, 輔助計算!$G$2:$G$801, 0)+1))&lt;=1181,2,1)))=1,TEXT(INDEX(ERP資料!$G:$G, (MATCH(469, 輔助計算!$G$2:$G$801, 0)+1)),"0.##"),IF(IF(INDEX(ERP資料!$G:$G, (MATCH(469, 輔助計算!$G$2:$G$801, 0)+1))&lt;100, IF(INDEX(ERP資料!$G:$G, (MATCH(469, 輔助計算!$G$2:$G$801, 0)+1))&lt;=31,3,IF(INDEX(ERP資料!$G:$G, (MATCH(469, 輔助計算!$G$2:$G$801, 0)+1))&lt;=46.5,2,1)), IF(INDEX(ERP資料!$G:$G, (MATCH(469, 輔助計算!$G$2:$G$801, 0)+1))&lt;=790,3,IF(INDEX(ERP資料!$G:$G, (MATCH(469, 輔助計算!$G$2:$G$801, 0)+1))&lt;=1181,2,1)))=2,TEXT(INDEX(ERP資料!$G:$G, (MATCH(469, 輔助計算!$G$2:$G$801, 0)+1)),"0.##")&amp;"+"&amp;TEXT(INDEX(ERP資料!$G:$G, (MATCH(469, 輔助計算!$G$2:$G$801, 0)+1)),"0.##"),TEXT(INDEX(ERP資料!$G:$G, (MATCH(469, 輔助計算!$G$2:$G$801, 0)+1)),"0.##")&amp;"+"&amp;TEXT(INDEX(ERP資料!$G:$G, (MATCH(469, 輔助計算!$G$2:$G$801, 0)+1)),"0.##")&amp;"+"&amp;TEXT(INDEX(ERP資料!$G:$G, (MATCH(469, 輔助計算!$G$2:$G$801, 0)+1)),"0.##")))&amp;"-"&amp;INT(INDEX(輔助計算!$D:$D, (MATCH(469, 輔助計算!$G$2:$G$801, 0)+1))/IF(INDEX(ERP資料!$G:$G, (MATCH(469, 輔助計算!$G$2:$G$801, 0)+1))&lt;100, IF(INDEX(ERP資料!$G:$G, (MATCH(469, 輔助計算!$G$2:$G$801, 0)+1))&lt;=31,3,IF(INDEX(ERP資料!$G:$G, (MATCH(469, 輔助計算!$G$2:$G$801, 0)+1))&lt;=46.5,2,1)), IF(INDEX(ERP資料!$G:$G, (MATCH(469, 輔助計算!$G$2:$G$801, 0)+1))&lt;=790,3,IF(INDEX(ERP資料!$G:$G, (MATCH(469, 輔助計算!$G$2:$G$801, 0)+1))&lt;=1181,2,1)))), "")&amp;IF(AND(IF(INT(INDEX(輔助計算!$D:$D, (MATCH(469, 輔助計算!$G$2:$G$801, 0)+1))/IF(INDEX(ERP資料!$G:$G, (MATCH(469, 輔助計算!$G$2:$G$801, 0)+1))&lt;100, IF(INDEX(ERP資料!$G:$G, (MATCH(469, 輔助計算!$G$2:$G$801, 0)+1))&lt;=31,3,IF(INDEX(ERP資料!$G:$G, (MATCH(469, 輔助計算!$G$2:$G$801, 0)+1))&lt;=46.5,2,1)), IF(INDEX(ERP資料!$G:$G, (MATCH(469, 輔助計算!$G$2:$G$801, 0)+1))&lt;=790,3,IF(INDEX(ERP資料!$G:$G, (MATCH(469, 輔助計算!$G$2:$G$801, 0)+1))&lt;=1181,2,1))))&gt;0, IF(IF(INDEX(ERP資料!$G:$G, (MATCH(469, 輔助計算!$G$2:$G$801, 0)+1))&lt;100, IF(INDEX(ERP資料!$G:$G, (MATCH(469, 輔助計算!$G$2:$G$801, 0)+1))&lt;=31,3,IF(INDEX(ERP資料!$G:$G, (MATCH(469, 輔助計算!$G$2:$G$801, 0)+1))&lt;=46.5,2,1)), IF(INDEX(ERP資料!$G:$G, (MATCH(469, 輔助計算!$G$2:$G$801, 0)+1))&lt;=790,3,IF(INDEX(ERP資料!$G:$G, (MATCH(469, 輔助計算!$G$2:$G$801, 0)+1))&lt;=1181,2,1)))=1,TEXT(INDEX(ERP資料!$G:$G, (MATCH(469, 輔助計算!$G$2:$G$801, 0)+1)),"0.##"),IF(IF(INDEX(ERP資料!$G:$G, (MATCH(469, 輔助計算!$G$2:$G$801, 0)+1))&lt;100, IF(INDEX(ERP資料!$G:$G, (MATCH(469, 輔助計算!$G$2:$G$801, 0)+1))&lt;=31,3,IF(INDEX(ERP資料!$G:$G, (MATCH(469, 輔助計算!$G$2:$G$801, 0)+1))&lt;=46.5,2,1)), IF(INDEX(ERP資料!$G:$G, (MATCH(469, 輔助計算!$G$2:$G$801, 0)+1))&lt;=790,3,IF(INDEX(ERP資料!$G:$G, (MATCH(469, 輔助計算!$G$2:$G$801, 0)+1))&lt;=1181,2,1)))=2,TEXT(INDEX(ERP資料!$G:$G, (MATCH(469, 輔助計算!$G$2:$G$801, 0)+1)),"0.##")&amp;"+"&amp;TEXT(INDEX(ERP資料!$G:$G, (MATCH(469, 輔助計算!$G$2:$G$801, 0)+1)),"0.##"),TEXT(INDEX(ERP資料!$G:$G, (MATCH(469, 輔助計算!$G$2:$G$801, 0)+1)),"0.##")&amp;"+"&amp;TEXT(INDEX(ERP資料!$G:$G, (MATCH(469, 輔助計算!$G$2:$G$801, 0)+1)),"0.##")&amp;"+"&amp;TEXT(INDEX(ERP資料!$G:$G, (MATCH(469, 輔助計算!$G$2:$G$801, 0)+1)),"0.##")))&amp;"-"&amp;INT(INDEX(輔助計算!$D:$D, (MATCH(469, 輔助計算!$G$2:$G$801, 0)+1))/IF(INDEX(ERP資料!$G:$G, (MATCH(469, 輔助計算!$G$2:$G$801, 0)+1))&lt;100, IF(INDEX(ERP資料!$G:$G, (MATCH(469, 輔助計算!$G$2:$G$801, 0)+1))&lt;=31,3,IF(INDEX(ERP資料!$G:$G, (MATCH(469, 輔助計算!$G$2:$G$801, 0)+1))&lt;=46.5,2,1)), IF(INDEX(ERP資料!$G:$G, (MATCH(469, 輔助計算!$G$2:$G$801, 0)+1))&lt;=790,3,IF(INDEX(ERP資料!$G:$G, (MATCH(469, 輔助計算!$G$2:$G$801, 0)+1))&lt;=1181,2,1)))), "")&lt;&gt;"",IF(MOD(INDEX(輔助計算!$D:$D, (MATCH(469, 輔助計算!$G$2:$G$801, 0)+1)),IF(INDEX(ERP資料!$G:$G, (MATCH(469, 輔助計算!$G$2:$G$801, 0)+1))&lt;100, IF(INDEX(ERP資料!$G:$G, (MATCH(469, 輔助計算!$G$2:$G$801, 0)+1))&lt;=31,3,IF(INDEX(ERP資料!$G:$G, (MATCH(469, 輔助計算!$G$2:$G$801, 0)+1))&lt;=46.5,2,1)), IF(INDEX(ERP資料!$G:$G, (MATCH(469, 輔助計算!$G$2:$G$801, 0)+1))&lt;=790,3,IF(INDEX(ERP資料!$G:$G, (MATCH(469, 輔助計算!$G$2:$G$801, 0)+1))&lt;=1181,2,1))))=0,"",IF(MOD(INDEX(輔助計算!$D:$D, (MATCH(469, 輔助計算!$G$2:$G$801, 0)+1)),IF(INDEX(ERP資料!$G:$G, (MATCH(469, 輔助計算!$G$2:$G$801, 0)+1))&lt;100, IF(INDEX(ERP資料!$G:$G, (MATCH(469, 輔助計算!$G$2:$G$801, 0)+1))&lt;=31,3,IF(INDEX(ERP資料!$G:$G, (MATCH(469, 輔助計算!$G$2:$G$801, 0)+1))&lt;=46.5,2,1)), IF(INDEX(ERP資料!$G:$G, (MATCH(469, 輔助計算!$G$2:$G$801, 0)+1))&lt;=790,3,IF(INDEX(ERP資料!$G:$G, (MATCH(469, 輔助計算!$G$2:$G$801, 0)+1))&lt;=1181,2,1))))=0,"",IF(MOD(INDEX(輔助計算!$D:$D, (MATCH(469, 輔助計算!$G$2:$G$801, 0)+1)),IF(INDEX(ERP資料!$G:$G, (MATCH(469, 輔助計算!$G$2:$G$801, 0)+1))&lt;100, IF(INDEX(ERP資料!$G:$G, (MATCH(469, 輔助計算!$G$2:$G$801, 0)+1))&lt;=31,3,IF(INDEX(ERP資料!$G:$G, (MATCH(469, 輔助計算!$G$2:$G$801, 0)+1))&lt;=46.5,2,1)), IF(INDEX(ERP資料!$G:$G, (MATCH(469, 輔助計算!$G$2:$G$801, 0)+1))&lt;=790,3,IF(INDEX(ERP資料!$G:$G, (MATCH(469, 輔助計算!$G$2:$G$801, 0)+1))&lt;=1181,2,1))))=1,TEXT(INDEX(ERP資料!$G:$G, (MATCH(469, 輔助計算!$G$2:$G$801, 0)+1)),"0.##"),IF(MOD(INDEX(輔助計算!$D:$D, (MATCH(469, 輔助計算!$G$2:$G$801, 0)+1)),IF(INDEX(ERP資料!$G:$G, (MATCH(469, 輔助計算!$G$2:$G$801, 0)+1))&lt;100, IF(INDEX(ERP資料!$G:$G, (MATCH(469, 輔助計算!$G$2:$G$801, 0)+1))&lt;=31,3,IF(INDEX(ERP資料!$G:$G, (MATCH(469, 輔助計算!$G$2:$G$801, 0)+1))&lt;=46.5,2,1)), IF(INDEX(ERP資料!$G:$G, (MATCH(469, 輔助計算!$G$2:$G$801, 0)+1))&lt;=790,3,IF(INDEX(ERP資料!$G:$G, (MATCH(469, 輔助計算!$G$2:$G$801, 0)+1))&lt;=1181,2,1))))=2,TEXT(INDEX(ERP資料!$G:$G, (MATCH(469, 輔助計算!$G$2:$G$801, 0)+1)),"0.##")&amp;"+"&amp;TEXT(INDEX(ERP資料!$G:$G, (MATCH(469, 輔助計算!$G$2:$G$801, 0)+1)),"0.##"),TEXT(INDEX(ERP資料!$G:$G, (MATCH(469, 輔助計算!$G$2:$G$801, 0)+1)),"0.##")&amp;"+"&amp;TEXT(INDEX(ERP資料!$G:$G, (MATCH(469, 輔助計算!$G$2:$G$801, 0)+1)),"0.##")&amp;"+"&amp;TEXT(INDEX(ERP資料!$G:$G, (MATCH(469, 輔助計算!$G$2:$G$801, 0)+1)),"0.##"))))&amp;"-1")&lt;&gt;""),"  ","")&amp;IF(MOD(INDEX(輔助計算!$D:$D, (MATCH(469, 輔助計算!$G$2:$G$801, 0)+1)),IF(INDEX(ERP資料!$G:$G, (MATCH(469, 輔助計算!$G$2:$G$801, 0)+1))&lt;100, IF(INDEX(ERP資料!$G:$G, (MATCH(469, 輔助計算!$G$2:$G$801, 0)+1))&lt;=31,3,IF(INDEX(ERP資料!$G:$G, (MATCH(469, 輔助計算!$G$2:$G$801, 0)+1))&lt;=46.5,2,1)), IF(INDEX(ERP資料!$G:$G, (MATCH(469, 輔助計算!$G$2:$G$801, 0)+1))&lt;=790,3,IF(INDEX(ERP資料!$G:$G, (MATCH(469, 輔助計算!$G$2:$G$801, 0)+1))&lt;=1181,2,1))))=0,"",IF(MOD(INDEX(輔助計算!$D:$D, (MATCH(469, 輔助計算!$G$2:$G$801, 0)+1)),IF(INDEX(ERP資料!$G:$G, (MATCH(469, 輔助計算!$G$2:$G$801, 0)+1))&lt;100, IF(INDEX(ERP資料!$G:$G, (MATCH(469, 輔助計算!$G$2:$G$801, 0)+1))&lt;=31,3,IF(INDEX(ERP資料!$G:$G, (MATCH(469, 輔助計算!$G$2:$G$801, 0)+1))&lt;=46.5,2,1)), IF(INDEX(ERP資料!$G:$G, (MATCH(469, 輔助計算!$G$2:$G$801, 0)+1))&lt;=790,3,IF(INDEX(ERP資料!$G:$G, (MATCH(469, 輔助計算!$G$2:$G$801, 0)+1))&lt;=1181,2,1))))=0,"",IF(MOD(INDEX(輔助計算!$D:$D, (MATCH(469, 輔助計算!$G$2:$G$801, 0)+1)),IF(INDEX(ERP資料!$G:$G, (MATCH(469, 輔助計算!$G$2:$G$801, 0)+1))&lt;100, IF(INDEX(ERP資料!$G:$G, (MATCH(469, 輔助計算!$G$2:$G$801, 0)+1))&lt;=31,3,IF(INDEX(ERP資料!$G:$G, (MATCH(469, 輔助計算!$G$2:$G$801, 0)+1))&lt;=46.5,2,1)), IF(INDEX(ERP資料!$G:$G, (MATCH(469, 輔助計算!$G$2:$G$801, 0)+1))&lt;=790,3,IF(INDEX(ERP資料!$G:$G, (MATCH(469, 輔助計算!$G$2:$G$801, 0)+1))&lt;=1181,2,1))))=1,TEXT(INDEX(ERP資料!$G:$G, (MATCH(469, 輔助計算!$G$2:$G$801, 0)+1)),"0.##"),IF(MOD(INDEX(輔助計算!$D:$D, (MATCH(469, 輔助計算!$G$2:$G$801, 0)+1)),IF(INDEX(ERP資料!$G:$G, (MATCH(469, 輔助計算!$G$2:$G$801, 0)+1))&lt;100, IF(INDEX(ERP資料!$G:$G, (MATCH(469, 輔助計算!$G$2:$G$801, 0)+1))&lt;=31,3,IF(INDEX(ERP資料!$G:$G, (MATCH(469, 輔助計算!$G$2:$G$801, 0)+1))&lt;=46.5,2,1)), IF(INDEX(ERP資料!$G:$G, (MATCH(469, 輔助計算!$G$2:$G$801, 0)+1))&lt;=790,3,IF(INDEX(ERP資料!$G:$G, (MATCH(469, 輔助計算!$G$2:$G$801, 0)+1))&lt;=1181,2,1))))=2,TEXT(INDEX(ERP資料!$G:$G, (MATCH(469, 輔助計算!$G$2:$G$801, 0)+1)),"0.##")&amp;"+"&amp;TEXT(INDEX(ERP資料!$G:$G, (MATCH(469, 輔助計算!$G$2:$G$801, 0)+1)),"0.##"),TEXT(INDEX(ERP資料!$G:$G, (MATCH(469, 輔助計算!$G$2:$G$801, 0)+1)),"0.##")&amp;"+"&amp;TEXT(INDEX(ERP資料!$G:$G, (MATCH(469, 輔助計算!$G$2:$G$801, 0)+1)),"0.##")&amp;"+"&amp;TEXT(INDEX(ERP資料!$G:$G, (MATCH(469, 輔助計算!$G$2:$G$801, 0)+1)),"0.##"))))&amp;"-1")), ""), "")</f>
        <v/>
      </c>
      <c r="K470" s="16" t="n"/>
      <c r="L470" s="14">
        <f>IFERROR(IF(AND(IFERROR(INDEX(ERP資料!$A:$A, (MATCH(469, 輔助計算!$G$2:$G$801, 0)+1)), "")&lt;&gt;"", IFERROR(INDEX(ERP資料!$A:$A, (MATCH(469, 輔助計算!$G$2:$G$801, 0)+1)), "")&lt;&gt;IFERROR(INDEX(ERP資料!$A:$A, MATCH(468, 輔助計算!$G$2:$G$801, 0)+1), "")), INDEX(ERP資料!$B:$B, (MATCH(469, 輔助計算!$G$2:$G$801, 0)+1)), ""), "")</f>
        <v/>
      </c>
      <c r="M470" s="17" t="n"/>
    </row>
    <row r="471">
      <c r="A471" s="10">
        <f>IFERROR(IF(AND(IFERROR(INDEX(ERP資料!$A:$A, (MATCH(470, 輔助計算!$G$2:$G$801, 0)+1)), "")&lt;&gt;"", IFERROR(INDEX(ERP資料!$A:$A, (MATCH(470, 輔助計算!$G$2:$G$801, 0)+1)), "")&lt;&gt;IFERROR(INDEX(ERP資料!$A:$A, MATCH(469, 輔助計算!$G$2:$G$801, 0)+1), "")), IFERROR(INDEX(ERP資料!$A:$A, (MATCH(470, 輔助計算!$G$2:$G$801, 0)+1)), ""), ""), "")</f>
        <v/>
      </c>
      <c r="B471" s="10">
        <f>IFERROR(IF(AND(IFERROR(INDEX(ERP資料!$A:$A, (MATCH(470, 輔助計算!$G$2:$G$801, 0)+1)), "")&lt;&gt;"", IFERROR(INDEX(ERP資料!$A:$A, (MATCH(470, 輔助計算!$G$2:$G$801, 0)+1)), "")&lt;&gt;IFERROR(INDEX(ERP資料!$A:$A, MATCH(469, 輔助計算!$G$2:$G$801, 0)+1), "")), INDEX(ERP資料!$S:$S, (MATCH(470, 輔助計算!$G$2:$G$801, 0)+1)), ""), "")</f>
        <v/>
      </c>
      <c r="C471" s="19">
        <f>IFERROR(IF(AND(IFERROR(INDEX(ERP資料!$A:$A, (MATCH(470, 輔助計算!$G$2:$G$801, 0)+1)), "")&lt;&gt;"", IFERROR(INDEX(ERP資料!$A:$A, (MATCH(470, 輔助計算!$G$2:$G$801, 0)+1)), "")&lt;&gt;IFERROR(INDEX(ERP資料!$A:$A, MATCH(469, 輔助計算!$G$2:$G$801, 0)+1), "")), IFERROR(VLOOKUP(LEFT(INDEX(ERP資料!$S:$S, (MATCH(470, 輔助計算!$G$2:$G$801, 0)+1)), 4), 紙管對照表!$A:$C, 3, FALSE), ""), ""), "")</f>
        <v/>
      </c>
      <c r="D471" s="16" t="n"/>
      <c r="E471" s="10">
        <f>IFERROR(IF(INDEX(ERP資料!$H:$H, (MATCH(470, 輔助計算!$G$2:$G$801, 0)+1))="","",INDEX(ERP資料!$H:$H, (MATCH(470, 輔助計算!$G$2:$G$801, 0)+1))), "")</f>
        <v/>
      </c>
      <c r="F471" s="10">
        <f>IFERROR(IF(INDEX(ERP資料!$E:$E, (MATCH(470, 輔助計算!$G$2:$G$801, 0)+1))="","",TRIM(INDEX(ERP資料!$E:$E, (MATCH(470, 輔助計算!$G$2:$G$801, 0)+1)))), "")</f>
        <v/>
      </c>
      <c r="G471" s="10">
        <f>IFERROR(IF(INDEX(ERP資料!$F:$F, (MATCH(470, 輔助計算!$G$2:$G$801, 0)+1))="","",INDEX(ERP資料!$F:$F, (MATCH(470, 輔助計算!$G$2:$G$801, 0)+1))), "")</f>
        <v/>
      </c>
      <c r="H471" s="10">
        <f>IFERROR(IF(INDEX(ERP資料!$G:$G, (MATCH(470, 輔助計算!$G$2:$G$801, 0)+1))="","",INDEX(ERP資料!$G:$G, (MATCH(470, 輔助計算!$G$2:$G$801, 0)+1))), "")</f>
        <v/>
      </c>
      <c r="I471" s="15">
        <f>IFERROR(INDEX(輔助計算!$D:$D, (MATCH(470, 輔助計算!$G$2:$G$801, 0)+1)), "")</f>
        <v/>
      </c>
      <c r="J471" s="15">
        <f>IFERROR(IF(AND(INDEX(輔助計算!$D:$D, (MATCH(470, 輔助計算!$G$2:$G$801, 0)+1))&lt;&gt;"", INDEX(ERP資料!$G:$G, (MATCH(470, 輔助計算!$G$2:$G$801, 0)+1))&lt;&gt;""), TRIM(IF(INT(INDEX(輔助計算!$D:$D, (MATCH(470, 輔助計算!$G$2:$G$801, 0)+1))/IF(INDEX(ERP資料!$G:$G, (MATCH(470, 輔助計算!$G$2:$G$801, 0)+1))&lt;100, IF(INDEX(ERP資料!$G:$G, (MATCH(470, 輔助計算!$G$2:$G$801, 0)+1))&lt;=31,3,IF(INDEX(ERP資料!$G:$G, (MATCH(470, 輔助計算!$G$2:$G$801, 0)+1))&lt;=46.5,2,1)), IF(INDEX(ERP資料!$G:$G, (MATCH(470, 輔助計算!$G$2:$G$801, 0)+1))&lt;=790,3,IF(INDEX(ERP資料!$G:$G, (MATCH(470, 輔助計算!$G$2:$G$801, 0)+1))&lt;=1181,2,1))))&gt;0, IF(IF(INDEX(ERP資料!$G:$G, (MATCH(470, 輔助計算!$G$2:$G$801, 0)+1))&lt;100, IF(INDEX(ERP資料!$G:$G, (MATCH(470, 輔助計算!$G$2:$G$801, 0)+1))&lt;=31,3,IF(INDEX(ERP資料!$G:$G, (MATCH(470, 輔助計算!$G$2:$G$801, 0)+1))&lt;=46.5,2,1)), IF(INDEX(ERP資料!$G:$G, (MATCH(470, 輔助計算!$G$2:$G$801, 0)+1))&lt;=790,3,IF(INDEX(ERP資料!$G:$G, (MATCH(470, 輔助計算!$G$2:$G$801, 0)+1))&lt;=1181,2,1)))=1,TEXT(INDEX(ERP資料!$G:$G, (MATCH(470, 輔助計算!$G$2:$G$801, 0)+1)),"0.##"),IF(IF(INDEX(ERP資料!$G:$G, (MATCH(470, 輔助計算!$G$2:$G$801, 0)+1))&lt;100, IF(INDEX(ERP資料!$G:$G, (MATCH(470, 輔助計算!$G$2:$G$801, 0)+1))&lt;=31,3,IF(INDEX(ERP資料!$G:$G, (MATCH(470, 輔助計算!$G$2:$G$801, 0)+1))&lt;=46.5,2,1)), IF(INDEX(ERP資料!$G:$G, (MATCH(470, 輔助計算!$G$2:$G$801, 0)+1))&lt;=790,3,IF(INDEX(ERP資料!$G:$G, (MATCH(470, 輔助計算!$G$2:$G$801, 0)+1))&lt;=1181,2,1)))=2,TEXT(INDEX(ERP資料!$G:$G, (MATCH(470, 輔助計算!$G$2:$G$801, 0)+1)),"0.##")&amp;"+"&amp;TEXT(INDEX(ERP資料!$G:$G, (MATCH(470, 輔助計算!$G$2:$G$801, 0)+1)),"0.##"),TEXT(INDEX(ERP資料!$G:$G, (MATCH(470, 輔助計算!$G$2:$G$801, 0)+1)),"0.##")&amp;"+"&amp;TEXT(INDEX(ERP資料!$G:$G, (MATCH(470, 輔助計算!$G$2:$G$801, 0)+1)),"0.##")&amp;"+"&amp;TEXT(INDEX(ERP資料!$G:$G, (MATCH(470, 輔助計算!$G$2:$G$801, 0)+1)),"0.##")))&amp;"-"&amp;INT(INDEX(輔助計算!$D:$D, (MATCH(470, 輔助計算!$G$2:$G$801, 0)+1))/IF(INDEX(ERP資料!$G:$G, (MATCH(470, 輔助計算!$G$2:$G$801, 0)+1))&lt;100, IF(INDEX(ERP資料!$G:$G, (MATCH(470, 輔助計算!$G$2:$G$801, 0)+1))&lt;=31,3,IF(INDEX(ERP資料!$G:$G, (MATCH(470, 輔助計算!$G$2:$G$801, 0)+1))&lt;=46.5,2,1)), IF(INDEX(ERP資料!$G:$G, (MATCH(470, 輔助計算!$G$2:$G$801, 0)+1))&lt;=790,3,IF(INDEX(ERP資料!$G:$G, (MATCH(470, 輔助計算!$G$2:$G$801, 0)+1))&lt;=1181,2,1)))), "")&amp;IF(AND(IF(INT(INDEX(輔助計算!$D:$D, (MATCH(470, 輔助計算!$G$2:$G$801, 0)+1))/IF(INDEX(ERP資料!$G:$G, (MATCH(470, 輔助計算!$G$2:$G$801, 0)+1))&lt;100, IF(INDEX(ERP資料!$G:$G, (MATCH(470, 輔助計算!$G$2:$G$801, 0)+1))&lt;=31,3,IF(INDEX(ERP資料!$G:$G, (MATCH(470, 輔助計算!$G$2:$G$801, 0)+1))&lt;=46.5,2,1)), IF(INDEX(ERP資料!$G:$G, (MATCH(470, 輔助計算!$G$2:$G$801, 0)+1))&lt;=790,3,IF(INDEX(ERP資料!$G:$G, (MATCH(470, 輔助計算!$G$2:$G$801, 0)+1))&lt;=1181,2,1))))&gt;0, IF(IF(INDEX(ERP資料!$G:$G, (MATCH(470, 輔助計算!$G$2:$G$801, 0)+1))&lt;100, IF(INDEX(ERP資料!$G:$G, (MATCH(470, 輔助計算!$G$2:$G$801, 0)+1))&lt;=31,3,IF(INDEX(ERP資料!$G:$G, (MATCH(470, 輔助計算!$G$2:$G$801, 0)+1))&lt;=46.5,2,1)), IF(INDEX(ERP資料!$G:$G, (MATCH(470, 輔助計算!$G$2:$G$801, 0)+1))&lt;=790,3,IF(INDEX(ERP資料!$G:$G, (MATCH(470, 輔助計算!$G$2:$G$801, 0)+1))&lt;=1181,2,1)))=1,TEXT(INDEX(ERP資料!$G:$G, (MATCH(470, 輔助計算!$G$2:$G$801, 0)+1)),"0.##"),IF(IF(INDEX(ERP資料!$G:$G, (MATCH(470, 輔助計算!$G$2:$G$801, 0)+1))&lt;100, IF(INDEX(ERP資料!$G:$G, (MATCH(470, 輔助計算!$G$2:$G$801, 0)+1))&lt;=31,3,IF(INDEX(ERP資料!$G:$G, (MATCH(470, 輔助計算!$G$2:$G$801, 0)+1))&lt;=46.5,2,1)), IF(INDEX(ERP資料!$G:$G, (MATCH(470, 輔助計算!$G$2:$G$801, 0)+1))&lt;=790,3,IF(INDEX(ERP資料!$G:$G, (MATCH(470, 輔助計算!$G$2:$G$801, 0)+1))&lt;=1181,2,1)))=2,TEXT(INDEX(ERP資料!$G:$G, (MATCH(470, 輔助計算!$G$2:$G$801, 0)+1)),"0.##")&amp;"+"&amp;TEXT(INDEX(ERP資料!$G:$G, (MATCH(470, 輔助計算!$G$2:$G$801, 0)+1)),"0.##"),TEXT(INDEX(ERP資料!$G:$G, (MATCH(470, 輔助計算!$G$2:$G$801, 0)+1)),"0.##")&amp;"+"&amp;TEXT(INDEX(ERP資料!$G:$G, (MATCH(470, 輔助計算!$G$2:$G$801, 0)+1)),"0.##")&amp;"+"&amp;TEXT(INDEX(ERP資料!$G:$G, (MATCH(470, 輔助計算!$G$2:$G$801, 0)+1)),"0.##")))&amp;"-"&amp;INT(INDEX(輔助計算!$D:$D, (MATCH(470, 輔助計算!$G$2:$G$801, 0)+1))/IF(INDEX(ERP資料!$G:$G, (MATCH(470, 輔助計算!$G$2:$G$801, 0)+1))&lt;100, IF(INDEX(ERP資料!$G:$G, (MATCH(470, 輔助計算!$G$2:$G$801, 0)+1))&lt;=31,3,IF(INDEX(ERP資料!$G:$G, (MATCH(470, 輔助計算!$G$2:$G$801, 0)+1))&lt;=46.5,2,1)), IF(INDEX(ERP資料!$G:$G, (MATCH(470, 輔助計算!$G$2:$G$801, 0)+1))&lt;=790,3,IF(INDEX(ERP資料!$G:$G, (MATCH(470, 輔助計算!$G$2:$G$801, 0)+1))&lt;=1181,2,1)))), "")&lt;&gt;"",IF(MOD(INDEX(輔助計算!$D:$D, (MATCH(470, 輔助計算!$G$2:$G$801, 0)+1)),IF(INDEX(ERP資料!$G:$G, (MATCH(470, 輔助計算!$G$2:$G$801, 0)+1))&lt;100, IF(INDEX(ERP資料!$G:$G, (MATCH(470, 輔助計算!$G$2:$G$801, 0)+1))&lt;=31,3,IF(INDEX(ERP資料!$G:$G, (MATCH(470, 輔助計算!$G$2:$G$801, 0)+1))&lt;=46.5,2,1)), IF(INDEX(ERP資料!$G:$G, (MATCH(470, 輔助計算!$G$2:$G$801, 0)+1))&lt;=790,3,IF(INDEX(ERP資料!$G:$G, (MATCH(470, 輔助計算!$G$2:$G$801, 0)+1))&lt;=1181,2,1))))=0,"",IF(MOD(INDEX(輔助計算!$D:$D, (MATCH(470, 輔助計算!$G$2:$G$801, 0)+1)),IF(INDEX(ERP資料!$G:$G, (MATCH(470, 輔助計算!$G$2:$G$801, 0)+1))&lt;100, IF(INDEX(ERP資料!$G:$G, (MATCH(470, 輔助計算!$G$2:$G$801, 0)+1))&lt;=31,3,IF(INDEX(ERP資料!$G:$G, (MATCH(470, 輔助計算!$G$2:$G$801, 0)+1))&lt;=46.5,2,1)), IF(INDEX(ERP資料!$G:$G, (MATCH(470, 輔助計算!$G$2:$G$801, 0)+1))&lt;=790,3,IF(INDEX(ERP資料!$G:$G, (MATCH(470, 輔助計算!$G$2:$G$801, 0)+1))&lt;=1181,2,1))))=0,"",IF(MOD(INDEX(輔助計算!$D:$D, (MATCH(470, 輔助計算!$G$2:$G$801, 0)+1)),IF(INDEX(ERP資料!$G:$G, (MATCH(470, 輔助計算!$G$2:$G$801, 0)+1))&lt;100, IF(INDEX(ERP資料!$G:$G, (MATCH(470, 輔助計算!$G$2:$G$801, 0)+1))&lt;=31,3,IF(INDEX(ERP資料!$G:$G, (MATCH(470, 輔助計算!$G$2:$G$801, 0)+1))&lt;=46.5,2,1)), IF(INDEX(ERP資料!$G:$G, (MATCH(470, 輔助計算!$G$2:$G$801, 0)+1))&lt;=790,3,IF(INDEX(ERP資料!$G:$G, (MATCH(470, 輔助計算!$G$2:$G$801, 0)+1))&lt;=1181,2,1))))=1,TEXT(INDEX(ERP資料!$G:$G, (MATCH(470, 輔助計算!$G$2:$G$801, 0)+1)),"0.##"),IF(MOD(INDEX(輔助計算!$D:$D, (MATCH(470, 輔助計算!$G$2:$G$801, 0)+1)),IF(INDEX(ERP資料!$G:$G, (MATCH(470, 輔助計算!$G$2:$G$801, 0)+1))&lt;100, IF(INDEX(ERP資料!$G:$G, (MATCH(470, 輔助計算!$G$2:$G$801, 0)+1))&lt;=31,3,IF(INDEX(ERP資料!$G:$G, (MATCH(470, 輔助計算!$G$2:$G$801, 0)+1))&lt;=46.5,2,1)), IF(INDEX(ERP資料!$G:$G, (MATCH(470, 輔助計算!$G$2:$G$801, 0)+1))&lt;=790,3,IF(INDEX(ERP資料!$G:$G, (MATCH(470, 輔助計算!$G$2:$G$801, 0)+1))&lt;=1181,2,1))))=2,TEXT(INDEX(ERP資料!$G:$G, (MATCH(470, 輔助計算!$G$2:$G$801, 0)+1)),"0.##")&amp;"+"&amp;TEXT(INDEX(ERP資料!$G:$G, (MATCH(470, 輔助計算!$G$2:$G$801, 0)+1)),"0.##"),TEXT(INDEX(ERP資料!$G:$G, (MATCH(470, 輔助計算!$G$2:$G$801, 0)+1)),"0.##")&amp;"+"&amp;TEXT(INDEX(ERP資料!$G:$G, (MATCH(470, 輔助計算!$G$2:$G$801, 0)+1)),"0.##")&amp;"+"&amp;TEXT(INDEX(ERP資料!$G:$G, (MATCH(470, 輔助計算!$G$2:$G$801, 0)+1)),"0.##"))))&amp;"-1")&lt;&gt;""),"  ","")&amp;IF(MOD(INDEX(輔助計算!$D:$D, (MATCH(470, 輔助計算!$G$2:$G$801, 0)+1)),IF(INDEX(ERP資料!$G:$G, (MATCH(470, 輔助計算!$G$2:$G$801, 0)+1))&lt;100, IF(INDEX(ERP資料!$G:$G, (MATCH(470, 輔助計算!$G$2:$G$801, 0)+1))&lt;=31,3,IF(INDEX(ERP資料!$G:$G, (MATCH(470, 輔助計算!$G$2:$G$801, 0)+1))&lt;=46.5,2,1)), IF(INDEX(ERP資料!$G:$G, (MATCH(470, 輔助計算!$G$2:$G$801, 0)+1))&lt;=790,3,IF(INDEX(ERP資料!$G:$G, (MATCH(470, 輔助計算!$G$2:$G$801, 0)+1))&lt;=1181,2,1))))=0,"",IF(MOD(INDEX(輔助計算!$D:$D, (MATCH(470, 輔助計算!$G$2:$G$801, 0)+1)),IF(INDEX(ERP資料!$G:$G, (MATCH(470, 輔助計算!$G$2:$G$801, 0)+1))&lt;100, IF(INDEX(ERP資料!$G:$G, (MATCH(470, 輔助計算!$G$2:$G$801, 0)+1))&lt;=31,3,IF(INDEX(ERP資料!$G:$G, (MATCH(470, 輔助計算!$G$2:$G$801, 0)+1))&lt;=46.5,2,1)), IF(INDEX(ERP資料!$G:$G, (MATCH(470, 輔助計算!$G$2:$G$801, 0)+1))&lt;=790,3,IF(INDEX(ERP資料!$G:$G, (MATCH(470, 輔助計算!$G$2:$G$801, 0)+1))&lt;=1181,2,1))))=0,"",IF(MOD(INDEX(輔助計算!$D:$D, (MATCH(470, 輔助計算!$G$2:$G$801, 0)+1)),IF(INDEX(ERP資料!$G:$G, (MATCH(470, 輔助計算!$G$2:$G$801, 0)+1))&lt;100, IF(INDEX(ERP資料!$G:$G, (MATCH(470, 輔助計算!$G$2:$G$801, 0)+1))&lt;=31,3,IF(INDEX(ERP資料!$G:$G, (MATCH(470, 輔助計算!$G$2:$G$801, 0)+1))&lt;=46.5,2,1)), IF(INDEX(ERP資料!$G:$G, (MATCH(470, 輔助計算!$G$2:$G$801, 0)+1))&lt;=790,3,IF(INDEX(ERP資料!$G:$G, (MATCH(470, 輔助計算!$G$2:$G$801, 0)+1))&lt;=1181,2,1))))=1,TEXT(INDEX(ERP資料!$G:$G, (MATCH(470, 輔助計算!$G$2:$G$801, 0)+1)),"0.##"),IF(MOD(INDEX(輔助計算!$D:$D, (MATCH(470, 輔助計算!$G$2:$G$801, 0)+1)),IF(INDEX(ERP資料!$G:$G, (MATCH(470, 輔助計算!$G$2:$G$801, 0)+1))&lt;100, IF(INDEX(ERP資料!$G:$G, (MATCH(470, 輔助計算!$G$2:$G$801, 0)+1))&lt;=31,3,IF(INDEX(ERP資料!$G:$G, (MATCH(470, 輔助計算!$G$2:$G$801, 0)+1))&lt;=46.5,2,1)), IF(INDEX(ERP資料!$G:$G, (MATCH(470, 輔助計算!$G$2:$G$801, 0)+1))&lt;=790,3,IF(INDEX(ERP資料!$G:$G, (MATCH(470, 輔助計算!$G$2:$G$801, 0)+1))&lt;=1181,2,1))))=2,TEXT(INDEX(ERP資料!$G:$G, (MATCH(470, 輔助計算!$G$2:$G$801, 0)+1)),"0.##")&amp;"+"&amp;TEXT(INDEX(ERP資料!$G:$G, (MATCH(470, 輔助計算!$G$2:$G$801, 0)+1)),"0.##"),TEXT(INDEX(ERP資料!$G:$G, (MATCH(470, 輔助計算!$G$2:$G$801, 0)+1)),"0.##")&amp;"+"&amp;TEXT(INDEX(ERP資料!$G:$G, (MATCH(470, 輔助計算!$G$2:$G$801, 0)+1)),"0.##")&amp;"+"&amp;TEXT(INDEX(ERP資料!$G:$G, (MATCH(470, 輔助計算!$G$2:$G$801, 0)+1)),"0.##"))))&amp;"-1")), ""), "")</f>
        <v/>
      </c>
      <c r="K471" s="16" t="n"/>
      <c r="L471" s="14">
        <f>IFERROR(IF(AND(IFERROR(INDEX(ERP資料!$A:$A, (MATCH(470, 輔助計算!$G$2:$G$801, 0)+1)), "")&lt;&gt;"", IFERROR(INDEX(ERP資料!$A:$A, (MATCH(470, 輔助計算!$G$2:$G$801, 0)+1)), "")&lt;&gt;IFERROR(INDEX(ERP資料!$A:$A, MATCH(469, 輔助計算!$G$2:$G$801, 0)+1), "")), INDEX(ERP資料!$B:$B, (MATCH(470, 輔助計算!$G$2:$G$801, 0)+1)), ""), "")</f>
        <v/>
      </c>
      <c r="M471" s="17" t="n"/>
    </row>
    <row r="472">
      <c r="A472" s="10">
        <f>IFERROR(IF(AND(IFERROR(INDEX(ERP資料!$A:$A, (MATCH(471, 輔助計算!$G$2:$G$801, 0)+1)), "")&lt;&gt;"", IFERROR(INDEX(ERP資料!$A:$A, (MATCH(471, 輔助計算!$G$2:$G$801, 0)+1)), "")&lt;&gt;IFERROR(INDEX(ERP資料!$A:$A, MATCH(470, 輔助計算!$G$2:$G$801, 0)+1), "")), IFERROR(INDEX(ERP資料!$A:$A, (MATCH(471, 輔助計算!$G$2:$G$801, 0)+1)), ""), ""), "")</f>
        <v/>
      </c>
      <c r="B472" s="10">
        <f>IFERROR(IF(AND(IFERROR(INDEX(ERP資料!$A:$A, (MATCH(471, 輔助計算!$G$2:$G$801, 0)+1)), "")&lt;&gt;"", IFERROR(INDEX(ERP資料!$A:$A, (MATCH(471, 輔助計算!$G$2:$G$801, 0)+1)), "")&lt;&gt;IFERROR(INDEX(ERP資料!$A:$A, MATCH(470, 輔助計算!$G$2:$G$801, 0)+1), "")), INDEX(ERP資料!$S:$S, (MATCH(471, 輔助計算!$G$2:$G$801, 0)+1)), ""), "")</f>
        <v/>
      </c>
      <c r="C472" s="19">
        <f>IFERROR(IF(AND(IFERROR(INDEX(ERP資料!$A:$A, (MATCH(471, 輔助計算!$G$2:$G$801, 0)+1)), "")&lt;&gt;"", IFERROR(INDEX(ERP資料!$A:$A, (MATCH(471, 輔助計算!$G$2:$G$801, 0)+1)), "")&lt;&gt;IFERROR(INDEX(ERP資料!$A:$A, MATCH(470, 輔助計算!$G$2:$G$801, 0)+1), "")), IFERROR(VLOOKUP(LEFT(INDEX(ERP資料!$S:$S, (MATCH(471, 輔助計算!$G$2:$G$801, 0)+1)), 4), 紙管對照表!$A:$C, 3, FALSE), ""), ""), "")</f>
        <v/>
      </c>
      <c r="D472" s="16" t="n"/>
      <c r="E472" s="10">
        <f>IFERROR(IF(INDEX(ERP資料!$H:$H, (MATCH(471, 輔助計算!$G$2:$G$801, 0)+1))="","",INDEX(ERP資料!$H:$H, (MATCH(471, 輔助計算!$G$2:$G$801, 0)+1))), "")</f>
        <v/>
      </c>
      <c r="F472" s="10">
        <f>IFERROR(IF(INDEX(ERP資料!$E:$E, (MATCH(471, 輔助計算!$G$2:$G$801, 0)+1))="","",TRIM(INDEX(ERP資料!$E:$E, (MATCH(471, 輔助計算!$G$2:$G$801, 0)+1)))), "")</f>
        <v/>
      </c>
      <c r="G472" s="10">
        <f>IFERROR(IF(INDEX(ERP資料!$F:$F, (MATCH(471, 輔助計算!$G$2:$G$801, 0)+1))="","",INDEX(ERP資料!$F:$F, (MATCH(471, 輔助計算!$G$2:$G$801, 0)+1))), "")</f>
        <v/>
      </c>
      <c r="H472" s="10">
        <f>IFERROR(IF(INDEX(ERP資料!$G:$G, (MATCH(471, 輔助計算!$G$2:$G$801, 0)+1))="","",INDEX(ERP資料!$G:$G, (MATCH(471, 輔助計算!$G$2:$G$801, 0)+1))), "")</f>
        <v/>
      </c>
      <c r="I472" s="15">
        <f>IFERROR(INDEX(輔助計算!$D:$D, (MATCH(471, 輔助計算!$G$2:$G$801, 0)+1)), "")</f>
        <v/>
      </c>
      <c r="J472" s="15">
        <f>IFERROR(IF(AND(INDEX(輔助計算!$D:$D, (MATCH(471, 輔助計算!$G$2:$G$801, 0)+1))&lt;&gt;"", INDEX(ERP資料!$G:$G, (MATCH(471, 輔助計算!$G$2:$G$801, 0)+1))&lt;&gt;""), TRIM(IF(INT(INDEX(輔助計算!$D:$D, (MATCH(471, 輔助計算!$G$2:$G$801, 0)+1))/IF(INDEX(ERP資料!$G:$G, (MATCH(471, 輔助計算!$G$2:$G$801, 0)+1))&lt;100, IF(INDEX(ERP資料!$G:$G, (MATCH(471, 輔助計算!$G$2:$G$801, 0)+1))&lt;=31,3,IF(INDEX(ERP資料!$G:$G, (MATCH(471, 輔助計算!$G$2:$G$801, 0)+1))&lt;=46.5,2,1)), IF(INDEX(ERP資料!$G:$G, (MATCH(471, 輔助計算!$G$2:$G$801, 0)+1))&lt;=790,3,IF(INDEX(ERP資料!$G:$G, (MATCH(471, 輔助計算!$G$2:$G$801, 0)+1))&lt;=1181,2,1))))&gt;0, IF(IF(INDEX(ERP資料!$G:$G, (MATCH(471, 輔助計算!$G$2:$G$801, 0)+1))&lt;100, IF(INDEX(ERP資料!$G:$G, (MATCH(471, 輔助計算!$G$2:$G$801, 0)+1))&lt;=31,3,IF(INDEX(ERP資料!$G:$G, (MATCH(471, 輔助計算!$G$2:$G$801, 0)+1))&lt;=46.5,2,1)), IF(INDEX(ERP資料!$G:$G, (MATCH(471, 輔助計算!$G$2:$G$801, 0)+1))&lt;=790,3,IF(INDEX(ERP資料!$G:$G, (MATCH(471, 輔助計算!$G$2:$G$801, 0)+1))&lt;=1181,2,1)))=1,TEXT(INDEX(ERP資料!$G:$G, (MATCH(471, 輔助計算!$G$2:$G$801, 0)+1)),"0.##"),IF(IF(INDEX(ERP資料!$G:$G, (MATCH(471, 輔助計算!$G$2:$G$801, 0)+1))&lt;100, IF(INDEX(ERP資料!$G:$G, (MATCH(471, 輔助計算!$G$2:$G$801, 0)+1))&lt;=31,3,IF(INDEX(ERP資料!$G:$G, (MATCH(471, 輔助計算!$G$2:$G$801, 0)+1))&lt;=46.5,2,1)), IF(INDEX(ERP資料!$G:$G, (MATCH(471, 輔助計算!$G$2:$G$801, 0)+1))&lt;=790,3,IF(INDEX(ERP資料!$G:$G, (MATCH(471, 輔助計算!$G$2:$G$801, 0)+1))&lt;=1181,2,1)))=2,TEXT(INDEX(ERP資料!$G:$G, (MATCH(471, 輔助計算!$G$2:$G$801, 0)+1)),"0.##")&amp;"+"&amp;TEXT(INDEX(ERP資料!$G:$G, (MATCH(471, 輔助計算!$G$2:$G$801, 0)+1)),"0.##"),TEXT(INDEX(ERP資料!$G:$G, (MATCH(471, 輔助計算!$G$2:$G$801, 0)+1)),"0.##")&amp;"+"&amp;TEXT(INDEX(ERP資料!$G:$G, (MATCH(471, 輔助計算!$G$2:$G$801, 0)+1)),"0.##")&amp;"+"&amp;TEXT(INDEX(ERP資料!$G:$G, (MATCH(471, 輔助計算!$G$2:$G$801, 0)+1)),"0.##")))&amp;"-"&amp;INT(INDEX(輔助計算!$D:$D, (MATCH(471, 輔助計算!$G$2:$G$801, 0)+1))/IF(INDEX(ERP資料!$G:$G, (MATCH(471, 輔助計算!$G$2:$G$801, 0)+1))&lt;100, IF(INDEX(ERP資料!$G:$G, (MATCH(471, 輔助計算!$G$2:$G$801, 0)+1))&lt;=31,3,IF(INDEX(ERP資料!$G:$G, (MATCH(471, 輔助計算!$G$2:$G$801, 0)+1))&lt;=46.5,2,1)), IF(INDEX(ERP資料!$G:$G, (MATCH(471, 輔助計算!$G$2:$G$801, 0)+1))&lt;=790,3,IF(INDEX(ERP資料!$G:$G, (MATCH(471, 輔助計算!$G$2:$G$801, 0)+1))&lt;=1181,2,1)))), "")&amp;IF(AND(IF(INT(INDEX(輔助計算!$D:$D, (MATCH(471, 輔助計算!$G$2:$G$801, 0)+1))/IF(INDEX(ERP資料!$G:$G, (MATCH(471, 輔助計算!$G$2:$G$801, 0)+1))&lt;100, IF(INDEX(ERP資料!$G:$G, (MATCH(471, 輔助計算!$G$2:$G$801, 0)+1))&lt;=31,3,IF(INDEX(ERP資料!$G:$G, (MATCH(471, 輔助計算!$G$2:$G$801, 0)+1))&lt;=46.5,2,1)), IF(INDEX(ERP資料!$G:$G, (MATCH(471, 輔助計算!$G$2:$G$801, 0)+1))&lt;=790,3,IF(INDEX(ERP資料!$G:$G, (MATCH(471, 輔助計算!$G$2:$G$801, 0)+1))&lt;=1181,2,1))))&gt;0, IF(IF(INDEX(ERP資料!$G:$G, (MATCH(471, 輔助計算!$G$2:$G$801, 0)+1))&lt;100, IF(INDEX(ERP資料!$G:$G, (MATCH(471, 輔助計算!$G$2:$G$801, 0)+1))&lt;=31,3,IF(INDEX(ERP資料!$G:$G, (MATCH(471, 輔助計算!$G$2:$G$801, 0)+1))&lt;=46.5,2,1)), IF(INDEX(ERP資料!$G:$G, (MATCH(471, 輔助計算!$G$2:$G$801, 0)+1))&lt;=790,3,IF(INDEX(ERP資料!$G:$G, (MATCH(471, 輔助計算!$G$2:$G$801, 0)+1))&lt;=1181,2,1)))=1,TEXT(INDEX(ERP資料!$G:$G, (MATCH(471, 輔助計算!$G$2:$G$801, 0)+1)),"0.##"),IF(IF(INDEX(ERP資料!$G:$G, (MATCH(471, 輔助計算!$G$2:$G$801, 0)+1))&lt;100, IF(INDEX(ERP資料!$G:$G, (MATCH(471, 輔助計算!$G$2:$G$801, 0)+1))&lt;=31,3,IF(INDEX(ERP資料!$G:$G, (MATCH(471, 輔助計算!$G$2:$G$801, 0)+1))&lt;=46.5,2,1)), IF(INDEX(ERP資料!$G:$G, (MATCH(471, 輔助計算!$G$2:$G$801, 0)+1))&lt;=790,3,IF(INDEX(ERP資料!$G:$G, (MATCH(471, 輔助計算!$G$2:$G$801, 0)+1))&lt;=1181,2,1)))=2,TEXT(INDEX(ERP資料!$G:$G, (MATCH(471, 輔助計算!$G$2:$G$801, 0)+1)),"0.##")&amp;"+"&amp;TEXT(INDEX(ERP資料!$G:$G, (MATCH(471, 輔助計算!$G$2:$G$801, 0)+1)),"0.##"),TEXT(INDEX(ERP資料!$G:$G, (MATCH(471, 輔助計算!$G$2:$G$801, 0)+1)),"0.##")&amp;"+"&amp;TEXT(INDEX(ERP資料!$G:$G, (MATCH(471, 輔助計算!$G$2:$G$801, 0)+1)),"0.##")&amp;"+"&amp;TEXT(INDEX(ERP資料!$G:$G, (MATCH(471, 輔助計算!$G$2:$G$801, 0)+1)),"0.##")))&amp;"-"&amp;INT(INDEX(輔助計算!$D:$D, (MATCH(471, 輔助計算!$G$2:$G$801, 0)+1))/IF(INDEX(ERP資料!$G:$G, (MATCH(471, 輔助計算!$G$2:$G$801, 0)+1))&lt;100, IF(INDEX(ERP資料!$G:$G, (MATCH(471, 輔助計算!$G$2:$G$801, 0)+1))&lt;=31,3,IF(INDEX(ERP資料!$G:$G, (MATCH(471, 輔助計算!$G$2:$G$801, 0)+1))&lt;=46.5,2,1)), IF(INDEX(ERP資料!$G:$G, (MATCH(471, 輔助計算!$G$2:$G$801, 0)+1))&lt;=790,3,IF(INDEX(ERP資料!$G:$G, (MATCH(471, 輔助計算!$G$2:$G$801, 0)+1))&lt;=1181,2,1)))), "")&lt;&gt;"",IF(MOD(INDEX(輔助計算!$D:$D, (MATCH(471, 輔助計算!$G$2:$G$801, 0)+1)),IF(INDEX(ERP資料!$G:$G, (MATCH(471, 輔助計算!$G$2:$G$801, 0)+1))&lt;100, IF(INDEX(ERP資料!$G:$G, (MATCH(471, 輔助計算!$G$2:$G$801, 0)+1))&lt;=31,3,IF(INDEX(ERP資料!$G:$G, (MATCH(471, 輔助計算!$G$2:$G$801, 0)+1))&lt;=46.5,2,1)), IF(INDEX(ERP資料!$G:$G, (MATCH(471, 輔助計算!$G$2:$G$801, 0)+1))&lt;=790,3,IF(INDEX(ERP資料!$G:$G, (MATCH(471, 輔助計算!$G$2:$G$801, 0)+1))&lt;=1181,2,1))))=0,"",IF(MOD(INDEX(輔助計算!$D:$D, (MATCH(471, 輔助計算!$G$2:$G$801, 0)+1)),IF(INDEX(ERP資料!$G:$G, (MATCH(471, 輔助計算!$G$2:$G$801, 0)+1))&lt;100, IF(INDEX(ERP資料!$G:$G, (MATCH(471, 輔助計算!$G$2:$G$801, 0)+1))&lt;=31,3,IF(INDEX(ERP資料!$G:$G, (MATCH(471, 輔助計算!$G$2:$G$801, 0)+1))&lt;=46.5,2,1)), IF(INDEX(ERP資料!$G:$G, (MATCH(471, 輔助計算!$G$2:$G$801, 0)+1))&lt;=790,3,IF(INDEX(ERP資料!$G:$G, (MATCH(471, 輔助計算!$G$2:$G$801, 0)+1))&lt;=1181,2,1))))=0,"",IF(MOD(INDEX(輔助計算!$D:$D, (MATCH(471, 輔助計算!$G$2:$G$801, 0)+1)),IF(INDEX(ERP資料!$G:$G, (MATCH(471, 輔助計算!$G$2:$G$801, 0)+1))&lt;100, IF(INDEX(ERP資料!$G:$G, (MATCH(471, 輔助計算!$G$2:$G$801, 0)+1))&lt;=31,3,IF(INDEX(ERP資料!$G:$G, (MATCH(471, 輔助計算!$G$2:$G$801, 0)+1))&lt;=46.5,2,1)), IF(INDEX(ERP資料!$G:$G, (MATCH(471, 輔助計算!$G$2:$G$801, 0)+1))&lt;=790,3,IF(INDEX(ERP資料!$G:$G, (MATCH(471, 輔助計算!$G$2:$G$801, 0)+1))&lt;=1181,2,1))))=1,TEXT(INDEX(ERP資料!$G:$G, (MATCH(471, 輔助計算!$G$2:$G$801, 0)+1)),"0.##"),IF(MOD(INDEX(輔助計算!$D:$D, (MATCH(471, 輔助計算!$G$2:$G$801, 0)+1)),IF(INDEX(ERP資料!$G:$G, (MATCH(471, 輔助計算!$G$2:$G$801, 0)+1))&lt;100, IF(INDEX(ERP資料!$G:$G, (MATCH(471, 輔助計算!$G$2:$G$801, 0)+1))&lt;=31,3,IF(INDEX(ERP資料!$G:$G, (MATCH(471, 輔助計算!$G$2:$G$801, 0)+1))&lt;=46.5,2,1)), IF(INDEX(ERP資料!$G:$G, (MATCH(471, 輔助計算!$G$2:$G$801, 0)+1))&lt;=790,3,IF(INDEX(ERP資料!$G:$G, (MATCH(471, 輔助計算!$G$2:$G$801, 0)+1))&lt;=1181,2,1))))=2,TEXT(INDEX(ERP資料!$G:$G, (MATCH(471, 輔助計算!$G$2:$G$801, 0)+1)),"0.##")&amp;"+"&amp;TEXT(INDEX(ERP資料!$G:$G, (MATCH(471, 輔助計算!$G$2:$G$801, 0)+1)),"0.##"),TEXT(INDEX(ERP資料!$G:$G, (MATCH(471, 輔助計算!$G$2:$G$801, 0)+1)),"0.##")&amp;"+"&amp;TEXT(INDEX(ERP資料!$G:$G, (MATCH(471, 輔助計算!$G$2:$G$801, 0)+1)),"0.##")&amp;"+"&amp;TEXT(INDEX(ERP資料!$G:$G, (MATCH(471, 輔助計算!$G$2:$G$801, 0)+1)),"0.##"))))&amp;"-1")&lt;&gt;""),"  ","")&amp;IF(MOD(INDEX(輔助計算!$D:$D, (MATCH(471, 輔助計算!$G$2:$G$801, 0)+1)),IF(INDEX(ERP資料!$G:$G, (MATCH(471, 輔助計算!$G$2:$G$801, 0)+1))&lt;100, IF(INDEX(ERP資料!$G:$G, (MATCH(471, 輔助計算!$G$2:$G$801, 0)+1))&lt;=31,3,IF(INDEX(ERP資料!$G:$G, (MATCH(471, 輔助計算!$G$2:$G$801, 0)+1))&lt;=46.5,2,1)), IF(INDEX(ERP資料!$G:$G, (MATCH(471, 輔助計算!$G$2:$G$801, 0)+1))&lt;=790,3,IF(INDEX(ERP資料!$G:$G, (MATCH(471, 輔助計算!$G$2:$G$801, 0)+1))&lt;=1181,2,1))))=0,"",IF(MOD(INDEX(輔助計算!$D:$D, (MATCH(471, 輔助計算!$G$2:$G$801, 0)+1)),IF(INDEX(ERP資料!$G:$G, (MATCH(471, 輔助計算!$G$2:$G$801, 0)+1))&lt;100, IF(INDEX(ERP資料!$G:$G, (MATCH(471, 輔助計算!$G$2:$G$801, 0)+1))&lt;=31,3,IF(INDEX(ERP資料!$G:$G, (MATCH(471, 輔助計算!$G$2:$G$801, 0)+1))&lt;=46.5,2,1)), IF(INDEX(ERP資料!$G:$G, (MATCH(471, 輔助計算!$G$2:$G$801, 0)+1))&lt;=790,3,IF(INDEX(ERP資料!$G:$G, (MATCH(471, 輔助計算!$G$2:$G$801, 0)+1))&lt;=1181,2,1))))=0,"",IF(MOD(INDEX(輔助計算!$D:$D, (MATCH(471, 輔助計算!$G$2:$G$801, 0)+1)),IF(INDEX(ERP資料!$G:$G, (MATCH(471, 輔助計算!$G$2:$G$801, 0)+1))&lt;100, IF(INDEX(ERP資料!$G:$G, (MATCH(471, 輔助計算!$G$2:$G$801, 0)+1))&lt;=31,3,IF(INDEX(ERP資料!$G:$G, (MATCH(471, 輔助計算!$G$2:$G$801, 0)+1))&lt;=46.5,2,1)), IF(INDEX(ERP資料!$G:$G, (MATCH(471, 輔助計算!$G$2:$G$801, 0)+1))&lt;=790,3,IF(INDEX(ERP資料!$G:$G, (MATCH(471, 輔助計算!$G$2:$G$801, 0)+1))&lt;=1181,2,1))))=1,TEXT(INDEX(ERP資料!$G:$G, (MATCH(471, 輔助計算!$G$2:$G$801, 0)+1)),"0.##"),IF(MOD(INDEX(輔助計算!$D:$D, (MATCH(471, 輔助計算!$G$2:$G$801, 0)+1)),IF(INDEX(ERP資料!$G:$G, (MATCH(471, 輔助計算!$G$2:$G$801, 0)+1))&lt;100, IF(INDEX(ERP資料!$G:$G, (MATCH(471, 輔助計算!$G$2:$G$801, 0)+1))&lt;=31,3,IF(INDEX(ERP資料!$G:$G, (MATCH(471, 輔助計算!$G$2:$G$801, 0)+1))&lt;=46.5,2,1)), IF(INDEX(ERP資料!$G:$G, (MATCH(471, 輔助計算!$G$2:$G$801, 0)+1))&lt;=790,3,IF(INDEX(ERP資料!$G:$G, (MATCH(471, 輔助計算!$G$2:$G$801, 0)+1))&lt;=1181,2,1))))=2,TEXT(INDEX(ERP資料!$G:$G, (MATCH(471, 輔助計算!$G$2:$G$801, 0)+1)),"0.##")&amp;"+"&amp;TEXT(INDEX(ERP資料!$G:$G, (MATCH(471, 輔助計算!$G$2:$G$801, 0)+1)),"0.##"),TEXT(INDEX(ERP資料!$G:$G, (MATCH(471, 輔助計算!$G$2:$G$801, 0)+1)),"0.##")&amp;"+"&amp;TEXT(INDEX(ERP資料!$G:$G, (MATCH(471, 輔助計算!$G$2:$G$801, 0)+1)),"0.##")&amp;"+"&amp;TEXT(INDEX(ERP資料!$G:$G, (MATCH(471, 輔助計算!$G$2:$G$801, 0)+1)),"0.##"))))&amp;"-1")), ""), "")</f>
        <v/>
      </c>
      <c r="K472" s="16" t="n"/>
      <c r="L472" s="14">
        <f>IFERROR(IF(AND(IFERROR(INDEX(ERP資料!$A:$A, (MATCH(471, 輔助計算!$G$2:$G$801, 0)+1)), "")&lt;&gt;"", IFERROR(INDEX(ERP資料!$A:$A, (MATCH(471, 輔助計算!$G$2:$G$801, 0)+1)), "")&lt;&gt;IFERROR(INDEX(ERP資料!$A:$A, MATCH(470, 輔助計算!$G$2:$G$801, 0)+1), "")), INDEX(ERP資料!$B:$B, (MATCH(471, 輔助計算!$G$2:$G$801, 0)+1)), ""), "")</f>
        <v/>
      </c>
      <c r="M472" s="17" t="n"/>
    </row>
    <row r="473">
      <c r="A473" s="10">
        <f>IFERROR(IF(AND(IFERROR(INDEX(ERP資料!$A:$A, (MATCH(472, 輔助計算!$G$2:$G$801, 0)+1)), "")&lt;&gt;"", IFERROR(INDEX(ERP資料!$A:$A, (MATCH(472, 輔助計算!$G$2:$G$801, 0)+1)), "")&lt;&gt;IFERROR(INDEX(ERP資料!$A:$A, MATCH(471, 輔助計算!$G$2:$G$801, 0)+1), "")), IFERROR(INDEX(ERP資料!$A:$A, (MATCH(472, 輔助計算!$G$2:$G$801, 0)+1)), ""), ""), "")</f>
        <v/>
      </c>
      <c r="B473" s="10">
        <f>IFERROR(IF(AND(IFERROR(INDEX(ERP資料!$A:$A, (MATCH(472, 輔助計算!$G$2:$G$801, 0)+1)), "")&lt;&gt;"", IFERROR(INDEX(ERP資料!$A:$A, (MATCH(472, 輔助計算!$G$2:$G$801, 0)+1)), "")&lt;&gt;IFERROR(INDEX(ERP資料!$A:$A, MATCH(471, 輔助計算!$G$2:$G$801, 0)+1), "")), INDEX(ERP資料!$S:$S, (MATCH(472, 輔助計算!$G$2:$G$801, 0)+1)), ""), "")</f>
        <v/>
      </c>
      <c r="C473" s="19">
        <f>IFERROR(IF(AND(IFERROR(INDEX(ERP資料!$A:$A, (MATCH(472, 輔助計算!$G$2:$G$801, 0)+1)), "")&lt;&gt;"", IFERROR(INDEX(ERP資料!$A:$A, (MATCH(472, 輔助計算!$G$2:$G$801, 0)+1)), "")&lt;&gt;IFERROR(INDEX(ERP資料!$A:$A, MATCH(471, 輔助計算!$G$2:$G$801, 0)+1), "")), IFERROR(VLOOKUP(LEFT(INDEX(ERP資料!$S:$S, (MATCH(472, 輔助計算!$G$2:$G$801, 0)+1)), 4), 紙管對照表!$A:$C, 3, FALSE), ""), ""), "")</f>
        <v/>
      </c>
      <c r="D473" s="16" t="n"/>
      <c r="E473" s="10">
        <f>IFERROR(IF(INDEX(ERP資料!$H:$H, (MATCH(472, 輔助計算!$G$2:$G$801, 0)+1))="","",INDEX(ERP資料!$H:$H, (MATCH(472, 輔助計算!$G$2:$G$801, 0)+1))), "")</f>
        <v/>
      </c>
      <c r="F473" s="10">
        <f>IFERROR(IF(INDEX(ERP資料!$E:$E, (MATCH(472, 輔助計算!$G$2:$G$801, 0)+1))="","",TRIM(INDEX(ERP資料!$E:$E, (MATCH(472, 輔助計算!$G$2:$G$801, 0)+1)))), "")</f>
        <v/>
      </c>
      <c r="G473" s="10">
        <f>IFERROR(IF(INDEX(ERP資料!$F:$F, (MATCH(472, 輔助計算!$G$2:$G$801, 0)+1))="","",INDEX(ERP資料!$F:$F, (MATCH(472, 輔助計算!$G$2:$G$801, 0)+1))), "")</f>
        <v/>
      </c>
      <c r="H473" s="10">
        <f>IFERROR(IF(INDEX(ERP資料!$G:$G, (MATCH(472, 輔助計算!$G$2:$G$801, 0)+1))="","",INDEX(ERP資料!$G:$G, (MATCH(472, 輔助計算!$G$2:$G$801, 0)+1))), "")</f>
        <v/>
      </c>
      <c r="I473" s="15">
        <f>IFERROR(INDEX(輔助計算!$D:$D, (MATCH(472, 輔助計算!$G$2:$G$801, 0)+1)), "")</f>
        <v/>
      </c>
      <c r="J473" s="15">
        <f>IFERROR(IF(AND(INDEX(輔助計算!$D:$D, (MATCH(472, 輔助計算!$G$2:$G$801, 0)+1))&lt;&gt;"", INDEX(ERP資料!$G:$G, (MATCH(472, 輔助計算!$G$2:$G$801, 0)+1))&lt;&gt;""), TRIM(IF(INT(INDEX(輔助計算!$D:$D, (MATCH(472, 輔助計算!$G$2:$G$801, 0)+1))/IF(INDEX(ERP資料!$G:$G, (MATCH(472, 輔助計算!$G$2:$G$801, 0)+1))&lt;100, IF(INDEX(ERP資料!$G:$G, (MATCH(472, 輔助計算!$G$2:$G$801, 0)+1))&lt;=31,3,IF(INDEX(ERP資料!$G:$G, (MATCH(472, 輔助計算!$G$2:$G$801, 0)+1))&lt;=46.5,2,1)), IF(INDEX(ERP資料!$G:$G, (MATCH(472, 輔助計算!$G$2:$G$801, 0)+1))&lt;=790,3,IF(INDEX(ERP資料!$G:$G, (MATCH(472, 輔助計算!$G$2:$G$801, 0)+1))&lt;=1181,2,1))))&gt;0, IF(IF(INDEX(ERP資料!$G:$G, (MATCH(472, 輔助計算!$G$2:$G$801, 0)+1))&lt;100, IF(INDEX(ERP資料!$G:$G, (MATCH(472, 輔助計算!$G$2:$G$801, 0)+1))&lt;=31,3,IF(INDEX(ERP資料!$G:$G, (MATCH(472, 輔助計算!$G$2:$G$801, 0)+1))&lt;=46.5,2,1)), IF(INDEX(ERP資料!$G:$G, (MATCH(472, 輔助計算!$G$2:$G$801, 0)+1))&lt;=790,3,IF(INDEX(ERP資料!$G:$G, (MATCH(472, 輔助計算!$G$2:$G$801, 0)+1))&lt;=1181,2,1)))=1,TEXT(INDEX(ERP資料!$G:$G, (MATCH(472, 輔助計算!$G$2:$G$801, 0)+1)),"0.##"),IF(IF(INDEX(ERP資料!$G:$G, (MATCH(472, 輔助計算!$G$2:$G$801, 0)+1))&lt;100, IF(INDEX(ERP資料!$G:$G, (MATCH(472, 輔助計算!$G$2:$G$801, 0)+1))&lt;=31,3,IF(INDEX(ERP資料!$G:$G, (MATCH(472, 輔助計算!$G$2:$G$801, 0)+1))&lt;=46.5,2,1)), IF(INDEX(ERP資料!$G:$G, (MATCH(472, 輔助計算!$G$2:$G$801, 0)+1))&lt;=790,3,IF(INDEX(ERP資料!$G:$G, (MATCH(472, 輔助計算!$G$2:$G$801, 0)+1))&lt;=1181,2,1)))=2,TEXT(INDEX(ERP資料!$G:$G, (MATCH(472, 輔助計算!$G$2:$G$801, 0)+1)),"0.##")&amp;"+"&amp;TEXT(INDEX(ERP資料!$G:$G, (MATCH(472, 輔助計算!$G$2:$G$801, 0)+1)),"0.##"),TEXT(INDEX(ERP資料!$G:$G, (MATCH(472, 輔助計算!$G$2:$G$801, 0)+1)),"0.##")&amp;"+"&amp;TEXT(INDEX(ERP資料!$G:$G, (MATCH(472, 輔助計算!$G$2:$G$801, 0)+1)),"0.##")&amp;"+"&amp;TEXT(INDEX(ERP資料!$G:$G, (MATCH(472, 輔助計算!$G$2:$G$801, 0)+1)),"0.##")))&amp;"-"&amp;INT(INDEX(輔助計算!$D:$D, (MATCH(472, 輔助計算!$G$2:$G$801, 0)+1))/IF(INDEX(ERP資料!$G:$G, (MATCH(472, 輔助計算!$G$2:$G$801, 0)+1))&lt;100, IF(INDEX(ERP資料!$G:$G, (MATCH(472, 輔助計算!$G$2:$G$801, 0)+1))&lt;=31,3,IF(INDEX(ERP資料!$G:$G, (MATCH(472, 輔助計算!$G$2:$G$801, 0)+1))&lt;=46.5,2,1)), IF(INDEX(ERP資料!$G:$G, (MATCH(472, 輔助計算!$G$2:$G$801, 0)+1))&lt;=790,3,IF(INDEX(ERP資料!$G:$G, (MATCH(472, 輔助計算!$G$2:$G$801, 0)+1))&lt;=1181,2,1)))), "")&amp;IF(AND(IF(INT(INDEX(輔助計算!$D:$D, (MATCH(472, 輔助計算!$G$2:$G$801, 0)+1))/IF(INDEX(ERP資料!$G:$G, (MATCH(472, 輔助計算!$G$2:$G$801, 0)+1))&lt;100, IF(INDEX(ERP資料!$G:$G, (MATCH(472, 輔助計算!$G$2:$G$801, 0)+1))&lt;=31,3,IF(INDEX(ERP資料!$G:$G, (MATCH(472, 輔助計算!$G$2:$G$801, 0)+1))&lt;=46.5,2,1)), IF(INDEX(ERP資料!$G:$G, (MATCH(472, 輔助計算!$G$2:$G$801, 0)+1))&lt;=790,3,IF(INDEX(ERP資料!$G:$G, (MATCH(472, 輔助計算!$G$2:$G$801, 0)+1))&lt;=1181,2,1))))&gt;0, IF(IF(INDEX(ERP資料!$G:$G, (MATCH(472, 輔助計算!$G$2:$G$801, 0)+1))&lt;100, IF(INDEX(ERP資料!$G:$G, (MATCH(472, 輔助計算!$G$2:$G$801, 0)+1))&lt;=31,3,IF(INDEX(ERP資料!$G:$G, (MATCH(472, 輔助計算!$G$2:$G$801, 0)+1))&lt;=46.5,2,1)), IF(INDEX(ERP資料!$G:$G, (MATCH(472, 輔助計算!$G$2:$G$801, 0)+1))&lt;=790,3,IF(INDEX(ERP資料!$G:$G, (MATCH(472, 輔助計算!$G$2:$G$801, 0)+1))&lt;=1181,2,1)))=1,TEXT(INDEX(ERP資料!$G:$G, (MATCH(472, 輔助計算!$G$2:$G$801, 0)+1)),"0.##"),IF(IF(INDEX(ERP資料!$G:$G, (MATCH(472, 輔助計算!$G$2:$G$801, 0)+1))&lt;100, IF(INDEX(ERP資料!$G:$G, (MATCH(472, 輔助計算!$G$2:$G$801, 0)+1))&lt;=31,3,IF(INDEX(ERP資料!$G:$G, (MATCH(472, 輔助計算!$G$2:$G$801, 0)+1))&lt;=46.5,2,1)), IF(INDEX(ERP資料!$G:$G, (MATCH(472, 輔助計算!$G$2:$G$801, 0)+1))&lt;=790,3,IF(INDEX(ERP資料!$G:$G, (MATCH(472, 輔助計算!$G$2:$G$801, 0)+1))&lt;=1181,2,1)))=2,TEXT(INDEX(ERP資料!$G:$G, (MATCH(472, 輔助計算!$G$2:$G$801, 0)+1)),"0.##")&amp;"+"&amp;TEXT(INDEX(ERP資料!$G:$G, (MATCH(472, 輔助計算!$G$2:$G$801, 0)+1)),"0.##"),TEXT(INDEX(ERP資料!$G:$G, (MATCH(472, 輔助計算!$G$2:$G$801, 0)+1)),"0.##")&amp;"+"&amp;TEXT(INDEX(ERP資料!$G:$G, (MATCH(472, 輔助計算!$G$2:$G$801, 0)+1)),"0.##")&amp;"+"&amp;TEXT(INDEX(ERP資料!$G:$G, (MATCH(472, 輔助計算!$G$2:$G$801, 0)+1)),"0.##")))&amp;"-"&amp;INT(INDEX(輔助計算!$D:$D, (MATCH(472, 輔助計算!$G$2:$G$801, 0)+1))/IF(INDEX(ERP資料!$G:$G, (MATCH(472, 輔助計算!$G$2:$G$801, 0)+1))&lt;100, IF(INDEX(ERP資料!$G:$G, (MATCH(472, 輔助計算!$G$2:$G$801, 0)+1))&lt;=31,3,IF(INDEX(ERP資料!$G:$G, (MATCH(472, 輔助計算!$G$2:$G$801, 0)+1))&lt;=46.5,2,1)), IF(INDEX(ERP資料!$G:$G, (MATCH(472, 輔助計算!$G$2:$G$801, 0)+1))&lt;=790,3,IF(INDEX(ERP資料!$G:$G, (MATCH(472, 輔助計算!$G$2:$G$801, 0)+1))&lt;=1181,2,1)))), "")&lt;&gt;"",IF(MOD(INDEX(輔助計算!$D:$D, (MATCH(472, 輔助計算!$G$2:$G$801, 0)+1)),IF(INDEX(ERP資料!$G:$G, (MATCH(472, 輔助計算!$G$2:$G$801, 0)+1))&lt;100, IF(INDEX(ERP資料!$G:$G, (MATCH(472, 輔助計算!$G$2:$G$801, 0)+1))&lt;=31,3,IF(INDEX(ERP資料!$G:$G, (MATCH(472, 輔助計算!$G$2:$G$801, 0)+1))&lt;=46.5,2,1)), IF(INDEX(ERP資料!$G:$G, (MATCH(472, 輔助計算!$G$2:$G$801, 0)+1))&lt;=790,3,IF(INDEX(ERP資料!$G:$G, (MATCH(472, 輔助計算!$G$2:$G$801, 0)+1))&lt;=1181,2,1))))=0,"",IF(MOD(INDEX(輔助計算!$D:$D, (MATCH(472, 輔助計算!$G$2:$G$801, 0)+1)),IF(INDEX(ERP資料!$G:$G, (MATCH(472, 輔助計算!$G$2:$G$801, 0)+1))&lt;100, IF(INDEX(ERP資料!$G:$G, (MATCH(472, 輔助計算!$G$2:$G$801, 0)+1))&lt;=31,3,IF(INDEX(ERP資料!$G:$G, (MATCH(472, 輔助計算!$G$2:$G$801, 0)+1))&lt;=46.5,2,1)), IF(INDEX(ERP資料!$G:$G, (MATCH(472, 輔助計算!$G$2:$G$801, 0)+1))&lt;=790,3,IF(INDEX(ERP資料!$G:$G, (MATCH(472, 輔助計算!$G$2:$G$801, 0)+1))&lt;=1181,2,1))))=0,"",IF(MOD(INDEX(輔助計算!$D:$D, (MATCH(472, 輔助計算!$G$2:$G$801, 0)+1)),IF(INDEX(ERP資料!$G:$G, (MATCH(472, 輔助計算!$G$2:$G$801, 0)+1))&lt;100, IF(INDEX(ERP資料!$G:$G, (MATCH(472, 輔助計算!$G$2:$G$801, 0)+1))&lt;=31,3,IF(INDEX(ERP資料!$G:$G, (MATCH(472, 輔助計算!$G$2:$G$801, 0)+1))&lt;=46.5,2,1)), IF(INDEX(ERP資料!$G:$G, (MATCH(472, 輔助計算!$G$2:$G$801, 0)+1))&lt;=790,3,IF(INDEX(ERP資料!$G:$G, (MATCH(472, 輔助計算!$G$2:$G$801, 0)+1))&lt;=1181,2,1))))=1,TEXT(INDEX(ERP資料!$G:$G, (MATCH(472, 輔助計算!$G$2:$G$801, 0)+1)),"0.##"),IF(MOD(INDEX(輔助計算!$D:$D, (MATCH(472, 輔助計算!$G$2:$G$801, 0)+1)),IF(INDEX(ERP資料!$G:$G, (MATCH(472, 輔助計算!$G$2:$G$801, 0)+1))&lt;100, IF(INDEX(ERP資料!$G:$G, (MATCH(472, 輔助計算!$G$2:$G$801, 0)+1))&lt;=31,3,IF(INDEX(ERP資料!$G:$G, (MATCH(472, 輔助計算!$G$2:$G$801, 0)+1))&lt;=46.5,2,1)), IF(INDEX(ERP資料!$G:$G, (MATCH(472, 輔助計算!$G$2:$G$801, 0)+1))&lt;=790,3,IF(INDEX(ERP資料!$G:$G, (MATCH(472, 輔助計算!$G$2:$G$801, 0)+1))&lt;=1181,2,1))))=2,TEXT(INDEX(ERP資料!$G:$G, (MATCH(472, 輔助計算!$G$2:$G$801, 0)+1)),"0.##")&amp;"+"&amp;TEXT(INDEX(ERP資料!$G:$G, (MATCH(472, 輔助計算!$G$2:$G$801, 0)+1)),"0.##"),TEXT(INDEX(ERP資料!$G:$G, (MATCH(472, 輔助計算!$G$2:$G$801, 0)+1)),"0.##")&amp;"+"&amp;TEXT(INDEX(ERP資料!$G:$G, (MATCH(472, 輔助計算!$G$2:$G$801, 0)+1)),"0.##")&amp;"+"&amp;TEXT(INDEX(ERP資料!$G:$G, (MATCH(472, 輔助計算!$G$2:$G$801, 0)+1)),"0.##"))))&amp;"-1")&lt;&gt;""),"  ","")&amp;IF(MOD(INDEX(輔助計算!$D:$D, (MATCH(472, 輔助計算!$G$2:$G$801, 0)+1)),IF(INDEX(ERP資料!$G:$G, (MATCH(472, 輔助計算!$G$2:$G$801, 0)+1))&lt;100, IF(INDEX(ERP資料!$G:$G, (MATCH(472, 輔助計算!$G$2:$G$801, 0)+1))&lt;=31,3,IF(INDEX(ERP資料!$G:$G, (MATCH(472, 輔助計算!$G$2:$G$801, 0)+1))&lt;=46.5,2,1)), IF(INDEX(ERP資料!$G:$G, (MATCH(472, 輔助計算!$G$2:$G$801, 0)+1))&lt;=790,3,IF(INDEX(ERP資料!$G:$G, (MATCH(472, 輔助計算!$G$2:$G$801, 0)+1))&lt;=1181,2,1))))=0,"",IF(MOD(INDEX(輔助計算!$D:$D, (MATCH(472, 輔助計算!$G$2:$G$801, 0)+1)),IF(INDEX(ERP資料!$G:$G, (MATCH(472, 輔助計算!$G$2:$G$801, 0)+1))&lt;100, IF(INDEX(ERP資料!$G:$G, (MATCH(472, 輔助計算!$G$2:$G$801, 0)+1))&lt;=31,3,IF(INDEX(ERP資料!$G:$G, (MATCH(472, 輔助計算!$G$2:$G$801, 0)+1))&lt;=46.5,2,1)), IF(INDEX(ERP資料!$G:$G, (MATCH(472, 輔助計算!$G$2:$G$801, 0)+1))&lt;=790,3,IF(INDEX(ERP資料!$G:$G, (MATCH(472, 輔助計算!$G$2:$G$801, 0)+1))&lt;=1181,2,1))))=0,"",IF(MOD(INDEX(輔助計算!$D:$D, (MATCH(472, 輔助計算!$G$2:$G$801, 0)+1)),IF(INDEX(ERP資料!$G:$G, (MATCH(472, 輔助計算!$G$2:$G$801, 0)+1))&lt;100, IF(INDEX(ERP資料!$G:$G, (MATCH(472, 輔助計算!$G$2:$G$801, 0)+1))&lt;=31,3,IF(INDEX(ERP資料!$G:$G, (MATCH(472, 輔助計算!$G$2:$G$801, 0)+1))&lt;=46.5,2,1)), IF(INDEX(ERP資料!$G:$G, (MATCH(472, 輔助計算!$G$2:$G$801, 0)+1))&lt;=790,3,IF(INDEX(ERP資料!$G:$G, (MATCH(472, 輔助計算!$G$2:$G$801, 0)+1))&lt;=1181,2,1))))=1,TEXT(INDEX(ERP資料!$G:$G, (MATCH(472, 輔助計算!$G$2:$G$801, 0)+1)),"0.##"),IF(MOD(INDEX(輔助計算!$D:$D, (MATCH(472, 輔助計算!$G$2:$G$801, 0)+1)),IF(INDEX(ERP資料!$G:$G, (MATCH(472, 輔助計算!$G$2:$G$801, 0)+1))&lt;100, IF(INDEX(ERP資料!$G:$G, (MATCH(472, 輔助計算!$G$2:$G$801, 0)+1))&lt;=31,3,IF(INDEX(ERP資料!$G:$G, (MATCH(472, 輔助計算!$G$2:$G$801, 0)+1))&lt;=46.5,2,1)), IF(INDEX(ERP資料!$G:$G, (MATCH(472, 輔助計算!$G$2:$G$801, 0)+1))&lt;=790,3,IF(INDEX(ERP資料!$G:$G, (MATCH(472, 輔助計算!$G$2:$G$801, 0)+1))&lt;=1181,2,1))))=2,TEXT(INDEX(ERP資料!$G:$G, (MATCH(472, 輔助計算!$G$2:$G$801, 0)+1)),"0.##")&amp;"+"&amp;TEXT(INDEX(ERP資料!$G:$G, (MATCH(472, 輔助計算!$G$2:$G$801, 0)+1)),"0.##"),TEXT(INDEX(ERP資料!$G:$G, (MATCH(472, 輔助計算!$G$2:$G$801, 0)+1)),"0.##")&amp;"+"&amp;TEXT(INDEX(ERP資料!$G:$G, (MATCH(472, 輔助計算!$G$2:$G$801, 0)+1)),"0.##")&amp;"+"&amp;TEXT(INDEX(ERP資料!$G:$G, (MATCH(472, 輔助計算!$G$2:$G$801, 0)+1)),"0.##"))))&amp;"-1")), ""), "")</f>
        <v/>
      </c>
      <c r="K473" s="16" t="n"/>
      <c r="L473" s="14">
        <f>IFERROR(IF(AND(IFERROR(INDEX(ERP資料!$A:$A, (MATCH(472, 輔助計算!$G$2:$G$801, 0)+1)), "")&lt;&gt;"", IFERROR(INDEX(ERP資料!$A:$A, (MATCH(472, 輔助計算!$G$2:$G$801, 0)+1)), "")&lt;&gt;IFERROR(INDEX(ERP資料!$A:$A, MATCH(471, 輔助計算!$G$2:$G$801, 0)+1), "")), INDEX(ERP資料!$B:$B, (MATCH(472, 輔助計算!$G$2:$G$801, 0)+1)), ""), "")</f>
        <v/>
      </c>
      <c r="M473" s="17" t="n"/>
    </row>
    <row r="474">
      <c r="A474" s="10">
        <f>IFERROR(IF(AND(IFERROR(INDEX(ERP資料!$A:$A, (MATCH(473, 輔助計算!$G$2:$G$801, 0)+1)), "")&lt;&gt;"", IFERROR(INDEX(ERP資料!$A:$A, (MATCH(473, 輔助計算!$G$2:$G$801, 0)+1)), "")&lt;&gt;IFERROR(INDEX(ERP資料!$A:$A, MATCH(472, 輔助計算!$G$2:$G$801, 0)+1), "")), IFERROR(INDEX(ERP資料!$A:$A, (MATCH(473, 輔助計算!$G$2:$G$801, 0)+1)), ""), ""), "")</f>
        <v/>
      </c>
      <c r="B474" s="10">
        <f>IFERROR(IF(AND(IFERROR(INDEX(ERP資料!$A:$A, (MATCH(473, 輔助計算!$G$2:$G$801, 0)+1)), "")&lt;&gt;"", IFERROR(INDEX(ERP資料!$A:$A, (MATCH(473, 輔助計算!$G$2:$G$801, 0)+1)), "")&lt;&gt;IFERROR(INDEX(ERP資料!$A:$A, MATCH(472, 輔助計算!$G$2:$G$801, 0)+1), "")), INDEX(ERP資料!$S:$S, (MATCH(473, 輔助計算!$G$2:$G$801, 0)+1)), ""), "")</f>
        <v/>
      </c>
      <c r="C474" s="19">
        <f>IFERROR(IF(AND(IFERROR(INDEX(ERP資料!$A:$A, (MATCH(473, 輔助計算!$G$2:$G$801, 0)+1)), "")&lt;&gt;"", IFERROR(INDEX(ERP資料!$A:$A, (MATCH(473, 輔助計算!$G$2:$G$801, 0)+1)), "")&lt;&gt;IFERROR(INDEX(ERP資料!$A:$A, MATCH(472, 輔助計算!$G$2:$G$801, 0)+1), "")), IFERROR(VLOOKUP(LEFT(INDEX(ERP資料!$S:$S, (MATCH(473, 輔助計算!$G$2:$G$801, 0)+1)), 4), 紙管對照表!$A:$C, 3, FALSE), ""), ""), "")</f>
        <v/>
      </c>
      <c r="D474" s="16" t="n"/>
      <c r="E474" s="10">
        <f>IFERROR(IF(INDEX(ERP資料!$H:$H, (MATCH(473, 輔助計算!$G$2:$G$801, 0)+1))="","",INDEX(ERP資料!$H:$H, (MATCH(473, 輔助計算!$G$2:$G$801, 0)+1))), "")</f>
        <v/>
      </c>
      <c r="F474" s="10">
        <f>IFERROR(IF(INDEX(ERP資料!$E:$E, (MATCH(473, 輔助計算!$G$2:$G$801, 0)+1))="","",TRIM(INDEX(ERP資料!$E:$E, (MATCH(473, 輔助計算!$G$2:$G$801, 0)+1)))), "")</f>
        <v/>
      </c>
      <c r="G474" s="10">
        <f>IFERROR(IF(INDEX(ERP資料!$F:$F, (MATCH(473, 輔助計算!$G$2:$G$801, 0)+1))="","",INDEX(ERP資料!$F:$F, (MATCH(473, 輔助計算!$G$2:$G$801, 0)+1))), "")</f>
        <v/>
      </c>
      <c r="H474" s="10">
        <f>IFERROR(IF(INDEX(ERP資料!$G:$G, (MATCH(473, 輔助計算!$G$2:$G$801, 0)+1))="","",INDEX(ERP資料!$G:$G, (MATCH(473, 輔助計算!$G$2:$G$801, 0)+1))), "")</f>
        <v/>
      </c>
      <c r="I474" s="15">
        <f>IFERROR(INDEX(輔助計算!$D:$D, (MATCH(473, 輔助計算!$G$2:$G$801, 0)+1)), "")</f>
        <v/>
      </c>
      <c r="J474" s="15">
        <f>IFERROR(IF(AND(INDEX(輔助計算!$D:$D, (MATCH(473, 輔助計算!$G$2:$G$801, 0)+1))&lt;&gt;"", INDEX(ERP資料!$G:$G, (MATCH(473, 輔助計算!$G$2:$G$801, 0)+1))&lt;&gt;""), TRIM(IF(INT(INDEX(輔助計算!$D:$D, (MATCH(473, 輔助計算!$G$2:$G$801, 0)+1))/IF(INDEX(ERP資料!$G:$G, (MATCH(473, 輔助計算!$G$2:$G$801, 0)+1))&lt;100, IF(INDEX(ERP資料!$G:$G, (MATCH(473, 輔助計算!$G$2:$G$801, 0)+1))&lt;=31,3,IF(INDEX(ERP資料!$G:$G, (MATCH(473, 輔助計算!$G$2:$G$801, 0)+1))&lt;=46.5,2,1)), IF(INDEX(ERP資料!$G:$G, (MATCH(473, 輔助計算!$G$2:$G$801, 0)+1))&lt;=790,3,IF(INDEX(ERP資料!$G:$G, (MATCH(473, 輔助計算!$G$2:$G$801, 0)+1))&lt;=1181,2,1))))&gt;0, IF(IF(INDEX(ERP資料!$G:$G, (MATCH(473, 輔助計算!$G$2:$G$801, 0)+1))&lt;100, IF(INDEX(ERP資料!$G:$G, (MATCH(473, 輔助計算!$G$2:$G$801, 0)+1))&lt;=31,3,IF(INDEX(ERP資料!$G:$G, (MATCH(473, 輔助計算!$G$2:$G$801, 0)+1))&lt;=46.5,2,1)), IF(INDEX(ERP資料!$G:$G, (MATCH(473, 輔助計算!$G$2:$G$801, 0)+1))&lt;=790,3,IF(INDEX(ERP資料!$G:$G, (MATCH(473, 輔助計算!$G$2:$G$801, 0)+1))&lt;=1181,2,1)))=1,TEXT(INDEX(ERP資料!$G:$G, (MATCH(473, 輔助計算!$G$2:$G$801, 0)+1)),"0.##"),IF(IF(INDEX(ERP資料!$G:$G, (MATCH(473, 輔助計算!$G$2:$G$801, 0)+1))&lt;100, IF(INDEX(ERP資料!$G:$G, (MATCH(473, 輔助計算!$G$2:$G$801, 0)+1))&lt;=31,3,IF(INDEX(ERP資料!$G:$G, (MATCH(473, 輔助計算!$G$2:$G$801, 0)+1))&lt;=46.5,2,1)), IF(INDEX(ERP資料!$G:$G, (MATCH(473, 輔助計算!$G$2:$G$801, 0)+1))&lt;=790,3,IF(INDEX(ERP資料!$G:$G, (MATCH(473, 輔助計算!$G$2:$G$801, 0)+1))&lt;=1181,2,1)))=2,TEXT(INDEX(ERP資料!$G:$G, (MATCH(473, 輔助計算!$G$2:$G$801, 0)+1)),"0.##")&amp;"+"&amp;TEXT(INDEX(ERP資料!$G:$G, (MATCH(473, 輔助計算!$G$2:$G$801, 0)+1)),"0.##"),TEXT(INDEX(ERP資料!$G:$G, (MATCH(473, 輔助計算!$G$2:$G$801, 0)+1)),"0.##")&amp;"+"&amp;TEXT(INDEX(ERP資料!$G:$G, (MATCH(473, 輔助計算!$G$2:$G$801, 0)+1)),"0.##")&amp;"+"&amp;TEXT(INDEX(ERP資料!$G:$G, (MATCH(473, 輔助計算!$G$2:$G$801, 0)+1)),"0.##")))&amp;"-"&amp;INT(INDEX(輔助計算!$D:$D, (MATCH(473, 輔助計算!$G$2:$G$801, 0)+1))/IF(INDEX(ERP資料!$G:$G, (MATCH(473, 輔助計算!$G$2:$G$801, 0)+1))&lt;100, IF(INDEX(ERP資料!$G:$G, (MATCH(473, 輔助計算!$G$2:$G$801, 0)+1))&lt;=31,3,IF(INDEX(ERP資料!$G:$G, (MATCH(473, 輔助計算!$G$2:$G$801, 0)+1))&lt;=46.5,2,1)), IF(INDEX(ERP資料!$G:$G, (MATCH(473, 輔助計算!$G$2:$G$801, 0)+1))&lt;=790,3,IF(INDEX(ERP資料!$G:$G, (MATCH(473, 輔助計算!$G$2:$G$801, 0)+1))&lt;=1181,2,1)))), "")&amp;IF(AND(IF(INT(INDEX(輔助計算!$D:$D, (MATCH(473, 輔助計算!$G$2:$G$801, 0)+1))/IF(INDEX(ERP資料!$G:$G, (MATCH(473, 輔助計算!$G$2:$G$801, 0)+1))&lt;100, IF(INDEX(ERP資料!$G:$G, (MATCH(473, 輔助計算!$G$2:$G$801, 0)+1))&lt;=31,3,IF(INDEX(ERP資料!$G:$G, (MATCH(473, 輔助計算!$G$2:$G$801, 0)+1))&lt;=46.5,2,1)), IF(INDEX(ERP資料!$G:$G, (MATCH(473, 輔助計算!$G$2:$G$801, 0)+1))&lt;=790,3,IF(INDEX(ERP資料!$G:$G, (MATCH(473, 輔助計算!$G$2:$G$801, 0)+1))&lt;=1181,2,1))))&gt;0, IF(IF(INDEX(ERP資料!$G:$G, (MATCH(473, 輔助計算!$G$2:$G$801, 0)+1))&lt;100, IF(INDEX(ERP資料!$G:$G, (MATCH(473, 輔助計算!$G$2:$G$801, 0)+1))&lt;=31,3,IF(INDEX(ERP資料!$G:$G, (MATCH(473, 輔助計算!$G$2:$G$801, 0)+1))&lt;=46.5,2,1)), IF(INDEX(ERP資料!$G:$G, (MATCH(473, 輔助計算!$G$2:$G$801, 0)+1))&lt;=790,3,IF(INDEX(ERP資料!$G:$G, (MATCH(473, 輔助計算!$G$2:$G$801, 0)+1))&lt;=1181,2,1)))=1,TEXT(INDEX(ERP資料!$G:$G, (MATCH(473, 輔助計算!$G$2:$G$801, 0)+1)),"0.##"),IF(IF(INDEX(ERP資料!$G:$G, (MATCH(473, 輔助計算!$G$2:$G$801, 0)+1))&lt;100, IF(INDEX(ERP資料!$G:$G, (MATCH(473, 輔助計算!$G$2:$G$801, 0)+1))&lt;=31,3,IF(INDEX(ERP資料!$G:$G, (MATCH(473, 輔助計算!$G$2:$G$801, 0)+1))&lt;=46.5,2,1)), IF(INDEX(ERP資料!$G:$G, (MATCH(473, 輔助計算!$G$2:$G$801, 0)+1))&lt;=790,3,IF(INDEX(ERP資料!$G:$G, (MATCH(473, 輔助計算!$G$2:$G$801, 0)+1))&lt;=1181,2,1)))=2,TEXT(INDEX(ERP資料!$G:$G, (MATCH(473, 輔助計算!$G$2:$G$801, 0)+1)),"0.##")&amp;"+"&amp;TEXT(INDEX(ERP資料!$G:$G, (MATCH(473, 輔助計算!$G$2:$G$801, 0)+1)),"0.##"),TEXT(INDEX(ERP資料!$G:$G, (MATCH(473, 輔助計算!$G$2:$G$801, 0)+1)),"0.##")&amp;"+"&amp;TEXT(INDEX(ERP資料!$G:$G, (MATCH(473, 輔助計算!$G$2:$G$801, 0)+1)),"0.##")&amp;"+"&amp;TEXT(INDEX(ERP資料!$G:$G, (MATCH(473, 輔助計算!$G$2:$G$801, 0)+1)),"0.##")))&amp;"-"&amp;INT(INDEX(輔助計算!$D:$D, (MATCH(473, 輔助計算!$G$2:$G$801, 0)+1))/IF(INDEX(ERP資料!$G:$G, (MATCH(473, 輔助計算!$G$2:$G$801, 0)+1))&lt;100, IF(INDEX(ERP資料!$G:$G, (MATCH(473, 輔助計算!$G$2:$G$801, 0)+1))&lt;=31,3,IF(INDEX(ERP資料!$G:$G, (MATCH(473, 輔助計算!$G$2:$G$801, 0)+1))&lt;=46.5,2,1)), IF(INDEX(ERP資料!$G:$G, (MATCH(473, 輔助計算!$G$2:$G$801, 0)+1))&lt;=790,3,IF(INDEX(ERP資料!$G:$G, (MATCH(473, 輔助計算!$G$2:$G$801, 0)+1))&lt;=1181,2,1)))), "")&lt;&gt;"",IF(MOD(INDEX(輔助計算!$D:$D, (MATCH(473, 輔助計算!$G$2:$G$801, 0)+1)),IF(INDEX(ERP資料!$G:$G, (MATCH(473, 輔助計算!$G$2:$G$801, 0)+1))&lt;100, IF(INDEX(ERP資料!$G:$G, (MATCH(473, 輔助計算!$G$2:$G$801, 0)+1))&lt;=31,3,IF(INDEX(ERP資料!$G:$G, (MATCH(473, 輔助計算!$G$2:$G$801, 0)+1))&lt;=46.5,2,1)), IF(INDEX(ERP資料!$G:$G, (MATCH(473, 輔助計算!$G$2:$G$801, 0)+1))&lt;=790,3,IF(INDEX(ERP資料!$G:$G, (MATCH(473, 輔助計算!$G$2:$G$801, 0)+1))&lt;=1181,2,1))))=0,"",IF(MOD(INDEX(輔助計算!$D:$D, (MATCH(473, 輔助計算!$G$2:$G$801, 0)+1)),IF(INDEX(ERP資料!$G:$G, (MATCH(473, 輔助計算!$G$2:$G$801, 0)+1))&lt;100, IF(INDEX(ERP資料!$G:$G, (MATCH(473, 輔助計算!$G$2:$G$801, 0)+1))&lt;=31,3,IF(INDEX(ERP資料!$G:$G, (MATCH(473, 輔助計算!$G$2:$G$801, 0)+1))&lt;=46.5,2,1)), IF(INDEX(ERP資料!$G:$G, (MATCH(473, 輔助計算!$G$2:$G$801, 0)+1))&lt;=790,3,IF(INDEX(ERP資料!$G:$G, (MATCH(473, 輔助計算!$G$2:$G$801, 0)+1))&lt;=1181,2,1))))=0,"",IF(MOD(INDEX(輔助計算!$D:$D, (MATCH(473, 輔助計算!$G$2:$G$801, 0)+1)),IF(INDEX(ERP資料!$G:$G, (MATCH(473, 輔助計算!$G$2:$G$801, 0)+1))&lt;100, IF(INDEX(ERP資料!$G:$G, (MATCH(473, 輔助計算!$G$2:$G$801, 0)+1))&lt;=31,3,IF(INDEX(ERP資料!$G:$G, (MATCH(473, 輔助計算!$G$2:$G$801, 0)+1))&lt;=46.5,2,1)), IF(INDEX(ERP資料!$G:$G, (MATCH(473, 輔助計算!$G$2:$G$801, 0)+1))&lt;=790,3,IF(INDEX(ERP資料!$G:$G, (MATCH(473, 輔助計算!$G$2:$G$801, 0)+1))&lt;=1181,2,1))))=1,TEXT(INDEX(ERP資料!$G:$G, (MATCH(473, 輔助計算!$G$2:$G$801, 0)+1)),"0.##"),IF(MOD(INDEX(輔助計算!$D:$D, (MATCH(473, 輔助計算!$G$2:$G$801, 0)+1)),IF(INDEX(ERP資料!$G:$G, (MATCH(473, 輔助計算!$G$2:$G$801, 0)+1))&lt;100, IF(INDEX(ERP資料!$G:$G, (MATCH(473, 輔助計算!$G$2:$G$801, 0)+1))&lt;=31,3,IF(INDEX(ERP資料!$G:$G, (MATCH(473, 輔助計算!$G$2:$G$801, 0)+1))&lt;=46.5,2,1)), IF(INDEX(ERP資料!$G:$G, (MATCH(473, 輔助計算!$G$2:$G$801, 0)+1))&lt;=790,3,IF(INDEX(ERP資料!$G:$G, (MATCH(473, 輔助計算!$G$2:$G$801, 0)+1))&lt;=1181,2,1))))=2,TEXT(INDEX(ERP資料!$G:$G, (MATCH(473, 輔助計算!$G$2:$G$801, 0)+1)),"0.##")&amp;"+"&amp;TEXT(INDEX(ERP資料!$G:$G, (MATCH(473, 輔助計算!$G$2:$G$801, 0)+1)),"0.##"),TEXT(INDEX(ERP資料!$G:$G, (MATCH(473, 輔助計算!$G$2:$G$801, 0)+1)),"0.##")&amp;"+"&amp;TEXT(INDEX(ERP資料!$G:$G, (MATCH(473, 輔助計算!$G$2:$G$801, 0)+1)),"0.##")&amp;"+"&amp;TEXT(INDEX(ERP資料!$G:$G, (MATCH(473, 輔助計算!$G$2:$G$801, 0)+1)),"0.##"))))&amp;"-1")&lt;&gt;""),"  ","")&amp;IF(MOD(INDEX(輔助計算!$D:$D, (MATCH(473, 輔助計算!$G$2:$G$801, 0)+1)),IF(INDEX(ERP資料!$G:$G, (MATCH(473, 輔助計算!$G$2:$G$801, 0)+1))&lt;100, IF(INDEX(ERP資料!$G:$G, (MATCH(473, 輔助計算!$G$2:$G$801, 0)+1))&lt;=31,3,IF(INDEX(ERP資料!$G:$G, (MATCH(473, 輔助計算!$G$2:$G$801, 0)+1))&lt;=46.5,2,1)), IF(INDEX(ERP資料!$G:$G, (MATCH(473, 輔助計算!$G$2:$G$801, 0)+1))&lt;=790,3,IF(INDEX(ERP資料!$G:$G, (MATCH(473, 輔助計算!$G$2:$G$801, 0)+1))&lt;=1181,2,1))))=0,"",IF(MOD(INDEX(輔助計算!$D:$D, (MATCH(473, 輔助計算!$G$2:$G$801, 0)+1)),IF(INDEX(ERP資料!$G:$G, (MATCH(473, 輔助計算!$G$2:$G$801, 0)+1))&lt;100, IF(INDEX(ERP資料!$G:$G, (MATCH(473, 輔助計算!$G$2:$G$801, 0)+1))&lt;=31,3,IF(INDEX(ERP資料!$G:$G, (MATCH(473, 輔助計算!$G$2:$G$801, 0)+1))&lt;=46.5,2,1)), IF(INDEX(ERP資料!$G:$G, (MATCH(473, 輔助計算!$G$2:$G$801, 0)+1))&lt;=790,3,IF(INDEX(ERP資料!$G:$G, (MATCH(473, 輔助計算!$G$2:$G$801, 0)+1))&lt;=1181,2,1))))=0,"",IF(MOD(INDEX(輔助計算!$D:$D, (MATCH(473, 輔助計算!$G$2:$G$801, 0)+1)),IF(INDEX(ERP資料!$G:$G, (MATCH(473, 輔助計算!$G$2:$G$801, 0)+1))&lt;100, IF(INDEX(ERP資料!$G:$G, (MATCH(473, 輔助計算!$G$2:$G$801, 0)+1))&lt;=31,3,IF(INDEX(ERP資料!$G:$G, (MATCH(473, 輔助計算!$G$2:$G$801, 0)+1))&lt;=46.5,2,1)), IF(INDEX(ERP資料!$G:$G, (MATCH(473, 輔助計算!$G$2:$G$801, 0)+1))&lt;=790,3,IF(INDEX(ERP資料!$G:$G, (MATCH(473, 輔助計算!$G$2:$G$801, 0)+1))&lt;=1181,2,1))))=1,TEXT(INDEX(ERP資料!$G:$G, (MATCH(473, 輔助計算!$G$2:$G$801, 0)+1)),"0.##"),IF(MOD(INDEX(輔助計算!$D:$D, (MATCH(473, 輔助計算!$G$2:$G$801, 0)+1)),IF(INDEX(ERP資料!$G:$G, (MATCH(473, 輔助計算!$G$2:$G$801, 0)+1))&lt;100, IF(INDEX(ERP資料!$G:$G, (MATCH(473, 輔助計算!$G$2:$G$801, 0)+1))&lt;=31,3,IF(INDEX(ERP資料!$G:$G, (MATCH(473, 輔助計算!$G$2:$G$801, 0)+1))&lt;=46.5,2,1)), IF(INDEX(ERP資料!$G:$G, (MATCH(473, 輔助計算!$G$2:$G$801, 0)+1))&lt;=790,3,IF(INDEX(ERP資料!$G:$G, (MATCH(473, 輔助計算!$G$2:$G$801, 0)+1))&lt;=1181,2,1))))=2,TEXT(INDEX(ERP資料!$G:$G, (MATCH(473, 輔助計算!$G$2:$G$801, 0)+1)),"0.##")&amp;"+"&amp;TEXT(INDEX(ERP資料!$G:$G, (MATCH(473, 輔助計算!$G$2:$G$801, 0)+1)),"0.##"),TEXT(INDEX(ERP資料!$G:$G, (MATCH(473, 輔助計算!$G$2:$G$801, 0)+1)),"0.##")&amp;"+"&amp;TEXT(INDEX(ERP資料!$G:$G, (MATCH(473, 輔助計算!$G$2:$G$801, 0)+1)),"0.##")&amp;"+"&amp;TEXT(INDEX(ERP資料!$G:$G, (MATCH(473, 輔助計算!$G$2:$G$801, 0)+1)),"0.##"))))&amp;"-1")), ""), "")</f>
        <v/>
      </c>
      <c r="K474" s="16" t="n"/>
      <c r="L474" s="14">
        <f>IFERROR(IF(AND(IFERROR(INDEX(ERP資料!$A:$A, (MATCH(473, 輔助計算!$G$2:$G$801, 0)+1)), "")&lt;&gt;"", IFERROR(INDEX(ERP資料!$A:$A, (MATCH(473, 輔助計算!$G$2:$G$801, 0)+1)), "")&lt;&gt;IFERROR(INDEX(ERP資料!$A:$A, MATCH(472, 輔助計算!$G$2:$G$801, 0)+1), "")), INDEX(ERP資料!$B:$B, (MATCH(473, 輔助計算!$G$2:$G$801, 0)+1)), ""), "")</f>
        <v/>
      </c>
      <c r="M474" s="17" t="n"/>
    </row>
    <row r="475">
      <c r="A475" s="10">
        <f>IFERROR(IF(AND(IFERROR(INDEX(ERP資料!$A:$A, (MATCH(474, 輔助計算!$G$2:$G$801, 0)+1)), "")&lt;&gt;"", IFERROR(INDEX(ERP資料!$A:$A, (MATCH(474, 輔助計算!$G$2:$G$801, 0)+1)), "")&lt;&gt;IFERROR(INDEX(ERP資料!$A:$A, MATCH(473, 輔助計算!$G$2:$G$801, 0)+1), "")), IFERROR(INDEX(ERP資料!$A:$A, (MATCH(474, 輔助計算!$G$2:$G$801, 0)+1)), ""), ""), "")</f>
        <v/>
      </c>
      <c r="B475" s="10">
        <f>IFERROR(IF(AND(IFERROR(INDEX(ERP資料!$A:$A, (MATCH(474, 輔助計算!$G$2:$G$801, 0)+1)), "")&lt;&gt;"", IFERROR(INDEX(ERP資料!$A:$A, (MATCH(474, 輔助計算!$G$2:$G$801, 0)+1)), "")&lt;&gt;IFERROR(INDEX(ERP資料!$A:$A, MATCH(473, 輔助計算!$G$2:$G$801, 0)+1), "")), INDEX(ERP資料!$S:$S, (MATCH(474, 輔助計算!$G$2:$G$801, 0)+1)), ""), "")</f>
        <v/>
      </c>
      <c r="C475" s="19">
        <f>IFERROR(IF(AND(IFERROR(INDEX(ERP資料!$A:$A, (MATCH(474, 輔助計算!$G$2:$G$801, 0)+1)), "")&lt;&gt;"", IFERROR(INDEX(ERP資料!$A:$A, (MATCH(474, 輔助計算!$G$2:$G$801, 0)+1)), "")&lt;&gt;IFERROR(INDEX(ERP資料!$A:$A, MATCH(473, 輔助計算!$G$2:$G$801, 0)+1), "")), IFERROR(VLOOKUP(LEFT(INDEX(ERP資料!$S:$S, (MATCH(474, 輔助計算!$G$2:$G$801, 0)+1)), 4), 紙管對照表!$A:$C, 3, FALSE), ""), ""), "")</f>
        <v/>
      </c>
      <c r="D475" s="16" t="n"/>
      <c r="E475" s="10">
        <f>IFERROR(IF(INDEX(ERP資料!$H:$H, (MATCH(474, 輔助計算!$G$2:$G$801, 0)+1))="","",INDEX(ERP資料!$H:$H, (MATCH(474, 輔助計算!$G$2:$G$801, 0)+1))), "")</f>
        <v/>
      </c>
      <c r="F475" s="10">
        <f>IFERROR(IF(INDEX(ERP資料!$E:$E, (MATCH(474, 輔助計算!$G$2:$G$801, 0)+1))="","",TRIM(INDEX(ERP資料!$E:$E, (MATCH(474, 輔助計算!$G$2:$G$801, 0)+1)))), "")</f>
        <v/>
      </c>
      <c r="G475" s="10">
        <f>IFERROR(IF(INDEX(ERP資料!$F:$F, (MATCH(474, 輔助計算!$G$2:$G$801, 0)+1))="","",INDEX(ERP資料!$F:$F, (MATCH(474, 輔助計算!$G$2:$G$801, 0)+1))), "")</f>
        <v/>
      </c>
      <c r="H475" s="10">
        <f>IFERROR(IF(INDEX(ERP資料!$G:$G, (MATCH(474, 輔助計算!$G$2:$G$801, 0)+1))="","",INDEX(ERP資料!$G:$G, (MATCH(474, 輔助計算!$G$2:$G$801, 0)+1))), "")</f>
        <v/>
      </c>
      <c r="I475" s="15">
        <f>IFERROR(INDEX(輔助計算!$D:$D, (MATCH(474, 輔助計算!$G$2:$G$801, 0)+1)), "")</f>
        <v/>
      </c>
      <c r="J475" s="15">
        <f>IFERROR(IF(AND(INDEX(輔助計算!$D:$D, (MATCH(474, 輔助計算!$G$2:$G$801, 0)+1))&lt;&gt;"", INDEX(ERP資料!$G:$G, (MATCH(474, 輔助計算!$G$2:$G$801, 0)+1))&lt;&gt;""), TRIM(IF(INT(INDEX(輔助計算!$D:$D, (MATCH(474, 輔助計算!$G$2:$G$801, 0)+1))/IF(INDEX(ERP資料!$G:$G, (MATCH(474, 輔助計算!$G$2:$G$801, 0)+1))&lt;100, IF(INDEX(ERP資料!$G:$G, (MATCH(474, 輔助計算!$G$2:$G$801, 0)+1))&lt;=31,3,IF(INDEX(ERP資料!$G:$G, (MATCH(474, 輔助計算!$G$2:$G$801, 0)+1))&lt;=46.5,2,1)), IF(INDEX(ERP資料!$G:$G, (MATCH(474, 輔助計算!$G$2:$G$801, 0)+1))&lt;=790,3,IF(INDEX(ERP資料!$G:$G, (MATCH(474, 輔助計算!$G$2:$G$801, 0)+1))&lt;=1181,2,1))))&gt;0, IF(IF(INDEX(ERP資料!$G:$G, (MATCH(474, 輔助計算!$G$2:$G$801, 0)+1))&lt;100, IF(INDEX(ERP資料!$G:$G, (MATCH(474, 輔助計算!$G$2:$G$801, 0)+1))&lt;=31,3,IF(INDEX(ERP資料!$G:$G, (MATCH(474, 輔助計算!$G$2:$G$801, 0)+1))&lt;=46.5,2,1)), IF(INDEX(ERP資料!$G:$G, (MATCH(474, 輔助計算!$G$2:$G$801, 0)+1))&lt;=790,3,IF(INDEX(ERP資料!$G:$G, (MATCH(474, 輔助計算!$G$2:$G$801, 0)+1))&lt;=1181,2,1)))=1,TEXT(INDEX(ERP資料!$G:$G, (MATCH(474, 輔助計算!$G$2:$G$801, 0)+1)),"0.##"),IF(IF(INDEX(ERP資料!$G:$G, (MATCH(474, 輔助計算!$G$2:$G$801, 0)+1))&lt;100, IF(INDEX(ERP資料!$G:$G, (MATCH(474, 輔助計算!$G$2:$G$801, 0)+1))&lt;=31,3,IF(INDEX(ERP資料!$G:$G, (MATCH(474, 輔助計算!$G$2:$G$801, 0)+1))&lt;=46.5,2,1)), IF(INDEX(ERP資料!$G:$G, (MATCH(474, 輔助計算!$G$2:$G$801, 0)+1))&lt;=790,3,IF(INDEX(ERP資料!$G:$G, (MATCH(474, 輔助計算!$G$2:$G$801, 0)+1))&lt;=1181,2,1)))=2,TEXT(INDEX(ERP資料!$G:$G, (MATCH(474, 輔助計算!$G$2:$G$801, 0)+1)),"0.##")&amp;"+"&amp;TEXT(INDEX(ERP資料!$G:$G, (MATCH(474, 輔助計算!$G$2:$G$801, 0)+1)),"0.##"),TEXT(INDEX(ERP資料!$G:$G, (MATCH(474, 輔助計算!$G$2:$G$801, 0)+1)),"0.##")&amp;"+"&amp;TEXT(INDEX(ERP資料!$G:$G, (MATCH(474, 輔助計算!$G$2:$G$801, 0)+1)),"0.##")&amp;"+"&amp;TEXT(INDEX(ERP資料!$G:$G, (MATCH(474, 輔助計算!$G$2:$G$801, 0)+1)),"0.##")))&amp;"-"&amp;INT(INDEX(輔助計算!$D:$D, (MATCH(474, 輔助計算!$G$2:$G$801, 0)+1))/IF(INDEX(ERP資料!$G:$G, (MATCH(474, 輔助計算!$G$2:$G$801, 0)+1))&lt;100, IF(INDEX(ERP資料!$G:$G, (MATCH(474, 輔助計算!$G$2:$G$801, 0)+1))&lt;=31,3,IF(INDEX(ERP資料!$G:$G, (MATCH(474, 輔助計算!$G$2:$G$801, 0)+1))&lt;=46.5,2,1)), IF(INDEX(ERP資料!$G:$G, (MATCH(474, 輔助計算!$G$2:$G$801, 0)+1))&lt;=790,3,IF(INDEX(ERP資料!$G:$G, (MATCH(474, 輔助計算!$G$2:$G$801, 0)+1))&lt;=1181,2,1)))), "")&amp;IF(AND(IF(INT(INDEX(輔助計算!$D:$D, (MATCH(474, 輔助計算!$G$2:$G$801, 0)+1))/IF(INDEX(ERP資料!$G:$G, (MATCH(474, 輔助計算!$G$2:$G$801, 0)+1))&lt;100, IF(INDEX(ERP資料!$G:$G, (MATCH(474, 輔助計算!$G$2:$G$801, 0)+1))&lt;=31,3,IF(INDEX(ERP資料!$G:$G, (MATCH(474, 輔助計算!$G$2:$G$801, 0)+1))&lt;=46.5,2,1)), IF(INDEX(ERP資料!$G:$G, (MATCH(474, 輔助計算!$G$2:$G$801, 0)+1))&lt;=790,3,IF(INDEX(ERP資料!$G:$G, (MATCH(474, 輔助計算!$G$2:$G$801, 0)+1))&lt;=1181,2,1))))&gt;0, IF(IF(INDEX(ERP資料!$G:$G, (MATCH(474, 輔助計算!$G$2:$G$801, 0)+1))&lt;100, IF(INDEX(ERP資料!$G:$G, (MATCH(474, 輔助計算!$G$2:$G$801, 0)+1))&lt;=31,3,IF(INDEX(ERP資料!$G:$G, (MATCH(474, 輔助計算!$G$2:$G$801, 0)+1))&lt;=46.5,2,1)), IF(INDEX(ERP資料!$G:$G, (MATCH(474, 輔助計算!$G$2:$G$801, 0)+1))&lt;=790,3,IF(INDEX(ERP資料!$G:$G, (MATCH(474, 輔助計算!$G$2:$G$801, 0)+1))&lt;=1181,2,1)))=1,TEXT(INDEX(ERP資料!$G:$G, (MATCH(474, 輔助計算!$G$2:$G$801, 0)+1)),"0.##"),IF(IF(INDEX(ERP資料!$G:$G, (MATCH(474, 輔助計算!$G$2:$G$801, 0)+1))&lt;100, IF(INDEX(ERP資料!$G:$G, (MATCH(474, 輔助計算!$G$2:$G$801, 0)+1))&lt;=31,3,IF(INDEX(ERP資料!$G:$G, (MATCH(474, 輔助計算!$G$2:$G$801, 0)+1))&lt;=46.5,2,1)), IF(INDEX(ERP資料!$G:$G, (MATCH(474, 輔助計算!$G$2:$G$801, 0)+1))&lt;=790,3,IF(INDEX(ERP資料!$G:$G, (MATCH(474, 輔助計算!$G$2:$G$801, 0)+1))&lt;=1181,2,1)))=2,TEXT(INDEX(ERP資料!$G:$G, (MATCH(474, 輔助計算!$G$2:$G$801, 0)+1)),"0.##")&amp;"+"&amp;TEXT(INDEX(ERP資料!$G:$G, (MATCH(474, 輔助計算!$G$2:$G$801, 0)+1)),"0.##"),TEXT(INDEX(ERP資料!$G:$G, (MATCH(474, 輔助計算!$G$2:$G$801, 0)+1)),"0.##")&amp;"+"&amp;TEXT(INDEX(ERP資料!$G:$G, (MATCH(474, 輔助計算!$G$2:$G$801, 0)+1)),"0.##")&amp;"+"&amp;TEXT(INDEX(ERP資料!$G:$G, (MATCH(474, 輔助計算!$G$2:$G$801, 0)+1)),"0.##")))&amp;"-"&amp;INT(INDEX(輔助計算!$D:$D, (MATCH(474, 輔助計算!$G$2:$G$801, 0)+1))/IF(INDEX(ERP資料!$G:$G, (MATCH(474, 輔助計算!$G$2:$G$801, 0)+1))&lt;100, IF(INDEX(ERP資料!$G:$G, (MATCH(474, 輔助計算!$G$2:$G$801, 0)+1))&lt;=31,3,IF(INDEX(ERP資料!$G:$G, (MATCH(474, 輔助計算!$G$2:$G$801, 0)+1))&lt;=46.5,2,1)), IF(INDEX(ERP資料!$G:$G, (MATCH(474, 輔助計算!$G$2:$G$801, 0)+1))&lt;=790,3,IF(INDEX(ERP資料!$G:$G, (MATCH(474, 輔助計算!$G$2:$G$801, 0)+1))&lt;=1181,2,1)))), "")&lt;&gt;"",IF(MOD(INDEX(輔助計算!$D:$D, (MATCH(474, 輔助計算!$G$2:$G$801, 0)+1)),IF(INDEX(ERP資料!$G:$G, (MATCH(474, 輔助計算!$G$2:$G$801, 0)+1))&lt;100, IF(INDEX(ERP資料!$G:$G, (MATCH(474, 輔助計算!$G$2:$G$801, 0)+1))&lt;=31,3,IF(INDEX(ERP資料!$G:$G, (MATCH(474, 輔助計算!$G$2:$G$801, 0)+1))&lt;=46.5,2,1)), IF(INDEX(ERP資料!$G:$G, (MATCH(474, 輔助計算!$G$2:$G$801, 0)+1))&lt;=790,3,IF(INDEX(ERP資料!$G:$G, (MATCH(474, 輔助計算!$G$2:$G$801, 0)+1))&lt;=1181,2,1))))=0,"",IF(MOD(INDEX(輔助計算!$D:$D, (MATCH(474, 輔助計算!$G$2:$G$801, 0)+1)),IF(INDEX(ERP資料!$G:$G, (MATCH(474, 輔助計算!$G$2:$G$801, 0)+1))&lt;100, IF(INDEX(ERP資料!$G:$G, (MATCH(474, 輔助計算!$G$2:$G$801, 0)+1))&lt;=31,3,IF(INDEX(ERP資料!$G:$G, (MATCH(474, 輔助計算!$G$2:$G$801, 0)+1))&lt;=46.5,2,1)), IF(INDEX(ERP資料!$G:$G, (MATCH(474, 輔助計算!$G$2:$G$801, 0)+1))&lt;=790,3,IF(INDEX(ERP資料!$G:$G, (MATCH(474, 輔助計算!$G$2:$G$801, 0)+1))&lt;=1181,2,1))))=0,"",IF(MOD(INDEX(輔助計算!$D:$D, (MATCH(474, 輔助計算!$G$2:$G$801, 0)+1)),IF(INDEX(ERP資料!$G:$G, (MATCH(474, 輔助計算!$G$2:$G$801, 0)+1))&lt;100, IF(INDEX(ERP資料!$G:$G, (MATCH(474, 輔助計算!$G$2:$G$801, 0)+1))&lt;=31,3,IF(INDEX(ERP資料!$G:$G, (MATCH(474, 輔助計算!$G$2:$G$801, 0)+1))&lt;=46.5,2,1)), IF(INDEX(ERP資料!$G:$G, (MATCH(474, 輔助計算!$G$2:$G$801, 0)+1))&lt;=790,3,IF(INDEX(ERP資料!$G:$G, (MATCH(474, 輔助計算!$G$2:$G$801, 0)+1))&lt;=1181,2,1))))=1,TEXT(INDEX(ERP資料!$G:$G, (MATCH(474, 輔助計算!$G$2:$G$801, 0)+1)),"0.##"),IF(MOD(INDEX(輔助計算!$D:$D, (MATCH(474, 輔助計算!$G$2:$G$801, 0)+1)),IF(INDEX(ERP資料!$G:$G, (MATCH(474, 輔助計算!$G$2:$G$801, 0)+1))&lt;100, IF(INDEX(ERP資料!$G:$G, (MATCH(474, 輔助計算!$G$2:$G$801, 0)+1))&lt;=31,3,IF(INDEX(ERP資料!$G:$G, (MATCH(474, 輔助計算!$G$2:$G$801, 0)+1))&lt;=46.5,2,1)), IF(INDEX(ERP資料!$G:$G, (MATCH(474, 輔助計算!$G$2:$G$801, 0)+1))&lt;=790,3,IF(INDEX(ERP資料!$G:$G, (MATCH(474, 輔助計算!$G$2:$G$801, 0)+1))&lt;=1181,2,1))))=2,TEXT(INDEX(ERP資料!$G:$G, (MATCH(474, 輔助計算!$G$2:$G$801, 0)+1)),"0.##")&amp;"+"&amp;TEXT(INDEX(ERP資料!$G:$G, (MATCH(474, 輔助計算!$G$2:$G$801, 0)+1)),"0.##"),TEXT(INDEX(ERP資料!$G:$G, (MATCH(474, 輔助計算!$G$2:$G$801, 0)+1)),"0.##")&amp;"+"&amp;TEXT(INDEX(ERP資料!$G:$G, (MATCH(474, 輔助計算!$G$2:$G$801, 0)+1)),"0.##")&amp;"+"&amp;TEXT(INDEX(ERP資料!$G:$G, (MATCH(474, 輔助計算!$G$2:$G$801, 0)+1)),"0.##"))))&amp;"-1")&lt;&gt;""),"  ","")&amp;IF(MOD(INDEX(輔助計算!$D:$D, (MATCH(474, 輔助計算!$G$2:$G$801, 0)+1)),IF(INDEX(ERP資料!$G:$G, (MATCH(474, 輔助計算!$G$2:$G$801, 0)+1))&lt;100, IF(INDEX(ERP資料!$G:$G, (MATCH(474, 輔助計算!$G$2:$G$801, 0)+1))&lt;=31,3,IF(INDEX(ERP資料!$G:$G, (MATCH(474, 輔助計算!$G$2:$G$801, 0)+1))&lt;=46.5,2,1)), IF(INDEX(ERP資料!$G:$G, (MATCH(474, 輔助計算!$G$2:$G$801, 0)+1))&lt;=790,3,IF(INDEX(ERP資料!$G:$G, (MATCH(474, 輔助計算!$G$2:$G$801, 0)+1))&lt;=1181,2,1))))=0,"",IF(MOD(INDEX(輔助計算!$D:$D, (MATCH(474, 輔助計算!$G$2:$G$801, 0)+1)),IF(INDEX(ERP資料!$G:$G, (MATCH(474, 輔助計算!$G$2:$G$801, 0)+1))&lt;100, IF(INDEX(ERP資料!$G:$G, (MATCH(474, 輔助計算!$G$2:$G$801, 0)+1))&lt;=31,3,IF(INDEX(ERP資料!$G:$G, (MATCH(474, 輔助計算!$G$2:$G$801, 0)+1))&lt;=46.5,2,1)), IF(INDEX(ERP資料!$G:$G, (MATCH(474, 輔助計算!$G$2:$G$801, 0)+1))&lt;=790,3,IF(INDEX(ERP資料!$G:$G, (MATCH(474, 輔助計算!$G$2:$G$801, 0)+1))&lt;=1181,2,1))))=0,"",IF(MOD(INDEX(輔助計算!$D:$D, (MATCH(474, 輔助計算!$G$2:$G$801, 0)+1)),IF(INDEX(ERP資料!$G:$G, (MATCH(474, 輔助計算!$G$2:$G$801, 0)+1))&lt;100, IF(INDEX(ERP資料!$G:$G, (MATCH(474, 輔助計算!$G$2:$G$801, 0)+1))&lt;=31,3,IF(INDEX(ERP資料!$G:$G, (MATCH(474, 輔助計算!$G$2:$G$801, 0)+1))&lt;=46.5,2,1)), IF(INDEX(ERP資料!$G:$G, (MATCH(474, 輔助計算!$G$2:$G$801, 0)+1))&lt;=790,3,IF(INDEX(ERP資料!$G:$G, (MATCH(474, 輔助計算!$G$2:$G$801, 0)+1))&lt;=1181,2,1))))=1,TEXT(INDEX(ERP資料!$G:$G, (MATCH(474, 輔助計算!$G$2:$G$801, 0)+1)),"0.##"),IF(MOD(INDEX(輔助計算!$D:$D, (MATCH(474, 輔助計算!$G$2:$G$801, 0)+1)),IF(INDEX(ERP資料!$G:$G, (MATCH(474, 輔助計算!$G$2:$G$801, 0)+1))&lt;100, IF(INDEX(ERP資料!$G:$G, (MATCH(474, 輔助計算!$G$2:$G$801, 0)+1))&lt;=31,3,IF(INDEX(ERP資料!$G:$G, (MATCH(474, 輔助計算!$G$2:$G$801, 0)+1))&lt;=46.5,2,1)), IF(INDEX(ERP資料!$G:$G, (MATCH(474, 輔助計算!$G$2:$G$801, 0)+1))&lt;=790,3,IF(INDEX(ERP資料!$G:$G, (MATCH(474, 輔助計算!$G$2:$G$801, 0)+1))&lt;=1181,2,1))))=2,TEXT(INDEX(ERP資料!$G:$G, (MATCH(474, 輔助計算!$G$2:$G$801, 0)+1)),"0.##")&amp;"+"&amp;TEXT(INDEX(ERP資料!$G:$G, (MATCH(474, 輔助計算!$G$2:$G$801, 0)+1)),"0.##"),TEXT(INDEX(ERP資料!$G:$G, (MATCH(474, 輔助計算!$G$2:$G$801, 0)+1)),"0.##")&amp;"+"&amp;TEXT(INDEX(ERP資料!$G:$G, (MATCH(474, 輔助計算!$G$2:$G$801, 0)+1)),"0.##")&amp;"+"&amp;TEXT(INDEX(ERP資料!$G:$G, (MATCH(474, 輔助計算!$G$2:$G$801, 0)+1)),"0.##"))))&amp;"-1")), ""), "")</f>
        <v/>
      </c>
      <c r="K475" s="16" t="n"/>
      <c r="L475" s="14">
        <f>IFERROR(IF(AND(IFERROR(INDEX(ERP資料!$A:$A, (MATCH(474, 輔助計算!$G$2:$G$801, 0)+1)), "")&lt;&gt;"", IFERROR(INDEX(ERP資料!$A:$A, (MATCH(474, 輔助計算!$G$2:$G$801, 0)+1)), "")&lt;&gt;IFERROR(INDEX(ERP資料!$A:$A, MATCH(473, 輔助計算!$G$2:$G$801, 0)+1), "")), INDEX(ERP資料!$B:$B, (MATCH(474, 輔助計算!$G$2:$G$801, 0)+1)), ""), "")</f>
        <v/>
      </c>
      <c r="M475" s="17" t="n"/>
    </row>
    <row r="476">
      <c r="A476" s="10">
        <f>IFERROR(IF(AND(IFERROR(INDEX(ERP資料!$A:$A, (MATCH(475, 輔助計算!$G$2:$G$801, 0)+1)), "")&lt;&gt;"", IFERROR(INDEX(ERP資料!$A:$A, (MATCH(475, 輔助計算!$G$2:$G$801, 0)+1)), "")&lt;&gt;IFERROR(INDEX(ERP資料!$A:$A, MATCH(474, 輔助計算!$G$2:$G$801, 0)+1), "")), IFERROR(INDEX(ERP資料!$A:$A, (MATCH(475, 輔助計算!$G$2:$G$801, 0)+1)), ""), ""), "")</f>
        <v/>
      </c>
      <c r="B476" s="10">
        <f>IFERROR(IF(AND(IFERROR(INDEX(ERP資料!$A:$A, (MATCH(475, 輔助計算!$G$2:$G$801, 0)+1)), "")&lt;&gt;"", IFERROR(INDEX(ERP資料!$A:$A, (MATCH(475, 輔助計算!$G$2:$G$801, 0)+1)), "")&lt;&gt;IFERROR(INDEX(ERP資料!$A:$A, MATCH(474, 輔助計算!$G$2:$G$801, 0)+1), "")), INDEX(ERP資料!$S:$S, (MATCH(475, 輔助計算!$G$2:$G$801, 0)+1)), ""), "")</f>
        <v/>
      </c>
      <c r="C476" s="19">
        <f>IFERROR(IF(AND(IFERROR(INDEX(ERP資料!$A:$A, (MATCH(475, 輔助計算!$G$2:$G$801, 0)+1)), "")&lt;&gt;"", IFERROR(INDEX(ERP資料!$A:$A, (MATCH(475, 輔助計算!$G$2:$G$801, 0)+1)), "")&lt;&gt;IFERROR(INDEX(ERP資料!$A:$A, MATCH(474, 輔助計算!$G$2:$G$801, 0)+1), "")), IFERROR(VLOOKUP(LEFT(INDEX(ERP資料!$S:$S, (MATCH(475, 輔助計算!$G$2:$G$801, 0)+1)), 4), 紙管對照表!$A:$C, 3, FALSE), ""), ""), "")</f>
        <v/>
      </c>
      <c r="D476" s="16" t="n"/>
      <c r="E476" s="10">
        <f>IFERROR(IF(INDEX(ERP資料!$H:$H, (MATCH(475, 輔助計算!$G$2:$G$801, 0)+1))="","",INDEX(ERP資料!$H:$H, (MATCH(475, 輔助計算!$G$2:$G$801, 0)+1))), "")</f>
        <v/>
      </c>
      <c r="F476" s="10">
        <f>IFERROR(IF(INDEX(ERP資料!$E:$E, (MATCH(475, 輔助計算!$G$2:$G$801, 0)+1))="","",TRIM(INDEX(ERP資料!$E:$E, (MATCH(475, 輔助計算!$G$2:$G$801, 0)+1)))), "")</f>
        <v/>
      </c>
      <c r="G476" s="10">
        <f>IFERROR(IF(INDEX(ERP資料!$F:$F, (MATCH(475, 輔助計算!$G$2:$G$801, 0)+1))="","",INDEX(ERP資料!$F:$F, (MATCH(475, 輔助計算!$G$2:$G$801, 0)+1))), "")</f>
        <v/>
      </c>
      <c r="H476" s="10">
        <f>IFERROR(IF(INDEX(ERP資料!$G:$G, (MATCH(475, 輔助計算!$G$2:$G$801, 0)+1))="","",INDEX(ERP資料!$G:$G, (MATCH(475, 輔助計算!$G$2:$G$801, 0)+1))), "")</f>
        <v/>
      </c>
      <c r="I476" s="15">
        <f>IFERROR(INDEX(輔助計算!$D:$D, (MATCH(475, 輔助計算!$G$2:$G$801, 0)+1)), "")</f>
        <v/>
      </c>
      <c r="J476" s="15">
        <f>IFERROR(IF(AND(INDEX(輔助計算!$D:$D, (MATCH(475, 輔助計算!$G$2:$G$801, 0)+1))&lt;&gt;"", INDEX(ERP資料!$G:$G, (MATCH(475, 輔助計算!$G$2:$G$801, 0)+1))&lt;&gt;""), TRIM(IF(INT(INDEX(輔助計算!$D:$D, (MATCH(475, 輔助計算!$G$2:$G$801, 0)+1))/IF(INDEX(ERP資料!$G:$G, (MATCH(475, 輔助計算!$G$2:$G$801, 0)+1))&lt;100, IF(INDEX(ERP資料!$G:$G, (MATCH(475, 輔助計算!$G$2:$G$801, 0)+1))&lt;=31,3,IF(INDEX(ERP資料!$G:$G, (MATCH(475, 輔助計算!$G$2:$G$801, 0)+1))&lt;=46.5,2,1)), IF(INDEX(ERP資料!$G:$G, (MATCH(475, 輔助計算!$G$2:$G$801, 0)+1))&lt;=790,3,IF(INDEX(ERP資料!$G:$G, (MATCH(475, 輔助計算!$G$2:$G$801, 0)+1))&lt;=1181,2,1))))&gt;0, IF(IF(INDEX(ERP資料!$G:$G, (MATCH(475, 輔助計算!$G$2:$G$801, 0)+1))&lt;100, IF(INDEX(ERP資料!$G:$G, (MATCH(475, 輔助計算!$G$2:$G$801, 0)+1))&lt;=31,3,IF(INDEX(ERP資料!$G:$G, (MATCH(475, 輔助計算!$G$2:$G$801, 0)+1))&lt;=46.5,2,1)), IF(INDEX(ERP資料!$G:$G, (MATCH(475, 輔助計算!$G$2:$G$801, 0)+1))&lt;=790,3,IF(INDEX(ERP資料!$G:$G, (MATCH(475, 輔助計算!$G$2:$G$801, 0)+1))&lt;=1181,2,1)))=1,TEXT(INDEX(ERP資料!$G:$G, (MATCH(475, 輔助計算!$G$2:$G$801, 0)+1)),"0.##"),IF(IF(INDEX(ERP資料!$G:$G, (MATCH(475, 輔助計算!$G$2:$G$801, 0)+1))&lt;100, IF(INDEX(ERP資料!$G:$G, (MATCH(475, 輔助計算!$G$2:$G$801, 0)+1))&lt;=31,3,IF(INDEX(ERP資料!$G:$G, (MATCH(475, 輔助計算!$G$2:$G$801, 0)+1))&lt;=46.5,2,1)), IF(INDEX(ERP資料!$G:$G, (MATCH(475, 輔助計算!$G$2:$G$801, 0)+1))&lt;=790,3,IF(INDEX(ERP資料!$G:$G, (MATCH(475, 輔助計算!$G$2:$G$801, 0)+1))&lt;=1181,2,1)))=2,TEXT(INDEX(ERP資料!$G:$G, (MATCH(475, 輔助計算!$G$2:$G$801, 0)+1)),"0.##")&amp;"+"&amp;TEXT(INDEX(ERP資料!$G:$G, (MATCH(475, 輔助計算!$G$2:$G$801, 0)+1)),"0.##"),TEXT(INDEX(ERP資料!$G:$G, (MATCH(475, 輔助計算!$G$2:$G$801, 0)+1)),"0.##")&amp;"+"&amp;TEXT(INDEX(ERP資料!$G:$G, (MATCH(475, 輔助計算!$G$2:$G$801, 0)+1)),"0.##")&amp;"+"&amp;TEXT(INDEX(ERP資料!$G:$G, (MATCH(475, 輔助計算!$G$2:$G$801, 0)+1)),"0.##")))&amp;"-"&amp;INT(INDEX(輔助計算!$D:$D, (MATCH(475, 輔助計算!$G$2:$G$801, 0)+1))/IF(INDEX(ERP資料!$G:$G, (MATCH(475, 輔助計算!$G$2:$G$801, 0)+1))&lt;100, IF(INDEX(ERP資料!$G:$G, (MATCH(475, 輔助計算!$G$2:$G$801, 0)+1))&lt;=31,3,IF(INDEX(ERP資料!$G:$G, (MATCH(475, 輔助計算!$G$2:$G$801, 0)+1))&lt;=46.5,2,1)), IF(INDEX(ERP資料!$G:$G, (MATCH(475, 輔助計算!$G$2:$G$801, 0)+1))&lt;=790,3,IF(INDEX(ERP資料!$G:$G, (MATCH(475, 輔助計算!$G$2:$G$801, 0)+1))&lt;=1181,2,1)))), "")&amp;IF(AND(IF(INT(INDEX(輔助計算!$D:$D, (MATCH(475, 輔助計算!$G$2:$G$801, 0)+1))/IF(INDEX(ERP資料!$G:$G, (MATCH(475, 輔助計算!$G$2:$G$801, 0)+1))&lt;100, IF(INDEX(ERP資料!$G:$G, (MATCH(475, 輔助計算!$G$2:$G$801, 0)+1))&lt;=31,3,IF(INDEX(ERP資料!$G:$G, (MATCH(475, 輔助計算!$G$2:$G$801, 0)+1))&lt;=46.5,2,1)), IF(INDEX(ERP資料!$G:$G, (MATCH(475, 輔助計算!$G$2:$G$801, 0)+1))&lt;=790,3,IF(INDEX(ERP資料!$G:$G, (MATCH(475, 輔助計算!$G$2:$G$801, 0)+1))&lt;=1181,2,1))))&gt;0, IF(IF(INDEX(ERP資料!$G:$G, (MATCH(475, 輔助計算!$G$2:$G$801, 0)+1))&lt;100, IF(INDEX(ERP資料!$G:$G, (MATCH(475, 輔助計算!$G$2:$G$801, 0)+1))&lt;=31,3,IF(INDEX(ERP資料!$G:$G, (MATCH(475, 輔助計算!$G$2:$G$801, 0)+1))&lt;=46.5,2,1)), IF(INDEX(ERP資料!$G:$G, (MATCH(475, 輔助計算!$G$2:$G$801, 0)+1))&lt;=790,3,IF(INDEX(ERP資料!$G:$G, (MATCH(475, 輔助計算!$G$2:$G$801, 0)+1))&lt;=1181,2,1)))=1,TEXT(INDEX(ERP資料!$G:$G, (MATCH(475, 輔助計算!$G$2:$G$801, 0)+1)),"0.##"),IF(IF(INDEX(ERP資料!$G:$G, (MATCH(475, 輔助計算!$G$2:$G$801, 0)+1))&lt;100, IF(INDEX(ERP資料!$G:$G, (MATCH(475, 輔助計算!$G$2:$G$801, 0)+1))&lt;=31,3,IF(INDEX(ERP資料!$G:$G, (MATCH(475, 輔助計算!$G$2:$G$801, 0)+1))&lt;=46.5,2,1)), IF(INDEX(ERP資料!$G:$G, (MATCH(475, 輔助計算!$G$2:$G$801, 0)+1))&lt;=790,3,IF(INDEX(ERP資料!$G:$G, (MATCH(475, 輔助計算!$G$2:$G$801, 0)+1))&lt;=1181,2,1)))=2,TEXT(INDEX(ERP資料!$G:$G, (MATCH(475, 輔助計算!$G$2:$G$801, 0)+1)),"0.##")&amp;"+"&amp;TEXT(INDEX(ERP資料!$G:$G, (MATCH(475, 輔助計算!$G$2:$G$801, 0)+1)),"0.##"),TEXT(INDEX(ERP資料!$G:$G, (MATCH(475, 輔助計算!$G$2:$G$801, 0)+1)),"0.##")&amp;"+"&amp;TEXT(INDEX(ERP資料!$G:$G, (MATCH(475, 輔助計算!$G$2:$G$801, 0)+1)),"0.##")&amp;"+"&amp;TEXT(INDEX(ERP資料!$G:$G, (MATCH(475, 輔助計算!$G$2:$G$801, 0)+1)),"0.##")))&amp;"-"&amp;INT(INDEX(輔助計算!$D:$D, (MATCH(475, 輔助計算!$G$2:$G$801, 0)+1))/IF(INDEX(ERP資料!$G:$G, (MATCH(475, 輔助計算!$G$2:$G$801, 0)+1))&lt;100, IF(INDEX(ERP資料!$G:$G, (MATCH(475, 輔助計算!$G$2:$G$801, 0)+1))&lt;=31,3,IF(INDEX(ERP資料!$G:$G, (MATCH(475, 輔助計算!$G$2:$G$801, 0)+1))&lt;=46.5,2,1)), IF(INDEX(ERP資料!$G:$G, (MATCH(475, 輔助計算!$G$2:$G$801, 0)+1))&lt;=790,3,IF(INDEX(ERP資料!$G:$G, (MATCH(475, 輔助計算!$G$2:$G$801, 0)+1))&lt;=1181,2,1)))), "")&lt;&gt;"",IF(MOD(INDEX(輔助計算!$D:$D, (MATCH(475, 輔助計算!$G$2:$G$801, 0)+1)),IF(INDEX(ERP資料!$G:$G, (MATCH(475, 輔助計算!$G$2:$G$801, 0)+1))&lt;100, IF(INDEX(ERP資料!$G:$G, (MATCH(475, 輔助計算!$G$2:$G$801, 0)+1))&lt;=31,3,IF(INDEX(ERP資料!$G:$G, (MATCH(475, 輔助計算!$G$2:$G$801, 0)+1))&lt;=46.5,2,1)), IF(INDEX(ERP資料!$G:$G, (MATCH(475, 輔助計算!$G$2:$G$801, 0)+1))&lt;=790,3,IF(INDEX(ERP資料!$G:$G, (MATCH(475, 輔助計算!$G$2:$G$801, 0)+1))&lt;=1181,2,1))))=0,"",IF(MOD(INDEX(輔助計算!$D:$D, (MATCH(475, 輔助計算!$G$2:$G$801, 0)+1)),IF(INDEX(ERP資料!$G:$G, (MATCH(475, 輔助計算!$G$2:$G$801, 0)+1))&lt;100, IF(INDEX(ERP資料!$G:$G, (MATCH(475, 輔助計算!$G$2:$G$801, 0)+1))&lt;=31,3,IF(INDEX(ERP資料!$G:$G, (MATCH(475, 輔助計算!$G$2:$G$801, 0)+1))&lt;=46.5,2,1)), IF(INDEX(ERP資料!$G:$G, (MATCH(475, 輔助計算!$G$2:$G$801, 0)+1))&lt;=790,3,IF(INDEX(ERP資料!$G:$G, (MATCH(475, 輔助計算!$G$2:$G$801, 0)+1))&lt;=1181,2,1))))=0,"",IF(MOD(INDEX(輔助計算!$D:$D, (MATCH(475, 輔助計算!$G$2:$G$801, 0)+1)),IF(INDEX(ERP資料!$G:$G, (MATCH(475, 輔助計算!$G$2:$G$801, 0)+1))&lt;100, IF(INDEX(ERP資料!$G:$G, (MATCH(475, 輔助計算!$G$2:$G$801, 0)+1))&lt;=31,3,IF(INDEX(ERP資料!$G:$G, (MATCH(475, 輔助計算!$G$2:$G$801, 0)+1))&lt;=46.5,2,1)), IF(INDEX(ERP資料!$G:$G, (MATCH(475, 輔助計算!$G$2:$G$801, 0)+1))&lt;=790,3,IF(INDEX(ERP資料!$G:$G, (MATCH(475, 輔助計算!$G$2:$G$801, 0)+1))&lt;=1181,2,1))))=1,TEXT(INDEX(ERP資料!$G:$G, (MATCH(475, 輔助計算!$G$2:$G$801, 0)+1)),"0.##"),IF(MOD(INDEX(輔助計算!$D:$D, (MATCH(475, 輔助計算!$G$2:$G$801, 0)+1)),IF(INDEX(ERP資料!$G:$G, (MATCH(475, 輔助計算!$G$2:$G$801, 0)+1))&lt;100, IF(INDEX(ERP資料!$G:$G, (MATCH(475, 輔助計算!$G$2:$G$801, 0)+1))&lt;=31,3,IF(INDEX(ERP資料!$G:$G, (MATCH(475, 輔助計算!$G$2:$G$801, 0)+1))&lt;=46.5,2,1)), IF(INDEX(ERP資料!$G:$G, (MATCH(475, 輔助計算!$G$2:$G$801, 0)+1))&lt;=790,3,IF(INDEX(ERP資料!$G:$G, (MATCH(475, 輔助計算!$G$2:$G$801, 0)+1))&lt;=1181,2,1))))=2,TEXT(INDEX(ERP資料!$G:$G, (MATCH(475, 輔助計算!$G$2:$G$801, 0)+1)),"0.##")&amp;"+"&amp;TEXT(INDEX(ERP資料!$G:$G, (MATCH(475, 輔助計算!$G$2:$G$801, 0)+1)),"0.##"),TEXT(INDEX(ERP資料!$G:$G, (MATCH(475, 輔助計算!$G$2:$G$801, 0)+1)),"0.##")&amp;"+"&amp;TEXT(INDEX(ERP資料!$G:$G, (MATCH(475, 輔助計算!$G$2:$G$801, 0)+1)),"0.##")&amp;"+"&amp;TEXT(INDEX(ERP資料!$G:$G, (MATCH(475, 輔助計算!$G$2:$G$801, 0)+1)),"0.##"))))&amp;"-1")&lt;&gt;""),"  ","")&amp;IF(MOD(INDEX(輔助計算!$D:$D, (MATCH(475, 輔助計算!$G$2:$G$801, 0)+1)),IF(INDEX(ERP資料!$G:$G, (MATCH(475, 輔助計算!$G$2:$G$801, 0)+1))&lt;100, IF(INDEX(ERP資料!$G:$G, (MATCH(475, 輔助計算!$G$2:$G$801, 0)+1))&lt;=31,3,IF(INDEX(ERP資料!$G:$G, (MATCH(475, 輔助計算!$G$2:$G$801, 0)+1))&lt;=46.5,2,1)), IF(INDEX(ERP資料!$G:$G, (MATCH(475, 輔助計算!$G$2:$G$801, 0)+1))&lt;=790,3,IF(INDEX(ERP資料!$G:$G, (MATCH(475, 輔助計算!$G$2:$G$801, 0)+1))&lt;=1181,2,1))))=0,"",IF(MOD(INDEX(輔助計算!$D:$D, (MATCH(475, 輔助計算!$G$2:$G$801, 0)+1)),IF(INDEX(ERP資料!$G:$G, (MATCH(475, 輔助計算!$G$2:$G$801, 0)+1))&lt;100, IF(INDEX(ERP資料!$G:$G, (MATCH(475, 輔助計算!$G$2:$G$801, 0)+1))&lt;=31,3,IF(INDEX(ERP資料!$G:$G, (MATCH(475, 輔助計算!$G$2:$G$801, 0)+1))&lt;=46.5,2,1)), IF(INDEX(ERP資料!$G:$G, (MATCH(475, 輔助計算!$G$2:$G$801, 0)+1))&lt;=790,3,IF(INDEX(ERP資料!$G:$G, (MATCH(475, 輔助計算!$G$2:$G$801, 0)+1))&lt;=1181,2,1))))=0,"",IF(MOD(INDEX(輔助計算!$D:$D, (MATCH(475, 輔助計算!$G$2:$G$801, 0)+1)),IF(INDEX(ERP資料!$G:$G, (MATCH(475, 輔助計算!$G$2:$G$801, 0)+1))&lt;100, IF(INDEX(ERP資料!$G:$G, (MATCH(475, 輔助計算!$G$2:$G$801, 0)+1))&lt;=31,3,IF(INDEX(ERP資料!$G:$G, (MATCH(475, 輔助計算!$G$2:$G$801, 0)+1))&lt;=46.5,2,1)), IF(INDEX(ERP資料!$G:$G, (MATCH(475, 輔助計算!$G$2:$G$801, 0)+1))&lt;=790,3,IF(INDEX(ERP資料!$G:$G, (MATCH(475, 輔助計算!$G$2:$G$801, 0)+1))&lt;=1181,2,1))))=1,TEXT(INDEX(ERP資料!$G:$G, (MATCH(475, 輔助計算!$G$2:$G$801, 0)+1)),"0.##"),IF(MOD(INDEX(輔助計算!$D:$D, (MATCH(475, 輔助計算!$G$2:$G$801, 0)+1)),IF(INDEX(ERP資料!$G:$G, (MATCH(475, 輔助計算!$G$2:$G$801, 0)+1))&lt;100, IF(INDEX(ERP資料!$G:$G, (MATCH(475, 輔助計算!$G$2:$G$801, 0)+1))&lt;=31,3,IF(INDEX(ERP資料!$G:$G, (MATCH(475, 輔助計算!$G$2:$G$801, 0)+1))&lt;=46.5,2,1)), IF(INDEX(ERP資料!$G:$G, (MATCH(475, 輔助計算!$G$2:$G$801, 0)+1))&lt;=790,3,IF(INDEX(ERP資料!$G:$G, (MATCH(475, 輔助計算!$G$2:$G$801, 0)+1))&lt;=1181,2,1))))=2,TEXT(INDEX(ERP資料!$G:$G, (MATCH(475, 輔助計算!$G$2:$G$801, 0)+1)),"0.##")&amp;"+"&amp;TEXT(INDEX(ERP資料!$G:$G, (MATCH(475, 輔助計算!$G$2:$G$801, 0)+1)),"0.##"),TEXT(INDEX(ERP資料!$G:$G, (MATCH(475, 輔助計算!$G$2:$G$801, 0)+1)),"0.##")&amp;"+"&amp;TEXT(INDEX(ERP資料!$G:$G, (MATCH(475, 輔助計算!$G$2:$G$801, 0)+1)),"0.##")&amp;"+"&amp;TEXT(INDEX(ERP資料!$G:$G, (MATCH(475, 輔助計算!$G$2:$G$801, 0)+1)),"0.##"))))&amp;"-1")), ""), "")</f>
        <v/>
      </c>
      <c r="K476" s="16" t="n"/>
      <c r="L476" s="14">
        <f>IFERROR(IF(AND(IFERROR(INDEX(ERP資料!$A:$A, (MATCH(475, 輔助計算!$G$2:$G$801, 0)+1)), "")&lt;&gt;"", IFERROR(INDEX(ERP資料!$A:$A, (MATCH(475, 輔助計算!$G$2:$G$801, 0)+1)), "")&lt;&gt;IFERROR(INDEX(ERP資料!$A:$A, MATCH(474, 輔助計算!$G$2:$G$801, 0)+1), "")), INDEX(ERP資料!$B:$B, (MATCH(475, 輔助計算!$G$2:$G$801, 0)+1)), ""), "")</f>
        <v/>
      </c>
      <c r="M476" s="17" t="n"/>
    </row>
    <row r="477">
      <c r="A477" s="10">
        <f>IFERROR(IF(AND(IFERROR(INDEX(ERP資料!$A:$A, (MATCH(476, 輔助計算!$G$2:$G$801, 0)+1)), "")&lt;&gt;"", IFERROR(INDEX(ERP資料!$A:$A, (MATCH(476, 輔助計算!$G$2:$G$801, 0)+1)), "")&lt;&gt;IFERROR(INDEX(ERP資料!$A:$A, MATCH(475, 輔助計算!$G$2:$G$801, 0)+1), "")), IFERROR(INDEX(ERP資料!$A:$A, (MATCH(476, 輔助計算!$G$2:$G$801, 0)+1)), ""), ""), "")</f>
        <v/>
      </c>
      <c r="B477" s="10">
        <f>IFERROR(IF(AND(IFERROR(INDEX(ERP資料!$A:$A, (MATCH(476, 輔助計算!$G$2:$G$801, 0)+1)), "")&lt;&gt;"", IFERROR(INDEX(ERP資料!$A:$A, (MATCH(476, 輔助計算!$G$2:$G$801, 0)+1)), "")&lt;&gt;IFERROR(INDEX(ERP資料!$A:$A, MATCH(475, 輔助計算!$G$2:$G$801, 0)+1), "")), INDEX(ERP資料!$S:$S, (MATCH(476, 輔助計算!$G$2:$G$801, 0)+1)), ""), "")</f>
        <v/>
      </c>
      <c r="C477" s="19">
        <f>IFERROR(IF(AND(IFERROR(INDEX(ERP資料!$A:$A, (MATCH(476, 輔助計算!$G$2:$G$801, 0)+1)), "")&lt;&gt;"", IFERROR(INDEX(ERP資料!$A:$A, (MATCH(476, 輔助計算!$G$2:$G$801, 0)+1)), "")&lt;&gt;IFERROR(INDEX(ERP資料!$A:$A, MATCH(475, 輔助計算!$G$2:$G$801, 0)+1), "")), IFERROR(VLOOKUP(LEFT(INDEX(ERP資料!$S:$S, (MATCH(476, 輔助計算!$G$2:$G$801, 0)+1)), 4), 紙管對照表!$A:$C, 3, FALSE), ""), ""), "")</f>
        <v/>
      </c>
      <c r="D477" s="16" t="n"/>
      <c r="E477" s="10">
        <f>IFERROR(IF(INDEX(ERP資料!$H:$H, (MATCH(476, 輔助計算!$G$2:$G$801, 0)+1))="","",INDEX(ERP資料!$H:$H, (MATCH(476, 輔助計算!$G$2:$G$801, 0)+1))), "")</f>
        <v/>
      </c>
      <c r="F477" s="10">
        <f>IFERROR(IF(INDEX(ERP資料!$E:$E, (MATCH(476, 輔助計算!$G$2:$G$801, 0)+1))="","",TRIM(INDEX(ERP資料!$E:$E, (MATCH(476, 輔助計算!$G$2:$G$801, 0)+1)))), "")</f>
        <v/>
      </c>
      <c r="G477" s="10">
        <f>IFERROR(IF(INDEX(ERP資料!$F:$F, (MATCH(476, 輔助計算!$G$2:$G$801, 0)+1))="","",INDEX(ERP資料!$F:$F, (MATCH(476, 輔助計算!$G$2:$G$801, 0)+1))), "")</f>
        <v/>
      </c>
      <c r="H477" s="10">
        <f>IFERROR(IF(INDEX(ERP資料!$G:$G, (MATCH(476, 輔助計算!$G$2:$G$801, 0)+1))="","",INDEX(ERP資料!$G:$G, (MATCH(476, 輔助計算!$G$2:$G$801, 0)+1))), "")</f>
        <v/>
      </c>
      <c r="I477" s="15">
        <f>IFERROR(INDEX(輔助計算!$D:$D, (MATCH(476, 輔助計算!$G$2:$G$801, 0)+1)), "")</f>
        <v/>
      </c>
      <c r="J477" s="15">
        <f>IFERROR(IF(AND(INDEX(輔助計算!$D:$D, (MATCH(476, 輔助計算!$G$2:$G$801, 0)+1))&lt;&gt;"", INDEX(ERP資料!$G:$G, (MATCH(476, 輔助計算!$G$2:$G$801, 0)+1))&lt;&gt;""), TRIM(IF(INT(INDEX(輔助計算!$D:$D, (MATCH(476, 輔助計算!$G$2:$G$801, 0)+1))/IF(INDEX(ERP資料!$G:$G, (MATCH(476, 輔助計算!$G$2:$G$801, 0)+1))&lt;100, IF(INDEX(ERP資料!$G:$G, (MATCH(476, 輔助計算!$G$2:$G$801, 0)+1))&lt;=31,3,IF(INDEX(ERP資料!$G:$G, (MATCH(476, 輔助計算!$G$2:$G$801, 0)+1))&lt;=46.5,2,1)), IF(INDEX(ERP資料!$G:$G, (MATCH(476, 輔助計算!$G$2:$G$801, 0)+1))&lt;=790,3,IF(INDEX(ERP資料!$G:$G, (MATCH(476, 輔助計算!$G$2:$G$801, 0)+1))&lt;=1181,2,1))))&gt;0, IF(IF(INDEX(ERP資料!$G:$G, (MATCH(476, 輔助計算!$G$2:$G$801, 0)+1))&lt;100, IF(INDEX(ERP資料!$G:$G, (MATCH(476, 輔助計算!$G$2:$G$801, 0)+1))&lt;=31,3,IF(INDEX(ERP資料!$G:$G, (MATCH(476, 輔助計算!$G$2:$G$801, 0)+1))&lt;=46.5,2,1)), IF(INDEX(ERP資料!$G:$G, (MATCH(476, 輔助計算!$G$2:$G$801, 0)+1))&lt;=790,3,IF(INDEX(ERP資料!$G:$G, (MATCH(476, 輔助計算!$G$2:$G$801, 0)+1))&lt;=1181,2,1)))=1,TEXT(INDEX(ERP資料!$G:$G, (MATCH(476, 輔助計算!$G$2:$G$801, 0)+1)),"0.##"),IF(IF(INDEX(ERP資料!$G:$G, (MATCH(476, 輔助計算!$G$2:$G$801, 0)+1))&lt;100, IF(INDEX(ERP資料!$G:$G, (MATCH(476, 輔助計算!$G$2:$G$801, 0)+1))&lt;=31,3,IF(INDEX(ERP資料!$G:$G, (MATCH(476, 輔助計算!$G$2:$G$801, 0)+1))&lt;=46.5,2,1)), IF(INDEX(ERP資料!$G:$G, (MATCH(476, 輔助計算!$G$2:$G$801, 0)+1))&lt;=790,3,IF(INDEX(ERP資料!$G:$G, (MATCH(476, 輔助計算!$G$2:$G$801, 0)+1))&lt;=1181,2,1)))=2,TEXT(INDEX(ERP資料!$G:$G, (MATCH(476, 輔助計算!$G$2:$G$801, 0)+1)),"0.##")&amp;"+"&amp;TEXT(INDEX(ERP資料!$G:$G, (MATCH(476, 輔助計算!$G$2:$G$801, 0)+1)),"0.##"),TEXT(INDEX(ERP資料!$G:$G, (MATCH(476, 輔助計算!$G$2:$G$801, 0)+1)),"0.##")&amp;"+"&amp;TEXT(INDEX(ERP資料!$G:$G, (MATCH(476, 輔助計算!$G$2:$G$801, 0)+1)),"0.##")&amp;"+"&amp;TEXT(INDEX(ERP資料!$G:$G, (MATCH(476, 輔助計算!$G$2:$G$801, 0)+1)),"0.##")))&amp;"-"&amp;INT(INDEX(輔助計算!$D:$D, (MATCH(476, 輔助計算!$G$2:$G$801, 0)+1))/IF(INDEX(ERP資料!$G:$G, (MATCH(476, 輔助計算!$G$2:$G$801, 0)+1))&lt;100, IF(INDEX(ERP資料!$G:$G, (MATCH(476, 輔助計算!$G$2:$G$801, 0)+1))&lt;=31,3,IF(INDEX(ERP資料!$G:$G, (MATCH(476, 輔助計算!$G$2:$G$801, 0)+1))&lt;=46.5,2,1)), IF(INDEX(ERP資料!$G:$G, (MATCH(476, 輔助計算!$G$2:$G$801, 0)+1))&lt;=790,3,IF(INDEX(ERP資料!$G:$G, (MATCH(476, 輔助計算!$G$2:$G$801, 0)+1))&lt;=1181,2,1)))), "")&amp;IF(AND(IF(INT(INDEX(輔助計算!$D:$D, (MATCH(476, 輔助計算!$G$2:$G$801, 0)+1))/IF(INDEX(ERP資料!$G:$G, (MATCH(476, 輔助計算!$G$2:$G$801, 0)+1))&lt;100, IF(INDEX(ERP資料!$G:$G, (MATCH(476, 輔助計算!$G$2:$G$801, 0)+1))&lt;=31,3,IF(INDEX(ERP資料!$G:$G, (MATCH(476, 輔助計算!$G$2:$G$801, 0)+1))&lt;=46.5,2,1)), IF(INDEX(ERP資料!$G:$G, (MATCH(476, 輔助計算!$G$2:$G$801, 0)+1))&lt;=790,3,IF(INDEX(ERP資料!$G:$G, (MATCH(476, 輔助計算!$G$2:$G$801, 0)+1))&lt;=1181,2,1))))&gt;0, IF(IF(INDEX(ERP資料!$G:$G, (MATCH(476, 輔助計算!$G$2:$G$801, 0)+1))&lt;100, IF(INDEX(ERP資料!$G:$G, (MATCH(476, 輔助計算!$G$2:$G$801, 0)+1))&lt;=31,3,IF(INDEX(ERP資料!$G:$G, (MATCH(476, 輔助計算!$G$2:$G$801, 0)+1))&lt;=46.5,2,1)), IF(INDEX(ERP資料!$G:$G, (MATCH(476, 輔助計算!$G$2:$G$801, 0)+1))&lt;=790,3,IF(INDEX(ERP資料!$G:$G, (MATCH(476, 輔助計算!$G$2:$G$801, 0)+1))&lt;=1181,2,1)))=1,TEXT(INDEX(ERP資料!$G:$G, (MATCH(476, 輔助計算!$G$2:$G$801, 0)+1)),"0.##"),IF(IF(INDEX(ERP資料!$G:$G, (MATCH(476, 輔助計算!$G$2:$G$801, 0)+1))&lt;100, IF(INDEX(ERP資料!$G:$G, (MATCH(476, 輔助計算!$G$2:$G$801, 0)+1))&lt;=31,3,IF(INDEX(ERP資料!$G:$G, (MATCH(476, 輔助計算!$G$2:$G$801, 0)+1))&lt;=46.5,2,1)), IF(INDEX(ERP資料!$G:$G, (MATCH(476, 輔助計算!$G$2:$G$801, 0)+1))&lt;=790,3,IF(INDEX(ERP資料!$G:$G, (MATCH(476, 輔助計算!$G$2:$G$801, 0)+1))&lt;=1181,2,1)))=2,TEXT(INDEX(ERP資料!$G:$G, (MATCH(476, 輔助計算!$G$2:$G$801, 0)+1)),"0.##")&amp;"+"&amp;TEXT(INDEX(ERP資料!$G:$G, (MATCH(476, 輔助計算!$G$2:$G$801, 0)+1)),"0.##"),TEXT(INDEX(ERP資料!$G:$G, (MATCH(476, 輔助計算!$G$2:$G$801, 0)+1)),"0.##")&amp;"+"&amp;TEXT(INDEX(ERP資料!$G:$G, (MATCH(476, 輔助計算!$G$2:$G$801, 0)+1)),"0.##")&amp;"+"&amp;TEXT(INDEX(ERP資料!$G:$G, (MATCH(476, 輔助計算!$G$2:$G$801, 0)+1)),"0.##")))&amp;"-"&amp;INT(INDEX(輔助計算!$D:$D, (MATCH(476, 輔助計算!$G$2:$G$801, 0)+1))/IF(INDEX(ERP資料!$G:$G, (MATCH(476, 輔助計算!$G$2:$G$801, 0)+1))&lt;100, IF(INDEX(ERP資料!$G:$G, (MATCH(476, 輔助計算!$G$2:$G$801, 0)+1))&lt;=31,3,IF(INDEX(ERP資料!$G:$G, (MATCH(476, 輔助計算!$G$2:$G$801, 0)+1))&lt;=46.5,2,1)), IF(INDEX(ERP資料!$G:$G, (MATCH(476, 輔助計算!$G$2:$G$801, 0)+1))&lt;=790,3,IF(INDEX(ERP資料!$G:$G, (MATCH(476, 輔助計算!$G$2:$G$801, 0)+1))&lt;=1181,2,1)))), "")&lt;&gt;"",IF(MOD(INDEX(輔助計算!$D:$D, (MATCH(476, 輔助計算!$G$2:$G$801, 0)+1)),IF(INDEX(ERP資料!$G:$G, (MATCH(476, 輔助計算!$G$2:$G$801, 0)+1))&lt;100, IF(INDEX(ERP資料!$G:$G, (MATCH(476, 輔助計算!$G$2:$G$801, 0)+1))&lt;=31,3,IF(INDEX(ERP資料!$G:$G, (MATCH(476, 輔助計算!$G$2:$G$801, 0)+1))&lt;=46.5,2,1)), IF(INDEX(ERP資料!$G:$G, (MATCH(476, 輔助計算!$G$2:$G$801, 0)+1))&lt;=790,3,IF(INDEX(ERP資料!$G:$G, (MATCH(476, 輔助計算!$G$2:$G$801, 0)+1))&lt;=1181,2,1))))=0,"",IF(MOD(INDEX(輔助計算!$D:$D, (MATCH(476, 輔助計算!$G$2:$G$801, 0)+1)),IF(INDEX(ERP資料!$G:$G, (MATCH(476, 輔助計算!$G$2:$G$801, 0)+1))&lt;100, IF(INDEX(ERP資料!$G:$G, (MATCH(476, 輔助計算!$G$2:$G$801, 0)+1))&lt;=31,3,IF(INDEX(ERP資料!$G:$G, (MATCH(476, 輔助計算!$G$2:$G$801, 0)+1))&lt;=46.5,2,1)), IF(INDEX(ERP資料!$G:$G, (MATCH(476, 輔助計算!$G$2:$G$801, 0)+1))&lt;=790,3,IF(INDEX(ERP資料!$G:$G, (MATCH(476, 輔助計算!$G$2:$G$801, 0)+1))&lt;=1181,2,1))))=0,"",IF(MOD(INDEX(輔助計算!$D:$D, (MATCH(476, 輔助計算!$G$2:$G$801, 0)+1)),IF(INDEX(ERP資料!$G:$G, (MATCH(476, 輔助計算!$G$2:$G$801, 0)+1))&lt;100, IF(INDEX(ERP資料!$G:$G, (MATCH(476, 輔助計算!$G$2:$G$801, 0)+1))&lt;=31,3,IF(INDEX(ERP資料!$G:$G, (MATCH(476, 輔助計算!$G$2:$G$801, 0)+1))&lt;=46.5,2,1)), IF(INDEX(ERP資料!$G:$G, (MATCH(476, 輔助計算!$G$2:$G$801, 0)+1))&lt;=790,3,IF(INDEX(ERP資料!$G:$G, (MATCH(476, 輔助計算!$G$2:$G$801, 0)+1))&lt;=1181,2,1))))=1,TEXT(INDEX(ERP資料!$G:$G, (MATCH(476, 輔助計算!$G$2:$G$801, 0)+1)),"0.##"),IF(MOD(INDEX(輔助計算!$D:$D, (MATCH(476, 輔助計算!$G$2:$G$801, 0)+1)),IF(INDEX(ERP資料!$G:$G, (MATCH(476, 輔助計算!$G$2:$G$801, 0)+1))&lt;100, IF(INDEX(ERP資料!$G:$G, (MATCH(476, 輔助計算!$G$2:$G$801, 0)+1))&lt;=31,3,IF(INDEX(ERP資料!$G:$G, (MATCH(476, 輔助計算!$G$2:$G$801, 0)+1))&lt;=46.5,2,1)), IF(INDEX(ERP資料!$G:$G, (MATCH(476, 輔助計算!$G$2:$G$801, 0)+1))&lt;=790,3,IF(INDEX(ERP資料!$G:$G, (MATCH(476, 輔助計算!$G$2:$G$801, 0)+1))&lt;=1181,2,1))))=2,TEXT(INDEX(ERP資料!$G:$G, (MATCH(476, 輔助計算!$G$2:$G$801, 0)+1)),"0.##")&amp;"+"&amp;TEXT(INDEX(ERP資料!$G:$G, (MATCH(476, 輔助計算!$G$2:$G$801, 0)+1)),"0.##"),TEXT(INDEX(ERP資料!$G:$G, (MATCH(476, 輔助計算!$G$2:$G$801, 0)+1)),"0.##")&amp;"+"&amp;TEXT(INDEX(ERP資料!$G:$G, (MATCH(476, 輔助計算!$G$2:$G$801, 0)+1)),"0.##")&amp;"+"&amp;TEXT(INDEX(ERP資料!$G:$G, (MATCH(476, 輔助計算!$G$2:$G$801, 0)+1)),"0.##"))))&amp;"-1")&lt;&gt;""),"  ","")&amp;IF(MOD(INDEX(輔助計算!$D:$D, (MATCH(476, 輔助計算!$G$2:$G$801, 0)+1)),IF(INDEX(ERP資料!$G:$G, (MATCH(476, 輔助計算!$G$2:$G$801, 0)+1))&lt;100, IF(INDEX(ERP資料!$G:$G, (MATCH(476, 輔助計算!$G$2:$G$801, 0)+1))&lt;=31,3,IF(INDEX(ERP資料!$G:$G, (MATCH(476, 輔助計算!$G$2:$G$801, 0)+1))&lt;=46.5,2,1)), IF(INDEX(ERP資料!$G:$G, (MATCH(476, 輔助計算!$G$2:$G$801, 0)+1))&lt;=790,3,IF(INDEX(ERP資料!$G:$G, (MATCH(476, 輔助計算!$G$2:$G$801, 0)+1))&lt;=1181,2,1))))=0,"",IF(MOD(INDEX(輔助計算!$D:$D, (MATCH(476, 輔助計算!$G$2:$G$801, 0)+1)),IF(INDEX(ERP資料!$G:$G, (MATCH(476, 輔助計算!$G$2:$G$801, 0)+1))&lt;100, IF(INDEX(ERP資料!$G:$G, (MATCH(476, 輔助計算!$G$2:$G$801, 0)+1))&lt;=31,3,IF(INDEX(ERP資料!$G:$G, (MATCH(476, 輔助計算!$G$2:$G$801, 0)+1))&lt;=46.5,2,1)), IF(INDEX(ERP資料!$G:$G, (MATCH(476, 輔助計算!$G$2:$G$801, 0)+1))&lt;=790,3,IF(INDEX(ERP資料!$G:$G, (MATCH(476, 輔助計算!$G$2:$G$801, 0)+1))&lt;=1181,2,1))))=0,"",IF(MOD(INDEX(輔助計算!$D:$D, (MATCH(476, 輔助計算!$G$2:$G$801, 0)+1)),IF(INDEX(ERP資料!$G:$G, (MATCH(476, 輔助計算!$G$2:$G$801, 0)+1))&lt;100, IF(INDEX(ERP資料!$G:$G, (MATCH(476, 輔助計算!$G$2:$G$801, 0)+1))&lt;=31,3,IF(INDEX(ERP資料!$G:$G, (MATCH(476, 輔助計算!$G$2:$G$801, 0)+1))&lt;=46.5,2,1)), IF(INDEX(ERP資料!$G:$G, (MATCH(476, 輔助計算!$G$2:$G$801, 0)+1))&lt;=790,3,IF(INDEX(ERP資料!$G:$G, (MATCH(476, 輔助計算!$G$2:$G$801, 0)+1))&lt;=1181,2,1))))=1,TEXT(INDEX(ERP資料!$G:$G, (MATCH(476, 輔助計算!$G$2:$G$801, 0)+1)),"0.##"),IF(MOD(INDEX(輔助計算!$D:$D, (MATCH(476, 輔助計算!$G$2:$G$801, 0)+1)),IF(INDEX(ERP資料!$G:$G, (MATCH(476, 輔助計算!$G$2:$G$801, 0)+1))&lt;100, IF(INDEX(ERP資料!$G:$G, (MATCH(476, 輔助計算!$G$2:$G$801, 0)+1))&lt;=31,3,IF(INDEX(ERP資料!$G:$G, (MATCH(476, 輔助計算!$G$2:$G$801, 0)+1))&lt;=46.5,2,1)), IF(INDEX(ERP資料!$G:$G, (MATCH(476, 輔助計算!$G$2:$G$801, 0)+1))&lt;=790,3,IF(INDEX(ERP資料!$G:$G, (MATCH(476, 輔助計算!$G$2:$G$801, 0)+1))&lt;=1181,2,1))))=2,TEXT(INDEX(ERP資料!$G:$G, (MATCH(476, 輔助計算!$G$2:$G$801, 0)+1)),"0.##")&amp;"+"&amp;TEXT(INDEX(ERP資料!$G:$G, (MATCH(476, 輔助計算!$G$2:$G$801, 0)+1)),"0.##"),TEXT(INDEX(ERP資料!$G:$G, (MATCH(476, 輔助計算!$G$2:$G$801, 0)+1)),"0.##")&amp;"+"&amp;TEXT(INDEX(ERP資料!$G:$G, (MATCH(476, 輔助計算!$G$2:$G$801, 0)+1)),"0.##")&amp;"+"&amp;TEXT(INDEX(ERP資料!$G:$G, (MATCH(476, 輔助計算!$G$2:$G$801, 0)+1)),"0.##"))))&amp;"-1")), ""), "")</f>
        <v/>
      </c>
      <c r="K477" s="16" t="n"/>
      <c r="L477" s="14">
        <f>IFERROR(IF(AND(IFERROR(INDEX(ERP資料!$A:$A, (MATCH(476, 輔助計算!$G$2:$G$801, 0)+1)), "")&lt;&gt;"", IFERROR(INDEX(ERP資料!$A:$A, (MATCH(476, 輔助計算!$G$2:$G$801, 0)+1)), "")&lt;&gt;IFERROR(INDEX(ERP資料!$A:$A, MATCH(475, 輔助計算!$G$2:$G$801, 0)+1), "")), INDEX(ERP資料!$B:$B, (MATCH(476, 輔助計算!$G$2:$G$801, 0)+1)), ""), "")</f>
        <v/>
      </c>
      <c r="M477" s="17" t="n"/>
    </row>
    <row r="478">
      <c r="A478" s="10">
        <f>IFERROR(IF(AND(IFERROR(INDEX(ERP資料!$A:$A, (MATCH(477, 輔助計算!$G$2:$G$801, 0)+1)), "")&lt;&gt;"", IFERROR(INDEX(ERP資料!$A:$A, (MATCH(477, 輔助計算!$G$2:$G$801, 0)+1)), "")&lt;&gt;IFERROR(INDEX(ERP資料!$A:$A, MATCH(476, 輔助計算!$G$2:$G$801, 0)+1), "")), IFERROR(INDEX(ERP資料!$A:$A, (MATCH(477, 輔助計算!$G$2:$G$801, 0)+1)), ""), ""), "")</f>
        <v/>
      </c>
      <c r="B478" s="10">
        <f>IFERROR(IF(AND(IFERROR(INDEX(ERP資料!$A:$A, (MATCH(477, 輔助計算!$G$2:$G$801, 0)+1)), "")&lt;&gt;"", IFERROR(INDEX(ERP資料!$A:$A, (MATCH(477, 輔助計算!$G$2:$G$801, 0)+1)), "")&lt;&gt;IFERROR(INDEX(ERP資料!$A:$A, MATCH(476, 輔助計算!$G$2:$G$801, 0)+1), "")), INDEX(ERP資料!$S:$S, (MATCH(477, 輔助計算!$G$2:$G$801, 0)+1)), ""), "")</f>
        <v/>
      </c>
      <c r="C478" s="19">
        <f>IFERROR(IF(AND(IFERROR(INDEX(ERP資料!$A:$A, (MATCH(477, 輔助計算!$G$2:$G$801, 0)+1)), "")&lt;&gt;"", IFERROR(INDEX(ERP資料!$A:$A, (MATCH(477, 輔助計算!$G$2:$G$801, 0)+1)), "")&lt;&gt;IFERROR(INDEX(ERP資料!$A:$A, MATCH(476, 輔助計算!$G$2:$G$801, 0)+1), "")), IFERROR(VLOOKUP(LEFT(INDEX(ERP資料!$S:$S, (MATCH(477, 輔助計算!$G$2:$G$801, 0)+1)), 4), 紙管對照表!$A:$C, 3, FALSE), ""), ""), "")</f>
        <v/>
      </c>
      <c r="D478" s="16" t="n"/>
      <c r="E478" s="10">
        <f>IFERROR(IF(INDEX(ERP資料!$H:$H, (MATCH(477, 輔助計算!$G$2:$G$801, 0)+1))="","",INDEX(ERP資料!$H:$H, (MATCH(477, 輔助計算!$G$2:$G$801, 0)+1))), "")</f>
        <v/>
      </c>
      <c r="F478" s="10">
        <f>IFERROR(IF(INDEX(ERP資料!$E:$E, (MATCH(477, 輔助計算!$G$2:$G$801, 0)+1))="","",TRIM(INDEX(ERP資料!$E:$E, (MATCH(477, 輔助計算!$G$2:$G$801, 0)+1)))), "")</f>
        <v/>
      </c>
      <c r="G478" s="10">
        <f>IFERROR(IF(INDEX(ERP資料!$F:$F, (MATCH(477, 輔助計算!$G$2:$G$801, 0)+1))="","",INDEX(ERP資料!$F:$F, (MATCH(477, 輔助計算!$G$2:$G$801, 0)+1))), "")</f>
        <v/>
      </c>
      <c r="H478" s="10">
        <f>IFERROR(IF(INDEX(ERP資料!$G:$G, (MATCH(477, 輔助計算!$G$2:$G$801, 0)+1))="","",INDEX(ERP資料!$G:$G, (MATCH(477, 輔助計算!$G$2:$G$801, 0)+1))), "")</f>
        <v/>
      </c>
      <c r="I478" s="15">
        <f>IFERROR(INDEX(輔助計算!$D:$D, (MATCH(477, 輔助計算!$G$2:$G$801, 0)+1)), "")</f>
        <v/>
      </c>
      <c r="J478" s="15">
        <f>IFERROR(IF(AND(INDEX(輔助計算!$D:$D, (MATCH(477, 輔助計算!$G$2:$G$801, 0)+1))&lt;&gt;"", INDEX(ERP資料!$G:$G, (MATCH(477, 輔助計算!$G$2:$G$801, 0)+1))&lt;&gt;""), TRIM(IF(INT(INDEX(輔助計算!$D:$D, (MATCH(477, 輔助計算!$G$2:$G$801, 0)+1))/IF(INDEX(ERP資料!$G:$G, (MATCH(477, 輔助計算!$G$2:$G$801, 0)+1))&lt;100, IF(INDEX(ERP資料!$G:$G, (MATCH(477, 輔助計算!$G$2:$G$801, 0)+1))&lt;=31,3,IF(INDEX(ERP資料!$G:$G, (MATCH(477, 輔助計算!$G$2:$G$801, 0)+1))&lt;=46.5,2,1)), IF(INDEX(ERP資料!$G:$G, (MATCH(477, 輔助計算!$G$2:$G$801, 0)+1))&lt;=790,3,IF(INDEX(ERP資料!$G:$G, (MATCH(477, 輔助計算!$G$2:$G$801, 0)+1))&lt;=1181,2,1))))&gt;0, IF(IF(INDEX(ERP資料!$G:$G, (MATCH(477, 輔助計算!$G$2:$G$801, 0)+1))&lt;100, IF(INDEX(ERP資料!$G:$G, (MATCH(477, 輔助計算!$G$2:$G$801, 0)+1))&lt;=31,3,IF(INDEX(ERP資料!$G:$G, (MATCH(477, 輔助計算!$G$2:$G$801, 0)+1))&lt;=46.5,2,1)), IF(INDEX(ERP資料!$G:$G, (MATCH(477, 輔助計算!$G$2:$G$801, 0)+1))&lt;=790,3,IF(INDEX(ERP資料!$G:$G, (MATCH(477, 輔助計算!$G$2:$G$801, 0)+1))&lt;=1181,2,1)))=1,TEXT(INDEX(ERP資料!$G:$G, (MATCH(477, 輔助計算!$G$2:$G$801, 0)+1)),"0.##"),IF(IF(INDEX(ERP資料!$G:$G, (MATCH(477, 輔助計算!$G$2:$G$801, 0)+1))&lt;100, IF(INDEX(ERP資料!$G:$G, (MATCH(477, 輔助計算!$G$2:$G$801, 0)+1))&lt;=31,3,IF(INDEX(ERP資料!$G:$G, (MATCH(477, 輔助計算!$G$2:$G$801, 0)+1))&lt;=46.5,2,1)), IF(INDEX(ERP資料!$G:$G, (MATCH(477, 輔助計算!$G$2:$G$801, 0)+1))&lt;=790,3,IF(INDEX(ERP資料!$G:$G, (MATCH(477, 輔助計算!$G$2:$G$801, 0)+1))&lt;=1181,2,1)))=2,TEXT(INDEX(ERP資料!$G:$G, (MATCH(477, 輔助計算!$G$2:$G$801, 0)+1)),"0.##")&amp;"+"&amp;TEXT(INDEX(ERP資料!$G:$G, (MATCH(477, 輔助計算!$G$2:$G$801, 0)+1)),"0.##"),TEXT(INDEX(ERP資料!$G:$G, (MATCH(477, 輔助計算!$G$2:$G$801, 0)+1)),"0.##")&amp;"+"&amp;TEXT(INDEX(ERP資料!$G:$G, (MATCH(477, 輔助計算!$G$2:$G$801, 0)+1)),"0.##")&amp;"+"&amp;TEXT(INDEX(ERP資料!$G:$G, (MATCH(477, 輔助計算!$G$2:$G$801, 0)+1)),"0.##")))&amp;"-"&amp;INT(INDEX(輔助計算!$D:$D, (MATCH(477, 輔助計算!$G$2:$G$801, 0)+1))/IF(INDEX(ERP資料!$G:$G, (MATCH(477, 輔助計算!$G$2:$G$801, 0)+1))&lt;100, IF(INDEX(ERP資料!$G:$G, (MATCH(477, 輔助計算!$G$2:$G$801, 0)+1))&lt;=31,3,IF(INDEX(ERP資料!$G:$G, (MATCH(477, 輔助計算!$G$2:$G$801, 0)+1))&lt;=46.5,2,1)), IF(INDEX(ERP資料!$G:$G, (MATCH(477, 輔助計算!$G$2:$G$801, 0)+1))&lt;=790,3,IF(INDEX(ERP資料!$G:$G, (MATCH(477, 輔助計算!$G$2:$G$801, 0)+1))&lt;=1181,2,1)))), "")&amp;IF(AND(IF(INT(INDEX(輔助計算!$D:$D, (MATCH(477, 輔助計算!$G$2:$G$801, 0)+1))/IF(INDEX(ERP資料!$G:$G, (MATCH(477, 輔助計算!$G$2:$G$801, 0)+1))&lt;100, IF(INDEX(ERP資料!$G:$G, (MATCH(477, 輔助計算!$G$2:$G$801, 0)+1))&lt;=31,3,IF(INDEX(ERP資料!$G:$G, (MATCH(477, 輔助計算!$G$2:$G$801, 0)+1))&lt;=46.5,2,1)), IF(INDEX(ERP資料!$G:$G, (MATCH(477, 輔助計算!$G$2:$G$801, 0)+1))&lt;=790,3,IF(INDEX(ERP資料!$G:$G, (MATCH(477, 輔助計算!$G$2:$G$801, 0)+1))&lt;=1181,2,1))))&gt;0, IF(IF(INDEX(ERP資料!$G:$G, (MATCH(477, 輔助計算!$G$2:$G$801, 0)+1))&lt;100, IF(INDEX(ERP資料!$G:$G, (MATCH(477, 輔助計算!$G$2:$G$801, 0)+1))&lt;=31,3,IF(INDEX(ERP資料!$G:$G, (MATCH(477, 輔助計算!$G$2:$G$801, 0)+1))&lt;=46.5,2,1)), IF(INDEX(ERP資料!$G:$G, (MATCH(477, 輔助計算!$G$2:$G$801, 0)+1))&lt;=790,3,IF(INDEX(ERP資料!$G:$G, (MATCH(477, 輔助計算!$G$2:$G$801, 0)+1))&lt;=1181,2,1)))=1,TEXT(INDEX(ERP資料!$G:$G, (MATCH(477, 輔助計算!$G$2:$G$801, 0)+1)),"0.##"),IF(IF(INDEX(ERP資料!$G:$G, (MATCH(477, 輔助計算!$G$2:$G$801, 0)+1))&lt;100, IF(INDEX(ERP資料!$G:$G, (MATCH(477, 輔助計算!$G$2:$G$801, 0)+1))&lt;=31,3,IF(INDEX(ERP資料!$G:$G, (MATCH(477, 輔助計算!$G$2:$G$801, 0)+1))&lt;=46.5,2,1)), IF(INDEX(ERP資料!$G:$G, (MATCH(477, 輔助計算!$G$2:$G$801, 0)+1))&lt;=790,3,IF(INDEX(ERP資料!$G:$G, (MATCH(477, 輔助計算!$G$2:$G$801, 0)+1))&lt;=1181,2,1)))=2,TEXT(INDEX(ERP資料!$G:$G, (MATCH(477, 輔助計算!$G$2:$G$801, 0)+1)),"0.##")&amp;"+"&amp;TEXT(INDEX(ERP資料!$G:$G, (MATCH(477, 輔助計算!$G$2:$G$801, 0)+1)),"0.##"),TEXT(INDEX(ERP資料!$G:$G, (MATCH(477, 輔助計算!$G$2:$G$801, 0)+1)),"0.##")&amp;"+"&amp;TEXT(INDEX(ERP資料!$G:$G, (MATCH(477, 輔助計算!$G$2:$G$801, 0)+1)),"0.##")&amp;"+"&amp;TEXT(INDEX(ERP資料!$G:$G, (MATCH(477, 輔助計算!$G$2:$G$801, 0)+1)),"0.##")))&amp;"-"&amp;INT(INDEX(輔助計算!$D:$D, (MATCH(477, 輔助計算!$G$2:$G$801, 0)+1))/IF(INDEX(ERP資料!$G:$G, (MATCH(477, 輔助計算!$G$2:$G$801, 0)+1))&lt;100, IF(INDEX(ERP資料!$G:$G, (MATCH(477, 輔助計算!$G$2:$G$801, 0)+1))&lt;=31,3,IF(INDEX(ERP資料!$G:$G, (MATCH(477, 輔助計算!$G$2:$G$801, 0)+1))&lt;=46.5,2,1)), IF(INDEX(ERP資料!$G:$G, (MATCH(477, 輔助計算!$G$2:$G$801, 0)+1))&lt;=790,3,IF(INDEX(ERP資料!$G:$G, (MATCH(477, 輔助計算!$G$2:$G$801, 0)+1))&lt;=1181,2,1)))), "")&lt;&gt;"",IF(MOD(INDEX(輔助計算!$D:$D, (MATCH(477, 輔助計算!$G$2:$G$801, 0)+1)),IF(INDEX(ERP資料!$G:$G, (MATCH(477, 輔助計算!$G$2:$G$801, 0)+1))&lt;100, IF(INDEX(ERP資料!$G:$G, (MATCH(477, 輔助計算!$G$2:$G$801, 0)+1))&lt;=31,3,IF(INDEX(ERP資料!$G:$G, (MATCH(477, 輔助計算!$G$2:$G$801, 0)+1))&lt;=46.5,2,1)), IF(INDEX(ERP資料!$G:$G, (MATCH(477, 輔助計算!$G$2:$G$801, 0)+1))&lt;=790,3,IF(INDEX(ERP資料!$G:$G, (MATCH(477, 輔助計算!$G$2:$G$801, 0)+1))&lt;=1181,2,1))))=0,"",IF(MOD(INDEX(輔助計算!$D:$D, (MATCH(477, 輔助計算!$G$2:$G$801, 0)+1)),IF(INDEX(ERP資料!$G:$G, (MATCH(477, 輔助計算!$G$2:$G$801, 0)+1))&lt;100, IF(INDEX(ERP資料!$G:$G, (MATCH(477, 輔助計算!$G$2:$G$801, 0)+1))&lt;=31,3,IF(INDEX(ERP資料!$G:$G, (MATCH(477, 輔助計算!$G$2:$G$801, 0)+1))&lt;=46.5,2,1)), IF(INDEX(ERP資料!$G:$G, (MATCH(477, 輔助計算!$G$2:$G$801, 0)+1))&lt;=790,3,IF(INDEX(ERP資料!$G:$G, (MATCH(477, 輔助計算!$G$2:$G$801, 0)+1))&lt;=1181,2,1))))=0,"",IF(MOD(INDEX(輔助計算!$D:$D, (MATCH(477, 輔助計算!$G$2:$G$801, 0)+1)),IF(INDEX(ERP資料!$G:$G, (MATCH(477, 輔助計算!$G$2:$G$801, 0)+1))&lt;100, IF(INDEX(ERP資料!$G:$G, (MATCH(477, 輔助計算!$G$2:$G$801, 0)+1))&lt;=31,3,IF(INDEX(ERP資料!$G:$G, (MATCH(477, 輔助計算!$G$2:$G$801, 0)+1))&lt;=46.5,2,1)), IF(INDEX(ERP資料!$G:$G, (MATCH(477, 輔助計算!$G$2:$G$801, 0)+1))&lt;=790,3,IF(INDEX(ERP資料!$G:$G, (MATCH(477, 輔助計算!$G$2:$G$801, 0)+1))&lt;=1181,2,1))))=1,TEXT(INDEX(ERP資料!$G:$G, (MATCH(477, 輔助計算!$G$2:$G$801, 0)+1)),"0.##"),IF(MOD(INDEX(輔助計算!$D:$D, (MATCH(477, 輔助計算!$G$2:$G$801, 0)+1)),IF(INDEX(ERP資料!$G:$G, (MATCH(477, 輔助計算!$G$2:$G$801, 0)+1))&lt;100, IF(INDEX(ERP資料!$G:$G, (MATCH(477, 輔助計算!$G$2:$G$801, 0)+1))&lt;=31,3,IF(INDEX(ERP資料!$G:$G, (MATCH(477, 輔助計算!$G$2:$G$801, 0)+1))&lt;=46.5,2,1)), IF(INDEX(ERP資料!$G:$G, (MATCH(477, 輔助計算!$G$2:$G$801, 0)+1))&lt;=790,3,IF(INDEX(ERP資料!$G:$G, (MATCH(477, 輔助計算!$G$2:$G$801, 0)+1))&lt;=1181,2,1))))=2,TEXT(INDEX(ERP資料!$G:$G, (MATCH(477, 輔助計算!$G$2:$G$801, 0)+1)),"0.##")&amp;"+"&amp;TEXT(INDEX(ERP資料!$G:$G, (MATCH(477, 輔助計算!$G$2:$G$801, 0)+1)),"0.##"),TEXT(INDEX(ERP資料!$G:$G, (MATCH(477, 輔助計算!$G$2:$G$801, 0)+1)),"0.##")&amp;"+"&amp;TEXT(INDEX(ERP資料!$G:$G, (MATCH(477, 輔助計算!$G$2:$G$801, 0)+1)),"0.##")&amp;"+"&amp;TEXT(INDEX(ERP資料!$G:$G, (MATCH(477, 輔助計算!$G$2:$G$801, 0)+1)),"0.##"))))&amp;"-1")&lt;&gt;""),"  ","")&amp;IF(MOD(INDEX(輔助計算!$D:$D, (MATCH(477, 輔助計算!$G$2:$G$801, 0)+1)),IF(INDEX(ERP資料!$G:$G, (MATCH(477, 輔助計算!$G$2:$G$801, 0)+1))&lt;100, IF(INDEX(ERP資料!$G:$G, (MATCH(477, 輔助計算!$G$2:$G$801, 0)+1))&lt;=31,3,IF(INDEX(ERP資料!$G:$G, (MATCH(477, 輔助計算!$G$2:$G$801, 0)+1))&lt;=46.5,2,1)), IF(INDEX(ERP資料!$G:$G, (MATCH(477, 輔助計算!$G$2:$G$801, 0)+1))&lt;=790,3,IF(INDEX(ERP資料!$G:$G, (MATCH(477, 輔助計算!$G$2:$G$801, 0)+1))&lt;=1181,2,1))))=0,"",IF(MOD(INDEX(輔助計算!$D:$D, (MATCH(477, 輔助計算!$G$2:$G$801, 0)+1)),IF(INDEX(ERP資料!$G:$G, (MATCH(477, 輔助計算!$G$2:$G$801, 0)+1))&lt;100, IF(INDEX(ERP資料!$G:$G, (MATCH(477, 輔助計算!$G$2:$G$801, 0)+1))&lt;=31,3,IF(INDEX(ERP資料!$G:$G, (MATCH(477, 輔助計算!$G$2:$G$801, 0)+1))&lt;=46.5,2,1)), IF(INDEX(ERP資料!$G:$G, (MATCH(477, 輔助計算!$G$2:$G$801, 0)+1))&lt;=790,3,IF(INDEX(ERP資料!$G:$G, (MATCH(477, 輔助計算!$G$2:$G$801, 0)+1))&lt;=1181,2,1))))=0,"",IF(MOD(INDEX(輔助計算!$D:$D, (MATCH(477, 輔助計算!$G$2:$G$801, 0)+1)),IF(INDEX(ERP資料!$G:$G, (MATCH(477, 輔助計算!$G$2:$G$801, 0)+1))&lt;100, IF(INDEX(ERP資料!$G:$G, (MATCH(477, 輔助計算!$G$2:$G$801, 0)+1))&lt;=31,3,IF(INDEX(ERP資料!$G:$G, (MATCH(477, 輔助計算!$G$2:$G$801, 0)+1))&lt;=46.5,2,1)), IF(INDEX(ERP資料!$G:$G, (MATCH(477, 輔助計算!$G$2:$G$801, 0)+1))&lt;=790,3,IF(INDEX(ERP資料!$G:$G, (MATCH(477, 輔助計算!$G$2:$G$801, 0)+1))&lt;=1181,2,1))))=1,TEXT(INDEX(ERP資料!$G:$G, (MATCH(477, 輔助計算!$G$2:$G$801, 0)+1)),"0.##"),IF(MOD(INDEX(輔助計算!$D:$D, (MATCH(477, 輔助計算!$G$2:$G$801, 0)+1)),IF(INDEX(ERP資料!$G:$G, (MATCH(477, 輔助計算!$G$2:$G$801, 0)+1))&lt;100, IF(INDEX(ERP資料!$G:$G, (MATCH(477, 輔助計算!$G$2:$G$801, 0)+1))&lt;=31,3,IF(INDEX(ERP資料!$G:$G, (MATCH(477, 輔助計算!$G$2:$G$801, 0)+1))&lt;=46.5,2,1)), IF(INDEX(ERP資料!$G:$G, (MATCH(477, 輔助計算!$G$2:$G$801, 0)+1))&lt;=790,3,IF(INDEX(ERP資料!$G:$G, (MATCH(477, 輔助計算!$G$2:$G$801, 0)+1))&lt;=1181,2,1))))=2,TEXT(INDEX(ERP資料!$G:$G, (MATCH(477, 輔助計算!$G$2:$G$801, 0)+1)),"0.##")&amp;"+"&amp;TEXT(INDEX(ERP資料!$G:$G, (MATCH(477, 輔助計算!$G$2:$G$801, 0)+1)),"0.##"),TEXT(INDEX(ERP資料!$G:$G, (MATCH(477, 輔助計算!$G$2:$G$801, 0)+1)),"0.##")&amp;"+"&amp;TEXT(INDEX(ERP資料!$G:$G, (MATCH(477, 輔助計算!$G$2:$G$801, 0)+1)),"0.##")&amp;"+"&amp;TEXT(INDEX(ERP資料!$G:$G, (MATCH(477, 輔助計算!$G$2:$G$801, 0)+1)),"0.##"))))&amp;"-1")), ""), "")</f>
        <v/>
      </c>
      <c r="K478" s="16" t="n"/>
      <c r="L478" s="14">
        <f>IFERROR(IF(AND(IFERROR(INDEX(ERP資料!$A:$A, (MATCH(477, 輔助計算!$G$2:$G$801, 0)+1)), "")&lt;&gt;"", IFERROR(INDEX(ERP資料!$A:$A, (MATCH(477, 輔助計算!$G$2:$G$801, 0)+1)), "")&lt;&gt;IFERROR(INDEX(ERP資料!$A:$A, MATCH(476, 輔助計算!$G$2:$G$801, 0)+1), "")), INDEX(ERP資料!$B:$B, (MATCH(477, 輔助計算!$G$2:$G$801, 0)+1)), ""), "")</f>
        <v/>
      </c>
      <c r="M478" s="17" t="n"/>
    </row>
    <row r="479">
      <c r="A479" s="10">
        <f>IFERROR(IF(AND(IFERROR(INDEX(ERP資料!$A:$A, (MATCH(478, 輔助計算!$G$2:$G$801, 0)+1)), "")&lt;&gt;"", IFERROR(INDEX(ERP資料!$A:$A, (MATCH(478, 輔助計算!$G$2:$G$801, 0)+1)), "")&lt;&gt;IFERROR(INDEX(ERP資料!$A:$A, MATCH(477, 輔助計算!$G$2:$G$801, 0)+1), "")), IFERROR(INDEX(ERP資料!$A:$A, (MATCH(478, 輔助計算!$G$2:$G$801, 0)+1)), ""), ""), "")</f>
        <v/>
      </c>
      <c r="B479" s="10">
        <f>IFERROR(IF(AND(IFERROR(INDEX(ERP資料!$A:$A, (MATCH(478, 輔助計算!$G$2:$G$801, 0)+1)), "")&lt;&gt;"", IFERROR(INDEX(ERP資料!$A:$A, (MATCH(478, 輔助計算!$G$2:$G$801, 0)+1)), "")&lt;&gt;IFERROR(INDEX(ERP資料!$A:$A, MATCH(477, 輔助計算!$G$2:$G$801, 0)+1), "")), INDEX(ERP資料!$S:$S, (MATCH(478, 輔助計算!$G$2:$G$801, 0)+1)), ""), "")</f>
        <v/>
      </c>
      <c r="C479" s="19">
        <f>IFERROR(IF(AND(IFERROR(INDEX(ERP資料!$A:$A, (MATCH(478, 輔助計算!$G$2:$G$801, 0)+1)), "")&lt;&gt;"", IFERROR(INDEX(ERP資料!$A:$A, (MATCH(478, 輔助計算!$G$2:$G$801, 0)+1)), "")&lt;&gt;IFERROR(INDEX(ERP資料!$A:$A, MATCH(477, 輔助計算!$G$2:$G$801, 0)+1), "")), IFERROR(VLOOKUP(LEFT(INDEX(ERP資料!$S:$S, (MATCH(478, 輔助計算!$G$2:$G$801, 0)+1)), 4), 紙管對照表!$A:$C, 3, FALSE), ""), ""), "")</f>
        <v/>
      </c>
      <c r="D479" s="16" t="n"/>
      <c r="E479" s="10">
        <f>IFERROR(IF(INDEX(ERP資料!$H:$H, (MATCH(478, 輔助計算!$G$2:$G$801, 0)+1))="","",INDEX(ERP資料!$H:$H, (MATCH(478, 輔助計算!$G$2:$G$801, 0)+1))), "")</f>
        <v/>
      </c>
      <c r="F479" s="10">
        <f>IFERROR(IF(INDEX(ERP資料!$E:$E, (MATCH(478, 輔助計算!$G$2:$G$801, 0)+1))="","",TRIM(INDEX(ERP資料!$E:$E, (MATCH(478, 輔助計算!$G$2:$G$801, 0)+1)))), "")</f>
        <v/>
      </c>
      <c r="G479" s="10">
        <f>IFERROR(IF(INDEX(ERP資料!$F:$F, (MATCH(478, 輔助計算!$G$2:$G$801, 0)+1))="","",INDEX(ERP資料!$F:$F, (MATCH(478, 輔助計算!$G$2:$G$801, 0)+1))), "")</f>
        <v/>
      </c>
      <c r="H479" s="10">
        <f>IFERROR(IF(INDEX(ERP資料!$G:$G, (MATCH(478, 輔助計算!$G$2:$G$801, 0)+1))="","",INDEX(ERP資料!$G:$G, (MATCH(478, 輔助計算!$G$2:$G$801, 0)+1))), "")</f>
        <v/>
      </c>
      <c r="I479" s="15">
        <f>IFERROR(INDEX(輔助計算!$D:$D, (MATCH(478, 輔助計算!$G$2:$G$801, 0)+1)), "")</f>
        <v/>
      </c>
      <c r="J479" s="15">
        <f>IFERROR(IF(AND(INDEX(輔助計算!$D:$D, (MATCH(478, 輔助計算!$G$2:$G$801, 0)+1))&lt;&gt;"", INDEX(ERP資料!$G:$G, (MATCH(478, 輔助計算!$G$2:$G$801, 0)+1))&lt;&gt;""), TRIM(IF(INT(INDEX(輔助計算!$D:$D, (MATCH(478, 輔助計算!$G$2:$G$801, 0)+1))/IF(INDEX(ERP資料!$G:$G, (MATCH(478, 輔助計算!$G$2:$G$801, 0)+1))&lt;100, IF(INDEX(ERP資料!$G:$G, (MATCH(478, 輔助計算!$G$2:$G$801, 0)+1))&lt;=31,3,IF(INDEX(ERP資料!$G:$G, (MATCH(478, 輔助計算!$G$2:$G$801, 0)+1))&lt;=46.5,2,1)), IF(INDEX(ERP資料!$G:$G, (MATCH(478, 輔助計算!$G$2:$G$801, 0)+1))&lt;=790,3,IF(INDEX(ERP資料!$G:$G, (MATCH(478, 輔助計算!$G$2:$G$801, 0)+1))&lt;=1181,2,1))))&gt;0, IF(IF(INDEX(ERP資料!$G:$G, (MATCH(478, 輔助計算!$G$2:$G$801, 0)+1))&lt;100, IF(INDEX(ERP資料!$G:$G, (MATCH(478, 輔助計算!$G$2:$G$801, 0)+1))&lt;=31,3,IF(INDEX(ERP資料!$G:$G, (MATCH(478, 輔助計算!$G$2:$G$801, 0)+1))&lt;=46.5,2,1)), IF(INDEX(ERP資料!$G:$G, (MATCH(478, 輔助計算!$G$2:$G$801, 0)+1))&lt;=790,3,IF(INDEX(ERP資料!$G:$G, (MATCH(478, 輔助計算!$G$2:$G$801, 0)+1))&lt;=1181,2,1)))=1,TEXT(INDEX(ERP資料!$G:$G, (MATCH(478, 輔助計算!$G$2:$G$801, 0)+1)),"0.##"),IF(IF(INDEX(ERP資料!$G:$G, (MATCH(478, 輔助計算!$G$2:$G$801, 0)+1))&lt;100, IF(INDEX(ERP資料!$G:$G, (MATCH(478, 輔助計算!$G$2:$G$801, 0)+1))&lt;=31,3,IF(INDEX(ERP資料!$G:$G, (MATCH(478, 輔助計算!$G$2:$G$801, 0)+1))&lt;=46.5,2,1)), IF(INDEX(ERP資料!$G:$G, (MATCH(478, 輔助計算!$G$2:$G$801, 0)+1))&lt;=790,3,IF(INDEX(ERP資料!$G:$G, (MATCH(478, 輔助計算!$G$2:$G$801, 0)+1))&lt;=1181,2,1)))=2,TEXT(INDEX(ERP資料!$G:$G, (MATCH(478, 輔助計算!$G$2:$G$801, 0)+1)),"0.##")&amp;"+"&amp;TEXT(INDEX(ERP資料!$G:$G, (MATCH(478, 輔助計算!$G$2:$G$801, 0)+1)),"0.##"),TEXT(INDEX(ERP資料!$G:$G, (MATCH(478, 輔助計算!$G$2:$G$801, 0)+1)),"0.##")&amp;"+"&amp;TEXT(INDEX(ERP資料!$G:$G, (MATCH(478, 輔助計算!$G$2:$G$801, 0)+1)),"0.##")&amp;"+"&amp;TEXT(INDEX(ERP資料!$G:$G, (MATCH(478, 輔助計算!$G$2:$G$801, 0)+1)),"0.##")))&amp;"-"&amp;INT(INDEX(輔助計算!$D:$D, (MATCH(478, 輔助計算!$G$2:$G$801, 0)+1))/IF(INDEX(ERP資料!$G:$G, (MATCH(478, 輔助計算!$G$2:$G$801, 0)+1))&lt;100, IF(INDEX(ERP資料!$G:$G, (MATCH(478, 輔助計算!$G$2:$G$801, 0)+1))&lt;=31,3,IF(INDEX(ERP資料!$G:$G, (MATCH(478, 輔助計算!$G$2:$G$801, 0)+1))&lt;=46.5,2,1)), IF(INDEX(ERP資料!$G:$G, (MATCH(478, 輔助計算!$G$2:$G$801, 0)+1))&lt;=790,3,IF(INDEX(ERP資料!$G:$G, (MATCH(478, 輔助計算!$G$2:$G$801, 0)+1))&lt;=1181,2,1)))), "")&amp;IF(AND(IF(INT(INDEX(輔助計算!$D:$D, (MATCH(478, 輔助計算!$G$2:$G$801, 0)+1))/IF(INDEX(ERP資料!$G:$G, (MATCH(478, 輔助計算!$G$2:$G$801, 0)+1))&lt;100, IF(INDEX(ERP資料!$G:$G, (MATCH(478, 輔助計算!$G$2:$G$801, 0)+1))&lt;=31,3,IF(INDEX(ERP資料!$G:$G, (MATCH(478, 輔助計算!$G$2:$G$801, 0)+1))&lt;=46.5,2,1)), IF(INDEX(ERP資料!$G:$G, (MATCH(478, 輔助計算!$G$2:$G$801, 0)+1))&lt;=790,3,IF(INDEX(ERP資料!$G:$G, (MATCH(478, 輔助計算!$G$2:$G$801, 0)+1))&lt;=1181,2,1))))&gt;0, IF(IF(INDEX(ERP資料!$G:$G, (MATCH(478, 輔助計算!$G$2:$G$801, 0)+1))&lt;100, IF(INDEX(ERP資料!$G:$G, (MATCH(478, 輔助計算!$G$2:$G$801, 0)+1))&lt;=31,3,IF(INDEX(ERP資料!$G:$G, (MATCH(478, 輔助計算!$G$2:$G$801, 0)+1))&lt;=46.5,2,1)), IF(INDEX(ERP資料!$G:$G, (MATCH(478, 輔助計算!$G$2:$G$801, 0)+1))&lt;=790,3,IF(INDEX(ERP資料!$G:$G, (MATCH(478, 輔助計算!$G$2:$G$801, 0)+1))&lt;=1181,2,1)))=1,TEXT(INDEX(ERP資料!$G:$G, (MATCH(478, 輔助計算!$G$2:$G$801, 0)+1)),"0.##"),IF(IF(INDEX(ERP資料!$G:$G, (MATCH(478, 輔助計算!$G$2:$G$801, 0)+1))&lt;100, IF(INDEX(ERP資料!$G:$G, (MATCH(478, 輔助計算!$G$2:$G$801, 0)+1))&lt;=31,3,IF(INDEX(ERP資料!$G:$G, (MATCH(478, 輔助計算!$G$2:$G$801, 0)+1))&lt;=46.5,2,1)), IF(INDEX(ERP資料!$G:$G, (MATCH(478, 輔助計算!$G$2:$G$801, 0)+1))&lt;=790,3,IF(INDEX(ERP資料!$G:$G, (MATCH(478, 輔助計算!$G$2:$G$801, 0)+1))&lt;=1181,2,1)))=2,TEXT(INDEX(ERP資料!$G:$G, (MATCH(478, 輔助計算!$G$2:$G$801, 0)+1)),"0.##")&amp;"+"&amp;TEXT(INDEX(ERP資料!$G:$G, (MATCH(478, 輔助計算!$G$2:$G$801, 0)+1)),"0.##"),TEXT(INDEX(ERP資料!$G:$G, (MATCH(478, 輔助計算!$G$2:$G$801, 0)+1)),"0.##")&amp;"+"&amp;TEXT(INDEX(ERP資料!$G:$G, (MATCH(478, 輔助計算!$G$2:$G$801, 0)+1)),"0.##")&amp;"+"&amp;TEXT(INDEX(ERP資料!$G:$G, (MATCH(478, 輔助計算!$G$2:$G$801, 0)+1)),"0.##")))&amp;"-"&amp;INT(INDEX(輔助計算!$D:$D, (MATCH(478, 輔助計算!$G$2:$G$801, 0)+1))/IF(INDEX(ERP資料!$G:$G, (MATCH(478, 輔助計算!$G$2:$G$801, 0)+1))&lt;100, IF(INDEX(ERP資料!$G:$G, (MATCH(478, 輔助計算!$G$2:$G$801, 0)+1))&lt;=31,3,IF(INDEX(ERP資料!$G:$G, (MATCH(478, 輔助計算!$G$2:$G$801, 0)+1))&lt;=46.5,2,1)), IF(INDEX(ERP資料!$G:$G, (MATCH(478, 輔助計算!$G$2:$G$801, 0)+1))&lt;=790,3,IF(INDEX(ERP資料!$G:$G, (MATCH(478, 輔助計算!$G$2:$G$801, 0)+1))&lt;=1181,2,1)))), "")&lt;&gt;"",IF(MOD(INDEX(輔助計算!$D:$D, (MATCH(478, 輔助計算!$G$2:$G$801, 0)+1)),IF(INDEX(ERP資料!$G:$G, (MATCH(478, 輔助計算!$G$2:$G$801, 0)+1))&lt;100, IF(INDEX(ERP資料!$G:$G, (MATCH(478, 輔助計算!$G$2:$G$801, 0)+1))&lt;=31,3,IF(INDEX(ERP資料!$G:$G, (MATCH(478, 輔助計算!$G$2:$G$801, 0)+1))&lt;=46.5,2,1)), IF(INDEX(ERP資料!$G:$G, (MATCH(478, 輔助計算!$G$2:$G$801, 0)+1))&lt;=790,3,IF(INDEX(ERP資料!$G:$G, (MATCH(478, 輔助計算!$G$2:$G$801, 0)+1))&lt;=1181,2,1))))=0,"",IF(MOD(INDEX(輔助計算!$D:$D, (MATCH(478, 輔助計算!$G$2:$G$801, 0)+1)),IF(INDEX(ERP資料!$G:$G, (MATCH(478, 輔助計算!$G$2:$G$801, 0)+1))&lt;100, IF(INDEX(ERP資料!$G:$G, (MATCH(478, 輔助計算!$G$2:$G$801, 0)+1))&lt;=31,3,IF(INDEX(ERP資料!$G:$G, (MATCH(478, 輔助計算!$G$2:$G$801, 0)+1))&lt;=46.5,2,1)), IF(INDEX(ERP資料!$G:$G, (MATCH(478, 輔助計算!$G$2:$G$801, 0)+1))&lt;=790,3,IF(INDEX(ERP資料!$G:$G, (MATCH(478, 輔助計算!$G$2:$G$801, 0)+1))&lt;=1181,2,1))))=0,"",IF(MOD(INDEX(輔助計算!$D:$D, (MATCH(478, 輔助計算!$G$2:$G$801, 0)+1)),IF(INDEX(ERP資料!$G:$G, (MATCH(478, 輔助計算!$G$2:$G$801, 0)+1))&lt;100, IF(INDEX(ERP資料!$G:$G, (MATCH(478, 輔助計算!$G$2:$G$801, 0)+1))&lt;=31,3,IF(INDEX(ERP資料!$G:$G, (MATCH(478, 輔助計算!$G$2:$G$801, 0)+1))&lt;=46.5,2,1)), IF(INDEX(ERP資料!$G:$G, (MATCH(478, 輔助計算!$G$2:$G$801, 0)+1))&lt;=790,3,IF(INDEX(ERP資料!$G:$G, (MATCH(478, 輔助計算!$G$2:$G$801, 0)+1))&lt;=1181,2,1))))=1,TEXT(INDEX(ERP資料!$G:$G, (MATCH(478, 輔助計算!$G$2:$G$801, 0)+1)),"0.##"),IF(MOD(INDEX(輔助計算!$D:$D, (MATCH(478, 輔助計算!$G$2:$G$801, 0)+1)),IF(INDEX(ERP資料!$G:$G, (MATCH(478, 輔助計算!$G$2:$G$801, 0)+1))&lt;100, IF(INDEX(ERP資料!$G:$G, (MATCH(478, 輔助計算!$G$2:$G$801, 0)+1))&lt;=31,3,IF(INDEX(ERP資料!$G:$G, (MATCH(478, 輔助計算!$G$2:$G$801, 0)+1))&lt;=46.5,2,1)), IF(INDEX(ERP資料!$G:$G, (MATCH(478, 輔助計算!$G$2:$G$801, 0)+1))&lt;=790,3,IF(INDEX(ERP資料!$G:$G, (MATCH(478, 輔助計算!$G$2:$G$801, 0)+1))&lt;=1181,2,1))))=2,TEXT(INDEX(ERP資料!$G:$G, (MATCH(478, 輔助計算!$G$2:$G$801, 0)+1)),"0.##")&amp;"+"&amp;TEXT(INDEX(ERP資料!$G:$G, (MATCH(478, 輔助計算!$G$2:$G$801, 0)+1)),"0.##"),TEXT(INDEX(ERP資料!$G:$G, (MATCH(478, 輔助計算!$G$2:$G$801, 0)+1)),"0.##")&amp;"+"&amp;TEXT(INDEX(ERP資料!$G:$G, (MATCH(478, 輔助計算!$G$2:$G$801, 0)+1)),"0.##")&amp;"+"&amp;TEXT(INDEX(ERP資料!$G:$G, (MATCH(478, 輔助計算!$G$2:$G$801, 0)+1)),"0.##"))))&amp;"-1")&lt;&gt;""),"  ","")&amp;IF(MOD(INDEX(輔助計算!$D:$D, (MATCH(478, 輔助計算!$G$2:$G$801, 0)+1)),IF(INDEX(ERP資料!$G:$G, (MATCH(478, 輔助計算!$G$2:$G$801, 0)+1))&lt;100, IF(INDEX(ERP資料!$G:$G, (MATCH(478, 輔助計算!$G$2:$G$801, 0)+1))&lt;=31,3,IF(INDEX(ERP資料!$G:$G, (MATCH(478, 輔助計算!$G$2:$G$801, 0)+1))&lt;=46.5,2,1)), IF(INDEX(ERP資料!$G:$G, (MATCH(478, 輔助計算!$G$2:$G$801, 0)+1))&lt;=790,3,IF(INDEX(ERP資料!$G:$G, (MATCH(478, 輔助計算!$G$2:$G$801, 0)+1))&lt;=1181,2,1))))=0,"",IF(MOD(INDEX(輔助計算!$D:$D, (MATCH(478, 輔助計算!$G$2:$G$801, 0)+1)),IF(INDEX(ERP資料!$G:$G, (MATCH(478, 輔助計算!$G$2:$G$801, 0)+1))&lt;100, IF(INDEX(ERP資料!$G:$G, (MATCH(478, 輔助計算!$G$2:$G$801, 0)+1))&lt;=31,3,IF(INDEX(ERP資料!$G:$G, (MATCH(478, 輔助計算!$G$2:$G$801, 0)+1))&lt;=46.5,2,1)), IF(INDEX(ERP資料!$G:$G, (MATCH(478, 輔助計算!$G$2:$G$801, 0)+1))&lt;=790,3,IF(INDEX(ERP資料!$G:$G, (MATCH(478, 輔助計算!$G$2:$G$801, 0)+1))&lt;=1181,2,1))))=0,"",IF(MOD(INDEX(輔助計算!$D:$D, (MATCH(478, 輔助計算!$G$2:$G$801, 0)+1)),IF(INDEX(ERP資料!$G:$G, (MATCH(478, 輔助計算!$G$2:$G$801, 0)+1))&lt;100, IF(INDEX(ERP資料!$G:$G, (MATCH(478, 輔助計算!$G$2:$G$801, 0)+1))&lt;=31,3,IF(INDEX(ERP資料!$G:$G, (MATCH(478, 輔助計算!$G$2:$G$801, 0)+1))&lt;=46.5,2,1)), IF(INDEX(ERP資料!$G:$G, (MATCH(478, 輔助計算!$G$2:$G$801, 0)+1))&lt;=790,3,IF(INDEX(ERP資料!$G:$G, (MATCH(478, 輔助計算!$G$2:$G$801, 0)+1))&lt;=1181,2,1))))=1,TEXT(INDEX(ERP資料!$G:$G, (MATCH(478, 輔助計算!$G$2:$G$801, 0)+1)),"0.##"),IF(MOD(INDEX(輔助計算!$D:$D, (MATCH(478, 輔助計算!$G$2:$G$801, 0)+1)),IF(INDEX(ERP資料!$G:$G, (MATCH(478, 輔助計算!$G$2:$G$801, 0)+1))&lt;100, IF(INDEX(ERP資料!$G:$G, (MATCH(478, 輔助計算!$G$2:$G$801, 0)+1))&lt;=31,3,IF(INDEX(ERP資料!$G:$G, (MATCH(478, 輔助計算!$G$2:$G$801, 0)+1))&lt;=46.5,2,1)), IF(INDEX(ERP資料!$G:$G, (MATCH(478, 輔助計算!$G$2:$G$801, 0)+1))&lt;=790,3,IF(INDEX(ERP資料!$G:$G, (MATCH(478, 輔助計算!$G$2:$G$801, 0)+1))&lt;=1181,2,1))))=2,TEXT(INDEX(ERP資料!$G:$G, (MATCH(478, 輔助計算!$G$2:$G$801, 0)+1)),"0.##")&amp;"+"&amp;TEXT(INDEX(ERP資料!$G:$G, (MATCH(478, 輔助計算!$G$2:$G$801, 0)+1)),"0.##"),TEXT(INDEX(ERP資料!$G:$G, (MATCH(478, 輔助計算!$G$2:$G$801, 0)+1)),"0.##")&amp;"+"&amp;TEXT(INDEX(ERP資料!$G:$G, (MATCH(478, 輔助計算!$G$2:$G$801, 0)+1)),"0.##")&amp;"+"&amp;TEXT(INDEX(ERP資料!$G:$G, (MATCH(478, 輔助計算!$G$2:$G$801, 0)+1)),"0.##"))))&amp;"-1")), ""), "")</f>
        <v/>
      </c>
      <c r="K479" s="16" t="n"/>
      <c r="L479" s="14">
        <f>IFERROR(IF(AND(IFERROR(INDEX(ERP資料!$A:$A, (MATCH(478, 輔助計算!$G$2:$G$801, 0)+1)), "")&lt;&gt;"", IFERROR(INDEX(ERP資料!$A:$A, (MATCH(478, 輔助計算!$G$2:$G$801, 0)+1)), "")&lt;&gt;IFERROR(INDEX(ERP資料!$A:$A, MATCH(477, 輔助計算!$G$2:$G$801, 0)+1), "")), INDEX(ERP資料!$B:$B, (MATCH(478, 輔助計算!$G$2:$G$801, 0)+1)), ""), "")</f>
        <v/>
      </c>
      <c r="M479" s="17" t="n"/>
    </row>
    <row r="480">
      <c r="A480" s="10">
        <f>IFERROR(IF(AND(IFERROR(INDEX(ERP資料!$A:$A, (MATCH(479, 輔助計算!$G$2:$G$801, 0)+1)), "")&lt;&gt;"", IFERROR(INDEX(ERP資料!$A:$A, (MATCH(479, 輔助計算!$G$2:$G$801, 0)+1)), "")&lt;&gt;IFERROR(INDEX(ERP資料!$A:$A, MATCH(478, 輔助計算!$G$2:$G$801, 0)+1), "")), IFERROR(INDEX(ERP資料!$A:$A, (MATCH(479, 輔助計算!$G$2:$G$801, 0)+1)), ""), ""), "")</f>
        <v/>
      </c>
      <c r="B480" s="10">
        <f>IFERROR(IF(AND(IFERROR(INDEX(ERP資料!$A:$A, (MATCH(479, 輔助計算!$G$2:$G$801, 0)+1)), "")&lt;&gt;"", IFERROR(INDEX(ERP資料!$A:$A, (MATCH(479, 輔助計算!$G$2:$G$801, 0)+1)), "")&lt;&gt;IFERROR(INDEX(ERP資料!$A:$A, MATCH(478, 輔助計算!$G$2:$G$801, 0)+1), "")), INDEX(ERP資料!$S:$S, (MATCH(479, 輔助計算!$G$2:$G$801, 0)+1)), ""), "")</f>
        <v/>
      </c>
      <c r="C480" s="19">
        <f>IFERROR(IF(AND(IFERROR(INDEX(ERP資料!$A:$A, (MATCH(479, 輔助計算!$G$2:$G$801, 0)+1)), "")&lt;&gt;"", IFERROR(INDEX(ERP資料!$A:$A, (MATCH(479, 輔助計算!$G$2:$G$801, 0)+1)), "")&lt;&gt;IFERROR(INDEX(ERP資料!$A:$A, MATCH(478, 輔助計算!$G$2:$G$801, 0)+1), "")), IFERROR(VLOOKUP(LEFT(INDEX(ERP資料!$S:$S, (MATCH(479, 輔助計算!$G$2:$G$801, 0)+1)), 4), 紙管對照表!$A:$C, 3, FALSE), ""), ""), "")</f>
        <v/>
      </c>
      <c r="D480" s="16" t="n"/>
      <c r="E480" s="10">
        <f>IFERROR(IF(INDEX(ERP資料!$H:$H, (MATCH(479, 輔助計算!$G$2:$G$801, 0)+1))="","",INDEX(ERP資料!$H:$H, (MATCH(479, 輔助計算!$G$2:$G$801, 0)+1))), "")</f>
        <v/>
      </c>
      <c r="F480" s="10">
        <f>IFERROR(IF(INDEX(ERP資料!$E:$E, (MATCH(479, 輔助計算!$G$2:$G$801, 0)+1))="","",TRIM(INDEX(ERP資料!$E:$E, (MATCH(479, 輔助計算!$G$2:$G$801, 0)+1)))), "")</f>
        <v/>
      </c>
      <c r="G480" s="10">
        <f>IFERROR(IF(INDEX(ERP資料!$F:$F, (MATCH(479, 輔助計算!$G$2:$G$801, 0)+1))="","",INDEX(ERP資料!$F:$F, (MATCH(479, 輔助計算!$G$2:$G$801, 0)+1))), "")</f>
        <v/>
      </c>
      <c r="H480" s="10">
        <f>IFERROR(IF(INDEX(ERP資料!$G:$G, (MATCH(479, 輔助計算!$G$2:$G$801, 0)+1))="","",INDEX(ERP資料!$G:$G, (MATCH(479, 輔助計算!$G$2:$G$801, 0)+1))), "")</f>
        <v/>
      </c>
      <c r="I480" s="15">
        <f>IFERROR(INDEX(輔助計算!$D:$D, (MATCH(479, 輔助計算!$G$2:$G$801, 0)+1)), "")</f>
        <v/>
      </c>
      <c r="J480" s="15">
        <f>IFERROR(IF(AND(INDEX(輔助計算!$D:$D, (MATCH(479, 輔助計算!$G$2:$G$801, 0)+1))&lt;&gt;"", INDEX(ERP資料!$G:$G, (MATCH(479, 輔助計算!$G$2:$G$801, 0)+1))&lt;&gt;""), TRIM(IF(INT(INDEX(輔助計算!$D:$D, (MATCH(479, 輔助計算!$G$2:$G$801, 0)+1))/IF(INDEX(ERP資料!$G:$G, (MATCH(479, 輔助計算!$G$2:$G$801, 0)+1))&lt;100, IF(INDEX(ERP資料!$G:$G, (MATCH(479, 輔助計算!$G$2:$G$801, 0)+1))&lt;=31,3,IF(INDEX(ERP資料!$G:$G, (MATCH(479, 輔助計算!$G$2:$G$801, 0)+1))&lt;=46.5,2,1)), IF(INDEX(ERP資料!$G:$G, (MATCH(479, 輔助計算!$G$2:$G$801, 0)+1))&lt;=790,3,IF(INDEX(ERP資料!$G:$G, (MATCH(479, 輔助計算!$G$2:$G$801, 0)+1))&lt;=1181,2,1))))&gt;0, IF(IF(INDEX(ERP資料!$G:$G, (MATCH(479, 輔助計算!$G$2:$G$801, 0)+1))&lt;100, IF(INDEX(ERP資料!$G:$G, (MATCH(479, 輔助計算!$G$2:$G$801, 0)+1))&lt;=31,3,IF(INDEX(ERP資料!$G:$G, (MATCH(479, 輔助計算!$G$2:$G$801, 0)+1))&lt;=46.5,2,1)), IF(INDEX(ERP資料!$G:$G, (MATCH(479, 輔助計算!$G$2:$G$801, 0)+1))&lt;=790,3,IF(INDEX(ERP資料!$G:$G, (MATCH(479, 輔助計算!$G$2:$G$801, 0)+1))&lt;=1181,2,1)))=1,TEXT(INDEX(ERP資料!$G:$G, (MATCH(479, 輔助計算!$G$2:$G$801, 0)+1)),"0.##"),IF(IF(INDEX(ERP資料!$G:$G, (MATCH(479, 輔助計算!$G$2:$G$801, 0)+1))&lt;100, IF(INDEX(ERP資料!$G:$G, (MATCH(479, 輔助計算!$G$2:$G$801, 0)+1))&lt;=31,3,IF(INDEX(ERP資料!$G:$G, (MATCH(479, 輔助計算!$G$2:$G$801, 0)+1))&lt;=46.5,2,1)), IF(INDEX(ERP資料!$G:$G, (MATCH(479, 輔助計算!$G$2:$G$801, 0)+1))&lt;=790,3,IF(INDEX(ERP資料!$G:$G, (MATCH(479, 輔助計算!$G$2:$G$801, 0)+1))&lt;=1181,2,1)))=2,TEXT(INDEX(ERP資料!$G:$G, (MATCH(479, 輔助計算!$G$2:$G$801, 0)+1)),"0.##")&amp;"+"&amp;TEXT(INDEX(ERP資料!$G:$G, (MATCH(479, 輔助計算!$G$2:$G$801, 0)+1)),"0.##"),TEXT(INDEX(ERP資料!$G:$G, (MATCH(479, 輔助計算!$G$2:$G$801, 0)+1)),"0.##")&amp;"+"&amp;TEXT(INDEX(ERP資料!$G:$G, (MATCH(479, 輔助計算!$G$2:$G$801, 0)+1)),"0.##")&amp;"+"&amp;TEXT(INDEX(ERP資料!$G:$G, (MATCH(479, 輔助計算!$G$2:$G$801, 0)+1)),"0.##")))&amp;"-"&amp;INT(INDEX(輔助計算!$D:$D, (MATCH(479, 輔助計算!$G$2:$G$801, 0)+1))/IF(INDEX(ERP資料!$G:$G, (MATCH(479, 輔助計算!$G$2:$G$801, 0)+1))&lt;100, IF(INDEX(ERP資料!$G:$G, (MATCH(479, 輔助計算!$G$2:$G$801, 0)+1))&lt;=31,3,IF(INDEX(ERP資料!$G:$G, (MATCH(479, 輔助計算!$G$2:$G$801, 0)+1))&lt;=46.5,2,1)), IF(INDEX(ERP資料!$G:$G, (MATCH(479, 輔助計算!$G$2:$G$801, 0)+1))&lt;=790,3,IF(INDEX(ERP資料!$G:$G, (MATCH(479, 輔助計算!$G$2:$G$801, 0)+1))&lt;=1181,2,1)))), "")&amp;IF(AND(IF(INT(INDEX(輔助計算!$D:$D, (MATCH(479, 輔助計算!$G$2:$G$801, 0)+1))/IF(INDEX(ERP資料!$G:$G, (MATCH(479, 輔助計算!$G$2:$G$801, 0)+1))&lt;100, IF(INDEX(ERP資料!$G:$G, (MATCH(479, 輔助計算!$G$2:$G$801, 0)+1))&lt;=31,3,IF(INDEX(ERP資料!$G:$G, (MATCH(479, 輔助計算!$G$2:$G$801, 0)+1))&lt;=46.5,2,1)), IF(INDEX(ERP資料!$G:$G, (MATCH(479, 輔助計算!$G$2:$G$801, 0)+1))&lt;=790,3,IF(INDEX(ERP資料!$G:$G, (MATCH(479, 輔助計算!$G$2:$G$801, 0)+1))&lt;=1181,2,1))))&gt;0, IF(IF(INDEX(ERP資料!$G:$G, (MATCH(479, 輔助計算!$G$2:$G$801, 0)+1))&lt;100, IF(INDEX(ERP資料!$G:$G, (MATCH(479, 輔助計算!$G$2:$G$801, 0)+1))&lt;=31,3,IF(INDEX(ERP資料!$G:$G, (MATCH(479, 輔助計算!$G$2:$G$801, 0)+1))&lt;=46.5,2,1)), IF(INDEX(ERP資料!$G:$G, (MATCH(479, 輔助計算!$G$2:$G$801, 0)+1))&lt;=790,3,IF(INDEX(ERP資料!$G:$G, (MATCH(479, 輔助計算!$G$2:$G$801, 0)+1))&lt;=1181,2,1)))=1,TEXT(INDEX(ERP資料!$G:$G, (MATCH(479, 輔助計算!$G$2:$G$801, 0)+1)),"0.##"),IF(IF(INDEX(ERP資料!$G:$G, (MATCH(479, 輔助計算!$G$2:$G$801, 0)+1))&lt;100, IF(INDEX(ERP資料!$G:$G, (MATCH(479, 輔助計算!$G$2:$G$801, 0)+1))&lt;=31,3,IF(INDEX(ERP資料!$G:$G, (MATCH(479, 輔助計算!$G$2:$G$801, 0)+1))&lt;=46.5,2,1)), IF(INDEX(ERP資料!$G:$G, (MATCH(479, 輔助計算!$G$2:$G$801, 0)+1))&lt;=790,3,IF(INDEX(ERP資料!$G:$G, (MATCH(479, 輔助計算!$G$2:$G$801, 0)+1))&lt;=1181,2,1)))=2,TEXT(INDEX(ERP資料!$G:$G, (MATCH(479, 輔助計算!$G$2:$G$801, 0)+1)),"0.##")&amp;"+"&amp;TEXT(INDEX(ERP資料!$G:$G, (MATCH(479, 輔助計算!$G$2:$G$801, 0)+1)),"0.##"),TEXT(INDEX(ERP資料!$G:$G, (MATCH(479, 輔助計算!$G$2:$G$801, 0)+1)),"0.##")&amp;"+"&amp;TEXT(INDEX(ERP資料!$G:$G, (MATCH(479, 輔助計算!$G$2:$G$801, 0)+1)),"0.##")&amp;"+"&amp;TEXT(INDEX(ERP資料!$G:$G, (MATCH(479, 輔助計算!$G$2:$G$801, 0)+1)),"0.##")))&amp;"-"&amp;INT(INDEX(輔助計算!$D:$D, (MATCH(479, 輔助計算!$G$2:$G$801, 0)+1))/IF(INDEX(ERP資料!$G:$G, (MATCH(479, 輔助計算!$G$2:$G$801, 0)+1))&lt;100, IF(INDEX(ERP資料!$G:$G, (MATCH(479, 輔助計算!$G$2:$G$801, 0)+1))&lt;=31,3,IF(INDEX(ERP資料!$G:$G, (MATCH(479, 輔助計算!$G$2:$G$801, 0)+1))&lt;=46.5,2,1)), IF(INDEX(ERP資料!$G:$G, (MATCH(479, 輔助計算!$G$2:$G$801, 0)+1))&lt;=790,3,IF(INDEX(ERP資料!$G:$G, (MATCH(479, 輔助計算!$G$2:$G$801, 0)+1))&lt;=1181,2,1)))), "")&lt;&gt;"",IF(MOD(INDEX(輔助計算!$D:$D, (MATCH(479, 輔助計算!$G$2:$G$801, 0)+1)),IF(INDEX(ERP資料!$G:$G, (MATCH(479, 輔助計算!$G$2:$G$801, 0)+1))&lt;100, IF(INDEX(ERP資料!$G:$G, (MATCH(479, 輔助計算!$G$2:$G$801, 0)+1))&lt;=31,3,IF(INDEX(ERP資料!$G:$G, (MATCH(479, 輔助計算!$G$2:$G$801, 0)+1))&lt;=46.5,2,1)), IF(INDEX(ERP資料!$G:$G, (MATCH(479, 輔助計算!$G$2:$G$801, 0)+1))&lt;=790,3,IF(INDEX(ERP資料!$G:$G, (MATCH(479, 輔助計算!$G$2:$G$801, 0)+1))&lt;=1181,2,1))))=0,"",IF(MOD(INDEX(輔助計算!$D:$D, (MATCH(479, 輔助計算!$G$2:$G$801, 0)+1)),IF(INDEX(ERP資料!$G:$G, (MATCH(479, 輔助計算!$G$2:$G$801, 0)+1))&lt;100, IF(INDEX(ERP資料!$G:$G, (MATCH(479, 輔助計算!$G$2:$G$801, 0)+1))&lt;=31,3,IF(INDEX(ERP資料!$G:$G, (MATCH(479, 輔助計算!$G$2:$G$801, 0)+1))&lt;=46.5,2,1)), IF(INDEX(ERP資料!$G:$G, (MATCH(479, 輔助計算!$G$2:$G$801, 0)+1))&lt;=790,3,IF(INDEX(ERP資料!$G:$G, (MATCH(479, 輔助計算!$G$2:$G$801, 0)+1))&lt;=1181,2,1))))=0,"",IF(MOD(INDEX(輔助計算!$D:$D, (MATCH(479, 輔助計算!$G$2:$G$801, 0)+1)),IF(INDEX(ERP資料!$G:$G, (MATCH(479, 輔助計算!$G$2:$G$801, 0)+1))&lt;100, IF(INDEX(ERP資料!$G:$G, (MATCH(479, 輔助計算!$G$2:$G$801, 0)+1))&lt;=31,3,IF(INDEX(ERP資料!$G:$G, (MATCH(479, 輔助計算!$G$2:$G$801, 0)+1))&lt;=46.5,2,1)), IF(INDEX(ERP資料!$G:$G, (MATCH(479, 輔助計算!$G$2:$G$801, 0)+1))&lt;=790,3,IF(INDEX(ERP資料!$G:$G, (MATCH(479, 輔助計算!$G$2:$G$801, 0)+1))&lt;=1181,2,1))))=1,TEXT(INDEX(ERP資料!$G:$G, (MATCH(479, 輔助計算!$G$2:$G$801, 0)+1)),"0.##"),IF(MOD(INDEX(輔助計算!$D:$D, (MATCH(479, 輔助計算!$G$2:$G$801, 0)+1)),IF(INDEX(ERP資料!$G:$G, (MATCH(479, 輔助計算!$G$2:$G$801, 0)+1))&lt;100, IF(INDEX(ERP資料!$G:$G, (MATCH(479, 輔助計算!$G$2:$G$801, 0)+1))&lt;=31,3,IF(INDEX(ERP資料!$G:$G, (MATCH(479, 輔助計算!$G$2:$G$801, 0)+1))&lt;=46.5,2,1)), IF(INDEX(ERP資料!$G:$G, (MATCH(479, 輔助計算!$G$2:$G$801, 0)+1))&lt;=790,3,IF(INDEX(ERP資料!$G:$G, (MATCH(479, 輔助計算!$G$2:$G$801, 0)+1))&lt;=1181,2,1))))=2,TEXT(INDEX(ERP資料!$G:$G, (MATCH(479, 輔助計算!$G$2:$G$801, 0)+1)),"0.##")&amp;"+"&amp;TEXT(INDEX(ERP資料!$G:$G, (MATCH(479, 輔助計算!$G$2:$G$801, 0)+1)),"0.##"),TEXT(INDEX(ERP資料!$G:$G, (MATCH(479, 輔助計算!$G$2:$G$801, 0)+1)),"0.##")&amp;"+"&amp;TEXT(INDEX(ERP資料!$G:$G, (MATCH(479, 輔助計算!$G$2:$G$801, 0)+1)),"0.##")&amp;"+"&amp;TEXT(INDEX(ERP資料!$G:$G, (MATCH(479, 輔助計算!$G$2:$G$801, 0)+1)),"0.##"))))&amp;"-1")&lt;&gt;""),"  ","")&amp;IF(MOD(INDEX(輔助計算!$D:$D, (MATCH(479, 輔助計算!$G$2:$G$801, 0)+1)),IF(INDEX(ERP資料!$G:$G, (MATCH(479, 輔助計算!$G$2:$G$801, 0)+1))&lt;100, IF(INDEX(ERP資料!$G:$G, (MATCH(479, 輔助計算!$G$2:$G$801, 0)+1))&lt;=31,3,IF(INDEX(ERP資料!$G:$G, (MATCH(479, 輔助計算!$G$2:$G$801, 0)+1))&lt;=46.5,2,1)), IF(INDEX(ERP資料!$G:$G, (MATCH(479, 輔助計算!$G$2:$G$801, 0)+1))&lt;=790,3,IF(INDEX(ERP資料!$G:$G, (MATCH(479, 輔助計算!$G$2:$G$801, 0)+1))&lt;=1181,2,1))))=0,"",IF(MOD(INDEX(輔助計算!$D:$D, (MATCH(479, 輔助計算!$G$2:$G$801, 0)+1)),IF(INDEX(ERP資料!$G:$G, (MATCH(479, 輔助計算!$G$2:$G$801, 0)+1))&lt;100, IF(INDEX(ERP資料!$G:$G, (MATCH(479, 輔助計算!$G$2:$G$801, 0)+1))&lt;=31,3,IF(INDEX(ERP資料!$G:$G, (MATCH(479, 輔助計算!$G$2:$G$801, 0)+1))&lt;=46.5,2,1)), IF(INDEX(ERP資料!$G:$G, (MATCH(479, 輔助計算!$G$2:$G$801, 0)+1))&lt;=790,3,IF(INDEX(ERP資料!$G:$G, (MATCH(479, 輔助計算!$G$2:$G$801, 0)+1))&lt;=1181,2,1))))=0,"",IF(MOD(INDEX(輔助計算!$D:$D, (MATCH(479, 輔助計算!$G$2:$G$801, 0)+1)),IF(INDEX(ERP資料!$G:$G, (MATCH(479, 輔助計算!$G$2:$G$801, 0)+1))&lt;100, IF(INDEX(ERP資料!$G:$G, (MATCH(479, 輔助計算!$G$2:$G$801, 0)+1))&lt;=31,3,IF(INDEX(ERP資料!$G:$G, (MATCH(479, 輔助計算!$G$2:$G$801, 0)+1))&lt;=46.5,2,1)), IF(INDEX(ERP資料!$G:$G, (MATCH(479, 輔助計算!$G$2:$G$801, 0)+1))&lt;=790,3,IF(INDEX(ERP資料!$G:$G, (MATCH(479, 輔助計算!$G$2:$G$801, 0)+1))&lt;=1181,2,1))))=1,TEXT(INDEX(ERP資料!$G:$G, (MATCH(479, 輔助計算!$G$2:$G$801, 0)+1)),"0.##"),IF(MOD(INDEX(輔助計算!$D:$D, (MATCH(479, 輔助計算!$G$2:$G$801, 0)+1)),IF(INDEX(ERP資料!$G:$G, (MATCH(479, 輔助計算!$G$2:$G$801, 0)+1))&lt;100, IF(INDEX(ERP資料!$G:$G, (MATCH(479, 輔助計算!$G$2:$G$801, 0)+1))&lt;=31,3,IF(INDEX(ERP資料!$G:$G, (MATCH(479, 輔助計算!$G$2:$G$801, 0)+1))&lt;=46.5,2,1)), IF(INDEX(ERP資料!$G:$G, (MATCH(479, 輔助計算!$G$2:$G$801, 0)+1))&lt;=790,3,IF(INDEX(ERP資料!$G:$G, (MATCH(479, 輔助計算!$G$2:$G$801, 0)+1))&lt;=1181,2,1))))=2,TEXT(INDEX(ERP資料!$G:$G, (MATCH(479, 輔助計算!$G$2:$G$801, 0)+1)),"0.##")&amp;"+"&amp;TEXT(INDEX(ERP資料!$G:$G, (MATCH(479, 輔助計算!$G$2:$G$801, 0)+1)),"0.##"),TEXT(INDEX(ERP資料!$G:$G, (MATCH(479, 輔助計算!$G$2:$G$801, 0)+1)),"0.##")&amp;"+"&amp;TEXT(INDEX(ERP資料!$G:$G, (MATCH(479, 輔助計算!$G$2:$G$801, 0)+1)),"0.##")&amp;"+"&amp;TEXT(INDEX(ERP資料!$G:$G, (MATCH(479, 輔助計算!$G$2:$G$801, 0)+1)),"0.##"))))&amp;"-1")), ""), "")</f>
        <v/>
      </c>
      <c r="K480" s="16" t="n"/>
      <c r="L480" s="14">
        <f>IFERROR(IF(AND(IFERROR(INDEX(ERP資料!$A:$A, (MATCH(479, 輔助計算!$G$2:$G$801, 0)+1)), "")&lt;&gt;"", IFERROR(INDEX(ERP資料!$A:$A, (MATCH(479, 輔助計算!$G$2:$G$801, 0)+1)), "")&lt;&gt;IFERROR(INDEX(ERP資料!$A:$A, MATCH(478, 輔助計算!$G$2:$G$801, 0)+1), "")), INDEX(ERP資料!$B:$B, (MATCH(479, 輔助計算!$G$2:$G$801, 0)+1)), ""), "")</f>
        <v/>
      </c>
      <c r="M480" s="17" t="n"/>
    </row>
    <row r="481">
      <c r="A481" s="10">
        <f>IFERROR(IF(AND(IFERROR(INDEX(ERP資料!$A:$A, (MATCH(480, 輔助計算!$G$2:$G$801, 0)+1)), "")&lt;&gt;"", IFERROR(INDEX(ERP資料!$A:$A, (MATCH(480, 輔助計算!$G$2:$G$801, 0)+1)), "")&lt;&gt;IFERROR(INDEX(ERP資料!$A:$A, MATCH(479, 輔助計算!$G$2:$G$801, 0)+1), "")), IFERROR(INDEX(ERP資料!$A:$A, (MATCH(480, 輔助計算!$G$2:$G$801, 0)+1)), ""), ""), "")</f>
        <v/>
      </c>
      <c r="B481" s="10">
        <f>IFERROR(IF(AND(IFERROR(INDEX(ERP資料!$A:$A, (MATCH(480, 輔助計算!$G$2:$G$801, 0)+1)), "")&lt;&gt;"", IFERROR(INDEX(ERP資料!$A:$A, (MATCH(480, 輔助計算!$G$2:$G$801, 0)+1)), "")&lt;&gt;IFERROR(INDEX(ERP資料!$A:$A, MATCH(479, 輔助計算!$G$2:$G$801, 0)+1), "")), INDEX(ERP資料!$S:$S, (MATCH(480, 輔助計算!$G$2:$G$801, 0)+1)), ""), "")</f>
        <v/>
      </c>
      <c r="C481" s="19">
        <f>IFERROR(IF(AND(IFERROR(INDEX(ERP資料!$A:$A, (MATCH(480, 輔助計算!$G$2:$G$801, 0)+1)), "")&lt;&gt;"", IFERROR(INDEX(ERP資料!$A:$A, (MATCH(480, 輔助計算!$G$2:$G$801, 0)+1)), "")&lt;&gt;IFERROR(INDEX(ERP資料!$A:$A, MATCH(479, 輔助計算!$G$2:$G$801, 0)+1), "")), IFERROR(VLOOKUP(LEFT(INDEX(ERP資料!$S:$S, (MATCH(480, 輔助計算!$G$2:$G$801, 0)+1)), 4), 紙管對照表!$A:$C, 3, FALSE), ""), ""), "")</f>
        <v/>
      </c>
      <c r="D481" s="16" t="n"/>
      <c r="E481" s="10">
        <f>IFERROR(IF(INDEX(ERP資料!$H:$H, (MATCH(480, 輔助計算!$G$2:$G$801, 0)+1))="","",INDEX(ERP資料!$H:$H, (MATCH(480, 輔助計算!$G$2:$G$801, 0)+1))), "")</f>
        <v/>
      </c>
      <c r="F481" s="10">
        <f>IFERROR(IF(INDEX(ERP資料!$E:$E, (MATCH(480, 輔助計算!$G$2:$G$801, 0)+1))="","",TRIM(INDEX(ERP資料!$E:$E, (MATCH(480, 輔助計算!$G$2:$G$801, 0)+1)))), "")</f>
        <v/>
      </c>
      <c r="G481" s="10">
        <f>IFERROR(IF(INDEX(ERP資料!$F:$F, (MATCH(480, 輔助計算!$G$2:$G$801, 0)+1))="","",INDEX(ERP資料!$F:$F, (MATCH(480, 輔助計算!$G$2:$G$801, 0)+1))), "")</f>
        <v/>
      </c>
      <c r="H481" s="10">
        <f>IFERROR(IF(INDEX(ERP資料!$G:$G, (MATCH(480, 輔助計算!$G$2:$G$801, 0)+1))="","",INDEX(ERP資料!$G:$G, (MATCH(480, 輔助計算!$G$2:$G$801, 0)+1))), "")</f>
        <v/>
      </c>
      <c r="I481" s="15">
        <f>IFERROR(INDEX(輔助計算!$D:$D, (MATCH(480, 輔助計算!$G$2:$G$801, 0)+1)), "")</f>
        <v/>
      </c>
      <c r="J481" s="15">
        <f>IFERROR(IF(AND(INDEX(輔助計算!$D:$D, (MATCH(480, 輔助計算!$G$2:$G$801, 0)+1))&lt;&gt;"", INDEX(ERP資料!$G:$G, (MATCH(480, 輔助計算!$G$2:$G$801, 0)+1))&lt;&gt;""), TRIM(IF(INT(INDEX(輔助計算!$D:$D, (MATCH(480, 輔助計算!$G$2:$G$801, 0)+1))/IF(INDEX(ERP資料!$G:$G, (MATCH(480, 輔助計算!$G$2:$G$801, 0)+1))&lt;100, IF(INDEX(ERP資料!$G:$G, (MATCH(480, 輔助計算!$G$2:$G$801, 0)+1))&lt;=31,3,IF(INDEX(ERP資料!$G:$G, (MATCH(480, 輔助計算!$G$2:$G$801, 0)+1))&lt;=46.5,2,1)), IF(INDEX(ERP資料!$G:$G, (MATCH(480, 輔助計算!$G$2:$G$801, 0)+1))&lt;=790,3,IF(INDEX(ERP資料!$G:$G, (MATCH(480, 輔助計算!$G$2:$G$801, 0)+1))&lt;=1181,2,1))))&gt;0, IF(IF(INDEX(ERP資料!$G:$G, (MATCH(480, 輔助計算!$G$2:$G$801, 0)+1))&lt;100, IF(INDEX(ERP資料!$G:$G, (MATCH(480, 輔助計算!$G$2:$G$801, 0)+1))&lt;=31,3,IF(INDEX(ERP資料!$G:$G, (MATCH(480, 輔助計算!$G$2:$G$801, 0)+1))&lt;=46.5,2,1)), IF(INDEX(ERP資料!$G:$G, (MATCH(480, 輔助計算!$G$2:$G$801, 0)+1))&lt;=790,3,IF(INDEX(ERP資料!$G:$G, (MATCH(480, 輔助計算!$G$2:$G$801, 0)+1))&lt;=1181,2,1)))=1,TEXT(INDEX(ERP資料!$G:$G, (MATCH(480, 輔助計算!$G$2:$G$801, 0)+1)),"0.##"),IF(IF(INDEX(ERP資料!$G:$G, (MATCH(480, 輔助計算!$G$2:$G$801, 0)+1))&lt;100, IF(INDEX(ERP資料!$G:$G, (MATCH(480, 輔助計算!$G$2:$G$801, 0)+1))&lt;=31,3,IF(INDEX(ERP資料!$G:$G, (MATCH(480, 輔助計算!$G$2:$G$801, 0)+1))&lt;=46.5,2,1)), IF(INDEX(ERP資料!$G:$G, (MATCH(480, 輔助計算!$G$2:$G$801, 0)+1))&lt;=790,3,IF(INDEX(ERP資料!$G:$G, (MATCH(480, 輔助計算!$G$2:$G$801, 0)+1))&lt;=1181,2,1)))=2,TEXT(INDEX(ERP資料!$G:$G, (MATCH(480, 輔助計算!$G$2:$G$801, 0)+1)),"0.##")&amp;"+"&amp;TEXT(INDEX(ERP資料!$G:$G, (MATCH(480, 輔助計算!$G$2:$G$801, 0)+1)),"0.##"),TEXT(INDEX(ERP資料!$G:$G, (MATCH(480, 輔助計算!$G$2:$G$801, 0)+1)),"0.##")&amp;"+"&amp;TEXT(INDEX(ERP資料!$G:$G, (MATCH(480, 輔助計算!$G$2:$G$801, 0)+1)),"0.##")&amp;"+"&amp;TEXT(INDEX(ERP資料!$G:$G, (MATCH(480, 輔助計算!$G$2:$G$801, 0)+1)),"0.##")))&amp;"-"&amp;INT(INDEX(輔助計算!$D:$D, (MATCH(480, 輔助計算!$G$2:$G$801, 0)+1))/IF(INDEX(ERP資料!$G:$G, (MATCH(480, 輔助計算!$G$2:$G$801, 0)+1))&lt;100, IF(INDEX(ERP資料!$G:$G, (MATCH(480, 輔助計算!$G$2:$G$801, 0)+1))&lt;=31,3,IF(INDEX(ERP資料!$G:$G, (MATCH(480, 輔助計算!$G$2:$G$801, 0)+1))&lt;=46.5,2,1)), IF(INDEX(ERP資料!$G:$G, (MATCH(480, 輔助計算!$G$2:$G$801, 0)+1))&lt;=790,3,IF(INDEX(ERP資料!$G:$G, (MATCH(480, 輔助計算!$G$2:$G$801, 0)+1))&lt;=1181,2,1)))), "")&amp;IF(AND(IF(INT(INDEX(輔助計算!$D:$D, (MATCH(480, 輔助計算!$G$2:$G$801, 0)+1))/IF(INDEX(ERP資料!$G:$G, (MATCH(480, 輔助計算!$G$2:$G$801, 0)+1))&lt;100, IF(INDEX(ERP資料!$G:$G, (MATCH(480, 輔助計算!$G$2:$G$801, 0)+1))&lt;=31,3,IF(INDEX(ERP資料!$G:$G, (MATCH(480, 輔助計算!$G$2:$G$801, 0)+1))&lt;=46.5,2,1)), IF(INDEX(ERP資料!$G:$G, (MATCH(480, 輔助計算!$G$2:$G$801, 0)+1))&lt;=790,3,IF(INDEX(ERP資料!$G:$G, (MATCH(480, 輔助計算!$G$2:$G$801, 0)+1))&lt;=1181,2,1))))&gt;0, IF(IF(INDEX(ERP資料!$G:$G, (MATCH(480, 輔助計算!$G$2:$G$801, 0)+1))&lt;100, IF(INDEX(ERP資料!$G:$G, (MATCH(480, 輔助計算!$G$2:$G$801, 0)+1))&lt;=31,3,IF(INDEX(ERP資料!$G:$G, (MATCH(480, 輔助計算!$G$2:$G$801, 0)+1))&lt;=46.5,2,1)), IF(INDEX(ERP資料!$G:$G, (MATCH(480, 輔助計算!$G$2:$G$801, 0)+1))&lt;=790,3,IF(INDEX(ERP資料!$G:$G, (MATCH(480, 輔助計算!$G$2:$G$801, 0)+1))&lt;=1181,2,1)))=1,TEXT(INDEX(ERP資料!$G:$G, (MATCH(480, 輔助計算!$G$2:$G$801, 0)+1)),"0.##"),IF(IF(INDEX(ERP資料!$G:$G, (MATCH(480, 輔助計算!$G$2:$G$801, 0)+1))&lt;100, IF(INDEX(ERP資料!$G:$G, (MATCH(480, 輔助計算!$G$2:$G$801, 0)+1))&lt;=31,3,IF(INDEX(ERP資料!$G:$G, (MATCH(480, 輔助計算!$G$2:$G$801, 0)+1))&lt;=46.5,2,1)), IF(INDEX(ERP資料!$G:$G, (MATCH(480, 輔助計算!$G$2:$G$801, 0)+1))&lt;=790,3,IF(INDEX(ERP資料!$G:$G, (MATCH(480, 輔助計算!$G$2:$G$801, 0)+1))&lt;=1181,2,1)))=2,TEXT(INDEX(ERP資料!$G:$G, (MATCH(480, 輔助計算!$G$2:$G$801, 0)+1)),"0.##")&amp;"+"&amp;TEXT(INDEX(ERP資料!$G:$G, (MATCH(480, 輔助計算!$G$2:$G$801, 0)+1)),"0.##"),TEXT(INDEX(ERP資料!$G:$G, (MATCH(480, 輔助計算!$G$2:$G$801, 0)+1)),"0.##")&amp;"+"&amp;TEXT(INDEX(ERP資料!$G:$G, (MATCH(480, 輔助計算!$G$2:$G$801, 0)+1)),"0.##")&amp;"+"&amp;TEXT(INDEX(ERP資料!$G:$G, (MATCH(480, 輔助計算!$G$2:$G$801, 0)+1)),"0.##")))&amp;"-"&amp;INT(INDEX(輔助計算!$D:$D, (MATCH(480, 輔助計算!$G$2:$G$801, 0)+1))/IF(INDEX(ERP資料!$G:$G, (MATCH(480, 輔助計算!$G$2:$G$801, 0)+1))&lt;100, IF(INDEX(ERP資料!$G:$G, (MATCH(480, 輔助計算!$G$2:$G$801, 0)+1))&lt;=31,3,IF(INDEX(ERP資料!$G:$G, (MATCH(480, 輔助計算!$G$2:$G$801, 0)+1))&lt;=46.5,2,1)), IF(INDEX(ERP資料!$G:$G, (MATCH(480, 輔助計算!$G$2:$G$801, 0)+1))&lt;=790,3,IF(INDEX(ERP資料!$G:$G, (MATCH(480, 輔助計算!$G$2:$G$801, 0)+1))&lt;=1181,2,1)))), "")&lt;&gt;"",IF(MOD(INDEX(輔助計算!$D:$D, (MATCH(480, 輔助計算!$G$2:$G$801, 0)+1)),IF(INDEX(ERP資料!$G:$G, (MATCH(480, 輔助計算!$G$2:$G$801, 0)+1))&lt;100, IF(INDEX(ERP資料!$G:$G, (MATCH(480, 輔助計算!$G$2:$G$801, 0)+1))&lt;=31,3,IF(INDEX(ERP資料!$G:$G, (MATCH(480, 輔助計算!$G$2:$G$801, 0)+1))&lt;=46.5,2,1)), IF(INDEX(ERP資料!$G:$G, (MATCH(480, 輔助計算!$G$2:$G$801, 0)+1))&lt;=790,3,IF(INDEX(ERP資料!$G:$G, (MATCH(480, 輔助計算!$G$2:$G$801, 0)+1))&lt;=1181,2,1))))=0,"",IF(MOD(INDEX(輔助計算!$D:$D, (MATCH(480, 輔助計算!$G$2:$G$801, 0)+1)),IF(INDEX(ERP資料!$G:$G, (MATCH(480, 輔助計算!$G$2:$G$801, 0)+1))&lt;100, IF(INDEX(ERP資料!$G:$G, (MATCH(480, 輔助計算!$G$2:$G$801, 0)+1))&lt;=31,3,IF(INDEX(ERP資料!$G:$G, (MATCH(480, 輔助計算!$G$2:$G$801, 0)+1))&lt;=46.5,2,1)), IF(INDEX(ERP資料!$G:$G, (MATCH(480, 輔助計算!$G$2:$G$801, 0)+1))&lt;=790,3,IF(INDEX(ERP資料!$G:$G, (MATCH(480, 輔助計算!$G$2:$G$801, 0)+1))&lt;=1181,2,1))))=0,"",IF(MOD(INDEX(輔助計算!$D:$D, (MATCH(480, 輔助計算!$G$2:$G$801, 0)+1)),IF(INDEX(ERP資料!$G:$G, (MATCH(480, 輔助計算!$G$2:$G$801, 0)+1))&lt;100, IF(INDEX(ERP資料!$G:$G, (MATCH(480, 輔助計算!$G$2:$G$801, 0)+1))&lt;=31,3,IF(INDEX(ERP資料!$G:$G, (MATCH(480, 輔助計算!$G$2:$G$801, 0)+1))&lt;=46.5,2,1)), IF(INDEX(ERP資料!$G:$G, (MATCH(480, 輔助計算!$G$2:$G$801, 0)+1))&lt;=790,3,IF(INDEX(ERP資料!$G:$G, (MATCH(480, 輔助計算!$G$2:$G$801, 0)+1))&lt;=1181,2,1))))=1,TEXT(INDEX(ERP資料!$G:$G, (MATCH(480, 輔助計算!$G$2:$G$801, 0)+1)),"0.##"),IF(MOD(INDEX(輔助計算!$D:$D, (MATCH(480, 輔助計算!$G$2:$G$801, 0)+1)),IF(INDEX(ERP資料!$G:$G, (MATCH(480, 輔助計算!$G$2:$G$801, 0)+1))&lt;100, IF(INDEX(ERP資料!$G:$G, (MATCH(480, 輔助計算!$G$2:$G$801, 0)+1))&lt;=31,3,IF(INDEX(ERP資料!$G:$G, (MATCH(480, 輔助計算!$G$2:$G$801, 0)+1))&lt;=46.5,2,1)), IF(INDEX(ERP資料!$G:$G, (MATCH(480, 輔助計算!$G$2:$G$801, 0)+1))&lt;=790,3,IF(INDEX(ERP資料!$G:$G, (MATCH(480, 輔助計算!$G$2:$G$801, 0)+1))&lt;=1181,2,1))))=2,TEXT(INDEX(ERP資料!$G:$G, (MATCH(480, 輔助計算!$G$2:$G$801, 0)+1)),"0.##")&amp;"+"&amp;TEXT(INDEX(ERP資料!$G:$G, (MATCH(480, 輔助計算!$G$2:$G$801, 0)+1)),"0.##"),TEXT(INDEX(ERP資料!$G:$G, (MATCH(480, 輔助計算!$G$2:$G$801, 0)+1)),"0.##")&amp;"+"&amp;TEXT(INDEX(ERP資料!$G:$G, (MATCH(480, 輔助計算!$G$2:$G$801, 0)+1)),"0.##")&amp;"+"&amp;TEXT(INDEX(ERP資料!$G:$G, (MATCH(480, 輔助計算!$G$2:$G$801, 0)+1)),"0.##"))))&amp;"-1")&lt;&gt;""),"  ","")&amp;IF(MOD(INDEX(輔助計算!$D:$D, (MATCH(480, 輔助計算!$G$2:$G$801, 0)+1)),IF(INDEX(ERP資料!$G:$G, (MATCH(480, 輔助計算!$G$2:$G$801, 0)+1))&lt;100, IF(INDEX(ERP資料!$G:$G, (MATCH(480, 輔助計算!$G$2:$G$801, 0)+1))&lt;=31,3,IF(INDEX(ERP資料!$G:$G, (MATCH(480, 輔助計算!$G$2:$G$801, 0)+1))&lt;=46.5,2,1)), IF(INDEX(ERP資料!$G:$G, (MATCH(480, 輔助計算!$G$2:$G$801, 0)+1))&lt;=790,3,IF(INDEX(ERP資料!$G:$G, (MATCH(480, 輔助計算!$G$2:$G$801, 0)+1))&lt;=1181,2,1))))=0,"",IF(MOD(INDEX(輔助計算!$D:$D, (MATCH(480, 輔助計算!$G$2:$G$801, 0)+1)),IF(INDEX(ERP資料!$G:$G, (MATCH(480, 輔助計算!$G$2:$G$801, 0)+1))&lt;100, IF(INDEX(ERP資料!$G:$G, (MATCH(480, 輔助計算!$G$2:$G$801, 0)+1))&lt;=31,3,IF(INDEX(ERP資料!$G:$G, (MATCH(480, 輔助計算!$G$2:$G$801, 0)+1))&lt;=46.5,2,1)), IF(INDEX(ERP資料!$G:$G, (MATCH(480, 輔助計算!$G$2:$G$801, 0)+1))&lt;=790,3,IF(INDEX(ERP資料!$G:$G, (MATCH(480, 輔助計算!$G$2:$G$801, 0)+1))&lt;=1181,2,1))))=0,"",IF(MOD(INDEX(輔助計算!$D:$D, (MATCH(480, 輔助計算!$G$2:$G$801, 0)+1)),IF(INDEX(ERP資料!$G:$G, (MATCH(480, 輔助計算!$G$2:$G$801, 0)+1))&lt;100, IF(INDEX(ERP資料!$G:$G, (MATCH(480, 輔助計算!$G$2:$G$801, 0)+1))&lt;=31,3,IF(INDEX(ERP資料!$G:$G, (MATCH(480, 輔助計算!$G$2:$G$801, 0)+1))&lt;=46.5,2,1)), IF(INDEX(ERP資料!$G:$G, (MATCH(480, 輔助計算!$G$2:$G$801, 0)+1))&lt;=790,3,IF(INDEX(ERP資料!$G:$G, (MATCH(480, 輔助計算!$G$2:$G$801, 0)+1))&lt;=1181,2,1))))=1,TEXT(INDEX(ERP資料!$G:$G, (MATCH(480, 輔助計算!$G$2:$G$801, 0)+1)),"0.##"),IF(MOD(INDEX(輔助計算!$D:$D, (MATCH(480, 輔助計算!$G$2:$G$801, 0)+1)),IF(INDEX(ERP資料!$G:$G, (MATCH(480, 輔助計算!$G$2:$G$801, 0)+1))&lt;100, IF(INDEX(ERP資料!$G:$G, (MATCH(480, 輔助計算!$G$2:$G$801, 0)+1))&lt;=31,3,IF(INDEX(ERP資料!$G:$G, (MATCH(480, 輔助計算!$G$2:$G$801, 0)+1))&lt;=46.5,2,1)), IF(INDEX(ERP資料!$G:$G, (MATCH(480, 輔助計算!$G$2:$G$801, 0)+1))&lt;=790,3,IF(INDEX(ERP資料!$G:$G, (MATCH(480, 輔助計算!$G$2:$G$801, 0)+1))&lt;=1181,2,1))))=2,TEXT(INDEX(ERP資料!$G:$G, (MATCH(480, 輔助計算!$G$2:$G$801, 0)+1)),"0.##")&amp;"+"&amp;TEXT(INDEX(ERP資料!$G:$G, (MATCH(480, 輔助計算!$G$2:$G$801, 0)+1)),"0.##"),TEXT(INDEX(ERP資料!$G:$G, (MATCH(480, 輔助計算!$G$2:$G$801, 0)+1)),"0.##")&amp;"+"&amp;TEXT(INDEX(ERP資料!$G:$G, (MATCH(480, 輔助計算!$G$2:$G$801, 0)+1)),"0.##")&amp;"+"&amp;TEXT(INDEX(ERP資料!$G:$G, (MATCH(480, 輔助計算!$G$2:$G$801, 0)+1)),"0.##"))))&amp;"-1")), ""), "")</f>
        <v/>
      </c>
      <c r="K481" s="16" t="n"/>
      <c r="L481" s="14">
        <f>IFERROR(IF(AND(IFERROR(INDEX(ERP資料!$A:$A, (MATCH(480, 輔助計算!$G$2:$G$801, 0)+1)), "")&lt;&gt;"", IFERROR(INDEX(ERP資料!$A:$A, (MATCH(480, 輔助計算!$G$2:$G$801, 0)+1)), "")&lt;&gt;IFERROR(INDEX(ERP資料!$A:$A, MATCH(479, 輔助計算!$G$2:$G$801, 0)+1), "")), INDEX(ERP資料!$B:$B, (MATCH(480, 輔助計算!$G$2:$G$801, 0)+1)), ""), "")</f>
        <v/>
      </c>
      <c r="M481" s="17" t="n"/>
    </row>
    <row r="482">
      <c r="A482" s="10">
        <f>IFERROR(IF(AND(IFERROR(INDEX(ERP資料!$A:$A, (MATCH(481, 輔助計算!$G$2:$G$801, 0)+1)), "")&lt;&gt;"", IFERROR(INDEX(ERP資料!$A:$A, (MATCH(481, 輔助計算!$G$2:$G$801, 0)+1)), "")&lt;&gt;IFERROR(INDEX(ERP資料!$A:$A, MATCH(480, 輔助計算!$G$2:$G$801, 0)+1), "")), IFERROR(INDEX(ERP資料!$A:$A, (MATCH(481, 輔助計算!$G$2:$G$801, 0)+1)), ""), ""), "")</f>
        <v/>
      </c>
      <c r="B482" s="10">
        <f>IFERROR(IF(AND(IFERROR(INDEX(ERP資料!$A:$A, (MATCH(481, 輔助計算!$G$2:$G$801, 0)+1)), "")&lt;&gt;"", IFERROR(INDEX(ERP資料!$A:$A, (MATCH(481, 輔助計算!$G$2:$G$801, 0)+1)), "")&lt;&gt;IFERROR(INDEX(ERP資料!$A:$A, MATCH(480, 輔助計算!$G$2:$G$801, 0)+1), "")), INDEX(ERP資料!$S:$S, (MATCH(481, 輔助計算!$G$2:$G$801, 0)+1)), ""), "")</f>
        <v/>
      </c>
      <c r="C482" s="19">
        <f>IFERROR(IF(AND(IFERROR(INDEX(ERP資料!$A:$A, (MATCH(481, 輔助計算!$G$2:$G$801, 0)+1)), "")&lt;&gt;"", IFERROR(INDEX(ERP資料!$A:$A, (MATCH(481, 輔助計算!$G$2:$G$801, 0)+1)), "")&lt;&gt;IFERROR(INDEX(ERP資料!$A:$A, MATCH(480, 輔助計算!$G$2:$G$801, 0)+1), "")), IFERROR(VLOOKUP(LEFT(INDEX(ERP資料!$S:$S, (MATCH(481, 輔助計算!$G$2:$G$801, 0)+1)), 4), 紙管對照表!$A:$C, 3, FALSE), ""), ""), "")</f>
        <v/>
      </c>
      <c r="D482" s="16" t="n"/>
      <c r="E482" s="10">
        <f>IFERROR(IF(INDEX(ERP資料!$H:$H, (MATCH(481, 輔助計算!$G$2:$G$801, 0)+1))="","",INDEX(ERP資料!$H:$H, (MATCH(481, 輔助計算!$G$2:$G$801, 0)+1))), "")</f>
        <v/>
      </c>
      <c r="F482" s="10">
        <f>IFERROR(IF(INDEX(ERP資料!$E:$E, (MATCH(481, 輔助計算!$G$2:$G$801, 0)+1))="","",TRIM(INDEX(ERP資料!$E:$E, (MATCH(481, 輔助計算!$G$2:$G$801, 0)+1)))), "")</f>
        <v/>
      </c>
      <c r="G482" s="10">
        <f>IFERROR(IF(INDEX(ERP資料!$F:$F, (MATCH(481, 輔助計算!$G$2:$G$801, 0)+1))="","",INDEX(ERP資料!$F:$F, (MATCH(481, 輔助計算!$G$2:$G$801, 0)+1))), "")</f>
        <v/>
      </c>
      <c r="H482" s="10">
        <f>IFERROR(IF(INDEX(ERP資料!$G:$G, (MATCH(481, 輔助計算!$G$2:$G$801, 0)+1))="","",INDEX(ERP資料!$G:$G, (MATCH(481, 輔助計算!$G$2:$G$801, 0)+1))), "")</f>
        <v/>
      </c>
      <c r="I482" s="15">
        <f>IFERROR(INDEX(輔助計算!$D:$D, (MATCH(481, 輔助計算!$G$2:$G$801, 0)+1)), "")</f>
        <v/>
      </c>
      <c r="J482" s="15">
        <f>IFERROR(IF(AND(INDEX(輔助計算!$D:$D, (MATCH(481, 輔助計算!$G$2:$G$801, 0)+1))&lt;&gt;"", INDEX(ERP資料!$G:$G, (MATCH(481, 輔助計算!$G$2:$G$801, 0)+1))&lt;&gt;""), TRIM(IF(INT(INDEX(輔助計算!$D:$D, (MATCH(481, 輔助計算!$G$2:$G$801, 0)+1))/IF(INDEX(ERP資料!$G:$G, (MATCH(481, 輔助計算!$G$2:$G$801, 0)+1))&lt;100, IF(INDEX(ERP資料!$G:$G, (MATCH(481, 輔助計算!$G$2:$G$801, 0)+1))&lt;=31,3,IF(INDEX(ERP資料!$G:$G, (MATCH(481, 輔助計算!$G$2:$G$801, 0)+1))&lt;=46.5,2,1)), IF(INDEX(ERP資料!$G:$G, (MATCH(481, 輔助計算!$G$2:$G$801, 0)+1))&lt;=790,3,IF(INDEX(ERP資料!$G:$G, (MATCH(481, 輔助計算!$G$2:$G$801, 0)+1))&lt;=1181,2,1))))&gt;0, IF(IF(INDEX(ERP資料!$G:$G, (MATCH(481, 輔助計算!$G$2:$G$801, 0)+1))&lt;100, IF(INDEX(ERP資料!$G:$G, (MATCH(481, 輔助計算!$G$2:$G$801, 0)+1))&lt;=31,3,IF(INDEX(ERP資料!$G:$G, (MATCH(481, 輔助計算!$G$2:$G$801, 0)+1))&lt;=46.5,2,1)), IF(INDEX(ERP資料!$G:$G, (MATCH(481, 輔助計算!$G$2:$G$801, 0)+1))&lt;=790,3,IF(INDEX(ERP資料!$G:$G, (MATCH(481, 輔助計算!$G$2:$G$801, 0)+1))&lt;=1181,2,1)))=1,TEXT(INDEX(ERP資料!$G:$G, (MATCH(481, 輔助計算!$G$2:$G$801, 0)+1)),"0.##"),IF(IF(INDEX(ERP資料!$G:$G, (MATCH(481, 輔助計算!$G$2:$G$801, 0)+1))&lt;100, IF(INDEX(ERP資料!$G:$G, (MATCH(481, 輔助計算!$G$2:$G$801, 0)+1))&lt;=31,3,IF(INDEX(ERP資料!$G:$G, (MATCH(481, 輔助計算!$G$2:$G$801, 0)+1))&lt;=46.5,2,1)), IF(INDEX(ERP資料!$G:$G, (MATCH(481, 輔助計算!$G$2:$G$801, 0)+1))&lt;=790,3,IF(INDEX(ERP資料!$G:$G, (MATCH(481, 輔助計算!$G$2:$G$801, 0)+1))&lt;=1181,2,1)))=2,TEXT(INDEX(ERP資料!$G:$G, (MATCH(481, 輔助計算!$G$2:$G$801, 0)+1)),"0.##")&amp;"+"&amp;TEXT(INDEX(ERP資料!$G:$G, (MATCH(481, 輔助計算!$G$2:$G$801, 0)+1)),"0.##"),TEXT(INDEX(ERP資料!$G:$G, (MATCH(481, 輔助計算!$G$2:$G$801, 0)+1)),"0.##")&amp;"+"&amp;TEXT(INDEX(ERP資料!$G:$G, (MATCH(481, 輔助計算!$G$2:$G$801, 0)+1)),"0.##")&amp;"+"&amp;TEXT(INDEX(ERP資料!$G:$G, (MATCH(481, 輔助計算!$G$2:$G$801, 0)+1)),"0.##")))&amp;"-"&amp;INT(INDEX(輔助計算!$D:$D, (MATCH(481, 輔助計算!$G$2:$G$801, 0)+1))/IF(INDEX(ERP資料!$G:$G, (MATCH(481, 輔助計算!$G$2:$G$801, 0)+1))&lt;100, IF(INDEX(ERP資料!$G:$G, (MATCH(481, 輔助計算!$G$2:$G$801, 0)+1))&lt;=31,3,IF(INDEX(ERP資料!$G:$G, (MATCH(481, 輔助計算!$G$2:$G$801, 0)+1))&lt;=46.5,2,1)), IF(INDEX(ERP資料!$G:$G, (MATCH(481, 輔助計算!$G$2:$G$801, 0)+1))&lt;=790,3,IF(INDEX(ERP資料!$G:$G, (MATCH(481, 輔助計算!$G$2:$G$801, 0)+1))&lt;=1181,2,1)))), "")&amp;IF(AND(IF(INT(INDEX(輔助計算!$D:$D, (MATCH(481, 輔助計算!$G$2:$G$801, 0)+1))/IF(INDEX(ERP資料!$G:$G, (MATCH(481, 輔助計算!$G$2:$G$801, 0)+1))&lt;100, IF(INDEX(ERP資料!$G:$G, (MATCH(481, 輔助計算!$G$2:$G$801, 0)+1))&lt;=31,3,IF(INDEX(ERP資料!$G:$G, (MATCH(481, 輔助計算!$G$2:$G$801, 0)+1))&lt;=46.5,2,1)), IF(INDEX(ERP資料!$G:$G, (MATCH(481, 輔助計算!$G$2:$G$801, 0)+1))&lt;=790,3,IF(INDEX(ERP資料!$G:$G, (MATCH(481, 輔助計算!$G$2:$G$801, 0)+1))&lt;=1181,2,1))))&gt;0, IF(IF(INDEX(ERP資料!$G:$G, (MATCH(481, 輔助計算!$G$2:$G$801, 0)+1))&lt;100, IF(INDEX(ERP資料!$G:$G, (MATCH(481, 輔助計算!$G$2:$G$801, 0)+1))&lt;=31,3,IF(INDEX(ERP資料!$G:$G, (MATCH(481, 輔助計算!$G$2:$G$801, 0)+1))&lt;=46.5,2,1)), IF(INDEX(ERP資料!$G:$G, (MATCH(481, 輔助計算!$G$2:$G$801, 0)+1))&lt;=790,3,IF(INDEX(ERP資料!$G:$G, (MATCH(481, 輔助計算!$G$2:$G$801, 0)+1))&lt;=1181,2,1)))=1,TEXT(INDEX(ERP資料!$G:$G, (MATCH(481, 輔助計算!$G$2:$G$801, 0)+1)),"0.##"),IF(IF(INDEX(ERP資料!$G:$G, (MATCH(481, 輔助計算!$G$2:$G$801, 0)+1))&lt;100, IF(INDEX(ERP資料!$G:$G, (MATCH(481, 輔助計算!$G$2:$G$801, 0)+1))&lt;=31,3,IF(INDEX(ERP資料!$G:$G, (MATCH(481, 輔助計算!$G$2:$G$801, 0)+1))&lt;=46.5,2,1)), IF(INDEX(ERP資料!$G:$G, (MATCH(481, 輔助計算!$G$2:$G$801, 0)+1))&lt;=790,3,IF(INDEX(ERP資料!$G:$G, (MATCH(481, 輔助計算!$G$2:$G$801, 0)+1))&lt;=1181,2,1)))=2,TEXT(INDEX(ERP資料!$G:$G, (MATCH(481, 輔助計算!$G$2:$G$801, 0)+1)),"0.##")&amp;"+"&amp;TEXT(INDEX(ERP資料!$G:$G, (MATCH(481, 輔助計算!$G$2:$G$801, 0)+1)),"0.##"),TEXT(INDEX(ERP資料!$G:$G, (MATCH(481, 輔助計算!$G$2:$G$801, 0)+1)),"0.##")&amp;"+"&amp;TEXT(INDEX(ERP資料!$G:$G, (MATCH(481, 輔助計算!$G$2:$G$801, 0)+1)),"0.##")&amp;"+"&amp;TEXT(INDEX(ERP資料!$G:$G, (MATCH(481, 輔助計算!$G$2:$G$801, 0)+1)),"0.##")))&amp;"-"&amp;INT(INDEX(輔助計算!$D:$D, (MATCH(481, 輔助計算!$G$2:$G$801, 0)+1))/IF(INDEX(ERP資料!$G:$G, (MATCH(481, 輔助計算!$G$2:$G$801, 0)+1))&lt;100, IF(INDEX(ERP資料!$G:$G, (MATCH(481, 輔助計算!$G$2:$G$801, 0)+1))&lt;=31,3,IF(INDEX(ERP資料!$G:$G, (MATCH(481, 輔助計算!$G$2:$G$801, 0)+1))&lt;=46.5,2,1)), IF(INDEX(ERP資料!$G:$G, (MATCH(481, 輔助計算!$G$2:$G$801, 0)+1))&lt;=790,3,IF(INDEX(ERP資料!$G:$G, (MATCH(481, 輔助計算!$G$2:$G$801, 0)+1))&lt;=1181,2,1)))), "")&lt;&gt;"",IF(MOD(INDEX(輔助計算!$D:$D, (MATCH(481, 輔助計算!$G$2:$G$801, 0)+1)),IF(INDEX(ERP資料!$G:$G, (MATCH(481, 輔助計算!$G$2:$G$801, 0)+1))&lt;100, IF(INDEX(ERP資料!$G:$G, (MATCH(481, 輔助計算!$G$2:$G$801, 0)+1))&lt;=31,3,IF(INDEX(ERP資料!$G:$G, (MATCH(481, 輔助計算!$G$2:$G$801, 0)+1))&lt;=46.5,2,1)), IF(INDEX(ERP資料!$G:$G, (MATCH(481, 輔助計算!$G$2:$G$801, 0)+1))&lt;=790,3,IF(INDEX(ERP資料!$G:$G, (MATCH(481, 輔助計算!$G$2:$G$801, 0)+1))&lt;=1181,2,1))))=0,"",IF(MOD(INDEX(輔助計算!$D:$D, (MATCH(481, 輔助計算!$G$2:$G$801, 0)+1)),IF(INDEX(ERP資料!$G:$G, (MATCH(481, 輔助計算!$G$2:$G$801, 0)+1))&lt;100, IF(INDEX(ERP資料!$G:$G, (MATCH(481, 輔助計算!$G$2:$G$801, 0)+1))&lt;=31,3,IF(INDEX(ERP資料!$G:$G, (MATCH(481, 輔助計算!$G$2:$G$801, 0)+1))&lt;=46.5,2,1)), IF(INDEX(ERP資料!$G:$G, (MATCH(481, 輔助計算!$G$2:$G$801, 0)+1))&lt;=790,3,IF(INDEX(ERP資料!$G:$G, (MATCH(481, 輔助計算!$G$2:$G$801, 0)+1))&lt;=1181,2,1))))=0,"",IF(MOD(INDEX(輔助計算!$D:$D, (MATCH(481, 輔助計算!$G$2:$G$801, 0)+1)),IF(INDEX(ERP資料!$G:$G, (MATCH(481, 輔助計算!$G$2:$G$801, 0)+1))&lt;100, IF(INDEX(ERP資料!$G:$G, (MATCH(481, 輔助計算!$G$2:$G$801, 0)+1))&lt;=31,3,IF(INDEX(ERP資料!$G:$G, (MATCH(481, 輔助計算!$G$2:$G$801, 0)+1))&lt;=46.5,2,1)), IF(INDEX(ERP資料!$G:$G, (MATCH(481, 輔助計算!$G$2:$G$801, 0)+1))&lt;=790,3,IF(INDEX(ERP資料!$G:$G, (MATCH(481, 輔助計算!$G$2:$G$801, 0)+1))&lt;=1181,2,1))))=1,TEXT(INDEX(ERP資料!$G:$G, (MATCH(481, 輔助計算!$G$2:$G$801, 0)+1)),"0.##"),IF(MOD(INDEX(輔助計算!$D:$D, (MATCH(481, 輔助計算!$G$2:$G$801, 0)+1)),IF(INDEX(ERP資料!$G:$G, (MATCH(481, 輔助計算!$G$2:$G$801, 0)+1))&lt;100, IF(INDEX(ERP資料!$G:$G, (MATCH(481, 輔助計算!$G$2:$G$801, 0)+1))&lt;=31,3,IF(INDEX(ERP資料!$G:$G, (MATCH(481, 輔助計算!$G$2:$G$801, 0)+1))&lt;=46.5,2,1)), IF(INDEX(ERP資料!$G:$G, (MATCH(481, 輔助計算!$G$2:$G$801, 0)+1))&lt;=790,3,IF(INDEX(ERP資料!$G:$G, (MATCH(481, 輔助計算!$G$2:$G$801, 0)+1))&lt;=1181,2,1))))=2,TEXT(INDEX(ERP資料!$G:$G, (MATCH(481, 輔助計算!$G$2:$G$801, 0)+1)),"0.##")&amp;"+"&amp;TEXT(INDEX(ERP資料!$G:$G, (MATCH(481, 輔助計算!$G$2:$G$801, 0)+1)),"0.##"),TEXT(INDEX(ERP資料!$G:$G, (MATCH(481, 輔助計算!$G$2:$G$801, 0)+1)),"0.##")&amp;"+"&amp;TEXT(INDEX(ERP資料!$G:$G, (MATCH(481, 輔助計算!$G$2:$G$801, 0)+1)),"0.##")&amp;"+"&amp;TEXT(INDEX(ERP資料!$G:$G, (MATCH(481, 輔助計算!$G$2:$G$801, 0)+1)),"0.##"))))&amp;"-1")&lt;&gt;""),"  ","")&amp;IF(MOD(INDEX(輔助計算!$D:$D, (MATCH(481, 輔助計算!$G$2:$G$801, 0)+1)),IF(INDEX(ERP資料!$G:$G, (MATCH(481, 輔助計算!$G$2:$G$801, 0)+1))&lt;100, IF(INDEX(ERP資料!$G:$G, (MATCH(481, 輔助計算!$G$2:$G$801, 0)+1))&lt;=31,3,IF(INDEX(ERP資料!$G:$G, (MATCH(481, 輔助計算!$G$2:$G$801, 0)+1))&lt;=46.5,2,1)), IF(INDEX(ERP資料!$G:$G, (MATCH(481, 輔助計算!$G$2:$G$801, 0)+1))&lt;=790,3,IF(INDEX(ERP資料!$G:$G, (MATCH(481, 輔助計算!$G$2:$G$801, 0)+1))&lt;=1181,2,1))))=0,"",IF(MOD(INDEX(輔助計算!$D:$D, (MATCH(481, 輔助計算!$G$2:$G$801, 0)+1)),IF(INDEX(ERP資料!$G:$G, (MATCH(481, 輔助計算!$G$2:$G$801, 0)+1))&lt;100, IF(INDEX(ERP資料!$G:$G, (MATCH(481, 輔助計算!$G$2:$G$801, 0)+1))&lt;=31,3,IF(INDEX(ERP資料!$G:$G, (MATCH(481, 輔助計算!$G$2:$G$801, 0)+1))&lt;=46.5,2,1)), IF(INDEX(ERP資料!$G:$G, (MATCH(481, 輔助計算!$G$2:$G$801, 0)+1))&lt;=790,3,IF(INDEX(ERP資料!$G:$G, (MATCH(481, 輔助計算!$G$2:$G$801, 0)+1))&lt;=1181,2,1))))=0,"",IF(MOD(INDEX(輔助計算!$D:$D, (MATCH(481, 輔助計算!$G$2:$G$801, 0)+1)),IF(INDEX(ERP資料!$G:$G, (MATCH(481, 輔助計算!$G$2:$G$801, 0)+1))&lt;100, IF(INDEX(ERP資料!$G:$G, (MATCH(481, 輔助計算!$G$2:$G$801, 0)+1))&lt;=31,3,IF(INDEX(ERP資料!$G:$G, (MATCH(481, 輔助計算!$G$2:$G$801, 0)+1))&lt;=46.5,2,1)), IF(INDEX(ERP資料!$G:$G, (MATCH(481, 輔助計算!$G$2:$G$801, 0)+1))&lt;=790,3,IF(INDEX(ERP資料!$G:$G, (MATCH(481, 輔助計算!$G$2:$G$801, 0)+1))&lt;=1181,2,1))))=1,TEXT(INDEX(ERP資料!$G:$G, (MATCH(481, 輔助計算!$G$2:$G$801, 0)+1)),"0.##"),IF(MOD(INDEX(輔助計算!$D:$D, (MATCH(481, 輔助計算!$G$2:$G$801, 0)+1)),IF(INDEX(ERP資料!$G:$G, (MATCH(481, 輔助計算!$G$2:$G$801, 0)+1))&lt;100, IF(INDEX(ERP資料!$G:$G, (MATCH(481, 輔助計算!$G$2:$G$801, 0)+1))&lt;=31,3,IF(INDEX(ERP資料!$G:$G, (MATCH(481, 輔助計算!$G$2:$G$801, 0)+1))&lt;=46.5,2,1)), IF(INDEX(ERP資料!$G:$G, (MATCH(481, 輔助計算!$G$2:$G$801, 0)+1))&lt;=790,3,IF(INDEX(ERP資料!$G:$G, (MATCH(481, 輔助計算!$G$2:$G$801, 0)+1))&lt;=1181,2,1))))=2,TEXT(INDEX(ERP資料!$G:$G, (MATCH(481, 輔助計算!$G$2:$G$801, 0)+1)),"0.##")&amp;"+"&amp;TEXT(INDEX(ERP資料!$G:$G, (MATCH(481, 輔助計算!$G$2:$G$801, 0)+1)),"0.##"),TEXT(INDEX(ERP資料!$G:$G, (MATCH(481, 輔助計算!$G$2:$G$801, 0)+1)),"0.##")&amp;"+"&amp;TEXT(INDEX(ERP資料!$G:$G, (MATCH(481, 輔助計算!$G$2:$G$801, 0)+1)),"0.##")&amp;"+"&amp;TEXT(INDEX(ERP資料!$G:$G, (MATCH(481, 輔助計算!$G$2:$G$801, 0)+1)),"0.##"))))&amp;"-1")), ""), "")</f>
        <v/>
      </c>
      <c r="K482" s="16" t="n"/>
      <c r="L482" s="14">
        <f>IFERROR(IF(AND(IFERROR(INDEX(ERP資料!$A:$A, (MATCH(481, 輔助計算!$G$2:$G$801, 0)+1)), "")&lt;&gt;"", IFERROR(INDEX(ERP資料!$A:$A, (MATCH(481, 輔助計算!$G$2:$G$801, 0)+1)), "")&lt;&gt;IFERROR(INDEX(ERP資料!$A:$A, MATCH(480, 輔助計算!$G$2:$G$801, 0)+1), "")), INDEX(ERP資料!$B:$B, (MATCH(481, 輔助計算!$G$2:$G$801, 0)+1)), ""), "")</f>
        <v/>
      </c>
      <c r="M482" s="17" t="n"/>
    </row>
    <row r="483">
      <c r="A483" s="10">
        <f>IFERROR(IF(AND(IFERROR(INDEX(ERP資料!$A:$A, (MATCH(482, 輔助計算!$G$2:$G$801, 0)+1)), "")&lt;&gt;"", IFERROR(INDEX(ERP資料!$A:$A, (MATCH(482, 輔助計算!$G$2:$G$801, 0)+1)), "")&lt;&gt;IFERROR(INDEX(ERP資料!$A:$A, MATCH(481, 輔助計算!$G$2:$G$801, 0)+1), "")), IFERROR(INDEX(ERP資料!$A:$A, (MATCH(482, 輔助計算!$G$2:$G$801, 0)+1)), ""), ""), "")</f>
        <v/>
      </c>
      <c r="B483" s="10">
        <f>IFERROR(IF(AND(IFERROR(INDEX(ERP資料!$A:$A, (MATCH(482, 輔助計算!$G$2:$G$801, 0)+1)), "")&lt;&gt;"", IFERROR(INDEX(ERP資料!$A:$A, (MATCH(482, 輔助計算!$G$2:$G$801, 0)+1)), "")&lt;&gt;IFERROR(INDEX(ERP資料!$A:$A, MATCH(481, 輔助計算!$G$2:$G$801, 0)+1), "")), INDEX(ERP資料!$S:$S, (MATCH(482, 輔助計算!$G$2:$G$801, 0)+1)), ""), "")</f>
        <v/>
      </c>
      <c r="C483" s="19">
        <f>IFERROR(IF(AND(IFERROR(INDEX(ERP資料!$A:$A, (MATCH(482, 輔助計算!$G$2:$G$801, 0)+1)), "")&lt;&gt;"", IFERROR(INDEX(ERP資料!$A:$A, (MATCH(482, 輔助計算!$G$2:$G$801, 0)+1)), "")&lt;&gt;IFERROR(INDEX(ERP資料!$A:$A, MATCH(481, 輔助計算!$G$2:$G$801, 0)+1), "")), IFERROR(VLOOKUP(LEFT(INDEX(ERP資料!$S:$S, (MATCH(482, 輔助計算!$G$2:$G$801, 0)+1)), 4), 紙管對照表!$A:$C, 3, FALSE), ""), ""), "")</f>
        <v/>
      </c>
      <c r="D483" s="16" t="n"/>
      <c r="E483" s="10">
        <f>IFERROR(IF(INDEX(ERP資料!$H:$H, (MATCH(482, 輔助計算!$G$2:$G$801, 0)+1))="","",INDEX(ERP資料!$H:$H, (MATCH(482, 輔助計算!$G$2:$G$801, 0)+1))), "")</f>
        <v/>
      </c>
      <c r="F483" s="10">
        <f>IFERROR(IF(INDEX(ERP資料!$E:$E, (MATCH(482, 輔助計算!$G$2:$G$801, 0)+1))="","",TRIM(INDEX(ERP資料!$E:$E, (MATCH(482, 輔助計算!$G$2:$G$801, 0)+1)))), "")</f>
        <v/>
      </c>
      <c r="G483" s="10">
        <f>IFERROR(IF(INDEX(ERP資料!$F:$F, (MATCH(482, 輔助計算!$G$2:$G$801, 0)+1))="","",INDEX(ERP資料!$F:$F, (MATCH(482, 輔助計算!$G$2:$G$801, 0)+1))), "")</f>
        <v/>
      </c>
      <c r="H483" s="10">
        <f>IFERROR(IF(INDEX(ERP資料!$G:$G, (MATCH(482, 輔助計算!$G$2:$G$801, 0)+1))="","",INDEX(ERP資料!$G:$G, (MATCH(482, 輔助計算!$G$2:$G$801, 0)+1))), "")</f>
        <v/>
      </c>
      <c r="I483" s="15">
        <f>IFERROR(INDEX(輔助計算!$D:$D, (MATCH(482, 輔助計算!$G$2:$G$801, 0)+1)), "")</f>
        <v/>
      </c>
      <c r="J483" s="15">
        <f>IFERROR(IF(AND(INDEX(輔助計算!$D:$D, (MATCH(482, 輔助計算!$G$2:$G$801, 0)+1))&lt;&gt;"", INDEX(ERP資料!$G:$G, (MATCH(482, 輔助計算!$G$2:$G$801, 0)+1))&lt;&gt;""), TRIM(IF(INT(INDEX(輔助計算!$D:$D, (MATCH(482, 輔助計算!$G$2:$G$801, 0)+1))/IF(INDEX(ERP資料!$G:$G, (MATCH(482, 輔助計算!$G$2:$G$801, 0)+1))&lt;100, IF(INDEX(ERP資料!$G:$G, (MATCH(482, 輔助計算!$G$2:$G$801, 0)+1))&lt;=31,3,IF(INDEX(ERP資料!$G:$G, (MATCH(482, 輔助計算!$G$2:$G$801, 0)+1))&lt;=46.5,2,1)), IF(INDEX(ERP資料!$G:$G, (MATCH(482, 輔助計算!$G$2:$G$801, 0)+1))&lt;=790,3,IF(INDEX(ERP資料!$G:$G, (MATCH(482, 輔助計算!$G$2:$G$801, 0)+1))&lt;=1181,2,1))))&gt;0, IF(IF(INDEX(ERP資料!$G:$G, (MATCH(482, 輔助計算!$G$2:$G$801, 0)+1))&lt;100, IF(INDEX(ERP資料!$G:$G, (MATCH(482, 輔助計算!$G$2:$G$801, 0)+1))&lt;=31,3,IF(INDEX(ERP資料!$G:$G, (MATCH(482, 輔助計算!$G$2:$G$801, 0)+1))&lt;=46.5,2,1)), IF(INDEX(ERP資料!$G:$G, (MATCH(482, 輔助計算!$G$2:$G$801, 0)+1))&lt;=790,3,IF(INDEX(ERP資料!$G:$G, (MATCH(482, 輔助計算!$G$2:$G$801, 0)+1))&lt;=1181,2,1)))=1,TEXT(INDEX(ERP資料!$G:$G, (MATCH(482, 輔助計算!$G$2:$G$801, 0)+1)),"0.##"),IF(IF(INDEX(ERP資料!$G:$G, (MATCH(482, 輔助計算!$G$2:$G$801, 0)+1))&lt;100, IF(INDEX(ERP資料!$G:$G, (MATCH(482, 輔助計算!$G$2:$G$801, 0)+1))&lt;=31,3,IF(INDEX(ERP資料!$G:$G, (MATCH(482, 輔助計算!$G$2:$G$801, 0)+1))&lt;=46.5,2,1)), IF(INDEX(ERP資料!$G:$G, (MATCH(482, 輔助計算!$G$2:$G$801, 0)+1))&lt;=790,3,IF(INDEX(ERP資料!$G:$G, (MATCH(482, 輔助計算!$G$2:$G$801, 0)+1))&lt;=1181,2,1)))=2,TEXT(INDEX(ERP資料!$G:$G, (MATCH(482, 輔助計算!$G$2:$G$801, 0)+1)),"0.##")&amp;"+"&amp;TEXT(INDEX(ERP資料!$G:$G, (MATCH(482, 輔助計算!$G$2:$G$801, 0)+1)),"0.##"),TEXT(INDEX(ERP資料!$G:$G, (MATCH(482, 輔助計算!$G$2:$G$801, 0)+1)),"0.##")&amp;"+"&amp;TEXT(INDEX(ERP資料!$G:$G, (MATCH(482, 輔助計算!$G$2:$G$801, 0)+1)),"0.##")&amp;"+"&amp;TEXT(INDEX(ERP資料!$G:$G, (MATCH(482, 輔助計算!$G$2:$G$801, 0)+1)),"0.##")))&amp;"-"&amp;INT(INDEX(輔助計算!$D:$D, (MATCH(482, 輔助計算!$G$2:$G$801, 0)+1))/IF(INDEX(ERP資料!$G:$G, (MATCH(482, 輔助計算!$G$2:$G$801, 0)+1))&lt;100, IF(INDEX(ERP資料!$G:$G, (MATCH(482, 輔助計算!$G$2:$G$801, 0)+1))&lt;=31,3,IF(INDEX(ERP資料!$G:$G, (MATCH(482, 輔助計算!$G$2:$G$801, 0)+1))&lt;=46.5,2,1)), IF(INDEX(ERP資料!$G:$G, (MATCH(482, 輔助計算!$G$2:$G$801, 0)+1))&lt;=790,3,IF(INDEX(ERP資料!$G:$G, (MATCH(482, 輔助計算!$G$2:$G$801, 0)+1))&lt;=1181,2,1)))), "")&amp;IF(AND(IF(INT(INDEX(輔助計算!$D:$D, (MATCH(482, 輔助計算!$G$2:$G$801, 0)+1))/IF(INDEX(ERP資料!$G:$G, (MATCH(482, 輔助計算!$G$2:$G$801, 0)+1))&lt;100, IF(INDEX(ERP資料!$G:$G, (MATCH(482, 輔助計算!$G$2:$G$801, 0)+1))&lt;=31,3,IF(INDEX(ERP資料!$G:$G, (MATCH(482, 輔助計算!$G$2:$G$801, 0)+1))&lt;=46.5,2,1)), IF(INDEX(ERP資料!$G:$G, (MATCH(482, 輔助計算!$G$2:$G$801, 0)+1))&lt;=790,3,IF(INDEX(ERP資料!$G:$G, (MATCH(482, 輔助計算!$G$2:$G$801, 0)+1))&lt;=1181,2,1))))&gt;0, IF(IF(INDEX(ERP資料!$G:$G, (MATCH(482, 輔助計算!$G$2:$G$801, 0)+1))&lt;100, IF(INDEX(ERP資料!$G:$G, (MATCH(482, 輔助計算!$G$2:$G$801, 0)+1))&lt;=31,3,IF(INDEX(ERP資料!$G:$G, (MATCH(482, 輔助計算!$G$2:$G$801, 0)+1))&lt;=46.5,2,1)), IF(INDEX(ERP資料!$G:$G, (MATCH(482, 輔助計算!$G$2:$G$801, 0)+1))&lt;=790,3,IF(INDEX(ERP資料!$G:$G, (MATCH(482, 輔助計算!$G$2:$G$801, 0)+1))&lt;=1181,2,1)))=1,TEXT(INDEX(ERP資料!$G:$G, (MATCH(482, 輔助計算!$G$2:$G$801, 0)+1)),"0.##"),IF(IF(INDEX(ERP資料!$G:$G, (MATCH(482, 輔助計算!$G$2:$G$801, 0)+1))&lt;100, IF(INDEX(ERP資料!$G:$G, (MATCH(482, 輔助計算!$G$2:$G$801, 0)+1))&lt;=31,3,IF(INDEX(ERP資料!$G:$G, (MATCH(482, 輔助計算!$G$2:$G$801, 0)+1))&lt;=46.5,2,1)), IF(INDEX(ERP資料!$G:$G, (MATCH(482, 輔助計算!$G$2:$G$801, 0)+1))&lt;=790,3,IF(INDEX(ERP資料!$G:$G, (MATCH(482, 輔助計算!$G$2:$G$801, 0)+1))&lt;=1181,2,1)))=2,TEXT(INDEX(ERP資料!$G:$G, (MATCH(482, 輔助計算!$G$2:$G$801, 0)+1)),"0.##")&amp;"+"&amp;TEXT(INDEX(ERP資料!$G:$G, (MATCH(482, 輔助計算!$G$2:$G$801, 0)+1)),"0.##"),TEXT(INDEX(ERP資料!$G:$G, (MATCH(482, 輔助計算!$G$2:$G$801, 0)+1)),"0.##")&amp;"+"&amp;TEXT(INDEX(ERP資料!$G:$G, (MATCH(482, 輔助計算!$G$2:$G$801, 0)+1)),"0.##")&amp;"+"&amp;TEXT(INDEX(ERP資料!$G:$G, (MATCH(482, 輔助計算!$G$2:$G$801, 0)+1)),"0.##")))&amp;"-"&amp;INT(INDEX(輔助計算!$D:$D, (MATCH(482, 輔助計算!$G$2:$G$801, 0)+1))/IF(INDEX(ERP資料!$G:$G, (MATCH(482, 輔助計算!$G$2:$G$801, 0)+1))&lt;100, IF(INDEX(ERP資料!$G:$G, (MATCH(482, 輔助計算!$G$2:$G$801, 0)+1))&lt;=31,3,IF(INDEX(ERP資料!$G:$G, (MATCH(482, 輔助計算!$G$2:$G$801, 0)+1))&lt;=46.5,2,1)), IF(INDEX(ERP資料!$G:$G, (MATCH(482, 輔助計算!$G$2:$G$801, 0)+1))&lt;=790,3,IF(INDEX(ERP資料!$G:$G, (MATCH(482, 輔助計算!$G$2:$G$801, 0)+1))&lt;=1181,2,1)))), "")&lt;&gt;"",IF(MOD(INDEX(輔助計算!$D:$D, (MATCH(482, 輔助計算!$G$2:$G$801, 0)+1)),IF(INDEX(ERP資料!$G:$G, (MATCH(482, 輔助計算!$G$2:$G$801, 0)+1))&lt;100, IF(INDEX(ERP資料!$G:$G, (MATCH(482, 輔助計算!$G$2:$G$801, 0)+1))&lt;=31,3,IF(INDEX(ERP資料!$G:$G, (MATCH(482, 輔助計算!$G$2:$G$801, 0)+1))&lt;=46.5,2,1)), IF(INDEX(ERP資料!$G:$G, (MATCH(482, 輔助計算!$G$2:$G$801, 0)+1))&lt;=790,3,IF(INDEX(ERP資料!$G:$G, (MATCH(482, 輔助計算!$G$2:$G$801, 0)+1))&lt;=1181,2,1))))=0,"",IF(MOD(INDEX(輔助計算!$D:$D, (MATCH(482, 輔助計算!$G$2:$G$801, 0)+1)),IF(INDEX(ERP資料!$G:$G, (MATCH(482, 輔助計算!$G$2:$G$801, 0)+1))&lt;100, IF(INDEX(ERP資料!$G:$G, (MATCH(482, 輔助計算!$G$2:$G$801, 0)+1))&lt;=31,3,IF(INDEX(ERP資料!$G:$G, (MATCH(482, 輔助計算!$G$2:$G$801, 0)+1))&lt;=46.5,2,1)), IF(INDEX(ERP資料!$G:$G, (MATCH(482, 輔助計算!$G$2:$G$801, 0)+1))&lt;=790,3,IF(INDEX(ERP資料!$G:$G, (MATCH(482, 輔助計算!$G$2:$G$801, 0)+1))&lt;=1181,2,1))))=0,"",IF(MOD(INDEX(輔助計算!$D:$D, (MATCH(482, 輔助計算!$G$2:$G$801, 0)+1)),IF(INDEX(ERP資料!$G:$G, (MATCH(482, 輔助計算!$G$2:$G$801, 0)+1))&lt;100, IF(INDEX(ERP資料!$G:$G, (MATCH(482, 輔助計算!$G$2:$G$801, 0)+1))&lt;=31,3,IF(INDEX(ERP資料!$G:$G, (MATCH(482, 輔助計算!$G$2:$G$801, 0)+1))&lt;=46.5,2,1)), IF(INDEX(ERP資料!$G:$G, (MATCH(482, 輔助計算!$G$2:$G$801, 0)+1))&lt;=790,3,IF(INDEX(ERP資料!$G:$G, (MATCH(482, 輔助計算!$G$2:$G$801, 0)+1))&lt;=1181,2,1))))=1,TEXT(INDEX(ERP資料!$G:$G, (MATCH(482, 輔助計算!$G$2:$G$801, 0)+1)),"0.##"),IF(MOD(INDEX(輔助計算!$D:$D, (MATCH(482, 輔助計算!$G$2:$G$801, 0)+1)),IF(INDEX(ERP資料!$G:$G, (MATCH(482, 輔助計算!$G$2:$G$801, 0)+1))&lt;100, IF(INDEX(ERP資料!$G:$G, (MATCH(482, 輔助計算!$G$2:$G$801, 0)+1))&lt;=31,3,IF(INDEX(ERP資料!$G:$G, (MATCH(482, 輔助計算!$G$2:$G$801, 0)+1))&lt;=46.5,2,1)), IF(INDEX(ERP資料!$G:$G, (MATCH(482, 輔助計算!$G$2:$G$801, 0)+1))&lt;=790,3,IF(INDEX(ERP資料!$G:$G, (MATCH(482, 輔助計算!$G$2:$G$801, 0)+1))&lt;=1181,2,1))))=2,TEXT(INDEX(ERP資料!$G:$G, (MATCH(482, 輔助計算!$G$2:$G$801, 0)+1)),"0.##")&amp;"+"&amp;TEXT(INDEX(ERP資料!$G:$G, (MATCH(482, 輔助計算!$G$2:$G$801, 0)+1)),"0.##"),TEXT(INDEX(ERP資料!$G:$G, (MATCH(482, 輔助計算!$G$2:$G$801, 0)+1)),"0.##")&amp;"+"&amp;TEXT(INDEX(ERP資料!$G:$G, (MATCH(482, 輔助計算!$G$2:$G$801, 0)+1)),"0.##")&amp;"+"&amp;TEXT(INDEX(ERP資料!$G:$G, (MATCH(482, 輔助計算!$G$2:$G$801, 0)+1)),"0.##"))))&amp;"-1")&lt;&gt;""),"  ","")&amp;IF(MOD(INDEX(輔助計算!$D:$D, (MATCH(482, 輔助計算!$G$2:$G$801, 0)+1)),IF(INDEX(ERP資料!$G:$G, (MATCH(482, 輔助計算!$G$2:$G$801, 0)+1))&lt;100, IF(INDEX(ERP資料!$G:$G, (MATCH(482, 輔助計算!$G$2:$G$801, 0)+1))&lt;=31,3,IF(INDEX(ERP資料!$G:$G, (MATCH(482, 輔助計算!$G$2:$G$801, 0)+1))&lt;=46.5,2,1)), IF(INDEX(ERP資料!$G:$G, (MATCH(482, 輔助計算!$G$2:$G$801, 0)+1))&lt;=790,3,IF(INDEX(ERP資料!$G:$G, (MATCH(482, 輔助計算!$G$2:$G$801, 0)+1))&lt;=1181,2,1))))=0,"",IF(MOD(INDEX(輔助計算!$D:$D, (MATCH(482, 輔助計算!$G$2:$G$801, 0)+1)),IF(INDEX(ERP資料!$G:$G, (MATCH(482, 輔助計算!$G$2:$G$801, 0)+1))&lt;100, IF(INDEX(ERP資料!$G:$G, (MATCH(482, 輔助計算!$G$2:$G$801, 0)+1))&lt;=31,3,IF(INDEX(ERP資料!$G:$G, (MATCH(482, 輔助計算!$G$2:$G$801, 0)+1))&lt;=46.5,2,1)), IF(INDEX(ERP資料!$G:$G, (MATCH(482, 輔助計算!$G$2:$G$801, 0)+1))&lt;=790,3,IF(INDEX(ERP資料!$G:$G, (MATCH(482, 輔助計算!$G$2:$G$801, 0)+1))&lt;=1181,2,1))))=0,"",IF(MOD(INDEX(輔助計算!$D:$D, (MATCH(482, 輔助計算!$G$2:$G$801, 0)+1)),IF(INDEX(ERP資料!$G:$G, (MATCH(482, 輔助計算!$G$2:$G$801, 0)+1))&lt;100, IF(INDEX(ERP資料!$G:$G, (MATCH(482, 輔助計算!$G$2:$G$801, 0)+1))&lt;=31,3,IF(INDEX(ERP資料!$G:$G, (MATCH(482, 輔助計算!$G$2:$G$801, 0)+1))&lt;=46.5,2,1)), IF(INDEX(ERP資料!$G:$G, (MATCH(482, 輔助計算!$G$2:$G$801, 0)+1))&lt;=790,3,IF(INDEX(ERP資料!$G:$G, (MATCH(482, 輔助計算!$G$2:$G$801, 0)+1))&lt;=1181,2,1))))=1,TEXT(INDEX(ERP資料!$G:$G, (MATCH(482, 輔助計算!$G$2:$G$801, 0)+1)),"0.##"),IF(MOD(INDEX(輔助計算!$D:$D, (MATCH(482, 輔助計算!$G$2:$G$801, 0)+1)),IF(INDEX(ERP資料!$G:$G, (MATCH(482, 輔助計算!$G$2:$G$801, 0)+1))&lt;100, IF(INDEX(ERP資料!$G:$G, (MATCH(482, 輔助計算!$G$2:$G$801, 0)+1))&lt;=31,3,IF(INDEX(ERP資料!$G:$G, (MATCH(482, 輔助計算!$G$2:$G$801, 0)+1))&lt;=46.5,2,1)), IF(INDEX(ERP資料!$G:$G, (MATCH(482, 輔助計算!$G$2:$G$801, 0)+1))&lt;=790,3,IF(INDEX(ERP資料!$G:$G, (MATCH(482, 輔助計算!$G$2:$G$801, 0)+1))&lt;=1181,2,1))))=2,TEXT(INDEX(ERP資料!$G:$G, (MATCH(482, 輔助計算!$G$2:$G$801, 0)+1)),"0.##")&amp;"+"&amp;TEXT(INDEX(ERP資料!$G:$G, (MATCH(482, 輔助計算!$G$2:$G$801, 0)+1)),"0.##"),TEXT(INDEX(ERP資料!$G:$G, (MATCH(482, 輔助計算!$G$2:$G$801, 0)+1)),"0.##")&amp;"+"&amp;TEXT(INDEX(ERP資料!$G:$G, (MATCH(482, 輔助計算!$G$2:$G$801, 0)+1)),"0.##")&amp;"+"&amp;TEXT(INDEX(ERP資料!$G:$G, (MATCH(482, 輔助計算!$G$2:$G$801, 0)+1)),"0.##"))))&amp;"-1")), ""), "")</f>
        <v/>
      </c>
      <c r="K483" s="16" t="n"/>
      <c r="L483" s="14">
        <f>IFERROR(IF(AND(IFERROR(INDEX(ERP資料!$A:$A, (MATCH(482, 輔助計算!$G$2:$G$801, 0)+1)), "")&lt;&gt;"", IFERROR(INDEX(ERP資料!$A:$A, (MATCH(482, 輔助計算!$G$2:$G$801, 0)+1)), "")&lt;&gt;IFERROR(INDEX(ERP資料!$A:$A, MATCH(481, 輔助計算!$G$2:$G$801, 0)+1), "")), INDEX(ERP資料!$B:$B, (MATCH(482, 輔助計算!$G$2:$G$801, 0)+1)), ""), "")</f>
        <v/>
      </c>
      <c r="M483" s="17" t="n"/>
    </row>
    <row r="484">
      <c r="A484" s="10">
        <f>IFERROR(IF(AND(IFERROR(INDEX(ERP資料!$A:$A, (MATCH(483, 輔助計算!$G$2:$G$801, 0)+1)), "")&lt;&gt;"", IFERROR(INDEX(ERP資料!$A:$A, (MATCH(483, 輔助計算!$G$2:$G$801, 0)+1)), "")&lt;&gt;IFERROR(INDEX(ERP資料!$A:$A, MATCH(482, 輔助計算!$G$2:$G$801, 0)+1), "")), IFERROR(INDEX(ERP資料!$A:$A, (MATCH(483, 輔助計算!$G$2:$G$801, 0)+1)), ""), ""), "")</f>
        <v/>
      </c>
      <c r="B484" s="10">
        <f>IFERROR(IF(AND(IFERROR(INDEX(ERP資料!$A:$A, (MATCH(483, 輔助計算!$G$2:$G$801, 0)+1)), "")&lt;&gt;"", IFERROR(INDEX(ERP資料!$A:$A, (MATCH(483, 輔助計算!$G$2:$G$801, 0)+1)), "")&lt;&gt;IFERROR(INDEX(ERP資料!$A:$A, MATCH(482, 輔助計算!$G$2:$G$801, 0)+1), "")), INDEX(ERP資料!$S:$S, (MATCH(483, 輔助計算!$G$2:$G$801, 0)+1)), ""), "")</f>
        <v/>
      </c>
      <c r="C484" s="19">
        <f>IFERROR(IF(AND(IFERROR(INDEX(ERP資料!$A:$A, (MATCH(483, 輔助計算!$G$2:$G$801, 0)+1)), "")&lt;&gt;"", IFERROR(INDEX(ERP資料!$A:$A, (MATCH(483, 輔助計算!$G$2:$G$801, 0)+1)), "")&lt;&gt;IFERROR(INDEX(ERP資料!$A:$A, MATCH(482, 輔助計算!$G$2:$G$801, 0)+1), "")), IFERROR(VLOOKUP(LEFT(INDEX(ERP資料!$S:$S, (MATCH(483, 輔助計算!$G$2:$G$801, 0)+1)), 4), 紙管對照表!$A:$C, 3, FALSE), ""), ""), "")</f>
        <v/>
      </c>
      <c r="D484" s="16" t="n"/>
      <c r="E484" s="10">
        <f>IFERROR(IF(INDEX(ERP資料!$H:$H, (MATCH(483, 輔助計算!$G$2:$G$801, 0)+1))="","",INDEX(ERP資料!$H:$H, (MATCH(483, 輔助計算!$G$2:$G$801, 0)+1))), "")</f>
        <v/>
      </c>
      <c r="F484" s="10">
        <f>IFERROR(IF(INDEX(ERP資料!$E:$E, (MATCH(483, 輔助計算!$G$2:$G$801, 0)+1))="","",TRIM(INDEX(ERP資料!$E:$E, (MATCH(483, 輔助計算!$G$2:$G$801, 0)+1)))), "")</f>
        <v/>
      </c>
      <c r="G484" s="10">
        <f>IFERROR(IF(INDEX(ERP資料!$F:$F, (MATCH(483, 輔助計算!$G$2:$G$801, 0)+1))="","",INDEX(ERP資料!$F:$F, (MATCH(483, 輔助計算!$G$2:$G$801, 0)+1))), "")</f>
        <v/>
      </c>
      <c r="H484" s="10">
        <f>IFERROR(IF(INDEX(ERP資料!$G:$G, (MATCH(483, 輔助計算!$G$2:$G$801, 0)+1))="","",INDEX(ERP資料!$G:$G, (MATCH(483, 輔助計算!$G$2:$G$801, 0)+1))), "")</f>
        <v/>
      </c>
      <c r="I484" s="15">
        <f>IFERROR(INDEX(輔助計算!$D:$D, (MATCH(483, 輔助計算!$G$2:$G$801, 0)+1)), "")</f>
        <v/>
      </c>
      <c r="J484" s="15">
        <f>IFERROR(IF(AND(INDEX(輔助計算!$D:$D, (MATCH(483, 輔助計算!$G$2:$G$801, 0)+1))&lt;&gt;"", INDEX(ERP資料!$G:$G, (MATCH(483, 輔助計算!$G$2:$G$801, 0)+1))&lt;&gt;""), TRIM(IF(INT(INDEX(輔助計算!$D:$D, (MATCH(483, 輔助計算!$G$2:$G$801, 0)+1))/IF(INDEX(ERP資料!$G:$G, (MATCH(483, 輔助計算!$G$2:$G$801, 0)+1))&lt;100, IF(INDEX(ERP資料!$G:$G, (MATCH(483, 輔助計算!$G$2:$G$801, 0)+1))&lt;=31,3,IF(INDEX(ERP資料!$G:$G, (MATCH(483, 輔助計算!$G$2:$G$801, 0)+1))&lt;=46.5,2,1)), IF(INDEX(ERP資料!$G:$G, (MATCH(483, 輔助計算!$G$2:$G$801, 0)+1))&lt;=790,3,IF(INDEX(ERP資料!$G:$G, (MATCH(483, 輔助計算!$G$2:$G$801, 0)+1))&lt;=1181,2,1))))&gt;0, IF(IF(INDEX(ERP資料!$G:$G, (MATCH(483, 輔助計算!$G$2:$G$801, 0)+1))&lt;100, IF(INDEX(ERP資料!$G:$G, (MATCH(483, 輔助計算!$G$2:$G$801, 0)+1))&lt;=31,3,IF(INDEX(ERP資料!$G:$G, (MATCH(483, 輔助計算!$G$2:$G$801, 0)+1))&lt;=46.5,2,1)), IF(INDEX(ERP資料!$G:$G, (MATCH(483, 輔助計算!$G$2:$G$801, 0)+1))&lt;=790,3,IF(INDEX(ERP資料!$G:$G, (MATCH(483, 輔助計算!$G$2:$G$801, 0)+1))&lt;=1181,2,1)))=1,TEXT(INDEX(ERP資料!$G:$G, (MATCH(483, 輔助計算!$G$2:$G$801, 0)+1)),"0.##"),IF(IF(INDEX(ERP資料!$G:$G, (MATCH(483, 輔助計算!$G$2:$G$801, 0)+1))&lt;100, IF(INDEX(ERP資料!$G:$G, (MATCH(483, 輔助計算!$G$2:$G$801, 0)+1))&lt;=31,3,IF(INDEX(ERP資料!$G:$G, (MATCH(483, 輔助計算!$G$2:$G$801, 0)+1))&lt;=46.5,2,1)), IF(INDEX(ERP資料!$G:$G, (MATCH(483, 輔助計算!$G$2:$G$801, 0)+1))&lt;=790,3,IF(INDEX(ERP資料!$G:$G, (MATCH(483, 輔助計算!$G$2:$G$801, 0)+1))&lt;=1181,2,1)))=2,TEXT(INDEX(ERP資料!$G:$G, (MATCH(483, 輔助計算!$G$2:$G$801, 0)+1)),"0.##")&amp;"+"&amp;TEXT(INDEX(ERP資料!$G:$G, (MATCH(483, 輔助計算!$G$2:$G$801, 0)+1)),"0.##"),TEXT(INDEX(ERP資料!$G:$G, (MATCH(483, 輔助計算!$G$2:$G$801, 0)+1)),"0.##")&amp;"+"&amp;TEXT(INDEX(ERP資料!$G:$G, (MATCH(483, 輔助計算!$G$2:$G$801, 0)+1)),"0.##")&amp;"+"&amp;TEXT(INDEX(ERP資料!$G:$G, (MATCH(483, 輔助計算!$G$2:$G$801, 0)+1)),"0.##")))&amp;"-"&amp;INT(INDEX(輔助計算!$D:$D, (MATCH(483, 輔助計算!$G$2:$G$801, 0)+1))/IF(INDEX(ERP資料!$G:$G, (MATCH(483, 輔助計算!$G$2:$G$801, 0)+1))&lt;100, IF(INDEX(ERP資料!$G:$G, (MATCH(483, 輔助計算!$G$2:$G$801, 0)+1))&lt;=31,3,IF(INDEX(ERP資料!$G:$G, (MATCH(483, 輔助計算!$G$2:$G$801, 0)+1))&lt;=46.5,2,1)), IF(INDEX(ERP資料!$G:$G, (MATCH(483, 輔助計算!$G$2:$G$801, 0)+1))&lt;=790,3,IF(INDEX(ERP資料!$G:$G, (MATCH(483, 輔助計算!$G$2:$G$801, 0)+1))&lt;=1181,2,1)))), "")&amp;IF(AND(IF(INT(INDEX(輔助計算!$D:$D, (MATCH(483, 輔助計算!$G$2:$G$801, 0)+1))/IF(INDEX(ERP資料!$G:$G, (MATCH(483, 輔助計算!$G$2:$G$801, 0)+1))&lt;100, IF(INDEX(ERP資料!$G:$G, (MATCH(483, 輔助計算!$G$2:$G$801, 0)+1))&lt;=31,3,IF(INDEX(ERP資料!$G:$G, (MATCH(483, 輔助計算!$G$2:$G$801, 0)+1))&lt;=46.5,2,1)), IF(INDEX(ERP資料!$G:$G, (MATCH(483, 輔助計算!$G$2:$G$801, 0)+1))&lt;=790,3,IF(INDEX(ERP資料!$G:$G, (MATCH(483, 輔助計算!$G$2:$G$801, 0)+1))&lt;=1181,2,1))))&gt;0, IF(IF(INDEX(ERP資料!$G:$G, (MATCH(483, 輔助計算!$G$2:$G$801, 0)+1))&lt;100, IF(INDEX(ERP資料!$G:$G, (MATCH(483, 輔助計算!$G$2:$G$801, 0)+1))&lt;=31,3,IF(INDEX(ERP資料!$G:$G, (MATCH(483, 輔助計算!$G$2:$G$801, 0)+1))&lt;=46.5,2,1)), IF(INDEX(ERP資料!$G:$G, (MATCH(483, 輔助計算!$G$2:$G$801, 0)+1))&lt;=790,3,IF(INDEX(ERP資料!$G:$G, (MATCH(483, 輔助計算!$G$2:$G$801, 0)+1))&lt;=1181,2,1)))=1,TEXT(INDEX(ERP資料!$G:$G, (MATCH(483, 輔助計算!$G$2:$G$801, 0)+1)),"0.##"),IF(IF(INDEX(ERP資料!$G:$G, (MATCH(483, 輔助計算!$G$2:$G$801, 0)+1))&lt;100, IF(INDEX(ERP資料!$G:$G, (MATCH(483, 輔助計算!$G$2:$G$801, 0)+1))&lt;=31,3,IF(INDEX(ERP資料!$G:$G, (MATCH(483, 輔助計算!$G$2:$G$801, 0)+1))&lt;=46.5,2,1)), IF(INDEX(ERP資料!$G:$G, (MATCH(483, 輔助計算!$G$2:$G$801, 0)+1))&lt;=790,3,IF(INDEX(ERP資料!$G:$G, (MATCH(483, 輔助計算!$G$2:$G$801, 0)+1))&lt;=1181,2,1)))=2,TEXT(INDEX(ERP資料!$G:$G, (MATCH(483, 輔助計算!$G$2:$G$801, 0)+1)),"0.##")&amp;"+"&amp;TEXT(INDEX(ERP資料!$G:$G, (MATCH(483, 輔助計算!$G$2:$G$801, 0)+1)),"0.##"),TEXT(INDEX(ERP資料!$G:$G, (MATCH(483, 輔助計算!$G$2:$G$801, 0)+1)),"0.##")&amp;"+"&amp;TEXT(INDEX(ERP資料!$G:$G, (MATCH(483, 輔助計算!$G$2:$G$801, 0)+1)),"0.##")&amp;"+"&amp;TEXT(INDEX(ERP資料!$G:$G, (MATCH(483, 輔助計算!$G$2:$G$801, 0)+1)),"0.##")))&amp;"-"&amp;INT(INDEX(輔助計算!$D:$D, (MATCH(483, 輔助計算!$G$2:$G$801, 0)+1))/IF(INDEX(ERP資料!$G:$G, (MATCH(483, 輔助計算!$G$2:$G$801, 0)+1))&lt;100, IF(INDEX(ERP資料!$G:$G, (MATCH(483, 輔助計算!$G$2:$G$801, 0)+1))&lt;=31,3,IF(INDEX(ERP資料!$G:$G, (MATCH(483, 輔助計算!$G$2:$G$801, 0)+1))&lt;=46.5,2,1)), IF(INDEX(ERP資料!$G:$G, (MATCH(483, 輔助計算!$G$2:$G$801, 0)+1))&lt;=790,3,IF(INDEX(ERP資料!$G:$G, (MATCH(483, 輔助計算!$G$2:$G$801, 0)+1))&lt;=1181,2,1)))), "")&lt;&gt;"",IF(MOD(INDEX(輔助計算!$D:$D, (MATCH(483, 輔助計算!$G$2:$G$801, 0)+1)),IF(INDEX(ERP資料!$G:$G, (MATCH(483, 輔助計算!$G$2:$G$801, 0)+1))&lt;100, IF(INDEX(ERP資料!$G:$G, (MATCH(483, 輔助計算!$G$2:$G$801, 0)+1))&lt;=31,3,IF(INDEX(ERP資料!$G:$G, (MATCH(483, 輔助計算!$G$2:$G$801, 0)+1))&lt;=46.5,2,1)), IF(INDEX(ERP資料!$G:$G, (MATCH(483, 輔助計算!$G$2:$G$801, 0)+1))&lt;=790,3,IF(INDEX(ERP資料!$G:$G, (MATCH(483, 輔助計算!$G$2:$G$801, 0)+1))&lt;=1181,2,1))))=0,"",IF(MOD(INDEX(輔助計算!$D:$D, (MATCH(483, 輔助計算!$G$2:$G$801, 0)+1)),IF(INDEX(ERP資料!$G:$G, (MATCH(483, 輔助計算!$G$2:$G$801, 0)+1))&lt;100, IF(INDEX(ERP資料!$G:$G, (MATCH(483, 輔助計算!$G$2:$G$801, 0)+1))&lt;=31,3,IF(INDEX(ERP資料!$G:$G, (MATCH(483, 輔助計算!$G$2:$G$801, 0)+1))&lt;=46.5,2,1)), IF(INDEX(ERP資料!$G:$G, (MATCH(483, 輔助計算!$G$2:$G$801, 0)+1))&lt;=790,3,IF(INDEX(ERP資料!$G:$G, (MATCH(483, 輔助計算!$G$2:$G$801, 0)+1))&lt;=1181,2,1))))=0,"",IF(MOD(INDEX(輔助計算!$D:$D, (MATCH(483, 輔助計算!$G$2:$G$801, 0)+1)),IF(INDEX(ERP資料!$G:$G, (MATCH(483, 輔助計算!$G$2:$G$801, 0)+1))&lt;100, IF(INDEX(ERP資料!$G:$G, (MATCH(483, 輔助計算!$G$2:$G$801, 0)+1))&lt;=31,3,IF(INDEX(ERP資料!$G:$G, (MATCH(483, 輔助計算!$G$2:$G$801, 0)+1))&lt;=46.5,2,1)), IF(INDEX(ERP資料!$G:$G, (MATCH(483, 輔助計算!$G$2:$G$801, 0)+1))&lt;=790,3,IF(INDEX(ERP資料!$G:$G, (MATCH(483, 輔助計算!$G$2:$G$801, 0)+1))&lt;=1181,2,1))))=1,TEXT(INDEX(ERP資料!$G:$G, (MATCH(483, 輔助計算!$G$2:$G$801, 0)+1)),"0.##"),IF(MOD(INDEX(輔助計算!$D:$D, (MATCH(483, 輔助計算!$G$2:$G$801, 0)+1)),IF(INDEX(ERP資料!$G:$G, (MATCH(483, 輔助計算!$G$2:$G$801, 0)+1))&lt;100, IF(INDEX(ERP資料!$G:$G, (MATCH(483, 輔助計算!$G$2:$G$801, 0)+1))&lt;=31,3,IF(INDEX(ERP資料!$G:$G, (MATCH(483, 輔助計算!$G$2:$G$801, 0)+1))&lt;=46.5,2,1)), IF(INDEX(ERP資料!$G:$G, (MATCH(483, 輔助計算!$G$2:$G$801, 0)+1))&lt;=790,3,IF(INDEX(ERP資料!$G:$G, (MATCH(483, 輔助計算!$G$2:$G$801, 0)+1))&lt;=1181,2,1))))=2,TEXT(INDEX(ERP資料!$G:$G, (MATCH(483, 輔助計算!$G$2:$G$801, 0)+1)),"0.##")&amp;"+"&amp;TEXT(INDEX(ERP資料!$G:$G, (MATCH(483, 輔助計算!$G$2:$G$801, 0)+1)),"0.##"),TEXT(INDEX(ERP資料!$G:$G, (MATCH(483, 輔助計算!$G$2:$G$801, 0)+1)),"0.##")&amp;"+"&amp;TEXT(INDEX(ERP資料!$G:$G, (MATCH(483, 輔助計算!$G$2:$G$801, 0)+1)),"0.##")&amp;"+"&amp;TEXT(INDEX(ERP資料!$G:$G, (MATCH(483, 輔助計算!$G$2:$G$801, 0)+1)),"0.##"))))&amp;"-1")&lt;&gt;""),"  ","")&amp;IF(MOD(INDEX(輔助計算!$D:$D, (MATCH(483, 輔助計算!$G$2:$G$801, 0)+1)),IF(INDEX(ERP資料!$G:$G, (MATCH(483, 輔助計算!$G$2:$G$801, 0)+1))&lt;100, IF(INDEX(ERP資料!$G:$G, (MATCH(483, 輔助計算!$G$2:$G$801, 0)+1))&lt;=31,3,IF(INDEX(ERP資料!$G:$G, (MATCH(483, 輔助計算!$G$2:$G$801, 0)+1))&lt;=46.5,2,1)), IF(INDEX(ERP資料!$G:$G, (MATCH(483, 輔助計算!$G$2:$G$801, 0)+1))&lt;=790,3,IF(INDEX(ERP資料!$G:$G, (MATCH(483, 輔助計算!$G$2:$G$801, 0)+1))&lt;=1181,2,1))))=0,"",IF(MOD(INDEX(輔助計算!$D:$D, (MATCH(483, 輔助計算!$G$2:$G$801, 0)+1)),IF(INDEX(ERP資料!$G:$G, (MATCH(483, 輔助計算!$G$2:$G$801, 0)+1))&lt;100, IF(INDEX(ERP資料!$G:$G, (MATCH(483, 輔助計算!$G$2:$G$801, 0)+1))&lt;=31,3,IF(INDEX(ERP資料!$G:$G, (MATCH(483, 輔助計算!$G$2:$G$801, 0)+1))&lt;=46.5,2,1)), IF(INDEX(ERP資料!$G:$G, (MATCH(483, 輔助計算!$G$2:$G$801, 0)+1))&lt;=790,3,IF(INDEX(ERP資料!$G:$G, (MATCH(483, 輔助計算!$G$2:$G$801, 0)+1))&lt;=1181,2,1))))=0,"",IF(MOD(INDEX(輔助計算!$D:$D, (MATCH(483, 輔助計算!$G$2:$G$801, 0)+1)),IF(INDEX(ERP資料!$G:$G, (MATCH(483, 輔助計算!$G$2:$G$801, 0)+1))&lt;100, IF(INDEX(ERP資料!$G:$G, (MATCH(483, 輔助計算!$G$2:$G$801, 0)+1))&lt;=31,3,IF(INDEX(ERP資料!$G:$G, (MATCH(483, 輔助計算!$G$2:$G$801, 0)+1))&lt;=46.5,2,1)), IF(INDEX(ERP資料!$G:$G, (MATCH(483, 輔助計算!$G$2:$G$801, 0)+1))&lt;=790,3,IF(INDEX(ERP資料!$G:$G, (MATCH(483, 輔助計算!$G$2:$G$801, 0)+1))&lt;=1181,2,1))))=1,TEXT(INDEX(ERP資料!$G:$G, (MATCH(483, 輔助計算!$G$2:$G$801, 0)+1)),"0.##"),IF(MOD(INDEX(輔助計算!$D:$D, (MATCH(483, 輔助計算!$G$2:$G$801, 0)+1)),IF(INDEX(ERP資料!$G:$G, (MATCH(483, 輔助計算!$G$2:$G$801, 0)+1))&lt;100, IF(INDEX(ERP資料!$G:$G, (MATCH(483, 輔助計算!$G$2:$G$801, 0)+1))&lt;=31,3,IF(INDEX(ERP資料!$G:$G, (MATCH(483, 輔助計算!$G$2:$G$801, 0)+1))&lt;=46.5,2,1)), IF(INDEX(ERP資料!$G:$G, (MATCH(483, 輔助計算!$G$2:$G$801, 0)+1))&lt;=790,3,IF(INDEX(ERP資料!$G:$G, (MATCH(483, 輔助計算!$G$2:$G$801, 0)+1))&lt;=1181,2,1))))=2,TEXT(INDEX(ERP資料!$G:$G, (MATCH(483, 輔助計算!$G$2:$G$801, 0)+1)),"0.##")&amp;"+"&amp;TEXT(INDEX(ERP資料!$G:$G, (MATCH(483, 輔助計算!$G$2:$G$801, 0)+1)),"0.##"),TEXT(INDEX(ERP資料!$G:$G, (MATCH(483, 輔助計算!$G$2:$G$801, 0)+1)),"0.##")&amp;"+"&amp;TEXT(INDEX(ERP資料!$G:$G, (MATCH(483, 輔助計算!$G$2:$G$801, 0)+1)),"0.##")&amp;"+"&amp;TEXT(INDEX(ERP資料!$G:$G, (MATCH(483, 輔助計算!$G$2:$G$801, 0)+1)),"0.##"))))&amp;"-1")), ""), "")</f>
        <v/>
      </c>
      <c r="K484" s="16" t="n"/>
      <c r="L484" s="14">
        <f>IFERROR(IF(AND(IFERROR(INDEX(ERP資料!$A:$A, (MATCH(483, 輔助計算!$G$2:$G$801, 0)+1)), "")&lt;&gt;"", IFERROR(INDEX(ERP資料!$A:$A, (MATCH(483, 輔助計算!$G$2:$G$801, 0)+1)), "")&lt;&gt;IFERROR(INDEX(ERP資料!$A:$A, MATCH(482, 輔助計算!$G$2:$G$801, 0)+1), "")), INDEX(ERP資料!$B:$B, (MATCH(483, 輔助計算!$G$2:$G$801, 0)+1)), ""), "")</f>
        <v/>
      </c>
      <c r="M484" s="17" t="n"/>
    </row>
    <row r="485">
      <c r="A485" s="10">
        <f>IFERROR(IF(AND(IFERROR(INDEX(ERP資料!$A:$A, (MATCH(484, 輔助計算!$G$2:$G$801, 0)+1)), "")&lt;&gt;"", IFERROR(INDEX(ERP資料!$A:$A, (MATCH(484, 輔助計算!$G$2:$G$801, 0)+1)), "")&lt;&gt;IFERROR(INDEX(ERP資料!$A:$A, MATCH(483, 輔助計算!$G$2:$G$801, 0)+1), "")), IFERROR(INDEX(ERP資料!$A:$A, (MATCH(484, 輔助計算!$G$2:$G$801, 0)+1)), ""), ""), "")</f>
        <v/>
      </c>
      <c r="B485" s="10">
        <f>IFERROR(IF(AND(IFERROR(INDEX(ERP資料!$A:$A, (MATCH(484, 輔助計算!$G$2:$G$801, 0)+1)), "")&lt;&gt;"", IFERROR(INDEX(ERP資料!$A:$A, (MATCH(484, 輔助計算!$G$2:$G$801, 0)+1)), "")&lt;&gt;IFERROR(INDEX(ERP資料!$A:$A, MATCH(483, 輔助計算!$G$2:$G$801, 0)+1), "")), INDEX(ERP資料!$S:$S, (MATCH(484, 輔助計算!$G$2:$G$801, 0)+1)), ""), "")</f>
        <v/>
      </c>
      <c r="C485" s="19">
        <f>IFERROR(IF(AND(IFERROR(INDEX(ERP資料!$A:$A, (MATCH(484, 輔助計算!$G$2:$G$801, 0)+1)), "")&lt;&gt;"", IFERROR(INDEX(ERP資料!$A:$A, (MATCH(484, 輔助計算!$G$2:$G$801, 0)+1)), "")&lt;&gt;IFERROR(INDEX(ERP資料!$A:$A, MATCH(483, 輔助計算!$G$2:$G$801, 0)+1), "")), IFERROR(VLOOKUP(LEFT(INDEX(ERP資料!$S:$S, (MATCH(484, 輔助計算!$G$2:$G$801, 0)+1)), 4), 紙管對照表!$A:$C, 3, FALSE), ""), ""), "")</f>
        <v/>
      </c>
      <c r="D485" s="16" t="n"/>
      <c r="E485" s="10">
        <f>IFERROR(IF(INDEX(ERP資料!$H:$H, (MATCH(484, 輔助計算!$G$2:$G$801, 0)+1))="","",INDEX(ERP資料!$H:$H, (MATCH(484, 輔助計算!$G$2:$G$801, 0)+1))), "")</f>
        <v/>
      </c>
      <c r="F485" s="10">
        <f>IFERROR(IF(INDEX(ERP資料!$E:$E, (MATCH(484, 輔助計算!$G$2:$G$801, 0)+1))="","",TRIM(INDEX(ERP資料!$E:$E, (MATCH(484, 輔助計算!$G$2:$G$801, 0)+1)))), "")</f>
        <v/>
      </c>
      <c r="G485" s="10">
        <f>IFERROR(IF(INDEX(ERP資料!$F:$F, (MATCH(484, 輔助計算!$G$2:$G$801, 0)+1))="","",INDEX(ERP資料!$F:$F, (MATCH(484, 輔助計算!$G$2:$G$801, 0)+1))), "")</f>
        <v/>
      </c>
      <c r="H485" s="10">
        <f>IFERROR(IF(INDEX(ERP資料!$G:$G, (MATCH(484, 輔助計算!$G$2:$G$801, 0)+1))="","",INDEX(ERP資料!$G:$G, (MATCH(484, 輔助計算!$G$2:$G$801, 0)+1))), "")</f>
        <v/>
      </c>
      <c r="I485" s="15">
        <f>IFERROR(INDEX(輔助計算!$D:$D, (MATCH(484, 輔助計算!$G$2:$G$801, 0)+1)), "")</f>
        <v/>
      </c>
      <c r="J485" s="15">
        <f>IFERROR(IF(AND(INDEX(輔助計算!$D:$D, (MATCH(484, 輔助計算!$G$2:$G$801, 0)+1))&lt;&gt;"", INDEX(ERP資料!$G:$G, (MATCH(484, 輔助計算!$G$2:$G$801, 0)+1))&lt;&gt;""), TRIM(IF(INT(INDEX(輔助計算!$D:$D, (MATCH(484, 輔助計算!$G$2:$G$801, 0)+1))/IF(INDEX(ERP資料!$G:$G, (MATCH(484, 輔助計算!$G$2:$G$801, 0)+1))&lt;100, IF(INDEX(ERP資料!$G:$G, (MATCH(484, 輔助計算!$G$2:$G$801, 0)+1))&lt;=31,3,IF(INDEX(ERP資料!$G:$G, (MATCH(484, 輔助計算!$G$2:$G$801, 0)+1))&lt;=46.5,2,1)), IF(INDEX(ERP資料!$G:$G, (MATCH(484, 輔助計算!$G$2:$G$801, 0)+1))&lt;=790,3,IF(INDEX(ERP資料!$G:$G, (MATCH(484, 輔助計算!$G$2:$G$801, 0)+1))&lt;=1181,2,1))))&gt;0, IF(IF(INDEX(ERP資料!$G:$G, (MATCH(484, 輔助計算!$G$2:$G$801, 0)+1))&lt;100, IF(INDEX(ERP資料!$G:$G, (MATCH(484, 輔助計算!$G$2:$G$801, 0)+1))&lt;=31,3,IF(INDEX(ERP資料!$G:$G, (MATCH(484, 輔助計算!$G$2:$G$801, 0)+1))&lt;=46.5,2,1)), IF(INDEX(ERP資料!$G:$G, (MATCH(484, 輔助計算!$G$2:$G$801, 0)+1))&lt;=790,3,IF(INDEX(ERP資料!$G:$G, (MATCH(484, 輔助計算!$G$2:$G$801, 0)+1))&lt;=1181,2,1)))=1,TEXT(INDEX(ERP資料!$G:$G, (MATCH(484, 輔助計算!$G$2:$G$801, 0)+1)),"0.##"),IF(IF(INDEX(ERP資料!$G:$G, (MATCH(484, 輔助計算!$G$2:$G$801, 0)+1))&lt;100, IF(INDEX(ERP資料!$G:$G, (MATCH(484, 輔助計算!$G$2:$G$801, 0)+1))&lt;=31,3,IF(INDEX(ERP資料!$G:$G, (MATCH(484, 輔助計算!$G$2:$G$801, 0)+1))&lt;=46.5,2,1)), IF(INDEX(ERP資料!$G:$G, (MATCH(484, 輔助計算!$G$2:$G$801, 0)+1))&lt;=790,3,IF(INDEX(ERP資料!$G:$G, (MATCH(484, 輔助計算!$G$2:$G$801, 0)+1))&lt;=1181,2,1)))=2,TEXT(INDEX(ERP資料!$G:$G, (MATCH(484, 輔助計算!$G$2:$G$801, 0)+1)),"0.##")&amp;"+"&amp;TEXT(INDEX(ERP資料!$G:$G, (MATCH(484, 輔助計算!$G$2:$G$801, 0)+1)),"0.##"),TEXT(INDEX(ERP資料!$G:$G, (MATCH(484, 輔助計算!$G$2:$G$801, 0)+1)),"0.##")&amp;"+"&amp;TEXT(INDEX(ERP資料!$G:$G, (MATCH(484, 輔助計算!$G$2:$G$801, 0)+1)),"0.##")&amp;"+"&amp;TEXT(INDEX(ERP資料!$G:$G, (MATCH(484, 輔助計算!$G$2:$G$801, 0)+1)),"0.##")))&amp;"-"&amp;INT(INDEX(輔助計算!$D:$D, (MATCH(484, 輔助計算!$G$2:$G$801, 0)+1))/IF(INDEX(ERP資料!$G:$G, (MATCH(484, 輔助計算!$G$2:$G$801, 0)+1))&lt;100, IF(INDEX(ERP資料!$G:$G, (MATCH(484, 輔助計算!$G$2:$G$801, 0)+1))&lt;=31,3,IF(INDEX(ERP資料!$G:$G, (MATCH(484, 輔助計算!$G$2:$G$801, 0)+1))&lt;=46.5,2,1)), IF(INDEX(ERP資料!$G:$G, (MATCH(484, 輔助計算!$G$2:$G$801, 0)+1))&lt;=790,3,IF(INDEX(ERP資料!$G:$G, (MATCH(484, 輔助計算!$G$2:$G$801, 0)+1))&lt;=1181,2,1)))), "")&amp;IF(AND(IF(INT(INDEX(輔助計算!$D:$D, (MATCH(484, 輔助計算!$G$2:$G$801, 0)+1))/IF(INDEX(ERP資料!$G:$G, (MATCH(484, 輔助計算!$G$2:$G$801, 0)+1))&lt;100, IF(INDEX(ERP資料!$G:$G, (MATCH(484, 輔助計算!$G$2:$G$801, 0)+1))&lt;=31,3,IF(INDEX(ERP資料!$G:$G, (MATCH(484, 輔助計算!$G$2:$G$801, 0)+1))&lt;=46.5,2,1)), IF(INDEX(ERP資料!$G:$G, (MATCH(484, 輔助計算!$G$2:$G$801, 0)+1))&lt;=790,3,IF(INDEX(ERP資料!$G:$G, (MATCH(484, 輔助計算!$G$2:$G$801, 0)+1))&lt;=1181,2,1))))&gt;0, IF(IF(INDEX(ERP資料!$G:$G, (MATCH(484, 輔助計算!$G$2:$G$801, 0)+1))&lt;100, IF(INDEX(ERP資料!$G:$G, (MATCH(484, 輔助計算!$G$2:$G$801, 0)+1))&lt;=31,3,IF(INDEX(ERP資料!$G:$G, (MATCH(484, 輔助計算!$G$2:$G$801, 0)+1))&lt;=46.5,2,1)), IF(INDEX(ERP資料!$G:$G, (MATCH(484, 輔助計算!$G$2:$G$801, 0)+1))&lt;=790,3,IF(INDEX(ERP資料!$G:$G, (MATCH(484, 輔助計算!$G$2:$G$801, 0)+1))&lt;=1181,2,1)))=1,TEXT(INDEX(ERP資料!$G:$G, (MATCH(484, 輔助計算!$G$2:$G$801, 0)+1)),"0.##"),IF(IF(INDEX(ERP資料!$G:$G, (MATCH(484, 輔助計算!$G$2:$G$801, 0)+1))&lt;100, IF(INDEX(ERP資料!$G:$G, (MATCH(484, 輔助計算!$G$2:$G$801, 0)+1))&lt;=31,3,IF(INDEX(ERP資料!$G:$G, (MATCH(484, 輔助計算!$G$2:$G$801, 0)+1))&lt;=46.5,2,1)), IF(INDEX(ERP資料!$G:$G, (MATCH(484, 輔助計算!$G$2:$G$801, 0)+1))&lt;=790,3,IF(INDEX(ERP資料!$G:$G, (MATCH(484, 輔助計算!$G$2:$G$801, 0)+1))&lt;=1181,2,1)))=2,TEXT(INDEX(ERP資料!$G:$G, (MATCH(484, 輔助計算!$G$2:$G$801, 0)+1)),"0.##")&amp;"+"&amp;TEXT(INDEX(ERP資料!$G:$G, (MATCH(484, 輔助計算!$G$2:$G$801, 0)+1)),"0.##"),TEXT(INDEX(ERP資料!$G:$G, (MATCH(484, 輔助計算!$G$2:$G$801, 0)+1)),"0.##")&amp;"+"&amp;TEXT(INDEX(ERP資料!$G:$G, (MATCH(484, 輔助計算!$G$2:$G$801, 0)+1)),"0.##")&amp;"+"&amp;TEXT(INDEX(ERP資料!$G:$G, (MATCH(484, 輔助計算!$G$2:$G$801, 0)+1)),"0.##")))&amp;"-"&amp;INT(INDEX(輔助計算!$D:$D, (MATCH(484, 輔助計算!$G$2:$G$801, 0)+1))/IF(INDEX(ERP資料!$G:$G, (MATCH(484, 輔助計算!$G$2:$G$801, 0)+1))&lt;100, IF(INDEX(ERP資料!$G:$G, (MATCH(484, 輔助計算!$G$2:$G$801, 0)+1))&lt;=31,3,IF(INDEX(ERP資料!$G:$G, (MATCH(484, 輔助計算!$G$2:$G$801, 0)+1))&lt;=46.5,2,1)), IF(INDEX(ERP資料!$G:$G, (MATCH(484, 輔助計算!$G$2:$G$801, 0)+1))&lt;=790,3,IF(INDEX(ERP資料!$G:$G, (MATCH(484, 輔助計算!$G$2:$G$801, 0)+1))&lt;=1181,2,1)))), "")&lt;&gt;"",IF(MOD(INDEX(輔助計算!$D:$D, (MATCH(484, 輔助計算!$G$2:$G$801, 0)+1)),IF(INDEX(ERP資料!$G:$G, (MATCH(484, 輔助計算!$G$2:$G$801, 0)+1))&lt;100, IF(INDEX(ERP資料!$G:$G, (MATCH(484, 輔助計算!$G$2:$G$801, 0)+1))&lt;=31,3,IF(INDEX(ERP資料!$G:$G, (MATCH(484, 輔助計算!$G$2:$G$801, 0)+1))&lt;=46.5,2,1)), IF(INDEX(ERP資料!$G:$G, (MATCH(484, 輔助計算!$G$2:$G$801, 0)+1))&lt;=790,3,IF(INDEX(ERP資料!$G:$G, (MATCH(484, 輔助計算!$G$2:$G$801, 0)+1))&lt;=1181,2,1))))=0,"",IF(MOD(INDEX(輔助計算!$D:$D, (MATCH(484, 輔助計算!$G$2:$G$801, 0)+1)),IF(INDEX(ERP資料!$G:$G, (MATCH(484, 輔助計算!$G$2:$G$801, 0)+1))&lt;100, IF(INDEX(ERP資料!$G:$G, (MATCH(484, 輔助計算!$G$2:$G$801, 0)+1))&lt;=31,3,IF(INDEX(ERP資料!$G:$G, (MATCH(484, 輔助計算!$G$2:$G$801, 0)+1))&lt;=46.5,2,1)), IF(INDEX(ERP資料!$G:$G, (MATCH(484, 輔助計算!$G$2:$G$801, 0)+1))&lt;=790,3,IF(INDEX(ERP資料!$G:$G, (MATCH(484, 輔助計算!$G$2:$G$801, 0)+1))&lt;=1181,2,1))))=0,"",IF(MOD(INDEX(輔助計算!$D:$D, (MATCH(484, 輔助計算!$G$2:$G$801, 0)+1)),IF(INDEX(ERP資料!$G:$G, (MATCH(484, 輔助計算!$G$2:$G$801, 0)+1))&lt;100, IF(INDEX(ERP資料!$G:$G, (MATCH(484, 輔助計算!$G$2:$G$801, 0)+1))&lt;=31,3,IF(INDEX(ERP資料!$G:$G, (MATCH(484, 輔助計算!$G$2:$G$801, 0)+1))&lt;=46.5,2,1)), IF(INDEX(ERP資料!$G:$G, (MATCH(484, 輔助計算!$G$2:$G$801, 0)+1))&lt;=790,3,IF(INDEX(ERP資料!$G:$G, (MATCH(484, 輔助計算!$G$2:$G$801, 0)+1))&lt;=1181,2,1))))=1,TEXT(INDEX(ERP資料!$G:$G, (MATCH(484, 輔助計算!$G$2:$G$801, 0)+1)),"0.##"),IF(MOD(INDEX(輔助計算!$D:$D, (MATCH(484, 輔助計算!$G$2:$G$801, 0)+1)),IF(INDEX(ERP資料!$G:$G, (MATCH(484, 輔助計算!$G$2:$G$801, 0)+1))&lt;100, IF(INDEX(ERP資料!$G:$G, (MATCH(484, 輔助計算!$G$2:$G$801, 0)+1))&lt;=31,3,IF(INDEX(ERP資料!$G:$G, (MATCH(484, 輔助計算!$G$2:$G$801, 0)+1))&lt;=46.5,2,1)), IF(INDEX(ERP資料!$G:$G, (MATCH(484, 輔助計算!$G$2:$G$801, 0)+1))&lt;=790,3,IF(INDEX(ERP資料!$G:$G, (MATCH(484, 輔助計算!$G$2:$G$801, 0)+1))&lt;=1181,2,1))))=2,TEXT(INDEX(ERP資料!$G:$G, (MATCH(484, 輔助計算!$G$2:$G$801, 0)+1)),"0.##")&amp;"+"&amp;TEXT(INDEX(ERP資料!$G:$G, (MATCH(484, 輔助計算!$G$2:$G$801, 0)+1)),"0.##"),TEXT(INDEX(ERP資料!$G:$G, (MATCH(484, 輔助計算!$G$2:$G$801, 0)+1)),"0.##")&amp;"+"&amp;TEXT(INDEX(ERP資料!$G:$G, (MATCH(484, 輔助計算!$G$2:$G$801, 0)+1)),"0.##")&amp;"+"&amp;TEXT(INDEX(ERP資料!$G:$G, (MATCH(484, 輔助計算!$G$2:$G$801, 0)+1)),"0.##"))))&amp;"-1")&lt;&gt;""),"  ","")&amp;IF(MOD(INDEX(輔助計算!$D:$D, (MATCH(484, 輔助計算!$G$2:$G$801, 0)+1)),IF(INDEX(ERP資料!$G:$G, (MATCH(484, 輔助計算!$G$2:$G$801, 0)+1))&lt;100, IF(INDEX(ERP資料!$G:$G, (MATCH(484, 輔助計算!$G$2:$G$801, 0)+1))&lt;=31,3,IF(INDEX(ERP資料!$G:$G, (MATCH(484, 輔助計算!$G$2:$G$801, 0)+1))&lt;=46.5,2,1)), IF(INDEX(ERP資料!$G:$G, (MATCH(484, 輔助計算!$G$2:$G$801, 0)+1))&lt;=790,3,IF(INDEX(ERP資料!$G:$G, (MATCH(484, 輔助計算!$G$2:$G$801, 0)+1))&lt;=1181,2,1))))=0,"",IF(MOD(INDEX(輔助計算!$D:$D, (MATCH(484, 輔助計算!$G$2:$G$801, 0)+1)),IF(INDEX(ERP資料!$G:$G, (MATCH(484, 輔助計算!$G$2:$G$801, 0)+1))&lt;100, IF(INDEX(ERP資料!$G:$G, (MATCH(484, 輔助計算!$G$2:$G$801, 0)+1))&lt;=31,3,IF(INDEX(ERP資料!$G:$G, (MATCH(484, 輔助計算!$G$2:$G$801, 0)+1))&lt;=46.5,2,1)), IF(INDEX(ERP資料!$G:$G, (MATCH(484, 輔助計算!$G$2:$G$801, 0)+1))&lt;=790,3,IF(INDEX(ERP資料!$G:$G, (MATCH(484, 輔助計算!$G$2:$G$801, 0)+1))&lt;=1181,2,1))))=0,"",IF(MOD(INDEX(輔助計算!$D:$D, (MATCH(484, 輔助計算!$G$2:$G$801, 0)+1)),IF(INDEX(ERP資料!$G:$G, (MATCH(484, 輔助計算!$G$2:$G$801, 0)+1))&lt;100, IF(INDEX(ERP資料!$G:$G, (MATCH(484, 輔助計算!$G$2:$G$801, 0)+1))&lt;=31,3,IF(INDEX(ERP資料!$G:$G, (MATCH(484, 輔助計算!$G$2:$G$801, 0)+1))&lt;=46.5,2,1)), IF(INDEX(ERP資料!$G:$G, (MATCH(484, 輔助計算!$G$2:$G$801, 0)+1))&lt;=790,3,IF(INDEX(ERP資料!$G:$G, (MATCH(484, 輔助計算!$G$2:$G$801, 0)+1))&lt;=1181,2,1))))=1,TEXT(INDEX(ERP資料!$G:$G, (MATCH(484, 輔助計算!$G$2:$G$801, 0)+1)),"0.##"),IF(MOD(INDEX(輔助計算!$D:$D, (MATCH(484, 輔助計算!$G$2:$G$801, 0)+1)),IF(INDEX(ERP資料!$G:$G, (MATCH(484, 輔助計算!$G$2:$G$801, 0)+1))&lt;100, IF(INDEX(ERP資料!$G:$G, (MATCH(484, 輔助計算!$G$2:$G$801, 0)+1))&lt;=31,3,IF(INDEX(ERP資料!$G:$G, (MATCH(484, 輔助計算!$G$2:$G$801, 0)+1))&lt;=46.5,2,1)), IF(INDEX(ERP資料!$G:$G, (MATCH(484, 輔助計算!$G$2:$G$801, 0)+1))&lt;=790,3,IF(INDEX(ERP資料!$G:$G, (MATCH(484, 輔助計算!$G$2:$G$801, 0)+1))&lt;=1181,2,1))))=2,TEXT(INDEX(ERP資料!$G:$G, (MATCH(484, 輔助計算!$G$2:$G$801, 0)+1)),"0.##")&amp;"+"&amp;TEXT(INDEX(ERP資料!$G:$G, (MATCH(484, 輔助計算!$G$2:$G$801, 0)+1)),"0.##"),TEXT(INDEX(ERP資料!$G:$G, (MATCH(484, 輔助計算!$G$2:$G$801, 0)+1)),"0.##")&amp;"+"&amp;TEXT(INDEX(ERP資料!$G:$G, (MATCH(484, 輔助計算!$G$2:$G$801, 0)+1)),"0.##")&amp;"+"&amp;TEXT(INDEX(ERP資料!$G:$G, (MATCH(484, 輔助計算!$G$2:$G$801, 0)+1)),"0.##"))))&amp;"-1")), ""), "")</f>
        <v/>
      </c>
      <c r="K485" s="16" t="n"/>
      <c r="L485" s="14">
        <f>IFERROR(IF(AND(IFERROR(INDEX(ERP資料!$A:$A, (MATCH(484, 輔助計算!$G$2:$G$801, 0)+1)), "")&lt;&gt;"", IFERROR(INDEX(ERP資料!$A:$A, (MATCH(484, 輔助計算!$G$2:$G$801, 0)+1)), "")&lt;&gt;IFERROR(INDEX(ERP資料!$A:$A, MATCH(483, 輔助計算!$G$2:$G$801, 0)+1), "")), INDEX(ERP資料!$B:$B, (MATCH(484, 輔助計算!$G$2:$G$801, 0)+1)), ""), "")</f>
        <v/>
      </c>
      <c r="M485" s="17" t="n"/>
    </row>
    <row r="486">
      <c r="A486" s="10">
        <f>IFERROR(IF(AND(IFERROR(INDEX(ERP資料!$A:$A, (MATCH(485, 輔助計算!$G$2:$G$801, 0)+1)), "")&lt;&gt;"", IFERROR(INDEX(ERP資料!$A:$A, (MATCH(485, 輔助計算!$G$2:$G$801, 0)+1)), "")&lt;&gt;IFERROR(INDEX(ERP資料!$A:$A, MATCH(484, 輔助計算!$G$2:$G$801, 0)+1), "")), IFERROR(INDEX(ERP資料!$A:$A, (MATCH(485, 輔助計算!$G$2:$G$801, 0)+1)), ""), ""), "")</f>
        <v/>
      </c>
      <c r="B486" s="10">
        <f>IFERROR(IF(AND(IFERROR(INDEX(ERP資料!$A:$A, (MATCH(485, 輔助計算!$G$2:$G$801, 0)+1)), "")&lt;&gt;"", IFERROR(INDEX(ERP資料!$A:$A, (MATCH(485, 輔助計算!$G$2:$G$801, 0)+1)), "")&lt;&gt;IFERROR(INDEX(ERP資料!$A:$A, MATCH(484, 輔助計算!$G$2:$G$801, 0)+1), "")), INDEX(ERP資料!$S:$S, (MATCH(485, 輔助計算!$G$2:$G$801, 0)+1)), ""), "")</f>
        <v/>
      </c>
      <c r="C486" s="19">
        <f>IFERROR(IF(AND(IFERROR(INDEX(ERP資料!$A:$A, (MATCH(485, 輔助計算!$G$2:$G$801, 0)+1)), "")&lt;&gt;"", IFERROR(INDEX(ERP資料!$A:$A, (MATCH(485, 輔助計算!$G$2:$G$801, 0)+1)), "")&lt;&gt;IFERROR(INDEX(ERP資料!$A:$A, MATCH(484, 輔助計算!$G$2:$G$801, 0)+1), "")), IFERROR(VLOOKUP(LEFT(INDEX(ERP資料!$S:$S, (MATCH(485, 輔助計算!$G$2:$G$801, 0)+1)), 4), 紙管對照表!$A:$C, 3, FALSE), ""), ""), "")</f>
        <v/>
      </c>
      <c r="D486" s="16" t="n"/>
      <c r="E486" s="10">
        <f>IFERROR(IF(INDEX(ERP資料!$H:$H, (MATCH(485, 輔助計算!$G$2:$G$801, 0)+1))="","",INDEX(ERP資料!$H:$H, (MATCH(485, 輔助計算!$G$2:$G$801, 0)+1))), "")</f>
        <v/>
      </c>
      <c r="F486" s="10">
        <f>IFERROR(IF(INDEX(ERP資料!$E:$E, (MATCH(485, 輔助計算!$G$2:$G$801, 0)+1))="","",TRIM(INDEX(ERP資料!$E:$E, (MATCH(485, 輔助計算!$G$2:$G$801, 0)+1)))), "")</f>
        <v/>
      </c>
      <c r="G486" s="10">
        <f>IFERROR(IF(INDEX(ERP資料!$F:$F, (MATCH(485, 輔助計算!$G$2:$G$801, 0)+1))="","",INDEX(ERP資料!$F:$F, (MATCH(485, 輔助計算!$G$2:$G$801, 0)+1))), "")</f>
        <v/>
      </c>
      <c r="H486" s="10">
        <f>IFERROR(IF(INDEX(ERP資料!$G:$G, (MATCH(485, 輔助計算!$G$2:$G$801, 0)+1))="","",INDEX(ERP資料!$G:$G, (MATCH(485, 輔助計算!$G$2:$G$801, 0)+1))), "")</f>
        <v/>
      </c>
      <c r="I486" s="15">
        <f>IFERROR(INDEX(輔助計算!$D:$D, (MATCH(485, 輔助計算!$G$2:$G$801, 0)+1)), "")</f>
        <v/>
      </c>
      <c r="J486" s="15">
        <f>IFERROR(IF(AND(INDEX(輔助計算!$D:$D, (MATCH(485, 輔助計算!$G$2:$G$801, 0)+1))&lt;&gt;"", INDEX(ERP資料!$G:$G, (MATCH(485, 輔助計算!$G$2:$G$801, 0)+1))&lt;&gt;""), TRIM(IF(INT(INDEX(輔助計算!$D:$D, (MATCH(485, 輔助計算!$G$2:$G$801, 0)+1))/IF(INDEX(ERP資料!$G:$G, (MATCH(485, 輔助計算!$G$2:$G$801, 0)+1))&lt;100, IF(INDEX(ERP資料!$G:$G, (MATCH(485, 輔助計算!$G$2:$G$801, 0)+1))&lt;=31,3,IF(INDEX(ERP資料!$G:$G, (MATCH(485, 輔助計算!$G$2:$G$801, 0)+1))&lt;=46.5,2,1)), IF(INDEX(ERP資料!$G:$G, (MATCH(485, 輔助計算!$G$2:$G$801, 0)+1))&lt;=790,3,IF(INDEX(ERP資料!$G:$G, (MATCH(485, 輔助計算!$G$2:$G$801, 0)+1))&lt;=1181,2,1))))&gt;0, IF(IF(INDEX(ERP資料!$G:$G, (MATCH(485, 輔助計算!$G$2:$G$801, 0)+1))&lt;100, IF(INDEX(ERP資料!$G:$G, (MATCH(485, 輔助計算!$G$2:$G$801, 0)+1))&lt;=31,3,IF(INDEX(ERP資料!$G:$G, (MATCH(485, 輔助計算!$G$2:$G$801, 0)+1))&lt;=46.5,2,1)), IF(INDEX(ERP資料!$G:$G, (MATCH(485, 輔助計算!$G$2:$G$801, 0)+1))&lt;=790,3,IF(INDEX(ERP資料!$G:$G, (MATCH(485, 輔助計算!$G$2:$G$801, 0)+1))&lt;=1181,2,1)))=1,TEXT(INDEX(ERP資料!$G:$G, (MATCH(485, 輔助計算!$G$2:$G$801, 0)+1)),"0.##"),IF(IF(INDEX(ERP資料!$G:$G, (MATCH(485, 輔助計算!$G$2:$G$801, 0)+1))&lt;100, IF(INDEX(ERP資料!$G:$G, (MATCH(485, 輔助計算!$G$2:$G$801, 0)+1))&lt;=31,3,IF(INDEX(ERP資料!$G:$G, (MATCH(485, 輔助計算!$G$2:$G$801, 0)+1))&lt;=46.5,2,1)), IF(INDEX(ERP資料!$G:$G, (MATCH(485, 輔助計算!$G$2:$G$801, 0)+1))&lt;=790,3,IF(INDEX(ERP資料!$G:$G, (MATCH(485, 輔助計算!$G$2:$G$801, 0)+1))&lt;=1181,2,1)))=2,TEXT(INDEX(ERP資料!$G:$G, (MATCH(485, 輔助計算!$G$2:$G$801, 0)+1)),"0.##")&amp;"+"&amp;TEXT(INDEX(ERP資料!$G:$G, (MATCH(485, 輔助計算!$G$2:$G$801, 0)+1)),"0.##"),TEXT(INDEX(ERP資料!$G:$G, (MATCH(485, 輔助計算!$G$2:$G$801, 0)+1)),"0.##")&amp;"+"&amp;TEXT(INDEX(ERP資料!$G:$G, (MATCH(485, 輔助計算!$G$2:$G$801, 0)+1)),"0.##")&amp;"+"&amp;TEXT(INDEX(ERP資料!$G:$G, (MATCH(485, 輔助計算!$G$2:$G$801, 0)+1)),"0.##")))&amp;"-"&amp;INT(INDEX(輔助計算!$D:$D, (MATCH(485, 輔助計算!$G$2:$G$801, 0)+1))/IF(INDEX(ERP資料!$G:$G, (MATCH(485, 輔助計算!$G$2:$G$801, 0)+1))&lt;100, IF(INDEX(ERP資料!$G:$G, (MATCH(485, 輔助計算!$G$2:$G$801, 0)+1))&lt;=31,3,IF(INDEX(ERP資料!$G:$G, (MATCH(485, 輔助計算!$G$2:$G$801, 0)+1))&lt;=46.5,2,1)), IF(INDEX(ERP資料!$G:$G, (MATCH(485, 輔助計算!$G$2:$G$801, 0)+1))&lt;=790,3,IF(INDEX(ERP資料!$G:$G, (MATCH(485, 輔助計算!$G$2:$G$801, 0)+1))&lt;=1181,2,1)))), "")&amp;IF(AND(IF(INT(INDEX(輔助計算!$D:$D, (MATCH(485, 輔助計算!$G$2:$G$801, 0)+1))/IF(INDEX(ERP資料!$G:$G, (MATCH(485, 輔助計算!$G$2:$G$801, 0)+1))&lt;100, IF(INDEX(ERP資料!$G:$G, (MATCH(485, 輔助計算!$G$2:$G$801, 0)+1))&lt;=31,3,IF(INDEX(ERP資料!$G:$G, (MATCH(485, 輔助計算!$G$2:$G$801, 0)+1))&lt;=46.5,2,1)), IF(INDEX(ERP資料!$G:$G, (MATCH(485, 輔助計算!$G$2:$G$801, 0)+1))&lt;=790,3,IF(INDEX(ERP資料!$G:$G, (MATCH(485, 輔助計算!$G$2:$G$801, 0)+1))&lt;=1181,2,1))))&gt;0, IF(IF(INDEX(ERP資料!$G:$G, (MATCH(485, 輔助計算!$G$2:$G$801, 0)+1))&lt;100, IF(INDEX(ERP資料!$G:$G, (MATCH(485, 輔助計算!$G$2:$G$801, 0)+1))&lt;=31,3,IF(INDEX(ERP資料!$G:$G, (MATCH(485, 輔助計算!$G$2:$G$801, 0)+1))&lt;=46.5,2,1)), IF(INDEX(ERP資料!$G:$G, (MATCH(485, 輔助計算!$G$2:$G$801, 0)+1))&lt;=790,3,IF(INDEX(ERP資料!$G:$G, (MATCH(485, 輔助計算!$G$2:$G$801, 0)+1))&lt;=1181,2,1)))=1,TEXT(INDEX(ERP資料!$G:$G, (MATCH(485, 輔助計算!$G$2:$G$801, 0)+1)),"0.##"),IF(IF(INDEX(ERP資料!$G:$G, (MATCH(485, 輔助計算!$G$2:$G$801, 0)+1))&lt;100, IF(INDEX(ERP資料!$G:$G, (MATCH(485, 輔助計算!$G$2:$G$801, 0)+1))&lt;=31,3,IF(INDEX(ERP資料!$G:$G, (MATCH(485, 輔助計算!$G$2:$G$801, 0)+1))&lt;=46.5,2,1)), IF(INDEX(ERP資料!$G:$G, (MATCH(485, 輔助計算!$G$2:$G$801, 0)+1))&lt;=790,3,IF(INDEX(ERP資料!$G:$G, (MATCH(485, 輔助計算!$G$2:$G$801, 0)+1))&lt;=1181,2,1)))=2,TEXT(INDEX(ERP資料!$G:$G, (MATCH(485, 輔助計算!$G$2:$G$801, 0)+1)),"0.##")&amp;"+"&amp;TEXT(INDEX(ERP資料!$G:$G, (MATCH(485, 輔助計算!$G$2:$G$801, 0)+1)),"0.##"),TEXT(INDEX(ERP資料!$G:$G, (MATCH(485, 輔助計算!$G$2:$G$801, 0)+1)),"0.##")&amp;"+"&amp;TEXT(INDEX(ERP資料!$G:$G, (MATCH(485, 輔助計算!$G$2:$G$801, 0)+1)),"0.##")&amp;"+"&amp;TEXT(INDEX(ERP資料!$G:$G, (MATCH(485, 輔助計算!$G$2:$G$801, 0)+1)),"0.##")))&amp;"-"&amp;INT(INDEX(輔助計算!$D:$D, (MATCH(485, 輔助計算!$G$2:$G$801, 0)+1))/IF(INDEX(ERP資料!$G:$G, (MATCH(485, 輔助計算!$G$2:$G$801, 0)+1))&lt;100, IF(INDEX(ERP資料!$G:$G, (MATCH(485, 輔助計算!$G$2:$G$801, 0)+1))&lt;=31,3,IF(INDEX(ERP資料!$G:$G, (MATCH(485, 輔助計算!$G$2:$G$801, 0)+1))&lt;=46.5,2,1)), IF(INDEX(ERP資料!$G:$G, (MATCH(485, 輔助計算!$G$2:$G$801, 0)+1))&lt;=790,3,IF(INDEX(ERP資料!$G:$G, (MATCH(485, 輔助計算!$G$2:$G$801, 0)+1))&lt;=1181,2,1)))), "")&lt;&gt;"",IF(MOD(INDEX(輔助計算!$D:$D, (MATCH(485, 輔助計算!$G$2:$G$801, 0)+1)),IF(INDEX(ERP資料!$G:$G, (MATCH(485, 輔助計算!$G$2:$G$801, 0)+1))&lt;100, IF(INDEX(ERP資料!$G:$G, (MATCH(485, 輔助計算!$G$2:$G$801, 0)+1))&lt;=31,3,IF(INDEX(ERP資料!$G:$G, (MATCH(485, 輔助計算!$G$2:$G$801, 0)+1))&lt;=46.5,2,1)), IF(INDEX(ERP資料!$G:$G, (MATCH(485, 輔助計算!$G$2:$G$801, 0)+1))&lt;=790,3,IF(INDEX(ERP資料!$G:$G, (MATCH(485, 輔助計算!$G$2:$G$801, 0)+1))&lt;=1181,2,1))))=0,"",IF(MOD(INDEX(輔助計算!$D:$D, (MATCH(485, 輔助計算!$G$2:$G$801, 0)+1)),IF(INDEX(ERP資料!$G:$G, (MATCH(485, 輔助計算!$G$2:$G$801, 0)+1))&lt;100, IF(INDEX(ERP資料!$G:$G, (MATCH(485, 輔助計算!$G$2:$G$801, 0)+1))&lt;=31,3,IF(INDEX(ERP資料!$G:$G, (MATCH(485, 輔助計算!$G$2:$G$801, 0)+1))&lt;=46.5,2,1)), IF(INDEX(ERP資料!$G:$G, (MATCH(485, 輔助計算!$G$2:$G$801, 0)+1))&lt;=790,3,IF(INDEX(ERP資料!$G:$G, (MATCH(485, 輔助計算!$G$2:$G$801, 0)+1))&lt;=1181,2,1))))=0,"",IF(MOD(INDEX(輔助計算!$D:$D, (MATCH(485, 輔助計算!$G$2:$G$801, 0)+1)),IF(INDEX(ERP資料!$G:$G, (MATCH(485, 輔助計算!$G$2:$G$801, 0)+1))&lt;100, IF(INDEX(ERP資料!$G:$G, (MATCH(485, 輔助計算!$G$2:$G$801, 0)+1))&lt;=31,3,IF(INDEX(ERP資料!$G:$G, (MATCH(485, 輔助計算!$G$2:$G$801, 0)+1))&lt;=46.5,2,1)), IF(INDEX(ERP資料!$G:$G, (MATCH(485, 輔助計算!$G$2:$G$801, 0)+1))&lt;=790,3,IF(INDEX(ERP資料!$G:$G, (MATCH(485, 輔助計算!$G$2:$G$801, 0)+1))&lt;=1181,2,1))))=1,TEXT(INDEX(ERP資料!$G:$G, (MATCH(485, 輔助計算!$G$2:$G$801, 0)+1)),"0.##"),IF(MOD(INDEX(輔助計算!$D:$D, (MATCH(485, 輔助計算!$G$2:$G$801, 0)+1)),IF(INDEX(ERP資料!$G:$G, (MATCH(485, 輔助計算!$G$2:$G$801, 0)+1))&lt;100, IF(INDEX(ERP資料!$G:$G, (MATCH(485, 輔助計算!$G$2:$G$801, 0)+1))&lt;=31,3,IF(INDEX(ERP資料!$G:$G, (MATCH(485, 輔助計算!$G$2:$G$801, 0)+1))&lt;=46.5,2,1)), IF(INDEX(ERP資料!$G:$G, (MATCH(485, 輔助計算!$G$2:$G$801, 0)+1))&lt;=790,3,IF(INDEX(ERP資料!$G:$G, (MATCH(485, 輔助計算!$G$2:$G$801, 0)+1))&lt;=1181,2,1))))=2,TEXT(INDEX(ERP資料!$G:$G, (MATCH(485, 輔助計算!$G$2:$G$801, 0)+1)),"0.##")&amp;"+"&amp;TEXT(INDEX(ERP資料!$G:$G, (MATCH(485, 輔助計算!$G$2:$G$801, 0)+1)),"0.##"),TEXT(INDEX(ERP資料!$G:$G, (MATCH(485, 輔助計算!$G$2:$G$801, 0)+1)),"0.##")&amp;"+"&amp;TEXT(INDEX(ERP資料!$G:$G, (MATCH(485, 輔助計算!$G$2:$G$801, 0)+1)),"0.##")&amp;"+"&amp;TEXT(INDEX(ERP資料!$G:$G, (MATCH(485, 輔助計算!$G$2:$G$801, 0)+1)),"0.##"))))&amp;"-1")&lt;&gt;""),"  ","")&amp;IF(MOD(INDEX(輔助計算!$D:$D, (MATCH(485, 輔助計算!$G$2:$G$801, 0)+1)),IF(INDEX(ERP資料!$G:$G, (MATCH(485, 輔助計算!$G$2:$G$801, 0)+1))&lt;100, IF(INDEX(ERP資料!$G:$G, (MATCH(485, 輔助計算!$G$2:$G$801, 0)+1))&lt;=31,3,IF(INDEX(ERP資料!$G:$G, (MATCH(485, 輔助計算!$G$2:$G$801, 0)+1))&lt;=46.5,2,1)), IF(INDEX(ERP資料!$G:$G, (MATCH(485, 輔助計算!$G$2:$G$801, 0)+1))&lt;=790,3,IF(INDEX(ERP資料!$G:$G, (MATCH(485, 輔助計算!$G$2:$G$801, 0)+1))&lt;=1181,2,1))))=0,"",IF(MOD(INDEX(輔助計算!$D:$D, (MATCH(485, 輔助計算!$G$2:$G$801, 0)+1)),IF(INDEX(ERP資料!$G:$G, (MATCH(485, 輔助計算!$G$2:$G$801, 0)+1))&lt;100, IF(INDEX(ERP資料!$G:$G, (MATCH(485, 輔助計算!$G$2:$G$801, 0)+1))&lt;=31,3,IF(INDEX(ERP資料!$G:$G, (MATCH(485, 輔助計算!$G$2:$G$801, 0)+1))&lt;=46.5,2,1)), IF(INDEX(ERP資料!$G:$G, (MATCH(485, 輔助計算!$G$2:$G$801, 0)+1))&lt;=790,3,IF(INDEX(ERP資料!$G:$G, (MATCH(485, 輔助計算!$G$2:$G$801, 0)+1))&lt;=1181,2,1))))=0,"",IF(MOD(INDEX(輔助計算!$D:$D, (MATCH(485, 輔助計算!$G$2:$G$801, 0)+1)),IF(INDEX(ERP資料!$G:$G, (MATCH(485, 輔助計算!$G$2:$G$801, 0)+1))&lt;100, IF(INDEX(ERP資料!$G:$G, (MATCH(485, 輔助計算!$G$2:$G$801, 0)+1))&lt;=31,3,IF(INDEX(ERP資料!$G:$G, (MATCH(485, 輔助計算!$G$2:$G$801, 0)+1))&lt;=46.5,2,1)), IF(INDEX(ERP資料!$G:$G, (MATCH(485, 輔助計算!$G$2:$G$801, 0)+1))&lt;=790,3,IF(INDEX(ERP資料!$G:$G, (MATCH(485, 輔助計算!$G$2:$G$801, 0)+1))&lt;=1181,2,1))))=1,TEXT(INDEX(ERP資料!$G:$G, (MATCH(485, 輔助計算!$G$2:$G$801, 0)+1)),"0.##"),IF(MOD(INDEX(輔助計算!$D:$D, (MATCH(485, 輔助計算!$G$2:$G$801, 0)+1)),IF(INDEX(ERP資料!$G:$G, (MATCH(485, 輔助計算!$G$2:$G$801, 0)+1))&lt;100, IF(INDEX(ERP資料!$G:$G, (MATCH(485, 輔助計算!$G$2:$G$801, 0)+1))&lt;=31,3,IF(INDEX(ERP資料!$G:$G, (MATCH(485, 輔助計算!$G$2:$G$801, 0)+1))&lt;=46.5,2,1)), IF(INDEX(ERP資料!$G:$G, (MATCH(485, 輔助計算!$G$2:$G$801, 0)+1))&lt;=790,3,IF(INDEX(ERP資料!$G:$G, (MATCH(485, 輔助計算!$G$2:$G$801, 0)+1))&lt;=1181,2,1))))=2,TEXT(INDEX(ERP資料!$G:$G, (MATCH(485, 輔助計算!$G$2:$G$801, 0)+1)),"0.##")&amp;"+"&amp;TEXT(INDEX(ERP資料!$G:$G, (MATCH(485, 輔助計算!$G$2:$G$801, 0)+1)),"0.##"),TEXT(INDEX(ERP資料!$G:$G, (MATCH(485, 輔助計算!$G$2:$G$801, 0)+1)),"0.##")&amp;"+"&amp;TEXT(INDEX(ERP資料!$G:$G, (MATCH(485, 輔助計算!$G$2:$G$801, 0)+1)),"0.##")&amp;"+"&amp;TEXT(INDEX(ERP資料!$G:$G, (MATCH(485, 輔助計算!$G$2:$G$801, 0)+1)),"0.##"))))&amp;"-1")), ""), "")</f>
        <v/>
      </c>
      <c r="K486" s="16" t="n"/>
      <c r="L486" s="14">
        <f>IFERROR(IF(AND(IFERROR(INDEX(ERP資料!$A:$A, (MATCH(485, 輔助計算!$G$2:$G$801, 0)+1)), "")&lt;&gt;"", IFERROR(INDEX(ERP資料!$A:$A, (MATCH(485, 輔助計算!$G$2:$G$801, 0)+1)), "")&lt;&gt;IFERROR(INDEX(ERP資料!$A:$A, MATCH(484, 輔助計算!$G$2:$G$801, 0)+1), "")), INDEX(ERP資料!$B:$B, (MATCH(485, 輔助計算!$G$2:$G$801, 0)+1)), ""), "")</f>
        <v/>
      </c>
      <c r="M486" s="17" t="n"/>
    </row>
    <row r="487">
      <c r="A487" s="10">
        <f>IFERROR(IF(AND(IFERROR(INDEX(ERP資料!$A:$A, (MATCH(486, 輔助計算!$G$2:$G$801, 0)+1)), "")&lt;&gt;"", IFERROR(INDEX(ERP資料!$A:$A, (MATCH(486, 輔助計算!$G$2:$G$801, 0)+1)), "")&lt;&gt;IFERROR(INDEX(ERP資料!$A:$A, MATCH(485, 輔助計算!$G$2:$G$801, 0)+1), "")), IFERROR(INDEX(ERP資料!$A:$A, (MATCH(486, 輔助計算!$G$2:$G$801, 0)+1)), ""), ""), "")</f>
        <v/>
      </c>
      <c r="B487" s="10">
        <f>IFERROR(IF(AND(IFERROR(INDEX(ERP資料!$A:$A, (MATCH(486, 輔助計算!$G$2:$G$801, 0)+1)), "")&lt;&gt;"", IFERROR(INDEX(ERP資料!$A:$A, (MATCH(486, 輔助計算!$G$2:$G$801, 0)+1)), "")&lt;&gt;IFERROR(INDEX(ERP資料!$A:$A, MATCH(485, 輔助計算!$G$2:$G$801, 0)+1), "")), INDEX(ERP資料!$S:$S, (MATCH(486, 輔助計算!$G$2:$G$801, 0)+1)), ""), "")</f>
        <v/>
      </c>
      <c r="C487" s="19">
        <f>IFERROR(IF(AND(IFERROR(INDEX(ERP資料!$A:$A, (MATCH(486, 輔助計算!$G$2:$G$801, 0)+1)), "")&lt;&gt;"", IFERROR(INDEX(ERP資料!$A:$A, (MATCH(486, 輔助計算!$G$2:$G$801, 0)+1)), "")&lt;&gt;IFERROR(INDEX(ERP資料!$A:$A, MATCH(485, 輔助計算!$G$2:$G$801, 0)+1), "")), IFERROR(VLOOKUP(LEFT(INDEX(ERP資料!$S:$S, (MATCH(486, 輔助計算!$G$2:$G$801, 0)+1)), 4), 紙管對照表!$A:$C, 3, FALSE), ""), ""), "")</f>
        <v/>
      </c>
      <c r="D487" s="16" t="n"/>
      <c r="E487" s="10">
        <f>IFERROR(IF(INDEX(ERP資料!$H:$H, (MATCH(486, 輔助計算!$G$2:$G$801, 0)+1))="","",INDEX(ERP資料!$H:$H, (MATCH(486, 輔助計算!$G$2:$G$801, 0)+1))), "")</f>
        <v/>
      </c>
      <c r="F487" s="10">
        <f>IFERROR(IF(INDEX(ERP資料!$E:$E, (MATCH(486, 輔助計算!$G$2:$G$801, 0)+1))="","",TRIM(INDEX(ERP資料!$E:$E, (MATCH(486, 輔助計算!$G$2:$G$801, 0)+1)))), "")</f>
        <v/>
      </c>
      <c r="G487" s="10">
        <f>IFERROR(IF(INDEX(ERP資料!$F:$F, (MATCH(486, 輔助計算!$G$2:$G$801, 0)+1))="","",INDEX(ERP資料!$F:$F, (MATCH(486, 輔助計算!$G$2:$G$801, 0)+1))), "")</f>
        <v/>
      </c>
      <c r="H487" s="10">
        <f>IFERROR(IF(INDEX(ERP資料!$G:$G, (MATCH(486, 輔助計算!$G$2:$G$801, 0)+1))="","",INDEX(ERP資料!$G:$G, (MATCH(486, 輔助計算!$G$2:$G$801, 0)+1))), "")</f>
        <v/>
      </c>
      <c r="I487" s="15">
        <f>IFERROR(INDEX(輔助計算!$D:$D, (MATCH(486, 輔助計算!$G$2:$G$801, 0)+1)), "")</f>
        <v/>
      </c>
      <c r="J487" s="15">
        <f>IFERROR(IF(AND(INDEX(輔助計算!$D:$D, (MATCH(486, 輔助計算!$G$2:$G$801, 0)+1))&lt;&gt;"", INDEX(ERP資料!$G:$G, (MATCH(486, 輔助計算!$G$2:$G$801, 0)+1))&lt;&gt;""), TRIM(IF(INT(INDEX(輔助計算!$D:$D, (MATCH(486, 輔助計算!$G$2:$G$801, 0)+1))/IF(INDEX(ERP資料!$G:$G, (MATCH(486, 輔助計算!$G$2:$G$801, 0)+1))&lt;100, IF(INDEX(ERP資料!$G:$G, (MATCH(486, 輔助計算!$G$2:$G$801, 0)+1))&lt;=31,3,IF(INDEX(ERP資料!$G:$G, (MATCH(486, 輔助計算!$G$2:$G$801, 0)+1))&lt;=46.5,2,1)), IF(INDEX(ERP資料!$G:$G, (MATCH(486, 輔助計算!$G$2:$G$801, 0)+1))&lt;=790,3,IF(INDEX(ERP資料!$G:$G, (MATCH(486, 輔助計算!$G$2:$G$801, 0)+1))&lt;=1181,2,1))))&gt;0, IF(IF(INDEX(ERP資料!$G:$G, (MATCH(486, 輔助計算!$G$2:$G$801, 0)+1))&lt;100, IF(INDEX(ERP資料!$G:$G, (MATCH(486, 輔助計算!$G$2:$G$801, 0)+1))&lt;=31,3,IF(INDEX(ERP資料!$G:$G, (MATCH(486, 輔助計算!$G$2:$G$801, 0)+1))&lt;=46.5,2,1)), IF(INDEX(ERP資料!$G:$G, (MATCH(486, 輔助計算!$G$2:$G$801, 0)+1))&lt;=790,3,IF(INDEX(ERP資料!$G:$G, (MATCH(486, 輔助計算!$G$2:$G$801, 0)+1))&lt;=1181,2,1)))=1,TEXT(INDEX(ERP資料!$G:$G, (MATCH(486, 輔助計算!$G$2:$G$801, 0)+1)),"0.##"),IF(IF(INDEX(ERP資料!$G:$G, (MATCH(486, 輔助計算!$G$2:$G$801, 0)+1))&lt;100, IF(INDEX(ERP資料!$G:$G, (MATCH(486, 輔助計算!$G$2:$G$801, 0)+1))&lt;=31,3,IF(INDEX(ERP資料!$G:$G, (MATCH(486, 輔助計算!$G$2:$G$801, 0)+1))&lt;=46.5,2,1)), IF(INDEX(ERP資料!$G:$G, (MATCH(486, 輔助計算!$G$2:$G$801, 0)+1))&lt;=790,3,IF(INDEX(ERP資料!$G:$G, (MATCH(486, 輔助計算!$G$2:$G$801, 0)+1))&lt;=1181,2,1)))=2,TEXT(INDEX(ERP資料!$G:$G, (MATCH(486, 輔助計算!$G$2:$G$801, 0)+1)),"0.##")&amp;"+"&amp;TEXT(INDEX(ERP資料!$G:$G, (MATCH(486, 輔助計算!$G$2:$G$801, 0)+1)),"0.##"),TEXT(INDEX(ERP資料!$G:$G, (MATCH(486, 輔助計算!$G$2:$G$801, 0)+1)),"0.##")&amp;"+"&amp;TEXT(INDEX(ERP資料!$G:$G, (MATCH(486, 輔助計算!$G$2:$G$801, 0)+1)),"0.##")&amp;"+"&amp;TEXT(INDEX(ERP資料!$G:$G, (MATCH(486, 輔助計算!$G$2:$G$801, 0)+1)),"0.##")))&amp;"-"&amp;INT(INDEX(輔助計算!$D:$D, (MATCH(486, 輔助計算!$G$2:$G$801, 0)+1))/IF(INDEX(ERP資料!$G:$G, (MATCH(486, 輔助計算!$G$2:$G$801, 0)+1))&lt;100, IF(INDEX(ERP資料!$G:$G, (MATCH(486, 輔助計算!$G$2:$G$801, 0)+1))&lt;=31,3,IF(INDEX(ERP資料!$G:$G, (MATCH(486, 輔助計算!$G$2:$G$801, 0)+1))&lt;=46.5,2,1)), IF(INDEX(ERP資料!$G:$G, (MATCH(486, 輔助計算!$G$2:$G$801, 0)+1))&lt;=790,3,IF(INDEX(ERP資料!$G:$G, (MATCH(486, 輔助計算!$G$2:$G$801, 0)+1))&lt;=1181,2,1)))), "")&amp;IF(AND(IF(INT(INDEX(輔助計算!$D:$D, (MATCH(486, 輔助計算!$G$2:$G$801, 0)+1))/IF(INDEX(ERP資料!$G:$G, (MATCH(486, 輔助計算!$G$2:$G$801, 0)+1))&lt;100, IF(INDEX(ERP資料!$G:$G, (MATCH(486, 輔助計算!$G$2:$G$801, 0)+1))&lt;=31,3,IF(INDEX(ERP資料!$G:$G, (MATCH(486, 輔助計算!$G$2:$G$801, 0)+1))&lt;=46.5,2,1)), IF(INDEX(ERP資料!$G:$G, (MATCH(486, 輔助計算!$G$2:$G$801, 0)+1))&lt;=790,3,IF(INDEX(ERP資料!$G:$G, (MATCH(486, 輔助計算!$G$2:$G$801, 0)+1))&lt;=1181,2,1))))&gt;0, IF(IF(INDEX(ERP資料!$G:$G, (MATCH(486, 輔助計算!$G$2:$G$801, 0)+1))&lt;100, IF(INDEX(ERP資料!$G:$G, (MATCH(486, 輔助計算!$G$2:$G$801, 0)+1))&lt;=31,3,IF(INDEX(ERP資料!$G:$G, (MATCH(486, 輔助計算!$G$2:$G$801, 0)+1))&lt;=46.5,2,1)), IF(INDEX(ERP資料!$G:$G, (MATCH(486, 輔助計算!$G$2:$G$801, 0)+1))&lt;=790,3,IF(INDEX(ERP資料!$G:$G, (MATCH(486, 輔助計算!$G$2:$G$801, 0)+1))&lt;=1181,2,1)))=1,TEXT(INDEX(ERP資料!$G:$G, (MATCH(486, 輔助計算!$G$2:$G$801, 0)+1)),"0.##"),IF(IF(INDEX(ERP資料!$G:$G, (MATCH(486, 輔助計算!$G$2:$G$801, 0)+1))&lt;100, IF(INDEX(ERP資料!$G:$G, (MATCH(486, 輔助計算!$G$2:$G$801, 0)+1))&lt;=31,3,IF(INDEX(ERP資料!$G:$G, (MATCH(486, 輔助計算!$G$2:$G$801, 0)+1))&lt;=46.5,2,1)), IF(INDEX(ERP資料!$G:$G, (MATCH(486, 輔助計算!$G$2:$G$801, 0)+1))&lt;=790,3,IF(INDEX(ERP資料!$G:$G, (MATCH(486, 輔助計算!$G$2:$G$801, 0)+1))&lt;=1181,2,1)))=2,TEXT(INDEX(ERP資料!$G:$G, (MATCH(486, 輔助計算!$G$2:$G$801, 0)+1)),"0.##")&amp;"+"&amp;TEXT(INDEX(ERP資料!$G:$G, (MATCH(486, 輔助計算!$G$2:$G$801, 0)+1)),"0.##"),TEXT(INDEX(ERP資料!$G:$G, (MATCH(486, 輔助計算!$G$2:$G$801, 0)+1)),"0.##")&amp;"+"&amp;TEXT(INDEX(ERP資料!$G:$G, (MATCH(486, 輔助計算!$G$2:$G$801, 0)+1)),"0.##")&amp;"+"&amp;TEXT(INDEX(ERP資料!$G:$G, (MATCH(486, 輔助計算!$G$2:$G$801, 0)+1)),"0.##")))&amp;"-"&amp;INT(INDEX(輔助計算!$D:$D, (MATCH(486, 輔助計算!$G$2:$G$801, 0)+1))/IF(INDEX(ERP資料!$G:$G, (MATCH(486, 輔助計算!$G$2:$G$801, 0)+1))&lt;100, IF(INDEX(ERP資料!$G:$G, (MATCH(486, 輔助計算!$G$2:$G$801, 0)+1))&lt;=31,3,IF(INDEX(ERP資料!$G:$G, (MATCH(486, 輔助計算!$G$2:$G$801, 0)+1))&lt;=46.5,2,1)), IF(INDEX(ERP資料!$G:$G, (MATCH(486, 輔助計算!$G$2:$G$801, 0)+1))&lt;=790,3,IF(INDEX(ERP資料!$G:$G, (MATCH(486, 輔助計算!$G$2:$G$801, 0)+1))&lt;=1181,2,1)))), "")&lt;&gt;"",IF(MOD(INDEX(輔助計算!$D:$D, (MATCH(486, 輔助計算!$G$2:$G$801, 0)+1)),IF(INDEX(ERP資料!$G:$G, (MATCH(486, 輔助計算!$G$2:$G$801, 0)+1))&lt;100, IF(INDEX(ERP資料!$G:$G, (MATCH(486, 輔助計算!$G$2:$G$801, 0)+1))&lt;=31,3,IF(INDEX(ERP資料!$G:$G, (MATCH(486, 輔助計算!$G$2:$G$801, 0)+1))&lt;=46.5,2,1)), IF(INDEX(ERP資料!$G:$G, (MATCH(486, 輔助計算!$G$2:$G$801, 0)+1))&lt;=790,3,IF(INDEX(ERP資料!$G:$G, (MATCH(486, 輔助計算!$G$2:$G$801, 0)+1))&lt;=1181,2,1))))=0,"",IF(MOD(INDEX(輔助計算!$D:$D, (MATCH(486, 輔助計算!$G$2:$G$801, 0)+1)),IF(INDEX(ERP資料!$G:$G, (MATCH(486, 輔助計算!$G$2:$G$801, 0)+1))&lt;100, IF(INDEX(ERP資料!$G:$G, (MATCH(486, 輔助計算!$G$2:$G$801, 0)+1))&lt;=31,3,IF(INDEX(ERP資料!$G:$G, (MATCH(486, 輔助計算!$G$2:$G$801, 0)+1))&lt;=46.5,2,1)), IF(INDEX(ERP資料!$G:$G, (MATCH(486, 輔助計算!$G$2:$G$801, 0)+1))&lt;=790,3,IF(INDEX(ERP資料!$G:$G, (MATCH(486, 輔助計算!$G$2:$G$801, 0)+1))&lt;=1181,2,1))))=0,"",IF(MOD(INDEX(輔助計算!$D:$D, (MATCH(486, 輔助計算!$G$2:$G$801, 0)+1)),IF(INDEX(ERP資料!$G:$G, (MATCH(486, 輔助計算!$G$2:$G$801, 0)+1))&lt;100, IF(INDEX(ERP資料!$G:$G, (MATCH(486, 輔助計算!$G$2:$G$801, 0)+1))&lt;=31,3,IF(INDEX(ERP資料!$G:$G, (MATCH(486, 輔助計算!$G$2:$G$801, 0)+1))&lt;=46.5,2,1)), IF(INDEX(ERP資料!$G:$G, (MATCH(486, 輔助計算!$G$2:$G$801, 0)+1))&lt;=790,3,IF(INDEX(ERP資料!$G:$G, (MATCH(486, 輔助計算!$G$2:$G$801, 0)+1))&lt;=1181,2,1))))=1,TEXT(INDEX(ERP資料!$G:$G, (MATCH(486, 輔助計算!$G$2:$G$801, 0)+1)),"0.##"),IF(MOD(INDEX(輔助計算!$D:$D, (MATCH(486, 輔助計算!$G$2:$G$801, 0)+1)),IF(INDEX(ERP資料!$G:$G, (MATCH(486, 輔助計算!$G$2:$G$801, 0)+1))&lt;100, IF(INDEX(ERP資料!$G:$G, (MATCH(486, 輔助計算!$G$2:$G$801, 0)+1))&lt;=31,3,IF(INDEX(ERP資料!$G:$G, (MATCH(486, 輔助計算!$G$2:$G$801, 0)+1))&lt;=46.5,2,1)), IF(INDEX(ERP資料!$G:$G, (MATCH(486, 輔助計算!$G$2:$G$801, 0)+1))&lt;=790,3,IF(INDEX(ERP資料!$G:$G, (MATCH(486, 輔助計算!$G$2:$G$801, 0)+1))&lt;=1181,2,1))))=2,TEXT(INDEX(ERP資料!$G:$G, (MATCH(486, 輔助計算!$G$2:$G$801, 0)+1)),"0.##")&amp;"+"&amp;TEXT(INDEX(ERP資料!$G:$G, (MATCH(486, 輔助計算!$G$2:$G$801, 0)+1)),"0.##"),TEXT(INDEX(ERP資料!$G:$G, (MATCH(486, 輔助計算!$G$2:$G$801, 0)+1)),"0.##")&amp;"+"&amp;TEXT(INDEX(ERP資料!$G:$G, (MATCH(486, 輔助計算!$G$2:$G$801, 0)+1)),"0.##")&amp;"+"&amp;TEXT(INDEX(ERP資料!$G:$G, (MATCH(486, 輔助計算!$G$2:$G$801, 0)+1)),"0.##"))))&amp;"-1")&lt;&gt;""),"  ","")&amp;IF(MOD(INDEX(輔助計算!$D:$D, (MATCH(486, 輔助計算!$G$2:$G$801, 0)+1)),IF(INDEX(ERP資料!$G:$G, (MATCH(486, 輔助計算!$G$2:$G$801, 0)+1))&lt;100, IF(INDEX(ERP資料!$G:$G, (MATCH(486, 輔助計算!$G$2:$G$801, 0)+1))&lt;=31,3,IF(INDEX(ERP資料!$G:$G, (MATCH(486, 輔助計算!$G$2:$G$801, 0)+1))&lt;=46.5,2,1)), IF(INDEX(ERP資料!$G:$G, (MATCH(486, 輔助計算!$G$2:$G$801, 0)+1))&lt;=790,3,IF(INDEX(ERP資料!$G:$G, (MATCH(486, 輔助計算!$G$2:$G$801, 0)+1))&lt;=1181,2,1))))=0,"",IF(MOD(INDEX(輔助計算!$D:$D, (MATCH(486, 輔助計算!$G$2:$G$801, 0)+1)),IF(INDEX(ERP資料!$G:$G, (MATCH(486, 輔助計算!$G$2:$G$801, 0)+1))&lt;100, IF(INDEX(ERP資料!$G:$G, (MATCH(486, 輔助計算!$G$2:$G$801, 0)+1))&lt;=31,3,IF(INDEX(ERP資料!$G:$G, (MATCH(486, 輔助計算!$G$2:$G$801, 0)+1))&lt;=46.5,2,1)), IF(INDEX(ERP資料!$G:$G, (MATCH(486, 輔助計算!$G$2:$G$801, 0)+1))&lt;=790,3,IF(INDEX(ERP資料!$G:$G, (MATCH(486, 輔助計算!$G$2:$G$801, 0)+1))&lt;=1181,2,1))))=0,"",IF(MOD(INDEX(輔助計算!$D:$D, (MATCH(486, 輔助計算!$G$2:$G$801, 0)+1)),IF(INDEX(ERP資料!$G:$G, (MATCH(486, 輔助計算!$G$2:$G$801, 0)+1))&lt;100, IF(INDEX(ERP資料!$G:$G, (MATCH(486, 輔助計算!$G$2:$G$801, 0)+1))&lt;=31,3,IF(INDEX(ERP資料!$G:$G, (MATCH(486, 輔助計算!$G$2:$G$801, 0)+1))&lt;=46.5,2,1)), IF(INDEX(ERP資料!$G:$G, (MATCH(486, 輔助計算!$G$2:$G$801, 0)+1))&lt;=790,3,IF(INDEX(ERP資料!$G:$G, (MATCH(486, 輔助計算!$G$2:$G$801, 0)+1))&lt;=1181,2,1))))=1,TEXT(INDEX(ERP資料!$G:$G, (MATCH(486, 輔助計算!$G$2:$G$801, 0)+1)),"0.##"),IF(MOD(INDEX(輔助計算!$D:$D, (MATCH(486, 輔助計算!$G$2:$G$801, 0)+1)),IF(INDEX(ERP資料!$G:$G, (MATCH(486, 輔助計算!$G$2:$G$801, 0)+1))&lt;100, IF(INDEX(ERP資料!$G:$G, (MATCH(486, 輔助計算!$G$2:$G$801, 0)+1))&lt;=31,3,IF(INDEX(ERP資料!$G:$G, (MATCH(486, 輔助計算!$G$2:$G$801, 0)+1))&lt;=46.5,2,1)), IF(INDEX(ERP資料!$G:$G, (MATCH(486, 輔助計算!$G$2:$G$801, 0)+1))&lt;=790,3,IF(INDEX(ERP資料!$G:$G, (MATCH(486, 輔助計算!$G$2:$G$801, 0)+1))&lt;=1181,2,1))))=2,TEXT(INDEX(ERP資料!$G:$G, (MATCH(486, 輔助計算!$G$2:$G$801, 0)+1)),"0.##")&amp;"+"&amp;TEXT(INDEX(ERP資料!$G:$G, (MATCH(486, 輔助計算!$G$2:$G$801, 0)+1)),"0.##"),TEXT(INDEX(ERP資料!$G:$G, (MATCH(486, 輔助計算!$G$2:$G$801, 0)+1)),"0.##")&amp;"+"&amp;TEXT(INDEX(ERP資料!$G:$G, (MATCH(486, 輔助計算!$G$2:$G$801, 0)+1)),"0.##")&amp;"+"&amp;TEXT(INDEX(ERP資料!$G:$G, (MATCH(486, 輔助計算!$G$2:$G$801, 0)+1)),"0.##"))))&amp;"-1")), ""), "")</f>
        <v/>
      </c>
      <c r="K487" s="16" t="n"/>
      <c r="L487" s="14">
        <f>IFERROR(IF(AND(IFERROR(INDEX(ERP資料!$A:$A, (MATCH(486, 輔助計算!$G$2:$G$801, 0)+1)), "")&lt;&gt;"", IFERROR(INDEX(ERP資料!$A:$A, (MATCH(486, 輔助計算!$G$2:$G$801, 0)+1)), "")&lt;&gt;IFERROR(INDEX(ERP資料!$A:$A, MATCH(485, 輔助計算!$G$2:$G$801, 0)+1), "")), INDEX(ERP資料!$B:$B, (MATCH(486, 輔助計算!$G$2:$G$801, 0)+1)), ""), "")</f>
        <v/>
      </c>
      <c r="M487" s="17" t="n"/>
    </row>
    <row r="488">
      <c r="A488" s="10">
        <f>IFERROR(IF(AND(IFERROR(INDEX(ERP資料!$A:$A, (MATCH(487, 輔助計算!$G$2:$G$801, 0)+1)), "")&lt;&gt;"", IFERROR(INDEX(ERP資料!$A:$A, (MATCH(487, 輔助計算!$G$2:$G$801, 0)+1)), "")&lt;&gt;IFERROR(INDEX(ERP資料!$A:$A, MATCH(486, 輔助計算!$G$2:$G$801, 0)+1), "")), IFERROR(INDEX(ERP資料!$A:$A, (MATCH(487, 輔助計算!$G$2:$G$801, 0)+1)), ""), ""), "")</f>
        <v/>
      </c>
      <c r="B488" s="10">
        <f>IFERROR(IF(AND(IFERROR(INDEX(ERP資料!$A:$A, (MATCH(487, 輔助計算!$G$2:$G$801, 0)+1)), "")&lt;&gt;"", IFERROR(INDEX(ERP資料!$A:$A, (MATCH(487, 輔助計算!$G$2:$G$801, 0)+1)), "")&lt;&gt;IFERROR(INDEX(ERP資料!$A:$A, MATCH(486, 輔助計算!$G$2:$G$801, 0)+1), "")), INDEX(ERP資料!$S:$S, (MATCH(487, 輔助計算!$G$2:$G$801, 0)+1)), ""), "")</f>
        <v/>
      </c>
      <c r="C488" s="19">
        <f>IFERROR(IF(AND(IFERROR(INDEX(ERP資料!$A:$A, (MATCH(487, 輔助計算!$G$2:$G$801, 0)+1)), "")&lt;&gt;"", IFERROR(INDEX(ERP資料!$A:$A, (MATCH(487, 輔助計算!$G$2:$G$801, 0)+1)), "")&lt;&gt;IFERROR(INDEX(ERP資料!$A:$A, MATCH(486, 輔助計算!$G$2:$G$801, 0)+1), "")), IFERROR(VLOOKUP(LEFT(INDEX(ERP資料!$S:$S, (MATCH(487, 輔助計算!$G$2:$G$801, 0)+1)), 4), 紙管對照表!$A:$C, 3, FALSE), ""), ""), "")</f>
        <v/>
      </c>
      <c r="D488" s="16" t="n"/>
      <c r="E488" s="10">
        <f>IFERROR(IF(INDEX(ERP資料!$H:$H, (MATCH(487, 輔助計算!$G$2:$G$801, 0)+1))="","",INDEX(ERP資料!$H:$H, (MATCH(487, 輔助計算!$G$2:$G$801, 0)+1))), "")</f>
        <v/>
      </c>
      <c r="F488" s="10">
        <f>IFERROR(IF(INDEX(ERP資料!$E:$E, (MATCH(487, 輔助計算!$G$2:$G$801, 0)+1))="","",TRIM(INDEX(ERP資料!$E:$E, (MATCH(487, 輔助計算!$G$2:$G$801, 0)+1)))), "")</f>
        <v/>
      </c>
      <c r="G488" s="10">
        <f>IFERROR(IF(INDEX(ERP資料!$F:$F, (MATCH(487, 輔助計算!$G$2:$G$801, 0)+1))="","",INDEX(ERP資料!$F:$F, (MATCH(487, 輔助計算!$G$2:$G$801, 0)+1))), "")</f>
        <v/>
      </c>
      <c r="H488" s="10">
        <f>IFERROR(IF(INDEX(ERP資料!$G:$G, (MATCH(487, 輔助計算!$G$2:$G$801, 0)+1))="","",INDEX(ERP資料!$G:$G, (MATCH(487, 輔助計算!$G$2:$G$801, 0)+1))), "")</f>
        <v/>
      </c>
      <c r="I488" s="15">
        <f>IFERROR(INDEX(輔助計算!$D:$D, (MATCH(487, 輔助計算!$G$2:$G$801, 0)+1)), "")</f>
        <v/>
      </c>
      <c r="J488" s="15">
        <f>IFERROR(IF(AND(INDEX(輔助計算!$D:$D, (MATCH(487, 輔助計算!$G$2:$G$801, 0)+1))&lt;&gt;"", INDEX(ERP資料!$G:$G, (MATCH(487, 輔助計算!$G$2:$G$801, 0)+1))&lt;&gt;""), TRIM(IF(INT(INDEX(輔助計算!$D:$D, (MATCH(487, 輔助計算!$G$2:$G$801, 0)+1))/IF(INDEX(ERP資料!$G:$G, (MATCH(487, 輔助計算!$G$2:$G$801, 0)+1))&lt;100, IF(INDEX(ERP資料!$G:$G, (MATCH(487, 輔助計算!$G$2:$G$801, 0)+1))&lt;=31,3,IF(INDEX(ERP資料!$G:$G, (MATCH(487, 輔助計算!$G$2:$G$801, 0)+1))&lt;=46.5,2,1)), IF(INDEX(ERP資料!$G:$G, (MATCH(487, 輔助計算!$G$2:$G$801, 0)+1))&lt;=790,3,IF(INDEX(ERP資料!$G:$G, (MATCH(487, 輔助計算!$G$2:$G$801, 0)+1))&lt;=1181,2,1))))&gt;0, IF(IF(INDEX(ERP資料!$G:$G, (MATCH(487, 輔助計算!$G$2:$G$801, 0)+1))&lt;100, IF(INDEX(ERP資料!$G:$G, (MATCH(487, 輔助計算!$G$2:$G$801, 0)+1))&lt;=31,3,IF(INDEX(ERP資料!$G:$G, (MATCH(487, 輔助計算!$G$2:$G$801, 0)+1))&lt;=46.5,2,1)), IF(INDEX(ERP資料!$G:$G, (MATCH(487, 輔助計算!$G$2:$G$801, 0)+1))&lt;=790,3,IF(INDEX(ERP資料!$G:$G, (MATCH(487, 輔助計算!$G$2:$G$801, 0)+1))&lt;=1181,2,1)))=1,TEXT(INDEX(ERP資料!$G:$G, (MATCH(487, 輔助計算!$G$2:$G$801, 0)+1)),"0.##"),IF(IF(INDEX(ERP資料!$G:$G, (MATCH(487, 輔助計算!$G$2:$G$801, 0)+1))&lt;100, IF(INDEX(ERP資料!$G:$G, (MATCH(487, 輔助計算!$G$2:$G$801, 0)+1))&lt;=31,3,IF(INDEX(ERP資料!$G:$G, (MATCH(487, 輔助計算!$G$2:$G$801, 0)+1))&lt;=46.5,2,1)), IF(INDEX(ERP資料!$G:$G, (MATCH(487, 輔助計算!$G$2:$G$801, 0)+1))&lt;=790,3,IF(INDEX(ERP資料!$G:$G, (MATCH(487, 輔助計算!$G$2:$G$801, 0)+1))&lt;=1181,2,1)))=2,TEXT(INDEX(ERP資料!$G:$G, (MATCH(487, 輔助計算!$G$2:$G$801, 0)+1)),"0.##")&amp;"+"&amp;TEXT(INDEX(ERP資料!$G:$G, (MATCH(487, 輔助計算!$G$2:$G$801, 0)+1)),"0.##"),TEXT(INDEX(ERP資料!$G:$G, (MATCH(487, 輔助計算!$G$2:$G$801, 0)+1)),"0.##")&amp;"+"&amp;TEXT(INDEX(ERP資料!$G:$G, (MATCH(487, 輔助計算!$G$2:$G$801, 0)+1)),"0.##")&amp;"+"&amp;TEXT(INDEX(ERP資料!$G:$G, (MATCH(487, 輔助計算!$G$2:$G$801, 0)+1)),"0.##")))&amp;"-"&amp;INT(INDEX(輔助計算!$D:$D, (MATCH(487, 輔助計算!$G$2:$G$801, 0)+1))/IF(INDEX(ERP資料!$G:$G, (MATCH(487, 輔助計算!$G$2:$G$801, 0)+1))&lt;100, IF(INDEX(ERP資料!$G:$G, (MATCH(487, 輔助計算!$G$2:$G$801, 0)+1))&lt;=31,3,IF(INDEX(ERP資料!$G:$G, (MATCH(487, 輔助計算!$G$2:$G$801, 0)+1))&lt;=46.5,2,1)), IF(INDEX(ERP資料!$G:$G, (MATCH(487, 輔助計算!$G$2:$G$801, 0)+1))&lt;=790,3,IF(INDEX(ERP資料!$G:$G, (MATCH(487, 輔助計算!$G$2:$G$801, 0)+1))&lt;=1181,2,1)))), "")&amp;IF(AND(IF(INT(INDEX(輔助計算!$D:$D, (MATCH(487, 輔助計算!$G$2:$G$801, 0)+1))/IF(INDEX(ERP資料!$G:$G, (MATCH(487, 輔助計算!$G$2:$G$801, 0)+1))&lt;100, IF(INDEX(ERP資料!$G:$G, (MATCH(487, 輔助計算!$G$2:$G$801, 0)+1))&lt;=31,3,IF(INDEX(ERP資料!$G:$G, (MATCH(487, 輔助計算!$G$2:$G$801, 0)+1))&lt;=46.5,2,1)), IF(INDEX(ERP資料!$G:$G, (MATCH(487, 輔助計算!$G$2:$G$801, 0)+1))&lt;=790,3,IF(INDEX(ERP資料!$G:$G, (MATCH(487, 輔助計算!$G$2:$G$801, 0)+1))&lt;=1181,2,1))))&gt;0, IF(IF(INDEX(ERP資料!$G:$G, (MATCH(487, 輔助計算!$G$2:$G$801, 0)+1))&lt;100, IF(INDEX(ERP資料!$G:$G, (MATCH(487, 輔助計算!$G$2:$G$801, 0)+1))&lt;=31,3,IF(INDEX(ERP資料!$G:$G, (MATCH(487, 輔助計算!$G$2:$G$801, 0)+1))&lt;=46.5,2,1)), IF(INDEX(ERP資料!$G:$G, (MATCH(487, 輔助計算!$G$2:$G$801, 0)+1))&lt;=790,3,IF(INDEX(ERP資料!$G:$G, (MATCH(487, 輔助計算!$G$2:$G$801, 0)+1))&lt;=1181,2,1)))=1,TEXT(INDEX(ERP資料!$G:$G, (MATCH(487, 輔助計算!$G$2:$G$801, 0)+1)),"0.##"),IF(IF(INDEX(ERP資料!$G:$G, (MATCH(487, 輔助計算!$G$2:$G$801, 0)+1))&lt;100, IF(INDEX(ERP資料!$G:$G, (MATCH(487, 輔助計算!$G$2:$G$801, 0)+1))&lt;=31,3,IF(INDEX(ERP資料!$G:$G, (MATCH(487, 輔助計算!$G$2:$G$801, 0)+1))&lt;=46.5,2,1)), IF(INDEX(ERP資料!$G:$G, (MATCH(487, 輔助計算!$G$2:$G$801, 0)+1))&lt;=790,3,IF(INDEX(ERP資料!$G:$G, (MATCH(487, 輔助計算!$G$2:$G$801, 0)+1))&lt;=1181,2,1)))=2,TEXT(INDEX(ERP資料!$G:$G, (MATCH(487, 輔助計算!$G$2:$G$801, 0)+1)),"0.##")&amp;"+"&amp;TEXT(INDEX(ERP資料!$G:$G, (MATCH(487, 輔助計算!$G$2:$G$801, 0)+1)),"0.##"),TEXT(INDEX(ERP資料!$G:$G, (MATCH(487, 輔助計算!$G$2:$G$801, 0)+1)),"0.##")&amp;"+"&amp;TEXT(INDEX(ERP資料!$G:$G, (MATCH(487, 輔助計算!$G$2:$G$801, 0)+1)),"0.##")&amp;"+"&amp;TEXT(INDEX(ERP資料!$G:$G, (MATCH(487, 輔助計算!$G$2:$G$801, 0)+1)),"0.##")))&amp;"-"&amp;INT(INDEX(輔助計算!$D:$D, (MATCH(487, 輔助計算!$G$2:$G$801, 0)+1))/IF(INDEX(ERP資料!$G:$G, (MATCH(487, 輔助計算!$G$2:$G$801, 0)+1))&lt;100, IF(INDEX(ERP資料!$G:$G, (MATCH(487, 輔助計算!$G$2:$G$801, 0)+1))&lt;=31,3,IF(INDEX(ERP資料!$G:$G, (MATCH(487, 輔助計算!$G$2:$G$801, 0)+1))&lt;=46.5,2,1)), IF(INDEX(ERP資料!$G:$G, (MATCH(487, 輔助計算!$G$2:$G$801, 0)+1))&lt;=790,3,IF(INDEX(ERP資料!$G:$G, (MATCH(487, 輔助計算!$G$2:$G$801, 0)+1))&lt;=1181,2,1)))), "")&lt;&gt;"",IF(MOD(INDEX(輔助計算!$D:$D, (MATCH(487, 輔助計算!$G$2:$G$801, 0)+1)),IF(INDEX(ERP資料!$G:$G, (MATCH(487, 輔助計算!$G$2:$G$801, 0)+1))&lt;100, IF(INDEX(ERP資料!$G:$G, (MATCH(487, 輔助計算!$G$2:$G$801, 0)+1))&lt;=31,3,IF(INDEX(ERP資料!$G:$G, (MATCH(487, 輔助計算!$G$2:$G$801, 0)+1))&lt;=46.5,2,1)), IF(INDEX(ERP資料!$G:$G, (MATCH(487, 輔助計算!$G$2:$G$801, 0)+1))&lt;=790,3,IF(INDEX(ERP資料!$G:$G, (MATCH(487, 輔助計算!$G$2:$G$801, 0)+1))&lt;=1181,2,1))))=0,"",IF(MOD(INDEX(輔助計算!$D:$D, (MATCH(487, 輔助計算!$G$2:$G$801, 0)+1)),IF(INDEX(ERP資料!$G:$G, (MATCH(487, 輔助計算!$G$2:$G$801, 0)+1))&lt;100, IF(INDEX(ERP資料!$G:$G, (MATCH(487, 輔助計算!$G$2:$G$801, 0)+1))&lt;=31,3,IF(INDEX(ERP資料!$G:$G, (MATCH(487, 輔助計算!$G$2:$G$801, 0)+1))&lt;=46.5,2,1)), IF(INDEX(ERP資料!$G:$G, (MATCH(487, 輔助計算!$G$2:$G$801, 0)+1))&lt;=790,3,IF(INDEX(ERP資料!$G:$G, (MATCH(487, 輔助計算!$G$2:$G$801, 0)+1))&lt;=1181,2,1))))=0,"",IF(MOD(INDEX(輔助計算!$D:$D, (MATCH(487, 輔助計算!$G$2:$G$801, 0)+1)),IF(INDEX(ERP資料!$G:$G, (MATCH(487, 輔助計算!$G$2:$G$801, 0)+1))&lt;100, IF(INDEX(ERP資料!$G:$G, (MATCH(487, 輔助計算!$G$2:$G$801, 0)+1))&lt;=31,3,IF(INDEX(ERP資料!$G:$G, (MATCH(487, 輔助計算!$G$2:$G$801, 0)+1))&lt;=46.5,2,1)), IF(INDEX(ERP資料!$G:$G, (MATCH(487, 輔助計算!$G$2:$G$801, 0)+1))&lt;=790,3,IF(INDEX(ERP資料!$G:$G, (MATCH(487, 輔助計算!$G$2:$G$801, 0)+1))&lt;=1181,2,1))))=1,TEXT(INDEX(ERP資料!$G:$G, (MATCH(487, 輔助計算!$G$2:$G$801, 0)+1)),"0.##"),IF(MOD(INDEX(輔助計算!$D:$D, (MATCH(487, 輔助計算!$G$2:$G$801, 0)+1)),IF(INDEX(ERP資料!$G:$G, (MATCH(487, 輔助計算!$G$2:$G$801, 0)+1))&lt;100, IF(INDEX(ERP資料!$G:$G, (MATCH(487, 輔助計算!$G$2:$G$801, 0)+1))&lt;=31,3,IF(INDEX(ERP資料!$G:$G, (MATCH(487, 輔助計算!$G$2:$G$801, 0)+1))&lt;=46.5,2,1)), IF(INDEX(ERP資料!$G:$G, (MATCH(487, 輔助計算!$G$2:$G$801, 0)+1))&lt;=790,3,IF(INDEX(ERP資料!$G:$G, (MATCH(487, 輔助計算!$G$2:$G$801, 0)+1))&lt;=1181,2,1))))=2,TEXT(INDEX(ERP資料!$G:$G, (MATCH(487, 輔助計算!$G$2:$G$801, 0)+1)),"0.##")&amp;"+"&amp;TEXT(INDEX(ERP資料!$G:$G, (MATCH(487, 輔助計算!$G$2:$G$801, 0)+1)),"0.##"),TEXT(INDEX(ERP資料!$G:$G, (MATCH(487, 輔助計算!$G$2:$G$801, 0)+1)),"0.##")&amp;"+"&amp;TEXT(INDEX(ERP資料!$G:$G, (MATCH(487, 輔助計算!$G$2:$G$801, 0)+1)),"0.##")&amp;"+"&amp;TEXT(INDEX(ERP資料!$G:$G, (MATCH(487, 輔助計算!$G$2:$G$801, 0)+1)),"0.##"))))&amp;"-1")&lt;&gt;""),"  ","")&amp;IF(MOD(INDEX(輔助計算!$D:$D, (MATCH(487, 輔助計算!$G$2:$G$801, 0)+1)),IF(INDEX(ERP資料!$G:$G, (MATCH(487, 輔助計算!$G$2:$G$801, 0)+1))&lt;100, IF(INDEX(ERP資料!$G:$G, (MATCH(487, 輔助計算!$G$2:$G$801, 0)+1))&lt;=31,3,IF(INDEX(ERP資料!$G:$G, (MATCH(487, 輔助計算!$G$2:$G$801, 0)+1))&lt;=46.5,2,1)), IF(INDEX(ERP資料!$G:$G, (MATCH(487, 輔助計算!$G$2:$G$801, 0)+1))&lt;=790,3,IF(INDEX(ERP資料!$G:$G, (MATCH(487, 輔助計算!$G$2:$G$801, 0)+1))&lt;=1181,2,1))))=0,"",IF(MOD(INDEX(輔助計算!$D:$D, (MATCH(487, 輔助計算!$G$2:$G$801, 0)+1)),IF(INDEX(ERP資料!$G:$G, (MATCH(487, 輔助計算!$G$2:$G$801, 0)+1))&lt;100, IF(INDEX(ERP資料!$G:$G, (MATCH(487, 輔助計算!$G$2:$G$801, 0)+1))&lt;=31,3,IF(INDEX(ERP資料!$G:$G, (MATCH(487, 輔助計算!$G$2:$G$801, 0)+1))&lt;=46.5,2,1)), IF(INDEX(ERP資料!$G:$G, (MATCH(487, 輔助計算!$G$2:$G$801, 0)+1))&lt;=790,3,IF(INDEX(ERP資料!$G:$G, (MATCH(487, 輔助計算!$G$2:$G$801, 0)+1))&lt;=1181,2,1))))=0,"",IF(MOD(INDEX(輔助計算!$D:$D, (MATCH(487, 輔助計算!$G$2:$G$801, 0)+1)),IF(INDEX(ERP資料!$G:$G, (MATCH(487, 輔助計算!$G$2:$G$801, 0)+1))&lt;100, IF(INDEX(ERP資料!$G:$G, (MATCH(487, 輔助計算!$G$2:$G$801, 0)+1))&lt;=31,3,IF(INDEX(ERP資料!$G:$G, (MATCH(487, 輔助計算!$G$2:$G$801, 0)+1))&lt;=46.5,2,1)), IF(INDEX(ERP資料!$G:$G, (MATCH(487, 輔助計算!$G$2:$G$801, 0)+1))&lt;=790,3,IF(INDEX(ERP資料!$G:$G, (MATCH(487, 輔助計算!$G$2:$G$801, 0)+1))&lt;=1181,2,1))))=1,TEXT(INDEX(ERP資料!$G:$G, (MATCH(487, 輔助計算!$G$2:$G$801, 0)+1)),"0.##"),IF(MOD(INDEX(輔助計算!$D:$D, (MATCH(487, 輔助計算!$G$2:$G$801, 0)+1)),IF(INDEX(ERP資料!$G:$G, (MATCH(487, 輔助計算!$G$2:$G$801, 0)+1))&lt;100, IF(INDEX(ERP資料!$G:$G, (MATCH(487, 輔助計算!$G$2:$G$801, 0)+1))&lt;=31,3,IF(INDEX(ERP資料!$G:$G, (MATCH(487, 輔助計算!$G$2:$G$801, 0)+1))&lt;=46.5,2,1)), IF(INDEX(ERP資料!$G:$G, (MATCH(487, 輔助計算!$G$2:$G$801, 0)+1))&lt;=790,3,IF(INDEX(ERP資料!$G:$G, (MATCH(487, 輔助計算!$G$2:$G$801, 0)+1))&lt;=1181,2,1))))=2,TEXT(INDEX(ERP資料!$G:$G, (MATCH(487, 輔助計算!$G$2:$G$801, 0)+1)),"0.##")&amp;"+"&amp;TEXT(INDEX(ERP資料!$G:$G, (MATCH(487, 輔助計算!$G$2:$G$801, 0)+1)),"0.##"),TEXT(INDEX(ERP資料!$G:$G, (MATCH(487, 輔助計算!$G$2:$G$801, 0)+1)),"0.##")&amp;"+"&amp;TEXT(INDEX(ERP資料!$G:$G, (MATCH(487, 輔助計算!$G$2:$G$801, 0)+1)),"0.##")&amp;"+"&amp;TEXT(INDEX(ERP資料!$G:$G, (MATCH(487, 輔助計算!$G$2:$G$801, 0)+1)),"0.##"))))&amp;"-1")), ""), "")</f>
        <v/>
      </c>
      <c r="K488" s="16" t="n"/>
      <c r="L488" s="14">
        <f>IFERROR(IF(AND(IFERROR(INDEX(ERP資料!$A:$A, (MATCH(487, 輔助計算!$G$2:$G$801, 0)+1)), "")&lt;&gt;"", IFERROR(INDEX(ERP資料!$A:$A, (MATCH(487, 輔助計算!$G$2:$G$801, 0)+1)), "")&lt;&gt;IFERROR(INDEX(ERP資料!$A:$A, MATCH(486, 輔助計算!$G$2:$G$801, 0)+1), "")), INDEX(ERP資料!$B:$B, (MATCH(487, 輔助計算!$G$2:$G$801, 0)+1)), ""), "")</f>
        <v/>
      </c>
      <c r="M488" s="17" t="n"/>
    </row>
    <row r="489">
      <c r="A489" s="10">
        <f>IFERROR(IF(AND(IFERROR(INDEX(ERP資料!$A:$A, (MATCH(488, 輔助計算!$G$2:$G$801, 0)+1)), "")&lt;&gt;"", IFERROR(INDEX(ERP資料!$A:$A, (MATCH(488, 輔助計算!$G$2:$G$801, 0)+1)), "")&lt;&gt;IFERROR(INDEX(ERP資料!$A:$A, MATCH(487, 輔助計算!$G$2:$G$801, 0)+1), "")), IFERROR(INDEX(ERP資料!$A:$A, (MATCH(488, 輔助計算!$G$2:$G$801, 0)+1)), ""), ""), "")</f>
        <v/>
      </c>
      <c r="B489" s="10">
        <f>IFERROR(IF(AND(IFERROR(INDEX(ERP資料!$A:$A, (MATCH(488, 輔助計算!$G$2:$G$801, 0)+1)), "")&lt;&gt;"", IFERROR(INDEX(ERP資料!$A:$A, (MATCH(488, 輔助計算!$G$2:$G$801, 0)+1)), "")&lt;&gt;IFERROR(INDEX(ERP資料!$A:$A, MATCH(487, 輔助計算!$G$2:$G$801, 0)+1), "")), INDEX(ERP資料!$S:$S, (MATCH(488, 輔助計算!$G$2:$G$801, 0)+1)), ""), "")</f>
        <v/>
      </c>
      <c r="C489" s="19">
        <f>IFERROR(IF(AND(IFERROR(INDEX(ERP資料!$A:$A, (MATCH(488, 輔助計算!$G$2:$G$801, 0)+1)), "")&lt;&gt;"", IFERROR(INDEX(ERP資料!$A:$A, (MATCH(488, 輔助計算!$G$2:$G$801, 0)+1)), "")&lt;&gt;IFERROR(INDEX(ERP資料!$A:$A, MATCH(487, 輔助計算!$G$2:$G$801, 0)+1), "")), IFERROR(VLOOKUP(LEFT(INDEX(ERP資料!$S:$S, (MATCH(488, 輔助計算!$G$2:$G$801, 0)+1)), 4), 紙管對照表!$A:$C, 3, FALSE), ""), ""), "")</f>
        <v/>
      </c>
      <c r="D489" s="16" t="n"/>
      <c r="E489" s="10">
        <f>IFERROR(IF(INDEX(ERP資料!$H:$H, (MATCH(488, 輔助計算!$G$2:$G$801, 0)+1))="","",INDEX(ERP資料!$H:$H, (MATCH(488, 輔助計算!$G$2:$G$801, 0)+1))), "")</f>
        <v/>
      </c>
      <c r="F489" s="10">
        <f>IFERROR(IF(INDEX(ERP資料!$E:$E, (MATCH(488, 輔助計算!$G$2:$G$801, 0)+1))="","",TRIM(INDEX(ERP資料!$E:$E, (MATCH(488, 輔助計算!$G$2:$G$801, 0)+1)))), "")</f>
        <v/>
      </c>
      <c r="G489" s="10">
        <f>IFERROR(IF(INDEX(ERP資料!$F:$F, (MATCH(488, 輔助計算!$G$2:$G$801, 0)+1))="","",INDEX(ERP資料!$F:$F, (MATCH(488, 輔助計算!$G$2:$G$801, 0)+1))), "")</f>
        <v/>
      </c>
      <c r="H489" s="10">
        <f>IFERROR(IF(INDEX(ERP資料!$G:$G, (MATCH(488, 輔助計算!$G$2:$G$801, 0)+1))="","",INDEX(ERP資料!$G:$G, (MATCH(488, 輔助計算!$G$2:$G$801, 0)+1))), "")</f>
        <v/>
      </c>
      <c r="I489" s="15">
        <f>IFERROR(INDEX(輔助計算!$D:$D, (MATCH(488, 輔助計算!$G$2:$G$801, 0)+1)), "")</f>
        <v/>
      </c>
      <c r="J489" s="15">
        <f>IFERROR(IF(AND(INDEX(輔助計算!$D:$D, (MATCH(488, 輔助計算!$G$2:$G$801, 0)+1))&lt;&gt;"", INDEX(ERP資料!$G:$G, (MATCH(488, 輔助計算!$G$2:$G$801, 0)+1))&lt;&gt;""), TRIM(IF(INT(INDEX(輔助計算!$D:$D, (MATCH(488, 輔助計算!$G$2:$G$801, 0)+1))/IF(INDEX(ERP資料!$G:$G, (MATCH(488, 輔助計算!$G$2:$G$801, 0)+1))&lt;100, IF(INDEX(ERP資料!$G:$G, (MATCH(488, 輔助計算!$G$2:$G$801, 0)+1))&lt;=31,3,IF(INDEX(ERP資料!$G:$G, (MATCH(488, 輔助計算!$G$2:$G$801, 0)+1))&lt;=46.5,2,1)), IF(INDEX(ERP資料!$G:$G, (MATCH(488, 輔助計算!$G$2:$G$801, 0)+1))&lt;=790,3,IF(INDEX(ERP資料!$G:$G, (MATCH(488, 輔助計算!$G$2:$G$801, 0)+1))&lt;=1181,2,1))))&gt;0, IF(IF(INDEX(ERP資料!$G:$G, (MATCH(488, 輔助計算!$G$2:$G$801, 0)+1))&lt;100, IF(INDEX(ERP資料!$G:$G, (MATCH(488, 輔助計算!$G$2:$G$801, 0)+1))&lt;=31,3,IF(INDEX(ERP資料!$G:$G, (MATCH(488, 輔助計算!$G$2:$G$801, 0)+1))&lt;=46.5,2,1)), IF(INDEX(ERP資料!$G:$G, (MATCH(488, 輔助計算!$G$2:$G$801, 0)+1))&lt;=790,3,IF(INDEX(ERP資料!$G:$G, (MATCH(488, 輔助計算!$G$2:$G$801, 0)+1))&lt;=1181,2,1)))=1,TEXT(INDEX(ERP資料!$G:$G, (MATCH(488, 輔助計算!$G$2:$G$801, 0)+1)),"0.##"),IF(IF(INDEX(ERP資料!$G:$G, (MATCH(488, 輔助計算!$G$2:$G$801, 0)+1))&lt;100, IF(INDEX(ERP資料!$G:$G, (MATCH(488, 輔助計算!$G$2:$G$801, 0)+1))&lt;=31,3,IF(INDEX(ERP資料!$G:$G, (MATCH(488, 輔助計算!$G$2:$G$801, 0)+1))&lt;=46.5,2,1)), IF(INDEX(ERP資料!$G:$G, (MATCH(488, 輔助計算!$G$2:$G$801, 0)+1))&lt;=790,3,IF(INDEX(ERP資料!$G:$G, (MATCH(488, 輔助計算!$G$2:$G$801, 0)+1))&lt;=1181,2,1)))=2,TEXT(INDEX(ERP資料!$G:$G, (MATCH(488, 輔助計算!$G$2:$G$801, 0)+1)),"0.##")&amp;"+"&amp;TEXT(INDEX(ERP資料!$G:$G, (MATCH(488, 輔助計算!$G$2:$G$801, 0)+1)),"0.##"),TEXT(INDEX(ERP資料!$G:$G, (MATCH(488, 輔助計算!$G$2:$G$801, 0)+1)),"0.##")&amp;"+"&amp;TEXT(INDEX(ERP資料!$G:$G, (MATCH(488, 輔助計算!$G$2:$G$801, 0)+1)),"0.##")&amp;"+"&amp;TEXT(INDEX(ERP資料!$G:$G, (MATCH(488, 輔助計算!$G$2:$G$801, 0)+1)),"0.##")))&amp;"-"&amp;INT(INDEX(輔助計算!$D:$D, (MATCH(488, 輔助計算!$G$2:$G$801, 0)+1))/IF(INDEX(ERP資料!$G:$G, (MATCH(488, 輔助計算!$G$2:$G$801, 0)+1))&lt;100, IF(INDEX(ERP資料!$G:$G, (MATCH(488, 輔助計算!$G$2:$G$801, 0)+1))&lt;=31,3,IF(INDEX(ERP資料!$G:$G, (MATCH(488, 輔助計算!$G$2:$G$801, 0)+1))&lt;=46.5,2,1)), IF(INDEX(ERP資料!$G:$G, (MATCH(488, 輔助計算!$G$2:$G$801, 0)+1))&lt;=790,3,IF(INDEX(ERP資料!$G:$G, (MATCH(488, 輔助計算!$G$2:$G$801, 0)+1))&lt;=1181,2,1)))), "")&amp;IF(AND(IF(INT(INDEX(輔助計算!$D:$D, (MATCH(488, 輔助計算!$G$2:$G$801, 0)+1))/IF(INDEX(ERP資料!$G:$G, (MATCH(488, 輔助計算!$G$2:$G$801, 0)+1))&lt;100, IF(INDEX(ERP資料!$G:$G, (MATCH(488, 輔助計算!$G$2:$G$801, 0)+1))&lt;=31,3,IF(INDEX(ERP資料!$G:$G, (MATCH(488, 輔助計算!$G$2:$G$801, 0)+1))&lt;=46.5,2,1)), IF(INDEX(ERP資料!$G:$G, (MATCH(488, 輔助計算!$G$2:$G$801, 0)+1))&lt;=790,3,IF(INDEX(ERP資料!$G:$G, (MATCH(488, 輔助計算!$G$2:$G$801, 0)+1))&lt;=1181,2,1))))&gt;0, IF(IF(INDEX(ERP資料!$G:$G, (MATCH(488, 輔助計算!$G$2:$G$801, 0)+1))&lt;100, IF(INDEX(ERP資料!$G:$G, (MATCH(488, 輔助計算!$G$2:$G$801, 0)+1))&lt;=31,3,IF(INDEX(ERP資料!$G:$G, (MATCH(488, 輔助計算!$G$2:$G$801, 0)+1))&lt;=46.5,2,1)), IF(INDEX(ERP資料!$G:$G, (MATCH(488, 輔助計算!$G$2:$G$801, 0)+1))&lt;=790,3,IF(INDEX(ERP資料!$G:$G, (MATCH(488, 輔助計算!$G$2:$G$801, 0)+1))&lt;=1181,2,1)))=1,TEXT(INDEX(ERP資料!$G:$G, (MATCH(488, 輔助計算!$G$2:$G$801, 0)+1)),"0.##"),IF(IF(INDEX(ERP資料!$G:$G, (MATCH(488, 輔助計算!$G$2:$G$801, 0)+1))&lt;100, IF(INDEX(ERP資料!$G:$G, (MATCH(488, 輔助計算!$G$2:$G$801, 0)+1))&lt;=31,3,IF(INDEX(ERP資料!$G:$G, (MATCH(488, 輔助計算!$G$2:$G$801, 0)+1))&lt;=46.5,2,1)), IF(INDEX(ERP資料!$G:$G, (MATCH(488, 輔助計算!$G$2:$G$801, 0)+1))&lt;=790,3,IF(INDEX(ERP資料!$G:$G, (MATCH(488, 輔助計算!$G$2:$G$801, 0)+1))&lt;=1181,2,1)))=2,TEXT(INDEX(ERP資料!$G:$G, (MATCH(488, 輔助計算!$G$2:$G$801, 0)+1)),"0.##")&amp;"+"&amp;TEXT(INDEX(ERP資料!$G:$G, (MATCH(488, 輔助計算!$G$2:$G$801, 0)+1)),"0.##"),TEXT(INDEX(ERP資料!$G:$G, (MATCH(488, 輔助計算!$G$2:$G$801, 0)+1)),"0.##")&amp;"+"&amp;TEXT(INDEX(ERP資料!$G:$G, (MATCH(488, 輔助計算!$G$2:$G$801, 0)+1)),"0.##")&amp;"+"&amp;TEXT(INDEX(ERP資料!$G:$G, (MATCH(488, 輔助計算!$G$2:$G$801, 0)+1)),"0.##")))&amp;"-"&amp;INT(INDEX(輔助計算!$D:$D, (MATCH(488, 輔助計算!$G$2:$G$801, 0)+1))/IF(INDEX(ERP資料!$G:$G, (MATCH(488, 輔助計算!$G$2:$G$801, 0)+1))&lt;100, IF(INDEX(ERP資料!$G:$G, (MATCH(488, 輔助計算!$G$2:$G$801, 0)+1))&lt;=31,3,IF(INDEX(ERP資料!$G:$G, (MATCH(488, 輔助計算!$G$2:$G$801, 0)+1))&lt;=46.5,2,1)), IF(INDEX(ERP資料!$G:$G, (MATCH(488, 輔助計算!$G$2:$G$801, 0)+1))&lt;=790,3,IF(INDEX(ERP資料!$G:$G, (MATCH(488, 輔助計算!$G$2:$G$801, 0)+1))&lt;=1181,2,1)))), "")&lt;&gt;"",IF(MOD(INDEX(輔助計算!$D:$D, (MATCH(488, 輔助計算!$G$2:$G$801, 0)+1)),IF(INDEX(ERP資料!$G:$G, (MATCH(488, 輔助計算!$G$2:$G$801, 0)+1))&lt;100, IF(INDEX(ERP資料!$G:$G, (MATCH(488, 輔助計算!$G$2:$G$801, 0)+1))&lt;=31,3,IF(INDEX(ERP資料!$G:$G, (MATCH(488, 輔助計算!$G$2:$G$801, 0)+1))&lt;=46.5,2,1)), IF(INDEX(ERP資料!$G:$G, (MATCH(488, 輔助計算!$G$2:$G$801, 0)+1))&lt;=790,3,IF(INDEX(ERP資料!$G:$G, (MATCH(488, 輔助計算!$G$2:$G$801, 0)+1))&lt;=1181,2,1))))=0,"",IF(MOD(INDEX(輔助計算!$D:$D, (MATCH(488, 輔助計算!$G$2:$G$801, 0)+1)),IF(INDEX(ERP資料!$G:$G, (MATCH(488, 輔助計算!$G$2:$G$801, 0)+1))&lt;100, IF(INDEX(ERP資料!$G:$G, (MATCH(488, 輔助計算!$G$2:$G$801, 0)+1))&lt;=31,3,IF(INDEX(ERP資料!$G:$G, (MATCH(488, 輔助計算!$G$2:$G$801, 0)+1))&lt;=46.5,2,1)), IF(INDEX(ERP資料!$G:$G, (MATCH(488, 輔助計算!$G$2:$G$801, 0)+1))&lt;=790,3,IF(INDEX(ERP資料!$G:$G, (MATCH(488, 輔助計算!$G$2:$G$801, 0)+1))&lt;=1181,2,1))))=0,"",IF(MOD(INDEX(輔助計算!$D:$D, (MATCH(488, 輔助計算!$G$2:$G$801, 0)+1)),IF(INDEX(ERP資料!$G:$G, (MATCH(488, 輔助計算!$G$2:$G$801, 0)+1))&lt;100, IF(INDEX(ERP資料!$G:$G, (MATCH(488, 輔助計算!$G$2:$G$801, 0)+1))&lt;=31,3,IF(INDEX(ERP資料!$G:$G, (MATCH(488, 輔助計算!$G$2:$G$801, 0)+1))&lt;=46.5,2,1)), IF(INDEX(ERP資料!$G:$G, (MATCH(488, 輔助計算!$G$2:$G$801, 0)+1))&lt;=790,3,IF(INDEX(ERP資料!$G:$G, (MATCH(488, 輔助計算!$G$2:$G$801, 0)+1))&lt;=1181,2,1))))=1,TEXT(INDEX(ERP資料!$G:$G, (MATCH(488, 輔助計算!$G$2:$G$801, 0)+1)),"0.##"),IF(MOD(INDEX(輔助計算!$D:$D, (MATCH(488, 輔助計算!$G$2:$G$801, 0)+1)),IF(INDEX(ERP資料!$G:$G, (MATCH(488, 輔助計算!$G$2:$G$801, 0)+1))&lt;100, IF(INDEX(ERP資料!$G:$G, (MATCH(488, 輔助計算!$G$2:$G$801, 0)+1))&lt;=31,3,IF(INDEX(ERP資料!$G:$G, (MATCH(488, 輔助計算!$G$2:$G$801, 0)+1))&lt;=46.5,2,1)), IF(INDEX(ERP資料!$G:$G, (MATCH(488, 輔助計算!$G$2:$G$801, 0)+1))&lt;=790,3,IF(INDEX(ERP資料!$G:$G, (MATCH(488, 輔助計算!$G$2:$G$801, 0)+1))&lt;=1181,2,1))))=2,TEXT(INDEX(ERP資料!$G:$G, (MATCH(488, 輔助計算!$G$2:$G$801, 0)+1)),"0.##")&amp;"+"&amp;TEXT(INDEX(ERP資料!$G:$G, (MATCH(488, 輔助計算!$G$2:$G$801, 0)+1)),"0.##"),TEXT(INDEX(ERP資料!$G:$G, (MATCH(488, 輔助計算!$G$2:$G$801, 0)+1)),"0.##")&amp;"+"&amp;TEXT(INDEX(ERP資料!$G:$G, (MATCH(488, 輔助計算!$G$2:$G$801, 0)+1)),"0.##")&amp;"+"&amp;TEXT(INDEX(ERP資料!$G:$G, (MATCH(488, 輔助計算!$G$2:$G$801, 0)+1)),"0.##"))))&amp;"-1")&lt;&gt;""),"  ","")&amp;IF(MOD(INDEX(輔助計算!$D:$D, (MATCH(488, 輔助計算!$G$2:$G$801, 0)+1)),IF(INDEX(ERP資料!$G:$G, (MATCH(488, 輔助計算!$G$2:$G$801, 0)+1))&lt;100, IF(INDEX(ERP資料!$G:$G, (MATCH(488, 輔助計算!$G$2:$G$801, 0)+1))&lt;=31,3,IF(INDEX(ERP資料!$G:$G, (MATCH(488, 輔助計算!$G$2:$G$801, 0)+1))&lt;=46.5,2,1)), IF(INDEX(ERP資料!$G:$G, (MATCH(488, 輔助計算!$G$2:$G$801, 0)+1))&lt;=790,3,IF(INDEX(ERP資料!$G:$G, (MATCH(488, 輔助計算!$G$2:$G$801, 0)+1))&lt;=1181,2,1))))=0,"",IF(MOD(INDEX(輔助計算!$D:$D, (MATCH(488, 輔助計算!$G$2:$G$801, 0)+1)),IF(INDEX(ERP資料!$G:$G, (MATCH(488, 輔助計算!$G$2:$G$801, 0)+1))&lt;100, IF(INDEX(ERP資料!$G:$G, (MATCH(488, 輔助計算!$G$2:$G$801, 0)+1))&lt;=31,3,IF(INDEX(ERP資料!$G:$G, (MATCH(488, 輔助計算!$G$2:$G$801, 0)+1))&lt;=46.5,2,1)), IF(INDEX(ERP資料!$G:$G, (MATCH(488, 輔助計算!$G$2:$G$801, 0)+1))&lt;=790,3,IF(INDEX(ERP資料!$G:$G, (MATCH(488, 輔助計算!$G$2:$G$801, 0)+1))&lt;=1181,2,1))))=0,"",IF(MOD(INDEX(輔助計算!$D:$D, (MATCH(488, 輔助計算!$G$2:$G$801, 0)+1)),IF(INDEX(ERP資料!$G:$G, (MATCH(488, 輔助計算!$G$2:$G$801, 0)+1))&lt;100, IF(INDEX(ERP資料!$G:$G, (MATCH(488, 輔助計算!$G$2:$G$801, 0)+1))&lt;=31,3,IF(INDEX(ERP資料!$G:$G, (MATCH(488, 輔助計算!$G$2:$G$801, 0)+1))&lt;=46.5,2,1)), IF(INDEX(ERP資料!$G:$G, (MATCH(488, 輔助計算!$G$2:$G$801, 0)+1))&lt;=790,3,IF(INDEX(ERP資料!$G:$G, (MATCH(488, 輔助計算!$G$2:$G$801, 0)+1))&lt;=1181,2,1))))=1,TEXT(INDEX(ERP資料!$G:$G, (MATCH(488, 輔助計算!$G$2:$G$801, 0)+1)),"0.##"),IF(MOD(INDEX(輔助計算!$D:$D, (MATCH(488, 輔助計算!$G$2:$G$801, 0)+1)),IF(INDEX(ERP資料!$G:$G, (MATCH(488, 輔助計算!$G$2:$G$801, 0)+1))&lt;100, IF(INDEX(ERP資料!$G:$G, (MATCH(488, 輔助計算!$G$2:$G$801, 0)+1))&lt;=31,3,IF(INDEX(ERP資料!$G:$G, (MATCH(488, 輔助計算!$G$2:$G$801, 0)+1))&lt;=46.5,2,1)), IF(INDEX(ERP資料!$G:$G, (MATCH(488, 輔助計算!$G$2:$G$801, 0)+1))&lt;=790,3,IF(INDEX(ERP資料!$G:$G, (MATCH(488, 輔助計算!$G$2:$G$801, 0)+1))&lt;=1181,2,1))))=2,TEXT(INDEX(ERP資料!$G:$G, (MATCH(488, 輔助計算!$G$2:$G$801, 0)+1)),"0.##")&amp;"+"&amp;TEXT(INDEX(ERP資料!$G:$G, (MATCH(488, 輔助計算!$G$2:$G$801, 0)+1)),"0.##"),TEXT(INDEX(ERP資料!$G:$G, (MATCH(488, 輔助計算!$G$2:$G$801, 0)+1)),"0.##")&amp;"+"&amp;TEXT(INDEX(ERP資料!$G:$G, (MATCH(488, 輔助計算!$G$2:$G$801, 0)+1)),"0.##")&amp;"+"&amp;TEXT(INDEX(ERP資料!$G:$G, (MATCH(488, 輔助計算!$G$2:$G$801, 0)+1)),"0.##"))))&amp;"-1")), ""), "")</f>
        <v/>
      </c>
      <c r="K489" s="16" t="n"/>
      <c r="L489" s="14">
        <f>IFERROR(IF(AND(IFERROR(INDEX(ERP資料!$A:$A, (MATCH(488, 輔助計算!$G$2:$G$801, 0)+1)), "")&lt;&gt;"", IFERROR(INDEX(ERP資料!$A:$A, (MATCH(488, 輔助計算!$G$2:$G$801, 0)+1)), "")&lt;&gt;IFERROR(INDEX(ERP資料!$A:$A, MATCH(487, 輔助計算!$G$2:$G$801, 0)+1), "")), INDEX(ERP資料!$B:$B, (MATCH(488, 輔助計算!$G$2:$G$801, 0)+1)), ""), "")</f>
        <v/>
      </c>
      <c r="M489" s="17" t="n"/>
    </row>
    <row r="490">
      <c r="A490" s="10">
        <f>IFERROR(IF(AND(IFERROR(INDEX(ERP資料!$A:$A, (MATCH(489, 輔助計算!$G$2:$G$801, 0)+1)), "")&lt;&gt;"", IFERROR(INDEX(ERP資料!$A:$A, (MATCH(489, 輔助計算!$G$2:$G$801, 0)+1)), "")&lt;&gt;IFERROR(INDEX(ERP資料!$A:$A, MATCH(488, 輔助計算!$G$2:$G$801, 0)+1), "")), IFERROR(INDEX(ERP資料!$A:$A, (MATCH(489, 輔助計算!$G$2:$G$801, 0)+1)), ""), ""), "")</f>
        <v/>
      </c>
      <c r="B490" s="10">
        <f>IFERROR(IF(AND(IFERROR(INDEX(ERP資料!$A:$A, (MATCH(489, 輔助計算!$G$2:$G$801, 0)+1)), "")&lt;&gt;"", IFERROR(INDEX(ERP資料!$A:$A, (MATCH(489, 輔助計算!$G$2:$G$801, 0)+1)), "")&lt;&gt;IFERROR(INDEX(ERP資料!$A:$A, MATCH(488, 輔助計算!$G$2:$G$801, 0)+1), "")), INDEX(ERP資料!$S:$S, (MATCH(489, 輔助計算!$G$2:$G$801, 0)+1)), ""), "")</f>
        <v/>
      </c>
      <c r="C490" s="19">
        <f>IFERROR(IF(AND(IFERROR(INDEX(ERP資料!$A:$A, (MATCH(489, 輔助計算!$G$2:$G$801, 0)+1)), "")&lt;&gt;"", IFERROR(INDEX(ERP資料!$A:$A, (MATCH(489, 輔助計算!$G$2:$G$801, 0)+1)), "")&lt;&gt;IFERROR(INDEX(ERP資料!$A:$A, MATCH(488, 輔助計算!$G$2:$G$801, 0)+1), "")), IFERROR(VLOOKUP(LEFT(INDEX(ERP資料!$S:$S, (MATCH(489, 輔助計算!$G$2:$G$801, 0)+1)), 4), 紙管對照表!$A:$C, 3, FALSE), ""), ""), "")</f>
        <v/>
      </c>
      <c r="D490" s="16" t="n"/>
      <c r="E490" s="10">
        <f>IFERROR(IF(INDEX(ERP資料!$H:$H, (MATCH(489, 輔助計算!$G$2:$G$801, 0)+1))="","",INDEX(ERP資料!$H:$H, (MATCH(489, 輔助計算!$G$2:$G$801, 0)+1))), "")</f>
        <v/>
      </c>
      <c r="F490" s="10">
        <f>IFERROR(IF(INDEX(ERP資料!$E:$E, (MATCH(489, 輔助計算!$G$2:$G$801, 0)+1))="","",TRIM(INDEX(ERP資料!$E:$E, (MATCH(489, 輔助計算!$G$2:$G$801, 0)+1)))), "")</f>
        <v/>
      </c>
      <c r="G490" s="10">
        <f>IFERROR(IF(INDEX(ERP資料!$F:$F, (MATCH(489, 輔助計算!$G$2:$G$801, 0)+1))="","",INDEX(ERP資料!$F:$F, (MATCH(489, 輔助計算!$G$2:$G$801, 0)+1))), "")</f>
        <v/>
      </c>
      <c r="H490" s="10">
        <f>IFERROR(IF(INDEX(ERP資料!$G:$G, (MATCH(489, 輔助計算!$G$2:$G$801, 0)+1))="","",INDEX(ERP資料!$G:$G, (MATCH(489, 輔助計算!$G$2:$G$801, 0)+1))), "")</f>
        <v/>
      </c>
      <c r="I490" s="15">
        <f>IFERROR(INDEX(輔助計算!$D:$D, (MATCH(489, 輔助計算!$G$2:$G$801, 0)+1)), "")</f>
        <v/>
      </c>
      <c r="J490" s="15">
        <f>IFERROR(IF(AND(INDEX(輔助計算!$D:$D, (MATCH(489, 輔助計算!$G$2:$G$801, 0)+1))&lt;&gt;"", INDEX(ERP資料!$G:$G, (MATCH(489, 輔助計算!$G$2:$G$801, 0)+1))&lt;&gt;""), TRIM(IF(INT(INDEX(輔助計算!$D:$D, (MATCH(489, 輔助計算!$G$2:$G$801, 0)+1))/IF(INDEX(ERP資料!$G:$G, (MATCH(489, 輔助計算!$G$2:$G$801, 0)+1))&lt;100, IF(INDEX(ERP資料!$G:$G, (MATCH(489, 輔助計算!$G$2:$G$801, 0)+1))&lt;=31,3,IF(INDEX(ERP資料!$G:$G, (MATCH(489, 輔助計算!$G$2:$G$801, 0)+1))&lt;=46.5,2,1)), IF(INDEX(ERP資料!$G:$G, (MATCH(489, 輔助計算!$G$2:$G$801, 0)+1))&lt;=790,3,IF(INDEX(ERP資料!$G:$G, (MATCH(489, 輔助計算!$G$2:$G$801, 0)+1))&lt;=1181,2,1))))&gt;0, IF(IF(INDEX(ERP資料!$G:$G, (MATCH(489, 輔助計算!$G$2:$G$801, 0)+1))&lt;100, IF(INDEX(ERP資料!$G:$G, (MATCH(489, 輔助計算!$G$2:$G$801, 0)+1))&lt;=31,3,IF(INDEX(ERP資料!$G:$G, (MATCH(489, 輔助計算!$G$2:$G$801, 0)+1))&lt;=46.5,2,1)), IF(INDEX(ERP資料!$G:$G, (MATCH(489, 輔助計算!$G$2:$G$801, 0)+1))&lt;=790,3,IF(INDEX(ERP資料!$G:$G, (MATCH(489, 輔助計算!$G$2:$G$801, 0)+1))&lt;=1181,2,1)))=1,TEXT(INDEX(ERP資料!$G:$G, (MATCH(489, 輔助計算!$G$2:$G$801, 0)+1)),"0.##"),IF(IF(INDEX(ERP資料!$G:$G, (MATCH(489, 輔助計算!$G$2:$G$801, 0)+1))&lt;100, IF(INDEX(ERP資料!$G:$G, (MATCH(489, 輔助計算!$G$2:$G$801, 0)+1))&lt;=31,3,IF(INDEX(ERP資料!$G:$G, (MATCH(489, 輔助計算!$G$2:$G$801, 0)+1))&lt;=46.5,2,1)), IF(INDEX(ERP資料!$G:$G, (MATCH(489, 輔助計算!$G$2:$G$801, 0)+1))&lt;=790,3,IF(INDEX(ERP資料!$G:$G, (MATCH(489, 輔助計算!$G$2:$G$801, 0)+1))&lt;=1181,2,1)))=2,TEXT(INDEX(ERP資料!$G:$G, (MATCH(489, 輔助計算!$G$2:$G$801, 0)+1)),"0.##")&amp;"+"&amp;TEXT(INDEX(ERP資料!$G:$G, (MATCH(489, 輔助計算!$G$2:$G$801, 0)+1)),"0.##"),TEXT(INDEX(ERP資料!$G:$G, (MATCH(489, 輔助計算!$G$2:$G$801, 0)+1)),"0.##")&amp;"+"&amp;TEXT(INDEX(ERP資料!$G:$G, (MATCH(489, 輔助計算!$G$2:$G$801, 0)+1)),"0.##")&amp;"+"&amp;TEXT(INDEX(ERP資料!$G:$G, (MATCH(489, 輔助計算!$G$2:$G$801, 0)+1)),"0.##")))&amp;"-"&amp;INT(INDEX(輔助計算!$D:$D, (MATCH(489, 輔助計算!$G$2:$G$801, 0)+1))/IF(INDEX(ERP資料!$G:$G, (MATCH(489, 輔助計算!$G$2:$G$801, 0)+1))&lt;100, IF(INDEX(ERP資料!$G:$G, (MATCH(489, 輔助計算!$G$2:$G$801, 0)+1))&lt;=31,3,IF(INDEX(ERP資料!$G:$G, (MATCH(489, 輔助計算!$G$2:$G$801, 0)+1))&lt;=46.5,2,1)), IF(INDEX(ERP資料!$G:$G, (MATCH(489, 輔助計算!$G$2:$G$801, 0)+1))&lt;=790,3,IF(INDEX(ERP資料!$G:$G, (MATCH(489, 輔助計算!$G$2:$G$801, 0)+1))&lt;=1181,2,1)))), "")&amp;IF(AND(IF(INT(INDEX(輔助計算!$D:$D, (MATCH(489, 輔助計算!$G$2:$G$801, 0)+1))/IF(INDEX(ERP資料!$G:$G, (MATCH(489, 輔助計算!$G$2:$G$801, 0)+1))&lt;100, IF(INDEX(ERP資料!$G:$G, (MATCH(489, 輔助計算!$G$2:$G$801, 0)+1))&lt;=31,3,IF(INDEX(ERP資料!$G:$G, (MATCH(489, 輔助計算!$G$2:$G$801, 0)+1))&lt;=46.5,2,1)), IF(INDEX(ERP資料!$G:$G, (MATCH(489, 輔助計算!$G$2:$G$801, 0)+1))&lt;=790,3,IF(INDEX(ERP資料!$G:$G, (MATCH(489, 輔助計算!$G$2:$G$801, 0)+1))&lt;=1181,2,1))))&gt;0, IF(IF(INDEX(ERP資料!$G:$G, (MATCH(489, 輔助計算!$G$2:$G$801, 0)+1))&lt;100, IF(INDEX(ERP資料!$G:$G, (MATCH(489, 輔助計算!$G$2:$G$801, 0)+1))&lt;=31,3,IF(INDEX(ERP資料!$G:$G, (MATCH(489, 輔助計算!$G$2:$G$801, 0)+1))&lt;=46.5,2,1)), IF(INDEX(ERP資料!$G:$G, (MATCH(489, 輔助計算!$G$2:$G$801, 0)+1))&lt;=790,3,IF(INDEX(ERP資料!$G:$G, (MATCH(489, 輔助計算!$G$2:$G$801, 0)+1))&lt;=1181,2,1)))=1,TEXT(INDEX(ERP資料!$G:$G, (MATCH(489, 輔助計算!$G$2:$G$801, 0)+1)),"0.##"),IF(IF(INDEX(ERP資料!$G:$G, (MATCH(489, 輔助計算!$G$2:$G$801, 0)+1))&lt;100, IF(INDEX(ERP資料!$G:$G, (MATCH(489, 輔助計算!$G$2:$G$801, 0)+1))&lt;=31,3,IF(INDEX(ERP資料!$G:$G, (MATCH(489, 輔助計算!$G$2:$G$801, 0)+1))&lt;=46.5,2,1)), IF(INDEX(ERP資料!$G:$G, (MATCH(489, 輔助計算!$G$2:$G$801, 0)+1))&lt;=790,3,IF(INDEX(ERP資料!$G:$G, (MATCH(489, 輔助計算!$G$2:$G$801, 0)+1))&lt;=1181,2,1)))=2,TEXT(INDEX(ERP資料!$G:$G, (MATCH(489, 輔助計算!$G$2:$G$801, 0)+1)),"0.##")&amp;"+"&amp;TEXT(INDEX(ERP資料!$G:$G, (MATCH(489, 輔助計算!$G$2:$G$801, 0)+1)),"0.##"),TEXT(INDEX(ERP資料!$G:$G, (MATCH(489, 輔助計算!$G$2:$G$801, 0)+1)),"0.##")&amp;"+"&amp;TEXT(INDEX(ERP資料!$G:$G, (MATCH(489, 輔助計算!$G$2:$G$801, 0)+1)),"0.##")&amp;"+"&amp;TEXT(INDEX(ERP資料!$G:$G, (MATCH(489, 輔助計算!$G$2:$G$801, 0)+1)),"0.##")))&amp;"-"&amp;INT(INDEX(輔助計算!$D:$D, (MATCH(489, 輔助計算!$G$2:$G$801, 0)+1))/IF(INDEX(ERP資料!$G:$G, (MATCH(489, 輔助計算!$G$2:$G$801, 0)+1))&lt;100, IF(INDEX(ERP資料!$G:$G, (MATCH(489, 輔助計算!$G$2:$G$801, 0)+1))&lt;=31,3,IF(INDEX(ERP資料!$G:$G, (MATCH(489, 輔助計算!$G$2:$G$801, 0)+1))&lt;=46.5,2,1)), IF(INDEX(ERP資料!$G:$G, (MATCH(489, 輔助計算!$G$2:$G$801, 0)+1))&lt;=790,3,IF(INDEX(ERP資料!$G:$G, (MATCH(489, 輔助計算!$G$2:$G$801, 0)+1))&lt;=1181,2,1)))), "")&lt;&gt;"",IF(MOD(INDEX(輔助計算!$D:$D, (MATCH(489, 輔助計算!$G$2:$G$801, 0)+1)),IF(INDEX(ERP資料!$G:$G, (MATCH(489, 輔助計算!$G$2:$G$801, 0)+1))&lt;100, IF(INDEX(ERP資料!$G:$G, (MATCH(489, 輔助計算!$G$2:$G$801, 0)+1))&lt;=31,3,IF(INDEX(ERP資料!$G:$G, (MATCH(489, 輔助計算!$G$2:$G$801, 0)+1))&lt;=46.5,2,1)), IF(INDEX(ERP資料!$G:$G, (MATCH(489, 輔助計算!$G$2:$G$801, 0)+1))&lt;=790,3,IF(INDEX(ERP資料!$G:$G, (MATCH(489, 輔助計算!$G$2:$G$801, 0)+1))&lt;=1181,2,1))))=0,"",IF(MOD(INDEX(輔助計算!$D:$D, (MATCH(489, 輔助計算!$G$2:$G$801, 0)+1)),IF(INDEX(ERP資料!$G:$G, (MATCH(489, 輔助計算!$G$2:$G$801, 0)+1))&lt;100, IF(INDEX(ERP資料!$G:$G, (MATCH(489, 輔助計算!$G$2:$G$801, 0)+1))&lt;=31,3,IF(INDEX(ERP資料!$G:$G, (MATCH(489, 輔助計算!$G$2:$G$801, 0)+1))&lt;=46.5,2,1)), IF(INDEX(ERP資料!$G:$G, (MATCH(489, 輔助計算!$G$2:$G$801, 0)+1))&lt;=790,3,IF(INDEX(ERP資料!$G:$G, (MATCH(489, 輔助計算!$G$2:$G$801, 0)+1))&lt;=1181,2,1))))=0,"",IF(MOD(INDEX(輔助計算!$D:$D, (MATCH(489, 輔助計算!$G$2:$G$801, 0)+1)),IF(INDEX(ERP資料!$G:$G, (MATCH(489, 輔助計算!$G$2:$G$801, 0)+1))&lt;100, IF(INDEX(ERP資料!$G:$G, (MATCH(489, 輔助計算!$G$2:$G$801, 0)+1))&lt;=31,3,IF(INDEX(ERP資料!$G:$G, (MATCH(489, 輔助計算!$G$2:$G$801, 0)+1))&lt;=46.5,2,1)), IF(INDEX(ERP資料!$G:$G, (MATCH(489, 輔助計算!$G$2:$G$801, 0)+1))&lt;=790,3,IF(INDEX(ERP資料!$G:$G, (MATCH(489, 輔助計算!$G$2:$G$801, 0)+1))&lt;=1181,2,1))))=1,TEXT(INDEX(ERP資料!$G:$G, (MATCH(489, 輔助計算!$G$2:$G$801, 0)+1)),"0.##"),IF(MOD(INDEX(輔助計算!$D:$D, (MATCH(489, 輔助計算!$G$2:$G$801, 0)+1)),IF(INDEX(ERP資料!$G:$G, (MATCH(489, 輔助計算!$G$2:$G$801, 0)+1))&lt;100, IF(INDEX(ERP資料!$G:$G, (MATCH(489, 輔助計算!$G$2:$G$801, 0)+1))&lt;=31,3,IF(INDEX(ERP資料!$G:$G, (MATCH(489, 輔助計算!$G$2:$G$801, 0)+1))&lt;=46.5,2,1)), IF(INDEX(ERP資料!$G:$G, (MATCH(489, 輔助計算!$G$2:$G$801, 0)+1))&lt;=790,3,IF(INDEX(ERP資料!$G:$G, (MATCH(489, 輔助計算!$G$2:$G$801, 0)+1))&lt;=1181,2,1))))=2,TEXT(INDEX(ERP資料!$G:$G, (MATCH(489, 輔助計算!$G$2:$G$801, 0)+1)),"0.##")&amp;"+"&amp;TEXT(INDEX(ERP資料!$G:$G, (MATCH(489, 輔助計算!$G$2:$G$801, 0)+1)),"0.##"),TEXT(INDEX(ERP資料!$G:$G, (MATCH(489, 輔助計算!$G$2:$G$801, 0)+1)),"0.##")&amp;"+"&amp;TEXT(INDEX(ERP資料!$G:$G, (MATCH(489, 輔助計算!$G$2:$G$801, 0)+1)),"0.##")&amp;"+"&amp;TEXT(INDEX(ERP資料!$G:$G, (MATCH(489, 輔助計算!$G$2:$G$801, 0)+1)),"0.##"))))&amp;"-1")&lt;&gt;""),"  ","")&amp;IF(MOD(INDEX(輔助計算!$D:$D, (MATCH(489, 輔助計算!$G$2:$G$801, 0)+1)),IF(INDEX(ERP資料!$G:$G, (MATCH(489, 輔助計算!$G$2:$G$801, 0)+1))&lt;100, IF(INDEX(ERP資料!$G:$G, (MATCH(489, 輔助計算!$G$2:$G$801, 0)+1))&lt;=31,3,IF(INDEX(ERP資料!$G:$G, (MATCH(489, 輔助計算!$G$2:$G$801, 0)+1))&lt;=46.5,2,1)), IF(INDEX(ERP資料!$G:$G, (MATCH(489, 輔助計算!$G$2:$G$801, 0)+1))&lt;=790,3,IF(INDEX(ERP資料!$G:$G, (MATCH(489, 輔助計算!$G$2:$G$801, 0)+1))&lt;=1181,2,1))))=0,"",IF(MOD(INDEX(輔助計算!$D:$D, (MATCH(489, 輔助計算!$G$2:$G$801, 0)+1)),IF(INDEX(ERP資料!$G:$G, (MATCH(489, 輔助計算!$G$2:$G$801, 0)+1))&lt;100, IF(INDEX(ERP資料!$G:$G, (MATCH(489, 輔助計算!$G$2:$G$801, 0)+1))&lt;=31,3,IF(INDEX(ERP資料!$G:$G, (MATCH(489, 輔助計算!$G$2:$G$801, 0)+1))&lt;=46.5,2,1)), IF(INDEX(ERP資料!$G:$G, (MATCH(489, 輔助計算!$G$2:$G$801, 0)+1))&lt;=790,3,IF(INDEX(ERP資料!$G:$G, (MATCH(489, 輔助計算!$G$2:$G$801, 0)+1))&lt;=1181,2,1))))=0,"",IF(MOD(INDEX(輔助計算!$D:$D, (MATCH(489, 輔助計算!$G$2:$G$801, 0)+1)),IF(INDEX(ERP資料!$G:$G, (MATCH(489, 輔助計算!$G$2:$G$801, 0)+1))&lt;100, IF(INDEX(ERP資料!$G:$G, (MATCH(489, 輔助計算!$G$2:$G$801, 0)+1))&lt;=31,3,IF(INDEX(ERP資料!$G:$G, (MATCH(489, 輔助計算!$G$2:$G$801, 0)+1))&lt;=46.5,2,1)), IF(INDEX(ERP資料!$G:$G, (MATCH(489, 輔助計算!$G$2:$G$801, 0)+1))&lt;=790,3,IF(INDEX(ERP資料!$G:$G, (MATCH(489, 輔助計算!$G$2:$G$801, 0)+1))&lt;=1181,2,1))))=1,TEXT(INDEX(ERP資料!$G:$G, (MATCH(489, 輔助計算!$G$2:$G$801, 0)+1)),"0.##"),IF(MOD(INDEX(輔助計算!$D:$D, (MATCH(489, 輔助計算!$G$2:$G$801, 0)+1)),IF(INDEX(ERP資料!$G:$G, (MATCH(489, 輔助計算!$G$2:$G$801, 0)+1))&lt;100, IF(INDEX(ERP資料!$G:$G, (MATCH(489, 輔助計算!$G$2:$G$801, 0)+1))&lt;=31,3,IF(INDEX(ERP資料!$G:$G, (MATCH(489, 輔助計算!$G$2:$G$801, 0)+1))&lt;=46.5,2,1)), IF(INDEX(ERP資料!$G:$G, (MATCH(489, 輔助計算!$G$2:$G$801, 0)+1))&lt;=790,3,IF(INDEX(ERP資料!$G:$G, (MATCH(489, 輔助計算!$G$2:$G$801, 0)+1))&lt;=1181,2,1))))=2,TEXT(INDEX(ERP資料!$G:$G, (MATCH(489, 輔助計算!$G$2:$G$801, 0)+1)),"0.##")&amp;"+"&amp;TEXT(INDEX(ERP資料!$G:$G, (MATCH(489, 輔助計算!$G$2:$G$801, 0)+1)),"0.##"),TEXT(INDEX(ERP資料!$G:$G, (MATCH(489, 輔助計算!$G$2:$G$801, 0)+1)),"0.##")&amp;"+"&amp;TEXT(INDEX(ERP資料!$G:$G, (MATCH(489, 輔助計算!$G$2:$G$801, 0)+1)),"0.##")&amp;"+"&amp;TEXT(INDEX(ERP資料!$G:$G, (MATCH(489, 輔助計算!$G$2:$G$801, 0)+1)),"0.##"))))&amp;"-1")), ""), "")</f>
        <v/>
      </c>
      <c r="K490" s="16" t="n"/>
      <c r="L490" s="14">
        <f>IFERROR(IF(AND(IFERROR(INDEX(ERP資料!$A:$A, (MATCH(489, 輔助計算!$G$2:$G$801, 0)+1)), "")&lt;&gt;"", IFERROR(INDEX(ERP資料!$A:$A, (MATCH(489, 輔助計算!$G$2:$G$801, 0)+1)), "")&lt;&gt;IFERROR(INDEX(ERP資料!$A:$A, MATCH(488, 輔助計算!$G$2:$G$801, 0)+1), "")), INDEX(ERP資料!$B:$B, (MATCH(489, 輔助計算!$G$2:$G$801, 0)+1)), ""), "")</f>
        <v/>
      </c>
      <c r="M490" s="17" t="n"/>
    </row>
    <row r="491">
      <c r="A491" s="10">
        <f>IFERROR(IF(AND(IFERROR(INDEX(ERP資料!$A:$A, (MATCH(490, 輔助計算!$G$2:$G$801, 0)+1)), "")&lt;&gt;"", IFERROR(INDEX(ERP資料!$A:$A, (MATCH(490, 輔助計算!$G$2:$G$801, 0)+1)), "")&lt;&gt;IFERROR(INDEX(ERP資料!$A:$A, MATCH(489, 輔助計算!$G$2:$G$801, 0)+1), "")), IFERROR(INDEX(ERP資料!$A:$A, (MATCH(490, 輔助計算!$G$2:$G$801, 0)+1)), ""), ""), "")</f>
        <v/>
      </c>
      <c r="B491" s="10">
        <f>IFERROR(IF(AND(IFERROR(INDEX(ERP資料!$A:$A, (MATCH(490, 輔助計算!$G$2:$G$801, 0)+1)), "")&lt;&gt;"", IFERROR(INDEX(ERP資料!$A:$A, (MATCH(490, 輔助計算!$G$2:$G$801, 0)+1)), "")&lt;&gt;IFERROR(INDEX(ERP資料!$A:$A, MATCH(489, 輔助計算!$G$2:$G$801, 0)+1), "")), INDEX(ERP資料!$S:$S, (MATCH(490, 輔助計算!$G$2:$G$801, 0)+1)), ""), "")</f>
        <v/>
      </c>
      <c r="C491" s="19">
        <f>IFERROR(IF(AND(IFERROR(INDEX(ERP資料!$A:$A, (MATCH(490, 輔助計算!$G$2:$G$801, 0)+1)), "")&lt;&gt;"", IFERROR(INDEX(ERP資料!$A:$A, (MATCH(490, 輔助計算!$G$2:$G$801, 0)+1)), "")&lt;&gt;IFERROR(INDEX(ERP資料!$A:$A, MATCH(489, 輔助計算!$G$2:$G$801, 0)+1), "")), IFERROR(VLOOKUP(LEFT(INDEX(ERP資料!$S:$S, (MATCH(490, 輔助計算!$G$2:$G$801, 0)+1)), 4), 紙管對照表!$A:$C, 3, FALSE), ""), ""), "")</f>
        <v/>
      </c>
      <c r="D491" s="16" t="n"/>
      <c r="E491" s="10">
        <f>IFERROR(IF(INDEX(ERP資料!$H:$H, (MATCH(490, 輔助計算!$G$2:$G$801, 0)+1))="","",INDEX(ERP資料!$H:$H, (MATCH(490, 輔助計算!$G$2:$G$801, 0)+1))), "")</f>
        <v/>
      </c>
      <c r="F491" s="10">
        <f>IFERROR(IF(INDEX(ERP資料!$E:$E, (MATCH(490, 輔助計算!$G$2:$G$801, 0)+1))="","",TRIM(INDEX(ERP資料!$E:$E, (MATCH(490, 輔助計算!$G$2:$G$801, 0)+1)))), "")</f>
        <v/>
      </c>
      <c r="G491" s="10">
        <f>IFERROR(IF(INDEX(ERP資料!$F:$F, (MATCH(490, 輔助計算!$G$2:$G$801, 0)+1))="","",INDEX(ERP資料!$F:$F, (MATCH(490, 輔助計算!$G$2:$G$801, 0)+1))), "")</f>
        <v/>
      </c>
      <c r="H491" s="10">
        <f>IFERROR(IF(INDEX(ERP資料!$G:$G, (MATCH(490, 輔助計算!$G$2:$G$801, 0)+1))="","",INDEX(ERP資料!$G:$G, (MATCH(490, 輔助計算!$G$2:$G$801, 0)+1))), "")</f>
        <v/>
      </c>
      <c r="I491" s="15">
        <f>IFERROR(INDEX(輔助計算!$D:$D, (MATCH(490, 輔助計算!$G$2:$G$801, 0)+1)), "")</f>
        <v/>
      </c>
      <c r="J491" s="15">
        <f>IFERROR(IF(AND(INDEX(輔助計算!$D:$D, (MATCH(490, 輔助計算!$G$2:$G$801, 0)+1))&lt;&gt;"", INDEX(ERP資料!$G:$G, (MATCH(490, 輔助計算!$G$2:$G$801, 0)+1))&lt;&gt;""), TRIM(IF(INT(INDEX(輔助計算!$D:$D, (MATCH(490, 輔助計算!$G$2:$G$801, 0)+1))/IF(INDEX(ERP資料!$G:$G, (MATCH(490, 輔助計算!$G$2:$G$801, 0)+1))&lt;100, IF(INDEX(ERP資料!$G:$G, (MATCH(490, 輔助計算!$G$2:$G$801, 0)+1))&lt;=31,3,IF(INDEX(ERP資料!$G:$G, (MATCH(490, 輔助計算!$G$2:$G$801, 0)+1))&lt;=46.5,2,1)), IF(INDEX(ERP資料!$G:$G, (MATCH(490, 輔助計算!$G$2:$G$801, 0)+1))&lt;=790,3,IF(INDEX(ERP資料!$G:$G, (MATCH(490, 輔助計算!$G$2:$G$801, 0)+1))&lt;=1181,2,1))))&gt;0, IF(IF(INDEX(ERP資料!$G:$G, (MATCH(490, 輔助計算!$G$2:$G$801, 0)+1))&lt;100, IF(INDEX(ERP資料!$G:$G, (MATCH(490, 輔助計算!$G$2:$G$801, 0)+1))&lt;=31,3,IF(INDEX(ERP資料!$G:$G, (MATCH(490, 輔助計算!$G$2:$G$801, 0)+1))&lt;=46.5,2,1)), IF(INDEX(ERP資料!$G:$G, (MATCH(490, 輔助計算!$G$2:$G$801, 0)+1))&lt;=790,3,IF(INDEX(ERP資料!$G:$G, (MATCH(490, 輔助計算!$G$2:$G$801, 0)+1))&lt;=1181,2,1)))=1,TEXT(INDEX(ERP資料!$G:$G, (MATCH(490, 輔助計算!$G$2:$G$801, 0)+1)),"0.##"),IF(IF(INDEX(ERP資料!$G:$G, (MATCH(490, 輔助計算!$G$2:$G$801, 0)+1))&lt;100, IF(INDEX(ERP資料!$G:$G, (MATCH(490, 輔助計算!$G$2:$G$801, 0)+1))&lt;=31,3,IF(INDEX(ERP資料!$G:$G, (MATCH(490, 輔助計算!$G$2:$G$801, 0)+1))&lt;=46.5,2,1)), IF(INDEX(ERP資料!$G:$G, (MATCH(490, 輔助計算!$G$2:$G$801, 0)+1))&lt;=790,3,IF(INDEX(ERP資料!$G:$G, (MATCH(490, 輔助計算!$G$2:$G$801, 0)+1))&lt;=1181,2,1)))=2,TEXT(INDEX(ERP資料!$G:$G, (MATCH(490, 輔助計算!$G$2:$G$801, 0)+1)),"0.##")&amp;"+"&amp;TEXT(INDEX(ERP資料!$G:$G, (MATCH(490, 輔助計算!$G$2:$G$801, 0)+1)),"0.##"),TEXT(INDEX(ERP資料!$G:$G, (MATCH(490, 輔助計算!$G$2:$G$801, 0)+1)),"0.##")&amp;"+"&amp;TEXT(INDEX(ERP資料!$G:$G, (MATCH(490, 輔助計算!$G$2:$G$801, 0)+1)),"0.##")&amp;"+"&amp;TEXT(INDEX(ERP資料!$G:$G, (MATCH(490, 輔助計算!$G$2:$G$801, 0)+1)),"0.##")))&amp;"-"&amp;INT(INDEX(輔助計算!$D:$D, (MATCH(490, 輔助計算!$G$2:$G$801, 0)+1))/IF(INDEX(ERP資料!$G:$G, (MATCH(490, 輔助計算!$G$2:$G$801, 0)+1))&lt;100, IF(INDEX(ERP資料!$G:$G, (MATCH(490, 輔助計算!$G$2:$G$801, 0)+1))&lt;=31,3,IF(INDEX(ERP資料!$G:$G, (MATCH(490, 輔助計算!$G$2:$G$801, 0)+1))&lt;=46.5,2,1)), IF(INDEX(ERP資料!$G:$G, (MATCH(490, 輔助計算!$G$2:$G$801, 0)+1))&lt;=790,3,IF(INDEX(ERP資料!$G:$G, (MATCH(490, 輔助計算!$G$2:$G$801, 0)+1))&lt;=1181,2,1)))), "")&amp;IF(AND(IF(INT(INDEX(輔助計算!$D:$D, (MATCH(490, 輔助計算!$G$2:$G$801, 0)+1))/IF(INDEX(ERP資料!$G:$G, (MATCH(490, 輔助計算!$G$2:$G$801, 0)+1))&lt;100, IF(INDEX(ERP資料!$G:$G, (MATCH(490, 輔助計算!$G$2:$G$801, 0)+1))&lt;=31,3,IF(INDEX(ERP資料!$G:$G, (MATCH(490, 輔助計算!$G$2:$G$801, 0)+1))&lt;=46.5,2,1)), IF(INDEX(ERP資料!$G:$G, (MATCH(490, 輔助計算!$G$2:$G$801, 0)+1))&lt;=790,3,IF(INDEX(ERP資料!$G:$G, (MATCH(490, 輔助計算!$G$2:$G$801, 0)+1))&lt;=1181,2,1))))&gt;0, IF(IF(INDEX(ERP資料!$G:$G, (MATCH(490, 輔助計算!$G$2:$G$801, 0)+1))&lt;100, IF(INDEX(ERP資料!$G:$G, (MATCH(490, 輔助計算!$G$2:$G$801, 0)+1))&lt;=31,3,IF(INDEX(ERP資料!$G:$G, (MATCH(490, 輔助計算!$G$2:$G$801, 0)+1))&lt;=46.5,2,1)), IF(INDEX(ERP資料!$G:$G, (MATCH(490, 輔助計算!$G$2:$G$801, 0)+1))&lt;=790,3,IF(INDEX(ERP資料!$G:$G, (MATCH(490, 輔助計算!$G$2:$G$801, 0)+1))&lt;=1181,2,1)))=1,TEXT(INDEX(ERP資料!$G:$G, (MATCH(490, 輔助計算!$G$2:$G$801, 0)+1)),"0.##"),IF(IF(INDEX(ERP資料!$G:$G, (MATCH(490, 輔助計算!$G$2:$G$801, 0)+1))&lt;100, IF(INDEX(ERP資料!$G:$G, (MATCH(490, 輔助計算!$G$2:$G$801, 0)+1))&lt;=31,3,IF(INDEX(ERP資料!$G:$G, (MATCH(490, 輔助計算!$G$2:$G$801, 0)+1))&lt;=46.5,2,1)), IF(INDEX(ERP資料!$G:$G, (MATCH(490, 輔助計算!$G$2:$G$801, 0)+1))&lt;=790,3,IF(INDEX(ERP資料!$G:$G, (MATCH(490, 輔助計算!$G$2:$G$801, 0)+1))&lt;=1181,2,1)))=2,TEXT(INDEX(ERP資料!$G:$G, (MATCH(490, 輔助計算!$G$2:$G$801, 0)+1)),"0.##")&amp;"+"&amp;TEXT(INDEX(ERP資料!$G:$G, (MATCH(490, 輔助計算!$G$2:$G$801, 0)+1)),"0.##"),TEXT(INDEX(ERP資料!$G:$G, (MATCH(490, 輔助計算!$G$2:$G$801, 0)+1)),"0.##")&amp;"+"&amp;TEXT(INDEX(ERP資料!$G:$G, (MATCH(490, 輔助計算!$G$2:$G$801, 0)+1)),"0.##")&amp;"+"&amp;TEXT(INDEX(ERP資料!$G:$G, (MATCH(490, 輔助計算!$G$2:$G$801, 0)+1)),"0.##")))&amp;"-"&amp;INT(INDEX(輔助計算!$D:$D, (MATCH(490, 輔助計算!$G$2:$G$801, 0)+1))/IF(INDEX(ERP資料!$G:$G, (MATCH(490, 輔助計算!$G$2:$G$801, 0)+1))&lt;100, IF(INDEX(ERP資料!$G:$G, (MATCH(490, 輔助計算!$G$2:$G$801, 0)+1))&lt;=31,3,IF(INDEX(ERP資料!$G:$G, (MATCH(490, 輔助計算!$G$2:$G$801, 0)+1))&lt;=46.5,2,1)), IF(INDEX(ERP資料!$G:$G, (MATCH(490, 輔助計算!$G$2:$G$801, 0)+1))&lt;=790,3,IF(INDEX(ERP資料!$G:$G, (MATCH(490, 輔助計算!$G$2:$G$801, 0)+1))&lt;=1181,2,1)))), "")&lt;&gt;"",IF(MOD(INDEX(輔助計算!$D:$D, (MATCH(490, 輔助計算!$G$2:$G$801, 0)+1)),IF(INDEX(ERP資料!$G:$G, (MATCH(490, 輔助計算!$G$2:$G$801, 0)+1))&lt;100, IF(INDEX(ERP資料!$G:$G, (MATCH(490, 輔助計算!$G$2:$G$801, 0)+1))&lt;=31,3,IF(INDEX(ERP資料!$G:$G, (MATCH(490, 輔助計算!$G$2:$G$801, 0)+1))&lt;=46.5,2,1)), IF(INDEX(ERP資料!$G:$G, (MATCH(490, 輔助計算!$G$2:$G$801, 0)+1))&lt;=790,3,IF(INDEX(ERP資料!$G:$G, (MATCH(490, 輔助計算!$G$2:$G$801, 0)+1))&lt;=1181,2,1))))=0,"",IF(MOD(INDEX(輔助計算!$D:$D, (MATCH(490, 輔助計算!$G$2:$G$801, 0)+1)),IF(INDEX(ERP資料!$G:$G, (MATCH(490, 輔助計算!$G$2:$G$801, 0)+1))&lt;100, IF(INDEX(ERP資料!$G:$G, (MATCH(490, 輔助計算!$G$2:$G$801, 0)+1))&lt;=31,3,IF(INDEX(ERP資料!$G:$G, (MATCH(490, 輔助計算!$G$2:$G$801, 0)+1))&lt;=46.5,2,1)), IF(INDEX(ERP資料!$G:$G, (MATCH(490, 輔助計算!$G$2:$G$801, 0)+1))&lt;=790,3,IF(INDEX(ERP資料!$G:$G, (MATCH(490, 輔助計算!$G$2:$G$801, 0)+1))&lt;=1181,2,1))))=0,"",IF(MOD(INDEX(輔助計算!$D:$D, (MATCH(490, 輔助計算!$G$2:$G$801, 0)+1)),IF(INDEX(ERP資料!$G:$G, (MATCH(490, 輔助計算!$G$2:$G$801, 0)+1))&lt;100, IF(INDEX(ERP資料!$G:$G, (MATCH(490, 輔助計算!$G$2:$G$801, 0)+1))&lt;=31,3,IF(INDEX(ERP資料!$G:$G, (MATCH(490, 輔助計算!$G$2:$G$801, 0)+1))&lt;=46.5,2,1)), IF(INDEX(ERP資料!$G:$G, (MATCH(490, 輔助計算!$G$2:$G$801, 0)+1))&lt;=790,3,IF(INDEX(ERP資料!$G:$G, (MATCH(490, 輔助計算!$G$2:$G$801, 0)+1))&lt;=1181,2,1))))=1,TEXT(INDEX(ERP資料!$G:$G, (MATCH(490, 輔助計算!$G$2:$G$801, 0)+1)),"0.##"),IF(MOD(INDEX(輔助計算!$D:$D, (MATCH(490, 輔助計算!$G$2:$G$801, 0)+1)),IF(INDEX(ERP資料!$G:$G, (MATCH(490, 輔助計算!$G$2:$G$801, 0)+1))&lt;100, IF(INDEX(ERP資料!$G:$G, (MATCH(490, 輔助計算!$G$2:$G$801, 0)+1))&lt;=31,3,IF(INDEX(ERP資料!$G:$G, (MATCH(490, 輔助計算!$G$2:$G$801, 0)+1))&lt;=46.5,2,1)), IF(INDEX(ERP資料!$G:$G, (MATCH(490, 輔助計算!$G$2:$G$801, 0)+1))&lt;=790,3,IF(INDEX(ERP資料!$G:$G, (MATCH(490, 輔助計算!$G$2:$G$801, 0)+1))&lt;=1181,2,1))))=2,TEXT(INDEX(ERP資料!$G:$G, (MATCH(490, 輔助計算!$G$2:$G$801, 0)+1)),"0.##")&amp;"+"&amp;TEXT(INDEX(ERP資料!$G:$G, (MATCH(490, 輔助計算!$G$2:$G$801, 0)+1)),"0.##"),TEXT(INDEX(ERP資料!$G:$G, (MATCH(490, 輔助計算!$G$2:$G$801, 0)+1)),"0.##")&amp;"+"&amp;TEXT(INDEX(ERP資料!$G:$G, (MATCH(490, 輔助計算!$G$2:$G$801, 0)+1)),"0.##")&amp;"+"&amp;TEXT(INDEX(ERP資料!$G:$G, (MATCH(490, 輔助計算!$G$2:$G$801, 0)+1)),"0.##"))))&amp;"-1")&lt;&gt;""),"  ","")&amp;IF(MOD(INDEX(輔助計算!$D:$D, (MATCH(490, 輔助計算!$G$2:$G$801, 0)+1)),IF(INDEX(ERP資料!$G:$G, (MATCH(490, 輔助計算!$G$2:$G$801, 0)+1))&lt;100, IF(INDEX(ERP資料!$G:$G, (MATCH(490, 輔助計算!$G$2:$G$801, 0)+1))&lt;=31,3,IF(INDEX(ERP資料!$G:$G, (MATCH(490, 輔助計算!$G$2:$G$801, 0)+1))&lt;=46.5,2,1)), IF(INDEX(ERP資料!$G:$G, (MATCH(490, 輔助計算!$G$2:$G$801, 0)+1))&lt;=790,3,IF(INDEX(ERP資料!$G:$G, (MATCH(490, 輔助計算!$G$2:$G$801, 0)+1))&lt;=1181,2,1))))=0,"",IF(MOD(INDEX(輔助計算!$D:$D, (MATCH(490, 輔助計算!$G$2:$G$801, 0)+1)),IF(INDEX(ERP資料!$G:$G, (MATCH(490, 輔助計算!$G$2:$G$801, 0)+1))&lt;100, IF(INDEX(ERP資料!$G:$G, (MATCH(490, 輔助計算!$G$2:$G$801, 0)+1))&lt;=31,3,IF(INDEX(ERP資料!$G:$G, (MATCH(490, 輔助計算!$G$2:$G$801, 0)+1))&lt;=46.5,2,1)), IF(INDEX(ERP資料!$G:$G, (MATCH(490, 輔助計算!$G$2:$G$801, 0)+1))&lt;=790,3,IF(INDEX(ERP資料!$G:$G, (MATCH(490, 輔助計算!$G$2:$G$801, 0)+1))&lt;=1181,2,1))))=0,"",IF(MOD(INDEX(輔助計算!$D:$D, (MATCH(490, 輔助計算!$G$2:$G$801, 0)+1)),IF(INDEX(ERP資料!$G:$G, (MATCH(490, 輔助計算!$G$2:$G$801, 0)+1))&lt;100, IF(INDEX(ERP資料!$G:$G, (MATCH(490, 輔助計算!$G$2:$G$801, 0)+1))&lt;=31,3,IF(INDEX(ERP資料!$G:$G, (MATCH(490, 輔助計算!$G$2:$G$801, 0)+1))&lt;=46.5,2,1)), IF(INDEX(ERP資料!$G:$G, (MATCH(490, 輔助計算!$G$2:$G$801, 0)+1))&lt;=790,3,IF(INDEX(ERP資料!$G:$G, (MATCH(490, 輔助計算!$G$2:$G$801, 0)+1))&lt;=1181,2,1))))=1,TEXT(INDEX(ERP資料!$G:$G, (MATCH(490, 輔助計算!$G$2:$G$801, 0)+1)),"0.##"),IF(MOD(INDEX(輔助計算!$D:$D, (MATCH(490, 輔助計算!$G$2:$G$801, 0)+1)),IF(INDEX(ERP資料!$G:$G, (MATCH(490, 輔助計算!$G$2:$G$801, 0)+1))&lt;100, IF(INDEX(ERP資料!$G:$G, (MATCH(490, 輔助計算!$G$2:$G$801, 0)+1))&lt;=31,3,IF(INDEX(ERP資料!$G:$G, (MATCH(490, 輔助計算!$G$2:$G$801, 0)+1))&lt;=46.5,2,1)), IF(INDEX(ERP資料!$G:$G, (MATCH(490, 輔助計算!$G$2:$G$801, 0)+1))&lt;=790,3,IF(INDEX(ERP資料!$G:$G, (MATCH(490, 輔助計算!$G$2:$G$801, 0)+1))&lt;=1181,2,1))))=2,TEXT(INDEX(ERP資料!$G:$G, (MATCH(490, 輔助計算!$G$2:$G$801, 0)+1)),"0.##")&amp;"+"&amp;TEXT(INDEX(ERP資料!$G:$G, (MATCH(490, 輔助計算!$G$2:$G$801, 0)+1)),"0.##"),TEXT(INDEX(ERP資料!$G:$G, (MATCH(490, 輔助計算!$G$2:$G$801, 0)+1)),"0.##")&amp;"+"&amp;TEXT(INDEX(ERP資料!$G:$G, (MATCH(490, 輔助計算!$G$2:$G$801, 0)+1)),"0.##")&amp;"+"&amp;TEXT(INDEX(ERP資料!$G:$G, (MATCH(490, 輔助計算!$G$2:$G$801, 0)+1)),"0.##"))))&amp;"-1")), ""), "")</f>
        <v/>
      </c>
      <c r="K491" s="16" t="n"/>
      <c r="L491" s="14">
        <f>IFERROR(IF(AND(IFERROR(INDEX(ERP資料!$A:$A, (MATCH(490, 輔助計算!$G$2:$G$801, 0)+1)), "")&lt;&gt;"", IFERROR(INDEX(ERP資料!$A:$A, (MATCH(490, 輔助計算!$G$2:$G$801, 0)+1)), "")&lt;&gt;IFERROR(INDEX(ERP資料!$A:$A, MATCH(489, 輔助計算!$G$2:$G$801, 0)+1), "")), INDEX(ERP資料!$B:$B, (MATCH(490, 輔助計算!$G$2:$G$801, 0)+1)), ""), "")</f>
        <v/>
      </c>
      <c r="M491" s="17" t="n"/>
    </row>
    <row r="492">
      <c r="A492" s="10">
        <f>IFERROR(IF(AND(IFERROR(INDEX(ERP資料!$A:$A, (MATCH(491, 輔助計算!$G$2:$G$801, 0)+1)), "")&lt;&gt;"", IFERROR(INDEX(ERP資料!$A:$A, (MATCH(491, 輔助計算!$G$2:$G$801, 0)+1)), "")&lt;&gt;IFERROR(INDEX(ERP資料!$A:$A, MATCH(490, 輔助計算!$G$2:$G$801, 0)+1), "")), IFERROR(INDEX(ERP資料!$A:$A, (MATCH(491, 輔助計算!$G$2:$G$801, 0)+1)), ""), ""), "")</f>
        <v/>
      </c>
      <c r="B492" s="10">
        <f>IFERROR(IF(AND(IFERROR(INDEX(ERP資料!$A:$A, (MATCH(491, 輔助計算!$G$2:$G$801, 0)+1)), "")&lt;&gt;"", IFERROR(INDEX(ERP資料!$A:$A, (MATCH(491, 輔助計算!$G$2:$G$801, 0)+1)), "")&lt;&gt;IFERROR(INDEX(ERP資料!$A:$A, MATCH(490, 輔助計算!$G$2:$G$801, 0)+1), "")), INDEX(ERP資料!$S:$S, (MATCH(491, 輔助計算!$G$2:$G$801, 0)+1)), ""), "")</f>
        <v/>
      </c>
      <c r="C492" s="19">
        <f>IFERROR(IF(AND(IFERROR(INDEX(ERP資料!$A:$A, (MATCH(491, 輔助計算!$G$2:$G$801, 0)+1)), "")&lt;&gt;"", IFERROR(INDEX(ERP資料!$A:$A, (MATCH(491, 輔助計算!$G$2:$G$801, 0)+1)), "")&lt;&gt;IFERROR(INDEX(ERP資料!$A:$A, MATCH(490, 輔助計算!$G$2:$G$801, 0)+1), "")), IFERROR(VLOOKUP(LEFT(INDEX(ERP資料!$S:$S, (MATCH(491, 輔助計算!$G$2:$G$801, 0)+1)), 4), 紙管對照表!$A:$C, 3, FALSE), ""), ""), "")</f>
        <v/>
      </c>
      <c r="D492" s="16" t="n"/>
      <c r="E492" s="10">
        <f>IFERROR(IF(INDEX(ERP資料!$H:$H, (MATCH(491, 輔助計算!$G$2:$G$801, 0)+1))="","",INDEX(ERP資料!$H:$H, (MATCH(491, 輔助計算!$G$2:$G$801, 0)+1))), "")</f>
        <v/>
      </c>
      <c r="F492" s="10">
        <f>IFERROR(IF(INDEX(ERP資料!$E:$E, (MATCH(491, 輔助計算!$G$2:$G$801, 0)+1))="","",TRIM(INDEX(ERP資料!$E:$E, (MATCH(491, 輔助計算!$G$2:$G$801, 0)+1)))), "")</f>
        <v/>
      </c>
      <c r="G492" s="10">
        <f>IFERROR(IF(INDEX(ERP資料!$F:$F, (MATCH(491, 輔助計算!$G$2:$G$801, 0)+1))="","",INDEX(ERP資料!$F:$F, (MATCH(491, 輔助計算!$G$2:$G$801, 0)+1))), "")</f>
        <v/>
      </c>
      <c r="H492" s="10">
        <f>IFERROR(IF(INDEX(ERP資料!$G:$G, (MATCH(491, 輔助計算!$G$2:$G$801, 0)+1))="","",INDEX(ERP資料!$G:$G, (MATCH(491, 輔助計算!$G$2:$G$801, 0)+1))), "")</f>
        <v/>
      </c>
      <c r="I492" s="15">
        <f>IFERROR(INDEX(輔助計算!$D:$D, (MATCH(491, 輔助計算!$G$2:$G$801, 0)+1)), "")</f>
        <v/>
      </c>
      <c r="J492" s="15">
        <f>IFERROR(IF(AND(INDEX(輔助計算!$D:$D, (MATCH(491, 輔助計算!$G$2:$G$801, 0)+1))&lt;&gt;"", INDEX(ERP資料!$G:$G, (MATCH(491, 輔助計算!$G$2:$G$801, 0)+1))&lt;&gt;""), TRIM(IF(INT(INDEX(輔助計算!$D:$D, (MATCH(491, 輔助計算!$G$2:$G$801, 0)+1))/IF(INDEX(ERP資料!$G:$G, (MATCH(491, 輔助計算!$G$2:$G$801, 0)+1))&lt;100, IF(INDEX(ERP資料!$G:$G, (MATCH(491, 輔助計算!$G$2:$G$801, 0)+1))&lt;=31,3,IF(INDEX(ERP資料!$G:$G, (MATCH(491, 輔助計算!$G$2:$G$801, 0)+1))&lt;=46.5,2,1)), IF(INDEX(ERP資料!$G:$G, (MATCH(491, 輔助計算!$G$2:$G$801, 0)+1))&lt;=790,3,IF(INDEX(ERP資料!$G:$G, (MATCH(491, 輔助計算!$G$2:$G$801, 0)+1))&lt;=1181,2,1))))&gt;0, IF(IF(INDEX(ERP資料!$G:$G, (MATCH(491, 輔助計算!$G$2:$G$801, 0)+1))&lt;100, IF(INDEX(ERP資料!$G:$G, (MATCH(491, 輔助計算!$G$2:$G$801, 0)+1))&lt;=31,3,IF(INDEX(ERP資料!$G:$G, (MATCH(491, 輔助計算!$G$2:$G$801, 0)+1))&lt;=46.5,2,1)), IF(INDEX(ERP資料!$G:$G, (MATCH(491, 輔助計算!$G$2:$G$801, 0)+1))&lt;=790,3,IF(INDEX(ERP資料!$G:$G, (MATCH(491, 輔助計算!$G$2:$G$801, 0)+1))&lt;=1181,2,1)))=1,TEXT(INDEX(ERP資料!$G:$G, (MATCH(491, 輔助計算!$G$2:$G$801, 0)+1)),"0.##"),IF(IF(INDEX(ERP資料!$G:$G, (MATCH(491, 輔助計算!$G$2:$G$801, 0)+1))&lt;100, IF(INDEX(ERP資料!$G:$G, (MATCH(491, 輔助計算!$G$2:$G$801, 0)+1))&lt;=31,3,IF(INDEX(ERP資料!$G:$G, (MATCH(491, 輔助計算!$G$2:$G$801, 0)+1))&lt;=46.5,2,1)), IF(INDEX(ERP資料!$G:$G, (MATCH(491, 輔助計算!$G$2:$G$801, 0)+1))&lt;=790,3,IF(INDEX(ERP資料!$G:$G, (MATCH(491, 輔助計算!$G$2:$G$801, 0)+1))&lt;=1181,2,1)))=2,TEXT(INDEX(ERP資料!$G:$G, (MATCH(491, 輔助計算!$G$2:$G$801, 0)+1)),"0.##")&amp;"+"&amp;TEXT(INDEX(ERP資料!$G:$G, (MATCH(491, 輔助計算!$G$2:$G$801, 0)+1)),"0.##"),TEXT(INDEX(ERP資料!$G:$G, (MATCH(491, 輔助計算!$G$2:$G$801, 0)+1)),"0.##")&amp;"+"&amp;TEXT(INDEX(ERP資料!$G:$G, (MATCH(491, 輔助計算!$G$2:$G$801, 0)+1)),"0.##")&amp;"+"&amp;TEXT(INDEX(ERP資料!$G:$G, (MATCH(491, 輔助計算!$G$2:$G$801, 0)+1)),"0.##")))&amp;"-"&amp;INT(INDEX(輔助計算!$D:$D, (MATCH(491, 輔助計算!$G$2:$G$801, 0)+1))/IF(INDEX(ERP資料!$G:$G, (MATCH(491, 輔助計算!$G$2:$G$801, 0)+1))&lt;100, IF(INDEX(ERP資料!$G:$G, (MATCH(491, 輔助計算!$G$2:$G$801, 0)+1))&lt;=31,3,IF(INDEX(ERP資料!$G:$G, (MATCH(491, 輔助計算!$G$2:$G$801, 0)+1))&lt;=46.5,2,1)), IF(INDEX(ERP資料!$G:$G, (MATCH(491, 輔助計算!$G$2:$G$801, 0)+1))&lt;=790,3,IF(INDEX(ERP資料!$G:$G, (MATCH(491, 輔助計算!$G$2:$G$801, 0)+1))&lt;=1181,2,1)))), "")&amp;IF(AND(IF(INT(INDEX(輔助計算!$D:$D, (MATCH(491, 輔助計算!$G$2:$G$801, 0)+1))/IF(INDEX(ERP資料!$G:$G, (MATCH(491, 輔助計算!$G$2:$G$801, 0)+1))&lt;100, IF(INDEX(ERP資料!$G:$G, (MATCH(491, 輔助計算!$G$2:$G$801, 0)+1))&lt;=31,3,IF(INDEX(ERP資料!$G:$G, (MATCH(491, 輔助計算!$G$2:$G$801, 0)+1))&lt;=46.5,2,1)), IF(INDEX(ERP資料!$G:$G, (MATCH(491, 輔助計算!$G$2:$G$801, 0)+1))&lt;=790,3,IF(INDEX(ERP資料!$G:$G, (MATCH(491, 輔助計算!$G$2:$G$801, 0)+1))&lt;=1181,2,1))))&gt;0, IF(IF(INDEX(ERP資料!$G:$G, (MATCH(491, 輔助計算!$G$2:$G$801, 0)+1))&lt;100, IF(INDEX(ERP資料!$G:$G, (MATCH(491, 輔助計算!$G$2:$G$801, 0)+1))&lt;=31,3,IF(INDEX(ERP資料!$G:$G, (MATCH(491, 輔助計算!$G$2:$G$801, 0)+1))&lt;=46.5,2,1)), IF(INDEX(ERP資料!$G:$G, (MATCH(491, 輔助計算!$G$2:$G$801, 0)+1))&lt;=790,3,IF(INDEX(ERP資料!$G:$G, (MATCH(491, 輔助計算!$G$2:$G$801, 0)+1))&lt;=1181,2,1)))=1,TEXT(INDEX(ERP資料!$G:$G, (MATCH(491, 輔助計算!$G$2:$G$801, 0)+1)),"0.##"),IF(IF(INDEX(ERP資料!$G:$G, (MATCH(491, 輔助計算!$G$2:$G$801, 0)+1))&lt;100, IF(INDEX(ERP資料!$G:$G, (MATCH(491, 輔助計算!$G$2:$G$801, 0)+1))&lt;=31,3,IF(INDEX(ERP資料!$G:$G, (MATCH(491, 輔助計算!$G$2:$G$801, 0)+1))&lt;=46.5,2,1)), IF(INDEX(ERP資料!$G:$G, (MATCH(491, 輔助計算!$G$2:$G$801, 0)+1))&lt;=790,3,IF(INDEX(ERP資料!$G:$G, (MATCH(491, 輔助計算!$G$2:$G$801, 0)+1))&lt;=1181,2,1)))=2,TEXT(INDEX(ERP資料!$G:$G, (MATCH(491, 輔助計算!$G$2:$G$801, 0)+1)),"0.##")&amp;"+"&amp;TEXT(INDEX(ERP資料!$G:$G, (MATCH(491, 輔助計算!$G$2:$G$801, 0)+1)),"0.##"),TEXT(INDEX(ERP資料!$G:$G, (MATCH(491, 輔助計算!$G$2:$G$801, 0)+1)),"0.##")&amp;"+"&amp;TEXT(INDEX(ERP資料!$G:$G, (MATCH(491, 輔助計算!$G$2:$G$801, 0)+1)),"0.##")&amp;"+"&amp;TEXT(INDEX(ERP資料!$G:$G, (MATCH(491, 輔助計算!$G$2:$G$801, 0)+1)),"0.##")))&amp;"-"&amp;INT(INDEX(輔助計算!$D:$D, (MATCH(491, 輔助計算!$G$2:$G$801, 0)+1))/IF(INDEX(ERP資料!$G:$G, (MATCH(491, 輔助計算!$G$2:$G$801, 0)+1))&lt;100, IF(INDEX(ERP資料!$G:$G, (MATCH(491, 輔助計算!$G$2:$G$801, 0)+1))&lt;=31,3,IF(INDEX(ERP資料!$G:$G, (MATCH(491, 輔助計算!$G$2:$G$801, 0)+1))&lt;=46.5,2,1)), IF(INDEX(ERP資料!$G:$G, (MATCH(491, 輔助計算!$G$2:$G$801, 0)+1))&lt;=790,3,IF(INDEX(ERP資料!$G:$G, (MATCH(491, 輔助計算!$G$2:$G$801, 0)+1))&lt;=1181,2,1)))), "")&lt;&gt;"",IF(MOD(INDEX(輔助計算!$D:$D, (MATCH(491, 輔助計算!$G$2:$G$801, 0)+1)),IF(INDEX(ERP資料!$G:$G, (MATCH(491, 輔助計算!$G$2:$G$801, 0)+1))&lt;100, IF(INDEX(ERP資料!$G:$G, (MATCH(491, 輔助計算!$G$2:$G$801, 0)+1))&lt;=31,3,IF(INDEX(ERP資料!$G:$G, (MATCH(491, 輔助計算!$G$2:$G$801, 0)+1))&lt;=46.5,2,1)), IF(INDEX(ERP資料!$G:$G, (MATCH(491, 輔助計算!$G$2:$G$801, 0)+1))&lt;=790,3,IF(INDEX(ERP資料!$G:$G, (MATCH(491, 輔助計算!$G$2:$G$801, 0)+1))&lt;=1181,2,1))))=0,"",IF(MOD(INDEX(輔助計算!$D:$D, (MATCH(491, 輔助計算!$G$2:$G$801, 0)+1)),IF(INDEX(ERP資料!$G:$G, (MATCH(491, 輔助計算!$G$2:$G$801, 0)+1))&lt;100, IF(INDEX(ERP資料!$G:$G, (MATCH(491, 輔助計算!$G$2:$G$801, 0)+1))&lt;=31,3,IF(INDEX(ERP資料!$G:$G, (MATCH(491, 輔助計算!$G$2:$G$801, 0)+1))&lt;=46.5,2,1)), IF(INDEX(ERP資料!$G:$G, (MATCH(491, 輔助計算!$G$2:$G$801, 0)+1))&lt;=790,3,IF(INDEX(ERP資料!$G:$G, (MATCH(491, 輔助計算!$G$2:$G$801, 0)+1))&lt;=1181,2,1))))=0,"",IF(MOD(INDEX(輔助計算!$D:$D, (MATCH(491, 輔助計算!$G$2:$G$801, 0)+1)),IF(INDEX(ERP資料!$G:$G, (MATCH(491, 輔助計算!$G$2:$G$801, 0)+1))&lt;100, IF(INDEX(ERP資料!$G:$G, (MATCH(491, 輔助計算!$G$2:$G$801, 0)+1))&lt;=31,3,IF(INDEX(ERP資料!$G:$G, (MATCH(491, 輔助計算!$G$2:$G$801, 0)+1))&lt;=46.5,2,1)), IF(INDEX(ERP資料!$G:$G, (MATCH(491, 輔助計算!$G$2:$G$801, 0)+1))&lt;=790,3,IF(INDEX(ERP資料!$G:$G, (MATCH(491, 輔助計算!$G$2:$G$801, 0)+1))&lt;=1181,2,1))))=1,TEXT(INDEX(ERP資料!$G:$G, (MATCH(491, 輔助計算!$G$2:$G$801, 0)+1)),"0.##"),IF(MOD(INDEX(輔助計算!$D:$D, (MATCH(491, 輔助計算!$G$2:$G$801, 0)+1)),IF(INDEX(ERP資料!$G:$G, (MATCH(491, 輔助計算!$G$2:$G$801, 0)+1))&lt;100, IF(INDEX(ERP資料!$G:$G, (MATCH(491, 輔助計算!$G$2:$G$801, 0)+1))&lt;=31,3,IF(INDEX(ERP資料!$G:$G, (MATCH(491, 輔助計算!$G$2:$G$801, 0)+1))&lt;=46.5,2,1)), IF(INDEX(ERP資料!$G:$G, (MATCH(491, 輔助計算!$G$2:$G$801, 0)+1))&lt;=790,3,IF(INDEX(ERP資料!$G:$G, (MATCH(491, 輔助計算!$G$2:$G$801, 0)+1))&lt;=1181,2,1))))=2,TEXT(INDEX(ERP資料!$G:$G, (MATCH(491, 輔助計算!$G$2:$G$801, 0)+1)),"0.##")&amp;"+"&amp;TEXT(INDEX(ERP資料!$G:$G, (MATCH(491, 輔助計算!$G$2:$G$801, 0)+1)),"0.##"),TEXT(INDEX(ERP資料!$G:$G, (MATCH(491, 輔助計算!$G$2:$G$801, 0)+1)),"0.##")&amp;"+"&amp;TEXT(INDEX(ERP資料!$G:$G, (MATCH(491, 輔助計算!$G$2:$G$801, 0)+1)),"0.##")&amp;"+"&amp;TEXT(INDEX(ERP資料!$G:$G, (MATCH(491, 輔助計算!$G$2:$G$801, 0)+1)),"0.##"))))&amp;"-1")&lt;&gt;""),"  ","")&amp;IF(MOD(INDEX(輔助計算!$D:$D, (MATCH(491, 輔助計算!$G$2:$G$801, 0)+1)),IF(INDEX(ERP資料!$G:$G, (MATCH(491, 輔助計算!$G$2:$G$801, 0)+1))&lt;100, IF(INDEX(ERP資料!$G:$G, (MATCH(491, 輔助計算!$G$2:$G$801, 0)+1))&lt;=31,3,IF(INDEX(ERP資料!$G:$G, (MATCH(491, 輔助計算!$G$2:$G$801, 0)+1))&lt;=46.5,2,1)), IF(INDEX(ERP資料!$G:$G, (MATCH(491, 輔助計算!$G$2:$G$801, 0)+1))&lt;=790,3,IF(INDEX(ERP資料!$G:$G, (MATCH(491, 輔助計算!$G$2:$G$801, 0)+1))&lt;=1181,2,1))))=0,"",IF(MOD(INDEX(輔助計算!$D:$D, (MATCH(491, 輔助計算!$G$2:$G$801, 0)+1)),IF(INDEX(ERP資料!$G:$G, (MATCH(491, 輔助計算!$G$2:$G$801, 0)+1))&lt;100, IF(INDEX(ERP資料!$G:$G, (MATCH(491, 輔助計算!$G$2:$G$801, 0)+1))&lt;=31,3,IF(INDEX(ERP資料!$G:$G, (MATCH(491, 輔助計算!$G$2:$G$801, 0)+1))&lt;=46.5,2,1)), IF(INDEX(ERP資料!$G:$G, (MATCH(491, 輔助計算!$G$2:$G$801, 0)+1))&lt;=790,3,IF(INDEX(ERP資料!$G:$G, (MATCH(491, 輔助計算!$G$2:$G$801, 0)+1))&lt;=1181,2,1))))=0,"",IF(MOD(INDEX(輔助計算!$D:$D, (MATCH(491, 輔助計算!$G$2:$G$801, 0)+1)),IF(INDEX(ERP資料!$G:$G, (MATCH(491, 輔助計算!$G$2:$G$801, 0)+1))&lt;100, IF(INDEX(ERP資料!$G:$G, (MATCH(491, 輔助計算!$G$2:$G$801, 0)+1))&lt;=31,3,IF(INDEX(ERP資料!$G:$G, (MATCH(491, 輔助計算!$G$2:$G$801, 0)+1))&lt;=46.5,2,1)), IF(INDEX(ERP資料!$G:$G, (MATCH(491, 輔助計算!$G$2:$G$801, 0)+1))&lt;=790,3,IF(INDEX(ERP資料!$G:$G, (MATCH(491, 輔助計算!$G$2:$G$801, 0)+1))&lt;=1181,2,1))))=1,TEXT(INDEX(ERP資料!$G:$G, (MATCH(491, 輔助計算!$G$2:$G$801, 0)+1)),"0.##"),IF(MOD(INDEX(輔助計算!$D:$D, (MATCH(491, 輔助計算!$G$2:$G$801, 0)+1)),IF(INDEX(ERP資料!$G:$G, (MATCH(491, 輔助計算!$G$2:$G$801, 0)+1))&lt;100, IF(INDEX(ERP資料!$G:$G, (MATCH(491, 輔助計算!$G$2:$G$801, 0)+1))&lt;=31,3,IF(INDEX(ERP資料!$G:$G, (MATCH(491, 輔助計算!$G$2:$G$801, 0)+1))&lt;=46.5,2,1)), IF(INDEX(ERP資料!$G:$G, (MATCH(491, 輔助計算!$G$2:$G$801, 0)+1))&lt;=790,3,IF(INDEX(ERP資料!$G:$G, (MATCH(491, 輔助計算!$G$2:$G$801, 0)+1))&lt;=1181,2,1))))=2,TEXT(INDEX(ERP資料!$G:$G, (MATCH(491, 輔助計算!$G$2:$G$801, 0)+1)),"0.##")&amp;"+"&amp;TEXT(INDEX(ERP資料!$G:$G, (MATCH(491, 輔助計算!$G$2:$G$801, 0)+1)),"0.##"),TEXT(INDEX(ERP資料!$G:$G, (MATCH(491, 輔助計算!$G$2:$G$801, 0)+1)),"0.##")&amp;"+"&amp;TEXT(INDEX(ERP資料!$G:$G, (MATCH(491, 輔助計算!$G$2:$G$801, 0)+1)),"0.##")&amp;"+"&amp;TEXT(INDEX(ERP資料!$G:$G, (MATCH(491, 輔助計算!$G$2:$G$801, 0)+1)),"0.##"))))&amp;"-1")), ""), "")</f>
        <v/>
      </c>
      <c r="K492" s="16" t="n"/>
      <c r="L492" s="14">
        <f>IFERROR(IF(AND(IFERROR(INDEX(ERP資料!$A:$A, (MATCH(491, 輔助計算!$G$2:$G$801, 0)+1)), "")&lt;&gt;"", IFERROR(INDEX(ERP資料!$A:$A, (MATCH(491, 輔助計算!$G$2:$G$801, 0)+1)), "")&lt;&gt;IFERROR(INDEX(ERP資料!$A:$A, MATCH(490, 輔助計算!$G$2:$G$801, 0)+1), "")), INDEX(ERP資料!$B:$B, (MATCH(491, 輔助計算!$G$2:$G$801, 0)+1)), ""), "")</f>
        <v/>
      </c>
      <c r="M492" s="17" t="n"/>
    </row>
    <row r="493">
      <c r="A493" s="10">
        <f>IFERROR(IF(AND(IFERROR(INDEX(ERP資料!$A:$A, (MATCH(492, 輔助計算!$G$2:$G$801, 0)+1)), "")&lt;&gt;"", IFERROR(INDEX(ERP資料!$A:$A, (MATCH(492, 輔助計算!$G$2:$G$801, 0)+1)), "")&lt;&gt;IFERROR(INDEX(ERP資料!$A:$A, MATCH(491, 輔助計算!$G$2:$G$801, 0)+1), "")), IFERROR(INDEX(ERP資料!$A:$A, (MATCH(492, 輔助計算!$G$2:$G$801, 0)+1)), ""), ""), "")</f>
        <v/>
      </c>
      <c r="B493" s="10">
        <f>IFERROR(IF(AND(IFERROR(INDEX(ERP資料!$A:$A, (MATCH(492, 輔助計算!$G$2:$G$801, 0)+1)), "")&lt;&gt;"", IFERROR(INDEX(ERP資料!$A:$A, (MATCH(492, 輔助計算!$G$2:$G$801, 0)+1)), "")&lt;&gt;IFERROR(INDEX(ERP資料!$A:$A, MATCH(491, 輔助計算!$G$2:$G$801, 0)+1), "")), INDEX(ERP資料!$S:$S, (MATCH(492, 輔助計算!$G$2:$G$801, 0)+1)), ""), "")</f>
        <v/>
      </c>
      <c r="C493" s="19">
        <f>IFERROR(IF(AND(IFERROR(INDEX(ERP資料!$A:$A, (MATCH(492, 輔助計算!$G$2:$G$801, 0)+1)), "")&lt;&gt;"", IFERROR(INDEX(ERP資料!$A:$A, (MATCH(492, 輔助計算!$G$2:$G$801, 0)+1)), "")&lt;&gt;IFERROR(INDEX(ERP資料!$A:$A, MATCH(491, 輔助計算!$G$2:$G$801, 0)+1), "")), IFERROR(VLOOKUP(LEFT(INDEX(ERP資料!$S:$S, (MATCH(492, 輔助計算!$G$2:$G$801, 0)+1)), 4), 紙管對照表!$A:$C, 3, FALSE), ""), ""), "")</f>
        <v/>
      </c>
      <c r="D493" s="16" t="n"/>
      <c r="E493" s="10">
        <f>IFERROR(IF(INDEX(ERP資料!$H:$H, (MATCH(492, 輔助計算!$G$2:$G$801, 0)+1))="","",INDEX(ERP資料!$H:$H, (MATCH(492, 輔助計算!$G$2:$G$801, 0)+1))), "")</f>
        <v/>
      </c>
      <c r="F493" s="10">
        <f>IFERROR(IF(INDEX(ERP資料!$E:$E, (MATCH(492, 輔助計算!$G$2:$G$801, 0)+1))="","",TRIM(INDEX(ERP資料!$E:$E, (MATCH(492, 輔助計算!$G$2:$G$801, 0)+1)))), "")</f>
        <v/>
      </c>
      <c r="G493" s="10">
        <f>IFERROR(IF(INDEX(ERP資料!$F:$F, (MATCH(492, 輔助計算!$G$2:$G$801, 0)+1))="","",INDEX(ERP資料!$F:$F, (MATCH(492, 輔助計算!$G$2:$G$801, 0)+1))), "")</f>
        <v/>
      </c>
      <c r="H493" s="10">
        <f>IFERROR(IF(INDEX(ERP資料!$G:$G, (MATCH(492, 輔助計算!$G$2:$G$801, 0)+1))="","",INDEX(ERP資料!$G:$G, (MATCH(492, 輔助計算!$G$2:$G$801, 0)+1))), "")</f>
        <v/>
      </c>
      <c r="I493" s="15">
        <f>IFERROR(INDEX(輔助計算!$D:$D, (MATCH(492, 輔助計算!$G$2:$G$801, 0)+1)), "")</f>
        <v/>
      </c>
      <c r="J493" s="15">
        <f>IFERROR(IF(AND(INDEX(輔助計算!$D:$D, (MATCH(492, 輔助計算!$G$2:$G$801, 0)+1))&lt;&gt;"", INDEX(ERP資料!$G:$G, (MATCH(492, 輔助計算!$G$2:$G$801, 0)+1))&lt;&gt;""), TRIM(IF(INT(INDEX(輔助計算!$D:$D, (MATCH(492, 輔助計算!$G$2:$G$801, 0)+1))/IF(INDEX(ERP資料!$G:$G, (MATCH(492, 輔助計算!$G$2:$G$801, 0)+1))&lt;100, IF(INDEX(ERP資料!$G:$G, (MATCH(492, 輔助計算!$G$2:$G$801, 0)+1))&lt;=31,3,IF(INDEX(ERP資料!$G:$G, (MATCH(492, 輔助計算!$G$2:$G$801, 0)+1))&lt;=46.5,2,1)), IF(INDEX(ERP資料!$G:$G, (MATCH(492, 輔助計算!$G$2:$G$801, 0)+1))&lt;=790,3,IF(INDEX(ERP資料!$G:$G, (MATCH(492, 輔助計算!$G$2:$G$801, 0)+1))&lt;=1181,2,1))))&gt;0, IF(IF(INDEX(ERP資料!$G:$G, (MATCH(492, 輔助計算!$G$2:$G$801, 0)+1))&lt;100, IF(INDEX(ERP資料!$G:$G, (MATCH(492, 輔助計算!$G$2:$G$801, 0)+1))&lt;=31,3,IF(INDEX(ERP資料!$G:$G, (MATCH(492, 輔助計算!$G$2:$G$801, 0)+1))&lt;=46.5,2,1)), IF(INDEX(ERP資料!$G:$G, (MATCH(492, 輔助計算!$G$2:$G$801, 0)+1))&lt;=790,3,IF(INDEX(ERP資料!$G:$G, (MATCH(492, 輔助計算!$G$2:$G$801, 0)+1))&lt;=1181,2,1)))=1,TEXT(INDEX(ERP資料!$G:$G, (MATCH(492, 輔助計算!$G$2:$G$801, 0)+1)),"0.##"),IF(IF(INDEX(ERP資料!$G:$G, (MATCH(492, 輔助計算!$G$2:$G$801, 0)+1))&lt;100, IF(INDEX(ERP資料!$G:$G, (MATCH(492, 輔助計算!$G$2:$G$801, 0)+1))&lt;=31,3,IF(INDEX(ERP資料!$G:$G, (MATCH(492, 輔助計算!$G$2:$G$801, 0)+1))&lt;=46.5,2,1)), IF(INDEX(ERP資料!$G:$G, (MATCH(492, 輔助計算!$G$2:$G$801, 0)+1))&lt;=790,3,IF(INDEX(ERP資料!$G:$G, (MATCH(492, 輔助計算!$G$2:$G$801, 0)+1))&lt;=1181,2,1)))=2,TEXT(INDEX(ERP資料!$G:$G, (MATCH(492, 輔助計算!$G$2:$G$801, 0)+1)),"0.##")&amp;"+"&amp;TEXT(INDEX(ERP資料!$G:$G, (MATCH(492, 輔助計算!$G$2:$G$801, 0)+1)),"0.##"),TEXT(INDEX(ERP資料!$G:$G, (MATCH(492, 輔助計算!$G$2:$G$801, 0)+1)),"0.##")&amp;"+"&amp;TEXT(INDEX(ERP資料!$G:$G, (MATCH(492, 輔助計算!$G$2:$G$801, 0)+1)),"0.##")&amp;"+"&amp;TEXT(INDEX(ERP資料!$G:$G, (MATCH(492, 輔助計算!$G$2:$G$801, 0)+1)),"0.##")))&amp;"-"&amp;INT(INDEX(輔助計算!$D:$D, (MATCH(492, 輔助計算!$G$2:$G$801, 0)+1))/IF(INDEX(ERP資料!$G:$G, (MATCH(492, 輔助計算!$G$2:$G$801, 0)+1))&lt;100, IF(INDEX(ERP資料!$G:$G, (MATCH(492, 輔助計算!$G$2:$G$801, 0)+1))&lt;=31,3,IF(INDEX(ERP資料!$G:$G, (MATCH(492, 輔助計算!$G$2:$G$801, 0)+1))&lt;=46.5,2,1)), IF(INDEX(ERP資料!$G:$G, (MATCH(492, 輔助計算!$G$2:$G$801, 0)+1))&lt;=790,3,IF(INDEX(ERP資料!$G:$G, (MATCH(492, 輔助計算!$G$2:$G$801, 0)+1))&lt;=1181,2,1)))), "")&amp;IF(AND(IF(INT(INDEX(輔助計算!$D:$D, (MATCH(492, 輔助計算!$G$2:$G$801, 0)+1))/IF(INDEX(ERP資料!$G:$G, (MATCH(492, 輔助計算!$G$2:$G$801, 0)+1))&lt;100, IF(INDEX(ERP資料!$G:$G, (MATCH(492, 輔助計算!$G$2:$G$801, 0)+1))&lt;=31,3,IF(INDEX(ERP資料!$G:$G, (MATCH(492, 輔助計算!$G$2:$G$801, 0)+1))&lt;=46.5,2,1)), IF(INDEX(ERP資料!$G:$G, (MATCH(492, 輔助計算!$G$2:$G$801, 0)+1))&lt;=790,3,IF(INDEX(ERP資料!$G:$G, (MATCH(492, 輔助計算!$G$2:$G$801, 0)+1))&lt;=1181,2,1))))&gt;0, IF(IF(INDEX(ERP資料!$G:$G, (MATCH(492, 輔助計算!$G$2:$G$801, 0)+1))&lt;100, IF(INDEX(ERP資料!$G:$G, (MATCH(492, 輔助計算!$G$2:$G$801, 0)+1))&lt;=31,3,IF(INDEX(ERP資料!$G:$G, (MATCH(492, 輔助計算!$G$2:$G$801, 0)+1))&lt;=46.5,2,1)), IF(INDEX(ERP資料!$G:$G, (MATCH(492, 輔助計算!$G$2:$G$801, 0)+1))&lt;=790,3,IF(INDEX(ERP資料!$G:$G, (MATCH(492, 輔助計算!$G$2:$G$801, 0)+1))&lt;=1181,2,1)))=1,TEXT(INDEX(ERP資料!$G:$G, (MATCH(492, 輔助計算!$G$2:$G$801, 0)+1)),"0.##"),IF(IF(INDEX(ERP資料!$G:$G, (MATCH(492, 輔助計算!$G$2:$G$801, 0)+1))&lt;100, IF(INDEX(ERP資料!$G:$G, (MATCH(492, 輔助計算!$G$2:$G$801, 0)+1))&lt;=31,3,IF(INDEX(ERP資料!$G:$G, (MATCH(492, 輔助計算!$G$2:$G$801, 0)+1))&lt;=46.5,2,1)), IF(INDEX(ERP資料!$G:$G, (MATCH(492, 輔助計算!$G$2:$G$801, 0)+1))&lt;=790,3,IF(INDEX(ERP資料!$G:$G, (MATCH(492, 輔助計算!$G$2:$G$801, 0)+1))&lt;=1181,2,1)))=2,TEXT(INDEX(ERP資料!$G:$G, (MATCH(492, 輔助計算!$G$2:$G$801, 0)+1)),"0.##")&amp;"+"&amp;TEXT(INDEX(ERP資料!$G:$G, (MATCH(492, 輔助計算!$G$2:$G$801, 0)+1)),"0.##"),TEXT(INDEX(ERP資料!$G:$G, (MATCH(492, 輔助計算!$G$2:$G$801, 0)+1)),"0.##")&amp;"+"&amp;TEXT(INDEX(ERP資料!$G:$G, (MATCH(492, 輔助計算!$G$2:$G$801, 0)+1)),"0.##")&amp;"+"&amp;TEXT(INDEX(ERP資料!$G:$G, (MATCH(492, 輔助計算!$G$2:$G$801, 0)+1)),"0.##")))&amp;"-"&amp;INT(INDEX(輔助計算!$D:$D, (MATCH(492, 輔助計算!$G$2:$G$801, 0)+1))/IF(INDEX(ERP資料!$G:$G, (MATCH(492, 輔助計算!$G$2:$G$801, 0)+1))&lt;100, IF(INDEX(ERP資料!$G:$G, (MATCH(492, 輔助計算!$G$2:$G$801, 0)+1))&lt;=31,3,IF(INDEX(ERP資料!$G:$G, (MATCH(492, 輔助計算!$G$2:$G$801, 0)+1))&lt;=46.5,2,1)), IF(INDEX(ERP資料!$G:$G, (MATCH(492, 輔助計算!$G$2:$G$801, 0)+1))&lt;=790,3,IF(INDEX(ERP資料!$G:$G, (MATCH(492, 輔助計算!$G$2:$G$801, 0)+1))&lt;=1181,2,1)))), "")&lt;&gt;"",IF(MOD(INDEX(輔助計算!$D:$D, (MATCH(492, 輔助計算!$G$2:$G$801, 0)+1)),IF(INDEX(ERP資料!$G:$G, (MATCH(492, 輔助計算!$G$2:$G$801, 0)+1))&lt;100, IF(INDEX(ERP資料!$G:$G, (MATCH(492, 輔助計算!$G$2:$G$801, 0)+1))&lt;=31,3,IF(INDEX(ERP資料!$G:$G, (MATCH(492, 輔助計算!$G$2:$G$801, 0)+1))&lt;=46.5,2,1)), IF(INDEX(ERP資料!$G:$G, (MATCH(492, 輔助計算!$G$2:$G$801, 0)+1))&lt;=790,3,IF(INDEX(ERP資料!$G:$G, (MATCH(492, 輔助計算!$G$2:$G$801, 0)+1))&lt;=1181,2,1))))=0,"",IF(MOD(INDEX(輔助計算!$D:$D, (MATCH(492, 輔助計算!$G$2:$G$801, 0)+1)),IF(INDEX(ERP資料!$G:$G, (MATCH(492, 輔助計算!$G$2:$G$801, 0)+1))&lt;100, IF(INDEX(ERP資料!$G:$G, (MATCH(492, 輔助計算!$G$2:$G$801, 0)+1))&lt;=31,3,IF(INDEX(ERP資料!$G:$G, (MATCH(492, 輔助計算!$G$2:$G$801, 0)+1))&lt;=46.5,2,1)), IF(INDEX(ERP資料!$G:$G, (MATCH(492, 輔助計算!$G$2:$G$801, 0)+1))&lt;=790,3,IF(INDEX(ERP資料!$G:$G, (MATCH(492, 輔助計算!$G$2:$G$801, 0)+1))&lt;=1181,2,1))))=0,"",IF(MOD(INDEX(輔助計算!$D:$D, (MATCH(492, 輔助計算!$G$2:$G$801, 0)+1)),IF(INDEX(ERP資料!$G:$G, (MATCH(492, 輔助計算!$G$2:$G$801, 0)+1))&lt;100, IF(INDEX(ERP資料!$G:$G, (MATCH(492, 輔助計算!$G$2:$G$801, 0)+1))&lt;=31,3,IF(INDEX(ERP資料!$G:$G, (MATCH(492, 輔助計算!$G$2:$G$801, 0)+1))&lt;=46.5,2,1)), IF(INDEX(ERP資料!$G:$G, (MATCH(492, 輔助計算!$G$2:$G$801, 0)+1))&lt;=790,3,IF(INDEX(ERP資料!$G:$G, (MATCH(492, 輔助計算!$G$2:$G$801, 0)+1))&lt;=1181,2,1))))=1,TEXT(INDEX(ERP資料!$G:$G, (MATCH(492, 輔助計算!$G$2:$G$801, 0)+1)),"0.##"),IF(MOD(INDEX(輔助計算!$D:$D, (MATCH(492, 輔助計算!$G$2:$G$801, 0)+1)),IF(INDEX(ERP資料!$G:$G, (MATCH(492, 輔助計算!$G$2:$G$801, 0)+1))&lt;100, IF(INDEX(ERP資料!$G:$G, (MATCH(492, 輔助計算!$G$2:$G$801, 0)+1))&lt;=31,3,IF(INDEX(ERP資料!$G:$G, (MATCH(492, 輔助計算!$G$2:$G$801, 0)+1))&lt;=46.5,2,1)), IF(INDEX(ERP資料!$G:$G, (MATCH(492, 輔助計算!$G$2:$G$801, 0)+1))&lt;=790,3,IF(INDEX(ERP資料!$G:$G, (MATCH(492, 輔助計算!$G$2:$G$801, 0)+1))&lt;=1181,2,1))))=2,TEXT(INDEX(ERP資料!$G:$G, (MATCH(492, 輔助計算!$G$2:$G$801, 0)+1)),"0.##")&amp;"+"&amp;TEXT(INDEX(ERP資料!$G:$G, (MATCH(492, 輔助計算!$G$2:$G$801, 0)+1)),"0.##"),TEXT(INDEX(ERP資料!$G:$G, (MATCH(492, 輔助計算!$G$2:$G$801, 0)+1)),"0.##")&amp;"+"&amp;TEXT(INDEX(ERP資料!$G:$G, (MATCH(492, 輔助計算!$G$2:$G$801, 0)+1)),"0.##")&amp;"+"&amp;TEXT(INDEX(ERP資料!$G:$G, (MATCH(492, 輔助計算!$G$2:$G$801, 0)+1)),"0.##"))))&amp;"-1")&lt;&gt;""),"  ","")&amp;IF(MOD(INDEX(輔助計算!$D:$D, (MATCH(492, 輔助計算!$G$2:$G$801, 0)+1)),IF(INDEX(ERP資料!$G:$G, (MATCH(492, 輔助計算!$G$2:$G$801, 0)+1))&lt;100, IF(INDEX(ERP資料!$G:$G, (MATCH(492, 輔助計算!$G$2:$G$801, 0)+1))&lt;=31,3,IF(INDEX(ERP資料!$G:$G, (MATCH(492, 輔助計算!$G$2:$G$801, 0)+1))&lt;=46.5,2,1)), IF(INDEX(ERP資料!$G:$G, (MATCH(492, 輔助計算!$G$2:$G$801, 0)+1))&lt;=790,3,IF(INDEX(ERP資料!$G:$G, (MATCH(492, 輔助計算!$G$2:$G$801, 0)+1))&lt;=1181,2,1))))=0,"",IF(MOD(INDEX(輔助計算!$D:$D, (MATCH(492, 輔助計算!$G$2:$G$801, 0)+1)),IF(INDEX(ERP資料!$G:$G, (MATCH(492, 輔助計算!$G$2:$G$801, 0)+1))&lt;100, IF(INDEX(ERP資料!$G:$G, (MATCH(492, 輔助計算!$G$2:$G$801, 0)+1))&lt;=31,3,IF(INDEX(ERP資料!$G:$G, (MATCH(492, 輔助計算!$G$2:$G$801, 0)+1))&lt;=46.5,2,1)), IF(INDEX(ERP資料!$G:$G, (MATCH(492, 輔助計算!$G$2:$G$801, 0)+1))&lt;=790,3,IF(INDEX(ERP資料!$G:$G, (MATCH(492, 輔助計算!$G$2:$G$801, 0)+1))&lt;=1181,2,1))))=0,"",IF(MOD(INDEX(輔助計算!$D:$D, (MATCH(492, 輔助計算!$G$2:$G$801, 0)+1)),IF(INDEX(ERP資料!$G:$G, (MATCH(492, 輔助計算!$G$2:$G$801, 0)+1))&lt;100, IF(INDEX(ERP資料!$G:$G, (MATCH(492, 輔助計算!$G$2:$G$801, 0)+1))&lt;=31,3,IF(INDEX(ERP資料!$G:$G, (MATCH(492, 輔助計算!$G$2:$G$801, 0)+1))&lt;=46.5,2,1)), IF(INDEX(ERP資料!$G:$G, (MATCH(492, 輔助計算!$G$2:$G$801, 0)+1))&lt;=790,3,IF(INDEX(ERP資料!$G:$G, (MATCH(492, 輔助計算!$G$2:$G$801, 0)+1))&lt;=1181,2,1))))=1,TEXT(INDEX(ERP資料!$G:$G, (MATCH(492, 輔助計算!$G$2:$G$801, 0)+1)),"0.##"),IF(MOD(INDEX(輔助計算!$D:$D, (MATCH(492, 輔助計算!$G$2:$G$801, 0)+1)),IF(INDEX(ERP資料!$G:$G, (MATCH(492, 輔助計算!$G$2:$G$801, 0)+1))&lt;100, IF(INDEX(ERP資料!$G:$G, (MATCH(492, 輔助計算!$G$2:$G$801, 0)+1))&lt;=31,3,IF(INDEX(ERP資料!$G:$G, (MATCH(492, 輔助計算!$G$2:$G$801, 0)+1))&lt;=46.5,2,1)), IF(INDEX(ERP資料!$G:$G, (MATCH(492, 輔助計算!$G$2:$G$801, 0)+1))&lt;=790,3,IF(INDEX(ERP資料!$G:$G, (MATCH(492, 輔助計算!$G$2:$G$801, 0)+1))&lt;=1181,2,1))))=2,TEXT(INDEX(ERP資料!$G:$G, (MATCH(492, 輔助計算!$G$2:$G$801, 0)+1)),"0.##")&amp;"+"&amp;TEXT(INDEX(ERP資料!$G:$G, (MATCH(492, 輔助計算!$G$2:$G$801, 0)+1)),"0.##"),TEXT(INDEX(ERP資料!$G:$G, (MATCH(492, 輔助計算!$G$2:$G$801, 0)+1)),"0.##")&amp;"+"&amp;TEXT(INDEX(ERP資料!$G:$G, (MATCH(492, 輔助計算!$G$2:$G$801, 0)+1)),"0.##")&amp;"+"&amp;TEXT(INDEX(ERP資料!$G:$G, (MATCH(492, 輔助計算!$G$2:$G$801, 0)+1)),"0.##"))))&amp;"-1")), ""), "")</f>
        <v/>
      </c>
      <c r="K493" s="16" t="n"/>
      <c r="L493" s="14">
        <f>IFERROR(IF(AND(IFERROR(INDEX(ERP資料!$A:$A, (MATCH(492, 輔助計算!$G$2:$G$801, 0)+1)), "")&lt;&gt;"", IFERROR(INDEX(ERP資料!$A:$A, (MATCH(492, 輔助計算!$G$2:$G$801, 0)+1)), "")&lt;&gt;IFERROR(INDEX(ERP資料!$A:$A, MATCH(491, 輔助計算!$G$2:$G$801, 0)+1), "")), INDEX(ERP資料!$B:$B, (MATCH(492, 輔助計算!$G$2:$G$801, 0)+1)), ""), "")</f>
        <v/>
      </c>
      <c r="M493" s="17" t="n"/>
    </row>
    <row r="494">
      <c r="A494" s="10">
        <f>IFERROR(IF(AND(IFERROR(INDEX(ERP資料!$A:$A, (MATCH(493, 輔助計算!$G$2:$G$801, 0)+1)), "")&lt;&gt;"", IFERROR(INDEX(ERP資料!$A:$A, (MATCH(493, 輔助計算!$G$2:$G$801, 0)+1)), "")&lt;&gt;IFERROR(INDEX(ERP資料!$A:$A, MATCH(492, 輔助計算!$G$2:$G$801, 0)+1), "")), IFERROR(INDEX(ERP資料!$A:$A, (MATCH(493, 輔助計算!$G$2:$G$801, 0)+1)), ""), ""), "")</f>
        <v/>
      </c>
      <c r="B494" s="10">
        <f>IFERROR(IF(AND(IFERROR(INDEX(ERP資料!$A:$A, (MATCH(493, 輔助計算!$G$2:$G$801, 0)+1)), "")&lt;&gt;"", IFERROR(INDEX(ERP資料!$A:$A, (MATCH(493, 輔助計算!$G$2:$G$801, 0)+1)), "")&lt;&gt;IFERROR(INDEX(ERP資料!$A:$A, MATCH(492, 輔助計算!$G$2:$G$801, 0)+1), "")), INDEX(ERP資料!$S:$S, (MATCH(493, 輔助計算!$G$2:$G$801, 0)+1)), ""), "")</f>
        <v/>
      </c>
      <c r="C494" s="19">
        <f>IFERROR(IF(AND(IFERROR(INDEX(ERP資料!$A:$A, (MATCH(493, 輔助計算!$G$2:$G$801, 0)+1)), "")&lt;&gt;"", IFERROR(INDEX(ERP資料!$A:$A, (MATCH(493, 輔助計算!$G$2:$G$801, 0)+1)), "")&lt;&gt;IFERROR(INDEX(ERP資料!$A:$A, MATCH(492, 輔助計算!$G$2:$G$801, 0)+1), "")), IFERROR(VLOOKUP(LEFT(INDEX(ERP資料!$S:$S, (MATCH(493, 輔助計算!$G$2:$G$801, 0)+1)), 4), 紙管對照表!$A:$C, 3, FALSE), ""), ""), "")</f>
        <v/>
      </c>
      <c r="D494" s="16" t="n"/>
      <c r="E494" s="10">
        <f>IFERROR(IF(INDEX(ERP資料!$H:$H, (MATCH(493, 輔助計算!$G$2:$G$801, 0)+1))="","",INDEX(ERP資料!$H:$H, (MATCH(493, 輔助計算!$G$2:$G$801, 0)+1))), "")</f>
        <v/>
      </c>
      <c r="F494" s="10">
        <f>IFERROR(IF(INDEX(ERP資料!$E:$E, (MATCH(493, 輔助計算!$G$2:$G$801, 0)+1))="","",TRIM(INDEX(ERP資料!$E:$E, (MATCH(493, 輔助計算!$G$2:$G$801, 0)+1)))), "")</f>
        <v/>
      </c>
      <c r="G494" s="10">
        <f>IFERROR(IF(INDEX(ERP資料!$F:$F, (MATCH(493, 輔助計算!$G$2:$G$801, 0)+1))="","",INDEX(ERP資料!$F:$F, (MATCH(493, 輔助計算!$G$2:$G$801, 0)+1))), "")</f>
        <v/>
      </c>
      <c r="H494" s="10">
        <f>IFERROR(IF(INDEX(ERP資料!$G:$G, (MATCH(493, 輔助計算!$G$2:$G$801, 0)+1))="","",INDEX(ERP資料!$G:$G, (MATCH(493, 輔助計算!$G$2:$G$801, 0)+1))), "")</f>
        <v/>
      </c>
      <c r="I494" s="15">
        <f>IFERROR(INDEX(輔助計算!$D:$D, (MATCH(493, 輔助計算!$G$2:$G$801, 0)+1)), "")</f>
        <v/>
      </c>
      <c r="J494" s="15">
        <f>IFERROR(IF(AND(INDEX(輔助計算!$D:$D, (MATCH(493, 輔助計算!$G$2:$G$801, 0)+1))&lt;&gt;"", INDEX(ERP資料!$G:$G, (MATCH(493, 輔助計算!$G$2:$G$801, 0)+1))&lt;&gt;""), TRIM(IF(INT(INDEX(輔助計算!$D:$D, (MATCH(493, 輔助計算!$G$2:$G$801, 0)+1))/IF(INDEX(ERP資料!$G:$G, (MATCH(493, 輔助計算!$G$2:$G$801, 0)+1))&lt;100, IF(INDEX(ERP資料!$G:$G, (MATCH(493, 輔助計算!$G$2:$G$801, 0)+1))&lt;=31,3,IF(INDEX(ERP資料!$G:$G, (MATCH(493, 輔助計算!$G$2:$G$801, 0)+1))&lt;=46.5,2,1)), IF(INDEX(ERP資料!$G:$G, (MATCH(493, 輔助計算!$G$2:$G$801, 0)+1))&lt;=790,3,IF(INDEX(ERP資料!$G:$G, (MATCH(493, 輔助計算!$G$2:$G$801, 0)+1))&lt;=1181,2,1))))&gt;0, IF(IF(INDEX(ERP資料!$G:$G, (MATCH(493, 輔助計算!$G$2:$G$801, 0)+1))&lt;100, IF(INDEX(ERP資料!$G:$G, (MATCH(493, 輔助計算!$G$2:$G$801, 0)+1))&lt;=31,3,IF(INDEX(ERP資料!$G:$G, (MATCH(493, 輔助計算!$G$2:$G$801, 0)+1))&lt;=46.5,2,1)), IF(INDEX(ERP資料!$G:$G, (MATCH(493, 輔助計算!$G$2:$G$801, 0)+1))&lt;=790,3,IF(INDEX(ERP資料!$G:$G, (MATCH(493, 輔助計算!$G$2:$G$801, 0)+1))&lt;=1181,2,1)))=1,TEXT(INDEX(ERP資料!$G:$G, (MATCH(493, 輔助計算!$G$2:$G$801, 0)+1)),"0.##"),IF(IF(INDEX(ERP資料!$G:$G, (MATCH(493, 輔助計算!$G$2:$G$801, 0)+1))&lt;100, IF(INDEX(ERP資料!$G:$G, (MATCH(493, 輔助計算!$G$2:$G$801, 0)+1))&lt;=31,3,IF(INDEX(ERP資料!$G:$G, (MATCH(493, 輔助計算!$G$2:$G$801, 0)+1))&lt;=46.5,2,1)), IF(INDEX(ERP資料!$G:$G, (MATCH(493, 輔助計算!$G$2:$G$801, 0)+1))&lt;=790,3,IF(INDEX(ERP資料!$G:$G, (MATCH(493, 輔助計算!$G$2:$G$801, 0)+1))&lt;=1181,2,1)))=2,TEXT(INDEX(ERP資料!$G:$G, (MATCH(493, 輔助計算!$G$2:$G$801, 0)+1)),"0.##")&amp;"+"&amp;TEXT(INDEX(ERP資料!$G:$G, (MATCH(493, 輔助計算!$G$2:$G$801, 0)+1)),"0.##"),TEXT(INDEX(ERP資料!$G:$G, (MATCH(493, 輔助計算!$G$2:$G$801, 0)+1)),"0.##")&amp;"+"&amp;TEXT(INDEX(ERP資料!$G:$G, (MATCH(493, 輔助計算!$G$2:$G$801, 0)+1)),"0.##")&amp;"+"&amp;TEXT(INDEX(ERP資料!$G:$G, (MATCH(493, 輔助計算!$G$2:$G$801, 0)+1)),"0.##")))&amp;"-"&amp;INT(INDEX(輔助計算!$D:$D, (MATCH(493, 輔助計算!$G$2:$G$801, 0)+1))/IF(INDEX(ERP資料!$G:$G, (MATCH(493, 輔助計算!$G$2:$G$801, 0)+1))&lt;100, IF(INDEX(ERP資料!$G:$G, (MATCH(493, 輔助計算!$G$2:$G$801, 0)+1))&lt;=31,3,IF(INDEX(ERP資料!$G:$G, (MATCH(493, 輔助計算!$G$2:$G$801, 0)+1))&lt;=46.5,2,1)), IF(INDEX(ERP資料!$G:$G, (MATCH(493, 輔助計算!$G$2:$G$801, 0)+1))&lt;=790,3,IF(INDEX(ERP資料!$G:$G, (MATCH(493, 輔助計算!$G$2:$G$801, 0)+1))&lt;=1181,2,1)))), "")&amp;IF(AND(IF(INT(INDEX(輔助計算!$D:$D, (MATCH(493, 輔助計算!$G$2:$G$801, 0)+1))/IF(INDEX(ERP資料!$G:$G, (MATCH(493, 輔助計算!$G$2:$G$801, 0)+1))&lt;100, IF(INDEX(ERP資料!$G:$G, (MATCH(493, 輔助計算!$G$2:$G$801, 0)+1))&lt;=31,3,IF(INDEX(ERP資料!$G:$G, (MATCH(493, 輔助計算!$G$2:$G$801, 0)+1))&lt;=46.5,2,1)), IF(INDEX(ERP資料!$G:$G, (MATCH(493, 輔助計算!$G$2:$G$801, 0)+1))&lt;=790,3,IF(INDEX(ERP資料!$G:$G, (MATCH(493, 輔助計算!$G$2:$G$801, 0)+1))&lt;=1181,2,1))))&gt;0, IF(IF(INDEX(ERP資料!$G:$G, (MATCH(493, 輔助計算!$G$2:$G$801, 0)+1))&lt;100, IF(INDEX(ERP資料!$G:$G, (MATCH(493, 輔助計算!$G$2:$G$801, 0)+1))&lt;=31,3,IF(INDEX(ERP資料!$G:$G, (MATCH(493, 輔助計算!$G$2:$G$801, 0)+1))&lt;=46.5,2,1)), IF(INDEX(ERP資料!$G:$G, (MATCH(493, 輔助計算!$G$2:$G$801, 0)+1))&lt;=790,3,IF(INDEX(ERP資料!$G:$G, (MATCH(493, 輔助計算!$G$2:$G$801, 0)+1))&lt;=1181,2,1)))=1,TEXT(INDEX(ERP資料!$G:$G, (MATCH(493, 輔助計算!$G$2:$G$801, 0)+1)),"0.##"),IF(IF(INDEX(ERP資料!$G:$G, (MATCH(493, 輔助計算!$G$2:$G$801, 0)+1))&lt;100, IF(INDEX(ERP資料!$G:$G, (MATCH(493, 輔助計算!$G$2:$G$801, 0)+1))&lt;=31,3,IF(INDEX(ERP資料!$G:$G, (MATCH(493, 輔助計算!$G$2:$G$801, 0)+1))&lt;=46.5,2,1)), IF(INDEX(ERP資料!$G:$G, (MATCH(493, 輔助計算!$G$2:$G$801, 0)+1))&lt;=790,3,IF(INDEX(ERP資料!$G:$G, (MATCH(493, 輔助計算!$G$2:$G$801, 0)+1))&lt;=1181,2,1)))=2,TEXT(INDEX(ERP資料!$G:$G, (MATCH(493, 輔助計算!$G$2:$G$801, 0)+1)),"0.##")&amp;"+"&amp;TEXT(INDEX(ERP資料!$G:$G, (MATCH(493, 輔助計算!$G$2:$G$801, 0)+1)),"0.##"),TEXT(INDEX(ERP資料!$G:$G, (MATCH(493, 輔助計算!$G$2:$G$801, 0)+1)),"0.##")&amp;"+"&amp;TEXT(INDEX(ERP資料!$G:$G, (MATCH(493, 輔助計算!$G$2:$G$801, 0)+1)),"0.##")&amp;"+"&amp;TEXT(INDEX(ERP資料!$G:$G, (MATCH(493, 輔助計算!$G$2:$G$801, 0)+1)),"0.##")))&amp;"-"&amp;INT(INDEX(輔助計算!$D:$D, (MATCH(493, 輔助計算!$G$2:$G$801, 0)+1))/IF(INDEX(ERP資料!$G:$G, (MATCH(493, 輔助計算!$G$2:$G$801, 0)+1))&lt;100, IF(INDEX(ERP資料!$G:$G, (MATCH(493, 輔助計算!$G$2:$G$801, 0)+1))&lt;=31,3,IF(INDEX(ERP資料!$G:$G, (MATCH(493, 輔助計算!$G$2:$G$801, 0)+1))&lt;=46.5,2,1)), IF(INDEX(ERP資料!$G:$G, (MATCH(493, 輔助計算!$G$2:$G$801, 0)+1))&lt;=790,3,IF(INDEX(ERP資料!$G:$G, (MATCH(493, 輔助計算!$G$2:$G$801, 0)+1))&lt;=1181,2,1)))), "")&lt;&gt;"",IF(MOD(INDEX(輔助計算!$D:$D, (MATCH(493, 輔助計算!$G$2:$G$801, 0)+1)),IF(INDEX(ERP資料!$G:$G, (MATCH(493, 輔助計算!$G$2:$G$801, 0)+1))&lt;100, IF(INDEX(ERP資料!$G:$G, (MATCH(493, 輔助計算!$G$2:$G$801, 0)+1))&lt;=31,3,IF(INDEX(ERP資料!$G:$G, (MATCH(493, 輔助計算!$G$2:$G$801, 0)+1))&lt;=46.5,2,1)), IF(INDEX(ERP資料!$G:$G, (MATCH(493, 輔助計算!$G$2:$G$801, 0)+1))&lt;=790,3,IF(INDEX(ERP資料!$G:$G, (MATCH(493, 輔助計算!$G$2:$G$801, 0)+1))&lt;=1181,2,1))))=0,"",IF(MOD(INDEX(輔助計算!$D:$D, (MATCH(493, 輔助計算!$G$2:$G$801, 0)+1)),IF(INDEX(ERP資料!$G:$G, (MATCH(493, 輔助計算!$G$2:$G$801, 0)+1))&lt;100, IF(INDEX(ERP資料!$G:$G, (MATCH(493, 輔助計算!$G$2:$G$801, 0)+1))&lt;=31,3,IF(INDEX(ERP資料!$G:$G, (MATCH(493, 輔助計算!$G$2:$G$801, 0)+1))&lt;=46.5,2,1)), IF(INDEX(ERP資料!$G:$G, (MATCH(493, 輔助計算!$G$2:$G$801, 0)+1))&lt;=790,3,IF(INDEX(ERP資料!$G:$G, (MATCH(493, 輔助計算!$G$2:$G$801, 0)+1))&lt;=1181,2,1))))=0,"",IF(MOD(INDEX(輔助計算!$D:$D, (MATCH(493, 輔助計算!$G$2:$G$801, 0)+1)),IF(INDEX(ERP資料!$G:$G, (MATCH(493, 輔助計算!$G$2:$G$801, 0)+1))&lt;100, IF(INDEX(ERP資料!$G:$G, (MATCH(493, 輔助計算!$G$2:$G$801, 0)+1))&lt;=31,3,IF(INDEX(ERP資料!$G:$G, (MATCH(493, 輔助計算!$G$2:$G$801, 0)+1))&lt;=46.5,2,1)), IF(INDEX(ERP資料!$G:$G, (MATCH(493, 輔助計算!$G$2:$G$801, 0)+1))&lt;=790,3,IF(INDEX(ERP資料!$G:$G, (MATCH(493, 輔助計算!$G$2:$G$801, 0)+1))&lt;=1181,2,1))))=1,TEXT(INDEX(ERP資料!$G:$G, (MATCH(493, 輔助計算!$G$2:$G$801, 0)+1)),"0.##"),IF(MOD(INDEX(輔助計算!$D:$D, (MATCH(493, 輔助計算!$G$2:$G$801, 0)+1)),IF(INDEX(ERP資料!$G:$G, (MATCH(493, 輔助計算!$G$2:$G$801, 0)+1))&lt;100, IF(INDEX(ERP資料!$G:$G, (MATCH(493, 輔助計算!$G$2:$G$801, 0)+1))&lt;=31,3,IF(INDEX(ERP資料!$G:$G, (MATCH(493, 輔助計算!$G$2:$G$801, 0)+1))&lt;=46.5,2,1)), IF(INDEX(ERP資料!$G:$G, (MATCH(493, 輔助計算!$G$2:$G$801, 0)+1))&lt;=790,3,IF(INDEX(ERP資料!$G:$G, (MATCH(493, 輔助計算!$G$2:$G$801, 0)+1))&lt;=1181,2,1))))=2,TEXT(INDEX(ERP資料!$G:$G, (MATCH(493, 輔助計算!$G$2:$G$801, 0)+1)),"0.##")&amp;"+"&amp;TEXT(INDEX(ERP資料!$G:$G, (MATCH(493, 輔助計算!$G$2:$G$801, 0)+1)),"0.##"),TEXT(INDEX(ERP資料!$G:$G, (MATCH(493, 輔助計算!$G$2:$G$801, 0)+1)),"0.##")&amp;"+"&amp;TEXT(INDEX(ERP資料!$G:$G, (MATCH(493, 輔助計算!$G$2:$G$801, 0)+1)),"0.##")&amp;"+"&amp;TEXT(INDEX(ERP資料!$G:$G, (MATCH(493, 輔助計算!$G$2:$G$801, 0)+1)),"0.##"))))&amp;"-1")&lt;&gt;""),"  ","")&amp;IF(MOD(INDEX(輔助計算!$D:$D, (MATCH(493, 輔助計算!$G$2:$G$801, 0)+1)),IF(INDEX(ERP資料!$G:$G, (MATCH(493, 輔助計算!$G$2:$G$801, 0)+1))&lt;100, IF(INDEX(ERP資料!$G:$G, (MATCH(493, 輔助計算!$G$2:$G$801, 0)+1))&lt;=31,3,IF(INDEX(ERP資料!$G:$G, (MATCH(493, 輔助計算!$G$2:$G$801, 0)+1))&lt;=46.5,2,1)), IF(INDEX(ERP資料!$G:$G, (MATCH(493, 輔助計算!$G$2:$G$801, 0)+1))&lt;=790,3,IF(INDEX(ERP資料!$G:$G, (MATCH(493, 輔助計算!$G$2:$G$801, 0)+1))&lt;=1181,2,1))))=0,"",IF(MOD(INDEX(輔助計算!$D:$D, (MATCH(493, 輔助計算!$G$2:$G$801, 0)+1)),IF(INDEX(ERP資料!$G:$G, (MATCH(493, 輔助計算!$G$2:$G$801, 0)+1))&lt;100, IF(INDEX(ERP資料!$G:$G, (MATCH(493, 輔助計算!$G$2:$G$801, 0)+1))&lt;=31,3,IF(INDEX(ERP資料!$G:$G, (MATCH(493, 輔助計算!$G$2:$G$801, 0)+1))&lt;=46.5,2,1)), IF(INDEX(ERP資料!$G:$G, (MATCH(493, 輔助計算!$G$2:$G$801, 0)+1))&lt;=790,3,IF(INDEX(ERP資料!$G:$G, (MATCH(493, 輔助計算!$G$2:$G$801, 0)+1))&lt;=1181,2,1))))=0,"",IF(MOD(INDEX(輔助計算!$D:$D, (MATCH(493, 輔助計算!$G$2:$G$801, 0)+1)),IF(INDEX(ERP資料!$G:$G, (MATCH(493, 輔助計算!$G$2:$G$801, 0)+1))&lt;100, IF(INDEX(ERP資料!$G:$G, (MATCH(493, 輔助計算!$G$2:$G$801, 0)+1))&lt;=31,3,IF(INDEX(ERP資料!$G:$G, (MATCH(493, 輔助計算!$G$2:$G$801, 0)+1))&lt;=46.5,2,1)), IF(INDEX(ERP資料!$G:$G, (MATCH(493, 輔助計算!$G$2:$G$801, 0)+1))&lt;=790,3,IF(INDEX(ERP資料!$G:$G, (MATCH(493, 輔助計算!$G$2:$G$801, 0)+1))&lt;=1181,2,1))))=1,TEXT(INDEX(ERP資料!$G:$G, (MATCH(493, 輔助計算!$G$2:$G$801, 0)+1)),"0.##"),IF(MOD(INDEX(輔助計算!$D:$D, (MATCH(493, 輔助計算!$G$2:$G$801, 0)+1)),IF(INDEX(ERP資料!$G:$G, (MATCH(493, 輔助計算!$G$2:$G$801, 0)+1))&lt;100, IF(INDEX(ERP資料!$G:$G, (MATCH(493, 輔助計算!$G$2:$G$801, 0)+1))&lt;=31,3,IF(INDEX(ERP資料!$G:$G, (MATCH(493, 輔助計算!$G$2:$G$801, 0)+1))&lt;=46.5,2,1)), IF(INDEX(ERP資料!$G:$G, (MATCH(493, 輔助計算!$G$2:$G$801, 0)+1))&lt;=790,3,IF(INDEX(ERP資料!$G:$G, (MATCH(493, 輔助計算!$G$2:$G$801, 0)+1))&lt;=1181,2,1))))=2,TEXT(INDEX(ERP資料!$G:$G, (MATCH(493, 輔助計算!$G$2:$G$801, 0)+1)),"0.##")&amp;"+"&amp;TEXT(INDEX(ERP資料!$G:$G, (MATCH(493, 輔助計算!$G$2:$G$801, 0)+1)),"0.##"),TEXT(INDEX(ERP資料!$G:$G, (MATCH(493, 輔助計算!$G$2:$G$801, 0)+1)),"0.##")&amp;"+"&amp;TEXT(INDEX(ERP資料!$G:$G, (MATCH(493, 輔助計算!$G$2:$G$801, 0)+1)),"0.##")&amp;"+"&amp;TEXT(INDEX(ERP資料!$G:$G, (MATCH(493, 輔助計算!$G$2:$G$801, 0)+1)),"0.##"))))&amp;"-1")), ""), "")</f>
        <v/>
      </c>
      <c r="K494" s="16" t="n"/>
      <c r="L494" s="14">
        <f>IFERROR(IF(AND(IFERROR(INDEX(ERP資料!$A:$A, (MATCH(493, 輔助計算!$G$2:$G$801, 0)+1)), "")&lt;&gt;"", IFERROR(INDEX(ERP資料!$A:$A, (MATCH(493, 輔助計算!$G$2:$G$801, 0)+1)), "")&lt;&gt;IFERROR(INDEX(ERP資料!$A:$A, MATCH(492, 輔助計算!$G$2:$G$801, 0)+1), "")), INDEX(ERP資料!$B:$B, (MATCH(493, 輔助計算!$G$2:$G$801, 0)+1)), ""), "")</f>
        <v/>
      </c>
      <c r="M494" s="17" t="n"/>
    </row>
    <row r="495">
      <c r="A495" s="10">
        <f>IFERROR(IF(AND(IFERROR(INDEX(ERP資料!$A:$A, (MATCH(494, 輔助計算!$G$2:$G$801, 0)+1)), "")&lt;&gt;"", IFERROR(INDEX(ERP資料!$A:$A, (MATCH(494, 輔助計算!$G$2:$G$801, 0)+1)), "")&lt;&gt;IFERROR(INDEX(ERP資料!$A:$A, MATCH(493, 輔助計算!$G$2:$G$801, 0)+1), "")), IFERROR(INDEX(ERP資料!$A:$A, (MATCH(494, 輔助計算!$G$2:$G$801, 0)+1)), ""), ""), "")</f>
        <v/>
      </c>
      <c r="B495" s="10">
        <f>IFERROR(IF(AND(IFERROR(INDEX(ERP資料!$A:$A, (MATCH(494, 輔助計算!$G$2:$G$801, 0)+1)), "")&lt;&gt;"", IFERROR(INDEX(ERP資料!$A:$A, (MATCH(494, 輔助計算!$G$2:$G$801, 0)+1)), "")&lt;&gt;IFERROR(INDEX(ERP資料!$A:$A, MATCH(493, 輔助計算!$G$2:$G$801, 0)+1), "")), INDEX(ERP資料!$S:$S, (MATCH(494, 輔助計算!$G$2:$G$801, 0)+1)), ""), "")</f>
        <v/>
      </c>
      <c r="C495" s="19">
        <f>IFERROR(IF(AND(IFERROR(INDEX(ERP資料!$A:$A, (MATCH(494, 輔助計算!$G$2:$G$801, 0)+1)), "")&lt;&gt;"", IFERROR(INDEX(ERP資料!$A:$A, (MATCH(494, 輔助計算!$G$2:$G$801, 0)+1)), "")&lt;&gt;IFERROR(INDEX(ERP資料!$A:$A, MATCH(493, 輔助計算!$G$2:$G$801, 0)+1), "")), IFERROR(VLOOKUP(LEFT(INDEX(ERP資料!$S:$S, (MATCH(494, 輔助計算!$G$2:$G$801, 0)+1)), 4), 紙管對照表!$A:$C, 3, FALSE), ""), ""), "")</f>
        <v/>
      </c>
      <c r="D495" s="16" t="n"/>
      <c r="E495" s="10">
        <f>IFERROR(IF(INDEX(ERP資料!$H:$H, (MATCH(494, 輔助計算!$G$2:$G$801, 0)+1))="","",INDEX(ERP資料!$H:$H, (MATCH(494, 輔助計算!$G$2:$G$801, 0)+1))), "")</f>
        <v/>
      </c>
      <c r="F495" s="10">
        <f>IFERROR(IF(INDEX(ERP資料!$E:$E, (MATCH(494, 輔助計算!$G$2:$G$801, 0)+1))="","",TRIM(INDEX(ERP資料!$E:$E, (MATCH(494, 輔助計算!$G$2:$G$801, 0)+1)))), "")</f>
        <v/>
      </c>
      <c r="G495" s="10">
        <f>IFERROR(IF(INDEX(ERP資料!$F:$F, (MATCH(494, 輔助計算!$G$2:$G$801, 0)+1))="","",INDEX(ERP資料!$F:$F, (MATCH(494, 輔助計算!$G$2:$G$801, 0)+1))), "")</f>
        <v/>
      </c>
      <c r="H495" s="10">
        <f>IFERROR(IF(INDEX(ERP資料!$G:$G, (MATCH(494, 輔助計算!$G$2:$G$801, 0)+1))="","",INDEX(ERP資料!$G:$G, (MATCH(494, 輔助計算!$G$2:$G$801, 0)+1))), "")</f>
        <v/>
      </c>
      <c r="I495" s="15">
        <f>IFERROR(INDEX(輔助計算!$D:$D, (MATCH(494, 輔助計算!$G$2:$G$801, 0)+1)), "")</f>
        <v/>
      </c>
      <c r="J495" s="15">
        <f>IFERROR(IF(AND(INDEX(輔助計算!$D:$D, (MATCH(494, 輔助計算!$G$2:$G$801, 0)+1))&lt;&gt;"", INDEX(ERP資料!$G:$G, (MATCH(494, 輔助計算!$G$2:$G$801, 0)+1))&lt;&gt;""), TRIM(IF(INT(INDEX(輔助計算!$D:$D, (MATCH(494, 輔助計算!$G$2:$G$801, 0)+1))/IF(INDEX(ERP資料!$G:$G, (MATCH(494, 輔助計算!$G$2:$G$801, 0)+1))&lt;100, IF(INDEX(ERP資料!$G:$G, (MATCH(494, 輔助計算!$G$2:$G$801, 0)+1))&lt;=31,3,IF(INDEX(ERP資料!$G:$G, (MATCH(494, 輔助計算!$G$2:$G$801, 0)+1))&lt;=46.5,2,1)), IF(INDEX(ERP資料!$G:$G, (MATCH(494, 輔助計算!$G$2:$G$801, 0)+1))&lt;=790,3,IF(INDEX(ERP資料!$G:$G, (MATCH(494, 輔助計算!$G$2:$G$801, 0)+1))&lt;=1181,2,1))))&gt;0, IF(IF(INDEX(ERP資料!$G:$G, (MATCH(494, 輔助計算!$G$2:$G$801, 0)+1))&lt;100, IF(INDEX(ERP資料!$G:$G, (MATCH(494, 輔助計算!$G$2:$G$801, 0)+1))&lt;=31,3,IF(INDEX(ERP資料!$G:$G, (MATCH(494, 輔助計算!$G$2:$G$801, 0)+1))&lt;=46.5,2,1)), IF(INDEX(ERP資料!$G:$G, (MATCH(494, 輔助計算!$G$2:$G$801, 0)+1))&lt;=790,3,IF(INDEX(ERP資料!$G:$G, (MATCH(494, 輔助計算!$G$2:$G$801, 0)+1))&lt;=1181,2,1)))=1,TEXT(INDEX(ERP資料!$G:$G, (MATCH(494, 輔助計算!$G$2:$G$801, 0)+1)),"0.##"),IF(IF(INDEX(ERP資料!$G:$G, (MATCH(494, 輔助計算!$G$2:$G$801, 0)+1))&lt;100, IF(INDEX(ERP資料!$G:$G, (MATCH(494, 輔助計算!$G$2:$G$801, 0)+1))&lt;=31,3,IF(INDEX(ERP資料!$G:$G, (MATCH(494, 輔助計算!$G$2:$G$801, 0)+1))&lt;=46.5,2,1)), IF(INDEX(ERP資料!$G:$G, (MATCH(494, 輔助計算!$G$2:$G$801, 0)+1))&lt;=790,3,IF(INDEX(ERP資料!$G:$G, (MATCH(494, 輔助計算!$G$2:$G$801, 0)+1))&lt;=1181,2,1)))=2,TEXT(INDEX(ERP資料!$G:$G, (MATCH(494, 輔助計算!$G$2:$G$801, 0)+1)),"0.##")&amp;"+"&amp;TEXT(INDEX(ERP資料!$G:$G, (MATCH(494, 輔助計算!$G$2:$G$801, 0)+1)),"0.##"),TEXT(INDEX(ERP資料!$G:$G, (MATCH(494, 輔助計算!$G$2:$G$801, 0)+1)),"0.##")&amp;"+"&amp;TEXT(INDEX(ERP資料!$G:$G, (MATCH(494, 輔助計算!$G$2:$G$801, 0)+1)),"0.##")&amp;"+"&amp;TEXT(INDEX(ERP資料!$G:$G, (MATCH(494, 輔助計算!$G$2:$G$801, 0)+1)),"0.##")))&amp;"-"&amp;INT(INDEX(輔助計算!$D:$D, (MATCH(494, 輔助計算!$G$2:$G$801, 0)+1))/IF(INDEX(ERP資料!$G:$G, (MATCH(494, 輔助計算!$G$2:$G$801, 0)+1))&lt;100, IF(INDEX(ERP資料!$G:$G, (MATCH(494, 輔助計算!$G$2:$G$801, 0)+1))&lt;=31,3,IF(INDEX(ERP資料!$G:$G, (MATCH(494, 輔助計算!$G$2:$G$801, 0)+1))&lt;=46.5,2,1)), IF(INDEX(ERP資料!$G:$G, (MATCH(494, 輔助計算!$G$2:$G$801, 0)+1))&lt;=790,3,IF(INDEX(ERP資料!$G:$G, (MATCH(494, 輔助計算!$G$2:$G$801, 0)+1))&lt;=1181,2,1)))), "")&amp;IF(AND(IF(INT(INDEX(輔助計算!$D:$D, (MATCH(494, 輔助計算!$G$2:$G$801, 0)+1))/IF(INDEX(ERP資料!$G:$G, (MATCH(494, 輔助計算!$G$2:$G$801, 0)+1))&lt;100, IF(INDEX(ERP資料!$G:$G, (MATCH(494, 輔助計算!$G$2:$G$801, 0)+1))&lt;=31,3,IF(INDEX(ERP資料!$G:$G, (MATCH(494, 輔助計算!$G$2:$G$801, 0)+1))&lt;=46.5,2,1)), IF(INDEX(ERP資料!$G:$G, (MATCH(494, 輔助計算!$G$2:$G$801, 0)+1))&lt;=790,3,IF(INDEX(ERP資料!$G:$G, (MATCH(494, 輔助計算!$G$2:$G$801, 0)+1))&lt;=1181,2,1))))&gt;0, IF(IF(INDEX(ERP資料!$G:$G, (MATCH(494, 輔助計算!$G$2:$G$801, 0)+1))&lt;100, IF(INDEX(ERP資料!$G:$G, (MATCH(494, 輔助計算!$G$2:$G$801, 0)+1))&lt;=31,3,IF(INDEX(ERP資料!$G:$G, (MATCH(494, 輔助計算!$G$2:$G$801, 0)+1))&lt;=46.5,2,1)), IF(INDEX(ERP資料!$G:$G, (MATCH(494, 輔助計算!$G$2:$G$801, 0)+1))&lt;=790,3,IF(INDEX(ERP資料!$G:$G, (MATCH(494, 輔助計算!$G$2:$G$801, 0)+1))&lt;=1181,2,1)))=1,TEXT(INDEX(ERP資料!$G:$G, (MATCH(494, 輔助計算!$G$2:$G$801, 0)+1)),"0.##"),IF(IF(INDEX(ERP資料!$G:$G, (MATCH(494, 輔助計算!$G$2:$G$801, 0)+1))&lt;100, IF(INDEX(ERP資料!$G:$G, (MATCH(494, 輔助計算!$G$2:$G$801, 0)+1))&lt;=31,3,IF(INDEX(ERP資料!$G:$G, (MATCH(494, 輔助計算!$G$2:$G$801, 0)+1))&lt;=46.5,2,1)), IF(INDEX(ERP資料!$G:$G, (MATCH(494, 輔助計算!$G$2:$G$801, 0)+1))&lt;=790,3,IF(INDEX(ERP資料!$G:$G, (MATCH(494, 輔助計算!$G$2:$G$801, 0)+1))&lt;=1181,2,1)))=2,TEXT(INDEX(ERP資料!$G:$G, (MATCH(494, 輔助計算!$G$2:$G$801, 0)+1)),"0.##")&amp;"+"&amp;TEXT(INDEX(ERP資料!$G:$G, (MATCH(494, 輔助計算!$G$2:$G$801, 0)+1)),"0.##"),TEXT(INDEX(ERP資料!$G:$G, (MATCH(494, 輔助計算!$G$2:$G$801, 0)+1)),"0.##")&amp;"+"&amp;TEXT(INDEX(ERP資料!$G:$G, (MATCH(494, 輔助計算!$G$2:$G$801, 0)+1)),"0.##")&amp;"+"&amp;TEXT(INDEX(ERP資料!$G:$G, (MATCH(494, 輔助計算!$G$2:$G$801, 0)+1)),"0.##")))&amp;"-"&amp;INT(INDEX(輔助計算!$D:$D, (MATCH(494, 輔助計算!$G$2:$G$801, 0)+1))/IF(INDEX(ERP資料!$G:$G, (MATCH(494, 輔助計算!$G$2:$G$801, 0)+1))&lt;100, IF(INDEX(ERP資料!$G:$G, (MATCH(494, 輔助計算!$G$2:$G$801, 0)+1))&lt;=31,3,IF(INDEX(ERP資料!$G:$G, (MATCH(494, 輔助計算!$G$2:$G$801, 0)+1))&lt;=46.5,2,1)), IF(INDEX(ERP資料!$G:$G, (MATCH(494, 輔助計算!$G$2:$G$801, 0)+1))&lt;=790,3,IF(INDEX(ERP資料!$G:$G, (MATCH(494, 輔助計算!$G$2:$G$801, 0)+1))&lt;=1181,2,1)))), "")&lt;&gt;"",IF(MOD(INDEX(輔助計算!$D:$D, (MATCH(494, 輔助計算!$G$2:$G$801, 0)+1)),IF(INDEX(ERP資料!$G:$G, (MATCH(494, 輔助計算!$G$2:$G$801, 0)+1))&lt;100, IF(INDEX(ERP資料!$G:$G, (MATCH(494, 輔助計算!$G$2:$G$801, 0)+1))&lt;=31,3,IF(INDEX(ERP資料!$G:$G, (MATCH(494, 輔助計算!$G$2:$G$801, 0)+1))&lt;=46.5,2,1)), IF(INDEX(ERP資料!$G:$G, (MATCH(494, 輔助計算!$G$2:$G$801, 0)+1))&lt;=790,3,IF(INDEX(ERP資料!$G:$G, (MATCH(494, 輔助計算!$G$2:$G$801, 0)+1))&lt;=1181,2,1))))=0,"",IF(MOD(INDEX(輔助計算!$D:$D, (MATCH(494, 輔助計算!$G$2:$G$801, 0)+1)),IF(INDEX(ERP資料!$G:$G, (MATCH(494, 輔助計算!$G$2:$G$801, 0)+1))&lt;100, IF(INDEX(ERP資料!$G:$G, (MATCH(494, 輔助計算!$G$2:$G$801, 0)+1))&lt;=31,3,IF(INDEX(ERP資料!$G:$G, (MATCH(494, 輔助計算!$G$2:$G$801, 0)+1))&lt;=46.5,2,1)), IF(INDEX(ERP資料!$G:$G, (MATCH(494, 輔助計算!$G$2:$G$801, 0)+1))&lt;=790,3,IF(INDEX(ERP資料!$G:$G, (MATCH(494, 輔助計算!$G$2:$G$801, 0)+1))&lt;=1181,2,1))))=0,"",IF(MOD(INDEX(輔助計算!$D:$D, (MATCH(494, 輔助計算!$G$2:$G$801, 0)+1)),IF(INDEX(ERP資料!$G:$G, (MATCH(494, 輔助計算!$G$2:$G$801, 0)+1))&lt;100, IF(INDEX(ERP資料!$G:$G, (MATCH(494, 輔助計算!$G$2:$G$801, 0)+1))&lt;=31,3,IF(INDEX(ERP資料!$G:$G, (MATCH(494, 輔助計算!$G$2:$G$801, 0)+1))&lt;=46.5,2,1)), IF(INDEX(ERP資料!$G:$G, (MATCH(494, 輔助計算!$G$2:$G$801, 0)+1))&lt;=790,3,IF(INDEX(ERP資料!$G:$G, (MATCH(494, 輔助計算!$G$2:$G$801, 0)+1))&lt;=1181,2,1))))=1,TEXT(INDEX(ERP資料!$G:$G, (MATCH(494, 輔助計算!$G$2:$G$801, 0)+1)),"0.##"),IF(MOD(INDEX(輔助計算!$D:$D, (MATCH(494, 輔助計算!$G$2:$G$801, 0)+1)),IF(INDEX(ERP資料!$G:$G, (MATCH(494, 輔助計算!$G$2:$G$801, 0)+1))&lt;100, IF(INDEX(ERP資料!$G:$G, (MATCH(494, 輔助計算!$G$2:$G$801, 0)+1))&lt;=31,3,IF(INDEX(ERP資料!$G:$G, (MATCH(494, 輔助計算!$G$2:$G$801, 0)+1))&lt;=46.5,2,1)), IF(INDEX(ERP資料!$G:$G, (MATCH(494, 輔助計算!$G$2:$G$801, 0)+1))&lt;=790,3,IF(INDEX(ERP資料!$G:$G, (MATCH(494, 輔助計算!$G$2:$G$801, 0)+1))&lt;=1181,2,1))))=2,TEXT(INDEX(ERP資料!$G:$G, (MATCH(494, 輔助計算!$G$2:$G$801, 0)+1)),"0.##")&amp;"+"&amp;TEXT(INDEX(ERP資料!$G:$G, (MATCH(494, 輔助計算!$G$2:$G$801, 0)+1)),"0.##"),TEXT(INDEX(ERP資料!$G:$G, (MATCH(494, 輔助計算!$G$2:$G$801, 0)+1)),"0.##")&amp;"+"&amp;TEXT(INDEX(ERP資料!$G:$G, (MATCH(494, 輔助計算!$G$2:$G$801, 0)+1)),"0.##")&amp;"+"&amp;TEXT(INDEX(ERP資料!$G:$G, (MATCH(494, 輔助計算!$G$2:$G$801, 0)+1)),"0.##"))))&amp;"-1")&lt;&gt;""),"  ","")&amp;IF(MOD(INDEX(輔助計算!$D:$D, (MATCH(494, 輔助計算!$G$2:$G$801, 0)+1)),IF(INDEX(ERP資料!$G:$G, (MATCH(494, 輔助計算!$G$2:$G$801, 0)+1))&lt;100, IF(INDEX(ERP資料!$G:$G, (MATCH(494, 輔助計算!$G$2:$G$801, 0)+1))&lt;=31,3,IF(INDEX(ERP資料!$G:$G, (MATCH(494, 輔助計算!$G$2:$G$801, 0)+1))&lt;=46.5,2,1)), IF(INDEX(ERP資料!$G:$G, (MATCH(494, 輔助計算!$G$2:$G$801, 0)+1))&lt;=790,3,IF(INDEX(ERP資料!$G:$G, (MATCH(494, 輔助計算!$G$2:$G$801, 0)+1))&lt;=1181,2,1))))=0,"",IF(MOD(INDEX(輔助計算!$D:$D, (MATCH(494, 輔助計算!$G$2:$G$801, 0)+1)),IF(INDEX(ERP資料!$G:$G, (MATCH(494, 輔助計算!$G$2:$G$801, 0)+1))&lt;100, IF(INDEX(ERP資料!$G:$G, (MATCH(494, 輔助計算!$G$2:$G$801, 0)+1))&lt;=31,3,IF(INDEX(ERP資料!$G:$G, (MATCH(494, 輔助計算!$G$2:$G$801, 0)+1))&lt;=46.5,2,1)), IF(INDEX(ERP資料!$G:$G, (MATCH(494, 輔助計算!$G$2:$G$801, 0)+1))&lt;=790,3,IF(INDEX(ERP資料!$G:$G, (MATCH(494, 輔助計算!$G$2:$G$801, 0)+1))&lt;=1181,2,1))))=0,"",IF(MOD(INDEX(輔助計算!$D:$D, (MATCH(494, 輔助計算!$G$2:$G$801, 0)+1)),IF(INDEX(ERP資料!$G:$G, (MATCH(494, 輔助計算!$G$2:$G$801, 0)+1))&lt;100, IF(INDEX(ERP資料!$G:$G, (MATCH(494, 輔助計算!$G$2:$G$801, 0)+1))&lt;=31,3,IF(INDEX(ERP資料!$G:$G, (MATCH(494, 輔助計算!$G$2:$G$801, 0)+1))&lt;=46.5,2,1)), IF(INDEX(ERP資料!$G:$G, (MATCH(494, 輔助計算!$G$2:$G$801, 0)+1))&lt;=790,3,IF(INDEX(ERP資料!$G:$G, (MATCH(494, 輔助計算!$G$2:$G$801, 0)+1))&lt;=1181,2,1))))=1,TEXT(INDEX(ERP資料!$G:$G, (MATCH(494, 輔助計算!$G$2:$G$801, 0)+1)),"0.##"),IF(MOD(INDEX(輔助計算!$D:$D, (MATCH(494, 輔助計算!$G$2:$G$801, 0)+1)),IF(INDEX(ERP資料!$G:$G, (MATCH(494, 輔助計算!$G$2:$G$801, 0)+1))&lt;100, IF(INDEX(ERP資料!$G:$G, (MATCH(494, 輔助計算!$G$2:$G$801, 0)+1))&lt;=31,3,IF(INDEX(ERP資料!$G:$G, (MATCH(494, 輔助計算!$G$2:$G$801, 0)+1))&lt;=46.5,2,1)), IF(INDEX(ERP資料!$G:$G, (MATCH(494, 輔助計算!$G$2:$G$801, 0)+1))&lt;=790,3,IF(INDEX(ERP資料!$G:$G, (MATCH(494, 輔助計算!$G$2:$G$801, 0)+1))&lt;=1181,2,1))))=2,TEXT(INDEX(ERP資料!$G:$G, (MATCH(494, 輔助計算!$G$2:$G$801, 0)+1)),"0.##")&amp;"+"&amp;TEXT(INDEX(ERP資料!$G:$G, (MATCH(494, 輔助計算!$G$2:$G$801, 0)+1)),"0.##"),TEXT(INDEX(ERP資料!$G:$G, (MATCH(494, 輔助計算!$G$2:$G$801, 0)+1)),"0.##")&amp;"+"&amp;TEXT(INDEX(ERP資料!$G:$G, (MATCH(494, 輔助計算!$G$2:$G$801, 0)+1)),"0.##")&amp;"+"&amp;TEXT(INDEX(ERP資料!$G:$G, (MATCH(494, 輔助計算!$G$2:$G$801, 0)+1)),"0.##"))))&amp;"-1")), ""), "")</f>
        <v/>
      </c>
      <c r="K495" s="16" t="n"/>
      <c r="L495" s="14">
        <f>IFERROR(IF(AND(IFERROR(INDEX(ERP資料!$A:$A, (MATCH(494, 輔助計算!$G$2:$G$801, 0)+1)), "")&lt;&gt;"", IFERROR(INDEX(ERP資料!$A:$A, (MATCH(494, 輔助計算!$G$2:$G$801, 0)+1)), "")&lt;&gt;IFERROR(INDEX(ERP資料!$A:$A, MATCH(493, 輔助計算!$G$2:$G$801, 0)+1), "")), INDEX(ERP資料!$B:$B, (MATCH(494, 輔助計算!$G$2:$G$801, 0)+1)), ""), "")</f>
        <v/>
      </c>
      <c r="M495" s="17" t="n"/>
    </row>
    <row r="496">
      <c r="A496" s="10">
        <f>IFERROR(IF(AND(IFERROR(INDEX(ERP資料!$A:$A, (MATCH(495, 輔助計算!$G$2:$G$801, 0)+1)), "")&lt;&gt;"", IFERROR(INDEX(ERP資料!$A:$A, (MATCH(495, 輔助計算!$G$2:$G$801, 0)+1)), "")&lt;&gt;IFERROR(INDEX(ERP資料!$A:$A, MATCH(494, 輔助計算!$G$2:$G$801, 0)+1), "")), IFERROR(INDEX(ERP資料!$A:$A, (MATCH(495, 輔助計算!$G$2:$G$801, 0)+1)), ""), ""), "")</f>
        <v/>
      </c>
      <c r="B496" s="10">
        <f>IFERROR(IF(AND(IFERROR(INDEX(ERP資料!$A:$A, (MATCH(495, 輔助計算!$G$2:$G$801, 0)+1)), "")&lt;&gt;"", IFERROR(INDEX(ERP資料!$A:$A, (MATCH(495, 輔助計算!$G$2:$G$801, 0)+1)), "")&lt;&gt;IFERROR(INDEX(ERP資料!$A:$A, MATCH(494, 輔助計算!$G$2:$G$801, 0)+1), "")), INDEX(ERP資料!$S:$S, (MATCH(495, 輔助計算!$G$2:$G$801, 0)+1)), ""), "")</f>
        <v/>
      </c>
      <c r="C496" s="19">
        <f>IFERROR(IF(AND(IFERROR(INDEX(ERP資料!$A:$A, (MATCH(495, 輔助計算!$G$2:$G$801, 0)+1)), "")&lt;&gt;"", IFERROR(INDEX(ERP資料!$A:$A, (MATCH(495, 輔助計算!$G$2:$G$801, 0)+1)), "")&lt;&gt;IFERROR(INDEX(ERP資料!$A:$A, MATCH(494, 輔助計算!$G$2:$G$801, 0)+1), "")), IFERROR(VLOOKUP(LEFT(INDEX(ERP資料!$S:$S, (MATCH(495, 輔助計算!$G$2:$G$801, 0)+1)), 4), 紙管對照表!$A:$C, 3, FALSE), ""), ""), "")</f>
        <v/>
      </c>
      <c r="D496" s="16" t="n"/>
      <c r="E496" s="10">
        <f>IFERROR(IF(INDEX(ERP資料!$H:$H, (MATCH(495, 輔助計算!$G$2:$G$801, 0)+1))="","",INDEX(ERP資料!$H:$H, (MATCH(495, 輔助計算!$G$2:$G$801, 0)+1))), "")</f>
        <v/>
      </c>
      <c r="F496" s="10">
        <f>IFERROR(IF(INDEX(ERP資料!$E:$E, (MATCH(495, 輔助計算!$G$2:$G$801, 0)+1))="","",TRIM(INDEX(ERP資料!$E:$E, (MATCH(495, 輔助計算!$G$2:$G$801, 0)+1)))), "")</f>
        <v/>
      </c>
      <c r="G496" s="10">
        <f>IFERROR(IF(INDEX(ERP資料!$F:$F, (MATCH(495, 輔助計算!$G$2:$G$801, 0)+1))="","",INDEX(ERP資料!$F:$F, (MATCH(495, 輔助計算!$G$2:$G$801, 0)+1))), "")</f>
        <v/>
      </c>
      <c r="H496" s="10">
        <f>IFERROR(IF(INDEX(ERP資料!$G:$G, (MATCH(495, 輔助計算!$G$2:$G$801, 0)+1))="","",INDEX(ERP資料!$G:$G, (MATCH(495, 輔助計算!$G$2:$G$801, 0)+1))), "")</f>
        <v/>
      </c>
      <c r="I496" s="15">
        <f>IFERROR(INDEX(輔助計算!$D:$D, (MATCH(495, 輔助計算!$G$2:$G$801, 0)+1)), "")</f>
        <v/>
      </c>
      <c r="J496" s="15">
        <f>IFERROR(IF(AND(INDEX(輔助計算!$D:$D, (MATCH(495, 輔助計算!$G$2:$G$801, 0)+1))&lt;&gt;"", INDEX(ERP資料!$G:$G, (MATCH(495, 輔助計算!$G$2:$G$801, 0)+1))&lt;&gt;""), TRIM(IF(INT(INDEX(輔助計算!$D:$D, (MATCH(495, 輔助計算!$G$2:$G$801, 0)+1))/IF(INDEX(ERP資料!$G:$G, (MATCH(495, 輔助計算!$G$2:$G$801, 0)+1))&lt;100, IF(INDEX(ERP資料!$G:$G, (MATCH(495, 輔助計算!$G$2:$G$801, 0)+1))&lt;=31,3,IF(INDEX(ERP資料!$G:$G, (MATCH(495, 輔助計算!$G$2:$G$801, 0)+1))&lt;=46.5,2,1)), IF(INDEX(ERP資料!$G:$G, (MATCH(495, 輔助計算!$G$2:$G$801, 0)+1))&lt;=790,3,IF(INDEX(ERP資料!$G:$G, (MATCH(495, 輔助計算!$G$2:$G$801, 0)+1))&lt;=1181,2,1))))&gt;0, IF(IF(INDEX(ERP資料!$G:$G, (MATCH(495, 輔助計算!$G$2:$G$801, 0)+1))&lt;100, IF(INDEX(ERP資料!$G:$G, (MATCH(495, 輔助計算!$G$2:$G$801, 0)+1))&lt;=31,3,IF(INDEX(ERP資料!$G:$G, (MATCH(495, 輔助計算!$G$2:$G$801, 0)+1))&lt;=46.5,2,1)), IF(INDEX(ERP資料!$G:$G, (MATCH(495, 輔助計算!$G$2:$G$801, 0)+1))&lt;=790,3,IF(INDEX(ERP資料!$G:$G, (MATCH(495, 輔助計算!$G$2:$G$801, 0)+1))&lt;=1181,2,1)))=1,TEXT(INDEX(ERP資料!$G:$G, (MATCH(495, 輔助計算!$G$2:$G$801, 0)+1)),"0.##"),IF(IF(INDEX(ERP資料!$G:$G, (MATCH(495, 輔助計算!$G$2:$G$801, 0)+1))&lt;100, IF(INDEX(ERP資料!$G:$G, (MATCH(495, 輔助計算!$G$2:$G$801, 0)+1))&lt;=31,3,IF(INDEX(ERP資料!$G:$G, (MATCH(495, 輔助計算!$G$2:$G$801, 0)+1))&lt;=46.5,2,1)), IF(INDEX(ERP資料!$G:$G, (MATCH(495, 輔助計算!$G$2:$G$801, 0)+1))&lt;=790,3,IF(INDEX(ERP資料!$G:$G, (MATCH(495, 輔助計算!$G$2:$G$801, 0)+1))&lt;=1181,2,1)))=2,TEXT(INDEX(ERP資料!$G:$G, (MATCH(495, 輔助計算!$G$2:$G$801, 0)+1)),"0.##")&amp;"+"&amp;TEXT(INDEX(ERP資料!$G:$G, (MATCH(495, 輔助計算!$G$2:$G$801, 0)+1)),"0.##"),TEXT(INDEX(ERP資料!$G:$G, (MATCH(495, 輔助計算!$G$2:$G$801, 0)+1)),"0.##")&amp;"+"&amp;TEXT(INDEX(ERP資料!$G:$G, (MATCH(495, 輔助計算!$G$2:$G$801, 0)+1)),"0.##")&amp;"+"&amp;TEXT(INDEX(ERP資料!$G:$G, (MATCH(495, 輔助計算!$G$2:$G$801, 0)+1)),"0.##")))&amp;"-"&amp;INT(INDEX(輔助計算!$D:$D, (MATCH(495, 輔助計算!$G$2:$G$801, 0)+1))/IF(INDEX(ERP資料!$G:$G, (MATCH(495, 輔助計算!$G$2:$G$801, 0)+1))&lt;100, IF(INDEX(ERP資料!$G:$G, (MATCH(495, 輔助計算!$G$2:$G$801, 0)+1))&lt;=31,3,IF(INDEX(ERP資料!$G:$G, (MATCH(495, 輔助計算!$G$2:$G$801, 0)+1))&lt;=46.5,2,1)), IF(INDEX(ERP資料!$G:$G, (MATCH(495, 輔助計算!$G$2:$G$801, 0)+1))&lt;=790,3,IF(INDEX(ERP資料!$G:$G, (MATCH(495, 輔助計算!$G$2:$G$801, 0)+1))&lt;=1181,2,1)))), "")&amp;IF(AND(IF(INT(INDEX(輔助計算!$D:$D, (MATCH(495, 輔助計算!$G$2:$G$801, 0)+1))/IF(INDEX(ERP資料!$G:$G, (MATCH(495, 輔助計算!$G$2:$G$801, 0)+1))&lt;100, IF(INDEX(ERP資料!$G:$G, (MATCH(495, 輔助計算!$G$2:$G$801, 0)+1))&lt;=31,3,IF(INDEX(ERP資料!$G:$G, (MATCH(495, 輔助計算!$G$2:$G$801, 0)+1))&lt;=46.5,2,1)), IF(INDEX(ERP資料!$G:$G, (MATCH(495, 輔助計算!$G$2:$G$801, 0)+1))&lt;=790,3,IF(INDEX(ERP資料!$G:$G, (MATCH(495, 輔助計算!$G$2:$G$801, 0)+1))&lt;=1181,2,1))))&gt;0, IF(IF(INDEX(ERP資料!$G:$G, (MATCH(495, 輔助計算!$G$2:$G$801, 0)+1))&lt;100, IF(INDEX(ERP資料!$G:$G, (MATCH(495, 輔助計算!$G$2:$G$801, 0)+1))&lt;=31,3,IF(INDEX(ERP資料!$G:$G, (MATCH(495, 輔助計算!$G$2:$G$801, 0)+1))&lt;=46.5,2,1)), IF(INDEX(ERP資料!$G:$G, (MATCH(495, 輔助計算!$G$2:$G$801, 0)+1))&lt;=790,3,IF(INDEX(ERP資料!$G:$G, (MATCH(495, 輔助計算!$G$2:$G$801, 0)+1))&lt;=1181,2,1)))=1,TEXT(INDEX(ERP資料!$G:$G, (MATCH(495, 輔助計算!$G$2:$G$801, 0)+1)),"0.##"),IF(IF(INDEX(ERP資料!$G:$G, (MATCH(495, 輔助計算!$G$2:$G$801, 0)+1))&lt;100, IF(INDEX(ERP資料!$G:$G, (MATCH(495, 輔助計算!$G$2:$G$801, 0)+1))&lt;=31,3,IF(INDEX(ERP資料!$G:$G, (MATCH(495, 輔助計算!$G$2:$G$801, 0)+1))&lt;=46.5,2,1)), IF(INDEX(ERP資料!$G:$G, (MATCH(495, 輔助計算!$G$2:$G$801, 0)+1))&lt;=790,3,IF(INDEX(ERP資料!$G:$G, (MATCH(495, 輔助計算!$G$2:$G$801, 0)+1))&lt;=1181,2,1)))=2,TEXT(INDEX(ERP資料!$G:$G, (MATCH(495, 輔助計算!$G$2:$G$801, 0)+1)),"0.##")&amp;"+"&amp;TEXT(INDEX(ERP資料!$G:$G, (MATCH(495, 輔助計算!$G$2:$G$801, 0)+1)),"0.##"),TEXT(INDEX(ERP資料!$G:$G, (MATCH(495, 輔助計算!$G$2:$G$801, 0)+1)),"0.##")&amp;"+"&amp;TEXT(INDEX(ERP資料!$G:$G, (MATCH(495, 輔助計算!$G$2:$G$801, 0)+1)),"0.##")&amp;"+"&amp;TEXT(INDEX(ERP資料!$G:$G, (MATCH(495, 輔助計算!$G$2:$G$801, 0)+1)),"0.##")))&amp;"-"&amp;INT(INDEX(輔助計算!$D:$D, (MATCH(495, 輔助計算!$G$2:$G$801, 0)+1))/IF(INDEX(ERP資料!$G:$G, (MATCH(495, 輔助計算!$G$2:$G$801, 0)+1))&lt;100, IF(INDEX(ERP資料!$G:$G, (MATCH(495, 輔助計算!$G$2:$G$801, 0)+1))&lt;=31,3,IF(INDEX(ERP資料!$G:$G, (MATCH(495, 輔助計算!$G$2:$G$801, 0)+1))&lt;=46.5,2,1)), IF(INDEX(ERP資料!$G:$G, (MATCH(495, 輔助計算!$G$2:$G$801, 0)+1))&lt;=790,3,IF(INDEX(ERP資料!$G:$G, (MATCH(495, 輔助計算!$G$2:$G$801, 0)+1))&lt;=1181,2,1)))), "")&lt;&gt;"",IF(MOD(INDEX(輔助計算!$D:$D, (MATCH(495, 輔助計算!$G$2:$G$801, 0)+1)),IF(INDEX(ERP資料!$G:$G, (MATCH(495, 輔助計算!$G$2:$G$801, 0)+1))&lt;100, IF(INDEX(ERP資料!$G:$G, (MATCH(495, 輔助計算!$G$2:$G$801, 0)+1))&lt;=31,3,IF(INDEX(ERP資料!$G:$G, (MATCH(495, 輔助計算!$G$2:$G$801, 0)+1))&lt;=46.5,2,1)), IF(INDEX(ERP資料!$G:$G, (MATCH(495, 輔助計算!$G$2:$G$801, 0)+1))&lt;=790,3,IF(INDEX(ERP資料!$G:$G, (MATCH(495, 輔助計算!$G$2:$G$801, 0)+1))&lt;=1181,2,1))))=0,"",IF(MOD(INDEX(輔助計算!$D:$D, (MATCH(495, 輔助計算!$G$2:$G$801, 0)+1)),IF(INDEX(ERP資料!$G:$G, (MATCH(495, 輔助計算!$G$2:$G$801, 0)+1))&lt;100, IF(INDEX(ERP資料!$G:$G, (MATCH(495, 輔助計算!$G$2:$G$801, 0)+1))&lt;=31,3,IF(INDEX(ERP資料!$G:$G, (MATCH(495, 輔助計算!$G$2:$G$801, 0)+1))&lt;=46.5,2,1)), IF(INDEX(ERP資料!$G:$G, (MATCH(495, 輔助計算!$G$2:$G$801, 0)+1))&lt;=790,3,IF(INDEX(ERP資料!$G:$G, (MATCH(495, 輔助計算!$G$2:$G$801, 0)+1))&lt;=1181,2,1))))=0,"",IF(MOD(INDEX(輔助計算!$D:$D, (MATCH(495, 輔助計算!$G$2:$G$801, 0)+1)),IF(INDEX(ERP資料!$G:$G, (MATCH(495, 輔助計算!$G$2:$G$801, 0)+1))&lt;100, IF(INDEX(ERP資料!$G:$G, (MATCH(495, 輔助計算!$G$2:$G$801, 0)+1))&lt;=31,3,IF(INDEX(ERP資料!$G:$G, (MATCH(495, 輔助計算!$G$2:$G$801, 0)+1))&lt;=46.5,2,1)), IF(INDEX(ERP資料!$G:$G, (MATCH(495, 輔助計算!$G$2:$G$801, 0)+1))&lt;=790,3,IF(INDEX(ERP資料!$G:$G, (MATCH(495, 輔助計算!$G$2:$G$801, 0)+1))&lt;=1181,2,1))))=1,TEXT(INDEX(ERP資料!$G:$G, (MATCH(495, 輔助計算!$G$2:$G$801, 0)+1)),"0.##"),IF(MOD(INDEX(輔助計算!$D:$D, (MATCH(495, 輔助計算!$G$2:$G$801, 0)+1)),IF(INDEX(ERP資料!$G:$G, (MATCH(495, 輔助計算!$G$2:$G$801, 0)+1))&lt;100, IF(INDEX(ERP資料!$G:$G, (MATCH(495, 輔助計算!$G$2:$G$801, 0)+1))&lt;=31,3,IF(INDEX(ERP資料!$G:$G, (MATCH(495, 輔助計算!$G$2:$G$801, 0)+1))&lt;=46.5,2,1)), IF(INDEX(ERP資料!$G:$G, (MATCH(495, 輔助計算!$G$2:$G$801, 0)+1))&lt;=790,3,IF(INDEX(ERP資料!$G:$G, (MATCH(495, 輔助計算!$G$2:$G$801, 0)+1))&lt;=1181,2,1))))=2,TEXT(INDEX(ERP資料!$G:$G, (MATCH(495, 輔助計算!$G$2:$G$801, 0)+1)),"0.##")&amp;"+"&amp;TEXT(INDEX(ERP資料!$G:$G, (MATCH(495, 輔助計算!$G$2:$G$801, 0)+1)),"0.##"),TEXT(INDEX(ERP資料!$G:$G, (MATCH(495, 輔助計算!$G$2:$G$801, 0)+1)),"0.##")&amp;"+"&amp;TEXT(INDEX(ERP資料!$G:$G, (MATCH(495, 輔助計算!$G$2:$G$801, 0)+1)),"0.##")&amp;"+"&amp;TEXT(INDEX(ERP資料!$G:$G, (MATCH(495, 輔助計算!$G$2:$G$801, 0)+1)),"0.##"))))&amp;"-1")&lt;&gt;""),"  ","")&amp;IF(MOD(INDEX(輔助計算!$D:$D, (MATCH(495, 輔助計算!$G$2:$G$801, 0)+1)),IF(INDEX(ERP資料!$G:$G, (MATCH(495, 輔助計算!$G$2:$G$801, 0)+1))&lt;100, IF(INDEX(ERP資料!$G:$G, (MATCH(495, 輔助計算!$G$2:$G$801, 0)+1))&lt;=31,3,IF(INDEX(ERP資料!$G:$G, (MATCH(495, 輔助計算!$G$2:$G$801, 0)+1))&lt;=46.5,2,1)), IF(INDEX(ERP資料!$G:$G, (MATCH(495, 輔助計算!$G$2:$G$801, 0)+1))&lt;=790,3,IF(INDEX(ERP資料!$G:$G, (MATCH(495, 輔助計算!$G$2:$G$801, 0)+1))&lt;=1181,2,1))))=0,"",IF(MOD(INDEX(輔助計算!$D:$D, (MATCH(495, 輔助計算!$G$2:$G$801, 0)+1)),IF(INDEX(ERP資料!$G:$G, (MATCH(495, 輔助計算!$G$2:$G$801, 0)+1))&lt;100, IF(INDEX(ERP資料!$G:$G, (MATCH(495, 輔助計算!$G$2:$G$801, 0)+1))&lt;=31,3,IF(INDEX(ERP資料!$G:$G, (MATCH(495, 輔助計算!$G$2:$G$801, 0)+1))&lt;=46.5,2,1)), IF(INDEX(ERP資料!$G:$G, (MATCH(495, 輔助計算!$G$2:$G$801, 0)+1))&lt;=790,3,IF(INDEX(ERP資料!$G:$G, (MATCH(495, 輔助計算!$G$2:$G$801, 0)+1))&lt;=1181,2,1))))=0,"",IF(MOD(INDEX(輔助計算!$D:$D, (MATCH(495, 輔助計算!$G$2:$G$801, 0)+1)),IF(INDEX(ERP資料!$G:$G, (MATCH(495, 輔助計算!$G$2:$G$801, 0)+1))&lt;100, IF(INDEX(ERP資料!$G:$G, (MATCH(495, 輔助計算!$G$2:$G$801, 0)+1))&lt;=31,3,IF(INDEX(ERP資料!$G:$G, (MATCH(495, 輔助計算!$G$2:$G$801, 0)+1))&lt;=46.5,2,1)), IF(INDEX(ERP資料!$G:$G, (MATCH(495, 輔助計算!$G$2:$G$801, 0)+1))&lt;=790,3,IF(INDEX(ERP資料!$G:$G, (MATCH(495, 輔助計算!$G$2:$G$801, 0)+1))&lt;=1181,2,1))))=1,TEXT(INDEX(ERP資料!$G:$G, (MATCH(495, 輔助計算!$G$2:$G$801, 0)+1)),"0.##"),IF(MOD(INDEX(輔助計算!$D:$D, (MATCH(495, 輔助計算!$G$2:$G$801, 0)+1)),IF(INDEX(ERP資料!$G:$G, (MATCH(495, 輔助計算!$G$2:$G$801, 0)+1))&lt;100, IF(INDEX(ERP資料!$G:$G, (MATCH(495, 輔助計算!$G$2:$G$801, 0)+1))&lt;=31,3,IF(INDEX(ERP資料!$G:$G, (MATCH(495, 輔助計算!$G$2:$G$801, 0)+1))&lt;=46.5,2,1)), IF(INDEX(ERP資料!$G:$G, (MATCH(495, 輔助計算!$G$2:$G$801, 0)+1))&lt;=790,3,IF(INDEX(ERP資料!$G:$G, (MATCH(495, 輔助計算!$G$2:$G$801, 0)+1))&lt;=1181,2,1))))=2,TEXT(INDEX(ERP資料!$G:$G, (MATCH(495, 輔助計算!$G$2:$G$801, 0)+1)),"0.##")&amp;"+"&amp;TEXT(INDEX(ERP資料!$G:$G, (MATCH(495, 輔助計算!$G$2:$G$801, 0)+1)),"0.##"),TEXT(INDEX(ERP資料!$G:$G, (MATCH(495, 輔助計算!$G$2:$G$801, 0)+1)),"0.##")&amp;"+"&amp;TEXT(INDEX(ERP資料!$G:$G, (MATCH(495, 輔助計算!$G$2:$G$801, 0)+1)),"0.##")&amp;"+"&amp;TEXT(INDEX(ERP資料!$G:$G, (MATCH(495, 輔助計算!$G$2:$G$801, 0)+1)),"0.##"))))&amp;"-1")), ""), "")</f>
        <v/>
      </c>
      <c r="K496" s="16" t="n"/>
      <c r="L496" s="14">
        <f>IFERROR(IF(AND(IFERROR(INDEX(ERP資料!$A:$A, (MATCH(495, 輔助計算!$G$2:$G$801, 0)+1)), "")&lt;&gt;"", IFERROR(INDEX(ERP資料!$A:$A, (MATCH(495, 輔助計算!$G$2:$G$801, 0)+1)), "")&lt;&gt;IFERROR(INDEX(ERP資料!$A:$A, MATCH(494, 輔助計算!$G$2:$G$801, 0)+1), "")), INDEX(ERP資料!$B:$B, (MATCH(495, 輔助計算!$G$2:$G$801, 0)+1)), ""), "")</f>
        <v/>
      </c>
      <c r="M496" s="17" t="n"/>
    </row>
    <row r="497">
      <c r="A497" s="10">
        <f>IFERROR(IF(AND(IFERROR(INDEX(ERP資料!$A:$A, (MATCH(496, 輔助計算!$G$2:$G$801, 0)+1)), "")&lt;&gt;"", IFERROR(INDEX(ERP資料!$A:$A, (MATCH(496, 輔助計算!$G$2:$G$801, 0)+1)), "")&lt;&gt;IFERROR(INDEX(ERP資料!$A:$A, MATCH(495, 輔助計算!$G$2:$G$801, 0)+1), "")), IFERROR(INDEX(ERP資料!$A:$A, (MATCH(496, 輔助計算!$G$2:$G$801, 0)+1)), ""), ""), "")</f>
        <v/>
      </c>
      <c r="B497" s="10">
        <f>IFERROR(IF(AND(IFERROR(INDEX(ERP資料!$A:$A, (MATCH(496, 輔助計算!$G$2:$G$801, 0)+1)), "")&lt;&gt;"", IFERROR(INDEX(ERP資料!$A:$A, (MATCH(496, 輔助計算!$G$2:$G$801, 0)+1)), "")&lt;&gt;IFERROR(INDEX(ERP資料!$A:$A, MATCH(495, 輔助計算!$G$2:$G$801, 0)+1), "")), INDEX(ERP資料!$S:$S, (MATCH(496, 輔助計算!$G$2:$G$801, 0)+1)), ""), "")</f>
        <v/>
      </c>
      <c r="C497" s="19">
        <f>IFERROR(IF(AND(IFERROR(INDEX(ERP資料!$A:$A, (MATCH(496, 輔助計算!$G$2:$G$801, 0)+1)), "")&lt;&gt;"", IFERROR(INDEX(ERP資料!$A:$A, (MATCH(496, 輔助計算!$G$2:$G$801, 0)+1)), "")&lt;&gt;IFERROR(INDEX(ERP資料!$A:$A, MATCH(495, 輔助計算!$G$2:$G$801, 0)+1), "")), IFERROR(VLOOKUP(LEFT(INDEX(ERP資料!$S:$S, (MATCH(496, 輔助計算!$G$2:$G$801, 0)+1)), 4), 紙管對照表!$A:$C, 3, FALSE), ""), ""), "")</f>
        <v/>
      </c>
      <c r="D497" s="16" t="n"/>
      <c r="E497" s="10">
        <f>IFERROR(IF(INDEX(ERP資料!$H:$H, (MATCH(496, 輔助計算!$G$2:$G$801, 0)+1))="","",INDEX(ERP資料!$H:$H, (MATCH(496, 輔助計算!$G$2:$G$801, 0)+1))), "")</f>
        <v/>
      </c>
      <c r="F497" s="10">
        <f>IFERROR(IF(INDEX(ERP資料!$E:$E, (MATCH(496, 輔助計算!$G$2:$G$801, 0)+1))="","",TRIM(INDEX(ERP資料!$E:$E, (MATCH(496, 輔助計算!$G$2:$G$801, 0)+1)))), "")</f>
        <v/>
      </c>
      <c r="G497" s="10">
        <f>IFERROR(IF(INDEX(ERP資料!$F:$F, (MATCH(496, 輔助計算!$G$2:$G$801, 0)+1))="","",INDEX(ERP資料!$F:$F, (MATCH(496, 輔助計算!$G$2:$G$801, 0)+1))), "")</f>
        <v/>
      </c>
      <c r="H497" s="10">
        <f>IFERROR(IF(INDEX(ERP資料!$G:$G, (MATCH(496, 輔助計算!$G$2:$G$801, 0)+1))="","",INDEX(ERP資料!$G:$G, (MATCH(496, 輔助計算!$G$2:$G$801, 0)+1))), "")</f>
        <v/>
      </c>
      <c r="I497" s="15">
        <f>IFERROR(INDEX(輔助計算!$D:$D, (MATCH(496, 輔助計算!$G$2:$G$801, 0)+1)), "")</f>
        <v/>
      </c>
      <c r="J497" s="15">
        <f>IFERROR(IF(AND(INDEX(輔助計算!$D:$D, (MATCH(496, 輔助計算!$G$2:$G$801, 0)+1))&lt;&gt;"", INDEX(ERP資料!$G:$G, (MATCH(496, 輔助計算!$G$2:$G$801, 0)+1))&lt;&gt;""), TRIM(IF(INT(INDEX(輔助計算!$D:$D, (MATCH(496, 輔助計算!$G$2:$G$801, 0)+1))/IF(INDEX(ERP資料!$G:$G, (MATCH(496, 輔助計算!$G$2:$G$801, 0)+1))&lt;100, IF(INDEX(ERP資料!$G:$G, (MATCH(496, 輔助計算!$G$2:$G$801, 0)+1))&lt;=31,3,IF(INDEX(ERP資料!$G:$G, (MATCH(496, 輔助計算!$G$2:$G$801, 0)+1))&lt;=46.5,2,1)), IF(INDEX(ERP資料!$G:$G, (MATCH(496, 輔助計算!$G$2:$G$801, 0)+1))&lt;=790,3,IF(INDEX(ERP資料!$G:$G, (MATCH(496, 輔助計算!$G$2:$G$801, 0)+1))&lt;=1181,2,1))))&gt;0, IF(IF(INDEX(ERP資料!$G:$G, (MATCH(496, 輔助計算!$G$2:$G$801, 0)+1))&lt;100, IF(INDEX(ERP資料!$G:$G, (MATCH(496, 輔助計算!$G$2:$G$801, 0)+1))&lt;=31,3,IF(INDEX(ERP資料!$G:$G, (MATCH(496, 輔助計算!$G$2:$G$801, 0)+1))&lt;=46.5,2,1)), IF(INDEX(ERP資料!$G:$G, (MATCH(496, 輔助計算!$G$2:$G$801, 0)+1))&lt;=790,3,IF(INDEX(ERP資料!$G:$G, (MATCH(496, 輔助計算!$G$2:$G$801, 0)+1))&lt;=1181,2,1)))=1,TEXT(INDEX(ERP資料!$G:$G, (MATCH(496, 輔助計算!$G$2:$G$801, 0)+1)),"0.##"),IF(IF(INDEX(ERP資料!$G:$G, (MATCH(496, 輔助計算!$G$2:$G$801, 0)+1))&lt;100, IF(INDEX(ERP資料!$G:$G, (MATCH(496, 輔助計算!$G$2:$G$801, 0)+1))&lt;=31,3,IF(INDEX(ERP資料!$G:$G, (MATCH(496, 輔助計算!$G$2:$G$801, 0)+1))&lt;=46.5,2,1)), IF(INDEX(ERP資料!$G:$G, (MATCH(496, 輔助計算!$G$2:$G$801, 0)+1))&lt;=790,3,IF(INDEX(ERP資料!$G:$G, (MATCH(496, 輔助計算!$G$2:$G$801, 0)+1))&lt;=1181,2,1)))=2,TEXT(INDEX(ERP資料!$G:$G, (MATCH(496, 輔助計算!$G$2:$G$801, 0)+1)),"0.##")&amp;"+"&amp;TEXT(INDEX(ERP資料!$G:$G, (MATCH(496, 輔助計算!$G$2:$G$801, 0)+1)),"0.##"),TEXT(INDEX(ERP資料!$G:$G, (MATCH(496, 輔助計算!$G$2:$G$801, 0)+1)),"0.##")&amp;"+"&amp;TEXT(INDEX(ERP資料!$G:$G, (MATCH(496, 輔助計算!$G$2:$G$801, 0)+1)),"0.##")&amp;"+"&amp;TEXT(INDEX(ERP資料!$G:$G, (MATCH(496, 輔助計算!$G$2:$G$801, 0)+1)),"0.##")))&amp;"-"&amp;INT(INDEX(輔助計算!$D:$D, (MATCH(496, 輔助計算!$G$2:$G$801, 0)+1))/IF(INDEX(ERP資料!$G:$G, (MATCH(496, 輔助計算!$G$2:$G$801, 0)+1))&lt;100, IF(INDEX(ERP資料!$G:$G, (MATCH(496, 輔助計算!$G$2:$G$801, 0)+1))&lt;=31,3,IF(INDEX(ERP資料!$G:$G, (MATCH(496, 輔助計算!$G$2:$G$801, 0)+1))&lt;=46.5,2,1)), IF(INDEX(ERP資料!$G:$G, (MATCH(496, 輔助計算!$G$2:$G$801, 0)+1))&lt;=790,3,IF(INDEX(ERP資料!$G:$G, (MATCH(496, 輔助計算!$G$2:$G$801, 0)+1))&lt;=1181,2,1)))), "")&amp;IF(AND(IF(INT(INDEX(輔助計算!$D:$D, (MATCH(496, 輔助計算!$G$2:$G$801, 0)+1))/IF(INDEX(ERP資料!$G:$G, (MATCH(496, 輔助計算!$G$2:$G$801, 0)+1))&lt;100, IF(INDEX(ERP資料!$G:$G, (MATCH(496, 輔助計算!$G$2:$G$801, 0)+1))&lt;=31,3,IF(INDEX(ERP資料!$G:$G, (MATCH(496, 輔助計算!$G$2:$G$801, 0)+1))&lt;=46.5,2,1)), IF(INDEX(ERP資料!$G:$G, (MATCH(496, 輔助計算!$G$2:$G$801, 0)+1))&lt;=790,3,IF(INDEX(ERP資料!$G:$G, (MATCH(496, 輔助計算!$G$2:$G$801, 0)+1))&lt;=1181,2,1))))&gt;0, IF(IF(INDEX(ERP資料!$G:$G, (MATCH(496, 輔助計算!$G$2:$G$801, 0)+1))&lt;100, IF(INDEX(ERP資料!$G:$G, (MATCH(496, 輔助計算!$G$2:$G$801, 0)+1))&lt;=31,3,IF(INDEX(ERP資料!$G:$G, (MATCH(496, 輔助計算!$G$2:$G$801, 0)+1))&lt;=46.5,2,1)), IF(INDEX(ERP資料!$G:$G, (MATCH(496, 輔助計算!$G$2:$G$801, 0)+1))&lt;=790,3,IF(INDEX(ERP資料!$G:$G, (MATCH(496, 輔助計算!$G$2:$G$801, 0)+1))&lt;=1181,2,1)))=1,TEXT(INDEX(ERP資料!$G:$G, (MATCH(496, 輔助計算!$G$2:$G$801, 0)+1)),"0.##"),IF(IF(INDEX(ERP資料!$G:$G, (MATCH(496, 輔助計算!$G$2:$G$801, 0)+1))&lt;100, IF(INDEX(ERP資料!$G:$G, (MATCH(496, 輔助計算!$G$2:$G$801, 0)+1))&lt;=31,3,IF(INDEX(ERP資料!$G:$G, (MATCH(496, 輔助計算!$G$2:$G$801, 0)+1))&lt;=46.5,2,1)), IF(INDEX(ERP資料!$G:$G, (MATCH(496, 輔助計算!$G$2:$G$801, 0)+1))&lt;=790,3,IF(INDEX(ERP資料!$G:$G, (MATCH(496, 輔助計算!$G$2:$G$801, 0)+1))&lt;=1181,2,1)))=2,TEXT(INDEX(ERP資料!$G:$G, (MATCH(496, 輔助計算!$G$2:$G$801, 0)+1)),"0.##")&amp;"+"&amp;TEXT(INDEX(ERP資料!$G:$G, (MATCH(496, 輔助計算!$G$2:$G$801, 0)+1)),"0.##"),TEXT(INDEX(ERP資料!$G:$G, (MATCH(496, 輔助計算!$G$2:$G$801, 0)+1)),"0.##")&amp;"+"&amp;TEXT(INDEX(ERP資料!$G:$G, (MATCH(496, 輔助計算!$G$2:$G$801, 0)+1)),"0.##")&amp;"+"&amp;TEXT(INDEX(ERP資料!$G:$G, (MATCH(496, 輔助計算!$G$2:$G$801, 0)+1)),"0.##")))&amp;"-"&amp;INT(INDEX(輔助計算!$D:$D, (MATCH(496, 輔助計算!$G$2:$G$801, 0)+1))/IF(INDEX(ERP資料!$G:$G, (MATCH(496, 輔助計算!$G$2:$G$801, 0)+1))&lt;100, IF(INDEX(ERP資料!$G:$G, (MATCH(496, 輔助計算!$G$2:$G$801, 0)+1))&lt;=31,3,IF(INDEX(ERP資料!$G:$G, (MATCH(496, 輔助計算!$G$2:$G$801, 0)+1))&lt;=46.5,2,1)), IF(INDEX(ERP資料!$G:$G, (MATCH(496, 輔助計算!$G$2:$G$801, 0)+1))&lt;=790,3,IF(INDEX(ERP資料!$G:$G, (MATCH(496, 輔助計算!$G$2:$G$801, 0)+1))&lt;=1181,2,1)))), "")&lt;&gt;"",IF(MOD(INDEX(輔助計算!$D:$D, (MATCH(496, 輔助計算!$G$2:$G$801, 0)+1)),IF(INDEX(ERP資料!$G:$G, (MATCH(496, 輔助計算!$G$2:$G$801, 0)+1))&lt;100, IF(INDEX(ERP資料!$G:$G, (MATCH(496, 輔助計算!$G$2:$G$801, 0)+1))&lt;=31,3,IF(INDEX(ERP資料!$G:$G, (MATCH(496, 輔助計算!$G$2:$G$801, 0)+1))&lt;=46.5,2,1)), IF(INDEX(ERP資料!$G:$G, (MATCH(496, 輔助計算!$G$2:$G$801, 0)+1))&lt;=790,3,IF(INDEX(ERP資料!$G:$G, (MATCH(496, 輔助計算!$G$2:$G$801, 0)+1))&lt;=1181,2,1))))=0,"",IF(MOD(INDEX(輔助計算!$D:$D, (MATCH(496, 輔助計算!$G$2:$G$801, 0)+1)),IF(INDEX(ERP資料!$G:$G, (MATCH(496, 輔助計算!$G$2:$G$801, 0)+1))&lt;100, IF(INDEX(ERP資料!$G:$G, (MATCH(496, 輔助計算!$G$2:$G$801, 0)+1))&lt;=31,3,IF(INDEX(ERP資料!$G:$G, (MATCH(496, 輔助計算!$G$2:$G$801, 0)+1))&lt;=46.5,2,1)), IF(INDEX(ERP資料!$G:$G, (MATCH(496, 輔助計算!$G$2:$G$801, 0)+1))&lt;=790,3,IF(INDEX(ERP資料!$G:$G, (MATCH(496, 輔助計算!$G$2:$G$801, 0)+1))&lt;=1181,2,1))))=0,"",IF(MOD(INDEX(輔助計算!$D:$D, (MATCH(496, 輔助計算!$G$2:$G$801, 0)+1)),IF(INDEX(ERP資料!$G:$G, (MATCH(496, 輔助計算!$G$2:$G$801, 0)+1))&lt;100, IF(INDEX(ERP資料!$G:$G, (MATCH(496, 輔助計算!$G$2:$G$801, 0)+1))&lt;=31,3,IF(INDEX(ERP資料!$G:$G, (MATCH(496, 輔助計算!$G$2:$G$801, 0)+1))&lt;=46.5,2,1)), IF(INDEX(ERP資料!$G:$G, (MATCH(496, 輔助計算!$G$2:$G$801, 0)+1))&lt;=790,3,IF(INDEX(ERP資料!$G:$G, (MATCH(496, 輔助計算!$G$2:$G$801, 0)+1))&lt;=1181,2,1))))=1,TEXT(INDEX(ERP資料!$G:$G, (MATCH(496, 輔助計算!$G$2:$G$801, 0)+1)),"0.##"),IF(MOD(INDEX(輔助計算!$D:$D, (MATCH(496, 輔助計算!$G$2:$G$801, 0)+1)),IF(INDEX(ERP資料!$G:$G, (MATCH(496, 輔助計算!$G$2:$G$801, 0)+1))&lt;100, IF(INDEX(ERP資料!$G:$G, (MATCH(496, 輔助計算!$G$2:$G$801, 0)+1))&lt;=31,3,IF(INDEX(ERP資料!$G:$G, (MATCH(496, 輔助計算!$G$2:$G$801, 0)+1))&lt;=46.5,2,1)), IF(INDEX(ERP資料!$G:$G, (MATCH(496, 輔助計算!$G$2:$G$801, 0)+1))&lt;=790,3,IF(INDEX(ERP資料!$G:$G, (MATCH(496, 輔助計算!$G$2:$G$801, 0)+1))&lt;=1181,2,1))))=2,TEXT(INDEX(ERP資料!$G:$G, (MATCH(496, 輔助計算!$G$2:$G$801, 0)+1)),"0.##")&amp;"+"&amp;TEXT(INDEX(ERP資料!$G:$G, (MATCH(496, 輔助計算!$G$2:$G$801, 0)+1)),"0.##"),TEXT(INDEX(ERP資料!$G:$G, (MATCH(496, 輔助計算!$G$2:$G$801, 0)+1)),"0.##")&amp;"+"&amp;TEXT(INDEX(ERP資料!$G:$G, (MATCH(496, 輔助計算!$G$2:$G$801, 0)+1)),"0.##")&amp;"+"&amp;TEXT(INDEX(ERP資料!$G:$G, (MATCH(496, 輔助計算!$G$2:$G$801, 0)+1)),"0.##"))))&amp;"-1")&lt;&gt;""),"  ","")&amp;IF(MOD(INDEX(輔助計算!$D:$D, (MATCH(496, 輔助計算!$G$2:$G$801, 0)+1)),IF(INDEX(ERP資料!$G:$G, (MATCH(496, 輔助計算!$G$2:$G$801, 0)+1))&lt;100, IF(INDEX(ERP資料!$G:$G, (MATCH(496, 輔助計算!$G$2:$G$801, 0)+1))&lt;=31,3,IF(INDEX(ERP資料!$G:$G, (MATCH(496, 輔助計算!$G$2:$G$801, 0)+1))&lt;=46.5,2,1)), IF(INDEX(ERP資料!$G:$G, (MATCH(496, 輔助計算!$G$2:$G$801, 0)+1))&lt;=790,3,IF(INDEX(ERP資料!$G:$G, (MATCH(496, 輔助計算!$G$2:$G$801, 0)+1))&lt;=1181,2,1))))=0,"",IF(MOD(INDEX(輔助計算!$D:$D, (MATCH(496, 輔助計算!$G$2:$G$801, 0)+1)),IF(INDEX(ERP資料!$G:$G, (MATCH(496, 輔助計算!$G$2:$G$801, 0)+1))&lt;100, IF(INDEX(ERP資料!$G:$G, (MATCH(496, 輔助計算!$G$2:$G$801, 0)+1))&lt;=31,3,IF(INDEX(ERP資料!$G:$G, (MATCH(496, 輔助計算!$G$2:$G$801, 0)+1))&lt;=46.5,2,1)), IF(INDEX(ERP資料!$G:$G, (MATCH(496, 輔助計算!$G$2:$G$801, 0)+1))&lt;=790,3,IF(INDEX(ERP資料!$G:$G, (MATCH(496, 輔助計算!$G$2:$G$801, 0)+1))&lt;=1181,2,1))))=0,"",IF(MOD(INDEX(輔助計算!$D:$D, (MATCH(496, 輔助計算!$G$2:$G$801, 0)+1)),IF(INDEX(ERP資料!$G:$G, (MATCH(496, 輔助計算!$G$2:$G$801, 0)+1))&lt;100, IF(INDEX(ERP資料!$G:$G, (MATCH(496, 輔助計算!$G$2:$G$801, 0)+1))&lt;=31,3,IF(INDEX(ERP資料!$G:$G, (MATCH(496, 輔助計算!$G$2:$G$801, 0)+1))&lt;=46.5,2,1)), IF(INDEX(ERP資料!$G:$G, (MATCH(496, 輔助計算!$G$2:$G$801, 0)+1))&lt;=790,3,IF(INDEX(ERP資料!$G:$G, (MATCH(496, 輔助計算!$G$2:$G$801, 0)+1))&lt;=1181,2,1))))=1,TEXT(INDEX(ERP資料!$G:$G, (MATCH(496, 輔助計算!$G$2:$G$801, 0)+1)),"0.##"),IF(MOD(INDEX(輔助計算!$D:$D, (MATCH(496, 輔助計算!$G$2:$G$801, 0)+1)),IF(INDEX(ERP資料!$G:$G, (MATCH(496, 輔助計算!$G$2:$G$801, 0)+1))&lt;100, IF(INDEX(ERP資料!$G:$G, (MATCH(496, 輔助計算!$G$2:$G$801, 0)+1))&lt;=31,3,IF(INDEX(ERP資料!$G:$G, (MATCH(496, 輔助計算!$G$2:$G$801, 0)+1))&lt;=46.5,2,1)), IF(INDEX(ERP資料!$G:$G, (MATCH(496, 輔助計算!$G$2:$G$801, 0)+1))&lt;=790,3,IF(INDEX(ERP資料!$G:$G, (MATCH(496, 輔助計算!$G$2:$G$801, 0)+1))&lt;=1181,2,1))))=2,TEXT(INDEX(ERP資料!$G:$G, (MATCH(496, 輔助計算!$G$2:$G$801, 0)+1)),"0.##")&amp;"+"&amp;TEXT(INDEX(ERP資料!$G:$G, (MATCH(496, 輔助計算!$G$2:$G$801, 0)+1)),"0.##"),TEXT(INDEX(ERP資料!$G:$G, (MATCH(496, 輔助計算!$G$2:$G$801, 0)+1)),"0.##")&amp;"+"&amp;TEXT(INDEX(ERP資料!$G:$G, (MATCH(496, 輔助計算!$G$2:$G$801, 0)+1)),"0.##")&amp;"+"&amp;TEXT(INDEX(ERP資料!$G:$G, (MATCH(496, 輔助計算!$G$2:$G$801, 0)+1)),"0.##"))))&amp;"-1")), ""), "")</f>
        <v/>
      </c>
      <c r="K497" s="16" t="n"/>
      <c r="L497" s="14">
        <f>IFERROR(IF(AND(IFERROR(INDEX(ERP資料!$A:$A, (MATCH(496, 輔助計算!$G$2:$G$801, 0)+1)), "")&lt;&gt;"", IFERROR(INDEX(ERP資料!$A:$A, (MATCH(496, 輔助計算!$G$2:$G$801, 0)+1)), "")&lt;&gt;IFERROR(INDEX(ERP資料!$A:$A, MATCH(495, 輔助計算!$G$2:$G$801, 0)+1), "")), INDEX(ERP資料!$B:$B, (MATCH(496, 輔助計算!$G$2:$G$801, 0)+1)), ""), "")</f>
        <v/>
      </c>
      <c r="M497" s="17" t="n"/>
    </row>
    <row r="498">
      <c r="A498" s="10">
        <f>IFERROR(IF(AND(IFERROR(INDEX(ERP資料!$A:$A, (MATCH(497, 輔助計算!$G$2:$G$801, 0)+1)), "")&lt;&gt;"", IFERROR(INDEX(ERP資料!$A:$A, (MATCH(497, 輔助計算!$G$2:$G$801, 0)+1)), "")&lt;&gt;IFERROR(INDEX(ERP資料!$A:$A, MATCH(496, 輔助計算!$G$2:$G$801, 0)+1), "")), IFERROR(INDEX(ERP資料!$A:$A, (MATCH(497, 輔助計算!$G$2:$G$801, 0)+1)), ""), ""), "")</f>
        <v/>
      </c>
      <c r="B498" s="10">
        <f>IFERROR(IF(AND(IFERROR(INDEX(ERP資料!$A:$A, (MATCH(497, 輔助計算!$G$2:$G$801, 0)+1)), "")&lt;&gt;"", IFERROR(INDEX(ERP資料!$A:$A, (MATCH(497, 輔助計算!$G$2:$G$801, 0)+1)), "")&lt;&gt;IFERROR(INDEX(ERP資料!$A:$A, MATCH(496, 輔助計算!$G$2:$G$801, 0)+1), "")), INDEX(ERP資料!$S:$S, (MATCH(497, 輔助計算!$G$2:$G$801, 0)+1)), ""), "")</f>
        <v/>
      </c>
      <c r="C498" s="19">
        <f>IFERROR(IF(AND(IFERROR(INDEX(ERP資料!$A:$A, (MATCH(497, 輔助計算!$G$2:$G$801, 0)+1)), "")&lt;&gt;"", IFERROR(INDEX(ERP資料!$A:$A, (MATCH(497, 輔助計算!$G$2:$G$801, 0)+1)), "")&lt;&gt;IFERROR(INDEX(ERP資料!$A:$A, MATCH(496, 輔助計算!$G$2:$G$801, 0)+1), "")), IFERROR(VLOOKUP(LEFT(INDEX(ERP資料!$S:$S, (MATCH(497, 輔助計算!$G$2:$G$801, 0)+1)), 4), 紙管對照表!$A:$C, 3, FALSE), ""), ""), "")</f>
        <v/>
      </c>
      <c r="D498" s="16" t="n"/>
      <c r="E498" s="10">
        <f>IFERROR(IF(INDEX(ERP資料!$H:$H, (MATCH(497, 輔助計算!$G$2:$G$801, 0)+1))="","",INDEX(ERP資料!$H:$H, (MATCH(497, 輔助計算!$G$2:$G$801, 0)+1))), "")</f>
        <v/>
      </c>
      <c r="F498" s="10">
        <f>IFERROR(IF(INDEX(ERP資料!$E:$E, (MATCH(497, 輔助計算!$G$2:$G$801, 0)+1))="","",TRIM(INDEX(ERP資料!$E:$E, (MATCH(497, 輔助計算!$G$2:$G$801, 0)+1)))), "")</f>
        <v/>
      </c>
      <c r="G498" s="10">
        <f>IFERROR(IF(INDEX(ERP資料!$F:$F, (MATCH(497, 輔助計算!$G$2:$G$801, 0)+1))="","",INDEX(ERP資料!$F:$F, (MATCH(497, 輔助計算!$G$2:$G$801, 0)+1))), "")</f>
        <v/>
      </c>
      <c r="H498" s="10">
        <f>IFERROR(IF(INDEX(ERP資料!$G:$G, (MATCH(497, 輔助計算!$G$2:$G$801, 0)+1))="","",INDEX(ERP資料!$G:$G, (MATCH(497, 輔助計算!$G$2:$G$801, 0)+1))), "")</f>
        <v/>
      </c>
      <c r="I498" s="15">
        <f>IFERROR(INDEX(輔助計算!$D:$D, (MATCH(497, 輔助計算!$G$2:$G$801, 0)+1)), "")</f>
        <v/>
      </c>
      <c r="J498" s="15">
        <f>IFERROR(IF(AND(INDEX(輔助計算!$D:$D, (MATCH(497, 輔助計算!$G$2:$G$801, 0)+1))&lt;&gt;"", INDEX(ERP資料!$G:$G, (MATCH(497, 輔助計算!$G$2:$G$801, 0)+1))&lt;&gt;""), TRIM(IF(INT(INDEX(輔助計算!$D:$D, (MATCH(497, 輔助計算!$G$2:$G$801, 0)+1))/IF(INDEX(ERP資料!$G:$G, (MATCH(497, 輔助計算!$G$2:$G$801, 0)+1))&lt;100, IF(INDEX(ERP資料!$G:$G, (MATCH(497, 輔助計算!$G$2:$G$801, 0)+1))&lt;=31,3,IF(INDEX(ERP資料!$G:$G, (MATCH(497, 輔助計算!$G$2:$G$801, 0)+1))&lt;=46.5,2,1)), IF(INDEX(ERP資料!$G:$G, (MATCH(497, 輔助計算!$G$2:$G$801, 0)+1))&lt;=790,3,IF(INDEX(ERP資料!$G:$G, (MATCH(497, 輔助計算!$G$2:$G$801, 0)+1))&lt;=1181,2,1))))&gt;0, IF(IF(INDEX(ERP資料!$G:$G, (MATCH(497, 輔助計算!$G$2:$G$801, 0)+1))&lt;100, IF(INDEX(ERP資料!$G:$G, (MATCH(497, 輔助計算!$G$2:$G$801, 0)+1))&lt;=31,3,IF(INDEX(ERP資料!$G:$G, (MATCH(497, 輔助計算!$G$2:$G$801, 0)+1))&lt;=46.5,2,1)), IF(INDEX(ERP資料!$G:$G, (MATCH(497, 輔助計算!$G$2:$G$801, 0)+1))&lt;=790,3,IF(INDEX(ERP資料!$G:$G, (MATCH(497, 輔助計算!$G$2:$G$801, 0)+1))&lt;=1181,2,1)))=1,TEXT(INDEX(ERP資料!$G:$G, (MATCH(497, 輔助計算!$G$2:$G$801, 0)+1)),"0.##"),IF(IF(INDEX(ERP資料!$G:$G, (MATCH(497, 輔助計算!$G$2:$G$801, 0)+1))&lt;100, IF(INDEX(ERP資料!$G:$G, (MATCH(497, 輔助計算!$G$2:$G$801, 0)+1))&lt;=31,3,IF(INDEX(ERP資料!$G:$G, (MATCH(497, 輔助計算!$G$2:$G$801, 0)+1))&lt;=46.5,2,1)), IF(INDEX(ERP資料!$G:$G, (MATCH(497, 輔助計算!$G$2:$G$801, 0)+1))&lt;=790,3,IF(INDEX(ERP資料!$G:$G, (MATCH(497, 輔助計算!$G$2:$G$801, 0)+1))&lt;=1181,2,1)))=2,TEXT(INDEX(ERP資料!$G:$G, (MATCH(497, 輔助計算!$G$2:$G$801, 0)+1)),"0.##")&amp;"+"&amp;TEXT(INDEX(ERP資料!$G:$G, (MATCH(497, 輔助計算!$G$2:$G$801, 0)+1)),"0.##"),TEXT(INDEX(ERP資料!$G:$G, (MATCH(497, 輔助計算!$G$2:$G$801, 0)+1)),"0.##")&amp;"+"&amp;TEXT(INDEX(ERP資料!$G:$G, (MATCH(497, 輔助計算!$G$2:$G$801, 0)+1)),"0.##")&amp;"+"&amp;TEXT(INDEX(ERP資料!$G:$G, (MATCH(497, 輔助計算!$G$2:$G$801, 0)+1)),"0.##")))&amp;"-"&amp;INT(INDEX(輔助計算!$D:$D, (MATCH(497, 輔助計算!$G$2:$G$801, 0)+1))/IF(INDEX(ERP資料!$G:$G, (MATCH(497, 輔助計算!$G$2:$G$801, 0)+1))&lt;100, IF(INDEX(ERP資料!$G:$G, (MATCH(497, 輔助計算!$G$2:$G$801, 0)+1))&lt;=31,3,IF(INDEX(ERP資料!$G:$G, (MATCH(497, 輔助計算!$G$2:$G$801, 0)+1))&lt;=46.5,2,1)), IF(INDEX(ERP資料!$G:$G, (MATCH(497, 輔助計算!$G$2:$G$801, 0)+1))&lt;=790,3,IF(INDEX(ERP資料!$G:$G, (MATCH(497, 輔助計算!$G$2:$G$801, 0)+1))&lt;=1181,2,1)))), "")&amp;IF(AND(IF(INT(INDEX(輔助計算!$D:$D, (MATCH(497, 輔助計算!$G$2:$G$801, 0)+1))/IF(INDEX(ERP資料!$G:$G, (MATCH(497, 輔助計算!$G$2:$G$801, 0)+1))&lt;100, IF(INDEX(ERP資料!$G:$G, (MATCH(497, 輔助計算!$G$2:$G$801, 0)+1))&lt;=31,3,IF(INDEX(ERP資料!$G:$G, (MATCH(497, 輔助計算!$G$2:$G$801, 0)+1))&lt;=46.5,2,1)), IF(INDEX(ERP資料!$G:$G, (MATCH(497, 輔助計算!$G$2:$G$801, 0)+1))&lt;=790,3,IF(INDEX(ERP資料!$G:$G, (MATCH(497, 輔助計算!$G$2:$G$801, 0)+1))&lt;=1181,2,1))))&gt;0, IF(IF(INDEX(ERP資料!$G:$G, (MATCH(497, 輔助計算!$G$2:$G$801, 0)+1))&lt;100, IF(INDEX(ERP資料!$G:$G, (MATCH(497, 輔助計算!$G$2:$G$801, 0)+1))&lt;=31,3,IF(INDEX(ERP資料!$G:$G, (MATCH(497, 輔助計算!$G$2:$G$801, 0)+1))&lt;=46.5,2,1)), IF(INDEX(ERP資料!$G:$G, (MATCH(497, 輔助計算!$G$2:$G$801, 0)+1))&lt;=790,3,IF(INDEX(ERP資料!$G:$G, (MATCH(497, 輔助計算!$G$2:$G$801, 0)+1))&lt;=1181,2,1)))=1,TEXT(INDEX(ERP資料!$G:$G, (MATCH(497, 輔助計算!$G$2:$G$801, 0)+1)),"0.##"),IF(IF(INDEX(ERP資料!$G:$G, (MATCH(497, 輔助計算!$G$2:$G$801, 0)+1))&lt;100, IF(INDEX(ERP資料!$G:$G, (MATCH(497, 輔助計算!$G$2:$G$801, 0)+1))&lt;=31,3,IF(INDEX(ERP資料!$G:$G, (MATCH(497, 輔助計算!$G$2:$G$801, 0)+1))&lt;=46.5,2,1)), IF(INDEX(ERP資料!$G:$G, (MATCH(497, 輔助計算!$G$2:$G$801, 0)+1))&lt;=790,3,IF(INDEX(ERP資料!$G:$G, (MATCH(497, 輔助計算!$G$2:$G$801, 0)+1))&lt;=1181,2,1)))=2,TEXT(INDEX(ERP資料!$G:$G, (MATCH(497, 輔助計算!$G$2:$G$801, 0)+1)),"0.##")&amp;"+"&amp;TEXT(INDEX(ERP資料!$G:$G, (MATCH(497, 輔助計算!$G$2:$G$801, 0)+1)),"0.##"),TEXT(INDEX(ERP資料!$G:$G, (MATCH(497, 輔助計算!$G$2:$G$801, 0)+1)),"0.##")&amp;"+"&amp;TEXT(INDEX(ERP資料!$G:$G, (MATCH(497, 輔助計算!$G$2:$G$801, 0)+1)),"0.##")&amp;"+"&amp;TEXT(INDEX(ERP資料!$G:$G, (MATCH(497, 輔助計算!$G$2:$G$801, 0)+1)),"0.##")))&amp;"-"&amp;INT(INDEX(輔助計算!$D:$D, (MATCH(497, 輔助計算!$G$2:$G$801, 0)+1))/IF(INDEX(ERP資料!$G:$G, (MATCH(497, 輔助計算!$G$2:$G$801, 0)+1))&lt;100, IF(INDEX(ERP資料!$G:$G, (MATCH(497, 輔助計算!$G$2:$G$801, 0)+1))&lt;=31,3,IF(INDEX(ERP資料!$G:$G, (MATCH(497, 輔助計算!$G$2:$G$801, 0)+1))&lt;=46.5,2,1)), IF(INDEX(ERP資料!$G:$G, (MATCH(497, 輔助計算!$G$2:$G$801, 0)+1))&lt;=790,3,IF(INDEX(ERP資料!$G:$G, (MATCH(497, 輔助計算!$G$2:$G$801, 0)+1))&lt;=1181,2,1)))), "")&lt;&gt;"",IF(MOD(INDEX(輔助計算!$D:$D, (MATCH(497, 輔助計算!$G$2:$G$801, 0)+1)),IF(INDEX(ERP資料!$G:$G, (MATCH(497, 輔助計算!$G$2:$G$801, 0)+1))&lt;100, IF(INDEX(ERP資料!$G:$G, (MATCH(497, 輔助計算!$G$2:$G$801, 0)+1))&lt;=31,3,IF(INDEX(ERP資料!$G:$G, (MATCH(497, 輔助計算!$G$2:$G$801, 0)+1))&lt;=46.5,2,1)), IF(INDEX(ERP資料!$G:$G, (MATCH(497, 輔助計算!$G$2:$G$801, 0)+1))&lt;=790,3,IF(INDEX(ERP資料!$G:$G, (MATCH(497, 輔助計算!$G$2:$G$801, 0)+1))&lt;=1181,2,1))))=0,"",IF(MOD(INDEX(輔助計算!$D:$D, (MATCH(497, 輔助計算!$G$2:$G$801, 0)+1)),IF(INDEX(ERP資料!$G:$G, (MATCH(497, 輔助計算!$G$2:$G$801, 0)+1))&lt;100, IF(INDEX(ERP資料!$G:$G, (MATCH(497, 輔助計算!$G$2:$G$801, 0)+1))&lt;=31,3,IF(INDEX(ERP資料!$G:$G, (MATCH(497, 輔助計算!$G$2:$G$801, 0)+1))&lt;=46.5,2,1)), IF(INDEX(ERP資料!$G:$G, (MATCH(497, 輔助計算!$G$2:$G$801, 0)+1))&lt;=790,3,IF(INDEX(ERP資料!$G:$G, (MATCH(497, 輔助計算!$G$2:$G$801, 0)+1))&lt;=1181,2,1))))=0,"",IF(MOD(INDEX(輔助計算!$D:$D, (MATCH(497, 輔助計算!$G$2:$G$801, 0)+1)),IF(INDEX(ERP資料!$G:$G, (MATCH(497, 輔助計算!$G$2:$G$801, 0)+1))&lt;100, IF(INDEX(ERP資料!$G:$G, (MATCH(497, 輔助計算!$G$2:$G$801, 0)+1))&lt;=31,3,IF(INDEX(ERP資料!$G:$G, (MATCH(497, 輔助計算!$G$2:$G$801, 0)+1))&lt;=46.5,2,1)), IF(INDEX(ERP資料!$G:$G, (MATCH(497, 輔助計算!$G$2:$G$801, 0)+1))&lt;=790,3,IF(INDEX(ERP資料!$G:$G, (MATCH(497, 輔助計算!$G$2:$G$801, 0)+1))&lt;=1181,2,1))))=1,TEXT(INDEX(ERP資料!$G:$G, (MATCH(497, 輔助計算!$G$2:$G$801, 0)+1)),"0.##"),IF(MOD(INDEX(輔助計算!$D:$D, (MATCH(497, 輔助計算!$G$2:$G$801, 0)+1)),IF(INDEX(ERP資料!$G:$G, (MATCH(497, 輔助計算!$G$2:$G$801, 0)+1))&lt;100, IF(INDEX(ERP資料!$G:$G, (MATCH(497, 輔助計算!$G$2:$G$801, 0)+1))&lt;=31,3,IF(INDEX(ERP資料!$G:$G, (MATCH(497, 輔助計算!$G$2:$G$801, 0)+1))&lt;=46.5,2,1)), IF(INDEX(ERP資料!$G:$G, (MATCH(497, 輔助計算!$G$2:$G$801, 0)+1))&lt;=790,3,IF(INDEX(ERP資料!$G:$G, (MATCH(497, 輔助計算!$G$2:$G$801, 0)+1))&lt;=1181,2,1))))=2,TEXT(INDEX(ERP資料!$G:$G, (MATCH(497, 輔助計算!$G$2:$G$801, 0)+1)),"0.##")&amp;"+"&amp;TEXT(INDEX(ERP資料!$G:$G, (MATCH(497, 輔助計算!$G$2:$G$801, 0)+1)),"0.##"),TEXT(INDEX(ERP資料!$G:$G, (MATCH(497, 輔助計算!$G$2:$G$801, 0)+1)),"0.##")&amp;"+"&amp;TEXT(INDEX(ERP資料!$G:$G, (MATCH(497, 輔助計算!$G$2:$G$801, 0)+1)),"0.##")&amp;"+"&amp;TEXT(INDEX(ERP資料!$G:$G, (MATCH(497, 輔助計算!$G$2:$G$801, 0)+1)),"0.##"))))&amp;"-1")&lt;&gt;""),"  ","")&amp;IF(MOD(INDEX(輔助計算!$D:$D, (MATCH(497, 輔助計算!$G$2:$G$801, 0)+1)),IF(INDEX(ERP資料!$G:$G, (MATCH(497, 輔助計算!$G$2:$G$801, 0)+1))&lt;100, IF(INDEX(ERP資料!$G:$G, (MATCH(497, 輔助計算!$G$2:$G$801, 0)+1))&lt;=31,3,IF(INDEX(ERP資料!$G:$G, (MATCH(497, 輔助計算!$G$2:$G$801, 0)+1))&lt;=46.5,2,1)), IF(INDEX(ERP資料!$G:$G, (MATCH(497, 輔助計算!$G$2:$G$801, 0)+1))&lt;=790,3,IF(INDEX(ERP資料!$G:$G, (MATCH(497, 輔助計算!$G$2:$G$801, 0)+1))&lt;=1181,2,1))))=0,"",IF(MOD(INDEX(輔助計算!$D:$D, (MATCH(497, 輔助計算!$G$2:$G$801, 0)+1)),IF(INDEX(ERP資料!$G:$G, (MATCH(497, 輔助計算!$G$2:$G$801, 0)+1))&lt;100, IF(INDEX(ERP資料!$G:$G, (MATCH(497, 輔助計算!$G$2:$G$801, 0)+1))&lt;=31,3,IF(INDEX(ERP資料!$G:$G, (MATCH(497, 輔助計算!$G$2:$G$801, 0)+1))&lt;=46.5,2,1)), IF(INDEX(ERP資料!$G:$G, (MATCH(497, 輔助計算!$G$2:$G$801, 0)+1))&lt;=790,3,IF(INDEX(ERP資料!$G:$G, (MATCH(497, 輔助計算!$G$2:$G$801, 0)+1))&lt;=1181,2,1))))=0,"",IF(MOD(INDEX(輔助計算!$D:$D, (MATCH(497, 輔助計算!$G$2:$G$801, 0)+1)),IF(INDEX(ERP資料!$G:$G, (MATCH(497, 輔助計算!$G$2:$G$801, 0)+1))&lt;100, IF(INDEX(ERP資料!$G:$G, (MATCH(497, 輔助計算!$G$2:$G$801, 0)+1))&lt;=31,3,IF(INDEX(ERP資料!$G:$G, (MATCH(497, 輔助計算!$G$2:$G$801, 0)+1))&lt;=46.5,2,1)), IF(INDEX(ERP資料!$G:$G, (MATCH(497, 輔助計算!$G$2:$G$801, 0)+1))&lt;=790,3,IF(INDEX(ERP資料!$G:$G, (MATCH(497, 輔助計算!$G$2:$G$801, 0)+1))&lt;=1181,2,1))))=1,TEXT(INDEX(ERP資料!$G:$G, (MATCH(497, 輔助計算!$G$2:$G$801, 0)+1)),"0.##"),IF(MOD(INDEX(輔助計算!$D:$D, (MATCH(497, 輔助計算!$G$2:$G$801, 0)+1)),IF(INDEX(ERP資料!$G:$G, (MATCH(497, 輔助計算!$G$2:$G$801, 0)+1))&lt;100, IF(INDEX(ERP資料!$G:$G, (MATCH(497, 輔助計算!$G$2:$G$801, 0)+1))&lt;=31,3,IF(INDEX(ERP資料!$G:$G, (MATCH(497, 輔助計算!$G$2:$G$801, 0)+1))&lt;=46.5,2,1)), IF(INDEX(ERP資料!$G:$G, (MATCH(497, 輔助計算!$G$2:$G$801, 0)+1))&lt;=790,3,IF(INDEX(ERP資料!$G:$G, (MATCH(497, 輔助計算!$G$2:$G$801, 0)+1))&lt;=1181,2,1))))=2,TEXT(INDEX(ERP資料!$G:$G, (MATCH(497, 輔助計算!$G$2:$G$801, 0)+1)),"0.##")&amp;"+"&amp;TEXT(INDEX(ERP資料!$G:$G, (MATCH(497, 輔助計算!$G$2:$G$801, 0)+1)),"0.##"),TEXT(INDEX(ERP資料!$G:$G, (MATCH(497, 輔助計算!$G$2:$G$801, 0)+1)),"0.##")&amp;"+"&amp;TEXT(INDEX(ERP資料!$G:$G, (MATCH(497, 輔助計算!$G$2:$G$801, 0)+1)),"0.##")&amp;"+"&amp;TEXT(INDEX(ERP資料!$G:$G, (MATCH(497, 輔助計算!$G$2:$G$801, 0)+1)),"0.##"))))&amp;"-1")), ""), "")</f>
        <v/>
      </c>
      <c r="K498" s="16" t="n"/>
      <c r="L498" s="14">
        <f>IFERROR(IF(AND(IFERROR(INDEX(ERP資料!$A:$A, (MATCH(497, 輔助計算!$G$2:$G$801, 0)+1)), "")&lt;&gt;"", IFERROR(INDEX(ERP資料!$A:$A, (MATCH(497, 輔助計算!$G$2:$G$801, 0)+1)), "")&lt;&gt;IFERROR(INDEX(ERP資料!$A:$A, MATCH(496, 輔助計算!$G$2:$G$801, 0)+1), "")), INDEX(ERP資料!$B:$B, (MATCH(497, 輔助計算!$G$2:$G$801, 0)+1)), ""), "")</f>
        <v/>
      </c>
      <c r="M498" s="17" t="n"/>
    </row>
    <row r="499">
      <c r="A499" s="10">
        <f>IFERROR(IF(AND(IFERROR(INDEX(ERP資料!$A:$A, (MATCH(498, 輔助計算!$G$2:$G$801, 0)+1)), "")&lt;&gt;"", IFERROR(INDEX(ERP資料!$A:$A, (MATCH(498, 輔助計算!$G$2:$G$801, 0)+1)), "")&lt;&gt;IFERROR(INDEX(ERP資料!$A:$A, MATCH(497, 輔助計算!$G$2:$G$801, 0)+1), "")), IFERROR(INDEX(ERP資料!$A:$A, (MATCH(498, 輔助計算!$G$2:$G$801, 0)+1)), ""), ""), "")</f>
        <v/>
      </c>
      <c r="B499" s="10">
        <f>IFERROR(IF(AND(IFERROR(INDEX(ERP資料!$A:$A, (MATCH(498, 輔助計算!$G$2:$G$801, 0)+1)), "")&lt;&gt;"", IFERROR(INDEX(ERP資料!$A:$A, (MATCH(498, 輔助計算!$G$2:$G$801, 0)+1)), "")&lt;&gt;IFERROR(INDEX(ERP資料!$A:$A, MATCH(497, 輔助計算!$G$2:$G$801, 0)+1), "")), INDEX(ERP資料!$S:$S, (MATCH(498, 輔助計算!$G$2:$G$801, 0)+1)), ""), "")</f>
        <v/>
      </c>
      <c r="C499" s="19">
        <f>IFERROR(IF(AND(IFERROR(INDEX(ERP資料!$A:$A, (MATCH(498, 輔助計算!$G$2:$G$801, 0)+1)), "")&lt;&gt;"", IFERROR(INDEX(ERP資料!$A:$A, (MATCH(498, 輔助計算!$G$2:$G$801, 0)+1)), "")&lt;&gt;IFERROR(INDEX(ERP資料!$A:$A, MATCH(497, 輔助計算!$G$2:$G$801, 0)+1), "")), IFERROR(VLOOKUP(LEFT(INDEX(ERP資料!$S:$S, (MATCH(498, 輔助計算!$G$2:$G$801, 0)+1)), 4), 紙管對照表!$A:$C, 3, FALSE), ""), ""), "")</f>
        <v/>
      </c>
      <c r="D499" s="16" t="n"/>
      <c r="E499" s="10">
        <f>IFERROR(IF(INDEX(ERP資料!$H:$H, (MATCH(498, 輔助計算!$G$2:$G$801, 0)+1))="","",INDEX(ERP資料!$H:$H, (MATCH(498, 輔助計算!$G$2:$G$801, 0)+1))), "")</f>
        <v/>
      </c>
      <c r="F499" s="10">
        <f>IFERROR(IF(INDEX(ERP資料!$E:$E, (MATCH(498, 輔助計算!$G$2:$G$801, 0)+1))="","",TRIM(INDEX(ERP資料!$E:$E, (MATCH(498, 輔助計算!$G$2:$G$801, 0)+1)))), "")</f>
        <v/>
      </c>
      <c r="G499" s="10">
        <f>IFERROR(IF(INDEX(ERP資料!$F:$F, (MATCH(498, 輔助計算!$G$2:$G$801, 0)+1))="","",INDEX(ERP資料!$F:$F, (MATCH(498, 輔助計算!$G$2:$G$801, 0)+1))), "")</f>
        <v/>
      </c>
      <c r="H499" s="10">
        <f>IFERROR(IF(INDEX(ERP資料!$G:$G, (MATCH(498, 輔助計算!$G$2:$G$801, 0)+1))="","",INDEX(ERP資料!$G:$G, (MATCH(498, 輔助計算!$G$2:$G$801, 0)+1))), "")</f>
        <v/>
      </c>
      <c r="I499" s="15">
        <f>IFERROR(INDEX(輔助計算!$D:$D, (MATCH(498, 輔助計算!$G$2:$G$801, 0)+1)), "")</f>
        <v/>
      </c>
      <c r="J499" s="15">
        <f>IFERROR(IF(AND(INDEX(輔助計算!$D:$D, (MATCH(498, 輔助計算!$G$2:$G$801, 0)+1))&lt;&gt;"", INDEX(ERP資料!$G:$G, (MATCH(498, 輔助計算!$G$2:$G$801, 0)+1))&lt;&gt;""), TRIM(IF(INT(INDEX(輔助計算!$D:$D, (MATCH(498, 輔助計算!$G$2:$G$801, 0)+1))/IF(INDEX(ERP資料!$G:$G, (MATCH(498, 輔助計算!$G$2:$G$801, 0)+1))&lt;100, IF(INDEX(ERP資料!$G:$G, (MATCH(498, 輔助計算!$G$2:$G$801, 0)+1))&lt;=31,3,IF(INDEX(ERP資料!$G:$G, (MATCH(498, 輔助計算!$G$2:$G$801, 0)+1))&lt;=46.5,2,1)), IF(INDEX(ERP資料!$G:$G, (MATCH(498, 輔助計算!$G$2:$G$801, 0)+1))&lt;=790,3,IF(INDEX(ERP資料!$G:$G, (MATCH(498, 輔助計算!$G$2:$G$801, 0)+1))&lt;=1181,2,1))))&gt;0, IF(IF(INDEX(ERP資料!$G:$G, (MATCH(498, 輔助計算!$G$2:$G$801, 0)+1))&lt;100, IF(INDEX(ERP資料!$G:$G, (MATCH(498, 輔助計算!$G$2:$G$801, 0)+1))&lt;=31,3,IF(INDEX(ERP資料!$G:$G, (MATCH(498, 輔助計算!$G$2:$G$801, 0)+1))&lt;=46.5,2,1)), IF(INDEX(ERP資料!$G:$G, (MATCH(498, 輔助計算!$G$2:$G$801, 0)+1))&lt;=790,3,IF(INDEX(ERP資料!$G:$G, (MATCH(498, 輔助計算!$G$2:$G$801, 0)+1))&lt;=1181,2,1)))=1,TEXT(INDEX(ERP資料!$G:$G, (MATCH(498, 輔助計算!$G$2:$G$801, 0)+1)),"0.##"),IF(IF(INDEX(ERP資料!$G:$G, (MATCH(498, 輔助計算!$G$2:$G$801, 0)+1))&lt;100, IF(INDEX(ERP資料!$G:$G, (MATCH(498, 輔助計算!$G$2:$G$801, 0)+1))&lt;=31,3,IF(INDEX(ERP資料!$G:$G, (MATCH(498, 輔助計算!$G$2:$G$801, 0)+1))&lt;=46.5,2,1)), IF(INDEX(ERP資料!$G:$G, (MATCH(498, 輔助計算!$G$2:$G$801, 0)+1))&lt;=790,3,IF(INDEX(ERP資料!$G:$G, (MATCH(498, 輔助計算!$G$2:$G$801, 0)+1))&lt;=1181,2,1)))=2,TEXT(INDEX(ERP資料!$G:$G, (MATCH(498, 輔助計算!$G$2:$G$801, 0)+1)),"0.##")&amp;"+"&amp;TEXT(INDEX(ERP資料!$G:$G, (MATCH(498, 輔助計算!$G$2:$G$801, 0)+1)),"0.##"),TEXT(INDEX(ERP資料!$G:$G, (MATCH(498, 輔助計算!$G$2:$G$801, 0)+1)),"0.##")&amp;"+"&amp;TEXT(INDEX(ERP資料!$G:$G, (MATCH(498, 輔助計算!$G$2:$G$801, 0)+1)),"0.##")&amp;"+"&amp;TEXT(INDEX(ERP資料!$G:$G, (MATCH(498, 輔助計算!$G$2:$G$801, 0)+1)),"0.##")))&amp;"-"&amp;INT(INDEX(輔助計算!$D:$D, (MATCH(498, 輔助計算!$G$2:$G$801, 0)+1))/IF(INDEX(ERP資料!$G:$G, (MATCH(498, 輔助計算!$G$2:$G$801, 0)+1))&lt;100, IF(INDEX(ERP資料!$G:$G, (MATCH(498, 輔助計算!$G$2:$G$801, 0)+1))&lt;=31,3,IF(INDEX(ERP資料!$G:$G, (MATCH(498, 輔助計算!$G$2:$G$801, 0)+1))&lt;=46.5,2,1)), IF(INDEX(ERP資料!$G:$G, (MATCH(498, 輔助計算!$G$2:$G$801, 0)+1))&lt;=790,3,IF(INDEX(ERP資料!$G:$G, (MATCH(498, 輔助計算!$G$2:$G$801, 0)+1))&lt;=1181,2,1)))), "")&amp;IF(AND(IF(INT(INDEX(輔助計算!$D:$D, (MATCH(498, 輔助計算!$G$2:$G$801, 0)+1))/IF(INDEX(ERP資料!$G:$G, (MATCH(498, 輔助計算!$G$2:$G$801, 0)+1))&lt;100, IF(INDEX(ERP資料!$G:$G, (MATCH(498, 輔助計算!$G$2:$G$801, 0)+1))&lt;=31,3,IF(INDEX(ERP資料!$G:$G, (MATCH(498, 輔助計算!$G$2:$G$801, 0)+1))&lt;=46.5,2,1)), IF(INDEX(ERP資料!$G:$G, (MATCH(498, 輔助計算!$G$2:$G$801, 0)+1))&lt;=790,3,IF(INDEX(ERP資料!$G:$G, (MATCH(498, 輔助計算!$G$2:$G$801, 0)+1))&lt;=1181,2,1))))&gt;0, IF(IF(INDEX(ERP資料!$G:$G, (MATCH(498, 輔助計算!$G$2:$G$801, 0)+1))&lt;100, IF(INDEX(ERP資料!$G:$G, (MATCH(498, 輔助計算!$G$2:$G$801, 0)+1))&lt;=31,3,IF(INDEX(ERP資料!$G:$G, (MATCH(498, 輔助計算!$G$2:$G$801, 0)+1))&lt;=46.5,2,1)), IF(INDEX(ERP資料!$G:$G, (MATCH(498, 輔助計算!$G$2:$G$801, 0)+1))&lt;=790,3,IF(INDEX(ERP資料!$G:$G, (MATCH(498, 輔助計算!$G$2:$G$801, 0)+1))&lt;=1181,2,1)))=1,TEXT(INDEX(ERP資料!$G:$G, (MATCH(498, 輔助計算!$G$2:$G$801, 0)+1)),"0.##"),IF(IF(INDEX(ERP資料!$G:$G, (MATCH(498, 輔助計算!$G$2:$G$801, 0)+1))&lt;100, IF(INDEX(ERP資料!$G:$G, (MATCH(498, 輔助計算!$G$2:$G$801, 0)+1))&lt;=31,3,IF(INDEX(ERP資料!$G:$G, (MATCH(498, 輔助計算!$G$2:$G$801, 0)+1))&lt;=46.5,2,1)), IF(INDEX(ERP資料!$G:$G, (MATCH(498, 輔助計算!$G$2:$G$801, 0)+1))&lt;=790,3,IF(INDEX(ERP資料!$G:$G, (MATCH(498, 輔助計算!$G$2:$G$801, 0)+1))&lt;=1181,2,1)))=2,TEXT(INDEX(ERP資料!$G:$G, (MATCH(498, 輔助計算!$G$2:$G$801, 0)+1)),"0.##")&amp;"+"&amp;TEXT(INDEX(ERP資料!$G:$G, (MATCH(498, 輔助計算!$G$2:$G$801, 0)+1)),"0.##"),TEXT(INDEX(ERP資料!$G:$G, (MATCH(498, 輔助計算!$G$2:$G$801, 0)+1)),"0.##")&amp;"+"&amp;TEXT(INDEX(ERP資料!$G:$G, (MATCH(498, 輔助計算!$G$2:$G$801, 0)+1)),"0.##")&amp;"+"&amp;TEXT(INDEX(ERP資料!$G:$G, (MATCH(498, 輔助計算!$G$2:$G$801, 0)+1)),"0.##")))&amp;"-"&amp;INT(INDEX(輔助計算!$D:$D, (MATCH(498, 輔助計算!$G$2:$G$801, 0)+1))/IF(INDEX(ERP資料!$G:$G, (MATCH(498, 輔助計算!$G$2:$G$801, 0)+1))&lt;100, IF(INDEX(ERP資料!$G:$G, (MATCH(498, 輔助計算!$G$2:$G$801, 0)+1))&lt;=31,3,IF(INDEX(ERP資料!$G:$G, (MATCH(498, 輔助計算!$G$2:$G$801, 0)+1))&lt;=46.5,2,1)), IF(INDEX(ERP資料!$G:$G, (MATCH(498, 輔助計算!$G$2:$G$801, 0)+1))&lt;=790,3,IF(INDEX(ERP資料!$G:$G, (MATCH(498, 輔助計算!$G$2:$G$801, 0)+1))&lt;=1181,2,1)))), "")&lt;&gt;"",IF(MOD(INDEX(輔助計算!$D:$D, (MATCH(498, 輔助計算!$G$2:$G$801, 0)+1)),IF(INDEX(ERP資料!$G:$G, (MATCH(498, 輔助計算!$G$2:$G$801, 0)+1))&lt;100, IF(INDEX(ERP資料!$G:$G, (MATCH(498, 輔助計算!$G$2:$G$801, 0)+1))&lt;=31,3,IF(INDEX(ERP資料!$G:$G, (MATCH(498, 輔助計算!$G$2:$G$801, 0)+1))&lt;=46.5,2,1)), IF(INDEX(ERP資料!$G:$G, (MATCH(498, 輔助計算!$G$2:$G$801, 0)+1))&lt;=790,3,IF(INDEX(ERP資料!$G:$G, (MATCH(498, 輔助計算!$G$2:$G$801, 0)+1))&lt;=1181,2,1))))=0,"",IF(MOD(INDEX(輔助計算!$D:$D, (MATCH(498, 輔助計算!$G$2:$G$801, 0)+1)),IF(INDEX(ERP資料!$G:$G, (MATCH(498, 輔助計算!$G$2:$G$801, 0)+1))&lt;100, IF(INDEX(ERP資料!$G:$G, (MATCH(498, 輔助計算!$G$2:$G$801, 0)+1))&lt;=31,3,IF(INDEX(ERP資料!$G:$G, (MATCH(498, 輔助計算!$G$2:$G$801, 0)+1))&lt;=46.5,2,1)), IF(INDEX(ERP資料!$G:$G, (MATCH(498, 輔助計算!$G$2:$G$801, 0)+1))&lt;=790,3,IF(INDEX(ERP資料!$G:$G, (MATCH(498, 輔助計算!$G$2:$G$801, 0)+1))&lt;=1181,2,1))))=0,"",IF(MOD(INDEX(輔助計算!$D:$D, (MATCH(498, 輔助計算!$G$2:$G$801, 0)+1)),IF(INDEX(ERP資料!$G:$G, (MATCH(498, 輔助計算!$G$2:$G$801, 0)+1))&lt;100, IF(INDEX(ERP資料!$G:$G, (MATCH(498, 輔助計算!$G$2:$G$801, 0)+1))&lt;=31,3,IF(INDEX(ERP資料!$G:$G, (MATCH(498, 輔助計算!$G$2:$G$801, 0)+1))&lt;=46.5,2,1)), IF(INDEX(ERP資料!$G:$G, (MATCH(498, 輔助計算!$G$2:$G$801, 0)+1))&lt;=790,3,IF(INDEX(ERP資料!$G:$G, (MATCH(498, 輔助計算!$G$2:$G$801, 0)+1))&lt;=1181,2,1))))=1,TEXT(INDEX(ERP資料!$G:$G, (MATCH(498, 輔助計算!$G$2:$G$801, 0)+1)),"0.##"),IF(MOD(INDEX(輔助計算!$D:$D, (MATCH(498, 輔助計算!$G$2:$G$801, 0)+1)),IF(INDEX(ERP資料!$G:$G, (MATCH(498, 輔助計算!$G$2:$G$801, 0)+1))&lt;100, IF(INDEX(ERP資料!$G:$G, (MATCH(498, 輔助計算!$G$2:$G$801, 0)+1))&lt;=31,3,IF(INDEX(ERP資料!$G:$G, (MATCH(498, 輔助計算!$G$2:$G$801, 0)+1))&lt;=46.5,2,1)), IF(INDEX(ERP資料!$G:$G, (MATCH(498, 輔助計算!$G$2:$G$801, 0)+1))&lt;=790,3,IF(INDEX(ERP資料!$G:$G, (MATCH(498, 輔助計算!$G$2:$G$801, 0)+1))&lt;=1181,2,1))))=2,TEXT(INDEX(ERP資料!$G:$G, (MATCH(498, 輔助計算!$G$2:$G$801, 0)+1)),"0.##")&amp;"+"&amp;TEXT(INDEX(ERP資料!$G:$G, (MATCH(498, 輔助計算!$G$2:$G$801, 0)+1)),"0.##"),TEXT(INDEX(ERP資料!$G:$G, (MATCH(498, 輔助計算!$G$2:$G$801, 0)+1)),"0.##")&amp;"+"&amp;TEXT(INDEX(ERP資料!$G:$G, (MATCH(498, 輔助計算!$G$2:$G$801, 0)+1)),"0.##")&amp;"+"&amp;TEXT(INDEX(ERP資料!$G:$G, (MATCH(498, 輔助計算!$G$2:$G$801, 0)+1)),"0.##"))))&amp;"-1")&lt;&gt;""),"  ","")&amp;IF(MOD(INDEX(輔助計算!$D:$D, (MATCH(498, 輔助計算!$G$2:$G$801, 0)+1)),IF(INDEX(ERP資料!$G:$G, (MATCH(498, 輔助計算!$G$2:$G$801, 0)+1))&lt;100, IF(INDEX(ERP資料!$G:$G, (MATCH(498, 輔助計算!$G$2:$G$801, 0)+1))&lt;=31,3,IF(INDEX(ERP資料!$G:$G, (MATCH(498, 輔助計算!$G$2:$G$801, 0)+1))&lt;=46.5,2,1)), IF(INDEX(ERP資料!$G:$G, (MATCH(498, 輔助計算!$G$2:$G$801, 0)+1))&lt;=790,3,IF(INDEX(ERP資料!$G:$G, (MATCH(498, 輔助計算!$G$2:$G$801, 0)+1))&lt;=1181,2,1))))=0,"",IF(MOD(INDEX(輔助計算!$D:$D, (MATCH(498, 輔助計算!$G$2:$G$801, 0)+1)),IF(INDEX(ERP資料!$G:$G, (MATCH(498, 輔助計算!$G$2:$G$801, 0)+1))&lt;100, IF(INDEX(ERP資料!$G:$G, (MATCH(498, 輔助計算!$G$2:$G$801, 0)+1))&lt;=31,3,IF(INDEX(ERP資料!$G:$G, (MATCH(498, 輔助計算!$G$2:$G$801, 0)+1))&lt;=46.5,2,1)), IF(INDEX(ERP資料!$G:$G, (MATCH(498, 輔助計算!$G$2:$G$801, 0)+1))&lt;=790,3,IF(INDEX(ERP資料!$G:$G, (MATCH(498, 輔助計算!$G$2:$G$801, 0)+1))&lt;=1181,2,1))))=0,"",IF(MOD(INDEX(輔助計算!$D:$D, (MATCH(498, 輔助計算!$G$2:$G$801, 0)+1)),IF(INDEX(ERP資料!$G:$G, (MATCH(498, 輔助計算!$G$2:$G$801, 0)+1))&lt;100, IF(INDEX(ERP資料!$G:$G, (MATCH(498, 輔助計算!$G$2:$G$801, 0)+1))&lt;=31,3,IF(INDEX(ERP資料!$G:$G, (MATCH(498, 輔助計算!$G$2:$G$801, 0)+1))&lt;=46.5,2,1)), IF(INDEX(ERP資料!$G:$G, (MATCH(498, 輔助計算!$G$2:$G$801, 0)+1))&lt;=790,3,IF(INDEX(ERP資料!$G:$G, (MATCH(498, 輔助計算!$G$2:$G$801, 0)+1))&lt;=1181,2,1))))=1,TEXT(INDEX(ERP資料!$G:$G, (MATCH(498, 輔助計算!$G$2:$G$801, 0)+1)),"0.##"),IF(MOD(INDEX(輔助計算!$D:$D, (MATCH(498, 輔助計算!$G$2:$G$801, 0)+1)),IF(INDEX(ERP資料!$G:$G, (MATCH(498, 輔助計算!$G$2:$G$801, 0)+1))&lt;100, IF(INDEX(ERP資料!$G:$G, (MATCH(498, 輔助計算!$G$2:$G$801, 0)+1))&lt;=31,3,IF(INDEX(ERP資料!$G:$G, (MATCH(498, 輔助計算!$G$2:$G$801, 0)+1))&lt;=46.5,2,1)), IF(INDEX(ERP資料!$G:$G, (MATCH(498, 輔助計算!$G$2:$G$801, 0)+1))&lt;=790,3,IF(INDEX(ERP資料!$G:$G, (MATCH(498, 輔助計算!$G$2:$G$801, 0)+1))&lt;=1181,2,1))))=2,TEXT(INDEX(ERP資料!$G:$G, (MATCH(498, 輔助計算!$G$2:$G$801, 0)+1)),"0.##")&amp;"+"&amp;TEXT(INDEX(ERP資料!$G:$G, (MATCH(498, 輔助計算!$G$2:$G$801, 0)+1)),"0.##"),TEXT(INDEX(ERP資料!$G:$G, (MATCH(498, 輔助計算!$G$2:$G$801, 0)+1)),"0.##")&amp;"+"&amp;TEXT(INDEX(ERP資料!$G:$G, (MATCH(498, 輔助計算!$G$2:$G$801, 0)+1)),"0.##")&amp;"+"&amp;TEXT(INDEX(ERP資料!$G:$G, (MATCH(498, 輔助計算!$G$2:$G$801, 0)+1)),"0.##"))))&amp;"-1")), ""), "")</f>
        <v/>
      </c>
      <c r="K499" s="16" t="n"/>
      <c r="L499" s="14">
        <f>IFERROR(IF(AND(IFERROR(INDEX(ERP資料!$A:$A, (MATCH(498, 輔助計算!$G$2:$G$801, 0)+1)), "")&lt;&gt;"", IFERROR(INDEX(ERP資料!$A:$A, (MATCH(498, 輔助計算!$G$2:$G$801, 0)+1)), "")&lt;&gt;IFERROR(INDEX(ERP資料!$A:$A, MATCH(497, 輔助計算!$G$2:$G$801, 0)+1), "")), INDEX(ERP資料!$B:$B, (MATCH(498, 輔助計算!$G$2:$G$801, 0)+1)), ""), "")</f>
        <v/>
      </c>
      <c r="M499" s="17" t="n"/>
    </row>
    <row r="500">
      <c r="A500" s="10">
        <f>IFERROR(IF(AND(IFERROR(INDEX(ERP資料!$A:$A, (MATCH(499, 輔助計算!$G$2:$G$801, 0)+1)), "")&lt;&gt;"", IFERROR(INDEX(ERP資料!$A:$A, (MATCH(499, 輔助計算!$G$2:$G$801, 0)+1)), "")&lt;&gt;IFERROR(INDEX(ERP資料!$A:$A, MATCH(498, 輔助計算!$G$2:$G$801, 0)+1), "")), IFERROR(INDEX(ERP資料!$A:$A, (MATCH(499, 輔助計算!$G$2:$G$801, 0)+1)), ""), ""), "")</f>
        <v/>
      </c>
      <c r="B500" s="10">
        <f>IFERROR(IF(AND(IFERROR(INDEX(ERP資料!$A:$A, (MATCH(499, 輔助計算!$G$2:$G$801, 0)+1)), "")&lt;&gt;"", IFERROR(INDEX(ERP資料!$A:$A, (MATCH(499, 輔助計算!$G$2:$G$801, 0)+1)), "")&lt;&gt;IFERROR(INDEX(ERP資料!$A:$A, MATCH(498, 輔助計算!$G$2:$G$801, 0)+1), "")), INDEX(ERP資料!$S:$S, (MATCH(499, 輔助計算!$G$2:$G$801, 0)+1)), ""), "")</f>
        <v/>
      </c>
      <c r="C500" s="19">
        <f>IFERROR(IF(AND(IFERROR(INDEX(ERP資料!$A:$A, (MATCH(499, 輔助計算!$G$2:$G$801, 0)+1)), "")&lt;&gt;"", IFERROR(INDEX(ERP資料!$A:$A, (MATCH(499, 輔助計算!$G$2:$G$801, 0)+1)), "")&lt;&gt;IFERROR(INDEX(ERP資料!$A:$A, MATCH(498, 輔助計算!$G$2:$G$801, 0)+1), "")), IFERROR(VLOOKUP(LEFT(INDEX(ERP資料!$S:$S, (MATCH(499, 輔助計算!$G$2:$G$801, 0)+1)), 4), 紙管對照表!$A:$C, 3, FALSE), ""), ""), "")</f>
        <v/>
      </c>
      <c r="D500" s="16" t="n"/>
      <c r="E500" s="10">
        <f>IFERROR(IF(INDEX(ERP資料!$H:$H, (MATCH(499, 輔助計算!$G$2:$G$801, 0)+1))="","",INDEX(ERP資料!$H:$H, (MATCH(499, 輔助計算!$G$2:$G$801, 0)+1))), "")</f>
        <v/>
      </c>
      <c r="F500" s="10">
        <f>IFERROR(IF(INDEX(ERP資料!$E:$E, (MATCH(499, 輔助計算!$G$2:$G$801, 0)+1))="","",TRIM(INDEX(ERP資料!$E:$E, (MATCH(499, 輔助計算!$G$2:$G$801, 0)+1)))), "")</f>
        <v/>
      </c>
      <c r="G500" s="10">
        <f>IFERROR(IF(INDEX(ERP資料!$F:$F, (MATCH(499, 輔助計算!$G$2:$G$801, 0)+1))="","",INDEX(ERP資料!$F:$F, (MATCH(499, 輔助計算!$G$2:$G$801, 0)+1))), "")</f>
        <v/>
      </c>
      <c r="H500" s="10">
        <f>IFERROR(IF(INDEX(ERP資料!$G:$G, (MATCH(499, 輔助計算!$G$2:$G$801, 0)+1))="","",INDEX(ERP資料!$G:$G, (MATCH(499, 輔助計算!$G$2:$G$801, 0)+1))), "")</f>
        <v/>
      </c>
      <c r="I500" s="15">
        <f>IFERROR(INDEX(輔助計算!$D:$D, (MATCH(499, 輔助計算!$G$2:$G$801, 0)+1)), "")</f>
        <v/>
      </c>
      <c r="J500" s="15">
        <f>IFERROR(IF(AND(INDEX(輔助計算!$D:$D, (MATCH(499, 輔助計算!$G$2:$G$801, 0)+1))&lt;&gt;"", INDEX(ERP資料!$G:$G, (MATCH(499, 輔助計算!$G$2:$G$801, 0)+1))&lt;&gt;""), TRIM(IF(INT(INDEX(輔助計算!$D:$D, (MATCH(499, 輔助計算!$G$2:$G$801, 0)+1))/IF(INDEX(ERP資料!$G:$G, (MATCH(499, 輔助計算!$G$2:$G$801, 0)+1))&lt;100, IF(INDEX(ERP資料!$G:$G, (MATCH(499, 輔助計算!$G$2:$G$801, 0)+1))&lt;=31,3,IF(INDEX(ERP資料!$G:$G, (MATCH(499, 輔助計算!$G$2:$G$801, 0)+1))&lt;=46.5,2,1)), IF(INDEX(ERP資料!$G:$G, (MATCH(499, 輔助計算!$G$2:$G$801, 0)+1))&lt;=790,3,IF(INDEX(ERP資料!$G:$G, (MATCH(499, 輔助計算!$G$2:$G$801, 0)+1))&lt;=1181,2,1))))&gt;0, IF(IF(INDEX(ERP資料!$G:$G, (MATCH(499, 輔助計算!$G$2:$G$801, 0)+1))&lt;100, IF(INDEX(ERP資料!$G:$G, (MATCH(499, 輔助計算!$G$2:$G$801, 0)+1))&lt;=31,3,IF(INDEX(ERP資料!$G:$G, (MATCH(499, 輔助計算!$G$2:$G$801, 0)+1))&lt;=46.5,2,1)), IF(INDEX(ERP資料!$G:$G, (MATCH(499, 輔助計算!$G$2:$G$801, 0)+1))&lt;=790,3,IF(INDEX(ERP資料!$G:$G, (MATCH(499, 輔助計算!$G$2:$G$801, 0)+1))&lt;=1181,2,1)))=1,TEXT(INDEX(ERP資料!$G:$G, (MATCH(499, 輔助計算!$G$2:$G$801, 0)+1)),"0.##"),IF(IF(INDEX(ERP資料!$G:$G, (MATCH(499, 輔助計算!$G$2:$G$801, 0)+1))&lt;100, IF(INDEX(ERP資料!$G:$G, (MATCH(499, 輔助計算!$G$2:$G$801, 0)+1))&lt;=31,3,IF(INDEX(ERP資料!$G:$G, (MATCH(499, 輔助計算!$G$2:$G$801, 0)+1))&lt;=46.5,2,1)), IF(INDEX(ERP資料!$G:$G, (MATCH(499, 輔助計算!$G$2:$G$801, 0)+1))&lt;=790,3,IF(INDEX(ERP資料!$G:$G, (MATCH(499, 輔助計算!$G$2:$G$801, 0)+1))&lt;=1181,2,1)))=2,TEXT(INDEX(ERP資料!$G:$G, (MATCH(499, 輔助計算!$G$2:$G$801, 0)+1)),"0.##")&amp;"+"&amp;TEXT(INDEX(ERP資料!$G:$G, (MATCH(499, 輔助計算!$G$2:$G$801, 0)+1)),"0.##"),TEXT(INDEX(ERP資料!$G:$G, (MATCH(499, 輔助計算!$G$2:$G$801, 0)+1)),"0.##")&amp;"+"&amp;TEXT(INDEX(ERP資料!$G:$G, (MATCH(499, 輔助計算!$G$2:$G$801, 0)+1)),"0.##")&amp;"+"&amp;TEXT(INDEX(ERP資料!$G:$G, (MATCH(499, 輔助計算!$G$2:$G$801, 0)+1)),"0.##")))&amp;"-"&amp;INT(INDEX(輔助計算!$D:$D, (MATCH(499, 輔助計算!$G$2:$G$801, 0)+1))/IF(INDEX(ERP資料!$G:$G, (MATCH(499, 輔助計算!$G$2:$G$801, 0)+1))&lt;100, IF(INDEX(ERP資料!$G:$G, (MATCH(499, 輔助計算!$G$2:$G$801, 0)+1))&lt;=31,3,IF(INDEX(ERP資料!$G:$G, (MATCH(499, 輔助計算!$G$2:$G$801, 0)+1))&lt;=46.5,2,1)), IF(INDEX(ERP資料!$G:$G, (MATCH(499, 輔助計算!$G$2:$G$801, 0)+1))&lt;=790,3,IF(INDEX(ERP資料!$G:$G, (MATCH(499, 輔助計算!$G$2:$G$801, 0)+1))&lt;=1181,2,1)))), "")&amp;IF(AND(IF(INT(INDEX(輔助計算!$D:$D, (MATCH(499, 輔助計算!$G$2:$G$801, 0)+1))/IF(INDEX(ERP資料!$G:$G, (MATCH(499, 輔助計算!$G$2:$G$801, 0)+1))&lt;100, IF(INDEX(ERP資料!$G:$G, (MATCH(499, 輔助計算!$G$2:$G$801, 0)+1))&lt;=31,3,IF(INDEX(ERP資料!$G:$G, (MATCH(499, 輔助計算!$G$2:$G$801, 0)+1))&lt;=46.5,2,1)), IF(INDEX(ERP資料!$G:$G, (MATCH(499, 輔助計算!$G$2:$G$801, 0)+1))&lt;=790,3,IF(INDEX(ERP資料!$G:$G, (MATCH(499, 輔助計算!$G$2:$G$801, 0)+1))&lt;=1181,2,1))))&gt;0, IF(IF(INDEX(ERP資料!$G:$G, (MATCH(499, 輔助計算!$G$2:$G$801, 0)+1))&lt;100, IF(INDEX(ERP資料!$G:$G, (MATCH(499, 輔助計算!$G$2:$G$801, 0)+1))&lt;=31,3,IF(INDEX(ERP資料!$G:$G, (MATCH(499, 輔助計算!$G$2:$G$801, 0)+1))&lt;=46.5,2,1)), IF(INDEX(ERP資料!$G:$G, (MATCH(499, 輔助計算!$G$2:$G$801, 0)+1))&lt;=790,3,IF(INDEX(ERP資料!$G:$G, (MATCH(499, 輔助計算!$G$2:$G$801, 0)+1))&lt;=1181,2,1)))=1,TEXT(INDEX(ERP資料!$G:$G, (MATCH(499, 輔助計算!$G$2:$G$801, 0)+1)),"0.##"),IF(IF(INDEX(ERP資料!$G:$G, (MATCH(499, 輔助計算!$G$2:$G$801, 0)+1))&lt;100, IF(INDEX(ERP資料!$G:$G, (MATCH(499, 輔助計算!$G$2:$G$801, 0)+1))&lt;=31,3,IF(INDEX(ERP資料!$G:$G, (MATCH(499, 輔助計算!$G$2:$G$801, 0)+1))&lt;=46.5,2,1)), IF(INDEX(ERP資料!$G:$G, (MATCH(499, 輔助計算!$G$2:$G$801, 0)+1))&lt;=790,3,IF(INDEX(ERP資料!$G:$G, (MATCH(499, 輔助計算!$G$2:$G$801, 0)+1))&lt;=1181,2,1)))=2,TEXT(INDEX(ERP資料!$G:$G, (MATCH(499, 輔助計算!$G$2:$G$801, 0)+1)),"0.##")&amp;"+"&amp;TEXT(INDEX(ERP資料!$G:$G, (MATCH(499, 輔助計算!$G$2:$G$801, 0)+1)),"0.##"),TEXT(INDEX(ERP資料!$G:$G, (MATCH(499, 輔助計算!$G$2:$G$801, 0)+1)),"0.##")&amp;"+"&amp;TEXT(INDEX(ERP資料!$G:$G, (MATCH(499, 輔助計算!$G$2:$G$801, 0)+1)),"0.##")&amp;"+"&amp;TEXT(INDEX(ERP資料!$G:$G, (MATCH(499, 輔助計算!$G$2:$G$801, 0)+1)),"0.##")))&amp;"-"&amp;INT(INDEX(輔助計算!$D:$D, (MATCH(499, 輔助計算!$G$2:$G$801, 0)+1))/IF(INDEX(ERP資料!$G:$G, (MATCH(499, 輔助計算!$G$2:$G$801, 0)+1))&lt;100, IF(INDEX(ERP資料!$G:$G, (MATCH(499, 輔助計算!$G$2:$G$801, 0)+1))&lt;=31,3,IF(INDEX(ERP資料!$G:$G, (MATCH(499, 輔助計算!$G$2:$G$801, 0)+1))&lt;=46.5,2,1)), IF(INDEX(ERP資料!$G:$G, (MATCH(499, 輔助計算!$G$2:$G$801, 0)+1))&lt;=790,3,IF(INDEX(ERP資料!$G:$G, (MATCH(499, 輔助計算!$G$2:$G$801, 0)+1))&lt;=1181,2,1)))), "")&lt;&gt;"",IF(MOD(INDEX(輔助計算!$D:$D, (MATCH(499, 輔助計算!$G$2:$G$801, 0)+1)),IF(INDEX(ERP資料!$G:$G, (MATCH(499, 輔助計算!$G$2:$G$801, 0)+1))&lt;100, IF(INDEX(ERP資料!$G:$G, (MATCH(499, 輔助計算!$G$2:$G$801, 0)+1))&lt;=31,3,IF(INDEX(ERP資料!$G:$G, (MATCH(499, 輔助計算!$G$2:$G$801, 0)+1))&lt;=46.5,2,1)), IF(INDEX(ERP資料!$G:$G, (MATCH(499, 輔助計算!$G$2:$G$801, 0)+1))&lt;=790,3,IF(INDEX(ERP資料!$G:$G, (MATCH(499, 輔助計算!$G$2:$G$801, 0)+1))&lt;=1181,2,1))))=0,"",IF(MOD(INDEX(輔助計算!$D:$D, (MATCH(499, 輔助計算!$G$2:$G$801, 0)+1)),IF(INDEX(ERP資料!$G:$G, (MATCH(499, 輔助計算!$G$2:$G$801, 0)+1))&lt;100, IF(INDEX(ERP資料!$G:$G, (MATCH(499, 輔助計算!$G$2:$G$801, 0)+1))&lt;=31,3,IF(INDEX(ERP資料!$G:$G, (MATCH(499, 輔助計算!$G$2:$G$801, 0)+1))&lt;=46.5,2,1)), IF(INDEX(ERP資料!$G:$G, (MATCH(499, 輔助計算!$G$2:$G$801, 0)+1))&lt;=790,3,IF(INDEX(ERP資料!$G:$G, (MATCH(499, 輔助計算!$G$2:$G$801, 0)+1))&lt;=1181,2,1))))=0,"",IF(MOD(INDEX(輔助計算!$D:$D, (MATCH(499, 輔助計算!$G$2:$G$801, 0)+1)),IF(INDEX(ERP資料!$G:$G, (MATCH(499, 輔助計算!$G$2:$G$801, 0)+1))&lt;100, IF(INDEX(ERP資料!$G:$G, (MATCH(499, 輔助計算!$G$2:$G$801, 0)+1))&lt;=31,3,IF(INDEX(ERP資料!$G:$G, (MATCH(499, 輔助計算!$G$2:$G$801, 0)+1))&lt;=46.5,2,1)), IF(INDEX(ERP資料!$G:$G, (MATCH(499, 輔助計算!$G$2:$G$801, 0)+1))&lt;=790,3,IF(INDEX(ERP資料!$G:$G, (MATCH(499, 輔助計算!$G$2:$G$801, 0)+1))&lt;=1181,2,1))))=1,TEXT(INDEX(ERP資料!$G:$G, (MATCH(499, 輔助計算!$G$2:$G$801, 0)+1)),"0.##"),IF(MOD(INDEX(輔助計算!$D:$D, (MATCH(499, 輔助計算!$G$2:$G$801, 0)+1)),IF(INDEX(ERP資料!$G:$G, (MATCH(499, 輔助計算!$G$2:$G$801, 0)+1))&lt;100, IF(INDEX(ERP資料!$G:$G, (MATCH(499, 輔助計算!$G$2:$G$801, 0)+1))&lt;=31,3,IF(INDEX(ERP資料!$G:$G, (MATCH(499, 輔助計算!$G$2:$G$801, 0)+1))&lt;=46.5,2,1)), IF(INDEX(ERP資料!$G:$G, (MATCH(499, 輔助計算!$G$2:$G$801, 0)+1))&lt;=790,3,IF(INDEX(ERP資料!$G:$G, (MATCH(499, 輔助計算!$G$2:$G$801, 0)+1))&lt;=1181,2,1))))=2,TEXT(INDEX(ERP資料!$G:$G, (MATCH(499, 輔助計算!$G$2:$G$801, 0)+1)),"0.##")&amp;"+"&amp;TEXT(INDEX(ERP資料!$G:$G, (MATCH(499, 輔助計算!$G$2:$G$801, 0)+1)),"0.##"),TEXT(INDEX(ERP資料!$G:$G, (MATCH(499, 輔助計算!$G$2:$G$801, 0)+1)),"0.##")&amp;"+"&amp;TEXT(INDEX(ERP資料!$G:$G, (MATCH(499, 輔助計算!$G$2:$G$801, 0)+1)),"0.##")&amp;"+"&amp;TEXT(INDEX(ERP資料!$G:$G, (MATCH(499, 輔助計算!$G$2:$G$801, 0)+1)),"0.##"))))&amp;"-1")&lt;&gt;""),"  ","")&amp;IF(MOD(INDEX(輔助計算!$D:$D, (MATCH(499, 輔助計算!$G$2:$G$801, 0)+1)),IF(INDEX(ERP資料!$G:$G, (MATCH(499, 輔助計算!$G$2:$G$801, 0)+1))&lt;100, IF(INDEX(ERP資料!$G:$G, (MATCH(499, 輔助計算!$G$2:$G$801, 0)+1))&lt;=31,3,IF(INDEX(ERP資料!$G:$G, (MATCH(499, 輔助計算!$G$2:$G$801, 0)+1))&lt;=46.5,2,1)), IF(INDEX(ERP資料!$G:$G, (MATCH(499, 輔助計算!$G$2:$G$801, 0)+1))&lt;=790,3,IF(INDEX(ERP資料!$G:$G, (MATCH(499, 輔助計算!$G$2:$G$801, 0)+1))&lt;=1181,2,1))))=0,"",IF(MOD(INDEX(輔助計算!$D:$D, (MATCH(499, 輔助計算!$G$2:$G$801, 0)+1)),IF(INDEX(ERP資料!$G:$G, (MATCH(499, 輔助計算!$G$2:$G$801, 0)+1))&lt;100, IF(INDEX(ERP資料!$G:$G, (MATCH(499, 輔助計算!$G$2:$G$801, 0)+1))&lt;=31,3,IF(INDEX(ERP資料!$G:$G, (MATCH(499, 輔助計算!$G$2:$G$801, 0)+1))&lt;=46.5,2,1)), IF(INDEX(ERP資料!$G:$G, (MATCH(499, 輔助計算!$G$2:$G$801, 0)+1))&lt;=790,3,IF(INDEX(ERP資料!$G:$G, (MATCH(499, 輔助計算!$G$2:$G$801, 0)+1))&lt;=1181,2,1))))=0,"",IF(MOD(INDEX(輔助計算!$D:$D, (MATCH(499, 輔助計算!$G$2:$G$801, 0)+1)),IF(INDEX(ERP資料!$G:$G, (MATCH(499, 輔助計算!$G$2:$G$801, 0)+1))&lt;100, IF(INDEX(ERP資料!$G:$G, (MATCH(499, 輔助計算!$G$2:$G$801, 0)+1))&lt;=31,3,IF(INDEX(ERP資料!$G:$G, (MATCH(499, 輔助計算!$G$2:$G$801, 0)+1))&lt;=46.5,2,1)), IF(INDEX(ERP資料!$G:$G, (MATCH(499, 輔助計算!$G$2:$G$801, 0)+1))&lt;=790,3,IF(INDEX(ERP資料!$G:$G, (MATCH(499, 輔助計算!$G$2:$G$801, 0)+1))&lt;=1181,2,1))))=1,TEXT(INDEX(ERP資料!$G:$G, (MATCH(499, 輔助計算!$G$2:$G$801, 0)+1)),"0.##"),IF(MOD(INDEX(輔助計算!$D:$D, (MATCH(499, 輔助計算!$G$2:$G$801, 0)+1)),IF(INDEX(ERP資料!$G:$G, (MATCH(499, 輔助計算!$G$2:$G$801, 0)+1))&lt;100, IF(INDEX(ERP資料!$G:$G, (MATCH(499, 輔助計算!$G$2:$G$801, 0)+1))&lt;=31,3,IF(INDEX(ERP資料!$G:$G, (MATCH(499, 輔助計算!$G$2:$G$801, 0)+1))&lt;=46.5,2,1)), IF(INDEX(ERP資料!$G:$G, (MATCH(499, 輔助計算!$G$2:$G$801, 0)+1))&lt;=790,3,IF(INDEX(ERP資料!$G:$G, (MATCH(499, 輔助計算!$G$2:$G$801, 0)+1))&lt;=1181,2,1))))=2,TEXT(INDEX(ERP資料!$G:$G, (MATCH(499, 輔助計算!$G$2:$G$801, 0)+1)),"0.##")&amp;"+"&amp;TEXT(INDEX(ERP資料!$G:$G, (MATCH(499, 輔助計算!$G$2:$G$801, 0)+1)),"0.##"),TEXT(INDEX(ERP資料!$G:$G, (MATCH(499, 輔助計算!$G$2:$G$801, 0)+1)),"0.##")&amp;"+"&amp;TEXT(INDEX(ERP資料!$G:$G, (MATCH(499, 輔助計算!$G$2:$G$801, 0)+1)),"0.##")&amp;"+"&amp;TEXT(INDEX(ERP資料!$G:$G, (MATCH(499, 輔助計算!$G$2:$G$801, 0)+1)),"0.##"))))&amp;"-1")), ""), "")</f>
        <v/>
      </c>
      <c r="K500" s="16" t="n"/>
      <c r="L500" s="14">
        <f>IFERROR(IF(AND(IFERROR(INDEX(ERP資料!$A:$A, (MATCH(499, 輔助計算!$G$2:$G$801, 0)+1)), "")&lt;&gt;"", IFERROR(INDEX(ERP資料!$A:$A, (MATCH(499, 輔助計算!$G$2:$G$801, 0)+1)), "")&lt;&gt;IFERROR(INDEX(ERP資料!$A:$A, MATCH(498, 輔助計算!$G$2:$G$801, 0)+1), "")), INDEX(ERP資料!$B:$B, (MATCH(499, 輔助計算!$G$2:$G$801, 0)+1)), ""), "")</f>
        <v/>
      </c>
      <c r="M500" s="17" t="n"/>
    </row>
    <row r="501">
      <c r="A501" s="10">
        <f>IFERROR(IF(AND(IFERROR(INDEX(ERP資料!$A:$A, (MATCH(500, 輔助計算!$G$2:$G$801, 0)+1)), "")&lt;&gt;"", IFERROR(INDEX(ERP資料!$A:$A, (MATCH(500, 輔助計算!$G$2:$G$801, 0)+1)), "")&lt;&gt;IFERROR(INDEX(ERP資料!$A:$A, MATCH(499, 輔助計算!$G$2:$G$801, 0)+1), "")), IFERROR(INDEX(ERP資料!$A:$A, (MATCH(500, 輔助計算!$G$2:$G$801, 0)+1)), ""), ""), "")</f>
        <v/>
      </c>
      <c r="B501" s="10">
        <f>IFERROR(IF(AND(IFERROR(INDEX(ERP資料!$A:$A, (MATCH(500, 輔助計算!$G$2:$G$801, 0)+1)), "")&lt;&gt;"", IFERROR(INDEX(ERP資料!$A:$A, (MATCH(500, 輔助計算!$G$2:$G$801, 0)+1)), "")&lt;&gt;IFERROR(INDEX(ERP資料!$A:$A, MATCH(499, 輔助計算!$G$2:$G$801, 0)+1), "")), INDEX(ERP資料!$S:$S, (MATCH(500, 輔助計算!$G$2:$G$801, 0)+1)), ""), "")</f>
        <v/>
      </c>
      <c r="C501" s="19">
        <f>IFERROR(IF(AND(IFERROR(INDEX(ERP資料!$A:$A, (MATCH(500, 輔助計算!$G$2:$G$801, 0)+1)), "")&lt;&gt;"", IFERROR(INDEX(ERP資料!$A:$A, (MATCH(500, 輔助計算!$G$2:$G$801, 0)+1)), "")&lt;&gt;IFERROR(INDEX(ERP資料!$A:$A, MATCH(499, 輔助計算!$G$2:$G$801, 0)+1), "")), IFERROR(VLOOKUP(LEFT(INDEX(ERP資料!$S:$S, (MATCH(500, 輔助計算!$G$2:$G$801, 0)+1)), 4), 紙管對照表!$A:$C, 3, FALSE), ""), ""), "")</f>
        <v/>
      </c>
      <c r="D501" s="16" t="n"/>
      <c r="E501" s="10">
        <f>IFERROR(IF(INDEX(ERP資料!$H:$H, (MATCH(500, 輔助計算!$G$2:$G$801, 0)+1))="","",INDEX(ERP資料!$H:$H, (MATCH(500, 輔助計算!$G$2:$G$801, 0)+1))), "")</f>
        <v/>
      </c>
      <c r="F501" s="10">
        <f>IFERROR(IF(INDEX(ERP資料!$E:$E, (MATCH(500, 輔助計算!$G$2:$G$801, 0)+1))="","",TRIM(INDEX(ERP資料!$E:$E, (MATCH(500, 輔助計算!$G$2:$G$801, 0)+1)))), "")</f>
        <v/>
      </c>
      <c r="G501" s="10">
        <f>IFERROR(IF(INDEX(ERP資料!$F:$F, (MATCH(500, 輔助計算!$G$2:$G$801, 0)+1))="","",INDEX(ERP資料!$F:$F, (MATCH(500, 輔助計算!$G$2:$G$801, 0)+1))), "")</f>
        <v/>
      </c>
      <c r="H501" s="10">
        <f>IFERROR(IF(INDEX(ERP資料!$G:$G, (MATCH(500, 輔助計算!$G$2:$G$801, 0)+1))="","",INDEX(ERP資料!$G:$G, (MATCH(500, 輔助計算!$G$2:$G$801, 0)+1))), "")</f>
        <v/>
      </c>
      <c r="I501" s="15">
        <f>IFERROR(INDEX(輔助計算!$D:$D, (MATCH(500, 輔助計算!$G$2:$G$801, 0)+1)), "")</f>
        <v/>
      </c>
      <c r="J501" s="15">
        <f>IFERROR(IF(AND(INDEX(輔助計算!$D:$D, (MATCH(500, 輔助計算!$G$2:$G$801, 0)+1))&lt;&gt;"", INDEX(ERP資料!$G:$G, (MATCH(500, 輔助計算!$G$2:$G$801, 0)+1))&lt;&gt;""), TRIM(IF(INT(INDEX(輔助計算!$D:$D, (MATCH(500, 輔助計算!$G$2:$G$801, 0)+1))/IF(INDEX(ERP資料!$G:$G, (MATCH(500, 輔助計算!$G$2:$G$801, 0)+1))&lt;100, IF(INDEX(ERP資料!$G:$G, (MATCH(500, 輔助計算!$G$2:$G$801, 0)+1))&lt;=31,3,IF(INDEX(ERP資料!$G:$G, (MATCH(500, 輔助計算!$G$2:$G$801, 0)+1))&lt;=46.5,2,1)), IF(INDEX(ERP資料!$G:$G, (MATCH(500, 輔助計算!$G$2:$G$801, 0)+1))&lt;=790,3,IF(INDEX(ERP資料!$G:$G, (MATCH(500, 輔助計算!$G$2:$G$801, 0)+1))&lt;=1181,2,1))))&gt;0, IF(IF(INDEX(ERP資料!$G:$G, (MATCH(500, 輔助計算!$G$2:$G$801, 0)+1))&lt;100, IF(INDEX(ERP資料!$G:$G, (MATCH(500, 輔助計算!$G$2:$G$801, 0)+1))&lt;=31,3,IF(INDEX(ERP資料!$G:$G, (MATCH(500, 輔助計算!$G$2:$G$801, 0)+1))&lt;=46.5,2,1)), IF(INDEX(ERP資料!$G:$G, (MATCH(500, 輔助計算!$G$2:$G$801, 0)+1))&lt;=790,3,IF(INDEX(ERP資料!$G:$G, (MATCH(500, 輔助計算!$G$2:$G$801, 0)+1))&lt;=1181,2,1)))=1,TEXT(INDEX(ERP資料!$G:$G, (MATCH(500, 輔助計算!$G$2:$G$801, 0)+1)),"0.##"),IF(IF(INDEX(ERP資料!$G:$G, (MATCH(500, 輔助計算!$G$2:$G$801, 0)+1))&lt;100, IF(INDEX(ERP資料!$G:$G, (MATCH(500, 輔助計算!$G$2:$G$801, 0)+1))&lt;=31,3,IF(INDEX(ERP資料!$G:$G, (MATCH(500, 輔助計算!$G$2:$G$801, 0)+1))&lt;=46.5,2,1)), IF(INDEX(ERP資料!$G:$G, (MATCH(500, 輔助計算!$G$2:$G$801, 0)+1))&lt;=790,3,IF(INDEX(ERP資料!$G:$G, (MATCH(500, 輔助計算!$G$2:$G$801, 0)+1))&lt;=1181,2,1)))=2,TEXT(INDEX(ERP資料!$G:$G, (MATCH(500, 輔助計算!$G$2:$G$801, 0)+1)),"0.##")&amp;"+"&amp;TEXT(INDEX(ERP資料!$G:$G, (MATCH(500, 輔助計算!$G$2:$G$801, 0)+1)),"0.##"),TEXT(INDEX(ERP資料!$G:$G, (MATCH(500, 輔助計算!$G$2:$G$801, 0)+1)),"0.##")&amp;"+"&amp;TEXT(INDEX(ERP資料!$G:$G, (MATCH(500, 輔助計算!$G$2:$G$801, 0)+1)),"0.##")&amp;"+"&amp;TEXT(INDEX(ERP資料!$G:$G, (MATCH(500, 輔助計算!$G$2:$G$801, 0)+1)),"0.##")))&amp;"-"&amp;INT(INDEX(輔助計算!$D:$D, (MATCH(500, 輔助計算!$G$2:$G$801, 0)+1))/IF(INDEX(ERP資料!$G:$G, (MATCH(500, 輔助計算!$G$2:$G$801, 0)+1))&lt;100, IF(INDEX(ERP資料!$G:$G, (MATCH(500, 輔助計算!$G$2:$G$801, 0)+1))&lt;=31,3,IF(INDEX(ERP資料!$G:$G, (MATCH(500, 輔助計算!$G$2:$G$801, 0)+1))&lt;=46.5,2,1)), IF(INDEX(ERP資料!$G:$G, (MATCH(500, 輔助計算!$G$2:$G$801, 0)+1))&lt;=790,3,IF(INDEX(ERP資料!$G:$G, (MATCH(500, 輔助計算!$G$2:$G$801, 0)+1))&lt;=1181,2,1)))), "")&amp;IF(AND(IF(INT(INDEX(輔助計算!$D:$D, (MATCH(500, 輔助計算!$G$2:$G$801, 0)+1))/IF(INDEX(ERP資料!$G:$G, (MATCH(500, 輔助計算!$G$2:$G$801, 0)+1))&lt;100, IF(INDEX(ERP資料!$G:$G, (MATCH(500, 輔助計算!$G$2:$G$801, 0)+1))&lt;=31,3,IF(INDEX(ERP資料!$G:$G, (MATCH(500, 輔助計算!$G$2:$G$801, 0)+1))&lt;=46.5,2,1)), IF(INDEX(ERP資料!$G:$G, (MATCH(500, 輔助計算!$G$2:$G$801, 0)+1))&lt;=790,3,IF(INDEX(ERP資料!$G:$G, (MATCH(500, 輔助計算!$G$2:$G$801, 0)+1))&lt;=1181,2,1))))&gt;0, IF(IF(INDEX(ERP資料!$G:$G, (MATCH(500, 輔助計算!$G$2:$G$801, 0)+1))&lt;100, IF(INDEX(ERP資料!$G:$G, (MATCH(500, 輔助計算!$G$2:$G$801, 0)+1))&lt;=31,3,IF(INDEX(ERP資料!$G:$G, (MATCH(500, 輔助計算!$G$2:$G$801, 0)+1))&lt;=46.5,2,1)), IF(INDEX(ERP資料!$G:$G, (MATCH(500, 輔助計算!$G$2:$G$801, 0)+1))&lt;=790,3,IF(INDEX(ERP資料!$G:$G, (MATCH(500, 輔助計算!$G$2:$G$801, 0)+1))&lt;=1181,2,1)))=1,TEXT(INDEX(ERP資料!$G:$G, (MATCH(500, 輔助計算!$G$2:$G$801, 0)+1)),"0.##"),IF(IF(INDEX(ERP資料!$G:$G, (MATCH(500, 輔助計算!$G$2:$G$801, 0)+1))&lt;100, IF(INDEX(ERP資料!$G:$G, (MATCH(500, 輔助計算!$G$2:$G$801, 0)+1))&lt;=31,3,IF(INDEX(ERP資料!$G:$G, (MATCH(500, 輔助計算!$G$2:$G$801, 0)+1))&lt;=46.5,2,1)), IF(INDEX(ERP資料!$G:$G, (MATCH(500, 輔助計算!$G$2:$G$801, 0)+1))&lt;=790,3,IF(INDEX(ERP資料!$G:$G, (MATCH(500, 輔助計算!$G$2:$G$801, 0)+1))&lt;=1181,2,1)))=2,TEXT(INDEX(ERP資料!$G:$G, (MATCH(500, 輔助計算!$G$2:$G$801, 0)+1)),"0.##")&amp;"+"&amp;TEXT(INDEX(ERP資料!$G:$G, (MATCH(500, 輔助計算!$G$2:$G$801, 0)+1)),"0.##"),TEXT(INDEX(ERP資料!$G:$G, (MATCH(500, 輔助計算!$G$2:$G$801, 0)+1)),"0.##")&amp;"+"&amp;TEXT(INDEX(ERP資料!$G:$G, (MATCH(500, 輔助計算!$G$2:$G$801, 0)+1)),"0.##")&amp;"+"&amp;TEXT(INDEX(ERP資料!$G:$G, (MATCH(500, 輔助計算!$G$2:$G$801, 0)+1)),"0.##")))&amp;"-"&amp;INT(INDEX(輔助計算!$D:$D, (MATCH(500, 輔助計算!$G$2:$G$801, 0)+1))/IF(INDEX(ERP資料!$G:$G, (MATCH(500, 輔助計算!$G$2:$G$801, 0)+1))&lt;100, IF(INDEX(ERP資料!$G:$G, (MATCH(500, 輔助計算!$G$2:$G$801, 0)+1))&lt;=31,3,IF(INDEX(ERP資料!$G:$G, (MATCH(500, 輔助計算!$G$2:$G$801, 0)+1))&lt;=46.5,2,1)), IF(INDEX(ERP資料!$G:$G, (MATCH(500, 輔助計算!$G$2:$G$801, 0)+1))&lt;=790,3,IF(INDEX(ERP資料!$G:$G, (MATCH(500, 輔助計算!$G$2:$G$801, 0)+1))&lt;=1181,2,1)))), "")&lt;&gt;"",IF(MOD(INDEX(輔助計算!$D:$D, (MATCH(500, 輔助計算!$G$2:$G$801, 0)+1)),IF(INDEX(ERP資料!$G:$G, (MATCH(500, 輔助計算!$G$2:$G$801, 0)+1))&lt;100, IF(INDEX(ERP資料!$G:$G, (MATCH(500, 輔助計算!$G$2:$G$801, 0)+1))&lt;=31,3,IF(INDEX(ERP資料!$G:$G, (MATCH(500, 輔助計算!$G$2:$G$801, 0)+1))&lt;=46.5,2,1)), IF(INDEX(ERP資料!$G:$G, (MATCH(500, 輔助計算!$G$2:$G$801, 0)+1))&lt;=790,3,IF(INDEX(ERP資料!$G:$G, (MATCH(500, 輔助計算!$G$2:$G$801, 0)+1))&lt;=1181,2,1))))=0,"",IF(MOD(INDEX(輔助計算!$D:$D, (MATCH(500, 輔助計算!$G$2:$G$801, 0)+1)),IF(INDEX(ERP資料!$G:$G, (MATCH(500, 輔助計算!$G$2:$G$801, 0)+1))&lt;100, IF(INDEX(ERP資料!$G:$G, (MATCH(500, 輔助計算!$G$2:$G$801, 0)+1))&lt;=31,3,IF(INDEX(ERP資料!$G:$G, (MATCH(500, 輔助計算!$G$2:$G$801, 0)+1))&lt;=46.5,2,1)), IF(INDEX(ERP資料!$G:$G, (MATCH(500, 輔助計算!$G$2:$G$801, 0)+1))&lt;=790,3,IF(INDEX(ERP資料!$G:$G, (MATCH(500, 輔助計算!$G$2:$G$801, 0)+1))&lt;=1181,2,1))))=0,"",IF(MOD(INDEX(輔助計算!$D:$D, (MATCH(500, 輔助計算!$G$2:$G$801, 0)+1)),IF(INDEX(ERP資料!$G:$G, (MATCH(500, 輔助計算!$G$2:$G$801, 0)+1))&lt;100, IF(INDEX(ERP資料!$G:$G, (MATCH(500, 輔助計算!$G$2:$G$801, 0)+1))&lt;=31,3,IF(INDEX(ERP資料!$G:$G, (MATCH(500, 輔助計算!$G$2:$G$801, 0)+1))&lt;=46.5,2,1)), IF(INDEX(ERP資料!$G:$G, (MATCH(500, 輔助計算!$G$2:$G$801, 0)+1))&lt;=790,3,IF(INDEX(ERP資料!$G:$G, (MATCH(500, 輔助計算!$G$2:$G$801, 0)+1))&lt;=1181,2,1))))=1,TEXT(INDEX(ERP資料!$G:$G, (MATCH(500, 輔助計算!$G$2:$G$801, 0)+1)),"0.##"),IF(MOD(INDEX(輔助計算!$D:$D, (MATCH(500, 輔助計算!$G$2:$G$801, 0)+1)),IF(INDEX(ERP資料!$G:$G, (MATCH(500, 輔助計算!$G$2:$G$801, 0)+1))&lt;100, IF(INDEX(ERP資料!$G:$G, (MATCH(500, 輔助計算!$G$2:$G$801, 0)+1))&lt;=31,3,IF(INDEX(ERP資料!$G:$G, (MATCH(500, 輔助計算!$G$2:$G$801, 0)+1))&lt;=46.5,2,1)), IF(INDEX(ERP資料!$G:$G, (MATCH(500, 輔助計算!$G$2:$G$801, 0)+1))&lt;=790,3,IF(INDEX(ERP資料!$G:$G, (MATCH(500, 輔助計算!$G$2:$G$801, 0)+1))&lt;=1181,2,1))))=2,TEXT(INDEX(ERP資料!$G:$G, (MATCH(500, 輔助計算!$G$2:$G$801, 0)+1)),"0.##")&amp;"+"&amp;TEXT(INDEX(ERP資料!$G:$G, (MATCH(500, 輔助計算!$G$2:$G$801, 0)+1)),"0.##"),TEXT(INDEX(ERP資料!$G:$G, (MATCH(500, 輔助計算!$G$2:$G$801, 0)+1)),"0.##")&amp;"+"&amp;TEXT(INDEX(ERP資料!$G:$G, (MATCH(500, 輔助計算!$G$2:$G$801, 0)+1)),"0.##")&amp;"+"&amp;TEXT(INDEX(ERP資料!$G:$G, (MATCH(500, 輔助計算!$G$2:$G$801, 0)+1)),"0.##"))))&amp;"-1")&lt;&gt;""),"  ","")&amp;IF(MOD(INDEX(輔助計算!$D:$D, (MATCH(500, 輔助計算!$G$2:$G$801, 0)+1)),IF(INDEX(ERP資料!$G:$G, (MATCH(500, 輔助計算!$G$2:$G$801, 0)+1))&lt;100, IF(INDEX(ERP資料!$G:$G, (MATCH(500, 輔助計算!$G$2:$G$801, 0)+1))&lt;=31,3,IF(INDEX(ERP資料!$G:$G, (MATCH(500, 輔助計算!$G$2:$G$801, 0)+1))&lt;=46.5,2,1)), IF(INDEX(ERP資料!$G:$G, (MATCH(500, 輔助計算!$G$2:$G$801, 0)+1))&lt;=790,3,IF(INDEX(ERP資料!$G:$G, (MATCH(500, 輔助計算!$G$2:$G$801, 0)+1))&lt;=1181,2,1))))=0,"",IF(MOD(INDEX(輔助計算!$D:$D, (MATCH(500, 輔助計算!$G$2:$G$801, 0)+1)),IF(INDEX(ERP資料!$G:$G, (MATCH(500, 輔助計算!$G$2:$G$801, 0)+1))&lt;100, IF(INDEX(ERP資料!$G:$G, (MATCH(500, 輔助計算!$G$2:$G$801, 0)+1))&lt;=31,3,IF(INDEX(ERP資料!$G:$G, (MATCH(500, 輔助計算!$G$2:$G$801, 0)+1))&lt;=46.5,2,1)), IF(INDEX(ERP資料!$G:$G, (MATCH(500, 輔助計算!$G$2:$G$801, 0)+1))&lt;=790,3,IF(INDEX(ERP資料!$G:$G, (MATCH(500, 輔助計算!$G$2:$G$801, 0)+1))&lt;=1181,2,1))))=0,"",IF(MOD(INDEX(輔助計算!$D:$D, (MATCH(500, 輔助計算!$G$2:$G$801, 0)+1)),IF(INDEX(ERP資料!$G:$G, (MATCH(500, 輔助計算!$G$2:$G$801, 0)+1))&lt;100, IF(INDEX(ERP資料!$G:$G, (MATCH(500, 輔助計算!$G$2:$G$801, 0)+1))&lt;=31,3,IF(INDEX(ERP資料!$G:$G, (MATCH(500, 輔助計算!$G$2:$G$801, 0)+1))&lt;=46.5,2,1)), IF(INDEX(ERP資料!$G:$G, (MATCH(500, 輔助計算!$G$2:$G$801, 0)+1))&lt;=790,3,IF(INDEX(ERP資料!$G:$G, (MATCH(500, 輔助計算!$G$2:$G$801, 0)+1))&lt;=1181,2,1))))=1,TEXT(INDEX(ERP資料!$G:$G, (MATCH(500, 輔助計算!$G$2:$G$801, 0)+1)),"0.##"),IF(MOD(INDEX(輔助計算!$D:$D, (MATCH(500, 輔助計算!$G$2:$G$801, 0)+1)),IF(INDEX(ERP資料!$G:$G, (MATCH(500, 輔助計算!$G$2:$G$801, 0)+1))&lt;100, IF(INDEX(ERP資料!$G:$G, (MATCH(500, 輔助計算!$G$2:$G$801, 0)+1))&lt;=31,3,IF(INDEX(ERP資料!$G:$G, (MATCH(500, 輔助計算!$G$2:$G$801, 0)+1))&lt;=46.5,2,1)), IF(INDEX(ERP資料!$G:$G, (MATCH(500, 輔助計算!$G$2:$G$801, 0)+1))&lt;=790,3,IF(INDEX(ERP資料!$G:$G, (MATCH(500, 輔助計算!$G$2:$G$801, 0)+1))&lt;=1181,2,1))))=2,TEXT(INDEX(ERP資料!$G:$G, (MATCH(500, 輔助計算!$G$2:$G$801, 0)+1)),"0.##")&amp;"+"&amp;TEXT(INDEX(ERP資料!$G:$G, (MATCH(500, 輔助計算!$G$2:$G$801, 0)+1)),"0.##"),TEXT(INDEX(ERP資料!$G:$G, (MATCH(500, 輔助計算!$G$2:$G$801, 0)+1)),"0.##")&amp;"+"&amp;TEXT(INDEX(ERP資料!$G:$G, (MATCH(500, 輔助計算!$G$2:$G$801, 0)+1)),"0.##")&amp;"+"&amp;TEXT(INDEX(ERP資料!$G:$G, (MATCH(500, 輔助計算!$G$2:$G$801, 0)+1)),"0.##"))))&amp;"-1")), ""), "")</f>
        <v/>
      </c>
      <c r="K501" s="16" t="n"/>
      <c r="L501" s="14">
        <f>IFERROR(IF(AND(IFERROR(INDEX(ERP資料!$A:$A, (MATCH(500, 輔助計算!$G$2:$G$801, 0)+1)), "")&lt;&gt;"", IFERROR(INDEX(ERP資料!$A:$A, (MATCH(500, 輔助計算!$G$2:$G$801, 0)+1)), "")&lt;&gt;IFERROR(INDEX(ERP資料!$A:$A, MATCH(499, 輔助計算!$G$2:$G$801, 0)+1), "")), INDEX(ERP資料!$B:$B, (MATCH(500, 輔助計算!$G$2:$G$801, 0)+1)), ""), "")</f>
        <v/>
      </c>
      <c r="M501" s="17" t="n"/>
    </row>
    <row r="502">
      <c r="A502" s="10">
        <f>IFERROR(IF(AND(IFERROR(INDEX(ERP資料!$A:$A, (MATCH(501, 輔助計算!$G$2:$G$801, 0)+1)), "")&lt;&gt;"", IFERROR(INDEX(ERP資料!$A:$A, (MATCH(501, 輔助計算!$G$2:$G$801, 0)+1)), "")&lt;&gt;IFERROR(INDEX(ERP資料!$A:$A, MATCH(500, 輔助計算!$G$2:$G$801, 0)+1), "")), IFERROR(INDEX(ERP資料!$A:$A, (MATCH(501, 輔助計算!$G$2:$G$801, 0)+1)), ""), ""), "")</f>
        <v/>
      </c>
      <c r="B502" s="10">
        <f>IFERROR(IF(AND(IFERROR(INDEX(ERP資料!$A:$A, (MATCH(501, 輔助計算!$G$2:$G$801, 0)+1)), "")&lt;&gt;"", IFERROR(INDEX(ERP資料!$A:$A, (MATCH(501, 輔助計算!$G$2:$G$801, 0)+1)), "")&lt;&gt;IFERROR(INDEX(ERP資料!$A:$A, MATCH(500, 輔助計算!$G$2:$G$801, 0)+1), "")), INDEX(ERP資料!$S:$S, (MATCH(501, 輔助計算!$G$2:$G$801, 0)+1)), ""), "")</f>
        <v/>
      </c>
      <c r="C502" s="19">
        <f>IFERROR(IF(AND(IFERROR(INDEX(ERP資料!$A:$A, (MATCH(501, 輔助計算!$G$2:$G$801, 0)+1)), "")&lt;&gt;"", IFERROR(INDEX(ERP資料!$A:$A, (MATCH(501, 輔助計算!$G$2:$G$801, 0)+1)), "")&lt;&gt;IFERROR(INDEX(ERP資料!$A:$A, MATCH(500, 輔助計算!$G$2:$G$801, 0)+1), "")), IFERROR(VLOOKUP(LEFT(INDEX(ERP資料!$S:$S, (MATCH(501, 輔助計算!$G$2:$G$801, 0)+1)), 4), 紙管對照表!$A:$C, 3, FALSE), ""), ""), "")</f>
        <v/>
      </c>
      <c r="D502" s="16" t="n"/>
      <c r="E502" s="10">
        <f>IFERROR(IF(INDEX(ERP資料!$H:$H, (MATCH(501, 輔助計算!$G$2:$G$801, 0)+1))="","",INDEX(ERP資料!$H:$H, (MATCH(501, 輔助計算!$G$2:$G$801, 0)+1))), "")</f>
        <v/>
      </c>
      <c r="F502" s="10">
        <f>IFERROR(IF(INDEX(ERP資料!$E:$E, (MATCH(501, 輔助計算!$G$2:$G$801, 0)+1))="","",TRIM(INDEX(ERP資料!$E:$E, (MATCH(501, 輔助計算!$G$2:$G$801, 0)+1)))), "")</f>
        <v/>
      </c>
      <c r="G502" s="10">
        <f>IFERROR(IF(INDEX(ERP資料!$F:$F, (MATCH(501, 輔助計算!$G$2:$G$801, 0)+1))="","",INDEX(ERP資料!$F:$F, (MATCH(501, 輔助計算!$G$2:$G$801, 0)+1))), "")</f>
        <v/>
      </c>
      <c r="H502" s="10">
        <f>IFERROR(IF(INDEX(ERP資料!$G:$G, (MATCH(501, 輔助計算!$G$2:$G$801, 0)+1))="","",INDEX(ERP資料!$G:$G, (MATCH(501, 輔助計算!$G$2:$G$801, 0)+1))), "")</f>
        <v/>
      </c>
      <c r="I502" s="15">
        <f>IFERROR(INDEX(輔助計算!$D:$D, (MATCH(501, 輔助計算!$G$2:$G$801, 0)+1)), "")</f>
        <v/>
      </c>
      <c r="J502" s="15">
        <f>IFERROR(IF(AND(INDEX(輔助計算!$D:$D, (MATCH(501, 輔助計算!$G$2:$G$801, 0)+1))&lt;&gt;"", INDEX(ERP資料!$G:$G, (MATCH(501, 輔助計算!$G$2:$G$801, 0)+1))&lt;&gt;""), TRIM(IF(INT(INDEX(輔助計算!$D:$D, (MATCH(501, 輔助計算!$G$2:$G$801, 0)+1))/IF(INDEX(ERP資料!$G:$G, (MATCH(501, 輔助計算!$G$2:$G$801, 0)+1))&lt;100, IF(INDEX(ERP資料!$G:$G, (MATCH(501, 輔助計算!$G$2:$G$801, 0)+1))&lt;=31,3,IF(INDEX(ERP資料!$G:$G, (MATCH(501, 輔助計算!$G$2:$G$801, 0)+1))&lt;=46.5,2,1)), IF(INDEX(ERP資料!$G:$G, (MATCH(501, 輔助計算!$G$2:$G$801, 0)+1))&lt;=790,3,IF(INDEX(ERP資料!$G:$G, (MATCH(501, 輔助計算!$G$2:$G$801, 0)+1))&lt;=1181,2,1))))&gt;0, IF(IF(INDEX(ERP資料!$G:$G, (MATCH(501, 輔助計算!$G$2:$G$801, 0)+1))&lt;100, IF(INDEX(ERP資料!$G:$G, (MATCH(501, 輔助計算!$G$2:$G$801, 0)+1))&lt;=31,3,IF(INDEX(ERP資料!$G:$G, (MATCH(501, 輔助計算!$G$2:$G$801, 0)+1))&lt;=46.5,2,1)), IF(INDEX(ERP資料!$G:$G, (MATCH(501, 輔助計算!$G$2:$G$801, 0)+1))&lt;=790,3,IF(INDEX(ERP資料!$G:$G, (MATCH(501, 輔助計算!$G$2:$G$801, 0)+1))&lt;=1181,2,1)))=1,TEXT(INDEX(ERP資料!$G:$G, (MATCH(501, 輔助計算!$G$2:$G$801, 0)+1)),"0.##"),IF(IF(INDEX(ERP資料!$G:$G, (MATCH(501, 輔助計算!$G$2:$G$801, 0)+1))&lt;100, IF(INDEX(ERP資料!$G:$G, (MATCH(501, 輔助計算!$G$2:$G$801, 0)+1))&lt;=31,3,IF(INDEX(ERP資料!$G:$G, (MATCH(501, 輔助計算!$G$2:$G$801, 0)+1))&lt;=46.5,2,1)), IF(INDEX(ERP資料!$G:$G, (MATCH(501, 輔助計算!$G$2:$G$801, 0)+1))&lt;=790,3,IF(INDEX(ERP資料!$G:$G, (MATCH(501, 輔助計算!$G$2:$G$801, 0)+1))&lt;=1181,2,1)))=2,TEXT(INDEX(ERP資料!$G:$G, (MATCH(501, 輔助計算!$G$2:$G$801, 0)+1)),"0.##")&amp;"+"&amp;TEXT(INDEX(ERP資料!$G:$G, (MATCH(501, 輔助計算!$G$2:$G$801, 0)+1)),"0.##"),TEXT(INDEX(ERP資料!$G:$G, (MATCH(501, 輔助計算!$G$2:$G$801, 0)+1)),"0.##")&amp;"+"&amp;TEXT(INDEX(ERP資料!$G:$G, (MATCH(501, 輔助計算!$G$2:$G$801, 0)+1)),"0.##")&amp;"+"&amp;TEXT(INDEX(ERP資料!$G:$G, (MATCH(501, 輔助計算!$G$2:$G$801, 0)+1)),"0.##")))&amp;"-"&amp;INT(INDEX(輔助計算!$D:$D, (MATCH(501, 輔助計算!$G$2:$G$801, 0)+1))/IF(INDEX(ERP資料!$G:$G, (MATCH(501, 輔助計算!$G$2:$G$801, 0)+1))&lt;100, IF(INDEX(ERP資料!$G:$G, (MATCH(501, 輔助計算!$G$2:$G$801, 0)+1))&lt;=31,3,IF(INDEX(ERP資料!$G:$G, (MATCH(501, 輔助計算!$G$2:$G$801, 0)+1))&lt;=46.5,2,1)), IF(INDEX(ERP資料!$G:$G, (MATCH(501, 輔助計算!$G$2:$G$801, 0)+1))&lt;=790,3,IF(INDEX(ERP資料!$G:$G, (MATCH(501, 輔助計算!$G$2:$G$801, 0)+1))&lt;=1181,2,1)))), "")&amp;IF(AND(IF(INT(INDEX(輔助計算!$D:$D, (MATCH(501, 輔助計算!$G$2:$G$801, 0)+1))/IF(INDEX(ERP資料!$G:$G, (MATCH(501, 輔助計算!$G$2:$G$801, 0)+1))&lt;100, IF(INDEX(ERP資料!$G:$G, (MATCH(501, 輔助計算!$G$2:$G$801, 0)+1))&lt;=31,3,IF(INDEX(ERP資料!$G:$G, (MATCH(501, 輔助計算!$G$2:$G$801, 0)+1))&lt;=46.5,2,1)), IF(INDEX(ERP資料!$G:$G, (MATCH(501, 輔助計算!$G$2:$G$801, 0)+1))&lt;=790,3,IF(INDEX(ERP資料!$G:$G, (MATCH(501, 輔助計算!$G$2:$G$801, 0)+1))&lt;=1181,2,1))))&gt;0, IF(IF(INDEX(ERP資料!$G:$G, (MATCH(501, 輔助計算!$G$2:$G$801, 0)+1))&lt;100, IF(INDEX(ERP資料!$G:$G, (MATCH(501, 輔助計算!$G$2:$G$801, 0)+1))&lt;=31,3,IF(INDEX(ERP資料!$G:$G, (MATCH(501, 輔助計算!$G$2:$G$801, 0)+1))&lt;=46.5,2,1)), IF(INDEX(ERP資料!$G:$G, (MATCH(501, 輔助計算!$G$2:$G$801, 0)+1))&lt;=790,3,IF(INDEX(ERP資料!$G:$G, (MATCH(501, 輔助計算!$G$2:$G$801, 0)+1))&lt;=1181,2,1)))=1,TEXT(INDEX(ERP資料!$G:$G, (MATCH(501, 輔助計算!$G$2:$G$801, 0)+1)),"0.##"),IF(IF(INDEX(ERP資料!$G:$G, (MATCH(501, 輔助計算!$G$2:$G$801, 0)+1))&lt;100, IF(INDEX(ERP資料!$G:$G, (MATCH(501, 輔助計算!$G$2:$G$801, 0)+1))&lt;=31,3,IF(INDEX(ERP資料!$G:$G, (MATCH(501, 輔助計算!$G$2:$G$801, 0)+1))&lt;=46.5,2,1)), IF(INDEX(ERP資料!$G:$G, (MATCH(501, 輔助計算!$G$2:$G$801, 0)+1))&lt;=790,3,IF(INDEX(ERP資料!$G:$G, (MATCH(501, 輔助計算!$G$2:$G$801, 0)+1))&lt;=1181,2,1)))=2,TEXT(INDEX(ERP資料!$G:$G, (MATCH(501, 輔助計算!$G$2:$G$801, 0)+1)),"0.##")&amp;"+"&amp;TEXT(INDEX(ERP資料!$G:$G, (MATCH(501, 輔助計算!$G$2:$G$801, 0)+1)),"0.##"),TEXT(INDEX(ERP資料!$G:$G, (MATCH(501, 輔助計算!$G$2:$G$801, 0)+1)),"0.##")&amp;"+"&amp;TEXT(INDEX(ERP資料!$G:$G, (MATCH(501, 輔助計算!$G$2:$G$801, 0)+1)),"0.##")&amp;"+"&amp;TEXT(INDEX(ERP資料!$G:$G, (MATCH(501, 輔助計算!$G$2:$G$801, 0)+1)),"0.##")))&amp;"-"&amp;INT(INDEX(輔助計算!$D:$D, (MATCH(501, 輔助計算!$G$2:$G$801, 0)+1))/IF(INDEX(ERP資料!$G:$G, (MATCH(501, 輔助計算!$G$2:$G$801, 0)+1))&lt;100, IF(INDEX(ERP資料!$G:$G, (MATCH(501, 輔助計算!$G$2:$G$801, 0)+1))&lt;=31,3,IF(INDEX(ERP資料!$G:$G, (MATCH(501, 輔助計算!$G$2:$G$801, 0)+1))&lt;=46.5,2,1)), IF(INDEX(ERP資料!$G:$G, (MATCH(501, 輔助計算!$G$2:$G$801, 0)+1))&lt;=790,3,IF(INDEX(ERP資料!$G:$G, (MATCH(501, 輔助計算!$G$2:$G$801, 0)+1))&lt;=1181,2,1)))), "")&lt;&gt;"",IF(MOD(INDEX(輔助計算!$D:$D, (MATCH(501, 輔助計算!$G$2:$G$801, 0)+1)),IF(INDEX(ERP資料!$G:$G, (MATCH(501, 輔助計算!$G$2:$G$801, 0)+1))&lt;100, IF(INDEX(ERP資料!$G:$G, (MATCH(501, 輔助計算!$G$2:$G$801, 0)+1))&lt;=31,3,IF(INDEX(ERP資料!$G:$G, (MATCH(501, 輔助計算!$G$2:$G$801, 0)+1))&lt;=46.5,2,1)), IF(INDEX(ERP資料!$G:$G, (MATCH(501, 輔助計算!$G$2:$G$801, 0)+1))&lt;=790,3,IF(INDEX(ERP資料!$G:$G, (MATCH(501, 輔助計算!$G$2:$G$801, 0)+1))&lt;=1181,2,1))))=0,"",IF(MOD(INDEX(輔助計算!$D:$D, (MATCH(501, 輔助計算!$G$2:$G$801, 0)+1)),IF(INDEX(ERP資料!$G:$G, (MATCH(501, 輔助計算!$G$2:$G$801, 0)+1))&lt;100, IF(INDEX(ERP資料!$G:$G, (MATCH(501, 輔助計算!$G$2:$G$801, 0)+1))&lt;=31,3,IF(INDEX(ERP資料!$G:$G, (MATCH(501, 輔助計算!$G$2:$G$801, 0)+1))&lt;=46.5,2,1)), IF(INDEX(ERP資料!$G:$G, (MATCH(501, 輔助計算!$G$2:$G$801, 0)+1))&lt;=790,3,IF(INDEX(ERP資料!$G:$G, (MATCH(501, 輔助計算!$G$2:$G$801, 0)+1))&lt;=1181,2,1))))=0,"",IF(MOD(INDEX(輔助計算!$D:$D, (MATCH(501, 輔助計算!$G$2:$G$801, 0)+1)),IF(INDEX(ERP資料!$G:$G, (MATCH(501, 輔助計算!$G$2:$G$801, 0)+1))&lt;100, IF(INDEX(ERP資料!$G:$G, (MATCH(501, 輔助計算!$G$2:$G$801, 0)+1))&lt;=31,3,IF(INDEX(ERP資料!$G:$G, (MATCH(501, 輔助計算!$G$2:$G$801, 0)+1))&lt;=46.5,2,1)), IF(INDEX(ERP資料!$G:$G, (MATCH(501, 輔助計算!$G$2:$G$801, 0)+1))&lt;=790,3,IF(INDEX(ERP資料!$G:$G, (MATCH(501, 輔助計算!$G$2:$G$801, 0)+1))&lt;=1181,2,1))))=1,TEXT(INDEX(ERP資料!$G:$G, (MATCH(501, 輔助計算!$G$2:$G$801, 0)+1)),"0.##"),IF(MOD(INDEX(輔助計算!$D:$D, (MATCH(501, 輔助計算!$G$2:$G$801, 0)+1)),IF(INDEX(ERP資料!$G:$G, (MATCH(501, 輔助計算!$G$2:$G$801, 0)+1))&lt;100, IF(INDEX(ERP資料!$G:$G, (MATCH(501, 輔助計算!$G$2:$G$801, 0)+1))&lt;=31,3,IF(INDEX(ERP資料!$G:$G, (MATCH(501, 輔助計算!$G$2:$G$801, 0)+1))&lt;=46.5,2,1)), IF(INDEX(ERP資料!$G:$G, (MATCH(501, 輔助計算!$G$2:$G$801, 0)+1))&lt;=790,3,IF(INDEX(ERP資料!$G:$G, (MATCH(501, 輔助計算!$G$2:$G$801, 0)+1))&lt;=1181,2,1))))=2,TEXT(INDEX(ERP資料!$G:$G, (MATCH(501, 輔助計算!$G$2:$G$801, 0)+1)),"0.##")&amp;"+"&amp;TEXT(INDEX(ERP資料!$G:$G, (MATCH(501, 輔助計算!$G$2:$G$801, 0)+1)),"0.##"),TEXT(INDEX(ERP資料!$G:$G, (MATCH(501, 輔助計算!$G$2:$G$801, 0)+1)),"0.##")&amp;"+"&amp;TEXT(INDEX(ERP資料!$G:$G, (MATCH(501, 輔助計算!$G$2:$G$801, 0)+1)),"0.##")&amp;"+"&amp;TEXT(INDEX(ERP資料!$G:$G, (MATCH(501, 輔助計算!$G$2:$G$801, 0)+1)),"0.##"))))&amp;"-1")&lt;&gt;""),"  ","")&amp;IF(MOD(INDEX(輔助計算!$D:$D, (MATCH(501, 輔助計算!$G$2:$G$801, 0)+1)),IF(INDEX(ERP資料!$G:$G, (MATCH(501, 輔助計算!$G$2:$G$801, 0)+1))&lt;100, IF(INDEX(ERP資料!$G:$G, (MATCH(501, 輔助計算!$G$2:$G$801, 0)+1))&lt;=31,3,IF(INDEX(ERP資料!$G:$G, (MATCH(501, 輔助計算!$G$2:$G$801, 0)+1))&lt;=46.5,2,1)), IF(INDEX(ERP資料!$G:$G, (MATCH(501, 輔助計算!$G$2:$G$801, 0)+1))&lt;=790,3,IF(INDEX(ERP資料!$G:$G, (MATCH(501, 輔助計算!$G$2:$G$801, 0)+1))&lt;=1181,2,1))))=0,"",IF(MOD(INDEX(輔助計算!$D:$D, (MATCH(501, 輔助計算!$G$2:$G$801, 0)+1)),IF(INDEX(ERP資料!$G:$G, (MATCH(501, 輔助計算!$G$2:$G$801, 0)+1))&lt;100, IF(INDEX(ERP資料!$G:$G, (MATCH(501, 輔助計算!$G$2:$G$801, 0)+1))&lt;=31,3,IF(INDEX(ERP資料!$G:$G, (MATCH(501, 輔助計算!$G$2:$G$801, 0)+1))&lt;=46.5,2,1)), IF(INDEX(ERP資料!$G:$G, (MATCH(501, 輔助計算!$G$2:$G$801, 0)+1))&lt;=790,3,IF(INDEX(ERP資料!$G:$G, (MATCH(501, 輔助計算!$G$2:$G$801, 0)+1))&lt;=1181,2,1))))=0,"",IF(MOD(INDEX(輔助計算!$D:$D, (MATCH(501, 輔助計算!$G$2:$G$801, 0)+1)),IF(INDEX(ERP資料!$G:$G, (MATCH(501, 輔助計算!$G$2:$G$801, 0)+1))&lt;100, IF(INDEX(ERP資料!$G:$G, (MATCH(501, 輔助計算!$G$2:$G$801, 0)+1))&lt;=31,3,IF(INDEX(ERP資料!$G:$G, (MATCH(501, 輔助計算!$G$2:$G$801, 0)+1))&lt;=46.5,2,1)), IF(INDEX(ERP資料!$G:$G, (MATCH(501, 輔助計算!$G$2:$G$801, 0)+1))&lt;=790,3,IF(INDEX(ERP資料!$G:$G, (MATCH(501, 輔助計算!$G$2:$G$801, 0)+1))&lt;=1181,2,1))))=1,TEXT(INDEX(ERP資料!$G:$G, (MATCH(501, 輔助計算!$G$2:$G$801, 0)+1)),"0.##"),IF(MOD(INDEX(輔助計算!$D:$D, (MATCH(501, 輔助計算!$G$2:$G$801, 0)+1)),IF(INDEX(ERP資料!$G:$G, (MATCH(501, 輔助計算!$G$2:$G$801, 0)+1))&lt;100, IF(INDEX(ERP資料!$G:$G, (MATCH(501, 輔助計算!$G$2:$G$801, 0)+1))&lt;=31,3,IF(INDEX(ERP資料!$G:$G, (MATCH(501, 輔助計算!$G$2:$G$801, 0)+1))&lt;=46.5,2,1)), IF(INDEX(ERP資料!$G:$G, (MATCH(501, 輔助計算!$G$2:$G$801, 0)+1))&lt;=790,3,IF(INDEX(ERP資料!$G:$G, (MATCH(501, 輔助計算!$G$2:$G$801, 0)+1))&lt;=1181,2,1))))=2,TEXT(INDEX(ERP資料!$G:$G, (MATCH(501, 輔助計算!$G$2:$G$801, 0)+1)),"0.##")&amp;"+"&amp;TEXT(INDEX(ERP資料!$G:$G, (MATCH(501, 輔助計算!$G$2:$G$801, 0)+1)),"0.##"),TEXT(INDEX(ERP資料!$G:$G, (MATCH(501, 輔助計算!$G$2:$G$801, 0)+1)),"0.##")&amp;"+"&amp;TEXT(INDEX(ERP資料!$G:$G, (MATCH(501, 輔助計算!$G$2:$G$801, 0)+1)),"0.##")&amp;"+"&amp;TEXT(INDEX(ERP資料!$G:$G, (MATCH(501, 輔助計算!$G$2:$G$801, 0)+1)),"0.##"))))&amp;"-1")), ""), "")</f>
        <v/>
      </c>
      <c r="K502" s="16" t="n"/>
      <c r="L502" s="14">
        <f>IFERROR(IF(AND(IFERROR(INDEX(ERP資料!$A:$A, (MATCH(501, 輔助計算!$G$2:$G$801, 0)+1)), "")&lt;&gt;"", IFERROR(INDEX(ERP資料!$A:$A, (MATCH(501, 輔助計算!$G$2:$G$801, 0)+1)), "")&lt;&gt;IFERROR(INDEX(ERP資料!$A:$A, MATCH(500, 輔助計算!$G$2:$G$801, 0)+1), "")), INDEX(ERP資料!$B:$B, (MATCH(501, 輔助計算!$G$2:$G$801, 0)+1)), ""), "")</f>
        <v/>
      </c>
      <c r="M502" s="17" t="n"/>
    </row>
    <row r="503">
      <c r="A503" s="10">
        <f>IFERROR(IF(AND(IFERROR(INDEX(ERP資料!$A:$A, (MATCH(502, 輔助計算!$G$2:$G$801, 0)+1)), "")&lt;&gt;"", IFERROR(INDEX(ERP資料!$A:$A, (MATCH(502, 輔助計算!$G$2:$G$801, 0)+1)), "")&lt;&gt;IFERROR(INDEX(ERP資料!$A:$A, MATCH(501, 輔助計算!$G$2:$G$801, 0)+1), "")), IFERROR(INDEX(ERP資料!$A:$A, (MATCH(502, 輔助計算!$G$2:$G$801, 0)+1)), ""), ""), "")</f>
        <v/>
      </c>
      <c r="B503" s="10">
        <f>IFERROR(IF(AND(IFERROR(INDEX(ERP資料!$A:$A, (MATCH(502, 輔助計算!$G$2:$G$801, 0)+1)), "")&lt;&gt;"", IFERROR(INDEX(ERP資料!$A:$A, (MATCH(502, 輔助計算!$G$2:$G$801, 0)+1)), "")&lt;&gt;IFERROR(INDEX(ERP資料!$A:$A, MATCH(501, 輔助計算!$G$2:$G$801, 0)+1), "")), INDEX(ERP資料!$S:$S, (MATCH(502, 輔助計算!$G$2:$G$801, 0)+1)), ""), "")</f>
        <v/>
      </c>
      <c r="C503" s="19">
        <f>IFERROR(IF(AND(IFERROR(INDEX(ERP資料!$A:$A, (MATCH(502, 輔助計算!$G$2:$G$801, 0)+1)), "")&lt;&gt;"", IFERROR(INDEX(ERP資料!$A:$A, (MATCH(502, 輔助計算!$G$2:$G$801, 0)+1)), "")&lt;&gt;IFERROR(INDEX(ERP資料!$A:$A, MATCH(501, 輔助計算!$G$2:$G$801, 0)+1), "")), IFERROR(VLOOKUP(LEFT(INDEX(ERP資料!$S:$S, (MATCH(502, 輔助計算!$G$2:$G$801, 0)+1)), 4), 紙管對照表!$A:$C, 3, FALSE), ""), ""), "")</f>
        <v/>
      </c>
      <c r="D503" s="16" t="n"/>
      <c r="E503" s="10">
        <f>IFERROR(IF(INDEX(ERP資料!$H:$H, (MATCH(502, 輔助計算!$G$2:$G$801, 0)+1))="","",INDEX(ERP資料!$H:$H, (MATCH(502, 輔助計算!$G$2:$G$801, 0)+1))), "")</f>
        <v/>
      </c>
      <c r="F503" s="10">
        <f>IFERROR(IF(INDEX(ERP資料!$E:$E, (MATCH(502, 輔助計算!$G$2:$G$801, 0)+1))="","",TRIM(INDEX(ERP資料!$E:$E, (MATCH(502, 輔助計算!$G$2:$G$801, 0)+1)))), "")</f>
        <v/>
      </c>
      <c r="G503" s="10">
        <f>IFERROR(IF(INDEX(ERP資料!$F:$F, (MATCH(502, 輔助計算!$G$2:$G$801, 0)+1))="","",INDEX(ERP資料!$F:$F, (MATCH(502, 輔助計算!$G$2:$G$801, 0)+1))), "")</f>
        <v/>
      </c>
      <c r="H503" s="10">
        <f>IFERROR(IF(INDEX(ERP資料!$G:$G, (MATCH(502, 輔助計算!$G$2:$G$801, 0)+1))="","",INDEX(ERP資料!$G:$G, (MATCH(502, 輔助計算!$G$2:$G$801, 0)+1))), "")</f>
        <v/>
      </c>
      <c r="I503" s="15">
        <f>IFERROR(INDEX(輔助計算!$D:$D, (MATCH(502, 輔助計算!$G$2:$G$801, 0)+1)), "")</f>
        <v/>
      </c>
      <c r="J503" s="15">
        <f>IFERROR(IF(AND(INDEX(輔助計算!$D:$D, (MATCH(502, 輔助計算!$G$2:$G$801, 0)+1))&lt;&gt;"", INDEX(ERP資料!$G:$G, (MATCH(502, 輔助計算!$G$2:$G$801, 0)+1))&lt;&gt;""), TRIM(IF(INT(INDEX(輔助計算!$D:$D, (MATCH(502, 輔助計算!$G$2:$G$801, 0)+1))/IF(INDEX(ERP資料!$G:$G, (MATCH(502, 輔助計算!$G$2:$G$801, 0)+1))&lt;100, IF(INDEX(ERP資料!$G:$G, (MATCH(502, 輔助計算!$G$2:$G$801, 0)+1))&lt;=31,3,IF(INDEX(ERP資料!$G:$G, (MATCH(502, 輔助計算!$G$2:$G$801, 0)+1))&lt;=46.5,2,1)), IF(INDEX(ERP資料!$G:$G, (MATCH(502, 輔助計算!$G$2:$G$801, 0)+1))&lt;=790,3,IF(INDEX(ERP資料!$G:$G, (MATCH(502, 輔助計算!$G$2:$G$801, 0)+1))&lt;=1181,2,1))))&gt;0, IF(IF(INDEX(ERP資料!$G:$G, (MATCH(502, 輔助計算!$G$2:$G$801, 0)+1))&lt;100, IF(INDEX(ERP資料!$G:$G, (MATCH(502, 輔助計算!$G$2:$G$801, 0)+1))&lt;=31,3,IF(INDEX(ERP資料!$G:$G, (MATCH(502, 輔助計算!$G$2:$G$801, 0)+1))&lt;=46.5,2,1)), IF(INDEX(ERP資料!$G:$G, (MATCH(502, 輔助計算!$G$2:$G$801, 0)+1))&lt;=790,3,IF(INDEX(ERP資料!$G:$G, (MATCH(502, 輔助計算!$G$2:$G$801, 0)+1))&lt;=1181,2,1)))=1,TEXT(INDEX(ERP資料!$G:$G, (MATCH(502, 輔助計算!$G$2:$G$801, 0)+1)),"0.##"),IF(IF(INDEX(ERP資料!$G:$G, (MATCH(502, 輔助計算!$G$2:$G$801, 0)+1))&lt;100, IF(INDEX(ERP資料!$G:$G, (MATCH(502, 輔助計算!$G$2:$G$801, 0)+1))&lt;=31,3,IF(INDEX(ERP資料!$G:$G, (MATCH(502, 輔助計算!$G$2:$G$801, 0)+1))&lt;=46.5,2,1)), IF(INDEX(ERP資料!$G:$G, (MATCH(502, 輔助計算!$G$2:$G$801, 0)+1))&lt;=790,3,IF(INDEX(ERP資料!$G:$G, (MATCH(502, 輔助計算!$G$2:$G$801, 0)+1))&lt;=1181,2,1)))=2,TEXT(INDEX(ERP資料!$G:$G, (MATCH(502, 輔助計算!$G$2:$G$801, 0)+1)),"0.##")&amp;"+"&amp;TEXT(INDEX(ERP資料!$G:$G, (MATCH(502, 輔助計算!$G$2:$G$801, 0)+1)),"0.##"),TEXT(INDEX(ERP資料!$G:$G, (MATCH(502, 輔助計算!$G$2:$G$801, 0)+1)),"0.##")&amp;"+"&amp;TEXT(INDEX(ERP資料!$G:$G, (MATCH(502, 輔助計算!$G$2:$G$801, 0)+1)),"0.##")&amp;"+"&amp;TEXT(INDEX(ERP資料!$G:$G, (MATCH(502, 輔助計算!$G$2:$G$801, 0)+1)),"0.##")))&amp;"-"&amp;INT(INDEX(輔助計算!$D:$D, (MATCH(502, 輔助計算!$G$2:$G$801, 0)+1))/IF(INDEX(ERP資料!$G:$G, (MATCH(502, 輔助計算!$G$2:$G$801, 0)+1))&lt;100, IF(INDEX(ERP資料!$G:$G, (MATCH(502, 輔助計算!$G$2:$G$801, 0)+1))&lt;=31,3,IF(INDEX(ERP資料!$G:$G, (MATCH(502, 輔助計算!$G$2:$G$801, 0)+1))&lt;=46.5,2,1)), IF(INDEX(ERP資料!$G:$G, (MATCH(502, 輔助計算!$G$2:$G$801, 0)+1))&lt;=790,3,IF(INDEX(ERP資料!$G:$G, (MATCH(502, 輔助計算!$G$2:$G$801, 0)+1))&lt;=1181,2,1)))), "")&amp;IF(AND(IF(INT(INDEX(輔助計算!$D:$D, (MATCH(502, 輔助計算!$G$2:$G$801, 0)+1))/IF(INDEX(ERP資料!$G:$G, (MATCH(502, 輔助計算!$G$2:$G$801, 0)+1))&lt;100, IF(INDEX(ERP資料!$G:$G, (MATCH(502, 輔助計算!$G$2:$G$801, 0)+1))&lt;=31,3,IF(INDEX(ERP資料!$G:$G, (MATCH(502, 輔助計算!$G$2:$G$801, 0)+1))&lt;=46.5,2,1)), IF(INDEX(ERP資料!$G:$G, (MATCH(502, 輔助計算!$G$2:$G$801, 0)+1))&lt;=790,3,IF(INDEX(ERP資料!$G:$G, (MATCH(502, 輔助計算!$G$2:$G$801, 0)+1))&lt;=1181,2,1))))&gt;0, IF(IF(INDEX(ERP資料!$G:$G, (MATCH(502, 輔助計算!$G$2:$G$801, 0)+1))&lt;100, IF(INDEX(ERP資料!$G:$G, (MATCH(502, 輔助計算!$G$2:$G$801, 0)+1))&lt;=31,3,IF(INDEX(ERP資料!$G:$G, (MATCH(502, 輔助計算!$G$2:$G$801, 0)+1))&lt;=46.5,2,1)), IF(INDEX(ERP資料!$G:$G, (MATCH(502, 輔助計算!$G$2:$G$801, 0)+1))&lt;=790,3,IF(INDEX(ERP資料!$G:$G, (MATCH(502, 輔助計算!$G$2:$G$801, 0)+1))&lt;=1181,2,1)))=1,TEXT(INDEX(ERP資料!$G:$G, (MATCH(502, 輔助計算!$G$2:$G$801, 0)+1)),"0.##"),IF(IF(INDEX(ERP資料!$G:$G, (MATCH(502, 輔助計算!$G$2:$G$801, 0)+1))&lt;100, IF(INDEX(ERP資料!$G:$G, (MATCH(502, 輔助計算!$G$2:$G$801, 0)+1))&lt;=31,3,IF(INDEX(ERP資料!$G:$G, (MATCH(502, 輔助計算!$G$2:$G$801, 0)+1))&lt;=46.5,2,1)), IF(INDEX(ERP資料!$G:$G, (MATCH(502, 輔助計算!$G$2:$G$801, 0)+1))&lt;=790,3,IF(INDEX(ERP資料!$G:$G, (MATCH(502, 輔助計算!$G$2:$G$801, 0)+1))&lt;=1181,2,1)))=2,TEXT(INDEX(ERP資料!$G:$G, (MATCH(502, 輔助計算!$G$2:$G$801, 0)+1)),"0.##")&amp;"+"&amp;TEXT(INDEX(ERP資料!$G:$G, (MATCH(502, 輔助計算!$G$2:$G$801, 0)+1)),"0.##"),TEXT(INDEX(ERP資料!$G:$G, (MATCH(502, 輔助計算!$G$2:$G$801, 0)+1)),"0.##")&amp;"+"&amp;TEXT(INDEX(ERP資料!$G:$G, (MATCH(502, 輔助計算!$G$2:$G$801, 0)+1)),"0.##")&amp;"+"&amp;TEXT(INDEX(ERP資料!$G:$G, (MATCH(502, 輔助計算!$G$2:$G$801, 0)+1)),"0.##")))&amp;"-"&amp;INT(INDEX(輔助計算!$D:$D, (MATCH(502, 輔助計算!$G$2:$G$801, 0)+1))/IF(INDEX(ERP資料!$G:$G, (MATCH(502, 輔助計算!$G$2:$G$801, 0)+1))&lt;100, IF(INDEX(ERP資料!$G:$G, (MATCH(502, 輔助計算!$G$2:$G$801, 0)+1))&lt;=31,3,IF(INDEX(ERP資料!$G:$G, (MATCH(502, 輔助計算!$G$2:$G$801, 0)+1))&lt;=46.5,2,1)), IF(INDEX(ERP資料!$G:$G, (MATCH(502, 輔助計算!$G$2:$G$801, 0)+1))&lt;=790,3,IF(INDEX(ERP資料!$G:$G, (MATCH(502, 輔助計算!$G$2:$G$801, 0)+1))&lt;=1181,2,1)))), "")&lt;&gt;"",IF(MOD(INDEX(輔助計算!$D:$D, (MATCH(502, 輔助計算!$G$2:$G$801, 0)+1)),IF(INDEX(ERP資料!$G:$G, (MATCH(502, 輔助計算!$G$2:$G$801, 0)+1))&lt;100, IF(INDEX(ERP資料!$G:$G, (MATCH(502, 輔助計算!$G$2:$G$801, 0)+1))&lt;=31,3,IF(INDEX(ERP資料!$G:$G, (MATCH(502, 輔助計算!$G$2:$G$801, 0)+1))&lt;=46.5,2,1)), IF(INDEX(ERP資料!$G:$G, (MATCH(502, 輔助計算!$G$2:$G$801, 0)+1))&lt;=790,3,IF(INDEX(ERP資料!$G:$G, (MATCH(502, 輔助計算!$G$2:$G$801, 0)+1))&lt;=1181,2,1))))=0,"",IF(MOD(INDEX(輔助計算!$D:$D, (MATCH(502, 輔助計算!$G$2:$G$801, 0)+1)),IF(INDEX(ERP資料!$G:$G, (MATCH(502, 輔助計算!$G$2:$G$801, 0)+1))&lt;100, IF(INDEX(ERP資料!$G:$G, (MATCH(502, 輔助計算!$G$2:$G$801, 0)+1))&lt;=31,3,IF(INDEX(ERP資料!$G:$G, (MATCH(502, 輔助計算!$G$2:$G$801, 0)+1))&lt;=46.5,2,1)), IF(INDEX(ERP資料!$G:$G, (MATCH(502, 輔助計算!$G$2:$G$801, 0)+1))&lt;=790,3,IF(INDEX(ERP資料!$G:$G, (MATCH(502, 輔助計算!$G$2:$G$801, 0)+1))&lt;=1181,2,1))))=0,"",IF(MOD(INDEX(輔助計算!$D:$D, (MATCH(502, 輔助計算!$G$2:$G$801, 0)+1)),IF(INDEX(ERP資料!$G:$G, (MATCH(502, 輔助計算!$G$2:$G$801, 0)+1))&lt;100, IF(INDEX(ERP資料!$G:$G, (MATCH(502, 輔助計算!$G$2:$G$801, 0)+1))&lt;=31,3,IF(INDEX(ERP資料!$G:$G, (MATCH(502, 輔助計算!$G$2:$G$801, 0)+1))&lt;=46.5,2,1)), IF(INDEX(ERP資料!$G:$G, (MATCH(502, 輔助計算!$G$2:$G$801, 0)+1))&lt;=790,3,IF(INDEX(ERP資料!$G:$G, (MATCH(502, 輔助計算!$G$2:$G$801, 0)+1))&lt;=1181,2,1))))=1,TEXT(INDEX(ERP資料!$G:$G, (MATCH(502, 輔助計算!$G$2:$G$801, 0)+1)),"0.##"),IF(MOD(INDEX(輔助計算!$D:$D, (MATCH(502, 輔助計算!$G$2:$G$801, 0)+1)),IF(INDEX(ERP資料!$G:$G, (MATCH(502, 輔助計算!$G$2:$G$801, 0)+1))&lt;100, IF(INDEX(ERP資料!$G:$G, (MATCH(502, 輔助計算!$G$2:$G$801, 0)+1))&lt;=31,3,IF(INDEX(ERP資料!$G:$G, (MATCH(502, 輔助計算!$G$2:$G$801, 0)+1))&lt;=46.5,2,1)), IF(INDEX(ERP資料!$G:$G, (MATCH(502, 輔助計算!$G$2:$G$801, 0)+1))&lt;=790,3,IF(INDEX(ERP資料!$G:$G, (MATCH(502, 輔助計算!$G$2:$G$801, 0)+1))&lt;=1181,2,1))))=2,TEXT(INDEX(ERP資料!$G:$G, (MATCH(502, 輔助計算!$G$2:$G$801, 0)+1)),"0.##")&amp;"+"&amp;TEXT(INDEX(ERP資料!$G:$G, (MATCH(502, 輔助計算!$G$2:$G$801, 0)+1)),"0.##"),TEXT(INDEX(ERP資料!$G:$G, (MATCH(502, 輔助計算!$G$2:$G$801, 0)+1)),"0.##")&amp;"+"&amp;TEXT(INDEX(ERP資料!$G:$G, (MATCH(502, 輔助計算!$G$2:$G$801, 0)+1)),"0.##")&amp;"+"&amp;TEXT(INDEX(ERP資料!$G:$G, (MATCH(502, 輔助計算!$G$2:$G$801, 0)+1)),"0.##"))))&amp;"-1")&lt;&gt;""),"  ","")&amp;IF(MOD(INDEX(輔助計算!$D:$D, (MATCH(502, 輔助計算!$G$2:$G$801, 0)+1)),IF(INDEX(ERP資料!$G:$G, (MATCH(502, 輔助計算!$G$2:$G$801, 0)+1))&lt;100, IF(INDEX(ERP資料!$G:$G, (MATCH(502, 輔助計算!$G$2:$G$801, 0)+1))&lt;=31,3,IF(INDEX(ERP資料!$G:$G, (MATCH(502, 輔助計算!$G$2:$G$801, 0)+1))&lt;=46.5,2,1)), IF(INDEX(ERP資料!$G:$G, (MATCH(502, 輔助計算!$G$2:$G$801, 0)+1))&lt;=790,3,IF(INDEX(ERP資料!$G:$G, (MATCH(502, 輔助計算!$G$2:$G$801, 0)+1))&lt;=1181,2,1))))=0,"",IF(MOD(INDEX(輔助計算!$D:$D, (MATCH(502, 輔助計算!$G$2:$G$801, 0)+1)),IF(INDEX(ERP資料!$G:$G, (MATCH(502, 輔助計算!$G$2:$G$801, 0)+1))&lt;100, IF(INDEX(ERP資料!$G:$G, (MATCH(502, 輔助計算!$G$2:$G$801, 0)+1))&lt;=31,3,IF(INDEX(ERP資料!$G:$G, (MATCH(502, 輔助計算!$G$2:$G$801, 0)+1))&lt;=46.5,2,1)), IF(INDEX(ERP資料!$G:$G, (MATCH(502, 輔助計算!$G$2:$G$801, 0)+1))&lt;=790,3,IF(INDEX(ERP資料!$G:$G, (MATCH(502, 輔助計算!$G$2:$G$801, 0)+1))&lt;=1181,2,1))))=0,"",IF(MOD(INDEX(輔助計算!$D:$D, (MATCH(502, 輔助計算!$G$2:$G$801, 0)+1)),IF(INDEX(ERP資料!$G:$G, (MATCH(502, 輔助計算!$G$2:$G$801, 0)+1))&lt;100, IF(INDEX(ERP資料!$G:$G, (MATCH(502, 輔助計算!$G$2:$G$801, 0)+1))&lt;=31,3,IF(INDEX(ERP資料!$G:$G, (MATCH(502, 輔助計算!$G$2:$G$801, 0)+1))&lt;=46.5,2,1)), IF(INDEX(ERP資料!$G:$G, (MATCH(502, 輔助計算!$G$2:$G$801, 0)+1))&lt;=790,3,IF(INDEX(ERP資料!$G:$G, (MATCH(502, 輔助計算!$G$2:$G$801, 0)+1))&lt;=1181,2,1))))=1,TEXT(INDEX(ERP資料!$G:$G, (MATCH(502, 輔助計算!$G$2:$G$801, 0)+1)),"0.##"),IF(MOD(INDEX(輔助計算!$D:$D, (MATCH(502, 輔助計算!$G$2:$G$801, 0)+1)),IF(INDEX(ERP資料!$G:$G, (MATCH(502, 輔助計算!$G$2:$G$801, 0)+1))&lt;100, IF(INDEX(ERP資料!$G:$G, (MATCH(502, 輔助計算!$G$2:$G$801, 0)+1))&lt;=31,3,IF(INDEX(ERP資料!$G:$G, (MATCH(502, 輔助計算!$G$2:$G$801, 0)+1))&lt;=46.5,2,1)), IF(INDEX(ERP資料!$G:$G, (MATCH(502, 輔助計算!$G$2:$G$801, 0)+1))&lt;=790,3,IF(INDEX(ERP資料!$G:$G, (MATCH(502, 輔助計算!$G$2:$G$801, 0)+1))&lt;=1181,2,1))))=2,TEXT(INDEX(ERP資料!$G:$G, (MATCH(502, 輔助計算!$G$2:$G$801, 0)+1)),"0.##")&amp;"+"&amp;TEXT(INDEX(ERP資料!$G:$G, (MATCH(502, 輔助計算!$G$2:$G$801, 0)+1)),"0.##"),TEXT(INDEX(ERP資料!$G:$G, (MATCH(502, 輔助計算!$G$2:$G$801, 0)+1)),"0.##")&amp;"+"&amp;TEXT(INDEX(ERP資料!$G:$G, (MATCH(502, 輔助計算!$G$2:$G$801, 0)+1)),"0.##")&amp;"+"&amp;TEXT(INDEX(ERP資料!$G:$G, (MATCH(502, 輔助計算!$G$2:$G$801, 0)+1)),"0.##"))))&amp;"-1")), ""), "")</f>
        <v/>
      </c>
      <c r="K503" s="16" t="n"/>
      <c r="L503" s="14">
        <f>IFERROR(IF(AND(IFERROR(INDEX(ERP資料!$A:$A, (MATCH(502, 輔助計算!$G$2:$G$801, 0)+1)), "")&lt;&gt;"", IFERROR(INDEX(ERP資料!$A:$A, (MATCH(502, 輔助計算!$G$2:$G$801, 0)+1)), "")&lt;&gt;IFERROR(INDEX(ERP資料!$A:$A, MATCH(501, 輔助計算!$G$2:$G$801, 0)+1), "")), INDEX(ERP資料!$B:$B, (MATCH(502, 輔助計算!$G$2:$G$801, 0)+1)), ""), "")</f>
        <v/>
      </c>
      <c r="M503" s="17" t="n"/>
    </row>
    <row r="504">
      <c r="A504" s="10">
        <f>IFERROR(IF(AND(IFERROR(INDEX(ERP資料!$A:$A, (MATCH(503, 輔助計算!$G$2:$G$801, 0)+1)), "")&lt;&gt;"", IFERROR(INDEX(ERP資料!$A:$A, (MATCH(503, 輔助計算!$G$2:$G$801, 0)+1)), "")&lt;&gt;IFERROR(INDEX(ERP資料!$A:$A, MATCH(502, 輔助計算!$G$2:$G$801, 0)+1), "")), IFERROR(INDEX(ERP資料!$A:$A, (MATCH(503, 輔助計算!$G$2:$G$801, 0)+1)), ""), ""), "")</f>
        <v/>
      </c>
      <c r="B504" s="10">
        <f>IFERROR(IF(AND(IFERROR(INDEX(ERP資料!$A:$A, (MATCH(503, 輔助計算!$G$2:$G$801, 0)+1)), "")&lt;&gt;"", IFERROR(INDEX(ERP資料!$A:$A, (MATCH(503, 輔助計算!$G$2:$G$801, 0)+1)), "")&lt;&gt;IFERROR(INDEX(ERP資料!$A:$A, MATCH(502, 輔助計算!$G$2:$G$801, 0)+1), "")), INDEX(ERP資料!$S:$S, (MATCH(503, 輔助計算!$G$2:$G$801, 0)+1)), ""), "")</f>
        <v/>
      </c>
      <c r="C504" s="19">
        <f>IFERROR(IF(AND(IFERROR(INDEX(ERP資料!$A:$A, (MATCH(503, 輔助計算!$G$2:$G$801, 0)+1)), "")&lt;&gt;"", IFERROR(INDEX(ERP資料!$A:$A, (MATCH(503, 輔助計算!$G$2:$G$801, 0)+1)), "")&lt;&gt;IFERROR(INDEX(ERP資料!$A:$A, MATCH(502, 輔助計算!$G$2:$G$801, 0)+1), "")), IFERROR(VLOOKUP(LEFT(INDEX(ERP資料!$S:$S, (MATCH(503, 輔助計算!$G$2:$G$801, 0)+1)), 4), 紙管對照表!$A:$C, 3, FALSE), ""), ""), "")</f>
        <v/>
      </c>
      <c r="D504" s="16" t="n"/>
      <c r="E504" s="10">
        <f>IFERROR(IF(INDEX(ERP資料!$H:$H, (MATCH(503, 輔助計算!$G$2:$G$801, 0)+1))="","",INDEX(ERP資料!$H:$H, (MATCH(503, 輔助計算!$G$2:$G$801, 0)+1))), "")</f>
        <v/>
      </c>
      <c r="F504" s="10">
        <f>IFERROR(IF(INDEX(ERP資料!$E:$E, (MATCH(503, 輔助計算!$G$2:$G$801, 0)+1))="","",TRIM(INDEX(ERP資料!$E:$E, (MATCH(503, 輔助計算!$G$2:$G$801, 0)+1)))), "")</f>
        <v/>
      </c>
      <c r="G504" s="10">
        <f>IFERROR(IF(INDEX(ERP資料!$F:$F, (MATCH(503, 輔助計算!$G$2:$G$801, 0)+1))="","",INDEX(ERP資料!$F:$F, (MATCH(503, 輔助計算!$G$2:$G$801, 0)+1))), "")</f>
        <v/>
      </c>
      <c r="H504" s="10">
        <f>IFERROR(IF(INDEX(ERP資料!$G:$G, (MATCH(503, 輔助計算!$G$2:$G$801, 0)+1))="","",INDEX(ERP資料!$G:$G, (MATCH(503, 輔助計算!$G$2:$G$801, 0)+1))), "")</f>
        <v/>
      </c>
      <c r="I504" s="15">
        <f>IFERROR(INDEX(輔助計算!$D:$D, (MATCH(503, 輔助計算!$G$2:$G$801, 0)+1)), "")</f>
        <v/>
      </c>
      <c r="J504" s="15">
        <f>IFERROR(IF(AND(INDEX(輔助計算!$D:$D, (MATCH(503, 輔助計算!$G$2:$G$801, 0)+1))&lt;&gt;"", INDEX(ERP資料!$G:$G, (MATCH(503, 輔助計算!$G$2:$G$801, 0)+1))&lt;&gt;""), TRIM(IF(INT(INDEX(輔助計算!$D:$D, (MATCH(503, 輔助計算!$G$2:$G$801, 0)+1))/IF(INDEX(ERP資料!$G:$G, (MATCH(503, 輔助計算!$G$2:$G$801, 0)+1))&lt;100, IF(INDEX(ERP資料!$G:$G, (MATCH(503, 輔助計算!$G$2:$G$801, 0)+1))&lt;=31,3,IF(INDEX(ERP資料!$G:$G, (MATCH(503, 輔助計算!$G$2:$G$801, 0)+1))&lt;=46.5,2,1)), IF(INDEX(ERP資料!$G:$G, (MATCH(503, 輔助計算!$G$2:$G$801, 0)+1))&lt;=790,3,IF(INDEX(ERP資料!$G:$G, (MATCH(503, 輔助計算!$G$2:$G$801, 0)+1))&lt;=1181,2,1))))&gt;0, IF(IF(INDEX(ERP資料!$G:$G, (MATCH(503, 輔助計算!$G$2:$G$801, 0)+1))&lt;100, IF(INDEX(ERP資料!$G:$G, (MATCH(503, 輔助計算!$G$2:$G$801, 0)+1))&lt;=31,3,IF(INDEX(ERP資料!$G:$G, (MATCH(503, 輔助計算!$G$2:$G$801, 0)+1))&lt;=46.5,2,1)), IF(INDEX(ERP資料!$G:$G, (MATCH(503, 輔助計算!$G$2:$G$801, 0)+1))&lt;=790,3,IF(INDEX(ERP資料!$G:$G, (MATCH(503, 輔助計算!$G$2:$G$801, 0)+1))&lt;=1181,2,1)))=1,TEXT(INDEX(ERP資料!$G:$G, (MATCH(503, 輔助計算!$G$2:$G$801, 0)+1)),"0.##"),IF(IF(INDEX(ERP資料!$G:$G, (MATCH(503, 輔助計算!$G$2:$G$801, 0)+1))&lt;100, IF(INDEX(ERP資料!$G:$G, (MATCH(503, 輔助計算!$G$2:$G$801, 0)+1))&lt;=31,3,IF(INDEX(ERP資料!$G:$G, (MATCH(503, 輔助計算!$G$2:$G$801, 0)+1))&lt;=46.5,2,1)), IF(INDEX(ERP資料!$G:$G, (MATCH(503, 輔助計算!$G$2:$G$801, 0)+1))&lt;=790,3,IF(INDEX(ERP資料!$G:$G, (MATCH(503, 輔助計算!$G$2:$G$801, 0)+1))&lt;=1181,2,1)))=2,TEXT(INDEX(ERP資料!$G:$G, (MATCH(503, 輔助計算!$G$2:$G$801, 0)+1)),"0.##")&amp;"+"&amp;TEXT(INDEX(ERP資料!$G:$G, (MATCH(503, 輔助計算!$G$2:$G$801, 0)+1)),"0.##"),TEXT(INDEX(ERP資料!$G:$G, (MATCH(503, 輔助計算!$G$2:$G$801, 0)+1)),"0.##")&amp;"+"&amp;TEXT(INDEX(ERP資料!$G:$G, (MATCH(503, 輔助計算!$G$2:$G$801, 0)+1)),"0.##")&amp;"+"&amp;TEXT(INDEX(ERP資料!$G:$G, (MATCH(503, 輔助計算!$G$2:$G$801, 0)+1)),"0.##")))&amp;"-"&amp;INT(INDEX(輔助計算!$D:$D, (MATCH(503, 輔助計算!$G$2:$G$801, 0)+1))/IF(INDEX(ERP資料!$G:$G, (MATCH(503, 輔助計算!$G$2:$G$801, 0)+1))&lt;100, IF(INDEX(ERP資料!$G:$G, (MATCH(503, 輔助計算!$G$2:$G$801, 0)+1))&lt;=31,3,IF(INDEX(ERP資料!$G:$G, (MATCH(503, 輔助計算!$G$2:$G$801, 0)+1))&lt;=46.5,2,1)), IF(INDEX(ERP資料!$G:$G, (MATCH(503, 輔助計算!$G$2:$G$801, 0)+1))&lt;=790,3,IF(INDEX(ERP資料!$G:$G, (MATCH(503, 輔助計算!$G$2:$G$801, 0)+1))&lt;=1181,2,1)))), "")&amp;IF(AND(IF(INT(INDEX(輔助計算!$D:$D, (MATCH(503, 輔助計算!$G$2:$G$801, 0)+1))/IF(INDEX(ERP資料!$G:$G, (MATCH(503, 輔助計算!$G$2:$G$801, 0)+1))&lt;100, IF(INDEX(ERP資料!$G:$G, (MATCH(503, 輔助計算!$G$2:$G$801, 0)+1))&lt;=31,3,IF(INDEX(ERP資料!$G:$G, (MATCH(503, 輔助計算!$G$2:$G$801, 0)+1))&lt;=46.5,2,1)), IF(INDEX(ERP資料!$G:$G, (MATCH(503, 輔助計算!$G$2:$G$801, 0)+1))&lt;=790,3,IF(INDEX(ERP資料!$G:$G, (MATCH(503, 輔助計算!$G$2:$G$801, 0)+1))&lt;=1181,2,1))))&gt;0, IF(IF(INDEX(ERP資料!$G:$G, (MATCH(503, 輔助計算!$G$2:$G$801, 0)+1))&lt;100, IF(INDEX(ERP資料!$G:$G, (MATCH(503, 輔助計算!$G$2:$G$801, 0)+1))&lt;=31,3,IF(INDEX(ERP資料!$G:$G, (MATCH(503, 輔助計算!$G$2:$G$801, 0)+1))&lt;=46.5,2,1)), IF(INDEX(ERP資料!$G:$G, (MATCH(503, 輔助計算!$G$2:$G$801, 0)+1))&lt;=790,3,IF(INDEX(ERP資料!$G:$G, (MATCH(503, 輔助計算!$G$2:$G$801, 0)+1))&lt;=1181,2,1)))=1,TEXT(INDEX(ERP資料!$G:$G, (MATCH(503, 輔助計算!$G$2:$G$801, 0)+1)),"0.##"),IF(IF(INDEX(ERP資料!$G:$G, (MATCH(503, 輔助計算!$G$2:$G$801, 0)+1))&lt;100, IF(INDEX(ERP資料!$G:$G, (MATCH(503, 輔助計算!$G$2:$G$801, 0)+1))&lt;=31,3,IF(INDEX(ERP資料!$G:$G, (MATCH(503, 輔助計算!$G$2:$G$801, 0)+1))&lt;=46.5,2,1)), IF(INDEX(ERP資料!$G:$G, (MATCH(503, 輔助計算!$G$2:$G$801, 0)+1))&lt;=790,3,IF(INDEX(ERP資料!$G:$G, (MATCH(503, 輔助計算!$G$2:$G$801, 0)+1))&lt;=1181,2,1)))=2,TEXT(INDEX(ERP資料!$G:$G, (MATCH(503, 輔助計算!$G$2:$G$801, 0)+1)),"0.##")&amp;"+"&amp;TEXT(INDEX(ERP資料!$G:$G, (MATCH(503, 輔助計算!$G$2:$G$801, 0)+1)),"0.##"),TEXT(INDEX(ERP資料!$G:$G, (MATCH(503, 輔助計算!$G$2:$G$801, 0)+1)),"0.##")&amp;"+"&amp;TEXT(INDEX(ERP資料!$G:$G, (MATCH(503, 輔助計算!$G$2:$G$801, 0)+1)),"0.##")&amp;"+"&amp;TEXT(INDEX(ERP資料!$G:$G, (MATCH(503, 輔助計算!$G$2:$G$801, 0)+1)),"0.##")))&amp;"-"&amp;INT(INDEX(輔助計算!$D:$D, (MATCH(503, 輔助計算!$G$2:$G$801, 0)+1))/IF(INDEX(ERP資料!$G:$G, (MATCH(503, 輔助計算!$G$2:$G$801, 0)+1))&lt;100, IF(INDEX(ERP資料!$G:$G, (MATCH(503, 輔助計算!$G$2:$G$801, 0)+1))&lt;=31,3,IF(INDEX(ERP資料!$G:$G, (MATCH(503, 輔助計算!$G$2:$G$801, 0)+1))&lt;=46.5,2,1)), IF(INDEX(ERP資料!$G:$G, (MATCH(503, 輔助計算!$G$2:$G$801, 0)+1))&lt;=790,3,IF(INDEX(ERP資料!$G:$G, (MATCH(503, 輔助計算!$G$2:$G$801, 0)+1))&lt;=1181,2,1)))), "")&lt;&gt;"",IF(MOD(INDEX(輔助計算!$D:$D, (MATCH(503, 輔助計算!$G$2:$G$801, 0)+1)),IF(INDEX(ERP資料!$G:$G, (MATCH(503, 輔助計算!$G$2:$G$801, 0)+1))&lt;100, IF(INDEX(ERP資料!$G:$G, (MATCH(503, 輔助計算!$G$2:$G$801, 0)+1))&lt;=31,3,IF(INDEX(ERP資料!$G:$G, (MATCH(503, 輔助計算!$G$2:$G$801, 0)+1))&lt;=46.5,2,1)), IF(INDEX(ERP資料!$G:$G, (MATCH(503, 輔助計算!$G$2:$G$801, 0)+1))&lt;=790,3,IF(INDEX(ERP資料!$G:$G, (MATCH(503, 輔助計算!$G$2:$G$801, 0)+1))&lt;=1181,2,1))))=0,"",IF(MOD(INDEX(輔助計算!$D:$D, (MATCH(503, 輔助計算!$G$2:$G$801, 0)+1)),IF(INDEX(ERP資料!$G:$G, (MATCH(503, 輔助計算!$G$2:$G$801, 0)+1))&lt;100, IF(INDEX(ERP資料!$G:$G, (MATCH(503, 輔助計算!$G$2:$G$801, 0)+1))&lt;=31,3,IF(INDEX(ERP資料!$G:$G, (MATCH(503, 輔助計算!$G$2:$G$801, 0)+1))&lt;=46.5,2,1)), IF(INDEX(ERP資料!$G:$G, (MATCH(503, 輔助計算!$G$2:$G$801, 0)+1))&lt;=790,3,IF(INDEX(ERP資料!$G:$G, (MATCH(503, 輔助計算!$G$2:$G$801, 0)+1))&lt;=1181,2,1))))=0,"",IF(MOD(INDEX(輔助計算!$D:$D, (MATCH(503, 輔助計算!$G$2:$G$801, 0)+1)),IF(INDEX(ERP資料!$G:$G, (MATCH(503, 輔助計算!$G$2:$G$801, 0)+1))&lt;100, IF(INDEX(ERP資料!$G:$G, (MATCH(503, 輔助計算!$G$2:$G$801, 0)+1))&lt;=31,3,IF(INDEX(ERP資料!$G:$G, (MATCH(503, 輔助計算!$G$2:$G$801, 0)+1))&lt;=46.5,2,1)), IF(INDEX(ERP資料!$G:$G, (MATCH(503, 輔助計算!$G$2:$G$801, 0)+1))&lt;=790,3,IF(INDEX(ERP資料!$G:$G, (MATCH(503, 輔助計算!$G$2:$G$801, 0)+1))&lt;=1181,2,1))))=1,TEXT(INDEX(ERP資料!$G:$G, (MATCH(503, 輔助計算!$G$2:$G$801, 0)+1)),"0.##"),IF(MOD(INDEX(輔助計算!$D:$D, (MATCH(503, 輔助計算!$G$2:$G$801, 0)+1)),IF(INDEX(ERP資料!$G:$G, (MATCH(503, 輔助計算!$G$2:$G$801, 0)+1))&lt;100, IF(INDEX(ERP資料!$G:$G, (MATCH(503, 輔助計算!$G$2:$G$801, 0)+1))&lt;=31,3,IF(INDEX(ERP資料!$G:$G, (MATCH(503, 輔助計算!$G$2:$G$801, 0)+1))&lt;=46.5,2,1)), IF(INDEX(ERP資料!$G:$G, (MATCH(503, 輔助計算!$G$2:$G$801, 0)+1))&lt;=790,3,IF(INDEX(ERP資料!$G:$G, (MATCH(503, 輔助計算!$G$2:$G$801, 0)+1))&lt;=1181,2,1))))=2,TEXT(INDEX(ERP資料!$G:$G, (MATCH(503, 輔助計算!$G$2:$G$801, 0)+1)),"0.##")&amp;"+"&amp;TEXT(INDEX(ERP資料!$G:$G, (MATCH(503, 輔助計算!$G$2:$G$801, 0)+1)),"0.##"),TEXT(INDEX(ERP資料!$G:$G, (MATCH(503, 輔助計算!$G$2:$G$801, 0)+1)),"0.##")&amp;"+"&amp;TEXT(INDEX(ERP資料!$G:$G, (MATCH(503, 輔助計算!$G$2:$G$801, 0)+1)),"0.##")&amp;"+"&amp;TEXT(INDEX(ERP資料!$G:$G, (MATCH(503, 輔助計算!$G$2:$G$801, 0)+1)),"0.##"))))&amp;"-1")&lt;&gt;""),"  ","")&amp;IF(MOD(INDEX(輔助計算!$D:$D, (MATCH(503, 輔助計算!$G$2:$G$801, 0)+1)),IF(INDEX(ERP資料!$G:$G, (MATCH(503, 輔助計算!$G$2:$G$801, 0)+1))&lt;100, IF(INDEX(ERP資料!$G:$G, (MATCH(503, 輔助計算!$G$2:$G$801, 0)+1))&lt;=31,3,IF(INDEX(ERP資料!$G:$G, (MATCH(503, 輔助計算!$G$2:$G$801, 0)+1))&lt;=46.5,2,1)), IF(INDEX(ERP資料!$G:$G, (MATCH(503, 輔助計算!$G$2:$G$801, 0)+1))&lt;=790,3,IF(INDEX(ERP資料!$G:$G, (MATCH(503, 輔助計算!$G$2:$G$801, 0)+1))&lt;=1181,2,1))))=0,"",IF(MOD(INDEX(輔助計算!$D:$D, (MATCH(503, 輔助計算!$G$2:$G$801, 0)+1)),IF(INDEX(ERP資料!$G:$G, (MATCH(503, 輔助計算!$G$2:$G$801, 0)+1))&lt;100, IF(INDEX(ERP資料!$G:$G, (MATCH(503, 輔助計算!$G$2:$G$801, 0)+1))&lt;=31,3,IF(INDEX(ERP資料!$G:$G, (MATCH(503, 輔助計算!$G$2:$G$801, 0)+1))&lt;=46.5,2,1)), IF(INDEX(ERP資料!$G:$G, (MATCH(503, 輔助計算!$G$2:$G$801, 0)+1))&lt;=790,3,IF(INDEX(ERP資料!$G:$G, (MATCH(503, 輔助計算!$G$2:$G$801, 0)+1))&lt;=1181,2,1))))=0,"",IF(MOD(INDEX(輔助計算!$D:$D, (MATCH(503, 輔助計算!$G$2:$G$801, 0)+1)),IF(INDEX(ERP資料!$G:$G, (MATCH(503, 輔助計算!$G$2:$G$801, 0)+1))&lt;100, IF(INDEX(ERP資料!$G:$G, (MATCH(503, 輔助計算!$G$2:$G$801, 0)+1))&lt;=31,3,IF(INDEX(ERP資料!$G:$G, (MATCH(503, 輔助計算!$G$2:$G$801, 0)+1))&lt;=46.5,2,1)), IF(INDEX(ERP資料!$G:$G, (MATCH(503, 輔助計算!$G$2:$G$801, 0)+1))&lt;=790,3,IF(INDEX(ERP資料!$G:$G, (MATCH(503, 輔助計算!$G$2:$G$801, 0)+1))&lt;=1181,2,1))))=1,TEXT(INDEX(ERP資料!$G:$G, (MATCH(503, 輔助計算!$G$2:$G$801, 0)+1)),"0.##"),IF(MOD(INDEX(輔助計算!$D:$D, (MATCH(503, 輔助計算!$G$2:$G$801, 0)+1)),IF(INDEX(ERP資料!$G:$G, (MATCH(503, 輔助計算!$G$2:$G$801, 0)+1))&lt;100, IF(INDEX(ERP資料!$G:$G, (MATCH(503, 輔助計算!$G$2:$G$801, 0)+1))&lt;=31,3,IF(INDEX(ERP資料!$G:$G, (MATCH(503, 輔助計算!$G$2:$G$801, 0)+1))&lt;=46.5,2,1)), IF(INDEX(ERP資料!$G:$G, (MATCH(503, 輔助計算!$G$2:$G$801, 0)+1))&lt;=790,3,IF(INDEX(ERP資料!$G:$G, (MATCH(503, 輔助計算!$G$2:$G$801, 0)+1))&lt;=1181,2,1))))=2,TEXT(INDEX(ERP資料!$G:$G, (MATCH(503, 輔助計算!$G$2:$G$801, 0)+1)),"0.##")&amp;"+"&amp;TEXT(INDEX(ERP資料!$G:$G, (MATCH(503, 輔助計算!$G$2:$G$801, 0)+1)),"0.##"),TEXT(INDEX(ERP資料!$G:$G, (MATCH(503, 輔助計算!$G$2:$G$801, 0)+1)),"0.##")&amp;"+"&amp;TEXT(INDEX(ERP資料!$G:$G, (MATCH(503, 輔助計算!$G$2:$G$801, 0)+1)),"0.##")&amp;"+"&amp;TEXT(INDEX(ERP資料!$G:$G, (MATCH(503, 輔助計算!$G$2:$G$801, 0)+1)),"0.##"))))&amp;"-1")), ""), "")</f>
        <v/>
      </c>
      <c r="K504" s="16" t="n"/>
      <c r="L504" s="14">
        <f>IFERROR(IF(AND(IFERROR(INDEX(ERP資料!$A:$A, (MATCH(503, 輔助計算!$G$2:$G$801, 0)+1)), "")&lt;&gt;"", IFERROR(INDEX(ERP資料!$A:$A, (MATCH(503, 輔助計算!$G$2:$G$801, 0)+1)), "")&lt;&gt;IFERROR(INDEX(ERP資料!$A:$A, MATCH(502, 輔助計算!$G$2:$G$801, 0)+1), "")), INDEX(ERP資料!$B:$B, (MATCH(503, 輔助計算!$G$2:$G$801, 0)+1)), ""), "")</f>
        <v/>
      </c>
      <c r="M504" s="17" t="n"/>
    </row>
    <row r="505">
      <c r="A505" s="10">
        <f>IFERROR(IF(AND(IFERROR(INDEX(ERP資料!$A:$A, (MATCH(504, 輔助計算!$G$2:$G$801, 0)+1)), "")&lt;&gt;"", IFERROR(INDEX(ERP資料!$A:$A, (MATCH(504, 輔助計算!$G$2:$G$801, 0)+1)), "")&lt;&gt;IFERROR(INDEX(ERP資料!$A:$A, MATCH(503, 輔助計算!$G$2:$G$801, 0)+1), "")), IFERROR(INDEX(ERP資料!$A:$A, (MATCH(504, 輔助計算!$G$2:$G$801, 0)+1)), ""), ""), "")</f>
        <v/>
      </c>
      <c r="B505" s="10">
        <f>IFERROR(IF(AND(IFERROR(INDEX(ERP資料!$A:$A, (MATCH(504, 輔助計算!$G$2:$G$801, 0)+1)), "")&lt;&gt;"", IFERROR(INDEX(ERP資料!$A:$A, (MATCH(504, 輔助計算!$G$2:$G$801, 0)+1)), "")&lt;&gt;IFERROR(INDEX(ERP資料!$A:$A, MATCH(503, 輔助計算!$G$2:$G$801, 0)+1), "")), INDEX(ERP資料!$S:$S, (MATCH(504, 輔助計算!$G$2:$G$801, 0)+1)), ""), "")</f>
        <v/>
      </c>
      <c r="C505" s="19">
        <f>IFERROR(IF(AND(IFERROR(INDEX(ERP資料!$A:$A, (MATCH(504, 輔助計算!$G$2:$G$801, 0)+1)), "")&lt;&gt;"", IFERROR(INDEX(ERP資料!$A:$A, (MATCH(504, 輔助計算!$G$2:$G$801, 0)+1)), "")&lt;&gt;IFERROR(INDEX(ERP資料!$A:$A, MATCH(503, 輔助計算!$G$2:$G$801, 0)+1), "")), IFERROR(VLOOKUP(LEFT(INDEX(ERP資料!$S:$S, (MATCH(504, 輔助計算!$G$2:$G$801, 0)+1)), 4), 紙管對照表!$A:$C, 3, FALSE), ""), ""), "")</f>
        <v/>
      </c>
      <c r="D505" s="16" t="n"/>
      <c r="E505" s="10">
        <f>IFERROR(IF(INDEX(ERP資料!$H:$H, (MATCH(504, 輔助計算!$G$2:$G$801, 0)+1))="","",INDEX(ERP資料!$H:$H, (MATCH(504, 輔助計算!$G$2:$G$801, 0)+1))), "")</f>
        <v/>
      </c>
      <c r="F505" s="10">
        <f>IFERROR(IF(INDEX(ERP資料!$E:$E, (MATCH(504, 輔助計算!$G$2:$G$801, 0)+1))="","",TRIM(INDEX(ERP資料!$E:$E, (MATCH(504, 輔助計算!$G$2:$G$801, 0)+1)))), "")</f>
        <v/>
      </c>
      <c r="G505" s="10">
        <f>IFERROR(IF(INDEX(ERP資料!$F:$F, (MATCH(504, 輔助計算!$G$2:$G$801, 0)+1))="","",INDEX(ERP資料!$F:$F, (MATCH(504, 輔助計算!$G$2:$G$801, 0)+1))), "")</f>
        <v/>
      </c>
      <c r="H505" s="10">
        <f>IFERROR(IF(INDEX(ERP資料!$G:$G, (MATCH(504, 輔助計算!$G$2:$G$801, 0)+1))="","",INDEX(ERP資料!$G:$G, (MATCH(504, 輔助計算!$G$2:$G$801, 0)+1))), "")</f>
        <v/>
      </c>
      <c r="I505" s="15">
        <f>IFERROR(INDEX(輔助計算!$D:$D, (MATCH(504, 輔助計算!$G$2:$G$801, 0)+1)), "")</f>
        <v/>
      </c>
      <c r="J505" s="15">
        <f>IFERROR(IF(AND(INDEX(輔助計算!$D:$D, (MATCH(504, 輔助計算!$G$2:$G$801, 0)+1))&lt;&gt;"", INDEX(ERP資料!$G:$G, (MATCH(504, 輔助計算!$G$2:$G$801, 0)+1))&lt;&gt;""), TRIM(IF(INT(INDEX(輔助計算!$D:$D, (MATCH(504, 輔助計算!$G$2:$G$801, 0)+1))/IF(INDEX(ERP資料!$G:$G, (MATCH(504, 輔助計算!$G$2:$G$801, 0)+1))&lt;100, IF(INDEX(ERP資料!$G:$G, (MATCH(504, 輔助計算!$G$2:$G$801, 0)+1))&lt;=31,3,IF(INDEX(ERP資料!$G:$G, (MATCH(504, 輔助計算!$G$2:$G$801, 0)+1))&lt;=46.5,2,1)), IF(INDEX(ERP資料!$G:$G, (MATCH(504, 輔助計算!$G$2:$G$801, 0)+1))&lt;=790,3,IF(INDEX(ERP資料!$G:$G, (MATCH(504, 輔助計算!$G$2:$G$801, 0)+1))&lt;=1181,2,1))))&gt;0, IF(IF(INDEX(ERP資料!$G:$G, (MATCH(504, 輔助計算!$G$2:$G$801, 0)+1))&lt;100, IF(INDEX(ERP資料!$G:$G, (MATCH(504, 輔助計算!$G$2:$G$801, 0)+1))&lt;=31,3,IF(INDEX(ERP資料!$G:$G, (MATCH(504, 輔助計算!$G$2:$G$801, 0)+1))&lt;=46.5,2,1)), IF(INDEX(ERP資料!$G:$G, (MATCH(504, 輔助計算!$G$2:$G$801, 0)+1))&lt;=790,3,IF(INDEX(ERP資料!$G:$G, (MATCH(504, 輔助計算!$G$2:$G$801, 0)+1))&lt;=1181,2,1)))=1,TEXT(INDEX(ERP資料!$G:$G, (MATCH(504, 輔助計算!$G$2:$G$801, 0)+1)),"0.##"),IF(IF(INDEX(ERP資料!$G:$G, (MATCH(504, 輔助計算!$G$2:$G$801, 0)+1))&lt;100, IF(INDEX(ERP資料!$G:$G, (MATCH(504, 輔助計算!$G$2:$G$801, 0)+1))&lt;=31,3,IF(INDEX(ERP資料!$G:$G, (MATCH(504, 輔助計算!$G$2:$G$801, 0)+1))&lt;=46.5,2,1)), IF(INDEX(ERP資料!$G:$G, (MATCH(504, 輔助計算!$G$2:$G$801, 0)+1))&lt;=790,3,IF(INDEX(ERP資料!$G:$G, (MATCH(504, 輔助計算!$G$2:$G$801, 0)+1))&lt;=1181,2,1)))=2,TEXT(INDEX(ERP資料!$G:$G, (MATCH(504, 輔助計算!$G$2:$G$801, 0)+1)),"0.##")&amp;"+"&amp;TEXT(INDEX(ERP資料!$G:$G, (MATCH(504, 輔助計算!$G$2:$G$801, 0)+1)),"0.##"),TEXT(INDEX(ERP資料!$G:$G, (MATCH(504, 輔助計算!$G$2:$G$801, 0)+1)),"0.##")&amp;"+"&amp;TEXT(INDEX(ERP資料!$G:$G, (MATCH(504, 輔助計算!$G$2:$G$801, 0)+1)),"0.##")&amp;"+"&amp;TEXT(INDEX(ERP資料!$G:$G, (MATCH(504, 輔助計算!$G$2:$G$801, 0)+1)),"0.##")))&amp;"-"&amp;INT(INDEX(輔助計算!$D:$D, (MATCH(504, 輔助計算!$G$2:$G$801, 0)+1))/IF(INDEX(ERP資料!$G:$G, (MATCH(504, 輔助計算!$G$2:$G$801, 0)+1))&lt;100, IF(INDEX(ERP資料!$G:$G, (MATCH(504, 輔助計算!$G$2:$G$801, 0)+1))&lt;=31,3,IF(INDEX(ERP資料!$G:$G, (MATCH(504, 輔助計算!$G$2:$G$801, 0)+1))&lt;=46.5,2,1)), IF(INDEX(ERP資料!$G:$G, (MATCH(504, 輔助計算!$G$2:$G$801, 0)+1))&lt;=790,3,IF(INDEX(ERP資料!$G:$G, (MATCH(504, 輔助計算!$G$2:$G$801, 0)+1))&lt;=1181,2,1)))), "")&amp;IF(AND(IF(INT(INDEX(輔助計算!$D:$D, (MATCH(504, 輔助計算!$G$2:$G$801, 0)+1))/IF(INDEX(ERP資料!$G:$G, (MATCH(504, 輔助計算!$G$2:$G$801, 0)+1))&lt;100, IF(INDEX(ERP資料!$G:$G, (MATCH(504, 輔助計算!$G$2:$G$801, 0)+1))&lt;=31,3,IF(INDEX(ERP資料!$G:$G, (MATCH(504, 輔助計算!$G$2:$G$801, 0)+1))&lt;=46.5,2,1)), IF(INDEX(ERP資料!$G:$G, (MATCH(504, 輔助計算!$G$2:$G$801, 0)+1))&lt;=790,3,IF(INDEX(ERP資料!$G:$G, (MATCH(504, 輔助計算!$G$2:$G$801, 0)+1))&lt;=1181,2,1))))&gt;0, IF(IF(INDEX(ERP資料!$G:$G, (MATCH(504, 輔助計算!$G$2:$G$801, 0)+1))&lt;100, IF(INDEX(ERP資料!$G:$G, (MATCH(504, 輔助計算!$G$2:$G$801, 0)+1))&lt;=31,3,IF(INDEX(ERP資料!$G:$G, (MATCH(504, 輔助計算!$G$2:$G$801, 0)+1))&lt;=46.5,2,1)), IF(INDEX(ERP資料!$G:$G, (MATCH(504, 輔助計算!$G$2:$G$801, 0)+1))&lt;=790,3,IF(INDEX(ERP資料!$G:$G, (MATCH(504, 輔助計算!$G$2:$G$801, 0)+1))&lt;=1181,2,1)))=1,TEXT(INDEX(ERP資料!$G:$G, (MATCH(504, 輔助計算!$G$2:$G$801, 0)+1)),"0.##"),IF(IF(INDEX(ERP資料!$G:$G, (MATCH(504, 輔助計算!$G$2:$G$801, 0)+1))&lt;100, IF(INDEX(ERP資料!$G:$G, (MATCH(504, 輔助計算!$G$2:$G$801, 0)+1))&lt;=31,3,IF(INDEX(ERP資料!$G:$G, (MATCH(504, 輔助計算!$G$2:$G$801, 0)+1))&lt;=46.5,2,1)), IF(INDEX(ERP資料!$G:$G, (MATCH(504, 輔助計算!$G$2:$G$801, 0)+1))&lt;=790,3,IF(INDEX(ERP資料!$G:$G, (MATCH(504, 輔助計算!$G$2:$G$801, 0)+1))&lt;=1181,2,1)))=2,TEXT(INDEX(ERP資料!$G:$G, (MATCH(504, 輔助計算!$G$2:$G$801, 0)+1)),"0.##")&amp;"+"&amp;TEXT(INDEX(ERP資料!$G:$G, (MATCH(504, 輔助計算!$G$2:$G$801, 0)+1)),"0.##"),TEXT(INDEX(ERP資料!$G:$G, (MATCH(504, 輔助計算!$G$2:$G$801, 0)+1)),"0.##")&amp;"+"&amp;TEXT(INDEX(ERP資料!$G:$G, (MATCH(504, 輔助計算!$G$2:$G$801, 0)+1)),"0.##")&amp;"+"&amp;TEXT(INDEX(ERP資料!$G:$G, (MATCH(504, 輔助計算!$G$2:$G$801, 0)+1)),"0.##")))&amp;"-"&amp;INT(INDEX(輔助計算!$D:$D, (MATCH(504, 輔助計算!$G$2:$G$801, 0)+1))/IF(INDEX(ERP資料!$G:$G, (MATCH(504, 輔助計算!$G$2:$G$801, 0)+1))&lt;100, IF(INDEX(ERP資料!$G:$G, (MATCH(504, 輔助計算!$G$2:$G$801, 0)+1))&lt;=31,3,IF(INDEX(ERP資料!$G:$G, (MATCH(504, 輔助計算!$G$2:$G$801, 0)+1))&lt;=46.5,2,1)), IF(INDEX(ERP資料!$G:$G, (MATCH(504, 輔助計算!$G$2:$G$801, 0)+1))&lt;=790,3,IF(INDEX(ERP資料!$G:$G, (MATCH(504, 輔助計算!$G$2:$G$801, 0)+1))&lt;=1181,2,1)))), "")&lt;&gt;"",IF(MOD(INDEX(輔助計算!$D:$D, (MATCH(504, 輔助計算!$G$2:$G$801, 0)+1)),IF(INDEX(ERP資料!$G:$G, (MATCH(504, 輔助計算!$G$2:$G$801, 0)+1))&lt;100, IF(INDEX(ERP資料!$G:$G, (MATCH(504, 輔助計算!$G$2:$G$801, 0)+1))&lt;=31,3,IF(INDEX(ERP資料!$G:$G, (MATCH(504, 輔助計算!$G$2:$G$801, 0)+1))&lt;=46.5,2,1)), IF(INDEX(ERP資料!$G:$G, (MATCH(504, 輔助計算!$G$2:$G$801, 0)+1))&lt;=790,3,IF(INDEX(ERP資料!$G:$G, (MATCH(504, 輔助計算!$G$2:$G$801, 0)+1))&lt;=1181,2,1))))=0,"",IF(MOD(INDEX(輔助計算!$D:$D, (MATCH(504, 輔助計算!$G$2:$G$801, 0)+1)),IF(INDEX(ERP資料!$G:$G, (MATCH(504, 輔助計算!$G$2:$G$801, 0)+1))&lt;100, IF(INDEX(ERP資料!$G:$G, (MATCH(504, 輔助計算!$G$2:$G$801, 0)+1))&lt;=31,3,IF(INDEX(ERP資料!$G:$G, (MATCH(504, 輔助計算!$G$2:$G$801, 0)+1))&lt;=46.5,2,1)), IF(INDEX(ERP資料!$G:$G, (MATCH(504, 輔助計算!$G$2:$G$801, 0)+1))&lt;=790,3,IF(INDEX(ERP資料!$G:$G, (MATCH(504, 輔助計算!$G$2:$G$801, 0)+1))&lt;=1181,2,1))))=0,"",IF(MOD(INDEX(輔助計算!$D:$D, (MATCH(504, 輔助計算!$G$2:$G$801, 0)+1)),IF(INDEX(ERP資料!$G:$G, (MATCH(504, 輔助計算!$G$2:$G$801, 0)+1))&lt;100, IF(INDEX(ERP資料!$G:$G, (MATCH(504, 輔助計算!$G$2:$G$801, 0)+1))&lt;=31,3,IF(INDEX(ERP資料!$G:$G, (MATCH(504, 輔助計算!$G$2:$G$801, 0)+1))&lt;=46.5,2,1)), IF(INDEX(ERP資料!$G:$G, (MATCH(504, 輔助計算!$G$2:$G$801, 0)+1))&lt;=790,3,IF(INDEX(ERP資料!$G:$G, (MATCH(504, 輔助計算!$G$2:$G$801, 0)+1))&lt;=1181,2,1))))=1,TEXT(INDEX(ERP資料!$G:$G, (MATCH(504, 輔助計算!$G$2:$G$801, 0)+1)),"0.##"),IF(MOD(INDEX(輔助計算!$D:$D, (MATCH(504, 輔助計算!$G$2:$G$801, 0)+1)),IF(INDEX(ERP資料!$G:$G, (MATCH(504, 輔助計算!$G$2:$G$801, 0)+1))&lt;100, IF(INDEX(ERP資料!$G:$G, (MATCH(504, 輔助計算!$G$2:$G$801, 0)+1))&lt;=31,3,IF(INDEX(ERP資料!$G:$G, (MATCH(504, 輔助計算!$G$2:$G$801, 0)+1))&lt;=46.5,2,1)), IF(INDEX(ERP資料!$G:$G, (MATCH(504, 輔助計算!$G$2:$G$801, 0)+1))&lt;=790,3,IF(INDEX(ERP資料!$G:$G, (MATCH(504, 輔助計算!$G$2:$G$801, 0)+1))&lt;=1181,2,1))))=2,TEXT(INDEX(ERP資料!$G:$G, (MATCH(504, 輔助計算!$G$2:$G$801, 0)+1)),"0.##")&amp;"+"&amp;TEXT(INDEX(ERP資料!$G:$G, (MATCH(504, 輔助計算!$G$2:$G$801, 0)+1)),"0.##"),TEXT(INDEX(ERP資料!$G:$G, (MATCH(504, 輔助計算!$G$2:$G$801, 0)+1)),"0.##")&amp;"+"&amp;TEXT(INDEX(ERP資料!$G:$G, (MATCH(504, 輔助計算!$G$2:$G$801, 0)+1)),"0.##")&amp;"+"&amp;TEXT(INDEX(ERP資料!$G:$G, (MATCH(504, 輔助計算!$G$2:$G$801, 0)+1)),"0.##"))))&amp;"-1")&lt;&gt;""),"  ","")&amp;IF(MOD(INDEX(輔助計算!$D:$D, (MATCH(504, 輔助計算!$G$2:$G$801, 0)+1)),IF(INDEX(ERP資料!$G:$G, (MATCH(504, 輔助計算!$G$2:$G$801, 0)+1))&lt;100, IF(INDEX(ERP資料!$G:$G, (MATCH(504, 輔助計算!$G$2:$G$801, 0)+1))&lt;=31,3,IF(INDEX(ERP資料!$G:$G, (MATCH(504, 輔助計算!$G$2:$G$801, 0)+1))&lt;=46.5,2,1)), IF(INDEX(ERP資料!$G:$G, (MATCH(504, 輔助計算!$G$2:$G$801, 0)+1))&lt;=790,3,IF(INDEX(ERP資料!$G:$G, (MATCH(504, 輔助計算!$G$2:$G$801, 0)+1))&lt;=1181,2,1))))=0,"",IF(MOD(INDEX(輔助計算!$D:$D, (MATCH(504, 輔助計算!$G$2:$G$801, 0)+1)),IF(INDEX(ERP資料!$G:$G, (MATCH(504, 輔助計算!$G$2:$G$801, 0)+1))&lt;100, IF(INDEX(ERP資料!$G:$G, (MATCH(504, 輔助計算!$G$2:$G$801, 0)+1))&lt;=31,3,IF(INDEX(ERP資料!$G:$G, (MATCH(504, 輔助計算!$G$2:$G$801, 0)+1))&lt;=46.5,2,1)), IF(INDEX(ERP資料!$G:$G, (MATCH(504, 輔助計算!$G$2:$G$801, 0)+1))&lt;=790,3,IF(INDEX(ERP資料!$G:$G, (MATCH(504, 輔助計算!$G$2:$G$801, 0)+1))&lt;=1181,2,1))))=0,"",IF(MOD(INDEX(輔助計算!$D:$D, (MATCH(504, 輔助計算!$G$2:$G$801, 0)+1)),IF(INDEX(ERP資料!$G:$G, (MATCH(504, 輔助計算!$G$2:$G$801, 0)+1))&lt;100, IF(INDEX(ERP資料!$G:$G, (MATCH(504, 輔助計算!$G$2:$G$801, 0)+1))&lt;=31,3,IF(INDEX(ERP資料!$G:$G, (MATCH(504, 輔助計算!$G$2:$G$801, 0)+1))&lt;=46.5,2,1)), IF(INDEX(ERP資料!$G:$G, (MATCH(504, 輔助計算!$G$2:$G$801, 0)+1))&lt;=790,3,IF(INDEX(ERP資料!$G:$G, (MATCH(504, 輔助計算!$G$2:$G$801, 0)+1))&lt;=1181,2,1))))=1,TEXT(INDEX(ERP資料!$G:$G, (MATCH(504, 輔助計算!$G$2:$G$801, 0)+1)),"0.##"),IF(MOD(INDEX(輔助計算!$D:$D, (MATCH(504, 輔助計算!$G$2:$G$801, 0)+1)),IF(INDEX(ERP資料!$G:$G, (MATCH(504, 輔助計算!$G$2:$G$801, 0)+1))&lt;100, IF(INDEX(ERP資料!$G:$G, (MATCH(504, 輔助計算!$G$2:$G$801, 0)+1))&lt;=31,3,IF(INDEX(ERP資料!$G:$G, (MATCH(504, 輔助計算!$G$2:$G$801, 0)+1))&lt;=46.5,2,1)), IF(INDEX(ERP資料!$G:$G, (MATCH(504, 輔助計算!$G$2:$G$801, 0)+1))&lt;=790,3,IF(INDEX(ERP資料!$G:$G, (MATCH(504, 輔助計算!$G$2:$G$801, 0)+1))&lt;=1181,2,1))))=2,TEXT(INDEX(ERP資料!$G:$G, (MATCH(504, 輔助計算!$G$2:$G$801, 0)+1)),"0.##")&amp;"+"&amp;TEXT(INDEX(ERP資料!$G:$G, (MATCH(504, 輔助計算!$G$2:$G$801, 0)+1)),"0.##"),TEXT(INDEX(ERP資料!$G:$G, (MATCH(504, 輔助計算!$G$2:$G$801, 0)+1)),"0.##")&amp;"+"&amp;TEXT(INDEX(ERP資料!$G:$G, (MATCH(504, 輔助計算!$G$2:$G$801, 0)+1)),"0.##")&amp;"+"&amp;TEXT(INDEX(ERP資料!$G:$G, (MATCH(504, 輔助計算!$G$2:$G$801, 0)+1)),"0.##"))))&amp;"-1")), ""), "")</f>
        <v/>
      </c>
      <c r="K505" s="16" t="n"/>
      <c r="L505" s="14">
        <f>IFERROR(IF(AND(IFERROR(INDEX(ERP資料!$A:$A, (MATCH(504, 輔助計算!$G$2:$G$801, 0)+1)), "")&lt;&gt;"", IFERROR(INDEX(ERP資料!$A:$A, (MATCH(504, 輔助計算!$G$2:$G$801, 0)+1)), "")&lt;&gt;IFERROR(INDEX(ERP資料!$A:$A, MATCH(503, 輔助計算!$G$2:$G$801, 0)+1), "")), INDEX(ERP資料!$B:$B, (MATCH(504, 輔助計算!$G$2:$G$801, 0)+1)), ""), "")</f>
        <v/>
      </c>
      <c r="M505" s="17" t="n"/>
    </row>
    <row r="506">
      <c r="A506" s="10">
        <f>IFERROR(IF(AND(IFERROR(INDEX(ERP資料!$A:$A, (MATCH(505, 輔助計算!$G$2:$G$801, 0)+1)), "")&lt;&gt;"", IFERROR(INDEX(ERP資料!$A:$A, (MATCH(505, 輔助計算!$G$2:$G$801, 0)+1)), "")&lt;&gt;IFERROR(INDEX(ERP資料!$A:$A, MATCH(504, 輔助計算!$G$2:$G$801, 0)+1), "")), IFERROR(INDEX(ERP資料!$A:$A, (MATCH(505, 輔助計算!$G$2:$G$801, 0)+1)), ""), ""), "")</f>
        <v/>
      </c>
      <c r="B506" s="10">
        <f>IFERROR(IF(AND(IFERROR(INDEX(ERP資料!$A:$A, (MATCH(505, 輔助計算!$G$2:$G$801, 0)+1)), "")&lt;&gt;"", IFERROR(INDEX(ERP資料!$A:$A, (MATCH(505, 輔助計算!$G$2:$G$801, 0)+1)), "")&lt;&gt;IFERROR(INDEX(ERP資料!$A:$A, MATCH(504, 輔助計算!$G$2:$G$801, 0)+1), "")), INDEX(ERP資料!$S:$S, (MATCH(505, 輔助計算!$G$2:$G$801, 0)+1)), ""), "")</f>
        <v/>
      </c>
      <c r="C506" s="19">
        <f>IFERROR(IF(AND(IFERROR(INDEX(ERP資料!$A:$A, (MATCH(505, 輔助計算!$G$2:$G$801, 0)+1)), "")&lt;&gt;"", IFERROR(INDEX(ERP資料!$A:$A, (MATCH(505, 輔助計算!$G$2:$G$801, 0)+1)), "")&lt;&gt;IFERROR(INDEX(ERP資料!$A:$A, MATCH(504, 輔助計算!$G$2:$G$801, 0)+1), "")), IFERROR(VLOOKUP(LEFT(INDEX(ERP資料!$S:$S, (MATCH(505, 輔助計算!$G$2:$G$801, 0)+1)), 4), 紙管對照表!$A:$C, 3, FALSE), ""), ""), "")</f>
        <v/>
      </c>
      <c r="D506" s="16" t="n"/>
      <c r="E506" s="10">
        <f>IFERROR(IF(INDEX(ERP資料!$H:$H, (MATCH(505, 輔助計算!$G$2:$G$801, 0)+1))="","",INDEX(ERP資料!$H:$H, (MATCH(505, 輔助計算!$G$2:$G$801, 0)+1))), "")</f>
        <v/>
      </c>
      <c r="F506" s="10">
        <f>IFERROR(IF(INDEX(ERP資料!$E:$E, (MATCH(505, 輔助計算!$G$2:$G$801, 0)+1))="","",TRIM(INDEX(ERP資料!$E:$E, (MATCH(505, 輔助計算!$G$2:$G$801, 0)+1)))), "")</f>
        <v/>
      </c>
      <c r="G506" s="10">
        <f>IFERROR(IF(INDEX(ERP資料!$F:$F, (MATCH(505, 輔助計算!$G$2:$G$801, 0)+1))="","",INDEX(ERP資料!$F:$F, (MATCH(505, 輔助計算!$G$2:$G$801, 0)+1))), "")</f>
        <v/>
      </c>
      <c r="H506" s="10">
        <f>IFERROR(IF(INDEX(ERP資料!$G:$G, (MATCH(505, 輔助計算!$G$2:$G$801, 0)+1))="","",INDEX(ERP資料!$G:$G, (MATCH(505, 輔助計算!$G$2:$G$801, 0)+1))), "")</f>
        <v/>
      </c>
      <c r="I506" s="15">
        <f>IFERROR(INDEX(輔助計算!$D:$D, (MATCH(505, 輔助計算!$G$2:$G$801, 0)+1)), "")</f>
        <v/>
      </c>
      <c r="J506" s="15">
        <f>IFERROR(IF(AND(INDEX(輔助計算!$D:$D, (MATCH(505, 輔助計算!$G$2:$G$801, 0)+1))&lt;&gt;"", INDEX(ERP資料!$G:$G, (MATCH(505, 輔助計算!$G$2:$G$801, 0)+1))&lt;&gt;""), TRIM(IF(INT(INDEX(輔助計算!$D:$D, (MATCH(505, 輔助計算!$G$2:$G$801, 0)+1))/IF(INDEX(ERP資料!$G:$G, (MATCH(505, 輔助計算!$G$2:$G$801, 0)+1))&lt;100, IF(INDEX(ERP資料!$G:$G, (MATCH(505, 輔助計算!$G$2:$G$801, 0)+1))&lt;=31,3,IF(INDEX(ERP資料!$G:$G, (MATCH(505, 輔助計算!$G$2:$G$801, 0)+1))&lt;=46.5,2,1)), IF(INDEX(ERP資料!$G:$G, (MATCH(505, 輔助計算!$G$2:$G$801, 0)+1))&lt;=790,3,IF(INDEX(ERP資料!$G:$G, (MATCH(505, 輔助計算!$G$2:$G$801, 0)+1))&lt;=1181,2,1))))&gt;0, IF(IF(INDEX(ERP資料!$G:$G, (MATCH(505, 輔助計算!$G$2:$G$801, 0)+1))&lt;100, IF(INDEX(ERP資料!$G:$G, (MATCH(505, 輔助計算!$G$2:$G$801, 0)+1))&lt;=31,3,IF(INDEX(ERP資料!$G:$G, (MATCH(505, 輔助計算!$G$2:$G$801, 0)+1))&lt;=46.5,2,1)), IF(INDEX(ERP資料!$G:$G, (MATCH(505, 輔助計算!$G$2:$G$801, 0)+1))&lt;=790,3,IF(INDEX(ERP資料!$G:$G, (MATCH(505, 輔助計算!$G$2:$G$801, 0)+1))&lt;=1181,2,1)))=1,TEXT(INDEX(ERP資料!$G:$G, (MATCH(505, 輔助計算!$G$2:$G$801, 0)+1)),"0.##"),IF(IF(INDEX(ERP資料!$G:$G, (MATCH(505, 輔助計算!$G$2:$G$801, 0)+1))&lt;100, IF(INDEX(ERP資料!$G:$G, (MATCH(505, 輔助計算!$G$2:$G$801, 0)+1))&lt;=31,3,IF(INDEX(ERP資料!$G:$G, (MATCH(505, 輔助計算!$G$2:$G$801, 0)+1))&lt;=46.5,2,1)), IF(INDEX(ERP資料!$G:$G, (MATCH(505, 輔助計算!$G$2:$G$801, 0)+1))&lt;=790,3,IF(INDEX(ERP資料!$G:$G, (MATCH(505, 輔助計算!$G$2:$G$801, 0)+1))&lt;=1181,2,1)))=2,TEXT(INDEX(ERP資料!$G:$G, (MATCH(505, 輔助計算!$G$2:$G$801, 0)+1)),"0.##")&amp;"+"&amp;TEXT(INDEX(ERP資料!$G:$G, (MATCH(505, 輔助計算!$G$2:$G$801, 0)+1)),"0.##"),TEXT(INDEX(ERP資料!$G:$G, (MATCH(505, 輔助計算!$G$2:$G$801, 0)+1)),"0.##")&amp;"+"&amp;TEXT(INDEX(ERP資料!$G:$G, (MATCH(505, 輔助計算!$G$2:$G$801, 0)+1)),"0.##")&amp;"+"&amp;TEXT(INDEX(ERP資料!$G:$G, (MATCH(505, 輔助計算!$G$2:$G$801, 0)+1)),"0.##")))&amp;"-"&amp;INT(INDEX(輔助計算!$D:$D, (MATCH(505, 輔助計算!$G$2:$G$801, 0)+1))/IF(INDEX(ERP資料!$G:$G, (MATCH(505, 輔助計算!$G$2:$G$801, 0)+1))&lt;100, IF(INDEX(ERP資料!$G:$G, (MATCH(505, 輔助計算!$G$2:$G$801, 0)+1))&lt;=31,3,IF(INDEX(ERP資料!$G:$G, (MATCH(505, 輔助計算!$G$2:$G$801, 0)+1))&lt;=46.5,2,1)), IF(INDEX(ERP資料!$G:$G, (MATCH(505, 輔助計算!$G$2:$G$801, 0)+1))&lt;=790,3,IF(INDEX(ERP資料!$G:$G, (MATCH(505, 輔助計算!$G$2:$G$801, 0)+1))&lt;=1181,2,1)))), "")&amp;IF(AND(IF(INT(INDEX(輔助計算!$D:$D, (MATCH(505, 輔助計算!$G$2:$G$801, 0)+1))/IF(INDEX(ERP資料!$G:$G, (MATCH(505, 輔助計算!$G$2:$G$801, 0)+1))&lt;100, IF(INDEX(ERP資料!$G:$G, (MATCH(505, 輔助計算!$G$2:$G$801, 0)+1))&lt;=31,3,IF(INDEX(ERP資料!$G:$G, (MATCH(505, 輔助計算!$G$2:$G$801, 0)+1))&lt;=46.5,2,1)), IF(INDEX(ERP資料!$G:$G, (MATCH(505, 輔助計算!$G$2:$G$801, 0)+1))&lt;=790,3,IF(INDEX(ERP資料!$G:$G, (MATCH(505, 輔助計算!$G$2:$G$801, 0)+1))&lt;=1181,2,1))))&gt;0, IF(IF(INDEX(ERP資料!$G:$G, (MATCH(505, 輔助計算!$G$2:$G$801, 0)+1))&lt;100, IF(INDEX(ERP資料!$G:$G, (MATCH(505, 輔助計算!$G$2:$G$801, 0)+1))&lt;=31,3,IF(INDEX(ERP資料!$G:$G, (MATCH(505, 輔助計算!$G$2:$G$801, 0)+1))&lt;=46.5,2,1)), IF(INDEX(ERP資料!$G:$G, (MATCH(505, 輔助計算!$G$2:$G$801, 0)+1))&lt;=790,3,IF(INDEX(ERP資料!$G:$G, (MATCH(505, 輔助計算!$G$2:$G$801, 0)+1))&lt;=1181,2,1)))=1,TEXT(INDEX(ERP資料!$G:$G, (MATCH(505, 輔助計算!$G$2:$G$801, 0)+1)),"0.##"),IF(IF(INDEX(ERP資料!$G:$G, (MATCH(505, 輔助計算!$G$2:$G$801, 0)+1))&lt;100, IF(INDEX(ERP資料!$G:$G, (MATCH(505, 輔助計算!$G$2:$G$801, 0)+1))&lt;=31,3,IF(INDEX(ERP資料!$G:$G, (MATCH(505, 輔助計算!$G$2:$G$801, 0)+1))&lt;=46.5,2,1)), IF(INDEX(ERP資料!$G:$G, (MATCH(505, 輔助計算!$G$2:$G$801, 0)+1))&lt;=790,3,IF(INDEX(ERP資料!$G:$G, (MATCH(505, 輔助計算!$G$2:$G$801, 0)+1))&lt;=1181,2,1)))=2,TEXT(INDEX(ERP資料!$G:$G, (MATCH(505, 輔助計算!$G$2:$G$801, 0)+1)),"0.##")&amp;"+"&amp;TEXT(INDEX(ERP資料!$G:$G, (MATCH(505, 輔助計算!$G$2:$G$801, 0)+1)),"0.##"),TEXT(INDEX(ERP資料!$G:$G, (MATCH(505, 輔助計算!$G$2:$G$801, 0)+1)),"0.##")&amp;"+"&amp;TEXT(INDEX(ERP資料!$G:$G, (MATCH(505, 輔助計算!$G$2:$G$801, 0)+1)),"0.##")&amp;"+"&amp;TEXT(INDEX(ERP資料!$G:$G, (MATCH(505, 輔助計算!$G$2:$G$801, 0)+1)),"0.##")))&amp;"-"&amp;INT(INDEX(輔助計算!$D:$D, (MATCH(505, 輔助計算!$G$2:$G$801, 0)+1))/IF(INDEX(ERP資料!$G:$G, (MATCH(505, 輔助計算!$G$2:$G$801, 0)+1))&lt;100, IF(INDEX(ERP資料!$G:$G, (MATCH(505, 輔助計算!$G$2:$G$801, 0)+1))&lt;=31,3,IF(INDEX(ERP資料!$G:$G, (MATCH(505, 輔助計算!$G$2:$G$801, 0)+1))&lt;=46.5,2,1)), IF(INDEX(ERP資料!$G:$G, (MATCH(505, 輔助計算!$G$2:$G$801, 0)+1))&lt;=790,3,IF(INDEX(ERP資料!$G:$G, (MATCH(505, 輔助計算!$G$2:$G$801, 0)+1))&lt;=1181,2,1)))), "")&lt;&gt;"",IF(MOD(INDEX(輔助計算!$D:$D, (MATCH(505, 輔助計算!$G$2:$G$801, 0)+1)),IF(INDEX(ERP資料!$G:$G, (MATCH(505, 輔助計算!$G$2:$G$801, 0)+1))&lt;100, IF(INDEX(ERP資料!$G:$G, (MATCH(505, 輔助計算!$G$2:$G$801, 0)+1))&lt;=31,3,IF(INDEX(ERP資料!$G:$G, (MATCH(505, 輔助計算!$G$2:$G$801, 0)+1))&lt;=46.5,2,1)), IF(INDEX(ERP資料!$G:$G, (MATCH(505, 輔助計算!$G$2:$G$801, 0)+1))&lt;=790,3,IF(INDEX(ERP資料!$G:$G, (MATCH(505, 輔助計算!$G$2:$G$801, 0)+1))&lt;=1181,2,1))))=0,"",IF(MOD(INDEX(輔助計算!$D:$D, (MATCH(505, 輔助計算!$G$2:$G$801, 0)+1)),IF(INDEX(ERP資料!$G:$G, (MATCH(505, 輔助計算!$G$2:$G$801, 0)+1))&lt;100, IF(INDEX(ERP資料!$G:$G, (MATCH(505, 輔助計算!$G$2:$G$801, 0)+1))&lt;=31,3,IF(INDEX(ERP資料!$G:$G, (MATCH(505, 輔助計算!$G$2:$G$801, 0)+1))&lt;=46.5,2,1)), IF(INDEX(ERP資料!$G:$G, (MATCH(505, 輔助計算!$G$2:$G$801, 0)+1))&lt;=790,3,IF(INDEX(ERP資料!$G:$G, (MATCH(505, 輔助計算!$G$2:$G$801, 0)+1))&lt;=1181,2,1))))=0,"",IF(MOD(INDEX(輔助計算!$D:$D, (MATCH(505, 輔助計算!$G$2:$G$801, 0)+1)),IF(INDEX(ERP資料!$G:$G, (MATCH(505, 輔助計算!$G$2:$G$801, 0)+1))&lt;100, IF(INDEX(ERP資料!$G:$G, (MATCH(505, 輔助計算!$G$2:$G$801, 0)+1))&lt;=31,3,IF(INDEX(ERP資料!$G:$G, (MATCH(505, 輔助計算!$G$2:$G$801, 0)+1))&lt;=46.5,2,1)), IF(INDEX(ERP資料!$G:$G, (MATCH(505, 輔助計算!$G$2:$G$801, 0)+1))&lt;=790,3,IF(INDEX(ERP資料!$G:$G, (MATCH(505, 輔助計算!$G$2:$G$801, 0)+1))&lt;=1181,2,1))))=1,TEXT(INDEX(ERP資料!$G:$G, (MATCH(505, 輔助計算!$G$2:$G$801, 0)+1)),"0.##"),IF(MOD(INDEX(輔助計算!$D:$D, (MATCH(505, 輔助計算!$G$2:$G$801, 0)+1)),IF(INDEX(ERP資料!$G:$G, (MATCH(505, 輔助計算!$G$2:$G$801, 0)+1))&lt;100, IF(INDEX(ERP資料!$G:$G, (MATCH(505, 輔助計算!$G$2:$G$801, 0)+1))&lt;=31,3,IF(INDEX(ERP資料!$G:$G, (MATCH(505, 輔助計算!$G$2:$G$801, 0)+1))&lt;=46.5,2,1)), IF(INDEX(ERP資料!$G:$G, (MATCH(505, 輔助計算!$G$2:$G$801, 0)+1))&lt;=790,3,IF(INDEX(ERP資料!$G:$G, (MATCH(505, 輔助計算!$G$2:$G$801, 0)+1))&lt;=1181,2,1))))=2,TEXT(INDEX(ERP資料!$G:$G, (MATCH(505, 輔助計算!$G$2:$G$801, 0)+1)),"0.##")&amp;"+"&amp;TEXT(INDEX(ERP資料!$G:$G, (MATCH(505, 輔助計算!$G$2:$G$801, 0)+1)),"0.##"),TEXT(INDEX(ERP資料!$G:$G, (MATCH(505, 輔助計算!$G$2:$G$801, 0)+1)),"0.##")&amp;"+"&amp;TEXT(INDEX(ERP資料!$G:$G, (MATCH(505, 輔助計算!$G$2:$G$801, 0)+1)),"0.##")&amp;"+"&amp;TEXT(INDEX(ERP資料!$G:$G, (MATCH(505, 輔助計算!$G$2:$G$801, 0)+1)),"0.##"))))&amp;"-1")&lt;&gt;""),"  ","")&amp;IF(MOD(INDEX(輔助計算!$D:$D, (MATCH(505, 輔助計算!$G$2:$G$801, 0)+1)),IF(INDEX(ERP資料!$G:$G, (MATCH(505, 輔助計算!$G$2:$G$801, 0)+1))&lt;100, IF(INDEX(ERP資料!$G:$G, (MATCH(505, 輔助計算!$G$2:$G$801, 0)+1))&lt;=31,3,IF(INDEX(ERP資料!$G:$G, (MATCH(505, 輔助計算!$G$2:$G$801, 0)+1))&lt;=46.5,2,1)), IF(INDEX(ERP資料!$G:$G, (MATCH(505, 輔助計算!$G$2:$G$801, 0)+1))&lt;=790,3,IF(INDEX(ERP資料!$G:$G, (MATCH(505, 輔助計算!$G$2:$G$801, 0)+1))&lt;=1181,2,1))))=0,"",IF(MOD(INDEX(輔助計算!$D:$D, (MATCH(505, 輔助計算!$G$2:$G$801, 0)+1)),IF(INDEX(ERP資料!$G:$G, (MATCH(505, 輔助計算!$G$2:$G$801, 0)+1))&lt;100, IF(INDEX(ERP資料!$G:$G, (MATCH(505, 輔助計算!$G$2:$G$801, 0)+1))&lt;=31,3,IF(INDEX(ERP資料!$G:$G, (MATCH(505, 輔助計算!$G$2:$G$801, 0)+1))&lt;=46.5,2,1)), IF(INDEX(ERP資料!$G:$G, (MATCH(505, 輔助計算!$G$2:$G$801, 0)+1))&lt;=790,3,IF(INDEX(ERP資料!$G:$G, (MATCH(505, 輔助計算!$G$2:$G$801, 0)+1))&lt;=1181,2,1))))=0,"",IF(MOD(INDEX(輔助計算!$D:$D, (MATCH(505, 輔助計算!$G$2:$G$801, 0)+1)),IF(INDEX(ERP資料!$G:$G, (MATCH(505, 輔助計算!$G$2:$G$801, 0)+1))&lt;100, IF(INDEX(ERP資料!$G:$G, (MATCH(505, 輔助計算!$G$2:$G$801, 0)+1))&lt;=31,3,IF(INDEX(ERP資料!$G:$G, (MATCH(505, 輔助計算!$G$2:$G$801, 0)+1))&lt;=46.5,2,1)), IF(INDEX(ERP資料!$G:$G, (MATCH(505, 輔助計算!$G$2:$G$801, 0)+1))&lt;=790,3,IF(INDEX(ERP資料!$G:$G, (MATCH(505, 輔助計算!$G$2:$G$801, 0)+1))&lt;=1181,2,1))))=1,TEXT(INDEX(ERP資料!$G:$G, (MATCH(505, 輔助計算!$G$2:$G$801, 0)+1)),"0.##"),IF(MOD(INDEX(輔助計算!$D:$D, (MATCH(505, 輔助計算!$G$2:$G$801, 0)+1)),IF(INDEX(ERP資料!$G:$G, (MATCH(505, 輔助計算!$G$2:$G$801, 0)+1))&lt;100, IF(INDEX(ERP資料!$G:$G, (MATCH(505, 輔助計算!$G$2:$G$801, 0)+1))&lt;=31,3,IF(INDEX(ERP資料!$G:$G, (MATCH(505, 輔助計算!$G$2:$G$801, 0)+1))&lt;=46.5,2,1)), IF(INDEX(ERP資料!$G:$G, (MATCH(505, 輔助計算!$G$2:$G$801, 0)+1))&lt;=790,3,IF(INDEX(ERP資料!$G:$G, (MATCH(505, 輔助計算!$G$2:$G$801, 0)+1))&lt;=1181,2,1))))=2,TEXT(INDEX(ERP資料!$G:$G, (MATCH(505, 輔助計算!$G$2:$G$801, 0)+1)),"0.##")&amp;"+"&amp;TEXT(INDEX(ERP資料!$G:$G, (MATCH(505, 輔助計算!$G$2:$G$801, 0)+1)),"0.##"),TEXT(INDEX(ERP資料!$G:$G, (MATCH(505, 輔助計算!$G$2:$G$801, 0)+1)),"0.##")&amp;"+"&amp;TEXT(INDEX(ERP資料!$G:$G, (MATCH(505, 輔助計算!$G$2:$G$801, 0)+1)),"0.##")&amp;"+"&amp;TEXT(INDEX(ERP資料!$G:$G, (MATCH(505, 輔助計算!$G$2:$G$801, 0)+1)),"0.##"))))&amp;"-1")), ""), "")</f>
        <v/>
      </c>
      <c r="K506" s="16" t="n"/>
      <c r="L506" s="14">
        <f>IFERROR(IF(AND(IFERROR(INDEX(ERP資料!$A:$A, (MATCH(505, 輔助計算!$G$2:$G$801, 0)+1)), "")&lt;&gt;"", IFERROR(INDEX(ERP資料!$A:$A, (MATCH(505, 輔助計算!$G$2:$G$801, 0)+1)), "")&lt;&gt;IFERROR(INDEX(ERP資料!$A:$A, MATCH(504, 輔助計算!$G$2:$G$801, 0)+1), "")), INDEX(ERP資料!$B:$B, (MATCH(505, 輔助計算!$G$2:$G$801, 0)+1)), ""), "")</f>
        <v/>
      </c>
      <c r="M506" s="17" t="n"/>
    </row>
    <row r="507">
      <c r="A507" s="10">
        <f>IFERROR(IF(AND(IFERROR(INDEX(ERP資料!$A:$A, (MATCH(506, 輔助計算!$G$2:$G$801, 0)+1)), "")&lt;&gt;"", IFERROR(INDEX(ERP資料!$A:$A, (MATCH(506, 輔助計算!$G$2:$G$801, 0)+1)), "")&lt;&gt;IFERROR(INDEX(ERP資料!$A:$A, MATCH(505, 輔助計算!$G$2:$G$801, 0)+1), "")), IFERROR(INDEX(ERP資料!$A:$A, (MATCH(506, 輔助計算!$G$2:$G$801, 0)+1)), ""), ""), "")</f>
        <v/>
      </c>
      <c r="B507" s="10">
        <f>IFERROR(IF(AND(IFERROR(INDEX(ERP資料!$A:$A, (MATCH(506, 輔助計算!$G$2:$G$801, 0)+1)), "")&lt;&gt;"", IFERROR(INDEX(ERP資料!$A:$A, (MATCH(506, 輔助計算!$G$2:$G$801, 0)+1)), "")&lt;&gt;IFERROR(INDEX(ERP資料!$A:$A, MATCH(505, 輔助計算!$G$2:$G$801, 0)+1), "")), INDEX(ERP資料!$S:$S, (MATCH(506, 輔助計算!$G$2:$G$801, 0)+1)), ""), "")</f>
        <v/>
      </c>
      <c r="C507" s="19">
        <f>IFERROR(IF(AND(IFERROR(INDEX(ERP資料!$A:$A, (MATCH(506, 輔助計算!$G$2:$G$801, 0)+1)), "")&lt;&gt;"", IFERROR(INDEX(ERP資料!$A:$A, (MATCH(506, 輔助計算!$G$2:$G$801, 0)+1)), "")&lt;&gt;IFERROR(INDEX(ERP資料!$A:$A, MATCH(505, 輔助計算!$G$2:$G$801, 0)+1), "")), IFERROR(VLOOKUP(LEFT(INDEX(ERP資料!$S:$S, (MATCH(506, 輔助計算!$G$2:$G$801, 0)+1)), 4), 紙管對照表!$A:$C, 3, FALSE), ""), ""), "")</f>
        <v/>
      </c>
      <c r="D507" s="16" t="n"/>
      <c r="E507" s="10">
        <f>IFERROR(IF(INDEX(ERP資料!$H:$H, (MATCH(506, 輔助計算!$G$2:$G$801, 0)+1))="","",INDEX(ERP資料!$H:$H, (MATCH(506, 輔助計算!$G$2:$G$801, 0)+1))), "")</f>
        <v/>
      </c>
      <c r="F507" s="10">
        <f>IFERROR(IF(INDEX(ERP資料!$E:$E, (MATCH(506, 輔助計算!$G$2:$G$801, 0)+1))="","",TRIM(INDEX(ERP資料!$E:$E, (MATCH(506, 輔助計算!$G$2:$G$801, 0)+1)))), "")</f>
        <v/>
      </c>
      <c r="G507" s="10">
        <f>IFERROR(IF(INDEX(ERP資料!$F:$F, (MATCH(506, 輔助計算!$G$2:$G$801, 0)+1))="","",INDEX(ERP資料!$F:$F, (MATCH(506, 輔助計算!$G$2:$G$801, 0)+1))), "")</f>
        <v/>
      </c>
      <c r="H507" s="10">
        <f>IFERROR(IF(INDEX(ERP資料!$G:$G, (MATCH(506, 輔助計算!$G$2:$G$801, 0)+1))="","",INDEX(ERP資料!$G:$G, (MATCH(506, 輔助計算!$G$2:$G$801, 0)+1))), "")</f>
        <v/>
      </c>
      <c r="I507" s="15">
        <f>IFERROR(INDEX(輔助計算!$D:$D, (MATCH(506, 輔助計算!$G$2:$G$801, 0)+1)), "")</f>
        <v/>
      </c>
      <c r="J507" s="15">
        <f>IFERROR(IF(AND(INDEX(輔助計算!$D:$D, (MATCH(506, 輔助計算!$G$2:$G$801, 0)+1))&lt;&gt;"", INDEX(ERP資料!$G:$G, (MATCH(506, 輔助計算!$G$2:$G$801, 0)+1))&lt;&gt;""), TRIM(IF(INT(INDEX(輔助計算!$D:$D, (MATCH(506, 輔助計算!$G$2:$G$801, 0)+1))/IF(INDEX(ERP資料!$G:$G, (MATCH(506, 輔助計算!$G$2:$G$801, 0)+1))&lt;100, IF(INDEX(ERP資料!$G:$G, (MATCH(506, 輔助計算!$G$2:$G$801, 0)+1))&lt;=31,3,IF(INDEX(ERP資料!$G:$G, (MATCH(506, 輔助計算!$G$2:$G$801, 0)+1))&lt;=46.5,2,1)), IF(INDEX(ERP資料!$G:$G, (MATCH(506, 輔助計算!$G$2:$G$801, 0)+1))&lt;=790,3,IF(INDEX(ERP資料!$G:$G, (MATCH(506, 輔助計算!$G$2:$G$801, 0)+1))&lt;=1181,2,1))))&gt;0, IF(IF(INDEX(ERP資料!$G:$G, (MATCH(506, 輔助計算!$G$2:$G$801, 0)+1))&lt;100, IF(INDEX(ERP資料!$G:$G, (MATCH(506, 輔助計算!$G$2:$G$801, 0)+1))&lt;=31,3,IF(INDEX(ERP資料!$G:$G, (MATCH(506, 輔助計算!$G$2:$G$801, 0)+1))&lt;=46.5,2,1)), IF(INDEX(ERP資料!$G:$G, (MATCH(506, 輔助計算!$G$2:$G$801, 0)+1))&lt;=790,3,IF(INDEX(ERP資料!$G:$G, (MATCH(506, 輔助計算!$G$2:$G$801, 0)+1))&lt;=1181,2,1)))=1,TEXT(INDEX(ERP資料!$G:$G, (MATCH(506, 輔助計算!$G$2:$G$801, 0)+1)),"0.##"),IF(IF(INDEX(ERP資料!$G:$G, (MATCH(506, 輔助計算!$G$2:$G$801, 0)+1))&lt;100, IF(INDEX(ERP資料!$G:$G, (MATCH(506, 輔助計算!$G$2:$G$801, 0)+1))&lt;=31,3,IF(INDEX(ERP資料!$G:$G, (MATCH(506, 輔助計算!$G$2:$G$801, 0)+1))&lt;=46.5,2,1)), IF(INDEX(ERP資料!$G:$G, (MATCH(506, 輔助計算!$G$2:$G$801, 0)+1))&lt;=790,3,IF(INDEX(ERP資料!$G:$G, (MATCH(506, 輔助計算!$G$2:$G$801, 0)+1))&lt;=1181,2,1)))=2,TEXT(INDEX(ERP資料!$G:$G, (MATCH(506, 輔助計算!$G$2:$G$801, 0)+1)),"0.##")&amp;"+"&amp;TEXT(INDEX(ERP資料!$G:$G, (MATCH(506, 輔助計算!$G$2:$G$801, 0)+1)),"0.##"),TEXT(INDEX(ERP資料!$G:$G, (MATCH(506, 輔助計算!$G$2:$G$801, 0)+1)),"0.##")&amp;"+"&amp;TEXT(INDEX(ERP資料!$G:$G, (MATCH(506, 輔助計算!$G$2:$G$801, 0)+1)),"0.##")&amp;"+"&amp;TEXT(INDEX(ERP資料!$G:$G, (MATCH(506, 輔助計算!$G$2:$G$801, 0)+1)),"0.##")))&amp;"-"&amp;INT(INDEX(輔助計算!$D:$D, (MATCH(506, 輔助計算!$G$2:$G$801, 0)+1))/IF(INDEX(ERP資料!$G:$G, (MATCH(506, 輔助計算!$G$2:$G$801, 0)+1))&lt;100, IF(INDEX(ERP資料!$G:$G, (MATCH(506, 輔助計算!$G$2:$G$801, 0)+1))&lt;=31,3,IF(INDEX(ERP資料!$G:$G, (MATCH(506, 輔助計算!$G$2:$G$801, 0)+1))&lt;=46.5,2,1)), IF(INDEX(ERP資料!$G:$G, (MATCH(506, 輔助計算!$G$2:$G$801, 0)+1))&lt;=790,3,IF(INDEX(ERP資料!$G:$G, (MATCH(506, 輔助計算!$G$2:$G$801, 0)+1))&lt;=1181,2,1)))), "")&amp;IF(AND(IF(INT(INDEX(輔助計算!$D:$D, (MATCH(506, 輔助計算!$G$2:$G$801, 0)+1))/IF(INDEX(ERP資料!$G:$G, (MATCH(506, 輔助計算!$G$2:$G$801, 0)+1))&lt;100, IF(INDEX(ERP資料!$G:$G, (MATCH(506, 輔助計算!$G$2:$G$801, 0)+1))&lt;=31,3,IF(INDEX(ERP資料!$G:$G, (MATCH(506, 輔助計算!$G$2:$G$801, 0)+1))&lt;=46.5,2,1)), IF(INDEX(ERP資料!$G:$G, (MATCH(506, 輔助計算!$G$2:$G$801, 0)+1))&lt;=790,3,IF(INDEX(ERP資料!$G:$G, (MATCH(506, 輔助計算!$G$2:$G$801, 0)+1))&lt;=1181,2,1))))&gt;0, IF(IF(INDEX(ERP資料!$G:$G, (MATCH(506, 輔助計算!$G$2:$G$801, 0)+1))&lt;100, IF(INDEX(ERP資料!$G:$G, (MATCH(506, 輔助計算!$G$2:$G$801, 0)+1))&lt;=31,3,IF(INDEX(ERP資料!$G:$G, (MATCH(506, 輔助計算!$G$2:$G$801, 0)+1))&lt;=46.5,2,1)), IF(INDEX(ERP資料!$G:$G, (MATCH(506, 輔助計算!$G$2:$G$801, 0)+1))&lt;=790,3,IF(INDEX(ERP資料!$G:$G, (MATCH(506, 輔助計算!$G$2:$G$801, 0)+1))&lt;=1181,2,1)))=1,TEXT(INDEX(ERP資料!$G:$G, (MATCH(506, 輔助計算!$G$2:$G$801, 0)+1)),"0.##"),IF(IF(INDEX(ERP資料!$G:$G, (MATCH(506, 輔助計算!$G$2:$G$801, 0)+1))&lt;100, IF(INDEX(ERP資料!$G:$G, (MATCH(506, 輔助計算!$G$2:$G$801, 0)+1))&lt;=31,3,IF(INDEX(ERP資料!$G:$G, (MATCH(506, 輔助計算!$G$2:$G$801, 0)+1))&lt;=46.5,2,1)), IF(INDEX(ERP資料!$G:$G, (MATCH(506, 輔助計算!$G$2:$G$801, 0)+1))&lt;=790,3,IF(INDEX(ERP資料!$G:$G, (MATCH(506, 輔助計算!$G$2:$G$801, 0)+1))&lt;=1181,2,1)))=2,TEXT(INDEX(ERP資料!$G:$G, (MATCH(506, 輔助計算!$G$2:$G$801, 0)+1)),"0.##")&amp;"+"&amp;TEXT(INDEX(ERP資料!$G:$G, (MATCH(506, 輔助計算!$G$2:$G$801, 0)+1)),"0.##"),TEXT(INDEX(ERP資料!$G:$G, (MATCH(506, 輔助計算!$G$2:$G$801, 0)+1)),"0.##")&amp;"+"&amp;TEXT(INDEX(ERP資料!$G:$G, (MATCH(506, 輔助計算!$G$2:$G$801, 0)+1)),"0.##")&amp;"+"&amp;TEXT(INDEX(ERP資料!$G:$G, (MATCH(506, 輔助計算!$G$2:$G$801, 0)+1)),"0.##")))&amp;"-"&amp;INT(INDEX(輔助計算!$D:$D, (MATCH(506, 輔助計算!$G$2:$G$801, 0)+1))/IF(INDEX(ERP資料!$G:$G, (MATCH(506, 輔助計算!$G$2:$G$801, 0)+1))&lt;100, IF(INDEX(ERP資料!$G:$G, (MATCH(506, 輔助計算!$G$2:$G$801, 0)+1))&lt;=31,3,IF(INDEX(ERP資料!$G:$G, (MATCH(506, 輔助計算!$G$2:$G$801, 0)+1))&lt;=46.5,2,1)), IF(INDEX(ERP資料!$G:$G, (MATCH(506, 輔助計算!$G$2:$G$801, 0)+1))&lt;=790,3,IF(INDEX(ERP資料!$G:$G, (MATCH(506, 輔助計算!$G$2:$G$801, 0)+1))&lt;=1181,2,1)))), "")&lt;&gt;"",IF(MOD(INDEX(輔助計算!$D:$D, (MATCH(506, 輔助計算!$G$2:$G$801, 0)+1)),IF(INDEX(ERP資料!$G:$G, (MATCH(506, 輔助計算!$G$2:$G$801, 0)+1))&lt;100, IF(INDEX(ERP資料!$G:$G, (MATCH(506, 輔助計算!$G$2:$G$801, 0)+1))&lt;=31,3,IF(INDEX(ERP資料!$G:$G, (MATCH(506, 輔助計算!$G$2:$G$801, 0)+1))&lt;=46.5,2,1)), IF(INDEX(ERP資料!$G:$G, (MATCH(506, 輔助計算!$G$2:$G$801, 0)+1))&lt;=790,3,IF(INDEX(ERP資料!$G:$G, (MATCH(506, 輔助計算!$G$2:$G$801, 0)+1))&lt;=1181,2,1))))=0,"",IF(MOD(INDEX(輔助計算!$D:$D, (MATCH(506, 輔助計算!$G$2:$G$801, 0)+1)),IF(INDEX(ERP資料!$G:$G, (MATCH(506, 輔助計算!$G$2:$G$801, 0)+1))&lt;100, IF(INDEX(ERP資料!$G:$G, (MATCH(506, 輔助計算!$G$2:$G$801, 0)+1))&lt;=31,3,IF(INDEX(ERP資料!$G:$G, (MATCH(506, 輔助計算!$G$2:$G$801, 0)+1))&lt;=46.5,2,1)), IF(INDEX(ERP資料!$G:$G, (MATCH(506, 輔助計算!$G$2:$G$801, 0)+1))&lt;=790,3,IF(INDEX(ERP資料!$G:$G, (MATCH(506, 輔助計算!$G$2:$G$801, 0)+1))&lt;=1181,2,1))))=0,"",IF(MOD(INDEX(輔助計算!$D:$D, (MATCH(506, 輔助計算!$G$2:$G$801, 0)+1)),IF(INDEX(ERP資料!$G:$G, (MATCH(506, 輔助計算!$G$2:$G$801, 0)+1))&lt;100, IF(INDEX(ERP資料!$G:$G, (MATCH(506, 輔助計算!$G$2:$G$801, 0)+1))&lt;=31,3,IF(INDEX(ERP資料!$G:$G, (MATCH(506, 輔助計算!$G$2:$G$801, 0)+1))&lt;=46.5,2,1)), IF(INDEX(ERP資料!$G:$G, (MATCH(506, 輔助計算!$G$2:$G$801, 0)+1))&lt;=790,3,IF(INDEX(ERP資料!$G:$G, (MATCH(506, 輔助計算!$G$2:$G$801, 0)+1))&lt;=1181,2,1))))=1,TEXT(INDEX(ERP資料!$G:$G, (MATCH(506, 輔助計算!$G$2:$G$801, 0)+1)),"0.##"),IF(MOD(INDEX(輔助計算!$D:$D, (MATCH(506, 輔助計算!$G$2:$G$801, 0)+1)),IF(INDEX(ERP資料!$G:$G, (MATCH(506, 輔助計算!$G$2:$G$801, 0)+1))&lt;100, IF(INDEX(ERP資料!$G:$G, (MATCH(506, 輔助計算!$G$2:$G$801, 0)+1))&lt;=31,3,IF(INDEX(ERP資料!$G:$G, (MATCH(506, 輔助計算!$G$2:$G$801, 0)+1))&lt;=46.5,2,1)), IF(INDEX(ERP資料!$G:$G, (MATCH(506, 輔助計算!$G$2:$G$801, 0)+1))&lt;=790,3,IF(INDEX(ERP資料!$G:$G, (MATCH(506, 輔助計算!$G$2:$G$801, 0)+1))&lt;=1181,2,1))))=2,TEXT(INDEX(ERP資料!$G:$G, (MATCH(506, 輔助計算!$G$2:$G$801, 0)+1)),"0.##")&amp;"+"&amp;TEXT(INDEX(ERP資料!$G:$G, (MATCH(506, 輔助計算!$G$2:$G$801, 0)+1)),"0.##"),TEXT(INDEX(ERP資料!$G:$G, (MATCH(506, 輔助計算!$G$2:$G$801, 0)+1)),"0.##")&amp;"+"&amp;TEXT(INDEX(ERP資料!$G:$G, (MATCH(506, 輔助計算!$G$2:$G$801, 0)+1)),"0.##")&amp;"+"&amp;TEXT(INDEX(ERP資料!$G:$G, (MATCH(506, 輔助計算!$G$2:$G$801, 0)+1)),"0.##"))))&amp;"-1")&lt;&gt;""),"  ","")&amp;IF(MOD(INDEX(輔助計算!$D:$D, (MATCH(506, 輔助計算!$G$2:$G$801, 0)+1)),IF(INDEX(ERP資料!$G:$G, (MATCH(506, 輔助計算!$G$2:$G$801, 0)+1))&lt;100, IF(INDEX(ERP資料!$G:$G, (MATCH(506, 輔助計算!$G$2:$G$801, 0)+1))&lt;=31,3,IF(INDEX(ERP資料!$G:$G, (MATCH(506, 輔助計算!$G$2:$G$801, 0)+1))&lt;=46.5,2,1)), IF(INDEX(ERP資料!$G:$G, (MATCH(506, 輔助計算!$G$2:$G$801, 0)+1))&lt;=790,3,IF(INDEX(ERP資料!$G:$G, (MATCH(506, 輔助計算!$G$2:$G$801, 0)+1))&lt;=1181,2,1))))=0,"",IF(MOD(INDEX(輔助計算!$D:$D, (MATCH(506, 輔助計算!$G$2:$G$801, 0)+1)),IF(INDEX(ERP資料!$G:$G, (MATCH(506, 輔助計算!$G$2:$G$801, 0)+1))&lt;100, IF(INDEX(ERP資料!$G:$G, (MATCH(506, 輔助計算!$G$2:$G$801, 0)+1))&lt;=31,3,IF(INDEX(ERP資料!$G:$G, (MATCH(506, 輔助計算!$G$2:$G$801, 0)+1))&lt;=46.5,2,1)), IF(INDEX(ERP資料!$G:$G, (MATCH(506, 輔助計算!$G$2:$G$801, 0)+1))&lt;=790,3,IF(INDEX(ERP資料!$G:$G, (MATCH(506, 輔助計算!$G$2:$G$801, 0)+1))&lt;=1181,2,1))))=0,"",IF(MOD(INDEX(輔助計算!$D:$D, (MATCH(506, 輔助計算!$G$2:$G$801, 0)+1)),IF(INDEX(ERP資料!$G:$G, (MATCH(506, 輔助計算!$G$2:$G$801, 0)+1))&lt;100, IF(INDEX(ERP資料!$G:$G, (MATCH(506, 輔助計算!$G$2:$G$801, 0)+1))&lt;=31,3,IF(INDEX(ERP資料!$G:$G, (MATCH(506, 輔助計算!$G$2:$G$801, 0)+1))&lt;=46.5,2,1)), IF(INDEX(ERP資料!$G:$G, (MATCH(506, 輔助計算!$G$2:$G$801, 0)+1))&lt;=790,3,IF(INDEX(ERP資料!$G:$G, (MATCH(506, 輔助計算!$G$2:$G$801, 0)+1))&lt;=1181,2,1))))=1,TEXT(INDEX(ERP資料!$G:$G, (MATCH(506, 輔助計算!$G$2:$G$801, 0)+1)),"0.##"),IF(MOD(INDEX(輔助計算!$D:$D, (MATCH(506, 輔助計算!$G$2:$G$801, 0)+1)),IF(INDEX(ERP資料!$G:$G, (MATCH(506, 輔助計算!$G$2:$G$801, 0)+1))&lt;100, IF(INDEX(ERP資料!$G:$G, (MATCH(506, 輔助計算!$G$2:$G$801, 0)+1))&lt;=31,3,IF(INDEX(ERP資料!$G:$G, (MATCH(506, 輔助計算!$G$2:$G$801, 0)+1))&lt;=46.5,2,1)), IF(INDEX(ERP資料!$G:$G, (MATCH(506, 輔助計算!$G$2:$G$801, 0)+1))&lt;=790,3,IF(INDEX(ERP資料!$G:$G, (MATCH(506, 輔助計算!$G$2:$G$801, 0)+1))&lt;=1181,2,1))))=2,TEXT(INDEX(ERP資料!$G:$G, (MATCH(506, 輔助計算!$G$2:$G$801, 0)+1)),"0.##")&amp;"+"&amp;TEXT(INDEX(ERP資料!$G:$G, (MATCH(506, 輔助計算!$G$2:$G$801, 0)+1)),"0.##"),TEXT(INDEX(ERP資料!$G:$G, (MATCH(506, 輔助計算!$G$2:$G$801, 0)+1)),"0.##")&amp;"+"&amp;TEXT(INDEX(ERP資料!$G:$G, (MATCH(506, 輔助計算!$G$2:$G$801, 0)+1)),"0.##")&amp;"+"&amp;TEXT(INDEX(ERP資料!$G:$G, (MATCH(506, 輔助計算!$G$2:$G$801, 0)+1)),"0.##"))))&amp;"-1")), ""), "")</f>
        <v/>
      </c>
      <c r="K507" s="16" t="n"/>
      <c r="L507" s="14">
        <f>IFERROR(IF(AND(IFERROR(INDEX(ERP資料!$A:$A, (MATCH(506, 輔助計算!$G$2:$G$801, 0)+1)), "")&lt;&gt;"", IFERROR(INDEX(ERP資料!$A:$A, (MATCH(506, 輔助計算!$G$2:$G$801, 0)+1)), "")&lt;&gt;IFERROR(INDEX(ERP資料!$A:$A, MATCH(505, 輔助計算!$G$2:$G$801, 0)+1), "")), INDEX(ERP資料!$B:$B, (MATCH(506, 輔助計算!$G$2:$G$801, 0)+1)), ""), "")</f>
        <v/>
      </c>
      <c r="M507" s="17" t="n"/>
    </row>
    <row r="508">
      <c r="A508" s="10">
        <f>IFERROR(IF(AND(IFERROR(INDEX(ERP資料!$A:$A, (MATCH(507, 輔助計算!$G$2:$G$801, 0)+1)), "")&lt;&gt;"", IFERROR(INDEX(ERP資料!$A:$A, (MATCH(507, 輔助計算!$G$2:$G$801, 0)+1)), "")&lt;&gt;IFERROR(INDEX(ERP資料!$A:$A, MATCH(506, 輔助計算!$G$2:$G$801, 0)+1), "")), IFERROR(INDEX(ERP資料!$A:$A, (MATCH(507, 輔助計算!$G$2:$G$801, 0)+1)), ""), ""), "")</f>
        <v/>
      </c>
      <c r="B508" s="10">
        <f>IFERROR(IF(AND(IFERROR(INDEX(ERP資料!$A:$A, (MATCH(507, 輔助計算!$G$2:$G$801, 0)+1)), "")&lt;&gt;"", IFERROR(INDEX(ERP資料!$A:$A, (MATCH(507, 輔助計算!$G$2:$G$801, 0)+1)), "")&lt;&gt;IFERROR(INDEX(ERP資料!$A:$A, MATCH(506, 輔助計算!$G$2:$G$801, 0)+1), "")), INDEX(ERP資料!$S:$S, (MATCH(507, 輔助計算!$G$2:$G$801, 0)+1)), ""), "")</f>
        <v/>
      </c>
      <c r="C508" s="19">
        <f>IFERROR(IF(AND(IFERROR(INDEX(ERP資料!$A:$A, (MATCH(507, 輔助計算!$G$2:$G$801, 0)+1)), "")&lt;&gt;"", IFERROR(INDEX(ERP資料!$A:$A, (MATCH(507, 輔助計算!$G$2:$G$801, 0)+1)), "")&lt;&gt;IFERROR(INDEX(ERP資料!$A:$A, MATCH(506, 輔助計算!$G$2:$G$801, 0)+1), "")), IFERROR(VLOOKUP(LEFT(INDEX(ERP資料!$S:$S, (MATCH(507, 輔助計算!$G$2:$G$801, 0)+1)), 4), 紙管對照表!$A:$C, 3, FALSE), ""), ""), "")</f>
        <v/>
      </c>
      <c r="D508" s="16" t="n"/>
      <c r="E508" s="10">
        <f>IFERROR(IF(INDEX(ERP資料!$H:$H, (MATCH(507, 輔助計算!$G$2:$G$801, 0)+1))="","",INDEX(ERP資料!$H:$H, (MATCH(507, 輔助計算!$G$2:$G$801, 0)+1))), "")</f>
        <v/>
      </c>
      <c r="F508" s="10">
        <f>IFERROR(IF(INDEX(ERP資料!$E:$E, (MATCH(507, 輔助計算!$G$2:$G$801, 0)+1))="","",TRIM(INDEX(ERP資料!$E:$E, (MATCH(507, 輔助計算!$G$2:$G$801, 0)+1)))), "")</f>
        <v/>
      </c>
      <c r="G508" s="10">
        <f>IFERROR(IF(INDEX(ERP資料!$F:$F, (MATCH(507, 輔助計算!$G$2:$G$801, 0)+1))="","",INDEX(ERP資料!$F:$F, (MATCH(507, 輔助計算!$G$2:$G$801, 0)+1))), "")</f>
        <v/>
      </c>
      <c r="H508" s="10">
        <f>IFERROR(IF(INDEX(ERP資料!$G:$G, (MATCH(507, 輔助計算!$G$2:$G$801, 0)+1))="","",INDEX(ERP資料!$G:$G, (MATCH(507, 輔助計算!$G$2:$G$801, 0)+1))), "")</f>
        <v/>
      </c>
      <c r="I508" s="15">
        <f>IFERROR(INDEX(輔助計算!$D:$D, (MATCH(507, 輔助計算!$G$2:$G$801, 0)+1)), "")</f>
        <v/>
      </c>
      <c r="J508" s="15">
        <f>IFERROR(IF(AND(INDEX(輔助計算!$D:$D, (MATCH(507, 輔助計算!$G$2:$G$801, 0)+1))&lt;&gt;"", INDEX(ERP資料!$G:$G, (MATCH(507, 輔助計算!$G$2:$G$801, 0)+1))&lt;&gt;""), TRIM(IF(INT(INDEX(輔助計算!$D:$D, (MATCH(507, 輔助計算!$G$2:$G$801, 0)+1))/IF(INDEX(ERP資料!$G:$G, (MATCH(507, 輔助計算!$G$2:$G$801, 0)+1))&lt;100, IF(INDEX(ERP資料!$G:$G, (MATCH(507, 輔助計算!$G$2:$G$801, 0)+1))&lt;=31,3,IF(INDEX(ERP資料!$G:$G, (MATCH(507, 輔助計算!$G$2:$G$801, 0)+1))&lt;=46.5,2,1)), IF(INDEX(ERP資料!$G:$G, (MATCH(507, 輔助計算!$G$2:$G$801, 0)+1))&lt;=790,3,IF(INDEX(ERP資料!$G:$G, (MATCH(507, 輔助計算!$G$2:$G$801, 0)+1))&lt;=1181,2,1))))&gt;0, IF(IF(INDEX(ERP資料!$G:$G, (MATCH(507, 輔助計算!$G$2:$G$801, 0)+1))&lt;100, IF(INDEX(ERP資料!$G:$G, (MATCH(507, 輔助計算!$G$2:$G$801, 0)+1))&lt;=31,3,IF(INDEX(ERP資料!$G:$G, (MATCH(507, 輔助計算!$G$2:$G$801, 0)+1))&lt;=46.5,2,1)), IF(INDEX(ERP資料!$G:$G, (MATCH(507, 輔助計算!$G$2:$G$801, 0)+1))&lt;=790,3,IF(INDEX(ERP資料!$G:$G, (MATCH(507, 輔助計算!$G$2:$G$801, 0)+1))&lt;=1181,2,1)))=1,TEXT(INDEX(ERP資料!$G:$G, (MATCH(507, 輔助計算!$G$2:$G$801, 0)+1)),"0.##"),IF(IF(INDEX(ERP資料!$G:$G, (MATCH(507, 輔助計算!$G$2:$G$801, 0)+1))&lt;100, IF(INDEX(ERP資料!$G:$G, (MATCH(507, 輔助計算!$G$2:$G$801, 0)+1))&lt;=31,3,IF(INDEX(ERP資料!$G:$G, (MATCH(507, 輔助計算!$G$2:$G$801, 0)+1))&lt;=46.5,2,1)), IF(INDEX(ERP資料!$G:$G, (MATCH(507, 輔助計算!$G$2:$G$801, 0)+1))&lt;=790,3,IF(INDEX(ERP資料!$G:$G, (MATCH(507, 輔助計算!$G$2:$G$801, 0)+1))&lt;=1181,2,1)))=2,TEXT(INDEX(ERP資料!$G:$G, (MATCH(507, 輔助計算!$G$2:$G$801, 0)+1)),"0.##")&amp;"+"&amp;TEXT(INDEX(ERP資料!$G:$G, (MATCH(507, 輔助計算!$G$2:$G$801, 0)+1)),"0.##"),TEXT(INDEX(ERP資料!$G:$G, (MATCH(507, 輔助計算!$G$2:$G$801, 0)+1)),"0.##")&amp;"+"&amp;TEXT(INDEX(ERP資料!$G:$G, (MATCH(507, 輔助計算!$G$2:$G$801, 0)+1)),"0.##")&amp;"+"&amp;TEXT(INDEX(ERP資料!$G:$G, (MATCH(507, 輔助計算!$G$2:$G$801, 0)+1)),"0.##")))&amp;"-"&amp;INT(INDEX(輔助計算!$D:$D, (MATCH(507, 輔助計算!$G$2:$G$801, 0)+1))/IF(INDEX(ERP資料!$G:$G, (MATCH(507, 輔助計算!$G$2:$G$801, 0)+1))&lt;100, IF(INDEX(ERP資料!$G:$G, (MATCH(507, 輔助計算!$G$2:$G$801, 0)+1))&lt;=31,3,IF(INDEX(ERP資料!$G:$G, (MATCH(507, 輔助計算!$G$2:$G$801, 0)+1))&lt;=46.5,2,1)), IF(INDEX(ERP資料!$G:$G, (MATCH(507, 輔助計算!$G$2:$G$801, 0)+1))&lt;=790,3,IF(INDEX(ERP資料!$G:$G, (MATCH(507, 輔助計算!$G$2:$G$801, 0)+1))&lt;=1181,2,1)))), "")&amp;IF(AND(IF(INT(INDEX(輔助計算!$D:$D, (MATCH(507, 輔助計算!$G$2:$G$801, 0)+1))/IF(INDEX(ERP資料!$G:$G, (MATCH(507, 輔助計算!$G$2:$G$801, 0)+1))&lt;100, IF(INDEX(ERP資料!$G:$G, (MATCH(507, 輔助計算!$G$2:$G$801, 0)+1))&lt;=31,3,IF(INDEX(ERP資料!$G:$G, (MATCH(507, 輔助計算!$G$2:$G$801, 0)+1))&lt;=46.5,2,1)), IF(INDEX(ERP資料!$G:$G, (MATCH(507, 輔助計算!$G$2:$G$801, 0)+1))&lt;=790,3,IF(INDEX(ERP資料!$G:$G, (MATCH(507, 輔助計算!$G$2:$G$801, 0)+1))&lt;=1181,2,1))))&gt;0, IF(IF(INDEX(ERP資料!$G:$G, (MATCH(507, 輔助計算!$G$2:$G$801, 0)+1))&lt;100, IF(INDEX(ERP資料!$G:$G, (MATCH(507, 輔助計算!$G$2:$G$801, 0)+1))&lt;=31,3,IF(INDEX(ERP資料!$G:$G, (MATCH(507, 輔助計算!$G$2:$G$801, 0)+1))&lt;=46.5,2,1)), IF(INDEX(ERP資料!$G:$G, (MATCH(507, 輔助計算!$G$2:$G$801, 0)+1))&lt;=790,3,IF(INDEX(ERP資料!$G:$G, (MATCH(507, 輔助計算!$G$2:$G$801, 0)+1))&lt;=1181,2,1)))=1,TEXT(INDEX(ERP資料!$G:$G, (MATCH(507, 輔助計算!$G$2:$G$801, 0)+1)),"0.##"),IF(IF(INDEX(ERP資料!$G:$G, (MATCH(507, 輔助計算!$G$2:$G$801, 0)+1))&lt;100, IF(INDEX(ERP資料!$G:$G, (MATCH(507, 輔助計算!$G$2:$G$801, 0)+1))&lt;=31,3,IF(INDEX(ERP資料!$G:$G, (MATCH(507, 輔助計算!$G$2:$G$801, 0)+1))&lt;=46.5,2,1)), IF(INDEX(ERP資料!$G:$G, (MATCH(507, 輔助計算!$G$2:$G$801, 0)+1))&lt;=790,3,IF(INDEX(ERP資料!$G:$G, (MATCH(507, 輔助計算!$G$2:$G$801, 0)+1))&lt;=1181,2,1)))=2,TEXT(INDEX(ERP資料!$G:$G, (MATCH(507, 輔助計算!$G$2:$G$801, 0)+1)),"0.##")&amp;"+"&amp;TEXT(INDEX(ERP資料!$G:$G, (MATCH(507, 輔助計算!$G$2:$G$801, 0)+1)),"0.##"),TEXT(INDEX(ERP資料!$G:$G, (MATCH(507, 輔助計算!$G$2:$G$801, 0)+1)),"0.##")&amp;"+"&amp;TEXT(INDEX(ERP資料!$G:$G, (MATCH(507, 輔助計算!$G$2:$G$801, 0)+1)),"0.##")&amp;"+"&amp;TEXT(INDEX(ERP資料!$G:$G, (MATCH(507, 輔助計算!$G$2:$G$801, 0)+1)),"0.##")))&amp;"-"&amp;INT(INDEX(輔助計算!$D:$D, (MATCH(507, 輔助計算!$G$2:$G$801, 0)+1))/IF(INDEX(ERP資料!$G:$G, (MATCH(507, 輔助計算!$G$2:$G$801, 0)+1))&lt;100, IF(INDEX(ERP資料!$G:$G, (MATCH(507, 輔助計算!$G$2:$G$801, 0)+1))&lt;=31,3,IF(INDEX(ERP資料!$G:$G, (MATCH(507, 輔助計算!$G$2:$G$801, 0)+1))&lt;=46.5,2,1)), IF(INDEX(ERP資料!$G:$G, (MATCH(507, 輔助計算!$G$2:$G$801, 0)+1))&lt;=790,3,IF(INDEX(ERP資料!$G:$G, (MATCH(507, 輔助計算!$G$2:$G$801, 0)+1))&lt;=1181,2,1)))), "")&lt;&gt;"",IF(MOD(INDEX(輔助計算!$D:$D, (MATCH(507, 輔助計算!$G$2:$G$801, 0)+1)),IF(INDEX(ERP資料!$G:$G, (MATCH(507, 輔助計算!$G$2:$G$801, 0)+1))&lt;100, IF(INDEX(ERP資料!$G:$G, (MATCH(507, 輔助計算!$G$2:$G$801, 0)+1))&lt;=31,3,IF(INDEX(ERP資料!$G:$G, (MATCH(507, 輔助計算!$G$2:$G$801, 0)+1))&lt;=46.5,2,1)), IF(INDEX(ERP資料!$G:$G, (MATCH(507, 輔助計算!$G$2:$G$801, 0)+1))&lt;=790,3,IF(INDEX(ERP資料!$G:$G, (MATCH(507, 輔助計算!$G$2:$G$801, 0)+1))&lt;=1181,2,1))))=0,"",IF(MOD(INDEX(輔助計算!$D:$D, (MATCH(507, 輔助計算!$G$2:$G$801, 0)+1)),IF(INDEX(ERP資料!$G:$G, (MATCH(507, 輔助計算!$G$2:$G$801, 0)+1))&lt;100, IF(INDEX(ERP資料!$G:$G, (MATCH(507, 輔助計算!$G$2:$G$801, 0)+1))&lt;=31,3,IF(INDEX(ERP資料!$G:$G, (MATCH(507, 輔助計算!$G$2:$G$801, 0)+1))&lt;=46.5,2,1)), IF(INDEX(ERP資料!$G:$G, (MATCH(507, 輔助計算!$G$2:$G$801, 0)+1))&lt;=790,3,IF(INDEX(ERP資料!$G:$G, (MATCH(507, 輔助計算!$G$2:$G$801, 0)+1))&lt;=1181,2,1))))=0,"",IF(MOD(INDEX(輔助計算!$D:$D, (MATCH(507, 輔助計算!$G$2:$G$801, 0)+1)),IF(INDEX(ERP資料!$G:$G, (MATCH(507, 輔助計算!$G$2:$G$801, 0)+1))&lt;100, IF(INDEX(ERP資料!$G:$G, (MATCH(507, 輔助計算!$G$2:$G$801, 0)+1))&lt;=31,3,IF(INDEX(ERP資料!$G:$G, (MATCH(507, 輔助計算!$G$2:$G$801, 0)+1))&lt;=46.5,2,1)), IF(INDEX(ERP資料!$G:$G, (MATCH(507, 輔助計算!$G$2:$G$801, 0)+1))&lt;=790,3,IF(INDEX(ERP資料!$G:$G, (MATCH(507, 輔助計算!$G$2:$G$801, 0)+1))&lt;=1181,2,1))))=1,TEXT(INDEX(ERP資料!$G:$G, (MATCH(507, 輔助計算!$G$2:$G$801, 0)+1)),"0.##"),IF(MOD(INDEX(輔助計算!$D:$D, (MATCH(507, 輔助計算!$G$2:$G$801, 0)+1)),IF(INDEX(ERP資料!$G:$G, (MATCH(507, 輔助計算!$G$2:$G$801, 0)+1))&lt;100, IF(INDEX(ERP資料!$G:$G, (MATCH(507, 輔助計算!$G$2:$G$801, 0)+1))&lt;=31,3,IF(INDEX(ERP資料!$G:$G, (MATCH(507, 輔助計算!$G$2:$G$801, 0)+1))&lt;=46.5,2,1)), IF(INDEX(ERP資料!$G:$G, (MATCH(507, 輔助計算!$G$2:$G$801, 0)+1))&lt;=790,3,IF(INDEX(ERP資料!$G:$G, (MATCH(507, 輔助計算!$G$2:$G$801, 0)+1))&lt;=1181,2,1))))=2,TEXT(INDEX(ERP資料!$G:$G, (MATCH(507, 輔助計算!$G$2:$G$801, 0)+1)),"0.##")&amp;"+"&amp;TEXT(INDEX(ERP資料!$G:$G, (MATCH(507, 輔助計算!$G$2:$G$801, 0)+1)),"0.##"),TEXT(INDEX(ERP資料!$G:$G, (MATCH(507, 輔助計算!$G$2:$G$801, 0)+1)),"0.##")&amp;"+"&amp;TEXT(INDEX(ERP資料!$G:$G, (MATCH(507, 輔助計算!$G$2:$G$801, 0)+1)),"0.##")&amp;"+"&amp;TEXT(INDEX(ERP資料!$G:$G, (MATCH(507, 輔助計算!$G$2:$G$801, 0)+1)),"0.##"))))&amp;"-1")&lt;&gt;""),"  ","")&amp;IF(MOD(INDEX(輔助計算!$D:$D, (MATCH(507, 輔助計算!$G$2:$G$801, 0)+1)),IF(INDEX(ERP資料!$G:$G, (MATCH(507, 輔助計算!$G$2:$G$801, 0)+1))&lt;100, IF(INDEX(ERP資料!$G:$G, (MATCH(507, 輔助計算!$G$2:$G$801, 0)+1))&lt;=31,3,IF(INDEX(ERP資料!$G:$G, (MATCH(507, 輔助計算!$G$2:$G$801, 0)+1))&lt;=46.5,2,1)), IF(INDEX(ERP資料!$G:$G, (MATCH(507, 輔助計算!$G$2:$G$801, 0)+1))&lt;=790,3,IF(INDEX(ERP資料!$G:$G, (MATCH(507, 輔助計算!$G$2:$G$801, 0)+1))&lt;=1181,2,1))))=0,"",IF(MOD(INDEX(輔助計算!$D:$D, (MATCH(507, 輔助計算!$G$2:$G$801, 0)+1)),IF(INDEX(ERP資料!$G:$G, (MATCH(507, 輔助計算!$G$2:$G$801, 0)+1))&lt;100, IF(INDEX(ERP資料!$G:$G, (MATCH(507, 輔助計算!$G$2:$G$801, 0)+1))&lt;=31,3,IF(INDEX(ERP資料!$G:$G, (MATCH(507, 輔助計算!$G$2:$G$801, 0)+1))&lt;=46.5,2,1)), IF(INDEX(ERP資料!$G:$G, (MATCH(507, 輔助計算!$G$2:$G$801, 0)+1))&lt;=790,3,IF(INDEX(ERP資料!$G:$G, (MATCH(507, 輔助計算!$G$2:$G$801, 0)+1))&lt;=1181,2,1))))=0,"",IF(MOD(INDEX(輔助計算!$D:$D, (MATCH(507, 輔助計算!$G$2:$G$801, 0)+1)),IF(INDEX(ERP資料!$G:$G, (MATCH(507, 輔助計算!$G$2:$G$801, 0)+1))&lt;100, IF(INDEX(ERP資料!$G:$G, (MATCH(507, 輔助計算!$G$2:$G$801, 0)+1))&lt;=31,3,IF(INDEX(ERP資料!$G:$G, (MATCH(507, 輔助計算!$G$2:$G$801, 0)+1))&lt;=46.5,2,1)), IF(INDEX(ERP資料!$G:$G, (MATCH(507, 輔助計算!$G$2:$G$801, 0)+1))&lt;=790,3,IF(INDEX(ERP資料!$G:$G, (MATCH(507, 輔助計算!$G$2:$G$801, 0)+1))&lt;=1181,2,1))))=1,TEXT(INDEX(ERP資料!$G:$G, (MATCH(507, 輔助計算!$G$2:$G$801, 0)+1)),"0.##"),IF(MOD(INDEX(輔助計算!$D:$D, (MATCH(507, 輔助計算!$G$2:$G$801, 0)+1)),IF(INDEX(ERP資料!$G:$G, (MATCH(507, 輔助計算!$G$2:$G$801, 0)+1))&lt;100, IF(INDEX(ERP資料!$G:$G, (MATCH(507, 輔助計算!$G$2:$G$801, 0)+1))&lt;=31,3,IF(INDEX(ERP資料!$G:$G, (MATCH(507, 輔助計算!$G$2:$G$801, 0)+1))&lt;=46.5,2,1)), IF(INDEX(ERP資料!$G:$G, (MATCH(507, 輔助計算!$G$2:$G$801, 0)+1))&lt;=790,3,IF(INDEX(ERP資料!$G:$G, (MATCH(507, 輔助計算!$G$2:$G$801, 0)+1))&lt;=1181,2,1))))=2,TEXT(INDEX(ERP資料!$G:$G, (MATCH(507, 輔助計算!$G$2:$G$801, 0)+1)),"0.##")&amp;"+"&amp;TEXT(INDEX(ERP資料!$G:$G, (MATCH(507, 輔助計算!$G$2:$G$801, 0)+1)),"0.##"),TEXT(INDEX(ERP資料!$G:$G, (MATCH(507, 輔助計算!$G$2:$G$801, 0)+1)),"0.##")&amp;"+"&amp;TEXT(INDEX(ERP資料!$G:$G, (MATCH(507, 輔助計算!$G$2:$G$801, 0)+1)),"0.##")&amp;"+"&amp;TEXT(INDEX(ERP資料!$G:$G, (MATCH(507, 輔助計算!$G$2:$G$801, 0)+1)),"0.##"))))&amp;"-1")), ""), "")</f>
        <v/>
      </c>
      <c r="K508" s="16" t="n"/>
      <c r="L508" s="14">
        <f>IFERROR(IF(AND(IFERROR(INDEX(ERP資料!$A:$A, (MATCH(507, 輔助計算!$G$2:$G$801, 0)+1)), "")&lt;&gt;"", IFERROR(INDEX(ERP資料!$A:$A, (MATCH(507, 輔助計算!$G$2:$G$801, 0)+1)), "")&lt;&gt;IFERROR(INDEX(ERP資料!$A:$A, MATCH(506, 輔助計算!$G$2:$G$801, 0)+1), "")), INDEX(ERP資料!$B:$B, (MATCH(507, 輔助計算!$G$2:$G$801, 0)+1)), ""), "")</f>
        <v/>
      </c>
      <c r="M508" s="17" t="n"/>
    </row>
    <row r="509">
      <c r="A509" s="10">
        <f>IFERROR(IF(AND(IFERROR(INDEX(ERP資料!$A:$A, (MATCH(508, 輔助計算!$G$2:$G$801, 0)+1)), "")&lt;&gt;"", IFERROR(INDEX(ERP資料!$A:$A, (MATCH(508, 輔助計算!$G$2:$G$801, 0)+1)), "")&lt;&gt;IFERROR(INDEX(ERP資料!$A:$A, MATCH(507, 輔助計算!$G$2:$G$801, 0)+1), "")), IFERROR(INDEX(ERP資料!$A:$A, (MATCH(508, 輔助計算!$G$2:$G$801, 0)+1)), ""), ""), "")</f>
        <v/>
      </c>
      <c r="B509" s="10">
        <f>IFERROR(IF(AND(IFERROR(INDEX(ERP資料!$A:$A, (MATCH(508, 輔助計算!$G$2:$G$801, 0)+1)), "")&lt;&gt;"", IFERROR(INDEX(ERP資料!$A:$A, (MATCH(508, 輔助計算!$G$2:$G$801, 0)+1)), "")&lt;&gt;IFERROR(INDEX(ERP資料!$A:$A, MATCH(507, 輔助計算!$G$2:$G$801, 0)+1), "")), INDEX(ERP資料!$S:$S, (MATCH(508, 輔助計算!$G$2:$G$801, 0)+1)), ""), "")</f>
        <v/>
      </c>
      <c r="C509" s="19">
        <f>IFERROR(IF(AND(IFERROR(INDEX(ERP資料!$A:$A, (MATCH(508, 輔助計算!$G$2:$G$801, 0)+1)), "")&lt;&gt;"", IFERROR(INDEX(ERP資料!$A:$A, (MATCH(508, 輔助計算!$G$2:$G$801, 0)+1)), "")&lt;&gt;IFERROR(INDEX(ERP資料!$A:$A, MATCH(507, 輔助計算!$G$2:$G$801, 0)+1), "")), IFERROR(VLOOKUP(LEFT(INDEX(ERP資料!$S:$S, (MATCH(508, 輔助計算!$G$2:$G$801, 0)+1)), 4), 紙管對照表!$A:$C, 3, FALSE), ""), ""), "")</f>
        <v/>
      </c>
      <c r="D509" s="16" t="n"/>
      <c r="E509" s="10">
        <f>IFERROR(IF(INDEX(ERP資料!$H:$H, (MATCH(508, 輔助計算!$G$2:$G$801, 0)+1))="","",INDEX(ERP資料!$H:$H, (MATCH(508, 輔助計算!$G$2:$G$801, 0)+1))), "")</f>
        <v/>
      </c>
      <c r="F509" s="10">
        <f>IFERROR(IF(INDEX(ERP資料!$E:$E, (MATCH(508, 輔助計算!$G$2:$G$801, 0)+1))="","",TRIM(INDEX(ERP資料!$E:$E, (MATCH(508, 輔助計算!$G$2:$G$801, 0)+1)))), "")</f>
        <v/>
      </c>
      <c r="G509" s="10">
        <f>IFERROR(IF(INDEX(ERP資料!$F:$F, (MATCH(508, 輔助計算!$G$2:$G$801, 0)+1))="","",INDEX(ERP資料!$F:$F, (MATCH(508, 輔助計算!$G$2:$G$801, 0)+1))), "")</f>
        <v/>
      </c>
      <c r="H509" s="10">
        <f>IFERROR(IF(INDEX(ERP資料!$G:$G, (MATCH(508, 輔助計算!$G$2:$G$801, 0)+1))="","",INDEX(ERP資料!$G:$G, (MATCH(508, 輔助計算!$G$2:$G$801, 0)+1))), "")</f>
        <v/>
      </c>
      <c r="I509" s="15">
        <f>IFERROR(INDEX(輔助計算!$D:$D, (MATCH(508, 輔助計算!$G$2:$G$801, 0)+1)), "")</f>
        <v/>
      </c>
      <c r="J509" s="15">
        <f>IFERROR(IF(AND(INDEX(輔助計算!$D:$D, (MATCH(508, 輔助計算!$G$2:$G$801, 0)+1))&lt;&gt;"", INDEX(ERP資料!$G:$G, (MATCH(508, 輔助計算!$G$2:$G$801, 0)+1))&lt;&gt;""), TRIM(IF(INT(INDEX(輔助計算!$D:$D, (MATCH(508, 輔助計算!$G$2:$G$801, 0)+1))/IF(INDEX(ERP資料!$G:$G, (MATCH(508, 輔助計算!$G$2:$G$801, 0)+1))&lt;100, IF(INDEX(ERP資料!$G:$G, (MATCH(508, 輔助計算!$G$2:$G$801, 0)+1))&lt;=31,3,IF(INDEX(ERP資料!$G:$G, (MATCH(508, 輔助計算!$G$2:$G$801, 0)+1))&lt;=46.5,2,1)), IF(INDEX(ERP資料!$G:$G, (MATCH(508, 輔助計算!$G$2:$G$801, 0)+1))&lt;=790,3,IF(INDEX(ERP資料!$G:$G, (MATCH(508, 輔助計算!$G$2:$G$801, 0)+1))&lt;=1181,2,1))))&gt;0, IF(IF(INDEX(ERP資料!$G:$G, (MATCH(508, 輔助計算!$G$2:$G$801, 0)+1))&lt;100, IF(INDEX(ERP資料!$G:$G, (MATCH(508, 輔助計算!$G$2:$G$801, 0)+1))&lt;=31,3,IF(INDEX(ERP資料!$G:$G, (MATCH(508, 輔助計算!$G$2:$G$801, 0)+1))&lt;=46.5,2,1)), IF(INDEX(ERP資料!$G:$G, (MATCH(508, 輔助計算!$G$2:$G$801, 0)+1))&lt;=790,3,IF(INDEX(ERP資料!$G:$G, (MATCH(508, 輔助計算!$G$2:$G$801, 0)+1))&lt;=1181,2,1)))=1,TEXT(INDEX(ERP資料!$G:$G, (MATCH(508, 輔助計算!$G$2:$G$801, 0)+1)),"0.##"),IF(IF(INDEX(ERP資料!$G:$G, (MATCH(508, 輔助計算!$G$2:$G$801, 0)+1))&lt;100, IF(INDEX(ERP資料!$G:$G, (MATCH(508, 輔助計算!$G$2:$G$801, 0)+1))&lt;=31,3,IF(INDEX(ERP資料!$G:$G, (MATCH(508, 輔助計算!$G$2:$G$801, 0)+1))&lt;=46.5,2,1)), IF(INDEX(ERP資料!$G:$G, (MATCH(508, 輔助計算!$G$2:$G$801, 0)+1))&lt;=790,3,IF(INDEX(ERP資料!$G:$G, (MATCH(508, 輔助計算!$G$2:$G$801, 0)+1))&lt;=1181,2,1)))=2,TEXT(INDEX(ERP資料!$G:$G, (MATCH(508, 輔助計算!$G$2:$G$801, 0)+1)),"0.##")&amp;"+"&amp;TEXT(INDEX(ERP資料!$G:$G, (MATCH(508, 輔助計算!$G$2:$G$801, 0)+1)),"0.##"),TEXT(INDEX(ERP資料!$G:$G, (MATCH(508, 輔助計算!$G$2:$G$801, 0)+1)),"0.##")&amp;"+"&amp;TEXT(INDEX(ERP資料!$G:$G, (MATCH(508, 輔助計算!$G$2:$G$801, 0)+1)),"0.##")&amp;"+"&amp;TEXT(INDEX(ERP資料!$G:$G, (MATCH(508, 輔助計算!$G$2:$G$801, 0)+1)),"0.##")))&amp;"-"&amp;INT(INDEX(輔助計算!$D:$D, (MATCH(508, 輔助計算!$G$2:$G$801, 0)+1))/IF(INDEX(ERP資料!$G:$G, (MATCH(508, 輔助計算!$G$2:$G$801, 0)+1))&lt;100, IF(INDEX(ERP資料!$G:$G, (MATCH(508, 輔助計算!$G$2:$G$801, 0)+1))&lt;=31,3,IF(INDEX(ERP資料!$G:$G, (MATCH(508, 輔助計算!$G$2:$G$801, 0)+1))&lt;=46.5,2,1)), IF(INDEX(ERP資料!$G:$G, (MATCH(508, 輔助計算!$G$2:$G$801, 0)+1))&lt;=790,3,IF(INDEX(ERP資料!$G:$G, (MATCH(508, 輔助計算!$G$2:$G$801, 0)+1))&lt;=1181,2,1)))), "")&amp;IF(AND(IF(INT(INDEX(輔助計算!$D:$D, (MATCH(508, 輔助計算!$G$2:$G$801, 0)+1))/IF(INDEX(ERP資料!$G:$G, (MATCH(508, 輔助計算!$G$2:$G$801, 0)+1))&lt;100, IF(INDEX(ERP資料!$G:$G, (MATCH(508, 輔助計算!$G$2:$G$801, 0)+1))&lt;=31,3,IF(INDEX(ERP資料!$G:$G, (MATCH(508, 輔助計算!$G$2:$G$801, 0)+1))&lt;=46.5,2,1)), IF(INDEX(ERP資料!$G:$G, (MATCH(508, 輔助計算!$G$2:$G$801, 0)+1))&lt;=790,3,IF(INDEX(ERP資料!$G:$G, (MATCH(508, 輔助計算!$G$2:$G$801, 0)+1))&lt;=1181,2,1))))&gt;0, IF(IF(INDEX(ERP資料!$G:$G, (MATCH(508, 輔助計算!$G$2:$G$801, 0)+1))&lt;100, IF(INDEX(ERP資料!$G:$G, (MATCH(508, 輔助計算!$G$2:$G$801, 0)+1))&lt;=31,3,IF(INDEX(ERP資料!$G:$G, (MATCH(508, 輔助計算!$G$2:$G$801, 0)+1))&lt;=46.5,2,1)), IF(INDEX(ERP資料!$G:$G, (MATCH(508, 輔助計算!$G$2:$G$801, 0)+1))&lt;=790,3,IF(INDEX(ERP資料!$G:$G, (MATCH(508, 輔助計算!$G$2:$G$801, 0)+1))&lt;=1181,2,1)))=1,TEXT(INDEX(ERP資料!$G:$G, (MATCH(508, 輔助計算!$G$2:$G$801, 0)+1)),"0.##"),IF(IF(INDEX(ERP資料!$G:$G, (MATCH(508, 輔助計算!$G$2:$G$801, 0)+1))&lt;100, IF(INDEX(ERP資料!$G:$G, (MATCH(508, 輔助計算!$G$2:$G$801, 0)+1))&lt;=31,3,IF(INDEX(ERP資料!$G:$G, (MATCH(508, 輔助計算!$G$2:$G$801, 0)+1))&lt;=46.5,2,1)), IF(INDEX(ERP資料!$G:$G, (MATCH(508, 輔助計算!$G$2:$G$801, 0)+1))&lt;=790,3,IF(INDEX(ERP資料!$G:$G, (MATCH(508, 輔助計算!$G$2:$G$801, 0)+1))&lt;=1181,2,1)))=2,TEXT(INDEX(ERP資料!$G:$G, (MATCH(508, 輔助計算!$G$2:$G$801, 0)+1)),"0.##")&amp;"+"&amp;TEXT(INDEX(ERP資料!$G:$G, (MATCH(508, 輔助計算!$G$2:$G$801, 0)+1)),"0.##"),TEXT(INDEX(ERP資料!$G:$G, (MATCH(508, 輔助計算!$G$2:$G$801, 0)+1)),"0.##")&amp;"+"&amp;TEXT(INDEX(ERP資料!$G:$G, (MATCH(508, 輔助計算!$G$2:$G$801, 0)+1)),"0.##")&amp;"+"&amp;TEXT(INDEX(ERP資料!$G:$G, (MATCH(508, 輔助計算!$G$2:$G$801, 0)+1)),"0.##")))&amp;"-"&amp;INT(INDEX(輔助計算!$D:$D, (MATCH(508, 輔助計算!$G$2:$G$801, 0)+1))/IF(INDEX(ERP資料!$G:$G, (MATCH(508, 輔助計算!$G$2:$G$801, 0)+1))&lt;100, IF(INDEX(ERP資料!$G:$G, (MATCH(508, 輔助計算!$G$2:$G$801, 0)+1))&lt;=31,3,IF(INDEX(ERP資料!$G:$G, (MATCH(508, 輔助計算!$G$2:$G$801, 0)+1))&lt;=46.5,2,1)), IF(INDEX(ERP資料!$G:$G, (MATCH(508, 輔助計算!$G$2:$G$801, 0)+1))&lt;=790,3,IF(INDEX(ERP資料!$G:$G, (MATCH(508, 輔助計算!$G$2:$G$801, 0)+1))&lt;=1181,2,1)))), "")&lt;&gt;"",IF(MOD(INDEX(輔助計算!$D:$D, (MATCH(508, 輔助計算!$G$2:$G$801, 0)+1)),IF(INDEX(ERP資料!$G:$G, (MATCH(508, 輔助計算!$G$2:$G$801, 0)+1))&lt;100, IF(INDEX(ERP資料!$G:$G, (MATCH(508, 輔助計算!$G$2:$G$801, 0)+1))&lt;=31,3,IF(INDEX(ERP資料!$G:$G, (MATCH(508, 輔助計算!$G$2:$G$801, 0)+1))&lt;=46.5,2,1)), IF(INDEX(ERP資料!$G:$G, (MATCH(508, 輔助計算!$G$2:$G$801, 0)+1))&lt;=790,3,IF(INDEX(ERP資料!$G:$G, (MATCH(508, 輔助計算!$G$2:$G$801, 0)+1))&lt;=1181,2,1))))=0,"",IF(MOD(INDEX(輔助計算!$D:$D, (MATCH(508, 輔助計算!$G$2:$G$801, 0)+1)),IF(INDEX(ERP資料!$G:$G, (MATCH(508, 輔助計算!$G$2:$G$801, 0)+1))&lt;100, IF(INDEX(ERP資料!$G:$G, (MATCH(508, 輔助計算!$G$2:$G$801, 0)+1))&lt;=31,3,IF(INDEX(ERP資料!$G:$G, (MATCH(508, 輔助計算!$G$2:$G$801, 0)+1))&lt;=46.5,2,1)), IF(INDEX(ERP資料!$G:$G, (MATCH(508, 輔助計算!$G$2:$G$801, 0)+1))&lt;=790,3,IF(INDEX(ERP資料!$G:$G, (MATCH(508, 輔助計算!$G$2:$G$801, 0)+1))&lt;=1181,2,1))))=0,"",IF(MOD(INDEX(輔助計算!$D:$D, (MATCH(508, 輔助計算!$G$2:$G$801, 0)+1)),IF(INDEX(ERP資料!$G:$G, (MATCH(508, 輔助計算!$G$2:$G$801, 0)+1))&lt;100, IF(INDEX(ERP資料!$G:$G, (MATCH(508, 輔助計算!$G$2:$G$801, 0)+1))&lt;=31,3,IF(INDEX(ERP資料!$G:$G, (MATCH(508, 輔助計算!$G$2:$G$801, 0)+1))&lt;=46.5,2,1)), IF(INDEX(ERP資料!$G:$G, (MATCH(508, 輔助計算!$G$2:$G$801, 0)+1))&lt;=790,3,IF(INDEX(ERP資料!$G:$G, (MATCH(508, 輔助計算!$G$2:$G$801, 0)+1))&lt;=1181,2,1))))=1,TEXT(INDEX(ERP資料!$G:$G, (MATCH(508, 輔助計算!$G$2:$G$801, 0)+1)),"0.##"),IF(MOD(INDEX(輔助計算!$D:$D, (MATCH(508, 輔助計算!$G$2:$G$801, 0)+1)),IF(INDEX(ERP資料!$G:$G, (MATCH(508, 輔助計算!$G$2:$G$801, 0)+1))&lt;100, IF(INDEX(ERP資料!$G:$G, (MATCH(508, 輔助計算!$G$2:$G$801, 0)+1))&lt;=31,3,IF(INDEX(ERP資料!$G:$G, (MATCH(508, 輔助計算!$G$2:$G$801, 0)+1))&lt;=46.5,2,1)), IF(INDEX(ERP資料!$G:$G, (MATCH(508, 輔助計算!$G$2:$G$801, 0)+1))&lt;=790,3,IF(INDEX(ERP資料!$G:$G, (MATCH(508, 輔助計算!$G$2:$G$801, 0)+1))&lt;=1181,2,1))))=2,TEXT(INDEX(ERP資料!$G:$G, (MATCH(508, 輔助計算!$G$2:$G$801, 0)+1)),"0.##")&amp;"+"&amp;TEXT(INDEX(ERP資料!$G:$G, (MATCH(508, 輔助計算!$G$2:$G$801, 0)+1)),"0.##"),TEXT(INDEX(ERP資料!$G:$G, (MATCH(508, 輔助計算!$G$2:$G$801, 0)+1)),"0.##")&amp;"+"&amp;TEXT(INDEX(ERP資料!$G:$G, (MATCH(508, 輔助計算!$G$2:$G$801, 0)+1)),"0.##")&amp;"+"&amp;TEXT(INDEX(ERP資料!$G:$G, (MATCH(508, 輔助計算!$G$2:$G$801, 0)+1)),"0.##"))))&amp;"-1")&lt;&gt;""),"  ","")&amp;IF(MOD(INDEX(輔助計算!$D:$D, (MATCH(508, 輔助計算!$G$2:$G$801, 0)+1)),IF(INDEX(ERP資料!$G:$G, (MATCH(508, 輔助計算!$G$2:$G$801, 0)+1))&lt;100, IF(INDEX(ERP資料!$G:$G, (MATCH(508, 輔助計算!$G$2:$G$801, 0)+1))&lt;=31,3,IF(INDEX(ERP資料!$G:$G, (MATCH(508, 輔助計算!$G$2:$G$801, 0)+1))&lt;=46.5,2,1)), IF(INDEX(ERP資料!$G:$G, (MATCH(508, 輔助計算!$G$2:$G$801, 0)+1))&lt;=790,3,IF(INDEX(ERP資料!$G:$G, (MATCH(508, 輔助計算!$G$2:$G$801, 0)+1))&lt;=1181,2,1))))=0,"",IF(MOD(INDEX(輔助計算!$D:$D, (MATCH(508, 輔助計算!$G$2:$G$801, 0)+1)),IF(INDEX(ERP資料!$G:$G, (MATCH(508, 輔助計算!$G$2:$G$801, 0)+1))&lt;100, IF(INDEX(ERP資料!$G:$G, (MATCH(508, 輔助計算!$G$2:$G$801, 0)+1))&lt;=31,3,IF(INDEX(ERP資料!$G:$G, (MATCH(508, 輔助計算!$G$2:$G$801, 0)+1))&lt;=46.5,2,1)), IF(INDEX(ERP資料!$G:$G, (MATCH(508, 輔助計算!$G$2:$G$801, 0)+1))&lt;=790,3,IF(INDEX(ERP資料!$G:$G, (MATCH(508, 輔助計算!$G$2:$G$801, 0)+1))&lt;=1181,2,1))))=0,"",IF(MOD(INDEX(輔助計算!$D:$D, (MATCH(508, 輔助計算!$G$2:$G$801, 0)+1)),IF(INDEX(ERP資料!$G:$G, (MATCH(508, 輔助計算!$G$2:$G$801, 0)+1))&lt;100, IF(INDEX(ERP資料!$G:$G, (MATCH(508, 輔助計算!$G$2:$G$801, 0)+1))&lt;=31,3,IF(INDEX(ERP資料!$G:$G, (MATCH(508, 輔助計算!$G$2:$G$801, 0)+1))&lt;=46.5,2,1)), IF(INDEX(ERP資料!$G:$G, (MATCH(508, 輔助計算!$G$2:$G$801, 0)+1))&lt;=790,3,IF(INDEX(ERP資料!$G:$G, (MATCH(508, 輔助計算!$G$2:$G$801, 0)+1))&lt;=1181,2,1))))=1,TEXT(INDEX(ERP資料!$G:$G, (MATCH(508, 輔助計算!$G$2:$G$801, 0)+1)),"0.##"),IF(MOD(INDEX(輔助計算!$D:$D, (MATCH(508, 輔助計算!$G$2:$G$801, 0)+1)),IF(INDEX(ERP資料!$G:$G, (MATCH(508, 輔助計算!$G$2:$G$801, 0)+1))&lt;100, IF(INDEX(ERP資料!$G:$G, (MATCH(508, 輔助計算!$G$2:$G$801, 0)+1))&lt;=31,3,IF(INDEX(ERP資料!$G:$G, (MATCH(508, 輔助計算!$G$2:$G$801, 0)+1))&lt;=46.5,2,1)), IF(INDEX(ERP資料!$G:$G, (MATCH(508, 輔助計算!$G$2:$G$801, 0)+1))&lt;=790,3,IF(INDEX(ERP資料!$G:$G, (MATCH(508, 輔助計算!$G$2:$G$801, 0)+1))&lt;=1181,2,1))))=2,TEXT(INDEX(ERP資料!$G:$G, (MATCH(508, 輔助計算!$G$2:$G$801, 0)+1)),"0.##")&amp;"+"&amp;TEXT(INDEX(ERP資料!$G:$G, (MATCH(508, 輔助計算!$G$2:$G$801, 0)+1)),"0.##"),TEXT(INDEX(ERP資料!$G:$G, (MATCH(508, 輔助計算!$G$2:$G$801, 0)+1)),"0.##")&amp;"+"&amp;TEXT(INDEX(ERP資料!$G:$G, (MATCH(508, 輔助計算!$G$2:$G$801, 0)+1)),"0.##")&amp;"+"&amp;TEXT(INDEX(ERP資料!$G:$G, (MATCH(508, 輔助計算!$G$2:$G$801, 0)+1)),"0.##"))))&amp;"-1")), ""), "")</f>
        <v/>
      </c>
      <c r="K509" s="16" t="n"/>
      <c r="L509" s="14">
        <f>IFERROR(IF(AND(IFERROR(INDEX(ERP資料!$A:$A, (MATCH(508, 輔助計算!$G$2:$G$801, 0)+1)), "")&lt;&gt;"", IFERROR(INDEX(ERP資料!$A:$A, (MATCH(508, 輔助計算!$G$2:$G$801, 0)+1)), "")&lt;&gt;IFERROR(INDEX(ERP資料!$A:$A, MATCH(507, 輔助計算!$G$2:$G$801, 0)+1), "")), INDEX(ERP資料!$B:$B, (MATCH(508, 輔助計算!$G$2:$G$801, 0)+1)), ""), "")</f>
        <v/>
      </c>
      <c r="M509" s="17" t="n"/>
    </row>
    <row r="510">
      <c r="A510" s="10">
        <f>IFERROR(IF(AND(IFERROR(INDEX(ERP資料!$A:$A, (MATCH(509, 輔助計算!$G$2:$G$801, 0)+1)), "")&lt;&gt;"", IFERROR(INDEX(ERP資料!$A:$A, (MATCH(509, 輔助計算!$G$2:$G$801, 0)+1)), "")&lt;&gt;IFERROR(INDEX(ERP資料!$A:$A, MATCH(508, 輔助計算!$G$2:$G$801, 0)+1), "")), IFERROR(INDEX(ERP資料!$A:$A, (MATCH(509, 輔助計算!$G$2:$G$801, 0)+1)), ""), ""), "")</f>
        <v/>
      </c>
      <c r="B510" s="10">
        <f>IFERROR(IF(AND(IFERROR(INDEX(ERP資料!$A:$A, (MATCH(509, 輔助計算!$G$2:$G$801, 0)+1)), "")&lt;&gt;"", IFERROR(INDEX(ERP資料!$A:$A, (MATCH(509, 輔助計算!$G$2:$G$801, 0)+1)), "")&lt;&gt;IFERROR(INDEX(ERP資料!$A:$A, MATCH(508, 輔助計算!$G$2:$G$801, 0)+1), "")), INDEX(ERP資料!$S:$S, (MATCH(509, 輔助計算!$G$2:$G$801, 0)+1)), ""), "")</f>
        <v/>
      </c>
      <c r="C510" s="19">
        <f>IFERROR(IF(AND(IFERROR(INDEX(ERP資料!$A:$A, (MATCH(509, 輔助計算!$G$2:$G$801, 0)+1)), "")&lt;&gt;"", IFERROR(INDEX(ERP資料!$A:$A, (MATCH(509, 輔助計算!$G$2:$G$801, 0)+1)), "")&lt;&gt;IFERROR(INDEX(ERP資料!$A:$A, MATCH(508, 輔助計算!$G$2:$G$801, 0)+1), "")), IFERROR(VLOOKUP(LEFT(INDEX(ERP資料!$S:$S, (MATCH(509, 輔助計算!$G$2:$G$801, 0)+1)), 4), 紙管對照表!$A:$C, 3, FALSE), ""), ""), "")</f>
        <v/>
      </c>
      <c r="D510" s="16" t="n"/>
      <c r="E510" s="10">
        <f>IFERROR(IF(INDEX(ERP資料!$H:$H, (MATCH(509, 輔助計算!$G$2:$G$801, 0)+1))="","",INDEX(ERP資料!$H:$H, (MATCH(509, 輔助計算!$G$2:$G$801, 0)+1))), "")</f>
        <v/>
      </c>
      <c r="F510" s="10">
        <f>IFERROR(IF(INDEX(ERP資料!$E:$E, (MATCH(509, 輔助計算!$G$2:$G$801, 0)+1))="","",TRIM(INDEX(ERP資料!$E:$E, (MATCH(509, 輔助計算!$G$2:$G$801, 0)+1)))), "")</f>
        <v/>
      </c>
      <c r="G510" s="10">
        <f>IFERROR(IF(INDEX(ERP資料!$F:$F, (MATCH(509, 輔助計算!$G$2:$G$801, 0)+1))="","",INDEX(ERP資料!$F:$F, (MATCH(509, 輔助計算!$G$2:$G$801, 0)+1))), "")</f>
        <v/>
      </c>
      <c r="H510" s="10">
        <f>IFERROR(IF(INDEX(ERP資料!$G:$G, (MATCH(509, 輔助計算!$G$2:$G$801, 0)+1))="","",INDEX(ERP資料!$G:$G, (MATCH(509, 輔助計算!$G$2:$G$801, 0)+1))), "")</f>
        <v/>
      </c>
      <c r="I510" s="15">
        <f>IFERROR(INDEX(輔助計算!$D:$D, (MATCH(509, 輔助計算!$G$2:$G$801, 0)+1)), "")</f>
        <v/>
      </c>
      <c r="J510" s="15">
        <f>IFERROR(IF(AND(INDEX(輔助計算!$D:$D, (MATCH(509, 輔助計算!$G$2:$G$801, 0)+1))&lt;&gt;"", INDEX(ERP資料!$G:$G, (MATCH(509, 輔助計算!$G$2:$G$801, 0)+1))&lt;&gt;""), TRIM(IF(INT(INDEX(輔助計算!$D:$D, (MATCH(509, 輔助計算!$G$2:$G$801, 0)+1))/IF(INDEX(ERP資料!$G:$G, (MATCH(509, 輔助計算!$G$2:$G$801, 0)+1))&lt;100, IF(INDEX(ERP資料!$G:$G, (MATCH(509, 輔助計算!$G$2:$G$801, 0)+1))&lt;=31,3,IF(INDEX(ERP資料!$G:$G, (MATCH(509, 輔助計算!$G$2:$G$801, 0)+1))&lt;=46.5,2,1)), IF(INDEX(ERP資料!$G:$G, (MATCH(509, 輔助計算!$G$2:$G$801, 0)+1))&lt;=790,3,IF(INDEX(ERP資料!$G:$G, (MATCH(509, 輔助計算!$G$2:$G$801, 0)+1))&lt;=1181,2,1))))&gt;0, IF(IF(INDEX(ERP資料!$G:$G, (MATCH(509, 輔助計算!$G$2:$G$801, 0)+1))&lt;100, IF(INDEX(ERP資料!$G:$G, (MATCH(509, 輔助計算!$G$2:$G$801, 0)+1))&lt;=31,3,IF(INDEX(ERP資料!$G:$G, (MATCH(509, 輔助計算!$G$2:$G$801, 0)+1))&lt;=46.5,2,1)), IF(INDEX(ERP資料!$G:$G, (MATCH(509, 輔助計算!$G$2:$G$801, 0)+1))&lt;=790,3,IF(INDEX(ERP資料!$G:$G, (MATCH(509, 輔助計算!$G$2:$G$801, 0)+1))&lt;=1181,2,1)))=1,TEXT(INDEX(ERP資料!$G:$G, (MATCH(509, 輔助計算!$G$2:$G$801, 0)+1)),"0.##"),IF(IF(INDEX(ERP資料!$G:$G, (MATCH(509, 輔助計算!$G$2:$G$801, 0)+1))&lt;100, IF(INDEX(ERP資料!$G:$G, (MATCH(509, 輔助計算!$G$2:$G$801, 0)+1))&lt;=31,3,IF(INDEX(ERP資料!$G:$G, (MATCH(509, 輔助計算!$G$2:$G$801, 0)+1))&lt;=46.5,2,1)), IF(INDEX(ERP資料!$G:$G, (MATCH(509, 輔助計算!$G$2:$G$801, 0)+1))&lt;=790,3,IF(INDEX(ERP資料!$G:$G, (MATCH(509, 輔助計算!$G$2:$G$801, 0)+1))&lt;=1181,2,1)))=2,TEXT(INDEX(ERP資料!$G:$G, (MATCH(509, 輔助計算!$G$2:$G$801, 0)+1)),"0.##")&amp;"+"&amp;TEXT(INDEX(ERP資料!$G:$G, (MATCH(509, 輔助計算!$G$2:$G$801, 0)+1)),"0.##"),TEXT(INDEX(ERP資料!$G:$G, (MATCH(509, 輔助計算!$G$2:$G$801, 0)+1)),"0.##")&amp;"+"&amp;TEXT(INDEX(ERP資料!$G:$G, (MATCH(509, 輔助計算!$G$2:$G$801, 0)+1)),"0.##")&amp;"+"&amp;TEXT(INDEX(ERP資料!$G:$G, (MATCH(509, 輔助計算!$G$2:$G$801, 0)+1)),"0.##")))&amp;"-"&amp;INT(INDEX(輔助計算!$D:$D, (MATCH(509, 輔助計算!$G$2:$G$801, 0)+1))/IF(INDEX(ERP資料!$G:$G, (MATCH(509, 輔助計算!$G$2:$G$801, 0)+1))&lt;100, IF(INDEX(ERP資料!$G:$G, (MATCH(509, 輔助計算!$G$2:$G$801, 0)+1))&lt;=31,3,IF(INDEX(ERP資料!$G:$G, (MATCH(509, 輔助計算!$G$2:$G$801, 0)+1))&lt;=46.5,2,1)), IF(INDEX(ERP資料!$G:$G, (MATCH(509, 輔助計算!$G$2:$G$801, 0)+1))&lt;=790,3,IF(INDEX(ERP資料!$G:$G, (MATCH(509, 輔助計算!$G$2:$G$801, 0)+1))&lt;=1181,2,1)))), "")&amp;IF(AND(IF(INT(INDEX(輔助計算!$D:$D, (MATCH(509, 輔助計算!$G$2:$G$801, 0)+1))/IF(INDEX(ERP資料!$G:$G, (MATCH(509, 輔助計算!$G$2:$G$801, 0)+1))&lt;100, IF(INDEX(ERP資料!$G:$G, (MATCH(509, 輔助計算!$G$2:$G$801, 0)+1))&lt;=31,3,IF(INDEX(ERP資料!$G:$G, (MATCH(509, 輔助計算!$G$2:$G$801, 0)+1))&lt;=46.5,2,1)), IF(INDEX(ERP資料!$G:$G, (MATCH(509, 輔助計算!$G$2:$G$801, 0)+1))&lt;=790,3,IF(INDEX(ERP資料!$G:$G, (MATCH(509, 輔助計算!$G$2:$G$801, 0)+1))&lt;=1181,2,1))))&gt;0, IF(IF(INDEX(ERP資料!$G:$G, (MATCH(509, 輔助計算!$G$2:$G$801, 0)+1))&lt;100, IF(INDEX(ERP資料!$G:$G, (MATCH(509, 輔助計算!$G$2:$G$801, 0)+1))&lt;=31,3,IF(INDEX(ERP資料!$G:$G, (MATCH(509, 輔助計算!$G$2:$G$801, 0)+1))&lt;=46.5,2,1)), IF(INDEX(ERP資料!$G:$G, (MATCH(509, 輔助計算!$G$2:$G$801, 0)+1))&lt;=790,3,IF(INDEX(ERP資料!$G:$G, (MATCH(509, 輔助計算!$G$2:$G$801, 0)+1))&lt;=1181,2,1)))=1,TEXT(INDEX(ERP資料!$G:$G, (MATCH(509, 輔助計算!$G$2:$G$801, 0)+1)),"0.##"),IF(IF(INDEX(ERP資料!$G:$G, (MATCH(509, 輔助計算!$G$2:$G$801, 0)+1))&lt;100, IF(INDEX(ERP資料!$G:$G, (MATCH(509, 輔助計算!$G$2:$G$801, 0)+1))&lt;=31,3,IF(INDEX(ERP資料!$G:$G, (MATCH(509, 輔助計算!$G$2:$G$801, 0)+1))&lt;=46.5,2,1)), IF(INDEX(ERP資料!$G:$G, (MATCH(509, 輔助計算!$G$2:$G$801, 0)+1))&lt;=790,3,IF(INDEX(ERP資料!$G:$G, (MATCH(509, 輔助計算!$G$2:$G$801, 0)+1))&lt;=1181,2,1)))=2,TEXT(INDEX(ERP資料!$G:$G, (MATCH(509, 輔助計算!$G$2:$G$801, 0)+1)),"0.##")&amp;"+"&amp;TEXT(INDEX(ERP資料!$G:$G, (MATCH(509, 輔助計算!$G$2:$G$801, 0)+1)),"0.##"),TEXT(INDEX(ERP資料!$G:$G, (MATCH(509, 輔助計算!$G$2:$G$801, 0)+1)),"0.##")&amp;"+"&amp;TEXT(INDEX(ERP資料!$G:$G, (MATCH(509, 輔助計算!$G$2:$G$801, 0)+1)),"0.##")&amp;"+"&amp;TEXT(INDEX(ERP資料!$G:$G, (MATCH(509, 輔助計算!$G$2:$G$801, 0)+1)),"0.##")))&amp;"-"&amp;INT(INDEX(輔助計算!$D:$D, (MATCH(509, 輔助計算!$G$2:$G$801, 0)+1))/IF(INDEX(ERP資料!$G:$G, (MATCH(509, 輔助計算!$G$2:$G$801, 0)+1))&lt;100, IF(INDEX(ERP資料!$G:$G, (MATCH(509, 輔助計算!$G$2:$G$801, 0)+1))&lt;=31,3,IF(INDEX(ERP資料!$G:$G, (MATCH(509, 輔助計算!$G$2:$G$801, 0)+1))&lt;=46.5,2,1)), IF(INDEX(ERP資料!$G:$G, (MATCH(509, 輔助計算!$G$2:$G$801, 0)+1))&lt;=790,3,IF(INDEX(ERP資料!$G:$G, (MATCH(509, 輔助計算!$G$2:$G$801, 0)+1))&lt;=1181,2,1)))), "")&lt;&gt;"",IF(MOD(INDEX(輔助計算!$D:$D, (MATCH(509, 輔助計算!$G$2:$G$801, 0)+1)),IF(INDEX(ERP資料!$G:$G, (MATCH(509, 輔助計算!$G$2:$G$801, 0)+1))&lt;100, IF(INDEX(ERP資料!$G:$G, (MATCH(509, 輔助計算!$G$2:$G$801, 0)+1))&lt;=31,3,IF(INDEX(ERP資料!$G:$G, (MATCH(509, 輔助計算!$G$2:$G$801, 0)+1))&lt;=46.5,2,1)), IF(INDEX(ERP資料!$G:$G, (MATCH(509, 輔助計算!$G$2:$G$801, 0)+1))&lt;=790,3,IF(INDEX(ERP資料!$G:$G, (MATCH(509, 輔助計算!$G$2:$G$801, 0)+1))&lt;=1181,2,1))))=0,"",IF(MOD(INDEX(輔助計算!$D:$D, (MATCH(509, 輔助計算!$G$2:$G$801, 0)+1)),IF(INDEX(ERP資料!$G:$G, (MATCH(509, 輔助計算!$G$2:$G$801, 0)+1))&lt;100, IF(INDEX(ERP資料!$G:$G, (MATCH(509, 輔助計算!$G$2:$G$801, 0)+1))&lt;=31,3,IF(INDEX(ERP資料!$G:$G, (MATCH(509, 輔助計算!$G$2:$G$801, 0)+1))&lt;=46.5,2,1)), IF(INDEX(ERP資料!$G:$G, (MATCH(509, 輔助計算!$G$2:$G$801, 0)+1))&lt;=790,3,IF(INDEX(ERP資料!$G:$G, (MATCH(509, 輔助計算!$G$2:$G$801, 0)+1))&lt;=1181,2,1))))=0,"",IF(MOD(INDEX(輔助計算!$D:$D, (MATCH(509, 輔助計算!$G$2:$G$801, 0)+1)),IF(INDEX(ERP資料!$G:$G, (MATCH(509, 輔助計算!$G$2:$G$801, 0)+1))&lt;100, IF(INDEX(ERP資料!$G:$G, (MATCH(509, 輔助計算!$G$2:$G$801, 0)+1))&lt;=31,3,IF(INDEX(ERP資料!$G:$G, (MATCH(509, 輔助計算!$G$2:$G$801, 0)+1))&lt;=46.5,2,1)), IF(INDEX(ERP資料!$G:$G, (MATCH(509, 輔助計算!$G$2:$G$801, 0)+1))&lt;=790,3,IF(INDEX(ERP資料!$G:$G, (MATCH(509, 輔助計算!$G$2:$G$801, 0)+1))&lt;=1181,2,1))))=1,TEXT(INDEX(ERP資料!$G:$G, (MATCH(509, 輔助計算!$G$2:$G$801, 0)+1)),"0.##"),IF(MOD(INDEX(輔助計算!$D:$D, (MATCH(509, 輔助計算!$G$2:$G$801, 0)+1)),IF(INDEX(ERP資料!$G:$G, (MATCH(509, 輔助計算!$G$2:$G$801, 0)+1))&lt;100, IF(INDEX(ERP資料!$G:$G, (MATCH(509, 輔助計算!$G$2:$G$801, 0)+1))&lt;=31,3,IF(INDEX(ERP資料!$G:$G, (MATCH(509, 輔助計算!$G$2:$G$801, 0)+1))&lt;=46.5,2,1)), IF(INDEX(ERP資料!$G:$G, (MATCH(509, 輔助計算!$G$2:$G$801, 0)+1))&lt;=790,3,IF(INDEX(ERP資料!$G:$G, (MATCH(509, 輔助計算!$G$2:$G$801, 0)+1))&lt;=1181,2,1))))=2,TEXT(INDEX(ERP資料!$G:$G, (MATCH(509, 輔助計算!$G$2:$G$801, 0)+1)),"0.##")&amp;"+"&amp;TEXT(INDEX(ERP資料!$G:$G, (MATCH(509, 輔助計算!$G$2:$G$801, 0)+1)),"0.##"),TEXT(INDEX(ERP資料!$G:$G, (MATCH(509, 輔助計算!$G$2:$G$801, 0)+1)),"0.##")&amp;"+"&amp;TEXT(INDEX(ERP資料!$G:$G, (MATCH(509, 輔助計算!$G$2:$G$801, 0)+1)),"0.##")&amp;"+"&amp;TEXT(INDEX(ERP資料!$G:$G, (MATCH(509, 輔助計算!$G$2:$G$801, 0)+1)),"0.##"))))&amp;"-1")&lt;&gt;""),"  ","")&amp;IF(MOD(INDEX(輔助計算!$D:$D, (MATCH(509, 輔助計算!$G$2:$G$801, 0)+1)),IF(INDEX(ERP資料!$G:$G, (MATCH(509, 輔助計算!$G$2:$G$801, 0)+1))&lt;100, IF(INDEX(ERP資料!$G:$G, (MATCH(509, 輔助計算!$G$2:$G$801, 0)+1))&lt;=31,3,IF(INDEX(ERP資料!$G:$G, (MATCH(509, 輔助計算!$G$2:$G$801, 0)+1))&lt;=46.5,2,1)), IF(INDEX(ERP資料!$G:$G, (MATCH(509, 輔助計算!$G$2:$G$801, 0)+1))&lt;=790,3,IF(INDEX(ERP資料!$G:$G, (MATCH(509, 輔助計算!$G$2:$G$801, 0)+1))&lt;=1181,2,1))))=0,"",IF(MOD(INDEX(輔助計算!$D:$D, (MATCH(509, 輔助計算!$G$2:$G$801, 0)+1)),IF(INDEX(ERP資料!$G:$G, (MATCH(509, 輔助計算!$G$2:$G$801, 0)+1))&lt;100, IF(INDEX(ERP資料!$G:$G, (MATCH(509, 輔助計算!$G$2:$G$801, 0)+1))&lt;=31,3,IF(INDEX(ERP資料!$G:$G, (MATCH(509, 輔助計算!$G$2:$G$801, 0)+1))&lt;=46.5,2,1)), IF(INDEX(ERP資料!$G:$G, (MATCH(509, 輔助計算!$G$2:$G$801, 0)+1))&lt;=790,3,IF(INDEX(ERP資料!$G:$G, (MATCH(509, 輔助計算!$G$2:$G$801, 0)+1))&lt;=1181,2,1))))=0,"",IF(MOD(INDEX(輔助計算!$D:$D, (MATCH(509, 輔助計算!$G$2:$G$801, 0)+1)),IF(INDEX(ERP資料!$G:$G, (MATCH(509, 輔助計算!$G$2:$G$801, 0)+1))&lt;100, IF(INDEX(ERP資料!$G:$G, (MATCH(509, 輔助計算!$G$2:$G$801, 0)+1))&lt;=31,3,IF(INDEX(ERP資料!$G:$G, (MATCH(509, 輔助計算!$G$2:$G$801, 0)+1))&lt;=46.5,2,1)), IF(INDEX(ERP資料!$G:$G, (MATCH(509, 輔助計算!$G$2:$G$801, 0)+1))&lt;=790,3,IF(INDEX(ERP資料!$G:$G, (MATCH(509, 輔助計算!$G$2:$G$801, 0)+1))&lt;=1181,2,1))))=1,TEXT(INDEX(ERP資料!$G:$G, (MATCH(509, 輔助計算!$G$2:$G$801, 0)+1)),"0.##"),IF(MOD(INDEX(輔助計算!$D:$D, (MATCH(509, 輔助計算!$G$2:$G$801, 0)+1)),IF(INDEX(ERP資料!$G:$G, (MATCH(509, 輔助計算!$G$2:$G$801, 0)+1))&lt;100, IF(INDEX(ERP資料!$G:$G, (MATCH(509, 輔助計算!$G$2:$G$801, 0)+1))&lt;=31,3,IF(INDEX(ERP資料!$G:$G, (MATCH(509, 輔助計算!$G$2:$G$801, 0)+1))&lt;=46.5,2,1)), IF(INDEX(ERP資料!$G:$G, (MATCH(509, 輔助計算!$G$2:$G$801, 0)+1))&lt;=790,3,IF(INDEX(ERP資料!$G:$G, (MATCH(509, 輔助計算!$G$2:$G$801, 0)+1))&lt;=1181,2,1))))=2,TEXT(INDEX(ERP資料!$G:$G, (MATCH(509, 輔助計算!$G$2:$G$801, 0)+1)),"0.##")&amp;"+"&amp;TEXT(INDEX(ERP資料!$G:$G, (MATCH(509, 輔助計算!$G$2:$G$801, 0)+1)),"0.##"),TEXT(INDEX(ERP資料!$G:$G, (MATCH(509, 輔助計算!$G$2:$G$801, 0)+1)),"0.##")&amp;"+"&amp;TEXT(INDEX(ERP資料!$G:$G, (MATCH(509, 輔助計算!$G$2:$G$801, 0)+1)),"0.##")&amp;"+"&amp;TEXT(INDEX(ERP資料!$G:$G, (MATCH(509, 輔助計算!$G$2:$G$801, 0)+1)),"0.##"))))&amp;"-1")), ""), "")</f>
        <v/>
      </c>
      <c r="K510" s="16" t="n"/>
      <c r="L510" s="14">
        <f>IFERROR(IF(AND(IFERROR(INDEX(ERP資料!$A:$A, (MATCH(509, 輔助計算!$G$2:$G$801, 0)+1)), "")&lt;&gt;"", IFERROR(INDEX(ERP資料!$A:$A, (MATCH(509, 輔助計算!$G$2:$G$801, 0)+1)), "")&lt;&gt;IFERROR(INDEX(ERP資料!$A:$A, MATCH(508, 輔助計算!$G$2:$G$801, 0)+1), "")), INDEX(ERP資料!$B:$B, (MATCH(509, 輔助計算!$G$2:$G$801, 0)+1)), ""), "")</f>
        <v/>
      </c>
      <c r="M510" s="17" t="n"/>
    </row>
    <row r="511">
      <c r="A511" s="10">
        <f>IFERROR(IF(AND(IFERROR(INDEX(ERP資料!$A:$A, (MATCH(510, 輔助計算!$G$2:$G$801, 0)+1)), "")&lt;&gt;"", IFERROR(INDEX(ERP資料!$A:$A, (MATCH(510, 輔助計算!$G$2:$G$801, 0)+1)), "")&lt;&gt;IFERROR(INDEX(ERP資料!$A:$A, MATCH(509, 輔助計算!$G$2:$G$801, 0)+1), "")), IFERROR(INDEX(ERP資料!$A:$A, (MATCH(510, 輔助計算!$G$2:$G$801, 0)+1)), ""), ""), "")</f>
        <v/>
      </c>
      <c r="B511" s="10">
        <f>IFERROR(IF(AND(IFERROR(INDEX(ERP資料!$A:$A, (MATCH(510, 輔助計算!$G$2:$G$801, 0)+1)), "")&lt;&gt;"", IFERROR(INDEX(ERP資料!$A:$A, (MATCH(510, 輔助計算!$G$2:$G$801, 0)+1)), "")&lt;&gt;IFERROR(INDEX(ERP資料!$A:$A, MATCH(509, 輔助計算!$G$2:$G$801, 0)+1), "")), INDEX(ERP資料!$S:$S, (MATCH(510, 輔助計算!$G$2:$G$801, 0)+1)), ""), "")</f>
        <v/>
      </c>
      <c r="C511" s="19">
        <f>IFERROR(IF(AND(IFERROR(INDEX(ERP資料!$A:$A, (MATCH(510, 輔助計算!$G$2:$G$801, 0)+1)), "")&lt;&gt;"", IFERROR(INDEX(ERP資料!$A:$A, (MATCH(510, 輔助計算!$G$2:$G$801, 0)+1)), "")&lt;&gt;IFERROR(INDEX(ERP資料!$A:$A, MATCH(509, 輔助計算!$G$2:$G$801, 0)+1), "")), IFERROR(VLOOKUP(LEFT(INDEX(ERP資料!$S:$S, (MATCH(510, 輔助計算!$G$2:$G$801, 0)+1)), 4), 紙管對照表!$A:$C, 3, FALSE), ""), ""), "")</f>
        <v/>
      </c>
      <c r="D511" s="16" t="n"/>
      <c r="E511" s="10">
        <f>IFERROR(IF(INDEX(ERP資料!$H:$H, (MATCH(510, 輔助計算!$G$2:$G$801, 0)+1))="","",INDEX(ERP資料!$H:$H, (MATCH(510, 輔助計算!$G$2:$G$801, 0)+1))), "")</f>
        <v/>
      </c>
      <c r="F511" s="10">
        <f>IFERROR(IF(INDEX(ERP資料!$E:$E, (MATCH(510, 輔助計算!$G$2:$G$801, 0)+1))="","",TRIM(INDEX(ERP資料!$E:$E, (MATCH(510, 輔助計算!$G$2:$G$801, 0)+1)))), "")</f>
        <v/>
      </c>
      <c r="G511" s="10">
        <f>IFERROR(IF(INDEX(ERP資料!$F:$F, (MATCH(510, 輔助計算!$G$2:$G$801, 0)+1))="","",INDEX(ERP資料!$F:$F, (MATCH(510, 輔助計算!$G$2:$G$801, 0)+1))), "")</f>
        <v/>
      </c>
      <c r="H511" s="10">
        <f>IFERROR(IF(INDEX(ERP資料!$G:$G, (MATCH(510, 輔助計算!$G$2:$G$801, 0)+1))="","",INDEX(ERP資料!$G:$G, (MATCH(510, 輔助計算!$G$2:$G$801, 0)+1))), "")</f>
        <v/>
      </c>
      <c r="I511" s="15">
        <f>IFERROR(INDEX(輔助計算!$D:$D, (MATCH(510, 輔助計算!$G$2:$G$801, 0)+1)), "")</f>
        <v/>
      </c>
      <c r="J511" s="15">
        <f>IFERROR(IF(AND(INDEX(輔助計算!$D:$D, (MATCH(510, 輔助計算!$G$2:$G$801, 0)+1))&lt;&gt;"", INDEX(ERP資料!$G:$G, (MATCH(510, 輔助計算!$G$2:$G$801, 0)+1))&lt;&gt;""), TRIM(IF(INT(INDEX(輔助計算!$D:$D, (MATCH(510, 輔助計算!$G$2:$G$801, 0)+1))/IF(INDEX(ERP資料!$G:$G, (MATCH(510, 輔助計算!$G$2:$G$801, 0)+1))&lt;100, IF(INDEX(ERP資料!$G:$G, (MATCH(510, 輔助計算!$G$2:$G$801, 0)+1))&lt;=31,3,IF(INDEX(ERP資料!$G:$G, (MATCH(510, 輔助計算!$G$2:$G$801, 0)+1))&lt;=46.5,2,1)), IF(INDEX(ERP資料!$G:$G, (MATCH(510, 輔助計算!$G$2:$G$801, 0)+1))&lt;=790,3,IF(INDEX(ERP資料!$G:$G, (MATCH(510, 輔助計算!$G$2:$G$801, 0)+1))&lt;=1181,2,1))))&gt;0, IF(IF(INDEX(ERP資料!$G:$G, (MATCH(510, 輔助計算!$G$2:$G$801, 0)+1))&lt;100, IF(INDEX(ERP資料!$G:$G, (MATCH(510, 輔助計算!$G$2:$G$801, 0)+1))&lt;=31,3,IF(INDEX(ERP資料!$G:$G, (MATCH(510, 輔助計算!$G$2:$G$801, 0)+1))&lt;=46.5,2,1)), IF(INDEX(ERP資料!$G:$G, (MATCH(510, 輔助計算!$G$2:$G$801, 0)+1))&lt;=790,3,IF(INDEX(ERP資料!$G:$G, (MATCH(510, 輔助計算!$G$2:$G$801, 0)+1))&lt;=1181,2,1)))=1,TEXT(INDEX(ERP資料!$G:$G, (MATCH(510, 輔助計算!$G$2:$G$801, 0)+1)),"0.##"),IF(IF(INDEX(ERP資料!$G:$G, (MATCH(510, 輔助計算!$G$2:$G$801, 0)+1))&lt;100, IF(INDEX(ERP資料!$G:$G, (MATCH(510, 輔助計算!$G$2:$G$801, 0)+1))&lt;=31,3,IF(INDEX(ERP資料!$G:$G, (MATCH(510, 輔助計算!$G$2:$G$801, 0)+1))&lt;=46.5,2,1)), IF(INDEX(ERP資料!$G:$G, (MATCH(510, 輔助計算!$G$2:$G$801, 0)+1))&lt;=790,3,IF(INDEX(ERP資料!$G:$G, (MATCH(510, 輔助計算!$G$2:$G$801, 0)+1))&lt;=1181,2,1)))=2,TEXT(INDEX(ERP資料!$G:$G, (MATCH(510, 輔助計算!$G$2:$G$801, 0)+1)),"0.##")&amp;"+"&amp;TEXT(INDEX(ERP資料!$G:$G, (MATCH(510, 輔助計算!$G$2:$G$801, 0)+1)),"0.##"),TEXT(INDEX(ERP資料!$G:$G, (MATCH(510, 輔助計算!$G$2:$G$801, 0)+1)),"0.##")&amp;"+"&amp;TEXT(INDEX(ERP資料!$G:$G, (MATCH(510, 輔助計算!$G$2:$G$801, 0)+1)),"0.##")&amp;"+"&amp;TEXT(INDEX(ERP資料!$G:$G, (MATCH(510, 輔助計算!$G$2:$G$801, 0)+1)),"0.##")))&amp;"-"&amp;INT(INDEX(輔助計算!$D:$D, (MATCH(510, 輔助計算!$G$2:$G$801, 0)+1))/IF(INDEX(ERP資料!$G:$G, (MATCH(510, 輔助計算!$G$2:$G$801, 0)+1))&lt;100, IF(INDEX(ERP資料!$G:$G, (MATCH(510, 輔助計算!$G$2:$G$801, 0)+1))&lt;=31,3,IF(INDEX(ERP資料!$G:$G, (MATCH(510, 輔助計算!$G$2:$G$801, 0)+1))&lt;=46.5,2,1)), IF(INDEX(ERP資料!$G:$G, (MATCH(510, 輔助計算!$G$2:$G$801, 0)+1))&lt;=790,3,IF(INDEX(ERP資料!$G:$G, (MATCH(510, 輔助計算!$G$2:$G$801, 0)+1))&lt;=1181,2,1)))), "")&amp;IF(AND(IF(INT(INDEX(輔助計算!$D:$D, (MATCH(510, 輔助計算!$G$2:$G$801, 0)+1))/IF(INDEX(ERP資料!$G:$G, (MATCH(510, 輔助計算!$G$2:$G$801, 0)+1))&lt;100, IF(INDEX(ERP資料!$G:$G, (MATCH(510, 輔助計算!$G$2:$G$801, 0)+1))&lt;=31,3,IF(INDEX(ERP資料!$G:$G, (MATCH(510, 輔助計算!$G$2:$G$801, 0)+1))&lt;=46.5,2,1)), IF(INDEX(ERP資料!$G:$G, (MATCH(510, 輔助計算!$G$2:$G$801, 0)+1))&lt;=790,3,IF(INDEX(ERP資料!$G:$G, (MATCH(510, 輔助計算!$G$2:$G$801, 0)+1))&lt;=1181,2,1))))&gt;0, IF(IF(INDEX(ERP資料!$G:$G, (MATCH(510, 輔助計算!$G$2:$G$801, 0)+1))&lt;100, IF(INDEX(ERP資料!$G:$G, (MATCH(510, 輔助計算!$G$2:$G$801, 0)+1))&lt;=31,3,IF(INDEX(ERP資料!$G:$G, (MATCH(510, 輔助計算!$G$2:$G$801, 0)+1))&lt;=46.5,2,1)), IF(INDEX(ERP資料!$G:$G, (MATCH(510, 輔助計算!$G$2:$G$801, 0)+1))&lt;=790,3,IF(INDEX(ERP資料!$G:$G, (MATCH(510, 輔助計算!$G$2:$G$801, 0)+1))&lt;=1181,2,1)))=1,TEXT(INDEX(ERP資料!$G:$G, (MATCH(510, 輔助計算!$G$2:$G$801, 0)+1)),"0.##"),IF(IF(INDEX(ERP資料!$G:$G, (MATCH(510, 輔助計算!$G$2:$G$801, 0)+1))&lt;100, IF(INDEX(ERP資料!$G:$G, (MATCH(510, 輔助計算!$G$2:$G$801, 0)+1))&lt;=31,3,IF(INDEX(ERP資料!$G:$G, (MATCH(510, 輔助計算!$G$2:$G$801, 0)+1))&lt;=46.5,2,1)), IF(INDEX(ERP資料!$G:$G, (MATCH(510, 輔助計算!$G$2:$G$801, 0)+1))&lt;=790,3,IF(INDEX(ERP資料!$G:$G, (MATCH(510, 輔助計算!$G$2:$G$801, 0)+1))&lt;=1181,2,1)))=2,TEXT(INDEX(ERP資料!$G:$G, (MATCH(510, 輔助計算!$G$2:$G$801, 0)+1)),"0.##")&amp;"+"&amp;TEXT(INDEX(ERP資料!$G:$G, (MATCH(510, 輔助計算!$G$2:$G$801, 0)+1)),"0.##"),TEXT(INDEX(ERP資料!$G:$G, (MATCH(510, 輔助計算!$G$2:$G$801, 0)+1)),"0.##")&amp;"+"&amp;TEXT(INDEX(ERP資料!$G:$G, (MATCH(510, 輔助計算!$G$2:$G$801, 0)+1)),"0.##")&amp;"+"&amp;TEXT(INDEX(ERP資料!$G:$G, (MATCH(510, 輔助計算!$G$2:$G$801, 0)+1)),"0.##")))&amp;"-"&amp;INT(INDEX(輔助計算!$D:$D, (MATCH(510, 輔助計算!$G$2:$G$801, 0)+1))/IF(INDEX(ERP資料!$G:$G, (MATCH(510, 輔助計算!$G$2:$G$801, 0)+1))&lt;100, IF(INDEX(ERP資料!$G:$G, (MATCH(510, 輔助計算!$G$2:$G$801, 0)+1))&lt;=31,3,IF(INDEX(ERP資料!$G:$G, (MATCH(510, 輔助計算!$G$2:$G$801, 0)+1))&lt;=46.5,2,1)), IF(INDEX(ERP資料!$G:$G, (MATCH(510, 輔助計算!$G$2:$G$801, 0)+1))&lt;=790,3,IF(INDEX(ERP資料!$G:$G, (MATCH(510, 輔助計算!$G$2:$G$801, 0)+1))&lt;=1181,2,1)))), "")&lt;&gt;"",IF(MOD(INDEX(輔助計算!$D:$D, (MATCH(510, 輔助計算!$G$2:$G$801, 0)+1)),IF(INDEX(ERP資料!$G:$G, (MATCH(510, 輔助計算!$G$2:$G$801, 0)+1))&lt;100, IF(INDEX(ERP資料!$G:$G, (MATCH(510, 輔助計算!$G$2:$G$801, 0)+1))&lt;=31,3,IF(INDEX(ERP資料!$G:$G, (MATCH(510, 輔助計算!$G$2:$G$801, 0)+1))&lt;=46.5,2,1)), IF(INDEX(ERP資料!$G:$G, (MATCH(510, 輔助計算!$G$2:$G$801, 0)+1))&lt;=790,3,IF(INDEX(ERP資料!$G:$G, (MATCH(510, 輔助計算!$G$2:$G$801, 0)+1))&lt;=1181,2,1))))=0,"",IF(MOD(INDEX(輔助計算!$D:$D, (MATCH(510, 輔助計算!$G$2:$G$801, 0)+1)),IF(INDEX(ERP資料!$G:$G, (MATCH(510, 輔助計算!$G$2:$G$801, 0)+1))&lt;100, IF(INDEX(ERP資料!$G:$G, (MATCH(510, 輔助計算!$G$2:$G$801, 0)+1))&lt;=31,3,IF(INDEX(ERP資料!$G:$G, (MATCH(510, 輔助計算!$G$2:$G$801, 0)+1))&lt;=46.5,2,1)), IF(INDEX(ERP資料!$G:$G, (MATCH(510, 輔助計算!$G$2:$G$801, 0)+1))&lt;=790,3,IF(INDEX(ERP資料!$G:$G, (MATCH(510, 輔助計算!$G$2:$G$801, 0)+1))&lt;=1181,2,1))))=0,"",IF(MOD(INDEX(輔助計算!$D:$D, (MATCH(510, 輔助計算!$G$2:$G$801, 0)+1)),IF(INDEX(ERP資料!$G:$G, (MATCH(510, 輔助計算!$G$2:$G$801, 0)+1))&lt;100, IF(INDEX(ERP資料!$G:$G, (MATCH(510, 輔助計算!$G$2:$G$801, 0)+1))&lt;=31,3,IF(INDEX(ERP資料!$G:$G, (MATCH(510, 輔助計算!$G$2:$G$801, 0)+1))&lt;=46.5,2,1)), IF(INDEX(ERP資料!$G:$G, (MATCH(510, 輔助計算!$G$2:$G$801, 0)+1))&lt;=790,3,IF(INDEX(ERP資料!$G:$G, (MATCH(510, 輔助計算!$G$2:$G$801, 0)+1))&lt;=1181,2,1))))=1,TEXT(INDEX(ERP資料!$G:$G, (MATCH(510, 輔助計算!$G$2:$G$801, 0)+1)),"0.##"),IF(MOD(INDEX(輔助計算!$D:$D, (MATCH(510, 輔助計算!$G$2:$G$801, 0)+1)),IF(INDEX(ERP資料!$G:$G, (MATCH(510, 輔助計算!$G$2:$G$801, 0)+1))&lt;100, IF(INDEX(ERP資料!$G:$G, (MATCH(510, 輔助計算!$G$2:$G$801, 0)+1))&lt;=31,3,IF(INDEX(ERP資料!$G:$G, (MATCH(510, 輔助計算!$G$2:$G$801, 0)+1))&lt;=46.5,2,1)), IF(INDEX(ERP資料!$G:$G, (MATCH(510, 輔助計算!$G$2:$G$801, 0)+1))&lt;=790,3,IF(INDEX(ERP資料!$G:$G, (MATCH(510, 輔助計算!$G$2:$G$801, 0)+1))&lt;=1181,2,1))))=2,TEXT(INDEX(ERP資料!$G:$G, (MATCH(510, 輔助計算!$G$2:$G$801, 0)+1)),"0.##")&amp;"+"&amp;TEXT(INDEX(ERP資料!$G:$G, (MATCH(510, 輔助計算!$G$2:$G$801, 0)+1)),"0.##"),TEXT(INDEX(ERP資料!$G:$G, (MATCH(510, 輔助計算!$G$2:$G$801, 0)+1)),"0.##")&amp;"+"&amp;TEXT(INDEX(ERP資料!$G:$G, (MATCH(510, 輔助計算!$G$2:$G$801, 0)+1)),"0.##")&amp;"+"&amp;TEXT(INDEX(ERP資料!$G:$G, (MATCH(510, 輔助計算!$G$2:$G$801, 0)+1)),"0.##"))))&amp;"-1")&lt;&gt;""),"  ","")&amp;IF(MOD(INDEX(輔助計算!$D:$D, (MATCH(510, 輔助計算!$G$2:$G$801, 0)+1)),IF(INDEX(ERP資料!$G:$G, (MATCH(510, 輔助計算!$G$2:$G$801, 0)+1))&lt;100, IF(INDEX(ERP資料!$G:$G, (MATCH(510, 輔助計算!$G$2:$G$801, 0)+1))&lt;=31,3,IF(INDEX(ERP資料!$G:$G, (MATCH(510, 輔助計算!$G$2:$G$801, 0)+1))&lt;=46.5,2,1)), IF(INDEX(ERP資料!$G:$G, (MATCH(510, 輔助計算!$G$2:$G$801, 0)+1))&lt;=790,3,IF(INDEX(ERP資料!$G:$G, (MATCH(510, 輔助計算!$G$2:$G$801, 0)+1))&lt;=1181,2,1))))=0,"",IF(MOD(INDEX(輔助計算!$D:$D, (MATCH(510, 輔助計算!$G$2:$G$801, 0)+1)),IF(INDEX(ERP資料!$G:$G, (MATCH(510, 輔助計算!$G$2:$G$801, 0)+1))&lt;100, IF(INDEX(ERP資料!$G:$G, (MATCH(510, 輔助計算!$G$2:$G$801, 0)+1))&lt;=31,3,IF(INDEX(ERP資料!$G:$G, (MATCH(510, 輔助計算!$G$2:$G$801, 0)+1))&lt;=46.5,2,1)), IF(INDEX(ERP資料!$G:$G, (MATCH(510, 輔助計算!$G$2:$G$801, 0)+1))&lt;=790,3,IF(INDEX(ERP資料!$G:$G, (MATCH(510, 輔助計算!$G$2:$G$801, 0)+1))&lt;=1181,2,1))))=0,"",IF(MOD(INDEX(輔助計算!$D:$D, (MATCH(510, 輔助計算!$G$2:$G$801, 0)+1)),IF(INDEX(ERP資料!$G:$G, (MATCH(510, 輔助計算!$G$2:$G$801, 0)+1))&lt;100, IF(INDEX(ERP資料!$G:$G, (MATCH(510, 輔助計算!$G$2:$G$801, 0)+1))&lt;=31,3,IF(INDEX(ERP資料!$G:$G, (MATCH(510, 輔助計算!$G$2:$G$801, 0)+1))&lt;=46.5,2,1)), IF(INDEX(ERP資料!$G:$G, (MATCH(510, 輔助計算!$G$2:$G$801, 0)+1))&lt;=790,3,IF(INDEX(ERP資料!$G:$G, (MATCH(510, 輔助計算!$G$2:$G$801, 0)+1))&lt;=1181,2,1))))=1,TEXT(INDEX(ERP資料!$G:$G, (MATCH(510, 輔助計算!$G$2:$G$801, 0)+1)),"0.##"),IF(MOD(INDEX(輔助計算!$D:$D, (MATCH(510, 輔助計算!$G$2:$G$801, 0)+1)),IF(INDEX(ERP資料!$G:$G, (MATCH(510, 輔助計算!$G$2:$G$801, 0)+1))&lt;100, IF(INDEX(ERP資料!$G:$G, (MATCH(510, 輔助計算!$G$2:$G$801, 0)+1))&lt;=31,3,IF(INDEX(ERP資料!$G:$G, (MATCH(510, 輔助計算!$G$2:$G$801, 0)+1))&lt;=46.5,2,1)), IF(INDEX(ERP資料!$G:$G, (MATCH(510, 輔助計算!$G$2:$G$801, 0)+1))&lt;=790,3,IF(INDEX(ERP資料!$G:$G, (MATCH(510, 輔助計算!$G$2:$G$801, 0)+1))&lt;=1181,2,1))))=2,TEXT(INDEX(ERP資料!$G:$G, (MATCH(510, 輔助計算!$G$2:$G$801, 0)+1)),"0.##")&amp;"+"&amp;TEXT(INDEX(ERP資料!$G:$G, (MATCH(510, 輔助計算!$G$2:$G$801, 0)+1)),"0.##"),TEXT(INDEX(ERP資料!$G:$G, (MATCH(510, 輔助計算!$G$2:$G$801, 0)+1)),"0.##")&amp;"+"&amp;TEXT(INDEX(ERP資料!$G:$G, (MATCH(510, 輔助計算!$G$2:$G$801, 0)+1)),"0.##")&amp;"+"&amp;TEXT(INDEX(ERP資料!$G:$G, (MATCH(510, 輔助計算!$G$2:$G$801, 0)+1)),"0.##"))))&amp;"-1")), ""), "")</f>
        <v/>
      </c>
      <c r="K511" s="16" t="n"/>
      <c r="L511" s="14">
        <f>IFERROR(IF(AND(IFERROR(INDEX(ERP資料!$A:$A, (MATCH(510, 輔助計算!$G$2:$G$801, 0)+1)), "")&lt;&gt;"", IFERROR(INDEX(ERP資料!$A:$A, (MATCH(510, 輔助計算!$G$2:$G$801, 0)+1)), "")&lt;&gt;IFERROR(INDEX(ERP資料!$A:$A, MATCH(509, 輔助計算!$G$2:$G$801, 0)+1), "")), INDEX(ERP資料!$B:$B, (MATCH(510, 輔助計算!$G$2:$G$801, 0)+1)), ""), "")</f>
        <v/>
      </c>
      <c r="M511" s="17" t="n"/>
    </row>
    <row r="512">
      <c r="A512" s="10">
        <f>IFERROR(IF(AND(IFERROR(INDEX(ERP資料!$A:$A, (MATCH(511, 輔助計算!$G$2:$G$801, 0)+1)), "")&lt;&gt;"", IFERROR(INDEX(ERP資料!$A:$A, (MATCH(511, 輔助計算!$G$2:$G$801, 0)+1)), "")&lt;&gt;IFERROR(INDEX(ERP資料!$A:$A, MATCH(510, 輔助計算!$G$2:$G$801, 0)+1), "")), IFERROR(INDEX(ERP資料!$A:$A, (MATCH(511, 輔助計算!$G$2:$G$801, 0)+1)), ""), ""), "")</f>
        <v/>
      </c>
      <c r="B512" s="10">
        <f>IFERROR(IF(AND(IFERROR(INDEX(ERP資料!$A:$A, (MATCH(511, 輔助計算!$G$2:$G$801, 0)+1)), "")&lt;&gt;"", IFERROR(INDEX(ERP資料!$A:$A, (MATCH(511, 輔助計算!$G$2:$G$801, 0)+1)), "")&lt;&gt;IFERROR(INDEX(ERP資料!$A:$A, MATCH(510, 輔助計算!$G$2:$G$801, 0)+1), "")), INDEX(ERP資料!$S:$S, (MATCH(511, 輔助計算!$G$2:$G$801, 0)+1)), ""), "")</f>
        <v/>
      </c>
      <c r="C512" s="19">
        <f>IFERROR(IF(AND(IFERROR(INDEX(ERP資料!$A:$A, (MATCH(511, 輔助計算!$G$2:$G$801, 0)+1)), "")&lt;&gt;"", IFERROR(INDEX(ERP資料!$A:$A, (MATCH(511, 輔助計算!$G$2:$G$801, 0)+1)), "")&lt;&gt;IFERROR(INDEX(ERP資料!$A:$A, MATCH(510, 輔助計算!$G$2:$G$801, 0)+1), "")), IFERROR(VLOOKUP(LEFT(INDEX(ERP資料!$S:$S, (MATCH(511, 輔助計算!$G$2:$G$801, 0)+1)), 4), 紙管對照表!$A:$C, 3, FALSE), ""), ""), "")</f>
        <v/>
      </c>
      <c r="D512" s="16" t="n"/>
      <c r="E512" s="10">
        <f>IFERROR(IF(INDEX(ERP資料!$H:$H, (MATCH(511, 輔助計算!$G$2:$G$801, 0)+1))="","",INDEX(ERP資料!$H:$H, (MATCH(511, 輔助計算!$G$2:$G$801, 0)+1))), "")</f>
        <v/>
      </c>
      <c r="F512" s="10">
        <f>IFERROR(IF(INDEX(ERP資料!$E:$E, (MATCH(511, 輔助計算!$G$2:$G$801, 0)+1))="","",TRIM(INDEX(ERP資料!$E:$E, (MATCH(511, 輔助計算!$G$2:$G$801, 0)+1)))), "")</f>
        <v/>
      </c>
      <c r="G512" s="10">
        <f>IFERROR(IF(INDEX(ERP資料!$F:$F, (MATCH(511, 輔助計算!$G$2:$G$801, 0)+1))="","",INDEX(ERP資料!$F:$F, (MATCH(511, 輔助計算!$G$2:$G$801, 0)+1))), "")</f>
        <v/>
      </c>
      <c r="H512" s="10">
        <f>IFERROR(IF(INDEX(ERP資料!$G:$G, (MATCH(511, 輔助計算!$G$2:$G$801, 0)+1))="","",INDEX(ERP資料!$G:$G, (MATCH(511, 輔助計算!$G$2:$G$801, 0)+1))), "")</f>
        <v/>
      </c>
      <c r="I512" s="15">
        <f>IFERROR(INDEX(輔助計算!$D:$D, (MATCH(511, 輔助計算!$G$2:$G$801, 0)+1)), "")</f>
        <v/>
      </c>
      <c r="J512" s="15">
        <f>IFERROR(IF(AND(INDEX(輔助計算!$D:$D, (MATCH(511, 輔助計算!$G$2:$G$801, 0)+1))&lt;&gt;"", INDEX(ERP資料!$G:$G, (MATCH(511, 輔助計算!$G$2:$G$801, 0)+1))&lt;&gt;""), TRIM(IF(INT(INDEX(輔助計算!$D:$D, (MATCH(511, 輔助計算!$G$2:$G$801, 0)+1))/IF(INDEX(ERP資料!$G:$G, (MATCH(511, 輔助計算!$G$2:$G$801, 0)+1))&lt;100, IF(INDEX(ERP資料!$G:$G, (MATCH(511, 輔助計算!$G$2:$G$801, 0)+1))&lt;=31,3,IF(INDEX(ERP資料!$G:$G, (MATCH(511, 輔助計算!$G$2:$G$801, 0)+1))&lt;=46.5,2,1)), IF(INDEX(ERP資料!$G:$G, (MATCH(511, 輔助計算!$G$2:$G$801, 0)+1))&lt;=790,3,IF(INDEX(ERP資料!$G:$G, (MATCH(511, 輔助計算!$G$2:$G$801, 0)+1))&lt;=1181,2,1))))&gt;0, IF(IF(INDEX(ERP資料!$G:$G, (MATCH(511, 輔助計算!$G$2:$G$801, 0)+1))&lt;100, IF(INDEX(ERP資料!$G:$G, (MATCH(511, 輔助計算!$G$2:$G$801, 0)+1))&lt;=31,3,IF(INDEX(ERP資料!$G:$G, (MATCH(511, 輔助計算!$G$2:$G$801, 0)+1))&lt;=46.5,2,1)), IF(INDEX(ERP資料!$G:$G, (MATCH(511, 輔助計算!$G$2:$G$801, 0)+1))&lt;=790,3,IF(INDEX(ERP資料!$G:$G, (MATCH(511, 輔助計算!$G$2:$G$801, 0)+1))&lt;=1181,2,1)))=1,TEXT(INDEX(ERP資料!$G:$G, (MATCH(511, 輔助計算!$G$2:$G$801, 0)+1)),"0.##"),IF(IF(INDEX(ERP資料!$G:$G, (MATCH(511, 輔助計算!$G$2:$G$801, 0)+1))&lt;100, IF(INDEX(ERP資料!$G:$G, (MATCH(511, 輔助計算!$G$2:$G$801, 0)+1))&lt;=31,3,IF(INDEX(ERP資料!$G:$G, (MATCH(511, 輔助計算!$G$2:$G$801, 0)+1))&lt;=46.5,2,1)), IF(INDEX(ERP資料!$G:$G, (MATCH(511, 輔助計算!$G$2:$G$801, 0)+1))&lt;=790,3,IF(INDEX(ERP資料!$G:$G, (MATCH(511, 輔助計算!$G$2:$G$801, 0)+1))&lt;=1181,2,1)))=2,TEXT(INDEX(ERP資料!$G:$G, (MATCH(511, 輔助計算!$G$2:$G$801, 0)+1)),"0.##")&amp;"+"&amp;TEXT(INDEX(ERP資料!$G:$G, (MATCH(511, 輔助計算!$G$2:$G$801, 0)+1)),"0.##"),TEXT(INDEX(ERP資料!$G:$G, (MATCH(511, 輔助計算!$G$2:$G$801, 0)+1)),"0.##")&amp;"+"&amp;TEXT(INDEX(ERP資料!$G:$G, (MATCH(511, 輔助計算!$G$2:$G$801, 0)+1)),"0.##")&amp;"+"&amp;TEXT(INDEX(ERP資料!$G:$G, (MATCH(511, 輔助計算!$G$2:$G$801, 0)+1)),"0.##")))&amp;"-"&amp;INT(INDEX(輔助計算!$D:$D, (MATCH(511, 輔助計算!$G$2:$G$801, 0)+1))/IF(INDEX(ERP資料!$G:$G, (MATCH(511, 輔助計算!$G$2:$G$801, 0)+1))&lt;100, IF(INDEX(ERP資料!$G:$G, (MATCH(511, 輔助計算!$G$2:$G$801, 0)+1))&lt;=31,3,IF(INDEX(ERP資料!$G:$G, (MATCH(511, 輔助計算!$G$2:$G$801, 0)+1))&lt;=46.5,2,1)), IF(INDEX(ERP資料!$G:$G, (MATCH(511, 輔助計算!$G$2:$G$801, 0)+1))&lt;=790,3,IF(INDEX(ERP資料!$G:$G, (MATCH(511, 輔助計算!$G$2:$G$801, 0)+1))&lt;=1181,2,1)))), "")&amp;IF(AND(IF(INT(INDEX(輔助計算!$D:$D, (MATCH(511, 輔助計算!$G$2:$G$801, 0)+1))/IF(INDEX(ERP資料!$G:$G, (MATCH(511, 輔助計算!$G$2:$G$801, 0)+1))&lt;100, IF(INDEX(ERP資料!$G:$G, (MATCH(511, 輔助計算!$G$2:$G$801, 0)+1))&lt;=31,3,IF(INDEX(ERP資料!$G:$G, (MATCH(511, 輔助計算!$G$2:$G$801, 0)+1))&lt;=46.5,2,1)), IF(INDEX(ERP資料!$G:$G, (MATCH(511, 輔助計算!$G$2:$G$801, 0)+1))&lt;=790,3,IF(INDEX(ERP資料!$G:$G, (MATCH(511, 輔助計算!$G$2:$G$801, 0)+1))&lt;=1181,2,1))))&gt;0, IF(IF(INDEX(ERP資料!$G:$G, (MATCH(511, 輔助計算!$G$2:$G$801, 0)+1))&lt;100, IF(INDEX(ERP資料!$G:$G, (MATCH(511, 輔助計算!$G$2:$G$801, 0)+1))&lt;=31,3,IF(INDEX(ERP資料!$G:$G, (MATCH(511, 輔助計算!$G$2:$G$801, 0)+1))&lt;=46.5,2,1)), IF(INDEX(ERP資料!$G:$G, (MATCH(511, 輔助計算!$G$2:$G$801, 0)+1))&lt;=790,3,IF(INDEX(ERP資料!$G:$G, (MATCH(511, 輔助計算!$G$2:$G$801, 0)+1))&lt;=1181,2,1)))=1,TEXT(INDEX(ERP資料!$G:$G, (MATCH(511, 輔助計算!$G$2:$G$801, 0)+1)),"0.##"),IF(IF(INDEX(ERP資料!$G:$G, (MATCH(511, 輔助計算!$G$2:$G$801, 0)+1))&lt;100, IF(INDEX(ERP資料!$G:$G, (MATCH(511, 輔助計算!$G$2:$G$801, 0)+1))&lt;=31,3,IF(INDEX(ERP資料!$G:$G, (MATCH(511, 輔助計算!$G$2:$G$801, 0)+1))&lt;=46.5,2,1)), IF(INDEX(ERP資料!$G:$G, (MATCH(511, 輔助計算!$G$2:$G$801, 0)+1))&lt;=790,3,IF(INDEX(ERP資料!$G:$G, (MATCH(511, 輔助計算!$G$2:$G$801, 0)+1))&lt;=1181,2,1)))=2,TEXT(INDEX(ERP資料!$G:$G, (MATCH(511, 輔助計算!$G$2:$G$801, 0)+1)),"0.##")&amp;"+"&amp;TEXT(INDEX(ERP資料!$G:$G, (MATCH(511, 輔助計算!$G$2:$G$801, 0)+1)),"0.##"),TEXT(INDEX(ERP資料!$G:$G, (MATCH(511, 輔助計算!$G$2:$G$801, 0)+1)),"0.##")&amp;"+"&amp;TEXT(INDEX(ERP資料!$G:$G, (MATCH(511, 輔助計算!$G$2:$G$801, 0)+1)),"0.##")&amp;"+"&amp;TEXT(INDEX(ERP資料!$G:$G, (MATCH(511, 輔助計算!$G$2:$G$801, 0)+1)),"0.##")))&amp;"-"&amp;INT(INDEX(輔助計算!$D:$D, (MATCH(511, 輔助計算!$G$2:$G$801, 0)+1))/IF(INDEX(ERP資料!$G:$G, (MATCH(511, 輔助計算!$G$2:$G$801, 0)+1))&lt;100, IF(INDEX(ERP資料!$G:$G, (MATCH(511, 輔助計算!$G$2:$G$801, 0)+1))&lt;=31,3,IF(INDEX(ERP資料!$G:$G, (MATCH(511, 輔助計算!$G$2:$G$801, 0)+1))&lt;=46.5,2,1)), IF(INDEX(ERP資料!$G:$G, (MATCH(511, 輔助計算!$G$2:$G$801, 0)+1))&lt;=790,3,IF(INDEX(ERP資料!$G:$G, (MATCH(511, 輔助計算!$G$2:$G$801, 0)+1))&lt;=1181,2,1)))), "")&lt;&gt;"",IF(MOD(INDEX(輔助計算!$D:$D, (MATCH(511, 輔助計算!$G$2:$G$801, 0)+1)),IF(INDEX(ERP資料!$G:$G, (MATCH(511, 輔助計算!$G$2:$G$801, 0)+1))&lt;100, IF(INDEX(ERP資料!$G:$G, (MATCH(511, 輔助計算!$G$2:$G$801, 0)+1))&lt;=31,3,IF(INDEX(ERP資料!$G:$G, (MATCH(511, 輔助計算!$G$2:$G$801, 0)+1))&lt;=46.5,2,1)), IF(INDEX(ERP資料!$G:$G, (MATCH(511, 輔助計算!$G$2:$G$801, 0)+1))&lt;=790,3,IF(INDEX(ERP資料!$G:$G, (MATCH(511, 輔助計算!$G$2:$G$801, 0)+1))&lt;=1181,2,1))))=0,"",IF(MOD(INDEX(輔助計算!$D:$D, (MATCH(511, 輔助計算!$G$2:$G$801, 0)+1)),IF(INDEX(ERP資料!$G:$G, (MATCH(511, 輔助計算!$G$2:$G$801, 0)+1))&lt;100, IF(INDEX(ERP資料!$G:$G, (MATCH(511, 輔助計算!$G$2:$G$801, 0)+1))&lt;=31,3,IF(INDEX(ERP資料!$G:$G, (MATCH(511, 輔助計算!$G$2:$G$801, 0)+1))&lt;=46.5,2,1)), IF(INDEX(ERP資料!$G:$G, (MATCH(511, 輔助計算!$G$2:$G$801, 0)+1))&lt;=790,3,IF(INDEX(ERP資料!$G:$G, (MATCH(511, 輔助計算!$G$2:$G$801, 0)+1))&lt;=1181,2,1))))=0,"",IF(MOD(INDEX(輔助計算!$D:$D, (MATCH(511, 輔助計算!$G$2:$G$801, 0)+1)),IF(INDEX(ERP資料!$G:$G, (MATCH(511, 輔助計算!$G$2:$G$801, 0)+1))&lt;100, IF(INDEX(ERP資料!$G:$G, (MATCH(511, 輔助計算!$G$2:$G$801, 0)+1))&lt;=31,3,IF(INDEX(ERP資料!$G:$G, (MATCH(511, 輔助計算!$G$2:$G$801, 0)+1))&lt;=46.5,2,1)), IF(INDEX(ERP資料!$G:$G, (MATCH(511, 輔助計算!$G$2:$G$801, 0)+1))&lt;=790,3,IF(INDEX(ERP資料!$G:$G, (MATCH(511, 輔助計算!$G$2:$G$801, 0)+1))&lt;=1181,2,1))))=1,TEXT(INDEX(ERP資料!$G:$G, (MATCH(511, 輔助計算!$G$2:$G$801, 0)+1)),"0.##"),IF(MOD(INDEX(輔助計算!$D:$D, (MATCH(511, 輔助計算!$G$2:$G$801, 0)+1)),IF(INDEX(ERP資料!$G:$G, (MATCH(511, 輔助計算!$G$2:$G$801, 0)+1))&lt;100, IF(INDEX(ERP資料!$G:$G, (MATCH(511, 輔助計算!$G$2:$G$801, 0)+1))&lt;=31,3,IF(INDEX(ERP資料!$G:$G, (MATCH(511, 輔助計算!$G$2:$G$801, 0)+1))&lt;=46.5,2,1)), IF(INDEX(ERP資料!$G:$G, (MATCH(511, 輔助計算!$G$2:$G$801, 0)+1))&lt;=790,3,IF(INDEX(ERP資料!$G:$G, (MATCH(511, 輔助計算!$G$2:$G$801, 0)+1))&lt;=1181,2,1))))=2,TEXT(INDEX(ERP資料!$G:$G, (MATCH(511, 輔助計算!$G$2:$G$801, 0)+1)),"0.##")&amp;"+"&amp;TEXT(INDEX(ERP資料!$G:$G, (MATCH(511, 輔助計算!$G$2:$G$801, 0)+1)),"0.##"),TEXT(INDEX(ERP資料!$G:$G, (MATCH(511, 輔助計算!$G$2:$G$801, 0)+1)),"0.##")&amp;"+"&amp;TEXT(INDEX(ERP資料!$G:$G, (MATCH(511, 輔助計算!$G$2:$G$801, 0)+1)),"0.##")&amp;"+"&amp;TEXT(INDEX(ERP資料!$G:$G, (MATCH(511, 輔助計算!$G$2:$G$801, 0)+1)),"0.##"))))&amp;"-1")&lt;&gt;""),"  ","")&amp;IF(MOD(INDEX(輔助計算!$D:$D, (MATCH(511, 輔助計算!$G$2:$G$801, 0)+1)),IF(INDEX(ERP資料!$G:$G, (MATCH(511, 輔助計算!$G$2:$G$801, 0)+1))&lt;100, IF(INDEX(ERP資料!$G:$G, (MATCH(511, 輔助計算!$G$2:$G$801, 0)+1))&lt;=31,3,IF(INDEX(ERP資料!$G:$G, (MATCH(511, 輔助計算!$G$2:$G$801, 0)+1))&lt;=46.5,2,1)), IF(INDEX(ERP資料!$G:$G, (MATCH(511, 輔助計算!$G$2:$G$801, 0)+1))&lt;=790,3,IF(INDEX(ERP資料!$G:$G, (MATCH(511, 輔助計算!$G$2:$G$801, 0)+1))&lt;=1181,2,1))))=0,"",IF(MOD(INDEX(輔助計算!$D:$D, (MATCH(511, 輔助計算!$G$2:$G$801, 0)+1)),IF(INDEX(ERP資料!$G:$G, (MATCH(511, 輔助計算!$G$2:$G$801, 0)+1))&lt;100, IF(INDEX(ERP資料!$G:$G, (MATCH(511, 輔助計算!$G$2:$G$801, 0)+1))&lt;=31,3,IF(INDEX(ERP資料!$G:$G, (MATCH(511, 輔助計算!$G$2:$G$801, 0)+1))&lt;=46.5,2,1)), IF(INDEX(ERP資料!$G:$G, (MATCH(511, 輔助計算!$G$2:$G$801, 0)+1))&lt;=790,3,IF(INDEX(ERP資料!$G:$G, (MATCH(511, 輔助計算!$G$2:$G$801, 0)+1))&lt;=1181,2,1))))=0,"",IF(MOD(INDEX(輔助計算!$D:$D, (MATCH(511, 輔助計算!$G$2:$G$801, 0)+1)),IF(INDEX(ERP資料!$G:$G, (MATCH(511, 輔助計算!$G$2:$G$801, 0)+1))&lt;100, IF(INDEX(ERP資料!$G:$G, (MATCH(511, 輔助計算!$G$2:$G$801, 0)+1))&lt;=31,3,IF(INDEX(ERP資料!$G:$G, (MATCH(511, 輔助計算!$G$2:$G$801, 0)+1))&lt;=46.5,2,1)), IF(INDEX(ERP資料!$G:$G, (MATCH(511, 輔助計算!$G$2:$G$801, 0)+1))&lt;=790,3,IF(INDEX(ERP資料!$G:$G, (MATCH(511, 輔助計算!$G$2:$G$801, 0)+1))&lt;=1181,2,1))))=1,TEXT(INDEX(ERP資料!$G:$G, (MATCH(511, 輔助計算!$G$2:$G$801, 0)+1)),"0.##"),IF(MOD(INDEX(輔助計算!$D:$D, (MATCH(511, 輔助計算!$G$2:$G$801, 0)+1)),IF(INDEX(ERP資料!$G:$G, (MATCH(511, 輔助計算!$G$2:$G$801, 0)+1))&lt;100, IF(INDEX(ERP資料!$G:$G, (MATCH(511, 輔助計算!$G$2:$G$801, 0)+1))&lt;=31,3,IF(INDEX(ERP資料!$G:$G, (MATCH(511, 輔助計算!$G$2:$G$801, 0)+1))&lt;=46.5,2,1)), IF(INDEX(ERP資料!$G:$G, (MATCH(511, 輔助計算!$G$2:$G$801, 0)+1))&lt;=790,3,IF(INDEX(ERP資料!$G:$G, (MATCH(511, 輔助計算!$G$2:$G$801, 0)+1))&lt;=1181,2,1))))=2,TEXT(INDEX(ERP資料!$G:$G, (MATCH(511, 輔助計算!$G$2:$G$801, 0)+1)),"0.##")&amp;"+"&amp;TEXT(INDEX(ERP資料!$G:$G, (MATCH(511, 輔助計算!$G$2:$G$801, 0)+1)),"0.##"),TEXT(INDEX(ERP資料!$G:$G, (MATCH(511, 輔助計算!$G$2:$G$801, 0)+1)),"0.##")&amp;"+"&amp;TEXT(INDEX(ERP資料!$G:$G, (MATCH(511, 輔助計算!$G$2:$G$801, 0)+1)),"0.##")&amp;"+"&amp;TEXT(INDEX(ERP資料!$G:$G, (MATCH(511, 輔助計算!$G$2:$G$801, 0)+1)),"0.##"))))&amp;"-1")), ""), "")</f>
        <v/>
      </c>
      <c r="K512" s="16" t="n"/>
      <c r="L512" s="14">
        <f>IFERROR(IF(AND(IFERROR(INDEX(ERP資料!$A:$A, (MATCH(511, 輔助計算!$G$2:$G$801, 0)+1)), "")&lt;&gt;"", IFERROR(INDEX(ERP資料!$A:$A, (MATCH(511, 輔助計算!$G$2:$G$801, 0)+1)), "")&lt;&gt;IFERROR(INDEX(ERP資料!$A:$A, MATCH(510, 輔助計算!$G$2:$G$801, 0)+1), "")), INDEX(ERP資料!$B:$B, (MATCH(511, 輔助計算!$G$2:$G$801, 0)+1)), ""), "")</f>
        <v/>
      </c>
      <c r="M512" s="17" t="n"/>
    </row>
    <row r="513">
      <c r="A513" s="10">
        <f>IFERROR(IF(AND(IFERROR(INDEX(ERP資料!$A:$A, (MATCH(512, 輔助計算!$G$2:$G$801, 0)+1)), "")&lt;&gt;"", IFERROR(INDEX(ERP資料!$A:$A, (MATCH(512, 輔助計算!$G$2:$G$801, 0)+1)), "")&lt;&gt;IFERROR(INDEX(ERP資料!$A:$A, MATCH(511, 輔助計算!$G$2:$G$801, 0)+1), "")), IFERROR(INDEX(ERP資料!$A:$A, (MATCH(512, 輔助計算!$G$2:$G$801, 0)+1)), ""), ""), "")</f>
        <v/>
      </c>
      <c r="B513" s="10">
        <f>IFERROR(IF(AND(IFERROR(INDEX(ERP資料!$A:$A, (MATCH(512, 輔助計算!$G$2:$G$801, 0)+1)), "")&lt;&gt;"", IFERROR(INDEX(ERP資料!$A:$A, (MATCH(512, 輔助計算!$G$2:$G$801, 0)+1)), "")&lt;&gt;IFERROR(INDEX(ERP資料!$A:$A, MATCH(511, 輔助計算!$G$2:$G$801, 0)+1), "")), INDEX(ERP資料!$S:$S, (MATCH(512, 輔助計算!$G$2:$G$801, 0)+1)), ""), "")</f>
        <v/>
      </c>
      <c r="C513" s="19">
        <f>IFERROR(IF(AND(IFERROR(INDEX(ERP資料!$A:$A, (MATCH(512, 輔助計算!$G$2:$G$801, 0)+1)), "")&lt;&gt;"", IFERROR(INDEX(ERP資料!$A:$A, (MATCH(512, 輔助計算!$G$2:$G$801, 0)+1)), "")&lt;&gt;IFERROR(INDEX(ERP資料!$A:$A, MATCH(511, 輔助計算!$G$2:$G$801, 0)+1), "")), IFERROR(VLOOKUP(LEFT(INDEX(ERP資料!$S:$S, (MATCH(512, 輔助計算!$G$2:$G$801, 0)+1)), 4), 紙管對照表!$A:$C, 3, FALSE), ""), ""), "")</f>
        <v/>
      </c>
      <c r="D513" s="16" t="n"/>
      <c r="E513" s="10">
        <f>IFERROR(IF(INDEX(ERP資料!$H:$H, (MATCH(512, 輔助計算!$G$2:$G$801, 0)+1))="","",INDEX(ERP資料!$H:$H, (MATCH(512, 輔助計算!$G$2:$G$801, 0)+1))), "")</f>
        <v/>
      </c>
      <c r="F513" s="10">
        <f>IFERROR(IF(INDEX(ERP資料!$E:$E, (MATCH(512, 輔助計算!$G$2:$G$801, 0)+1))="","",TRIM(INDEX(ERP資料!$E:$E, (MATCH(512, 輔助計算!$G$2:$G$801, 0)+1)))), "")</f>
        <v/>
      </c>
      <c r="G513" s="10">
        <f>IFERROR(IF(INDEX(ERP資料!$F:$F, (MATCH(512, 輔助計算!$G$2:$G$801, 0)+1))="","",INDEX(ERP資料!$F:$F, (MATCH(512, 輔助計算!$G$2:$G$801, 0)+1))), "")</f>
        <v/>
      </c>
      <c r="H513" s="10">
        <f>IFERROR(IF(INDEX(ERP資料!$G:$G, (MATCH(512, 輔助計算!$G$2:$G$801, 0)+1))="","",INDEX(ERP資料!$G:$G, (MATCH(512, 輔助計算!$G$2:$G$801, 0)+1))), "")</f>
        <v/>
      </c>
      <c r="I513" s="15">
        <f>IFERROR(INDEX(輔助計算!$D:$D, (MATCH(512, 輔助計算!$G$2:$G$801, 0)+1)), "")</f>
        <v/>
      </c>
      <c r="J513" s="15">
        <f>IFERROR(IF(AND(INDEX(輔助計算!$D:$D, (MATCH(512, 輔助計算!$G$2:$G$801, 0)+1))&lt;&gt;"", INDEX(ERP資料!$G:$G, (MATCH(512, 輔助計算!$G$2:$G$801, 0)+1))&lt;&gt;""), TRIM(IF(INT(INDEX(輔助計算!$D:$D, (MATCH(512, 輔助計算!$G$2:$G$801, 0)+1))/IF(INDEX(ERP資料!$G:$G, (MATCH(512, 輔助計算!$G$2:$G$801, 0)+1))&lt;100, IF(INDEX(ERP資料!$G:$G, (MATCH(512, 輔助計算!$G$2:$G$801, 0)+1))&lt;=31,3,IF(INDEX(ERP資料!$G:$G, (MATCH(512, 輔助計算!$G$2:$G$801, 0)+1))&lt;=46.5,2,1)), IF(INDEX(ERP資料!$G:$G, (MATCH(512, 輔助計算!$G$2:$G$801, 0)+1))&lt;=790,3,IF(INDEX(ERP資料!$G:$G, (MATCH(512, 輔助計算!$G$2:$G$801, 0)+1))&lt;=1181,2,1))))&gt;0, IF(IF(INDEX(ERP資料!$G:$G, (MATCH(512, 輔助計算!$G$2:$G$801, 0)+1))&lt;100, IF(INDEX(ERP資料!$G:$G, (MATCH(512, 輔助計算!$G$2:$G$801, 0)+1))&lt;=31,3,IF(INDEX(ERP資料!$G:$G, (MATCH(512, 輔助計算!$G$2:$G$801, 0)+1))&lt;=46.5,2,1)), IF(INDEX(ERP資料!$G:$G, (MATCH(512, 輔助計算!$G$2:$G$801, 0)+1))&lt;=790,3,IF(INDEX(ERP資料!$G:$G, (MATCH(512, 輔助計算!$G$2:$G$801, 0)+1))&lt;=1181,2,1)))=1,TEXT(INDEX(ERP資料!$G:$G, (MATCH(512, 輔助計算!$G$2:$G$801, 0)+1)),"0.##"),IF(IF(INDEX(ERP資料!$G:$G, (MATCH(512, 輔助計算!$G$2:$G$801, 0)+1))&lt;100, IF(INDEX(ERP資料!$G:$G, (MATCH(512, 輔助計算!$G$2:$G$801, 0)+1))&lt;=31,3,IF(INDEX(ERP資料!$G:$G, (MATCH(512, 輔助計算!$G$2:$G$801, 0)+1))&lt;=46.5,2,1)), IF(INDEX(ERP資料!$G:$G, (MATCH(512, 輔助計算!$G$2:$G$801, 0)+1))&lt;=790,3,IF(INDEX(ERP資料!$G:$G, (MATCH(512, 輔助計算!$G$2:$G$801, 0)+1))&lt;=1181,2,1)))=2,TEXT(INDEX(ERP資料!$G:$G, (MATCH(512, 輔助計算!$G$2:$G$801, 0)+1)),"0.##")&amp;"+"&amp;TEXT(INDEX(ERP資料!$G:$G, (MATCH(512, 輔助計算!$G$2:$G$801, 0)+1)),"0.##"),TEXT(INDEX(ERP資料!$G:$G, (MATCH(512, 輔助計算!$G$2:$G$801, 0)+1)),"0.##")&amp;"+"&amp;TEXT(INDEX(ERP資料!$G:$G, (MATCH(512, 輔助計算!$G$2:$G$801, 0)+1)),"0.##")&amp;"+"&amp;TEXT(INDEX(ERP資料!$G:$G, (MATCH(512, 輔助計算!$G$2:$G$801, 0)+1)),"0.##")))&amp;"-"&amp;INT(INDEX(輔助計算!$D:$D, (MATCH(512, 輔助計算!$G$2:$G$801, 0)+1))/IF(INDEX(ERP資料!$G:$G, (MATCH(512, 輔助計算!$G$2:$G$801, 0)+1))&lt;100, IF(INDEX(ERP資料!$G:$G, (MATCH(512, 輔助計算!$G$2:$G$801, 0)+1))&lt;=31,3,IF(INDEX(ERP資料!$G:$G, (MATCH(512, 輔助計算!$G$2:$G$801, 0)+1))&lt;=46.5,2,1)), IF(INDEX(ERP資料!$G:$G, (MATCH(512, 輔助計算!$G$2:$G$801, 0)+1))&lt;=790,3,IF(INDEX(ERP資料!$G:$G, (MATCH(512, 輔助計算!$G$2:$G$801, 0)+1))&lt;=1181,2,1)))), "")&amp;IF(AND(IF(INT(INDEX(輔助計算!$D:$D, (MATCH(512, 輔助計算!$G$2:$G$801, 0)+1))/IF(INDEX(ERP資料!$G:$G, (MATCH(512, 輔助計算!$G$2:$G$801, 0)+1))&lt;100, IF(INDEX(ERP資料!$G:$G, (MATCH(512, 輔助計算!$G$2:$G$801, 0)+1))&lt;=31,3,IF(INDEX(ERP資料!$G:$G, (MATCH(512, 輔助計算!$G$2:$G$801, 0)+1))&lt;=46.5,2,1)), IF(INDEX(ERP資料!$G:$G, (MATCH(512, 輔助計算!$G$2:$G$801, 0)+1))&lt;=790,3,IF(INDEX(ERP資料!$G:$G, (MATCH(512, 輔助計算!$G$2:$G$801, 0)+1))&lt;=1181,2,1))))&gt;0, IF(IF(INDEX(ERP資料!$G:$G, (MATCH(512, 輔助計算!$G$2:$G$801, 0)+1))&lt;100, IF(INDEX(ERP資料!$G:$G, (MATCH(512, 輔助計算!$G$2:$G$801, 0)+1))&lt;=31,3,IF(INDEX(ERP資料!$G:$G, (MATCH(512, 輔助計算!$G$2:$G$801, 0)+1))&lt;=46.5,2,1)), IF(INDEX(ERP資料!$G:$G, (MATCH(512, 輔助計算!$G$2:$G$801, 0)+1))&lt;=790,3,IF(INDEX(ERP資料!$G:$G, (MATCH(512, 輔助計算!$G$2:$G$801, 0)+1))&lt;=1181,2,1)))=1,TEXT(INDEX(ERP資料!$G:$G, (MATCH(512, 輔助計算!$G$2:$G$801, 0)+1)),"0.##"),IF(IF(INDEX(ERP資料!$G:$G, (MATCH(512, 輔助計算!$G$2:$G$801, 0)+1))&lt;100, IF(INDEX(ERP資料!$G:$G, (MATCH(512, 輔助計算!$G$2:$G$801, 0)+1))&lt;=31,3,IF(INDEX(ERP資料!$G:$G, (MATCH(512, 輔助計算!$G$2:$G$801, 0)+1))&lt;=46.5,2,1)), IF(INDEX(ERP資料!$G:$G, (MATCH(512, 輔助計算!$G$2:$G$801, 0)+1))&lt;=790,3,IF(INDEX(ERP資料!$G:$G, (MATCH(512, 輔助計算!$G$2:$G$801, 0)+1))&lt;=1181,2,1)))=2,TEXT(INDEX(ERP資料!$G:$G, (MATCH(512, 輔助計算!$G$2:$G$801, 0)+1)),"0.##")&amp;"+"&amp;TEXT(INDEX(ERP資料!$G:$G, (MATCH(512, 輔助計算!$G$2:$G$801, 0)+1)),"0.##"),TEXT(INDEX(ERP資料!$G:$G, (MATCH(512, 輔助計算!$G$2:$G$801, 0)+1)),"0.##")&amp;"+"&amp;TEXT(INDEX(ERP資料!$G:$G, (MATCH(512, 輔助計算!$G$2:$G$801, 0)+1)),"0.##")&amp;"+"&amp;TEXT(INDEX(ERP資料!$G:$G, (MATCH(512, 輔助計算!$G$2:$G$801, 0)+1)),"0.##")))&amp;"-"&amp;INT(INDEX(輔助計算!$D:$D, (MATCH(512, 輔助計算!$G$2:$G$801, 0)+1))/IF(INDEX(ERP資料!$G:$G, (MATCH(512, 輔助計算!$G$2:$G$801, 0)+1))&lt;100, IF(INDEX(ERP資料!$G:$G, (MATCH(512, 輔助計算!$G$2:$G$801, 0)+1))&lt;=31,3,IF(INDEX(ERP資料!$G:$G, (MATCH(512, 輔助計算!$G$2:$G$801, 0)+1))&lt;=46.5,2,1)), IF(INDEX(ERP資料!$G:$G, (MATCH(512, 輔助計算!$G$2:$G$801, 0)+1))&lt;=790,3,IF(INDEX(ERP資料!$G:$G, (MATCH(512, 輔助計算!$G$2:$G$801, 0)+1))&lt;=1181,2,1)))), "")&lt;&gt;"",IF(MOD(INDEX(輔助計算!$D:$D, (MATCH(512, 輔助計算!$G$2:$G$801, 0)+1)),IF(INDEX(ERP資料!$G:$G, (MATCH(512, 輔助計算!$G$2:$G$801, 0)+1))&lt;100, IF(INDEX(ERP資料!$G:$G, (MATCH(512, 輔助計算!$G$2:$G$801, 0)+1))&lt;=31,3,IF(INDEX(ERP資料!$G:$G, (MATCH(512, 輔助計算!$G$2:$G$801, 0)+1))&lt;=46.5,2,1)), IF(INDEX(ERP資料!$G:$G, (MATCH(512, 輔助計算!$G$2:$G$801, 0)+1))&lt;=790,3,IF(INDEX(ERP資料!$G:$G, (MATCH(512, 輔助計算!$G$2:$G$801, 0)+1))&lt;=1181,2,1))))=0,"",IF(MOD(INDEX(輔助計算!$D:$D, (MATCH(512, 輔助計算!$G$2:$G$801, 0)+1)),IF(INDEX(ERP資料!$G:$G, (MATCH(512, 輔助計算!$G$2:$G$801, 0)+1))&lt;100, IF(INDEX(ERP資料!$G:$G, (MATCH(512, 輔助計算!$G$2:$G$801, 0)+1))&lt;=31,3,IF(INDEX(ERP資料!$G:$G, (MATCH(512, 輔助計算!$G$2:$G$801, 0)+1))&lt;=46.5,2,1)), IF(INDEX(ERP資料!$G:$G, (MATCH(512, 輔助計算!$G$2:$G$801, 0)+1))&lt;=790,3,IF(INDEX(ERP資料!$G:$G, (MATCH(512, 輔助計算!$G$2:$G$801, 0)+1))&lt;=1181,2,1))))=0,"",IF(MOD(INDEX(輔助計算!$D:$D, (MATCH(512, 輔助計算!$G$2:$G$801, 0)+1)),IF(INDEX(ERP資料!$G:$G, (MATCH(512, 輔助計算!$G$2:$G$801, 0)+1))&lt;100, IF(INDEX(ERP資料!$G:$G, (MATCH(512, 輔助計算!$G$2:$G$801, 0)+1))&lt;=31,3,IF(INDEX(ERP資料!$G:$G, (MATCH(512, 輔助計算!$G$2:$G$801, 0)+1))&lt;=46.5,2,1)), IF(INDEX(ERP資料!$G:$G, (MATCH(512, 輔助計算!$G$2:$G$801, 0)+1))&lt;=790,3,IF(INDEX(ERP資料!$G:$G, (MATCH(512, 輔助計算!$G$2:$G$801, 0)+1))&lt;=1181,2,1))))=1,TEXT(INDEX(ERP資料!$G:$G, (MATCH(512, 輔助計算!$G$2:$G$801, 0)+1)),"0.##"),IF(MOD(INDEX(輔助計算!$D:$D, (MATCH(512, 輔助計算!$G$2:$G$801, 0)+1)),IF(INDEX(ERP資料!$G:$G, (MATCH(512, 輔助計算!$G$2:$G$801, 0)+1))&lt;100, IF(INDEX(ERP資料!$G:$G, (MATCH(512, 輔助計算!$G$2:$G$801, 0)+1))&lt;=31,3,IF(INDEX(ERP資料!$G:$G, (MATCH(512, 輔助計算!$G$2:$G$801, 0)+1))&lt;=46.5,2,1)), IF(INDEX(ERP資料!$G:$G, (MATCH(512, 輔助計算!$G$2:$G$801, 0)+1))&lt;=790,3,IF(INDEX(ERP資料!$G:$G, (MATCH(512, 輔助計算!$G$2:$G$801, 0)+1))&lt;=1181,2,1))))=2,TEXT(INDEX(ERP資料!$G:$G, (MATCH(512, 輔助計算!$G$2:$G$801, 0)+1)),"0.##")&amp;"+"&amp;TEXT(INDEX(ERP資料!$G:$G, (MATCH(512, 輔助計算!$G$2:$G$801, 0)+1)),"0.##"),TEXT(INDEX(ERP資料!$G:$G, (MATCH(512, 輔助計算!$G$2:$G$801, 0)+1)),"0.##")&amp;"+"&amp;TEXT(INDEX(ERP資料!$G:$G, (MATCH(512, 輔助計算!$G$2:$G$801, 0)+1)),"0.##")&amp;"+"&amp;TEXT(INDEX(ERP資料!$G:$G, (MATCH(512, 輔助計算!$G$2:$G$801, 0)+1)),"0.##"))))&amp;"-1")&lt;&gt;""),"  ","")&amp;IF(MOD(INDEX(輔助計算!$D:$D, (MATCH(512, 輔助計算!$G$2:$G$801, 0)+1)),IF(INDEX(ERP資料!$G:$G, (MATCH(512, 輔助計算!$G$2:$G$801, 0)+1))&lt;100, IF(INDEX(ERP資料!$G:$G, (MATCH(512, 輔助計算!$G$2:$G$801, 0)+1))&lt;=31,3,IF(INDEX(ERP資料!$G:$G, (MATCH(512, 輔助計算!$G$2:$G$801, 0)+1))&lt;=46.5,2,1)), IF(INDEX(ERP資料!$G:$G, (MATCH(512, 輔助計算!$G$2:$G$801, 0)+1))&lt;=790,3,IF(INDEX(ERP資料!$G:$G, (MATCH(512, 輔助計算!$G$2:$G$801, 0)+1))&lt;=1181,2,1))))=0,"",IF(MOD(INDEX(輔助計算!$D:$D, (MATCH(512, 輔助計算!$G$2:$G$801, 0)+1)),IF(INDEX(ERP資料!$G:$G, (MATCH(512, 輔助計算!$G$2:$G$801, 0)+1))&lt;100, IF(INDEX(ERP資料!$G:$G, (MATCH(512, 輔助計算!$G$2:$G$801, 0)+1))&lt;=31,3,IF(INDEX(ERP資料!$G:$G, (MATCH(512, 輔助計算!$G$2:$G$801, 0)+1))&lt;=46.5,2,1)), IF(INDEX(ERP資料!$G:$G, (MATCH(512, 輔助計算!$G$2:$G$801, 0)+1))&lt;=790,3,IF(INDEX(ERP資料!$G:$G, (MATCH(512, 輔助計算!$G$2:$G$801, 0)+1))&lt;=1181,2,1))))=0,"",IF(MOD(INDEX(輔助計算!$D:$D, (MATCH(512, 輔助計算!$G$2:$G$801, 0)+1)),IF(INDEX(ERP資料!$G:$G, (MATCH(512, 輔助計算!$G$2:$G$801, 0)+1))&lt;100, IF(INDEX(ERP資料!$G:$G, (MATCH(512, 輔助計算!$G$2:$G$801, 0)+1))&lt;=31,3,IF(INDEX(ERP資料!$G:$G, (MATCH(512, 輔助計算!$G$2:$G$801, 0)+1))&lt;=46.5,2,1)), IF(INDEX(ERP資料!$G:$G, (MATCH(512, 輔助計算!$G$2:$G$801, 0)+1))&lt;=790,3,IF(INDEX(ERP資料!$G:$G, (MATCH(512, 輔助計算!$G$2:$G$801, 0)+1))&lt;=1181,2,1))))=1,TEXT(INDEX(ERP資料!$G:$G, (MATCH(512, 輔助計算!$G$2:$G$801, 0)+1)),"0.##"),IF(MOD(INDEX(輔助計算!$D:$D, (MATCH(512, 輔助計算!$G$2:$G$801, 0)+1)),IF(INDEX(ERP資料!$G:$G, (MATCH(512, 輔助計算!$G$2:$G$801, 0)+1))&lt;100, IF(INDEX(ERP資料!$G:$G, (MATCH(512, 輔助計算!$G$2:$G$801, 0)+1))&lt;=31,3,IF(INDEX(ERP資料!$G:$G, (MATCH(512, 輔助計算!$G$2:$G$801, 0)+1))&lt;=46.5,2,1)), IF(INDEX(ERP資料!$G:$G, (MATCH(512, 輔助計算!$G$2:$G$801, 0)+1))&lt;=790,3,IF(INDEX(ERP資料!$G:$G, (MATCH(512, 輔助計算!$G$2:$G$801, 0)+1))&lt;=1181,2,1))))=2,TEXT(INDEX(ERP資料!$G:$G, (MATCH(512, 輔助計算!$G$2:$G$801, 0)+1)),"0.##")&amp;"+"&amp;TEXT(INDEX(ERP資料!$G:$G, (MATCH(512, 輔助計算!$G$2:$G$801, 0)+1)),"0.##"),TEXT(INDEX(ERP資料!$G:$G, (MATCH(512, 輔助計算!$G$2:$G$801, 0)+1)),"0.##")&amp;"+"&amp;TEXT(INDEX(ERP資料!$G:$G, (MATCH(512, 輔助計算!$G$2:$G$801, 0)+1)),"0.##")&amp;"+"&amp;TEXT(INDEX(ERP資料!$G:$G, (MATCH(512, 輔助計算!$G$2:$G$801, 0)+1)),"0.##"))))&amp;"-1")), ""), "")</f>
        <v/>
      </c>
      <c r="K513" s="16" t="n"/>
      <c r="L513" s="14">
        <f>IFERROR(IF(AND(IFERROR(INDEX(ERP資料!$A:$A, (MATCH(512, 輔助計算!$G$2:$G$801, 0)+1)), "")&lt;&gt;"", IFERROR(INDEX(ERP資料!$A:$A, (MATCH(512, 輔助計算!$G$2:$G$801, 0)+1)), "")&lt;&gt;IFERROR(INDEX(ERP資料!$A:$A, MATCH(511, 輔助計算!$G$2:$G$801, 0)+1), "")), INDEX(ERP資料!$B:$B, (MATCH(512, 輔助計算!$G$2:$G$801, 0)+1)), ""), "")</f>
        <v/>
      </c>
      <c r="M513" s="17" t="n"/>
    </row>
    <row r="514">
      <c r="A514" s="10">
        <f>IFERROR(IF(AND(IFERROR(INDEX(ERP資料!$A:$A, (MATCH(513, 輔助計算!$G$2:$G$801, 0)+1)), "")&lt;&gt;"", IFERROR(INDEX(ERP資料!$A:$A, (MATCH(513, 輔助計算!$G$2:$G$801, 0)+1)), "")&lt;&gt;IFERROR(INDEX(ERP資料!$A:$A, MATCH(512, 輔助計算!$G$2:$G$801, 0)+1), "")), IFERROR(INDEX(ERP資料!$A:$A, (MATCH(513, 輔助計算!$G$2:$G$801, 0)+1)), ""), ""), "")</f>
        <v/>
      </c>
      <c r="B514" s="10">
        <f>IFERROR(IF(AND(IFERROR(INDEX(ERP資料!$A:$A, (MATCH(513, 輔助計算!$G$2:$G$801, 0)+1)), "")&lt;&gt;"", IFERROR(INDEX(ERP資料!$A:$A, (MATCH(513, 輔助計算!$G$2:$G$801, 0)+1)), "")&lt;&gt;IFERROR(INDEX(ERP資料!$A:$A, MATCH(512, 輔助計算!$G$2:$G$801, 0)+1), "")), INDEX(ERP資料!$S:$S, (MATCH(513, 輔助計算!$G$2:$G$801, 0)+1)), ""), "")</f>
        <v/>
      </c>
      <c r="C514" s="19">
        <f>IFERROR(IF(AND(IFERROR(INDEX(ERP資料!$A:$A, (MATCH(513, 輔助計算!$G$2:$G$801, 0)+1)), "")&lt;&gt;"", IFERROR(INDEX(ERP資料!$A:$A, (MATCH(513, 輔助計算!$G$2:$G$801, 0)+1)), "")&lt;&gt;IFERROR(INDEX(ERP資料!$A:$A, MATCH(512, 輔助計算!$G$2:$G$801, 0)+1), "")), IFERROR(VLOOKUP(LEFT(INDEX(ERP資料!$S:$S, (MATCH(513, 輔助計算!$G$2:$G$801, 0)+1)), 4), 紙管對照表!$A:$C, 3, FALSE), ""), ""), "")</f>
        <v/>
      </c>
      <c r="D514" s="16" t="n"/>
      <c r="E514" s="10">
        <f>IFERROR(IF(INDEX(ERP資料!$H:$H, (MATCH(513, 輔助計算!$G$2:$G$801, 0)+1))="","",INDEX(ERP資料!$H:$H, (MATCH(513, 輔助計算!$G$2:$G$801, 0)+1))), "")</f>
        <v/>
      </c>
      <c r="F514" s="10">
        <f>IFERROR(IF(INDEX(ERP資料!$E:$E, (MATCH(513, 輔助計算!$G$2:$G$801, 0)+1))="","",TRIM(INDEX(ERP資料!$E:$E, (MATCH(513, 輔助計算!$G$2:$G$801, 0)+1)))), "")</f>
        <v/>
      </c>
      <c r="G514" s="10">
        <f>IFERROR(IF(INDEX(ERP資料!$F:$F, (MATCH(513, 輔助計算!$G$2:$G$801, 0)+1))="","",INDEX(ERP資料!$F:$F, (MATCH(513, 輔助計算!$G$2:$G$801, 0)+1))), "")</f>
        <v/>
      </c>
      <c r="H514" s="10">
        <f>IFERROR(IF(INDEX(ERP資料!$G:$G, (MATCH(513, 輔助計算!$G$2:$G$801, 0)+1))="","",INDEX(ERP資料!$G:$G, (MATCH(513, 輔助計算!$G$2:$G$801, 0)+1))), "")</f>
        <v/>
      </c>
      <c r="I514" s="15">
        <f>IFERROR(INDEX(輔助計算!$D:$D, (MATCH(513, 輔助計算!$G$2:$G$801, 0)+1)), "")</f>
        <v/>
      </c>
      <c r="J514" s="15">
        <f>IFERROR(IF(AND(INDEX(輔助計算!$D:$D, (MATCH(513, 輔助計算!$G$2:$G$801, 0)+1))&lt;&gt;"", INDEX(ERP資料!$G:$G, (MATCH(513, 輔助計算!$G$2:$G$801, 0)+1))&lt;&gt;""), TRIM(IF(INT(INDEX(輔助計算!$D:$D, (MATCH(513, 輔助計算!$G$2:$G$801, 0)+1))/IF(INDEX(ERP資料!$G:$G, (MATCH(513, 輔助計算!$G$2:$G$801, 0)+1))&lt;100, IF(INDEX(ERP資料!$G:$G, (MATCH(513, 輔助計算!$G$2:$G$801, 0)+1))&lt;=31,3,IF(INDEX(ERP資料!$G:$G, (MATCH(513, 輔助計算!$G$2:$G$801, 0)+1))&lt;=46.5,2,1)), IF(INDEX(ERP資料!$G:$G, (MATCH(513, 輔助計算!$G$2:$G$801, 0)+1))&lt;=790,3,IF(INDEX(ERP資料!$G:$G, (MATCH(513, 輔助計算!$G$2:$G$801, 0)+1))&lt;=1181,2,1))))&gt;0, IF(IF(INDEX(ERP資料!$G:$G, (MATCH(513, 輔助計算!$G$2:$G$801, 0)+1))&lt;100, IF(INDEX(ERP資料!$G:$G, (MATCH(513, 輔助計算!$G$2:$G$801, 0)+1))&lt;=31,3,IF(INDEX(ERP資料!$G:$G, (MATCH(513, 輔助計算!$G$2:$G$801, 0)+1))&lt;=46.5,2,1)), IF(INDEX(ERP資料!$G:$G, (MATCH(513, 輔助計算!$G$2:$G$801, 0)+1))&lt;=790,3,IF(INDEX(ERP資料!$G:$G, (MATCH(513, 輔助計算!$G$2:$G$801, 0)+1))&lt;=1181,2,1)))=1,TEXT(INDEX(ERP資料!$G:$G, (MATCH(513, 輔助計算!$G$2:$G$801, 0)+1)),"0.##"),IF(IF(INDEX(ERP資料!$G:$G, (MATCH(513, 輔助計算!$G$2:$G$801, 0)+1))&lt;100, IF(INDEX(ERP資料!$G:$G, (MATCH(513, 輔助計算!$G$2:$G$801, 0)+1))&lt;=31,3,IF(INDEX(ERP資料!$G:$G, (MATCH(513, 輔助計算!$G$2:$G$801, 0)+1))&lt;=46.5,2,1)), IF(INDEX(ERP資料!$G:$G, (MATCH(513, 輔助計算!$G$2:$G$801, 0)+1))&lt;=790,3,IF(INDEX(ERP資料!$G:$G, (MATCH(513, 輔助計算!$G$2:$G$801, 0)+1))&lt;=1181,2,1)))=2,TEXT(INDEX(ERP資料!$G:$G, (MATCH(513, 輔助計算!$G$2:$G$801, 0)+1)),"0.##")&amp;"+"&amp;TEXT(INDEX(ERP資料!$G:$G, (MATCH(513, 輔助計算!$G$2:$G$801, 0)+1)),"0.##"),TEXT(INDEX(ERP資料!$G:$G, (MATCH(513, 輔助計算!$G$2:$G$801, 0)+1)),"0.##")&amp;"+"&amp;TEXT(INDEX(ERP資料!$G:$G, (MATCH(513, 輔助計算!$G$2:$G$801, 0)+1)),"0.##")&amp;"+"&amp;TEXT(INDEX(ERP資料!$G:$G, (MATCH(513, 輔助計算!$G$2:$G$801, 0)+1)),"0.##")))&amp;"-"&amp;INT(INDEX(輔助計算!$D:$D, (MATCH(513, 輔助計算!$G$2:$G$801, 0)+1))/IF(INDEX(ERP資料!$G:$G, (MATCH(513, 輔助計算!$G$2:$G$801, 0)+1))&lt;100, IF(INDEX(ERP資料!$G:$G, (MATCH(513, 輔助計算!$G$2:$G$801, 0)+1))&lt;=31,3,IF(INDEX(ERP資料!$G:$G, (MATCH(513, 輔助計算!$G$2:$G$801, 0)+1))&lt;=46.5,2,1)), IF(INDEX(ERP資料!$G:$G, (MATCH(513, 輔助計算!$G$2:$G$801, 0)+1))&lt;=790,3,IF(INDEX(ERP資料!$G:$G, (MATCH(513, 輔助計算!$G$2:$G$801, 0)+1))&lt;=1181,2,1)))), "")&amp;IF(AND(IF(INT(INDEX(輔助計算!$D:$D, (MATCH(513, 輔助計算!$G$2:$G$801, 0)+1))/IF(INDEX(ERP資料!$G:$G, (MATCH(513, 輔助計算!$G$2:$G$801, 0)+1))&lt;100, IF(INDEX(ERP資料!$G:$G, (MATCH(513, 輔助計算!$G$2:$G$801, 0)+1))&lt;=31,3,IF(INDEX(ERP資料!$G:$G, (MATCH(513, 輔助計算!$G$2:$G$801, 0)+1))&lt;=46.5,2,1)), IF(INDEX(ERP資料!$G:$G, (MATCH(513, 輔助計算!$G$2:$G$801, 0)+1))&lt;=790,3,IF(INDEX(ERP資料!$G:$G, (MATCH(513, 輔助計算!$G$2:$G$801, 0)+1))&lt;=1181,2,1))))&gt;0, IF(IF(INDEX(ERP資料!$G:$G, (MATCH(513, 輔助計算!$G$2:$G$801, 0)+1))&lt;100, IF(INDEX(ERP資料!$G:$G, (MATCH(513, 輔助計算!$G$2:$G$801, 0)+1))&lt;=31,3,IF(INDEX(ERP資料!$G:$G, (MATCH(513, 輔助計算!$G$2:$G$801, 0)+1))&lt;=46.5,2,1)), IF(INDEX(ERP資料!$G:$G, (MATCH(513, 輔助計算!$G$2:$G$801, 0)+1))&lt;=790,3,IF(INDEX(ERP資料!$G:$G, (MATCH(513, 輔助計算!$G$2:$G$801, 0)+1))&lt;=1181,2,1)))=1,TEXT(INDEX(ERP資料!$G:$G, (MATCH(513, 輔助計算!$G$2:$G$801, 0)+1)),"0.##"),IF(IF(INDEX(ERP資料!$G:$G, (MATCH(513, 輔助計算!$G$2:$G$801, 0)+1))&lt;100, IF(INDEX(ERP資料!$G:$G, (MATCH(513, 輔助計算!$G$2:$G$801, 0)+1))&lt;=31,3,IF(INDEX(ERP資料!$G:$G, (MATCH(513, 輔助計算!$G$2:$G$801, 0)+1))&lt;=46.5,2,1)), IF(INDEX(ERP資料!$G:$G, (MATCH(513, 輔助計算!$G$2:$G$801, 0)+1))&lt;=790,3,IF(INDEX(ERP資料!$G:$G, (MATCH(513, 輔助計算!$G$2:$G$801, 0)+1))&lt;=1181,2,1)))=2,TEXT(INDEX(ERP資料!$G:$G, (MATCH(513, 輔助計算!$G$2:$G$801, 0)+1)),"0.##")&amp;"+"&amp;TEXT(INDEX(ERP資料!$G:$G, (MATCH(513, 輔助計算!$G$2:$G$801, 0)+1)),"0.##"),TEXT(INDEX(ERP資料!$G:$G, (MATCH(513, 輔助計算!$G$2:$G$801, 0)+1)),"0.##")&amp;"+"&amp;TEXT(INDEX(ERP資料!$G:$G, (MATCH(513, 輔助計算!$G$2:$G$801, 0)+1)),"0.##")&amp;"+"&amp;TEXT(INDEX(ERP資料!$G:$G, (MATCH(513, 輔助計算!$G$2:$G$801, 0)+1)),"0.##")))&amp;"-"&amp;INT(INDEX(輔助計算!$D:$D, (MATCH(513, 輔助計算!$G$2:$G$801, 0)+1))/IF(INDEX(ERP資料!$G:$G, (MATCH(513, 輔助計算!$G$2:$G$801, 0)+1))&lt;100, IF(INDEX(ERP資料!$G:$G, (MATCH(513, 輔助計算!$G$2:$G$801, 0)+1))&lt;=31,3,IF(INDEX(ERP資料!$G:$G, (MATCH(513, 輔助計算!$G$2:$G$801, 0)+1))&lt;=46.5,2,1)), IF(INDEX(ERP資料!$G:$G, (MATCH(513, 輔助計算!$G$2:$G$801, 0)+1))&lt;=790,3,IF(INDEX(ERP資料!$G:$G, (MATCH(513, 輔助計算!$G$2:$G$801, 0)+1))&lt;=1181,2,1)))), "")&lt;&gt;"",IF(MOD(INDEX(輔助計算!$D:$D, (MATCH(513, 輔助計算!$G$2:$G$801, 0)+1)),IF(INDEX(ERP資料!$G:$G, (MATCH(513, 輔助計算!$G$2:$G$801, 0)+1))&lt;100, IF(INDEX(ERP資料!$G:$G, (MATCH(513, 輔助計算!$G$2:$G$801, 0)+1))&lt;=31,3,IF(INDEX(ERP資料!$G:$G, (MATCH(513, 輔助計算!$G$2:$G$801, 0)+1))&lt;=46.5,2,1)), IF(INDEX(ERP資料!$G:$G, (MATCH(513, 輔助計算!$G$2:$G$801, 0)+1))&lt;=790,3,IF(INDEX(ERP資料!$G:$G, (MATCH(513, 輔助計算!$G$2:$G$801, 0)+1))&lt;=1181,2,1))))=0,"",IF(MOD(INDEX(輔助計算!$D:$D, (MATCH(513, 輔助計算!$G$2:$G$801, 0)+1)),IF(INDEX(ERP資料!$G:$G, (MATCH(513, 輔助計算!$G$2:$G$801, 0)+1))&lt;100, IF(INDEX(ERP資料!$G:$G, (MATCH(513, 輔助計算!$G$2:$G$801, 0)+1))&lt;=31,3,IF(INDEX(ERP資料!$G:$G, (MATCH(513, 輔助計算!$G$2:$G$801, 0)+1))&lt;=46.5,2,1)), IF(INDEX(ERP資料!$G:$G, (MATCH(513, 輔助計算!$G$2:$G$801, 0)+1))&lt;=790,3,IF(INDEX(ERP資料!$G:$G, (MATCH(513, 輔助計算!$G$2:$G$801, 0)+1))&lt;=1181,2,1))))=0,"",IF(MOD(INDEX(輔助計算!$D:$D, (MATCH(513, 輔助計算!$G$2:$G$801, 0)+1)),IF(INDEX(ERP資料!$G:$G, (MATCH(513, 輔助計算!$G$2:$G$801, 0)+1))&lt;100, IF(INDEX(ERP資料!$G:$G, (MATCH(513, 輔助計算!$G$2:$G$801, 0)+1))&lt;=31,3,IF(INDEX(ERP資料!$G:$G, (MATCH(513, 輔助計算!$G$2:$G$801, 0)+1))&lt;=46.5,2,1)), IF(INDEX(ERP資料!$G:$G, (MATCH(513, 輔助計算!$G$2:$G$801, 0)+1))&lt;=790,3,IF(INDEX(ERP資料!$G:$G, (MATCH(513, 輔助計算!$G$2:$G$801, 0)+1))&lt;=1181,2,1))))=1,TEXT(INDEX(ERP資料!$G:$G, (MATCH(513, 輔助計算!$G$2:$G$801, 0)+1)),"0.##"),IF(MOD(INDEX(輔助計算!$D:$D, (MATCH(513, 輔助計算!$G$2:$G$801, 0)+1)),IF(INDEX(ERP資料!$G:$G, (MATCH(513, 輔助計算!$G$2:$G$801, 0)+1))&lt;100, IF(INDEX(ERP資料!$G:$G, (MATCH(513, 輔助計算!$G$2:$G$801, 0)+1))&lt;=31,3,IF(INDEX(ERP資料!$G:$G, (MATCH(513, 輔助計算!$G$2:$G$801, 0)+1))&lt;=46.5,2,1)), IF(INDEX(ERP資料!$G:$G, (MATCH(513, 輔助計算!$G$2:$G$801, 0)+1))&lt;=790,3,IF(INDEX(ERP資料!$G:$G, (MATCH(513, 輔助計算!$G$2:$G$801, 0)+1))&lt;=1181,2,1))))=2,TEXT(INDEX(ERP資料!$G:$G, (MATCH(513, 輔助計算!$G$2:$G$801, 0)+1)),"0.##")&amp;"+"&amp;TEXT(INDEX(ERP資料!$G:$G, (MATCH(513, 輔助計算!$G$2:$G$801, 0)+1)),"0.##"),TEXT(INDEX(ERP資料!$G:$G, (MATCH(513, 輔助計算!$G$2:$G$801, 0)+1)),"0.##")&amp;"+"&amp;TEXT(INDEX(ERP資料!$G:$G, (MATCH(513, 輔助計算!$G$2:$G$801, 0)+1)),"0.##")&amp;"+"&amp;TEXT(INDEX(ERP資料!$G:$G, (MATCH(513, 輔助計算!$G$2:$G$801, 0)+1)),"0.##"))))&amp;"-1")&lt;&gt;""),"  ","")&amp;IF(MOD(INDEX(輔助計算!$D:$D, (MATCH(513, 輔助計算!$G$2:$G$801, 0)+1)),IF(INDEX(ERP資料!$G:$G, (MATCH(513, 輔助計算!$G$2:$G$801, 0)+1))&lt;100, IF(INDEX(ERP資料!$G:$G, (MATCH(513, 輔助計算!$G$2:$G$801, 0)+1))&lt;=31,3,IF(INDEX(ERP資料!$G:$G, (MATCH(513, 輔助計算!$G$2:$G$801, 0)+1))&lt;=46.5,2,1)), IF(INDEX(ERP資料!$G:$G, (MATCH(513, 輔助計算!$G$2:$G$801, 0)+1))&lt;=790,3,IF(INDEX(ERP資料!$G:$G, (MATCH(513, 輔助計算!$G$2:$G$801, 0)+1))&lt;=1181,2,1))))=0,"",IF(MOD(INDEX(輔助計算!$D:$D, (MATCH(513, 輔助計算!$G$2:$G$801, 0)+1)),IF(INDEX(ERP資料!$G:$G, (MATCH(513, 輔助計算!$G$2:$G$801, 0)+1))&lt;100, IF(INDEX(ERP資料!$G:$G, (MATCH(513, 輔助計算!$G$2:$G$801, 0)+1))&lt;=31,3,IF(INDEX(ERP資料!$G:$G, (MATCH(513, 輔助計算!$G$2:$G$801, 0)+1))&lt;=46.5,2,1)), IF(INDEX(ERP資料!$G:$G, (MATCH(513, 輔助計算!$G$2:$G$801, 0)+1))&lt;=790,3,IF(INDEX(ERP資料!$G:$G, (MATCH(513, 輔助計算!$G$2:$G$801, 0)+1))&lt;=1181,2,1))))=0,"",IF(MOD(INDEX(輔助計算!$D:$D, (MATCH(513, 輔助計算!$G$2:$G$801, 0)+1)),IF(INDEX(ERP資料!$G:$G, (MATCH(513, 輔助計算!$G$2:$G$801, 0)+1))&lt;100, IF(INDEX(ERP資料!$G:$G, (MATCH(513, 輔助計算!$G$2:$G$801, 0)+1))&lt;=31,3,IF(INDEX(ERP資料!$G:$G, (MATCH(513, 輔助計算!$G$2:$G$801, 0)+1))&lt;=46.5,2,1)), IF(INDEX(ERP資料!$G:$G, (MATCH(513, 輔助計算!$G$2:$G$801, 0)+1))&lt;=790,3,IF(INDEX(ERP資料!$G:$G, (MATCH(513, 輔助計算!$G$2:$G$801, 0)+1))&lt;=1181,2,1))))=1,TEXT(INDEX(ERP資料!$G:$G, (MATCH(513, 輔助計算!$G$2:$G$801, 0)+1)),"0.##"),IF(MOD(INDEX(輔助計算!$D:$D, (MATCH(513, 輔助計算!$G$2:$G$801, 0)+1)),IF(INDEX(ERP資料!$G:$G, (MATCH(513, 輔助計算!$G$2:$G$801, 0)+1))&lt;100, IF(INDEX(ERP資料!$G:$G, (MATCH(513, 輔助計算!$G$2:$G$801, 0)+1))&lt;=31,3,IF(INDEX(ERP資料!$G:$G, (MATCH(513, 輔助計算!$G$2:$G$801, 0)+1))&lt;=46.5,2,1)), IF(INDEX(ERP資料!$G:$G, (MATCH(513, 輔助計算!$G$2:$G$801, 0)+1))&lt;=790,3,IF(INDEX(ERP資料!$G:$G, (MATCH(513, 輔助計算!$G$2:$G$801, 0)+1))&lt;=1181,2,1))))=2,TEXT(INDEX(ERP資料!$G:$G, (MATCH(513, 輔助計算!$G$2:$G$801, 0)+1)),"0.##")&amp;"+"&amp;TEXT(INDEX(ERP資料!$G:$G, (MATCH(513, 輔助計算!$G$2:$G$801, 0)+1)),"0.##"),TEXT(INDEX(ERP資料!$G:$G, (MATCH(513, 輔助計算!$G$2:$G$801, 0)+1)),"0.##")&amp;"+"&amp;TEXT(INDEX(ERP資料!$G:$G, (MATCH(513, 輔助計算!$G$2:$G$801, 0)+1)),"0.##")&amp;"+"&amp;TEXT(INDEX(ERP資料!$G:$G, (MATCH(513, 輔助計算!$G$2:$G$801, 0)+1)),"0.##"))))&amp;"-1")), ""), "")</f>
        <v/>
      </c>
      <c r="K514" s="16" t="n"/>
      <c r="L514" s="14">
        <f>IFERROR(IF(AND(IFERROR(INDEX(ERP資料!$A:$A, (MATCH(513, 輔助計算!$G$2:$G$801, 0)+1)), "")&lt;&gt;"", IFERROR(INDEX(ERP資料!$A:$A, (MATCH(513, 輔助計算!$G$2:$G$801, 0)+1)), "")&lt;&gt;IFERROR(INDEX(ERP資料!$A:$A, MATCH(512, 輔助計算!$G$2:$G$801, 0)+1), "")), INDEX(ERP資料!$B:$B, (MATCH(513, 輔助計算!$G$2:$G$801, 0)+1)), ""), "")</f>
        <v/>
      </c>
      <c r="M514" s="17" t="n"/>
    </row>
    <row r="515">
      <c r="A515" s="10">
        <f>IFERROR(IF(AND(IFERROR(INDEX(ERP資料!$A:$A, (MATCH(514, 輔助計算!$G$2:$G$801, 0)+1)), "")&lt;&gt;"", IFERROR(INDEX(ERP資料!$A:$A, (MATCH(514, 輔助計算!$G$2:$G$801, 0)+1)), "")&lt;&gt;IFERROR(INDEX(ERP資料!$A:$A, MATCH(513, 輔助計算!$G$2:$G$801, 0)+1), "")), IFERROR(INDEX(ERP資料!$A:$A, (MATCH(514, 輔助計算!$G$2:$G$801, 0)+1)), ""), ""), "")</f>
        <v/>
      </c>
      <c r="B515" s="10">
        <f>IFERROR(IF(AND(IFERROR(INDEX(ERP資料!$A:$A, (MATCH(514, 輔助計算!$G$2:$G$801, 0)+1)), "")&lt;&gt;"", IFERROR(INDEX(ERP資料!$A:$A, (MATCH(514, 輔助計算!$G$2:$G$801, 0)+1)), "")&lt;&gt;IFERROR(INDEX(ERP資料!$A:$A, MATCH(513, 輔助計算!$G$2:$G$801, 0)+1), "")), INDEX(ERP資料!$S:$S, (MATCH(514, 輔助計算!$G$2:$G$801, 0)+1)), ""), "")</f>
        <v/>
      </c>
      <c r="C515" s="19">
        <f>IFERROR(IF(AND(IFERROR(INDEX(ERP資料!$A:$A, (MATCH(514, 輔助計算!$G$2:$G$801, 0)+1)), "")&lt;&gt;"", IFERROR(INDEX(ERP資料!$A:$A, (MATCH(514, 輔助計算!$G$2:$G$801, 0)+1)), "")&lt;&gt;IFERROR(INDEX(ERP資料!$A:$A, MATCH(513, 輔助計算!$G$2:$G$801, 0)+1), "")), IFERROR(VLOOKUP(LEFT(INDEX(ERP資料!$S:$S, (MATCH(514, 輔助計算!$G$2:$G$801, 0)+1)), 4), 紙管對照表!$A:$C, 3, FALSE), ""), ""), "")</f>
        <v/>
      </c>
      <c r="D515" s="16" t="n"/>
      <c r="E515" s="10">
        <f>IFERROR(IF(INDEX(ERP資料!$H:$H, (MATCH(514, 輔助計算!$G$2:$G$801, 0)+1))="","",INDEX(ERP資料!$H:$H, (MATCH(514, 輔助計算!$G$2:$G$801, 0)+1))), "")</f>
        <v/>
      </c>
      <c r="F515" s="10">
        <f>IFERROR(IF(INDEX(ERP資料!$E:$E, (MATCH(514, 輔助計算!$G$2:$G$801, 0)+1))="","",TRIM(INDEX(ERP資料!$E:$E, (MATCH(514, 輔助計算!$G$2:$G$801, 0)+1)))), "")</f>
        <v/>
      </c>
      <c r="G515" s="10">
        <f>IFERROR(IF(INDEX(ERP資料!$F:$F, (MATCH(514, 輔助計算!$G$2:$G$801, 0)+1))="","",INDEX(ERP資料!$F:$F, (MATCH(514, 輔助計算!$G$2:$G$801, 0)+1))), "")</f>
        <v/>
      </c>
      <c r="H515" s="10">
        <f>IFERROR(IF(INDEX(ERP資料!$G:$G, (MATCH(514, 輔助計算!$G$2:$G$801, 0)+1))="","",INDEX(ERP資料!$G:$G, (MATCH(514, 輔助計算!$G$2:$G$801, 0)+1))), "")</f>
        <v/>
      </c>
      <c r="I515" s="15">
        <f>IFERROR(INDEX(輔助計算!$D:$D, (MATCH(514, 輔助計算!$G$2:$G$801, 0)+1)), "")</f>
        <v/>
      </c>
      <c r="J515" s="15">
        <f>IFERROR(IF(AND(INDEX(輔助計算!$D:$D, (MATCH(514, 輔助計算!$G$2:$G$801, 0)+1))&lt;&gt;"", INDEX(ERP資料!$G:$G, (MATCH(514, 輔助計算!$G$2:$G$801, 0)+1))&lt;&gt;""), TRIM(IF(INT(INDEX(輔助計算!$D:$D, (MATCH(514, 輔助計算!$G$2:$G$801, 0)+1))/IF(INDEX(ERP資料!$G:$G, (MATCH(514, 輔助計算!$G$2:$G$801, 0)+1))&lt;100, IF(INDEX(ERP資料!$G:$G, (MATCH(514, 輔助計算!$G$2:$G$801, 0)+1))&lt;=31,3,IF(INDEX(ERP資料!$G:$G, (MATCH(514, 輔助計算!$G$2:$G$801, 0)+1))&lt;=46.5,2,1)), IF(INDEX(ERP資料!$G:$G, (MATCH(514, 輔助計算!$G$2:$G$801, 0)+1))&lt;=790,3,IF(INDEX(ERP資料!$G:$G, (MATCH(514, 輔助計算!$G$2:$G$801, 0)+1))&lt;=1181,2,1))))&gt;0, IF(IF(INDEX(ERP資料!$G:$G, (MATCH(514, 輔助計算!$G$2:$G$801, 0)+1))&lt;100, IF(INDEX(ERP資料!$G:$G, (MATCH(514, 輔助計算!$G$2:$G$801, 0)+1))&lt;=31,3,IF(INDEX(ERP資料!$G:$G, (MATCH(514, 輔助計算!$G$2:$G$801, 0)+1))&lt;=46.5,2,1)), IF(INDEX(ERP資料!$G:$G, (MATCH(514, 輔助計算!$G$2:$G$801, 0)+1))&lt;=790,3,IF(INDEX(ERP資料!$G:$G, (MATCH(514, 輔助計算!$G$2:$G$801, 0)+1))&lt;=1181,2,1)))=1,TEXT(INDEX(ERP資料!$G:$G, (MATCH(514, 輔助計算!$G$2:$G$801, 0)+1)),"0.##"),IF(IF(INDEX(ERP資料!$G:$G, (MATCH(514, 輔助計算!$G$2:$G$801, 0)+1))&lt;100, IF(INDEX(ERP資料!$G:$G, (MATCH(514, 輔助計算!$G$2:$G$801, 0)+1))&lt;=31,3,IF(INDEX(ERP資料!$G:$G, (MATCH(514, 輔助計算!$G$2:$G$801, 0)+1))&lt;=46.5,2,1)), IF(INDEX(ERP資料!$G:$G, (MATCH(514, 輔助計算!$G$2:$G$801, 0)+1))&lt;=790,3,IF(INDEX(ERP資料!$G:$G, (MATCH(514, 輔助計算!$G$2:$G$801, 0)+1))&lt;=1181,2,1)))=2,TEXT(INDEX(ERP資料!$G:$G, (MATCH(514, 輔助計算!$G$2:$G$801, 0)+1)),"0.##")&amp;"+"&amp;TEXT(INDEX(ERP資料!$G:$G, (MATCH(514, 輔助計算!$G$2:$G$801, 0)+1)),"0.##"),TEXT(INDEX(ERP資料!$G:$G, (MATCH(514, 輔助計算!$G$2:$G$801, 0)+1)),"0.##")&amp;"+"&amp;TEXT(INDEX(ERP資料!$G:$G, (MATCH(514, 輔助計算!$G$2:$G$801, 0)+1)),"0.##")&amp;"+"&amp;TEXT(INDEX(ERP資料!$G:$G, (MATCH(514, 輔助計算!$G$2:$G$801, 0)+1)),"0.##")))&amp;"-"&amp;INT(INDEX(輔助計算!$D:$D, (MATCH(514, 輔助計算!$G$2:$G$801, 0)+1))/IF(INDEX(ERP資料!$G:$G, (MATCH(514, 輔助計算!$G$2:$G$801, 0)+1))&lt;100, IF(INDEX(ERP資料!$G:$G, (MATCH(514, 輔助計算!$G$2:$G$801, 0)+1))&lt;=31,3,IF(INDEX(ERP資料!$G:$G, (MATCH(514, 輔助計算!$G$2:$G$801, 0)+1))&lt;=46.5,2,1)), IF(INDEX(ERP資料!$G:$G, (MATCH(514, 輔助計算!$G$2:$G$801, 0)+1))&lt;=790,3,IF(INDEX(ERP資料!$G:$G, (MATCH(514, 輔助計算!$G$2:$G$801, 0)+1))&lt;=1181,2,1)))), "")&amp;IF(AND(IF(INT(INDEX(輔助計算!$D:$D, (MATCH(514, 輔助計算!$G$2:$G$801, 0)+1))/IF(INDEX(ERP資料!$G:$G, (MATCH(514, 輔助計算!$G$2:$G$801, 0)+1))&lt;100, IF(INDEX(ERP資料!$G:$G, (MATCH(514, 輔助計算!$G$2:$G$801, 0)+1))&lt;=31,3,IF(INDEX(ERP資料!$G:$G, (MATCH(514, 輔助計算!$G$2:$G$801, 0)+1))&lt;=46.5,2,1)), IF(INDEX(ERP資料!$G:$G, (MATCH(514, 輔助計算!$G$2:$G$801, 0)+1))&lt;=790,3,IF(INDEX(ERP資料!$G:$G, (MATCH(514, 輔助計算!$G$2:$G$801, 0)+1))&lt;=1181,2,1))))&gt;0, IF(IF(INDEX(ERP資料!$G:$G, (MATCH(514, 輔助計算!$G$2:$G$801, 0)+1))&lt;100, IF(INDEX(ERP資料!$G:$G, (MATCH(514, 輔助計算!$G$2:$G$801, 0)+1))&lt;=31,3,IF(INDEX(ERP資料!$G:$G, (MATCH(514, 輔助計算!$G$2:$G$801, 0)+1))&lt;=46.5,2,1)), IF(INDEX(ERP資料!$G:$G, (MATCH(514, 輔助計算!$G$2:$G$801, 0)+1))&lt;=790,3,IF(INDEX(ERP資料!$G:$G, (MATCH(514, 輔助計算!$G$2:$G$801, 0)+1))&lt;=1181,2,1)))=1,TEXT(INDEX(ERP資料!$G:$G, (MATCH(514, 輔助計算!$G$2:$G$801, 0)+1)),"0.##"),IF(IF(INDEX(ERP資料!$G:$G, (MATCH(514, 輔助計算!$G$2:$G$801, 0)+1))&lt;100, IF(INDEX(ERP資料!$G:$G, (MATCH(514, 輔助計算!$G$2:$G$801, 0)+1))&lt;=31,3,IF(INDEX(ERP資料!$G:$G, (MATCH(514, 輔助計算!$G$2:$G$801, 0)+1))&lt;=46.5,2,1)), IF(INDEX(ERP資料!$G:$G, (MATCH(514, 輔助計算!$G$2:$G$801, 0)+1))&lt;=790,3,IF(INDEX(ERP資料!$G:$G, (MATCH(514, 輔助計算!$G$2:$G$801, 0)+1))&lt;=1181,2,1)))=2,TEXT(INDEX(ERP資料!$G:$G, (MATCH(514, 輔助計算!$G$2:$G$801, 0)+1)),"0.##")&amp;"+"&amp;TEXT(INDEX(ERP資料!$G:$G, (MATCH(514, 輔助計算!$G$2:$G$801, 0)+1)),"0.##"),TEXT(INDEX(ERP資料!$G:$G, (MATCH(514, 輔助計算!$G$2:$G$801, 0)+1)),"0.##")&amp;"+"&amp;TEXT(INDEX(ERP資料!$G:$G, (MATCH(514, 輔助計算!$G$2:$G$801, 0)+1)),"0.##")&amp;"+"&amp;TEXT(INDEX(ERP資料!$G:$G, (MATCH(514, 輔助計算!$G$2:$G$801, 0)+1)),"0.##")))&amp;"-"&amp;INT(INDEX(輔助計算!$D:$D, (MATCH(514, 輔助計算!$G$2:$G$801, 0)+1))/IF(INDEX(ERP資料!$G:$G, (MATCH(514, 輔助計算!$G$2:$G$801, 0)+1))&lt;100, IF(INDEX(ERP資料!$G:$G, (MATCH(514, 輔助計算!$G$2:$G$801, 0)+1))&lt;=31,3,IF(INDEX(ERP資料!$G:$G, (MATCH(514, 輔助計算!$G$2:$G$801, 0)+1))&lt;=46.5,2,1)), IF(INDEX(ERP資料!$G:$G, (MATCH(514, 輔助計算!$G$2:$G$801, 0)+1))&lt;=790,3,IF(INDEX(ERP資料!$G:$G, (MATCH(514, 輔助計算!$G$2:$G$801, 0)+1))&lt;=1181,2,1)))), "")&lt;&gt;"",IF(MOD(INDEX(輔助計算!$D:$D, (MATCH(514, 輔助計算!$G$2:$G$801, 0)+1)),IF(INDEX(ERP資料!$G:$G, (MATCH(514, 輔助計算!$G$2:$G$801, 0)+1))&lt;100, IF(INDEX(ERP資料!$G:$G, (MATCH(514, 輔助計算!$G$2:$G$801, 0)+1))&lt;=31,3,IF(INDEX(ERP資料!$G:$G, (MATCH(514, 輔助計算!$G$2:$G$801, 0)+1))&lt;=46.5,2,1)), IF(INDEX(ERP資料!$G:$G, (MATCH(514, 輔助計算!$G$2:$G$801, 0)+1))&lt;=790,3,IF(INDEX(ERP資料!$G:$G, (MATCH(514, 輔助計算!$G$2:$G$801, 0)+1))&lt;=1181,2,1))))=0,"",IF(MOD(INDEX(輔助計算!$D:$D, (MATCH(514, 輔助計算!$G$2:$G$801, 0)+1)),IF(INDEX(ERP資料!$G:$G, (MATCH(514, 輔助計算!$G$2:$G$801, 0)+1))&lt;100, IF(INDEX(ERP資料!$G:$G, (MATCH(514, 輔助計算!$G$2:$G$801, 0)+1))&lt;=31,3,IF(INDEX(ERP資料!$G:$G, (MATCH(514, 輔助計算!$G$2:$G$801, 0)+1))&lt;=46.5,2,1)), IF(INDEX(ERP資料!$G:$G, (MATCH(514, 輔助計算!$G$2:$G$801, 0)+1))&lt;=790,3,IF(INDEX(ERP資料!$G:$G, (MATCH(514, 輔助計算!$G$2:$G$801, 0)+1))&lt;=1181,2,1))))=0,"",IF(MOD(INDEX(輔助計算!$D:$D, (MATCH(514, 輔助計算!$G$2:$G$801, 0)+1)),IF(INDEX(ERP資料!$G:$G, (MATCH(514, 輔助計算!$G$2:$G$801, 0)+1))&lt;100, IF(INDEX(ERP資料!$G:$G, (MATCH(514, 輔助計算!$G$2:$G$801, 0)+1))&lt;=31,3,IF(INDEX(ERP資料!$G:$G, (MATCH(514, 輔助計算!$G$2:$G$801, 0)+1))&lt;=46.5,2,1)), IF(INDEX(ERP資料!$G:$G, (MATCH(514, 輔助計算!$G$2:$G$801, 0)+1))&lt;=790,3,IF(INDEX(ERP資料!$G:$G, (MATCH(514, 輔助計算!$G$2:$G$801, 0)+1))&lt;=1181,2,1))))=1,TEXT(INDEX(ERP資料!$G:$G, (MATCH(514, 輔助計算!$G$2:$G$801, 0)+1)),"0.##"),IF(MOD(INDEX(輔助計算!$D:$D, (MATCH(514, 輔助計算!$G$2:$G$801, 0)+1)),IF(INDEX(ERP資料!$G:$G, (MATCH(514, 輔助計算!$G$2:$G$801, 0)+1))&lt;100, IF(INDEX(ERP資料!$G:$G, (MATCH(514, 輔助計算!$G$2:$G$801, 0)+1))&lt;=31,3,IF(INDEX(ERP資料!$G:$G, (MATCH(514, 輔助計算!$G$2:$G$801, 0)+1))&lt;=46.5,2,1)), IF(INDEX(ERP資料!$G:$G, (MATCH(514, 輔助計算!$G$2:$G$801, 0)+1))&lt;=790,3,IF(INDEX(ERP資料!$G:$G, (MATCH(514, 輔助計算!$G$2:$G$801, 0)+1))&lt;=1181,2,1))))=2,TEXT(INDEX(ERP資料!$G:$G, (MATCH(514, 輔助計算!$G$2:$G$801, 0)+1)),"0.##")&amp;"+"&amp;TEXT(INDEX(ERP資料!$G:$G, (MATCH(514, 輔助計算!$G$2:$G$801, 0)+1)),"0.##"),TEXT(INDEX(ERP資料!$G:$G, (MATCH(514, 輔助計算!$G$2:$G$801, 0)+1)),"0.##")&amp;"+"&amp;TEXT(INDEX(ERP資料!$G:$G, (MATCH(514, 輔助計算!$G$2:$G$801, 0)+1)),"0.##")&amp;"+"&amp;TEXT(INDEX(ERP資料!$G:$G, (MATCH(514, 輔助計算!$G$2:$G$801, 0)+1)),"0.##"))))&amp;"-1")&lt;&gt;""),"  ","")&amp;IF(MOD(INDEX(輔助計算!$D:$D, (MATCH(514, 輔助計算!$G$2:$G$801, 0)+1)),IF(INDEX(ERP資料!$G:$G, (MATCH(514, 輔助計算!$G$2:$G$801, 0)+1))&lt;100, IF(INDEX(ERP資料!$G:$G, (MATCH(514, 輔助計算!$G$2:$G$801, 0)+1))&lt;=31,3,IF(INDEX(ERP資料!$G:$G, (MATCH(514, 輔助計算!$G$2:$G$801, 0)+1))&lt;=46.5,2,1)), IF(INDEX(ERP資料!$G:$G, (MATCH(514, 輔助計算!$G$2:$G$801, 0)+1))&lt;=790,3,IF(INDEX(ERP資料!$G:$G, (MATCH(514, 輔助計算!$G$2:$G$801, 0)+1))&lt;=1181,2,1))))=0,"",IF(MOD(INDEX(輔助計算!$D:$D, (MATCH(514, 輔助計算!$G$2:$G$801, 0)+1)),IF(INDEX(ERP資料!$G:$G, (MATCH(514, 輔助計算!$G$2:$G$801, 0)+1))&lt;100, IF(INDEX(ERP資料!$G:$G, (MATCH(514, 輔助計算!$G$2:$G$801, 0)+1))&lt;=31,3,IF(INDEX(ERP資料!$G:$G, (MATCH(514, 輔助計算!$G$2:$G$801, 0)+1))&lt;=46.5,2,1)), IF(INDEX(ERP資料!$G:$G, (MATCH(514, 輔助計算!$G$2:$G$801, 0)+1))&lt;=790,3,IF(INDEX(ERP資料!$G:$G, (MATCH(514, 輔助計算!$G$2:$G$801, 0)+1))&lt;=1181,2,1))))=0,"",IF(MOD(INDEX(輔助計算!$D:$D, (MATCH(514, 輔助計算!$G$2:$G$801, 0)+1)),IF(INDEX(ERP資料!$G:$G, (MATCH(514, 輔助計算!$G$2:$G$801, 0)+1))&lt;100, IF(INDEX(ERP資料!$G:$G, (MATCH(514, 輔助計算!$G$2:$G$801, 0)+1))&lt;=31,3,IF(INDEX(ERP資料!$G:$G, (MATCH(514, 輔助計算!$G$2:$G$801, 0)+1))&lt;=46.5,2,1)), IF(INDEX(ERP資料!$G:$G, (MATCH(514, 輔助計算!$G$2:$G$801, 0)+1))&lt;=790,3,IF(INDEX(ERP資料!$G:$G, (MATCH(514, 輔助計算!$G$2:$G$801, 0)+1))&lt;=1181,2,1))))=1,TEXT(INDEX(ERP資料!$G:$G, (MATCH(514, 輔助計算!$G$2:$G$801, 0)+1)),"0.##"),IF(MOD(INDEX(輔助計算!$D:$D, (MATCH(514, 輔助計算!$G$2:$G$801, 0)+1)),IF(INDEX(ERP資料!$G:$G, (MATCH(514, 輔助計算!$G$2:$G$801, 0)+1))&lt;100, IF(INDEX(ERP資料!$G:$G, (MATCH(514, 輔助計算!$G$2:$G$801, 0)+1))&lt;=31,3,IF(INDEX(ERP資料!$G:$G, (MATCH(514, 輔助計算!$G$2:$G$801, 0)+1))&lt;=46.5,2,1)), IF(INDEX(ERP資料!$G:$G, (MATCH(514, 輔助計算!$G$2:$G$801, 0)+1))&lt;=790,3,IF(INDEX(ERP資料!$G:$G, (MATCH(514, 輔助計算!$G$2:$G$801, 0)+1))&lt;=1181,2,1))))=2,TEXT(INDEX(ERP資料!$G:$G, (MATCH(514, 輔助計算!$G$2:$G$801, 0)+1)),"0.##")&amp;"+"&amp;TEXT(INDEX(ERP資料!$G:$G, (MATCH(514, 輔助計算!$G$2:$G$801, 0)+1)),"0.##"),TEXT(INDEX(ERP資料!$G:$G, (MATCH(514, 輔助計算!$G$2:$G$801, 0)+1)),"0.##")&amp;"+"&amp;TEXT(INDEX(ERP資料!$G:$G, (MATCH(514, 輔助計算!$G$2:$G$801, 0)+1)),"0.##")&amp;"+"&amp;TEXT(INDEX(ERP資料!$G:$G, (MATCH(514, 輔助計算!$G$2:$G$801, 0)+1)),"0.##"))))&amp;"-1")), ""), "")</f>
        <v/>
      </c>
      <c r="K515" s="16" t="n"/>
      <c r="L515" s="14">
        <f>IFERROR(IF(AND(IFERROR(INDEX(ERP資料!$A:$A, (MATCH(514, 輔助計算!$G$2:$G$801, 0)+1)), "")&lt;&gt;"", IFERROR(INDEX(ERP資料!$A:$A, (MATCH(514, 輔助計算!$G$2:$G$801, 0)+1)), "")&lt;&gt;IFERROR(INDEX(ERP資料!$A:$A, MATCH(513, 輔助計算!$G$2:$G$801, 0)+1), "")), INDEX(ERP資料!$B:$B, (MATCH(514, 輔助計算!$G$2:$G$801, 0)+1)), ""), "")</f>
        <v/>
      </c>
      <c r="M515" s="17" t="n"/>
    </row>
    <row r="516">
      <c r="A516" s="10">
        <f>IFERROR(IF(AND(IFERROR(INDEX(ERP資料!$A:$A, (MATCH(515, 輔助計算!$G$2:$G$801, 0)+1)), "")&lt;&gt;"", IFERROR(INDEX(ERP資料!$A:$A, (MATCH(515, 輔助計算!$G$2:$G$801, 0)+1)), "")&lt;&gt;IFERROR(INDEX(ERP資料!$A:$A, MATCH(514, 輔助計算!$G$2:$G$801, 0)+1), "")), IFERROR(INDEX(ERP資料!$A:$A, (MATCH(515, 輔助計算!$G$2:$G$801, 0)+1)), ""), ""), "")</f>
        <v/>
      </c>
      <c r="B516" s="10">
        <f>IFERROR(IF(AND(IFERROR(INDEX(ERP資料!$A:$A, (MATCH(515, 輔助計算!$G$2:$G$801, 0)+1)), "")&lt;&gt;"", IFERROR(INDEX(ERP資料!$A:$A, (MATCH(515, 輔助計算!$G$2:$G$801, 0)+1)), "")&lt;&gt;IFERROR(INDEX(ERP資料!$A:$A, MATCH(514, 輔助計算!$G$2:$G$801, 0)+1), "")), INDEX(ERP資料!$S:$S, (MATCH(515, 輔助計算!$G$2:$G$801, 0)+1)), ""), "")</f>
        <v/>
      </c>
      <c r="C516" s="19">
        <f>IFERROR(IF(AND(IFERROR(INDEX(ERP資料!$A:$A, (MATCH(515, 輔助計算!$G$2:$G$801, 0)+1)), "")&lt;&gt;"", IFERROR(INDEX(ERP資料!$A:$A, (MATCH(515, 輔助計算!$G$2:$G$801, 0)+1)), "")&lt;&gt;IFERROR(INDEX(ERP資料!$A:$A, MATCH(514, 輔助計算!$G$2:$G$801, 0)+1), "")), IFERROR(VLOOKUP(LEFT(INDEX(ERP資料!$S:$S, (MATCH(515, 輔助計算!$G$2:$G$801, 0)+1)), 4), 紙管對照表!$A:$C, 3, FALSE), ""), ""), "")</f>
        <v/>
      </c>
      <c r="D516" s="16" t="n"/>
      <c r="E516" s="10">
        <f>IFERROR(IF(INDEX(ERP資料!$H:$H, (MATCH(515, 輔助計算!$G$2:$G$801, 0)+1))="","",INDEX(ERP資料!$H:$H, (MATCH(515, 輔助計算!$G$2:$G$801, 0)+1))), "")</f>
        <v/>
      </c>
      <c r="F516" s="10">
        <f>IFERROR(IF(INDEX(ERP資料!$E:$E, (MATCH(515, 輔助計算!$G$2:$G$801, 0)+1))="","",TRIM(INDEX(ERP資料!$E:$E, (MATCH(515, 輔助計算!$G$2:$G$801, 0)+1)))), "")</f>
        <v/>
      </c>
      <c r="G516" s="10">
        <f>IFERROR(IF(INDEX(ERP資料!$F:$F, (MATCH(515, 輔助計算!$G$2:$G$801, 0)+1))="","",INDEX(ERP資料!$F:$F, (MATCH(515, 輔助計算!$G$2:$G$801, 0)+1))), "")</f>
        <v/>
      </c>
      <c r="H516" s="10">
        <f>IFERROR(IF(INDEX(ERP資料!$G:$G, (MATCH(515, 輔助計算!$G$2:$G$801, 0)+1))="","",INDEX(ERP資料!$G:$G, (MATCH(515, 輔助計算!$G$2:$G$801, 0)+1))), "")</f>
        <v/>
      </c>
      <c r="I516" s="15">
        <f>IFERROR(INDEX(輔助計算!$D:$D, (MATCH(515, 輔助計算!$G$2:$G$801, 0)+1)), "")</f>
        <v/>
      </c>
      <c r="J516" s="15">
        <f>IFERROR(IF(AND(INDEX(輔助計算!$D:$D, (MATCH(515, 輔助計算!$G$2:$G$801, 0)+1))&lt;&gt;"", INDEX(ERP資料!$G:$G, (MATCH(515, 輔助計算!$G$2:$G$801, 0)+1))&lt;&gt;""), TRIM(IF(INT(INDEX(輔助計算!$D:$D, (MATCH(515, 輔助計算!$G$2:$G$801, 0)+1))/IF(INDEX(ERP資料!$G:$G, (MATCH(515, 輔助計算!$G$2:$G$801, 0)+1))&lt;100, IF(INDEX(ERP資料!$G:$G, (MATCH(515, 輔助計算!$G$2:$G$801, 0)+1))&lt;=31,3,IF(INDEX(ERP資料!$G:$G, (MATCH(515, 輔助計算!$G$2:$G$801, 0)+1))&lt;=46.5,2,1)), IF(INDEX(ERP資料!$G:$G, (MATCH(515, 輔助計算!$G$2:$G$801, 0)+1))&lt;=790,3,IF(INDEX(ERP資料!$G:$G, (MATCH(515, 輔助計算!$G$2:$G$801, 0)+1))&lt;=1181,2,1))))&gt;0, IF(IF(INDEX(ERP資料!$G:$G, (MATCH(515, 輔助計算!$G$2:$G$801, 0)+1))&lt;100, IF(INDEX(ERP資料!$G:$G, (MATCH(515, 輔助計算!$G$2:$G$801, 0)+1))&lt;=31,3,IF(INDEX(ERP資料!$G:$G, (MATCH(515, 輔助計算!$G$2:$G$801, 0)+1))&lt;=46.5,2,1)), IF(INDEX(ERP資料!$G:$G, (MATCH(515, 輔助計算!$G$2:$G$801, 0)+1))&lt;=790,3,IF(INDEX(ERP資料!$G:$G, (MATCH(515, 輔助計算!$G$2:$G$801, 0)+1))&lt;=1181,2,1)))=1,TEXT(INDEX(ERP資料!$G:$G, (MATCH(515, 輔助計算!$G$2:$G$801, 0)+1)),"0.##"),IF(IF(INDEX(ERP資料!$G:$G, (MATCH(515, 輔助計算!$G$2:$G$801, 0)+1))&lt;100, IF(INDEX(ERP資料!$G:$G, (MATCH(515, 輔助計算!$G$2:$G$801, 0)+1))&lt;=31,3,IF(INDEX(ERP資料!$G:$G, (MATCH(515, 輔助計算!$G$2:$G$801, 0)+1))&lt;=46.5,2,1)), IF(INDEX(ERP資料!$G:$G, (MATCH(515, 輔助計算!$G$2:$G$801, 0)+1))&lt;=790,3,IF(INDEX(ERP資料!$G:$G, (MATCH(515, 輔助計算!$G$2:$G$801, 0)+1))&lt;=1181,2,1)))=2,TEXT(INDEX(ERP資料!$G:$G, (MATCH(515, 輔助計算!$G$2:$G$801, 0)+1)),"0.##")&amp;"+"&amp;TEXT(INDEX(ERP資料!$G:$G, (MATCH(515, 輔助計算!$G$2:$G$801, 0)+1)),"0.##"),TEXT(INDEX(ERP資料!$G:$G, (MATCH(515, 輔助計算!$G$2:$G$801, 0)+1)),"0.##")&amp;"+"&amp;TEXT(INDEX(ERP資料!$G:$G, (MATCH(515, 輔助計算!$G$2:$G$801, 0)+1)),"0.##")&amp;"+"&amp;TEXT(INDEX(ERP資料!$G:$G, (MATCH(515, 輔助計算!$G$2:$G$801, 0)+1)),"0.##")))&amp;"-"&amp;INT(INDEX(輔助計算!$D:$D, (MATCH(515, 輔助計算!$G$2:$G$801, 0)+1))/IF(INDEX(ERP資料!$G:$G, (MATCH(515, 輔助計算!$G$2:$G$801, 0)+1))&lt;100, IF(INDEX(ERP資料!$G:$G, (MATCH(515, 輔助計算!$G$2:$G$801, 0)+1))&lt;=31,3,IF(INDEX(ERP資料!$G:$G, (MATCH(515, 輔助計算!$G$2:$G$801, 0)+1))&lt;=46.5,2,1)), IF(INDEX(ERP資料!$G:$G, (MATCH(515, 輔助計算!$G$2:$G$801, 0)+1))&lt;=790,3,IF(INDEX(ERP資料!$G:$G, (MATCH(515, 輔助計算!$G$2:$G$801, 0)+1))&lt;=1181,2,1)))), "")&amp;IF(AND(IF(INT(INDEX(輔助計算!$D:$D, (MATCH(515, 輔助計算!$G$2:$G$801, 0)+1))/IF(INDEX(ERP資料!$G:$G, (MATCH(515, 輔助計算!$G$2:$G$801, 0)+1))&lt;100, IF(INDEX(ERP資料!$G:$G, (MATCH(515, 輔助計算!$G$2:$G$801, 0)+1))&lt;=31,3,IF(INDEX(ERP資料!$G:$G, (MATCH(515, 輔助計算!$G$2:$G$801, 0)+1))&lt;=46.5,2,1)), IF(INDEX(ERP資料!$G:$G, (MATCH(515, 輔助計算!$G$2:$G$801, 0)+1))&lt;=790,3,IF(INDEX(ERP資料!$G:$G, (MATCH(515, 輔助計算!$G$2:$G$801, 0)+1))&lt;=1181,2,1))))&gt;0, IF(IF(INDEX(ERP資料!$G:$G, (MATCH(515, 輔助計算!$G$2:$G$801, 0)+1))&lt;100, IF(INDEX(ERP資料!$G:$G, (MATCH(515, 輔助計算!$G$2:$G$801, 0)+1))&lt;=31,3,IF(INDEX(ERP資料!$G:$G, (MATCH(515, 輔助計算!$G$2:$G$801, 0)+1))&lt;=46.5,2,1)), IF(INDEX(ERP資料!$G:$G, (MATCH(515, 輔助計算!$G$2:$G$801, 0)+1))&lt;=790,3,IF(INDEX(ERP資料!$G:$G, (MATCH(515, 輔助計算!$G$2:$G$801, 0)+1))&lt;=1181,2,1)))=1,TEXT(INDEX(ERP資料!$G:$G, (MATCH(515, 輔助計算!$G$2:$G$801, 0)+1)),"0.##"),IF(IF(INDEX(ERP資料!$G:$G, (MATCH(515, 輔助計算!$G$2:$G$801, 0)+1))&lt;100, IF(INDEX(ERP資料!$G:$G, (MATCH(515, 輔助計算!$G$2:$G$801, 0)+1))&lt;=31,3,IF(INDEX(ERP資料!$G:$G, (MATCH(515, 輔助計算!$G$2:$G$801, 0)+1))&lt;=46.5,2,1)), IF(INDEX(ERP資料!$G:$G, (MATCH(515, 輔助計算!$G$2:$G$801, 0)+1))&lt;=790,3,IF(INDEX(ERP資料!$G:$G, (MATCH(515, 輔助計算!$G$2:$G$801, 0)+1))&lt;=1181,2,1)))=2,TEXT(INDEX(ERP資料!$G:$G, (MATCH(515, 輔助計算!$G$2:$G$801, 0)+1)),"0.##")&amp;"+"&amp;TEXT(INDEX(ERP資料!$G:$G, (MATCH(515, 輔助計算!$G$2:$G$801, 0)+1)),"0.##"),TEXT(INDEX(ERP資料!$G:$G, (MATCH(515, 輔助計算!$G$2:$G$801, 0)+1)),"0.##")&amp;"+"&amp;TEXT(INDEX(ERP資料!$G:$G, (MATCH(515, 輔助計算!$G$2:$G$801, 0)+1)),"0.##")&amp;"+"&amp;TEXT(INDEX(ERP資料!$G:$G, (MATCH(515, 輔助計算!$G$2:$G$801, 0)+1)),"0.##")))&amp;"-"&amp;INT(INDEX(輔助計算!$D:$D, (MATCH(515, 輔助計算!$G$2:$G$801, 0)+1))/IF(INDEX(ERP資料!$G:$G, (MATCH(515, 輔助計算!$G$2:$G$801, 0)+1))&lt;100, IF(INDEX(ERP資料!$G:$G, (MATCH(515, 輔助計算!$G$2:$G$801, 0)+1))&lt;=31,3,IF(INDEX(ERP資料!$G:$G, (MATCH(515, 輔助計算!$G$2:$G$801, 0)+1))&lt;=46.5,2,1)), IF(INDEX(ERP資料!$G:$G, (MATCH(515, 輔助計算!$G$2:$G$801, 0)+1))&lt;=790,3,IF(INDEX(ERP資料!$G:$G, (MATCH(515, 輔助計算!$G$2:$G$801, 0)+1))&lt;=1181,2,1)))), "")&lt;&gt;"",IF(MOD(INDEX(輔助計算!$D:$D, (MATCH(515, 輔助計算!$G$2:$G$801, 0)+1)),IF(INDEX(ERP資料!$G:$G, (MATCH(515, 輔助計算!$G$2:$G$801, 0)+1))&lt;100, IF(INDEX(ERP資料!$G:$G, (MATCH(515, 輔助計算!$G$2:$G$801, 0)+1))&lt;=31,3,IF(INDEX(ERP資料!$G:$G, (MATCH(515, 輔助計算!$G$2:$G$801, 0)+1))&lt;=46.5,2,1)), IF(INDEX(ERP資料!$G:$G, (MATCH(515, 輔助計算!$G$2:$G$801, 0)+1))&lt;=790,3,IF(INDEX(ERP資料!$G:$G, (MATCH(515, 輔助計算!$G$2:$G$801, 0)+1))&lt;=1181,2,1))))=0,"",IF(MOD(INDEX(輔助計算!$D:$D, (MATCH(515, 輔助計算!$G$2:$G$801, 0)+1)),IF(INDEX(ERP資料!$G:$G, (MATCH(515, 輔助計算!$G$2:$G$801, 0)+1))&lt;100, IF(INDEX(ERP資料!$G:$G, (MATCH(515, 輔助計算!$G$2:$G$801, 0)+1))&lt;=31,3,IF(INDEX(ERP資料!$G:$G, (MATCH(515, 輔助計算!$G$2:$G$801, 0)+1))&lt;=46.5,2,1)), IF(INDEX(ERP資料!$G:$G, (MATCH(515, 輔助計算!$G$2:$G$801, 0)+1))&lt;=790,3,IF(INDEX(ERP資料!$G:$G, (MATCH(515, 輔助計算!$G$2:$G$801, 0)+1))&lt;=1181,2,1))))=0,"",IF(MOD(INDEX(輔助計算!$D:$D, (MATCH(515, 輔助計算!$G$2:$G$801, 0)+1)),IF(INDEX(ERP資料!$G:$G, (MATCH(515, 輔助計算!$G$2:$G$801, 0)+1))&lt;100, IF(INDEX(ERP資料!$G:$G, (MATCH(515, 輔助計算!$G$2:$G$801, 0)+1))&lt;=31,3,IF(INDEX(ERP資料!$G:$G, (MATCH(515, 輔助計算!$G$2:$G$801, 0)+1))&lt;=46.5,2,1)), IF(INDEX(ERP資料!$G:$G, (MATCH(515, 輔助計算!$G$2:$G$801, 0)+1))&lt;=790,3,IF(INDEX(ERP資料!$G:$G, (MATCH(515, 輔助計算!$G$2:$G$801, 0)+1))&lt;=1181,2,1))))=1,TEXT(INDEX(ERP資料!$G:$G, (MATCH(515, 輔助計算!$G$2:$G$801, 0)+1)),"0.##"),IF(MOD(INDEX(輔助計算!$D:$D, (MATCH(515, 輔助計算!$G$2:$G$801, 0)+1)),IF(INDEX(ERP資料!$G:$G, (MATCH(515, 輔助計算!$G$2:$G$801, 0)+1))&lt;100, IF(INDEX(ERP資料!$G:$G, (MATCH(515, 輔助計算!$G$2:$G$801, 0)+1))&lt;=31,3,IF(INDEX(ERP資料!$G:$G, (MATCH(515, 輔助計算!$G$2:$G$801, 0)+1))&lt;=46.5,2,1)), IF(INDEX(ERP資料!$G:$G, (MATCH(515, 輔助計算!$G$2:$G$801, 0)+1))&lt;=790,3,IF(INDEX(ERP資料!$G:$G, (MATCH(515, 輔助計算!$G$2:$G$801, 0)+1))&lt;=1181,2,1))))=2,TEXT(INDEX(ERP資料!$G:$G, (MATCH(515, 輔助計算!$G$2:$G$801, 0)+1)),"0.##")&amp;"+"&amp;TEXT(INDEX(ERP資料!$G:$G, (MATCH(515, 輔助計算!$G$2:$G$801, 0)+1)),"0.##"),TEXT(INDEX(ERP資料!$G:$G, (MATCH(515, 輔助計算!$G$2:$G$801, 0)+1)),"0.##")&amp;"+"&amp;TEXT(INDEX(ERP資料!$G:$G, (MATCH(515, 輔助計算!$G$2:$G$801, 0)+1)),"0.##")&amp;"+"&amp;TEXT(INDEX(ERP資料!$G:$G, (MATCH(515, 輔助計算!$G$2:$G$801, 0)+1)),"0.##"))))&amp;"-1")&lt;&gt;""),"  ","")&amp;IF(MOD(INDEX(輔助計算!$D:$D, (MATCH(515, 輔助計算!$G$2:$G$801, 0)+1)),IF(INDEX(ERP資料!$G:$G, (MATCH(515, 輔助計算!$G$2:$G$801, 0)+1))&lt;100, IF(INDEX(ERP資料!$G:$G, (MATCH(515, 輔助計算!$G$2:$G$801, 0)+1))&lt;=31,3,IF(INDEX(ERP資料!$G:$G, (MATCH(515, 輔助計算!$G$2:$G$801, 0)+1))&lt;=46.5,2,1)), IF(INDEX(ERP資料!$G:$G, (MATCH(515, 輔助計算!$G$2:$G$801, 0)+1))&lt;=790,3,IF(INDEX(ERP資料!$G:$G, (MATCH(515, 輔助計算!$G$2:$G$801, 0)+1))&lt;=1181,2,1))))=0,"",IF(MOD(INDEX(輔助計算!$D:$D, (MATCH(515, 輔助計算!$G$2:$G$801, 0)+1)),IF(INDEX(ERP資料!$G:$G, (MATCH(515, 輔助計算!$G$2:$G$801, 0)+1))&lt;100, IF(INDEX(ERP資料!$G:$G, (MATCH(515, 輔助計算!$G$2:$G$801, 0)+1))&lt;=31,3,IF(INDEX(ERP資料!$G:$G, (MATCH(515, 輔助計算!$G$2:$G$801, 0)+1))&lt;=46.5,2,1)), IF(INDEX(ERP資料!$G:$G, (MATCH(515, 輔助計算!$G$2:$G$801, 0)+1))&lt;=790,3,IF(INDEX(ERP資料!$G:$G, (MATCH(515, 輔助計算!$G$2:$G$801, 0)+1))&lt;=1181,2,1))))=0,"",IF(MOD(INDEX(輔助計算!$D:$D, (MATCH(515, 輔助計算!$G$2:$G$801, 0)+1)),IF(INDEX(ERP資料!$G:$G, (MATCH(515, 輔助計算!$G$2:$G$801, 0)+1))&lt;100, IF(INDEX(ERP資料!$G:$G, (MATCH(515, 輔助計算!$G$2:$G$801, 0)+1))&lt;=31,3,IF(INDEX(ERP資料!$G:$G, (MATCH(515, 輔助計算!$G$2:$G$801, 0)+1))&lt;=46.5,2,1)), IF(INDEX(ERP資料!$G:$G, (MATCH(515, 輔助計算!$G$2:$G$801, 0)+1))&lt;=790,3,IF(INDEX(ERP資料!$G:$G, (MATCH(515, 輔助計算!$G$2:$G$801, 0)+1))&lt;=1181,2,1))))=1,TEXT(INDEX(ERP資料!$G:$G, (MATCH(515, 輔助計算!$G$2:$G$801, 0)+1)),"0.##"),IF(MOD(INDEX(輔助計算!$D:$D, (MATCH(515, 輔助計算!$G$2:$G$801, 0)+1)),IF(INDEX(ERP資料!$G:$G, (MATCH(515, 輔助計算!$G$2:$G$801, 0)+1))&lt;100, IF(INDEX(ERP資料!$G:$G, (MATCH(515, 輔助計算!$G$2:$G$801, 0)+1))&lt;=31,3,IF(INDEX(ERP資料!$G:$G, (MATCH(515, 輔助計算!$G$2:$G$801, 0)+1))&lt;=46.5,2,1)), IF(INDEX(ERP資料!$G:$G, (MATCH(515, 輔助計算!$G$2:$G$801, 0)+1))&lt;=790,3,IF(INDEX(ERP資料!$G:$G, (MATCH(515, 輔助計算!$G$2:$G$801, 0)+1))&lt;=1181,2,1))))=2,TEXT(INDEX(ERP資料!$G:$G, (MATCH(515, 輔助計算!$G$2:$G$801, 0)+1)),"0.##")&amp;"+"&amp;TEXT(INDEX(ERP資料!$G:$G, (MATCH(515, 輔助計算!$G$2:$G$801, 0)+1)),"0.##"),TEXT(INDEX(ERP資料!$G:$G, (MATCH(515, 輔助計算!$G$2:$G$801, 0)+1)),"0.##")&amp;"+"&amp;TEXT(INDEX(ERP資料!$G:$G, (MATCH(515, 輔助計算!$G$2:$G$801, 0)+1)),"0.##")&amp;"+"&amp;TEXT(INDEX(ERP資料!$G:$G, (MATCH(515, 輔助計算!$G$2:$G$801, 0)+1)),"0.##"))))&amp;"-1")), ""), "")</f>
        <v/>
      </c>
      <c r="K516" s="16" t="n"/>
      <c r="L516" s="14">
        <f>IFERROR(IF(AND(IFERROR(INDEX(ERP資料!$A:$A, (MATCH(515, 輔助計算!$G$2:$G$801, 0)+1)), "")&lt;&gt;"", IFERROR(INDEX(ERP資料!$A:$A, (MATCH(515, 輔助計算!$G$2:$G$801, 0)+1)), "")&lt;&gt;IFERROR(INDEX(ERP資料!$A:$A, MATCH(514, 輔助計算!$G$2:$G$801, 0)+1), "")), INDEX(ERP資料!$B:$B, (MATCH(515, 輔助計算!$G$2:$G$801, 0)+1)), ""), "")</f>
        <v/>
      </c>
      <c r="M516" s="17" t="n"/>
    </row>
    <row r="517">
      <c r="A517" s="10">
        <f>IFERROR(IF(AND(IFERROR(INDEX(ERP資料!$A:$A, (MATCH(516, 輔助計算!$G$2:$G$801, 0)+1)), "")&lt;&gt;"", IFERROR(INDEX(ERP資料!$A:$A, (MATCH(516, 輔助計算!$G$2:$G$801, 0)+1)), "")&lt;&gt;IFERROR(INDEX(ERP資料!$A:$A, MATCH(515, 輔助計算!$G$2:$G$801, 0)+1), "")), IFERROR(INDEX(ERP資料!$A:$A, (MATCH(516, 輔助計算!$G$2:$G$801, 0)+1)), ""), ""), "")</f>
        <v/>
      </c>
      <c r="B517" s="10">
        <f>IFERROR(IF(AND(IFERROR(INDEX(ERP資料!$A:$A, (MATCH(516, 輔助計算!$G$2:$G$801, 0)+1)), "")&lt;&gt;"", IFERROR(INDEX(ERP資料!$A:$A, (MATCH(516, 輔助計算!$G$2:$G$801, 0)+1)), "")&lt;&gt;IFERROR(INDEX(ERP資料!$A:$A, MATCH(515, 輔助計算!$G$2:$G$801, 0)+1), "")), INDEX(ERP資料!$S:$S, (MATCH(516, 輔助計算!$G$2:$G$801, 0)+1)), ""), "")</f>
        <v/>
      </c>
      <c r="C517" s="19">
        <f>IFERROR(IF(AND(IFERROR(INDEX(ERP資料!$A:$A, (MATCH(516, 輔助計算!$G$2:$G$801, 0)+1)), "")&lt;&gt;"", IFERROR(INDEX(ERP資料!$A:$A, (MATCH(516, 輔助計算!$G$2:$G$801, 0)+1)), "")&lt;&gt;IFERROR(INDEX(ERP資料!$A:$A, MATCH(515, 輔助計算!$G$2:$G$801, 0)+1), "")), IFERROR(VLOOKUP(LEFT(INDEX(ERP資料!$S:$S, (MATCH(516, 輔助計算!$G$2:$G$801, 0)+1)), 4), 紙管對照表!$A:$C, 3, FALSE), ""), ""), "")</f>
        <v/>
      </c>
      <c r="D517" s="16" t="n"/>
      <c r="E517" s="10">
        <f>IFERROR(IF(INDEX(ERP資料!$H:$H, (MATCH(516, 輔助計算!$G$2:$G$801, 0)+1))="","",INDEX(ERP資料!$H:$H, (MATCH(516, 輔助計算!$G$2:$G$801, 0)+1))), "")</f>
        <v/>
      </c>
      <c r="F517" s="10">
        <f>IFERROR(IF(INDEX(ERP資料!$E:$E, (MATCH(516, 輔助計算!$G$2:$G$801, 0)+1))="","",TRIM(INDEX(ERP資料!$E:$E, (MATCH(516, 輔助計算!$G$2:$G$801, 0)+1)))), "")</f>
        <v/>
      </c>
      <c r="G517" s="10">
        <f>IFERROR(IF(INDEX(ERP資料!$F:$F, (MATCH(516, 輔助計算!$G$2:$G$801, 0)+1))="","",INDEX(ERP資料!$F:$F, (MATCH(516, 輔助計算!$G$2:$G$801, 0)+1))), "")</f>
        <v/>
      </c>
      <c r="H517" s="10">
        <f>IFERROR(IF(INDEX(ERP資料!$G:$G, (MATCH(516, 輔助計算!$G$2:$G$801, 0)+1))="","",INDEX(ERP資料!$G:$G, (MATCH(516, 輔助計算!$G$2:$G$801, 0)+1))), "")</f>
        <v/>
      </c>
      <c r="I517" s="15">
        <f>IFERROR(INDEX(輔助計算!$D:$D, (MATCH(516, 輔助計算!$G$2:$G$801, 0)+1)), "")</f>
        <v/>
      </c>
      <c r="J517" s="15">
        <f>IFERROR(IF(AND(INDEX(輔助計算!$D:$D, (MATCH(516, 輔助計算!$G$2:$G$801, 0)+1))&lt;&gt;"", INDEX(ERP資料!$G:$G, (MATCH(516, 輔助計算!$G$2:$G$801, 0)+1))&lt;&gt;""), TRIM(IF(INT(INDEX(輔助計算!$D:$D, (MATCH(516, 輔助計算!$G$2:$G$801, 0)+1))/IF(INDEX(ERP資料!$G:$G, (MATCH(516, 輔助計算!$G$2:$G$801, 0)+1))&lt;100, IF(INDEX(ERP資料!$G:$G, (MATCH(516, 輔助計算!$G$2:$G$801, 0)+1))&lt;=31,3,IF(INDEX(ERP資料!$G:$G, (MATCH(516, 輔助計算!$G$2:$G$801, 0)+1))&lt;=46.5,2,1)), IF(INDEX(ERP資料!$G:$G, (MATCH(516, 輔助計算!$G$2:$G$801, 0)+1))&lt;=790,3,IF(INDEX(ERP資料!$G:$G, (MATCH(516, 輔助計算!$G$2:$G$801, 0)+1))&lt;=1181,2,1))))&gt;0, IF(IF(INDEX(ERP資料!$G:$G, (MATCH(516, 輔助計算!$G$2:$G$801, 0)+1))&lt;100, IF(INDEX(ERP資料!$G:$G, (MATCH(516, 輔助計算!$G$2:$G$801, 0)+1))&lt;=31,3,IF(INDEX(ERP資料!$G:$G, (MATCH(516, 輔助計算!$G$2:$G$801, 0)+1))&lt;=46.5,2,1)), IF(INDEX(ERP資料!$G:$G, (MATCH(516, 輔助計算!$G$2:$G$801, 0)+1))&lt;=790,3,IF(INDEX(ERP資料!$G:$G, (MATCH(516, 輔助計算!$G$2:$G$801, 0)+1))&lt;=1181,2,1)))=1,TEXT(INDEX(ERP資料!$G:$G, (MATCH(516, 輔助計算!$G$2:$G$801, 0)+1)),"0.##"),IF(IF(INDEX(ERP資料!$G:$G, (MATCH(516, 輔助計算!$G$2:$G$801, 0)+1))&lt;100, IF(INDEX(ERP資料!$G:$G, (MATCH(516, 輔助計算!$G$2:$G$801, 0)+1))&lt;=31,3,IF(INDEX(ERP資料!$G:$G, (MATCH(516, 輔助計算!$G$2:$G$801, 0)+1))&lt;=46.5,2,1)), IF(INDEX(ERP資料!$G:$G, (MATCH(516, 輔助計算!$G$2:$G$801, 0)+1))&lt;=790,3,IF(INDEX(ERP資料!$G:$G, (MATCH(516, 輔助計算!$G$2:$G$801, 0)+1))&lt;=1181,2,1)))=2,TEXT(INDEX(ERP資料!$G:$G, (MATCH(516, 輔助計算!$G$2:$G$801, 0)+1)),"0.##")&amp;"+"&amp;TEXT(INDEX(ERP資料!$G:$G, (MATCH(516, 輔助計算!$G$2:$G$801, 0)+1)),"0.##"),TEXT(INDEX(ERP資料!$G:$G, (MATCH(516, 輔助計算!$G$2:$G$801, 0)+1)),"0.##")&amp;"+"&amp;TEXT(INDEX(ERP資料!$G:$G, (MATCH(516, 輔助計算!$G$2:$G$801, 0)+1)),"0.##")&amp;"+"&amp;TEXT(INDEX(ERP資料!$G:$G, (MATCH(516, 輔助計算!$G$2:$G$801, 0)+1)),"0.##")))&amp;"-"&amp;INT(INDEX(輔助計算!$D:$D, (MATCH(516, 輔助計算!$G$2:$G$801, 0)+1))/IF(INDEX(ERP資料!$G:$G, (MATCH(516, 輔助計算!$G$2:$G$801, 0)+1))&lt;100, IF(INDEX(ERP資料!$G:$G, (MATCH(516, 輔助計算!$G$2:$G$801, 0)+1))&lt;=31,3,IF(INDEX(ERP資料!$G:$G, (MATCH(516, 輔助計算!$G$2:$G$801, 0)+1))&lt;=46.5,2,1)), IF(INDEX(ERP資料!$G:$G, (MATCH(516, 輔助計算!$G$2:$G$801, 0)+1))&lt;=790,3,IF(INDEX(ERP資料!$G:$G, (MATCH(516, 輔助計算!$G$2:$G$801, 0)+1))&lt;=1181,2,1)))), "")&amp;IF(AND(IF(INT(INDEX(輔助計算!$D:$D, (MATCH(516, 輔助計算!$G$2:$G$801, 0)+1))/IF(INDEX(ERP資料!$G:$G, (MATCH(516, 輔助計算!$G$2:$G$801, 0)+1))&lt;100, IF(INDEX(ERP資料!$G:$G, (MATCH(516, 輔助計算!$G$2:$G$801, 0)+1))&lt;=31,3,IF(INDEX(ERP資料!$G:$G, (MATCH(516, 輔助計算!$G$2:$G$801, 0)+1))&lt;=46.5,2,1)), IF(INDEX(ERP資料!$G:$G, (MATCH(516, 輔助計算!$G$2:$G$801, 0)+1))&lt;=790,3,IF(INDEX(ERP資料!$G:$G, (MATCH(516, 輔助計算!$G$2:$G$801, 0)+1))&lt;=1181,2,1))))&gt;0, IF(IF(INDEX(ERP資料!$G:$G, (MATCH(516, 輔助計算!$G$2:$G$801, 0)+1))&lt;100, IF(INDEX(ERP資料!$G:$G, (MATCH(516, 輔助計算!$G$2:$G$801, 0)+1))&lt;=31,3,IF(INDEX(ERP資料!$G:$G, (MATCH(516, 輔助計算!$G$2:$G$801, 0)+1))&lt;=46.5,2,1)), IF(INDEX(ERP資料!$G:$G, (MATCH(516, 輔助計算!$G$2:$G$801, 0)+1))&lt;=790,3,IF(INDEX(ERP資料!$G:$G, (MATCH(516, 輔助計算!$G$2:$G$801, 0)+1))&lt;=1181,2,1)))=1,TEXT(INDEX(ERP資料!$G:$G, (MATCH(516, 輔助計算!$G$2:$G$801, 0)+1)),"0.##"),IF(IF(INDEX(ERP資料!$G:$G, (MATCH(516, 輔助計算!$G$2:$G$801, 0)+1))&lt;100, IF(INDEX(ERP資料!$G:$G, (MATCH(516, 輔助計算!$G$2:$G$801, 0)+1))&lt;=31,3,IF(INDEX(ERP資料!$G:$G, (MATCH(516, 輔助計算!$G$2:$G$801, 0)+1))&lt;=46.5,2,1)), IF(INDEX(ERP資料!$G:$G, (MATCH(516, 輔助計算!$G$2:$G$801, 0)+1))&lt;=790,3,IF(INDEX(ERP資料!$G:$G, (MATCH(516, 輔助計算!$G$2:$G$801, 0)+1))&lt;=1181,2,1)))=2,TEXT(INDEX(ERP資料!$G:$G, (MATCH(516, 輔助計算!$G$2:$G$801, 0)+1)),"0.##")&amp;"+"&amp;TEXT(INDEX(ERP資料!$G:$G, (MATCH(516, 輔助計算!$G$2:$G$801, 0)+1)),"0.##"),TEXT(INDEX(ERP資料!$G:$G, (MATCH(516, 輔助計算!$G$2:$G$801, 0)+1)),"0.##")&amp;"+"&amp;TEXT(INDEX(ERP資料!$G:$G, (MATCH(516, 輔助計算!$G$2:$G$801, 0)+1)),"0.##")&amp;"+"&amp;TEXT(INDEX(ERP資料!$G:$G, (MATCH(516, 輔助計算!$G$2:$G$801, 0)+1)),"0.##")))&amp;"-"&amp;INT(INDEX(輔助計算!$D:$D, (MATCH(516, 輔助計算!$G$2:$G$801, 0)+1))/IF(INDEX(ERP資料!$G:$G, (MATCH(516, 輔助計算!$G$2:$G$801, 0)+1))&lt;100, IF(INDEX(ERP資料!$G:$G, (MATCH(516, 輔助計算!$G$2:$G$801, 0)+1))&lt;=31,3,IF(INDEX(ERP資料!$G:$G, (MATCH(516, 輔助計算!$G$2:$G$801, 0)+1))&lt;=46.5,2,1)), IF(INDEX(ERP資料!$G:$G, (MATCH(516, 輔助計算!$G$2:$G$801, 0)+1))&lt;=790,3,IF(INDEX(ERP資料!$G:$G, (MATCH(516, 輔助計算!$G$2:$G$801, 0)+1))&lt;=1181,2,1)))), "")&lt;&gt;"",IF(MOD(INDEX(輔助計算!$D:$D, (MATCH(516, 輔助計算!$G$2:$G$801, 0)+1)),IF(INDEX(ERP資料!$G:$G, (MATCH(516, 輔助計算!$G$2:$G$801, 0)+1))&lt;100, IF(INDEX(ERP資料!$G:$G, (MATCH(516, 輔助計算!$G$2:$G$801, 0)+1))&lt;=31,3,IF(INDEX(ERP資料!$G:$G, (MATCH(516, 輔助計算!$G$2:$G$801, 0)+1))&lt;=46.5,2,1)), IF(INDEX(ERP資料!$G:$G, (MATCH(516, 輔助計算!$G$2:$G$801, 0)+1))&lt;=790,3,IF(INDEX(ERP資料!$G:$G, (MATCH(516, 輔助計算!$G$2:$G$801, 0)+1))&lt;=1181,2,1))))=0,"",IF(MOD(INDEX(輔助計算!$D:$D, (MATCH(516, 輔助計算!$G$2:$G$801, 0)+1)),IF(INDEX(ERP資料!$G:$G, (MATCH(516, 輔助計算!$G$2:$G$801, 0)+1))&lt;100, IF(INDEX(ERP資料!$G:$G, (MATCH(516, 輔助計算!$G$2:$G$801, 0)+1))&lt;=31,3,IF(INDEX(ERP資料!$G:$G, (MATCH(516, 輔助計算!$G$2:$G$801, 0)+1))&lt;=46.5,2,1)), IF(INDEX(ERP資料!$G:$G, (MATCH(516, 輔助計算!$G$2:$G$801, 0)+1))&lt;=790,3,IF(INDEX(ERP資料!$G:$G, (MATCH(516, 輔助計算!$G$2:$G$801, 0)+1))&lt;=1181,2,1))))=0,"",IF(MOD(INDEX(輔助計算!$D:$D, (MATCH(516, 輔助計算!$G$2:$G$801, 0)+1)),IF(INDEX(ERP資料!$G:$G, (MATCH(516, 輔助計算!$G$2:$G$801, 0)+1))&lt;100, IF(INDEX(ERP資料!$G:$G, (MATCH(516, 輔助計算!$G$2:$G$801, 0)+1))&lt;=31,3,IF(INDEX(ERP資料!$G:$G, (MATCH(516, 輔助計算!$G$2:$G$801, 0)+1))&lt;=46.5,2,1)), IF(INDEX(ERP資料!$G:$G, (MATCH(516, 輔助計算!$G$2:$G$801, 0)+1))&lt;=790,3,IF(INDEX(ERP資料!$G:$G, (MATCH(516, 輔助計算!$G$2:$G$801, 0)+1))&lt;=1181,2,1))))=1,TEXT(INDEX(ERP資料!$G:$G, (MATCH(516, 輔助計算!$G$2:$G$801, 0)+1)),"0.##"),IF(MOD(INDEX(輔助計算!$D:$D, (MATCH(516, 輔助計算!$G$2:$G$801, 0)+1)),IF(INDEX(ERP資料!$G:$G, (MATCH(516, 輔助計算!$G$2:$G$801, 0)+1))&lt;100, IF(INDEX(ERP資料!$G:$G, (MATCH(516, 輔助計算!$G$2:$G$801, 0)+1))&lt;=31,3,IF(INDEX(ERP資料!$G:$G, (MATCH(516, 輔助計算!$G$2:$G$801, 0)+1))&lt;=46.5,2,1)), IF(INDEX(ERP資料!$G:$G, (MATCH(516, 輔助計算!$G$2:$G$801, 0)+1))&lt;=790,3,IF(INDEX(ERP資料!$G:$G, (MATCH(516, 輔助計算!$G$2:$G$801, 0)+1))&lt;=1181,2,1))))=2,TEXT(INDEX(ERP資料!$G:$G, (MATCH(516, 輔助計算!$G$2:$G$801, 0)+1)),"0.##")&amp;"+"&amp;TEXT(INDEX(ERP資料!$G:$G, (MATCH(516, 輔助計算!$G$2:$G$801, 0)+1)),"0.##"),TEXT(INDEX(ERP資料!$G:$G, (MATCH(516, 輔助計算!$G$2:$G$801, 0)+1)),"0.##")&amp;"+"&amp;TEXT(INDEX(ERP資料!$G:$G, (MATCH(516, 輔助計算!$G$2:$G$801, 0)+1)),"0.##")&amp;"+"&amp;TEXT(INDEX(ERP資料!$G:$G, (MATCH(516, 輔助計算!$G$2:$G$801, 0)+1)),"0.##"))))&amp;"-1")&lt;&gt;""),"  ","")&amp;IF(MOD(INDEX(輔助計算!$D:$D, (MATCH(516, 輔助計算!$G$2:$G$801, 0)+1)),IF(INDEX(ERP資料!$G:$G, (MATCH(516, 輔助計算!$G$2:$G$801, 0)+1))&lt;100, IF(INDEX(ERP資料!$G:$G, (MATCH(516, 輔助計算!$G$2:$G$801, 0)+1))&lt;=31,3,IF(INDEX(ERP資料!$G:$G, (MATCH(516, 輔助計算!$G$2:$G$801, 0)+1))&lt;=46.5,2,1)), IF(INDEX(ERP資料!$G:$G, (MATCH(516, 輔助計算!$G$2:$G$801, 0)+1))&lt;=790,3,IF(INDEX(ERP資料!$G:$G, (MATCH(516, 輔助計算!$G$2:$G$801, 0)+1))&lt;=1181,2,1))))=0,"",IF(MOD(INDEX(輔助計算!$D:$D, (MATCH(516, 輔助計算!$G$2:$G$801, 0)+1)),IF(INDEX(ERP資料!$G:$G, (MATCH(516, 輔助計算!$G$2:$G$801, 0)+1))&lt;100, IF(INDEX(ERP資料!$G:$G, (MATCH(516, 輔助計算!$G$2:$G$801, 0)+1))&lt;=31,3,IF(INDEX(ERP資料!$G:$G, (MATCH(516, 輔助計算!$G$2:$G$801, 0)+1))&lt;=46.5,2,1)), IF(INDEX(ERP資料!$G:$G, (MATCH(516, 輔助計算!$G$2:$G$801, 0)+1))&lt;=790,3,IF(INDEX(ERP資料!$G:$G, (MATCH(516, 輔助計算!$G$2:$G$801, 0)+1))&lt;=1181,2,1))))=0,"",IF(MOD(INDEX(輔助計算!$D:$D, (MATCH(516, 輔助計算!$G$2:$G$801, 0)+1)),IF(INDEX(ERP資料!$G:$G, (MATCH(516, 輔助計算!$G$2:$G$801, 0)+1))&lt;100, IF(INDEX(ERP資料!$G:$G, (MATCH(516, 輔助計算!$G$2:$G$801, 0)+1))&lt;=31,3,IF(INDEX(ERP資料!$G:$G, (MATCH(516, 輔助計算!$G$2:$G$801, 0)+1))&lt;=46.5,2,1)), IF(INDEX(ERP資料!$G:$G, (MATCH(516, 輔助計算!$G$2:$G$801, 0)+1))&lt;=790,3,IF(INDEX(ERP資料!$G:$G, (MATCH(516, 輔助計算!$G$2:$G$801, 0)+1))&lt;=1181,2,1))))=1,TEXT(INDEX(ERP資料!$G:$G, (MATCH(516, 輔助計算!$G$2:$G$801, 0)+1)),"0.##"),IF(MOD(INDEX(輔助計算!$D:$D, (MATCH(516, 輔助計算!$G$2:$G$801, 0)+1)),IF(INDEX(ERP資料!$G:$G, (MATCH(516, 輔助計算!$G$2:$G$801, 0)+1))&lt;100, IF(INDEX(ERP資料!$G:$G, (MATCH(516, 輔助計算!$G$2:$G$801, 0)+1))&lt;=31,3,IF(INDEX(ERP資料!$G:$G, (MATCH(516, 輔助計算!$G$2:$G$801, 0)+1))&lt;=46.5,2,1)), IF(INDEX(ERP資料!$G:$G, (MATCH(516, 輔助計算!$G$2:$G$801, 0)+1))&lt;=790,3,IF(INDEX(ERP資料!$G:$G, (MATCH(516, 輔助計算!$G$2:$G$801, 0)+1))&lt;=1181,2,1))))=2,TEXT(INDEX(ERP資料!$G:$G, (MATCH(516, 輔助計算!$G$2:$G$801, 0)+1)),"0.##")&amp;"+"&amp;TEXT(INDEX(ERP資料!$G:$G, (MATCH(516, 輔助計算!$G$2:$G$801, 0)+1)),"0.##"),TEXT(INDEX(ERP資料!$G:$G, (MATCH(516, 輔助計算!$G$2:$G$801, 0)+1)),"0.##")&amp;"+"&amp;TEXT(INDEX(ERP資料!$G:$G, (MATCH(516, 輔助計算!$G$2:$G$801, 0)+1)),"0.##")&amp;"+"&amp;TEXT(INDEX(ERP資料!$G:$G, (MATCH(516, 輔助計算!$G$2:$G$801, 0)+1)),"0.##"))))&amp;"-1")), ""), "")</f>
        <v/>
      </c>
      <c r="K517" s="16" t="n"/>
      <c r="L517" s="14">
        <f>IFERROR(IF(AND(IFERROR(INDEX(ERP資料!$A:$A, (MATCH(516, 輔助計算!$G$2:$G$801, 0)+1)), "")&lt;&gt;"", IFERROR(INDEX(ERP資料!$A:$A, (MATCH(516, 輔助計算!$G$2:$G$801, 0)+1)), "")&lt;&gt;IFERROR(INDEX(ERP資料!$A:$A, MATCH(515, 輔助計算!$G$2:$G$801, 0)+1), "")), INDEX(ERP資料!$B:$B, (MATCH(516, 輔助計算!$G$2:$G$801, 0)+1)), ""), "")</f>
        <v/>
      </c>
      <c r="M517" s="17" t="n"/>
    </row>
    <row r="518">
      <c r="A518" s="10">
        <f>IFERROR(IF(AND(IFERROR(INDEX(ERP資料!$A:$A, (MATCH(517, 輔助計算!$G$2:$G$801, 0)+1)), "")&lt;&gt;"", IFERROR(INDEX(ERP資料!$A:$A, (MATCH(517, 輔助計算!$G$2:$G$801, 0)+1)), "")&lt;&gt;IFERROR(INDEX(ERP資料!$A:$A, MATCH(516, 輔助計算!$G$2:$G$801, 0)+1), "")), IFERROR(INDEX(ERP資料!$A:$A, (MATCH(517, 輔助計算!$G$2:$G$801, 0)+1)), ""), ""), "")</f>
        <v/>
      </c>
      <c r="B518" s="10">
        <f>IFERROR(IF(AND(IFERROR(INDEX(ERP資料!$A:$A, (MATCH(517, 輔助計算!$G$2:$G$801, 0)+1)), "")&lt;&gt;"", IFERROR(INDEX(ERP資料!$A:$A, (MATCH(517, 輔助計算!$G$2:$G$801, 0)+1)), "")&lt;&gt;IFERROR(INDEX(ERP資料!$A:$A, MATCH(516, 輔助計算!$G$2:$G$801, 0)+1), "")), INDEX(ERP資料!$S:$S, (MATCH(517, 輔助計算!$G$2:$G$801, 0)+1)), ""), "")</f>
        <v/>
      </c>
      <c r="C518" s="19">
        <f>IFERROR(IF(AND(IFERROR(INDEX(ERP資料!$A:$A, (MATCH(517, 輔助計算!$G$2:$G$801, 0)+1)), "")&lt;&gt;"", IFERROR(INDEX(ERP資料!$A:$A, (MATCH(517, 輔助計算!$G$2:$G$801, 0)+1)), "")&lt;&gt;IFERROR(INDEX(ERP資料!$A:$A, MATCH(516, 輔助計算!$G$2:$G$801, 0)+1), "")), IFERROR(VLOOKUP(LEFT(INDEX(ERP資料!$S:$S, (MATCH(517, 輔助計算!$G$2:$G$801, 0)+1)), 4), 紙管對照表!$A:$C, 3, FALSE), ""), ""), "")</f>
        <v/>
      </c>
      <c r="D518" s="16" t="n"/>
      <c r="E518" s="10">
        <f>IFERROR(IF(INDEX(ERP資料!$H:$H, (MATCH(517, 輔助計算!$G$2:$G$801, 0)+1))="","",INDEX(ERP資料!$H:$H, (MATCH(517, 輔助計算!$G$2:$G$801, 0)+1))), "")</f>
        <v/>
      </c>
      <c r="F518" s="10">
        <f>IFERROR(IF(INDEX(ERP資料!$E:$E, (MATCH(517, 輔助計算!$G$2:$G$801, 0)+1))="","",TRIM(INDEX(ERP資料!$E:$E, (MATCH(517, 輔助計算!$G$2:$G$801, 0)+1)))), "")</f>
        <v/>
      </c>
      <c r="G518" s="10">
        <f>IFERROR(IF(INDEX(ERP資料!$F:$F, (MATCH(517, 輔助計算!$G$2:$G$801, 0)+1))="","",INDEX(ERP資料!$F:$F, (MATCH(517, 輔助計算!$G$2:$G$801, 0)+1))), "")</f>
        <v/>
      </c>
      <c r="H518" s="10">
        <f>IFERROR(IF(INDEX(ERP資料!$G:$G, (MATCH(517, 輔助計算!$G$2:$G$801, 0)+1))="","",INDEX(ERP資料!$G:$G, (MATCH(517, 輔助計算!$G$2:$G$801, 0)+1))), "")</f>
        <v/>
      </c>
      <c r="I518" s="15">
        <f>IFERROR(INDEX(輔助計算!$D:$D, (MATCH(517, 輔助計算!$G$2:$G$801, 0)+1)), "")</f>
        <v/>
      </c>
      <c r="J518" s="15">
        <f>IFERROR(IF(AND(INDEX(輔助計算!$D:$D, (MATCH(517, 輔助計算!$G$2:$G$801, 0)+1))&lt;&gt;"", INDEX(ERP資料!$G:$G, (MATCH(517, 輔助計算!$G$2:$G$801, 0)+1))&lt;&gt;""), TRIM(IF(INT(INDEX(輔助計算!$D:$D, (MATCH(517, 輔助計算!$G$2:$G$801, 0)+1))/IF(INDEX(ERP資料!$G:$G, (MATCH(517, 輔助計算!$G$2:$G$801, 0)+1))&lt;100, IF(INDEX(ERP資料!$G:$G, (MATCH(517, 輔助計算!$G$2:$G$801, 0)+1))&lt;=31,3,IF(INDEX(ERP資料!$G:$G, (MATCH(517, 輔助計算!$G$2:$G$801, 0)+1))&lt;=46.5,2,1)), IF(INDEX(ERP資料!$G:$G, (MATCH(517, 輔助計算!$G$2:$G$801, 0)+1))&lt;=790,3,IF(INDEX(ERP資料!$G:$G, (MATCH(517, 輔助計算!$G$2:$G$801, 0)+1))&lt;=1181,2,1))))&gt;0, IF(IF(INDEX(ERP資料!$G:$G, (MATCH(517, 輔助計算!$G$2:$G$801, 0)+1))&lt;100, IF(INDEX(ERP資料!$G:$G, (MATCH(517, 輔助計算!$G$2:$G$801, 0)+1))&lt;=31,3,IF(INDEX(ERP資料!$G:$G, (MATCH(517, 輔助計算!$G$2:$G$801, 0)+1))&lt;=46.5,2,1)), IF(INDEX(ERP資料!$G:$G, (MATCH(517, 輔助計算!$G$2:$G$801, 0)+1))&lt;=790,3,IF(INDEX(ERP資料!$G:$G, (MATCH(517, 輔助計算!$G$2:$G$801, 0)+1))&lt;=1181,2,1)))=1,TEXT(INDEX(ERP資料!$G:$G, (MATCH(517, 輔助計算!$G$2:$G$801, 0)+1)),"0.##"),IF(IF(INDEX(ERP資料!$G:$G, (MATCH(517, 輔助計算!$G$2:$G$801, 0)+1))&lt;100, IF(INDEX(ERP資料!$G:$G, (MATCH(517, 輔助計算!$G$2:$G$801, 0)+1))&lt;=31,3,IF(INDEX(ERP資料!$G:$G, (MATCH(517, 輔助計算!$G$2:$G$801, 0)+1))&lt;=46.5,2,1)), IF(INDEX(ERP資料!$G:$G, (MATCH(517, 輔助計算!$G$2:$G$801, 0)+1))&lt;=790,3,IF(INDEX(ERP資料!$G:$G, (MATCH(517, 輔助計算!$G$2:$G$801, 0)+1))&lt;=1181,2,1)))=2,TEXT(INDEX(ERP資料!$G:$G, (MATCH(517, 輔助計算!$G$2:$G$801, 0)+1)),"0.##")&amp;"+"&amp;TEXT(INDEX(ERP資料!$G:$G, (MATCH(517, 輔助計算!$G$2:$G$801, 0)+1)),"0.##"),TEXT(INDEX(ERP資料!$G:$G, (MATCH(517, 輔助計算!$G$2:$G$801, 0)+1)),"0.##")&amp;"+"&amp;TEXT(INDEX(ERP資料!$G:$G, (MATCH(517, 輔助計算!$G$2:$G$801, 0)+1)),"0.##")&amp;"+"&amp;TEXT(INDEX(ERP資料!$G:$G, (MATCH(517, 輔助計算!$G$2:$G$801, 0)+1)),"0.##")))&amp;"-"&amp;INT(INDEX(輔助計算!$D:$D, (MATCH(517, 輔助計算!$G$2:$G$801, 0)+1))/IF(INDEX(ERP資料!$G:$G, (MATCH(517, 輔助計算!$G$2:$G$801, 0)+1))&lt;100, IF(INDEX(ERP資料!$G:$G, (MATCH(517, 輔助計算!$G$2:$G$801, 0)+1))&lt;=31,3,IF(INDEX(ERP資料!$G:$G, (MATCH(517, 輔助計算!$G$2:$G$801, 0)+1))&lt;=46.5,2,1)), IF(INDEX(ERP資料!$G:$G, (MATCH(517, 輔助計算!$G$2:$G$801, 0)+1))&lt;=790,3,IF(INDEX(ERP資料!$G:$G, (MATCH(517, 輔助計算!$G$2:$G$801, 0)+1))&lt;=1181,2,1)))), "")&amp;IF(AND(IF(INT(INDEX(輔助計算!$D:$D, (MATCH(517, 輔助計算!$G$2:$G$801, 0)+1))/IF(INDEX(ERP資料!$G:$G, (MATCH(517, 輔助計算!$G$2:$G$801, 0)+1))&lt;100, IF(INDEX(ERP資料!$G:$G, (MATCH(517, 輔助計算!$G$2:$G$801, 0)+1))&lt;=31,3,IF(INDEX(ERP資料!$G:$G, (MATCH(517, 輔助計算!$G$2:$G$801, 0)+1))&lt;=46.5,2,1)), IF(INDEX(ERP資料!$G:$G, (MATCH(517, 輔助計算!$G$2:$G$801, 0)+1))&lt;=790,3,IF(INDEX(ERP資料!$G:$G, (MATCH(517, 輔助計算!$G$2:$G$801, 0)+1))&lt;=1181,2,1))))&gt;0, IF(IF(INDEX(ERP資料!$G:$G, (MATCH(517, 輔助計算!$G$2:$G$801, 0)+1))&lt;100, IF(INDEX(ERP資料!$G:$G, (MATCH(517, 輔助計算!$G$2:$G$801, 0)+1))&lt;=31,3,IF(INDEX(ERP資料!$G:$G, (MATCH(517, 輔助計算!$G$2:$G$801, 0)+1))&lt;=46.5,2,1)), IF(INDEX(ERP資料!$G:$G, (MATCH(517, 輔助計算!$G$2:$G$801, 0)+1))&lt;=790,3,IF(INDEX(ERP資料!$G:$G, (MATCH(517, 輔助計算!$G$2:$G$801, 0)+1))&lt;=1181,2,1)))=1,TEXT(INDEX(ERP資料!$G:$G, (MATCH(517, 輔助計算!$G$2:$G$801, 0)+1)),"0.##"),IF(IF(INDEX(ERP資料!$G:$G, (MATCH(517, 輔助計算!$G$2:$G$801, 0)+1))&lt;100, IF(INDEX(ERP資料!$G:$G, (MATCH(517, 輔助計算!$G$2:$G$801, 0)+1))&lt;=31,3,IF(INDEX(ERP資料!$G:$G, (MATCH(517, 輔助計算!$G$2:$G$801, 0)+1))&lt;=46.5,2,1)), IF(INDEX(ERP資料!$G:$G, (MATCH(517, 輔助計算!$G$2:$G$801, 0)+1))&lt;=790,3,IF(INDEX(ERP資料!$G:$G, (MATCH(517, 輔助計算!$G$2:$G$801, 0)+1))&lt;=1181,2,1)))=2,TEXT(INDEX(ERP資料!$G:$G, (MATCH(517, 輔助計算!$G$2:$G$801, 0)+1)),"0.##")&amp;"+"&amp;TEXT(INDEX(ERP資料!$G:$G, (MATCH(517, 輔助計算!$G$2:$G$801, 0)+1)),"0.##"),TEXT(INDEX(ERP資料!$G:$G, (MATCH(517, 輔助計算!$G$2:$G$801, 0)+1)),"0.##")&amp;"+"&amp;TEXT(INDEX(ERP資料!$G:$G, (MATCH(517, 輔助計算!$G$2:$G$801, 0)+1)),"0.##")&amp;"+"&amp;TEXT(INDEX(ERP資料!$G:$G, (MATCH(517, 輔助計算!$G$2:$G$801, 0)+1)),"0.##")))&amp;"-"&amp;INT(INDEX(輔助計算!$D:$D, (MATCH(517, 輔助計算!$G$2:$G$801, 0)+1))/IF(INDEX(ERP資料!$G:$G, (MATCH(517, 輔助計算!$G$2:$G$801, 0)+1))&lt;100, IF(INDEX(ERP資料!$G:$G, (MATCH(517, 輔助計算!$G$2:$G$801, 0)+1))&lt;=31,3,IF(INDEX(ERP資料!$G:$G, (MATCH(517, 輔助計算!$G$2:$G$801, 0)+1))&lt;=46.5,2,1)), IF(INDEX(ERP資料!$G:$G, (MATCH(517, 輔助計算!$G$2:$G$801, 0)+1))&lt;=790,3,IF(INDEX(ERP資料!$G:$G, (MATCH(517, 輔助計算!$G$2:$G$801, 0)+1))&lt;=1181,2,1)))), "")&lt;&gt;"",IF(MOD(INDEX(輔助計算!$D:$D, (MATCH(517, 輔助計算!$G$2:$G$801, 0)+1)),IF(INDEX(ERP資料!$G:$G, (MATCH(517, 輔助計算!$G$2:$G$801, 0)+1))&lt;100, IF(INDEX(ERP資料!$G:$G, (MATCH(517, 輔助計算!$G$2:$G$801, 0)+1))&lt;=31,3,IF(INDEX(ERP資料!$G:$G, (MATCH(517, 輔助計算!$G$2:$G$801, 0)+1))&lt;=46.5,2,1)), IF(INDEX(ERP資料!$G:$G, (MATCH(517, 輔助計算!$G$2:$G$801, 0)+1))&lt;=790,3,IF(INDEX(ERP資料!$G:$G, (MATCH(517, 輔助計算!$G$2:$G$801, 0)+1))&lt;=1181,2,1))))=0,"",IF(MOD(INDEX(輔助計算!$D:$D, (MATCH(517, 輔助計算!$G$2:$G$801, 0)+1)),IF(INDEX(ERP資料!$G:$G, (MATCH(517, 輔助計算!$G$2:$G$801, 0)+1))&lt;100, IF(INDEX(ERP資料!$G:$G, (MATCH(517, 輔助計算!$G$2:$G$801, 0)+1))&lt;=31,3,IF(INDEX(ERP資料!$G:$G, (MATCH(517, 輔助計算!$G$2:$G$801, 0)+1))&lt;=46.5,2,1)), IF(INDEX(ERP資料!$G:$G, (MATCH(517, 輔助計算!$G$2:$G$801, 0)+1))&lt;=790,3,IF(INDEX(ERP資料!$G:$G, (MATCH(517, 輔助計算!$G$2:$G$801, 0)+1))&lt;=1181,2,1))))=0,"",IF(MOD(INDEX(輔助計算!$D:$D, (MATCH(517, 輔助計算!$G$2:$G$801, 0)+1)),IF(INDEX(ERP資料!$G:$G, (MATCH(517, 輔助計算!$G$2:$G$801, 0)+1))&lt;100, IF(INDEX(ERP資料!$G:$G, (MATCH(517, 輔助計算!$G$2:$G$801, 0)+1))&lt;=31,3,IF(INDEX(ERP資料!$G:$G, (MATCH(517, 輔助計算!$G$2:$G$801, 0)+1))&lt;=46.5,2,1)), IF(INDEX(ERP資料!$G:$G, (MATCH(517, 輔助計算!$G$2:$G$801, 0)+1))&lt;=790,3,IF(INDEX(ERP資料!$G:$G, (MATCH(517, 輔助計算!$G$2:$G$801, 0)+1))&lt;=1181,2,1))))=1,TEXT(INDEX(ERP資料!$G:$G, (MATCH(517, 輔助計算!$G$2:$G$801, 0)+1)),"0.##"),IF(MOD(INDEX(輔助計算!$D:$D, (MATCH(517, 輔助計算!$G$2:$G$801, 0)+1)),IF(INDEX(ERP資料!$G:$G, (MATCH(517, 輔助計算!$G$2:$G$801, 0)+1))&lt;100, IF(INDEX(ERP資料!$G:$G, (MATCH(517, 輔助計算!$G$2:$G$801, 0)+1))&lt;=31,3,IF(INDEX(ERP資料!$G:$G, (MATCH(517, 輔助計算!$G$2:$G$801, 0)+1))&lt;=46.5,2,1)), IF(INDEX(ERP資料!$G:$G, (MATCH(517, 輔助計算!$G$2:$G$801, 0)+1))&lt;=790,3,IF(INDEX(ERP資料!$G:$G, (MATCH(517, 輔助計算!$G$2:$G$801, 0)+1))&lt;=1181,2,1))))=2,TEXT(INDEX(ERP資料!$G:$G, (MATCH(517, 輔助計算!$G$2:$G$801, 0)+1)),"0.##")&amp;"+"&amp;TEXT(INDEX(ERP資料!$G:$G, (MATCH(517, 輔助計算!$G$2:$G$801, 0)+1)),"0.##"),TEXT(INDEX(ERP資料!$G:$G, (MATCH(517, 輔助計算!$G$2:$G$801, 0)+1)),"0.##")&amp;"+"&amp;TEXT(INDEX(ERP資料!$G:$G, (MATCH(517, 輔助計算!$G$2:$G$801, 0)+1)),"0.##")&amp;"+"&amp;TEXT(INDEX(ERP資料!$G:$G, (MATCH(517, 輔助計算!$G$2:$G$801, 0)+1)),"0.##"))))&amp;"-1")&lt;&gt;""),"  ","")&amp;IF(MOD(INDEX(輔助計算!$D:$D, (MATCH(517, 輔助計算!$G$2:$G$801, 0)+1)),IF(INDEX(ERP資料!$G:$G, (MATCH(517, 輔助計算!$G$2:$G$801, 0)+1))&lt;100, IF(INDEX(ERP資料!$G:$G, (MATCH(517, 輔助計算!$G$2:$G$801, 0)+1))&lt;=31,3,IF(INDEX(ERP資料!$G:$G, (MATCH(517, 輔助計算!$G$2:$G$801, 0)+1))&lt;=46.5,2,1)), IF(INDEX(ERP資料!$G:$G, (MATCH(517, 輔助計算!$G$2:$G$801, 0)+1))&lt;=790,3,IF(INDEX(ERP資料!$G:$G, (MATCH(517, 輔助計算!$G$2:$G$801, 0)+1))&lt;=1181,2,1))))=0,"",IF(MOD(INDEX(輔助計算!$D:$D, (MATCH(517, 輔助計算!$G$2:$G$801, 0)+1)),IF(INDEX(ERP資料!$G:$G, (MATCH(517, 輔助計算!$G$2:$G$801, 0)+1))&lt;100, IF(INDEX(ERP資料!$G:$G, (MATCH(517, 輔助計算!$G$2:$G$801, 0)+1))&lt;=31,3,IF(INDEX(ERP資料!$G:$G, (MATCH(517, 輔助計算!$G$2:$G$801, 0)+1))&lt;=46.5,2,1)), IF(INDEX(ERP資料!$G:$G, (MATCH(517, 輔助計算!$G$2:$G$801, 0)+1))&lt;=790,3,IF(INDEX(ERP資料!$G:$G, (MATCH(517, 輔助計算!$G$2:$G$801, 0)+1))&lt;=1181,2,1))))=0,"",IF(MOD(INDEX(輔助計算!$D:$D, (MATCH(517, 輔助計算!$G$2:$G$801, 0)+1)),IF(INDEX(ERP資料!$G:$G, (MATCH(517, 輔助計算!$G$2:$G$801, 0)+1))&lt;100, IF(INDEX(ERP資料!$G:$G, (MATCH(517, 輔助計算!$G$2:$G$801, 0)+1))&lt;=31,3,IF(INDEX(ERP資料!$G:$G, (MATCH(517, 輔助計算!$G$2:$G$801, 0)+1))&lt;=46.5,2,1)), IF(INDEX(ERP資料!$G:$G, (MATCH(517, 輔助計算!$G$2:$G$801, 0)+1))&lt;=790,3,IF(INDEX(ERP資料!$G:$G, (MATCH(517, 輔助計算!$G$2:$G$801, 0)+1))&lt;=1181,2,1))))=1,TEXT(INDEX(ERP資料!$G:$G, (MATCH(517, 輔助計算!$G$2:$G$801, 0)+1)),"0.##"),IF(MOD(INDEX(輔助計算!$D:$D, (MATCH(517, 輔助計算!$G$2:$G$801, 0)+1)),IF(INDEX(ERP資料!$G:$G, (MATCH(517, 輔助計算!$G$2:$G$801, 0)+1))&lt;100, IF(INDEX(ERP資料!$G:$G, (MATCH(517, 輔助計算!$G$2:$G$801, 0)+1))&lt;=31,3,IF(INDEX(ERP資料!$G:$G, (MATCH(517, 輔助計算!$G$2:$G$801, 0)+1))&lt;=46.5,2,1)), IF(INDEX(ERP資料!$G:$G, (MATCH(517, 輔助計算!$G$2:$G$801, 0)+1))&lt;=790,3,IF(INDEX(ERP資料!$G:$G, (MATCH(517, 輔助計算!$G$2:$G$801, 0)+1))&lt;=1181,2,1))))=2,TEXT(INDEX(ERP資料!$G:$G, (MATCH(517, 輔助計算!$G$2:$G$801, 0)+1)),"0.##")&amp;"+"&amp;TEXT(INDEX(ERP資料!$G:$G, (MATCH(517, 輔助計算!$G$2:$G$801, 0)+1)),"0.##"),TEXT(INDEX(ERP資料!$G:$G, (MATCH(517, 輔助計算!$G$2:$G$801, 0)+1)),"0.##")&amp;"+"&amp;TEXT(INDEX(ERP資料!$G:$G, (MATCH(517, 輔助計算!$G$2:$G$801, 0)+1)),"0.##")&amp;"+"&amp;TEXT(INDEX(ERP資料!$G:$G, (MATCH(517, 輔助計算!$G$2:$G$801, 0)+1)),"0.##"))))&amp;"-1")), ""), "")</f>
        <v/>
      </c>
      <c r="K518" s="16" t="n"/>
      <c r="L518" s="14">
        <f>IFERROR(IF(AND(IFERROR(INDEX(ERP資料!$A:$A, (MATCH(517, 輔助計算!$G$2:$G$801, 0)+1)), "")&lt;&gt;"", IFERROR(INDEX(ERP資料!$A:$A, (MATCH(517, 輔助計算!$G$2:$G$801, 0)+1)), "")&lt;&gt;IFERROR(INDEX(ERP資料!$A:$A, MATCH(516, 輔助計算!$G$2:$G$801, 0)+1), "")), INDEX(ERP資料!$B:$B, (MATCH(517, 輔助計算!$G$2:$G$801, 0)+1)), ""), "")</f>
        <v/>
      </c>
      <c r="M518" s="17" t="n"/>
    </row>
    <row r="519">
      <c r="A519" s="10">
        <f>IFERROR(IF(AND(IFERROR(INDEX(ERP資料!$A:$A, (MATCH(518, 輔助計算!$G$2:$G$801, 0)+1)), "")&lt;&gt;"", IFERROR(INDEX(ERP資料!$A:$A, (MATCH(518, 輔助計算!$G$2:$G$801, 0)+1)), "")&lt;&gt;IFERROR(INDEX(ERP資料!$A:$A, MATCH(517, 輔助計算!$G$2:$G$801, 0)+1), "")), IFERROR(INDEX(ERP資料!$A:$A, (MATCH(518, 輔助計算!$G$2:$G$801, 0)+1)), ""), ""), "")</f>
        <v/>
      </c>
      <c r="B519" s="10">
        <f>IFERROR(IF(AND(IFERROR(INDEX(ERP資料!$A:$A, (MATCH(518, 輔助計算!$G$2:$G$801, 0)+1)), "")&lt;&gt;"", IFERROR(INDEX(ERP資料!$A:$A, (MATCH(518, 輔助計算!$G$2:$G$801, 0)+1)), "")&lt;&gt;IFERROR(INDEX(ERP資料!$A:$A, MATCH(517, 輔助計算!$G$2:$G$801, 0)+1), "")), INDEX(ERP資料!$S:$S, (MATCH(518, 輔助計算!$G$2:$G$801, 0)+1)), ""), "")</f>
        <v/>
      </c>
      <c r="C519" s="19">
        <f>IFERROR(IF(AND(IFERROR(INDEX(ERP資料!$A:$A, (MATCH(518, 輔助計算!$G$2:$G$801, 0)+1)), "")&lt;&gt;"", IFERROR(INDEX(ERP資料!$A:$A, (MATCH(518, 輔助計算!$G$2:$G$801, 0)+1)), "")&lt;&gt;IFERROR(INDEX(ERP資料!$A:$A, MATCH(517, 輔助計算!$G$2:$G$801, 0)+1), "")), IFERROR(VLOOKUP(LEFT(INDEX(ERP資料!$S:$S, (MATCH(518, 輔助計算!$G$2:$G$801, 0)+1)), 4), 紙管對照表!$A:$C, 3, FALSE), ""), ""), "")</f>
        <v/>
      </c>
      <c r="D519" s="16" t="n"/>
      <c r="E519" s="10">
        <f>IFERROR(IF(INDEX(ERP資料!$H:$H, (MATCH(518, 輔助計算!$G$2:$G$801, 0)+1))="","",INDEX(ERP資料!$H:$H, (MATCH(518, 輔助計算!$G$2:$G$801, 0)+1))), "")</f>
        <v/>
      </c>
      <c r="F519" s="10">
        <f>IFERROR(IF(INDEX(ERP資料!$E:$E, (MATCH(518, 輔助計算!$G$2:$G$801, 0)+1))="","",TRIM(INDEX(ERP資料!$E:$E, (MATCH(518, 輔助計算!$G$2:$G$801, 0)+1)))), "")</f>
        <v/>
      </c>
      <c r="G519" s="10">
        <f>IFERROR(IF(INDEX(ERP資料!$F:$F, (MATCH(518, 輔助計算!$G$2:$G$801, 0)+1))="","",INDEX(ERP資料!$F:$F, (MATCH(518, 輔助計算!$G$2:$G$801, 0)+1))), "")</f>
        <v/>
      </c>
      <c r="H519" s="10">
        <f>IFERROR(IF(INDEX(ERP資料!$G:$G, (MATCH(518, 輔助計算!$G$2:$G$801, 0)+1))="","",INDEX(ERP資料!$G:$G, (MATCH(518, 輔助計算!$G$2:$G$801, 0)+1))), "")</f>
        <v/>
      </c>
      <c r="I519" s="15">
        <f>IFERROR(INDEX(輔助計算!$D:$D, (MATCH(518, 輔助計算!$G$2:$G$801, 0)+1)), "")</f>
        <v/>
      </c>
      <c r="J519" s="15">
        <f>IFERROR(IF(AND(INDEX(輔助計算!$D:$D, (MATCH(518, 輔助計算!$G$2:$G$801, 0)+1))&lt;&gt;"", INDEX(ERP資料!$G:$G, (MATCH(518, 輔助計算!$G$2:$G$801, 0)+1))&lt;&gt;""), TRIM(IF(INT(INDEX(輔助計算!$D:$D, (MATCH(518, 輔助計算!$G$2:$G$801, 0)+1))/IF(INDEX(ERP資料!$G:$G, (MATCH(518, 輔助計算!$G$2:$G$801, 0)+1))&lt;100, IF(INDEX(ERP資料!$G:$G, (MATCH(518, 輔助計算!$G$2:$G$801, 0)+1))&lt;=31,3,IF(INDEX(ERP資料!$G:$G, (MATCH(518, 輔助計算!$G$2:$G$801, 0)+1))&lt;=46.5,2,1)), IF(INDEX(ERP資料!$G:$G, (MATCH(518, 輔助計算!$G$2:$G$801, 0)+1))&lt;=790,3,IF(INDEX(ERP資料!$G:$G, (MATCH(518, 輔助計算!$G$2:$G$801, 0)+1))&lt;=1181,2,1))))&gt;0, IF(IF(INDEX(ERP資料!$G:$G, (MATCH(518, 輔助計算!$G$2:$G$801, 0)+1))&lt;100, IF(INDEX(ERP資料!$G:$G, (MATCH(518, 輔助計算!$G$2:$G$801, 0)+1))&lt;=31,3,IF(INDEX(ERP資料!$G:$G, (MATCH(518, 輔助計算!$G$2:$G$801, 0)+1))&lt;=46.5,2,1)), IF(INDEX(ERP資料!$G:$G, (MATCH(518, 輔助計算!$G$2:$G$801, 0)+1))&lt;=790,3,IF(INDEX(ERP資料!$G:$G, (MATCH(518, 輔助計算!$G$2:$G$801, 0)+1))&lt;=1181,2,1)))=1,TEXT(INDEX(ERP資料!$G:$G, (MATCH(518, 輔助計算!$G$2:$G$801, 0)+1)),"0.##"),IF(IF(INDEX(ERP資料!$G:$G, (MATCH(518, 輔助計算!$G$2:$G$801, 0)+1))&lt;100, IF(INDEX(ERP資料!$G:$G, (MATCH(518, 輔助計算!$G$2:$G$801, 0)+1))&lt;=31,3,IF(INDEX(ERP資料!$G:$G, (MATCH(518, 輔助計算!$G$2:$G$801, 0)+1))&lt;=46.5,2,1)), IF(INDEX(ERP資料!$G:$G, (MATCH(518, 輔助計算!$G$2:$G$801, 0)+1))&lt;=790,3,IF(INDEX(ERP資料!$G:$G, (MATCH(518, 輔助計算!$G$2:$G$801, 0)+1))&lt;=1181,2,1)))=2,TEXT(INDEX(ERP資料!$G:$G, (MATCH(518, 輔助計算!$G$2:$G$801, 0)+1)),"0.##")&amp;"+"&amp;TEXT(INDEX(ERP資料!$G:$G, (MATCH(518, 輔助計算!$G$2:$G$801, 0)+1)),"0.##"),TEXT(INDEX(ERP資料!$G:$G, (MATCH(518, 輔助計算!$G$2:$G$801, 0)+1)),"0.##")&amp;"+"&amp;TEXT(INDEX(ERP資料!$G:$G, (MATCH(518, 輔助計算!$G$2:$G$801, 0)+1)),"0.##")&amp;"+"&amp;TEXT(INDEX(ERP資料!$G:$G, (MATCH(518, 輔助計算!$G$2:$G$801, 0)+1)),"0.##")))&amp;"-"&amp;INT(INDEX(輔助計算!$D:$D, (MATCH(518, 輔助計算!$G$2:$G$801, 0)+1))/IF(INDEX(ERP資料!$G:$G, (MATCH(518, 輔助計算!$G$2:$G$801, 0)+1))&lt;100, IF(INDEX(ERP資料!$G:$G, (MATCH(518, 輔助計算!$G$2:$G$801, 0)+1))&lt;=31,3,IF(INDEX(ERP資料!$G:$G, (MATCH(518, 輔助計算!$G$2:$G$801, 0)+1))&lt;=46.5,2,1)), IF(INDEX(ERP資料!$G:$G, (MATCH(518, 輔助計算!$G$2:$G$801, 0)+1))&lt;=790,3,IF(INDEX(ERP資料!$G:$G, (MATCH(518, 輔助計算!$G$2:$G$801, 0)+1))&lt;=1181,2,1)))), "")&amp;IF(AND(IF(INT(INDEX(輔助計算!$D:$D, (MATCH(518, 輔助計算!$G$2:$G$801, 0)+1))/IF(INDEX(ERP資料!$G:$G, (MATCH(518, 輔助計算!$G$2:$G$801, 0)+1))&lt;100, IF(INDEX(ERP資料!$G:$G, (MATCH(518, 輔助計算!$G$2:$G$801, 0)+1))&lt;=31,3,IF(INDEX(ERP資料!$G:$G, (MATCH(518, 輔助計算!$G$2:$G$801, 0)+1))&lt;=46.5,2,1)), IF(INDEX(ERP資料!$G:$G, (MATCH(518, 輔助計算!$G$2:$G$801, 0)+1))&lt;=790,3,IF(INDEX(ERP資料!$G:$G, (MATCH(518, 輔助計算!$G$2:$G$801, 0)+1))&lt;=1181,2,1))))&gt;0, IF(IF(INDEX(ERP資料!$G:$G, (MATCH(518, 輔助計算!$G$2:$G$801, 0)+1))&lt;100, IF(INDEX(ERP資料!$G:$G, (MATCH(518, 輔助計算!$G$2:$G$801, 0)+1))&lt;=31,3,IF(INDEX(ERP資料!$G:$G, (MATCH(518, 輔助計算!$G$2:$G$801, 0)+1))&lt;=46.5,2,1)), IF(INDEX(ERP資料!$G:$G, (MATCH(518, 輔助計算!$G$2:$G$801, 0)+1))&lt;=790,3,IF(INDEX(ERP資料!$G:$G, (MATCH(518, 輔助計算!$G$2:$G$801, 0)+1))&lt;=1181,2,1)))=1,TEXT(INDEX(ERP資料!$G:$G, (MATCH(518, 輔助計算!$G$2:$G$801, 0)+1)),"0.##"),IF(IF(INDEX(ERP資料!$G:$G, (MATCH(518, 輔助計算!$G$2:$G$801, 0)+1))&lt;100, IF(INDEX(ERP資料!$G:$G, (MATCH(518, 輔助計算!$G$2:$G$801, 0)+1))&lt;=31,3,IF(INDEX(ERP資料!$G:$G, (MATCH(518, 輔助計算!$G$2:$G$801, 0)+1))&lt;=46.5,2,1)), IF(INDEX(ERP資料!$G:$G, (MATCH(518, 輔助計算!$G$2:$G$801, 0)+1))&lt;=790,3,IF(INDEX(ERP資料!$G:$G, (MATCH(518, 輔助計算!$G$2:$G$801, 0)+1))&lt;=1181,2,1)))=2,TEXT(INDEX(ERP資料!$G:$G, (MATCH(518, 輔助計算!$G$2:$G$801, 0)+1)),"0.##")&amp;"+"&amp;TEXT(INDEX(ERP資料!$G:$G, (MATCH(518, 輔助計算!$G$2:$G$801, 0)+1)),"0.##"),TEXT(INDEX(ERP資料!$G:$G, (MATCH(518, 輔助計算!$G$2:$G$801, 0)+1)),"0.##")&amp;"+"&amp;TEXT(INDEX(ERP資料!$G:$G, (MATCH(518, 輔助計算!$G$2:$G$801, 0)+1)),"0.##")&amp;"+"&amp;TEXT(INDEX(ERP資料!$G:$G, (MATCH(518, 輔助計算!$G$2:$G$801, 0)+1)),"0.##")))&amp;"-"&amp;INT(INDEX(輔助計算!$D:$D, (MATCH(518, 輔助計算!$G$2:$G$801, 0)+1))/IF(INDEX(ERP資料!$G:$G, (MATCH(518, 輔助計算!$G$2:$G$801, 0)+1))&lt;100, IF(INDEX(ERP資料!$G:$G, (MATCH(518, 輔助計算!$G$2:$G$801, 0)+1))&lt;=31,3,IF(INDEX(ERP資料!$G:$G, (MATCH(518, 輔助計算!$G$2:$G$801, 0)+1))&lt;=46.5,2,1)), IF(INDEX(ERP資料!$G:$G, (MATCH(518, 輔助計算!$G$2:$G$801, 0)+1))&lt;=790,3,IF(INDEX(ERP資料!$G:$G, (MATCH(518, 輔助計算!$G$2:$G$801, 0)+1))&lt;=1181,2,1)))), "")&lt;&gt;"",IF(MOD(INDEX(輔助計算!$D:$D, (MATCH(518, 輔助計算!$G$2:$G$801, 0)+1)),IF(INDEX(ERP資料!$G:$G, (MATCH(518, 輔助計算!$G$2:$G$801, 0)+1))&lt;100, IF(INDEX(ERP資料!$G:$G, (MATCH(518, 輔助計算!$G$2:$G$801, 0)+1))&lt;=31,3,IF(INDEX(ERP資料!$G:$G, (MATCH(518, 輔助計算!$G$2:$G$801, 0)+1))&lt;=46.5,2,1)), IF(INDEX(ERP資料!$G:$G, (MATCH(518, 輔助計算!$G$2:$G$801, 0)+1))&lt;=790,3,IF(INDEX(ERP資料!$G:$G, (MATCH(518, 輔助計算!$G$2:$G$801, 0)+1))&lt;=1181,2,1))))=0,"",IF(MOD(INDEX(輔助計算!$D:$D, (MATCH(518, 輔助計算!$G$2:$G$801, 0)+1)),IF(INDEX(ERP資料!$G:$G, (MATCH(518, 輔助計算!$G$2:$G$801, 0)+1))&lt;100, IF(INDEX(ERP資料!$G:$G, (MATCH(518, 輔助計算!$G$2:$G$801, 0)+1))&lt;=31,3,IF(INDEX(ERP資料!$G:$G, (MATCH(518, 輔助計算!$G$2:$G$801, 0)+1))&lt;=46.5,2,1)), IF(INDEX(ERP資料!$G:$G, (MATCH(518, 輔助計算!$G$2:$G$801, 0)+1))&lt;=790,3,IF(INDEX(ERP資料!$G:$G, (MATCH(518, 輔助計算!$G$2:$G$801, 0)+1))&lt;=1181,2,1))))=0,"",IF(MOD(INDEX(輔助計算!$D:$D, (MATCH(518, 輔助計算!$G$2:$G$801, 0)+1)),IF(INDEX(ERP資料!$G:$G, (MATCH(518, 輔助計算!$G$2:$G$801, 0)+1))&lt;100, IF(INDEX(ERP資料!$G:$G, (MATCH(518, 輔助計算!$G$2:$G$801, 0)+1))&lt;=31,3,IF(INDEX(ERP資料!$G:$G, (MATCH(518, 輔助計算!$G$2:$G$801, 0)+1))&lt;=46.5,2,1)), IF(INDEX(ERP資料!$G:$G, (MATCH(518, 輔助計算!$G$2:$G$801, 0)+1))&lt;=790,3,IF(INDEX(ERP資料!$G:$G, (MATCH(518, 輔助計算!$G$2:$G$801, 0)+1))&lt;=1181,2,1))))=1,TEXT(INDEX(ERP資料!$G:$G, (MATCH(518, 輔助計算!$G$2:$G$801, 0)+1)),"0.##"),IF(MOD(INDEX(輔助計算!$D:$D, (MATCH(518, 輔助計算!$G$2:$G$801, 0)+1)),IF(INDEX(ERP資料!$G:$G, (MATCH(518, 輔助計算!$G$2:$G$801, 0)+1))&lt;100, IF(INDEX(ERP資料!$G:$G, (MATCH(518, 輔助計算!$G$2:$G$801, 0)+1))&lt;=31,3,IF(INDEX(ERP資料!$G:$G, (MATCH(518, 輔助計算!$G$2:$G$801, 0)+1))&lt;=46.5,2,1)), IF(INDEX(ERP資料!$G:$G, (MATCH(518, 輔助計算!$G$2:$G$801, 0)+1))&lt;=790,3,IF(INDEX(ERP資料!$G:$G, (MATCH(518, 輔助計算!$G$2:$G$801, 0)+1))&lt;=1181,2,1))))=2,TEXT(INDEX(ERP資料!$G:$G, (MATCH(518, 輔助計算!$G$2:$G$801, 0)+1)),"0.##")&amp;"+"&amp;TEXT(INDEX(ERP資料!$G:$G, (MATCH(518, 輔助計算!$G$2:$G$801, 0)+1)),"0.##"),TEXT(INDEX(ERP資料!$G:$G, (MATCH(518, 輔助計算!$G$2:$G$801, 0)+1)),"0.##")&amp;"+"&amp;TEXT(INDEX(ERP資料!$G:$G, (MATCH(518, 輔助計算!$G$2:$G$801, 0)+1)),"0.##")&amp;"+"&amp;TEXT(INDEX(ERP資料!$G:$G, (MATCH(518, 輔助計算!$G$2:$G$801, 0)+1)),"0.##"))))&amp;"-1")&lt;&gt;""),"  ","")&amp;IF(MOD(INDEX(輔助計算!$D:$D, (MATCH(518, 輔助計算!$G$2:$G$801, 0)+1)),IF(INDEX(ERP資料!$G:$G, (MATCH(518, 輔助計算!$G$2:$G$801, 0)+1))&lt;100, IF(INDEX(ERP資料!$G:$G, (MATCH(518, 輔助計算!$G$2:$G$801, 0)+1))&lt;=31,3,IF(INDEX(ERP資料!$G:$G, (MATCH(518, 輔助計算!$G$2:$G$801, 0)+1))&lt;=46.5,2,1)), IF(INDEX(ERP資料!$G:$G, (MATCH(518, 輔助計算!$G$2:$G$801, 0)+1))&lt;=790,3,IF(INDEX(ERP資料!$G:$G, (MATCH(518, 輔助計算!$G$2:$G$801, 0)+1))&lt;=1181,2,1))))=0,"",IF(MOD(INDEX(輔助計算!$D:$D, (MATCH(518, 輔助計算!$G$2:$G$801, 0)+1)),IF(INDEX(ERP資料!$G:$G, (MATCH(518, 輔助計算!$G$2:$G$801, 0)+1))&lt;100, IF(INDEX(ERP資料!$G:$G, (MATCH(518, 輔助計算!$G$2:$G$801, 0)+1))&lt;=31,3,IF(INDEX(ERP資料!$G:$G, (MATCH(518, 輔助計算!$G$2:$G$801, 0)+1))&lt;=46.5,2,1)), IF(INDEX(ERP資料!$G:$G, (MATCH(518, 輔助計算!$G$2:$G$801, 0)+1))&lt;=790,3,IF(INDEX(ERP資料!$G:$G, (MATCH(518, 輔助計算!$G$2:$G$801, 0)+1))&lt;=1181,2,1))))=0,"",IF(MOD(INDEX(輔助計算!$D:$D, (MATCH(518, 輔助計算!$G$2:$G$801, 0)+1)),IF(INDEX(ERP資料!$G:$G, (MATCH(518, 輔助計算!$G$2:$G$801, 0)+1))&lt;100, IF(INDEX(ERP資料!$G:$G, (MATCH(518, 輔助計算!$G$2:$G$801, 0)+1))&lt;=31,3,IF(INDEX(ERP資料!$G:$G, (MATCH(518, 輔助計算!$G$2:$G$801, 0)+1))&lt;=46.5,2,1)), IF(INDEX(ERP資料!$G:$G, (MATCH(518, 輔助計算!$G$2:$G$801, 0)+1))&lt;=790,3,IF(INDEX(ERP資料!$G:$G, (MATCH(518, 輔助計算!$G$2:$G$801, 0)+1))&lt;=1181,2,1))))=1,TEXT(INDEX(ERP資料!$G:$G, (MATCH(518, 輔助計算!$G$2:$G$801, 0)+1)),"0.##"),IF(MOD(INDEX(輔助計算!$D:$D, (MATCH(518, 輔助計算!$G$2:$G$801, 0)+1)),IF(INDEX(ERP資料!$G:$G, (MATCH(518, 輔助計算!$G$2:$G$801, 0)+1))&lt;100, IF(INDEX(ERP資料!$G:$G, (MATCH(518, 輔助計算!$G$2:$G$801, 0)+1))&lt;=31,3,IF(INDEX(ERP資料!$G:$G, (MATCH(518, 輔助計算!$G$2:$G$801, 0)+1))&lt;=46.5,2,1)), IF(INDEX(ERP資料!$G:$G, (MATCH(518, 輔助計算!$G$2:$G$801, 0)+1))&lt;=790,3,IF(INDEX(ERP資料!$G:$G, (MATCH(518, 輔助計算!$G$2:$G$801, 0)+1))&lt;=1181,2,1))))=2,TEXT(INDEX(ERP資料!$G:$G, (MATCH(518, 輔助計算!$G$2:$G$801, 0)+1)),"0.##")&amp;"+"&amp;TEXT(INDEX(ERP資料!$G:$G, (MATCH(518, 輔助計算!$G$2:$G$801, 0)+1)),"0.##"),TEXT(INDEX(ERP資料!$G:$G, (MATCH(518, 輔助計算!$G$2:$G$801, 0)+1)),"0.##")&amp;"+"&amp;TEXT(INDEX(ERP資料!$G:$G, (MATCH(518, 輔助計算!$G$2:$G$801, 0)+1)),"0.##")&amp;"+"&amp;TEXT(INDEX(ERP資料!$G:$G, (MATCH(518, 輔助計算!$G$2:$G$801, 0)+1)),"0.##"))))&amp;"-1")), ""), "")</f>
        <v/>
      </c>
      <c r="K519" s="16" t="n"/>
      <c r="L519" s="14">
        <f>IFERROR(IF(AND(IFERROR(INDEX(ERP資料!$A:$A, (MATCH(518, 輔助計算!$G$2:$G$801, 0)+1)), "")&lt;&gt;"", IFERROR(INDEX(ERP資料!$A:$A, (MATCH(518, 輔助計算!$G$2:$G$801, 0)+1)), "")&lt;&gt;IFERROR(INDEX(ERP資料!$A:$A, MATCH(517, 輔助計算!$G$2:$G$801, 0)+1), "")), INDEX(ERP資料!$B:$B, (MATCH(518, 輔助計算!$G$2:$G$801, 0)+1)), ""), "")</f>
        <v/>
      </c>
      <c r="M519" s="17" t="n"/>
    </row>
    <row r="520">
      <c r="A520" s="10">
        <f>IFERROR(IF(AND(IFERROR(INDEX(ERP資料!$A:$A, (MATCH(519, 輔助計算!$G$2:$G$801, 0)+1)), "")&lt;&gt;"", IFERROR(INDEX(ERP資料!$A:$A, (MATCH(519, 輔助計算!$G$2:$G$801, 0)+1)), "")&lt;&gt;IFERROR(INDEX(ERP資料!$A:$A, MATCH(518, 輔助計算!$G$2:$G$801, 0)+1), "")), IFERROR(INDEX(ERP資料!$A:$A, (MATCH(519, 輔助計算!$G$2:$G$801, 0)+1)), ""), ""), "")</f>
        <v/>
      </c>
      <c r="B520" s="10">
        <f>IFERROR(IF(AND(IFERROR(INDEX(ERP資料!$A:$A, (MATCH(519, 輔助計算!$G$2:$G$801, 0)+1)), "")&lt;&gt;"", IFERROR(INDEX(ERP資料!$A:$A, (MATCH(519, 輔助計算!$G$2:$G$801, 0)+1)), "")&lt;&gt;IFERROR(INDEX(ERP資料!$A:$A, MATCH(518, 輔助計算!$G$2:$G$801, 0)+1), "")), INDEX(ERP資料!$S:$S, (MATCH(519, 輔助計算!$G$2:$G$801, 0)+1)), ""), "")</f>
        <v/>
      </c>
      <c r="C520" s="19">
        <f>IFERROR(IF(AND(IFERROR(INDEX(ERP資料!$A:$A, (MATCH(519, 輔助計算!$G$2:$G$801, 0)+1)), "")&lt;&gt;"", IFERROR(INDEX(ERP資料!$A:$A, (MATCH(519, 輔助計算!$G$2:$G$801, 0)+1)), "")&lt;&gt;IFERROR(INDEX(ERP資料!$A:$A, MATCH(518, 輔助計算!$G$2:$G$801, 0)+1), "")), IFERROR(VLOOKUP(LEFT(INDEX(ERP資料!$S:$S, (MATCH(519, 輔助計算!$G$2:$G$801, 0)+1)), 4), 紙管對照表!$A:$C, 3, FALSE), ""), ""), "")</f>
        <v/>
      </c>
      <c r="D520" s="16" t="n"/>
      <c r="E520" s="10">
        <f>IFERROR(IF(INDEX(ERP資料!$H:$H, (MATCH(519, 輔助計算!$G$2:$G$801, 0)+1))="","",INDEX(ERP資料!$H:$H, (MATCH(519, 輔助計算!$G$2:$G$801, 0)+1))), "")</f>
        <v/>
      </c>
      <c r="F520" s="10">
        <f>IFERROR(IF(INDEX(ERP資料!$E:$E, (MATCH(519, 輔助計算!$G$2:$G$801, 0)+1))="","",TRIM(INDEX(ERP資料!$E:$E, (MATCH(519, 輔助計算!$G$2:$G$801, 0)+1)))), "")</f>
        <v/>
      </c>
      <c r="G520" s="10">
        <f>IFERROR(IF(INDEX(ERP資料!$F:$F, (MATCH(519, 輔助計算!$G$2:$G$801, 0)+1))="","",INDEX(ERP資料!$F:$F, (MATCH(519, 輔助計算!$G$2:$G$801, 0)+1))), "")</f>
        <v/>
      </c>
      <c r="H520" s="10">
        <f>IFERROR(IF(INDEX(ERP資料!$G:$G, (MATCH(519, 輔助計算!$G$2:$G$801, 0)+1))="","",INDEX(ERP資料!$G:$G, (MATCH(519, 輔助計算!$G$2:$G$801, 0)+1))), "")</f>
        <v/>
      </c>
      <c r="I520" s="15">
        <f>IFERROR(INDEX(輔助計算!$D:$D, (MATCH(519, 輔助計算!$G$2:$G$801, 0)+1)), "")</f>
        <v/>
      </c>
      <c r="J520" s="15">
        <f>IFERROR(IF(AND(INDEX(輔助計算!$D:$D, (MATCH(519, 輔助計算!$G$2:$G$801, 0)+1))&lt;&gt;"", INDEX(ERP資料!$G:$G, (MATCH(519, 輔助計算!$G$2:$G$801, 0)+1))&lt;&gt;""), TRIM(IF(INT(INDEX(輔助計算!$D:$D, (MATCH(519, 輔助計算!$G$2:$G$801, 0)+1))/IF(INDEX(ERP資料!$G:$G, (MATCH(519, 輔助計算!$G$2:$G$801, 0)+1))&lt;100, IF(INDEX(ERP資料!$G:$G, (MATCH(519, 輔助計算!$G$2:$G$801, 0)+1))&lt;=31,3,IF(INDEX(ERP資料!$G:$G, (MATCH(519, 輔助計算!$G$2:$G$801, 0)+1))&lt;=46.5,2,1)), IF(INDEX(ERP資料!$G:$G, (MATCH(519, 輔助計算!$G$2:$G$801, 0)+1))&lt;=790,3,IF(INDEX(ERP資料!$G:$G, (MATCH(519, 輔助計算!$G$2:$G$801, 0)+1))&lt;=1181,2,1))))&gt;0, IF(IF(INDEX(ERP資料!$G:$G, (MATCH(519, 輔助計算!$G$2:$G$801, 0)+1))&lt;100, IF(INDEX(ERP資料!$G:$G, (MATCH(519, 輔助計算!$G$2:$G$801, 0)+1))&lt;=31,3,IF(INDEX(ERP資料!$G:$G, (MATCH(519, 輔助計算!$G$2:$G$801, 0)+1))&lt;=46.5,2,1)), IF(INDEX(ERP資料!$G:$G, (MATCH(519, 輔助計算!$G$2:$G$801, 0)+1))&lt;=790,3,IF(INDEX(ERP資料!$G:$G, (MATCH(519, 輔助計算!$G$2:$G$801, 0)+1))&lt;=1181,2,1)))=1,TEXT(INDEX(ERP資料!$G:$G, (MATCH(519, 輔助計算!$G$2:$G$801, 0)+1)),"0.##"),IF(IF(INDEX(ERP資料!$G:$G, (MATCH(519, 輔助計算!$G$2:$G$801, 0)+1))&lt;100, IF(INDEX(ERP資料!$G:$G, (MATCH(519, 輔助計算!$G$2:$G$801, 0)+1))&lt;=31,3,IF(INDEX(ERP資料!$G:$G, (MATCH(519, 輔助計算!$G$2:$G$801, 0)+1))&lt;=46.5,2,1)), IF(INDEX(ERP資料!$G:$G, (MATCH(519, 輔助計算!$G$2:$G$801, 0)+1))&lt;=790,3,IF(INDEX(ERP資料!$G:$G, (MATCH(519, 輔助計算!$G$2:$G$801, 0)+1))&lt;=1181,2,1)))=2,TEXT(INDEX(ERP資料!$G:$G, (MATCH(519, 輔助計算!$G$2:$G$801, 0)+1)),"0.##")&amp;"+"&amp;TEXT(INDEX(ERP資料!$G:$G, (MATCH(519, 輔助計算!$G$2:$G$801, 0)+1)),"0.##"),TEXT(INDEX(ERP資料!$G:$G, (MATCH(519, 輔助計算!$G$2:$G$801, 0)+1)),"0.##")&amp;"+"&amp;TEXT(INDEX(ERP資料!$G:$G, (MATCH(519, 輔助計算!$G$2:$G$801, 0)+1)),"0.##")&amp;"+"&amp;TEXT(INDEX(ERP資料!$G:$G, (MATCH(519, 輔助計算!$G$2:$G$801, 0)+1)),"0.##")))&amp;"-"&amp;INT(INDEX(輔助計算!$D:$D, (MATCH(519, 輔助計算!$G$2:$G$801, 0)+1))/IF(INDEX(ERP資料!$G:$G, (MATCH(519, 輔助計算!$G$2:$G$801, 0)+1))&lt;100, IF(INDEX(ERP資料!$G:$G, (MATCH(519, 輔助計算!$G$2:$G$801, 0)+1))&lt;=31,3,IF(INDEX(ERP資料!$G:$G, (MATCH(519, 輔助計算!$G$2:$G$801, 0)+1))&lt;=46.5,2,1)), IF(INDEX(ERP資料!$G:$G, (MATCH(519, 輔助計算!$G$2:$G$801, 0)+1))&lt;=790,3,IF(INDEX(ERP資料!$G:$G, (MATCH(519, 輔助計算!$G$2:$G$801, 0)+1))&lt;=1181,2,1)))), "")&amp;IF(AND(IF(INT(INDEX(輔助計算!$D:$D, (MATCH(519, 輔助計算!$G$2:$G$801, 0)+1))/IF(INDEX(ERP資料!$G:$G, (MATCH(519, 輔助計算!$G$2:$G$801, 0)+1))&lt;100, IF(INDEX(ERP資料!$G:$G, (MATCH(519, 輔助計算!$G$2:$G$801, 0)+1))&lt;=31,3,IF(INDEX(ERP資料!$G:$G, (MATCH(519, 輔助計算!$G$2:$G$801, 0)+1))&lt;=46.5,2,1)), IF(INDEX(ERP資料!$G:$G, (MATCH(519, 輔助計算!$G$2:$G$801, 0)+1))&lt;=790,3,IF(INDEX(ERP資料!$G:$G, (MATCH(519, 輔助計算!$G$2:$G$801, 0)+1))&lt;=1181,2,1))))&gt;0, IF(IF(INDEX(ERP資料!$G:$G, (MATCH(519, 輔助計算!$G$2:$G$801, 0)+1))&lt;100, IF(INDEX(ERP資料!$G:$G, (MATCH(519, 輔助計算!$G$2:$G$801, 0)+1))&lt;=31,3,IF(INDEX(ERP資料!$G:$G, (MATCH(519, 輔助計算!$G$2:$G$801, 0)+1))&lt;=46.5,2,1)), IF(INDEX(ERP資料!$G:$G, (MATCH(519, 輔助計算!$G$2:$G$801, 0)+1))&lt;=790,3,IF(INDEX(ERP資料!$G:$G, (MATCH(519, 輔助計算!$G$2:$G$801, 0)+1))&lt;=1181,2,1)))=1,TEXT(INDEX(ERP資料!$G:$G, (MATCH(519, 輔助計算!$G$2:$G$801, 0)+1)),"0.##"),IF(IF(INDEX(ERP資料!$G:$G, (MATCH(519, 輔助計算!$G$2:$G$801, 0)+1))&lt;100, IF(INDEX(ERP資料!$G:$G, (MATCH(519, 輔助計算!$G$2:$G$801, 0)+1))&lt;=31,3,IF(INDEX(ERP資料!$G:$G, (MATCH(519, 輔助計算!$G$2:$G$801, 0)+1))&lt;=46.5,2,1)), IF(INDEX(ERP資料!$G:$G, (MATCH(519, 輔助計算!$G$2:$G$801, 0)+1))&lt;=790,3,IF(INDEX(ERP資料!$G:$G, (MATCH(519, 輔助計算!$G$2:$G$801, 0)+1))&lt;=1181,2,1)))=2,TEXT(INDEX(ERP資料!$G:$G, (MATCH(519, 輔助計算!$G$2:$G$801, 0)+1)),"0.##")&amp;"+"&amp;TEXT(INDEX(ERP資料!$G:$G, (MATCH(519, 輔助計算!$G$2:$G$801, 0)+1)),"0.##"),TEXT(INDEX(ERP資料!$G:$G, (MATCH(519, 輔助計算!$G$2:$G$801, 0)+1)),"0.##")&amp;"+"&amp;TEXT(INDEX(ERP資料!$G:$G, (MATCH(519, 輔助計算!$G$2:$G$801, 0)+1)),"0.##")&amp;"+"&amp;TEXT(INDEX(ERP資料!$G:$G, (MATCH(519, 輔助計算!$G$2:$G$801, 0)+1)),"0.##")))&amp;"-"&amp;INT(INDEX(輔助計算!$D:$D, (MATCH(519, 輔助計算!$G$2:$G$801, 0)+1))/IF(INDEX(ERP資料!$G:$G, (MATCH(519, 輔助計算!$G$2:$G$801, 0)+1))&lt;100, IF(INDEX(ERP資料!$G:$G, (MATCH(519, 輔助計算!$G$2:$G$801, 0)+1))&lt;=31,3,IF(INDEX(ERP資料!$G:$G, (MATCH(519, 輔助計算!$G$2:$G$801, 0)+1))&lt;=46.5,2,1)), IF(INDEX(ERP資料!$G:$G, (MATCH(519, 輔助計算!$G$2:$G$801, 0)+1))&lt;=790,3,IF(INDEX(ERP資料!$G:$G, (MATCH(519, 輔助計算!$G$2:$G$801, 0)+1))&lt;=1181,2,1)))), "")&lt;&gt;"",IF(MOD(INDEX(輔助計算!$D:$D, (MATCH(519, 輔助計算!$G$2:$G$801, 0)+1)),IF(INDEX(ERP資料!$G:$G, (MATCH(519, 輔助計算!$G$2:$G$801, 0)+1))&lt;100, IF(INDEX(ERP資料!$G:$G, (MATCH(519, 輔助計算!$G$2:$G$801, 0)+1))&lt;=31,3,IF(INDEX(ERP資料!$G:$G, (MATCH(519, 輔助計算!$G$2:$G$801, 0)+1))&lt;=46.5,2,1)), IF(INDEX(ERP資料!$G:$G, (MATCH(519, 輔助計算!$G$2:$G$801, 0)+1))&lt;=790,3,IF(INDEX(ERP資料!$G:$G, (MATCH(519, 輔助計算!$G$2:$G$801, 0)+1))&lt;=1181,2,1))))=0,"",IF(MOD(INDEX(輔助計算!$D:$D, (MATCH(519, 輔助計算!$G$2:$G$801, 0)+1)),IF(INDEX(ERP資料!$G:$G, (MATCH(519, 輔助計算!$G$2:$G$801, 0)+1))&lt;100, IF(INDEX(ERP資料!$G:$G, (MATCH(519, 輔助計算!$G$2:$G$801, 0)+1))&lt;=31,3,IF(INDEX(ERP資料!$G:$G, (MATCH(519, 輔助計算!$G$2:$G$801, 0)+1))&lt;=46.5,2,1)), IF(INDEX(ERP資料!$G:$G, (MATCH(519, 輔助計算!$G$2:$G$801, 0)+1))&lt;=790,3,IF(INDEX(ERP資料!$G:$G, (MATCH(519, 輔助計算!$G$2:$G$801, 0)+1))&lt;=1181,2,1))))=0,"",IF(MOD(INDEX(輔助計算!$D:$D, (MATCH(519, 輔助計算!$G$2:$G$801, 0)+1)),IF(INDEX(ERP資料!$G:$G, (MATCH(519, 輔助計算!$G$2:$G$801, 0)+1))&lt;100, IF(INDEX(ERP資料!$G:$G, (MATCH(519, 輔助計算!$G$2:$G$801, 0)+1))&lt;=31,3,IF(INDEX(ERP資料!$G:$G, (MATCH(519, 輔助計算!$G$2:$G$801, 0)+1))&lt;=46.5,2,1)), IF(INDEX(ERP資料!$G:$G, (MATCH(519, 輔助計算!$G$2:$G$801, 0)+1))&lt;=790,3,IF(INDEX(ERP資料!$G:$G, (MATCH(519, 輔助計算!$G$2:$G$801, 0)+1))&lt;=1181,2,1))))=1,TEXT(INDEX(ERP資料!$G:$G, (MATCH(519, 輔助計算!$G$2:$G$801, 0)+1)),"0.##"),IF(MOD(INDEX(輔助計算!$D:$D, (MATCH(519, 輔助計算!$G$2:$G$801, 0)+1)),IF(INDEX(ERP資料!$G:$G, (MATCH(519, 輔助計算!$G$2:$G$801, 0)+1))&lt;100, IF(INDEX(ERP資料!$G:$G, (MATCH(519, 輔助計算!$G$2:$G$801, 0)+1))&lt;=31,3,IF(INDEX(ERP資料!$G:$G, (MATCH(519, 輔助計算!$G$2:$G$801, 0)+1))&lt;=46.5,2,1)), IF(INDEX(ERP資料!$G:$G, (MATCH(519, 輔助計算!$G$2:$G$801, 0)+1))&lt;=790,3,IF(INDEX(ERP資料!$G:$G, (MATCH(519, 輔助計算!$G$2:$G$801, 0)+1))&lt;=1181,2,1))))=2,TEXT(INDEX(ERP資料!$G:$G, (MATCH(519, 輔助計算!$G$2:$G$801, 0)+1)),"0.##")&amp;"+"&amp;TEXT(INDEX(ERP資料!$G:$G, (MATCH(519, 輔助計算!$G$2:$G$801, 0)+1)),"0.##"),TEXT(INDEX(ERP資料!$G:$G, (MATCH(519, 輔助計算!$G$2:$G$801, 0)+1)),"0.##")&amp;"+"&amp;TEXT(INDEX(ERP資料!$G:$G, (MATCH(519, 輔助計算!$G$2:$G$801, 0)+1)),"0.##")&amp;"+"&amp;TEXT(INDEX(ERP資料!$G:$G, (MATCH(519, 輔助計算!$G$2:$G$801, 0)+1)),"0.##"))))&amp;"-1")&lt;&gt;""),"  ","")&amp;IF(MOD(INDEX(輔助計算!$D:$D, (MATCH(519, 輔助計算!$G$2:$G$801, 0)+1)),IF(INDEX(ERP資料!$G:$G, (MATCH(519, 輔助計算!$G$2:$G$801, 0)+1))&lt;100, IF(INDEX(ERP資料!$G:$G, (MATCH(519, 輔助計算!$G$2:$G$801, 0)+1))&lt;=31,3,IF(INDEX(ERP資料!$G:$G, (MATCH(519, 輔助計算!$G$2:$G$801, 0)+1))&lt;=46.5,2,1)), IF(INDEX(ERP資料!$G:$G, (MATCH(519, 輔助計算!$G$2:$G$801, 0)+1))&lt;=790,3,IF(INDEX(ERP資料!$G:$G, (MATCH(519, 輔助計算!$G$2:$G$801, 0)+1))&lt;=1181,2,1))))=0,"",IF(MOD(INDEX(輔助計算!$D:$D, (MATCH(519, 輔助計算!$G$2:$G$801, 0)+1)),IF(INDEX(ERP資料!$G:$G, (MATCH(519, 輔助計算!$G$2:$G$801, 0)+1))&lt;100, IF(INDEX(ERP資料!$G:$G, (MATCH(519, 輔助計算!$G$2:$G$801, 0)+1))&lt;=31,3,IF(INDEX(ERP資料!$G:$G, (MATCH(519, 輔助計算!$G$2:$G$801, 0)+1))&lt;=46.5,2,1)), IF(INDEX(ERP資料!$G:$G, (MATCH(519, 輔助計算!$G$2:$G$801, 0)+1))&lt;=790,3,IF(INDEX(ERP資料!$G:$G, (MATCH(519, 輔助計算!$G$2:$G$801, 0)+1))&lt;=1181,2,1))))=0,"",IF(MOD(INDEX(輔助計算!$D:$D, (MATCH(519, 輔助計算!$G$2:$G$801, 0)+1)),IF(INDEX(ERP資料!$G:$G, (MATCH(519, 輔助計算!$G$2:$G$801, 0)+1))&lt;100, IF(INDEX(ERP資料!$G:$G, (MATCH(519, 輔助計算!$G$2:$G$801, 0)+1))&lt;=31,3,IF(INDEX(ERP資料!$G:$G, (MATCH(519, 輔助計算!$G$2:$G$801, 0)+1))&lt;=46.5,2,1)), IF(INDEX(ERP資料!$G:$G, (MATCH(519, 輔助計算!$G$2:$G$801, 0)+1))&lt;=790,3,IF(INDEX(ERP資料!$G:$G, (MATCH(519, 輔助計算!$G$2:$G$801, 0)+1))&lt;=1181,2,1))))=1,TEXT(INDEX(ERP資料!$G:$G, (MATCH(519, 輔助計算!$G$2:$G$801, 0)+1)),"0.##"),IF(MOD(INDEX(輔助計算!$D:$D, (MATCH(519, 輔助計算!$G$2:$G$801, 0)+1)),IF(INDEX(ERP資料!$G:$G, (MATCH(519, 輔助計算!$G$2:$G$801, 0)+1))&lt;100, IF(INDEX(ERP資料!$G:$G, (MATCH(519, 輔助計算!$G$2:$G$801, 0)+1))&lt;=31,3,IF(INDEX(ERP資料!$G:$G, (MATCH(519, 輔助計算!$G$2:$G$801, 0)+1))&lt;=46.5,2,1)), IF(INDEX(ERP資料!$G:$G, (MATCH(519, 輔助計算!$G$2:$G$801, 0)+1))&lt;=790,3,IF(INDEX(ERP資料!$G:$G, (MATCH(519, 輔助計算!$G$2:$G$801, 0)+1))&lt;=1181,2,1))))=2,TEXT(INDEX(ERP資料!$G:$G, (MATCH(519, 輔助計算!$G$2:$G$801, 0)+1)),"0.##")&amp;"+"&amp;TEXT(INDEX(ERP資料!$G:$G, (MATCH(519, 輔助計算!$G$2:$G$801, 0)+1)),"0.##"),TEXT(INDEX(ERP資料!$G:$G, (MATCH(519, 輔助計算!$G$2:$G$801, 0)+1)),"0.##")&amp;"+"&amp;TEXT(INDEX(ERP資料!$G:$G, (MATCH(519, 輔助計算!$G$2:$G$801, 0)+1)),"0.##")&amp;"+"&amp;TEXT(INDEX(ERP資料!$G:$G, (MATCH(519, 輔助計算!$G$2:$G$801, 0)+1)),"0.##"))))&amp;"-1")), ""), "")</f>
        <v/>
      </c>
      <c r="K520" s="16" t="n"/>
      <c r="L520" s="14">
        <f>IFERROR(IF(AND(IFERROR(INDEX(ERP資料!$A:$A, (MATCH(519, 輔助計算!$G$2:$G$801, 0)+1)), "")&lt;&gt;"", IFERROR(INDEX(ERP資料!$A:$A, (MATCH(519, 輔助計算!$G$2:$G$801, 0)+1)), "")&lt;&gt;IFERROR(INDEX(ERP資料!$A:$A, MATCH(518, 輔助計算!$G$2:$G$801, 0)+1), "")), INDEX(ERP資料!$B:$B, (MATCH(519, 輔助計算!$G$2:$G$801, 0)+1)), ""), "")</f>
        <v/>
      </c>
      <c r="M520" s="17" t="n"/>
    </row>
    <row r="521">
      <c r="A521" s="10">
        <f>IFERROR(IF(AND(IFERROR(INDEX(ERP資料!$A:$A, (MATCH(520, 輔助計算!$G$2:$G$801, 0)+1)), "")&lt;&gt;"", IFERROR(INDEX(ERP資料!$A:$A, (MATCH(520, 輔助計算!$G$2:$G$801, 0)+1)), "")&lt;&gt;IFERROR(INDEX(ERP資料!$A:$A, MATCH(519, 輔助計算!$G$2:$G$801, 0)+1), "")), IFERROR(INDEX(ERP資料!$A:$A, (MATCH(520, 輔助計算!$G$2:$G$801, 0)+1)), ""), ""), "")</f>
        <v/>
      </c>
      <c r="B521" s="10">
        <f>IFERROR(IF(AND(IFERROR(INDEX(ERP資料!$A:$A, (MATCH(520, 輔助計算!$G$2:$G$801, 0)+1)), "")&lt;&gt;"", IFERROR(INDEX(ERP資料!$A:$A, (MATCH(520, 輔助計算!$G$2:$G$801, 0)+1)), "")&lt;&gt;IFERROR(INDEX(ERP資料!$A:$A, MATCH(519, 輔助計算!$G$2:$G$801, 0)+1), "")), INDEX(ERP資料!$S:$S, (MATCH(520, 輔助計算!$G$2:$G$801, 0)+1)), ""), "")</f>
        <v/>
      </c>
      <c r="C521" s="19">
        <f>IFERROR(IF(AND(IFERROR(INDEX(ERP資料!$A:$A, (MATCH(520, 輔助計算!$G$2:$G$801, 0)+1)), "")&lt;&gt;"", IFERROR(INDEX(ERP資料!$A:$A, (MATCH(520, 輔助計算!$G$2:$G$801, 0)+1)), "")&lt;&gt;IFERROR(INDEX(ERP資料!$A:$A, MATCH(519, 輔助計算!$G$2:$G$801, 0)+1), "")), IFERROR(VLOOKUP(LEFT(INDEX(ERP資料!$S:$S, (MATCH(520, 輔助計算!$G$2:$G$801, 0)+1)), 4), 紙管對照表!$A:$C, 3, FALSE), ""), ""), "")</f>
        <v/>
      </c>
      <c r="D521" s="16" t="n"/>
      <c r="E521" s="10">
        <f>IFERROR(IF(INDEX(ERP資料!$H:$H, (MATCH(520, 輔助計算!$G$2:$G$801, 0)+1))="","",INDEX(ERP資料!$H:$H, (MATCH(520, 輔助計算!$G$2:$G$801, 0)+1))), "")</f>
        <v/>
      </c>
      <c r="F521" s="10">
        <f>IFERROR(IF(INDEX(ERP資料!$E:$E, (MATCH(520, 輔助計算!$G$2:$G$801, 0)+1))="","",TRIM(INDEX(ERP資料!$E:$E, (MATCH(520, 輔助計算!$G$2:$G$801, 0)+1)))), "")</f>
        <v/>
      </c>
      <c r="G521" s="10">
        <f>IFERROR(IF(INDEX(ERP資料!$F:$F, (MATCH(520, 輔助計算!$G$2:$G$801, 0)+1))="","",INDEX(ERP資料!$F:$F, (MATCH(520, 輔助計算!$G$2:$G$801, 0)+1))), "")</f>
        <v/>
      </c>
      <c r="H521" s="10">
        <f>IFERROR(IF(INDEX(ERP資料!$G:$G, (MATCH(520, 輔助計算!$G$2:$G$801, 0)+1))="","",INDEX(ERP資料!$G:$G, (MATCH(520, 輔助計算!$G$2:$G$801, 0)+1))), "")</f>
        <v/>
      </c>
      <c r="I521" s="15">
        <f>IFERROR(INDEX(輔助計算!$D:$D, (MATCH(520, 輔助計算!$G$2:$G$801, 0)+1)), "")</f>
        <v/>
      </c>
      <c r="J521" s="15">
        <f>IFERROR(IF(AND(INDEX(輔助計算!$D:$D, (MATCH(520, 輔助計算!$G$2:$G$801, 0)+1))&lt;&gt;"", INDEX(ERP資料!$G:$G, (MATCH(520, 輔助計算!$G$2:$G$801, 0)+1))&lt;&gt;""), TRIM(IF(INT(INDEX(輔助計算!$D:$D, (MATCH(520, 輔助計算!$G$2:$G$801, 0)+1))/IF(INDEX(ERP資料!$G:$G, (MATCH(520, 輔助計算!$G$2:$G$801, 0)+1))&lt;100, IF(INDEX(ERP資料!$G:$G, (MATCH(520, 輔助計算!$G$2:$G$801, 0)+1))&lt;=31,3,IF(INDEX(ERP資料!$G:$G, (MATCH(520, 輔助計算!$G$2:$G$801, 0)+1))&lt;=46.5,2,1)), IF(INDEX(ERP資料!$G:$G, (MATCH(520, 輔助計算!$G$2:$G$801, 0)+1))&lt;=790,3,IF(INDEX(ERP資料!$G:$G, (MATCH(520, 輔助計算!$G$2:$G$801, 0)+1))&lt;=1181,2,1))))&gt;0, IF(IF(INDEX(ERP資料!$G:$G, (MATCH(520, 輔助計算!$G$2:$G$801, 0)+1))&lt;100, IF(INDEX(ERP資料!$G:$G, (MATCH(520, 輔助計算!$G$2:$G$801, 0)+1))&lt;=31,3,IF(INDEX(ERP資料!$G:$G, (MATCH(520, 輔助計算!$G$2:$G$801, 0)+1))&lt;=46.5,2,1)), IF(INDEX(ERP資料!$G:$G, (MATCH(520, 輔助計算!$G$2:$G$801, 0)+1))&lt;=790,3,IF(INDEX(ERP資料!$G:$G, (MATCH(520, 輔助計算!$G$2:$G$801, 0)+1))&lt;=1181,2,1)))=1,TEXT(INDEX(ERP資料!$G:$G, (MATCH(520, 輔助計算!$G$2:$G$801, 0)+1)),"0.##"),IF(IF(INDEX(ERP資料!$G:$G, (MATCH(520, 輔助計算!$G$2:$G$801, 0)+1))&lt;100, IF(INDEX(ERP資料!$G:$G, (MATCH(520, 輔助計算!$G$2:$G$801, 0)+1))&lt;=31,3,IF(INDEX(ERP資料!$G:$G, (MATCH(520, 輔助計算!$G$2:$G$801, 0)+1))&lt;=46.5,2,1)), IF(INDEX(ERP資料!$G:$G, (MATCH(520, 輔助計算!$G$2:$G$801, 0)+1))&lt;=790,3,IF(INDEX(ERP資料!$G:$G, (MATCH(520, 輔助計算!$G$2:$G$801, 0)+1))&lt;=1181,2,1)))=2,TEXT(INDEX(ERP資料!$G:$G, (MATCH(520, 輔助計算!$G$2:$G$801, 0)+1)),"0.##")&amp;"+"&amp;TEXT(INDEX(ERP資料!$G:$G, (MATCH(520, 輔助計算!$G$2:$G$801, 0)+1)),"0.##"),TEXT(INDEX(ERP資料!$G:$G, (MATCH(520, 輔助計算!$G$2:$G$801, 0)+1)),"0.##")&amp;"+"&amp;TEXT(INDEX(ERP資料!$G:$G, (MATCH(520, 輔助計算!$G$2:$G$801, 0)+1)),"0.##")&amp;"+"&amp;TEXT(INDEX(ERP資料!$G:$G, (MATCH(520, 輔助計算!$G$2:$G$801, 0)+1)),"0.##")))&amp;"-"&amp;INT(INDEX(輔助計算!$D:$D, (MATCH(520, 輔助計算!$G$2:$G$801, 0)+1))/IF(INDEX(ERP資料!$G:$G, (MATCH(520, 輔助計算!$G$2:$G$801, 0)+1))&lt;100, IF(INDEX(ERP資料!$G:$G, (MATCH(520, 輔助計算!$G$2:$G$801, 0)+1))&lt;=31,3,IF(INDEX(ERP資料!$G:$G, (MATCH(520, 輔助計算!$G$2:$G$801, 0)+1))&lt;=46.5,2,1)), IF(INDEX(ERP資料!$G:$G, (MATCH(520, 輔助計算!$G$2:$G$801, 0)+1))&lt;=790,3,IF(INDEX(ERP資料!$G:$G, (MATCH(520, 輔助計算!$G$2:$G$801, 0)+1))&lt;=1181,2,1)))), "")&amp;IF(AND(IF(INT(INDEX(輔助計算!$D:$D, (MATCH(520, 輔助計算!$G$2:$G$801, 0)+1))/IF(INDEX(ERP資料!$G:$G, (MATCH(520, 輔助計算!$G$2:$G$801, 0)+1))&lt;100, IF(INDEX(ERP資料!$G:$G, (MATCH(520, 輔助計算!$G$2:$G$801, 0)+1))&lt;=31,3,IF(INDEX(ERP資料!$G:$G, (MATCH(520, 輔助計算!$G$2:$G$801, 0)+1))&lt;=46.5,2,1)), IF(INDEX(ERP資料!$G:$G, (MATCH(520, 輔助計算!$G$2:$G$801, 0)+1))&lt;=790,3,IF(INDEX(ERP資料!$G:$G, (MATCH(520, 輔助計算!$G$2:$G$801, 0)+1))&lt;=1181,2,1))))&gt;0, IF(IF(INDEX(ERP資料!$G:$G, (MATCH(520, 輔助計算!$G$2:$G$801, 0)+1))&lt;100, IF(INDEX(ERP資料!$G:$G, (MATCH(520, 輔助計算!$G$2:$G$801, 0)+1))&lt;=31,3,IF(INDEX(ERP資料!$G:$G, (MATCH(520, 輔助計算!$G$2:$G$801, 0)+1))&lt;=46.5,2,1)), IF(INDEX(ERP資料!$G:$G, (MATCH(520, 輔助計算!$G$2:$G$801, 0)+1))&lt;=790,3,IF(INDEX(ERP資料!$G:$G, (MATCH(520, 輔助計算!$G$2:$G$801, 0)+1))&lt;=1181,2,1)))=1,TEXT(INDEX(ERP資料!$G:$G, (MATCH(520, 輔助計算!$G$2:$G$801, 0)+1)),"0.##"),IF(IF(INDEX(ERP資料!$G:$G, (MATCH(520, 輔助計算!$G$2:$G$801, 0)+1))&lt;100, IF(INDEX(ERP資料!$G:$G, (MATCH(520, 輔助計算!$G$2:$G$801, 0)+1))&lt;=31,3,IF(INDEX(ERP資料!$G:$G, (MATCH(520, 輔助計算!$G$2:$G$801, 0)+1))&lt;=46.5,2,1)), IF(INDEX(ERP資料!$G:$G, (MATCH(520, 輔助計算!$G$2:$G$801, 0)+1))&lt;=790,3,IF(INDEX(ERP資料!$G:$G, (MATCH(520, 輔助計算!$G$2:$G$801, 0)+1))&lt;=1181,2,1)))=2,TEXT(INDEX(ERP資料!$G:$G, (MATCH(520, 輔助計算!$G$2:$G$801, 0)+1)),"0.##")&amp;"+"&amp;TEXT(INDEX(ERP資料!$G:$G, (MATCH(520, 輔助計算!$G$2:$G$801, 0)+1)),"0.##"),TEXT(INDEX(ERP資料!$G:$G, (MATCH(520, 輔助計算!$G$2:$G$801, 0)+1)),"0.##")&amp;"+"&amp;TEXT(INDEX(ERP資料!$G:$G, (MATCH(520, 輔助計算!$G$2:$G$801, 0)+1)),"0.##")&amp;"+"&amp;TEXT(INDEX(ERP資料!$G:$G, (MATCH(520, 輔助計算!$G$2:$G$801, 0)+1)),"0.##")))&amp;"-"&amp;INT(INDEX(輔助計算!$D:$D, (MATCH(520, 輔助計算!$G$2:$G$801, 0)+1))/IF(INDEX(ERP資料!$G:$G, (MATCH(520, 輔助計算!$G$2:$G$801, 0)+1))&lt;100, IF(INDEX(ERP資料!$G:$G, (MATCH(520, 輔助計算!$G$2:$G$801, 0)+1))&lt;=31,3,IF(INDEX(ERP資料!$G:$G, (MATCH(520, 輔助計算!$G$2:$G$801, 0)+1))&lt;=46.5,2,1)), IF(INDEX(ERP資料!$G:$G, (MATCH(520, 輔助計算!$G$2:$G$801, 0)+1))&lt;=790,3,IF(INDEX(ERP資料!$G:$G, (MATCH(520, 輔助計算!$G$2:$G$801, 0)+1))&lt;=1181,2,1)))), "")&lt;&gt;"",IF(MOD(INDEX(輔助計算!$D:$D, (MATCH(520, 輔助計算!$G$2:$G$801, 0)+1)),IF(INDEX(ERP資料!$G:$G, (MATCH(520, 輔助計算!$G$2:$G$801, 0)+1))&lt;100, IF(INDEX(ERP資料!$G:$G, (MATCH(520, 輔助計算!$G$2:$G$801, 0)+1))&lt;=31,3,IF(INDEX(ERP資料!$G:$G, (MATCH(520, 輔助計算!$G$2:$G$801, 0)+1))&lt;=46.5,2,1)), IF(INDEX(ERP資料!$G:$G, (MATCH(520, 輔助計算!$G$2:$G$801, 0)+1))&lt;=790,3,IF(INDEX(ERP資料!$G:$G, (MATCH(520, 輔助計算!$G$2:$G$801, 0)+1))&lt;=1181,2,1))))=0,"",IF(MOD(INDEX(輔助計算!$D:$D, (MATCH(520, 輔助計算!$G$2:$G$801, 0)+1)),IF(INDEX(ERP資料!$G:$G, (MATCH(520, 輔助計算!$G$2:$G$801, 0)+1))&lt;100, IF(INDEX(ERP資料!$G:$G, (MATCH(520, 輔助計算!$G$2:$G$801, 0)+1))&lt;=31,3,IF(INDEX(ERP資料!$G:$G, (MATCH(520, 輔助計算!$G$2:$G$801, 0)+1))&lt;=46.5,2,1)), IF(INDEX(ERP資料!$G:$G, (MATCH(520, 輔助計算!$G$2:$G$801, 0)+1))&lt;=790,3,IF(INDEX(ERP資料!$G:$G, (MATCH(520, 輔助計算!$G$2:$G$801, 0)+1))&lt;=1181,2,1))))=0,"",IF(MOD(INDEX(輔助計算!$D:$D, (MATCH(520, 輔助計算!$G$2:$G$801, 0)+1)),IF(INDEX(ERP資料!$G:$G, (MATCH(520, 輔助計算!$G$2:$G$801, 0)+1))&lt;100, IF(INDEX(ERP資料!$G:$G, (MATCH(520, 輔助計算!$G$2:$G$801, 0)+1))&lt;=31,3,IF(INDEX(ERP資料!$G:$G, (MATCH(520, 輔助計算!$G$2:$G$801, 0)+1))&lt;=46.5,2,1)), IF(INDEX(ERP資料!$G:$G, (MATCH(520, 輔助計算!$G$2:$G$801, 0)+1))&lt;=790,3,IF(INDEX(ERP資料!$G:$G, (MATCH(520, 輔助計算!$G$2:$G$801, 0)+1))&lt;=1181,2,1))))=1,TEXT(INDEX(ERP資料!$G:$G, (MATCH(520, 輔助計算!$G$2:$G$801, 0)+1)),"0.##"),IF(MOD(INDEX(輔助計算!$D:$D, (MATCH(520, 輔助計算!$G$2:$G$801, 0)+1)),IF(INDEX(ERP資料!$G:$G, (MATCH(520, 輔助計算!$G$2:$G$801, 0)+1))&lt;100, IF(INDEX(ERP資料!$G:$G, (MATCH(520, 輔助計算!$G$2:$G$801, 0)+1))&lt;=31,3,IF(INDEX(ERP資料!$G:$G, (MATCH(520, 輔助計算!$G$2:$G$801, 0)+1))&lt;=46.5,2,1)), IF(INDEX(ERP資料!$G:$G, (MATCH(520, 輔助計算!$G$2:$G$801, 0)+1))&lt;=790,3,IF(INDEX(ERP資料!$G:$G, (MATCH(520, 輔助計算!$G$2:$G$801, 0)+1))&lt;=1181,2,1))))=2,TEXT(INDEX(ERP資料!$G:$G, (MATCH(520, 輔助計算!$G$2:$G$801, 0)+1)),"0.##")&amp;"+"&amp;TEXT(INDEX(ERP資料!$G:$G, (MATCH(520, 輔助計算!$G$2:$G$801, 0)+1)),"0.##"),TEXT(INDEX(ERP資料!$G:$G, (MATCH(520, 輔助計算!$G$2:$G$801, 0)+1)),"0.##")&amp;"+"&amp;TEXT(INDEX(ERP資料!$G:$G, (MATCH(520, 輔助計算!$G$2:$G$801, 0)+1)),"0.##")&amp;"+"&amp;TEXT(INDEX(ERP資料!$G:$G, (MATCH(520, 輔助計算!$G$2:$G$801, 0)+1)),"0.##"))))&amp;"-1")&lt;&gt;""),"  ","")&amp;IF(MOD(INDEX(輔助計算!$D:$D, (MATCH(520, 輔助計算!$G$2:$G$801, 0)+1)),IF(INDEX(ERP資料!$G:$G, (MATCH(520, 輔助計算!$G$2:$G$801, 0)+1))&lt;100, IF(INDEX(ERP資料!$G:$G, (MATCH(520, 輔助計算!$G$2:$G$801, 0)+1))&lt;=31,3,IF(INDEX(ERP資料!$G:$G, (MATCH(520, 輔助計算!$G$2:$G$801, 0)+1))&lt;=46.5,2,1)), IF(INDEX(ERP資料!$G:$G, (MATCH(520, 輔助計算!$G$2:$G$801, 0)+1))&lt;=790,3,IF(INDEX(ERP資料!$G:$G, (MATCH(520, 輔助計算!$G$2:$G$801, 0)+1))&lt;=1181,2,1))))=0,"",IF(MOD(INDEX(輔助計算!$D:$D, (MATCH(520, 輔助計算!$G$2:$G$801, 0)+1)),IF(INDEX(ERP資料!$G:$G, (MATCH(520, 輔助計算!$G$2:$G$801, 0)+1))&lt;100, IF(INDEX(ERP資料!$G:$G, (MATCH(520, 輔助計算!$G$2:$G$801, 0)+1))&lt;=31,3,IF(INDEX(ERP資料!$G:$G, (MATCH(520, 輔助計算!$G$2:$G$801, 0)+1))&lt;=46.5,2,1)), IF(INDEX(ERP資料!$G:$G, (MATCH(520, 輔助計算!$G$2:$G$801, 0)+1))&lt;=790,3,IF(INDEX(ERP資料!$G:$G, (MATCH(520, 輔助計算!$G$2:$G$801, 0)+1))&lt;=1181,2,1))))=0,"",IF(MOD(INDEX(輔助計算!$D:$D, (MATCH(520, 輔助計算!$G$2:$G$801, 0)+1)),IF(INDEX(ERP資料!$G:$G, (MATCH(520, 輔助計算!$G$2:$G$801, 0)+1))&lt;100, IF(INDEX(ERP資料!$G:$G, (MATCH(520, 輔助計算!$G$2:$G$801, 0)+1))&lt;=31,3,IF(INDEX(ERP資料!$G:$G, (MATCH(520, 輔助計算!$G$2:$G$801, 0)+1))&lt;=46.5,2,1)), IF(INDEX(ERP資料!$G:$G, (MATCH(520, 輔助計算!$G$2:$G$801, 0)+1))&lt;=790,3,IF(INDEX(ERP資料!$G:$G, (MATCH(520, 輔助計算!$G$2:$G$801, 0)+1))&lt;=1181,2,1))))=1,TEXT(INDEX(ERP資料!$G:$G, (MATCH(520, 輔助計算!$G$2:$G$801, 0)+1)),"0.##"),IF(MOD(INDEX(輔助計算!$D:$D, (MATCH(520, 輔助計算!$G$2:$G$801, 0)+1)),IF(INDEX(ERP資料!$G:$G, (MATCH(520, 輔助計算!$G$2:$G$801, 0)+1))&lt;100, IF(INDEX(ERP資料!$G:$G, (MATCH(520, 輔助計算!$G$2:$G$801, 0)+1))&lt;=31,3,IF(INDEX(ERP資料!$G:$G, (MATCH(520, 輔助計算!$G$2:$G$801, 0)+1))&lt;=46.5,2,1)), IF(INDEX(ERP資料!$G:$G, (MATCH(520, 輔助計算!$G$2:$G$801, 0)+1))&lt;=790,3,IF(INDEX(ERP資料!$G:$G, (MATCH(520, 輔助計算!$G$2:$G$801, 0)+1))&lt;=1181,2,1))))=2,TEXT(INDEX(ERP資料!$G:$G, (MATCH(520, 輔助計算!$G$2:$G$801, 0)+1)),"0.##")&amp;"+"&amp;TEXT(INDEX(ERP資料!$G:$G, (MATCH(520, 輔助計算!$G$2:$G$801, 0)+1)),"0.##"),TEXT(INDEX(ERP資料!$G:$G, (MATCH(520, 輔助計算!$G$2:$G$801, 0)+1)),"0.##")&amp;"+"&amp;TEXT(INDEX(ERP資料!$G:$G, (MATCH(520, 輔助計算!$G$2:$G$801, 0)+1)),"0.##")&amp;"+"&amp;TEXT(INDEX(ERP資料!$G:$G, (MATCH(520, 輔助計算!$G$2:$G$801, 0)+1)),"0.##"))))&amp;"-1")), ""), "")</f>
        <v/>
      </c>
      <c r="K521" s="16" t="n"/>
      <c r="L521" s="14">
        <f>IFERROR(IF(AND(IFERROR(INDEX(ERP資料!$A:$A, (MATCH(520, 輔助計算!$G$2:$G$801, 0)+1)), "")&lt;&gt;"", IFERROR(INDEX(ERP資料!$A:$A, (MATCH(520, 輔助計算!$G$2:$G$801, 0)+1)), "")&lt;&gt;IFERROR(INDEX(ERP資料!$A:$A, MATCH(519, 輔助計算!$G$2:$G$801, 0)+1), "")), INDEX(ERP資料!$B:$B, (MATCH(520, 輔助計算!$G$2:$G$801, 0)+1)), ""), "")</f>
        <v/>
      </c>
      <c r="M521" s="17" t="n"/>
    </row>
    <row r="522">
      <c r="A522" s="10">
        <f>IFERROR(IF(AND(IFERROR(INDEX(ERP資料!$A:$A, (MATCH(521, 輔助計算!$G$2:$G$801, 0)+1)), "")&lt;&gt;"", IFERROR(INDEX(ERP資料!$A:$A, (MATCH(521, 輔助計算!$G$2:$G$801, 0)+1)), "")&lt;&gt;IFERROR(INDEX(ERP資料!$A:$A, MATCH(520, 輔助計算!$G$2:$G$801, 0)+1), "")), IFERROR(INDEX(ERP資料!$A:$A, (MATCH(521, 輔助計算!$G$2:$G$801, 0)+1)), ""), ""), "")</f>
        <v/>
      </c>
      <c r="B522" s="10">
        <f>IFERROR(IF(AND(IFERROR(INDEX(ERP資料!$A:$A, (MATCH(521, 輔助計算!$G$2:$G$801, 0)+1)), "")&lt;&gt;"", IFERROR(INDEX(ERP資料!$A:$A, (MATCH(521, 輔助計算!$G$2:$G$801, 0)+1)), "")&lt;&gt;IFERROR(INDEX(ERP資料!$A:$A, MATCH(520, 輔助計算!$G$2:$G$801, 0)+1), "")), INDEX(ERP資料!$S:$S, (MATCH(521, 輔助計算!$G$2:$G$801, 0)+1)), ""), "")</f>
        <v/>
      </c>
      <c r="C522" s="19">
        <f>IFERROR(IF(AND(IFERROR(INDEX(ERP資料!$A:$A, (MATCH(521, 輔助計算!$G$2:$G$801, 0)+1)), "")&lt;&gt;"", IFERROR(INDEX(ERP資料!$A:$A, (MATCH(521, 輔助計算!$G$2:$G$801, 0)+1)), "")&lt;&gt;IFERROR(INDEX(ERP資料!$A:$A, MATCH(520, 輔助計算!$G$2:$G$801, 0)+1), "")), IFERROR(VLOOKUP(LEFT(INDEX(ERP資料!$S:$S, (MATCH(521, 輔助計算!$G$2:$G$801, 0)+1)), 4), 紙管對照表!$A:$C, 3, FALSE), ""), ""), "")</f>
        <v/>
      </c>
      <c r="D522" s="16" t="n"/>
      <c r="E522" s="10">
        <f>IFERROR(IF(INDEX(ERP資料!$H:$H, (MATCH(521, 輔助計算!$G$2:$G$801, 0)+1))="","",INDEX(ERP資料!$H:$H, (MATCH(521, 輔助計算!$G$2:$G$801, 0)+1))), "")</f>
        <v/>
      </c>
      <c r="F522" s="10">
        <f>IFERROR(IF(INDEX(ERP資料!$E:$E, (MATCH(521, 輔助計算!$G$2:$G$801, 0)+1))="","",TRIM(INDEX(ERP資料!$E:$E, (MATCH(521, 輔助計算!$G$2:$G$801, 0)+1)))), "")</f>
        <v/>
      </c>
      <c r="G522" s="10">
        <f>IFERROR(IF(INDEX(ERP資料!$F:$F, (MATCH(521, 輔助計算!$G$2:$G$801, 0)+1))="","",INDEX(ERP資料!$F:$F, (MATCH(521, 輔助計算!$G$2:$G$801, 0)+1))), "")</f>
        <v/>
      </c>
      <c r="H522" s="10">
        <f>IFERROR(IF(INDEX(ERP資料!$G:$G, (MATCH(521, 輔助計算!$G$2:$G$801, 0)+1))="","",INDEX(ERP資料!$G:$G, (MATCH(521, 輔助計算!$G$2:$G$801, 0)+1))), "")</f>
        <v/>
      </c>
      <c r="I522" s="15">
        <f>IFERROR(INDEX(輔助計算!$D:$D, (MATCH(521, 輔助計算!$G$2:$G$801, 0)+1)), "")</f>
        <v/>
      </c>
      <c r="J522" s="15">
        <f>IFERROR(IF(AND(INDEX(輔助計算!$D:$D, (MATCH(521, 輔助計算!$G$2:$G$801, 0)+1))&lt;&gt;"", INDEX(ERP資料!$G:$G, (MATCH(521, 輔助計算!$G$2:$G$801, 0)+1))&lt;&gt;""), TRIM(IF(INT(INDEX(輔助計算!$D:$D, (MATCH(521, 輔助計算!$G$2:$G$801, 0)+1))/IF(INDEX(ERP資料!$G:$G, (MATCH(521, 輔助計算!$G$2:$G$801, 0)+1))&lt;100, IF(INDEX(ERP資料!$G:$G, (MATCH(521, 輔助計算!$G$2:$G$801, 0)+1))&lt;=31,3,IF(INDEX(ERP資料!$G:$G, (MATCH(521, 輔助計算!$G$2:$G$801, 0)+1))&lt;=46.5,2,1)), IF(INDEX(ERP資料!$G:$G, (MATCH(521, 輔助計算!$G$2:$G$801, 0)+1))&lt;=790,3,IF(INDEX(ERP資料!$G:$G, (MATCH(521, 輔助計算!$G$2:$G$801, 0)+1))&lt;=1181,2,1))))&gt;0, IF(IF(INDEX(ERP資料!$G:$G, (MATCH(521, 輔助計算!$G$2:$G$801, 0)+1))&lt;100, IF(INDEX(ERP資料!$G:$G, (MATCH(521, 輔助計算!$G$2:$G$801, 0)+1))&lt;=31,3,IF(INDEX(ERP資料!$G:$G, (MATCH(521, 輔助計算!$G$2:$G$801, 0)+1))&lt;=46.5,2,1)), IF(INDEX(ERP資料!$G:$G, (MATCH(521, 輔助計算!$G$2:$G$801, 0)+1))&lt;=790,3,IF(INDEX(ERP資料!$G:$G, (MATCH(521, 輔助計算!$G$2:$G$801, 0)+1))&lt;=1181,2,1)))=1,TEXT(INDEX(ERP資料!$G:$G, (MATCH(521, 輔助計算!$G$2:$G$801, 0)+1)),"0.##"),IF(IF(INDEX(ERP資料!$G:$G, (MATCH(521, 輔助計算!$G$2:$G$801, 0)+1))&lt;100, IF(INDEX(ERP資料!$G:$G, (MATCH(521, 輔助計算!$G$2:$G$801, 0)+1))&lt;=31,3,IF(INDEX(ERP資料!$G:$G, (MATCH(521, 輔助計算!$G$2:$G$801, 0)+1))&lt;=46.5,2,1)), IF(INDEX(ERP資料!$G:$G, (MATCH(521, 輔助計算!$G$2:$G$801, 0)+1))&lt;=790,3,IF(INDEX(ERP資料!$G:$G, (MATCH(521, 輔助計算!$G$2:$G$801, 0)+1))&lt;=1181,2,1)))=2,TEXT(INDEX(ERP資料!$G:$G, (MATCH(521, 輔助計算!$G$2:$G$801, 0)+1)),"0.##")&amp;"+"&amp;TEXT(INDEX(ERP資料!$G:$G, (MATCH(521, 輔助計算!$G$2:$G$801, 0)+1)),"0.##"),TEXT(INDEX(ERP資料!$G:$G, (MATCH(521, 輔助計算!$G$2:$G$801, 0)+1)),"0.##")&amp;"+"&amp;TEXT(INDEX(ERP資料!$G:$G, (MATCH(521, 輔助計算!$G$2:$G$801, 0)+1)),"0.##")&amp;"+"&amp;TEXT(INDEX(ERP資料!$G:$G, (MATCH(521, 輔助計算!$G$2:$G$801, 0)+1)),"0.##")))&amp;"-"&amp;INT(INDEX(輔助計算!$D:$D, (MATCH(521, 輔助計算!$G$2:$G$801, 0)+1))/IF(INDEX(ERP資料!$G:$G, (MATCH(521, 輔助計算!$G$2:$G$801, 0)+1))&lt;100, IF(INDEX(ERP資料!$G:$G, (MATCH(521, 輔助計算!$G$2:$G$801, 0)+1))&lt;=31,3,IF(INDEX(ERP資料!$G:$G, (MATCH(521, 輔助計算!$G$2:$G$801, 0)+1))&lt;=46.5,2,1)), IF(INDEX(ERP資料!$G:$G, (MATCH(521, 輔助計算!$G$2:$G$801, 0)+1))&lt;=790,3,IF(INDEX(ERP資料!$G:$G, (MATCH(521, 輔助計算!$G$2:$G$801, 0)+1))&lt;=1181,2,1)))), "")&amp;IF(AND(IF(INT(INDEX(輔助計算!$D:$D, (MATCH(521, 輔助計算!$G$2:$G$801, 0)+1))/IF(INDEX(ERP資料!$G:$G, (MATCH(521, 輔助計算!$G$2:$G$801, 0)+1))&lt;100, IF(INDEX(ERP資料!$G:$G, (MATCH(521, 輔助計算!$G$2:$G$801, 0)+1))&lt;=31,3,IF(INDEX(ERP資料!$G:$G, (MATCH(521, 輔助計算!$G$2:$G$801, 0)+1))&lt;=46.5,2,1)), IF(INDEX(ERP資料!$G:$G, (MATCH(521, 輔助計算!$G$2:$G$801, 0)+1))&lt;=790,3,IF(INDEX(ERP資料!$G:$G, (MATCH(521, 輔助計算!$G$2:$G$801, 0)+1))&lt;=1181,2,1))))&gt;0, IF(IF(INDEX(ERP資料!$G:$G, (MATCH(521, 輔助計算!$G$2:$G$801, 0)+1))&lt;100, IF(INDEX(ERP資料!$G:$G, (MATCH(521, 輔助計算!$G$2:$G$801, 0)+1))&lt;=31,3,IF(INDEX(ERP資料!$G:$G, (MATCH(521, 輔助計算!$G$2:$G$801, 0)+1))&lt;=46.5,2,1)), IF(INDEX(ERP資料!$G:$G, (MATCH(521, 輔助計算!$G$2:$G$801, 0)+1))&lt;=790,3,IF(INDEX(ERP資料!$G:$G, (MATCH(521, 輔助計算!$G$2:$G$801, 0)+1))&lt;=1181,2,1)))=1,TEXT(INDEX(ERP資料!$G:$G, (MATCH(521, 輔助計算!$G$2:$G$801, 0)+1)),"0.##"),IF(IF(INDEX(ERP資料!$G:$G, (MATCH(521, 輔助計算!$G$2:$G$801, 0)+1))&lt;100, IF(INDEX(ERP資料!$G:$G, (MATCH(521, 輔助計算!$G$2:$G$801, 0)+1))&lt;=31,3,IF(INDEX(ERP資料!$G:$G, (MATCH(521, 輔助計算!$G$2:$G$801, 0)+1))&lt;=46.5,2,1)), IF(INDEX(ERP資料!$G:$G, (MATCH(521, 輔助計算!$G$2:$G$801, 0)+1))&lt;=790,3,IF(INDEX(ERP資料!$G:$G, (MATCH(521, 輔助計算!$G$2:$G$801, 0)+1))&lt;=1181,2,1)))=2,TEXT(INDEX(ERP資料!$G:$G, (MATCH(521, 輔助計算!$G$2:$G$801, 0)+1)),"0.##")&amp;"+"&amp;TEXT(INDEX(ERP資料!$G:$G, (MATCH(521, 輔助計算!$G$2:$G$801, 0)+1)),"0.##"),TEXT(INDEX(ERP資料!$G:$G, (MATCH(521, 輔助計算!$G$2:$G$801, 0)+1)),"0.##")&amp;"+"&amp;TEXT(INDEX(ERP資料!$G:$G, (MATCH(521, 輔助計算!$G$2:$G$801, 0)+1)),"0.##")&amp;"+"&amp;TEXT(INDEX(ERP資料!$G:$G, (MATCH(521, 輔助計算!$G$2:$G$801, 0)+1)),"0.##")))&amp;"-"&amp;INT(INDEX(輔助計算!$D:$D, (MATCH(521, 輔助計算!$G$2:$G$801, 0)+1))/IF(INDEX(ERP資料!$G:$G, (MATCH(521, 輔助計算!$G$2:$G$801, 0)+1))&lt;100, IF(INDEX(ERP資料!$G:$G, (MATCH(521, 輔助計算!$G$2:$G$801, 0)+1))&lt;=31,3,IF(INDEX(ERP資料!$G:$G, (MATCH(521, 輔助計算!$G$2:$G$801, 0)+1))&lt;=46.5,2,1)), IF(INDEX(ERP資料!$G:$G, (MATCH(521, 輔助計算!$G$2:$G$801, 0)+1))&lt;=790,3,IF(INDEX(ERP資料!$G:$G, (MATCH(521, 輔助計算!$G$2:$G$801, 0)+1))&lt;=1181,2,1)))), "")&lt;&gt;"",IF(MOD(INDEX(輔助計算!$D:$D, (MATCH(521, 輔助計算!$G$2:$G$801, 0)+1)),IF(INDEX(ERP資料!$G:$G, (MATCH(521, 輔助計算!$G$2:$G$801, 0)+1))&lt;100, IF(INDEX(ERP資料!$G:$G, (MATCH(521, 輔助計算!$G$2:$G$801, 0)+1))&lt;=31,3,IF(INDEX(ERP資料!$G:$G, (MATCH(521, 輔助計算!$G$2:$G$801, 0)+1))&lt;=46.5,2,1)), IF(INDEX(ERP資料!$G:$G, (MATCH(521, 輔助計算!$G$2:$G$801, 0)+1))&lt;=790,3,IF(INDEX(ERP資料!$G:$G, (MATCH(521, 輔助計算!$G$2:$G$801, 0)+1))&lt;=1181,2,1))))=0,"",IF(MOD(INDEX(輔助計算!$D:$D, (MATCH(521, 輔助計算!$G$2:$G$801, 0)+1)),IF(INDEX(ERP資料!$G:$G, (MATCH(521, 輔助計算!$G$2:$G$801, 0)+1))&lt;100, IF(INDEX(ERP資料!$G:$G, (MATCH(521, 輔助計算!$G$2:$G$801, 0)+1))&lt;=31,3,IF(INDEX(ERP資料!$G:$G, (MATCH(521, 輔助計算!$G$2:$G$801, 0)+1))&lt;=46.5,2,1)), IF(INDEX(ERP資料!$G:$G, (MATCH(521, 輔助計算!$G$2:$G$801, 0)+1))&lt;=790,3,IF(INDEX(ERP資料!$G:$G, (MATCH(521, 輔助計算!$G$2:$G$801, 0)+1))&lt;=1181,2,1))))=0,"",IF(MOD(INDEX(輔助計算!$D:$D, (MATCH(521, 輔助計算!$G$2:$G$801, 0)+1)),IF(INDEX(ERP資料!$G:$G, (MATCH(521, 輔助計算!$G$2:$G$801, 0)+1))&lt;100, IF(INDEX(ERP資料!$G:$G, (MATCH(521, 輔助計算!$G$2:$G$801, 0)+1))&lt;=31,3,IF(INDEX(ERP資料!$G:$G, (MATCH(521, 輔助計算!$G$2:$G$801, 0)+1))&lt;=46.5,2,1)), IF(INDEX(ERP資料!$G:$G, (MATCH(521, 輔助計算!$G$2:$G$801, 0)+1))&lt;=790,3,IF(INDEX(ERP資料!$G:$G, (MATCH(521, 輔助計算!$G$2:$G$801, 0)+1))&lt;=1181,2,1))))=1,TEXT(INDEX(ERP資料!$G:$G, (MATCH(521, 輔助計算!$G$2:$G$801, 0)+1)),"0.##"),IF(MOD(INDEX(輔助計算!$D:$D, (MATCH(521, 輔助計算!$G$2:$G$801, 0)+1)),IF(INDEX(ERP資料!$G:$G, (MATCH(521, 輔助計算!$G$2:$G$801, 0)+1))&lt;100, IF(INDEX(ERP資料!$G:$G, (MATCH(521, 輔助計算!$G$2:$G$801, 0)+1))&lt;=31,3,IF(INDEX(ERP資料!$G:$G, (MATCH(521, 輔助計算!$G$2:$G$801, 0)+1))&lt;=46.5,2,1)), IF(INDEX(ERP資料!$G:$G, (MATCH(521, 輔助計算!$G$2:$G$801, 0)+1))&lt;=790,3,IF(INDEX(ERP資料!$G:$G, (MATCH(521, 輔助計算!$G$2:$G$801, 0)+1))&lt;=1181,2,1))))=2,TEXT(INDEX(ERP資料!$G:$G, (MATCH(521, 輔助計算!$G$2:$G$801, 0)+1)),"0.##")&amp;"+"&amp;TEXT(INDEX(ERP資料!$G:$G, (MATCH(521, 輔助計算!$G$2:$G$801, 0)+1)),"0.##"),TEXT(INDEX(ERP資料!$G:$G, (MATCH(521, 輔助計算!$G$2:$G$801, 0)+1)),"0.##")&amp;"+"&amp;TEXT(INDEX(ERP資料!$G:$G, (MATCH(521, 輔助計算!$G$2:$G$801, 0)+1)),"0.##")&amp;"+"&amp;TEXT(INDEX(ERP資料!$G:$G, (MATCH(521, 輔助計算!$G$2:$G$801, 0)+1)),"0.##"))))&amp;"-1")&lt;&gt;""),"  ","")&amp;IF(MOD(INDEX(輔助計算!$D:$D, (MATCH(521, 輔助計算!$G$2:$G$801, 0)+1)),IF(INDEX(ERP資料!$G:$G, (MATCH(521, 輔助計算!$G$2:$G$801, 0)+1))&lt;100, IF(INDEX(ERP資料!$G:$G, (MATCH(521, 輔助計算!$G$2:$G$801, 0)+1))&lt;=31,3,IF(INDEX(ERP資料!$G:$G, (MATCH(521, 輔助計算!$G$2:$G$801, 0)+1))&lt;=46.5,2,1)), IF(INDEX(ERP資料!$G:$G, (MATCH(521, 輔助計算!$G$2:$G$801, 0)+1))&lt;=790,3,IF(INDEX(ERP資料!$G:$G, (MATCH(521, 輔助計算!$G$2:$G$801, 0)+1))&lt;=1181,2,1))))=0,"",IF(MOD(INDEX(輔助計算!$D:$D, (MATCH(521, 輔助計算!$G$2:$G$801, 0)+1)),IF(INDEX(ERP資料!$G:$G, (MATCH(521, 輔助計算!$G$2:$G$801, 0)+1))&lt;100, IF(INDEX(ERP資料!$G:$G, (MATCH(521, 輔助計算!$G$2:$G$801, 0)+1))&lt;=31,3,IF(INDEX(ERP資料!$G:$G, (MATCH(521, 輔助計算!$G$2:$G$801, 0)+1))&lt;=46.5,2,1)), IF(INDEX(ERP資料!$G:$G, (MATCH(521, 輔助計算!$G$2:$G$801, 0)+1))&lt;=790,3,IF(INDEX(ERP資料!$G:$G, (MATCH(521, 輔助計算!$G$2:$G$801, 0)+1))&lt;=1181,2,1))))=0,"",IF(MOD(INDEX(輔助計算!$D:$D, (MATCH(521, 輔助計算!$G$2:$G$801, 0)+1)),IF(INDEX(ERP資料!$G:$G, (MATCH(521, 輔助計算!$G$2:$G$801, 0)+1))&lt;100, IF(INDEX(ERP資料!$G:$G, (MATCH(521, 輔助計算!$G$2:$G$801, 0)+1))&lt;=31,3,IF(INDEX(ERP資料!$G:$G, (MATCH(521, 輔助計算!$G$2:$G$801, 0)+1))&lt;=46.5,2,1)), IF(INDEX(ERP資料!$G:$G, (MATCH(521, 輔助計算!$G$2:$G$801, 0)+1))&lt;=790,3,IF(INDEX(ERP資料!$G:$G, (MATCH(521, 輔助計算!$G$2:$G$801, 0)+1))&lt;=1181,2,1))))=1,TEXT(INDEX(ERP資料!$G:$G, (MATCH(521, 輔助計算!$G$2:$G$801, 0)+1)),"0.##"),IF(MOD(INDEX(輔助計算!$D:$D, (MATCH(521, 輔助計算!$G$2:$G$801, 0)+1)),IF(INDEX(ERP資料!$G:$G, (MATCH(521, 輔助計算!$G$2:$G$801, 0)+1))&lt;100, IF(INDEX(ERP資料!$G:$G, (MATCH(521, 輔助計算!$G$2:$G$801, 0)+1))&lt;=31,3,IF(INDEX(ERP資料!$G:$G, (MATCH(521, 輔助計算!$G$2:$G$801, 0)+1))&lt;=46.5,2,1)), IF(INDEX(ERP資料!$G:$G, (MATCH(521, 輔助計算!$G$2:$G$801, 0)+1))&lt;=790,3,IF(INDEX(ERP資料!$G:$G, (MATCH(521, 輔助計算!$G$2:$G$801, 0)+1))&lt;=1181,2,1))))=2,TEXT(INDEX(ERP資料!$G:$G, (MATCH(521, 輔助計算!$G$2:$G$801, 0)+1)),"0.##")&amp;"+"&amp;TEXT(INDEX(ERP資料!$G:$G, (MATCH(521, 輔助計算!$G$2:$G$801, 0)+1)),"0.##"),TEXT(INDEX(ERP資料!$G:$G, (MATCH(521, 輔助計算!$G$2:$G$801, 0)+1)),"0.##")&amp;"+"&amp;TEXT(INDEX(ERP資料!$G:$G, (MATCH(521, 輔助計算!$G$2:$G$801, 0)+1)),"0.##")&amp;"+"&amp;TEXT(INDEX(ERP資料!$G:$G, (MATCH(521, 輔助計算!$G$2:$G$801, 0)+1)),"0.##"))))&amp;"-1")), ""), "")</f>
        <v/>
      </c>
      <c r="K522" s="16" t="n"/>
      <c r="L522" s="14">
        <f>IFERROR(IF(AND(IFERROR(INDEX(ERP資料!$A:$A, (MATCH(521, 輔助計算!$G$2:$G$801, 0)+1)), "")&lt;&gt;"", IFERROR(INDEX(ERP資料!$A:$A, (MATCH(521, 輔助計算!$G$2:$G$801, 0)+1)), "")&lt;&gt;IFERROR(INDEX(ERP資料!$A:$A, MATCH(520, 輔助計算!$G$2:$G$801, 0)+1), "")), INDEX(ERP資料!$B:$B, (MATCH(521, 輔助計算!$G$2:$G$801, 0)+1)), ""), "")</f>
        <v/>
      </c>
      <c r="M522" s="17" t="n"/>
    </row>
    <row r="523">
      <c r="A523" s="10">
        <f>IFERROR(IF(AND(IFERROR(INDEX(ERP資料!$A:$A, (MATCH(522, 輔助計算!$G$2:$G$801, 0)+1)), "")&lt;&gt;"", IFERROR(INDEX(ERP資料!$A:$A, (MATCH(522, 輔助計算!$G$2:$G$801, 0)+1)), "")&lt;&gt;IFERROR(INDEX(ERP資料!$A:$A, MATCH(521, 輔助計算!$G$2:$G$801, 0)+1), "")), IFERROR(INDEX(ERP資料!$A:$A, (MATCH(522, 輔助計算!$G$2:$G$801, 0)+1)), ""), ""), "")</f>
        <v/>
      </c>
      <c r="B523" s="10">
        <f>IFERROR(IF(AND(IFERROR(INDEX(ERP資料!$A:$A, (MATCH(522, 輔助計算!$G$2:$G$801, 0)+1)), "")&lt;&gt;"", IFERROR(INDEX(ERP資料!$A:$A, (MATCH(522, 輔助計算!$G$2:$G$801, 0)+1)), "")&lt;&gt;IFERROR(INDEX(ERP資料!$A:$A, MATCH(521, 輔助計算!$G$2:$G$801, 0)+1), "")), INDEX(ERP資料!$S:$S, (MATCH(522, 輔助計算!$G$2:$G$801, 0)+1)), ""), "")</f>
        <v/>
      </c>
      <c r="C523" s="19">
        <f>IFERROR(IF(AND(IFERROR(INDEX(ERP資料!$A:$A, (MATCH(522, 輔助計算!$G$2:$G$801, 0)+1)), "")&lt;&gt;"", IFERROR(INDEX(ERP資料!$A:$A, (MATCH(522, 輔助計算!$G$2:$G$801, 0)+1)), "")&lt;&gt;IFERROR(INDEX(ERP資料!$A:$A, MATCH(521, 輔助計算!$G$2:$G$801, 0)+1), "")), IFERROR(VLOOKUP(LEFT(INDEX(ERP資料!$S:$S, (MATCH(522, 輔助計算!$G$2:$G$801, 0)+1)), 4), 紙管對照表!$A:$C, 3, FALSE), ""), ""), "")</f>
        <v/>
      </c>
      <c r="D523" s="16" t="n"/>
      <c r="E523" s="10">
        <f>IFERROR(IF(INDEX(ERP資料!$H:$H, (MATCH(522, 輔助計算!$G$2:$G$801, 0)+1))="","",INDEX(ERP資料!$H:$H, (MATCH(522, 輔助計算!$G$2:$G$801, 0)+1))), "")</f>
        <v/>
      </c>
      <c r="F523" s="10">
        <f>IFERROR(IF(INDEX(ERP資料!$E:$E, (MATCH(522, 輔助計算!$G$2:$G$801, 0)+1))="","",TRIM(INDEX(ERP資料!$E:$E, (MATCH(522, 輔助計算!$G$2:$G$801, 0)+1)))), "")</f>
        <v/>
      </c>
      <c r="G523" s="10">
        <f>IFERROR(IF(INDEX(ERP資料!$F:$F, (MATCH(522, 輔助計算!$G$2:$G$801, 0)+1))="","",INDEX(ERP資料!$F:$F, (MATCH(522, 輔助計算!$G$2:$G$801, 0)+1))), "")</f>
        <v/>
      </c>
      <c r="H523" s="10">
        <f>IFERROR(IF(INDEX(ERP資料!$G:$G, (MATCH(522, 輔助計算!$G$2:$G$801, 0)+1))="","",INDEX(ERP資料!$G:$G, (MATCH(522, 輔助計算!$G$2:$G$801, 0)+1))), "")</f>
        <v/>
      </c>
      <c r="I523" s="15">
        <f>IFERROR(INDEX(輔助計算!$D:$D, (MATCH(522, 輔助計算!$G$2:$G$801, 0)+1)), "")</f>
        <v/>
      </c>
      <c r="J523" s="15">
        <f>IFERROR(IF(AND(INDEX(輔助計算!$D:$D, (MATCH(522, 輔助計算!$G$2:$G$801, 0)+1))&lt;&gt;"", INDEX(ERP資料!$G:$G, (MATCH(522, 輔助計算!$G$2:$G$801, 0)+1))&lt;&gt;""), TRIM(IF(INT(INDEX(輔助計算!$D:$D, (MATCH(522, 輔助計算!$G$2:$G$801, 0)+1))/IF(INDEX(ERP資料!$G:$G, (MATCH(522, 輔助計算!$G$2:$G$801, 0)+1))&lt;100, IF(INDEX(ERP資料!$G:$G, (MATCH(522, 輔助計算!$G$2:$G$801, 0)+1))&lt;=31,3,IF(INDEX(ERP資料!$G:$G, (MATCH(522, 輔助計算!$G$2:$G$801, 0)+1))&lt;=46.5,2,1)), IF(INDEX(ERP資料!$G:$G, (MATCH(522, 輔助計算!$G$2:$G$801, 0)+1))&lt;=790,3,IF(INDEX(ERP資料!$G:$G, (MATCH(522, 輔助計算!$G$2:$G$801, 0)+1))&lt;=1181,2,1))))&gt;0, IF(IF(INDEX(ERP資料!$G:$G, (MATCH(522, 輔助計算!$G$2:$G$801, 0)+1))&lt;100, IF(INDEX(ERP資料!$G:$G, (MATCH(522, 輔助計算!$G$2:$G$801, 0)+1))&lt;=31,3,IF(INDEX(ERP資料!$G:$G, (MATCH(522, 輔助計算!$G$2:$G$801, 0)+1))&lt;=46.5,2,1)), IF(INDEX(ERP資料!$G:$G, (MATCH(522, 輔助計算!$G$2:$G$801, 0)+1))&lt;=790,3,IF(INDEX(ERP資料!$G:$G, (MATCH(522, 輔助計算!$G$2:$G$801, 0)+1))&lt;=1181,2,1)))=1,TEXT(INDEX(ERP資料!$G:$G, (MATCH(522, 輔助計算!$G$2:$G$801, 0)+1)),"0.##"),IF(IF(INDEX(ERP資料!$G:$G, (MATCH(522, 輔助計算!$G$2:$G$801, 0)+1))&lt;100, IF(INDEX(ERP資料!$G:$G, (MATCH(522, 輔助計算!$G$2:$G$801, 0)+1))&lt;=31,3,IF(INDEX(ERP資料!$G:$G, (MATCH(522, 輔助計算!$G$2:$G$801, 0)+1))&lt;=46.5,2,1)), IF(INDEX(ERP資料!$G:$G, (MATCH(522, 輔助計算!$G$2:$G$801, 0)+1))&lt;=790,3,IF(INDEX(ERP資料!$G:$G, (MATCH(522, 輔助計算!$G$2:$G$801, 0)+1))&lt;=1181,2,1)))=2,TEXT(INDEX(ERP資料!$G:$G, (MATCH(522, 輔助計算!$G$2:$G$801, 0)+1)),"0.##")&amp;"+"&amp;TEXT(INDEX(ERP資料!$G:$G, (MATCH(522, 輔助計算!$G$2:$G$801, 0)+1)),"0.##"),TEXT(INDEX(ERP資料!$G:$G, (MATCH(522, 輔助計算!$G$2:$G$801, 0)+1)),"0.##")&amp;"+"&amp;TEXT(INDEX(ERP資料!$G:$G, (MATCH(522, 輔助計算!$G$2:$G$801, 0)+1)),"0.##")&amp;"+"&amp;TEXT(INDEX(ERP資料!$G:$G, (MATCH(522, 輔助計算!$G$2:$G$801, 0)+1)),"0.##")))&amp;"-"&amp;INT(INDEX(輔助計算!$D:$D, (MATCH(522, 輔助計算!$G$2:$G$801, 0)+1))/IF(INDEX(ERP資料!$G:$G, (MATCH(522, 輔助計算!$G$2:$G$801, 0)+1))&lt;100, IF(INDEX(ERP資料!$G:$G, (MATCH(522, 輔助計算!$G$2:$G$801, 0)+1))&lt;=31,3,IF(INDEX(ERP資料!$G:$G, (MATCH(522, 輔助計算!$G$2:$G$801, 0)+1))&lt;=46.5,2,1)), IF(INDEX(ERP資料!$G:$G, (MATCH(522, 輔助計算!$G$2:$G$801, 0)+1))&lt;=790,3,IF(INDEX(ERP資料!$G:$G, (MATCH(522, 輔助計算!$G$2:$G$801, 0)+1))&lt;=1181,2,1)))), "")&amp;IF(AND(IF(INT(INDEX(輔助計算!$D:$D, (MATCH(522, 輔助計算!$G$2:$G$801, 0)+1))/IF(INDEX(ERP資料!$G:$G, (MATCH(522, 輔助計算!$G$2:$G$801, 0)+1))&lt;100, IF(INDEX(ERP資料!$G:$G, (MATCH(522, 輔助計算!$G$2:$G$801, 0)+1))&lt;=31,3,IF(INDEX(ERP資料!$G:$G, (MATCH(522, 輔助計算!$G$2:$G$801, 0)+1))&lt;=46.5,2,1)), IF(INDEX(ERP資料!$G:$G, (MATCH(522, 輔助計算!$G$2:$G$801, 0)+1))&lt;=790,3,IF(INDEX(ERP資料!$G:$G, (MATCH(522, 輔助計算!$G$2:$G$801, 0)+1))&lt;=1181,2,1))))&gt;0, IF(IF(INDEX(ERP資料!$G:$G, (MATCH(522, 輔助計算!$G$2:$G$801, 0)+1))&lt;100, IF(INDEX(ERP資料!$G:$G, (MATCH(522, 輔助計算!$G$2:$G$801, 0)+1))&lt;=31,3,IF(INDEX(ERP資料!$G:$G, (MATCH(522, 輔助計算!$G$2:$G$801, 0)+1))&lt;=46.5,2,1)), IF(INDEX(ERP資料!$G:$G, (MATCH(522, 輔助計算!$G$2:$G$801, 0)+1))&lt;=790,3,IF(INDEX(ERP資料!$G:$G, (MATCH(522, 輔助計算!$G$2:$G$801, 0)+1))&lt;=1181,2,1)))=1,TEXT(INDEX(ERP資料!$G:$G, (MATCH(522, 輔助計算!$G$2:$G$801, 0)+1)),"0.##"),IF(IF(INDEX(ERP資料!$G:$G, (MATCH(522, 輔助計算!$G$2:$G$801, 0)+1))&lt;100, IF(INDEX(ERP資料!$G:$G, (MATCH(522, 輔助計算!$G$2:$G$801, 0)+1))&lt;=31,3,IF(INDEX(ERP資料!$G:$G, (MATCH(522, 輔助計算!$G$2:$G$801, 0)+1))&lt;=46.5,2,1)), IF(INDEX(ERP資料!$G:$G, (MATCH(522, 輔助計算!$G$2:$G$801, 0)+1))&lt;=790,3,IF(INDEX(ERP資料!$G:$G, (MATCH(522, 輔助計算!$G$2:$G$801, 0)+1))&lt;=1181,2,1)))=2,TEXT(INDEX(ERP資料!$G:$G, (MATCH(522, 輔助計算!$G$2:$G$801, 0)+1)),"0.##")&amp;"+"&amp;TEXT(INDEX(ERP資料!$G:$G, (MATCH(522, 輔助計算!$G$2:$G$801, 0)+1)),"0.##"),TEXT(INDEX(ERP資料!$G:$G, (MATCH(522, 輔助計算!$G$2:$G$801, 0)+1)),"0.##")&amp;"+"&amp;TEXT(INDEX(ERP資料!$G:$G, (MATCH(522, 輔助計算!$G$2:$G$801, 0)+1)),"0.##")&amp;"+"&amp;TEXT(INDEX(ERP資料!$G:$G, (MATCH(522, 輔助計算!$G$2:$G$801, 0)+1)),"0.##")))&amp;"-"&amp;INT(INDEX(輔助計算!$D:$D, (MATCH(522, 輔助計算!$G$2:$G$801, 0)+1))/IF(INDEX(ERP資料!$G:$G, (MATCH(522, 輔助計算!$G$2:$G$801, 0)+1))&lt;100, IF(INDEX(ERP資料!$G:$G, (MATCH(522, 輔助計算!$G$2:$G$801, 0)+1))&lt;=31,3,IF(INDEX(ERP資料!$G:$G, (MATCH(522, 輔助計算!$G$2:$G$801, 0)+1))&lt;=46.5,2,1)), IF(INDEX(ERP資料!$G:$G, (MATCH(522, 輔助計算!$G$2:$G$801, 0)+1))&lt;=790,3,IF(INDEX(ERP資料!$G:$G, (MATCH(522, 輔助計算!$G$2:$G$801, 0)+1))&lt;=1181,2,1)))), "")&lt;&gt;"",IF(MOD(INDEX(輔助計算!$D:$D, (MATCH(522, 輔助計算!$G$2:$G$801, 0)+1)),IF(INDEX(ERP資料!$G:$G, (MATCH(522, 輔助計算!$G$2:$G$801, 0)+1))&lt;100, IF(INDEX(ERP資料!$G:$G, (MATCH(522, 輔助計算!$G$2:$G$801, 0)+1))&lt;=31,3,IF(INDEX(ERP資料!$G:$G, (MATCH(522, 輔助計算!$G$2:$G$801, 0)+1))&lt;=46.5,2,1)), IF(INDEX(ERP資料!$G:$G, (MATCH(522, 輔助計算!$G$2:$G$801, 0)+1))&lt;=790,3,IF(INDEX(ERP資料!$G:$G, (MATCH(522, 輔助計算!$G$2:$G$801, 0)+1))&lt;=1181,2,1))))=0,"",IF(MOD(INDEX(輔助計算!$D:$D, (MATCH(522, 輔助計算!$G$2:$G$801, 0)+1)),IF(INDEX(ERP資料!$G:$G, (MATCH(522, 輔助計算!$G$2:$G$801, 0)+1))&lt;100, IF(INDEX(ERP資料!$G:$G, (MATCH(522, 輔助計算!$G$2:$G$801, 0)+1))&lt;=31,3,IF(INDEX(ERP資料!$G:$G, (MATCH(522, 輔助計算!$G$2:$G$801, 0)+1))&lt;=46.5,2,1)), IF(INDEX(ERP資料!$G:$G, (MATCH(522, 輔助計算!$G$2:$G$801, 0)+1))&lt;=790,3,IF(INDEX(ERP資料!$G:$G, (MATCH(522, 輔助計算!$G$2:$G$801, 0)+1))&lt;=1181,2,1))))=0,"",IF(MOD(INDEX(輔助計算!$D:$D, (MATCH(522, 輔助計算!$G$2:$G$801, 0)+1)),IF(INDEX(ERP資料!$G:$G, (MATCH(522, 輔助計算!$G$2:$G$801, 0)+1))&lt;100, IF(INDEX(ERP資料!$G:$G, (MATCH(522, 輔助計算!$G$2:$G$801, 0)+1))&lt;=31,3,IF(INDEX(ERP資料!$G:$G, (MATCH(522, 輔助計算!$G$2:$G$801, 0)+1))&lt;=46.5,2,1)), IF(INDEX(ERP資料!$G:$G, (MATCH(522, 輔助計算!$G$2:$G$801, 0)+1))&lt;=790,3,IF(INDEX(ERP資料!$G:$G, (MATCH(522, 輔助計算!$G$2:$G$801, 0)+1))&lt;=1181,2,1))))=1,TEXT(INDEX(ERP資料!$G:$G, (MATCH(522, 輔助計算!$G$2:$G$801, 0)+1)),"0.##"),IF(MOD(INDEX(輔助計算!$D:$D, (MATCH(522, 輔助計算!$G$2:$G$801, 0)+1)),IF(INDEX(ERP資料!$G:$G, (MATCH(522, 輔助計算!$G$2:$G$801, 0)+1))&lt;100, IF(INDEX(ERP資料!$G:$G, (MATCH(522, 輔助計算!$G$2:$G$801, 0)+1))&lt;=31,3,IF(INDEX(ERP資料!$G:$G, (MATCH(522, 輔助計算!$G$2:$G$801, 0)+1))&lt;=46.5,2,1)), IF(INDEX(ERP資料!$G:$G, (MATCH(522, 輔助計算!$G$2:$G$801, 0)+1))&lt;=790,3,IF(INDEX(ERP資料!$G:$G, (MATCH(522, 輔助計算!$G$2:$G$801, 0)+1))&lt;=1181,2,1))))=2,TEXT(INDEX(ERP資料!$G:$G, (MATCH(522, 輔助計算!$G$2:$G$801, 0)+1)),"0.##")&amp;"+"&amp;TEXT(INDEX(ERP資料!$G:$G, (MATCH(522, 輔助計算!$G$2:$G$801, 0)+1)),"0.##"),TEXT(INDEX(ERP資料!$G:$G, (MATCH(522, 輔助計算!$G$2:$G$801, 0)+1)),"0.##")&amp;"+"&amp;TEXT(INDEX(ERP資料!$G:$G, (MATCH(522, 輔助計算!$G$2:$G$801, 0)+1)),"0.##")&amp;"+"&amp;TEXT(INDEX(ERP資料!$G:$G, (MATCH(522, 輔助計算!$G$2:$G$801, 0)+1)),"0.##"))))&amp;"-1")&lt;&gt;""),"  ","")&amp;IF(MOD(INDEX(輔助計算!$D:$D, (MATCH(522, 輔助計算!$G$2:$G$801, 0)+1)),IF(INDEX(ERP資料!$G:$G, (MATCH(522, 輔助計算!$G$2:$G$801, 0)+1))&lt;100, IF(INDEX(ERP資料!$G:$G, (MATCH(522, 輔助計算!$G$2:$G$801, 0)+1))&lt;=31,3,IF(INDEX(ERP資料!$G:$G, (MATCH(522, 輔助計算!$G$2:$G$801, 0)+1))&lt;=46.5,2,1)), IF(INDEX(ERP資料!$G:$G, (MATCH(522, 輔助計算!$G$2:$G$801, 0)+1))&lt;=790,3,IF(INDEX(ERP資料!$G:$G, (MATCH(522, 輔助計算!$G$2:$G$801, 0)+1))&lt;=1181,2,1))))=0,"",IF(MOD(INDEX(輔助計算!$D:$D, (MATCH(522, 輔助計算!$G$2:$G$801, 0)+1)),IF(INDEX(ERP資料!$G:$G, (MATCH(522, 輔助計算!$G$2:$G$801, 0)+1))&lt;100, IF(INDEX(ERP資料!$G:$G, (MATCH(522, 輔助計算!$G$2:$G$801, 0)+1))&lt;=31,3,IF(INDEX(ERP資料!$G:$G, (MATCH(522, 輔助計算!$G$2:$G$801, 0)+1))&lt;=46.5,2,1)), IF(INDEX(ERP資料!$G:$G, (MATCH(522, 輔助計算!$G$2:$G$801, 0)+1))&lt;=790,3,IF(INDEX(ERP資料!$G:$G, (MATCH(522, 輔助計算!$G$2:$G$801, 0)+1))&lt;=1181,2,1))))=0,"",IF(MOD(INDEX(輔助計算!$D:$D, (MATCH(522, 輔助計算!$G$2:$G$801, 0)+1)),IF(INDEX(ERP資料!$G:$G, (MATCH(522, 輔助計算!$G$2:$G$801, 0)+1))&lt;100, IF(INDEX(ERP資料!$G:$G, (MATCH(522, 輔助計算!$G$2:$G$801, 0)+1))&lt;=31,3,IF(INDEX(ERP資料!$G:$G, (MATCH(522, 輔助計算!$G$2:$G$801, 0)+1))&lt;=46.5,2,1)), IF(INDEX(ERP資料!$G:$G, (MATCH(522, 輔助計算!$G$2:$G$801, 0)+1))&lt;=790,3,IF(INDEX(ERP資料!$G:$G, (MATCH(522, 輔助計算!$G$2:$G$801, 0)+1))&lt;=1181,2,1))))=1,TEXT(INDEX(ERP資料!$G:$G, (MATCH(522, 輔助計算!$G$2:$G$801, 0)+1)),"0.##"),IF(MOD(INDEX(輔助計算!$D:$D, (MATCH(522, 輔助計算!$G$2:$G$801, 0)+1)),IF(INDEX(ERP資料!$G:$G, (MATCH(522, 輔助計算!$G$2:$G$801, 0)+1))&lt;100, IF(INDEX(ERP資料!$G:$G, (MATCH(522, 輔助計算!$G$2:$G$801, 0)+1))&lt;=31,3,IF(INDEX(ERP資料!$G:$G, (MATCH(522, 輔助計算!$G$2:$G$801, 0)+1))&lt;=46.5,2,1)), IF(INDEX(ERP資料!$G:$G, (MATCH(522, 輔助計算!$G$2:$G$801, 0)+1))&lt;=790,3,IF(INDEX(ERP資料!$G:$G, (MATCH(522, 輔助計算!$G$2:$G$801, 0)+1))&lt;=1181,2,1))))=2,TEXT(INDEX(ERP資料!$G:$G, (MATCH(522, 輔助計算!$G$2:$G$801, 0)+1)),"0.##")&amp;"+"&amp;TEXT(INDEX(ERP資料!$G:$G, (MATCH(522, 輔助計算!$G$2:$G$801, 0)+1)),"0.##"),TEXT(INDEX(ERP資料!$G:$G, (MATCH(522, 輔助計算!$G$2:$G$801, 0)+1)),"0.##")&amp;"+"&amp;TEXT(INDEX(ERP資料!$G:$G, (MATCH(522, 輔助計算!$G$2:$G$801, 0)+1)),"0.##")&amp;"+"&amp;TEXT(INDEX(ERP資料!$G:$G, (MATCH(522, 輔助計算!$G$2:$G$801, 0)+1)),"0.##"))))&amp;"-1")), ""), "")</f>
        <v/>
      </c>
      <c r="K523" s="16" t="n"/>
      <c r="L523" s="14">
        <f>IFERROR(IF(AND(IFERROR(INDEX(ERP資料!$A:$A, (MATCH(522, 輔助計算!$G$2:$G$801, 0)+1)), "")&lt;&gt;"", IFERROR(INDEX(ERP資料!$A:$A, (MATCH(522, 輔助計算!$G$2:$G$801, 0)+1)), "")&lt;&gt;IFERROR(INDEX(ERP資料!$A:$A, MATCH(521, 輔助計算!$G$2:$G$801, 0)+1), "")), INDEX(ERP資料!$B:$B, (MATCH(522, 輔助計算!$G$2:$G$801, 0)+1)), ""), "")</f>
        <v/>
      </c>
      <c r="M523" s="17" t="n"/>
    </row>
    <row r="524">
      <c r="A524" s="10">
        <f>IFERROR(IF(AND(IFERROR(INDEX(ERP資料!$A:$A, (MATCH(523, 輔助計算!$G$2:$G$801, 0)+1)), "")&lt;&gt;"", IFERROR(INDEX(ERP資料!$A:$A, (MATCH(523, 輔助計算!$G$2:$G$801, 0)+1)), "")&lt;&gt;IFERROR(INDEX(ERP資料!$A:$A, MATCH(522, 輔助計算!$G$2:$G$801, 0)+1), "")), IFERROR(INDEX(ERP資料!$A:$A, (MATCH(523, 輔助計算!$G$2:$G$801, 0)+1)), ""), ""), "")</f>
        <v/>
      </c>
      <c r="B524" s="10">
        <f>IFERROR(IF(AND(IFERROR(INDEX(ERP資料!$A:$A, (MATCH(523, 輔助計算!$G$2:$G$801, 0)+1)), "")&lt;&gt;"", IFERROR(INDEX(ERP資料!$A:$A, (MATCH(523, 輔助計算!$G$2:$G$801, 0)+1)), "")&lt;&gt;IFERROR(INDEX(ERP資料!$A:$A, MATCH(522, 輔助計算!$G$2:$G$801, 0)+1), "")), INDEX(ERP資料!$S:$S, (MATCH(523, 輔助計算!$G$2:$G$801, 0)+1)), ""), "")</f>
        <v/>
      </c>
      <c r="C524" s="19">
        <f>IFERROR(IF(AND(IFERROR(INDEX(ERP資料!$A:$A, (MATCH(523, 輔助計算!$G$2:$G$801, 0)+1)), "")&lt;&gt;"", IFERROR(INDEX(ERP資料!$A:$A, (MATCH(523, 輔助計算!$G$2:$G$801, 0)+1)), "")&lt;&gt;IFERROR(INDEX(ERP資料!$A:$A, MATCH(522, 輔助計算!$G$2:$G$801, 0)+1), "")), IFERROR(VLOOKUP(LEFT(INDEX(ERP資料!$S:$S, (MATCH(523, 輔助計算!$G$2:$G$801, 0)+1)), 4), 紙管對照表!$A:$C, 3, FALSE), ""), ""), "")</f>
        <v/>
      </c>
      <c r="D524" s="16" t="n"/>
      <c r="E524" s="10">
        <f>IFERROR(IF(INDEX(ERP資料!$H:$H, (MATCH(523, 輔助計算!$G$2:$G$801, 0)+1))="","",INDEX(ERP資料!$H:$H, (MATCH(523, 輔助計算!$G$2:$G$801, 0)+1))), "")</f>
        <v/>
      </c>
      <c r="F524" s="10">
        <f>IFERROR(IF(INDEX(ERP資料!$E:$E, (MATCH(523, 輔助計算!$G$2:$G$801, 0)+1))="","",TRIM(INDEX(ERP資料!$E:$E, (MATCH(523, 輔助計算!$G$2:$G$801, 0)+1)))), "")</f>
        <v/>
      </c>
      <c r="G524" s="10">
        <f>IFERROR(IF(INDEX(ERP資料!$F:$F, (MATCH(523, 輔助計算!$G$2:$G$801, 0)+1))="","",INDEX(ERP資料!$F:$F, (MATCH(523, 輔助計算!$G$2:$G$801, 0)+1))), "")</f>
        <v/>
      </c>
      <c r="H524" s="10">
        <f>IFERROR(IF(INDEX(ERP資料!$G:$G, (MATCH(523, 輔助計算!$G$2:$G$801, 0)+1))="","",INDEX(ERP資料!$G:$G, (MATCH(523, 輔助計算!$G$2:$G$801, 0)+1))), "")</f>
        <v/>
      </c>
      <c r="I524" s="15">
        <f>IFERROR(INDEX(輔助計算!$D:$D, (MATCH(523, 輔助計算!$G$2:$G$801, 0)+1)), "")</f>
        <v/>
      </c>
      <c r="J524" s="15">
        <f>IFERROR(IF(AND(INDEX(輔助計算!$D:$D, (MATCH(523, 輔助計算!$G$2:$G$801, 0)+1))&lt;&gt;"", INDEX(ERP資料!$G:$G, (MATCH(523, 輔助計算!$G$2:$G$801, 0)+1))&lt;&gt;""), TRIM(IF(INT(INDEX(輔助計算!$D:$D, (MATCH(523, 輔助計算!$G$2:$G$801, 0)+1))/IF(INDEX(ERP資料!$G:$G, (MATCH(523, 輔助計算!$G$2:$G$801, 0)+1))&lt;100, IF(INDEX(ERP資料!$G:$G, (MATCH(523, 輔助計算!$G$2:$G$801, 0)+1))&lt;=31,3,IF(INDEX(ERP資料!$G:$G, (MATCH(523, 輔助計算!$G$2:$G$801, 0)+1))&lt;=46.5,2,1)), IF(INDEX(ERP資料!$G:$G, (MATCH(523, 輔助計算!$G$2:$G$801, 0)+1))&lt;=790,3,IF(INDEX(ERP資料!$G:$G, (MATCH(523, 輔助計算!$G$2:$G$801, 0)+1))&lt;=1181,2,1))))&gt;0, IF(IF(INDEX(ERP資料!$G:$G, (MATCH(523, 輔助計算!$G$2:$G$801, 0)+1))&lt;100, IF(INDEX(ERP資料!$G:$G, (MATCH(523, 輔助計算!$G$2:$G$801, 0)+1))&lt;=31,3,IF(INDEX(ERP資料!$G:$G, (MATCH(523, 輔助計算!$G$2:$G$801, 0)+1))&lt;=46.5,2,1)), IF(INDEX(ERP資料!$G:$G, (MATCH(523, 輔助計算!$G$2:$G$801, 0)+1))&lt;=790,3,IF(INDEX(ERP資料!$G:$G, (MATCH(523, 輔助計算!$G$2:$G$801, 0)+1))&lt;=1181,2,1)))=1,TEXT(INDEX(ERP資料!$G:$G, (MATCH(523, 輔助計算!$G$2:$G$801, 0)+1)),"0.##"),IF(IF(INDEX(ERP資料!$G:$G, (MATCH(523, 輔助計算!$G$2:$G$801, 0)+1))&lt;100, IF(INDEX(ERP資料!$G:$G, (MATCH(523, 輔助計算!$G$2:$G$801, 0)+1))&lt;=31,3,IF(INDEX(ERP資料!$G:$G, (MATCH(523, 輔助計算!$G$2:$G$801, 0)+1))&lt;=46.5,2,1)), IF(INDEX(ERP資料!$G:$G, (MATCH(523, 輔助計算!$G$2:$G$801, 0)+1))&lt;=790,3,IF(INDEX(ERP資料!$G:$G, (MATCH(523, 輔助計算!$G$2:$G$801, 0)+1))&lt;=1181,2,1)))=2,TEXT(INDEX(ERP資料!$G:$G, (MATCH(523, 輔助計算!$G$2:$G$801, 0)+1)),"0.##")&amp;"+"&amp;TEXT(INDEX(ERP資料!$G:$G, (MATCH(523, 輔助計算!$G$2:$G$801, 0)+1)),"0.##"),TEXT(INDEX(ERP資料!$G:$G, (MATCH(523, 輔助計算!$G$2:$G$801, 0)+1)),"0.##")&amp;"+"&amp;TEXT(INDEX(ERP資料!$G:$G, (MATCH(523, 輔助計算!$G$2:$G$801, 0)+1)),"0.##")&amp;"+"&amp;TEXT(INDEX(ERP資料!$G:$G, (MATCH(523, 輔助計算!$G$2:$G$801, 0)+1)),"0.##")))&amp;"-"&amp;INT(INDEX(輔助計算!$D:$D, (MATCH(523, 輔助計算!$G$2:$G$801, 0)+1))/IF(INDEX(ERP資料!$G:$G, (MATCH(523, 輔助計算!$G$2:$G$801, 0)+1))&lt;100, IF(INDEX(ERP資料!$G:$G, (MATCH(523, 輔助計算!$G$2:$G$801, 0)+1))&lt;=31,3,IF(INDEX(ERP資料!$G:$G, (MATCH(523, 輔助計算!$G$2:$G$801, 0)+1))&lt;=46.5,2,1)), IF(INDEX(ERP資料!$G:$G, (MATCH(523, 輔助計算!$G$2:$G$801, 0)+1))&lt;=790,3,IF(INDEX(ERP資料!$G:$G, (MATCH(523, 輔助計算!$G$2:$G$801, 0)+1))&lt;=1181,2,1)))), "")&amp;IF(AND(IF(INT(INDEX(輔助計算!$D:$D, (MATCH(523, 輔助計算!$G$2:$G$801, 0)+1))/IF(INDEX(ERP資料!$G:$G, (MATCH(523, 輔助計算!$G$2:$G$801, 0)+1))&lt;100, IF(INDEX(ERP資料!$G:$G, (MATCH(523, 輔助計算!$G$2:$G$801, 0)+1))&lt;=31,3,IF(INDEX(ERP資料!$G:$G, (MATCH(523, 輔助計算!$G$2:$G$801, 0)+1))&lt;=46.5,2,1)), IF(INDEX(ERP資料!$G:$G, (MATCH(523, 輔助計算!$G$2:$G$801, 0)+1))&lt;=790,3,IF(INDEX(ERP資料!$G:$G, (MATCH(523, 輔助計算!$G$2:$G$801, 0)+1))&lt;=1181,2,1))))&gt;0, IF(IF(INDEX(ERP資料!$G:$G, (MATCH(523, 輔助計算!$G$2:$G$801, 0)+1))&lt;100, IF(INDEX(ERP資料!$G:$G, (MATCH(523, 輔助計算!$G$2:$G$801, 0)+1))&lt;=31,3,IF(INDEX(ERP資料!$G:$G, (MATCH(523, 輔助計算!$G$2:$G$801, 0)+1))&lt;=46.5,2,1)), IF(INDEX(ERP資料!$G:$G, (MATCH(523, 輔助計算!$G$2:$G$801, 0)+1))&lt;=790,3,IF(INDEX(ERP資料!$G:$G, (MATCH(523, 輔助計算!$G$2:$G$801, 0)+1))&lt;=1181,2,1)))=1,TEXT(INDEX(ERP資料!$G:$G, (MATCH(523, 輔助計算!$G$2:$G$801, 0)+1)),"0.##"),IF(IF(INDEX(ERP資料!$G:$G, (MATCH(523, 輔助計算!$G$2:$G$801, 0)+1))&lt;100, IF(INDEX(ERP資料!$G:$G, (MATCH(523, 輔助計算!$G$2:$G$801, 0)+1))&lt;=31,3,IF(INDEX(ERP資料!$G:$G, (MATCH(523, 輔助計算!$G$2:$G$801, 0)+1))&lt;=46.5,2,1)), IF(INDEX(ERP資料!$G:$G, (MATCH(523, 輔助計算!$G$2:$G$801, 0)+1))&lt;=790,3,IF(INDEX(ERP資料!$G:$G, (MATCH(523, 輔助計算!$G$2:$G$801, 0)+1))&lt;=1181,2,1)))=2,TEXT(INDEX(ERP資料!$G:$G, (MATCH(523, 輔助計算!$G$2:$G$801, 0)+1)),"0.##")&amp;"+"&amp;TEXT(INDEX(ERP資料!$G:$G, (MATCH(523, 輔助計算!$G$2:$G$801, 0)+1)),"0.##"),TEXT(INDEX(ERP資料!$G:$G, (MATCH(523, 輔助計算!$G$2:$G$801, 0)+1)),"0.##")&amp;"+"&amp;TEXT(INDEX(ERP資料!$G:$G, (MATCH(523, 輔助計算!$G$2:$G$801, 0)+1)),"0.##")&amp;"+"&amp;TEXT(INDEX(ERP資料!$G:$G, (MATCH(523, 輔助計算!$G$2:$G$801, 0)+1)),"0.##")))&amp;"-"&amp;INT(INDEX(輔助計算!$D:$D, (MATCH(523, 輔助計算!$G$2:$G$801, 0)+1))/IF(INDEX(ERP資料!$G:$G, (MATCH(523, 輔助計算!$G$2:$G$801, 0)+1))&lt;100, IF(INDEX(ERP資料!$G:$G, (MATCH(523, 輔助計算!$G$2:$G$801, 0)+1))&lt;=31,3,IF(INDEX(ERP資料!$G:$G, (MATCH(523, 輔助計算!$G$2:$G$801, 0)+1))&lt;=46.5,2,1)), IF(INDEX(ERP資料!$G:$G, (MATCH(523, 輔助計算!$G$2:$G$801, 0)+1))&lt;=790,3,IF(INDEX(ERP資料!$G:$G, (MATCH(523, 輔助計算!$G$2:$G$801, 0)+1))&lt;=1181,2,1)))), "")&lt;&gt;"",IF(MOD(INDEX(輔助計算!$D:$D, (MATCH(523, 輔助計算!$G$2:$G$801, 0)+1)),IF(INDEX(ERP資料!$G:$G, (MATCH(523, 輔助計算!$G$2:$G$801, 0)+1))&lt;100, IF(INDEX(ERP資料!$G:$G, (MATCH(523, 輔助計算!$G$2:$G$801, 0)+1))&lt;=31,3,IF(INDEX(ERP資料!$G:$G, (MATCH(523, 輔助計算!$G$2:$G$801, 0)+1))&lt;=46.5,2,1)), IF(INDEX(ERP資料!$G:$G, (MATCH(523, 輔助計算!$G$2:$G$801, 0)+1))&lt;=790,3,IF(INDEX(ERP資料!$G:$G, (MATCH(523, 輔助計算!$G$2:$G$801, 0)+1))&lt;=1181,2,1))))=0,"",IF(MOD(INDEX(輔助計算!$D:$D, (MATCH(523, 輔助計算!$G$2:$G$801, 0)+1)),IF(INDEX(ERP資料!$G:$G, (MATCH(523, 輔助計算!$G$2:$G$801, 0)+1))&lt;100, IF(INDEX(ERP資料!$G:$G, (MATCH(523, 輔助計算!$G$2:$G$801, 0)+1))&lt;=31,3,IF(INDEX(ERP資料!$G:$G, (MATCH(523, 輔助計算!$G$2:$G$801, 0)+1))&lt;=46.5,2,1)), IF(INDEX(ERP資料!$G:$G, (MATCH(523, 輔助計算!$G$2:$G$801, 0)+1))&lt;=790,3,IF(INDEX(ERP資料!$G:$G, (MATCH(523, 輔助計算!$G$2:$G$801, 0)+1))&lt;=1181,2,1))))=0,"",IF(MOD(INDEX(輔助計算!$D:$D, (MATCH(523, 輔助計算!$G$2:$G$801, 0)+1)),IF(INDEX(ERP資料!$G:$G, (MATCH(523, 輔助計算!$G$2:$G$801, 0)+1))&lt;100, IF(INDEX(ERP資料!$G:$G, (MATCH(523, 輔助計算!$G$2:$G$801, 0)+1))&lt;=31,3,IF(INDEX(ERP資料!$G:$G, (MATCH(523, 輔助計算!$G$2:$G$801, 0)+1))&lt;=46.5,2,1)), IF(INDEX(ERP資料!$G:$G, (MATCH(523, 輔助計算!$G$2:$G$801, 0)+1))&lt;=790,3,IF(INDEX(ERP資料!$G:$G, (MATCH(523, 輔助計算!$G$2:$G$801, 0)+1))&lt;=1181,2,1))))=1,TEXT(INDEX(ERP資料!$G:$G, (MATCH(523, 輔助計算!$G$2:$G$801, 0)+1)),"0.##"),IF(MOD(INDEX(輔助計算!$D:$D, (MATCH(523, 輔助計算!$G$2:$G$801, 0)+1)),IF(INDEX(ERP資料!$G:$G, (MATCH(523, 輔助計算!$G$2:$G$801, 0)+1))&lt;100, IF(INDEX(ERP資料!$G:$G, (MATCH(523, 輔助計算!$G$2:$G$801, 0)+1))&lt;=31,3,IF(INDEX(ERP資料!$G:$G, (MATCH(523, 輔助計算!$G$2:$G$801, 0)+1))&lt;=46.5,2,1)), IF(INDEX(ERP資料!$G:$G, (MATCH(523, 輔助計算!$G$2:$G$801, 0)+1))&lt;=790,3,IF(INDEX(ERP資料!$G:$G, (MATCH(523, 輔助計算!$G$2:$G$801, 0)+1))&lt;=1181,2,1))))=2,TEXT(INDEX(ERP資料!$G:$G, (MATCH(523, 輔助計算!$G$2:$G$801, 0)+1)),"0.##")&amp;"+"&amp;TEXT(INDEX(ERP資料!$G:$G, (MATCH(523, 輔助計算!$G$2:$G$801, 0)+1)),"0.##"),TEXT(INDEX(ERP資料!$G:$G, (MATCH(523, 輔助計算!$G$2:$G$801, 0)+1)),"0.##")&amp;"+"&amp;TEXT(INDEX(ERP資料!$G:$G, (MATCH(523, 輔助計算!$G$2:$G$801, 0)+1)),"0.##")&amp;"+"&amp;TEXT(INDEX(ERP資料!$G:$G, (MATCH(523, 輔助計算!$G$2:$G$801, 0)+1)),"0.##"))))&amp;"-1")&lt;&gt;""),"  ","")&amp;IF(MOD(INDEX(輔助計算!$D:$D, (MATCH(523, 輔助計算!$G$2:$G$801, 0)+1)),IF(INDEX(ERP資料!$G:$G, (MATCH(523, 輔助計算!$G$2:$G$801, 0)+1))&lt;100, IF(INDEX(ERP資料!$G:$G, (MATCH(523, 輔助計算!$G$2:$G$801, 0)+1))&lt;=31,3,IF(INDEX(ERP資料!$G:$G, (MATCH(523, 輔助計算!$G$2:$G$801, 0)+1))&lt;=46.5,2,1)), IF(INDEX(ERP資料!$G:$G, (MATCH(523, 輔助計算!$G$2:$G$801, 0)+1))&lt;=790,3,IF(INDEX(ERP資料!$G:$G, (MATCH(523, 輔助計算!$G$2:$G$801, 0)+1))&lt;=1181,2,1))))=0,"",IF(MOD(INDEX(輔助計算!$D:$D, (MATCH(523, 輔助計算!$G$2:$G$801, 0)+1)),IF(INDEX(ERP資料!$G:$G, (MATCH(523, 輔助計算!$G$2:$G$801, 0)+1))&lt;100, IF(INDEX(ERP資料!$G:$G, (MATCH(523, 輔助計算!$G$2:$G$801, 0)+1))&lt;=31,3,IF(INDEX(ERP資料!$G:$G, (MATCH(523, 輔助計算!$G$2:$G$801, 0)+1))&lt;=46.5,2,1)), IF(INDEX(ERP資料!$G:$G, (MATCH(523, 輔助計算!$G$2:$G$801, 0)+1))&lt;=790,3,IF(INDEX(ERP資料!$G:$G, (MATCH(523, 輔助計算!$G$2:$G$801, 0)+1))&lt;=1181,2,1))))=0,"",IF(MOD(INDEX(輔助計算!$D:$D, (MATCH(523, 輔助計算!$G$2:$G$801, 0)+1)),IF(INDEX(ERP資料!$G:$G, (MATCH(523, 輔助計算!$G$2:$G$801, 0)+1))&lt;100, IF(INDEX(ERP資料!$G:$G, (MATCH(523, 輔助計算!$G$2:$G$801, 0)+1))&lt;=31,3,IF(INDEX(ERP資料!$G:$G, (MATCH(523, 輔助計算!$G$2:$G$801, 0)+1))&lt;=46.5,2,1)), IF(INDEX(ERP資料!$G:$G, (MATCH(523, 輔助計算!$G$2:$G$801, 0)+1))&lt;=790,3,IF(INDEX(ERP資料!$G:$G, (MATCH(523, 輔助計算!$G$2:$G$801, 0)+1))&lt;=1181,2,1))))=1,TEXT(INDEX(ERP資料!$G:$G, (MATCH(523, 輔助計算!$G$2:$G$801, 0)+1)),"0.##"),IF(MOD(INDEX(輔助計算!$D:$D, (MATCH(523, 輔助計算!$G$2:$G$801, 0)+1)),IF(INDEX(ERP資料!$G:$G, (MATCH(523, 輔助計算!$G$2:$G$801, 0)+1))&lt;100, IF(INDEX(ERP資料!$G:$G, (MATCH(523, 輔助計算!$G$2:$G$801, 0)+1))&lt;=31,3,IF(INDEX(ERP資料!$G:$G, (MATCH(523, 輔助計算!$G$2:$G$801, 0)+1))&lt;=46.5,2,1)), IF(INDEX(ERP資料!$G:$G, (MATCH(523, 輔助計算!$G$2:$G$801, 0)+1))&lt;=790,3,IF(INDEX(ERP資料!$G:$G, (MATCH(523, 輔助計算!$G$2:$G$801, 0)+1))&lt;=1181,2,1))))=2,TEXT(INDEX(ERP資料!$G:$G, (MATCH(523, 輔助計算!$G$2:$G$801, 0)+1)),"0.##")&amp;"+"&amp;TEXT(INDEX(ERP資料!$G:$G, (MATCH(523, 輔助計算!$G$2:$G$801, 0)+1)),"0.##"),TEXT(INDEX(ERP資料!$G:$G, (MATCH(523, 輔助計算!$G$2:$G$801, 0)+1)),"0.##")&amp;"+"&amp;TEXT(INDEX(ERP資料!$G:$G, (MATCH(523, 輔助計算!$G$2:$G$801, 0)+1)),"0.##")&amp;"+"&amp;TEXT(INDEX(ERP資料!$G:$G, (MATCH(523, 輔助計算!$G$2:$G$801, 0)+1)),"0.##"))))&amp;"-1")), ""), "")</f>
        <v/>
      </c>
      <c r="K524" s="16" t="n"/>
      <c r="L524" s="14">
        <f>IFERROR(IF(AND(IFERROR(INDEX(ERP資料!$A:$A, (MATCH(523, 輔助計算!$G$2:$G$801, 0)+1)), "")&lt;&gt;"", IFERROR(INDEX(ERP資料!$A:$A, (MATCH(523, 輔助計算!$G$2:$G$801, 0)+1)), "")&lt;&gt;IFERROR(INDEX(ERP資料!$A:$A, MATCH(522, 輔助計算!$G$2:$G$801, 0)+1), "")), INDEX(ERP資料!$B:$B, (MATCH(523, 輔助計算!$G$2:$G$801, 0)+1)), ""), "")</f>
        <v/>
      </c>
      <c r="M524" s="17" t="n"/>
    </row>
    <row r="525">
      <c r="A525" s="10">
        <f>IFERROR(IF(AND(IFERROR(INDEX(ERP資料!$A:$A, (MATCH(524, 輔助計算!$G$2:$G$801, 0)+1)), "")&lt;&gt;"", IFERROR(INDEX(ERP資料!$A:$A, (MATCH(524, 輔助計算!$G$2:$G$801, 0)+1)), "")&lt;&gt;IFERROR(INDEX(ERP資料!$A:$A, MATCH(523, 輔助計算!$G$2:$G$801, 0)+1), "")), IFERROR(INDEX(ERP資料!$A:$A, (MATCH(524, 輔助計算!$G$2:$G$801, 0)+1)), ""), ""), "")</f>
        <v/>
      </c>
      <c r="B525" s="10">
        <f>IFERROR(IF(AND(IFERROR(INDEX(ERP資料!$A:$A, (MATCH(524, 輔助計算!$G$2:$G$801, 0)+1)), "")&lt;&gt;"", IFERROR(INDEX(ERP資料!$A:$A, (MATCH(524, 輔助計算!$G$2:$G$801, 0)+1)), "")&lt;&gt;IFERROR(INDEX(ERP資料!$A:$A, MATCH(523, 輔助計算!$G$2:$G$801, 0)+1), "")), INDEX(ERP資料!$S:$S, (MATCH(524, 輔助計算!$G$2:$G$801, 0)+1)), ""), "")</f>
        <v/>
      </c>
      <c r="C525" s="19">
        <f>IFERROR(IF(AND(IFERROR(INDEX(ERP資料!$A:$A, (MATCH(524, 輔助計算!$G$2:$G$801, 0)+1)), "")&lt;&gt;"", IFERROR(INDEX(ERP資料!$A:$A, (MATCH(524, 輔助計算!$G$2:$G$801, 0)+1)), "")&lt;&gt;IFERROR(INDEX(ERP資料!$A:$A, MATCH(523, 輔助計算!$G$2:$G$801, 0)+1), "")), IFERROR(VLOOKUP(LEFT(INDEX(ERP資料!$S:$S, (MATCH(524, 輔助計算!$G$2:$G$801, 0)+1)), 4), 紙管對照表!$A:$C, 3, FALSE), ""), ""), "")</f>
        <v/>
      </c>
      <c r="D525" s="16" t="n"/>
      <c r="E525" s="10">
        <f>IFERROR(IF(INDEX(ERP資料!$H:$H, (MATCH(524, 輔助計算!$G$2:$G$801, 0)+1))="","",INDEX(ERP資料!$H:$H, (MATCH(524, 輔助計算!$G$2:$G$801, 0)+1))), "")</f>
        <v/>
      </c>
      <c r="F525" s="10">
        <f>IFERROR(IF(INDEX(ERP資料!$E:$E, (MATCH(524, 輔助計算!$G$2:$G$801, 0)+1))="","",TRIM(INDEX(ERP資料!$E:$E, (MATCH(524, 輔助計算!$G$2:$G$801, 0)+1)))), "")</f>
        <v/>
      </c>
      <c r="G525" s="10">
        <f>IFERROR(IF(INDEX(ERP資料!$F:$F, (MATCH(524, 輔助計算!$G$2:$G$801, 0)+1))="","",INDEX(ERP資料!$F:$F, (MATCH(524, 輔助計算!$G$2:$G$801, 0)+1))), "")</f>
        <v/>
      </c>
      <c r="H525" s="10">
        <f>IFERROR(IF(INDEX(ERP資料!$G:$G, (MATCH(524, 輔助計算!$G$2:$G$801, 0)+1))="","",INDEX(ERP資料!$G:$G, (MATCH(524, 輔助計算!$G$2:$G$801, 0)+1))), "")</f>
        <v/>
      </c>
      <c r="I525" s="15">
        <f>IFERROR(INDEX(輔助計算!$D:$D, (MATCH(524, 輔助計算!$G$2:$G$801, 0)+1)), "")</f>
        <v/>
      </c>
      <c r="J525" s="15">
        <f>IFERROR(IF(AND(INDEX(輔助計算!$D:$D, (MATCH(524, 輔助計算!$G$2:$G$801, 0)+1))&lt;&gt;"", INDEX(ERP資料!$G:$G, (MATCH(524, 輔助計算!$G$2:$G$801, 0)+1))&lt;&gt;""), TRIM(IF(INT(INDEX(輔助計算!$D:$D, (MATCH(524, 輔助計算!$G$2:$G$801, 0)+1))/IF(INDEX(ERP資料!$G:$G, (MATCH(524, 輔助計算!$G$2:$G$801, 0)+1))&lt;100, IF(INDEX(ERP資料!$G:$G, (MATCH(524, 輔助計算!$G$2:$G$801, 0)+1))&lt;=31,3,IF(INDEX(ERP資料!$G:$G, (MATCH(524, 輔助計算!$G$2:$G$801, 0)+1))&lt;=46.5,2,1)), IF(INDEX(ERP資料!$G:$G, (MATCH(524, 輔助計算!$G$2:$G$801, 0)+1))&lt;=790,3,IF(INDEX(ERP資料!$G:$G, (MATCH(524, 輔助計算!$G$2:$G$801, 0)+1))&lt;=1181,2,1))))&gt;0, IF(IF(INDEX(ERP資料!$G:$G, (MATCH(524, 輔助計算!$G$2:$G$801, 0)+1))&lt;100, IF(INDEX(ERP資料!$G:$G, (MATCH(524, 輔助計算!$G$2:$G$801, 0)+1))&lt;=31,3,IF(INDEX(ERP資料!$G:$G, (MATCH(524, 輔助計算!$G$2:$G$801, 0)+1))&lt;=46.5,2,1)), IF(INDEX(ERP資料!$G:$G, (MATCH(524, 輔助計算!$G$2:$G$801, 0)+1))&lt;=790,3,IF(INDEX(ERP資料!$G:$G, (MATCH(524, 輔助計算!$G$2:$G$801, 0)+1))&lt;=1181,2,1)))=1,TEXT(INDEX(ERP資料!$G:$G, (MATCH(524, 輔助計算!$G$2:$G$801, 0)+1)),"0.##"),IF(IF(INDEX(ERP資料!$G:$G, (MATCH(524, 輔助計算!$G$2:$G$801, 0)+1))&lt;100, IF(INDEX(ERP資料!$G:$G, (MATCH(524, 輔助計算!$G$2:$G$801, 0)+1))&lt;=31,3,IF(INDEX(ERP資料!$G:$G, (MATCH(524, 輔助計算!$G$2:$G$801, 0)+1))&lt;=46.5,2,1)), IF(INDEX(ERP資料!$G:$G, (MATCH(524, 輔助計算!$G$2:$G$801, 0)+1))&lt;=790,3,IF(INDEX(ERP資料!$G:$G, (MATCH(524, 輔助計算!$G$2:$G$801, 0)+1))&lt;=1181,2,1)))=2,TEXT(INDEX(ERP資料!$G:$G, (MATCH(524, 輔助計算!$G$2:$G$801, 0)+1)),"0.##")&amp;"+"&amp;TEXT(INDEX(ERP資料!$G:$G, (MATCH(524, 輔助計算!$G$2:$G$801, 0)+1)),"0.##"),TEXT(INDEX(ERP資料!$G:$G, (MATCH(524, 輔助計算!$G$2:$G$801, 0)+1)),"0.##")&amp;"+"&amp;TEXT(INDEX(ERP資料!$G:$G, (MATCH(524, 輔助計算!$G$2:$G$801, 0)+1)),"0.##")&amp;"+"&amp;TEXT(INDEX(ERP資料!$G:$G, (MATCH(524, 輔助計算!$G$2:$G$801, 0)+1)),"0.##")))&amp;"-"&amp;INT(INDEX(輔助計算!$D:$D, (MATCH(524, 輔助計算!$G$2:$G$801, 0)+1))/IF(INDEX(ERP資料!$G:$G, (MATCH(524, 輔助計算!$G$2:$G$801, 0)+1))&lt;100, IF(INDEX(ERP資料!$G:$G, (MATCH(524, 輔助計算!$G$2:$G$801, 0)+1))&lt;=31,3,IF(INDEX(ERP資料!$G:$G, (MATCH(524, 輔助計算!$G$2:$G$801, 0)+1))&lt;=46.5,2,1)), IF(INDEX(ERP資料!$G:$G, (MATCH(524, 輔助計算!$G$2:$G$801, 0)+1))&lt;=790,3,IF(INDEX(ERP資料!$G:$G, (MATCH(524, 輔助計算!$G$2:$G$801, 0)+1))&lt;=1181,2,1)))), "")&amp;IF(AND(IF(INT(INDEX(輔助計算!$D:$D, (MATCH(524, 輔助計算!$G$2:$G$801, 0)+1))/IF(INDEX(ERP資料!$G:$G, (MATCH(524, 輔助計算!$G$2:$G$801, 0)+1))&lt;100, IF(INDEX(ERP資料!$G:$G, (MATCH(524, 輔助計算!$G$2:$G$801, 0)+1))&lt;=31,3,IF(INDEX(ERP資料!$G:$G, (MATCH(524, 輔助計算!$G$2:$G$801, 0)+1))&lt;=46.5,2,1)), IF(INDEX(ERP資料!$G:$G, (MATCH(524, 輔助計算!$G$2:$G$801, 0)+1))&lt;=790,3,IF(INDEX(ERP資料!$G:$G, (MATCH(524, 輔助計算!$G$2:$G$801, 0)+1))&lt;=1181,2,1))))&gt;0, IF(IF(INDEX(ERP資料!$G:$G, (MATCH(524, 輔助計算!$G$2:$G$801, 0)+1))&lt;100, IF(INDEX(ERP資料!$G:$G, (MATCH(524, 輔助計算!$G$2:$G$801, 0)+1))&lt;=31,3,IF(INDEX(ERP資料!$G:$G, (MATCH(524, 輔助計算!$G$2:$G$801, 0)+1))&lt;=46.5,2,1)), IF(INDEX(ERP資料!$G:$G, (MATCH(524, 輔助計算!$G$2:$G$801, 0)+1))&lt;=790,3,IF(INDEX(ERP資料!$G:$G, (MATCH(524, 輔助計算!$G$2:$G$801, 0)+1))&lt;=1181,2,1)))=1,TEXT(INDEX(ERP資料!$G:$G, (MATCH(524, 輔助計算!$G$2:$G$801, 0)+1)),"0.##"),IF(IF(INDEX(ERP資料!$G:$G, (MATCH(524, 輔助計算!$G$2:$G$801, 0)+1))&lt;100, IF(INDEX(ERP資料!$G:$G, (MATCH(524, 輔助計算!$G$2:$G$801, 0)+1))&lt;=31,3,IF(INDEX(ERP資料!$G:$G, (MATCH(524, 輔助計算!$G$2:$G$801, 0)+1))&lt;=46.5,2,1)), IF(INDEX(ERP資料!$G:$G, (MATCH(524, 輔助計算!$G$2:$G$801, 0)+1))&lt;=790,3,IF(INDEX(ERP資料!$G:$G, (MATCH(524, 輔助計算!$G$2:$G$801, 0)+1))&lt;=1181,2,1)))=2,TEXT(INDEX(ERP資料!$G:$G, (MATCH(524, 輔助計算!$G$2:$G$801, 0)+1)),"0.##")&amp;"+"&amp;TEXT(INDEX(ERP資料!$G:$G, (MATCH(524, 輔助計算!$G$2:$G$801, 0)+1)),"0.##"),TEXT(INDEX(ERP資料!$G:$G, (MATCH(524, 輔助計算!$G$2:$G$801, 0)+1)),"0.##")&amp;"+"&amp;TEXT(INDEX(ERP資料!$G:$G, (MATCH(524, 輔助計算!$G$2:$G$801, 0)+1)),"0.##")&amp;"+"&amp;TEXT(INDEX(ERP資料!$G:$G, (MATCH(524, 輔助計算!$G$2:$G$801, 0)+1)),"0.##")))&amp;"-"&amp;INT(INDEX(輔助計算!$D:$D, (MATCH(524, 輔助計算!$G$2:$G$801, 0)+1))/IF(INDEX(ERP資料!$G:$G, (MATCH(524, 輔助計算!$G$2:$G$801, 0)+1))&lt;100, IF(INDEX(ERP資料!$G:$G, (MATCH(524, 輔助計算!$G$2:$G$801, 0)+1))&lt;=31,3,IF(INDEX(ERP資料!$G:$G, (MATCH(524, 輔助計算!$G$2:$G$801, 0)+1))&lt;=46.5,2,1)), IF(INDEX(ERP資料!$G:$G, (MATCH(524, 輔助計算!$G$2:$G$801, 0)+1))&lt;=790,3,IF(INDEX(ERP資料!$G:$G, (MATCH(524, 輔助計算!$G$2:$G$801, 0)+1))&lt;=1181,2,1)))), "")&lt;&gt;"",IF(MOD(INDEX(輔助計算!$D:$D, (MATCH(524, 輔助計算!$G$2:$G$801, 0)+1)),IF(INDEX(ERP資料!$G:$G, (MATCH(524, 輔助計算!$G$2:$G$801, 0)+1))&lt;100, IF(INDEX(ERP資料!$G:$G, (MATCH(524, 輔助計算!$G$2:$G$801, 0)+1))&lt;=31,3,IF(INDEX(ERP資料!$G:$G, (MATCH(524, 輔助計算!$G$2:$G$801, 0)+1))&lt;=46.5,2,1)), IF(INDEX(ERP資料!$G:$G, (MATCH(524, 輔助計算!$G$2:$G$801, 0)+1))&lt;=790,3,IF(INDEX(ERP資料!$G:$G, (MATCH(524, 輔助計算!$G$2:$G$801, 0)+1))&lt;=1181,2,1))))=0,"",IF(MOD(INDEX(輔助計算!$D:$D, (MATCH(524, 輔助計算!$G$2:$G$801, 0)+1)),IF(INDEX(ERP資料!$G:$G, (MATCH(524, 輔助計算!$G$2:$G$801, 0)+1))&lt;100, IF(INDEX(ERP資料!$G:$G, (MATCH(524, 輔助計算!$G$2:$G$801, 0)+1))&lt;=31,3,IF(INDEX(ERP資料!$G:$G, (MATCH(524, 輔助計算!$G$2:$G$801, 0)+1))&lt;=46.5,2,1)), IF(INDEX(ERP資料!$G:$G, (MATCH(524, 輔助計算!$G$2:$G$801, 0)+1))&lt;=790,3,IF(INDEX(ERP資料!$G:$G, (MATCH(524, 輔助計算!$G$2:$G$801, 0)+1))&lt;=1181,2,1))))=0,"",IF(MOD(INDEX(輔助計算!$D:$D, (MATCH(524, 輔助計算!$G$2:$G$801, 0)+1)),IF(INDEX(ERP資料!$G:$G, (MATCH(524, 輔助計算!$G$2:$G$801, 0)+1))&lt;100, IF(INDEX(ERP資料!$G:$G, (MATCH(524, 輔助計算!$G$2:$G$801, 0)+1))&lt;=31,3,IF(INDEX(ERP資料!$G:$G, (MATCH(524, 輔助計算!$G$2:$G$801, 0)+1))&lt;=46.5,2,1)), IF(INDEX(ERP資料!$G:$G, (MATCH(524, 輔助計算!$G$2:$G$801, 0)+1))&lt;=790,3,IF(INDEX(ERP資料!$G:$G, (MATCH(524, 輔助計算!$G$2:$G$801, 0)+1))&lt;=1181,2,1))))=1,TEXT(INDEX(ERP資料!$G:$G, (MATCH(524, 輔助計算!$G$2:$G$801, 0)+1)),"0.##"),IF(MOD(INDEX(輔助計算!$D:$D, (MATCH(524, 輔助計算!$G$2:$G$801, 0)+1)),IF(INDEX(ERP資料!$G:$G, (MATCH(524, 輔助計算!$G$2:$G$801, 0)+1))&lt;100, IF(INDEX(ERP資料!$G:$G, (MATCH(524, 輔助計算!$G$2:$G$801, 0)+1))&lt;=31,3,IF(INDEX(ERP資料!$G:$G, (MATCH(524, 輔助計算!$G$2:$G$801, 0)+1))&lt;=46.5,2,1)), IF(INDEX(ERP資料!$G:$G, (MATCH(524, 輔助計算!$G$2:$G$801, 0)+1))&lt;=790,3,IF(INDEX(ERP資料!$G:$G, (MATCH(524, 輔助計算!$G$2:$G$801, 0)+1))&lt;=1181,2,1))))=2,TEXT(INDEX(ERP資料!$G:$G, (MATCH(524, 輔助計算!$G$2:$G$801, 0)+1)),"0.##")&amp;"+"&amp;TEXT(INDEX(ERP資料!$G:$G, (MATCH(524, 輔助計算!$G$2:$G$801, 0)+1)),"0.##"),TEXT(INDEX(ERP資料!$G:$G, (MATCH(524, 輔助計算!$G$2:$G$801, 0)+1)),"0.##")&amp;"+"&amp;TEXT(INDEX(ERP資料!$G:$G, (MATCH(524, 輔助計算!$G$2:$G$801, 0)+1)),"0.##")&amp;"+"&amp;TEXT(INDEX(ERP資料!$G:$G, (MATCH(524, 輔助計算!$G$2:$G$801, 0)+1)),"0.##"))))&amp;"-1")&lt;&gt;""),"  ","")&amp;IF(MOD(INDEX(輔助計算!$D:$D, (MATCH(524, 輔助計算!$G$2:$G$801, 0)+1)),IF(INDEX(ERP資料!$G:$G, (MATCH(524, 輔助計算!$G$2:$G$801, 0)+1))&lt;100, IF(INDEX(ERP資料!$G:$G, (MATCH(524, 輔助計算!$G$2:$G$801, 0)+1))&lt;=31,3,IF(INDEX(ERP資料!$G:$G, (MATCH(524, 輔助計算!$G$2:$G$801, 0)+1))&lt;=46.5,2,1)), IF(INDEX(ERP資料!$G:$G, (MATCH(524, 輔助計算!$G$2:$G$801, 0)+1))&lt;=790,3,IF(INDEX(ERP資料!$G:$G, (MATCH(524, 輔助計算!$G$2:$G$801, 0)+1))&lt;=1181,2,1))))=0,"",IF(MOD(INDEX(輔助計算!$D:$D, (MATCH(524, 輔助計算!$G$2:$G$801, 0)+1)),IF(INDEX(ERP資料!$G:$G, (MATCH(524, 輔助計算!$G$2:$G$801, 0)+1))&lt;100, IF(INDEX(ERP資料!$G:$G, (MATCH(524, 輔助計算!$G$2:$G$801, 0)+1))&lt;=31,3,IF(INDEX(ERP資料!$G:$G, (MATCH(524, 輔助計算!$G$2:$G$801, 0)+1))&lt;=46.5,2,1)), IF(INDEX(ERP資料!$G:$G, (MATCH(524, 輔助計算!$G$2:$G$801, 0)+1))&lt;=790,3,IF(INDEX(ERP資料!$G:$G, (MATCH(524, 輔助計算!$G$2:$G$801, 0)+1))&lt;=1181,2,1))))=0,"",IF(MOD(INDEX(輔助計算!$D:$D, (MATCH(524, 輔助計算!$G$2:$G$801, 0)+1)),IF(INDEX(ERP資料!$G:$G, (MATCH(524, 輔助計算!$G$2:$G$801, 0)+1))&lt;100, IF(INDEX(ERP資料!$G:$G, (MATCH(524, 輔助計算!$G$2:$G$801, 0)+1))&lt;=31,3,IF(INDEX(ERP資料!$G:$G, (MATCH(524, 輔助計算!$G$2:$G$801, 0)+1))&lt;=46.5,2,1)), IF(INDEX(ERP資料!$G:$G, (MATCH(524, 輔助計算!$G$2:$G$801, 0)+1))&lt;=790,3,IF(INDEX(ERP資料!$G:$G, (MATCH(524, 輔助計算!$G$2:$G$801, 0)+1))&lt;=1181,2,1))))=1,TEXT(INDEX(ERP資料!$G:$G, (MATCH(524, 輔助計算!$G$2:$G$801, 0)+1)),"0.##"),IF(MOD(INDEX(輔助計算!$D:$D, (MATCH(524, 輔助計算!$G$2:$G$801, 0)+1)),IF(INDEX(ERP資料!$G:$G, (MATCH(524, 輔助計算!$G$2:$G$801, 0)+1))&lt;100, IF(INDEX(ERP資料!$G:$G, (MATCH(524, 輔助計算!$G$2:$G$801, 0)+1))&lt;=31,3,IF(INDEX(ERP資料!$G:$G, (MATCH(524, 輔助計算!$G$2:$G$801, 0)+1))&lt;=46.5,2,1)), IF(INDEX(ERP資料!$G:$G, (MATCH(524, 輔助計算!$G$2:$G$801, 0)+1))&lt;=790,3,IF(INDEX(ERP資料!$G:$G, (MATCH(524, 輔助計算!$G$2:$G$801, 0)+1))&lt;=1181,2,1))))=2,TEXT(INDEX(ERP資料!$G:$G, (MATCH(524, 輔助計算!$G$2:$G$801, 0)+1)),"0.##")&amp;"+"&amp;TEXT(INDEX(ERP資料!$G:$G, (MATCH(524, 輔助計算!$G$2:$G$801, 0)+1)),"0.##"),TEXT(INDEX(ERP資料!$G:$G, (MATCH(524, 輔助計算!$G$2:$G$801, 0)+1)),"0.##")&amp;"+"&amp;TEXT(INDEX(ERP資料!$G:$G, (MATCH(524, 輔助計算!$G$2:$G$801, 0)+1)),"0.##")&amp;"+"&amp;TEXT(INDEX(ERP資料!$G:$G, (MATCH(524, 輔助計算!$G$2:$G$801, 0)+1)),"0.##"))))&amp;"-1")), ""), "")</f>
        <v/>
      </c>
      <c r="K525" s="16" t="n"/>
      <c r="L525" s="14">
        <f>IFERROR(IF(AND(IFERROR(INDEX(ERP資料!$A:$A, (MATCH(524, 輔助計算!$G$2:$G$801, 0)+1)), "")&lt;&gt;"", IFERROR(INDEX(ERP資料!$A:$A, (MATCH(524, 輔助計算!$G$2:$G$801, 0)+1)), "")&lt;&gt;IFERROR(INDEX(ERP資料!$A:$A, MATCH(523, 輔助計算!$G$2:$G$801, 0)+1), "")), INDEX(ERP資料!$B:$B, (MATCH(524, 輔助計算!$G$2:$G$801, 0)+1)), ""), "")</f>
        <v/>
      </c>
      <c r="M525" s="17" t="n"/>
    </row>
    <row r="526">
      <c r="A526" s="10">
        <f>IFERROR(IF(AND(IFERROR(INDEX(ERP資料!$A:$A, (MATCH(525, 輔助計算!$G$2:$G$801, 0)+1)), "")&lt;&gt;"", IFERROR(INDEX(ERP資料!$A:$A, (MATCH(525, 輔助計算!$G$2:$G$801, 0)+1)), "")&lt;&gt;IFERROR(INDEX(ERP資料!$A:$A, MATCH(524, 輔助計算!$G$2:$G$801, 0)+1), "")), IFERROR(INDEX(ERP資料!$A:$A, (MATCH(525, 輔助計算!$G$2:$G$801, 0)+1)), ""), ""), "")</f>
        <v/>
      </c>
      <c r="B526" s="10">
        <f>IFERROR(IF(AND(IFERROR(INDEX(ERP資料!$A:$A, (MATCH(525, 輔助計算!$G$2:$G$801, 0)+1)), "")&lt;&gt;"", IFERROR(INDEX(ERP資料!$A:$A, (MATCH(525, 輔助計算!$G$2:$G$801, 0)+1)), "")&lt;&gt;IFERROR(INDEX(ERP資料!$A:$A, MATCH(524, 輔助計算!$G$2:$G$801, 0)+1), "")), INDEX(ERP資料!$S:$S, (MATCH(525, 輔助計算!$G$2:$G$801, 0)+1)), ""), "")</f>
        <v/>
      </c>
      <c r="C526" s="19">
        <f>IFERROR(IF(AND(IFERROR(INDEX(ERP資料!$A:$A, (MATCH(525, 輔助計算!$G$2:$G$801, 0)+1)), "")&lt;&gt;"", IFERROR(INDEX(ERP資料!$A:$A, (MATCH(525, 輔助計算!$G$2:$G$801, 0)+1)), "")&lt;&gt;IFERROR(INDEX(ERP資料!$A:$A, MATCH(524, 輔助計算!$G$2:$G$801, 0)+1), "")), IFERROR(VLOOKUP(LEFT(INDEX(ERP資料!$S:$S, (MATCH(525, 輔助計算!$G$2:$G$801, 0)+1)), 4), 紙管對照表!$A:$C, 3, FALSE), ""), ""), "")</f>
        <v/>
      </c>
      <c r="D526" s="16" t="n"/>
      <c r="E526" s="10">
        <f>IFERROR(IF(INDEX(ERP資料!$H:$H, (MATCH(525, 輔助計算!$G$2:$G$801, 0)+1))="","",INDEX(ERP資料!$H:$H, (MATCH(525, 輔助計算!$G$2:$G$801, 0)+1))), "")</f>
        <v/>
      </c>
      <c r="F526" s="10">
        <f>IFERROR(IF(INDEX(ERP資料!$E:$E, (MATCH(525, 輔助計算!$G$2:$G$801, 0)+1))="","",TRIM(INDEX(ERP資料!$E:$E, (MATCH(525, 輔助計算!$G$2:$G$801, 0)+1)))), "")</f>
        <v/>
      </c>
      <c r="G526" s="10">
        <f>IFERROR(IF(INDEX(ERP資料!$F:$F, (MATCH(525, 輔助計算!$G$2:$G$801, 0)+1))="","",INDEX(ERP資料!$F:$F, (MATCH(525, 輔助計算!$G$2:$G$801, 0)+1))), "")</f>
        <v/>
      </c>
      <c r="H526" s="10">
        <f>IFERROR(IF(INDEX(ERP資料!$G:$G, (MATCH(525, 輔助計算!$G$2:$G$801, 0)+1))="","",INDEX(ERP資料!$G:$G, (MATCH(525, 輔助計算!$G$2:$G$801, 0)+1))), "")</f>
        <v/>
      </c>
      <c r="I526" s="15">
        <f>IFERROR(INDEX(輔助計算!$D:$D, (MATCH(525, 輔助計算!$G$2:$G$801, 0)+1)), "")</f>
        <v/>
      </c>
      <c r="J526" s="15">
        <f>IFERROR(IF(AND(INDEX(輔助計算!$D:$D, (MATCH(525, 輔助計算!$G$2:$G$801, 0)+1))&lt;&gt;"", INDEX(ERP資料!$G:$G, (MATCH(525, 輔助計算!$G$2:$G$801, 0)+1))&lt;&gt;""), TRIM(IF(INT(INDEX(輔助計算!$D:$D, (MATCH(525, 輔助計算!$G$2:$G$801, 0)+1))/IF(INDEX(ERP資料!$G:$G, (MATCH(525, 輔助計算!$G$2:$G$801, 0)+1))&lt;100, IF(INDEX(ERP資料!$G:$G, (MATCH(525, 輔助計算!$G$2:$G$801, 0)+1))&lt;=31,3,IF(INDEX(ERP資料!$G:$G, (MATCH(525, 輔助計算!$G$2:$G$801, 0)+1))&lt;=46.5,2,1)), IF(INDEX(ERP資料!$G:$G, (MATCH(525, 輔助計算!$G$2:$G$801, 0)+1))&lt;=790,3,IF(INDEX(ERP資料!$G:$G, (MATCH(525, 輔助計算!$G$2:$G$801, 0)+1))&lt;=1181,2,1))))&gt;0, IF(IF(INDEX(ERP資料!$G:$G, (MATCH(525, 輔助計算!$G$2:$G$801, 0)+1))&lt;100, IF(INDEX(ERP資料!$G:$G, (MATCH(525, 輔助計算!$G$2:$G$801, 0)+1))&lt;=31,3,IF(INDEX(ERP資料!$G:$G, (MATCH(525, 輔助計算!$G$2:$G$801, 0)+1))&lt;=46.5,2,1)), IF(INDEX(ERP資料!$G:$G, (MATCH(525, 輔助計算!$G$2:$G$801, 0)+1))&lt;=790,3,IF(INDEX(ERP資料!$G:$G, (MATCH(525, 輔助計算!$G$2:$G$801, 0)+1))&lt;=1181,2,1)))=1,TEXT(INDEX(ERP資料!$G:$G, (MATCH(525, 輔助計算!$G$2:$G$801, 0)+1)),"0.##"),IF(IF(INDEX(ERP資料!$G:$G, (MATCH(525, 輔助計算!$G$2:$G$801, 0)+1))&lt;100, IF(INDEX(ERP資料!$G:$G, (MATCH(525, 輔助計算!$G$2:$G$801, 0)+1))&lt;=31,3,IF(INDEX(ERP資料!$G:$G, (MATCH(525, 輔助計算!$G$2:$G$801, 0)+1))&lt;=46.5,2,1)), IF(INDEX(ERP資料!$G:$G, (MATCH(525, 輔助計算!$G$2:$G$801, 0)+1))&lt;=790,3,IF(INDEX(ERP資料!$G:$G, (MATCH(525, 輔助計算!$G$2:$G$801, 0)+1))&lt;=1181,2,1)))=2,TEXT(INDEX(ERP資料!$G:$G, (MATCH(525, 輔助計算!$G$2:$G$801, 0)+1)),"0.##")&amp;"+"&amp;TEXT(INDEX(ERP資料!$G:$G, (MATCH(525, 輔助計算!$G$2:$G$801, 0)+1)),"0.##"),TEXT(INDEX(ERP資料!$G:$G, (MATCH(525, 輔助計算!$G$2:$G$801, 0)+1)),"0.##")&amp;"+"&amp;TEXT(INDEX(ERP資料!$G:$G, (MATCH(525, 輔助計算!$G$2:$G$801, 0)+1)),"0.##")&amp;"+"&amp;TEXT(INDEX(ERP資料!$G:$G, (MATCH(525, 輔助計算!$G$2:$G$801, 0)+1)),"0.##")))&amp;"-"&amp;INT(INDEX(輔助計算!$D:$D, (MATCH(525, 輔助計算!$G$2:$G$801, 0)+1))/IF(INDEX(ERP資料!$G:$G, (MATCH(525, 輔助計算!$G$2:$G$801, 0)+1))&lt;100, IF(INDEX(ERP資料!$G:$G, (MATCH(525, 輔助計算!$G$2:$G$801, 0)+1))&lt;=31,3,IF(INDEX(ERP資料!$G:$G, (MATCH(525, 輔助計算!$G$2:$G$801, 0)+1))&lt;=46.5,2,1)), IF(INDEX(ERP資料!$G:$G, (MATCH(525, 輔助計算!$G$2:$G$801, 0)+1))&lt;=790,3,IF(INDEX(ERP資料!$G:$G, (MATCH(525, 輔助計算!$G$2:$G$801, 0)+1))&lt;=1181,2,1)))), "")&amp;IF(AND(IF(INT(INDEX(輔助計算!$D:$D, (MATCH(525, 輔助計算!$G$2:$G$801, 0)+1))/IF(INDEX(ERP資料!$G:$G, (MATCH(525, 輔助計算!$G$2:$G$801, 0)+1))&lt;100, IF(INDEX(ERP資料!$G:$G, (MATCH(525, 輔助計算!$G$2:$G$801, 0)+1))&lt;=31,3,IF(INDEX(ERP資料!$G:$G, (MATCH(525, 輔助計算!$G$2:$G$801, 0)+1))&lt;=46.5,2,1)), IF(INDEX(ERP資料!$G:$G, (MATCH(525, 輔助計算!$G$2:$G$801, 0)+1))&lt;=790,3,IF(INDEX(ERP資料!$G:$G, (MATCH(525, 輔助計算!$G$2:$G$801, 0)+1))&lt;=1181,2,1))))&gt;0, IF(IF(INDEX(ERP資料!$G:$G, (MATCH(525, 輔助計算!$G$2:$G$801, 0)+1))&lt;100, IF(INDEX(ERP資料!$G:$G, (MATCH(525, 輔助計算!$G$2:$G$801, 0)+1))&lt;=31,3,IF(INDEX(ERP資料!$G:$G, (MATCH(525, 輔助計算!$G$2:$G$801, 0)+1))&lt;=46.5,2,1)), IF(INDEX(ERP資料!$G:$G, (MATCH(525, 輔助計算!$G$2:$G$801, 0)+1))&lt;=790,3,IF(INDEX(ERP資料!$G:$G, (MATCH(525, 輔助計算!$G$2:$G$801, 0)+1))&lt;=1181,2,1)))=1,TEXT(INDEX(ERP資料!$G:$G, (MATCH(525, 輔助計算!$G$2:$G$801, 0)+1)),"0.##"),IF(IF(INDEX(ERP資料!$G:$G, (MATCH(525, 輔助計算!$G$2:$G$801, 0)+1))&lt;100, IF(INDEX(ERP資料!$G:$G, (MATCH(525, 輔助計算!$G$2:$G$801, 0)+1))&lt;=31,3,IF(INDEX(ERP資料!$G:$G, (MATCH(525, 輔助計算!$G$2:$G$801, 0)+1))&lt;=46.5,2,1)), IF(INDEX(ERP資料!$G:$G, (MATCH(525, 輔助計算!$G$2:$G$801, 0)+1))&lt;=790,3,IF(INDEX(ERP資料!$G:$G, (MATCH(525, 輔助計算!$G$2:$G$801, 0)+1))&lt;=1181,2,1)))=2,TEXT(INDEX(ERP資料!$G:$G, (MATCH(525, 輔助計算!$G$2:$G$801, 0)+1)),"0.##")&amp;"+"&amp;TEXT(INDEX(ERP資料!$G:$G, (MATCH(525, 輔助計算!$G$2:$G$801, 0)+1)),"0.##"),TEXT(INDEX(ERP資料!$G:$G, (MATCH(525, 輔助計算!$G$2:$G$801, 0)+1)),"0.##")&amp;"+"&amp;TEXT(INDEX(ERP資料!$G:$G, (MATCH(525, 輔助計算!$G$2:$G$801, 0)+1)),"0.##")&amp;"+"&amp;TEXT(INDEX(ERP資料!$G:$G, (MATCH(525, 輔助計算!$G$2:$G$801, 0)+1)),"0.##")))&amp;"-"&amp;INT(INDEX(輔助計算!$D:$D, (MATCH(525, 輔助計算!$G$2:$G$801, 0)+1))/IF(INDEX(ERP資料!$G:$G, (MATCH(525, 輔助計算!$G$2:$G$801, 0)+1))&lt;100, IF(INDEX(ERP資料!$G:$G, (MATCH(525, 輔助計算!$G$2:$G$801, 0)+1))&lt;=31,3,IF(INDEX(ERP資料!$G:$G, (MATCH(525, 輔助計算!$G$2:$G$801, 0)+1))&lt;=46.5,2,1)), IF(INDEX(ERP資料!$G:$G, (MATCH(525, 輔助計算!$G$2:$G$801, 0)+1))&lt;=790,3,IF(INDEX(ERP資料!$G:$G, (MATCH(525, 輔助計算!$G$2:$G$801, 0)+1))&lt;=1181,2,1)))), "")&lt;&gt;"",IF(MOD(INDEX(輔助計算!$D:$D, (MATCH(525, 輔助計算!$G$2:$G$801, 0)+1)),IF(INDEX(ERP資料!$G:$G, (MATCH(525, 輔助計算!$G$2:$G$801, 0)+1))&lt;100, IF(INDEX(ERP資料!$G:$G, (MATCH(525, 輔助計算!$G$2:$G$801, 0)+1))&lt;=31,3,IF(INDEX(ERP資料!$G:$G, (MATCH(525, 輔助計算!$G$2:$G$801, 0)+1))&lt;=46.5,2,1)), IF(INDEX(ERP資料!$G:$G, (MATCH(525, 輔助計算!$G$2:$G$801, 0)+1))&lt;=790,3,IF(INDEX(ERP資料!$G:$G, (MATCH(525, 輔助計算!$G$2:$G$801, 0)+1))&lt;=1181,2,1))))=0,"",IF(MOD(INDEX(輔助計算!$D:$D, (MATCH(525, 輔助計算!$G$2:$G$801, 0)+1)),IF(INDEX(ERP資料!$G:$G, (MATCH(525, 輔助計算!$G$2:$G$801, 0)+1))&lt;100, IF(INDEX(ERP資料!$G:$G, (MATCH(525, 輔助計算!$G$2:$G$801, 0)+1))&lt;=31,3,IF(INDEX(ERP資料!$G:$G, (MATCH(525, 輔助計算!$G$2:$G$801, 0)+1))&lt;=46.5,2,1)), IF(INDEX(ERP資料!$G:$G, (MATCH(525, 輔助計算!$G$2:$G$801, 0)+1))&lt;=790,3,IF(INDEX(ERP資料!$G:$G, (MATCH(525, 輔助計算!$G$2:$G$801, 0)+1))&lt;=1181,2,1))))=0,"",IF(MOD(INDEX(輔助計算!$D:$D, (MATCH(525, 輔助計算!$G$2:$G$801, 0)+1)),IF(INDEX(ERP資料!$G:$G, (MATCH(525, 輔助計算!$G$2:$G$801, 0)+1))&lt;100, IF(INDEX(ERP資料!$G:$G, (MATCH(525, 輔助計算!$G$2:$G$801, 0)+1))&lt;=31,3,IF(INDEX(ERP資料!$G:$G, (MATCH(525, 輔助計算!$G$2:$G$801, 0)+1))&lt;=46.5,2,1)), IF(INDEX(ERP資料!$G:$G, (MATCH(525, 輔助計算!$G$2:$G$801, 0)+1))&lt;=790,3,IF(INDEX(ERP資料!$G:$G, (MATCH(525, 輔助計算!$G$2:$G$801, 0)+1))&lt;=1181,2,1))))=1,TEXT(INDEX(ERP資料!$G:$G, (MATCH(525, 輔助計算!$G$2:$G$801, 0)+1)),"0.##"),IF(MOD(INDEX(輔助計算!$D:$D, (MATCH(525, 輔助計算!$G$2:$G$801, 0)+1)),IF(INDEX(ERP資料!$G:$G, (MATCH(525, 輔助計算!$G$2:$G$801, 0)+1))&lt;100, IF(INDEX(ERP資料!$G:$G, (MATCH(525, 輔助計算!$G$2:$G$801, 0)+1))&lt;=31,3,IF(INDEX(ERP資料!$G:$G, (MATCH(525, 輔助計算!$G$2:$G$801, 0)+1))&lt;=46.5,2,1)), IF(INDEX(ERP資料!$G:$G, (MATCH(525, 輔助計算!$G$2:$G$801, 0)+1))&lt;=790,3,IF(INDEX(ERP資料!$G:$G, (MATCH(525, 輔助計算!$G$2:$G$801, 0)+1))&lt;=1181,2,1))))=2,TEXT(INDEX(ERP資料!$G:$G, (MATCH(525, 輔助計算!$G$2:$G$801, 0)+1)),"0.##")&amp;"+"&amp;TEXT(INDEX(ERP資料!$G:$G, (MATCH(525, 輔助計算!$G$2:$G$801, 0)+1)),"0.##"),TEXT(INDEX(ERP資料!$G:$G, (MATCH(525, 輔助計算!$G$2:$G$801, 0)+1)),"0.##")&amp;"+"&amp;TEXT(INDEX(ERP資料!$G:$G, (MATCH(525, 輔助計算!$G$2:$G$801, 0)+1)),"0.##")&amp;"+"&amp;TEXT(INDEX(ERP資料!$G:$G, (MATCH(525, 輔助計算!$G$2:$G$801, 0)+1)),"0.##"))))&amp;"-1")&lt;&gt;""),"  ","")&amp;IF(MOD(INDEX(輔助計算!$D:$D, (MATCH(525, 輔助計算!$G$2:$G$801, 0)+1)),IF(INDEX(ERP資料!$G:$G, (MATCH(525, 輔助計算!$G$2:$G$801, 0)+1))&lt;100, IF(INDEX(ERP資料!$G:$G, (MATCH(525, 輔助計算!$G$2:$G$801, 0)+1))&lt;=31,3,IF(INDEX(ERP資料!$G:$G, (MATCH(525, 輔助計算!$G$2:$G$801, 0)+1))&lt;=46.5,2,1)), IF(INDEX(ERP資料!$G:$G, (MATCH(525, 輔助計算!$G$2:$G$801, 0)+1))&lt;=790,3,IF(INDEX(ERP資料!$G:$G, (MATCH(525, 輔助計算!$G$2:$G$801, 0)+1))&lt;=1181,2,1))))=0,"",IF(MOD(INDEX(輔助計算!$D:$D, (MATCH(525, 輔助計算!$G$2:$G$801, 0)+1)),IF(INDEX(ERP資料!$G:$G, (MATCH(525, 輔助計算!$G$2:$G$801, 0)+1))&lt;100, IF(INDEX(ERP資料!$G:$G, (MATCH(525, 輔助計算!$G$2:$G$801, 0)+1))&lt;=31,3,IF(INDEX(ERP資料!$G:$G, (MATCH(525, 輔助計算!$G$2:$G$801, 0)+1))&lt;=46.5,2,1)), IF(INDEX(ERP資料!$G:$G, (MATCH(525, 輔助計算!$G$2:$G$801, 0)+1))&lt;=790,3,IF(INDEX(ERP資料!$G:$G, (MATCH(525, 輔助計算!$G$2:$G$801, 0)+1))&lt;=1181,2,1))))=0,"",IF(MOD(INDEX(輔助計算!$D:$D, (MATCH(525, 輔助計算!$G$2:$G$801, 0)+1)),IF(INDEX(ERP資料!$G:$G, (MATCH(525, 輔助計算!$G$2:$G$801, 0)+1))&lt;100, IF(INDEX(ERP資料!$G:$G, (MATCH(525, 輔助計算!$G$2:$G$801, 0)+1))&lt;=31,3,IF(INDEX(ERP資料!$G:$G, (MATCH(525, 輔助計算!$G$2:$G$801, 0)+1))&lt;=46.5,2,1)), IF(INDEX(ERP資料!$G:$G, (MATCH(525, 輔助計算!$G$2:$G$801, 0)+1))&lt;=790,3,IF(INDEX(ERP資料!$G:$G, (MATCH(525, 輔助計算!$G$2:$G$801, 0)+1))&lt;=1181,2,1))))=1,TEXT(INDEX(ERP資料!$G:$G, (MATCH(525, 輔助計算!$G$2:$G$801, 0)+1)),"0.##"),IF(MOD(INDEX(輔助計算!$D:$D, (MATCH(525, 輔助計算!$G$2:$G$801, 0)+1)),IF(INDEX(ERP資料!$G:$G, (MATCH(525, 輔助計算!$G$2:$G$801, 0)+1))&lt;100, IF(INDEX(ERP資料!$G:$G, (MATCH(525, 輔助計算!$G$2:$G$801, 0)+1))&lt;=31,3,IF(INDEX(ERP資料!$G:$G, (MATCH(525, 輔助計算!$G$2:$G$801, 0)+1))&lt;=46.5,2,1)), IF(INDEX(ERP資料!$G:$G, (MATCH(525, 輔助計算!$G$2:$G$801, 0)+1))&lt;=790,3,IF(INDEX(ERP資料!$G:$G, (MATCH(525, 輔助計算!$G$2:$G$801, 0)+1))&lt;=1181,2,1))))=2,TEXT(INDEX(ERP資料!$G:$G, (MATCH(525, 輔助計算!$G$2:$G$801, 0)+1)),"0.##")&amp;"+"&amp;TEXT(INDEX(ERP資料!$G:$G, (MATCH(525, 輔助計算!$G$2:$G$801, 0)+1)),"0.##"),TEXT(INDEX(ERP資料!$G:$G, (MATCH(525, 輔助計算!$G$2:$G$801, 0)+1)),"0.##")&amp;"+"&amp;TEXT(INDEX(ERP資料!$G:$G, (MATCH(525, 輔助計算!$G$2:$G$801, 0)+1)),"0.##")&amp;"+"&amp;TEXT(INDEX(ERP資料!$G:$G, (MATCH(525, 輔助計算!$G$2:$G$801, 0)+1)),"0.##"))))&amp;"-1")), ""), "")</f>
        <v/>
      </c>
      <c r="K526" s="16" t="n"/>
      <c r="L526" s="14">
        <f>IFERROR(IF(AND(IFERROR(INDEX(ERP資料!$A:$A, (MATCH(525, 輔助計算!$G$2:$G$801, 0)+1)), "")&lt;&gt;"", IFERROR(INDEX(ERP資料!$A:$A, (MATCH(525, 輔助計算!$G$2:$G$801, 0)+1)), "")&lt;&gt;IFERROR(INDEX(ERP資料!$A:$A, MATCH(524, 輔助計算!$G$2:$G$801, 0)+1), "")), INDEX(ERP資料!$B:$B, (MATCH(525, 輔助計算!$G$2:$G$801, 0)+1)), ""), "")</f>
        <v/>
      </c>
      <c r="M526" s="17" t="n"/>
    </row>
    <row r="527">
      <c r="A527" s="10">
        <f>IFERROR(IF(AND(IFERROR(INDEX(ERP資料!$A:$A, (MATCH(526, 輔助計算!$G$2:$G$801, 0)+1)), "")&lt;&gt;"", IFERROR(INDEX(ERP資料!$A:$A, (MATCH(526, 輔助計算!$G$2:$G$801, 0)+1)), "")&lt;&gt;IFERROR(INDEX(ERP資料!$A:$A, MATCH(525, 輔助計算!$G$2:$G$801, 0)+1), "")), IFERROR(INDEX(ERP資料!$A:$A, (MATCH(526, 輔助計算!$G$2:$G$801, 0)+1)), ""), ""), "")</f>
        <v/>
      </c>
      <c r="B527" s="10">
        <f>IFERROR(IF(AND(IFERROR(INDEX(ERP資料!$A:$A, (MATCH(526, 輔助計算!$G$2:$G$801, 0)+1)), "")&lt;&gt;"", IFERROR(INDEX(ERP資料!$A:$A, (MATCH(526, 輔助計算!$G$2:$G$801, 0)+1)), "")&lt;&gt;IFERROR(INDEX(ERP資料!$A:$A, MATCH(525, 輔助計算!$G$2:$G$801, 0)+1), "")), INDEX(ERP資料!$S:$S, (MATCH(526, 輔助計算!$G$2:$G$801, 0)+1)), ""), "")</f>
        <v/>
      </c>
      <c r="C527" s="19">
        <f>IFERROR(IF(AND(IFERROR(INDEX(ERP資料!$A:$A, (MATCH(526, 輔助計算!$G$2:$G$801, 0)+1)), "")&lt;&gt;"", IFERROR(INDEX(ERP資料!$A:$A, (MATCH(526, 輔助計算!$G$2:$G$801, 0)+1)), "")&lt;&gt;IFERROR(INDEX(ERP資料!$A:$A, MATCH(525, 輔助計算!$G$2:$G$801, 0)+1), "")), IFERROR(VLOOKUP(LEFT(INDEX(ERP資料!$S:$S, (MATCH(526, 輔助計算!$G$2:$G$801, 0)+1)), 4), 紙管對照表!$A:$C, 3, FALSE), ""), ""), "")</f>
        <v/>
      </c>
      <c r="D527" s="16" t="n"/>
      <c r="E527" s="10">
        <f>IFERROR(IF(INDEX(ERP資料!$H:$H, (MATCH(526, 輔助計算!$G$2:$G$801, 0)+1))="","",INDEX(ERP資料!$H:$H, (MATCH(526, 輔助計算!$G$2:$G$801, 0)+1))), "")</f>
        <v/>
      </c>
      <c r="F527" s="10">
        <f>IFERROR(IF(INDEX(ERP資料!$E:$E, (MATCH(526, 輔助計算!$G$2:$G$801, 0)+1))="","",TRIM(INDEX(ERP資料!$E:$E, (MATCH(526, 輔助計算!$G$2:$G$801, 0)+1)))), "")</f>
        <v/>
      </c>
      <c r="G527" s="10">
        <f>IFERROR(IF(INDEX(ERP資料!$F:$F, (MATCH(526, 輔助計算!$G$2:$G$801, 0)+1))="","",INDEX(ERP資料!$F:$F, (MATCH(526, 輔助計算!$G$2:$G$801, 0)+1))), "")</f>
        <v/>
      </c>
      <c r="H527" s="10">
        <f>IFERROR(IF(INDEX(ERP資料!$G:$G, (MATCH(526, 輔助計算!$G$2:$G$801, 0)+1))="","",INDEX(ERP資料!$G:$G, (MATCH(526, 輔助計算!$G$2:$G$801, 0)+1))), "")</f>
        <v/>
      </c>
      <c r="I527" s="15">
        <f>IFERROR(INDEX(輔助計算!$D:$D, (MATCH(526, 輔助計算!$G$2:$G$801, 0)+1)), "")</f>
        <v/>
      </c>
      <c r="J527" s="15">
        <f>IFERROR(IF(AND(INDEX(輔助計算!$D:$D, (MATCH(526, 輔助計算!$G$2:$G$801, 0)+1))&lt;&gt;"", INDEX(ERP資料!$G:$G, (MATCH(526, 輔助計算!$G$2:$G$801, 0)+1))&lt;&gt;""), TRIM(IF(INT(INDEX(輔助計算!$D:$D, (MATCH(526, 輔助計算!$G$2:$G$801, 0)+1))/IF(INDEX(ERP資料!$G:$G, (MATCH(526, 輔助計算!$G$2:$G$801, 0)+1))&lt;100, IF(INDEX(ERP資料!$G:$G, (MATCH(526, 輔助計算!$G$2:$G$801, 0)+1))&lt;=31,3,IF(INDEX(ERP資料!$G:$G, (MATCH(526, 輔助計算!$G$2:$G$801, 0)+1))&lt;=46.5,2,1)), IF(INDEX(ERP資料!$G:$G, (MATCH(526, 輔助計算!$G$2:$G$801, 0)+1))&lt;=790,3,IF(INDEX(ERP資料!$G:$G, (MATCH(526, 輔助計算!$G$2:$G$801, 0)+1))&lt;=1181,2,1))))&gt;0, IF(IF(INDEX(ERP資料!$G:$G, (MATCH(526, 輔助計算!$G$2:$G$801, 0)+1))&lt;100, IF(INDEX(ERP資料!$G:$G, (MATCH(526, 輔助計算!$G$2:$G$801, 0)+1))&lt;=31,3,IF(INDEX(ERP資料!$G:$G, (MATCH(526, 輔助計算!$G$2:$G$801, 0)+1))&lt;=46.5,2,1)), IF(INDEX(ERP資料!$G:$G, (MATCH(526, 輔助計算!$G$2:$G$801, 0)+1))&lt;=790,3,IF(INDEX(ERP資料!$G:$G, (MATCH(526, 輔助計算!$G$2:$G$801, 0)+1))&lt;=1181,2,1)))=1,TEXT(INDEX(ERP資料!$G:$G, (MATCH(526, 輔助計算!$G$2:$G$801, 0)+1)),"0.##"),IF(IF(INDEX(ERP資料!$G:$G, (MATCH(526, 輔助計算!$G$2:$G$801, 0)+1))&lt;100, IF(INDEX(ERP資料!$G:$G, (MATCH(526, 輔助計算!$G$2:$G$801, 0)+1))&lt;=31,3,IF(INDEX(ERP資料!$G:$G, (MATCH(526, 輔助計算!$G$2:$G$801, 0)+1))&lt;=46.5,2,1)), IF(INDEX(ERP資料!$G:$G, (MATCH(526, 輔助計算!$G$2:$G$801, 0)+1))&lt;=790,3,IF(INDEX(ERP資料!$G:$G, (MATCH(526, 輔助計算!$G$2:$G$801, 0)+1))&lt;=1181,2,1)))=2,TEXT(INDEX(ERP資料!$G:$G, (MATCH(526, 輔助計算!$G$2:$G$801, 0)+1)),"0.##")&amp;"+"&amp;TEXT(INDEX(ERP資料!$G:$G, (MATCH(526, 輔助計算!$G$2:$G$801, 0)+1)),"0.##"),TEXT(INDEX(ERP資料!$G:$G, (MATCH(526, 輔助計算!$G$2:$G$801, 0)+1)),"0.##")&amp;"+"&amp;TEXT(INDEX(ERP資料!$G:$G, (MATCH(526, 輔助計算!$G$2:$G$801, 0)+1)),"0.##")&amp;"+"&amp;TEXT(INDEX(ERP資料!$G:$G, (MATCH(526, 輔助計算!$G$2:$G$801, 0)+1)),"0.##")))&amp;"-"&amp;INT(INDEX(輔助計算!$D:$D, (MATCH(526, 輔助計算!$G$2:$G$801, 0)+1))/IF(INDEX(ERP資料!$G:$G, (MATCH(526, 輔助計算!$G$2:$G$801, 0)+1))&lt;100, IF(INDEX(ERP資料!$G:$G, (MATCH(526, 輔助計算!$G$2:$G$801, 0)+1))&lt;=31,3,IF(INDEX(ERP資料!$G:$G, (MATCH(526, 輔助計算!$G$2:$G$801, 0)+1))&lt;=46.5,2,1)), IF(INDEX(ERP資料!$G:$G, (MATCH(526, 輔助計算!$G$2:$G$801, 0)+1))&lt;=790,3,IF(INDEX(ERP資料!$G:$G, (MATCH(526, 輔助計算!$G$2:$G$801, 0)+1))&lt;=1181,2,1)))), "")&amp;IF(AND(IF(INT(INDEX(輔助計算!$D:$D, (MATCH(526, 輔助計算!$G$2:$G$801, 0)+1))/IF(INDEX(ERP資料!$G:$G, (MATCH(526, 輔助計算!$G$2:$G$801, 0)+1))&lt;100, IF(INDEX(ERP資料!$G:$G, (MATCH(526, 輔助計算!$G$2:$G$801, 0)+1))&lt;=31,3,IF(INDEX(ERP資料!$G:$G, (MATCH(526, 輔助計算!$G$2:$G$801, 0)+1))&lt;=46.5,2,1)), IF(INDEX(ERP資料!$G:$G, (MATCH(526, 輔助計算!$G$2:$G$801, 0)+1))&lt;=790,3,IF(INDEX(ERP資料!$G:$G, (MATCH(526, 輔助計算!$G$2:$G$801, 0)+1))&lt;=1181,2,1))))&gt;0, IF(IF(INDEX(ERP資料!$G:$G, (MATCH(526, 輔助計算!$G$2:$G$801, 0)+1))&lt;100, IF(INDEX(ERP資料!$G:$G, (MATCH(526, 輔助計算!$G$2:$G$801, 0)+1))&lt;=31,3,IF(INDEX(ERP資料!$G:$G, (MATCH(526, 輔助計算!$G$2:$G$801, 0)+1))&lt;=46.5,2,1)), IF(INDEX(ERP資料!$G:$G, (MATCH(526, 輔助計算!$G$2:$G$801, 0)+1))&lt;=790,3,IF(INDEX(ERP資料!$G:$G, (MATCH(526, 輔助計算!$G$2:$G$801, 0)+1))&lt;=1181,2,1)))=1,TEXT(INDEX(ERP資料!$G:$G, (MATCH(526, 輔助計算!$G$2:$G$801, 0)+1)),"0.##"),IF(IF(INDEX(ERP資料!$G:$G, (MATCH(526, 輔助計算!$G$2:$G$801, 0)+1))&lt;100, IF(INDEX(ERP資料!$G:$G, (MATCH(526, 輔助計算!$G$2:$G$801, 0)+1))&lt;=31,3,IF(INDEX(ERP資料!$G:$G, (MATCH(526, 輔助計算!$G$2:$G$801, 0)+1))&lt;=46.5,2,1)), IF(INDEX(ERP資料!$G:$G, (MATCH(526, 輔助計算!$G$2:$G$801, 0)+1))&lt;=790,3,IF(INDEX(ERP資料!$G:$G, (MATCH(526, 輔助計算!$G$2:$G$801, 0)+1))&lt;=1181,2,1)))=2,TEXT(INDEX(ERP資料!$G:$G, (MATCH(526, 輔助計算!$G$2:$G$801, 0)+1)),"0.##")&amp;"+"&amp;TEXT(INDEX(ERP資料!$G:$G, (MATCH(526, 輔助計算!$G$2:$G$801, 0)+1)),"0.##"),TEXT(INDEX(ERP資料!$G:$G, (MATCH(526, 輔助計算!$G$2:$G$801, 0)+1)),"0.##")&amp;"+"&amp;TEXT(INDEX(ERP資料!$G:$G, (MATCH(526, 輔助計算!$G$2:$G$801, 0)+1)),"0.##")&amp;"+"&amp;TEXT(INDEX(ERP資料!$G:$G, (MATCH(526, 輔助計算!$G$2:$G$801, 0)+1)),"0.##")))&amp;"-"&amp;INT(INDEX(輔助計算!$D:$D, (MATCH(526, 輔助計算!$G$2:$G$801, 0)+1))/IF(INDEX(ERP資料!$G:$G, (MATCH(526, 輔助計算!$G$2:$G$801, 0)+1))&lt;100, IF(INDEX(ERP資料!$G:$G, (MATCH(526, 輔助計算!$G$2:$G$801, 0)+1))&lt;=31,3,IF(INDEX(ERP資料!$G:$G, (MATCH(526, 輔助計算!$G$2:$G$801, 0)+1))&lt;=46.5,2,1)), IF(INDEX(ERP資料!$G:$G, (MATCH(526, 輔助計算!$G$2:$G$801, 0)+1))&lt;=790,3,IF(INDEX(ERP資料!$G:$G, (MATCH(526, 輔助計算!$G$2:$G$801, 0)+1))&lt;=1181,2,1)))), "")&lt;&gt;"",IF(MOD(INDEX(輔助計算!$D:$D, (MATCH(526, 輔助計算!$G$2:$G$801, 0)+1)),IF(INDEX(ERP資料!$G:$G, (MATCH(526, 輔助計算!$G$2:$G$801, 0)+1))&lt;100, IF(INDEX(ERP資料!$G:$G, (MATCH(526, 輔助計算!$G$2:$G$801, 0)+1))&lt;=31,3,IF(INDEX(ERP資料!$G:$G, (MATCH(526, 輔助計算!$G$2:$G$801, 0)+1))&lt;=46.5,2,1)), IF(INDEX(ERP資料!$G:$G, (MATCH(526, 輔助計算!$G$2:$G$801, 0)+1))&lt;=790,3,IF(INDEX(ERP資料!$G:$G, (MATCH(526, 輔助計算!$G$2:$G$801, 0)+1))&lt;=1181,2,1))))=0,"",IF(MOD(INDEX(輔助計算!$D:$D, (MATCH(526, 輔助計算!$G$2:$G$801, 0)+1)),IF(INDEX(ERP資料!$G:$G, (MATCH(526, 輔助計算!$G$2:$G$801, 0)+1))&lt;100, IF(INDEX(ERP資料!$G:$G, (MATCH(526, 輔助計算!$G$2:$G$801, 0)+1))&lt;=31,3,IF(INDEX(ERP資料!$G:$G, (MATCH(526, 輔助計算!$G$2:$G$801, 0)+1))&lt;=46.5,2,1)), IF(INDEX(ERP資料!$G:$G, (MATCH(526, 輔助計算!$G$2:$G$801, 0)+1))&lt;=790,3,IF(INDEX(ERP資料!$G:$G, (MATCH(526, 輔助計算!$G$2:$G$801, 0)+1))&lt;=1181,2,1))))=0,"",IF(MOD(INDEX(輔助計算!$D:$D, (MATCH(526, 輔助計算!$G$2:$G$801, 0)+1)),IF(INDEX(ERP資料!$G:$G, (MATCH(526, 輔助計算!$G$2:$G$801, 0)+1))&lt;100, IF(INDEX(ERP資料!$G:$G, (MATCH(526, 輔助計算!$G$2:$G$801, 0)+1))&lt;=31,3,IF(INDEX(ERP資料!$G:$G, (MATCH(526, 輔助計算!$G$2:$G$801, 0)+1))&lt;=46.5,2,1)), IF(INDEX(ERP資料!$G:$G, (MATCH(526, 輔助計算!$G$2:$G$801, 0)+1))&lt;=790,3,IF(INDEX(ERP資料!$G:$G, (MATCH(526, 輔助計算!$G$2:$G$801, 0)+1))&lt;=1181,2,1))))=1,TEXT(INDEX(ERP資料!$G:$G, (MATCH(526, 輔助計算!$G$2:$G$801, 0)+1)),"0.##"),IF(MOD(INDEX(輔助計算!$D:$D, (MATCH(526, 輔助計算!$G$2:$G$801, 0)+1)),IF(INDEX(ERP資料!$G:$G, (MATCH(526, 輔助計算!$G$2:$G$801, 0)+1))&lt;100, IF(INDEX(ERP資料!$G:$G, (MATCH(526, 輔助計算!$G$2:$G$801, 0)+1))&lt;=31,3,IF(INDEX(ERP資料!$G:$G, (MATCH(526, 輔助計算!$G$2:$G$801, 0)+1))&lt;=46.5,2,1)), IF(INDEX(ERP資料!$G:$G, (MATCH(526, 輔助計算!$G$2:$G$801, 0)+1))&lt;=790,3,IF(INDEX(ERP資料!$G:$G, (MATCH(526, 輔助計算!$G$2:$G$801, 0)+1))&lt;=1181,2,1))))=2,TEXT(INDEX(ERP資料!$G:$G, (MATCH(526, 輔助計算!$G$2:$G$801, 0)+1)),"0.##")&amp;"+"&amp;TEXT(INDEX(ERP資料!$G:$G, (MATCH(526, 輔助計算!$G$2:$G$801, 0)+1)),"0.##"),TEXT(INDEX(ERP資料!$G:$G, (MATCH(526, 輔助計算!$G$2:$G$801, 0)+1)),"0.##")&amp;"+"&amp;TEXT(INDEX(ERP資料!$G:$G, (MATCH(526, 輔助計算!$G$2:$G$801, 0)+1)),"0.##")&amp;"+"&amp;TEXT(INDEX(ERP資料!$G:$G, (MATCH(526, 輔助計算!$G$2:$G$801, 0)+1)),"0.##"))))&amp;"-1")&lt;&gt;""),"  ","")&amp;IF(MOD(INDEX(輔助計算!$D:$D, (MATCH(526, 輔助計算!$G$2:$G$801, 0)+1)),IF(INDEX(ERP資料!$G:$G, (MATCH(526, 輔助計算!$G$2:$G$801, 0)+1))&lt;100, IF(INDEX(ERP資料!$G:$G, (MATCH(526, 輔助計算!$G$2:$G$801, 0)+1))&lt;=31,3,IF(INDEX(ERP資料!$G:$G, (MATCH(526, 輔助計算!$G$2:$G$801, 0)+1))&lt;=46.5,2,1)), IF(INDEX(ERP資料!$G:$G, (MATCH(526, 輔助計算!$G$2:$G$801, 0)+1))&lt;=790,3,IF(INDEX(ERP資料!$G:$G, (MATCH(526, 輔助計算!$G$2:$G$801, 0)+1))&lt;=1181,2,1))))=0,"",IF(MOD(INDEX(輔助計算!$D:$D, (MATCH(526, 輔助計算!$G$2:$G$801, 0)+1)),IF(INDEX(ERP資料!$G:$G, (MATCH(526, 輔助計算!$G$2:$G$801, 0)+1))&lt;100, IF(INDEX(ERP資料!$G:$G, (MATCH(526, 輔助計算!$G$2:$G$801, 0)+1))&lt;=31,3,IF(INDEX(ERP資料!$G:$G, (MATCH(526, 輔助計算!$G$2:$G$801, 0)+1))&lt;=46.5,2,1)), IF(INDEX(ERP資料!$G:$G, (MATCH(526, 輔助計算!$G$2:$G$801, 0)+1))&lt;=790,3,IF(INDEX(ERP資料!$G:$G, (MATCH(526, 輔助計算!$G$2:$G$801, 0)+1))&lt;=1181,2,1))))=0,"",IF(MOD(INDEX(輔助計算!$D:$D, (MATCH(526, 輔助計算!$G$2:$G$801, 0)+1)),IF(INDEX(ERP資料!$G:$G, (MATCH(526, 輔助計算!$G$2:$G$801, 0)+1))&lt;100, IF(INDEX(ERP資料!$G:$G, (MATCH(526, 輔助計算!$G$2:$G$801, 0)+1))&lt;=31,3,IF(INDEX(ERP資料!$G:$G, (MATCH(526, 輔助計算!$G$2:$G$801, 0)+1))&lt;=46.5,2,1)), IF(INDEX(ERP資料!$G:$G, (MATCH(526, 輔助計算!$G$2:$G$801, 0)+1))&lt;=790,3,IF(INDEX(ERP資料!$G:$G, (MATCH(526, 輔助計算!$G$2:$G$801, 0)+1))&lt;=1181,2,1))))=1,TEXT(INDEX(ERP資料!$G:$G, (MATCH(526, 輔助計算!$G$2:$G$801, 0)+1)),"0.##"),IF(MOD(INDEX(輔助計算!$D:$D, (MATCH(526, 輔助計算!$G$2:$G$801, 0)+1)),IF(INDEX(ERP資料!$G:$G, (MATCH(526, 輔助計算!$G$2:$G$801, 0)+1))&lt;100, IF(INDEX(ERP資料!$G:$G, (MATCH(526, 輔助計算!$G$2:$G$801, 0)+1))&lt;=31,3,IF(INDEX(ERP資料!$G:$G, (MATCH(526, 輔助計算!$G$2:$G$801, 0)+1))&lt;=46.5,2,1)), IF(INDEX(ERP資料!$G:$G, (MATCH(526, 輔助計算!$G$2:$G$801, 0)+1))&lt;=790,3,IF(INDEX(ERP資料!$G:$G, (MATCH(526, 輔助計算!$G$2:$G$801, 0)+1))&lt;=1181,2,1))))=2,TEXT(INDEX(ERP資料!$G:$G, (MATCH(526, 輔助計算!$G$2:$G$801, 0)+1)),"0.##")&amp;"+"&amp;TEXT(INDEX(ERP資料!$G:$G, (MATCH(526, 輔助計算!$G$2:$G$801, 0)+1)),"0.##"),TEXT(INDEX(ERP資料!$G:$G, (MATCH(526, 輔助計算!$G$2:$G$801, 0)+1)),"0.##")&amp;"+"&amp;TEXT(INDEX(ERP資料!$G:$G, (MATCH(526, 輔助計算!$G$2:$G$801, 0)+1)),"0.##")&amp;"+"&amp;TEXT(INDEX(ERP資料!$G:$G, (MATCH(526, 輔助計算!$G$2:$G$801, 0)+1)),"0.##"))))&amp;"-1")), ""), "")</f>
        <v/>
      </c>
      <c r="K527" s="16" t="n"/>
      <c r="L527" s="14">
        <f>IFERROR(IF(AND(IFERROR(INDEX(ERP資料!$A:$A, (MATCH(526, 輔助計算!$G$2:$G$801, 0)+1)), "")&lt;&gt;"", IFERROR(INDEX(ERP資料!$A:$A, (MATCH(526, 輔助計算!$G$2:$G$801, 0)+1)), "")&lt;&gt;IFERROR(INDEX(ERP資料!$A:$A, MATCH(525, 輔助計算!$G$2:$G$801, 0)+1), "")), INDEX(ERP資料!$B:$B, (MATCH(526, 輔助計算!$G$2:$G$801, 0)+1)), ""), "")</f>
        <v/>
      </c>
      <c r="M527" s="17" t="n"/>
    </row>
    <row r="528">
      <c r="A528" s="10">
        <f>IFERROR(IF(AND(IFERROR(INDEX(ERP資料!$A:$A, (MATCH(527, 輔助計算!$G$2:$G$801, 0)+1)), "")&lt;&gt;"", IFERROR(INDEX(ERP資料!$A:$A, (MATCH(527, 輔助計算!$G$2:$G$801, 0)+1)), "")&lt;&gt;IFERROR(INDEX(ERP資料!$A:$A, MATCH(526, 輔助計算!$G$2:$G$801, 0)+1), "")), IFERROR(INDEX(ERP資料!$A:$A, (MATCH(527, 輔助計算!$G$2:$G$801, 0)+1)), ""), ""), "")</f>
        <v/>
      </c>
      <c r="B528" s="10">
        <f>IFERROR(IF(AND(IFERROR(INDEX(ERP資料!$A:$A, (MATCH(527, 輔助計算!$G$2:$G$801, 0)+1)), "")&lt;&gt;"", IFERROR(INDEX(ERP資料!$A:$A, (MATCH(527, 輔助計算!$G$2:$G$801, 0)+1)), "")&lt;&gt;IFERROR(INDEX(ERP資料!$A:$A, MATCH(526, 輔助計算!$G$2:$G$801, 0)+1), "")), INDEX(ERP資料!$S:$S, (MATCH(527, 輔助計算!$G$2:$G$801, 0)+1)), ""), "")</f>
        <v/>
      </c>
      <c r="C528" s="19">
        <f>IFERROR(IF(AND(IFERROR(INDEX(ERP資料!$A:$A, (MATCH(527, 輔助計算!$G$2:$G$801, 0)+1)), "")&lt;&gt;"", IFERROR(INDEX(ERP資料!$A:$A, (MATCH(527, 輔助計算!$G$2:$G$801, 0)+1)), "")&lt;&gt;IFERROR(INDEX(ERP資料!$A:$A, MATCH(526, 輔助計算!$G$2:$G$801, 0)+1), "")), IFERROR(VLOOKUP(LEFT(INDEX(ERP資料!$S:$S, (MATCH(527, 輔助計算!$G$2:$G$801, 0)+1)), 4), 紙管對照表!$A:$C, 3, FALSE), ""), ""), "")</f>
        <v/>
      </c>
      <c r="D528" s="16" t="n"/>
      <c r="E528" s="10">
        <f>IFERROR(IF(INDEX(ERP資料!$H:$H, (MATCH(527, 輔助計算!$G$2:$G$801, 0)+1))="","",INDEX(ERP資料!$H:$H, (MATCH(527, 輔助計算!$G$2:$G$801, 0)+1))), "")</f>
        <v/>
      </c>
      <c r="F528" s="10">
        <f>IFERROR(IF(INDEX(ERP資料!$E:$E, (MATCH(527, 輔助計算!$G$2:$G$801, 0)+1))="","",TRIM(INDEX(ERP資料!$E:$E, (MATCH(527, 輔助計算!$G$2:$G$801, 0)+1)))), "")</f>
        <v/>
      </c>
      <c r="G528" s="10">
        <f>IFERROR(IF(INDEX(ERP資料!$F:$F, (MATCH(527, 輔助計算!$G$2:$G$801, 0)+1))="","",INDEX(ERP資料!$F:$F, (MATCH(527, 輔助計算!$G$2:$G$801, 0)+1))), "")</f>
        <v/>
      </c>
      <c r="H528" s="10">
        <f>IFERROR(IF(INDEX(ERP資料!$G:$G, (MATCH(527, 輔助計算!$G$2:$G$801, 0)+1))="","",INDEX(ERP資料!$G:$G, (MATCH(527, 輔助計算!$G$2:$G$801, 0)+1))), "")</f>
        <v/>
      </c>
      <c r="I528" s="15">
        <f>IFERROR(INDEX(輔助計算!$D:$D, (MATCH(527, 輔助計算!$G$2:$G$801, 0)+1)), "")</f>
        <v/>
      </c>
      <c r="J528" s="15">
        <f>IFERROR(IF(AND(INDEX(輔助計算!$D:$D, (MATCH(527, 輔助計算!$G$2:$G$801, 0)+1))&lt;&gt;"", INDEX(ERP資料!$G:$G, (MATCH(527, 輔助計算!$G$2:$G$801, 0)+1))&lt;&gt;""), TRIM(IF(INT(INDEX(輔助計算!$D:$D, (MATCH(527, 輔助計算!$G$2:$G$801, 0)+1))/IF(INDEX(ERP資料!$G:$G, (MATCH(527, 輔助計算!$G$2:$G$801, 0)+1))&lt;100, IF(INDEX(ERP資料!$G:$G, (MATCH(527, 輔助計算!$G$2:$G$801, 0)+1))&lt;=31,3,IF(INDEX(ERP資料!$G:$G, (MATCH(527, 輔助計算!$G$2:$G$801, 0)+1))&lt;=46.5,2,1)), IF(INDEX(ERP資料!$G:$G, (MATCH(527, 輔助計算!$G$2:$G$801, 0)+1))&lt;=790,3,IF(INDEX(ERP資料!$G:$G, (MATCH(527, 輔助計算!$G$2:$G$801, 0)+1))&lt;=1181,2,1))))&gt;0, IF(IF(INDEX(ERP資料!$G:$G, (MATCH(527, 輔助計算!$G$2:$G$801, 0)+1))&lt;100, IF(INDEX(ERP資料!$G:$G, (MATCH(527, 輔助計算!$G$2:$G$801, 0)+1))&lt;=31,3,IF(INDEX(ERP資料!$G:$G, (MATCH(527, 輔助計算!$G$2:$G$801, 0)+1))&lt;=46.5,2,1)), IF(INDEX(ERP資料!$G:$G, (MATCH(527, 輔助計算!$G$2:$G$801, 0)+1))&lt;=790,3,IF(INDEX(ERP資料!$G:$G, (MATCH(527, 輔助計算!$G$2:$G$801, 0)+1))&lt;=1181,2,1)))=1,TEXT(INDEX(ERP資料!$G:$G, (MATCH(527, 輔助計算!$G$2:$G$801, 0)+1)),"0.##"),IF(IF(INDEX(ERP資料!$G:$G, (MATCH(527, 輔助計算!$G$2:$G$801, 0)+1))&lt;100, IF(INDEX(ERP資料!$G:$G, (MATCH(527, 輔助計算!$G$2:$G$801, 0)+1))&lt;=31,3,IF(INDEX(ERP資料!$G:$G, (MATCH(527, 輔助計算!$G$2:$G$801, 0)+1))&lt;=46.5,2,1)), IF(INDEX(ERP資料!$G:$G, (MATCH(527, 輔助計算!$G$2:$G$801, 0)+1))&lt;=790,3,IF(INDEX(ERP資料!$G:$G, (MATCH(527, 輔助計算!$G$2:$G$801, 0)+1))&lt;=1181,2,1)))=2,TEXT(INDEX(ERP資料!$G:$G, (MATCH(527, 輔助計算!$G$2:$G$801, 0)+1)),"0.##")&amp;"+"&amp;TEXT(INDEX(ERP資料!$G:$G, (MATCH(527, 輔助計算!$G$2:$G$801, 0)+1)),"0.##"),TEXT(INDEX(ERP資料!$G:$G, (MATCH(527, 輔助計算!$G$2:$G$801, 0)+1)),"0.##")&amp;"+"&amp;TEXT(INDEX(ERP資料!$G:$G, (MATCH(527, 輔助計算!$G$2:$G$801, 0)+1)),"0.##")&amp;"+"&amp;TEXT(INDEX(ERP資料!$G:$G, (MATCH(527, 輔助計算!$G$2:$G$801, 0)+1)),"0.##")))&amp;"-"&amp;INT(INDEX(輔助計算!$D:$D, (MATCH(527, 輔助計算!$G$2:$G$801, 0)+1))/IF(INDEX(ERP資料!$G:$G, (MATCH(527, 輔助計算!$G$2:$G$801, 0)+1))&lt;100, IF(INDEX(ERP資料!$G:$G, (MATCH(527, 輔助計算!$G$2:$G$801, 0)+1))&lt;=31,3,IF(INDEX(ERP資料!$G:$G, (MATCH(527, 輔助計算!$G$2:$G$801, 0)+1))&lt;=46.5,2,1)), IF(INDEX(ERP資料!$G:$G, (MATCH(527, 輔助計算!$G$2:$G$801, 0)+1))&lt;=790,3,IF(INDEX(ERP資料!$G:$G, (MATCH(527, 輔助計算!$G$2:$G$801, 0)+1))&lt;=1181,2,1)))), "")&amp;IF(AND(IF(INT(INDEX(輔助計算!$D:$D, (MATCH(527, 輔助計算!$G$2:$G$801, 0)+1))/IF(INDEX(ERP資料!$G:$G, (MATCH(527, 輔助計算!$G$2:$G$801, 0)+1))&lt;100, IF(INDEX(ERP資料!$G:$G, (MATCH(527, 輔助計算!$G$2:$G$801, 0)+1))&lt;=31,3,IF(INDEX(ERP資料!$G:$G, (MATCH(527, 輔助計算!$G$2:$G$801, 0)+1))&lt;=46.5,2,1)), IF(INDEX(ERP資料!$G:$G, (MATCH(527, 輔助計算!$G$2:$G$801, 0)+1))&lt;=790,3,IF(INDEX(ERP資料!$G:$G, (MATCH(527, 輔助計算!$G$2:$G$801, 0)+1))&lt;=1181,2,1))))&gt;0, IF(IF(INDEX(ERP資料!$G:$G, (MATCH(527, 輔助計算!$G$2:$G$801, 0)+1))&lt;100, IF(INDEX(ERP資料!$G:$G, (MATCH(527, 輔助計算!$G$2:$G$801, 0)+1))&lt;=31,3,IF(INDEX(ERP資料!$G:$G, (MATCH(527, 輔助計算!$G$2:$G$801, 0)+1))&lt;=46.5,2,1)), IF(INDEX(ERP資料!$G:$G, (MATCH(527, 輔助計算!$G$2:$G$801, 0)+1))&lt;=790,3,IF(INDEX(ERP資料!$G:$G, (MATCH(527, 輔助計算!$G$2:$G$801, 0)+1))&lt;=1181,2,1)))=1,TEXT(INDEX(ERP資料!$G:$G, (MATCH(527, 輔助計算!$G$2:$G$801, 0)+1)),"0.##"),IF(IF(INDEX(ERP資料!$G:$G, (MATCH(527, 輔助計算!$G$2:$G$801, 0)+1))&lt;100, IF(INDEX(ERP資料!$G:$G, (MATCH(527, 輔助計算!$G$2:$G$801, 0)+1))&lt;=31,3,IF(INDEX(ERP資料!$G:$G, (MATCH(527, 輔助計算!$G$2:$G$801, 0)+1))&lt;=46.5,2,1)), IF(INDEX(ERP資料!$G:$G, (MATCH(527, 輔助計算!$G$2:$G$801, 0)+1))&lt;=790,3,IF(INDEX(ERP資料!$G:$G, (MATCH(527, 輔助計算!$G$2:$G$801, 0)+1))&lt;=1181,2,1)))=2,TEXT(INDEX(ERP資料!$G:$G, (MATCH(527, 輔助計算!$G$2:$G$801, 0)+1)),"0.##")&amp;"+"&amp;TEXT(INDEX(ERP資料!$G:$G, (MATCH(527, 輔助計算!$G$2:$G$801, 0)+1)),"0.##"),TEXT(INDEX(ERP資料!$G:$G, (MATCH(527, 輔助計算!$G$2:$G$801, 0)+1)),"0.##")&amp;"+"&amp;TEXT(INDEX(ERP資料!$G:$G, (MATCH(527, 輔助計算!$G$2:$G$801, 0)+1)),"0.##")&amp;"+"&amp;TEXT(INDEX(ERP資料!$G:$G, (MATCH(527, 輔助計算!$G$2:$G$801, 0)+1)),"0.##")))&amp;"-"&amp;INT(INDEX(輔助計算!$D:$D, (MATCH(527, 輔助計算!$G$2:$G$801, 0)+1))/IF(INDEX(ERP資料!$G:$G, (MATCH(527, 輔助計算!$G$2:$G$801, 0)+1))&lt;100, IF(INDEX(ERP資料!$G:$G, (MATCH(527, 輔助計算!$G$2:$G$801, 0)+1))&lt;=31,3,IF(INDEX(ERP資料!$G:$G, (MATCH(527, 輔助計算!$G$2:$G$801, 0)+1))&lt;=46.5,2,1)), IF(INDEX(ERP資料!$G:$G, (MATCH(527, 輔助計算!$G$2:$G$801, 0)+1))&lt;=790,3,IF(INDEX(ERP資料!$G:$G, (MATCH(527, 輔助計算!$G$2:$G$801, 0)+1))&lt;=1181,2,1)))), "")&lt;&gt;"",IF(MOD(INDEX(輔助計算!$D:$D, (MATCH(527, 輔助計算!$G$2:$G$801, 0)+1)),IF(INDEX(ERP資料!$G:$G, (MATCH(527, 輔助計算!$G$2:$G$801, 0)+1))&lt;100, IF(INDEX(ERP資料!$G:$G, (MATCH(527, 輔助計算!$G$2:$G$801, 0)+1))&lt;=31,3,IF(INDEX(ERP資料!$G:$G, (MATCH(527, 輔助計算!$G$2:$G$801, 0)+1))&lt;=46.5,2,1)), IF(INDEX(ERP資料!$G:$G, (MATCH(527, 輔助計算!$G$2:$G$801, 0)+1))&lt;=790,3,IF(INDEX(ERP資料!$G:$G, (MATCH(527, 輔助計算!$G$2:$G$801, 0)+1))&lt;=1181,2,1))))=0,"",IF(MOD(INDEX(輔助計算!$D:$D, (MATCH(527, 輔助計算!$G$2:$G$801, 0)+1)),IF(INDEX(ERP資料!$G:$G, (MATCH(527, 輔助計算!$G$2:$G$801, 0)+1))&lt;100, IF(INDEX(ERP資料!$G:$G, (MATCH(527, 輔助計算!$G$2:$G$801, 0)+1))&lt;=31,3,IF(INDEX(ERP資料!$G:$G, (MATCH(527, 輔助計算!$G$2:$G$801, 0)+1))&lt;=46.5,2,1)), IF(INDEX(ERP資料!$G:$G, (MATCH(527, 輔助計算!$G$2:$G$801, 0)+1))&lt;=790,3,IF(INDEX(ERP資料!$G:$G, (MATCH(527, 輔助計算!$G$2:$G$801, 0)+1))&lt;=1181,2,1))))=0,"",IF(MOD(INDEX(輔助計算!$D:$D, (MATCH(527, 輔助計算!$G$2:$G$801, 0)+1)),IF(INDEX(ERP資料!$G:$G, (MATCH(527, 輔助計算!$G$2:$G$801, 0)+1))&lt;100, IF(INDEX(ERP資料!$G:$G, (MATCH(527, 輔助計算!$G$2:$G$801, 0)+1))&lt;=31,3,IF(INDEX(ERP資料!$G:$G, (MATCH(527, 輔助計算!$G$2:$G$801, 0)+1))&lt;=46.5,2,1)), IF(INDEX(ERP資料!$G:$G, (MATCH(527, 輔助計算!$G$2:$G$801, 0)+1))&lt;=790,3,IF(INDEX(ERP資料!$G:$G, (MATCH(527, 輔助計算!$G$2:$G$801, 0)+1))&lt;=1181,2,1))))=1,TEXT(INDEX(ERP資料!$G:$G, (MATCH(527, 輔助計算!$G$2:$G$801, 0)+1)),"0.##"),IF(MOD(INDEX(輔助計算!$D:$D, (MATCH(527, 輔助計算!$G$2:$G$801, 0)+1)),IF(INDEX(ERP資料!$G:$G, (MATCH(527, 輔助計算!$G$2:$G$801, 0)+1))&lt;100, IF(INDEX(ERP資料!$G:$G, (MATCH(527, 輔助計算!$G$2:$G$801, 0)+1))&lt;=31,3,IF(INDEX(ERP資料!$G:$G, (MATCH(527, 輔助計算!$G$2:$G$801, 0)+1))&lt;=46.5,2,1)), IF(INDEX(ERP資料!$G:$G, (MATCH(527, 輔助計算!$G$2:$G$801, 0)+1))&lt;=790,3,IF(INDEX(ERP資料!$G:$G, (MATCH(527, 輔助計算!$G$2:$G$801, 0)+1))&lt;=1181,2,1))))=2,TEXT(INDEX(ERP資料!$G:$G, (MATCH(527, 輔助計算!$G$2:$G$801, 0)+1)),"0.##")&amp;"+"&amp;TEXT(INDEX(ERP資料!$G:$G, (MATCH(527, 輔助計算!$G$2:$G$801, 0)+1)),"0.##"),TEXT(INDEX(ERP資料!$G:$G, (MATCH(527, 輔助計算!$G$2:$G$801, 0)+1)),"0.##")&amp;"+"&amp;TEXT(INDEX(ERP資料!$G:$G, (MATCH(527, 輔助計算!$G$2:$G$801, 0)+1)),"0.##")&amp;"+"&amp;TEXT(INDEX(ERP資料!$G:$G, (MATCH(527, 輔助計算!$G$2:$G$801, 0)+1)),"0.##"))))&amp;"-1")&lt;&gt;""),"  ","")&amp;IF(MOD(INDEX(輔助計算!$D:$D, (MATCH(527, 輔助計算!$G$2:$G$801, 0)+1)),IF(INDEX(ERP資料!$G:$G, (MATCH(527, 輔助計算!$G$2:$G$801, 0)+1))&lt;100, IF(INDEX(ERP資料!$G:$G, (MATCH(527, 輔助計算!$G$2:$G$801, 0)+1))&lt;=31,3,IF(INDEX(ERP資料!$G:$G, (MATCH(527, 輔助計算!$G$2:$G$801, 0)+1))&lt;=46.5,2,1)), IF(INDEX(ERP資料!$G:$G, (MATCH(527, 輔助計算!$G$2:$G$801, 0)+1))&lt;=790,3,IF(INDEX(ERP資料!$G:$G, (MATCH(527, 輔助計算!$G$2:$G$801, 0)+1))&lt;=1181,2,1))))=0,"",IF(MOD(INDEX(輔助計算!$D:$D, (MATCH(527, 輔助計算!$G$2:$G$801, 0)+1)),IF(INDEX(ERP資料!$G:$G, (MATCH(527, 輔助計算!$G$2:$G$801, 0)+1))&lt;100, IF(INDEX(ERP資料!$G:$G, (MATCH(527, 輔助計算!$G$2:$G$801, 0)+1))&lt;=31,3,IF(INDEX(ERP資料!$G:$G, (MATCH(527, 輔助計算!$G$2:$G$801, 0)+1))&lt;=46.5,2,1)), IF(INDEX(ERP資料!$G:$G, (MATCH(527, 輔助計算!$G$2:$G$801, 0)+1))&lt;=790,3,IF(INDEX(ERP資料!$G:$G, (MATCH(527, 輔助計算!$G$2:$G$801, 0)+1))&lt;=1181,2,1))))=0,"",IF(MOD(INDEX(輔助計算!$D:$D, (MATCH(527, 輔助計算!$G$2:$G$801, 0)+1)),IF(INDEX(ERP資料!$G:$G, (MATCH(527, 輔助計算!$G$2:$G$801, 0)+1))&lt;100, IF(INDEX(ERP資料!$G:$G, (MATCH(527, 輔助計算!$G$2:$G$801, 0)+1))&lt;=31,3,IF(INDEX(ERP資料!$G:$G, (MATCH(527, 輔助計算!$G$2:$G$801, 0)+1))&lt;=46.5,2,1)), IF(INDEX(ERP資料!$G:$G, (MATCH(527, 輔助計算!$G$2:$G$801, 0)+1))&lt;=790,3,IF(INDEX(ERP資料!$G:$G, (MATCH(527, 輔助計算!$G$2:$G$801, 0)+1))&lt;=1181,2,1))))=1,TEXT(INDEX(ERP資料!$G:$G, (MATCH(527, 輔助計算!$G$2:$G$801, 0)+1)),"0.##"),IF(MOD(INDEX(輔助計算!$D:$D, (MATCH(527, 輔助計算!$G$2:$G$801, 0)+1)),IF(INDEX(ERP資料!$G:$G, (MATCH(527, 輔助計算!$G$2:$G$801, 0)+1))&lt;100, IF(INDEX(ERP資料!$G:$G, (MATCH(527, 輔助計算!$G$2:$G$801, 0)+1))&lt;=31,3,IF(INDEX(ERP資料!$G:$G, (MATCH(527, 輔助計算!$G$2:$G$801, 0)+1))&lt;=46.5,2,1)), IF(INDEX(ERP資料!$G:$G, (MATCH(527, 輔助計算!$G$2:$G$801, 0)+1))&lt;=790,3,IF(INDEX(ERP資料!$G:$G, (MATCH(527, 輔助計算!$G$2:$G$801, 0)+1))&lt;=1181,2,1))))=2,TEXT(INDEX(ERP資料!$G:$G, (MATCH(527, 輔助計算!$G$2:$G$801, 0)+1)),"0.##")&amp;"+"&amp;TEXT(INDEX(ERP資料!$G:$G, (MATCH(527, 輔助計算!$G$2:$G$801, 0)+1)),"0.##"),TEXT(INDEX(ERP資料!$G:$G, (MATCH(527, 輔助計算!$G$2:$G$801, 0)+1)),"0.##")&amp;"+"&amp;TEXT(INDEX(ERP資料!$G:$G, (MATCH(527, 輔助計算!$G$2:$G$801, 0)+1)),"0.##")&amp;"+"&amp;TEXT(INDEX(ERP資料!$G:$G, (MATCH(527, 輔助計算!$G$2:$G$801, 0)+1)),"0.##"))))&amp;"-1")), ""), "")</f>
        <v/>
      </c>
      <c r="K528" s="16" t="n"/>
      <c r="L528" s="14">
        <f>IFERROR(IF(AND(IFERROR(INDEX(ERP資料!$A:$A, (MATCH(527, 輔助計算!$G$2:$G$801, 0)+1)), "")&lt;&gt;"", IFERROR(INDEX(ERP資料!$A:$A, (MATCH(527, 輔助計算!$G$2:$G$801, 0)+1)), "")&lt;&gt;IFERROR(INDEX(ERP資料!$A:$A, MATCH(526, 輔助計算!$G$2:$G$801, 0)+1), "")), INDEX(ERP資料!$B:$B, (MATCH(527, 輔助計算!$G$2:$G$801, 0)+1)), ""), "")</f>
        <v/>
      </c>
      <c r="M528" s="17" t="n"/>
    </row>
    <row r="529">
      <c r="A529" s="10">
        <f>IFERROR(IF(AND(IFERROR(INDEX(ERP資料!$A:$A, (MATCH(528, 輔助計算!$G$2:$G$801, 0)+1)), "")&lt;&gt;"", IFERROR(INDEX(ERP資料!$A:$A, (MATCH(528, 輔助計算!$G$2:$G$801, 0)+1)), "")&lt;&gt;IFERROR(INDEX(ERP資料!$A:$A, MATCH(527, 輔助計算!$G$2:$G$801, 0)+1), "")), IFERROR(INDEX(ERP資料!$A:$A, (MATCH(528, 輔助計算!$G$2:$G$801, 0)+1)), ""), ""), "")</f>
        <v/>
      </c>
      <c r="B529" s="10">
        <f>IFERROR(IF(AND(IFERROR(INDEX(ERP資料!$A:$A, (MATCH(528, 輔助計算!$G$2:$G$801, 0)+1)), "")&lt;&gt;"", IFERROR(INDEX(ERP資料!$A:$A, (MATCH(528, 輔助計算!$G$2:$G$801, 0)+1)), "")&lt;&gt;IFERROR(INDEX(ERP資料!$A:$A, MATCH(527, 輔助計算!$G$2:$G$801, 0)+1), "")), INDEX(ERP資料!$S:$S, (MATCH(528, 輔助計算!$G$2:$G$801, 0)+1)), ""), "")</f>
        <v/>
      </c>
      <c r="C529" s="19">
        <f>IFERROR(IF(AND(IFERROR(INDEX(ERP資料!$A:$A, (MATCH(528, 輔助計算!$G$2:$G$801, 0)+1)), "")&lt;&gt;"", IFERROR(INDEX(ERP資料!$A:$A, (MATCH(528, 輔助計算!$G$2:$G$801, 0)+1)), "")&lt;&gt;IFERROR(INDEX(ERP資料!$A:$A, MATCH(527, 輔助計算!$G$2:$G$801, 0)+1), "")), IFERROR(VLOOKUP(LEFT(INDEX(ERP資料!$S:$S, (MATCH(528, 輔助計算!$G$2:$G$801, 0)+1)), 4), 紙管對照表!$A:$C, 3, FALSE), ""), ""), "")</f>
        <v/>
      </c>
      <c r="D529" s="16" t="n"/>
      <c r="E529" s="10">
        <f>IFERROR(IF(INDEX(ERP資料!$H:$H, (MATCH(528, 輔助計算!$G$2:$G$801, 0)+1))="","",INDEX(ERP資料!$H:$H, (MATCH(528, 輔助計算!$G$2:$G$801, 0)+1))), "")</f>
        <v/>
      </c>
      <c r="F529" s="10">
        <f>IFERROR(IF(INDEX(ERP資料!$E:$E, (MATCH(528, 輔助計算!$G$2:$G$801, 0)+1))="","",TRIM(INDEX(ERP資料!$E:$E, (MATCH(528, 輔助計算!$G$2:$G$801, 0)+1)))), "")</f>
        <v/>
      </c>
      <c r="G529" s="10">
        <f>IFERROR(IF(INDEX(ERP資料!$F:$F, (MATCH(528, 輔助計算!$G$2:$G$801, 0)+1))="","",INDEX(ERP資料!$F:$F, (MATCH(528, 輔助計算!$G$2:$G$801, 0)+1))), "")</f>
        <v/>
      </c>
      <c r="H529" s="10">
        <f>IFERROR(IF(INDEX(ERP資料!$G:$G, (MATCH(528, 輔助計算!$G$2:$G$801, 0)+1))="","",INDEX(ERP資料!$G:$G, (MATCH(528, 輔助計算!$G$2:$G$801, 0)+1))), "")</f>
        <v/>
      </c>
      <c r="I529" s="15">
        <f>IFERROR(INDEX(輔助計算!$D:$D, (MATCH(528, 輔助計算!$G$2:$G$801, 0)+1)), "")</f>
        <v/>
      </c>
      <c r="J529" s="15">
        <f>IFERROR(IF(AND(INDEX(輔助計算!$D:$D, (MATCH(528, 輔助計算!$G$2:$G$801, 0)+1))&lt;&gt;"", INDEX(ERP資料!$G:$G, (MATCH(528, 輔助計算!$G$2:$G$801, 0)+1))&lt;&gt;""), TRIM(IF(INT(INDEX(輔助計算!$D:$D, (MATCH(528, 輔助計算!$G$2:$G$801, 0)+1))/IF(INDEX(ERP資料!$G:$G, (MATCH(528, 輔助計算!$G$2:$G$801, 0)+1))&lt;100, IF(INDEX(ERP資料!$G:$G, (MATCH(528, 輔助計算!$G$2:$G$801, 0)+1))&lt;=31,3,IF(INDEX(ERP資料!$G:$G, (MATCH(528, 輔助計算!$G$2:$G$801, 0)+1))&lt;=46.5,2,1)), IF(INDEX(ERP資料!$G:$G, (MATCH(528, 輔助計算!$G$2:$G$801, 0)+1))&lt;=790,3,IF(INDEX(ERP資料!$G:$G, (MATCH(528, 輔助計算!$G$2:$G$801, 0)+1))&lt;=1181,2,1))))&gt;0, IF(IF(INDEX(ERP資料!$G:$G, (MATCH(528, 輔助計算!$G$2:$G$801, 0)+1))&lt;100, IF(INDEX(ERP資料!$G:$G, (MATCH(528, 輔助計算!$G$2:$G$801, 0)+1))&lt;=31,3,IF(INDEX(ERP資料!$G:$G, (MATCH(528, 輔助計算!$G$2:$G$801, 0)+1))&lt;=46.5,2,1)), IF(INDEX(ERP資料!$G:$G, (MATCH(528, 輔助計算!$G$2:$G$801, 0)+1))&lt;=790,3,IF(INDEX(ERP資料!$G:$G, (MATCH(528, 輔助計算!$G$2:$G$801, 0)+1))&lt;=1181,2,1)))=1,TEXT(INDEX(ERP資料!$G:$G, (MATCH(528, 輔助計算!$G$2:$G$801, 0)+1)),"0.##"),IF(IF(INDEX(ERP資料!$G:$G, (MATCH(528, 輔助計算!$G$2:$G$801, 0)+1))&lt;100, IF(INDEX(ERP資料!$G:$G, (MATCH(528, 輔助計算!$G$2:$G$801, 0)+1))&lt;=31,3,IF(INDEX(ERP資料!$G:$G, (MATCH(528, 輔助計算!$G$2:$G$801, 0)+1))&lt;=46.5,2,1)), IF(INDEX(ERP資料!$G:$G, (MATCH(528, 輔助計算!$G$2:$G$801, 0)+1))&lt;=790,3,IF(INDEX(ERP資料!$G:$G, (MATCH(528, 輔助計算!$G$2:$G$801, 0)+1))&lt;=1181,2,1)))=2,TEXT(INDEX(ERP資料!$G:$G, (MATCH(528, 輔助計算!$G$2:$G$801, 0)+1)),"0.##")&amp;"+"&amp;TEXT(INDEX(ERP資料!$G:$G, (MATCH(528, 輔助計算!$G$2:$G$801, 0)+1)),"0.##"),TEXT(INDEX(ERP資料!$G:$G, (MATCH(528, 輔助計算!$G$2:$G$801, 0)+1)),"0.##")&amp;"+"&amp;TEXT(INDEX(ERP資料!$G:$G, (MATCH(528, 輔助計算!$G$2:$G$801, 0)+1)),"0.##")&amp;"+"&amp;TEXT(INDEX(ERP資料!$G:$G, (MATCH(528, 輔助計算!$G$2:$G$801, 0)+1)),"0.##")))&amp;"-"&amp;INT(INDEX(輔助計算!$D:$D, (MATCH(528, 輔助計算!$G$2:$G$801, 0)+1))/IF(INDEX(ERP資料!$G:$G, (MATCH(528, 輔助計算!$G$2:$G$801, 0)+1))&lt;100, IF(INDEX(ERP資料!$G:$G, (MATCH(528, 輔助計算!$G$2:$G$801, 0)+1))&lt;=31,3,IF(INDEX(ERP資料!$G:$G, (MATCH(528, 輔助計算!$G$2:$G$801, 0)+1))&lt;=46.5,2,1)), IF(INDEX(ERP資料!$G:$G, (MATCH(528, 輔助計算!$G$2:$G$801, 0)+1))&lt;=790,3,IF(INDEX(ERP資料!$G:$G, (MATCH(528, 輔助計算!$G$2:$G$801, 0)+1))&lt;=1181,2,1)))), "")&amp;IF(AND(IF(INT(INDEX(輔助計算!$D:$D, (MATCH(528, 輔助計算!$G$2:$G$801, 0)+1))/IF(INDEX(ERP資料!$G:$G, (MATCH(528, 輔助計算!$G$2:$G$801, 0)+1))&lt;100, IF(INDEX(ERP資料!$G:$G, (MATCH(528, 輔助計算!$G$2:$G$801, 0)+1))&lt;=31,3,IF(INDEX(ERP資料!$G:$G, (MATCH(528, 輔助計算!$G$2:$G$801, 0)+1))&lt;=46.5,2,1)), IF(INDEX(ERP資料!$G:$G, (MATCH(528, 輔助計算!$G$2:$G$801, 0)+1))&lt;=790,3,IF(INDEX(ERP資料!$G:$G, (MATCH(528, 輔助計算!$G$2:$G$801, 0)+1))&lt;=1181,2,1))))&gt;0, IF(IF(INDEX(ERP資料!$G:$G, (MATCH(528, 輔助計算!$G$2:$G$801, 0)+1))&lt;100, IF(INDEX(ERP資料!$G:$G, (MATCH(528, 輔助計算!$G$2:$G$801, 0)+1))&lt;=31,3,IF(INDEX(ERP資料!$G:$G, (MATCH(528, 輔助計算!$G$2:$G$801, 0)+1))&lt;=46.5,2,1)), IF(INDEX(ERP資料!$G:$G, (MATCH(528, 輔助計算!$G$2:$G$801, 0)+1))&lt;=790,3,IF(INDEX(ERP資料!$G:$G, (MATCH(528, 輔助計算!$G$2:$G$801, 0)+1))&lt;=1181,2,1)))=1,TEXT(INDEX(ERP資料!$G:$G, (MATCH(528, 輔助計算!$G$2:$G$801, 0)+1)),"0.##"),IF(IF(INDEX(ERP資料!$G:$G, (MATCH(528, 輔助計算!$G$2:$G$801, 0)+1))&lt;100, IF(INDEX(ERP資料!$G:$G, (MATCH(528, 輔助計算!$G$2:$G$801, 0)+1))&lt;=31,3,IF(INDEX(ERP資料!$G:$G, (MATCH(528, 輔助計算!$G$2:$G$801, 0)+1))&lt;=46.5,2,1)), IF(INDEX(ERP資料!$G:$G, (MATCH(528, 輔助計算!$G$2:$G$801, 0)+1))&lt;=790,3,IF(INDEX(ERP資料!$G:$G, (MATCH(528, 輔助計算!$G$2:$G$801, 0)+1))&lt;=1181,2,1)))=2,TEXT(INDEX(ERP資料!$G:$G, (MATCH(528, 輔助計算!$G$2:$G$801, 0)+1)),"0.##")&amp;"+"&amp;TEXT(INDEX(ERP資料!$G:$G, (MATCH(528, 輔助計算!$G$2:$G$801, 0)+1)),"0.##"),TEXT(INDEX(ERP資料!$G:$G, (MATCH(528, 輔助計算!$G$2:$G$801, 0)+1)),"0.##")&amp;"+"&amp;TEXT(INDEX(ERP資料!$G:$G, (MATCH(528, 輔助計算!$G$2:$G$801, 0)+1)),"0.##")&amp;"+"&amp;TEXT(INDEX(ERP資料!$G:$G, (MATCH(528, 輔助計算!$G$2:$G$801, 0)+1)),"0.##")))&amp;"-"&amp;INT(INDEX(輔助計算!$D:$D, (MATCH(528, 輔助計算!$G$2:$G$801, 0)+1))/IF(INDEX(ERP資料!$G:$G, (MATCH(528, 輔助計算!$G$2:$G$801, 0)+1))&lt;100, IF(INDEX(ERP資料!$G:$G, (MATCH(528, 輔助計算!$G$2:$G$801, 0)+1))&lt;=31,3,IF(INDEX(ERP資料!$G:$G, (MATCH(528, 輔助計算!$G$2:$G$801, 0)+1))&lt;=46.5,2,1)), IF(INDEX(ERP資料!$G:$G, (MATCH(528, 輔助計算!$G$2:$G$801, 0)+1))&lt;=790,3,IF(INDEX(ERP資料!$G:$G, (MATCH(528, 輔助計算!$G$2:$G$801, 0)+1))&lt;=1181,2,1)))), "")&lt;&gt;"",IF(MOD(INDEX(輔助計算!$D:$D, (MATCH(528, 輔助計算!$G$2:$G$801, 0)+1)),IF(INDEX(ERP資料!$G:$G, (MATCH(528, 輔助計算!$G$2:$G$801, 0)+1))&lt;100, IF(INDEX(ERP資料!$G:$G, (MATCH(528, 輔助計算!$G$2:$G$801, 0)+1))&lt;=31,3,IF(INDEX(ERP資料!$G:$G, (MATCH(528, 輔助計算!$G$2:$G$801, 0)+1))&lt;=46.5,2,1)), IF(INDEX(ERP資料!$G:$G, (MATCH(528, 輔助計算!$G$2:$G$801, 0)+1))&lt;=790,3,IF(INDEX(ERP資料!$G:$G, (MATCH(528, 輔助計算!$G$2:$G$801, 0)+1))&lt;=1181,2,1))))=0,"",IF(MOD(INDEX(輔助計算!$D:$D, (MATCH(528, 輔助計算!$G$2:$G$801, 0)+1)),IF(INDEX(ERP資料!$G:$G, (MATCH(528, 輔助計算!$G$2:$G$801, 0)+1))&lt;100, IF(INDEX(ERP資料!$G:$G, (MATCH(528, 輔助計算!$G$2:$G$801, 0)+1))&lt;=31,3,IF(INDEX(ERP資料!$G:$G, (MATCH(528, 輔助計算!$G$2:$G$801, 0)+1))&lt;=46.5,2,1)), IF(INDEX(ERP資料!$G:$G, (MATCH(528, 輔助計算!$G$2:$G$801, 0)+1))&lt;=790,3,IF(INDEX(ERP資料!$G:$G, (MATCH(528, 輔助計算!$G$2:$G$801, 0)+1))&lt;=1181,2,1))))=0,"",IF(MOD(INDEX(輔助計算!$D:$D, (MATCH(528, 輔助計算!$G$2:$G$801, 0)+1)),IF(INDEX(ERP資料!$G:$G, (MATCH(528, 輔助計算!$G$2:$G$801, 0)+1))&lt;100, IF(INDEX(ERP資料!$G:$G, (MATCH(528, 輔助計算!$G$2:$G$801, 0)+1))&lt;=31,3,IF(INDEX(ERP資料!$G:$G, (MATCH(528, 輔助計算!$G$2:$G$801, 0)+1))&lt;=46.5,2,1)), IF(INDEX(ERP資料!$G:$G, (MATCH(528, 輔助計算!$G$2:$G$801, 0)+1))&lt;=790,3,IF(INDEX(ERP資料!$G:$G, (MATCH(528, 輔助計算!$G$2:$G$801, 0)+1))&lt;=1181,2,1))))=1,TEXT(INDEX(ERP資料!$G:$G, (MATCH(528, 輔助計算!$G$2:$G$801, 0)+1)),"0.##"),IF(MOD(INDEX(輔助計算!$D:$D, (MATCH(528, 輔助計算!$G$2:$G$801, 0)+1)),IF(INDEX(ERP資料!$G:$G, (MATCH(528, 輔助計算!$G$2:$G$801, 0)+1))&lt;100, IF(INDEX(ERP資料!$G:$G, (MATCH(528, 輔助計算!$G$2:$G$801, 0)+1))&lt;=31,3,IF(INDEX(ERP資料!$G:$G, (MATCH(528, 輔助計算!$G$2:$G$801, 0)+1))&lt;=46.5,2,1)), IF(INDEX(ERP資料!$G:$G, (MATCH(528, 輔助計算!$G$2:$G$801, 0)+1))&lt;=790,3,IF(INDEX(ERP資料!$G:$G, (MATCH(528, 輔助計算!$G$2:$G$801, 0)+1))&lt;=1181,2,1))))=2,TEXT(INDEX(ERP資料!$G:$G, (MATCH(528, 輔助計算!$G$2:$G$801, 0)+1)),"0.##")&amp;"+"&amp;TEXT(INDEX(ERP資料!$G:$G, (MATCH(528, 輔助計算!$G$2:$G$801, 0)+1)),"0.##"),TEXT(INDEX(ERP資料!$G:$G, (MATCH(528, 輔助計算!$G$2:$G$801, 0)+1)),"0.##")&amp;"+"&amp;TEXT(INDEX(ERP資料!$G:$G, (MATCH(528, 輔助計算!$G$2:$G$801, 0)+1)),"0.##")&amp;"+"&amp;TEXT(INDEX(ERP資料!$G:$G, (MATCH(528, 輔助計算!$G$2:$G$801, 0)+1)),"0.##"))))&amp;"-1")&lt;&gt;""),"  ","")&amp;IF(MOD(INDEX(輔助計算!$D:$D, (MATCH(528, 輔助計算!$G$2:$G$801, 0)+1)),IF(INDEX(ERP資料!$G:$G, (MATCH(528, 輔助計算!$G$2:$G$801, 0)+1))&lt;100, IF(INDEX(ERP資料!$G:$G, (MATCH(528, 輔助計算!$G$2:$G$801, 0)+1))&lt;=31,3,IF(INDEX(ERP資料!$G:$G, (MATCH(528, 輔助計算!$G$2:$G$801, 0)+1))&lt;=46.5,2,1)), IF(INDEX(ERP資料!$G:$G, (MATCH(528, 輔助計算!$G$2:$G$801, 0)+1))&lt;=790,3,IF(INDEX(ERP資料!$G:$G, (MATCH(528, 輔助計算!$G$2:$G$801, 0)+1))&lt;=1181,2,1))))=0,"",IF(MOD(INDEX(輔助計算!$D:$D, (MATCH(528, 輔助計算!$G$2:$G$801, 0)+1)),IF(INDEX(ERP資料!$G:$G, (MATCH(528, 輔助計算!$G$2:$G$801, 0)+1))&lt;100, IF(INDEX(ERP資料!$G:$G, (MATCH(528, 輔助計算!$G$2:$G$801, 0)+1))&lt;=31,3,IF(INDEX(ERP資料!$G:$G, (MATCH(528, 輔助計算!$G$2:$G$801, 0)+1))&lt;=46.5,2,1)), IF(INDEX(ERP資料!$G:$G, (MATCH(528, 輔助計算!$G$2:$G$801, 0)+1))&lt;=790,3,IF(INDEX(ERP資料!$G:$G, (MATCH(528, 輔助計算!$G$2:$G$801, 0)+1))&lt;=1181,2,1))))=0,"",IF(MOD(INDEX(輔助計算!$D:$D, (MATCH(528, 輔助計算!$G$2:$G$801, 0)+1)),IF(INDEX(ERP資料!$G:$G, (MATCH(528, 輔助計算!$G$2:$G$801, 0)+1))&lt;100, IF(INDEX(ERP資料!$G:$G, (MATCH(528, 輔助計算!$G$2:$G$801, 0)+1))&lt;=31,3,IF(INDEX(ERP資料!$G:$G, (MATCH(528, 輔助計算!$G$2:$G$801, 0)+1))&lt;=46.5,2,1)), IF(INDEX(ERP資料!$G:$G, (MATCH(528, 輔助計算!$G$2:$G$801, 0)+1))&lt;=790,3,IF(INDEX(ERP資料!$G:$G, (MATCH(528, 輔助計算!$G$2:$G$801, 0)+1))&lt;=1181,2,1))))=1,TEXT(INDEX(ERP資料!$G:$G, (MATCH(528, 輔助計算!$G$2:$G$801, 0)+1)),"0.##"),IF(MOD(INDEX(輔助計算!$D:$D, (MATCH(528, 輔助計算!$G$2:$G$801, 0)+1)),IF(INDEX(ERP資料!$G:$G, (MATCH(528, 輔助計算!$G$2:$G$801, 0)+1))&lt;100, IF(INDEX(ERP資料!$G:$G, (MATCH(528, 輔助計算!$G$2:$G$801, 0)+1))&lt;=31,3,IF(INDEX(ERP資料!$G:$G, (MATCH(528, 輔助計算!$G$2:$G$801, 0)+1))&lt;=46.5,2,1)), IF(INDEX(ERP資料!$G:$G, (MATCH(528, 輔助計算!$G$2:$G$801, 0)+1))&lt;=790,3,IF(INDEX(ERP資料!$G:$G, (MATCH(528, 輔助計算!$G$2:$G$801, 0)+1))&lt;=1181,2,1))))=2,TEXT(INDEX(ERP資料!$G:$G, (MATCH(528, 輔助計算!$G$2:$G$801, 0)+1)),"0.##")&amp;"+"&amp;TEXT(INDEX(ERP資料!$G:$G, (MATCH(528, 輔助計算!$G$2:$G$801, 0)+1)),"0.##"),TEXT(INDEX(ERP資料!$G:$G, (MATCH(528, 輔助計算!$G$2:$G$801, 0)+1)),"0.##")&amp;"+"&amp;TEXT(INDEX(ERP資料!$G:$G, (MATCH(528, 輔助計算!$G$2:$G$801, 0)+1)),"0.##")&amp;"+"&amp;TEXT(INDEX(ERP資料!$G:$G, (MATCH(528, 輔助計算!$G$2:$G$801, 0)+1)),"0.##"))))&amp;"-1")), ""), "")</f>
        <v/>
      </c>
      <c r="K529" s="16" t="n"/>
      <c r="L529" s="14">
        <f>IFERROR(IF(AND(IFERROR(INDEX(ERP資料!$A:$A, (MATCH(528, 輔助計算!$G$2:$G$801, 0)+1)), "")&lt;&gt;"", IFERROR(INDEX(ERP資料!$A:$A, (MATCH(528, 輔助計算!$G$2:$G$801, 0)+1)), "")&lt;&gt;IFERROR(INDEX(ERP資料!$A:$A, MATCH(527, 輔助計算!$G$2:$G$801, 0)+1), "")), INDEX(ERP資料!$B:$B, (MATCH(528, 輔助計算!$G$2:$G$801, 0)+1)), ""), "")</f>
        <v/>
      </c>
      <c r="M529" s="17" t="n"/>
    </row>
    <row r="530">
      <c r="A530" s="10">
        <f>IFERROR(IF(AND(IFERROR(INDEX(ERP資料!$A:$A, (MATCH(529, 輔助計算!$G$2:$G$801, 0)+1)), "")&lt;&gt;"", IFERROR(INDEX(ERP資料!$A:$A, (MATCH(529, 輔助計算!$G$2:$G$801, 0)+1)), "")&lt;&gt;IFERROR(INDEX(ERP資料!$A:$A, MATCH(528, 輔助計算!$G$2:$G$801, 0)+1), "")), IFERROR(INDEX(ERP資料!$A:$A, (MATCH(529, 輔助計算!$G$2:$G$801, 0)+1)), ""), ""), "")</f>
        <v/>
      </c>
      <c r="B530" s="10">
        <f>IFERROR(IF(AND(IFERROR(INDEX(ERP資料!$A:$A, (MATCH(529, 輔助計算!$G$2:$G$801, 0)+1)), "")&lt;&gt;"", IFERROR(INDEX(ERP資料!$A:$A, (MATCH(529, 輔助計算!$G$2:$G$801, 0)+1)), "")&lt;&gt;IFERROR(INDEX(ERP資料!$A:$A, MATCH(528, 輔助計算!$G$2:$G$801, 0)+1), "")), INDEX(ERP資料!$S:$S, (MATCH(529, 輔助計算!$G$2:$G$801, 0)+1)), ""), "")</f>
        <v/>
      </c>
      <c r="C530" s="19">
        <f>IFERROR(IF(AND(IFERROR(INDEX(ERP資料!$A:$A, (MATCH(529, 輔助計算!$G$2:$G$801, 0)+1)), "")&lt;&gt;"", IFERROR(INDEX(ERP資料!$A:$A, (MATCH(529, 輔助計算!$G$2:$G$801, 0)+1)), "")&lt;&gt;IFERROR(INDEX(ERP資料!$A:$A, MATCH(528, 輔助計算!$G$2:$G$801, 0)+1), "")), IFERROR(VLOOKUP(LEFT(INDEX(ERP資料!$S:$S, (MATCH(529, 輔助計算!$G$2:$G$801, 0)+1)), 4), 紙管對照表!$A:$C, 3, FALSE), ""), ""), "")</f>
        <v/>
      </c>
      <c r="D530" s="16" t="n"/>
      <c r="E530" s="10">
        <f>IFERROR(IF(INDEX(ERP資料!$H:$H, (MATCH(529, 輔助計算!$G$2:$G$801, 0)+1))="","",INDEX(ERP資料!$H:$H, (MATCH(529, 輔助計算!$G$2:$G$801, 0)+1))), "")</f>
        <v/>
      </c>
      <c r="F530" s="10">
        <f>IFERROR(IF(INDEX(ERP資料!$E:$E, (MATCH(529, 輔助計算!$G$2:$G$801, 0)+1))="","",TRIM(INDEX(ERP資料!$E:$E, (MATCH(529, 輔助計算!$G$2:$G$801, 0)+1)))), "")</f>
        <v/>
      </c>
      <c r="G530" s="10">
        <f>IFERROR(IF(INDEX(ERP資料!$F:$F, (MATCH(529, 輔助計算!$G$2:$G$801, 0)+1))="","",INDEX(ERP資料!$F:$F, (MATCH(529, 輔助計算!$G$2:$G$801, 0)+1))), "")</f>
        <v/>
      </c>
      <c r="H530" s="10">
        <f>IFERROR(IF(INDEX(ERP資料!$G:$G, (MATCH(529, 輔助計算!$G$2:$G$801, 0)+1))="","",INDEX(ERP資料!$G:$G, (MATCH(529, 輔助計算!$G$2:$G$801, 0)+1))), "")</f>
        <v/>
      </c>
      <c r="I530" s="15">
        <f>IFERROR(INDEX(輔助計算!$D:$D, (MATCH(529, 輔助計算!$G$2:$G$801, 0)+1)), "")</f>
        <v/>
      </c>
      <c r="J530" s="15">
        <f>IFERROR(IF(AND(INDEX(輔助計算!$D:$D, (MATCH(529, 輔助計算!$G$2:$G$801, 0)+1))&lt;&gt;"", INDEX(ERP資料!$G:$G, (MATCH(529, 輔助計算!$G$2:$G$801, 0)+1))&lt;&gt;""), TRIM(IF(INT(INDEX(輔助計算!$D:$D, (MATCH(529, 輔助計算!$G$2:$G$801, 0)+1))/IF(INDEX(ERP資料!$G:$G, (MATCH(529, 輔助計算!$G$2:$G$801, 0)+1))&lt;100, IF(INDEX(ERP資料!$G:$G, (MATCH(529, 輔助計算!$G$2:$G$801, 0)+1))&lt;=31,3,IF(INDEX(ERP資料!$G:$G, (MATCH(529, 輔助計算!$G$2:$G$801, 0)+1))&lt;=46.5,2,1)), IF(INDEX(ERP資料!$G:$G, (MATCH(529, 輔助計算!$G$2:$G$801, 0)+1))&lt;=790,3,IF(INDEX(ERP資料!$G:$G, (MATCH(529, 輔助計算!$G$2:$G$801, 0)+1))&lt;=1181,2,1))))&gt;0, IF(IF(INDEX(ERP資料!$G:$G, (MATCH(529, 輔助計算!$G$2:$G$801, 0)+1))&lt;100, IF(INDEX(ERP資料!$G:$G, (MATCH(529, 輔助計算!$G$2:$G$801, 0)+1))&lt;=31,3,IF(INDEX(ERP資料!$G:$G, (MATCH(529, 輔助計算!$G$2:$G$801, 0)+1))&lt;=46.5,2,1)), IF(INDEX(ERP資料!$G:$G, (MATCH(529, 輔助計算!$G$2:$G$801, 0)+1))&lt;=790,3,IF(INDEX(ERP資料!$G:$G, (MATCH(529, 輔助計算!$G$2:$G$801, 0)+1))&lt;=1181,2,1)))=1,TEXT(INDEX(ERP資料!$G:$G, (MATCH(529, 輔助計算!$G$2:$G$801, 0)+1)),"0.##"),IF(IF(INDEX(ERP資料!$G:$G, (MATCH(529, 輔助計算!$G$2:$G$801, 0)+1))&lt;100, IF(INDEX(ERP資料!$G:$G, (MATCH(529, 輔助計算!$G$2:$G$801, 0)+1))&lt;=31,3,IF(INDEX(ERP資料!$G:$G, (MATCH(529, 輔助計算!$G$2:$G$801, 0)+1))&lt;=46.5,2,1)), IF(INDEX(ERP資料!$G:$G, (MATCH(529, 輔助計算!$G$2:$G$801, 0)+1))&lt;=790,3,IF(INDEX(ERP資料!$G:$G, (MATCH(529, 輔助計算!$G$2:$G$801, 0)+1))&lt;=1181,2,1)))=2,TEXT(INDEX(ERP資料!$G:$G, (MATCH(529, 輔助計算!$G$2:$G$801, 0)+1)),"0.##")&amp;"+"&amp;TEXT(INDEX(ERP資料!$G:$G, (MATCH(529, 輔助計算!$G$2:$G$801, 0)+1)),"0.##"),TEXT(INDEX(ERP資料!$G:$G, (MATCH(529, 輔助計算!$G$2:$G$801, 0)+1)),"0.##")&amp;"+"&amp;TEXT(INDEX(ERP資料!$G:$G, (MATCH(529, 輔助計算!$G$2:$G$801, 0)+1)),"0.##")&amp;"+"&amp;TEXT(INDEX(ERP資料!$G:$G, (MATCH(529, 輔助計算!$G$2:$G$801, 0)+1)),"0.##")))&amp;"-"&amp;INT(INDEX(輔助計算!$D:$D, (MATCH(529, 輔助計算!$G$2:$G$801, 0)+1))/IF(INDEX(ERP資料!$G:$G, (MATCH(529, 輔助計算!$G$2:$G$801, 0)+1))&lt;100, IF(INDEX(ERP資料!$G:$G, (MATCH(529, 輔助計算!$G$2:$G$801, 0)+1))&lt;=31,3,IF(INDEX(ERP資料!$G:$G, (MATCH(529, 輔助計算!$G$2:$G$801, 0)+1))&lt;=46.5,2,1)), IF(INDEX(ERP資料!$G:$G, (MATCH(529, 輔助計算!$G$2:$G$801, 0)+1))&lt;=790,3,IF(INDEX(ERP資料!$G:$G, (MATCH(529, 輔助計算!$G$2:$G$801, 0)+1))&lt;=1181,2,1)))), "")&amp;IF(AND(IF(INT(INDEX(輔助計算!$D:$D, (MATCH(529, 輔助計算!$G$2:$G$801, 0)+1))/IF(INDEX(ERP資料!$G:$G, (MATCH(529, 輔助計算!$G$2:$G$801, 0)+1))&lt;100, IF(INDEX(ERP資料!$G:$G, (MATCH(529, 輔助計算!$G$2:$G$801, 0)+1))&lt;=31,3,IF(INDEX(ERP資料!$G:$G, (MATCH(529, 輔助計算!$G$2:$G$801, 0)+1))&lt;=46.5,2,1)), IF(INDEX(ERP資料!$G:$G, (MATCH(529, 輔助計算!$G$2:$G$801, 0)+1))&lt;=790,3,IF(INDEX(ERP資料!$G:$G, (MATCH(529, 輔助計算!$G$2:$G$801, 0)+1))&lt;=1181,2,1))))&gt;0, IF(IF(INDEX(ERP資料!$G:$G, (MATCH(529, 輔助計算!$G$2:$G$801, 0)+1))&lt;100, IF(INDEX(ERP資料!$G:$G, (MATCH(529, 輔助計算!$G$2:$G$801, 0)+1))&lt;=31,3,IF(INDEX(ERP資料!$G:$G, (MATCH(529, 輔助計算!$G$2:$G$801, 0)+1))&lt;=46.5,2,1)), IF(INDEX(ERP資料!$G:$G, (MATCH(529, 輔助計算!$G$2:$G$801, 0)+1))&lt;=790,3,IF(INDEX(ERP資料!$G:$G, (MATCH(529, 輔助計算!$G$2:$G$801, 0)+1))&lt;=1181,2,1)))=1,TEXT(INDEX(ERP資料!$G:$G, (MATCH(529, 輔助計算!$G$2:$G$801, 0)+1)),"0.##"),IF(IF(INDEX(ERP資料!$G:$G, (MATCH(529, 輔助計算!$G$2:$G$801, 0)+1))&lt;100, IF(INDEX(ERP資料!$G:$G, (MATCH(529, 輔助計算!$G$2:$G$801, 0)+1))&lt;=31,3,IF(INDEX(ERP資料!$G:$G, (MATCH(529, 輔助計算!$G$2:$G$801, 0)+1))&lt;=46.5,2,1)), IF(INDEX(ERP資料!$G:$G, (MATCH(529, 輔助計算!$G$2:$G$801, 0)+1))&lt;=790,3,IF(INDEX(ERP資料!$G:$G, (MATCH(529, 輔助計算!$G$2:$G$801, 0)+1))&lt;=1181,2,1)))=2,TEXT(INDEX(ERP資料!$G:$G, (MATCH(529, 輔助計算!$G$2:$G$801, 0)+1)),"0.##")&amp;"+"&amp;TEXT(INDEX(ERP資料!$G:$G, (MATCH(529, 輔助計算!$G$2:$G$801, 0)+1)),"0.##"),TEXT(INDEX(ERP資料!$G:$G, (MATCH(529, 輔助計算!$G$2:$G$801, 0)+1)),"0.##")&amp;"+"&amp;TEXT(INDEX(ERP資料!$G:$G, (MATCH(529, 輔助計算!$G$2:$G$801, 0)+1)),"0.##")&amp;"+"&amp;TEXT(INDEX(ERP資料!$G:$G, (MATCH(529, 輔助計算!$G$2:$G$801, 0)+1)),"0.##")))&amp;"-"&amp;INT(INDEX(輔助計算!$D:$D, (MATCH(529, 輔助計算!$G$2:$G$801, 0)+1))/IF(INDEX(ERP資料!$G:$G, (MATCH(529, 輔助計算!$G$2:$G$801, 0)+1))&lt;100, IF(INDEX(ERP資料!$G:$G, (MATCH(529, 輔助計算!$G$2:$G$801, 0)+1))&lt;=31,3,IF(INDEX(ERP資料!$G:$G, (MATCH(529, 輔助計算!$G$2:$G$801, 0)+1))&lt;=46.5,2,1)), IF(INDEX(ERP資料!$G:$G, (MATCH(529, 輔助計算!$G$2:$G$801, 0)+1))&lt;=790,3,IF(INDEX(ERP資料!$G:$G, (MATCH(529, 輔助計算!$G$2:$G$801, 0)+1))&lt;=1181,2,1)))), "")&lt;&gt;"",IF(MOD(INDEX(輔助計算!$D:$D, (MATCH(529, 輔助計算!$G$2:$G$801, 0)+1)),IF(INDEX(ERP資料!$G:$G, (MATCH(529, 輔助計算!$G$2:$G$801, 0)+1))&lt;100, IF(INDEX(ERP資料!$G:$G, (MATCH(529, 輔助計算!$G$2:$G$801, 0)+1))&lt;=31,3,IF(INDEX(ERP資料!$G:$G, (MATCH(529, 輔助計算!$G$2:$G$801, 0)+1))&lt;=46.5,2,1)), IF(INDEX(ERP資料!$G:$G, (MATCH(529, 輔助計算!$G$2:$G$801, 0)+1))&lt;=790,3,IF(INDEX(ERP資料!$G:$G, (MATCH(529, 輔助計算!$G$2:$G$801, 0)+1))&lt;=1181,2,1))))=0,"",IF(MOD(INDEX(輔助計算!$D:$D, (MATCH(529, 輔助計算!$G$2:$G$801, 0)+1)),IF(INDEX(ERP資料!$G:$G, (MATCH(529, 輔助計算!$G$2:$G$801, 0)+1))&lt;100, IF(INDEX(ERP資料!$G:$G, (MATCH(529, 輔助計算!$G$2:$G$801, 0)+1))&lt;=31,3,IF(INDEX(ERP資料!$G:$G, (MATCH(529, 輔助計算!$G$2:$G$801, 0)+1))&lt;=46.5,2,1)), IF(INDEX(ERP資料!$G:$G, (MATCH(529, 輔助計算!$G$2:$G$801, 0)+1))&lt;=790,3,IF(INDEX(ERP資料!$G:$G, (MATCH(529, 輔助計算!$G$2:$G$801, 0)+1))&lt;=1181,2,1))))=0,"",IF(MOD(INDEX(輔助計算!$D:$D, (MATCH(529, 輔助計算!$G$2:$G$801, 0)+1)),IF(INDEX(ERP資料!$G:$G, (MATCH(529, 輔助計算!$G$2:$G$801, 0)+1))&lt;100, IF(INDEX(ERP資料!$G:$G, (MATCH(529, 輔助計算!$G$2:$G$801, 0)+1))&lt;=31,3,IF(INDEX(ERP資料!$G:$G, (MATCH(529, 輔助計算!$G$2:$G$801, 0)+1))&lt;=46.5,2,1)), IF(INDEX(ERP資料!$G:$G, (MATCH(529, 輔助計算!$G$2:$G$801, 0)+1))&lt;=790,3,IF(INDEX(ERP資料!$G:$G, (MATCH(529, 輔助計算!$G$2:$G$801, 0)+1))&lt;=1181,2,1))))=1,TEXT(INDEX(ERP資料!$G:$G, (MATCH(529, 輔助計算!$G$2:$G$801, 0)+1)),"0.##"),IF(MOD(INDEX(輔助計算!$D:$D, (MATCH(529, 輔助計算!$G$2:$G$801, 0)+1)),IF(INDEX(ERP資料!$G:$G, (MATCH(529, 輔助計算!$G$2:$G$801, 0)+1))&lt;100, IF(INDEX(ERP資料!$G:$G, (MATCH(529, 輔助計算!$G$2:$G$801, 0)+1))&lt;=31,3,IF(INDEX(ERP資料!$G:$G, (MATCH(529, 輔助計算!$G$2:$G$801, 0)+1))&lt;=46.5,2,1)), IF(INDEX(ERP資料!$G:$G, (MATCH(529, 輔助計算!$G$2:$G$801, 0)+1))&lt;=790,3,IF(INDEX(ERP資料!$G:$G, (MATCH(529, 輔助計算!$G$2:$G$801, 0)+1))&lt;=1181,2,1))))=2,TEXT(INDEX(ERP資料!$G:$G, (MATCH(529, 輔助計算!$G$2:$G$801, 0)+1)),"0.##")&amp;"+"&amp;TEXT(INDEX(ERP資料!$G:$G, (MATCH(529, 輔助計算!$G$2:$G$801, 0)+1)),"0.##"),TEXT(INDEX(ERP資料!$G:$G, (MATCH(529, 輔助計算!$G$2:$G$801, 0)+1)),"0.##")&amp;"+"&amp;TEXT(INDEX(ERP資料!$G:$G, (MATCH(529, 輔助計算!$G$2:$G$801, 0)+1)),"0.##")&amp;"+"&amp;TEXT(INDEX(ERP資料!$G:$G, (MATCH(529, 輔助計算!$G$2:$G$801, 0)+1)),"0.##"))))&amp;"-1")&lt;&gt;""),"  ","")&amp;IF(MOD(INDEX(輔助計算!$D:$D, (MATCH(529, 輔助計算!$G$2:$G$801, 0)+1)),IF(INDEX(ERP資料!$G:$G, (MATCH(529, 輔助計算!$G$2:$G$801, 0)+1))&lt;100, IF(INDEX(ERP資料!$G:$G, (MATCH(529, 輔助計算!$G$2:$G$801, 0)+1))&lt;=31,3,IF(INDEX(ERP資料!$G:$G, (MATCH(529, 輔助計算!$G$2:$G$801, 0)+1))&lt;=46.5,2,1)), IF(INDEX(ERP資料!$G:$G, (MATCH(529, 輔助計算!$G$2:$G$801, 0)+1))&lt;=790,3,IF(INDEX(ERP資料!$G:$G, (MATCH(529, 輔助計算!$G$2:$G$801, 0)+1))&lt;=1181,2,1))))=0,"",IF(MOD(INDEX(輔助計算!$D:$D, (MATCH(529, 輔助計算!$G$2:$G$801, 0)+1)),IF(INDEX(ERP資料!$G:$G, (MATCH(529, 輔助計算!$G$2:$G$801, 0)+1))&lt;100, IF(INDEX(ERP資料!$G:$G, (MATCH(529, 輔助計算!$G$2:$G$801, 0)+1))&lt;=31,3,IF(INDEX(ERP資料!$G:$G, (MATCH(529, 輔助計算!$G$2:$G$801, 0)+1))&lt;=46.5,2,1)), IF(INDEX(ERP資料!$G:$G, (MATCH(529, 輔助計算!$G$2:$G$801, 0)+1))&lt;=790,3,IF(INDEX(ERP資料!$G:$G, (MATCH(529, 輔助計算!$G$2:$G$801, 0)+1))&lt;=1181,2,1))))=0,"",IF(MOD(INDEX(輔助計算!$D:$D, (MATCH(529, 輔助計算!$G$2:$G$801, 0)+1)),IF(INDEX(ERP資料!$G:$G, (MATCH(529, 輔助計算!$G$2:$G$801, 0)+1))&lt;100, IF(INDEX(ERP資料!$G:$G, (MATCH(529, 輔助計算!$G$2:$G$801, 0)+1))&lt;=31,3,IF(INDEX(ERP資料!$G:$G, (MATCH(529, 輔助計算!$G$2:$G$801, 0)+1))&lt;=46.5,2,1)), IF(INDEX(ERP資料!$G:$G, (MATCH(529, 輔助計算!$G$2:$G$801, 0)+1))&lt;=790,3,IF(INDEX(ERP資料!$G:$G, (MATCH(529, 輔助計算!$G$2:$G$801, 0)+1))&lt;=1181,2,1))))=1,TEXT(INDEX(ERP資料!$G:$G, (MATCH(529, 輔助計算!$G$2:$G$801, 0)+1)),"0.##"),IF(MOD(INDEX(輔助計算!$D:$D, (MATCH(529, 輔助計算!$G$2:$G$801, 0)+1)),IF(INDEX(ERP資料!$G:$G, (MATCH(529, 輔助計算!$G$2:$G$801, 0)+1))&lt;100, IF(INDEX(ERP資料!$G:$G, (MATCH(529, 輔助計算!$G$2:$G$801, 0)+1))&lt;=31,3,IF(INDEX(ERP資料!$G:$G, (MATCH(529, 輔助計算!$G$2:$G$801, 0)+1))&lt;=46.5,2,1)), IF(INDEX(ERP資料!$G:$G, (MATCH(529, 輔助計算!$G$2:$G$801, 0)+1))&lt;=790,3,IF(INDEX(ERP資料!$G:$G, (MATCH(529, 輔助計算!$G$2:$G$801, 0)+1))&lt;=1181,2,1))))=2,TEXT(INDEX(ERP資料!$G:$G, (MATCH(529, 輔助計算!$G$2:$G$801, 0)+1)),"0.##")&amp;"+"&amp;TEXT(INDEX(ERP資料!$G:$G, (MATCH(529, 輔助計算!$G$2:$G$801, 0)+1)),"0.##"),TEXT(INDEX(ERP資料!$G:$G, (MATCH(529, 輔助計算!$G$2:$G$801, 0)+1)),"0.##")&amp;"+"&amp;TEXT(INDEX(ERP資料!$G:$G, (MATCH(529, 輔助計算!$G$2:$G$801, 0)+1)),"0.##")&amp;"+"&amp;TEXT(INDEX(ERP資料!$G:$G, (MATCH(529, 輔助計算!$G$2:$G$801, 0)+1)),"0.##"))))&amp;"-1")), ""), "")</f>
        <v/>
      </c>
      <c r="K530" s="16" t="n"/>
      <c r="L530" s="14">
        <f>IFERROR(IF(AND(IFERROR(INDEX(ERP資料!$A:$A, (MATCH(529, 輔助計算!$G$2:$G$801, 0)+1)), "")&lt;&gt;"", IFERROR(INDEX(ERP資料!$A:$A, (MATCH(529, 輔助計算!$G$2:$G$801, 0)+1)), "")&lt;&gt;IFERROR(INDEX(ERP資料!$A:$A, MATCH(528, 輔助計算!$G$2:$G$801, 0)+1), "")), INDEX(ERP資料!$B:$B, (MATCH(529, 輔助計算!$G$2:$G$801, 0)+1)), ""), "")</f>
        <v/>
      </c>
      <c r="M530" s="17" t="n"/>
    </row>
    <row r="531">
      <c r="A531" s="10">
        <f>IFERROR(IF(AND(IFERROR(INDEX(ERP資料!$A:$A, (MATCH(530, 輔助計算!$G$2:$G$801, 0)+1)), "")&lt;&gt;"", IFERROR(INDEX(ERP資料!$A:$A, (MATCH(530, 輔助計算!$G$2:$G$801, 0)+1)), "")&lt;&gt;IFERROR(INDEX(ERP資料!$A:$A, MATCH(529, 輔助計算!$G$2:$G$801, 0)+1), "")), IFERROR(INDEX(ERP資料!$A:$A, (MATCH(530, 輔助計算!$G$2:$G$801, 0)+1)), ""), ""), "")</f>
        <v/>
      </c>
      <c r="B531" s="10">
        <f>IFERROR(IF(AND(IFERROR(INDEX(ERP資料!$A:$A, (MATCH(530, 輔助計算!$G$2:$G$801, 0)+1)), "")&lt;&gt;"", IFERROR(INDEX(ERP資料!$A:$A, (MATCH(530, 輔助計算!$G$2:$G$801, 0)+1)), "")&lt;&gt;IFERROR(INDEX(ERP資料!$A:$A, MATCH(529, 輔助計算!$G$2:$G$801, 0)+1), "")), INDEX(ERP資料!$S:$S, (MATCH(530, 輔助計算!$G$2:$G$801, 0)+1)), ""), "")</f>
        <v/>
      </c>
      <c r="C531" s="19">
        <f>IFERROR(IF(AND(IFERROR(INDEX(ERP資料!$A:$A, (MATCH(530, 輔助計算!$G$2:$G$801, 0)+1)), "")&lt;&gt;"", IFERROR(INDEX(ERP資料!$A:$A, (MATCH(530, 輔助計算!$G$2:$G$801, 0)+1)), "")&lt;&gt;IFERROR(INDEX(ERP資料!$A:$A, MATCH(529, 輔助計算!$G$2:$G$801, 0)+1), "")), IFERROR(VLOOKUP(LEFT(INDEX(ERP資料!$S:$S, (MATCH(530, 輔助計算!$G$2:$G$801, 0)+1)), 4), 紙管對照表!$A:$C, 3, FALSE), ""), ""), "")</f>
        <v/>
      </c>
      <c r="D531" s="16" t="n"/>
      <c r="E531" s="10">
        <f>IFERROR(IF(INDEX(ERP資料!$H:$H, (MATCH(530, 輔助計算!$G$2:$G$801, 0)+1))="","",INDEX(ERP資料!$H:$H, (MATCH(530, 輔助計算!$G$2:$G$801, 0)+1))), "")</f>
        <v/>
      </c>
      <c r="F531" s="10">
        <f>IFERROR(IF(INDEX(ERP資料!$E:$E, (MATCH(530, 輔助計算!$G$2:$G$801, 0)+1))="","",TRIM(INDEX(ERP資料!$E:$E, (MATCH(530, 輔助計算!$G$2:$G$801, 0)+1)))), "")</f>
        <v/>
      </c>
      <c r="G531" s="10">
        <f>IFERROR(IF(INDEX(ERP資料!$F:$F, (MATCH(530, 輔助計算!$G$2:$G$801, 0)+1))="","",INDEX(ERP資料!$F:$F, (MATCH(530, 輔助計算!$G$2:$G$801, 0)+1))), "")</f>
        <v/>
      </c>
      <c r="H531" s="10">
        <f>IFERROR(IF(INDEX(ERP資料!$G:$G, (MATCH(530, 輔助計算!$G$2:$G$801, 0)+1))="","",INDEX(ERP資料!$G:$G, (MATCH(530, 輔助計算!$G$2:$G$801, 0)+1))), "")</f>
        <v/>
      </c>
      <c r="I531" s="15">
        <f>IFERROR(INDEX(輔助計算!$D:$D, (MATCH(530, 輔助計算!$G$2:$G$801, 0)+1)), "")</f>
        <v/>
      </c>
      <c r="J531" s="15">
        <f>IFERROR(IF(AND(INDEX(輔助計算!$D:$D, (MATCH(530, 輔助計算!$G$2:$G$801, 0)+1))&lt;&gt;"", INDEX(ERP資料!$G:$G, (MATCH(530, 輔助計算!$G$2:$G$801, 0)+1))&lt;&gt;""), TRIM(IF(INT(INDEX(輔助計算!$D:$D, (MATCH(530, 輔助計算!$G$2:$G$801, 0)+1))/IF(INDEX(ERP資料!$G:$G, (MATCH(530, 輔助計算!$G$2:$G$801, 0)+1))&lt;100, IF(INDEX(ERP資料!$G:$G, (MATCH(530, 輔助計算!$G$2:$G$801, 0)+1))&lt;=31,3,IF(INDEX(ERP資料!$G:$G, (MATCH(530, 輔助計算!$G$2:$G$801, 0)+1))&lt;=46.5,2,1)), IF(INDEX(ERP資料!$G:$G, (MATCH(530, 輔助計算!$G$2:$G$801, 0)+1))&lt;=790,3,IF(INDEX(ERP資料!$G:$G, (MATCH(530, 輔助計算!$G$2:$G$801, 0)+1))&lt;=1181,2,1))))&gt;0, IF(IF(INDEX(ERP資料!$G:$G, (MATCH(530, 輔助計算!$G$2:$G$801, 0)+1))&lt;100, IF(INDEX(ERP資料!$G:$G, (MATCH(530, 輔助計算!$G$2:$G$801, 0)+1))&lt;=31,3,IF(INDEX(ERP資料!$G:$G, (MATCH(530, 輔助計算!$G$2:$G$801, 0)+1))&lt;=46.5,2,1)), IF(INDEX(ERP資料!$G:$G, (MATCH(530, 輔助計算!$G$2:$G$801, 0)+1))&lt;=790,3,IF(INDEX(ERP資料!$G:$G, (MATCH(530, 輔助計算!$G$2:$G$801, 0)+1))&lt;=1181,2,1)))=1,TEXT(INDEX(ERP資料!$G:$G, (MATCH(530, 輔助計算!$G$2:$G$801, 0)+1)),"0.##"),IF(IF(INDEX(ERP資料!$G:$G, (MATCH(530, 輔助計算!$G$2:$G$801, 0)+1))&lt;100, IF(INDEX(ERP資料!$G:$G, (MATCH(530, 輔助計算!$G$2:$G$801, 0)+1))&lt;=31,3,IF(INDEX(ERP資料!$G:$G, (MATCH(530, 輔助計算!$G$2:$G$801, 0)+1))&lt;=46.5,2,1)), IF(INDEX(ERP資料!$G:$G, (MATCH(530, 輔助計算!$G$2:$G$801, 0)+1))&lt;=790,3,IF(INDEX(ERP資料!$G:$G, (MATCH(530, 輔助計算!$G$2:$G$801, 0)+1))&lt;=1181,2,1)))=2,TEXT(INDEX(ERP資料!$G:$G, (MATCH(530, 輔助計算!$G$2:$G$801, 0)+1)),"0.##")&amp;"+"&amp;TEXT(INDEX(ERP資料!$G:$G, (MATCH(530, 輔助計算!$G$2:$G$801, 0)+1)),"0.##"),TEXT(INDEX(ERP資料!$G:$G, (MATCH(530, 輔助計算!$G$2:$G$801, 0)+1)),"0.##")&amp;"+"&amp;TEXT(INDEX(ERP資料!$G:$G, (MATCH(530, 輔助計算!$G$2:$G$801, 0)+1)),"0.##")&amp;"+"&amp;TEXT(INDEX(ERP資料!$G:$G, (MATCH(530, 輔助計算!$G$2:$G$801, 0)+1)),"0.##")))&amp;"-"&amp;INT(INDEX(輔助計算!$D:$D, (MATCH(530, 輔助計算!$G$2:$G$801, 0)+1))/IF(INDEX(ERP資料!$G:$G, (MATCH(530, 輔助計算!$G$2:$G$801, 0)+1))&lt;100, IF(INDEX(ERP資料!$G:$G, (MATCH(530, 輔助計算!$G$2:$G$801, 0)+1))&lt;=31,3,IF(INDEX(ERP資料!$G:$G, (MATCH(530, 輔助計算!$G$2:$G$801, 0)+1))&lt;=46.5,2,1)), IF(INDEX(ERP資料!$G:$G, (MATCH(530, 輔助計算!$G$2:$G$801, 0)+1))&lt;=790,3,IF(INDEX(ERP資料!$G:$G, (MATCH(530, 輔助計算!$G$2:$G$801, 0)+1))&lt;=1181,2,1)))), "")&amp;IF(AND(IF(INT(INDEX(輔助計算!$D:$D, (MATCH(530, 輔助計算!$G$2:$G$801, 0)+1))/IF(INDEX(ERP資料!$G:$G, (MATCH(530, 輔助計算!$G$2:$G$801, 0)+1))&lt;100, IF(INDEX(ERP資料!$G:$G, (MATCH(530, 輔助計算!$G$2:$G$801, 0)+1))&lt;=31,3,IF(INDEX(ERP資料!$G:$G, (MATCH(530, 輔助計算!$G$2:$G$801, 0)+1))&lt;=46.5,2,1)), IF(INDEX(ERP資料!$G:$G, (MATCH(530, 輔助計算!$G$2:$G$801, 0)+1))&lt;=790,3,IF(INDEX(ERP資料!$G:$G, (MATCH(530, 輔助計算!$G$2:$G$801, 0)+1))&lt;=1181,2,1))))&gt;0, IF(IF(INDEX(ERP資料!$G:$G, (MATCH(530, 輔助計算!$G$2:$G$801, 0)+1))&lt;100, IF(INDEX(ERP資料!$G:$G, (MATCH(530, 輔助計算!$G$2:$G$801, 0)+1))&lt;=31,3,IF(INDEX(ERP資料!$G:$G, (MATCH(530, 輔助計算!$G$2:$G$801, 0)+1))&lt;=46.5,2,1)), IF(INDEX(ERP資料!$G:$G, (MATCH(530, 輔助計算!$G$2:$G$801, 0)+1))&lt;=790,3,IF(INDEX(ERP資料!$G:$G, (MATCH(530, 輔助計算!$G$2:$G$801, 0)+1))&lt;=1181,2,1)))=1,TEXT(INDEX(ERP資料!$G:$G, (MATCH(530, 輔助計算!$G$2:$G$801, 0)+1)),"0.##"),IF(IF(INDEX(ERP資料!$G:$G, (MATCH(530, 輔助計算!$G$2:$G$801, 0)+1))&lt;100, IF(INDEX(ERP資料!$G:$G, (MATCH(530, 輔助計算!$G$2:$G$801, 0)+1))&lt;=31,3,IF(INDEX(ERP資料!$G:$G, (MATCH(530, 輔助計算!$G$2:$G$801, 0)+1))&lt;=46.5,2,1)), IF(INDEX(ERP資料!$G:$G, (MATCH(530, 輔助計算!$G$2:$G$801, 0)+1))&lt;=790,3,IF(INDEX(ERP資料!$G:$G, (MATCH(530, 輔助計算!$G$2:$G$801, 0)+1))&lt;=1181,2,1)))=2,TEXT(INDEX(ERP資料!$G:$G, (MATCH(530, 輔助計算!$G$2:$G$801, 0)+1)),"0.##")&amp;"+"&amp;TEXT(INDEX(ERP資料!$G:$G, (MATCH(530, 輔助計算!$G$2:$G$801, 0)+1)),"0.##"),TEXT(INDEX(ERP資料!$G:$G, (MATCH(530, 輔助計算!$G$2:$G$801, 0)+1)),"0.##")&amp;"+"&amp;TEXT(INDEX(ERP資料!$G:$G, (MATCH(530, 輔助計算!$G$2:$G$801, 0)+1)),"0.##")&amp;"+"&amp;TEXT(INDEX(ERP資料!$G:$G, (MATCH(530, 輔助計算!$G$2:$G$801, 0)+1)),"0.##")))&amp;"-"&amp;INT(INDEX(輔助計算!$D:$D, (MATCH(530, 輔助計算!$G$2:$G$801, 0)+1))/IF(INDEX(ERP資料!$G:$G, (MATCH(530, 輔助計算!$G$2:$G$801, 0)+1))&lt;100, IF(INDEX(ERP資料!$G:$G, (MATCH(530, 輔助計算!$G$2:$G$801, 0)+1))&lt;=31,3,IF(INDEX(ERP資料!$G:$G, (MATCH(530, 輔助計算!$G$2:$G$801, 0)+1))&lt;=46.5,2,1)), IF(INDEX(ERP資料!$G:$G, (MATCH(530, 輔助計算!$G$2:$G$801, 0)+1))&lt;=790,3,IF(INDEX(ERP資料!$G:$G, (MATCH(530, 輔助計算!$G$2:$G$801, 0)+1))&lt;=1181,2,1)))), "")&lt;&gt;"",IF(MOD(INDEX(輔助計算!$D:$D, (MATCH(530, 輔助計算!$G$2:$G$801, 0)+1)),IF(INDEX(ERP資料!$G:$G, (MATCH(530, 輔助計算!$G$2:$G$801, 0)+1))&lt;100, IF(INDEX(ERP資料!$G:$G, (MATCH(530, 輔助計算!$G$2:$G$801, 0)+1))&lt;=31,3,IF(INDEX(ERP資料!$G:$G, (MATCH(530, 輔助計算!$G$2:$G$801, 0)+1))&lt;=46.5,2,1)), IF(INDEX(ERP資料!$G:$G, (MATCH(530, 輔助計算!$G$2:$G$801, 0)+1))&lt;=790,3,IF(INDEX(ERP資料!$G:$G, (MATCH(530, 輔助計算!$G$2:$G$801, 0)+1))&lt;=1181,2,1))))=0,"",IF(MOD(INDEX(輔助計算!$D:$D, (MATCH(530, 輔助計算!$G$2:$G$801, 0)+1)),IF(INDEX(ERP資料!$G:$G, (MATCH(530, 輔助計算!$G$2:$G$801, 0)+1))&lt;100, IF(INDEX(ERP資料!$G:$G, (MATCH(530, 輔助計算!$G$2:$G$801, 0)+1))&lt;=31,3,IF(INDEX(ERP資料!$G:$G, (MATCH(530, 輔助計算!$G$2:$G$801, 0)+1))&lt;=46.5,2,1)), IF(INDEX(ERP資料!$G:$G, (MATCH(530, 輔助計算!$G$2:$G$801, 0)+1))&lt;=790,3,IF(INDEX(ERP資料!$G:$G, (MATCH(530, 輔助計算!$G$2:$G$801, 0)+1))&lt;=1181,2,1))))=0,"",IF(MOD(INDEX(輔助計算!$D:$D, (MATCH(530, 輔助計算!$G$2:$G$801, 0)+1)),IF(INDEX(ERP資料!$G:$G, (MATCH(530, 輔助計算!$G$2:$G$801, 0)+1))&lt;100, IF(INDEX(ERP資料!$G:$G, (MATCH(530, 輔助計算!$G$2:$G$801, 0)+1))&lt;=31,3,IF(INDEX(ERP資料!$G:$G, (MATCH(530, 輔助計算!$G$2:$G$801, 0)+1))&lt;=46.5,2,1)), IF(INDEX(ERP資料!$G:$G, (MATCH(530, 輔助計算!$G$2:$G$801, 0)+1))&lt;=790,3,IF(INDEX(ERP資料!$G:$G, (MATCH(530, 輔助計算!$G$2:$G$801, 0)+1))&lt;=1181,2,1))))=1,TEXT(INDEX(ERP資料!$G:$G, (MATCH(530, 輔助計算!$G$2:$G$801, 0)+1)),"0.##"),IF(MOD(INDEX(輔助計算!$D:$D, (MATCH(530, 輔助計算!$G$2:$G$801, 0)+1)),IF(INDEX(ERP資料!$G:$G, (MATCH(530, 輔助計算!$G$2:$G$801, 0)+1))&lt;100, IF(INDEX(ERP資料!$G:$G, (MATCH(530, 輔助計算!$G$2:$G$801, 0)+1))&lt;=31,3,IF(INDEX(ERP資料!$G:$G, (MATCH(530, 輔助計算!$G$2:$G$801, 0)+1))&lt;=46.5,2,1)), IF(INDEX(ERP資料!$G:$G, (MATCH(530, 輔助計算!$G$2:$G$801, 0)+1))&lt;=790,3,IF(INDEX(ERP資料!$G:$G, (MATCH(530, 輔助計算!$G$2:$G$801, 0)+1))&lt;=1181,2,1))))=2,TEXT(INDEX(ERP資料!$G:$G, (MATCH(530, 輔助計算!$G$2:$G$801, 0)+1)),"0.##")&amp;"+"&amp;TEXT(INDEX(ERP資料!$G:$G, (MATCH(530, 輔助計算!$G$2:$G$801, 0)+1)),"0.##"),TEXT(INDEX(ERP資料!$G:$G, (MATCH(530, 輔助計算!$G$2:$G$801, 0)+1)),"0.##")&amp;"+"&amp;TEXT(INDEX(ERP資料!$G:$G, (MATCH(530, 輔助計算!$G$2:$G$801, 0)+1)),"0.##")&amp;"+"&amp;TEXT(INDEX(ERP資料!$G:$G, (MATCH(530, 輔助計算!$G$2:$G$801, 0)+1)),"0.##"))))&amp;"-1")&lt;&gt;""),"  ","")&amp;IF(MOD(INDEX(輔助計算!$D:$D, (MATCH(530, 輔助計算!$G$2:$G$801, 0)+1)),IF(INDEX(ERP資料!$G:$G, (MATCH(530, 輔助計算!$G$2:$G$801, 0)+1))&lt;100, IF(INDEX(ERP資料!$G:$G, (MATCH(530, 輔助計算!$G$2:$G$801, 0)+1))&lt;=31,3,IF(INDEX(ERP資料!$G:$G, (MATCH(530, 輔助計算!$G$2:$G$801, 0)+1))&lt;=46.5,2,1)), IF(INDEX(ERP資料!$G:$G, (MATCH(530, 輔助計算!$G$2:$G$801, 0)+1))&lt;=790,3,IF(INDEX(ERP資料!$G:$G, (MATCH(530, 輔助計算!$G$2:$G$801, 0)+1))&lt;=1181,2,1))))=0,"",IF(MOD(INDEX(輔助計算!$D:$D, (MATCH(530, 輔助計算!$G$2:$G$801, 0)+1)),IF(INDEX(ERP資料!$G:$G, (MATCH(530, 輔助計算!$G$2:$G$801, 0)+1))&lt;100, IF(INDEX(ERP資料!$G:$G, (MATCH(530, 輔助計算!$G$2:$G$801, 0)+1))&lt;=31,3,IF(INDEX(ERP資料!$G:$G, (MATCH(530, 輔助計算!$G$2:$G$801, 0)+1))&lt;=46.5,2,1)), IF(INDEX(ERP資料!$G:$G, (MATCH(530, 輔助計算!$G$2:$G$801, 0)+1))&lt;=790,3,IF(INDEX(ERP資料!$G:$G, (MATCH(530, 輔助計算!$G$2:$G$801, 0)+1))&lt;=1181,2,1))))=0,"",IF(MOD(INDEX(輔助計算!$D:$D, (MATCH(530, 輔助計算!$G$2:$G$801, 0)+1)),IF(INDEX(ERP資料!$G:$G, (MATCH(530, 輔助計算!$G$2:$G$801, 0)+1))&lt;100, IF(INDEX(ERP資料!$G:$G, (MATCH(530, 輔助計算!$G$2:$G$801, 0)+1))&lt;=31,3,IF(INDEX(ERP資料!$G:$G, (MATCH(530, 輔助計算!$G$2:$G$801, 0)+1))&lt;=46.5,2,1)), IF(INDEX(ERP資料!$G:$G, (MATCH(530, 輔助計算!$G$2:$G$801, 0)+1))&lt;=790,3,IF(INDEX(ERP資料!$G:$G, (MATCH(530, 輔助計算!$G$2:$G$801, 0)+1))&lt;=1181,2,1))))=1,TEXT(INDEX(ERP資料!$G:$G, (MATCH(530, 輔助計算!$G$2:$G$801, 0)+1)),"0.##"),IF(MOD(INDEX(輔助計算!$D:$D, (MATCH(530, 輔助計算!$G$2:$G$801, 0)+1)),IF(INDEX(ERP資料!$G:$G, (MATCH(530, 輔助計算!$G$2:$G$801, 0)+1))&lt;100, IF(INDEX(ERP資料!$G:$G, (MATCH(530, 輔助計算!$G$2:$G$801, 0)+1))&lt;=31,3,IF(INDEX(ERP資料!$G:$G, (MATCH(530, 輔助計算!$G$2:$G$801, 0)+1))&lt;=46.5,2,1)), IF(INDEX(ERP資料!$G:$G, (MATCH(530, 輔助計算!$G$2:$G$801, 0)+1))&lt;=790,3,IF(INDEX(ERP資料!$G:$G, (MATCH(530, 輔助計算!$G$2:$G$801, 0)+1))&lt;=1181,2,1))))=2,TEXT(INDEX(ERP資料!$G:$G, (MATCH(530, 輔助計算!$G$2:$G$801, 0)+1)),"0.##")&amp;"+"&amp;TEXT(INDEX(ERP資料!$G:$G, (MATCH(530, 輔助計算!$G$2:$G$801, 0)+1)),"0.##"),TEXT(INDEX(ERP資料!$G:$G, (MATCH(530, 輔助計算!$G$2:$G$801, 0)+1)),"0.##")&amp;"+"&amp;TEXT(INDEX(ERP資料!$G:$G, (MATCH(530, 輔助計算!$G$2:$G$801, 0)+1)),"0.##")&amp;"+"&amp;TEXT(INDEX(ERP資料!$G:$G, (MATCH(530, 輔助計算!$G$2:$G$801, 0)+1)),"0.##"))))&amp;"-1")), ""), "")</f>
        <v/>
      </c>
      <c r="K531" s="16" t="n"/>
      <c r="L531" s="14">
        <f>IFERROR(IF(AND(IFERROR(INDEX(ERP資料!$A:$A, (MATCH(530, 輔助計算!$G$2:$G$801, 0)+1)), "")&lt;&gt;"", IFERROR(INDEX(ERP資料!$A:$A, (MATCH(530, 輔助計算!$G$2:$G$801, 0)+1)), "")&lt;&gt;IFERROR(INDEX(ERP資料!$A:$A, MATCH(529, 輔助計算!$G$2:$G$801, 0)+1), "")), INDEX(ERP資料!$B:$B, (MATCH(530, 輔助計算!$G$2:$G$801, 0)+1)), ""), "")</f>
        <v/>
      </c>
      <c r="M531" s="17" t="n"/>
    </row>
    <row r="532">
      <c r="A532" s="10">
        <f>IFERROR(IF(AND(IFERROR(INDEX(ERP資料!$A:$A, (MATCH(531, 輔助計算!$G$2:$G$801, 0)+1)), "")&lt;&gt;"", IFERROR(INDEX(ERP資料!$A:$A, (MATCH(531, 輔助計算!$G$2:$G$801, 0)+1)), "")&lt;&gt;IFERROR(INDEX(ERP資料!$A:$A, MATCH(530, 輔助計算!$G$2:$G$801, 0)+1), "")), IFERROR(INDEX(ERP資料!$A:$A, (MATCH(531, 輔助計算!$G$2:$G$801, 0)+1)), ""), ""), "")</f>
        <v/>
      </c>
      <c r="B532" s="10">
        <f>IFERROR(IF(AND(IFERROR(INDEX(ERP資料!$A:$A, (MATCH(531, 輔助計算!$G$2:$G$801, 0)+1)), "")&lt;&gt;"", IFERROR(INDEX(ERP資料!$A:$A, (MATCH(531, 輔助計算!$G$2:$G$801, 0)+1)), "")&lt;&gt;IFERROR(INDEX(ERP資料!$A:$A, MATCH(530, 輔助計算!$G$2:$G$801, 0)+1), "")), INDEX(ERP資料!$S:$S, (MATCH(531, 輔助計算!$G$2:$G$801, 0)+1)), ""), "")</f>
        <v/>
      </c>
      <c r="C532" s="19">
        <f>IFERROR(IF(AND(IFERROR(INDEX(ERP資料!$A:$A, (MATCH(531, 輔助計算!$G$2:$G$801, 0)+1)), "")&lt;&gt;"", IFERROR(INDEX(ERP資料!$A:$A, (MATCH(531, 輔助計算!$G$2:$G$801, 0)+1)), "")&lt;&gt;IFERROR(INDEX(ERP資料!$A:$A, MATCH(530, 輔助計算!$G$2:$G$801, 0)+1), "")), IFERROR(VLOOKUP(LEFT(INDEX(ERP資料!$S:$S, (MATCH(531, 輔助計算!$G$2:$G$801, 0)+1)), 4), 紙管對照表!$A:$C, 3, FALSE), ""), ""), "")</f>
        <v/>
      </c>
      <c r="D532" s="16" t="n"/>
      <c r="E532" s="10">
        <f>IFERROR(IF(INDEX(ERP資料!$H:$H, (MATCH(531, 輔助計算!$G$2:$G$801, 0)+1))="","",INDEX(ERP資料!$H:$H, (MATCH(531, 輔助計算!$G$2:$G$801, 0)+1))), "")</f>
        <v/>
      </c>
      <c r="F532" s="10">
        <f>IFERROR(IF(INDEX(ERP資料!$E:$E, (MATCH(531, 輔助計算!$G$2:$G$801, 0)+1))="","",TRIM(INDEX(ERP資料!$E:$E, (MATCH(531, 輔助計算!$G$2:$G$801, 0)+1)))), "")</f>
        <v/>
      </c>
      <c r="G532" s="10">
        <f>IFERROR(IF(INDEX(ERP資料!$F:$F, (MATCH(531, 輔助計算!$G$2:$G$801, 0)+1))="","",INDEX(ERP資料!$F:$F, (MATCH(531, 輔助計算!$G$2:$G$801, 0)+1))), "")</f>
        <v/>
      </c>
      <c r="H532" s="10">
        <f>IFERROR(IF(INDEX(ERP資料!$G:$G, (MATCH(531, 輔助計算!$G$2:$G$801, 0)+1))="","",INDEX(ERP資料!$G:$G, (MATCH(531, 輔助計算!$G$2:$G$801, 0)+1))), "")</f>
        <v/>
      </c>
      <c r="I532" s="15">
        <f>IFERROR(INDEX(輔助計算!$D:$D, (MATCH(531, 輔助計算!$G$2:$G$801, 0)+1)), "")</f>
        <v/>
      </c>
      <c r="J532" s="15">
        <f>IFERROR(IF(AND(INDEX(輔助計算!$D:$D, (MATCH(531, 輔助計算!$G$2:$G$801, 0)+1))&lt;&gt;"", INDEX(ERP資料!$G:$G, (MATCH(531, 輔助計算!$G$2:$G$801, 0)+1))&lt;&gt;""), TRIM(IF(INT(INDEX(輔助計算!$D:$D, (MATCH(531, 輔助計算!$G$2:$G$801, 0)+1))/IF(INDEX(ERP資料!$G:$G, (MATCH(531, 輔助計算!$G$2:$G$801, 0)+1))&lt;100, IF(INDEX(ERP資料!$G:$G, (MATCH(531, 輔助計算!$G$2:$G$801, 0)+1))&lt;=31,3,IF(INDEX(ERP資料!$G:$G, (MATCH(531, 輔助計算!$G$2:$G$801, 0)+1))&lt;=46.5,2,1)), IF(INDEX(ERP資料!$G:$G, (MATCH(531, 輔助計算!$G$2:$G$801, 0)+1))&lt;=790,3,IF(INDEX(ERP資料!$G:$G, (MATCH(531, 輔助計算!$G$2:$G$801, 0)+1))&lt;=1181,2,1))))&gt;0, IF(IF(INDEX(ERP資料!$G:$G, (MATCH(531, 輔助計算!$G$2:$G$801, 0)+1))&lt;100, IF(INDEX(ERP資料!$G:$G, (MATCH(531, 輔助計算!$G$2:$G$801, 0)+1))&lt;=31,3,IF(INDEX(ERP資料!$G:$G, (MATCH(531, 輔助計算!$G$2:$G$801, 0)+1))&lt;=46.5,2,1)), IF(INDEX(ERP資料!$G:$G, (MATCH(531, 輔助計算!$G$2:$G$801, 0)+1))&lt;=790,3,IF(INDEX(ERP資料!$G:$G, (MATCH(531, 輔助計算!$G$2:$G$801, 0)+1))&lt;=1181,2,1)))=1,TEXT(INDEX(ERP資料!$G:$G, (MATCH(531, 輔助計算!$G$2:$G$801, 0)+1)),"0.##"),IF(IF(INDEX(ERP資料!$G:$G, (MATCH(531, 輔助計算!$G$2:$G$801, 0)+1))&lt;100, IF(INDEX(ERP資料!$G:$G, (MATCH(531, 輔助計算!$G$2:$G$801, 0)+1))&lt;=31,3,IF(INDEX(ERP資料!$G:$G, (MATCH(531, 輔助計算!$G$2:$G$801, 0)+1))&lt;=46.5,2,1)), IF(INDEX(ERP資料!$G:$G, (MATCH(531, 輔助計算!$G$2:$G$801, 0)+1))&lt;=790,3,IF(INDEX(ERP資料!$G:$G, (MATCH(531, 輔助計算!$G$2:$G$801, 0)+1))&lt;=1181,2,1)))=2,TEXT(INDEX(ERP資料!$G:$G, (MATCH(531, 輔助計算!$G$2:$G$801, 0)+1)),"0.##")&amp;"+"&amp;TEXT(INDEX(ERP資料!$G:$G, (MATCH(531, 輔助計算!$G$2:$G$801, 0)+1)),"0.##"),TEXT(INDEX(ERP資料!$G:$G, (MATCH(531, 輔助計算!$G$2:$G$801, 0)+1)),"0.##")&amp;"+"&amp;TEXT(INDEX(ERP資料!$G:$G, (MATCH(531, 輔助計算!$G$2:$G$801, 0)+1)),"0.##")&amp;"+"&amp;TEXT(INDEX(ERP資料!$G:$G, (MATCH(531, 輔助計算!$G$2:$G$801, 0)+1)),"0.##")))&amp;"-"&amp;INT(INDEX(輔助計算!$D:$D, (MATCH(531, 輔助計算!$G$2:$G$801, 0)+1))/IF(INDEX(ERP資料!$G:$G, (MATCH(531, 輔助計算!$G$2:$G$801, 0)+1))&lt;100, IF(INDEX(ERP資料!$G:$G, (MATCH(531, 輔助計算!$G$2:$G$801, 0)+1))&lt;=31,3,IF(INDEX(ERP資料!$G:$G, (MATCH(531, 輔助計算!$G$2:$G$801, 0)+1))&lt;=46.5,2,1)), IF(INDEX(ERP資料!$G:$G, (MATCH(531, 輔助計算!$G$2:$G$801, 0)+1))&lt;=790,3,IF(INDEX(ERP資料!$G:$G, (MATCH(531, 輔助計算!$G$2:$G$801, 0)+1))&lt;=1181,2,1)))), "")&amp;IF(AND(IF(INT(INDEX(輔助計算!$D:$D, (MATCH(531, 輔助計算!$G$2:$G$801, 0)+1))/IF(INDEX(ERP資料!$G:$G, (MATCH(531, 輔助計算!$G$2:$G$801, 0)+1))&lt;100, IF(INDEX(ERP資料!$G:$G, (MATCH(531, 輔助計算!$G$2:$G$801, 0)+1))&lt;=31,3,IF(INDEX(ERP資料!$G:$G, (MATCH(531, 輔助計算!$G$2:$G$801, 0)+1))&lt;=46.5,2,1)), IF(INDEX(ERP資料!$G:$G, (MATCH(531, 輔助計算!$G$2:$G$801, 0)+1))&lt;=790,3,IF(INDEX(ERP資料!$G:$G, (MATCH(531, 輔助計算!$G$2:$G$801, 0)+1))&lt;=1181,2,1))))&gt;0, IF(IF(INDEX(ERP資料!$G:$G, (MATCH(531, 輔助計算!$G$2:$G$801, 0)+1))&lt;100, IF(INDEX(ERP資料!$G:$G, (MATCH(531, 輔助計算!$G$2:$G$801, 0)+1))&lt;=31,3,IF(INDEX(ERP資料!$G:$G, (MATCH(531, 輔助計算!$G$2:$G$801, 0)+1))&lt;=46.5,2,1)), IF(INDEX(ERP資料!$G:$G, (MATCH(531, 輔助計算!$G$2:$G$801, 0)+1))&lt;=790,3,IF(INDEX(ERP資料!$G:$G, (MATCH(531, 輔助計算!$G$2:$G$801, 0)+1))&lt;=1181,2,1)))=1,TEXT(INDEX(ERP資料!$G:$G, (MATCH(531, 輔助計算!$G$2:$G$801, 0)+1)),"0.##"),IF(IF(INDEX(ERP資料!$G:$G, (MATCH(531, 輔助計算!$G$2:$G$801, 0)+1))&lt;100, IF(INDEX(ERP資料!$G:$G, (MATCH(531, 輔助計算!$G$2:$G$801, 0)+1))&lt;=31,3,IF(INDEX(ERP資料!$G:$G, (MATCH(531, 輔助計算!$G$2:$G$801, 0)+1))&lt;=46.5,2,1)), IF(INDEX(ERP資料!$G:$G, (MATCH(531, 輔助計算!$G$2:$G$801, 0)+1))&lt;=790,3,IF(INDEX(ERP資料!$G:$G, (MATCH(531, 輔助計算!$G$2:$G$801, 0)+1))&lt;=1181,2,1)))=2,TEXT(INDEX(ERP資料!$G:$G, (MATCH(531, 輔助計算!$G$2:$G$801, 0)+1)),"0.##")&amp;"+"&amp;TEXT(INDEX(ERP資料!$G:$G, (MATCH(531, 輔助計算!$G$2:$G$801, 0)+1)),"0.##"),TEXT(INDEX(ERP資料!$G:$G, (MATCH(531, 輔助計算!$G$2:$G$801, 0)+1)),"0.##")&amp;"+"&amp;TEXT(INDEX(ERP資料!$G:$G, (MATCH(531, 輔助計算!$G$2:$G$801, 0)+1)),"0.##")&amp;"+"&amp;TEXT(INDEX(ERP資料!$G:$G, (MATCH(531, 輔助計算!$G$2:$G$801, 0)+1)),"0.##")))&amp;"-"&amp;INT(INDEX(輔助計算!$D:$D, (MATCH(531, 輔助計算!$G$2:$G$801, 0)+1))/IF(INDEX(ERP資料!$G:$G, (MATCH(531, 輔助計算!$G$2:$G$801, 0)+1))&lt;100, IF(INDEX(ERP資料!$G:$G, (MATCH(531, 輔助計算!$G$2:$G$801, 0)+1))&lt;=31,3,IF(INDEX(ERP資料!$G:$G, (MATCH(531, 輔助計算!$G$2:$G$801, 0)+1))&lt;=46.5,2,1)), IF(INDEX(ERP資料!$G:$G, (MATCH(531, 輔助計算!$G$2:$G$801, 0)+1))&lt;=790,3,IF(INDEX(ERP資料!$G:$G, (MATCH(531, 輔助計算!$G$2:$G$801, 0)+1))&lt;=1181,2,1)))), "")&lt;&gt;"",IF(MOD(INDEX(輔助計算!$D:$D, (MATCH(531, 輔助計算!$G$2:$G$801, 0)+1)),IF(INDEX(ERP資料!$G:$G, (MATCH(531, 輔助計算!$G$2:$G$801, 0)+1))&lt;100, IF(INDEX(ERP資料!$G:$G, (MATCH(531, 輔助計算!$G$2:$G$801, 0)+1))&lt;=31,3,IF(INDEX(ERP資料!$G:$G, (MATCH(531, 輔助計算!$G$2:$G$801, 0)+1))&lt;=46.5,2,1)), IF(INDEX(ERP資料!$G:$G, (MATCH(531, 輔助計算!$G$2:$G$801, 0)+1))&lt;=790,3,IF(INDEX(ERP資料!$G:$G, (MATCH(531, 輔助計算!$G$2:$G$801, 0)+1))&lt;=1181,2,1))))=0,"",IF(MOD(INDEX(輔助計算!$D:$D, (MATCH(531, 輔助計算!$G$2:$G$801, 0)+1)),IF(INDEX(ERP資料!$G:$G, (MATCH(531, 輔助計算!$G$2:$G$801, 0)+1))&lt;100, IF(INDEX(ERP資料!$G:$G, (MATCH(531, 輔助計算!$G$2:$G$801, 0)+1))&lt;=31,3,IF(INDEX(ERP資料!$G:$G, (MATCH(531, 輔助計算!$G$2:$G$801, 0)+1))&lt;=46.5,2,1)), IF(INDEX(ERP資料!$G:$G, (MATCH(531, 輔助計算!$G$2:$G$801, 0)+1))&lt;=790,3,IF(INDEX(ERP資料!$G:$G, (MATCH(531, 輔助計算!$G$2:$G$801, 0)+1))&lt;=1181,2,1))))=0,"",IF(MOD(INDEX(輔助計算!$D:$D, (MATCH(531, 輔助計算!$G$2:$G$801, 0)+1)),IF(INDEX(ERP資料!$G:$G, (MATCH(531, 輔助計算!$G$2:$G$801, 0)+1))&lt;100, IF(INDEX(ERP資料!$G:$G, (MATCH(531, 輔助計算!$G$2:$G$801, 0)+1))&lt;=31,3,IF(INDEX(ERP資料!$G:$G, (MATCH(531, 輔助計算!$G$2:$G$801, 0)+1))&lt;=46.5,2,1)), IF(INDEX(ERP資料!$G:$G, (MATCH(531, 輔助計算!$G$2:$G$801, 0)+1))&lt;=790,3,IF(INDEX(ERP資料!$G:$G, (MATCH(531, 輔助計算!$G$2:$G$801, 0)+1))&lt;=1181,2,1))))=1,TEXT(INDEX(ERP資料!$G:$G, (MATCH(531, 輔助計算!$G$2:$G$801, 0)+1)),"0.##"),IF(MOD(INDEX(輔助計算!$D:$D, (MATCH(531, 輔助計算!$G$2:$G$801, 0)+1)),IF(INDEX(ERP資料!$G:$G, (MATCH(531, 輔助計算!$G$2:$G$801, 0)+1))&lt;100, IF(INDEX(ERP資料!$G:$G, (MATCH(531, 輔助計算!$G$2:$G$801, 0)+1))&lt;=31,3,IF(INDEX(ERP資料!$G:$G, (MATCH(531, 輔助計算!$G$2:$G$801, 0)+1))&lt;=46.5,2,1)), IF(INDEX(ERP資料!$G:$G, (MATCH(531, 輔助計算!$G$2:$G$801, 0)+1))&lt;=790,3,IF(INDEX(ERP資料!$G:$G, (MATCH(531, 輔助計算!$G$2:$G$801, 0)+1))&lt;=1181,2,1))))=2,TEXT(INDEX(ERP資料!$G:$G, (MATCH(531, 輔助計算!$G$2:$G$801, 0)+1)),"0.##")&amp;"+"&amp;TEXT(INDEX(ERP資料!$G:$G, (MATCH(531, 輔助計算!$G$2:$G$801, 0)+1)),"0.##"),TEXT(INDEX(ERP資料!$G:$G, (MATCH(531, 輔助計算!$G$2:$G$801, 0)+1)),"0.##")&amp;"+"&amp;TEXT(INDEX(ERP資料!$G:$G, (MATCH(531, 輔助計算!$G$2:$G$801, 0)+1)),"0.##")&amp;"+"&amp;TEXT(INDEX(ERP資料!$G:$G, (MATCH(531, 輔助計算!$G$2:$G$801, 0)+1)),"0.##"))))&amp;"-1")&lt;&gt;""),"  ","")&amp;IF(MOD(INDEX(輔助計算!$D:$D, (MATCH(531, 輔助計算!$G$2:$G$801, 0)+1)),IF(INDEX(ERP資料!$G:$G, (MATCH(531, 輔助計算!$G$2:$G$801, 0)+1))&lt;100, IF(INDEX(ERP資料!$G:$G, (MATCH(531, 輔助計算!$G$2:$G$801, 0)+1))&lt;=31,3,IF(INDEX(ERP資料!$G:$G, (MATCH(531, 輔助計算!$G$2:$G$801, 0)+1))&lt;=46.5,2,1)), IF(INDEX(ERP資料!$G:$G, (MATCH(531, 輔助計算!$G$2:$G$801, 0)+1))&lt;=790,3,IF(INDEX(ERP資料!$G:$G, (MATCH(531, 輔助計算!$G$2:$G$801, 0)+1))&lt;=1181,2,1))))=0,"",IF(MOD(INDEX(輔助計算!$D:$D, (MATCH(531, 輔助計算!$G$2:$G$801, 0)+1)),IF(INDEX(ERP資料!$G:$G, (MATCH(531, 輔助計算!$G$2:$G$801, 0)+1))&lt;100, IF(INDEX(ERP資料!$G:$G, (MATCH(531, 輔助計算!$G$2:$G$801, 0)+1))&lt;=31,3,IF(INDEX(ERP資料!$G:$G, (MATCH(531, 輔助計算!$G$2:$G$801, 0)+1))&lt;=46.5,2,1)), IF(INDEX(ERP資料!$G:$G, (MATCH(531, 輔助計算!$G$2:$G$801, 0)+1))&lt;=790,3,IF(INDEX(ERP資料!$G:$G, (MATCH(531, 輔助計算!$G$2:$G$801, 0)+1))&lt;=1181,2,1))))=0,"",IF(MOD(INDEX(輔助計算!$D:$D, (MATCH(531, 輔助計算!$G$2:$G$801, 0)+1)),IF(INDEX(ERP資料!$G:$G, (MATCH(531, 輔助計算!$G$2:$G$801, 0)+1))&lt;100, IF(INDEX(ERP資料!$G:$G, (MATCH(531, 輔助計算!$G$2:$G$801, 0)+1))&lt;=31,3,IF(INDEX(ERP資料!$G:$G, (MATCH(531, 輔助計算!$G$2:$G$801, 0)+1))&lt;=46.5,2,1)), IF(INDEX(ERP資料!$G:$G, (MATCH(531, 輔助計算!$G$2:$G$801, 0)+1))&lt;=790,3,IF(INDEX(ERP資料!$G:$G, (MATCH(531, 輔助計算!$G$2:$G$801, 0)+1))&lt;=1181,2,1))))=1,TEXT(INDEX(ERP資料!$G:$G, (MATCH(531, 輔助計算!$G$2:$G$801, 0)+1)),"0.##"),IF(MOD(INDEX(輔助計算!$D:$D, (MATCH(531, 輔助計算!$G$2:$G$801, 0)+1)),IF(INDEX(ERP資料!$G:$G, (MATCH(531, 輔助計算!$G$2:$G$801, 0)+1))&lt;100, IF(INDEX(ERP資料!$G:$G, (MATCH(531, 輔助計算!$G$2:$G$801, 0)+1))&lt;=31,3,IF(INDEX(ERP資料!$G:$G, (MATCH(531, 輔助計算!$G$2:$G$801, 0)+1))&lt;=46.5,2,1)), IF(INDEX(ERP資料!$G:$G, (MATCH(531, 輔助計算!$G$2:$G$801, 0)+1))&lt;=790,3,IF(INDEX(ERP資料!$G:$G, (MATCH(531, 輔助計算!$G$2:$G$801, 0)+1))&lt;=1181,2,1))))=2,TEXT(INDEX(ERP資料!$G:$G, (MATCH(531, 輔助計算!$G$2:$G$801, 0)+1)),"0.##")&amp;"+"&amp;TEXT(INDEX(ERP資料!$G:$G, (MATCH(531, 輔助計算!$G$2:$G$801, 0)+1)),"0.##"),TEXT(INDEX(ERP資料!$G:$G, (MATCH(531, 輔助計算!$G$2:$G$801, 0)+1)),"0.##")&amp;"+"&amp;TEXT(INDEX(ERP資料!$G:$G, (MATCH(531, 輔助計算!$G$2:$G$801, 0)+1)),"0.##")&amp;"+"&amp;TEXT(INDEX(ERP資料!$G:$G, (MATCH(531, 輔助計算!$G$2:$G$801, 0)+1)),"0.##"))))&amp;"-1")), ""), "")</f>
        <v/>
      </c>
      <c r="K532" s="16" t="n"/>
      <c r="L532" s="14">
        <f>IFERROR(IF(AND(IFERROR(INDEX(ERP資料!$A:$A, (MATCH(531, 輔助計算!$G$2:$G$801, 0)+1)), "")&lt;&gt;"", IFERROR(INDEX(ERP資料!$A:$A, (MATCH(531, 輔助計算!$G$2:$G$801, 0)+1)), "")&lt;&gt;IFERROR(INDEX(ERP資料!$A:$A, MATCH(530, 輔助計算!$G$2:$G$801, 0)+1), "")), INDEX(ERP資料!$B:$B, (MATCH(531, 輔助計算!$G$2:$G$801, 0)+1)), ""), "")</f>
        <v/>
      </c>
      <c r="M532" s="17" t="n"/>
    </row>
    <row r="533">
      <c r="A533" s="10">
        <f>IFERROR(IF(AND(IFERROR(INDEX(ERP資料!$A:$A, (MATCH(532, 輔助計算!$G$2:$G$801, 0)+1)), "")&lt;&gt;"", IFERROR(INDEX(ERP資料!$A:$A, (MATCH(532, 輔助計算!$G$2:$G$801, 0)+1)), "")&lt;&gt;IFERROR(INDEX(ERP資料!$A:$A, MATCH(531, 輔助計算!$G$2:$G$801, 0)+1), "")), IFERROR(INDEX(ERP資料!$A:$A, (MATCH(532, 輔助計算!$G$2:$G$801, 0)+1)), ""), ""), "")</f>
        <v/>
      </c>
      <c r="B533" s="10">
        <f>IFERROR(IF(AND(IFERROR(INDEX(ERP資料!$A:$A, (MATCH(532, 輔助計算!$G$2:$G$801, 0)+1)), "")&lt;&gt;"", IFERROR(INDEX(ERP資料!$A:$A, (MATCH(532, 輔助計算!$G$2:$G$801, 0)+1)), "")&lt;&gt;IFERROR(INDEX(ERP資料!$A:$A, MATCH(531, 輔助計算!$G$2:$G$801, 0)+1), "")), INDEX(ERP資料!$S:$S, (MATCH(532, 輔助計算!$G$2:$G$801, 0)+1)), ""), "")</f>
        <v/>
      </c>
      <c r="C533" s="19">
        <f>IFERROR(IF(AND(IFERROR(INDEX(ERP資料!$A:$A, (MATCH(532, 輔助計算!$G$2:$G$801, 0)+1)), "")&lt;&gt;"", IFERROR(INDEX(ERP資料!$A:$A, (MATCH(532, 輔助計算!$G$2:$G$801, 0)+1)), "")&lt;&gt;IFERROR(INDEX(ERP資料!$A:$A, MATCH(531, 輔助計算!$G$2:$G$801, 0)+1), "")), IFERROR(VLOOKUP(LEFT(INDEX(ERP資料!$S:$S, (MATCH(532, 輔助計算!$G$2:$G$801, 0)+1)), 4), 紙管對照表!$A:$C, 3, FALSE), ""), ""), "")</f>
        <v/>
      </c>
      <c r="D533" s="16" t="n"/>
      <c r="E533" s="10">
        <f>IFERROR(IF(INDEX(ERP資料!$H:$H, (MATCH(532, 輔助計算!$G$2:$G$801, 0)+1))="","",INDEX(ERP資料!$H:$H, (MATCH(532, 輔助計算!$G$2:$G$801, 0)+1))), "")</f>
        <v/>
      </c>
      <c r="F533" s="10">
        <f>IFERROR(IF(INDEX(ERP資料!$E:$E, (MATCH(532, 輔助計算!$G$2:$G$801, 0)+1))="","",TRIM(INDEX(ERP資料!$E:$E, (MATCH(532, 輔助計算!$G$2:$G$801, 0)+1)))), "")</f>
        <v/>
      </c>
      <c r="G533" s="10">
        <f>IFERROR(IF(INDEX(ERP資料!$F:$F, (MATCH(532, 輔助計算!$G$2:$G$801, 0)+1))="","",INDEX(ERP資料!$F:$F, (MATCH(532, 輔助計算!$G$2:$G$801, 0)+1))), "")</f>
        <v/>
      </c>
      <c r="H533" s="10">
        <f>IFERROR(IF(INDEX(ERP資料!$G:$G, (MATCH(532, 輔助計算!$G$2:$G$801, 0)+1))="","",INDEX(ERP資料!$G:$G, (MATCH(532, 輔助計算!$G$2:$G$801, 0)+1))), "")</f>
        <v/>
      </c>
      <c r="I533" s="15">
        <f>IFERROR(INDEX(輔助計算!$D:$D, (MATCH(532, 輔助計算!$G$2:$G$801, 0)+1)), "")</f>
        <v/>
      </c>
      <c r="J533" s="15">
        <f>IFERROR(IF(AND(INDEX(輔助計算!$D:$D, (MATCH(532, 輔助計算!$G$2:$G$801, 0)+1))&lt;&gt;"", INDEX(ERP資料!$G:$G, (MATCH(532, 輔助計算!$G$2:$G$801, 0)+1))&lt;&gt;""), TRIM(IF(INT(INDEX(輔助計算!$D:$D, (MATCH(532, 輔助計算!$G$2:$G$801, 0)+1))/IF(INDEX(ERP資料!$G:$G, (MATCH(532, 輔助計算!$G$2:$G$801, 0)+1))&lt;100, IF(INDEX(ERP資料!$G:$G, (MATCH(532, 輔助計算!$G$2:$G$801, 0)+1))&lt;=31,3,IF(INDEX(ERP資料!$G:$G, (MATCH(532, 輔助計算!$G$2:$G$801, 0)+1))&lt;=46.5,2,1)), IF(INDEX(ERP資料!$G:$G, (MATCH(532, 輔助計算!$G$2:$G$801, 0)+1))&lt;=790,3,IF(INDEX(ERP資料!$G:$G, (MATCH(532, 輔助計算!$G$2:$G$801, 0)+1))&lt;=1181,2,1))))&gt;0, IF(IF(INDEX(ERP資料!$G:$G, (MATCH(532, 輔助計算!$G$2:$G$801, 0)+1))&lt;100, IF(INDEX(ERP資料!$G:$G, (MATCH(532, 輔助計算!$G$2:$G$801, 0)+1))&lt;=31,3,IF(INDEX(ERP資料!$G:$G, (MATCH(532, 輔助計算!$G$2:$G$801, 0)+1))&lt;=46.5,2,1)), IF(INDEX(ERP資料!$G:$G, (MATCH(532, 輔助計算!$G$2:$G$801, 0)+1))&lt;=790,3,IF(INDEX(ERP資料!$G:$G, (MATCH(532, 輔助計算!$G$2:$G$801, 0)+1))&lt;=1181,2,1)))=1,TEXT(INDEX(ERP資料!$G:$G, (MATCH(532, 輔助計算!$G$2:$G$801, 0)+1)),"0.##"),IF(IF(INDEX(ERP資料!$G:$G, (MATCH(532, 輔助計算!$G$2:$G$801, 0)+1))&lt;100, IF(INDEX(ERP資料!$G:$G, (MATCH(532, 輔助計算!$G$2:$G$801, 0)+1))&lt;=31,3,IF(INDEX(ERP資料!$G:$G, (MATCH(532, 輔助計算!$G$2:$G$801, 0)+1))&lt;=46.5,2,1)), IF(INDEX(ERP資料!$G:$G, (MATCH(532, 輔助計算!$G$2:$G$801, 0)+1))&lt;=790,3,IF(INDEX(ERP資料!$G:$G, (MATCH(532, 輔助計算!$G$2:$G$801, 0)+1))&lt;=1181,2,1)))=2,TEXT(INDEX(ERP資料!$G:$G, (MATCH(532, 輔助計算!$G$2:$G$801, 0)+1)),"0.##")&amp;"+"&amp;TEXT(INDEX(ERP資料!$G:$G, (MATCH(532, 輔助計算!$G$2:$G$801, 0)+1)),"0.##"),TEXT(INDEX(ERP資料!$G:$G, (MATCH(532, 輔助計算!$G$2:$G$801, 0)+1)),"0.##")&amp;"+"&amp;TEXT(INDEX(ERP資料!$G:$G, (MATCH(532, 輔助計算!$G$2:$G$801, 0)+1)),"0.##")&amp;"+"&amp;TEXT(INDEX(ERP資料!$G:$G, (MATCH(532, 輔助計算!$G$2:$G$801, 0)+1)),"0.##")))&amp;"-"&amp;INT(INDEX(輔助計算!$D:$D, (MATCH(532, 輔助計算!$G$2:$G$801, 0)+1))/IF(INDEX(ERP資料!$G:$G, (MATCH(532, 輔助計算!$G$2:$G$801, 0)+1))&lt;100, IF(INDEX(ERP資料!$G:$G, (MATCH(532, 輔助計算!$G$2:$G$801, 0)+1))&lt;=31,3,IF(INDEX(ERP資料!$G:$G, (MATCH(532, 輔助計算!$G$2:$G$801, 0)+1))&lt;=46.5,2,1)), IF(INDEX(ERP資料!$G:$G, (MATCH(532, 輔助計算!$G$2:$G$801, 0)+1))&lt;=790,3,IF(INDEX(ERP資料!$G:$G, (MATCH(532, 輔助計算!$G$2:$G$801, 0)+1))&lt;=1181,2,1)))), "")&amp;IF(AND(IF(INT(INDEX(輔助計算!$D:$D, (MATCH(532, 輔助計算!$G$2:$G$801, 0)+1))/IF(INDEX(ERP資料!$G:$G, (MATCH(532, 輔助計算!$G$2:$G$801, 0)+1))&lt;100, IF(INDEX(ERP資料!$G:$G, (MATCH(532, 輔助計算!$G$2:$G$801, 0)+1))&lt;=31,3,IF(INDEX(ERP資料!$G:$G, (MATCH(532, 輔助計算!$G$2:$G$801, 0)+1))&lt;=46.5,2,1)), IF(INDEX(ERP資料!$G:$G, (MATCH(532, 輔助計算!$G$2:$G$801, 0)+1))&lt;=790,3,IF(INDEX(ERP資料!$G:$G, (MATCH(532, 輔助計算!$G$2:$G$801, 0)+1))&lt;=1181,2,1))))&gt;0, IF(IF(INDEX(ERP資料!$G:$G, (MATCH(532, 輔助計算!$G$2:$G$801, 0)+1))&lt;100, IF(INDEX(ERP資料!$G:$G, (MATCH(532, 輔助計算!$G$2:$G$801, 0)+1))&lt;=31,3,IF(INDEX(ERP資料!$G:$G, (MATCH(532, 輔助計算!$G$2:$G$801, 0)+1))&lt;=46.5,2,1)), IF(INDEX(ERP資料!$G:$G, (MATCH(532, 輔助計算!$G$2:$G$801, 0)+1))&lt;=790,3,IF(INDEX(ERP資料!$G:$G, (MATCH(532, 輔助計算!$G$2:$G$801, 0)+1))&lt;=1181,2,1)))=1,TEXT(INDEX(ERP資料!$G:$G, (MATCH(532, 輔助計算!$G$2:$G$801, 0)+1)),"0.##"),IF(IF(INDEX(ERP資料!$G:$G, (MATCH(532, 輔助計算!$G$2:$G$801, 0)+1))&lt;100, IF(INDEX(ERP資料!$G:$G, (MATCH(532, 輔助計算!$G$2:$G$801, 0)+1))&lt;=31,3,IF(INDEX(ERP資料!$G:$G, (MATCH(532, 輔助計算!$G$2:$G$801, 0)+1))&lt;=46.5,2,1)), IF(INDEX(ERP資料!$G:$G, (MATCH(532, 輔助計算!$G$2:$G$801, 0)+1))&lt;=790,3,IF(INDEX(ERP資料!$G:$G, (MATCH(532, 輔助計算!$G$2:$G$801, 0)+1))&lt;=1181,2,1)))=2,TEXT(INDEX(ERP資料!$G:$G, (MATCH(532, 輔助計算!$G$2:$G$801, 0)+1)),"0.##")&amp;"+"&amp;TEXT(INDEX(ERP資料!$G:$G, (MATCH(532, 輔助計算!$G$2:$G$801, 0)+1)),"0.##"),TEXT(INDEX(ERP資料!$G:$G, (MATCH(532, 輔助計算!$G$2:$G$801, 0)+1)),"0.##")&amp;"+"&amp;TEXT(INDEX(ERP資料!$G:$G, (MATCH(532, 輔助計算!$G$2:$G$801, 0)+1)),"0.##")&amp;"+"&amp;TEXT(INDEX(ERP資料!$G:$G, (MATCH(532, 輔助計算!$G$2:$G$801, 0)+1)),"0.##")))&amp;"-"&amp;INT(INDEX(輔助計算!$D:$D, (MATCH(532, 輔助計算!$G$2:$G$801, 0)+1))/IF(INDEX(ERP資料!$G:$G, (MATCH(532, 輔助計算!$G$2:$G$801, 0)+1))&lt;100, IF(INDEX(ERP資料!$G:$G, (MATCH(532, 輔助計算!$G$2:$G$801, 0)+1))&lt;=31,3,IF(INDEX(ERP資料!$G:$G, (MATCH(532, 輔助計算!$G$2:$G$801, 0)+1))&lt;=46.5,2,1)), IF(INDEX(ERP資料!$G:$G, (MATCH(532, 輔助計算!$G$2:$G$801, 0)+1))&lt;=790,3,IF(INDEX(ERP資料!$G:$G, (MATCH(532, 輔助計算!$G$2:$G$801, 0)+1))&lt;=1181,2,1)))), "")&lt;&gt;"",IF(MOD(INDEX(輔助計算!$D:$D, (MATCH(532, 輔助計算!$G$2:$G$801, 0)+1)),IF(INDEX(ERP資料!$G:$G, (MATCH(532, 輔助計算!$G$2:$G$801, 0)+1))&lt;100, IF(INDEX(ERP資料!$G:$G, (MATCH(532, 輔助計算!$G$2:$G$801, 0)+1))&lt;=31,3,IF(INDEX(ERP資料!$G:$G, (MATCH(532, 輔助計算!$G$2:$G$801, 0)+1))&lt;=46.5,2,1)), IF(INDEX(ERP資料!$G:$G, (MATCH(532, 輔助計算!$G$2:$G$801, 0)+1))&lt;=790,3,IF(INDEX(ERP資料!$G:$G, (MATCH(532, 輔助計算!$G$2:$G$801, 0)+1))&lt;=1181,2,1))))=0,"",IF(MOD(INDEX(輔助計算!$D:$D, (MATCH(532, 輔助計算!$G$2:$G$801, 0)+1)),IF(INDEX(ERP資料!$G:$G, (MATCH(532, 輔助計算!$G$2:$G$801, 0)+1))&lt;100, IF(INDEX(ERP資料!$G:$G, (MATCH(532, 輔助計算!$G$2:$G$801, 0)+1))&lt;=31,3,IF(INDEX(ERP資料!$G:$G, (MATCH(532, 輔助計算!$G$2:$G$801, 0)+1))&lt;=46.5,2,1)), IF(INDEX(ERP資料!$G:$G, (MATCH(532, 輔助計算!$G$2:$G$801, 0)+1))&lt;=790,3,IF(INDEX(ERP資料!$G:$G, (MATCH(532, 輔助計算!$G$2:$G$801, 0)+1))&lt;=1181,2,1))))=0,"",IF(MOD(INDEX(輔助計算!$D:$D, (MATCH(532, 輔助計算!$G$2:$G$801, 0)+1)),IF(INDEX(ERP資料!$G:$G, (MATCH(532, 輔助計算!$G$2:$G$801, 0)+1))&lt;100, IF(INDEX(ERP資料!$G:$G, (MATCH(532, 輔助計算!$G$2:$G$801, 0)+1))&lt;=31,3,IF(INDEX(ERP資料!$G:$G, (MATCH(532, 輔助計算!$G$2:$G$801, 0)+1))&lt;=46.5,2,1)), IF(INDEX(ERP資料!$G:$G, (MATCH(532, 輔助計算!$G$2:$G$801, 0)+1))&lt;=790,3,IF(INDEX(ERP資料!$G:$G, (MATCH(532, 輔助計算!$G$2:$G$801, 0)+1))&lt;=1181,2,1))))=1,TEXT(INDEX(ERP資料!$G:$G, (MATCH(532, 輔助計算!$G$2:$G$801, 0)+1)),"0.##"),IF(MOD(INDEX(輔助計算!$D:$D, (MATCH(532, 輔助計算!$G$2:$G$801, 0)+1)),IF(INDEX(ERP資料!$G:$G, (MATCH(532, 輔助計算!$G$2:$G$801, 0)+1))&lt;100, IF(INDEX(ERP資料!$G:$G, (MATCH(532, 輔助計算!$G$2:$G$801, 0)+1))&lt;=31,3,IF(INDEX(ERP資料!$G:$G, (MATCH(532, 輔助計算!$G$2:$G$801, 0)+1))&lt;=46.5,2,1)), IF(INDEX(ERP資料!$G:$G, (MATCH(532, 輔助計算!$G$2:$G$801, 0)+1))&lt;=790,3,IF(INDEX(ERP資料!$G:$G, (MATCH(532, 輔助計算!$G$2:$G$801, 0)+1))&lt;=1181,2,1))))=2,TEXT(INDEX(ERP資料!$G:$G, (MATCH(532, 輔助計算!$G$2:$G$801, 0)+1)),"0.##")&amp;"+"&amp;TEXT(INDEX(ERP資料!$G:$G, (MATCH(532, 輔助計算!$G$2:$G$801, 0)+1)),"0.##"),TEXT(INDEX(ERP資料!$G:$G, (MATCH(532, 輔助計算!$G$2:$G$801, 0)+1)),"0.##")&amp;"+"&amp;TEXT(INDEX(ERP資料!$G:$G, (MATCH(532, 輔助計算!$G$2:$G$801, 0)+1)),"0.##")&amp;"+"&amp;TEXT(INDEX(ERP資料!$G:$G, (MATCH(532, 輔助計算!$G$2:$G$801, 0)+1)),"0.##"))))&amp;"-1")&lt;&gt;""),"  ","")&amp;IF(MOD(INDEX(輔助計算!$D:$D, (MATCH(532, 輔助計算!$G$2:$G$801, 0)+1)),IF(INDEX(ERP資料!$G:$G, (MATCH(532, 輔助計算!$G$2:$G$801, 0)+1))&lt;100, IF(INDEX(ERP資料!$G:$G, (MATCH(532, 輔助計算!$G$2:$G$801, 0)+1))&lt;=31,3,IF(INDEX(ERP資料!$G:$G, (MATCH(532, 輔助計算!$G$2:$G$801, 0)+1))&lt;=46.5,2,1)), IF(INDEX(ERP資料!$G:$G, (MATCH(532, 輔助計算!$G$2:$G$801, 0)+1))&lt;=790,3,IF(INDEX(ERP資料!$G:$G, (MATCH(532, 輔助計算!$G$2:$G$801, 0)+1))&lt;=1181,2,1))))=0,"",IF(MOD(INDEX(輔助計算!$D:$D, (MATCH(532, 輔助計算!$G$2:$G$801, 0)+1)),IF(INDEX(ERP資料!$G:$G, (MATCH(532, 輔助計算!$G$2:$G$801, 0)+1))&lt;100, IF(INDEX(ERP資料!$G:$G, (MATCH(532, 輔助計算!$G$2:$G$801, 0)+1))&lt;=31,3,IF(INDEX(ERP資料!$G:$G, (MATCH(532, 輔助計算!$G$2:$G$801, 0)+1))&lt;=46.5,2,1)), IF(INDEX(ERP資料!$G:$G, (MATCH(532, 輔助計算!$G$2:$G$801, 0)+1))&lt;=790,3,IF(INDEX(ERP資料!$G:$G, (MATCH(532, 輔助計算!$G$2:$G$801, 0)+1))&lt;=1181,2,1))))=0,"",IF(MOD(INDEX(輔助計算!$D:$D, (MATCH(532, 輔助計算!$G$2:$G$801, 0)+1)),IF(INDEX(ERP資料!$G:$G, (MATCH(532, 輔助計算!$G$2:$G$801, 0)+1))&lt;100, IF(INDEX(ERP資料!$G:$G, (MATCH(532, 輔助計算!$G$2:$G$801, 0)+1))&lt;=31,3,IF(INDEX(ERP資料!$G:$G, (MATCH(532, 輔助計算!$G$2:$G$801, 0)+1))&lt;=46.5,2,1)), IF(INDEX(ERP資料!$G:$G, (MATCH(532, 輔助計算!$G$2:$G$801, 0)+1))&lt;=790,3,IF(INDEX(ERP資料!$G:$G, (MATCH(532, 輔助計算!$G$2:$G$801, 0)+1))&lt;=1181,2,1))))=1,TEXT(INDEX(ERP資料!$G:$G, (MATCH(532, 輔助計算!$G$2:$G$801, 0)+1)),"0.##"),IF(MOD(INDEX(輔助計算!$D:$D, (MATCH(532, 輔助計算!$G$2:$G$801, 0)+1)),IF(INDEX(ERP資料!$G:$G, (MATCH(532, 輔助計算!$G$2:$G$801, 0)+1))&lt;100, IF(INDEX(ERP資料!$G:$G, (MATCH(532, 輔助計算!$G$2:$G$801, 0)+1))&lt;=31,3,IF(INDEX(ERP資料!$G:$G, (MATCH(532, 輔助計算!$G$2:$G$801, 0)+1))&lt;=46.5,2,1)), IF(INDEX(ERP資料!$G:$G, (MATCH(532, 輔助計算!$G$2:$G$801, 0)+1))&lt;=790,3,IF(INDEX(ERP資料!$G:$G, (MATCH(532, 輔助計算!$G$2:$G$801, 0)+1))&lt;=1181,2,1))))=2,TEXT(INDEX(ERP資料!$G:$G, (MATCH(532, 輔助計算!$G$2:$G$801, 0)+1)),"0.##")&amp;"+"&amp;TEXT(INDEX(ERP資料!$G:$G, (MATCH(532, 輔助計算!$G$2:$G$801, 0)+1)),"0.##"),TEXT(INDEX(ERP資料!$G:$G, (MATCH(532, 輔助計算!$G$2:$G$801, 0)+1)),"0.##")&amp;"+"&amp;TEXT(INDEX(ERP資料!$G:$G, (MATCH(532, 輔助計算!$G$2:$G$801, 0)+1)),"0.##")&amp;"+"&amp;TEXT(INDEX(ERP資料!$G:$G, (MATCH(532, 輔助計算!$G$2:$G$801, 0)+1)),"0.##"))))&amp;"-1")), ""), "")</f>
        <v/>
      </c>
      <c r="K533" s="16" t="n"/>
      <c r="L533" s="14">
        <f>IFERROR(IF(AND(IFERROR(INDEX(ERP資料!$A:$A, (MATCH(532, 輔助計算!$G$2:$G$801, 0)+1)), "")&lt;&gt;"", IFERROR(INDEX(ERP資料!$A:$A, (MATCH(532, 輔助計算!$G$2:$G$801, 0)+1)), "")&lt;&gt;IFERROR(INDEX(ERP資料!$A:$A, MATCH(531, 輔助計算!$G$2:$G$801, 0)+1), "")), INDEX(ERP資料!$B:$B, (MATCH(532, 輔助計算!$G$2:$G$801, 0)+1)), ""), "")</f>
        <v/>
      </c>
      <c r="M533" s="17" t="n"/>
    </row>
    <row r="534">
      <c r="A534" s="10">
        <f>IFERROR(IF(AND(IFERROR(INDEX(ERP資料!$A:$A, (MATCH(533, 輔助計算!$G$2:$G$801, 0)+1)), "")&lt;&gt;"", IFERROR(INDEX(ERP資料!$A:$A, (MATCH(533, 輔助計算!$G$2:$G$801, 0)+1)), "")&lt;&gt;IFERROR(INDEX(ERP資料!$A:$A, MATCH(532, 輔助計算!$G$2:$G$801, 0)+1), "")), IFERROR(INDEX(ERP資料!$A:$A, (MATCH(533, 輔助計算!$G$2:$G$801, 0)+1)), ""), ""), "")</f>
        <v/>
      </c>
      <c r="B534" s="10">
        <f>IFERROR(IF(AND(IFERROR(INDEX(ERP資料!$A:$A, (MATCH(533, 輔助計算!$G$2:$G$801, 0)+1)), "")&lt;&gt;"", IFERROR(INDEX(ERP資料!$A:$A, (MATCH(533, 輔助計算!$G$2:$G$801, 0)+1)), "")&lt;&gt;IFERROR(INDEX(ERP資料!$A:$A, MATCH(532, 輔助計算!$G$2:$G$801, 0)+1), "")), INDEX(ERP資料!$S:$S, (MATCH(533, 輔助計算!$G$2:$G$801, 0)+1)), ""), "")</f>
        <v/>
      </c>
      <c r="C534" s="19">
        <f>IFERROR(IF(AND(IFERROR(INDEX(ERP資料!$A:$A, (MATCH(533, 輔助計算!$G$2:$G$801, 0)+1)), "")&lt;&gt;"", IFERROR(INDEX(ERP資料!$A:$A, (MATCH(533, 輔助計算!$G$2:$G$801, 0)+1)), "")&lt;&gt;IFERROR(INDEX(ERP資料!$A:$A, MATCH(532, 輔助計算!$G$2:$G$801, 0)+1), "")), IFERROR(VLOOKUP(LEFT(INDEX(ERP資料!$S:$S, (MATCH(533, 輔助計算!$G$2:$G$801, 0)+1)), 4), 紙管對照表!$A:$C, 3, FALSE), ""), ""), "")</f>
        <v/>
      </c>
      <c r="D534" s="16" t="n"/>
      <c r="E534" s="10">
        <f>IFERROR(IF(INDEX(ERP資料!$H:$H, (MATCH(533, 輔助計算!$G$2:$G$801, 0)+1))="","",INDEX(ERP資料!$H:$H, (MATCH(533, 輔助計算!$G$2:$G$801, 0)+1))), "")</f>
        <v/>
      </c>
      <c r="F534" s="10">
        <f>IFERROR(IF(INDEX(ERP資料!$E:$E, (MATCH(533, 輔助計算!$G$2:$G$801, 0)+1))="","",TRIM(INDEX(ERP資料!$E:$E, (MATCH(533, 輔助計算!$G$2:$G$801, 0)+1)))), "")</f>
        <v/>
      </c>
      <c r="G534" s="10">
        <f>IFERROR(IF(INDEX(ERP資料!$F:$F, (MATCH(533, 輔助計算!$G$2:$G$801, 0)+1))="","",INDEX(ERP資料!$F:$F, (MATCH(533, 輔助計算!$G$2:$G$801, 0)+1))), "")</f>
        <v/>
      </c>
      <c r="H534" s="10">
        <f>IFERROR(IF(INDEX(ERP資料!$G:$G, (MATCH(533, 輔助計算!$G$2:$G$801, 0)+1))="","",INDEX(ERP資料!$G:$G, (MATCH(533, 輔助計算!$G$2:$G$801, 0)+1))), "")</f>
        <v/>
      </c>
      <c r="I534" s="15">
        <f>IFERROR(INDEX(輔助計算!$D:$D, (MATCH(533, 輔助計算!$G$2:$G$801, 0)+1)), "")</f>
        <v/>
      </c>
      <c r="J534" s="15">
        <f>IFERROR(IF(AND(INDEX(輔助計算!$D:$D, (MATCH(533, 輔助計算!$G$2:$G$801, 0)+1))&lt;&gt;"", INDEX(ERP資料!$G:$G, (MATCH(533, 輔助計算!$G$2:$G$801, 0)+1))&lt;&gt;""), TRIM(IF(INT(INDEX(輔助計算!$D:$D, (MATCH(533, 輔助計算!$G$2:$G$801, 0)+1))/IF(INDEX(ERP資料!$G:$G, (MATCH(533, 輔助計算!$G$2:$G$801, 0)+1))&lt;100, IF(INDEX(ERP資料!$G:$G, (MATCH(533, 輔助計算!$G$2:$G$801, 0)+1))&lt;=31,3,IF(INDEX(ERP資料!$G:$G, (MATCH(533, 輔助計算!$G$2:$G$801, 0)+1))&lt;=46.5,2,1)), IF(INDEX(ERP資料!$G:$G, (MATCH(533, 輔助計算!$G$2:$G$801, 0)+1))&lt;=790,3,IF(INDEX(ERP資料!$G:$G, (MATCH(533, 輔助計算!$G$2:$G$801, 0)+1))&lt;=1181,2,1))))&gt;0, IF(IF(INDEX(ERP資料!$G:$G, (MATCH(533, 輔助計算!$G$2:$G$801, 0)+1))&lt;100, IF(INDEX(ERP資料!$G:$G, (MATCH(533, 輔助計算!$G$2:$G$801, 0)+1))&lt;=31,3,IF(INDEX(ERP資料!$G:$G, (MATCH(533, 輔助計算!$G$2:$G$801, 0)+1))&lt;=46.5,2,1)), IF(INDEX(ERP資料!$G:$G, (MATCH(533, 輔助計算!$G$2:$G$801, 0)+1))&lt;=790,3,IF(INDEX(ERP資料!$G:$G, (MATCH(533, 輔助計算!$G$2:$G$801, 0)+1))&lt;=1181,2,1)))=1,TEXT(INDEX(ERP資料!$G:$G, (MATCH(533, 輔助計算!$G$2:$G$801, 0)+1)),"0.##"),IF(IF(INDEX(ERP資料!$G:$G, (MATCH(533, 輔助計算!$G$2:$G$801, 0)+1))&lt;100, IF(INDEX(ERP資料!$G:$G, (MATCH(533, 輔助計算!$G$2:$G$801, 0)+1))&lt;=31,3,IF(INDEX(ERP資料!$G:$G, (MATCH(533, 輔助計算!$G$2:$G$801, 0)+1))&lt;=46.5,2,1)), IF(INDEX(ERP資料!$G:$G, (MATCH(533, 輔助計算!$G$2:$G$801, 0)+1))&lt;=790,3,IF(INDEX(ERP資料!$G:$G, (MATCH(533, 輔助計算!$G$2:$G$801, 0)+1))&lt;=1181,2,1)))=2,TEXT(INDEX(ERP資料!$G:$G, (MATCH(533, 輔助計算!$G$2:$G$801, 0)+1)),"0.##")&amp;"+"&amp;TEXT(INDEX(ERP資料!$G:$G, (MATCH(533, 輔助計算!$G$2:$G$801, 0)+1)),"0.##"),TEXT(INDEX(ERP資料!$G:$G, (MATCH(533, 輔助計算!$G$2:$G$801, 0)+1)),"0.##")&amp;"+"&amp;TEXT(INDEX(ERP資料!$G:$G, (MATCH(533, 輔助計算!$G$2:$G$801, 0)+1)),"0.##")&amp;"+"&amp;TEXT(INDEX(ERP資料!$G:$G, (MATCH(533, 輔助計算!$G$2:$G$801, 0)+1)),"0.##")))&amp;"-"&amp;INT(INDEX(輔助計算!$D:$D, (MATCH(533, 輔助計算!$G$2:$G$801, 0)+1))/IF(INDEX(ERP資料!$G:$G, (MATCH(533, 輔助計算!$G$2:$G$801, 0)+1))&lt;100, IF(INDEX(ERP資料!$G:$G, (MATCH(533, 輔助計算!$G$2:$G$801, 0)+1))&lt;=31,3,IF(INDEX(ERP資料!$G:$G, (MATCH(533, 輔助計算!$G$2:$G$801, 0)+1))&lt;=46.5,2,1)), IF(INDEX(ERP資料!$G:$G, (MATCH(533, 輔助計算!$G$2:$G$801, 0)+1))&lt;=790,3,IF(INDEX(ERP資料!$G:$G, (MATCH(533, 輔助計算!$G$2:$G$801, 0)+1))&lt;=1181,2,1)))), "")&amp;IF(AND(IF(INT(INDEX(輔助計算!$D:$D, (MATCH(533, 輔助計算!$G$2:$G$801, 0)+1))/IF(INDEX(ERP資料!$G:$G, (MATCH(533, 輔助計算!$G$2:$G$801, 0)+1))&lt;100, IF(INDEX(ERP資料!$G:$G, (MATCH(533, 輔助計算!$G$2:$G$801, 0)+1))&lt;=31,3,IF(INDEX(ERP資料!$G:$G, (MATCH(533, 輔助計算!$G$2:$G$801, 0)+1))&lt;=46.5,2,1)), IF(INDEX(ERP資料!$G:$G, (MATCH(533, 輔助計算!$G$2:$G$801, 0)+1))&lt;=790,3,IF(INDEX(ERP資料!$G:$G, (MATCH(533, 輔助計算!$G$2:$G$801, 0)+1))&lt;=1181,2,1))))&gt;0, IF(IF(INDEX(ERP資料!$G:$G, (MATCH(533, 輔助計算!$G$2:$G$801, 0)+1))&lt;100, IF(INDEX(ERP資料!$G:$G, (MATCH(533, 輔助計算!$G$2:$G$801, 0)+1))&lt;=31,3,IF(INDEX(ERP資料!$G:$G, (MATCH(533, 輔助計算!$G$2:$G$801, 0)+1))&lt;=46.5,2,1)), IF(INDEX(ERP資料!$G:$G, (MATCH(533, 輔助計算!$G$2:$G$801, 0)+1))&lt;=790,3,IF(INDEX(ERP資料!$G:$G, (MATCH(533, 輔助計算!$G$2:$G$801, 0)+1))&lt;=1181,2,1)))=1,TEXT(INDEX(ERP資料!$G:$G, (MATCH(533, 輔助計算!$G$2:$G$801, 0)+1)),"0.##"),IF(IF(INDEX(ERP資料!$G:$G, (MATCH(533, 輔助計算!$G$2:$G$801, 0)+1))&lt;100, IF(INDEX(ERP資料!$G:$G, (MATCH(533, 輔助計算!$G$2:$G$801, 0)+1))&lt;=31,3,IF(INDEX(ERP資料!$G:$G, (MATCH(533, 輔助計算!$G$2:$G$801, 0)+1))&lt;=46.5,2,1)), IF(INDEX(ERP資料!$G:$G, (MATCH(533, 輔助計算!$G$2:$G$801, 0)+1))&lt;=790,3,IF(INDEX(ERP資料!$G:$G, (MATCH(533, 輔助計算!$G$2:$G$801, 0)+1))&lt;=1181,2,1)))=2,TEXT(INDEX(ERP資料!$G:$G, (MATCH(533, 輔助計算!$G$2:$G$801, 0)+1)),"0.##")&amp;"+"&amp;TEXT(INDEX(ERP資料!$G:$G, (MATCH(533, 輔助計算!$G$2:$G$801, 0)+1)),"0.##"),TEXT(INDEX(ERP資料!$G:$G, (MATCH(533, 輔助計算!$G$2:$G$801, 0)+1)),"0.##")&amp;"+"&amp;TEXT(INDEX(ERP資料!$G:$G, (MATCH(533, 輔助計算!$G$2:$G$801, 0)+1)),"0.##")&amp;"+"&amp;TEXT(INDEX(ERP資料!$G:$G, (MATCH(533, 輔助計算!$G$2:$G$801, 0)+1)),"0.##")))&amp;"-"&amp;INT(INDEX(輔助計算!$D:$D, (MATCH(533, 輔助計算!$G$2:$G$801, 0)+1))/IF(INDEX(ERP資料!$G:$G, (MATCH(533, 輔助計算!$G$2:$G$801, 0)+1))&lt;100, IF(INDEX(ERP資料!$G:$G, (MATCH(533, 輔助計算!$G$2:$G$801, 0)+1))&lt;=31,3,IF(INDEX(ERP資料!$G:$G, (MATCH(533, 輔助計算!$G$2:$G$801, 0)+1))&lt;=46.5,2,1)), IF(INDEX(ERP資料!$G:$G, (MATCH(533, 輔助計算!$G$2:$G$801, 0)+1))&lt;=790,3,IF(INDEX(ERP資料!$G:$G, (MATCH(533, 輔助計算!$G$2:$G$801, 0)+1))&lt;=1181,2,1)))), "")&lt;&gt;"",IF(MOD(INDEX(輔助計算!$D:$D, (MATCH(533, 輔助計算!$G$2:$G$801, 0)+1)),IF(INDEX(ERP資料!$G:$G, (MATCH(533, 輔助計算!$G$2:$G$801, 0)+1))&lt;100, IF(INDEX(ERP資料!$G:$G, (MATCH(533, 輔助計算!$G$2:$G$801, 0)+1))&lt;=31,3,IF(INDEX(ERP資料!$G:$G, (MATCH(533, 輔助計算!$G$2:$G$801, 0)+1))&lt;=46.5,2,1)), IF(INDEX(ERP資料!$G:$G, (MATCH(533, 輔助計算!$G$2:$G$801, 0)+1))&lt;=790,3,IF(INDEX(ERP資料!$G:$G, (MATCH(533, 輔助計算!$G$2:$G$801, 0)+1))&lt;=1181,2,1))))=0,"",IF(MOD(INDEX(輔助計算!$D:$D, (MATCH(533, 輔助計算!$G$2:$G$801, 0)+1)),IF(INDEX(ERP資料!$G:$G, (MATCH(533, 輔助計算!$G$2:$G$801, 0)+1))&lt;100, IF(INDEX(ERP資料!$G:$G, (MATCH(533, 輔助計算!$G$2:$G$801, 0)+1))&lt;=31,3,IF(INDEX(ERP資料!$G:$G, (MATCH(533, 輔助計算!$G$2:$G$801, 0)+1))&lt;=46.5,2,1)), IF(INDEX(ERP資料!$G:$G, (MATCH(533, 輔助計算!$G$2:$G$801, 0)+1))&lt;=790,3,IF(INDEX(ERP資料!$G:$G, (MATCH(533, 輔助計算!$G$2:$G$801, 0)+1))&lt;=1181,2,1))))=0,"",IF(MOD(INDEX(輔助計算!$D:$D, (MATCH(533, 輔助計算!$G$2:$G$801, 0)+1)),IF(INDEX(ERP資料!$G:$G, (MATCH(533, 輔助計算!$G$2:$G$801, 0)+1))&lt;100, IF(INDEX(ERP資料!$G:$G, (MATCH(533, 輔助計算!$G$2:$G$801, 0)+1))&lt;=31,3,IF(INDEX(ERP資料!$G:$G, (MATCH(533, 輔助計算!$G$2:$G$801, 0)+1))&lt;=46.5,2,1)), IF(INDEX(ERP資料!$G:$G, (MATCH(533, 輔助計算!$G$2:$G$801, 0)+1))&lt;=790,3,IF(INDEX(ERP資料!$G:$G, (MATCH(533, 輔助計算!$G$2:$G$801, 0)+1))&lt;=1181,2,1))))=1,TEXT(INDEX(ERP資料!$G:$G, (MATCH(533, 輔助計算!$G$2:$G$801, 0)+1)),"0.##"),IF(MOD(INDEX(輔助計算!$D:$D, (MATCH(533, 輔助計算!$G$2:$G$801, 0)+1)),IF(INDEX(ERP資料!$G:$G, (MATCH(533, 輔助計算!$G$2:$G$801, 0)+1))&lt;100, IF(INDEX(ERP資料!$G:$G, (MATCH(533, 輔助計算!$G$2:$G$801, 0)+1))&lt;=31,3,IF(INDEX(ERP資料!$G:$G, (MATCH(533, 輔助計算!$G$2:$G$801, 0)+1))&lt;=46.5,2,1)), IF(INDEX(ERP資料!$G:$G, (MATCH(533, 輔助計算!$G$2:$G$801, 0)+1))&lt;=790,3,IF(INDEX(ERP資料!$G:$G, (MATCH(533, 輔助計算!$G$2:$G$801, 0)+1))&lt;=1181,2,1))))=2,TEXT(INDEX(ERP資料!$G:$G, (MATCH(533, 輔助計算!$G$2:$G$801, 0)+1)),"0.##")&amp;"+"&amp;TEXT(INDEX(ERP資料!$G:$G, (MATCH(533, 輔助計算!$G$2:$G$801, 0)+1)),"0.##"),TEXT(INDEX(ERP資料!$G:$G, (MATCH(533, 輔助計算!$G$2:$G$801, 0)+1)),"0.##")&amp;"+"&amp;TEXT(INDEX(ERP資料!$G:$G, (MATCH(533, 輔助計算!$G$2:$G$801, 0)+1)),"0.##")&amp;"+"&amp;TEXT(INDEX(ERP資料!$G:$G, (MATCH(533, 輔助計算!$G$2:$G$801, 0)+1)),"0.##"))))&amp;"-1")&lt;&gt;""),"  ","")&amp;IF(MOD(INDEX(輔助計算!$D:$D, (MATCH(533, 輔助計算!$G$2:$G$801, 0)+1)),IF(INDEX(ERP資料!$G:$G, (MATCH(533, 輔助計算!$G$2:$G$801, 0)+1))&lt;100, IF(INDEX(ERP資料!$G:$G, (MATCH(533, 輔助計算!$G$2:$G$801, 0)+1))&lt;=31,3,IF(INDEX(ERP資料!$G:$G, (MATCH(533, 輔助計算!$G$2:$G$801, 0)+1))&lt;=46.5,2,1)), IF(INDEX(ERP資料!$G:$G, (MATCH(533, 輔助計算!$G$2:$G$801, 0)+1))&lt;=790,3,IF(INDEX(ERP資料!$G:$G, (MATCH(533, 輔助計算!$G$2:$G$801, 0)+1))&lt;=1181,2,1))))=0,"",IF(MOD(INDEX(輔助計算!$D:$D, (MATCH(533, 輔助計算!$G$2:$G$801, 0)+1)),IF(INDEX(ERP資料!$G:$G, (MATCH(533, 輔助計算!$G$2:$G$801, 0)+1))&lt;100, IF(INDEX(ERP資料!$G:$G, (MATCH(533, 輔助計算!$G$2:$G$801, 0)+1))&lt;=31,3,IF(INDEX(ERP資料!$G:$G, (MATCH(533, 輔助計算!$G$2:$G$801, 0)+1))&lt;=46.5,2,1)), IF(INDEX(ERP資料!$G:$G, (MATCH(533, 輔助計算!$G$2:$G$801, 0)+1))&lt;=790,3,IF(INDEX(ERP資料!$G:$G, (MATCH(533, 輔助計算!$G$2:$G$801, 0)+1))&lt;=1181,2,1))))=0,"",IF(MOD(INDEX(輔助計算!$D:$D, (MATCH(533, 輔助計算!$G$2:$G$801, 0)+1)),IF(INDEX(ERP資料!$G:$G, (MATCH(533, 輔助計算!$G$2:$G$801, 0)+1))&lt;100, IF(INDEX(ERP資料!$G:$G, (MATCH(533, 輔助計算!$G$2:$G$801, 0)+1))&lt;=31,3,IF(INDEX(ERP資料!$G:$G, (MATCH(533, 輔助計算!$G$2:$G$801, 0)+1))&lt;=46.5,2,1)), IF(INDEX(ERP資料!$G:$G, (MATCH(533, 輔助計算!$G$2:$G$801, 0)+1))&lt;=790,3,IF(INDEX(ERP資料!$G:$G, (MATCH(533, 輔助計算!$G$2:$G$801, 0)+1))&lt;=1181,2,1))))=1,TEXT(INDEX(ERP資料!$G:$G, (MATCH(533, 輔助計算!$G$2:$G$801, 0)+1)),"0.##"),IF(MOD(INDEX(輔助計算!$D:$D, (MATCH(533, 輔助計算!$G$2:$G$801, 0)+1)),IF(INDEX(ERP資料!$G:$G, (MATCH(533, 輔助計算!$G$2:$G$801, 0)+1))&lt;100, IF(INDEX(ERP資料!$G:$G, (MATCH(533, 輔助計算!$G$2:$G$801, 0)+1))&lt;=31,3,IF(INDEX(ERP資料!$G:$G, (MATCH(533, 輔助計算!$G$2:$G$801, 0)+1))&lt;=46.5,2,1)), IF(INDEX(ERP資料!$G:$G, (MATCH(533, 輔助計算!$G$2:$G$801, 0)+1))&lt;=790,3,IF(INDEX(ERP資料!$G:$G, (MATCH(533, 輔助計算!$G$2:$G$801, 0)+1))&lt;=1181,2,1))))=2,TEXT(INDEX(ERP資料!$G:$G, (MATCH(533, 輔助計算!$G$2:$G$801, 0)+1)),"0.##")&amp;"+"&amp;TEXT(INDEX(ERP資料!$G:$G, (MATCH(533, 輔助計算!$G$2:$G$801, 0)+1)),"0.##"),TEXT(INDEX(ERP資料!$G:$G, (MATCH(533, 輔助計算!$G$2:$G$801, 0)+1)),"0.##")&amp;"+"&amp;TEXT(INDEX(ERP資料!$G:$G, (MATCH(533, 輔助計算!$G$2:$G$801, 0)+1)),"0.##")&amp;"+"&amp;TEXT(INDEX(ERP資料!$G:$G, (MATCH(533, 輔助計算!$G$2:$G$801, 0)+1)),"0.##"))))&amp;"-1")), ""), "")</f>
        <v/>
      </c>
      <c r="K534" s="16" t="n"/>
      <c r="L534" s="14">
        <f>IFERROR(IF(AND(IFERROR(INDEX(ERP資料!$A:$A, (MATCH(533, 輔助計算!$G$2:$G$801, 0)+1)), "")&lt;&gt;"", IFERROR(INDEX(ERP資料!$A:$A, (MATCH(533, 輔助計算!$G$2:$G$801, 0)+1)), "")&lt;&gt;IFERROR(INDEX(ERP資料!$A:$A, MATCH(532, 輔助計算!$G$2:$G$801, 0)+1), "")), INDEX(ERP資料!$B:$B, (MATCH(533, 輔助計算!$G$2:$G$801, 0)+1)), ""), "")</f>
        <v/>
      </c>
      <c r="M534" s="17" t="n"/>
    </row>
    <row r="535">
      <c r="A535" s="10">
        <f>IFERROR(IF(AND(IFERROR(INDEX(ERP資料!$A:$A, (MATCH(534, 輔助計算!$G$2:$G$801, 0)+1)), "")&lt;&gt;"", IFERROR(INDEX(ERP資料!$A:$A, (MATCH(534, 輔助計算!$G$2:$G$801, 0)+1)), "")&lt;&gt;IFERROR(INDEX(ERP資料!$A:$A, MATCH(533, 輔助計算!$G$2:$G$801, 0)+1), "")), IFERROR(INDEX(ERP資料!$A:$A, (MATCH(534, 輔助計算!$G$2:$G$801, 0)+1)), ""), ""), "")</f>
        <v/>
      </c>
      <c r="B535" s="10">
        <f>IFERROR(IF(AND(IFERROR(INDEX(ERP資料!$A:$A, (MATCH(534, 輔助計算!$G$2:$G$801, 0)+1)), "")&lt;&gt;"", IFERROR(INDEX(ERP資料!$A:$A, (MATCH(534, 輔助計算!$G$2:$G$801, 0)+1)), "")&lt;&gt;IFERROR(INDEX(ERP資料!$A:$A, MATCH(533, 輔助計算!$G$2:$G$801, 0)+1), "")), INDEX(ERP資料!$S:$S, (MATCH(534, 輔助計算!$G$2:$G$801, 0)+1)), ""), "")</f>
        <v/>
      </c>
      <c r="C535" s="19">
        <f>IFERROR(IF(AND(IFERROR(INDEX(ERP資料!$A:$A, (MATCH(534, 輔助計算!$G$2:$G$801, 0)+1)), "")&lt;&gt;"", IFERROR(INDEX(ERP資料!$A:$A, (MATCH(534, 輔助計算!$G$2:$G$801, 0)+1)), "")&lt;&gt;IFERROR(INDEX(ERP資料!$A:$A, MATCH(533, 輔助計算!$G$2:$G$801, 0)+1), "")), IFERROR(VLOOKUP(LEFT(INDEX(ERP資料!$S:$S, (MATCH(534, 輔助計算!$G$2:$G$801, 0)+1)), 4), 紙管對照表!$A:$C, 3, FALSE), ""), ""), "")</f>
        <v/>
      </c>
      <c r="D535" s="16" t="n"/>
      <c r="E535" s="10">
        <f>IFERROR(IF(INDEX(ERP資料!$H:$H, (MATCH(534, 輔助計算!$G$2:$G$801, 0)+1))="","",INDEX(ERP資料!$H:$H, (MATCH(534, 輔助計算!$G$2:$G$801, 0)+1))), "")</f>
        <v/>
      </c>
      <c r="F535" s="10">
        <f>IFERROR(IF(INDEX(ERP資料!$E:$E, (MATCH(534, 輔助計算!$G$2:$G$801, 0)+1))="","",TRIM(INDEX(ERP資料!$E:$E, (MATCH(534, 輔助計算!$G$2:$G$801, 0)+1)))), "")</f>
        <v/>
      </c>
      <c r="G535" s="10">
        <f>IFERROR(IF(INDEX(ERP資料!$F:$F, (MATCH(534, 輔助計算!$G$2:$G$801, 0)+1))="","",INDEX(ERP資料!$F:$F, (MATCH(534, 輔助計算!$G$2:$G$801, 0)+1))), "")</f>
        <v/>
      </c>
      <c r="H535" s="10">
        <f>IFERROR(IF(INDEX(ERP資料!$G:$G, (MATCH(534, 輔助計算!$G$2:$G$801, 0)+1))="","",INDEX(ERP資料!$G:$G, (MATCH(534, 輔助計算!$G$2:$G$801, 0)+1))), "")</f>
        <v/>
      </c>
      <c r="I535" s="15">
        <f>IFERROR(INDEX(輔助計算!$D:$D, (MATCH(534, 輔助計算!$G$2:$G$801, 0)+1)), "")</f>
        <v/>
      </c>
      <c r="J535" s="15">
        <f>IFERROR(IF(AND(INDEX(輔助計算!$D:$D, (MATCH(534, 輔助計算!$G$2:$G$801, 0)+1))&lt;&gt;"", INDEX(ERP資料!$G:$G, (MATCH(534, 輔助計算!$G$2:$G$801, 0)+1))&lt;&gt;""), TRIM(IF(INT(INDEX(輔助計算!$D:$D, (MATCH(534, 輔助計算!$G$2:$G$801, 0)+1))/IF(INDEX(ERP資料!$G:$G, (MATCH(534, 輔助計算!$G$2:$G$801, 0)+1))&lt;100, IF(INDEX(ERP資料!$G:$G, (MATCH(534, 輔助計算!$G$2:$G$801, 0)+1))&lt;=31,3,IF(INDEX(ERP資料!$G:$G, (MATCH(534, 輔助計算!$G$2:$G$801, 0)+1))&lt;=46.5,2,1)), IF(INDEX(ERP資料!$G:$G, (MATCH(534, 輔助計算!$G$2:$G$801, 0)+1))&lt;=790,3,IF(INDEX(ERP資料!$G:$G, (MATCH(534, 輔助計算!$G$2:$G$801, 0)+1))&lt;=1181,2,1))))&gt;0, IF(IF(INDEX(ERP資料!$G:$G, (MATCH(534, 輔助計算!$G$2:$G$801, 0)+1))&lt;100, IF(INDEX(ERP資料!$G:$G, (MATCH(534, 輔助計算!$G$2:$G$801, 0)+1))&lt;=31,3,IF(INDEX(ERP資料!$G:$G, (MATCH(534, 輔助計算!$G$2:$G$801, 0)+1))&lt;=46.5,2,1)), IF(INDEX(ERP資料!$G:$G, (MATCH(534, 輔助計算!$G$2:$G$801, 0)+1))&lt;=790,3,IF(INDEX(ERP資料!$G:$G, (MATCH(534, 輔助計算!$G$2:$G$801, 0)+1))&lt;=1181,2,1)))=1,TEXT(INDEX(ERP資料!$G:$G, (MATCH(534, 輔助計算!$G$2:$G$801, 0)+1)),"0.##"),IF(IF(INDEX(ERP資料!$G:$G, (MATCH(534, 輔助計算!$G$2:$G$801, 0)+1))&lt;100, IF(INDEX(ERP資料!$G:$G, (MATCH(534, 輔助計算!$G$2:$G$801, 0)+1))&lt;=31,3,IF(INDEX(ERP資料!$G:$G, (MATCH(534, 輔助計算!$G$2:$G$801, 0)+1))&lt;=46.5,2,1)), IF(INDEX(ERP資料!$G:$G, (MATCH(534, 輔助計算!$G$2:$G$801, 0)+1))&lt;=790,3,IF(INDEX(ERP資料!$G:$G, (MATCH(534, 輔助計算!$G$2:$G$801, 0)+1))&lt;=1181,2,1)))=2,TEXT(INDEX(ERP資料!$G:$G, (MATCH(534, 輔助計算!$G$2:$G$801, 0)+1)),"0.##")&amp;"+"&amp;TEXT(INDEX(ERP資料!$G:$G, (MATCH(534, 輔助計算!$G$2:$G$801, 0)+1)),"0.##"),TEXT(INDEX(ERP資料!$G:$G, (MATCH(534, 輔助計算!$G$2:$G$801, 0)+1)),"0.##")&amp;"+"&amp;TEXT(INDEX(ERP資料!$G:$G, (MATCH(534, 輔助計算!$G$2:$G$801, 0)+1)),"0.##")&amp;"+"&amp;TEXT(INDEX(ERP資料!$G:$G, (MATCH(534, 輔助計算!$G$2:$G$801, 0)+1)),"0.##")))&amp;"-"&amp;INT(INDEX(輔助計算!$D:$D, (MATCH(534, 輔助計算!$G$2:$G$801, 0)+1))/IF(INDEX(ERP資料!$G:$G, (MATCH(534, 輔助計算!$G$2:$G$801, 0)+1))&lt;100, IF(INDEX(ERP資料!$G:$G, (MATCH(534, 輔助計算!$G$2:$G$801, 0)+1))&lt;=31,3,IF(INDEX(ERP資料!$G:$G, (MATCH(534, 輔助計算!$G$2:$G$801, 0)+1))&lt;=46.5,2,1)), IF(INDEX(ERP資料!$G:$G, (MATCH(534, 輔助計算!$G$2:$G$801, 0)+1))&lt;=790,3,IF(INDEX(ERP資料!$G:$G, (MATCH(534, 輔助計算!$G$2:$G$801, 0)+1))&lt;=1181,2,1)))), "")&amp;IF(AND(IF(INT(INDEX(輔助計算!$D:$D, (MATCH(534, 輔助計算!$G$2:$G$801, 0)+1))/IF(INDEX(ERP資料!$G:$G, (MATCH(534, 輔助計算!$G$2:$G$801, 0)+1))&lt;100, IF(INDEX(ERP資料!$G:$G, (MATCH(534, 輔助計算!$G$2:$G$801, 0)+1))&lt;=31,3,IF(INDEX(ERP資料!$G:$G, (MATCH(534, 輔助計算!$G$2:$G$801, 0)+1))&lt;=46.5,2,1)), IF(INDEX(ERP資料!$G:$G, (MATCH(534, 輔助計算!$G$2:$G$801, 0)+1))&lt;=790,3,IF(INDEX(ERP資料!$G:$G, (MATCH(534, 輔助計算!$G$2:$G$801, 0)+1))&lt;=1181,2,1))))&gt;0, IF(IF(INDEX(ERP資料!$G:$G, (MATCH(534, 輔助計算!$G$2:$G$801, 0)+1))&lt;100, IF(INDEX(ERP資料!$G:$G, (MATCH(534, 輔助計算!$G$2:$G$801, 0)+1))&lt;=31,3,IF(INDEX(ERP資料!$G:$G, (MATCH(534, 輔助計算!$G$2:$G$801, 0)+1))&lt;=46.5,2,1)), IF(INDEX(ERP資料!$G:$G, (MATCH(534, 輔助計算!$G$2:$G$801, 0)+1))&lt;=790,3,IF(INDEX(ERP資料!$G:$G, (MATCH(534, 輔助計算!$G$2:$G$801, 0)+1))&lt;=1181,2,1)))=1,TEXT(INDEX(ERP資料!$G:$G, (MATCH(534, 輔助計算!$G$2:$G$801, 0)+1)),"0.##"),IF(IF(INDEX(ERP資料!$G:$G, (MATCH(534, 輔助計算!$G$2:$G$801, 0)+1))&lt;100, IF(INDEX(ERP資料!$G:$G, (MATCH(534, 輔助計算!$G$2:$G$801, 0)+1))&lt;=31,3,IF(INDEX(ERP資料!$G:$G, (MATCH(534, 輔助計算!$G$2:$G$801, 0)+1))&lt;=46.5,2,1)), IF(INDEX(ERP資料!$G:$G, (MATCH(534, 輔助計算!$G$2:$G$801, 0)+1))&lt;=790,3,IF(INDEX(ERP資料!$G:$G, (MATCH(534, 輔助計算!$G$2:$G$801, 0)+1))&lt;=1181,2,1)))=2,TEXT(INDEX(ERP資料!$G:$G, (MATCH(534, 輔助計算!$G$2:$G$801, 0)+1)),"0.##")&amp;"+"&amp;TEXT(INDEX(ERP資料!$G:$G, (MATCH(534, 輔助計算!$G$2:$G$801, 0)+1)),"0.##"),TEXT(INDEX(ERP資料!$G:$G, (MATCH(534, 輔助計算!$G$2:$G$801, 0)+1)),"0.##")&amp;"+"&amp;TEXT(INDEX(ERP資料!$G:$G, (MATCH(534, 輔助計算!$G$2:$G$801, 0)+1)),"0.##")&amp;"+"&amp;TEXT(INDEX(ERP資料!$G:$G, (MATCH(534, 輔助計算!$G$2:$G$801, 0)+1)),"0.##")))&amp;"-"&amp;INT(INDEX(輔助計算!$D:$D, (MATCH(534, 輔助計算!$G$2:$G$801, 0)+1))/IF(INDEX(ERP資料!$G:$G, (MATCH(534, 輔助計算!$G$2:$G$801, 0)+1))&lt;100, IF(INDEX(ERP資料!$G:$G, (MATCH(534, 輔助計算!$G$2:$G$801, 0)+1))&lt;=31,3,IF(INDEX(ERP資料!$G:$G, (MATCH(534, 輔助計算!$G$2:$G$801, 0)+1))&lt;=46.5,2,1)), IF(INDEX(ERP資料!$G:$G, (MATCH(534, 輔助計算!$G$2:$G$801, 0)+1))&lt;=790,3,IF(INDEX(ERP資料!$G:$G, (MATCH(534, 輔助計算!$G$2:$G$801, 0)+1))&lt;=1181,2,1)))), "")&lt;&gt;"",IF(MOD(INDEX(輔助計算!$D:$D, (MATCH(534, 輔助計算!$G$2:$G$801, 0)+1)),IF(INDEX(ERP資料!$G:$G, (MATCH(534, 輔助計算!$G$2:$G$801, 0)+1))&lt;100, IF(INDEX(ERP資料!$G:$G, (MATCH(534, 輔助計算!$G$2:$G$801, 0)+1))&lt;=31,3,IF(INDEX(ERP資料!$G:$G, (MATCH(534, 輔助計算!$G$2:$G$801, 0)+1))&lt;=46.5,2,1)), IF(INDEX(ERP資料!$G:$G, (MATCH(534, 輔助計算!$G$2:$G$801, 0)+1))&lt;=790,3,IF(INDEX(ERP資料!$G:$G, (MATCH(534, 輔助計算!$G$2:$G$801, 0)+1))&lt;=1181,2,1))))=0,"",IF(MOD(INDEX(輔助計算!$D:$D, (MATCH(534, 輔助計算!$G$2:$G$801, 0)+1)),IF(INDEX(ERP資料!$G:$G, (MATCH(534, 輔助計算!$G$2:$G$801, 0)+1))&lt;100, IF(INDEX(ERP資料!$G:$G, (MATCH(534, 輔助計算!$G$2:$G$801, 0)+1))&lt;=31,3,IF(INDEX(ERP資料!$G:$G, (MATCH(534, 輔助計算!$G$2:$G$801, 0)+1))&lt;=46.5,2,1)), IF(INDEX(ERP資料!$G:$G, (MATCH(534, 輔助計算!$G$2:$G$801, 0)+1))&lt;=790,3,IF(INDEX(ERP資料!$G:$G, (MATCH(534, 輔助計算!$G$2:$G$801, 0)+1))&lt;=1181,2,1))))=0,"",IF(MOD(INDEX(輔助計算!$D:$D, (MATCH(534, 輔助計算!$G$2:$G$801, 0)+1)),IF(INDEX(ERP資料!$G:$G, (MATCH(534, 輔助計算!$G$2:$G$801, 0)+1))&lt;100, IF(INDEX(ERP資料!$G:$G, (MATCH(534, 輔助計算!$G$2:$G$801, 0)+1))&lt;=31,3,IF(INDEX(ERP資料!$G:$G, (MATCH(534, 輔助計算!$G$2:$G$801, 0)+1))&lt;=46.5,2,1)), IF(INDEX(ERP資料!$G:$G, (MATCH(534, 輔助計算!$G$2:$G$801, 0)+1))&lt;=790,3,IF(INDEX(ERP資料!$G:$G, (MATCH(534, 輔助計算!$G$2:$G$801, 0)+1))&lt;=1181,2,1))))=1,TEXT(INDEX(ERP資料!$G:$G, (MATCH(534, 輔助計算!$G$2:$G$801, 0)+1)),"0.##"),IF(MOD(INDEX(輔助計算!$D:$D, (MATCH(534, 輔助計算!$G$2:$G$801, 0)+1)),IF(INDEX(ERP資料!$G:$G, (MATCH(534, 輔助計算!$G$2:$G$801, 0)+1))&lt;100, IF(INDEX(ERP資料!$G:$G, (MATCH(534, 輔助計算!$G$2:$G$801, 0)+1))&lt;=31,3,IF(INDEX(ERP資料!$G:$G, (MATCH(534, 輔助計算!$G$2:$G$801, 0)+1))&lt;=46.5,2,1)), IF(INDEX(ERP資料!$G:$G, (MATCH(534, 輔助計算!$G$2:$G$801, 0)+1))&lt;=790,3,IF(INDEX(ERP資料!$G:$G, (MATCH(534, 輔助計算!$G$2:$G$801, 0)+1))&lt;=1181,2,1))))=2,TEXT(INDEX(ERP資料!$G:$G, (MATCH(534, 輔助計算!$G$2:$G$801, 0)+1)),"0.##")&amp;"+"&amp;TEXT(INDEX(ERP資料!$G:$G, (MATCH(534, 輔助計算!$G$2:$G$801, 0)+1)),"0.##"),TEXT(INDEX(ERP資料!$G:$G, (MATCH(534, 輔助計算!$G$2:$G$801, 0)+1)),"0.##")&amp;"+"&amp;TEXT(INDEX(ERP資料!$G:$G, (MATCH(534, 輔助計算!$G$2:$G$801, 0)+1)),"0.##")&amp;"+"&amp;TEXT(INDEX(ERP資料!$G:$G, (MATCH(534, 輔助計算!$G$2:$G$801, 0)+1)),"0.##"))))&amp;"-1")&lt;&gt;""),"  ","")&amp;IF(MOD(INDEX(輔助計算!$D:$D, (MATCH(534, 輔助計算!$G$2:$G$801, 0)+1)),IF(INDEX(ERP資料!$G:$G, (MATCH(534, 輔助計算!$G$2:$G$801, 0)+1))&lt;100, IF(INDEX(ERP資料!$G:$G, (MATCH(534, 輔助計算!$G$2:$G$801, 0)+1))&lt;=31,3,IF(INDEX(ERP資料!$G:$G, (MATCH(534, 輔助計算!$G$2:$G$801, 0)+1))&lt;=46.5,2,1)), IF(INDEX(ERP資料!$G:$G, (MATCH(534, 輔助計算!$G$2:$G$801, 0)+1))&lt;=790,3,IF(INDEX(ERP資料!$G:$G, (MATCH(534, 輔助計算!$G$2:$G$801, 0)+1))&lt;=1181,2,1))))=0,"",IF(MOD(INDEX(輔助計算!$D:$D, (MATCH(534, 輔助計算!$G$2:$G$801, 0)+1)),IF(INDEX(ERP資料!$G:$G, (MATCH(534, 輔助計算!$G$2:$G$801, 0)+1))&lt;100, IF(INDEX(ERP資料!$G:$G, (MATCH(534, 輔助計算!$G$2:$G$801, 0)+1))&lt;=31,3,IF(INDEX(ERP資料!$G:$G, (MATCH(534, 輔助計算!$G$2:$G$801, 0)+1))&lt;=46.5,2,1)), IF(INDEX(ERP資料!$G:$G, (MATCH(534, 輔助計算!$G$2:$G$801, 0)+1))&lt;=790,3,IF(INDEX(ERP資料!$G:$G, (MATCH(534, 輔助計算!$G$2:$G$801, 0)+1))&lt;=1181,2,1))))=0,"",IF(MOD(INDEX(輔助計算!$D:$D, (MATCH(534, 輔助計算!$G$2:$G$801, 0)+1)),IF(INDEX(ERP資料!$G:$G, (MATCH(534, 輔助計算!$G$2:$G$801, 0)+1))&lt;100, IF(INDEX(ERP資料!$G:$G, (MATCH(534, 輔助計算!$G$2:$G$801, 0)+1))&lt;=31,3,IF(INDEX(ERP資料!$G:$G, (MATCH(534, 輔助計算!$G$2:$G$801, 0)+1))&lt;=46.5,2,1)), IF(INDEX(ERP資料!$G:$G, (MATCH(534, 輔助計算!$G$2:$G$801, 0)+1))&lt;=790,3,IF(INDEX(ERP資料!$G:$G, (MATCH(534, 輔助計算!$G$2:$G$801, 0)+1))&lt;=1181,2,1))))=1,TEXT(INDEX(ERP資料!$G:$G, (MATCH(534, 輔助計算!$G$2:$G$801, 0)+1)),"0.##"),IF(MOD(INDEX(輔助計算!$D:$D, (MATCH(534, 輔助計算!$G$2:$G$801, 0)+1)),IF(INDEX(ERP資料!$G:$G, (MATCH(534, 輔助計算!$G$2:$G$801, 0)+1))&lt;100, IF(INDEX(ERP資料!$G:$G, (MATCH(534, 輔助計算!$G$2:$G$801, 0)+1))&lt;=31,3,IF(INDEX(ERP資料!$G:$G, (MATCH(534, 輔助計算!$G$2:$G$801, 0)+1))&lt;=46.5,2,1)), IF(INDEX(ERP資料!$G:$G, (MATCH(534, 輔助計算!$G$2:$G$801, 0)+1))&lt;=790,3,IF(INDEX(ERP資料!$G:$G, (MATCH(534, 輔助計算!$G$2:$G$801, 0)+1))&lt;=1181,2,1))))=2,TEXT(INDEX(ERP資料!$G:$G, (MATCH(534, 輔助計算!$G$2:$G$801, 0)+1)),"0.##")&amp;"+"&amp;TEXT(INDEX(ERP資料!$G:$G, (MATCH(534, 輔助計算!$G$2:$G$801, 0)+1)),"0.##"),TEXT(INDEX(ERP資料!$G:$G, (MATCH(534, 輔助計算!$G$2:$G$801, 0)+1)),"0.##")&amp;"+"&amp;TEXT(INDEX(ERP資料!$G:$G, (MATCH(534, 輔助計算!$G$2:$G$801, 0)+1)),"0.##")&amp;"+"&amp;TEXT(INDEX(ERP資料!$G:$G, (MATCH(534, 輔助計算!$G$2:$G$801, 0)+1)),"0.##"))))&amp;"-1")), ""), "")</f>
        <v/>
      </c>
      <c r="K535" s="16" t="n"/>
      <c r="L535" s="14">
        <f>IFERROR(IF(AND(IFERROR(INDEX(ERP資料!$A:$A, (MATCH(534, 輔助計算!$G$2:$G$801, 0)+1)), "")&lt;&gt;"", IFERROR(INDEX(ERP資料!$A:$A, (MATCH(534, 輔助計算!$G$2:$G$801, 0)+1)), "")&lt;&gt;IFERROR(INDEX(ERP資料!$A:$A, MATCH(533, 輔助計算!$G$2:$G$801, 0)+1), "")), INDEX(ERP資料!$B:$B, (MATCH(534, 輔助計算!$G$2:$G$801, 0)+1)), ""), "")</f>
        <v/>
      </c>
      <c r="M535" s="17" t="n"/>
    </row>
    <row r="536">
      <c r="A536" s="10">
        <f>IFERROR(IF(AND(IFERROR(INDEX(ERP資料!$A:$A, (MATCH(535, 輔助計算!$G$2:$G$801, 0)+1)), "")&lt;&gt;"", IFERROR(INDEX(ERP資料!$A:$A, (MATCH(535, 輔助計算!$G$2:$G$801, 0)+1)), "")&lt;&gt;IFERROR(INDEX(ERP資料!$A:$A, MATCH(534, 輔助計算!$G$2:$G$801, 0)+1), "")), IFERROR(INDEX(ERP資料!$A:$A, (MATCH(535, 輔助計算!$G$2:$G$801, 0)+1)), ""), ""), "")</f>
        <v/>
      </c>
      <c r="B536" s="10">
        <f>IFERROR(IF(AND(IFERROR(INDEX(ERP資料!$A:$A, (MATCH(535, 輔助計算!$G$2:$G$801, 0)+1)), "")&lt;&gt;"", IFERROR(INDEX(ERP資料!$A:$A, (MATCH(535, 輔助計算!$G$2:$G$801, 0)+1)), "")&lt;&gt;IFERROR(INDEX(ERP資料!$A:$A, MATCH(534, 輔助計算!$G$2:$G$801, 0)+1), "")), INDEX(ERP資料!$S:$S, (MATCH(535, 輔助計算!$G$2:$G$801, 0)+1)), ""), "")</f>
        <v/>
      </c>
      <c r="C536" s="19">
        <f>IFERROR(IF(AND(IFERROR(INDEX(ERP資料!$A:$A, (MATCH(535, 輔助計算!$G$2:$G$801, 0)+1)), "")&lt;&gt;"", IFERROR(INDEX(ERP資料!$A:$A, (MATCH(535, 輔助計算!$G$2:$G$801, 0)+1)), "")&lt;&gt;IFERROR(INDEX(ERP資料!$A:$A, MATCH(534, 輔助計算!$G$2:$G$801, 0)+1), "")), IFERROR(VLOOKUP(LEFT(INDEX(ERP資料!$S:$S, (MATCH(535, 輔助計算!$G$2:$G$801, 0)+1)), 4), 紙管對照表!$A:$C, 3, FALSE), ""), ""), "")</f>
        <v/>
      </c>
      <c r="D536" s="16" t="n"/>
      <c r="E536" s="10">
        <f>IFERROR(IF(INDEX(ERP資料!$H:$H, (MATCH(535, 輔助計算!$G$2:$G$801, 0)+1))="","",INDEX(ERP資料!$H:$H, (MATCH(535, 輔助計算!$G$2:$G$801, 0)+1))), "")</f>
        <v/>
      </c>
      <c r="F536" s="10">
        <f>IFERROR(IF(INDEX(ERP資料!$E:$E, (MATCH(535, 輔助計算!$G$2:$G$801, 0)+1))="","",TRIM(INDEX(ERP資料!$E:$E, (MATCH(535, 輔助計算!$G$2:$G$801, 0)+1)))), "")</f>
        <v/>
      </c>
      <c r="G536" s="10">
        <f>IFERROR(IF(INDEX(ERP資料!$F:$F, (MATCH(535, 輔助計算!$G$2:$G$801, 0)+1))="","",INDEX(ERP資料!$F:$F, (MATCH(535, 輔助計算!$G$2:$G$801, 0)+1))), "")</f>
        <v/>
      </c>
      <c r="H536" s="10">
        <f>IFERROR(IF(INDEX(ERP資料!$G:$G, (MATCH(535, 輔助計算!$G$2:$G$801, 0)+1))="","",INDEX(ERP資料!$G:$G, (MATCH(535, 輔助計算!$G$2:$G$801, 0)+1))), "")</f>
        <v/>
      </c>
      <c r="I536" s="15">
        <f>IFERROR(INDEX(輔助計算!$D:$D, (MATCH(535, 輔助計算!$G$2:$G$801, 0)+1)), "")</f>
        <v/>
      </c>
      <c r="J536" s="15">
        <f>IFERROR(IF(AND(INDEX(輔助計算!$D:$D, (MATCH(535, 輔助計算!$G$2:$G$801, 0)+1))&lt;&gt;"", INDEX(ERP資料!$G:$G, (MATCH(535, 輔助計算!$G$2:$G$801, 0)+1))&lt;&gt;""), TRIM(IF(INT(INDEX(輔助計算!$D:$D, (MATCH(535, 輔助計算!$G$2:$G$801, 0)+1))/IF(INDEX(ERP資料!$G:$G, (MATCH(535, 輔助計算!$G$2:$G$801, 0)+1))&lt;100, IF(INDEX(ERP資料!$G:$G, (MATCH(535, 輔助計算!$G$2:$G$801, 0)+1))&lt;=31,3,IF(INDEX(ERP資料!$G:$G, (MATCH(535, 輔助計算!$G$2:$G$801, 0)+1))&lt;=46.5,2,1)), IF(INDEX(ERP資料!$G:$G, (MATCH(535, 輔助計算!$G$2:$G$801, 0)+1))&lt;=790,3,IF(INDEX(ERP資料!$G:$G, (MATCH(535, 輔助計算!$G$2:$G$801, 0)+1))&lt;=1181,2,1))))&gt;0, IF(IF(INDEX(ERP資料!$G:$G, (MATCH(535, 輔助計算!$G$2:$G$801, 0)+1))&lt;100, IF(INDEX(ERP資料!$G:$G, (MATCH(535, 輔助計算!$G$2:$G$801, 0)+1))&lt;=31,3,IF(INDEX(ERP資料!$G:$G, (MATCH(535, 輔助計算!$G$2:$G$801, 0)+1))&lt;=46.5,2,1)), IF(INDEX(ERP資料!$G:$G, (MATCH(535, 輔助計算!$G$2:$G$801, 0)+1))&lt;=790,3,IF(INDEX(ERP資料!$G:$G, (MATCH(535, 輔助計算!$G$2:$G$801, 0)+1))&lt;=1181,2,1)))=1,TEXT(INDEX(ERP資料!$G:$G, (MATCH(535, 輔助計算!$G$2:$G$801, 0)+1)),"0.##"),IF(IF(INDEX(ERP資料!$G:$G, (MATCH(535, 輔助計算!$G$2:$G$801, 0)+1))&lt;100, IF(INDEX(ERP資料!$G:$G, (MATCH(535, 輔助計算!$G$2:$G$801, 0)+1))&lt;=31,3,IF(INDEX(ERP資料!$G:$G, (MATCH(535, 輔助計算!$G$2:$G$801, 0)+1))&lt;=46.5,2,1)), IF(INDEX(ERP資料!$G:$G, (MATCH(535, 輔助計算!$G$2:$G$801, 0)+1))&lt;=790,3,IF(INDEX(ERP資料!$G:$G, (MATCH(535, 輔助計算!$G$2:$G$801, 0)+1))&lt;=1181,2,1)))=2,TEXT(INDEX(ERP資料!$G:$G, (MATCH(535, 輔助計算!$G$2:$G$801, 0)+1)),"0.##")&amp;"+"&amp;TEXT(INDEX(ERP資料!$G:$G, (MATCH(535, 輔助計算!$G$2:$G$801, 0)+1)),"0.##"),TEXT(INDEX(ERP資料!$G:$G, (MATCH(535, 輔助計算!$G$2:$G$801, 0)+1)),"0.##")&amp;"+"&amp;TEXT(INDEX(ERP資料!$G:$G, (MATCH(535, 輔助計算!$G$2:$G$801, 0)+1)),"0.##")&amp;"+"&amp;TEXT(INDEX(ERP資料!$G:$G, (MATCH(535, 輔助計算!$G$2:$G$801, 0)+1)),"0.##")))&amp;"-"&amp;INT(INDEX(輔助計算!$D:$D, (MATCH(535, 輔助計算!$G$2:$G$801, 0)+1))/IF(INDEX(ERP資料!$G:$G, (MATCH(535, 輔助計算!$G$2:$G$801, 0)+1))&lt;100, IF(INDEX(ERP資料!$G:$G, (MATCH(535, 輔助計算!$G$2:$G$801, 0)+1))&lt;=31,3,IF(INDEX(ERP資料!$G:$G, (MATCH(535, 輔助計算!$G$2:$G$801, 0)+1))&lt;=46.5,2,1)), IF(INDEX(ERP資料!$G:$G, (MATCH(535, 輔助計算!$G$2:$G$801, 0)+1))&lt;=790,3,IF(INDEX(ERP資料!$G:$G, (MATCH(535, 輔助計算!$G$2:$G$801, 0)+1))&lt;=1181,2,1)))), "")&amp;IF(AND(IF(INT(INDEX(輔助計算!$D:$D, (MATCH(535, 輔助計算!$G$2:$G$801, 0)+1))/IF(INDEX(ERP資料!$G:$G, (MATCH(535, 輔助計算!$G$2:$G$801, 0)+1))&lt;100, IF(INDEX(ERP資料!$G:$G, (MATCH(535, 輔助計算!$G$2:$G$801, 0)+1))&lt;=31,3,IF(INDEX(ERP資料!$G:$G, (MATCH(535, 輔助計算!$G$2:$G$801, 0)+1))&lt;=46.5,2,1)), IF(INDEX(ERP資料!$G:$G, (MATCH(535, 輔助計算!$G$2:$G$801, 0)+1))&lt;=790,3,IF(INDEX(ERP資料!$G:$G, (MATCH(535, 輔助計算!$G$2:$G$801, 0)+1))&lt;=1181,2,1))))&gt;0, IF(IF(INDEX(ERP資料!$G:$G, (MATCH(535, 輔助計算!$G$2:$G$801, 0)+1))&lt;100, IF(INDEX(ERP資料!$G:$G, (MATCH(535, 輔助計算!$G$2:$G$801, 0)+1))&lt;=31,3,IF(INDEX(ERP資料!$G:$G, (MATCH(535, 輔助計算!$G$2:$G$801, 0)+1))&lt;=46.5,2,1)), IF(INDEX(ERP資料!$G:$G, (MATCH(535, 輔助計算!$G$2:$G$801, 0)+1))&lt;=790,3,IF(INDEX(ERP資料!$G:$G, (MATCH(535, 輔助計算!$G$2:$G$801, 0)+1))&lt;=1181,2,1)))=1,TEXT(INDEX(ERP資料!$G:$G, (MATCH(535, 輔助計算!$G$2:$G$801, 0)+1)),"0.##"),IF(IF(INDEX(ERP資料!$G:$G, (MATCH(535, 輔助計算!$G$2:$G$801, 0)+1))&lt;100, IF(INDEX(ERP資料!$G:$G, (MATCH(535, 輔助計算!$G$2:$G$801, 0)+1))&lt;=31,3,IF(INDEX(ERP資料!$G:$G, (MATCH(535, 輔助計算!$G$2:$G$801, 0)+1))&lt;=46.5,2,1)), IF(INDEX(ERP資料!$G:$G, (MATCH(535, 輔助計算!$G$2:$G$801, 0)+1))&lt;=790,3,IF(INDEX(ERP資料!$G:$G, (MATCH(535, 輔助計算!$G$2:$G$801, 0)+1))&lt;=1181,2,1)))=2,TEXT(INDEX(ERP資料!$G:$G, (MATCH(535, 輔助計算!$G$2:$G$801, 0)+1)),"0.##")&amp;"+"&amp;TEXT(INDEX(ERP資料!$G:$G, (MATCH(535, 輔助計算!$G$2:$G$801, 0)+1)),"0.##"),TEXT(INDEX(ERP資料!$G:$G, (MATCH(535, 輔助計算!$G$2:$G$801, 0)+1)),"0.##")&amp;"+"&amp;TEXT(INDEX(ERP資料!$G:$G, (MATCH(535, 輔助計算!$G$2:$G$801, 0)+1)),"0.##")&amp;"+"&amp;TEXT(INDEX(ERP資料!$G:$G, (MATCH(535, 輔助計算!$G$2:$G$801, 0)+1)),"0.##")))&amp;"-"&amp;INT(INDEX(輔助計算!$D:$D, (MATCH(535, 輔助計算!$G$2:$G$801, 0)+1))/IF(INDEX(ERP資料!$G:$G, (MATCH(535, 輔助計算!$G$2:$G$801, 0)+1))&lt;100, IF(INDEX(ERP資料!$G:$G, (MATCH(535, 輔助計算!$G$2:$G$801, 0)+1))&lt;=31,3,IF(INDEX(ERP資料!$G:$G, (MATCH(535, 輔助計算!$G$2:$G$801, 0)+1))&lt;=46.5,2,1)), IF(INDEX(ERP資料!$G:$G, (MATCH(535, 輔助計算!$G$2:$G$801, 0)+1))&lt;=790,3,IF(INDEX(ERP資料!$G:$G, (MATCH(535, 輔助計算!$G$2:$G$801, 0)+1))&lt;=1181,2,1)))), "")&lt;&gt;"",IF(MOD(INDEX(輔助計算!$D:$D, (MATCH(535, 輔助計算!$G$2:$G$801, 0)+1)),IF(INDEX(ERP資料!$G:$G, (MATCH(535, 輔助計算!$G$2:$G$801, 0)+1))&lt;100, IF(INDEX(ERP資料!$G:$G, (MATCH(535, 輔助計算!$G$2:$G$801, 0)+1))&lt;=31,3,IF(INDEX(ERP資料!$G:$G, (MATCH(535, 輔助計算!$G$2:$G$801, 0)+1))&lt;=46.5,2,1)), IF(INDEX(ERP資料!$G:$G, (MATCH(535, 輔助計算!$G$2:$G$801, 0)+1))&lt;=790,3,IF(INDEX(ERP資料!$G:$G, (MATCH(535, 輔助計算!$G$2:$G$801, 0)+1))&lt;=1181,2,1))))=0,"",IF(MOD(INDEX(輔助計算!$D:$D, (MATCH(535, 輔助計算!$G$2:$G$801, 0)+1)),IF(INDEX(ERP資料!$G:$G, (MATCH(535, 輔助計算!$G$2:$G$801, 0)+1))&lt;100, IF(INDEX(ERP資料!$G:$G, (MATCH(535, 輔助計算!$G$2:$G$801, 0)+1))&lt;=31,3,IF(INDEX(ERP資料!$G:$G, (MATCH(535, 輔助計算!$G$2:$G$801, 0)+1))&lt;=46.5,2,1)), IF(INDEX(ERP資料!$G:$G, (MATCH(535, 輔助計算!$G$2:$G$801, 0)+1))&lt;=790,3,IF(INDEX(ERP資料!$G:$G, (MATCH(535, 輔助計算!$G$2:$G$801, 0)+1))&lt;=1181,2,1))))=0,"",IF(MOD(INDEX(輔助計算!$D:$D, (MATCH(535, 輔助計算!$G$2:$G$801, 0)+1)),IF(INDEX(ERP資料!$G:$G, (MATCH(535, 輔助計算!$G$2:$G$801, 0)+1))&lt;100, IF(INDEX(ERP資料!$G:$G, (MATCH(535, 輔助計算!$G$2:$G$801, 0)+1))&lt;=31,3,IF(INDEX(ERP資料!$G:$G, (MATCH(535, 輔助計算!$G$2:$G$801, 0)+1))&lt;=46.5,2,1)), IF(INDEX(ERP資料!$G:$G, (MATCH(535, 輔助計算!$G$2:$G$801, 0)+1))&lt;=790,3,IF(INDEX(ERP資料!$G:$G, (MATCH(535, 輔助計算!$G$2:$G$801, 0)+1))&lt;=1181,2,1))))=1,TEXT(INDEX(ERP資料!$G:$G, (MATCH(535, 輔助計算!$G$2:$G$801, 0)+1)),"0.##"),IF(MOD(INDEX(輔助計算!$D:$D, (MATCH(535, 輔助計算!$G$2:$G$801, 0)+1)),IF(INDEX(ERP資料!$G:$G, (MATCH(535, 輔助計算!$G$2:$G$801, 0)+1))&lt;100, IF(INDEX(ERP資料!$G:$G, (MATCH(535, 輔助計算!$G$2:$G$801, 0)+1))&lt;=31,3,IF(INDEX(ERP資料!$G:$G, (MATCH(535, 輔助計算!$G$2:$G$801, 0)+1))&lt;=46.5,2,1)), IF(INDEX(ERP資料!$G:$G, (MATCH(535, 輔助計算!$G$2:$G$801, 0)+1))&lt;=790,3,IF(INDEX(ERP資料!$G:$G, (MATCH(535, 輔助計算!$G$2:$G$801, 0)+1))&lt;=1181,2,1))))=2,TEXT(INDEX(ERP資料!$G:$G, (MATCH(535, 輔助計算!$G$2:$G$801, 0)+1)),"0.##")&amp;"+"&amp;TEXT(INDEX(ERP資料!$G:$G, (MATCH(535, 輔助計算!$G$2:$G$801, 0)+1)),"0.##"),TEXT(INDEX(ERP資料!$G:$G, (MATCH(535, 輔助計算!$G$2:$G$801, 0)+1)),"0.##")&amp;"+"&amp;TEXT(INDEX(ERP資料!$G:$G, (MATCH(535, 輔助計算!$G$2:$G$801, 0)+1)),"0.##")&amp;"+"&amp;TEXT(INDEX(ERP資料!$G:$G, (MATCH(535, 輔助計算!$G$2:$G$801, 0)+1)),"0.##"))))&amp;"-1")&lt;&gt;""),"  ","")&amp;IF(MOD(INDEX(輔助計算!$D:$D, (MATCH(535, 輔助計算!$G$2:$G$801, 0)+1)),IF(INDEX(ERP資料!$G:$G, (MATCH(535, 輔助計算!$G$2:$G$801, 0)+1))&lt;100, IF(INDEX(ERP資料!$G:$G, (MATCH(535, 輔助計算!$G$2:$G$801, 0)+1))&lt;=31,3,IF(INDEX(ERP資料!$G:$G, (MATCH(535, 輔助計算!$G$2:$G$801, 0)+1))&lt;=46.5,2,1)), IF(INDEX(ERP資料!$G:$G, (MATCH(535, 輔助計算!$G$2:$G$801, 0)+1))&lt;=790,3,IF(INDEX(ERP資料!$G:$G, (MATCH(535, 輔助計算!$G$2:$G$801, 0)+1))&lt;=1181,2,1))))=0,"",IF(MOD(INDEX(輔助計算!$D:$D, (MATCH(535, 輔助計算!$G$2:$G$801, 0)+1)),IF(INDEX(ERP資料!$G:$G, (MATCH(535, 輔助計算!$G$2:$G$801, 0)+1))&lt;100, IF(INDEX(ERP資料!$G:$G, (MATCH(535, 輔助計算!$G$2:$G$801, 0)+1))&lt;=31,3,IF(INDEX(ERP資料!$G:$G, (MATCH(535, 輔助計算!$G$2:$G$801, 0)+1))&lt;=46.5,2,1)), IF(INDEX(ERP資料!$G:$G, (MATCH(535, 輔助計算!$G$2:$G$801, 0)+1))&lt;=790,3,IF(INDEX(ERP資料!$G:$G, (MATCH(535, 輔助計算!$G$2:$G$801, 0)+1))&lt;=1181,2,1))))=0,"",IF(MOD(INDEX(輔助計算!$D:$D, (MATCH(535, 輔助計算!$G$2:$G$801, 0)+1)),IF(INDEX(ERP資料!$G:$G, (MATCH(535, 輔助計算!$G$2:$G$801, 0)+1))&lt;100, IF(INDEX(ERP資料!$G:$G, (MATCH(535, 輔助計算!$G$2:$G$801, 0)+1))&lt;=31,3,IF(INDEX(ERP資料!$G:$G, (MATCH(535, 輔助計算!$G$2:$G$801, 0)+1))&lt;=46.5,2,1)), IF(INDEX(ERP資料!$G:$G, (MATCH(535, 輔助計算!$G$2:$G$801, 0)+1))&lt;=790,3,IF(INDEX(ERP資料!$G:$G, (MATCH(535, 輔助計算!$G$2:$G$801, 0)+1))&lt;=1181,2,1))))=1,TEXT(INDEX(ERP資料!$G:$G, (MATCH(535, 輔助計算!$G$2:$G$801, 0)+1)),"0.##"),IF(MOD(INDEX(輔助計算!$D:$D, (MATCH(535, 輔助計算!$G$2:$G$801, 0)+1)),IF(INDEX(ERP資料!$G:$G, (MATCH(535, 輔助計算!$G$2:$G$801, 0)+1))&lt;100, IF(INDEX(ERP資料!$G:$G, (MATCH(535, 輔助計算!$G$2:$G$801, 0)+1))&lt;=31,3,IF(INDEX(ERP資料!$G:$G, (MATCH(535, 輔助計算!$G$2:$G$801, 0)+1))&lt;=46.5,2,1)), IF(INDEX(ERP資料!$G:$G, (MATCH(535, 輔助計算!$G$2:$G$801, 0)+1))&lt;=790,3,IF(INDEX(ERP資料!$G:$G, (MATCH(535, 輔助計算!$G$2:$G$801, 0)+1))&lt;=1181,2,1))))=2,TEXT(INDEX(ERP資料!$G:$G, (MATCH(535, 輔助計算!$G$2:$G$801, 0)+1)),"0.##")&amp;"+"&amp;TEXT(INDEX(ERP資料!$G:$G, (MATCH(535, 輔助計算!$G$2:$G$801, 0)+1)),"0.##"),TEXT(INDEX(ERP資料!$G:$G, (MATCH(535, 輔助計算!$G$2:$G$801, 0)+1)),"0.##")&amp;"+"&amp;TEXT(INDEX(ERP資料!$G:$G, (MATCH(535, 輔助計算!$G$2:$G$801, 0)+1)),"0.##")&amp;"+"&amp;TEXT(INDEX(ERP資料!$G:$G, (MATCH(535, 輔助計算!$G$2:$G$801, 0)+1)),"0.##"))))&amp;"-1")), ""), "")</f>
        <v/>
      </c>
      <c r="K536" s="16" t="n"/>
      <c r="L536" s="14">
        <f>IFERROR(IF(AND(IFERROR(INDEX(ERP資料!$A:$A, (MATCH(535, 輔助計算!$G$2:$G$801, 0)+1)), "")&lt;&gt;"", IFERROR(INDEX(ERP資料!$A:$A, (MATCH(535, 輔助計算!$G$2:$G$801, 0)+1)), "")&lt;&gt;IFERROR(INDEX(ERP資料!$A:$A, MATCH(534, 輔助計算!$G$2:$G$801, 0)+1), "")), INDEX(ERP資料!$B:$B, (MATCH(535, 輔助計算!$G$2:$G$801, 0)+1)), ""), "")</f>
        <v/>
      </c>
      <c r="M536" s="17" t="n"/>
    </row>
    <row r="537">
      <c r="A537" s="10">
        <f>IFERROR(IF(AND(IFERROR(INDEX(ERP資料!$A:$A, (MATCH(536, 輔助計算!$G$2:$G$801, 0)+1)), "")&lt;&gt;"", IFERROR(INDEX(ERP資料!$A:$A, (MATCH(536, 輔助計算!$G$2:$G$801, 0)+1)), "")&lt;&gt;IFERROR(INDEX(ERP資料!$A:$A, MATCH(535, 輔助計算!$G$2:$G$801, 0)+1), "")), IFERROR(INDEX(ERP資料!$A:$A, (MATCH(536, 輔助計算!$G$2:$G$801, 0)+1)), ""), ""), "")</f>
        <v/>
      </c>
      <c r="B537" s="10">
        <f>IFERROR(IF(AND(IFERROR(INDEX(ERP資料!$A:$A, (MATCH(536, 輔助計算!$G$2:$G$801, 0)+1)), "")&lt;&gt;"", IFERROR(INDEX(ERP資料!$A:$A, (MATCH(536, 輔助計算!$G$2:$G$801, 0)+1)), "")&lt;&gt;IFERROR(INDEX(ERP資料!$A:$A, MATCH(535, 輔助計算!$G$2:$G$801, 0)+1), "")), INDEX(ERP資料!$S:$S, (MATCH(536, 輔助計算!$G$2:$G$801, 0)+1)), ""), "")</f>
        <v/>
      </c>
      <c r="C537" s="19">
        <f>IFERROR(IF(AND(IFERROR(INDEX(ERP資料!$A:$A, (MATCH(536, 輔助計算!$G$2:$G$801, 0)+1)), "")&lt;&gt;"", IFERROR(INDEX(ERP資料!$A:$A, (MATCH(536, 輔助計算!$G$2:$G$801, 0)+1)), "")&lt;&gt;IFERROR(INDEX(ERP資料!$A:$A, MATCH(535, 輔助計算!$G$2:$G$801, 0)+1), "")), IFERROR(VLOOKUP(LEFT(INDEX(ERP資料!$S:$S, (MATCH(536, 輔助計算!$G$2:$G$801, 0)+1)), 4), 紙管對照表!$A:$C, 3, FALSE), ""), ""), "")</f>
        <v/>
      </c>
      <c r="D537" s="16" t="n"/>
      <c r="E537" s="10">
        <f>IFERROR(IF(INDEX(ERP資料!$H:$H, (MATCH(536, 輔助計算!$G$2:$G$801, 0)+1))="","",INDEX(ERP資料!$H:$H, (MATCH(536, 輔助計算!$G$2:$G$801, 0)+1))), "")</f>
        <v/>
      </c>
      <c r="F537" s="10">
        <f>IFERROR(IF(INDEX(ERP資料!$E:$E, (MATCH(536, 輔助計算!$G$2:$G$801, 0)+1))="","",TRIM(INDEX(ERP資料!$E:$E, (MATCH(536, 輔助計算!$G$2:$G$801, 0)+1)))), "")</f>
        <v/>
      </c>
      <c r="G537" s="10">
        <f>IFERROR(IF(INDEX(ERP資料!$F:$F, (MATCH(536, 輔助計算!$G$2:$G$801, 0)+1))="","",INDEX(ERP資料!$F:$F, (MATCH(536, 輔助計算!$G$2:$G$801, 0)+1))), "")</f>
        <v/>
      </c>
      <c r="H537" s="10">
        <f>IFERROR(IF(INDEX(ERP資料!$G:$G, (MATCH(536, 輔助計算!$G$2:$G$801, 0)+1))="","",INDEX(ERP資料!$G:$G, (MATCH(536, 輔助計算!$G$2:$G$801, 0)+1))), "")</f>
        <v/>
      </c>
      <c r="I537" s="15">
        <f>IFERROR(INDEX(輔助計算!$D:$D, (MATCH(536, 輔助計算!$G$2:$G$801, 0)+1)), "")</f>
        <v/>
      </c>
      <c r="J537" s="15">
        <f>IFERROR(IF(AND(INDEX(輔助計算!$D:$D, (MATCH(536, 輔助計算!$G$2:$G$801, 0)+1))&lt;&gt;"", INDEX(ERP資料!$G:$G, (MATCH(536, 輔助計算!$G$2:$G$801, 0)+1))&lt;&gt;""), TRIM(IF(INT(INDEX(輔助計算!$D:$D, (MATCH(536, 輔助計算!$G$2:$G$801, 0)+1))/IF(INDEX(ERP資料!$G:$G, (MATCH(536, 輔助計算!$G$2:$G$801, 0)+1))&lt;100, IF(INDEX(ERP資料!$G:$G, (MATCH(536, 輔助計算!$G$2:$G$801, 0)+1))&lt;=31,3,IF(INDEX(ERP資料!$G:$G, (MATCH(536, 輔助計算!$G$2:$G$801, 0)+1))&lt;=46.5,2,1)), IF(INDEX(ERP資料!$G:$G, (MATCH(536, 輔助計算!$G$2:$G$801, 0)+1))&lt;=790,3,IF(INDEX(ERP資料!$G:$G, (MATCH(536, 輔助計算!$G$2:$G$801, 0)+1))&lt;=1181,2,1))))&gt;0, IF(IF(INDEX(ERP資料!$G:$G, (MATCH(536, 輔助計算!$G$2:$G$801, 0)+1))&lt;100, IF(INDEX(ERP資料!$G:$G, (MATCH(536, 輔助計算!$G$2:$G$801, 0)+1))&lt;=31,3,IF(INDEX(ERP資料!$G:$G, (MATCH(536, 輔助計算!$G$2:$G$801, 0)+1))&lt;=46.5,2,1)), IF(INDEX(ERP資料!$G:$G, (MATCH(536, 輔助計算!$G$2:$G$801, 0)+1))&lt;=790,3,IF(INDEX(ERP資料!$G:$G, (MATCH(536, 輔助計算!$G$2:$G$801, 0)+1))&lt;=1181,2,1)))=1,TEXT(INDEX(ERP資料!$G:$G, (MATCH(536, 輔助計算!$G$2:$G$801, 0)+1)),"0.##"),IF(IF(INDEX(ERP資料!$G:$G, (MATCH(536, 輔助計算!$G$2:$G$801, 0)+1))&lt;100, IF(INDEX(ERP資料!$G:$G, (MATCH(536, 輔助計算!$G$2:$G$801, 0)+1))&lt;=31,3,IF(INDEX(ERP資料!$G:$G, (MATCH(536, 輔助計算!$G$2:$G$801, 0)+1))&lt;=46.5,2,1)), IF(INDEX(ERP資料!$G:$G, (MATCH(536, 輔助計算!$G$2:$G$801, 0)+1))&lt;=790,3,IF(INDEX(ERP資料!$G:$G, (MATCH(536, 輔助計算!$G$2:$G$801, 0)+1))&lt;=1181,2,1)))=2,TEXT(INDEX(ERP資料!$G:$G, (MATCH(536, 輔助計算!$G$2:$G$801, 0)+1)),"0.##")&amp;"+"&amp;TEXT(INDEX(ERP資料!$G:$G, (MATCH(536, 輔助計算!$G$2:$G$801, 0)+1)),"0.##"),TEXT(INDEX(ERP資料!$G:$G, (MATCH(536, 輔助計算!$G$2:$G$801, 0)+1)),"0.##")&amp;"+"&amp;TEXT(INDEX(ERP資料!$G:$G, (MATCH(536, 輔助計算!$G$2:$G$801, 0)+1)),"0.##")&amp;"+"&amp;TEXT(INDEX(ERP資料!$G:$G, (MATCH(536, 輔助計算!$G$2:$G$801, 0)+1)),"0.##")))&amp;"-"&amp;INT(INDEX(輔助計算!$D:$D, (MATCH(536, 輔助計算!$G$2:$G$801, 0)+1))/IF(INDEX(ERP資料!$G:$G, (MATCH(536, 輔助計算!$G$2:$G$801, 0)+1))&lt;100, IF(INDEX(ERP資料!$G:$G, (MATCH(536, 輔助計算!$G$2:$G$801, 0)+1))&lt;=31,3,IF(INDEX(ERP資料!$G:$G, (MATCH(536, 輔助計算!$G$2:$G$801, 0)+1))&lt;=46.5,2,1)), IF(INDEX(ERP資料!$G:$G, (MATCH(536, 輔助計算!$G$2:$G$801, 0)+1))&lt;=790,3,IF(INDEX(ERP資料!$G:$G, (MATCH(536, 輔助計算!$G$2:$G$801, 0)+1))&lt;=1181,2,1)))), "")&amp;IF(AND(IF(INT(INDEX(輔助計算!$D:$D, (MATCH(536, 輔助計算!$G$2:$G$801, 0)+1))/IF(INDEX(ERP資料!$G:$G, (MATCH(536, 輔助計算!$G$2:$G$801, 0)+1))&lt;100, IF(INDEX(ERP資料!$G:$G, (MATCH(536, 輔助計算!$G$2:$G$801, 0)+1))&lt;=31,3,IF(INDEX(ERP資料!$G:$G, (MATCH(536, 輔助計算!$G$2:$G$801, 0)+1))&lt;=46.5,2,1)), IF(INDEX(ERP資料!$G:$G, (MATCH(536, 輔助計算!$G$2:$G$801, 0)+1))&lt;=790,3,IF(INDEX(ERP資料!$G:$G, (MATCH(536, 輔助計算!$G$2:$G$801, 0)+1))&lt;=1181,2,1))))&gt;0, IF(IF(INDEX(ERP資料!$G:$G, (MATCH(536, 輔助計算!$G$2:$G$801, 0)+1))&lt;100, IF(INDEX(ERP資料!$G:$G, (MATCH(536, 輔助計算!$G$2:$G$801, 0)+1))&lt;=31,3,IF(INDEX(ERP資料!$G:$G, (MATCH(536, 輔助計算!$G$2:$G$801, 0)+1))&lt;=46.5,2,1)), IF(INDEX(ERP資料!$G:$G, (MATCH(536, 輔助計算!$G$2:$G$801, 0)+1))&lt;=790,3,IF(INDEX(ERP資料!$G:$G, (MATCH(536, 輔助計算!$G$2:$G$801, 0)+1))&lt;=1181,2,1)))=1,TEXT(INDEX(ERP資料!$G:$G, (MATCH(536, 輔助計算!$G$2:$G$801, 0)+1)),"0.##"),IF(IF(INDEX(ERP資料!$G:$G, (MATCH(536, 輔助計算!$G$2:$G$801, 0)+1))&lt;100, IF(INDEX(ERP資料!$G:$G, (MATCH(536, 輔助計算!$G$2:$G$801, 0)+1))&lt;=31,3,IF(INDEX(ERP資料!$G:$G, (MATCH(536, 輔助計算!$G$2:$G$801, 0)+1))&lt;=46.5,2,1)), IF(INDEX(ERP資料!$G:$G, (MATCH(536, 輔助計算!$G$2:$G$801, 0)+1))&lt;=790,3,IF(INDEX(ERP資料!$G:$G, (MATCH(536, 輔助計算!$G$2:$G$801, 0)+1))&lt;=1181,2,1)))=2,TEXT(INDEX(ERP資料!$G:$G, (MATCH(536, 輔助計算!$G$2:$G$801, 0)+1)),"0.##")&amp;"+"&amp;TEXT(INDEX(ERP資料!$G:$G, (MATCH(536, 輔助計算!$G$2:$G$801, 0)+1)),"0.##"),TEXT(INDEX(ERP資料!$G:$G, (MATCH(536, 輔助計算!$G$2:$G$801, 0)+1)),"0.##")&amp;"+"&amp;TEXT(INDEX(ERP資料!$G:$G, (MATCH(536, 輔助計算!$G$2:$G$801, 0)+1)),"0.##")&amp;"+"&amp;TEXT(INDEX(ERP資料!$G:$G, (MATCH(536, 輔助計算!$G$2:$G$801, 0)+1)),"0.##")))&amp;"-"&amp;INT(INDEX(輔助計算!$D:$D, (MATCH(536, 輔助計算!$G$2:$G$801, 0)+1))/IF(INDEX(ERP資料!$G:$G, (MATCH(536, 輔助計算!$G$2:$G$801, 0)+1))&lt;100, IF(INDEX(ERP資料!$G:$G, (MATCH(536, 輔助計算!$G$2:$G$801, 0)+1))&lt;=31,3,IF(INDEX(ERP資料!$G:$G, (MATCH(536, 輔助計算!$G$2:$G$801, 0)+1))&lt;=46.5,2,1)), IF(INDEX(ERP資料!$G:$G, (MATCH(536, 輔助計算!$G$2:$G$801, 0)+1))&lt;=790,3,IF(INDEX(ERP資料!$G:$G, (MATCH(536, 輔助計算!$G$2:$G$801, 0)+1))&lt;=1181,2,1)))), "")&lt;&gt;"",IF(MOD(INDEX(輔助計算!$D:$D, (MATCH(536, 輔助計算!$G$2:$G$801, 0)+1)),IF(INDEX(ERP資料!$G:$G, (MATCH(536, 輔助計算!$G$2:$G$801, 0)+1))&lt;100, IF(INDEX(ERP資料!$G:$G, (MATCH(536, 輔助計算!$G$2:$G$801, 0)+1))&lt;=31,3,IF(INDEX(ERP資料!$G:$G, (MATCH(536, 輔助計算!$G$2:$G$801, 0)+1))&lt;=46.5,2,1)), IF(INDEX(ERP資料!$G:$G, (MATCH(536, 輔助計算!$G$2:$G$801, 0)+1))&lt;=790,3,IF(INDEX(ERP資料!$G:$G, (MATCH(536, 輔助計算!$G$2:$G$801, 0)+1))&lt;=1181,2,1))))=0,"",IF(MOD(INDEX(輔助計算!$D:$D, (MATCH(536, 輔助計算!$G$2:$G$801, 0)+1)),IF(INDEX(ERP資料!$G:$G, (MATCH(536, 輔助計算!$G$2:$G$801, 0)+1))&lt;100, IF(INDEX(ERP資料!$G:$G, (MATCH(536, 輔助計算!$G$2:$G$801, 0)+1))&lt;=31,3,IF(INDEX(ERP資料!$G:$G, (MATCH(536, 輔助計算!$G$2:$G$801, 0)+1))&lt;=46.5,2,1)), IF(INDEX(ERP資料!$G:$G, (MATCH(536, 輔助計算!$G$2:$G$801, 0)+1))&lt;=790,3,IF(INDEX(ERP資料!$G:$G, (MATCH(536, 輔助計算!$G$2:$G$801, 0)+1))&lt;=1181,2,1))))=0,"",IF(MOD(INDEX(輔助計算!$D:$D, (MATCH(536, 輔助計算!$G$2:$G$801, 0)+1)),IF(INDEX(ERP資料!$G:$G, (MATCH(536, 輔助計算!$G$2:$G$801, 0)+1))&lt;100, IF(INDEX(ERP資料!$G:$G, (MATCH(536, 輔助計算!$G$2:$G$801, 0)+1))&lt;=31,3,IF(INDEX(ERP資料!$G:$G, (MATCH(536, 輔助計算!$G$2:$G$801, 0)+1))&lt;=46.5,2,1)), IF(INDEX(ERP資料!$G:$G, (MATCH(536, 輔助計算!$G$2:$G$801, 0)+1))&lt;=790,3,IF(INDEX(ERP資料!$G:$G, (MATCH(536, 輔助計算!$G$2:$G$801, 0)+1))&lt;=1181,2,1))))=1,TEXT(INDEX(ERP資料!$G:$G, (MATCH(536, 輔助計算!$G$2:$G$801, 0)+1)),"0.##"),IF(MOD(INDEX(輔助計算!$D:$D, (MATCH(536, 輔助計算!$G$2:$G$801, 0)+1)),IF(INDEX(ERP資料!$G:$G, (MATCH(536, 輔助計算!$G$2:$G$801, 0)+1))&lt;100, IF(INDEX(ERP資料!$G:$G, (MATCH(536, 輔助計算!$G$2:$G$801, 0)+1))&lt;=31,3,IF(INDEX(ERP資料!$G:$G, (MATCH(536, 輔助計算!$G$2:$G$801, 0)+1))&lt;=46.5,2,1)), IF(INDEX(ERP資料!$G:$G, (MATCH(536, 輔助計算!$G$2:$G$801, 0)+1))&lt;=790,3,IF(INDEX(ERP資料!$G:$G, (MATCH(536, 輔助計算!$G$2:$G$801, 0)+1))&lt;=1181,2,1))))=2,TEXT(INDEX(ERP資料!$G:$G, (MATCH(536, 輔助計算!$G$2:$G$801, 0)+1)),"0.##")&amp;"+"&amp;TEXT(INDEX(ERP資料!$G:$G, (MATCH(536, 輔助計算!$G$2:$G$801, 0)+1)),"0.##"),TEXT(INDEX(ERP資料!$G:$G, (MATCH(536, 輔助計算!$G$2:$G$801, 0)+1)),"0.##")&amp;"+"&amp;TEXT(INDEX(ERP資料!$G:$G, (MATCH(536, 輔助計算!$G$2:$G$801, 0)+1)),"0.##")&amp;"+"&amp;TEXT(INDEX(ERP資料!$G:$G, (MATCH(536, 輔助計算!$G$2:$G$801, 0)+1)),"0.##"))))&amp;"-1")&lt;&gt;""),"  ","")&amp;IF(MOD(INDEX(輔助計算!$D:$D, (MATCH(536, 輔助計算!$G$2:$G$801, 0)+1)),IF(INDEX(ERP資料!$G:$G, (MATCH(536, 輔助計算!$G$2:$G$801, 0)+1))&lt;100, IF(INDEX(ERP資料!$G:$G, (MATCH(536, 輔助計算!$G$2:$G$801, 0)+1))&lt;=31,3,IF(INDEX(ERP資料!$G:$G, (MATCH(536, 輔助計算!$G$2:$G$801, 0)+1))&lt;=46.5,2,1)), IF(INDEX(ERP資料!$G:$G, (MATCH(536, 輔助計算!$G$2:$G$801, 0)+1))&lt;=790,3,IF(INDEX(ERP資料!$G:$G, (MATCH(536, 輔助計算!$G$2:$G$801, 0)+1))&lt;=1181,2,1))))=0,"",IF(MOD(INDEX(輔助計算!$D:$D, (MATCH(536, 輔助計算!$G$2:$G$801, 0)+1)),IF(INDEX(ERP資料!$G:$G, (MATCH(536, 輔助計算!$G$2:$G$801, 0)+1))&lt;100, IF(INDEX(ERP資料!$G:$G, (MATCH(536, 輔助計算!$G$2:$G$801, 0)+1))&lt;=31,3,IF(INDEX(ERP資料!$G:$G, (MATCH(536, 輔助計算!$G$2:$G$801, 0)+1))&lt;=46.5,2,1)), IF(INDEX(ERP資料!$G:$G, (MATCH(536, 輔助計算!$G$2:$G$801, 0)+1))&lt;=790,3,IF(INDEX(ERP資料!$G:$G, (MATCH(536, 輔助計算!$G$2:$G$801, 0)+1))&lt;=1181,2,1))))=0,"",IF(MOD(INDEX(輔助計算!$D:$D, (MATCH(536, 輔助計算!$G$2:$G$801, 0)+1)),IF(INDEX(ERP資料!$G:$G, (MATCH(536, 輔助計算!$G$2:$G$801, 0)+1))&lt;100, IF(INDEX(ERP資料!$G:$G, (MATCH(536, 輔助計算!$G$2:$G$801, 0)+1))&lt;=31,3,IF(INDEX(ERP資料!$G:$G, (MATCH(536, 輔助計算!$G$2:$G$801, 0)+1))&lt;=46.5,2,1)), IF(INDEX(ERP資料!$G:$G, (MATCH(536, 輔助計算!$G$2:$G$801, 0)+1))&lt;=790,3,IF(INDEX(ERP資料!$G:$G, (MATCH(536, 輔助計算!$G$2:$G$801, 0)+1))&lt;=1181,2,1))))=1,TEXT(INDEX(ERP資料!$G:$G, (MATCH(536, 輔助計算!$G$2:$G$801, 0)+1)),"0.##"),IF(MOD(INDEX(輔助計算!$D:$D, (MATCH(536, 輔助計算!$G$2:$G$801, 0)+1)),IF(INDEX(ERP資料!$G:$G, (MATCH(536, 輔助計算!$G$2:$G$801, 0)+1))&lt;100, IF(INDEX(ERP資料!$G:$G, (MATCH(536, 輔助計算!$G$2:$G$801, 0)+1))&lt;=31,3,IF(INDEX(ERP資料!$G:$G, (MATCH(536, 輔助計算!$G$2:$G$801, 0)+1))&lt;=46.5,2,1)), IF(INDEX(ERP資料!$G:$G, (MATCH(536, 輔助計算!$G$2:$G$801, 0)+1))&lt;=790,3,IF(INDEX(ERP資料!$G:$G, (MATCH(536, 輔助計算!$G$2:$G$801, 0)+1))&lt;=1181,2,1))))=2,TEXT(INDEX(ERP資料!$G:$G, (MATCH(536, 輔助計算!$G$2:$G$801, 0)+1)),"0.##")&amp;"+"&amp;TEXT(INDEX(ERP資料!$G:$G, (MATCH(536, 輔助計算!$G$2:$G$801, 0)+1)),"0.##"),TEXT(INDEX(ERP資料!$G:$G, (MATCH(536, 輔助計算!$G$2:$G$801, 0)+1)),"0.##")&amp;"+"&amp;TEXT(INDEX(ERP資料!$G:$G, (MATCH(536, 輔助計算!$G$2:$G$801, 0)+1)),"0.##")&amp;"+"&amp;TEXT(INDEX(ERP資料!$G:$G, (MATCH(536, 輔助計算!$G$2:$G$801, 0)+1)),"0.##"))))&amp;"-1")), ""), "")</f>
        <v/>
      </c>
      <c r="K537" s="16" t="n"/>
      <c r="L537" s="14">
        <f>IFERROR(IF(AND(IFERROR(INDEX(ERP資料!$A:$A, (MATCH(536, 輔助計算!$G$2:$G$801, 0)+1)), "")&lt;&gt;"", IFERROR(INDEX(ERP資料!$A:$A, (MATCH(536, 輔助計算!$G$2:$G$801, 0)+1)), "")&lt;&gt;IFERROR(INDEX(ERP資料!$A:$A, MATCH(535, 輔助計算!$G$2:$G$801, 0)+1), "")), INDEX(ERP資料!$B:$B, (MATCH(536, 輔助計算!$G$2:$G$801, 0)+1)), ""), "")</f>
        <v/>
      </c>
      <c r="M537" s="17" t="n"/>
    </row>
    <row r="538">
      <c r="A538" s="10">
        <f>IFERROR(IF(AND(IFERROR(INDEX(ERP資料!$A:$A, (MATCH(537, 輔助計算!$G$2:$G$801, 0)+1)), "")&lt;&gt;"", IFERROR(INDEX(ERP資料!$A:$A, (MATCH(537, 輔助計算!$G$2:$G$801, 0)+1)), "")&lt;&gt;IFERROR(INDEX(ERP資料!$A:$A, MATCH(536, 輔助計算!$G$2:$G$801, 0)+1), "")), IFERROR(INDEX(ERP資料!$A:$A, (MATCH(537, 輔助計算!$G$2:$G$801, 0)+1)), ""), ""), "")</f>
        <v/>
      </c>
      <c r="B538" s="10">
        <f>IFERROR(IF(AND(IFERROR(INDEX(ERP資料!$A:$A, (MATCH(537, 輔助計算!$G$2:$G$801, 0)+1)), "")&lt;&gt;"", IFERROR(INDEX(ERP資料!$A:$A, (MATCH(537, 輔助計算!$G$2:$G$801, 0)+1)), "")&lt;&gt;IFERROR(INDEX(ERP資料!$A:$A, MATCH(536, 輔助計算!$G$2:$G$801, 0)+1), "")), INDEX(ERP資料!$S:$S, (MATCH(537, 輔助計算!$G$2:$G$801, 0)+1)), ""), "")</f>
        <v/>
      </c>
      <c r="C538" s="19">
        <f>IFERROR(IF(AND(IFERROR(INDEX(ERP資料!$A:$A, (MATCH(537, 輔助計算!$G$2:$G$801, 0)+1)), "")&lt;&gt;"", IFERROR(INDEX(ERP資料!$A:$A, (MATCH(537, 輔助計算!$G$2:$G$801, 0)+1)), "")&lt;&gt;IFERROR(INDEX(ERP資料!$A:$A, MATCH(536, 輔助計算!$G$2:$G$801, 0)+1), "")), IFERROR(VLOOKUP(LEFT(INDEX(ERP資料!$S:$S, (MATCH(537, 輔助計算!$G$2:$G$801, 0)+1)), 4), 紙管對照表!$A:$C, 3, FALSE), ""), ""), "")</f>
        <v/>
      </c>
      <c r="D538" s="16" t="n"/>
      <c r="E538" s="10">
        <f>IFERROR(IF(INDEX(ERP資料!$H:$H, (MATCH(537, 輔助計算!$G$2:$G$801, 0)+1))="","",INDEX(ERP資料!$H:$H, (MATCH(537, 輔助計算!$G$2:$G$801, 0)+1))), "")</f>
        <v/>
      </c>
      <c r="F538" s="10">
        <f>IFERROR(IF(INDEX(ERP資料!$E:$E, (MATCH(537, 輔助計算!$G$2:$G$801, 0)+1))="","",TRIM(INDEX(ERP資料!$E:$E, (MATCH(537, 輔助計算!$G$2:$G$801, 0)+1)))), "")</f>
        <v/>
      </c>
      <c r="G538" s="10">
        <f>IFERROR(IF(INDEX(ERP資料!$F:$F, (MATCH(537, 輔助計算!$G$2:$G$801, 0)+1))="","",INDEX(ERP資料!$F:$F, (MATCH(537, 輔助計算!$G$2:$G$801, 0)+1))), "")</f>
        <v/>
      </c>
      <c r="H538" s="10">
        <f>IFERROR(IF(INDEX(ERP資料!$G:$G, (MATCH(537, 輔助計算!$G$2:$G$801, 0)+1))="","",INDEX(ERP資料!$G:$G, (MATCH(537, 輔助計算!$G$2:$G$801, 0)+1))), "")</f>
        <v/>
      </c>
      <c r="I538" s="15">
        <f>IFERROR(INDEX(輔助計算!$D:$D, (MATCH(537, 輔助計算!$G$2:$G$801, 0)+1)), "")</f>
        <v/>
      </c>
      <c r="J538" s="15">
        <f>IFERROR(IF(AND(INDEX(輔助計算!$D:$D, (MATCH(537, 輔助計算!$G$2:$G$801, 0)+1))&lt;&gt;"", INDEX(ERP資料!$G:$G, (MATCH(537, 輔助計算!$G$2:$G$801, 0)+1))&lt;&gt;""), TRIM(IF(INT(INDEX(輔助計算!$D:$D, (MATCH(537, 輔助計算!$G$2:$G$801, 0)+1))/IF(INDEX(ERP資料!$G:$G, (MATCH(537, 輔助計算!$G$2:$G$801, 0)+1))&lt;100, IF(INDEX(ERP資料!$G:$G, (MATCH(537, 輔助計算!$G$2:$G$801, 0)+1))&lt;=31,3,IF(INDEX(ERP資料!$G:$G, (MATCH(537, 輔助計算!$G$2:$G$801, 0)+1))&lt;=46.5,2,1)), IF(INDEX(ERP資料!$G:$G, (MATCH(537, 輔助計算!$G$2:$G$801, 0)+1))&lt;=790,3,IF(INDEX(ERP資料!$G:$G, (MATCH(537, 輔助計算!$G$2:$G$801, 0)+1))&lt;=1181,2,1))))&gt;0, IF(IF(INDEX(ERP資料!$G:$G, (MATCH(537, 輔助計算!$G$2:$G$801, 0)+1))&lt;100, IF(INDEX(ERP資料!$G:$G, (MATCH(537, 輔助計算!$G$2:$G$801, 0)+1))&lt;=31,3,IF(INDEX(ERP資料!$G:$G, (MATCH(537, 輔助計算!$G$2:$G$801, 0)+1))&lt;=46.5,2,1)), IF(INDEX(ERP資料!$G:$G, (MATCH(537, 輔助計算!$G$2:$G$801, 0)+1))&lt;=790,3,IF(INDEX(ERP資料!$G:$G, (MATCH(537, 輔助計算!$G$2:$G$801, 0)+1))&lt;=1181,2,1)))=1,TEXT(INDEX(ERP資料!$G:$G, (MATCH(537, 輔助計算!$G$2:$G$801, 0)+1)),"0.##"),IF(IF(INDEX(ERP資料!$G:$G, (MATCH(537, 輔助計算!$G$2:$G$801, 0)+1))&lt;100, IF(INDEX(ERP資料!$G:$G, (MATCH(537, 輔助計算!$G$2:$G$801, 0)+1))&lt;=31,3,IF(INDEX(ERP資料!$G:$G, (MATCH(537, 輔助計算!$G$2:$G$801, 0)+1))&lt;=46.5,2,1)), IF(INDEX(ERP資料!$G:$G, (MATCH(537, 輔助計算!$G$2:$G$801, 0)+1))&lt;=790,3,IF(INDEX(ERP資料!$G:$G, (MATCH(537, 輔助計算!$G$2:$G$801, 0)+1))&lt;=1181,2,1)))=2,TEXT(INDEX(ERP資料!$G:$G, (MATCH(537, 輔助計算!$G$2:$G$801, 0)+1)),"0.##")&amp;"+"&amp;TEXT(INDEX(ERP資料!$G:$G, (MATCH(537, 輔助計算!$G$2:$G$801, 0)+1)),"0.##"),TEXT(INDEX(ERP資料!$G:$G, (MATCH(537, 輔助計算!$G$2:$G$801, 0)+1)),"0.##")&amp;"+"&amp;TEXT(INDEX(ERP資料!$G:$G, (MATCH(537, 輔助計算!$G$2:$G$801, 0)+1)),"0.##")&amp;"+"&amp;TEXT(INDEX(ERP資料!$G:$G, (MATCH(537, 輔助計算!$G$2:$G$801, 0)+1)),"0.##")))&amp;"-"&amp;INT(INDEX(輔助計算!$D:$D, (MATCH(537, 輔助計算!$G$2:$G$801, 0)+1))/IF(INDEX(ERP資料!$G:$G, (MATCH(537, 輔助計算!$G$2:$G$801, 0)+1))&lt;100, IF(INDEX(ERP資料!$G:$G, (MATCH(537, 輔助計算!$G$2:$G$801, 0)+1))&lt;=31,3,IF(INDEX(ERP資料!$G:$G, (MATCH(537, 輔助計算!$G$2:$G$801, 0)+1))&lt;=46.5,2,1)), IF(INDEX(ERP資料!$G:$G, (MATCH(537, 輔助計算!$G$2:$G$801, 0)+1))&lt;=790,3,IF(INDEX(ERP資料!$G:$G, (MATCH(537, 輔助計算!$G$2:$G$801, 0)+1))&lt;=1181,2,1)))), "")&amp;IF(AND(IF(INT(INDEX(輔助計算!$D:$D, (MATCH(537, 輔助計算!$G$2:$G$801, 0)+1))/IF(INDEX(ERP資料!$G:$G, (MATCH(537, 輔助計算!$G$2:$G$801, 0)+1))&lt;100, IF(INDEX(ERP資料!$G:$G, (MATCH(537, 輔助計算!$G$2:$G$801, 0)+1))&lt;=31,3,IF(INDEX(ERP資料!$G:$G, (MATCH(537, 輔助計算!$G$2:$G$801, 0)+1))&lt;=46.5,2,1)), IF(INDEX(ERP資料!$G:$G, (MATCH(537, 輔助計算!$G$2:$G$801, 0)+1))&lt;=790,3,IF(INDEX(ERP資料!$G:$G, (MATCH(537, 輔助計算!$G$2:$G$801, 0)+1))&lt;=1181,2,1))))&gt;0, IF(IF(INDEX(ERP資料!$G:$G, (MATCH(537, 輔助計算!$G$2:$G$801, 0)+1))&lt;100, IF(INDEX(ERP資料!$G:$G, (MATCH(537, 輔助計算!$G$2:$G$801, 0)+1))&lt;=31,3,IF(INDEX(ERP資料!$G:$G, (MATCH(537, 輔助計算!$G$2:$G$801, 0)+1))&lt;=46.5,2,1)), IF(INDEX(ERP資料!$G:$G, (MATCH(537, 輔助計算!$G$2:$G$801, 0)+1))&lt;=790,3,IF(INDEX(ERP資料!$G:$G, (MATCH(537, 輔助計算!$G$2:$G$801, 0)+1))&lt;=1181,2,1)))=1,TEXT(INDEX(ERP資料!$G:$G, (MATCH(537, 輔助計算!$G$2:$G$801, 0)+1)),"0.##"),IF(IF(INDEX(ERP資料!$G:$G, (MATCH(537, 輔助計算!$G$2:$G$801, 0)+1))&lt;100, IF(INDEX(ERP資料!$G:$G, (MATCH(537, 輔助計算!$G$2:$G$801, 0)+1))&lt;=31,3,IF(INDEX(ERP資料!$G:$G, (MATCH(537, 輔助計算!$G$2:$G$801, 0)+1))&lt;=46.5,2,1)), IF(INDEX(ERP資料!$G:$G, (MATCH(537, 輔助計算!$G$2:$G$801, 0)+1))&lt;=790,3,IF(INDEX(ERP資料!$G:$G, (MATCH(537, 輔助計算!$G$2:$G$801, 0)+1))&lt;=1181,2,1)))=2,TEXT(INDEX(ERP資料!$G:$G, (MATCH(537, 輔助計算!$G$2:$G$801, 0)+1)),"0.##")&amp;"+"&amp;TEXT(INDEX(ERP資料!$G:$G, (MATCH(537, 輔助計算!$G$2:$G$801, 0)+1)),"0.##"),TEXT(INDEX(ERP資料!$G:$G, (MATCH(537, 輔助計算!$G$2:$G$801, 0)+1)),"0.##")&amp;"+"&amp;TEXT(INDEX(ERP資料!$G:$G, (MATCH(537, 輔助計算!$G$2:$G$801, 0)+1)),"0.##")&amp;"+"&amp;TEXT(INDEX(ERP資料!$G:$G, (MATCH(537, 輔助計算!$G$2:$G$801, 0)+1)),"0.##")))&amp;"-"&amp;INT(INDEX(輔助計算!$D:$D, (MATCH(537, 輔助計算!$G$2:$G$801, 0)+1))/IF(INDEX(ERP資料!$G:$G, (MATCH(537, 輔助計算!$G$2:$G$801, 0)+1))&lt;100, IF(INDEX(ERP資料!$G:$G, (MATCH(537, 輔助計算!$G$2:$G$801, 0)+1))&lt;=31,3,IF(INDEX(ERP資料!$G:$G, (MATCH(537, 輔助計算!$G$2:$G$801, 0)+1))&lt;=46.5,2,1)), IF(INDEX(ERP資料!$G:$G, (MATCH(537, 輔助計算!$G$2:$G$801, 0)+1))&lt;=790,3,IF(INDEX(ERP資料!$G:$G, (MATCH(537, 輔助計算!$G$2:$G$801, 0)+1))&lt;=1181,2,1)))), "")&lt;&gt;"",IF(MOD(INDEX(輔助計算!$D:$D, (MATCH(537, 輔助計算!$G$2:$G$801, 0)+1)),IF(INDEX(ERP資料!$G:$G, (MATCH(537, 輔助計算!$G$2:$G$801, 0)+1))&lt;100, IF(INDEX(ERP資料!$G:$G, (MATCH(537, 輔助計算!$G$2:$G$801, 0)+1))&lt;=31,3,IF(INDEX(ERP資料!$G:$G, (MATCH(537, 輔助計算!$G$2:$G$801, 0)+1))&lt;=46.5,2,1)), IF(INDEX(ERP資料!$G:$G, (MATCH(537, 輔助計算!$G$2:$G$801, 0)+1))&lt;=790,3,IF(INDEX(ERP資料!$G:$G, (MATCH(537, 輔助計算!$G$2:$G$801, 0)+1))&lt;=1181,2,1))))=0,"",IF(MOD(INDEX(輔助計算!$D:$D, (MATCH(537, 輔助計算!$G$2:$G$801, 0)+1)),IF(INDEX(ERP資料!$G:$G, (MATCH(537, 輔助計算!$G$2:$G$801, 0)+1))&lt;100, IF(INDEX(ERP資料!$G:$G, (MATCH(537, 輔助計算!$G$2:$G$801, 0)+1))&lt;=31,3,IF(INDEX(ERP資料!$G:$G, (MATCH(537, 輔助計算!$G$2:$G$801, 0)+1))&lt;=46.5,2,1)), IF(INDEX(ERP資料!$G:$G, (MATCH(537, 輔助計算!$G$2:$G$801, 0)+1))&lt;=790,3,IF(INDEX(ERP資料!$G:$G, (MATCH(537, 輔助計算!$G$2:$G$801, 0)+1))&lt;=1181,2,1))))=0,"",IF(MOD(INDEX(輔助計算!$D:$D, (MATCH(537, 輔助計算!$G$2:$G$801, 0)+1)),IF(INDEX(ERP資料!$G:$G, (MATCH(537, 輔助計算!$G$2:$G$801, 0)+1))&lt;100, IF(INDEX(ERP資料!$G:$G, (MATCH(537, 輔助計算!$G$2:$G$801, 0)+1))&lt;=31,3,IF(INDEX(ERP資料!$G:$G, (MATCH(537, 輔助計算!$G$2:$G$801, 0)+1))&lt;=46.5,2,1)), IF(INDEX(ERP資料!$G:$G, (MATCH(537, 輔助計算!$G$2:$G$801, 0)+1))&lt;=790,3,IF(INDEX(ERP資料!$G:$G, (MATCH(537, 輔助計算!$G$2:$G$801, 0)+1))&lt;=1181,2,1))))=1,TEXT(INDEX(ERP資料!$G:$G, (MATCH(537, 輔助計算!$G$2:$G$801, 0)+1)),"0.##"),IF(MOD(INDEX(輔助計算!$D:$D, (MATCH(537, 輔助計算!$G$2:$G$801, 0)+1)),IF(INDEX(ERP資料!$G:$G, (MATCH(537, 輔助計算!$G$2:$G$801, 0)+1))&lt;100, IF(INDEX(ERP資料!$G:$G, (MATCH(537, 輔助計算!$G$2:$G$801, 0)+1))&lt;=31,3,IF(INDEX(ERP資料!$G:$G, (MATCH(537, 輔助計算!$G$2:$G$801, 0)+1))&lt;=46.5,2,1)), IF(INDEX(ERP資料!$G:$G, (MATCH(537, 輔助計算!$G$2:$G$801, 0)+1))&lt;=790,3,IF(INDEX(ERP資料!$G:$G, (MATCH(537, 輔助計算!$G$2:$G$801, 0)+1))&lt;=1181,2,1))))=2,TEXT(INDEX(ERP資料!$G:$G, (MATCH(537, 輔助計算!$G$2:$G$801, 0)+1)),"0.##")&amp;"+"&amp;TEXT(INDEX(ERP資料!$G:$G, (MATCH(537, 輔助計算!$G$2:$G$801, 0)+1)),"0.##"),TEXT(INDEX(ERP資料!$G:$G, (MATCH(537, 輔助計算!$G$2:$G$801, 0)+1)),"0.##")&amp;"+"&amp;TEXT(INDEX(ERP資料!$G:$G, (MATCH(537, 輔助計算!$G$2:$G$801, 0)+1)),"0.##")&amp;"+"&amp;TEXT(INDEX(ERP資料!$G:$G, (MATCH(537, 輔助計算!$G$2:$G$801, 0)+1)),"0.##"))))&amp;"-1")&lt;&gt;""),"  ","")&amp;IF(MOD(INDEX(輔助計算!$D:$D, (MATCH(537, 輔助計算!$G$2:$G$801, 0)+1)),IF(INDEX(ERP資料!$G:$G, (MATCH(537, 輔助計算!$G$2:$G$801, 0)+1))&lt;100, IF(INDEX(ERP資料!$G:$G, (MATCH(537, 輔助計算!$G$2:$G$801, 0)+1))&lt;=31,3,IF(INDEX(ERP資料!$G:$G, (MATCH(537, 輔助計算!$G$2:$G$801, 0)+1))&lt;=46.5,2,1)), IF(INDEX(ERP資料!$G:$G, (MATCH(537, 輔助計算!$G$2:$G$801, 0)+1))&lt;=790,3,IF(INDEX(ERP資料!$G:$G, (MATCH(537, 輔助計算!$G$2:$G$801, 0)+1))&lt;=1181,2,1))))=0,"",IF(MOD(INDEX(輔助計算!$D:$D, (MATCH(537, 輔助計算!$G$2:$G$801, 0)+1)),IF(INDEX(ERP資料!$G:$G, (MATCH(537, 輔助計算!$G$2:$G$801, 0)+1))&lt;100, IF(INDEX(ERP資料!$G:$G, (MATCH(537, 輔助計算!$G$2:$G$801, 0)+1))&lt;=31,3,IF(INDEX(ERP資料!$G:$G, (MATCH(537, 輔助計算!$G$2:$G$801, 0)+1))&lt;=46.5,2,1)), IF(INDEX(ERP資料!$G:$G, (MATCH(537, 輔助計算!$G$2:$G$801, 0)+1))&lt;=790,3,IF(INDEX(ERP資料!$G:$G, (MATCH(537, 輔助計算!$G$2:$G$801, 0)+1))&lt;=1181,2,1))))=0,"",IF(MOD(INDEX(輔助計算!$D:$D, (MATCH(537, 輔助計算!$G$2:$G$801, 0)+1)),IF(INDEX(ERP資料!$G:$G, (MATCH(537, 輔助計算!$G$2:$G$801, 0)+1))&lt;100, IF(INDEX(ERP資料!$G:$G, (MATCH(537, 輔助計算!$G$2:$G$801, 0)+1))&lt;=31,3,IF(INDEX(ERP資料!$G:$G, (MATCH(537, 輔助計算!$G$2:$G$801, 0)+1))&lt;=46.5,2,1)), IF(INDEX(ERP資料!$G:$G, (MATCH(537, 輔助計算!$G$2:$G$801, 0)+1))&lt;=790,3,IF(INDEX(ERP資料!$G:$G, (MATCH(537, 輔助計算!$G$2:$G$801, 0)+1))&lt;=1181,2,1))))=1,TEXT(INDEX(ERP資料!$G:$G, (MATCH(537, 輔助計算!$G$2:$G$801, 0)+1)),"0.##"),IF(MOD(INDEX(輔助計算!$D:$D, (MATCH(537, 輔助計算!$G$2:$G$801, 0)+1)),IF(INDEX(ERP資料!$G:$G, (MATCH(537, 輔助計算!$G$2:$G$801, 0)+1))&lt;100, IF(INDEX(ERP資料!$G:$G, (MATCH(537, 輔助計算!$G$2:$G$801, 0)+1))&lt;=31,3,IF(INDEX(ERP資料!$G:$G, (MATCH(537, 輔助計算!$G$2:$G$801, 0)+1))&lt;=46.5,2,1)), IF(INDEX(ERP資料!$G:$G, (MATCH(537, 輔助計算!$G$2:$G$801, 0)+1))&lt;=790,3,IF(INDEX(ERP資料!$G:$G, (MATCH(537, 輔助計算!$G$2:$G$801, 0)+1))&lt;=1181,2,1))))=2,TEXT(INDEX(ERP資料!$G:$G, (MATCH(537, 輔助計算!$G$2:$G$801, 0)+1)),"0.##")&amp;"+"&amp;TEXT(INDEX(ERP資料!$G:$G, (MATCH(537, 輔助計算!$G$2:$G$801, 0)+1)),"0.##"),TEXT(INDEX(ERP資料!$G:$G, (MATCH(537, 輔助計算!$G$2:$G$801, 0)+1)),"0.##")&amp;"+"&amp;TEXT(INDEX(ERP資料!$G:$G, (MATCH(537, 輔助計算!$G$2:$G$801, 0)+1)),"0.##")&amp;"+"&amp;TEXT(INDEX(ERP資料!$G:$G, (MATCH(537, 輔助計算!$G$2:$G$801, 0)+1)),"0.##"))))&amp;"-1")), ""), "")</f>
        <v/>
      </c>
      <c r="K538" s="16" t="n"/>
      <c r="L538" s="14">
        <f>IFERROR(IF(AND(IFERROR(INDEX(ERP資料!$A:$A, (MATCH(537, 輔助計算!$G$2:$G$801, 0)+1)), "")&lt;&gt;"", IFERROR(INDEX(ERP資料!$A:$A, (MATCH(537, 輔助計算!$G$2:$G$801, 0)+1)), "")&lt;&gt;IFERROR(INDEX(ERP資料!$A:$A, MATCH(536, 輔助計算!$G$2:$G$801, 0)+1), "")), INDEX(ERP資料!$B:$B, (MATCH(537, 輔助計算!$G$2:$G$801, 0)+1)), ""), "")</f>
        <v/>
      </c>
      <c r="M538" s="17" t="n"/>
    </row>
    <row r="539">
      <c r="A539" s="10">
        <f>IFERROR(IF(AND(IFERROR(INDEX(ERP資料!$A:$A, (MATCH(538, 輔助計算!$G$2:$G$801, 0)+1)), "")&lt;&gt;"", IFERROR(INDEX(ERP資料!$A:$A, (MATCH(538, 輔助計算!$G$2:$G$801, 0)+1)), "")&lt;&gt;IFERROR(INDEX(ERP資料!$A:$A, MATCH(537, 輔助計算!$G$2:$G$801, 0)+1), "")), IFERROR(INDEX(ERP資料!$A:$A, (MATCH(538, 輔助計算!$G$2:$G$801, 0)+1)), ""), ""), "")</f>
        <v/>
      </c>
      <c r="B539" s="10">
        <f>IFERROR(IF(AND(IFERROR(INDEX(ERP資料!$A:$A, (MATCH(538, 輔助計算!$G$2:$G$801, 0)+1)), "")&lt;&gt;"", IFERROR(INDEX(ERP資料!$A:$A, (MATCH(538, 輔助計算!$G$2:$G$801, 0)+1)), "")&lt;&gt;IFERROR(INDEX(ERP資料!$A:$A, MATCH(537, 輔助計算!$G$2:$G$801, 0)+1), "")), INDEX(ERP資料!$S:$S, (MATCH(538, 輔助計算!$G$2:$G$801, 0)+1)), ""), "")</f>
        <v/>
      </c>
      <c r="C539" s="19">
        <f>IFERROR(IF(AND(IFERROR(INDEX(ERP資料!$A:$A, (MATCH(538, 輔助計算!$G$2:$G$801, 0)+1)), "")&lt;&gt;"", IFERROR(INDEX(ERP資料!$A:$A, (MATCH(538, 輔助計算!$G$2:$G$801, 0)+1)), "")&lt;&gt;IFERROR(INDEX(ERP資料!$A:$A, MATCH(537, 輔助計算!$G$2:$G$801, 0)+1), "")), IFERROR(VLOOKUP(LEFT(INDEX(ERP資料!$S:$S, (MATCH(538, 輔助計算!$G$2:$G$801, 0)+1)), 4), 紙管對照表!$A:$C, 3, FALSE), ""), ""), "")</f>
        <v/>
      </c>
      <c r="D539" s="16" t="n"/>
      <c r="E539" s="10">
        <f>IFERROR(IF(INDEX(ERP資料!$H:$H, (MATCH(538, 輔助計算!$G$2:$G$801, 0)+1))="","",INDEX(ERP資料!$H:$H, (MATCH(538, 輔助計算!$G$2:$G$801, 0)+1))), "")</f>
        <v/>
      </c>
      <c r="F539" s="10">
        <f>IFERROR(IF(INDEX(ERP資料!$E:$E, (MATCH(538, 輔助計算!$G$2:$G$801, 0)+1))="","",TRIM(INDEX(ERP資料!$E:$E, (MATCH(538, 輔助計算!$G$2:$G$801, 0)+1)))), "")</f>
        <v/>
      </c>
      <c r="G539" s="10">
        <f>IFERROR(IF(INDEX(ERP資料!$F:$F, (MATCH(538, 輔助計算!$G$2:$G$801, 0)+1))="","",INDEX(ERP資料!$F:$F, (MATCH(538, 輔助計算!$G$2:$G$801, 0)+1))), "")</f>
        <v/>
      </c>
      <c r="H539" s="10">
        <f>IFERROR(IF(INDEX(ERP資料!$G:$G, (MATCH(538, 輔助計算!$G$2:$G$801, 0)+1))="","",INDEX(ERP資料!$G:$G, (MATCH(538, 輔助計算!$G$2:$G$801, 0)+1))), "")</f>
        <v/>
      </c>
      <c r="I539" s="15">
        <f>IFERROR(INDEX(輔助計算!$D:$D, (MATCH(538, 輔助計算!$G$2:$G$801, 0)+1)), "")</f>
        <v/>
      </c>
      <c r="J539" s="15">
        <f>IFERROR(IF(AND(INDEX(輔助計算!$D:$D, (MATCH(538, 輔助計算!$G$2:$G$801, 0)+1))&lt;&gt;"", INDEX(ERP資料!$G:$G, (MATCH(538, 輔助計算!$G$2:$G$801, 0)+1))&lt;&gt;""), TRIM(IF(INT(INDEX(輔助計算!$D:$D, (MATCH(538, 輔助計算!$G$2:$G$801, 0)+1))/IF(INDEX(ERP資料!$G:$G, (MATCH(538, 輔助計算!$G$2:$G$801, 0)+1))&lt;100, IF(INDEX(ERP資料!$G:$G, (MATCH(538, 輔助計算!$G$2:$G$801, 0)+1))&lt;=31,3,IF(INDEX(ERP資料!$G:$G, (MATCH(538, 輔助計算!$G$2:$G$801, 0)+1))&lt;=46.5,2,1)), IF(INDEX(ERP資料!$G:$G, (MATCH(538, 輔助計算!$G$2:$G$801, 0)+1))&lt;=790,3,IF(INDEX(ERP資料!$G:$G, (MATCH(538, 輔助計算!$G$2:$G$801, 0)+1))&lt;=1181,2,1))))&gt;0, IF(IF(INDEX(ERP資料!$G:$G, (MATCH(538, 輔助計算!$G$2:$G$801, 0)+1))&lt;100, IF(INDEX(ERP資料!$G:$G, (MATCH(538, 輔助計算!$G$2:$G$801, 0)+1))&lt;=31,3,IF(INDEX(ERP資料!$G:$G, (MATCH(538, 輔助計算!$G$2:$G$801, 0)+1))&lt;=46.5,2,1)), IF(INDEX(ERP資料!$G:$G, (MATCH(538, 輔助計算!$G$2:$G$801, 0)+1))&lt;=790,3,IF(INDEX(ERP資料!$G:$G, (MATCH(538, 輔助計算!$G$2:$G$801, 0)+1))&lt;=1181,2,1)))=1,TEXT(INDEX(ERP資料!$G:$G, (MATCH(538, 輔助計算!$G$2:$G$801, 0)+1)),"0.##"),IF(IF(INDEX(ERP資料!$G:$G, (MATCH(538, 輔助計算!$G$2:$G$801, 0)+1))&lt;100, IF(INDEX(ERP資料!$G:$G, (MATCH(538, 輔助計算!$G$2:$G$801, 0)+1))&lt;=31,3,IF(INDEX(ERP資料!$G:$G, (MATCH(538, 輔助計算!$G$2:$G$801, 0)+1))&lt;=46.5,2,1)), IF(INDEX(ERP資料!$G:$G, (MATCH(538, 輔助計算!$G$2:$G$801, 0)+1))&lt;=790,3,IF(INDEX(ERP資料!$G:$G, (MATCH(538, 輔助計算!$G$2:$G$801, 0)+1))&lt;=1181,2,1)))=2,TEXT(INDEX(ERP資料!$G:$G, (MATCH(538, 輔助計算!$G$2:$G$801, 0)+1)),"0.##")&amp;"+"&amp;TEXT(INDEX(ERP資料!$G:$G, (MATCH(538, 輔助計算!$G$2:$G$801, 0)+1)),"0.##"),TEXT(INDEX(ERP資料!$G:$G, (MATCH(538, 輔助計算!$G$2:$G$801, 0)+1)),"0.##")&amp;"+"&amp;TEXT(INDEX(ERP資料!$G:$G, (MATCH(538, 輔助計算!$G$2:$G$801, 0)+1)),"0.##")&amp;"+"&amp;TEXT(INDEX(ERP資料!$G:$G, (MATCH(538, 輔助計算!$G$2:$G$801, 0)+1)),"0.##")))&amp;"-"&amp;INT(INDEX(輔助計算!$D:$D, (MATCH(538, 輔助計算!$G$2:$G$801, 0)+1))/IF(INDEX(ERP資料!$G:$G, (MATCH(538, 輔助計算!$G$2:$G$801, 0)+1))&lt;100, IF(INDEX(ERP資料!$G:$G, (MATCH(538, 輔助計算!$G$2:$G$801, 0)+1))&lt;=31,3,IF(INDEX(ERP資料!$G:$G, (MATCH(538, 輔助計算!$G$2:$G$801, 0)+1))&lt;=46.5,2,1)), IF(INDEX(ERP資料!$G:$G, (MATCH(538, 輔助計算!$G$2:$G$801, 0)+1))&lt;=790,3,IF(INDEX(ERP資料!$G:$G, (MATCH(538, 輔助計算!$G$2:$G$801, 0)+1))&lt;=1181,2,1)))), "")&amp;IF(AND(IF(INT(INDEX(輔助計算!$D:$D, (MATCH(538, 輔助計算!$G$2:$G$801, 0)+1))/IF(INDEX(ERP資料!$G:$G, (MATCH(538, 輔助計算!$G$2:$G$801, 0)+1))&lt;100, IF(INDEX(ERP資料!$G:$G, (MATCH(538, 輔助計算!$G$2:$G$801, 0)+1))&lt;=31,3,IF(INDEX(ERP資料!$G:$G, (MATCH(538, 輔助計算!$G$2:$G$801, 0)+1))&lt;=46.5,2,1)), IF(INDEX(ERP資料!$G:$G, (MATCH(538, 輔助計算!$G$2:$G$801, 0)+1))&lt;=790,3,IF(INDEX(ERP資料!$G:$G, (MATCH(538, 輔助計算!$G$2:$G$801, 0)+1))&lt;=1181,2,1))))&gt;0, IF(IF(INDEX(ERP資料!$G:$G, (MATCH(538, 輔助計算!$G$2:$G$801, 0)+1))&lt;100, IF(INDEX(ERP資料!$G:$G, (MATCH(538, 輔助計算!$G$2:$G$801, 0)+1))&lt;=31,3,IF(INDEX(ERP資料!$G:$G, (MATCH(538, 輔助計算!$G$2:$G$801, 0)+1))&lt;=46.5,2,1)), IF(INDEX(ERP資料!$G:$G, (MATCH(538, 輔助計算!$G$2:$G$801, 0)+1))&lt;=790,3,IF(INDEX(ERP資料!$G:$G, (MATCH(538, 輔助計算!$G$2:$G$801, 0)+1))&lt;=1181,2,1)))=1,TEXT(INDEX(ERP資料!$G:$G, (MATCH(538, 輔助計算!$G$2:$G$801, 0)+1)),"0.##"),IF(IF(INDEX(ERP資料!$G:$G, (MATCH(538, 輔助計算!$G$2:$G$801, 0)+1))&lt;100, IF(INDEX(ERP資料!$G:$G, (MATCH(538, 輔助計算!$G$2:$G$801, 0)+1))&lt;=31,3,IF(INDEX(ERP資料!$G:$G, (MATCH(538, 輔助計算!$G$2:$G$801, 0)+1))&lt;=46.5,2,1)), IF(INDEX(ERP資料!$G:$G, (MATCH(538, 輔助計算!$G$2:$G$801, 0)+1))&lt;=790,3,IF(INDEX(ERP資料!$G:$G, (MATCH(538, 輔助計算!$G$2:$G$801, 0)+1))&lt;=1181,2,1)))=2,TEXT(INDEX(ERP資料!$G:$G, (MATCH(538, 輔助計算!$G$2:$G$801, 0)+1)),"0.##")&amp;"+"&amp;TEXT(INDEX(ERP資料!$G:$G, (MATCH(538, 輔助計算!$G$2:$G$801, 0)+1)),"0.##"),TEXT(INDEX(ERP資料!$G:$G, (MATCH(538, 輔助計算!$G$2:$G$801, 0)+1)),"0.##")&amp;"+"&amp;TEXT(INDEX(ERP資料!$G:$G, (MATCH(538, 輔助計算!$G$2:$G$801, 0)+1)),"0.##")&amp;"+"&amp;TEXT(INDEX(ERP資料!$G:$G, (MATCH(538, 輔助計算!$G$2:$G$801, 0)+1)),"0.##")))&amp;"-"&amp;INT(INDEX(輔助計算!$D:$D, (MATCH(538, 輔助計算!$G$2:$G$801, 0)+1))/IF(INDEX(ERP資料!$G:$G, (MATCH(538, 輔助計算!$G$2:$G$801, 0)+1))&lt;100, IF(INDEX(ERP資料!$G:$G, (MATCH(538, 輔助計算!$G$2:$G$801, 0)+1))&lt;=31,3,IF(INDEX(ERP資料!$G:$G, (MATCH(538, 輔助計算!$G$2:$G$801, 0)+1))&lt;=46.5,2,1)), IF(INDEX(ERP資料!$G:$G, (MATCH(538, 輔助計算!$G$2:$G$801, 0)+1))&lt;=790,3,IF(INDEX(ERP資料!$G:$G, (MATCH(538, 輔助計算!$G$2:$G$801, 0)+1))&lt;=1181,2,1)))), "")&lt;&gt;"",IF(MOD(INDEX(輔助計算!$D:$D, (MATCH(538, 輔助計算!$G$2:$G$801, 0)+1)),IF(INDEX(ERP資料!$G:$G, (MATCH(538, 輔助計算!$G$2:$G$801, 0)+1))&lt;100, IF(INDEX(ERP資料!$G:$G, (MATCH(538, 輔助計算!$G$2:$G$801, 0)+1))&lt;=31,3,IF(INDEX(ERP資料!$G:$G, (MATCH(538, 輔助計算!$G$2:$G$801, 0)+1))&lt;=46.5,2,1)), IF(INDEX(ERP資料!$G:$G, (MATCH(538, 輔助計算!$G$2:$G$801, 0)+1))&lt;=790,3,IF(INDEX(ERP資料!$G:$G, (MATCH(538, 輔助計算!$G$2:$G$801, 0)+1))&lt;=1181,2,1))))=0,"",IF(MOD(INDEX(輔助計算!$D:$D, (MATCH(538, 輔助計算!$G$2:$G$801, 0)+1)),IF(INDEX(ERP資料!$G:$G, (MATCH(538, 輔助計算!$G$2:$G$801, 0)+1))&lt;100, IF(INDEX(ERP資料!$G:$G, (MATCH(538, 輔助計算!$G$2:$G$801, 0)+1))&lt;=31,3,IF(INDEX(ERP資料!$G:$G, (MATCH(538, 輔助計算!$G$2:$G$801, 0)+1))&lt;=46.5,2,1)), IF(INDEX(ERP資料!$G:$G, (MATCH(538, 輔助計算!$G$2:$G$801, 0)+1))&lt;=790,3,IF(INDEX(ERP資料!$G:$G, (MATCH(538, 輔助計算!$G$2:$G$801, 0)+1))&lt;=1181,2,1))))=0,"",IF(MOD(INDEX(輔助計算!$D:$D, (MATCH(538, 輔助計算!$G$2:$G$801, 0)+1)),IF(INDEX(ERP資料!$G:$G, (MATCH(538, 輔助計算!$G$2:$G$801, 0)+1))&lt;100, IF(INDEX(ERP資料!$G:$G, (MATCH(538, 輔助計算!$G$2:$G$801, 0)+1))&lt;=31,3,IF(INDEX(ERP資料!$G:$G, (MATCH(538, 輔助計算!$G$2:$G$801, 0)+1))&lt;=46.5,2,1)), IF(INDEX(ERP資料!$G:$G, (MATCH(538, 輔助計算!$G$2:$G$801, 0)+1))&lt;=790,3,IF(INDEX(ERP資料!$G:$G, (MATCH(538, 輔助計算!$G$2:$G$801, 0)+1))&lt;=1181,2,1))))=1,TEXT(INDEX(ERP資料!$G:$G, (MATCH(538, 輔助計算!$G$2:$G$801, 0)+1)),"0.##"),IF(MOD(INDEX(輔助計算!$D:$D, (MATCH(538, 輔助計算!$G$2:$G$801, 0)+1)),IF(INDEX(ERP資料!$G:$G, (MATCH(538, 輔助計算!$G$2:$G$801, 0)+1))&lt;100, IF(INDEX(ERP資料!$G:$G, (MATCH(538, 輔助計算!$G$2:$G$801, 0)+1))&lt;=31,3,IF(INDEX(ERP資料!$G:$G, (MATCH(538, 輔助計算!$G$2:$G$801, 0)+1))&lt;=46.5,2,1)), IF(INDEX(ERP資料!$G:$G, (MATCH(538, 輔助計算!$G$2:$G$801, 0)+1))&lt;=790,3,IF(INDEX(ERP資料!$G:$G, (MATCH(538, 輔助計算!$G$2:$G$801, 0)+1))&lt;=1181,2,1))))=2,TEXT(INDEX(ERP資料!$G:$G, (MATCH(538, 輔助計算!$G$2:$G$801, 0)+1)),"0.##")&amp;"+"&amp;TEXT(INDEX(ERP資料!$G:$G, (MATCH(538, 輔助計算!$G$2:$G$801, 0)+1)),"0.##"),TEXT(INDEX(ERP資料!$G:$G, (MATCH(538, 輔助計算!$G$2:$G$801, 0)+1)),"0.##")&amp;"+"&amp;TEXT(INDEX(ERP資料!$G:$G, (MATCH(538, 輔助計算!$G$2:$G$801, 0)+1)),"0.##")&amp;"+"&amp;TEXT(INDEX(ERP資料!$G:$G, (MATCH(538, 輔助計算!$G$2:$G$801, 0)+1)),"0.##"))))&amp;"-1")&lt;&gt;""),"  ","")&amp;IF(MOD(INDEX(輔助計算!$D:$D, (MATCH(538, 輔助計算!$G$2:$G$801, 0)+1)),IF(INDEX(ERP資料!$G:$G, (MATCH(538, 輔助計算!$G$2:$G$801, 0)+1))&lt;100, IF(INDEX(ERP資料!$G:$G, (MATCH(538, 輔助計算!$G$2:$G$801, 0)+1))&lt;=31,3,IF(INDEX(ERP資料!$G:$G, (MATCH(538, 輔助計算!$G$2:$G$801, 0)+1))&lt;=46.5,2,1)), IF(INDEX(ERP資料!$G:$G, (MATCH(538, 輔助計算!$G$2:$G$801, 0)+1))&lt;=790,3,IF(INDEX(ERP資料!$G:$G, (MATCH(538, 輔助計算!$G$2:$G$801, 0)+1))&lt;=1181,2,1))))=0,"",IF(MOD(INDEX(輔助計算!$D:$D, (MATCH(538, 輔助計算!$G$2:$G$801, 0)+1)),IF(INDEX(ERP資料!$G:$G, (MATCH(538, 輔助計算!$G$2:$G$801, 0)+1))&lt;100, IF(INDEX(ERP資料!$G:$G, (MATCH(538, 輔助計算!$G$2:$G$801, 0)+1))&lt;=31,3,IF(INDEX(ERP資料!$G:$G, (MATCH(538, 輔助計算!$G$2:$G$801, 0)+1))&lt;=46.5,2,1)), IF(INDEX(ERP資料!$G:$G, (MATCH(538, 輔助計算!$G$2:$G$801, 0)+1))&lt;=790,3,IF(INDEX(ERP資料!$G:$G, (MATCH(538, 輔助計算!$G$2:$G$801, 0)+1))&lt;=1181,2,1))))=0,"",IF(MOD(INDEX(輔助計算!$D:$D, (MATCH(538, 輔助計算!$G$2:$G$801, 0)+1)),IF(INDEX(ERP資料!$G:$G, (MATCH(538, 輔助計算!$G$2:$G$801, 0)+1))&lt;100, IF(INDEX(ERP資料!$G:$G, (MATCH(538, 輔助計算!$G$2:$G$801, 0)+1))&lt;=31,3,IF(INDEX(ERP資料!$G:$G, (MATCH(538, 輔助計算!$G$2:$G$801, 0)+1))&lt;=46.5,2,1)), IF(INDEX(ERP資料!$G:$G, (MATCH(538, 輔助計算!$G$2:$G$801, 0)+1))&lt;=790,3,IF(INDEX(ERP資料!$G:$G, (MATCH(538, 輔助計算!$G$2:$G$801, 0)+1))&lt;=1181,2,1))))=1,TEXT(INDEX(ERP資料!$G:$G, (MATCH(538, 輔助計算!$G$2:$G$801, 0)+1)),"0.##"),IF(MOD(INDEX(輔助計算!$D:$D, (MATCH(538, 輔助計算!$G$2:$G$801, 0)+1)),IF(INDEX(ERP資料!$G:$G, (MATCH(538, 輔助計算!$G$2:$G$801, 0)+1))&lt;100, IF(INDEX(ERP資料!$G:$G, (MATCH(538, 輔助計算!$G$2:$G$801, 0)+1))&lt;=31,3,IF(INDEX(ERP資料!$G:$G, (MATCH(538, 輔助計算!$G$2:$G$801, 0)+1))&lt;=46.5,2,1)), IF(INDEX(ERP資料!$G:$G, (MATCH(538, 輔助計算!$G$2:$G$801, 0)+1))&lt;=790,3,IF(INDEX(ERP資料!$G:$G, (MATCH(538, 輔助計算!$G$2:$G$801, 0)+1))&lt;=1181,2,1))))=2,TEXT(INDEX(ERP資料!$G:$G, (MATCH(538, 輔助計算!$G$2:$G$801, 0)+1)),"0.##")&amp;"+"&amp;TEXT(INDEX(ERP資料!$G:$G, (MATCH(538, 輔助計算!$G$2:$G$801, 0)+1)),"0.##"),TEXT(INDEX(ERP資料!$G:$G, (MATCH(538, 輔助計算!$G$2:$G$801, 0)+1)),"0.##")&amp;"+"&amp;TEXT(INDEX(ERP資料!$G:$G, (MATCH(538, 輔助計算!$G$2:$G$801, 0)+1)),"0.##")&amp;"+"&amp;TEXT(INDEX(ERP資料!$G:$G, (MATCH(538, 輔助計算!$G$2:$G$801, 0)+1)),"0.##"))))&amp;"-1")), ""), "")</f>
        <v/>
      </c>
      <c r="K539" s="16" t="n"/>
      <c r="L539" s="14">
        <f>IFERROR(IF(AND(IFERROR(INDEX(ERP資料!$A:$A, (MATCH(538, 輔助計算!$G$2:$G$801, 0)+1)), "")&lt;&gt;"", IFERROR(INDEX(ERP資料!$A:$A, (MATCH(538, 輔助計算!$G$2:$G$801, 0)+1)), "")&lt;&gt;IFERROR(INDEX(ERP資料!$A:$A, MATCH(537, 輔助計算!$G$2:$G$801, 0)+1), "")), INDEX(ERP資料!$B:$B, (MATCH(538, 輔助計算!$G$2:$G$801, 0)+1)), ""), "")</f>
        <v/>
      </c>
      <c r="M539" s="17" t="n"/>
    </row>
    <row r="540">
      <c r="A540" s="10">
        <f>IFERROR(IF(AND(IFERROR(INDEX(ERP資料!$A:$A, (MATCH(539, 輔助計算!$G$2:$G$801, 0)+1)), "")&lt;&gt;"", IFERROR(INDEX(ERP資料!$A:$A, (MATCH(539, 輔助計算!$G$2:$G$801, 0)+1)), "")&lt;&gt;IFERROR(INDEX(ERP資料!$A:$A, MATCH(538, 輔助計算!$G$2:$G$801, 0)+1), "")), IFERROR(INDEX(ERP資料!$A:$A, (MATCH(539, 輔助計算!$G$2:$G$801, 0)+1)), ""), ""), "")</f>
        <v/>
      </c>
      <c r="B540" s="10">
        <f>IFERROR(IF(AND(IFERROR(INDEX(ERP資料!$A:$A, (MATCH(539, 輔助計算!$G$2:$G$801, 0)+1)), "")&lt;&gt;"", IFERROR(INDEX(ERP資料!$A:$A, (MATCH(539, 輔助計算!$G$2:$G$801, 0)+1)), "")&lt;&gt;IFERROR(INDEX(ERP資料!$A:$A, MATCH(538, 輔助計算!$G$2:$G$801, 0)+1), "")), INDEX(ERP資料!$S:$S, (MATCH(539, 輔助計算!$G$2:$G$801, 0)+1)), ""), "")</f>
        <v/>
      </c>
      <c r="C540" s="19">
        <f>IFERROR(IF(AND(IFERROR(INDEX(ERP資料!$A:$A, (MATCH(539, 輔助計算!$G$2:$G$801, 0)+1)), "")&lt;&gt;"", IFERROR(INDEX(ERP資料!$A:$A, (MATCH(539, 輔助計算!$G$2:$G$801, 0)+1)), "")&lt;&gt;IFERROR(INDEX(ERP資料!$A:$A, MATCH(538, 輔助計算!$G$2:$G$801, 0)+1), "")), IFERROR(VLOOKUP(LEFT(INDEX(ERP資料!$S:$S, (MATCH(539, 輔助計算!$G$2:$G$801, 0)+1)), 4), 紙管對照表!$A:$C, 3, FALSE), ""), ""), "")</f>
        <v/>
      </c>
      <c r="D540" s="16" t="n"/>
      <c r="E540" s="10">
        <f>IFERROR(IF(INDEX(ERP資料!$H:$H, (MATCH(539, 輔助計算!$G$2:$G$801, 0)+1))="","",INDEX(ERP資料!$H:$H, (MATCH(539, 輔助計算!$G$2:$G$801, 0)+1))), "")</f>
        <v/>
      </c>
      <c r="F540" s="10">
        <f>IFERROR(IF(INDEX(ERP資料!$E:$E, (MATCH(539, 輔助計算!$G$2:$G$801, 0)+1))="","",TRIM(INDEX(ERP資料!$E:$E, (MATCH(539, 輔助計算!$G$2:$G$801, 0)+1)))), "")</f>
        <v/>
      </c>
      <c r="G540" s="10">
        <f>IFERROR(IF(INDEX(ERP資料!$F:$F, (MATCH(539, 輔助計算!$G$2:$G$801, 0)+1))="","",INDEX(ERP資料!$F:$F, (MATCH(539, 輔助計算!$G$2:$G$801, 0)+1))), "")</f>
        <v/>
      </c>
      <c r="H540" s="10">
        <f>IFERROR(IF(INDEX(ERP資料!$G:$G, (MATCH(539, 輔助計算!$G$2:$G$801, 0)+1))="","",INDEX(ERP資料!$G:$G, (MATCH(539, 輔助計算!$G$2:$G$801, 0)+1))), "")</f>
        <v/>
      </c>
      <c r="I540" s="15">
        <f>IFERROR(INDEX(輔助計算!$D:$D, (MATCH(539, 輔助計算!$G$2:$G$801, 0)+1)), "")</f>
        <v/>
      </c>
      <c r="J540" s="15">
        <f>IFERROR(IF(AND(INDEX(輔助計算!$D:$D, (MATCH(539, 輔助計算!$G$2:$G$801, 0)+1))&lt;&gt;"", INDEX(ERP資料!$G:$G, (MATCH(539, 輔助計算!$G$2:$G$801, 0)+1))&lt;&gt;""), TRIM(IF(INT(INDEX(輔助計算!$D:$D, (MATCH(539, 輔助計算!$G$2:$G$801, 0)+1))/IF(INDEX(ERP資料!$G:$G, (MATCH(539, 輔助計算!$G$2:$G$801, 0)+1))&lt;100, IF(INDEX(ERP資料!$G:$G, (MATCH(539, 輔助計算!$G$2:$G$801, 0)+1))&lt;=31,3,IF(INDEX(ERP資料!$G:$G, (MATCH(539, 輔助計算!$G$2:$G$801, 0)+1))&lt;=46.5,2,1)), IF(INDEX(ERP資料!$G:$G, (MATCH(539, 輔助計算!$G$2:$G$801, 0)+1))&lt;=790,3,IF(INDEX(ERP資料!$G:$G, (MATCH(539, 輔助計算!$G$2:$G$801, 0)+1))&lt;=1181,2,1))))&gt;0, IF(IF(INDEX(ERP資料!$G:$G, (MATCH(539, 輔助計算!$G$2:$G$801, 0)+1))&lt;100, IF(INDEX(ERP資料!$G:$G, (MATCH(539, 輔助計算!$G$2:$G$801, 0)+1))&lt;=31,3,IF(INDEX(ERP資料!$G:$G, (MATCH(539, 輔助計算!$G$2:$G$801, 0)+1))&lt;=46.5,2,1)), IF(INDEX(ERP資料!$G:$G, (MATCH(539, 輔助計算!$G$2:$G$801, 0)+1))&lt;=790,3,IF(INDEX(ERP資料!$G:$G, (MATCH(539, 輔助計算!$G$2:$G$801, 0)+1))&lt;=1181,2,1)))=1,TEXT(INDEX(ERP資料!$G:$G, (MATCH(539, 輔助計算!$G$2:$G$801, 0)+1)),"0.##"),IF(IF(INDEX(ERP資料!$G:$G, (MATCH(539, 輔助計算!$G$2:$G$801, 0)+1))&lt;100, IF(INDEX(ERP資料!$G:$G, (MATCH(539, 輔助計算!$G$2:$G$801, 0)+1))&lt;=31,3,IF(INDEX(ERP資料!$G:$G, (MATCH(539, 輔助計算!$G$2:$G$801, 0)+1))&lt;=46.5,2,1)), IF(INDEX(ERP資料!$G:$G, (MATCH(539, 輔助計算!$G$2:$G$801, 0)+1))&lt;=790,3,IF(INDEX(ERP資料!$G:$G, (MATCH(539, 輔助計算!$G$2:$G$801, 0)+1))&lt;=1181,2,1)))=2,TEXT(INDEX(ERP資料!$G:$G, (MATCH(539, 輔助計算!$G$2:$G$801, 0)+1)),"0.##")&amp;"+"&amp;TEXT(INDEX(ERP資料!$G:$G, (MATCH(539, 輔助計算!$G$2:$G$801, 0)+1)),"0.##"),TEXT(INDEX(ERP資料!$G:$G, (MATCH(539, 輔助計算!$G$2:$G$801, 0)+1)),"0.##")&amp;"+"&amp;TEXT(INDEX(ERP資料!$G:$G, (MATCH(539, 輔助計算!$G$2:$G$801, 0)+1)),"0.##")&amp;"+"&amp;TEXT(INDEX(ERP資料!$G:$G, (MATCH(539, 輔助計算!$G$2:$G$801, 0)+1)),"0.##")))&amp;"-"&amp;INT(INDEX(輔助計算!$D:$D, (MATCH(539, 輔助計算!$G$2:$G$801, 0)+1))/IF(INDEX(ERP資料!$G:$G, (MATCH(539, 輔助計算!$G$2:$G$801, 0)+1))&lt;100, IF(INDEX(ERP資料!$G:$G, (MATCH(539, 輔助計算!$G$2:$G$801, 0)+1))&lt;=31,3,IF(INDEX(ERP資料!$G:$G, (MATCH(539, 輔助計算!$G$2:$G$801, 0)+1))&lt;=46.5,2,1)), IF(INDEX(ERP資料!$G:$G, (MATCH(539, 輔助計算!$G$2:$G$801, 0)+1))&lt;=790,3,IF(INDEX(ERP資料!$G:$G, (MATCH(539, 輔助計算!$G$2:$G$801, 0)+1))&lt;=1181,2,1)))), "")&amp;IF(AND(IF(INT(INDEX(輔助計算!$D:$D, (MATCH(539, 輔助計算!$G$2:$G$801, 0)+1))/IF(INDEX(ERP資料!$G:$G, (MATCH(539, 輔助計算!$G$2:$G$801, 0)+1))&lt;100, IF(INDEX(ERP資料!$G:$G, (MATCH(539, 輔助計算!$G$2:$G$801, 0)+1))&lt;=31,3,IF(INDEX(ERP資料!$G:$G, (MATCH(539, 輔助計算!$G$2:$G$801, 0)+1))&lt;=46.5,2,1)), IF(INDEX(ERP資料!$G:$G, (MATCH(539, 輔助計算!$G$2:$G$801, 0)+1))&lt;=790,3,IF(INDEX(ERP資料!$G:$G, (MATCH(539, 輔助計算!$G$2:$G$801, 0)+1))&lt;=1181,2,1))))&gt;0, IF(IF(INDEX(ERP資料!$G:$G, (MATCH(539, 輔助計算!$G$2:$G$801, 0)+1))&lt;100, IF(INDEX(ERP資料!$G:$G, (MATCH(539, 輔助計算!$G$2:$G$801, 0)+1))&lt;=31,3,IF(INDEX(ERP資料!$G:$G, (MATCH(539, 輔助計算!$G$2:$G$801, 0)+1))&lt;=46.5,2,1)), IF(INDEX(ERP資料!$G:$G, (MATCH(539, 輔助計算!$G$2:$G$801, 0)+1))&lt;=790,3,IF(INDEX(ERP資料!$G:$G, (MATCH(539, 輔助計算!$G$2:$G$801, 0)+1))&lt;=1181,2,1)))=1,TEXT(INDEX(ERP資料!$G:$G, (MATCH(539, 輔助計算!$G$2:$G$801, 0)+1)),"0.##"),IF(IF(INDEX(ERP資料!$G:$G, (MATCH(539, 輔助計算!$G$2:$G$801, 0)+1))&lt;100, IF(INDEX(ERP資料!$G:$G, (MATCH(539, 輔助計算!$G$2:$G$801, 0)+1))&lt;=31,3,IF(INDEX(ERP資料!$G:$G, (MATCH(539, 輔助計算!$G$2:$G$801, 0)+1))&lt;=46.5,2,1)), IF(INDEX(ERP資料!$G:$G, (MATCH(539, 輔助計算!$G$2:$G$801, 0)+1))&lt;=790,3,IF(INDEX(ERP資料!$G:$G, (MATCH(539, 輔助計算!$G$2:$G$801, 0)+1))&lt;=1181,2,1)))=2,TEXT(INDEX(ERP資料!$G:$G, (MATCH(539, 輔助計算!$G$2:$G$801, 0)+1)),"0.##")&amp;"+"&amp;TEXT(INDEX(ERP資料!$G:$G, (MATCH(539, 輔助計算!$G$2:$G$801, 0)+1)),"0.##"),TEXT(INDEX(ERP資料!$G:$G, (MATCH(539, 輔助計算!$G$2:$G$801, 0)+1)),"0.##")&amp;"+"&amp;TEXT(INDEX(ERP資料!$G:$G, (MATCH(539, 輔助計算!$G$2:$G$801, 0)+1)),"0.##")&amp;"+"&amp;TEXT(INDEX(ERP資料!$G:$G, (MATCH(539, 輔助計算!$G$2:$G$801, 0)+1)),"0.##")))&amp;"-"&amp;INT(INDEX(輔助計算!$D:$D, (MATCH(539, 輔助計算!$G$2:$G$801, 0)+1))/IF(INDEX(ERP資料!$G:$G, (MATCH(539, 輔助計算!$G$2:$G$801, 0)+1))&lt;100, IF(INDEX(ERP資料!$G:$G, (MATCH(539, 輔助計算!$G$2:$G$801, 0)+1))&lt;=31,3,IF(INDEX(ERP資料!$G:$G, (MATCH(539, 輔助計算!$G$2:$G$801, 0)+1))&lt;=46.5,2,1)), IF(INDEX(ERP資料!$G:$G, (MATCH(539, 輔助計算!$G$2:$G$801, 0)+1))&lt;=790,3,IF(INDEX(ERP資料!$G:$G, (MATCH(539, 輔助計算!$G$2:$G$801, 0)+1))&lt;=1181,2,1)))), "")&lt;&gt;"",IF(MOD(INDEX(輔助計算!$D:$D, (MATCH(539, 輔助計算!$G$2:$G$801, 0)+1)),IF(INDEX(ERP資料!$G:$G, (MATCH(539, 輔助計算!$G$2:$G$801, 0)+1))&lt;100, IF(INDEX(ERP資料!$G:$G, (MATCH(539, 輔助計算!$G$2:$G$801, 0)+1))&lt;=31,3,IF(INDEX(ERP資料!$G:$G, (MATCH(539, 輔助計算!$G$2:$G$801, 0)+1))&lt;=46.5,2,1)), IF(INDEX(ERP資料!$G:$G, (MATCH(539, 輔助計算!$G$2:$G$801, 0)+1))&lt;=790,3,IF(INDEX(ERP資料!$G:$G, (MATCH(539, 輔助計算!$G$2:$G$801, 0)+1))&lt;=1181,2,1))))=0,"",IF(MOD(INDEX(輔助計算!$D:$D, (MATCH(539, 輔助計算!$G$2:$G$801, 0)+1)),IF(INDEX(ERP資料!$G:$G, (MATCH(539, 輔助計算!$G$2:$G$801, 0)+1))&lt;100, IF(INDEX(ERP資料!$G:$G, (MATCH(539, 輔助計算!$G$2:$G$801, 0)+1))&lt;=31,3,IF(INDEX(ERP資料!$G:$G, (MATCH(539, 輔助計算!$G$2:$G$801, 0)+1))&lt;=46.5,2,1)), IF(INDEX(ERP資料!$G:$G, (MATCH(539, 輔助計算!$G$2:$G$801, 0)+1))&lt;=790,3,IF(INDEX(ERP資料!$G:$G, (MATCH(539, 輔助計算!$G$2:$G$801, 0)+1))&lt;=1181,2,1))))=0,"",IF(MOD(INDEX(輔助計算!$D:$D, (MATCH(539, 輔助計算!$G$2:$G$801, 0)+1)),IF(INDEX(ERP資料!$G:$G, (MATCH(539, 輔助計算!$G$2:$G$801, 0)+1))&lt;100, IF(INDEX(ERP資料!$G:$G, (MATCH(539, 輔助計算!$G$2:$G$801, 0)+1))&lt;=31,3,IF(INDEX(ERP資料!$G:$G, (MATCH(539, 輔助計算!$G$2:$G$801, 0)+1))&lt;=46.5,2,1)), IF(INDEX(ERP資料!$G:$G, (MATCH(539, 輔助計算!$G$2:$G$801, 0)+1))&lt;=790,3,IF(INDEX(ERP資料!$G:$G, (MATCH(539, 輔助計算!$G$2:$G$801, 0)+1))&lt;=1181,2,1))))=1,TEXT(INDEX(ERP資料!$G:$G, (MATCH(539, 輔助計算!$G$2:$G$801, 0)+1)),"0.##"),IF(MOD(INDEX(輔助計算!$D:$D, (MATCH(539, 輔助計算!$G$2:$G$801, 0)+1)),IF(INDEX(ERP資料!$G:$G, (MATCH(539, 輔助計算!$G$2:$G$801, 0)+1))&lt;100, IF(INDEX(ERP資料!$G:$G, (MATCH(539, 輔助計算!$G$2:$G$801, 0)+1))&lt;=31,3,IF(INDEX(ERP資料!$G:$G, (MATCH(539, 輔助計算!$G$2:$G$801, 0)+1))&lt;=46.5,2,1)), IF(INDEX(ERP資料!$G:$G, (MATCH(539, 輔助計算!$G$2:$G$801, 0)+1))&lt;=790,3,IF(INDEX(ERP資料!$G:$G, (MATCH(539, 輔助計算!$G$2:$G$801, 0)+1))&lt;=1181,2,1))))=2,TEXT(INDEX(ERP資料!$G:$G, (MATCH(539, 輔助計算!$G$2:$G$801, 0)+1)),"0.##")&amp;"+"&amp;TEXT(INDEX(ERP資料!$G:$G, (MATCH(539, 輔助計算!$G$2:$G$801, 0)+1)),"0.##"),TEXT(INDEX(ERP資料!$G:$G, (MATCH(539, 輔助計算!$G$2:$G$801, 0)+1)),"0.##")&amp;"+"&amp;TEXT(INDEX(ERP資料!$G:$G, (MATCH(539, 輔助計算!$G$2:$G$801, 0)+1)),"0.##")&amp;"+"&amp;TEXT(INDEX(ERP資料!$G:$G, (MATCH(539, 輔助計算!$G$2:$G$801, 0)+1)),"0.##"))))&amp;"-1")&lt;&gt;""),"  ","")&amp;IF(MOD(INDEX(輔助計算!$D:$D, (MATCH(539, 輔助計算!$G$2:$G$801, 0)+1)),IF(INDEX(ERP資料!$G:$G, (MATCH(539, 輔助計算!$G$2:$G$801, 0)+1))&lt;100, IF(INDEX(ERP資料!$G:$G, (MATCH(539, 輔助計算!$G$2:$G$801, 0)+1))&lt;=31,3,IF(INDEX(ERP資料!$G:$G, (MATCH(539, 輔助計算!$G$2:$G$801, 0)+1))&lt;=46.5,2,1)), IF(INDEX(ERP資料!$G:$G, (MATCH(539, 輔助計算!$G$2:$G$801, 0)+1))&lt;=790,3,IF(INDEX(ERP資料!$G:$G, (MATCH(539, 輔助計算!$G$2:$G$801, 0)+1))&lt;=1181,2,1))))=0,"",IF(MOD(INDEX(輔助計算!$D:$D, (MATCH(539, 輔助計算!$G$2:$G$801, 0)+1)),IF(INDEX(ERP資料!$G:$G, (MATCH(539, 輔助計算!$G$2:$G$801, 0)+1))&lt;100, IF(INDEX(ERP資料!$G:$G, (MATCH(539, 輔助計算!$G$2:$G$801, 0)+1))&lt;=31,3,IF(INDEX(ERP資料!$G:$G, (MATCH(539, 輔助計算!$G$2:$G$801, 0)+1))&lt;=46.5,2,1)), IF(INDEX(ERP資料!$G:$G, (MATCH(539, 輔助計算!$G$2:$G$801, 0)+1))&lt;=790,3,IF(INDEX(ERP資料!$G:$G, (MATCH(539, 輔助計算!$G$2:$G$801, 0)+1))&lt;=1181,2,1))))=0,"",IF(MOD(INDEX(輔助計算!$D:$D, (MATCH(539, 輔助計算!$G$2:$G$801, 0)+1)),IF(INDEX(ERP資料!$G:$G, (MATCH(539, 輔助計算!$G$2:$G$801, 0)+1))&lt;100, IF(INDEX(ERP資料!$G:$G, (MATCH(539, 輔助計算!$G$2:$G$801, 0)+1))&lt;=31,3,IF(INDEX(ERP資料!$G:$G, (MATCH(539, 輔助計算!$G$2:$G$801, 0)+1))&lt;=46.5,2,1)), IF(INDEX(ERP資料!$G:$G, (MATCH(539, 輔助計算!$G$2:$G$801, 0)+1))&lt;=790,3,IF(INDEX(ERP資料!$G:$G, (MATCH(539, 輔助計算!$G$2:$G$801, 0)+1))&lt;=1181,2,1))))=1,TEXT(INDEX(ERP資料!$G:$G, (MATCH(539, 輔助計算!$G$2:$G$801, 0)+1)),"0.##"),IF(MOD(INDEX(輔助計算!$D:$D, (MATCH(539, 輔助計算!$G$2:$G$801, 0)+1)),IF(INDEX(ERP資料!$G:$G, (MATCH(539, 輔助計算!$G$2:$G$801, 0)+1))&lt;100, IF(INDEX(ERP資料!$G:$G, (MATCH(539, 輔助計算!$G$2:$G$801, 0)+1))&lt;=31,3,IF(INDEX(ERP資料!$G:$G, (MATCH(539, 輔助計算!$G$2:$G$801, 0)+1))&lt;=46.5,2,1)), IF(INDEX(ERP資料!$G:$G, (MATCH(539, 輔助計算!$G$2:$G$801, 0)+1))&lt;=790,3,IF(INDEX(ERP資料!$G:$G, (MATCH(539, 輔助計算!$G$2:$G$801, 0)+1))&lt;=1181,2,1))))=2,TEXT(INDEX(ERP資料!$G:$G, (MATCH(539, 輔助計算!$G$2:$G$801, 0)+1)),"0.##")&amp;"+"&amp;TEXT(INDEX(ERP資料!$G:$G, (MATCH(539, 輔助計算!$G$2:$G$801, 0)+1)),"0.##"),TEXT(INDEX(ERP資料!$G:$G, (MATCH(539, 輔助計算!$G$2:$G$801, 0)+1)),"0.##")&amp;"+"&amp;TEXT(INDEX(ERP資料!$G:$G, (MATCH(539, 輔助計算!$G$2:$G$801, 0)+1)),"0.##")&amp;"+"&amp;TEXT(INDEX(ERP資料!$G:$G, (MATCH(539, 輔助計算!$G$2:$G$801, 0)+1)),"0.##"))))&amp;"-1")), ""), "")</f>
        <v/>
      </c>
      <c r="K540" s="16" t="n"/>
      <c r="L540" s="14">
        <f>IFERROR(IF(AND(IFERROR(INDEX(ERP資料!$A:$A, (MATCH(539, 輔助計算!$G$2:$G$801, 0)+1)), "")&lt;&gt;"", IFERROR(INDEX(ERP資料!$A:$A, (MATCH(539, 輔助計算!$G$2:$G$801, 0)+1)), "")&lt;&gt;IFERROR(INDEX(ERP資料!$A:$A, MATCH(538, 輔助計算!$G$2:$G$801, 0)+1), "")), INDEX(ERP資料!$B:$B, (MATCH(539, 輔助計算!$G$2:$G$801, 0)+1)), ""), "")</f>
        <v/>
      </c>
      <c r="M540" s="17" t="n"/>
    </row>
    <row r="541">
      <c r="A541" s="10">
        <f>IFERROR(IF(AND(IFERROR(INDEX(ERP資料!$A:$A, (MATCH(540, 輔助計算!$G$2:$G$801, 0)+1)), "")&lt;&gt;"", IFERROR(INDEX(ERP資料!$A:$A, (MATCH(540, 輔助計算!$G$2:$G$801, 0)+1)), "")&lt;&gt;IFERROR(INDEX(ERP資料!$A:$A, MATCH(539, 輔助計算!$G$2:$G$801, 0)+1), "")), IFERROR(INDEX(ERP資料!$A:$A, (MATCH(540, 輔助計算!$G$2:$G$801, 0)+1)), ""), ""), "")</f>
        <v/>
      </c>
      <c r="B541" s="10">
        <f>IFERROR(IF(AND(IFERROR(INDEX(ERP資料!$A:$A, (MATCH(540, 輔助計算!$G$2:$G$801, 0)+1)), "")&lt;&gt;"", IFERROR(INDEX(ERP資料!$A:$A, (MATCH(540, 輔助計算!$G$2:$G$801, 0)+1)), "")&lt;&gt;IFERROR(INDEX(ERP資料!$A:$A, MATCH(539, 輔助計算!$G$2:$G$801, 0)+1), "")), INDEX(ERP資料!$S:$S, (MATCH(540, 輔助計算!$G$2:$G$801, 0)+1)), ""), "")</f>
        <v/>
      </c>
      <c r="C541" s="19">
        <f>IFERROR(IF(AND(IFERROR(INDEX(ERP資料!$A:$A, (MATCH(540, 輔助計算!$G$2:$G$801, 0)+1)), "")&lt;&gt;"", IFERROR(INDEX(ERP資料!$A:$A, (MATCH(540, 輔助計算!$G$2:$G$801, 0)+1)), "")&lt;&gt;IFERROR(INDEX(ERP資料!$A:$A, MATCH(539, 輔助計算!$G$2:$G$801, 0)+1), "")), IFERROR(VLOOKUP(LEFT(INDEX(ERP資料!$S:$S, (MATCH(540, 輔助計算!$G$2:$G$801, 0)+1)), 4), 紙管對照表!$A:$C, 3, FALSE), ""), ""), "")</f>
        <v/>
      </c>
      <c r="D541" s="16" t="n"/>
      <c r="E541" s="10">
        <f>IFERROR(IF(INDEX(ERP資料!$H:$H, (MATCH(540, 輔助計算!$G$2:$G$801, 0)+1))="","",INDEX(ERP資料!$H:$H, (MATCH(540, 輔助計算!$G$2:$G$801, 0)+1))), "")</f>
        <v/>
      </c>
      <c r="F541" s="10">
        <f>IFERROR(IF(INDEX(ERP資料!$E:$E, (MATCH(540, 輔助計算!$G$2:$G$801, 0)+1))="","",TRIM(INDEX(ERP資料!$E:$E, (MATCH(540, 輔助計算!$G$2:$G$801, 0)+1)))), "")</f>
        <v/>
      </c>
      <c r="G541" s="10">
        <f>IFERROR(IF(INDEX(ERP資料!$F:$F, (MATCH(540, 輔助計算!$G$2:$G$801, 0)+1))="","",INDEX(ERP資料!$F:$F, (MATCH(540, 輔助計算!$G$2:$G$801, 0)+1))), "")</f>
        <v/>
      </c>
      <c r="H541" s="10">
        <f>IFERROR(IF(INDEX(ERP資料!$G:$G, (MATCH(540, 輔助計算!$G$2:$G$801, 0)+1))="","",INDEX(ERP資料!$G:$G, (MATCH(540, 輔助計算!$G$2:$G$801, 0)+1))), "")</f>
        <v/>
      </c>
      <c r="I541" s="15">
        <f>IFERROR(INDEX(輔助計算!$D:$D, (MATCH(540, 輔助計算!$G$2:$G$801, 0)+1)), "")</f>
        <v/>
      </c>
      <c r="J541" s="15">
        <f>IFERROR(IF(AND(INDEX(輔助計算!$D:$D, (MATCH(540, 輔助計算!$G$2:$G$801, 0)+1))&lt;&gt;"", INDEX(ERP資料!$G:$G, (MATCH(540, 輔助計算!$G$2:$G$801, 0)+1))&lt;&gt;""), TRIM(IF(INT(INDEX(輔助計算!$D:$D, (MATCH(540, 輔助計算!$G$2:$G$801, 0)+1))/IF(INDEX(ERP資料!$G:$G, (MATCH(540, 輔助計算!$G$2:$G$801, 0)+1))&lt;100, IF(INDEX(ERP資料!$G:$G, (MATCH(540, 輔助計算!$G$2:$G$801, 0)+1))&lt;=31,3,IF(INDEX(ERP資料!$G:$G, (MATCH(540, 輔助計算!$G$2:$G$801, 0)+1))&lt;=46.5,2,1)), IF(INDEX(ERP資料!$G:$G, (MATCH(540, 輔助計算!$G$2:$G$801, 0)+1))&lt;=790,3,IF(INDEX(ERP資料!$G:$G, (MATCH(540, 輔助計算!$G$2:$G$801, 0)+1))&lt;=1181,2,1))))&gt;0, IF(IF(INDEX(ERP資料!$G:$G, (MATCH(540, 輔助計算!$G$2:$G$801, 0)+1))&lt;100, IF(INDEX(ERP資料!$G:$G, (MATCH(540, 輔助計算!$G$2:$G$801, 0)+1))&lt;=31,3,IF(INDEX(ERP資料!$G:$G, (MATCH(540, 輔助計算!$G$2:$G$801, 0)+1))&lt;=46.5,2,1)), IF(INDEX(ERP資料!$G:$G, (MATCH(540, 輔助計算!$G$2:$G$801, 0)+1))&lt;=790,3,IF(INDEX(ERP資料!$G:$G, (MATCH(540, 輔助計算!$G$2:$G$801, 0)+1))&lt;=1181,2,1)))=1,TEXT(INDEX(ERP資料!$G:$G, (MATCH(540, 輔助計算!$G$2:$G$801, 0)+1)),"0.##"),IF(IF(INDEX(ERP資料!$G:$G, (MATCH(540, 輔助計算!$G$2:$G$801, 0)+1))&lt;100, IF(INDEX(ERP資料!$G:$G, (MATCH(540, 輔助計算!$G$2:$G$801, 0)+1))&lt;=31,3,IF(INDEX(ERP資料!$G:$G, (MATCH(540, 輔助計算!$G$2:$G$801, 0)+1))&lt;=46.5,2,1)), IF(INDEX(ERP資料!$G:$G, (MATCH(540, 輔助計算!$G$2:$G$801, 0)+1))&lt;=790,3,IF(INDEX(ERP資料!$G:$G, (MATCH(540, 輔助計算!$G$2:$G$801, 0)+1))&lt;=1181,2,1)))=2,TEXT(INDEX(ERP資料!$G:$G, (MATCH(540, 輔助計算!$G$2:$G$801, 0)+1)),"0.##")&amp;"+"&amp;TEXT(INDEX(ERP資料!$G:$G, (MATCH(540, 輔助計算!$G$2:$G$801, 0)+1)),"0.##"),TEXT(INDEX(ERP資料!$G:$G, (MATCH(540, 輔助計算!$G$2:$G$801, 0)+1)),"0.##")&amp;"+"&amp;TEXT(INDEX(ERP資料!$G:$G, (MATCH(540, 輔助計算!$G$2:$G$801, 0)+1)),"0.##")&amp;"+"&amp;TEXT(INDEX(ERP資料!$G:$G, (MATCH(540, 輔助計算!$G$2:$G$801, 0)+1)),"0.##")))&amp;"-"&amp;INT(INDEX(輔助計算!$D:$D, (MATCH(540, 輔助計算!$G$2:$G$801, 0)+1))/IF(INDEX(ERP資料!$G:$G, (MATCH(540, 輔助計算!$G$2:$G$801, 0)+1))&lt;100, IF(INDEX(ERP資料!$G:$G, (MATCH(540, 輔助計算!$G$2:$G$801, 0)+1))&lt;=31,3,IF(INDEX(ERP資料!$G:$G, (MATCH(540, 輔助計算!$G$2:$G$801, 0)+1))&lt;=46.5,2,1)), IF(INDEX(ERP資料!$G:$G, (MATCH(540, 輔助計算!$G$2:$G$801, 0)+1))&lt;=790,3,IF(INDEX(ERP資料!$G:$G, (MATCH(540, 輔助計算!$G$2:$G$801, 0)+1))&lt;=1181,2,1)))), "")&amp;IF(AND(IF(INT(INDEX(輔助計算!$D:$D, (MATCH(540, 輔助計算!$G$2:$G$801, 0)+1))/IF(INDEX(ERP資料!$G:$G, (MATCH(540, 輔助計算!$G$2:$G$801, 0)+1))&lt;100, IF(INDEX(ERP資料!$G:$G, (MATCH(540, 輔助計算!$G$2:$G$801, 0)+1))&lt;=31,3,IF(INDEX(ERP資料!$G:$G, (MATCH(540, 輔助計算!$G$2:$G$801, 0)+1))&lt;=46.5,2,1)), IF(INDEX(ERP資料!$G:$G, (MATCH(540, 輔助計算!$G$2:$G$801, 0)+1))&lt;=790,3,IF(INDEX(ERP資料!$G:$G, (MATCH(540, 輔助計算!$G$2:$G$801, 0)+1))&lt;=1181,2,1))))&gt;0, IF(IF(INDEX(ERP資料!$G:$G, (MATCH(540, 輔助計算!$G$2:$G$801, 0)+1))&lt;100, IF(INDEX(ERP資料!$G:$G, (MATCH(540, 輔助計算!$G$2:$G$801, 0)+1))&lt;=31,3,IF(INDEX(ERP資料!$G:$G, (MATCH(540, 輔助計算!$G$2:$G$801, 0)+1))&lt;=46.5,2,1)), IF(INDEX(ERP資料!$G:$G, (MATCH(540, 輔助計算!$G$2:$G$801, 0)+1))&lt;=790,3,IF(INDEX(ERP資料!$G:$G, (MATCH(540, 輔助計算!$G$2:$G$801, 0)+1))&lt;=1181,2,1)))=1,TEXT(INDEX(ERP資料!$G:$G, (MATCH(540, 輔助計算!$G$2:$G$801, 0)+1)),"0.##"),IF(IF(INDEX(ERP資料!$G:$G, (MATCH(540, 輔助計算!$G$2:$G$801, 0)+1))&lt;100, IF(INDEX(ERP資料!$G:$G, (MATCH(540, 輔助計算!$G$2:$G$801, 0)+1))&lt;=31,3,IF(INDEX(ERP資料!$G:$G, (MATCH(540, 輔助計算!$G$2:$G$801, 0)+1))&lt;=46.5,2,1)), IF(INDEX(ERP資料!$G:$G, (MATCH(540, 輔助計算!$G$2:$G$801, 0)+1))&lt;=790,3,IF(INDEX(ERP資料!$G:$G, (MATCH(540, 輔助計算!$G$2:$G$801, 0)+1))&lt;=1181,2,1)))=2,TEXT(INDEX(ERP資料!$G:$G, (MATCH(540, 輔助計算!$G$2:$G$801, 0)+1)),"0.##")&amp;"+"&amp;TEXT(INDEX(ERP資料!$G:$G, (MATCH(540, 輔助計算!$G$2:$G$801, 0)+1)),"0.##"),TEXT(INDEX(ERP資料!$G:$G, (MATCH(540, 輔助計算!$G$2:$G$801, 0)+1)),"0.##")&amp;"+"&amp;TEXT(INDEX(ERP資料!$G:$G, (MATCH(540, 輔助計算!$G$2:$G$801, 0)+1)),"0.##")&amp;"+"&amp;TEXT(INDEX(ERP資料!$G:$G, (MATCH(540, 輔助計算!$G$2:$G$801, 0)+1)),"0.##")))&amp;"-"&amp;INT(INDEX(輔助計算!$D:$D, (MATCH(540, 輔助計算!$G$2:$G$801, 0)+1))/IF(INDEX(ERP資料!$G:$G, (MATCH(540, 輔助計算!$G$2:$G$801, 0)+1))&lt;100, IF(INDEX(ERP資料!$G:$G, (MATCH(540, 輔助計算!$G$2:$G$801, 0)+1))&lt;=31,3,IF(INDEX(ERP資料!$G:$G, (MATCH(540, 輔助計算!$G$2:$G$801, 0)+1))&lt;=46.5,2,1)), IF(INDEX(ERP資料!$G:$G, (MATCH(540, 輔助計算!$G$2:$G$801, 0)+1))&lt;=790,3,IF(INDEX(ERP資料!$G:$G, (MATCH(540, 輔助計算!$G$2:$G$801, 0)+1))&lt;=1181,2,1)))), "")&lt;&gt;"",IF(MOD(INDEX(輔助計算!$D:$D, (MATCH(540, 輔助計算!$G$2:$G$801, 0)+1)),IF(INDEX(ERP資料!$G:$G, (MATCH(540, 輔助計算!$G$2:$G$801, 0)+1))&lt;100, IF(INDEX(ERP資料!$G:$G, (MATCH(540, 輔助計算!$G$2:$G$801, 0)+1))&lt;=31,3,IF(INDEX(ERP資料!$G:$G, (MATCH(540, 輔助計算!$G$2:$G$801, 0)+1))&lt;=46.5,2,1)), IF(INDEX(ERP資料!$G:$G, (MATCH(540, 輔助計算!$G$2:$G$801, 0)+1))&lt;=790,3,IF(INDEX(ERP資料!$G:$G, (MATCH(540, 輔助計算!$G$2:$G$801, 0)+1))&lt;=1181,2,1))))=0,"",IF(MOD(INDEX(輔助計算!$D:$D, (MATCH(540, 輔助計算!$G$2:$G$801, 0)+1)),IF(INDEX(ERP資料!$G:$G, (MATCH(540, 輔助計算!$G$2:$G$801, 0)+1))&lt;100, IF(INDEX(ERP資料!$G:$G, (MATCH(540, 輔助計算!$G$2:$G$801, 0)+1))&lt;=31,3,IF(INDEX(ERP資料!$G:$G, (MATCH(540, 輔助計算!$G$2:$G$801, 0)+1))&lt;=46.5,2,1)), IF(INDEX(ERP資料!$G:$G, (MATCH(540, 輔助計算!$G$2:$G$801, 0)+1))&lt;=790,3,IF(INDEX(ERP資料!$G:$G, (MATCH(540, 輔助計算!$G$2:$G$801, 0)+1))&lt;=1181,2,1))))=0,"",IF(MOD(INDEX(輔助計算!$D:$D, (MATCH(540, 輔助計算!$G$2:$G$801, 0)+1)),IF(INDEX(ERP資料!$G:$G, (MATCH(540, 輔助計算!$G$2:$G$801, 0)+1))&lt;100, IF(INDEX(ERP資料!$G:$G, (MATCH(540, 輔助計算!$G$2:$G$801, 0)+1))&lt;=31,3,IF(INDEX(ERP資料!$G:$G, (MATCH(540, 輔助計算!$G$2:$G$801, 0)+1))&lt;=46.5,2,1)), IF(INDEX(ERP資料!$G:$G, (MATCH(540, 輔助計算!$G$2:$G$801, 0)+1))&lt;=790,3,IF(INDEX(ERP資料!$G:$G, (MATCH(540, 輔助計算!$G$2:$G$801, 0)+1))&lt;=1181,2,1))))=1,TEXT(INDEX(ERP資料!$G:$G, (MATCH(540, 輔助計算!$G$2:$G$801, 0)+1)),"0.##"),IF(MOD(INDEX(輔助計算!$D:$D, (MATCH(540, 輔助計算!$G$2:$G$801, 0)+1)),IF(INDEX(ERP資料!$G:$G, (MATCH(540, 輔助計算!$G$2:$G$801, 0)+1))&lt;100, IF(INDEX(ERP資料!$G:$G, (MATCH(540, 輔助計算!$G$2:$G$801, 0)+1))&lt;=31,3,IF(INDEX(ERP資料!$G:$G, (MATCH(540, 輔助計算!$G$2:$G$801, 0)+1))&lt;=46.5,2,1)), IF(INDEX(ERP資料!$G:$G, (MATCH(540, 輔助計算!$G$2:$G$801, 0)+1))&lt;=790,3,IF(INDEX(ERP資料!$G:$G, (MATCH(540, 輔助計算!$G$2:$G$801, 0)+1))&lt;=1181,2,1))))=2,TEXT(INDEX(ERP資料!$G:$G, (MATCH(540, 輔助計算!$G$2:$G$801, 0)+1)),"0.##")&amp;"+"&amp;TEXT(INDEX(ERP資料!$G:$G, (MATCH(540, 輔助計算!$G$2:$G$801, 0)+1)),"0.##"),TEXT(INDEX(ERP資料!$G:$G, (MATCH(540, 輔助計算!$G$2:$G$801, 0)+1)),"0.##")&amp;"+"&amp;TEXT(INDEX(ERP資料!$G:$G, (MATCH(540, 輔助計算!$G$2:$G$801, 0)+1)),"0.##")&amp;"+"&amp;TEXT(INDEX(ERP資料!$G:$G, (MATCH(540, 輔助計算!$G$2:$G$801, 0)+1)),"0.##"))))&amp;"-1")&lt;&gt;""),"  ","")&amp;IF(MOD(INDEX(輔助計算!$D:$D, (MATCH(540, 輔助計算!$G$2:$G$801, 0)+1)),IF(INDEX(ERP資料!$G:$G, (MATCH(540, 輔助計算!$G$2:$G$801, 0)+1))&lt;100, IF(INDEX(ERP資料!$G:$G, (MATCH(540, 輔助計算!$G$2:$G$801, 0)+1))&lt;=31,3,IF(INDEX(ERP資料!$G:$G, (MATCH(540, 輔助計算!$G$2:$G$801, 0)+1))&lt;=46.5,2,1)), IF(INDEX(ERP資料!$G:$G, (MATCH(540, 輔助計算!$G$2:$G$801, 0)+1))&lt;=790,3,IF(INDEX(ERP資料!$G:$G, (MATCH(540, 輔助計算!$G$2:$G$801, 0)+1))&lt;=1181,2,1))))=0,"",IF(MOD(INDEX(輔助計算!$D:$D, (MATCH(540, 輔助計算!$G$2:$G$801, 0)+1)),IF(INDEX(ERP資料!$G:$G, (MATCH(540, 輔助計算!$G$2:$G$801, 0)+1))&lt;100, IF(INDEX(ERP資料!$G:$G, (MATCH(540, 輔助計算!$G$2:$G$801, 0)+1))&lt;=31,3,IF(INDEX(ERP資料!$G:$G, (MATCH(540, 輔助計算!$G$2:$G$801, 0)+1))&lt;=46.5,2,1)), IF(INDEX(ERP資料!$G:$G, (MATCH(540, 輔助計算!$G$2:$G$801, 0)+1))&lt;=790,3,IF(INDEX(ERP資料!$G:$G, (MATCH(540, 輔助計算!$G$2:$G$801, 0)+1))&lt;=1181,2,1))))=0,"",IF(MOD(INDEX(輔助計算!$D:$D, (MATCH(540, 輔助計算!$G$2:$G$801, 0)+1)),IF(INDEX(ERP資料!$G:$G, (MATCH(540, 輔助計算!$G$2:$G$801, 0)+1))&lt;100, IF(INDEX(ERP資料!$G:$G, (MATCH(540, 輔助計算!$G$2:$G$801, 0)+1))&lt;=31,3,IF(INDEX(ERP資料!$G:$G, (MATCH(540, 輔助計算!$G$2:$G$801, 0)+1))&lt;=46.5,2,1)), IF(INDEX(ERP資料!$G:$G, (MATCH(540, 輔助計算!$G$2:$G$801, 0)+1))&lt;=790,3,IF(INDEX(ERP資料!$G:$G, (MATCH(540, 輔助計算!$G$2:$G$801, 0)+1))&lt;=1181,2,1))))=1,TEXT(INDEX(ERP資料!$G:$G, (MATCH(540, 輔助計算!$G$2:$G$801, 0)+1)),"0.##"),IF(MOD(INDEX(輔助計算!$D:$D, (MATCH(540, 輔助計算!$G$2:$G$801, 0)+1)),IF(INDEX(ERP資料!$G:$G, (MATCH(540, 輔助計算!$G$2:$G$801, 0)+1))&lt;100, IF(INDEX(ERP資料!$G:$G, (MATCH(540, 輔助計算!$G$2:$G$801, 0)+1))&lt;=31,3,IF(INDEX(ERP資料!$G:$G, (MATCH(540, 輔助計算!$G$2:$G$801, 0)+1))&lt;=46.5,2,1)), IF(INDEX(ERP資料!$G:$G, (MATCH(540, 輔助計算!$G$2:$G$801, 0)+1))&lt;=790,3,IF(INDEX(ERP資料!$G:$G, (MATCH(540, 輔助計算!$G$2:$G$801, 0)+1))&lt;=1181,2,1))))=2,TEXT(INDEX(ERP資料!$G:$G, (MATCH(540, 輔助計算!$G$2:$G$801, 0)+1)),"0.##")&amp;"+"&amp;TEXT(INDEX(ERP資料!$G:$G, (MATCH(540, 輔助計算!$G$2:$G$801, 0)+1)),"0.##"),TEXT(INDEX(ERP資料!$G:$G, (MATCH(540, 輔助計算!$G$2:$G$801, 0)+1)),"0.##")&amp;"+"&amp;TEXT(INDEX(ERP資料!$G:$G, (MATCH(540, 輔助計算!$G$2:$G$801, 0)+1)),"0.##")&amp;"+"&amp;TEXT(INDEX(ERP資料!$G:$G, (MATCH(540, 輔助計算!$G$2:$G$801, 0)+1)),"0.##"))))&amp;"-1")), ""), "")</f>
        <v/>
      </c>
      <c r="K541" s="16" t="n"/>
      <c r="L541" s="14">
        <f>IFERROR(IF(AND(IFERROR(INDEX(ERP資料!$A:$A, (MATCH(540, 輔助計算!$G$2:$G$801, 0)+1)), "")&lt;&gt;"", IFERROR(INDEX(ERP資料!$A:$A, (MATCH(540, 輔助計算!$G$2:$G$801, 0)+1)), "")&lt;&gt;IFERROR(INDEX(ERP資料!$A:$A, MATCH(539, 輔助計算!$G$2:$G$801, 0)+1), "")), INDEX(ERP資料!$B:$B, (MATCH(540, 輔助計算!$G$2:$G$801, 0)+1)), ""), "")</f>
        <v/>
      </c>
      <c r="M541" s="17" t="n"/>
    </row>
    <row r="542">
      <c r="A542" s="10">
        <f>IFERROR(IF(AND(IFERROR(INDEX(ERP資料!$A:$A, (MATCH(541, 輔助計算!$G$2:$G$801, 0)+1)), "")&lt;&gt;"", IFERROR(INDEX(ERP資料!$A:$A, (MATCH(541, 輔助計算!$G$2:$G$801, 0)+1)), "")&lt;&gt;IFERROR(INDEX(ERP資料!$A:$A, MATCH(540, 輔助計算!$G$2:$G$801, 0)+1), "")), IFERROR(INDEX(ERP資料!$A:$A, (MATCH(541, 輔助計算!$G$2:$G$801, 0)+1)), ""), ""), "")</f>
        <v/>
      </c>
      <c r="B542" s="10">
        <f>IFERROR(IF(AND(IFERROR(INDEX(ERP資料!$A:$A, (MATCH(541, 輔助計算!$G$2:$G$801, 0)+1)), "")&lt;&gt;"", IFERROR(INDEX(ERP資料!$A:$A, (MATCH(541, 輔助計算!$G$2:$G$801, 0)+1)), "")&lt;&gt;IFERROR(INDEX(ERP資料!$A:$A, MATCH(540, 輔助計算!$G$2:$G$801, 0)+1), "")), INDEX(ERP資料!$S:$S, (MATCH(541, 輔助計算!$G$2:$G$801, 0)+1)), ""), "")</f>
        <v/>
      </c>
      <c r="C542" s="19">
        <f>IFERROR(IF(AND(IFERROR(INDEX(ERP資料!$A:$A, (MATCH(541, 輔助計算!$G$2:$G$801, 0)+1)), "")&lt;&gt;"", IFERROR(INDEX(ERP資料!$A:$A, (MATCH(541, 輔助計算!$G$2:$G$801, 0)+1)), "")&lt;&gt;IFERROR(INDEX(ERP資料!$A:$A, MATCH(540, 輔助計算!$G$2:$G$801, 0)+1), "")), IFERROR(VLOOKUP(LEFT(INDEX(ERP資料!$S:$S, (MATCH(541, 輔助計算!$G$2:$G$801, 0)+1)), 4), 紙管對照表!$A:$C, 3, FALSE), ""), ""), "")</f>
        <v/>
      </c>
      <c r="D542" s="16" t="n"/>
      <c r="E542" s="10">
        <f>IFERROR(IF(INDEX(ERP資料!$H:$H, (MATCH(541, 輔助計算!$G$2:$G$801, 0)+1))="","",INDEX(ERP資料!$H:$H, (MATCH(541, 輔助計算!$G$2:$G$801, 0)+1))), "")</f>
        <v/>
      </c>
      <c r="F542" s="10">
        <f>IFERROR(IF(INDEX(ERP資料!$E:$E, (MATCH(541, 輔助計算!$G$2:$G$801, 0)+1))="","",TRIM(INDEX(ERP資料!$E:$E, (MATCH(541, 輔助計算!$G$2:$G$801, 0)+1)))), "")</f>
        <v/>
      </c>
      <c r="G542" s="10">
        <f>IFERROR(IF(INDEX(ERP資料!$F:$F, (MATCH(541, 輔助計算!$G$2:$G$801, 0)+1))="","",INDEX(ERP資料!$F:$F, (MATCH(541, 輔助計算!$G$2:$G$801, 0)+1))), "")</f>
        <v/>
      </c>
      <c r="H542" s="10">
        <f>IFERROR(IF(INDEX(ERP資料!$G:$G, (MATCH(541, 輔助計算!$G$2:$G$801, 0)+1))="","",INDEX(ERP資料!$G:$G, (MATCH(541, 輔助計算!$G$2:$G$801, 0)+1))), "")</f>
        <v/>
      </c>
      <c r="I542" s="15">
        <f>IFERROR(INDEX(輔助計算!$D:$D, (MATCH(541, 輔助計算!$G$2:$G$801, 0)+1)), "")</f>
        <v/>
      </c>
      <c r="J542" s="15">
        <f>IFERROR(IF(AND(INDEX(輔助計算!$D:$D, (MATCH(541, 輔助計算!$G$2:$G$801, 0)+1))&lt;&gt;"", INDEX(ERP資料!$G:$G, (MATCH(541, 輔助計算!$G$2:$G$801, 0)+1))&lt;&gt;""), TRIM(IF(INT(INDEX(輔助計算!$D:$D, (MATCH(541, 輔助計算!$G$2:$G$801, 0)+1))/IF(INDEX(ERP資料!$G:$G, (MATCH(541, 輔助計算!$G$2:$G$801, 0)+1))&lt;100, IF(INDEX(ERP資料!$G:$G, (MATCH(541, 輔助計算!$G$2:$G$801, 0)+1))&lt;=31,3,IF(INDEX(ERP資料!$G:$G, (MATCH(541, 輔助計算!$G$2:$G$801, 0)+1))&lt;=46.5,2,1)), IF(INDEX(ERP資料!$G:$G, (MATCH(541, 輔助計算!$G$2:$G$801, 0)+1))&lt;=790,3,IF(INDEX(ERP資料!$G:$G, (MATCH(541, 輔助計算!$G$2:$G$801, 0)+1))&lt;=1181,2,1))))&gt;0, IF(IF(INDEX(ERP資料!$G:$G, (MATCH(541, 輔助計算!$G$2:$G$801, 0)+1))&lt;100, IF(INDEX(ERP資料!$G:$G, (MATCH(541, 輔助計算!$G$2:$G$801, 0)+1))&lt;=31,3,IF(INDEX(ERP資料!$G:$G, (MATCH(541, 輔助計算!$G$2:$G$801, 0)+1))&lt;=46.5,2,1)), IF(INDEX(ERP資料!$G:$G, (MATCH(541, 輔助計算!$G$2:$G$801, 0)+1))&lt;=790,3,IF(INDEX(ERP資料!$G:$G, (MATCH(541, 輔助計算!$G$2:$G$801, 0)+1))&lt;=1181,2,1)))=1,TEXT(INDEX(ERP資料!$G:$G, (MATCH(541, 輔助計算!$G$2:$G$801, 0)+1)),"0.##"),IF(IF(INDEX(ERP資料!$G:$G, (MATCH(541, 輔助計算!$G$2:$G$801, 0)+1))&lt;100, IF(INDEX(ERP資料!$G:$G, (MATCH(541, 輔助計算!$G$2:$G$801, 0)+1))&lt;=31,3,IF(INDEX(ERP資料!$G:$G, (MATCH(541, 輔助計算!$G$2:$G$801, 0)+1))&lt;=46.5,2,1)), IF(INDEX(ERP資料!$G:$G, (MATCH(541, 輔助計算!$G$2:$G$801, 0)+1))&lt;=790,3,IF(INDEX(ERP資料!$G:$G, (MATCH(541, 輔助計算!$G$2:$G$801, 0)+1))&lt;=1181,2,1)))=2,TEXT(INDEX(ERP資料!$G:$G, (MATCH(541, 輔助計算!$G$2:$G$801, 0)+1)),"0.##")&amp;"+"&amp;TEXT(INDEX(ERP資料!$G:$G, (MATCH(541, 輔助計算!$G$2:$G$801, 0)+1)),"0.##"),TEXT(INDEX(ERP資料!$G:$G, (MATCH(541, 輔助計算!$G$2:$G$801, 0)+1)),"0.##")&amp;"+"&amp;TEXT(INDEX(ERP資料!$G:$G, (MATCH(541, 輔助計算!$G$2:$G$801, 0)+1)),"0.##")&amp;"+"&amp;TEXT(INDEX(ERP資料!$G:$G, (MATCH(541, 輔助計算!$G$2:$G$801, 0)+1)),"0.##")))&amp;"-"&amp;INT(INDEX(輔助計算!$D:$D, (MATCH(541, 輔助計算!$G$2:$G$801, 0)+1))/IF(INDEX(ERP資料!$G:$G, (MATCH(541, 輔助計算!$G$2:$G$801, 0)+1))&lt;100, IF(INDEX(ERP資料!$G:$G, (MATCH(541, 輔助計算!$G$2:$G$801, 0)+1))&lt;=31,3,IF(INDEX(ERP資料!$G:$G, (MATCH(541, 輔助計算!$G$2:$G$801, 0)+1))&lt;=46.5,2,1)), IF(INDEX(ERP資料!$G:$G, (MATCH(541, 輔助計算!$G$2:$G$801, 0)+1))&lt;=790,3,IF(INDEX(ERP資料!$G:$G, (MATCH(541, 輔助計算!$G$2:$G$801, 0)+1))&lt;=1181,2,1)))), "")&amp;IF(AND(IF(INT(INDEX(輔助計算!$D:$D, (MATCH(541, 輔助計算!$G$2:$G$801, 0)+1))/IF(INDEX(ERP資料!$G:$G, (MATCH(541, 輔助計算!$G$2:$G$801, 0)+1))&lt;100, IF(INDEX(ERP資料!$G:$G, (MATCH(541, 輔助計算!$G$2:$G$801, 0)+1))&lt;=31,3,IF(INDEX(ERP資料!$G:$G, (MATCH(541, 輔助計算!$G$2:$G$801, 0)+1))&lt;=46.5,2,1)), IF(INDEX(ERP資料!$G:$G, (MATCH(541, 輔助計算!$G$2:$G$801, 0)+1))&lt;=790,3,IF(INDEX(ERP資料!$G:$G, (MATCH(541, 輔助計算!$G$2:$G$801, 0)+1))&lt;=1181,2,1))))&gt;0, IF(IF(INDEX(ERP資料!$G:$G, (MATCH(541, 輔助計算!$G$2:$G$801, 0)+1))&lt;100, IF(INDEX(ERP資料!$G:$G, (MATCH(541, 輔助計算!$G$2:$G$801, 0)+1))&lt;=31,3,IF(INDEX(ERP資料!$G:$G, (MATCH(541, 輔助計算!$G$2:$G$801, 0)+1))&lt;=46.5,2,1)), IF(INDEX(ERP資料!$G:$G, (MATCH(541, 輔助計算!$G$2:$G$801, 0)+1))&lt;=790,3,IF(INDEX(ERP資料!$G:$G, (MATCH(541, 輔助計算!$G$2:$G$801, 0)+1))&lt;=1181,2,1)))=1,TEXT(INDEX(ERP資料!$G:$G, (MATCH(541, 輔助計算!$G$2:$G$801, 0)+1)),"0.##"),IF(IF(INDEX(ERP資料!$G:$G, (MATCH(541, 輔助計算!$G$2:$G$801, 0)+1))&lt;100, IF(INDEX(ERP資料!$G:$G, (MATCH(541, 輔助計算!$G$2:$G$801, 0)+1))&lt;=31,3,IF(INDEX(ERP資料!$G:$G, (MATCH(541, 輔助計算!$G$2:$G$801, 0)+1))&lt;=46.5,2,1)), IF(INDEX(ERP資料!$G:$G, (MATCH(541, 輔助計算!$G$2:$G$801, 0)+1))&lt;=790,3,IF(INDEX(ERP資料!$G:$G, (MATCH(541, 輔助計算!$G$2:$G$801, 0)+1))&lt;=1181,2,1)))=2,TEXT(INDEX(ERP資料!$G:$G, (MATCH(541, 輔助計算!$G$2:$G$801, 0)+1)),"0.##")&amp;"+"&amp;TEXT(INDEX(ERP資料!$G:$G, (MATCH(541, 輔助計算!$G$2:$G$801, 0)+1)),"0.##"),TEXT(INDEX(ERP資料!$G:$G, (MATCH(541, 輔助計算!$G$2:$G$801, 0)+1)),"0.##")&amp;"+"&amp;TEXT(INDEX(ERP資料!$G:$G, (MATCH(541, 輔助計算!$G$2:$G$801, 0)+1)),"0.##")&amp;"+"&amp;TEXT(INDEX(ERP資料!$G:$G, (MATCH(541, 輔助計算!$G$2:$G$801, 0)+1)),"0.##")))&amp;"-"&amp;INT(INDEX(輔助計算!$D:$D, (MATCH(541, 輔助計算!$G$2:$G$801, 0)+1))/IF(INDEX(ERP資料!$G:$G, (MATCH(541, 輔助計算!$G$2:$G$801, 0)+1))&lt;100, IF(INDEX(ERP資料!$G:$G, (MATCH(541, 輔助計算!$G$2:$G$801, 0)+1))&lt;=31,3,IF(INDEX(ERP資料!$G:$G, (MATCH(541, 輔助計算!$G$2:$G$801, 0)+1))&lt;=46.5,2,1)), IF(INDEX(ERP資料!$G:$G, (MATCH(541, 輔助計算!$G$2:$G$801, 0)+1))&lt;=790,3,IF(INDEX(ERP資料!$G:$G, (MATCH(541, 輔助計算!$G$2:$G$801, 0)+1))&lt;=1181,2,1)))), "")&lt;&gt;"",IF(MOD(INDEX(輔助計算!$D:$D, (MATCH(541, 輔助計算!$G$2:$G$801, 0)+1)),IF(INDEX(ERP資料!$G:$G, (MATCH(541, 輔助計算!$G$2:$G$801, 0)+1))&lt;100, IF(INDEX(ERP資料!$G:$G, (MATCH(541, 輔助計算!$G$2:$G$801, 0)+1))&lt;=31,3,IF(INDEX(ERP資料!$G:$G, (MATCH(541, 輔助計算!$G$2:$G$801, 0)+1))&lt;=46.5,2,1)), IF(INDEX(ERP資料!$G:$G, (MATCH(541, 輔助計算!$G$2:$G$801, 0)+1))&lt;=790,3,IF(INDEX(ERP資料!$G:$G, (MATCH(541, 輔助計算!$G$2:$G$801, 0)+1))&lt;=1181,2,1))))=0,"",IF(MOD(INDEX(輔助計算!$D:$D, (MATCH(541, 輔助計算!$G$2:$G$801, 0)+1)),IF(INDEX(ERP資料!$G:$G, (MATCH(541, 輔助計算!$G$2:$G$801, 0)+1))&lt;100, IF(INDEX(ERP資料!$G:$G, (MATCH(541, 輔助計算!$G$2:$G$801, 0)+1))&lt;=31,3,IF(INDEX(ERP資料!$G:$G, (MATCH(541, 輔助計算!$G$2:$G$801, 0)+1))&lt;=46.5,2,1)), IF(INDEX(ERP資料!$G:$G, (MATCH(541, 輔助計算!$G$2:$G$801, 0)+1))&lt;=790,3,IF(INDEX(ERP資料!$G:$G, (MATCH(541, 輔助計算!$G$2:$G$801, 0)+1))&lt;=1181,2,1))))=0,"",IF(MOD(INDEX(輔助計算!$D:$D, (MATCH(541, 輔助計算!$G$2:$G$801, 0)+1)),IF(INDEX(ERP資料!$G:$G, (MATCH(541, 輔助計算!$G$2:$G$801, 0)+1))&lt;100, IF(INDEX(ERP資料!$G:$G, (MATCH(541, 輔助計算!$G$2:$G$801, 0)+1))&lt;=31,3,IF(INDEX(ERP資料!$G:$G, (MATCH(541, 輔助計算!$G$2:$G$801, 0)+1))&lt;=46.5,2,1)), IF(INDEX(ERP資料!$G:$G, (MATCH(541, 輔助計算!$G$2:$G$801, 0)+1))&lt;=790,3,IF(INDEX(ERP資料!$G:$G, (MATCH(541, 輔助計算!$G$2:$G$801, 0)+1))&lt;=1181,2,1))))=1,TEXT(INDEX(ERP資料!$G:$G, (MATCH(541, 輔助計算!$G$2:$G$801, 0)+1)),"0.##"),IF(MOD(INDEX(輔助計算!$D:$D, (MATCH(541, 輔助計算!$G$2:$G$801, 0)+1)),IF(INDEX(ERP資料!$G:$G, (MATCH(541, 輔助計算!$G$2:$G$801, 0)+1))&lt;100, IF(INDEX(ERP資料!$G:$G, (MATCH(541, 輔助計算!$G$2:$G$801, 0)+1))&lt;=31,3,IF(INDEX(ERP資料!$G:$G, (MATCH(541, 輔助計算!$G$2:$G$801, 0)+1))&lt;=46.5,2,1)), IF(INDEX(ERP資料!$G:$G, (MATCH(541, 輔助計算!$G$2:$G$801, 0)+1))&lt;=790,3,IF(INDEX(ERP資料!$G:$G, (MATCH(541, 輔助計算!$G$2:$G$801, 0)+1))&lt;=1181,2,1))))=2,TEXT(INDEX(ERP資料!$G:$G, (MATCH(541, 輔助計算!$G$2:$G$801, 0)+1)),"0.##")&amp;"+"&amp;TEXT(INDEX(ERP資料!$G:$G, (MATCH(541, 輔助計算!$G$2:$G$801, 0)+1)),"0.##"),TEXT(INDEX(ERP資料!$G:$G, (MATCH(541, 輔助計算!$G$2:$G$801, 0)+1)),"0.##")&amp;"+"&amp;TEXT(INDEX(ERP資料!$G:$G, (MATCH(541, 輔助計算!$G$2:$G$801, 0)+1)),"0.##")&amp;"+"&amp;TEXT(INDEX(ERP資料!$G:$G, (MATCH(541, 輔助計算!$G$2:$G$801, 0)+1)),"0.##"))))&amp;"-1")&lt;&gt;""),"  ","")&amp;IF(MOD(INDEX(輔助計算!$D:$D, (MATCH(541, 輔助計算!$G$2:$G$801, 0)+1)),IF(INDEX(ERP資料!$G:$G, (MATCH(541, 輔助計算!$G$2:$G$801, 0)+1))&lt;100, IF(INDEX(ERP資料!$G:$G, (MATCH(541, 輔助計算!$G$2:$G$801, 0)+1))&lt;=31,3,IF(INDEX(ERP資料!$G:$G, (MATCH(541, 輔助計算!$G$2:$G$801, 0)+1))&lt;=46.5,2,1)), IF(INDEX(ERP資料!$G:$G, (MATCH(541, 輔助計算!$G$2:$G$801, 0)+1))&lt;=790,3,IF(INDEX(ERP資料!$G:$G, (MATCH(541, 輔助計算!$G$2:$G$801, 0)+1))&lt;=1181,2,1))))=0,"",IF(MOD(INDEX(輔助計算!$D:$D, (MATCH(541, 輔助計算!$G$2:$G$801, 0)+1)),IF(INDEX(ERP資料!$G:$G, (MATCH(541, 輔助計算!$G$2:$G$801, 0)+1))&lt;100, IF(INDEX(ERP資料!$G:$G, (MATCH(541, 輔助計算!$G$2:$G$801, 0)+1))&lt;=31,3,IF(INDEX(ERP資料!$G:$G, (MATCH(541, 輔助計算!$G$2:$G$801, 0)+1))&lt;=46.5,2,1)), IF(INDEX(ERP資料!$G:$G, (MATCH(541, 輔助計算!$G$2:$G$801, 0)+1))&lt;=790,3,IF(INDEX(ERP資料!$G:$G, (MATCH(541, 輔助計算!$G$2:$G$801, 0)+1))&lt;=1181,2,1))))=0,"",IF(MOD(INDEX(輔助計算!$D:$D, (MATCH(541, 輔助計算!$G$2:$G$801, 0)+1)),IF(INDEX(ERP資料!$G:$G, (MATCH(541, 輔助計算!$G$2:$G$801, 0)+1))&lt;100, IF(INDEX(ERP資料!$G:$G, (MATCH(541, 輔助計算!$G$2:$G$801, 0)+1))&lt;=31,3,IF(INDEX(ERP資料!$G:$G, (MATCH(541, 輔助計算!$G$2:$G$801, 0)+1))&lt;=46.5,2,1)), IF(INDEX(ERP資料!$G:$G, (MATCH(541, 輔助計算!$G$2:$G$801, 0)+1))&lt;=790,3,IF(INDEX(ERP資料!$G:$G, (MATCH(541, 輔助計算!$G$2:$G$801, 0)+1))&lt;=1181,2,1))))=1,TEXT(INDEX(ERP資料!$G:$G, (MATCH(541, 輔助計算!$G$2:$G$801, 0)+1)),"0.##"),IF(MOD(INDEX(輔助計算!$D:$D, (MATCH(541, 輔助計算!$G$2:$G$801, 0)+1)),IF(INDEX(ERP資料!$G:$G, (MATCH(541, 輔助計算!$G$2:$G$801, 0)+1))&lt;100, IF(INDEX(ERP資料!$G:$G, (MATCH(541, 輔助計算!$G$2:$G$801, 0)+1))&lt;=31,3,IF(INDEX(ERP資料!$G:$G, (MATCH(541, 輔助計算!$G$2:$G$801, 0)+1))&lt;=46.5,2,1)), IF(INDEX(ERP資料!$G:$G, (MATCH(541, 輔助計算!$G$2:$G$801, 0)+1))&lt;=790,3,IF(INDEX(ERP資料!$G:$G, (MATCH(541, 輔助計算!$G$2:$G$801, 0)+1))&lt;=1181,2,1))))=2,TEXT(INDEX(ERP資料!$G:$G, (MATCH(541, 輔助計算!$G$2:$G$801, 0)+1)),"0.##")&amp;"+"&amp;TEXT(INDEX(ERP資料!$G:$G, (MATCH(541, 輔助計算!$G$2:$G$801, 0)+1)),"0.##"),TEXT(INDEX(ERP資料!$G:$G, (MATCH(541, 輔助計算!$G$2:$G$801, 0)+1)),"0.##")&amp;"+"&amp;TEXT(INDEX(ERP資料!$G:$G, (MATCH(541, 輔助計算!$G$2:$G$801, 0)+1)),"0.##")&amp;"+"&amp;TEXT(INDEX(ERP資料!$G:$G, (MATCH(541, 輔助計算!$G$2:$G$801, 0)+1)),"0.##"))))&amp;"-1")), ""), "")</f>
        <v/>
      </c>
      <c r="K542" s="16" t="n"/>
      <c r="L542" s="14">
        <f>IFERROR(IF(AND(IFERROR(INDEX(ERP資料!$A:$A, (MATCH(541, 輔助計算!$G$2:$G$801, 0)+1)), "")&lt;&gt;"", IFERROR(INDEX(ERP資料!$A:$A, (MATCH(541, 輔助計算!$G$2:$G$801, 0)+1)), "")&lt;&gt;IFERROR(INDEX(ERP資料!$A:$A, MATCH(540, 輔助計算!$G$2:$G$801, 0)+1), "")), INDEX(ERP資料!$B:$B, (MATCH(541, 輔助計算!$G$2:$G$801, 0)+1)), ""), "")</f>
        <v/>
      </c>
      <c r="M542" s="17" t="n"/>
    </row>
    <row r="543">
      <c r="A543" s="10">
        <f>IFERROR(IF(AND(IFERROR(INDEX(ERP資料!$A:$A, (MATCH(542, 輔助計算!$G$2:$G$801, 0)+1)), "")&lt;&gt;"", IFERROR(INDEX(ERP資料!$A:$A, (MATCH(542, 輔助計算!$G$2:$G$801, 0)+1)), "")&lt;&gt;IFERROR(INDEX(ERP資料!$A:$A, MATCH(541, 輔助計算!$G$2:$G$801, 0)+1), "")), IFERROR(INDEX(ERP資料!$A:$A, (MATCH(542, 輔助計算!$G$2:$G$801, 0)+1)), ""), ""), "")</f>
        <v/>
      </c>
      <c r="B543" s="10">
        <f>IFERROR(IF(AND(IFERROR(INDEX(ERP資料!$A:$A, (MATCH(542, 輔助計算!$G$2:$G$801, 0)+1)), "")&lt;&gt;"", IFERROR(INDEX(ERP資料!$A:$A, (MATCH(542, 輔助計算!$G$2:$G$801, 0)+1)), "")&lt;&gt;IFERROR(INDEX(ERP資料!$A:$A, MATCH(541, 輔助計算!$G$2:$G$801, 0)+1), "")), INDEX(ERP資料!$S:$S, (MATCH(542, 輔助計算!$G$2:$G$801, 0)+1)), ""), "")</f>
        <v/>
      </c>
      <c r="C543" s="19">
        <f>IFERROR(IF(AND(IFERROR(INDEX(ERP資料!$A:$A, (MATCH(542, 輔助計算!$G$2:$G$801, 0)+1)), "")&lt;&gt;"", IFERROR(INDEX(ERP資料!$A:$A, (MATCH(542, 輔助計算!$G$2:$G$801, 0)+1)), "")&lt;&gt;IFERROR(INDEX(ERP資料!$A:$A, MATCH(541, 輔助計算!$G$2:$G$801, 0)+1), "")), IFERROR(VLOOKUP(LEFT(INDEX(ERP資料!$S:$S, (MATCH(542, 輔助計算!$G$2:$G$801, 0)+1)), 4), 紙管對照表!$A:$C, 3, FALSE), ""), ""), "")</f>
        <v/>
      </c>
      <c r="D543" s="16" t="n"/>
      <c r="E543" s="10">
        <f>IFERROR(IF(INDEX(ERP資料!$H:$H, (MATCH(542, 輔助計算!$G$2:$G$801, 0)+1))="","",INDEX(ERP資料!$H:$H, (MATCH(542, 輔助計算!$G$2:$G$801, 0)+1))), "")</f>
        <v/>
      </c>
      <c r="F543" s="10">
        <f>IFERROR(IF(INDEX(ERP資料!$E:$E, (MATCH(542, 輔助計算!$G$2:$G$801, 0)+1))="","",TRIM(INDEX(ERP資料!$E:$E, (MATCH(542, 輔助計算!$G$2:$G$801, 0)+1)))), "")</f>
        <v/>
      </c>
      <c r="G543" s="10">
        <f>IFERROR(IF(INDEX(ERP資料!$F:$F, (MATCH(542, 輔助計算!$G$2:$G$801, 0)+1))="","",INDEX(ERP資料!$F:$F, (MATCH(542, 輔助計算!$G$2:$G$801, 0)+1))), "")</f>
        <v/>
      </c>
      <c r="H543" s="10">
        <f>IFERROR(IF(INDEX(ERP資料!$G:$G, (MATCH(542, 輔助計算!$G$2:$G$801, 0)+1))="","",INDEX(ERP資料!$G:$G, (MATCH(542, 輔助計算!$G$2:$G$801, 0)+1))), "")</f>
        <v/>
      </c>
      <c r="I543" s="15">
        <f>IFERROR(INDEX(輔助計算!$D:$D, (MATCH(542, 輔助計算!$G$2:$G$801, 0)+1)), "")</f>
        <v/>
      </c>
      <c r="J543" s="15">
        <f>IFERROR(IF(AND(INDEX(輔助計算!$D:$D, (MATCH(542, 輔助計算!$G$2:$G$801, 0)+1))&lt;&gt;"", INDEX(ERP資料!$G:$G, (MATCH(542, 輔助計算!$G$2:$G$801, 0)+1))&lt;&gt;""), TRIM(IF(INT(INDEX(輔助計算!$D:$D, (MATCH(542, 輔助計算!$G$2:$G$801, 0)+1))/IF(INDEX(ERP資料!$G:$G, (MATCH(542, 輔助計算!$G$2:$G$801, 0)+1))&lt;100, IF(INDEX(ERP資料!$G:$G, (MATCH(542, 輔助計算!$G$2:$G$801, 0)+1))&lt;=31,3,IF(INDEX(ERP資料!$G:$G, (MATCH(542, 輔助計算!$G$2:$G$801, 0)+1))&lt;=46.5,2,1)), IF(INDEX(ERP資料!$G:$G, (MATCH(542, 輔助計算!$G$2:$G$801, 0)+1))&lt;=790,3,IF(INDEX(ERP資料!$G:$G, (MATCH(542, 輔助計算!$G$2:$G$801, 0)+1))&lt;=1181,2,1))))&gt;0, IF(IF(INDEX(ERP資料!$G:$G, (MATCH(542, 輔助計算!$G$2:$G$801, 0)+1))&lt;100, IF(INDEX(ERP資料!$G:$G, (MATCH(542, 輔助計算!$G$2:$G$801, 0)+1))&lt;=31,3,IF(INDEX(ERP資料!$G:$G, (MATCH(542, 輔助計算!$G$2:$G$801, 0)+1))&lt;=46.5,2,1)), IF(INDEX(ERP資料!$G:$G, (MATCH(542, 輔助計算!$G$2:$G$801, 0)+1))&lt;=790,3,IF(INDEX(ERP資料!$G:$G, (MATCH(542, 輔助計算!$G$2:$G$801, 0)+1))&lt;=1181,2,1)))=1,TEXT(INDEX(ERP資料!$G:$G, (MATCH(542, 輔助計算!$G$2:$G$801, 0)+1)),"0.##"),IF(IF(INDEX(ERP資料!$G:$G, (MATCH(542, 輔助計算!$G$2:$G$801, 0)+1))&lt;100, IF(INDEX(ERP資料!$G:$G, (MATCH(542, 輔助計算!$G$2:$G$801, 0)+1))&lt;=31,3,IF(INDEX(ERP資料!$G:$G, (MATCH(542, 輔助計算!$G$2:$G$801, 0)+1))&lt;=46.5,2,1)), IF(INDEX(ERP資料!$G:$G, (MATCH(542, 輔助計算!$G$2:$G$801, 0)+1))&lt;=790,3,IF(INDEX(ERP資料!$G:$G, (MATCH(542, 輔助計算!$G$2:$G$801, 0)+1))&lt;=1181,2,1)))=2,TEXT(INDEX(ERP資料!$G:$G, (MATCH(542, 輔助計算!$G$2:$G$801, 0)+1)),"0.##")&amp;"+"&amp;TEXT(INDEX(ERP資料!$G:$G, (MATCH(542, 輔助計算!$G$2:$G$801, 0)+1)),"0.##"),TEXT(INDEX(ERP資料!$G:$G, (MATCH(542, 輔助計算!$G$2:$G$801, 0)+1)),"0.##")&amp;"+"&amp;TEXT(INDEX(ERP資料!$G:$G, (MATCH(542, 輔助計算!$G$2:$G$801, 0)+1)),"0.##")&amp;"+"&amp;TEXT(INDEX(ERP資料!$G:$G, (MATCH(542, 輔助計算!$G$2:$G$801, 0)+1)),"0.##")))&amp;"-"&amp;INT(INDEX(輔助計算!$D:$D, (MATCH(542, 輔助計算!$G$2:$G$801, 0)+1))/IF(INDEX(ERP資料!$G:$G, (MATCH(542, 輔助計算!$G$2:$G$801, 0)+1))&lt;100, IF(INDEX(ERP資料!$G:$G, (MATCH(542, 輔助計算!$G$2:$G$801, 0)+1))&lt;=31,3,IF(INDEX(ERP資料!$G:$G, (MATCH(542, 輔助計算!$G$2:$G$801, 0)+1))&lt;=46.5,2,1)), IF(INDEX(ERP資料!$G:$G, (MATCH(542, 輔助計算!$G$2:$G$801, 0)+1))&lt;=790,3,IF(INDEX(ERP資料!$G:$G, (MATCH(542, 輔助計算!$G$2:$G$801, 0)+1))&lt;=1181,2,1)))), "")&amp;IF(AND(IF(INT(INDEX(輔助計算!$D:$D, (MATCH(542, 輔助計算!$G$2:$G$801, 0)+1))/IF(INDEX(ERP資料!$G:$G, (MATCH(542, 輔助計算!$G$2:$G$801, 0)+1))&lt;100, IF(INDEX(ERP資料!$G:$G, (MATCH(542, 輔助計算!$G$2:$G$801, 0)+1))&lt;=31,3,IF(INDEX(ERP資料!$G:$G, (MATCH(542, 輔助計算!$G$2:$G$801, 0)+1))&lt;=46.5,2,1)), IF(INDEX(ERP資料!$G:$G, (MATCH(542, 輔助計算!$G$2:$G$801, 0)+1))&lt;=790,3,IF(INDEX(ERP資料!$G:$G, (MATCH(542, 輔助計算!$G$2:$G$801, 0)+1))&lt;=1181,2,1))))&gt;0, IF(IF(INDEX(ERP資料!$G:$G, (MATCH(542, 輔助計算!$G$2:$G$801, 0)+1))&lt;100, IF(INDEX(ERP資料!$G:$G, (MATCH(542, 輔助計算!$G$2:$G$801, 0)+1))&lt;=31,3,IF(INDEX(ERP資料!$G:$G, (MATCH(542, 輔助計算!$G$2:$G$801, 0)+1))&lt;=46.5,2,1)), IF(INDEX(ERP資料!$G:$G, (MATCH(542, 輔助計算!$G$2:$G$801, 0)+1))&lt;=790,3,IF(INDEX(ERP資料!$G:$G, (MATCH(542, 輔助計算!$G$2:$G$801, 0)+1))&lt;=1181,2,1)))=1,TEXT(INDEX(ERP資料!$G:$G, (MATCH(542, 輔助計算!$G$2:$G$801, 0)+1)),"0.##"),IF(IF(INDEX(ERP資料!$G:$G, (MATCH(542, 輔助計算!$G$2:$G$801, 0)+1))&lt;100, IF(INDEX(ERP資料!$G:$G, (MATCH(542, 輔助計算!$G$2:$G$801, 0)+1))&lt;=31,3,IF(INDEX(ERP資料!$G:$G, (MATCH(542, 輔助計算!$G$2:$G$801, 0)+1))&lt;=46.5,2,1)), IF(INDEX(ERP資料!$G:$G, (MATCH(542, 輔助計算!$G$2:$G$801, 0)+1))&lt;=790,3,IF(INDEX(ERP資料!$G:$G, (MATCH(542, 輔助計算!$G$2:$G$801, 0)+1))&lt;=1181,2,1)))=2,TEXT(INDEX(ERP資料!$G:$G, (MATCH(542, 輔助計算!$G$2:$G$801, 0)+1)),"0.##")&amp;"+"&amp;TEXT(INDEX(ERP資料!$G:$G, (MATCH(542, 輔助計算!$G$2:$G$801, 0)+1)),"0.##"),TEXT(INDEX(ERP資料!$G:$G, (MATCH(542, 輔助計算!$G$2:$G$801, 0)+1)),"0.##")&amp;"+"&amp;TEXT(INDEX(ERP資料!$G:$G, (MATCH(542, 輔助計算!$G$2:$G$801, 0)+1)),"0.##")&amp;"+"&amp;TEXT(INDEX(ERP資料!$G:$G, (MATCH(542, 輔助計算!$G$2:$G$801, 0)+1)),"0.##")))&amp;"-"&amp;INT(INDEX(輔助計算!$D:$D, (MATCH(542, 輔助計算!$G$2:$G$801, 0)+1))/IF(INDEX(ERP資料!$G:$G, (MATCH(542, 輔助計算!$G$2:$G$801, 0)+1))&lt;100, IF(INDEX(ERP資料!$G:$G, (MATCH(542, 輔助計算!$G$2:$G$801, 0)+1))&lt;=31,3,IF(INDEX(ERP資料!$G:$G, (MATCH(542, 輔助計算!$G$2:$G$801, 0)+1))&lt;=46.5,2,1)), IF(INDEX(ERP資料!$G:$G, (MATCH(542, 輔助計算!$G$2:$G$801, 0)+1))&lt;=790,3,IF(INDEX(ERP資料!$G:$G, (MATCH(542, 輔助計算!$G$2:$G$801, 0)+1))&lt;=1181,2,1)))), "")&lt;&gt;"",IF(MOD(INDEX(輔助計算!$D:$D, (MATCH(542, 輔助計算!$G$2:$G$801, 0)+1)),IF(INDEX(ERP資料!$G:$G, (MATCH(542, 輔助計算!$G$2:$G$801, 0)+1))&lt;100, IF(INDEX(ERP資料!$G:$G, (MATCH(542, 輔助計算!$G$2:$G$801, 0)+1))&lt;=31,3,IF(INDEX(ERP資料!$G:$G, (MATCH(542, 輔助計算!$G$2:$G$801, 0)+1))&lt;=46.5,2,1)), IF(INDEX(ERP資料!$G:$G, (MATCH(542, 輔助計算!$G$2:$G$801, 0)+1))&lt;=790,3,IF(INDEX(ERP資料!$G:$G, (MATCH(542, 輔助計算!$G$2:$G$801, 0)+1))&lt;=1181,2,1))))=0,"",IF(MOD(INDEX(輔助計算!$D:$D, (MATCH(542, 輔助計算!$G$2:$G$801, 0)+1)),IF(INDEX(ERP資料!$G:$G, (MATCH(542, 輔助計算!$G$2:$G$801, 0)+1))&lt;100, IF(INDEX(ERP資料!$G:$G, (MATCH(542, 輔助計算!$G$2:$G$801, 0)+1))&lt;=31,3,IF(INDEX(ERP資料!$G:$G, (MATCH(542, 輔助計算!$G$2:$G$801, 0)+1))&lt;=46.5,2,1)), IF(INDEX(ERP資料!$G:$G, (MATCH(542, 輔助計算!$G$2:$G$801, 0)+1))&lt;=790,3,IF(INDEX(ERP資料!$G:$G, (MATCH(542, 輔助計算!$G$2:$G$801, 0)+1))&lt;=1181,2,1))))=0,"",IF(MOD(INDEX(輔助計算!$D:$D, (MATCH(542, 輔助計算!$G$2:$G$801, 0)+1)),IF(INDEX(ERP資料!$G:$G, (MATCH(542, 輔助計算!$G$2:$G$801, 0)+1))&lt;100, IF(INDEX(ERP資料!$G:$G, (MATCH(542, 輔助計算!$G$2:$G$801, 0)+1))&lt;=31,3,IF(INDEX(ERP資料!$G:$G, (MATCH(542, 輔助計算!$G$2:$G$801, 0)+1))&lt;=46.5,2,1)), IF(INDEX(ERP資料!$G:$G, (MATCH(542, 輔助計算!$G$2:$G$801, 0)+1))&lt;=790,3,IF(INDEX(ERP資料!$G:$G, (MATCH(542, 輔助計算!$G$2:$G$801, 0)+1))&lt;=1181,2,1))))=1,TEXT(INDEX(ERP資料!$G:$G, (MATCH(542, 輔助計算!$G$2:$G$801, 0)+1)),"0.##"),IF(MOD(INDEX(輔助計算!$D:$D, (MATCH(542, 輔助計算!$G$2:$G$801, 0)+1)),IF(INDEX(ERP資料!$G:$G, (MATCH(542, 輔助計算!$G$2:$G$801, 0)+1))&lt;100, IF(INDEX(ERP資料!$G:$G, (MATCH(542, 輔助計算!$G$2:$G$801, 0)+1))&lt;=31,3,IF(INDEX(ERP資料!$G:$G, (MATCH(542, 輔助計算!$G$2:$G$801, 0)+1))&lt;=46.5,2,1)), IF(INDEX(ERP資料!$G:$G, (MATCH(542, 輔助計算!$G$2:$G$801, 0)+1))&lt;=790,3,IF(INDEX(ERP資料!$G:$G, (MATCH(542, 輔助計算!$G$2:$G$801, 0)+1))&lt;=1181,2,1))))=2,TEXT(INDEX(ERP資料!$G:$G, (MATCH(542, 輔助計算!$G$2:$G$801, 0)+1)),"0.##")&amp;"+"&amp;TEXT(INDEX(ERP資料!$G:$G, (MATCH(542, 輔助計算!$G$2:$G$801, 0)+1)),"0.##"),TEXT(INDEX(ERP資料!$G:$G, (MATCH(542, 輔助計算!$G$2:$G$801, 0)+1)),"0.##")&amp;"+"&amp;TEXT(INDEX(ERP資料!$G:$G, (MATCH(542, 輔助計算!$G$2:$G$801, 0)+1)),"0.##")&amp;"+"&amp;TEXT(INDEX(ERP資料!$G:$G, (MATCH(542, 輔助計算!$G$2:$G$801, 0)+1)),"0.##"))))&amp;"-1")&lt;&gt;""),"  ","")&amp;IF(MOD(INDEX(輔助計算!$D:$D, (MATCH(542, 輔助計算!$G$2:$G$801, 0)+1)),IF(INDEX(ERP資料!$G:$G, (MATCH(542, 輔助計算!$G$2:$G$801, 0)+1))&lt;100, IF(INDEX(ERP資料!$G:$G, (MATCH(542, 輔助計算!$G$2:$G$801, 0)+1))&lt;=31,3,IF(INDEX(ERP資料!$G:$G, (MATCH(542, 輔助計算!$G$2:$G$801, 0)+1))&lt;=46.5,2,1)), IF(INDEX(ERP資料!$G:$G, (MATCH(542, 輔助計算!$G$2:$G$801, 0)+1))&lt;=790,3,IF(INDEX(ERP資料!$G:$G, (MATCH(542, 輔助計算!$G$2:$G$801, 0)+1))&lt;=1181,2,1))))=0,"",IF(MOD(INDEX(輔助計算!$D:$D, (MATCH(542, 輔助計算!$G$2:$G$801, 0)+1)),IF(INDEX(ERP資料!$G:$G, (MATCH(542, 輔助計算!$G$2:$G$801, 0)+1))&lt;100, IF(INDEX(ERP資料!$G:$G, (MATCH(542, 輔助計算!$G$2:$G$801, 0)+1))&lt;=31,3,IF(INDEX(ERP資料!$G:$G, (MATCH(542, 輔助計算!$G$2:$G$801, 0)+1))&lt;=46.5,2,1)), IF(INDEX(ERP資料!$G:$G, (MATCH(542, 輔助計算!$G$2:$G$801, 0)+1))&lt;=790,3,IF(INDEX(ERP資料!$G:$G, (MATCH(542, 輔助計算!$G$2:$G$801, 0)+1))&lt;=1181,2,1))))=0,"",IF(MOD(INDEX(輔助計算!$D:$D, (MATCH(542, 輔助計算!$G$2:$G$801, 0)+1)),IF(INDEX(ERP資料!$G:$G, (MATCH(542, 輔助計算!$G$2:$G$801, 0)+1))&lt;100, IF(INDEX(ERP資料!$G:$G, (MATCH(542, 輔助計算!$G$2:$G$801, 0)+1))&lt;=31,3,IF(INDEX(ERP資料!$G:$G, (MATCH(542, 輔助計算!$G$2:$G$801, 0)+1))&lt;=46.5,2,1)), IF(INDEX(ERP資料!$G:$G, (MATCH(542, 輔助計算!$G$2:$G$801, 0)+1))&lt;=790,3,IF(INDEX(ERP資料!$G:$G, (MATCH(542, 輔助計算!$G$2:$G$801, 0)+1))&lt;=1181,2,1))))=1,TEXT(INDEX(ERP資料!$G:$G, (MATCH(542, 輔助計算!$G$2:$G$801, 0)+1)),"0.##"),IF(MOD(INDEX(輔助計算!$D:$D, (MATCH(542, 輔助計算!$G$2:$G$801, 0)+1)),IF(INDEX(ERP資料!$G:$G, (MATCH(542, 輔助計算!$G$2:$G$801, 0)+1))&lt;100, IF(INDEX(ERP資料!$G:$G, (MATCH(542, 輔助計算!$G$2:$G$801, 0)+1))&lt;=31,3,IF(INDEX(ERP資料!$G:$G, (MATCH(542, 輔助計算!$G$2:$G$801, 0)+1))&lt;=46.5,2,1)), IF(INDEX(ERP資料!$G:$G, (MATCH(542, 輔助計算!$G$2:$G$801, 0)+1))&lt;=790,3,IF(INDEX(ERP資料!$G:$G, (MATCH(542, 輔助計算!$G$2:$G$801, 0)+1))&lt;=1181,2,1))))=2,TEXT(INDEX(ERP資料!$G:$G, (MATCH(542, 輔助計算!$G$2:$G$801, 0)+1)),"0.##")&amp;"+"&amp;TEXT(INDEX(ERP資料!$G:$G, (MATCH(542, 輔助計算!$G$2:$G$801, 0)+1)),"0.##"),TEXT(INDEX(ERP資料!$G:$G, (MATCH(542, 輔助計算!$G$2:$G$801, 0)+1)),"0.##")&amp;"+"&amp;TEXT(INDEX(ERP資料!$G:$G, (MATCH(542, 輔助計算!$G$2:$G$801, 0)+1)),"0.##")&amp;"+"&amp;TEXT(INDEX(ERP資料!$G:$G, (MATCH(542, 輔助計算!$G$2:$G$801, 0)+1)),"0.##"))))&amp;"-1")), ""), "")</f>
        <v/>
      </c>
      <c r="K543" s="16" t="n"/>
      <c r="L543" s="14">
        <f>IFERROR(IF(AND(IFERROR(INDEX(ERP資料!$A:$A, (MATCH(542, 輔助計算!$G$2:$G$801, 0)+1)), "")&lt;&gt;"", IFERROR(INDEX(ERP資料!$A:$A, (MATCH(542, 輔助計算!$G$2:$G$801, 0)+1)), "")&lt;&gt;IFERROR(INDEX(ERP資料!$A:$A, MATCH(541, 輔助計算!$G$2:$G$801, 0)+1), "")), INDEX(ERP資料!$B:$B, (MATCH(542, 輔助計算!$G$2:$G$801, 0)+1)), ""), "")</f>
        <v/>
      </c>
      <c r="M543" s="17" t="n"/>
    </row>
    <row r="544">
      <c r="A544" s="10">
        <f>IFERROR(IF(AND(IFERROR(INDEX(ERP資料!$A:$A, (MATCH(543, 輔助計算!$G$2:$G$801, 0)+1)), "")&lt;&gt;"", IFERROR(INDEX(ERP資料!$A:$A, (MATCH(543, 輔助計算!$G$2:$G$801, 0)+1)), "")&lt;&gt;IFERROR(INDEX(ERP資料!$A:$A, MATCH(542, 輔助計算!$G$2:$G$801, 0)+1), "")), IFERROR(INDEX(ERP資料!$A:$A, (MATCH(543, 輔助計算!$G$2:$G$801, 0)+1)), ""), ""), "")</f>
        <v/>
      </c>
      <c r="B544" s="10">
        <f>IFERROR(IF(AND(IFERROR(INDEX(ERP資料!$A:$A, (MATCH(543, 輔助計算!$G$2:$G$801, 0)+1)), "")&lt;&gt;"", IFERROR(INDEX(ERP資料!$A:$A, (MATCH(543, 輔助計算!$G$2:$G$801, 0)+1)), "")&lt;&gt;IFERROR(INDEX(ERP資料!$A:$A, MATCH(542, 輔助計算!$G$2:$G$801, 0)+1), "")), INDEX(ERP資料!$S:$S, (MATCH(543, 輔助計算!$G$2:$G$801, 0)+1)), ""), "")</f>
        <v/>
      </c>
      <c r="C544" s="19">
        <f>IFERROR(IF(AND(IFERROR(INDEX(ERP資料!$A:$A, (MATCH(543, 輔助計算!$G$2:$G$801, 0)+1)), "")&lt;&gt;"", IFERROR(INDEX(ERP資料!$A:$A, (MATCH(543, 輔助計算!$G$2:$G$801, 0)+1)), "")&lt;&gt;IFERROR(INDEX(ERP資料!$A:$A, MATCH(542, 輔助計算!$G$2:$G$801, 0)+1), "")), IFERROR(VLOOKUP(LEFT(INDEX(ERP資料!$S:$S, (MATCH(543, 輔助計算!$G$2:$G$801, 0)+1)), 4), 紙管對照表!$A:$C, 3, FALSE), ""), ""), "")</f>
        <v/>
      </c>
      <c r="D544" s="16" t="n"/>
      <c r="E544" s="10">
        <f>IFERROR(IF(INDEX(ERP資料!$H:$H, (MATCH(543, 輔助計算!$G$2:$G$801, 0)+1))="","",INDEX(ERP資料!$H:$H, (MATCH(543, 輔助計算!$G$2:$G$801, 0)+1))), "")</f>
        <v/>
      </c>
      <c r="F544" s="10">
        <f>IFERROR(IF(INDEX(ERP資料!$E:$E, (MATCH(543, 輔助計算!$G$2:$G$801, 0)+1))="","",TRIM(INDEX(ERP資料!$E:$E, (MATCH(543, 輔助計算!$G$2:$G$801, 0)+1)))), "")</f>
        <v/>
      </c>
      <c r="G544" s="10">
        <f>IFERROR(IF(INDEX(ERP資料!$F:$F, (MATCH(543, 輔助計算!$G$2:$G$801, 0)+1))="","",INDEX(ERP資料!$F:$F, (MATCH(543, 輔助計算!$G$2:$G$801, 0)+1))), "")</f>
        <v/>
      </c>
      <c r="H544" s="10">
        <f>IFERROR(IF(INDEX(ERP資料!$G:$G, (MATCH(543, 輔助計算!$G$2:$G$801, 0)+1))="","",INDEX(ERP資料!$G:$G, (MATCH(543, 輔助計算!$G$2:$G$801, 0)+1))), "")</f>
        <v/>
      </c>
      <c r="I544" s="15">
        <f>IFERROR(INDEX(輔助計算!$D:$D, (MATCH(543, 輔助計算!$G$2:$G$801, 0)+1)), "")</f>
        <v/>
      </c>
      <c r="J544" s="15">
        <f>IFERROR(IF(AND(INDEX(輔助計算!$D:$D, (MATCH(543, 輔助計算!$G$2:$G$801, 0)+1))&lt;&gt;"", INDEX(ERP資料!$G:$G, (MATCH(543, 輔助計算!$G$2:$G$801, 0)+1))&lt;&gt;""), TRIM(IF(INT(INDEX(輔助計算!$D:$D, (MATCH(543, 輔助計算!$G$2:$G$801, 0)+1))/IF(INDEX(ERP資料!$G:$G, (MATCH(543, 輔助計算!$G$2:$G$801, 0)+1))&lt;100, IF(INDEX(ERP資料!$G:$G, (MATCH(543, 輔助計算!$G$2:$G$801, 0)+1))&lt;=31,3,IF(INDEX(ERP資料!$G:$G, (MATCH(543, 輔助計算!$G$2:$G$801, 0)+1))&lt;=46.5,2,1)), IF(INDEX(ERP資料!$G:$G, (MATCH(543, 輔助計算!$G$2:$G$801, 0)+1))&lt;=790,3,IF(INDEX(ERP資料!$G:$G, (MATCH(543, 輔助計算!$G$2:$G$801, 0)+1))&lt;=1181,2,1))))&gt;0, IF(IF(INDEX(ERP資料!$G:$G, (MATCH(543, 輔助計算!$G$2:$G$801, 0)+1))&lt;100, IF(INDEX(ERP資料!$G:$G, (MATCH(543, 輔助計算!$G$2:$G$801, 0)+1))&lt;=31,3,IF(INDEX(ERP資料!$G:$G, (MATCH(543, 輔助計算!$G$2:$G$801, 0)+1))&lt;=46.5,2,1)), IF(INDEX(ERP資料!$G:$G, (MATCH(543, 輔助計算!$G$2:$G$801, 0)+1))&lt;=790,3,IF(INDEX(ERP資料!$G:$G, (MATCH(543, 輔助計算!$G$2:$G$801, 0)+1))&lt;=1181,2,1)))=1,TEXT(INDEX(ERP資料!$G:$G, (MATCH(543, 輔助計算!$G$2:$G$801, 0)+1)),"0.##"),IF(IF(INDEX(ERP資料!$G:$G, (MATCH(543, 輔助計算!$G$2:$G$801, 0)+1))&lt;100, IF(INDEX(ERP資料!$G:$G, (MATCH(543, 輔助計算!$G$2:$G$801, 0)+1))&lt;=31,3,IF(INDEX(ERP資料!$G:$G, (MATCH(543, 輔助計算!$G$2:$G$801, 0)+1))&lt;=46.5,2,1)), IF(INDEX(ERP資料!$G:$G, (MATCH(543, 輔助計算!$G$2:$G$801, 0)+1))&lt;=790,3,IF(INDEX(ERP資料!$G:$G, (MATCH(543, 輔助計算!$G$2:$G$801, 0)+1))&lt;=1181,2,1)))=2,TEXT(INDEX(ERP資料!$G:$G, (MATCH(543, 輔助計算!$G$2:$G$801, 0)+1)),"0.##")&amp;"+"&amp;TEXT(INDEX(ERP資料!$G:$G, (MATCH(543, 輔助計算!$G$2:$G$801, 0)+1)),"0.##"),TEXT(INDEX(ERP資料!$G:$G, (MATCH(543, 輔助計算!$G$2:$G$801, 0)+1)),"0.##")&amp;"+"&amp;TEXT(INDEX(ERP資料!$G:$G, (MATCH(543, 輔助計算!$G$2:$G$801, 0)+1)),"0.##")&amp;"+"&amp;TEXT(INDEX(ERP資料!$G:$G, (MATCH(543, 輔助計算!$G$2:$G$801, 0)+1)),"0.##")))&amp;"-"&amp;INT(INDEX(輔助計算!$D:$D, (MATCH(543, 輔助計算!$G$2:$G$801, 0)+1))/IF(INDEX(ERP資料!$G:$G, (MATCH(543, 輔助計算!$G$2:$G$801, 0)+1))&lt;100, IF(INDEX(ERP資料!$G:$G, (MATCH(543, 輔助計算!$G$2:$G$801, 0)+1))&lt;=31,3,IF(INDEX(ERP資料!$G:$G, (MATCH(543, 輔助計算!$G$2:$G$801, 0)+1))&lt;=46.5,2,1)), IF(INDEX(ERP資料!$G:$G, (MATCH(543, 輔助計算!$G$2:$G$801, 0)+1))&lt;=790,3,IF(INDEX(ERP資料!$G:$G, (MATCH(543, 輔助計算!$G$2:$G$801, 0)+1))&lt;=1181,2,1)))), "")&amp;IF(AND(IF(INT(INDEX(輔助計算!$D:$D, (MATCH(543, 輔助計算!$G$2:$G$801, 0)+1))/IF(INDEX(ERP資料!$G:$G, (MATCH(543, 輔助計算!$G$2:$G$801, 0)+1))&lt;100, IF(INDEX(ERP資料!$G:$G, (MATCH(543, 輔助計算!$G$2:$G$801, 0)+1))&lt;=31,3,IF(INDEX(ERP資料!$G:$G, (MATCH(543, 輔助計算!$G$2:$G$801, 0)+1))&lt;=46.5,2,1)), IF(INDEX(ERP資料!$G:$G, (MATCH(543, 輔助計算!$G$2:$G$801, 0)+1))&lt;=790,3,IF(INDEX(ERP資料!$G:$G, (MATCH(543, 輔助計算!$G$2:$G$801, 0)+1))&lt;=1181,2,1))))&gt;0, IF(IF(INDEX(ERP資料!$G:$G, (MATCH(543, 輔助計算!$G$2:$G$801, 0)+1))&lt;100, IF(INDEX(ERP資料!$G:$G, (MATCH(543, 輔助計算!$G$2:$G$801, 0)+1))&lt;=31,3,IF(INDEX(ERP資料!$G:$G, (MATCH(543, 輔助計算!$G$2:$G$801, 0)+1))&lt;=46.5,2,1)), IF(INDEX(ERP資料!$G:$G, (MATCH(543, 輔助計算!$G$2:$G$801, 0)+1))&lt;=790,3,IF(INDEX(ERP資料!$G:$G, (MATCH(543, 輔助計算!$G$2:$G$801, 0)+1))&lt;=1181,2,1)))=1,TEXT(INDEX(ERP資料!$G:$G, (MATCH(543, 輔助計算!$G$2:$G$801, 0)+1)),"0.##"),IF(IF(INDEX(ERP資料!$G:$G, (MATCH(543, 輔助計算!$G$2:$G$801, 0)+1))&lt;100, IF(INDEX(ERP資料!$G:$G, (MATCH(543, 輔助計算!$G$2:$G$801, 0)+1))&lt;=31,3,IF(INDEX(ERP資料!$G:$G, (MATCH(543, 輔助計算!$G$2:$G$801, 0)+1))&lt;=46.5,2,1)), IF(INDEX(ERP資料!$G:$G, (MATCH(543, 輔助計算!$G$2:$G$801, 0)+1))&lt;=790,3,IF(INDEX(ERP資料!$G:$G, (MATCH(543, 輔助計算!$G$2:$G$801, 0)+1))&lt;=1181,2,1)))=2,TEXT(INDEX(ERP資料!$G:$G, (MATCH(543, 輔助計算!$G$2:$G$801, 0)+1)),"0.##")&amp;"+"&amp;TEXT(INDEX(ERP資料!$G:$G, (MATCH(543, 輔助計算!$G$2:$G$801, 0)+1)),"0.##"),TEXT(INDEX(ERP資料!$G:$G, (MATCH(543, 輔助計算!$G$2:$G$801, 0)+1)),"0.##")&amp;"+"&amp;TEXT(INDEX(ERP資料!$G:$G, (MATCH(543, 輔助計算!$G$2:$G$801, 0)+1)),"0.##")&amp;"+"&amp;TEXT(INDEX(ERP資料!$G:$G, (MATCH(543, 輔助計算!$G$2:$G$801, 0)+1)),"0.##")))&amp;"-"&amp;INT(INDEX(輔助計算!$D:$D, (MATCH(543, 輔助計算!$G$2:$G$801, 0)+1))/IF(INDEX(ERP資料!$G:$G, (MATCH(543, 輔助計算!$G$2:$G$801, 0)+1))&lt;100, IF(INDEX(ERP資料!$G:$G, (MATCH(543, 輔助計算!$G$2:$G$801, 0)+1))&lt;=31,3,IF(INDEX(ERP資料!$G:$G, (MATCH(543, 輔助計算!$G$2:$G$801, 0)+1))&lt;=46.5,2,1)), IF(INDEX(ERP資料!$G:$G, (MATCH(543, 輔助計算!$G$2:$G$801, 0)+1))&lt;=790,3,IF(INDEX(ERP資料!$G:$G, (MATCH(543, 輔助計算!$G$2:$G$801, 0)+1))&lt;=1181,2,1)))), "")&lt;&gt;"",IF(MOD(INDEX(輔助計算!$D:$D, (MATCH(543, 輔助計算!$G$2:$G$801, 0)+1)),IF(INDEX(ERP資料!$G:$G, (MATCH(543, 輔助計算!$G$2:$G$801, 0)+1))&lt;100, IF(INDEX(ERP資料!$G:$G, (MATCH(543, 輔助計算!$G$2:$G$801, 0)+1))&lt;=31,3,IF(INDEX(ERP資料!$G:$G, (MATCH(543, 輔助計算!$G$2:$G$801, 0)+1))&lt;=46.5,2,1)), IF(INDEX(ERP資料!$G:$G, (MATCH(543, 輔助計算!$G$2:$G$801, 0)+1))&lt;=790,3,IF(INDEX(ERP資料!$G:$G, (MATCH(543, 輔助計算!$G$2:$G$801, 0)+1))&lt;=1181,2,1))))=0,"",IF(MOD(INDEX(輔助計算!$D:$D, (MATCH(543, 輔助計算!$G$2:$G$801, 0)+1)),IF(INDEX(ERP資料!$G:$G, (MATCH(543, 輔助計算!$G$2:$G$801, 0)+1))&lt;100, IF(INDEX(ERP資料!$G:$G, (MATCH(543, 輔助計算!$G$2:$G$801, 0)+1))&lt;=31,3,IF(INDEX(ERP資料!$G:$G, (MATCH(543, 輔助計算!$G$2:$G$801, 0)+1))&lt;=46.5,2,1)), IF(INDEX(ERP資料!$G:$G, (MATCH(543, 輔助計算!$G$2:$G$801, 0)+1))&lt;=790,3,IF(INDEX(ERP資料!$G:$G, (MATCH(543, 輔助計算!$G$2:$G$801, 0)+1))&lt;=1181,2,1))))=0,"",IF(MOD(INDEX(輔助計算!$D:$D, (MATCH(543, 輔助計算!$G$2:$G$801, 0)+1)),IF(INDEX(ERP資料!$G:$G, (MATCH(543, 輔助計算!$G$2:$G$801, 0)+1))&lt;100, IF(INDEX(ERP資料!$G:$G, (MATCH(543, 輔助計算!$G$2:$G$801, 0)+1))&lt;=31,3,IF(INDEX(ERP資料!$G:$G, (MATCH(543, 輔助計算!$G$2:$G$801, 0)+1))&lt;=46.5,2,1)), IF(INDEX(ERP資料!$G:$G, (MATCH(543, 輔助計算!$G$2:$G$801, 0)+1))&lt;=790,3,IF(INDEX(ERP資料!$G:$G, (MATCH(543, 輔助計算!$G$2:$G$801, 0)+1))&lt;=1181,2,1))))=1,TEXT(INDEX(ERP資料!$G:$G, (MATCH(543, 輔助計算!$G$2:$G$801, 0)+1)),"0.##"),IF(MOD(INDEX(輔助計算!$D:$D, (MATCH(543, 輔助計算!$G$2:$G$801, 0)+1)),IF(INDEX(ERP資料!$G:$G, (MATCH(543, 輔助計算!$G$2:$G$801, 0)+1))&lt;100, IF(INDEX(ERP資料!$G:$G, (MATCH(543, 輔助計算!$G$2:$G$801, 0)+1))&lt;=31,3,IF(INDEX(ERP資料!$G:$G, (MATCH(543, 輔助計算!$G$2:$G$801, 0)+1))&lt;=46.5,2,1)), IF(INDEX(ERP資料!$G:$G, (MATCH(543, 輔助計算!$G$2:$G$801, 0)+1))&lt;=790,3,IF(INDEX(ERP資料!$G:$G, (MATCH(543, 輔助計算!$G$2:$G$801, 0)+1))&lt;=1181,2,1))))=2,TEXT(INDEX(ERP資料!$G:$G, (MATCH(543, 輔助計算!$G$2:$G$801, 0)+1)),"0.##")&amp;"+"&amp;TEXT(INDEX(ERP資料!$G:$G, (MATCH(543, 輔助計算!$G$2:$G$801, 0)+1)),"0.##"),TEXT(INDEX(ERP資料!$G:$G, (MATCH(543, 輔助計算!$G$2:$G$801, 0)+1)),"0.##")&amp;"+"&amp;TEXT(INDEX(ERP資料!$G:$G, (MATCH(543, 輔助計算!$G$2:$G$801, 0)+1)),"0.##")&amp;"+"&amp;TEXT(INDEX(ERP資料!$G:$G, (MATCH(543, 輔助計算!$G$2:$G$801, 0)+1)),"0.##"))))&amp;"-1")&lt;&gt;""),"  ","")&amp;IF(MOD(INDEX(輔助計算!$D:$D, (MATCH(543, 輔助計算!$G$2:$G$801, 0)+1)),IF(INDEX(ERP資料!$G:$G, (MATCH(543, 輔助計算!$G$2:$G$801, 0)+1))&lt;100, IF(INDEX(ERP資料!$G:$G, (MATCH(543, 輔助計算!$G$2:$G$801, 0)+1))&lt;=31,3,IF(INDEX(ERP資料!$G:$G, (MATCH(543, 輔助計算!$G$2:$G$801, 0)+1))&lt;=46.5,2,1)), IF(INDEX(ERP資料!$G:$G, (MATCH(543, 輔助計算!$G$2:$G$801, 0)+1))&lt;=790,3,IF(INDEX(ERP資料!$G:$G, (MATCH(543, 輔助計算!$G$2:$G$801, 0)+1))&lt;=1181,2,1))))=0,"",IF(MOD(INDEX(輔助計算!$D:$D, (MATCH(543, 輔助計算!$G$2:$G$801, 0)+1)),IF(INDEX(ERP資料!$G:$G, (MATCH(543, 輔助計算!$G$2:$G$801, 0)+1))&lt;100, IF(INDEX(ERP資料!$G:$G, (MATCH(543, 輔助計算!$G$2:$G$801, 0)+1))&lt;=31,3,IF(INDEX(ERP資料!$G:$G, (MATCH(543, 輔助計算!$G$2:$G$801, 0)+1))&lt;=46.5,2,1)), IF(INDEX(ERP資料!$G:$G, (MATCH(543, 輔助計算!$G$2:$G$801, 0)+1))&lt;=790,3,IF(INDEX(ERP資料!$G:$G, (MATCH(543, 輔助計算!$G$2:$G$801, 0)+1))&lt;=1181,2,1))))=0,"",IF(MOD(INDEX(輔助計算!$D:$D, (MATCH(543, 輔助計算!$G$2:$G$801, 0)+1)),IF(INDEX(ERP資料!$G:$G, (MATCH(543, 輔助計算!$G$2:$G$801, 0)+1))&lt;100, IF(INDEX(ERP資料!$G:$G, (MATCH(543, 輔助計算!$G$2:$G$801, 0)+1))&lt;=31,3,IF(INDEX(ERP資料!$G:$G, (MATCH(543, 輔助計算!$G$2:$G$801, 0)+1))&lt;=46.5,2,1)), IF(INDEX(ERP資料!$G:$G, (MATCH(543, 輔助計算!$G$2:$G$801, 0)+1))&lt;=790,3,IF(INDEX(ERP資料!$G:$G, (MATCH(543, 輔助計算!$G$2:$G$801, 0)+1))&lt;=1181,2,1))))=1,TEXT(INDEX(ERP資料!$G:$G, (MATCH(543, 輔助計算!$G$2:$G$801, 0)+1)),"0.##"),IF(MOD(INDEX(輔助計算!$D:$D, (MATCH(543, 輔助計算!$G$2:$G$801, 0)+1)),IF(INDEX(ERP資料!$G:$G, (MATCH(543, 輔助計算!$G$2:$G$801, 0)+1))&lt;100, IF(INDEX(ERP資料!$G:$G, (MATCH(543, 輔助計算!$G$2:$G$801, 0)+1))&lt;=31,3,IF(INDEX(ERP資料!$G:$G, (MATCH(543, 輔助計算!$G$2:$G$801, 0)+1))&lt;=46.5,2,1)), IF(INDEX(ERP資料!$G:$G, (MATCH(543, 輔助計算!$G$2:$G$801, 0)+1))&lt;=790,3,IF(INDEX(ERP資料!$G:$G, (MATCH(543, 輔助計算!$G$2:$G$801, 0)+1))&lt;=1181,2,1))))=2,TEXT(INDEX(ERP資料!$G:$G, (MATCH(543, 輔助計算!$G$2:$G$801, 0)+1)),"0.##")&amp;"+"&amp;TEXT(INDEX(ERP資料!$G:$G, (MATCH(543, 輔助計算!$G$2:$G$801, 0)+1)),"0.##"),TEXT(INDEX(ERP資料!$G:$G, (MATCH(543, 輔助計算!$G$2:$G$801, 0)+1)),"0.##")&amp;"+"&amp;TEXT(INDEX(ERP資料!$G:$G, (MATCH(543, 輔助計算!$G$2:$G$801, 0)+1)),"0.##")&amp;"+"&amp;TEXT(INDEX(ERP資料!$G:$G, (MATCH(543, 輔助計算!$G$2:$G$801, 0)+1)),"0.##"))))&amp;"-1")), ""), "")</f>
        <v/>
      </c>
      <c r="K544" s="16" t="n"/>
      <c r="L544" s="14">
        <f>IFERROR(IF(AND(IFERROR(INDEX(ERP資料!$A:$A, (MATCH(543, 輔助計算!$G$2:$G$801, 0)+1)), "")&lt;&gt;"", IFERROR(INDEX(ERP資料!$A:$A, (MATCH(543, 輔助計算!$G$2:$G$801, 0)+1)), "")&lt;&gt;IFERROR(INDEX(ERP資料!$A:$A, MATCH(542, 輔助計算!$G$2:$G$801, 0)+1), "")), INDEX(ERP資料!$B:$B, (MATCH(543, 輔助計算!$G$2:$G$801, 0)+1)), ""), "")</f>
        <v/>
      </c>
      <c r="M544" s="17" t="n"/>
    </row>
    <row r="545">
      <c r="A545" s="10">
        <f>IFERROR(IF(AND(IFERROR(INDEX(ERP資料!$A:$A, (MATCH(544, 輔助計算!$G$2:$G$801, 0)+1)), "")&lt;&gt;"", IFERROR(INDEX(ERP資料!$A:$A, (MATCH(544, 輔助計算!$G$2:$G$801, 0)+1)), "")&lt;&gt;IFERROR(INDEX(ERP資料!$A:$A, MATCH(543, 輔助計算!$G$2:$G$801, 0)+1), "")), IFERROR(INDEX(ERP資料!$A:$A, (MATCH(544, 輔助計算!$G$2:$G$801, 0)+1)), ""), ""), "")</f>
        <v/>
      </c>
      <c r="B545" s="10">
        <f>IFERROR(IF(AND(IFERROR(INDEX(ERP資料!$A:$A, (MATCH(544, 輔助計算!$G$2:$G$801, 0)+1)), "")&lt;&gt;"", IFERROR(INDEX(ERP資料!$A:$A, (MATCH(544, 輔助計算!$G$2:$G$801, 0)+1)), "")&lt;&gt;IFERROR(INDEX(ERP資料!$A:$A, MATCH(543, 輔助計算!$G$2:$G$801, 0)+1), "")), INDEX(ERP資料!$S:$S, (MATCH(544, 輔助計算!$G$2:$G$801, 0)+1)), ""), "")</f>
        <v/>
      </c>
      <c r="C545" s="19">
        <f>IFERROR(IF(AND(IFERROR(INDEX(ERP資料!$A:$A, (MATCH(544, 輔助計算!$G$2:$G$801, 0)+1)), "")&lt;&gt;"", IFERROR(INDEX(ERP資料!$A:$A, (MATCH(544, 輔助計算!$G$2:$G$801, 0)+1)), "")&lt;&gt;IFERROR(INDEX(ERP資料!$A:$A, MATCH(543, 輔助計算!$G$2:$G$801, 0)+1), "")), IFERROR(VLOOKUP(LEFT(INDEX(ERP資料!$S:$S, (MATCH(544, 輔助計算!$G$2:$G$801, 0)+1)), 4), 紙管對照表!$A:$C, 3, FALSE), ""), ""), "")</f>
        <v/>
      </c>
      <c r="D545" s="16" t="n"/>
      <c r="E545" s="10">
        <f>IFERROR(IF(INDEX(ERP資料!$H:$H, (MATCH(544, 輔助計算!$G$2:$G$801, 0)+1))="","",INDEX(ERP資料!$H:$H, (MATCH(544, 輔助計算!$G$2:$G$801, 0)+1))), "")</f>
        <v/>
      </c>
      <c r="F545" s="10">
        <f>IFERROR(IF(INDEX(ERP資料!$E:$E, (MATCH(544, 輔助計算!$G$2:$G$801, 0)+1))="","",TRIM(INDEX(ERP資料!$E:$E, (MATCH(544, 輔助計算!$G$2:$G$801, 0)+1)))), "")</f>
        <v/>
      </c>
      <c r="G545" s="10">
        <f>IFERROR(IF(INDEX(ERP資料!$F:$F, (MATCH(544, 輔助計算!$G$2:$G$801, 0)+1))="","",INDEX(ERP資料!$F:$F, (MATCH(544, 輔助計算!$G$2:$G$801, 0)+1))), "")</f>
        <v/>
      </c>
      <c r="H545" s="10">
        <f>IFERROR(IF(INDEX(ERP資料!$G:$G, (MATCH(544, 輔助計算!$G$2:$G$801, 0)+1))="","",INDEX(ERP資料!$G:$G, (MATCH(544, 輔助計算!$G$2:$G$801, 0)+1))), "")</f>
        <v/>
      </c>
      <c r="I545" s="15">
        <f>IFERROR(INDEX(輔助計算!$D:$D, (MATCH(544, 輔助計算!$G$2:$G$801, 0)+1)), "")</f>
        <v/>
      </c>
      <c r="J545" s="15">
        <f>IFERROR(IF(AND(INDEX(輔助計算!$D:$D, (MATCH(544, 輔助計算!$G$2:$G$801, 0)+1))&lt;&gt;"", INDEX(ERP資料!$G:$G, (MATCH(544, 輔助計算!$G$2:$G$801, 0)+1))&lt;&gt;""), TRIM(IF(INT(INDEX(輔助計算!$D:$D, (MATCH(544, 輔助計算!$G$2:$G$801, 0)+1))/IF(INDEX(ERP資料!$G:$G, (MATCH(544, 輔助計算!$G$2:$G$801, 0)+1))&lt;100, IF(INDEX(ERP資料!$G:$G, (MATCH(544, 輔助計算!$G$2:$G$801, 0)+1))&lt;=31,3,IF(INDEX(ERP資料!$G:$G, (MATCH(544, 輔助計算!$G$2:$G$801, 0)+1))&lt;=46.5,2,1)), IF(INDEX(ERP資料!$G:$G, (MATCH(544, 輔助計算!$G$2:$G$801, 0)+1))&lt;=790,3,IF(INDEX(ERP資料!$G:$G, (MATCH(544, 輔助計算!$G$2:$G$801, 0)+1))&lt;=1181,2,1))))&gt;0, IF(IF(INDEX(ERP資料!$G:$G, (MATCH(544, 輔助計算!$G$2:$G$801, 0)+1))&lt;100, IF(INDEX(ERP資料!$G:$G, (MATCH(544, 輔助計算!$G$2:$G$801, 0)+1))&lt;=31,3,IF(INDEX(ERP資料!$G:$G, (MATCH(544, 輔助計算!$G$2:$G$801, 0)+1))&lt;=46.5,2,1)), IF(INDEX(ERP資料!$G:$G, (MATCH(544, 輔助計算!$G$2:$G$801, 0)+1))&lt;=790,3,IF(INDEX(ERP資料!$G:$G, (MATCH(544, 輔助計算!$G$2:$G$801, 0)+1))&lt;=1181,2,1)))=1,TEXT(INDEX(ERP資料!$G:$G, (MATCH(544, 輔助計算!$G$2:$G$801, 0)+1)),"0.##"),IF(IF(INDEX(ERP資料!$G:$G, (MATCH(544, 輔助計算!$G$2:$G$801, 0)+1))&lt;100, IF(INDEX(ERP資料!$G:$G, (MATCH(544, 輔助計算!$G$2:$G$801, 0)+1))&lt;=31,3,IF(INDEX(ERP資料!$G:$G, (MATCH(544, 輔助計算!$G$2:$G$801, 0)+1))&lt;=46.5,2,1)), IF(INDEX(ERP資料!$G:$G, (MATCH(544, 輔助計算!$G$2:$G$801, 0)+1))&lt;=790,3,IF(INDEX(ERP資料!$G:$G, (MATCH(544, 輔助計算!$G$2:$G$801, 0)+1))&lt;=1181,2,1)))=2,TEXT(INDEX(ERP資料!$G:$G, (MATCH(544, 輔助計算!$G$2:$G$801, 0)+1)),"0.##")&amp;"+"&amp;TEXT(INDEX(ERP資料!$G:$G, (MATCH(544, 輔助計算!$G$2:$G$801, 0)+1)),"0.##"),TEXT(INDEX(ERP資料!$G:$G, (MATCH(544, 輔助計算!$G$2:$G$801, 0)+1)),"0.##")&amp;"+"&amp;TEXT(INDEX(ERP資料!$G:$G, (MATCH(544, 輔助計算!$G$2:$G$801, 0)+1)),"0.##")&amp;"+"&amp;TEXT(INDEX(ERP資料!$G:$G, (MATCH(544, 輔助計算!$G$2:$G$801, 0)+1)),"0.##")))&amp;"-"&amp;INT(INDEX(輔助計算!$D:$D, (MATCH(544, 輔助計算!$G$2:$G$801, 0)+1))/IF(INDEX(ERP資料!$G:$G, (MATCH(544, 輔助計算!$G$2:$G$801, 0)+1))&lt;100, IF(INDEX(ERP資料!$G:$G, (MATCH(544, 輔助計算!$G$2:$G$801, 0)+1))&lt;=31,3,IF(INDEX(ERP資料!$G:$G, (MATCH(544, 輔助計算!$G$2:$G$801, 0)+1))&lt;=46.5,2,1)), IF(INDEX(ERP資料!$G:$G, (MATCH(544, 輔助計算!$G$2:$G$801, 0)+1))&lt;=790,3,IF(INDEX(ERP資料!$G:$G, (MATCH(544, 輔助計算!$G$2:$G$801, 0)+1))&lt;=1181,2,1)))), "")&amp;IF(AND(IF(INT(INDEX(輔助計算!$D:$D, (MATCH(544, 輔助計算!$G$2:$G$801, 0)+1))/IF(INDEX(ERP資料!$G:$G, (MATCH(544, 輔助計算!$G$2:$G$801, 0)+1))&lt;100, IF(INDEX(ERP資料!$G:$G, (MATCH(544, 輔助計算!$G$2:$G$801, 0)+1))&lt;=31,3,IF(INDEX(ERP資料!$G:$G, (MATCH(544, 輔助計算!$G$2:$G$801, 0)+1))&lt;=46.5,2,1)), IF(INDEX(ERP資料!$G:$G, (MATCH(544, 輔助計算!$G$2:$G$801, 0)+1))&lt;=790,3,IF(INDEX(ERP資料!$G:$G, (MATCH(544, 輔助計算!$G$2:$G$801, 0)+1))&lt;=1181,2,1))))&gt;0, IF(IF(INDEX(ERP資料!$G:$G, (MATCH(544, 輔助計算!$G$2:$G$801, 0)+1))&lt;100, IF(INDEX(ERP資料!$G:$G, (MATCH(544, 輔助計算!$G$2:$G$801, 0)+1))&lt;=31,3,IF(INDEX(ERP資料!$G:$G, (MATCH(544, 輔助計算!$G$2:$G$801, 0)+1))&lt;=46.5,2,1)), IF(INDEX(ERP資料!$G:$G, (MATCH(544, 輔助計算!$G$2:$G$801, 0)+1))&lt;=790,3,IF(INDEX(ERP資料!$G:$G, (MATCH(544, 輔助計算!$G$2:$G$801, 0)+1))&lt;=1181,2,1)))=1,TEXT(INDEX(ERP資料!$G:$G, (MATCH(544, 輔助計算!$G$2:$G$801, 0)+1)),"0.##"),IF(IF(INDEX(ERP資料!$G:$G, (MATCH(544, 輔助計算!$G$2:$G$801, 0)+1))&lt;100, IF(INDEX(ERP資料!$G:$G, (MATCH(544, 輔助計算!$G$2:$G$801, 0)+1))&lt;=31,3,IF(INDEX(ERP資料!$G:$G, (MATCH(544, 輔助計算!$G$2:$G$801, 0)+1))&lt;=46.5,2,1)), IF(INDEX(ERP資料!$G:$G, (MATCH(544, 輔助計算!$G$2:$G$801, 0)+1))&lt;=790,3,IF(INDEX(ERP資料!$G:$G, (MATCH(544, 輔助計算!$G$2:$G$801, 0)+1))&lt;=1181,2,1)))=2,TEXT(INDEX(ERP資料!$G:$G, (MATCH(544, 輔助計算!$G$2:$G$801, 0)+1)),"0.##")&amp;"+"&amp;TEXT(INDEX(ERP資料!$G:$G, (MATCH(544, 輔助計算!$G$2:$G$801, 0)+1)),"0.##"),TEXT(INDEX(ERP資料!$G:$G, (MATCH(544, 輔助計算!$G$2:$G$801, 0)+1)),"0.##")&amp;"+"&amp;TEXT(INDEX(ERP資料!$G:$G, (MATCH(544, 輔助計算!$G$2:$G$801, 0)+1)),"0.##")&amp;"+"&amp;TEXT(INDEX(ERP資料!$G:$G, (MATCH(544, 輔助計算!$G$2:$G$801, 0)+1)),"0.##")))&amp;"-"&amp;INT(INDEX(輔助計算!$D:$D, (MATCH(544, 輔助計算!$G$2:$G$801, 0)+1))/IF(INDEX(ERP資料!$G:$G, (MATCH(544, 輔助計算!$G$2:$G$801, 0)+1))&lt;100, IF(INDEX(ERP資料!$G:$G, (MATCH(544, 輔助計算!$G$2:$G$801, 0)+1))&lt;=31,3,IF(INDEX(ERP資料!$G:$G, (MATCH(544, 輔助計算!$G$2:$G$801, 0)+1))&lt;=46.5,2,1)), IF(INDEX(ERP資料!$G:$G, (MATCH(544, 輔助計算!$G$2:$G$801, 0)+1))&lt;=790,3,IF(INDEX(ERP資料!$G:$G, (MATCH(544, 輔助計算!$G$2:$G$801, 0)+1))&lt;=1181,2,1)))), "")&lt;&gt;"",IF(MOD(INDEX(輔助計算!$D:$D, (MATCH(544, 輔助計算!$G$2:$G$801, 0)+1)),IF(INDEX(ERP資料!$G:$G, (MATCH(544, 輔助計算!$G$2:$G$801, 0)+1))&lt;100, IF(INDEX(ERP資料!$G:$G, (MATCH(544, 輔助計算!$G$2:$G$801, 0)+1))&lt;=31,3,IF(INDEX(ERP資料!$G:$G, (MATCH(544, 輔助計算!$G$2:$G$801, 0)+1))&lt;=46.5,2,1)), IF(INDEX(ERP資料!$G:$G, (MATCH(544, 輔助計算!$G$2:$G$801, 0)+1))&lt;=790,3,IF(INDEX(ERP資料!$G:$G, (MATCH(544, 輔助計算!$G$2:$G$801, 0)+1))&lt;=1181,2,1))))=0,"",IF(MOD(INDEX(輔助計算!$D:$D, (MATCH(544, 輔助計算!$G$2:$G$801, 0)+1)),IF(INDEX(ERP資料!$G:$G, (MATCH(544, 輔助計算!$G$2:$G$801, 0)+1))&lt;100, IF(INDEX(ERP資料!$G:$G, (MATCH(544, 輔助計算!$G$2:$G$801, 0)+1))&lt;=31,3,IF(INDEX(ERP資料!$G:$G, (MATCH(544, 輔助計算!$G$2:$G$801, 0)+1))&lt;=46.5,2,1)), IF(INDEX(ERP資料!$G:$G, (MATCH(544, 輔助計算!$G$2:$G$801, 0)+1))&lt;=790,3,IF(INDEX(ERP資料!$G:$G, (MATCH(544, 輔助計算!$G$2:$G$801, 0)+1))&lt;=1181,2,1))))=0,"",IF(MOD(INDEX(輔助計算!$D:$D, (MATCH(544, 輔助計算!$G$2:$G$801, 0)+1)),IF(INDEX(ERP資料!$G:$G, (MATCH(544, 輔助計算!$G$2:$G$801, 0)+1))&lt;100, IF(INDEX(ERP資料!$G:$G, (MATCH(544, 輔助計算!$G$2:$G$801, 0)+1))&lt;=31,3,IF(INDEX(ERP資料!$G:$G, (MATCH(544, 輔助計算!$G$2:$G$801, 0)+1))&lt;=46.5,2,1)), IF(INDEX(ERP資料!$G:$G, (MATCH(544, 輔助計算!$G$2:$G$801, 0)+1))&lt;=790,3,IF(INDEX(ERP資料!$G:$G, (MATCH(544, 輔助計算!$G$2:$G$801, 0)+1))&lt;=1181,2,1))))=1,TEXT(INDEX(ERP資料!$G:$G, (MATCH(544, 輔助計算!$G$2:$G$801, 0)+1)),"0.##"),IF(MOD(INDEX(輔助計算!$D:$D, (MATCH(544, 輔助計算!$G$2:$G$801, 0)+1)),IF(INDEX(ERP資料!$G:$G, (MATCH(544, 輔助計算!$G$2:$G$801, 0)+1))&lt;100, IF(INDEX(ERP資料!$G:$G, (MATCH(544, 輔助計算!$G$2:$G$801, 0)+1))&lt;=31,3,IF(INDEX(ERP資料!$G:$G, (MATCH(544, 輔助計算!$G$2:$G$801, 0)+1))&lt;=46.5,2,1)), IF(INDEX(ERP資料!$G:$G, (MATCH(544, 輔助計算!$G$2:$G$801, 0)+1))&lt;=790,3,IF(INDEX(ERP資料!$G:$G, (MATCH(544, 輔助計算!$G$2:$G$801, 0)+1))&lt;=1181,2,1))))=2,TEXT(INDEX(ERP資料!$G:$G, (MATCH(544, 輔助計算!$G$2:$G$801, 0)+1)),"0.##")&amp;"+"&amp;TEXT(INDEX(ERP資料!$G:$G, (MATCH(544, 輔助計算!$G$2:$G$801, 0)+1)),"0.##"),TEXT(INDEX(ERP資料!$G:$G, (MATCH(544, 輔助計算!$G$2:$G$801, 0)+1)),"0.##")&amp;"+"&amp;TEXT(INDEX(ERP資料!$G:$G, (MATCH(544, 輔助計算!$G$2:$G$801, 0)+1)),"0.##")&amp;"+"&amp;TEXT(INDEX(ERP資料!$G:$G, (MATCH(544, 輔助計算!$G$2:$G$801, 0)+1)),"0.##"))))&amp;"-1")&lt;&gt;""),"  ","")&amp;IF(MOD(INDEX(輔助計算!$D:$D, (MATCH(544, 輔助計算!$G$2:$G$801, 0)+1)),IF(INDEX(ERP資料!$G:$G, (MATCH(544, 輔助計算!$G$2:$G$801, 0)+1))&lt;100, IF(INDEX(ERP資料!$G:$G, (MATCH(544, 輔助計算!$G$2:$G$801, 0)+1))&lt;=31,3,IF(INDEX(ERP資料!$G:$G, (MATCH(544, 輔助計算!$G$2:$G$801, 0)+1))&lt;=46.5,2,1)), IF(INDEX(ERP資料!$G:$G, (MATCH(544, 輔助計算!$G$2:$G$801, 0)+1))&lt;=790,3,IF(INDEX(ERP資料!$G:$G, (MATCH(544, 輔助計算!$G$2:$G$801, 0)+1))&lt;=1181,2,1))))=0,"",IF(MOD(INDEX(輔助計算!$D:$D, (MATCH(544, 輔助計算!$G$2:$G$801, 0)+1)),IF(INDEX(ERP資料!$G:$G, (MATCH(544, 輔助計算!$G$2:$G$801, 0)+1))&lt;100, IF(INDEX(ERP資料!$G:$G, (MATCH(544, 輔助計算!$G$2:$G$801, 0)+1))&lt;=31,3,IF(INDEX(ERP資料!$G:$G, (MATCH(544, 輔助計算!$G$2:$G$801, 0)+1))&lt;=46.5,2,1)), IF(INDEX(ERP資料!$G:$G, (MATCH(544, 輔助計算!$G$2:$G$801, 0)+1))&lt;=790,3,IF(INDEX(ERP資料!$G:$G, (MATCH(544, 輔助計算!$G$2:$G$801, 0)+1))&lt;=1181,2,1))))=0,"",IF(MOD(INDEX(輔助計算!$D:$D, (MATCH(544, 輔助計算!$G$2:$G$801, 0)+1)),IF(INDEX(ERP資料!$G:$G, (MATCH(544, 輔助計算!$G$2:$G$801, 0)+1))&lt;100, IF(INDEX(ERP資料!$G:$G, (MATCH(544, 輔助計算!$G$2:$G$801, 0)+1))&lt;=31,3,IF(INDEX(ERP資料!$G:$G, (MATCH(544, 輔助計算!$G$2:$G$801, 0)+1))&lt;=46.5,2,1)), IF(INDEX(ERP資料!$G:$G, (MATCH(544, 輔助計算!$G$2:$G$801, 0)+1))&lt;=790,3,IF(INDEX(ERP資料!$G:$G, (MATCH(544, 輔助計算!$G$2:$G$801, 0)+1))&lt;=1181,2,1))))=1,TEXT(INDEX(ERP資料!$G:$G, (MATCH(544, 輔助計算!$G$2:$G$801, 0)+1)),"0.##"),IF(MOD(INDEX(輔助計算!$D:$D, (MATCH(544, 輔助計算!$G$2:$G$801, 0)+1)),IF(INDEX(ERP資料!$G:$G, (MATCH(544, 輔助計算!$G$2:$G$801, 0)+1))&lt;100, IF(INDEX(ERP資料!$G:$G, (MATCH(544, 輔助計算!$G$2:$G$801, 0)+1))&lt;=31,3,IF(INDEX(ERP資料!$G:$G, (MATCH(544, 輔助計算!$G$2:$G$801, 0)+1))&lt;=46.5,2,1)), IF(INDEX(ERP資料!$G:$G, (MATCH(544, 輔助計算!$G$2:$G$801, 0)+1))&lt;=790,3,IF(INDEX(ERP資料!$G:$G, (MATCH(544, 輔助計算!$G$2:$G$801, 0)+1))&lt;=1181,2,1))))=2,TEXT(INDEX(ERP資料!$G:$G, (MATCH(544, 輔助計算!$G$2:$G$801, 0)+1)),"0.##")&amp;"+"&amp;TEXT(INDEX(ERP資料!$G:$G, (MATCH(544, 輔助計算!$G$2:$G$801, 0)+1)),"0.##"),TEXT(INDEX(ERP資料!$G:$G, (MATCH(544, 輔助計算!$G$2:$G$801, 0)+1)),"0.##")&amp;"+"&amp;TEXT(INDEX(ERP資料!$G:$G, (MATCH(544, 輔助計算!$G$2:$G$801, 0)+1)),"0.##")&amp;"+"&amp;TEXT(INDEX(ERP資料!$G:$G, (MATCH(544, 輔助計算!$G$2:$G$801, 0)+1)),"0.##"))))&amp;"-1")), ""), "")</f>
        <v/>
      </c>
      <c r="K545" s="16" t="n"/>
      <c r="L545" s="14">
        <f>IFERROR(IF(AND(IFERROR(INDEX(ERP資料!$A:$A, (MATCH(544, 輔助計算!$G$2:$G$801, 0)+1)), "")&lt;&gt;"", IFERROR(INDEX(ERP資料!$A:$A, (MATCH(544, 輔助計算!$G$2:$G$801, 0)+1)), "")&lt;&gt;IFERROR(INDEX(ERP資料!$A:$A, MATCH(543, 輔助計算!$G$2:$G$801, 0)+1), "")), INDEX(ERP資料!$B:$B, (MATCH(544, 輔助計算!$G$2:$G$801, 0)+1)), ""), "")</f>
        <v/>
      </c>
      <c r="M545" s="17" t="n"/>
    </row>
    <row r="546">
      <c r="A546" s="10">
        <f>IFERROR(IF(AND(IFERROR(INDEX(ERP資料!$A:$A, (MATCH(545, 輔助計算!$G$2:$G$801, 0)+1)), "")&lt;&gt;"", IFERROR(INDEX(ERP資料!$A:$A, (MATCH(545, 輔助計算!$G$2:$G$801, 0)+1)), "")&lt;&gt;IFERROR(INDEX(ERP資料!$A:$A, MATCH(544, 輔助計算!$G$2:$G$801, 0)+1), "")), IFERROR(INDEX(ERP資料!$A:$A, (MATCH(545, 輔助計算!$G$2:$G$801, 0)+1)), ""), ""), "")</f>
        <v/>
      </c>
      <c r="B546" s="10">
        <f>IFERROR(IF(AND(IFERROR(INDEX(ERP資料!$A:$A, (MATCH(545, 輔助計算!$G$2:$G$801, 0)+1)), "")&lt;&gt;"", IFERROR(INDEX(ERP資料!$A:$A, (MATCH(545, 輔助計算!$G$2:$G$801, 0)+1)), "")&lt;&gt;IFERROR(INDEX(ERP資料!$A:$A, MATCH(544, 輔助計算!$G$2:$G$801, 0)+1), "")), INDEX(ERP資料!$S:$S, (MATCH(545, 輔助計算!$G$2:$G$801, 0)+1)), ""), "")</f>
        <v/>
      </c>
      <c r="C546" s="19">
        <f>IFERROR(IF(AND(IFERROR(INDEX(ERP資料!$A:$A, (MATCH(545, 輔助計算!$G$2:$G$801, 0)+1)), "")&lt;&gt;"", IFERROR(INDEX(ERP資料!$A:$A, (MATCH(545, 輔助計算!$G$2:$G$801, 0)+1)), "")&lt;&gt;IFERROR(INDEX(ERP資料!$A:$A, MATCH(544, 輔助計算!$G$2:$G$801, 0)+1), "")), IFERROR(VLOOKUP(LEFT(INDEX(ERP資料!$S:$S, (MATCH(545, 輔助計算!$G$2:$G$801, 0)+1)), 4), 紙管對照表!$A:$C, 3, FALSE), ""), ""), "")</f>
        <v/>
      </c>
      <c r="D546" s="16" t="n"/>
      <c r="E546" s="10">
        <f>IFERROR(IF(INDEX(ERP資料!$H:$H, (MATCH(545, 輔助計算!$G$2:$G$801, 0)+1))="","",INDEX(ERP資料!$H:$H, (MATCH(545, 輔助計算!$G$2:$G$801, 0)+1))), "")</f>
        <v/>
      </c>
      <c r="F546" s="10">
        <f>IFERROR(IF(INDEX(ERP資料!$E:$E, (MATCH(545, 輔助計算!$G$2:$G$801, 0)+1))="","",TRIM(INDEX(ERP資料!$E:$E, (MATCH(545, 輔助計算!$G$2:$G$801, 0)+1)))), "")</f>
        <v/>
      </c>
      <c r="G546" s="10">
        <f>IFERROR(IF(INDEX(ERP資料!$F:$F, (MATCH(545, 輔助計算!$G$2:$G$801, 0)+1))="","",INDEX(ERP資料!$F:$F, (MATCH(545, 輔助計算!$G$2:$G$801, 0)+1))), "")</f>
        <v/>
      </c>
      <c r="H546" s="10">
        <f>IFERROR(IF(INDEX(ERP資料!$G:$G, (MATCH(545, 輔助計算!$G$2:$G$801, 0)+1))="","",INDEX(ERP資料!$G:$G, (MATCH(545, 輔助計算!$G$2:$G$801, 0)+1))), "")</f>
        <v/>
      </c>
      <c r="I546" s="15">
        <f>IFERROR(INDEX(輔助計算!$D:$D, (MATCH(545, 輔助計算!$G$2:$G$801, 0)+1)), "")</f>
        <v/>
      </c>
      <c r="J546" s="15">
        <f>IFERROR(IF(AND(INDEX(輔助計算!$D:$D, (MATCH(545, 輔助計算!$G$2:$G$801, 0)+1))&lt;&gt;"", INDEX(ERP資料!$G:$G, (MATCH(545, 輔助計算!$G$2:$G$801, 0)+1))&lt;&gt;""), TRIM(IF(INT(INDEX(輔助計算!$D:$D, (MATCH(545, 輔助計算!$G$2:$G$801, 0)+1))/IF(INDEX(ERP資料!$G:$G, (MATCH(545, 輔助計算!$G$2:$G$801, 0)+1))&lt;100, IF(INDEX(ERP資料!$G:$G, (MATCH(545, 輔助計算!$G$2:$G$801, 0)+1))&lt;=31,3,IF(INDEX(ERP資料!$G:$G, (MATCH(545, 輔助計算!$G$2:$G$801, 0)+1))&lt;=46.5,2,1)), IF(INDEX(ERP資料!$G:$G, (MATCH(545, 輔助計算!$G$2:$G$801, 0)+1))&lt;=790,3,IF(INDEX(ERP資料!$G:$G, (MATCH(545, 輔助計算!$G$2:$G$801, 0)+1))&lt;=1181,2,1))))&gt;0, IF(IF(INDEX(ERP資料!$G:$G, (MATCH(545, 輔助計算!$G$2:$G$801, 0)+1))&lt;100, IF(INDEX(ERP資料!$G:$G, (MATCH(545, 輔助計算!$G$2:$G$801, 0)+1))&lt;=31,3,IF(INDEX(ERP資料!$G:$G, (MATCH(545, 輔助計算!$G$2:$G$801, 0)+1))&lt;=46.5,2,1)), IF(INDEX(ERP資料!$G:$G, (MATCH(545, 輔助計算!$G$2:$G$801, 0)+1))&lt;=790,3,IF(INDEX(ERP資料!$G:$G, (MATCH(545, 輔助計算!$G$2:$G$801, 0)+1))&lt;=1181,2,1)))=1,TEXT(INDEX(ERP資料!$G:$G, (MATCH(545, 輔助計算!$G$2:$G$801, 0)+1)),"0.##"),IF(IF(INDEX(ERP資料!$G:$G, (MATCH(545, 輔助計算!$G$2:$G$801, 0)+1))&lt;100, IF(INDEX(ERP資料!$G:$G, (MATCH(545, 輔助計算!$G$2:$G$801, 0)+1))&lt;=31,3,IF(INDEX(ERP資料!$G:$G, (MATCH(545, 輔助計算!$G$2:$G$801, 0)+1))&lt;=46.5,2,1)), IF(INDEX(ERP資料!$G:$G, (MATCH(545, 輔助計算!$G$2:$G$801, 0)+1))&lt;=790,3,IF(INDEX(ERP資料!$G:$G, (MATCH(545, 輔助計算!$G$2:$G$801, 0)+1))&lt;=1181,2,1)))=2,TEXT(INDEX(ERP資料!$G:$G, (MATCH(545, 輔助計算!$G$2:$G$801, 0)+1)),"0.##")&amp;"+"&amp;TEXT(INDEX(ERP資料!$G:$G, (MATCH(545, 輔助計算!$G$2:$G$801, 0)+1)),"0.##"),TEXT(INDEX(ERP資料!$G:$G, (MATCH(545, 輔助計算!$G$2:$G$801, 0)+1)),"0.##")&amp;"+"&amp;TEXT(INDEX(ERP資料!$G:$G, (MATCH(545, 輔助計算!$G$2:$G$801, 0)+1)),"0.##")&amp;"+"&amp;TEXT(INDEX(ERP資料!$G:$G, (MATCH(545, 輔助計算!$G$2:$G$801, 0)+1)),"0.##")))&amp;"-"&amp;INT(INDEX(輔助計算!$D:$D, (MATCH(545, 輔助計算!$G$2:$G$801, 0)+1))/IF(INDEX(ERP資料!$G:$G, (MATCH(545, 輔助計算!$G$2:$G$801, 0)+1))&lt;100, IF(INDEX(ERP資料!$G:$G, (MATCH(545, 輔助計算!$G$2:$G$801, 0)+1))&lt;=31,3,IF(INDEX(ERP資料!$G:$G, (MATCH(545, 輔助計算!$G$2:$G$801, 0)+1))&lt;=46.5,2,1)), IF(INDEX(ERP資料!$G:$G, (MATCH(545, 輔助計算!$G$2:$G$801, 0)+1))&lt;=790,3,IF(INDEX(ERP資料!$G:$G, (MATCH(545, 輔助計算!$G$2:$G$801, 0)+1))&lt;=1181,2,1)))), "")&amp;IF(AND(IF(INT(INDEX(輔助計算!$D:$D, (MATCH(545, 輔助計算!$G$2:$G$801, 0)+1))/IF(INDEX(ERP資料!$G:$G, (MATCH(545, 輔助計算!$G$2:$G$801, 0)+1))&lt;100, IF(INDEX(ERP資料!$G:$G, (MATCH(545, 輔助計算!$G$2:$G$801, 0)+1))&lt;=31,3,IF(INDEX(ERP資料!$G:$G, (MATCH(545, 輔助計算!$G$2:$G$801, 0)+1))&lt;=46.5,2,1)), IF(INDEX(ERP資料!$G:$G, (MATCH(545, 輔助計算!$G$2:$G$801, 0)+1))&lt;=790,3,IF(INDEX(ERP資料!$G:$G, (MATCH(545, 輔助計算!$G$2:$G$801, 0)+1))&lt;=1181,2,1))))&gt;0, IF(IF(INDEX(ERP資料!$G:$G, (MATCH(545, 輔助計算!$G$2:$G$801, 0)+1))&lt;100, IF(INDEX(ERP資料!$G:$G, (MATCH(545, 輔助計算!$G$2:$G$801, 0)+1))&lt;=31,3,IF(INDEX(ERP資料!$G:$G, (MATCH(545, 輔助計算!$G$2:$G$801, 0)+1))&lt;=46.5,2,1)), IF(INDEX(ERP資料!$G:$G, (MATCH(545, 輔助計算!$G$2:$G$801, 0)+1))&lt;=790,3,IF(INDEX(ERP資料!$G:$G, (MATCH(545, 輔助計算!$G$2:$G$801, 0)+1))&lt;=1181,2,1)))=1,TEXT(INDEX(ERP資料!$G:$G, (MATCH(545, 輔助計算!$G$2:$G$801, 0)+1)),"0.##"),IF(IF(INDEX(ERP資料!$G:$G, (MATCH(545, 輔助計算!$G$2:$G$801, 0)+1))&lt;100, IF(INDEX(ERP資料!$G:$G, (MATCH(545, 輔助計算!$G$2:$G$801, 0)+1))&lt;=31,3,IF(INDEX(ERP資料!$G:$G, (MATCH(545, 輔助計算!$G$2:$G$801, 0)+1))&lt;=46.5,2,1)), IF(INDEX(ERP資料!$G:$G, (MATCH(545, 輔助計算!$G$2:$G$801, 0)+1))&lt;=790,3,IF(INDEX(ERP資料!$G:$G, (MATCH(545, 輔助計算!$G$2:$G$801, 0)+1))&lt;=1181,2,1)))=2,TEXT(INDEX(ERP資料!$G:$G, (MATCH(545, 輔助計算!$G$2:$G$801, 0)+1)),"0.##")&amp;"+"&amp;TEXT(INDEX(ERP資料!$G:$G, (MATCH(545, 輔助計算!$G$2:$G$801, 0)+1)),"0.##"),TEXT(INDEX(ERP資料!$G:$G, (MATCH(545, 輔助計算!$G$2:$G$801, 0)+1)),"0.##")&amp;"+"&amp;TEXT(INDEX(ERP資料!$G:$G, (MATCH(545, 輔助計算!$G$2:$G$801, 0)+1)),"0.##")&amp;"+"&amp;TEXT(INDEX(ERP資料!$G:$G, (MATCH(545, 輔助計算!$G$2:$G$801, 0)+1)),"0.##")))&amp;"-"&amp;INT(INDEX(輔助計算!$D:$D, (MATCH(545, 輔助計算!$G$2:$G$801, 0)+1))/IF(INDEX(ERP資料!$G:$G, (MATCH(545, 輔助計算!$G$2:$G$801, 0)+1))&lt;100, IF(INDEX(ERP資料!$G:$G, (MATCH(545, 輔助計算!$G$2:$G$801, 0)+1))&lt;=31,3,IF(INDEX(ERP資料!$G:$G, (MATCH(545, 輔助計算!$G$2:$G$801, 0)+1))&lt;=46.5,2,1)), IF(INDEX(ERP資料!$G:$G, (MATCH(545, 輔助計算!$G$2:$G$801, 0)+1))&lt;=790,3,IF(INDEX(ERP資料!$G:$G, (MATCH(545, 輔助計算!$G$2:$G$801, 0)+1))&lt;=1181,2,1)))), "")&lt;&gt;"",IF(MOD(INDEX(輔助計算!$D:$D, (MATCH(545, 輔助計算!$G$2:$G$801, 0)+1)),IF(INDEX(ERP資料!$G:$G, (MATCH(545, 輔助計算!$G$2:$G$801, 0)+1))&lt;100, IF(INDEX(ERP資料!$G:$G, (MATCH(545, 輔助計算!$G$2:$G$801, 0)+1))&lt;=31,3,IF(INDEX(ERP資料!$G:$G, (MATCH(545, 輔助計算!$G$2:$G$801, 0)+1))&lt;=46.5,2,1)), IF(INDEX(ERP資料!$G:$G, (MATCH(545, 輔助計算!$G$2:$G$801, 0)+1))&lt;=790,3,IF(INDEX(ERP資料!$G:$G, (MATCH(545, 輔助計算!$G$2:$G$801, 0)+1))&lt;=1181,2,1))))=0,"",IF(MOD(INDEX(輔助計算!$D:$D, (MATCH(545, 輔助計算!$G$2:$G$801, 0)+1)),IF(INDEX(ERP資料!$G:$G, (MATCH(545, 輔助計算!$G$2:$G$801, 0)+1))&lt;100, IF(INDEX(ERP資料!$G:$G, (MATCH(545, 輔助計算!$G$2:$G$801, 0)+1))&lt;=31,3,IF(INDEX(ERP資料!$G:$G, (MATCH(545, 輔助計算!$G$2:$G$801, 0)+1))&lt;=46.5,2,1)), IF(INDEX(ERP資料!$G:$G, (MATCH(545, 輔助計算!$G$2:$G$801, 0)+1))&lt;=790,3,IF(INDEX(ERP資料!$G:$G, (MATCH(545, 輔助計算!$G$2:$G$801, 0)+1))&lt;=1181,2,1))))=0,"",IF(MOD(INDEX(輔助計算!$D:$D, (MATCH(545, 輔助計算!$G$2:$G$801, 0)+1)),IF(INDEX(ERP資料!$G:$G, (MATCH(545, 輔助計算!$G$2:$G$801, 0)+1))&lt;100, IF(INDEX(ERP資料!$G:$G, (MATCH(545, 輔助計算!$G$2:$G$801, 0)+1))&lt;=31,3,IF(INDEX(ERP資料!$G:$G, (MATCH(545, 輔助計算!$G$2:$G$801, 0)+1))&lt;=46.5,2,1)), IF(INDEX(ERP資料!$G:$G, (MATCH(545, 輔助計算!$G$2:$G$801, 0)+1))&lt;=790,3,IF(INDEX(ERP資料!$G:$G, (MATCH(545, 輔助計算!$G$2:$G$801, 0)+1))&lt;=1181,2,1))))=1,TEXT(INDEX(ERP資料!$G:$G, (MATCH(545, 輔助計算!$G$2:$G$801, 0)+1)),"0.##"),IF(MOD(INDEX(輔助計算!$D:$D, (MATCH(545, 輔助計算!$G$2:$G$801, 0)+1)),IF(INDEX(ERP資料!$G:$G, (MATCH(545, 輔助計算!$G$2:$G$801, 0)+1))&lt;100, IF(INDEX(ERP資料!$G:$G, (MATCH(545, 輔助計算!$G$2:$G$801, 0)+1))&lt;=31,3,IF(INDEX(ERP資料!$G:$G, (MATCH(545, 輔助計算!$G$2:$G$801, 0)+1))&lt;=46.5,2,1)), IF(INDEX(ERP資料!$G:$G, (MATCH(545, 輔助計算!$G$2:$G$801, 0)+1))&lt;=790,3,IF(INDEX(ERP資料!$G:$G, (MATCH(545, 輔助計算!$G$2:$G$801, 0)+1))&lt;=1181,2,1))))=2,TEXT(INDEX(ERP資料!$G:$G, (MATCH(545, 輔助計算!$G$2:$G$801, 0)+1)),"0.##")&amp;"+"&amp;TEXT(INDEX(ERP資料!$G:$G, (MATCH(545, 輔助計算!$G$2:$G$801, 0)+1)),"0.##"),TEXT(INDEX(ERP資料!$G:$G, (MATCH(545, 輔助計算!$G$2:$G$801, 0)+1)),"0.##")&amp;"+"&amp;TEXT(INDEX(ERP資料!$G:$G, (MATCH(545, 輔助計算!$G$2:$G$801, 0)+1)),"0.##")&amp;"+"&amp;TEXT(INDEX(ERP資料!$G:$G, (MATCH(545, 輔助計算!$G$2:$G$801, 0)+1)),"0.##"))))&amp;"-1")&lt;&gt;""),"  ","")&amp;IF(MOD(INDEX(輔助計算!$D:$D, (MATCH(545, 輔助計算!$G$2:$G$801, 0)+1)),IF(INDEX(ERP資料!$G:$G, (MATCH(545, 輔助計算!$G$2:$G$801, 0)+1))&lt;100, IF(INDEX(ERP資料!$G:$G, (MATCH(545, 輔助計算!$G$2:$G$801, 0)+1))&lt;=31,3,IF(INDEX(ERP資料!$G:$G, (MATCH(545, 輔助計算!$G$2:$G$801, 0)+1))&lt;=46.5,2,1)), IF(INDEX(ERP資料!$G:$G, (MATCH(545, 輔助計算!$G$2:$G$801, 0)+1))&lt;=790,3,IF(INDEX(ERP資料!$G:$G, (MATCH(545, 輔助計算!$G$2:$G$801, 0)+1))&lt;=1181,2,1))))=0,"",IF(MOD(INDEX(輔助計算!$D:$D, (MATCH(545, 輔助計算!$G$2:$G$801, 0)+1)),IF(INDEX(ERP資料!$G:$G, (MATCH(545, 輔助計算!$G$2:$G$801, 0)+1))&lt;100, IF(INDEX(ERP資料!$G:$G, (MATCH(545, 輔助計算!$G$2:$G$801, 0)+1))&lt;=31,3,IF(INDEX(ERP資料!$G:$G, (MATCH(545, 輔助計算!$G$2:$G$801, 0)+1))&lt;=46.5,2,1)), IF(INDEX(ERP資料!$G:$G, (MATCH(545, 輔助計算!$G$2:$G$801, 0)+1))&lt;=790,3,IF(INDEX(ERP資料!$G:$G, (MATCH(545, 輔助計算!$G$2:$G$801, 0)+1))&lt;=1181,2,1))))=0,"",IF(MOD(INDEX(輔助計算!$D:$D, (MATCH(545, 輔助計算!$G$2:$G$801, 0)+1)),IF(INDEX(ERP資料!$G:$G, (MATCH(545, 輔助計算!$G$2:$G$801, 0)+1))&lt;100, IF(INDEX(ERP資料!$G:$G, (MATCH(545, 輔助計算!$G$2:$G$801, 0)+1))&lt;=31,3,IF(INDEX(ERP資料!$G:$G, (MATCH(545, 輔助計算!$G$2:$G$801, 0)+1))&lt;=46.5,2,1)), IF(INDEX(ERP資料!$G:$G, (MATCH(545, 輔助計算!$G$2:$G$801, 0)+1))&lt;=790,3,IF(INDEX(ERP資料!$G:$G, (MATCH(545, 輔助計算!$G$2:$G$801, 0)+1))&lt;=1181,2,1))))=1,TEXT(INDEX(ERP資料!$G:$G, (MATCH(545, 輔助計算!$G$2:$G$801, 0)+1)),"0.##"),IF(MOD(INDEX(輔助計算!$D:$D, (MATCH(545, 輔助計算!$G$2:$G$801, 0)+1)),IF(INDEX(ERP資料!$G:$G, (MATCH(545, 輔助計算!$G$2:$G$801, 0)+1))&lt;100, IF(INDEX(ERP資料!$G:$G, (MATCH(545, 輔助計算!$G$2:$G$801, 0)+1))&lt;=31,3,IF(INDEX(ERP資料!$G:$G, (MATCH(545, 輔助計算!$G$2:$G$801, 0)+1))&lt;=46.5,2,1)), IF(INDEX(ERP資料!$G:$G, (MATCH(545, 輔助計算!$G$2:$G$801, 0)+1))&lt;=790,3,IF(INDEX(ERP資料!$G:$G, (MATCH(545, 輔助計算!$G$2:$G$801, 0)+1))&lt;=1181,2,1))))=2,TEXT(INDEX(ERP資料!$G:$G, (MATCH(545, 輔助計算!$G$2:$G$801, 0)+1)),"0.##")&amp;"+"&amp;TEXT(INDEX(ERP資料!$G:$G, (MATCH(545, 輔助計算!$G$2:$G$801, 0)+1)),"0.##"),TEXT(INDEX(ERP資料!$G:$G, (MATCH(545, 輔助計算!$G$2:$G$801, 0)+1)),"0.##")&amp;"+"&amp;TEXT(INDEX(ERP資料!$G:$G, (MATCH(545, 輔助計算!$G$2:$G$801, 0)+1)),"0.##")&amp;"+"&amp;TEXT(INDEX(ERP資料!$G:$G, (MATCH(545, 輔助計算!$G$2:$G$801, 0)+1)),"0.##"))))&amp;"-1")), ""), "")</f>
        <v/>
      </c>
      <c r="K546" s="16" t="n"/>
      <c r="L546" s="14">
        <f>IFERROR(IF(AND(IFERROR(INDEX(ERP資料!$A:$A, (MATCH(545, 輔助計算!$G$2:$G$801, 0)+1)), "")&lt;&gt;"", IFERROR(INDEX(ERP資料!$A:$A, (MATCH(545, 輔助計算!$G$2:$G$801, 0)+1)), "")&lt;&gt;IFERROR(INDEX(ERP資料!$A:$A, MATCH(544, 輔助計算!$G$2:$G$801, 0)+1), "")), INDEX(ERP資料!$B:$B, (MATCH(545, 輔助計算!$G$2:$G$801, 0)+1)), ""), "")</f>
        <v/>
      </c>
      <c r="M546" s="17" t="n"/>
    </row>
    <row r="547">
      <c r="A547" s="10">
        <f>IFERROR(IF(AND(IFERROR(INDEX(ERP資料!$A:$A, (MATCH(546, 輔助計算!$G$2:$G$801, 0)+1)), "")&lt;&gt;"", IFERROR(INDEX(ERP資料!$A:$A, (MATCH(546, 輔助計算!$G$2:$G$801, 0)+1)), "")&lt;&gt;IFERROR(INDEX(ERP資料!$A:$A, MATCH(545, 輔助計算!$G$2:$G$801, 0)+1), "")), IFERROR(INDEX(ERP資料!$A:$A, (MATCH(546, 輔助計算!$G$2:$G$801, 0)+1)), ""), ""), "")</f>
        <v/>
      </c>
      <c r="B547" s="10">
        <f>IFERROR(IF(AND(IFERROR(INDEX(ERP資料!$A:$A, (MATCH(546, 輔助計算!$G$2:$G$801, 0)+1)), "")&lt;&gt;"", IFERROR(INDEX(ERP資料!$A:$A, (MATCH(546, 輔助計算!$G$2:$G$801, 0)+1)), "")&lt;&gt;IFERROR(INDEX(ERP資料!$A:$A, MATCH(545, 輔助計算!$G$2:$G$801, 0)+1), "")), INDEX(ERP資料!$S:$S, (MATCH(546, 輔助計算!$G$2:$G$801, 0)+1)), ""), "")</f>
        <v/>
      </c>
      <c r="C547" s="19">
        <f>IFERROR(IF(AND(IFERROR(INDEX(ERP資料!$A:$A, (MATCH(546, 輔助計算!$G$2:$G$801, 0)+1)), "")&lt;&gt;"", IFERROR(INDEX(ERP資料!$A:$A, (MATCH(546, 輔助計算!$G$2:$G$801, 0)+1)), "")&lt;&gt;IFERROR(INDEX(ERP資料!$A:$A, MATCH(545, 輔助計算!$G$2:$G$801, 0)+1), "")), IFERROR(VLOOKUP(LEFT(INDEX(ERP資料!$S:$S, (MATCH(546, 輔助計算!$G$2:$G$801, 0)+1)), 4), 紙管對照表!$A:$C, 3, FALSE), ""), ""), "")</f>
        <v/>
      </c>
      <c r="D547" s="16" t="n"/>
      <c r="E547" s="10">
        <f>IFERROR(IF(INDEX(ERP資料!$H:$H, (MATCH(546, 輔助計算!$G$2:$G$801, 0)+1))="","",INDEX(ERP資料!$H:$H, (MATCH(546, 輔助計算!$G$2:$G$801, 0)+1))), "")</f>
        <v/>
      </c>
      <c r="F547" s="10">
        <f>IFERROR(IF(INDEX(ERP資料!$E:$E, (MATCH(546, 輔助計算!$G$2:$G$801, 0)+1))="","",TRIM(INDEX(ERP資料!$E:$E, (MATCH(546, 輔助計算!$G$2:$G$801, 0)+1)))), "")</f>
        <v/>
      </c>
      <c r="G547" s="10">
        <f>IFERROR(IF(INDEX(ERP資料!$F:$F, (MATCH(546, 輔助計算!$G$2:$G$801, 0)+1))="","",INDEX(ERP資料!$F:$F, (MATCH(546, 輔助計算!$G$2:$G$801, 0)+1))), "")</f>
        <v/>
      </c>
      <c r="H547" s="10">
        <f>IFERROR(IF(INDEX(ERP資料!$G:$G, (MATCH(546, 輔助計算!$G$2:$G$801, 0)+1))="","",INDEX(ERP資料!$G:$G, (MATCH(546, 輔助計算!$G$2:$G$801, 0)+1))), "")</f>
        <v/>
      </c>
      <c r="I547" s="15">
        <f>IFERROR(INDEX(輔助計算!$D:$D, (MATCH(546, 輔助計算!$G$2:$G$801, 0)+1)), "")</f>
        <v/>
      </c>
      <c r="J547" s="15">
        <f>IFERROR(IF(AND(INDEX(輔助計算!$D:$D, (MATCH(546, 輔助計算!$G$2:$G$801, 0)+1))&lt;&gt;"", INDEX(ERP資料!$G:$G, (MATCH(546, 輔助計算!$G$2:$G$801, 0)+1))&lt;&gt;""), TRIM(IF(INT(INDEX(輔助計算!$D:$D, (MATCH(546, 輔助計算!$G$2:$G$801, 0)+1))/IF(INDEX(ERP資料!$G:$G, (MATCH(546, 輔助計算!$G$2:$G$801, 0)+1))&lt;100, IF(INDEX(ERP資料!$G:$G, (MATCH(546, 輔助計算!$G$2:$G$801, 0)+1))&lt;=31,3,IF(INDEX(ERP資料!$G:$G, (MATCH(546, 輔助計算!$G$2:$G$801, 0)+1))&lt;=46.5,2,1)), IF(INDEX(ERP資料!$G:$G, (MATCH(546, 輔助計算!$G$2:$G$801, 0)+1))&lt;=790,3,IF(INDEX(ERP資料!$G:$G, (MATCH(546, 輔助計算!$G$2:$G$801, 0)+1))&lt;=1181,2,1))))&gt;0, IF(IF(INDEX(ERP資料!$G:$G, (MATCH(546, 輔助計算!$G$2:$G$801, 0)+1))&lt;100, IF(INDEX(ERP資料!$G:$G, (MATCH(546, 輔助計算!$G$2:$G$801, 0)+1))&lt;=31,3,IF(INDEX(ERP資料!$G:$G, (MATCH(546, 輔助計算!$G$2:$G$801, 0)+1))&lt;=46.5,2,1)), IF(INDEX(ERP資料!$G:$G, (MATCH(546, 輔助計算!$G$2:$G$801, 0)+1))&lt;=790,3,IF(INDEX(ERP資料!$G:$G, (MATCH(546, 輔助計算!$G$2:$G$801, 0)+1))&lt;=1181,2,1)))=1,TEXT(INDEX(ERP資料!$G:$G, (MATCH(546, 輔助計算!$G$2:$G$801, 0)+1)),"0.##"),IF(IF(INDEX(ERP資料!$G:$G, (MATCH(546, 輔助計算!$G$2:$G$801, 0)+1))&lt;100, IF(INDEX(ERP資料!$G:$G, (MATCH(546, 輔助計算!$G$2:$G$801, 0)+1))&lt;=31,3,IF(INDEX(ERP資料!$G:$G, (MATCH(546, 輔助計算!$G$2:$G$801, 0)+1))&lt;=46.5,2,1)), IF(INDEX(ERP資料!$G:$G, (MATCH(546, 輔助計算!$G$2:$G$801, 0)+1))&lt;=790,3,IF(INDEX(ERP資料!$G:$G, (MATCH(546, 輔助計算!$G$2:$G$801, 0)+1))&lt;=1181,2,1)))=2,TEXT(INDEX(ERP資料!$G:$G, (MATCH(546, 輔助計算!$G$2:$G$801, 0)+1)),"0.##")&amp;"+"&amp;TEXT(INDEX(ERP資料!$G:$G, (MATCH(546, 輔助計算!$G$2:$G$801, 0)+1)),"0.##"),TEXT(INDEX(ERP資料!$G:$G, (MATCH(546, 輔助計算!$G$2:$G$801, 0)+1)),"0.##")&amp;"+"&amp;TEXT(INDEX(ERP資料!$G:$G, (MATCH(546, 輔助計算!$G$2:$G$801, 0)+1)),"0.##")&amp;"+"&amp;TEXT(INDEX(ERP資料!$G:$G, (MATCH(546, 輔助計算!$G$2:$G$801, 0)+1)),"0.##")))&amp;"-"&amp;INT(INDEX(輔助計算!$D:$D, (MATCH(546, 輔助計算!$G$2:$G$801, 0)+1))/IF(INDEX(ERP資料!$G:$G, (MATCH(546, 輔助計算!$G$2:$G$801, 0)+1))&lt;100, IF(INDEX(ERP資料!$G:$G, (MATCH(546, 輔助計算!$G$2:$G$801, 0)+1))&lt;=31,3,IF(INDEX(ERP資料!$G:$G, (MATCH(546, 輔助計算!$G$2:$G$801, 0)+1))&lt;=46.5,2,1)), IF(INDEX(ERP資料!$G:$G, (MATCH(546, 輔助計算!$G$2:$G$801, 0)+1))&lt;=790,3,IF(INDEX(ERP資料!$G:$G, (MATCH(546, 輔助計算!$G$2:$G$801, 0)+1))&lt;=1181,2,1)))), "")&amp;IF(AND(IF(INT(INDEX(輔助計算!$D:$D, (MATCH(546, 輔助計算!$G$2:$G$801, 0)+1))/IF(INDEX(ERP資料!$G:$G, (MATCH(546, 輔助計算!$G$2:$G$801, 0)+1))&lt;100, IF(INDEX(ERP資料!$G:$G, (MATCH(546, 輔助計算!$G$2:$G$801, 0)+1))&lt;=31,3,IF(INDEX(ERP資料!$G:$G, (MATCH(546, 輔助計算!$G$2:$G$801, 0)+1))&lt;=46.5,2,1)), IF(INDEX(ERP資料!$G:$G, (MATCH(546, 輔助計算!$G$2:$G$801, 0)+1))&lt;=790,3,IF(INDEX(ERP資料!$G:$G, (MATCH(546, 輔助計算!$G$2:$G$801, 0)+1))&lt;=1181,2,1))))&gt;0, IF(IF(INDEX(ERP資料!$G:$G, (MATCH(546, 輔助計算!$G$2:$G$801, 0)+1))&lt;100, IF(INDEX(ERP資料!$G:$G, (MATCH(546, 輔助計算!$G$2:$G$801, 0)+1))&lt;=31,3,IF(INDEX(ERP資料!$G:$G, (MATCH(546, 輔助計算!$G$2:$G$801, 0)+1))&lt;=46.5,2,1)), IF(INDEX(ERP資料!$G:$G, (MATCH(546, 輔助計算!$G$2:$G$801, 0)+1))&lt;=790,3,IF(INDEX(ERP資料!$G:$G, (MATCH(546, 輔助計算!$G$2:$G$801, 0)+1))&lt;=1181,2,1)))=1,TEXT(INDEX(ERP資料!$G:$G, (MATCH(546, 輔助計算!$G$2:$G$801, 0)+1)),"0.##"),IF(IF(INDEX(ERP資料!$G:$G, (MATCH(546, 輔助計算!$G$2:$G$801, 0)+1))&lt;100, IF(INDEX(ERP資料!$G:$G, (MATCH(546, 輔助計算!$G$2:$G$801, 0)+1))&lt;=31,3,IF(INDEX(ERP資料!$G:$G, (MATCH(546, 輔助計算!$G$2:$G$801, 0)+1))&lt;=46.5,2,1)), IF(INDEX(ERP資料!$G:$G, (MATCH(546, 輔助計算!$G$2:$G$801, 0)+1))&lt;=790,3,IF(INDEX(ERP資料!$G:$G, (MATCH(546, 輔助計算!$G$2:$G$801, 0)+1))&lt;=1181,2,1)))=2,TEXT(INDEX(ERP資料!$G:$G, (MATCH(546, 輔助計算!$G$2:$G$801, 0)+1)),"0.##")&amp;"+"&amp;TEXT(INDEX(ERP資料!$G:$G, (MATCH(546, 輔助計算!$G$2:$G$801, 0)+1)),"0.##"),TEXT(INDEX(ERP資料!$G:$G, (MATCH(546, 輔助計算!$G$2:$G$801, 0)+1)),"0.##")&amp;"+"&amp;TEXT(INDEX(ERP資料!$G:$G, (MATCH(546, 輔助計算!$G$2:$G$801, 0)+1)),"0.##")&amp;"+"&amp;TEXT(INDEX(ERP資料!$G:$G, (MATCH(546, 輔助計算!$G$2:$G$801, 0)+1)),"0.##")))&amp;"-"&amp;INT(INDEX(輔助計算!$D:$D, (MATCH(546, 輔助計算!$G$2:$G$801, 0)+1))/IF(INDEX(ERP資料!$G:$G, (MATCH(546, 輔助計算!$G$2:$G$801, 0)+1))&lt;100, IF(INDEX(ERP資料!$G:$G, (MATCH(546, 輔助計算!$G$2:$G$801, 0)+1))&lt;=31,3,IF(INDEX(ERP資料!$G:$G, (MATCH(546, 輔助計算!$G$2:$G$801, 0)+1))&lt;=46.5,2,1)), IF(INDEX(ERP資料!$G:$G, (MATCH(546, 輔助計算!$G$2:$G$801, 0)+1))&lt;=790,3,IF(INDEX(ERP資料!$G:$G, (MATCH(546, 輔助計算!$G$2:$G$801, 0)+1))&lt;=1181,2,1)))), "")&lt;&gt;"",IF(MOD(INDEX(輔助計算!$D:$D, (MATCH(546, 輔助計算!$G$2:$G$801, 0)+1)),IF(INDEX(ERP資料!$G:$G, (MATCH(546, 輔助計算!$G$2:$G$801, 0)+1))&lt;100, IF(INDEX(ERP資料!$G:$G, (MATCH(546, 輔助計算!$G$2:$G$801, 0)+1))&lt;=31,3,IF(INDEX(ERP資料!$G:$G, (MATCH(546, 輔助計算!$G$2:$G$801, 0)+1))&lt;=46.5,2,1)), IF(INDEX(ERP資料!$G:$G, (MATCH(546, 輔助計算!$G$2:$G$801, 0)+1))&lt;=790,3,IF(INDEX(ERP資料!$G:$G, (MATCH(546, 輔助計算!$G$2:$G$801, 0)+1))&lt;=1181,2,1))))=0,"",IF(MOD(INDEX(輔助計算!$D:$D, (MATCH(546, 輔助計算!$G$2:$G$801, 0)+1)),IF(INDEX(ERP資料!$G:$G, (MATCH(546, 輔助計算!$G$2:$G$801, 0)+1))&lt;100, IF(INDEX(ERP資料!$G:$G, (MATCH(546, 輔助計算!$G$2:$G$801, 0)+1))&lt;=31,3,IF(INDEX(ERP資料!$G:$G, (MATCH(546, 輔助計算!$G$2:$G$801, 0)+1))&lt;=46.5,2,1)), IF(INDEX(ERP資料!$G:$G, (MATCH(546, 輔助計算!$G$2:$G$801, 0)+1))&lt;=790,3,IF(INDEX(ERP資料!$G:$G, (MATCH(546, 輔助計算!$G$2:$G$801, 0)+1))&lt;=1181,2,1))))=0,"",IF(MOD(INDEX(輔助計算!$D:$D, (MATCH(546, 輔助計算!$G$2:$G$801, 0)+1)),IF(INDEX(ERP資料!$G:$G, (MATCH(546, 輔助計算!$G$2:$G$801, 0)+1))&lt;100, IF(INDEX(ERP資料!$G:$G, (MATCH(546, 輔助計算!$G$2:$G$801, 0)+1))&lt;=31,3,IF(INDEX(ERP資料!$G:$G, (MATCH(546, 輔助計算!$G$2:$G$801, 0)+1))&lt;=46.5,2,1)), IF(INDEX(ERP資料!$G:$G, (MATCH(546, 輔助計算!$G$2:$G$801, 0)+1))&lt;=790,3,IF(INDEX(ERP資料!$G:$G, (MATCH(546, 輔助計算!$G$2:$G$801, 0)+1))&lt;=1181,2,1))))=1,TEXT(INDEX(ERP資料!$G:$G, (MATCH(546, 輔助計算!$G$2:$G$801, 0)+1)),"0.##"),IF(MOD(INDEX(輔助計算!$D:$D, (MATCH(546, 輔助計算!$G$2:$G$801, 0)+1)),IF(INDEX(ERP資料!$G:$G, (MATCH(546, 輔助計算!$G$2:$G$801, 0)+1))&lt;100, IF(INDEX(ERP資料!$G:$G, (MATCH(546, 輔助計算!$G$2:$G$801, 0)+1))&lt;=31,3,IF(INDEX(ERP資料!$G:$G, (MATCH(546, 輔助計算!$G$2:$G$801, 0)+1))&lt;=46.5,2,1)), IF(INDEX(ERP資料!$G:$G, (MATCH(546, 輔助計算!$G$2:$G$801, 0)+1))&lt;=790,3,IF(INDEX(ERP資料!$G:$G, (MATCH(546, 輔助計算!$G$2:$G$801, 0)+1))&lt;=1181,2,1))))=2,TEXT(INDEX(ERP資料!$G:$G, (MATCH(546, 輔助計算!$G$2:$G$801, 0)+1)),"0.##")&amp;"+"&amp;TEXT(INDEX(ERP資料!$G:$G, (MATCH(546, 輔助計算!$G$2:$G$801, 0)+1)),"0.##"),TEXT(INDEX(ERP資料!$G:$G, (MATCH(546, 輔助計算!$G$2:$G$801, 0)+1)),"0.##")&amp;"+"&amp;TEXT(INDEX(ERP資料!$G:$G, (MATCH(546, 輔助計算!$G$2:$G$801, 0)+1)),"0.##")&amp;"+"&amp;TEXT(INDEX(ERP資料!$G:$G, (MATCH(546, 輔助計算!$G$2:$G$801, 0)+1)),"0.##"))))&amp;"-1")&lt;&gt;""),"  ","")&amp;IF(MOD(INDEX(輔助計算!$D:$D, (MATCH(546, 輔助計算!$G$2:$G$801, 0)+1)),IF(INDEX(ERP資料!$G:$G, (MATCH(546, 輔助計算!$G$2:$G$801, 0)+1))&lt;100, IF(INDEX(ERP資料!$G:$G, (MATCH(546, 輔助計算!$G$2:$G$801, 0)+1))&lt;=31,3,IF(INDEX(ERP資料!$G:$G, (MATCH(546, 輔助計算!$G$2:$G$801, 0)+1))&lt;=46.5,2,1)), IF(INDEX(ERP資料!$G:$G, (MATCH(546, 輔助計算!$G$2:$G$801, 0)+1))&lt;=790,3,IF(INDEX(ERP資料!$G:$G, (MATCH(546, 輔助計算!$G$2:$G$801, 0)+1))&lt;=1181,2,1))))=0,"",IF(MOD(INDEX(輔助計算!$D:$D, (MATCH(546, 輔助計算!$G$2:$G$801, 0)+1)),IF(INDEX(ERP資料!$G:$G, (MATCH(546, 輔助計算!$G$2:$G$801, 0)+1))&lt;100, IF(INDEX(ERP資料!$G:$G, (MATCH(546, 輔助計算!$G$2:$G$801, 0)+1))&lt;=31,3,IF(INDEX(ERP資料!$G:$G, (MATCH(546, 輔助計算!$G$2:$G$801, 0)+1))&lt;=46.5,2,1)), IF(INDEX(ERP資料!$G:$G, (MATCH(546, 輔助計算!$G$2:$G$801, 0)+1))&lt;=790,3,IF(INDEX(ERP資料!$G:$G, (MATCH(546, 輔助計算!$G$2:$G$801, 0)+1))&lt;=1181,2,1))))=0,"",IF(MOD(INDEX(輔助計算!$D:$D, (MATCH(546, 輔助計算!$G$2:$G$801, 0)+1)),IF(INDEX(ERP資料!$G:$G, (MATCH(546, 輔助計算!$G$2:$G$801, 0)+1))&lt;100, IF(INDEX(ERP資料!$G:$G, (MATCH(546, 輔助計算!$G$2:$G$801, 0)+1))&lt;=31,3,IF(INDEX(ERP資料!$G:$G, (MATCH(546, 輔助計算!$G$2:$G$801, 0)+1))&lt;=46.5,2,1)), IF(INDEX(ERP資料!$G:$G, (MATCH(546, 輔助計算!$G$2:$G$801, 0)+1))&lt;=790,3,IF(INDEX(ERP資料!$G:$G, (MATCH(546, 輔助計算!$G$2:$G$801, 0)+1))&lt;=1181,2,1))))=1,TEXT(INDEX(ERP資料!$G:$G, (MATCH(546, 輔助計算!$G$2:$G$801, 0)+1)),"0.##"),IF(MOD(INDEX(輔助計算!$D:$D, (MATCH(546, 輔助計算!$G$2:$G$801, 0)+1)),IF(INDEX(ERP資料!$G:$G, (MATCH(546, 輔助計算!$G$2:$G$801, 0)+1))&lt;100, IF(INDEX(ERP資料!$G:$G, (MATCH(546, 輔助計算!$G$2:$G$801, 0)+1))&lt;=31,3,IF(INDEX(ERP資料!$G:$G, (MATCH(546, 輔助計算!$G$2:$G$801, 0)+1))&lt;=46.5,2,1)), IF(INDEX(ERP資料!$G:$G, (MATCH(546, 輔助計算!$G$2:$G$801, 0)+1))&lt;=790,3,IF(INDEX(ERP資料!$G:$G, (MATCH(546, 輔助計算!$G$2:$G$801, 0)+1))&lt;=1181,2,1))))=2,TEXT(INDEX(ERP資料!$G:$G, (MATCH(546, 輔助計算!$G$2:$G$801, 0)+1)),"0.##")&amp;"+"&amp;TEXT(INDEX(ERP資料!$G:$G, (MATCH(546, 輔助計算!$G$2:$G$801, 0)+1)),"0.##"),TEXT(INDEX(ERP資料!$G:$G, (MATCH(546, 輔助計算!$G$2:$G$801, 0)+1)),"0.##")&amp;"+"&amp;TEXT(INDEX(ERP資料!$G:$G, (MATCH(546, 輔助計算!$G$2:$G$801, 0)+1)),"0.##")&amp;"+"&amp;TEXT(INDEX(ERP資料!$G:$G, (MATCH(546, 輔助計算!$G$2:$G$801, 0)+1)),"0.##"))))&amp;"-1")), ""), "")</f>
        <v/>
      </c>
      <c r="K547" s="16" t="n"/>
      <c r="L547" s="14">
        <f>IFERROR(IF(AND(IFERROR(INDEX(ERP資料!$A:$A, (MATCH(546, 輔助計算!$G$2:$G$801, 0)+1)), "")&lt;&gt;"", IFERROR(INDEX(ERP資料!$A:$A, (MATCH(546, 輔助計算!$G$2:$G$801, 0)+1)), "")&lt;&gt;IFERROR(INDEX(ERP資料!$A:$A, MATCH(545, 輔助計算!$G$2:$G$801, 0)+1), "")), INDEX(ERP資料!$B:$B, (MATCH(546, 輔助計算!$G$2:$G$801, 0)+1)), ""), "")</f>
        <v/>
      </c>
      <c r="M547" s="17" t="n"/>
    </row>
    <row r="548">
      <c r="A548" s="10">
        <f>IFERROR(IF(AND(IFERROR(INDEX(ERP資料!$A:$A, (MATCH(547, 輔助計算!$G$2:$G$801, 0)+1)), "")&lt;&gt;"", IFERROR(INDEX(ERP資料!$A:$A, (MATCH(547, 輔助計算!$G$2:$G$801, 0)+1)), "")&lt;&gt;IFERROR(INDEX(ERP資料!$A:$A, MATCH(546, 輔助計算!$G$2:$G$801, 0)+1), "")), IFERROR(INDEX(ERP資料!$A:$A, (MATCH(547, 輔助計算!$G$2:$G$801, 0)+1)), ""), ""), "")</f>
        <v/>
      </c>
      <c r="B548" s="10">
        <f>IFERROR(IF(AND(IFERROR(INDEX(ERP資料!$A:$A, (MATCH(547, 輔助計算!$G$2:$G$801, 0)+1)), "")&lt;&gt;"", IFERROR(INDEX(ERP資料!$A:$A, (MATCH(547, 輔助計算!$G$2:$G$801, 0)+1)), "")&lt;&gt;IFERROR(INDEX(ERP資料!$A:$A, MATCH(546, 輔助計算!$G$2:$G$801, 0)+1), "")), INDEX(ERP資料!$S:$S, (MATCH(547, 輔助計算!$G$2:$G$801, 0)+1)), ""), "")</f>
        <v/>
      </c>
      <c r="C548" s="19">
        <f>IFERROR(IF(AND(IFERROR(INDEX(ERP資料!$A:$A, (MATCH(547, 輔助計算!$G$2:$G$801, 0)+1)), "")&lt;&gt;"", IFERROR(INDEX(ERP資料!$A:$A, (MATCH(547, 輔助計算!$G$2:$G$801, 0)+1)), "")&lt;&gt;IFERROR(INDEX(ERP資料!$A:$A, MATCH(546, 輔助計算!$G$2:$G$801, 0)+1), "")), IFERROR(VLOOKUP(LEFT(INDEX(ERP資料!$S:$S, (MATCH(547, 輔助計算!$G$2:$G$801, 0)+1)), 4), 紙管對照表!$A:$C, 3, FALSE), ""), ""), "")</f>
        <v/>
      </c>
      <c r="D548" s="16" t="n"/>
      <c r="E548" s="10">
        <f>IFERROR(IF(INDEX(ERP資料!$H:$H, (MATCH(547, 輔助計算!$G$2:$G$801, 0)+1))="","",INDEX(ERP資料!$H:$H, (MATCH(547, 輔助計算!$G$2:$G$801, 0)+1))), "")</f>
        <v/>
      </c>
      <c r="F548" s="10">
        <f>IFERROR(IF(INDEX(ERP資料!$E:$E, (MATCH(547, 輔助計算!$G$2:$G$801, 0)+1))="","",TRIM(INDEX(ERP資料!$E:$E, (MATCH(547, 輔助計算!$G$2:$G$801, 0)+1)))), "")</f>
        <v/>
      </c>
      <c r="G548" s="10">
        <f>IFERROR(IF(INDEX(ERP資料!$F:$F, (MATCH(547, 輔助計算!$G$2:$G$801, 0)+1))="","",INDEX(ERP資料!$F:$F, (MATCH(547, 輔助計算!$G$2:$G$801, 0)+1))), "")</f>
        <v/>
      </c>
      <c r="H548" s="10">
        <f>IFERROR(IF(INDEX(ERP資料!$G:$G, (MATCH(547, 輔助計算!$G$2:$G$801, 0)+1))="","",INDEX(ERP資料!$G:$G, (MATCH(547, 輔助計算!$G$2:$G$801, 0)+1))), "")</f>
        <v/>
      </c>
      <c r="I548" s="15">
        <f>IFERROR(INDEX(輔助計算!$D:$D, (MATCH(547, 輔助計算!$G$2:$G$801, 0)+1)), "")</f>
        <v/>
      </c>
      <c r="J548" s="15">
        <f>IFERROR(IF(AND(INDEX(輔助計算!$D:$D, (MATCH(547, 輔助計算!$G$2:$G$801, 0)+1))&lt;&gt;"", INDEX(ERP資料!$G:$G, (MATCH(547, 輔助計算!$G$2:$G$801, 0)+1))&lt;&gt;""), TRIM(IF(INT(INDEX(輔助計算!$D:$D, (MATCH(547, 輔助計算!$G$2:$G$801, 0)+1))/IF(INDEX(ERP資料!$G:$G, (MATCH(547, 輔助計算!$G$2:$G$801, 0)+1))&lt;100, IF(INDEX(ERP資料!$G:$G, (MATCH(547, 輔助計算!$G$2:$G$801, 0)+1))&lt;=31,3,IF(INDEX(ERP資料!$G:$G, (MATCH(547, 輔助計算!$G$2:$G$801, 0)+1))&lt;=46.5,2,1)), IF(INDEX(ERP資料!$G:$G, (MATCH(547, 輔助計算!$G$2:$G$801, 0)+1))&lt;=790,3,IF(INDEX(ERP資料!$G:$G, (MATCH(547, 輔助計算!$G$2:$G$801, 0)+1))&lt;=1181,2,1))))&gt;0, IF(IF(INDEX(ERP資料!$G:$G, (MATCH(547, 輔助計算!$G$2:$G$801, 0)+1))&lt;100, IF(INDEX(ERP資料!$G:$G, (MATCH(547, 輔助計算!$G$2:$G$801, 0)+1))&lt;=31,3,IF(INDEX(ERP資料!$G:$G, (MATCH(547, 輔助計算!$G$2:$G$801, 0)+1))&lt;=46.5,2,1)), IF(INDEX(ERP資料!$G:$G, (MATCH(547, 輔助計算!$G$2:$G$801, 0)+1))&lt;=790,3,IF(INDEX(ERP資料!$G:$G, (MATCH(547, 輔助計算!$G$2:$G$801, 0)+1))&lt;=1181,2,1)))=1,TEXT(INDEX(ERP資料!$G:$G, (MATCH(547, 輔助計算!$G$2:$G$801, 0)+1)),"0.##"),IF(IF(INDEX(ERP資料!$G:$G, (MATCH(547, 輔助計算!$G$2:$G$801, 0)+1))&lt;100, IF(INDEX(ERP資料!$G:$G, (MATCH(547, 輔助計算!$G$2:$G$801, 0)+1))&lt;=31,3,IF(INDEX(ERP資料!$G:$G, (MATCH(547, 輔助計算!$G$2:$G$801, 0)+1))&lt;=46.5,2,1)), IF(INDEX(ERP資料!$G:$G, (MATCH(547, 輔助計算!$G$2:$G$801, 0)+1))&lt;=790,3,IF(INDEX(ERP資料!$G:$G, (MATCH(547, 輔助計算!$G$2:$G$801, 0)+1))&lt;=1181,2,1)))=2,TEXT(INDEX(ERP資料!$G:$G, (MATCH(547, 輔助計算!$G$2:$G$801, 0)+1)),"0.##")&amp;"+"&amp;TEXT(INDEX(ERP資料!$G:$G, (MATCH(547, 輔助計算!$G$2:$G$801, 0)+1)),"0.##"),TEXT(INDEX(ERP資料!$G:$G, (MATCH(547, 輔助計算!$G$2:$G$801, 0)+1)),"0.##")&amp;"+"&amp;TEXT(INDEX(ERP資料!$G:$G, (MATCH(547, 輔助計算!$G$2:$G$801, 0)+1)),"0.##")&amp;"+"&amp;TEXT(INDEX(ERP資料!$G:$G, (MATCH(547, 輔助計算!$G$2:$G$801, 0)+1)),"0.##")))&amp;"-"&amp;INT(INDEX(輔助計算!$D:$D, (MATCH(547, 輔助計算!$G$2:$G$801, 0)+1))/IF(INDEX(ERP資料!$G:$G, (MATCH(547, 輔助計算!$G$2:$G$801, 0)+1))&lt;100, IF(INDEX(ERP資料!$G:$G, (MATCH(547, 輔助計算!$G$2:$G$801, 0)+1))&lt;=31,3,IF(INDEX(ERP資料!$G:$G, (MATCH(547, 輔助計算!$G$2:$G$801, 0)+1))&lt;=46.5,2,1)), IF(INDEX(ERP資料!$G:$G, (MATCH(547, 輔助計算!$G$2:$G$801, 0)+1))&lt;=790,3,IF(INDEX(ERP資料!$G:$G, (MATCH(547, 輔助計算!$G$2:$G$801, 0)+1))&lt;=1181,2,1)))), "")&amp;IF(AND(IF(INT(INDEX(輔助計算!$D:$D, (MATCH(547, 輔助計算!$G$2:$G$801, 0)+1))/IF(INDEX(ERP資料!$G:$G, (MATCH(547, 輔助計算!$G$2:$G$801, 0)+1))&lt;100, IF(INDEX(ERP資料!$G:$G, (MATCH(547, 輔助計算!$G$2:$G$801, 0)+1))&lt;=31,3,IF(INDEX(ERP資料!$G:$G, (MATCH(547, 輔助計算!$G$2:$G$801, 0)+1))&lt;=46.5,2,1)), IF(INDEX(ERP資料!$G:$G, (MATCH(547, 輔助計算!$G$2:$G$801, 0)+1))&lt;=790,3,IF(INDEX(ERP資料!$G:$G, (MATCH(547, 輔助計算!$G$2:$G$801, 0)+1))&lt;=1181,2,1))))&gt;0, IF(IF(INDEX(ERP資料!$G:$G, (MATCH(547, 輔助計算!$G$2:$G$801, 0)+1))&lt;100, IF(INDEX(ERP資料!$G:$G, (MATCH(547, 輔助計算!$G$2:$G$801, 0)+1))&lt;=31,3,IF(INDEX(ERP資料!$G:$G, (MATCH(547, 輔助計算!$G$2:$G$801, 0)+1))&lt;=46.5,2,1)), IF(INDEX(ERP資料!$G:$G, (MATCH(547, 輔助計算!$G$2:$G$801, 0)+1))&lt;=790,3,IF(INDEX(ERP資料!$G:$G, (MATCH(547, 輔助計算!$G$2:$G$801, 0)+1))&lt;=1181,2,1)))=1,TEXT(INDEX(ERP資料!$G:$G, (MATCH(547, 輔助計算!$G$2:$G$801, 0)+1)),"0.##"),IF(IF(INDEX(ERP資料!$G:$G, (MATCH(547, 輔助計算!$G$2:$G$801, 0)+1))&lt;100, IF(INDEX(ERP資料!$G:$G, (MATCH(547, 輔助計算!$G$2:$G$801, 0)+1))&lt;=31,3,IF(INDEX(ERP資料!$G:$G, (MATCH(547, 輔助計算!$G$2:$G$801, 0)+1))&lt;=46.5,2,1)), IF(INDEX(ERP資料!$G:$G, (MATCH(547, 輔助計算!$G$2:$G$801, 0)+1))&lt;=790,3,IF(INDEX(ERP資料!$G:$G, (MATCH(547, 輔助計算!$G$2:$G$801, 0)+1))&lt;=1181,2,1)))=2,TEXT(INDEX(ERP資料!$G:$G, (MATCH(547, 輔助計算!$G$2:$G$801, 0)+1)),"0.##")&amp;"+"&amp;TEXT(INDEX(ERP資料!$G:$G, (MATCH(547, 輔助計算!$G$2:$G$801, 0)+1)),"0.##"),TEXT(INDEX(ERP資料!$G:$G, (MATCH(547, 輔助計算!$G$2:$G$801, 0)+1)),"0.##")&amp;"+"&amp;TEXT(INDEX(ERP資料!$G:$G, (MATCH(547, 輔助計算!$G$2:$G$801, 0)+1)),"0.##")&amp;"+"&amp;TEXT(INDEX(ERP資料!$G:$G, (MATCH(547, 輔助計算!$G$2:$G$801, 0)+1)),"0.##")))&amp;"-"&amp;INT(INDEX(輔助計算!$D:$D, (MATCH(547, 輔助計算!$G$2:$G$801, 0)+1))/IF(INDEX(ERP資料!$G:$G, (MATCH(547, 輔助計算!$G$2:$G$801, 0)+1))&lt;100, IF(INDEX(ERP資料!$G:$G, (MATCH(547, 輔助計算!$G$2:$G$801, 0)+1))&lt;=31,3,IF(INDEX(ERP資料!$G:$G, (MATCH(547, 輔助計算!$G$2:$G$801, 0)+1))&lt;=46.5,2,1)), IF(INDEX(ERP資料!$G:$G, (MATCH(547, 輔助計算!$G$2:$G$801, 0)+1))&lt;=790,3,IF(INDEX(ERP資料!$G:$G, (MATCH(547, 輔助計算!$G$2:$G$801, 0)+1))&lt;=1181,2,1)))), "")&lt;&gt;"",IF(MOD(INDEX(輔助計算!$D:$D, (MATCH(547, 輔助計算!$G$2:$G$801, 0)+1)),IF(INDEX(ERP資料!$G:$G, (MATCH(547, 輔助計算!$G$2:$G$801, 0)+1))&lt;100, IF(INDEX(ERP資料!$G:$G, (MATCH(547, 輔助計算!$G$2:$G$801, 0)+1))&lt;=31,3,IF(INDEX(ERP資料!$G:$G, (MATCH(547, 輔助計算!$G$2:$G$801, 0)+1))&lt;=46.5,2,1)), IF(INDEX(ERP資料!$G:$G, (MATCH(547, 輔助計算!$G$2:$G$801, 0)+1))&lt;=790,3,IF(INDEX(ERP資料!$G:$G, (MATCH(547, 輔助計算!$G$2:$G$801, 0)+1))&lt;=1181,2,1))))=0,"",IF(MOD(INDEX(輔助計算!$D:$D, (MATCH(547, 輔助計算!$G$2:$G$801, 0)+1)),IF(INDEX(ERP資料!$G:$G, (MATCH(547, 輔助計算!$G$2:$G$801, 0)+1))&lt;100, IF(INDEX(ERP資料!$G:$G, (MATCH(547, 輔助計算!$G$2:$G$801, 0)+1))&lt;=31,3,IF(INDEX(ERP資料!$G:$G, (MATCH(547, 輔助計算!$G$2:$G$801, 0)+1))&lt;=46.5,2,1)), IF(INDEX(ERP資料!$G:$G, (MATCH(547, 輔助計算!$G$2:$G$801, 0)+1))&lt;=790,3,IF(INDEX(ERP資料!$G:$G, (MATCH(547, 輔助計算!$G$2:$G$801, 0)+1))&lt;=1181,2,1))))=0,"",IF(MOD(INDEX(輔助計算!$D:$D, (MATCH(547, 輔助計算!$G$2:$G$801, 0)+1)),IF(INDEX(ERP資料!$G:$G, (MATCH(547, 輔助計算!$G$2:$G$801, 0)+1))&lt;100, IF(INDEX(ERP資料!$G:$G, (MATCH(547, 輔助計算!$G$2:$G$801, 0)+1))&lt;=31,3,IF(INDEX(ERP資料!$G:$G, (MATCH(547, 輔助計算!$G$2:$G$801, 0)+1))&lt;=46.5,2,1)), IF(INDEX(ERP資料!$G:$G, (MATCH(547, 輔助計算!$G$2:$G$801, 0)+1))&lt;=790,3,IF(INDEX(ERP資料!$G:$G, (MATCH(547, 輔助計算!$G$2:$G$801, 0)+1))&lt;=1181,2,1))))=1,TEXT(INDEX(ERP資料!$G:$G, (MATCH(547, 輔助計算!$G$2:$G$801, 0)+1)),"0.##"),IF(MOD(INDEX(輔助計算!$D:$D, (MATCH(547, 輔助計算!$G$2:$G$801, 0)+1)),IF(INDEX(ERP資料!$G:$G, (MATCH(547, 輔助計算!$G$2:$G$801, 0)+1))&lt;100, IF(INDEX(ERP資料!$G:$G, (MATCH(547, 輔助計算!$G$2:$G$801, 0)+1))&lt;=31,3,IF(INDEX(ERP資料!$G:$G, (MATCH(547, 輔助計算!$G$2:$G$801, 0)+1))&lt;=46.5,2,1)), IF(INDEX(ERP資料!$G:$G, (MATCH(547, 輔助計算!$G$2:$G$801, 0)+1))&lt;=790,3,IF(INDEX(ERP資料!$G:$G, (MATCH(547, 輔助計算!$G$2:$G$801, 0)+1))&lt;=1181,2,1))))=2,TEXT(INDEX(ERP資料!$G:$G, (MATCH(547, 輔助計算!$G$2:$G$801, 0)+1)),"0.##")&amp;"+"&amp;TEXT(INDEX(ERP資料!$G:$G, (MATCH(547, 輔助計算!$G$2:$G$801, 0)+1)),"0.##"),TEXT(INDEX(ERP資料!$G:$G, (MATCH(547, 輔助計算!$G$2:$G$801, 0)+1)),"0.##")&amp;"+"&amp;TEXT(INDEX(ERP資料!$G:$G, (MATCH(547, 輔助計算!$G$2:$G$801, 0)+1)),"0.##")&amp;"+"&amp;TEXT(INDEX(ERP資料!$G:$G, (MATCH(547, 輔助計算!$G$2:$G$801, 0)+1)),"0.##"))))&amp;"-1")&lt;&gt;""),"  ","")&amp;IF(MOD(INDEX(輔助計算!$D:$D, (MATCH(547, 輔助計算!$G$2:$G$801, 0)+1)),IF(INDEX(ERP資料!$G:$G, (MATCH(547, 輔助計算!$G$2:$G$801, 0)+1))&lt;100, IF(INDEX(ERP資料!$G:$G, (MATCH(547, 輔助計算!$G$2:$G$801, 0)+1))&lt;=31,3,IF(INDEX(ERP資料!$G:$G, (MATCH(547, 輔助計算!$G$2:$G$801, 0)+1))&lt;=46.5,2,1)), IF(INDEX(ERP資料!$G:$G, (MATCH(547, 輔助計算!$G$2:$G$801, 0)+1))&lt;=790,3,IF(INDEX(ERP資料!$G:$G, (MATCH(547, 輔助計算!$G$2:$G$801, 0)+1))&lt;=1181,2,1))))=0,"",IF(MOD(INDEX(輔助計算!$D:$D, (MATCH(547, 輔助計算!$G$2:$G$801, 0)+1)),IF(INDEX(ERP資料!$G:$G, (MATCH(547, 輔助計算!$G$2:$G$801, 0)+1))&lt;100, IF(INDEX(ERP資料!$G:$G, (MATCH(547, 輔助計算!$G$2:$G$801, 0)+1))&lt;=31,3,IF(INDEX(ERP資料!$G:$G, (MATCH(547, 輔助計算!$G$2:$G$801, 0)+1))&lt;=46.5,2,1)), IF(INDEX(ERP資料!$G:$G, (MATCH(547, 輔助計算!$G$2:$G$801, 0)+1))&lt;=790,3,IF(INDEX(ERP資料!$G:$G, (MATCH(547, 輔助計算!$G$2:$G$801, 0)+1))&lt;=1181,2,1))))=0,"",IF(MOD(INDEX(輔助計算!$D:$D, (MATCH(547, 輔助計算!$G$2:$G$801, 0)+1)),IF(INDEX(ERP資料!$G:$G, (MATCH(547, 輔助計算!$G$2:$G$801, 0)+1))&lt;100, IF(INDEX(ERP資料!$G:$G, (MATCH(547, 輔助計算!$G$2:$G$801, 0)+1))&lt;=31,3,IF(INDEX(ERP資料!$G:$G, (MATCH(547, 輔助計算!$G$2:$G$801, 0)+1))&lt;=46.5,2,1)), IF(INDEX(ERP資料!$G:$G, (MATCH(547, 輔助計算!$G$2:$G$801, 0)+1))&lt;=790,3,IF(INDEX(ERP資料!$G:$G, (MATCH(547, 輔助計算!$G$2:$G$801, 0)+1))&lt;=1181,2,1))))=1,TEXT(INDEX(ERP資料!$G:$G, (MATCH(547, 輔助計算!$G$2:$G$801, 0)+1)),"0.##"),IF(MOD(INDEX(輔助計算!$D:$D, (MATCH(547, 輔助計算!$G$2:$G$801, 0)+1)),IF(INDEX(ERP資料!$G:$G, (MATCH(547, 輔助計算!$G$2:$G$801, 0)+1))&lt;100, IF(INDEX(ERP資料!$G:$G, (MATCH(547, 輔助計算!$G$2:$G$801, 0)+1))&lt;=31,3,IF(INDEX(ERP資料!$G:$G, (MATCH(547, 輔助計算!$G$2:$G$801, 0)+1))&lt;=46.5,2,1)), IF(INDEX(ERP資料!$G:$G, (MATCH(547, 輔助計算!$G$2:$G$801, 0)+1))&lt;=790,3,IF(INDEX(ERP資料!$G:$G, (MATCH(547, 輔助計算!$G$2:$G$801, 0)+1))&lt;=1181,2,1))))=2,TEXT(INDEX(ERP資料!$G:$G, (MATCH(547, 輔助計算!$G$2:$G$801, 0)+1)),"0.##")&amp;"+"&amp;TEXT(INDEX(ERP資料!$G:$G, (MATCH(547, 輔助計算!$G$2:$G$801, 0)+1)),"0.##"),TEXT(INDEX(ERP資料!$G:$G, (MATCH(547, 輔助計算!$G$2:$G$801, 0)+1)),"0.##")&amp;"+"&amp;TEXT(INDEX(ERP資料!$G:$G, (MATCH(547, 輔助計算!$G$2:$G$801, 0)+1)),"0.##")&amp;"+"&amp;TEXT(INDEX(ERP資料!$G:$G, (MATCH(547, 輔助計算!$G$2:$G$801, 0)+1)),"0.##"))))&amp;"-1")), ""), "")</f>
        <v/>
      </c>
      <c r="K548" s="16" t="n"/>
      <c r="L548" s="14">
        <f>IFERROR(IF(AND(IFERROR(INDEX(ERP資料!$A:$A, (MATCH(547, 輔助計算!$G$2:$G$801, 0)+1)), "")&lt;&gt;"", IFERROR(INDEX(ERP資料!$A:$A, (MATCH(547, 輔助計算!$G$2:$G$801, 0)+1)), "")&lt;&gt;IFERROR(INDEX(ERP資料!$A:$A, MATCH(546, 輔助計算!$G$2:$G$801, 0)+1), "")), INDEX(ERP資料!$B:$B, (MATCH(547, 輔助計算!$G$2:$G$801, 0)+1)), ""), "")</f>
        <v/>
      </c>
      <c r="M548" s="17" t="n"/>
    </row>
    <row r="549">
      <c r="A549" s="10">
        <f>IFERROR(IF(AND(IFERROR(INDEX(ERP資料!$A:$A, (MATCH(548, 輔助計算!$G$2:$G$801, 0)+1)), "")&lt;&gt;"", IFERROR(INDEX(ERP資料!$A:$A, (MATCH(548, 輔助計算!$G$2:$G$801, 0)+1)), "")&lt;&gt;IFERROR(INDEX(ERP資料!$A:$A, MATCH(547, 輔助計算!$G$2:$G$801, 0)+1), "")), IFERROR(INDEX(ERP資料!$A:$A, (MATCH(548, 輔助計算!$G$2:$G$801, 0)+1)), ""), ""), "")</f>
        <v/>
      </c>
      <c r="B549" s="10">
        <f>IFERROR(IF(AND(IFERROR(INDEX(ERP資料!$A:$A, (MATCH(548, 輔助計算!$G$2:$G$801, 0)+1)), "")&lt;&gt;"", IFERROR(INDEX(ERP資料!$A:$A, (MATCH(548, 輔助計算!$G$2:$G$801, 0)+1)), "")&lt;&gt;IFERROR(INDEX(ERP資料!$A:$A, MATCH(547, 輔助計算!$G$2:$G$801, 0)+1), "")), INDEX(ERP資料!$S:$S, (MATCH(548, 輔助計算!$G$2:$G$801, 0)+1)), ""), "")</f>
        <v/>
      </c>
      <c r="C549" s="19">
        <f>IFERROR(IF(AND(IFERROR(INDEX(ERP資料!$A:$A, (MATCH(548, 輔助計算!$G$2:$G$801, 0)+1)), "")&lt;&gt;"", IFERROR(INDEX(ERP資料!$A:$A, (MATCH(548, 輔助計算!$G$2:$G$801, 0)+1)), "")&lt;&gt;IFERROR(INDEX(ERP資料!$A:$A, MATCH(547, 輔助計算!$G$2:$G$801, 0)+1), "")), IFERROR(VLOOKUP(LEFT(INDEX(ERP資料!$S:$S, (MATCH(548, 輔助計算!$G$2:$G$801, 0)+1)), 4), 紙管對照表!$A:$C, 3, FALSE), ""), ""), "")</f>
        <v/>
      </c>
      <c r="D549" s="16" t="n"/>
      <c r="E549" s="10">
        <f>IFERROR(IF(INDEX(ERP資料!$H:$H, (MATCH(548, 輔助計算!$G$2:$G$801, 0)+1))="","",INDEX(ERP資料!$H:$H, (MATCH(548, 輔助計算!$G$2:$G$801, 0)+1))), "")</f>
        <v/>
      </c>
      <c r="F549" s="10">
        <f>IFERROR(IF(INDEX(ERP資料!$E:$E, (MATCH(548, 輔助計算!$G$2:$G$801, 0)+1))="","",TRIM(INDEX(ERP資料!$E:$E, (MATCH(548, 輔助計算!$G$2:$G$801, 0)+1)))), "")</f>
        <v/>
      </c>
      <c r="G549" s="10">
        <f>IFERROR(IF(INDEX(ERP資料!$F:$F, (MATCH(548, 輔助計算!$G$2:$G$801, 0)+1))="","",INDEX(ERP資料!$F:$F, (MATCH(548, 輔助計算!$G$2:$G$801, 0)+1))), "")</f>
        <v/>
      </c>
      <c r="H549" s="10">
        <f>IFERROR(IF(INDEX(ERP資料!$G:$G, (MATCH(548, 輔助計算!$G$2:$G$801, 0)+1))="","",INDEX(ERP資料!$G:$G, (MATCH(548, 輔助計算!$G$2:$G$801, 0)+1))), "")</f>
        <v/>
      </c>
      <c r="I549" s="15">
        <f>IFERROR(INDEX(輔助計算!$D:$D, (MATCH(548, 輔助計算!$G$2:$G$801, 0)+1)), "")</f>
        <v/>
      </c>
      <c r="J549" s="15">
        <f>IFERROR(IF(AND(INDEX(輔助計算!$D:$D, (MATCH(548, 輔助計算!$G$2:$G$801, 0)+1))&lt;&gt;"", INDEX(ERP資料!$G:$G, (MATCH(548, 輔助計算!$G$2:$G$801, 0)+1))&lt;&gt;""), TRIM(IF(INT(INDEX(輔助計算!$D:$D, (MATCH(548, 輔助計算!$G$2:$G$801, 0)+1))/IF(INDEX(ERP資料!$G:$G, (MATCH(548, 輔助計算!$G$2:$G$801, 0)+1))&lt;100, IF(INDEX(ERP資料!$G:$G, (MATCH(548, 輔助計算!$G$2:$G$801, 0)+1))&lt;=31,3,IF(INDEX(ERP資料!$G:$G, (MATCH(548, 輔助計算!$G$2:$G$801, 0)+1))&lt;=46.5,2,1)), IF(INDEX(ERP資料!$G:$G, (MATCH(548, 輔助計算!$G$2:$G$801, 0)+1))&lt;=790,3,IF(INDEX(ERP資料!$G:$G, (MATCH(548, 輔助計算!$G$2:$G$801, 0)+1))&lt;=1181,2,1))))&gt;0, IF(IF(INDEX(ERP資料!$G:$G, (MATCH(548, 輔助計算!$G$2:$G$801, 0)+1))&lt;100, IF(INDEX(ERP資料!$G:$G, (MATCH(548, 輔助計算!$G$2:$G$801, 0)+1))&lt;=31,3,IF(INDEX(ERP資料!$G:$G, (MATCH(548, 輔助計算!$G$2:$G$801, 0)+1))&lt;=46.5,2,1)), IF(INDEX(ERP資料!$G:$G, (MATCH(548, 輔助計算!$G$2:$G$801, 0)+1))&lt;=790,3,IF(INDEX(ERP資料!$G:$G, (MATCH(548, 輔助計算!$G$2:$G$801, 0)+1))&lt;=1181,2,1)))=1,TEXT(INDEX(ERP資料!$G:$G, (MATCH(548, 輔助計算!$G$2:$G$801, 0)+1)),"0.##"),IF(IF(INDEX(ERP資料!$G:$G, (MATCH(548, 輔助計算!$G$2:$G$801, 0)+1))&lt;100, IF(INDEX(ERP資料!$G:$G, (MATCH(548, 輔助計算!$G$2:$G$801, 0)+1))&lt;=31,3,IF(INDEX(ERP資料!$G:$G, (MATCH(548, 輔助計算!$G$2:$G$801, 0)+1))&lt;=46.5,2,1)), IF(INDEX(ERP資料!$G:$G, (MATCH(548, 輔助計算!$G$2:$G$801, 0)+1))&lt;=790,3,IF(INDEX(ERP資料!$G:$G, (MATCH(548, 輔助計算!$G$2:$G$801, 0)+1))&lt;=1181,2,1)))=2,TEXT(INDEX(ERP資料!$G:$G, (MATCH(548, 輔助計算!$G$2:$G$801, 0)+1)),"0.##")&amp;"+"&amp;TEXT(INDEX(ERP資料!$G:$G, (MATCH(548, 輔助計算!$G$2:$G$801, 0)+1)),"0.##"),TEXT(INDEX(ERP資料!$G:$G, (MATCH(548, 輔助計算!$G$2:$G$801, 0)+1)),"0.##")&amp;"+"&amp;TEXT(INDEX(ERP資料!$G:$G, (MATCH(548, 輔助計算!$G$2:$G$801, 0)+1)),"0.##")&amp;"+"&amp;TEXT(INDEX(ERP資料!$G:$G, (MATCH(548, 輔助計算!$G$2:$G$801, 0)+1)),"0.##")))&amp;"-"&amp;INT(INDEX(輔助計算!$D:$D, (MATCH(548, 輔助計算!$G$2:$G$801, 0)+1))/IF(INDEX(ERP資料!$G:$G, (MATCH(548, 輔助計算!$G$2:$G$801, 0)+1))&lt;100, IF(INDEX(ERP資料!$G:$G, (MATCH(548, 輔助計算!$G$2:$G$801, 0)+1))&lt;=31,3,IF(INDEX(ERP資料!$G:$G, (MATCH(548, 輔助計算!$G$2:$G$801, 0)+1))&lt;=46.5,2,1)), IF(INDEX(ERP資料!$G:$G, (MATCH(548, 輔助計算!$G$2:$G$801, 0)+1))&lt;=790,3,IF(INDEX(ERP資料!$G:$G, (MATCH(548, 輔助計算!$G$2:$G$801, 0)+1))&lt;=1181,2,1)))), "")&amp;IF(AND(IF(INT(INDEX(輔助計算!$D:$D, (MATCH(548, 輔助計算!$G$2:$G$801, 0)+1))/IF(INDEX(ERP資料!$G:$G, (MATCH(548, 輔助計算!$G$2:$G$801, 0)+1))&lt;100, IF(INDEX(ERP資料!$G:$G, (MATCH(548, 輔助計算!$G$2:$G$801, 0)+1))&lt;=31,3,IF(INDEX(ERP資料!$G:$G, (MATCH(548, 輔助計算!$G$2:$G$801, 0)+1))&lt;=46.5,2,1)), IF(INDEX(ERP資料!$G:$G, (MATCH(548, 輔助計算!$G$2:$G$801, 0)+1))&lt;=790,3,IF(INDEX(ERP資料!$G:$G, (MATCH(548, 輔助計算!$G$2:$G$801, 0)+1))&lt;=1181,2,1))))&gt;0, IF(IF(INDEX(ERP資料!$G:$G, (MATCH(548, 輔助計算!$G$2:$G$801, 0)+1))&lt;100, IF(INDEX(ERP資料!$G:$G, (MATCH(548, 輔助計算!$G$2:$G$801, 0)+1))&lt;=31,3,IF(INDEX(ERP資料!$G:$G, (MATCH(548, 輔助計算!$G$2:$G$801, 0)+1))&lt;=46.5,2,1)), IF(INDEX(ERP資料!$G:$G, (MATCH(548, 輔助計算!$G$2:$G$801, 0)+1))&lt;=790,3,IF(INDEX(ERP資料!$G:$G, (MATCH(548, 輔助計算!$G$2:$G$801, 0)+1))&lt;=1181,2,1)))=1,TEXT(INDEX(ERP資料!$G:$G, (MATCH(548, 輔助計算!$G$2:$G$801, 0)+1)),"0.##"),IF(IF(INDEX(ERP資料!$G:$G, (MATCH(548, 輔助計算!$G$2:$G$801, 0)+1))&lt;100, IF(INDEX(ERP資料!$G:$G, (MATCH(548, 輔助計算!$G$2:$G$801, 0)+1))&lt;=31,3,IF(INDEX(ERP資料!$G:$G, (MATCH(548, 輔助計算!$G$2:$G$801, 0)+1))&lt;=46.5,2,1)), IF(INDEX(ERP資料!$G:$G, (MATCH(548, 輔助計算!$G$2:$G$801, 0)+1))&lt;=790,3,IF(INDEX(ERP資料!$G:$G, (MATCH(548, 輔助計算!$G$2:$G$801, 0)+1))&lt;=1181,2,1)))=2,TEXT(INDEX(ERP資料!$G:$G, (MATCH(548, 輔助計算!$G$2:$G$801, 0)+1)),"0.##")&amp;"+"&amp;TEXT(INDEX(ERP資料!$G:$G, (MATCH(548, 輔助計算!$G$2:$G$801, 0)+1)),"0.##"),TEXT(INDEX(ERP資料!$G:$G, (MATCH(548, 輔助計算!$G$2:$G$801, 0)+1)),"0.##")&amp;"+"&amp;TEXT(INDEX(ERP資料!$G:$G, (MATCH(548, 輔助計算!$G$2:$G$801, 0)+1)),"0.##")&amp;"+"&amp;TEXT(INDEX(ERP資料!$G:$G, (MATCH(548, 輔助計算!$G$2:$G$801, 0)+1)),"0.##")))&amp;"-"&amp;INT(INDEX(輔助計算!$D:$D, (MATCH(548, 輔助計算!$G$2:$G$801, 0)+1))/IF(INDEX(ERP資料!$G:$G, (MATCH(548, 輔助計算!$G$2:$G$801, 0)+1))&lt;100, IF(INDEX(ERP資料!$G:$G, (MATCH(548, 輔助計算!$G$2:$G$801, 0)+1))&lt;=31,3,IF(INDEX(ERP資料!$G:$G, (MATCH(548, 輔助計算!$G$2:$G$801, 0)+1))&lt;=46.5,2,1)), IF(INDEX(ERP資料!$G:$G, (MATCH(548, 輔助計算!$G$2:$G$801, 0)+1))&lt;=790,3,IF(INDEX(ERP資料!$G:$G, (MATCH(548, 輔助計算!$G$2:$G$801, 0)+1))&lt;=1181,2,1)))), "")&lt;&gt;"",IF(MOD(INDEX(輔助計算!$D:$D, (MATCH(548, 輔助計算!$G$2:$G$801, 0)+1)),IF(INDEX(ERP資料!$G:$G, (MATCH(548, 輔助計算!$G$2:$G$801, 0)+1))&lt;100, IF(INDEX(ERP資料!$G:$G, (MATCH(548, 輔助計算!$G$2:$G$801, 0)+1))&lt;=31,3,IF(INDEX(ERP資料!$G:$G, (MATCH(548, 輔助計算!$G$2:$G$801, 0)+1))&lt;=46.5,2,1)), IF(INDEX(ERP資料!$G:$G, (MATCH(548, 輔助計算!$G$2:$G$801, 0)+1))&lt;=790,3,IF(INDEX(ERP資料!$G:$G, (MATCH(548, 輔助計算!$G$2:$G$801, 0)+1))&lt;=1181,2,1))))=0,"",IF(MOD(INDEX(輔助計算!$D:$D, (MATCH(548, 輔助計算!$G$2:$G$801, 0)+1)),IF(INDEX(ERP資料!$G:$G, (MATCH(548, 輔助計算!$G$2:$G$801, 0)+1))&lt;100, IF(INDEX(ERP資料!$G:$G, (MATCH(548, 輔助計算!$G$2:$G$801, 0)+1))&lt;=31,3,IF(INDEX(ERP資料!$G:$G, (MATCH(548, 輔助計算!$G$2:$G$801, 0)+1))&lt;=46.5,2,1)), IF(INDEX(ERP資料!$G:$G, (MATCH(548, 輔助計算!$G$2:$G$801, 0)+1))&lt;=790,3,IF(INDEX(ERP資料!$G:$G, (MATCH(548, 輔助計算!$G$2:$G$801, 0)+1))&lt;=1181,2,1))))=0,"",IF(MOD(INDEX(輔助計算!$D:$D, (MATCH(548, 輔助計算!$G$2:$G$801, 0)+1)),IF(INDEX(ERP資料!$G:$G, (MATCH(548, 輔助計算!$G$2:$G$801, 0)+1))&lt;100, IF(INDEX(ERP資料!$G:$G, (MATCH(548, 輔助計算!$G$2:$G$801, 0)+1))&lt;=31,3,IF(INDEX(ERP資料!$G:$G, (MATCH(548, 輔助計算!$G$2:$G$801, 0)+1))&lt;=46.5,2,1)), IF(INDEX(ERP資料!$G:$G, (MATCH(548, 輔助計算!$G$2:$G$801, 0)+1))&lt;=790,3,IF(INDEX(ERP資料!$G:$G, (MATCH(548, 輔助計算!$G$2:$G$801, 0)+1))&lt;=1181,2,1))))=1,TEXT(INDEX(ERP資料!$G:$G, (MATCH(548, 輔助計算!$G$2:$G$801, 0)+1)),"0.##"),IF(MOD(INDEX(輔助計算!$D:$D, (MATCH(548, 輔助計算!$G$2:$G$801, 0)+1)),IF(INDEX(ERP資料!$G:$G, (MATCH(548, 輔助計算!$G$2:$G$801, 0)+1))&lt;100, IF(INDEX(ERP資料!$G:$G, (MATCH(548, 輔助計算!$G$2:$G$801, 0)+1))&lt;=31,3,IF(INDEX(ERP資料!$G:$G, (MATCH(548, 輔助計算!$G$2:$G$801, 0)+1))&lt;=46.5,2,1)), IF(INDEX(ERP資料!$G:$G, (MATCH(548, 輔助計算!$G$2:$G$801, 0)+1))&lt;=790,3,IF(INDEX(ERP資料!$G:$G, (MATCH(548, 輔助計算!$G$2:$G$801, 0)+1))&lt;=1181,2,1))))=2,TEXT(INDEX(ERP資料!$G:$G, (MATCH(548, 輔助計算!$G$2:$G$801, 0)+1)),"0.##")&amp;"+"&amp;TEXT(INDEX(ERP資料!$G:$G, (MATCH(548, 輔助計算!$G$2:$G$801, 0)+1)),"0.##"),TEXT(INDEX(ERP資料!$G:$G, (MATCH(548, 輔助計算!$G$2:$G$801, 0)+1)),"0.##")&amp;"+"&amp;TEXT(INDEX(ERP資料!$G:$G, (MATCH(548, 輔助計算!$G$2:$G$801, 0)+1)),"0.##")&amp;"+"&amp;TEXT(INDEX(ERP資料!$G:$G, (MATCH(548, 輔助計算!$G$2:$G$801, 0)+1)),"0.##"))))&amp;"-1")&lt;&gt;""),"  ","")&amp;IF(MOD(INDEX(輔助計算!$D:$D, (MATCH(548, 輔助計算!$G$2:$G$801, 0)+1)),IF(INDEX(ERP資料!$G:$G, (MATCH(548, 輔助計算!$G$2:$G$801, 0)+1))&lt;100, IF(INDEX(ERP資料!$G:$G, (MATCH(548, 輔助計算!$G$2:$G$801, 0)+1))&lt;=31,3,IF(INDEX(ERP資料!$G:$G, (MATCH(548, 輔助計算!$G$2:$G$801, 0)+1))&lt;=46.5,2,1)), IF(INDEX(ERP資料!$G:$G, (MATCH(548, 輔助計算!$G$2:$G$801, 0)+1))&lt;=790,3,IF(INDEX(ERP資料!$G:$G, (MATCH(548, 輔助計算!$G$2:$G$801, 0)+1))&lt;=1181,2,1))))=0,"",IF(MOD(INDEX(輔助計算!$D:$D, (MATCH(548, 輔助計算!$G$2:$G$801, 0)+1)),IF(INDEX(ERP資料!$G:$G, (MATCH(548, 輔助計算!$G$2:$G$801, 0)+1))&lt;100, IF(INDEX(ERP資料!$G:$G, (MATCH(548, 輔助計算!$G$2:$G$801, 0)+1))&lt;=31,3,IF(INDEX(ERP資料!$G:$G, (MATCH(548, 輔助計算!$G$2:$G$801, 0)+1))&lt;=46.5,2,1)), IF(INDEX(ERP資料!$G:$G, (MATCH(548, 輔助計算!$G$2:$G$801, 0)+1))&lt;=790,3,IF(INDEX(ERP資料!$G:$G, (MATCH(548, 輔助計算!$G$2:$G$801, 0)+1))&lt;=1181,2,1))))=0,"",IF(MOD(INDEX(輔助計算!$D:$D, (MATCH(548, 輔助計算!$G$2:$G$801, 0)+1)),IF(INDEX(ERP資料!$G:$G, (MATCH(548, 輔助計算!$G$2:$G$801, 0)+1))&lt;100, IF(INDEX(ERP資料!$G:$G, (MATCH(548, 輔助計算!$G$2:$G$801, 0)+1))&lt;=31,3,IF(INDEX(ERP資料!$G:$G, (MATCH(548, 輔助計算!$G$2:$G$801, 0)+1))&lt;=46.5,2,1)), IF(INDEX(ERP資料!$G:$G, (MATCH(548, 輔助計算!$G$2:$G$801, 0)+1))&lt;=790,3,IF(INDEX(ERP資料!$G:$G, (MATCH(548, 輔助計算!$G$2:$G$801, 0)+1))&lt;=1181,2,1))))=1,TEXT(INDEX(ERP資料!$G:$G, (MATCH(548, 輔助計算!$G$2:$G$801, 0)+1)),"0.##"),IF(MOD(INDEX(輔助計算!$D:$D, (MATCH(548, 輔助計算!$G$2:$G$801, 0)+1)),IF(INDEX(ERP資料!$G:$G, (MATCH(548, 輔助計算!$G$2:$G$801, 0)+1))&lt;100, IF(INDEX(ERP資料!$G:$G, (MATCH(548, 輔助計算!$G$2:$G$801, 0)+1))&lt;=31,3,IF(INDEX(ERP資料!$G:$G, (MATCH(548, 輔助計算!$G$2:$G$801, 0)+1))&lt;=46.5,2,1)), IF(INDEX(ERP資料!$G:$G, (MATCH(548, 輔助計算!$G$2:$G$801, 0)+1))&lt;=790,3,IF(INDEX(ERP資料!$G:$G, (MATCH(548, 輔助計算!$G$2:$G$801, 0)+1))&lt;=1181,2,1))))=2,TEXT(INDEX(ERP資料!$G:$G, (MATCH(548, 輔助計算!$G$2:$G$801, 0)+1)),"0.##")&amp;"+"&amp;TEXT(INDEX(ERP資料!$G:$G, (MATCH(548, 輔助計算!$G$2:$G$801, 0)+1)),"0.##"),TEXT(INDEX(ERP資料!$G:$G, (MATCH(548, 輔助計算!$G$2:$G$801, 0)+1)),"0.##")&amp;"+"&amp;TEXT(INDEX(ERP資料!$G:$G, (MATCH(548, 輔助計算!$G$2:$G$801, 0)+1)),"0.##")&amp;"+"&amp;TEXT(INDEX(ERP資料!$G:$G, (MATCH(548, 輔助計算!$G$2:$G$801, 0)+1)),"0.##"))))&amp;"-1")), ""), "")</f>
        <v/>
      </c>
      <c r="K549" s="16" t="n"/>
      <c r="L549" s="14">
        <f>IFERROR(IF(AND(IFERROR(INDEX(ERP資料!$A:$A, (MATCH(548, 輔助計算!$G$2:$G$801, 0)+1)), "")&lt;&gt;"", IFERROR(INDEX(ERP資料!$A:$A, (MATCH(548, 輔助計算!$G$2:$G$801, 0)+1)), "")&lt;&gt;IFERROR(INDEX(ERP資料!$A:$A, MATCH(547, 輔助計算!$G$2:$G$801, 0)+1), "")), INDEX(ERP資料!$B:$B, (MATCH(548, 輔助計算!$G$2:$G$801, 0)+1)), ""), "")</f>
        <v/>
      </c>
      <c r="M549" s="17" t="n"/>
    </row>
    <row r="550">
      <c r="A550" s="10">
        <f>IFERROR(IF(AND(IFERROR(INDEX(ERP資料!$A:$A, (MATCH(549, 輔助計算!$G$2:$G$801, 0)+1)), "")&lt;&gt;"", IFERROR(INDEX(ERP資料!$A:$A, (MATCH(549, 輔助計算!$G$2:$G$801, 0)+1)), "")&lt;&gt;IFERROR(INDEX(ERP資料!$A:$A, MATCH(548, 輔助計算!$G$2:$G$801, 0)+1), "")), IFERROR(INDEX(ERP資料!$A:$A, (MATCH(549, 輔助計算!$G$2:$G$801, 0)+1)), ""), ""), "")</f>
        <v/>
      </c>
      <c r="B550" s="10">
        <f>IFERROR(IF(AND(IFERROR(INDEX(ERP資料!$A:$A, (MATCH(549, 輔助計算!$G$2:$G$801, 0)+1)), "")&lt;&gt;"", IFERROR(INDEX(ERP資料!$A:$A, (MATCH(549, 輔助計算!$G$2:$G$801, 0)+1)), "")&lt;&gt;IFERROR(INDEX(ERP資料!$A:$A, MATCH(548, 輔助計算!$G$2:$G$801, 0)+1), "")), INDEX(ERP資料!$S:$S, (MATCH(549, 輔助計算!$G$2:$G$801, 0)+1)), ""), "")</f>
        <v/>
      </c>
      <c r="C550" s="19">
        <f>IFERROR(IF(AND(IFERROR(INDEX(ERP資料!$A:$A, (MATCH(549, 輔助計算!$G$2:$G$801, 0)+1)), "")&lt;&gt;"", IFERROR(INDEX(ERP資料!$A:$A, (MATCH(549, 輔助計算!$G$2:$G$801, 0)+1)), "")&lt;&gt;IFERROR(INDEX(ERP資料!$A:$A, MATCH(548, 輔助計算!$G$2:$G$801, 0)+1), "")), IFERROR(VLOOKUP(LEFT(INDEX(ERP資料!$S:$S, (MATCH(549, 輔助計算!$G$2:$G$801, 0)+1)), 4), 紙管對照表!$A:$C, 3, FALSE), ""), ""), "")</f>
        <v/>
      </c>
      <c r="D550" s="16" t="n"/>
      <c r="E550" s="10">
        <f>IFERROR(IF(INDEX(ERP資料!$H:$H, (MATCH(549, 輔助計算!$G$2:$G$801, 0)+1))="","",INDEX(ERP資料!$H:$H, (MATCH(549, 輔助計算!$G$2:$G$801, 0)+1))), "")</f>
        <v/>
      </c>
      <c r="F550" s="10">
        <f>IFERROR(IF(INDEX(ERP資料!$E:$E, (MATCH(549, 輔助計算!$G$2:$G$801, 0)+1))="","",TRIM(INDEX(ERP資料!$E:$E, (MATCH(549, 輔助計算!$G$2:$G$801, 0)+1)))), "")</f>
        <v/>
      </c>
      <c r="G550" s="10">
        <f>IFERROR(IF(INDEX(ERP資料!$F:$F, (MATCH(549, 輔助計算!$G$2:$G$801, 0)+1))="","",INDEX(ERP資料!$F:$F, (MATCH(549, 輔助計算!$G$2:$G$801, 0)+1))), "")</f>
        <v/>
      </c>
      <c r="H550" s="10">
        <f>IFERROR(IF(INDEX(ERP資料!$G:$G, (MATCH(549, 輔助計算!$G$2:$G$801, 0)+1))="","",INDEX(ERP資料!$G:$G, (MATCH(549, 輔助計算!$G$2:$G$801, 0)+1))), "")</f>
        <v/>
      </c>
      <c r="I550" s="15">
        <f>IFERROR(INDEX(輔助計算!$D:$D, (MATCH(549, 輔助計算!$G$2:$G$801, 0)+1)), "")</f>
        <v/>
      </c>
      <c r="J550" s="15">
        <f>IFERROR(IF(AND(INDEX(輔助計算!$D:$D, (MATCH(549, 輔助計算!$G$2:$G$801, 0)+1))&lt;&gt;"", INDEX(ERP資料!$G:$G, (MATCH(549, 輔助計算!$G$2:$G$801, 0)+1))&lt;&gt;""), TRIM(IF(INT(INDEX(輔助計算!$D:$D, (MATCH(549, 輔助計算!$G$2:$G$801, 0)+1))/IF(INDEX(ERP資料!$G:$G, (MATCH(549, 輔助計算!$G$2:$G$801, 0)+1))&lt;100, IF(INDEX(ERP資料!$G:$G, (MATCH(549, 輔助計算!$G$2:$G$801, 0)+1))&lt;=31,3,IF(INDEX(ERP資料!$G:$G, (MATCH(549, 輔助計算!$G$2:$G$801, 0)+1))&lt;=46.5,2,1)), IF(INDEX(ERP資料!$G:$G, (MATCH(549, 輔助計算!$G$2:$G$801, 0)+1))&lt;=790,3,IF(INDEX(ERP資料!$G:$G, (MATCH(549, 輔助計算!$G$2:$G$801, 0)+1))&lt;=1181,2,1))))&gt;0, IF(IF(INDEX(ERP資料!$G:$G, (MATCH(549, 輔助計算!$G$2:$G$801, 0)+1))&lt;100, IF(INDEX(ERP資料!$G:$G, (MATCH(549, 輔助計算!$G$2:$G$801, 0)+1))&lt;=31,3,IF(INDEX(ERP資料!$G:$G, (MATCH(549, 輔助計算!$G$2:$G$801, 0)+1))&lt;=46.5,2,1)), IF(INDEX(ERP資料!$G:$G, (MATCH(549, 輔助計算!$G$2:$G$801, 0)+1))&lt;=790,3,IF(INDEX(ERP資料!$G:$G, (MATCH(549, 輔助計算!$G$2:$G$801, 0)+1))&lt;=1181,2,1)))=1,TEXT(INDEX(ERP資料!$G:$G, (MATCH(549, 輔助計算!$G$2:$G$801, 0)+1)),"0.##"),IF(IF(INDEX(ERP資料!$G:$G, (MATCH(549, 輔助計算!$G$2:$G$801, 0)+1))&lt;100, IF(INDEX(ERP資料!$G:$G, (MATCH(549, 輔助計算!$G$2:$G$801, 0)+1))&lt;=31,3,IF(INDEX(ERP資料!$G:$G, (MATCH(549, 輔助計算!$G$2:$G$801, 0)+1))&lt;=46.5,2,1)), IF(INDEX(ERP資料!$G:$G, (MATCH(549, 輔助計算!$G$2:$G$801, 0)+1))&lt;=790,3,IF(INDEX(ERP資料!$G:$G, (MATCH(549, 輔助計算!$G$2:$G$801, 0)+1))&lt;=1181,2,1)))=2,TEXT(INDEX(ERP資料!$G:$G, (MATCH(549, 輔助計算!$G$2:$G$801, 0)+1)),"0.##")&amp;"+"&amp;TEXT(INDEX(ERP資料!$G:$G, (MATCH(549, 輔助計算!$G$2:$G$801, 0)+1)),"0.##"),TEXT(INDEX(ERP資料!$G:$G, (MATCH(549, 輔助計算!$G$2:$G$801, 0)+1)),"0.##")&amp;"+"&amp;TEXT(INDEX(ERP資料!$G:$G, (MATCH(549, 輔助計算!$G$2:$G$801, 0)+1)),"0.##")&amp;"+"&amp;TEXT(INDEX(ERP資料!$G:$G, (MATCH(549, 輔助計算!$G$2:$G$801, 0)+1)),"0.##")))&amp;"-"&amp;INT(INDEX(輔助計算!$D:$D, (MATCH(549, 輔助計算!$G$2:$G$801, 0)+1))/IF(INDEX(ERP資料!$G:$G, (MATCH(549, 輔助計算!$G$2:$G$801, 0)+1))&lt;100, IF(INDEX(ERP資料!$G:$G, (MATCH(549, 輔助計算!$G$2:$G$801, 0)+1))&lt;=31,3,IF(INDEX(ERP資料!$G:$G, (MATCH(549, 輔助計算!$G$2:$G$801, 0)+1))&lt;=46.5,2,1)), IF(INDEX(ERP資料!$G:$G, (MATCH(549, 輔助計算!$G$2:$G$801, 0)+1))&lt;=790,3,IF(INDEX(ERP資料!$G:$G, (MATCH(549, 輔助計算!$G$2:$G$801, 0)+1))&lt;=1181,2,1)))), "")&amp;IF(AND(IF(INT(INDEX(輔助計算!$D:$D, (MATCH(549, 輔助計算!$G$2:$G$801, 0)+1))/IF(INDEX(ERP資料!$G:$G, (MATCH(549, 輔助計算!$G$2:$G$801, 0)+1))&lt;100, IF(INDEX(ERP資料!$G:$G, (MATCH(549, 輔助計算!$G$2:$G$801, 0)+1))&lt;=31,3,IF(INDEX(ERP資料!$G:$G, (MATCH(549, 輔助計算!$G$2:$G$801, 0)+1))&lt;=46.5,2,1)), IF(INDEX(ERP資料!$G:$G, (MATCH(549, 輔助計算!$G$2:$G$801, 0)+1))&lt;=790,3,IF(INDEX(ERP資料!$G:$G, (MATCH(549, 輔助計算!$G$2:$G$801, 0)+1))&lt;=1181,2,1))))&gt;0, IF(IF(INDEX(ERP資料!$G:$G, (MATCH(549, 輔助計算!$G$2:$G$801, 0)+1))&lt;100, IF(INDEX(ERP資料!$G:$G, (MATCH(549, 輔助計算!$G$2:$G$801, 0)+1))&lt;=31,3,IF(INDEX(ERP資料!$G:$G, (MATCH(549, 輔助計算!$G$2:$G$801, 0)+1))&lt;=46.5,2,1)), IF(INDEX(ERP資料!$G:$G, (MATCH(549, 輔助計算!$G$2:$G$801, 0)+1))&lt;=790,3,IF(INDEX(ERP資料!$G:$G, (MATCH(549, 輔助計算!$G$2:$G$801, 0)+1))&lt;=1181,2,1)))=1,TEXT(INDEX(ERP資料!$G:$G, (MATCH(549, 輔助計算!$G$2:$G$801, 0)+1)),"0.##"),IF(IF(INDEX(ERP資料!$G:$G, (MATCH(549, 輔助計算!$G$2:$G$801, 0)+1))&lt;100, IF(INDEX(ERP資料!$G:$G, (MATCH(549, 輔助計算!$G$2:$G$801, 0)+1))&lt;=31,3,IF(INDEX(ERP資料!$G:$G, (MATCH(549, 輔助計算!$G$2:$G$801, 0)+1))&lt;=46.5,2,1)), IF(INDEX(ERP資料!$G:$G, (MATCH(549, 輔助計算!$G$2:$G$801, 0)+1))&lt;=790,3,IF(INDEX(ERP資料!$G:$G, (MATCH(549, 輔助計算!$G$2:$G$801, 0)+1))&lt;=1181,2,1)))=2,TEXT(INDEX(ERP資料!$G:$G, (MATCH(549, 輔助計算!$G$2:$G$801, 0)+1)),"0.##")&amp;"+"&amp;TEXT(INDEX(ERP資料!$G:$G, (MATCH(549, 輔助計算!$G$2:$G$801, 0)+1)),"0.##"),TEXT(INDEX(ERP資料!$G:$G, (MATCH(549, 輔助計算!$G$2:$G$801, 0)+1)),"0.##")&amp;"+"&amp;TEXT(INDEX(ERP資料!$G:$G, (MATCH(549, 輔助計算!$G$2:$G$801, 0)+1)),"0.##")&amp;"+"&amp;TEXT(INDEX(ERP資料!$G:$G, (MATCH(549, 輔助計算!$G$2:$G$801, 0)+1)),"0.##")))&amp;"-"&amp;INT(INDEX(輔助計算!$D:$D, (MATCH(549, 輔助計算!$G$2:$G$801, 0)+1))/IF(INDEX(ERP資料!$G:$G, (MATCH(549, 輔助計算!$G$2:$G$801, 0)+1))&lt;100, IF(INDEX(ERP資料!$G:$G, (MATCH(549, 輔助計算!$G$2:$G$801, 0)+1))&lt;=31,3,IF(INDEX(ERP資料!$G:$G, (MATCH(549, 輔助計算!$G$2:$G$801, 0)+1))&lt;=46.5,2,1)), IF(INDEX(ERP資料!$G:$G, (MATCH(549, 輔助計算!$G$2:$G$801, 0)+1))&lt;=790,3,IF(INDEX(ERP資料!$G:$G, (MATCH(549, 輔助計算!$G$2:$G$801, 0)+1))&lt;=1181,2,1)))), "")&lt;&gt;"",IF(MOD(INDEX(輔助計算!$D:$D, (MATCH(549, 輔助計算!$G$2:$G$801, 0)+1)),IF(INDEX(ERP資料!$G:$G, (MATCH(549, 輔助計算!$G$2:$G$801, 0)+1))&lt;100, IF(INDEX(ERP資料!$G:$G, (MATCH(549, 輔助計算!$G$2:$G$801, 0)+1))&lt;=31,3,IF(INDEX(ERP資料!$G:$G, (MATCH(549, 輔助計算!$G$2:$G$801, 0)+1))&lt;=46.5,2,1)), IF(INDEX(ERP資料!$G:$G, (MATCH(549, 輔助計算!$G$2:$G$801, 0)+1))&lt;=790,3,IF(INDEX(ERP資料!$G:$G, (MATCH(549, 輔助計算!$G$2:$G$801, 0)+1))&lt;=1181,2,1))))=0,"",IF(MOD(INDEX(輔助計算!$D:$D, (MATCH(549, 輔助計算!$G$2:$G$801, 0)+1)),IF(INDEX(ERP資料!$G:$G, (MATCH(549, 輔助計算!$G$2:$G$801, 0)+1))&lt;100, IF(INDEX(ERP資料!$G:$G, (MATCH(549, 輔助計算!$G$2:$G$801, 0)+1))&lt;=31,3,IF(INDEX(ERP資料!$G:$G, (MATCH(549, 輔助計算!$G$2:$G$801, 0)+1))&lt;=46.5,2,1)), IF(INDEX(ERP資料!$G:$G, (MATCH(549, 輔助計算!$G$2:$G$801, 0)+1))&lt;=790,3,IF(INDEX(ERP資料!$G:$G, (MATCH(549, 輔助計算!$G$2:$G$801, 0)+1))&lt;=1181,2,1))))=0,"",IF(MOD(INDEX(輔助計算!$D:$D, (MATCH(549, 輔助計算!$G$2:$G$801, 0)+1)),IF(INDEX(ERP資料!$G:$G, (MATCH(549, 輔助計算!$G$2:$G$801, 0)+1))&lt;100, IF(INDEX(ERP資料!$G:$G, (MATCH(549, 輔助計算!$G$2:$G$801, 0)+1))&lt;=31,3,IF(INDEX(ERP資料!$G:$G, (MATCH(549, 輔助計算!$G$2:$G$801, 0)+1))&lt;=46.5,2,1)), IF(INDEX(ERP資料!$G:$G, (MATCH(549, 輔助計算!$G$2:$G$801, 0)+1))&lt;=790,3,IF(INDEX(ERP資料!$G:$G, (MATCH(549, 輔助計算!$G$2:$G$801, 0)+1))&lt;=1181,2,1))))=1,TEXT(INDEX(ERP資料!$G:$G, (MATCH(549, 輔助計算!$G$2:$G$801, 0)+1)),"0.##"),IF(MOD(INDEX(輔助計算!$D:$D, (MATCH(549, 輔助計算!$G$2:$G$801, 0)+1)),IF(INDEX(ERP資料!$G:$G, (MATCH(549, 輔助計算!$G$2:$G$801, 0)+1))&lt;100, IF(INDEX(ERP資料!$G:$G, (MATCH(549, 輔助計算!$G$2:$G$801, 0)+1))&lt;=31,3,IF(INDEX(ERP資料!$G:$G, (MATCH(549, 輔助計算!$G$2:$G$801, 0)+1))&lt;=46.5,2,1)), IF(INDEX(ERP資料!$G:$G, (MATCH(549, 輔助計算!$G$2:$G$801, 0)+1))&lt;=790,3,IF(INDEX(ERP資料!$G:$G, (MATCH(549, 輔助計算!$G$2:$G$801, 0)+1))&lt;=1181,2,1))))=2,TEXT(INDEX(ERP資料!$G:$G, (MATCH(549, 輔助計算!$G$2:$G$801, 0)+1)),"0.##")&amp;"+"&amp;TEXT(INDEX(ERP資料!$G:$G, (MATCH(549, 輔助計算!$G$2:$G$801, 0)+1)),"0.##"),TEXT(INDEX(ERP資料!$G:$G, (MATCH(549, 輔助計算!$G$2:$G$801, 0)+1)),"0.##")&amp;"+"&amp;TEXT(INDEX(ERP資料!$G:$G, (MATCH(549, 輔助計算!$G$2:$G$801, 0)+1)),"0.##")&amp;"+"&amp;TEXT(INDEX(ERP資料!$G:$G, (MATCH(549, 輔助計算!$G$2:$G$801, 0)+1)),"0.##"))))&amp;"-1")&lt;&gt;""),"  ","")&amp;IF(MOD(INDEX(輔助計算!$D:$D, (MATCH(549, 輔助計算!$G$2:$G$801, 0)+1)),IF(INDEX(ERP資料!$G:$G, (MATCH(549, 輔助計算!$G$2:$G$801, 0)+1))&lt;100, IF(INDEX(ERP資料!$G:$G, (MATCH(549, 輔助計算!$G$2:$G$801, 0)+1))&lt;=31,3,IF(INDEX(ERP資料!$G:$G, (MATCH(549, 輔助計算!$G$2:$G$801, 0)+1))&lt;=46.5,2,1)), IF(INDEX(ERP資料!$G:$G, (MATCH(549, 輔助計算!$G$2:$G$801, 0)+1))&lt;=790,3,IF(INDEX(ERP資料!$G:$G, (MATCH(549, 輔助計算!$G$2:$G$801, 0)+1))&lt;=1181,2,1))))=0,"",IF(MOD(INDEX(輔助計算!$D:$D, (MATCH(549, 輔助計算!$G$2:$G$801, 0)+1)),IF(INDEX(ERP資料!$G:$G, (MATCH(549, 輔助計算!$G$2:$G$801, 0)+1))&lt;100, IF(INDEX(ERP資料!$G:$G, (MATCH(549, 輔助計算!$G$2:$G$801, 0)+1))&lt;=31,3,IF(INDEX(ERP資料!$G:$G, (MATCH(549, 輔助計算!$G$2:$G$801, 0)+1))&lt;=46.5,2,1)), IF(INDEX(ERP資料!$G:$G, (MATCH(549, 輔助計算!$G$2:$G$801, 0)+1))&lt;=790,3,IF(INDEX(ERP資料!$G:$G, (MATCH(549, 輔助計算!$G$2:$G$801, 0)+1))&lt;=1181,2,1))))=0,"",IF(MOD(INDEX(輔助計算!$D:$D, (MATCH(549, 輔助計算!$G$2:$G$801, 0)+1)),IF(INDEX(ERP資料!$G:$G, (MATCH(549, 輔助計算!$G$2:$G$801, 0)+1))&lt;100, IF(INDEX(ERP資料!$G:$G, (MATCH(549, 輔助計算!$G$2:$G$801, 0)+1))&lt;=31,3,IF(INDEX(ERP資料!$G:$G, (MATCH(549, 輔助計算!$G$2:$G$801, 0)+1))&lt;=46.5,2,1)), IF(INDEX(ERP資料!$G:$G, (MATCH(549, 輔助計算!$G$2:$G$801, 0)+1))&lt;=790,3,IF(INDEX(ERP資料!$G:$G, (MATCH(549, 輔助計算!$G$2:$G$801, 0)+1))&lt;=1181,2,1))))=1,TEXT(INDEX(ERP資料!$G:$G, (MATCH(549, 輔助計算!$G$2:$G$801, 0)+1)),"0.##"),IF(MOD(INDEX(輔助計算!$D:$D, (MATCH(549, 輔助計算!$G$2:$G$801, 0)+1)),IF(INDEX(ERP資料!$G:$G, (MATCH(549, 輔助計算!$G$2:$G$801, 0)+1))&lt;100, IF(INDEX(ERP資料!$G:$G, (MATCH(549, 輔助計算!$G$2:$G$801, 0)+1))&lt;=31,3,IF(INDEX(ERP資料!$G:$G, (MATCH(549, 輔助計算!$G$2:$G$801, 0)+1))&lt;=46.5,2,1)), IF(INDEX(ERP資料!$G:$G, (MATCH(549, 輔助計算!$G$2:$G$801, 0)+1))&lt;=790,3,IF(INDEX(ERP資料!$G:$G, (MATCH(549, 輔助計算!$G$2:$G$801, 0)+1))&lt;=1181,2,1))))=2,TEXT(INDEX(ERP資料!$G:$G, (MATCH(549, 輔助計算!$G$2:$G$801, 0)+1)),"0.##")&amp;"+"&amp;TEXT(INDEX(ERP資料!$G:$G, (MATCH(549, 輔助計算!$G$2:$G$801, 0)+1)),"0.##"),TEXT(INDEX(ERP資料!$G:$G, (MATCH(549, 輔助計算!$G$2:$G$801, 0)+1)),"0.##")&amp;"+"&amp;TEXT(INDEX(ERP資料!$G:$G, (MATCH(549, 輔助計算!$G$2:$G$801, 0)+1)),"0.##")&amp;"+"&amp;TEXT(INDEX(ERP資料!$G:$G, (MATCH(549, 輔助計算!$G$2:$G$801, 0)+1)),"0.##"))))&amp;"-1")), ""), "")</f>
        <v/>
      </c>
      <c r="K550" s="16" t="n"/>
      <c r="L550" s="14">
        <f>IFERROR(IF(AND(IFERROR(INDEX(ERP資料!$A:$A, (MATCH(549, 輔助計算!$G$2:$G$801, 0)+1)), "")&lt;&gt;"", IFERROR(INDEX(ERP資料!$A:$A, (MATCH(549, 輔助計算!$G$2:$G$801, 0)+1)), "")&lt;&gt;IFERROR(INDEX(ERP資料!$A:$A, MATCH(548, 輔助計算!$G$2:$G$801, 0)+1), "")), INDEX(ERP資料!$B:$B, (MATCH(549, 輔助計算!$G$2:$G$801, 0)+1)), ""), "")</f>
        <v/>
      </c>
      <c r="M550" s="17" t="n"/>
    </row>
    <row r="551">
      <c r="A551" s="10">
        <f>IFERROR(IF(AND(IFERROR(INDEX(ERP資料!$A:$A, (MATCH(550, 輔助計算!$G$2:$G$801, 0)+1)), "")&lt;&gt;"", IFERROR(INDEX(ERP資料!$A:$A, (MATCH(550, 輔助計算!$G$2:$G$801, 0)+1)), "")&lt;&gt;IFERROR(INDEX(ERP資料!$A:$A, MATCH(549, 輔助計算!$G$2:$G$801, 0)+1), "")), IFERROR(INDEX(ERP資料!$A:$A, (MATCH(550, 輔助計算!$G$2:$G$801, 0)+1)), ""), ""), "")</f>
        <v/>
      </c>
      <c r="B551" s="10">
        <f>IFERROR(IF(AND(IFERROR(INDEX(ERP資料!$A:$A, (MATCH(550, 輔助計算!$G$2:$G$801, 0)+1)), "")&lt;&gt;"", IFERROR(INDEX(ERP資料!$A:$A, (MATCH(550, 輔助計算!$G$2:$G$801, 0)+1)), "")&lt;&gt;IFERROR(INDEX(ERP資料!$A:$A, MATCH(549, 輔助計算!$G$2:$G$801, 0)+1), "")), INDEX(ERP資料!$S:$S, (MATCH(550, 輔助計算!$G$2:$G$801, 0)+1)), ""), "")</f>
        <v/>
      </c>
      <c r="C551" s="19">
        <f>IFERROR(IF(AND(IFERROR(INDEX(ERP資料!$A:$A, (MATCH(550, 輔助計算!$G$2:$G$801, 0)+1)), "")&lt;&gt;"", IFERROR(INDEX(ERP資料!$A:$A, (MATCH(550, 輔助計算!$G$2:$G$801, 0)+1)), "")&lt;&gt;IFERROR(INDEX(ERP資料!$A:$A, MATCH(549, 輔助計算!$G$2:$G$801, 0)+1), "")), IFERROR(VLOOKUP(LEFT(INDEX(ERP資料!$S:$S, (MATCH(550, 輔助計算!$G$2:$G$801, 0)+1)), 4), 紙管對照表!$A:$C, 3, FALSE), ""), ""), "")</f>
        <v/>
      </c>
      <c r="D551" s="16" t="n"/>
      <c r="E551" s="10">
        <f>IFERROR(IF(INDEX(ERP資料!$H:$H, (MATCH(550, 輔助計算!$G$2:$G$801, 0)+1))="","",INDEX(ERP資料!$H:$H, (MATCH(550, 輔助計算!$G$2:$G$801, 0)+1))), "")</f>
        <v/>
      </c>
      <c r="F551" s="10">
        <f>IFERROR(IF(INDEX(ERP資料!$E:$E, (MATCH(550, 輔助計算!$G$2:$G$801, 0)+1))="","",TRIM(INDEX(ERP資料!$E:$E, (MATCH(550, 輔助計算!$G$2:$G$801, 0)+1)))), "")</f>
        <v/>
      </c>
      <c r="G551" s="10">
        <f>IFERROR(IF(INDEX(ERP資料!$F:$F, (MATCH(550, 輔助計算!$G$2:$G$801, 0)+1))="","",INDEX(ERP資料!$F:$F, (MATCH(550, 輔助計算!$G$2:$G$801, 0)+1))), "")</f>
        <v/>
      </c>
      <c r="H551" s="10">
        <f>IFERROR(IF(INDEX(ERP資料!$G:$G, (MATCH(550, 輔助計算!$G$2:$G$801, 0)+1))="","",INDEX(ERP資料!$G:$G, (MATCH(550, 輔助計算!$G$2:$G$801, 0)+1))), "")</f>
        <v/>
      </c>
      <c r="I551" s="15">
        <f>IFERROR(INDEX(輔助計算!$D:$D, (MATCH(550, 輔助計算!$G$2:$G$801, 0)+1)), "")</f>
        <v/>
      </c>
      <c r="J551" s="15">
        <f>IFERROR(IF(AND(INDEX(輔助計算!$D:$D, (MATCH(550, 輔助計算!$G$2:$G$801, 0)+1))&lt;&gt;"", INDEX(ERP資料!$G:$G, (MATCH(550, 輔助計算!$G$2:$G$801, 0)+1))&lt;&gt;""), TRIM(IF(INT(INDEX(輔助計算!$D:$D, (MATCH(550, 輔助計算!$G$2:$G$801, 0)+1))/IF(INDEX(ERP資料!$G:$G, (MATCH(550, 輔助計算!$G$2:$G$801, 0)+1))&lt;100, IF(INDEX(ERP資料!$G:$G, (MATCH(550, 輔助計算!$G$2:$G$801, 0)+1))&lt;=31,3,IF(INDEX(ERP資料!$G:$G, (MATCH(550, 輔助計算!$G$2:$G$801, 0)+1))&lt;=46.5,2,1)), IF(INDEX(ERP資料!$G:$G, (MATCH(550, 輔助計算!$G$2:$G$801, 0)+1))&lt;=790,3,IF(INDEX(ERP資料!$G:$G, (MATCH(550, 輔助計算!$G$2:$G$801, 0)+1))&lt;=1181,2,1))))&gt;0, IF(IF(INDEX(ERP資料!$G:$G, (MATCH(550, 輔助計算!$G$2:$G$801, 0)+1))&lt;100, IF(INDEX(ERP資料!$G:$G, (MATCH(550, 輔助計算!$G$2:$G$801, 0)+1))&lt;=31,3,IF(INDEX(ERP資料!$G:$G, (MATCH(550, 輔助計算!$G$2:$G$801, 0)+1))&lt;=46.5,2,1)), IF(INDEX(ERP資料!$G:$G, (MATCH(550, 輔助計算!$G$2:$G$801, 0)+1))&lt;=790,3,IF(INDEX(ERP資料!$G:$G, (MATCH(550, 輔助計算!$G$2:$G$801, 0)+1))&lt;=1181,2,1)))=1,TEXT(INDEX(ERP資料!$G:$G, (MATCH(550, 輔助計算!$G$2:$G$801, 0)+1)),"0.##"),IF(IF(INDEX(ERP資料!$G:$G, (MATCH(550, 輔助計算!$G$2:$G$801, 0)+1))&lt;100, IF(INDEX(ERP資料!$G:$G, (MATCH(550, 輔助計算!$G$2:$G$801, 0)+1))&lt;=31,3,IF(INDEX(ERP資料!$G:$G, (MATCH(550, 輔助計算!$G$2:$G$801, 0)+1))&lt;=46.5,2,1)), IF(INDEX(ERP資料!$G:$G, (MATCH(550, 輔助計算!$G$2:$G$801, 0)+1))&lt;=790,3,IF(INDEX(ERP資料!$G:$G, (MATCH(550, 輔助計算!$G$2:$G$801, 0)+1))&lt;=1181,2,1)))=2,TEXT(INDEX(ERP資料!$G:$G, (MATCH(550, 輔助計算!$G$2:$G$801, 0)+1)),"0.##")&amp;"+"&amp;TEXT(INDEX(ERP資料!$G:$G, (MATCH(550, 輔助計算!$G$2:$G$801, 0)+1)),"0.##"),TEXT(INDEX(ERP資料!$G:$G, (MATCH(550, 輔助計算!$G$2:$G$801, 0)+1)),"0.##")&amp;"+"&amp;TEXT(INDEX(ERP資料!$G:$G, (MATCH(550, 輔助計算!$G$2:$G$801, 0)+1)),"0.##")&amp;"+"&amp;TEXT(INDEX(ERP資料!$G:$G, (MATCH(550, 輔助計算!$G$2:$G$801, 0)+1)),"0.##")))&amp;"-"&amp;INT(INDEX(輔助計算!$D:$D, (MATCH(550, 輔助計算!$G$2:$G$801, 0)+1))/IF(INDEX(ERP資料!$G:$G, (MATCH(550, 輔助計算!$G$2:$G$801, 0)+1))&lt;100, IF(INDEX(ERP資料!$G:$G, (MATCH(550, 輔助計算!$G$2:$G$801, 0)+1))&lt;=31,3,IF(INDEX(ERP資料!$G:$G, (MATCH(550, 輔助計算!$G$2:$G$801, 0)+1))&lt;=46.5,2,1)), IF(INDEX(ERP資料!$G:$G, (MATCH(550, 輔助計算!$G$2:$G$801, 0)+1))&lt;=790,3,IF(INDEX(ERP資料!$G:$G, (MATCH(550, 輔助計算!$G$2:$G$801, 0)+1))&lt;=1181,2,1)))), "")&amp;IF(AND(IF(INT(INDEX(輔助計算!$D:$D, (MATCH(550, 輔助計算!$G$2:$G$801, 0)+1))/IF(INDEX(ERP資料!$G:$G, (MATCH(550, 輔助計算!$G$2:$G$801, 0)+1))&lt;100, IF(INDEX(ERP資料!$G:$G, (MATCH(550, 輔助計算!$G$2:$G$801, 0)+1))&lt;=31,3,IF(INDEX(ERP資料!$G:$G, (MATCH(550, 輔助計算!$G$2:$G$801, 0)+1))&lt;=46.5,2,1)), IF(INDEX(ERP資料!$G:$G, (MATCH(550, 輔助計算!$G$2:$G$801, 0)+1))&lt;=790,3,IF(INDEX(ERP資料!$G:$G, (MATCH(550, 輔助計算!$G$2:$G$801, 0)+1))&lt;=1181,2,1))))&gt;0, IF(IF(INDEX(ERP資料!$G:$G, (MATCH(550, 輔助計算!$G$2:$G$801, 0)+1))&lt;100, IF(INDEX(ERP資料!$G:$G, (MATCH(550, 輔助計算!$G$2:$G$801, 0)+1))&lt;=31,3,IF(INDEX(ERP資料!$G:$G, (MATCH(550, 輔助計算!$G$2:$G$801, 0)+1))&lt;=46.5,2,1)), IF(INDEX(ERP資料!$G:$G, (MATCH(550, 輔助計算!$G$2:$G$801, 0)+1))&lt;=790,3,IF(INDEX(ERP資料!$G:$G, (MATCH(550, 輔助計算!$G$2:$G$801, 0)+1))&lt;=1181,2,1)))=1,TEXT(INDEX(ERP資料!$G:$G, (MATCH(550, 輔助計算!$G$2:$G$801, 0)+1)),"0.##"),IF(IF(INDEX(ERP資料!$G:$G, (MATCH(550, 輔助計算!$G$2:$G$801, 0)+1))&lt;100, IF(INDEX(ERP資料!$G:$G, (MATCH(550, 輔助計算!$G$2:$G$801, 0)+1))&lt;=31,3,IF(INDEX(ERP資料!$G:$G, (MATCH(550, 輔助計算!$G$2:$G$801, 0)+1))&lt;=46.5,2,1)), IF(INDEX(ERP資料!$G:$G, (MATCH(550, 輔助計算!$G$2:$G$801, 0)+1))&lt;=790,3,IF(INDEX(ERP資料!$G:$G, (MATCH(550, 輔助計算!$G$2:$G$801, 0)+1))&lt;=1181,2,1)))=2,TEXT(INDEX(ERP資料!$G:$G, (MATCH(550, 輔助計算!$G$2:$G$801, 0)+1)),"0.##")&amp;"+"&amp;TEXT(INDEX(ERP資料!$G:$G, (MATCH(550, 輔助計算!$G$2:$G$801, 0)+1)),"0.##"),TEXT(INDEX(ERP資料!$G:$G, (MATCH(550, 輔助計算!$G$2:$G$801, 0)+1)),"0.##")&amp;"+"&amp;TEXT(INDEX(ERP資料!$G:$G, (MATCH(550, 輔助計算!$G$2:$G$801, 0)+1)),"0.##")&amp;"+"&amp;TEXT(INDEX(ERP資料!$G:$G, (MATCH(550, 輔助計算!$G$2:$G$801, 0)+1)),"0.##")))&amp;"-"&amp;INT(INDEX(輔助計算!$D:$D, (MATCH(550, 輔助計算!$G$2:$G$801, 0)+1))/IF(INDEX(ERP資料!$G:$G, (MATCH(550, 輔助計算!$G$2:$G$801, 0)+1))&lt;100, IF(INDEX(ERP資料!$G:$G, (MATCH(550, 輔助計算!$G$2:$G$801, 0)+1))&lt;=31,3,IF(INDEX(ERP資料!$G:$G, (MATCH(550, 輔助計算!$G$2:$G$801, 0)+1))&lt;=46.5,2,1)), IF(INDEX(ERP資料!$G:$G, (MATCH(550, 輔助計算!$G$2:$G$801, 0)+1))&lt;=790,3,IF(INDEX(ERP資料!$G:$G, (MATCH(550, 輔助計算!$G$2:$G$801, 0)+1))&lt;=1181,2,1)))), "")&lt;&gt;"",IF(MOD(INDEX(輔助計算!$D:$D, (MATCH(550, 輔助計算!$G$2:$G$801, 0)+1)),IF(INDEX(ERP資料!$G:$G, (MATCH(550, 輔助計算!$G$2:$G$801, 0)+1))&lt;100, IF(INDEX(ERP資料!$G:$G, (MATCH(550, 輔助計算!$G$2:$G$801, 0)+1))&lt;=31,3,IF(INDEX(ERP資料!$G:$G, (MATCH(550, 輔助計算!$G$2:$G$801, 0)+1))&lt;=46.5,2,1)), IF(INDEX(ERP資料!$G:$G, (MATCH(550, 輔助計算!$G$2:$G$801, 0)+1))&lt;=790,3,IF(INDEX(ERP資料!$G:$G, (MATCH(550, 輔助計算!$G$2:$G$801, 0)+1))&lt;=1181,2,1))))=0,"",IF(MOD(INDEX(輔助計算!$D:$D, (MATCH(550, 輔助計算!$G$2:$G$801, 0)+1)),IF(INDEX(ERP資料!$G:$G, (MATCH(550, 輔助計算!$G$2:$G$801, 0)+1))&lt;100, IF(INDEX(ERP資料!$G:$G, (MATCH(550, 輔助計算!$G$2:$G$801, 0)+1))&lt;=31,3,IF(INDEX(ERP資料!$G:$G, (MATCH(550, 輔助計算!$G$2:$G$801, 0)+1))&lt;=46.5,2,1)), IF(INDEX(ERP資料!$G:$G, (MATCH(550, 輔助計算!$G$2:$G$801, 0)+1))&lt;=790,3,IF(INDEX(ERP資料!$G:$G, (MATCH(550, 輔助計算!$G$2:$G$801, 0)+1))&lt;=1181,2,1))))=0,"",IF(MOD(INDEX(輔助計算!$D:$D, (MATCH(550, 輔助計算!$G$2:$G$801, 0)+1)),IF(INDEX(ERP資料!$G:$G, (MATCH(550, 輔助計算!$G$2:$G$801, 0)+1))&lt;100, IF(INDEX(ERP資料!$G:$G, (MATCH(550, 輔助計算!$G$2:$G$801, 0)+1))&lt;=31,3,IF(INDEX(ERP資料!$G:$G, (MATCH(550, 輔助計算!$G$2:$G$801, 0)+1))&lt;=46.5,2,1)), IF(INDEX(ERP資料!$G:$G, (MATCH(550, 輔助計算!$G$2:$G$801, 0)+1))&lt;=790,3,IF(INDEX(ERP資料!$G:$G, (MATCH(550, 輔助計算!$G$2:$G$801, 0)+1))&lt;=1181,2,1))))=1,TEXT(INDEX(ERP資料!$G:$G, (MATCH(550, 輔助計算!$G$2:$G$801, 0)+1)),"0.##"),IF(MOD(INDEX(輔助計算!$D:$D, (MATCH(550, 輔助計算!$G$2:$G$801, 0)+1)),IF(INDEX(ERP資料!$G:$G, (MATCH(550, 輔助計算!$G$2:$G$801, 0)+1))&lt;100, IF(INDEX(ERP資料!$G:$G, (MATCH(550, 輔助計算!$G$2:$G$801, 0)+1))&lt;=31,3,IF(INDEX(ERP資料!$G:$G, (MATCH(550, 輔助計算!$G$2:$G$801, 0)+1))&lt;=46.5,2,1)), IF(INDEX(ERP資料!$G:$G, (MATCH(550, 輔助計算!$G$2:$G$801, 0)+1))&lt;=790,3,IF(INDEX(ERP資料!$G:$G, (MATCH(550, 輔助計算!$G$2:$G$801, 0)+1))&lt;=1181,2,1))))=2,TEXT(INDEX(ERP資料!$G:$G, (MATCH(550, 輔助計算!$G$2:$G$801, 0)+1)),"0.##")&amp;"+"&amp;TEXT(INDEX(ERP資料!$G:$G, (MATCH(550, 輔助計算!$G$2:$G$801, 0)+1)),"0.##"),TEXT(INDEX(ERP資料!$G:$G, (MATCH(550, 輔助計算!$G$2:$G$801, 0)+1)),"0.##")&amp;"+"&amp;TEXT(INDEX(ERP資料!$G:$G, (MATCH(550, 輔助計算!$G$2:$G$801, 0)+1)),"0.##")&amp;"+"&amp;TEXT(INDEX(ERP資料!$G:$G, (MATCH(550, 輔助計算!$G$2:$G$801, 0)+1)),"0.##"))))&amp;"-1")&lt;&gt;""),"  ","")&amp;IF(MOD(INDEX(輔助計算!$D:$D, (MATCH(550, 輔助計算!$G$2:$G$801, 0)+1)),IF(INDEX(ERP資料!$G:$G, (MATCH(550, 輔助計算!$G$2:$G$801, 0)+1))&lt;100, IF(INDEX(ERP資料!$G:$G, (MATCH(550, 輔助計算!$G$2:$G$801, 0)+1))&lt;=31,3,IF(INDEX(ERP資料!$G:$G, (MATCH(550, 輔助計算!$G$2:$G$801, 0)+1))&lt;=46.5,2,1)), IF(INDEX(ERP資料!$G:$G, (MATCH(550, 輔助計算!$G$2:$G$801, 0)+1))&lt;=790,3,IF(INDEX(ERP資料!$G:$G, (MATCH(550, 輔助計算!$G$2:$G$801, 0)+1))&lt;=1181,2,1))))=0,"",IF(MOD(INDEX(輔助計算!$D:$D, (MATCH(550, 輔助計算!$G$2:$G$801, 0)+1)),IF(INDEX(ERP資料!$G:$G, (MATCH(550, 輔助計算!$G$2:$G$801, 0)+1))&lt;100, IF(INDEX(ERP資料!$G:$G, (MATCH(550, 輔助計算!$G$2:$G$801, 0)+1))&lt;=31,3,IF(INDEX(ERP資料!$G:$G, (MATCH(550, 輔助計算!$G$2:$G$801, 0)+1))&lt;=46.5,2,1)), IF(INDEX(ERP資料!$G:$G, (MATCH(550, 輔助計算!$G$2:$G$801, 0)+1))&lt;=790,3,IF(INDEX(ERP資料!$G:$G, (MATCH(550, 輔助計算!$G$2:$G$801, 0)+1))&lt;=1181,2,1))))=0,"",IF(MOD(INDEX(輔助計算!$D:$D, (MATCH(550, 輔助計算!$G$2:$G$801, 0)+1)),IF(INDEX(ERP資料!$G:$G, (MATCH(550, 輔助計算!$G$2:$G$801, 0)+1))&lt;100, IF(INDEX(ERP資料!$G:$G, (MATCH(550, 輔助計算!$G$2:$G$801, 0)+1))&lt;=31,3,IF(INDEX(ERP資料!$G:$G, (MATCH(550, 輔助計算!$G$2:$G$801, 0)+1))&lt;=46.5,2,1)), IF(INDEX(ERP資料!$G:$G, (MATCH(550, 輔助計算!$G$2:$G$801, 0)+1))&lt;=790,3,IF(INDEX(ERP資料!$G:$G, (MATCH(550, 輔助計算!$G$2:$G$801, 0)+1))&lt;=1181,2,1))))=1,TEXT(INDEX(ERP資料!$G:$G, (MATCH(550, 輔助計算!$G$2:$G$801, 0)+1)),"0.##"),IF(MOD(INDEX(輔助計算!$D:$D, (MATCH(550, 輔助計算!$G$2:$G$801, 0)+1)),IF(INDEX(ERP資料!$G:$G, (MATCH(550, 輔助計算!$G$2:$G$801, 0)+1))&lt;100, IF(INDEX(ERP資料!$G:$G, (MATCH(550, 輔助計算!$G$2:$G$801, 0)+1))&lt;=31,3,IF(INDEX(ERP資料!$G:$G, (MATCH(550, 輔助計算!$G$2:$G$801, 0)+1))&lt;=46.5,2,1)), IF(INDEX(ERP資料!$G:$G, (MATCH(550, 輔助計算!$G$2:$G$801, 0)+1))&lt;=790,3,IF(INDEX(ERP資料!$G:$G, (MATCH(550, 輔助計算!$G$2:$G$801, 0)+1))&lt;=1181,2,1))))=2,TEXT(INDEX(ERP資料!$G:$G, (MATCH(550, 輔助計算!$G$2:$G$801, 0)+1)),"0.##")&amp;"+"&amp;TEXT(INDEX(ERP資料!$G:$G, (MATCH(550, 輔助計算!$G$2:$G$801, 0)+1)),"0.##"),TEXT(INDEX(ERP資料!$G:$G, (MATCH(550, 輔助計算!$G$2:$G$801, 0)+1)),"0.##")&amp;"+"&amp;TEXT(INDEX(ERP資料!$G:$G, (MATCH(550, 輔助計算!$G$2:$G$801, 0)+1)),"0.##")&amp;"+"&amp;TEXT(INDEX(ERP資料!$G:$G, (MATCH(550, 輔助計算!$G$2:$G$801, 0)+1)),"0.##"))))&amp;"-1")), ""), "")</f>
        <v/>
      </c>
      <c r="K551" s="16" t="n"/>
      <c r="L551" s="14">
        <f>IFERROR(IF(AND(IFERROR(INDEX(ERP資料!$A:$A, (MATCH(550, 輔助計算!$G$2:$G$801, 0)+1)), "")&lt;&gt;"", IFERROR(INDEX(ERP資料!$A:$A, (MATCH(550, 輔助計算!$G$2:$G$801, 0)+1)), "")&lt;&gt;IFERROR(INDEX(ERP資料!$A:$A, MATCH(549, 輔助計算!$G$2:$G$801, 0)+1), "")), INDEX(ERP資料!$B:$B, (MATCH(550, 輔助計算!$G$2:$G$801, 0)+1)), ""), "")</f>
        <v/>
      </c>
      <c r="M551" s="17" t="n"/>
    </row>
    <row r="552">
      <c r="A552" s="10">
        <f>IFERROR(IF(AND(IFERROR(INDEX(ERP資料!$A:$A, (MATCH(551, 輔助計算!$G$2:$G$801, 0)+1)), "")&lt;&gt;"", IFERROR(INDEX(ERP資料!$A:$A, (MATCH(551, 輔助計算!$G$2:$G$801, 0)+1)), "")&lt;&gt;IFERROR(INDEX(ERP資料!$A:$A, MATCH(550, 輔助計算!$G$2:$G$801, 0)+1), "")), IFERROR(INDEX(ERP資料!$A:$A, (MATCH(551, 輔助計算!$G$2:$G$801, 0)+1)), ""), ""), "")</f>
        <v/>
      </c>
      <c r="B552" s="10">
        <f>IFERROR(IF(AND(IFERROR(INDEX(ERP資料!$A:$A, (MATCH(551, 輔助計算!$G$2:$G$801, 0)+1)), "")&lt;&gt;"", IFERROR(INDEX(ERP資料!$A:$A, (MATCH(551, 輔助計算!$G$2:$G$801, 0)+1)), "")&lt;&gt;IFERROR(INDEX(ERP資料!$A:$A, MATCH(550, 輔助計算!$G$2:$G$801, 0)+1), "")), INDEX(ERP資料!$S:$S, (MATCH(551, 輔助計算!$G$2:$G$801, 0)+1)), ""), "")</f>
        <v/>
      </c>
      <c r="C552" s="19">
        <f>IFERROR(IF(AND(IFERROR(INDEX(ERP資料!$A:$A, (MATCH(551, 輔助計算!$G$2:$G$801, 0)+1)), "")&lt;&gt;"", IFERROR(INDEX(ERP資料!$A:$A, (MATCH(551, 輔助計算!$G$2:$G$801, 0)+1)), "")&lt;&gt;IFERROR(INDEX(ERP資料!$A:$A, MATCH(550, 輔助計算!$G$2:$G$801, 0)+1), "")), IFERROR(VLOOKUP(LEFT(INDEX(ERP資料!$S:$S, (MATCH(551, 輔助計算!$G$2:$G$801, 0)+1)), 4), 紙管對照表!$A:$C, 3, FALSE), ""), ""), "")</f>
        <v/>
      </c>
      <c r="D552" s="16" t="n"/>
      <c r="E552" s="10">
        <f>IFERROR(IF(INDEX(ERP資料!$H:$H, (MATCH(551, 輔助計算!$G$2:$G$801, 0)+1))="","",INDEX(ERP資料!$H:$H, (MATCH(551, 輔助計算!$G$2:$G$801, 0)+1))), "")</f>
        <v/>
      </c>
      <c r="F552" s="10">
        <f>IFERROR(IF(INDEX(ERP資料!$E:$E, (MATCH(551, 輔助計算!$G$2:$G$801, 0)+1))="","",TRIM(INDEX(ERP資料!$E:$E, (MATCH(551, 輔助計算!$G$2:$G$801, 0)+1)))), "")</f>
        <v/>
      </c>
      <c r="G552" s="10">
        <f>IFERROR(IF(INDEX(ERP資料!$F:$F, (MATCH(551, 輔助計算!$G$2:$G$801, 0)+1))="","",INDEX(ERP資料!$F:$F, (MATCH(551, 輔助計算!$G$2:$G$801, 0)+1))), "")</f>
        <v/>
      </c>
      <c r="H552" s="10">
        <f>IFERROR(IF(INDEX(ERP資料!$G:$G, (MATCH(551, 輔助計算!$G$2:$G$801, 0)+1))="","",INDEX(ERP資料!$G:$G, (MATCH(551, 輔助計算!$G$2:$G$801, 0)+1))), "")</f>
        <v/>
      </c>
      <c r="I552" s="15">
        <f>IFERROR(INDEX(輔助計算!$D:$D, (MATCH(551, 輔助計算!$G$2:$G$801, 0)+1)), "")</f>
        <v/>
      </c>
      <c r="J552" s="15">
        <f>IFERROR(IF(AND(INDEX(輔助計算!$D:$D, (MATCH(551, 輔助計算!$G$2:$G$801, 0)+1))&lt;&gt;"", INDEX(ERP資料!$G:$G, (MATCH(551, 輔助計算!$G$2:$G$801, 0)+1))&lt;&gt;""), TRIM(IF(INT(INDEX(輔助計算!$D:$D, (MATCH(551, 輔助計算!$G$2:$G$801, 0)+1))/IF(INDEX(ERP資料!$G:$G, (MATCH(551, 輔助計算!$G$2:$G$801, 0)+1))&lt;100, IF(INDEX(ERP資料!$G:$G, (MATCH(551, 輔助計算!$G$2:$G$801, 0)+1))&lt;=31,3,IF(INDEX(ERP資料!$G:$G, (MATCH(551, 輔助計算!$G$2:$G$801, 0)+1))&lt;=46.5,2,1)), IF(INDEX(ERP資料!$G:$G, (MATCH(551, 輔助計算!$G$2:$G$801, 0)+1))&lt;=790,3,IF(INDEX(ERP資料!$G:$G, (MATCH(551, 輔助計算!$G$2:$G$801, 0)+1))&lt;=1181,2,1))))&gt;0, IF(IF(INDEX(ERP資料!$G:$G, (MATCH(551, 輔助計算!$G$2:$G$801, 0)+1))&lt;100, IF(INDEX(ERP資料!$G:$G, (MATCH(551, 輔助計算!$G$2:$G$801, 0)+1))&lt;=31,3,IF(INDEX(ERP資料!$G:$G, (MATCH(551, 輔助計算!$G$2:$G$801, 0)+1))&lt;=46.5,2,1)), IF(INDEX(ERP資料!$G:$G, (MATCH(551, 輔助計算!$G$2:$G$801, 0)+1))&lt;=790,3,IF(INDEX(ERP資料!$G:$G, (MATCH(551, 輔助計算!$G$2:$G$801, 0)+1))&lt;=1181,2,1)))=1,TEXT(INDEX(ERP資料!$G:$G, (MATCH(551, 輔助計算!$G$2:$G$801, 0)+1)),"0.##"),IF(IF(INDEX(ERP資料!$G:$G, (MATCH(551, 輔助計算!$G$2:$G$801, 0)+1))&lt;100, IF(INDEX(ERP資料!$G:$G, (MATCH(551, 輔助計算!$G$2:$G$801, 0)+1))&lt;=31,3,IF(INDEX(ERP資料!$G:$G, (MATCH(551, 輔助計算!$G$2:$G$801, 0)+1))&lt;=46.5,2,1)), IF(INDEX(ERP資料!$G:$G, (MATCH(551, 輔助計算!$G$2:$G$801, 0)+1))&lt;=790,3,IF(INDEX(ERP資料!$G:$G, (MATCH(551, 輔助計算!$G$2:$G$801, 0)+1))&lt;=1181,2,1)))=2,TEXT(INDEX(ERP資料!$G:$G, (MATCH(551, 輔助計算!$G$2:$G$801, 0)+1)),"0.##")&amp;"+"&amp;TEXT(INDEX(ERP資料!$G:$G, (MATCH(551, 輔助計算!$G$2:$G$801, 0)+1)),"0.##"),TEXT(INDEX(ERP資料!$G:$G, (MATCH(551, 輔助計算!$G$2:$G$801, 0)+1)),"0.##")&amp;"+"&amp;TEXT(INDEX(ERP資料!$G:$G, (MATCH(551, 輔助計算!$G$2:$G$801, 0)+1)),"0.##")&amp;"+"&amp;TEXT(INDEX(ERP資料!$G:$G, (MATCH(551, 輔助計算!$G$2:$G$801, 0)+1)),"0.##")))&amp;"-"&amp;INT(INDEX(輔助計算!$D:$D, (MATCH(551, 輔助計算!$G$2:$G$801, 0)+1))/IF(INDEX(ERP資料!$G:$G, (MATCH(551, 輔助計算!$G$2:$G$801, 0)+1))&lt;100, IF(INDEX(ERP資料!$G:$G, (MATCH(551, 輔助計算!$G$2:$G$801, 0)+1))&lt;=31,3,IF(INDEX(ERP資料!$G:$G, (MATCH(551, 輔助計算!$G$2:$G$801, 0)+1))&lt;=46.5,2,1)), IF(INDEX(ERP資料!$G:$G, (MATCH(551, 輔助計算!$G$2:$G$801, 0)+1))&lt;=790,3,IF(INDEX(ERP資料!$G:$G, (MATCH(551, 輔助計算!$G$2:$G$801, 0)+1))&lt;=1181,2,1)))), "")&amp;IF(AND(IF(INT(INDEX(輔助計算!$D:$D, (MATCH(551, 輔助計算!$G$2:$G$801, 0)+1))/IF(INDEX(ERP資料!$G:$G, (MATCH(551, 輔助計算!$G$2:$G$801, 0)+1))&lt;100, IF(INDEX(ERP資料!$G:$G, (MATCH(551, 輔助計算!$G$2:$G$801, 0)+1))&lt;=31,3,IF(INDEX(ERP資料!$G:$G, (MATCH(551, 輔助計算!$G$2:$G$801, 0)+1))&lt;=46.5,2,1)), IF(INDEX(ERP資料!$G:$G, (MATCH(551, 輔助計算!$G$2:$G$801, 0)+1))&lt;=790,3,IF(INDEX(ERP資料!$G:$G, (MATCH(551, 輔助計算!$G$2:$G$801, 0)+1))&lt;=1181,2,1))))&gt;0, IF(IF(INDEX(ERP資料!$G:$G, (MATCH(551, 輔助計算!$G$2:$G$801, 0)+1))&lt;100, IF(INDEX(ERP資料!$G:$G, (MATCH(551, 輔助計算!$G$2:$G$801, 0)+1))&lt;=31,3,IF(INDEX(ERP資料!$G:$G, (MATCH(551, 輔助計算!$G$2:$G$801, 0)+1))&lt;=46.5,2,1)), IF(INDEX(ERP資料!$G:$G, (MATCH(551, 輔助計算!$G$2:$G$801, 0)+1))&lt;=790,3,IF(INDEX(ERP資料!$G:$G, (MATCH(551, 輔助計算!$G$2:$G$801, 0)+1))&lt;=1181,2,1)))=1,TEXT(INDEX(ERP資料!$G:$G, (MATCH(551, 輔助計算!$G$2:$G$801, 0)+1)),"0.##"),IF(IF(INDEX(ERP資料!$G:$G, (MATCH(551, 輔助計算!$G$2:$G$801, 0)+1))&lt;100, IF(INDEX(ERP資料!$G:$G, (MATCH(551, 輔助計算!$G$2:$G$801, 0)+1))&lt;=31,3,IF(INDEX(ERP資料!$G:$G, (MATCH(551, 輔助計算!$G$2:$G$801, 0)+1))&lt;=46.5,2,1)), IF(INDEX(ERP資料!$G:$G, (MATCH(551, 輔助計算!$G$2:$G$801, 0)+1))&lt;=790,3,IF(INDEX(ERP資料!$G:$G, (MATCH(551, 輔助計算!$G$2:$G$801, 0)+1))&lt;=1181,2,1)))=2,TEXT(INDEX(ERP資料!$G:$G, (MATCH(551, 輔助計算!$G$2:$G$801, 0)+1)),"0.##")&amp;"+"&amp;TEXT(INDEX(ERP資料!$G:$G, (MATCH(551, 輔助計算!$G$2:$G$801, 0)+1)),"0.##"),TEXT(INDEX(ERP資料!$G:$G, (MATCH(551, 輔助計算!$G$2:$G$801, 0)+1)),"0.##")&amp;"+"&amp;TEXT(INDEX(ERP資料!$G:$G, (MATCH(551, 輔助計算!$G$2:$G$801, 0)+1)),"0.##")&amp;"+"&amp;TEXT(INDEX(ERP資料!$G:$G, (MATCH(551, 輔助計算!$G$2:$G$801, 0)+1)),"0.##")))&amp;"-"&amp;INT(INDEX(輔助計算!$D:$D, (MATCH(551, 輔助計算!$G$2:$G$801, 0)+1))/IF(INDEX(ERP資料!$G:$G, (MATCH(551, 輔助計算!$G$2:$G$801, 0)+1))&lt;100, IF(INDEX(ERP資料!$G:$G, (MATCH(551, 輔助計算!$G$2:$G$801, 0)+1))&lt;=31,3,IF(INDEX(ERP資料!$G:$G, (MATCH(551, 輔助計算!$G$2:$G$801, 0)+1))&lt;=46.5,2,1)), IF(INDEX(ERP資料!$G:$G, (MATCH(551, 輔助計算!$G$2:$G$801, 0)+1))&lt;=790,3,IF(INDEX(ERP資料!$G:$G, (MATCH(551, 輔助計算!$G$2:$G$801, 0)+1))&lt;=1181,2,1)))), "")&lt;&gt;"",IF(MOD(INDEX(輔助計算!$D:$D, (MATCH(551, 輔助計算!$G$2:$G$801, 0)+1)),IF(INDEX(ERP資料!$G:$G, (MATCH(551, 輔助計算!$G$2:$G$801, 0)+1))&lt;100, IF(INDEX(ERP資料!$G:$G, (MATCH(551, 輔助計算!$G$2:$G$801, 0)+1))&lt;=31,3,IF(INDEX(ERP資料!$G:$G, (MATCH(551, 輔助計算!$G$2:$G$801, 0)+1))&lt;=46.5,2,1)), IF(INDEX(ERP資料!$G:$G, (MATCH(551, 輔助計算!$G$2:$G$801, 0)+1))&lt;=790,3,IF(INDEX(ERP資料!$G:$G, (MATCH(551, 輔助計算!$G$2:$G$801, 0)+1))&lt;=1181,2,1))))=0,"",IF(MOD(INDEX(輔助計算!$D:$D, (MATCH(551, 輔助計算!$G$2:$G$801, 0)+1)),IF(INDEX(ERP資料!$G:$G, (MATCH(551, 輔助計算!$G$2:$G$801, 0)+1))&lt;100, IF(INDEX(ERP資料!$G:$G, (MATCH(551, 輔助計算!$G$2:$G$801, 0)+1))&lt;=31,3,IF(INDEX(ERP資料!$G:$G, (MATCH(551, 輔助計算!$G$2:$G$801, 0)+1))&lt;=46.5,2,1)), IF(INDEX(ERP資料!$G:$G, (MATCH(551, 輔助計算!$G$2:$G$801, 0)+1))&lt;=790,3,IF(INDEX(ERP資料!$G:$G, (MATCH(551, 輔助計算!$G$2:$G$801, 0)+1))&lt;=1181,2,1))))=0,"",IF(MOD(INDEX(輔助計算!$D:$D, (MATCH(551, 輔助計算!$G$2:$G$801, 0)+1)),IF(INDEX(ERP資料!$G:$G, (MATCH(551, 輔助計算!$G$2:$G$801, 0)+1))&lt;100, IF(INDEX(ERP資料!$G:$G, (MATCH(551, 輔助計算!$G$2:$G$801, 0)+1))&lt;=31,3,IF(INDEX(ERP資料!$G:$G, (MATCH(551, 輔助計算!$G$2:$G$801, 0)+1))&lt;=46.5,2,1)), IF(INDEX(ERP資料!$G:$G, (MATCH(551, 輔助計算!$G$2:$G$801, 0)+1))&lt;=790,3,IF(INDEX(ERP資料!$G:$G, (MATCH(551, 輔助計算!$G$2:$G$801, 0)+1))&lt;=1181,2,1))))=1,TEXT(INDEX(ERP資料!$G:$G, (MATCH(551, 輔助計算!$G$2:$G$801, 0)+1)),"0.##"),IF(MOD(INDEX(輔助計算!$D:$D, (MATCH(551, 輔助計算!$G$2:$G$801, 0)+1)),IF(INDEX(ERP資料!$G:$G, (MATCH(551, 輔助計算!$G$2:$G$801, 0)+1))&lt;100, IF(INDEX(ERP資料!$G:$G, (MATCH(551, 輔助計算!$G$2:$G$801, 0)+1))&lt;=31,3,IF(INDEX(ERP資料!$G:$G, (MATCH(551, 輔助計算!$G$2:$G$801, 0)+1))&lt;=46.5,2,1)), IF(INDEX(ERP資料!$G:$G, (MATCH(551, 輔助計算!$G$2:$G$801, 0)+1))&lt;=790,3,IF(INDEX(ERP資料!$G:$G, (MATCH(551, 輔助計算!$G$2:$G$801, 0)+1))&lt;=1181,2,1))))=2,TEXT(INDEX(ERP資料!$G:$G, (MATCH(551, 輔助計算!$G$2:$G$801, 0)+1)),"0.##")&amp;"+"&amp;TEXT(INDEX(ERP資料!$G:$G, (MATCH(551, 輔助計算!$G$2:$G$801, 0)+1)),"0.##"),TEXT(INDEX(ERP資料!$G:$G, (MATCH(551, 輔助計算!$G$2:$G$801, 0)+1)),"0.##")&amp;"+"&amp;TEXT(INDEX(ERP資料!$G:$G, (MATCH(551, 輔助計算!$G$2:$G$801, 0)+1)),"0.##")&amp;"+"&amp;TEXT(INDEX(ERP資料!$G:$G, (MATCH(551, 輔助計算!$G$2:$G$801, 0)+1)),"0.##"))))&amp;"-1")&lt;&gt;""),"  ","")&amp;IF(MOD(INDEX(輔助計算!$D:$D, (MATCH(551, 輔助計算!$G$2:$G$801, 0)+1)),IF(INDEX(ERP資料!$G:$G, (MATCH(551, 輔助計算!$G$2:$G$801, 0)+1))&lt;100, IF(INDEX(ERP資料!$G:$G, (MATCH(551, 輔助計算!$G$2:$G$801, 0)+1))&lt;=31,3,IF(INDEX(ERP資料!$G:$G, (MATCH(551, 輔助計算!$G$2:$G$801, 0)+1))&lt;=46.5,2,1)), IF(INDEX(ERP資料!$G:$G, (MATCH(551, 輔助計算!$G$2:$G$801, 0)+1))&lt;=790,3,IF(INDEX(ERP資料!$G:$G, (MATCH(551, 輔助計算!$G$2:$G$801, 0)+1))&lt;=1181,2,1))))=0,"",IF(MOD(INDEX(輔助計算!$D:$D, (MATCH(551, 輔助計算!$G$2:$G$801, 0)+1)),IF(INDEX(ERP資料!$G:$G, (MATCH(551, 輔助計算!$G$2:$G$801, 0)+1))&lt;100, IF(INDEX(ERP資料!$G:$G, (MATCH(551, 輔助計算!$G$2:$G$801, 0)+1))&lt;=31,3,IF(INDEX(ERP資料!$G:$G, (MATCH(551, 輔助計算!$G$2:$G$801, 0)+1))&lt;=46.5,2,1)), IF(INDEX(ERP資料!$G:$G, (MATCH(551, 輔助計算!$G$2:$G$801, 0)+1))&lt;=790,3,IF(INDEX(ERP資料!$G:$G, (MATCH(551, 輔助計算!$G$2:$G$801, 0)+1))&lt;=1181,2,1))))=0,"",IF(MOD(INDEX(輔助計算!$D:$D, (MATCH(551, 輔助計算!$G$2:$G$801, 0)+1)),IF(INDEX(ERP資料!$G:$G, (MATCH(551, 輔助計算!$G$2:$G$801, 0)+1))&lt;100, IF(INDEX(ERP資料!$G:$G, (MATCH(551, 輔助計算!$G$2:$G$801, 0)+1))&lt;=31,3,IF(INDEX(ERP資料!$G:$G, (MATCH(551, 輔助計算!$G$2:$G$801, 0)+1))&lt;=46.5,2,1)), IF(INDEX(ERP資料!$G:$G, (MATCH(551, 輔助計算!$G$2:$G$801, 0)+1))&lt;=790,3,IF(INDEX(ERP資料!$G:$G, (MATCH(551, 輔助計算!$G$2:$G$801, 0)+1))&lt;=1181,2,1))))=1,TEXT(INDEX(ERP資料!$G:$G, (MATCH(551, 輔助計算!$G$2:$G$801, 0)+1)),"0.##"),IF(MOD(INDEX(輔助計算!$D:$D, (MATCH(551, 輔助計算!$G$2:$G$801, 0)+1)),IF(INDEX(ERP資料!$G:$G, (MATCH(551, 輔助計算!$G$2:$G$801, 0)+1))&lt;100, IF(INDEX(ERP資料!$G:$G, (MATCH(551, 輔助計算!$G$2:$G$801, 0)+1))&lt;=31,3,IF(INDEX(ERP資料!$G:$G, (MATCH(551, 輔助計算!$G$2:$G$801, 0)+1))&lt;=46.5,2,1)), IF(INDEX(ERP資料!$G:$G, (MATCH(551, 輔助計算!$G$2:$G$801, 0)+1))&lt;=790,3,IF(INDEX(ERP資料!$G:$G, (MATCH(551, 輔助計算!$G$2:$G$801, 0)+1))&lt;=1181,2,1))))=2,TEXT(INDEX(ERP資料!$G:$G, (MATCH(551, 輔助計算!$G$2:$G$801, 0)+1)),"0.##")&amp;"+"&amp;TEXT(INDEX(ERP資料!$G:$G, (MATCH(551, 輔助計算!$G$2:$G$801, 0)+1)),"0.##"),TEXT(INDEX(ERP資料!$G:$G, (MATCH(551, 輔助計算!$G$2:$G$801, 0)+1)),"0.##")&amp;"+"&amp;TEXT(INDEX(ERP資料!$G:$G, (MATCH(551, 輔助計算!$G$2:$G$801, 0)+1)),"0.##")&amp;"+"&amp;TEXT(INDEX(ERP資料!$G:$G, (MATCH(551, 輔助計算!$G$2:$G$801, 0)+1)),"0.##"))))&amp;"-1")), ""), "")</f>
        <v/>
      </c>
      <c r="K552" s="16" t="n"/>
      <c r="L552" s="14">
        <f>IFERROR(IF(AND(IFERROR(INDEX(ERP資料!$A:$A, (MATCH(551, 輔助計算!$G$2:$G$801, 0)+1)), "")&lt;&gt;"", IFERROR(INDEX(ERP資料!$A:$A, (MATCH(551, 輔助計算!$G$2:$G$801, 0)+1)), "")&lt;&gt;IFERROR(INDEX(ERP資料!$A:$A, MATCH(550, 輔助計算!$G$2:$G$801, 0)+1), "")), INDEX(ERP資料!$B:$B, (MATCH(551, 輔助計算!$G$2:$G$801, 0)+1)), ""), "")</f>
        <v/>
      </c>
      <c r="M552" s="17" t="n"/>
    </row>
    <row r="553">
      <c r="A553" s="10">
        <f>IFERROR(IF(AND(IFERROR(INDEX(ERP資料!$A:$A, (MATCH(552, 輔助計算!$G$2:$G$801, 0)+1)), "")&lt;&gt;"", IFERROR(INDEX(ERP資料!$A:$A, (MATCH(552, 輔助計算!$G$2:$G$801, 0)+1)), "")&lt;&gt;IFERROR(INDEX(ERP資料!$A:$A, MATCH(551, 輔助計算!$G$2:$G$801, 0)+1), "")), IFERROR(INDEX(ERP資料!$A:$A, (MATCH(552, 輔助計算!$G$2:$G$801, 0)+1)), ""), ""), "")</f>
        <v/>
      </c>
      <c r="B553" s="10">
        <f>IFERROR(IF(AND(IFERROR(INDEX(ERP資料!$A:$A, (MATCH(552, 輔助計算!$G$2:$G$801, 0)+1)), "")&lt;&gt;"", IFERROR(INDEX(ERP資料!$A:$A, (MATCH(552, 輔助計算!$G$2:$G$801, 0)+1)), "")&lt;&gt;IFERROR(INDEX(ERP資料!$A:$A, MATCH(551, 輔助計算!$G$2:$G$801, 0)+1), "")), INDEX(ERP資料!$S:$S, (MATCH(552, 輔助計算!$G$2:$G$801, 0)+1)), ""), "")</f>
        <v/>
      </c>
      <c r="C553" s="19">
        <f>IFERROR(IF(AND(IFERROR(INDEX(ERP資料!$A:$A, (MATCH(552, 輔助計算!$G$2:$G$801, 0)+1)), "")&lt;&gt;"", IFERROR(INDEX(ERP資料!$A:$A, (MATCH(552, 輔助計算!$G$2:$G$801, 0)+1)), "")&lt;&gt;IFERROR(INDEX(ERP資料!$A:$A, MATCH(551, 輔助計算!$G$2:$G$801, 0)+1), "")), IFERROR(VLOOKUP(LEFT(INDEX(ERP資料!$S:$S, (MATCH(552, 輔助計算!$G$2:$G$801, 0)+1)), 4), 紙管對照表!$A:$C, 3, FALSE), ""), ""), "")</f>
        <v/>
      </c>
      <c r="D553" s="16" t="n"/>
      <c r="E553" s="10">
        <f>IFERROR(IF(INDEX(ERP資料!$H:$H, (MATCH(552, 輔助計算!$G$2:$G$801, 0)+1))="","",INDEX(ERP資料!$H:$H, (MATCH(552, 輔助計算!$G$2:$G$801, 0)+1))), "")</f>
        <v/>
      </c>
      <c r="F553" s="10">
        <f>IFERROR(IF(INDEX(ERP資料!$E:$E, (MATCH(552, 輔助計算!$G$2:$G$801, 0)+1))="","",TRIM(INDEX(ERP資料!$E:$E, (MATCH(552, 輔助計算!$G$2:$G$801, 0)+1)))), "")</f>
        <v/>
      </c>
      <c r="G553" s="10">
        <f>IFERROR(IF(INDEX(ERP資料!$F:$F, (MATCH(552, 輔助計算!$G$2:$G$801, 0)+1))="","",INDEX(ERP資料!$F:$F, (MATCH(552, 輔助計算!$G$2:$G$801, 0)+1))), "")</f>
        <v/>
      </c>
      <c r="H553" s="10">
        <f>IFERROR(IF(INDEX(ERP資料!$G:$G, (MATCH(552, 輔助計算!$G$2:$G$801, 0)+1))="","",INDEX(ERP資料!$G:$G, (MATCH(552, 輔助計算!$G$2:$G$801, 0)+1))), "")</f>
        <v/>
      </c>
      <c r="I553" s="15">
        <f>IFERROR(INDEX(輔助計算!$D:$D, (MATCH(552, 輔助計算!$G$2:$G$801, 0)+1)), "")</f>
        <v/>
      </c>
      <c r="J553" s="15">
        <f>IFERROR(IF(AND(INDEX(輔助計算!$D:$D, (MATCH(552, 輔助計算!$G$2:$G$801, 0)+1))&lt;&gt;"", INDEX(ERP資料!$G:$G, (MATCH(552, 輔助計算!$G$2:$G$801, 0)+1))&lt;&gt;""), TRIM(IF(INT(INDEX(輔助計算!$D:$D, (MATCH(552, 輔助計算!$G$2:$G$801, 0)+1))/IF(INDEX(ERP資料!$G:$G, (MATCH(552, 輔助計算!$G$2:$G$801, 0)+1))&lt;100, IF(INDEX(ERP資料!$G:$G, (MATCH(552, 輔助計算!$G$2:$G$801, 0)+1))&lt;=31,3,IF(INDEX(ERP資料!$G:$G, (MATCH(552, 輔助計算!$G$2:$G$801, 0)+1))&lt;=46.5,2,1)), IF(INDEX(ERP資料!$G:$G, (MATCH(552, 輔助計算!$G$2:$G$801, 0)+1))&lt;=790,3,IF(INDEX(ERP資料!$G:$G, (MATCH(552, 輔助計算!$G$2:$G$801, 0)+1))&lt;=1181,2,1))))&gt;0, IF(IF(INDEX(ERP資料!$G:$G, (MATCH(552, 輔助計算!$G$2:$G$801, 0)+1))&lt;100, IF(INDEX(ERP資料!$G:$G, (MATCH(552, 輔助計算!$G$2:$G$801, 0)+1))&lt;=31,3,IF(INDEX(ERP資料!$G:$G, (MATCH(552, 輔助計算!$G$2:$G$801, 0)+1))&lt;=46.5,2,1)), IF(INDEX(ERP資料!$G:$G, (MATCH(552, 輔助計算!$G$2:$G$801, 0)+1))&lt;=790,3,IF(INDEX(ERP資料!$G:$G, (MATCH(552, 輔助計算!$G$2:$G$801, 0)+1))&lt;=1181,2,1)))=1,TEXT(INDEX(ERP資料!$G:$G, (MATCH(552, 輔助計算!$G$2:$G$801, 0)+1)),"0.##"),IF(IF(INDEX(ERP資料!$G:$G, (MATCH(552, 輔助計算!$G$2:$G$801, 0)+1))&lt;100, IF(INDEX(ERP資料!$G:$G, (MATCH(552, 輔助計算!$G$2:$G$801, 0)+1))&lt;=31,3,IF(INDEX(ERP資料!$G:$G, (MATCH(552, 輔助計算!$G$2:$G$801, 0)+1))&lt;=46.5,2,1)), IF(INDEX(ERP資料!$G:$G, (MATCH(552, 輔助計算!$G$2:$G$801, 0)+1))&lt;=790,3,IF(INDEX(ERP資料!$G:$G, (MATCH(552, 輔助計算!$G$2:$G$801, 0)+1))&lt;=1181,2,1)))=2,TEXT(INDEX(ERP資料!$G:$G, (MATCH(552, 輔助計算!$G$2:$G$801, 0)+1)),"0.##")&amp;"+"&amp;TEXT(INDEX(ERP資料!$G:$G, (MATCH(552, 輔助計算!$G$2:$G$801, 0)+1)),"0.##"),TEXT(INDEX(ERP資料!$G:$G, (MATCH(552, 輔助計算!$G$2:$G$801, 0)+1)),"0.##")&amp;"+"&amp;TEXT(INDEX(ERP資料!$G:$G, (MATCH(552, 輔助計算!$G$2:$G$801, 0)+1)),"0.##")&amp;"+"&amp;TEXT(INDEX(ERP資料!$G:$G, (MATCH(552, 輔助計算!$G$2:$G$801, 0)+1)),"0.##")))&amp;"-"&amp;INT(INDEX(輔助計算!$D:$D, (MATCH(552, 輔助計算!$G$2:$G$801, 0)+1))/IF(INDEX(ERP資料!$G:$G, (MATCH(552, 輔助計算!$G$2:$G$801, 0)+1))&lt;100, IF(INDEX(ERP資料!$G:$G, (MATCH(552, 輔助計算!$G$2:$G$801, 0)+1))&lt;=31,3,IF(INDEX(ERP資料!$G:$G, (MATCH(552, 輔助計算!$G$2:$G$801, 0)+1))&lt;=46.5,2,1)), IF(INDEX(ERP資料!$G:$G, (MATCH(552, 輔助計算!$G$2:$G$801, 0)+1))&lt;=790,3,IF(INDEX(ERP資料!$G:$G, (MATCH(552, 輔助計算!$G$2:$G$801, 0)+1))&lt;=1181,2,1)))), "")&amp;IF(AND(IF(INT(INDEX(輔助計算!$D:$D, (MATCH(552, 輔助計算!$G$2:$G$801, 0)+1))/IF(INDEX(ERP資料!$G:$G, (MATCH(552, 輔助計算!$G$2:$G$801, 0)+1))&lt;100, IF(INDEX(ERP資料!$G:$G, (MATCH(552, 輔助計算!$G$2:$G$801, 0)+1))&lt;=31,3,IF(INDEX(ERP資料!$G:$G, (MATCH(552, 輔助計算!$G$2:$G$801, 0)+1))&lt;=46.5,2,1)), IF(INDEX(ERP資料!$G:$G, (MATCH(552, 輔助計算!$G$2:$G$801, 0)+1))&lt;=790,3,IF(INDEX(ERP資料!$G:$G, (MATCH(552, 輔助計算!$G$2:$G$801, 0)+1))&lt;=1181,2,1))))&gt;0, IF(IF(INDEX(ERP資料!$G:$G, (MATCH(552, 輔助計算!$G$2:$G$801, 0)+1))&lt;100, IF(INDEX(ERP資料!$G:$G, (MATCH(552, 輔助計算!$G$2:$G$801, 0)+1))&lt;=31,3,IF(INDEX(ERP資料!$G:$G, (MATCH(552, 輔助計算!$G$2:$G$801, 0)+1))&lt;=46.5,2,1)), IF(INDEX(ERP資料!$G:$G, (MATCH(552, 輔助計算!$G$2:$G$801, 0)+1))&lt;=790,3,IF(INDEX(ERP資料!$G:$G, (MATCH(552, 輔助計算!$G$2:$G$801, 0)+1))&lt;=1181,2,1)))=1,TEXT(INDEX(ERP資料!$G:$G, (MATCH(552, 輔助計算!$G$2:$G$801, 0)+1)),"0.##"),IF(IF(INDEX(ERP資料!$G:$G, (MATCH(552, 輔助計算!$G$2:$G$801, 0)+1))&lt;100, IF(INDEX(ERP資料!$G:$G, (MATCH(552, 輔助計算!$G$2:$G$801, 0)+1))&lt;=31,3,IF(INDEX(ERP資料!$G:$G, (MATCH(552, 輔助計算!$G$2:$G$801, 0)+1))&lt;=46.5,2,1)), IF(INDEX(ERP資料!$G:$G, (MATCH(552, 輔助計算!$G$2:$G$801, 0)+1))&lt;=790,3,IF(INDEX(ERP資料!$G:$G, (MATCH(552, 輔助計算!$G$2:$G$801, 0)+1))&lt;=1181,2,1)))=2,TEXT(INDEX(ERP資料!$G:$G, (MATCH(552, 輔助計算!$G$2:$G$801, 0)+1)),"0.##")&amp;"+"&amp;TEXT(INDEX(ERP資料!$G:$G, (MATCH(552, 輔助計算!$G$2:$G$801, 0)+1)),"0.##"),TEXT(INDEX(ERP資料!$G:$G, (MATCH(552, 輔助計算!$G$2:$G$801, 0)+1)),"0.##")&amp;"+"&amp;TEXT(INDEX(ERP資料!$G:$G, (MATCH(552, 輔助計算!$G$2:$G$801, 0)+1)),"0.##")&amp;"+"&amp;TEXT(INDEX(ERP資料!$G:$G, (MATCH(552, 輔助計算!$G$2:$G$801, 0)+1)),"0.##")))&amp;"-"&amp;INT(INDEX(輔助計算!$D:$D, (MATCH(552, 輔助計算!$G$2:$G$801, 0)+1))/IF(INDEX(ERP資料!$G:$G, (MATCH(552, 輔助計算!$G$2:$G$801, 0)+1))&lt;100, IF(INDEX(ERP資料!$G:$G, (MATCH(552, 輔助計算!$G$2:$G$801, 0)+1))&lt;=31,3,IF(INDEX(ERP資料!$G:$G, (MATCH(552, 輔助計算!$G$2:$G$801, 0)+1))&lt;=46.5,2,1)), IF(INDEX(ERP資料!$G:$G, (MATCH(552, 輔助計算!$G$2:$G$801, 0)+1))&lt;=790,3,IF(INDEX(ERP資料!$G:$G, (MATCH(552, 輔助計算!$G$2:$G$801, 0)+1))&lt;=1181,2,1)))), "")&lt;&gt;"",IF(MOD(INDEX(輔助計算!$D:$D, (MATCH(552, 輔助計算!$G$2:$G$801, 0)+1)),IF(INDEX(ERP資料!$G:$G, (MATCH(552, 輔助計算!$G$2:$G$801, 0)+1))&lt;100, IF(INDEX(ERP資料!$G:$G, (MATCH(552, 輔助計算!$G$2:$G$801, 0)+1))&lt;=31,3,IF(INDEX(ERP資料!$G:$G, (MATCH(552, 輔助計算!$G$2:$G$801, 0)+1))&lt;=46.5,2,1)), IF(INDEX(ERP資料!$G:$G, (MATCH(552, 輔助計算!$G$2:$G$801, 0)+1))&lt;=790,3,IF(INDEX(ERP資料!$G:$G, (MATCH(552, 輔助計算!$G$2:$G$801, 0)+1))&lt;=1181,2,1))))=0,"",IF(MOD(INDEX(輔助計算!$D:$D, (MATCH(552, 輔助計算!$G$2:$G$801, 0)+1)),IF(INDEX(ERP資料!$G:$G, (MATCH(552, 輔助計算!$G$2:$G$801, 0)+1))&lt;100, IF(INDEX(ERP資料!$G:$G, (MATCH(552, 輔助計算!$G$2:$G$801, 0)+1))&lt;=31,3,IF(INDEX(ERP資料!$G:$G, (MATCH(552, 輔助計算!$G$2:$G$801, 0)+1))&lt;=46.5,2,1)), IF(INDEX(ERP資料!$G:$G, (MATCH(552, 輔助計算!$G$2:$G$801, 0)+1))&lt;=790,3,IF(INDEX(ERP資料!$G:$G, (MATCH(552, 輔助計算!$G$2:$G$801, 0)+1))&lt;=1181,2,1))))=0,"",IF(MOD(INDEX(輔助計算!$D:$D, (MATCH(552, 輔助計算!$G$2:$G$801, 0)+1)),IF(INDEX(ERP資料!$G:$G, (MATCH(552, 輔助計算!$G$2:$G$801, 0)+1))&lt;100, IF(INDEX(ERP資料!$G:$G, (MATCH(552, 輔助計算!$G$2:$G$801, 0)+1))&lt;=31,3,IF(INDEX(ERP資料!$G:$G, (MATCH(552, 輔助計算!$G$2:$G$801, 0)+1))&lt;=46.5,2,1)), IF(INDEX(ERP資料!$G:$G, (MATCH(552, 輔助計算!$G$2:$G$801, 0)+1))&lt;=790,3,IF(INDEX(ERP資料!$G:$G, (MATCH(552, 輔助計算!$G$2:$G$801, 0)+1))&lt;=1181,2,1))))=1,TEXT(INDEX(ERP資料!$G:$G, (MATCH(552, 輔助計算!$G$2:$G$801, 0)+1)),"0.##"),IF(MOD(INDEX(輔助計算!$D:$D, (MATCH(552, 輔助計算!$G$2:$G$801, 0)+1)),IF(INDEX(ERP資料!$G:$G, (MATCH(552, 輔助計算!$G$2:$G$801, 0)+1))&lt;100, IF(INDEX(ERP資料!$G:$G, (MATCH(552, 輔助計算!$G$2:$G$801, 0)+1))&lt;=31,3,IF(INDEX(ERP資料!$G:$G, (MATCH(552, 輔助計算!$G$2:$G$801, 0)+1))&lt;=46.5,2,1)), IF(INDEX(ERP資料!$G:$G, (MATCH(552, 輔助計算!$G$2:$G$801, 0)+1))&lt;=790,3,IF(INDEX(ERP資料!$G:$G, (MATCH(552, 輔助計算!$G$2:$G$801, 0)+1))&lt;=1181,2,1))))=2,TEXT(INDEX(ERP資料!$G:$G, (MATCH(552, 輔助計算!$G$2:$G$801, 0)+1)),"0.##")&amp;"+"&amp;TEXT(INDEX(ERP資料!$G:$G, (MATCH(552, 輔助計算!$G$2:$G$801, 0)+1)),"0.##"),TEXT(INDEX(ERP資料!$G:$G, (MATCH(552, 輔助計算!$G$2:$G$801, 0)+1)),"0.##")&amp;"+"&amp;TEXT(INDEX(ERP資料!$G:$G, (MATCH(552, 輔助計算!$G$2:$G$801, 0)+1)),"0.##")&amp;"+"&amp;TEXT(INDEX(ERP資料!$G:$G, (MATCH(552, 輔助計算!$G$2:$G$801, 0)+1)),"0.##"))))&amp;"-1")&lt;&gt;""),"  ","")&amp;IF(MOD(INDEX(輔助計算!$D:$D, (MATCH(552, 輔助計算!$G$2:$G$801, 0)+1)),IF(INDEX(ERP資料!$G:$G, (MATCH(552, 輔助計算!$G$2:$G$801, 0)+1))&lt;100, IF(INDEX(ERP資料!$G:$G, (MATCH(552, 輔助計算!$G$2:$G$801, 0)+1))&lt;=31,3,IF(INDEX(ERP資料!$G:$G, (MATCH(552, 輔助計算!$G$2:$G$801, 0)+1))&lt;=46.5,2,1)), IF(INDEX(ERP資料!$G:$G, (MATCH(552, 輔助計算!$G$2:$G$801, 0)+1))&lt;=790,3,IF(INDEX(ERP資料!$G:$G, (MATCH(552, 輔助計算!$G$2:$G$801, 0)+1))&lt;=1181,2,1))))=0,"",IF(MOD(INDEX(輔助計算!$D:$D, (MATCH(552, 輔助計算!$G$2:$G$801, 0)+1)),IF(INDEX(ERP資料!$G:$G, (MATCH(552, 輔助計算!$G$2:$G$801, 0)+1))&lt;100, IF(INDEX(ERP資料!$G:$G, (MATCH(552, 輔助計算!$G$2:$G$801, 0)+1))&lt;=31,3,IF(INDEX(ERP資料!$G:$G, (MATCH(552, 輔助計算!$G$2:$G$801, 0)+1))&lt;=46.5,2,1)), IF(INDEX(ERP資料!$G:$G, (MATCH(552, 輔助計算!$G$2:$G$801, 0)+1))&lt;=790,3,IF(INDEX(ERP資料!$G:$G, (MATCH(552, 輔助計算!$G$2:$G$801, 0)+1))&lt;=1181,2,1))))=0,"",IF(MOD(INDEX(輔助計算!$D:$D, (MATCH(552, 輔助計算!$G$2:$G$801, 0)+1)),IF(INDEX(ERP資料!$G:$G, (MATCH(552, 輔助計算!$G$2:$G$801, 0)+1))&lt;100, IF(INDEX(ERP資料!$G:$G, (MATCH(552, 輔助計算!$G$2:$G$801, 0)+1))&lt;=31,3,IF(INDEX(ERP資料!$G:$G, (MATCH(552, 輔助計算!$G$2:$G$801, 0)+1))&lt;=46.5,2,1)), IF(INDEX(ERP資料!$G:$G, (MATCH(552, 輔助計算!$G$2:$G$801, 0)+1))&lt;=790,3,IF(INDEX(ERP資料!$G:$G, (MATCH(552, 輔助計算!$G$2:$G$801, 0)+1))&lt;=1181,2,1))))=1,TEXT(INDEX(ERP資料!$G:$G, (MATCH(552, 輔助計算!$G$2:$G$801, 0)+1)),"0.##"),IF(MOD(INDEX(輔助計算!$D:$D, (MATCH(552, 輔助計算!$G$2:$G$801, 0)+1)),IF(INDEX(ERP資料!$G:$G, (MATCH(552, 輔助計算!$G$2:$G$801, 0)+1))&lt;100, IF(INDEX(ERP資料!$G:$G, (MATCH(552, 輔助計算!$G$2:$G$801, 0)+1))&lt;=31,3,IF(INDEX(ERP資料!$G:$G, (MATCH(552, 輔助計算!$G$2:$G$801, 0)+1))&lt;=46.5,2,1)), IF(INDEX(ERP資料!$G:$G, (MATCH(552, 輔助計算!$G$2:$G$801, 0)+1))&lt;=790,3,IF(INDEX(ERP資料!$G:$G, (MATCH(552, 輔助計算!$G$2:$G$801, 0)+1))&lt;=1181,2,1))))=2,TEXT(INDEX(ERP資料!$G:$G, (MATCH(552, 輔助計算!$G$2:$G$801, 0)+1)),"0.##")&amp;"+"&amp;TEXT(INDEX(ERP資料!$G:$G, (MATCH(552, 輔助計算!$G$2:$G$801, 0)+1)),"0.##"),TEXT(INDEX(ERP資料!$G:$G, (MATCH(552, 輔助計算!$G$2:$G$801, 0)+1)),"0.##")&amp;"+"&amp;TEXT(INDEX(ERP資料!$G:$G, (MATCH(552, 輔助計算!$G$2:$G$801, 0)+1)),"0.##")&amp;"+"&amp;TEXT(INDEX(ERP資料!$G:$G, (MATCH(552, 輔助計算!$G$2:$G$801, 0)+1)),"0.##"))))&amp;"-1")), ""), "")</f>
        <v/>
      </c>
      <c r="K553" s="16" t="n"/>
      <c r="L553" s="14">
        <f>IFERROR(IF(AND(IFERROR(INDEX(ERP資料!$A:$A, (MATCH(552, 輔助計算!$G$2:$G$801, 0)+1)), "")&lt;&gt;"", IFERROR(INDEX(ERP資料!$A:$A, (MATCH(552, 輔助計算!$G$2:$G$801, 0)+1)), "")&lt;&gt;IFERROR(INDEX(ERP資料!$A:$A, MATCH(551, 輔助計算!$G$2:$G$801, 0)+1), "")), INDEX(ERP資料!$B:$B, (MATCH(552, 輔助計算!$G$2:$G$801, 0)+1)), ""), "")</f>
        <v/>
      </c>
      <c r="M553" s="17" t="n"/>
    </row>
    <row r="554">
      <c r="A554" s="10">
        <f>IFERROR(IF(AND(IFERROR(INDEX(ERP資料!$A:$A, (MATCH(553, 輔助計算!$G$2:$G$801, 0)+1)), "")&lt;&gt;"", IFERROR(INDEX(ERP資料!$A:$A, (MATCH(553, 輔助計算!$G$2:$G$801, 0)+1)), "")&lt;&gt;IFERROR(INDEX(ERP資料!$A:$A, MATCH(552, 輔助計算!$G$2:$G$801, 0)+1), "")), IFERROR(INDEX(ERP資料!$A:$A, (MATCH(553, 輔助計算!$G$2:$G$801, 0)+1)), ""), ""), "")</f>
        <v/>
      </c>
      <c r="B554" s="10">
        <f>IFERROR(IF(AND(IFERROR(INDEX(ERP資料!$A:$A, (MATCH(553, 輔助計算!$G$2:$G$801, 0)+1)), "")&lt;&gt;"", IFERROR(INDEX(ERP資料!$A:$A, (MATCH(553, 輔助計算!$G$2:$G$801, 0)+1)), "")&lt;&gt;IFERROR(INDEX(ERP資料!$A:$A, MATCH(552, 輔助計算!$G$2:$G$801, 0)+1), "")), INDEX(ERP資料!$S:$S, (MATCH(553, 輔助計算!$G$2:$G$801, 0)+1)), ""), "")</f>
        <v/>
      </c>
      <c r="C554" s="19">
        <f>IFERROR(IF(AND(IFERROR(INDEX(ERP資料!$A:$A, (MATCH(553, 輔助計算!$G$2:$G$801, 0)+1)), "")&lt;&gt;"", IFERROR(INDEX(ERP資料!$A:$A, (MATCH(553, 輔助計算!$G$2:$G$801, 0)+1)), "")&lt;&gt;IFERROR(INDEX(ERP資料!$A:$A, MATCH(552, 輔助計算!$G$2:$G$801, 0)+1), "")), IFERROR(VLOOKUP(LEFT(INDEX(ERP資料!$S:$S, (MATCH(553, 輔助計算!$G$2:$G$801, 0)+1)), 4), 紙管對照表!$A:$C, 3, FALSE), ""), ""), "")</f>
        <v/>
      </c>
      <c r="D554" s="16" t="n"/>
      <c r="E554" s="10">
        <f>IFERROR(IF(INDEX(ERP資料!$H:$H, (MATCH(553, 輔助計算!$G$2:$G$801, 0)+1))="","",INDEX(ERP資料!$H:$H, (MATCH(553, 輔助計算!$G$2:$G$801, 0)+1))), "")</f>
        <v/>
      </c>
      <c r="F554" s="10">
        <f>IFERROR(IF(INDEX(ERP資料!$E:$E, (MATCH(553, 輔助計算!$G$2:$G$801, 0)+1))="","",TRIM(INDEX(ERP資料!$E:$E, (MATCH(553, 輔助計算!$G$2:$G$801, 0)+1)))), "")</f>
        <v/>
      </c>
      <c r="G554" s="10">
        <f>IFERROR(IF(INDEX(ERP資料!$F:$F, (MATCH(553, 輔助計算!$G$2:$G$801, 0)+1))="","",INDEX(ERP資料!$F:$F, (MATCH(553, 輔助計算!$G$2:$G$801, 0)+1))), "")</f>
        <v/>
      </c>
      <c r="H554" s="10">
        <f>IFERROR(IF(INDEX(ERP資料!$G:$G, (MATCH(553, 輔助計算!$G$2:$G$801, 0)+1))="","",INDEX(ERP資料!$G:$G, (MATCH(553, 輔助計算!$G$2:$G$801, 0)+1))), "")</f>
        <v/>
      </c>
      <c r="I554" s="15">
        <f>IFERROR(INDEX(輔助計算!$D:$D, (MATCH(553, 輔助計算!$G$2:$G$801, 0)+1)), "")</f>
        <v/>
      </c>
      <c r="J554" s="15">
        <f>IFERROR(IF(AND(INDEX(輔助計算!$D:$D, (MATCH(553, 輔助計算!$G$2:$G$801, 0)+1))&lt;&gt;"", INDEX(ERP資料!$G:$G, (MATCH(553, 輔助計算!$G$2:$G$801, 0)+1))&lt;&gt;""), TRIM(IF(INT(INDEX(輔助計算!$D:$D, (MATCH(553, 輔助計算!$G$2:$G$801, 0)+1))/IF(INDEX(ERP資料!$G:$G, (MATCH(553, 輔助計算!$G$2:$G$801, 0)+1))&lt;100, IF(INDEX(ERP資料!$G:$G, (MATCH(553, 輔助計算!$G$2:$G$801, 0)+1))&lt;=31,3,IF(INDEX(ERP資料!$G:$G, (MATCH(553, 輔助計算!$G$2:$G$801, 0)+1))&lt;=46.5,2,1)), IF(INDEX(ERP資料!$G:$G, (MATCH(553, 輔助計算!$G$2:$G$801, 0)+1))&lt;=790,3,IF(INDEX(ERP資料!$G:$G, (MATCH(553, 輔助計算!$G$2:$G$801, 0)+1))&lt;=1181,2,1))))&gt;0, IF(IF(INDEX(ERP資料!$G:$G, (MATCH(553, 輔助計算!$G$2:$G$801, 0)+1))&lt;100, IF(INDEX(ERP資料!$G:$G, (MATCH(553, 輔助計算!$G$2:$G$801, 0)+1))&lt;=31,3,IF(INDEX(ERP資料!$G:$G, (MATCH(553, 輔助計算!$G$2:$G$801, 0)+1))&lt;=46.5,2,1)), IF(INDEX(ERP資料!$G:$G, (MATCH(553, 輔助計算!$G$2:$G$801, 0)+1))&lt;=790,3,IF(INDEX(ERP資料!$G:$G, (MATCH(553, 輔助計算!$G$2:$G$801, 0)+1))&lt;=1181,2,1)))=1,TEXT(INDEX(ERP資料!$G:$G, (MATCH(553, 輔助計算!$G$2:$G$801, 0)+1)),"0.##"),IF(IF(INDEX(ERP資料!$G:$G, (MATCH(553, 輔助計算!$G$2:$G$801, 0)+1))&lt;100, IF(INDEX(ERP資料!$G:$G, (MATCH(553, 輔助計算!$G$2:$G$801, 0)+1))&lt;=31,3,IF(INDEX(ERP資料!$G:$G, (MATCH(553, 輔助計算!$G$2:$G$801, 0)+1))&lt;=46.5,2,1)), IF(INDEX(ERP資料!$G:$G, (MATCH(553, 輔助計算!$G$2:$G$801, 0)+1))&lt;=790,3,IF(INDEX(ERP資料!$G:$G, (MATCH(553, 輔助計算!$G$2:$G$801, 0)+1))&lt;=1181,2,1)))=2,TEXT(INDEX(ERP資料!$G:$G, (MATCH(553, 輔助計算!$G$2:$G$801, 0)+1)),"0.##")&amp;"+"&amp;TEXT(INDEX(ERP資料!$G:$G, (MATCH(553, 輔助計算!$G$2:$G$801, 0)+1)),"0.##"),TEXT(INDEX(ERP資料!$G:$G, (MATCH(553, 輔助計算!$G$2:$G$801, 0)+1)),"0.##")&amp;"+"&amp;TEXT(INDEX(ERP資料!$G:$G, (MATCH(553, 輔助計算!$G$2:$G$801, 0)+1)),"0.##")&amp;"+"&amp;TEXT(INDEX(ERP資料!$G:$G, (MATCH(553, 輔助計算!$G$2:$G$801, 0)+1)),"0.##")))&amp;"-"&amp;INT(INDEX(輔助計算!$D:$D, (MATCH(553, 輔助計算!$G$2:$G$801, 0)+1))/IF(INDEX(ERP資料!$G:$G, (MATCH(553, 輔助計算!$G$2:$G$801, 0)+1))&lt;100, IF(INDEX(ERP資料!$G:$G, (MATCH(553, 輔助計算!$G$2:$G$801, 0)+1))&lt;=31,3,IF(INDEX(ERP資料!$G:$G, (MATCH(553, 輔助計算!$G$2:$G$801, 0)+1))&lt;=46.5,2,1)), IF(INDEX(ERP資料!$G:$G, (MATCH(553, 輔助計算!$G$2:$G$801, 0)+1))&lt;=790,3,IF(INDEX(ERP資料!$G:$G, (MATCH(553, 輔助計算!$G$2:$G$801, 0)+1))&lt;=1181,2,1)))), "")&amp;IF(AND(IF(INT(INDEX(輔助計算!$D:$D, (MATCH(553, 輔助計算!$G$2:$G$801, 0)+1))/IF(INDEX(ERP資料!$G:$G, (MATCH(553, 輔助計算!$G$2:$G$801, 0)+1))&lt;100, IF(INDEX(ERP資料!$G:$G, (MATCH(553, 輔助計算!$G$2:$G$801, 0)+1))&lt;=31,3,IF(INDEX(ERP資料!$G:$G, (MATCH(553, 輔助計算!$G$2:$G$801, 0)+1))&lt;=46.5,2,1)), IF(INDEX(ERP資料!$G:$G, (MATCH(553, 輔助計算!$G$2:$G$801, 0)+1))&lt;=790,3,IF(INDEX(ERP資料!$G:$G, (MATCH(553, 輔助計算!$G$2:$G$801, 0)+1))&lt;=1181,2,1))))&gt;0, IF(IF(INDEX(ERP資料!$G:$G, (MATCH(553, 輔助計算!$G$2:$G$801, 0)+1))&lt;100, IF(INDEX(ERP資料!$G:$G, (MATCH(553, 輔助計算!$G$2:$G$801, 0)+1))&lt;=31,3,IF(INDEX(ERP資料!$G:$G, (MATCH(553, 輔助計算!$G$2:$G$801, 0)+1))&lt;=46.5,2,1)), IF(INDEX(ERP資料!$G:$G, (MATCH(553, 輔助計算!$G$2:$G$801, 0)+1))&lt;=790,3,IF(INDEX(ERP資料!$G:$G, (MATCH(553, 輔助計算!$G$2:$G$801, 0)+1))&lt;=1181,2,1)))=1,TEXT(INDEX(ERP資料!$G:$G, (MATCH(553, 輔助計算!$G$2:$G$801, 0)+1)),"0.##"),IF(IF(INDEX(ERP資料!$G:$G, (MATCH(553, 輔助計算!$G$2:$G$801, 0)+1))&lt;100, IF(INDEX(ERP資料!$G:$G, (MATCH(553, 輔助計算!$G$2:$G$801, 0)+1))&lt;=31,3,IF(INDEX(ERP資料!$G:$G, (MATCH(553, 輔助計算!$G$2:$G$801, 0)+1))&lt;=46.5,2,1)), IF(INDEX(ERP資料!$G:$G, (MATCH(553, 輔助計算!$G$2:$G$801, 0)+1))&lt;=790,3,IF(INDEX(ERP資料!$G:$G, (MATCH(553, 輔助計算!$G$2:$G$801, 0)+1))&lt;=1181,2,1)))=2,TEXT(INDEX(ERP資料!$G:$G, (MATCH(553, 輔助計算!$G$2:$G$801, 0)+1)),"0.##")&amp;"+"&amp;TEXT(INDEX(ERP資料!$G:$G, (MATCH(553, 輔助計算!$G$2:$G$801, 0)+1)),"0.##"),TEXT(INDEX(ERP資料!$G:$G, (MATCH(553, 輔助計算!$G$2:$G$801, 0)+1)),"0.##")&amp;"+"&amp;TEXT(INDEX(ERP資料!$G:$G, (MATCH(553, 輔助計算!$G$2:$G$801, 0)+1)),"0.##")&amp;"+"&amp;TEXT(INDEX(ERP資料!$G:$G, (MATCH(553, 輔助計算!$G$2:$G$801, 0)+1)),"0.##")))&amp;"-"&amp;INT(INDEX(輔助計算!$D:$D, (MATCH(553, 輔助計算!$G$2:$G$801, 0)+1))/IF(INDEX(ERP資料!$G:$G, (MATCH(553, 輔助計算!$G$2:$G$801, 0)+1))&lt;100, IF(INDEX(ERP資料!$G:$G, (MATCH(553, 輔助計算!$G$2:$G$801, 0)+1))&lt;=31,3,IF(INDEX(ERP資料!$G:$G, (MATCH(553, 輔助計算!$G$2:$G$801, 0)+1))&lt;=46.5,2,1)), IF(INDEX(ERP資料!$G:$G, (MATCH(553, 輔助計算!$G$2:$G$801, 0)+1))&lt;=790,3,IF(INDEX(ERP資料!$G:$G, (MATCH(553, 輔助計算!$G$2:$G$801, 0)+1))&lt;=1181,2,1)))), "")&lt;&gt;"",IF(MOD(INDEX(輔助計算!$D:$D, (MATCH(553, 輔助計算!$G$2:$G$801, 0)+1)),IF(INDEX(ERP資料!$G:$G, (MATCH(553, 輔助計算!$G$2:$G$801, 0)+1))&lt;100, IF(INDEX(ERP資料!$G:$G, (MATCH(553, 輔助計算!$G$2:$G$801, 0)+1))&lt;=31,3,IF(INDEX(ERP資料!$G:$G, (MATCH(553, 輔助計算!$G$2:$G$801, 0)+1))&lt;=46.5,2,1)), IF(INDEX(ERP資料!$G:$G, (MATCH(553, 輔助計算!$G$2:$G$801, 0)+1))&lt;=790,3,IF(INDEX(ERP資料!$G:$G, (MATCH(553, 輔助計算!$G$2:$G$801, 0)+1))&lt;=1181,2,1))))=0,"",IF(MOD(INDEX(輔助計算!$D:$D, (MATCH(553, 輔助計算!$G$2:$G$801, 0)+1)),IF(INDEX(ERP資料!$G:$G, (MATCH(553, 輔助計算!$G$2:$G$801, 0)+1))&lt;100, IF(INDEX(ERP資料!$G:$G, (MATCH(553, 輔助計算!$G$2:$G$801, 0)+1))&lt;=31,3,IF(INDEX(ERP資料!$G:$G, (MATCH(553, 輔助計算!$G$2:$G$801, 0)+1))&lt;=46.5,2,1)), IF(INDEX(ERP資料!$G:$G, (MATCH(553, 輔助計算!$G$2:$G$801, 0)+1))&lt;=790,3,IF(INDEX(ERP資料!$G:$G, (MATCH(553, 輔助計算!$G$2:$G$801, 0)+1))&lt;=1181,2,1))))=0,"",IF(MOD(INDEX(輔助計算!$D:$D, (MATCH(553, 輔助計算!$G$2:$G$801, 0)+1)),IF(INDEX(ERP資料!$G:$G, (MATCH(553, 輔助計算!$G$2:$G$801, 0)+1))&lt;100, IF(INDEX(ERP資料!$G:$G, (MATCH(553, 輔助計算!$G$2:$G$801, 0)+1))&lt;=31,3,IF(INDEX(ERP資料!$G:$G, (MATCH(553, 輔助計算!$G$2:$G$801, 0)+1))&lt;=46.5,2,1)), IF(INDEX(ERP資料!$G:$G, (MATCH(553, 輔助計算!$G$2:$G$801, 0)+1))&lt;=790,3,IF(INDEX(ERP資料!$G:$G, (MATCH(553, 輔助計算!$G$2:$G$801, 0)+1))&lt;=1181,2,1))))=1,TEXT(INDEX(ERP資料!$G:$G, (MATCH(553, 輔助計算!$G$2:$G$801, 0)+1)),"0.##"),IF(MOD(INDEX(輔助計算!$D:$D, (MATCH(553, 輔助計算!$G$2:$G$801, 0)+1)),IF(INDEX(ERP資料!$G:$G, (MATCH(553, 輔助計算!$G$2:$G$801, 0)+1))&lt;100, IF(INDEX(ERP資料!$G:$G, (MATCH(553, 輔助計算!$G$2:$G$801, 0)+1))&lt;=31,3,IF(INDEX(ERP資料!$G:$G, (MATCH(553, 輔助計算!$G$2:$G$801, 0)+1))&lt;=46.5,2,1)), IF(INDEX(ERP資料!$G:$G, (MATCH(553, 輔助計算!$G$2:$G$801, 0)+1))&lt;=790,3,IF(INDEX(ERP資料!$G:$G, (MATCH(553, 輔助計算!$G$2:$G$801, 0)+1))&lt;=1181,2,1))))=2,TEXT(INDEX(ERP資料!$G:$G, (MATCH(553, 輔助計算!$G$2:$G$801, 0)+1)),"0.##")&amp;"+"&amp;TEXT(INDEX(ERP資料!$G:$G, (MATCH(553, 輔助計算!$G$2:$G$801, 0)+1)),"0.##"),TEXT(INDEX(ERP資料!$G:$G, (MATCH(553, 輔助計算!$G$2:$G$801, 0)+1)),"0.##")&amp;"+"&amp;TEXT(INDEX(ERP資料!$G:$G, (MATCH(553, 輔助計算!$G$2:$G$801, 0)+1)),"0.##")&amp;"+"&amp;TEXT(INDEX(ERP資料!$G:$G, (MATCH(553, 輔助計算!$G$2:$G$801, 0)+1)),"0.##"))))&amp;"-1")&lt;&gt;""),"  ","")&amp;IF(MOD(INDEX(輔助計算!$D:$D, (MATCH(553, 輔助計算!$G$2:$G$801, 0)+1)),IF(INDEX(ERP資料!$G:$G, (MATCH(553, 輔助計算!$G$2:$G$801, 0)+1))&lt;100, IF(INDEX(ERP資料!$G:$G, (MATCH(553, 輔助計算!$G$2:$G$801, 0)+1))&lt;=31,3,IF(INDEX(ERP資料!$G:$G, (MATCH(553, 輔助計算!$G$2:$G$801, 0)+1))&lt;=46.5,2,1)), IF(INDEX(ERP資料!$G:$G, (MATCH(553, 輔助計算!$G$2:$G$801, 0)+1))&lt;=790,3,IF(INDEX(ERP資料!$G:$G, (MATCH(553, 輔助計算!$G$2:$G$801, 0)+1))&lt;=1181,2,1))))=0,"",IF(MOD(INDEX(輔助計算!$D:$D, (MATCH(553, 輔助計算!$G$2:$G$801, 0)+1)),IF(INDEX(ERP資料!$G:$G, (MATCH(553, 輔助計算!$G$2:$G$801, 0)+1))&lt;100, IF(INDEX(ERP資料!$G:$G, (MATCH(553, 輔助計算!$G$2:$G$801, 0)+1))&lt;=31,3,IF(INDEX(ERP資料!$G:$G, (MATCH(553, 輔助計算!$G$2:$G$801, 0)+1))&lt;=46.5,2,1)), IF(INDEX(ERP資料!$G:$G, (MATCH(553, 輔助計算!$G$2:$G$801, 0)+1))&lt;=790,3,IF(INDEX(ERP資料!$G:$G, (MATCH(553, 輔助計算!$G$2:$G$801, 0)+1))&lt;=1181,2,1))))=0,"",IF(MOD(INDEX(輔助計算!$D:$D, (MATCH(553, 輔助計算!$G$2:$G$801, 0)+1)),IF(INDEX(ERP資料!$G:$G, (MATCH(553, 輔助計算!$G$2:$G$801, 0)+1))&lt;100, IF(INDEX(ERP資料!$G:$G, (MATCH(553, 輔助計算!$G$2:$G$801, 0)+1))&lt;=31,3,IF(INDEX(ERP資料!$G:$G, (MATCH(553, 輔助計算!$G$2:$G$801, 0)+1))&lt;=46.5,2,1)), IF(INDEX(ERP資料!$G:$G, (MATCH(553, 輔助計算!$G$2:$G$801, 0)+1))&lt;=790,3,IF(INDEX(ERP資料!$G:$G, (MATCH(553, 輔助計算!$G$2:$G$801, 0)+1))&lt;=1181,2,1))))=1,TEXT(INDEX(ERP資料!$G:$G, (MATCH(553, 輔助計算!$G$2:$G$801, 0)+1)),"0.##"),IF(MOD(INDEX(輔助計算!$D:$D, (MATCH(553, 輔助計算!$G$2:$G$801, 0)+1)),IF(INDEX(ERP資料!$G:$G, (MATCH(553, 輔助計算!$G$2:$G$801, 0)+1))&lt;100, IF(INDEX(ERP資料!$G:$G, (MATCH(553, 輔助計算!$G$2:$G$801, 0)+1))&lt;=31,3,IF(INDEX(ERP資料!$G:$G, (MATCH(553, 輔助計算!$G$2:$G$801, 0)+1))&lt;=46.5,2,1)), IF(INDEX(ERP資料!$G:$G, (MATCH(553, 輔助計算!$G$2:$G$801, 0)+1))&lt;=790,3,IF(INDEX(ERP資料!$G:$G, (MATCH(553, 輔助計算!$G$2:$G$801, 0)+1))&lt;=1181,2,1))))=2,TEXT(INDEX(ERP資料!$G:$G, (MATCH(553, 輔助計算!$G$2:$G$801, 0)+1)),"0.##")&amp;"+"&amp;TEXT(INDEX(ERP資料!$G:$G, (MATCH(553, 輔助計算!$G$2:$G$801, 0)+1)),"0.##"),TEXT(INDEX(ERP資料!$G:$G, (MATCH(553, 輔助計算!$G$2:$G$801, 0)+1)),"0.##")&amp;"+"&amp;TEXT(INDEX(ERP資料!$G:$G, (MATCH(553, 輔助計算!$G$2:$G$801, 0)+1)),"0.##")&amp;"+"&amp;TEXT(INDEX(ERP資料!$G:$G, (MATCH(553, 輔助計算!$G$2:$G$801, 0)+1)),"0.##"))))&amp;"-1")), ""), "")</f>
        <v/>
      </c>
      <c r="K554" s="16" t="n"/>
      <c r="L554" s="14">
        <f>IFERROR(IF(AND(IFERROR(INDEX(ERP資料!$A:$A, (MATCH(553, 輔助計算!$G$2:$G$801, 0)+1)), "")&lt;&gt;"", IFERROR(INDEX(ERP資料!$A:$A, (MATCH(553, 輔助計算!$G$2:$G$801, 0)+1)), "")&lt;&gt;IFERROR(INDEX(ERP資料!$A:$A, MATCH(552, 輔助計算!$G$2:$G$801, 0)+1), "")), INDEX(ERP資料!$B:$B, (MATCH(553, 輔助計算!$G$2:$G$801, 0)+1)), ""), "")</f>
        <v/>
      </c>
      <c r="M554" s="17" t="n"/>
    </row>
    <row r="555">
      <c r="A555" s="10">
        <f>IFERROR(IF(AND(IFERROR(INDEX(ERP資料!$A:$A, (MATCH(554, 輔助計算!$G$2:$G$801, 0)+1)), "")&lt;&gt;"", IFERROR(INDEX(ERP資料!$A:$A, (MATCH(554, 輔助計算!$G$2:$G$801, 0)+1)), "")&lt;&gt;IFERROR(INDEX(ERP資料!$A:$A, MATCH(553, 輔助計算!$G$2:$G$801, 0)+1), "")), IFERROR(INDEX(ERP資料!$A:$A, (MATCH(554, 輔助計算!$G$2:$G$801, 0)+1)), ""), ""), "")</f>
        <v/>
      </c>
      <c r="B555" s="10">
        <f>IFERROR(IF(AND(IFERROR(INDEX(ERP資料!$A:$A, (MATCH(554, 輔助計算!$G$2:$G$801, 0)+1)), "")&lt;&gt;"", IFERROR(INDEX(ERP資料!$A:$A, (MATCH(554, 輔助計算!$G$2:$G$801, 0)+1)), "")&lt;&gt;IFERROR(INDEX(ERP資料!$A:$A, MATCH(553, 輔助計算!$G$2:$G$801, 0)+1), "")), INDEX(ERP資料!$S:$S, (MATCH(554, 輔助計算!$G$2:$G$801, 0)+1)), ""), "")</f>
        <v/>
      </c>
      <c r="C555" s="19">
        <f>IFERROR(IF(AND(IFERROR(INDEX(ERP資料!$A:$A, (MATCH(554, 輔助計算!$G$2:$G$801, 0)+1)), "")&lt;&gt;"", IFERROR(INDEX(ERP資料!$A:$A, (MATCH(554, 輔助計算!$G$2:$G$801, 0)+1)), "")&lt;&gt;IFERROR(INDEX(ERP資料!$A:$A, MATCH(553, 輔助計算!$G$2:$G$801, 0)+1), "")), IFERROR(VLOOKUP(LEFT(INDEX(ERP資料!$S:$S, (MATCH(554, 輔助計算!$G$2:$G$801, 0)+1)), 4), 紙管對照表!$A:$C, 3, FALSE), ""), ""), "")</f>
        <v/>
      </c>
      <c r="D555" s="16" t="n"/>
      <c r="E555" s="10">
        <f>IFERROR(IF(INDEX(ERP資料!$H:$H, (MATCH(554, 輔助計算!$G$2:$G$801, 0)+1))="","",INDEX(ERP資料!$H:$H, (MATCH(554, 輔助計算!$G$2:$G$801, 0)+1))), "")</f>
        <v/>
      </c>
      <c r="F555" s="10">
        <f>IFERROR(IF(INDEX(ERP資料!$E:$E, (MATCH(554, 輔助計算!$G$2:$G$801, 0)+1))="","",TRIM(INDEX(ERP資料!$E:$E, (MATCH(554, 輔助計算!$G$2:$G$801, 0)+1)))), "")</f>
        <v/>
      </c>
      <c r="G555" s="10">
        <f>IFERROR(IF(INDEX(ERP資料!$F:$F, (MATCH(554, 輔助計算!$G$2:$G$801, 0)+1))="","",INDEX(ERP資料!$F:$F, (MATCH(554, 輔助計算!$G$2:$G$801, 0)+1))), "")</f>
        <v/>
      </c>
      <c r="H555" s="10">
        <f>IFERROR(IF(INDEX(ERP資料!$G:$G, (MATCH(554, 輔助計算!$G$2:$G$801, 0)+1))="","",INDEX(ERP資料!$G:$G, (MATCH(554, 輔助計算!$G$2:$G$801, 0)+1))), "")</f>
        <v/>
      </c>
      <c r="I555" s="15">
        <f>IFERROR(INDEX(輔助計算!$D:$D, (MATCH(554, 輔助計算!$G$2:$G$801, 0)+1)), "")</f>
        <v/>
      </c>
      <c r="J555" s="15">
        <f>IFERROR(IF(AND(INDEX(輔助計算!$D:$D, (MATCH(554, 輔助計算!$G$2:$G$801, 0)+1))&lt;&gt;"", INDEX(ERP資料!$G:$G, (MATCH(554, 輔助計算!$G$2:$G$801, 0)+1))&lt;&gt;""), TRIM(IF(INT(INDEX(輔助計算!$D:$D, (MATCH(554, 輔助計算!$G$2:$G$801, 0)+1))/IF(INDEX(ERP資料!$G:$G, (MATCH(554, 輔助計算!$G$2:$G$801, 0)+1))&lt;100, IF(INDEX(ERP資料!$G:$G, (MATCH(554, 輔助計算!$G$2:$G$801, 0)+1))&lt;=31,3,IF(INDEX(ERP資料!$G:$G, (MATCH(554, 輔助計算!$G$2:$G$801, 0)+1))&lt;=46.5,2,1)), IF(INDEX(ERP資料!$G:$G, (MATCH(554, 輔助計算!$G$2:$G$801, 0)+1))&lt;=790,3,IF(INDEX(ERP資料!$G:$G, (MATCH(554, 輔助計算!$G$2:$G$801, 0)+1))&lt;=1181,2,1))))&gt;0, IF(IF(INDEX(ERP資料!$G:$G, (MATCH(554, 輔助計算!$G$2:$G$801, 0)+1))&lt;100, IF(INDEX(ERP資料!$G:$G, (MATCH(554, 輔助計算!$G$2:$G$801, 0)+1))&lt;=31,3,IF(INDEX(ERP資料!$G:$G, (MATCH(554, 輔助計算!$G$2:$G$801, 0)+1))&lt;=46.5,2,1)), IF(INDEX(ERP資料!$G:$G, (MATCH(554, 輔助計算!$G$2:$G$801, 0)+1))&lt;=790,3,IF(INDEX(ERP資料!$G:$G, (MATCH(554, 輔助計算!$G$2:$G$801, 0)+1))&lt;=1181,2,1)))=1,TEXT(INDEX(ERP資料!$G:$G, (MATCH(554, 輔助計算!$G$2:$G$801, 0)+1)),"0.##"),IF(IF(INDEX(ERP資料!$G:$G, (MATCH(554, 輔助計算!$G$2:$G$801, 0)+1))&lt;100, IF(INDEX(ERP資料!$G:$G, (MATCH(554, 輔助計算!$G$2:$G$801, 0)+1))&lt;=31,3,IF(INDEX(ERP資料!$G:$G, (MATCH(554, 輔助計算!$G$2:$G$801, 0)+1))&lt;=46.5,2,1)), IF(INDEX(ERP資料!$G:$G, (MATCH(554, 輔助計算!$G$2:$G$801, 0)+1))&lt;=790,3,IF(INDEX(ERP資料!$G:$G, (MATCH(554, 輔助計算!$G$2:$G$801, 0)+1))&lt;=1181,2,1)))=2,TEXT(INDEX(ERP資料!$G:$G, (MATCH(554, 輔助計算!$G$2:$G$801, 0)+1)),"0.##")&amp;"+"&amp;TEXT(INDEX(ERP資料!$G:$G, (MATCH(554, 輔助計算!$G$2:$G$801, 0)+1)),"0.##"),TEXT(INDEX(ERP資料!$G:$G, (MATCH(554, 輔助計算!$G$2:$G$801, 0)+1)),"0.##")&amp;"+"&amp;TEXT(INDEX(ERP資料!$G:$G, (MATCH(554, 輔助計算!$G$2:$G$801, 0)+1)),"0.##")&amp;"+"&amp;TEXT(INDEX(ERP資料!$G:$G, (MATCH(554, 輔助計算!$G$2:$G$801, 0)+1)),"0.##")))&amp;"-"&amp;INT(INDEX(輔助計算!$D:$D, (MATCH(554, 輔助計算!$G$2:$G$801, 0)+1))/IF(INDEX(ERP資料!$G:$G, (MATCH(554, 輔助計算!$G$2:$G$801, 0)+1))&lt;100, IF(INDEX(ERP資料!$G:$G, (MATCH(554, 輔助計算!$G$2:$G$801, 0)+1))&lt;=31,3,IF(INDEX(ERP資料!$G:$G, (MATCH(554, 輔助計算!$G$2:$G$801, 0)+1))&lt;=46.5,2,1)), IF(INDEX(ERP資料!$G:$G, (MATCH(554, 輔助計算!$G$2:$G$801, 0)+1))&lt;=790,3,IF(INDEX(ERP資料!$G:$G, (MATCH(554, 輔助計算!$G$2:$G$801, 0)+1))&lt;=1181,2,1)))), "")&amp;IF(AND(IF(INT(INDEX(輔助計算!$D:$D, (MATCH(554, 輔助計算!$G$2:$G$801, 0)+1))/IF(INDEX(ERP資料!$G:$G, (MATCH(554, 輔助計算!$G$2:$G$801, 0)+1))&lt;100, IF(INDEX(ERP資料!$G:$G, (MATCH(554, 輔助計算!$G$2:$G$801, 0)+1))&lt;=31,3,IF(INDEX(ERP資料!$G:$G, (MATCH(554, 輔助計算!$G$2:$G$801, 0)+1))&lt;=46.5,2,1)), IF(INDEX(ERP資料!$G:$G, (MATCH(554, 輔助計算!$G$2:$G$801, 0)+1))&lt;=790,3,IF(INDEX(ERP資料!$G:$G, (MATCH(554, 輔助計算!$G$2:$G$801, 0)+1))&lt;=1181,2,1))))&gt;0, IF(IF(INDEX(ERP資料!$G:$G, (MATCH(554, 輔助計算!$G$2:$G$801, 0)+1))&lt;100, IF(INDEX(ERP資料!$G:$G, (MATCH(554, 輔助計算!$G$2:$G$801, 0)+1))&lt;=31,3,IF(INDEX(ERP資料!$G:$G, (MATCH(554, 輔助計算!$G$2:$G$801, 0)+1))&lt;=46.5,2,1)), IF(INDEX(ERP資料!$G:$G, (MATCH(554, 輔助計算!$G$2:$G$801, 0)+1))&lt;=790,3,IF(INDEX(ERP資料!$G:$G, (MATCH(554, 輔助計算!$G$2:$G$801, 0)+1))&lt;=1181,2,1)))=1,TEXT(INDEX(ERP資料!$G:$G, (MATCH(554, 輔助計算!$G$2:$G$801, 0)+1)),"0.##"),IF(IF(INDEX(ERP資料!$G:$G, (MATCH(554, 輔助計算!$G$2:$G$801, 0)+1))&lt;100, IF(INDEX(ERP資料!$G:$G, (MATCH(554, 輔助計算!$G$2:$G$801, 0)+1))&lt;=31,3,IF(INDEX(ERP資料!$G:$G, (MATCH(554, 輔助計算!$G$2:$G$801, 0)+1))&lt;=46.5,2,1)), IF(INDEX(ERP資料!$G:$G, (MATCH(554, 輔助計算!$G$2:$G$801, 0)+1))&lt;=790,3,IF(INDEX(ERP資料!$G:$G, (MATCH(554, 輔助計算!$G$2:$G$801, 0)+1))&lt;=1181,2,1)))=2,TEXT(INDEX(ERP資料!$G:$G, (MATCH(554, 輔助計算!$G$2:$G$801, 0)+1)),"0.##")&amp;"+"&amp;TEXT(INDEX(ERP資料!$G:$G, (MATCH(554, 輔助計算!$G$2:$G$801, 0)+1)),"0.##"),TEXT(INDEX(ERP資料!$G:$G, (MATCH(554, 輔助計算!$G$2:$G$801, 0)+1)),"0.##")&amp;"+"&amp;TEXT(INDEX(ERP資料!$G:$G, (MATCH(554, 輔助計算!$G$2:$G$801, 0)+1)),"0.##")&amp;"+"&amp;TEXT(INDEX(ERP資料!$G:$G, (MATCH(554, 輔助計算!$G$2:$G$801, 0)+1)),"0.##")))&amp;"-"&amp;INT(INDEX(輔助計算!$D:$D, (MATCH(554, 輔助計算!$G$2:$G$801, 0)+1))/IF(INDEX(ERP資料!$G:$G, (MATCH(554, 輔助計算!$G$2:$G$801, 0)+1))&lt;100, IF(INDEX(ERP資料!$G:$G, (MATCH(554, 輔助計算!$G$2:$G$801, 0)+1))&lt;=31,3,IF(INDEX(ERP資料!$G:$G, (MATCH(554, 輔助計算!$G$2:$G$801, 0)+1))&lt;=46.5,2,1)), IF(INDEX(ERP資料!$G:$G, (MATCH(554, 輔助計算!$G$2:$G$801, 0)+1))&lt;=790,3,IF(INDEX(ERP資料!$G:$G, (MATCH(554, 輔助計算!$G$2:$G$801, 0)+1))&lt;=1181,2,1)))), "")&lt;&gt;"",IF(MOD(INDEX(輔助計算!$D:$D, (MATCH(554, 輔助計算!$G$2:$G$801, 0)+1)),IF(INDEX(ERP資料!$G:$G, (MATCH(554, 輔助計算!$G$2:$G$801, 0)+1))&lt;100, IF(INDEX(ERP資料!$G:$G, (MATCH(554, 輔助計算!$G$2:$G$801, 0)+1))&lt;=31,3,IF(INDEX(ERP資料!$G:$G, (MATCH(554, 輔助計算!$G$2:$G$801, 0)+1))&lt;=46.5,2,1)), IF(INDEX(ERP資料!$G:$G, (MATCH(554, 輔助計算!$G$2:$G$801, 0)+1))&lt;=790,3,IF(INDEX(ERP資料!$G:$G, (MATCH(554, 輔助計算!$G$2:$G$801, 0)+1))&lt;=1181,2,1))))=0,"",IF(MOD(INDEX(輔助計算!$D:$D, (MATCH(554, 輔助計算!$G$2:$G$801, 0)+1)),IF(INDEX(ERP資料!$G:$G, (MATCH(554, 輔助計算!$G$2:$G$801, 0)+1))&lt;100, IF(INDEX(ERP資料!$G:$G, (MATCH(554, 輔助計算!$G$2:$G$801, 0)+1))&lt;=31,3,IF(INDEX(ERP資料!$G:$G, (MATCH(554, 輔助計算!$G$2:$G$801, 0)+1))&lt;=46.5,2,1)), IF(INDEX(ERP資料!$G:$G, (MATCH(554, 輔助計算!$G$2:$G$801, 0)+1))&lt;=790,3,IF(INDEX(ERP資料!$G:$G, (MATCH(554, 輔助計算!$G$2:$G$801, 0)+1))&lt;=1181,2,1))))=0,"",IF(MOD(INDEX(輔助計算!$D:$D, (MATCH(554, 輔助計算!$G$2:$G$801, 0)+1)),IF(INDEX(ERP資料!$G:$G, (MATCH(554, 輔助計算!$G$2:$G$801, 0)+1))&lt;100, IF(INDEX(ERP資料!$G:$G, (MATCH(554, 輔助計算!$G$2:$G$801, 0)+1))&lt;=31,3,IF(INDEX(ERP資料!$G:$G, (MATCH(554, 輔助計算!$G$2:$G$801, 0)+1))&lt;=46.5,2,1)), IF(INDEX(ERP資料!$G:$G, (MATCH(554, 輔助計算!$G$2:$G$801, 0)+1))&lt;=790,3,IF(INDEX(ERP資料!$G:$G, (MATCH(554, 輔助計算!$G$2:$G$801, 0)+1))&lt;=1181,2,1))))=1,TEXT(INDEX(ERP資料!$G:$G, (MATCH(554, 輔助計算!$G$2:$G$801, 0)+1)),"0.##"),IF(MOD(INDEX(輔助計算!$D:$D, (MATCH(554, 輔助計算!$G$2:$G$801, 0)+1)),IF(INDEX(ERP資料!$G:$G, (MATCH(554, 輔助計算!$G$2:$G$801, 0)+1))&lt;100, IF(INDEX(ERP資料!$G:$G, (MATCH(554, 輔助計算!$G$2:$G$801, 0)+1))&lt;=31,3,IF(INDEX(ERP資料!$G:$G, (MATCH(554, 輔助計算!$G$2:$G$801, 0)+1))&lt;=46.5,2,1)), IF(INDEX(ERP資料!$G:$G, (MATCH(554, 輔助計算!$G$2:$G$801, 0)+1))&lt;=790,3,IF(INDEX(ERP資料!$G:$G, (MATCH(554, 輔助計算!$G$2:$G$801, 0)+1))&lt;=1181,2,1))))=2,TEXT(INDEX(ERP資料!$G:$G, (MATCH(554, 輔助計算!$G$2:$G$801, 0)+1)),"0.##")&amp;"+"&amp;TEXT(INDEX(ERP資料!$G:$G, (MATCH(554, 輔助計算!$G$2:$G$801, 0)+1)),"0.##"),TEXT(INDEX(ERP資料!$G:$G, (MATCH(554, 輔助計算!$G$2:$G$801, 0)+1)),"0.##")&amp;"+"&amp;TEXT(INDEX(ERP資料!$G:$G, (MATCH(554, 輔助計算!$G$2:$G$801, 0)+1)),"0.##")&amp;"+"&amp;TEXT(INDEX(ERP資料!$G:$G, (MATCH(554, 輔助計算!$G$2:$G$801, 0)+1)),"0.##"))))&amp;"-1")&lt;&gt;""),"  ","")&amp;IF(MOD(INDEX(輔助計算!$D:$D, (MATCH(554, 輔助計算!$G$2:$G$801, 0)+1)),IF(INDEX(ERP資料!$G:$G, (MATCH(554, 輔助計算!$G$2:$G$801, 0)+1))&lt;100, IF(INDEX(ERP資料!$G:$G, (MATCH(554, 輔助計算!$G$2:$G$801, 0)+1))&lt;=31,3,IF(INDEX(ERP資料!$G:$G, (MATCH(554, 輔助計算!$G$2:$G$801, 0)+1))&lt;=46.5,2,1)), IF(INDEX(ERP資料!$G:$G, (MATCH(554, 輔助計算!$G$2:$G$801, 0)+1))&lt;=790,3,IF(INDEX(ERP資料!$G:$G, (MATCH(554, 輔助計算!$G$2:$G$801, 0)+1))&lt;=1181,2,1))))=0,"",IF(MOD(INDEX(輔助計算!$D:$D, (MATCH(554, 輔助計算!$G$2:$G$801, 0)+1)),IF(INDEX(ERP資料!$G:$G, (MATCH(554, 輔助計算!$G$2:$G$801, 0)+1))&lt;100, IF(INDEX(ERP資料!$G:$G, (MATCH(554, 輔助計算!$G$2:$G$801, 0)+1))&lt;=31,3,IF(INDEX(ERP資料!$G:$G, (MATCH(554, 輔助計算!$G$2:$G$801, 0)+1))&lt;=46.5,2,1)), IF(INDEX(ERP資料!$G:$G, (MATCH(554, 輔助計算!$G$2:$G$801, 0)+1))&lt;=790,3,IF(INDEX(ERP資料!$G:$G, (MATCH(554, 輔助計算!$G$2:$G$801, 0)+1))&lt;=1181,2,1))))=0,"",IF(MOD(INDEX(輔助計算!$D:$D, (MATCH(554, 輔助計算!$G$2:$G$801, 0)+1)),IF(INDEX(ERP資料!$G:$G, (MATCH(554, 輔助計算!$G$2:$G$801, 0)+1))&lt;100, IF(INDEX(ERP資料!$G:$G, (MATCH(554, 輔助計算!$G$2:$G$801, 0)+1))&lt;=31,3,IF(INDEX(ERP資料!$G:$G, (MATCH(554, 輔助計算!$G$2:$G$801, 0)+1))&lt;=46.5,2,1)), IF(INDEX(ERP資料!$G:$G, (MATCH(554, 輔助計算!$G$2:$G$801, 0)+1))&lt;=790,3,IF(INDEX(ERP資料!$G:$G, (MATCH(554, 輔助計算!$G$2:$G$801, 0)+1))&lt;=1181,2,1))))=1,TEXT(INDEX(ERP資料!$G:$G, (MATCH(554, 輔助計算!$G$2:$G$801, 0)+1)),"0.##"),IF(MOD(INDEX(輔助計算!$D:$D, (MATCH(554, 輔助計算!$G$2:$G$801, 0)+1)),IF(INDEX(ERP資料!$G:$G, (MATCH(554, 輔助計算!$G$2:$G$801, 0)+1))&lt;100, IF(INDEX(ERP資料!$G:$G, (MATCH(554, 輔助計算!$G$2:$G$801, 0)+1))&lt;=31,3,IF(INDEX(ERP資料!$G:$G, (MATCH(554, 輔助計算!$G$2:$G$801, 0)+1))&lt;=46.5,2,1)), IF(INDEX(ERP資料!$G:$G, (MATCH(554, 輔助計算!$G$2:$G$801, 0)+1))&lt;=790,3,IF(INDEX(ERP資料!$G:$G, (MATCH(554, 輔助計算!$G$2:$G$801, 0)+1))&lt;=1181,2,1))))=2,TEXT(INDEX(ERP資料!$G:$G, (MATCH(554, 輔助計算!$G$2:$G$801, 0)+1)),"0.##")&amp;"+"&amp;TEXT(INDEX(ERP資料!$G:$G, (MATCH(554, 輔助計算!$G$2:$G$801, 0)+1)),"0.##"),TEXT(INDEX(ERP資料!$G:$G, (MATCH(554, 輔助計算!$G$2:$G$801, 0)+1)),"0.##")&amp;"+"&amp;TEXT(INDEX(ERP資料!$G:$G, (MATCH(554, 輔助計算!$G$2:$G$801, 0)+1)),"0.##")&amp;"+"&amp;TEXT(INDEX(ERP資料!$G:$G, (MATCH(554, 輔助計算!$G$2:$G$801, 0)+1)),"0.##"))))&amp;"-1")), ""), "")</f>
        <v/>
      </c>
      <c r="K555" s="16" t="n"/>
      <c r="L555" s="14">
        <f>IFERROR(IF(AND(IFERROR(INDEX(ERP資料!$A:$A, (MATCH(554, 輔助計算!$G$2:$G$801, 0)+1)), "")&lt;&gt;"", IFERROR(INDEX(ERP資料!$A:$A, (MATCH(554, 輔助計算!$G$2:$G$801, 0)+1)), "")&lt;&gt;IFERROR(INDEX(ERP資料!$A:$A, MATCH(553, 輔助計算!$G$2:$G$801, 0)+1), "")), INDEX(ERP資料!$B:$B, (MATCH(554, 輔助計算!$G$2:$G$801, 0)+1)), ""), "")</f>
        <v/>
      </c>
      <c r="M555" s="17" t="n"/>
    </row>
    <row r="556">
      <c r="A556" s="10">
        <f>IFERROR(IF(AND(IFERROR(INDEX(ERP資料!$A:$A, (MATCH(555, 輔助計算!$G$2:$G$801, 0)+1)), "")&lt;&gt;"", IFERROR(INDEX(ERP資料!$A:$A, (MATCH(555, 輔助計算!$G$2:$G$801, 0)+1)), "")&lt;&gt;IFERROR(INDEX(ERP資料!$A:$A, MATCH(554, 輔助計算!$G$2:$G$801, 0)+1), "")), IFERROR(INDEX(ERP資料!$A:$A, (MATCH(555, 輔助計算!$G$2:$G$801, 0)+1)), ""), ""), "")</f>
        <v/>
      </c>
      <c r="B556" s="10">
        <f>IFERROR(IF(AND(IFERROR(INDEX(ERP資料!$A:$A, (MATCH(555, 輔助計算!$G$2:$G$801, 0)+1)), "")&lt;&gt;"", IFERROR(INDEX(ERP資料!$A:$A, (MATCH(555, 輔助計算!$G$2:$G$801, 0)+1)), "")&lt;&gt;IFERROR(INDEX(ERP資料!$A:$A, MATCH(554, 輔助計算!$G$2:$G$801, 0)+1), "")), INDEX(ERP資料!$S:$S, (MATCH(555, 輔助計算!$G$2:$G$801, 0)+1)), ""), "")</f>
        <v/>
      </c>
      <c r="C556" s="19">
        <f>IFERROR(IF(AND(IFERROR(INDEX(ERP資料!$A:$A, (MATCH(555, 輔助計算!$G$2:$G$801, 0)+1)), "")&lt;&gt;"", IFERROR(INDEX(ERP資料!$A:$A, (MATCH(555, 輔助計算!$G$2:$G$801, 0)+1)), "")&lt;&gt;IFERROR(INDEX(ERP資料!$A:$A, MATCH(554, 輔助計算!$G$2:$G$801, 0)+1), "")), IFERROR(VLOOKUP(LEFT(INDEX(ERP資料!$S:$S, (MATCH(555, 輔助計算!$G$2:$G$801, 0)+1)), 4), 紙管對照表!$A:$C, 3, FALSE), ""), ""), "")</f>
        <v/>
      </c>
      <c r="D556" s="16" t="n"/>
      <c r="E556" s="10">
        <f>IFERROR(IF(INDEX(ERP資料!$H:$H, (MATCH(555, 輔助計算!$G$2:$G$801, 0)+1))="","",INDEX(ERP資料!$H:$H, (MATCH(555, 輔助計算!$G$2:$G$801, 0)+1))), "")</f>
        <v/>
      </c>
      <c r="F556" s="10">
        <f>IFERROR(IF(INDEX(ERP資料!$E:$E, (MATCH(555, 輔助計算!$G$2:$G$801, 0)+1))="","",TRIM(INDEX(ERP資料!$E:$E, (MATCH(555, 輔助計算!$G$2:$G$801, 0)+1)))), "")</f>
        <v/>
      </c>
      <c r="G556" s="10">
        <f>IFERROR(IF(INDEX(ERP資料!$F:$F, (MATCH(555, 輔助計算!$G$2:$G$801, 0)+1))="","",INDEX(ERP資料!$F:$F, (MATCH(555, 輔助計算!$G$2:$G$801, 0)+1))), "")</f>
        <v/>
      </c>
      <c r="H556" s="10">
        <f>IFERROR(IF(INDEX(ERP資料!$G:$G, (MATCH(555, 輔助計算!$G$2:$G$801, 0)+1))="","",INDEX(ERP資料!$G:$G, (MATCH(555, 輔助計算!$G$2:$G$801, 0)+1))), "")</f>
        <v/>
      </c>
      <c r="I556" s="15">
        <f>IFERROR(INDEX(輔助計算!$D:$D, (MATCH(555, 輔助計算!$G$2:$G$801, 0)+1)), "")</f>
        <v/>
      </c>
      <c r="J556" s="15">
        <f>IFERROR(IF(AND(INDEX(輔助計算!$D:$D, (MATCH(555, 輔助計算!$G$2:$G$801, 0)+1))&lt;&gt;"", INDEX(ERP資料!$G:$G, (MATCH(555, 輔助計算!$G$2:$G$801, 0)+1))&lt;&gt;""), TRIM(IF(INT(INDEX(輔助計算!$D:$D, (MATCH(555, 輔助計算!$G$2:$G$801, 0)+1))/IF(INDEX(ERP資料!$G:$G, (MATCH(555, 輔助計算!$G$2:$G$801, 0)+1))&lt;100, IF(INDEX(ERP資料!$G:$G, (MATCH(555, 輔助計算!$G$2:$G$801, 0)+1))&lt;=31,3,IF(INDEX(ERP資料!$G:$G, (MATCH(555, 輔助計算!$G$2:$G$801, 0)+1))&lt;=46.5,2,1)), IF(INDEX(ERP資料!$G:$G, (MATCH(555, 輔助計算!$G$2:$G$801, 0)+1))&lt;=790,3,IF(INDEX(ERP資料!$G:$G, (MATCH(555, 輔助計算!$G$2:$G$801, 0)+1))&lt;=1181,2,1))))&gt;0, IF(IF(INDEX(ERP資料!$G:$G, (MATCH(555, 輔助計算!$G$2:$G$801, 0)+1))&lt;100, IF(INDEX(ERP資料!$G:$G, (MATCH(555, 輔助計算!$G$2:$G$801, 0)+1))&lt;=31,3,IF(INDEX(ERP資料!$G:$G, (MATCH(555, 輔助計算!$G$2:$G$801, 0)+1))&lt;=46.5,2,1)), IF(INDEX(ERP資料!$G:$G, (MATCH(555, 輔助計算!$G$2:$G$801, 0)+1))&lt;=790,3,IF(INDEX(ERP資料!$G:$G, (MATCH(555, 輔助計算!$G$2:$G$801, 0)+1))&lt;=1181,2,1)))=1,TEXT(INDEX(ERP資料!$G:$G, (MATCH(555, 輔助計算!$G$2:$G$801, 0)+1)),"0.##"),IF(IF(INDEX(ERP資料!$G:$G, (MATCH(555, 輔助計算!$G$2:$G$801, 0)+1))&lt;100, IF(INDEX(ERP資料!$G:$G, (MATCH(555, 輔助計算!$G$2:$G$801, 0)+1))&lt;=31,3,IF(INDEX(ERP資料!$G:$G, (MATCH(555, 輔助計算!$G$2:$G$801, 0)+1))&lt;=46.5,2,1)), IF(INDEX(ERP資料!$G:$G, (MATCH(555, 輔助計算!$G$2:$G$801, 0)+1))&lt;=790,3,IF(INDEX(ERP資料!$G:$G, (MATCH(555, 輔助計算!$G$2:$G$801, 0)+1))&lt;=1181,2,1)))=2,TEXT(INDEX(ERP資料!$G:$G, (MATCH(555, 輔助計算!$G$2:$G$801, 0)+1)),"0.##")&amp;"+"&amp;TEXT(INDEX(ERP資料!$G:$G, (MATCH(555, 輔助計算!$G$2:$G$801, 0)+1)),"0.##"),TEXT(INDEX(ERP資料!$G:$G, (MATCH(555, 輔助計算!$G$2:$G$801, 0)+1)),"0.##")&amp;"+"&amp;TEXT(INDEX(ERP資料!$G:$G, (MATCH(555, 輔助計算!$G$2:$G$801, 0)+1)),"0.##")&amp;"+"&amp;TEXT(INDEX(ERP資料!$G:$G, (MATCH(555, 輔助計算!$G$2:$G$801, 0)+1)),"0.##")))&amp;"-"&amp;INT(INDEX(輔助計算!$D:$D, (MATCH(555, 輔助計算!$G$2:$G$801, 0)+1))/IF(INDEX(ERP資料!$G:$G, (MATCH(555, 輔助計算!$G$2:$G$801, 0)+1))&lt;100, IF(INDEX(ERP資料!$G:$G, (MATCH(555, 輔助計算!$G$2:$G$801, 0)+1))&lt;=31,3,IF(INDEX(ERP資料!$G:$G, (MATCH(555, 輔助計算!$G$2:$G$801, 0)+1))&lt;=46.5,2,1)), IF(INDEX(ERP資料!$G:$G, (MATCH(555, 輔助計算!$G$2:$G$801, 0)+1))&lt;=790,3,IF(INDEX(ERP資料!$G:$G, (MATCH(555, 輔助計算!$G$2:$G$801, 0)+1))&lt;=1181,2,1)))), "")&amp;IF(AND(IF(INT(INDEX(輔助計算!$D:$D, (MATCH(555, 輔助計算!$G$2:$G$801, 0)+1))/IF(INDEX(ERP資料!$G:$G, (MATCH(555, 輔助計算!$G$2:$G$801, 0)+1))&lt;100, IF(INDEX(ERP資料!$G:$G, (MATCH(555, 輔助計算!$G$2:$G$801, 0)+1))&lt;=31,3,IF(INDEX(ERP資料!$G:$G, (MATCH(555, 輔助計算!$G$2:$G$801, 0)+1))&lt;=46.5,2,1)), IF(INDEX(ERP資料!$G:$G, (MATCH(555, 輔助計算!$G$2:$G$801, 0)+1))&lt;=790,3,IF(INDEX(ERP資料!$G:$G, (MATCH(555, 輔助計算!$G$2:$G$801, 0)+1))&lt;=1181,2,1))))&gt;0, IF(IF(INDEX(ERP資料!$G:$G, (MATCH(555, 輔助計算!$G$2:$G$801, 0)+1))&lt;100, IF(INDEX(ERP資料!$G:$G, (MATCH(555, 輔助計算!$G$2:$G$801, 0)+1))&lt;=31,3,IF(INDEX(ERP資料!$G:$G, (MATCH(555, 輔助計算!$G$2:$G$801, 0)+1))&lt;=46.5,2,1)), IF(INDEX(ERP資料!$G:$G, (MATCH(555, 輔助計算!$G$2:$G$801, 0)+1))&lt;=790,3,IF(INDEX(ERP資料!$G:$G, (MATCH(555, 輔助計算!$G$2:$G$801, 0)+1))&lt;=1181,2,1)))=1,TEXT(INDEX(ERP資料!$G:$G, (MATCH(555, 輔助計算!$G$2:$G$801, 0)+1)),"0.##"),IF(IF(INDEX(ERP資料!$G:$G, (MATCH(555, 輔助計算!$G$2:$G$801, 0)+1))&lt;100, IF(INDEX(ERP資料!$G:$G, (MATCH(555, 輔助計算!$G$2:$G$801, 0)+1))&lt;=31,3,IF(INDEX(ERP資料!$G:$G, (MATCH(555, 輔助計算!$G$2:$G$801, 0)+1))&lt;=46.5,2,1)), IF(INDEX(ERP資料!$G:$G, (MATCH(555, 輔助計算!$G$2:$G$801, 0)+1))&lt;=790,3,IF(INDEX(ERP資料!$G:$G, (MATCH(555, 輔助計算!$G$2:$G$801, 0)+1))&lt;=1181,2,1)))=2,TEXT(INDEX(ERP資料!$G:$G, (MATCH(555, 輔助計算!$G$2:$G$801, 0)+1)),"0.##")&amp;"+"&amp;TEXT(INDEX(ERP資料!$G:$G, (MATCH(555, 輔助計算!$G$2:$G$801, 0)+1)),"0.##"),TEXT(INDEX(ERP資料!$G:$G, (MATCH(555, 輔助計算!$G$2:$G$801, 0)+1)),"0.##")&amp;"+"&amp;TEXT(INDEX(ERP資料!$G:$G, (MATCH(555, 輔助計算!$G$2:$G$801, 0)+1)),"0.##")&amp;"+"&amp;TEXT(INDEX(ERP資料!$G:$G, (MATCH(555, 輔助計算!$G$2:$G$801, 0)+1)),"0.##")))&amp;"-"&amp;INT(INDEX(輔助計算!$D:$D, (MATCH(555, 輔助計算!$G$2:$G$801, 0)+1))/IF(INDEX(ERP資料!$G:$G, (MATCH(555, 輔助計算!$G$2:$G$801, 0)+1))&lt;100, IF(INDEX(ERP資料!$G:$G, (MATCH(555, 輔助計算!$G$2:$G$801, 0)+1))&lt;=31,3,IF(INDEX(ERP資料!$G:$G, (MATCH(555, 輔助計算!$G$2:$G$801, 0)+1))&lt;=46.5,2,1)), IF(INDEX(ERP資料!$G:$G, (MATCH(555, 輔助計算!$G$2:$G$801, 0)+1))&lt;=790,3,IF(INDEX(ERP資料!$G:$G, (MATCH(555, 輔助計算!$G$2:$G$801, 0)+1))&lt;=1181,2,1)))), "")&lt;&gt;"",IF(MOD(INDEX(輔助計算!$D:$D, (MATCH(555, 輔助計算!$G$2:$G$801, 0)+1)),IF(INDEX(ERP資料!$G:$G, (MATCH(555, 輔助計算!$G$2:$G$801, 0)+1))&lt;100, IF(INDEX(ERP資料!$G:$G, (MATCH(555, 輔助計算!$G$2:$G$801, 0)+1))&lt;=31,3,IF(INDEX(ERP資料!$G:$G, (MATCH(555, 輔助計算!$G$2:$G$801, 0)+1))&lt;=46.5,2,1)), IF(INDEX(ERP資料!$G:$G, (MATCH(555, 輔助計算!$G$2:$G$801, 0)+1))&lt;=790,3,IF(INDEX(ERP資料!$G:$G, (MATCH(555, 輔助計算!$G$2:$G$801, 0)+1))&lt;=1181,2,1))))=0,"",IF(MOD(INDEX(輔助計算!$D:$D, (MATCH(555, 輔助計算!$G$2:$G$801, 0)+1)),IF(INDEX(ERP資料!$G:$G, (MATCH(555, 輔助計算!$G$2:$G$801, 0)+1))&lt;100, IF(INDEX(ERP資料!$G:$G, (MATCH(555, 輔助計算!$G$2:$G$801, 0)+1))&lt;=31,3,IF(INDEX(ERP資料!$G:$G, (MATCH(555, 輔助計算!$G$2:$G$801, 0)+1))&lt;=46.5,2,1)), IF(INDEX(ERP資料!$G:$G, (MATCH(555, 輔助計算!$G$2:$G$801, 0)+1))&lt;=790,3,IF(INDEX(ERP資料!$G:$G, (MATCH(555, 輔助計算!$G$2:$G$801, 0)+1))&lt;=1181,2,1))))=0,"",IF(MOD(INDEX(輔助計算!$D:$D, (MATCH(555, 輔助計算!$G$2:$G$801, 0)+1)),IF(INDEX(ERP資料!$G:$G, (MATCH(555, 輔助計算!$G$2:$G$801, 0)+1))&lt;100, IF(INDEX(ERP資料!$G:$G, (MATCH(555, 輔助計算!$G$2:$G$801, 0)+1))&lt;=31,3,IF(INDEX(ERP資料!$G:$G, (MATCH(555, 輔助計算!$G$2:$G$801, 0)+1))&lt;=46.5,2,1)), IF(INDEX(ERP資料!$G:$G, (MATCH(555, 輔助計算!$G$2:$G$801, 0)+1))&lt;=790,3,IF(INDEX(ERP資料!$G:$G, (MATCH(555, 輔助計算!$G$2:$G$801, 0)+1))&lt;=1181,2,1))))=1,TEXT(INDEX(ERP資料!$G:$G, (MATCH(555, 輔助計算!$G$2:$G$801, 0)+1)),"0.##"),IF(MOD(INDEX(輔助計算!$D:$D, (MATCH(555, 輔助計算!$G$2:$G$801, 0)+1)),IF(INDEX(ERP資料!$G:$G, (MATCH(555, 輔助計算!$G$2:$G$801, 0)+1))&lt;100, IF(INDEX(ERP資料!$G:$G, (MATCH(555, 輔助計算!$G$2:$G$801, 0)+1))&lt;=31,3,IF(INDEX(ERP資料!$G:$G, (MATCH(555, 輔助計算!$G$2:$G$801, 0)+1))&lt;=46.5,2,1)), IF(INDEX(ERP資料!$G:$G, (MATCH(555, 輔助計算!$G$2:$G$801, 0)+1))&lt;=790,3,IF(INDEX(ERP資料!$G:$G, (MATCH(555, 輔助計算!$G$2:$G$801, 0)+1))&lt;=1181,2,1))))=2,TEXT(INDEX(ERP資料!$G:$G, (MATCH(555, 輔助計算!$G$2:$G$801, 0)+1)),"0.##")&amp;"+"&amp;TEXT(INDEX(ERP資料!$G:$G, (MATCH(555, 輔助計算!$G$2:$G$801, 0)+1)),"0.##"),TEXT(INDEX(ERP資料!$G:$G, (MATCH(555, 輔助計算!$G$2:$G$801, 0)+1)),"0.##")&amp;"+"&amp;TEXT(INDEX(ERP資料!$G:$G, (MATCH(555, 輔助計算!$G$2:$G$801, 0)+1)),"0.##")&amp;"+"&amp;TEXT(INDEX(ERP資料!$G:$G, (MATCH(555, 輔助計算!$G$2:$G$801, 0)+1)),"0.##"))))&amp;"-1")&lt;&gt;""),"  ","")&amp;IF(MOD(INDEX(輔助計算!$D:$D, (MATCH(555, 輔助計算!$G$2:$G$801, 0)+1)),IF(INDEX(ERP資料!$G:$G, (MATCH(555, 輔助計算!$G$2:$G$801, 0)+1))&lt;100, IF(INDEX(ERP資料!$G:$G, (MATCH(555, 輔助計算!$G$2:$G$801, 0)+1))&lt;=31,3,IF(INDEX(ERP資料!$G:$G, (MATCH(555, 輔助計算!$G$2:$G$801, 0)+1))&lt;=46.5,2,1)), IF(INDEX(ERP資料!$G:$G, (MATCH(555, 輔助計算!$G$2:$G$801, 0)+1))&lt;=790,3,IF(INDEX(ERP資料!$G:$G, (MATCH(555, 輔助計算!$G$2:$G$801, 0)+1))&lt;=1181,2,1))))=0,"",IF(MOD(INDEX(輔助計算!$D:$D, (MATCH(555, 輔助計算!$G$2:$G$801, 0)+1)),IF(INDEX(ERP資料!$G:$G, (MATCH(555, 輔助計算!$G$2:$G$801, 0)+1))&lt;100, IF(INDEX(ERP資料!$G:$G, (MATCH(555, 輔助計算!$G$2:$G$801, 0)+1))&lt;=31,3,IF(INDEX(ERP資料!$G:$G, (MATCH(555, 輔助計算!$G$2:$G$801, 0)+1))&lt;=46.5,2,1)), IF(INDEX(ERP資料!$G:$G, (MATCH(555, 輔助計算!$G$2:$G$801, 0)+1))&lt;=790,3,IF(INDEX(ERP資料!$G:$G, (MATCH(555, 輔助計算!$G$2:$G$801, 0)+1))&lt;=1181,2,1))))=0,"",IF(MOD(INDEX(輔助計算!$D:$D, (MATCH(555, 輔助計算!$G$2:$G$801, 0)+1)),IF(INDEX(ERP資料!$G:$G, (MATCH(555, 輔助計算!$G$2:$G$801, 0)+1))&lt;100, IF(INDEX(ERP資料!$G:$G, (MATCH(555, 輔助計算!$G$2:$G$801, 0)+1))&lt;=31,3,IF(INDEX(ERP資料!$G:$G, (MATCH(555, 輔助計算!$G$2:$G$801, 0)+1))&lt;=46.5,2,1)), IF(INDEX(ERP資料!$G:$G, (MATCH(555, 輔助計算!$G$2:$G$801, 0)+1))&lt;=790,3,IF(INDEX(ERP資料!$G:$G, (MATCH(555, 輔助計算!$G$2:$G$801, 0)+1))&lt;=1181,2,1))))=1,TEXT(INDEX(ERP資料!$G:$G, (MATCH(555, 輔助計算!$G$2:$G$801, 0)+1)),"0.##"),IF(MOD(INDEX(輔助計算!$D:$D, (MATCH(555, 輔助計算!$G$2:$G$801, 0)+1)),IF(INDEX(ERP資料!$G:$G, (MATCH(555, 輔助計算!$G$2:$G$801, 0)+1))&lt;100, IF(INDEX(ERP資料!$G:$G, (MATCH(555, 輔助計算!$G$2:$G$801, 0)+1))&lt;=31,3,IF(INDEX(ERP資料!$G:$G, (MATCH(555, 輔助計算!$G$2:$G$801, 0)+1))&lt;=46.5,2,1)), IF(INDEX(ERP資料!$G:$G, (MATCH(555, 輔助計算!$G$2:$G$801, 0)+1))&lt;=790,3,IF(INDEX(ERP資料!$G:$G, (MATCH(555, 輔助計算!$G$2:$G$801, 0)+1))&lt;=1181,2,1))))=2,TEXT(INDEX(ERP資料!$G:$G, (MATCH(555, 輔助計算!$G$2:$G$801, 0)+1)),"0.##")&amp;"+"&amp;TEXT(INDEX(ERP資料!$G:$G, (MATCH(555, 輔助計算!$G$2:$G$801, 0)+1)),"0.##"),TEXT(INDEX(ERP資料!$G:$G, (MATCH(555, 輔助計算!$G$2:$G$801, 0)+1)),"0.##")&amp;"+"&amp;TEXT(INDEX(ERP資料!$G:$G, (MATCH(555, 輔助計算!$G$2:$G$801, 0)+1)),"0.##")&amp;"+"&amp;TEXT(INDEX(ERP資料!$G:$G, (MATCH(555, 輔助計算!$G$2:$G$801, 0)+1)),"0.##"))))&amp;"-1")), ""), "")</f>
        <v/>
      </c>
      <c r="K556" s="16" t="n"/>
      <c r="L556" s="14">
        <f>IFERROR(IF(AND(IFERROR(INDEX(ERP資料!$A:$A, (MATCH(555, 輔助計算!$G$2:$G$801, 0)+1)), "")&lt;&gt;"", IFERROR(INDEX(ERP資料!$A:$A, (MATCH(555, 輔助計算!$G$2:$G$801, 0)+1)), "")&lt;&gt;IFERROR(INDEX(ERP資料!$A:$A, MATCH(554, 輔助計算!$G$2:$G$801, 0)+1), "")), INDEX(ERP資料!$B:$B, (MATCH(555, 輔助計算!$G$2:$G$801, 0)+1)), ""), "")</f>
        <v/>
      </c>
      <c r="M556" s="17" t="n"/>
    </row>
    <row r="557">
      <c r="A557" s="10">
        <f>IFERROR(IF(AND(IFERROR(INDEX(ERP資料!$A:$A, (MATCH(556, 輔助計算!$G$2:$G$801, 0)+1)), "")&lt;&gt;"", IFERROR(INDEX(ERP資料!$A:$A, (MATCH(556, 輔助計算!$G$2:$G$801, 0)+1)), "")&lt;&gt;IFERROR(INDEX(ERP資料!$A:$A, MATCH(555, 輔助計算!$G$2:$G$801, 0)+1), "")), IFERROR(INDEX(ERP資料!$A:$A, (MATCH(556, 輔助計算!$G$2:$G$801, 0)+1)), ""), ""), "")</f>
        <v/>
      </c>
      <c r="B557" s="10">
        <f>IFERROR(IF(AND(IFERROR(INDEX(ERP資料!$A:$A, (MATCH(556, 輔助計算!$G$2:$G$801, 0)+1)), "")&lt;&gt;"", IFERROR(INDEX(ERP資料!$A:$A, (MATCH(556, 輔助計算!$G$2:$G$801, 0)+1)), "")&lt;&gt;IFERROR(INDEX(ERP資料!$A:$A, MATCH(555, 輔助計算!$G$2:$G$801, 0)+1), "")), INDEX(ERP資料!$S:$S, (MATCH(556, 輔助計算!$G$2:$G$801, 0)+1)), ""), "")</f>
        <v/>
      </c>
      <c r="C557" s="19">
        <f>IFERROR(IF(AND(IFERROR(INDEX(ERP資料!$A:$A, (MATCH(556, 輔助計算!$G$2:$G$801, 0)+1)), "")&lt;&gt;"", IFERROR(INDEX(ERP資料!$A:$A, (MATCH(556, 輔助計算!$G$2:$G$801, 0)+1)), "")&lt;&gt;IFERROR(INDEX(ERP資料!$A:$A, MATCH(555, 輔助計算!$G$2:$G$801, 0)+1), "")), IFERROR(VLOOKUP(LEFT(INDEX(ERP資料!$S:$S, (MATCH(556, 輔助計算!$G$2:$G$801, 0)+1)), 4), 紙管對照表!$A:$C, 3, FALSE), ""), ""), "")</f>
        <v/>
      </c>
      <c r="D557" s="16" t="n"/>
      <c r="E557" s="10">
        <f>IFERROR(IF(INDEX(ERP資料!$H:$H, (MATCH(556, 輔助計算!$G$2:$G$801, 0)+1))="","",INDEX(ERP資料!$H:$H, (MATCH(556, 輔助計算!$G$2:$G$801, 0)+1))), "")</f>
        <v/>
      </c>
      <c r="F557" s="10">
        <f>IFERROR(IF(INDEX(ERP資料!$E:$E, (MATCH(556, 輔助計算!$G$2:$G$801, 0)+1))="","",TRIM(INDEX(ERP資料!$E:$E, (MATCH(556, 輔助計算!$G$2:$G$801, 0)+1)))), "")</f>
        <v/>
      </c>
      <c r="G557" s="10">
        <f>IFERROR(IF(INDEX(ERP資料!$F:$F, (MATCH(556, 輔助計算!$G$2:$G$801, 0)+1))="","",INDEX(ERP資料!$F:$F, (MATCH(556, 輔助計算!$G$2:$G$801, 0)+1))), "")</f>
        <v/>
      </c>
      <c r="H557" s="10">
        <f>IFERROR(IF(INDEX(ERP資料!$G:$G, (MATCH(556, 輔助計算!$G$2:$G$801, 0)+1))="","",INDEX(ERP資料!$G:$G, (MATCH(556, 輔助計算!$G$2:$G$801, 0)+1))), "")</f>
        <v/>
      </c>
      <c r="I557" s="15">
        <f>IFERROR(INDEX(輔助計算!$D:$D, (MATCH(556, 輔助計算!$G$2:$G$801, 0)+1)), "")</f>
        <v/>
      </c>
      <c r="J557" s="15">
        <f>IFERROR(IF(AND(INDEX(輔助計算!$D:$D, (MATCH(556, 輔助計算!$G$2:$G$801, 0)+1))&lt;&gt;"", INDEX(ERP資料!$G:$G, (MATCH(556, 輔助計算!$G$2:$G$801, 0)+1))&lt;&gt;""), TRIM(IF(INT(INDEX(輔助計算!$D:$D, (MATCH(556, 輔助計算!$G$2:$G$801, 0)+1))/IF(INDEX(ERP資料!$G:$G, (MATCH(556, 輔助計算!$G$2:$G$801, 0)+1))&lt;100, IF(INDEX(ERP資料!$G:$G, (MATCH(556, 輔助計算!$G$2:$G$801, 0)+1))&lt;=31,3,IF(INDEX(ERP資料!$G:$G, (MATCH(556, 輔助計算!$G$2:$G$801, 0)+1))&lt;=46.5,2,1)), IF(INDEX(ERP資料!$G:$G, (MATCH(556, 輔助計算!$G$2:$G$801, 0)+1))&lt;=790,3,IF(INDEX(ERP資料!$G:$G, (MATCH(556, 輔助計算!$G$2:$G$801, 0)+1))&lt;=1181,2,1))))&gt;0, IF(IF(INDEX(ERP資料!$G:$G, (MATCH(556, 輔助計算!$G$2:$G$801, 0)+1))&lt;100, IF(INDEX(ERP資料!$G:$G, (MATCH(556, 輔助計算!$G$2:$G$801, 0)+1))&lt;=31,3,IF(INDEX(ERP資料!$G:$G, (MATCH(556, 輔助計算!$G$2:$G$801, 0)+1))&lt;=46.5,2,1)), IF(INDEX(ERP資料!$G:$G, (MATCH(556, 輔助計算!$G$2:$G$801, 0)+1))&lt;=790,3,IF(INDEX(ERP資料!$G:$G, (MATCH(556, 輔助計算!$G$2:$G$801, 0)+1))&lt;=1181,2,1)))=1,TEXT(INDEX(ERP資料!$G:$G, (MATCH(556, 輔助計算!$G$2:$G$801, 0)+1)),"0.##"),IF(IF(INDEX(ERP資料!$G:$G, (MATCH(556, 輔助計算!$G$2:$G$801, 0)+1))&lt;100, IF(INDEX(ERP資料!$G:$G, (MATCH(556, 輔助計算!$G$2:$G$801, 0)+1))&lt;=31,3,IF(INDEX(ERP資料!$G:$G, (MATCH(556, 輔助計算!$G$2:$G$801, 0)+1))&lt;=46.5,2,1)), IF(INDEX(ERP資料!$G:$G, (MATCH(556, 輔助計算!$G$2:$G$801, 0)+1))&lt;=790,3,IF(INDEX(ERP資料!$G:$G, (MATCH(556, 輔助計算!$G$2:$G$801, 0)+1))&lt;=1181,2,1)))=2,TEXT(INDEX(ERP資料!$G:$G, (MATCH(556, 輔助計算!$G$2:$G$801, 0)+1)),"0.##")&amp;"+"&amp;TEXT(INDEX(ERP資料!$G:$G, (MATCH(556, 輔助計算!$G$2:$G$801, 0)+1)),"0.##"),TEXT(INDEX(ERP資料!$G:$G, (MATCH(556, 輔助計算!$G$2:$G$801, 0)+1)),"0.##")&amp;"+"&amp;TEXT(INDEX(ERP資料!$G:$G, (MATCH(556, 輔助計算!$G$2:$G$801, 0)+1)),"0.##")&amp;"+"&amp;TEXT(INDEX(ERP資料!$G:$G, (MATCH(556, 輔助計算!$G$2:$G$801, 0)+1)),"0.##")))&amp;"-"&amp;INT(INDEX(輔助計算!$D:$D, (MATCH(556, 輔助計算!$G$2:$G$801, 0)+1))/IF(INDEX(ERP資料!$G:$G, (MATCH(556, 輔助計算!$G$2:$G$801, 0)+1))&lt;100, IF(INDEX(ERP資料!$G:$G, (MATCH(556, 輔助計算!$G$2:$G$801, 0)+1))&lt;=31,3,IF(INDEX(ERP資料!$G:$G, (MATCH(556, 輔助計算!$G$2:$G$801, 0)+1))&lt;=46.5,2,1)), IF(INDEX(ERP資料!$G:$G, (MATCH(556, 輔助計算!$G$2:$G$801, 0)+1))&lt;=790,3,IF(INDEX(ERP資料!$G:$G, (MATCH(556, 輔助計算!$G$2:$G$801, 0)+1))&lt;=1181,2,1)))), "")&amp;IF(AND(IF(INT(INDEX(輔助計算!$D:$D, (MATCH(556, 輔助計算!$G$2:$G$801, 0)+1))/IF(INDEX(ERP資料!$G:$G, (MATCH(556, 輔助計算!$G$2:$G$801, 0)+1))&lt;100, IF(INDEX(ERP資料!$G:$G, (MATCH(556, 輔助計算!$G$2:$G$801, 0)+1))&lt;=31,3,IF(INDEX(ERP資料!$G:$G, (MATCH(556, 輔助計算!$G$2:$G$801, 0)+1))&lt;=46.5,2,1)), IF(INDEX(ERP資料!$G:$G, (MATCH(556, 輔助計算!$G$2:$G$801, 0)+1))&lt;=790,3,IF(INDEX(ERP資料!$G:$G, (MATCH(556, 輔助計算!$G$2:$G$801, 0)+1))&lt;=1181,2,1))))&gt;0, IF(IF(INDEX(ERP資料!$G:$G, (MATCH(556, 輔助計算!$G$2:$G$801, 0)+1))&lt;100, IF(INDEX(ERP資料!$G:$G, (MATCH(556, 輔助計算!$G$2:$G$801, 0)+1))&lt;=31,3,IF(INDEX(ERP資料!$G:$G, (MATCH(556, 輔助計算!$G$2:$G$801, 0)+1))&lt;=46.5,2,1)), IF(INDEX(ERP資料!$G:$G, (MATCH(556, 輔助計算!$G$2:$G$801, 0)+1))&lt;=790,3,IF(INDEX(ERP資料!$G:$G, (MATCH(556, 輔助計算!$G$2:$G$801, 0)+1))&lt;=1181,2,1)))=1,TEXT(INDEX(ERP資料!$G:$G, (MATCH(556, 輔助計算!$G$2:$G$801, 0)+1)),"0.##"),IF(IF(INDEX(ERP資料!$G:$G, (MATCH(556, 輔助計算!$G$2:$G$801, 0)+1))&lt;100, IF(INDEX(ERP資料!$G:$G, (MATCH(556, 輔助計算!$G$2:$G$801, 0)+1))&lt;=31,3,IF(INDEX(ERP資料!$G:$G, (MATCH(556, 輔助計算!$G$2:$G$801, 0)+1))&lt;=46.5,2,1)), IF(INDEX(ERP資料!$G:$G, (MATCH(556, 輔助計算!$G$2:$G$801, 0)+1))&lt;=790,3,IF(INDEX(ERP資料!$G:$G, (MATCH(556, 輔助計算!$G$2:$G$801, 0)+1))&lt;=1181,2,1)))=2,TEXT(INDEX(ERP資料!$G:$G, (MATCH(556, 輔助計算!$G$2:$G$801, 0)+1)),"0.##")&amp;"+"&amp;TEXT(INDEX(ERP資料!$G:$G, (MATCH(556, 輔助計算!$G$2:$G$801, 0)+1)),"0.##"),TEXT(INDEX(ERP資料!$G:$G, (MATCH(556, 輔助計算!$G$2:$G$801, 0)+1)),"0.##")&amp;"+"&amp;TEXT(INDEX(ERP資料!$G:$G, (MATCH(556, 輔助計算!$G$2:$G$801, 0)+1)),"0.##")&amp;"+"&amp;TEXT(INDEX(ERP資料!$G:$G, (MATCH(556, 輔助計算!$G$2:$G$801, 0)+1)),"0.##")))&amp;"-"&amp;INT(INDEX(輔助計算!$D:$D, (MATCH(556, 輔助計算!$G$2:$G$801, 0)+1))/IF(INDEX(ERP資料!$G:$G, (MATCH(556, 輔助計算!$G$2:$G$801, 0)+1))&lt;100, IF(INDEX(ERP資料!$G:$G, (MATCH(556, 輔助計算!$G$2:$G$801, 0)+1))&lt;=31,3,IF(INDEX(ERP資料!$G:$G, (MATCH(556, 輔助計算!$G$2:$G$801, 0)+1))&lt;=46.5,2,1)), IF(INDEX(ERP資料!$G:$G, (MATCH(556, 輔助計算!$G$2:$G$801, 0)+1))&lt;=790,3,IF(INDEX(ERP資料!$G:$G, (MATCH(556, 輔助計算!$G$2:$G$801, 0)+1))&lt;=1181,2,1)))), "")&lt;&gt;"",IF(MOD(INDEX(輔助計算!$D:$D, (MATCH(556, 輔助計算!$G$2:$G$801, 0)+1)),IF(INDEX(ERP資料!$G:$G, (MATCH(556, 輔助計算!$G$2:$G$801, 0)+1))&lt;100, IF(INDEX(ERP資料!$G:$G, (MATCH(556, 輔助計算!$G$2:$G$801, 0)+1))&lt;=31,3,IF(INDEX(ERP資料!$G:$G, (MATCH(556, 輔助計算!$G$2:$G$801, 0)+1))&lt;=46.5,2,1)), IF(INDEX(ERP資料!$G:$G, (MATCH(556, 輔助計算!$G$2:$G$801, 0)+1))&lt;=790,3,IF(INDEX(ERP資料!$G:$G, (MATCH(556, 輔助計算!$G$2:$G$801, 0)+1))&lt;=1181,2,1))))=0,"",IF(MOD(INDEX(輔助計算!$D:$D, (MATCH(556, 輔助計算!$G$2:$G$801, 0)+1)),IF(INDEX(ERP資料!$G:$G, (MATCH(556, 輔助計算!$G$2:$G$801, 0)+1))&lt;100, IF(INDEX(ERP資料!$G:$G, (MATCH(556, 輔助計算!$G$2:$G$801, 0)+1))&lt;=31,3,IF(INDEX(ERP資料!$G:$G, (MATCH(556, 輔助計算!$G$2:$G$801, 0)+1))&lt;=46.5,2,1)), IF(INDEX(ERP資料!$G:$G, (MATCH(556, 輔助計算!$G$2:$G$801, 0)+1))&lt;=790,3,IF(INDEX(ERP資料!$G:$G, (MATCH(556, 輔助計算!$G$2:$G$801, 0)+1))&lt;=1181,2,1))))=0,"",IF(MOD(INDEX(輔助計算!$D:$D, (MATCH(556, 輔助計算!$G$2:$G$801, 0)+1)),IF(INDEX(ERP資料!$G:$G, (MATCH(556, 輔助計算!$G$2:$G$801, 0)+1))&lt;100, IF(INDEX(ERP資料!$G:$G, (MATCH(556, 輔助計算!$G$2:$G$801, 0)+1))&lt;=31,3,IF(INDEX(ERP資料!$G:$G, (MATCH(556, 輔助計算!$G$2:$G$801, 0)+1))&lt;=46.5,2,1)), IF(INDEX(ERP資料!$G:$G, (MATCH(556, 輔助計算!$G$2:$G$801, 0)+1))&lt;=790,3,IF(INDEX(ERP資料!$G:$G, (MATCH(556, 輔助計算!$G$2:$G$801, 0)+1))&lt;=1181,2,1))))=1,TEXT(INDEX(ERP資料!$G:$G, (MATCH(556, 輔助計算!$G$2:$G$801, 0)+1)),"0.##"),IF(MOD(INDEX(輔助計算!$D:$D, (MATCH(556, 輔助計算!$G$2:$G$801, 0)+1)),IF(INDEX(ERP資料!$G:$G, (MATCH(556, 輔助計算!$G$2:$G$801, 0)+1))&lt;100, IF(INDEX(ERP資料!$G:$G, (MATCH(556, 輔助計算!$G$2:$G$801, 0)+1))&lt;=31,3,IF(INDEX(ERP資料!$G:$G, (MATCH(556, 輔助計算!$G$2:$G$801, 0)+1))&lt;=46.5,2,1)), IF(INDEX(ERP資料!$G:$G, (MATCH(556, 輔助計算!$G$2:$G$801, 0)+1))&lt;=790,3,IF(INDEX(ERP資料!$G:$G, (MATCH(556, 輔助計算!$G$2:$G$801, 0)+1))&lt;=1181,2,1))))=2,TEXT(INDEX(ERP資料!$G:$G, (MATCH(556, 輔助計算!$G$2:$G$801, 0)+1)),"0.##")&amp;"+"&amp;TEXT(INDEX(ERP資料!$G:$G, (MATCH(556, 輔助計算!$G$2:$G$801, 0)+1)),"0.##"),TEXT(INDEX(ERP資料!$G:$G, (MATCH(556, 輔助計算!$G$2:$G$801, 0)+1)),"0.##")&amp;"+"&amp;TEXT(INDEX(ERP資料!$G:$G, (MATCH(556, 輔助計算!$G$2:$G$801, 0)+1)),"0.##")&amp;"+"&amp;TEXT(INDEX(ERP資料!$G:$G, (MATCH(556, 輔助計算!$G$2:$G$801, 0)+1)),"0.##"))))&amp;"-1")&lt;&gt;""),"  ","")&amp;IF(MOD(INDEX(輔助計算!$D:$D, (MATCH(556, 輔助計算!$G$2:$G$801, 0)+1)),IF(INDEX(ERP資料!$G:$G, (MATCH(556, 輔助計算!$G$2:$G$801, 0)+1))&lt;100, IF(INDEX(ERP資料!$G:$G, (MATCH(556, 輔助計算!$G$2:$G$801, 0)+1))&lt;=31,3,IF(INDEX(ERP資料!$G:$G, (MATCH(556, 輔助計算!$G$2:$G$801, 0)+1))&lt;=46.5,2,1)), IF(INDEX(ERP資料!$G:$G, (MATCH(556, 輔助計算!$G$2:$G$801, 0)+1))&lt;=790,3,IF(INDEX(ERP資料!$G:$G, (MATCH(556, 輔助計算!$G$2:$G$801, 0)+1))&lt;=1181,2,1))))=0,"",IF(MOD(INDEX(輔助計算!$D:$D, (MATCH(556, 輔助計算!$G$2:$G$801, 0)+1)),IF(INDEX(ERP資料!$G:$G, (MATCH(556, 輔助計算!$G$2:$G$801, 0)+1))&lt;100, IF(INDEX(ERP資料!$G:$G, (MATCH(556, 輔助計算!$G$2:$G$801, 0)+1))&lt;=31,3,IF(INDEX(ERP資料!$G:$G, (MATCH(556, 輔助計算!$G$2:$G$801, 0)+1))&lt;=46.5,2,1)), IF(INDEX(ERP資料!$G:$G, (MATCH(556, 輔助計算!$G$2:$G$801, 0)+1))&lt;=790,3,IF(INDEX(ERP資料!$G:$G, (MATCH(556, 輔助計算!$G$2:$G$801, 0)+1))&lt;=1181,2,1))))=0,"",IF(MOD(INDEX(輔助計算!$D:$D, (MATCH(556, 輔助計算!$G$2:$G$801, 0)+1)),IF(INDEX(ERP資料!$G:$G, (MATCH(556, 輔助計算!$G$2:$G$801, 0)+1))&lt;100, IF(INDEX(ERP資料!$G:$G, (MATCH(556, 輔助計算!$G$2:$G$801, 0)+1))&lt;=31,3,IF(INDEX(ERP資料!$G:$G, (MATCH(556, 輔助計算!$G$2:$G$801, 0)+1))&lt;=46.5,2,1)), IF(INDEX(ERP資料!$G:$G, (MATCH(556, 輔助計算!$G$2:$G$801, 0)+1))&lt;=790,3,IF(INDEX(ERP資料!$G:$G, (MATCH(556, 輔助計算!$G$2:$G$801, 0)+1))&lt;=1181,2,1))))=1,TEXT(INDEX(ERP資料!$G:$G, (MATCH(556, 輔助計算!$G$2:$G$801, 0)+1)),"0.##"),IF(MOD(INDEX(輔助計算!$D:$D, (MATCH(556, 輔助計算!$G$2:$G$801, 0)+1)),IF(INDEX(ERP資料!$G:$G, (MATCH(556, 輔助計算!$G$2:$G$801, 0)+1))&lt;100, IF(INDEX(ERP資料!$G:$G, (MATCH(556, 輔助計算!$G$2:$G$801, 0)+1))&lt;=31,3,IF(INDEX(ERP資料!$G:$G, (MATCH(556, 輔助計算!$G$2:$G$801, 0)+1))&lt;=46.5,2,1)), IF(INDEX(ERP資料!$G:$G, (MATCH(556, 輔助計算!$G$2:$G$801, 0)+1))&lt;=790,3,IF(INDEX(ERP資料!$G:$G, (MATCH(556, 輔助計算!$G$2:$G$801, 0)+1))&lt;=1181,2,1))))=2,TEXT(INDEX(ERP資料!$G:$G, (MATCH(556, 輔助計算!$G$2:$G$801, 0)+1)),"0.##")&amp;"+"&amp;TEXT(INDEX(ERP資料!$G:$G, (MATCH(556, 輔助計算!$G$2:$G$801, 0)+1)),"0.##"),TEXT(INDEX(ERP資料!$G:$G, (MATCH(556, 輔助計算!$G$2:$G$801, 0)+1)),"0.##")&amp;"+"&amp;TEXT(INDEX(ERP資料!$G:$G, (MATCH(556, 輔助計算!$G$2:$G$801, 0)+1)),"0.##")&amp;"+"&amp;TEXT(INDEX(ERP資料!$G:$G, (MATCH(556, 輔助計算!$G$2:$G$801, 0)+1)),"0.##"))))&amp;"-1")), ""), "")</f>
        <v/>
      </c>
      <c r="K557" s="16" t="n"/>
      <c r="L557" s="14">
        <f>IFERROR(IF(AND(IFERROR(INDEX(ERP資料!$A:$A, (MATCH(556, 輔助計算!$G$2:$G$801, 0)+1)), "")&lt;&gt;"", IFERROR(INDEX(ERP資料!$A:$A, (MATCH(556, 輔助計算!$G$2:$G$801, 0)+1)), "")&lt;&gt;IFERROR(INDEX(ERP資料!$A:$A, MATCH(555, 輔助計算!$G$2:$G$801, 0)+1), "")), INDEX(ERP資料!$B:$B, (MATCH(556, 輔助計算!$G$2:$G$801, 0)+1)), ""), "")</f>
        <v/>
      </c>
      <c r="M557" s="17" t="n"/>
    </row>
    <row r="558">
      <c r="A558" s="10">
        <f>IFERROR(IF(AND(IFERROR(INDEX(ERP資料!$A:$A, (MATCH(557, 輔助計算!$G$2:$G$801, 0)+1)), "")&lt;&gt;"", IFERROR(INDEX(ERP資料!$A:$A, (MATCH(557, 輔助計算!$G$2:$G$801, 0)+1)), "")&lt;&gt;IFERROR(INDEX(ERP資料!$A:$A, MATCH(556, 輔助計算!$G$2:$G$801, 0)+1), "")), IFERROR(INDEX(ERP資料!$A:$A, (MATCH(557, 輔助計算!$G$2:$G$801, 0)+1)), ""), ""), "")</f>
        <v/>
      </c>
      <c r="B558" s="10">
        <f>IFERROR(IF(AND(IFERROR(INDEX(ERP資料!$A:$A, (MATCH(557, 輔助計算!$G$2:$G$801, 0)+1)), "")&lt;&gt;"", IFERROR(INDEX(ERP資料!$A:$A, (MATCH(557, 輔助計算!$G$2:$G$801, 0)+1)), "")&lt;&gt;IFERROR(INDEX(ERP資料!$A:$A, MATCH(556, 輔助計算!$G$2:$G$801, 0)+1), "")), INDEX(ERP資料!$S:$S, (MATCH(557, 輔助計算!$G$2:$G$801, 0)+1)), ""), "")</f>
        <v/>
      </c>
      <c r="C558" s="19">
        <f>IFERROR(IF(AND(IFERROR(INDEX(ERP資料!$A:$A, (MATCH(557, 輔助計算!$G$2:$G$801, 0)+1)), "")&lt;&gt;"", IFERROR(INDEX(ERP資料!$A:$A, (MATCH(557, 輔助計算!$G$2:$G$801, 0)+1)), "")&lt;&gt;IFERROR(INDEX(ERP資料!$A:$A, MATCH(556, 輔助計算!$G$2:$G$801, 0)+1), "")), IFERROR(VLOOKUP(LEFT(INDEX(ERP資料!$S:$S, (MATCH(557, 輔助計算!$G$2:$G$801, 0)+1)), 4), 紙管對照表!$A:$C, 3, FALSE), ""), ""), "")</f>
        <v/>
      </c>
      <c r="D558" s="16" t="n"/>
      <c r="E558" s="10">
        <f>IFERROR(IF(INDEX(ERP資料!$H:$H, (MATCH(557, 輔助計算!$G$2:$G$801, 0)+1))="","",INDEX(ERP資料!$H:$H, (MATCH(557, 輔助計算!$G$2:$G$801, 0)+1))), "")</f>
        <v/>
      </c>
      <c r="F558" s="10">
        <f>IFERROR(IF(INDEX(ERP資料!$E:$E, (MATCH(557, 輔助計算!$G$2:$G$801, 0)+1))="","",TRIM(INDEX(ERP資料!$E:$E, (MATCH(557, 輔助計算!$G$2:$G$801, 0)+1)))), "")</f>
        <v/>
      </c>
      <c r="G558" s="10">
        <f>IFERROR(IF(INDEX(ERP資料!$F:$F, (MATCH(557, 輔助計算!$G$2:$G$801, 0)+1))="","",INDEX(ERP資料!$F:$F, (MATCH(557, 輔助計算!$G$2:$G$801, 0)+1))), "")</f>
        <v/>
      </c>
      <c r="H558" s="10">
        <f>IFERROR(IF(INDEX(ERP資料!$G:$G, (MATCH(557, 輔助計算!$G$2:$G$801, 0)+1))="","",INDEX(ERP資料!$G:$G, (MATCH(557, 輔助計算!$G$2:$G$801, 0)+1))), "")</f>
        <v/>
      </c>
      <c r="I558" s="15">
        <f>IFERROR(INDEX(輔助計算!$D:$D, (MATCH(557, 輔助計算!$G$2:$G$801, 0)+1)), "")</f>
        <v/>
      </c>
      <c r="J558" s="15">
        <f>IFERROR(IF(AND(INDEX(輔助計算!$D:$D, (MATCH(557, 輔助計算!$G$2:$G$801, 0)+1))&lt;&gt;"", INDEX(ERP資料!$G:$G, (MATCH(557, 輔助計算!$G$2:$G$801, 0)+1))&lt;&gt;""), TRIM(IF(INT(INDEX(輔助計算!$D:$D, (MATCH(557, 輔助計算!$G$2:$G$801, 0)+1))/IF(INDEX(ERP資料!$G:$G, (MATCH(557, 輔助計算!$G$2:$G$801, 0)+1))&lt;100, IF(INDEX(ERP資料!$G:$G, (MATCH(557, 輔助計算!$G$2:$G$801, 0)+1))&lt;=31,3,IF(INDEX(ERP資料!$G:$G, (MATCH(557, 輔助計算!$G$2:$G$801, 0)+1))&lt;=46.5,2,1)), IF(INDEX(ERP資料!$G:$G, (MATCH(557, 輔助計算!$G$2:$G$801, 0)+1))&lt;=790,3,IF(INDEX(ERP資料!$G:$G, (MATCH(557, 輔助計算!$G$2:$G$801, 0)+1))&lt;=1181,2,1))))&gt;0, IF(IF(INDEX(ERP資料!$G:$G, (MATCH(557, 輔助計算!$G$2:$G$801, 0)+1))&lt;100, IF(INDEX(ERP資料!$G:$G, (MATCH(557, 輔助計算!$G$2:$G$801, 0)+1))&lt;=31,3,IF(INDEX(ERP資料!$G:$G, (MATCH(557, 輔助計算!$G$2:$G$801, 0)+1))&lt;=46.5,2,1)), IF(INDEX(ERP資料!$G:$G, (MATCH(557, 輔助計算!$G$2:$G$801, 0)+1))&lt;=790,3,IF(INDEX(ERP資料!$G:$G, (MATCH(557, 輔助計算!$G$2:$G$801, 0)+1))&lt;=1181,2,1)))=1,TEXT(INDEX(ERP資料!$G:$G, (MATCH(557, 輔助計算!$G$2:$G$801, 0)+1)),"0.##"),IF(IF(INDEX(ERP資料!$G:$G, (MATCH(557, 輔助計算!$G$2:$G$801, 0)+1))&lt;100, IF(INDEX(ERP資料!$G:$G, (MATCH(557, 輔助計算!$G$2:$G$801, 0)+1))&lt;=31,3,IF(INDEX(ERP資料!$G:$G, (MATCH(557, 輔助計算!$G$2:$G$801, 0)+1))&lt;=46.5,2,1)), IF(INDEX(ERP資料!$G:$G, (MATCH(557, 輔助計算!$G$2:$G$801, 0)+1))&lt;=790,3,IF(INDEX(ERP資料!$G:$G, (MATCH(557, 輔助計算!$G$2:$G$801, 0)+1))&lt;=1181,2,1)))=2,TEXT(INDEX(ERP資料!$G:$G, (MATCH(557, 輔助計算!$G$2:$G$801, 0)+1)),"0.##")&amp;"+"&amp;TEXT(INDEX(ERP資料!$G:$G, (MATCH(557, 輔助計算!$G$2:$G$801, 0)+1)),"0.##"),TEXT(INDEX(ERP資料!$G:$G, (MATCH(557, 輔助計算!$G$2:$G$801, 0)+1)),"0.##")&amp;"+"&amp;TEXT(INDEX(ERP資料!$G:$G, (MATCH(557, 輔助計算!$G$2:$G$801, 0)+1)),"0.##")&amp;"+"&amp;TEXT(INDEX(ERP資料!$G:$G, (MATCH(557, 輔助計算!$G$2:$G$801, 0)+1)),"0.##")))&amp;"-"&amp;INT(INDEX(輔助計算!$D:$D, (MATCH(557, 輔助計算!$G$2:$G$801, 0)+1))/IF(INDEX(ERP資料!$G:$G, (MATCH(557, 輔助計算!$G$2:$G$801, 0)+1))&lt;100, IF(INDEX(ERP資料!$G:$G, (MATCH(557, 輔助計算!$G$2:$G$801, 0)+1))&lt;=31,3,IF(INDEX(ERP資料!$G:$G, (MATCH(557, 輔助計算!$G$2:$G$801, 0)+1))&lt;=46.5,2,1)), IF(INDEX(ERP資料!$G:$G, (MATCH(557, 輔助計算!$G$2:$G$801, 0)+1))&lt;=790,3,IF(INDEX(ERP資料!$G:$G, (MATCH(557, 輔助計算!$G$2:$G$801, 0)+1))&lt;=1181,2,1)))), "")&amp;IF(AND(IF(INT(INDEX(輔助計算!$D:$D, (MATCH(557, 輔助計算!$G$2:$G$801, 0)+1))/IF(INDEX(ERP資料!$G:$G, (MATCH(557, 輔助計算!$G$2:$G$801, 0)+1))&lt;100, IF(INDEX(ERP資料!$G:$G, (MATCH(557, 輔助計算!$G$2:$G$801, 0)+1))&lt;=31,3,IF(INDEX(ERP資料!$G:$G, (MATCH(557, 輔助計算!$G$2:$G$801, 0)+1))&lt;=46.5,2,1)), IF(INDEX(ERP資料!$G:$G, (MATCH(557, 輔助計算!$G$2:$G$801, 0)+1))&lt;=790,3,IF(INDEX(ERP資料!$G:$G, (MATCH(557, 輔助計算!$G$2:$G$801, 0)+1))&lt;=1181,2,1))))&gt;0, IF(IF(INDEX(ERP資料!$G:$G, (MATCH(557, 輔助計算!$G$2:$G$801, 0)+1))&lt;100, IF(INDEX(ERP資料!$G:$G, (MATCH(557, 輔助計算!$G$2:$G$801, 0)+1))&lt;=31,3,IF(INDEX(ERP資料!$G:$G, (MATCH(557, 輔助計算!$G$2:$G$801, 0)+1))&lt;=46.5,2,1)), IF(INDEX(ERP資料!$G:$G, (MATCH(557, 輔助計算!$G$2:$G$801, 0)+1))&lt;=790,3,IF(INDEX(ERP資料!$G:$G, (MATCH(557, 輔助計算!$G$2:$G$801, 0)+1))&lt;=1181,2,1)))=1,TEXT(INDEX(ERP資料!$G:$G, (MATCH(557, 輔助計算!$G$2:$G$801, 0)+1)),"0.##"),IF(IF(INDEX(ERP資料!$G:$G, (MATCH(557, 輔助計算!$G$2:$G$801, 0)+1))&lt;100, IF(INDEX(ERP資料!$G:$G, (MATCH(557, 輔助計算!$G$2:$G$801, 0)+1))&lt;=31,3,IF(INDEX(ERP資料!$G:$G, (MATCH(557, 輔助計算!$G$2:$G$801, 0)+1))&lt;=46.5,2,1)), IF(INDEX(ERP資料!$G:$G, (MATCH(557, 輔助計算!$G$2:$G$801, 0)+1))&lt;=790,3,IF(INDEX(ERP資料!$G:$G, (MATCH(557, 輔助計算!$G$2:$G$801, 0)+1))&lt;=1181,2,1)))=2,TEXT(INDEX(ERP資料!$G:$G, (MATCH(557, 輔助計算!$G$2:$G$801, 0)+1)),"0.##")&amp;"+"&amp;TEXT(INDEX(ERP資料!$G:$G, (MATCH(557, 輔助計算!$G$2:$G$801, 0)+1)),"0.##"),TEXT(INDEX(ERP資料!$G:$G, (MATCH(557, 輔助計算!$G$2:$G$801, 0)+1)),"0.##")&amp;"+"&amp;TEXT(INDEX(ERP資料!$G:$G, (MATCH(557, 輔助計算!$G$2:$G$801, 0)+1)),"0.##")&amp;"+"&amp;TEXT(INDEX(ERP資料!$G:$G, (MATCH(557, 輔助計算!$G$2:$G$801, 0)+1)),"0.##")))&amp;"-"&amp;INT(INDEX(輔助計算!$D:$D, (MATCH(557, 輔助計算!$G$2:$G$801, 0)+1))/IF(INDEX(ERP資料!$G:$G, (MATCH(557, 輔助計算!$G$2:$G$801, 0)+1))&lt;100, IF(INDEX(ERP資料!$G:$G, (MATCH(557, 輔助計算!$G$2:$G$801, 0)+1))&lt;=31,3,IF(INDEX(ERP資料!$G:$G, (MATCH(557, 輔助計算!$G$2:$G$801, 0)+1))&lt;=46.5,2,1)), IF(INDEX(ERP資料!$G:$G, (MATCH(557, 輔助計算!$G$2:$G$801, 0)+1))&lt;=790,3,IF(INDEX(ERP資料!$G:$G, (MATCH(557, 輔助計算!$G$2:$G$801, 0)+1))&lt;=1181,2,1)))), "")&lt;&gt;"",IF(MOD(INDEX(輔助計算!$D:$D, (MATCH(557, 輔助計算!$G$2:$G$801, 0)+1)),IF(INDEX(ERP資料!$G:$G, (MATCH(557, 輔助計算!$G$2:$G$801, 0)+1))&lt;100, IF(INDEX(ERP資料!$G:$G, (MATCH(557, 輔助計算!$G$2:$G$801, 0)+1))&lt;=31,3,IF(INDEX(ERP資料!$G:$G, (MATCH(557, 輔助計算!$G$2:$G$801, 0)+1))&lt;=46.5,2,1)), IF(INDEX(ERP資料!$G:$G, (MATCH(557, 輔助計算!$G$2:$G$801, 0)+1))&lt;=790,3,IF(INDEX(ERP資料!$G:$G, (MATCH(557, 輔助計算!$G$2:$G$801, 0)+1))&lt;=1181,2,1))))=0,"",IF(MOD(INDEX(輔助計算!$D:$D, (MATCH(557, 輔助計算!$G$2:$G$801, 0)+1)),IF(INDEX(ERP資料!$G:$G, (MATCH(557, 輔助計算!$G$2:$G$801, 0)+1))&lt;100, IF(INDEX(ERP資料!$G:$G, (MATCH(557, 輔助計算!$G$2:$G$801, 0)+1))&lt;=31,3,IF(INDEX(ERP資料!$G:$G, (MATCH(557, 輔助計算!$G$2:$G$801, 0)+1))&lt;=46.5,2,1)), IF(INDEX(ERP資料!$G:$G, (MATCH(557, 輔助計算!$G$2:$G$801, 0)+1))&lt;=790,3,IF(INDEX(ERP資料!$G:$G, (MATCH(557, 輔助計算!$G$2:$G$801, 0)+1))&lt;=1181,2,1))))=0,"",IF(MOD(INDEX(輔助計算!$D:$D, (MATCH(557, 輔助計算!$G$2:$G$801, 0)+1)),IF(INDEX(ERP資料!$G:$G, (MATCH(557, 輔助計算!$G$2:$G$801, 0)+1))&lt;100, IF(INDEX(ERP資料!$G:$G, (MATCH(557, 輔助計算!$G$2:$G$801, 0)+1))&lt;=31,3,IF(INDEX(ERP資料!$G:$G, (MATCH(557, 輔助計算!$G$2:$G$801, 0)+1))&lt;=46.5,2,1)), IF(INDEX(ERP資料!$G:$G, (MATCH(557, 輔助計算!$G$2:$G$801, 0)+1))&lt;=790,3,IF(INDEX(ERP資料!$G:$G, (MATCH(557, 輔助計算!$G$2:$G$801, 0)+1))&lt;=1181,2,1))))=1,TEXT(INDEX(ERP資料!$G:$G, (MATCH(557, 輔助計算!$G$2:$G$801, 0)+1)),"0.##"),IF(MOD(INDEX(輔助計算!$D:$D, (MATCH(557, 輔助計算!$G$2:$G$801, 0)+1)),IF(INDEX(ERP資料!$G:$G, (MATCH(557, 輔助計算!$G$2:$G$801, 0)+1))&lt;100, IF(INDEX(ERP資料!$G:$G, (MATCH(557, 輔助計算!$G$2:$G$801, 0)+1))&lt;=31,3,IF(INDEX(ERP資料!$G:$G, (MATCH(557, 輔助計算!$G$2:$G$801, 0)+1))&lt;=46.5,2,1)), IF(INDEX(ERP資料!$G:$G, (MATCH(557, 輔助計算!$G$2:$G$801, 0)+1))&lt;=790,3,IF(INDEX(ERP資料!$G:$G, (MATCH(557, 輔助計算!$G$2:$G$801, 0)+1))&lt;=1181,2,1))))=2,TEXT(INDEX(ERP資料!$G:$G, (MATCH(557, 輔助計算!$G$2:$G$801, 0)+1)),"0.##")&amp;"+"&amp;TEXT(INDEX(ERP資料!$G:$G, (MATCH(557, 輔助計算!$G$2:$G$801, 0)+1)),"0.##"),TEXT(INDEX(ERP資料!$G:$G, (MATCH(557, 輔助計算!$G$2:$G$801, 0)+1)),"0.##")&amp;"+"&amp;TEXT(INDEX(ERP資料!$G:$G, (MATCH(557, 輔助計算!$G$2:$G$801, 0)+1)),"0.##")&amp;"+"&amp;TEXT(INDEX(ERP資料!$G:$G, (MATCH(557, 輔助計算!$G$2:$G$801, 0)+1)),"0.##"))))&amp;"-1")&lt;&gt;""),"  ","")&amp;IF(MOD(INDEX(輔助計算!$D:$D, (MATCH(557, 輔助計算!$G$2:$G$801, 0)+1)),IF(INDEX(ERP資料!$G:$G, (MATCH(557, 輔助計算!$G$2:$G$801, 0)+1))&lt;100, IF(INDEX(ERP資料!$G:$G, (MATCH(557, 輔助計算!$G$2:$G$801, 0)+1))&lt;=31,3,IF(INDEX(ERP資料!$G:$G, (MATCH(557, 輔助計算!$G$2:$G$801, 0)+1))&lt;=46.5,2,1)), IF(INDEX(ERP資料!$G:$G, (MATCH(557, 輔助計算!$G$2:$G$801, 0)+1))&lt;=790,3,IF(INDEX(ERP資料!$G:$G, (MATCH(557, 輔助計算!$G$2:$G$801, 0)+1))&lt;=1181,2,1))))=0,"",IF(MOD(INDEX(輔助計算!$D:$D, (MATCH(557, 輔助計算!$G$2:$G$801, 0)+1)),IF(INDEX(ERP資料!$G:$G, (MATCH(557, 輔助計算!$G$2:$G$801, 0)+1))&lt;100, IF(INDEX(ERP資料!$G:$G, (MATCH(557, 輔助計算!$G$2:$G$801, 0)+1))&lt;=31,3,IF(INDEX(ERP資料!$G:$G, (MATCH(557, 輔助計算!$G$2:$G$801, 0)+1))&lt;=46.5,2,1)), IF(INDEX(ERP資料!$G:$G, (MATCH(557, 輔助計算!$G$2:$G$801, 0)+1))&lt;=790,3,IF(INDEX(ERP資料!$G:$G, (MATCH(557, 輔助計算!$G$2:$G$801, 0)+1))&lt;=1181,2,1))))=0,"",IF(MOD(INDEX(輔助計算!$D:$D, (MATCH(557, 輔助計算!$G$2:$G$801, 0)+1)),IF(INDEX(ERP資料!$G:$G, (MATCH(557, 輔助計算!$G$2:$G$801, 0)+1))&lt;100, IF(INDEX(ERP資料!$G:$G, (MATCH(557, 輔助計算!$G$2:$G$801, 0)+1))&lt;=31,3,IF(INDEX(ERP資料!$G:$G, (MATCH(557, 輔助計算!$G$2:$G$801, 0)+1))&lt;=46.5,2,1)), IF(INDEX(ERP資料!$G:$G, (MATCH(557, 輔助計算!$G$2:$G$801, 0)+1))&lt;=790,3,IF(INDEX(ERP資料!$G:$G, (MATCH(557, 輔助計算!$G$2:$G$801, 0)+1))&lt;=1181,2,1))))=1,TEXT(INDEX(ERP資料!$G:$G, (MATCH(557, 輔助計算!$G$2:$G$801, 0)+1)),"0.##"),IF(MOD(INDEX(輔助計算!$D:$D, (MATCH(557, 輔助計算!$G$2:$G$801, 0)+1)),IF(INDEX(ERP資料!$G:$G, (MATCH(557, 輔助計算!$G$2:$G$801, 0)+1))&lt;100, IF(INDEX(ERP資料!$G:$G, (MATCH(557, 輔助計算!$G$2:$G$801, 0)+1))&lt;=31,3,IF(INDEX(ERP資料!$G:$G, (MATCH(557, 輔助計算!$G$2:$G$801, 0)+1))&lt;=46.5,2,1)), IF(INDEX(ERP資料!$G:$G, (MATCH(557, 輔助計算!$G$2:$G$801, 0)+1))&lt;=790,3,IF(INDEX(ERP資料!$G:$G, (MATCH(557, 輔助計算!$G$2:$G$801, 0)+1))&lt;=1181,2,1))))=2,TEXT(INDEX(ERP資料!$G:$G, (MATCH(557, 輔助計算!$G$2:$G$801, 0)+1)),"0.##")&amp;"+"&amp;TEXT(INDEX(ERP資料!$G:$G, (MATCH(557, 輔助計算!$G$2:$G$801, 0)+1)),"0.##"),TEXT(INDEX(ERP資料!$G:$G, (MATCH(557, 輔助計算!$G$2:$G$801, 0)+1)),"0.##")&amp;"+"&amp;TEXT(INDEX(ERP資料!$G:$G, (MATCH(557, 輔助計算!$G$2:$G$801, 0)+1)),"0.##")&amp;"+"&amp;TEXT(INDEX(ERP資料!$G:$G, (MATCH(557, 輔助計算!$G$2:$G$801, 0)+1)),"0.##"))))&amp;"-1")), ""), "")</f>
        <v/>
      </c>
      <c r="K558" s="16" t="n"/>
      <c r="L558" s="14">
        <f>IFERROR(IF(AND(IFERROR(INDEX(ERP資料!$A:$A, (MATCH(557, 輔助計算!$G$2:$G$801, 0)+1)), "")&lt;&gt;"", IFERROR(INDEX(ERP資料!$A:$A, (MATCH(557, 輔助計算!$G$2:$G$801, 0)+1)), "")&lt;&gt;IFERROR(INDEX(ERP資料!$A:$A, MATCH(556, 輔助計算!$G$2:$G$801, 0)+1), "")), INDEX(ERP資料!$B:$B, (MATCH(557, 輔助計算!$G$2:$G$801, 0)+1)), ""), "")</f>
        <v/>
      </c>
      <c r="M558" s="17" t="n"/>
    </row>
    <row r="559">
      <c r="A559" s="10">
        <f>IFERROR(IF(AND(IFERROR(INDEX(ERP資料!$A:$A, (MATCH(558, 輔助計算!$G$2:$G$801, 0)+1)), "")&lt;&gt;"", IFERROR(INDEX(ERP資料!$A:$A, (MATCH(558, 輔助計算!$G$2:$G$801, 0)+1)), "")&lt;&gt;IFERROR(INDEX(ERP資料!$A:$A, MATCH(557, 輔助計算!$G$2:$G$801, 0)+1), "")), IFERROR(INDEX(ERP資料!$A:$A, (MATCH(558, 輔助計算!$G$2:$G$801, 0)+1)), ""), ""), "")</f>
        <v/>
      </c>
      <c r="B559" s="10">
        <f>IFERROR(IF(AND(IFERROR(INDEX(ERP資料!$A:$A, (MATCH(558, 輔助計算!$G$2:$G$801, 0)+1)), "")&lt;&gt;"", IFERROR(INDEX(ERP資料!$A:$A, (MATCH(558, 輔助計算!$G$2:$G$801, 0)+1)), "")&lt;&gt;IFERROR(INDEX(ERP資料!$A:$A, MATCH(557, 輔助計算!$G$2:$G$801, 0)+1), "")), INDEX(ERP資料!$S:$S, (MATCH(558, 輔助計算!$G$2:$G$801, 0)+1)), ""), "")</f>
        <v/>
      </c>
      <c r="C559" s="19">
        <f>IFERROR(IF(AND(IFERROR(INDEX(ERP資料!$A:$A, (MATCH(558, 輔助計算!$G$2:$G$801, 0)+1)), "")&lt;&gt;"", IFERROR(INDEX(ERP資料!$A:$A, (MATCH(558, 輔助計算!$G$2:$G$801, 0)+1)), "")&lt;&gt;IFERROR(INDEX(ERP資料!$A:$A, MATCH(557, 輔助計算!$G$2:$G$801, 0)+1), "")), IFERROR(VLOOKUP(LEFT(INDEX(ERP資料!$S:$S, (MATCH(558, 輔助計算!$G$2:$G$801, 0)+1)), 4), 紙管對照表!$A:$C, 3, FALSE), ""), ""), "")</f>
        <v/>
      </c>
      <c r="D559" s="16" t="n"/>
      <c r="E559" s="10">
        <f>IFERROR(IF(INDEX(ERP資料!$H:$H, (MATCH(558, 輔助計算!$G$2:$G$801, 0)+1))="","",INDEX(ERP資料!$H:$H, (MATCH(558, 輔助計算!$G$2:$G$801, 0)+1))), "")</f>
        <v/>
      </c>
      <c r="F559" s="10">
        <f>IFERROR(IF(INDEX(ERP資料!$E:$E, (MATCH(558, 輔助計算!$G$2:$G$801, 0)+1))="","",TRIM(INDEX(ERP資料!$E:$E, (MATCH(558, 輔助計算!$G$2:$G$801, 0)+1)))), "")</f>
        <v/>
      </c>
      <c r="G559" s="10">
        <f>IFERROR(IF(INDEX(ERP資料!$F:$F, (MATCH(558, 輔助計算!$G$2:$G$801, 0)+1))="","",INDEX(ERP資料!$F:$F, (MATCH(558, 輔助計算!$G$2:$G$801, 0)+1))), "")</f>
        <v/>
      </c>
      <c r="H559" s="10">
        <f>IFERROR(IF(INDEX(ERP資料!$G:$G, (MATCH(558, 輔助計算!$G$2:$G$801, 0)+1))="","",INDEX(ERP資料!$G:$G, (MATCH(558, 輔助計算!$G$2:$G$801, 0)+1))), "")</f>
        <v/>
      </c>
      <c r="I559" s="15">
        <f>IFERROR(INDEX(輔助計算!$D:$D, (MATCH(558, 輔助計算!$G$2:$G$801, 0)+1)), "")</f>
        <v/>
      </c>
      <c r="J559" s="15">
        <f>IFERROR(IF(AND(INDEX(輔助計算!$D:$D, (MATCH(558, 輔助計算!$G$2:$G$801, 0)+1))&lt;&gt;"", INDEX(ERP資料!$G:$G, (MATCH(558, 輔助計算!$G$2:$G$801, 0)+1))&lt;&gt;""), TRIM(IF(INT(INDEX(輔助計算!$D:$D, (MATCH(558, 輔助計算!$G$2:$G$801, 0)+1))/IF(INDEX(ERP資料!$G:$G, (MATCH(558, 輔助計算!$G$2:$G$801, 0)+1))&lt;100, IF(INDEX(ERP資料!$G:$G, (MATCH(558, 輔助計算!$G$2:$G$801, 0)+1))&lt;=31,3,IF(INDEX(ERP資料!$G:$G, (MATCH(558, 輔助計算!$G$2:$G$801, 0)+1))&lt;=46.5,2,1)), IF(INDEX(ERP資料!$G:$G, (MATCH(558, 輔助計算!$G$2:$G$801, 0)+1))&lt;=790,3,IF(INDEX(ERP資料!$G:$G, (MATCH(558, 輔助計算!$G$2:$G$801, 0)+1))&lt;=1181,2,1))))&gt;0, IF(IF(INDEX(ERP資料!$G:$G, (MATCH(558, 輔助計算!$G$2:$G$801, 0)+1))&lt;100, IF(INDEX(ERP資料!$G:$G, (MATCH(558, 輔助計算!$G$2:$G$801, 0)+1))&lt;=31,3,IF(INDEX(ERP資料!$G:$G, (MATCH(558, 輔助計算!$G$2:$G$801, 0)+1))&lt;=46.5,2,1)), IF(INDEX(ERP資料!$G:$G, (MATCH(558, 輔助計算!$G$2:$G$801, 0)+1))&lt;=790,3,IF(INDEX(ERP資料!$G:$G, (MATCH(558, 輔助計算!$G$2:$G$801, 0)+1))&lt;=1181,2,1)))=1,TEXT(INDEX(ERP資料!$G:$G, (MATCH(558, 輔助計算!$G$2:$G$801, 0)+1)),"0.##"),IF(IF(INDEX(ERP資料!$G:$G, (MATCH(558, 輔助計算!$G$2:$G$801, 0)+1))&lt;100, IF(INDEX(ERP資料!$G:$G, (MATCH(558, 輔助計算!$G$2:$G$801, 0)+1))&lt;=31,3,IF(INDEX(ERP資料!$G:$G, (MATCH(558, 輔助計算!$G$2:$G$801, 0)+1))&lt;=46.5,2,1)), IF(INDEX(ERP資料!$G:$G, (MATCH(558, 輔助計算!$G$2:$G$801, 0)+1))&lt;=790,3,IF(INDEX(ERP資料!$G:$G, (MATCH(558, 輔助計算!$G$2:$G$801, 0)+1))&lt;=1181,2,1)))=2,TEXT(INDEX(ERP資料!$G:$G, (MATCH(558, 輔助計算!$G$2:$G$801, 0)+1)),"0.##")&amp;"+"&amp;TEXT(INDEX(ERP資料!$G:$G, (MATCH(558, 輔助計算!$G$2:$G$801, 0)+1)),"0.##"),TEXT(INDEX(ERP資料!$G:$G, (MATCH(558, 輔助計算!$G$2:$G$801, 0)+1)),"0.##")&amp;"+"&amp;TEXT(INDEX(ERP資料!$G:$G, (MATCH(558, 輔助計算!$G$2:$G$801, 0)+1)),"0.##")&amp;"+"&amp;TEXT(INDEX(ERP資料!$G:$G, (MATCH(558, 輔助計算!$G$2:$G$801, 0)+1)),"0.##")))&amp;"-"&amp;INT(INDEX(輔助計算!$D:$D, (MATCH(558, 輔助計算!$G$2:$G$801, 0)+1))/IF(INDEX(ERP資料!$G:$G, (MATCH(558, 輔助計算!$G$2:$G$801, 0)+1))&lt;100, IF(INDEX(ERP資料!$G:$G, (MATCH(558, 輔助計算!$G$2:$G$801, 0)+1))&lt;=31,3,IF(INDEX(ERP資料!$G:$G, (MATCH(558, 輔助計算!$G$2:$G$801, 0)+1))&lt;=46.5,2,1)), IF(INDEX(ERP資料!$G:$G, (MATCH(558, 輔助計算!$G$2:$G$801, 0)+1))&lt;=790,3,IF(INDEX(ERP資料!$G:$G, (MATCH(558, 輔助計算!$G$2:$G$801, 0)+1))&lt;=1181,2,1)))), "")&amp;IF(AND(IF(INT(INDEX(輔助計算!$D:$D, (MATCH(558, 輔助計算!$G$2:$G$801, 0)+1))/IF(INDEX(ERP資料!$G:$G, (MATCH(558, 輔助計算!$G$2:$G$801, 0)+1))&lt;100, IF(INDEX(ERP資料!$G:$G, (MATCH(558, 輔助計算!$G$2:$G$801, 0)+1))&lt;=31,3,IF(INDEX(ERP資料!$G:$G, (MATCH(558, 輔助計算!$G$2:$G$801, 0)+1))&lt;=46.5,2,1)), IF(INDEX(ERP資料!$G:$G, (MATCH(558, 輔助計算!$G$2:$G$801, 0)+1))&lt;=790,3,IF(INDEX(ERP資料!$G:$G, (MATCH(558, 輔助計算!$G$2:$G$801, 0)+1))&lt;=1181,2,1))))&gt;0, IF(IF(INDEX(ERP資料!$G:$G, (MATCH(558, 輔助計算!$G$2:$G$801, 0)+1))&lt;100, IF(INDEX(ERP資料!$G:$G, (MATCH(558, 輔助計算!$G$2:$G$801, 0)+1))&lt;=31,3,IF(INDEX(ERP資料!$G:$G, (MATCH(558, 輔助計算!$G$2:$G$801, 0)+1))&lt;=46.5,2,1)), IF(INDEX(ERP資料!$G:$G, (MATCH(558, 輔助計算!$G$2:$G$801, 0)+1))&lt;=790,3,IF(INDEX(ERP資料!$G:$G, (MATCH(558, 輔助計算!$G$2:$G$801, 0)+1))&lt;=1181,2,1)))=1,TEXT(INDEX(ERP資料!$G:$G, (MATCH(558, 輔助計算!$G$2:$G$801, 0)+1)),"0.##"),IF(IF(INDEX(ERP資料!$G:$G, (MATCH(558, 輔助計算!$G$2:$G$801, 0)+1))&lt;100, IF(INDEX(ERP資料!$G:$G, (MATCH(558, 輔助計算!$G$2:$G$801, 0)+1))&lt;=31,3,IF(INDEX(ERP資料!$G:$G, (MATCH(558, 輔助計算!$G$2:$G$801, 0)+1))&lt;=46.5,2,1)), IF(INDEX(ERP資料!$G:$G, (MATCH(558, 輔助計算!$G$2:$G$801, 0)+1))&lt;=790,3,IF(INDEX(ERP資料!$G:$G, (MATCH(558, 輔助計算!$G$2:$G$801, 0)+1))&lt;=1181,2,1)))=2,TEXT(INDEX(ERP資料!$G:$G, (MATCH(558, 輔助計算!$G$2:$G$801, 0)+1)),"0.##")&amp;"+"&amp;TEXT(INDEX(ERP資料!$G:$G, (MATCH(558, 輔助計算!$G$2:$G$801, 0)+1)),"0.##"),TEXT(INDEX(ERP資料!$G:$G, (MATCH(558, 輔助計算!$G$2:$G$801, 0)+1)),"0.##")&amp;"+"&amp;TEXT(INDEX(ERP資料!$G:$G, (MATCH(558, 輔助計算!$G$2:$G$801, 0)+1)),"0.##")&amp;"+"&amp;TEXT(INDEX(ERP資料!$G:$G, (MATCH(558, 輔助計算!$G$2:$G$801, 0)+1)),"0.##")))&amp;"-"&amp;INT(INDEX(輔助計算!$D:$D, (MATCH(558, 輔助計算!$G$2:$G$801, 0)+1))/IF(INDEX(ERP資料!$G:$G, (MATCH(558, 輔助計算!$G$2:$G$801, 0)+1))&lt;100, IF(INDEX(ERP資料!$G:$G, (MATCH(558, 輔助計算!$G$2:$G$801, 0)+1))&lt;=31,3,IF(INDEX(ERP資料!$G:$G, (MATCH(558, 輔助計算!$G$2:$G$801, 0)+1))&lt;=46.5,2,1)), IF(INDEX(ERP資料!$G:$G, (MATCH(558, 輔助計算!$G$2:$G$801, 0)+1))&lt;=790,3,IF(INDEX(ERP資料!$G:$G, (MATCH(558, 輔助計算!$G$2:$G$801, 0)+1))&lt;=1181,2,1)))), "")&lt;&gt;"",IF(MOD(INDEX(輔助計算!$D:$D, (MATCH(558, 輔助計算!$G$2:$G$801, 0)+1)),IF(INDEX(ERP資料!$G:$G, (MATCH(558, 輔助計算!$G$2:$G$801, 0)+1))&lt;100, IF(INDEX(ERP資料!$G:$G, (MATCH(558, 輔助計算!$G$2:$G$801, 0)+1))&lt;=31,3,IF(INDEX(ERP資料!$G:$G, (MATCH(558, 輔助計算!$G$2:$G$801, 0)+1))&lt;=46.5,2,1)), IF(INDEX(ERP資料!$G:$G, (MATCH(558, 輔助計算!$G$2:$G$801, 0)+1))&lt;=790,3,IF(INDEX(ERP資料!$G:$G, (MATCH(558, 輔助計算!$G$2:$G$801, 0)+1))&lt;=1181,2,1))))=0,"",IF(MOD(INDEX(輔助計算!$D:$D, (MATCH(558, 輔助計算!$G$2:$G$801, 0)+1)),IF(INDEX(ERP資料!$G:$G, (MATCH(558, 輔助計算!$G$2:$G$801, 0)+1))&lt;100, IF(INDEX(ERP資料!$G:$G, (MATCH(558, 輔助計算!$G$2:$G$801, 0)+1))&lt;=31,3,IF(INDEX(ERP資料!$G:$G, (MATCH(558, 輔助計算!$G$2:$G$801, 0)+1))&lt;=46.5,2,1)), IF(INDEX(ERP資料!$G:$G, (MATCH(558, 輔助計算!$G$2:$G$801, 0)+1))&lt;=790,3,IF(INDEX(ERP資料!$G:$G, (MATCH(558, 輔助計算!$G$2:$G$801, 0)+1))&lt;=1181,2,1))))=0,"",IF(MOD(INDEX(輔助計算!$D:$D, (MATCH(558, 輔助計算!$G$2:$G$801, 0)+1)),IF(INDEX(ERP資料!$G:$G, (MATCH(558, 輔助計算!$G$2:$G$801, 0)+1))&lt;100, IF(INDEX(ERP資料!$G:$G, (MATCH(558, 輔助計算!$G$2:$G$801, 0)+1))&lt;=31,3,IF(INDEX(ERP資料!$G:$G, (MATCH(558, 輔助計算!$G$2:$G$801, 0)+1))&lt;=46.5,2,1)), IF(INDEX(ERP資料!$G:$G, (MATCH(558, 輔助計算!$G$2:$G$801, 0)+1))&lt;=790,3,IF(INDEX(ERP資料!$G:$G, (MATCH(558, 輔助計算!$G$2:$G$801, 0)+1))&lt;=1181,2,1))))=1,TEXT(INDEX(ERP資料!$G:$G, (MATCH(558, 輔助計算!$G$2:$G$801, 0)+1)),"0.##"),IF(MOD(INDEX(輔助計算!$D:$D, (MATCH(558, 輔助計算!$G$2:$G$801, 0)+1)),IF(INDEX(ERP資料!$G:$G, (MATCH(558, 輔助計算!$G$2:$G$801, 0)+1))&lt;100, IF(INDEX(ERP資料!$G:$G, (MATCH(558, 輔助計算!$G$2:$G$801, 0)+1))&lt;=31,3,IF(INDEX(ERP資料!$G:$G, (MATCH(558, 輔助計算!$G$2:$G$801, 0)+1))&lt;=46.5,2,1)), IF(INDEX(ERP資料!$G:$G, (MATCH(558, 輔助計算!$G$2:$G$801, 0)+1))&lt;=790,3,IF(INDEX(ERP資料!$G:$G, (MATCH(558, 輔助計算!$G$2:$G$801, 0)+1))&lt;=1181,2,1))))=2,TEXT(INDEX(ERP資料!$G:$G, (MATCH(558, 輔助計算!$G$2:$G$801, 0)+1)),"0.##")&amp;"+"&amp;TEXT(INDEX(ERP資料!$G:$G, (MATCH(558, 輔助計算!$G$2:$G$801, 0)+1)),"0.##"),TEXT(INDEX(ERP資料!$G:$G, (MATCH(558, 輔助計算!$G$2:$G$801, 0)+1)),"0.##")&amp;"+"&amp;TEXT(INDEX(ERP資料!$G:$G, (MATCH(558, 輔助計算!$G$2:$G$801, 0)+1)),"0.##")&amp;"+"&amp;TEXT(INDEX(ERP資料!$G:$G, (MATCH(558, 輔助計算!$G$2:$G$801, 0)+1)),"0.##"))))&amp;"-1")&lt;&gt;""),"  ","")&amp;IF(MOD(INDEX(輔助計算!$D:$D, (MATCH(558, 輔助計算!$G$2:$G$801, 0)+1)),IF(INDEX(ERP資料!$G:$G, (MATCH(558, 輔助計算!$G$2:$G$801, 0)+1))&lt;100, IF(INDEX(ERP資料!$G:$G, (MATCH(558, 輔助計算!$G$2:$G$801, 0)+1))&lt;=31,3,IF(INDEX(ERP資料!$G:$G, (MATCH(558, 輔助計算!$G$2:$G$801, 0)+1))&lt;=46.5,2,1)), IF(INDEX(ERP資料!$G:$G, (MATCH(558, 輔助計算!$G$2:$G$801, 0)+1))&lt;=790,3,IF(INDEX(ERP資料!$G:$G, (MATCH(558, 輔助計算!$G$2:$G$801, 0)+1))&lt;=1181,2,1))))=0,"",IF(MOD(INDEX(輔助計算!$D:$D, (MATCH(558, 輔助計算!$G$2:$G$801, 0)+1)),IF(INDEX(ERP資料!$G:$G, (MATCH(558, 輔助計算!$G$2:$G$801, 0)+1))&lt;100, IF(INDEX(ERP資料!$G:$G, (MATCH(558, 輔助計算!$G$2:$G$801, 0)+1))&lt;=31,3,IF(INDEX(ERP資料!$G:$G, (MATCH(558, 輔助計算!$G$2:$G$801, 0)+1))&lt;=46.5,2,1)), IF(INDEX(ERP資料!$G:$G, (MATCH(558, 輔助計算!$G$2:$G$801, 0)+1))&lt;=790,3,IF(INDEX(ERP資料!$G:$G, (MATCH(558, 輔助計算!$G$2:$G$801, 0)+1))&lt;=1181,2,1))))=0,"",IF(MOD(INDEX(輔助計算!$D:$D, (MATCH(558, 輔助計算!$G$2:$G$801, 0)+1)),IF(INDEX(ERP資料!$G:$G, (MATCH(558, 輔助計算!$G$2:$G$801, 0)+1))&lt;100, IF(INDEX(ERP資料!$G:$G, (MATCH(558, 輔助計算!$G$2:$G$801, 0)+1))&lt;=31,3,IF(INDEX(ERP資料!$G:$G, (MATCH(558, 輔助計算!$G$2:$G$801, 0)+1))&lt;=46.5,2,1)), IF(INDEX(ERP資料!$G:$G, (MATCH(558, 輔助計算!$G$2:$G$801, 0)+1))&lt;=790,3,IF(INDEX(ERP資料!$G:$G, (MATCH(558, 輔助計算!$G$2:$G$801, 0)+1))&lt;=1181,2,1))))=1,TEXT(INDEX(ERP資料!$G:$G, (MATCH(558, 輔助計算!$G$2:$G$801, 0)+1)),"0.##"),IF(MOD(INDEX(輔助計算!$D:$D, (MATCH(558, 輔助計算!$G$2:$G$801, 0)+1)),IF(INDEX(ERP資料!$G:$G, (MATCH(558, 輔助計算!$G$2:$G$801, 0)+1))&lt;100, IF(INDEX(ERP資料!$G:$G, (MATCH(558, 輔助計算!$G$2:$G$801, 0)+1))&lt;=31,3,IF(INDEX(ERP資料!$G:$G, (MATCH(558, 輔助計算!$G$2:$G$801, 0)+1))&lt;=46.5,2,1)), IF(INDEX(ERP資料!$G:$G, (MATCH(558, 輔助計算!$G$2:$G$801, 0)+1))&lt;=790,3,IF(INDEX(ERP資料!$G:$G, (MATCH(558, 輔助計算!$G$2:$G$801, 0)+1))&lt;=1181,2,1))))=2,TEXT(INDEX(ERP資料!$G:$G, (MATCH(558, 輔助計算!$G$2:$G$801, 0)+1)),"0.##")&amp;"+"&amp;TEXT(INDEX(ERP資料!$G:$G, (MATCH(558, 輔助計算!$G$2:$G$801, 0)+1)),"0.##"),TEXT(INDEX(ERP資料!$G:$G, (MATCH(558, 輔助計算!$G$2:$G$801, 0)+1)),"0.##")&amp;"+"&amp;TEXT(INDEX(ERP資料!$G:$G, (MATCH(558, 輔助計算!$G$2:$G$801, 0)+1)),"0.##")&amp;"+"&amp;TEXT(INDEX(ERP資料!$G:$G, (MATCH(558, 輔助計算!$G$2:$G$801, 0)+1)),"0.##"))))&amp;"-1")), ""), "")</f>
        <v/>
      </c>
      <c r="K559" s="16" t="n"/>
      <c r="L559" s="14">
        <f>IFERROR(IF(AND(IFERROR(INDEX(ERP資料!$A:$A, (MATCH(558, 輔助計算!$G$2:$G$801, 0)+1)), "")&lt;&gt;"", IFERROR(INDEX(ERP資料!$A:$A, (MATCH(558, 輔助計算!$G$2:$G$801, 0)+1)), "")&lt;&gt;IFERROR(INDEX(ERP資料!$A:$A, MATCH(557, 輔助計算!$G$2:$G$801, 0)+1), "")), INDEX(ERP資料!$B:$B, (MATCH(558, 輔助計算!$G$2:$G$801, 0)+1)), ""), "")</f>
        <v/>
      </c>
      <c r="M559" s="17" t="n"/>
    </row>
    <row r="560">
      <c r="A560" s="10">
        <f>IFERROR(IF(AND(IFERROR(INDEX(ERP資料!$A:$A, (MATCH(559, 輔助計算!$G$2:$G$801, 0)+1)), "")&lt;&gt;"", IFERROR(INDEX(ERP資料!$A:$A, (MATCH(559, 輔助計算!$G$2:$G$801, 0)+1)), "")&lt;&gt;IFERROR(INDEX(ERP資料!$A:$A, MATCH(558, 輔助計算!$G$2:$G$801, 0)+1), "")), IFERROR(INDEX(ERP資料!$A:$A, (MATCH(559, 輔助計算!$G$2:$G$801, 0)+1)), ""), ""), "")</f>
        <v/>
      </c>
      <c r="B560" s="10">
        <f>IFERROR(IF(AND(IFERROR(INDEX(ERP資料!$A:$A, (MATCH(559, 輔助計算!$G$2:$G$801, 0)+1)), "")&lt;&gt;"", IFERROR(INDEX(ERP資料!$A:$A, (MATCH(559, 輔助計算!$G$2:$G$801, 0)+1)), "")&lt;&gt;IFERROR(INDEX(ERP資料!$A:$A, MATCH(558, 輔助計算!$G$2:$G$801, 0)+1), "")), INDEX(ERP資料!$S:$S, (MATCH(559, 輔助計算!$G$2:$G$801, 0)+1)), ""), "")</f>
        <v/>
      </c>
      <c r="C560" s="19">
        <f>IFERROR(IF(AND(IFERROR(INDEX(ERP資料!$A:$A, (MATCH(559, 輔助計算!$G$2:$G$801, 0)+1)), "")&lt;&gt;"", IFERROR(INDEX(ERP資料!$A:$A, (MATCH(559, 輔助計算!$G$2:$G$801, 0)+1)), "")&lt;&gt;IFERROR(INDEX(ERP資料!$A:$A, MATCH(558, 輔助計算!$G$2:$G$801, 0)+1), "")), IFERROR(VLOOKUP(LEFT(INDEX(ERP資料!$S:$S, (MATCH(559, 輔助計算!$G$2:$G$801, 0)+1)), 4), 紙管對照表!$A:$C, 3, FALSE), ""), ""), "")</f>
        <v/>
      </c>
      <c r="D560" s="16" t="n"/>
      <c r="E560" s="10">
        <f>IFERROR(IF(INDEX(ERP資料!$H:$H, (MATCH(559, 輔助計算!$G$2:$G$801, 0)+1))="","",INDEX(ERP資料!$H:$H, (MATCH(559, 輔助計算!$G$2:$G$801, 0)+1))), "")</f>
        <v/>
      </c>
      <c r="F560" s="10">
        <f>IFERROR(IF(INDEX(ERP資料!$E:$E, (MATCH(559, 輔助計算!$G$2:$G$801, 0)+1))="","",TRIM(INDEX(ERP資料!$E:$E, (MATCH(559, 輔助計算!$G$2:$G$801, 0)+1)))), "")</f>
        <v/>
      </c>
      <c r="G560" s="10">
        <f>IFERROR(IF(INDEX(ERP資料!$F:$F, (MATCH(559, 輔助計算!$G$2:$G$801, 0)+1))="","",INDEX(ERP資料!$F:$F, (MATCH(559, 輔助計算!$G$2:$G$801, 0)+1))), "")</f>
        <v/>
      </c>
      <c r="H560" s="10">
        <f>IFERROR(IF(INDEX(ERP資料!$G:$G, (MATCH(559, 輔助計算!$G$2:$G$801, 0)+1))="","",INDEX(ERP資料!$G:$G, (MATCH(559, 輔助計算!$G$2:$G$801, 0)+1))), "")</f>
        <v/>
      </c>
      <c r="I560" s="15">
        <f>IFERROR(INDEX(輔助計算!$D:$D, (MATCH(559, 輔助計算!$G$2:$G$801, 0)+1)), "")</f>
        <v/>
      </c>
      <c r="J560" s="15">
        <f>IFERROR(IF(AND(INDEX(輔助計算!$D:$D, (MATCH(559, 輔助計算!$G$2:$G$801, 0)+1))&lt;&gt;"", INDEX(ERP資料!$G:$G, (MATCH(559, 輔助計算!$G$2:$G$801, 0)+1))&lt;&gt;""), TRIM(IF(INT(INDEX(輔助計算!$D:$D, (MATCH(559, 輔助計算!$G$2:$G$801, 0)+1))/IF(INDEX(ERP資料!$G:$G, (MATCH(559, 輔助計算!$G$2:$G$801, 0)+1))&lt;100, IF(INDEX(ERP資料!$G:$G, (MATCH(559, 輔助計算!$G$2:$G$801, 0)+1))&lt;=31,3,IF(INDEX(ERP資料!$G:$G, (MATCH(559, 輔助計算!$G$2:$G$801, 0)+1))&lt;=46.5,2,1)), IF(INDEX(ERP資料!$G:$G, (MATCH(559, 輔助計算!$G$2:$G$801, 0)+1))&lt;=790,3,IF(INDEX(ERP資料!$G:$G, (MATCH(559, 輔助計算!$G$2:$G$801, 0)+1))&lt;=1181,2,1))))&gt;0, IF(IF(INDEX(ERP資料!$G:$G, (MATCH(559, 輔助計算!$G$2:$G$801, 0)+1))&lt;100, IF(INDEX(ERP資料!$G:$G, (MATCH(559, 輔助計算!$G$2:$G$801, 0)+1))&lt;=31,3,IF(INDEX(ERP資料!$G:$G, (MATCH(559, 輔助計算!$G$2:$G$801, 0)+1))&lt;=46.5,2,1)), IF(INDEX(ERP資料!$G:$G, (MATCH(559, 輔助計算!$G$2:$G$801, 0)+1))&lt;=790,3,IF(INDEX(ERP資料!$G:$G, (MATCH(559, 輔助計算!$G$2:$G$801, 0)+1))&lt;=1181,2,1)))=1,TEXT(INDEX(ERP資料!$G:$G, (MATCH(559, 輔助計算!$G$2:$G$801, 0)+1)),"0.##"),IF(IF(INDEX(ERP資料!$G:$G, (MATCH(559, 輔助計算!$G$2:$G$801, 0)+1))&lt;100, IF(INDEX(ERP資料!$G:$G, (MATCH(559, 輔助計算!$G$2:$G$801, 0)+1))&lt;=31,3,IF(INDEX(ERP資料!$G:$G, (MATCH(559, 輔助計算!$G$2:$G$801, 0)+1))&lt;=46.5,2,1)), IF(INDEX(ERP資料!$G:$G, (MATCH(559, 輔助計算!$G$2:$G$801, 0)+1))&lt;=790,3,IF(INDEX(ERP資料!$G:$G, (MATCH(559, 輔助計算!$G$2:$G$801, 0)+1))&lt;=1181,2,1)))=2,TEXT(INDEX(ERP資料!$G:$G, (MATCH(559, 輔助計算!$G$2:$G$801, 0)+1)),"0.##")&amp;"+"&amp;TEXT(INDEX(ERP資料!$G:$G, (MATCH(559, 輔助計算!$G$2:$G$801, 0)+1)),"0.##"),TEXT(INDEX(ERP資料!$G:$G, (MATCH(559, 輔助計算!$G$2:$G$801, 0)+1)),"0.##")&amp;"+"&amp;TEXT(INDEX(ERP資料!$G:$G, (MATCH(559, 輔助計算!$G$2:$G$801, 0)+1)),"0.##")&amp;"+"&amp;TEXT(INDEX(ERP資料!$G:$G, (MATCH(559, 輔助計算!$G$2:$G$801, 0)+1)),"0.##")))&amp;"-"&amp;INT(INDEX(輔助計算!$D:$D, (MATCH(559, 輔助計算!$G$2:$G$801, 0)+1))/IF(INDEX(ERP資料!$G:$G, (MATCH(559, 輔助計算!$G$2:$G$801, 0)+1))&lt;100, IF(INDEX(ERP資料!$G:$G, (MATCH(559, 輔助計算!$G$2:$G$801, 0)+1))&lt;=31,3,IF(INDEX(ERP資料!$G:$G, (MATCH(559, 輔助計算!$G$2:$G$801, 0)+1))&lt;=46.5,2,1)), IF(INDEX(ERP資料!$G:$G, (MATCH(559, 輔助計算!$G$2:$G$801, 0)+1))&lt;=790,3,IF(INDEX(ERP資料!$G:$G, (MATCH(559, 輔助計算!$G$2:$G$801, 0)+1))&lt;=1181,2,1)))), "")&amp;IF(AND(IF(INT(INDEX(輔助計算!$D:$D, (MATCH(559, 輔助計算!$G$2:$G$801, 0)+1))/IF(INDEX(ERP資料!$G:$G, (MATCH(559, 輔助計算!$G$2:$G$801, 0)+1))&lt;100, IF(INDEX(ERP資料!$G:$G, (MATCH(559, 輔助計算!$G$2:$G$801, 0)+1))&lt;=31,3,IF(INDEX(ERP資料!$G:$G, (MATCH(559, 輔助計算!$G$2:$G$801, 0)+1))&lt;=46.5,2,1)), IF(INDEX(ERP資料!$G:$G, (MATCH(559, 輔助計算!$G$2:$G$801, 0)+1))&lt;=790,3,IF(INDEX(ERP資料!$G:$G, (MATCH(559, 輔助計算!$G$2:$G$801, 0)+1))&lt;=1181,2,1))))&gt;0, IF(IF(INDEX(ERP資料!$G:$G, (MATCH(559, 輔助計算!$G$2:$G$801, 0)+1))&lt;100, IF(INDEX(ERP資料!$G:$G, (MATCH(559, 輔助計算!$G$2:$G$801, 0)+1))&lt;=31,3,IF(INDEX(ERP資料!$G:$G, (MATCH(559, 輔助計算!$G$2:$G$801, 0)+1))&lt;=46.5,2,1)), IF(INDEX(ERP資料!$G:$G, (MATCH(559, 輔助計算!$G$2:$G$801, 0)+1))&lt;=790,3,IF(INDEX(ERP資料!$G:$G, (MATCH(559, 輔助計算!$G$2:$G$801, 0)+1))&lt;=1181,2,1)))=1,TEXT(INDEX(ERP資料!$G:$G, (MATCH(559, 輔助計算!$G$2:$G$801, 0)+1)),"0.##"),IF(IF(INDEX(ERP資料!$G:$G, (MATCH(559, 輔助計算!$G$2:$G$801, 0)+1))&lt;100, IF(INDEX(ERP資料!$G:$G, (MATCH(559, 輔助計算!$G$2:$G$801, 0)+1))&lt;=31,3,IF(INDEX(ERP資料!$G:$G, (MATCH(559, 輔助計算!$G$2:$G$801, 0)+1))&lt;=46.5,2,1)), IF(INDEX(ERP資料!$G:$G, (MATCH(559, 輔助計算!$G$2:$G$801, 0)+1))&lt;=790,3,IF(INDEX(ERP資料!$G:$G, (MATCH(559, 輔助計算!$G$2:$G$801, 0)+1))&lt;=1181,2,1)))=2,TEXT(INDEX(ERP資料!$G:$G, (MATCH(559, 輔助計算!$G$2:$G$801, 0)+1)),"0.##")&amp;"+"&amp;TEXT(INDEX(ERP資料!$G:$G, (MATCH(559, 輔助計算!$G$2:$G$801, 0)+1)),"0.##"),TEXT(INDEX(ERP資料!$G:$G, (MATCH(559, 輔助計算!$G$2:$G$801, 0)+1)),"0.##")&amp;"+"&amp;TEXT(INDEX(ERP資料!$G:$G, (MATCH(559, 輔助計算!$G$2:$G$801, 0)+1)),"0.##")&amp;"+"&amp;TEXT(INDEX(ERP資料!$G:$G, (MATCH(559, 輔助計算!$G$2:$G$801, 0)+1)),"0.##")))&amp;"-"&amp;INT(INDEX(輔助計算!$D:$D, (MATCH(559, 輔助計算!$G$2:$G$801, 0)+1))/IF(INDEX(ERP資料!$G:$G, (MATCH(559, 輔助計算!$G$2:$G$801, 0)+1))&lt;100, IF(INDEX(ERP資料!$G:$G, (MATCH(559, 輔助計算!$G$2:$G$801, 0)+1))&lt;=31,3,IF(INDEX(ERP資料!$G:$G, (MATCH(559, 輔助計算!$G$2:$G$801, 0)+1))&lt;=46.5,2,1)), IF(INDEX(ERP資料!$G:$G, (MATCH(559, 輔助計算!$G$2:$G$801, 0)+1))&lt;=790,3,IF(INDEX(ERP資料!$G:$G, (MATCH(559, 輔助計算!$G$2:$G$801, 0)+1))&lt;=1181,2,1)))), "")&lt;&gt;"",IF(MOD(INDEX(輔助計算!$D:$D, (MATCH(559, 輔助計算!$G$2:$G$801, 0)+1)),IF(INDEX(ERP資料!$G:$G, (MATCH(559, 輔助計算!$G$2:$G$801, 0)+1))&lt;100, IF(INDEX(ERP資料!$G:$G, (MATCH(559, 輔助計算!$G$2:$G$801, 0)+1))&lt;=31,3,IF(INDEX(ERP資料!$G:$G, (MATCH(559, 輔助計算!$G$2:$G$801, 0)+1))&lt;=46.5,2,1)), IF(INDEX(ERP資料!$G:$G, (MATCH(559, 輔助計算!$G$2:$G$801, 0)+1))&lt;=790,3,IF(INDEX(ERP資料!$G:$G, (MATCH(559, 輔助計算!$G$2:$G$801, 0)+1))&lt;=1181,2,1))))=0,"",IF(MOD(INDEX(輔助計算!$D:$D, (MATCH(559, 輔助計算!$G$2:$G$801, 0)+1)),IF(INDEX(ERP資料!$G:$G, (MATCH(559, 輔助計算!$G$2:$G$801, 0)+1))&lt;100, IF(INDEX(ERP資料!$G:$G, (MATCH(559, 輔助計算!$G$2:$G$801, 0)+1))&lt;=31,3,IF(INDEX(ERP資料!$G:$G, (MATCH(559, 輔助計算!$G$2:$G$801, 0)+1))&lt;=46.5,2,1)), IF(INDEX(ERP資料!$G:$G, (MATCH(559, 輔助計算!$G$2:$G$801, 0)+1))&lt;=790,3,IF(INDEX(ERP資料!$G:$G, (MATCH(559, 輔助計算!$G$2:$G$801, 0)+1))&lt;=1181,2,1))))=0,"",IF(MOD(INDEX(輔助計算!$D:$D, (MATCH(559, 輔助計算!$G$2:$G$801, 0)+1)),IF(INDEX(ERP資料!$G:$G, (MATCH(559, 輔助計算!$G$2:$G$801, 0)+1))&lt;100, IF(INDEX(ERP資料!$G:$G, (MATCH(559, 輔助計算!$G$2:$G$801, 0)+1))&lt;=31,3,IF(INDEX(ERP資料!$G:$G, (MATCH(559, 輔助計算!$G$2:$G$801, 0)+1))&lt;=46.5,2,1)), IF(INDEX(ERP資料!$G:$G, (MATCH(559, 輔助計算!$G$2:$G$801, 0)+1))&lt;=790,3,IF(INDEX(ERP資料!$G:$G, (MATCH(559, 輔助計算!$G$2:$G$801, 0)+1))&lt;=1181,2,1))))=1,TEXT(INDEX(ERP資料!$G:$G, (MATCH(559, 輔助計算!$G$2:$G$801, 0)+1)),"0.##"),IF(MOD(INDEX(輔助計算!$D:$D, (MATCH(559, 輔助計算!$G$2:$G$801, 0)+1)),IF(INDEX(ERP資料!$G:$G, (MATCH(559, 輔助計算!$G$2:$G$801, 0)+1))&lt;100, IF(INDEX(ERP資料!$G:$G, (MATCH(559, 輔助計算!$G$2:$G$801, 0)+1))&lt;=31,3,IF(INDEX(ERP資料!$G:$G, (MATCH(559, 輔助計算!$G$2:$G$801, 0)+1))&lt;=46.5,2,1)), IF(INDEX(ERP資料!$G:$G, (MATCH(559, 輔助計算!$G$2:$G$801, 0)+1))&lt;=790,3,IF(INDEX(ERP資料!$G:$G, (MATCH(559, 輔助計算!$G$2:$G$801, 0)+1))&lt;=1181,2,1))))=2,TEXT(INDEX(ERP資料!$G:$G, (MATCH(559, 輔助計算!$G$2:$G$801, 0)+1)),"0.##")&amp;"+"&amp;TEXT(INDEX(ERP資料!$G:$G, (MATCH(559, 輔助計算!$G$2:$G$801, 0)+1)),"0.##"),TEXT(INDEX(ERP資料!$G:$G, (MATCH(559, 輔助計算!$G$2:$G$801, 0)+1)),"0.##")&amp;"+"&amp;TEXT(INDEX(ERP資料!$G:$G, (MATCH(559, 輔助計算!$G$2:$G$801, 0)+1)),"0.##")&amp;"+"&amp;TEXT(INDEX(ERP資料!$G:$G, (MATCH(559, 輔助計算!$G$2:$G$801, 0)+1)),"0.##"))))&amp;"-1")&lt;&gt;""),"  ","")&amp;IF(MOD(INDEX(輔助計算!$D:$D, (MATCH(559, 輔助計算!$G$2:$G$801, 0)+1)),IF(INDEX(ERP資料!$G:$G, (MATCH(559, 輔助計算!$G$2:$G$801, 0)+1))&lt;100, IF(INDEX(ERP資料!$G:$G, (MATCH(559, 輔助計算!$G$2:$G$801, 0)+1))&lt;=31,3,IF(INDEX(ERP資料!$G:$G, (MATCH(559, 輔助計算!$G$2:$G$801, 0)+1))&lt;=46.5,2,1)), IF(INDEX(ERP資料!$G:$G, (MATCH(559, 輔助計算!$G$2:$G$801, 0)+1))&lt;=790,3,IF(INDEX(ERP資料!$G:$G, (MATCH(559, 輔助計算!$G$2:$G$801, 0)+1))&lt;=1181,2,1))))=0,"",IF(MOD(INDEX(輔助計算!$D:$D, (MATCH(559, 輔助計算!$G$2:$G$801, 0)+1)),IF(INDEX(ERP資料!$G:$G, (MATCH(559, 輔助計算!$G$2:$G$801, 0)+1))&lt;100, IF(INDEX(ERP資料!$G:$G, (MATCH(559, 輔助計算!$G$2:$G$801, 0)+1))&lt;=31,3,IF(INDEX(ERP資料!$G:$G, (MATCH(559, 輔助計算!$G$2:$G$801, 0)+1))&lt;=46.5,2,1)), IF(INDEX(ERP資料!$G:$G, (MATCH(559, 輔助計算!$G$2:$G$801, 0)+1))&lt;=790,3,IF(INDEX(ERP資料!$G:$G, (MATCH(559, 輔助計算!$G$2:$G$801, 0)+1))&lt;=1181,2,1))))=0,"",IF(MOD(INDEX(輔助計算!$D:$D, (MATCH(559, 輔助計算!$G$2:$G$801, 0)+1)),IF(INDEX(ERP資料!$G:$G, (MATCH(559, 輔助計算!$G$2:$G$801, 0)+1))&lt;100, IF(INDEX(ERP資料!$G:$G, (MATCH(559, 輔助計算!$G$2:$G$801, 0)+1))&lt;=31,3,IF(INDEX(ERP資料!$G:$G, (MATCH(559, 輔助計算!$G$2:$G$801, 0)+1))&lt;=46.5,2,1)), IF(INDEX(ERP資料!$G:$G, (MATCH(559, 輔助計算!$G$2:$G$801, 0)+1))&lt;=790,3,IF(INDEX(ERP資料!$G:$G, (MATCH(559, 輔助計算!$G$2:$G$801, 0)+1))&lt;=1181,2,1))))=1,TEXT(INDEX(ERP資料!$G:$G, (MATCH(559, 輔助計算!$G$2:$G$801, 0)+1)),"0.##"),IF(MOD(INDEX(輔助計算!$D:$D, (MATCH(559, 輔助計算!$G$2:$G$801, 0)+1)),IF(INDEX(ERP資料!$G:$G, (MATCH(559, 輔助計算!$G$2:$G$801, 0)+1))&lt;100, IF(INDEX(ERP資料!$G:$G, (MATCH(559, 輔助計算!$G$2:$G$801, 0)+1))&lt;=31,3,IF(INDEX(ERP資料!$G:$G, (MATCH(559, 輔助計算!$G$2:$G$801, 0)+1))&lt;=46.5,2,1)), IF(INDEX(ERP資料!$G:$G, (MATCH(559, 輔助計算!$G$2:$G$801, 0)+1))&lt;=790,3,IF(INDEX(ERP資料!$G:$G, (MATCH(559, 輔助計算!$G$2:$G$801, 0)+1))&lt;=1181,2,1))))=2,TEXT(INDEX(ERP資料!$G:$G, (MATCH(559, 輔助計算!$G$2:$G$801, 0)+1)),"0.##")&amp;"+"&amp;TEXT(INDEX(ERP資料!$G:$G, (MATCH(559, 輔助計算!$G$2:$G$801, 0)+1)),"0.##"),TEXT(INDEX(ERP資料!$G:$G, (MATCH(559, 輔助計算!$G$2:$G$801, 0)+1)),"0.##")&amp;"+"&amp;TEXT(INDEX(ERP資料!$G:$G, (MATCH(559, 輔助計算!$G$2:$G$801, 0)+1)),"0.##")&amp;"+"&amp;TEXT(INDEX(ERP資料!$G:$G, (MATCH(559, 輔助計算!$G$2:$G$801, 0)+1)),"0.##"))))&amp;"-1")), ""), "")</f>
        <v/>
      </c>
      <c r="K560" s="16" t="n"/>
      <c r="L560" s="14">
        <f>IFERROR(IF(AND(IFERROR(INDEX(ERP資料!$A:$A, (MATCH(559, 輔助計算!$G$2:$G$801, 0)+1)), "")&lt;&gt;"", IFERROR(INDEX(ERP資料!$A:$A, (MATCH(559, 輔助計算!$G$2:$G$801, 0)+1)), "")&lt;&gt;IFERROR(INDEX(ERP資料!$A:$A, MATCH(558, 輔助計算!$G$2:$G$801, 0)+1), "")), INDEX(ERP資料!$B:$B, (MATCH(559, 輔助計算!$G$2:$G$801, 0)+1)), ""), "")</f>
        <v/>
      </c>
      <c r="M560" s="17" t="n"/>
    </row>
    <row r="561">
      <c r="A561" s="10">
        <f>IFERROR(IF(AND(IFERROR(INDEX(ERP資料!$A:$A, (MATCH(560, 輔助計算!$G$2:$G$801, 0)+1)), "")&lt;&gt;"", IFERROR(INDEX(ERP資料!$A:$A, (MATCH(560, 輔助計算!$G$2:$G$801, 0)+1)), "")&lt;&gt;IFERROR(INDEX(ERP資料!$A:$A, MATCH(559, 輔助計算!$G$2:$G$801, 0)+1), "")), IFERROR(INDEX(ERP資料!$A:$A, (MATCH(560, 輔助計算!$G$2:$G$801, 0)+1)), ""), ""), "")</f>
        <v/>
      </c>
      <c r="B561" s="10">
        <f>IFERROR(IF(AND(IFERROR(INDEX(ERP資料!$A:$A, (MATCH(560, 輔助計算!$G$2:$G$801, 0)+1)), "")&lt;&gt;"", IFERROR(INDEX(ERP資料!$A:$A, (MATCH(560, 輔助計算!$G$2:$G$801, 0)+1)), "")&lt;&gt;IFERROR(INDEX(ERP資料!$A:$A, MATCH(559, 輔助計算!$G$2:$G$801, 0)+1), "")), INDEX(ERP資料!$S:$S, (MATCH(560, 輔助計算!$G$2:$G$801, 0)+1)), ""), "")</f>
        <v/>
      </c>
      <c r="C561" s="19">
        <f>IFERROR(IF(AND(IFERROR(INDEX(ERP資料!$A:$A, (MATCH(560, 輔助計算!$G$2:$G$801, 0)+1)), "")&lt;&gt;"", IFERROR(INDEX(ERP資料!$A:$A, (MATCH(560, 輔助計算!$G$2:$G$801, 0)+1)), "")&lt;&gt;IFERROR(INDEX(ERP資料!$A:$A, MATCH(559, 輔助計算!$G$2:$G$801, 0)+1), "")), IFERROR(VLOOKUP(LEFT(INDEX(ERP資料!$S:$S, (MATCH(560, 輔助計算!$G$2:$G$801, 0)+1)), 4), 紙管對照表!$A:$C, 3, FALSE), ""), ""), "")</f>
        <v/>
      </c>
      <c r="D561" s="16" t="n"/>
      <c r="E561" s="10">
        <f>IFERROR(IF(INDEX(ERP資料!$H:$H, (MATCH(560, 輔助計算!$G$2:$G$801, 0)+1))="","",INDEX(ERP資料!$H:$H, (MATCH(560, 輔助計算!$G$2:$G$801, 0)+1))), "")</f>
        <v/>
      </c>
      <c r="F561" s="10">
        <f>IFERROR(IF(INDEX(ERP資料!$E:$E, (MATCH(560, 輔助計算!$G$2:$G$801, 0)+1))="","",TRIM(INDEX(ERP資料!$E:$E, (MATCH(560, 輔助計算!$G$2:$G$801, 0)+1)))), "")</f>
        <v/>
      </c>
      <c r="G561" s="10">
        <f>IFERROR(IF(INDEX(ERP資料!$F:$F, (MATCH(560, 輔助計算!$G$2:$G$801, 0)+1))="","",INDEX(ERP資料!$F:$F, (MATCH(560, 輔助計算!$G$2:$G$801, 0)+1))), "")</f>
        <v/>
      </c>
      <c r="H561" s="10">
        <f>IFERROR(IF(INDEX(ERP資料!$G:$G, (MATCH(560, 輔助計算!$G$2:$G$801, 0)+1))="","",INDEX(ERP資料!$G:$G, (MATCH(560, 輔助計算!$G$2:$G$801, 0)+1))), "")</f>
        <v/>
      </c>
      <c r="I561" s="15">
        <f>IFERROR(INDEX(輔助計算!$D:$D, (MATCH(560, 輔助計算!$G$2:$G$801, 0)+1)), "")</f>
        <v/>
      </c>
      <c r="J561" s="15">
        <f>IFERROR(IF(AND(INDEX(輔助計算!$D:$D, (MATCH(560, 輔助計算!$G$2:$G$801, 0)+1))&lt;&gt;"", INDEX(ERP資料!$G:$G, (MATCH(560, 輔助計算!$G$2:$G$801, 0)+1))&lt;&gt;""), TRIM(IF(INT(INDEX(輔助計算!$D:$D, (MATCH(560, 輔助計算!$G$2:$G$801, 0)+1))/IF(INDEX(ERP資料!$G:$G, (MATCH(560, 輔助計算!$G$2:$G$801, 0)+1))&lt;100, IF(INDEX(ERP資料!$G:$G, (MATCH(560, 輔助計算!$G$2:$G$801, 0)+1))&lt;=31,3,IF(INDEX(ERP資料!$G:$G, (MATCH(560, 輔助計算!$G$2:$G$801, 0)+1))&lt;=46.5,2,1)), IF(INDEX(ERP資料!$G:$G, (MATCH(560, 輔助計算!$G$2:$G$801, 0)+1))&lt;=790,3,IF(INDEX(ERP資料!$G:$G, (MATCH(560, 輔助計算!$G$2:$G$801, 0)+1))&lt;=1181,2,1))))&gt;0, IF(IF(INDEX(ERP資料!$G:$G, (MATCH(560, 輔助計算!$G$2:$G$801, 0)+1))&lt;100, IF(INDEX(ERP資料!$G:$G, (MATCH(560, 輔助計算!$G$2:$G$801, 0)+1))&lt;=31,3,IF(INDEX(ERP資料!$G:$G, (MATCH(560, 輔助計算!$G$2:$G$801, 0)+1))&lt;=46.5,2,1)), IF(INDEX(ERP資料!$G:$G, (MATCH(560, 輔助計算!$G$2:$G$801, 0)+1))&lt;=790,3,IF(INDEX(ERP資料!$G:$G, (MATCH(560, 輔助計算!$G$2:$G$801, 0)+1))&lt;=1181,2,1)))=1,TEXT(INDEX(ERP資料!$G:$G, (MATCH(560, 輔助計算!$G$2:$G$801, 0)+1)),"0.##"),IF(IF(INDEX(ERP資料!$G:$G, (MATCH(560, 輔助計算!$G$2:$G$801, 0)+1))&lt;100, IF(INDEX(ERP資料!$G:$G, (MATCH(560, 輔助計算!$G$2:$G$801, 0)+1))&lt;=31,3,IF(INDEX(ERP資料!$G:$G, (MATCH(560, 輔助計算!$G$2:$G$801, 0)+1))&lt;=46.5,2,1)), IF(INDEX(ERP資料!$G:$G, (MATCH(560, 輔助計算!$G$2:$G$801, 0)+1))&lt;=790,3,IF(INDEX(ERP資料!$G:$G, (MATCH(560, 輔助計算!$G$2:$G$801, 0)+1))&lt;=1181,2,1)))=2,TEXT(INDEX(ERP資料!$G:$G, (MATCH(560, 輔助計算!$G$2:$G$801, 0)+1)),"0.##")&amp;"+"&amp;TEXT(INDEX(ERP資料!$G:$G, (MATCH(560, 輔助計算!$G$2:$G$801, 0)+1)),"0.##"),TEXT(INDEX(ERP資料!$G:$G, (MATCH(560, 輔助計算!$G$2:$G$801, 0)+1)),"0.##")&amp;"+"&amp;TEXT(INDEX(ERP資料!$G:$G, (MATCH(560, 輔助計算!$G$2:$G$801, 0)+1)),"0.##")&amp;"+"&amp;TEXT(INDEX(ERP資料!$G:$G, (MATCH(560, 輔助計算!$G$2:$G$801, 0)+1)),"0.##")))&amp;"-"&amp;INT(INDEX(輔助計算!$D:$D, (MATCH(560, 輔助計算!$G$2:$G$801, 0)+1))/IF(INDEX(ERP資料!$G:$G, (MATCH(560, 輔助計算!$G$2:$G$801, 0)+1))&lt;100, IF(INDEX(ERP資料!$G:$G, (MATCH(560, 輔助計算!$G$2:$G$801, 0)+1))&lt;=31,3,IF(INDEX(ERP資料!$G:$G, (MATCH(560, 輔助計算!$G$2:$G$801, 0)+1))&lt;=46.5,2,1)), IF(INDEX(ERP資料!$G:$G, (MATCH(560, 輔助計算!$G$2:$G$801, 0)+1))&lt;=790,3,IF(INDEX(ERP資料!$G:$G, (MATCH(560, 輔助計算!$G$2:$G$801, 0)+1))&lt;=1181,2,1)))), "")&amp;IF(AND(IF(INT(INDEX(輔助計算!$D:$D, (MATCH(560, 輔助計算!$G$2:$G$801, 0)+1))/IF(INDEX(ERP資料!$G:$G, (MATCH(560, 輔助計算!$G$2:$G$801, 0)+1))&lt;100, IF(INDEX(ERP資料!$G:$G, (MATCH(560, 輔助計算!$G$2:$G$801, 0)+1))&lt;=31,3,IF(INDEX(ERP資料!$G:$G, (MATCH(560, 輔助計算!$G$2:$G$801, 0)+1))&lt;=46.5,2,1)), IF(INDEX(ERP資料!$G:$G, (MATCH(560, 輔助計算!$G$2:$G$801, 0)+1))&lt;=790,3,IF(INDEX(ERP資料!$G:$G, (MATCH(560, 輔助計算!$G$2:$G$801, 0)+1))&lt;=1181,2,1))))&gt;0, IF(IF(INDEX(ERP資料!$G:$G, (MATCH(560, 輔助計算!$G$2:$G$801, 0)+1))&lt;100, IF(INDEX(ERP資料!$G:$G, (MATCH(560, 輔助計算!$G$2:$G$801, 0)+1))&lt;=31,3,IF(INDEX(ERP資料!$G:$G, (MATCH(560, 輔助計算!$G$2:$G$801, 0)+1))&lt;=46.5,2,1)), IF(INDEX(ERP資料!$G:$G, (MATCH(560, 輔助計算!$G$2:$G$801, 0)+1))&lt;=790,3,IF(INDEX(ERP資料!$G:$G, (MATCH(560, 輔助計算!$G$2:$G$801, 0)+1))&lt;=1181,2,1)))=1,TEXT(INDEX(ERP資料!$G:$G, (MATCH(560, 輔助計算!$G$2:$G$801, 0)+1)),"0.##"),IF(IF(INDEX(ERP資料!$G:$G, (MATCH(560, 輔助計算!$G$2:$G$801, 0)+1))&lt;100, IF(INDEX(ERP資料!$G:$G, (MATCH(560, 輔助計算!$G$2:$G$801, 0)+1))&lt;=31,3,IF(INDEX(ERP資料!$G:$G, (MATCH(560, 輔助計算!$G$2:$G$801, 0)+1))&lt;=46.5,2,1)), IF(INDEX(ERP資料!$G:$G, (MATCH(560, 輔助計算!$G$2:$G$801, 0)+1))&lt;=790,3,IF(INDEX(ERP資料!$G:$G, (MATCH(560, 輔助計算!$G$2:$G$801, 0)+1))&lt;=1181,2,1)))=2,TEXT(INDEX(ERP資料!$G:$G, (MATCH(560, 輔助計算!$G$2:$G$801, 0)+1)),"0.##")&amp;"+"&amp;TEXT(INDEX(ERP資料!$G:$G, (MATCH(560, 輔助計算!$G$2:$G$801, 0)+1)),"0.##"),TEXT(INDEX(ERP資料!$G:$G, (MATCH(560, 輔助計算!$G$2:$G$801, 0)+1)),"0.##")&amp;"+"&amp;TEXT(INDEX(ERP資料!$G:$G, (MATCH(560, 輔助計算!$G$2:$G$801, 0)+1)),"0.##")&amp;"+"&amp;TEXT(INDEX(ERP資料!$G:$G, (MATCH(560, 輔助計算!$G$2:$G$801, 0)+1)),"0.##")))&amp;"-"&amp;INT(INDEX(輔助計算!$D:$D, (MATCH(560, 輔助計算!$G$2:$G$801, 0)+1))/IF(INDEX(ERP資料!$G:$G, (MATCH(560, 輔助計算!$G$2:$G$801, 0)+1))&lt;100, IF(INDEX(ERP資料!$G:$G, (MATCH(560, 輔助計算!$G$2:$G$801, 0)+1))&lt;=31,3,IF(INDEX(ERP資料!$G:$G, (MATCH(560, 輔助計算!$G$2:$G$801, 0)+1))&lt;=46.5,2,1)), IF(INDEX(ERP資料!$G:$G, (MATCH(560, 輔助計算!$G$2:$G$801, 0)+1))&lt;=790,3,IF(INDEX(ERP資料!$G:$G, (MATCH(560, 輔助計算!$G$2:$G$801, 0)+1))&lt;=1181,2,1)))), "")&lt;&gt;"",IF(MOD(INDEX(輔助計算!$D:$D, (MATCH(560, 輔助計算!$G$2:$G$801, 0)+1)),IF(INDEX(ERP資料!$G:$G, (MATCH(560, 輔助計算!$G$2:$G$801, 0)+1))&lt;100, IF(INDEX(ERP資料!$G:$G, (MATCH(560, 輔助計算!$G$2:$G$801, 0)+1))&lt;=31,3,IF(INDEX(ERP資料!$G:$G, (MATCH(560, 輔助計算!$G$2:$G$801, 0)+1))&lt;=46.5,2,1)), IF(INDEX(ERP資料!$G:$G, (MATCH(560, 輔助計算!$G$2:$G$801, 0)+1))&lt;=790,3,IF(INDEX(ERP資料!$G:$G, (MATCH(560, 輔助計算!$G$2:$G$801, 0)+1))&lt;=1181,2,1))))=0,"",IF(MOD(INDEX(輔助計算!$D:$D, (MATCH(560, 輔助計算!$G$2:$G$801, 0)+1)),IF(INDEX(ERP資料!$G:$G, (MATCH(560, 輔助計算!$G$2:$G$801, 0)+1))&lt;100, IF(INDEX(ERP資料!$G:$G, (MATCH(560, 輔助計算!$G$2:$G$801, 0)+1))&lt;=31,3,IF(INDEX(ERP資料!$G:$G, (MATCH(560, 輔助計算!$G$2:$G$801, 0)+1))&lt;=46.5,2,1)), IF(INDEX(ERP資料!$G:$G, (MATCH(560, 輔助計算!$G$2:$G$801, 0)+1))&lt;=790,3,IF(INDEX(ERP資料!$G:$G, (MATCH(560, 輔助計算!$G$2:$G$801, 0)+1))&lt;=1181,2,1))))=0,"",IF(MOD(INDEX(輔助計算!$D:$D, (MATCH(560, 輔助計算!$G$2:$G$801, 0)+1)),IF(INDEX(ERP資料!$G:$G, (MATCH(560, 輔助計算!$G$2:$G$801, 0)+1))&lt;100, IF(INDEX(ERP資料!$G:$G, (MATCH(560, 輔助計算!$G$2:$G$801, 0)+1))&lt;=31,3,IF(INDEX(ERP資料!$G:$G, (MATCH(560, 輔助計算!$G$2:$G$801, 0)+1))&lt;=46.5,2,1)), IF(INDEX(ERP資料!$G:$G, (MATCH(560, 輔助計算!$G$2:$G$801, 0)+1))&lt;=790,3,IF(INDEX(ERP資料!$G:$G, (MATCH(560, 輔助計算!$G$2:$G$801, 0)+1))&lt;=1181,2,1))))=1,TEXT(INDEX(ERP資料!$G:$G, (MATCH(560, 輔助計算!$G$2:$G$801, 0)+1)),"0.##"),IF(MOD(INDEX(輔助計算!$D:$D, (MATCH(560, 輔助計算!$G$2:$G$801, 0)+1)),IF(INDEX(ERP資料!$G:$G, (MATCH(560, 輔助計算!$G$2:$G$801, 0)+1))&lt;100, IF(INDEX(ERP資料!$G:$G, (MATCH(560, 輔助計算!$G$2:$G$801, 0)+1))&lt;=31,3,IF(INDEX(ERP資料!$G:$G, (MATCH(560, 輔助計算!$G$2:$G$801, 0)+1))&lt;=46.5,2,1)), IF(INDEX(ERP資料!$G:$G, (MATCH(560, 輔助計算!$G$2:$G$801, 0)+1))&lt;=790,3,IF(INDEX(ERP資料!$G:$G, (MATCH(560, 輔助計算!$G$2:$G$801, 0)+1))&lt;=1181,2,1))))=2,TEXT(INDEX(ERP資料!$G:$G, (MATCH(560, 輔助計算!$G$2:$G$801, 0)+1)),"0.##")&amp;"+"&amp;TEXT(INDEX(ERP資料!$G:$G, (MATCH(560, 輔助計算!$G$2:$G$801, 0)+1)),"0.##"),TEXT(INDEX(ERP資料!$G:$G, (MATCH(560, 輔助計算!$G$2:$G$801, 0)+1)),"0.##")&amp;"+"&amp;TEXT(INDEX(ERP資料!$G:$G, (MATCH(560, 輔助計算!$G$2:$G$801, 0)+1)),"0.##")&amp;"+"&amp;TEXT(INDEX(ERP資料!$G:$G, (MATCH(560, 輔助計算!$G$2:$G$801, 0)+1)),"0.##"))))&amp;"-1")&lt;&gt;""),"  ","")&amp;IF(MOD(INDEX(輔助計算!$D:$D, (MATCH(560, 輔助計算!$G$2:$G$801, 0)+1)),IF(INDEX(ERP資料!$G:$G, (MATCH(560, 輔助計算!$G$2:$G$801, 0)+1))&lt;100, IF(INDEX(ERP資料!$G:$G, (MATCH(560, 輔助計算!$G$2:$G$801, 0)+1))&lt;=31,3,IF(INDEX(ERP資料!$G:$G, (MATCH(560, 輔助計算!$G$2:$G$801, 0)+1))&lt;=46.5,2,1)), IF(INDEX(ERP資料!$G:$G, (MATCH(560, 輔助計算!$G$2:$G$801, 0)+1))&lt;=790,3,IF(INDEX(ERP資料!$G:$G, (MATCH(560, 輔助計算!$G$2:$G$801, 0)+1))&lt;=1181,2,1))))=0,"",IF(MOD(INDEX(輔助計算!$D:$D, (MATCH(560, 輔助計算!$G$2:$G$801, 0)+1)),IF(INDEX(ERP資料!$G:$G, (MATCH(560, 輔助計算!$G$2:$G$801, 0)+1))&lt;100, IF(INDEX(ERP資料!$G:$G, (MATCH(560, 輔助計算!$G$2:$G$801, 0)+1))&lt;=31,3,IF(INDEX(ERP資料!$G:$G, (MATCH(560, 輔助計算!$G$2:$G$801, 0)+1))&lt;=46.5,2,1)), IF(INDEX(ERP資料!$G:$G, (MATCH(560, 輔助計算!$G$2:$G$801, 0)+1))&lt;=790,3,IF(INDEX(ERP資料!$G:$G, (MATCH(560, 輔助計算!$G$2:$G$801, 0)+1))&lt;=1181,2,1))))=0,"",IF(MOD(INDEX(輔助計算!$D:$D, (MATCH(560, 輔助計算!$G$2:$G$801, 0)+1)),IF(INDEX(ERP資料!$G:$G, (MATCH(560, 輔助計算!$G$2:$G$801, 0)+1))&lt;100, IF(INDEX(ERP資料!$G:$G, (MATCH(560, 輔助計算!$G$2:$G$801, 0)+1))&lt;=31,3,IF(INDEX(ERP資料!$G:$G, (MATCH(560, 輔助計算!$G$2:$G$801, 0)+1))&lt;=46.5,2,1)), IF(INDEX(ERP資料!$G:$G, (MATCH(560, 輔助計算!$G$2:$G$801, 0)+1))&lt;=790,3,IF(INDEX(ERP資料!$G:$G, (MATCH(560, 輔助計算!$G$2:$G$801, 0)+1))&lt;=1181,2,1))))=1,TEXT(INDEX(ERP資料!$G:$G, (MATCH(560, 輔助計算!$G$2:$G$801, 0)+1)),"0.##"),IF(MOD(INDEX(輔助計算!$D:$D, (MATCH(560, 輔助計算!$G$2:$G$801, 0)+1)),IF(INDEX(ERP資料!$G:$G, (MATCH(560, 輔助計算!$G$2:$G$801, 0)+1))&lt;100, IF(INDEX(ERP資料!$G:$G, (MATCH(560, 輔助計算!$G$2:$G$801, 0)+1))&lt;=31,3,IF(INDEX(ERP資料!$G:$G, (MATCH(560, 輔助計算!$G$2:$G$801, 0)+1))&lt;=46.5,2,1)), IF(INDEX(ERP資料!$G:$G, (MATCH(560, 輔助計算!$G$2:$G$801, 0)+1))&lt;=790,3,IF(INDEX(ERP資料!$G:$G, (MATCH(560, 輔助計算!$G$2:$G$801, 0)+1))&lt;=1181,2,1))))=2,TEXT(INDEX(ERP資料!$G:$G, (MATCH(560, 輔助計算!$G$2:$G$801, 0)+1)),"0.##")&amp;"+"&amp;TEXT(INDEX(ERP資料!$G:$G, (MATCH(560, 輔助計算!$G$2:$G$801, 0)+1)),"0.##"),TEXT(INDEX(ERP資料!$G:$G, (MATCH(560, 輔助計算!$G$2:$G$801, 0)+1)),"0.##")&amp;"+"&amp;TEXT(INDEX(ERP資料!$G:$G, (MATCH(560, 輔助計算!$G$2:$G$801, 0)+1)),"0.##")&amp;"+"&amp;TEXT(INDEX(ERP資料!$G:$G, (MATCH(560, 輔助計算!$G$2:$G$801, 0)+1)),"0.##"))))&amp;"-1")), ""), "")</f>
        <v/>
      </c>
      <c r="K561" s="16" t="n"/>
      <c r="L561" s="14">
        <f>IFERROR(IF(AND(IFERROR(INDEX(ERP資料!$A:$A, (MATCH(560, 輔助計算!$G$2:$G$801, 0)+1)), "")&lt;&gt;"", IFERROR(INDEX(ERP資料!$A:$A, (MATCH(560, 輔助計算!$G$2:$G$801, 0)+1)), "")&lt;&gt;IFERROR(INDEX(ERP資料!$A:$A, MATCH(559, 輔助計算!$G$2:$G$801, 0)+1), "")), INDEX(ERP資料!$B:$B, (MATCH(560, 輔助計算!$G$2:$G$801, 0)+1)), ""), "")</f>
        <v/>
      </c>
      <c r="M561" s="17" t="n"/>
    </row>
    <row r="562">
      <c r="A562" s="10">
        <f>IFERROR(IF(AND(IFERROR(INDEX(ERP資料!$A:$A, (MATCH(561, 輔助計算!$G$2:$G$801, 0)+1)), "")&lt;&gt;"", IFERROR(INDEX(ERP資料!$A:$A, (MATCH(561, 輔助計算!$G$2:$G$801, 0)+1)), "")&lt;&gt;IFERROR(INDEX(ERP資料!$A:$A, MATCH(560, 輔助計算!$G$2:$G$801, 0)+1), "")), IFERROR(INDEX(ERP資料!$A:$A, (MATCH(561, 輔助計算!$G$2:$G$801, 0)+1)), ""), ""), "")</f>
        <v/>
      </c>
      <c r="B562" s="10">
        <f>IFERROR(IF(AND(IFERROR(INDEX(ERP資料!$A:$A, (MATCH(561, 輔助計算!$G$2:$G$801, 0)+1)), "")&lt;&gt;"", IFERROR(INDEX(ERP資料!$A:$A, (MATCH(561, 輔助計算!$G$2:$G$801, 0)+1)), "")&lt;&gt;IFERROR(INDEX(ERP資料!$A:$A, MATCH(560, 輔助計算!$G$2:$G$801, 0)+1), "")), INDEX(ERP資料!$S:$S, (MATCH(561, 輔助計算!$G$2:$G$801, 0)+1)), ""), "")</f>
        <v/>
      </c>
      <c r="C562" s="19">
        <f>IFERROR(IF(AND(IFERROR(INDEX(ERP資料!$A:$A, (MATCH(561, 輔助計算!$G$2:$G$801, 0)+1)), "")&lt;&gt;"", IFERROR(INDEX(ERP資料!$A:$A, (MATCH(561, 輔助計算!$G$2:$G$801, 0)+1)), "")&lt;&gt;IFERROR(INDEX(ERP資料!$A:$A, MATCH(560, 輔助計算!$G$2:$G$801, 0)+1), "")), IFERROR(VLOOKUP(LEFT(INDEX(ERP資料!$S:$S, (MATCH(561, 輔助計算!$G$2:$G$801, 0)+1)), 4), 紙管對照表!$A:$C, 3, FALSE), ""), ""), "")</f>
        <v/>
      </c>
      <c r="D562" s="16" t="n"/>
      <c r="E562" s="10">
        <f>IFERROR(IF(INDEX(ERP資料!$H:$H, (MATCH(561, 輔助計算!$G$2:$G$801, 0)+1))="","",INDEX(ERP資料!$H:$H, (MATCH(561, 輔助計算!$G$2:$G$801, 0)+1))), "")</f>
        <v/>
      </c>
      <c r="F562" s="10">
        <f>IFERROR(IF(INDEX(ERP資料!$E:$E, (MATCH(561, 輔助計算!$G$2:$G$801, 0)+1))="","",TRIM(INDEX(ERP資料!$E:$E, (MATCH(561, 輔助計算!$G$2:$G$801, 0)+1)))), "")</f>
        <v/>
      </c>
      <c r="G562" s="10">
        <f>IFERROR(IF(INDEX(ERP資料!$F:$F, (MATCH(561, 輔助計算!$G$2:$G$801, 0)+1))="","",INDEX(ERP資料!$F:$F, (MATCH(561, 輔助計算!$G$2:$G$801, 0)+1))), "")</f>
        <v/>
      </c>
      <c r="H562" s="10">
        <f>IFERROR(IF(INDEX(ERP資料!$G:$G, (MATCH(561, 輔助計算!$G$2:$G$801, 0)+1))="","",INDEX(ERP資料!$G:$G, (MATCH(561, 輔助計算!$G$2:$G$801, 0)+1))), "")</f>
        <v/>
      </c>
      <c r="I562" s="15">
        <f>IFERROR(INDEX(輔助計算!$D:$D, (MATCH(561, 輔助計算!$G$2:$G$801, 0)+1)), "")</f>
        <v/>
      </c>
      <c r="J562" s="15">
        <f>IFERROR(IF(AND(INDEX(輔助計算!$D:$D, (MATCH(561, 輔助計算!$G$2:$G$801, 0)+1))&lt;&gt;"", INDEX(ERP資料!$G:$G, (MATCH(561, 輔助計算!$G$2:$G$801, 0)+1))&lt;&gt;""), TRIM(IF(INT(INDEX(輔助計算!$D:$D, (MATCH(561, 輔助計算!$G$2:$G$801, 0)+1))/IF(INDEX(ERP資料!$G:$G, (MATCH(561, 輔助計算!$G$2:$G$801, 0)+1))&lt;100, IF(INDEX(ERP資料!$G:$G, (MATCH(561, 輔助計算!$G$2:$G$801, 0)+1))&lt;=31,3,IF(INDEX(ERP資料!$G:$G, (MATCH(561, 輔助計算!$G$2:$G$801, 0)+1))&lt;=46.5,2,1)), IF(INDEX(ERP資料!$G:$G, (MATCH(561, 輔助計算!$G$2:$G$801, 0)+1))&lt;=790,3,IF(INDEX(ERP資料!$G:$G, (MATCH(561, 輔助計算!$G$2:$G$801, 0)+1))&lt;=1181,2,1))))&gt;0, IF(IF(INDEX(ERP資料!$G:$G, (MATCH(561, 輔助計算!$G$2:$G$801, 0)+1))&lt;100, IF(INDEX(ERP資料!$G:$G, (MATCH(561, 輔助計算!$G$2:$G$801, 0)+1))&lt;=31,3,IF(INDEX(ERP資料!$G:$G, (MATCH(561, 輔助計算!$G$2:$G$801, 0)+1))&lt;=46.5,2,1)), IF(INDEX(ERP資料!$G:$G, (MATCH(561, 輔助計算!$G$2:$G$801, 0)+1))&lt;=790,3,IF(INDEX(ERP資料!$G:$G, (MATCH(561, 輔助計算!$G$2:$G$801, 0)+1))&lt;=1181,2,1)))=1,TEXT(INDEX(ERP資料!$G:$G, (MATCH(561, 輔助計算!$G$2:$G$801, 0)+1)),"0.##"),IF(IF(INDEX(ERP資料!$G:$G, (MATCH(561, 輔助計算!$G$2:$G$801, 0)+1))&lt;100, IF(INDEX(ERP資料!$G:$G, (MATCH(561, 輔助計算!$G$2:$G$801, 0)+1))&lt;=31,3,IF(INDEX(ERP資料!$G:$G, (MATCH(561, 輔助計算!$G$2:$G$801, 0)+1))&lt;=46.5,2,1)), IF(INDEX(ERP資料!$G:$G, (MATCH(561, 輔助計算!$G$2:$G$801, 0)+1))&lt;=790,3,IF(INDEX(ERP資料!$G:$G, (MATCH(561, 輔助計算!$G$2:$G$801, 0)+1))&lt;=1181,2,1)))=2,TEXT(INDEX(ERP資料!$G:$G, (MATCH(561, 輔助計算!$G$2:$G$801, 0)+1)),"0.##")&amp;"+"&amp;TEXT(INDEX(ERP資料!$G:$G, (MATCH(561, 輔助計算!$G$2:$G$801, 0)+1)),"0.##"),TEXT(INDEX(ERP資料!$G:$G, (MATCH(561, 輔助計算!$G$2:$G$801, 0)+1)),"0.##")&amp;"+"&amp;TEXT(INDEX(ERP資料!$G:$G, (MATCH(561, 輔助計算!$G$2:$G$801, 0)+1)),"0.##")&amp;"+"&amp;TEXT(INDEX(ERP資料!$G:$G, (MATCH(561, 輔助計算!$G$2:$G$801, 0)+1)),"0.##")))&amp;"-"&amp;INT(INDEX(輔助計算!$D:$D, (MATCH(561, 輔助計算!$G$2:$G$801, 0)+1))/IF(INDEX(ERP資料!$G:$G, (MATCH(561, 輔助計算!$G$2:$G$801, 0)+1))&lt;100, IF(INDEX(ERP資料!$G:$G, (MATCH(561, 輔助計算!$G$2:$G$801, 0)+1))&lt;=31,3,IF(INDEX(ERP資料!$G:$G, (MATCH(561, 輔助計算!$G$2:$G$801, 0)+1))&lt;=46.5,2,1)), IF(INDEX(ERP資料!$G:$G, (MATCH(561, 輔助計算!$G$2:$G$801, 0)+1))&lt;=790,3,IF(INDEX(ERP資料!$G:$G, (MATCH(561, 輔助計算!$G$2:$G$801, 0)+1))&lt;=1181,2,1)))), "")&amp;IF(AND(IF(INT(INDEX(輔助計算!$D:$D, (MATCH(561, 輔助計算!$G$2:$G$801, 0)+1))/IF(INDEX(ERP資料!$G:$G, (MATCH(561, 輔助計算!$G$2:$G$801, 0)+1))&lt;100, IF(INDEX(ERP資料!$G:$G, (MATCH(561, 輔助計算!$G$2:$G$801, 0)+1))&lt;=31,3,IF(INDEX(ERP資料!$G:$G, (MATCH(561, 輔助計算!$G$2:$G$801, 0)+1))&lt;=46.5,2,1)), IF(INDEX(ERP資料!$G:$G, (MATCH(561, 輔助計算!$G$2:$G$801, 0)+1))&lt;=790,3,IF(INDEX(ERP資料!$G:$G, (MATCH(561, 輔助計算!$G$2:$G$801, 0)+1))&lt;=1181,2,1))))&gt;0, IF(IF(INDEX(ERP資料!$G:$G, (MATCH(561, 輔助計算!$G$2:$G$801, 0)+1))&lt;100, IF(INDEX(ERP資料!$G:$G, (MATCH(561, 輔助計算!$G$2:$G$801, 0)+1))&lt;=31,3,IF(INDEX(ERP資料!$G:$G, (MATCH(561, 輔助計算!$G$2:$G$801, 0)+1))&lt;=46.5,2,1)), IF(INDEX(ERP資料!$G:$G, (MATCH(561, 輔助計算!$G$2:$G$801, 0)+1))&lt;=790,3,IF(INDEX(ERP資料!$G:$G, (MATCH(561, 輔助計算!$G$2:$G$801, 0)+1))&lt;=1181,2,1)))=1,TEXT(INDEX(ERP資料!$G:$G, (MATCH(561, 輔助計算!$G$2:$G$801, 0)+1)),"0.##"),IF(IF(INDEX(ERP資料!$G:$G, (MATCH(561, 輔助計算!$G$2:$G$801, 0)+1))&lt;100, IF(INDEX(ERP資料!$G:$G, (MATCH(561, 輔助計算!$G$2:$G$801, 0)+1))&lt;=31,3,IF(INDEX(ERP資料!$G:$G, (MATCH(561, 輔助計算!$G$2:$G$801, 0)+1))&lt;=46.5,2,1)), IF(INDEX(ERP資料!$G:$G, (MATCH(561, 輔助計算!$G$2:$G$801, 0)+1))&lt;=790,3,IF(INDEX(ERP資料!$G:$G, (MATCH(561, 輔助計算!$G$2:$G$801, 0)+1))&lt;=1181,2,1)))=2,TEXT(INDEX(ERP資料!$G:$G, (MATCH(561, 輔助計算!$G$2:$G$801, 0)+1)),"0.##")&amp;"+"&amp;TEXT(INDEX(ERP資料!$G:$G, (MATCH(561, 輔助計算!$G$2:$G$801, 0)+1)),"0.##"),TEXT(INDEX(ERP資料!$G:$G, (MATCH(561, 輔助計算!$G$2:$G$801, 0)+1)),"0.##")&amp;"+"&amp;TEXT(INDEX(ERP資料!$G:$G, (MATCH(561, 輔助計算!$G$2:$G$801, 0)+1)),"0.##")&amp;"+"&amp;TEXT(INDEX(ERP資料!$G:$G, (MATCH(561, 輔助計算!$G$2:$G$801, 0)+1)),"0.##")))&amp;"-"&amp;INT(INDEX(輔助計算!$D:$D, (MATCH(561, 輔助計算!$G$2:$G$801, 0)+1))/IF(INDEX(ERP資料!$G:$G, (MATCH(561, 輔助計算!$G$2:$G$801, 0)+1))&lt;100, IF(INDEX(ERP資料!$G:$G, (MATCH(561, 輔助計算!$G$2:$G$801, 0)+1))&lt;=31,3,IF(INDEX(ERP資料!$G:$G, (MATCH(561, 輔助計算!$G$2:$G$801, 0)+1))&lt;=46.5,2,1)), IF(INDEX(ERP資料!$G:$G, (MATCH(561, 輔助計算!$G$2:$G$801, 0)+1))&lt;=790,3,IF(INDEX(ERP資料!$G:$G, (MATCH(561, 輔助計算!$G$2:$G$801, 0)+1))&lt;=1181,2,1)))), "")&lt;&gt;"",IF(MOD(INDEX(輔助計算!$D:$D, (MATCH(561, 輔助計算!$G$2:$G$801, 0)+1)),IF(INDEX(ERP資料!$G:$G, (MATCH(561, 輔助計算!$G$2:$G$801, 0)+1))&lt;100, IF(INDEX(ERP資料!$G:$G, (MATCH(561, 輔助計算!$G$2:$G$801, 0)+1))&lt;=31,3,IF(INDEX(ERP資料!$G:$G, (MATCH(561, 輔助計算!$G$2:$G$801, 0)+1))&lt;=46.5,2,1)), IF(INDEX(ERP資料!$G:$G, (MATCH(561, 輔助計算!$G$2:$G$801, 0)+1))&lt;=790,3,IF(INDEX(ERP資料!$G:$G, (MATCH(561, 輔助計算!$G$2:$G$801, 0)+1))&lt;=1181,2,1))))=0,"",IF(MOD(INDEX(輔助計算!$D:$D, (MATCH(561, 輔助計算!$G$2:$G$801, 0)+1)),IF(INDEX(ERP資料!$G:$G, (MATCH(561, 輔助計算!$G$2:$G$801, 0)+1))&lt;100, IF(INDEX(ERP資料!$G:$G, (MATCH(561, 輔助計算!$G$2:$G$801, 0)+1))&lt;=31,3,IF(INDEX(ERP資料!$G:$G, (MATCH(561, 輔助計算!$G$2:$G$801, 0)+1))&lt;=46.5,2,1)), IF(INDEX(ERP資料!$G:$G, (MATCH(561, 輔助計算!$G$2:$G$801, 0)+1))&lt;=790,3,IF(INDEX(ERP資料!$G:$G, (MATCH(561, 輔助計算!$G$2:$G$801, 0)+1))&lt;=1181,2,1))))=0,"",IF(MOD(INDEX(輔助計算!$D:$D, (MATCH(561, 輔助計算!$G$2:$G$801, 0)+1)),IF(INDEX(ERP資料!$G:$G, (MATCH(561, 輔助計算!$G$2:$G$801, 0)+1))&lt;100, IF(INDEX(ERP資料!$G:$G, (MATCH(561, 輔助計算!$G$2:$G$801, 0)+1))&lt;=31,3,IF(INDEX(ERP資料!$G:$G, (MATCH(561, 輔助計算!$G$2:$G$801, 0)+1))&lt;=46.5,2,1)), IF(INDEX(ERP資料!$G:$G, (MATCH(561, 輔助計算!$G$2:$G$801, 0)+1))&lt;=790,3,IF(INDEX(ERP資料!$G:$G, (MATCH(561, 輔助計算!$G$2:$G$801, 0)+1))&lt;=1181,2,1))))=1,TEXT(INDEX(ERP資料!$G:$G, (MATCH(561, 輔助計算!$G$2:$G$801, 0)+1)),"0.##"),IF(MOD(INDEX(輔助計算!$D:$D, (MATCH(561, 輔助計算!$G$2:$G$801, 0)+1)),IF(INDEX(ERP資料!$G:$G, (MATCH(561, 輔助計算!$G$2:$G$801, 0)+1))&lt;100, IF(INDEX(ERP資料!$G:$G, (MATCH(561, 輔助計算!$G$2:$G$801, 0)+1))&lt;=31,3,IF(INDEX(ERP資料!$G:$G, (MATCH(561, 輔助計算!$G$2:$G$801, 0)+1))&lt;=46.5,2,1)), IF(INDEX(ERP資料!$G:$G, (MATCH(561, 輔助計算!$G$2:$G$801, 0)+1))&lt;=790,3,IF(INDEX(ERP資料!$G:$G, (MATCH(561, 輔助計算!$G$2:$G$801, 0)+1))&lt;=1181,2,1))))=2,TEXT(INDEX(ERP資料!$G:$G, (MATCH(561, 輔助計算!$G$2:$G$801, 0)+1)),"0.##")&amp;"+"&amp;TEXT(INDEX(ERP資料!$G:$G, (MATCH(561, 輔助計算!$G$2:$G$801, 0)+1)),"0.##"),TEXT(INDEX(ERP資料!$G:$G, (MATCH(561, 輔助計算!$G$2:$G$801, 0)+1)),"0.##")&amp;"+"&amp;TEXT(INDEX(ERP資料!$G:$G, (MATCH(561, 輔助計算!$G$2:$G$801, 0)+1)),"0.##")&amp;"+"&amp;TEXT(INDEX(ERP資料!$G:$G, (MATCH(561, 輔助計算!$G$2:$G$801, 0)+1)),"0.##"))))&amp;"-1")&lt;&gt;""),"  ","")&amp;IF(MOD(INDEX(輔助計算!$D:$D, (MATCH(561, 輔助計算!$G$2:$G$801, 0)+1)),IF(INDEX(ERP資料!$G:$G, (MATCH(561, 輔助計算!$G$2:$G$801, 0)+1))&lt;100, IF(INDEX(ERP資料!$G:$G, (MATCH(561, 輔助計算!$G$2:$G$801, 0)+1))&lt;=31,3,IF(INDEX(ERP資料!$G:$G, (MATCH(561, 輔助計算!$G$2:$G$801, 0)+1))&lt;=46.5,2,1)), IF(INDEX(ERP資料!$G:$G, (MATCH(561, 輔助計算!$G$2:$G$801, 0)+1))&lt;=790,3,IF(INDEX(ERP資料!$G:$G, (MATCH(561, 輔助計算!$G$2:$G$801, 0)+1))&lt;=1181,2,1))))=0,"",IF(MOD(INDEX(輔助計算!$D:$D, (MATCH(561, 輔助計算!$G$2:$G$801, 0)+1)),IF(INDEX(ERP資料!$G:$G, (MATCH(561, 輔助計算!$G$2:$G$801, 0)+1))&lt;100, IF(INDEX(ERP資料!$G:$G, (MATCH(561, 輔助計算!$G$2:$G$801, 0)+1))&lt;=31,3,IF(INDEX(ERP資料!$G:$G, (MATCH(561, 輔助計算!$G$2:$G$801, 0)+1))&lt;=46.5,2,1)), IF(INDEX(ERP資料!$G:$G, (MATCH(561, 輔助計算!$G$2:$G$801, 0)+1))&lt;=790,3,IF(INDEX(ERP資料!$G:$G, (MATCH(561, 輔助計算!$G$2:$G$801, 0)+1))&lt;=1181,2,1))))=0,"",IF(MOD(INDEX(輔助計算!$D:$D, (MATCH(561, 輔助計算!$G$2:$G$801, 0)+1)),IF(INDEX(ERP資料!$G:$G, (MATCH(561, 輔助計算!$G$2:$G$801, 0)+1))&lt;100, IF(INDEX(ERP資料!$G:$G, (MATCH(561, 輔助計算!$G$2:$G$801, 0)+1))&lt;=31,3,IF(INDEX(ERP資料!$G:$G, (MATCH(561, 輔助計算!$G$2:$G$801, 0)+1))&lt;=46.5,2,1)), IF(INDEX(ERP資料!$G:$G, (MATCH(561, 輔助計算!$G$2:$G$801, 0)+1))&lt;=790,3,IF(INDEX(ERP資料!$G:$G, (MATCH(561, 輔助計算!$G$2:$G$801, 0)+1))&lt;=1181,2,1))))=1,TEXT(INDEX(ERP資料!$G:$G, (MATCH(561, 輔助計算!$G$2:$G$801, 0)+1)),"0.##"),IF(MOD(INDEX(輔助計算!$D:$D, (MATCH(561, 輔助計算!$G$2:$G$801, 0)+1)),IF(INDEX(ERP資料!$G:$G, (MATCH(561, 輔助計算!$G$2:$G$801, 0)+1))&lt;100, IF(INDEX(ERP資料!$G:$G, (MATCH(561, 輔助計算!$G$2:$G$801, 0)+1))&lt;=31,3,IF(INDEX(ERP資料!$G:$G, (MATCH(561, 輔助計算!$G$2:$G$801, 0)+1))&lt;=46.5,2,1)), IF(INDEX(ERP資料!$G:$G, (MATCH(561, 輔助計算!$G$2:$G$801, 0)+1))&lt;=790,3,IF(INDEX(ERP資料!$G:$G, (MATCH(561, 輔助計算!$G$2:$G$801, 0)+1))&lt;=1181,2,1))))=2,TEXT(INDEX(ERP資料!$G:$G, (MATCH(561, 輔助計算!$G$2:$G$801, 0)+1)),"0.##")&amp;"+"&amp;TEXT(INDEX(ERP資料!$G:$G, (MATCH(561, 輔助計算!$G$2:$G$801, 0)+1)),"0.##"),TEXT(INDEX(ERP資料!$G:$G, (MATCH(561, 輔助計算!$G$2:$G$801, 0)+1)),"0.##")&amp;"+"&amp;TEXT(INDEX(ERP資料!$G:$G, (MATCH(561, 輔助計算!$G$2:$G$801, 0)+1)),"0.##")&amp;"+"&amp;TEXT(INDEX(ERP資料!$G:$G, (MATCH(561, 輔助計算!$G$2:$G$801, 0)+1)),"0.##"))))&amp;"-1")), ""), "")</f>
        <v/>
      </c>
      <c r="K562" s="16" t="n"/>
      <c r="L562" s="14">
        <f>IFERROR(IF(AND(IFERROR(INDEX(ERP資料!$A:$A, (MATCH(561, 輔助計算!$G$2:$G$801, 0)+1)), "")&lt;&gt;"", IFERROR(INDEX(ERP資料!$A:$A, (MATCH(561, 輔助計算!$G$2:$G$801, 0)+1)), "")&lt;&gt;IFERROR(INDEX(ERP資料!$A:$A, MATCH(560, 輔助計算!$G$2:$G$801, 0)+1), "")), INDEX(ERP資料!$B:$B, (MATCH(561, 輔助計算!$G$2:$G$801, 0)+1)), ""), "")</f>
        <v/>
      </c>
      <c r="M562" s="17" t="n"/>
    </row>
    <row r="563">
      <c r="A563" s="10">
        <f>IFERROR(IF(AND(IFERROR(INDEX(ERP資料!$A:$A, (MATCH(562, 輔助計算!$G$2:$G$801, 0)+1)), "")&lt;&gt;"", IFERROR(INDEX(ERP資料!$A:$A, (MATCH(562, 輔助計算!$G$2:$G$801, 0)+1)), "")&lt;&gt;IFERROR(INDEX(ERP資料!$A:$A, MATCH(561, 輔助計算!$G$2:$G$801, 0)+1), "")), IFERROR(INDEX(ERP資料!$A:$A, (MATCH(562, 輔助計算!$G$2:$G$801, 0)+1)), ""), ""), "")</f>
        <v/>
      </c>
      <c r="B563" s="10">
        <f>IFERROR(IF(AND(IFERROR(INDEX(ERP資料!$A:$A, (MATCH(562, 輔助計算!$G$2:$G$801, 0)+1)), "")&lt;&gt;"", IFERROR(INDEX(ERP資料!$A:$A, (MATCH(562, 輔助計算!$G$2:$G$801, 0)+1)), "")&lt;&gt;IFERROR(INDEX(ERP資料!$A:$A, MATCH(561, 輔助計算!$G$2:$G$801, 0)+1), "")), INDEX(ERP資料!$S:$S, (MATCH(562, 輔助計算!$G$2:$G$801, 0)+1)), ""), "")</f>
        <v/>
      </c>
      <c r="C563" s="19">
        <f>IFERROR(IF(AND(IFERROR(INDEX(ERP資料!$A:$A, (MATCH(562, 輔助計算!$G$2:$G$801, 0)+1)), "")&lt;&gt;"", IFERROR(INDEX(ERP資料!$A:$A, (MATCH(562, 輔助計算!$G$2:$G$801, 0)+1)), "")&lt;&gt;IFERROR(INDEX(ERP資料!$A:$A, MATCH(561, 輔助計算!$G$2:$G$801, 0)+1), "")), IFERROR(VLOOKUP(LEFT(INDEX(ERP資料!$S:$S, (MATCH(562, 輔助計算!$G$2:$G$801, 0)+1)), 4), 紙管對照表!$A:$C, 3, FALSE), ""), ""), "")</f>
        <v/>
      </c>
      <c r="D563" s="16" t="n"/>
      <c r="E563" s="10">
        <f>IFERROR(IF(INDEX(ERP資料!$H:$H, (MATCH(562, 輔助計算!$G$2:$G$801, 0)+1))="","",INDEX(ERP資料!$H:$H, (MATCH(562, 輔助計算!$G$2:$G$801, 0)+1))), "")</f>
        <v/>
      </c>
      <c r="F563" s="10">
        <f>IFERROR(IF(INDEX(ERP資料!$E:$E, (MATCH(562, 輔助計算!$G$2:$G$801, 0)+1))="","",TRIM(INDEX(ERP資料!$E:$E, (MATCH(562, 輔助計算!$G$2:$G$801, 0)+1)))), "")</f>
        <v/>
      </c>
      <c r="G563" s="10">
        <f>IFERROR(IF(INDEX(ERP資料!$F:$F, (MATCH(562, 輔助計算!$G$2:$G$801, 0)+1))="","",INDEX(ERP資料!$F:$F, (MATCH(562, 輔助計算!$G$2:$G$801, 0)+1))), "")</f>
        <v/>
      </c>
      <c r="H563" s="10">
        <f>IFERROR(IF(INDEX(ERP資料!$G:$G, (MATCH(562, 輔助計算!$G$2:$G$801, 0)+1))="","",INDEX(ERP資料!$G:$G, (MATCH(562, 輔助計算!$G$2:$G$801, 0)+1))), "")</f>
        <v/>
      </c>
      <c r="I563" s="15">
        <f>IFERROR(INDEX(輔助計算!$D:$D, (MATCH(562, 輔助計算!$G$2:$G$801, 0)+1)), "")</f>
        <v/>
      </c>
      <c r="J563" s="15">
        <f>IFERROR(IF(AND(INDEX(輔助計算!$D:$D, (MATCH(562, 輔助計算!$G$2:$G$801, 0)+1))&lt;&gt;"", INDEX(ERP資料!$G:$G, (MATCH(562, 輔助計算!$G$2:$G$801, 0)+1))&lt;&gt;""), TRIM(IF(INT(INDEX(輔助計算!$D:$D, (MATCH(562, 輔助計算!$G$2:$G$801, 0)+1))/IF(INDEX(ERP資料!$G:$G, (MATCH(562, 輔助計算!$G$2:$G$801, 0)+1))&lt;100, IF(INDEX(ERP資料!$G:$G, (MATCH(562, 輔助計算!$G$2:$G$801, 0)+1))&lt;=31,3,IF(INDEX(ERP資料!$G:$G, (MATCH(562, 輔助計算!$G$2:$G$801, 0)+1))&lt;=46.5,2,1)), IF(INDEX(ERP資料!$G:$G, (MATCH(562, 輔助計算!$G$2:$G$801, 0)+1))&lt;=790,3,IF(INDEX(ERP資料!$G:$G, (MATCH(562, 輔助計算!$G$2:$G$801, 0)+1))&lt;=1181,2,1))))&gt;0, IF(IF(INDEX(ERP資料!$G:$G, (MATCH(562, 輔助計算!$G$2:$G$801, 0)+1))&lt;100, IF(INDEX(ERP資料!$G:$G, (MATCH(562, 輔助計算!$G$2:$G$801, 0)+1))&lt;=31,3,IF(INDEX(ERP資料!$G:$G, (MATCH(562, 輔助計算!$G$2:$G$801, 0)+1))&lt;=46.5,2,1)), IF(INDEX(ERP資料!$G:$G, (MATCH(562, 輔助計算!$G$2:$G$801, 0)+1))&lt;=790,3,IF(INDEX(ERP資料!$G:$G, (MATCH(562, 輔助計算!$G$2:$G$801, 0)+1))&lt;=1181,2,1)))=1,TEXT(INDEX(ERP資料!$G:$G, (MATCH(562, 輔助計算!$G$2:$G$801, 0)+1)),"0.##"),IF(IF(INDEX(ERP資料!$G:$G, (MATCH(562, 輔助計算!$G$2:$G$801, 0)+1))&lt;100, IF(INDEX(ERP資料!$G:$G, (MATCH(562, 輔助計算!$G$2:$G$801, 0)+1))&lt;=31,3,IF(INDEX(ERP資料!$G:$G, (MATCH(562, 輔助計算!$G$2:$G$801, 0)+1))&lt;=46.5,2,1)), IF(INDEX(ERP資料!$G:$G, (MATCH(562, 輔助計算!$G$2:$G$801, 0)+1))&lt;=790,3,IF(INDEX(ERP資料!$G:$G, (MATCH(562, 輔助計算!$G$2:$G$801, 0)+1))&lt;=1181,2,1)))=2,TEXT(INDEX(ERP資料!$G:$G, (MATCH(562, 輔助計算!$G$2:$G$801, 0)+1)),"0.##")&amp;"+"&amp;TEXT(INDEX(ERP資料!$G:$G, (MATCH(562, 輔助計算!$G$2:$G$801, 0)+1)),"0.##"),TEXT(INDEX(ERP資料!$G:$G, (MATCH(562, 輔助計算!$G$2:$G$801, 0)+1)),"0.##")&amp;"+"&amp;TEXT(INDEX(ERP資料!$G:$G, (MATCH(562, 輔助計算!$G$2:$G$801, 0)+1)),"0.##")&amp;"+"&amp;TEXT(INDEX(ERP資料!$G:$G, (MATCH(562, 輔助計算!$G$2:$G$801, 0)+1)),"0.##")))&amp;"-"&amp;INT(INDEX(輔助計算!$D:$D, (MATCH(562, 輔助計算!$G$2:$G$801, 0)+1))/IF(INDEX(ERP資料!$G:$G, (MATCH(562, 輔助計算!$G$2:$G$801, 0)+1))&lt;100, IF(INDEX(ERP資料!$G:$G, (MATCH(562, 輔助計算!$G$2:$G$801, 0)+1))&lt;=31,3,IF(INDEX(ERP資料!$G:$G, (MATCH(562, 輔助計算!$G$2:$G$801, 0)+1))&lt;=46.5,2,1)), IF(INDEX(ERP資料!$G:$G, (MATCH(562, 輔助計算!$G$2:$G$801, 0)+1))&lt;=790,3,IF(INDEX(ERP資料!$G:$G, (MATCH(562, 輔助計算!$G$2:$G$801, 0)+1))&lt;=1181,2,1)))), "")&amp;IF(AND(IF(INT(INDEX(輔助計算!$D:$D, (MATCH(562, 輔助計算!$G$2:$G$801, 0)+1))/IF(INDEX(ERP資料!$G:$G, (MATCH(562, 輔助計算!$G$2:$G$801, 0)+1))&lt;100, IF(INDEX(ERP資料!$G:$G, (MATCH(562, 輔助計算!$G$2:$G$801, 0)+1))&lt;=31,3,IF(INDEX(ERP資料!$G:$G, (MATCH(562, 輔助計算!$G$2:$G$801, 0)+1))&lt;=46.5,2,1)), IF(INDEX(ERP資料!$G:$G, (MATCH(562, 輔助計算!$G$2:$G$801, 0)+1))&lt;=790,3,IF(INDEX(ERP資料!$G:$G, (MATCH(562, 輔助計算!$G$2:$G$801, 0)+1))&lt;=1181,2,1))))&gt;0, IF(IF(INDEX(ERP資料!$G:$G, (MATCH(562, 輔助計算!$G$2:$G$801, 0)+1))&lt;100, IF(INDEX(ERP資料!$G:$G, (MATCH(562, 輔助計算!$G$2:$G$801, 0)+1))&lt;=31,3,IF(INDEX(ERP資料!$G:$G, (MATCH(562, 輔助計算!$G$2:$G$801, 0)+1))&lt;=46.5,2,1)), IF(INDEX(ERP資料!$G:$G, (MATCH(562, 輔助計算!$G$2:$G$801, 0)+1))&lt;=790,3,IF(INDEX(ERP資料!$G:$G, (MATCH(562, 輔助計算!$G$2:$G$801, 0)+1))&lt;=1181,2,1)))=1,TEXT(INDEX(ERP資料!$G:$G, (MATCH(562, 輔助計算!$G$2:$G$801, 0)+1)),"0.##"),IF(IF(INDEX(ERP資料!$G:$G, (MATCH(562, 輔助計算!$G$2:$G$801, 0)+1))&lt;100, IF(INDEX(ERP資料!$G:$G, (MATCH(562, 輔助計算!$G$2:$G$801, 0)+1))&lt;=31,3,IF(INDEX(ERP資料!$G:$G, (MATCH(562, 輔助計算!$G$2:$G$801, 0)+1))&lt;=46.5,2,1)), IF(INDEX(ERP資料!$G:$G, (MATCH(562, 輔助計算!$G$2:$G$801, 0)+1))&lt;=790,3,IF(INDEX(ERP資料!$G:$G, (MATCH(562, 輔助計算!$G$2:$G$801, 0)+1))&lt;=1181,2,1)))=2,TEXT(INDEX(ERP資料!$G:$G, (MATCH(562, 輔助計算!$G$2:$G$801, 0)+1)),"0.##")&amp;"+"&amp;TEXT(INDEX(ERP資料!$G:$G, (MATCH(562, 輔助計算!$G$2:$G$801, 0)+1)),"0.##"),TEXT(INDEX(ERP資料!$G:$G, (MATCH(562, 輔助計算!$G$2:$G$801, 0)+1)),"0.##")&amp;"+"&amp;TEXT(INDEX(ERP資料!$G:$G, (MATCH(562, 輔助計算!$G$2:$G$801, 0)+1)),"0.##")&amp;"+"&amp;TEXT(INDEX(ERP資料!$G:$G, (MATCH(562, 輔助計算!$G$2:$G$801, 0)+1)),"0.##")))&amp;"-"&amp;INT(INDEX(輔助計算!$D:$D, (MATCH(562, 輔助計算!$G$2:$G$801, 0)+1))/IF(INDEX(ERP資料!$G:$G, (MATCH(562, 輔助計算!$G$2:$G$801, 0)+1))&lt;100, IF(INDEX(ERP資料!$G:$G, (MATCH(562, 輔助計算!$G$2:$G$801, 0)+1))&lt;=31,3,IF(INDEX(ERP資料!$G:$G, (MATCH(562, 輔助計算!$G$2:$G$801, 0)+1))&lt;=46.5,2,1)), IF(INDEX(ERP資料!$G:$G, (MATCH(562, 輔助計算!$G$2:$G$801, 0)+1))&lt;=790,3,IF(INDEX(ERP資料!$G:$G, (MATCH(562, 輔助計算!$G$2:$G$801, 0)+1))&lt;=1181,2,1)))), "")&lt;&gt;"",IF(MOD(INDEX(輔助計算!$D:$D, (MATCH(562, 輔助計算!$G$2:$G$801, 0)+1)),IF(INDEX(ERP資料!$G:$G, (MATCH(562, 輔助計算!$G$2:$G$801, 0)+1))&lt;100, IF(INDEX(ERP資料!$G:$G, (MATCH(562, 輔助計算!$G$2:$G$801, 0)+1))&lt;=31,3,IF(INDEX(ERP資料!$G:$G, (MATCH(562, 輔助計算!$G$2:$G$801, 0)+1))&lt;=46.5,2,1)), IF(INDEX(ERP資料!$G:$G, (MATCH(562, 輔助計算!$G$2:$G$801, 0)+1))&lt;=790,3,IF(INDEX(ERP資料!$G:$G, (MATCH(562, 輔助計算!$G$2:$G$801, 0)+1))&lt;=1181,2,1))))=0,"",IF(MOD(INDEX(輔助計算!$D:$D, (MATCH(562, 輔助計算!$G$2:$G$801, 0)+1)),IF(INDEX(ERP資料!$G:$G, (MATCH(562, 輔助計算!$G$2:$G$801, 0)+1))&lt;100, IF(INDEX(ERP資料!$G:$G, (MATCH(562, 輔助計算!$G$2:$G$801, 0)+1))&lt;=31,3,IF(INDEX(ERP資料!$G:$G, (MATCH(562, 輔助計算!$G$2:$G$801, 0)+1))&lt;=46.5,2,1)), IF(INDEX(ERP資料!$G:$G, (MATCH(562, 輔助計算!$G$2:$G$801, 0)+1))&lt;=790,3,IF(INDEX(ERP資料!$G:$G, (MATCH(562, 輔助計算!$G$2:$G$801, 0)+1))&lt;=1181,2,1))))=0,"",IF(MOD(INDEX(輔助計算!$D:$D, (MATCH(562, 輔助計算!$G$2:$G$801, 0)+1)),IF(INDEX(ERP資料!$G:$G, (MATCH(562, 輔助計算!$G$2:$G$801, 0)+1))&lt;100, IF(INDEX(ERP資料!$G:$G, (MATCH(562, 輔助計算!$G$2:$G$801, 0)+1))&lt;=31,3,IF(INDEX(ERP資料!$G:$G, (MATCH(562, 輔助計算!$G$2:$G$801, 0)+1))&lt;=46.5,2,1)), IF(INDEX(ERP資料!$G:$G, (MATCH(562, 輔助計算!$G$2:$G$801, 0)+1))&lt;=790,3,IF(INDEX(ERP資料!$G:$G, (MATCH(562, 輔助計算!$G$2:$G$801, 0)+1))&lt;=1181,2,1))))=1,TEXT(INDEX(ERP資料!$G:$G, (MATCH(562, 輔助計算!$G$2:$G$801, 0)+1)),"0.##"),IF(MOD(INDEX(輔助計算!$D:$D, (MATCH(562, 輔助計算!$G$2:$G$801, 0)+1)),IF(INDEX(ERP資料!$G:$G, (MATCH(562, 輔助計算!$G$2:$G$801, 0)+1))&lt;100, IF(INDEX(ERP資料!$G:$G, (MATCH(562, 輔助計算!$G$2:$G$801, 0)+1))&lt;=31,3,IF(INDEX(ERP資料!$G:$G, (MATCH(562, 輔助計算!$G$2:$G$801, 0)+1))&lt;=46.5,2,1)), IF(INDEX(ERP資料!$G:$G, (MATCH(562, 輔助計算!$G$2:$G$801, 0)+1))&lt;=790,3,IF(INDEX(ERP資料!$G:$G, (MATCH(562, 輔助計算!$G$2:$G$801, 0)+1))&lt;=1181,2,1))))=2,TEXT(INDEX(ERP資料!$G:$G, (MATCH(562, 輔助計算!$G$2:$G$801, 0)+1)),"0.##")&amp;"+"&amp;TEXT(INDEX(ERP資料!$G:$G, (MATCH(562, 輔助計算!$G$2:$G$801, 0)+1)),"0.##"),TEXT(INDEX(ERP資料!$G:$G, (MATCH(562, 輔助計算!$G$2:$G$801, 0)+1)),"0.##")&amp;"+"&amp;TEXT(INDEX(ERP資料!$G:$G, (MATCH(562, 輔助計算!$G$2:$G$801, 0)+1)),"0.##")&amp;"+"&amp;TEXT(INDEX(ERP資料!$G:$G, (MATCH(562, 輔助計算!$G$2:$G$801, 0)+1)),"0.##"))))&amp;"-1")&lt;&gt;""),"  ","")&amp;IF(MOD(INDEX(輔助計算!$D:$D, (MATCH(562, 輔助計算!$G$2:$G$801, 0)+1)),IF(INDEX(ERP資料!$G:$G, (MATCH(562, 輔助計算!$G$2:$G$801, 0)+1))&lt;100, IF(INDEX(ERP資料!$G:$G, (MATCH(562, 輔助計算!$G$2:$G$801, 0)+1))&lt;=31,3,IF(INDEX(ERP資料!$G:$G, (MATCH(562, 輔助計算!$G$2:$G$801, 0)+1))&lt;=46.5,2,1)), IF(INDEX(ERP資料!$G:$G, (MATCH(562, 輔助計算!$G$2:$G$801, 0)+1))&lt;=790,3,IF(INDEX(ERP資料!$G:$G, (MATCH(562, 輔助計算!$G$2:$G$801, 0)+1))&lt;=1181,2,1))))=0,"",IF(MOD(INDEX(輔助計算!$D:$D, (MATCH(562, 輔助計算!$G$2:$G$801, 0)+1)),IF(INDEX(ERP資料!$G:$G, (MATCH(562, 輔助計算!$G$2:$G$801, 0)+1))&lt;100, IF(INDEX(ERP資料!$G:$G, (MATCH(562, 輔助計算!$G$2:$G$801, 0)+1))&lt;=31,3,IF(INDEX(ERP資料!$G:$G, (MATCH(562, 輔助計算!$G$2:$G$801, 0)+1))&lt;=46.5,2,1)), IF(INDEX(ERP資料!$G:$G, (MATCH(562, 輔助計算!$G$2:$G$801, 0)+1))&lt;=790,3,IF(INDEX(ERP資料!$G:$G, (MATCH(562, 輔助計算!$G$2:$G$801, 0)+1))&lt;=1181,2,1))))=0,"",IF(MOD(INDEX(輔助計算!$D:$D, (MATCH(562, 輔助計算!$G$2:$G$801, 0)+1)),IF(INDEX(ERP資料!$G:$G, (MATCH(562, 輔助計算!$G$2:$G$801, 0)+1))&lt;100, IF(INDEX(ERP資料!$G:$G, (MATCH(562, 輔助計算!$G$2:$G$801, 0)+1))&lt;=31,3,IF(INDEX(ERP資料!$G:$G, (MATCH(562, 輔助計算!$G$2:$G$801, 0)+1))&lt;=46.5,2,1)), IF(INDEX(ERP資料!$G:$G, (MATCH(562, 輔助計算!$G$2:$G$801, 0)+1))&lt;=790,3,IF(INDEX(ERP資料!$G:$G, (MATCH(562, 輔助計算!$G$2:$G$801, 0)+1))&lt;=1181,2,1))))=1,TEXT(INDEX(ERP資料!$G:$G, (MATCH(562, 輔助計算!$G$2:$G$801, 0)+1)),"0.##"),IF(MOD(INDEX(輔助計算!$D:$D, (MATCH(562, 輔助計算!$G$2:$G$801, 0)+1)),IF(INDEX(ERP資料!$G:$G, (MATCH(562, 輔助計算!$G$2:$G$801, 0)+1))&lt;100, IF(INDEX(ERP資料!$G:$G, (MATCH(562, 輔助計算!$G$2:$G$801, 0)+1))&lt;=31,3,IF(INDEX(ERP資料!$G:$G, (MATCH(562, 輔助計算!$G$2:$G$801, 0)+1))&lt;=46.5,2,1)), IF(INDEX(ERP資料!$G:$G, (MATCH(562, 輔助計算!$G$2:$G$801, 0)+1))&lt;=790,3,IF(INDEX(ERP資料!$G:$G, (MATCH(562, 輔助計算!$G$2:$G$801, 0)+1))&lt;=1181,2,1))))=2,TEXT(INDEX(ERP資料!$G:$G, (MATCH(562, 輔助計算!$G$2:$G$801, 0)+1)),"0.##")&amp;"+"&amp;TEXT(INDEX(ERP資料!$G:$G, (MATCH(562, 輔助計算!$G$2:$G$801, 0)+1)),"0.##"),TEXT(INDEX(ERP資料!$G:$G, (MATCH(562, 輔助計算!$G$2:$G$801, 0)+1)),"0.##")&amp;"+"&amp;TEXT(INDEX(ERP資料!$G:$G, (MATCH(562, 輔助計算!$G$2:$G$801, 0)+1)),"0.##")&amp;"+"&amp;TEXT(INDEX(ERP資料!$G:$G, (MATCH(562, 輔助計算!$G$2:$G$801, 0)+1)),"0.##"))))&amp;"-1")), ""), "")</f>
        <v/>
      </c>
      <c r="K563" s="16" t="n"/>
      <c r="L563" s="14">
        <f>IFERROR(IF(AND(IFERROR(INDEX(ERP資料!$A:$A, (MATCH(562, 輔助計算!$G$2:$G$801, 0)+1)), "")&lt;&gt;"", IFERROR(INDEX(ERP資料!$A:$A, (MATCH(562, 輔助計算!$G$2:$G$801, 0)+1)), "")&lt;&gt;IFERROR(INDEX(ERP資料!$A:$A, MATCH(561, 輔助計算!$G$2:$G$801, 0)+1), "")), INDEX(ERP資料!$B:$B, (MATCH(562, 輔助計算!$G$2:$G$801, 0)+1)), ""), "")</f>
        <v/>
      </c>
      <c r="M563" s="17" t="n"/>
    </row>
    <row r="564">
      <c r="A564" s="10">
        <f>IFERROR(IF(AND(IFERROR(INDEX(ERP資料!$A:$A, (MATCH(563, 輔助計算!$G$2:$G$801, 0)+1)), "")&lt;&gt;"", IFERROR(INDEX(ERP資料!$A:$A, (MATCH(563, 輔助計算!$G$2:$G$801, 0)+1)), "")&lt;&gt;IFERROR(INDEX(ERP資料!$A:$A, MATCH(562, 輔助計算!$G$2:$G$801, 0)+1), "")), IFERROR(INDEX(ERP資料!$A:$A, (MATCH(563, 輔助計算!$G$2:$G$801, 0)+1)), ""), ""), "")</f>
        <v/>
      </c>
      <c r="B564" s="10">
        <f>IFERROR(IF(AND(IFERROR(INDEX(ERP資料!$A:$A, (MATCH(563, 輔助計算!$G$2:$G$801, 0)+1)), "")&lt;&gt;"", IFERROR(INDEX(ERP資料!$A:$A, (MATCH(563, 輔助計算!$G$2:$G$801, 0)+1)), "")&lt;&gt;IFERROR(INDEX(ERP資料!$A:$A, MATCH(562, 輔助計算!$G$2:$G$801, 0)+1), "")), INDEX(ERP資料!$S:$S, (MATCH(563, 輔助計算!$G$2:$G$801, 0)+1)), ""), "")</f>
        <v/>
      </c>
      <c r="C564" s="19">
        <f>IFERROR(IF(AND(IFERROR(INDEX(ERP資料!$A:$A, (MATCH(563, 輔助計算!$G$2:$G$801, 0)+1)), "")&lt;&gt;"", IFERROR(INDEX(ERP資料!$A:$A, (MATCH(563, 輔助計算!$G$2:$G$801, 0)+1)), "")&lt;&gt;IFERROR(INDEX(ERP資料!$A:$A, MATCH(562, 輔助計算!$G$2:$G$801, 0)+1), "")), IFERROR(VLOOKUP(LEFT(INDEX(ERP資料!$S:$S, (MATCH(563, 輔助計算!$G$2:$G$801, 0)+1)), 4), 紙管對照表!$A:$C, 3, FALSE), ""), ""), "")</f>
        <v/>
      </c>
      <c r="D564" s="16" t="n"/>
      <c r="E564" s="10">
        <f>IFERROR(IF(INDEX(ERP資料!$H:$H, (MATCH(563, 輔助計算!$G$2:$G$801, 0)+1))="","",INDEX(ERP資料!$H:$H, (MATCH(563, 輔助計算!$G$2:$G$801, 0)+1))), "")</f>
        <v/>
      </c>
      <c r="F564" s="10">
        <f>IFERROR(IF(INDEX(ERP資料!$E:$E, (MATCH(563, 輔助計算!$G$2:$G$801, 0)+1))="","",TRIM(INDEX(ERP資料!$E:$E, (MATCH(563, 輔助計算!$G$2:$G$801, 0)+1)))), "")</f>
        <v/>
      </c>
      <c r="G564" s="10">
        <f>IFERROR(IF(INDEX(ERP資料!$F:$F, (MATCH(563, 輔助計算!$G$2:$G$801, 0)+1))="","",INDEX(ERP資料!$F:$F, (MATCH(563, 輔助計算!$G$2:$G$801, 0)+1))), "")</f>
        <v/>
      </c>
      <c r="H564" s="10">
        <f>IFERROR(IF(INDEX(ERP資料!$G:$G, (MATCH(563, 輔助計算!$G$2:$G$801, 0)+1))="","",INDEX(ERP資料!$G:$G, (MATCH(563, 輔助計算!$G$2:$G$801, 0)+1))), "")</f>
        <v/>
      </c>
      <c r="I564" s="15">
        <f>IFERROR(INDEX(輔助計算!$D:$D, (MATCH(563, 輔助計算!$G$2:$G$801, 0)+1)), "")</f>
        <v/>
      </c>
      <c r="J564" s="15">
        <f>IFERROR(IF(AND(INDEX(輔助計算!$D:$D, (MATCH(563, 輔助計算!$G$2:$G$801, 0)+1))&lt;&gt;"", INDEX(ERP資料!$G:$G, (MATCH(563, 輔助計算!$G$2:$G$801, 0)+1))&lt;&gt;""), TRIM(IF(INT(INDEX(輔助計算!$D:$D, (MATCH(563, 輔助計算!$G$2:$G$801, 0)+1))/IF(INDEX(ERP資料!$G:$G, (MATCH(563, 輔助計算!$G$2:$G$801, 0)+1))&lt;100, IF(INDEX(ERP資料!$G:$G, (MATCH(563, 輔助計算!$G$2:$G$801, 0)+1))&lt;=31,3,IF(INDEX(ERP資料!$G:$G, (MATCH(563, 輔助計算!$G$2:$G$801, 0)+1))&lt;=46.5,2,1)), IF(INDEX(ERP資料!$G:$G, (MATCH(563, 輔助計算!$G$2:$G$801, 0)+1))&lt;=790,3,IF(INDEX(ERP資料!$G:$G, (MATCH(563, 輔助計算!$G$2:$G$801, 0)+1))&lt;=1181,2,1))))&gt;0, IF(IF(INDEX(ERP資料!$G:$G, (MATCH(563, 輔助計算!$G$2:$G$801, 0)+1))&lt;100, IF(INDEX(ERP資料!$G:$G, (MATCH(563, 輔助計算!$G$2:$G$801, 0)+1))&lt;=31,3,IF(INDEX(ERP資料!$G:$G, (MATCH(563, 輔助計算!$G$2:$G$801, 0)+1))&lt;=46.5,2,1)), IF(INDEX(ERP資料!$G:$G, (MATCH(563, 輔助計算!$G$2:$G$801, 0)+1))&lt;=790,3,IF(INDEX(ERP資料!$G:$G, (MATCH(563, 輔助計算!$G$2:$G$801, 0)+1))&lt;=1181,2,1)))=1,TEXT(INDEX(ERP資料!$G:$G, (MATCH(563, 輔助計算!$G$2:$G$801, 0)+1)),"0.##"),IF(IF(INDEX(ERP資料!$G:$G, (MATCH(563, 輔助計算!$G$2:$G$801, 0)+1))&lt;100, IF(INDEX(ERP資料!$G:$G, (MATCH(563, 輔助計算!$G$2:$G$801, 0)+1))&lt;=31,3,IF(INDEX(ERP資料!$G:$G, (MATCH(563, 輔助計算!$G$2:$G$801, 0)+1))&lt;=46.5,2,1)), IF(INDEX(ERP資料!$G:$G, (MATCH(563, 輔助計算!$G$2:$G$801, 0)+1))&lt;=790,3,IF(INDEX(ERP資料!$G:$G, (MATCH(563, 輔助計算!$G$2:$G$801, 0)+1))&lt;=1181,2,1)))=2,TEXT(INDEX(ERP資料!$G:$G, (MATCH(563, 輔助計算!$G$2:$G$801, 0)+1)),"0.##")&amp;"+"&amp;TEXT(INDEX(ERP資料!$G:$G, (MATCH(563, 輔助計算!$G$2:$G$801, 0)+1)),"0.##"),TEXT(INDEX(ERP資料!$G:$G, (MATCH(563, 輔助計算!$G$2:$G$801, 0)+1)),"0.##")&amp;"+"&amp;TEXT(INDEX(ERP資料!$G:$G, (MATCH(563, 輔助計算!$G$2:$G$801, 0)+1)),"0.##")&amp;"+"&amp;TEXT(INDEX(ERP資料!$G:$G, (MATCH(563, 輔助計算!$G$2:$G$801, 0)+1)),"0.##")))&amp;"-"&amp;INT(INDEX(輔助計算!$D:$D, (MATCH(563, 輔助計算!$G$2:$G$801, 0)+1))/IF(INDEX(ERP資料!$G:$G, (MATCH(563, 輔助計算!$G$2:$G$801, 0)+1))&lt;100, IF(INDEX(ERP資料!$G:$G, (MATCH(563, 輔助計算!$G$2:$G$801, 0)+1))&lt;=31,3,IF(INDEX(ERP資料!$G:$G, (MATCH(563, 輔助計算!$G$2:$G$801, 0)+1))&lt;=46.5,2,1)), IF(INDEX(ERP資料!$G:$G, (MATCH(563, 輔助計算!$G$2:$G$801, 0)+1))&lt;=790,3,IF(INDEX(ERP資料!$G:$G, (MATCH(563, 輔助計算!$G$2:$G$801, 0)+1))&lt;=1181,2,1)))), "")&amp;IF(AND(IF(INT(INDEX(輔助計算!$D:$D, (MATCH(563, 輔助計算!$G$2:$G$801, 0)+1))/IF(INDEX(ERP資料!$G:$G, (MATCH(563, 輔助計算!$G$2:$G$801, 0)+1))&lt;100, IF(INDEX(ERP資料!$G:$G, (MATCH(563, 輔助計算!$G$2:$G$801, 0)+1))&lt;=31,3,IF(INDEX(ERP資料!$G:$G, (MATCH(563, 輔助計算!$G$2:$G$801, 0)+1))&lt;=46.5,2,1)), IF(INDEX(ERP資料!$G:$G, (MATCH(563, 輔助計算!$G$2:$G$801, 0)+1))&lt;=790,3,IF(INDEX(ERP資料!$G:$G, (MATCH(563, 輔助計算!$G$2:$G$801, 0)+1))&lt;=1181,2,1))))&gt;0, IF(IF(INDEX(ERP資料!$G:$G, (MATCH(563, 輔助計算!$G$2:$G$801, 0)+1))&lt;100, IF(INDEX(ERP資料!$G:$G, (MATCH(563, 輔助計算!$G$2:$G$801, 0)+1))&lt;=31,3,IF(INDEX(ERP資料!$G:$G, (MATCH(563, 輔助計算!$G$2:$G$801, 0)+1))&lt;=46.5,2,1)), IF(INDEX(ERP資料!$G:$G, (MATCH(563, 輔助計算!$G$2:$G$801, 0)+1))&lt;=790,3,IF(INDEX(ERP資料!$G:$G, (MATCH(563, 輔助計算!$G$2:$G$801, 0)+1))&lt;=1181,2,1)))=1,TEXT(INDEX(ERP資料!$G:$G, (MATCH(563, 輔助計算!$G$2:$G$801, 0)+1)),"0.##"),IF(IF(INDEX(ERP資料!$G:$G, (MATCH(563, 輔助計算!$G$2:$G$801, 0)+1))&lt;100, IF(INDEX(ERP資料!$G:$G, (MATCH(563, 輔助計算!$G$2:$G$801, 0)+1))&lt;=31,3,IF(INDEX(ERP資料!$G:$G, (MATCH(563, 輔助計算!$G$2:$G$801, 0)+1))&lt;=46.5,2,1)), IF(INDEX(ERP資料!$G:$G, (MATCH(563, 輔助計算!$G$2:$G$801, 0)+1))&lt;=790,3,IF(INDEX(ERP資料!$G:$G, (MATCH(563, 輔助計算!$G$2:$G$801, 0)+1))&lt;=1181,2,1)))=2,TEXT(INDEX(ERP資料!$G:$G, (MATCH(563, 輔助計算!$G$2:$G$801, 0)+1)),"0.##")&amp;"+"&amp;TEXT(INDEX(ERP資料!$G:$G, (MATCH(563, 輔助計算!$G$2:$G$801, 0)+1)),"0.##"),TEXT(INDEX(ERP資料!$G:$G, (MATCH(563, 輔助計算!$G$2:$G$801, 0)+1)),"0.##")&amp;"+"&amp;TEXT(INDEX(ERP資料!$G:$G, (MATCH(563, 輔助計算!$G$2:$G$801, 0)+1)),"0.##")&amp;"+"&amp;TEXT(INDEX(ERP資料!$G:$G, (MATCH(563, 輔助計算!$G$2:$G$801, 0)+1)),"0.##")))&amp;"-"&amp;INT(INDEX(輔助計算!$D:$D, (MATCH(563, 輔助計算!$G$2:$G$801, 0)+1))/IF(INDEX(ERP資料!$G:$G, (MATCH(563, 輔助計算!$G$2:$G$801, 0)+1))&lt;100, IF(INDEX(ERP資料!$G:$G, (MATCH(563, 輔助計算!$G$2:$G$801, 0)+1))&lt;=31,3,IF(INDEX(ERP資料!$G:$G, (MATCH(563, 輔助計算!$G$2:$G$801, 0)+1))&lt;=46.5,2,1)), IF(INDEX(ERP資料!$G:$G, (MATCH(563, 輔助計算!$G$2:$G$801, 0)+1))&lt;=790,3,IF(INDEX(ERP資料!$G:$G, (MATCH(563, 輔助計算!$G$2:$G$801, 0)+1))&lt;=1181,2,1)))), "")&lt;&gt;"",IF(MOD(INDEX(輔助計算!$D:$D, (MATCH(563, 輔助計算!$G$2:$G$801, 0)+1)),IF(INDEX(ERP資料!$G:$G, (MATCH(563, 輔助計算!$G$2:$G$801, 0)+1))&lt;100, IF(INDEX(ERP資料!$G:$G, (MATCH(563, 輔助計算!$G$2:$G$801, 0)+1))&lt;=31,3,IF(INDEX(ERP資料!$G:$G, (MATCH(563, 輔助計算!$G$2:$G$801, 0)+1))&lt;=46.5,2,1)), IF(INDEX(ERP資料!$G:$G, (MATCH(563, 輔助計算!$G$2:$G$801, 0)+1))&lt;=790,3,IF(INDEX(ERP資料!$G:$G, (MATCH(563, 輔助計算!$G$2:$G$801, 0)+1))&lt;=1181,2,1))))=0,"",IF(MOD(INDEX(輔助計算!$D:$D, (MATCH(563, 輔助計算!$G$2:$G$801, 0)+1)),IF(INDEX(ERP資料!$G:$G, (MATCH(563, 輔助計算!$G$2:$G$801, 0)+1))&lt;100, IF(INDEX(ERP資料!$G:$G, (MATCH(563, 輔助計算!$G$2:$G$801, 0)+1))&lt;=31,3,IF(INDEX(ERP資料!$G:$G, (MATCH(563, 輔助計算!$G$2:$G$801, 0)+1))&lt;=46.5,2,1)), IF(INDEX(ERP資料!$G:$G, (MATCH(563, 輔助計算!$G$2:$G$801, 0)+1))&lt;=790,3,IF(INDEX(ERP資料!$G:$G, (MATCH(563, 輔助計算!$G$2:$G$801, 0)+1))&lt;=1181,2,1))))=0,"",IF(MOD(INDEX(輔助計算!$D:$D, (MATCH(563, 輔助計算!$G$2:$G$801, 0)+1)),IF(INDEX(ERP資料!$G:$G, (MATCH(563, 輔助計算!$G$2:$G$801, 0)+1))&lt;100, IF(INDEX(ERP資料!$G:$G, (MATCH(563, 輔助計算!$G$2:$G$801, 0)+1))&lt;=31,3,IF(INDEX(ERP資料!$G:$G, (MATCH(563, 輔助計算!$G$2:$G$801, 0)+1))&lt;=46.5,2,1)), IF(INDEX(ERP資料!$G:$G, (MATCH(563, 輔助計算!$G$2:$G$801, 0)+1))&lt;=790,3,IF(INDEX(ERP資料!$G:$G, (MATCH(563, 輔助計算!$G$2:$G$801, 0)+1))&lt;=1181,2,1))))=1,TEXT(INDEX(ERP資料!$G:$G, (MATCH(563, 輔助計算!$G$2:$G$801, 0)+1)),"0.##"),IF(MOD(INDEX(輔助計算!$D:$D, (MATCH(563, 輔助計算!$G$2:$G$801, 0)+1)),IF(INDEX(ERP資料!$G:$G, (MATCH(563, 輔助計算!$G$2:$G$801, 0)+1))&lt;100, IF(INDEX(ERP資料!$G:$G, (MATCH(563, 輔助計算!$G$2:$G$801, 0)+1))&lt;=31,3,IF(INDEX(ERP資料!$G:$G, (MATCH(563, 輔助計算!$G$2:$G$801, 0)+1))&lt;=46.5,2,1)), IF(INDEX(ERP資料!$G:$G, (MATCH(563, 輔助計算!$G$2:$G$801, 0)+1))&lt;=790,3,IF(INDEX(ERP資料!$G:$G, (MATCH(563, 輔助計算!$G$2:$G$801, 0)+1))&lt;=1181,2,1))))=2,TEXT(INDEX(ERP資料!$G:$G, (MATCH(563, 輔助計算!$G$2:$G$801, 0)+1)),"0.##")&amp;"+"&amp;TEXT(INDEX(ERP資料!$G:$G, (MATCH(563, 輔助計算!$G$2:$G$801, 0)+1)),"0.##"),TEXT(INDEX(ERP資料!$G:$G, (MATCH(563, 輔助計算!$G$2:$G$801, 0)+1)),"0.##")&amp;"+"&amp;TEXT(INDEX(ERP資料!$G:$G, (MATCH(563, 輔助計算!$G$2:$G$801, 0)+1)),"0.##")&amp;"+"&amp;TEXT(INDEX(ERP資料!$G:$G, (MATCH(563, 輔助計算!$G$2:$G$801, 0)+1)),"0.##"))))&amp;"-1")&lt;&gt;""),"  ","")&amp;IF(MOD(INDEX(輔助計算!$D:$D, (MATCH(563, 輔助計算!$G$2:$G$801, 0)+1)),IF(INDEX(ERP資料!$G:$G, (MATCH(563, 輔助計算!$G$2:$G$801, 0)+1))&lt;100, IF(INDEX(ERP資料!$G:$G, (MATCH(563, 輔助計算!$G$2:$G$801, 0)+1))&lt;=31,3,IF(INDEX(ERP資料!$G:$G, (MATCH(563, 輔助計算!$G$2:$G$801, 0)+1))&lt;=46.5,2,1)), IF(INDEX(ERP資料!$G:$G, (MATCH(563, 輔助計算!$G$2:$G$801, 0)+1))&lt;=790,3,IF(INDEX(ERP資料!$G:$G, (MATCH(563, 輔助計算!$G$2:$G$801, 0)+1))&lt;=1181,2,1))))=0,"",IF(MOD(INDEX(輔助計算!$D:$D, (MATCH(563, 輔助計算!$G$2:$G$801, 0)+1)),IF(INDEX(ERP資料!$G:$G, (MATCH(563, 輔助計算!$G$2:$G$801, 0)+1))&lt;100, IF(INDEX(ERP資料!$G:$G, (MATCH(563, 輔助計算!$G$2:$G$801, 0)+1))&lt;=31,3,IF(INDEX(ERP資料!$G:$G, (MATCH(563, 輔助計算!$G$2:$G$801, 0)+1))&lt;=46.5,2,1)), IF(INDEX(ERP資料!$G:$G, (MATCH(563, 輔助計算!$G$2:$G$801, 0)+1))&lt;=790,3,IF(INDEX(ERP資料!$G:$G, (MATCH(563, 輔助計算!$G$2:$G$801, 0)+1))&lt;=1181,2,1))))=0,"",IF(MOD(INDEX(輔助計算!$D:$D, (MATCH(563, 輔助計算!$G$2:$G$801, 0)+1)),IF(INDEX(ERP資料!$G:$G, (MATCH(563, 輔助計算!$G$2:$G$801, 0)+1))&lt;100, IF(INDEX(ERP資料!$G:$G, (MATCH(563, 輔助計算!$G$2:$G$801, 0)+1))&lt;=31,3,IF(INDEX(ERP資料!$G:$G, (MATCH(563, 輔助計算!$G$2:$G$801, 0)+1))&lt;=46.5,2,1)), IF(INDEX(ERP資料!$G:$G, (MATCH(563, 輔助計算!$G$2:$G$801, 0)+1))&lt;=790,3,IF(INDEX(ERP資料!$G:$G, (MATCH(563, 輔助計算!$G$2:$G$801, 0)+1))&lt;=1181,2,1))))=1,TEXT(INDEX(ERP資料!$G:$G, (MATCH(563, 輔助計算!$G$2:$G$801, 0)+1)),"0.##"),IF(MOD(INDEX(輔助計算!$D:$D, (MATCH(563, 輔助計算!$G$2:$G$801, 0)+1)),IF(INDEX(ERP資料!$G:$G, (MATCH(563, 輔助計算!$G$2:$G$801, 0)+1))&lt;100, IF(INDEX(ERP資料!$G:$G, (MATCH(563, 輔助計算!$G$2:$G$801, 0)+1))&lt;=31,3,IF(INDEX(ERP資料!$G:$G, (MATCH(563, 輔助計算!$G$2:$G$801, 0)+1))&lt;=46.5,2,1)), IF(INDEX(ERP資料!$G:$G, (MATCH(563, 輔助計算!$G$2:$G$801, 0)+1))&lt;=790,3,IF(INDEX(ERP資料!$G:$G, (MATCH(563, 輔助計算!$G$2:$G$801, 0)+1))&lt;=1181,2,1))))=2,TEXT(INDEX(ERP資料!$G:$G, (MATCH(563, 輔助計算!$G$2:$G$801, 0)+1)),"0.##")&amp;"+"&amp;TEXT(INDEX(ERP資料!$G:$G, (MATCH(563, 輔助計算!$G$2:$G$801, 0)+1)),"0.##"),TEXT(INDEX(ERP資料!$G:$G, (MATCH(563, 輔助計算!$G$2:$G$801, 0)+1)),"0.##")&amp;"+"&amp;TEXT(INDEX(ERP資料!$G:$G, (MATCH(563, 輔助計算!$G$2:$G$801, 0)+1)),"0.##")&amp;"+"&amp;TEXT(INDEX(ERP資料!$G:$G, (MATCH(563, 輔助計算!$G$2:$G$801, 0)+1)),"0.##"))))&amp;"-1")), ""), "")</f>
        <v/>
      </c>
      <c r="K564" s="16" t="n"/>
      <c r="L564" s="14">
        <f>IFERROR(IF(AND(IFERROR(INDEX(ERP資料!$A:$A, (MATCH(563, 輔助計算!$G$2:$G$801, 0)+1)), "")&lt;&gt;"", IFERROR(INDEX(ERP資料!$A:$A, (MATCH(563, 輔助計算!$G$2:$G$801, 0)+1)), "")&lt;&gt;IFERROR(INDEX(ERP資料!$A:$A, MATCH(562, 輔助計算!$G$2:$G$801, 0)+1), "")), INDEX(ERP資料!$B:$B, (MATCH(563, 輔助計算!$G$2:$G$801, 0)+1)), ""), "")</f>
        <v/>
      </c>
      <c r="M564" s="17" t="n"/>
    </row>
    <row r="565">
      <c r="A565" s="10">
        <f>IFERROR(IF(AND(IFERROR(INDEX(ERP資料!$A:$A, (MATCH(564, 輔助計算!$G$2:$G$801, 0)+1)), "")&lt;&gt;"", IFERROR(INDEX(ERP資料!$A:$A, (MATCH(564, 輔助計算!$G$2:$G$801, 0)+1)), "")&lt;&gt;IFERROR(INDEX(ERP資料!$A:$A, MATCH(563, 輔助計算!$G$2:$G$801, 0)+1), "")), IFERROR(INDEX(ERP資料!$A:$A, (MATCH(564, 輔助計算!$G$2:$G$801, 0)+1)), ""), ""), "")</f>
        <v/>
      </c>
      <c r="B565" s="10">
        <f>IFERROR(IF(AND(IFERROR(INDEX(ERP資料!$A:$A, (MATCH(564, 輔助計算!$G$2:$G$801, 0)+1)), "")&lt;&gt;"", IFERROR(INDEX(ERP資料!$A:$A, (MATCH(564, 輔助計算!$G$2:$G$801, 0)+1)), "")&lt;&gt;IFERROR(INDEX(ERP資料!$A:$A, MATCH(563, 輔助計算!$G$2:$G$801, 0)+1), "")), INDEX(ERP資料!$S:$S, (MATCH(564, 輔助計算!$G$2:$G$801, 0)+1)), ""), "")</f>
        <v/>
      </c>
      <c r="C565" s="19">
        <f>IFERROR(IF(AND(IFERROR(INDEX(ERP資料!$A:$A, (MATCH(564, 輔助計算!$G$2:$G$801, 0)+1)), "")&lt;&gt;"", IFERROR(INDEX(ERP資料!$A:$A, (MATCH(564, 輔助計算!$G$2:$G$801, 0)+1)), "")&lt;&gt;IFERROR(INDEX(ERP資料!$A:$A, MATCH(563, 輔助計算!$G$2:$G$801, 0)+1), "")), IFERROR(VLOOKUP(LEFT(INDEX(ERP資料!$S:$S, (MATCH(564, 輔助計算!$G$2:$G$801, 0)+1)), 4), 紙管對照表!$A:$C, 3, FALSE), ""), ""), "")</f>
        <v/>
      </c>
      <c r="D565" s="16" t="n"/>
      <c r="E565" s="10">
        <f>IFERROR(IF(INDEX(ERP資料!$H:$H, (MATCH(564, 輔助計算!$G$2:$G$801, 0)+1))="","",INDEX(ERP資料!$H:$H, (MATCH(564, 輔助計算!$G$2:$G$801, 0)+1))), "")</f>
        <v/>
      </c>
      <c r="F565" s="10">
        <f>IFERROR(IF(INDEX(ERP資料!$E:$E, (MATCH(564, 輔助計算!$G$2:$G$801, 0)+1))="","",TRIM(INDEX(ERP資料!$E:$E, (MATCH(564, 輔助計算!$G$2:$G$801, 0)+1)))), "")</f>
        <v/>
      </c>
      <c r="G565" s="10">
        <f>IFERROR(IF(INDEX(ERP資料!$F:$F, (MATCH(564, 輔助計算!$G$2:$G$801, 0)+1))="","",INDEX(ERP資料!$F:$F, (MATCH(564, 輔助計算!$G$2:$G$801, 0)+1))), "")</f>
        <v/>
      </c>
      <c r="H565" s="10">
        <f>IFERROR(IF(INDEX(ERP資料!$G:$G, (MATCH(564, 輔助計算!$G$2:$G$801, 0)+1))="","",INDEX(ERP資料!$G:$G, (MATCH(564, 輔助計算!$G$2:$G$801, 0)+1))), "")</f>
        <v/>
      </c>
      <c r="I565" s="15">
        <f>IFERROR(INDEX(輔助計算!$D:$D, (MATCH(564, 輔助計算!$G$2:$G$801, 0)+1)), "")</f>
        <v/>
      </c>
      <c r="J565" s="15">
        <f>IFERROR(IF(AND(INDEX(輔助計算!$D:$D, (MATCH(564, 輔助計算!$G$2:$G$801, 0)+1))&lt;&gt;"", INDEX(ERP資料!$G:$G, (MATCH(564, 輔助計算!$G$2:$G$801, 0)+1))&lt;&gt;""), TRIM(IF(INT(INDEX(輔助計算!$D:$D, (MATCH(564, 輔助計算!$G$2:$G$801, 0)+1))/IF(INDEX(ERP資料!$G:$G, (MATCH(564, 輔助計算!$G$2:$G$801, 0)+1))&lt;100, IF(INDEX(ERP資料!$G:$G, (MATCH(564, 輔助計算!$G$2:$G$801, 0)+1))&lt;=31,3,IF(INDEX(ERP資料!$G:$G, (MATCH(564, 輔助計算!$G$2:$G$801, 0)+1))&lt;=46.5,2,1)), IF(INDEX(ERP資料!$G:$G, (MATCH(564, 輔助計算!$G$2:$G$801, 0)+1))&lt;=790,3,IF(INDEX(ERP資料!$G:$G, (MATCH(564, 輔助計算!$G$2:$G$801, 0)+1))&lt;=1181,2,1))))&gt;0, IF(IF(INDEX(ERP資料!$G:$G, (MATCH(564, 輔助計算!$G$2:$G$801, 0)+1))&lt;100, IF(INDEX(ERP資料!$G:$G, (MATCH(564, 輔助計算!$G$2:$G$801, 0)+1))&lt;=31,3,IF(INDEX(ERP資料!$G:$G, (MATCH(564, 輔助計算!$G$2:$G$801, 0)+1))&lt;=46.5,2,1)), IF(INDEX(ERP資料!$G:$G, (MATCH(564, 輔助計算!$G$2:$G$801, 0)+1))&lt;=790,3,IF(INDEX(ERP資料!$G:$G, (MATCH(564, 輔助計算!$G$2:$G$801, 0)+1))&lt;=1181,2,1)))=1,TEXT(INDEX(ERP資料!$G:$G, (MATCH(564, 輔助計算!$G$2:$G$801, 0)+1)),"0.##"),IF(IF(INDEX(ERP資料!$G:$G, (MATCH(564, 輔助計算!$G$2:$G$801, 0)+1))&lt;100, IF(INDEX(ERP資料!$G:$G, (MATCH(564, 輔助計算!$G$2:$G$801, 0)+1))&lt;=31,3,IF(INDEX(ERP資料!$G:$G, (MATCH(564, 輔助計算!$G$2:$G$801, 0)+1))&lt;=46.5,2,1)), IF(INDEX(ERP資料!$G:$G, (MATCH(564, 輔助計算!$G$2:$G$801, 0)+1))&lt;=790,3,IF(INDEX(ERP資料!$G:$G, (MATCH(564, 輔助計算!$G$2:$G$801, 0)+1))&lt;=1181,2,1)))=2,TEXT(INDEX(ERP資料!$G:$G, (MATCH(564, 輔助計算!$G$2:$G$801, 0)+1)),"0.##")&amp;"+"&amp;TEXT(INDEX(ERP資料!$G:$G, (MATCH(564, 輔助計算!$G$2:$G$801, 0)+1)),"0.##"),TEXT(INDEX(ERP資料!$G:$G, (MATCH(564, 輔助計算!$G$2:$G$801, 0)+1)),"0.##")&amp;"+"&amp;TEXT(INDEX(ERP資料!$G:$G, (MATCH(564, 輔助計算!$G$2:$G$801, 0)+1)),"0.##")&amp;"+"&amp;TEXT(INDEX(ERP資料!$G:$G, (MATCH(564, 輔助計算!$G$2:$G$801, 0)+1)),"0.##")))&amp;"-"&amp;INT(INDEX(輔助計算!$D:$D, (MATCH(564, 輔助計算!$G$2:$G$801, 0)+1))/IF(INDEX(ERP資料!$G:$G, (MATCH(564, 輔助計算!$G$2:$G$801, 0)+1))&lt;100, IF(INDEX(ERP資料!$G:$G, (MATCH(564, 輔助計算!$G$2:$G$801, 0)+1))&lt;=31,3,IF(INDEX(ERP資料!$G:$G, (MATCH(564, 輔助計算!$G$2:$G$801, 0)+1))&lt;=46.5,2,1)), IF(INDEX(ERP資料!$G:$G, (MATCH(564, 輔助計算!$G$2:$G$801, 0)+1))&lt;=790,3,IF(INDEX(ERP資料!$G:$G, (MATCH(564, 輔助計算!$G$2:$G$801, 0)+1))&lt;=1181,2,1)))), "")&amp;IF(AND(IF(INT(INDEX(輔助計算!$D:$D, (MATCH(564, 輔助計算!$G$2:$G$801, 0)+1))/IF(INDEX(ERP資料!$G:$G, (MATCH(564, 輔助計算!$G$2:$G$801, 0)+1))&lt;100, IF(INDEX(ERP資料!$G:$G, (MATCH(564, 輔助計算!$G$2:$G$801, 0)+1))&lt;=31,3,IF(INDEX(ERP資料!$G:$G, (MATCH(564, 輔助計算!$G$2:$G$801, 0)+1))&lt;=46.5,2,1)), IF(INDEX(ERP資料!$G:$G, (MATCH(564, 輔助計算!$G$2:$G$801, 0)+1))&lt;=790,3,IF(INDEX(ERP資料!$G:$G, (MATCH(564, 輔助計算!$G$2:$G$801, 0)+1))&lt;=1181,2,1))))&gt;0, IF(IF(INDEX(ERP資料!$G:$G, (MATCH(564, 輔助計算!$G$2:$G$801, 0)+1))&lt;100, IF(INDEX(ERP資料!$G:$G, (MATCH(564, 輔助計算!$G$2:$G$801, 0)+1))&lt;=31,3,IF(INDEX(ERP資料!$G:$G, (MATCH(564, 輔助計算!$G$2:$G$801, 0)+1))&lt;=46.5,2,1)), IF(INDEX(ERP資料!$G:$G, (MATCH(564, 輔助計算!$G$2:$G$801, 0)+1))&lt;=790,3,IF(INDEX(ERP資料!$G:$G, (MATCH(564, 輔助計算!$G$2:$G$801, 0)+1))&lt;=1181,2,1)))=1,TEXT(INDEX(ERP資料!$G:$G, (MATCH(564, 輔助計算!$G$2:$G$801, 0)+1)),"0.##"),IF(IF(INDEX(ERP資料!$G:$G, (MATCH(564, 輔助計算!$G$2:$G$801, 0)+1))&lt;100, IF(INDEX(ERP資料!$G:$G, (MATCH(564, 輔助計算!$G$2:$G$801, 0)+1))&lt;=31,3,IF(INDEX(ERP資料!$G:$G, (MATCH(564, 輔助計算!$G$2:$G$801, 0)+1))&lt;=46.5,2,1)), IF(INDEX(ERP資料!$G:$G, (MATCH(564, 輔助計算!$G$2:$G$801, 0)+1))&lt;=790,3,IF(INDEX(ERP資料!$G:$G, (MATCH(564, 輔助計算!$G$2:$G$801, 0)+1))&lt;=1181,2,1)))=2,TEXT(INDEX(ERP資料!$G:$G, (MATCH(564, 輔助計算!$G$2:$G$801, 0)+1)),"0.##")&amp;"+"&amp;TEXT(INDEX(ERP資料!$G:$G, (MATCH(564, 輔助計算!$G$2:$G$801, 0)+1)),"0.##"),TEXT(INDEX(ERP資料!$G:$G, (MATCH(564, 輔助計算!$G$2:$G$801, 0)+1)),"0.##")&amp;"+"&amp;TEXT(INDEX(ERP資料!$G:$G, (MATCH(564, 輔助計算!$G$2:$G$801, 0)+1)),"0.##")&amp;"+"&amp;TEXT(INDEX(ERP資料!$G:$G, (MATCH(564, 輔助計算!$G$2:$G$801, 0)+1)),"0.##")))&amp;"-"&amp;INT(INDEX(輔助計算!$D:$D, (MATCH(564, 輔助計算!$G$2:$G$801, 0)+1))/IF(INDEX(ERP資料!$G:$G, (MATCH(564, 輔助計算!$G$2:$G$801, 0)+1))&lt;100, IF(INDEX(ERP資料!$G:$G, (MATCH(564, 輔助計算!$G$2:$G$801, 0)+1))&lt;=31,3,IF(INDEX(ERP資料!$G:$G, (MATCH(564, 輔助計算!$G$2:$G$801, 0)+1))&lt;=46.5,2,1)), IF(INDEX(ERP資料!$G:$G, (MATCH(564, 輔助計算!$G$2:$G$801, 0)+1))&lt;=790,3,IF(INDEX(ERP資料!$G:$G, (MATCH(564, 輔助計算!$G$2:$G$801, 0)+1))&lt;=1181,2,1)))), "")&lt;&gt;"",IF(MOD(INDEX(輔助計算!$D:$D, (MATCH(564, 輔助計算!$G$2:$G$801, 0)+1)),IF(INDEX(ERP資料!$G:$G, (MATCH(564, 輔助計算!$G$2:$G$801, 0)+1))&lt;100, IF(INDEX(ERP資料!$G:$G, (MATCH(564, 輔助計算!$G$2:$G$801, 0)+1))&lt;=31,3,IF(INDEX(ERP資料!$G:$G, (MATCH(564, 輔助計算!$G$2:$G$801, 0)+1))&lt;=46.5,2,1)), IF(INDEX(ERP資料!$G:$G, (MATCH(564, 輔助計算!$G$2:$G$801, 0)+1))&lt;=790,3,IF(INDEX(ERP資料!$G:$G, (MATCH(564, 輔助計算!$G$2:$G$801, 0)+1))&lt;=1181,2,1))))=0,"",IF(MOD(INDEX(輔助計算!$D:$D, (MATCH(564, 輔助計算!$G$2:$G$801, 0)+1)),IF(INDEX(ERP資料!$G:$G, (MATCH(564, 輔助計算!$G$2:$G$801, 0)+1))&lt;100, IF(INDEX(ERP資料!$G:$G, (MATCH(564, 輔助計算!$G$2:$G$801, 0)+1))&lt;=31,3,IF(INDEX(ERP資料!$G:$G, (MATCH(564, 輔助計算!$G$2:$G$801, 0)+1))&lt;=46.5,2,1)), IF(INDEX(ERP資料!$G:$G, (MATCH(564, 輔助計算!$G$2:$G$801, 0)+1))&lt;=790,3,IF(INDEX(ERP資料!$G:$G, (MATCH(564, 輔助計算!$G$2:$G$801, 0)+1))&lt;=1181,2,1))))=0,"",IF(MOD(INDEX(輔助計算!$D:$D, (MATCH(564, 輔助計算!$G$2:$G$801, 0)+1)),IF(INDEX(ERP資料!$G:$G, (MATCH(564, 輔助計算!$G$2:$G$801, 0)+1))&lt;100, IF(INDEX(ERP資料!$G:$G, (MATCH(564, 輔助計算!$G$2:$G$801, 0)+1))&lt;=31,3,IF(INDEX(ERP資料!$G:$G, (MATCH(564, 輔助計算!$G$2:$G$801, 0)+1))&lt;=46.5,2,1)), IF(INDEX(ERP資料!$G:$G, (MATCH(564, 輔助計算!$G$2:$G$801, 0)+1))&lt;=790,3,IF(INDEX(ERP資料!$G:$G, (MATCH(564, 輔助計算!$G$2:$G$801, 0)+1))&lt;=1181,2,1))))=1,TEXT(INDEX(ERP資料!$G:$G, (MATCH(564, 輔助計算!$G$2:$G$801, 0)+1)),"0.##"),IF(MOD(INDEX(輔助計算!$D:$D, (MATCH(564, 輔助計算!$G$2:$G$801, 0)+1)),IF(INDEX(ERP資料!$G:$G, (MATCH(564, 輔助計算!$G$2:$G$801, 0)+1))&lt;100, IF(INDEX(ERP資料!$G:$G, (MATCH(564, 輔助計算!$G$2:$G$801, 0)+1))&lt;=31,3,IF(INDEX(ERP資料!$G:$G, (MATCH(564, 輔助計算!$G$2:$G$801, 0)+1))&lt;=46.5,2,1)), IF(INDEX(ERP資料!$G:$G, (MATCH(564, 輔助計算!$G$2:$G$801, 0)+1))&lt;=790,3,IF(INDEX(ERP資料!$G:$G, (MATCH(564, 輔助計算!$G$2:$G$801, 0)+1))&lt;=1181,2,1))))=2,TEXT(INDEX(ERP資料!$G:$G, (MATCH(564, 輔助計算!$G$2:$G$801, 0)+1)),"0.##")&amp;"+"&amp;TEXT(INDEX(ERP資料!$G:$G, (MATCH(564, 輔助計算!$G$2:$G$801, 0)+1)),"0.##"),TEXT(INDEX(ERP資料!$G:$G, (MATCH(564, 輔助計算!$G$2:$G$801, 0)+1)),"0.##")&amp;"+"&amp;TEXT(INDEX(ERP資料!$G:$G, (MATCH(564, 輔助計算!$G$2:$G$801, 0)+1)),"0.##")&amp;"+"&amp;TEXT(INDEX(ERP資料!$G:$G, (MATCH(564, 輔助計算!$G$2:$G$801, 0)+1)),"0.##"))))&amp;"-1")&lt;&gt;""),"  ","")&amp;IF(MOD(INDEX(輔助計算!$D:$D, (MATCH(564, 輔助計算!$G$2:$G$801, 0)+1)),IF(INDEX(ERP資料!$G:$G, (MATCH(564, 輔助計算!$G$2:$G$801, 0)+1))&lt;100, IF(INDEX(ERP資料!$G:$G, (MATCH(564, 輔助計算!$G$2:$G$801, 0)+1))&lt;=31,3,IF(INDEX(ERP資料!$G:$G, (MATCH(564, 輔助計算!$G$2:$G$801, 0)+1))&lt;=46.5,2,1)), IF(INDEX(ERP資料!$G:$G, (MATCH(564, 輔助計算!$G$2:$G$801, 0)+1))&lt;=790,3,IF(INDEX(ERP資料!$G:$G, (MATCH(564, 輔助計算!$G$2:$G$801, 0)+1))&lt;=1181,2,1))))=0,"",IF(MOD(INDEX(輔助計算!$D:$D, (MATCH(564, 輔助計算!$G$2:$G$801, 0)+1)),IF(INDEX(ERP資料!$G:$G, (MATCH(564, 輔助計算!$G$2:$G$801, 0)+1))&lt;100, IF(INDEX(ERP資料!$G:$G, (MATCH(564, 輔助計算!$G$2:$G$801, 0)+1))&lt;=31,3,IF(INDEX(ERP資料!$G:$G, (MATCH(564, 輔助計算!$G$2:$G$801, 0)+1))&lt;=46.5,2,1)), IF(INDEX(ERP資料!$G:$G, (MATCH(564, 輔助計算!$G$2:$G$801, 0)+1))&lt;=790,3,IF(INDEX(ERP資料!$G:$G, (MATCH(564, 輔助計算!$G$2:$G$801, 0)+1))&lt;=1181,2,1))))=0,"",IF(MOD(INDEX(輔助計算!$D:$D, (MATCH(564, 輔助計算!$G$2:$G$801, 0)+1)),IF(INDEX(ERP資料!$G:$G, (MATCH(564, 輔助計算!$G$2:$G$801, 0)+1))&lt;100, IF(INDEX(ERP資料!$G:$G, (MATCH(564, 輔助計算!$G$2:$G$801, 0)+1))&lt;=31,3,IF(INDEX(ERP資料!$G:$G, (MATCH(564, 輔助計算!$G$2:$G$801, 0)+1))&lt;=46.5,2,1)), IF(INDEX(ERP資料!$G:$G, (MATCH(564, 輔助計算!$G$2:$G$801, 0)+1))&lt;=790,3,IF(INDEX(ERP資料!$G:$G, (MATCH(564, 輔助計算!$G$2:$G$801, 0)+1))&lt;=1181,2,1))))=1,TEXT(INDEX(ERP資料!$G:$G, (MATCH(564, 輔助計算!$G$2:$G$801, 0)+1)),"0.##"),IF(MOD(INDEX(輔助計算!$D:$D, (MATCH(564, 輔助計算!$G$2:$G$801, 0)+1)),IF(INDEX(ERP資料!$G:$G, (MATCH(564, 輔助計算!$G$2:$G$801, 0)+1))&lt;100, IF(INDEX(ERP資料!$G:$G, (MATCH(564, 輔助計算!$G$2:$G$801, 0)+1))&lt;=31,3,IF(INDEX(ERP資料!$G:$G, (MATCH(564, 輔助計算!$G$2:$G$801, 0)+1))&lt;=46.5,2,1)), IF(INDEX(ERP資料!$G:$G, (MATCH(564, 輔助計算!$G$2:$G$801, 0)+1))&lt;=790,3,IF(INDEX(ERP資料!$G:$G, (MATCH(564, 輔助計算!$G$2:$G$801, 0)+1))&lt;=1181,2,1))))=2,TEXT(INDEX(ERP資料!$G:$G, (MATCH(564, 輔助計算!$G$2:$G$801, 0)+1)),"0.##")&amp;"+"&amp;TEXT(INDEX(ERP資料!$G:$G, (MATCH(564, 輔助計算!$G$2:$G$801, 0)+1)),"0.##"),TEXT(INDEX(ERP資料!$G:$G, (MATCH(564, 輔助計算!$G$2:$G$801, 0)+1)),"0.##")&amp;"+"&amp;TEXT(INDEX(ERP資料!$G:$G, (MATCH(564, 輔助計算!$G$2:$G$801, 0)+1)),"0.##")&amp;"+"&amp;TEXT(INDEX(ERP資料!$G:$G, (MATCH(564, 輔助計算!$G$2:$G$801, 0)+1)),"0.##"))))&amp;"-1")), ""), "")</f>
        <v/>
      </c>
      <c r="K565" s="16" t="n"/>
      <c r="L565" s="14">
        <f>IFERROR(IF(AND(IFERROR(INDEX(ERP資料!$A:$A, (MATCH(564, 輔助計算!$G$2:$G$801, 0)+1)), "")&lt;&gt;"", IFERROR(INDEX(ERP資料!$A:$A, (MATCH(564, 輔助計算!$G$2:$G$801, 0)+1)), "")&lt;&gt;IFERROR(INDEX(ERP資料!$A:$A, MATCH(563, 輔助計算!$G$2:$G$801, 0)+1), "")), INDEX(ERP資料!$B:$B, (MATCH(564, 輔助計算!$G$2:$G$801, 0)+1)), ""), "")</f>
        <v/>
      </c>
      <c r="M565" s="17" t="n"/>
    </row>
    <row r="566">
      <c r="A566" s="10">
        <f>IFERROR(IF(AND(IFERROR(INDEX(ERP資料!$A:$A, (MATCH(565, 輔助計算!$G$2:$G$801, 0)+1)), "")&lt;&gt;"", IFERROR(INDEX(ERP資料!$A:$A, (MATCH(565, 輔助計算!$G$2:$G$801, 0)+1)), "")&lt;&gt;IFERROR(INDEX(ERP資料!$A:$A, MATCH(564, 輔助計算!$G$2:$G$801, 0)+1), "")), IFERROR(INDEX(ERP資料!$A:$A, (MATCH(565, 輔助計算!$G$2:$G$801, 0)+1)), ""), ""), "")</f>
        <v/>
      </c>
      <c r="B566" s="10">
        <f>IFERROR(IF(AND(IFERROR(INDEX(ERP資料!$A:$A, (MATCH(565, 輔助計算!$G$2:$G$801, 0)+1)), "")&lt;&gt;"", IFERROR(INDEX(ERP資料!$A:$A, (MATCH(565, 輔助計算!$G$2:$G$801, 0)+1)), "")&lt;&gt;IFERROR(INDEX(ERP資料!$A:$A, MATCH(564, 輔助計算!$G$2:$G$801, 0)+1), "")), INDEX(ERP資料!$S:$S, (MATCH(565, 輔助計算!$G$2:$G$801, 0)+1)), ""), "")</f>
        <v/>
      </c>
      <c r="C566" s="19">
        <f>IFERROR(IF(AND(IFERROR(INDEX(ERP資料!$A:$A, (MATCH(565, 輔助計算!$G$2:$G$801, 0)+1)), "")&lt;&gt;"", IFERROR(INDEX(ERP資料!$A:$A, (MATCH(565, 輔助計算!$G$2:$G$801, 0)+1)), "")&lt;&gt;IFERROR(INDEX(ERP資料!$A:$A, MATCH(564, 輔助計算!$G$2:$G$801, 0)+1), "")), IFERROR(VLOOKUP(LEFT(INDEX(ERP資料!$S:$S, (MATCH(565, 輔助計算!$G$2:$G$801, 0)+1)), 4), 紙管對照表!$A:$C, 3, FALSE), ""), ""), "")</f>
        <v/>
      </c>
      <c r="D566" s="16" t="n"/>
      <c r="E566" s="10">
        <f>IFERROR(IF(INDEX(ERP資料!$H:$H, (MATCH(565, 輔助計算!$G$2:$G$801, 0)+1))="","",INDEX(ERP資料!$H:$H, (MATCH(565, 輔助計算!$G$2:$G$801, 0)+1))), "")</f>
        <v/>
      </c>
      <c r="F566" s="10">
        <f>IFERROR(IF(INDEX(ERP資料!$E:$E, (MATCH(565, 輔助計算!$G$2:$G$801, 0)+1))="","",TRIM(INDEX(ERP資料!$E:$E, (MATCH(565, 輔助計算!$G$2:$G$801, 0)+1)))), "")</f>
        <v/>
      </c>
      <c r="G566" s="10">
        <f>IFERROR(IF(INDEX(ERP資料!$F:$F, (MATCH(565, 輔助計算!$G$2:$G$801, 0)+1))="","",INDEX(ERP資料!$F:$F, (MATCH(565, 輔助計算!$G$2:$G$801, 0)+1))), "")</f>
        <v/>
      </c>
      <c r="H566" s="10">
        <f>IFERROR(IF(INDEX(ERP資料!$G:$G, (MATCH(565, 輔助計算!$G$2:$G$801, 0)+1))="","",INDEX(ERP資料!$G:$G, (MATCH(565, 輔助計算!$G$2:$G$801, 0)+1))), "")</f>
        <v/>
      </c>
      <c r="I566" s="15">
        <f>IFERROR(INDEX(輔助計算!$D:$D, (MATCH(565, 輔助計算!$G$2:$G$801, 0)+1)), "")</f>
        <v/>
      </c>
      <c r="J566" s="15">
        <f>IFERROR(IF(AND(INDEX(輔助計算!$D:$D, (MATCH(565, 輔助計算!$G$2:$G$801, 0)+1))&lt;&gt;"", INDEX(ERP資料!$G:$G, (MATCH(565, 輔助計算!$G$2:$G$801, 0)+1))&lt;&gt;""), TRIM(IF(INT(INDEX(輔助計算!$D:$D, (MATCH(565, 輔助計算!$G$2:$G$801, 0)+1))/IF(INDEX(ERP資料!$G:$G, (MATCH(565, 輔助計算!$G$2:$G$801, 0)+1))&lt;100, IF(INDEX(ERP資料!$G:$G, (MATCH(565, 輔助計算!$G$2:$G$801, 0)+1))&lt;=31,3,IF(INDEX(ERP資料!$G:$G, (MATCH(565, 輔助計算!$G$2:$G$801, 0)+1))&lt;=46.5,2,1)), IF(INDEX(ERP資料!$G:$G, (MATCH(565, 輔助計算!$G$2:$G$801, 0)+1))&lt;=790,3,IF(INDEX(ERP資料!$G:$G, (MATCH(565, 輔助計算!$G$2:$G$801, 0)+1))&lt;=1181,2,1))))&gt;0, IF(IF(INDEX(ERP資料!$G:$G, (MATCH(565, 輔助計算!$G$2:$G$801, 0)+1))&lt;100, IF(INDEX(ERP資料!$G:$G, (MATCH(565, 輔助計算!$G$2:$G$801, 0)+1))&lt;=31,3,IF(INDEX(ERP資料!$G:$G, (MATCH(565, 輔助計算!$G$2:$G$801, 0)+1))&lt;=46.5,2,1)), IF(INDEX(ERP資料!$G:$G, (MATCH(565, 輔助計算!$G$2:$G$801, 0)+1))&lt;=790,3,IF(INDEX(ERP資料!$G:$G, (MATCH(565, 輔助計算!$G$2:$G$801, 0)+1))&lt;=1181,2,1)))=1,TEXT(INDEX(ERP資料!$G:$G, (MATCH(565, 輔助計算!$G$2:$G$801, 0)+1)),"0.##"),IF(IF(INDEX(ERP資料!$G:$G, (MATCH(565, 輔助計算!$G$2:$G$801, 0)+1))&lt;100, IF(INDEX(ERP資料!$G:$G, (MATCH(565, 輔助計算!$G$2:$G$801, 0)+1))&lt;=31,3,IF(INDEX(ERP資料!$G:$G, (MATCH(565, 輔助計算!$G$2:$G$801, 0)+1))&lt;=46.5,2,1)), IF(INDEX(ERP資料!$G:$G, (MATCH(565, 輔助計算!$G$2:$G$801, 0)+1))&lt;=790,3,IF(INDEX(ERP資料!$G:$G, (MATCH(565, 輔助計算!$G$2:$G$801, 0)+1))&lt;=1181,2,1)))=2,TEXT(INDEX(ERP資料!$G:$G, (MATCH(565, 輔助計算!$G$2:$G$801, 0)+1)),"0.##")&amp;"+"&amp;TEXT(INDEX(ERP資料!$G:$G, (MATCH(565, 輔助計算!$G$2:$G$801, 0)+1)),"0.##"),TEXT(INDEX(ERP資料!$G:$G, (MATCH(565, 輔助計算!$G$2:$G$801, 0)+1)),"0.##")&amp;"+"&amp;TEXT(INDEX(ERP資料!$G:$G, (MATCH(565, 輔助計算!$G$2:$G$801, 0)+1)),"0.##")&amp;"+"&amp;TEXT(INDEX(ERP資料!$G:$G, (MATCH(565, 輔助計算!$G$2:$G$801, 0)+1)),"0.##")))&amp;"-"&amp;INT(INDEX(輔助計算!$D:$D, (MATCH(565, 輔助計算!$G$2:$G$801, 0)+1))/IF(INDEX(ERP資料!$G:$G, (MATCH(565, 輔助計算!$G$2:$G$801, 0)+1))&lt;100, IF(INDEX(ERP資料!$G:$G, (MATCH(565, 輔助計算!$G$2:$G$801, 0)+1))&lt;=31,3,IF(INDEX(ERP資料!$G:$G, (MATCH(565, 輔助計算!$G$2:$G$801, 0)+1))&lt;=46.5,2,1)), IF(INDEX(ERP資料!$G:$G, (MATCH(565, 輔助計算!$G$2:$G$801, 0)+1))&lt;=790,3,IF(INDEX(ERP資料!$G:$G, (MATCH(565, 輔助計算!$G$2:$G$801, 0)+1))&lt;=1181,2,1)))), "")&amp;IF(AND(IF(INT(INDEX(輔助計算!$D:$D, (MATCH(565, 輔助計算!$G$2:$G$801, 0)+1))/IF(INDEX(ERP資料!$G:$G, (MATCH(565, 輔助計算!$G$2:$G$801, 0)+1))&lt;100, IF(INDEX(ERP資料!$G:$G, (MATCH(565, 輔助計算!$G$2:$G$801, 0)+1))&lt;=31,3,IF(INDEX(ERP資料!$G:$G, (MATCH(565, 輔助計算!$G$2:$G$801, 0)+1))&lt;=46.5,2,1)), IF(INDEX(ERP資料!$G:$G, (MATCH(565, 輔助計算!$G$2:$G$801, 0)+1))&lt;=790,3,IF(INDEX(ERP資料!$G:$G, (MATCH(565, 輔助計算!$G$2:$G$801, 0)+1))&lt;=1181,2,1))))&gt;0, IF(IF(INDEX(ERP資料!$G:$G, (MATCH(565, 輔助計算!$G$2:$G$801, 0)+1))&lt;100, IF(INDEX(ERP資料!$G:$G, (MATCH(565, 輔助計算!$G$2:$G$801, 0)+1))&lt;=31,3,IF(INDEX(ERP資料!$G:$G, (MATCH(565, 輔助計算!$G$2:$G$801, 0)+1))&lt;=46.5,2,1)), IF(INDEX(ERP資料!$G:$G, (MATCH(565, 輔助計算!$G$2:$G$801, 0)+1))&lt;=790,3,IF(INDEX(ERP資料!$G:$G, (MATCH(565, 輔助計算!$G$2:$G$801, 0)+1))&lt;=1181,2,1)))=1,TEXT(INDEX(ERP資料!$G:$G, (MATCH(565, 輔助計算!$G$2:$G$801, 0)+1)),"0.##"),IF(IF(INDEX(ERP資料!$G:$G, (MATCH(565, 輔助計算!$G$2:$G$801, 0)+1))&lt;100, IF(INDEX(ERP資料!$G:$G, (MATCH(565, 輔助計算!$G$2:$G$801, 0)+1))&lt;=31,3,IF(INDEX(ERP資料!$G:$G, (MATCH(565, 輔助計算!$G$2:$G$801, 0)+1))&lt;=46.5,2,1)), IF(INDEX(ERP資料!$G:$G, (MATCH(565, 輔助計算!$G$2:$G$801, 0)+1))&lt;=790,3,IF(INDEX(ERP資料!$G:$G, (MATCH(565, 輔助計算!$G$2:$G$801, 0)+1))&lt;=1181,2,1)))=2,TEXT(INDEX(ERP資料!$G:$G, (MATCH(565, 輔助計算!$G$2:$G$801, 0)+1)),"0.##")&amp;"+"&amp;TEXT(INDEX(ERP資料!$G:$G, (MATCH(565, 輔助計算!$G$2:$G$801, 0)+1)),"0.##"),TEXT(INDEX(ERP資料!$G:$G, (MATCH(565, 輔助計算!$G$2:$G$801, 0)+1)),"0.##")&amp;"+"&amp;TEXT(INDEX(ERP資料!$G:$G, (MATCH(565, 輔助計算!$G$2:$G$801, 0)+1)),"0.##")&amp;"+"&amp;TEXT(INDEX(ERP資料!$G:$G, (MATCH(565, 輔助計算!$G$2:$G$801, 0)+1)),"0.##")))&amp;"-"&amp;INT(INDEX(輔助計算!$D:$D, (MATCH(565, 輔助計算!$G$2:$G$801, 0)+1))/IF(INDEX(ERP資料!$G:$G, (MATCH(565, 輔助計算!$G$2:$G$801, 0)+1))&lt;100, IF(INDEX(ERP資料!$G:$G, (MATCH(565, 輔助計算!$G$2:$G$801, 0)+1))&lt;=31,3,IF(INDEX(ERP資料!$G:$G, (MATCH(565, 輔助計算!$G$2:$G$801, 0)+1))&lt;=46.5,2,1)), IF(INDEX(ERP資料!$G:$G, (MATCH(565, 輔助計算!$G$2:$G$801, 0)+1))&lt;=790,3,IF(INDEX(ERP資料!$G:$G, (MATCH(565, 輔助計算!$G$2:$G$801, 0)+1))&lt;=1181,2,1)))), "")&lt;&gt;"",IF(MOD(INDEX(輔助計算!$D:$D, (MATCH(565, 輔助計算!$G$2:$G$801, 0)+1)),IF(INDEX(ERP資料!$G:$G, (MATCH(565, 輔助計算!$G$2:$G$801, 0)+1))&lt;100, IF(INDEX(ERP資料!$G:$G, (MATCH(565, 輔助計算!$G$2:$G$801, 0)+1))&lt;=31,3,IF(INDEX(ERP資料!$G:$G, (MATCH(565, 輔助計算!$G$2:$G$801, 0)+1))&lt;=46.5,2,1)), IF(INDEX(ERP資料!$G:$G, (MATCH(565, 輔助計算!$G$2:$G$801, 0)+1))&lt;=790,3,IF(INDEX(ERP資料!$G:$G, (MATCH(565, 輔助計算!$G$2:$G$801, 0)+1))&lt;=1181,2,1))))=0,"",IF(MOD(INDEX(輔助計算!$D:$D, (MATCH(565, 輔助計算!$G$2:$G$801, 0)+1)),IF(INDEX(ERP資料!$G:$G, (MATCH(565, 輔助計算!$G$2:$G$801, 0)+1))&lt;100, IF(INDEX(ERP資料!$G:$G, (MATCH(565, 輔助計算!$G$2:$G$801, 0)+1))&lt;=31,3,IF(INDEX(ERP資料!$G:$G, (MATCH(565, 輔助計算!$G$2:$G$801, 0)+1))&lt;=46.5,2,1)), IF(INDEX(ERP資料!$G:$G, (MATCH(565, 輔助計算!$G$2:$G$801, 0)+1))&lt;=790,3,IF(INDEX(ERP資料!$G:$G, (MATCH(565, 輔助計算!$G$2:$G$801, 0)+1))&lt;=1181,2,1))))=0,"",IF(MOD(INDEX(輔助計算!$D:$D, (MATCH(565, 輔助計算!$G$2:$G$801, 0)+1)),IF(INDEX(ERP資料!$G:$G, (MATCH(565, 輔助計算!$G$2:$G$801, 0)+1))&lt;100, IF(INDEX(ERP資料!$G:$G, (MATCH(565, 輔助計算!$G$2:$G$801, 0)+1))&lt;=31,3,IF(INDEX(ERP資料!$G:$G, (MATCH(565, 輔助計算!$G$2:$G$801, 0)+1))&lt;=46.5,2,1)), IF(INDEX(ERP資料!$G:$G, (MATCH(565, 輔助計算!$G$2:$G$801, 0)+1))&lt;=790,3,IF(INDEX(ERP資料!$G:$G, (MATCH(565, 輔助計算!$G$2:$G$801, 0)+1))&lt;=1181,2,1))))=1,TEXT(INDEX(ERP資料!$G:$G, (MATCH(565, 輔助計算!$G$2:$G$801, 0)+1)),"0.##"),IF(MOD(INDEX(輔助計算!$D:$D, (MATCH(565, 輔助計算!$G$2:$G$801, 0)+1)),IF(INDEX(ERP資料!$G:$G, (MATCH(565, 輔助計算!$G$2:$G$801, 0)+1))&lt;100, IF(INDEX(ERP資料!$G:$G, (MATCH(565, 輔助計算!$G$2:$G$801, 0)+1))&lt;=31,3,IF(INDEX(ERP資料!$G:$G, (MATCH(565, 輔助計算!$G$2:$G$801, 0)+1))&lt;=46.5,2,1)), IF(INDEX(ERP資料!$G:$G, (MATCH(565, 輔助計算!$G$2:$G$801, 0)+1))&lt;=790,3,IF(INDEX(ERP資料!$G:$G, (MATCH(565, 輔助計算!$G$2:$G$801, 0)+1))&lt;=1181,2,1))))=2,TEXT(INDEX(ERP資料!$G:$G, (MATCH(565, 輔助計算!$G$2:$G$801, 0)+1)),"0.##")&amp;"+"&amp;TEXT(INDEX(ERP資料!$G:$G, (MATCH(565, 輔助計算!$G$2:$G$801, 0)+1)),"0.##"),TEXT(INDEX(ERP資料!$G:$G, (MATCH(565, 輔助計算!$G$2:$G$801, 0)+1)),"0.##")&amp;"+"&amp;TEXT(INDEX(ERP資料!$G:$G, (MATCH(565, 輔助計算!$G$2:$G$801, 0)+1)),"0.##")&amp;"+"&amp;TEXT(INDEX(ERP資料!$G:$G, (MATCH(565, 輔助計算!$G$2:$G$801, 0)+1)),"0.##"))))&amp;"-1")&lt;&gt;""),"  ","")&amp;IF(MOD(INDEX(輔助計算!$D:$D, (MATCH(565, 輔助計算!$G$2:$G$801, 0)+1)),IF(INDEX(ERP資料!$G:$G, (MATCH(565, 輔助計算!$G$2:$G$801, 0)+1))&lt;100, IF(INDEX(ERP資料!$G:$G, (MATCH(565, 輔助計算!$G$2:$G$801, 0)+1))&lt;=31,3,IF(INDEX(ERP資料!$G:$G, (MATCH(565, 輔助計算!$G$2:$G$801, 0)+1))&lt;=46.5,2,1)), IF(INDEX(ERP資料!$G:$G, (MATCH(565, 輔助計算!$G$2:$G$801, 0)+1))&lt;=790,3,IF(INDEX(ERP資料!$G:$G, (MATCH(565, 輔助計算!$G$2:$G$801, 0)+1))&lt;=1181,2,1))))=0,"",IF(MOD(INDEX(輔助計算!$D:$D, (MATCH(565, 輔助計算!$G$2:$G$801, 0)+1)),IF(INDEX(ERP資料!$G:$G, (MATCH(565, 輔助計算!$G$2:$G$801, 0)+1))&lt;100, IF(INDEX(ERP資料!$G:$G, (MATCH(565, 輔助計算!$G$2:$G$801, 0)+1))&lt;=31,3,IF(INDEX(ERP資料!$G:$G, (MATCH(565, 輔助計算!$G$2:$G$801, 0)+1))&lt;=46.5,2,1)), IF(INDEX(ERP資料!$G:$G, (MATCH(565, 輔助計算!$G$2:$G$801, 0)+1))&lt;=790,3,IF(INDEX(ERP資料!$G:$G, (MATCH(565, 輔助計算!$G$2:$G$801, 0)+1))&lt;=1181,2,1))))=0,"",IF(MOD(INDEX(輔助計算!$D:$D, (MATCH(565, 輔助計算!$G$2:$G$801, 0)+1)),IF(INDEX(ERP資料!$G:$G, (MATCH(565, 輔助計算!$G$2:$G$801, 0)+1))&lt;100, IF(INDEX(ERP資料!$G:$G, (MATCH(565, 輔助計算!$G$2:$G$801, 0)+1))&lt;=31,3,IF(INDEX(ERP資料!$G:$G, (MATCH(565, 輔助計算!$G$2:$G$801, 0)+1))&lt;=46.5,2,1)), IF(INDEX(ERP資料!$G:$G, (MATCH(565, 輔助計算!$G$2:$G$801, 0)+1))&lt;=790,3,IF(INDEX(ERP資料!$G:$G, (MATCH(565, 輔助計算!$G$2:$G$801, 0)+1))&lt;=1181,2,1))))=1,TEXT(INDEX(ERP資料!$G:$G, (MATCH(565, 輔助計算!$G$2:$G$801, 0)+1)),"0.##"),IF(MOD(INDEX(輔助計算!$D:$D, (MATCH(565, 輔助計算!$G$2:$G$801, 0)+1)),IF(INDEX(ERP資料!$G:$G, (MATCH(565, 輔助計算!$G$2:$G$801, 0)+1))&lt;100, IF(INDEX(ERP資料!$G:$G, (MATCH(565, 輔助計算!$G$2:$G$801, 0)+1))&lt;=31,3,IF(INDEX(ERP資料!$G:$G, (MATCH(565, 輔助計算!$G$2:$G$801, 0)+1))&lt;=46.5,2,1)), IF(INDEX(ERP資料!$G:$G, (MATCH(565, 輔助計算!$G$2:$G$801, 0)+1))&lt;=790,3,IF(INDEX(ERP資料!$G:$G, (MATCH(565, 輔助計算!$G$2:$G$801, 0)+1))&lt;=1181,2,1))))=2,TEXT(INDEX(ERP資料!$G:$G, (MATCH(565, 輔助計算!$G$2:$G$801, 0)+1)),"0.##")&amp;"+"&amp;TEXT(INDEX(ERP資料!$G:$G, (MATCH(565, 輔助計算!$G$2:$G$801, 0)+1)),"0.##"),TEXT(INDEX(ERP資料!$G:$G, (MATCH(565, 輔助計算!$G$2:$G$801, 0)+1)),"0.##")&amp;"+"&amp;TEXT(INDEX(ERP資料!$G:$G, (MATCH(565, 輔助計算!$G$2:$G$801, 0)+1)),"0.##")&amp;"+"&amp;TEXT(INDEX(ERP資料!$G:$G, (MATCH(565, 輔助計算!$G$2:$G$801, 0)+1)),"0.##"))))&amp;"-1")), ""), "")</f>
        <v/>
      </c>
      <c r="K566" s="16" t="n"/>
      <c r="L566" s="14">
        <f>IFERROR(IF(AND(IFERROR(INDEX(ERP資料!$A:$A, (MATCH(565, 輔助計算!$G$2:$G$801, 0)+1)), "")&lt;&gt;"", IFERROR(INDEX(ERP資料!$A:$A, (MATCH(565, 輔助計算!$G$2:$G$801, 0)+1)), "")&lt;&gt;IFERROR(INDEX(ERP資料!$A:$A, MATCH(564, 輔助計算!$G$2:$G$801, 0)+1), "")), INDEX(ERP資料!$B:$B, (MATCH(565, 輔助計算!$G$2:$G$801, 0)+1)), ""), "")</f>
        <v/>
      </c>
      <c r="M566" s="17" t="n"/>
    </row>
    <row r="567">
      <c r="A567" s="10">
        <f>IFERROR(IF(AND(IFERROR(INDEX(ERP資料!$A:$A, (MATCH(566, 輔助計算!$G$2:$G$801, 0)+1)), "")&lt;&gt;"", IFERROR(INDEX(ERP資料!$A:$A, (MATCH(566, 輔助計算!$G$2:$G$801, 0)+1)), "")&lt;&gt;IFERROR(INDEX(ERP資料!$A:$A, MATCH(565, 輔助計算!$G$2:$G$801, 0)+1), "")), IFERROR(INDEX(ERP資料!$A:$A, (MATCH(566, 輔助計算!$G$2:$G$801, 0)+1)), ""), ""), "")</f>
        <v/>
      </c>
      <c r="B567" s="10">
        <f>IFERROR(IF(AND(IFERROR(INDEX(ERP資料!$A:$A, (MATCH(566, 輔助計算!$G$2:$G$801, 0)+1)), "")&lt;&gt;"", IFERROR(INDEX(ERP資料!$A:$A, (MATCH(566, 輔助計算!$G$2:$G$801, 0)+1)), "")&lt;&gt;IFERROR(INDEX(ERP資料!$A:$A, MATCH(565, 輔助計算!$G$2:$G$801, 0)+1), "")), INDEX(ERP資料!$S:$S, (MATCH(566, 輔助計算!$G$2:$G$801, 0)+1)), ""), "")</f>
        <v/>
      </c>
      <c r="C567" s="19">
        <f>IFERROR(IF(AND(IFERROR(INDEX(ERP資料!$A:$A, (MATCH(566, 輔助計算!$G$2:$G$801, 0)+1)), "")&lt;&gt;"", IFERROR(INDEX(ERP資料!$A:$A, (MATCH(566, 輔助計算!$G$2:$G$801, 0)+1)), "")&lt;&gt;IFERROR(INDEX(ERP資料!$A:$A, MATCH(565, 輔助計算!$G$2:$G$801, 0)+1), "")), IFERROR(VLOOKUP(LEFT(INDEX(ERP資料!$S:$S, (MATCH(566, 輔助計算!$G$2:$G$801, 0)+1)), 4), 紙管對照表!$A:$C, 3, FALSE), ""), ""), "")</f>
        <v/>
      </c>
      <c r="D567" s="16" t="n"/>
      <c r="E567" s="10">
        <f>IFERROR(IF(INDEX(ERP資料!$H:$H, (MATCH(566, 輔助計算!$G$2:$G$801, 0)+1))="","",INDEX(ERP資料!$H:$H, (MATCH(566, 輔助計算!$G$2:$G$801, 0)+1))), "")</f>
        <v/>
      </c>
      <c r="F567" s="10">
        <f>IFERROR(IF(INDEX(ERP資料!$E:$E, (MATCH(566, 輔助計算!$G$2:$G$801, 0)+1))="","",TRIM(INDEX(ERP資料!$E:$E, (MATCH(566, 輔助計算!$G$2:$G$801, 0)+1)))), "")</f>
        <v/>
      </c>
      <c r="G567" s="10">
        <f>IFERROR(IF(INDEX(ERP資料!$F:$F, (MATCH(566, 輔助計算!$G$2:$G$801, 0)+1))="","",INDEX(ERP資料!$F:$F, (MATCH(566, 輔助計算!$G$2:$G$801, 0)+1))), "")</f>
        <v/>
      </c>
      <c r="H567" s="10">
        <f>IFERROR(IF(INDEX(ERP資料!$G:$G, (MATCH(566, 輔助計算!$G$2:$G$801, 0)+1))="","",INDEX(ERP資料!$G:$G, (MATCH(566, 輔助計算!$G$2:$G$801, 0)+1))), "")</f>
        <v/>
      </c>
      <c r="I567" s="15">
        <f>IFERROR(INDEX(輔助計算!$D:$D, (MATCH(566, 輔助計算!$G$2:$G$801, 0)+1)), "")</f>
        <v/>
      </c>
      <c r="J567" s="15">
        <f>IFERROR(IF(AND(INDEX(輔助計算!$D:$D, (MATCH(566, 輔助計算!$G$2:$G$801, 0)+1))&lt;&gt;"", INDEX(ERP資料!$G:$G, (MATCH(566, 輔助計算!$G$2:$G$801, 0)+1))&lt;&gt;""), TRIM(IF(INT(INDEX(輔助計算!$D:$D, (MATCH(566, 輔助計算!$G$2:$G$801, 0)+1))/IF(INDEX(ERP資料!$G:$G, (MATCH(566, 輔助計算!$G$2:$G$801, 0)+1))&lt;100, IF(INDEX(ERP資料!$G:$G, (MATCH(566, 輔助計算!$G$2:$G$801, 0)+1))&lt;=31,3,IF(INDEX(ERP資料!$G:$G, (MATCH(566, 輔助計算!$G$2:$G$801, 0)+1))&lt;=46.5,2,1)), IF(INDEX(ERP資料!$G:$G, (MATCH(566, 輔助計算!$G$2:$G$801, 0)+1))&lt;=790,3,IF(INDEX(ERP資料!$G:$G, (MATCH(566, 輔助計算!$G$2:$G$801, 0)+1))&lt;=1181,2,1))))&gt;0, IF(IF(INDEX(ERP資料!$G:$G, (MATCH(566, 輔助計算!$G$2:$G$801, 0)+1))&lt;100, IF(INDEX(ERP資料!$G:$G, (MATCH(566, 輔助計算!$G$2:$G$801, 0)+1))&lt;=31,3,IF(INDEX(ERP資料!$G:$G, (MATCH(566, 輔助計算!$G$2:$G$801, 0)+1))&lt;=46.5,2,1)), IF(INDEX(ERP資料!$G:$G, (MATCH(566, 輔助計算!$G$2:$G$801, 0)+1))&lt;=790,3,IF(INDEX(ERP資料!$G:$G, (MATCH(566, 輔助計算!$G$2:$G$801, 0)+1))&lt;=1181,2,1)))=1,TEXT(INDEX(ERP資料!$G:$G, (MATCH(566, 輔助計算!$G$2:$G$801, 0)+1)),"0.##"),IF(IF(INDEX(ERP資料!$G:$G, (MATCH(566, 輔助計算!$G$2:$G$801, 0)+1))&lt;100, IF(INDEX(ERP資料!$G:$G, (MATCH(566, 輔助計算!$G$2:$G$801, 0)+1))&lt;=31,3,IF(INDEX(ERP資料!$G:$G, (MATCH(566, 輔助計算!$G$2:$G$801, 0)+1))&lt;=46.5,2,1)), IF(INDEX(ERP資料!$G:$G, (MATCH(566, 輔助計算!$G$2:$G$801, 0)+1))&lt;=790,3,IF(INDEX(ERP資料!$G:$G, (MATCH(566, 輔助計算!$G$2:$G$801, 0)+1))&lt;=1181,2,1)))=2,TEXT(INDEX(ERP資料!$G:$G, (MATCH(566, 輔助計算!$G$2:$G$801, 0)+1)),"0.##")&amp;"+"&amp;TEXT(INDEX(ERP資料!$G:$G, (MATCH(566, 輔助計算!$G$2:$G$801, 0)+1)),"0.##"),TEXT(INDEX(ERP資料!$G:$G, (MATCH(566, 輔助計算!$G$2:$G$801, 0)+1)),"0.##")&amp;"+"&amp;TEXT(INDEX(ERP資料!$G:$G, (MATCH(566, 輔助計算!$G$2:$G$801, 0)+1)),"0.##")&amp;"+"&amp;TEXT(INDEX(ERP資料!$G:$G, (MATCH(566, 輔助計算!$G$2:$G$801, 0)+1)),"0.##")))&amp;"-"&amp;INT(INDEX(輔助計算!$D:$D, (MATCH(566, 輔助計算!$G$2:$G$801, 0)+1))/IF(INDEX(ERP資料!$G:$G, (MATCH(566, 輔助計算!$G$2:$G$801, 0)+1))&lt;100, IF(INDEX(ERP資料!$G:$G, (MATCH(566, 輔助計算!$G$2:$G$801, 0)+1))&lt;=31,3,IF(INDEX(ERP資料!$G:$G, (MATCH(566, 輔助計算!$G$2:$G$801, 0)+1))&lt;=46.5,2,1)), IF(INDEX(ERP資料!$G:$G, (MATCH(566, 輔助計算!$G$2:$G$801, 0)+1))&lt;=790,3,IF(INDEX(ERP資料!$G:$G, (MATCH(566, 輔助計算!$G$2:$G$801, 0)+1))&lt;=1181,2,1)))), "")&amp;IF(AND(IF(INT(INDEX(輔助計算!$D:$D, (MATCH(566, 輔助計算!$G$2:$G$801, 0)+1))/IF(INDEX(ERP資料!$G:$G, (MATCH(566, 輔助計算!$G$2:$G$801, 0)+1))&lt;100, IF(INDEX(ERP資料!$G:$G, (MATCH(566, 輔助計算!$G$2:$G$801, 0)+1))&lt;=31,3,IF(INDEX(ERP資料!$G:$G, (MATCH(566, 輔助計算!$G$2:$G$801, 0)+1))&lt;=46.5,2,1)), IF(INDEX(ERP資料!$G:$G, (MATCH(566, 輔助計算!$G$2:$G$801, 0)+1))&lt;=790,3,IF(INDEX(ERP資料!$G:$G, (MATCH(566, 輔助計算!$G$2:$G$801, 0)+1))&lt;=1181,2,1))))&gt;0, IF(IF(INDEX(ERP資料!$G:$G, (MATCH(566, 輔助計算!$G$2:$G$801, 0)+1))&lt;100, IF(INDEX(ERP資料!$G:$G, (MATCH(566, 輔助計算!$G$2:$G$801, 0)+1))&lt;=31,3,IF(INDEX(ERP資料!$G:$G, (MATCH(566, 輔助計算!$G$2:$G$801, 0)+1))&lt;=46.5,2,1)), IF(INDEX(ERP資料!$G:$G, (MATCH(566, 輔助計算!$G$2:$G$801, 0)+1))&lt;=790,3,IF(INDEX(ERP資料!$G:$G, (MATCH(566, 輔助計算!$G$2:$G$801, 0)+1))&lt;=1181,2,1)))=1,TEXT(INDEX(ERP資料!$G:$G, (MATCH(566, 輔助計算!$G$2:$G$801, 0)+1)),"0.##"),IF(IF(INDEX(ERP資料!$G:$G, (MATCH(566, 輔助計算!$G$2:$G$801, 0)+1))&lt;100, IF(INDEX(ERP資料!$G:$G, (MATCH(566, 輔助計算!$G$2:$G$801, 0)+1))&lt;=31,3,IF(INDEX(ERP資料!$G:$G, (MATCH(566, 輔助計算!$G$2:$G$801, 0)+1))&lt;=46.5,2,1)), IF(INDEX(ERP資料!$G:$G, (MATCH(566, 輔助計算!$G$2:$G$801, 0)+1))&lt;=790,3,IF(INDEX(ERP資料!$G:$G, (MATCH(566, 輔助計算!$G$2:$G$801, 0)+1))&lt;=1181,2,1)))=2,TEXT(INDEX(ERP資料!$G:$G, (MATCH(566, 輔助計算!$G$2:$G$801, 0)+1)),"0.##")&amp;"+"&amp;TEXT(INDEX(ERP資料!$G:$G, (MATCH(566, 輔助計算!$G$2:$G$801, 0)+1)),"0.##"),TEXT(INDEX(ERP資料!$G:$G, (MATCH(566, 輔助計算!$G$2:$G$801, 0)+1)),"0.##")&amp;"+"&amp;TEXT(INDEX(ERP資料!$G:$G, (MATCH(566, 輔助計算!$G$2:$G$801, 0)+1)),"0.##")&amp;"+"&amp;TEXT(INDEX(ERP資料!$G:$G, (MATCH(566, 輔助計算!$G$2:$G$801, 0)+1)),"0.##")))&amp;"-"&amp;INT(INDEX(輔助計算!$D:$D, (MATCH(566, 輔助計算!$G$2:$G$801, 0)+1))/IF(INDEX(ERP資料!$G:$G, (MATCH(566, 輔助計算!$G$2:$G$801, 0)+1))&lt;100, IF(INDEX(ERP資料!$G:$G, (MATCH(566, 輔助計算!$G$2:$G$801, 0)+1))&lt;=31,3,IF(INDEX(ERP資料!$G:$G, (MATCH(566, 輔助計算!$G$2:$G$801, 0)+1))&lt;=46.5,2,1)), IF(INDEX(ERP資料!$G:$G, (MATCH(566, 輔助計算!$G$2:$G$801, 0)+1))&lt;=790,3,IF(INDEX(ERP資料!$G:$G, (MATCH(566, 輔助計算!$G$2:$G$801, 0)+1))&lt;=1181,2,1)))), "")&lt;&gt;"",IF(MOD(INDEX(輔助計算!$D:$D, (MATCH(566, 輔助計算!$G$2:$G$801, 0)+1)),IF(INDEX(ERP資料!$G:$G, (MATCH(566, 輔助計算!$G$2:$G$801, 0)+1))&lt;100, IF(INDEX(ERP資料!$G:$G, (MATCH(566, 輔助計算!$G$2:$G$801, 0)+1))&lt;=31,3,IF(INDEX(ERP資料!$G:$G, (MATCH(566, 輔助計算!$G$2:$G$801, 0)+1))&lt;=46.5,2,1)), IF(INDEX(ERP資料!$G:$G, (MATCH(566, 輔助計算!$G$2:$G$801, 0)+1))&lt;=790,3,IF(INDEX(ERP資料!$G:$G, (MATCH(566, 輔助計算!$G$2:$G$801, 0)+1))&lt;=1181,2,1))))=0,"",IF(MOD(INDEX(輔助計算!$D:$D, (MATCH(566, 輔助計算!$G$2:$G$801, 0)+1)),IF(INDEX(ERP資料!$G:$G, (MATCH(566, 輔助計算!$G$2:$G$801, 0)+1))&lt;100, IF(INDEX(ERP資料!$G:$G, (MATCH(566, 輔助計算!$G$2:$G$801, 0)+1))&lt;=31,3,IF(INDEX(ERP資料!$G:$G, (MATCH(566, 輔助計算!$G$2:$G$801, 0)+1))&lt;=46.5,2,1)), IF(INDEX(ERP資料!$G:$G, (MATCH(566, 輔助計算!$G$2:$G$801, 0)+1))&lt;=790,3,IF(INDEX(ERP資料!$G:$G, (MATCH(566, 輔助計算!$G$2:$G$801, 0)+1))&lt;=1181,2,1))))=0,"",IF(MOD(INDEX(輔助計算!$D:$D, (MATCH(566, 輔助計算!$G$2:$G$801, 0)+1)),IF(INDEX(ERP資料!$G:$G, (MATCH(566, 輔助計算!$G$2:$G$801, 0)+1))&lt;100, IF(INDEX(ERP資料!$G:$G, (MATCH(566, 輔助計算!$G$2:$G$801, 0)+1))&lt;=31,3,IF(INDEX(ERP資料!$G:$G, (MATCH(566, 輔助計算!$G$2:$G$801, 0)+1))&lt;=46.5,2,1)), IF(INDEX(ERP資料!$G:$G, (MATCH(566, 輔助計算!$G$2:$G$801, 0)+1))&lt;=790,3,IF(INDEX(ERP資料!$G:$G, (MATCH(566, 輔助計算!$G$2:$G$801, 0)+1))&lt;=1181,2,1))))=1,TEXT(INDEX(ERP資料!$G:$G, (MATCH(566, 輔助計算!$G$2:$G$801, 0)+1)),"0.##"),IF(MOD(INDEX(輔助計算!$D:$D, (MATCH(566, 輔助計算!$G$2:$G$801, 0)+1)),IF(INDEX(ERP資料!$G:$G, (MATCH(566, 輔助計算!$G$2:$G$801, 0)+1))&lt;100, IF(INDEX(ERP資料!$G:$G, (MATCH(566, 輔助計算!$G$2:$G$801, 0)+1))&lt;=31,3,IF(INDEX(ERP資料!$G:$G, (MATCH(566, 輔助計算!$G$2:$G$801, 0)+1))&lt;=46.5,2,1)), IF(INDEX(ERP資料!$G:$G, (MATCH(566, 輔助計算!$G$2:$G$801, 0)+1))&lt;=790,3,IF(INDEX(ERP資料!$G:$G, (MATCH(566, 輔助計算!$G$2:$G$801, 0)+1))&lt;=1181,2,1))))=2,TEXT(INDEX(ERP資料!$G:$G, (MATCH(566, 輔助計算!$G$2:$G$801, 0)+1)),"0.##")&amp;"+"&amp;TEXT(INDEX(ERP資料!$G:$G, (MATCH(566, 輔助計算!$G$2:$G$801, 0)+1)),"0.##"),TEXT(INDEX(ERP資料!$G:$G, (MATCH(566, 輔助計算!$G$2:$G$801, 0)+1)),"0.##")&amp;"+"&amp;TEXT(INDEX(ERP資料!$G:$G, (MATCH(566, 輔助計算!$G$2:$G$801, 0)+1)),"0.##")&amp;"+"&amp;TEXT(INDEX(ERP資料!$G:$G, (MATCH(566, 輔助計算!$G$2:$G$801, 0)+1)),"0.##"))))&amp;"-1")&lt;&gt;""),"  ","")&amp;IF(MOD(INDEX(輔助計算!$D:$D, (MATCH(566, 輔助計算!$G$2:$G$801, 0)+1)),IF(INDEX(ERP資料!$G:$G, (MATCH(566, 輔助計算!$G$2:$G$801, 0)+1))&lt;100, IF(INDEX(ERP資料!$G:$G, (MATCH(566, 輔助計算!$G$2:$G$801, 0)+1))&lt;=31,3,IF(INDEX(ERP資料!$G:$G, (MATCH(566, 輔助計算!$G$2:$G$801, 0)+1))&lt;=46.5,2,1)), IF(INDEX(ERP資料!$G:$G, (MATCH(566, 輔助計算!$G$2:$G$801, 0)+1))&lt;=790,3,IF(INDEX(ERP資料!$G:$G, (MATCH(566, 輔助計算!$G$2:$G$801, 0)+1))&lt;=1181,2,1))))=0,"",IF(MOD(INDEX(輔助計算!$D:$D, (MATCH(566, 輔助計算!$G$2:$G$801, 0)+1)),IF(INDEX(ERP資料!$G:$G, (MATCH(566, 輔助計算!$G$2:$G$801, 0)+1))&lt;100, IF(INDEX(ERP資料!$G:$G, (MATCH(566, 輔助計算!$G$2:$G$801, 0)+1))&lt;=31,3,IF(INDEX(ERP資料!$G:$G, (MATCH(566, 輔助計算!$G$2:$G$801, 0)+1))&lt;=46.5,2,1)), IF(INDEX(ERP資料!$G:$G, (MATCH(566, 輔助計算!$G$2:$G$801, 0)+1))&lt;=790,3,IF(INDEX(ERP資料!$G:$G, (MATCH(566, 輔助計算!$G$2:$G$801, 0)+1))&lt;=1181,2,1))))=0,"",IF(MOD(INDEX(輔助計算!$D:$D, (MATCH(566, 輔助計算!$G$2:$G$801, 0)+1)),IF(INDEX(ERP資料!$G:$G, (MATCH(566, 輔助計算!$G$2:$G$801, 0)+1))&lt;100, IF(INDEX(ERP資料!$G:$G, (MATCH(566, 輔助計算!$G$2:$G$801, 0)+1))&lt;=31,3,IF(INDEX(ERP資料!$G:$G, (MATCH(566, 輔助計算!$G$2:$G$801, 0)+1))&lt;=46.5,2,1)), IF(INDEX(ERP資料!$G:$G, (MATCH(566, 輔助計算!$G$2:$G$801, 0)+1))&lt;=790,3,IF(INDEX(ERP資料!$G:$G, (MATCH(566, 輔助計算!$G$2:$G$801, 0)+1))&lt;=1181,2,1))))=1,TEXT(INDEX(ERP資料!$G:$G, (MATCH(566, 輔助計算!$G$2:$G$801, 0)+1)),"0.##"),IF(MOD(INDEX(輔助計算!$D:$D, (MATCH(566, 輔助計算!$G$2:$G$801, 0)+1)),IF(INDEX(ERP資料!$G:$G, (MATCH(566, 輔助計算!$G$2:$G$801, 0)+1))&lt;100, IF(INDEX(ERP資料!$G:$G, (MATCH(566, 輔助計算!$G$2:$G$801, 0)+1))&lt;=31,3,IF(INDEX(ERP資料!$G:$G, (MATCH(566, 輔助計算!$G$2:$G$801, 0)+1))&lt;=46.5,2,1)), IF(INDEX(ERP資料!$G:$G, (MATCH(566, 輔助計算!$G$2:$G$801, 0)+1))&lt;=790,3,IF(INDEX(ERP資料!$G:$G, (MATCH(566, 輔助計算!$G$2:$G$801, 0)+1))&lt;=1181,2,1))))=2,TEXT(INDEX(ERP資料!$G:$G, (MATCH(566, 輔助計算!$G$2:$G$801, 0)+1)),"0.##")&amp;"+"&amp;TEXT(INDEX(ERP資料!$G:$G, (MATCH(566, 輔助計算!$G$2:$G$801, 0)+1)),"0.##"),TEXT(INDEX(ERP資料!$G:$G, (MATCH(566, 輔助計算!$G$2:$G$801, 0)+1)),"0.##")&amp;"+"&amp;TEXT(INDEX(ERP資料!$G:$G, (MATCH(566, 輔助計算!$G$2:$G$801, 0)+1)),"0.##")&amp;"+"&amp;TEXT(INDEX(ERP資料!$G:$G, (MATCH(566, 輔助計算!$G$2:$G$801, 0)+1)),"0.##"))))&amp;"-1")), ""), "")</f>
        <v/>
      </c>
      <c r="K567" s="16" t="n"/>
      <c r="L567" s="14">
        <f>IFERROR(IF(AND(IFERROR(INDEX(ERP資料!$A:$A, (MATCH(566, 輔助計算!$G$2:$G$801, 0)+1)), "")&lt;&gt;"", IFERROR(INDEX(ERP資料!$A:$A, (MATCH(566, 輔助計算!$G$2:$G$801, 0)+1)), "")&lt;&gt;IFERROR(INDEX(ERP資料!$A:$A, MATCH(565, 輔助計算!$G$2:$G$801, 0)+1), "")), INDEX(ERP資料!$B:$B, (MATCH(566, 輔助計算!$G$2:$G$801, 0)+1)), ""), "")</f>
        <v/>
      </c>
      <c r="M567" s="17" t="n"/>
    </row>
    <row r="568">
      <c r="A568" s="10">
        <f>IFERROR(IF(AND(IFERROR(INDEX(ERP資料!$A:$A, (MATCH(567, 輔助計算!$G$2:$G$801, 0)+1)), "")&lt;&gt;"", IFERROR(INDEX(ERP資料!$A:$A, (MATCH(567, 輔助計算!$G$2:$G$801, 0)+1)), "")&lt;&gt;IFERROR(INDEX(ERP資料!$A:$A, MATCH(566, 輔助計算!$G$2:$G$801, 0)+1), "")), IFERROR(INDEX(ERP資料!$A:$A, (MATCH(567, 輔助計算!$G$2:$G$801, 0)+1)), ""), ""), "")</f>
        <v/>
      </c>
      <c r="B568" s="10">
        <f>IFERROR(IF(AND(IFERROR(INDEX(ERP資料!$A:$A, (MATCH(567, 輔助計算!$G$2:$G$801, 0)+1)), "")&lt;&gt;"", IFERROR(INDEX(ERP資料!$A:$A, (MATCH(567, 輔助計算!$G$2:$G$801, 0)+1)), "")&lt;&gt;IFERROR(INDEX(ERP資料!$A:$A, MATCH(566, 輔助計算!$G$2:$G$801, 0)+1), "")), INDEX(ERP資料!$S:$S, (MATCH(567, 輔助計算!$G$2:$G$801, 0)+1)), ""), "")</f>
        <v/>
      </c>
      <c r="C568" s="19">
        <f>IFERROR(IF(AND(IFERROR(INDEX(ERP資料!$A:$A, (MATCH(567, 輔助計算!$G$2:$G$801, 0)+1)), "")&lt;&gt;"", IFERROR(INDEX(ERP資料!$A:$A, (MATCH(567, 輔助計算!$G$2:$G$801, 0)+1)), "")&lt;&gt;IFERROR(INDEX(ERP資料!$A:$A, MATCH(566, 輔助計算!$G$2:$G$801, 0)+1), "")), IFERROR(VLOOKUP(LEFT(INDEX(ERP資料!$S:$S, (MATCH(567, 輔助計算!$G$2:$G$801, 0)+1)), 4), 紙管對照表!$A:$C, 3, FALSE), ""), ""), "")</f>
        <v/>
      </c>
      <c r="D568" s="16" t="n"/>
      <c r="E568" s="10">
        <f>IFERROR(IF(INDEX(ERP資料!$H:$H, (MATCH(567, 輔助計算!$G$2:$G$801, 0)+1))="","",INDEX(ERP資料!$H:$H, (MATCH(567, 輔助計算!$G$2:$G$801, 0)+1))), "")</f>
        <v/>
      </c>
      <c r="F568" s="10">
        <f>IFERROR(IF(INDEX(ERP資料!$E:$E, (MATCH(567, 輔助計算!$G$2:$G$801, 0)+1))="","",TRIM(INDEX(ERP資料!$E:$E, (MATCH(567, 輔助計算!$G$2:$G$801, 0)+1)))), "")</f>
        <v/>
      </c>
      <c r="G568" s="10">
        <f>IFERROR(IF(INDEX(ERP資料!$F:$F, (MATCH(567, 輔助計算!$G$2:$G$801, 0)+1))="","",INDEX(ERP資料!$F:$F, (MATCH(567, 輔助計算!$G$2:$G$801, 0)+1))), "")</f>
        <v/>
      </c>
      <c r="H568" s="10">
        <f>IFERROR(IF(INDEX(ERP資料!$G:$G, (MATCH(567, 輔助計算!$G$2:$G$801, 0)+1))="","",INDEX(ERP資料!$G:$G, (MATCH(567, 輔助計算!$G$2:$G$801, 0)+1))), "")</f>
        <v/>
      </c>
      <c r="I568" s="15">
        <f>IFERROR(INDEX(輔助計算!$D:$D, (MATCH(567, 輔助計算!$G$2:$G$801, 0)+1)), "")</f>
        <v/>
      </c>
      <c r="J568" s="15">
        <f>IFERROR(IF(AND(INDEX(輔助計算!$D:$D, (MATCH(567, 輔助計算!$G$2:$G$801, 0)+1))&lt;&gt;"", INDEX(ERP資料!$G:$G, (MATCH(567, 輔助計算!$G$2:$G$801, 0)+1))&lt;&gt;""), TRIM(IF(INT(INDEX(輔助計算!$D:$D, (MATCH(567, 輔助計算!$G$2:$G$801, 0)+1))/IF(INDEX(ERP資料!$G:$G, (MATCH(567, 輔助計算!$G$2:$G$801, 0)+1))&lt;100, IF(INDEX(ERP資料!$G:$G, (MATCH(567, 輔助計算!$G$2:$G$801, 0)+1))&lt;=31,3,IF(INDEX(ERP資料!$G:$G, (MATCH(567, 輔助計算!$G$2:$G$801, 0)+1))&lt;=46.5,2,1)), IF(INDEX(ERP資料!$G:$G, (MATCH(567, 輔助計算!$G$2:$G$801, 0)+1))&lt;=790,3,IF(INDEX(ERP資料!$G:$G, (MATCH(567, 輔助計算!$G$2:$G$801, 0)+1))&lt;=1181,2,1))))&gt;0, IF(IF(INDEX(ERP資料!$G:$G, (MATCH(567, 輔助計算!$G$2:$G$801, 0)+1))&lt;100, IF(INDEX(ERP資料!$G:$G, (MATCH(567, 輔助計算!$G$2:$G$801, 0)+1))&lt;=31,3,IF(INDEX(ERP資料!$G:$G, (MATCH(567, 輔助計算!$G$2:$G$801, 0)+1))&lt;=46.5,2,1)), IF(INDEX(ERP資料!$G:$G, (MATCH(567, 輔助計算!$G$2:$G$801, 0)+1))&lt;=790,3,IF(INDEX(ERP資料!$G:$G, (MATCH(567, 輔助計算!$G$2:$G$801, 0)+1))&lt;=1181,2,1)))=1,TEXT(INDEX(ERP資料!$G:$G, (MATCH(567, 輔助計算!$G$2:$G$801, 0)+1)),"0.##"),IF(IF(INDEX(ERP資料!$G:$G, (MATCH(567, 輔助計算!$G$2:$G$801, 0)+1))&lt;100, IF(INDEX(ERP資料!$G:$G, (MATCH(567, 輔助計算!$G$2:$G$801, 0)+1))&lt;=31,3,IF(INDEX(ERP資料!$G:$G, (MATCH(567, 輔助計算!$G$2:$G$801, 0)+1))&lt;=46.5,2,1)), IF(INDEX(ERP資料!$G:$G, (MATCH(567, 輔助計算!$G$2:$G$801, 0)+1))&lt;=790,3,IF(INDEX(ERP資料!$G:$G, (MATCH(567, 輔助計算!$G$2:$G$801, 0)+1))&lt;=1181,2,1)))=2,TEXT(INDEX(ERP資料!$G:$G, (MATCH(567, 輔助計算!$G$2:$G$801, 0)+1)),"0.##")&amp;"+"&amp;TEXT(INDEX(ERP資料!$G:$G, (MATCH(567, 輔助計算!$G$2:$G$801, 0)+1)),"0.##"),TEXT(INDEX(ERP資料!$G:$G, (MATCH(567, 輔助計算!$G$2:$G$801, 0)+1)),"0.##")&amp;"+"&amp;TEXT(INDEX(ERP資料!$G:$G, (MATCH(567, 輔助計算!$G$2:$G$801, 0)+1)),"0.##")&amp;"+"&amp;TEXT(INDEX(ERP資料!$G:$G, (MATCH(567, 輔助計算!$G$2:$G$801, 0)+1)),"0.##")))&amp;"-"&amp;INT(INDEX(輔助計算!$D:$D, (MATCH(567, 輔助計算!$G$2:$G$801, 0)+1))/IF(INDEX(ERP資料!$G:$G, (MATCH(567, 輔助計算!$G$2:$G$801, 0)+1))&lt;100, IF(INDEX(ERP資料!$G:$G, (MATCH(567, 輔助計算!$G$2:$G$801, 0)+1))&lt;=31,3,IF(INDEX(ERP資料!$G:$G, (MATCH(567, 輔助計算!$G$2:$G$801, 0)+1))&lt;=46.5,2,1)), IF(INDEX(ERP資料!$G:$G, (MATCH(567, 輔助計算!$G$2:$G$801, 0)+1))&lt;=790,3,IF(INDEX(ERP資料!$G:$G, (MATCH(567, 輔助計算!$G$2:$G$801, 0)+1))&lt;=1181,2,1)))), "")&amp;IF(AND(IF(INT(INDEX(輔助計算!$D:$D, (MATCH(567, 輔助計算!$G$2:$G$801, 0)+1))/IF(INDEX(ERP資料!$G:$G, (MATCH(567, 輔助計算!$G$2:$G$801, 0)+1))&lt;100, IF(INDEX(ERP資料!$G:$G, (MATCH(567, 輔助計算!$G$2:$G$801, 0)+1))&lt;=31,3,IF(INDEX(ERP資料!$G:$G, (MATCH(567, 輔助計算!$G$2:$G$801, 0)+1))&lt;=46.5,2,1)), IF(INDEX(ERP資料!$G:$G, (MATCH(567, 輔助計算!$G$2:$G$801, 0)+1))&lt;=790,3,IF(INDEX(ERP資料!$G:$G, (MATCH(567, 輔助計算!$G$2:$G$801, 0)+1))&lt;=1181,2,1))))&gt;0, IF(IF(INDEX(ERP資料!$G:$G, (MATCH(567, 輔助計算!$G$2:$G$801, 0)+1))&lt;100, IF(INDEX(ERP資料!$G:$G, (MATCH(567, 輔助計算!$G$2:$G$801, 0)+1))&lt;=31,3,IF(INDEX(ERP資料!$G:$G, (MATCH(567, 輔助計算!$G$2:$G$801, 0)+1))&lt;=46.5,2,1)), IF(INDEX(ERP資料!$G:$G, (MATCH(567, 輔助計算!$G$2:$G$801, 0)+1))&lt;=790,3,IF(INDEX(ERP資料!$G:$G, (MATCH(567, 輔助計算!$G$2:$G$801, 0)+1))&lt;=1181,2,1)))=1,TEXT(INDEX(ERP資料!$G:$G, (MATCH(567, 輔助計算!$G$2:$G$801, 0)+1)),"0.##"),IF(IF(INDEX(ERP資料!$G:$G, (MATCH(567, 輔助計算!$G$2:$G$801, 0)+1))&lt;100, IF(INDEX(ERP資料!$G:$G, (MATCH(567, 輔助計算!$G$2:$G$801, 0)+1))&lt;=31,3,IF(INDEX(ERP資料!$G:$G, (MATCH(567, 輔助計算!$G$2:$G$801, 0)+1))&lt;=46.5,2,1)), IF(INDEX(ERP資料!$G:$G, (MATCH(567, 輔助計算!$G$2:$G$801, 0)+1))&lt;=790,3,IF(INDEX(ERP資料!$G:$G, (MATCH(567, 輔助計算!$G$2:$G$801, 0)+1))&lt;=1181,2,1)))=2,TEXT(INDEX(ERP資料!$G:$G, (MATCH(567, 輔助計算!$G$2:$G$801, 0)+1)),"0.##")&amp;"+"&amp;TEXT(INDEX(ERP資料!$G:$G, (MATCH(567, 輔助計算!$G$2:$G$801, 0)+1)),"0.##"),TEXT(INDEX(ERP資料!$G:$G, (MATCH(567, 輔助計算!$G$2:$G$801, 0)+1)),"0.##")&amp;"+"&amp;TEXT(INDEX(ERP資料!$G:$G, (MATCH(567, 輔助計算!$G$2:$G$801, 0)+1)),"0.##")&amp;"+"&amp;TEXT(INDEX(ERP資料!$G:$G, (MATCH(567, 輔助計算!$G$2:$G$801, 0)+1)),"0.##")))&amp;"-"&amp;INT(INDEX(輔助計算!$D:$D, (MATCH(567, 輔助計算!$G$2:$G$801, 0)+1))/IF(INDEX(ERP資料!$G:$G, (MATCH(567, 輔助計算!$G$2:$G$801, 0)+1))&lt;100, IF(INDEX(ERP資料!$G:$G, (MATCH(567, 輔助計算!$G$2:$G$801, 0)+1))&lt;=31,3,IF(INDEX(ERP資料!$G:$G, (MATCH(567, 輔助計算!$G$2:$G$801, 0)+1))&lt;=46.5,2,1)), IF(INDEX(ERP資料!$G:$G, (MATCH(567, 輔助計算!$G$2:$G$801, 0)+1))&lt;=790,3,IF(INDEX(ERP資料!$G:$G, (MATCH(567, 輔助計算!$G$2:$G$801, 0)+1))&lt;=1181,2,1)))), "")&lt;&gt;"",IF(MOD(INDEX(輔助計算!$D:$D, (MATCH(567, 輔助計算!$G$2:$G$801, 0)+1)),IF(INDEX(ERP資料!$G:$G, (MATCH(567, 輔助計算!$G$2:$G$801, 0)+1))&lt;100, IF(INDEX(ERP資料!$G:$G, (MATCH(567, 輔助計算!$G$2:$G$801, 0)+1))&lt;=31,3,IF(INDEX(ERP資料!$G:$G, (MATCH(567, 輔助計算!$G$2:$G$801, 0)+1))&lt;=46.5,2,1)), IF(INDEX(ERP資料!$G:$G, (MATCH(567, 輔助計算!$G$2:$G$801, 0)+1))&lt;=790,3,IF(INDEX(ERP資料!$G:$G, (MATCH(567, 輔助計算!$G$2:$G$801, 0)+1))&lt;=1181,2,1))))=0,"",IF(MOD(INDEX(輔助計算!$D:$D, (MATCH(567, 輔助計算!$G$2:$G$801, 0)+1)),IF(INDEX(ERP資料!$G:$G, (MATCH(567, 輔助計算!$G$2:$G$801, 0)+1))&lt;100, IF(INDEX(ERP資料!$G:$G, (MATCH(567, 輔助計算!$G$2:$G$801, 0)+1))&lt;=31,3,IF(INDEX(ERP資料!$G:$G, (MATCH(567, 輔助計算!$G$2:$G$801, 0)+1))&lt;=46.5,2,1)), IF(INDEX(ERP資料!$G:$G, (MATCH(567, 輔助計算!$G$2:$G$801, 0)+1))&lt;=790,3,IF(INDEX(ERP資料!$G:$G, (MATCH(567, 輔助計算!$G$2:$G$801, 0)+1))&lt;=1181,2,1))))=0,"",IF(MOD(INDEX(輔助計算!$D:$D, (MATCH(567, 輔助計算!$G$2:$G$801, 0)+1)),IF(INDEX(ERP資料!$G:$G, (MATCH(567, 輔助計算!$G$2:$G$801, 0)+1))&lt;100, IF(INDEX(ERP資料!$G:$G, (MATCH(567, 輔助計算!$G$2:$G$801, 0)+1))&lt;=31,3,IF(INDEX(ERP資料!$G:$G, (MATCH(567, 輔助計算!$G$2:$G$801, 0)+1))&lt;=46.5,2,1)), IF(INDEX(ERP資料!$G:$G, (MATCH(567, 輔助計算!$G$2:$G$801, 0)+1))&lt;=790,3,IF(INDEX(ERP資料!$G:$G, (MATCH(567, 輔助計算!$G$2:$G$801, 0)+1))&lt;=1181,2,1))))=1,TEXT(INDEX(ERP資料!$G:$G, (MATCH(567, 輔助計算!$G$2:$G$801, 0)+1)),"0.##"),IF(MOD(INDEX(輔助計算!$D:$D, (MATCH(567, 輔助計算!$G$2:$G$801, 0)+1)),IF(INDEX(ERP資料!$G:$G, (MATCH(567, 輔助計算!$G$2:$G$801, 0)+1))&lt;100, IF(INDEX(ERP資料!$G:$G, (MATCH(567, 輔助計算!$G$2:$G$801, 0)+1))&lt;=31,3,IF(INDEX(ERP資料!$G:$G, (MATCH(567, 輔助計算!$G$2:$G$801, 0)+1))&lt;=46.5,2,1)), IF(INDEX(ERP資料!$G:$G, (MATCH(567, 輔助計算!$G$2:$G$801, 0)+1))&lt;=790,3,IF(INDEX(ERP資料!$G:$G, (MATCH(567, 輔助計算!$G$2:$G$801, 0)+1))&lt;=1181,2,1))))=2,TEXT(INDEX(ERP資料!$G:$G, (MATCH(567, 輔助計算!$G$2:$G$801, 0)+1)),"0.##")&amp;"+"&amp;TEXT(INDEX(ERP資料!$G:$G, (MATCH(567, 輔助計算!$G$2:$G$801, 0)+1)),"0.##"),TEXT(INDEX(ERP資料!$G:$G, (MATCH(567, 輔助計算!$G$2:$G$801, 0)+1)),"0.##")&amp;"+"&amp;TEXT(INDEX(ERP資料!$G:$G, (MATCH(567, 輔助計算!$G$2:$G$801, 0)+1)),"0.##")&amp;"+"&amp;TEXT(INDEX(ERP資料!$G:$G, (MATCH(567, 輔助計算!$G$2:$G$801, 0)+1)),"0.##"))))&amp;"-1")&lt;&gt;""),"  ","")&amp;IF(MOD(INDEX(輔助計算!$D:$D, (MATCH(567, 輔助計算!$G$2:$G$801, 0)+1)),IF(INDEX(ERP資料!$G:$G, (MATCH(567, 輔助計算!$G$2:$G$801, 0)+1))&lt;100, IF(INDEX(ERP資料!$G:$G, (MATCH(567, 輔助計算!$G$2:$G$801, 0)+1))&lt;=31,3,IF(INDEX(ERP資料!$G:$G, (MATCH(567, 輔助計算!$G$2:$G$801, 0)+1))&lt;=46.5,2,1)), IF(INDEX(ERP資料!$G:$G, (MATCH(567, 輔助計算!$G$2:$G$801, 0)+1))&lt;=790,3,IF(INDEX(ERP資料!$G:$G, (MATCH(567, 輔助計算!$G$2:$G$801, 0)+1))&lt;=1181,2,1))))=0,"",IF(MOD(INDEX(輔助計算!$D:$D, (MATCH(567, 輔助計算!$G$2:$G$801, 0)+1)),IF(INDEX(ERP資料!$G:$G, (MATCH(567, 輔助計算!$G$2:$G$801, 0)+1))&lt;100, IF(INDEX(ERP資料!$G:$G, (MATCH(567, 輔助計算!$G$2:$G$801, 0)+1))&lt;=31,3,IF(INDEX(ERP資料!$G:$G, (MATCH(567, 輔助計算!$G$2:$G$801, 0)+1))&lt;=46.5,2,1)), IF(INDEX(ERP資料!$G:$G, (MATCH(567, 輔助計算!$G$2:$G$801, 0)+1))&lt;=790,3,IF(INDEX(ERP資料!$G:$G, (MATCH(567, 輔助計算!$G$2:$G$801, 0)+1))&lt;=1181,2,1))))=0,"",IF(MOD(INDEX(輔助計算!$D:$D, (MATCH(567, 輔助計算!$G$2:$G$801, 0)+1)),IF(INDEX(ERP資料!$G:$G, (MATCH(567, 輔助計算!$G$2:$G$801, 0)+1))&lt;100, IF(INDEX(ERP資料!$G:$G, (MATCH(567, 輔助計算!$G$2:$G$801, 0)+1))&lt;=31,3,IF(INDEX(ERP資料!$G:$G, (MATCH(567, 輔助計算!$G$2:$G$801, 0)+1))&lt;=46.5,2,1)), IF(INDEX(ERP資料!$G:$G, (MATCH(567, 輔助計算!$G$2:$G$801, 0)+1))&lt;=790,3,IF(INDEX(ERP資料!$G:$G, (MATCH(567, 輔助計算!$G$2:$G$801, 0)+1))&lt;=1181,2,1))))=1,TEXT(INDEX(ERP資料!$G:$G, (MATCH(567, 輔助計算!$G$2:$G$801, 0)+1)),"0.##"),IF(MOD(INDEX(輔助計算!$D:$D, (MATCH(567, 輔助計算!$G$2:$G$801, 0)+1)),IF(INDEX(ERP資料!$G:$G, (MATCH(567, 輔助計算!$G$2:$G$801, 0)+1))&lt;100, IF(INDEX(ERP資料!$G:$G, (MATCH(567, 輔助計算!$G$2:$G$801, 0)+1))&lt;=31,3,IF(INDEX(ERP資料!$G:$G, (MATCH(567, 輔助計算!$G$2:$G$801, 0)+1))&lt;=46.5,2,1)), IF(INDEX(ERP資料!$G:$G, (MATCH(567, 輔助計算!$G$2:$G$801, 0)+1))&lt;=790,3,IF(INDEX(ERP資料!$G:$G, (MATCH(567, 輔助計算!$G$2:$G$801, 0)+1))&lt;=1181,2,1))))=2,TEXT(INDEX(ERP資料!$G:$G, (MATCH(567, 輔助計算!$G$2:$G$801, 0)+1)),"0.##")&amp;"+"&amp;TEXT(INDEX(ERP資料!$G:$G, (MATCH(567, 輔助計算!$G$2:$G$801, 0)+1)),"0.##"),TEXT(INDEX(ERP資料!$G:$G, (MATCH(567, 輔助計算!$G$2:$G$801, 0)+1)),"0.##")&amp;"+"&amp;TEXT(INDEX(ERP資料!$G:$G, (MATCH(567, 輔助計算!$G$2:$G$801, 0)+1)),"0.##")&amp;"+"&amp;TEXT(INDEX(ERP資料!$G:$G, (MATCH(567, 輔助計算!$G$2:$G$801, 0)+1)),"0.##"))))&amp;"-1")), ""), "")</f>
        <v/>
      </c>
      <c r="K568" s="16" t="n"/>
      <c r="L568" s="14">
        <f>IFERROR(IF(AND(IFERROR(INDEX(ERP資料!$A:$A, (MATCH(567, 輔助計算!$G$2:$G$801, 0)+1)), "")&lt;&gt;"", IFERROR(INDEX(ERP資料!$A:$A, (MATCH(567, 輔助計算!$G$2:$G$801, 0)+1)), "")&lt;&gt;IFERROR(INDEX(ERP資料!$A:$A, MATCH(566, 輔助計算!$G$2:$G$801, 0)+1), "")), INDEX(ERP資料!$B:$B, (MATCH(567, 輔助計算!$G$2:$G$801, 0)+1)), ""), "")</f>
        <v/>
      </c>
      <c r="M568" s="17" t="n"/>
    </row>
    <row r="569">
      <c r="A569" s="10">
        <f>IFERROR(IF(AND(IFERROR(INDEX(ERP資料!$A:$A, (MATCH(568, 輔助計算!$G$2:$G$801, 0)+1)), "")&lt;&gt;"", IFERROR(INDEX(ERP資料!$A:$A, (MATCH(568, 輔助計算!$G$2:$G$801, 0)+1)), "")&lt;&gt;IFERROR(INDEX(ERP資料!$A:$A, MATCH(567, 輔助計算!$G$2:$G$801, 0)+1), "")), IFERROR(INDEX(ERP資料!$A:$A, (MATCH(568, 輔助計算!$G$2:$G$801, 0)+1)), ""), ""), "")</f>
        <v/>
      </c>
      <c r="B569" s="10">
        <f>IFERROR(IF(AND(IFERROR(INDEX(ERP資料!$A:$A, (MATCH(568, 輔助計算!$G$2:$G$801, 0)+1)), "")&lt;&gt;"", IFERROR(INDEX(ERP資料!$A:$A, (MATCH(568, 輔助計算!$G$2:$G$801, 0)+1)), "")&lt;&gt;IFERROR(INDEX(ERP資料!$A:$A, MATCH(567, 輔助計算!$G$2:$G$801, 0)+1), "")), INDEX(ERP資料!$S:$S, (MATCH(568, 輔助計算!$G$2:$G$801, 0)+1)), ""), "")</f>
        <v/>
      </c>
      <c r="C569" s="19">
        <f>IFERROR(IF(AND(IFERROR(INDEX(ERP資料!$A:$A, (MATCH(568, 輔助計算!$G$2:$G$801, 0)+1)), "")&lt;&gt;"", IFERROR(INDEX(ERP資料!$A:$A, (MATCH(568, 輔助計算!$G$2:$G$801, 0)+1)), "")&lt;&gt;IFERROR(INDEX(ERP資料!$A:$A, MATCH(567, 輔助計算!$G$2:$G$801, 0)+1), "")), IFERROR(VLOOKUP(LEFT(INDEX(ERP資料!$S:$S, (MATCH(568, 輔助計算!$G$2:$G$801, 0)+1)), 4), 紙管對照表!$A:$C, 3, FALSE), ""), ""), "")</f>
        <v/>
      </c>
      <c r="D569" s="16" t="n"/>
      <c r="E569" s="10">
        <f>IFERROR(IF(INDEX(ERP資料!$H:$H, (MATCH(568, 輔助計算!$G$2:$G$801, 0)+1))="","",INDEX(ERP資料!$H:$H, (MATCH(568, 輔助計算!$G$2:$G$801, 0)+1))), "")</f>
        <v/>
      </c>
      <c r="F569" s="10">
        <f>IFERROR(IF(INDEX(ERP資料!$E:$E, (MATCH(568, 輔助計算!$G$2:$G$801, 0)+1))="","",TRIM(INDEX(ERP資料!$E:$E, (MATCH(568, 輔助計算!$G$2:$G$801, 0)+1)))), "")</f>
        <v/>
      </c>
      <c r="G569" s="10">
        <f>IFERROR(IF(INDEX(ERP資料!$F:$F, (MATCH(568, 輔助計算!$G$2:$G$801, 0)+1))="","",INDEX(ERP資料!$F:$F, (MATCH(568, 輔助計算!$G$2:$G$801, 0)+1))), "")</f>
        <v/>
      </c>
      <c r="H569" s="10">
        <f>IFERROR(IF(INDEX(ERP資料!$G:$G, (MATCH(568, 輔助計算!$G$2:$G$801, 0)+1))="","",INDEX(ERP資料!$G:$G, (MATCH(568, 輔助計算!$G$2:$G$801, 0)+1))), "")</f>
        <v/>
      </c>
      <c r="I569" s="15">
        <f>IFERROR(INDEX(輔助計算!$D:$D, (MATCH(568, 輔助計算!$G$2:$G$801, 0)+1)), "")</f>
        <v/>
      </c>
      <c r="J569" s="15">
        <f>IFERROR(IF(AND(INDEX(輔助計算!$D:$D, (MATCH(568, 輔助計算!$G$2:$G$801, 0)+1))&lt;&gt;"", INDEX(ERP資料!$G:$G, (MATCH(568, 輔助計算!$G$2:$G$801, 0)+1))&lt;&gt;""), TRIM(IF(INT(INDEX(輔助計算!$D:$D, (MATCH(568, 輔助計算!$G$2:$G$801, 0)+1))/IF(INDEX(ERP資料!$G:$G, (MATCH(568, 輔助計算!$G$2:$G$801, 0)+1))&lt;100, IF(INDEX(ERP資料!$G:$G, (MATCH(568, 輔助計算!$G$2:$G$801, 0)+1))&lt;=31,3,IF(INDEX(ERP資料!$G:$G, (MATCH(568, 輔助計算!$G$2:$G$801, 0)+1))&lt;=46.5,2,1)), IF(INDEX(ERP資料!$G:$G, (MATCH(568, 輔助計算!$G$2:$G$801, 0)+1))&lt;=790,3,IF(INDEX(ERP資料!$G:$G, (MATCH(568, 輔助計算!$G$2:$G$801, 0)+1))&lt;=1181,2,1))))&gt;0, IF(IF(INDEX(ERP資料!$G:$G, (MATCH(568, 輔助計算!$G$2:$G$801, 0)+1))&lt;100, IF(INDEX(ERP資料!$G:$G, (MATCH(568, 輔助計算!$G$2:$G$801, 0)+1))&lt;=31,3,IF(INDEX(ERP資料!$G:$G, (MATCH(568, 輔助計算!$G$2:$G$801, 0)+1))&lt;=46.5,2,1)), IF(INDEX(ERP資料!$G:$G, (MATCH(568, 輔助計算!$G$2:$G$801, 0)+1))&lt;=790,3,IF(INDEX(ERP資料!$G:$G, (MATCH(568, 輔助計算!$G$2:$G$801, 0)+1))&lt;=1181,2,1)))=1,TEXT(INDEX(ERP資料!$G:$G, (MATCH(568, 輔助計算!$G$2:$G$801, 0)+1)),"0.##"),IF(IF(INDEX(ERP資料!$G:$G, (MATCH(568, 輔助計算!$G$2:$G$801, 0)+1))&lt;100, IF(INDEX(ERP資料!$G:$G, (MATCH(568, 輔助計算!$G$2:$G$801, 0)+1))&lt;=31,3,IF(INDEX(ERP資料!$G:$G, (MATCH(568, 輔助計算!$G$2:$G$801, 0)+1))&lt;=46.5,2,1)), IF(INDEX(ERP資料!$G:$G, (MATCH(568, 輔助計算!$G$2:$G$801, 0)+1))&lt;=790,3,IF(INDEX(ERP資料!$G:$G, (MATCH(568, 輔助計算!$G$2:$G$801, 0)+1))&lt;=1181,2,1)))=2,TEXT(INDEX(ERP資料!$G:$G, (MATCH(568, 輔助計算!$G$2:$G$801, 0)+1)),"0.##")&amp;"+"&amp;TEXT(INDEX(ERP資料!$G:$G, (MATCH(568, 輔助計算!$G$2:$G$801, 0)+1)),"0.##"),TEXT(INDEX(ERP資料!$G:$G, (MATCH(568, 輔助計算!$G$2:$G$801, 0)+1)),"0.##")&amp;"+"&amp;TEXT(INDEX(ERP資料!$G:$G, (MATCH(568, 輔助計算!$G$2:$G$801, 0)+1)),"0.##")&amp;"+"&amp;TEXT(INDEX(ERP資料!$G:$G, (MATCH(568, 輔助計算!$G$2:$G$801, 0)+1)),"0.##")))&amp;"-"&amp;INT(INDEX(輔助計算!$D:$D, (MATCH(568, 輔助計算!$G$2:$G$801, 0)+1))/IF(INDEX(ERP資料!$G:$G, (MATCH(568, 輔助計算!$G$2:$G$801, 0)+1))&lt;100, IF(INDEX(ERP資料!$G:$G, (MATCH(568, 輔助計算!$G$2:$G$801, 0)+1))&lt;=31,3,IF(INDEX(ERP資料!$G:$G, (MATCH(568, 輔助計算!$G$2:$G$801, 0)+1))&lt;=46.5,2,1)), IF(INDEX(ERP資料!$G:$G, (MATCH(568, 輔助計算!$G$2:$G$801, 0)+1))&lt;=790,3,IF(INDEX(ERP資料!$G:$G, (MATCH(568, 輔助計算!$G$2:$G$801, 0)+1))&lt;=1181,2,1)))), "")&amp;IF(AND(IF(INT(INDEX(輔助計算!$D:$D, (MATCH(568, 輔助計算!$G$2:$G$801, 0)+1))/IF(INDEX(ERP資料!$G:$G, (MATCH(568, 輔助計算!$G$2:$G$801, 0)+1))&lt;100, IF(INDEX(ERP資料!$G:$G, (MATCH(568, 輔助計算!$G$2:$G$801, 0)+1))&lt;=31,3,IF(INDEX(ERP資料!$G:$G, (MATCH(568, 輔助計算!$G$2:$G$801, 0)+1))&lt;=46.5,2,1)), IF(INDEX(ERP資料!$G:$G, (MATCH(568, 輔助計算!$G$2:$G$801, 0)+1))&lt;=790,3,IF(INDEX(ERP資料!$G:$G, (MATCH(568, 輔助計算!$G$2:$G$801, 0)+1))&lt;=1181,2,1))))&gt;0, IF(IF(INDEX(ERP資料!$G:$G, (MATCH(568, 輔助計算!$G$2:$G$801, 0)+1))&lt;100, IF(INDEX(ERP資料!$G:$G, (MATCH(568, 輔助計算!$G$2:$G$801, 0)+1))&lt;=31,3,IF(INDEX(ERP資料!$G:$G, (MATCH(568, 輔助計算!$G$2:$G$801, 0)+1))&lt;=46.5,2,1)), IF(INDEX(ERP資料!$G:$G, (MATCH(568, 輔助計算!$G$2:$G$801, 0)+1))&lt;=790,3,IF(INDEX(ERP資料!$G:$G, (MATCH(568, 輔助計算!$G$2:$G$801, 0)+1))&lt;=1181,2,1)))=1,TEXT(INDEX(ERP資料!$G:$G, (MATCH(568, 輔助計算!$G$2:$G$801, 0)+1)),"0.##"),IF(IF(INDEX(ERP資料!$G:$G, (MATCH(568, 輔助計算!$G$2:$G$801, 0)+1))&lt;100, IF(INDEX(ERP資料!$G:$G, (MATCH(568, 輔助計算!$G$2:$G$801, 0)+1))&lt;=31,3,IF(INDEX(ERP資料!$G:$G, (MATCH(568, 輔助計算!$G$2:$G$801, 0)+1))&lt;=46.5,2,1)), IF(INDEX(ERP資料!$G:$G, (MATCH(568, 輔助計算!$G$2:$G$801, 0)+1))&lt;=790,3,IF(INDEX(ERP資料!$G:$G, (MATCH(568, 輔助計算!$G$2:$G$801, 0)+1))&lt;=1181,2,1)))=2,TEXT(INDEX(ERP資料!$G:$G, (MATCH(568, 輔助計算!$G$2:$G$801, 0)+1)),"0.##")&amp;"+"&amp;TEXT(INDEX(ERP資料!$G:$G, (MATCH(568, 輔助計算!$G$2:$G$801, 0)+1)),"0.##"),TEXT(INDEX(ERP資料!$G:$G, (MATCH(568, 輔助計算!$G$2:$G$801, 0)+1)),"0.##")&amp;"+"&amp;TEXT(INDEX(ERP資料!$G:$G, (MATCH(568, 輔助計算!$G$2:$G$801, 0)+1)),"0.##")&amp;"+"&amp;TEXT(INDEX(ERP資料!$G:$G, (MATCH(568, 輔助計算!$G$2:$G$801, 0)+1)),"0.##")))&amp;"-"&amp;INT(INDEX(輔助計算!$D:$D, (MATCH(568, 輔助計算!$G$2:$G$801, 0)+1))/IF(INDEX(ERP資料!$G:$G, (MATCH(568, 輔助計算!$G$2:$G$801, 0)+1))&lt;100, IF(INDEX(ERP資料!$G:$G, (MATCH(568, 輔助計算!$G$2:$G$801, 0)+1))&lt;=31,3,IF(INDEX(ERP資料!$G:$G, (MATCH(568, 輔助計算!$G$2:$G$801, 0)+1))&lt;=46.5,2,1)), IF(INDEX(ERP資料!$G:$G, (MATCH(568, 輔助計算!$G$2:$G$801, 0)+1))&lt;=790,3,IF(INDEX(ERP資料!$G:$G, (MATCH(568, 輔助計算!$G$2:$G$801, 0)+1))&lt;=1181,2,1)))), "")&lt;&gt;"",IF(MOD(INDEX(輔助計算!$D:$D, (MATCH(568, 輔助計算!$G$2:$G$801, 0)+1)),IF(INDEX(ERP資料!$G:$G, (MATCH(568, 輔助計算!$G$2:$G$801, 0)+1))&lt;100, IF(INDEX(ERP資料!$G:$G, (MATCH(568, 輔助計算!$G$2:$G$801, 0)+1))&lt;=31,3,IF(INDEX(ERP資料!$G:$G, (MATCH(568, 輔助計算!$G$2:$G$801, 0)+1))&lt;=46.5,2,1)), IF(INDEX(ERP資料!$G:$G, (MATCH(568, 輔助計算!$G$2:$G$801, 0)+1))&lt;=790,3,IF(INDEX(ERP資料!$G:$G, (MATCH(568, 輔助計算!$G$2:$G$801, 0)+1))&lt;=1181,2,1))))=0,"",IF(MOD(INDEX(輔助計算!$D:$D, (MATCH(568, 輔助計算!$G$2:$G$801, 0)+1)),IF(INDEX(ERP資料!$G:$G, (MATCH(568, 輔助計算!$G$2:$G$801, 0)+1))&lt;100, IF(INDEX(ERP資料!$G:$G, (MATCH(568, 輔助計算!$G$2:$G$801, 0)+1))&lt;=31,3,IF(INDEX(ERP資料!$G:$G, (MATCH(568, 輔助計算!$G$2:$G$801, 0)+1))&lt;=46.5,2,1)), IF(INDEX(ERP資料!$G:$G, (MATCH(568, 輔助計算!$G$2:$G$801, 0)+1))&lt;=790,3,IF(INDEX(ERP資料!$G:$G, (MATCH(568, 輔助計算!$G$2:$G$801, 0)+1))&lt;=1181,2,1))))=0,"",IF(MOD(INDEX(輔助計算!$D:$D, (MATCH(568, 輔助計算!$G$2:$G$801, 0)+1)),IF(INDEX(ERP資料!$G:$G, (MATCH(568, 輔助計算!$G$2:$G$801, 0)+1))&lt;100, IF(INDEX(ERP資料!$G:$G, (MATCH(568, 輔助計算!$G$2:$G$801, 0)+1))&lt;=31,3,IF(INDEX(ERP資料!$G:$G, (MATCH(568, 輔助計算!$G$2:$G$801, 0)+1))&lt;=46.5,2,1)), IF(INDEX(ERP資料!$G:$G, (MATCH(568, 輔助計算!$G$2:$G$801, 0)+1))&lt;=790,3,IF(INDEX(ERP資料!$G:$G, (MATCH(568, 輔助計算!$G$2:$G$801, 0)+1))&lt;=1181,2,1))))=1,TEXT(INDEX(ERP資料!$G:$G, (MATCH(568, 輔助計算!$G$2:$G$801, 0)+1)),"0.##"),IF(MOD(INDEX(輔助計算!$D:$D, (MATCH(568, 輔助計算!$G$2:$G$801, 0)+1)),IF(INDEX(ERP資料!$G:$G, (MATCH(568, 輔助計算!$G$2:$G$801, 0)+1))&lt;100, IF(INDEX(ERP資料!$G:$G, (MATCH(568, 輔助計算!$G$2:$G$801, 0)+1))&lt;=31,3,IF(INDEX(ERP資料!$G:$G, (MATCH(568, 輔助計算!$G$2:$G$801, 0)+1))&lt;=46.5,2,1)), IF(INDEX(ERP資料!$G:$G, (MATCH(568, 輔助計算!$G$2:$G$801, 0)+1))&lt;=790,3,IF(INDEX(ERP資料!$G:$G, (MATCH(568, 輔助計算!$G$2:$G$801, 0)+1))&lt;=1181,2,1))))=2,TEXT(INDEX(ERP資料!$G:$G, (MATCH(568, 輔助計算!$G$2:$G$801, 0)+1)),"0.##")&amp;"+"&amp;TEXT(INDEX(ERP資料!$G:$G, (MATCH(568, 輔助計算!$G$2:$G$801, 0)+1)),"0.##"),TEXT(INDEX(ERP資料!$G:$G, (MATCH(568, 輔助計算!$G$2:$G$801, 0)+1)),"0.##")&amp;"+"&amp;TEXT(INDEX(ERP資料!$G:$G, (MATCH(568, 輔助計算!$G$2:$G$801, 0)+1)),"0.##")&amp;"+"&amp;TEXT(INDEX(ERP資料!$G:$G, (MATCH(568, 輔助計算!$G$2:$G$801, 0)+1)),"0.##"))))&amp;"-1")&lt;&gt;""),"  ","")&amp;IF(MOD(INDEX(輔助計算!$D:$D, (MATCH(568, 輔助計算!$G$2:$G$801, 0)+1)),IF(INDEX(ERP資料!$G:$G, (MATCH(568, 輔助計算!$G$2:$G$801, 0)+1))&lt;100, IF(INDEX(ERP資料!$G:$G, (MATCH(568, 輔助計算!$G$2:$G$801, 0)+1))&lt;=31,3,IF(INDEX(ERP資料!$G:$G, (MATCH(568, 輔助計算!$G$2:$G$801, 0)+1))&lt;=46.5,2,1)), IF(INDEX(ERP資料!$G:$G, (MATCH(568, 輔助計算!$G$2:$G$801, 0)+1))&lt;=790,3,IF(INDEX(ERP資料!$G:$G, (MATCH(568, 輔助計算!$G$2:$G$801, 0)+1))&lt;=1181,2,1))))=0,"",IF(MOD(INDEX(輔助計算!$D:$D, (MATCH(568, 輔助計算!$G$2:$G$801, 0)+1)),IF(INDEX(ERP資料!$G:$G, (MATCH(568, 輔助計算!$G$2:$G$801, 0)+1))&lt;100, IF(INDEX(ERP資料!$G:$G, (MATCH(568, 輔助計算!$G$2:$G$801, 0)+1))&lt;=31,3,IF(INDEX(ERP資料!$G:$G, (MATCH(568, 輔助計算!$G$2:$G$801, 0)+1))&lt;=46.5,2,1)), IF(INDEX(ERP資料!$G:$G, (MATCH(568, 輔助計算!$G$2:$G$801, 0)+1))&lt;=790,3,IF(INDEX(ERP資料!$G:$G, (MATCH(568, 輔助計算!$G$2:$G$801, 0)+1))&lt;=1181,2,1))))=0,"",IF(MOD(INDEX(輔助計算!$D:$D, (MATCH(568, 輔助計算!$G$2:$G$801, 0)+1)),IF(INDEX(ERP資料!$G:$G, (MATCH(568, 輔助計算!$G$2:$G$801, 0)+1))&lt;100, IF(INDEX(ERP資料!$G:$G, (MATCH(568, 輔助計算!$G$2:$G$801, 0)+1))&lt;=31,3,IF(INDEX(ERP資料!$G:$G, (MATCH(568, 輔助計算!$G$2:$G$801, 0)+1))&lt;=46.5,2,1)), IF(INDEX(ERP資料!$G:$G, (MATCH(568, 輔助計算!$G$2:$G$801, 0)+1))&lt;=790,3,IF(INDEX(ERP資料!$G:$G, (MATCH(568, 輔助計算!$G$2:$G$801, 0)+1))&lt;=1181,2,1))))=1,TEXT(INDEX(ERP資料!$G:$G, (MATCH(568, 輔助計算!$G$2:$G$801, 0)+1)),"0.##"),IF(MOD(INDEX(輔助計算!$D:$D, (MATCH(568, 輔助計算!$G$2:$G$801, 0)+1)),IF(INDEX(ERP資料!$G:$G, (MATCH(568, 輔助計算!$G$2:$G$801, 0)+1))&lt;100, IF(INDEX(ERP資料!$G:$G, (MATCH(568, 輔助計算!$G$2:$G$801, 0)+1))&lt;=31,3,IF(INDEX(ERP資料!$G:$G, (MATCH(568, 輔助計算!$G$2:$G$801, 0)+1))&lt;=46.5,2,1)), IF(INDEX(ERP資料!$G:$G, (MATCH(568, 輔助計算!$G$2:$G$801, 0)+1))&lt;=790,3,IF(INDEX(ERP資料!$G:$G, (MATCH(568, 輔助計算!$G$2:$G$801, 0)+1))&lt;=1181,2,1))))=2,TEXT(INDEX(ERP資料!$G:$G, (MATCH(568, 輔助計算!$G$2:$G$801, 0)+1)),"0.##")&amp;"+"&amp;TEXT(INDEX(ERP資料!$G:$G, (MATCH(568, 輔助計算!$G$2:$G$801, 0)+1)),"0.##"),TEXT(INDEX(ERP資料!$G:$G, (MATCH(568, 輔助計算!$G$2:$G$801, 0)+1)),"0.##")&amp;"+"&amp;TEXT(INDEX(ERP資料!$G:$G, (MATCH(568, 輔助計算!$G$2:$G$801, 0)+1)),"0.##")&amp;"+"&amp;TEXT(INDEX(ERP資料!$G:$G, (MATCH(568, 輔助計算!$G$2:$G$801, 0)+1)),"0.##"))))&amp;"-1")), ""), "")</f>
        <v/>
      </c>
      <c r="K569" s="16" t="n"/>
      <c r="L569" s="14">
        <f>IFERROR(IF(AND(IFERROR(INDEX(ERP資料!$A:$A, (MATCH(568, 輔助計算!$G$2:$G$801, 0)+1)), "")&lt;&gt;"", IFERROR(INDEX(ERP資料!$A:$A, (MATCH(568, 輔助計算!$G$2:$G$801, 0)+1)), "")&lt;&gt;IFERROR(INDEX(ERP資料!$A:$A, MATCH(567, 輔助計算!$G$2:$G$801, 0)+1), "")), INDEX(ERP資料!$B:$B, (MATCH(568, 輔助計算!$G$2:$G$801, 0)+1)), ""), "")</f>
        <v/>
      </c>
      <c r="M569" s="17" t="n"/>
    </row>
    <row r="570">
      <c r="A570" s="10">
        <f>IFERROR(IF(AND(IFERROR(INDEX(ERP資料!$A:$A, (MATCH(569, 輔助計算!$G$2:$G$801, 0)+1)), "")&lt;&gt;"", IFERROR(INDEX(ERP資料!$A:$A, (MATCH(569, 輔助計算!$G$2:$G$801, 0)+1)), "")&lt;&gt;IFERROR(INDEX(ERP資料!$A:$A, MATCH(568, 輔助計算!$G$2:$G$801, 0)+1), "")), IFERROR(INDEX(ERP資料!$A:$A, (MATCH(569, 輔助計算!$G$2:$G$801, 0)+1)), ""), ""), "")</f>
        <v/>
      </c>
      <c r="B570" s="10">
        <f>IFERROR(IF(AND(IFERROR(INDEX(ERP資料!$A:$A, (MATCH(569, 輔助計算!$G$2:$G$801, 0)+1)), "")&lt;&gt;"", IFERROR(INDEX(ERP資料!$A:$A, (MATCH(569, 輔助計算!$G$2:$G$801, 0)+1)), "")&lt;&gt;IFERROR(INDEX(ERP資料!$A:$A, MATCH(568, 輔助計算!$G$2:$G$801, 0)+1), "")), INDEX(ERP資料!$S:$S, (MATCH(569, 輔助計算!$G$2:$G$801, 0)+1)), ""), "")</f>
        <v/>
      </c>
      <c r="C570" s="19">
        <f>IFERROR(IF(AND(IFERROR(INDEX(ERP資料!$A:$A, (MATCH(569, 輔助計算!$G$2:$G$801, 0)+1)), "")&lt;&gt;"", IFERROR(INDEX(ERP資料!$A:$A, (MATCH(569, 輔助計算!$G$2:$G$801, 0)+1)), "")&lt;&gt;IFERROR(INDEX(ERP資料!$A:$A, MATCH(568, 輔助計算!$G$2:$G$801, 0)+1), "")), IFERROR(VLOOKUP(LEFT(INDEX(ERP資料!$S:$S, (MATCH(569, 輔助計算!$G$2:$G$801, 0)+1)), 4), 紙管對照表!$A:$C, 3, FALSE), ""), ""), "")</f>
        <v/>
      </c>
      <c r="D570" s="16" t="n"/>
      <c r="E570" s="10">
        <f>IFERROR(IF(INDEX(ERP資料!$H:$H, (MATCH(569, 輔助計算!$G$2:$G$801, 0)+1))="","",INDEX(ERP資料!$H:$H, (MATCH(569, 輔助計算!$G$2:$G$801, 0)+1))), "")</f>
        <v/>
      </c>
      <c r="F570" s="10">
        <f>IFERROR(IF(INDEX(ERP資料!$E:$E, (MATCH(569, 輔助計算!$G$2:$G$801, 0)+1))="","",TRIM(INDEX(ERP資料!$E:$E, (MATCH(569, 輔助計算!$G$2:$G$801, 0)+1)))), "")</f>
        <v/>
      </c>
      <c r="G570" s="10">
        <f>IFERROR(IF(INDEX(ERP資料!$F:$F, (MATCH(569, 輔助計算!$G$2:$G$801, 0)+1))="","",INDEX(ERP資料!$F:$F, (MATCH(569, 輔助計算!$G$2:$G$801, 0)+1))), "")</f>
        <v/>
      </c>
      <c r="H570" s="10">
        <f>IFERROR(IF(INDEX(ERP資料!$G:$G, (MATCH(569, 輔助計算!$G$2:$G$801, 0)+1))="","",INDEX(ERP資料!$G:$G, (MATCH(569, 輔助計算!$G$2:$G$801, 0)+1))), "")</f>
        <v/>
      </c>
      <c r="I570" s="15">
        <f>IFERROR(INDEX(輔助計算!$D:$D, (MATCH(569, 輔助計算!$G$2:$G$801, 0)+1)), "")</f>
        <v/>
      </c>
      <c r="J570" s="15">
        <f>IFERROR(IF(AND(INDEX(輔助計算!$D:$D, (MATCH(569, 輔助計算!$G$2:$G$801, 0)+1))&lt;&gt;"", INDEX(ERP資料!$G:$G, (MATCH(569, 輔助計算!$G$2:$G$801, 0)+1))&lt;&gt;""), TRIM(IF(INT(INDEX(輔助計算!$D:$D, (MATCH(569, 輔助計算!$G$2:$G$801, 0)+1))/IF(INDEX(ERP資料!$G:$G, (MATCH(569, 輔助計算!$G$2:$G$801, 0)+1))&lt;100, IF(INDEX(ERP資料!$G:$G, (MATCH(569, 輔助計算!$G$2:$G$801, 0)+1))&lt;=31,3,IF(INDEX(ERP資料!$G:$G, (MATCH(569, 輔助計算!$G$2:$G$801, 0)+1))&lt;=46.5,2,1)), IF(INDEX(ERP資料!$G:$G, (MATCH(569, 輔助計算!$G$2:$G$801, 0)+1))&lt;=790,3,IF(INDEX(ERP資料!$G:$G, (MATCH(569, 輔助計算!$G$2:$G$801, 0)+1))&lt;=1181,2,1))))&gt;0, IF(IF(INDEX(ERP資料!$G:$G, (MATCH(569, 輔助計算!$G$2:$G$801, 0)+1))&lt;100, IF(INDEX(ERP資料!$G:$G, (MATCH(569, 輔助計算!$G$2:$G$801, 0)+1))&lt;=31,3,IF(INDEX(ERP資料!$G:$G, (MATCH(569, 輔助計算!$G$2:$G$801, 0)+1))&lt;=46.5,2,1)), IF(INDEX(ERP資料!$G:$G, (MATCH(569, 輔助計算!$G$2:$G$801, 0)+1))&lt;=790,3,IF(INDEX(ERP資料!$G:$G, (MATCH(569, 輔助計算!$G$2:$G$801, 0)+1))&lt;=1181,2,1)))=1,TEXT(INDEX(ERP資料!$G:$G, (MATCH(569, 輔助計算!$G$2:$G$801, 0)+1)),"0.##"),IF(IF(INDEX(ERP資料!$G:$G, (MATCH(569, 輔助計算!$G$2:$G$801, 0)+1))&lt;100, IF(INDEX(ERP資料!$G:$G, (MATCH(569, 輔助計算!$G$2:$G$801, 0)+1))&lt;=31,3,IF(INDEX(ERP資料!$G:$G, (MATCH(569, 輔助計算!$G$2:$G$801, 0)+1))&lt;=46.5,2,1)), IF(INDEX(ERP資料!$G:$G, (MATCH(569, 輔助計算!$G$2:$G$801, 0)+1))&lt;=790,3,IF(INDEX(ERP資料!$G:$G, (MATCH(569, 輔助計算!$G$2:$G$801, 0)+1))&lt;=1181,2,1)))=2,TEXT(INDEX(ERP資料!$G:$G, (MATCH(569, 輔助計算!$G$2:$G$801, 0)+1)),"0.##")&amp;"+"&amp;TEXT(INDEX(ERP資料!$G:$G, (MATCH(569, 輔助計算!$G$2:$G$801, 0)+1)),"0.##"),TEXT(INDEX(ERP資料!$G:$G, (MATCH(569, 輔助計算!$G$2:$G$801, 0)+1)),"0.##")&amp;"+"&amp;TEXT(INDEX(ERP資料!$G:$G, (MATCH(569, 輔助計算!$G$2:$G$801, 0)+1)),"0.##")&amp;"+"&amp;TEXT(INDEX(ERP資料!$G:$G, (MATCH(569, 輔助計算!$G$2:$G$801, 0)+1)),"0.##")))&amp;"-"&amp;INT(INDEX(輔助計算!$D:$D, (MATCH(569, 輔助計算!$G$2:$G$801, 0)+1))/IF(INDEX(ERP資料!$G:$G, (MATCH(569, 輔助計算!$G$2:$G$801, 0)+1))&lt;100, IF(INDEX(ERP資料!$G:$G, (MATCH(569, 輔助計算!$G$2:$G$801, 0)+1))&lt;=31,3,IF(INDEX(ERP資料!$G:$G, (MATCH(569, 輔助計算!$G$2:$G$801, 0)+1))&lt;=46.5,2,1)), IF(INDEX(ERP資料!$G:$G, (MATCH(569, 輔助計算!$G$2:$G$801, 0)+1))&lt;=790,3,IF(INDEX(ERP資料!$G:$G, (MATCH(569, 輔助計算!$G$2:$G$801, 0)+1))&lt;=1181,2,1)))), "")&amp;IF(AND(IF(INT(INDEX(輔助計算!$D:$D, (MATCH(569, 輔助計算!$G$2:$G$801, 0)+1))/IF(INDEX(ERP資料!$G:$G, (MATCH(569, 輔助計算!$G$2:$G$801, 0)+1))&lt;100, IF(INDEX(ERP資料!$G:$G, (MATCH(569, 輔助計算!$G$2:$G$801, 0)+1))&lt;=31,3,IF(INDEX(ERP資料!$G:$G, (MATCH(569, 輔助計算!$G$2:$G$801, 0)+1))&lt;=46.5,2,1)), IF(INDEX(ERP資料!$G:$G, (MATCH(569, 輔助計算!$G$2:$G$801, 0)+1))&lt;=790,3,IF(INDEX(ERP資料!$G:$G, (MATCH(569, 輔助計算!$G$2:$G$801, 0)+1))&lt;=1181,2,1))))&gt;0, IF(IF(INDEX(ERP資料!$G:$G, (MATCH(569, 輔助計算!$G$2:$G$801, 0)+1))&lt;100, IF(INDEX(ERP資料!$G:$G, (MATCH(569, 輔助計算!$G$2:$G$801, 0)+1))&lt;=31,3,IF(INDEX(ERP資料!$G:$G, (MATCH(569, 輔助計算!$G$2:$G$801, 0)+1))&lt;=46.5,2,1)), IF(INDEX(ERP資料!$G:$G, (MATCH(569, 輔助計算!$G$2:$G$801, 0)+1))&lt;=790,3,IF(INDEX(ERP資料!$G:$G, (MATCH(569, 輔助計算!$G$2:$G$801, 0)+1))&lt;=1181,2,1)))=1,TEXT(INDEX(ERP資料!$G:$G, (MATCH(569, 輔助計算!$G$2:$G$801, 0)+1)),"0.##"),IF(IF(INDEX(ERP資料!$G:$G, (MATCH(569, 輔助計算!$G$2:$G$801, 0)+1))&lt;100, IF(INDEX(ERP資料!$G:$G, (MATCH(569, 輔助計算!$G$2:$G$801, 0)+1))&lt;=31,3,IF(INDEX(ERP資料!$G:$G, (MATCH(569, 輔助計算!$G$2:$G$801, 0)+1))&lt;=46.5,2,1)), IF(INDEX(ERP資料!$G:$G, (MATCH(569, 輔助計算!$G$2:$G$801, 0)+1))&lt;=790,3,IF(INDEX(ERP資料!$G:$G, (MATCH(569, 輔助計算!$G$2:$G$801, 0)+1))&lt;=1181,2,1)))=2,TEXT(INDEX(ERP資料!$G:$G, (MATCH(569, 輔助計算!$G$2:$G$801, 0)+1)),"0.##")&amp;"+"&amp;TEXT(INDEX(ERP資料!$G:$G, (MATCH(569, 輔助計算!$G$2:$G$801, 0)+1)),"0.##"),TEXT(INDEX(ERP資料!$G:$G, (MATCH(569, 輔助計算!$G$2:$G$801, 0)+1)),"0.##")&amp;"+"&amp;TEXT(INDEX(ERP資料!$G:$G, (MATCH(569, 輔助計算!$G$2:$G$801, 0)+1)),"0.##")&amp;"+"&amp;TEXT(INDEX(ERP資料!$G:$G, (MATCH(569, 輔助計算!$G$2:$G$801, 0)+1)),"0.##")))&amp;"-"&amp;INT(INDEX(輔助計算!$D:$D, (MATCH(569, 輔助計算!$G$2:$G$801, 0)+1))/IF(INDEX(ERP資料!$G:$G, (MATCH(569, 輔助計算!$G$2:$G$801, 0)+1))&lt;100, IF(INDEX(ERP資料!$G:$G, (MATCH(569, 輔助計算!$G$2:$G$801, 0)+1))&lt;=31,3,IF(INDEX(ERP資料!$G:$G, (MATCH(569, 輔助計算!$G$2:$G$801, 0)+1))&lt;=46.5,2,1)), IF(INDEX(ERP資料!$G:$G, (MATCH(569, 輔助計算!$G$2:$G$801, 0)+1))&lt;=790,3,IF(INDEX(ERP資料!$G:$G, (MATCH(569, 輔助計算!$G$2:$G$801, 0)+1))&lt;=1181,2,1)))), "")&lt;&gt;"",IF(MOD(INDEX(輔助計算!$D:$D, (MATCH(569, 輔助計算!$G$2:$G$801, 0)+1)),IF(INDEX(ERP資料!$G:$G, (MATCH(569, 輔助計算!$G$2:$G$801, 0)+1))&lt;100, IF(INDEX(ERP資料!$G:$G, (MATCH(569, 輔助計算!$G$2:$G$801, 0)+1))&lt;=31,3,IF(INDEX(ERP資料!$G:$G, (MATCH(569, 輔助計算!$G$2:$G$801, 0)+1))&lt;=46.5,2,1)), IF(INDEX(ERP資料!$G:$G, (MATCH(569, 輔助計算!$G$2:$G$801, 0)+1))&lt;=790,3,IF(INDEX(ERP資料!$G:$G, (MATCH(569, 輔助計算!$G$2:$G$801, 0)+1))&lt;=1181,2,1))))=0,"",IF(MOD(INDEX(輔助計算!$D:$D, (MATCH(569, 輔助計算!$G$2:$G$801, 0)+1)),IF(INDEX(ERP資料!$G:$G, (MATCH(569, 輔助計算!$G$2:$G$801, 0)+1))&lt;100, IF(INDEX(ERP資料!$G:$G, (MATCH(569, 輔助計算!$G$2:$G$801, 0)+1))&lt;=31,3,IF(INDEX(ERP資料!$G:$G, (MATCH(569, 輔助計算!$G$2:$G$801, 0)+1))&lt;=46.5,2,1)), IF(INDEX(ERP資料!$G:$G, (MATCH(569, 輔助計算!$G$2:$G$801, 0)+1))&lt;=790,3,IF(INDEX(ERP資料!$G:$G, (MATCH(569, 輔助計算!$G$2:$G$801, 0)+1))&lt;=1181,2,1))))=0,"",IF(MOD(INDEX(輔助計算!$D:$D, (MATCH(569, 輔助計算!$G$2:$G$801, 0)+1)),IF(INDEX(ERP資料!$G:$G, (MATCH(569, 輔助計算!$G$2:$G$801, 0)+1))&lt;100, IF(INDEX(ERP資料!$G:$G, (MATCH(569, 輔助計算!$G$2:$G$801, 0)+1))&lt;=31,3,IF(INDEX(ERP資料!$G:$G, (MATCH(569, 輔助計算!$G$2:$G$801, 0)+1))&lt;=46.5,2,1)), IF(INDEX(ERP資料!$G:$G, (MATCH(569, 輔助計算!$G$2:$G$801, 0)+1))&lt;=790,3,IF(INDEX(ERP資料!$G:$G, (MATCH(569, 輔助計算!$G$2:$G$801, 0)+1))&lt;=1181,2,1))))=1,TEXT(INDEX(ERP資料!$G:$G, (MATCH(569, 輔助計算!$G$2:$G$801, 0)+1)),"0.##"),IF(MOD(INDEX(輔助計算!$D:$D, (MATCH(569, 輔助計算!$G$2:$G$801, 0)+1)),IF(INDEX(ERP資料!$G:$G, (MATCH(569, 輔助計算!$G$2:$G$801, 0)+1))&lt;100, IF(INDEX(ERP資料!$G:$G, (MATCH(569, 輔助計算!$G$2:$G$801, 0)+1))&lt;=31,3,IF(INDEX(ERP資料!$G:$G, (MATCH(569, 輔助計算!$G$2:$G$801, 0)+1))&lt;=46.5,2,1)), IF(INDEX(ERP資料!$G:$G, (MATCH(569, 輔助計算!$G$2:$G$801, 0)+1))&lt;=790,3,IF(INDEX(ERP資料!$G:$G, (MATCH(569, 輔助計算!$G$2:$G$801, 0)+1))&lt;=1181,2,1))))=2,TEXT(INDEX(ERP資料!$G:$G, (MATCH(569, 輔助計算!$G$2:$G$801, 0)+1)),"0.##")&amp;"+"&amp;TEXT(INDEX(ERP資料!$G:$G, (MATCH(569, 輔助計算!$G$2:$G$801, 0)+1)),"0.##"),TEXT(INDEX(ERP資料!$G:$G, (MATCH(569, 輔助計算!$G$2:$G$801, 0)+1)),"0.##")&amp;"+"&amp;TEXT(INDEX(ERP資料!$G:$G, (MATCH(569, 輔助計算!$G$2:$G$801, 0)+1)),"0.##")&amp;"+"&amp;TEXT(INDEX(ERP資料!$G:$G, (MATCH(569, 輔助計算!$G$2:$G$801, 0)+1)),"0.##"))))&amp;"-1")&lt;&gt;""),"  ","")&amp;IF(MOD(INDEX(輔助計算!$D:$D, (MATCH(569, 輔助計算!$G$2:$G$801, 0)+1)),IF(INDEX(ERP資料!$G:$G, (MATCH(569, 輔助計算!$G$2:$G$801, 0)+1))&lt;100, IF(INDEX(ERP資料!$G:$G, (MATCH(569, 輔助計算!$G$2:$G$801, 0)+1))&lt;=31,3,IF(INDEX(ERP資料!$G:$G, (MATCH(569, 輔助計算!$G$2:$G$801, 0)+1))&lt;=46.5,2,1)), IF(INDEX(ERP資料!$G:$G, (MATCH(569, 輔助計算!$G$2:$G$801, 0)+1))&lt;=790,3,IF(INDEX(ERP資料!$G:$G, (MATCH(569, 輔助計算!$G$2:$G$801, 0)+1))&lt;=1181,2,1))))=0,"",IF(MOD(INDEX(輔助計算!$D:$D, (MATCH(569, 輔助計算!$G$2:$G$801, 0)+1)),IF(INDEX(ERP資料!$G:$G, (MATCH(569, 輔助計算!$G$2:$G$801, 0)+1))&lt;100, IF(INDEX(ERP資料!$G:$G, (MATCH(569, 輔助計算!$G$2:$G$801, 0)+1))&lt;=31,3,IF(INDEX(ERP資料!$G:$G, (MATCH(569, 輔助計算!$G$2:$G$801, 0)+1))&lt;=46.5,2,1)), IF(INDEX(ERP資料!$G:$G, (MATCH(569, 輔助計算!$G$2:$G$801, 0)+1))&lt;=790,3,IF(INDEX(ERP資料!$G:$G, (MATCH(569, 輔助計算!$G$2:$G$801, 0)+1))&lt;=1181,2,1))))=0,"",IF(MOD(INDEX(輔助計算!$D:$D, (MATCH(569, 輔助計算!$G$2:$G$801, 0)+1)),IF(INDEX(ERP資料!$G:$G, (MATCH(569, 輔助計算!$G$2:$G$801, 0)+1))&lt;100, IF(INDEX(ERP資料!$G:$G, (MATCH(569, 輔助計算!$G$2:$G$801, 0)+1))&lt;=31,3,IF(INDEX(ERP資料!$G:$G, (MATCH(569, 輔助計算!$G$2:$G$801, 0)+1))&lt;=46.5,2,1)), IF(INDEX(ERP資料!$G:$G, (MATCH(569, 輔助計算!$G$2:$G$801, 0)+1))&lt;=790,3,IF(INDEX(ERP資料!$G:$G, (MATCH(569, 輔助計算!$G$2:$G$801, 0)+1))&lt;=1181,2,1))))=1,TEXT(INDEX(ERP資料!$G:$G, (MATCH(569, 輔助計算!$G$2:$G$801, 0)+1)),"0.##"),IF(MOD(INDEX(輔助計算!$D:$D, (MATCH(569, 輔助計算!$G$2:$G$801, 0)+1)),IF(INDEX(ERP資料!$G:$G, (MATCH(569, 輔助計算!$G$2:$G$801, 0)+1))&lt;100, IF(INDEX(ERP資料!$G:$G, (MATCH(569, 輔助計算!$G$2:$G$801, 0)+1))&lt;=31,3,IF(INDEX(ERP資料!$G:$G, (MATCH(569, 輔助計算!$G$2:$G$801, 0)+1))&lt;=46.5,2,1)), IF(INDEX(ERP資料!$G:$G, (MATCH(569, 輔助計算!$G$2:$G$801, 0)+1))&lt;=790,3,IF(INDEX(ERP資料!$G:$G, (MATCH(569, 輔助計算!$G$2:$G$801, 0)+1))&lt;=1181,2,1))))=2,TEXT(INDEX(ERP資料!$G:$G, (MATCH(569, 輔助計算!$G$2:$G$801, 0)+1)),"0.##")&amp;"+"&amp;TEXT(INDEX(ERP資料!$G:$G, (MATCH(569, 輔助計算!$G$2:$G$801, 0)+1)),"0.##"),TEXT(INDEX(ERP資料!$G:$G, (MATCH(569, 輔助計算!$G$2:$G$801, 0)+1)),"0.##")&amp;"+"&amp;TEXT(INDEX(ERP資料!$G:$G, (MATCH(569, 輔助計算!$G$2:$G$801, 0)+1)),"0.##")&amp;"+"&amp;TEXT(INDEX(ERP資料!$G:$G, (MATCH(569, 輔助計算!$G$2:$G$801, 0)+1)),"0.##"))))&amp;"-1")), ""), "")</f>
        <v/>
      </c>
      <c r="K570" s="16" t="n"/>
      <c r="L570" s="14">
        <f>IFERROR(IF(AND(IFERROR(INDEX(ERP資料!$A:$A, (MATCH(569, 輔助計算!$G$2:$G$801, 0)+1)), "")&lt;&gt;"", IFERROR(INDEX(ERP資料!$A:$A, (MATCH(569, 輔助計算!$G$2:$G$801, 0)+1)), "")&lt;&gt;IFERROR(INDEX(ERP資料!$A:$A, MATCH(568, 輔助計算!$G$2:$G$801, 0)+1), "")), INDEX(ERP資料!$B:$B, (MATCH(569, 輔助計算!$G$2:$G$801, 0)+1)), ""), "")</f>
        <v/>
      </c>
      <c r="M570" s="17" t="n"/>
    </row>
    <row r="571">
      <c r="A571" s="10">
        <f>IFERROR(IF(AND(IFERROR(INDEX(ERP資料!$A:$A, (MATCH(570, 輔助計算!$G$2:$G$801, 0)+1)), "")&lt;&gt;"", IFERROR(INDEX(ERP資料!$A:$A, (MATCH(570, 輔助計算!$G$2:$G$801, 0)+1)), "")&lt;&gt;IFERROR(INDEX(ERP資料!$A:$A, MATCH(569, 輔助計算!$G$2:$G$801, 0)+1), "")), IFERROR(INDEX(ERP資料!$A:$A, (MATCH(570, 輔助計算!$G$2:$G$801, 0)+1)), ""), ""), "")</f>
        <v/>
      </c>
      <c r="B571" s="10">
        <f>IFERROR(IF(AND(IFERROR(INDEX(ERP資料!$A:$A, (MATCH(570, 輔助計算!$G$2:$G$801, 0)+1)), "")&lt;&gt;"", IFERROR(INDEX(ERP資料!$A:$A, (MATCH(570, 輔助計算!$G$2:$G$801, 0)+1)), "")&lt;&gt;IFERROR(INDEX(ERP資料!$A:$A, MATCH(569, 輔助計算!$G$2:$G$801, 0)+1), "")), INDEX(ERP資料!$S:$S, (MATCH(570, 輔助計算!$G$2:$G$801, 0)+1)), ""), "")</f>
        <v/>
      </c>
      <c r="C571" s="19">
        <f>IFERROR(IF(AND(IFERROR(INDEX(ERP資料!$A:$A, (MATCH(570, 輔助計算!$G$2:$G$801, 0)+1)), "")&lt;&gt;"", IFERROR(INDEX(ERP資料!$A:$A, (MATCH(570, 輔助計算!$G$2:$G$801, 0)+1)), "")&lt;&gt;IFERROR(INDEX(ERP資料!$A:$A, MATCH(569, 輔助計算!$G$2:$G$801, 0)+1), "")), IFERROR(VLOOKUP(LEFT(INDEX(ERP資料!$S:$S, (MATCH(570, 輔助計算!$G$2:$G$801, 0)+1)), 4), 紙管對照表!$A:$C, 3, FALSE), ""), ""), "")</f>
        <v/>
      </c>
      <c r="D571" s="16" t="n"/>
      <c r="E571" s="10">
        <f>IFERROR(IF(INDEX(ERP資料!$H:$H, (MATCH(570, 輔助計算!$G$2:$G$801, 0)+1))="","",INDEX(ERP資料!$H:$H, (MATCH(570, 輔助計算!$G$2:$G$801, 0)+1))), "")</f>
        <v/>
      </c>
      <c r="F571" s="10">
        <f>IFERROR(IF(INDEX(ERP資料!$E:$E, (MATCH(570, 輔助計算!$G$2:$G$801, 0)+1))="","",TRIM(INDEX(ERP資料!$E:$E, (MATCH(570, 輔助計算!$G$2:$G$801, 0)+1)))), "")</f>
        <v/>
      </c>
      <c r="G571" s="10">
        <f>IFERROR(IF(INDEX(ERP資料!$F:$F, (MATCH(570, 輔助計算!$G$2:$G$801, 0)+1))="","",INDEX(ERP資料!$F:$F, (MATCH(570, 輔助計算!$G$2:$G$801, 0)+1))), "")</f>
        <v/>
      </c>
      <c r="H571" s="10">
        <f>IFERROR(IF(INDEX(ERP資料!$G:$G, (MATCH(570, 輔助計算!$G$2:$G$801, 0)+1))="","",INDEX(ERP資料!$G:$G, (MATCH(570, 輔助計算!$G$2:$G$801, 0)+1))), "")</f>
        <v/>
      </c>
      <c r="I571" s="15">
        <f>IFERROR(INDEX(輔助計算!$D:$D, (MATCH(570, 輔助計算!$G$2:$G$801, 0)+1)), "")</f>
        <v/>
      </c>
      <c r="J571" s="15">
        <f>IFERROR(IF(AND(INDEX(輔助計算!$D:$D, (MATCH(570, 輔助計算!$G$2:$G$801, 0)+1))&lt;&gt;"", INDEX(ERP資料!$G:$G, (MATCH(570, 輔助計算!$G$2:$G$801, 0)+1))&lt;&gt;""), TRIM(IF(INT(INDEX(輔助計算!$D:$D, (MATCH(570, 輔助計算!$G$2:$G$801, 0)+1))/IF(INDEX(ERP資料!$G:$G, (MATCH(570, 輔助計算!$G$2:$G$801, 0)+1))&lt;100, IF(INDEX(ERP資料!$G:$G, (MATCH(570, 輔助計算!$G$2:$G$801, 0)+1))&lt;=31,3,IF(INDEX(ERP資料!$G:$G, (MATCH(570, 輔助計算!$G$2:$G$801, 0)+1))&lt;=46.5,2,1)), IF(INDEX(ERP資料!$G:$G, (MATCH(570, 輔助計算!$G$2:$G$801, 0)+1))&lt;=790,3,IF(INDEX(ERP資料!$G:$G, (MATCH(570, 輔助計算!$G$2:$G$801, 0)+1))&lt;=1181,2,1))))&gt;0, IF(IF(INDEX(ERP資料!$G:$G, (MATCH(570, 輔助計算!$G$2:$G$801, 0)+1))&lt;100, IF(INDEX(ERP資料!$G:$G, (MATCH(570, 輔助計算!$G$2:$G$801, 0)+1))&lt;=31,3,IF(INDEX(ERP資料!$G:$G, (MATCH(570, 輔助計算!$G$2:$G$801, 0)+1))&lt;=46.5,2,1)), IF(INDEX(ERP資料!$G:$G, (MATCH(570, 輔助計算!$G$2:$G$801, 0)+1))&lt;=790,3,IF(INDEX(ERP資料!$G:$G, (MATCH(570, 輔助計算!$G$2:$G$801, 0)+1))&lt;=1181,2,1)))=1,TEXT(INDEX(ERP資料!$G:$G, (MATCH(570, 輔助計算!$G$2:$G$801, 0)+1)),"0.##"),IF(IF(INDEX(ERP資料!$G:$G, (MATCH(570, 輔助計算!$G$2:$G$801, 0)+1))&lt;100, IF(INDEX(ERP資料!$G:$G, (MATCH(570, 輔助計算!$G$2:$G$801, 0)+1))&lt;=31,3,IF(INDEX(ERP資料!$G:$G, (MATCH(570, 輔助計算!$G$2:$G$801, 0)+1))&lt;=46.5,2,1)), IF(INDEX(ERP資料!$G:$G, (MATCH(570, 輔助計算!$G$2:$G$801, 0)+1))&lt;=790,3,IF(INDEX(ERP資料!$G:$G, (MATCH(570, 輔助計算!$G$2:$G$801, 0)+1))&lt;=1181,2,1)))=2,TEXT(INDEX(ERP資料!$G:$G, (MATCH(570, 輔助計算!$G$2:$G$801, 0)+1)),"0.##")&amp;"+"&amp;TEXT(INDEX(ERP資料!$G:$G, (MATCH(570, 輔助計算!$G$2:$G$801, 0)+1)),"0.##"),TEXT(INDEX(ERP資料!$G:$G, (MATCH(570, 輔助計算!$G$2:$G$801, 0)+1)),"0.##")&amp;"+"&amp;TEXT(INDEX(ERP資料!$G:$G, (MATCH(570, 輔助計算!$G$2:$G$801, 0)+1)),"0.##")&amp;"+"&amp;TEXT(INDEX(ERP資料!$G:$G, (MATCH(570, 輔助計算!$G$2:$G$801, 0)+1)),"0.##")))&amp;"-"&amp;INT(INDEX(輔助計算!$D:$D, (MATCH(570, 輔助計算!$G$2:$G$801, 0)+1))/IF(INDEX(ERP資料!$G:$G, (MATCH(570, 輔助計算!$G$2:$G$801, 0)+1))&lt;100, IF(INDEX(ERP資料!$G:$G, (MATCH(570, 輔助計算!$G$2:$G$801, 0)+1))&lt;=31,3,IF(INDEX(ERP資料!$G:$G, (MATCH(570, 輔助計算!$G$2:$G$801, 0)+1))&lt;=46.5,2,1)), IF(INDEX(ERP資料!$G:$G, (MATCH(570, 輔助計算!$G$2:$G$801, 0)+1))&lt;=790,3,IF(INDEX(ERP資料!$G:$G, (MATCH(570, 輔助計算!$G$2:$G$801, 0)+1))&lt;=1181,2,1)))), "")&amp;IF(AND(IF(INT(INDEX(輔助計算!$D:$D, (MATCH(570, 輔助計算!$G$2:$G$801, 0)+1))/IF(INDEX(ERP資料!$G:$G, (MATCH(570, 輔助計算!$G$2:$G$801, 0)+1))&lt;100, IF(INDEX(ERP資料!$G:$G, (MATCH(570, 輔助計算!$G$2:$G$801, 0)+1))&lt;=31,3,IF(INDEX(ERP資料!$G:$G, (MATCH(570, 輔助計算!$G$2:$G$801, 0)+1))&lt;=46.5,2,1)), IF(INDEX(ERP資料!$G:$G, (MATCH(570, 輔助計算!$G$2:$G$801, 0)+1))&lt;=790,3,IF(INDEX(ERP資料!$G:$G, (MATCH(570, 輔助計算!$G$2:$G$801, 0)+1))&lt;=1181,2,1))))&gt;0, IF(IF(INDEX(ERP資料!$G:$G, (MATCH(570, 輔助計算!$G$2:$G$801, 0)+1))&lt;100, IF(INDEX(ERP資料!$G:$G, (MATCH(570, 輔助計算!$G$2:$G$801, 0)+1))&lt;=31,3,IF(INDEX(ERP資料!$G:$G, (MATCH(570, 輔助計算!$G$2:$G$801, 0)+1))&lt;=46.5,2,1)), IF(INDEX(ERP資料!$G:$G, (MATCH(570, 輔助計算!$G$2:$G$801, 0)+1))&lt;=790,3,IF(INDEX(ERP資料!$G:$G, (MATCH(570, 輔助計算!$G$2:$G$801, 0)+1))&lt;=1181,2,1)))=1,TEXT(INDEX(ERP資料!$G:$G, (MATCH(570, 輔助計算!$G$2:$G$801, 0)+1)),"0.##"),IF(IF(INDEX(ERP資料!$G:$G, (MATCH(570, 輔助計算!$G$2:$G$801, 0)+1))&lt;100, IF(INDEX(ERP資料!$G:$G, (MATCH(570, 輔助計算!$G$2:$G$801, 0)+1))&lt;=31,3,IF(INDEX(ERP資料!$G:$G, (MATCH(570, 輔助計算!$G$2:$G$801, 0)+1))&lt;=46.5,2,1)), IF(INDEX(ERP資料!$G:$G, (MATCH(570, 輔助計算!$G$2:$G$801, 0)+1))&lt;=790,3,IF(INDEX(ERP資料!$G:$G, (MATCH(570, 輔助計算!$G$2:$G$801, 0)+1))&lt;=1181,2,1)))=2,TEXT(INDEX(ERP資料!$G:$G, (MATCH(570, 輔助計算!$G$2:$G$801, 0)+1)),"0.##")&amp;"+"&amp;TEXT(INDEX(ERP資料!$G:$G, (MATCH(570, 輔助計算!$G$2:$G$801, 0)+1)),"0.##"),TEXT(INDEX(ERP資料!$G:$G, (MATCH(570, 輔助計算!$G$2:$G$801, 0)+1)),"0.##")&amp;"+"&amp;TEXT(INDEX(ERP資料!$G:$G, (MATCH(570, 輔助計算!$G$2:$G$801, 0)+1)),"0.##")&amp;"+"&amp;TEXT(INDEX(ERP資料!$G:$G, (MATCH(570, 輔助計算!$G$2:$G$801, 0)+1)),"0.##")))&amp;"-"&amp;INT(INDEX(輔助計算!$D:$D, (MATCH(570, 輔助計算!$G$2:$G$801, 0)+1))/IF(INDEX(ERP資料!$G:$G, (MATCH(570, 輔助計算!$G$2:$G$801, 0)+1))&lt;100, IF(INDEX(ERP資料!$G:$G, (MATCH(570, 輔助計算!$G$2:$G$801, 0)+1))&lt;=31,3,IF(INDEX(ERP資料!$G:$G, (MATCH(570, 輔助計算!$G$2:$G$801, 0)+1))&lt;=46.5,2,1)), IF(INDEX(ERP資料!$G:$G, (MATCH(570, 輔助計算!$G$2:$G$801, 0)+1))&lt;=790,3,IF(INDEX(ERP資料!$G:$G, (MATCH(570, 輔助計算!$G$2:$G$801, 0)+1))&lt;=1181,2,1)))), "")&lt;&gt;"",IF(MOD(INDEX(輔助計算!$D:$D, (MATCH(570, 輔助計算!$G$2:$G$801, 0)+1)),IF(INDEX(ERP資料!$G:$G, (MATCH(570, 輔助計算!$G$2:$G$801, 0)+1))&lt;100, IF(INDEX(ERP資料!$G:$G, (MATCH(570, 輔助計算!$G$2:$G$801, 0)+1))&lt;=31,3,IF(INDEX(ERP資料!$G:$G, (MATCH(570, 輔助計算!$G$2:$G$801, 0)+1))&lt;=46.5,2,1)), IF(INDEX(ERP資料!$G:$G, (MATCH(570, 輔助計算!$G$2:$G$801, 0)+1))&lt;=790,3,IF(INDEX(ERP資料!$G:$G, (MATCH(570, 輔助計算!$G$2:$G$801, 0)+1))&lt;=1181,2,1))))=0,"",IF(MOD(INDEX(輔助計算!$D:$D, (MATCH(570, 輔助計算!$G$2:$G$801, 0)+1)),IF(INDEX(ERP資料!$G:$G, (MATCH(570, 輔助計算!$G$2:$G$801, 0)+1))&lt;100, IF(INDEX(ERP資料!$G:$G, (MATCH(570, 輔助計算!$G$2:$G$801, 0)+1))&lt;=31,3,IF(INDEX(ERP資料!$G:$G, (MATCH(570, 輔助計算!$G$2:$G$801, 0)+1))&lt;=46.5,2,1)), IF(INDEX(ERP資料!$G:$G, (MATCH(570, 輔助計算!$G$2:$G$801, 0)+1))&lt;=790,3,IF(INDEX(ERP資料!$G:$G, (MATCH(570, 輔助計算!$G$2:$G$801, 0)+1))&lt;=1181,2,1))))=0,"",IF(MOD(INDEX(輔助計算!$D:$D, (MATCH(570, 輔助計算!$G$2:$G$801, 0)+1)),IF(INDEX(ERP資料!$G:$G, (MATCH(570, 輔助計算!$G$2:$G$801, 0)+1))&lt;100, IF(INDEX(ERP資料!$G:$G, (MATCH(570, 輔助計算!$G$2:$G$801, 0)+1))&lt;=31,3,IF(INDEX(ERP資料!$G:$G, (MATCH(570, 輔助計算!$G$2:$G$801, 0)+1))&lt;=46.5,2,1)), IF(INDEX(ERP資料!$G:$G, (MATCH(570, 輔助計算!$G$2:$G$801, 0)+1))&lt;=790,3,IF(INDEX(ERP資料!$G:$G, (MATCH(570, 輔助計算!$G$2:$G$801, 0)+1))&lt;=1181,2,1))))=1,TEXT(INDEX(ERP資料!$G:$G, (MATCH(570, 輔助計算!$G$2:$G$801, 0)+1)),"0.##"),IF(MOD(INDEX(輔助計算!$D:$D, (MATCH(570, 輔助計算!$G$2:$G$801, 0)+1)),IF(INDEX(ERP資料!$G:$G, (MATCH(570, 輔助計算!$G$2:$G$801, 0)+1))&lt;100, IF(INDEX(ERP資料!$G:$G, (MATCH(570, 輔助計算!$G$2:$G$801, 0)+1))&lt;=31,3,IF(INDEX(ERP資料!$G:$G, (MATCH(570, 輔助計算!$G$2:$G$801, 0)+1))&lt;=46.5,2,1)), IF(INDEX(ERP資料!$G:$G, (MATCH(570, 輔助計算!$G$2:$G$801, 0)+1))&lt;=790,3,IF(INDEX(ERP資料!$G:$G, (MATCH(570, 輔助計算!$G$2:$G$801, 0)+1))&lt;=1181,2,1))))=2,TEXT(INDEX(ERP資料!$G:$G, (MATCH(570, 輔助計算!$G$2:$G$801, 0)+1)),"0.##")&amp;"+"&amp;TEXT(INDEX(ERP資料!$G:$G, (MATCH(570, 輔助計算!$G$2:$G$801, 0)+1)),"0.##"),TEXT(INDEX(ERP資料!$G:$G, (MATCH(570, 輔助計算!$G$2:$G$801, 0)+1)),"0.##")&amp;"+"&amp;TEXT(INDEX(ERP資料!$G:$G, (MATCH(570, 輔助計算!$G$2:$G$801, 0)+1)),"0.##")&amp;"+"&amp;TEXT(INDEX(ERP資料!$G:$G, (MATCH(570, 輔助計算!$G$2:$G$801, 0)+1)),"0.##"))))&amp;"-1")&lt;&gt;""),"  ","")&amp;IF(MOD(INDEX(輔助計算!$D:$D, (MATCH(570, 輔助計算!$G$2:$G$801, 0)+1)),IF(INDEX(ERP資料!$G:$G, (MATCH(570, 輔助計算!$G$2:$G$801, 0)+1))&lt;100, IF(INDEX(ERP資料!$G:$G, (MATCH(570, 輔助計算!$G$2:$G$801, 0)+1))&lt;=31,3,IF(INDEX(ERP資料!$G:$G, (MATCH(570, 輔助計算!$G$2:$G$801, 0)+1))&lt;=46.5,2,1)), IF(INDEX(ERP資料!$G:$G, (MATCH(570, 輔助計算!$G$2:$G$801, 0)+1))&lt;=790,3,IF(INDEX(ERP資料!$G:$G, (MATCH(570, 輔助計算!$G$2:$G$801, 0)+1))&lt;=1181,2,1))))=0,"",IF(MOD(INDEX(輔助計算!$D:$D, (MATCH(570, 輔助計算!$G$2:$G$801, 0)+1)),IF(INDEX(ERP資料!$G:$G, (MATCH(570, 輔助計算!$G$2:$G$801, 0)+1))&lt;100, IF(INDEX(ERP資料!$G:$G, (MATCH(570, 輔助計算!$G$2:$G$801, 0)+1))&lt;=31,3,IF(INDEX(ERP資料!$G:$G, (MATCH(570, 輔助計算!$G$2:$G$801, 0)+1))&lt;=46.5,2,1)), IF(INDEX(ERP資料!$G:$G, (MATCH(570, 輔助計算!$G$2:$G$801, 0)+1))&lt;=790,3,IF(INDEX(ERP資料!$G:$G, (MATCH(570, 輔助計算!$G$2:$G$801, 0)+1))&lt;=1181,2,1))))=0,"",IF(MOD(INDEX(輔助計算!$D:$D, (MATCH(570, 輔助計算!$G$2:$G$801, 0)+1)),IF(INDEX(ERP資料!$G:$G, (MATCH(570, 輔助計算!$G$2:$G$801, 0)+1))&lt;100, IF(INDEX(ERP資料!$G:$G, (MATCH(570, 輔助計算!$G$2:$G$801, 0)+1))&lt;=31,3,IF(INDEX(ERP資料!$G:$G, (MATCH(570, 輔助計算!$G$2:$G$801, 0)+1))&lt;=46.5,2,1)), IF(INDEX(ERP資料!$G:$G, (MATCH(570, 輔助計算!$G$2:$G$801, 0)+1))&lt;=790,3,IF(INDEX(ERP資料!$G:$G, (MATCH(570, 輔助計算!$G$2:$G$801, 0)+1))&lt;=1181,2,1))))=1,TEXT(INDEX(ERP資料!$G:$G, (MATCH(570, 輔助計算!$G$2:$G$801, 0)+1)),"0.##"),IF(MOD(INDEX(輔助計算!$D:$D, (MATCH(570, 輔助計算!$G$2:$G$801, 0)+1)),IF(INDEX(ERP資料!$G:$G, (MATCH(570, 輔助計算!$G$2:$G$801, 0)+1))&lt;100, IF(INDEX(ERP資料!$G:$G, (MATCH(570, 輔助計算!$G$2:$G$801, 0)+1))&lt;=31,3,IF(INDEX(ERP資料!$G:$G, (MATCH(570, 輔助計算!$G$2:$G$801, 0)+1))&lt;=46.5,2,1)), IF(INDEX(ERP資料!$G:$G, (MATCH(570, 輔助計算!$G$2:$G$801, 0)+1))&lt;=790,3,IF(INDEX(ERP資料!$G:$G, (MATCH(570, 輔助計算!$G$2:$G$801, 0)+1))&lt;=1181,2,1))))=2,TEXT(INDEX(ERP資料!$G:$G, (MATCH(570, 輔助計算!$G$2:$G$801, 0)+1)),"0.##")&amp;"+"&amp;TEXT(INDEX(ERP資料!$G:$G, (MATCH(570, 輔助計算!$G$2:$G$801, 0)+1)),"0.##"),TEXT(INDEX(ERP資料!$G:$G, (MATCH(570, 輔助計算!$G$2:$G$801, 0)+1)),"0.##")&amp;"+"&amp;TEXT(INDEX(ERP資料!$G:$G, (MATCH(570, 輔助計算!$G$2:$G$801, 0)+1)),"0.##")&amp;"+"&amp;TEXT(INDEX(ERP資料!$G:$G, (MATCH(570, 輔助計算!$G$2:$G$801, 0)+1)),"0.##"))))&amp;"-1")), ""), "")</f>
        <v/>
      </c>
      <c r="K571" s="16" t="n"/>
      <c r="L571" s="14">
        <f>IFERROR(IF(AND(IFERROR(INDEX(ERP資料!$A:$A, (MATCH(570, 輔助計算!$G$2:$G$801, 0)+1)), "")&lt;&gt;"", IFERROR(INDEX(ERP資料!$A:$A, (MATCH(570, 輔助計算!$G$2:$G$801, 0)+1)), "")&lt;&gt;IFERROR(INDEX(ERP資料!$A:$A, MATCH(569, 輔助計算!$G$2:$G$801, 0)+1), "")), INDEX(ERP資料!$B:$B, (MATCH(570, 輔助計算!$G$2:$G$801, 0)+1)), ""), "")</f>
        <v/>
      </c>
      <c r="M571" s="17" t="n"/>
    </row>
    <row r="572">
      <c r="A572" s="10">
        <f>IFERROR(IF(AND(IFERROR(INDEX(ERP資料!$A:$A, (MATCH(571, 輔助計算!$G$2:$G$801, 0)+1)), "")&lt;&gt;"", IFERROR(INDEX(ERP資料!$A:$A, (MATCH(571, 輔助計算!$G$2:$G$801, 0)+1)), "")&lt;&gt;IFERROR(INDEX(ERP資料!$A:$A, MATCH(570, 輔助計算!$G$2:$G$801, 0)+1), "")), IFERROR(INDEX(ERP資料!$A:$A, (MATCH(571, 輔助計算!$G$2:$G$801, 0)+1)), ""), ""), "")</f>
        <v/>
      </c>
      <c r="B572" s="10">
        <f>IFERROR(IF(AND(IFERROR(INDEX(ERP資料!$A:$A, (MATCH(571, 輔助計算!$G$2:$G$801, 0)+1)), "")&lt;&gt;"", IFERROR(INDEX(ERP資料!$A:$A, (MATCH(571, 輔助計算!$G$2:$G$801, 0)+1)), "")&lt;&gt;IFERROR(INDEX(ERP資料!$A:$A, MATCH(570, 輔助計算!$G$2:$G$801, 0)+1), "")), INDEX(ERP資料!$S:$S, (MATCH(571, 輔助計算!$G$2:$G$801, 0)+1)), ""), "")</f>
        <v/>
      </c>
      <c r="C572" s="19">
        <f>IFERROR(IF(AND(IFERROR(INDEX(ERP資料!$A:$A, (MATCH(571, 輔助計算!$G$2:$G$801, 0)+1)), "")&lt;&gt;"", IFERROR(INDEX(ERP資料!$A:$A, (MATCH(571, 輔助計算!$G$2:$G$801, 0)+1)), "")&lt;&gt;IFERROR(INDEX(ERP資料!$A:$A, MATCH(570, 輔助計算!$G$2:$G$801, 0)+1), "")), IFERROR(VLOOKUP(LEFT(INDEX(ERP資料!$S:$S, (MATCH(571, 輔助計算!$G$2:$G$801, 0)+1)), 4), 紙管對照表!$A:$C, 3, FALSE), ""), ""), "")</f>
        <v/>
      </c>
      <c r="D572" s="16" t="n"/>
      <c r="E572" s="10">
        <f>IFERROR(IF(INDEX(ERP資料!$H:$H, (MATCH(571, 輔助計算!$G$2:$G$801, 0)+1))="","",INDEX(ERP資料!$H:$H, (MATCH(571, 輔助計算!$G$2:$G$801, 0)+1))), "")</f>
        <v/>
      </c>
      <c r="F572" s="10">
        <f>IFERROR(IF(INDEX(ERP資料!$E:$E, (MATCH(571, 輔助計算!$G$2:$G$801, 0)+1))="","",TRIM(INDEX(ERP資料!$E:$E, (MATCH(571, 輔助計算!$G$2:$G$801, 0)+1)))), "")</f>
        <v/>
      </c>
      <c r="G572" s="10">
        <f>IFERROR(IF(INDEX(ERP資料!$F:$F, (MATCH(571, 輔助計算!$G$2:$G$801, 0)+1))="","",INDEX(ERP資料!$F:$F, (MATCH(571, 輔助計算!$G$2:$G$801, 0)+1))), "")</f>
        <v/>
      </c>
      <c r="H572" s="10">
        <f>IFERROR(IF(INDEX(ERP資料!$G:$G, (MATCH(571, 輔助計算!$G$2:$G$801, 0)+1))="","",INDEX(ERP資料!$G:$G, (MATCH(571, 輔助計算!$G$2:$G$801, 0)+1))), "")</f>
        <v/>
      </c>
      <c r="I572" s="15">
        <f>IFERROR(INDEX(輔助計算!$D:$D, (MATCH(571, 輔助計算!$G$2:$G$801, 0)+1)), "")</f>
        <v/>
      </c>
      <c r="J572" s="15">
        <f>IFERROR(IF(AND(INDEX(輔助計算!$D:$D, (MATCH(571, 輔助計算!$G$2:$G$801, 0)+1))&lt;&gt;"", INDEX(ERP資料!$G:$G, (MATCH(571, 輔助計算!$G$2:$G$801, 0)+1))&lt;&gt;""), TRIM(IF(INT(INDEX(輔助計算!$D:$D, (MATCH(571, 輔助計算!$G$2:$G$801, 0)+1))/IF(INDEX(ERP資料!$G:$G, (MATCH(571, 輔助計算!$G$2:$G$801, 0)+1))&lt;100, IF(INDEX(ERP資料!$G:$G, (MATCH(571, 輔助計算!$G$2:$G$801, 0)+1))&lt;=31,3,IF(INDEX(ERP資料!$G:$G, (MATCH(571, 輔助計算!$G$2:$G$801, 0)+1))&lt;=46.5,2,1)), IF(INDEX(ERP資料!$G:$G, (MATCH(571, 輔助計算!$G$2:$G$801, 0)+1))&lt;=790,3,IF(INDEX(ERP資料!$G:$G, (MATCH(571, 輔助計算!$G$2:$G$801, 0)+1))&lt;=1181,2,1))))&gt;0, IF(IF(INDEX(ERP資料!$G:$G, (MATCH(571, 輔助計算!$G$2:$G$801, 0)+1))&lt;100, IF(INDEX(ERP資料!$G:$G, (MATCH(571, 輔助計算!$G$2:$G$801, 0)+1))&lt;=31,3,IF(INDEX(ERP資料!$G:$G, (MATCH(571, 輔助計算!$G$2:$G$801, 0)+1))&lt;=46.5,2,1)), IF(INDEX(ERP資料!$G:$G, (MATCH(571, 輔助計算!$G$2:$G$801, 0)+1))&lt;=790,3,IF(INDEX(ERP資料!$G:$G, (MATCH(571, 輔助計算!$G$2:$G$801, 0)+1))&lt;=1181,2,1)))=1,TEXT(INDEX(ERP資料!$G:$G, (MATCH(571, 輔助計算!$G$2:$G$801, 0)+1)),"0.##"),IF(IF(INDEX(ERP資料!$G:$G, (MATCH(571, 輔助計算!$G$2:$G$801, 0)+1))&lt;100, IF(INDEX(ERP資料!$G:$G, (MATCH(571, 輔助計算!$G$2:$G$801, 0)+1))&lt;=31,3,IF(INDEX(ERP資料!$G:$G, (MATCH(571, 輔助計算!$G$2:$G$801, 0)+1))&lt;=46.5,2,1)), IF(INDEX(ERP資料!$G:$G, (MATCH(571, 輔助計算!$G$2:$G$801, 0)+1))&lt;=790,3,IF(INDEX(ERP資料!$G:$G, (MATCH(571, 輔助計算!$G$2:$G$801, 0)+1))&lt;=1181,2,1)))=2,TEXT(INDEX(ERP資料!$G:$G, (MATCH(571, 輔助計算!$G$2:$G$801, 0)+1)),"0.##")&amp;"+"&amp;TEXT(INDEX(ERP資料!$G:$G, (MATCH(571, 輔助計算!$G$2:$G$801, 0)+1)),"0.##"),TEXT(INDEX(ERP資料!$G:$G, (MATCH(571, 輔助計算!$G$2:$G$801, 0)+1)),"0.##")&amp;"+"&amp;TEXT(INDEX(ERP資料!$G:$G, (MATCH(571, 輔助計算!$G$2:$G$801, 0)+1)),"0.##")&amp;"+"&amp;TEXT(INDEX(ERP資料!$G:$G, (MATCH(571, 輔助計算!$G$2:$G$801, 0)+1)),"0.##")))&amp;"-"&amp;INT(INDEX(輔助計算!$D:$D, (MATCH(571, 輔助計算!$G$2:$G$801, 0)+1))/IF(INDEX(ERP資料!$G:$G, (MATCH(571, 輔助計算!$G$2:$G$801, 0)+1))&lt;100, IF(INDEX(ERP資料!$G:$G, (MATCH(571, 輔助計算!$G$2:$G$801, 0)+1))&lt;=31,3,IF(INDEX(ERP資料!$G:$G, (MATCH(571, 輔助計算!$G$2:$G$801, 0)+1))&lt;=46.5,2,1)), IF(INDEX(ERP資料!$G:$G, (MATCH(571, 輔助計算!$G$2:$G$801, 0)+1))&lt;=790,3,IF(INDEX(ERP資料!$G:$G, (MATCH(571, 輔助計算!$G$2:$G$801, 0)+1))&lt;=1181,2,1)))), "")&amp;IF(AND(IF(INT(INDEX(輔助計算!$D:$D, (MATCH(571, 輔助計算!$G$2:$G$801, 0)+1))/IF(INDEX(ERP資料!$G:$G, (MATCH(571, 輔助計算!$G$2:$G$801, 0)+1))&lt;100, IF(INDEX(ERP資料!$G:$G, (MATCH(571, 輔助計算!$G$2:$G$801, 0)+1))&lt;=31,3,IF(INDEX(ERP資料!$G:$G, (MATCH(571, 輔助計算!$G$2:$G$801, 0)+1))&lt;=46.5,2,1)), IF(INDEX(ERP資料!$G:$G, (MATCH(571, 輔助計算!$G$2:$G$801, 0)+1))&lt;=790,3,IF(INDEX(ERP資料!$G:$G, (MATCH(571, 輔助計算!$G$2:$G$801, 0)+1))&lt;=1181,2,1))))&gt;0, IF(IF(INDEX(ERP資料!$G:$G, (MATCH(571, 輔助計算!$G$2:$G$801, 0)+1))&lt;100, IF(INDEX(ERP資料!$G:$G, (MATCH(571, 輔助計算!$G$2:$G$801, 0)+1))&lt;=31,3,IF(INDEX(ERP資料!$G:$G, (MATCH(571, 輔助計算!$G$2:$G$801, 0)+1))&lt;=46.5,2,1)), IF(INDEX(ERP資料!$G:$G, (MATCH(571, 輔助計算!$G$2:$G$801, 0)+1))&lt;=790,3,IF(INDEX(ERP資料!$G:$G, (MATCH(571, 輔助計算!$G$2:$G$801, 0)+1))&lt;=1181,2,1)))=1,TEXT(INDEX(ERP資料!$G:$G, (MATCH(571, 輔助計算!$G$2:$G$801, 0)+1)),"0.##"),IF(IF(INDEX(ERP資料!$G:$G, (MATCH(571, 輔助計算!$G$2:$G$801, 0)+1))&lt;100, IF(INDEX(ERP資料!$G:$G, (MATCH(571, 輔助計算!$G$2:$G$801, 0)+1))&lt;=31,3,IF(INDEX(ERP資料!$G:$G, (MATCH(571, 輔助計算!$G$2:$G$801, 0)+1))&lt;=46.5,2,1)), IF(INDEX(ERP資料!$G:$G, (MATCH(571, 輔助計算!$G$2:$G$801, 0)+1))&lt;=790,3,IF(INDEX(ERP資料!$G:$G, (MATCH(571, 輔助計算!$G$2:$G$801, 0)+1))&lt;=1181,2,1)))=2,TEXT(INDEX(ERP資料!$G:$G, (MATCH(571, 輔助計算!$G$2:$G$801, 0)+1)),"0.##")&amp;"+"&amp;TEXT(INDEX(ERP資料!$G:$G, (MATCH(571, 輔助計算!$G$2:$G$801, 0)+1)),"0.##"),TEXT(INDEX(ERP資料!$G:$G, (MATCH(571, 輔助計算!$G$2:$G$801, 0)+1)),"0.##")&amp;"+"&amp;TEXT(INDEX(ERP資料!$G:$G, (MATCH(571, 輔助計算!$G$2:$G$801, 0)+1)),"0.##")&amp;"+"&amp;TEXT(INDEX(ERP資料!$G:$G, (MATCH(571, 輔助計算!$G$2:$G$801, 0)+1)),"0.##")))&amp;"-"&amp;INT(INDEX(輔助計算!$D:$D, (MATCH(571, 輔助計算!$G$2:$G$801, 0)+1))/IF(INDEX(ERP資料!$G:$G, (MATCH(571, 輔助計算!$G$2:$G$801, 0)+1))&lt;100, IF(INDEX(ERP資料!$G:$G, (MATCH(571, 輔助計算!$G$2:$G$801, 0)+1))&lt;=31,3,IF(INDEX(ERP資料!$G:$G, (MATCH(571, 輔助計算!$G$2:$G$801, 0)+1))&lt;=46.5,2,1)), IF(INDEX(ERP資料!$G:$G, (MATCH(571, 輔助計算!$G$2:$G$801, 0)+1))&lt;=790,3,IF(INDEX(ERP資料!$G:$G, (MATCH(571, 輔助計算!$G$2:$G$801, 0)+1))&lt;=1181,2,1)))), "")&lt;&gt;"",IF(MOD(INDEX(輔助計算!$D:$D, (MATCH(571, 輔助計算!$G$2:$G$801, 0)+1)),IF(INDEX(ERP資料!$G:$G, (MATCH(571, 輔助計算!$G$2:$G$801, 0)+1))&lt;100, IF(INDEX(ERP資料!$G:$G, (MATCH(571, 輔助計算!$G$2:$G$801, 0)+1))&lt;=31,3,IF(INDEX(ERP資料!$G:$G, (MATCH(571, 輔助計算!$G$2:$G$801, 0)+1))&lt;=46.5,2,1)), IF(INDEX(ERP資料!$G:$G, (MATCH(571, 輔助計算!$G$2:$G$801, 0)+1))&lt;=790,3,IF(INDEX(ERP資料!$G:$G, (MATCH(571, 輔助計算!$G$2:$G$801, 0)+1))&lt;=1181,2,1))))=0,"",IF(MOD(INDEX(輔助計算!$D:$D, (MATCH(571, 輔助計算!$G$2:$G$801, 0)+1)),IF(INDEX(ERP資料!$G:$G, (MATCH(571, 輔助計算!$G$2:$G$801, 0)+1))&lt;100, IF(INDEX(ERP資料!$G:$G, (MATCH(571, 輔助計算!$G$2:$G$801, 0)+1))&lt;=31,3,IF(INDEX(ERP資料!$G:$G, (MATCH(571, 輔助計算!$G$2:$G$801, 0)+1))&lt;=46.5,2,1)), IF(INDEX(ERP資料!$G:$G, (MATCH(571, 輔助計算!$G$2:$G$801, 0)+1))&lt;=790,3,IF(INDEX(ERP資料!$G:$G, (MATCH(571, 輔助計算!$G$2:$G$801, 0)+1))&lt;=1181,2,1))))=0,"",IF(MOD(INDEX(輔助計算!$D:$D, (MATCH(571, 輔助計算!$G$2:$G$801, 0)+1)),IF(INDEX(ERP資料!$G:$G, (MATCH(571, 輔助計算!$G$2:$G$801, 0)+1))&lt;100, IF(INDEX(ERP資料!$G:$G, (MATCH(571, 輔助計算!$G$2:$G$801, 0)+1))&lt;=31,3,IF(INDEX(ERP資料!$G:$G, (MATCH(571, 輔助計算!$G$2:$G$801, 0)+1))&lt;=46.5,2,1)), IF(INDEX(ERP資料!$G:$G, (MATCH(571, 輔助計算!$G$2:$G$801, 0)+1))&lt;=790,3,IF(INDEX(ERP資料!$G:$G, (MATCH(571, 輔助計算!$G$2:$G$801, 0)+1))&lt;=1181,2,1))))=1,TEXT(INDEX(ERP資料!$G:$G, (MATCH(571, 輔助計算!$G$2:$G$801, 0)+1)),"0.##"),IF(MOD(INDEX(輔助計算!$D:$D, (MATCH(571, 輔助計算!$G$2:$G$801, 0)+1)),IF(INDEX(ERP資料!$G:$G, (MATCH(571, 輔助計算!$G$2:$G$801, 0)+1))&lt;100, IF(INDEX(ERP資料!$G:$G, (MATCH(571, 輔助計算!$G$2:$G$801, 0)+1))&lt;=31,3,IF(INDEX(ERP資料!$G:$G, (MATCH(571, 輔助計算!$G$2:$G$801, 0)+1))&lt;=46.5,2,1)), IF(INDEX(ERP資料!$G:$G, (MATCH(571, 輔助計算!$G$2:$G$801, 0)+1))&lt;=790,3,IF(INDEX(ERP資料!$G:$G, (MATCH(571, 輔助計算!$G$2:$G$801, 0)+1))&lt;=1181,2,1))))=2,TEXT(INDEX(ERP資料!$G:$G, (MATCH(571, 輔助計算!$G$2:$G$801, 0)+1)),"0.##")&amp;"+"&amp;TEXT(INDEX(ERP資料!$G:$G, (MATCH(571, 輔助計算!$G$2:$G$801, 0)+1)),"0.##"),TEXT(INDEX(ERP資料!$G:$G, (MATCH(571, 輔助計算!$G$2:$G$801, 0)+1)),"0.##")&amp;"+"&amp;TEXT(INDEX(ERP資料!$G:$G, (MATCH(571, 輔助計算!$G$2:$G$801, 0)+1)),"0.##")&amp;"+"&amp;TEXT(INDEX(ERP資料!$G:$G, (MATCH(571, 輔助計算!$G$2:$G$801, 0)+1)),"0.##"))))&amp;"-1")&lt;&gt;""),"  ","")&amp;IF(MOD(INDEX(輔助計算!$D:$D, (MATCH(571, 輔助計算!$G$2:$G$801, 0)+1)),IF(INDEX(ERP資料!$G:$G, (MATCH(571, 輔助計算!$G$2:$G$801, 0)+1))&lt;100, IF(INDEX(ERP資料!$G:$G, (MATCH(571, 輔助計算!$G$2:$G$801, 0)+1))&lt;=31,3,IF(INDEX(ERP資料!$G:$G, (MATCH(571, 輔助計算!$G$2:$G$801, 0)+1))&lt;=46.5,2,1)), IF(INDEX(ERP資料!$G:$G, (MATCH(571, 輔助計算!$G$2:$G$801, 0)+1))&lt;=790,3,IF(INDEX(ERP資料!$G:$G, (MATCH(571, 輔助計算!$G$2:$G$801, 0)+1))&lt;=1181,2,1))))=0,"",IF(MOD(INDEX(輔助計算!$D:$D, (MATCH(571, 輔助計算!$G$2:$G$801, 0)+1)),IF(INDEX(ERP資料!$G:$G, (MATCH(571, 輔助計算!$G$2:$G$801, 0)+1))&lt;100, IF(INDEX(ERP資料!$G:$G, (MATCH(571, 輔助計算!$G$2:$G$801, 0)+1))&lt;=31,3,IF(INDEX(ERP資料!$G:$G, (MATCH(571, 輔助計算!$G$2:$G$801, 0)+1))&lt;=46.5,2,1)), IF(INDEX(ERP資料!$G:$G, (MATCH(571, 輔助計算!$G$2:$G$801, 0)+1))&lt;=790,3,IF(INDEX(ERP資料!$G:$G, (MATCH(571, 輔助計算!$G$2:$G$801, 0)+1))&lt;=1181,2,1))))=0,"",IF(MOD(INDEX(輔助計算!$D:$D, (MATCH(571, 輔助計算!$G$2:$G$801, 0)+1)),IF(INDEX(ERP資料!$G:$G, (MATCH(571, 輔助計算!$G$2:$G$801, 0)+1))&lt;100, IF(INDEX(ERP資料!$G:$G, (MATCH(571, 輔助計算!$G$2:$G$801, 0)+1))&lt;=31,3,IF(INDEX(ERP資料!$G:$G, (MATCH(571, 輔助計算!$G$2:$G$801, 0)+1))&lt;=46.5,2,1)), IF(INDEX(ERP資料!$G:$G, (MATCH(571, 輔助計算!$G$2:$G$801, 0)+1))&lt;=790,3,IF(INDEX(ERP資料!$G:$G, (MATCH(571, 輔助計算!$G$2:$G$801, 0)+1))&lt;=1181,2,1))))=1,TEXT(INDEX(ERP資料!$G:$G, (MATCH(571, 輔助計算!$G$2:$G$801, 0)+1)),"0.##"),IF(MOD(INDEX(輔助計算!$D:$D, (MATCH(571, 輔助計算!$G$2:$G$801, 0)+1)),IF(INDEX(ERP資料!$G:$G, (MATCH(571, 輔助計算!$G$2:$G$801, 0)+1))&lt;100, IF(INDEX(ERP資料!$G:$G, (MATCH(571, 輔助計算!$G$2:$G$801, 0)+1))&lt;=31,3,IF(INDEX(ERP資料!$G:$G, (MATCH(571, 輔助計算!$G$2:$G$801, 0)+1))&lt;=46.5,2,1)), IF(INDEX(ERP資料!$G:$G, (MATCH(571, 輔助計算!$G$2:$G$801, 0)+1))&lt;=790,3,IF(INDEX(ERP資料!$G:$G, (MATCH(571, 輔助計算!$G$2:$G$801, 0)+1))&lt;=1181,2,1))))=2,TEXT(INDEX(ERP資料!$G:$G, (MATCH(571, 輔助計算!$G$2:$G$801, 0)+1)),"0.##")&amp;"+"&amp;TEXT(INDEX(ERP資料!$G:$G, (MATCH(571, 輔助計算!$G$2:$G$801, 0)+1)),"0.##"),TEXT(INDEX(ERP資料!$G:$G, (MATCH(571, 輔助計算!$G$2:$G$801, 0)+1)),"0.##")&amp;"+"&amp;TEXT(INDEX(ERP資料!$G:$G, (MATCH(571, 輔助計算!$G$2:$G$801, 0)+1)),"0.##")&amp;"+"&amp;TEXT(INDEX(ERP資料!$G:$G, (MATCH(571, 輔助計算!$G$2:$G$801, 0)+1)),"0.##"))))&amp;"-1")), ""), "")</f>
        <v/>
      </c>
      <c r="K572" s="16" t="n"/>
      <c r="L572" s="14">
        <f>IFERROR(IF(AND(IFERROR(INDEX(ERP資料!$A:$A, (MATCH(571, 輔助計算!$G$2:$G$801, 0)+1)), "")&lt;&gt;"", IFERROR(INDEX(ERP資料!$A:$A, (MATCH(571, 輔助計算!$G$2:$G$801, 0)+1)), "")&lt;&gt;IFERROR(INDEX(ERP資料!$A:$A, MATCH(570, 輔助計算!$G$2:$G$801, 0)+1), "")), INDEX(ERP資料!$B:$B, (MATCH(571, 輔助計算!$G$2:$G$801, 0)+1)), ""), "")</f>
        <v/>
      </c>
      <c r="M572" s="17" t="n"/>
    </row>
    <row r="573">
      <c r="A573" s="10">
        <f>IFERROR(IF(AND(IFERROR(INDEX(ERP資料!$A:$A, (MATCH(572, 輔助計算!$G$2:$G$801, 0)+1)), "")&lt;&gt;"", IFERROR(INDEX(ERP資料!$A:$A, (MATCH(572, 輔助計算!$G$2:$G$801, 0)+1)), "")&lt;&gt;IFERROR(INDEX(ERP資料!$A:$A, MATCH(571, 輔助計算!$G$2:$G$801, 0)+1), "")), IFERROR(INDEX(ERP資料!$A:$A, (MATCH(572, 輔助計算!$G$2:$G$801, 0)+1)), ""), ""), "")</f>
        <v/>
      </c>
      <c r="B573" s="10">
        <f>IFERROR(IF(AND(IFERROR(INDEX(ERP資料!$A:$A, (MATCH(572, 輔助計算!$G$2:$G$801, 0)+1)), "")&lt;&gt;"", IFERROR(INDEX(ERP資料!$A:$A, (MATCH(572, 輔助計算!$G$2:$G$801, 0)+1)), "")&lt;&gt;IFERROR(INDEX(ERP資料!$A:$A, MATCH(571, 輔助計算!$G$2:$G$801, 0)+1), "")), INDEX(ERP資料!$S:$S, (MATCH(572, 輔助計算!$G$2:$G$801, 0)+1)), ""), "")</f>
        <v/>
      </c>
      <c r="C573" s="19">
        <f>IFERROR(IF(AND(IFERROR(INDEX(ERP資料!$A:$A, (MATCH(572, 輔助計算!$G$2:$G$801, 0)+1)), "")&lt;&gt;"", IFERROR(INDEX(ERP資料!$A:$A, (MATCH(572, 輔助計算!$G$2:$G$801, 0)+1)), "")&lt;&gt;IFERROR(INDEX(ERP資料!$A:$A, MATCH(571, 輔助計算!$G$2:$G$801, 0)+1), "")), IFERROR(VLOOKUP(LEFT(INDEX(ERP資料!$S:$S, (MATCH(572, 輔助計算!$G$2:$G$801, 0)+1)), 4), 紙管對照表!$A:$C, 3, FALSE), ""), ""), "")</f>
        <v/>
      </c>
      <c r="D573" s="16" t="n"/>
      <c r="E573" s="10">
        <f>IFERROR(IF(INDEX(ERP資料!$H:$H, (MATCH(572, 輔助計算!$G$2:$G$801, 0)+1))="","",INDEX(ERP資料!$H:$H, (MATCH(572, 輔助計算!$G$2:$G$801, 0)+1))), "")</f>
        <v/>
      </c>
      <c r="F573" s="10">
        <f>IFERROR(IF(INDEX(ERP資料!$E:$E, (MATCH(572, 輔助計算!$G$2:$G$801, 0)+1))="","",TRIM(INDEX(ERP資料!$E:$E, (MATCH(572, 輔助計算!$G$2:$G$801, 0)+1)))), "")</f>
        <v/>
      </c>
      <c r="G573" s="10">
        <f>IFERROR(IF(INDEX(ERP資料!$F:$F, (MATCH(572, 輔助計算!$G$2:$G$801, 0)+1))="","",INDEX(ERP資料!$F:$F, (MATCH(572, 輔助計算!$G$2:$G$801, 0)+1))), "")</f>
        <v/>
      </c>
      <c r="H573" s="10">
        <f>IFERROR(IF(INDEX(ERP資料!$G:$G, (MATCH(572, 輔助計算!$G$2:$G$801, 0)+1))="","",INDEX(ERP資料!$G:$G, (MATCH(572, 輔助計算!$G$2:$G$801, 0)+1))), "")</f>
        <v/>
      </c>
      <c r="I573" s="15">
        <f>IFERROR(INDEX(輔助計算!$D:$D, (MATCH(572, 輔助計算!$G$2:$G$801, 0)+1)), "")</f>
        <v/>
      </c>
      <c r="J573" s="15">
        <f>IFERROR(IF(AND(INDEX(輔助計算!$D:$D, (MATCH(572, 輔助計算!$G$2:$G$801, 0)+1))&lt;&gt;"", INDEX(ERP資料!$G:$G, (MATCH(572, 輔助計算!$G$2:$G$801, 0)+1))&lt;&gt;""), TRIM(IF(INT(INDEX(輔助計算!$D:$D, (MATCH(572, 輔助計算!$G$2:$G$801, 0)+1))/IF(INDEX(ERP資料!$G:$G, (MATCH(572, 輔助計算!$G$2:$G$801, 0)+1))&lt;100, IF(INDEX(ERP資料!$G:$G, (MATCH(572, 輔助計算!$G$2:$G$801, 0)+1))&lt;=31,3,IF(INDEX(ERP資料!$G:$G, (MATCH(572, 輔助計算!$G$2:$G$801, 0)+1))&lt;=46.5,2,1)), IF(INDEX(ERP資料!$G:$G, (MATCH(572, 輔助計算!$G$2:$G$801, 0)+1))&lt;=790,3,IF(INDEX(ERP資料!$G:$G, (MATCH(572, 輔助計算!$G$2:$G$801, 0)+1))&lt;=1181,2,1))))&gt;0, IF(IF(INDEX(ERP資料!$G:$G, (MATCH(572, 輔助計算!$G$2:$G$801, 0)+1))&lt;100, IF(INDEX(ERP資料!$G:$G, (MATCH(572, 輔助計算!$G$2:$G$801, 0)+1))&lt;=31,3,IF(INDEX(ERP資料!$G:$G, (MATCH(572, 輔助計算!$G$2:$G$801, 0)+1))&lt;=46.5,2,1)), IF(INDEX(ERP資料!$G:$G, (MATCH(572, 輔助計算!$G$2:$G$801, 0)+1))&lt;=790,3,IF(INDEX(ERP資料!$G:$G, (MATCH(572, 輔助計算!$G$2:$G$801, 0)+1))&lt;=1181,2,1)))=1,TEXT(INDEX(ERP資料!$G:$G, (MATCH(572, 輔助計算!$G$2:$G$801, 0)+1)),"0.##"),IF(IF(INDEX(ERP資料!$G:$G, (MATCH(572, 輔助計算!$G$2:$G$801, 0)+1))&lt;100, IF(INDEX(ERP資料!$G:$G, (MATCH(572, 輔助計算!$G$2:$G$801, 0)+1))&lt;=31,3,IF(INDEX(ERP資料!$G:$G, (MATCH(572, 輔助計算!$G$2:$G$801, 0)+1))&lt;=46.5,2,1)), IF(INDEX(ERP資料!$G:$G, (MATCH(572, 輔助計算!$G$2:$G$801, 0)+1))&lt;=790,3,IF(INDEX(ERP資料!$G:$G, (MATCH(572, 輔助計算!$G$2:$G$801, 0)+1))&lt;=1181,2,1)))=2,TEXT(INDEX(ERP資料!$G:$G, (MATCH(572, 輔助計算!$G$2:$G$801, 0)+1)),"0.##")&amp;"+"&amp;TEXT(INDEX(ERP資料!$G:$G, (MATCH(572, 輔助計算!$G$2:$G$801, 0)+1)),"0.##"),TEXT(INDEX(ERP資料!$G:$G, (MATCH(572, 輔助計算!$G$2:$G$801, 0)+1)),"0.##")&amp;"+"&amp;TEXT(INDEX(ERP資料!$G:$G, (MATCH(572, 輔助計算!$G$2:$G$801, 0)+1)),"0.##")&amp;"+"&amp;TEXT(INDEX(ERP資料!$G:$G, (MATCH(572, 輔助計算!$G$2:$G$801, 0)+1)),"0.##")))&amp;"-"&amp;INT(INDEX(輔助計算!$D:$D, (MATCH(572, 輔助計算!$G$2:$G$801, 0)+1))/IF(INDEX(ERP資料!$G:$G, (MATCH(572, 輔助計算!$G$2:$G$801, 0)+1))&lt;100, IF(INDEX(ERP資料!$G:$G, (MATCH(572, 輔助計算!$G$2:$G$801, 0)+1))&lt;=31,3,IF(INDEX(ERP資料!$G:$G, (MATCH(572, 輔助計算!$G$2:$G$801, 0)+1))&lt;=46.5,2,1)), IF(INDEX(ERP資料!$G:$G, (MATCH(572, 輔助計算!$G$2:$G$801, 0)+1))&lt;=790,3,IF(INDEX(ERP資料!$G:$G, (MATCH(572, 輔助計算!$G$2:$G$801, 0)+1))&lt;=1181,2,1)))), "")&amp;IF(AND(IF(INT(INDEX(輔助計算!$D:$D, (MATCH(572, 輔助計算!$G$2:$G$801, 0)+1))/IF(INDEX(ERP資料!$G:$G, (MATCH(572, 輔助計算!$G$2:$G$801, 0)+1))&lt;100, IF(INDEX(ERP資料!$G:$G, (MATCH(572, 輔助計算!$G$2:$G$801, 0)+1))&lt;=31,3,IF(INDEX(ERP資料!$G:$G, (MATCH(572, 輔助計算!$G$2:$G$801, 0)+1))&lt;=46.5,2,1)), IF(INDEX(ERP資料!$G:$G, (MATCH(572, 輔助計算!$G$2:$G$801, 0)+1))&lt;=790,3,IF(INDEX(ERP資料!$G:$G, (MATCH(572, 輔助計算!$G$2:$G$801, 0)+1))&lt;=1181,2,1))))&gt;0, IF(IF(INDEX(ERP資料!$G:$G, (MATCH(572, 輔助計算!$G$2:$G$801, 0)+1))&lt;100, IF(INDEX(ERP資料!$G:$G, (MATCH(572, 輔助計算!$G$2:$G$801, 0)+1))&lt;=31,3,IF(INDEX(ERP資料!$G:$G, (MATCH(572, 輔助計算!$G$2:$G$801, 0)+1))&lt;=46.5,2,1)), IF(INDEX(ERP資料!$G:$G, (MATCH(572, 輔助計算!$G$2:$G$801, 0)+1))&lt;=790,3,IF(INDEX(ERP資料!$G:$G, (MATCH(572, 輔助計算!$G$2:$G$801, 0)+1))&lt;=1181,2,1)))=1,TEXT(INDEX(ERP資料!$G:$G, (MATCH(572, 輔助計算!$G$2:$G$801, 0)+1)),"0.##"),IF(IF(INDEX(ERP資料!$G:$G, (MATCH(572, 輔助計算!$G$2:$G$801, 0)+1))&lt;100, IF(INDEX(ERP資料!$G:$G, (MATCH(572, 輔助計算!$G$2:$G$801, 0)+1))&lt;=31,3,IF(INDEX(ERP資料!$G:$G, (MATCH(572, 輔助計算!$G$2:$G$801, 0)+1))&lt;=46.5,2,1)), IF(INDEX(ERP資料!$G:$G, (MATCH(572, 輔助計算!$G$2:$G$801, 0)+1))&lt;=790,3,IF(INDEX(ERP資料!$G:$G, (MATCH(572, 輔助計算!$G$2:$G$801, 0)+1))&lt;=1181,2,1)))=2,TEXT(INDEX(ERP資料!$G:$G, (MATCH(572, 輔助計算!$G$2:$G$801, 0)+1)),"0.##")&amp;"+"&amp;TEXT(INDEX(ERP資料!$G:$G, (MATCH(572, 輔助計算!$G$2:$G$801, 0)+1)),"0.##"),TEXT(INDEX(ERP資料!$G:$G, (MATCH(572, 輔助計算!$G$2:$G$801, 0)+1)),"0.##")&amp;"+"&amp;TEXT(INDEX(ERP資料!$G:$G, (MATCH(572, 輔助計算!$G$2:$G$801, 0)+1)),"0.##")&amp;"+"&amp;TEXT(INDEX(ERP資料!$G:$G, (MATCH(572, 輔助計算!$G$2:$G$801, 0)+1)),"0.##")))&amp;"-"&amp;INT(INDEX(輔助計算!$D:$D, (MATCH(572, 輔助計算!$G$2:$G$801, 0)+1))/IF(INDEX(ERP資料!$G:$G, (MATCH(572, 輔助計算!$G$2:$G$801, 0)+1))&lt;100, IF(INDEX(ERP資料!$G:$G, (MATCH(572, 輔助計算!$G$2:$G$801, 0)+1))&lt;=31,3,IF(INDEX(ERP資料!$G:$G, (MATCH(572, 輔助計算!$G$2:$G$801, 0)+1))&lt;=46.5,2,1)), IF(INDEX(ERP資料!$G:$G, (MATCH(572, 輔助計算!$G$2:$G$801, 0)+1))&lt;=790,3,IF(INDEX(ERP資料!$G:$G, (MATCH(572, 輔助計算!$G$2:$G$801, 0)+1))&lt;=1181,2,1)))), "")&lt;&gt;"",IF(MOD(INDEX(輔助計算!$D:$D, (MATCH(572, 輔助計算!$G$2:$G$801, 0)+1)),IF(INDEX(ERP資料!$G:$G, (MATCH(572, 輔助計算!$G$2:$G$801, 0)+1))&lt;100, IF(INDEX(ERP資料!$G:$G, (MATCH(572, 輔助計算!$G$2:$G$801, 0)+1))&lt;=31,3,IF(INDEX(ERP資料!$G:$G, (MATCH(572, 輔助計算!$G$2:$G$801, 0)+1))&lt;=46.5,2,1)), IF(INDEX(ERP資料!$G:$G, (MATCH(572, 輔助計算!$G$2:$G$801, 0)+1))&lt;=790,3,IF(INDEX(ERP資料!$G:$G, (MATCH(572, 輔助計算!$G$2:$G$801, 0)+1))&lt;=1181,2,1))))=0,"",IF(MOD(INDEX(輔助計算!$D:$D, (MATCH(572, 輔助計算!$G$2:$G$801, 0)+1)),IF(INDEX(ERP資料!$G:$G, (MATCH(572, 輔助計算!$G$2:$G$801, 0)+1))&lt;100, IF(INDEX(ERP資料!$G:$G, (MATCH(572, 輔助計算!$G$2:$G$801, 0)+1))&lt;=31,3,IF(INDEX(ERP資料!$G:$G, (MATCH(572, 輔助計算!$G$2:$G$801, 0)+1))&lt;=46.5,2,1)), IF(INDEX(ERP資料!$G:$G, (MATCH(572, 輔助計算!$G$2:$G$801, 0)+1))&lt;=790,3,IF(INDEX(ERP資料!$G:$G, (MATCH(572, 輔助計算!$G$2:$G$801, 0)+1))&lt;=1181,2,1))))=0,"",IF(MOD(INDEX(輔助計算!$D:$D, (MATCH(572, 輔助計算!$G$2:$G$801, 0)+1)),IF(INDEX(ERP資料!$G:$G, (MATCH(572, 輔助計算!$G$2:$G$801, 0)+1))&lt;100, IF(INDEX(ERP資料!$G:$G, (MATCH(572, 輔助計算!$G$2:$G$801, 0)+1))&lt;=31,3,IF(INDEX(ERP資料!$G:$G, (MATCH(572, 輔助計算!$G$2:$G$801, 0)+1))&lt;=46.5,2,1)), IF(INDEX(ERP資料!$G:$G, (MATCH(572, 輔助計算!$G$2:$G$801, 0)+1))&lt;=790,3,IF(INDEX(ERP資料!$G:$G, (MATCH(572, 輔助計算!$G$2:$G$801, 0)+1))&lt;=1181,2,1))))=1,TEXT(INDEX(ERP資料!$G:$G, (MATCH(572, 輔助計算!$G$2:$G$801, 0)+1)),"0.##"),IF(MOD(INDEX(輔助計算!$D:$D, (MATCH(572, 輔助計算!$G$2:$G$801, 0)+1)),IF(INDEX(ERP資料!$G:$G, (MATCH(572, 輔助計算!$G$2:$G$801, 0)+1))&lt;100, IF(INDEX(ERP資料!$G:$G, (MATCH(572, 輔助計算!$G$2:$G$801, 0)+1))&lt;=31,3,IF(INDEX(ERP資料!$G:$G, (MATCH(572, 輔助計算!$G$2:$G$801, 0)+1))&lt;=46.5,2,1)), IF(INDEX(ERP資料!$G:$G, (MATCH(572, 輔助計算!$G$2:$G$801, 0)+1))&lt;=790,3,IF(INDEX(ERP資料!$G:$G, (MATCH(572, 輔助計算!$G$2:$G$801, 0)+1))&lt;=1181,2,1))))=2,TEXT(INDEX(ERP資料!$G:$G, (MATCH(572, 輔助計算!$G$2:$G$801, 0)+1)),"0.##")&amp;"+"&amp;TEXT(INDEX(ERP資料!$G:$G, (MATCH(572, 輔助計算!$G$2:$G$801, 0)+1)),"0.##"),TEXT(INDEX(ERP資料!$G:$G, (MATCH(572, 輔助計算!$G$2:$G$801, 0)+1)),"0.##")&amp;"+"&amp;TEXT(INDEX(ERP資料!$G:$G, (MATCH(572, 輔助計算!$G$2:$G$801, 0)+1)),"0.##")&amp;"+"&amp;TEXT(INDEX(ERP資料!$G:$G, (MATCH(572, 輔助計算!$G$2:$G$801, 0)+1)),"0.##"))))&amp;"-1")&lt;&gt;""),"  ","")&amp;IF(MOD(INDEX(輔助計算!$D:$D, (MATCH(572, 輔助計算!$G$2:$G$801, 0)+1)),IF(INDEX(ERP資料!$G:$G, (MATCH(572, 輔助計算!$G$2:$G$801, 0)+1))&lt;100, IF(INDEX(ERP資料!$G:$G, (MATCH(572, 輔助計算!$G$2:$G$801, 0)+1))&lt;=31,3,IF(INDEX(ERP資料!$G:$G, (MATCH(572, 輔助計算!$G$2:$G$801, 0)+1))&lt;=46.5,2,1)), IF(INDEX(ERP資料!$G:$G, (MATCH(572, 輔助計算!$G$2:$G$801, 0)+1))&lt;=790,3,IF(INDEX(ERP資料!$G:$G, (MATCH(572, 輔助計算!$G$2:$G$801, 0)+1))&lt;=1181,2,1))))=0,"",IF(MOD(INDEX(輔助計算!$D:$D, (MATCH(572, 輔助計算!$G$2:$G$801, 0)+1)),IF(INDEX(ERP資料!$G:$G, (MATCH(572, 輔助計算!$G$2:$G$801, 0)+1))&lt;100, IF(INDEX(ERP資料!$G:$G, (MATCH(572, 輔助計算!$G$2:$G$801, 0)+1))&lt;=31,3,IF(INDEX(ERP資料!$G:$G, (MATCH(572, 輔助計算!$G$2:$G$801, 0)+1))&lt;=46.5,2,1)), IF(INDEX(ERP資料!$G:$G, (MATCH(572, 輔助計算!$G$2:$G$801, 0)+1))&lt;=790,3,IF(INDEX(ERP資料!$G:$G, (MATCH(572, 輔助計算!$G$2:$G$801, 0)+1))&lt;=1181,2,1))))=0,"",IF(MOD(INDEX(輔助計算!$D:$D, (MATCH(572, 輔助計算!$G$2:$G$801, 0)+1)),IF(INDEX(ERP資料!$G:$G, (MATCH(572, 輔助計算!$G$2:$G$801, 0)+1))&lt;100, IF(INDEX(ERP資料!$G:$G, (MATCH(572, 輔助計算!$G$2:$G$801, 0)+1))&lt;=31,3,IF(INDEX(ERP資料!$G:$G, (MATCH(572, 輔助計算!$G$2:$G$801, 0)+1))&lt;=46.5,2,1)), IF(INDEX(ERP資料!$G:$G, (MATCH(572, 輔助計算!$G$2:$G$801, 0)+1))&lt;=790,3,IF(INDEX(ERP資料!$G:$G, (MATCH(572, 輔助計算!$G$2:$G$801, 0)+1))&lt;=1181,2,1))))=1,TEXT(INDEX(ERP資料!$G:$G, (MATCH(572, 輔助計算!$G$2:$G$801, 0)+1)),"0.##"),IF(MOD(INDEX(輔助計算!$D:$D, (MATCH(572, 輔助計算!$G$2:$G$801, 0)+1)),IF(INDEX(ERP資料!$G:$G, (MATCH(572, 輔助計算!$G$2:$G$801, 0)+1))&lt;100, IF(INDEX(ERP資料!$G:$G, (MATCH(572, 輔助計算!$G$2:$G$801, 0)+1))&lt;=31,3,IF(INDEX(ERP資料!$G:$G, (MATCH(572, 輔助計算!$G$2:$G$801, 0)+1))&lt;=46.5,2,1)), IF(INDEX(ERP資料!$G:$G, (MATCH(572, 輔助計算!$G$2:$G$801, 0)+1))&lt;=790,3,IF(INDEX(ERP資料!$G:$G, (MATCH(572, 輔助計算!$G$2:$G$801, 0)+1))&lt;=1181,2,1))))=2,TEXT(INDEX(ERP資料!$G:$G, (MATCH(572, 輔助計算!$G$2:$G$801, 0)+1)),"0.##")&amp;"+"&amp;TEXT(INDEX(ERP資料!$G:$G, (MATCH(572, 輔助計算!$G$2:$G$801, 0)+1)),"0.##"),TEXT(INDEX(ERP資料!$G:$G, (MATCH(572, 輔助計算!$G$2:$G$801, 0)+1)),"0.##")&amp;"+"&amp;TEXT(INDEX(ERP資料!$G:$G, (MATCH(572, 輔助計算!$G$2:$G$801, 0)+1)),"0.##")&amp;"+"&amp;TEXT(INDEX(ERP資料!$G:$G, (MATCH(572, 輔助計算!$G$2:$G$801, 0)+1)),"0.##"))))&amp;"-1")), ""), "")</f>
        <v/>
      </c>
      <c r="K573" s="16" t="n"/>
      <c r="L573" s="14">
        <f>IFERROR(IF(AND(IFERROR(INDEX(ERP資料!$A:$A, (MATCH(572, 輔助計算!$G$2:$G$801, 0)+1)), "")&lt;&gt;"", IFERROR(INDEX(ERP資料!$A:$A, (MATCH(572, 輔助計算!$G$2:$G$801, 0)+1)), "")&lt;&gt;IFERROR(INDEX(ERP資料!$A:$A, MATCH(571, 輔助計算!$G$2:$G$801, 0)+1), "")), INDEX(ERP資料!$B:$B, (MATCH(572, 輔助計算!$G$2:$G$801, 0)+1)), ""), "")</f>
        <v/>
      </c>
      <c r="M573" s="17" t="n"/>
    </row>
    <row r="574">
      <c r="A574" s="10">
        <f>IFERROR(IF(AND(IFERROR(INDEX(ERP資料!$A:$A, (MATCH(573, 輔助計算!$G$2:$G$801, 0)+1)), "")&lt;&gt;"", IFERROR(INDEX(ERP資料!$A:$A, (MATCH(573, 輔助計算!$G$2:$G$801, 0)+1)), "")&lt;&gt;IFERROR(INDEX(ERP資料!$A:$A, MATCH(572, 輔助計算!$G$2:$G$801, 0)+1), "")), IFERROR(INDEX(ERP資料!$A:$A, (MATCH(573, 輔助計算!$G$2:$G$801, 0)+1)), ""), ""), "")</f>
        <v/>
      </c>
      <c r="B574" s="10">
        <f>IFERROR(IF(AND(IFERROR(INDEX(ERP資料!$A:$A, (MATCH(573, 輔助計算!$G$2:$G$801, 0)+1)), "")&lt;&gt;"", IFERROR(INDEX(ERP資料!$A:$A, (MATCH(573, 輔助計算!$G$2:$G$801, 0)+1)), "")&lt;&gt;IFERROR(INDEX(ERP資料!$A:$A, MATCH(572, 輔助計算!$G$2:$G$801, 0)+1), "")), INDEX(ERP資料!$S:$S, (MATCH(573, 輔助計算!$G$2:$G$801, 0)+1)), ""), "")</f>
        <v/>
      </c>
      <c r="C574" s="19">
        <f>IFERROR(IF(AND(IFERROR(INDEX(ERP資料!$A:$A, (MATCH(573, 輔助計算!$G$2:$G$801, 0)+1)), "")&lt;&gt;"", IFERROR(INDEX(ERP資料!$A:$A, (MATCH(573, 輔助計算!$G$2:$G$801, 0)+1)), "")&lt;&gt;IFERROR(INDEX(ERP資料!$A:$A, MATCH(572, 輔助計算!$G$2:$G$801, 0)+1), "")), IFERROR(VLOOKUP(LEFT(INDEX(ERP資料!$S:$S, (MATCH(573, 輔助計算!$G$2:$G$801, 0)+1)), 4), 紙管對照表!$A:$C, 3, FALSE), ""), ""), "")</f>
        <v/>
      </c>
      <c r="D574" s="16" t="n"/>
      <c r="E574" s="10">
        <f>IFERROR(IF(INDEX(ERP資料!$H:$H, (MATCH(573, 輔助計算!$G$2:$G$801, 0)+1))="","",INDEX(ERP資料!$H:$H, (MATCH(573, 輔助計算!$G$2:$G$801, 0)+1))), "")</f>
        <v/>
      </c>
      <c r="F574" s="10">
        <f>IFERROR(IF(INDEX(ERP資料!$E:$E, (MATCH(573, 輔助計算!$G$2:$G$801, 0)+1))="","",TRIM(INDEX(ERP資料!$E:$E, (MATCH(573, 輔助計算!$G$2:$G$801, 0)+1)))), "")</f>
        <v/>
      </c>
      <c r="G574" s="10">
        <f>IFERROR(IF(INDEX(ERP資料!$F:$F, (MATCH(573, 輔助計算!$G$2:$G$801, 0)+1))="","",INDEX(ERP資料!$F:$F, (MATCH(573, 輔助計算!$G$2:$G$801, 0)+1))), "")</f>
        <v/>
      </c>
      <c r="H574" s="10">
        <f>IFERROR(IF(INDEX(ERP資料!$G:$G, (MATCH(573, 輔助計算!$G$2:$G$801, 0)+1))="","",INDEX(ERP資料!$G:$G, (MATCH(573, 輔助計算!$G$2:$G$801, 0)+1))), "")</f>
        <v/>
      </c>
      <c r="I574" s="15">
        <f>IFERROR(INDEX(輔助計算!$D:$D, (MATCH(573, 輔助計算!$G$2:$G$801, 0)+1)), "")</f>
        <v/>
      </c>
      <c r="J574" s="15">
        <f>IFERROR(IF(AND(INDEX(輔助計算!$D:$D, (MATCH(573, 輔助計算!$G$2:$G$801, 0)+1))&lt;&gt;"", INDEX(ERP資料!$G:$G, (MATCH(573, 輔助計算!$G$2:$G$801, 0)+1))&lt;&gt;""), TRIM(IF(INT(INDEX(輔助計算!$D:$D, (MATCH(573, 輔助計算!$G$2:$G$801, 0)+1))/IF(INDEX(ERP資料!$G:$G, (MATCH(573, 輔助計算!$G$2:$G$801, 0)+1))&lt;100, IF(INDEX(ERP資料!$G:$G, (MATCH(573, 輔助計算!$G$2:$G$801, 0)+1))&lt;=31,3,IF(INDEX(ERP資料!$G:$G, (MATCH(573, 輔助計算!$G$2:$G$801, 0)+1))&lt;=46.5,2,1)), IF(INDEX(ERP資料!$G:$G, (MATCH(573, 輔助計算!$G$2:$G$801, 0)+1))&lt;=790,3,IF(INDEX(ERP資料!$G:$G, (MATCH(573, 輔助計算!$G$2:$G$801, 0)+1))&lt;=1181,2,1))))&gt;0, IF(IF(INDEX(ERP資料!$G:$G, (MATCH(573, 輔助計算!$G$2:$G$801, 0)+1))&lt;100, IF(INDEX(ERP資料!$G:$G, (MATCH(573, 輔助計算!$G$2:$G$801, 0)+1))&lt;=31,3,IF(INDEX(ERP資料!$G:$G, (MATCH(573, 輔助計算!$G$2:$G$801, 0)+1))&lt;=46.5,2,1)), IF(INDEX(ERP資料!$G:$G, (MATCH(573, 輔助計算!$G$2:$G$801, 0)+1))&lt;=790,3,IF(INDEX(ERP資料!$G:$G, (MATCH(573, 輔助計算!$G$2:$G$801, 0)+1))&lt;=1181,2,1)))=1,TEXT(INDEX(ERP資料!$G:$G, (MATCH(573, 輔助計算!$G$2:$G$801, 0)+1)),"0.##"),IF(IF(INDEX(ERP資料!$G:$G, (MATCH(573, 輔助計算!$G$2:$G$801, 0)+1))&lt;100, IF(INDEX(ERP資料!$G:$G, (MATCH(573, 輔助計算!$G$2:$G$801, 0)+1))&lt;=31,3,IF(INDEX(ERP資料!$G:$G, (MATCH(573, 輔助計算!$G$2:$G$801, 0)+1))&lt;=46.5,2,1)), IF(INDEX(ERP資料!$G:$G, (MATCH(573, 輔助計算!$G$2:$G$801, 0)+1))&lt;=790,3,IF(INDEX(ERP資料!$G:$G, (MATCH(573, 輔助計算!$G$2:$G$801, 0)+1))&lt;=1181,2,1)))=2,TEXT(INDEX(ERP資料!$G:$G, (MATCH(573, 輔助計算!$G$2:$G$801, 0)+1)),"0.##")&amp;"+"&amp;TEXT(INDEX(ERP資料!$G:$G, (MATCH(573, 輔助計算!$G$2:$G$801, 0)+1)),"0.##"),TEXT(INDEX(ERP資料!$G:$G, (MATCH(573, 輔助計算!$G$2:$G$801, 0)+1)),"0.##")&amp;"+"&amp;TEXT(INDEX(ERP資料!$G:$G, (MATCH(573, 輔助計算!$G$2:$G$801, 0)+1)),"0.##")&amp;"+"&amp;TEXT(INDEX(ERP資料!$G:$G, (MATCH(573, 輔助計算!$G$2:$G$801, 0)+1)),"0.##")))&amp;"-"&amp;INT(INDEX(輔助計算!$D:$D, (MATCH(573, 輔助計算!$G$2:$G$801, 0)+1))/IF(INDEX(ERP資料!$G:$G, (MATCH(573, 輔助計算!$G$2:$G$801, 0)+1))&lt;100, IF(INDEX(ERP資料!$G:$G, (MATCH(573, 輔助計算!$G$2:$G$801, 0)+1))&lt;=31,3,IF(INDEX(ERP資料!$G:$G, (MATCH(573, 輔助計算!$G$2:$G$801, 0)+1))&lt;=46.5,2,1)), IF(INDEX(ERP資料!$G:$G, (MATCH(573, 輔助計算!$G$2:$G$801, 0)+1))&lt;=790,3,IF(INDEX(ERP資料!$G:$G, (MATCH(573, 輔助計算!$G$2:$G$801, 0)+1))&lt;=1181,2,1)))), "")&amp;IF(AND(IF(INT(INDEX(輔助計算!$D:$D, (MATCH(573, 輔助計算!$G$2:$G$801, 0)+1))/IF(INDEX(ERP資料!$G:$G, (MATCH(573, 輔助計算!$G$2:$G$801, 0)+1))&lt;100, IF(INDEX(ERP資料!$G:$G, (MATCH(573, 輔助計算!$G$2:$G$801, 0)+1))&lt;=31,3,IF(INDEX(ERP資料!$G:$G, (MATCH(573, 輔助計算!$G$2:$G$801, 0)+1))&lt;=46.5,2,1)), IF(INDEX(ERP資料!$G:$G, (MATCH(573, 輔助計算!$G$2:$G$801, 0)+1))&lt;=790,3,IF(INDEX(ERP資料!$G:$G, (MATCH(573, 輔助計算!$G$2:$G$801, 0)+1))&lt;=1181,2,1))))&gt;0, IF(IF(INDEX(ERP資料!$G:$G, (MATCH(573, 輔助計算!$G$2:$G$801, 0)+1))&lt;100, IF(INDEX(ERP資料!$G:$G, (MATCH(573, 輔助計算!$G$2:$G$801, 0)+1))&lt;=31,3,IF(INDEX(ERP資料!$G:$G, (MATCH(573, 輔助計算!$G$2:$G$801, 0)+1))&lt;=46.5,2,1)), IF(INDEX(ERP資料!$G:$G, (MATCH(573, 輔助計算!$G$2:$G$801, 0)+1))&lt;=790,3,IF(INDEX(ERP資料!$G:$G, (MATCH(573, 輔助計算!$G$2:$G$801, 0)+1))&lt;=1181,2,1)))=1,TEXT(INDEX(ERP資料!$G:$G, (MATCH(573, 輔助計算!$G$2:$G$801, 0)+1)),"0.##"),IF(IF(INDEX(ERP資料!$G:$G, (MATCH(573, 輔助計算!$G$2:$G$801, 0)+1))&lt;100, IF(INDEX(ERP資料!$G:$G, (MATCH(573, 輔助計算!$G$2:$G$801, 0)+1))&lt;=31,3,IF(INDEX(ERP資料!$G:$G, (MATCH(573, 輔助計算!$G$2:$G$801, 0)+1))&lt;=46.5,2,1)), IF(INDEX(ERP資料!$G:$G, (MATCH(573, 輔助計算!$G$2:$G$801, 0)+1))&lt;=790,3,IF(INDEX(ERP資料!$G:$G, (MATCH(573, 輔助計算!$G$2:$G$801, 0)+1))&lt;=1181,2,1)))=2,TEXT(INDEX(ERP資料!$G:$G, (MATCH(573, 輔助計算!$G$2:$G$801, 0)+1)),"0.##")&amp;"+"&amp;TEXT(INDEX(ERP資料!$G:$G, (MATCH(573, 輔助計算!$G$2:$G$801, 0)+1)),"0.##"),TEXT(INDEX(ERP資料!$G:$G, (MATCH(573, 輔助計算!$G$2:$G$801, 0)+1)),"0.##")&amp;"+"&amp;TEXT(INDEX(ERP資料!$G:$G, (MATCH(573, 輔助計算!$G$2:$G$801, 0)+1)),"0.##")&amp;"+"&amp;TEXT(INDEX(ERP資料!$G:$G, (MATCH(573, 輔助計算!$G$2:$G$801, 0)+1)),"0.##")))&amp;"-"&amp;INT(INDEX(輔助計算!$D:$D, (MATCH(573, 輔助計算!$G$2:$G$801, 0)+1))/IF(INDEX(ERP資料!$G:$G, (MATCH(573, 輔助計算!$G$2:$G$801, 0)+1))&lt;100, IF(INDEX(ERP資料!$G:$G, (MATCH(573, 輔助計算!$G$2:$G$801, 0)+1))&lt;=31,3,IF(INDEX(ERP資料!$G:$G, (MATCH(573, 輔助計算!$G$2:$G$801, 0)+1))&lt;=46.5,2,1)), IF(INDEX(ERP資料!$G:$G, (MATCH(573, 輔助計算!$G$2:$G$801, 0)+1))&lt;=790,3,IF(INDEX(ERP資料!$G:$G, (MATCH(573, 輔助計算!$G$2:$G$801, 0)+1))&lt;=1181,2,1)))), "")&lt;&gt;"",IF(MOD(INDEX(輔助計算!$D:$D, (MATCH(573, 輔助計算!$G$2:$G$801, 0)+1)),IF(INDEX(ERP資料!$G:$G, (MATCH(573, 輔助計算!$G$2:$G$801, 0)+1))&lt;100, IF(INDEX(ERP資料!$G:$G, (MATCH(573, 輔助計算!$G$2:$G$801, 0)+1))&lt;=31,3,IF(INDEX(ERP資料!$G:$G, (MATCH(573, 輔助計算!$G$2:$G$801, 0)+1))&lt;=46.5,2,1)), IF(INDEX(ERP資料!$G:$G, (MATCH(573, 輔助計算!$G$2:$G$801, 0)+1))&lt;=790,3,IF(INDEX(ERP資料!$G:$G, (MATCH(573, 輔助計算!$G$2:$G$801, 0)+1))&lt;=1181,2,1))))=0,"",IF(MOD(INDEX(輔助計算!$D:$D, (MATCH(573, 輔助計算!$G$2:$G$801, 0)+1)),IF(INDEX(ERP資料!$G:$G, (MATCH(573, 輔助計算!$G$2:$G$801, 0)+1))&lt;100, IF(INDEX(ERP資料!$G:$G, (MATCH(573, 輔助計算!$G$2:$G$801, 0)+1))&lt;=31,3,IF(INDEX(ERP資料!$G:$G, (MATCH(573, 輔助計算!$G$2:$G$801, 0)+1))&lt;=46.5,2,1)), IF(INDEX(ERP資料!$G:$G, (MATCH(573, 輔助計算!$G$2:$G$801, 0)+1))&lt;=790,3,IF(INDEX(ERP資料!$G:$G, (MATCH(573, 輔助計算!$G$2:$G$801, 0)+1))&lt;=1181,2,1))))=0,"",IF(MOD(INDEX(輔助計算!$D:$D, (MATCH(573, 輔助計算!$G$2:$G$801, 0)+1)),IF(INDEX(ERP資料!$G:$G, (MATCH(573, 輔助計算!$G$2:$G$801, 0)+1))&lt;100, IF(INDEX(ERP資料!$G:$G, (MATCH(573, 輔助計算!$G$2:$G$801, 0)+1))&lt;=31,3,IF(INDEX(ERP資料!$G:$G, (MATCH(573, 輔助計算!$G$2:$G$801, 0)+1))&lt;=46.5,2,1)), IF(INDEX(ERP資料!$G:$G, (MATCH(573, 輔助計算!$G$2:$G$801, 0)+1))&lt;=790,3,IF(INDEX(ERP資料!$G:$G, (MATCH(573, 輔助計算!$G$2:$G$801, 0)+1))&lt;=1181,2,1))))=1,TEXT(INDEX(ERP資料!$G:$G, (MATCH(573, 輔助計算!$G$2:$G$801, 0)+1)),"0.##"),IF(MOD(INDEX(輔助計算!$D:$D, (MATCH(573, 輔助計算!$G$2:$G$801, 0)+1)),IF(INDEX(ERP資料!$G:$G, (MATCH(573, 輔助計算!$G$2:$G$801, 0)+1))&lt;100, IF(INDEX(ERP資料!$G:$G, (MATCH(573, 輔助計算!$G$2:$G$801, 0)+1))&lt;=31,3,IF(INDEX(ERP資料!$G:$G, (MATCH(573, 輔助計算!$G$2:$G$801, 0)+1))&lt;=46.5,2,1)), IF(INDEX(ERP資料!$G:$G, (MATCH(573, 輔助計算!$G$2:$G$801, 0)+1))&lt;=790,3,IF(INDEX(ERP資料!$G:$G, (MATCH(573, 輔助計算!$G$2:$G$801, 0)+1))&lt;=1181,2,1))))=2,TEXT(INDEX(ERP資料!$G:$G, (MATCH(573, 輔助計算!$G$2:$G$801, 0)+1)),"0.##")&amp;"+"&amp;TEXT(INDEX(ERP資料!$G:$G, (MATCH(573, 輔助計算!$G$2:$G$801, 0)+1)),"0.##"),TEXT(INDEX(ERP資料!$G:$G, (MATCH(573, 輔助計算!$G$2:$G$801, 0)+1)),"0.##")&amp;"+"&amp;TEXT(INDEX(ERP資料!$G:$G, (MATCH(573, 輔助計算!$G$2:$G$801, 0)+1)),"0.##")&amp;"+"&amp;TEXT(INDEX(ERP資料!$G:$G, (MATCH(573, 輔助計算!$G$2:$G$801, 0)+1)),"0.##"))))&amp;"-1")&lt;&gt;""),"  ","")&amp;IF(MOD(INDEX(輔助計算!$D:$D, (MATCH(573, 輔助計算!$G$2:$G$801, 0)+1)),IF(INDEX(ERP資料!$G:$G, (MATCH(573, 輔助計算!$G$2:$G$801, 0)+1))&lt;100, IF(INDEX(ERP資料!$G:$G, (MATCH(573, 輔助計算!$G$2:$G$801, 0)+1))&lt;=31,3,IF(INDEX(ERP資料!$G:$G, (MATCH(573, 輔助計算!$G$2:$G$801, 0)+1))&lt;=46.5,2,1)), IF(INDEX(ERP資料!$G:$G, (MATCH(573, 輔助計算!$G$2:$G$801, 0)+1))&lt;=790,3,IF(INDEX(ERP資料!$G:$G, (MATCH(573, 輔助計算!$G$2:$G$801, 0)+1))&lt;=1181,2,1))))=0,"",IF(MOD(INDEX(輔助計算!$D:$D, (MATCH(573, 輔助計算!$G$2:$G$801, 0)+1)),IF(INDEX(ERP資料!$G:$G, (MATCH(573, 輔助計算!$G$2:$G$801, 0)+1))&lt;100, IF(INDEX(ERP資料!$G:$G, (MATCH(573, 輔助計算!$G$2:$G$801, 0)+1))&lt;=31,3,IF(INDEX(ERP資料!$G:$G, (MATCH(573, 輔助計算!$G$2:$G$801, 0)+1))&lt;=46.5,2,1)), IF(INDEX(ERP資料!$G:$G, (MATCH(573, 輔助計算!$G$2:$G$801, 0)+1))&lt;=790,3,IF(INDEX(ERP資料!$G:$G, (MATCH(573, 輔助計算!$G$2:$G$801, 0)+1))&lt;=1181,2,1))))=0,"",IF(MOD(INDEX(輔助計算!$D:$D, (MATCH(573, 輔助計算!$G$2:$G$801, 0)+1)),IF(INDEX(ERP資料!$G:$G, (MATCH(573, 輔助計算!$G$2:$G$801, 0)+1))&lt;100, IF(INDEX(ERP資料!$G:$G, (MATCH(573, 輔助計算!$G$2:$G$801, 0)+1))&lt;=31,3,IF(INDEX(ERP資料!$G:$G, (MATCH(573, 輔助計算!$G$2:$G$801, 0)+1))&lt;=46.5,2,1)), IF(INDEX(ERP資料!$G:$G, (MATCH(573, 輔助計算!$G$2:$G$801, 0)+1))&lt;=790,3,IF(INDEX(ERP資料!$G:$G, (MATCH(573, 輔助計算!$G$2:$G$801, 0)+1))&lt;=1181,2,1))))=1,TEXT(INDEX(ERP資料!$G:$G, (MATCH(573, 輔助計算!$G$2:$G$801, 0)+1)),"0.##"),IF(MOD(INDEX(輔助計算!$D:$D, (MATCH(573, 輔助計算!$G$2:$G$801, 0)+1)),IF(INDEX(ERP資料!$G:$G, (MATCH(573, 輔助計算!$G$2:$G$801, 0)+1))&lt;100, IF(INDEX(ERP資料!$G:$G, (MATCH(573, 輔助計算!$G$2:$G$801, 0)+1))&lt;=31,3,IF(INDEX(ERP資料!$G:$G, (MATCH(573, 輔助計算!$G$2:$G$801, 0)+1))&lt;=46.5,2,1)), IF(INDEX(ERP資料!$G:$G, (MATCH(573, 輔助計算!$G$2:$G$801, 0)+1))&lt;=790,3,IF(INDEX(ERP資料!$G:$G, (MATCH(573, 輔助計算!$G$2:$G$801, 0)+1))&lt;=1181,2,1))))=2,TEXT(INDEX(ERP資料!$G:$G, (MATCH(573, 輔助計算!$G$2:$G$801, 0)+1)),"0.##")&amp;"+"&amp;TEXT(INDEX(ERP資料!$G:$G, (MATCH(573, 輔助計算!$G$2:$G$801, 0)+1)),"0.##"),TEXT(INDEX(ERP資料!$G:$G, (MATCH(573, 輔助計算!$G$2:$G$801, 0)+1)),"0.##")&amp;"+"&amp;TEXT(INDEX(ERP資料!$G:$G, (MATCH(573, 輔助計算!$G$2:$G$801, 0)+1)),"0.##")&amp;"+"&amp;TEXT(INDEX(ERP資料!$G:$G, (MATCH(573, 輔助計算!$G$2:$G$801, 0)+1)),"0.##"))))&amp;"-1")), ""), "")</f>
        <v/>
      </c>
      <c r="K574" s="16" t="n"/>
      <c r="L574" s="14">
        <f>IFERROR(IF(AND(IFERROR(INDEX(ERP資料!$A:$A, (MATCH(573, 輔助計算!$G$2:$G$801, 0)+1)), "")&lt;&gt;"", IFERROR(INDEX(ERP資料!$A:$A, (MATCH(573, 輔助計算!$G$2:$G$801, 0)+1)), "")&lt;&gt;IFERROR(INDEX(ERP資料!$A:$A, MATCH(572, 輔助計算!$G$2:$G$801, 0)+1), "")), INDEX(ERP資料!$B:$B, (MATCH(573, 輔助計算!$G$2:$G$801, 0)+1)), ""), "")</f>
        <v/>
      </c>
      <c r="M574" s="17" t="n"/>
    </row>
    <row r="575">
      <c r="A575" s="10">
        <f>IFERROR(IF(AND(IFERROR(INDEX(ERP資料!$A:$A, (MATCH(574, 輔助計算!$G$2:$G$801, 0)+1)), "")&lt;&gt;"", IFERROR(INDEX(ERP資料!$A:$A, (MATCH(574, 輔助計算!$G$2:$G$801, 0)+1)), "")&lt;&gt;IFERROR(INDEX(ERP資料!$A:$A, MATCH(573, 輔助計算!$G$2:$G$801, 0)+1), "")), IFERROR(INDEX(ERP資料!$A:$A, (MATCH(574, 輔助計算!$G$2:$G$801, 0)+1)), ""), ""), "")</f>
        <v/>
      </c>
      <c r="B575" s="10">
        <f>IFERROR(IF(AND(IFERROR(INDEX(ERP資料!$A:$A, (MATCH(574, 輔助計算!$G$2:$G$801, 0)+1)), "")&lt;&gt;"", IFERROR(INDEX(ERP資料!$A:$A, (MATCH(574, 輔助計算!$G$2:$G$801, 0)+1)), "")&lt;&gt;IFERROR(INDEX(ERP資料!$A:$A, MATCH(573, 輔助計算!$G$2:$G$801, 0)+1), "")), INDEX(ERP資料!$S:$S, (MATCH(574, 輔助計算!$G$2:$G$801, 0)+1)), ""), "")</f>
        <v/>
      </c>
      <c r="C575" s="19">
        <f>IFERROR(IF(AND(IFERROR(INDEX(ERP資料!$A:$A, (MATCH(574, 輔助計算!$G$2:$G$801, 0)+1)), "")&lt;&gt;"", IFERROR(INDEX(ERP資料!$A:$A, (MATCH(574, 輔助計算!$G$2:$G$801, 0)+1)), "")&lt;&gt;IFERROR(INDEX(ERP資料!$A:$A, MATCH(573, 輔助計算!$G$2:$G$801, 0)+1), "")), IFERROR(VLOOKUP(LEFT(INDEX(ERP資料!$S:$S, (MATCH(574, 輔助計算!$G$2:$G$801, 0)+1)), 4), 紙管對照表!$A:$C, 3, FALSE), ""), ""), "")</f>
        <v/>
      </c>
      <c r="D575" s="16" t="n"/>
      <c r="E575" s="10">
        <f>IFERROR(IF(INDEX(ERP資料!$H:$H, (MATCH(574, 輔助計算!$G$2:$G$801, 0)+1))="","",INDEX(ERP資料!$H:$H, (MATCH(574, 輔助計算!$G$2:$G$801, 0)+1))), "")</f>
        <v/>
      </c>
      <c r="F575" s="10">
        <f>IFERROR(IF(INDEX(ERP資料!$E:$E, (MATCH(574, 輔助計算!$G$2:$G$801, 0)+1))="","",TRIM(INDEX(ERP資料!$E:$E, (MATCH(574, 輔助計算!$G$2:$G$801, 0)+1)))), "")</f>
        <v/>
      </c>
      <c r="G575" s="10">
        <f>IFERROR(IF(INDEX(ERP資料!$F:$F, (MATCH(574, 輔助計算!$G$2:$G$801, 0)+1))="","",INDEX(ERP資料!$F:$F, (MATCH(574, 輔助計算!$G$2:$G$801, 0)+1))), "")</f>
        <v/>
      </c>
      <c r="H575" s="10">
        <f>IFERROR(IF(INDEX(ERP資料!$G:$G, (MATCH(574, 輔助計算!$G$2:$G$801, 0)+1))="","",INDEX(ERP資料!$G:$G, (MATCH(574, 輔助計算!$G$2:$G$801, 0)+1))), "")</f>
        <v/>
      </c>
      <c r="I575" s="15">
        <f>IFERROR(INDEX(輔助計算!$D:$D, (MATCH(574, 輔助計算!$G$2:$G$801, 0)+1)), "")</f>
        <v/>
      </c>
      <c r="J575" s="15">
        <f>IFERROR(IF(AND(INDEX(輔助計算!$D:$D, (MATCH(574, 輔助計算!$G$2:$G$801, 0)+1))&lt;&gt;"", INDEX(ERP資料!$G:$G, (MATCH(574, 輔助計算!$G$2:$G$801, 0)+1))&lt;&gt;""), TRIM(IF(INT(INDEX(輔助計算!$D:$D, (MATCH(574, 輔助計算!$G$2:$G$801, 0)+1))/IF(INDEX(ERP資料!$G:$G, (MATCH(574, 輔助計算!$G$2:$G$801, 0)+1))&lt;100, IF(INDEX(ERP資料!$G:$G, (MATCH(574, 輔助計算!$G$2:$G$801, 0)+1))&lt;=31,3,IF(INDEX(ERP資料!$G:$G, (MATCH(574, 輔助計算!$G$2:$G$801, 0)+1))&lt;=46.5,2,1)), IF(INDEX(ERP資料!$G:$G, (MATCH(574, 輔助計算!$G$2:$G$801, 0)+1))&lt;=790,3,IF(INDEX(ERP資料!$G:$G, (MATCH(574, 輔助計算!$G$2:$G$801, 0)+1))&lt;=1181,2,1))))&gt;0, IF(IF(INDEX(ERP資料!$G:$G, (MATCH(574, 輔助計算!$G$2:$G$801, 0)+1))&lt;100, IF(INDEX(ERP資料!$G:$G, (MATCH(574, 輔助計算!$G$2:$G$801, 0)+1))&lt;=31,3,IF(INDEX(ERP資料!$G:$G, (MATCH(574, 輔助計算!$G$2:$G$801, 0)+1))&lt;=46.5,2,1)), IF(INDEX(ERP資料!$G:$G, (MATCH(574, 輔助計算!$G$2:$G$801, 0)+1))&lt;=790,3,IF(INDEX(ERP資料!$G:$G, (MATCH(574, 輔助計算!$G$2:$G$801, 0)+1))&lt;=1181,2,1)))=1,TEXT(INDEX(ERP資料!$G:$G, (MATCH(574, 輔助計算!$G$2:$G$801, 0)+1)),"0.##"),IF(IF(INDEX(ERP資料!$G:$G, (MATCH(574, 輔助計算!$G$2:$G$801, 0)+1))&lt;100, IF(INDEX(ERP資料!$G:$G, (MATCH(574, 輔助計算!$G$2:$G$801, 0)+1))&lt;=31,3,IF(INDEX(ERP資料!$G:$G, (MATCH(574, 輔助計算!$G$2:$G$801, 0)+1))&lt;=46.5,2,1)), IF(INDEX(ERP資料!$G:$G, (MATCH(574, 輔助計算!$G$2:$G$801, 0)+1))&lt;=790,3,IF(INDEX(ERP資料!$G:$G, (MATCH(574, 輔助計算!$G$2:$G$801, 0)+1))&lt;=1181,2,1)))=2,TEXT(INDEX(ERP資料!$G:$G, (MATCH(574, 輔助計算!$G$2:$G$801, 0)+1)),"0.##")&amp;"+"&amp;TEXT(INDEX(ERP資料!$G:$G, (MATCH(574, 輔助計算!$G$2:$G$801, 0)+1)),"0.##"),TEXT(INDEX(ERP資料!$G:$G, (MATCH(574, 輔助計算!$G$2:$G$801, 0)+1)),"0.##")&amp;"+"&amp;TEXT(INDEX(ERP資料!$G:$G, (MATCH(574, 輔助計算!$G$2:$G$801, 0)+1)),"0.##")&amp;"+"&amp;TEXT(INDEX(ERP資料!$G:$G, (MATCH(574, 輔助計算!$G$2:$G$801, 0)+1)),"0.##")))&amp;"-"&amp;INT(INDEX(輔助計算!$D:$D, (MATCH(574, 輔助計算!$G$2:$G$801, 0)+1))/IF(INDEX(ERP資料!$G:$G, (MATCH(574, 輔助計算!$G$2:$G$801, 0)+1))&lt;100, IF(INDEX(ERP資料!$G:$G, (MATCH(574, 輔助計算!$G$2:$G$801, 0)+1))&lt;=31,3,IF(INDEX(ERP資料!$G:$G, (MATCH(574, 輔助計算!$G$2:$G$801, 0)+1))&lt;=46.5,2,1)), IF(INDEX(ERP資料!$G:$G, (MATCH(574, 輔助計算!$G$2:$G$801, 0)+1))&lt;=790,3,IF(INDEX(ERP資料!$G:$G, (MATCH(574, 輔助計算!$G$2:$G$801, 0)+1))&lt;=1181,2,1)))), "")&amp;IF(AND(IF(INT(INDEX(輔助計算!$D:$D, (MATCH(574, 輔助計算!$G$2:$G$801, 0)+1))/IF(INDEX(ERP資料!$G:$G, (MATCH(574, 輔助計算!$G$2:$G$801, 0)+1))&lt;100, IF(INDEX(ERP資料!$G:$G, (MATCH(574, 輔助計算!$G$2:$G$801, 0)+1))&lt;=31,3,IF(INDEX(ERP資料!$G:$G, (MATCH(574, 輔助計算!$G$2:$G$801, 0)+1))&lt;=46.5,2,1)), IF(INDEX(ERP資料!$G:$G, (MATCH(574, 輔助計算!$G$2:$G$801, 0)+1))&lt;=790,3,IF(INDEX(ERP資料!$G:$G, (MATCH(574, 輔助計算!$G$2:$G$801, 0)+1))&lt;=1181,2,1))))&gt;0, IF(IF(INDEX(ERP資料!$G:$G, (MATCH(574, 輔助計算!$G$2:$G$801, 0)+1))&lt;100, IF(INDEX(ERP資料!$G:$G, (MATCH(574, 輔助計算!$G$2:$G$801, 0)+1))&lt;=31,3,IF(INDEX(ERP資料!$G:$G, (MATCH(574, 輔助計算!$G$2:$G$801, 0)+1))&lt;=46.5,2,1)), IF(INDEX(ERP資料!$G:$G, (MATCH(574, 輔助計算!$G$2:$G$801, 0)+1))&lt;=790,3,IF(INDEX(ERP資料!$G:$G, (MATCH(574, 輔助計算!$G$2:$G$801, 0)+1))&lt;=1181,2,1)))=1,TEXT(INDEX(ERP資料!$G:$G, (MATCH(574, 輔助計算!$G$2:$G$801, 0)+1)),"0.##"),IF(IF(INDEX(ERP資料!$G:$G, (MATCH(574, 輔助計算!$G$2:$G$801, 0)+1))&lt;100, IF(INDEX(ERP資料!$G:$G, (MATCH(574, 輔助計算!$G$2:$G$801, 0)+1))&lt;=31,3,IF(INDEX(ERP資料!$G:$G, (MATCH(574, 輔助計算!$G$2:$G$801, 0)+1))&lt;=46.5,2,1)), IF(INDEX(ERP資料!$G:$G, (MATCH(574, 輔助計算!$G$2:$G$801, 0)+1))&lt;=790,3,IF(INDEX(ERP資料!$G:$G, (MATCH(574, 輔助計算!$G$2:$G$801, 0)+1))&lt;=1181,2,1)))=2,TEXT(INDEX(ERP資料!$G:$G, (MATCH(574, 輔助計算!$G$2:$G$801, 0)+1)),"0.##")&amp;"+"&amp;TEXT(INDEX(ERP資料!$G:$G, (MATCH(574, 輔助計算!$G$2:$G$801, 0)+1)),"0.##"),TEXT(INDEX(ERP資料!$G:$G, (MATCH(574, 輔助計算!$G$2:$G$801, 0)+1)),"0.##")&amp;"+"&amp;TEXT(INDEX(ERP資料!$G:$G, (MATCH(574, 輔助計算!$G$2:$G$801, 0)+1)),"0.##")&amp;"+"&amp;TEXT(INDEX(ERP資料!$G:$G, (MATCH(574, 輔助計算!$G$2:$G$801, 0)+1)),"0.##")))&amp;"-"&amp;INT(INDEX(輔助計算!$D:$D, (MATCH(574, 輔助計算!$G$2:$G$801, 0)+1))/IF(INDEX(ERP資料!$G:$G, (MATCH(574, 輔助計算!$G$2:$G$801, 0)+1))&lt;100, IF(INDEX(ERP資料!$G:$G, (MATCH(574, 輔助計算!$G$2:$G$801, 0)+1))&lt;=31,3,IF(INDEX(ERP資料!$G:$G, (MATCH(574, 輔助計算!$G$2:$G$801, 0)+1))&lt;=46.5,2,1)), IF(INDEX(ERP資料!$G:$G, (MATCH(574, 輔助計算!$G$2:$G$801, 0)+1))&lt;=790,3,IF(INDEX(ERP資料!$G:$G, (MATCH(574, 輔助計算!$G$2:$G$801, 0)+1))&lt;=1181,2,1)))), "")&lt;&gt;"",IF(MOD(INDEX(輔助計算!$D:$D, (MATCH(574, 輔助計算!$G$2:$G$801, 0)+1)),IF(INDEX(ERP資料!$G:$G, (MATCH(574, 輔助計算!$G$2:$G$801, 0)+1))&lt;100, IF(INDEX(ERP資料!$G:$G, (MATCH(574, 輔助計算!$G$2:$G$801, 0)+1))&lt;=31,3,IF(INDEX(ERP資料!$G:$G, (MATCH(574, 輔助計算!$G$2:$G$801, 0)+1))&lt;=46.5,2,1)), IF(INDEX(ERP資料!$G:$G, (MATCH(574, 輔助計算!$G$2:$G$801, 0)+1))&lt;=790,3,IF(INDEX(ERP資料!$G:$G, (MATCH(574, 輔助計算!$G$2:$G$801, 0)+1))&lt;=1181,2,1))))=0,"",IF(MOD(INDEX(輔助計算!$D:$D, (MATCH(574, 輔助計算!$G$2:$G$801, 0)+1)),IF(INDEX(ERP資料!$G:$G, (MATCH(574, 輔助計算!$G$2:$G$801, 0)+1))&lt;100, IF(INDEX(ERP資料!$G:$G, (MATCH(574, 輔助計算!$G$2:$G$801, 0)+1))&lt;=31,3,IF(INDEX(ERP資料!$G:$G, (MATCH(574, 輔助計算!$G$2:$G$801, 0)+1))&lt;=46.5,2,1)), IF(INDEX(ERP資料!$G:$G, (MATCH(574, 輔助計算!$G$2:$G$801, 0)+1))&lt;=790,3,IF(INDEX(ERP資料!$G:$G, (MATCH(574, 輔助計算!$G$2:$G$801, 0)+1))&lt;=1181,2,1))))=0,"",IF(MOD(INDEX(輔助計算!$D:$D, (MATCH(574, 輔助計算!$G$2:$G$801, 0)+1)),IF(INDEX(ERP資料!$G:$G, (MATCH(574, 輔助計算!$G$2:$G$801, 0)+1))&lt;100, IF(INDEX(ERP資料!$G:$G, (MATCH(574, 輔助計算!$G$2:$G$801, 0)+1))&lt;=31,3,IF(INDEX(ERP資料!$G:$G, (MATCH(574, 輔助計算!$G$2:$G$801, 0)+1))&lt;=46.5,2,1)), IF(INDEX(ERP資料!$G:$G, (MATCH(574, 輔助計算!$G$2:$G$801, 0)+1))&lt;=790,3,IF(INDEX(ERP資料!$G:$G, (MATCH(574, 輔助計算!$G$2:$G$801, 0)+1))&lt;=1181,2,1))))=1,TEXT(INDEX(ERP資料!$G:$G, (MATCH(574, 輔助計算!$G$2:$G$801, 0)+1)),"0.##"),IF(MOD(INDEX(輔助計算!$D:$D, (MATCH(574, 輔助計算!$G$2:$G$801, 0)+1)),IF(INDEX(ERP資料!$G:$G, (MATCH(574, 輔助計算!$G$2:$G$801, 0)+1))&lt;100, IF(INDEX(ERP資料!$G:$G, (MATCH(574, 輔助計算!$G$2:$G$801, 0)+1))&lt;=31,3,IF(INDEX(ERP資料!$G:$G, (MATCH(574, 輔助計算!$G$2:$G$801, 0)+1))&lt;=46.5,2,1)), IF(INDEX(ERP資料!$G:$G, (MATCH(574, 輔助計算!$G$2:$G$801, 0)+1))&lt;=790,3,IF(INDEX(ERP資料!$G:$G, (MATCH(574, 輔助計算!$G$2:$G$801, 0)+1))&lt;=1181,2,1))))=2,TEXT(INDEX(ERP資料!$G:$G, (MATCH(574, 輔助計算!$G$2:$G$801, 0)+1)),"0.##")&amp;"+"&amp;TEXT(INDEX(ERP資料!$G:$G, (MATCH(574, 輔助計算!$G$2:$G$801, 0)+1)),"0.##"),TEXT(INDEX(ERP資料!$G:$G, (MATCH(574, 輔助計算!$G$2:$G$801, 0)+1)),"0.##")&amp;"+"&amp;TEXT(INDEX(ERP資料!$G:$G, (MATCH(574, 輔助計算!$G$2:$G$801, 0)+1)),"0.##")&amp;"+"&amp;TEXT(INDEX(ERP資料!$G:$G, (MATCH(574, 輔助計算!$G$2:$G$801, 0)+1)),"0.##"))))&amp;"-1")&lt;&gt;""),"  ","")&amp;IF(MOD(INDEX(輔助計算!$D:$D, (MATCH(574, 輔助計算!$G$2:$G$801, 0)+1)),IF(INDEX(ERP資料!$G:$G, (MATCH(574, 輔助計算!$G$2:$G$801, 0)+1))&lt;100, IF(INDEX(ERP資料!$G:$G, (MATCH(574, 輔助計算!$G$2:$G$801, 0)+1))&lt;=31,3,IF(INDEX(ERP資料!$G:$G, (MATCH(574, 輔助計算!$G$2:$G$801, 0)+1))&lt;=46.5,2,1)), IF(INDEX(ERP資料!$G:$G, (MATCH(574, 輔助計算!$G$2:$G$801, 0)+1))&lt;=790,3,IF(INDEX(ERP資料!$G:$G, (MATCH(574, 輔助計算!$G$2:$G$801, 0)+1))&lt;=1181,2,1))))=0,"",IF(MOD(INDEX(輔助計算!$D:$D, (MATCH(574, 輔助計算!$G$2:$G$801, 0)+1)),IF(INDEX(ERP資料!$G:$G, (MATCH(574, 輔助計算!$G$2:$G$801, 0)+1))&lt;100, IF(INDEX(ERP資料!$G:$G, (MATCH(574, 輔助計算!$G$2:$G$801, 0)+1))&lt;=31,3,IF(INDEX(ERP資料!$G:$G, (MATCH(574, 輔助計算!$G$2:$G$801, 0)+1))&lt;=46.5,2,1)), IF(INDEX(ERP資料!$G:$G, (MATCH(574, 輔助計算!$G$2:$G$801, 0)+1))&lt;=790,3,IF(INDEX(ERP資料!$G:$G, (MATCH(574, 輔助計算!$G$2:$G$801, 0)+1))&lt;=1181,2,1))))=0,"",IF(MOD(INDEX(輔助計算!$D:$D, (MATCH(574, 輔助計算!$G$2:$G$801, 0)+1)),IF(INDEX(ERP資料!$G:$G, (MATCH(574, 輔助計算!$G$2:$G$801, 0)+1))&lt;100, IF(INDEX(ERP資料!$G:$G, (MATCH(574, 輔助計算!$G$2:$G$801, 0)+1))&lt;=31,3,IF(INDEX(ERP資料!$G:$G, (MATCH(574, 輔助計算!$G$2:$G$801, 0)+1))&lt;=46.5,2,1)), IF(INDEX(ERP資料!$G:$G, (MATCH(574, 輔助計算!$G$2:$G$801, 0)+1))&lt;=790,3,IF(INDEX(ERP資料!$G:$G, (MATCH(574, 輔助計算!$G$2:$G$801, 0)+1))&lt;=1181,2,1))))=1,TEXT(INDEX(ERP資料!$G:$G, (MATCH(574, 輔助計算!$G$2:$G$801, 0)+1)),"0.##"),IF(MOD(INDEX(輔助計算!$D:$D, (MATCH(574, 輔助計算!$G$2:$G$801, 0)+1)),IF(INDEX(ERP資料!$G:$G, (MATCH(574, 輔助計算!$G$2:$G$801, 0)+1))&lt;100, IF(INDEX(ERP資料!$G:$G, (MATCH(574, 輔助計算!$G$2:$G$801, 0)+1))&lt;=31,3,IF(INDEX(ERP資料!$G:$G, (MATCH(574, 輔助計算!$G$2:$G$801, 0)+1))&lt;=46.5,2,1)), IF(INDEX(ERP資料!$G:$G, (MATCH(574, 輔助計算!$G$2:$G$801, 0)+1))&lt;=790,3,IF(INDEX(ERP資料!$G:$G, (MATCH(574, 輔助計算!$G$2:$G$801, 0)+1))&lt;=1181,2,1))))=2,TEXT(INDEX(ERP資料!$G:$G, (MATCH(574, 輔助計算!$G$2:$G$801, 0)+1)),"0.##")&amp;"+"&amp;TEXT(INDEX(ERP資料!$G:$G, (MATCH(574, 輔助計算!$G$2:$G$801, 0)+1)),"0.##"),TEXT(INDEX(ERP資料!$G:$G, (MATCH(574, 輔助計算!$G$2:$G$801, 0)+1)),"0.##")&amp;"+"&amp;TEXT(INDEX(ERP資料!$G:$G, (MATCH(574, 輔助計算!$G$2:$G$801, 0)+1)),"0.##")&amp;"+"&amp;TEXT(INDEX(ERP資料!$G:$G, (MATCH(574, 輔助計算!$G$2:$G$801, 0)+1)),"0.##"))))&amp;"-1")), ""), "")</f>
        <v/>
      </c>
      <c r="K575" s="16" t="n"/>
      <c r="L575" s="14">
        <f>IFERROR(IF(AND(IFERROR(INDEX(ERP資料!$A:$A, (MATCH(574, 輔助計算!$G$2:$G$801, 0)+1)), "")&lt;&gt;"", IFERROR(INDEX(ERP資料!$A:$A, (MATCH(574, 輔助計算!$G$2:$G$801, 0)+1)), "")&lt;&gt;IFERROR(INDEX(ERP資料!$A:$A, MATCH(573, 輔助計算!$G$2:$G$801, 0)+1), "")), INDEX(ERP資料!$B:$B, (MATCH(574, 輔助計算!$G$2:$G$801, 0)+1)), ""), "")</f>
        <v/>
      </c>
      <c r="M575" s="17" t="n"/>
    </row>
    <row r="576">
      <c r="A576" s="10">
        <f>IFERROR(IF(AND(IFERROR(INDEX(ERP資料!$A:$A, (MATCH(575, 輔助計算!$G$2:$G$801, 0)+1)), "")&lt;&gt;"", IFERROR(INDEX(ERP資料!$A:$A, (MATCH(575, 輔助計算!$G$2:$G$801, 0)+1)), "")&lt;&gt;IFERROR(INDEX(ERP資料!$A:$A, MATCH(574, 輔助計算!$G$2:$G$801, 0)+1), "")), IFERROR(INDEX(ERP資料!$A:$A, (MATCH(575, 輔助計算!$G$2:$G$801, 0)+1)), ""), ""), "")</f>
        <v/>
      </c>
      <c r="B576" s="10">
        <f>IFERROR(IF(AND(IFERROR(INDEX(ERP資料!$A:$A, (MATCH(575, 輔助計算!$G$2:$G$801, 0)+1)), "")&lt;&gt;"", IFERROR(INDEX(ERP資料!$A:$A, (MATCH(575, 輔助計算!$G$2:$G$801, 0)+1)), "")&lt;&gt;IFERROR(INDEX(ERP資料!$A:$A, MATCH(574, 輔助計算!$G$2:$G$801, 0)+1), "")), INDEX(ERP資料!$S:$S, (MATCH(575, 輔助計算!$G$2:$G$801, 0)+1)), ""), "")</f>
        <v/>
      </c>
      <c r="C576" s="19">
        <f>IFERROR(IF(AND(IFERROR(INDEX(ERP資料!$A:$A, (MATCH(575, 輔助計算!$G$2:$G$801, 0)+1)), "")&lt;&gt;"", IFERROR(INDEX(ERP資料!$A:$A, (MATCH(575, 輔助計算!$G$2:$G$801, 0)+1)), "")&lt;&gt;IFERROR(INDEX(ERP資料!$A:$A, MATCH(574, 輔助計算!$G$2:$G$801, 0)+1), "")), IFERROR(VLOOKUP(LEFT(INDEX(ERP資料!$S:$S, (MATCH(575, 輔助計算!$G$2:$G$801, 0)+1)), 4), 紙管對照表!$A:$C, 3, FALSE), ""), ""), "")</f>
        <v/>
      </c>
      <c r="D576" s="16" t="n"/>
      <c r="E576" s="10">
        <f>IFERROR(IF(INDEX(ERP資料!$H:$H, (MATCH(575, 輔助計算!$G$2:$G$801, 0)+1))="","",INDEX(ERP資料!$H:$H, (MATCH(575, 輔助計算!$G$2:$G$801, 0)+1))), "")</f>
        <v/>
      </c>
      <c r="F576" s="10">
        <f>IFERROR(IF(INDEX(ERP資料!$E:$E, (MATCH(575, 輔助計算!$G$2:$G$801, 0)+1))="","",TRIM(INDEX(ERP資料!$E:$E, (MATCH(575, 輔助計算!$G$2:$G$801, 0)+1)))), "")</f>
        <v/>
      </c>
      <c r="G576" s="10">
        <f>IFERROR(IF(INDEX(ERP資料!$F:$F, (MATCH(575, 輔助計算!$G$2:$G$801, 0)+1))="","",INDEX(ERP資料!$F:$F, (MATCH(575, 輔助計算!$G$2:$G$801, 0)+1))), "")</f>
        <v/>
      </c>
      <c r="H576" s="10">
        <f>IFERROR(IF(INDEX(ERP資料!$G:$G, (MATCH(575, 輔助計算!$G$2:$G$801, 0)+1))="","",INDEX(ERP資料!$G:$G, (MATCH(575, 輔助計算!$G$2:$G$801, 0)+1))), "")</f>
        <v/>
      </c>
      <c r="I576" s="15">
        <f>IFERROR(INDEX(輔助計算!$D:$D, (MATCH(575, 輔助計算!$G$2:$G$801, 0)+1)), "")</f>
        <v/>
      </c>
      <c r="J576" s="15">
        <f>IFERROR(IF(AND(INDEX(輔助計算!$D:$D, (MATCH(575, 輔助計算!$G$2:$G$801, 0)+1))&lt;&gt;"", INDEX(ERP資料!$G:$G, (MATCH(575, 輔助計算!$G$2:$G$801, 0)+1))&lt;&gt;""), TRIM(IF(INT(INDEX(輔助計算!$D:$D, (MATCH(575, 輔助計算!$G$2:$G$801, 0)+1))/IF(INDEX(ERP資料!$G:$G, (MATCH(575, 輔助計算!$G$2:$G$801, 0)+1))&lt;100, IF(INDEX(ERP資料!$G:$G, (MATCH(575, 輔助計算!$G$2:$G$801, 0)+1))&lt;=31,3,IF(INDEX(ERP資料!$G:$G, (MATCH(575, 輔助計算!$G$2:$G$801, 0)+1))&lt;=46.5,2,1)), IF(INDEX(ERP資料!$G:$G, (MATCH(575, 輔助計算!$G$2:$G$801, 0)+1))&lt;=790,3,IF(INDEX(ERP資料!$G:$G, (MATCH(575, 輔助計算!$G$2:$G$801, 0)+1))&lt;=1181,2,1))))&gt;0, IF(IF(INDEX(ERP資料!$G:$G, (MATCH(575, 輔助計算!$G$2:$G$801, 0)+1))&lt;100, IF(INDEX(ERP資料!$G:$G, (MATCH(575, 輔助計算!$G$2:$G$801, 0)+1))&lt;=31,3,IF(INDEX(ERP資料!$G:$G, (MATCH(575, 輔助計算!$G$2:$G$801, 0)+1))&lt;=46.5,2,1)), IF(INDEX(ERP資料!$G:$G, (MATCH(575, 輔助計算!$G$2:$G$801, 0)+1))&lt;=790,3,IF(INDEX(ERP資料!$G:$G, (MATCH(575, 輔助計算!$G$2:$G$801, 0)+1))&lt;=1181,2,1)))=1,TEXT(INDEX(ERP資料!$G:$G, (MATCH(575, 輔助計算!$G$2:$G$801, 0)+1)),"0.##"),IF(IF(INDEX(ERP資料!$G:$G, (MATCH(575, 輔助計算!$G$2:$G$801, 0)+1))&lt;100, IF(INDEX(ERP資料!$G:$G, (MATCH(575, 輔助計算!$G$2:$G$801, 0)+1))&lt;=31,3,IF(INDEX(ERP資料!$G:$G, (MATCH(575, 輔助計算!$G$2:$G$801, 0)+1))&lt;=46.5,2,1)), IF(INDEX(ERP資料!$G:$G, (MATCH(575, 輔助計算!$G$2:$G$801, 0)+1))&lt;=790,3,IF(INDEX(ERP資料!$G:$G, (MATCH(575, 輔助計算!$G$2:$G$801, 0)+1))&lt;=1181,2,1)))=2,TEXT(INDEX(ERP資料!$G:$G, (MATCH(575, 輔助計算!$G$2:$G$801, 0)+1)),"0.##")&amp;"+"&amp;TEXT(INDEX(ERP資料!$G:$G, (MATCH(575, 輔助計算!$G$2:$G$801, 0)+1)),"0.##"),TEXT(INDEX(ERP資料!$G:$G, (MATCH(575, 輔助計算!$G$2:$G$801, 0)+1)),"0.##")&amp;"+"&amp;TEXT(INDEX(ERP資料!$G:$G, (MATCH(575, 輔助計算!$G$2:$G$801, 0)+1)),"0.##")&amp;"+"&amp;TEXT(INDEX(ERP資料!$G:$G, (MATCH(575, 輔助計算!$G$2:$G$801, 0)+1)),"0.##")))&amp;"-"&amp;INT(INDEX(輔助計算!$D:$D, (MATCH(575, 輔助計算!$G$2:$G$801, 0)+1))/IF(INDEX(ERP資料!$G:$G, (MATCH(575, 輔助計算!$G$2:$G$801, 0)+1))&lt;100, IF(INDEX(ERP資料!$G:$G, (MATCH(575, 輔助計算!$G$2:$G$801, 0)+1))&lt;=31,3,IF(INDEX(ERP資料!$G:$G, (MATCH(575, 輔助計算!$G$2:$G$801, 0)+1))&lt;=46.5,2,1)), IF(INDEX(ERP資料!$G:$G, (MATCH(575, 輔助計算!$G$2:$G$801, 0)+1))&lt;=790,3,IF(INDEX(ERP資料!$G:$G, (MATCH(575, 輔助計算!$G$2:$G$801, 0)+1))&lt;=1181,2,1)))), "")&amp;IF(AND(IF(INT(INDEX(輔助計算!$D:$D, (MATCH(575, 輔助計算!$G$2:$G$801, 0)+1))/IF(INDEX(ERP資料!$G:$G, (MATCH(575, 輔助計算!$G$2:$G$801, 0)+1))&lt;100, IF(INDEX(ERP資料!$G:$G, (MATCH(575, 輔助計算!$G$2:$G$801, 0)+1))&lt;=31,3,IF(INDEX(ERP資料!$G:$G, (MATCH(575, 輔助計算!$G$2:$G$801, 0)+1))&lt;=46.5,2,1)), IF(INDEX(ERP資料!$G:$G, (MATCH(575, 輔助計算!$G$2:$G$801, 0)+1))&lt;=790,3,IF(INDEX(ERP資料!$G:$G, (MATCH(575, 輔助計算!$G$2:$G$801, 0)+1))&lt;=1181,2,1))))&gt;0, IF(IF(INDEX(ERP資料!$G:$G, (MATCH(575, 輔助計算!$G$2:$G$801, 0)+1))&lt;100, IF(INDEX(ERP資料!$G:$G, (MATCH(575, 輔助計算!$G$2:$G$801, 0)+1))&lt;=31,3,IF(INDEX(ERP資料!$G:$G, (MATCH(575, 輔助計算!$G$2:$G$801, 0)+1))&lt;=46.5,2,1)), IF(INDEX(ERP資料!$G:$G, (MATCH(575, 輔助計算!$G$2:$G$801, 0)+1))&lt;=790,3,IF(INDEX(ERP資料!$G:$G, (MATCH(575, 輔助計算!$G$2:$G$801, 0)+1))&lt;=1181,2,1)))=1,TEXT(INDEX(ERP資料!$G:$G, (MATCH(575, 輔助計算!$G$2:$G$801, 0)+1)),"0.##"),IF(IF(INDEX(ERP資料!$G:$G, (MATCH(575, 輔助計算!$G$2:$G$801, 0)+1))&lt;100, IF(INDEX(ERP資料!$G:$G, (MATCH(575, 輔助計算!$G$2:$G$801, 0)+1))&lt;=31,3,IF(INDEX(ERP資料!$G:$G, (MATCH(575, 輔助計算!$G$2:$G$801, 0)+1))&lt;=46.5,2,1)), IF(INDEX(ERP資料!$G:$G, (MATCH(575, 輔助計算!$G$2:$G$801, 0)+1))&lt;=790,3,IF(INDEX(ERP資料!$G:$G, (MATCH(575, 輔助計算!$G$2:$G$801, 0)+1))&lt;=1181,2,1)))=2,TEXT(INDEX(ERP資料!$G:$G, (MATCH(575, 輔助計算!$G$2:$G$801, 0)+1)),"0.##")&amp;"+"&amp;TEXT(INDEX(ERP資料!$G:$G, (MATCH(575, 輔助計算!$G$2:$G$801, 0)+1)),"0.##"),TEXT(INDEX(ERP資料!$G:$G, (MATCH(575, 輔助計算!$G$2:$G$801, 0)+1)),"0.##")&amp;"+"&amp;TEXT(INDEX(ERP資料!$G:$G, (MATCH(575, 輔助計算!$G$2:$G$801, 0)+1)),"0.##")&amp;"+"&amp;TEXT(INDEX(ERP資料!$G:$G, (MATCH(575, 輔助計算!$G$2:$G$801, 0)+1)),"0.##")))&amp;"-"&amp;INT(INDEX(輔助計算!$D:$D, (MATCH(575, 輔助計算!$G$2:$G$801, 0)+1))/IF(INDEX(ERP資料!$G:$G, (MATCH(575, 輔助計算!$G$2:$G$801, 0)+1))&lt;100, IF(INDEX(ERP資料!$G:$G, (MATCH(575, 輔助計算!$G$2:$G$801, 0)+1))&lt;=31,3,IF(INDEX(ERP資料!$G:$G, (MATCH(575, 輔助計算!$G$2:$G$801, 0)+1))&lt;=46.5,2,1)), IF(INDEX(ERP資料!$G:$G, (MATCH(575, 輔助計算!$G$2:$G$801, 0)+1))&lt;=790,3,IF(INDEX(ERP資料!$G:$G, (MATCH(575, 輔助計算!$G$2:$G$801, 0)+1))&lt;=1181,2,1)))), "")&lt;&gt;"",IF(MOD(INDEX(輔助計算!$D:$D, (MATCH(575, 輔助計算!$G$2:$G$801, 0)+1)),IF(INDEX(ERP資料!$G:$G, (MATCH(575, 輔助計算!$G$2:$G$801, 0)+1))&lt;100, IF(INDEX(ERP資料!$G:$G, (MATCH(575, 輔助計算!$G$2:$G$801, 0)+1))&lt;=31,3,IF(INDEX(ERP資料!$G:$G, (MATCH(575, 輔助計算!$G$2:$G$801, 0)+1))&lt;=46.5,2,1)), IF(INDEX(ERP資料!$G:$G, (MATCH(575, 輔助計算!$G$2:$G$801, 0)+1))&lt;=790,3,IF(INDEX(ERP資料!$G:$G, (MATCH(575, 輔助計算!$G$2:$G$801, 0)+1))&lt;=1181,2,1))))=0,"",IF(MOD(INDEX(輔助計算!$D:$D, (MATCH(575, 輔助計算!$G$2:$G$801, 0)+1)),IF(INDEX(ERP資料!$G:$G, (MATCH(575, 輔助計算!$G$2:$G$801, 0)+1))&lt;100, IF(INDEX(ERP資料!$G:$G, (MATCH(575, 輔助計算!$G$2:$G$801, 0)+1))&lt;=31,3,IF(INDEX(ERP資料!$G:$G, (MATCH(575, 輔助計算!$G$2:$G$801, 0)+1))&lt;=46.5,2,1)), IF(INDEX(ERP資料!$G:$G, (MATCH(575, 輔助計算!$G$2:$G$801, 0)+1))&lt;=790,3,IF(INDEX(ERP資料!$G:$G, (MATCH(575, 輔助計算!$G$2:$G$801, 0)+1))&lt;=1181,2,1))))=0,"",IF(MOD(INDEX(輔助計算!$D:$D, (MATCH(575, 輔助計算!$G$2:$G$801, 0)+1)),IF(INDEX(ERP資料!$G:$G, (MATCH(575, 輔助計算!$G$2:$G$801, 0)+1))&lt;100, IF(INDEX(ERP資料!$G:$G, (MATCH(575, 輔助計算!$G$2:$G$801, 0)+1))&lt;=31,3,IF(INDEX(ERP資料!$G:$G, (MATCH(575, 輔助計算!$G$2:$G$801, 0)+1))&lt;=46.5,2,1)), IF(INDEX(ERP資料!$G:$G, (MATCH(575, 輔助計算!$G$2:$G$801, 0)+1))&lt;=790,3,IF(INDEX(ERP資料!$G:$G, (MATCH(575, 輔助計算!$G$2:$G$801, 0)+1))&lt;=1181,2,1))))=1,TEXT(INDEX(ERP資料!$G:$G, (MATCH(575, 輔助計算!$G$2:$G$801, 0)+1)),"0.##"),IF(MOD(INDEX(輔助計算!$D:$D, (MATCH(575, 輔助計算!$G$2:$G$801, 0)+1)),IF(INDEX(ERP資料!$G:$G, (MATCH(575, 輔助計算!$G$2:$G$801, 0)+1))&lt;100, IF(INDEX(ERP資料!$G:$G, (MATCH(575, 輔助計算!$G$2:$G$801, 0)+1))&lt;=31,3,IF(INDEX(ERP資料!$G:$G, (MATCH(575, 輔助計算!$G$2:$G$801, 0)+1))&lt;=46.5,2,1)), IF(INDEX(ERP資料!$G:$G, (MATCH(575, 輔助計算!$G$2:$G$801, 0)+1))&lt;=790,3,IF(INDEX(ERP資料!$G:$G, (MATCH(575, 輔助計算!$G$2:$G$801, 0)+1))&lt;=1181,2,1))))=2,TEXT(INDEX(ERP資料!$G:$G, (MATCH(575, 輔助計算!$G$2:$G$801, 0)+1)),"0.##")&amp;"+"&amp;TEXT(INDEX(ERP資料!$G:$G, (MATCH(575, 輔助計算!$G$2:$G$801, 0)+1)),"0.##"),TEXT(INDEX(ERP資料!$G:$G, (MATCH(575, 輔助計算!$G$2:$G$801, 0)+1)),"0.##")&amp;"+"&amp;TEXT(INDEX(ERP資料!$G:$G, (MATCH(575, 輔助計算!$G$2:$G$801, 0)+1)),"0.##")&amp;"+"&amp;TEXT(INDEX(ERP資料!$G:$G, (MATCH(575, 輔助計算!$G$2:$G$801, 0)+1)),"0.##"))))&amp;"-1")&lt;&gt;""),"  ","")&amp;IF(MOD(INDEX(輔助計算!$D:$D, (MATCH(575, 輔助計算!$G$2:$G$801, 0)+1)),IF(INDEX(ERP資料!$G:$G, (MATCH(575, 輔助計算!$G$2:$G$801, 0)+1))&lt;100, IF(INDEX(ERP資料!$G:$G, (MATCH(575, 輔助計算!$G$2:$G$801, 0)+1))&lt;=31,3,IF(INDEX(ERP資料!$G:$G, (MATCH(575, 輔助計算!$G$2:$G$801, 0)+1))&lt;=46.5,2,1)), IF(INDEX(ERP資料!$G:$G, (MATCH(575, 輔助計算!$G$2:$G$801, 0)+1))&lt;=790,3,IF(INDEX(ERP資料!$G:$G, (MATCH(575, 輔助計算!$G$2:$G$801, 0)+1))&lt;=1181,2,1))))=0,"",IF(MOD(INDEX(輔助計算!$D:$D, (MATCH(575, 輔助計算!$G$2:$G$801, 0)+1)),IF(INDEX(ERP資料!$G:$G, (MATCH(575, 輔助計算!$G$2:$G$801, 0)+1))&lt;100, IF(INDEX(ERP資料!$G:$G, (MATCH(575, 輔助計算!$G$2:$G$801, 0)+1))&lt;=31,3,IF(INDEX(ERP資料!$G:$G, (MATCH(575, 輔助計算!$G$2:$G$801, 0)+1))&lt;=46.5,2,1)), IF(INDEX(ERP資料!$G:$G, (MATCH(575, 輔助計算!$G$2:$G$801, 0)+1))&lt;=790,3,IF(INDEX(ERP資料!$G:$G, (MATCH(575, 輔助計算!$G$2:$G$801, 0)+1))&lt;=1181,2,1))))=0,"",IF(MOD(INDEX(輔助計算!$D:$D, (MATCH(575, 輔助計算!$G$2:$G$801, 0)+1)),IF(INDEX(ERP資料!$G:$G, (MATCH(575, 輔助計算!$G$2:$G$801, 0)+1))&lt;100, IF(INDEX(ERP資料!$G:$G, (MATCH(575, 輔助計算!$G$2:$G$801, 0)+1))&lt;=31,3,IF(INDEX(ERP資料!$G:$G, (MATCH(575, 輔助計算!$G$2:$G$801, 0)+1))&lt;=46.5,2,1)), IF(INDEX(ERP資料!$G:$G, (MATCH(575, 輔助計算!$G$2:$G$801, 0)+1))&lt;=790,3,IF(INDEX(ERP資料!$G:$G, (MATCH(575, 輔助計算!$G$2:$G$801, 0)+1))&lt;=1181,2,1))))=1,TEXT(INDEX(ERP資料!$G:$G, (MATCH(575, 輔助計算!$G$2:$G$801, 0)+1)),"0.##"),IF(MOD(INDEX(輔助計算!$D:$D, (MATCH(575, 輔助計算!$G$2:$G$801, 0)+1)),IF(INDEX(ERP資料!$G:$G, (MATCH(575, 輔助計算!$G$2:$G$801, 0)+1))&lt;100, IF(INDEX(ERP資料!$G:$G, (MATCH(575, 輔助計算!$G$2:$G$801, 0)+1))&lt;=31,3,IF(INDEX(ERP資料!$G:$G, (MATCH(575, 輔助計算!$G$2:$G$801, 0)+1))&lt;=46.5,2,1)), IF(INDEX(ERP資料!$G:$G, (MATCH(575, 輔助計算!$G$2:$G$801, 0)+1))&lt;=790,3,IF(INDEX(ERP資料!$G:$G, (MATCH(575, 輔助計算!$G$2:$G$801, 0)+1))&lt;=1181,2,1))))=2,TEXT(INDEX(ERP資料!$G:$G, (MATCH(575, 輔助計算!$G$2:$G$801, 0)+1)),"0.##")&amp;"+"&amp;TEXT(INDEX(ERP資料!$G:$G, (MATCH(575, 輔助計算!$G$2:$G$801, 0)+1)),"0.##"),TEXT(INDEX(ERP資料!$G:$G, (MATCH(575, 輔助計算!$G$2:$G$801, 0)+1)),"0.##")&amp;"+"&amp;TEXT(INDEX(ERP資料!$G:$G, (MATCH(575, 輔助計算!$G$2:$G$801, 0)+1)),"0.##")&amp;"+"&amp;TEXT(INDEX(ERP資料!$G:$G, (MATCH(575, 輔助計算!$G$2:$G$801, 0)+1)),"0.##"))))&amp;"-1")), ""), "")</f>
        <v/>
      </c>
      <c r="K576" s="16" t="n"/>
      <c r="L576" s="14">
        <f>IFERROR(IF(AND(IFERROR(INDEX(ERP資料!$A:$A, (MATCH(575, 輔助計算!$G$2:$G$801, 0)+1)), "")&lt;&gt;"", IFERROR(INDEX(ERP資料!$A:$A, (MATCH(575, 輔助計算!$G$2:$G$801, 0)+1)), "")&lt;&gt;IFERROR(INDEX(ERP資料!$A:$A, MATCH(574, 輔助計算!$G$2:$G$801, 0)+1), "")), INDEX(ERP資料!$B:$B, (MATCH(575, 輔助計算!$G$2:$G$801, 0)+1)), ""), "")</f>
        <v/>
      </c>
      <c r="M576" s="17" t="n"/>
    </row>
    <row r="577">
      <c r="A577" s="10">
        <f>IFERROR(IF(AND(IFERROR(INDEX(ERP資料!$A:$A, (MATCH(576, 輔助計算!$G$2:$G$801, 0)+1)), "")&lt;&gt;"", IFERROR(INDEX(ERP資料!$A:$A, (MATCH(576, 輔助計算!$G$2:$G$801, 0)+1)), "")&lt;&gt;IFERROR(INDEX(ERP資料!$A:$A, MATCH(575, 輔助計算!$G$2:$G$801, 0)+1), "")), IFERROR(INDEX(ERP資料!$A:$A, (MATCH(576, 輔助計算!$G$2:$G$801, 0)+1)), ""), ""), "")</f>
        <v/>
      </c>
      <c r="B577" s="10">
        <f>IFERROR(IF(AND(IFERROR(INDEX(ERP資料!$A:$A, (MATCH(576, 輔助計算!$G$2:$G$801, 0)+1)), "")&lt;&gt;"", IFERROR(INDEX(ERP資料!$A:$A, (MATCH(576, 輔助計算!$G$2:$G$801, 0)+1)), "")&lt;&gt;IFERROR(INDEX(ERP資料!$A:$A, MATCH(575, 輔助計算!$G$2:$G$801, 0)+1), "")), INDEX(ERP資料!$S:$S, (MATCH(576, 輔助計算!$G$2:$G$801, 0)+1)), ""), "")</f>
        <v/>
      </c>
      <c r="C577" s="19">
        <f>IFERROR(IF(AND(IFERROR(INDEX(ERP資料!$A:$A, (MATCH(576, 輔助計算!$G$2:$G$801, 0)+1)), "")&lt;&gt;"", IFERROR(INDEX(ERP資料!$A:$A, (MATCH(576, 輔助計算!$G$2:$G$801, 0)+1)), "")&lt;&gt;IFERROR(INDEX(ERP資料!$A:$A, MATCH(575, 輔助計算!$G$2:$G$801, 0)+1), "")), IFERROR(VLOOKUP(LEFT(INDEX(ERP資料!$S:$S, (MATCH(576, 輔助計算!$G$2:$G$801, 0)+1)), 4), 紙管對照表!$A:$C, 3, FALSE), ""), ""), "")</f>
        <v/>
      </c>
      <c r="D577" s="16" t="n"/>
      <c r="E577" s="10">
        <f>IFERROR(IF(INDEX(ERP資料!$H:$H, (MATCH(576, 輔助計算!$G$2:$G$801, 0)+1))="","",INDEX(ERP資料!$H:$H, (MATCH(576, 輔助計算!$G$2:$G$801, 0)+1))), "")</f>
        <v/>
      </c>
      <c r="F577" s="10">
        <f>IFERROR(IF(INDEX(ERP資料!$E:$E, (MATCH(576, 輔助計算!$G$2:$G$801, 0)+1))="","",TRIM(INDEX(ERP資料!$E:$E, (MATCH(576, 輔助計算!$G$2:$G$801, 0)+1)))), "")</f>
        <v/>
      </c>
      <c r="G577" s="10">
        <f>IFERROR(IF(INDEX(ERP資料!$F:$F, (MATCH(576, 輔助計算!$G$2:$G$801, 0)+1))="","",INDEX(ERP資料!$F:$F, (MATCH(576, 輔助計算!$G$2:$G$801, 0)+1))), "")</f>
        <v/>
      </c>
      <c r="H577" s="10">
        <f>IFERROR(IF(INDEX(ERP資料!$G:$G, (MATCH(576, 輔助計算!$G$2:$G$801, 0)+1))="","",INDEX(ERP資料!$G:$G, (MATCH(576, 輔助計算!$G$2:$G$801, 0)+1))), "")</f>
        <v/>
      </c>
      <c r="I577" s="15">
        <f>IFERROR(INDEX(輔助計算!$D:$D, (MATCH(576, 輔助計算!$G$2:$G$801, 0)+1)), "")</f>
        <v/>
      </c>
      <c r="J577" s="15">
        <f>IFERROR(IF(AND(INDEX(輔助計算!$D:$D, (MATCH(576, 輔助計算!$G$2:$G$801, 0)+1))&lt;&gt;"", INDEX(ERP資料!$G:$G, (MATCH(576, 輔助計算!$G$2:$G$801, 0)+1))&lt;&gt;""), TRIM(IF(INT(INDEX(輔助計算!$D:$D, (MATCH(576, 輔助計算!$G$2:$G$801, 0)+1))/IF(INDEX(ERP資料!$G:$G, (MATCH(576, 輔助計算!$G$2:$G$801, 0)+1))&lt;100, IF(INDEX(ERP資料!$G:$G, (MATCH(576, 輔助計算!$G$2:$G$801, 0)+1))&lt;=31,3,IF(INDEX(ERP資料!$G:$G, (MATCH(576, 輔助計算!$G$2:$G$801, 0)+1))&lt;=46.5,2,1)), IF(INDEX(ERP資料!$G:$G, (MATCH(576, 輔助計算!$G$2:$G$801, 0)+1))&lt;=790,3,IF(INDEX(ERP資料!$G:$G, (MATCH(576, 輔助計算!$G$2:$G$801, 0)+1))&lt;=1181,2,1))))&gt;0, IF(IF(INDEX(ERP資料!$G:$G, (MATCH(576, 輔助計算!$G$2:$G$801, 0)+1))&lt;100, IF(INDEX(ERP資料!$G:$G, (MATCH(576, 輔助計算!$G$2:$G$801, 0)+1))&lt;=31,3,IF(INDEX(ERP資料!$G:$G, (MATCH(576, 輔助計算!$G$2:$G$801, 0)+1))&lt;=46.5,2,1)), IF(INDEX(ERP資料!$G:$G, (MATCH(576, 輔助計算!$G$2:$G$801, 0)+1))&lt;=790,3,IF(INDEX(ERP資料!$G:$G, (MATCH(576, 輔助計算!$G$2:$G$801, 0)+1))&lt;=1181,2,1)))=1,TEXT(INDEX(ERP資料!$G:$G, (MATCH(576, 輔助計算!$G$2:$G$801, 0)+1)),"0.##"),IF(IF(INDEX(ERP資料!$G:$G, (MATCH(576, 輔助計算!$G$2:$G$801, 0)+1))&lt;100, IF(INDEX(ERP資料!$G:$G, (MATCH(576, 輔助計算!$G$2:$G$801, 0)+1))&lt;=31,3,IF(INDEX(ERP資料!$G:$G, (MATCH(576, 輔助計算!$G$2:$G$801, 0)+1))&lt;=46.5,2,1)), IF(INDEX(ERP資料!$G:$G, (MATCH(576, 輔助計算!$G$2:$G$801, 0)+1))&lt;=790,3,IF(INDEX(ERP資料!$G:$G, (MATCH(576, 輔助計算!$G$2:$G$801, 0)+1))&lt;=1181,2,1)))=2,TEXT(INDEX(ERP資料!$G:$G, (MATCH(576, 輔助計算!$G$2:$G$801, 0)+1)),"0.##")&amp;"+"&amp;TEXT(INDEX(ERP資料!$G:$G, (MATCH(576, 輔助計算!$G$2:$G$801, 0)+1)),"0.##"),TEXT(INDEX(ERP資料!$G:$G, (MATCH(576, 輔助計算!$G$2:$G$801, 0)+1)),"0.##")&amp;"+"&amp;TEXT(INDEX(ERP資料!$G:$G, (MATCH(576, 輔助計算!$G$2:$G$801, 0)+1)),"0.##")&amp;"+"&amp;TEXT(INDEX(ERP資料!$G:$G, (MATCH(576, 輔助計算!$G$2:$G$801, 0)+1)),"0.##")))&amp;"-"&amp;INT(INDEX(輔助計算!$D:$D, (MATCH(576, 輔助計算!$G$2:$G$801, 0)+1))/IF(INDEX(ERP資料!$G:$G, (MATCH(576, 輔助計算!$G$2:$G$801, 0)+1))&lt;100, IF(INDEX(ERP資料!$G:$G, (MATCH(576, 輔助計算!$G$2:$G$801, 0)+1))&lt;=31,3,IF(INDEX(ERP資料!$G:$G, (MATCH(576, 輔助計算!$G$2:$G$801, 0)+1))&lt;=46.5,2,1)), IF(INDEX(ERP資料!$G:$G, (MATCH(576, 輔助計算!$G$2:$G$801, 0)+1))&lt;=790,3,IF(INDEX(ERP資料!$G:$G, (MATCH(576, 輔助計算!$G$2:$G$801, 0)+1))&lt;=1181,2,1)))), "")&amp;IF(AND(IF(INT(INDEX(輔助計算!$D:$D, (MATCH(576, 輔助計算!$G$2:$G$801, 0)+1))/IF(INDEX(ERP資料!$G:$G, (MATCH(576, 輔助計算!$G$2:$G$801, 0)+1))&lt;100, IF(INDEX(ERP資料!$G:$G, (MATCH(576, 輔助計算!$G$2:$G$801, 0)+1))&lt;=31,3,IF(INDEX(ERP資料!$G:$G, (MATCH(576, 輔助計算!$G$2:$G$801, 0)+1))&lt;=46.5,2,1)), IF(INDEX(ERP資料!$G:$G, (MATCH(576, 輔助計算!$G$2:$G$801, 0)+1))&lt;=790,3,IF(INDEX(ERP資料!$G:$G, (MATCH(576, 輔助計算!$G$2:$G$801, 0)+1))&lt;=1181,2,1))))&gt;0, IF(IF(INDEX(ERP資料!$G:$G, (MATCH(576, 輔助計算!$G$2:$G$801, 0)+1))&lt;100, IF(INDEX(ERP資料!$G:$G, (MATCH(576, 輔助計算!$G$2:$G$801, 0)+1))&lt;=31,3,IF(INDEX(ERP資料!$G:$G, (MATCH(576, 輔助計算!$G$2:$G$801, 0)+1))&lt;=46.5,2,1)), IF(INDEX(ERP資料!$G:$G, (MATCH(576, 輔助計算!$G$2:$G$801, 0)+1))&lt;=790,3,IF(INDEX(ERP資料!$G:$G, (MATCH(576, 輔助計算!$G$2:$G$801, 0)+1))&lt;=1181,2,1)))=1,TEXT(INDEX(ERP資料!$G:$G, (MATCH(576, 輔助計算!$G$2:$G$801, 0)+1)),"0.##"),IF(IF(INDEX(ERP資料!$G:$G, (MATCH(576, 輔助計算!$G$2:$G$801, 0)+1))&lt;100, IF(INDEX(ERP資料!$G:$G, (MATCH(576, 輔助計算!$G$2:$G$801, 0)+1))&lt;=31,3,IF(INDEX(ERP資料!$G:$G, (MATCH(576, 輔助計算!$G$2:$G$801, 0)+1))&lt;=46.5,2,1)), IF(INDEX(ERP資料!$G:$G, (MATCH(576, 輔助計算!$G$2:$G$801, 0)+1))&lt;=790,3,IF(INDEX(ERP資料!$G:$G, (MATCH(576, 輔助計算!$G$2:$G$801, 0)+1))&lt;=1181,2,1)))=2,TEXT(INDEX(ERP資料!$G:$G, (MATCH(576, 輔助計算!$G$2:$G$801, 0)+1)),"0.##")&amp;"+"&amp;TEXT(INDEX(ERP資料!$G:$G, (MATCH(576, 輔助計算!$G$2:$G$801, 0)+1)),"0.##"),TEXT(INDEX(ERP資料!$G:$G, (MATCH(576, 輔助計算!$G$2:$G$801, 0)+1)),"0.##")&amp;"+"&amp;TEXT(INDEX(ERP資料!$G:$G, (MATCH(576, 輔助計算!$G$2:$G$801, 0)+1)),"0.##")&amp;"+"&amp;TEXT(INDEX(ERP資料!$G:$G, (MATCH(576, 輔助計算!$G$2:$G$801, 0)+1)),"0.##")))&amp;"-"&amp;INT(INDEX(輔助計算!$D:$D, (MATCH(576, 輔助計算!$G$2:$G$801, 0)+1))/IF(INDEX(ERP資料!$G:$G, (MATCH(576, 輔助計算!$G$2:$G$801, 0)+1))&lt;100, IF(INDEX(ERP資料!$G:$G, (MATCH(576, 輔助計算!$G$2:$G$801, 0)+1))&lt;=31,3,IF(INDEX(ERP資料!$G:$G, (MATCH(576, 輔助計算!$G$2:$G$801, 0)+1))&lt;=46.5,2,1)), IF(INDEX(ERP資料!$G:$G, (MATCH(576, 輔助計算!$G$2:$G$801, 0)+1))&lt;=790,3,IF(INDEX(ERP資料!$G:$G, (MATCH(576, 輔助計算!$G$2:$G$801, 0)+1))&lt;=1181,2,1)))), "")&lt;&gt;"",IF(MOD(INDEX(輔助計算!$D:$D, (MATCH(576, 輔助計算!$G$2:$G$801, 0)+1)),IF(INDEX(ERP資料!$G:$G, (MATCH(576, 輔助計算!$G$2:$G$801, 0)+1))&lt;100, IF(INDEX(ERP資料!$G:$G, (MATCH(576, 輔助計算!$G$2:$G$801, 0)+1))&lt;=31,3,IF(INDEX(ERP資料!$G:$G, (MATCH(576, 輔助計算!$G$2:$G$801, 0)+1))&lt;=46.5,2,1)), IF(INDEX(ERP資料!$G:$G, (MATCH(576, 輔助計算!$G$2:$G$801, 0)+1))&lt;=790,3,IF(INDEX(ERP資料!$G:$G, (MATCH(576, 輔助計算!$G$2:$G$801, 0)+1))&lt;=1181,2,1))))=0,"",IF(MOD(INDEX(輔助計算!$D:$D, (MATCH(576, 輔助計算!$G$2:$G$801, 0)+1)),IF(INDEX(ERP資料!$G:$G, (MATCH(576, 輔助計算!$G$2:$G$801, 0)+1))&lt;100, IF(INDEX(ERP資料!$G:$G, (MATCH(576, 輔助計算!$G$2:$G$801, 0)+1))&lt;=31,3,IF(INDEX(ERP資料!$G:$G, (MATCH(576, 輔助計算!$G$2:$G$801, 0)+1))&lt;=46.5,2,1)), IF(INDEX(ERP資料!$G:$G, (MATCH(576, 輔助計算!$G$2:$G$801, 0)+1))&lt;=790,3,IF(INDEX(ERP資料!$G:$G, (MATCH(576, 輔助計算!$G$2:$G$801, 0)+1))&lt;=1181,2,1))))=0,"",IF(MOD(INDEX(輔助計算!$D:$D, (MATCH(576, 輔助計算!$G$2:$G$801, 0)+1)),IF(INDEX(ERP資料!$G:$G, (MATCH(576, 輔助計算!$G$2:$G$801, 0)+1))&lt;100, IF(INDEX(ERP資料!$G:$G, (MATCH(576, 輔助計算!$G$2:$G$801, 0)+1))&lt;=31,3,IF(INDEX(ERP資料!$G:$G, (MATCH(576, 輔助計算!$G$2:$G$801, 0)+1))&lt;=46.5,2,1)), IF(INDEX(ERP資料!$G:$G, (MATCH(576, 輔助計算!$G$2:$G$801, 0)+1))&lt;=790,3,IF(INDEX(ERP資料!$G:$G, (MATCH(576, 輔助計算!$G$2:$G$801, 0)+1))&lt;=1181,2,1))))=1,TEXT(INDEX(ERP資料!$G:$G, (MATCH(576, 輔助計算!$G$2:$G$801, 0)+1)),"0.##"),IF(MOD(INDEX(輔助計算!$D:$D, (MATCH(576, 輔助計算!$G$2:$G$801, 0)+1)),IF(INDEX(ERP資料!$G:$G, (MATCH(576, 輔助計算!$G$2:$G$801, 0)+1))&lt;100, IF(INDEX(ERP資料!$G:$G, (MATCH(576, 輔助計算!$G$2:$G$801, 0)+1))&lt;=31,3,IF(INDEX(ERP資料!$G:$G, (MATCH(576, 輔助計算!$G$2:$G$801, 0)+1))&lt;=46.5,2,1)), IF(INDEX(ERP資料!$G:$G, (MATCH(576, 輔助計算!$G$2:$G$801, 0)+1))&lt;=790,3,IF(INDEX(ERP資料!$G:$G, (MATCH(576, 輔助計算!$G$2:$G$801, 0)+1))&lt;=1181,2,1))))=2,TEXT(INDEX(ERP資料!$G:$G, (MATCH(576, 輔助計算!$G$2:$G$801, 0)+1)),"0.##")&amp;"+"&amp;TEXT(INDEX(ERP資料!$G:$G, (MATCH(576, 輔助計算!$G$2:$G$801, 0)+1)),"0.##"),TEXT(INDEX(ERP資料!$G:$G, (MATCH(576, 輔助計算!$G$2:$G$801, 0)+1)),"0.##")&amp;"+"&amp;TEXT(INDEX(ERP資料!$G:$G, (MATCH(576, 輔助計算!$G$2:$G$801, 0)+1)),"0.##")&amp;"+"&amp;TEXT(INDEX(ERP資料!$G:$G, (MATCH(576, 輔助計算!$G$2:$G$801, 0)+1)),"0.##"))))&amp;"-1")&lt;&gt;""),"  ","")&amp;IF(MOD(INDEX(輔助計算!$D:$D, (MATCH(576, 輔助計算!$G$2:$G$801, 0)+1)),IF(INDEX(ERP資料!$G:$G, (MATCH(576, 輔助計算!$G$2:$G$801, 0)+1))&lt;100, IF(INDEX(ERP資料!$G:$G, (MATCH(576, 輔助計算!$G$2:$G$801, 0)+1))&lt;=31,3,IF(INDEX(ERP資料!$G:$G, (MATCH(576, 輔助計算!$G$2:$G$801, 0)+1))&lt;=46.5,2,1)), IF(INDEX(ERP資料!$G:$G, (MATCH(576, 輔助計算!$G$2:$G$801, 0)+1))&lt;=790,3,IF(INDEX(ERP資料!$G:$G, (MATCH(576, 輔助計算!$G$2:$G$801, 0)+1))&lt;=1181,2,1))))=0,"",IF(MOD(INDEX(輔助計算!$D:$D, (MATCH(576, 輔助計算!$G$2:$G$801, 0)+1)),IF(INDEX(ERP資料!$G:$G, (MATCH(576, 輔助計算!$G$2:$G$801, 0)+1))&lt;100, IF(INDEX(ERP資料!$G:$G, (MATCH(576, 輔助計算!$G$2:$G$801, 0)+1))&lt;=31,3,IF(INDEX(ERP資料!$G:$G, (MATCH(576, 輔助計算!$G$2:$G$801, 0)+1))&lt;=46.5,2,1)), IF(INDEX(ERP資料!$G:$G, (MATCH(576, 輔助計算!$G$2:$G$801, 0)+1))&lt;=790,3,IF(INDEX(ERP資料!$G:$G, (MATCH(576, 輔助計算!$G$2:$G$801, 0)+1))&lt;=1181,2,1))))=0,"",IF(MOD(INDEX(輔助計算!$D:$D, (MATCH(576, 輔助計算!$G$2:$G$801, 0)+1)),IF(INDEX(ERP資料!$G:$G, (MATCH(576, 輔助計算!$G$2:$G$801, 0)+1))&lt;100, IF(INDEX(ERP資料!$G:$G, (MATCH(576, 輔助計算!$G$2:$G$801, 0)+1))&lt;=31,3,IF(INDEX(ERP資料!$G:$G, (MATCH(576, 輔助計算!$G$2:$G$801, 0)+1))&lt;=46.5,2,1)), IF(INDEX(ERP資料!$G:$G, (MATCH(576, 輔助計算!$G$2:$G$801, 0)+1))&lt;=790,3,IF(INDEX(ERP資料!$G:$G, (MATCH(576, 輔助計算!$G$2:$G$801, 0)+1))&lt;=1181,2,1))))=1,TEXT(INDEX(ERP資料!$G:$G, (MATCH(576, 輔助計算!$G$2:$G$801, 0)+1)),"0.##"),IF(MOD(INDEX(輔助計算!$D:$D, (MATCH(576, 輔助計算!$G$2:$G$801, 0)+1)),IF(INDEX(ERP資料!$G:$G, (MATCH(576, 輔助計算!$G$2:$G$801, 0)+1))&lt;100, IF(INDEX(ERP資料!$G:$G, (MATCH(576, 輔助計算!$G$2:$G$801, 0)+1))&lt;=31,3,IF(INDEX(ERP資料!$G:$G, (MATCH(576, 輔助計算!$G$2:$G$801, 0)+1))&lt;=46.5,2,1)), IF(INDEX(ERP資料!$G:$G, (MATCH(576, 輔助計算!$G$2:$G$801, 0)+1))&lt;=790,3,IF(INDEX(ERP資料!$G:$G, (MATCH(576, 輔助計算!$G$2:$G$801, 0)+1))&lt;=1181,2,1))))=2,TEXT(INDEX(ERP資料!$G:$G, (MATCH(576, 輔助計算!$G$2:$G$801, 0)+1)),"0.##")&amp;"+"&amp;TEXT(INDEX(ERP資料!$G:$G, (MATCH(576, 輔助計算!$G$2:$G$801, 0)+1)),"0.##"),TEXT(INDEX(ERP資料!$G:$G, (MATCH(576, 輔助計算!$G$2:$G$801, 0)+1)),"0.##")&amp;"+"&amp;TEXT(INDEX(ERP資料!$G:$G, (MATCH(576, 輔助計算!$G$2:$G$801, 0)+1)),"0.##")&amp;"+"&amp;TEXT(INDEX(ERP資料!$G:$G, (MATCH(576, 輔助計算!$G$2:$G$801, 0)+1)),"0.##"))))&amp;"-1")), ""), "")</f>
        <v/>
      </c>
      <c r="K577" s="16" t="n"/>
      <c r="L577" s="14">
        <f>IFERROR(IF(AND(IFERROR(INDEX(ERP資料!$A:$A, (MATCH(576, 輔助計算!$G$2:$G$801, 0)+1)), "")&lt;&gt;"", IFERROR(INDEX(ERP資料!$A:$A, (MATCH(576, 輔助計算!$G$2:$G$801, 0)+1)), "")&lt;&gt;IFERROR(INDEX(ERP資料!$A:$A, MATCH(575, 輔助計算!$G$2:$G$801, 0)+1), "")), INDEX(ERP資料!$B:$B, (MATCH(576, 輔助計算!$G$2:$G$801, 0)+1)), ""), "")</f>
        <v/>
      </c>
      <c r="M577" s="17" t="n"/>
    </row>
    <row r="578">
      <c r="A578" s="10">
        <f>IFERROR(IF(AND(IFERROR(INDEX(ERP資料!$A:$A, (MATCH(577, 輔助計算!$G$2:$G$801, 0)+1)), "")&lt;&gt;"", IFERROR(INDEX(ERP資料!$A:$A, (MATCH(577, 輔助計算!$G$2:$G$801, 0)+1)), "")&lt;&gt;IFERROR(INDEX(ERP資料!$A:$A, MATCH(576, 輔助計算!$G$2:$G$801, 0)+1), "")), IFERROR(INDEX(ERP資料!$A:$A, (MATCH(577, 輔助計算!$G$2:$G$801, 0)+1)), ""), ""), "")</f>
        <v/>
      </c>
      <c r="B578" s="10">
        <f>IFERROR(IF(AND(IFERROR(INDEX(ERP資料!$A:$A, (MATCH(577, 輔助計算!$G$2:$G$801, 0)+1)), "")&lt;&gt;"", IFERROR(INDEX(ERP資料!$A:$A, (MATCH(577, 輔助計算!$G$2:$G$801, 0)+1)), "")&lt;&gt;IFERROR(INDEX(ERP資料!$A:$A, MATCH(576, 輔助計算!$G$2:$G$801, 0)+1), "")), INDEX(ERP資料!$S:$S, (MATCH(577, 輔助計算!$G$2:$G$801, 0)+1)), ""), "")</f>
        <v/>
      </c>
      <c r="C578" s="19">
        <f>IFERROR(IF(AND(IFERROR(INDEX(ERP資料!$A:$A, (MATCH(577, 輔助計算!$G$2:$G$801, 0)+1)), "")&lt;&gt;"", IFERROR(INDEX(ERP資料!$A:$A, (MATCH(577, 輔助計算!$G$2:$G$801, 0)+1)), "")&lt;&gt;IFERROR(INDEX(ERP資料!$A:$A, MATCH(576, 輔助計算!$G$2:$G$801, 0)+1), "")), IFERROR(VLOOKUP(LEFT(INDEX(ERP資料!$S:$S, (MATCH(577, 輔助計算!$G$2:$G$801, 0)+1)), 4), 紙管對照表!$A:$C, 3, FALSE), ""), ""), "")</f>
        <v/>
      </c>
      <c r="D578" s="16" t="n"/>
      <c r="E578" s="10">
        <f>IFERROR(IF(INDEX(ERP資料!$H:$H, (MATCH(577, 輔助計算!$G$2:$G$801, 0)+1))="","",INDEX(ERP資料!$H:$H, (MATCH(577, 輔助計算!$G$2:$G$801, 0)+1))), "")</f>
        <v/>
      </c>
      <c r="F578" s="10">
        <f>IFERROR(IF(INDEX(ERP資料!$E:$E, (MATCH(577, 輔助計算!$G$2:$G$801, 0)+1))="","",TRIM(INDEX(ERP資料!$E:$E, (MATCH(577, 輔助計算!$G$2:$G$801, 0)+1)))), "")</f>
        <v/>
      </c>
      <c r="G578" s="10">
        <f>IFERROR(IF(INDEX(ERP資料!$F:$F, (MATCH(577, 輔助計算!$G$2:$G$801, 0)+1))="","",INDEX(ERP資料!$F:$F, (MATCH(577, 輔助計算!$G$2:$G$801, 0)+1))), "")</f>
        <v/>
      </c>
      <c r="H578" s="10">
        <f>IFERROR(IF(INDEX(ERP資料!$G:$G, (MATCH(577, 輔助計算!$G$2:$G$801, 0)+1))="","",INDEX(ERP資料!$G:$G, (MATCH(577, 輔助計算!$G$2:$G$801, 0)+1))), "")</f>
        <v/>
      </c>
      <c r="I578" s="15">
        <f>IFERROR(INDEX(輔助計算!$D:$D, (MATCH(577, 輔助計算!$G$2:$G$801, 0)+1)), "")</f>
        <v/>
      </c>
      <c r="J578" s="15">
        <f>IFERROR(IF(AND(INDEX(輔助計算!$D:$D, (MATCH(577, 輔助計算!$G$2:$G$801, 0)+1))&lt;&gt;"", INDEX(ERP資料!$G:$G, (MATCH(577, 輔助計算!$G$2:$G$801, 0)+1))&lt;&gt;""), TRIM(IF(INT(INDEX(輔助計算!$D:$D, (MATCH(577, 輔助計算!$G$2:$G$801, 0)+1))/IF(INDEX(ERP資料!$G:$G, (MATCH(577, 輔助計算!$G$2:$G$801, 0)+1))&lt;100, IF(INDEX(ERP資料!$G:$G, (MATCH(577, 輔助計算!$G$2:$G$801, 0)+1))&lt;=31,3,IF(INDEX(ERP資料!$G:$G, (MATCH(577, 輔助計算!$G$2:$G$801, 0)+1))&lt;=46.5,2,1)), IF(INDEX(ERP資料!$G:$G, (MATCH(577, 輔助計算!$G$2:$G$801, 0)+1))&lt;=790,3,IF(INDEX(ERP資料!$G:$G, (MATCH(577, 輔助計算!$G$2:$G$801, 0)+1))&lt;=1181,2,1))))&gt;0, IF(IF(INDEX(ERP資料!$G:$G, (MATCH(577, 輔助計算!$G$2:$G$801, 0)+1))&lt;100, IF(INDEX(ERP資料!$G:$G, (MATCH(577, 輔助計算!$G$2:$G$801, 0)+1))&lt;=31,3,IF(INDEX(ERP資料!$G:$G, (MATCH(577, 輔助計算!$G$2:$G$801, 0)+1))&lt;=46.5,2,1)), IF(INDEX(ERP資料!$G:$G, (MATCH(577, 輔助計算!$G$2:$G$801, 0)+1))&lt;=790,3,IF(INDEX(ERP資料!$G:$G, (MATCH(577, 輔助計算!$G$2:$G$801, 0)+1))&lt;=1181,2,1)))=1,TEXT(INDEX(ERP資料!$G:$G, (MATCH(577, 輔助計算!$G$2:$G$801, 0)+1)),"0.##"),IF(IF(INDEX(ERP資料!$G:$G, (MATCH(577, 輔助計算!$G$2:$G$801, 0)+1))&lt;100, IF(INDEX(ERP資料!$G:$G, (MATCH(577, 輔助計算!$G$2:$G$801, 0)+1))&lt;=31,3,IF(INDEX(ERP資料!$G:$G, (MATCH(577, 輔助計算!$G$2:$G$801, 0)+1))&lt;=46.5,2,1)), IF(INDEX(ERP資料!$G:$G, (MATCH(577, 輔助計算!$G$2:$G$801, 0)+1))&lt;=790,3,IF(INDEX(ERP資料!$G:$G, (MATCH(577, 輔助計算!$G$2:$G$801, 0)+1))&lt;=1181,2,1)))=2,TEXT(INDEX(ERP資料!$G:$G, (MATCH(577, 輔助計算!$G$2:$G$801, 0)+1)),"0.##")&amp;"+"&amp;TEXT(INDEX(ERP資料!$G:$G, (MATCH(577, 輔助計算!$G$2:$G$801, 0)+1)),"0.##"),TEXT(INDEX(ERP資料!$G:$G, (MATCH(577, 輔助計算!$G$2:$G$801, 0)+1)),"0.##")&amp;"+"&amp;TEXT(INDEX(ERP資料!$G:$G, (MATCH(577, 輔助計算!$G$2:$G$801, 0)+1)),"0.##")&amp;"+"&amp;TEXT(INDEX(ERP資料!$G:$G, (MATCH(577, 輔助計算!$G$2:$G$801, 0)+1)),"0.##")))&amp;"-"&amp;INT(INDEX(輔助計算!$D:$D, (MATCH(577, 輔助計算!$G$2:$G$801, 0)+1))/IF(INDEX(ERP資料!$G:$G, (MATCH(577, 輔助計算!$G$2:$G$801, 0)+1))&lt;100, IF(INDEX(ERP資料!$G:$G, (MATCH(577, 輔助計算!$G$2:$G$801, 0)+1))&lt;=31,3,IF(INDEX(ERP資料!$G:$G, (MATCH(577, 輔助計算!$G$2:$G$801, 0)+1))&lt;=46.5,2,1)), IF(INDEX(ERP資料!$G:$G, (MATCH(577, 輔助計算!$G$2:$G$801, 0)+1))&lt;=790,3,IF(INDEX(ERP資料!$G:$G, (MATCH(577, 輔助計算!$G$2:$G$801, 0)+1))&lt;=1181,2,1)))), "")&amp;IF(AND(IF(INT(INDEX(輔助計算!$D:$D, (MATCH(577, 輔助計算!$G$2:$G$801, 0)+1))/IF(INDEX(ERP資料!$G:$G, (MATCH(577, 輔助計算!$G$2:$G$801, 0)+1))&lt;100, IF(INDEX(ERP資料!$G:$G, (MATCH(577, 輔助計算!$G$2:$G$801, 0)+1))&lt;=31,3,IF(INDEX(ERP資料!$G:$G, (MATCH(577, 輔助計算!$G$2:$G$801, 0)+1))&lt;=46.5,2,1)), IF(INDEX(ERP資料!$G:$G, (MATCH(577, 輔助計算!$G$2:$G$801, 0)+1))&lt;=790,3,IF(INDEX(ERP資料!$G:$G, (MATCH(577, 輔助計算!$G$2:$G$801, 0)+1))&lt;=1181,2,1))))&gt;0, IF(IF(INDEX(ERP資料!$G:$G, (MATCH(577, 輔助計算!$G$2:$G$801, 0)+1))&lt;100, IF(INDEX(ERP資料!$G:$G, (MATCH(577, 輔助計算!$G$2:$G$801, 0)+1))&lt;=31,3,IF(INDEX(ERP資料!$G:$G, (MATCH(577, 輔助計算!$G$2:$G$801, 0)+1))&lt;=46.5,2,1)), IF(INDEX(ERP資料!$G:$G, (MATCH(577, 輔助計算!$G$2:$G$801, 0)+1))&lt;=790,3,IF(INDEX(ERP資料!$G:$G, (MATCH(577, 輔助計算!$G$2:$G$801, 0)+1))&lt;=1181,2,1)))=1,TEXT(INDEX(ERP資料!$G:$G, (MATCH(577, 輔助計算!$G$2:$G$801, 0)+1)),"0.##"),IF(IF(INDEX(ERP資料!$G:$G, (MATCH(577, 輔助計算!$G$2:$G$801, 0)+1))&lt;100, IF(INDEX(ERP資料!$G:$G, (MATCH(577, 輔助計算!$G$2:$G$801, 0)+1))&lt;=31,3,IF(INDEX(ERP資料!$G:$G, (MATCH(577, 輔助計算!$G$2:$G$801, 0)+1))&lt;=46.5,2,1)), IF(INDEX(ERP資料!$G:$G, (MATCH(577, 輔助計算!$G$2:$G$801, 0)+1))&lt;=790,3,IF(INDEX(ERP資料!$G:$G, (MATCH(577, 輔助計算!$G$2:$G$801, 0)+1))&lt;=1181,2,1)))=2,TEXT(INDEX(ERP資料!$G:$G, (MATCH(577, 輔助計算!$G$2:$G$801, 0)+1)),"0.##")&amp;"+"&amp;TEXT(INDEX(ERP資料!$G:$G, (MATCH(577, 輔助計算!$G$2:$G$801, 0)+1)),"0.##"),TEXT(INDEX(ERP資料!$G:$G, (MATCH(577, 輔助計算!$G$2:$G$801, 0)+1)),"0.##")&amp;"+"&amp;TEXT(INDEX(ERP資料!$G:$G, (MATCH(577, 輔助計算!$G$2:$G$801, 0)+1)),"0.##")&amp;"+"&amp;TEXT(INDEX(ERP資料!$G:$G, (MATCH(577, 輔助計算!$G$2:$G$801, 0)+1)),"0.##")))&amp;"-"&amp;INT(INDEX(輔助計算!$D:$D, (MATCH(577, 輔助計算!$G$2:$G$801, 0)+1))/IF(INDEX(ERP資料!$G:$G, (MATCH(577, 輔助計算!$G$2:$G$801, 0)+1))&lt;100, IF(INDEX(ERP資料!$G:$G, (MATCH(577, 輔助計算!$G$2:$G$801, 0)+1))&lt;=31,3,IF(INDEX(ERP資料!$G:$G, (MATCH(577, 輔助計算!$G$2:$G$801, 0)+1))&lt;=46.5,2,1)), IF(INDEX(ERP資料!$G:$G, (MATCH(577, 輔助計算!$G$2:$G$801, 0)+1))&lt;=790,3,IF(INDEX(ERP資料!$G:$G, (MATCH(577, 輔助計算!$G$2:$G$801, 0)+1))&lt;=1181,2,1)))), "")&lt;&gt;"",IF(MOD(INDEX(輔助計算!$D:$D, (MATCH(577, 輔助計算!$G$2:$G$801, 0)+1)),IF(INDEX(ERP資料!$G:$G, (MATCH(577, 輔助計算!$G$2:$G$801, 0)+1))&lt;100, IF(INDEX(ERP資料!$G:$G, (MATCH(577, 輔助計算!$G$2:$G$801, 0)+1))&lt;=31,3,IF(INDEX(ERP資料!$G:$G, (MATCH(577, 輔助計算!$G$2:$G$801, 0)+1))&lt;=46.5,2,1)), IF(INDEX(ERP資料!$G:$G, (MATCH(577, 輔助計算!$G$2:$G$801, 0)+1))&lt;=790,3,IF(INDEX(ERP資料!$G:$G, (MATCH(577, 輔助計算!$G$2:$G$801, 0)+1))&lt;=1181,2,1))))=0,"",IF(MOD(INDEX(輔助計算!$D:$D, (MATCH(577, 輔助計算!$G$2:$G$801, 0)+1)),IF(INDEX(ERP資料!$G:$G, (MATCH(577, 輔助計算!$G$2:$G$801, 0)+1))&lt;100, IF(INDEX(ERP資料!$G:$G, (MATCH(577, 輔助計算!$G$2:$G$801, 0)+1))&lt;=31,3,IF(INDEX(ERP資料!$G:$G, (MATCH(577, 輔助計算!$G$2:$G$801, 0)+1))&lt;=46.5,2,1)), IF(INDEX(ERP資料!$G:$G, (MATCH(577, 輔助計算!$G$2:$G$801, 0)+1))&lt;=790,3,IF(INDEX(ERP資料!$G:$G, (MATCH(577, 輔助計算!$G$2:$G$801, 0)+1))&lt;=1181,2,1))))=0,"",IF(MOD(INDEX(輔助計算!$D:$D, (MATCH(577, 輔助計算!$G$2:$G$801, 0)+1)),IF(INDEX(ERP資料!$G:$G, (MATCH(577, 輔助計算!$G$2:$G$801, 0)+1))&lt;100, IF(INDEX(ERP資料!$G:$G, (MATCH(577, 輔助計算!$G$2:$G$801, 0)+1))&lt;=31,3,IF(INDEX(ERP資料!$G:$G, (MATCH(577, 輔助計算!$G$2:$G$801, 0)+1))&lt;=46.5,2,1)), IF(INDEX(ERP資料!$G:$G, (MATCH(577, 輔助計算!$G$2:$G$801, 0)+1))&lt;=790,3,IF(INDEX(ERP資料!$G:$G, (MATCH(577, 輔助計算!$G$2:$G$801, 0)+1))&lt;=1181,2,1))))=1,TEXT(INDEX(ERP資料!$G:$G, (MATCH(577, 輔助計算!$G$2:$G$801, 0)+1)),"0.##"),IF(MOD(INDEX(輔助計算!$D:$D, (MATCH(577, 輔助計算!$G$2:$G$801, 0)+1)),IF(INDEX(ERP資料!$G:$G, (MATCH(577, 輔助計算!$G$2:$G$801, 0)+1))&lt;100, IF(INDEX(ERP資料!$G:$G, (MATCH(577, 輔助計算!$G$2:$G$801, 0)+1))&lt;=31,3,IF(INDEX(ERP資料!$G:$G, (MATCH(577, 輔助計算!$G$2:$G$801, 0)+1))&lt;=46.5,2,1)), IF(INDEX(ERP資料!$G:$G, (MATCH(577, 輔助計算!$G$2:$G$801, 0)+1))&lt;=790,3,IF(INDEX(ERP資料!$G:$G, (MATCH(577, 輔助計算!$G$2:$G$801, 0)+1))&lt;=1181,2,1))))=2,TEXT(INDEX(ERP資料!$G:$G, (MATCH(577, 輔助計算!$G$2:$G$801, 0)+1)),"0.##")&amp;"+"&amp;TEXT(INDEX(ERP資料!$G:$G, (MATCH(577, 輔助計算!$G$2:$G$801, 0)+1)),"0.##"),TEXT(INDEX(ERP資料!$G:$G, (MATCH(577, 輔助計算!$G$2:$G$801, 0)+1)),"0.##")&amp;"+"&amp;TEXT(INDEX(ERP資料!$G:$G, (MATCH(577, 輔助計算!$G$2:$G$801, 0)+1)),"0.##")&amp;"+"&amp;TEXT(INDEX(ERP資料!$G:$G, (MATCH(577, 輔助計算!$G$2:$G$801, 0)+1)),"0.##"))))&amp;"-1")&lt;&gt;""),"  ","")&amp;IF(MOD(INDEX(輔助計算!$D:$D, (MATCH(577, 輔助計算!$G$2:$G$801, 0)+1)),IF(INDEX(ERP資料!$G:$G, (MATCH(577, 輔助計算!$G$2:$G$801, 0)+1))&lt;100, IF(INDEX(ERP資料!$G:$G, (MATCH(577, 輔助計算!$G$2:$G$801, 0)+1))&lt;=31,3,IF(INDEX(ERP資料!$G:$G, (MATCH(577, 輔助計算!$G$2:$G$801, 0)+1))&lt;=46.5,2,1)), IF(INDEX(ERP資料!$G:$G, (MATCH(577, 輔助計算!$G$2:$G$801, 0)+1))&lt;=790,3,IF(INDEX(ERP資料!$G:$G, (MATCH(577, 輔助計算!$G$2:$G$801, 0)+1))&lt;=1181,2,1))))=0,"",IF(MOD(INDEX(輔助計算!$D:$D, (MATCH(577, 輔助計算!$G$2:$G$801, 0)+1)),IF(INDEX(ERP資料!$G:$G, (MATCH(577, 輔助計算!$G$2:$G$801, 0)+1))&lt;100, IF(INDEX(ERP資料!$G:$G, (MATCH(577, 輔助計算!$G$2:$G$801, 0)+1))&lt;=31,3,IF(INDEX(ERP資料!$G:$G, (MATCH(577, 輔助計算!$G$2:$G$801, 0)+1))&lt;=46.5,2,1)), IF(INDEX(ERP資料!$G:$G, (MATCH(577, 輔助計算!$G$2:$G$801, 0)+1))&lt;=790,3,IF(INDEX(ERP資料!$G:$G, (MATCH(577, 輔助計算!$G$2:$G$801, 0)+1))&lt;=1181,2,1))))=0,"",IF(MOD(INDEX(輔助計算!$D:$D, (MATCH(577, 輔助計算!$G$2:$G$801, 0)+1)),IF(INDEX(ERP資料!$G:$G, (MATCH(577, 輔助計算!$G$2:$G$801, 0)+1))&lt;100, IF(INDEX(ERP資料!$G:$G, (MATCH(577, 輔助計算!$G$2:$G$801, 0)+1))&lt;=31,3,IF(INDEX(ERP資料!$G:$G, (MATCH(577, 輔助計算!$G$2:$G$801, 0)+1))&lt;=46.5,2,1)), IF(INDEX(ERP資料!$G:$G, (MATCH(577, 輔助計算!$G$2:$G$801, 0)+1))&lt;=790,3,IF(INDEX(ERP資料!$G:$G, (MATCH(577, 輔助計算!$G$2:$G$801, 0)+1))&lt;=1181,2,1))))=1,TEXT(INDEX(ERP資料!$G:$G, (MATCH(577, 輔助計算!$G$2:$G$801, 0)+1)),"0.##"),IF(MOD(INDEX(輔助計算!$D:$D, (MATCH(577, 輔助計算!$G$2:$G$801, 0)+1)),IF(INDEX(ERP資料!$G:$G, (MATCH(577, 輔助計算!$G$2:$G$801, 0)+1))&lt;100, IF(INDEX(ERP資料!$G:$G, (MATCH(577, 輔助計算!$G$2:$G$801, 0)+1))&lt;=31,3,IF(INDEX(ERP資料!$G:$G, (MATCH(577, 輔助計算!$G$2:$G$801, 0)+1))&lt;=46.5,2,1)), IF(INDEX(ERP資料!$G:$G, (MATCH(577, 輔助計算!$G$2:$G$801, 0)+1))&lt;=790,3,IF(INDEX(ERP資料!$G:$G, (MATCH(577, 輔助計算!$G$2:$G$801, 0)+1))&lt;=1181,2,1))))=2,TEXT(INDEX(ERP資料!$G:$G, (MATCH(577, 輔助計算!$G$2:$G$801, 0)+1)),"0.##")&amp;"+"&amp;TEXT(INDEX(ERP資料!$G:$G, (MATCH(577, 輔助計算!$G$2:$G$801, 0)+1)),"0.##"),TEXT(INDEX(ERP資料!$G:$G, (MATCH(577, 輔助計算!$G$2:$G$801, 0)+1)),"0.##")&amp;"+"&amp;TEXT(INDEX(ERP資料!$G:$G, (MATCH(577, 輔助計算!$G$2:$G$801, 0)+1)),"0.##")&amp;"+"&amp;TEXT(INDEX(ERP資料!$G:$G, (MATCH(577, 輔助計算!$G$2:$G$801, 0)+1)),"0.##"))))&amp;"-1")), ""), "")</f>
        <v/>
      </c>
      <c r="K578" s="16" t="n"/>
      <c r="L578" s="14">
        <f>IFERROR(IF(AND(IFERROR(INDEX(ERP資料!$A:$A, (MATCH(577, 輔助計算!$G$2:$G$801, 0)+1)), "")&lt;&gt;"", IFERROR(INDEX(ERP資料!$A:$A, (MATCH(577, 輔助計算!$G$2:$G$801, 0)+1)), "")&lt;&gt;IFERROR(INDEX(ERP資料!$A:$A, MATCH(576, 輔助計算!$G$2:$G$801, 0)+1), "")), INDEX(ERP資料!$B:$B, (MATCH(577, 輔助計算!$G$2:$G$801, 0)+1)), ""), "")</f>
        <v/>
      </c>
      <c r="M578" s="17" t="n"/>
    </row>
    <row r="579">
      <c r="A579" s="10">
        <f>IFERROR(IF(AND(IFERROR(INDEX(ERP資料!$A:$A, (MATCH(578, 輔助計算!$G$2:$G$801, 0)+1)), "")&lt;&gt;"", IFERROR(INDEX(ERP資料!$A:$A, (MATCH(578, 輔助計算!$G$2:$G$801, 0)+1)), "")&lt;&gt;IFERROR(INDEX(ERP資料!$A:$A, MATCH(577, 輔助計算!$G$2:$G$801, 0)+1), "")), IFERROR(INDEX(ERP資料!$A:$A, (MATCH(578, 輔助計算!$G$2:$G$801, 0)+1)), ""), ""), "")</f>
        <v/>
      </c>
      <c r="B579" s="10">
        <f>IFERROR(IF(AND(IFERROR(INDEX(ERP資料!$A:$A, (MATCH(578, 輔助計算!$G$2:$G$801, 0)+1)), "")&lt;&gt;"", IFERROR(INDEX(ERP資料!$A:$A, (MATCH(578, 輔助計算!$G$2:$G$801, 0)+1)), "")&lt;&gt;IFERROR(INDEX(ERP資料!$A:$A, MATCH(577, 輔助計算!$G$2:$G$801, 0)+1), "")), INDEX(ERP資料!$S:$S, (MATCH(578, 輔助計算!$G$2:$G$801, 0)+1)), ""), "")</f>
        <v/>
      </c>
      <c r="C579" s="19">
        <f>IFERROR(IF(AND(IFERROR(INDEX(ERP資料!$A:$A, (MATCH(578, 輔助計算!$G$2:$G$801, 0)+1)), "")&lt;&gt;"", IFERROR(INDEX(ERP資料!$A:$A, (MATCH(578, 輔助計算!$G$2:$G$801, 0)+1)), "")&lt;&gt;IFERROR(INDEX(ERP資料!$A:$A, MATCH(577, 輔助計算!$G$2:$G$801, 0)+1), "")), IFERROR(VLOOKUP(LEFT(INDEX(ERP資料!$S:$S, (MATCH(578, 輔助計算!$G$2:$G$801, 0)+1)), 4), 紙管對照表!$A:$C, 3, FALSE), ""), ""), "")</f>
        <v/>
      </c>
      <c r="D579" s="16" t="n"/>
      <c r="E579" s="10">
        <f>IFERROR(IF(INDEX(ERP資料!$H:$H, (MATCH(578, 輔助計算!$G$2:$G$801, 0)+1))="","",INDEX(ERP資料!$H:$H, (MATCH(578, 輔助計算!$G$2:$G$801, 0)+1))), "")</f>
        <v/>
      </c>
      <c r="F579" s="10">
        <f>IFERROR(IF(INDEX(ERP資料!$E:$E, (MATCH(578, 輔助計算!$G$2:$G$801, 0)+1))="","",TRIM(INDEX(ERP資料!$E:$E, (MATCH(578, 輔助計算!$G$2:$G$801, 0)+1)))), "")</f>
        <v/>
      </c>
      <c r="G579" s="10">
        <f>IFERROR(IF(INDEX(ERP資料!$F:$F, (MATCH(578, 輔助計算!$G$2:$G$801, 0)+1))="","",INDEX(ERP資料!$F:$F, (MATCH(578, 輔助計算!$G$2:$G$801, 0)+1))), "")</f>
        <v/>
      </c>
      <c r="H579" s="10">
        <f>IFERROR(IF(INDEX(ERP資料!$G:$G, (MATCH(578, 輔助計算!$G$2:$G$801, 0)+1))="","",INDEX(ERP資料!$G:$G, (MATCH(578, 輔助計算!$G$2:$G$801, 0)+1))), "")</f>
        <v/>
      </c>
      <c r="I579" s="15">
        <f>IFERROR(INDEX(輔助計算!$D:$D, (MATCH(578, 輔助計算!$G$2:$G$801, 0)+1)), "")</f>
        <v/>
      </c>
      <c r="J579" s="15">
        <f>IFERROR(IF(AND(INDEX(輔助計算!$D:$D, (MATCH(578, 輔助計算!$G$2:$G$801, 0)+1))&lt;&gt;"", INDEX(ERP資料!$G:$G, (MATCH(578, 輔助計算!$G$2:$G$801, 0)+1))&lt;&gt;""), TRIM(IF(INT(INDEX(輔助計算!$D:$D, (MATCH(578, 輔助計算!$G$2:$G$801, 0)+1))/IF(INDEX(ERP資料!$G:$G, (MATCH(578, 輔助計算!$G$2:$G$801, 0)+1))&lt;100, IF(INDEX(ERP資料!$G:$G, (MATCH(578, 輔助計算!$G$2:$G$801, 0)+1))&lt;=31,3,IF(INDEX(ERP資料!$G:$G, (MATCH(578, 輔助計算!$G$2:$G$801, 0)+1))&lt;=46.5,2,1)), IF(INDEX(ERP資料!$G:$G, (MATCH(578, 輔助計算!$G$2:$G$801, 0)+1))&lt;=790,3,IF(INDEX(ERP資料!$G:$G, (MATCH(578, 輔助計算!$G$2:$G$801, 0)+1))&lt;=1181,2,1))))&gt;0, IF(IF(INDEX(ERP資料!$G:$G, (MATCH(578, 輔助計算!$G$2:$G$801, 0)+1))&lt;100, IF(INDEX(ERP資料!$G:$G, (MATCH(578, 輔助計算!$G$2:$G$801, 0)+1))&lt;=31,3,IF(INDEX(ERP資料!$G:$G, (MATCH(578, 輔助計算!$G$2:$G$801, 0)+1))&lt;=46.5,2,1)), IF(INDEX(ERP資料!$G:$G, (MATCH(578, 輔助計算!$G$2:$G$801, 0)+1))&lt;=790,3,IF(INDEX(ERP資料!$G:$G, (MATCH(578, 輔助計算!$G$2:$G$801, 0)+1))&lt;=1181,2,1)))=1,TEXT(INDEX(ERP資料!$G:$G, (MATCH(578, 輔助計算!$G$2:$G$801, 0)+1)),"0.##"),IF(IF(INDEX(ERP資料!$G:$G, (MATCH(578, 輔助計算!$G$2:$G$801, 0)+1))&lt;100, IF(INDEX(ERP資料!$G:$G, (MATCH(578, 輔助計算!$G$2:$G$801, 0)+1))&lt;=31,3,IF(INDEX(ERP資料!$G:$G, (MATCH(578, 輔助計算!$G$2:$G$801, 0)+1))&lt;=46.5,2,1)), IF(INDEX(ERP資料!$G:$G, (MATCH(578, 輔助計算!$G$2:$G$801, 0)+1))&lt;=790,3,IF(INDEX(ERP資料!$G:$G, (MATCH(578, 輔助計算!$G$2:$G$801, 0)+1))&lt;=1181,2,1)))=2,TEXT(INDEX(ERP資料!$G:$G, (MATCH(578, 輔助計算!$G$2:$G$801, 0)+1)),"0.##")&amp;"+"&amp;TEXT(INDEX(ERP資料!$G:$G, (MATCH(578, 輔助計算!$G$2:$G$801, 0)+1)),"0.##"),TEXT(INDEX(ERP資料!$G:$G, (MATCH(578, 輔助計算!$G$2:$G$801, 0)+1)),"0.##")&amp;"+"&amp;TEXT(INDEX(ERP資料!$G:$G, (MATCH(578, 輔助計算!$G$2:$G$801, 0)+1)),"0.##")&amp;"+"&amp;TEXT(INDEX(ERP資料!$G:$G, (MATCH(578, 輔助計算!$G$2:$G$801, 0)+1)),"0.##")))&amp;"-"&amp;INT(INDEX(輔助計算!$D:$D, (MATCH(578, 輔助計算!$G$2:$G$801, 0)+1))/IF(INDEX(ERP資料!$G:$G, (MATCH(578, 輔助計算!$G$2:$G$801, 0)+1))&lt;100, IF(INDEX(ERP資料!$G:$G, (MATCH(578, 輔助計算!$G$2:$G$801, 0)+1))&lt;=31,3,IF(INDEX(ERP資料!$G:$G, (MATCH(578, 輔助計算!$G$2:$G$801, 0)+1))&lt;=46.5,2,1)), IF(INDEX(ERP資料!$G:$G, (MATCH(578, 輔助計算!$G$2:$G$801, 0)+1))&lt;=790,3,IF(INDEX(ERP資料!$G:$G, (MATCH(578, 輔助計算!$G$2:$G$801, 0)+1))&lt;=1181,2,1)))), "")&amp;IF(AND(IF(INT(INDEX(輔助計算!$D:$D, (MATCH(578, 輔助計算!$G$2:$G$801, 0)+1))/IF(INDEX(ERP資料!$G:$G, (MATCH(578, 輔助計算!$G$2:$G$801, 0)+1))&lt;100, IF(INDEX(ERP資料!$G:$G, (MATCH(578, 輔助計算!$G$2:$G$801, 0)+1))&lt;=31,3,IF(INDEX(ERP資料!$G:$G, (MATCH(578, 輔助計算!$G$2:$G$801, 0)+1))&lt;=46.5,2,1)), IF(INDEX(ERP資料!$G:$G, (MATCH(578, 輔助計算!$G$2:$G$801, 0)+1))&lt;=790,3,IF(INDEX(ERP資料!$G:$G, (MATCH(578, 輔助計算!$G$2:$G$801, 0)+1))&lt;=1181,2,1))))&gt;0, IF(IF(INDEX(ERP資料!$G:$G, (MATCH(578, 輔助計算!$G$2:$G$801, 0)+1))&lt;100, IF(INDEX(ERP資料!$G:$G, (MATCH(578, 輔助計算!$G$2:$G$801, 0)+1))&lt;=31,3,IF(INDEX(ERP資料!$G:$G, (MATCH(578, 輔助計算!$G$2:$G$801, 0)+1))&lt;=46.5,2,1)), IF(INDEX(ERP資料!$G:$G, (MATCH(578, 輔助計算!$G$2:$G$801, 0)+1))&lt;=790,3,IF(INDEX(ERP資料!$G:$G, (MATCH(578, 輔助計算!$G$2:$G$801, 0)+1))&lt;=1181,2,1)))=1,TEXT(INDEX(ERP資料!$G:$G, (MATCH(578, 輔助計算!$G$2:$G$801, 0)+1)),"0.##"),IF(IF(INDEX(ERP資料!$G:$G, (MATCH(578, 輔助計算!$G$2:$G$801, 0)+1))&lt;100, IF(INDEX(ERP資料!$G:$G, (MATCH(578, 輔助計算!$G$2:$G$801, 0)+1))&lt;=31,3,IF(INDEX(ERP資料!$G:$G, (MATCH(578, 輔助計算!$G$2:$G$801, 0)+1))&lt;=46.5,2,1)), IF(INDEX(ERP資料!$G:$G, (MATCH(578, 輔助計算!$G$2:$G$801, 0)+1))&lt;=790,3,IF(INDEX(ERP資料!$G:$G, (MATCH(578, 輔助計算!$G$2:$G$801, 0)+1))&lt;=1181,2,1)))=2,TEXT(INDEX(ERP資料!$G:$G, (MATCH(578, 輔助計算!$G$2:$G$801, 0)+1)),"0.##")&amp;"+"&amp;TEXT(INDEX(ERP資料!$G:$G, (MATCH(578, 輔助計算!$G$2:$G$801, 0)+1)),"0.##"),TEXT(INDEX(ERP資料!$G:$G, (MATCH(578, 輔助計算!$G$2:$G$801, 0)+1)),"0.##")&amp;"+"&amp;TEXT(INDEX(ERP資料!$G:$G, (MATCH(578, 輔助計算!$G$2:$G$801, 0)+1)),"0.##")&amp;"+"&amp;TEXT(INDEX(ERP資料!$G:$G, (MATCH(578, 輔助計算!$G$2:$G$801, 0)+1)),"0.##")))&amp;"-"&amp;INT(INDEX(輔助計算!$D:$D, (MATCH(578, 輔助計算!$G$2:$G$801, 0)+1))/IF(INDEX(ERP資料!$G:$G, (MATCH(578, 輔助計算!$G$2:$G$801, 0)+1))&lt;100, IF(INDEX(ERP資料!$G:$G, (MATCH(578, 輔助計算!$G$2:$G$801, 0)+1))&lt;=31,3,IF(INDEX(ERP資料!$G:$G, (MATCH(578, 輔助計算!$G$2:$G$801, 0)+1))&lt;=46.5,2,1)), IF(INDEX(ERP資料!$G:$G, (MATCH(578, 輔助計算!$G$2:$G$801, 0)+1))&lt;=790,3,IF(INDEX(ERP資料!$G:$G, (MATCH(578, 輔助計算!$G$2:$G$801, 0)+1))&lt;=1181,2,1)))), "")&lt;&gt;"",IF(MOD(INDEX(輔助計算!$D:$D, (MATCH(578, 輔助計算!$G$2:$G$801, 0)+1)),IF(INDEX(ERP資料!$G:$G, (MATCH(578, 輔助計算!$G$2:$G$801, 0)+1))&lt;100, IF(INDEX(ERP資料!$G:$G, (MATCH(578, 輔助計算!$G$2:$G$801, 0)+1))&lt;=31,3,IF(INDEX(ERP資料!$G:$G, (MATCH(578, 輔助計算!$G$2:$G$801, 0)+1))&lt;=46.5,2,1)), IF(INDEX(ERP資料!$G:$G, (MATCH(578, 輔助計算!$G$2:$G$801, 0)+1))&lt;=790,3,IF(INDEX(ERP資料!$G:$G, (MATCH(578, 輔助計算!$G$2:$G$801, 0)+1))&lt;=1181,2,1))))=0,"",IF(MOD(INDEX(輔助計算!$D:$D, (MATCH(578, 輔助計算!$G$2:$G$801, 0)+1)),IF(INDEX(ERP資料!$G:$G, (MATCH(578, 輔助計算!$G$2:$G$801, 0)+1))&lt;100, IF(INDEX(ERP資料!$G:$G, (MATCH(578, 輔助計算!$G$2:$G$801, 0)+1))&lt;=31,3,IF(INDEX(ERP資料!$G:$G, (MATCH(578, 輔助計算!$G$2:$G$801, 0)+1))&lt;=46.5,2,1)), IF(INDEX(ERP資料!$G:$G, (MATCH(578, 輔助計算!$G$2:$G$801, 0)+1))&lt;=790,3,IF(INDEX(ERP資料!$G:$G, (MATCH(578, 輔助計算!$G$2:$G$801, 0)+1))&lt;=1181,2,1))))=0,"",IF(MOD(INDEX(輔助計算!$D:$D, (MATCH(578, 輔助計算!$G$2:$G$801, 0)+1)),IF(INDEX(ERP資料!$G:$G, (MATCH(578, 輔助計算!$G$2:$G$801, 0)+1))&lt;100, IF(INDEX(ERP資料!$G:$G, (MATCH(578, 輔助計算!$G$2:$G$801, 0)+1))&lt;=31,3,IF(INDEX(ERP資料!$G:$G, (MATCH(578, 輔助計算!$G$2:$G$801, 0)+1))&lt;=46.5,2,1)), IF(INDEX(ERP資料!$G:$G, (MATCH(578, 輔助計算!$G$2:$G$801, 0)+1))&lt;=790,3,IF(INDEX(ERP資料!$G:$G, (MATCH(578, 輔助計算!$G$2:$G$801, 0)+1))&lt;=1181,2,1))))=1,TEXT(INDEX(ERP資料!$G:$G, (MATCH(578, 輔助計算!$G$2:$G$801, 0)+1)),"0.##"),IF(MOD(INDEX(輔助計算!$D:$D, (MATCH(578, 輔助計算!$G$2:$G$801, 0)+1)),IF(INDEX(ERP資料!$G:$G, (MATCH(578, 輔助計算!$G$2:$G$801, 0)+1))&lt;100, IF(INDEX(ERP資料!$G:$G, (MATCH(578, 輔助計算!$G$2:$G$801, 0)+1))&lt;=31,3,IF(INDEX(ERP資料!$G:$G, (MATCH(578, 輔助計算!$G$2:$G$801, 0)+1))&lt;=46.5,2,1)), IF(INDEX(ERP資料!$G:$G, (MATCH(578, 輔助計算!$G$2:$G$801, 0)+1))&lt;=790,3,IF(INDEX(ERP資料!$G:$G, (MATCH(578, 輔助計算!$G$2:$G$801, 0)+1))&lt;=1181,2,1))))=2,TEXT(INDEX(ERP資料!$G:$G, (MATCH(578, 輔助計算!$G$2:$G$801, 0)+1)),"0.##")&amp;"+"&amp;TEXT(INDEX(ERP資料!$G:$G, (MATCH(578, 輔助計算!$G$2:$G$801, 0)+1)),"0.##"),TEXT(INDEX(ERP資料!$G:$G, (MATCH(578, 輔助計算!$G$2:$G$801, 0)+1)),"0.##")&amp;"+"&amp;TEXT(INDEX(ERP資料!$G:$G, (MATCH(578, 輔助計算!$G$2:$G$801, 0)+1)),"0.##")&amp;"+"&amp;TEXT(INDEX(ERP資料!$G:$G, (MATCH(578, 輔助計算!$G$2:$G$801, 0)+1)),"0.##"))))&amp;"-1")&lt;&gt;""),"  ","")&amp;IF(MOD(INDEX(輔助計算!$D:$D, (MATCH(578, 輔助計算!$G$2:$G$801, 0)+1)),IF(INDEX(ERP資料!$G:$G, (MATCH(578, 輔助計算!$G$2:$G$801, 0)+1))&lt;100, IF(INDEX(ERP資料!$G:$G, (MATCH(578, 輔助計算!$G$2:$G$801, 0)+1))&lt;=31,3,IF(INDEX(ERP資料!$G:$G, (MATCH(578, 輔助計算!$G$2:$G$801, 0)+1))&lt;=46.5,2,1)), IF(INDEX(ERP資料!$G:$G, (MATCH(578, 輔助計算!$G$2:$G$801, 0)+1))&lt;=790,3,IF(INDEX(ERP資料!$G:$G, (MATCH(578, 輔助計算!$G$2:$G$801, 0)+1))&lt;=1181,2,1))))=0,"",IF(MOD(INDEX(輔助計算!$D:$D, (MATCH(578, 輔助計算!$G$2:$G$801, 0)+1)),IF(INDEX(ERP資料!$G:$G, (MATCH(578, 輔助計算!$G$2:$G$801, 0)+1))&lt;100, IF(INDEX(ERP資料!$G:$G, (MATCH(578, 輔助計算!$G$2:$G$801, 0)+1))&lt;=31,3,IF(INDEX(ERP資料!$G:$G, (MATCH(578, 輔助計算!$G$2:$G$801, 0)+1))&lt;=46.5,2,1)), IF(INDEX(ERP資料!$G:$G, (MATCH(578, 輔助計算!$G$2:$G$801, 0)+1))&lt;=790,3,IF(INDEX(ERP資料!$G:$G, (MATCH(578, 輔助計算!$G$2:$G$801, 0)+1))&lt;=1181,2,1))))=0,"",IF(MOD(INDEX(輔助計算!$D:$D, (MATCH(578, 輔助計算!$G$2:$G$801, 0)+1)),IF(INDEX(ERP資料!$G:$G, (MATCH(578, 輔助計算!$G$2:$G$801, 0)+1))&lt;100, IF(INDEX(ERP資料!$G:$G, (MATCH(578, 輔助計算!$G$2:$G$801, 0)+1))&lt;=31,3,IF(INDEX(ERP資料!$G:$G, (MATCH(578, 輔助計算!$G$2:$G$801, 0)+1))&lt;=46.5,2,1)), IF(INDEX(ERP資料!$G:$G, (MATCH(578, 輔助計算!$G$2:$G$801, 0)+1))&lt;=790,3,IF(INDEX(ERP資料!$G:$G, (MATCH(578, 輔助計算!$G$2:$G$801, 0)+1))&lt;=1181,2,1))))=1,TEXT(INDEX(ERP資料!$G:$G, (MATCH(578, 輔助計算!$G$2:$G$801, 0)+1)),"0.##"),IF(MOD(INDEX(輔助計算!$D:$D, (MATCH(578, 輔助計算!$G$2:$G$801, 0)+1)),IF(INDEX(ERP資料!$G:$G, (MATCH(578, 輔助計算!$G$2:$G$801, 0)+1))&lt;100, IF(INDEX(ERP資料!$G:$G, (MATCH(578, 輔助計算!$G$2:$G$801, 0)+1))&lt;=31,3,IF(INDEX(ERP資料!$G:$G, (MATCH(578, 輔助計算!$G$2:$G$801, 0)+1))&lt;=46.5,2,1)), IF(INDEX(ERP資料!$G:$G, (MATCH(578, 輔助計算!$G$2:$G$801, 0)+1))&lt;=790,3,IF(INDEX(ERP資料!$G:$G, (MATCH(578, 輔助計算!$G$2:$G$801, 0)+1))&lt;=1181,2,1))))=2,TEXT(INDEX(ERP資料!$G:$G, (MATCH(578, 輔助計算!$G$2:$G$801, 0)+1)),"0.##")&amp;"+"&amp;TEXT(INDEX(ERP資料!$G:$G, (MATCH(578, 輔助計算!$G$2:$G$801, 0)+1)),"0.##"),TEXT(INDEX(ERP資料!$G:$G, (MATCH(578, 輔助計算!$G$2:$G$801, 0)+1)),"0.##")&amp;"+"&amp;TEXT(INDEX(ERP資料!$G:$G, (MATCH(578, 輔助計算!$G$2:$G$801, 0)+1)),"0.##")&amp;"+"&amp;TEXT(INDEX(ERP資料!$G:$G, (MATCH(578, 輔助計算!$G$2:$G$801, 0)+1)),"0.##"))))&amp;"-1")), ""), "")</f>
        <v/>
      </c>
      <c r="K579" s="16" t="n"/>
      <c r="L579" s="14">
        <f>IFERROR(IF(AND(IFERROR(INDEX(ERP資料!$A:$A, (MATCH(578, 輔助計算!$G$2:$G$801, 0)+1)), "")&lt;&gt;"", IFERROR(INDEX(ERP資料!$A:$A, (MATCH(578, 輔助計算!$G$2:$G$801, 0)+1)), "")&lt;&gt;IFERROR(INDEX(ERP資料!$A:$A, MATCH(577, 輔助計算!$G$2:$G$801, 0)+1), "")), INDEX(ERP資料!$B:$B, (MATCH(578, 輔助計算!$G$2:$G$801, 0)+1)), ""), "")</f>
        <v/>
      </c>
      <c r="M579" s="17" t="n"/>
    </row>
    <row r="580">
      <c r="A580" s="10">
        <f>IFERROR(IF(AND(IFERROR(INDEX(ERP資料!$A:$A, (MATCH(579, 輔助計算!$G$2:$G$801, 0)+1)), "")&lt;&gt;"", IFERROR(INDEX(ERP資料!$A:$A, (MATCH(579, 輔助計算!$G$2:$G$801, 0)+1)), "")&lt;&gt;IFERROR(INDEX(ERP資料!$A:$A, MATCH(578, 輔助計算!$G$2:$G$801, 0)+1), "")), IFERROR(INDEX(ERP資料!$A:$A, (MATCH(579, 輔助計算!$G$2:$G$801, 0)+1)), ""), ""), "")</f>
        <v/>
      </c>
      <c r="B580" s="10">
        <f>IFERROR(IF(AND(IFERROR(INDEX(ERP資料!$A:$A, (MATCH(579, 輔助計算!$G$2:$G$801, 0)+1)), "")&lt;&gt;"", IFERROR(INDEX(ERP資料!$A:$A, (MATCH(579, 輔助計算!$G$2:$G$801, 0)+1)), "")&lt;&gt;IFERROR(INDEX(ERP資料!$A:$A, MATCH(578, 輔助計算!$G$2:$G$801, 0)+1), "")), INDEX(ERP資料!$S:$S, (MATCH(579, 輔助計算!$G$2:$G$801, 0)+1)), ""), "")</f>
        <v/>
      </c>
      <c r="C580" s="19">
        <f>IFERROR(IF(AND(IFERROR(INDEX(ERP資料!$A:$A, (MATCH(579, 輔助計算!$G$2:$G$801, 0)+1)), "")&lt;&gt;"", IFERROR(INDEX(ERP資料!$A:$A, (MATCH(579, 輔助計算!$G$2:$G$801, 0)+1)), "")&lt;&gt;IFERROR(INDEX(ERP資料!$A:$A, MATCH(578, 輔助計算!$G$2:$G$801, 0)+1), "")), IFERROR(VLOOKUP(LEFT(INDEX(ERP資料!$S:$S, (MATCH(579, 輔助計算!$G$2:$G$801, 0)+1)), 4), 紙管對照表!$A:$C, 3, FALSE), ""), ""), "")</f>
        <v/>
      </c>
      <c r="D580" s="16" t="n"/>
      <c r="E580" s="10">
        <f>IFERROR(IF(INDEX(ERP資料!$H:$H, (MATCH(579, 輔助計算!$G$2:$G$801, 0)+1))="","",INDEX(ERP資料!$H:$H, (MATCH(579, 輔助計算!$G$2:$G$801, 0)+1))), "")</f>
        <v/>
      </c>
      <c r="F580" s="10">
        <f>IFERROR(IF(INDEX(ERP資料!$E:$E, (MATCH(579, 輔助計算!$G$2:$G$801, 0)+1))="","",TRIM(INDEX(ERP資料!$E:$E, (MATCH(579, 輔助計算!$G$2:$G$801, 0)+1)))), "")</f>
        <v/>
      </c>
      <c r="G580" s="10">
        <f>IFERROR(IF(INDEX(ERP資料!$F:$F, (MATCH(579, 輔助計算!$G$2:$G$801, 0)+1))="","",INDEX(ERP資料!$F:$F, (MATCH(579, 輔助計算!$G$2:$G$801, 0)+1))), "")</f>
        <v/>
      </c>
      <c r="H580" s="10">
        <f>IFERROR(IF(INDEX(ERP資料!$G:$G, (MATCH(579, 輔助計算!$G$2:$G$801, 0)+1))="","",INDEX(ERP資料!$G:$G, (MATCH(579, 輔助計算!$G$2:$G$801, 0)+1))), "")</f>
        <v/>
      </c>
      <c r="I580" s="15">
        <f>IFERROR(INDEX(輔助計算!$D:$D, (MATCH(579, 輔助計算!$G$2:$G$801, 0)+1)), "")</f>
        <v/>
      </c>
      <c r="J580" s="15">
        <f>IFERROR(IF(AND(INDEX(輔助計算!$D:$D, (MATCH(579, 輔助計算!$G$2:$G$801, 0)+1))&lt;&gt;"", INDEX(ERP資料!$G:$G, (MATCH(579, 輔助計算!$G$2:$G$801, 0)+1))&lt;&gt;""), TRIM(IF(INT(INDEX(輔助計算!$D:$D, (MATCH(579, 輔助計算!$G$2:$G$801, 0)+1))/IF(INDEX(ERP資料!$G:$G, (MATCH(579, 輔助計算!$G$2:$G$801, 0)+1))&lt;100, IF(INDEX(ERP資料!$G:$G, (MATCH(579, 輔助計算!$G$2:$G$801, 0)+1))&lt;=31,3,IF(INDEX(ERP資料!$G:$G, (MATCH(579, 輔助計算!$G$2:$G$801, 0)+1))&lt;=46.5,2,1)), IF(INDEX(ERP資料!$G:$G, (MATCH(579, 輔助計算!$G$2:$G$801, 0)+1))&lt;=790,3,IF(INDEX(ERP資料!$G:$G, (MATCH(579, 輔助計算!$G$2:$G$801, 0)+1))&lt;=1181,2,1))))&gt;0, IF(IF(INDEX(ERP資料!$G:$G, (MATCH(579, 輔助計算!$G$2:$G$801, 0)+1))&lt;100, IF(INDEX(ERP資料!$G:$G, (MATCH(579, 輔助計算!$G$2:$G$801, 0)+1))&lt;=31,3,IF(INDEX(ERP資料!$G:$G, (MATCH(579, 輔助計算!$G$2:$G$801, 0)+1))&lt;=46.5,2,1)), IF(INDEX(ERP資料!$G:$G, (MATCH(579, 輔助計算!$G$2:$G$801, 0)+1))&lt;=790,3,IF(INDEX(ERP資料!$G:$G, (MATCH(579, 輔助計算!$G$2:$G$801, 0)+1))&lt;=1181,2,1)))=1,TEXT(INDEX(ERP資料!$G:$G, (MATCH(579, 輔助計算!$G$2:$G$801, 0)+1)),"0.##"),IF(IF(INDEX(ERP資料!$G:$G, (MATCH(579, 輔助計算!$G$2:$G$801, 0)+1))&lt;100, IF(INDEX(ERP資料!$G:$G, (MATCH(579, 輔助計算!$G$2:$G$801, 0)+1))&lt;=31,3,IF(INDEX(ERP資料!$G:$G, (MATCH(579, 輔助計算!$G$2:$G$801, 0)+1))&lt;=46.5,2,1)), IF(INDEX(ERP資料!$G:$G, (MATCH(579, 輔助計算!$G$2:$G$801, 0)+1))&lt;=790,3,IF(INDEX(ERP資料!$G:$G, (MATCH(579, 輔助計算!$G$2:$G$801, 0)+1))&lt;=1181,2,1)))=2,TEXT(INDEX(ERP資料!$G:$G, (MATCH(579, 輔助計算!$G$2:$G$801, 0)+1)),"0.##")&amp;"+"&amp;TEXT(INDEX(ERP資料!$G:$G, (MATCH(579, 輔助計算!$G$2:$G$801, 0)+1)),"0.##"),TEXT(INDEX(ERP資料!$G:$G, (MATCH(579, 輔助計算!$G$2:$G$801, 0)+1)),"0.##")&amp;"+"&amp;TEXT(INDEX(ERP資料!$G:$G, (MATCH(579, 輔助計算!$G$2:$G$801, 0)+1)),"0.##")&amp;"+"&amp;TEXT(INDEX(ERP資料!$G:$G, (MATCH(579, 輔助計算!$G$2:$G$801, 0)+1)),"0.##")))&amp;"-"&amp;INT(INDEX(輔助計算!$D:$D, (MATCH(579, 輔助計算!$G$2:$G$801, 0)+1))/IF(INDEX(ERP資料!$G:$G, (MATCH(579, 輔助計算!$G$2:$G$801, 0)+1))&lt;100, IF(INDEX(ERP資料!$G:$G, (MATCH(579, 輔助計算!$G$2:$G$801, 0)+1))&lt;=31,3,IF(INDEX(ERP資料!$G:$G, (MATCH(579, 輔助計算!$G$2:$G$801, 0)+1))&lt;=46.5,2,1)), IF(INDEX(ERP資料!$G:$G, (MATCH(579, 輔助計算!$G$2:$G$801, 0)+1))&lt;=790,3,IF(INDEX(ERP資料!$G:$G, (MATCH(579, 輔助計算!$G$2:$G$801, 0)+1))&lt;=1181,2,1)))), "")&amp;IF(AND(IF(INT(INDEX(輔助計算!$D:$D, (MATCH(579, 輔助計算!$G$2:$G$801, 0)+1))/IF(INDEX(ERP資料!$G:$G, (MATCH(579, 輔助計算!$G$2:$G$801, 0)+1))&lt;100, IF(INDEX(ERP資料!$G:$G, (MATCH(579, 輔助計算!$G$2:$G$801, 0)+1))&lt;=31,3,IF(INDEX(ERP資料!$G:$G, (MATCH(579, 輔助計算!$G$2:$G$801, 0)+1))&lt;=46.5,2,1)), IF(INDEX(ERP資料!$G:$G, (MATCH(579, 輔助計算!$G$2:$G$801, 0)+1))&lt;=790,3,IF(INDEX(ERP資料!$G:$G, (MATCH(579, 輔助計算!$G$2:$G$801, 0)+1))&lt;=1181,2,1))))&gt;0, IF(IF(INDEX(ERP資料!$G:$G, (MATCH(579, 輔助計算!$G$2:$G$801, 0)+1))&lt;100, IF(INDEX(ERP資料!$G:$G, (MATCH(579, 輔助計算!$G$2:$G$801, 0)+1))&lt;=31,3,IF(INDEX(ERP資料!$G:$G, (MATCH(579, 輔助計算!$G$2:$G$801, 0)+1))&lt;=46.5,2,1)), IF(INDEX(ERP資料!$G:$G, (MATCH(579, 輔助計算!$G$2:$G$801, 0)+1))&lt;=790,3,IF(INDEX(ERP資料!$G:$G, (MATCH(579, 輔助計算!$G$2:$G$801, 0)+1))&lt;=1181,2,1)))=1,TEXT(INDEX(ERP資料!$G:$G, (MATCH(579, 輔助計算!$G$2:$G$801, 0)+1)),"0.##"),IF(IF(INDEX(ERP資料!$G:$G, (MATCH(579, 輔助計算!$G$2:$G$801, 0)+1))&lt;100, IF(INDEX(ERP資料!$G:$G, (MATCH(579, 輔助計算!$G$2:$G$801, 0)+1))&lt;=31,3,IF(INDEX(ERP資料!$G:$G, (MATCH(579, 輔助計算!$G$2:$G$801, 0)+1))&lt;=46.5,2,1)), IF(INDEX(ERP資料!$G:$G, (MATCH(579, 輔助計算!$G$2:$G$801, 0)+1))&lt;=790,3,IF(INDEX(ERP資料!$G:$G, (MATCH(579, 輔助計算!$G$2:$G$801, 0)+1))&lt;=1181,2,1)))=2,TEXT(INDEX(ERP資料!$G:$G, (MATCH(579, 輔助計算!$G$2:$G$801, 0)+1)),"0.##")&amp;"+"&amp;TEXT(INDEX(ERP資料!$G:$G, (MATCH(579, 輔助計算!$G$2:$G$801, 0)+1)),"0.##"),TEXT(INDEX(ERP資料!$G:$G, (MATCH(579, 輔助計算!$G$2:$G$801, 0)+1)),"0.##")&amp;"+"&amp;TEXT(INDEX(ERP資料!$G:$G, (MATCH(579, 輔助計算!$G$2:$G$801, 0)+1)),"0.##")&amp;"+"&amp;TEXT(INDEX(ERP資料!$G:$G, (MATCH(579, 輔助計算!$G$2:$G$801, 0)+1)),"0.##")))&amp;"-"&amp;INT(INDEX(輔助計算!$D:$D, (MATCH(579, 輔助計算!$G$2:$G$801, 0)+1))/IF(INDEX(ERP資料!$G:$G, (MATCH(579, 輔助計算!$G$2:$G$801, 0)+1))&lt;100, IF(INDEX(ERP資料!$G:$G, (MATCH(579, 輔助計算!$G$2:$G$801, 0)+1))&lt;=31,3,IF(INDEX(ERP資料!$G:$G, (MATCH(579, 輔助計算!$G$2:$G$801, 0)+1))&lt;=46.5,2,1)), IF(INDEX(ERP資料!$G:$G, (MATCH(579, 輔助計算!$G$2:$G$801, 0)+1))&lt;=790,3,IF(INDEX(ERP資料!$G:$G, (MATCH(579, 輔助計算!$G$2:$G$801, 0)+1))&lt;=1181,2,1)))), "")&lt;&gt;"",IF(MOD(INDEX(輔助計算!$D:$D, (MATCH(579, 輔助計算!$G$2:$G$801, 0)+1)),IF(INDEX(ERP資料!$G:$G, (MATCH(579, 輔助計算!$G$2:$G$801, 0)+1))&lt;100, IF(INDEX(ERP資料!$G:$G, (MATCH(579, 輔助計算!$G$2:$G$801, 0)+1))&lt;=31,3,IF(INDEX(ERP資料!$G:$G, (MATCH(579, 輔助計算!$G$2:$G$801, 0)+1))&lt;=46.5,2,1)), IF(INDEX(ERP資料!$G:$G, (MATCH(579, 輔助計算!$G$2:$G$801, 0)+1))&lt;=790,3,IF(INDEX(ERP資料!$G:$G, (MATCH(579, 輔助計算!$G$2:$G$801, 0)+1))&lt;=1181,2,1))))=0,"",IF(MOD(INDEX(輔助計算!$D:$D, (MATCH(579, 輔助計算!$G$2:$G$801, 0)+1)),IF(INDEX(ERP資料!$G:$G, (MATCH(579, 輔助計算!$G$2:$G$801, 0)+1))&lt;100, IF(INDEX(ERP資料!$G:$G, (MATCH(579, 輔助計算!$G$2:$G$801, 0)+1))&lt;=31,3,IF(INDEX(ERP資料!$G:$G, (MATCH(579, 輔助計算!$G$2:$G$801, 0)+1))&lt;=46.5,2,1)), IF(INDEX(ERP資料!$G:$G, (MATCH(579, 輔助計算!$G$2:$G$801, 0)+1))&lt;=790,3,IF(INDEX(ERP資料!$G:$G, (MATCH(579, 輔助計算!$G$2:$G$801, 0)+1))&lt;=1181,2,1))))=0,"",IF(MOD(INDEX(輔助計算!$D:$D, (MATCH(579, 輔助計算!$G$2:$G$801, 0)+1)),IF(INDEX(ERP資料!$G:$G, (MATCH(579, 輔助計算!$G$2:$G$801, 0)+1))&lt;100, IF(INDEX(ERP資料!$G:$G, (MATCH(579, 輔助計算!$G$2:$G$801, 0)+1))&lt;=31,3,IF(INDEX(ERP資料!$G:$G, (MATCH(579, 輔助計算!$G$2:$G$801, 0)+1))&lt;=46.5,2,1)), IF(INDEX(ERP資料!$G:$G, (MATCH(579, 輔助計算!$G$2:$G$801, 0)+1))&lt;=790,3,IF(INDEX(ERP資料!$G:$G, (MATCH(579, 輔助計算!$G$2:$G$801, 0)+1))&lt;=1181,2,1))))=1,TEXT(INDEX(ERP資料!$G:$G, (MATCH(579, 輔助計算!$G$2:$G$801, 0)+1)),"0.##"),IF(MOD(INDEX(輔助計算!$D:$D, (MATCH(579, 輔助計算!$G$2:$G$801, 0)+1)),IF(INDEX(ERP資料!$G:$G, (MATCH(579, 輔助計算!$G$2:$G$801, 0)+1))&lt;100, IF(INDEX(ERP資料!$G:$G, (MATCH(579, 輔助計算!$G$2:$G$801, 0)+1))&lt;=31,3,IF(INDEX(ERP資料!$G:$G, (MATCH(579, 輔助計算!$G$2:$G$801, 0)+1))&lt;=46.5,2,1)), IF(INDEX(ERP資料!$G:$G, (MATCH(579, 輔助計算!$G$2:$G$801, 0)+1))&lt;=790,3,IF(INDEX(ERP資料!$G:$G, (MATCH(579, 輔助計算!$G$2:$G$801, 0)+1))&lt;=1181,2,1))))=2,TEXT(INDEX(ERP資料!$G:$G, (MATCH(579, 輔助計算!$G$2:$G$801, 0)+1)),"0.##")&amp;"+"&amp;TEXT(INDEX(ERP資料!$G:$G, (MATCH(579, 輔助計算!$G$2:$G$801, 0)+1)),"0.##"),TEXT(INDEX(ERP資料!$G:$G, (MATCH(579, 輔助計算!$G$2:$G$801, 0)+1)),"0.##")&amp;"+"&amp;TEXT(INDEX(ERP資料!$G:$G, (MATCH(579, 輔助計算!$G$2:$G$801, 0)+1)),"0.##")&amp;"+"&amp;TEXT(INDEX(ERP資料!$G:$G, (MATCH(579, 輔助計算!$G$2:$G$801, 0)+1)),"0.##"))))&amp;"-1")&lt;&gt;""),"  ","")&amp;IF(MOD(INDEX(輔助計算!$D:$D, (MATCH(579, 輔助計算!$G$2:$G$801, 0)+1)),IF(INDEX(ERP資料!$G:$G, (MATCH(579, 輔助計算!$G$2:$G$801, 0)+1))&lt;100, IF(INDEX(ERP資料!$G:$G, (MATCH(579, 輔助計算!$G$2:$G$801, 0)+1))&lt;=31,3,IF(INDEX(ERP資料!$G:$G, (MATCH(579, 輔助計算!$G$2:$G$801, 0)+1))&lt;=46.5,2,1)), IF(INDEX(ERP資料!$G:$G, (MATCH(579, 輔助計算!$G$2:$G$801, 0)+1))&lt;=790,3,IF(INDEX(ERP資料!$G:$G, (MATCH(579, 輔助計算!$G$2:$G$801, 0)+1))&lt;=1181,2,1))))=0,"",IF(MOD(INDEX(輔助計算!$D:$D, (MATCH(579, 輔助計算!$G$2:$G$801, 0)+1)),IF(INDEX(ERP資料!$G:$G, (MATCH(579, 輔助計算!$G$2:$G$801, 0)+1))&lt;100, IF(INDEX(ERP資料!$G:$G, (MATCH(579, 輔助計算!$G$2:$G$801, 0)+1))&lt;=31,3,IF(INDEX(ERP資料!$G:$G, (MATCH(579, 輔助計算!$G$2:$G$801, 0)+1))&lt;=46.5,2,1)), IF(INDEX(ERP資料!$G:$G, (MATCH(579, 輔助計算!$G$2:$G$801, 0)+1))&lt;=790,3,IF(INDEX(ERP資料!$G:$G, (MATCH(579, 輔助計算!$G$2:$G$801, 0)+1))&lt;=1181,2,1))))=0,"",IF(MOD(INDEX(輔助計算!$D:$D, (MATCH(579, 輔助計算!$G$2:$G$801, 0)+1)),IF(INDEX(ERP資料!$G:$G, (MATCH(579, 輔助計算!$G$2:$G$801, 0)+1))&lt;100, IF(INDEX(ERP資料!$G:$G, (MATCH(579, 輔助計算!$G$2:$G$801, 0)+1))&lt;=31,3,IF(INDEX(ERP資料!$G:$G, (MATCH(579, 輔助計算!$G$2:$G$801, 0)+1))&lt;=46.5,2,1)), IF(INDEX(ERP資料!$G:$G, (MATCH(579, 輔助計算!$G$2:$G$801, 0)+1))&lt;=790,3,IF(INDEX(ERP資料!$G:$G, (MATCH(579, 輔助計算!$G$2:$G$801, 0)+1))&lt;=1181,2,1))))=1,TEXT(INDEX(ERP資料!$G:$G, (MATCH(579, 輔助計算!$G$2:$G$801, 0)+1)),"0.##"),IF(MOD(INDEX(輔助計算!$D:$D, (MATCH(579, 輔助計算!$G$2:$G$801, 0)+1)),IF(INDEX(ERP資料!$G:$G, (MATCH(579, 輔助計算!$G$2:$G$801, 0)+1))&lt;100, IF(INDEX(ERP資料!$G:$G, (MATCH(579, 輔助計算!$G$2:$G$801, 0)+1))&lt;=31,3,IF(INDEX(ERP資料!$G:$G, (MATCH(579, 輔助計算!$G$2:$G$801, 0)+1))&lt;=46.5,2,1)), IF(INDEX(ERP資料!$G:$G, (MATCH(579, 輔助計算!$G$2:$G$801, 0)+1))&lt;=790,3,IF(INDEX(ERP資料!$G:$G, (MATCH(579, 輔助計算!$G$2:$G$801, 0)+1))&lt;=1181,2,1))))=2,TEXT(INDEX(ERP資料!$G:$G, (MATCH(579, 輔助計算!$G$2:$G$801, 0)+1)),"0.##")&amp;"+"&amp;TEXT(INDEX(ERP資料!$G:$G, (MATCH(579, 輔助計算!$G$2:$G$801, 0)+1)),"0.##"),TEXT(INDEX(ERP資料!$G:$G, (MATCH(579, 輔助計算!$G$2:$G$801, 0)+1)),"0.##")&amp;"+"&amp;TEXT(INDEX(ERP資料!$G:$G, (MATCH(579, 輔助計算!$G$2:$G$801, 0)+1)),"0.##")&amp;"+"&amp;TEXT(INDEX(ERP資料!$G:$G, (MATCH(579, 輔助計算!$G$2:$G$801, 0)+1)),"0.##"))))&amp;"-1")), ""), "")</f>
        <v/>
      </c>
      <c r="K580" s="16" t="n"/>
      <c r="L580" s="14">
        <f>IFERROR(IF(AND(IFERROR(INDEX(ERP資料!$A:$A, (MATCH(579, 輔助計算!$G$2:$G$801, 0)+1)), "")&lt;&gt;"", IFERROR(INDEX(ERP資料!$A:$A, (MATCH(579, 輔助計算!$G$2:$G$801, 0)+1)), "")&lt;&gt;IFERROR(INDEX(ERP資料!$A:$A, MATCH(578, 輔助計算!$G$2:$G$801, 0)+1), "")), INDEX(ERP資料!$B:$B, (MATCH(579, 輔助計算!$G$2:$G$801, 0)+1)), ""), "")</f>
        <v/>
      </c>
      <c r="M580" s="17" t="n"/>
    </row>
    <row r="581">
      <c r="A581" s="10">
        <f>IFERROR(IF(AND(IFERROR(INDEX(ERP資料!$A:$A, (MATCH(580, 輔助計算!$G$2:$G$801, 0)+1)), "")&lt;&gt;"", IFERROR(INDEX(ERP資料!$A:$A, (MATCH(580, 輔助計算!$G$2:$G$801, 0)+1)), "")&lt;&gt;IFERROR(INDEX(ERP資料!$A:$A, MATCH(579, 輔助計算!$G$2:$G$801, 0)+1), "")), IFERROR(INDEX(ERP資料!$A:$A, (MATCH(580, 輔助計算!$G$2:$G$801, 0)+1)), ""), ""), "")</f>
        <v/>
      </c>
      <c r="B581" s="10">
        <f>IFERROR(IF(AND(IFERROR(INDEX(ERP資料!$A:$A, (MATCH(580, 輔助計算!$G$2:$G$801, 0)+1)), "")&lt;&gt;"", IFERROR(INDEX(ERP資料!$A:$A, (MATCH(580, 輔助計算!$G$2:$G$801, 0)+1)), "")&lt;&gt;IFERROR(INDEX(ERP資料!$A:$A, MATCH(579, 輔助計算!$G$2:$G$801, 0)+1), "")), INDEX(ERP資料!$S:$S, (MATCH(580, 輔助計算!$G$2:$G$801, 0)+1)), ""), "")</f>
        <v/>
      </c>
      <c r="C581" s="19">
        <f>IFERROR(IF(AND(IFERROR(INDEX(ERP資料!$A:$A, (MATCH(580, 輔助計算!$G$2:$G$801, 0)+1)), "")&lt;&gt;"", IFERROR(INDEX(ERP資料!$A:$A, (MATCH(580, 輔助計算!$G$2:$G$801, 0)+1)), "")&lt;&gt;IFERROR(INDEX(ERP資料!$A:$A, MATCH(579, 輔助計算!$G$2:$G$801, 0)+1), "")), IFERROR(VLOOKUP(LEFT(INDEX(ERP資料!$S:$S, (MATCH(580, 輔助計算!$G$2:$G$801, 0)+1)), 4), 紙管對照表!$A:$C, 3, FALSE), ""), ""), "")</f>
        <v/>
      </c>
      <c r="D581" s="16" t="n"/>
      <c r="E581" s="10">
        <f>IFERROR(IF(INDEX(ERP資料!$H:$H, (MATCH(580, 輔助計算!$G$2:$G$801, 0)+1))="","",INDEX(ERP資料!$H:$H, (MATCH(580, 輔助計算!$G$2:$G$801, 0)+1))), "")</f>
        <v/>
      </c>
      <c r="F581" s="10">
        <f>IFERROR(IF(INDEX(ERP資料!$E:$E, (MATCH(580, 輔助計算!$G$2:$G$801, 0)+1))="","",TRIM(INDEX(ERP資料!$E:$E, (MATCH(580, 輔助計算!$G$2:$G$801, 0)+1)))), "")</f>
        <v/>
      </c>
      <c r="G581" s="10">
        <f>IFERROR(IF(INDEX(ERP資料!$F:$F, (MATCH(580, 輔助計算!$G$2:$G$801, 0)+1))="","",INDEX(ERP資料!$F:$F, (MATCH(580, 輔助計算!$G$2:$G$801, 0)+1))), "")</f>
        <v/>
      </c>
      <c r="H581" s="10">
        <f>IFERROR(IF(INDEX(ERP資料!$G:$G, (MATCH(580, 輔助計算!$G$2:$G$801, 0)+1))="","",INDEX(ERP資料!$G:$G, (MATCH(580, 輔助計算!$G$2:$G$801, 0)+1))), "")</f>
        <v/>
      </c>
      <c r="I581" s="15">
        <f>IFERROR(INDEX(輔助計算!$D:$D, (MATCH(580, 輔助計算!$G$2:$G$801, 0)+1)), "")</f>
        <v/>
      </c>
      <c r="J581" s="15">
        <f>IFERROR(IF(AND(INDEX(輔助計算!$D:$D, (MATCH(580, 輔助計算!$G$2:$G$801, 0)+1))&lt;&gt;"", INDEX(ERP資料!$G:$G, (MATCH(580, 輔助計算!$G$2:$G$801, 0)+1))&lt;&gt;""), TRIM(IF(INT(INDEX(輔助計算!$D:$D, (MATCH(580, 輔助計算!$G$2:$G$801, 0)+1))/IF(INDEX(ERP資料!$G:$G, (MATCH(580, 輔助計算!$G$2:$G$801, 0)+1))&lt;100, IF(INDEX(ERP資料!$G:$G, (MATCH(580, 輔助計算!$G$2:$G$801, 0)+1))&lt;=31,3,IF(INDEX(ERP資料!$G:$G, (MATCH(580, 輔助計算!$G$2:$G$801, 0)+1))&lt;=46.5,2,1)), IF(INDEX(ERP資料!$G:$G, (MATCH(580, 輔助計算!$G$2:$G$801, 0)+1))&lt;=790,3,IF(INDEX(ERP資料!$G:$G, (MATCH(580, 輔助計算!$G$2:$G$801, 0)+1))&lt;=1181,2,1))))&gt;0, IF(IF(INDEX(ERP資料!$G:$G, (MATCH(580, 輔助計算!$G$2:$G$801, 0)+1))&lt;100, IF(INDEX(ERP資料!$G:$G, (MATCH(580, 輔助計算!$G$2:$G$801, 0)+1))&lt;=31,3,IF(INDEX(ERP資料!$G:$G, (MATCH(580, 輔助計算!$G$2:$G$801, 0)+1))&lt;=46.5,2,1)), IF(INDEX(ERP資料!$G:$G, (MATCH(580, 輔助計算!$G$2:$G$801, 0)+1))&lt;=790,3,IF(INDEX(ERP資料!$G:$G, (MATCH(580, 輔助計算!$G$2:$G$801, 0)+1))&lt;=1181,2,1)))=1,TEXT(INDEX(ERP資料!$G:$G, (MATCH(580, 輔助計算!$G$2:$G$801, 0)+1)),"0.##"),IF(IF(INDEX(ERP資料!$G:$G, (MATCH(580, 輔助計算!$G$2:$G$801, 0)+1))&lt;100, IF(INDEX(ERP資料!$G:$G, (MATCH(580, 輔助計算!$G$2:$G$801, 0)+1))&lt;=31,3,IF(INDEX(ERP資料!$G:$G, (MATCH(580, 輔助計算!$G$2:$G$801, 0)+1))&lt;=46.5,2,1)), IF(INDEX(ERP資料!$G:$G, (MATCH(580, 輔助計算!$G$2:$G$801, 0)+1))&lt;=790,3,IF(INDEX(ERP資料!$G:$G, (MATCH(580, 輔助計算!$G$2:$G$801, 0)+1))&lt;=1181,2,1)))=2,TEXT(INDEX(ERP資料!$G:$G, (MATCH(580, 輔助計算!$G$2:$G$801, 0)+1)),"0.##")&amp;"+"&amp;TEXT(INDEX(ERP資料!$G:$G, (MATCH(580, 輔助計算!$G$2:$G$801, 0)+1)),"0.##"),TEXT(INDEX(ERP資料!$G:$G, (MATCH(580, 輔助計算!$G$2:$G$801, 0)+1)),"0.##")&amp;"+"&amp;TEXT(INDEX(ERP資料!$G:$G, (MATCH(580, 輔助計算!$G$2:$G$801, 0)+1)),"0.##")&amp;"+"&amp;TEXT(INDEX(ERP資料!$G:$G, (MATCH(580, 輔助計算!$G$2:$G$801, 0)+1)),"0.##")))&amp;"-"&amp;INT(INDEX(輔助計算!$D:$D, (MATCH(580, 輔助計算!$G$2:$G$801, 0)+1))/IF(INDEX(ERP資料!$G:$G, (MATCH(580, 輔助計算!$G$2:$G$801, 0)+1))&lt;100, IF(INDEX(ERP資料!$G:$G, (MATCH(580, 輔助計算!$G$2:$G$801, 0)+1))&lt;=31,3,IF(INDEX(ERP資料!$G:$G, (MATCH(580, 輔助計算!$G$2:$G$801, 0)+1))&lt;=46.5,2,1)), IF(INDEX(ERP資料!$G:$G, (MATCH(580, 輔助計算!$G$2:$G$801, 0)+1))&lt;=790,3,IF(INDEX(ERP資料!$G:$G, (MATCH(580, 輔助計算!$G$2:$G$801, 0)+1))&lt;=1181,2,1)))), "")&amp;IF(AND(IF(INT(INDEX(輔助計算!$D:$D, (MATCH(580, 輔助計算!$G$2:$G$801, 0)+1))/IF(INDEX(ERP資料!$G:$G, (MATCH(580, 輔助計算!$G$2:$G$801, 0)+1))&lt;100, IF(INDEX(ERP資料!$G:$G, (MATCH(580, 輔助計算!$G$2:$G$801, 0)+1))&lt;=31,3,IF(INDEX(ERP資料!$G:$G, (MATCH(580, 輔助計算!$G$2:$G$801, 0)+1))&lt;=46.5,2,1)), IF(INDEX(ERP資料!$G:$G, (MATCH(580, 輔助計算!$G$2:$G$801, 0)+1))&lt;=790,3,IF(INDEX(ERP資料!$G:$G, (MATCH(580, 輔助計算!$G$2:$G$801, 0)+1))&lt;=1181,2,1))))&gt;0, IF(IF(INDEX(ERP資料!$G:$G, (MATCH(580, 輔助計算!$G$2:$G$801, 0)+1))&lt;100, IF(INDEX(ERP資料!$G:$G, (MATCH(580, 輔助計算!$G$2:$G$801, 0)+1))&lt;=31,3,IF(INDEX(ERP資料!$G:$G, (MATCH(580, 輔助計算!$G$2:$G$801, 0)+1))&lt;=46.5,2,1)), IF(INDEX(ERP資料!$G:$G, (MATCH(580, 輔助計算!$G$2:$G$801, 0)+1))&lt;=790,3,IF(INDEX(ERP資料!$G:$G, (MATCH(580, 輔助計算!$G$2:$G$801, 0)+1))&lt;=1181,2,1)))=1,TEXT(INDEX(ERP資料!$G:$G, (MATCH(580, 輔助計算!$G$2:$G$801, 0)+1)),"0.##"),IF(IF(INDEX(ERP資料!$G:$G, (MATCH(580, 輔助計算!$G$2:$G$801, 0)+1))&lt;100, IF(INDEX(ERP資料!$G:$G, (MATCH(580, 輔助計算!$G$2:$G$801, 0)+1))&lt;=31,3,IF(INDEX(ERP資料!$G:$G, (MATCH(580, 輔助計算!$G$2:$G$801, 0)+1))&lt;=46.5,2,1)), IF(INDEX(ERP資料!$G:$G, (MATCH(580, 輔助計算!$G$2:$G$801, 0)+1))&lt;=790,3,IF(INDEX(ERP資料!$G:$G, (MATCH(580, 輔助計算!$G$2:$G$801, 0)+1))&lt;=1181,2,1)))=2,TEXT(INDEX(ERP資料!$G:$G, (MATCH(580, 輔助計算!$G$2:$G$801, 0)+1)),"0.##")&amp;"+"&amp;TEXT(INDEX(ERP資料!$G:$G, (MATCH(580, 輔助計算!$G$2:$G$801, 0)+1)),"0.##"),TEXT(INDEX(ERP資料!$G:$G, (MATCH(580, 輔助計算!$G$2:$G$801, 0)+1)),"0.##")&amp;"+"&amp;TEXT(INDEX(ERP資料!$G:$G, (MATCH(580, 輔助計算!$G$2:$G$801, 0)+1)),"0.##")&amp;"+"&amp;TEXT(INDEX(ERP資料!$G:$G, (MATCH(580, 輔助計算!$G$2:$G$801, 0)+1)),"0.##")))&amp;"-"&amp;INT(INDEX(輔助計算!$D:$D, (MATCH(580, 輔助計算!$G$2:$G$801, 0)+1))/IF(INDEX(ERP資料!$G:$G, (MATCH(580, 輔助計算!$G$2:$G$801, 0)+1))&lt;100, IF(INDEX(ERP資料!$G:$G, (MATCH(580, 輔助計算!$G$2:$G$801, 0)+1))&lt;=31,3,IF(INDEX(ERP資料!$G:$G, (MATCH(580, 輔助計算!$G$2:$G$801, 0)+1))&lt;=46.5,2,1)), IF(INDEX(ERP資料!$G:$G, (MATCH(580, 輔助計算!$G$2:$G$801, 0)+1))&lt;=790,3,IF(INDEX(ERP資料!$G:$G, (MATCH(580, 輔助計算!$G$2:$G$801, 0)+1))&lt;=1181,2,1)))), "")&lt;&gt;"",IF(MOD(INDEX(輔助計算!$D:$D, (MATCH(580, 輔助計算!$G$2:$G$801, 0)+1)),IF(INDEX(ERP資料!$G:$G, (MATCH(580, 輔助計算!$G$2:$G$801, 0)+1))&lt;100, IF(INDEX(ERP資料!$G:$G, (MATCH(580, 輔助計算!$G$2:$G$801, 0)+1))&lt;=31,3,IF(INDEX(ERP資料!$G:$G, (MATCH(580, 輔助計算!$G$2:$G$801, 0)+1))&lt;=46.5,2,1)), IF(INDEX(ERP資料!$G:$G, (MATCH(580, 輔助計算!$G$2:$G$801, 0)+1))&lt;=790,3,IF(INDEX(ERP資料!$G:$G, (MATCH(580, 輔助計算!$G$2:$G$801, 0)+1))&lt;=1181,2,1))))=0,"",IF(MOD(INDEX(輔助計算!$D:$D, (MATCH(580, 輔助計算!$G$2:$G$801, 0)+1)),IF(INDEX(ERP資料!$G:$G, (MATCH(580, 輔助計算!$G$2:$G$801, 0)+1))&lt;100, IF(INDEX(ERP資料!$G:$G, (MATCH(580, 輔助計算!$G$2:$G$801, 0)+1))&lt;=31,3,IF(INDEX(ERP資料!$G:$G, (MATCH(580, 輔助計算!$G$2:$G$801, 0)+1))&lt;=46.5,2,1)), IF(INDEX(ERP資料!$G:$G, (MATCH(580, 輔助計算!$G$2:$G$801, 0)+1))&lt;=790,3,IF(INDEX(ERP資料!$G:$G, (MATCH(580, 輔助計算!$G$2:$G$801, 0)+1))&lt;=1181,2,1))))=0,"",IF(MOD(INDEX(輔助計算!$D:$D, (MATCH(580, 輔助計算!$G$2:$G$801, 0)+1)),IF(INDEX(ERP資料!$G:$G, (MATCH(580, 輔助計算!$G$2:$G$801, 0)+1))&lt;100, IF(INDEX(ERP資料!$G:$G, (MATCH(580, 輔助計算!$G$2:$G$801, 0)+1))&lt;=31,3,IF(INDEX(ERP資料!$G:$G, (MATCH(580, 輔助計算!$G$2:$G$801, 0)+1))&lt;=46.5,2,1)), IF(INDEX(ERP資料!$G:$G, (MATCH(580, 輔助計算!$G$2:$G$801, 0)+1))&lt;=790,3,IF(INDEX(ERP資料!$G:$G, (MATCH(580, 輔助計算!$G$2:$G$801, 0)+1))&lt;=1181,2,1))))=1,TEXT(INDEX(ERP資料!$G:$G, (MATCH(580, 輔助計算!$G$2:$G$801, 0)+1)),"0.##"),IF(MOD(INDEX(輔助計算!$D:$D, (MATCH(580, 輔助計算!$G$2:$G$801, 0)+1)),IF(INDEX(ERP資料!$G:$G, (MATCH(580, 輔助計算!$G$2:$G$801, 0)+1))&lt;100, IF(INDEX(ERP資料!$G:$G, (MATCH(580, 輔助計算!$G$2:$G$801, 0)+1))&lt;=31,3,IF(INDEX(ERP資料!$G:$G, (MATCH(580, 輔助計算!$G$2:$G$801, 0)+1))&lt;=46.5,2,1)), IF(INDEX(ERP資料!$G:$G, (MATCH(580, 輔助計算!$G$2:$G$801, 0)+1))&lt;=790,3,IF(INDEX(ERP資料!$G:$G, (MATCH(580, 輔助計算!$G$2:$G$801, 0)+1))&lt;=1181,2,1))))=2,TEXT(INDEX(ERP資料!$G:$G, (MATCH(580, 輔助計算!$G$2:$G$801, 0)+1)),"0.##")&amp;"+"&amp;TEXT(INDEX(ERP資料!$G:$G, (MATCH(580, 輔助計算!$G$2:$G$801, 0)+1)),"0.##"),TEXT(INDEX(ERP資料!$G:$G, (MATCH(580, 輔助計算!$G$2:$G$801, 0)+1)),"0.##")&amp;"+"&amp;TEXT(INDEX(ERP資料!$G:$G, (MATCH(580, 輔助計算!$G$2:$G$801, 0)+1)),"0.##")&amp;"+"&amp;TEXT(INDEX(ERP資料!$G:$G, (MATCH(580, 輔助計算!$G$2:$G$801, 0)+1)),"0.##"))))&amp;"-1")&lt;&gt;""),"  ","")&amp;IF(MOD(INDEX(輔助計算!$D:$D, (MATCH(580, 輔助計算!$G$2:$G$801, 0)+1)),IF(INDEX(ERP資料!$G:$G, (MATCH(580, 輔助計算!$G$2:$G$801, 0)+1))&lt;100, IF(INDEX(ERP資料!$G:$G, (MATCH(580, 輔助計算!$G$2:$G$801, 0)+1))&lt;=31,3,IF(INDEX(ERP資料!$G:$G, (MATCH(580, 輔助計算!$G$2:$G$801, 0)+1))&lt;=46.5,2,1)), IF(INDEX(ERP資料!$G:$G, (MATCH(580, 輔助計算!$G$2:$G$801, 0)+1))&lt;=790,3,IF(INDEX(ERP資料!$G:$G, (MATCH(580, 輔助計算!$G$2:$G$801, 0)+1))&lt;=1181,2,1))))=0,"",IF(MOD(INDEX(輔助計算!$D:$D, (MATCH(580, 輔助計算!$G$2:$G$801, 0)+1)),IF(INDEX(ERP資料!$G:$G, (MATCH(580, 輔助計算!$G$2:$G$801, 0)+1))&lt;100, IF(INDEX(ERP資料!$G:$G, (MATCH(580, 輔助計算!$G$2:$G$801, 0)+1))&lt;=31,3,IF(INDEX(ERP資料!$G:$G, (MATCH(580, 輔助計算!$G$2:$G$801, 0)+1))&lt;=46.5,2,1)), IF(INDEX(ERP資料!$G:$G, (MATCH(580, 輔助計算!$G$2:$G$801, 0)+1))&lt;=790,3,IF(INDEX(ERP資料!$G:$G, (MATCH(580, 輔助計算!$G$2:$G$801, 0)+1))&lt;=1181,2,1))))=0,"",IF(MOD(INDEX(輔助計算!$D:$D, (MATCH(580, 輔助計算!$G$2:$G$801, 0)+1)),IF(INDEX(ERP資料!$G:$G, (MATCH(580, 輔助計算!$G$2:$G$801, 0)+1))&lt;100, IF(INDEX(ERP資料!$G:$G, (MATCH(580, 輔助計算!$G$2:$G$801, 0)+1))&lt;=31,3,IF(INDEX(ERP資料!$G:$G, (MATCH(580, 輔助計算!$G$2:$G$801, 0)+1))&lt;=46.5,2,1)), IF(INDEX(ERP資料!$G:$G, (MATCH(580, 輔助計算!$G$2:$G$801, 0)+1))&lt;=790,3,IF(INDEX(ERP資料!$G:$G, (MATCH(580, 輔助計算!$G$2:$G$801, 0)+1))&lt;=1181,2,1))))=1,TEXT(INDEX(ERP資料!$G:$G, (MATCH(580, 輔助計算!$G$2:$G$801, 0)+1)),"0.##"),IF(MOD(INDEX(輔助計算!$D:$D, (MATCH(580, 輔助計算!$G$2:$G$801, 0)+1)),IF(INDEX(ERP資料!$G:$G, (MATCH(580, 輔助計算!$G$2:$G$801, 0)+1))&lt;100, IF(INDEX(ERP資料!$G:$G, (MATCH(580, 輔助計算!$G$2:$G$801, 0)+1))&lt;=31,3,IF(INDEX(ERP資料!$G:$G, (MATCH(580, 輔助計算!$G$2:$G$801, 0)+1))&lt;=46.5,2,1)), IF(INDEX(ERP資料!$G:$G, (MATCH(580, 輔助計算!$G$2:$G$801, 0)+1))&lt;=790,3,IF(INDEX(ERP資料!$G:$G, (MATCH(580, 輔助計算!$G$2:$G$801, 0)+1))&lt;=1181,2,1))))=2,TEXT(INDEX(ERP資料!$G:$G, (MATCH(580, 輔助計算!$G$2:$G$801, 0)+1)),"0.##")&amp;"+"&amp;TEXT(INDEX(ERP資料!$G:$G, (MATCH(580, 輔助計算!$G$2:$G$801, 0)+1)),"0.##"),TEXT(INDEX(ERP資料!$G:$G, (MATCH(580, 輔助計算!$G$2:$G$801, 0)+1)),"0.##")&amp;"+"&amp;TEXT(INDEX(ERP資料!$G:$G, (MATCH(580, 輔助計算!$G$2:$G$801, 0)+1)),"0.##")&amp;"+"&amp;TEXT(INDEX(ERP資料!$G:$G, (MATCH(580, 輔助計算!$G$2:$G$801, 0)+1)),"0.##"))))&amp;"-1")), ""), "")</f>
        <v/>
      </c>
      <c r="K581" s="16" t="n"/>
      <c r="L581" s="14">
        <f>IFERROR(IF(AND(IFERROR(INDEX(ERP資料!$A:$A, (MATCH(580, 輔助計算!$G$2:$G$801, 0)+1)), "")&lt;&gt;"", IFERROR(INDEX(ERP資料!$A:$A, (MATCH(580, 輔助計算!$G$2:$G$801, 0)+1)), "")&lt;&gt;IFERROR(INDEX(ERP資料!$A:$A, MATCH(579, 輔助計算!$G$2:$G$801, 0)+1), "")), INDEX(ERP資料!$B:$B, (MATCH(580, 輔助計算!$G$2:$G$801, 0)+1)), ""), "")</f>
        <v/>
      </c>
      <c r="M581" s="17" t="n"/>
    </row>
    <row r="582">
      <c r="A582" s="10">
        <f>IFERROR(IF(AND(IFERROR(INDEX(ERP資料!$A:$A, (MATCH(581, 輔助計算!$G$2:$G$801, 0)+1)), "")&lt;&gt;"", IFERROR(INDEX(ERP資料!$A:$A, (MATCH(581, 輔助計算!$G$2:$G$801, 0)+1)), "")&lt;&gt;IFERROR(INDEX(ERP資料!$A:$A, MATCH(580, 輔助計算!$G$2:$G$801, 0)+1), "")), IFERROR(INDEX(ERP資料!$A:$A, (MATCH(581, 輔助計算!$G$2:$G$801, 0)+1)), ""), ""), "")</f>
        <v/>
      </c>
      <c r="B582" s="10">
        <f>IFERROR(IF(AND(IFERROR(INDEX(ERP資料!$A:$A, (MATCH(581, 輔助計算!$G$2:$G$801, 0)+1)), "")&lt;&gt;"", IFERROR(INDEX(ERP資料!$A:$A, (MATCH(581, 輔助計算!$G$2:$G$801, 0)+1)), "")&lt;&gt;IFERROR(INDEX(ERP資料!$A:$A, MATCH(580, 輔助計算!$G$2:$G$801, 0)+1), "")), INDEX(ERP資料!$S:$S, (MATCH(581, 輔助計算!$G$2:$G$801, 0)+1)), ""), "")</f>
        <v/>
      </c>
      <c r="C582" s="19">
        <f>IFERROR(IF(AND(IFERROR(INDEX(ERP資料!$A:$A, (MATCH(581, 輔助計算!$G$2:$G$801, 0)+1)), "")&lt;&gt;"", IFERROR(INDEX(ERP資料!$A:$A, (MATCH(581, 輔助計算!$G$2:$G$801, 0)+1)), "")&lt;&gt;IFERROR(INDEX(ERP資料!$A:$A, MATCH(580, 輔助計算!$G$2:$G$801, 0)+1), "")), IFERROR(VLOOKUP(LEFT(INDEX(ERP資料!$S:$S, (MATCH(581, 輔助計算!$G$2:$G$801, 0)+1)), 4), 紙管對照表!$A:$C, 3, FALSE), ""), ""), "")</f>
        <v/>
      </c>
      <c r="D582" s="16" t="n"/>
      <c r="E582" s="10">
        <f>IFERROR(IF(INDEX(ERP資料!$H:$H, (MATCH(581, 輔助計算!$G$2:$G$801, 0)+1))="","",INDEX(ERP資料!$H:$H, (MATCH(581, 輔助計算!$G$2:$G$801, 0)+1))), "")</f>
        <v/>
      </c>
      <c r="F582" s="10">
        <f>IFERROR(IF(INDEX(ERP資料!$E:$E, (MATCH(581, 輔助計算!$G$2:$G$801, 0)+1))="","",TRIM(INDEX(ERP資料!$E:$E, (MATCH(581, 輔助計算!$G$2:$G$801, 0)+1)))), "")</f>
        <v/>
      </c>
      <c r="G582" s="10">
        <f>IFERROR(IF(INDEX(ERP資料!$F:$F, (MATCH(581, 輔助計算!$G$2:$G$801, 0)+1))="","",INDEX(ERP資料!$F:$F, (MATCH(581, 輔助計算!$G$2:$G$801, 0)+1))), "")</f>
        <v/>
      </c>
      <c r="H582" s="10">
        <f>IFERROR(IF(INDEX(ERP資料!$G:$G, (MATCH(581, 輔助計算!$G$2:$G$801, 0)+1))="","",INDEX(ERP資料!$G:$G, (MATCH(581, 輔助計算!$G$2:$G$801, 0)+1))), "")</f>
        <v/>
      </c>
      <c r="I582" s="15">
        <f>IFERROR(INDEX(輔助計算!$D:$D, (MATCH(581, 輔助計算!$G$2:$G$801, 0)+1)), "")</f>
        <v/>
      </c>
      <c r="J582" s="15">
        <f>IFERROR(IF(AND(INDEX(輔助計算!$D:$D, (MATCH(581, 輔助計算!$G$2:$G$801, 0)+1))&lt;&gt;"", INDEX(ERP資料!$G:$G, (MATCH(581, 輔助計算!$G$2:$G$801, 0)+1))&lt;&gt;""), TRIM(IF(INT(INDEX(輔助計算!$D:$D, (MATCH(581, 輔助計算!$G$2:$G$801, 0)+1))/IF(INDEX(ERP資料!$G:$G, (MATCH(581, 輔助計算!$G$2:$G$801, 0)+1))&lt;100, IF(INDEX(ERP資料!$G:$G, (MATCH(581, 輔助計算!$G$2:$G$801, 0)+1))&lt;=31,3,IF(INDEX(ERP資料!$G:$G, (MATCH(581, 輔助計算!$G$2:$G$801, 0)+1))&lt;=46.5,2,1)), IF(INDEX(ERP資料!$G:$G, (MATCH(581, 輔助計算!$G$2:$G$801, 0)+1))&lt;=790,3,IF(INDEX(ERP資料!$G:$G, (MATCH(581, 輔助計算!$G$2:$G$801, 0)+1))&lt;=1181,2,1))))&gt;0, IF(IF(INDEX(ERP資料!$G:$G, (MATCH(581, 輔助計算!$G$2:$G$801, 0)+1))&lt;100, IF(INDEX(ERP資料!$G:$G, (MATCH(581, 輔助計算!$G$2:$G$801, 0)+1))&lt;=31,3,IF(INDEX(ERP資料!$G:$G, (MATCH(581, 輔助計算!$G$2:$G$801, 0)+1))&lt;=46.5,2,1)), IF(INDEX(ERP資料!$G:$G, (MATCH(581, 輔助計算!$G$2:$G$801, 0)+1))&lt;=790,3,IF(INDEX(ERP資料!$G:$G, (MATCH(581, 輔助計算!$G$2:$G$801, 0)+1))&lt;=1181,2,1)))=1,TEXT(INDEX(ERP資料!$G:$G, (MATCH(581, 輔助計算!$G$2:$G$801, 0)+1)),"0.##"),IF(IF(INDEX(ERP資料!$G:$G, (MATCH(581, 輔助計算!$G$2:$G$801, 0)+1))&lt;100, IF(INDEX(ERP資料!$G:$G, (MATCH(581, 輔助計算!$G$2:$G$801, 0)+1))&lt;=31,3,IF(INDEX(ERP資料!$G:$G, (MATCH(581, 輔助計算!$G$2:$G$801, 0)+1))&lt;=46.5,2,1)), IF(INDEX(ERP資料!$G:$G, (MATCH(581, 輔助計算!$G$2:$G$801, 0)+1))&lt;=790,3,IF(INDEX(ERP資料!$G:$G, (MATCH(581, 輔助計算!$G$2:$G$801, 0)+1))&lt;=1181,2,1)))=2,TEXT(INDEX(ERP資料!$G:$G, (MATCH(581, 輔助計算!$G$2:$G$801, 0)+1)),"0.##")&amp;"+"&amp;TEXT(INDEX(ERP資料!$G:$G, (MATCH(581, 輔助計算!$G$2:$G$801, 0)+1)),"0.##"),TEXT(INDEX(ERP資料!$G:$G, (MATCH(581, 輔助計算!$G$2:$G$801, 0)+1)),"0.##")&amp;"+"&amp;TEXT(INDEX(ERP資料!$G:$G, (MATCH(581, 輔助計算!$G$2:$G$801, 0)+1)),"0.##")&amp;"+"&amp;TEXT(INDEX(ERP資料!$G:$G, (MATCH(581, 輔助計算!$G$2:$G$801, 0)+1)),"0.##")))&amp;"-"&amp;INT(INDEX(輔助計算!$D:$D, (MATCH(581, 輔助計算!$G$2:$G$801, 0)+1))/IF(INDEX(ERP資料!$G:$G, (MATCH(581, 輔助計算!$G$2:$G$801, 0)+1))&lt;100, IF(INDEX(ERP資料!$G:$G, (MATCH(581, 輔助計算!$G$2:$G$801, 0)+1))&lt;=31,3,IF(INDEX(ERP資料!$G:$G, (MATCH(581, 輔助計算!$G$2:$G$801, 0)+1))&lt;=46.5,2,1)), IF(INDEX(ERP資料!$G:$G, (MATCH(581, 輔助計算!$G$2:$G$801, 0)+1))&lt;=790,3,IF(INDEX(ERP資料!$G:$G, (MATCH(581, 輔助計算!$G$2:$G$801, 0)+1))&lt;=1181,2,1)))), "")&amp;IF(AND(IF(INT(INDEX(輔助計算!$D:$D, (MATCH(581, 輔助計算!$G$2:$G$801, 0)+1))/IF(INDEX(ERP資料!$G:$G, (MATCH(581, 輔助計算!$G$2:$G$801, 0)+1))&lt;100, IF(INDEX(ERP資料!$G:$G, (MATCH(581, 輔助計算!$G$2:$G$801, 0)+1))&lt;=31,3,IF(INDEX(ERP資料!$G:$G, (MATCH(581, 輔助計算!$G$2:$G$801, 0)+1))&lt;=46.5,2,1)), IF(INDEX(ERP資料!$G:$G, (MATCH(581, 輔助計算!$G$2:$G$801, 0)+1))&lt;=790,3,IF(INDEX(ERP資料!$G:$G, (MATCH(581, 輔助計算!$G$2:$G$801, 0)+1))&lt;=1181,2,1))))&gt;0, IF(IF(INDEX(ERP資料!$G:$G, (MATCH(581, 輔助計算!$G$2:$G$801, 0)+1))&lt;100, IF(INDEX(ERP資料!$G:$G, (MATCH(581, 輔助計算!$G$2:$G$801, 0)+1))&lt;=31,3,IF(INDEX(ERP資料!$G:$G, (MATCH(581, 輔助計算!$G$2:$G$801, 0)+1))&lt;=46.5,2,1)), IF(INDEX(ERP資料!$G:$G, (MATCH(581, 輔助計算!$G$2:$G$801, 0)+1))&lt;=790,3,IF(INDEX(ERP資料!$G:$G, (MATCH(581, 輔助計算!$G$2:$G$801, 0)+1))&lt;=1181,2,1)))=1,TEXT(INDEX(ERP資料!$G:$G, (MATCH(581, 輔助計算!$G$2:$G$801, 0)+1)),"0.##"),IF(IF(INDEX(ERP資料!$G:$G, (MATCH(581, 輔助計算!$G$2:$G$801, 0)+1))&lt;100, IF(INDEX(ERP資料!$G:$G, (MATCH(581, 輔助計算!$G$2:$G$801, 0)+1))&lt;=31,3,IF(INDEX(ERP資料!$G:$G, (MATCH(581, 輔助計算!$G$2:$G$801, 0)+1))&lt;=46.5,2,1)), IF(INDEX(ERP資料!$G:$G, (MATCH(581, 輔助計算!$G$2:$G$801, 0)+1))&lt;=790,3,IF(INDEX(ERP資料!$G:$G, (MATCH(581, 輔助計算!$G$2:$G$801, 0)+1))&lt;=1181,2,1)))=2,TEXT(INDEX(ERP資料!$G:$G, (MATCH(581, 輔助計算!$G$2:$G$801, 0)+1)),"0.##")&amp;"+"&amp;TEXT(INDEX(ERP資料!$G:$G, (MATCH(581, 輔助計算!$G$2:$G$801, 0)+1)),"0.##"),TEXT(INDEX(ERP資料!$G:$G, (MATCH(581, 輔助計算!$G$2:$G$801, 0)+1)),"0.##")&amp;"+"&amp;TEXT(INDEX(ERP資料!$G:$G, (MATCH(581, 輔助計算!$G$2:$G$801, 0)+1)),"0.##")&amp;"+"&amp;TEXT(INDEX(ERP資料!$G:$G, (MATCH(581, 輔助計算!$G$2:$G$801, 0)+1)),"0.##")))&amp;"-"&amp;INT(INDEX(輔助計算!$D:$D, (MATCH(581, 輔助計算!$G$2:$G$801, 0)+1))/IF(INDEX(ERP資料!$G:$G, (MATCH(581, 輔助計算!$G$2:$G$801, 0)+1))&lt;100, IF(INDEX(ERP資料!$G:$G, (MATCH(581, 輔助計算!$G$2:$G$801, 0)+1))&lt;=31,3,IF(INDEX(ERP資料!$G:$G, (MATCH(581, 輔助計算!$G$2:$G$801, 0)+1))&lt;=46.5,2,1)), IF(INDEX(ERP資料!$G:$G, (MATCH(581, 輔助計算!$G$2:$G$801, 0)+1))&lt;=790,3,IF(INDEX(ERP資料!$G:$G, (MATCH(581, 輔助計算!$G$2:$G$801, 0)+1))&lt;=1181,2,1)))), "")&lt;&gt;"",IF(MOD(INDEX(輔助計算!$D:$D, (MATCH(581, 輔助計算!$G$2:$G$801, 0)+1)),IF(INDEX(ERP資料!$G:$G, (MATCH(581, 輔助計算!$G$2:$G$801, 0)+1))&lt;100, IF(INDEX(ERP資料!$G:$G, (MATCH(581, 輔助計算!$G$2:$G$801, 0)+1))&lt;=31,3,IF(INDEX(ERP資料!$G:$G, (MATCH(581, 輔助計算!$G$2:$G$801, 0)+1))&lt;=46.5,2,1)), IF(INDEX(ERP資料!$G:$G, (MATCH(581, 輔助計算!$G$2:$G$801, 0)+1))&lt;=790,3,IF(INDEX(ERP資料!$G:$G, (MATCH(581, 輔助計算!$G$2:$G$801, 0)+1))&lt;=1181,2,1))))=0,"",IF(MOD(INDEX(輔助計算!$D:$D, (MATCH(581, 輔助計算!$G$2:$G$801, 0)+1)),IF(INDEX(ERP資料!$G:$G, (MATCH(581, 輔助計算!$G$2:$G$801, 0)+1))&lt;100, IF(INDEX(ERP資料!$G:$G, (MATCH(581, 輔助計算!$G$2:$G$801, 0)+1))&lt;=31,3,IF(INDEX(ERP資料!$G:$G, (MATCH(581, 輔助計算!$G$2:$G$801, 0)+1))&lt;=46.5,2,1)), IF(INDEX(ERP資料!$G:$G, (MATCH(581, 輔助計算!$G$2:$G$801, 0)+1))&lt;=790,3,IF(INDEX(ERP資料!$G:$G, (MATCH(581, 輔助計算!$G$2:$G$801, 0)+1))&lt;=1181,2,1))))=0,"",IF(MOD(INDEX(輔助計算!$D:$D, (MATCH(581, 輔助計算!$G$2:$G$801, 0)+1)),IF(INDEX(ERP資料!$G:$G, (MATCH(581, 輔助計算!$G$2:$G$801, 0)+1))&lt;100, IF(INDEX(ERP資料!$G:$G, (MATCH(581, 輔助計算!$G$2:$G$801, 0)+1))&lt;=31,3,IF(INDEX(ERP資料!$G:$G, (MATCH(581, 輔助計算!$G$2:$G$801, 0)+1))&lt;=46.5,2,1)), IF(INDEX(ERP資料!$G:$G, (MATCH(581, 輔助計算!$G$2:$G$801, 0)+1))&lt;=790,3,IF(INDEX(ERP資料!$G:$G, (MATCH(581, 輔助計算!$G$2:$G$801, 0)+1))&lt;=1181,2,1))))=1,TEXT(INDEX(ERP資料!$G:$G, (MATCH(581, 輔助計算!$G$2:$G$801, 0)+1)),"0.##"),IF(MOD(INDEX(輔助計算!$D:$D, (MATCH(581, 輔助計算!$G$2:$G$801, 0)+1)),IF(INDEX(ERP資料!$G:$G, (MATCH(581, 輔助計算!$G$2:$G$801, 0)+1))&lt;100, IF(INDEX(ERP資料!$G:$G, (MATCH(581, 輔助計算!$G$2:$G$801, 0)+1))&lt;=31,3,IF(INDEX(ERP資料!$G:$G, (MATCH(581, 輔助計算!$G$2:$G$801, 0)+1))&lt;=46.5,2,1)), IF(INDEX(ERP資料!$G:$G, (MATCH(581, 輔助計算!$G$2:$G$801, 0)+1))&lt;=790,3,IF(INDEX(ERP資料!$G:$G, (MATCH(581, 輔助計算!$G$2:$G$801, 0)+1))&lt;=1181,2,1))))=2,TEXT(INDEX(ERP資料!$G:$G, (MATCH(581, 輔助計算!$G$2:$G$801, 0)+1)),"0.##")&amp;"+"&amp;TEXT(INDEX(ERP資料!$G:$G, (MATCH(581, 輔助計算!$G$2:$G$801, 0)+1)),"0.##"),TEXT(INDEX(ERP資料!$G:$G, (MATCH(581, 輔助計算!$G$2:$G$801, 0)+1)),"0.##")&amp;"+"&amp;TEXT(INDEX(ERP資料!$G:$G, (MATCH(581, 輔助計算!$G$2:$G$801, 0)+1)),"0.##")&amp;"+"&amp;TEXT(INDEX(ERP資料!$G:$G, (MATCH(581, 輔助計算!$G$2:$G$801, 0)+1)),"0.##"))))&amp;"-1")&lt;&gt;""),"  ","")&amp;IF(MOD(INDEX(輔助計算!$D:$D, (MATCH(581, 輔助計算!$G$2:$G$801, 0)+1)),IF(INDEX(ERP資料!$G:$G, (MATCH(581, 輔助計算!$G$2:$G$801, 0)+1))&lt;100, IF(INDEX(ERP資料!$G:$G, (MATCH(581, 輔助計算!$G$2:$G$801, 0)+1))&lt;=31,3,IF(INDEX(ERP資料!$G:$G, (MATCH(581, 輔助計算!$G$2:$G$801, 0)+1))&lt;=46.5,2,1)), IF(INDEX(ERP資料!$G:$G, (MATCH(581, 輔助計算!$G$2:$G$801, 0)+1))&lt;=790,3,IF(INDEX(ERP資料!$G:$G, (MATCH(581, 輔助計算!$G$2:$G$801, 0)+1))&lt;=1181,2,1))))=0,"",IF(MOD(INDEX(輔助計算!$D:$D, (MATCH(581, 輔助計算!$G$2:$G$801, 0)+1)),IF(INDEX(ERP資料!$G:$G, (MATCH(581, 輔助計算!$G$2:$G$801, 0)+1))&lt;100, IF(INDEX(ERP資料!$G:$G, (MATCH(581, 輔助計算!$G$2:$G$801, 0)+1))&lt;=31,3,IF(INDEX(ERP資料!$G:$G, (MATCH(581, 輔助計算!$G$2:$G$801, 0)+1))&lt;=46.5,2,1)), IF(INDEX(ERP資料!$G:$G, (MATCH(581, 輔助計算!$G$2:$G$801, 0)+1))&lt;=790,3,IF(INDEX(ERP資料!$G:$G, (MATCH(581, 輔助計算!$G$2:$G$801, 0)+1))&lt;=1181,2,1))))=0,"",IF(MOD(INDEX(輔助計算!$D:$D, (MATCH(581, 輔助計算!$G$2:$G$801, 0)+1)),IF(INDEX(ERP資料!$G:$G, (MATCH(581, 輔助計算!$G$2:$G$801, 0)+1))&lt;100, IF(INDEX(ERP資料!$G:$G, (MATCH(581, 輔助計算!$G$2:$G$801, 0)+1))&lt;=31,3,IF(INDEX(ERP資料!$G:$G, (MATCH(581, 輔助計算!$G$2:$G$801, 0)+1))&lt;=46.5,2,1)), IF(INDEX(ERP資料!$G:$G, (MATCH(581, 輔助計算!$G$2:$G$801, 0)+1))&lt;=790,3,IF(INDEX(ERP資料!$G:$G, (MATCH(581, 輔助計算!$G$2:$G$801, 0)+1))&lt;=1181,2,1))))=1,TEXT(INDEX(ERP資料!$G:$G, (MATCH(581, 輔助計算!$G$2:$G$801, 0)+1)),"0.##"),IF(MOD(INDEX(輔助計算!$D:$D, (MATCH(581, 輔助計算!$G$2:$G$801, 0)+1)),IF(INDEX(ERP資料!$G:$G, (MATCH(581, 輔助計算!$G$2:$G$801, 0)+1))&lt;100, IF(INDEX(ERP資料!$G:$G, (MATCH(581, 輔助計算!$G$2:$G$801, 0)+1))&lt;=31,3,IF(INDEX(ERP資料!$G:$G, (MATCH(581, 輔助計算!$G$2:$G$801, 0)+1))&lt;=46.5,2,1)), IF(INDEX(ERP資料!$G:$G, (MATCH(581, 輔助計算!$G$2:$G$801, 0)+1))&lt;=790,3,IF(INDEX(ERP資料!$G:$G, (MATCH(581, 輔助計算!$G$2:$G$801, 0)+1))&lt;=1181,2,1))))=2,TEXT(INDEX(ERP資料!$G:$G, (MATCH(581, 輔助計算!$G$2:$G$801, 0)+1)),"0.##")&amp;"+"&amp;TEXT(INDEX(ERP資料!$G:$G, (MATCH(581, 輔助計算!$G$2:$G$801, 0)+1)),"0.##"),TEXT(INDEX(ERP資料!$G:$G, (MATCH(581, 輔助計算!$G$2:$G$801, 0)+1)),"0.##")&amp;"+"&amp;TEXT(INDEX(ERP資料!$G:$G, (MATCH(581, 輔助計算!$G$2:$G$801, 0)+1)),"0.##")&amp;"+"&amp;TEXT(INDEX(ERP資料!$G:$G, (MATCH(581, 輔助計算!$G$2:$G$801, 0)+1)),"0.##"))))&amp;"-1")), ""), "")</f>
        <v/>
      </c>
      <c r="K582" s="16" t="n"/>
      <c r="L582" s="14">
        <f>IFERROR(IF(AND(IFERROR(INDEX(ERP資料!$A:$A, (MATCH(581, 輔助計算!$G$2:$G$801, 0)+1)), "")&lt;&gt;"", IFERROR(INDEX(ERP資料!$A:$A, (MATCH(581, 輔助計算!$G$2:$G$801, 0)+1)), "")&lt;&gt;IFERROR(INDEX(ERP資料!$A:$A, MATCH(580, 輔助計算!$G$2:$G$801, 0)+1), "")), INDEX(ERP資料!$B:$B, (MATCH(581, 輔助計算!$G$2:$G$801, 0)+1)), ""), "")</f>
        <v/>
      </c>
      <c r="M582" s="17" t="n"/>
    </row>
    <row r="583">
      <c r="A583" s="10">
        <f>IFERROR(IF(AND(IFERROR(INDEX(ERP資料!$A:$A, (MATCH(582, 輔助計算!$G$2:$G$801, 0)+1)), "")&lt;&gt;"", IFERROR(INDEX(ERP資料!$A:$A, (MATCH(582, 輔助計算!$G$2:$G$801, 0)+1)), "")&lt;&gt;IFERROR(INDEX(ERP資料!$A:$A, MATCH(581, 輔助計算!$G$2:$G$801, 0)+1), "")), IFERROR(INDEX(ERP資料!$A:$A, (MATCH(582, 輔助計算!$G$2:$G$801, 0)+1)), ""), ""), "")</f>
        <v/>
      </c>
      <c r="B583" s="10">
        <f>IFERROR(IF(AND(IFERROR(INDEX(ERP資料!$A:$A, (MATCH(582, 輔助計算!$G$2:$G$801, 0)+1)), "")&lt;&gt;"", IFERROR(INDEX(ERP資料!$A:$A, (MATCH(582, 輔助計算!$G$2:$G$801, 0)+1)), "")&lt;&gt;IFERROR(INDEX(ERP資料!$A:$A, MATCH(581, 輔助計算!$G$2:$G$801, 0)+1), "")), INDEX(ERP資料!$S:$S, (MATCH(582, 輔助計算!$G$2:$G$801, 0)+1)), ""), "")</f>
        <v/>
      </c>
      <c r="C583" s="19">
        <f>IFERROR(IF(AND(IFERROR(INDEX(ERP資料!$A:$A, (MATCH(582, 輔助計算!$G$2:$G$801, 0)+1)), "")&lt;&gt;"", IFERROR(INDEX(ERP資料!$A:$A, (MATCH(582, 輔助計算!$G$2:$G$801, 0)+1)), "")&lt;&gt;IFERROR(INDEX(ERP資料!$A:$A, MATCH(581, 輔助計算!$G$2:$G$801, 0)+1), "")), IFERROR(VLOOKUP(LEFT(INDEX(ERP資料!$S:$S, (MATCH(582, 輔助計算!$G$2:$G$801, 0)+1)), 4), 紙管對照表!$A:$C, 3, FALSE), ""), ""), "")</f>
        <v/>
      </c>
      <c r="D583" s="16" t="n"/>
      <c r="E583" s="10">
        <f>IFERROR(IF(INDEX(ERP資料!$H:$H, (MATCH(582, 輔助計算!$G$2:$G$801, 0)+1))="","",INDEX(ERP資料!$H:$H, (MATCH(582, 輔助計算!$G$2:$G$801, 0)+1))), "")</f>
        <v/>
      </c>
      <c r="F583" s="10">
        <f>IFERROR(IF(INDEX(ERP資料!$E:$E, (MATCH(582, 輔助計算!$G$2:$G$801, 0)+1))="","",TRIM(INDEX(ERP資料!$E:$E, (MATCH(582, 輔助計算!$G$2:$G$801, 0)+1)))), "")</f>
        <v/>
      </c>
      <c r="G583" s="10">
        <f>IFERROR(IF(INDEX(ERP資料!$F:$F, (MATCH(582, 輔助計算!$G$2:$G$801, 0)+1))="","",INDEX(ERP資料!$F:$F, (MATCH(582, 輔助計算!$G$2:$G$801, 0)+1))), "")</f>
        <v/>
      </c>
      <c r="H583" s="10">
        <f>IFERROR(IF(INDEX(ERP資料!$G:$G, (MATCH(582, 輔助計算!$G$2:$G$801, 0)+1))="","",INDEX(ERP資料!$G:$G, (MATCH(582, 輔助計算!$G$2:$G$801, 0)+1))), "")</f>
        <v/>
      </c>
      <c r="I583" s="15">
        <f>IFERROR(INDEX(輔助計算!$D:$D, (MATCH(582, 輔助計算!$G$2:$G$801, 0)+1)), "")</f>
        <v/>
      </c>
      <c r="J583" s="15">
        <f>IFERROR(IF(AND(INDEX(輔助計算!$D:$D, (MATCH(582, 輔助計算!$G$2:$G$801, 0)+1))&lt;&gt;"", INDEX(ERP資料!$G:$G, (MATCH(582, 輔助計算!$G$2:$G$801, 0)+1))&lt;&gt;""), TRIM(IF(INT(INDEX(輔助計算!$D:$D, (MATCH(582, 輔助計算!$G$2:$G$801, 0)+1))/IF(INDEX(ERP資料!$G:$G, (MATCH(582, 輔助計算!$G$2:$G$801, 0)+1))&lt;100, IF(INDEX(ERP資料!$G:$G, (MATCH(582, 輔助計算!$G$2:$G$801, 0)+1))&lt;=31,3,IF(INDEX(ERP資料!$G:$G, (MATCH(582, 輔助計算!$G$2:$G$801, 0)+1))&lt;=46.5,2,1)), IF(INDEX(ERP資料!$G:$G, (MATCH(582, 輔助計算!$G$2:$G$801, 0)+1))&lt;=790,3,IF(INDEX(ERP資料!$G:$G, (MATCH(582, 輔助計算!$G$2:$G$801, 0)+1))&lt;=1181,2,1))))&gt;0, IF(IF(INDEX(ERP資料!$G:$G, (MATCH(582, 輔助計算!$G$2:$G$801, 0)+1))&lt;100, IF(INDEX(ERP資料!$G:$G, (MATCH(582, 輔助計算!$G$2:$G$801, 0)+1))&lt;=31,3,IF(INDEX(ERP資料!$G:$G, (MATCH(582, 輔助計算!$G$2:$G$801, 0)+1))&lt;=46.5,2,1)), IF(INDEX(ERP資料!$G:$G, (MATCH(582, 輔助計算!$G$2:$G$801, 0)+1))&lt;=790,3,IF(INDEX(ERP資料!$G:$G, (MATCH(582, 輔助計算!$G$2:$G$801, 0)+1))&lt;=1181,2,1)))=1,TEXT(INDEX(ERP資料!$G:$G, (MATCH(582, 輔助計算!$G$2:$G$801, 0)+1)),"0.##"),IF(IF(INDEX(ERP資料!$G:$G, (MATCH(582, 輔助計算!$G$2:$G$801, 0)+1))&lt;100, IF(INDEX(ERP資料!$G:$G, (MATCH(582, 輔助計算!$G$2:$G$801, 0)+1))&lt;=31,3,IF(INDEX(ERP資料!$G:$G, (MATCH(582, 輔助計算!$G$2:$G$801, 0)+1))&lt;=46.5,2,1)), IF(INDEX(ERP資料!$G:$G, (MATCH(582, 輔助計算!$G$2:$G$801, 0)+1))&lt;=790,3,IF(INDEX(ERP資料!$G:$G, (MATCH(582, 輔助計算!$G$2:$G$801, 0)+1))&lt;=1181,2,1)))=2,TEXT(INDEX(ERP資料!$G:$G, (MATCH(582, 輔助計算!$G$2:$G$801, 0)+1)),"0.##")&amp;"+"&amp;TEXT(INDEX(ERP資料!$G:$G, (MATCH(582, 輔助計算!$G$2:$G$801, 0)+1)),"0.##"),TEXT(INDEX(ERP資料!$G:$G, (MATCH(582, 輔助計算!$G$2:$G$801, 0)+1)),"0.##")&amp;"+"&amp;TEXT(INDEX(ERP資料!$G:$G, (MATCH(582, 輔助計算!$G$2:$G$801, 0)+1)),"0.##")&amp;"+"&amp;TEXT(INDEX(ERP資料!$G:$G, (MATCH(582, 輔助計算!$G$2:$G$801, 0)+1)),"0.##")))&amp;"-"&amp;INT(INDEX(輔助計算!$D:$D, (MATCH(582, 輔助計算!$G$2:$G$801, 0)+1))/IF(INDEX(ERP資料!$G:$G, (MATCH(582, 輔助計算!$G$2:$G$801, 0)+1))&lt;100, IF(INDEX(ERP資料!$G:$G, (MATCH(582, 輔助計算!$G$2:$G$801, 0)+1))&lt;=31,3,IF(INDEX(ERP資料!$G:$G, (MATCH(582, 輔助計算!$G$2:$G$801, 0)+1))&lt;=46.5,2,1)), IF(INDEX(ERP資料!$G:$G, (MATCH(582, 輔助計算!$G$2:$G$801, 0)+1))&lt;=790,3,IF(INDEX(ERP資料!$G:$G, (MATCH(582, 輔助計算!$G$2:$G$801, 0)+1))&lt;=1181,2,1)))), "")&amp;IF(AND(IF(INT(INDEX(輔助計算!$D:$D, (MATCH(582, 輔助計算!$G$2:$G$801, 0)+1))/IF(INDEX(ERP資料!$G:$G, (MATCH(582, 輔助計算!$G$2:$G$801, 0)+1))&lt;100, IF(INDEX(ERP資料!$G:$G, (MATCH(582, 輔助計算!$G$2:$G$801, 0)+1))&lt;=31,3,IF(INDEX(ERP資料!$G:$G, (MATCH(582, 輔助計算!$G$2:$G$801, 0)+1))&lt;=46.5,2,1)), IF(INDEX(ERP資料!$G:$G, (MATCH(582, 輔助計算!$G$2:$G$801, 0)+1))&lt;=790,3,IF(INDEX(ERP資料!$G:$G, (MATCH(582, 輔助計算!$G$2:$G$801, 0)+1))&lt;=1181,2,1))))&gt;0, IF(IF(INDEX(ERP資料!$G:$G, (MATCH(582, 輔助計算!$G$2:$G$801, 0)+1))&lt;100, IF(INDEX(ERP資料!$G:$G, (MATCH(582, 輔助計算!$G$2:$G$801, 0)+1))&lt;=31,3,IF(INDEX(ERP資料!$G:$G, (MATCH(582, 輔助計算!$G$2:$G$801, 0)+1))&lt;=46.5,2,1)), IF(INDEX(ERP資料!$G:$G, (MATCH(582, 輔助計算!$G$2:$G$801, 0)+1))&lt;=790,3,IF(INDEX(ERP資料!$G:$G, (MATCH(582, 輔助計算!$G$2:$G$801, 0)+1))&lt;=1181,2,1)))=1,TEXT(INDEX(ERP資料!$G:$G, (MATCH(582, 輔助計算!$G$2:$G$801, 0)+1)),"0.##"),IF(IF(INDEX(ERP資料!$G:$G, (MATCH(582, 輔助計算!$G$2:$G$801, 0)+1))&lt;100, IF(INDEX(ERP資料!$G:$G, (MATCH(582, 輔助計算!$G$2:$G$801, 0)+1))&lt;=31,3,IF(INDEX(ERP資料!$G:$G, (MATCH(582, 輔助計算!$G$2:$G$801, 0)+1))&lt;=46.5,2,1)), IF(INDEX(ERP資料!$G:$G, (MATCH(582, 輔助計算!$G$2:$G$801, 0)+1))&lt;=790,3,IF(INDEX(ERP資料!$G:$G, (MATCH(582, 輔助計算!$G$2:$G$801, 0)+1))&lt;=1181,2,1)))=2,TEXT(INDEX(ERP資料!$G:$G, (MATCH(582, 輔助計算!$G$2:$G$801, 0)+1)),"0.##")&amp;"+"&amp;TEXT(INDEX(ERP資料!$G:$G, (MATCH(582, 輔助計算!$G$2:$G$801, 0)+1)),"0.##"),TEXT(INDEX(ERP資料!$G:$G, (MATCH(582, 輔助計算!$G$2:$G$801, 0)+1)),"0.##")&amp;"+"&amp;TEXT(INDEX(ERP資料!$G:$G, (MATCH(582, 輔助計算!$G$2:$G$801, 0)+1)),"0.##")&amp;"+"&amp;TEXT(INDEX(ERP資料!$G:$G, (MATCH(582, 輔助計算!$G$2:$G$801, 0)+1)),"0.##")))&amp;"-"&amp;INT(INDEX(輔助計算!$D:$D, (MATCH(582, 輔助計算!$G$2:$G$801, 0)+1))/IF(INDEX(ERP資料!$G:$G, (MATCH(582, 輔助計算!$G$2:$G$801, 0)+1))&lt;100, IF(INDEX(ERP資料!$G:$G, (MATCH(582, 輔助計算!$G$2:$G$801, 0)+1))&lt;=31,3,IF(INDEX(ERP資料!$G:$G, (MATCH(582, 輔助計算!$G$2:$G$801, 0)+1))&lt;=46.5,2,1)), IF(INDEX(ERP資料!$G:$G, (MATCH(582, 輔助計算!$G$2:$G$801, 0)+1))&lt;=790,3,IF(INDEX(ERP資料!$G:$G, (MATCH(582, 輔助計算!$G$2:$G$801, 0)+1))&lt;=1181,2,1)))), "")&lt;&gt;"",IF(MOD(INDEX(輔助計算!$D:$D, (MATCH(582, 輔助計算!$G$2:$G$801, 0)+1)),IF(INDEX(ERP資料!$G:$G, (MATCH(582, 輔助計算!$G$2:$G$801, 0)+1))&lt;100, IF(INDEX(ERP資料!$G:$G, (MATCH(582, 輔助計算!$G$2:$G$801, 0)+1))&lt;=31,3,IF(INDEX(ERP資料!$G:$G, (MATCH(582, 輔助計算!$G$2:$G$801, 0)+1))&lt;=46.5,2,1)), IF(INDEX(ERP資料!$G:$G, (MATCH(582, 輔助計算!$G$2:$G$801, 0)+1))&lt;=790,3,IF(INDEX(ERP資料!$G:$G, (MATCH(582, 輔助計算!$G$2:$G$801, 0)+1))&lt;=1181,2,1))))=0,"",IF(MOD(INDEX(輔助計算!$D:$D, (MATCH(582, 輔助計算!$G$2:$G$801, 0)+1)),IF(INDEX(ERP資料!$G:$G, (MATCH(582, 輔助計算!$G$2:$G$801, 0)+1))&lt;100, IF(INDEX(ERP資料!$G:$G, (MATCH(582, 輔助計算!$G$2:$G$801, 0)+1))&lt;=31,3,IF(INDEX(ERP資料!$G:$G, (MATCH(582, 輔助計算!$G$2:$G$801, 0)+1))&lt;=46.5,2,1)), IF(INDEX(ERP資料!$G:$G, (MATCH(582, 輔助計算!$G$2:$G$801, 0)+1))&lt;=790,3,IF(INDEX(ERP資料!$G:$G, (MATCH(582, 輔助計算!$G$2:$G$801, 0)+1))&lt;=1181,2,1))))=0,"",IF(MOD(INDEX(輔助計算!$D:$D, (MATCH(582, 輔助計算!$G$2:$G$801, 0)+1)),IF(INDEX(ERP資料!$G:$G, (MATCH(582, 輔助計算!$G$2:$G$801, 0)+1))&lt;100, IF(INDEX(ERP資料!$G:$G, (MATCH(582, 輔助計算!$G$2:$G$801, 0)+1))&lt;=31,3,IF(INDEX(ERP資料!$G:$G, (MATCH(582, 輔助計算!$G$2:$G$801, 0)+1))&lt;=46.5,2,1)), IF(INDEX(ERP資料!$G:$G, (MATCH(582, 輔助計算!$G$2:$G$801, 0)+1))&lt;=790,3,IF(INDEX(ERP資料!$G:$G, (MATCH(582, 輔助計算!$G$2:$G$801, 0)+1))&lt;=1181,2,1))))=1,TEXT(INDEX(ERP資料!$G:$G, (MATCH(582, 輔助計算!$G$2:$G$801, 0)+1)),"0.##"),IF(MOD(INDEX(輔助計算!$D:$D, (MATCH(582, 輔助計算!$G$2:$G$801, 0)+1)),IF(INDEX(ERP資料!$G:$G, (MATCH(582, 輔助計算!$G$2:$G$801, 0)+1))&lt;100, IF(INDEX(ERP資料!$G:$G, (MATCH(582, 輔助計算!$G$2:$G$801, 0)+1))&lt;=31,3,IF(INDEX(ERP資料!$G:$G, (MATCH(582, 輔助計算!$G$2:$G$801, 0)+1))&lt;=46.5,2,1)), IF(INDEX(ERP資料!$G:$G, (MATCH(582, 輔助計算!$G$2:$G$801, 0)+1))&lt;=790,3,IF(INDEX(ERP資料!$G:$G, (MATCH(582, 輔助計算!$G$2:$G$801, 0)+1))&lt;=1181,2,1))))=2,TEXT(INDEX(ERP資料!$G:$G, (MATCH(582, 輔助計算!$G$2:$G$801, 0)+1)),"0.##")&amp;"+"&amp;TEXT(INDEX(ERP資料!$G:$G, (MATCH(582, 輔助計算!$G$2:$G$801, 0)+1)),"0.##"),TEXT(INDEX(ERP資料!$G:$G, (MATCH(582, 輔助計算!$G$2:$G$801, 0)+1)),"0.##")&amp;"+"&amp;TEXT(INDEX(ERP資料!$G:$G, (MATCH(582, 輔助計算!$G$2:$G$801, 0)+1)),"0.##")&amp;"+"&amp;TEXT(INDEX(ERP資料!$G:$G, (MATCH(582, 輔助計算!$G$2:$G$801, 0)+1)),"0.##"))))&amp;"-1")&lt;&gt;""),"  ","")&amp;IF(MOD(INDEX(輔助計算!$D:$D, (MATCH(582, 輔助計算!$G$2:$G$801, 0)+1)),IF(INDEX(ERP資料!$G:$G, (MATCH(582, 輔助計算!$G$2:$G$801, 0)+1))&lt;100, IF(INDEX(ERP資料!$G:$G, (MATCH(582, 輔助計算!$G$2:$G$801, 0)+1))&lt;=31,3,IF(INDEX(ERP資料!$G:$G, (MATCH(582, 輔助計算!$G$2:$G$801, 0)+1))&lt;=46.5,2,1)), IF(INDEX(ERP資料!$G:$G, (MATCH(582, 輔助計算!$G$2:$G$801, 0)+1))&lt;=790,3,IF(INDEX(ERP資料!$G:$G, (MATCH(582, 輔助計算!$G$2:$G$801, 0)+1))&lt;=1181,2,1))))=0,"",IF(MOD(INDEX(輔助計算!$D:$D, (MATCH(582, 輔助計算!$G$2:$G$801, 0)+1)),IF(INDEX(ERP資料!$G:$G, (MATCH(582, 輔助計算!$G$2:$G$801, 0)+1))&lt;100, IF(INDEX(ERP資料!$G:$G, (MATCH(582, 輔助計算!$G$2:$G$801, 0)+1))&lt;=31,3,IF(INDEX(ERP資料!$G:$G, (MATCH(582, 輔助計算!$G$2:$G$801, 0)+1))&lt;=46.5,2,1)), IF(INDEX(ERP資料!$G:$G, (MATCH(582, 輔助計算!$G$2:$G$801, 0)+1))&lt;=790,3,IF(INDEX(ERP資料!$G:$G, (MATCH(582, 輔助計算!$G$2:$G$801, 0)+1))&lt;=1181,2,1))))=0,"",IF(MOD(INDEX(輔助計算!$D:$D, (MATCH(582, 輔助計算!$G$2:$G$801, 0)+1)),IF(INDEX(ERP資料!$G:$G, (MATCH(582, 輔助計算!$G$2:$G$801, 0)+1))&lt;100, IF(INDEX(ERP資料!$G:$G, (MATCH(582, 輔助計算!$G$2:$G$801, 0)+1))&lt;=31,3,IF(INDEX(ERP資料!$G:$G, (MATCH(582, 輔助計算!$G$2:$G$801, 0)+1))&lt;=46.5,2,1)), IF(INDEX(ERP資料!$G:$G, (MATCH(582, 輔助計算!$G$2:$G$801, 0)+1))&lt;=790,3,IF(INDEX(ERP資料!$G:$G, (MATCH(582, 輔助計算!$G$2:$G$801, 0)+1))&lt;=1181,2,1))))=1,TEXT(INDEX(ERP資料!$G:$G, (MATCH(582, 輔助計算!$G$2:$G$801, 0)+1)),"0.##"),IF(MOD(INDEX(輔助計算!$D:$D, (MATCH(582, 輔助計算!$G$2:$G$801, 0)+1)),IF(INDEX(ERP資料!$G:$G, (MATCH(582, 輔助計算!$G$2:$G$801, 0)+1))&lt;100, IF(INDEX(ERP資料!$G:$G, (MATCH(582, 輔助計算!$G$2:$G$801, 0)+1))&lt;=31,3,IF(INDEX(ERP資料!$G:$G, (MATCH(582, 輔助計算!$G$2:$G$801, 0)+1))&lt;=46.5,2,1)), IF(INDEX(ERP資料!$G:$G, (MATCH(582, 輔助計算!$G$2:$G$801, 0)+1))&lt;=790,3,IF(INDEX(ERP資料!$G:$G, (MATCH(582, 輔助計算!$G$2:$G$801, 0)+1))&lt;=1181,2,1))))=2,TEXT(INDEX(ERP資料!$G:$G, (MATCH(582, 輔助計算!$G$2:$G$801, 0)+1)),"0.##")&amp;"+"&amp;TEXT(INDEX(ERP資料!$G:$G, (MATCH(582, 輔助計算!$G$2:$G$801, 0)+1)),"0.##"),TEXT(INDEX(ERP資料!$G:$G, (MATCH(582, 輔助計算!$G$2:$G$801, 0)+1)),"0.##")&amp;"+"&amp;TEXT(INDEX(ERP資料!$G:$G, (MATCH(582, 輔助計算!$G$2:$G$801, 0)+1)),"0.##")&amp;"+"&amp;TEXT(INDEX(ERP資料!$G:$G, (MATCH(582, 輔助計算!$G$2:$G$801, 0)+1)),"0.##"))))&amp;"-1")), ""), "")</f>
        <v/>
      </c>
      <c r="K583" s="16" t="n"/>
      <c r="L583" s="14">
        <f>IFERROR(IF(AND(IFERROR(INDEX(ERP資料!$A:$A, (MATCH(582, 輔助計算!$G$2:$G$801, 0)+1)), "")&lt;&gt;"", IFERROR(INDEX(ERP資料!$A:$A, (MATCH(582, 輔助計算!$G$2:$G$801, 0)+1)), "")&lt;&gt;IFERROR(INDEX(ERP資料!$A:$A, MATCH(581, 輔助計算!$G$2:$G$801, 0)+1), "")), INDEX(ERP資料!$B:$B, (MATCH(582, 輔助計算!$G$2:$G$801, 0)+1)), ""), "")</f>
        <v/>
      </c>
      <c r="M583" s="17" t="n"/>
    </row>
    <row r="584">
      <c r="A584" s="10">
        <f>IFERROR(IF(AND(IFERROR(INDEX(ERP資料!$A:$A, (MATCH(583, 輔助計算!$G$2:$G$801, 0)+1)), "")&lt;&gt;"", IFERROR(INDEX(ERP資料!$A:$A, (MATCH(583, 輔助計算!$G$2:$G$801, 0)+1)), "")&lt;&gt;IFERROR(INDEX(ERP資料!$A:$A, MATCH(582, 輔助計算!$G$2:$G$801, 0)+1), "")), IFERROR(INDEX(ERP資料!$A:$A, (MATCH(583, 輔助計算!$G$2:$G$801, 0)+1)), ""), ""), "")</f>
        <v/>
      </c>
      <c r="B584" s="10">
        <f>IFERROR(IF(AND(IFERROR(INDEX(ERP資料!$A:$A, (MATCH(583, 輔助計算!$G$2:$G$801, 0)+1)), "")&lt;&gt;"", IFERROR(INDEX(ERP資料!$A:$A, (MATCH(583, 輔助計算!$G$2:$G$801, 0)+1)), "")&lt;&gt;IFERROR(INDEX(ERP資料!$A:$A, MATCH(582, 輔助計算!$G$2:$G$801, 0)+1), "")), INDEX(ERP資料!$S:$S, (MATCH(583, 輔助計算!$G$2:$G$801, 0)+1)), ""), "")</f>
        <v/>
      </c>
      <c r="C584" s="19">
        <f>IFERROR(IF(AND(IFERROR(INDEX(ERP資料!$A:$A, (MATCH(583, 輔助計算!$G$2:$G$801, 0)+1)), "")&lt;&gt;"", IFERROR(INDEX(ERP資料!$A:$A, (MATCH(583, 輔助計算!$G$2:$G$801, 0)+1)), "")&lt;&gt;IFERROR(INDEX(ERP資料!$A:$A, MATCH(582, 輔助計算!$G$2:$G$801, 0)+1), "")), IFERROR(VLOOKUP(LEFT(INDEX(ERP資料!$S:$S, (MATCH(583, 輔助計算!$G$2:$G$801, 0)+1)), 4), 紙管對照表!$A:$C, 3, FALSE), ""), ""), "")</f>
        <v/>
      </c>
      <c r="D584" s="16" t="n"/>
      <c r="E584" s="10">
        <f>IFERROR(IF(INDEX(ERP資料!$H:$H, (MATCH(583, 輔助計算!$G$2:$G$801, 0)+1))="","",INDEX(ERP資料!$H:$H, (MATCH(583, 輔助計算!$G$2:$G$801, 0)+1))), "")</f>
        <v/>
      </c>
      <c r="F584" s="10">
        <f>IFERROR(IF(INDEX(ERP資料!$E:$E, (MATCH(583, 輔助計算!$G$2:$G$801, 0)+1))="","",TRIM(INDEX(ERP資料!$E:$E, (MATCH(583, 輔助計算!$G$2:$G$801, 0)+1)))), "")</f>
        <v/>
      </c>
      <c r="G584" s="10">
        <f>IFERROR(IF(INDEX(ERP資料!$F:$F, (MATCH(583, 輔助計算!$G$2:$G$801, 0)+1))="","",INDEX(ERP資料!$F:$F, (MATCH(583, 輔助計算!$G$2:$G$801, 0)+1))), "")</f>
        <v/>
      </c>
      <c r="H584" s="10">
        <f>IFERROR(IF(INDEX(ERP資料!$G:$G, (MATCH(583, 輔助計算!$G$2:$G$801, 0)+1))="","",INDEX(ERP資料!$G:$G, (MATCH(583, 輔助計算!$G$2:$G$801, 0)+1))), "")</f>
        <v/>
      </c>
      <c r="I584" s="15">
        <f>IFERROR(INDEX(輔助計算!$D:$D, (MATCH(583, 輔助計算!$G$2:$G$801, 0)+1)), "")</f>
        <v/>
      </c>
      <c r="J584" s="15">
        <f>IFERROR(IF(AND(INDEX(輔助計算!$D:$D, (MATCH(583, 輔助計算!$G$2:$G$801, 0)+1))&lt;&gt;"", INDEX(ERP資料!$G:$G, (MATCH(583, 輔助計算!$G$2:$G$801, 0)+1))&lt;&gt;""), TRIM(IF(INT(INDEX(輔助計算!$D:$D, (MATCH(583, 輔助計算!$G$2:$G$801, 0)+1))/IF(INDEX(ERP資料!$G:$G, (MATCH(583, 輔助計算!$G$2:$G$801, 0)+1))&lt;100, IF(INDEX(ERP資料!$G:$G, (MATCH(583, 輔助計算!$G$2:$G$801, 0)+1))&lt;=31,3,IF(INDEX(ERP資料!$G:$G, (MATCH(583, 輔助計算!$G$2:$G$801, 0)+1))&lt;=46.5,2,1)), IF(INDEX(ERP資料!$G:$G, (MATCH(583, 輔助計算!$G$2:$G$801, 0)+1))&lt;=790,3,IF(INDEX(ERP資料!$G:$G, (MATCH(583, 輔助計算!$G$2:$G$801, 0)+1))&lt;=1181,2,1))))&gt;0, IF(IF(INDEX(ERP資料!$G:$G, (MATCH(583, 輔助計算!$G$2:$G$801, 0)+1))&lt;100, IF(INDEX(ERP資料!$G:$G, (MATCH(583, 輔助計算!$G$2:$G$801, 0)+1))&lt;=31,3,IF(INDEX(ERP資料!$G:$G, (MATCH(583, 輔助計算!$G$2:$G$801, 0)+1))&lt;=46.5,2,1)), IF(INDEX(ERP資料!$G:$G, (MATCH(583, 輔助計算!$G$2:$G$801, 0)+1))&lt;=790,3,IF(INDEX(ERP資料!$G:$G, (MATCH(583, 輔助計算!$G$2:$G$801, 0)+1))&lt;=1181,2,1)))=1,TEXT(INDEX(ERP資料!$G:$G, (MATCH(583, 輔助計算!$G$2:$G$801, 0)+1)),"0.##"),IF(IF(INDEX(ERP資料!$G:$G, (MATCH(583, 輔助計算!$G$2:$G$801, 0)+1))&lt;100, IF(INDEX(ERP資料!$G:$G, (MATCH(583, 輔助計算!$G$2:$G$801, 0)+1))&lt;=31,3,IF(INDEX(ERP資料!$G:$G, (MATCH(583, 輔助計算!$G$2:$G$801, 0)+1))&lt;=46.5,2,1)), IF(INDEX(ERP資料!$G:$G, (MATCH(583, 輔助計算!$G$2:$G$801, 0)+1))&lt;=790,3,IF(INDEX(ERP資料!$G:$G, (MATCH(583, 輔助計算!$G$2:$G$801, 0)+1))&lt;=1181,2,1)))=2,TEXT(INDEX(ERP資料!$G:$G, (MATCH(583, 輔助計算!$G$2:$G$801, 0)+1)),"0.##")&amp;"+"&amp;TEXT(INDEX(ERP資料!$G:$G, (MATCH(583, 輔助計算!$G$2:$G$801, 0)+1)),"0.##"),TEXT(INDEX(ERP資料!$G:$G, (MATCH(583, 輔助計算!$G$2:$G$801, 0)+1)),"0.##")&amp;"+"&amp;TEXT(INDEX(ERP資料!$G:$G, (MATCH(583, 輔助計算!$G$2:$G$801, 0)+1)),"0.##")&amp;"+"&amp;TEXT(INDEX(ERP資料!$G:$G, (MATCH(583, 輔助計算!$G$2:$G$801, 0)+1)),"0.##")))&amp;"-"&amp;INT(INDEX(輔助計算!$D:$D, (MATCH(583, 輔助計算!$G$2:$G$801, 0)+1))/IF(INDEX(ERP資料!$G:$G, (MATCH(583, 輔助計算!$G$2:$G$801, 0)+1))&lt;100, IF(INDEX(ERP資料!$G:$G, (MATCH(583, 輔助計算!$G$2:$G$801, 0)+1))&lt;=31,3,IF(INDEX(ERP資料!$G:$G, (MATCH(583, 輔助計算!$G$2:$G$801, 0)+1))&lt;=46.5,2,1)), IF(INDEX(ERP資料!$G:$G, (MATCH(583, 輔助計算!$G$2:$G$801, 0)+1))&lt;=790,3,IF(INDEX(ERP資料!$G:$G, (MATCH(583, 輔助計算!$G$2:$G$801, 0)+1))&lt;=1181,2,1)))), "")&amp;IF(AND(IF(INT(INDEX(輔助計算!$D:$D, (MATCH(583, 輔助計算!$G$2:$G$801, 0)+1))/IF(INDEX(ERP資料!$G:$G, (MATCH(583, 輔助計算!$G$2:$G$801, 0)+1))&lt;100, IF(INDEX(ERP資料!$G:$G, (MATCH(583, 輔助計算!$G$2:$G$801, 0)+1))&lt;=31,3,IF(INDEX(ERP資料!$G:$G, (MATCH(583, 輔助計算!$G$2:$G$801, 0)+1))&lt;=46.5,2,1)), IF(INDEX(ERP資料!$G:$G, (MATCH(583, 輔助計算!$G$2:$G$801, 0)+1))&lt;=790,3,IF(INDEX(ERP資料!$G:$G, (MATCH(583, 輔助計算!$G$2:$G$801, 0)+1))&lt;=1181,2,1))))&gt;0, IF(IF(INDEX(ERP資料!$G:$G, (MATCH(583, 輔助計算!$G$2:$G$801, 0)+1))&lt;100, IF(INDEX(ERP資料!$G:$G, (MATCH(583, 輔助計算!$G$2:$G$801, 0)+1))&lt;=31,3,IF(INDEX(ERP資料!$G:$G, (MATCH(583, 輔助計算!$G$2:$G$801, 0)+1))&lt;=46.5,2,1)), IF(INDEX(ERP資料!$G:$G, (MATCH(583, 輔助計算!$G$2:$G$801, 0)+1))&lt;=790,3,IF(INDEX(ERP資料!$G:$G, (MATCH(583, 輔助計算!$G$2:$G$801, 0)+1))&lt;=1181,2,1)))=1,TEXT(INDEX(ERP資料!$G:$G, (MATCH(583, 輔助計算!$G$2:$G$801, 0)+1)),"0.##"),IF(IF(INDEX(ERP資料!$G:$G, (MATCH(583, 輔助計算!$G$2:$G$801, 0)+1))&lt;100, IF(INDEX(ERP資料!$G:$G, (MATCH(583, 輔助計算!$G$2:$G$801, 0)+1))&lt;=31,3,IF(INDEX(ERP資料!$G:$G, (MATCH(583, 輔助計算!$G$2:$G$801, 0)+1))&lt;=46.5,2,1)), IF(INDEX(ERP資料!$G:$G, (MATCH(583, 輔助計算!$G$2:$G$801, 0)+1))&lt;=790,3,IF(INDEX(ERP資料!$G:$G, (MATCH(583, 輔助計算!$G$2:$G$801, 0)+1))&lt;=1181,2,1)))=2,TEXT(INDEX(ERP資料!$G:$G, (MATCH(583, 輔助計算!$G$2:$G$801, 0)+1)),"0.##")&amp;"+"&amp;TEXT(INDEX(ERP資料!$G:$G, (MATCH(583, 輔助計算!$G$2:$G$801, 0)+1)),"0.##"),TEXT(INDEX(ERP資料!$G:$G, (MATCH(583, 輔助計算!$G$2:$G$801, 0)+1)),"0.##")&amp;"+"&amp;TEXT(INDEX(ERP資料!$G:$G, (MATCH(583, 輔助計算!$G$2:$G$801, 0)+1)),"0.##")&amp;"+"&amp;TEXT(INDEX(ERP資料!$G:$G, (MATCH(583, 輔助計算!$G$2:$G$801, 0)+1)),"0.##")))&amp;"-"&amp;INT(INDEX(輔助計算!$D:$D, (MATCH(583, 輔助計算!$G$2:$G$801, 0)+1))/IF(INDEX(ERP資料!$G:$G, (MATCH(583, 輔助計算!$G$2:$G$801, 0)+1))&lt;100, IF(INDEX(ERP資料!$G:$G, (MATCH(583, 輔助計算!$G$2:$G$801, 0)+1))&lt;=31,3,IF(INDEX(ERP資料!$G:$G, (MATCH(583, 輔助計算!$G$2:$G$801, 0)+1))&lt;=46.5,2,1)), IF(INDEX(ERP資料!$G:$G, (MATCH(583, 輔助計算!$G$2:$G$801, 0)+1))&lt;=790,3,IF(INDEX(ERP資料!$G:$G, (MATCH(583, 輔助計算!$G$2:$G$801, 0)+1))&lt;=1181,2,1)))), "")&lt;&gt;"",IF(MOD(INDEX(輔助計算!$D:$D, (MATCH(583, 輔助計算!$G$2:$G$801, 0)+1)),IF(INDEX(ERP資料!$G:$G, (MATCH(583, 輔助計算!$G$2:$G$801, 0)+1))&lt;100, IF(INDEX(ERP資料!$G:$G, (MATCH(583, 輔助計算!$G$2:$G$801, 0)+1))&lt;=31,3,IF(INDEX(ERP資料!$G:$G, (MATCH(583, 輔助計算!$G$2:$G$801, 0)+1))&lt;=46.5,2,1)), IF(INDEX(ERP資料!$G:$G, (MATCH(583, 輔助計算!$G$2:$G$801, 0)+1))&lt;=790,3,IF(INDEX(ERP資料!$G:$G, (MATCH(583, 輔助計算!$G$2:$G$801, 0)+1))&lt;=1181,2,1))))=0,"",IF(MOD(INDEX(輔助計算!$D:$D, (MATCH(583, 輔助計算!$G$2:$G$801, 0)+1)),IF(INDEX(ERP資料!$G:$G, (MATCH(583, 輔助計算!$G$2:$G$801, 0)+1))&lt;100, IF(INDEX(ERP資料!$G:$G, (MATCH(583, 輔助計算!$G$2:$G$801, 0)+1))&lt;=31,3,IF(INDEX(ERP資料!$G:$G, (MATCH(583, 輔助計算!$G$2:$G$801, 0)+1))&lt;=46.5,2,1)), IF(INDEX(ERP資料!$G:$G, (MATCH(583, 輔助計算!$G$2:$G$801, 0)+1))&lt;=790,3,IF(INDEX(ERP資料!$G:$G, (MATCH(583, 輔助計算!$G$2:$G$801, 0)+1))&lt;=1181,2,1))))=0,"",IF(MOD(INDEX(輔助計算!$D:$D, (MATCH(583, 輔助計算!$G$2:$G$801, 0)+1)),IF(INDEX(ERP資料!$G:$G, (MATCH(583, 輔助計算!$G$2:$G$801, 0)+1))&lt;100, IF(INDEX(ERP資料!$G:$G, (MATCH(583, 輔助計算!$G$2:$G$801, 0)+1))&lt;=31,3,IF(INDEX(ERP資料!$G:$G, (MATCH(583, 輔助計算!$G$2:$G$801, 0)+1))&lt;=46.5,2,1)), IF(INDEX(ERP資料!$G:$G, (MATCH(583, 輔助計算!$G$2:$G$801, 0)+1))&lt;=790,3,IF(INDEX(ERP資料!$G:$G, (MATCH(583, 輔助計算!$G$2:$G$801, 0)+1))&lt;=1181,2,1))))=1,TEXT(INDEX(ERP資料!$G:$G, (MATCH(583, 輔助計算!$G$2:$G$801, 0)+1)),"0.##"),IF(MOD(INDEX(輔助計算!$D:$D, (MATCH(583, 輔助計算!$G$2:$G$801, 0)+1)),IF(INDEX(ERP資料!$G:$G, (MATCH(583, 輔助計算!$G$2:$G$801, 0)+1))&lt;100, IF(INDEX(ERP資料!$G:$G, (MATCH(583, 輔助計算!$G$2:$G$801, 0)+1))&lt;=31,3,IF(INDEX(ERP資料!$G:$G, (MATCH(583, 輔助計算!$G$2:$G$801, 0)+1))&lt;=46.5,2,1)), IF(INDEX(ERP資料!$G:$G, (MATCH(583, 輔助計算!$G$2:$G$801, 0)+1))&lt;=790,3,IF(INDEX(ERP資料!$G:$G, (MATCH(583, 輔助計算!$G$2:$G$801, 0)+1))&lt;=1181,2,1))))=2,TEXT(INDEX(ERP資料!$G:$G, (MATCH(583, 輔助計算!$G$2:$G$801, 0)+1)),"0.##")&amp;"+"&amp;TEXT(INDEX(ERP資料!$G:$G, (MATCH(583, 輔助計算!$G$2:$G$801, 0)+1)),"0.##"),TEXT(INDEX(ERP資料!$G:$G, (MATCH(583, 輔助計算!$G$2:$G$801, 0)+1)),"0.##")&amp;"+"&amp;TEXT(INDEX(ERP資料!$G:$G, (MATCH(583, 輔助計算!$G$2:$G$801, 0)+1)),"0.##")&amp;"+"&amp;TEXT(INDEX(ERP資料!$G:$G, (MATCH(583, 輔助計算!$G$2:$G$801, 0)+1)),"0.##"))))&amp;"-1")&lt;&gt;""),"  ","")&amp;IF(MOD(INDEX(輔助計算!$D:$D, (MATCH(583, 輔助計算!$G$2:$G$801, 0)+1)),IF(INDEX(ERP資料!$G:$G, (MATCH(583, 輔助計算!$G$2:$G$801, 0)+1))&lt;100, IF(INDEX(ERP資料!$G:$G, (MATCH(583, 輔助計算!$G$2:$G$801, 0)+1))&lt;=31,3,IF(INDEX(ERP資料!$G:$G, (MATCH(583, 輔助計算!$G$2:$G$801, 0)+1))&lt;=46.5,2,1)), IF(INDEX(ERP資料!$G:$G, (MATCH(583, 輔助計算!$G$2:$G$801, 0)+1))&lt;=790,3,IF(INDEX(ERP資料!$G:$G, (MATCH(583, 輔助計算!$G$2:$G$801, 0)+1))&lt;=1181,2,1))))=0,"",IF(MOD(INDEX(輔助計算!$D:$D, (MATCH(583, 輔助計算!$G$2:$G$801, 0)+1)),IF(INDEX(ERP資料!$G:$G, (MATCH(583, 輔助計算!$G$2:$G$801, 0)+1))&lt;100, IF(INDEX(ERP資料!$G:$G, (MATCH(583, 輔助計算!$G$2:$G$801, 0)+1))&lt;=31,3,IF(INDEX(ERP資料!$G:$G, (MATCH(583, 輔助計算!$G$2:$G$801, 0)+1))&lt;=46.5,2,1)), IF(INDEX(ERP資料!$G:$G, (MATCH(583, 輔助計算!$G$2:$G$801, 0)+1))&lt;=790,3,IF(INDEX(ERP資料!$G:$G, (MATCH(583, 輔助計算!$G$2:$G$801, 0)+1))&lt;=1181,2,1))))=0,"",IF(MOD(INDEX(輔助計算!$D:$D, (MATCH(583, 輔助計算!$G$2:$G$801, 0)+1)),IF(INDEX(ERP資料!$G:$G, (MATCH(583, 輔助計算!$G$2:$G$801, 0)+1))&lt;100, IF(INDEX(ERP資料!$G:$G, (MATCH(583, 輔助計算!$G$2:$G$801, 0)+1))&lt;=31,3,IF(INDEX(ERP資料!$G:$G, (MATCH(583, 輔助計算!$G$2:$G$801, 0)+1))&lt;=46.5,2,1)), IF(INDEX(ERP資料!$G:$G, (MATCH(583, 輔助計算!$G$2:$G$801, 0)+1))&lt;=790,3,IF(INDEX(ERP資料!$G:$G, (MATCH(583, 輔助計算!$G$2:$G$801, 0)+1))&lt;=1181,2,1))))=1,TEXT(INDEX(ERP資料!$G:$G, (MATCH(583, 輔助計算!$G$2:$G$801, 0)+1)),"0.##"),IF(MOD(INDEX(輔助計算!$D:$D, (MATCH(583, 輔助計算!$G$2:$G$801, 0)+1)),IF(INDEX(ERP資料!$G:$G, (MATCH(583, 輔助計算!$G$2:$G$801, 0)+1))&lt;100, IF(INDEX(ERP資料!$G:$G, (MATCH(583, 輔助計算!$G$2:$G$801, 0)+1))&lt;=31,3,IF(INDEX(ERP資料!$G:$G, (MATCH(583, 輔助計算!$G$2:$G$801, 0)+1))&lt;=46.5,2,1)), IF(INDEX(ERP資料!$G:$G, (MATCH(583, 輔助計算!$G$2:$G$801, 0)+1))&lt;=790,3,IF(INDEX(ERP資料!$G:$G, (MATCH(583, 輔助計算!$G$2:$G$801, 0)+1))&lt;=1181,2,1))))=2,TEXT(INDEX(ERP資料!$G:$G, (MATCH(583, 輔助計算!$G$2:$G$801, 0)+1)),"0.##")&amp;"+"&amp;TEXT(INDEX(ERP資料!$G:$G, (MATCH(583, 輔助計算!$G$2:$G$801, 0)+1)),"0.##"),TEXT(INDEX(ERP資料!$G:$G, (MATCH(583, 輔助計算!$G$2:$G$801, 0)+1)),"0.##")&amp;"+"&amp;TEXT(INDEX(ERP資料!$G:$G, (MATCH(583, 輔助計算!$G$2:$G$801, 0)+1)),"0.##")&amp;"+"&amp;TEXT(INDEX(ERP資料!$G:$G, (MATCH(583, 輔助計算!$G$2:$G$801, 0)+1)),"0.##"))))&amp;"-1")), ""), "")</f>
        <v/>
      </c>
      <c r="K584" s="16" t="n"/>
      <c r="L584" s="14">
        <f>IFERROR(IF(AND(IFERROR(INDEX(ERP資料!$A:$A, (MATCH(583, 輔助計算!$G$2:$G$801, 0)+1)), "")&lt;&gt;"", IFERROR(INDEX(ERP資料!$A:$A, (MATCH(583, 輔助計算!$G$2:$G$801, 0)+1)), "")&lt;&gt;IFERROR(INDEX(ERP資料!$A:$A, MATCH(582, 輔助計算!$G$2:$G$801, 0)+1), "")), INDEX(ERP資料!$B:$B, (MATCH(583, 輔助計算!$G$2:$G$801, 0)+1)), ""), "")</f>
        <v/>
      </c>
      <c r="M584" s="17" t="n"/>
    </row>
    <row r="585">
      <c r="A585" s="10">
        <f>IFERROR(IF(AND(IFERROR(INDEX(ERP資料!$A:$A, (MATCH(584, 輔助計算!$G$2:$G$801, 0)+1)), "")&lt;&gt;"", IFERROR(INDEX(ERP資料!$A:$A, (MATCH(584, 輔助計算!$G$2:$G$801, 0)+1)), "")&lt;&gt;IFERROR(INDEX(ERP資料!$A:$A, MATCH(583, 輔助計算!$G$2:$G$801, 0)+1), "")), IFERROR(INDEX(ERP資料!$A:$A, (MATCH(584, 輔助計算!$G$2:$G$801, 0)+1)), ""), ""), "")</f>
        <v/>
      </c>
      <c r="B585" s="10">
        <f>IFERROR(IF(AND(IFERROR(INDEX(ERP資料!$A:$A, (MATCH(584, 輔助計算!$G$2:$G$801, 0)+1)), "")&lt;&gt;"", IFERROR(INDEX(ERP資料!$A:$A, (MATCH(584, 輔助計算!$G$2:$G$801, 0)+1)), "")&lt;&gt;IFERROR(INDEX(ERP資料!$A:$A, MATCH(583, 輔助計算!$G$2:$G$801, 0)+1), "")), INDEX(ERP資料!$S:$S, (MATCH(584, 輔助計算!$G$2:$G$801, 0)+1)), ""), "")</f>
        <v/>
      </c>
      <c r="C585" s="19">
        <f>IFERROR(IF(AND(IFERROR(INDEX(ERP資料!$A:$A, (MATCH(584, 輔助計算!$G$2:$G$801, 0)+1)), "")&lt;&gt;"", IFERROR(INDEX(ERP資料!$A:$A, (MATCH(584, 輔助計算!$G$2:$G$801, 0)+1)), "")&lt;&gt;IFERROR(INDEX(ERP資料!$A:$A, MATCH(583, 輔助計算!$G$2:$G$801, 0)+1), "")), IFERROR(VLOOKUP(LEFT(INDEX(ERP資料!$S:$S, (MATCH(584, 輔助計算!$G$2:$G$801, 0)+1)), 4), 紙管對照表!$A:$C, 3, FALSE), ""), ""), "")</f>
        <v/>
      </c>
      <c r="D585" s="16" t="n"/>
      <c r="E585" s="10">
        <f>IFERROR(IF(INDEX(ERP資料!$H:$H, (MATCH(584, 輔助計算!$G$2:$G$801, 0)+1))="","",INDEX(ERP資料!$H:$H, (MATCH(584, 輔助計算!$G$2:$G$801, 0)+1))), "")</f>
        <v/>
      </c>
      <c r="F585" s="10">
        <f>IFERROR(IF(INDEX(ERP資料!$E:$E, (MATCH(584, 輔助計算!$G$2:$G$801, 0)+1))="","",TRIM(INDEX(ERP資料!$E:$E, (MATCH(584, 輔助計算!$G$2:$G$801, 0)+1)))), "")</f>
        <v/>
      </c>
      <c r="G585" s="10">
        <f>IFERROR(IF(INDEX(ERP資料!$F:$F, (MATCH(584, 輔助計算!$G$2:$G$801, 0)+1))="","",INDEX(ERP資料!$F:$F, (MATCH(584, 輔助計算!$G$2:$G$801, 0)+1))), "")</f>
        <v/>
      </c>
      <c r="H585" s="10">
        <f>IFERROR(IF(INDEX(ERP資料!$G:$G, (MATCH(584, 輔助計算!$G$2:$G$801, 0)+1))="","",INDEX(ERP資料!$G:$G, (MATCH(584, 輔助計算!$G$2:$G$801, 0)+1))), "")</f>
        <v/>
      </c>
      <c r="I585" s="15">
        <f>IFERROR(INDEX(輔助計算!$D:$D, (MATCH(584, 輔助計算!$G$2:$G$801, 0)+1)), "")</f>
        <v/>
      </c>
      <c r="J585" s="15">
        <f>IFERROR(IF(AND(INDEX(輔助計算!$D:$D, (MATCH(584, 輔助計算!$G$2:$G$801, 0)+1))&lt;&gt;"", INDEX(ERP資料!$G:$G, (MATCH(584, 輔助計算!$G$2:$G$801, 0)+1))&lt;&gt;""), TRIM(IF(INT(INDEX(輔助計算!$D:$D, (MATCH(584, 輔助計算!$G$2:$G$801, 0)+1))/IF(INDEX(ERP資料!$G:$G, (MATCH(584, 輔助計算!$G$2:$G$801, 0)+1))&lt;100, IF(INDEX(ERP資料!$G:$G, (MATCH(584, 輔助計算!$G$2:$G$801, 0)+1))&lt;=31,3,IF(INDEX(ERP資料!$G:$G, (MATCH(584, 輔助計算!$G$2:$G$801, 0)+1))&lt;=46.5,2,1)), IF(INDEX(ERP資料!$G:$G, (MATCH(584, 輔助計算!$G$2:$G$801, 0)+1))&lt;=790,3,IF(INDEX(ERP資料!$G:$G, (MATCH(584, 輔助計算!$G$2:$G$801, 0)+1))&lt;=1181,2,1))))&gt;0, IF(IF(INDEX(ERP資料!$G:$G, (MATCH(584, 輔助計算!$G$2:$G$801, 0)+1))&lt;100, IF(INDEX(ERP資料!$G:$G, (MATCH(584, 輔助計算!$G$2:$G$801, 0)+1))&lt;=31,3,IF(INDEX(ERP資料!$G:$G, (MATCH(584, 輔助計算!$G$2:$G$801, 0)+1))&lt;=46.5,2,1)), IF(INDEX(ERP資料!$G:$G, (MATCH(584, 輔助計算!$G$2:$G$801, 0)+1))&lt;=790,3,IF(INDEX(ERP資料!$G:$G, (MATCH(584, 輔助計算!$G$2:$G$801, 0)+1))&lt;=1181,2,1)))=1,TEXT(INDEX(ERP資料!$G:$G, (MATCH(584, 輔助計算!$G$2:$G$801, 0)+1)),"0.##"),IF(IF(INDEX(ERP資料!$G:$G, (MATCH(584, 輔助計算!$G$2:$G$801, 0)+1))&lt;100, IF(INDEX(ERP資料!$G:$G, (MATCH(584, 輔助計算!$G$2:$G$801, 0)+1))&lt;=31,3,IF(INDEX(ERP資料!$G:$G, (MATCH(584, 輔助計算!$G$2:$G$801, 0)+1))&lt;=46.5,2,1)), IF(INDEX(ERP資料!$G:$G, (MATCH(584, 輔助計算!$G$2:$G$801, 0)+1))&lt;=790,3,IF(INDEX(ERP資料!$G:$G, (MATCH(584, 輔助計算!$G$2:$G$801, 0)+1))&lt;=1181,2,1)))=2,TEXT(INDEX(ERP資料!$G:$G, (MATCH(584, 輔助計算!$G$2:$G$801, 0)+1)),"0.##")&amp;"+"&amp;TEXT(INDEX(ERP資料!$G:$G, (MATCH(584, 輔助計算!$G$2:$G$801, 0)+1)),"0.##"),TEXT(INDEX(ERP資料!$G:$G, (MATCH(584, 輔助計算!$G$2:$G$801, 0)+1)),"0.##")&amp;"+"&amp;TEXT(INDEX(ERP資料!$G:$G, (MATCH(584, 輔助計算!$G$2:$G$801, 0)+1)),"0.##")&amp;"+"&amp;TEXT(INDEX(ERP資料!$G:$G, (MATCH(584, 輔助計算!$G$2:$G$801, 0)+1)),"0.##")))&amp;"-"&amp;INT(INDEX(輔助計算!$D:$D, (MATCH(584, 輔助計算!$G$2:$G$801, 0)+1))/IF(INDEX(ERP資料!$G:$G, (MATCH(584, 輔助計算!$G$2:$G$801, 0)+1))&lt;100, IF(INDEX(ERP資料!$G:$G, (MATCH(584, 輔助計算!$G$2:$G$801, 0)+1))&lt;=31,3,IF(INDEX(ERP資料!$G:$G, (MATCH(584, 輔助計算!$G$2:$G$801, 0)+1))&lt;=46.5,2,1)), IF(INDEX(ERP資料!$G:$G, (MATCH(584, 輔助計算!$G$2:$G$801, 0)+1))&lt;=790,3,IF(INDEX(ERP資料!$G:$G, (MATCH(584, 輔助計算!$G$2:$G$801, 0)+1))&lt;=1181,2,1)))), "")&amp;IF(AND(IF(INT(INDEX(輔助計算!$D:$D, (MATCH(584, 輔助計算!$G$2:$G$801, 0)+1))/IF(INDEX(ERP資料!$G:$G, (MATCH(584, 輔助計算!$G$2:$G$801, 0)+1))&lt;100, IF(INDEX(ERP資料!$G:$G, (MATCH(584, 輔助計算!$G$2:$G$801, 0)+1))&lt;=31,3,IF(INDEX(ERP資料!$G:$G, (MATCH(584, 輔助計算!$G$2:$G$801, 0)+1))&lt;=46.5,2,1)), IF(INDEX(ERP資料!$G:$G, (MATCH(584, 輔助計算!$G$2:$G$801, 0)+1))&lt;=790,3,IF(INDEX(ERP資料!$G:$G, (MATCH(584, 輔助計算!$G$2:$G$801, 0)+1))&lt;=1181,2,1))))&gt;0, IF(IF(INDEX(ERP資料!$G:$G, (MATCH(584, 輔助計算!$G$2:$G$801, 0)+1))&lt;100, IF(INDEX(ERP資料!$G:$G, (MATCH(584, 輔助計算!$G$2:$G$801, 0)+1))&lt;=31,3,IF(INDEX(ERP資料!$G:$G, (MATCH(584, 輔助計算!$G$2:$G$801, 0)+1))&lt;=46.5,2,1)), IF(INDEX(ERP資料!$G:$G, (MATCH(584, 輔助計算!$G$2:$G$801, 0)+1))&lt;=790,3,IF(INDEX(ERP資料!$G:$G, (MATCH(584, 輔助計算!$G$2:$G$801, 0)+1))&lt;=1181,2,1)))=1,TEXT(INDEX(ERP資料!$G:$G, (MATCH(584, 輔助計算!$G$2:$G$801, 0)+1)),"0.##"),IF(IF(INDEX(ERP資料!$G:$G, (MATCH(584, 輔助計算!$G$2:$G$801, 0)+1))&lt;100, IF(INDEX(ERP資料!$G:$G, (MATCH(584, 輔助計算!$G$2:$G$801, 0)+1))&lt;=31,3,IF(INDEX(ERP資料!$G:$G, (MATCH(584, 輔助計算!$G$2:$G$801, 0)+1))&lt;=46.5,2,1)), IF(INDEX(ERP資料!$G:$G, (MATCH(584, 輔助計算!$G$2:$G$801, 0)+1))&lt;=790,3,IF(INDEX(ERP資料!$G:$G, (MATCH(584, 輔助計算!$G$2:$G$801, 0)+1))&lt;=1181,2,1)))=2,TEXT(INDEX(ERP資料!$G:$G, (MATCH(584, 輔助計算!$G$2:$G$801, 0)+1)),"0.##")&amp;"+"&amp;TEXT(INDEX(ERP資料!$G:$G, (MATCH(584, 輔助計算!$G$2:$G$801, 0)+1)),"0.##"),TEXT(INDEX(ERP資料!$G:$G, (MATCH(584, 輔助計算!$G$2:$G$801, 0)+1)),"0.##")&amp;"+"&amp;TEXT(INDEX(ERP資料!$G:$G, (MATCH(584, 輔助計算!$G$2:$G$801, 0)+1)),"0.##")&amp;"+"&amp;TEXT(INDEX(ERP資料!$G:$G, (MATCH(584, 輔助計算!$G$2:$G$801, 0)+1)),"0.##")))&amp;"-"&amp;INT(INDEX(輔助計算!$D:$D, (MATCH(584, 輔助計算!$G$2:$G$801, 0)+1))/IF(INDEX(ERP資料!$G:$G, (MATCH(584, 輔助計算!$G$2:$G$801, 0)+1))&lt;100, IF(INDEX(ERP資料!$G:$G, (MATCH(584, 輔助計算!$G$2:$G$801, 0)+1))&lt;=31,3,IF(INDEX(ERP資料!$G:$G, (MATCH(584, 輔助計算!$G$2:$G$801, 0)+1))&lt;=46.5,2,1)), IF(INDEX(ERP資料!$G:$G, (MATCH(584, 輔助計算!$G$2:$G$801, 0)+1))&lt;=790,3,IF(INDEX(ERP資料!$G:$G, (MATCH(584, 輔助計算!$G$2:$G$801, 0)+1))&lt;=1181,2,1)))), "")&lt;&gt;"",IF(MOD(INDEX(輔助計算!$D:$D, (MATCH(584, 輔助計算!$G$2:$G$801, 0)+1)),IF(INDEX(ERP資料!$G:$G, (MATCH(584, 輔助計算!$G$2:$G$801, 0)+1))&lt;100, IF(INDEX(ERP資料!$G:$G, (MATCH(584, 輔助計算!$G$2:$G$801, 0)+1))&lt;=31,3,IF(INDEX(ERP資料!$G:$G, (MATCH(584, 輔助計算!$G$2:$G$801, 0)+1))&lt;=46.5,2,1)), IF(INDEX(ERP資料!$G:$G, (MATCH(584, 輔助計算!$G$2:$G$801, 0)+1))&lt;=790,3,IF(INDEX(ERP資料!$G:$G, (MATCH(584, 輔助計算!$G$2:$G$801, 0)+1))&lt;=1181,2,1))))=0,"",IF(MOD(INDEX(輔助計算!$D:$D, (MATCH(584, 輔助計算!$G$2:$G$801, 0)+1)),IF(INDEX(ERP資料!$G:$G, (MATCH(584, 輔助計算!$G$2:$G$801, 0)+1))&lt;100, IF(INDEX(ERP資料!$G:$G, (MATCH(584, 輔助計算!$G$2:$G$801, 0)+1))&lt;=31,3,IF(INDEX(ERP資料!$G:$G, (MATCH(584, 輔助計算!$G$2:$G$801, 0)+1))&lt;=46.5,2,1)), IF(INDEX(ERP資料!$G:$G, (MATCH(584, 輔助計算!$G$2:$G$801, 0)+1))&lt;=790,3,IF(INDEX(ERP資料!$G:$G, (MATCH(584, 輔助計算!$G$2:$G$801, 0)+1))&lt;=1181,2,1))))=0,"",IF(MOD(INDEX(輔助計算!$D:$D, (MATCH(584, 輔助計算!$G$2:$G$801, 0)+1)),IF(INDEX(ERP資料!$G:$G, (MATCH(584, 輔助計算!$G$2:$G$801, 0)+1))&lt;100, IF(INDEX(ERP資料!$G:$G, (MATCH(584, 輔助計算!$G$2:$G$801, 0)+1))&lt;=31,3,IF(INDEX(ERP資料!$G:$G, (MATCH(584, 輔助計算!$G$2:$G$801, 0)+1))&lt;=46.5,2,1)), IF(INDEX(ERP資料!$G:$G, (MATCH(584, 輔助計算!$G$2:$G$801, 0)+1))&lt;=790,3,IF(INDEX(ERP資料!$G:$G, (MATCH(584, 輔助計算!$G$2:$G$801, 0)+1))&lt;=1181,2,1))))=1,TEXT(INDEX(ERP資料!$G:$G, (MATCH(584, 輔助計算!$G$2:$G$801, 0)+1)),"0.##"),IF(MOD(INDEX(輔助計算!$D:$D, (MATCH(584, 輔助計算!$G$2:$G$801, 0)+1)),IF(INDEX(ERP資料!$G:$G, (MATCH(584, 輔助計算!$G$2:$G$801, 0)+1))&lt;100, IF(INDEX(ERP資料!$G:$G, (MATCH(584, 輔助計算!$G$2:$G$801, 0)+1))&lt;=31,3,IF(INDEX(ERP資料!$G:$G, (MATCH(584, 輔助計算!$G$2:$G$801, 0)+1))&lt;=46.5,2,1)), IF(INDEX(ERP資料!$G:$G, (MATCH(584, 輔助計算!$G$2:$G$801, 0)+1))&lt;=790,3,IF(INDEX(ERP資料!$G:$G, (MATCH(584, 輔助計算!$G$2:$G$801, 0)+1))&lt;=1181,2,1))))=2,TEXT(INDEX(ERP資料!$G:$G, (MATCH(584, 輔助計算!$G$2:$G$801, 0)+1)),"0.##")&amp;"+"&amp;TEXT(INDEX(ERP資料!$G:$G, (MATCH(584, 輔助計算!$G$2:$G$801, 0)+1)),"0.##"),TEXT(INDEX(ERP資料!$G:$G, (MATCH(584, 輔助計算!$G$2:$G$801, 0)+1)),"0.##")&amp;"+"&amp;TEXT(INDEX(ERP資料!$G:$G, (MATCH(584, 輔助計算!$G$2:$G$801, 0)+1)),"0.##")&amp;"+"&amp;TEXT(INDEX(ERP資料!$G:$G, (MATCH(584, 輔助計算!$G$2:$G$801, 0)+1)),"0.##"))))&amp;"-1")&lt;&gt;""),"  ","")&amp;IF(MOD(INDEX(輔助計算!$D:$D, (MATCH(584, 輔助計算!$G$2:$G$801, 0)+1)),IF(INDEX(ERP資料!$G:$G, (MATCH(584, 輔助計算!$G$2:$G$801, 0)+1))&lt;100, IF(INDEX(ERP資料!$G:$G, (MATCH(584, 輔助計算!$G$2:$G$801, 0)+1))&lt;=31,3,IF(INDEX(ERP資料!$G:$G, (MATCH(584, 輔助計算!$G$2:$G$801, 0)+1))&lt;=46.5,2,1)), IF(INDEX(ERP資料!$G:$G, (MATCH(584, 輔助計算!$G$2:$G$801, 0)+1))&lt;=790,3,IF(INDEX(ERP資料!$G:$G, (MATCH(584, 輔助計算!$G$2:$G$801, 0)+1))&lt;=1181,2,1))))=0,"",IF(MOD(INDEX(輔助計算!$D:$D, (MATCH(584, 輔助計算!$G$2:$G$801, 0)+1)),IF(INDEX(ERP資料!$G:$G, (MATCH(584, 輔助計算!$G$2:$G$801, 0)+1))&lt;100, IF(INDEX(ERP資料!$G:$G, (MATCH(584, 輔助計算!$G$2:$G$801, 0)+1))&lt;=31,3,IF(INDEX(ERP資料!$G:$G, (MATCH(584, 輔助計算!$G$2:$G$801, 0)+1))&lt;=46.5,2,1)), IF(INDEX(ERP資料!$G:$G, (MATCH(584, 輔助計算!$G$2:$G$801, 0)+1))&lt;=790,3,IF(INDEX(ERP資料!$G:$G, (MATCH(584, 輔助計算!$G$2:$G$801, 0)+1))&lt;=1181,2,1))))=0,"",IF(MOD(INDEX(輔助計算!$D:$D, (MATCH(584, 輔助計算!$G$2:$G$801, 0)+1)),IF(INDEX(ERP資料!$G:$G, (MATCH(584, 輔助計算!$G$2:$G$801, 0)+1))&lt;100, IF(INDEX(ERP資料!$G:$G, (MATCH(584, 輔助計算!$G$2:$G$801, 0)+1))&lt;=31,3,IF(INDEX(ERP資料!$G:$G, (MATCH(584, 輔助計算!$G$2:$G$801, 0)+1))&lt;=46.5,2,1)), IF(INDEX(ERP資料!$G:$G, (MATCH(584, 輔助計算!$G$2:$G$801, 0)+1))&lt;=790,3,IF(INDEX(ERP資料!$G:$G, (MATCH(584, 輔助計算!$G$2:$G$801, 0)+1))&lt;=1181,2,1))))=1,TEXT(INDEX(ERP資料!$G:$G, (MATCH(584, 輔助計算!$G$2:$G$801, 0)+1)),"0.##"),IF(MOD(INDEX(輔助計算!$D:$D, (MATCH(584, 輔助計算!$G$2:$G$801, 0)+1)),IF(INDEX(ERP資料!$G:$G, (MATCH(584, 輔助計算!$G$2:$G$801, 0)+1))&lt;100, IF(INDEX(ERP資料!$G:$G, (MATCH(584, 輔助計算!$G$2:$G$801, 0)+1))&lt;=31,3,IF(INDEX(ERP資料!$G:$G, (MATCH(584, 輔助計算!$G$2:$G$801, 0)+1))&lt;=46.5,2,1)), IF(INDEX(ERP資料!$G:$G, (MATCH(584, 輔助計算!$G$2:$G$801, 0)+1))&lt;=790,3,IF(INDEX(ERP資料!$G:$G, (MATCH(584, 輔助計算!$G$2:$G$801, 0)+1))&lt;=1181,2,1))))=2,TEXT(INDEX(ERP資料!$G:$G, (MATCH(584, 輔助計算!$G$2:$G$801, 0)+1)),"0.##")&amp;"+"&amp;TEXT(INDEX(ERP資料!$G:$G, (MATCH(584, 輔助計算!$G$2:$G$801, 0)+1)),"0.##"),TEXT(INDEX(ERP資料!$G:$G, (MATCH(584, 輔助計算!$G$2:$G$801, 0)+1)),"0.##")&amp;"+"&amp;TEXT(INDEX(ERP資料!$G:$G, (MATCH(584, 輔助計算!$G$2:$G$801, 0)+1)),"0.##")&amp;"+"&amp;TEXT(INDEX(ERP資料!$G:$G, (MATCH(584, 輔助計算!$G$2:$G$801, 0)+1)),"0.##"))))&amp;"-1")), ""), "")</f>
        <v/>
      </c>
      <c r="K585" s="16" t="n"/>
      <c r="L585" s="14">
        <f>IFERROR(IF(AND(IFERROR(INDEX(ERP資料!$A:$A, (MATCH(584, 輔助計算!$G$2:$G$801, 0)+1)), "")&lt;&gt;"", IFERROR(INDEX(ERP資料!$A:$A, (MATCH(584, 輔助計算!$G$2:$G$801, 0)+1)), "")&lt;&gt;IFERROR(INDEX(ERP資料!$A:$A, MATCH(583, 輔助計算!$G$2:$G$801, 0)+1), "")), INDEX(ERP資料!$B:$B, (MATCH(584, 輔助計算!$G$2:$G$801, 0)+1)), ""), "")</f>
        <v/>
      </c>
      <c r="M585" s="17" t="n"/>
    </row>
    <row r="586">
      <c r="A586" s="10">
        <f>IFERROR(IF(AND(IFERROR(INDEX(ERP資料!$A:$A, (MATCH(585, 輔助計算!$G$2:$G$801, 0)+1)), "")&lt;&gt;"", IFERROR(INDEX(ERP資料!$A:$A, (MATCH(585, 輔助計算!$G$2:$G$801, 0)+1)), "")&lt;&gt;IFERROR(INDEX(ERP資料!$A:$A, MATCH(584, 輔助計算!$G$2:$G$801, 0)+1), "")), IFERROR(INDEX(ERP資料!$A:$A, (MATCH(585, 輔助計算!$G$2:$G$801, 0)+1)), ""), ""), "")</f>
        <v/>
      </c>
      <c r="B586" s="10">
        <f>IFERROR(IF(AND(IFERROR(INDEX(ERP資料!$A:$A, (MATCH(585, 輔助計算!$G$2:$G$801, 0)+1)), "")&lt;&gt;"", IFERROR(INDEX(ERP資料!$A:$A, (MATCH(585, 輔助計算!$G$2:$G$801, 0)+1)), "")&lt;&gt;IFERROR(INDEX(ERP資料!$A:$A, MATCH(584, 輔助計算!$G$2:$G$801, 0)+1), "")), INDEX(ERP資料!$S:$S, (MATCH(585, 輔助計算!$G$2:$G$801, 0)+1)), ""), "")</f>
        <v/>
      </c>
      <c r="C586" s="19">
        <f>IFERROR(IF(AND(IFERROR(INDEX(ERP資料!$A:$A, (MATCH(585, 輔助計算!$G$2:$G$801, 0)+1)), "")&lt;&gt;"", IFERROR(INDEX(ERP資料!$A:$A, (MATCH(585, 輔助計算!$G$2:$G$801, 0)+1)), "")&lt;&gt;IFERROR(INDEX(ERP資料!$A:$A, MATCH(584, 輔助計算!$G$2:$G$801, 0)+1), "")), IFERROR(VLOOKUP(LEFT(INDEX(ERP資料!$S:$S, (MATCH(585, 輔助計算!$G$2:$G$801, 0)+1)), 4), 紙管對照表!$A:$C, 3, FALSE), ""), ""), "")</f>
        <v/>
      </c>
      <c r="D586" s="16" t="n"/>
      <c r="E586" s="10">
        <f>IFERROR(IF(INDEX(ERP資料!$H:$H, (MATCH(585, 輔助計算!$G$2:$G$801, 0)+1))="","",INDEX(ERP資料!$H:$H, (MATCH(585, 輔助計算!$G$2:$G$801, 0)+1))), "")</f>
        <v/>
      </c>
      <c r="F586" s="10">
        <f>IFERROR(IF(INDEX(ERP資料!$E:$E, (MATCH(585, 輔助計算!$G$2:$G$801, 0)+1))="","",TRIM(INDEX(ERP資料!$E:$E, (MATCH(585, 輔助計算!$G$2:$G$801, 0)+1)))), "")</f>
        <v/>
      </c>
      <c r="G586" s="10">
        <f>IFERROR(IF(INDEX(ERP資料!$F:$F, (MATCH(585, 輔助計算!$G$2:$G$801, 0)+1))="","",INDEX(ERP資料!$F:$F, (MATCH(585, 輔助計算!$G$2:$G$801, 0)+1))), "")</f>
        <v/>
      </c>
      <c r="H586" s="10">
        <f>IFERROR(IF(INDEX(ERP資料!$G:$G, (MATCH(585, 輔助計算!$G$2:$G$801, 0)+1))="","",INDEX(ERP資料!$G:$G, (MATCH(585, 輔助計算!$G$2:$G$801, 0)+1))), "")</f>
        <v/>
      </c>
      <c r="I586" s="15">
        <f>IFERROR(INDEX(輔助計算!$D:$D, (MATCH(585, 輔助計算!$G$2:$G$801, 0)+1)), "")</f>
        <v/>
      </c>
      <c r="J586" s="15">
        <f>IFERROR(IF(AND(INDEX(輔助計算!$D:$D, (MATCH(585, 輔助計算!$G$2:$G$801, 0)+1))&lt;&gt;"", INDEX(ERP資料!$G:$G, (MATCH(585, 輔助計算!$G$2:$G$801, 0)+1))&lt;&gt;""), TRIM(IF(INT(INDEX(輔助計算!$D:$D, (MATCH(585, 輔助計算!$G$2:$G$801, 0)+1))/IF(INDEX(ERP資料!$G:$G, (MATCH(585, 輔助計算!$G$2:$G$801, 0)+1))&lt;100, IF(INDEX(ERP資料!$G:$G, (MATCH(585, 輔助計算!$G$2:$G$801, 0)+1))&lt;=31,3,IF(INDEX(ERP資料!$G:$G, (MATCH(585, 輔助計算!$G$2:$G$801, 0)+1))&lt;=46.5,2,1)), IF(INDEX(ERP資料!$G:$G, (MATCH(585, 輔助計算!$G$2:$G$801, 0)+1))&lt;=790,3,IF(INDEX(ERP資料!$G:$G, (MATCH(585, 輔助計算!$G$2:$G$801, 0)+1))&lt;=1181,2,1))))&gt;0, IF(IF(INDEX(ERP資料!$G:$G, (MATCH(585, 輔助計算!$G$2:$G$801, 0)+1))&lt;100, IF(INDEX(ERP資料!$G:$G, (MATCH(585, 輔助計算!$G$2:$G$801, 0)+1))&lt;=31,3,IF(INDEX(ERP資料!$G:$G, (MATCH(585, 輔助計算!$G$2:$G$801, 0)+1))&lt;=46.5,2,1)), IF(INDEX(ERP資料!$G:$G, (MATCH(585, 輔助計算!$G$2:$G$801, 0)+1))&lt;=790,3,IF(INDEX(ERP資料!$G:$G, (MATCH(585, 輔助計算!$G$2:$G$801, 0)+1))&lt;=1181,2,1)))=1,TEXT(INDEX(ERP資料!$G:$G, (MATCH(585, 輔助計算!$G$2:$G$801, 0)+1)),"0.##"),IF(IF(INDEX(ERP資料!$G:$G, (MATCH(585, 輔助計算!$G$2:$G$801, 0)+1))&lt;100, IF(INDEX(ERP資料!$G:$G, (MATCH(585, 輔助計算!$G$2:$G$801, 0)+1))&lt;=31,3,IF(INDEX(ERP資料!$G:$G, (MATCH(585, 輔助計算!$G$2:$G$801, 0)+1))&lt;=46.5,2,1)), IF(INDEX(ERP資料!$G:$G, (MATCH(585, 輔助計算!$G$2:$G$801, 0)+1))&lt;=790,3,IF(INDEX(ERP資料!$G:$G, (MATCH(585, 輔助計算!$G$2:$G$801, 0)+1))&lt;=1181,2,1)))=2,TEXT(INDEX(ERP資料!$G:$G, (MATCH(585, 輔助計算!$G$2:$G$801, 0)+1)),"0.##")&amp;"+"&amp;TEXT(INDEX(ERP資料!$G:$G, (MATCH(585, 輔助計算!$G$2:$G$801, 0)+1)),"0.##"),TEXT(INDEX(ERP資料!$G:$G, (MATCH(585, 輔助計算!$G$2:$G$801, 0)+1)),"0.##")&amp;"+"&amp;TEXT(INDEX(ERP資料!$G:$G, (MATCH(585, 輔助計算!$G$2:$G$801, 0)+1)),"0.##")&amp;"+"&amp;TEXT(INDEX(ERP資料!$G:$G, (MATCH(585, 輔助計算!$G$2:$G$801, 0)+1)),"0.##")))&amp;"-"&amp;INT(INDEX(輔助計算!$D:$D, (MATCH(585, 輔助計算!$G$2:$G$801, 0)+1))/IF(INDEX(ERP資料!$G:$G, (MATCH(585, 輔助計算!$G$2:$G$801, 0)+1))&lt;100, IF(INDEX(ERP資料!$G:$G, (MATCH(585, 輔助計算!$G$2:$G$801, 0)+1))&lt;=31,3,IF(INDEX(ERP資料!$G:$G, (MATCH(585, 輔助計算!$G$2:$G$801, 0)+1))&lt;=46.5,2,1)), IF(INDEX(ERP資料!$G:$G, (MATCH(585, 輔助計算!$G$2:$G$801, 0)+1))&lt;=790,3,IF(INDEX(ERP資料!$G:$G, (MATCH(585, 輔助計算!$G$2:$G$801, 0)+1))&lt;=1181,2,1)))), "")&amp;IF(AND(IF(INT(INDEX(輔助計算!$D:$D, (MATCH(585, 輔助計算!$G$2:$G$801, 0)+1))/IF(INDEX(ERP資料!$G:$G, (MATCH(585, 輔助計算!$G$2:$G$801, 0)+1))&lt;100, IF(INDEX(ERP資料!$G:$G, (MATCH(585, 輔助計算!$G$2:$G$801, 0)+1))&lt;=31,3,IF(INDEX(ERP資料!$G:$G, (MATCH(585, 輔助計算!$G$2:$G$801, 0)+1))&lt;=46.5,2,1)), IF(INDEX(ERP資料!$G:$G, (MATCH(585, 輔助計算!$G$2:$G$801, 0)+1))&lt;=790,3,IF(INDEX(ERP資料!$G:$G, (MATCH(585, 輔助計算!$G$2:$G$801, 0)+1))&lt;=1181,2,1))))&gt;0, IF(IF(INDEX(ERP資料!$G:$G, (MATCH(585, 輔助計算!$G$2:$G$801, 0)+1))&lt;100, IF(INDEX(ERP資料!$G:$G, (MATCH(585, 輔助計算!$G$2:$G$801, 0)+1))&lt;=31,3,IF(INDEX(ERP資料!$G:$G, (MATCH(585, 輔助計算!$G$2:$G$801, 0)+1))&lt;=46.5,2,1)), IF(INDEX(ERP資料!$G:$G, (MATCH(585, 輔助計算!$G$2:$G$801, 0)+1))&lt;=790,3,IF(INDEX(ERP資料!$G:$G, (MATCH(585, 輔助計算!$G$2:$G$801, 0)+1))&lt;=1181,2,1)))=1,TEXT(INDEX(ERP資料!$G:$G, (MATCH(585, 輔助計算!$G$2:$G$801, 0)+1)),"0.##"),IF(IF(INDEX(ERP資料!$G:$G, (MATCH(585, 輔助計算!$G$2:$G$801, 0)+1))&lt;100, IF(INDEX(ERP資料!$G:$G, (MATCH(585, 輔助計算!$G$2:$G$801, 0)+1))&lt;=31,3,IF(INDEX(ERP資料!$G:$G, (MATCH(585, 輔助計算!$G$2:$G$801, 0)+1))&lt;=46.5,2,1)), IF(INDEX(ERP資料!$G:$G, (MATCH(585, 輔助計算!$G$2:$G$801, 0)+1))&lt;=790,3,IF(INDEX(ERP資料!$G:$G, (MATCH(585, 輔助計算!$G$2:$G$801, 0)+1))&lt;=1181,2,1)))=2,TEXT(INDEX(ERP資料!$G:$G, (MATCH(585, 輔助計算!$G$2:$G$801, 0)+1)),"0.##")&amp;"+"&amp;TEXT(INDEX(ERP資料!$G:$G, (MATCH(585, 輔助計算!$G$2:$G$801, 0)+1)),"0.##"),TEXT(INDEX(ERP資料!$G:$G, (MATCH(585, 輔助計算!$G$2:$G$801, 0)+1)),"0.##")&amp;"+"&amp;TEXT(INDEX(ERP資料!$G:$G, (MATCH(585, 輔助計算!$G$2:$G$801, 0)+1)),"0.##")&amp;"+"&amp;TEXT(INDEX(ERP資料!$G:$G, (MATCH(585, 輔助計算!$G$2:$G$801, 0)+1)),"0.##")))&amp;"-"&amp;INT(INDEX(輔助計算!$D:$D, (MATCH(585, 輔助計算!$G$2:$G$801, 0)+1))/IF(INDEX(ERP資料!$G:$G, (MATCH(585, 輔助計算!$G$2:$G$801, 0)+1))&lt;100, IF(INDEX(ERP資料!$G:$G, (MATCH(585, 輔助計算!$G$2:$G$801, 0)+1))&lt;=31,3,IF(INDEX(ERP資料!$G:$G, (MATCH(585, 輔助計算!$G$2:$G$801, 0)+1))&lt;=46.5,2,1)), IF(INDEX(ERP資料!$G:$G, (MATCH(585, 輔助計算!$G$2:$G$801, 0)+1))&lt;=790,3,IF(INDEX(ERP資料!$G:$G, (MATCH(585, 輔助計算!$G$2:$G$801, 0)+1))&lt;=1181,2,1)))), "")&lt;&gt;"",IF(MOD(INDEX(輔助計算!$D:$D, (MATCH(585, 輔助計算!$G$2:$G$801, 0)+1)),IF(INDEX(ERP資料!$G:$G, (MATCH(585, 輔助計算!$G$2:$G$801, 0)+1))&lt;100, IF(INDEX(ERP資料!$G:$G, (MATCH(585, 輔助計算!$G$2:$G$801, 0)+1))&lt;=31,3,IF(INDEX(ERP資料!$G:$G, (MATCH(585, 輔助計算!$G$2:$G$801, 0)+1))&lt;=46.5,2,1)), IF(INDEX(ERP資料!$G:$G, (MATCH(585, 輔助計算!$G$2:$G$801, 0)+1))&lt;=790,3,IF(INDEX(ERP資料!$G:$G, (MATCH(585, 輔助計算!$G$2:$G$801, 0)+1))&lt;=1181,2,1))))=0,"",IF(MOD(INDEX(輔助計算!$D:$D, (MATCH(585, 輔助計算!$G$2:$G$801, 0)+1)),IF(INDEX(ERP資料!$G:$G, (MATCH(585, 輔助計算!$G$2:$G$801, 0)+1))&lt;100, IF(INDEX(ERP資料!$G:$G, (MATCH(585, 輔助計算!$G$2:$G$801, 0)+1))&lt;=31,3,IF(INDEX(ERP資料!$G:$G, (MATCH(585, 輔助計算!$G$2:$G$801, 0)+1))&lt;=46.5,2,1)), IF(INDEX(ERP資料!$G:$G, (MATCH(585, 輔助計算!$G$2:$G$801, 0)+1))&lt;=790,3,IF(INDEX(ERP資料!$G:$G, (MATCH(585, 輔助計算!$G$2:$G$801, 0)+1))&lt;=1181,2,1))))=0,"",IF(MOD(INDEX(輔助計算!$D:$D, (MATCH(585, 輔助計算!$G$2:$G$801, 0)+1)),IF(INDEX(ERP資料!$G:$G, (MATCH(585, 輔助計算!$G$2:$G$801, 0)+1))&lt;100, IF(INDEX(ERP資料!$G:$G, (MATCH(585, 輔助計算!$G$2:$G$801, 0)+1))&lt;=31,3,IF(INDEX(ERP資料!$G:$G, (MATCH(585, 輔助計算!$G$2:$G$801, 0)+1))&lt;=46.5,2,1)), IF(INDEX(ERP資料!$G:$G, (MATCH(585, 輔助計算!$G$2:$G$801, 0)+1))&lt;=790,3,IF(INDEX(ERP資料!$G:$G, (MATCH(585, 輔助計算!$G$2:$G$801, 0)+1))&lt;=1181,2,1))))=1,TEXT(INDEX(ERP資料!$G:$G, (MATCH(585, 輔助計算!$G$2:$G$801, 0)+1)),"0.##"),IF(MOD(INDEX(輔助計算!$D:$D, (MATCH(585, 輔助計算!$G$2:$G$801, 0)+1)),IF(INDEX(ERP資料!$G:$G, (MATCH(585, 輔助計算!$G$2:$G$801, 0)+1))&lt;100, IF(INDEX(ERP資料!$G:$G, (MATCH(585, 輔助計算!$G$2:$G$801, 0)+1))&lt;=31,3,IF(INDEX(ERP資料!$G:$G, (MATCH(585, 輔助計算!$G$2:$G$801, 0)+1))&lt;=46.5,2,1)), IF(INDEX(ERP資料!$G:$G, (MATCH(585, 輔助計算!$G$2:$G$801, 0)+1))&lt;=790,3,IF(INDEX(ERP資料!$G:$G, (MATCH(585, 輔助計算!$G$2:$G$801, 0)+1))&lt;=1181,2,1))))=2,TEXT(INDEX(ERP資料!$G:$G, (MATCH(585, 輔助計算!$G$2:$G$801, 0)+1)),"0.##")&amp;"+"&amp;TEXT(INDEX(ERP資料!$G:$G, (MATCH(585, 輔助計算!$G$2:$G$801, 0)+1)),"0.##"),TEXT(INDEX(ERP資料!$G:$G, (MATCH(585, 輔助計算!$G$2:$G$801, 0)+1)),"0.##")&amp;"+"&amp;TEXT(INDEX(ERP資料!$G:$G, (MATCH(585, 輔助計算!$G$2:$G$801, 0)+1)),"0.##")&amp;"+"&amp;TEXT(INDEX(ERP資料!$G:$G, (MATCH(585, 輔助計算!$G$2:$G$801, 0)+1)),"0.##"))))&amp;"-1")&lt;&gt;""),"  ","")&amp;IF(MOD(INDEX(輔助計算!$D:$D, (MATCH(585, 輔助計算!$G$2:$G$801, 0)+1)),IF(INDEX(ERP資料!$G:$G, (MATCH(585, 輔助計算!$G$2:$G$801, 0)+1))&lt;100, IF(INDEX(ERP資料!$G:$G, (MATCH(585, 輔助計算!$G$2:$G$801, 0)+1))&lt;=31,3,IF(INDEX(ERP資料!$G:$G, (MATCH(585, 輔助計算!$G$2:$G$801, 0)+1))&lt;=46.5,2,1)), IF(INDEX(ERP資料!$G:$G, (MATCH(585, 輔助計算!$G$2:$G$801, 0)+1))&lt;=790,3,IF(INDEX(ERP資料!$G:$G, (MATCH(585, 輔助計算!$G$2:$G$801, 0)+1))&lt;=1181,2,1))))=0,"",IF(MOD(INDEX(輔助計算!$D:$D, (MATCH(585, 輔助計算!$G$2:$G$801, 0)+1)),IF(INDEX(ERP資料!$G:$G, (MATCH(585, 輔助計算!$G$2:$G$801, 0)+1))&lt;100, IF(INDEX(ERP資料!$G:$G, (MATCH(585, 輔助計算!$G$2:$G$801, 0)+1))&lt;=31,3,IF(INDEX(ERP資料!$G:$G, (MATCH(585, 輔助計算!$G$2:$G$801, 0)+1))&lt;=46.5,2,1)), IF(INDEX(ERP資料!$G:$G, (MATCH(585, 輔助計算!$G$2:$G$801, 0)+1))&lt;=790,3,IF(INDEX(ERP資料!$G:$G, (MATCH(585, 輔助計算!$G$2:$G$801, 0)+1))&lt;=1181,2,1))))=0,"",IF(MOD(INDEX(輔助計算!$D:$D, (MATCH(585, 輔助計算!$G$2:$G$801, 0)+1)),IF(INDEX(ERP資料!$G:$G, (MATCH(585, 輔助計算!$G$2:$G$801, 0)+1))&lt;100, IF(INDEX(ERP資料!$G:$G, (MATCH(585, 輔助計算!$G$2:$G$801, 0)+1))&lt;=31,3,IF(INDEX(ERP資料!$G:$G, (MATCH(585, 輔助計算!$G$2:$G$801, 0)+1))&lt;=46.5,2,1)), IF(INDEX(ERP資料!$G:$G, (MATCH(585, 輔助計算!$G$2:$G$801, 0)+1))&lt;=790,3,IF(INDEX(ERP資料!$G:$G, (MATCH(585, 輔助計算!$G$2:$G$801, 0)+1))&lt;=1181,2,1))))=1,TEXT(INDEX(ERP資料!$G:$G, (MATCH(585, 輔助計算!$G$2:$G$801, 0)+1)),"0.##"),IF(MOD(INDEX(輔助計算!$D:$D, (MATCH(585, 輔助計算!$G$2:$G$801, 0)+1)),IF(INDEX(ERP資料!$G:$G, (MATCH(585, 輔助計算!$G$2:$G$801, 0)+1))&lt;100, IF(INDEX(ERP資料!$G:$G, (MATCH(585, 輔助計算!$G$2:$G$801, 0)+1))&lt;=31,3,IF(INDEX(ERP資料!$G:$G, (MATCH(585, 輔助計算!$G$2:$G$801, 0)+1))&lt;=46.5,2,1)), IF(INDEX(ERP資料!$G:$G, (MATCH(585, 輔助計算!$G$2:$G$801, 0)+1))&lt;=790,3,IF(INDEX(ERP資料!$G:$G, (MATCH(585, 輔助計算!$G$2:$G$801, 0)+1))&lt;=1181,2,1))))=2,TEXT(INDEX(ERP資料!$G:$G, (MATCH(585, 輔助計算!$G$2:$G$801, 0)+1)),"0.##")&amp;"+"&amp;TEXT(INDEX(ERP資料!$G:$G, (MATCH(585, 輔助計算!$G$2:$G$801, 0)+1)),"0.##"),TEXT(INDEX(ERP資料!$G:$G, (MATCH(585, 輔助計算!$G$2:$G$801, 0)+1)),"0.##")&amp;"+"&amp;TEXT(INDEX(ERP資料!$G:$G, (MATCH(585, 輔助計算!$G$2:$G$801, 0)+1)),"0.##")&amp;"+"&amp;TEXT(INDEX(ERP資料!$G:$G, (MATCH(585, 輔助計算!$G$2:$G$801, 0)+1)),"0.##"))))&amp;"-1")), ""), "")</f>
        <v/>
      </c>
      <c r="K586" s="16" t="n"/>
      <c r="L586" s="14">
        <f>IFERROR(IF(AND(IFERROR(INDEX(ERP資料!$A:$A, (MATCH(585, 輔助計算!$G$2:$G$801, 0)+1)), "")&lt;&gt;"", IFERROR(INDEX(ERP資料!$A:$A, (MATCH(585, 輔助計算!$G$2:$G$801, 0)+1)), "")&lt;&gt;IFERROR(INDEX(ERP資料!$A:$A, MATCH(584, 輔助計算!$G$2:$G$801, 0)+1), "")), INDEX(ERP資料!$B:$B, (MATCH(585, 輔助計算!$G$2:$G$801, 0)+1)), ""), "")</f>
        <v/>
      </c>
      <c r="M586" s="17" t="n"/>
    </row>
    <row r="587">
      <c r="A587" s="10">
        <f>IFERROR(IF(AND(IFERROR(INDEX(ERP資料!$A:$A, (MATCH(586, 輔助計算!$G$2:$G$801, 0)+1)), "")&lt;&gt;"", IFERROR(INDEX(ERP資料!$A:$A, (MATCH(586, 輔助計算!$G$2:$G$801, 0)+1)), "")&lt;&gt;IFERROR(INDEX(ERP資料!$A:$A, MATCH(585, 輔助計算!$G$2:$G$801, 0)+1), "")), IFERROR(INDEX(ERP資料!$A:$A, (MATCH(586, 輔助計算!$G$2:$G$801, 0)+1)), ""), ""), "")</f>
        <v/>
      </c>
      <c r="B587" s="10">
        <f>IFERROR(IF(AND(IFERROR(INDEX(ERP資料!$A:$A, (MATCH(586, 輔助計算!$G$2:$G$801, 0)+1)), "")&lt;&gt;"", IFERROR(INDEX(ERP資料!$A:$A, (MATCH(586, 輔助計算!$G$2:$G$801, 0)+1)), "")&lt;&gt;IFERROR(INDEX(ERP資料!$A:$A, MATCH(585, 輔助計算!$G$2:$G$801, 0)+1), "")), INDEX(ERP資料!$S:$S, (MATCH(586, 輔助計算!$G$2:$G$801, 0)+1)), ""), "")</f>
        <v/>
      </c>
      <c r="C587" s="19">
        <f>IFERROR(IF(AND(IFERROR(INDEX(ERP資料!$A:$A, (MATCH(586, 輔助計算!$G$2:$G$801, 0)+1)), "")&lt;&gt;"", IFERROR(INDEX(ERP資料!$A:$A, (MATCH(586, 輔助計算!$G$2:$G$801, 0)+1)), "")&lt;&gt;IFERROR(INDEX(ERP資料!$A:$A, MATCH(585, 輔助計算!$G$2:$G$801, 0)+1), "")), IFERROR(VLOOKUP(LEFT(INDEX(ERP資料!$S:$S, (MATCH(586, 輔助計算!$G$2:$G$801, 0)+1)), 4), 紙管對照表!$A:$C, 3, FALSE), ""), ""), "")</f>
        <v/>
      </c>
      <c r="D587" s="16" t="n"/>
      <c r="E587" s="10">
        <f>IFERROR(IF(INDEX(ERP資料!$H:$H, (MATCH(586, 輔助計算!$G$2:$G$801, 0)+1))="","",INDEX(ERP資料!$H:$H, (MATCH(586, 輔助計算!$G$2:$G$801, 0)+1))), "")</f>
        <v/>
      </c>
      <c r="F587" s="10">
        <f>IFERROR(IF(INDEX(ERP資料!$E:$E, (MATCH(586, 輔助計算!$G$2:$G$801, 0)+1))="","",TRIM(INDEX(ERP資料!$E:$E, (MATCH(586, 輔助計算!$G$2:$G$801, 0)+1)))), "")</f>
        <v/>
      </c>
      <c r="G587" s="10">
        <f>IFERROR(IF(INDEX(ERP資料!$F:$F, (MATCH(586, 輔助計算!$G$2:$G$801, 0)+1))="","",INDEX(ERP資料!$F:$F, (MATCH(586, 輔助計算!$G$2:$G$801, 0)+1))), "")</f>
        <v/>
      </c>
      <c r="H587" s="10">
        <f>IFERROR(IF(INDEX(ERP資料!$G:$G, (MATCH(586, 輔助計算!$G$2:$G$801, 0)+1))="","",INDEX(ERP資料!$G:$G, (MATCH(586, 輔助計算!$G$2:$G$801, 0)+1))), "")</f>
        <v/>
      </c>
      <c r="I587" s="15">
        <f>IFERROR(INDEX(輔助計算!$D:$D, (MATCH(586, 輔助計算!$G$2:$G$801, 0)+1)), "")</f>
        <v/>
      </c>
      <c r="J587" s="15">
        <f>IFERROR(IF(AND(INDEX(輔助計算!$D:$D, (MATCH(586, 輔助計算!$G$2:$G$801, 0)+1))&lt;&gt;"", INDEX(ERP資料!$G:$G, (MATCH(586, 輔助計算!$G$2:$G$801, 0)+1))&lt;&gt;""), TRIM(IF(INT(INDEX(輔助計算!$D:$D, (MATCH(586, 輔助計算!$G$2:$G$801, 0)+1))/IF(INDEX(ERP資料!$G:$G, (MATCH(586, 輔助計算!$G$2:$G$801, 0)+1))&lt;100, IF(INDEX(ERP資料!$G:$G, (MATCH(586, 輔助計算!$G$2:$G$801, 0)+1))&lt;=31,3,IF(INDEX(ERP資料!$G:$G, (MATCH(586, 輔助計算!$G$2:$G$801, 0)+1))&lt;=46.5,2,1)), IF(INDEX(ERP資料!$G:$G, (MATCH(586, 輔助計算!$G$2:$G$801, 0)+1))&lt;=790,3,IF(INDEX(ERP資料!$G:$G, (MATCH(586, 輔助計算!$G$2:$G$801, 0)+1))&lt;=1181,2,1))))&gt;0, IF(IF(INDEX(ERP資料!$G:$G, (MATCH(586, 輔助計算!$G$2:$G$801, 0)+1))&lt;100, IF(INDEX(ERP資料!$G:$G, (MATCH(586, 輔助計算!$G$2:$G$801, 0)+1))&lt;=31,3,IF(INDEX(ERP資料!$G:$G, (MATCH(586, 輔助計算!$G$2:$G$801, 0)+1))&lt;=46.5,2,1)), IF(INDEX(ERP資料!$G:$G, (MATCH(586, 輔助計算!$G$2:$G$801, 0)+1))&lt;=790,3,IF(INDEX(ERP資料!$G:$G, (MATCH(586, 輔助計算!$G$2:$G$801, 0)+1))&lt;=1181,2,1)))=1,TEXT(INDEX(ERP資料!$G:$G, (MATCH(586, 輔助計算!$G$2:$G$801, 0)+1)),"0.##"),IF(IF(INDEX(ERP資料!$G:$G, (MATCH(586, 輔助計算!$G$2:$G$801, 0)+1))&lt;100, IF(INDEX(ERP資料!$G:$G, (MATCH(586, 輔助計算!$G$2:$G$801, 0)+1))&lt;=31,3,IF(INDEX(ERP資料!$G:$G, (MATCH(586, 輔助計算!$G$2:$G$801, 0)+1))&lt;=46.5,2,1)), IF(INDEX(ERP資料!$G:$G, (MATCH(586, 輔助計算!$G$2:$G$801, 0)+1))&lt;=790,3,IF(INDEX(ERP資料!$G:$G, (MATCH(586, 輔助計算!$G$2:$G$801, 0)+1))&lt;=1181,2,1)))=2,TEXT(INDEX(ERP資料!$G:$G, (MATCH(586, 輔助計算!$G$2:$G$801, 0)+1)),"0.##")&amp;"+"&amp;TEXT(INDEX(ERP資料!$G:$G, (MATCH(586, 輔助計算!$G$2:$G$801, 0)+1)),"0.##"),TEXT(INDEX(ERP資料!$G:$G, (MATCH(586, 輔助計算!$G$2:$G$801, 0)+1)),"0.##")&amp;"+"&amp;TEXT(INDEX(ERP資料!$G:$G, (MATCH(586, 輔助計算!$G$2:$G$801, 0)+1)),"0.##")&amp;"+"&amp;TEXT(INDEX(ERP資料!$G:$G, (MATCH(586, 輔助計算!$G$2:$G$801, 0)+1)),"0.##")))&amp;"-"&amp;INT(INDEX(輔助計算!$D:$D, (MATCH(586, 輔助計算!$G$2:$G$801, 0)+1))/IF(INDEX(ERP資料!$G:$G, (MATCH(586, 輔助計算!$G$2:$G$801, 0)+1))&lt;100, IF(INDEX(ERP資料!$G:$G, (MATCH(586, 輔助計算!$G$2:$G$801, 0)+1))&lt;=31,3,IF(INDEX(ERP資料!$G:$G, (MATCH(586, 輔助計算!$G$2:$G$801, 0)+1))&lt;=46.5,2,1)), IF(INDEX(ERP資料!$G:$G, (MATCH(586, 輔助計算!$G$2:$G$801, 0)+1))&lt;=790,3,IF(INDEX(ERP資料!$G:$G, (MATCH(586, 輔助計算!$G$2:$G$801, 0)+1))&lt;=1181,2,1)))), "")&amp;IF(AND(IF(INT(INDEX(輔助計算!$D:$D, (MATCH(586, 輔助計算!$G$2:$G$801, 0)+1))/IF(INDEX(ERP資料!$G:$G, (MATCH(586, 輔助計算!$G$2:$G$801, 0)+1))&lt;100, IF(INDEX(ERP資料!$G:$G, (MATCH(586, 輔助計算!$G$2:$G$801, 0)+1))&lt;=31,3,IF(INDEX(ERP資料!$G:$G, (MATCH(586, 輔助計算!$G$2:$G$801, 0)+1))&lt;=46.5,2,1)), IF(INDEX(ERP資料!$G:$G, (MATCH(586, 輔助計算!$G$2:$G$801, 0)+1))&lt;=790,3,IF(INDEX(ERP資料!$G:$G, (MATCH(586, 輔助計算!$G$2:$G$801, 0)+1))&lt;=1181,2,1))))&gt;0, IF(IF(INDEX(ERP資料!$G:$G, (MATCH(586, 輔助計算!$G$2:$G$801, 0)+1))&lt;100, IF(INDEX(ERP資料!$G:$G, (MATCH(586, 輔助計算!$G$2:$G$801, 0)+1))&lt;=31,3,IF(INDEX(ERP資料!$G:$G, (MATCH(586, 輔助計算!$G$2:$G$801, 0)+1))&lt;=46.5,2,1)), IF(INDEX(ERP資料!$G:$G, (MATCH(586, 輔助計算!$G$2:$G$801, 0)+1))&lt;=790,3,IF(INDEX(ERP資料!$G:$G, (MATCH(586, 輔助計算!$G$2:$G$801, 0)+1))&lt;=1181,2,1)))=1,TEXT(INDEX(ERP資料!$G:$G, (MATCH(586, 輔助計算!$G$2:$G$801, 0)+1)),"0.##"),IF(IF(INDEX(ERP資料!$G:$G, (MATCH(586, 輔助計算!$G$2:$G$801, 0)+1))&lt;100, IF(INDEX(ERP資料!$G:$G, (MATCH(586, 輔助計算!$G$2:$G$801, 0)+1))&lt;=31,3,IF(INDEX(ERP資料!$G:$G, (MATCH(586, 輔助計算!$G$2:$G$801, 0)+1))&lt;=46.5,2,1)), IF(INDEX(ERP資料!$G:$G, (MATCH(586, 輔助計算!$G$2:$G$801, 0)+1))&lt;=790,3,IF(INDEX(ERP資料!$G:$G, (MATCH(586, 輔助計算!$G$2:$G$801, 0)+1))&lt;=1181,2,1)))=2,TEXT(INDEX(ERP資料!$G:$G, (MATCH(586, 輔助計算!$G$2:$G$801, 0)+1)),"0.##")&amp;"+"&amp;TEXT(INDEX(ERP資料!$G:$G, (MATCH(586, 輔助計算!$G$2:$G$801, 0)+1)),"0.##"),TEXT(INDEX(ERP資料!$G:$G, (MATCH(586, 輔助計算!$G$2:$G$801, 0)+1)),"0.##")&amp;"+"&amp;TEXT(INDEX(ERP資料!$G:$G, (MATCH(586, 輔助計算!$G$2:$G$801, 0)+1)),"0.##")&amp;"+"&amp;TEXT(INDEX(ERP資料!$G:$G, (MATCH(586, 輔助計算!$G$2:$G$801, 0)+1)),"0.##")))&amp;"-"&amp;INT(INDEX(輔助計算!$D:$D, (MATCH(586, 輔助計算!$G$2:$G$801, 0)+1))/IF(INDEX(ERP資料!$G:$G, (MATCH(586, 輔助計算!$G$2:$G$801, 0)+1))&lt;100, IF(INDEX(ERP資料!$G:$G, (MATCH(586, 輔助計算!$G$2:$G$801, 0)+1))&lt;=31,3,IF(INDEX(ERP資料!$G:$G, (MATCH(586, 輔助計算!$G$2:$G$801, 0)+1))&lt;=46.5,2,1)), IF(INDEX(ERP資料!$G:$G, (MATCH(586, 輔助計算!$G$2:$G$801, 0)+1))&lt;=790,3,IF(INDEX(ERP資料!$G:$G, (MATCH(586, 輔助計算!$G$2:$G$801, 0)+1))&lt;=1181,2,1)))), "")&lt;&gt;"",IF(MOD(INDEX(輔助計算!$D:$D, (MATCH(586, 輔助計算!$G$2:$G$801, 0)+1)),IF(INDEX(ERP資料!$G:$G, (MATCH(586, 輔助計算!$G$2:$G$801, 0)+1))&lt;100, IF(INDEX(ERP資料!$G:$G, (MATCH(586, 輔助計算!$G$2:$G$801, 0)+1))&lt;=31,3,IF(INDEX(ERP資料!$G:$G, (MATCH(586, 輔助計算!$G$2:$G$801, 0)+1))&lt;=46.5,2,1)), IF(INDEX(ERP資料!$G:$G, (MATCH(586, 輔助計算!$G$2:$G$801, 0)+1))&lt;=790,3,IF(INDEX(ERP資料!$G:$G, (MATCH(586, 輔助計算!$G$2:$G$801, 0)+1))&lt;=1181,2,1))))=0,"",IF(MOD(INDEX(輔助計算!$D:$D, (MATCH(586, 輔助計算!$G$2:$G$801, 0)+1)),IF(INDEX(ERP資料!$G:$G, (MATCH(586, 輔助計算!$G$2:$G$801, 0)+1))&lt;100, IF(INDEX(ERP資料!$G:$G, (MATCH(586, 輔助計算!$G$2:$G$801, 0)+1))&lt;=31,3,IF(INDEX(ERP資料!$G:$G, (MATCH(586, 輔助計算!$G$2:$G$801, 0)+1))&lt;=46.5,2,1)), IF(INDEX(ERP資料!$G:$G, (MATCH(586, 輔助計算!$G$2:$G$801, 0)+1))&lt;=790,3,IF(INDEX(ERP資料!$G:$G, (MATCH(586, 輔助計算!$G$2:$G$801, 0)+1))&lt;=1181,2,1))))=0,"",IF(MOD(INDEX(輔助計算!$D:$D, (MATCH(586, 輔助計算!$G$2:$G$801, 0)+1)),IF(INDEX(ERP資料!$G:$G, (MATCH(586, 輔助計算!$G$2:$G$801, 0)+1))&lt;100, IF(INDEX(ERP資料!$G:$G, (MATCH(586, 輔助計算!$G$2:$G$801, 0)+1))&lt;=31,3,IF(INDEX(ERP資料!$G:$G, (MATCH(586, 輔助計算!$G$2:$G$801, 0)+1))&lt;=46.5,2,1)), IF(INDEX(ERP資料!$G:$G, (MATCH(586, 輔助計算!$G$2:$G$801, 0)+1))&lt;=790,3,IF(INDEX(ERP資料!$G:$G, (MATCH(586, 輔助計算!$G$2:$G$801, 0)+1))&lt;=1181,2,1))))=1,TEXT(INDEX(ERP資料!$G:$G, (MATCH(586, 輔助計算!$G$2:$G$801, 0)+1)),"0.##"),IF(MOD(INDEX(輔助計算!$D:$D, (MATCH(586, 輔助計算!$G$2:$G$801, 0)+1)),IF(INDEX(ERP資料!$G:$G, (MATCH(586, 輔助計算!$G$2:$G$801, 0)+1))&lt;100, IF(INDEX(ERP資料!$G:$G, (MATCH(586, 輔助計算!$G$2:$G$801, 0)+1))&lt;=31,3,IF(INDEX(ERP資料!$G:$G, (MATCH(586, 輔助計算!$G$2:$G$801, 0)+1))&lt;=46.5,2,1)), IF(INDEX(ERP資料!$G:$G, (MATCH(586, 輔助計算!$G$2:$G$801, 0)+1))&lt;=790,3,IF(INDEX(ERP資料!$G:$G, (MATCH(586, 輔助計算!$G$2:$G$801, 0)+1))&lt;=1181,2,1))))=2,TEXT(INDEX(ERP資料!$G:$G, (MATCH(586, 輔助計算!$G$2:$G$801, 0)+1)),"0.##")&amp;"+"&amp;TEXT(INDEX(ERP資料!$G:$G, (MATCH(586, 輔助計算!$G$2:$G$801, 0)+1)),"0.##"),TEXT(INDEX(ERP資料!$G:$G, (MATCH(586, 輔助計算!$G$2:$G$801, 0)+1)),"0.##")&amp;"+"&amp;TEXT(INDEX(ERP資料!$G:$G, (MATCH(586, 輔助計算!$G$2:$G$801, 0)+1)),"0.##")&amp;"+"&amp;TEXT(INDEX(ERP資料!$G:$G, (MATCH(586, 輔助計算!$G$2:$G$801, 0)+1)),"0.##"))))&amp;"-1")&lt;&gt;""),"  ","")&amp;IF(MOD(INDEX(輔助計算!$D:$D, (MATCH(586, 輔助計算!$G$2:$G$801, 0)+1)),IF(INDEX(ERP資料!$G:$G, (MATCH(586, 輔助計算!$G$2:$G$801, 0)+1))&lt;100, IF(INDEX(ERP資料!$G:$G, (MATCH(586, 輔助計算!$G$2:$G$801, 0)+1))&lt;=31,3,IF(INDEX(ERP資料!$G:$G, (MATCH(586, 輔助計算!$G$2:$G$801, 0)+1))&lt;=46.5,2,1)), IF(INDEX(ERP資料!$G:$G, (MATCH(586, 輔助計算!$G$2:$G$801, 0)+1))&lt;=790,3,IF(INDEX(ERP資料!$G:$G, (MATCH(586, 輔助計算!$G$2:$G$801, 0)+1))&lt;=1181,2,1))))=0,"",IF(MOD(INDEX(輔助計算!$D:$D, (MATCH(586, 輔助計算!$G$2:$G$801, 0)+1)),IF(INDEX(ERP資料!$G:$G, (MATCH(586, 輔助計算!$G$2:$G$801, 0)+1))&lt;100, IF(INDEX(ERP資料!$G:$G, (MATCH(586, 輔助計算!$G$2:$G$801, 0)+1))&lt;=31,3,IF(INDEX(ERP資料!$G:$G, (MATCH(586, 輔助計算!$G$2:$G$801, 0)+1))&lt;=46.5,2,1)), IF(INDEX(ERP資料!$G:$G, (MATCH(586, 輔助計算!$G$2:$G$801, 0)+1))&lt;=790,3,IF(INDEX(ERP資料!$G:$G, (MATCH(586, 輔助計算!$G$2:$G$801, 0)+1))&lt;=1181,2,1))))=0,"",IF(MOD(INDEX(輔助計算!$D:$D, (MATCH(586, 輔助計算!$G$2:$G$801, 0)+1)),IF(INDEX(ERP資料!$G:$G, (MATCH(586, 輔助計算!$G$2:$G$801, 0)+1))&lt;100, IF(INDEX(ERP資料!$G:$G, (MATCH(586, 輔助計算!$G$2:$G$801, 0)+1))&lt;=31,3,IF(INDEX(ERP資料!$G:$G, (MATCH(586, 輔助計算!$G$2:$G$801, 0)+1))&lt;=46.5,2,1)), IF(INDEX(ERP資料!$G:$G, (MATCH(586, 輔助計算!$G$2:$G$801, 0)+1))&lt;=790,3,IF(INDEX(ERP資料!$G:$G, (MATCH(586, 輔助計算!$G$2:$G$801, 0)+1))&lt;=1181,2,1))))=1,TEXT(INDEX(ERP資料!$G:$G, (MATCH(586, 輔助計算!$G$2:$G$801, 0)+1)),"0.##"),IF(MOD(INDEX(輔助計算!$D:$D, (MATCH(586, 輔助計算!$G$2:$G$801, 0)+1)),IF(INDEX(ERP資料!$G:$G, (MATCH(586, 輔助計算!$G$2:$G$801, 0)+1))&lt;100, IF(INDEX(ERP資料!$G:$G, (MATCH(586, 輔助計算!$G$2:$G$801, 0)+1))&lt;=31,3,IF(INDEX(ERP資料!$G:$G, (MATCH(586, 輔助計算!$G$2:$G$801, 0)+1))&lt;=46.5,2,1)), IF(INDEX(ERP資料!$G:$G, (MATCH(586, 輔助計算!$G$2:$G$801, 0)+1))&lt;=790,3,IF(INDEX(ERP資料!$G:$G, (MATCH(586, 輔助計算!$G$2:$G$801, 0)+1))&lt;=1181,2,1))))=2,TEXT(INDEX(ERP資料!$G:$G, (MATCH(586, 輔助計算!$G$2:$G$801, 0)+1)),"0.##")&amp;"+"&amp;TEXT(INDEX(ERP資料!$G:$G, (MATCH(586, 輔助計算!$G$2:$G$801, 0)+1)),"0.##"),TEXT(INDEX(ERP資料!$G:$G, (MATCH(586, 輔助計算!$G$2:$G$801, 0)+1)),"0.##")&amp;"+"&amp;TEXT(INDEX(ERP資料!$G:$G, (MATCH(586, 輔助計算!$G$2:$G$801, 0)+1)),"0.##")&amp;"+"&amp;TEXT(INDEX(ERP資料!$G:$G, (MATCH(586, 輔助計算!$G$2:$G$801, 0)+1)),"0.##"))))&amp;"-1")), ""), "")</f>
        <v/>
      </c>
      <c r="K587" s="16" t="n"/>
      <c r="L587" s="14">
        <f>IFERROR(IF(AND(IFERROR(INDEX(ERP資料!$A:$A, (MATCH(586, 輔助計算!$G$2:$G$801, 0)+1)), "")&lt;&gt;"", IFERROR(INDEX(ERP資料!$A:$A, (MATCH(586, 輔助計算!$G$2:$G$801, 0)+1)), "")&lt;&gt;IFERROR(INDEX(ERP資料!$A:$A, MATCH(585, 輔助計算!$G$2:$G$801, 0)+1), "")), INDEX(ERP資料!$B:$B, (MATCH(586, 輔助計算!$G$2:$G$801, 0)+1)), ""), "")</f>
        <v/>
      </c>
      <c r="M587" s="17" t="n"/>
    </row>
    <row r="588">
      <c r="A588" s="10">
        <f>IFERROR(IF(AND(IFERROR(INDEX(ERP資料!$A:$A, (MATCH(587, 輔助計算!$G$2:$G$801, 0)+1)), "")&lt;&gt;"", IFERROR(INDEX(ERP資料!$A:$A, (MATCH(587, 輔助計算!$G$2:$G$801, 0)+1)), "")&lt;&gt;IFERROR(INDEX(ERP資料!$A:$A, MATCH(586, 輔助計算!$G$2:$G$801, 0)+1), "")), IFERROR(INDEX(ERP資料!$A:$A, (MATCH(587, 輔助計算!$G$2:$G$801, 0)+1)), ""), ""), "")</f>
        <v/>
      </c>
      <c r="B588" s="10">
        <f>IFERROR(IF(AND(IFERROR(INDEX(ERP資料!$A:$A, (MATCH(587, 輔助計算!$G$2:$G$801, 0)+1)), "")&lt;&gt;"", IFERROR(INDEX(ERP資料!$A:$A, (MATCH(587, 輔助計算!$G$2:$G$801, 0)+1)), "")&lt;&gt;IFERROR(INDEX(ERP資料!$A:$A, MATCH(586, 輔助計算!$G$2:$G$801, 0)+1), "")), INDEX(ERP資料!$S:$S, (MATCH(587, 輔助計算!$G$2:$G$801, 0)+1)), ""), "")</f>
        <v/>
      </c>
      <c r="C588" s="19">
        <f>IFERROR(IF(AND(IFERROR(INDEX(ERP資料!$A:$A, (MATCH(587, 輔助計算!$G$2:$G$801, 0)+1)), "")&lt;&gt;"", IFERROR(INDEX(ERP資料!$A:$A, (MATCH(587, 輔助計算!$G$2:$G$801, 0)+1)), "")&lt;&gt;IFERROR(INDEX(ERP資料!$A:$A, MATCH(586, 輔助計算!$G$2:$G$801, 0)+1), "")), IFERROR(VLOOKUP(LEFT(INDEX(ERP資料!$S:$S, (MATCH(587, 輔助計算!$G$2:$G$801, 0)+1)), 4), 紙管對照表!$A:$C, 3, FALSE), ""), ""), "")</f>
        <v/>
      </c>
      <c r="D588" s="16" t="n"/>
      <c r="E588" s="10">
        <f>IFERROR(IF(INDEX(ERP資料!$H:$H, (MATCH(587, 輔助計算!$G$2:$G$801, 0)+1))="","",INDEX(ERP資料!$H:$H, (MATCH(587, 輔助計算!$G$2:$G$801, 0)+1))), "")</f>
        <v/>
      </c>
      <c r="F588" s="10">
        <f>IFERROR(IF(INDEX(ERP資料!$E:$E, (MATCH(587, 輔助計算!$G$2:$G$801, 0)+1))="","",TRIM(INDEX(ERP資料!$E:$E, (MATCH(587, 輔助計算!$G$2:$G$801, 0)+1)))), "")</f>
        <v/>
      </c>
      <c r="G588" s="10">
        <f>IFERROR(IF(INDEX(ERP資料!$F:$F, (MATCH(587, 輔助計算!$G$2:$G$801, 0)+1))="","",INDEX(ERP資料!$F:$F, (MATCH(587, 輔助計算!$G$2:$G$801, 0)+1))), "")</f>
        <v/>
      </c>
      <c r="H588" s="10">
        <f>IFERROR(IF(INDEX(ERP資料!$G:$G, (MATCH(587, 輔助計算!$G$2:$G$801, 0)+1))="","",INDEX(ERP資料!$G:$G, (MATCH(587, 輔助計算!$G$2:$G$801, 0)+1))), "")</f>
        <v/>
      </c>
      <c r="I588" s="15">
        <f>IFERROR(INDEX(輔助計算!$D:$D, (MATCH(587, 輔助計算!$G$2:$G$801, 0)+1)), "")</f>
        <v/>
      </c>
      <c r="J588" s="15">
        <f>IFERROR(IF(AND(INDEX(輔助計算!$D:$D, (MATCH(587, 輔助計算!$G$2:$G$801, 0)+1))&lt;&gt;"", INDEX(ERP資料!$G:$G, (MATCH(587, 輔助計算!$G$2:$G$801, 0)+1))&lt;&gt;""), TRIM(IF(INT(INDEX(輔助計算!$D:$D, (MATCH(587, 輔助計算!$G$2:$G$801, 0)+1))/IF(INDEX(ERP資料!$G:$G, (MATCH(587, 輔助計算!$G$2:$G$801, 0)+1))&lt;100, IF(INDEX(ERP資料!$G:$G, (MATCH(587, 輔助計算!$G$2:$G$801, 0)+1))&lt;=31,3,IF(INDEX(ERP資料!$G:$G, (MATCH(587, 輔助計算!$G$2:$G$801, 0)+1))&lt;=46.5,2,1)), IF(INDEX(ERP資料!$G:$G, (MATCH(587, 輔助計算!$G$2:$G$801, 0)+1))&lt;=790,3,IF(INDEX(ERP資料!$G:$G, (MATCH(587, 輔助計算!$G$2:$G$801, 0)+1))&lt;=1181,2,1))))&gt;0, IF(IF(INDEX(ERP資料!$G:$G, (MATCH(587, 輔助計算!$G$2:$G$801, 0)+1))&lt;100, IF(INDEX(ERP資料!$G:$G, (MATCH(587, 輔助計算!$G$2:$G$801, 0)+1))&lt;=31,3,IF(INDEX(ERP資料!$G:$G, (MATCH(587, 輔助計算!$G$2:$G$801, 0)+1))&lt;=46.5,2,1)), IF(INDEX(ERP資料!$G:$G, (MATCH(587, 輔助計算!$G$2:$G$801, 0)+1))&lt;=790,3,IF(INDEX(ERP資料!$G:$G, (MATCH(587, 輔助計算!$G$2:$G$801, 0)+1))&lt;=1181,2,1)))=1,TEXT(INDEX(ERP資料!$G:$G, (MATCH(587, 輔助計算!$G$2:$G$801, 0)+1)),"0.##"),IF(IF(INDEX(ERP資料!$G:$G, (MATCH(587, 輔助計算!$G$2:$G$801, 0)+1))&lt;100, IF(INDEX(ERP資料!$G:$G, (MATCH(587, 輔助計算!$G$2:$G$801, 0)+1))&lt;=31,3,IF(INDEX(ERP資料!$G:$G, (MATCH(587, 輔助計算!$G$2:$G$801, 0)+1))&lt;=46.5,2,1)), IF(INDEX(ERP資料!$G:$G, (MATCH(587, 輔助計算!$G$2:$G$801, 0)+1))&lt;=790,3,IF(INDEX(ERP資料!$G:$G, (MATCH(587, 輔助計算!$G$2:$G$801, 0)+1))&lt;=1181,2,1)))=2,TEXT(INDEX(ERP資料!$G:$G, (MATCH(587, 輔助計算!$G$2:$G$801, 0)+1)),"0.##")&amp;"+"&amp;TEXT(INDEX(ERP資料!$G:$G, (MATCH(587, 輔助計算!$G$2:$G$801, 0)+1)),"0.##"),TEXT(INDEX(ERP資料!$G:$G, (MATCH(587, 輔助計算!$G$2:$G$801, 0)+1)),"0.##")&amp;"+"&amp;TEXT(INDEX(ERP資料!$G:$G, (MATCH(587, 輔助計算!$G$2:$G$801, 0)+1)),"0.##")&amp;"+"&amp;TEXT(INDEX(ERP資料!$G:$G, (MATCH(587, 輔助計算!$G$2:$G$801, 0)+1)),"0.##")))&amp;"-"&amp;INT(INDEX(輔助計算!$D:$D, (MATCH(587, 輔助計算!$G$2:$G$801, 0)+1))/IF(INDEX(ERP資料!$G:$G, (MATCH(587, 輔助計算!$G$2:$G$801, 0)+1))&lt;100, IF(INDEX(ERP資料!$G:$G, (MATCH(587, 輔助計算!$G$2:$G$801, 0)+1))&lt;=31,3,IF(INDEX(ERP資料!$G:$G, (MATCH(587, 輔助計算!$G$2:$G$801, 0)+1))&lt;=46.5,2,1)), IF(INDEX(ERP資料!$G:$G, (MATCH(587, 輔助計算!$G$2:$G$801, 0)+1))&lt;=790,3,IF(INDEX(ERP資料!$G:$G, (MATCH(587, 輔助計算!$G$2:$G$801, 0)+1))&lt;=1181,2,1)))), "")&amp;IF(AND(IF(INT(INDEX(輔助計算!$D:$D, (MATCH(587, 輔助計算!$G$2:$G$801, 0)+1))/IF(INDEX(ERP資料!$G:$G, (MATCH(587, 輔助計算!$G$2:$G$801, 0)+1))&lt;100, IF(INDEX(ERP資料!$G:$G, (MATCH(587, 輔助計算!$G$2:$G$801, 0)+1))&lt;=31,3,IF(INDEX(ERP資料!$G:$G, (MATCH(587, 輔助計算!$G$2:$G$801, 0)+1))&lt;=46.5,2,1)), IF(INDEX(ERP資料!$G:$G, (MATCH(587, 輔助計算!$G$2:$G$801, 0)+1))&lt;=790,3,IF(INDEX(ERP資料!$G:$G, (MATCH(587, 輔助計算!$G$2:$G$801, 0)+1))&lt;=1181,2,1))))&gt;0, IF(IF(INDEX(ERP資料!$G:$G, (MATCH(587, 輔助計算!$G$2:$G$801, 0)+1))&lt;100, IF(INDEX(ERP資料!$G:$G, (MATCH(587, 輔助計算!$G$2:$G$801, 0)+1))&lt;=31,3,IF(INDEX(ERP資料!$G:$G, (MATCH(587, 輔助計算!$G$2:$G$801, 0)+1))&lt;=46.5,2,1)), IF(INDEX(ERP資料!$G:$G, (MATCH(587, 輔助計算!$G$2:$G$801, 0)+1))&lt;=790,3,IF(INDEX(ERP資料!$G:$G, (MATCH(587, 輔助計算!$G$2:$G$801, 0)+1))&lt;=1181,2,1)))=1,TEXT(INDEX(ERP資料!$G:$G, (MATCH(587, 輔助計算!$G$2:$G$801, 0)+1)),"0.##"),IF(IF(INDEX(ERP資料!$G:$G, (MATCH(587, 輔助計算!$G$2:$G$801, 0)+1))&lt;100, IF(INDEX(ERP資料!$G:$G, (MATCH(587, 輔助計算!$G$2:$G$801, 0)+1))&lt;=31,3,IF(INDEX(ERP資料!$G:$G, (MATCH(587, 輔助計算!$G$2:$G$801, 0)+1))&lt;=46.5,2,1)), IF(INDEX(ERP資料!$G:$G, (MATCH(587, 輔助計算!$G$2:$G$801, 0)+1))&lt;=790,3,IF(INDEX(ERP資料!$G:$G, (MATCH(587, 輔助計算!$G$2:$G$801, 0)+1))&lt;=1181,2,1)))=2,TEXT(INDEX(ERP資料!$G:$G, (MATCH(587, 輔助計算!$G$2:$G$801, 0)+1)),"0.##")&amp;"+"&amp;TEXT(INDEX(ERP資料!$G:$G, (MATCH(587, 輔助計算!$G$2:$G$801, 0)+1)),"0.##"),TEXT(INDEX(ERP資料!$G:$G, (MATCH(587, 輔助計算!$G$2:$G$801, 0)+1)),"0.##")&amp;"+"&amp;TEXT(INDEX(ERP資料!$G:$G, (MATCH(587, 輔助計算!$G$2:$G$801, 0)+1)),"0.##")&amp;"+"&amp;TEXT(INDEX(ERP資料!$G:$G, (MATCH(587, 輔助計算!$G$2:$G$801, 0)+1)),"0.##")))&amp;"-"&amp;INT(INDEX(輔助計算!$D:$D, (MATCH(587, 輔助計算!$G$2:$G$801, 0)+1))/IF(INDEX(ERP資料!$G:$G, (MATCH(587, 輔助計算!$G$2:$G$801, 0)+1))&lt;100, IF(INDEX(ERP資料!$G:$G, (MATCH(587, 輔助計算!$G$2:$G$801, 0)+1))&lt;=31,3,IF(INDEX(ERP資料!$G:$G, (MATCH(587, 輔助計算!$G$2:$G$801, 0)+1))&lt;=46.5,2,1)), IF(INDEX(ERP資料!$G:$G, (MATCH(587, 輔助計算!$G$2:$G$801, 0)+1))&lt;=790,3,IF(INDEX(ERP資料!$G:$G, (MATCH(587, 輔助計算!$G$2:$G$801, 0)+1))&lt;=1181,2,1)))), "")&lt;&gt;"",IF(MOD(INDEX(輔助計算!$D:$D, (MATCH(587, 輔助計算!$G$2:$G$801, 0)+1)),IF(INDEX(ERP資料!$G:$G, (MATCH(587, 輔助計算!$G$2:$G$801, 0)+1))&lt;100, IF(INDEX(ERP資料!$G:$G, (MATCH(587, 輔助計算!$G$2:$G$801, 0)+1))&lt;=31,3,IF(INDEX(ERP資料!$G:$G, (MATCH(587, 輔助計算!$G$2:$G$801, 0)+1))&lt;=46.5,2,1)), IF(INDEX(ERP資料!$G:$G, (MATCH(587, 輔助計算!$G$2:$G$801, 0)+1))&lt;=790,3,IF(INDEX(ERP資料!$G:$G, (MATCH(587, 輔助計算!$G$2:$G$801, 0)+1))&lt;=1181,2,1))))=0,"",IF(MOD(INDEX(輔助計算!$D:$D, (MATCH(587, 輔助計算!$G$2:$G$801, 0)+1)),IF(INDEX(ERP資料!$G:$G, (MATCH(587, 輔助計算!$G$2:$G$801, 0)+1))&lt;100, IF(INDEX(ERP資料!$G:$G, (MATCH(587, 輔助計算!$G$2:$G$801, 0)+1))&lt;=31,3,IF(INDEX(ERP資料!$G:$G, (MATCH(587, 輔助計算!$G$2:$G$801, 0)+1))&lt;=46.5,2,1)), IF(INDEX(ERP資料!$G:$G, (MATCH(587, 輔助計算!$G$2:$G$801, 0)+1))&lt;=790,3,IF(INDEX(ERP資料!$G:$G, (MATCH(587, 輔助計算!$G$2:$G$801, 0)+1))&lt;=1181,2,1))))=0,"",IF(MOD(INDEX(輔助計算!$D:$D, (MATCH(587, 輔助計算!$G$2:$G$801, 0)+1)),IF(INDEX(ERP資料!$G:$G, (MATCH(587, 輔助計算!$G$2:$G$801, 0)+1))&lt;100, IF(INDEX(ERP資料!$G:$G, (MATCH(587, 輔助計算!$G$2:$G$801, 0)+1))&lt;=31,3,IF(INDEX(ERP資料!$G:$G, (MATCH(587, 輔助計算!$G$2:$G$801, 0)+1))&lt;=46.5,2,1)), IF(INDEX(ERP資料!$G:$G, (MATCH(587, 輔助計算!$G$2:$G$801, 0)+1))&lt;=790,3,IF(INDEX(ERP資料!$G:$G, (MATCH(587, 輔助計算!$G$2:$G$801, 0)+1))&lt;=1181,2,1))))=1,TEXT(INDEX(ERP資料!$G:$G, (MATCH(587, 輔助計算!$G$2:$G$801, 0)+1)),"0.##"),IF(MOD(INDEX(輔助計算!$D:$D, (MATCH(587, 輔助計算!$G$2:$G$801, 0)+1)),IF(INDEX(ERP資料!$G:$G, (MATCH(587, 輔助計算!$G$2:$G$801, 0)+1))&lt;100, IF(INDEX(ERP資料!$G:$G, (MATCH(587, 輔助計算!$G$2:$G$801, 0)+1))&lt;=31,3,IF(INDEX(ERP資料!$G:$G, (MATCH(587, 輔助計算!$G$2:$G$801, 0)+1))&lt;=46.5,2,1)), IF(INDEX(ERP資料!$G:$G, (MATCH(587, 輔助計算!$G$2:$G$801, 0)+1))&lt;=790,3,IF(INDEX(ERP資料!$G:$G, (MATCH(587, 輔助計算!$G$2:$G$801, 0)+1))&lt;=1181,2,1))))=2,TEXT(INDEX(ERP資料!$G:$G, (MATCH(587, 輔助計算!$G$2:$G$801, 0)+1)),"0.##")&amp;"+"&amp;TEXT(INDEX(ERP資料!$G:$G, (MATCH(587, 輔助計算!$G$2:$G$801, 0)+1)),"0.##"),TEXT(INDEX(ERP資料!$G:$G, (MATCH(587, 輔助計算!$G$2:$G$801, 0)+1)),"0.##")&amp;"+"&amp;TEXT(INDEX(ERP資料!$G:$G, (MATCH(587, 輔助計算!$G$2:$G$801, 0)+1)),"0.##")&amp;"+"&amp;TEXT(INDEX(ERP資料!$G:$G, (MATCH(587, 輔助計算!$G$2:$G$801, 0)+1)),"0.##"))))&amp;"-1")&lt;&gt;""),"  ","")&amp;IF(MOD(INDEX(輔助計算!$D:$D, (MATCH(587, 輔助計算!$G$2:$G$801, 0)+1)),IF(INDEX(ERP資料!$G:$G, (MATCH(587, 輔助計算!$G$2:$G$801, 0)+1))&lt;100, IF(INDEX(ERP資料!$G:$G, (MATCH(587, 輔助計算!$G$2:$G$801, 0)+1))&lt;=31,3,IF(INDEX(ERP資料!$G:$G, (MATCH(587, 輔助計算!$G$2:$G$801, 0)+1))&lt;=46.5,2,1)), IF(INDEX(ERP資料!$G:$G, (MATCH(587, 輔助計算!$G$2:$G$801, 0)+1))&lt;=790,3,IF(INDEX(ERP資料!$G:$G, (MATCH(587, 輔助計算!$G$2:$G$801, 0)+1))&lt;=1181,2,1))))=0,"",IF(MOD(INDEX(輔助計算!$D:$D, (MATCH(587, 輔助計算!$G$2:$G$801, 0)+1)),IF(INDEX(ERP資料!$G:$G, (MATCH(587, 輔助計算!$G$2:$G$801, 0)+1))&lt;100, IF(INDEX(ERP資料!$G:$G, (MATCH(587, 輔助計算!$G$2:$G$801, 0)+1))&lt;=31,3,IF(INDEX(ERP資料!$G:$G, (MATCH(587, 輔助計算!$G$2:$G$801, 0)+1))&lt;=46.5,2,1)), IF(INDEX(ERP資料!$G:$G, (MATCH(587, 輔助計算!$G$2:$G$801, 0)+1))&lt;=790,3,IF(INDEX(ERP資料!$G:$G, (MATCH(587, 輔助計算!$G$2:$G$801, 0)+1))&lt;=1181,2,1))))=0,"",IF(MOD(INDEX(輔助計算!$D:$D, (MATCH(587, 輔助計算!$G$2:$G$801, 0)+1)),IF(INDEX(ERP資料!$G:$G, (MATCH(587, 輔助計算!$G$2:$G$801, 0)+1))&lt;100, IF(INDEX(ERP資料!$G:$G, (MATCH(587, 輔助計算!$G$2:$G$801, 0)+1))&lt;=31,3,IF(INDEX(ERP資料!$G:$G, (MATCH(587, 輔助計算!$G$2:$G$801, 0)+1))&lt;=46.5,2,1)), IF(INDEX(ERP資料!$G:$G, (MATCH(587, 輔助計算!$G$2:$G$801, 0)+1))&lt;=790,3,IF(INDEX(ERP資料!$G:$G, (MATCH(587, 輔助計算!$G$2:$G$801, 0)+1))&lt;=1181,2,1))))=1,TEXT(INDEX(ERP資料!$G:$G, (MATCH(587, 輔助計算!$G$2:$G$801, 0)+1)),"0.##"),IF(MOD(INDEX(輔助計算!$D:$D, (MATCH(587, 輔助計算!$G$2:$G$801, 0)+1)),IF(INDEX(ERP資料!$G:$G, (MATCH(587, 輔助計算!$G$2:$G$801, 0)+1))&lt;100, IF(INDEX(ERP資料!$G:$G, (MATCH(587, 輔助計算!$G$2:$G$801, 0)+1))&lt;=31,3,IF(INDEX(ERP資料!$G:$G, (MATCH(587, 輔助計算!$G$2:$G$801, 0)+1))&lt;=46.5,2,1)), IF(INDEX(ERP資料!$G:$G, (MATCH(587, 輔助計算!$G$2:$G$801, 0)+1))&lt;=790,3,IF(INDEX(ERP資料!$G:$G, (MATCH(587, 輔助計算!$G$2:$G$801, 0)+1))&lt;=1181,2,1))))=2,TEXT(INDEX(ERP資料!$G:$G, (MATCH(587, 輔助計算!$G$2:$G$801, 0)+1)),"0.##")&amp;"+"&amp;TEXT(INDEX(ERP資料!$G:$G, (MATCH(587, 輔助計算!$G$2:$G$801, 0)+1)),"0.##"),TEXT(INDEX(ERP資料!$G:$G, (MATCH(587, 輔助計算!$G$2:$G$801, 0)+1)),"0.##")&amp;"+"&amp;TEXT(INDEX(ERP資料!$G:$G, (MATCH(587, 輔助計算!$G$2:$G$801, 0)+1)),"0.##")&amp;"+"&amp;TEXT(INDEX(ERP資料!$G:$G, (MATCH(587, 輔助計算!$G$2:$G$801, 0)+1)),"0.##"))))&amp;"-1")), ""), "")</f>
        <v/>
      </c>
      <c r="K588" s="16" t="n"/>
      <c r="L588" s="14">
        <f>IFERROR(IF(AND(IFERROR(INDEX(ERP資料!$A:$A, (MATCH(587, 輔助計算!$G$2:$G$801, 0)+1)), "")&lt;&gt;"", IFERROR(INDEX(ERP資料!$A:$A, (MATCH(587, 輔助計算!$G$2:$G$801, 0)+1)), "")&lt;&gt;IFERROR(INDEX(ERP資料!$A:$A, MATCH(586, 輔助計算!$G$2:$G$801, 0)+1), "")), INDEX(ERP資料!$B:$B, (MATCH(587, 輔助計算!$G$2:$G$801, 0)+1)), ""), "")</f>
        <v/>
      </c>
      <c r="M588" s="17" t="n"/>
    </row>
    <row r="589">
      <c r="A589" s="10">
        <f>IFERROR(IF(AND(IFERROR(INDEX(ERP資料!$A:$A, (MATCH(588, 輔助計算!$G$2:$G$801, 0)+1)), "")&lt;&gt;"", IFERROR(INDEX(ERP資料!$A:$A, (MATCH(588, 輔助計算!$G$2:$G$801, 0)+1)), "")&lt;&gt;IFERROR(INDEX(ERP資料!$A:$A, MATCH(587, 輔助計算!$G$2:$G$801, 0)+1), "")), IFERROR(INDEX(ERP資料!$A:$A, (MATCH(588, 輔助計算!$G$2:$G$801, 0)+1)), ""), ""), "")</f>
        <v/>
      </c>
      <c r="B589" s="10">
        <f>IFERROR(IF(AND(IFERROR(INDEX(ERP資料!$A:$A, (MATCH(588, 輔助計算!$G$2:$G$801, 0)+1)), "")&lt;&gt;"", IFERROR(INDEX(ERP資料!$A:$A, (MATCH(588, 輔助計算!$G$2:$G$801, 0)+1)), "")&lt;&gt;IFERROR(INDEX(ERP資料!$A:$A, MATCH(587, 輔助計算!$G$2:$G$801, 0)+1), "")), INDEX(ERP資料!$S:$S, (MATCH(588, 輔助計算!$G$2:$G$801, 0)+1)), ""), "")</f>
        <v/>
      </c>
      <c r="C589" s="19">
        <f>IFERROR(IF(AND(IFERROR(INDEX(ERP資料!$A:$A, (MATCH(588, 輔助計算!$G$2:$G$801, 0)+1)), "")&lt;&gt;"", IFERROR(INDEX(ERP資料!$A:$A, (MATCH(588, 輔助計算!$G$2:$G$801, 0)+1)), "")&lt;&gt;IFERROR(INDEX(ERP資料!$A:$A, MATCH(587, 輔助計算!$G$2:$G$801, 0)+1), "")), IFERROR(VLOOKUP(LEFT(INDEX(ERP資料!$S:$S, (MATCH(588, 輔助計算!$G$2:$G$801, 0)+1)), 4), 紙管對照表!$A:$C, 3, FALSE), ""), ""), "")</f>
        <v/>
      </c>
      <c r="D589" s="16" t="n"/>
      <c r="E589" s="10">
        <f>IFERROR(IF(INDEX(ERP資料!$H:$H, (MATCH(588, 輔助計算!$G$2:$G$801, 0)+1))="","",INDEX(ERP資料!$H:$H, (MATCH(588, 輔助計算!$G$2:$G$801, 0)+1))), "")</f>
        <v/>
      </c>
      <c r="F589" s="10">
        <f>IFERROR(IF(INDEX(ERP資料!$E:$E, (MATCH(588, 輔助計算!$G$2:$G$801, 0)+1))="","",TRIM(INDEX(ERP資料!$E:$E, (MATCH(588, 輔助計算!$G$2:$G$801, 0)+1)))), "")</f>
        <v/>
      </c>
      <c r="G589" s="10">
        <f>IFERROR(IF(INDEX(ERP資料!$F:$F, (MATCH(588, 輔助計算!$G$2:$G$801, 0)+1))="","",INDEX(ERP資料!$F:$F, (MATCH(588, 輔助計算!$G$2:$G$801, 0)+1))), "")</f>
        <v/>
      </c>
      <c r="H589" s="10">
        <f>IFERROR(IF(INDEX(ERP資料!$G:$G, (MATCH(588, 輔助計算!$G$2:$G$801, 0)+1))="","",INDEX(ERP資料!$G:$G, (MATCH(588, 輔助計算!$G$2:$G$801, 0)+1))), "")</f>
        <v/>
      </c>
      <c r="I589" s="15">
        <f>IFERROR(INDEX(輔助計算!$D:$D, (MATCH(588, 輔助計算!$G$2:$G$801, 0)+1)), "")</f>
        <v/>
      </c>
      <c r="J589" s="15">
        <f>IFERROR(IF(AND(INDEX(輔助計算!$D:$D, (MATCH(588, 輔助計算!$G$2:$G$801, 0)+1))&lt;&gt;"", INDEX(ERP資料!$G:$G, (MATCH(588, 輔助計算!$G$2:$G$801, 0)+1))&lt;&gt;""), TRIM(IF(INT(INDEX(輔助計算!$D:$D, (MATCH(588, 輔助計算!$G$2:$G$801, 0)+1))/IF(INDEX(ERP資料!$G:$G, (MATCH(588, 輔助計算!$G$2:$G$801, 0)+1))&lt;100, IF(INDEX(ERP資料!$G:$G, (MATCH(588, 輔助計算!$G$2:$G$801, 0)+1))&lt;=31,3,IF(INDEX(ERP資料!$G:$G, (MATCH(588, 輔助計算!$G$2:$G$801, 0)+1))&lt;=46.5,2,1)), IF(INDEX(ERP資料!$G:$G, (MATCH(588, 輔助計算!$G$2:$G$801, 0)+1))&lt;=790,3,IF(INDEX(ERP資料!$G:$G, (MATCH(588, 輔助計算!$G$2:$G$801, 0)+1))&lt;=1181,2,1))))&gt;0, IF(IF(INDEX(ERP資料!$G:$G, (MATCH(588, 輔助計算!$G$2:$G$801, 0)+1))&lt;100, IF(INDEX(ERP資料!$G:$G, (MATCH(588, 輔助計算!$G$2:$G$801, 0)+1))&lt;=31,3,IF(INDEX(ERP資料!$G:$G, (MATCH(588, 輔助計算!$G$2:$G$801, 0)+1))&lt;=46.5,2,1)), IF(INDEX(ERP資料!$G:$G, (MATCH(588, 輔助計算!$G$2:$G$801, 0)+1))&lt;=790,3,IF(INDEX(ERP資料!$G:$G, (MATCH(588, 輔助計算!$G$2:$G$801, 0)+1))&lt;=1181,2,1)))=1,TEXT(INDEX(ERP資料!$G:$G, (MATCH(588, 輔助計算!$G$2:$G$801, 0)+1)),"0.##"),IF(IF(INDEX(ERP資料!$G:$G, (MATCH(588, 輔助計算!$G$2:$G$801, 0)+1))&lt;100, IF(INDEX(ERP資料!$G:$G, (MATCH(588, 輔助計算!$G$2:$G$801, 0)+1))&lt;=31,3,IF(INDEX(ERP資料!$G:$G, (MATCH(588, 輔助計算!$G$2:$G$801, 0)+1))&lt;=46.5,2,1)), IF(INDEX(ERP資料!$G:$G, (MATCH(588, 輔助計算!$G$2:$G$801, 0)+1))&lt;=790,3,IF(INDEX(ERP資料!$G:$G, (MATCH(588, 輔助計算!$G$2:$G$801, 0)+1))&lt;=1181,2,1)))=2,TEXT(INDEX(ERP資料!$G:$G, (MATCH(588, 輔助計算!$G$2:$G$801, 0)+1)),"0.##")&amp;"+"&amp;TEXT(INDEX(ERP資料!$G:$G, (MATCH(588, 輔助計算!$G$2:$G$801, 0)+1)),"0.##"),TEXT(INDEX(ERP資料!$G:$G, (MATCH(588, 輔助計算!$G$2:$G$801, 0)+1)),"0.##")&amp;"+"&amp;TEXT(INDEX(ERP資料!$G:$G, (MATCH(588, 輔助計算!$G$2:$G$801, 0)+1)),"0.##")&amp;"+"&amp;TEXT(INDEX(ERP資料!$G:$G, (MATCH(588, 輔助計算!$G$2:$G$801, 0)+1)),"0.##")))&amp;"-"&amp;INT(INDEX(輔助計算!$D:$D, (MATCH(588, 輔助計算!$G$2:$G$801, 0)+1))/IF(INDEX(ERP資料!$G:$G, (MATCH(588, 輔助計算!$G$2:$G$801, 0)+1))&lt;100, IF(INDEX(ERP資料!$G:$G, (MATCH(588, 輔助計算!$G$2:$G$801, 0)+1))&lt;=31,3,IF(INDEX(ERP資料!$G:$G, (MATCH(588, 輔助計算!$G$2:$G$801, 0)+1))&lt;=46.5,2,1)), IF(INDEX(ERP資料!$G:$G, (MATCH(588, 輔助計算!$G$2:$G$801, 0)+1))&lt;=790,3,IF(INDEX(ERP資料!$G:$G, (MATCH(588, 輔助計算!$G$2:$G$801, 0)+1))&lt;=1181,2,1)))), "")&amp;IF(AND(IF(INT(INDEX(輔助計算!$D:$D, (MATCH(588, 輔助計算!$G$2:$G$801, 0)+1))/IF(INDEX(ERP資料!$G:$G, (MATCH(588, 輔助計算!$G$2:$G$801, 0)+1))&lt;100, IF(INDEX(ERP資料!$G:$G, (MATCH(588, 輔助計算!$G$2:$G$801, 0)+1))&lt;=31,3,IF(INDEX(ERP資料!$G:$G, (MATCH(588, 輔助計算!$G$2:$G$801, 0)+1))&lt;=46.5,2,1)), IF(INDEX(ERP資料!$G:$G, (MATCH(588, 輔助計算!$G$2:$G$801, 0)+1))&lt;=790,3,IF(INDEX(ERP資料!$G:$G, (MATCH(588, 輔助計算!$G$2:$G$801, 0)+1))&lt;=1181,2,1))))&gt;0, IF(IF(INDEX(ERP資料!$G:$G, (MATCH(588, 輔助計算!$G$2:$G$801, 0)+1))&lt;100, IF(INDEX(ERP資料!$G:$G, (MATCH(588, 輔助計算!$G$2:$G$801, 0)+1))&lt;=31,3,IF(INDEX(ERP資料!$G:$G, (MATCH(588, 輔助計算!$G$2:$G$801, 0)+1))&lt;=46.5,2,1)), IF(INDEX(ERP資料!$G:$G, (MATCH(588, 輔助計算!$G$2:$G$801, 0)+1))&lt;=790,3,IF(INDEX(ERP資料!$G:$G, (MATCH(588, 輔助計算!$G$2:$G$801, 0)+1))&lt;=1181,2,1)))=1,TEXT(INDEX(ERP資料!$G:$G, (MATCH(588, 輔助計算!$G$2:$G$801, 0)+1)),"0.##"),IF(IF(INDEX(ERP資料!$G:$G, (MATCH(588, 輔助計算!$G$2:$G$801, 0)+1))&lt;100, IF(INDEX(ERP資料!$G:$G, (MATCH(588, 輔助計算!$G$2:$G$801, 0)+1))&lt;=31,3,IF(INDEX(ERP資料!$G:$G, (MATCH(588, 輔助計算!$G$2:$G$801, 0)+1))&lt;=46.5,2,1)), IF(INDEX(ERP資料!$G:$G, (MATCH(588, 輔助計算!$G$2:$G$801, 0)+1))&lt;=790,3,IF(INDEX(ERP資料!$G:$G, (MATCH(588, 輔助計算!$G$2:$G$801, 0)+1))&lt;=1181,2,1)))=2,TEXT(INDEX(ERP資料!$G:$G, (MATCH(588, 輔助計算!$G$2:$G$801, 0)+1)),"0.##")&amp;"+"&amp;TEXT(INDEX(ERP資料!$G:$G, (MATCH(588, 輔助計算!$G$2:$G$801, 0)+1)),"0.##"),TEXT(INDEX(ERP資料!$G:$G, (MATCH(588, 輔助計算!$G$2:$G$801, 0)+1)),"0.##")&amp;"+"&amp;TEXT(INDEX(ERP資料!$G:$G, (MATCH(588, 輔助計算!$G$2:$G$801, 0)+1)),"0.##")&amp;"+"&amp;TEXT(INDEX(ERP資料!$G:$G, (MATCH(588, 輔助計算!$G$2:$G$801, 0)+1)),"0.##")))&amp;"-"&amp;INT(INDEX(輔助計算!$D:$D, (MATCH(588, 輔助計算!$G$2:$G$801, 0)+1))/IF(INDEX(ERP資料!$G:$G, (MATCH(588, 輔助計算!$G$2:$G$801, 0)+1))&lt;100, IF(INDEX(ERP資料!$G:$G, (MATCH(588, 輔助計算!$G$2:$G$801, 0)+1))&lt;=31,3,IF(INDEX(ERP資料!$G:$G, (MATCH(588, 輔助計算!$G$2:$G$801, 0)+1))&lt;=46.5,2,1)), IF(INDEX(ERP資料!$G:$G, (MATCH(588, 輔助計算!$G$2:$G$801, 0)+1))&lt;=790,3,IF(INDEX(ERP資料!$G:$G, (MATCH(588, 輔助計算!$G$2:$G$801, 0)+1))&lt;=1181,2,1)))), "")&lt;&gt;"",IF(MOD(INDEX(輔助計算!$D:$D, (MATCH(588, 輔助計算!$G$2:$G$801, 0)+1)),IF(INDEX(ERP資料!$G:$G, (MATCH(588, 輔助計算!$G$2:$G$801, 0)+1))&lt;100, IF(INDEX(ERP資料!$G:$G, (MATCH(588, 輔助計算!$G$2:$G$801, 0)+1))&lt;=31,3,IF(INDEX(ERP資料!$G:$G, (MATCH(588, 輔助計算!$G$2:$G$801, 0)+1))&lt;=46.5,2,1)), IF(INDEX(ERP資料!$G:$G, (MATCH(588, 輔助計算!$G$2:$G$801, 0)+1))&lt;=790,3,IF(INDEX(ERP資料!$G:$G, (MATCH(588, 輔助計算!$G$2:$G$801, 0)+1))&lt;=1181,2,1))))=0,"",IF(MOD(INDEX(輔助計算!$D:$D, (MATCH(588, 輔助計算!$G$2:$G$801, 0)+1)),IF(INDEX(ERP資料!$G:$G, (MATCH(588, 輔助計算!$G$2:$G$801, 0)+1))&lt;100, IF(INDEX(ERP資料!$G:$G, (MATCH(588, 輔助計算!$G$2:$G$801, 0)+1))&lt;=31,3,IF(INDEX(ERP資料!$G:$G, (MATCH(588, 輔助計算!$G$2:$G$801, 0)+1))&lt;=46.5,2,1)), IF(INDEX(ERP資料!$G:$G, (MATCH(588, 輔助計算!$G$2:$G$801, 0)+1))&lt;=790,3,IF(INDEX(ERP資料!$G:$G, (MATCH(588, 輔助計算!$G$2:$G$801, 0)+1))&lt;=1181,2,1))))=0,"",IF(MOD(INDEX(輔助計算!$D:$D, (MATCH(588, 輔助計算!$G$2:$G$801, 0)+1)),IF(INDEX(ERP資料!$G:$G, (MATCH(588, 輔助計算!$G$2:$G$801, 0)+1))&lt;100, IF(INDEX(ERP資料!$G:$G, (MATCH(588, 輔助計算!$G$2:$G$801, 0)+1))&lt;=31,3,IF(INDEX(ERP資料!$G:$G, (MATCH(588, 輔助計算!$G$2:$G$801, 0)+1))&lt;=46.5,2,1)), IF(INDEX(ERP資料!$G:$G, (MATCH(588, 輔助計算!$G$2:$G$801, 0)+1))&lt;=790,3,IF(INDEX(ERP資料!$G:$G, (MATCH(588, 輔助計算!$G$2:$G$801, 0)+1))&lt;=1181,2,1))))=1,TEXT(INDEX(ERP資料!$G:$G, (MATCH(588, 輔助計算!$G$2:$G$801, 0)+1)),"0.##"),IF(MOD(INDEX(輔助計算!$D:$D, (MATCH(588, 輔助計算!$G$2:$G$801, 0)+1)),IF(INDEX(ERP資料!$G:$G, (MATCH(588, 輔助計算!$G$2:$G$801, 0)+1))&lt;100, IF(INDEX(ERP資料!$G:$G, (MATCH(588, 輔助計算!$G$2:$G$801, 0)+1))&lt;=31,3,IF(INDEX(ERP資料!$G:$G, (MATCH(588, 輔助計算!$G$2:$G$801, 0)+1))&lt;=46.5,2,1)), IF(INDEX(ERP資料!$G:$G, (MATCH(588, 輔助計算!$G$2:$G$801, 0)+1))&lt;=790,3,IF(INDEX(ERP資料!$G:$G, (MATCH(588, 輔助計算!$G$2:$G$801, 0)+1))&lt;=1181,2,1))))=2,TEXT(INDEX(ERP資料!$G:$G, (MATCH(588, 輔助計算!$G$2:$G$801, 0)+1)),"0.##")&amp;"+"&amp;TEXT(INDEX(ERP資料!$G:$G, (MATCH(588, 輔助計算!$G$2:$G$801, 0)+1)),"0.##"),TEXT(INDEX(ERP資料!$G:$G, (MATCH(588, 輔助計算!$G$2:$G$801, 0)+1)),"0.##")&amp;"+"&amp;TEXT(INDEX(ERP資料!$G:$G, (MATCH(588, 輔助計算!$G$2:$G$801, 0)+1)),"0.##")&amp;"+"&amp;TEXT(INDEX(ERP資料!$G:$G, (MATCH(588, 輔助計算!$G$2:$G$801, 0)+1)),"0.##"))))&amp;"-1")&lt;&gt;""),"  ","")&amp;IF(MOD(INDEX(輔助計算!$D:$D, (MATCH(588, 輔助計算!$G$2:$G$801, 0)+1)),IF(INDEX(ERP資料!$G:$G, (MATCH(588, 輔助計算!$G$2:$G$801, 0)+1))&lt;100, IF(INDEX(ERP資料!$G:$G, (MATCH(588, 輔助計算!$G$2:$G$801, 0)+1))&lt;=31,3,IF(INDEX(ERP資料!$G:$G, (MATCH(588, 輔助計算!$G$2:$G$801, 0)+1))&lt;=46.5,2,1)), IF(INDEX(ERP資料!$G:$G, (MATCH(588, 輔助計算!$G$2:$G$801, 0)+1))&lt;=790,3,IF(INDEX(ERP資料!$G:$G, (MATCH(588, 輔助計算!$G$2:$G$801, 0)+1))&lt;=1181,2,1))))=0,"",IF(MOD(INDEX(輔助計算!$D:$D, (MATCH(588, 輔助計算!$G$2:$G$801, 0)+1)),IF(INDEX(ERP資料!$G:$G, (MATCH(588, 輔助計算!$G$2:$G$801, 0)+1))&lt;100, IF(INDEX(ERP資料!$G:$G, (MATCH(588, 輔助計算!$G$2:$G$801, 0)+1))&lt;=31,3,IF(INDEX(ERP資料!$G:$G, (MATCH(588, 輔助計算!$G$2:$G$801, 0)+1))&lt;=46.5,2,1)), IF(INDEX(ERP資料!$G:$G, (MATCH(588, 輔助計算!$G$2:$G$801, 0)+1))&lt;=790,3,IF(INDEX(ERP資料!$G:$G, (MATCH(588, 輔助計算!$G$2:$G$801, 0)+1))&lt;=1181,2,1))))=0,"",IF(MOD(INDEX(輔助計算!$D:$D, (MATCH(588, 輔助計算!$G$2:$G$801, 0)+1)),IF(INDEX(ERP資料!$G:$G, (MATCH(588, 輔助計算!$G$2:$G$801, 0)+1))&lt;100, IF(INDEX(ERP資料!$G:$G, (MATCH(588, 輔助計算!$G$2:$G$801, 0)+1))&lt;=31,3,IF(INDEX(ERP資料!$G:$G, (MATCH(588, 輔助計算!$G$2:$G$801, 0)+1))&lt;=46.5,2,1)), IF(INDEX(ERP資料!$G:$G, (MATCH(588, 輔助計算!$G$2:$G$801, 0)+1))&lt;=790,3,IF(INDEX(ERP資料!$G:$G, (MATCH(588, 輔助計算!$G$2:$G$801, 0)+1))&lt;=1181,2,1))))=1,TEXT(INDEX(ERP資料!$G:$G, (MATCH(588, 輔助計算!$G$2:$G$801, 0)+1)),"0.##"),IF(MOD(INDEX(輔助計算!$D:$D, (MATCH(588, 輔助計算!$G$2:$G$801, 0)+1)),IF(INDEX(ERP資料!$G:$G, (MATCH(588, 輔助計算!$G$2:$G$801, 0)+1))&lt;100, IF(INDEX(ERP資料!$G:$G, (MATCH(588, 輔助計算!$G$2:$G$801, 0)+1))&lt;=31,3,IF(INDEX(ERP資料!$G:$G, (MATCH(588, 輔助計算!$G$2:$G$801, 0)+1))&lt;=46.5,2,1)), IF(INDEX(ERP資料!$G:$G, (MATCH(588, 輔助計算!$G$2:$G$801, 0)+1))&lt;=790,3,IF(INDEX(ERP資料!$G:$G, (MATCH(588, 輔助計算!$G$2:$G$801, 0)+1))&lt;=1181,2,1))))=2,TEXT(INDEX(ERP資料!$G:$G, (MATCH(588, 輔助計算!$G$2:$G$801, 0)+1)),"0.##")&amp;"+"&amp;TEXT(INDEX(ERP資料!$G:$G, (MATCH(588, 輔助計算!$G$2:$G$801, 0)+1)),"0.##"),TEXT(INDEX(ERP資料!$G:$G, (MATCH(588, 輔助計算!$G$2:$G$801, 0)+1)),"0.##")&amp;"+"&amp;TEXT(INDEX(ERP資料!$G:$G, (MATCH(588, 輔助計算!$G$2:$G$801, 0)+1)),"0.##")&amp;"+"&amp;TEXT(INDEX(ERP資料!$G:$G, (MATCH(588, 輔助計算!$G$2:$G$801, 0)+1)),"0.##"))))&amp;"-1")), ""), "")</f>
        <v/>
      </c>
      <c r="K589" s="16" t="n"/>
      <c r="L589" s="14">
        <f>IFERROR(IF(AND(IFERROR(INDEX(ERP資料!$A:$A, (MATCH(588, 輔助計算!$G$2:$G$801, 0)+1)), "")&lt;&gt;"", IFERROR(INDEX(ERP資料!$A:$A, (MATCH(588, 輔助計算!$G$2:$G$801, 0)+1)), "")&lt;&gt;IFERROR(INDEX(ERP資料!$A:$A, MATCH(587, 輔助計算!$G$2:$G$801, 0)+1), "")), INDEX(ERP資料!$B:$B, (MATCH(588, 輔助計算!$G$2:$G$801, 0)+1)), ""), "")</f>
        <v/>
      </c>
      <c r="M589" s="17" t="n"/>
    </row>
    <row r="590">
      <c r="A590" s="10">
        <f>IFERROR(IF(AND(IFERROR(INDEX(ERP資料!$A:$A, (MATCH(589, 輔助計算!$G$2:$G$801, 0)+1)), "")&lt;&gt;"", IFERROR(INDEX(ERP資料!$A:$A, (MATCH(589, 輔助計算!$G$2:$G$801, 0)+1)), "")&lt;&gt;IFERROR(INDEX(ERP資料!$A:$A, MATCH(588, 輔助計算!$G$2:$G$801, 0)+1), "")), IFERROR(INDEX(ERP資料!$A:$A, (MATCH(589, 輔助計算!$G$2:$G$801, 0)+1)), ""), ""), "")</f>
        <v/>
      </c>
      <c r="B590" s="10">
        <f>IFERROR(IF(AND(IFERROR(INDEX(ERP資料!$A:$A, (MATCH(589, 輔助計算!$G$2:$G$801, 0)+1)), "")&lt;&gt;"", IFERROR(INDEX(ERP資料!$A:$A, (MATCH(589, 輔助計算!$G$2:$G$801, 0)+1)), "")&lt;&gt;IFERROR(INDEX(ERP資料!$A:$A, MATCH(588, 輔助計算!$G$2:$G$801, 0)+1), "")), INDEX(ERP資料!$S:$S, (MATCH(589, 輔助計算!$G$2:$G$801, 0)+1)), ""), "")</f>
        <v/>
      </c>
      <c r="C590" s="19">
        <f>IFERROR(IF(AND(IFERROR(INDEX(ERP資料!$A:$A, (MATCH(589, 輔助計算!$G$2:$G$801, 0)+1)), "")&lt;&gt;"", IFERROR(INDEX(ERP資料!$A:$A, (MATCH(589, 輔助計算!$G$2:$G$801, 0)+1)), "")&lt;&gt;IFERROR(INDEX(ERP資料!$A:$A, MATCH(588, 輔助計算!$G$2:$G$801, 0)+1), "")), IFERROR(VLOOKUP(LEFT(INDEX(ERP資料!$S:$S, (MATCH(589, 輔助計算!$G$2:$G$801, 0)+1)), 4), 紙管對照表!$A:$C, 3, FALSE), ""), ""), "")</f>
        <v/>
      </c>
      <c r="D590" s="16" t="n"/>
      <c r="E590" s="10">
        <f>IFERROR(IF(INDEX(ERP資料!$H:$H, (MATCH(589, 輔助計算!$G$2:$G$801, 0)+1))="","",INDEX(ERP資料!$H:$H, (MATCH(589, 輔助計算!$G$2:$G$801, 0)+1))), "")</f>
        <v/>
      </c>
      <c r="F590" s="10">
        <f>IFERROR(IF(INDEX(ERP資料!$E:$E, (MATCH(589, 輔助計算!$G$2:$G$801, 0)+1))="","",TRIM(INDEX(ERP資料!$E:$E, (MATCH(589, 輔助計算!$G$2:$G$801, 0)+1)))), "")</f>
        <v/>
      </c>
      <c r="G590" s="10">
        <f>IFERROR(IF(INDEX(ERP資料!$F:$F, (MATCH(589, 輔助計算!$G$2:$G$801, 0)+1))="","",INDEX(ERP資料!$F:$F, (MATCH(589, 輔助計算!$G$2:$G$801, 0)+1))), "")</f>
        <v/>
      </c>
      <c r="H590" s="10">
        <f>IFERROR(IF(INDEX(ERP資料!$G:$G, (MATCH(589, 輔助計算!$G$2:$G$801, 0)+1))="","",INDEX(ERP資料!$G:$G, (MATCH(589, 輔助計算!$G$2:$G$801, 0)+1))), "")</f>
        <v/>
      </c>
      <c r="I590" s="15">
        <f>IFERROR(INDEX(輔助計算!$D:$D, (MATCH(589, 輔助計算!$G$2:$G$801, 0)+1)), "")</f>
        <v/>
      </c>
      <c r="J590" s="15">
        <f>IFERROR(IF(AND(INDEX(輔助計算!$D:$D, (MATCH(589, 輔助計算!$G$2:$G$801, 0)+1))&lt;&gt;"", INDEX(ERP資料!$G:$G, (MATCH(589, 輔助計算!$G$2:$G$801, 0)+1))&lt;&gt;""), TRIM(IF(INT(INDEX(輔助計算!$D:$D, (MATCH(589, 輔助計算!$G$2:$G$801, 0)+1))/IF(INDEX(ERP資料!$G:$G, (MATCH(589, 輔助計算!$G$2:$G$801, 0)+1))&lt;100, IF(INDEX(ERP資料!$G:$G, (MATCH(589, 輔助計算!$G$2:$G$801, 0)+1))&lt;=31,3,IF(INDEX(ERP資料!$G:$G, (MATCH(589, 輔助計算!$G$2:$G$801, 0)+1))&lt;=46.5,2,1)), IF(INDEX(ERP資料!$G:$G, (MATCH(589, 輔助計算!$G$2:$G$801, 0)+1))&lt;=790,3,IF(INDEX(ERP資料!$G:$G, (MATCH(589, 輔助計算!$G$2:$G$801, 0)+1))&lt;=1181,2,1))))&gt;0, IF(IF(INDEX(ERP資料!$G:$G, (MATCH(589, 輔助計算!$G$2:$G$801, 0)+1))&lt;100, IF(INDEX(ERP資料!$G:$G, (MATCH(589, 輔助計算!$G$2:$G$801, 0)+1))&lt;=31,3,IF(INDEX(ERP資料!$G:$G, (MATCH(589, 輔助計算!$G$2:$G$801, 0)+1))&lt;=46.5,2,1)), IF(INDEX(ERP資料!$G:$G, (MATCH(589, 輔助計算!$G$2:$G$801, 0)+1))&lt;=790,3,IF(INDEX(ERP資料!$G:$G, (MATCH(589, 輔助計算!$G$2:$G$801, 0)+1))&lt;=1181,2,1)))=1,TEXT(INDEX(ERP資料!$G:$G, (MATCH(589, 輔助計算!$G$2:$G$801, 0)+1)),"0.##"),IF(IF(INDEX(ERP資料!$G:$G, (MATCH(589, 輔助計算!$G$2:$G$801, 0)+1))&lt;100, IF(INDEX(ERP資料!$G:$G, (MATCH(589, 輔助計算!$G$2:$G$801, 0)+1))&lt;=31,3,IF(INDEX(ERP資料!$G:$G, (MATCH(589, 輔助計算!$G$2:$G$801, 0)+1))&lt;=46.5,2,1)), IF(INDEX(ERP資料!$G:$G, (MATCH(589, 輔助計算!$G$2:$G$801, 0)+1))&lt;=790,3,IF(INDEX(ERP資料!$G:$G, (MATCH(589, 輔助計算!$G$2:$G$801, 0)+1))&lt;=1181,2,1)))=2,TEXT(INDEX(ERP資料!$G:$G, (MATCH(589, 輔助計算!$G$2:$G$801, 0)+1)),"0.##")&amp;"+"&amp;TEXT(INDEX(ERP資料!$G:$G, (MATCH(589, 輔助計算!$G$2:$G$801, 0)+1)),"0.##"),TEXT(INDEX(ERP資料!$G:$G, (MATCH(589, 輔助計算!$G$2:$G$801, 0)+1)),"0.##")&amp;"+"&amp;TEXT(INDEX(ERP資料!$G:$G, (MATCH(589, 輔助計算!$G$2:$G$801, 0)+1)),"0.##")&amp;"+"&amp;TEXT(INDEX(ERP資料!$G:$G, (MATCH(589, 輔助計算!$G$2:$G$801, 0)+1)),"0.##")))&amp;"-"&amp;INT(INDEX(輔助計算!$D:$D, (MATCH(589, 輔助計算!$G$2:$G$801, 0)+1))/IF(INDEX(ERP資料!$G:$G, (MATCH(589, 輔助計算!$G$2:$G$801, 0)+1))&lt;100, IF(INDEX(ERP資料!$G:$G, (MATCH(589, 輔助計算!$G$2:$G$801, 0)+1))&lt;=31,3,IF(INDEX(ERP資料!$G:$G, (MATCH(589, 輔助計算!$G$2:$G$801, 0)+1))&lt;=46.5,2,1)), IF(INDEX(ERP資料!$G:$G, (MATCH(589, 輔助計算!$G$2:$G$801, 0)+1))&lt;=790,3,IF(INDEX(ERP資料!$G:$G, (MATCH(589, 輔助計算!$G$2:$G$801, 0)+1))&lt;=1181,2,1)))), "")&amp;IF(AND(IF(INT(INDEX(輔助計算!$D:$D, (MATCH(589, 輔助計算!$G$2:$G$801, 0)+1))/IF(INDEX(ERP資料!$G:$G, (MATCH(589, 輔助計算!$G$2:$G$801, 0)+1))&lt;100, IF(INDEX(ERP資料!$G:$G, (MATCH(589, 輔助計算!$G$2:$G$801, 0)+1))&lt;=31,3,IF(INDEX(ERP資料!$G:$G, (MATCH(589, 輔助計算!$G$2:$G$801, 0)+1))&lt;=46.5,2,1)), IF(INDEX(ERP資料!$G:$G, (MATCH(589, 輔助計算!$G$2:$G$801, 0)+1))&lt;=790,3,IF(INDEX(ERP資料!$G:$G, (MATCH(589, 輔助計算!$G$2:$G$801, 0)+1))&lt;=1181,2,1))))&gt;0, IF(IF(INDEX(ERP資料!$G:$G, (MATCH(589, 輔助計算!$G$2:$G$801, 0)+1))&lt;100, IF(INDEX(ERP資料!$G:$G, (MATCH(589, 輔助計算!$G$2:$G$801, 0)+1))&lt;=31,3,IF(INDEX(ERP資料!$G:$G, (MATCH(589, 輔助計算!$G$2:$G$801, 0)+1))&lt;=46.5,2,1)), IF(INDEX(ERP資料!$G:$G, (MATCH(589, 輔助計算!$G$2:$G$801, 0)+1))&lt;=790,3,IF(INDEX(ERP資料!$G:$G, (MATCH(589, 輔助計算!$G$2:$G$801, 0)+1))&lt;=1181,2,1)))=1,TEXT(INDEX(ERP資料!$G:$G, (MATCH(589, 輔助計算!$G$2:$G$801, 0)+1)),"0.##"),IF(IF(INDEX(ERP資料!$G:$G, (MATCH(589, 輔助計算!$G$2:$G$801, 0)+1))&lt;100, IF(INDEX(ERP資料!$G:$G, (MATCH(589, 輔助計算!$G$2:$G$801, 0)+1))&lt;=31,3,IF(INDEX(ERP資料!$G:$G, (MATCH(589, 輔助計算!$G$2:$G$801, 0)+1))&lt;=46.5,2,1)), IF(INDEX(ERP資料!$G:$G, (MATCH(589, 輔助計算!$G$2:$G$801, 0)+1))&lt;=790,3,IF(INDEX(ERP資料!$G:$G, (MATCH(589, 輔助計算!$G$2:$G$801, 0)+1))&lt;=1181,2,1)))=2,TEXT(INDEX(ERP資料!$G:$G, (MATCH(589, 輔助計算!$G$2:$G$801, 0)+1)),"0.##")&amp;"+"&amp;TEXT(INDEX(ERP資料!$G:$G, (MATCH(589, 輔助計算!$G$2:$G$801, 0)+1)),"0.##"),TEXT(INDEX(ERP資料!$G:$G, (MATCH(589, 輔助計算!$G$2:$G$801, 0)+1)),"0.##")&amp;"+"&amp;TEXT(INDEX(ERP資料!$G:$G, (MATCH(589, 輔助計算!$G$2:$G$801, 0)+1)),"0.##")&amp;"+"&amp;TEXT(INDEX(ERP資料!$G:$G, (MATCH(589, 輔助計算!$G$2:$G$801, 0)+1)),"0.##")))&amp;"-"&amp;INT(INDEX(輔助計算!$D:$D, (MATCH(589, 輔助計算!$G$2:$G$801, 0)+1))/IF(INDEX(ERP資料!$G:$G, (MATCH(589, 輔助計算!$G$2:$G$801, 0)+1))&lt;100, IF(INDEX(ERP資料!$G:$G, (MATCH(589, 輔助計算!$G$2:$G$801, 0)+1))&lt;=31,3,IF(INDEX(ERP資料!$G:$G, (MATCH(589, 輔助計算!$G$2:$G$801, 0)+1))&lt;=46.5,2,1)), IF(INDEX(ERP資料!$G:$G, (MATCH(589, 輔助計算!$G$2:$G$801, 0)+1))&lt;=790,3,IF(INDEX(ERP資料!$G:$G, (MATCH(589, 輔助計算!$G$2:$G$801, 0)+1))&lt;=1181,2,1)))), "")&lt;&gt;"",IF(MOD(INDEX(輔助計算!$D:$D, (MATCH(589, 輔助計算!$G$2:$G$801, 0)+1)),IF(INDEX(ERP資料!$G:$G, (MATCH(589, 輔助計算!$G$2:$G$801, 0)+1))&lt;100, IF(INDEX(ERP資料!$G:$G, (MATCH(589, 輔助計算!$G$2:$G$801, 0)+1))&lt;=31,3,IF(INDEX(ERP資料!$G:$G, (MATCH(589, 輔助計算!$G$2:$G$801, 0)+1))&lt;=46.5,2,1)), IF(INDEX(ERP資料!$G:$G, (MATCH(589, 輔助計算!$G$2:$G$801, 0)+1))&lt;=790,3,IF(INDEX(ERP資料!$G:$G, (MATCH(589, 輔助計算!$G$2:$G$801, 0)+1))&lt;=1181,2,1))))=0,"",IF(MOD(INDEX(輔助計算!$D:$D, (MATCH(589, 輔助計算!$G$2:$G$801, 0)+1)),IF(INDEX(ERP資料!$G:$G, (MATCH(589, 輔助計算!$G$2:$G$801, 0)+1))&lt;100, IF(INDEX(ERP資料!$G:$G, (MATCH(589, 輔助計算!$G$2:$G$801, 0)+1))&lt;=31,3,IF(INDEX(ERP資料!$G:$G, (MATCH(589, 輔助計算!$G$2:$G$801, 0)+1))&lt;=46.5,2,1)), IF(INDEX(ERP資料!$G:$G, (MATCH(589, 輔助計算!$G$2:$G$801, 0)+1))&lt;=790,3,IF(INDEX(ERP資料!$G:$G, (MATCH(589, 輔助計算!$G$2:$G$801, 0)+1))&lt;=1181,2,1))))=0,"",IF(MOD(INDEX(輔助計算!$D:$D, (MATCH(589, 輔助計算!$G$2:$G$801, 0)+1)),IF(INDEX(ERP資料!$G:$G, (MATCH(589, 輔助計算!$G$2:$G$801, 0)+1))&lt;100, IF(INDEX(ERP資料!$G:$G, (MATCH(589, 輔助計算!$G$2:$G$801, 0)+1))&lt;=31,3,IF(INDEX(ERP資料!$G:$G, (MATCH(589, 輔助計算!$G$2:$G$801, 0)+1))&lt;=46.5,2,1)), IF(INDEX(ERP資料!$G:$G, (MATCH(589, 輔助計算!$G$2:$G$801, 0)+1))&lt;=790,3,IF(INDEX(ERP資料!$G:$G, (MATCH(589, 輔助計算!$G$2:$G$801, 0)+1))&lt;=1181,2,1))))=1,TEXT(INDEX(ERP資料!$G:$G, (MATCH(589, 輔助計算!$G$2:$G$801, 0)+1)),"0.##"),IF(MOD(INDEX(輔助計算!$D:$D, (MATCH(589, 輔助計算!$G$2:$G$801, 0)+1)),IF(INDEX(ERP資料!$G:$G, (MATCH(589, 輔助計算!$G$2:$G$801, 0)+1))&lt;100, IF(INDEX(ERP資料!$G:$G, (MATCH(589, 輔助計算!$G$2:$G$801, 0)+1))&lt;=31,3,IF(INDEX(ERP資料!$G:$G, (MATCH(589, 輔助計算!$G$2:$G$801, 0)+1))&lt;=46.5,2,1)), IF(INDEX(ERP資料!$G:$G, (MATCH(589, 輔助計算!$G$2:$G$801, 0)+1))&lt;=790,3,IF(INDEX(ERP資料!$G:$G, (MATCH(589, 輔助計算!$G$2:$G$801, 0)+1))&lt;=1181,2,1))))=2,TEXT(INDEX(ERP資料!$G:$G, (MATCH(589, 輔助計算!$G$2:$G$801, 0)+1)),"0.##")&amp;"+"&amp;TEXT(INDEX(ERP資料!$G:$G, (MATCH(589, 輔助計算!$G$2:$G$801, 0)+1)),"0.##"),TEXT(INDEX(ERP資料!$G:$G, (MATCH(589, 輔助計算!$G$2:$G$801, 0)+1)),"0.##")&amp;"+"&amp;TEXT(INDEX(ERP資料!$G:$G, (MATCH(589, 輔助計算!$G$2:$G$801, 0)+1)),"0.##")&amp;"+"&amp;TEXT(INDEX(ERP資料!$G:$G, (MATCH(589, 輔助計算!$G$2:$G$801, 0)+1)),"0.##"))))&amp;"-1")&lt;&gt;""),"  ","")&amp;IF(MOD(INDEX(輔助計算!$D:$D, (MATCH(589, 輔助計算!$G$2:$G$801, 0)+1)),IF(INDEX(ERP資料!$G:$G, (MATCH(589, 輔助計算!$G$2:$G$801, 0)+1))&lt;100, IF(INDEX(ERP資料!$G:$G, (MATCH(589, 輔助計算!$G$2:$G$801, 0)+1))&lt;=31,3,IF(INDEX(ERP資料!$G:$G, (MATCH(589, 輔助計算!$G$2:$G$801, 0)+1))&lt;=46.5,2,1)), IF(INDEX(ERP資料!$G:$G, (MATCH(589, 輔助計算!$G$2:$G$801, 0)+1))&lt;=790,3,IF(INDEX(ERP資料!$G:$G, (MATCH(589, 輔助計算!$G$2:$G$801, 0)+1))&lt;=1181,2,1))))=0,"",IF(MOD(INDEX(輔助計算!$D:$D, (MATCH(589, 輔助計算!$G$2:$G$801, 0)+1)),IF(INDEX(ERP資料!$G:$G, (MATCH(589, 輔助計算!$G$2:$G$801, 0)+1))&lt;100, IF(INDEX(ERP資料!$G:$G, (MATCH(589, 輔助計算!$G$2:$G$801, 0)+1))&lt;=31,3,IF(INDEX(ERP資料!$G:$G, (MATCH(589, 輔助計算!$G$2:$G$801, 0)+1))&lt;=46.5,2,1)), IF(INDEX(ERP資料!$G:$G, (MATCH(589, 輔助計算!$G$2:$G$801, 0)+1))&lt;=790,3,IF(INDEX(ERP資料!$G:$G, (MATCH(589, 輔助計算!$G$2:$G$801, 0)+1))&lt;=1181,2,1))))=0,"",IF(MOD(INDEX(輔助計算!$D:$D, (MATCH(589, 輔助計算!$G$2:$G$801, 0)+1)),IF(INDEX(ERP資料!$G:$G, (MATCH(589, 輔助計算!$G$2:$G$801, 0)+1))&lt;100, IF(INDEX(ERP資料!$G:$G, (MATCH(589, 輔助計算!$G$2:$G$801, 0)+1))&lt;=31,3,IF(INDEX(ERP資料!$G:$G, (MATCH(589, 輔助計算!$G$2:$G$801, 0)+1))&lt;=46.5,2,1)), IF(INDEX(ERP資料!$G:$G, (MATCH(589, 輔助計算!$G$2:$G$801, 0)+1))&lt;=790,3,IF(INDEX(ERP資料!$G:$G, (MATCH(589, 輔助計算!$G$2:$G$801, 0)+1))&lt;=1181,2,1))))=1,TEXT(INDEX(ERP資料!$G:$G, (MATCH(589, 輔助計算!$G$2:$G$801, 0)+1)),"0.##"),IF(MOD(INDEX(輔助計算!$D:$D, (MATCH(589, 輔助計算!$G$2:$G$801, 0)+1)),IF(INDEX(ERP資料!$G:$G, (MATCH(589, 輔助計算!$G$2:$G$801, 0)+1))&lt;100, IF(INDEX(ERP資料!$G:$G, (MATCH(589, 輔助計算!$G$2:$G$801, 0)+1))&lt;=31,3,IF(INDEX(ERP資料!$G:$G, (MATCH(589, 輔助計算!$G$2:$G$801, 0)+1))&lt;=46.5,2,1)), IF(INDEX(ERP資料!$G:$G, (MATCH(589, 輔助計算!$G$2:$G$801, 0)+1))&lt;=790,3,IF(INDEX(ERP資料!$G:$G, (MATCH(589, 輔助計算!$G$2:$G$801, 0)+1))&lt;=1181,2,1))))=2,TEXT(INDEX(ERP資料!$G:$G, (MATCH(589, 輔助計算!$G$2:$G$801, 0)+1)),"0.##")&amp;"+"&amp;TEXT(INDEX(ERP資料!$G:$G, (MATCH(589, 輔助計算!$G$2:$G$801, 0)+1)),"0.##"),TEXT(INDEX(ERP資料!$G:$G, (MATCH(589, 輔助計算!$G$2:$G$801, 0)+1)),"0.##")&amp;"+"&amp;TEXT(INDEX(ERP資料!$G:$G, (MATCH(589, 輔助計算!$G$2:$G$801, 0)+1)),"0.##")&amp;"+"&amp;TEXT(INDEX(ERP資料!$G:$G, (MATCH(589, 輔助計算!$G$2:$G$801, 0)+1)),"0.##"))))&amp;"-1")), ""), "")</f>
        <v/>
      </c>
      <c r="K590" s="16" t="n"/>
      <c r="L590" s="14">
        <f>IFERROR(IF(AND(IFERROR(INDEX(ERP資料!$A:$A, (MATCH(589, 輔助計算!$G$2:$G$801, 0)+1)), "")&lt;&gt;"", IFERROR(INDEX(ERP資料!$A:$A, (MATCH(589, 輔助計算!$G$2:$G$801, 0)+1)), "")&lt;&gt;IFERROR(INDEX(ERP資料!$A:$A, MATCH(588, 輔助計算!$G$2:$G$801, 0)+1), "")), INDEX(ERP資料!$B:$B, (MATCH(589, 輔助計算!$G$2:$G$801, 0)+1)), ""), "")</f>
        <v/>
      </c>
      <c r="M590" s="17" t="n"/>
    </row>
    <row r="591">
      <c r="A591" s="10">
        <f>IFERROR(IF(AND(IFERROR(INDEX(ERP資料!$A:$A, (MATCH(590, 輔助計算!$G$2:$G$801, 0)+1)), "")&lt;&gt;"", IFERROR(INDEX(ERP資料!$A:$A, (MATCH(590, 輔助計算!$G$2:$G$801, 0)+1)), "")&lt;&gt;IFERROR(INDEX(ERP資料!$A:$A, MATCH(589, 輔助計算!$G$2:$G$801, 0)+1), "")), IFERROR(INDEX(ERP資料!$A:$A, (MATCH(590, 輔助計算!$G$2:$G$801, 0)+1)), ""), ""), "")</f>
        <v/>
      </c>
      <c r="B591" s="10">
        <f>IFERROR(IF(AND(IFERROR(INDEX(ERP資料!$A:$A, (MATCH(590, 輔助計算!$G$2:$G$801, 0)+1)), "")&lt;&gt;"", IFERROR(INDEX(ERP資料!$A:$A, (MATCH(590, 輔助計算!$G$2:$G$801, 0)+1)), "")&lt;&gt;IFERROR(INDEX(ERP資料!$A:$A, MATCH(589, 輔助計算!$G$2:$G$801, 0)+1), "")), INDEX(ERP資料!$S:$S, (MATCH(590, 輔助計算!$G$2:$G$801, 0)+1)), ""), "")</f>
        <v/>
      </c>
      <c r="C591" s="19">
        <f>IFERROR(IF(AND(IFERROR(INDEX(ERP資料!$A:$A, (MATCH(590, 輔助計算!$G$2:$G$801, 0)+1)), "")&lt;&gt;"", IFERROR(INDEX(ERP資料!$A:$A, (MATCH(590, 輔助計算!$G$2:$G$801, 0)+1)), "")&lt;&gt;IFERROR(INDEX(ERP資料!$A:$A, MATCH(589, 輔助計算!$G$2:$G$801, 0)+1), "")), IFERROR(VLOOKUP(LEFT(INDEX(ERP資料!$S:$S, (MATCH(590, 輔助計算!$G$2:$G$801, 0)+1)), 4), 紙管對照表!$A:$C, 3, FALSE), ""), ""), "")</f>
        <v/>
      </c>
      <c r="D591" s="16" t="n"/>
      <c r="E591" s="10">
        <f>IFERROR(IF(INDEX(ERP資料!$H:$H, (MATCH(590, 輔助計算!$G$2:$G$801, 0)+1))="","",INDEX(ERP資料!$H:$H, (MATCH(590, 輔助計算!$G$2:$G$801, 0)+1))), "")</f>
        <v/>
      </c>
      <c r="F591" s="10">
        <f>IFERROR(IF(INDEX(ERP資料!$E:$E, (MATCH(590, 輔助計算!$G$2:$G$801, 0)+1))="","",TRIM(INDEX(ERP資料!$E:$E, (MATCH(590, 輔助計算!$G$2:$G$801, 0)+1)))), "")</f>
        <v/>
      </c>
      <c r="G591" s="10">
        <f>IFERROR(IF(INDEX(ERP資料!$F:$F, (MATCH(590, 輔助計算!$G$2:$G$801, 0)+1))="","",INDEX(ERP資料!$F:$F, (MATCH(590, 輔助計算!$G$2:$G$801, 0)+1))), "")</f>
        <v/>
      </c>
      <c r="H591" s="10">
        <f>IFERROR(IF(INDEX(ERP資料!$G:$G, (MATCH(590, 輔助計算!$G$2:$G$801, 0)+1))="","",INDEX(ERP資料!$G:$G, (MATCH(590, 輔助計算!$G$2:$G$801, 0)+1))), "")</f>
        <v/>
      </c>
      <c r="I591" s="15">
        <f>IFERROR(INDEX(輔助計算!$D:$D, (MATCH(590, 輔助計算!$G$2:$G$801, 0)+1)), "")</f>
        <v/>
      </c>
      <c r="J591" s="15">
        <f>IFERROR(IF(AND(INDEX(輔助計算!$D:$D, (MATCH(590, 輔助計算!$G$2:$G$801, 0)+1))&lt;&gt;"", INDEX(ERP資料!$G:$G, (MATCH(590, 輔助計算!$G$2:$G$801, 0)+1))&lt;&gt;""), TRIM(IF(INT(INDEX(輔助計算!$D:$D, (MATCH(590, 輔助計算!$G$2:$G$801, 0)+1))/IF(INDEX(ERP資料!$G:$G, (MATCH(590, 輔助計算!$G$2:$G$801, 0)+1))&lt;100, IF(INDEX(ERP資料!$G:$G, (MATCH(590, 輔助計算!$G$2:$G$801, 0)+1))&lt;=31,3,IF(INDEX(ERP資料!$G:$G, (MATCH(590, 輔助計算!$G$2:$G$801, 0)+1))&lt;=46.5,2,1)), IF(INDEX(ERP資料!$G:$G, (MATCH(590, 輔助計算!$G$2:$G$801, 0)+1))&lt;=790,3,IF(INDEX(ERP資料!$G:$G, (MATCH(590, 輔助計算!$G$2:$G$801, 0)+1))&lt;=1181,2,1))))&gt;0, IF(IF(INDEX(ERP資料!$G:$G, (MATCH(590, 輔助計算!$G$2:$G$801, 0)+1))&lt;100, IF(INDEX(ERP資料!$G:$G, (MATCH(590, 輔助計算!$G$2:$G$801, 0)+1))&lt;=31,3,IF(INDEX(ERP資料!$G:$G, (MATCH(590, 輔助計算!$G$2:$G$801, 0)+1))&lt;=46.5,2,1)), IF(INDEX(ERP資料!$G:$G, (MATCH(590, 輔助計算!$G$2:$G$801, 0)+1))&lt;=790,3,IF(INDEX(ERP資料!$G:$G, (MATCH(590, 輔助計算!$G$2:$G$801, 0)+1))&lt;=1181,2,1)))=1,TEXT(INDEX(ERP資料!$G:$G, (MATCH(590, 輔助計算!$G$2:$G$801, 0)+1)),"0.##"),IF(IF(INDEX(ERP資料!$G:$G, (MATCH(590, 輔助計算!$G$2:$G$801, 0)+1))&lt;100, IF(INDEX(ERP資料!$G:$G, (MATCH(590, 輔助計算!$G$2:$G$801, 0)+1))&lt;=31,3,IF(INDEX(ERP資料!$G:$G, (MATCH(590, 輔助計算!$G$2:$G$801, 0)+1))&lt;=46.5,2,1)), IF(INDEX(ERP資料!$G:$G, (MATCH(590, 輔助計算!$G$2:$G$801, 0)+1))&lt;=790,3,IF(INDEX(ERP資料!$G:$G, (MATCH(590, 輔助計算!$G$2:$G$801, 0)+1))&lt;=1181,2,1)))=2,TEXT(INDEX(ERP資料!$G:$G, (MATCH(590, 輔助計算!$G$2:$G$801, 0)+1)),"0.##")&amp;"+"&amp;TEXT(INDEX(ERP資料!$G:$G, (MATCH(590, 輔助計算!$G$2:$G$801, 0)+1)),"0.##"),TEXT(INDEX(ERP資料!$G:$G, (MATCH(590, 輔助計算!$G$2:$G$801, 0)+1)),"0.##")&amp;"+"&amp;TEXT(INDEX(ERP資料!$G:$G, (MATCH(590, 輔助計算!$G$2:$G$801, 0)+1)),"0.##")&amp;"+"&amp;TEXT(INDEX(ERP資料!$G:$G, (MATCH(590, 輔助計算!$G$2:$G$801, 0)+1)),"0.##")))&amp;"-"&amp;INT(INDEX(輔助計算!$D:$D, (MATCH(590, 輔助計算!$G$2:$G$801, 0)+1))/IF(INDEX(ERP資料!$G:$G, (MATCH(590, 輔助計算!$G$2:$G$801, 0)+1))&lt;100, IF(INDEX(ERP資料!$G:$G, (MATCH(590, 輔助計算!$G$2:$G$801, 0)+1))&lt;=31,3,IF(INDEX(ERP資料!$G:$G, (MATCH(590, 輔助計算!$G$2:$G$801, 0)+1))&lt;=46.5,2,1)), IF(INDEX(ERP資料!$G:$G, (MATCH(590, 輔助計算!$G$2:$G$801, 0)+1))&lt;=790,3,IF(INDEX(ERP資料!$G:$G, (MATCH(590, 輔助計算!$G$2:$G$801, 0)+1))&lt;=1181,2,1)))), "")&amp;IF(AND(IF(INT(INDEX(輔助計算!$D:$D, (MATCH(590, 輔助計算!$G$2:$G$801, 0)+1))/IF(INDEX(ERP資料!$G:$G, (MATCH(590, 輔助計算!$G$2:$G$801, 0)+1))&lt;100, IF(INDEX(ERP資料!$G:$G, (MATCH(590, 輔助計算!$G$2:$G$801, 0)+1))&lt;=31,3,IF(INDEX(ERP資料!$G:$G, (MATCH(590, 輔助計算!$G$2:$G$801, 0)+1))&lt;=46.5,2,1)), IF(INDEX(ERP資料!$G:$G, (MATCH(590, 輔助計算!$G$2:$G$801, 0)+1))&lt;=790,3,IF(INDEX(ERP資料!$G:$G, (MATCH(590, 輔助計算!$G$2:$G$801, 0)+1))&lt;=1181,2,1))))&gt;0, IF(IF(INDEX(ERP資料!$G:$G, (MATCH(590, 輔助計算!$G$2:$G$801, 0)+1))&lt;100, IF(INDEX(ERP資料!$G:$G, (MATCH(590, 輔助計算!$G$2:$G$801, 0)+1))&lt;=31,3,IF(INDEX(ERP資料!$G:$G, (MATCH(590, 輔助計算!$G$2:$G$801, 0)+1))&lt;=46.5,2,1)), IF(INDEX(ERP資料!$G:$G, (MATCH(590, 輔助計算!$G$2:$G$801, 0)+1))&lt;=790,3,IF(INDEX(ERP資料!$G:$G, (MATCH(590, 輔助計算!$G$2:$G$801, 0)+1))&lt;=1181,2,1)))=1,TEXT(INDEX(ERP資料!$G:$G, (MATCH(590, 輔助計算!$G$2:$G$801, 0)+1)),"0.##"),IF(IF(INDEX(ERP資料!$G:$G, (MATCH(590, 輔助計算!$G$2:$G$801, 0)+1))&lt;100, IF(INDEX(ERP資料!$G:$G, (MATCH(590, 輔助計算!$G$2:$G$801, 0)+1))&lt;=31,3,IF(INDEX(ERP資料!$G:$G, (MATCH(590, 輔助計算!$G$2:$G$801, 0)+1))&lt;=46.5,2,1)), IF(INDEX(ERP資料!$G:$G, (MATCH(590, 輔助計算!$G$2:$G$801, 0)+1))&lt;=790,3,IF(INDEX(ERP資料!$G:$G, (MATCH(590, 輔助計算!$G$2:$G$801, 0)+1))&lt;=1181,2,1)))=2,TEXT(INDEX(ERP資料!$G:$G, (MATCH(590, 輔助計算!$G$2:$G$801, 0)+1)),"0.##")&amp;"+"&amp;TEXT(INDEX(ERP資料!$G:$G, (MATCH(590, 輔助計算!$G$2:$G$801, 0)+1)),"0.##"),TEXT(INDEX(ERP資料!$G:$G, (MATCH(590, 輔助計算!$G$2:$G$801, 0)+1)),"0.##")&amp;"+"&amp;TEXT(INDEX(ERP資料!$G:$G, (MATCH(590, 輔助計算!$G$2:$G$801, 0)+1)),"0.##")&amp;"+"&amp;TEXT(INDEX(ERP資料!$G:$G, (MATCH(590, 輔助計算!$G$2:$G$801, 0)+1)),"0.##")))&amp;"-"&amp;INT(INDEX(輔助計算!$D:$D, (MATCH(590, 輔助計算!$G$2:$G$801, 0)+1))/IF(INDEX(ERP資料!$G:$G, (MATCH(590, 輔助計算!$G$2:$G$801, 0)+1))&lt;100, IF(INDEX(ERP資料!$G:$G, (MATCH(590, 輔助計算!$G$2:$G$801, 0)+1))&lt;=31,3,IF(INDEX(ERP資料!$G:$G, (MATCH(590, 輔助計算!$G$2:$G$801, 0)+1))&lt;=46.5,2,1)), IF(INDEX(ERP資料!$G:$G, (MATCH(590, 輔助計算!$G$2:$G$801, 0)+1))&lt;=790,3,IF(INDEX(ERP資料!$G:$G, (MATCH(590, 輔助計算!$G$2:$G$801, 0)+1))&lt;=1181,2,1)))), "")&lt;&gt;"",IF(MOD(INDEX(輔助計算!$D:$D, (MATCH(590, 輔助計算!$G$2:$G$801, 0)+1)),IF(INDEX(ERP資料!$G:$G, (MATCH(590, 輔助計算!$G$2:$G$801, 0)+1))&lt;100, IF(INDEX(ERP資料!$G:$G, (MATCH(590, 輔助計算!$G$2:$G$801, 0)+1))&lt;=31,3,IF(INDEX(ERP資料!$G:$G, (MATCH(590, 輔助計算!$G$2:$G$801, 0)+1))&lt;=46.5,2,1)), IF(INDEX(ERP資料!$G:$G, (MATCH(590, 輔助計算!$G$2:$G$801, 0)+1))&lt;=790,3,IF(INDEX(ERP資料!$G:$G, (MATCH(590, 輔助計算!$G$2:$G$801, 0)+1))&lt;=1181,2,1))))=0,"",IF(MOD(INDEX(輔助計算!$D:$D, (MATCH(590, 輔助計算!$G$2:$G$801, 0)+1)),IF(INDEX(ERP資料!$G:$G, (MATCH(590, 輔助計算!$G$2:$G$801, 0)+1))&lt;100, IF(INDEX(ERP資料!$G:$G, (MATCH(590, 輔助計算!$G$2:$G$801, 0)+1))&lt;=31,3,IF(INDEX(ERP資料!$G:$G, (MATCH(590, 輔助計算!$G$2:$G$801, 0)+1))&lt;=46.5,2,1)), IF(INDEX(ERP資料!$G:$G, (MATCH(590, 輔助計算!$G$2:$G$801, 0)+1))&lt;=790,3,IF(INDEX(ERP資料!$G:$G, (MATCH(590, 輔助計算!$G$2:$G$801, 0)+1))&lt;=1181,2,1))))=0,"",IF(MOD(INDEX(輔助計算!$D:$D, (MATCH(590, 輔助計算!$G$2:$G$801, 0)+1)),IF(INDEX(ERP資料!$G:$G, (MATCH(590, 輔助計算!$G$2:$G$801, 0)+1))&lt;100, IF(INDEX(ERP資料!$G:$G, (MATCH(590, 輔助計算!$G$2:$G$801, 0)+1))&lt;=31,3,IF(INDEX(ERP資料!$G:$G, (MATCH(590, 輔助計算!$G$2:$G$801, 0)+1))&lt;=46.5,2,1)), IF(INDEX(ERP資料!$G:$G, (MATCH(590, 輔助計算!$G$2:$G$801, 0)+1))&lt;=790,3,IF(INDEX(ERP資料!$G:$G, (MATCH(590, 輔助計算!$G$2:$G$801, 0)+1))&lt;=1181,2,1))))=1,TEXT(INDEX(ERP資料!$G:$G, (MATCH(590, 輔助計算!$G$2:$G$801, 0)+1)),"0.##"),IF(MOD(INDEX(輔助計算!$D:$D, (MATCH(590, 輔助計算!$G$2:$G$801, 0)+1)),IF(INDEX(ERP資料!$G:$G, (MATCH(590, 輔助計算!$G$2:$G$801, 0)+1))&lt;100, IF(INDEX(ERP資料!$G:$G, (MATCH(590, 輔助計算!$G$2:$G$801, 0)+1))&lt;=31,3,IF(INDEX(ERP資料!$G:$G, (MATCH(590, 輔助計算!$G$2:$G$801, 0)+1))&lt;=46.5,2,1)), IF(INDEX(ERP資料!$G:$G, (MATCH(590, 輔助計算!$G$2:$G$801, 0)+1))&lt;=790,3,IF(INDEX(ERP資料!$G:$G, (MATCH(590, 輔助計算!$G$2:$G$801, 0)+1))&lt;=1181,2,1))))=2,TEXT(INDEX(ERP資料!$G:$G, (MATCH(590, 輔助計算!$G$2:$G$801, 0)+1)),"0.##")&amp;"+"&amp;TEXT(INDEX(ERP資料!$G:$G, (MATCH(590, 輔助計算!$G$2:$G$801, 0)+1)),"0.##"),TEXT(INDEX(ERP資料!$G:$G, (MATCH(590, 輔助計算!$G$2:$G$801, 0)+1)),"0.##")&amp;"+"&amp;TEXT(INDEX(ERP資料!$G:$G, (MATCH(590, 輔助計算!$G$2:$G$801, 0)+1)),"0.##")&amp;"+"&amp;TEXT(INDEX(ERP資料!$G:$G, (MATCH(590, 輔助計算!$G$2:$G$801, 0)+1)),"0.##"))))&amp;"-1")&lt;&gt;""),"  ","")&amp;IF(MOD(INDEX(輔助計算!$D:$D, (MATCH(590, 輔助計算!$G$2:$G$801, 0)+1)),IF(INDEX(ERP資料!$G:$G, (MATCH(590, 輔助計算!$G$2:$G$801, 0)+1))&lt;100, IF(INDEX(ERP資料!$G:$G, (MATCH(590, 輔助計算!$G$2:$G$801, 0)+1))&lt;=31,3,IF(INDEX(ERP資料!$G:$G, (MATCH(590, 輔助計算!$G$2:$G$801, 0)+1))&lt;=46.5,2,1)), IF(INDEX(ERP資料!$G:$G, (MATCH(590, 輔助計算!$G$2:$G$801, 0)+1))&lt;=790,3,IF(INDEX(ERP資料!$G:$G, (MATCH(590, 輔助計算!$G$2:$G$801, 0)+1))&lt;=1181,2,1))))=0,"",IF(MOD(INDEX(輔助計算!$D:$D, (MATCH(590, 輔助計算!$G$2:$G$801, 0)+1)),IF(INDEX(ERP資料!$G:$G, (MATCH(590, 輔助計算!$G$2:$G$801, 0)+1))&lt;100, IF(INDEX(ERP資料!$G:$G, (MATCH(590, 輔助計算!$G$2:$G$801, 0)+1))&lt;=31,3,IF(INDEX(ERP資料!$G:$G, (MATCH(590, 輔助計算!$G$2:$G$801, 0)+1))&lt;=46.5,2,1)), IF(INDEX(ERP資料!$G:$G, (MATCH(590, 輔助計算!$G$2:$G$801, 0)+1))&lt;=790,3,IF(INDEX(ERP資料!$G:$G, (MATCH(590, 輔助計算!$G$2:$G$801, 0)+1))&lt;=1181,2,1))))=0,"",IF(MOD(INDEX(輔助計算!$D:$D, (MATCH(590, 輔助計算!$G$2:$G$801, 0)+1)),IF(INDEX(ERP資料!$G:$G, (MATCH(590, 輔助計算!$G$2:$G$801, 0)+1))&lt;100, IF(INDEX(ERP資料!$G:$G, (MATCH(590, 輔助計算!$G$2:$G$801, 0)+1))&lt;=31,3,IF(INDEX(ERP資料!$G:$G, (MATCH(590, 輔助計算!$G$2:$G$801, 0)+1))&lt;=46.5,2,1)), IF(INDEX(ERP資料!$G:$G, (MATCH(590, 輔助計算!$G$2:$G$801, 0)+1))&lt;=790,3,IF(INDEX(ERP資料!$G:$G, (MATCH(590, 輔助計算!$G$2:$G$801, 0)+1))&lt;=1181,2,1))))=1,TEXT(INDEX(ERP資料!$G:$G, (MATCH(590, 輔助計算!$G$2:$G$801, 0)+1)),"0.##"),IF(MOD(INDEX(輔助計算!$D:$D, (MATCH(590, 輔助計算!$G$2:$G$801, 0)+1)),IF(INDEX(ERP資料!$G:$G, (MATCH(590, 輔助計算!$G$2:$G$801, 0)+1))&lt;100, IF(INDEX(ERP資料!$G:$G, (MATCH(590, 輔助計算!$G$2:$G$801, 0)+1))&lt;=31,3,IF(INDEX(ERP資料!$G:$G, (MATCH(590, 輔助計算!$G$2:$G$801, 0)+1))&lt;=46.5,2,1)), IF(INDEX(ERP資料!$G:$G, (MATCH(590, 輔助計算!$G$2:$G$801, 0)+1))&lt;=790,3,IF(INDEX(ERP資料!$G:$G, (MATCH(590, 輔助計算!$G$2:$G$801, 0)+1))&lt;=1181,2,1))))=2,TEXT(INDEX(ERP資料!$G:$G, (MATCH(590, 輔助計算!$G$2:$G$801, 0)+1)),"0.##")&amp;"+"&amp;TEXT(INDEX(ERP資料!$G:$G, (MATCH(590, 輔助計算!$G$2:$G$801, 0)+1)),"0.##"),TEXT(INDEX(ERP資料!$G:$G, (MATCH(590, 輔助計算!$G$2:$G$801, 0)+1)),"0.##")&amp;"+"&amp;TEXT(INDEX(ERP資料!$G:$G, (MATCH(590, 輔助計算!$G$2:$G$801, 0)+1)),"0.##")&amp;"+"&amp;TEXT(INDEX(ERP資料!$G:$G, (MATCH(590, 輔助計算!$G$2:$G$801, 0)+1)),"0.##"))))&amp;"-1")), ""), "")</f>
        <v/>
      </c>
      <c r="K591" s="16" t="n"/>
      <c r="L591" s="14">
        <f>IFERROR(IF(AND(IFERROR(INDEX(ERP資料!$A:$A, (MATCH(590, 輔助計算!$G$2:$G$801, 0)+1)), "")&lt;&gt;"", IFERROR(INDEX(ERP資料!$A:$A, (MATCH(590, 輔助計算!$G$2:$G$801, 0)+1)), "")&lt;&gt;IFERROR(INDEX(ERP資料!$A:$A, MATCH(589, 輔助計算!$G$2:$G$801, 0)+1), "")), INDEX(ERP資料!$B:$B, (MATCH(590, 輔助計算!$G$2:$G$801, 0)+1)), ""), "")</f>
        <v/>
      </c>
      <c r="M591" s="17" t="n"/>
    </row>
    <row r="592">
      <c r="A592" s="10">
        <f>IFERROR(IF(AND(IFERROR(INDEX(ERP資料!$A:$A, (MATCH(591, 輔助計算!$G$2:$G$801, 0)+1)), "")&lt;&gt;"", IFERROR(INDEX(ERP資料!$A:$A, (MATCH(591, 輔助計算!$G$2:$G$801, 0)+1)), "")&lt;&gt;IFERROR(INDEX(ERP資料!$A:$A, MATCH(590, 輔助計算!$G$2:$G$801, 0)+1), "")), IFERROR(INDEX(ERP資料!$A:$A, (MATCH(591, 輔助計算!$G$2:$G$801, 0)+1)), ""), ""), "")</f>
        <v/>
      </c>
      <c r="B592" s="10">
        <f>IFERROR(IF(AND(IFERROR(INDEX(ERP資料!$A:$A, (MATCH(591, 輔助計算!$G$2:$G$801, 0)+1)), "")&lt;&gt;"", IFERROR(INDEX(ERP資料!$A:$A, (MATCH(591, 輔助計算!$G$2:$G$801, 0)+1)), "")&lt;&gt;IFERROR(INDEX(ERP資料!$A:$A, MATCH(590, 輔助計算!$G$2:$G$801, 0)+1), "")), INDEX(ERP資料!$S:$S, (MATCH(591, 輔助計算!$G$2:$G$801, 0)+1)), ""), "")</f>
        <v/>
      </c>
      <c r="C592" s="19">
        <f>IFERROR(IF(AND(IFERROR(INDEX(ERP資料!$A:$A, (MATCH(591, 輔助計算!$G$2:$G$801, 0)+1)), "")&lt;&gt;"", IFERROR(INDEX(ERP資料!$A:$A, (MATCH(591, 輔助計算!$G$2:$G$801, 0)+1)), "")&lt;&gt;IFERROR(INDEX(ERP資料!$A:$A, MATCH(590, 輔助計算!$G$2:$G$801, 0)+1), "")), IFERROR(VLOOKUP(LEFT(INDEX(ERP資料!$S:$S, (MATCH(591, 輔助計算!$G$2:$G$801, 0)+1)), 4), 紙管對照表!$A:$C, 3, FALSE), ""), ""), "")</f>
        <v/>
      </c>
      <c r="D592" s="16" t="n"/>
      <c r="E592" s="10">
        <f>IFERROR(IF(INDEX(ERP資料!$H:$H, (MATCH(591, 輔助計算!$G$2:$G$801, 0)+1))="","",INDEX(ERP資料!$H:$H, (MATCH(591, 輔助計算!$G$2:$G$801, 0)+1))), "")</f>
        <v/>
      </c>
      <c r="F592" s="10">
        <f>IFERROR(IF(INDEX(ERP資料!$E:$E, (MATCH(591, 輔助計算!$G$2:$G$801, 0)+1))="","",TRIM(INDEX(ERP資料!$E:$E, (MATCH(591, 輔助計算!$G$2:$G$801, 0)+1)))), "")</f>
        <v/>
      </c>
      <c r="G592" s="10">
        <f>IFERROR(IF(INDEX(ERP資料!$F:$F, (MATCH(591, 輔助計算!$G$2:$G$801, 0)+1))="","",INDEX(ERP資料!$F:$F, (MATCH(591, 輔助計算!$G$2:$G$801, 0)+1))), "")</f>
        <v/>
      </c>
      <c r="H592" s="10">
        <f>IFERROR(IF(INDEX(ERP資料!$G:$G, (MATCH(591, 輔助計算!$G$2:$G$801, 0)+1))="","",INDEX(ERP資料!$G:$G, (MATCH(591, 輔助計算!$G$2:$G$801, 0)+1))), "")</f>
        <v/>
      </c>
      <c r="I592" s="15">
        <f>IFERROR(INDEX(輔助計算!$D:$D, (MATCH(591, 輔助計算!$G$2:$G$801, 0)+1)), "")</f>
        <v/>
      </c>
      <c r="J592" s="15">
        <f>IFERROR(IF(AND(INDEX(輔助計算!$D:$D, (MATCH(591, 輔助計算!$G$2:$G$801, 0)+1))&lt;&gt;"", INDEX(ERP資料!$G:$G, (MATCH(591, 輔助計算!$G$2:$G$801, 0)+1))&lt;&gt;""), TRIM(IF(INT(INDEX(輔助計算!$D:$D, (MATCH(591, 輔助計算!$G$2:$G$801, 0)+1))/IF(INDEX(ERP資料!$G:$G, (MATCH(591, 輔助計算!$G$2:$G$801, 0)+1))&lt;100, IF(INDEX(ERP資料!$G:$G, (MATCH(591, 輔助計算!$G$2:$G$801, 0)+1))&lt;=31,3,IF(INDEX(ERP資料!$G:$G, (MATCH(591, 輔助計算!$G$2:$G$801, 0)+1))&lt;=46.5,2,1)), IF(INDEX(ERP資料!$G:$G, (MATCH(591, 輔助計算!$G$2:$G$801, 0)+1))&lt;=790,3,IF(INDEX(ERP資料!$G:$G, (MATCH(591, 輔助計算!$G$2:$G$801, 0)+1))&lt;=1181,2,1))))&gt;0, IF(IF(INDEX(ERP資料!$G:$G, (MATCH(591, 輔助計算!$G$2:$G$801, 0)+1))&lt;100, IF(INDEX(ERP資料!$G:$G, (MATCH(591, 輔助計算!$G$2:$G$801, 0)+1))&lt;=31,3,IF(INDEX(ERP資料!$G:$G, (MATCH(591, 輔助計算!$G$2:$G$801, 0)+1))&lt;=46.5,2,1)), IF(INDEX(ERP資料!$G:$G, (MATCH(591, 輔助計算!$G$2:$G$801, 0)+1))&lt;=790,3,IF(INDEX(ERP資料!$G:$G, (MATCH(591, 輔助計算!$G$2:$G$801, 0)+1))&lt;=1181,2,1)))=1,TEXT(INDEX(ERP資料!$G:$G, (MATCH(591, 輔助計算!$G$2:$G$801, 0)+1)),"0.##"),IF(IF(INDEX(ERP資料!$G:$G, (MATCH(591, 輔助計算!$G$2:$G$801, 0)+1))&lt;100, IF(INDEX(ERP資料!$G:$G, (MATCH(591, 輔助計算!$G$2:$G$801, 0)+1))&lt;=31,3,IF(INDEX(ERP資料!$G:$G, (MATCH(591, 輔助計算!$G$2:$G$801, 0)+1))&lt;=46.5,2,1)), IF(INDEX(ERP資料!$G:$G, (MATCH(591, 輔助計算!$G$2:$G$801, 0)+1))&lt;=790,3,IF(INDEX(ERP資料!$G:$G, (MATCH(591, 輔助計算!$G$2:$G$801, 0)+1))&lt;=1181,2,1)))=2,TEXT(INDEX(ERP資料!$G:$G, (MATCH(591, 輔助計算!$G$2:$G$801, 0)+1)),"0.##")&amp;"+"&amp;TEXT(INDEX(ERP資料!$G:$G, (MATCH(591, 輔助計算!$G$2:$G$801, 0)+1)),"0.##"),TEXT(INDEX(ERP資料!$G:$G, (MATCH(591, 輔助計算!$G$2:$G$801, 0)+1)),"0.##")&amp;"+"&amp;TEXT(INDEX(ERP資料!$G:$G, (MATCH(591, 輔助計算!$G$2:$G$801, 0)+1)),"0.##")&amp;"+"&amp;TEXT(INDEX(ERP資料!$G:$G, (MATCH(591, 輔助計算!$G$2:$G$801, 0)+1)),"0.##")))&amp;"-"&amp;INT(INDEX(輔助計算!$D:$D, (MATCH(591, 輔助計算!$G$2:$G$801, 0)+1))/IF(INDEX(ERP資料!$G:$G, (MATCH(591, 輔助計算!$G$2:$G$801, 0)+1))&lt;100, IF(INDEX(ERP資料!$G:$G, (MATCH(591, 輔助計算!$G$2:$G$801, 0)+1))&lt;=31,3,IF(INDEX(ERP資料!$G:$G, (MATCH(591, 輔助計算!$G$2:$G$801, 0)+1))&lt;=46.5,2,1)), IF(INDEX(ERP資料!$G:$G, (MATCH(591, 輔助計算!$G$2:$G$801, 0)+1))&lt;=790,3,IF(INDEX(ERP資料!$G:$G, (MATCH(591, 輔助計算!$G$2:$G$801, 0)+1))&lt;=1181,2,1)))), "")&amp;IF(AND(IF(INT(INDEX(輔助計算!$D:$D, (MATCH(591, 輔助計算!$G$2:$G$801, 0)+1))/IF(INDEX(ERP資料!$G:$G, (MATCH(591, 輔助計算!$G$2:$G$801, 0)+1))&lt;100, IF(INDEX(ERP資料!$G:$G, (MATCH(591, 輔助計算!$G$2:$G$801, 0)+1))&lt;=31,3,IF(INDEX(ERP資料!$G:$G, (MATCH(591, 輔助計算!$G$2:$G$801, 0)+1))&lt;=46.5,2,1)), IF(INDEX(ERP資料!$G:$G, (MATCH(591, 輔助計算!$G$2:$G$801, 0)+1))&lt;=790,3,IF(INDEX(ERP資料!$G:$G, (MATCH(591, 輔助計算!$G$2:$G$801, 0)+1))&lt;=1181,2,1))))&gt;0, IF(IF(INDEX(ERP資料!$G:$G, (MATCH(591, 輔助計算!$G$2:$G$801, 0)+1))&lt;100, IF(INDEX(ERP資料!$G:$G, (MATCH(591, 輔助計算!$G$2:$G$801, 0)+1))&lt;=31,3,IF(INDEX(ERP資料!$G:$G, (MATCH(591, 輔助計算!$G$2:$G$801, 0)+1))&lt;=46.5,2,1)), IF(INDEX(ERP資料!$G:$G, (MATCH(591, 輔助計算!$G$2:$G$801, 0)+1))&lt;=790,3,IF(INDEX(ERP資料!$G:$G, (MATCH(591, 輔助計算!$G$2:$G$801, 0)+1))&lt;=1181,2,1)))=1,TEXT(INDEX(ERP資料!$G:$G, (MATCH(591, 輔助計算!$G$2:$G$801, 0)+1)),"0.##"),IF(IF(INDEX(ERP資料!$G:$G, (MATCH(591, 輔助計算!$G$2:$G$801, 0)+1))&lt;100, IF(INDEX(ERP資料!$G:$G, (MATCH(591, 輔助計算!$G$2:$G$801, 0)+1))&lt;=31,3,IF(INDEX(ERP資料!$G:$G, (MATCH(591, 輔助計算!$G$2:$G$801, 0)+1))&lt;=46.5,2,1)), IF(INDEX(ERP資料!$G:$G, (MATCH(591, 輔助計算!$G$2:$G$801, 0)+1))&lt;=790,3,IF(INDEX(ERP資料!$G:$G, (MATCH(591, 輔助計算!$G$2:$G$801, 0)+1))&lt;=1181,2,1)))=2,TEXT(INDEX(ERP資料!$G:$G, (MATCH(591, 輔助計算!$G$2:$G$801, 0)+1)),"0.##")&amp;"+"&amp;TEXT(INDEX(ERP資料!$G:$G, (MATCH(591, 輔助計算!$G$2:$G$801, 0)+1)),"0.##"),TEXT(INDEX(ERP資料!$G:$G, (MATCH(591, 輔助計算!$G$2:$G$801, 0)+1)),"0.##")&amp;"+"&amp;TEXT(INDEX(ERP資料!$G:$G, (MATCH(591, 輔助計算!$G$2:$G$801, 0)+1)),"0.##")&amp;"+"&amp;TEXT(INDEX(ERP資料!$G:$G, (MATCH(591, 輔助計算!$G$2:$G$801, 0)+1)),"0.##")))&amp;"-"&amp;INT(INDEX(輔助計算!$D:$D, (MATCH(591, 輔助計算!$G$2:$G$801, 0)+1))/IF(INDEX(ERP資料!$G:$G, (MATCH(591, 輔助計算!$G$2:$G$801, 0)+1))&lt;100, IF(INDEX(ERP資料!$G:$G, (MATCH(591, 輔助計算!$G$2:$G$801, 0)+1))&lt;=31,3,IF(INDEX(ERP資料!$G:$G, (MATCH(591, 輔助計算!$G$2:$G$801, 0)+1))&lt;=46.5,2,1)), IF(INDEX(ERP資料!$G:$G, (MATCH(591, 輔助計算!$G$2:$G$801, 0)+1))&lt;=790,3,IF(INDEX(ERP資料!$G:$G, (MATCH(591, 輔助計算!$G$2:$G$801, 0)+1))&lt;=1181,2,1)))), "")&lt;&gt;"",IF(MOD(INDEX(輔助計算!$D:$D, (MATCH(591, 輔助計算!$G$2:$G$801, 0)+1)),IF(INDEX(ERP資料!$G:$G, (MATCH(591, 輔助計算!$G$2:$G$801, 0)+1))&lt;100, IF(INDEX(ERP資料!$G:$G, (MATCH(591, 輔助計算!$G$2:$G$801, 0)+1))&lt;=31,3,IF(INDEX(ERP資料!$G:$G, (MATCH(591, 輔助計算!$G$2:$G$801, 0)+1))&lt;=46.5,2,1)), IF(INDEX(ERP資料!$G:$G, (MATCH(591, 輔助計算!$G$2:$G$801, 0)+1))&lt;=790,3,IF(INDEX(ERP資料!$G:$G, (MATCH(591, 輔助計算!$G$2:$G$801, 0)+1))&lt;=1181,2,1))))=0,"",IF(MOD(INDEX(輔助計算!$D:$D, (MATCH(591, 輔助計算!$G$2:$G$801, 0)+1)),IF(INDEX(ERP資料!$G:$G, (MATCH(591, 輔助計算!$G$2:$G$801, 0)+1))&lt;100, IF(INDEX(ERP資料!$G:$G, (MATCH(591, 輔助計算!$G$2:$G$801, 0)+1))&lt;=31,3,IF(INDEX(ERP資料!$G:$G, (MATCH(591, 輔助計算!$G$2:$G$801, 0)+1))&lt;=46.5,2,1)), IF(INDEX(ERP資料!$G:$G, (MATCH(591, 輔助計算!$G$2:$G$801, 0)+1))&lt;=790,3,IF(INDEX(ERP資料!$G:$G, (MATCH(591, 輔助計算!$G$2:$G$801, 0)+1))&lt;=1181,2,1))))=0,"",IF(MOD(INDEX(輔助計算!$D:$D, (MATCH(591, 輔助計算!$G$2:$G$801, 0)+1)),IF(INDEX(ERP資料!$G:$G, (MATCH(591, 輔助計算!$G$2:$G$801, 0)+1))&lt;100, IF(INDEX(ERP資料!$G:$G, (MATCH(591, 輔助計算!$G$2:$G$801, 0)+1))&lt;=31,3,IF(INDEX(ERP資料!$G:$G, (MATCH(591, 輔助計算!$G$2:$G$801, 0)+1))&lt;=46.5,2,1)), IF(INDEX(ERP資料!$G:$G, (MATCH(591, 輔助計算!$G$2:$G$801, 0)+1))&lt;=790,3,IF(INDEX(ERP資料!$G:$G, (MATCH(591, 輔助計算!$G$2:$G$801, 0)+1))&lt;=1181,2,1))))=1,TEXT(INDEX(ERP資料!$G:$G, (MATCH(591, 輔助計算!$G$2:$G$801, 0)+1)),"0.##"),IF(MOD(INDEX(輔助計算!$D:$D, (MATCH(591, 輔助計算!$G$2:$G$801, 0)+1)),IF(INDEX(ERP資料!$G:$G, (MATCH(591, 輔助計算!$G$2:$G$801, 0)+1))&lt;100, IF(INDEX(ERP資料!$G:$G, (MATCH(591, 輔助計算!$G$2:$G$801, 0)+1))&lt;=31,3,IF(INDEX(ERP資料!$G:$G, (MATCH(591, 輔助計算!$G$2:$G$801, 0)+1))&lt;=46.5,2,1)), IF(INDEX(ERP資料!$G:$G, (MATCH(591, 輔助計算!$G$2:$G$801, 0)+1))&lt;=790,3,IF(INDEX(ERP資料!$G:$G, (MATCH(591, 輔助計算!$G$2:$G$801, 0)+1))&lt;=1181,2,1))))=2,TEXT(INDEX(ERP資料!$G:$G, (MATCH(591, 輔助計算!$G$2:$G$801, 0)+1)),"0.##")&amp;"+"&amp;TEXT(INDEX(ERP資料!$G:$G, (MATCH(591, 輔助計算!$G$2:$G$801, 0)+1)),"0.##"),TEXT(INDEX(ERP資料!$G:$G, (MATCH(591, 輔助計算!$G$2:$G$801, 0)+1)),"0.##")&amp;"+"&amp;TEXT(INDEX(ERP資料!$G:$G, (MATCH(591, 輔助計算!$G$2:$G$801, 0)+1)),"0.##")&amp;"+"&amp;TEXT(INDEX(ERP資料!$G:$G, (MATCH(591, 輔助計算!$G$2:$G$801, 0)+1)),"0.##"))))&amp;"-1")&lt;&gt;""),"  ","")&amp;IF(MOD(INDEX(輔助計算!$D:$D, (MATCH(591, 輔助計算!$G$2:$G$801, 0)+1)),IF(INDEX(ERP資料!$G:$G, (MATCH(591, 輔助計算!$G$2:$G$801, 0)+1))&lt;100, IF(INDEX(ERP資料!$G:$G, (MATCH(591, 輔助計算!$G$2:$G$801, 0)+1))&lt;=31,3,IF(INDEX(ERP資料!$G:$G, (MATCH(591, 輔助計算!$G$2:$G$801, 0)+1))&lt;=46.5,2,1)), IF(INDEX(ERP資料!$G:$G, (MATCH(591, 輔助計算!$G$2:$G$801, 0)+1))&lt;=790,3,IF(INDEX(ERP資料!$G:$G, (MATCH(591, 輔助計算!$G$2:$G$801, 0)+1))&lt;=1181,2,1))))=0,"",IF(MOD(INDEX(輔助計算!$D:$D, (MATCH(591, 輔助計算!$G$2:$G$801, 0)+1)),IF(INDEX(ERP資料!$G:$G, (MATCH(591, 輔助計算!$G$2:$G$801, 0)+1))&lt;100, IF(INDEX(ERP資料!$G:$G, (MATCH(591, 輔助計算!$G$2:$G$801, 0)+1))&lt;=31,3,IF(INDEX(ERP資料!$G:$G, (MATCH(591, 輔助計算!$G$2:$G$801, 0)+1))&lt;=46.5,2,1)), IF(INDEX(ERP資料!$G:$G, (MATCH(591, 輔助計算!$G$2:$G$801, 0)+1))&lt;=790,3,IF(INDEX(ERP資料!$G:$G, (MATCH(591, 輔助計算!$G$2:$G$801, 0)+1))&lt;=1181,2,1))))=0,"",IF(MOD(INDEX(輔助計算!$D:$D, (MATCH(591, 輔助計算!$G$2:$G$801, 0)+1)),IF(INDEX(ERP資料!$G:$G, (MATCH(591, 輔助計算!$G$2:$G$801, 0)+1))&lt;100, IF(INDEX(ERP資料!$G:$G, (MATCH(591, 輔助計算!$G$2:$G$801, 0)+1))&lt;=31,3,IF(INDEX(ERP資料!$G:$G, (MATCH(591, 輔助計算!$G$2:$G$801, 0)+1))&lt;=46.5,2,1)), IF(INDEX(ERP資料!$G:$G, (MATCH(591, 輔助計算!$G$2:$G$801, 0)+1))&lt;=790,3,IF(INDEX(ERP資料!$G:$G, (MATCH(591, 輔助計算!$G$2:$G$801, 0)+1))&lt;=1181,2,1))))=1,TEXT(INDEX(ERP資料!$G:$G, (MATCH(591, 輔助計算!$G$2:$G$801, 0)+1)),"0.##"),IF(MOD(INDEX(輔助計算!$D:$D, (MATCH(591, 輔助計算!$G$2:$G$801, 0)+1)),IF(INDEX(ERP資料!$G:$G, (MATCH(591, 輔助計算!$G$2:$G$801, 0)+1))&lt;100, IF(INDEX(ERP資料!$G:$G, (MATCH(591, 輔助計算!$G$2:$G$801, 0)+1))&lt;=31,3,IF(INDEX(ERP資料!$G:$G, (MATCH(591, 輔助計算!$G$2:$G$801, 0)+1))&lt;=46.5,2,1)), IF(INDEX(ERP資料!$G:$G, (MATCH(591, 輔助計算!$G$2:$G$801, 0)+1))&lt;=790,3,IF(INDEX(ERP資料!$G:$G, (MATCH(591, 輔助計算!$G$2:$G$801, 0)+1))&lt;=1181,2,1))))=2,TEXT(INDEX(ERP資料!$G:$G, (MATCH(591, 輔助計算!$G$2:$G$801, 0)+1)),"0.##")&amp;"+"&amp;TEXT(INDEX(ERP資料!$G:$G, (MATCH(591, 輔助計算!$G$2:$G$801, 0)+1)),"0.##"),TEXT(INDEX(ERP資料!$G:$G, (MATCH(591, 輔助計算!$G$2:$G$801, 0)+1)),"0.##")&amp;"+"&amp;TEXT(INDEX(ERP資料!$G:$G, (MATCH(591, 輔助計算!$G$2:$G$801, 0)+1)),"0.##")&amp;"+"&amp;TEXT(INDEX(ERP資料!$G:$G, (MATCH(591, 輔助計算!$G$2:$G$801, 0)+1)),"0.##"))))&amp;"-1")), ""), "")</f>
        <v/>
      </c>
      <c r="K592" s="16" t="n"/>
      <c r="L592" s="14">
        <f>IFERROR(IF(AND(IFERROR(INDEX(ERP資料!$A:$A, (MATCH(591, 輔助計算!$G$2:$G$801, 0)+1)), "")&lt;&gt;"", IFERROR(INDEX(ERP資料!$A:$A, (MATCH(591, 輔助計算!$G$2:$G$801, 0)+1)), "")&lt;&gt;IFERROR(INDEX(ERP資料!$A:$A, MATCH(590, 輔助計算!$G$2:$G$801, 0)+1), "")), INDEX(ERP資料!$B:$B, (MATCH(591, 輔助計算!$G$2:$G$801, 0)+1)), ""), "")</f>
        <v/>
      </c>
      <c r="M592" s="17" t="n"/>
    </row>
    <row r="593">
      <c r="A593" s="10">
        <f>IFERROR(IF(AND(IFERROR(INDEX(ERP資料!$A:$A, (MATCH(592, 輔助計算!$G$2:$G$801, 0)+1)), "")&lt;&gt;"", IFERROR(INDEX(ERP資料!$A:$A, (MATCH(592, 輔助計算!$G$2:$G$801, 0)+1)), "")&lt;&gt;IFERROR(INDEX(ERP資料!$A:$A, MATCH(591, 輔助計算!$G$2:$G$801, 0)+1), "")), IFERROR(INDEX(ERP資料!$A:$A, (MATCH(592, 輔助計算!$G$2:$G$801, 0)+1)), ""), ""), "")</f>
        <v/>
      </c>
      <c r="B593" s="10">
        <f>IFERROR(IF(AND(IFERROR(INDEX(ERP資料!$A:$A, (MATCH(592, 輔助計算!$G$2:$G$801, 0)+1)), "")&lt;&gt;"", IFERROR(INDEX(ERP資料!$A:$A, (MATCH(592, 輔助計算!$G$2:$G$801, 0)+1)), "")&lt;&gt;IFERROR(INDEX(ERP資料!$A:$A, MATCH(591, 輔助計算!$G$2:$G$801, 0)+1), "")), INDEX(ERP資料!$S:$S, (MATCH(592, 輔助計算!$G$2:$G$801, 0)+1)), ""), "")</f>
        <v/>
      </c>
      <c r="C593" s="19">
        <f>IFERROR(IF(AND(IFERROR(INDEX(ERP資料!$A:$A, (MATCH(592, 輔助計算!$G$2:$G$801, 0)+1)), "")&lt;&gt;"", IFERROR(INDEX(ERP資料!$A:$A, (MATCH(592, 輔助計算!$G$2:$G$801, 0)+1)), "")&lt;&gt;IFERROR(INDEX(ERP資料!$A:$A, MATCH(591, 輔助計算!$G$2:$G$801, 0)+1), "")), IFERROR(VLOOKUP(LEFT(INDEX(ERP資料!$S:$S, (MATCH(592, 輔助計算!$G$2:$G$801, 0)+1)), 4), 紙管對照表!$A:$C, 3, FALSE), ""), ""), "")</f>
        <v/>
      </c>
      <c r="D593" s="16" t="n"/>
      <c r="E593" s="10">
        <f>IFERROR(IF(INDEX(ERP資料!$H:$H, (MATCH(592, 輔助計算!$G$2:$G$801, 0)+1))="","",INDEX(ERP資料!$H:$H, (MATCH(592, 輔助計算!$G$2:$G$801, 0)+1))), "")</f>
        <v/>
      </c>
      <c r="F593" s="10">
        <f>IFERROR(IF(INDEX(ERP資料!$E:$E, (MATCH(592, 輔助計算!$G$2:$G$801, 0)+1))="","",TRIM(INDEX(ERP資料!$E:$E, (MATCH(592, 輔助計算!$G$2:$G$801, 0)+1)))), "")</f>
        <v/>
      </c>
      <c r="G593" s="10">
        <f>IFERROR(IF(INDEX(ERP資料!$F:$F, (MATCH(592, 輔助計算!$G$2:$G$801, 0)+1))="","",INDEX(ERP資料!$F:$F, (MATCH(592, 輔助計算!$G$2:$G$801, 0)+1))), "")</f>
        <v/>
      </c>
      <c r="H593" s="10">
        <f>IFERROR(IF(INDEX(ERP資料!$G:$G, (MATCH(592, 輔助計算!$G$2:$G$801, 0)+1))="","",INDEX(ERP資料!$G:$G, (MATCH(592, 輔助計算!$G$2:$G$801, 0)+1))), "")</f>
        <v/>
      </c>
      <c r="I593" s="15">
        <f>IFERROR(INDEX(輔助計算!$D:$D, (MATCH(592, 輔助計算!$G$2:$G$801, 0)+1)), "")</f>
        <v/>
      </c>
      <c r="J593" s="15">
        <f>IFERROR(IF(AND(INDEX(輔助計算!$D:$D, (MATCH(592, 輔助計算!$G$2:$G$801, 0)+1))&lt;&gt;"", INDEX(ERP資料!$G:$G, (MATCH(592, 輔助計算!$G$2:$G$801, 0)+1))&lt;&gt;""), TRIM(IF(INT(INDEX(輔助計算!$D:$D, (MATCH(592, 輔助計算!$G$2:$G$801, 0)+1))/IF(INDEX(ERP資料!$G:$G, (MATCH(592, 輔助計算!$G$2:$G$801, 0)+1))&lt;100, IF(INDEX(ERP資料!$G:$G, (MATCH(592, 輔助計算!$G$2:$G$801, 0)+1))&lt;=31,3,IF(INDEX(ERP資料!$G:$G, (MATCH(592, 輔助計算!$G$2:$G$801, 0)+1))&lt;=46.5,2,1)), IF(INDEX(ERP資料!$G:$G, (MATCH(592, 輔助計算!$G$2:$G$801, 0)+1))&lt;=790,3,IF(INDEX(ERP資料!$G:$G, (MATCH(592, 輔助計算!$G$2:$G$801, 0)+1))&lt;=1181,2,1))))&gt;0, IF(IF(INDEX(ERP資料!$G:$G, (MATCH(592, 輔助計算!$G$2:$G$801, 0)+1))&lt;100, IF(INDEX(ERP資料!$G:$G, (MATCH(592, 輔助計算!$G$2:$G$801, 0)+1))&lt;=31,3,IF(INDEX(ERP資料!$G:$G, (MATCH(592, 輔助計算!$G$2:$G$801, 0)+1))&lt;=46.5,2,1)), IF(INDEX(ERP資料!$G:$G, (MATCH(592, 輔助計算!$G$2:$G$801, 0)+1))&lt;=790,3,IF(INDEX(ERP資料!$G:$G, (MATCH(592, 輔助計算!$G$2:$G$801, 0)+1))&lt;=1181,2,1)))=1,TEXT(INDEX(ERP資料!$G:$G, (MATCH(592, 輔助計算!$G$2:$G$801, 0)+1)),"0.##"),IF(IF(INDEX(ERP資料!$G:$G, (MATCH(592, 輔助計算!$G$2:$G$801, 0)+1))&lt;100, IF(INDEX(ERP資料!$G:$G, (MATCH(592, 輔助計算!$G$2:$G$801, 0)+1))&lt;=31,3,IF(INDEX(ERP資料!$G:$G, (MATCH(592, 輔助計算!$G$2:$G$801, 0)+1))&lt;=46.5,2,1)), IF(INDEX(ERP資料!$G:$G, (MATCH(592, 輔助計算!$G$2:$G$801, 0)+1))&lt;=790,3,IF(INDEX(ERP資料!$G:$G, (MATCH(592, 輔助計算!$G$2:$G$801, 0)+1))&lt;=1181,2,1)))=2,TEXT(INDEX(ERP資料!$G:$G, (MATCH(592, 輔助計算!$G$2:$G$801, 0)+1)),"0.##")&amp;"+"&amp;TEXT(INDEX(ERP資料!$G:$G, (MATCH(592, 輔助計算!$G$2:$G$801, 0)+1)),"0.##"),TEXT(INDEX(ERP資料!$G:$G, (MATCH(592, 輔助計算!$G$2:$G$801, 0)+1)),"0.##")&amp;"+"&amp;TEXT(INDEX(ERP資料!$G:$G, (MATCH(592, 輔助計算!$G$2:$G$801, 0)+1)),"0.##")&amp;"+"&amp;TEXT(INDEX(ERP資料!$G:$G, (MATCH(592, 輔助計算!$G$2:$G$801, 0)+1)),"0.##")))&amp;"-"&amp;INT(INDEX(輔助計算!$D:$D, (MATCH(592, 輔助計算!$G$2:$G$801, 0)+1))/IF(INDEX(ERP資料!$G:$G, (MATCH(592, 輔助計算!$G$2:$G$801, 0)+1))&lt;100, IF(INDEX(ERP資料!$G:$G, (MATCH(592, 輔助計算!$G$2:$G$801, 0)+1))&lt;=31,3,IF(INDEX(ERP資料!$G:$G, (MATCH(592, 輔助計算!$G$2:$G$801, 0)+1))&lt;=46.5,2,1)), IF(INDEX(ERP資料!$G:$G, (MATCH(592, 輔助計算!$G$2:$G$801, 0)+1))&lt;=790,3,IF(INDEX(ERP資料!$G:$G, (MATCH(592, 輔助計算!$G$2:$G$801, 0)+1))&lt;=1181,2,1)))), "")&amp;IF(AND(IF(INT(INDEX(輔助計算!$D:$D, (MATCH(592, 輔助計算!$G$2:$G$801, 0)+1))/IF(INDEX(ERP資料!$G:$G, (MATCH(592, 輔助計算!$G$2:$G$801, 0)+1))&lt;100, IF(INDEX(ERP資料!$G:$G, (MATCH(592, 輔助計算!$G$2:$G$801, 0)+1))&lt;=31,3,IF(INDEX(ERP資料!$G:$G, (MATCH(592, 輔助計算!$G$2:$G$801, 0)+1))&lt;=46.5,2,1)), IF(INDEX(ERP資料!$G:$G, (MATCH(592, 輔助計算!$G$2:$G$801, 0)+1))&lt;=790,3,IF(INDEX(ERP資料!$G:$G, (MATCH(592, 輔助計算!$G$2:$G$801, 0)+1))&lt;=1181,2,1))))&gt;0, IF(IF(INDEX(ERP資料!$G:$G, (MATCH(592, 輔助計算!$G$2:$G$801, 0)+1))&lt;100, IF(INDEX(ERP資料!$G:$G, (MATCH(592, 輔助計算!$G$2:$G$801, 0)+1))&lt;=31,3,IF(INDEX(ERP資料!$G:$G, (MATCH(592, 輔助計算!$G$2:$G$801, 0)+1))&lt;=46.5,2,1)), IF(INDEX(ERP資料!$G:$G, (MATCH(592, 輔助計算!$G$2:$G$801, 0)+1))&lt;=790,3,IF(INDEX(ERP資料!$G:$G, (MATCH(592, 輔助計算!$G$2:$G$801, 0)+1))&lt;=1181,2,1)))=1,TEXT(INDEX(ERP資料!$G:$G, (MATCH(592, 輔助計算!$G$2:$G$801, 0)+1)),"0.##"),IF(IF(INDEX(ERP資料!$G:$G, (MATCH(592, 輔助計算!$G$2:$G$801, 0)+1))&lt;100, IF(INDEX(ERP資料!$G:$G, (MATCH(592, 輔助計算!$G$2:$G$801, 0)+1))&lt;=31,3,IF(INDEX(ERP資料!$G:$G, (MATCH(592, 輔助計算!$G$2:$G$801, 0)+1))&lt;=46.5,2,1)), IF(INDEX(ERP資料!$G:$G, (MATCH(592, 輔助計算!$G$2:$G$801, 0)+1))&lt;=790,3,IF(INDEX(ERP資料!$G:$G, (MATCH(592, 輔助計算!$G$2:$G$801, 0)+1))&lt;=1181,2,1)))=2,TEXT(INDEX(ERP資料!$G:$G, (MATCH(592, 輔助計算!$G$2:$G$801, 0)+1)),"0.##")&amp;"+"&amp;TEXT(INDEX(ERP資料!$G:$G, (MATCH(592, 輔助計算!$G$2:$G$801, 0)+1)),"0.##"),TEXT(INDEX(ERP資料!$G:$G, (MATCH(592, 輔助計算!$G$2:$G$801, 0)+1)),"0.##")&amp;"+"&amp;TEXT(INDEX(ERP資料!$G:$G, (MATCH(592, 輔助計算!$G$2:$G$801, 0)+1)),"0.##")&amp;"+"&amp;TEXT(INDEX(ERP資料!$G:$G, (MATCH(592, 輔助計算!$G$2:$G$801, 0)+1)),"0.##")))&amp;"-"&amp;INT(INDEX(輔助計算!$D:$D, (MATCH(592, 輔助計算!$G$2:$G$801, 0)+1))/IF(INDEX(ERP資料!$G:$G, (MATCH(592, 輔助計算!$G$2:$G$801, 0)+1))&lt;100, IF(INDEX(ERP資料!$G:$G, (MATCH(592, 輔助計算!$G$2:$G$801, 0)+1))&lt;=31,3,IF(INDEX(ERP資料!$G:$G, (MATCH(592, 輔助計算!$G$2:$G$801, 0)+1))&lt;=46.5,2,1)), IF(INDEX(ERP資料!$G:$G, (MATCH(592, 輔助計算!$G$2:$G$801, 0)+1))&lt;=790,3,IF(INDEX(ERP資料!$G:$G, (MATCH(592, 輔助計算!$G$2:$G$801, 0)+1))&lt;=1181,2,1)))), "")&lt;&gt;"",IF(MOD(INDEX(輔助計算!$D:$D, (MATCH(592, 輔助計算!$G$2:$G$801, 0)+1)),IF(INDEX(ERP資料!$G:$G, (MATCH(592, 輔助計算!$G$2:$G$801, 0)+1))&lt;100, IF(INDEX(ERP資料!$G:$G, (MATCH(592, 輔助計算!$G$2:$G$801, 0)+1))&lt;=31,3,IF(INDEX(ERP資料!$G:$G, (MATCH(592, 輔助計算!$G$2:$G$801, 0)+1))&lt;=46.5,2,1)), IF(INDEX(ERP資料!$G:$G, (MATCH(592, 輔助計算!$G$2:$G$801, 0)+1))&lt;=790,3,IF(INDEX(ERP資料!$G:$G, (MATCH(592, 輔助計算!$G$2:$G$801, 0)+1))&lt;=1181,2,1))))=0,"",IF(MOD(INDEX(輔助計算!$D:$D, (MATCH(592, 輔助計算!$G$2:$G$801, 0)+1)),IF(INDEX(ERP資料!$G:$G, (MATCH(592, 輔助計算!$G$2:$G$801, 0)+1))&lt;100, IF(INDEX(ERP資料!$G:$G, (MATCH(592, 輔助計算!$G$2:$G$801, 0)+1))&lt;=31,3,IF(INDEX(ERP資料!$G:$G, (MATCH(592, 輔助計算!$G$2:$G$801, 0)+1))&lt;=46.5,2,1)), IF(INDEX(ERP資料!$G:$G, (MATCH(592, 輔助計算!$G$2:$G$801, 0)+1))&lt;=790,3,IF(INDEX(ERP資料!$G:$G, (MATCH(592, 輔助計算!$G$2:$G$801, 0)+1))&lt;=1181,2,1))))=0,"",IF(MOD(INDEX(輔助計算!$D:$D, (MATCH(592, 輔助計算!$G$2:$G$801, 0)+1)),IF(INDEX(ERP資料!$G:$G, (MATCH(592, 輔助計算!$G$2:$G$801, 0)+1))&lt;100, IF(INDEX(ERP資料!$G:$G, (MATCH(592, 輔助計算!$G$2:$G$801, 0)+1))&lt;=31,3,IF(INDEX(ERP資料!$G:$G, (MATCH(592, 輔助計算!$G$2:$G$801, 0)+1))&lt;=46.5,2,1)), IF(INDEX(ERP資料!$G:$G, (MATCH(592, 輔助計算!$G$2:$G$801, 0)+1))&lt;=790,3,IF(INDEX(ERP資料!$G:$G, (MATCH(592, 輔助計算!$G$2:$G$801, 0)+1))&lt;=1181,2,1))))=1,TEXT(INDEX(ERP資料!$G:$G, (MATCH(592, 輔助計算!$G$2:$G$801, 0)+1)),"0.##"),IF(MOD(INDEX(輔助計算!$D:$D, (MATCH(592, 輔助計算!$G$2:$G$801, 0)+1)),IF(INDEX(ERP資料!$G:$G, (MATCH(592, 輔助計算!$G$2:$G$801, 0)+1))&lt;100, IF(INDEX(ERP資料!$G:$G, (MATCH(592, 輔助計算!$G$2:$G$801, 0)+1))&lt;=31,3,IF(INDEX(ERP資料!$G:$G, (MATCH(592, 輔助計算!$G$2:$G$801, 0)+1))&lt;=46.5,2,1)), IF(INDEX(ERP資料!$G:$G, (MATCH(592, 輔助計算!$G$2:$G$801, 0)+1))&lt;=790,3,IF(INDEX(ERP資料!$G:$G, (MATCH(592, 輔助計算!$G$2:$G$801, 0)+1))&lt;=1181,2,1))))=2,TEXT(INDEX(ERP資料!$G:$G, (MATCH(592, 輔助計算!$G$2:$G$801, 0)+1)),"0.##")&amp;"+"&amp;TEXT(INDEX(ERP資料!$G:$G, (MATCH(592, 輔助計算!$G$2:$G$801, 0)+1)),"0.##"),TEXT(INDEX(ERP資料!$G:$G, (MATCH(592, 輔助計算!$G$2:$G$801, 0)+1)),"0.##")&amp;"+"&amp;TEXT(INDEX(ERP資料!$G:$G, (MATCH(592, 輔助計算!$G$2:$G$801, 0)+1)),"0.##")&amp;"+"&amp;TEXT(INDEX(ERP資料!$G:$G, (MATCH(592, 輔助計算!$G$2:$G$801, 0)+1)),"0.##"))))&amp;"-1")&lt;&gt;""),"  ","")&amp;IF(MOD(INDEX(輔助計算!$D:$D, (MATCH(592, 輔助計算!$G$2:$G$801, 0)+1)),IF(INDEX(ERP資料!$G:$G, (MATCH(592, 輔助計算!$G$2:$G$801, 0)+1))&lt;100, IF(INDEX(ERP資料!$G:$G, (MATCH(592, 輔助計算!$G$2:$G$801, 0)+1))&lt;=31,3,IF(INDEX(ERP資料!$G:$G, (MATCH(592, 輔助計算!$G$2:$G$801, 0)+1))&lt;=46.5,2,1)), IF(INDEX(ERP資料!$G:$G, (MATCH(592, 輔助計算!$G$2:$G$801, 0)+1))&lt;=790,3,IF(INDEX(ERP資料!$G:$G, (MATCH(592, 輔助計算!$G$2:$G$801, 0)+1))&lt;=1181,2,1))))=0,"",IF(MOD(INDEX(輔助計算!$D:$D, (MATCH(592, 輔助計算!$G$2:$G$801, 0)+1)),IF(INDEX(ERP資料!$G:$G, (MATCH(592, 輔助計算!$G$2:$G$801, 0)+1))&lt;100, IF(INDEX(ERP資料!$G:$G, (MATCH(592, 輔助計算!$G$2:$G$801, 0)+1))&lt;=31,3,IF(INDEX(ERP資料!$G:$G, (MATCH(592, 輔助計算!$G$2:$G$801, 0)+1))&lt;=46.5,2,1)), IF(INDEX(ERP資料!$G:$G, (MATCH(592, 輔助計算!$G$2:$G$801, 0)+1))&lt;=790,3,IF(INDEX(ERP資料!$G:$G, (MATCH(592, 輔助計算!$G$2:$G$801, 0)+1))&lt;=1181,2,1))))=0,"",IF(MOD(INDEX(輔助計算!$D:$D, (MATCH(592, 輔助計算!$G$2:$G$801, 0)+1)),IF(INDEX(ERP資料!$G:$G, (MATCH(592, 輔助計算!$G$2:$G$801, 0)+1))&lt;100, IF(INDEX(ERP資料!$G:$G, (MATCH(592, 輔助計算!$G$2:$G$801, 0)+1))&lt;=31,3,IF(INDEX(ERP資料!$G:$G, (MATCH(592, 輔助計算!$G$2:$G$801, 0)+1))&lt;=46.5,2,1)), IF(INDEX(ERP資料!$G:$G, (MATCH(592, 輔助計算!$G$2:$G$801, 0)+1))&lt;=790,3,IF(INDEX(ERP資料!$G:$G, (MATCH(592, 輔助計算!$G$2:$G$801, 0)+1))&lt;=1181,2,1))))=1,TEXT(INDEX(ERP資料!$G:$G, (MATCH(592, 輔助計算!$G$2:$G$801, 0)+1)),"0.##"),IF(MOD(INDEX(輔助計算!$D:$D, (MATCH(592, 輔助計算!$G$2:$G$801, 0)+1)),IF(INDEX(ERP資料!$G:$G, (MATCH(592, 輔助計算!$G$2:$G$801, 0)+1))&lt;100, IF(INDEX(ERP資料!$G:$G, (MATCH(592, 輔助計算!$G$2:$G$801, 0)+1))&lt;=31,3,IF(INDEX(ERP資料!$G:$G, (MATCH(592, 輔助計算!$G$2:$G$801, 0)+1))&lt;=46.5,2,1)), IF(INDEX(ERP資料!$G:$G, (MATCH(592, 輔助計算!$G$2:$G$801, 0)+1))&lt;=790,3,IF(INDEX(ERP資料!$G:$G, (MATCH(592, 輔助計算!$G$2:$G$801, 0)+1))&lt;=1181,2,1))))=2,TEXT(INDEX(ERP資料!$G:$G, (MATCH(592, 輔助計算!$G$2:$G$801, 0)+1)),"0.##")&amp;"+"&amp;TEXT(INDEX(ERP資料!$G:$G, (MATCH(592, 輔助計算!$G$2:$G$801, 0)+1)),"0.##"),TEXT(INDEX(ERP資料!$G:$G, (MATCH(592, 輔助計算!$G$2:$G$801, 0)+1)),"0.##")&amp;"+"&amp;TEXT(INDEX(ERP資料!$G:$G, (MATCH(592, 輔助計算!$G$2:$G$801, 0)+1)),"0.##")&amp;"+"&amp;TEXT(INDEX(ERP資料!$G:$G, (MATCH(592, 輔助計算!$G$2:$G$801, 0)+1)),"0.##"))))&amp;"-1")), ""), "")</f>
        <v/>
      </c>
      <c r="K593" s="16" t="n"/>
      <c r="L593" s="14">
        <f>IFERROR(IF(AND(IFERROR(INDEX(ERP資料!$A:$A, (MATCH(592, 輔助計算!$G$2:$G$801, 0)+1)), "")&lt;&gt;"", IFERROR(INDEX(ERP資料!$A:$A, (MATCH(592, 輔助計算!$G$2:$G$801, 0)+1)), "")&lt;&gt;IFERROR(INDEX(ERP資料!$A:$A, MATCH(591, 輔助計算!$G$2:$G$801, 0)+1), "")), INDEX(ERP資料!$B:$B, (MATCH(592, 輔助計算!$G$2:$G$801, 0)+1)), ""), "")</f>
        <v/>
      </c>
      <c r="M593" s="17" t="n"/>
    </row>
    <row r="594">
      <c r="A594" s="10">
        <f>IFERROR(IF(AND(IFERROR(INDEX(ERP資料!$A:$A, (MATCH(593, 輔助計算!$G$2:$G$801, 0)+1)), "")&lt;&gt;"", IFERROR(INDEX(ERP資料!$A:$A, (MATCH(593, 輔助計算!$G$2:$G$801, 0)+1)), "")&lt;&gt;IFERROR(INDEX(ERP資料!$A:$A, MATCH(592, 輔助計算!$G$2:$G$801, 0)+1), "")), IFERROR(INDEX(ERP資料!$A:$A, (MATCH(593, 輔助計算!$G$2:$G$801, 0)+1)), ""), ""), "")</f>
        <v/>
      </c>
      <c r="B594" s="10">
        <f>IFERROR(IF(AND(IFERROR(INDEX(ERP資料!$A:$A, (MATCH(593, 輔助計算!$G$2:$G$801, 0)+1)), "")&lt;&gt;"", IFERROR(INDEX(ERP資料!$A:$A, (MATCH(593, 輔助計算!$G$2:$G$801, 0)+1)), "")&lt;&gt;IFERROR(INDEX(ERP資料!$A:$A, MATCH(592, 輔助計算!$G$2:$G$801, 0)+1), "")), INDEX(ERP資料!$S:$S, (MATCH(593, 輔助計算!$G$2:$G$801, 0)+1)), ""), "")</f>
        <v/>
      </c>
      <c r="C594" s="19">
        <f>IFERROR(IF(AND(IFERROR(INDEX(ERP資料!$A:$A, (MATCH(593, 輔助計算!$G$2:$G$801, 0)+1)), "")&lt;&gt;"", IFERROR(INDEX(ERP資料!$A:$A, (MATCH(593, 輔助計算!$G$2:$G$801, 0)+1)), "")&lt;&gt;IFERROR(INDEX(ERP資料!$A:$A, MATCH(592, 輔助計算!$G$2:$G$801, 0)+1), "")), IFERROR(VLOOKUP(LEFT(INDEX(ERP資料!$S:$S, (MATCH(593, 輔助計算!$G$2:$G$801, 0)+1)), 4), 紙管對照表!$A:$C, 3, FALSE), ""), ""), "")</f>
        <v/>
      </c>
      <c r="D594" s="16" t="n"/>
      <c r="E594" s="10">
        <f>IFERROR(IF(INDEX(ERP資料!$H:$H, (MATCH(593, 輔助計算!$G$2:$G$801, 0)+1))="","",INDEX(ERP資料!$H:$H, (MATCH(593, 輔助計算!$G$2:$G$801, 0)+1))), "")</f>
        <v/>
      </c>
      <c r="F594" s="10">
        <f>IFERROR(IF(INDEX(ERP資料!$E:$E, (MATCH(593, 輔助計算!$G$2:$G$801, 0)+1))="","",TRIM(INDEX(ERP資料!$E:$E, (MATCH(593, 輔助計算!$G$2:$G$801, 0)+1)))), "")</f>
        <v/>
      </c>
      <c r="G594" s="10">
        <f>IFERROR(IF(INDEX(ERP資料!$F:$F, (MATCH(593, 輔助計算!$G$2:$G$801, 0)+1))="","",INDEX(ERP資料!$F:$F, (MATCH(593, 輔助計算!$G$2:$G$801, 0)+1))), "")</f>
        <v/>
      </c>
      <c r="H594" s="10">
        <f>IFERROR(IF(INDEX(ERP資料!$G:$G, (MATCH(593, 輔助計算!$G$2:$G$801, 0)+1))="","",INDEX(ERP資料!$G:$G, (MATCH(593, 輔助計算!$G$2:$G$801, 0)+1))), "")</f>
        <v/>
      </c>
      <c r="I594" s="15">
        <f>IFERROR(INDEX(輔助計算!$D:$D, (MATCH(593, 輔助計算!$G$2:$G$801, 0)+1)), "")</f>
        <v/>
      </c>
      <c r="J594" s="15">
        <f>IFERROR(IF(AND(INDEX(輔助計算!$D:$D, (MATCH(593, 輔助計算!$G$2:$G$801, 0)+1))&lt;&gt;"", INDEX(ERP資料!$G:$G, (MATCH(593, 輔助計算!$G$2:$G$801, 0)+1))&lt;&gt;""), TRIM(IF(INT(INDEX(輔助計算!$D:$D, (MATCH(593, 輔助計算!$G$2:$G$801, 0)+1))/IF(INDEX(ERP資料!$G:$G, (MATCH(593, 輔助計算!$G$2:$G$801, 0)+1))&lt;100, IF(INDEX(ERP資料!$G:$G, (MATCH(593, 輔助計算!$G$2:$G$801, 0)+1))&lt;=31,3,IF(INDEX(ERP資料!$G:$G, (MATCH(593, 輔助計算!$G$2:$G$801, 0)+1))&lt;=46.5,2,1)), IF(INDEX(ERP資料!$G:$G, (MATCH(593, 輔助計算!$G$2:$G$801, 0)+1))&lt;=790,3,IF(INDEX(ERP資料!$G:$G, (MATCH(593, 輔助計算!$G$2:$G$801, 0)+1))&lt;=1181,2,1))))&gt;0, IF(IF(INDEX(ERP資料!$G:$G, (MATCH(593, 輔助計算!$G$2:$G$801, 0)+1))&lt;100, IF(INDEX(ERP資料!$G:$G, (MATCH(593, 輔助計算!$G$2:$G$801, 0)+1))&lt;=31,3,IF(INDEX(ERP資料!$G:$G, (MATCH(593, 輔助計算!$G$2:$G$801, 0)+1))&lt;=46.5,2,1)), IF(INDEX(ERP資料!$G:$G, (MATCH(593, 輔助計算!$G$2:$G$801, 0)+1))&lt;=790,3,IF(INDEX(ERP資料!$G:$G, (MATCH(593, 輔助計算!$G$2:$G$801, 0)+1))&lt;=1181,2,1)))=1,TEXT(INDEX(ERP資料!$G:$G, (MATCH(593, 輔助計算!$G$2:$G$801, 0)+1)),"0.##"),IF(IF(INDEX(ERP資料!$G:$G, (MATCH(593, 輔助計算!$G$2:$G$801, 0)+1))&lt;100, IF(INDEX(ERP資料!$G:$G, (MATCH(593, 輔助計算!$G$2:$G$801, 0)+1))&lt;=31,3,IF(INDEX(ERP資料!$G:$G, (MATCH(593, 輔助計算!$G$2:$G$801, 0)+1))&lt;=46.5,2,1)), IF(INDEX(ERP資料!$G:$G, (MATCH(593, 輔助計算!$G$2:$G$801, 0)+1))&lt;=790,3,IF(INDEX(ERP資料!$G:$G, (MATCH(593, 輔助計算!$G$2:$G$801, 0)+1))&lt;=1181,2,1)))=2,TEXT(INDEX(ERP資料!$G:$G, (MATCH(593, 輔助計算!$G$2:$G$801, 0)+1)),"0.##")&amp;"+"&amp;TEXT(INDEX(ERP資料!$G:$G, (MATCH(593, 輔助計算!$G$2:$G$801, 0)+1)),"0.##"),TEXT(INDEX(ERP資料!$G:$G, (MATCH(593, 輔助計算!$G$2:$G$801, 0)+1)),"0.##")&amp;"+"&amp;TEXT(INDEX(ERP資料!$G:$G, (MATCH(593, 輔助計算!$G$2:$G$801, 0)+1)),"0.##")&amp;"+"&amp;TEXT(INDEX(ERP資料!$G:$G, (MATCH(593, 輔助計算!$G$2:$G$801, 0)+1)),"0.##")))&amp;"-"&amp;INT(INDEX(輔助計算!$D:$D, (MATCH(593, 輔助計算!$G$2:$G$801, 0)+1))/IF(INDEX(ERP資料!$G:$G, (MATCH(593, 輔助計算!$G$2:$G$801, 0)+1))&lt;100, IF(INDEX(ERP資料!$G:$G, (MATCH(593, 輔助計算!$G$2:$G$801, 0)+1))&lt;=31,3,IF(INDEX(ERP資料!$G:$G, (MATCH(593, 輔助計算!$G$2:$G$801, 0)+1))&lt;=46.5,2,1)), IF(INDEX(ERP資料!$G:$G, (MATCH(593, 輔助計算!$G$2:$G$801, 0)+1))&lt;=790,3,IF(INDEX(ERP資料!$G:$G, (MATCH(593, 輔助計算!$G$2:$G$801, 0)+1))&lt;=1181,2,1)))), "")&amp;IF(AND(IF(INT(INDEX(輔助計算!$D:$D, (MATCH(593, 輔助計算!$G$2:$G$801, 0)+1))/IF(INDEX(ERP資料!$G:$G, (MATCH(593, 輔助計算!$G$2:$G$801, 0)+1))&lt;100, IF(INDEX(ERP資料!$G:$G, (MATCH(593, 輔助計算!$G$2:$G$801, 0)+1))&lt;=31,3,IF(INDEX(ERP資料!$G:$G, (MATCH(593, 輔助計算!$G$2:$G$801, 0)+1))&lt;=46.5,2,1)), IF(INDEX(ERP資料!$G:$G, (MATCH(593, 輔助計算!$G$2:$G$801, 0)+1))&lt;=790,3,IF(INDEX(ERP資料!$G:$G, (MATCH(593, 輔助計算!$G$2:$G$801, 0)+1))&lt;=1181,2,1))))&gt;0, IF(IF(INDEX(ERP資料!$G:$G, (MATCH(593, 輔助計算!$G$2:$G$801, 0)+1))&lt;100, IF(INDEX(ERP資料!$G:$G, (MATCH(593, 輔助計算!$G$2:$G$801, 0)+1))&lt;=31,3,IF(INDEX(ERP資料!$G:$G, (MATCH(593, 輔助計算!$G$2:$G$801, 0)+1))&lt;=46.5,2,1)), IF(INDEX(ERP資料!$G:$G, (MATCH(593, 輔助計算!$G$2:$G$801, 0)+1))&lt;=790,3,IF(INDEX(ERP資料!$G:$G, (MATCH(593, 輔助計算!$G$2:$G$801, 0)+1))&lt;=1181,2,1)))=1,TEXT(INDEX(ERP資料!$G:$G, (MATCH(593, 輔助計算!$G$2:$G$801, 0)+1)),"0.##"),IF(IF(INDEX(ERP資料!$G:$G, (MATCH(593, 輔助計算!$G$2:$G$801, 0)+1))&lt;100, IF(INDEX(ERP資料!$G:$G, (MATCH(593, 輔助計算!$G$2:$G$801, 0)+1))&lt;=31,3,IF(INDEX(ERP資料!$G:$G, (MATCH(593, 輔助計算!$G$2:$G$801, 0)+1))&lt;=46.5,2,1)), IF(INDEX(ERP資料!$G:$G, (MATCH(593, 輔助計算!$G$2:$G$801, 0)+1))&lt;=790,3,IF(INDEX(ERP資料!$G:$G, (MATCH(593, 輔助計算!$G$2:$G$801, 0)+1))&lt;=1181,2,1)))=2,TEXT(INDEX(ERP資料!$G:$G, (MATCH(593, 輔助計算!$G$2:$G$801, 0)+1)),"0.##")&amp;"+"&amp;TEXT(INDEX(ERP資料!$G:$G, (MATCH(593, 輔助計算!$G$2:$G$801, 0)+1)),"0.##"),TEXT(INDEX(ERP資料!$G:$G, (MATCH(593, 輔助計算!$G$2:$G$801, 0)+1)),"0.##")&amp;"+"&amp;TEXT(INDEX(ERP資料!$G:$G, (MATCH(593, 輔助計算!$G$2:$G$801, 0)+1)),"0.##")&amp;"+"&amp;TEXT(INDEX(ERP資料!$G:$G, (MATCH(593, 輔助計算!$G$2:$G$801, 0)+1)),"0.##")))&amp;"-"&amp;INT(INDEX(輔助計算!$D:$D, (MATCH(593, 輔助計算!$G$2:$G$801, 0)+1))/IF(INDEX(ERP資料!$G:$G, (MATCH(593, 輔助計算!$G$2:$G$801, 0)+1))&lt;100, IF(INDEX(ERP資料!$G:$G, (MATCH(593, 輔助計算!$G$2:$G$801, 0)+1))&lt;=31,3,IF(INDEX(ERP資料!$G:$G, (MATCH(593, 輔助計算!$G$2:$G$801, 0)+1))&lt;=46.5,2,1)), IF(INDEX(ERP資料!$G:$G, (MATCH(593, 輔助計算!$G$2:$G$801, 0)+1))&lt;=790,3,IF(INDEX(ERP資料!$G:$G, (MATCH(593, 輔助計算!$G$2:$G$801, 0)+1))&lt;=1181,2,1)))), "")&lt;&gt;"",IF(MOD(INDEX(輔助計算!$D:$D, (MATCH(593, 輔助計算!$G$2:$G$801, 0)+1)),IF(INDEX(ERP資料!$G:$G, (MATCH(593, 輔助計算!$G$2:$G$801, 0)+1))&lt;100, IF(INDEX(ERP資料!$G:$G, (MATCH(593, 輔助計算!$G$2:$G$801, 0)+1))&lt;=31,3,IF(INDEX(ERP資料!$G:$G, (MATCH(593, 輔助計算!$G$2:$G$801, 0)+1))&lt;=46.5,2,1)), IF(INDEX(ERP資料!$G:$G, (MATCH(593, 輔助計算!$G$2:$G$801, 0)+1))&lt;=790,3,IF(INDEX(ERP資料!$G:$G, (MATCH(593, 輔助計算!$G$2:$G$801, 0)+1))&lt;=1181,2,1))))=0,"",IF(MOD(INDEX(輔助計算!$D:$D, (MATCH(593, 輔助計算!$G$2:$G$801, 0)+1)),IF(INDEX(ERP資料!$G:$G, (MATCH(593, 輔助計算!$G$2:$G$801, 0)+1))&lt;100, IF(INDEX(ERP資料!$G:$G, (MATCH(593, 輔助計算!$G$2:$G$801, 0)+1))&lt;=31,3,IF(INDEX(ERP資料!$G:$G, (MATCH(593, 輔助計算!$G$2:$G$801, 0)+1))&lt;=46.5,2,1)), IF(INDEX(ERP資料!$G:$G, (MATCH(593, 輔助計算!$G$2:$G$801, 0)+1))&lt;=790,3,IF(INDEX(ERP資料!$G:$G, (MATCH(593, 輔助計算!$G$2:$G$801, 0)+1))&lt;=1181,2,1))))=0,"",IF(MOD(INDEX(輔助計算!$D:$D, (MATCH(593, 輔助計算!$G$2:$G$801, 0)+1)),IF(INDEX(ERP資料!$G:$G, (MATCH(593, 輔助計算!$G$2:$G$801, 0)+1))&lt;100, IF(INDEX(ERP資料!$G:$G, (MATCH(593, 輔助計算!$G$2:$G$801, 0)+1))&lt;=31,3,IF(INDEX(ERP資料!$G:$G, (MATCH(593, 輔助計算!$G$2:$G$801, 0)+1))&lt;=46.5,2,1)), IF(INDEX(ERP資料!$G:$G, (MATCH(593, 輔助計算!$G$2:$G$801, 0)+1))&lt;=790,3,IF(INDEX(ERP資料!$G:$G, (MATCH(593, 輔助計算!$G$2:$G$801, 0)+1))&lt;=1181,2,1))))=1,TEXT(INDEX(ERP資料!$G:$G, (MATCH(593, 輔助計算!$G$2:$G$801, 0)+1)),"0.##"),IF(MOD(INDEX(輔助計算!$D:$D, (MATCH(593, 輔助計算!$G$2:$G$801, 0)+1)),IF(INDEX(ERP資料!$G:$G, (MATCH(593, 輔助計算!$G$2:$G$801, 0)+1))&lt;100, IF(INDEX(ERP資料!$G:$G, (MATCH(593, 輔助計算!$G$2:$G$801, 0)+1))&lt;=31,3,IF(INDEX(ERP資料!$G:$G, (MATCH(593, 輔助計算!$G$2:$G$801, 0)+1))&lt;=46.5,2,1)), IF(INDEX(ERP資料!$G:$G, (MATCH(593, 輔助計算!$G$2:$G$801, 0)+1))&lt;=790,3,IF(INDEX(ERP資料!$G:$G, (MATCH(593, 輔助計算!$G$2:$G$801, 0)+1))&lt;=1181,2,1))))=2,TEXT(INDEX(ERP資料!$G:$G, (MATCH(593, 輔助計算!$G$2:$G$801, 0)+1)),"0.##")&amp;"+"&amp;TEXT(INDEX(ERP資料!$G:$G, (MATCH(593, 輔助計算!$G$2:$G$801, 0)+1)),"0.##"),TEXT(INDEX(ERP資料!$G:$G, (MATCH(593, 輔助計算!$G$2:$G$801, 0)+1)),"0.##")&amp;"+"&amp;TEXT(INDEX(ERP資料!$G:$G, (MATCH(593, 輔助計算!$G$2:$G$801, 0)+1)),"0.##")&amp;"+"&amp;TEXT(INDEX(ERP資料!$G:$G, (MATCH(593, 輔助計算!$G$2:$G$801, 0)+1)),"0.##"))))&amp;"-1")&lt;&gt;""),"  ","")&amp;IF(MOD(INDEX(輔助計算!$D:$D, (MATCH(593, 輔助計算!$G$2:$G$801, 0)+1)),IF(INDEX(ERP資料!$G:$G, (MATCH(593, 輔助計算!$G$2:$G$801, 0)+1))&lt;100, IF(INDEX(ERP資料!$G:$G, (MATCH(593, 輔助計算!$G$2:$G$801, 0)+1))&lt;=31,3,IF(INDEX(ERP資料!$G:$G, (MATCH(593, 輔助計算!$G$2:$G$801, 0)+1))&lt;=46.5,2,1)), IF(INDEX(ERP資料!$G:$G, (MATCH(593, 輔助計算!$G$2:$G$801, 0)+1))&lt;=790,3,IF(INDEX(ERP資料!$G:$G, (MATCH(593, 輔助計算!$G$2:$G$801, 0)+1))&lt;=1181,2,1))))=0,"",IF(MOD(INDEX(輔助計算!$D:$D, (MATCH(593, 輔助計算!$G$2:$G$801, 0)+1)),IF(INDEX(ERP資料!$G:$G, (MATCH(593, 輔助計算!$G$2:$G$801, 0)+1))&lt;100, IF(INDEX(ERP資料!$G:$G, (MATCH(593, 輔助計算!$G$2:$G$801, 0)+1))&lt;=31,3,IF(INDEX(ERP資料!$G:$G, (MATCH(593, 輔助計算!$G$2:$G$801, 0)+1))&lt;=46.5,2,1)), IF(INDEX(ERP資料!$G:$G, (MATCH(593, 輔助計算!$G$2:$G$801, 0)+1))&lt;=790,3,IF(INDEX(ERP資料!$G:$G, (MATCH(593, 輔助計算!$G$2:$G$801, 0)+1))&lt;=1181,2,1))))=0,"",IF(MOD(INDEX(輔助計算!$D:$D, (MATCH(593, 輔助計算!$G$2:$G$801, 0)+1)),IF(INDEX(ERP資料!$G:$G, (MATCH(593, 輔助計算!$G$2:$G$801, 0)+1))&lt;100, IF(INDEX(ERP資料!$G:$G, (MATCH(593, 輔助計算!$G$2:$G$801, 0)+1))&lt;=31,3,IF(INDEX(ERP資料!$G:$G, (MATCH(593, 輔助計算!$G$2:$G$801, 0)+1))&lt;=46.5,2,1)), IF(INDEX(ERP資料!$G:$G, (MATCH(593, 輔助計算!$G$2:$G$801, 0)+1))&lt;=790,3,IF(INDEX(ERP資料!$G:$G, (MATCH(593, 輔助計算!$G$2:$G$801, 0)+1))&lt;=1181,2,1))))=1,TEXT(INDEX(ERP資料!$G:$G, (MATCH(593, 輔助計算!$G$2:$G$801, 0)+1)),"0.##"),IF(MOD(INDEX(輔助計算!$D:$D, (MATCH(593, 輔助計算!$G$2:$G$801, 0)+1)),IF(INDEX(ERP資料!$G:$G, (MATCH(593, 輔助計算!$G$2:$G$801, 0)+1))&lt;100, IF(INDEX(ERP資料!$G:$G, (MATCH(593, 輔助計算!$G$2:$G$801, 0)+1))&lt;=31,3,IF(INDEX(ERP資料!$G:$G, (MATCH(593, 輔助計算!$G$2:$G$801, 0)+1))&lt;=46.5,2,1)), IF(INDEX(ERP資料!$G:$G, (MATCH(593, 輔助計算!$G$2:$G$801, 0)+1))&lt;=790,3,IF(INDEX(ERP資料!$G:$G, (MATCH(593, 輔助計算!$G$2:$G$801, 0)+1))&lt;=1181,2,1))))=2,TEXT(INDEX(ERP資料!$G:$G, (MATCH(593, 輔助計算!$G$2:$G$801, 0)+1)),"0.##")&amp;"+"&amp;TEXT(INDEX(ERP資料!$G:$G, (MATCH(593, 輔助計算!$G$2:$G$801, 0)+1)),"0.##"),TEXT(INDEX(ERP資料!$G:$G, (MATCH(593, 輔助計算!$G$2:$G$801, 0)+1)),"0.##")&amp;"+"&amp;TEXT(INDEX(ERP資料!$G:$G, (MATCH(593, 輔助計算!$G$2:$G$801, 0)+1)),"0.##")&amp;"+"&amp;TEXT(INDEX(ERP資料!$G:$G, (MATCH(593, 輔助計算!$G$2:$G$801, 0)+1)),"0.##"))))&amp;"-1")), ""), "")</f>
        <v/>
      </c>
      <c r="K594" s="16" t="n"/>
      <c r="L594" s="14">
        <f>IFERROR(IF(AND(IFERROR(INDEX(ERP資料!$A:$A, (MATCH(593, 輔助計算!$G$2:$G$801, 0)+1)), "")&lt;&gt;"", IFERROR(INDEX(ERP資料!$A:$A, (MATCH(593, 輔助計算!$G$2:$G$801, 0)+1)), "")&lt;&gt;IFERROR(INDEX(ERP資料!$A:$A, MATCH(592, 輔助計算!$G$2:$G$801, 0)+1), "")), INDEX(ERP資料!$B:$B, (MATCH(593, 輔助計算!$G$2:$G$801, 0)+1)), ""), "")</f>
        <v/>
      </c>
      <c r="M594" s="17" t="n"/>
    </row>
    <row r="595">
      <c r="A595" s="10">
        <f>IFERROR(IF(AND(IFERROR(INDEX(ERP資料!$A:$A, (MATCH(594, 輔助計算!$G$2:$G$801, 0)+1)), "")&lt;&gt;"", IFERROR(INDEX(ERP資料!$A:$A, (MATCH(594, 輔助計算!$G$2:$G$801, 0)+1)), "")&lt;&gt;IFERROR(INDEX(ERP資料!$A:$A, MATCH(593, 輔助計算!$G$2:$G$801, 0)+1), "")), IFERROR(INDEX(ERP資料!$A:$A, (MATCH(594, 輔助計算!$G$2:$G$801, 0)+1)), ""), ""), "")</f>
        <v/>
      </c>
      <c r="B595" s="10">
        <f>IFERROR(IF(AND(IFERROR(INDEX(ERP資料!$A:$A, (MATCH(594, 輔助計算!$G$2:$G$801, 0)+1)), "")&lt;&gt;"", IFERROR(INDEX(ERP資料!$A:$A, (MATCH(594, 輔助計算!$G$2:$G$801, 0)+1)), "")&lt;&gt;IFERROR(INDEX(ERP資料!$A:$A, MATCH(593, 輔助計算!$G$2:$G$801, 0)+1), "")), INDEX(ERP資料!$S:$S, (MATCH(594, 輔助計算!$G$2:$G$801, 0)+1)), ""), "")</f>
        <v/>
      </c>
      <c r="C595" s="19">
        <f>IFERROR(IF(AND(IFERROR(INDEX(ERP資料!$A:$A, (MATCH(594, 輔助計算!$G$2:$G$801, 0)+1)), "")&lt;&gt;"", IFERROR(INDEX(ERP資料!$A:$A, (MATCH(594, 輔助計算!$G$2:$G$801, 0)+1)), "")&lt;&gt;IFERROR(INDEX(ERP資料!$A:$A, MATCH(593, 輔助計算!$G$2:$G$801, 0)+1), "")), IFERROR(VLOOKUP(LEFT(INDEX(ERP資料!$S:$S, (MATCH(594, 輔助計算!$G$2:$G$801, 0)+1)), 4), 紙管對照表!$A:$C, 3, FALSE), ""), ""), "")</f>
        <v/>
      </c>
      <c r="D595" s="16" t="n"/>
      <c r="E595" s="10">
        <f>IFERROR(IF(INDEX(ERP資料!$H:$H, (MATCH(594, 輔助計算!$G$2:$G$801, 0)+1))="","",INDEX(ERP資料!$H:$H, (MATCH(594, 輔助計算!$G$2:$G$801, 0)+1))), "")</f>
        <v/>
      </c>
      <c r="F595" s="10">
        <f>IFERROR(IF(INDEX(ERP資料!$E:$E, (MATCH(594, 輔助計算!$G$2:$G$801, 0)+1))="","",TRIM(INDEX(ERP資料!$E:$E, (MATCH(594, 輔助計算!$G$2:$G$801, 0)+1)))), "")</f>
        <v/>
      </c>
      <c r="G595" s="10">
        <f>IFERROR(IF(INDEX(ERP資料!$F:$F, (MATCH(594, 輔助計算!$G$2:$G$801, 0)+1))="","",INDEX(ERP資料!$F:$F, (MATCH(594, 輔助計算!$G$2:$G$801, 0)+1))), "")</f>
        <v/>
      </c>
      <c r="H595" s="10">
        <f>IFERROR(IF(INDEX(ERP資料!$G:$G, (MATCH(594, 輔助計算!$G$2:$G$801, 0)+1))="","",INDEX(ERP資料!$G:$G, (MATCH(594, 輔助計算!$G$2:$G$801, 0)+1))), "")</f>
        <v/>
      </c>
      <c r="I595" s="15">
        <f>IFERROR(INDEX(輔助計算!$D:$D, (MATCH(594, 輔助計算!$G$2:$G$801, 0)+1)), "")</f>
        <v/>
      </c>
      <c r="J595" s="15">
        <f>IFERROR(IF(AND(INDEX(輔助計算!$D:$D, (MATCH(594, 輔助計算!$G$2:$G$801, 0)+1))&lt;&gt;"", INDEX(ERP資料!$G:$G, (MATCH(594, 輔助計算!$G$2:$G$801, 0)+1))&lt;&gt;""), TRIM(IF(INT(INDEX(輔助計算!$D:$D, (MATCH(594, 輔助計算!$G$2:$G$801, 0)+1))/IF(INDEX(ERP資料!$G:$G, (MATCH(594, 輔助計算!$G$2:$G$801, 0)+1))&lt;100, IF(INDEX(ERP資料!$G:$G, (MATCH(594, 輔助計算!$G$2:$G$801, 0)+1))&lt;=31,3,IF(INDEX(ERP資料!$G:$G, (MATCH(594, 輔助計算!$G$2:$G$801, 0)+1))&lt;=46.5,2,1)), IF(INDEX(ERP資料!$G:$G, (MATCH(594, 輔助計算!$G$2:$G$801, 0)+1))&lt;=790,3,IF(INDEX(ERP資料!$G:$G, (MATCH(594, 輔助計算!$G$2:$G$801, 0)+1))&lt;=1181,2,1))))&gt;0, IF(IF(INDEX(ERP資料!$G:$G, (MATCH(594, 輔助計算!$G$2:$G$801, 0)+1))&lt;100, IF(INDEX(ERP資料!$G:$G, (MATCH(594, 輔助計算!$G$2:$G$801, 0)+1))&lt;=31,3,IF(INDEX(ERP資料!$G:$G, (MATCH(594, 輔助計算!$G$2:$G$801, 0)+1))&lt;=46.5,2,1)), IF(INDEX(ERP資料!$G:$G, (MATCH(594, 輔助計算!$G$2:$G$801, 0)+1))&lt;=790,3,IF(INDEX(ERP資料!$G:$G, (MATCH(594, 輔助計算!$G$2:$G$801, 0)+1))&lt;=1181,2,1)))=1,TEXT(INDEX(ERP資料!$G:$G, (MATCH(594, 輔助計算!$G$2:$G$801, 0)+1)),"0.##"),IF(IF(INDEX(ERP資料!$G:$G, (MATCH(594, 輔助計算!$G$2:$G$801, 0)+1))&lt;100, IF(INDEX(ERP資料!$G:$G, (MATCH(594, 輔助計算!$G$2:$G$801, 0)+1))&lt;=31,3,IF(INDEX(ERP資料!$G:$G, (MATCH(594, 輔助計算!$G$2:$G$801, 0)+1))&lt;=46.5,2,1)), IF(INDEX(ERP資料!$G:$G, (MATCH(594, 輔助計算!$G$2:$G$801, 0)+1))&lt;=790,3,IF(INDEX(ERP資料!$G:$G, (MATCH(594, 輔助計算!$G$2:$G$801, 0)+1))&lt;=1181,2,1)))=2,TEXT(INDEX(ERP資料!$G:$G, (MATCH(594, 輔助計算!$G$2:$G$801, 0)+1)),"0.##")&amp;"+"&amp;TEXT(INDEX(ERP資料!$G:$G, (MATCH(594, 輔助計算!$G$2:$G$801, 0)+1)),"0.##"),TEXT(INDEX(ERP資料!$G:$G, (MATCH(594, 輔助計算!$G$2:$G$801, 0)+1)),"0.##")&amp;"+"&amp;TEXT(INDEX(ERP資料!$G:$G, (MATCH(594, 輔助計算!$G$2:$G$801, 0)+1)),"0.##")&amp;"+"&amp;TEXT(INDEX(ERP資料!$G:$G, (MATCH(594, 輔助計算!$G$2:$G$801, 0)+1)),"0.##")))&amp;"-"&amp;INT(INDEX(輔助計算!$D:$D, (MATCH(594, 輔助計算!$G$2:$G$801, 0)+1))/IF(INDEX(ERP資料!$G:$G, (MATCH(594, 輔助計算!$G$2:$G$801, 0)+1))&lt;100, IF(INDEX(ERP資料!$G:$G, (MATCH(594, 輔助計算!$G$2:$G$801, 0)+1))&lt;=31,3,IF(INDEX(ERP資料!$G:$G, (MATCH(594, 輔助計算!$G$2:$G$801, 0)+1))&lt;=46.5,2,1)), IF(INDEX(ERP資料!$G:$G, (MATCH(594, 輔助計算!$G$2:$G$801, 0)+1))&lt;=790,3,IF(INDEX(ERP資料!$G:$G, (MATCH(594, 輔助計算!$G$2:$G$801, 0)+1))&lt;=1181,2,1)))), "")&amp;IF(AND(IF(INT(INDEX(輔助計算!$D:$D, (MATCH(594, 輔助計算!$G$2:$G$801, 0)+1))/IF(INDEX(ERP資料!$G:$G, (MATCH(594, 輔助計算!$G$2:$G$801, 0)+1))&lt;100, IF(INDEX(ERP資料!$G:$G, (MATCH(594, 輔助計算!$G$2:$G$801, 0)+1))&lt;=31,3,IF(INDEX(ERP資料!$G:$G, (MATCH(594, 輔助計算!$G$2:$G$801, 0)+1))&lt;=46.5,2,1)), IF(INDEX(ERP資料!$G:$G, (MATCH(594, 輔助計算!$G$2:$G$801, 0)+1))&lt;=790,3,IF(INDEX(ERP資料!$G:$G, (MATCH(594, 輔助計算!$G$2:$G$801, 0)+1))&lt;=1181,2,1))))&gt;0, IF(IF(INDEX(ERP資料!$G:$G, (MATCH(594, 輔助計算!$G$2:$G$801, 0)+1))&lt;100, IF(INDEX(ERP資料!$G:$G, (MATCH(594, 輔助計算!$G$2:$G$801, 0)+1))&lt;=31,3,IF(INDEX(ERP資料!$G:$G, (MATCH(594, 輔助計算!$G$2:$G$801, 0)+1))&lt;=46.5,2,1)), IF(INDEX(ERP資料!$G:$G, (MATCH(594, 輔助計算!$G$2:$G$801, 0)+1))&lt;=790,3,IF(INDEX(ERP資料!$G:$G, (MATCH(594, 輔助計算!$G$2:$G$801, 0)+1))&lt;=1181,2,1)))=1,TEXT(INDEX(ERP資料!$G:$G, (MATCH(594, 輔助計算!$G$2:$G$801, 0)+1)),"0.##"),IF(IF(INDEX(ERP資料!$G:$G, (MATCH(594, 輔助計算!$G$2:$G$801, 0)+1))&lt;100, IF(INDEX(ERP資料!$G:$G, (MATCH(594, 輔助計算!$G$2:$G$801, 0)+1))&lt;=31,3,IF(INDEX(ERP資料!$G:$G, (MATCH(594, 輔助計算!$G$2:$G$801, 0)+1))&lt;=46.5,2,1)), IF(INDEX(ERP資料!$G:$G, (MATCH(594, 輔助計算!$G$2:$G$801, 0)+1))&lt;=790,3,IF(INDEX(ERP資料!$G:$G, (MATCH(594, 輔助計算!$G$2:$G$801, 0)+1))&lt;=1181,2,1)))=2,TEXT(INDEX(ERP資料!$G:$G, (MATCH(594, 輔助計算!$G$2:$G$801, 0)+1)),"0.##")&amp;"+"&amp;TEXT(INDEX(ERP資料!$G:$G, (MATCH(594, 輔助計算!$G$2:$G$801, 0)+1)),"0.##"),TEXT(INDEX(ERP資料!$G:$G, (MATCH(594, 輔助計算!$G$2:$G$801, 0)+1)),"0.##")&amp;"+"&amp;TEXT(INDEX(ERP資料!$G:$G, (MATCH(594, 輔助計算!$G$2:$G$801, 0)+1)),"0.##")&amp;"+"&amp;TEXT(INDEX(ERP資料!$G:$G, (MATCH(594, 輔助計算!$G$2:$G$801, 0)+1)),"0.##")))&amp;"-"&amp;INT(INDEX(輔助計算!$D:$D, (MATCH(594, 輔助計算!$G$2:$G$801, 0)+1))/IF(INDEX(ERP資料!$G:$G, (MATCH(594, 輔助計算!$G$2:$G$801, 0)+1))&lt;100, IF(INDEX(ERP資料!$G:$G, (MATCH(594, 輔助計算!$G$2:$G$801, 0)+1))&lt;=31,3,IF(INDEX(ERP資料!$G:$G, (MATCH(594, 輔助計算!$G$2:$G$801, 0)+1))&lt;=46.5,2,1)), IF(INDEX(ERP資料!$G:$G, (MATCH(594, 輔助計算!$G$2:$G$801, 0)+1))&lt;=790,3,IF(INDEX(ERP資料!$G:$G, (MATCH(594, 輔助計算!$G$2:$G$801, 0)+1))&lt;=1181,2,1)))), "")&lt;&gt;"",IF(MOD(INDEX(輔助計算!$D:$D, (MATCH(594, 輔助計算!$G$2:$G$801, 0)+1)),IF(INDEX(ERP資料!$G:$G, (MATCH(594, 輔助計算!$G$2:$G$801, 0)+1))&lt;100, IF(INDEX(ERP資料!$G:$G, (MATCH(594, 輔助計算!$G$2:$G$801, 0)+1))&lt;=31,3,IF(INDEX(ERP資料!$G:$G, (MATCH(594, 輔助計算!$G$2:$G$801, 0)+1))&lt;=46.5,2,1)), IF(INDEX(ERP資料!$G:$G, (MATCH(594, 輔助計算!$G$2:$G$801, 0)+1))&lt;=790,3,IF(INDEX(ERP資料!$G:$G, (MATCH(594, 輔助計算!$G$2:$G$801, 0)+1))&lt;=1181,2,1))))=0,"",IF(MOD(INDEX(輔助計算!$D:$D, (MATCH(594, 輔助計算!$G$2:$G$801, 0)+1)),IF(INDEX(ERP資料!$G:$G, (MATCH(594, 輔助計算!$G$2:$G$801, 0)+1))&lt;100, IF(INDEX(ERP資料!$G:$G, (MATCH(594, 輔助計算!$G$2:$G$801, 0)+1))&lt;=31,3,IF(INDEX(ERP資料!$G:$G, (MATCH(594, 輔助計算!$G$2:$G$801, 0)+1))&lt;=46.5,2,1)), IF(INDEX(ERP資料!$G:$G, (MATCH(594, 輔助計算!$G$2:$G$801, 0)+1))&lt;=790,3,IF(INDEX(ERP資料!$G:$G, (MATCH(594, 輔助計算!$G$2:$G$801, 0)+1))&lt;=1181,2,1))))=0,"",IF(MOD(INDEX(輔助計算!$D:$D, (MATCH(594, 輔助計算!$G$2:$G$801, 0)+1)),IF(INDEX(ERP資料!$G:$G, (MATCH(594, 輔助計算!$G$2:$G$801, 0)+1))&lt;100, IF(INDEX(ERP資料!$G:$G, (MATCH(594, 輔助計算!$G$2:$G$801, 0)+1))&lt;=31,3,IF(INDEX(ERP資料!$G:$G, (MATCH(594, 輔助計算!$G$2:$G$801, 0)+1))&lt;=46.5,2,1)), IF(INDEX(ERP資料!$G:$G, (MATCH(594, 輔助計算!$G$2:$G$801, 0)+1))&lt;=790,3,IF(INDEX(ERP資料!$G:$G, (MATCH(594, 輔助計算!$G$2:$G$801, 0)+1))&lt;=1181,2,1))))=1,TEXT(INDEX(ERP資料!$G:$G, (MATCH(594, 輔助計算!$G$2:$G$801, 0)+1)),"0.##"),IF(MOD(INDEX(輔助計算!$D:$D, (MATCH(594, 輔助計算!$G$2:$G$801, 0)+1)),IF(INDEX(ERP資料!$G:$G, (MATCH(594, 輔助計算!$G$2:$G$801, 0)+1))&lt;100, IF(INDEX(ERP資料!$G:$G, (MATCH(594, 輔助計算!$G$2:$G$801, 0)+1))&lt;=31,3,IF(INDEX(ERP資料!$G:$G, (MATCH(594, 輔助計算!$G$2:$G$801, 0)+1))&lt;=46.5,2,1)), IF(INDEX(ERP資料!$G:$G, (MATCH(594, 輔助計算!$G$2:$G$801, 0)+1))&lt;=790,3,IF(INDEX(ERP資料!$G:$G, (MATCH(594, 輔助計算!$G$2:$G$801, 0)+1))&lt;=1181,2,1))))=2,TEXT(INDEX(ERP資料!$G:$G, (MATCH(594, 輔助計算!$G$2:$G$801, 0)+1)),"0.##")&amp;"+"&amp;TEXT(INDEX(ERP資料!$G:$G, (MATCH(594, 輔助計算!$G$2:$G$801, 0)+1)),"0.##"),TEXT(INDEX(ERP資料!$G:$G, (MATCH(594, 輔助計算!$G$2:$G$801, 0)+1)),"0.##")&amp;"+"&amp;TEXT(INDEX(ERP資料!$G:$G, (MATCH(594, 輔助計算!$G$2:$G$801, 0)+1)),"0.##")&amp;"+"&amp;TEXT(INDEX(ERP資料!$G:$G, (MATCH(594, 輔助計算!$G$2:$G$801, 0)+1)),"0.##"))))&amp;"-1")&lt;&gt;""),"  ","")&amp;IF(MOD(INDEX(輔助計算!$D:$D, (MATCH(594, 輔助計算!$G$2:$G$801, 0)+1)),IF(INDEX(ERP資料!$G:$G, (MATCH(594, 輔助計算!$G$2:$G$801, 0)+1))&lt;100, IF(INDEX(ERP資料!$G:$G, (MATCH(594, 輔助計算!$G$2:$G$801, 0)+1))&lt;=31,3,IF(INDEX(ERP資料!$G:$G, (MATCH(594, 輔助計算!$G$2:$G$801, 0)+1))&lt;=46.5,2,1)), IF(INDEX(ERP資料!$G:$G, (MATCH(594, 輔助計算!$G$2:$G$801, 0)+1))&lt;=790,3,IF(INDEX(ERP資料!$G:$G, (MATCH(594, 輔助計算!$G$2:$G$801, 0)+1))&lt;=1181,2,1))))=0,"",IF(MOD(INDEX(輔助計算!$D:$D, (MATCH(594, 輔助計算!$G$2:$G$801, 0)+1)),IF(INDEX(ERP資料!$G:$G, (MATCH(594, 輔助計算!$G$2:$G$801, 0)+1))&lt;100, IF(INDEX(ERP資料!$G:$G, (MATCH(594, 輔助計算!$G$2:$G$801, 0)+1))&lt;=31,3,IF(INDEX(ERP資料!$G:$G, (MATCH(594, 輔助計算!$G$2:$G$801, 0)+1))&lt;=46.5,2,1)), IF(INDEX(ERP資料!$G:$G, (MATCH(594, 輔助計算!$G$2:$G$801, 0)+1))&lt;=790,3,IF(INDEX(ERP資料!$G:$G, (MATCH(594, 輔助計算!$G$2:$G$801, 0)+1))&lt;=1181,2,1))))=0,"",IF(MOD(INDEX(輔助計算!$D:$D, (MATCH(594, 輔助計算!$G$2:$G$801, 0)+1)),IF(INDEX(ERP資料!$G:$G, (MATCH(594, 輔助計算!$G$2:$G$801, 0)+1))&lt;100, IF(INDEX(ERP資料!$G:$G, (MATCH(594, 輔助計算!$G$2:$G$801, 0)+1))&lt;=31,3,IF(INDEX(ERP資料!$G:$G, (MATCH(594, 輔助計算!$G$2:$G$801, 0)+1))&lt;=46.5,2,1)), IF(INDEX(ERP資料!$G:$G, (MATCH(594, 輔助計算!$G$2:$G$801, 0)+1))&lt;=790,3,IF(INDEX(ERP資料!$G:$G, (MATCH(594, 輔助計算!$G$2:$G$801, 0)+1))&lt;=1181,2,1))))=1,TEXT(INDEX(ERP資料!$G:$G, (MATCH(594, 輔助計算!$G$2:$G$801, 0)+1)),"0.##"),IF(MOD(INDEX(輔助計算!$D:$D, (MATCH(594, 輔助計算!$G$2:$G$801, 0)+1)),IF(INDEX(ERP資料!$G:$G, (MATCH(594, 輔助計算!$G$2:$G$801, 0)+1))&lt;100, IF(INDEX(ERP資料!$G:$G, (MATCH(594, 輔助計算!$G$2:$G$801, 0)+1))&lt;=31,3,IF(INDEX(ERP資料!$G:$G, (MATCH(594, 輔助計算!$G$2:$G$801, 0)+1))&lt;=46.5,2,1)), IF(INDEX(ERP資料!$G:$G, (MATCH(594, 輔助計算!$G$2:$G$801, 0)+1))&lt;=790,3,IF(INDEX(ERP資料!$G:$G, (MATCH(594, 輔助計算!$G$2:$G$801, 0)+1))&lt;=1181,2,1))))=2,TEXT(INDEX(ERP資料!$G:$G, (MATCH(594, 輔助計算!$G$2:$G$801, 0)+1)),"0.##")&amp;"+"&amp;TEXT(INDEX(ERP資料!$G:$G, (MATCH(594, 輔助計算!$G$2:$G$801, 0)+1)),"0.##"),TEXT(INDEX(ERP資料!$G:$G, (MATCH(594, 輔助計算!$G$2:$G$801, 0)+1)),"0.##")&amp;"+"&amp;TEXT(INDEX(ERP資料!$G:$G, (MATCH(594, 輔助計算!$G$2:$G$801, 0)+1)),"0.##")&amp;"+"&amp;TEXT(INDEX(ERP資料!$G:$G, (MATCH(594, 輔助計算!$G$2:$G$801, 0)+1)),"0.##"))))&amp;"-1")), ""), "")</f>
        <v/>
      </c>
      <c r="K595" s="16" t="n"/>
      <c r="L595" s="14">
        <f>IFERROR(IF(AND(IFERROR(INDEX(ERP資料!$A:$A, (MATCH(594, 輔助計算!$G$2:$G$801, 0)+1)), "")&lt;&gt;"", IFERROR(INDEX(ERP資料!$A:$A, (MATCH(594, 輔助計算!$G$2:$G$801, 0)+1)), "")&lt;&gt;IFERROR(INDEX(ERP資料!$A:$A, MATCH(593, 輔助計算!$G$2:$G$801, 0)+1), "")), INDEX(ERP資料!$B:$B, (MATCH(594, 輔助計算!$G$2:$G$801, 0)+1)), ""), "")</f>
        <v/>
      </c>
      <c r="M595" s="17" t="n"/>
    </row>
    <row r="596">
      <c r="A596" s="10">
        <f>IFERROR(IF(AND(IFERROR(INDEX(ERP資料!$A:$A, (MATCH(595, 輔助計算!$G$2:$G$801, 0)+1)), "")&lt;&gt;"", IFERROR(INDEX(ERP資料!$A:$A, (MATCH(595, 輔助計算!$G$2:$G$801, 0)+1)), "")&lt;&gt;IFERROR(INDEX(ERP資料!$A:$A, MATCH(594, 輔助計算!$G$2:$G$801, 0)+1), "")), IFERROR(INDEX(ERP資料!$A:$A, (MATCH(595, 輔助計算!$G$2:$G$801, 0)+1)), ""), ""), "")</f>
        <v/>
      </c>
      <c r="B596" s="10">
        <f>IFERROR(IF(AND(IFERROR(INDEX(ERP資料!$A:$A, (MATCH(595, 輔助計算!$G$2:$G$801, 0)+1)), "")&lt;&gt;"", IFERROR(INDEX(ERP資料!$A:$A, (MATCH(595, 輔助計算!$G$2:$G$801, 0)+1)), "")&lt;&gt;IFERROR(INDEX(ERP資料!$A:$A, MATCH(594, 輔助計算!$G$2:$G$801, 0)+1), "")), INDEX(ERP資料!$S:$S, (MATCH(595, 輔助計算!$G$2:$G$801, 0)+1)), ""), "")</f>
        <v/>
      </c>
      <c r="C596" s="19">
        <f>IFERROR(IF(AND(IFERROR(INDEX(ERP資料!$A:$A, (MATCH(595, 輔助計算!$G$2:$G$801, 0)+1)), "")&lt;&gt;"", IFERROR(INDEX(ERP資料!$A:$A, (MATCH(595, 輔助計算!$G$2:$G$801, 0)+1)), "")&lt;&gt;IFERROR(INDEX(ERP資料!$A:$A, MATCH(594, 輔助計算!$G$2:$G$801, 0)+1), "")), IFERROR(VLOOKUP(LEFT(INDEX(ERP資料!$S:$S, (MATCH(595, 輔助計算!$G$2:$G$801, 0)+1)), 4), 紙管對照表!$A:$C, 3, FALSE), ""), ""), "")</f>
        <v/>
      </c>
      <c r="D596" s="16" t="n"/>
      <c r="E596" s="10">
        <f>IFERROR(IF(INDEX(ERP資料!$H:$H, (MATCH(595, 輔助計算!$G$2:$G$801, 0)+1))="","",INDEX(ERP資料!$H:$H, (MATCH(595, 輔助計算!$G$2:$G$801, 0)+1))), "")</f>
        <v/>
      </c>
      <c r="F596" s="10">
        <f>IFERROR(IF(INDEX(ERP資料!$E:$E, (MATCH(595, 輔助計算!$G$2:$G$801, 0)+1))="","",TRIM(INDEX(ERP資料!$E:$E, (MATCH(595, 輔助計算!$G$2:$G$801, 0)+1)))), "")</f>
        <v/>
      </c>
      <c r="G596" s="10">
        <f>IFERROR(IF(INDEX(ERP資料!$F:$F, (MATCH(595, 輔助計算!$G$2:$G$801, 0)+1))="","",INDEX(ERP資料!$F:$F, (MATCH(595, 輔助計算!$G$2:$G$801, 0)+1))), "")</f>
        <v/>
      </c>
      <c r="H596" s="10">
        <f>IFERROR(IF(INDEX(ERP資料!$G:$G, (MATCH(595, 輔助計算!$G$2:$G$801, 0)+1))="","",INDEX(ERP資料!$G:$G, (MATCH(595, 輔助計算!$G$2:$G$801, 0)+1))), "")</f>
        <v/>
      </c>
      <c r="I596" s="15">
        <f>IFERROR(INDEX(輔助計算!$D:$D, (MATCH(595, 輔助計算!$G$2:$G$801, 0)+1)), "")</f>
        <v/>
      </c>
      <c r="J596" s="15">
        <f>IFERROR(IF(AND(INDEX(輔助計算!$D:$D, (MATCH(595, 輔助計算!$G$2:$G$801, 0)+1))&lt;&gt;"", INDEX(ERP資料!$G:$G, (MATCH(595, 輔助計算!$G$2:$G$801, 0)+1))&lt;&gt;""), TRIM(IF(INT(INDEX(輔助計算!$D:$D, (MATCH(595, 輔助計算!$G$2:$G$801, 0)+1))/IF(INDEX(ERP資料!$G:$G, (MATCH(595, 輔助計算!$G$2:$G$801, 0)+1))&lt;100, IF(INDEX(ERP資料!$G:$G, (MATCH(595, 輔助計算!$G$2:$G$801, 0)+1))&lt;=31,3,IF(INDEX(ERP資料!$G:$G, (MATCH(595, 輔助計算!$G$2:$G$801, 0)+1))&lt;=46.5,2,1)), IF(INDEX(ERP資料!$G:$G, (MATCH(595, 輔助計算!$G$2:$G$801, 0)+1))&lt;=790,3,IF(INDEX(ERP資料!$G:$G, (MATCH(595, 輔助計算!$G$2:$G$801, 0)+1))&lt;=1181,2,1))))&gt;0, IF(IF(INDEX(ERP資料!$G:$G, (MATCH(595, 輔助計算!$G$2:$G$801, 0)+1))&lt;100, IF(INDEX(ERP資料!$G:$G, (MATCH(595, 輔助計算!$G$2:$G$801, 0)+1))&lt;=31,3,IF(INDEX(ERP資料!$G:$G, (MATCH(595, 輔助計算!$G$2:$G$801, 0)+1))&lt;=46.5,2,1)), IF(INDEX(ERP資料!$G:$G, (MATCH(595, 輔助計算!$G$2:$G$801, 0)+1))&lt;=790,3,IF(INDEX(ERP資料!$G:$G, (MATCH(595, 輔助計算!$G$2:$G$801, 0)+1))&lt;=1181,2,1)))=1,TEXT(INDEX(ERP資料!$G:$G, (MATCH(595, 輔助計算!$G$2:$G$801, 0)+1)),"0.##"),IF(IF(INDEX(ERP資料!$G:$G, (MATCH(595, 輔助計算!$G$2:$G$801, 0)+1))&lt;100, IF(INDEX(ERP資料!$G:$G, (MATCH(595, 輔助計算!$G$2:$G$801, 0)+1))&lt;=31,3,IF(INDEX(ERP資料!$G:$G, (MATCH(595, 輔助計算!$G$2:$G$801, 0)+1))&lt;=46.5,2,1)), IF(INDEX(ERP資料!$G:$G, (MATCH(595, 輔助計算!$G$2:$G$801, 0)+1))&lt;=790,3,IF(INDEX(ERP資料!$G:$G, (MATCH(595, 輔助計算!$G$2:$G$801, 0)+1))&lt;=1181,2,1)))=2,TEXT(INDEX(ERP資料!$G:$G, (MATCH(595, 輔助計算!$G$2:$G$801, 0)+1)),"0.##")&amp;"+"&amp;TEXT(INDEX(ERP資料!$G:$G, (MATCH(595, 輔助計算!$G$2:$G$801, 0)+1)),"0.##"),TEXT(INDEX(ERP資料!$G:$G, (MATCH(595, 輔助計算!$G$2:$G$801, 0)+1)),"0.##")&amp;"+"&amp;TEXT(INDEX(ERP資料!$G:$G, (MATCH(595, 輔助計算!$G$2:$G$801, 0)+1)),"0.##")&amp;"+"&amp;TEXT(INDEX(ERP資料!$G:$G, (MATCH(595, 輔助計算!$G$2:$G$801, 0)+1)),"0.##")))&amp;"-"&amp;INT(INDEX(輔助計算!$D:$D, (MATCH(595, 輔助計算!$G$2:$G$801, 0)+1))/IF(INDEX(ERP資料!$G:$G, (MATCH(595, 輔助計算!$G$2:$G$801, 0)+1))&lt;100, IF(INDEX(ERP資料!$G:$G, (MATCH(595, 輔助計算!$G$2:$G$801, 0)+1))&lt;=31,3,IF(INDEX(ERP資料!$G:$G, (MATCH(595, 輔助計算!$G$2:$G$801, 0)+1))&lt;=46.5,2,1)), IF(INDEX(ERP資料!$G:$G, (MATCH(595, 輔助計算!$G$2:$G$801, 0)+1))&lt;=790,3,IF(INDEX(ERP資料!$G:$G, (MATCH(595, 輔助計算!$G$2:$G$801, 0)+1))&lt;=1181,2,1)))), "")&amp;IF(AND(IF(INT(INDEX(輔助計算!$D:$D, (MATCH(595, 輔助計算!$G$2:$G$801, 0)+1))/IF(INDEX(ERP資料!$G:$G, (MATCH(595, 輔助計算!$G$2:$G$801, 0)+1))&lt;100, IF(INDEX(ERP資料!$G:$G, (MATCH(595, 輔助計算!$G$2:$G$801, 0)+1))&lt;=31,3,IF(INDEX(ERP資料!$G:$G, (MATCH(595, 輔助計算!$G$2:$G$801, 0)+1))&lt;=46.5,2,1)), IF(INDEX(ERP資料!$G:$G, (MATCH(595, 輔助計算!$G$2:$G$801, 0)+1))&lt;=790,3,IF(INDEX(ERP資料!$G:$G, (MATCH(595, 輔助計算!$G$2:$G$801, 0)+1))&lt;=1181,2,1))))&gt;0, IF(IF(INDEX(ERP資料!$G:$G, (MATCH(595, 輔助計算!$G$2:$G$801, 0)+1))&lt;100, IF(INDEX(ERP資料!$G:$G, (MATCH(595, 輔助計算!$G$2:$G$801, 0)+1))&lt;=31,3,IF(INDEX(ERP資料!$G:$G, (MATCH(595, 輔助計算!$G$2:$G$801, 0)+1))&lt;=46.5,2,1)), IF(INDEX(ERP資料!$G:$G, (MATCH(595, 輔助計算!$G$2:$G$801, 0)+1))&lt;=790,3,IF(INDEX(ERP資料!$G:$G, (MATCH(595, 輔助計算!$G$2:$G$801, 0)+1))&lt;=1181,2,1)))=1,TEXT(INDEX(ERP資料!$G:$G, (MATCH(595, 輔助計算!$G$2:$G$801, 0)+1)),"0.##"),IF(IF(INDEX(ERP資料!$G:$G, (MATCH(595, 輔助計算!$G$2:$G$801, 0)+1))&lt;100, IF(INDEX(ERP資料!$G:$G, (MATCH(595, 輔助計算!$G$2:$G$801, 0)+1))&lt;=31,3,IF(INDEX(ERP資料!$G:$G, (MATCH(595, 輔助計算!$G$2:$G$801, 0)+1))&lt;=46.5,2,1)), IF(INDEX(ERP資料!$G:$G, (MATCH(595, 輔助計算!$G$2:$G$801, 0)+1))&lt;=790,3,IF(INDEX(ERP資料!$G:$G, (MATCH(595, 輔助計算!$G$2:$G$801, 0)+1))&lt;=1181,2,1)))=2,TEXT(INDEX(ERP資料!$G:$G, (MATCH(595, 輔助計算!$G$2:$G$801, 0)+1)),"0.##")&amp;"+"&amp;TEXT(INDEX(ERP資料!$G:$G, (MATCH(595, 輔助計算!$G$2:$G$801, 0)+1)),"0.##"),TEXT(INDEX(ERP資料!$G:$G, (MATCH(595, 輔助計算!$G$2:$G$801, 0)+1)),"0.##")&amp;"+"&amp;TEXT(INDEX(ERP資料!$G:$G, (MATCH(595, 輔助計算!$G$2:$G$801, 0)+1)),"0.##")&amp;"+"&amp;TEXT(INDEX(ERP資料!$G:$G, (MATCH(595, 輔助計算!$G$2:$G$801, 0)+1)),"0.##")))&amp;"-"&amp;INT(INDEX(輔助計算!$D:$D, (MATCH(595, 輔助計算!$G$2:$G$801, 0)+1))/IF(INDEX(ERP資料!$G:$G, (MATCH(595, 輔助計算!$G$2:$G$801, 0)+1))&lt;100, IF(INDEX(ERP資料!$G:$G, (MATCH(595, 輔助計算!$G$2:$G$801, 0)+1))&lt;=31,3,IF(INDEX(ERP資料!$G:$G, (MATCH(595, 輔助計算!$G$2:$G$801, 0)+1))&lt;=46.5,2,1)), IF(INDEX(ERP資料!$G:$G, (MATCH(595, 輔助計算!$G$2:$G$801, 0)+1))&lt;=790,3,IF(INDEX(ERP資料!$G:$G, (MATCH(595, 輔助計算!$G$2:$G$801, 0)+1))&lt;=1181,2,1)))), "")&lt;&gt;"",IF(MOD(INDEX(輔助計算!$D:$D, (MATCH(595, 輔助計算!$G$2:$G$801, 0)+1)),IF(INDEX(ERP資料!$G:$G, (MATCH(595, 輔助計算!$G$2:$G$801, 0)+1))&lt;100, IF(INDEX(ERP資料!$G:$G, (MATCH(595, 輔助計算!$G$2:$G$801, 0)+1))&lt;=31,3,IF(INDEX(ERP資料!$G:$G, (MATCH(595, 輔助計算!$G$2:$G$801, 0)+1))&lt;=46.5,2,1)), IF(INDEX(ERP資料!$G:$G, (MATCH(595, 輔助計算!$G$2:$G$801, 0)+1))&lt;=790,3,IF(INDEX(ERP資料!$G:$G, (MATCH(595, 輔助計算!$G$2:$G$801, 0)+1))&lt;=1181,2,1))))=0,"",IF(MOD(INDEX(輔助計算!$D:$D, (MATCH(595, 輔助計算!$G$2:$G$801, 0)+1)),IF(INDEX(ERP資料!$G:$G, (MATCH(595, 輔助計算!$G$2:$G$801, 0)+1))&lt;100, IF(INDEX(ERP資料!$G:$G, (MATCH(595, 輔助計算!$G$2:$G$801, 0)+1))&lt;=31,3,IF(INDEX(ERP資料!$G:$G, (MATCH(595, 輔助計算!$G$2:$G$801, 0)+1))&lt;=46.5,2,1)), IF(INDEX(ERP資料!$G:$G, (MATCH(595, 輔助計算!$G$2:$G$801, 0)+1))&lt;=790,3,IF(INDEX(ERP資料!$G:$G, (MATCH(595, 輔助計算!$G$2:$G$801, 0)+1))&lt;=1181,2,1))))=0,"",IF(MOD(INDEX(輔助計算!$D:$D, (MATCH(595, 輔助計算!$G$2:$G$801, 0)+1)),IF(INDEX(ERP資料!$G:$G, (MATCH(595, 輔助計算!$G$2:$G$801, 0)+1))&lt;100, IF(INDEX(ERP資料!$G:$G, (MATCH(595, 輔助計算!$G$2:$G$801, 0)+1))&lt;=31,3,IF(INDEX(ERP資料!$G:$G, (MATCH(595, 輔助計算!$G$2:$G$801, 0)+1))&lt;=46.5,2,1)), IF(INDEX(ERP資料!$G:$G, (MATCH(595, 輔助計算!$G$2:$G$801, 0)+1))&lt;=790,3,IF(INDEX(ERP資料!$G:$G, (MATCH(595, 輔助計算!$G$2:$G$801, 0)+1))&lt;=1181,2,1))))=1,TEXT(INDEX(ERP資料!$G:$G, (MATCH(595, 輔助計算!$G$2:$G$801, 0)+1)),"0.##"),IF(MOD(INDEX(輔助計算!$D:$D, (MATCH(595, 輔助計算!$G$2:$G$801, 0)+1)),IF(INDEX(ERP資料!$G:$G, (MATCH(595, 輔助計算!$G$2:$G$801, 0)+1))&lt;100, IF(INDEX(ERP資料!$G:$G, (MATCH(595, 輔助計算!$G$2:$G$801, 0)+1))&lt;=31,3,IF(INDEX(ERP資料!$G:$G, (MATCH(595, 輔助計算!$G$2:$G$801, 0)+1))&lt;=46.5,2,1)), IF(INDEX(ERP資料!$G:$G, (MATCH(595, 輔助計算!$G$2:$G$801, 0)+1))&lt;=790,3,IF(INDEX(ERP資料!$G:$G, (MATCH(595, 輔助計算!$G$2:$G$801, 0)+1))&lt;=1181,2,1))))=2,TEXT(INDEX(ERP資料!$G:$G, (MATCH(595, 輔助計算!$G$2:$G$801, 0)+1)),"0.##")&amp;"+"&amp;TEXT(INDEX(ERP資料!$G:$G, (MATCH(595, 輔助計算!$G$2:$G$801, 0)+1)),"0.##"),TEXT(INDEX(ERP資料!$G:$G, (MATCH(595, 輔助計算!$G$2:$G$801, 0)+1)),"0.##")&amp;"+"&amp;TEXT(INDEX(ERP資料!$G:$G, (MATCH(595, 輔助計算!$G$2:$G$801, 0)+1)),"0.##")&amp;"+"&amp;TEXT(INDEX(ERP資料!$G:$G, (MATCH(595, 輔助計算!$G$2:$G$801, 0)+1)),"0.##"))))&amp;"-1")&lt;&gt;""),"  ","")&amp;IF(MOD(INDEX(輔助計算!$D:$D, (MATCH(595, 輔助計算!$G$2:$G$801, 0)+1)),IF(INDEX(ERP資料!$G:$G, (MATCH(595, 輔助計算!$G$2:$G$801, 0)+1))&lt;100, IF(INDEX(ERP資料!$G:$G, (MATCH(595, 輔助計算!$G$2:$G$801, 0)+1))&lt;=31,3,IF(INDEX(ERP資料!$G:$G, (MATCH(595, 輔助計算!$G$2:$G$801, 0)+1))&lt;=46.5,2,1)), IF(INDEX(ERP資料!$G:$G, (MATCH(595, 輔助計算!$G$2:$G$801, 0)+1))&lt;=790,3,IF(INDEX(ERP資料!$G:$G, (MATCH(595, 輔助計算!$G$2:$G$801, 0)+1))&lt;=1181,2,1))))=0,"",IF(MOD(INDEX(輔助計算!$D:$D, (MATCH(595, 輔助計算!$G$2:$G$801, 0)+1)),IF(INDEX(ERP資料!$G:$G, (MATCH(595, 輔助計算!$G$2:$G$801, 0)+1))&lt;100, IF(INDEX(ERP資料!$G:$G, (MATCH(595, 輔助計算!$G$2:$G$801, 0)+1))&lt;=31,3,IF(INDEX(ERP資料!$G:$G, (MATCH(595, 輔助計算!$G$2:$G$801, 0)+1))&lt;=46.5,2,1)), IF(INDEX(ERP資料!$G:$G, (MATCH(595, 輔助計算!$G$2:$G$801, 0)+1))&lt;=790,3,IF(INDEX(ERP資料!$G:$G, (MATCH(595, 輔助計算!$G$2:$G$801, 0)+1))&lt;=1181,2,1))))=0,"",IF(MOD(INDEX(輔助計算!$D:$D, (MATCH(595, 輔助計算!$G$2:$G$801, 0)+1)),IF(INDEX(ERP資料!$G:$G, (MATCH(595, 輔助計算!$G$2:$G$801, 0)+1))&lt;100, IF(INDEX(ERP資料!$G:$G, (MATCH(595, 輔助計算!$G$2:$G$801, 0)+1))&lt;=31,3,IF(INDEX(ERP資料!$G:$G, (MATCH(595, 輔助計算!$G$2:$G$801, 0)+1))&lt;=46.5,2,1)), IF(INDEX(ERP資料!$G:$G, (MATCH(595, 輔助計算!$G$2:$G$801, 0)+1))&lt;=790,3,IF(INDEX(ERP資料!$G:$G, (MATCH(595, 輔助計算!$G$2:$G$801, 0)+1))&lt;=1181,2,1))))=1,TEXT(INDEX(ERP資料!$G:$G, (MATCH(595, 輔助計算!$G$2:$G$801, 0)+1)),"0.##"),IF(MOD(INDEX(輔助計算!$D:$D, (MATCH(595, 輔助計算!$G$2:$G$801, 0)+1)),IF(INDEX(ERP資料!$G:$G, (MATCH(595, 輔助計算!$G$2:$G$801, 0)+1))&lt;100, IF(INDEX(ERP資料!$G:$G, (MATCH(595, 輔助計算!$G$2:$G$801, 0)+1))&lt;=31,3,IF(INDEX(ERP資料!$G:$G, (MATCH(595, 輔助計算!$G$2:$G$801, 0)+1))&lt;=46.5,2,1)), IF(INDEX(ERP資料!$G:$G, (MATCH(595, 輔助計算!$G$2:$G$801, 0)+1))&lt;=790,3,IF(INDEX(ERP資料!$G:$G, (MATCH(595, 輔助計算!$G$2:$G$801, 0)+1))&lt;=1181,2,1))))=2,TEXT(INDEX(ERP資料!$G:$G, (MATCH(595, 輔助計算!$G$2:$G$801, 0)+1)),"0.##")&amp;"+"&amp;TEXT(INDEX(ERP資料!$G:$G, (MATCH(595, 輔助計算!$G$2:$G$801, 0)+1)),"0.##"),TEXT(INDEX(ERP資料!$G:$G, (MATCH(595, 輔助計算!$G$2:$G$801, 0)+1)),"0.##")&amp;"+"&amp;TEXT(INDEX(ERP資料!$G:$G, (MATCH(595, 輔助計算!$G$2:$G$801, 0)+1)),"0.##")&amp;"+"&amp;TEXT(INDEX(ERP資料!$G:$G, (MATCH(595, 輔助計算!$G$2:$G$801, 0)+1)),"0.##"))))&amp;"-1")), ""), "")</f>
        <v/>
      </c>
      <c r="K596" s="16" t="n"/>
      <c r="L596" s="14">
        <f>IFERROR(IF(AND(IFERROR(INDEX(ERP資料!$A:$A, (MATCH(595, 輔助計算!$G$2:$G$801, 0)+1)), "")&lt;&gt;"", IFERROR(INDEX(ERP資料!$A:$A, (MATCH(595, 輔助計算!$G$2:$G$801, 0)+1)), "")&lt;&gt;IFERROR(INDEX(ERP資料!$A:$A, MATCH(594, 輔助計算!$G$2:$G$801, 0)+1), "")), INDEX(ERP資料!$B:$B, (MATCH(595, 輔助計算!$G$2:$G$801, 0)+1)), ""), "")</f>
        <v/>
      </c>
      <c r="M596" s="17" t="n"/>
    </row>
    <row r="597">
      <c r="A597" s="10">
        <f>IFERROR(IF(AND(IFERROR(INDEX(ERP資料!$A:$A, (MATCH(596, 輔助計算!$G$2:$G$801, 0)+1)), "")&lt;&gt;"", IFERROR(INDEX(ERP資料!$A:$A, (MATCH(596, 輔助計算!$G$2:$G$801, 0)+1)), "")&lt;&gt;IFERROR(INDEX(ERP資料!$A:$A, MATCH(595, 輔助計算!$G$2:$G$801, 0)+1), "")), IFERROR(INDEX(ERP資料!$A:$A, (MATCH(596, 輔助計算!$G$2:$G$801, 0)+1)), ""), ""), "")</f>
        <v/>
      </c>
      <c r="B597" s="10">
        <f>IFERROR(IF(AND(IFERROR(INDEX(ERP資料!$A:$A, (MATCH(596, 輔助計算!$G$2:$G$801, 0)+1)), "")&lt;&gt;"", IFERROR(INDEX(ERP資料!$A:$A, (MATCH(596, 輔助計算!$G$2:$G$801, 0)+1)), "")&lt;&gt;IFERROR(INDEX(ERP資料!$A:$A, MATCH(595, 輔助計算!$G$2:$G$801, 0)+1), "")), INDEX(ERP資料!$S:$S, (MATCH(596, 輔助計算!$G$2:$G$801, 0)+1)), ""), "")</f>
        <v/>
      </c>
      <c r="C597" s="19">
        <f>IFERROR(IF(AND(IFERROR(INDEX(ERP資料!$A:$A, (MATCH(596, 輔助計算!$G$2:$G$801, 0)+1)), "")&lt;&gt;"", IFERROR(INDEX(ERP資料!$A:$A, (MATCH(596, 輔助計算!$G$2:$G$801, 0)+1)), "")&lt;&gt;IFERROR(INDEX(ERP資料!$A:$A, MATCH(595, 輔助計算!$G$2:$G$801, 0)+1), "")), IFERROR(VLOOKUP(LEFT(INDEX(ERP資料!$S:$S, (MATCH(596, 輔助計算!$G$2:$G$801, 0)+1)), 4), 紙管對照表!$A:$C, 3, FALSE), ""), ""), "")</f>
        <v/>
      </c>
      <c r="D597" s="16" t="n"/>
      <c r="E597" s="10">
        <f>IFERROR(IF(INDEX(ERP資料!$H:$H, (MATCH(596, 輔助計算!$G$2:$G$801, 0)+1))="","",INDEX(ERP資料!$H:$H, (MATCH(596, 輔助計算!$G$2:$G$801, 0)+1))), "")</f>
        <v/>
      </c>
      <c r="F597" s="10">
        <f>IFERROR(IF(INDEX(ERP資料!$E:$E, (MATCH(596, 輔助計算!$G$2:$G$801, 0)+1))="","",TRIM(INDEX(ERP資料!$E:$E, (MATCH(596, 輔助計算!$G$2:$G$801, 0)+1)))), "")</f>
        <v/>
      </c>
      <c r="G597" s="10">
        <f>IFERROR(IF(INDEX(ERP資料!$F:$F, (MATCH(596, 輔助計算!$G$2:$G$801, 0)+1))="","",INDEX(ERP資料!$F:$F, (MATCH(596, 輔助計算!$G$2:$G$801, 0)+1))), "")</f>
        <v/>
      </c>
      <c r="H597" s="10">
        <f>IFERROR(IF(INDEX(ERP資料!$G:$G, (MATCH(596, 輔助計算!$G$2:$G$801, 0)+1))="","",INDEX(ERP資料!$G:$G, (MATCH(596, 輔助計算!$G$2:$G$801, 0)+1))), "")</f>
        <v/>
      </c>
      <c r="I597" s="15">
        <f>IFERROR(INDEX(輔助計算!$D:$D, (MATCH(596, 輔助計算!$G$2:$G$801, 0)+1)), "")</f>
        <v/>
      </c>
      <c r="J597" s="15">
        <f>IFERROR(IF(AND(INDEX(輔助計算!$D:$D, (MATCH(596, 輔助計算!$G$2:$G$801, 0)+1))&lt;&gt;"", INDEX(ERP資料!$G:$G, (MATCH(596, 輔助計算!$G$2:$G$801, 0)+1))&lt;&gt;""), TRIM(IF(INT(INDEX(輔助計算!$D:$D, (MATCH(596, 輔助計算!$G$2:$G$801, 0)+1))/IF(INDEX(ERP資料!$G:$G, (MATCH(596, 輔助計算!$G$2:$G$801, 0)+1))&lt;100, IF(INDEX(ERP資料!$G:$G, (MATCH(596, 輔助計算!$G$2:$G$801, 0)+1))&lt;=31,3,IF(INDEX(ERP資料!$G:$G, (MATCH(596, 輔助計算!$G$2:$G$801, 0)+1))&lt;=46.5,2,1)), IF(INDEX(ERP資料!$G:$G, (MATCH(596, 輔助計算!$G$2:$G$801, 0)+1))&lt;=790,3,IF(INDEX(ERP資料!$G:$G, (MATCH(596, 輔助計算!$G$2:$G$801, 0)+1))&lt;=1181,2,1))))&gt;0, IF(IF(INDEX(ERP資料!$G:$G, (MATCH(596, 輔助計算!$G$2:$G$801, 0)+1))&lt;100, IF(INDEX(ERP資料!$G:$G, (MATCH(596, 輔助計算!$G$2:$G$801, 0)+1))&lt;=31,3,IF(INDEX(ERP資料!$G:$G, (MATCH(596, 輔助計算!$G$2:$G$801, 0)+1))&lt;=46.5,2,1)), IF(INDEX(ERP資料!$G:$G, (MATCH(596, 輔助計算!$G$2:$G$801, 0)+1))&lt;=790,3,IF(INDEX(ERP資料!$G:$G, (MATCH(596, 輔助計算!$G$2:$G$801, 0)+1))&lt;=1181,2,1)))=1,TEXT(INDEX(ERP資料!$G:$G, (MATCH(596, 輔助計算!$G$2:$G$801, 0)+1)),"0.##"),IF(IF(INDEX(ERP資料!$G:$G, (MATCH(596, 輔助計算!$G$2:$G$801, 0)+1))&lt;100, IF(INDEX(ERP資料!$G:$G, (MATCH(596, 輔助計算!$G$2:$G$801, 0)+1))&lt;=31,3,IF(INDEX(ERP資料!$G:$G, (MATCH(596, 輔助計算!$G$2:$G$801, 0)+1))&lt;=46.5,2,1)), IF(INDEX(ERP資料!$G:$G, (MATCH(596, 輔助計算!$G$2:$G$801, 0)+1))&lt;=790,3,IF(INDEX(ERP資料!$G:$G, (MATCH(596, 輔助計算!$G$2:$G$801, 0)+1))&lt;=1181,2,1)))=2,TEXT(INDEX(ERP資料!$G:$G, (MATCH(596, 輔助計算!$G$2:$G$801, 0)+1)),"0.##")&amp;"+"&amp;TEXT(INDEX(ERP資料!$G:$G, (MATCH(596, 輔助計算!$G$2:$G$801, 0)+1)),"0.##"),TEXT(INDEX(ERP資料!$G:$G, (MATCH(596, 輔助計算!$G$2:$G$801, 0)+1)),"0.##")&amp;"+"&amp;TEXT(INDEX(ERP資料!$G:$G, (MATCH(596, 輔助計算!$G$2:$G$801, 0)+1)),"0.##")&amp;"+"&amp;TEXT(INDEX(ERP資料!$G:$G, (MATCH(596, 輔助計算!$G$2:$G$801, 0)+1)),"0.##")))&amp;"-"&amp;INT(INDEX(輔助計算!$D:$D, (MATCH(596, 輔助計算!$G$2:$G$801, 0)+1))/IF(INDEX(ERP資料!$G:$G, (MATCH(596, 輔助計算!$G$2:$G$801, 0)+1))&lt;100, IF(INDEX(ERP資料!$G:$G, (MATCH(596, 輔助計算!$G$2:$G$801, 0)+1))&lt;=31,3,IF(INDEX(ERP資料!$G:$G, (MATCH(596, 輔助計算!$G$2:$G$801, 0)+1))&lt;=46.5,2,1)), IF(INDEX(ERP資料!$G:$G, (MATCH(596, 輔助計算!$G$2:$G$801, 0)+1))&lt;=790,3,IF(INDEX(ERP資料!$G:$G, (MATCH(596, 輔助計算!$G$2:$G$801, 0)+1))&lt;=1181,2,1)))), "")&amp;IF(AND(IF(INT(INDEX(輔助計算!$D:$D, (MATCH(596, 輔助計算!$G$2:$G$801, 0)+1))/IF(INDEX(ERP資料!$G:$G, (MATCH(596, 輔助計算!$G$2:$G$801, 0)+1))&lt;100, IF(INDEX(ERP資料!$G:$G, (MATCH(596, 輔助計算!$G$2:$G$801, 0)+1))&lt;=31,3,IF(INDEX(ERP資料!$G:$G, (MATCH(596, 輔助計算!$G$2:$G$801, 0)+1))&lt;=46.5,2,1)), IF(INDEX(ERP資料!$G:$G, (MATCH(596, 輔助計算!$G$2:$G$801, 0)+1))&lt;=790,3,IF(INDEX(ERP資料!$G:$G, (MATCH(596, 輔助計算!$G$2:$G$801, 0)+1))&lt;=1181,2,1))))&gt;0, IF(IF(INDEX(ERP資料!$G:$G, (MATCH(596, 輔助計算!$G$2:$G$801, 0)+1))&lt;100, IF(INDEX(ERP資料!$G:$G, (MATCH(596, 輔助計算!$G$2:$G$801, 0)+1))&lt;=31,3,IF(INDEX(ERP資料!$G:$G, (MATCH(596, 輔助計算!$G$2:$G$801, 0)+1))&lt;=46.5,2,1)), IF(INDEX(ERP資料!$G:$G, (MATCH(596, 輔助計算!$G$2:$G$801, 0)+1))&lt;=790,3,IF(INDEX(ERP資料!$G:$G, (MATCH(596, 輔助計算!$G$2:$G$801, 0)+1))&lt;=1181,2,1)))=1,TEXT(INDEX(ERP資料!$G:$G, (MATCH(596, 輔助計算!$G$2:$G$801, 0)+1)),"0.##"),IF(IF(INDEX(ERP資料!$G:$G, (MATCH(596, 輔助計算!$G$2:$G$801, 0)+1))&lt;100, IF(INDEX(ERP資料!$G:$G, (MATCH(596, 輔助計算!$G$2:$G$801, 0)+1))&lt;=31,3,IF(INDEX(ERP資料!$G:$G, (MATCH(596, 輔助計算!$G$2:$G$801, 0)+1))&lt;=46.5,2,1)), IF(INDEX(ERP資料!$G:$G, (MATCH(596, 輔助計算!$G$2:$G$801, 0)+1))&lt;=790,3,IF(INDEX(ERP資料!$G:$G, (MATCH(596, 輔助計算!$G$2:$G$801, 0)+1))&lt;=1181,2,1)))=2,TEXT(INDEX(ERP資料!$G:$G, (MATCH(596, 輔助計算!$G$2:$G$801, 0)+1)),"0.##")&amp;"+"&amp;TEXT(INDEX(ERP資料!$G:$G, (MATCH(596, 輔助計算!$G$2:$G$801, 0)+1)),"0.##"),TEXT(INDEX(ERP資料!$G:$G, (MATCH(596, 輔助計算!$G$2:$G$801, 0)+1)),"0.##")&amp;"+"&amp;TEXT(INDEX(ERP資料!$G:$G, (MATCH(596, 輔助計算!$G$2:$G$801, 0)+1)),"0.##")&amp;"+"&amp;TEXT(INDEX(ERP資料!$G:$G, (MATCH(596, 輔助計算!$G$2:$G$801, 0)+1)),"0.##")))&amp;"-"&amp;INT(INDEX(輔助計算!$D:$D, (MATCH(596, 輔助計算!$G$2:$G$801, 0)+1))/IF(INDEX(ERP資料!$G:$G, (MATCH(596, 輔助計算!$G$2:$G$801, 0)+1))&lt;100, IF(INDEX(ERP資料!$G:$G, (MATCH(596, 輔助計算!$G$2:$G$801, 0)+1))&lt;=31,3,IF(INDEX(ERP資料!$G:$G, (MATCH(596, 輔助計算!$G$2:$G$801, 0)+1))&lt;=46.5,2,1)), IF(INDEX(ERP資料!$G:$G, (MATCH(596, 輔助計算!$G$2:$G$801, 0)+1))&lt;=790,3,IF(INDEX(ERP資料!$G:$G, (MATCH(596, 輔助計算!$G$2:$G$801, 0)+1))&lt;=1181,2,1)))), "")&lt;&gt;"",IF(MOD(INDEX(輔助計算!$D:$D, (MATCH(596, 輔助計算!$G$2:$G$801, 0)+1)),IF(INDEX(ERP資料!$G:$G, (MATCH(596, 輔助計算!$G$2:$G$801, 0)+1))&lt;100, IF(INDEX(ERP資料!$G:$G, (MATCH(596, 輔助計算!$G$2:$G$801, 0)+1))&lt;=31,3,IF(INDEX(ERP資料!$G:$G, (MATCH(596, 輔助計算!$G$2:$G$801, 0)+1))&lt;=46.5,2,1)), IF(INDEX(ERP資料!$G:$G, (MATCH(596, 輔助計算!$G$2:$G$801, 0)+1))&lt;=790,3,IF(INDEX(ERP資料!$G:$G, (MATCH(596, 輔助計算!$G$2:$G$801, 0)+1))&lt;=1181,2,1))))=0,"",IF(MOD(INDEX(輔助計算!$D:$D, (MATCH(596, 輔助計算!$G$2:$G$801, 0)+1)),IF(INDEX(ERP資料!$G:$G, (MATCH(596, 輔助計算!$G$2:$G$801, 0)+1))&lt;100, IF(INDEX(ERP資料!$G:$G, (MATCH(596, 輔助計算!$G$2:$G$801, 0)+1))&lt;=31,3,IF(INDEX(ERP資料!$G:$G, (MATCH(596, 輔助計算!$G$2:$G$801, 0)+1))&lt;=46.5,2,1)), IF(INDEX(ERP資料!$G:$G, (MATCH(596, 輔助計算!$G$2:$G$801, 0)+1))&lt;=790,3,IF(INDEX(ERP資料!$G:$G, (MATCH(596, 輔助計算!$G$2:$G$801, 0)+1))&lt;=1181,2,1))))=0,"",IF(MOD(INDEX(輔助計算!$D:$D, (MATCH(596, 輔助計算!$G$2:$G$801, 0)+1)),IF(INDEX(ERP資料!$G:$G, (MATCH(596, 輔助計算!$G$2:$G$801, 0)+1))&lt;100, IF(INDEX(ERP資料!$G:$G, (MATCH(596, 輔助計算!$G$2:$G$801, 0)+1))&lt;=31,3,IF(INDEX(ERP資料!$G:$G, (MATCH(596, 輔助計算!$G$2:$G$801, 0)+1))&lt;=46.5,2,1)), IF(INDEX(ERP資料!$G:$G, (MATCH(596, 輔助計算!$G$2:$G$801, 0)+1))&lt;=790,3,IF(INDEX(ERP資料!$G:$G, (MATCH(596, 輔助計算!$G$2:$G$801, 0)+1))&lt;=1181,2,1))))=1,TEXT(INDEX(ERP資料!$G:$G, (MATCH(596, 輔助計算!$G$2:$G$801, 0)+1)),"0.##"),IF(MOD(INDEX(輔助計算!$D:$D, (MATCH(596, 輔助計算!$G$2:$G$801, 0)+1)),IF(INDEX(ERP資料!$G:$G, (MATCH(596, 輔助計算!$G$2:$G$801, 0)+1))&lt;100, IF(INDEX(ERP資料!$G:$G, (MATCH(596, 輔助計算!$G$2:$G$801, 0)+1))&lt;=31,3,IF(INDEX(ERP資料!$G:$G, (MATCH(596, 輔助計算!$G$2:$G$801, 0)+1))&lt;=46.5,2,1)), IF(INDEX(ERP資料!$G:$G, (MATCH(596, 輔助計算!$G$2:$G$801, 0)+1))&lt;=790,3,IF(INDEX(ERP資料!$G:$G, (MATCH(596, 輔助計算!$G$2:$G$801, 0)+1))&lt;=1181,2,1))))=2,TEXT(INDEX(ERP資料!$G:$G, (MATCH(596, 輔助計算!$G$2:$G$801, 0)+1)),"0.##")&amp;"+"&amp;TEXT(INDEX(ERP資料!$G:$G, (MATCH(596, 輔助計算!$G$2:$G$801, 0)+1)),"0.##"),TEXT(INDEX(ERP資料!$G:$G, (MATCH(596, 輔助計算!$G$2:$G$801, 0)+1)),"0.##")&amp;"+"&amp;TEXT(INDEX(ERP資料!$G:$G, (MATCH(596, 輔助計算!$G$2:$G$801, 0)+1)),"0.##")&amp;"+"&amp;TEXT(INDEX(ERP資料!$G:$G, (MATCH(596, 輔助計算!$G$2:$G$801, 0)+1)),"0.##"))))&amp;"-1")&lt;&gt;""),"  ","")&amp;IF(MOD(INDEX(輔助計算!$D:$D, (MATCH(596, 輔助計算!$G$2:$G$801, 0)+1)),IF(INDEX(ERP資料!$G:$G, (MATCH(596, 輔助計算!$G$2:$G$801, 0)+1))&lt;100, IF(INDEX(ERP資料!$G:$G, (MATCH(596, 輔助計算!$G$2:$G$801, 0)+1))&lt;=31,3,IF(INDEX(ERP資料!$G:$G, (MATCH(596, 輔助計算!$G$2:$G$801, 0)+1))&lt;=46.5,2,1)), IF(INDEX(ERP資料!$G:$G, (MATCH(596, 輔助計算!$G$2:$G$801, 0)+1))&lt;=790,3,IF(INDEX(ERP資料!$G:$G, (MATCH(596, 輔助計算!$G$2:$G$801, 0)+1))&lt;=1181,2,1))))=0,"",IF(MOD(INDEX(輔助計算!$D:$D, (MATCH(596, 輔助計算!$G$2:$G$801, 0)+1)),IF(INDEX(ERP資料!$G:$G, (MATCH(596, 輔助計算!$G$2:$G$801, 0)+1))&lt;100, IF(INDEX(ERP資料!$G:$G, (MATCH(596, 輔助計算!$G$2:$G$801, 0)+1))&lt;=31,3,IF(INDEX(ERP資料!$G:$G, (MATCH(596, 輔助計算!$G$2:$G$801, 0)+1))&lt;=46.5,2,1)), IF(INDEX(ERP資料!$G:$G, (MATCH(596, 輔助計算!$G$2:$G$801, 0)+1))&lt;=790,3,IF(INDEX(ERP資料!$G:$G, (MATCH(596, 輔助計算!$G$2:$G$801, 0)+1))&lt;=1181,2,1))))=0,"",IF(MOD(INDEX(輔助計算!$D:$D, (MATCH(596, 輔助計算!$G$2:$G$801, 0)+1)),IF(INDEX(ERP資料!$G:$G, (MATCH(596, 輔助計算!$G$2:$G$801, 0)+1))&lt;100, IF(INDEX(ERP資料!$G:$G, (MATCH(596, 輔助計算!$G$2:$G$801, 0)+1))&lt;=31,3,IF(INDEX(ERP資料!$G:$G, (MATCH(596, 輔助計算!$G$2:$G$801, 0)+1))&lt;=46.5,2,1)), IF(INDEX(ERP資料!$G:$G, (MATCH(596, 輔助計算!$G$2:$G$801, 0)+1))&lt;=790,3,IF(INDEX(ERP資料!$G:$G, (MATCH(596, 輔助計算!$G$2:$G$801, 0)+1))&lt;=1181,2,1))))=1,TEXT(INDEX(ERP資料!$G:$G, (MATCH(596, 輔助計算!$G$2:$G$801, 0)+1)),"0.##"),IF(MOD(INDEX(輔助計算!$D:$D, (MATCH(596, 輔助計算!$G$2:$G$801, 0)+1)),IF(INDEX(ERP資料!$G:$G, (MATCH(596, 輔助計算!$G$2:$G$801, 0)+1))&lt;100, IF(INDEX(ERP資料!$G:$G, (MATCH(596, 輔助計算!$G$2:$G$801, 0)+1))&lt;=31,3,IF(INDEX(ERP資料!$G:$G, (MATCH(596, 輔助計算!$G$2:$G$801, 0)+1))&lt;=46.5,2,1)), IF(INDEX(ERP資料!$G:$G, (MATCH(596, 輔助計算!$G$2:$G$801, 0)+1))&lt;=790,3,IF(INDEX(ERP資料!$G:$G, (MATCH(596, 輔助計算!$G$2:$G$801, 0)+1))&lt;=1181,2,1))))=2,TEXT(INDEX(ERP資料!$G:$G, (MATCH(596, 輔助計算!$G$2:$G$801, 0)+1)),"0.##")&amp;"+"&amp;TEXT(INDEX(ERP資料!$G:$G, (MATCH(596, 輔助計算!$G$2:$G$801, 0)+1)),"0.##"),TEXT(INDEX(ERP資料!$G:$G, (MATCH(596, 輔助計算!$G$2:$G$801, 0)+1)),"0.##")&amp;"+"&amp;TEXT(INDEX(ERP資料!$G:$G, (MATCH(596, 輔助計算!$G$2:$G$801, 0)+1)),"0.##")&amp;"+"&amp;TEXT(INDEX(ERP資料!$G:$G, (MATCH(596, 輔助計算!$G$2:$G$801, 0)+1)),"0.##"))))&amp;"-1")), ""), "")</f>
        <v/>
      </c>
      <c r="K597" s="16" t="n"/>
      <c r="L597" s="14">
        <f>IFERROR(IF(AND(IFERROR(INDEX(ERP資料!$A:$A, (MATCH(596, 輔助計算!$G$2:$G$801, 0)+1)), "")&lt;&gt;"", IFERROR(INDEX(ERP資料!$A:$A, (MATCH(596, 輔助計算!$G$2:$G$801, 0)+1)), "")&lt;&gt;IFERROR(INDEX(ERP資料!$A:$A, MATCH(595, 輔助計算!$G$2:$G$801, 0)+1), "")), INDEX(ERP資料!$B:$B, (MATCH(596, 輔助計算!$G$2:$G$801, 0)+1)), ""), "")</f>
        <v/>
      </c>
      <c r="M597" s="17" t="n"/>
    </row>
    <row r="598">
      <c r="A598" s="10">
        <f>IFERROR(IF(AND(IFERROR(INDEX(ERP資料!$A:$A, (MATCH(597, 輔助計算!$G$2:$G$801, 0)+1)), "")&lt;&gt;"", IFERROR(INDEX(ERP資料!$A:$A, (MATCH(597, 輔助計算!$G$2:$G$801, 0)+1)), "")&lt;&gt;IFERROR(INDEX(ERP資料!$A:$A, MATCH(596, 輔助計算!$G$2:$G$801, 0)+1), "")), IFERROR(INDEX(ERP資料!$A:$A, (MATCH(597, 輔助計算!$G$2:$G$801, 0)+1)), ""), ""), "")</f>
        <v/>
      </c>
      <c r="B598" s="10">
        <f>IFERROR(IF(AND(IFERROR(INDEX(ERP資料!$A:$A, (MATCH(597, 輔助計算!$G$2:$G$801, 0)+1)), "")&lt;&gt;"", IFERROR(INDEX(ERP資料!$A:$A, (MATCH(597, 輔助計算!$G$2:$G$801, 0)+1)), "")&lt;&gt;IFERROR(INDEX(ERP資料!$A:$A, MATCH(596, 輔助計算!$G$2:$G$801, 0)+1), "")), INDEX(ERP資料!$S:$S, (MATCH(597, 輔助計算!$G$2:$G$801, 0)+1)), ""), "")</f>
        <v/>
      </c>
      <c r="C598" s="19">
        <f>IFERROR(IF(AND(IFERROR(INDEX(ERP資料!$A:$A, (MATCH(597, 輔助計算!$G$2:$G$801, 0)+1)), "")&lt;&gt;"", IFERROR(INDEX(ERP資料!$A:$A, (MATCH(597, 輔助計算!$G$2:$G$801, 0)+1)), "")&lt;&gt;IFERROR(INDEX(ERP資料!$A:$A, MATCH(596, 輔助計算!$G$2:$G$801, 0)+1), "")), IFERROR(VLOOKUP(LEFT(INDEX(ERP資料!$S:$S, (MATCH(597, 輔助計算!$G$2:$G$801, 0)+1)), 4), 紙管對照表!$A:$C, 3, FALSE), ""), ""), "")</f>
        <v/>
      </c>
      <c r="D598" s="16" t="n"/>
      <c r="E598" s="10">
        <f>IFERROR(IF(INDEX(ERP資料!$H:$H, (MATCH(597, 輔助計算!$G$2:$G$801, 0)+1))="","",INDEX(ERP資料!$H:$H, (MATCH(597, 輔助計算!$G$2:$G$801, 0)+1))), "")</f>
        <v/>
      </c>
      <c r="F598" s="10">
        <f>IFERROR(IF(INDEX(ERP資料!$E:$E, (MATCH(597, 輔助計算!$G$2:$G$801, 0)+1))="","",TRIM(INDEX(ERP資料!$E:$E, (MATCH(597, 輔助計算!$G$2:$G$801, 0)+1)))), "")</f>
        <v/>
      </c>
      <c r="G598" s="10">
        <f>IFERROR(IF(INDEX(ERP資料!$F:$F, (MATCH(597, 輔助計算!$G$2:$G$801, 0)+1))="","",INDEX(ERP資料!$F:$F, (MATCH(597, 輔助計算!$G$2:$G$801, 0)+1))), "")</f>
        <v/>
      </c>
      <c r="H598" s="10">
        <f>IFERROR(IF(INDEX(ERP資料!$G:$G, (MATCH(597, 輔助計算!$G$2:$G$801, 0)+1))="","",INDEX(ERP資料!$G:$G, (MATCH(597, 輔助計算!$G$2:$G$801, 0)+1))), "")</f>
        <v/>
      </c>
      <c r="I598" s="15">
        <f>IFERROR(INDEX(輔助計算!$D:$D, (MATCH(597, 輔助計算!$G$2:$G$801, 0)+1)), "")</f>
        <v/>
      </c>
      <c r="J598" s="15">
        <f>IFERROR(IF(AND(INDEX(輔助計算!$D:$D, (MATCH(597, 輔助計算!$G$2:$G$801, 0)+1))&lt;&gt;"", INDEX(ERP資料!$G:$G, (MATCH(597, 輔助計算!$G$2:$G$801, 0)+1))&lt;&gt;""), TRIM(IF(INT(INDEX(輔助計算!$D:$D, (MATCH(597, 輔助計算!$G$2:$G$801, 0)+1))/IF(INDEX(ERP資料!$G:$G, (MATCH(597, 輔助計算!$G$2:$G$801, 0)+1))&lt;100, IF(INDEX(ERP資料!$G:$G, (MATCH(597, 輔助計算!$G$2:$G$801, 0)+1))&lt;=31,3,IF(INDEX(ERP資料!$G:$G, (MATCH(597, 輔助計算!$G$2:$G$801, 0)+1))&lt;=46.5,2,1)), IF(INDEX(ERP資料!$G:$G, (MATCH(597, 輔助計算!$G$2:$G$801, 0)+1))&lt;=790,3,IF(INDEX(ERP資料!$G:$G, (MATCH(597, 輔助計算!$G$2:$G$801, 0)+1))&lt;=1181,2,1))))&gt;0, IF(IF(INDEX(ERP資料!$G:$G, (MATCH(597, 輔助計算!$G$2:$G$801, 0)+1))&lt;100, IF(INDEX(ERP資料!$G:$G, (MATCH(597, 輔助計算!$G$2:$G$801, 0)+1))&lt;=31,3,IF(INDEX(ERP資料!$G:$G, (MATCH(597, 輔助計算!$G$2:$G$801, 0)+1))&lt;=46.5,2,1)), IF(INDEX(ERP資料!$G:$G, (MATCH(597, 輔助計算!$G$2:$G$801, 0)+1))&lt;=790,3,IF(INDEX(ERP資料!$G:$G, (MATCH(597, 輔助計算!$G$2:$G$801, 0)+1))&lt;=1181,2,1)))=1,TEXT(INDEX(ERP資料!$G:$G, (MATCH(597, 輔助計算!$G$2:$G$801, 0)+1)),"0.##"),IF(IF(INDEX(ERP資料!$G:$G, (MATCH(597, 輔助計算!$G$2:$G$801, 0)+1))&lt;100, IF(INDEX(ERP資料!$G:$G, (MATCH(597, 輔助計算!$G$2:$G$801, 0)+1))&lt;=31,3,IF(INDEX(ERP資料!$G:$G, (MATCH(597, 輔助計算!$G$2:$G$801, 0)+1))&lt;=46.5,2,1)), IF(INDEX(ERP資料!$G:$G, (MATCH(597, 輔助計算!$G$2:$G$801, 0)+1))&lt;=790,3,IF(INDEX(ERP資料!$G:$G, (MATCH(597, 輔助計算!$G$2:$G$801, 0)+1))&lt;=1181,2,1)))=2,TEXT(INDEX(ERP資料!$G:$G, (MATCH(597, 輔助計算!$G$2:$G$801, 0)+1)),"0.##")&amp;"+"&amp;TEXT(INDEX(ERP資料!$G:$G, (MATCH(597, 輔助計算!$G$2:$G$801, 0)+1)),"0.##"),TEXT(INDEX(ERP資料!$G:$G, (MATCH(597, 輔助計算!$G$2:$G$801, 0)+1)),"0.##")&amp;"+"&amp;TEXT(INDEX(ERP資料!$G:$G, (MATCH(597, 輔助計算!$G$2:$G$801, 0)+1)),"0.##")&amp;"+"&amp;TEXT(INDEX(ERP資料!$G:$G, (MATCH(597, 輔助計算!$G$2:$G$801, 0)+1)),"0.##")))&amp;"-"&amp;INT(INDEX(輔助計算!$D:$D, (MATCH(597, 輔助計算!$G$2:$G$801, 0)+1))/IF(INDEX(ERP資料!$G:$G, (MATCH(597, 輔助計算!$G$2:$G$801, 0)+1))&lt;100, IF(INDEX(ERP資料!$G:$G, (MATCH(597, 輔助計算!$G$2:$G$801, 0)+1))&lt;=31,3,IF(INDEX(ERP資料!$G:$G, (MATCH(597, 輔助計算!$G$2:$G$801, 0)+1))&lt;=46.5,2,1)), IF(INDEX(ERP資料!$G:$G, (MATCH(597, 輔助計算!$G$2:$G$801, 0)+1))&lt;=790,3,IF(INDEX(ERP資料!$G:$G, (MATCH(597, 輔助計算!$G$2:$G$801, 0)+1))&lt;=1181,2,1)))), "")&amp;IF(AND(IF(INT(INDEX(輔助計算!$D:$D, (MATCH(597, 輔助計算!$G$2:$G$801, 0)+1))/IF(INDEX(ERP資料!$G:$G, (MATCH(597, 輔助計算!$G$2:$G$801, 0)+1))&lt;100, IF(INDEX(ERP資料!$G:$G, (MATCH(597, 輔助計算!$G$2:$G$801, 0)+1))&lt;=31,3,IF(INDEX(ERP資料!$G:$G, (MATCH(597, 輔助計算!$G$2:$G$801, 0)+1))&lt;=46.5,2,1)), IF(INDEX(ERP資料!$G:$G, (MATCH(597, 輔助計算!$G$2:$G$801, 0)+1))&lt;=790,3,IF(INDEX(ERP資料!$G:$G, (MATCH(597, 輔助計算!$G$2:$G$801, 0)+1))&lt;=1181,2,1))))&gt;0, IF(IF(INDEX(ERP資料!$G:$G, (MATCH(597, 輔助計算!$G$2:$G$801, 0)+1))&lt;100, IF(INDEX(ERP資料!$G:$G, (MATCH(597, 輔助計算!$G$2:$G$801, 0)+1))&lt;=31,3,IF(INDEX(ERP資料!$G:$G, (MATCH(597, 輔助計算!$G$2:$G$801, 0)+1))&lt;=46.5,2,1)), IF(INDEX(ERP資料!$G:$G, (MATCH(597, 輔助計算!$G$2:$G$801, 0)+1))&lt;=790,3,IF(INDEX(ERP資料!$G:$G, (MATCH(597, 輔助計算!$G$2:$G$801, 0)+1))&lt;=1181,2,1)))=1,TEXT(INDEX(ERP資料!$G:$G, (MATCH(597, 輔助計算!$G$2:$G$801, 0)+1)),"0.##"),IF(IF(INDEX(ERP資料!$G:$G, (MATCH(597, 輔助計算!$G$2:$G$801, 0)+1))&lt;100, IF(INDEX(ERP資料!$G:$G, (MATCH(597, 輔助計算!$G$2:$G$801, 0)+1))&lt;=31,3,IF(INDEX(ERP資料!$G:$G, (MATCH(597, 輔助計算!$G$2:$G$801, 0)+1))&lt;=46.5,2,1)), IF(INDEX(ERP資料!$G:$G, (MATCH(597, 輔助計算!$G$2:$G$801, 0)+1))&lt;=790,3,IF(INDEX(ERP資料!$G:$G, (MATCH(597, 輔助計算!$G$2:$G$801, 0)+1))&lt;=1181,2,1)))=2,TEXT(INDEX(ERP資料!$G:$G, (MATCH(597, 輔助計算!$G$2:$G$801, 0)+1)),"0.##")&amp;"+"&amp;TEXT(INDEX(ERP資料!$G:$G, (MATCH(597, 輔助計算!$G$2:$G$801, 0)+1)),"0.##"),TEXT(INDEX(ERP資料!$G:$G, (MATCH(597, 輔助計算!$G$2:$G$801, 0)+1)),"0.##")&amp;"+"&amp;TEXT(INDEX(ERP資料!$G:$G, (MATCH(597, 輔助計算!$G$2:$G$801, 0)+1)),"0.##")&amp;"+"&amp;TEXT(INDEX(ERP資料!$G:$G, (MATCH(597, 輔助計算!$G$2:$G$801, 0)+1)),"0.##")))&amp;"-"&amp;INT(INDEX(輔助計算!$D:$D, (MATCH(597, 輔助計算!$G$2:$G$801, 0)+1))/IF(INDEX(ERP資料!$G:$G, (MATCH(597, 輔助計算!$G$2:$G$801, 0)+1))&lt;100, IF(INDEX(ERP資料!$G:$G, (MATCH(597, 輔助計算!$G$2:$G$801, 0)+1))&lt;=31,3,IF(INDEX(ERP資料!$G:$G, (MATCH(597, 輔助計算!$G$2:$G$801, 0)+1))&lt;=46.5,2,1)), IF(INDEX(ERP資料!$G:$G, (MATCH(597, 輔助計算!$G$2:$G$801, 0)+1))&lt;=790,3,IF(INDEX(ERP資料!$G:$G, (MATCH(597, 輔助計算!$G$2:$G$801, 0)+1))&lt;=1181,2,1)))), "")&lt;&gt;"",IF(MOD(INDEX(輔助計算!$D:$D, (MATCH(597, 輔助計算!$G$2:$G$801, 0)+1)),IF(INDEX(ERP資料!$G:$G, (MATCH(597, 輔助計算!$G$2:$G$801, 0)+1))&lt;100, IF(INDEX(ERP資料!$G:$G, (MATCH(597, 輔助計算!$G$2:$G$801, 0)+1))&lt;=31,3,IF(INDEX(ERP資料!$G:$G, (MATCH(597, 輔助計算!$G$2:$G$801, 0)+1))&lt;=46.5,2,1)), IF(INDEX(ERP資料!$G:$G, (MATCH(597, 輔助計算!$G$2:$G$801, 0)+1))&lt;=790,3,IF(INDEX(ERP資料!$G:$G, (MATCH(597, 輔助計算!$G$2:$G$801, 0)+1))&lt;=1181,2,1))))=0,"",IF(MOD(INDEX(輔助計算!$D:$D, (MATCH(597, 輔助計算!$G$2:$G$801, 0)+1)),IF(INDEX(ERP資料!$G:$G, (MATCH(597, 輔助計算!$G$2:$G$801, 0)+1))&lt;100, IF(INDEX(ERP資料!$G:$G, (MATCH(597, 輔助計算!$G$2:$G$801, 0)+1))&lt;=31,3,IF(INDEX(ERP資料!$G:$G, (MATCH(597, 輔助計算!$G$2:$G$801, 0)+1))&lt;=46.5,2,1)), IF(INDEX(ERP資料!$G:$G, (MATCH(597, 輔助計算!$G$2:$G$801, 0)+1))&lt;=790,3,IF(INDEX(ERP資料!$G:$G, (MATCH(597, 輔助計算!$G$2:$G$801, 0)+1))&lt;=1181,2,1))))=0,"",IF(MOD(INDEX(輔助計算!$D:$D, (MATCH(597, 輔助計算!$G$2:$G$801, 0)+1)),IF(INDEX(ERP資料!$G:$G, (MATCH(597, 輔助計算!$G$2:$G$801, 0)+1))&lt;100, IF(INDEX(ERP資料!$G:$G, (MATCH(597, 輔助計算!$G$2:$G$801, 0)+1))&lt;=31,3,IF(INDEX(ERP資料!$G:$G, (MATCH(597, 輔助計算!$G$2:$G$801, 0)+1))&lt;=46.5,2,1)), IF(INDEX(ERP資料!$G:$G, (MATCH(597, 輔助計算!$G$2:$G$801, 0)+1))&lt;=790,3,IF(INDEX(ERP資料!$G:$G, (MATCH(597, 輔助計算!$G$2:$G$801, 0)+1))&lt;=1181,2,1))))=1,TEXT(INDEX(ERP資料!$G:$G, (MATCH(597, 輔助計算!$G$2:$G$801, 0)+1)),"0.##"),IF(MOD(INDEX(輔助計算!$D:$D, (MATCH(597, 輔助計算!$G$2:$G$801, 0)+1)),IF(INDEX(ERP資料!$G:$G, (MATCH(597, 輔助計算!$G$2:$G$801, 0)+1))&lt;100, IF(INDEX(ERP資料!$G:$G, (MATCH(597, 輔助計算!$G$2:$G$801, 0)+1))&lt;=31,3,IF(INDEX(ERP資料!$G:$G, (MATCH(597, 輔助計算!$G$2:$G$801, 0)+1))&lt;=46.5,2,1)), IF(INDEX(ERP資料!$G:$G, (MATCH(597, 輔助計算!$G$2:$G$801, 0)+1))&lt;=790,3,IF(INDEX(ERP資料!$G:$G, (MATCH(597, 輔助計算!$G$2:$G$801, 0)+1))&lt;=1181,2,1))))=2,TEXT(INDEX(ERP資料!$G:$G, (MATCH(597, 輔助計算!$G$2:$G$801, 0)+1)),"0.##")&amp;"+"&amp;TEXT(INDEX(ERP資料!$G:$G, (MATCH(597, 輔助計算!$G$2:$G$801, 0)+1)),"0.##"),TEXT(INDEX(ERP資料!$G:$G, (MATCH(597, 輔助計算!$G$2:$G$801, 0)+1)),"0.##")&amp;"+"&amp;TEXT(INDEX(ERP資料!$G:$G, (MATCH(597, 輔助計算!$G$2:$G$801, 0)+1)),"0.##")&amp;"+"&amp;TEXT(INDEX(ERP資料!$G:$G, (MATCH(597, 輔助計算!$G$2:$G$801, 0)+1)),"0.##"))))&amp;"-1")&lt;&gt;""),"  ","")&amp;IF(MOD(INDEX(輔助計算!$D:$D, (MATCH(597, 輔助計算!$G$2:$G$801, 0)+1)),IF(INDEX(ERP資料!$G:$G, (MATCH(597, 輔助計算!$G$2:$G$801, 0)+1))&lt;100, IF(INDEX(ERP資料!$G:$G, (MATCH(597, 輔助計算!$G$2:$G$801, 0)+1))&lt;=31,3,IF(INDEX(ERP資料!$G:$G, (MATCH(597, 輔助計算!$G$2:$G$801, 0)+1))&lt;=46.5,2,1)), IF(INDEX(ERP資料!$G:$G, (MATCH(597, 輔助計算!$G$2:$G$801, 0)+1))&lt;=790,3,IF(INDEX(ERP資料!$G:$G, (MATCH(597, 輔助計算!$G$2:$G$801, 0)+1))&lt;=1181,2,1))))=0,"",IF(MOD(INDEX(輔助計算!$D:$D, (MATCH(597, 輔助計算!$G$2:$G$801, 0)+1)),IF(INDEX(ERP資料!$G:$G, (MATCH(597, 輔助計算!$G$2:$G$801, 0)+1))&lt;100, IF(INDEX(ERP資料!$G:$G, (MATCH(597, 輔助計算!$G$2:$G$801, 0)+1))&lt;=31,3,IF(INDEX(ERP資料!$G:$G, (MATCH(597, 輔助計算!$G$2:$G$801, 0)+1))&lt;=46.5,2,1)), IF(INDEX(ERP資料!$G:$G, (MATCH(597, 輔助計算!$G$2:$G$801, 0)+1))&lt;=790,3,IF(INDEX(ERP資料!$G:$G, (MATCH(597, 輔助計算!$G$2:$G$801, 0)+1))&lt;=1181,2,1))))=0,"",IF(MOD(INDEX(輔助計算!$D:$D, (MATCH(597, 輔助計算!$G$2:$G$801, 0)+1)),IF(INDEX(ERP資料!$G:$G, (MATCH(597, 輔助計算!$G$2:$G$801, 0)+1))&lt;100, IF(INDEX(ERP資料!$G:$G, (MATCH(597, 輔助計算!$G$2:$G$801, 0)+1))&lt;=31,3,IF(INDEX(ERP資料!$G:$G, (MATCH(597, 輔助計算!$G$2:$G$801, 0)+1))&lt;=46.5,2,1)), IF(INDEX(ERP資料!$G:$G, (MATCH(597, 輔助計算!$G$2:$G$801, 0)+1))&lt;=790,3,IF(INDEX(ERP資料!$G:$G, (MATCH(597, 輔助計算!$G$2:$G$801, 0)+1))&lt;=1181,2,1))))=1,TEXT(INDEX(ERP資料!$G:$G, (MATCH(597, 輔助計算!$G$2:$G$801, 0)+1)),"0.##"),IF(MOD(INDEX(輔助計算!$D:$D, (MATCH(597, 輔助計算!$G$2:$G$801, 0)+1)),IF(INDEX(ERP資料!$G:$G, (MATCH(597, 輔助計算!$G$2:$G$801, 0)+1))&lt;100, IF(INDEX(ERP資料!$G:$G, (MATCH(597, 輔助計算!$G$2:$G$801, 0)+1))&lt;=31,3,IF(INDEX(ERP資料!$G:$G, (MATCH(597, 輔助計算!$G$2:$G$801, 0)+1))&lt;=46.5,2,1)), IF(INDEX(ERP資料!$G:$G, (MATCH(597, 輔助計算!$G$2:$G$801, 0)+1))&lt;=790,3,IF(INDEX(ERP資料!$G:$G, (MATCH(597, 輔助計算!$G$2:$G$801, 0)+1))&lt;=1181,2,1))))=2,TEXT(INDEX(ERP資料!$G:$G, (MATCH(597, 輔助計算!$G$2:$G$801, 0)+1)),"0.##")&amp;"+"&amp;TEXT(INDEX(ERP資料!$G:$G, (MATCH(597, 輔助計算!$G$2:$G$801, 0)+1)),"0.##"),TEXT(INDEX(ERP資料!$G:$G, (MATCH(597, 輔助計算!$G$2:$G$801, 0)+1)),"0.##")&amp;"+"&amp;TEXT(INDEX(ERP資料!$G:$G, (MATCH(597, 輔助計算!$G$2:$G$801, 0)+1)),"0.##")&amp;"+"&amp;TEXT(INDEX(ERP資料!$G:$G, (MATCH(597, 輔助計算!$G$2:$G$801, 0)+1)),"0.##"))))&amp;"-1")), ""), "")</f>
        <v/>
      </c>
      <c r="K598" s="16" t="n"/>
      <c r="L598" s="14">
        <f>IFERROR(IF(AND(IFERROR(INDEX(ERP資料!$A:$A, (MATCH(597, 輔助計算!$G$2:$G$801, 0)+1)), "")&lt;&gt;"", IFERROR(INDEX(ERP資料!$A:$A, (MATCH(597, 輔助計算!$G$2:$G$801, 0)+1)), "")&lt;&gt;IFERROR(INDEX(ERP資料!$A:$A, MATCH(596, 輔助計算!$G$2:$G$801, 0)+1), "")), INDEX(ERP資料!$B:$B, (MATCH(597, 輔助計算!$G$2:$G$801, 0)+1)), ""), "")</f>
        <v/>
      </c>
      <c r="M598" s="17" t="n"/>
    </row>
    <row r="599">
      <c r="A599" s="10">
        <f>IFERROR(IF(AND(IFERROR(INDEX(ERP資料!$A:$A, (MATCH(598, 輔助計算!$G$2:$G$801, 0)+1)), "")&lt;&gt;"", IFERROR(INDEX(ERP資料!$A:$A, (MATCH(598, 輔助計算!$G$2:$G$801, 0)+1)), "")&lt;&gt;IFERROR(INDEX(ERP資料!$A:$A, MATCH(597, 輔助計算!$G$2:$G$801, 0)+1), "")), IFERROR(INDEX(ERP資料!$A:$A, (MATCH(598, 輔助計算!$G$2:$G$801, 0)+1)), ""), ""), "")</f>
        <v/>
      </c>
      <c r="B599" s="10">
        <f>IFERROR(IF(AND(IFERROR(INDEX(ERP資料!$A:$A, (MATCH(598, 輔助計算!$G$2:$G$801, 0)+1)), "")&lt;&gt;"", IFERROR(INDEX(ERP資料!$A:$A, (MATCH(598, 輔助計算!$G$2:$G$801, 0)+1)), "")&lt;&gt;IFERROR(INDEX(ERP資料!$A:$A, MATCH(597, 輔助計算!$G$2:$G$801, 0)+1), "")), INDEX(ERP資料!$S:$S, (MATCH(598, 輔助計算!$G$2:$G$801, 0)+1)), ""), "")</f>
        <v/>
      </c>
      <c r="C599" s="19">
        <f>IFERROR(IF(AND(IFERROR(INDEX(ERP資料!$A:$A, (MATCH(598, 輔助計算!$G$2:$G$801, 0)+1)), "")&lt;&gt;"", IFERROR(INDEX(ERP資料!$A:$A, (MATCH(598, 輔助計算!$G$2:$G$801, 0)+1)), "")&lt;&gt;IFERROR(INDEX(ERP資料!$A:$A, MATCH(597, 輔助計算!$G$2:$G$801, 0)+1), "")), IFERROR(VLOOKUP(LEFT(INDEX(ERP資料!$S:$S, (MATCH(598, 輔助計算!$G$2:$G$801, 0)+1)), 4), 紙管對照表!$A:$C, 3, FALSE), ""), ""), "")</f>
        <v/>
      </c>
      <c r="D599" s="16" t="n"/>
      <c r="E599" s="10">
        <f>IFERROR(IF(INDEX(ERP資料!$H:$H, (MATCH(598, 輔助計算!$G$2:$G$801, 0)+1))="","",INDEX(ERP資料!$H:$H, (MATCH(598, 輔助計算!$G$2:$G$801, 0)+1))), "")</f>
        <v/>
      </c>
      <c r="F599" s="10">
        <f>IFERROR(IF(INDEX(ERP資料!$E:$E, (MATCH(598, 輔助計算!$G$2:$G$801, 0)+1))="","",TRIM(INDEX(ERP資料!$E:$E, (MATCH(598, 輔助計算!$G$2:$G$801, 0)+1)))), "")</f>
        <v/>
      </c>
      <c r="G599" s="10">
        <f>IFERROR(IF(INDEX(ERP資料!$F:$F, (MATCH(598, 輔助計算!$G$2:$G$801, 0)+1))="","",INDEX(ERP資料!$F:$F, (MATCH(598, 輔助計算!$G$2:$G$801, 0)+1))), "")</f>
        <v/>
      </c>
      <c r="H599" s="10">
        <f>IFERROR(IF(INDEX(ERP資料!$G:$G, (MATCH(598, 輔助計算!$G$2:$G$801, 0)+1))="","",INDEX(ERP資料!$G:$G, (MATCH(598, 輔助計算!$G$2:$G$801, 0)+1))), "")</f>
        <v/>
      </c>
      <c r="I599" s="15">
        <f>IFERROR(INDEX(輔助計算!$D:$D, (MATCH(598, 輔助計算!$G$2:$G$801, 0)+1)), "")</f>
        <v/>
      </c>
      <c r="J599" s="15">
        <f>IFERROR(IF(AND(INDEX(輔助計算!$D:$D, (MATCH(598, 輔助計算!$G$2:$G$801, 0)+1))&lt;&gt;"", INDEX(ERP資料!$G:$G, (MATCH(598, 輔助計算!$G$2:$G$801, 0)+1))&lt;&gt;""), TRIM(IF(INT(INDEX(輔助計算!$D:$D, (MATCH(598, 輔助計算!$G$2:$G$801, 0)+1))/IF(INDEX(ERP資料!$G:$G, (MATCH(598, 輔助計算!$G$2:$G$801, 0)+1))&lt;100, IF(INDEX(ERP資料!$G:$G, (MATCH(598, 輔助計算!$G$2:$G$801, 0)+1))&lt;=31,3,IF(INDEX(ERP資料!$G:$G, (MATCH(598, 輔助計算!$G$2:$G$801, 0)+1))&lt;=46.5,2,1)), IF(INDEX(ERP資料!$G:$G, (MATCH(598, 輔助計算!$G$2:$G$801, 0)+1))&lt;=790,3,IF(INDEX(ERP資料!$G:$G, (MATCH(598, 輔助計算!$G$2:$G$801, 0)+1))&lt;=1181,2,1))))&gt;0, IF(IF(INDEX(ERP資料!$G:$G, (MATCH(598, 輔助計算!$G$2:$G$801, 0)+1))&lt;100, IF(INDEX(ERP資料!$G:$G, (MATCH(598, 輔助計算!$G$2:$G$801, 0)+1))&lt;=31,3,IF(INDEX(ERP資料!$G:$G, (MATCH(598, 輔助計算!$G$2:$G$801, 0)+1))&lt;=46.5,2,1)), IF(INDEX(ERP資料!$G:$G, (MATCH(598, 輔助計算!$G$2:$G$801, 0)+1))&lt;=790,3,IF(INDEX(ERP資料!$G:$G, (MATCH(598, 輔助計算!$G$2:$G$801, 0)+1))&lt;=1181,2,1)))=1,TEXT(INDEX(ERP資料!$G:$G, (MATCH(598, 輔助計算!$G$2:$G$801, 0)+1)),"0.##"),IF(IF(INDEX(ERP資料!$G:$G, (MATCH(598, 輔助計算!$G$2:$G$801, 0)+1))&lt;100, IF(INDEX(ERP資料!$G:$G, (MATCH(598, 輔助計算!$G$2:$G$801, 0)+1))&lt;=31,3,IF(INDEX(ERP資料!$G:$G, (MATCH(598, 輔助計算!$G$2:$G$801, 0)+1))&lt;=46.5,2,1)), IF(INDEX(ERP資料!$G:$G, (MATCH(598, 輔助計算!$G$2:$G$801, 0)+1))&lt;=790,3,IF(INDEX(ERP資料!$G:$G, (MATCH(598, 輔助計算!$G$2:$G$801, 0)+1))&lt;=1181,2,1)))=2,TEXT(INDEX(ERP資料!$G:$G, (MATCH(598, 輔助計算!$G$2:$G$801, 0)+1)),"0.##")&amp;"+"&amp;TEXT(INDEX(ERP資料!$G:$G, (MATCH(598, 輔助計算!$G$2:$G$801, 0)+1)),"0.##"),TEXT(INDEX(ERP資料!$G:$G, (MATCH(598, 輔助計算!$G$2:$G$801, 0)+1)),"0.##")&amp;"+"&amp;TEXT(INDEX(ERP資料!$G:$G, (MATCH(598, 輔助計算!$G$2:$G$801, 0)+1)),"0.##")&amp;"+"&amp;TEXT(INDEX(ERP資料!$G:$G, (MATCH(598, 輔助計算!$G$2:$G$801, 0)+1)),"0.##")))&amp;"-"&amp;INT(INDEX(輔助計算!$D:$D, (MATCH(598, 輔助計算!$G$2:$G$801, 0)+1))/IF(INDEX(ERP資料!$G:$G, (MATCH(598, 輔助計算!$G$2:$G$801, 0)+1))&lt;100, IF(INDEX(ERP資料!$G:$G, (MATCH(598, 輔助計算!$G$2:$G$801, 0)+1))&lt;=31,3,IF(INDEX(ERP資料!$G:$G, (MATCH(598, 輔助計算!$G$2:$G$801, 0)+1))&lt;=46.5,2,1)), IF(INDEX(ERP資料!$G:$G, (MATCH(598, 輔助計算!$G$2:$G$801, 0)+1))&lt;=790,3,IF(INDEX(ERP資料!$G:$G, (MATCH(598, 輔助計算!$G$2:$G$801, 0)+1))&lt;=1181,2,1)))), "")&amp;IF(AND(IF(INT(INDEX(輔助計算!$D:$D, (MATCH(598, 輔助計算!$G$2:$G$801, 0)+1))/IF(INDEX(ERP資料!$G:$G, (MATCH(598, 輔助計算!$G$2:$G$801, 0)+1))&lt;100, IF(INDEX(ERP資料!$G:$G, (MATCH(598, 輔助計算!$G$2:$G$801, 0)+1))&lt;=31,3,IF(INDEX(ERP資料!$G:$G, (MATCH(598, 輔助計算!$G$2:$G$801, 0)+1))&lt;=46.5,2,1)), IF(INDEX(ERP資料!$G:$G, (MATCH(598, 輔助計算!$G$2:$G$801, 0)+1))&lt;=790,3,IF(INDEX(ERP資料!$G:$G, (MATCH(598, 輔助計算!$G$2:$G$801, 0)+1))&lt;=1181,2,1))))&gt;0, IF(IF(INDEX(ERP資料!$G:$G, (MATCH(598, 輔助計算!$G$2:$G$801, 0)+1))&lt;100, IF(INDEX(ERP資料!$G:$G, (MATCH(598, 輔助計算!$G$2:$G$801, 0)+1))&lt;=31,3,IF(INDEX(ERP資料!$G:$G, (MATCH(598, 輔助計算!$G$2:$G$801, 0)+1))&lt;=46.5,2,1)), IF(INDEX(ERP資料!$G:$G, (MATCH(598, 輔助計算!$G$2:$G$801, 0)+1))&lt;=790,3,IF(INDEX(ERP資料!$G:$G, (MATCH(598, 輔助計算!$G$2:$G$801, 0)+1))&lt;=1181,2,1)))=1,TEXT(INDEX(ERP資料!$G:$G, (MATCH(598, 輔助計算!$G$2:$G$801, 0)+1)),"0.##"),IF(IF(INDEX(ERP資料!$G:$G, (MATCH(598, 輔助計算!$G$2:$G$801, 0)+1))&lt;100, IF(INDEX(ERP資料!$G:$G, (MATCH(598, 輔助計算!$G$2:$G$801, 0)+1))&lt;=31,3,IF(INDEX(ERP資料!$G:$G, (MATCH(598, 輔助計算!$G$2:$G$801, 0)+1))&lt;=46.5,2,1)), IF(INDEX(ERP資料!$G:$G, (MATCH(598, 輔助計算!$G$2:$G$801, 0)+1))&lt;=790,3,IF(INDEX(ERP資料!$G:$G, (MATCH(598, 輔助計算!$G$2:$G$801, 0)+1))&lt;=1181,2,1)))=2,TEXT(INDEX(ERP資料!$G:$G, (MATCH(598, 輔助計算!$G$2:$G$801, 0)+1)),"0.##")&amp;"+"&amp;TEXT(INDEX(ERP資料!$G:$G, (MATCH(598, 輔助計算!$G$2:$G$801, 0)+1)),"0.##"),TEXT(INDEX(ERP資料!$G:$G, (MATCH(598, 輔助計算!$G$2:$G$801, 0)+1)),"0.##")&amp;"+"&amp;TEXT(INDEX(ERP資料!$G:$G, (MATCH(598, 輔助計算!$G$2:$G$801, 0)+1)),"0.##")&amp;"+"&amp;TEXT(INDEX(ERP資料!$G:$G, (MATCH(598, 輔助計算!$G$2:$G$801, 0)+1)),"0.##")))&amp;"-"&amp;INT(INDEX(輔助計算!$D:$D, (MATCH(598, 輔助計算!$G$2:$G$801, 0)+1))/IF(INDEX(ERP資料!$G:$G, (MATCH(598, 輔助計算!$G$2:$G$801, 0)+1))&lt;100, IF(INDEX(ERP資料!$G:$G, (MATCH(598, 輔助計算!$G$2:$G$801, 0)+1))&lt;=31,3,IF(INDEX(ERP資料!$G:$G, (MATCH(598, 輔助計算!$G$2:$G$801, 0)+1))&lt;=46.5,2,1)), IF(INDEX(ERP資料!$G:$G, (MATCH(598, 輔助計算!$G$2:$G$801, 0)+1))&lt;=790,3,IF(INDEX(ERP資料!$G:$G, (MATCH(598, 輔助計算!$G$2:$G$801, 0)+1))&lt;=1181,2,1)))), "")&lt;&gt;"",IF(MOD(INDEX(輔助計算!$D:$D, (MATCH(598, 輔助計算!$G$2:$G$801, 0)+1)),IF(INDEX(ERP資料!$G:$G, (MATCH(598, 輔助計算!$G$2:$G$801, 0)+1))&lt;100, IF(INDEX(ERP資料!$G:$G, (MATCH(598, 輔助計算!$G$2:$G$801, 0)+1))&lt;=31,3,IF(INDEX(ERP資料!$G:$G, (MATCH(598, 輔助計算!$G$2:$G$801, 0)+1))&lt;=46.5,2,1)), IF(INDEX(ERP資料!$G:$G, (MATCH(598, 輔助計算!$G$2:$G$801, 0)+1))&lt;=790,3,IF(INDEX(ERP資料!$G:$G, (MATCH(598, 輔助計算!$G$2:$G$801, 0)+1))&lt;=1181,2,1))))=0,"",IF(MOD(INDEX(輔助計算!$D:$D, (MATCH(598, 輔助計算!$G$2:$G$801, 0)+1)),IF(INDEX(ERP資料!$G:$G, (MATCH(598, 輔助計算!$G$2:$G$801, 0)+1))&lt;100, IF(INDEX(ERP資料!$G:$G, (MATCH(598, 輔助計算!$G$2:$G$801, 0)+1))&lt;=31,3,IF(INDEX(ERP資料!$G:$G, (MATCH(598, 輔助計算!$G$2:$G$801, 0)+1))&lt;=46.5,2,1)), IF(INDEX(ERP資料!$G:$G, (MATCH(598, 輔助計算!$G$2:$G$801, 0)+1))&lt;=790,3,IF(INDEX(ERP資料!$G:$G, (MATCH(598, 輔助計算!$G$2:$G$801, 0)+1))&lt;=1181,2,1))))=0,"",IF(MOD(INDEX(輔助計算!$D:$D, (MATCH(598, 輔助計算!$G$2:$G$801, 0)+1)),IF(INDEX(ERP資料!$G:$G, (MATCH(598, 輔助計算!$G$2:$G$801, 0)+1))&lt;100, IF(INDEX(ERP資料!$G:$G, (MATCH(598, 輔助計算!$G$2:$G$801, 0)+1))&lt;=31,3,IF(INDEX(ERP資料!$G:$G, (MATCH(598, 輔助計算!$G$2:$G$801, 0)+1))&lt;=46.5,2,1)), IF(INDEX(ERP資料!$G:$G, (MATCH(598, 輔助計算!$G$2:$G$801, 0)+1))&lt;=790,3,IF(INDEX(ERP資料!$G:$G, (MATCH(598, 輔助計算!$G$2:$G$801, 0)+1))&lt;=1181,2,1))))=1,TEXT(INDEX(ERP資料!$G:$G, (MATCH(598, 輔助計算!$G$2:$G$801, 0)+1)),"0.##"),IF(MOD(INDEX(輔助計算!$D:$D, (MATCH(598, 輔助計算!$G$2:$G$801, 0)+1)),IF(INDEX(ERP資料!$G:$G, (MATCH(598, 輔助計算!$G$2:$G$801, 0)+1))&lt;100, IF(INDEX(ERP資料!$G:$G, (MATCH(598, 輔助計算!$G$2:$G$801, 0)+1))&lt;=31,3,IF(INDEX(ERP資料!$G:$G, (MATCH(598, 輔助計算!$G$2:$G$801, 0)+1))&lt;=46.5,2,1)), IF(INDEX(ERP資料!$G:$G, (MATCH(598, 輔助計算!$G$2:$G$801, 0)+1))&lt;=790,3,IF(INDEX(ERP資料!$G:$G, (MATCH(598, 輔助計算!$G$2:$G$801, 0)+1))&lt;=1181,2,1))))=2,TEXT(INDEX(ERP資料!$G:$G, (MATCH(598, 輔助計算!$G$2:$G$801, 0)+1)),"0.##")&amp;"+"&amp;TEXT(INDEX(ERP資料!$G:$G, (MATCH(598, 輔助計算!$G$2:$G$801, 0)+1)),"0.##"),TEXT(INDEX(ERP資料!$G:$G, (MATCH(598, 輔助計算!$G$2:$G$801, 0)+1)),"0.##")&amp;"+"&amp;TEXT(INDEX(ERP資料!$G:$G, (MATCH(598, 輔助計算!$G$2:$G$801, 0)+1)),"0.##")&amp;"+"&amp;TEXT(INDEX(ERP資料!$G:$G, (MATCH(598, 輔助計算!$G$2:$G$801, 0)+1)),"0.##"))))&amp;"-1")&lt;&gt;""),"  ","")&amp;IF(MOD(INDEX(輔助計算!$D:$D, (MATCH(598, 輔助計算!$G$2:$G$801, 0)+1)),IF(INDEX(ERP資料!$G:$G, (MATCH(598, 輔助計算!$G$2:$G$801, 0)+1))&lt;100, IF(INDEX(ERP資料!$G:$G, (MATCH(598, 輔助計算!$G$2:$G$801, 0)+1))&lt;=31,3,IF(INDEX(ERP資料!$G:$G, (MATCH(598, 輔助計算!$G$2:$G$801, 0)+1))&lt;=46.5,2,1)), IF(INDEX(ERP資料!$G:$G, (MATCH(598, 輔助計算!$G$2:$G$801, 0)+1))&lt;=790,3,IF(INDEX(ERP資料!$G:$G, (MATCH(598, 輔助計算!$G$2:$G$801, 0)+1))&lt;=1181,2,1))))=0,"",IF(MOD(INDEX(輔助計算!$D:$D, (MATCH(598, 輔助計算!$G$2:$G$801, 0)+1)),IF(INDEX(ERP資料!$G:$G, (MATCH(598, 輔助計算!$G$2:$G$801, 0)+1))&lt;100, IF(INDEX(ERP資料!$G:$G, (MATCH(598, 輔助計算!$G$2:$G$801, 0)+1))&lt;=31,3,IF(INDEX(ERP資料!$G:$G, (MATCH(598, 輔助計算!$G$2:$G$801, 0)+1))&lt;=46.5,2,1)), IF(INDEX(ERP資料!$G:$G, (MATCH(598, 輔助計算!$G$2:$G$801, 0)+1))&lt;=790,3,IF(INDEX(ERP資料!$G:$G, (MATCH(598, 輔助計算!$G$2:$G$801, 0)+1))&lt;=1181,2,1))))=0,"",IF(MOD(INDEX(輔助計算!$D:$D, (MATCH(598, 輔助計算!$G$2:$G$801, 0)+1)),IF(INDEX(ERP資料!$G:$G, (MATCH(598, 輔助計算!$G$2:$G$801, 0)+1))&lt;100, IF(INDEX(ERP資料!$G:$G, (MATCH(598, 輔助計算!$G$2:$G$801, 0)+1))&lt;=31,3,IF(INDEX(ERP資料!$G:$G, (MATCH(598, 輔助計算!$G$2:$G$801, 0)+1))&lt;=46.5,2,1)), IF(INDEX(ERP資料!$G:$G, (MATCH(598, 輔助計算!$G$2:$G$801, 0)+1))&lt;=790,3,IF(INDEX(ERP資料!$G:$G, (MATCH(598, 輔助計算!$G$2:$G$801, 0)+1))&lt;=1181,2,1))))=1,TEXT(INDEX(ERP資料!$G:$G, (MATCH(598, 輔助計算!$G$2:$G$801, 0)+1)),"0.##"),IF(MOD(INDEX(輔助計算!$D:$D, (MATCH(598, 輔助計算!$G$2:$G$801, 0)+1)),IF(INDEX(ERP資料!$G:$G, (MATCH(598, 輔助計算!$G$2:$G$801, 0)+1))&lt;100, IF(INDEX(ERP資料!$G:$G, (MATCH(598, 輔助計算!$G$2:$G$801, 0)+1))&lt;=31,3,IF(INDEX(ERP資料!$G:$G, (MATCH(598, 輔助計算!$G$2:$G$801, 0)+1))&lt;=46.5,2,1)), IF(INDEX(ERP資料!$G:$G, (MATCH(598, 輔助計算!$G$2:$G$801, 0)+1))&lt;=790,3,IF(INDEX(ERP資料!$G:$G, (MATCH(598, 輔助計算!$G$2:$G$801, 0)+1))&lt;=1181,2,1))))=2,TEXT(INDEX(ERP資料!$G:$G, (MATCH(598, 輔助計算!$G$2:$G$801, 0)+1)),"0.##")&amp;"+"&amp;TEXT(INDEX(ERP資料!$G:$G, (MATCH(598, 輔助計算!$G$2:$G$801, 0)+1)),"0.##"),TEXT(INDEX(ERP資料!$G:$G, (MATCH(598, 輔助計算!$G$2:$G$801, 0)+1)),"0.##")&amp;"+"&amp;TEXT(INDEX(ERP資料!$G:$G, (MATCH(598, 輔助計算!$G$2:$G$801, 0)+1)),"0.##")&amp;"+"&amp;TEXT(INDEX(ERP資料!$G:$G, (MATCH(598, 輔助計算!$G$2:$G$801, 0)+1)),"0.##"))))&amp;"-1")), ""), "")</f>
        <v/>
      </c>
      <c r="K599" s="16" t="n"/>
      <c r="L599" s="14">
        <f>IFERROR(IF(AND(IFERROR(INDEX(ERP資料!$A:$A, (MATCH(598, 輔助計算!$G$2:$G$801, 0)+1)), "")&lt;&gt;"", IFERROR(INDEX(ERP資料!$A:$A, (MATCH(598, 輔助計算!$G$2:$G$801, 0)+1)), "")&lt;&gt;IFERROR(INDEX(ERP資料!$A:$A, MATCH(597, 輔助計算!$G$2:$G$801, 0)+1), "")), INDEX(ERP資料!$B:$B, (MATCH(598, 輔助計算!$G$2:$G$801, 0)+1)), ""), "")</f>
        <v/>
      </c>
      <c r="M599" s="17" t="n"/>
    </row>
    <row r="600">
      <c r="A600" s="10">
        <f>IFERROR(IF(AND(IFERROR(INDEX(ERP資料!$A:$A, (MATCH(599, 輔助計算!$G$2:$G$801, 0)+1)), "")&lt;&gt;"", IFERROR(INDEX(ERP資料!$A:$A, (MATCH(599, 輔助計算!$G$2:$G$801, 0)+1)), "")&lt;&gt;IFERROR(INDEX(ERP資料!$A:$A, MATCH(598, 輔助計算!$G$2:$G$801, 0)+1), "")), IFERROR(INDEX(ERP資料!$A:$A, (MATCH(599, 輔助計算!$G$2:$G$801, 0)+1)), ""), ""), "")</f>
        <v/>
      </c>
      <c r="B600" s="10">
        <f>IFERROR(IF(AND(IFERROR(INDEX(ERP資料!$A:$A, (MATCH(599, 輔助計算!$G$2:$G$801, 0)+1)), "")&lt;&gt;"", IFERROR(INDEX(ERP資料!$A:$A, (MATCH(599, 輔助計算!$G$2:$G$801, 0)+1)), "")&lt;&gt;IFERROR(INDEX(ERP資料!$A:$A, MATCH(598, 輔助計算!$G$2:$G$801, 0)+1), "")), INDEX(ERP資料!$S:$S, (MATCH(599, 輔助計算!$G$2:$G$801, 0)+1)), ""), "")</f>
        <v/>
      </c>
      <c r="C600" s="19">
        <f>IFERROR(IF(AND(IFERROR(INDEX(ERP資料!$A:$A, (MATCH(599, 輔助計算!$G$2:$G$801, 0)+1)), "")&lt;&gt;"", IFERROR(INDEX(ERP資料!$A:$A, (MATCH(599, 輔助計算!$G$2:$G$801, 0)+1)), "")&lt;&gt;IFERROR(INDEX(ERP資料!$A:$A, MATCH(598, 輔助計算!$G$2:$G$801, 0)+1), "")), IFERROR(VLOOKUP(LEFT(INDEX(ERP資料!$S:$S, (MATCH(599, 輔助計算!$G$2:$G$801, 0)+1)), 4), 紙管對照表!$A:$C, 3, FALSE), ""), ""), "")</f>
        <v/>
      </c>
      <c r="D600" s="16" t="n"/>
      <c r="E600" s="10">
        <f>IFERROR(IF(INDEX(ERP資料!$H:$H, (MATCH(599, 輔助計算!$G$2:$G$801, 0)+1))="","",INDEX(ERP資料!$H:$H, (MATCH(599, 輔助計算!$G$2:$G$801, 0)+1))), "")</f>
        <v/>
      </c>
      <c r="F600" s="10">
        <f>IFERROR(IF(INDEX(ERP資料!$E:$E, (MATCH(599, 輔助計算!$G$2:$G$801, 0)+1))="","",TRIM(INDEX(ERP資料!$E:$E, (MATCH(599, 輔助計算!$G$2:$G$801, 0)+1)))), "")</f>
        <v/>
      </c>
      <c r="G600" s="10">
        <f>IFERROR(IF(INDEX(ERP資料!$F:$F, (MATCH(599, 輔助計算!$G$2:$G$801, 0)+1))="","",INDEX(ERP資料!$F:$F, (MATCH(599, 輔助計算!$G$2:$G$801, 0)+1))), "")</f>
        <v/>
      </c>
      <c r="H600" s="10">
        <f>IFERROR(IF(INDEX(ERP資料!$G:$G, (MATCH(599, 輔助計算!$G$2:$G$801, 0)+1))="","",INDEX(ERP資料!$G:$G, (MATCH(599, 輔助計算!$G$2:$G$801, 0)+1))), "")</f>
        <v/>
      </c>
      <c r="I600" s="15">
        <f>IFERROR(INDEX(輔助計算!$D:$D, (MATCH(599, 輔助計算!$G$2:$G$801, 0)+1)), "")</f>
        <v/>
      </c>
      <c r="J600" s="15">
        <f>IFERROR(IF(AND(INDEX(輔助計算!$D:$D, (MATCH(599, 輔助計算!$G$2:$G$801, 0)+1))&lt;&gt;"", INDEX(ERP資料!$G:$G, (MATCH(599, 輔助計算!$G$2:$G$801, 0)+1))&lt;&gt;""), TRIM(IF(INT(INDEX(輔助計算!$D:$D, (MATCH(599, 輔助計算!$G$2:$G$801, 0)+1))/IF(INDEX(ERP資料!$G:$G, (MATCH(599, 輔助計算!$G$2:$G$801, 0)+1))&lt;100, IF(INDEX(ERP資料!$G:$G, (MATCH(599, 輔助計算!$G$2:$G$801, 0)+1))&lt;=31,3,IF(INDEX(ERP資料!$G:$G, (MATCH(599, 輔助計算!$G$2:$G$801, 0)+1))&lt;=46.5,2,1)), IF(INDEX(ERP資料!$G:$G, (MATCH(599, 輔助計算!$G$2:$G$801, 0)+1))&lt;=790,3,IF(INDEX(ERP資料!$G:$G, (MATCH(599, 輔助計算!$G$2:$G$801, 0)+1))&lt;=1181,2,1))))&gt;0, IF(IF(INDEX(ERP資料!$G:$G, (MATCH(599, 輔助計算!$G$2:$G$801, 0)+1))&lt;100, IF(INDEX(ERP資料!$G:$G, (MATCH(599, 輔助計算!$G$2:$G$801, 0)+1))&lt;=31,3,IF(INDEX(ERP資料!$G:$G, (MATCH(599, 輔助計算!$G$2:$G$801, 0)+1))&lt;=46.5,2,1)), IF(INDEX(ERP資料!$G:$G, (MATCH(599, 輔助計算!$G$2:$G$801, 0)+1))&lt;=790,3,IF(INDEX(ERP資料!$G:$G, (MATCH(599, 輔助計算!$G$2:$G$801, 0)+1))&lt;=1181,2,1)))=1,TEXT(INDEX(ERP資料!$G:$G, (MATCH(599, 輔助計算!$G$2:$G$801, 0)+1)),"0.##"),IF(IF(INDEX(ERP資料!$G:$G, (MATCH(599, 輔助計算!$G$2:$G$801, 0)+1))&lt;100, IF(INDEX(ERP資料!$G:$G, (MATCH(599, 輔助計算!$G$2:$G$801, 0)+1))&lt;=31,3,IF(INDEX(ERP資料!$G:$G, (MATCH(599, 輔助計算!$G$2:$G$801, 0)+1))&lt;=46.5,2,1)), IF(INDEX(ERP資料!$G:$G, (MATCH(599, 輔助計算!$G$2:$G$801, 0)+1))&lt;=790,3,IF(INDEX(ERP資料!$G:$G, (MATCH(599, 輔助計算!$G$2:$G$801, 0)+1))&lt;=1181,2,1)))=2,TEXT(INDEX(ERP資料!$G:$G, (MATCH(599, 輔助計算!$G$2:$G$801, 0)+1)),"0.##")&amp;"+"&amp;TEXT(INDEX(ERP資料!$G:$G, (MATCH(599, 輔助計算!$G$2:$G$801, 0)+1)),"0.##"),TEXT(INDEX(ERP資料!$G:$G, (MATCH(599, 輔助計算!$G$2:$G$801, 0)+1)),"0.##")&amp;"+"&amp;TEXT(INDEX(ERP資料!$G:$G, (MATCH(599, 輔助計算!$G$2:$G$801, 0)+1)),"0.##")&amp;"+"&amp;TEXT(INDEX(ERP資料!$G:$G, (MATCH(599, 輔助計算!$G$2:$G$801, 0)+1)),"0.##")))&amp;"-"&amp;INT(INDEX(輔助計算!$D:$D, (MATCH(599, 輔助計算!$G$2:$G$801, 0)+1))/IF(INDEX(ERP資料!$G:$G, (MATCH(599, 輔助計算!$G$2:$G$801, 0)+1))&lt;100, IF(INDEX(ERP資料!$G:$G, (MATCH(599, 輔助計算!$G$2:$G$801, 0)+1))&lt;=31,3,IF(INDEX(ERP資料!$G:$G, (MATCH(599, 輔助計算!$G$2:$G$801, 0)+1))&lt;=46.5,2,1)), IF(INDEX(ERP資料!$G:$G, (MATCH(599, 輔助計算!$G$2:$G$801, 0)+1))&lt;=790,3,IF(INDEX(ERP資料!$G:$G, (MATCH(599, 輔助計算!$G$2:$G$801, 0)+1))&lt;=1181,2,1)))), "")&amp;IF(AND(IF(INT(INDEX(輔助計算!$D:$D, (MATCH(599, 輔助計算!$G$2:$G$801, 0)+1))/IF(INDEX(ERP資料!$G:$G, (MATCH(599, 輔助計算!$G$2:$G$801, 0)+1))&lt;100, IF(INDEX(ERP資料!$G:$G, (MATCH(599, 輔助計算!$G$2:$G$801, 0)+1))&lt;=31,3,IF(INDEX(ERP資料!$G:$G, (MATCH(599, 輔助計算!$G$2:$G$801, 0)+1))&lt;=46.5,2,1)), IF(INDEX(ERP資料!$G:$G, (MATCH(599, 輔助計算!$G$2:$G$801, 0)+1))&lt;=790,3,IF(INDEX(ERP資料!$G:$G, (MATCH(599, 輔助計算!$G$2:$G$801, 0)+1))&lt;=1181,2,1))))&gt;0, IF(IF(INDEX(ERP資料!$G:$G, (MATCH(599, 輔助計算!$G$2:$G$801, 0)+1))&lt;100, IF(INDEX(ERP資料!$G:$G, (MATCH(599, 輔助計算!$G$2:$G$801, 0)+1))&lt;=31,3,IF(INDEX(ERP資料!$G:$G, (MATCH(599, 輔助計算!$G$2:$G$801, 0)+1))&lt;=46.5,2,1)), IF(INDEX(ERP資料!$G:$G, (MATCH(599, 輔助計算!$G$2:$G$801, 0)+1))&lt;=790,3,IF(INDEX(ERP資料!$G:$G, (MATCH(599, 輔助計算!$G$2:$G$801, 0)+1))&lt;=1181,2,1)))=1,TEXT(INDEX(ERP資料!$G:$G, (MATCH(599, 輔助計算!$G$2:$G$801, 0)+1)),"0.##"),IF(IF(INDEX(ERP資料!$G:$G, (MATCH(599, 輔助計算!$G$2:$G$801, 0)+1))&lt;100, IF(INDEX(ERP資料!$G:$G, (MATCH(599, 輔助計算!$G$2:$G$801, 0)+1))&lt;=31,3,IF(INDEX(ERP資料!$G:$G, (MATCH(599, 輔助計算!$G$2:$G$801, 0)+1))&lt;=46.5,2,1)), IF(INDEX(ERP資料!$G:$G, (MATCH(599, 輔助計算!$G$2:$G$801, 0)+1))&lt;=790,3,IF(INDEX(ERP資料!$G:$G, (MATCH(599, 輔助計算!$G$2:$G$801, 0)+1))&lt;=1181,2,1)))=2,TEXT(INDEX(ERP資料!$G:$G, (MATCH(599, 輔助計算!$G$2:$G$801, 0)+1)),"0.##")&amp;"+"&amp;TEXT(INDEX(ERP資料!$G:$G, (MATCH(599, 輔助計算!$G$2:$G$801, 0)+1)),"0.##"),TEXT(INDEX(ERP資料!$G:$G, (MATCH(599, 輔助計算!$G$2:$G$801, 0)+1)),"0.##")&amp;"+"&amp;TEXT(INDEX(ERP資料!$G:$G, (MATCH(599, 輔助計算!$G$2:$G$801, 0)+1)),"0.##")&amp;"+"&amp;TEXT(INDEX(ERP資料!$G:$G, (MATCH(599, 輔助計算!$G$2:$G$801, 0)+1)),"0.##")))&amp;"-"&amp;INT(INDEX(輔助計算!$D:$D, (MATCH(599, 輔助計算!$G$2:$G$801, 0)+1))/IF(INDEX(ERP資料!$G:$G, (MATCH(599, 輔助計算!$G$2:$G$801, 0)+1))&lt;100, IF(INDEX(ERP資料!$G:$G, (MATCH(599, 輔助計算!$G$2:$G$801, 0)+1))&lt;=31,3,IF(INDEX(ERP資料!$G:$G, (MATCH(599, 輔助計算!$G$2:$G$801, 0)+1))&lt;=46.5,2,1)), IF(INDEX(ERP資料!$G:$G, (MATCH(599, 輔助計算!$G$2:$G$801, 0)+1))&lt;=790,3,IF(INDEX(ERP資料!$G:$G, (MATCH(599, 輔助計算!$G$2:$G$801, 0)+1))&lt;=1181,2,1)))), "")&lt;&gt;"",IF(MOD(INDEX(輔助計算!$D:$D, (MATCH(599, 輔助計算!$G$2:$G$801, 0)+1)),IF(INDEX(ERP資料!$G:$G, (MATCH(599, 輔助計算!$G$2:$G$801, 0)+1))&lt;100, IF(INDEX(ERP資料!$G:$G, (MATCH(599, 輔助計算!$G$2:$G$801, 0)+1))&lt;=31,3,IF(INDEX(ERP資料!$G:$G, (MATCH(599, 輔助計算!$G$2:$G$801, 0)+1))&lt;=46.5,2,1)), IF(INDEX(ERP資料!$G:$G, (MATCH(599, 輔助計算!$G$2:$G$801, 0)+1))&lt;=790,3,IF(INDEX(ERP資料!$G:$G, (MATCH(599, 輔助計算!$G$2:$G$801, 0)+1))&lt;=1181,2,1))))=0,"",IF(MOD(INDEX(輔助計算!$D:$D, (MATCH(599, 輔助計算!$G$2:$G$801, 0)+1)),IF(INDEX(ERP資料!$G:$G, (MATCH(599, 輔助計算!$G$2:$G$801, 0)+1))&lt;100, IF(INDEX(ERP資料!$G:$G, (MATCH(599, 輔助計算!$G$2:$G$801, 0)+1))&lt;=31,3,IF(INDEX(ERP資料!$G:$G, (MATCH(599, 輔助計算!$G$2:$G$801, 0)+1))&lt;=46.5,2,1)), IF(INDEX(ERP資料!$G:$G, (MATCH(599, 輔助計算!$G$2:$G$801, 0)+1))&lt;=790,3,IF(INDEX(ERP資料!$G:$G, (MATCH(599, 輔助計算!$G$2:$G$801, 0)+1))&lt;=1181,2,1))))=0,"",IF(MOD(INDEX(輔助計算!$D:$D, (MATCH(599, 輔助計算!$G$2:$G$801, 0)+1)),IF(INDEX(ERP資料!$G:$G, (MATCH(599, 輔助計算!$G$2:$G$801, 0)+1))&lt;100, IF(INDEX(ERP資料!$G:$G, (MATCH(599, 輔助計算!$G$2:$G$801, 0)+1))&lt;=31,3,IF(INDEX(ERP資料!$G:$G, (MATCH(599, 輔助計算!$G$2:$G$801, 0)+1))&lt;=46.5,2,1)), IF(INDEX(ERP資料!$G:$G, (MATCH(599, 輔助計算!$G$2:$G$801, 0)+1))&lt;=790,3,IF(INDEX(ERP資料!$G:$G, (MATCH(599, 輔助計算!$G$2:$G$801, 0)+1))&lt;=1181,2,1))))=1,TEXT(INDEX(ERP資料!$G:$G, (MATCH(599, 輔助計算!$G$2:$G$801, 0)+1)),"0.##"),IF(MOD(INDEX(輔助計算!$D:$D, (MATCH(599, 輔助計算!$G$2:$G$801, 0)+1)),IF(INDEX(ERP資料!$G:$G, (MATCH(599, 輔助計算!$G$2:$G$801, 0)+1))&lt;100, IF(INDEX(ERP資料!$G:$G, (MATCH(599, 輔助計算!$G$2:$G$801, 0)+1))&lt;=31,3,IF(INDEX(ERP資料!$G:$G, (MATCH(599, 輔助計算!$G$2:$G$801, 0)+1))&lt;=46.5,2,1)), IF(INDEX(ERP資料!$G:$G, (MATCH(599, 輔助計算!$G$2:$G$801, 0)+1))&lt;=790,3,IF(INDEX(ERP資料!$G:$G, (MATCH(599, 輔助計算!$G$2:$G$801, 0)+1))&lt;=1181,2,1))))=2,TEXT(INDEX(ERP資料!$G:$G, (MATCH(599, 輔助計算!$G$2:$G$801, 0)+1)),"0.##")&amp;"+"&amp;TEXT(INDEX(ERP資料!$G:$G, (MATCH(599, 輔助計算!$G$2:$G$801, 0)+1)),"0.##"),TEXT(INDEX(ERP資料!$G:$G, (MATCH(599, 輔助計算!$G$2:$G$801, 0)+1)),"0.##")&amp;"+"&amp;TEXT(INDEX(ERP資料!$G:$G, (MATCH(599, 輔助計算!$G$2:$G$801, 0)+1)),"0.##")&amp;"+"&amp;TEXT(INDEX(ERP資料!$G:$G, (MATCH(599, 輔助計算!$G$2:$G$801, 0)+1)),"0.##"))))&amp;"-1")&lt;&gt;""),"  ","")&amp;IF(MOD(INDEX(輔助計算!$D:$D, (MATCH(599, 輔助計算!$G$2:$G$801, 0)+1)),IF(INDEX(ERP資料!$G:$G, (MATCH(599, 輔助計算!$G$2:$G$801, 0)+1))&lt;100, IF(INDEX(ERP資料!$G:$G, (MATCH(599, 輔助計算!$G$2:$G$801, 0)+1))&lt;=31,3,IF(INDEX(ERP資料!$G:$G, (MATCH(599, 輔助計算!$G$2:$G$801, 0)+1))&lt;=46.5,2,1)), IF(INDEX(ERP資料!$G:$G, (MATCH(599, 輔助計算!$G$2:$G$801, 0)+1))&lt;=790,3,IF(INDEX(ERP資料!$G:$G, (MATCH(599, 輔助計算!$G$2:$G$801, 0)+1))&lt;=1181,2,1))))=0,"",IF(MOD(INDEX(輔助計算!$D:$D, (MATCH(599, 輔助計算!$G$2:$G$801, 0)+1)),IF(INDEX(ERP資料!$G:$G, (MATCH(599, 輔助計算!$G$2:$G$801, 0)+1))&lt;100, IF(INDEX(ERP資料!$G:$G, (MATCH(599, 輔助計算!$G$2:$G$801, 0)+1))&lt;=31,3,IF(INDEX(ERP資料!$G:$G, (MATCH(599, 輔助計算!$G$2:$G$801, 0)+1))&lt;=46.5,2,1)), IF(INDEX(ERP資料!$G:$G, (MATCH(599, 輔助計算!$G$2:$G$801, 0)+1))&lt;=790,3,IF(INDEX(ERP資料!$G:$G, (MATCH(599, 輔助計算!$G$2:$G$801, 0)+1))&lt;=1181,2,1))))=0,"",IF(MOD(INDEX(輔助計算!$D:$D, (MATCH(599, 輔助計算!$G$2:$G$801, 0)+1)),IF(INDEX(ERP資料!$G:$G, (MATCH(599, 輔助計算!$G$2:$G$801, 0)+1))&lt;100, IF(INDEX(ERP資料!$G:$G, (MATCH(599, 輔助計算!$G$2:$G$801, 0)+1))&lt;=31,3,IF(INDEX(ERP資料!$G:$G, (MATCH(599, 輔助計算!$G$2:$G$801, 0)+1))&lt;=46.5,2,1)), IF(INDEX(ERP資料!$G:$G, (MATCH(599, 輔助計算!$G$2:$G$801, 0)+1))&lt;=790,3,IF(INDEX(ERP資料!$G:$G, (MATCH(599, 輔助計算!$G$2:$G$801, 0)+1))&lt;=1181,2,1))))=1,TEXT(INDEX(ERP資料!$G:$G, (MATCH(599, 輔助計算!$G$2:$G$801, 0)+1)),"0.##"),IF(MOD(INDEX(輔助計算!$D:$D, (MATCH(599, 輔助計算!$G$2:$G$801, 0)+1)),IF(INDEX(ERP資料!$G:$G, (MATCH(599, 輔助計算!$G$2:$G$801, 0)+1))&lt;100, IF(INDEX(ERP資料!$G:$G, (MATCH(599, 輔助計算!$G$2:$G$801, 0)+1))&lt;=31,3,IF(INDEX(ERP資料!$G:$G, (MATCH(599, 輔助計算!$G$2:$G$801, 0)+1))&lt;=46.5,2,1)), IF(INDEX(ERP資料!$G:$G, (MATCH(599, 輔助計算!$G$2:$G$801, 0)+1))&lt;=790,3,IF(INDEX(ERP資料!$G:$G, (MATCH(599, 輔助計算!$G$2:$G$801, 0)+1))&lt;=1181,2,1))))=2,TEXT(INDEX(ERP資料!$G:$G, (MATCH(599, 輔助計算!$G$2:$G$801, 0)+1)),"0.##")&amp;"+"&amp;TEXT(INDEX(ERP資料!$G:$G, (MATCH(599, 輔助計算!$G$2:$G$801, 0)+1)),"0.##"),TEXT(INDEX(ERP資料!$G:$G, (MATCH(599, 輔助計算!$G$2:$G$801, 0)+1)),"0.##")&amp;"+"&amp;TEXT(INDEX(ERP資料!$G:$G, (MATCH(599, 輔助計算!$G$2:$G$801, 0)+1)),"0.##")&amp;"+"&amp;TEXT(INDEX(ERP資料!$G:$G, (MATCH(599, 輔助計算!$G$2:$G$801, 0)+1)),"0.##"))))&amp;"-1")), ""), "")</f>
        <v/>
      </c>
      <c r="K600" s="16" t="n"/>
      <c r="L600" s="14">
        <f>IFERROR(IF(AND(IFERROR(INDEX(ERP資料!$A:$A, (MATCH(599, 輔助計算!$G$2:$G$801, 0)+1)), "")&lt;&gt;"", IFERROR(INDEX(ERP資料!$A:$A, (MATCH(599, 輔助計算!$G$2:$G$801, 0)+1)), "")&lt;&gt;IFERROR(INDEX(ERP資料!$A:$A, MATCH(598, 輔助計算!$G$2:$G$801, 0)+1), "")), INDEX(ERP資料!$B:$B, (MATCH(599, 輔助計算!$G$2:$G$801, 0)+1)), ""), "")</f>
        <v/>
      </c>
      <c r="M600" s="17" t="n"/>
    </row>
    <row r="601">
      <c r="A601" s="10">
        <f>IFERROR(IF(AND(IFERROR(INDEX(ERP資料!$A:$A, (MATCH(600, 輔助計算!$G$2:$G$801, 0)+1)), "")&lt;&gt;"", IFERROR(INDEX(ERP資料!$A:$A, (MATCH(600, 輔助計算!$G$2:$G$801, 0)+1)), "")&lt;&gt;IFERROR(INDEX(ERP資料!$A:$A, MATCH(599, 輔助計算!$G$2:$G$801, 0)+1), "")), IFERROR(INDEX(ERP資料!$A:$A, (MATCH(600, 輔助計算!$G$2:$G$801, 0)+1)), ""), ""), "")</f>
        <v/>
      </c>
      <c r="B601" s="10">
        <f>IFERROR(IF(AND(IFERROR(INDEX(ERP資料!$A:$A, (MATCH(600, 輔助計算!$G$2:$G$801, 0)+1)), "")&lt;&gt;"", IFERROR(INDEX(ERP資料!$A:$A, (MATCH(600, 輔助計算!$G$2:$G$801, 0)+1)), "")&lt;&gt;IFERROR(INDEX(ERP資料!$A:$A, MATCH(599, 輔助計算!$G$2:$G$801, 0)+1), "")), INDEX(ERP資料!$S:$S, (MATCH(600, 輔助計算!$G$2:$G$801, 0)+1)), ""), "")</f>
        <v/>
      </c>
      <c r="C601" s="19">
        <f>IFERROR(IF(AND(IFERROR(INDEX(ERP資料!$A:$A, (MATCH(600, 輔助計算!$G$2:$G$801, 0)+1)), "")&lt;&gt;"", IFERROR(INDEX(ERP資料!$A:$A, (MATCH(600, 輔助計算!$G$2:$G$801, 0)+1)), "")&lt;&gt;IFERROR(INDEX(ERP資料!$A:$A, MATCH(599, 輔助計算!$G$2:$G$801, 0)+1), "")), IFERROR(VLOOKUP(LEFT(INDEX(ERP資料!$S:$S, (MATCH(600, 輔助計算!$G$2:$G$801, 0)+1)), 4), 紙管對照表!$A:$C, 3, FALSE), ""), ""), "")</f>
        <v/>
      </c>
      <c r="D601" s="16" t="n"/>
      <c r="E601" s="10">
        <f>IFERROR(IF(INDEX(ERP資料!$H:$H, (MATCH(600, 輔助計算!$G$2:$G$801, 0)+1))="","",INDEX(ERP資料!$H:$H, (MATCH(600, 輔助計算!$G$2:$G$801, 0)+1))), "")</f>
        <v/>
      </c>
      <c r="F601" s="10">
        <f>IFERROR(IF(INDEX(ERP資料!$E:$E, (MATCH(600, 輔助計算!$G$2:$G$801, 0)+1))="","",TRIM(INDEX(ERP資料!$E:$E, (MATCH(600, 輔助計算!$G$2:$G$801, 0)+1)))), "")</f>
        <v/>
      </c>
      <c r="G601" s="10">
        <f>IFERROR(IF(INDEX(ERP資料!$F:$F, (MATCH(600, 輔助計算!$G$2:$G$801, 0)+1))="","",INDEX(ERP資料!$F:$F, (MATCH(600, 輔助計算!$G$2:$G$801, 0)+1))), "")</f>
        <v/>
      </c>
      <c r="H601" s="10">
        <f>IFERROR(IF(INDEX(ERP資料!$G:$G, (MATCH(600, 輔助計算!$G$2:$G$801, 0)+1))="","",INDEX(ERP資料!$G:$G, (MATCH(600, 輔助計算!$G$2:$G$801, 0)+1))), "")</f>
        <v/>
      </c>
      <c r="I601" s="15">
        <f>IFERROR(INDEX(輔助計算!$D:$D, (MATCH(600, 輔助計算!$G$2:$G$801, 0)+1)), "")</f>
        <v/>
      </c>
      <c r="J601" s="15">
        <f>IFERROR(IF(AND(INDEX(輔助計算!$D:$D, (MATCH(600, 輔助計算!$G$2:$G$801, 0)+1))&lt;&gt;"", INDEX(ERP資料!$G:$G, (MATCH(600, 輔助計算!$G$2:$G$801, 0)+1))&lt;&gt;""), TRIM(IF(INT(INDEX(輔助計算!$D:$D, (MATCH(600, 輔助計算!$G$2:$G$801, 0)+1))/IF(INDEX(ERP資料!$G:$G, (MATCH(600, 輔助計算!$G$2:$G$801, 0)+1))&lt;100, IF(INDEX(ERP資料!$G:$G, (MATCH(600, 輔助計算!$G$2:$G$801, 0)+1))&lt;=31,3,IF(INDEX(ERP資料!$G:$G, (MATCH(600, 輔助計算!$G$2:$G$801, 0)+1))&lt;=46.5,2,1)), IF(INDEX(ERP資料!$G:$G, (MATCH(600, 輔助計算!$G$2:$G$801, 0)+1))&lt;=790,3,IF(INDEX(ERP資料!$G:$G, (MATCH(600, 輔助計算!$G$2:$G$801, 0)+1))&lt;=1181,2,1))))&gt;0, IF(IF(INDEX(ERP資料!$G:$G, (MATCH(600, 輔助計算!$G$2:$G$801, 0)+1))&lt;100, IF(INDEX(ERP資料!$G:$G, (MATCH(600, 輔助計算!$G$2:$G$801, 0)+1))&lt;=31,3,IF(INDEX(ERP資料!$G:$G, (MATCH(600, 輔助計算!$G$2:$G$801, 0)+1))&lt;=46.5,2,1)), IF(INDEX(ERP資料!$G:$G, (MATCH(600, 輔助計算!$G$2:$G$801, 0)+1))&lt;=790,3,IF(INDEX(ERP資料!$G:$G, (MATCH(600, 輔助計算!$G$2:$G$801, 0)+1))&lt;=1181,2,1)))=1,TEXT(INDEX(ERP資料!$G:$G, (MATCH(600, 輔助計算!$G$2:$G$801, 0)+1)),"0.##"),IF(IF(INDEX(ERP資料!$G:$G, (MATCH(600, 輔助計算!$G$2:$G$801, 0)+1))&lt;100, IF(INDEX(ERP資料!$G:$G, (MATCH(600, 輔助計算!$G$2:$G$801, 0)+1))&lt;=31,3,IF(INDEX(ERP資料!$G:$G, (MATCH(600, 輔助計算!$G$2:$G$801, 0)+1))&lt;=46.5,2,1)), IF(INDEX(ERP資料!$G:$G, (MATCH(600, 輔助計算!$G$2:$G$801, 0)+1))&lt;=790,3,IF(INDEX(ERP資料!$G:$G, (MATCH(600, 輔助計算!$G$2:$G$801, 0)+1))&lt;=1181,2,1)))=2,TEXT(INDEX(ERP資料!$G:$G, (MATCH(600, 輔助計算!$G$2:$G$801, 0)+1)),"0.##")&amp;"+"&amp;TEXT(INDEX(ERP資料!$G:$G, (MATCH(600, 輔助計算!$G$2:$G$801, 0)+1)),"0.##"),TEXT(INDEX(ERP資料!$G:$G, (MATCH(600, 輔助計算!$G$2:$G$801, 0)+1)),"0.##")&amp;"+"&amp;TEXT(INDEX(ERP資料!$G:$G, (MATCH(600, 輔助計算!$G$2:$G$801, 0)+1)),"0.##")&amp;"+"&amp;TEXT(INDEX(ERP資料!$G:$G, (MATCH(600, 輔助計算!$G$2:$G$801, 0)+1)),"0.##")))&amp;"-"&amp;INT(INDEX(輔助計算!$D:$D, (MATCH(600, 輔助計算!$G$2:$G$801, 0)+1))/IF(INDEX(ERP資料!$G:$G, (MATCH(600, 輔助計算!$G$2:$G$801, 0)+1))&lt;100, IF(INDEX(ERP資料!$G:$G, (MATCH(600, 輔助計算!$G$2:$G$801, 0)+1))&lt;=31,3,IF(INDEX(ERP資料!$G:$G, (MATCH(600, 輔助計算!$G$2:$G$801, 0)+1))&lt;=46.5,2,1)), IF(INDEX(ERP資料!$G:$G, (MATCH(600, 輔助計算!$G$2:$G$801, 0)+1))&lt;=790,3,IF(INDEX(ERP資料!$G:$G, (MATCH(600, 輔助計算!$G$2:$G$801, 0)+1))&lt;=1181,2,1)))), "")&amp;IF(AND(IF(INT(INDEX(輔助計算!$D:$D, (MATCH(600, 輔助計算!$G$2:$G$801, 0)+1))/IF(INDEX(ERP資料!$G:$G, (MATCH(600, 輔助計算!$G$2:$G$801, 0)+1))&lt;100, IF(INDEX(ERP資料!$G:$G, (MATCH(600, 輔助計算!$G$2:$G$801, 0)+1))&lt;=31,3,IF(INDEX(ERP資料!$G:$G, (MATCH(600, 輔助計算!$G$2:$G$801, 0)+1))&lt;=46.5,2,1)), IF(INDEX(ERP資料!$G:$G, (MATCH(600, 輔助計算!$G$2:$G$801, 0)+1))&lt;=790,3,IF(INDEX(ERP資料!$G:$G, (MATCH(600, 輔助計算!$G$2:$G$801, 0)+1))&lt;=1181,2,1))))&gt;0, IF(IF(INDEX(ERP資料!$G:$G, (MATCH(600, 輔助計算!$G$2:$G$801, 0)+1))&lt;100, IF(INDEX(ERP資料!$G:$G, (MATCH(600, 輔助計算!$G$2:$G$801, 0)+1))&lt;=31,3,IF(INDEX(ERP資料!$G:$G, (MATCH(600, 輔助計算!$G$2:$G$801, 0)+1))&lt;=46.5,2,1)), IF(INDEX(ERP資料!$G:$G, (MATCH(600, 輔助計算!$G$2:$G$801, 0)+1))&lt;=790,3,IF(INDEX(ERP資料!$G:$G, (MATCH(600, 輔助計算!$G$2:$G$801, 0)+1))&lt;=1181,2,1)))=1,TEXT(INDEX(ERP資料!$G:$G, (MATCH(600, 輔助計算!$G$2:$G$801, 0)+1)),"0.##"),IF(IF(INDEX(ERP資料!$G:$G, (MATCH(600, 輔助計算!$G$2:$G$801, 0)+1))&lt;100, IF(INDEX(ERP資料!$G:$G, (MATCH(600, 輔助計算!$G$2:$G$801, 0)+1))&lt;=31,3,IF(INDEX(ERP資料!$G:$G, (MATCH(600, 輔助計算!$G$2:$G$801, 0)+1))&lt;=46.5,2,1)), IF(INDEX(ERP資料!$G:$G, (MATCH(600, 輔助計算!$G$2:$G$801, 0)+1))&lt;=790,3,IF(INDEX(ERP資料!$G:$G, (MATCH(600, 輔助計算!$G$2:$G$801, 0)+1))&lt;=1181,2,1)))=2,TEXT(INDEX(ERP資料!$G:$G, (MATCH(600, 輔助計算!$G$2:$G$801, 0)+1)),"0.##")&amp;"+"&amp;TEXT(INDEX(ERP資料!$G:$G, (MATCH(600, 輔助計算!$G$2:$G$801, 0)+1)),"0.##"),TEXT(INDEX(ERP資料!$G:$G, (MATCH(600, 輔助計算!$G$2:$G$801, 0)+1)),"0.##")&amp;"+"&amp;TEXT(INDEX(ERP資料!$G:$G, (MATCH(600, 輔助計算!$G$2:$G$801, 0)+1)),"0.##")&amp;"+"&amp;TEXT(INDEX(ERP資料!$G:$G, (MATCH(600, 輔助計算!$G$2:$G$801, 0)+1)),"0.##")))&amp;"-"&amp;INT(INDEX(輔助計算!$D:$D, (MATCH(600, 輔助計算!$G$2:$G$801, 0)+1))/IF(INDEX(ERP資料!$G:$G, (MATCH(600, 輔助計算!$G$2:$G$801, 0)+1))&lt;100, IF(INDEX(ERP資料!$G:$G, (MATCH(600, 輔助計算!$G$2:$G$801, 0)+1))&lt;=31,3,IF(INDEX(ERP資料!$G:$G, (MATCH(600, 輔助計算!$G$2:$G$801, 0)+1))&lt;=46.5,2,1)), IF(INDEX(ERP資料!$G:$G, (MATCH(600, 輔助計算!$G$2:$G$801, 0)+1))&lt;=790,3,IF(INDEX(ERP資料!$G:$G, (MATCH(600, 輔助計算!$G$2:$G$801, 0)+1))&lt;=1181,2,1)))), "")&lt;&gt;"",IF(MOD(INDEX(輔助計算!$D:$D, (MATCH(600, 輔助計算!$G$2:$G$801, 0)+1)),IF(INDEX(ERP資料!$G:$G, (MATCH(600, 輔助計算!$G$2:$G$801, 0)+1))&lt;100, IF(INDEX(ERP資料!$G:$G, (MATCH(600, 輔助計算!$G$2:$G$801, 0)+1))&lt;=31,3,IF(INDEX(ERP資料!$G:$G, (MATCH(600, 輔助計算!$G$2:$G$801, 0)+1))&lt;=46.5,2,1)), IF(INDEX(ERP資料!$G:$G, (MATCH(600, 輔助計算!$G$2:$G$801, 0)+1))&lt;=790,3,IF(INDEX(ERP資料!$G:$G, (MATCH(600, 輔助計算!$G$2:$G$801, 0)+1))&lt;=1181,2,1))))=0,"",IF(MOD(INDEX(輔助計算!$D:$D, (MATCH(600, 輔助計算!$G$2:$G$801, 0)+1)),IF(INDEX(ERP資料!$G:$G, (MATCH(600, 輔助計算!$G$2:$G$801, 0)+1))&lt;100, IF(INDEX(ERP資料!$G:$G, (MATCH(600, 輔助計算!$G$2:$G$801, 0)+1))&lt;=31,3,IF(INDEX(ERP資料!$G:$G, (MATCH(600, 輔助計算!$G$2:$G$801, 0)+1))&lt;=46.5,2,1)), IF(INDEX(ERP資料!$G:$G, (MATCH(600, 輔助計算!$G$2:$G$801, 0)+1))&lt;=790,3,IF(INDEX(ERP資料!$G:$G, (MATCH(600, 輔助計算!$G$2:$G$801, 0)+1))&lt;=1181,2,1))))=0,"",IF(MOD(INDEX(輔助計算!$D:$D, (MATCH(600, 輔助計算!$G$2:$G$801, 0)+1)),IF(INDEX(ERP資料!$G:$G, (MATCH(600, 輔助計算!$G$2:$G$801, 0)+1))&lt;100, IF(INDEX(ERP資料!$G:$G, (MATCH(600, 輔助計算!$G$2:$G$801, 0)+1))&lt;=31,3,IF(INDEX(ERP資料!$G:$G, (MATCH(600, 輔助計算!$G$2:$G$801, 0)+1))&lt;=46.5,2,1)), IF(INDEX(ERP資料!$G:$G, (MATCH(600, 輔助計算!$G$2:$G$801, 0)+1))&lt;=790,3,IF(INDEX(ERP資料!$G:$G, (MATCH(600, 輔助計算!$G$2:$G$801, 0)+1))&lt;=1181,2,1))))=1,TEXT(INDEX(ERP資料!$G:$G, (MATCH(600, 輔助計算!$G$2:$G$801, 0)+1)),"0.##"),IF(MOD(INDEX(輔助計算!$D:$D, (MATCH(600, 輔助計算!$G$2:$G$801, 0)+1)),IF(INDEX(ERP資料!$G:$G, (MATCH(600, 輔助計算!$G$2:$G$801, 0)+1))&lt;100, IF(INDEX(ERP資料!$G:$G, (MATCH(600, 輔助計算!$G$2:$G$801, 0)+1))&lt;=31,3,IF(INDEX(ERP資料!$G:$G, (MATCH(600, 輔助計算!$G$2:$G$801, 0)+1))&lt;=46.5,2,1)), IF(INDEX(ERP資料!$G:$G, (MATCH(600, 輔助計算!$G$2:$G$801, 0)+1))&lt;=790,3,IF(INDEX(ERP資料!$G:$G, (MATCH(600, 輔助計算!$G$2:$G$801, 0)+1))&lt;=1181,2,1))))=2,TEXT(INDEX(ERP資料!$G:$G, (MATCH(600, 輔助計算!$G$2:$G$801, 0)+1)),"0.##")&amp;"+"&amp;TEXT(INDEX(ERP資料!$G:$G, (MATCH(600, 輔助計算!$G$2:$G$801, 0)+1)),"0.##"),TEXT(INDEX(ERP資料!$G:$G, (MATCH(600, 輔助計算!$G$2:$G$801, 0)+1)),"0.##")&amp;"+"&amp;TEXT(INDEX(ERP資料!$G:$G, (MATCH(600, 輔助計算!$G$2:$G$801, 0)+1)),"0.##")&amp;"+"&amp;TEXT(INDEX(ERP資料!$G:$G, (MATCH(600, 輔助計算!$G$2:$G$801, 0)+1)),"0.##"))))&amp;"-1")&lt;&gt;""),"  ","")&amp;IF(MOD(INDEX(輔助計算!$D:$D, (MATCH(600, 輔助計算!$G$2:$G$801, 0)+1)),IF(INDEX(ERP資料!$G:$G, (MATCH(600, 輔助計算!$G$2:$G$801, 0)+1))&lt;100, IF(INDEX(ERP資料!$G:$G, (MATCH(600, 輔助計算!$G$2:$G$801, 0)+1))&lt;=31,3,IF(INDEX(ERP資料!$G:$G, (MATCH(600, 輔助計算!$G$2:$G$801, 0)+1))&lt;=46.5,2,1)), IF(INDEX(ERP資料!$G:$G, (MATCH(600, 輔助計算!$G$2:$G$801, 0)+1))&lt;=790,3,IF(INDEX(ERP資料!$G:$G, (MATCH(600, 輔助計算!$G$2:$G$801, 0)+1))&lt;=1181,2,1))))=0,"",IF(MOD(INDEX(輔助計算!$D:$D, (MATCH(600, 輔助計算!$G$2:$G$801, 0)+1)),IF(INDEX(ERP資料!$G:$G, (MATCH(600, 輔助計算!$G$2:$G$801, 0)+1))&lt;100, IF(INDEX(ERP資料!$G:$G, (MATCH(600, 輔助計算!$G$2:$G$801, 0)+1))&lt;=31,3,IF(INDEX(ERP資料!$G:$G, (MATCH(600, 輔助計算!$G$2:$G$801, 0)+1))&lt;=46.5,2,1)), IF(INDEX(ERP資料!$G:$G, (MATCH(600, 輔助計算!$G$2:$G$801, 0)+1))&lt;=790,3,IF(INDEX(ERP資料!$G:$G, (MATCH(600, 輔助計算!$G$2:$G$801, 0)+1))&lt;=1181,2,1))))=0,"",IF(MOD(INDEX(輔助計算!$D:$D, (MATCH(600, 輔助計算!$G$2:$G$801, 0)+1)),IF(INDEX(ERP資料!$G:$G, (MATCH(600, 輔助計算!$G$2:$G$801, 0)+1))&lt;100, IF(INDEX(ERP資料!$G:$G, (MATCH(600, 輔助計算!$G$2:$G$801, 0)+1))&lt;=31,3,IF(INDEX(ERP資料!$G:$G, (MATCH(600, 輔助計算!$G$2:$G$801, 0)+1))&lt;=46.5,2,1)), IF(INDEX(ERP資料!$G:$G, (MATCH(600, 輔助計算!$G$2:$G$801, 0)+1))&lt;=790,3,IF(INDEX(ERP資料!$G:$G, (MATCH(600, 輔助計算!$G$2:$G$801, 0)+1))&lt;=1181,2,1))))=1,TEXT(INDEX(ERP資料!$G:$G, (MATCH(600, 輔助計算!$G$2:$G$801, 0)+1)),"0.##"),IF(MOD(INDEX(輔助計算!$D:$D, (MATCH(600, 輔助計算!$G$2:$G$801, 0)+1)),IF(INDEX(ERP資料!$G:$G, (MATCH(600, 輔助計算!$G$2:$G$801, 0)+1))&lt;100, IF(INDEX(ERP資料!$G:$G, (MATCH(600, 輔助計算!$G$2:$G$801, 0)+1))&lt;=31,3,IF(INDEX(ERP資料!$G:$G, (MATCH(600, 輔助計算!$G$2:$G$801, 0)+1))&lt;=46.5,2,1)), IF(INDEX(ERP資料!$G:$G, (MATCH(600, 輔助計算!$G$2:$G$801, 0)+1))&lt;=790,3,IF(INDEX(ERP資料!$G:$G, (MATCH(600, 輔助計算!$G$2:$G$801, 0)+1))&lt;=1181,2,1))))=2,TEXT(INDEX(ERP資料!$G:$G, (MATCH(600, 輔助計算!$G$2:$G$801, 0)+1)),"0.##")&amp;"+"&amp;TEXT(INDEX(ERP資料!$G:$G, (MATCH(600, 輔助計算!$G$2:$G$801, 0)+1)),"0.##"),TEXT(INDEX(ERP資料!$G:$G, (MATCH(600, 輔助計算!$G$2:$G$801, 0)+1)),"0.##")&amp;"+"&amp;TEXT(INDEX(ERP資料!$G:$G, (MATCH(600, 輔助計算!$G$2:$G$801, 0)+1)),"0.##")&amp;"+"&amp;TEXT(INDEX(ERP資料!$G:$G, (MATCH(600, 輔助計算!$G$2:$G$801, 0)+1)),"0.##"))))&amp;"-1")), ""), "")</f>
        <v/>
      </c>
      <c r="K601" s="16" t="n"/>
      <c r="L601" s="14">
        <f>IFERROR(IF(AND(IFERROR(INDEX(ERP資料!$A:$A, (MATCH(600, 輔助計算!$G$2:$G$801, 0)+1)), "")&lt;&gt;"", IFERROR(INDEX(ERP資料!$A:$A, (MATCH(600, 輔助計算!$G$2:$G$801, 0)+1)), "")&lt;&gt;IFERROR(INDEX(ERP資料!$A:$A, MATCH(599, 輔助計算!$G$2:$G$801, 0)+1), "")), INDEX(ERP資料!$B:$B, (MATCH(600, 輔助計算!$G$2:$G$801, 0)+1)), ""), "")</f>
        <v/>
      </c>
      <c r="M601" s="17" t="n"/>
    </row>
    <row r="602">
      <c r="A602" s="10">
        <f>IFERROR(IF(AND(IFERROR(INDEX(ERP資料!$A:$A, (MATCH(601, 輔助計算!$G$2:$G$801, 0)+1)), "")&lt;&gt;"", IFERROR(INDEX(ERP資料!$A:$A, (MATCH(601, 輔助計算!$G$2:$G$801, 0)+1)), "")&lt;&gt;IFERROR(INDEX(ERP資料!$A:$A, MATCH(600, 輔助計算!$G$2:$G$801, 0)+1), "")), IFERROR(INDEX(ERP資料!$A:$A, (MATCH(601, 輔助計算!$G$2:$G$801, 0)+1)), ""), ""), "")</f>
        <v/>
      </c>
      <c r="B602" s="10">
        <f>IFERROR(IF(AND(IFERROR(INDEX(ERP資料!$A:$A, (MATCH(601, 輔助計算!$G$2:$G$801, 0)+1)), "")&lt;&gt;"", IFERROR(INDEX(ERP資料!$A:$A, (MATCH(601, 輔助計算!$G$2:$G$801, 0)+1)), "")&lt;&gt;IFERROR(INDEX(ERP資料!$A:$A, MATCH(600, 輔助計算!$G$2:$G$801, 0)+1), "")), INDEX(ERP資料!$S:$S, (MATCH(601, 輔助計算!$G$2:$G$801, 0)+1)), ""), "")</f>
        <v/>
      </c>
      <c r="C602" s="19">
        <f>IFERROR(IF(AND(IFERROR(INDEX(ERP資料!$A:$A, (MATCH(601, 輔助計算!$G$2:$G$801, 0)+1)), "")&lt;&gt;"", IFERROR(INDEX(ERP資料!$A:$A, (MATCH(601, 輔助計算!$G$2:$G$801, 0)+1)), "")&lt;&gt;IFERROR(INDEX(ERP資料!$A:$A, MATCH(600, 輔助計算!$G$2:$G$801, 0)+1), "")), IFERROR(VLOOKUP(LEFT(INDEX(ERP資料!$S:$S, (MATCH(601, 輔助計算!$G$2:$G$801, 0)+1)), 4), 紙管對照表!$A:$C, 3, FALSE), ""), ""), "")</f>
        <v/>
      </c>
      <c r="D602" s="16" t="n"/>
      <c r="E602" s="10">
        <f>IFERROR(IF(INDEX(ERP資料!$H:$H, (MATCH(601, 輔助計算!$G$2:$G$801, 0)+1))="","",INDEX(ERP資料!$H:$H, (MATCH(601, 輔助計算!$G$2:$G$801, 0)+1))), "")</f>
        <v/>
      </c>
      <c r="F602" s="10">
        <f>IFERROR(IF(INDEX(ERP資料!$E:$E, (MATCH(601, 輔助計算!$G$2:$G$801, 0)+1))="","",TRIM(INDEX(ERP資料!$E:$E, (MATCH(601, 輔助計算!$G$2:$G$801, 0)+1)))), "")</f>
        <v/>
      </c>
      <c r="G602" s="10">
        <f>IFERROR(IF(INDEX(ERP資料!$F:$F, (MATCH(601, 輔助計算!$G$2:$G$801, 0)+1))="","",INDEX(ERP資料!$F:$F, (MATCH(601, 輔助計算!$G$2:$G$801, 0)+1))), "")</f>
        <v/>
      </c>
      <c r="H602" s="10">
        <f>IFERROR(IF(INDEX(ERP資料!$G:$G, (MATCH(601, 輔助計算!$G$2:$G$801, 0)+1))="","",INDEX(ERP資料!$G:$G, (MATCH(601, 輔助計算!$G$2:$G$801, 0)+1))), "")</f>
        <v/>
      </c>
      <c r="I602" s="15">
        <f>IFERROR(INDEX(輔助計算!$D:$D, (MATCH(601, 輔助計算!$G$2:$G$801, 0)+1)), "")</f>
        <v/>
      </c>
      <c r="J602" s="15">
        <f>IFERROR(IF(AND(INDEX(輔助計算!$D:$D, (MATCH(601, 輔助計算!$G$2:$G$801, 0)+1))&lt;&gt;"", INDEX(ERP資料!$G:$G, (MATCH(601, 輔助計算!$G$2:$G$801, 0)+1))&lt;&gt;""), TRIM(IF(INT(INDEX(輔助計算!$D:$D, (MATCH(601, 輔助計算!$G$2:$G$801, 0)+1))/IF(INDEX(ERP資料!$G:$G, (MATCH(601, 輔助計算!$G$2:$G$801, 0)+1))&lt;100, IF(INDEX(ERP資料!$G:$G, (MATCH(601, 輔助計算!$G$2:$G$801, 0)+1))&lt;=31,3,IF(INDEX(ERP資料!$G:$G, (MATCH(601, 輔助計算!$G$2:$G$801, 0)+1))&lt;=46.5,2,1)), IF(INDEX(ERP資料!$G:$G, (MATCH(601, 輔助計算!$G$2:$G$801, 0)+1))&lt;=790,3,IF(INDEX(ERP資料!$G:$G, (MATCH(601, 輔助計算!$G$2:$G$801, 0)+1))&lt;=1181,2,1))))&gt;0, IF(IF(INDEX(ERP資料!$G:$G, (MATCH(601, 輔助計算!$G$2:$G$801, 0)+1))&lt;100, IF(INDEX(ERP資料!$G:$G, (MATCH(601, 輔助計算!$G$2:$G$801, 0)+1))&lt;=31,3,IF(INDEX(ERP資料!$G:$G, (MATCH(601, 輔助計算!$G$2:$G$801, 0)+1))&lt;=46.5,2,1)), IF(INDEX(ERP資料!$G:$G, (MATCH(601, 輔助計算!$G$2:$G$801, 0)+1))&lt;=790,3,IF(INDEX(ERP資料!$G:$G, (MATCH(601, 輔助計算!$G$2:$G$801, 0)+1))&lt;=1181,2,1)))=1,TEXT(INDEX(ERP資料!$G:$G, (MATCH(601, 輔助計算!$G$2:$G$801, 0)+1)),"0.##"),IF(IF(INDEX(ERP資料!$G:$G, (MATCH(601, 輔助計算!$G$2:$G$801, 0)+1))&lt;100, IF(INDEX(ERP資料!$G:$G, (MATCH(601, 輔助計算!$G$2:$G$801, 0)+1))&lt;=31,3,IF(INDEX(ERP資料!$G:$G, (MATCH(601, 輔助計算!$G$2:$G$801, 0)+1))&lt;=46.5,2,1)), IF(INDEX(ERP資料!$G:$G, (MATCH(601, 輔助計算!$G$2:$G$801, 0)+1))&lt;=790,3,IF(INDEX(ERP資料!$G:$G, (MATCH(601, 輔助計算!$G$2:$G$801, 0)+1))&lt;=1181,2,1)))=2,TEXT(INDEX(ERP資料!$G:$G, (MATCH(601, 輔助計算!$G$2:$G$801, 0)+1)),"0.##")&amp;"+"&amp;TEXT(INDEX(ERP資料!$G:$G, (MATCH(601, 輔助計算!$G$2:$G$801, 0)+1)),"0.##"),TEXT(INDEX(ERP資料!$G:$G, (MATCH(601, 輔助計算!$G$2:$G$801, 0)+1)),"0.##")&amp;"+"&amp;TEXT(INDEX(ERP資料!$G:$G, (MATCH(601, 輔助計算!$G$2:$G$801, 0)+1)),"0.##")&amp;"+"&amp;TEXT(INDEX(ERP資料!$G:$G, (MATCH(601, 輔助計算!$G$2:$G$801, 0)+1)),"0.##")))&amp;"-"&amp;INT(INDEX(輔助計算!$D:$D, (MATCH(601, 輔助計算!$G$2:$G$801, 0)+1))/IF(INDEX(ERP資料!$G:$G, (MATCH(601, 輔助計算!$G$2:$G$801, 0)+1))&lt;100, IF(INDEX(ERP資料!$G:$G, (MATCH(601, 輔助計算!$G$2:$G$801, 0)+1))&lt;=31,3,IF(INDEX(ERP資料!$G:$G, (MATCH(601, 輔助計算!$G$2:$G$801, 0)+1))&lt;=46.5,2,1)), IF(INDEX(ERP資料!$G:$G, (MATCH(601, 輔助計算!$G$2:$G$801, 0)+1))&lt;=790,3,IF(INDEX(ERP資料!$G:$G, (MATCH(601, 輔助計算!$G$2:$G$801, 0)+1))&lt;=1181,2,1)))), "")&amp;IF(AND(IF(INT(INDEX(輔助計算!$D:$D, (MATCH(601, 輔助計算!$G$2:$G$801, 0)+1))/IF(INDEX(ERP資料!$G:$G, (MATCH(601, 輔助計算!$G$2:$G$801, 0)+1))&lt;100, IF(INDEX(ERP資料!$G:$G, (MATCH(601, 輔助計算!$G$2:$G$801, 0)+1))&lt;=31,3,IF(INDEX(ERP資料!$G:$G, (MATCH(601, 輔助計算!$G$2:$G$801, 0)+1))&lt;=46.5,2,1)), IF(INDEX(ERP資料!$G:$G, (MATCH(601, 輔助計算!$G$2:$G$801, 0)+1))&lt;=790,3,IF(INDEX(ERP資料!$G:$G, (MATCH(601, 輔助計算!$G$2:$G$801, 0)+1))&lt;=1181,2,1))))&gt;0, IF(IF(INDEX(ERP資料!$G:$G, (MATCH(601, 輔助計算!$G$2:$G$801, 0)+1))&lt;100, IF(INDEX(ERP資料!$G:$G, (MATCH(601, 輔助計算!$G$2:$G$801, 0)+1))&lt;=31,3,IF(INDEX(ERP資料!$G:$G, (MATCH(601, 輔助計算!$G$2:$G$801, 0)+1))&lt;=46.5,2,1)), IF(INDEX(ERP資料!$G:$G, (MATCH(601, 輔助計算!$G$2:$G$801, 0)+1))&lt;=790,3,IF(INDEX(ERP資料!$G:$G, (MATCH(601, 輔助計算!$G$2:$G$801, 0)+1))&lt;=1181,2,1)))=1,TEXT(INDEX(ERP資料!$G:$G, (MATCH(601, 輔助計算!$G$2:$G$801, 0)+1)),"0.##"),IF(IF(INDEX(ERP資料!$G:$G, (MATCH(601, 輔助計算!$G$2:$G$801, 0)+1))&lt;100, IF(INDEX(ERP資料!$G:$G, (MATCH(601, 輔助計算!$G$2:$G$801, 0)+1))&lt;=31,3,IF(INDEX(ERP資料!$G:$G, (MATCH(601, 輔助計算!$G$2:$G$801, 0)+1))&lt;=46.5,2,1)), IF(INDEX(ERP資料!$G:$G, (MATCH(601, 輔助計算!$G$2:$G$801, 0)+1))&lt;=790,3,IF(INDEX(ERP資料!$G:$G, (MATCH(601, 輔助計算!$G$2:$G$801, 0)+1))&lt;=1181,2,1)))=2,TEXT(INDEX(ERP資料!$G:$G, (MATCH(601, 輔助計算!$G$2:$G$801, 0)+1)),"0.##")&amp;"+"&amp;TEXT(INDEX(ERP資料!$G:$G, (MATCH(601, 輔助計算!$G$2:$G$801, 0)+1)),"0.##"),TEXT(INDEX(ERP資料!$G:$G, (MATCH(601, 輔助計算!$G$2:$G$801, 0)+1)),"0.##")&amp;"+"&amp;TEXT(INDEX(ERP資料!$G:$G, (MATCH(601, 輔助計算!$G$2:$G$801, 0)+1)),"0.##")&amp;"+"&amp;TEXT(INDEX(ERP資料!$G:$G, (MATCH(601, 輔助計算!$G$2:$G$801, 0)+1)),"0.##")))&amp;"-"&amp;INT(INDEX(輔助計算!$D:$D, (MATCH(601, 輔助計算!$G$2:$G$801, 0)+1))/IF(INDEX(ERP資料!$G:$G, (MATCH(601, 輔助計算!$G$2:$G$801, 0)+1))&lt;100, IF(INDEX(ERP資料!$G:$G, (MATCH(601, 輔助計算!$G$2:$G$801, 0)+1))&lt;=31,3,IF(INDEX(ERP資料!$G:$G, (MATCH(601, 輔助計算!$G$2:$G$801, 0)+1))&lt;=46.5,2,1)), IF(INDEX(ERP資料!$G:$G, (MATCH(601, 輔助計算!$G$2:$G$801, 0)+1))&lt;=790,3,IF(INDEX(ERP資料!$G:$G, (MATCH(601, 輔助計算!$G$2:$G$801, 0)+1))&lt;=1181,2,1)))), "")&lt;&gt;"",IF(MOD(INDEX(輔助計算!$D:$D, (MATCH(601, 輔助計算!$G$2:$G$801, 0)+1)),IF(INDEX(ERP資料!$G:$G, (MATCH(601, 輔助計算!$G$2:$G$801, 0)+1))&lt;100, IF(INDEX(ERP資料!$G:$G, (MATCH(601, 輔助計算!$G$2:$G$801, 0)+1))&lt;=31,3,IF(INDEX(ERP資料!$G:$G, (MATCH(601, 輔助計算!$G$2:$G$801, 0)+1))&lt;=46.5,2,1)), IF(INDEX(ERP資料!$G:$G, (MATCH(601, 輔助計算!$G$2:$G$801, 0)+1))&lt;=790,3,IF(INDEX(ERP資料!$G:$G, (MATCH(601, 輔助計算!$G$2:$G$801, 0)+1))&lt;=1181,2,1))))=0,"",IF(MOD(INDEX(輔助計算!$D:$D, (MATCH(601, 輔助計算!$G$2:$G$801, 0)+1)),IF(INDEX(ERP資料!$G:$G, (MATCH(601, 輔助計算!$G$2:$G$801, 0)+1))&lt;100, IF(INDEX(ERP資料!$G:$G, (MATCH(601, 輔助計算!$G$2:$G$801, 0)+1))&lt;=31,3,IF(INDEX(ERP資料!$G:$G, (MATCH(601, 輔助計算!$G$2:$G$801, 0)+1))&lt;=46.5,2,1)), IF(INDEX(ERP資料!$G:$G, (MATCH(601, 輔助計算!$G$2:$G$801, 0)+1))&lt;=790,3,IF(INDEX(ERP資料!$G:$G, (MATCH(601, 輔助計算!$G$2:$G$801, 0)+1))&lt;=1181,2,1))))=0,"",IF(MOD(INDEX(輔助計算!$D:$D, (MATCH(601, 輔助計算!$G$2:$G$801, 0)+1)),IF(INDEX(ERP資料!$G:$G, (MATCH(601, 輔助計算!$G$2:$G$801, 0)+1))&lt;100, IF(INDEX(ERP資料!$G:$G, (MATCH(601, 輔助計算!$G$2:$G$801, 0)+1))&lt;=31,3,IF(INDEX(ERP資料!$G:$G, (MATCH(601, 輔助計算!$G$2:$G$801, 0)+1))&lt;=46.5,2,1)), IF(INDEX(ERP資料!$G:$G, (MATCH(601, 輔助計算!$G$2:$G$801, 0)+1))&lt;=790,3,IF(INDEX(ERP資料!$G:$G, (MATCH(601, 輔助計算!$G$2:$G$801, 0)+1))&lt;=1181,2,1))))=1,TEXT(INDEX(ERP資料!$G:$G, (MATCH(601, 輔助計算!$G$2:$G$801, 0)+1)),"0.##"),IF(MOD(INDEX(輔助計算!$D:$D, (MATCH(601, 輔助計算!$G$2:$G$801, 0)+1)),IF(INDEX(ERP資料!$G:$G, (MATCH(601, 輔助計算!$G$2:$G$801, 0)+1))&lt;100, IF(INDEX(ERP資料!$G:$G, (MATCH(601, 輔助計算!$G$2:$G$801, 0)+1))&lt;=31,3,IF(INDEX(ERP資料!$G:$G, (MATCH(601, 輔助計算!$G$2:$G$801, 0)+1))&lt;=46.5,2,1)), IF(INDEX(ERP資料!$G:$G, (MATCH(601, 輔助計算!$G$2:$G$801, 0)+1))&lt;=790,3,IF(INDEX(ERP資料!$G:$G, (MATCH(601, 輔助計算!$G$2:$G$801, 0)+1))&lt;=1181,2,1))))=2,TEXT(INDEX(ERP資料!$G:$G, (MATCH(601, 輔助計算!$G$2:$G$801, 0)+1)),"0.##")&amp;"+"&amp;TEXT(INDEX(ERP資料!$G:$G, (MATCH(601, 輔助計算!$G$2:$G$801, 0)+1)),"0.##"),TEXT(INDEX(ERP資料!$G:$G, (MATCH(601, 輔助計算!$G$2:$G$801, 0)+1)),"0.##")&amp;"+"&amp;TEXT(INDEX(ERP資料!$G:$G, (MATCH(601, 輔助計算!$G$2:$G$801, 0)+1)),"0.##")&amp;"+"&amp;TEXT(INDEX(ERP資料!$G:$G, (MATCH(601, 輔助計算!$G$2:$G$801, 0)+1)),"0.##"))))&amp;"-1")&lt;&gt;""),"  ","")&amp;IF(MOD(INDEX(輔助計算!$D:$D, (MATCH(601, 輔助計算!$G$2:$G$801, 0)+1)),IF(INDEX(ERP資料!$G:$G, (MATCH(601, 輔助計算!$G$2:$G$801, 0)+1))&lt;100, IF(INDEX(ERP資料!$G:$G, (MATCH(601, 輔助計算!$G$2:$G$801, 0)+1))&lt;=31,3,IF(INDEX(ERP資料!$G:$G, (MATCH(601, 輔助計算!$G$2:$G$801, 0)+1))&lt;=46.5,2,1)), IF(INDEX(ERP資料!$G:$G, (MATCH(601, 輔助計算!$G$2:$G$801, 0)+1))&lt;=790,3,IF(INDEX(ERP資料!$G:$G, (MATCH(601, 輔助計算!$G$2:$G$801, 0)+1))&lt;=1181,2,1))))=0,"",IF(MOD(INDEX(輔助計算!$D:$D, (MATCH(601, 輔助計算!$G$2:$G$801, 0)+1)),IF(INDEX(ERP資料!$G:$G, (MATCH(601, 輔助計算!$G$2:$G$801, 0)+1))&lt;100, IF(INDEX(ERP資料!$G:$G, (MATCH(601, 輔助計算!$G$2:$G$801, 0)+1))&lt;=31,3,IF(INDEX(ERP資料!$G:$G, (MATCH(601, 輔助計算!$G$2:$G$801, 0)+1))&lt;=46.5,2,1)), IF(INDEX(ERP資料!$G:$G, (MATCH(601, 輔助計算!$G$2:$G$801, 0)+1))&lt;=790,3,IF(INDEX(ERP資料!$G:$G, (MATCH(601, 輔助計算!$G$2:$G$801, 0)+1))&lt;=1181,2,1))))=0,"",IF(MOD(INDEX(輔助計算!$D:$D, (MATCH(601, 輔助計算!$G$2:$G$801, 0)+1)),IF(INDEX(ERP資料!$G:$G, (MATCH(601, 輔助計算!$G$2:$G$801, 0)+1))&lt;100, IF(INDEX(ERP資料!$G:$G, (MATCH(601, 輔助計算!$G$2:$G$801, 0)+1))&lt;=31,3,IF(INDEX(ERP資料!$G:$G, (MATCH(601, 輔助計算!$G$2:$G$801, 0)+1))&lt;=46.5,2,1)), IF(INDEX(ERP資料!$G:$G, (MATCH(601, 輔助計算!$G$2:$G$801, 0)+1))&lt;=790,3,IF(INDEX(ERP資料!$G:$G, (MATCH(601, 輔助計算!$G$2:$G$801, 0)+1))&lt;=1181,2,1))))=1,TEXT(INDEX(ERP資料!$G:$G, (MATCH(601, 輔助計算!$G$2:$G$801, 0)+1)),"0.##"),IF(MOD(INDEX(輔助計算!$D:$D, (MATCH(601, 輔助計算!$G$2:$G$801, 0)+1)),IF(INDEX(ERP資料!$G:$G, (MATCH(601, 輔助計算!$G$2:$G$801, 0)+1))&lt;100, IF(INDEX(ERP資料!$G:$G, (MATCH(601, 輔助計算!$G$2:$G$801, 0)+1))&lt;=31,3,IF(INDEX(ERP資料!$G:$G, (MATCH(601, 輔助計算!$G$2:$G$801, 0)+1))&lt;=46.5,2,1)), IF(INDEX(ERP資料!$G:$G, (MATCH(601, 輔助計算!$G$2:$G$801, 0)+1))&lt;=790,3,IF(INDEX(ERP資料!$G:$G, (MATCH(601, 輔助計算!$G$2:$G$801, 0)+1))&lt;=1181,2,1))))=2,TEXT(INDEX(ERP資料!$G:$G, (MATCH(601, 輔助計算!$G$2:$G$801, 0)+1)),"0.##")&amp;"+"&amp;TEXT(INDEX(ERP資料!$G:$G, (MATCH(601, 輔助計算!$G$2:$G$801, 0)+1)),"0.##"),TEXT(INDEX(ERP資料!$G:$G, (MATCH(601, 輔助計算!$G$2:$G$801, 0)+1)),"0.##")&amp;"+"&amp;TEXT(INDEX(ERP資料!$G:$G, (MATCH(601, 輔助計算!$G$2:$G$801, 0)+1)),"0.##")&amp;"+"&amp;TEXT(INDEX(ERP資料!$G:$G, (MATCH(601, 輔助計算!$G$2:$G$801, 0)+1)),"0.##"))))&amp;"-1")), ""), "")</f>
        <v/>
      </c>
      <c r="K602" s="16" t="n"/>
      <c r="L602" s="14">
        <f>IFERROR(IF(AND(IFERROR(INDEX(ERP資料!$A:$A, (MATCH(601, 輔助計算!$G$2:$G$801, 0)+1)), "")&lt;&gt;"", IFERROR(INDEX(ERP資料!$A:$A, (MATCH(601, 輔助計算!$G$2:$G$801, 0)+1)), "")&lt;&gt;IFERROR(INDEX(ERP資料!$A:$A, MATCH(600, 輔助計算!$G$2:$G$801, 0)+1), "")), INDEX(ERP資料!$B:$B, (MATCH(601, 輔助計算!$G$2:$G$801, 0)+1)), ""), "")</f>
        <v/>
      </c>
      <c r="M602" s="17" t="n"/>
    </row>
    <row r="603">
      <c r="A603" s="10">
        <f>IFERROR(IF(AND(IFERROR(INDEX(ERP資料!$A:$A, (MATCH(602, 輔助計算!$G$2:$G$801, 0)+1)), "")&lt;&gt;"", IFERROR(INDEX(ERP資料!$A:$A, (MATCH(602, 輔助計算!$G$2:$G$801, 0)+1)), "")&lt;&gt;IFERROR(INDEX(ERP資料!$A:$A, MATCH(601, 輔助計算!$G$2:$G$801, 0)+1), "")), IFERROR(INDEX(ERP資料!$A:$A, (MATCH(602, 輔助計算!$G$2:$G$801, 0)+1)), ""), ""), "")</f>
        <v/>
      </c>
      <c r="B603" s="10">
        <f>IFERROR(IF(AND(IFERROR(INDEX(ERP資料!$A:$A, (MATCH(602, 輔助計算!$G$2:$G$801, 0)+1)), "")&lt;&gt;"", IFERROR(INDEX(ERP資料!$A:$A, (MATCH(602, 輔助計算!$G$2:$G$801, 0)+1)), "")&lt;&gt;IFERROR(INDEX(ERP資料!$A:$A, MATCH(601, 輔助計算!$G$2:$G$801, 0)+1), "")), INDEX(ERP資料!$S:$S, (MATCH(602, 輔助計算!$G$2:$G$801, 0)+1)), ""), "")</f>
        <v/>
      </c>
      <c r="C603" s="19">
        <f>IFERROR(IF(AND(IFERROR(INDEX(ERP資料!$A:$A, (MATCH(602, 輔助計算!$G$2:$G$801, 0)+1)), "")&lt;&gt;"", IFERROR(INDEX(ERP資料!$A:$A, (MATCH(602, 輔助計算!$G$2:$G$801, 0)+1)), "")&lt;&gt;IFERROR(INDEX(ERP資料!$A:$A, MATCH(601, 輔助計算!$G$2:$G$801, 0)+1), "")), IFERROR(VLOOKUP(LEFT(INDEX(ERP資料!$S:$S, (MATCH(602, 輔助計算!$G$2:$G$801, 0)+1)), 4), 紙管對照表!$A:$C, 3, FALSE), ""), ""), "")</f>
        <v/>
      </c>
      <c r="D603" s="16" t="n"/>
      <c r="E603" s="10">
        <f>IFERROR(IF(INDEX(ERP資料!$H:$H, (MATCH(602, 輔助計算!$G$2:$G$801, 0)+1))="","",INDEX(ERP資料!$H:$H, (MATCH(602, 輔助計算!$G$2:$G$801, 0)+1))), "")</f>
        <v/>
      </c>
      <c r="F603" s="10">
        <f>IFERROR(IF(INDEX(ERP資料!$E:$E, (MATCH(602, 輔助計算!$G$2:$G$801, 0)+1))="","",TRIM(INDEX(ERP資料!$E:$E, (MATCH(602, 輔助計算!$G$2:$G$801, 0)+1)))), "")</f>
        <v/>
      </c>
      <c r="G603" s="10">
        <f>IFERROR(IF(INDEX(ERP資料!$F:$F, (MATCH(602, 輔助計算!$G$2:$G$801, 0)+1))="","",INDEX(ERP資料!$F:$F, (MATCH(602, 輔助計算!$G$2:$G$801, 0)+1))), "")</f>
        <v/>
      </c>
      <c r="H603" s="10">
        <f>IFERROR(IF(INDEX(ERP資料!$G:$G, (MATCH(602, 輔助計算!$G$2:$G$801, 0)+1))="","",INDEX(ERP資料!$G:$G, (MATCH(602, 輔助計算!$G$2:$G$801, 0)+1))), "")</f>
        <v/>
      </c>
      <c r="I603" s="15">
        <f>IFERROR(INDEX(輔助計算!$D:$D, (MATCH(602, 輔助計算!$G$2:$G$801, 0)+1)), "")</f>
        <v/>
      </c>
      <c r="J603" s="15">
        <f>IFERROR(IF(AND(INDEX(輔助計算!$D:$D, (MATCH(602, 輔助計算!$G$2:$G$801, 0)+1))&lt;&gt;"", INDEX(ERP資料!$G:$G, (MATCH(602, 輔助計算!$G$2:$G$801, 0)+1))&lt;&gt;""), TRIM(IF(INT(INDEX(輔助計算!$D:$D, (MATCH(602, 輔助計算!$G$2:$G$801, 0)+1))/IF(INDEX(ERP資料!$G:$G, (MATCH(602, 輔助計算!$G$2:$G$801, 0)+1))&lt;100, IF(INDEX(ERP資料!$G:$G, (MATCH(602, 輔助計算!$G$2:$G$801, 0)+1))&lt;=31,3,IF(INDEX(ERP資料!$G:$G, (MATCH(602, 輔助計算!$G$2:$G$801, 0)+1))&lt;=46.5,2,1)), IF(INDEX(ERP資料!$G:$G, (MATCH(602, 輔助計算!$G$2:$G$801, 0)+1))&lt;=790,3,IF(INDEX(ERP資料!$G:$G, (MATCH(602, 輔助計算!$G$2:$G$801, 0)+1))&lt;=1181,2,1))))&gt;0, IF(IF(INDEX(ERP資料!$G:$G, (MATCH(602, 輔助計算!$G$2:$G$801, 0)+1))&lt;100, IF(INDEX(ERP資料!$G:$G, (MATCH(602, 輔助計算!$G$2:$G$801, 0)+1))&lt;=31,3,IF(INDEX(ERP資料!$G:$G, (MATCH(602, 輔助計算!$G$2:$G$801, 0)+1))&lt;=46.5,2,1)), IF(INDEX(ERP資料!$G:$G, (MATCH(602, 輔助計算!$G$2:$G$801, 0)+1))&lt;=790,3,IF(INDEX(ERP資料!$G:$G, (MATCH(602, 輔助計算!$G$2:$G$801, 0)+1))&lt;=1181,2,1)))=1,TEXT(INDEX(ERP資料!$G:$G, (MATCH(602, 輔助計算!$G$2:$G$801, 0)+1)),"0.##"),IF(IF(INDEX(ERP資料!$G:$G, (MATCH(602, 輔助計算!$G$2:$G$801, 0)+1))&lt;100, IF(INDEX(ERP資料!$G:$G, (MATCH(602, 輔助計算!$G$2:$G$801, 0)+1))&lt;=31,3,IF(INDEX(ERP資料!$G:$G, (MATCH(602, 輔助計算!$G$2:$G$801, 0)+1))&lt;=46.5,2,1)), IF(INDEX(ERP資料!$G:$G, (MATCH(602, 輔助計算!$G$2:$G$801, 0)+1))&lt;=790,3,IF(INDEX(ERP資料!$G:$G, (MATCH(602, 輔助計算!$G$2:$G$801, 0)+1))&lt;=1181,2,1)))=2,TEXT(INDEX(ERP資料!$G:$G, (MATCH(602, 輔助計算!$G$2:$G$801, 0)+1)),"0.##")&amp;"+"&amp;TEXT(INDEX(ERP資料!$G:$G, (MATCH(602, 輔助計算!$G$2:$G$801, 0)+1)),"0.##"),TEXT(INDEX(ERP資料!$G:$G, (MATCH(602, 輔助計算!$G$2:$G$801, 0)+1)),"0.##")&amp;"+"&amp;TEXT(INDEX(ERP資料!$G:$G, (MATCH(602, 輔助計算!$G$2:$G$801, 0)+1)),"0.##")&amp;"+"&amp;TEXT(INDEX(ERP資料!$G:$G, (MATCH(602, 輔助計算!$G$2:$G$801, 0)+1)),"0.##")))&amp;"-"&amp;INT(INDEX(輔助計算!$D:$D, (MATCH(602, 輔助計算!$G$2:$G$801, 0)+1))/IF(INDEX(ERP資料!$G:$G, (MATCH(602, 輔助計算!$G$2:$G$801, 0)+1))&lt;100, IF(INDEX(ERP資料!$G:$G, (MATCH(602, 輔助計算!$G$2:$G$801, 0)+1))&lt;=31,3,IF(INDEX(ERP資料!$G:$G, (MATCH(602, 輔助計算!$G$2:$G$801, 0)+1))&lt;=46.5,2,1)), IF(INDEX(ERP資料!$G:$G, (MATCH(602, 輔助計算!$G$2:$G$801, 0)+1))&lt;=790,3,IF(INDEX(ERP資料!$G:$G, (MATCH(602, 輔助計算!$G$2:$G$801, 0)+1))&lt;=1181,2,1)))), "")&amp;IF(AND(IF(INT(INDEX(輔助計算!$D:$D, (MATCH(602, 輔助計算!$G$2:$G$801, 0)+1))/IF(INDEX(ERP資料!$G:$G, (MATCH(602, 輔助計算!$G$2:$G$801, 0)+1))&lt;100, IF(INDEX(ERP資料!$G:$G, (MATCH(602, 輔助計算!$G$2:$G$801, 0)+1))&lt;=31,3,IF(INDEX(ERP資料!$G:$G, (MATCH(602, 輔助計算!$G$2:$G$801, 0)+1))&lt;=46.5,2,1)), IF(INDEX(ERP資料!$G:$G, (MATCH(602, 輔助計算!$G$2:$G$801, 0)+1))&lt;=790,3,IF(INDEX(ERP資料!$G:$G, (MATCH(602, 輔助計算!$G$2:$G$801, 0)+1))&lt;=1181,2,1))))&gt;0, IF(IF(INDEX(ERP資料!$G:$G, (MATCH(602, 輔助計算!$G$2:$G$801, 0)+1))&lt;100, IF(INDEX(ERP資料!$G:$G, (MATCH(602, 輔助計算!$G$2:$G$801, 0)+1))&lt;=31,3,IF(INDEX(ERP資料!$G:$G, (MATCH(602, 輔助計算!$G$2:$G$801, 0)+1))&lt;=46.5,2,1)), IF(INDEX(ERP資料!$G:$G, (MATCH(602, 輔助計算!$G$2:$G$801, 0)+1))&lt;=790,3,IF(INDEX(ERP資料!$G:$G, (MATCH(602, 輔助計算!$G$2:$G$801, 0)+1))&lt;=1181,2,1)))=1,TEXT(INDEX(ERP資料!$G:$G, (MATCH(602, 輔助計算!$G$2:$G$801, 0)+1)),"0.##"),IF(IF(INDEX(ERP資料!$G:$G, (MATCH(602, 輔助計算!$G$2:$G$801, 0)+1))&lt;100, IF(INDEX(ERP資料!$G:$G, (MATCH(602, 輔助計算!$G$2:$G$801, 0)+1))&lt;=31,3,IF(INDEX(ERP資料!$G:$G, (MATCH(602, 輔助計算!$G$2:$G$801, 0)+1))&lt;=46.5,2,1)), IF(INDEX(ERP資料!$G:$G, (MATCH(602, 輔助計算!$G$2:$G$801, 0)+1))&lt;=790,3,IF(INDEX(ERP資料!$G:$G, (MATCH(602, 輔助計算!$G$2:$G$801, 0)+1))&lt;=1181,2,1)))=2,TEXT(INDEX(ERP資料!$G:$G, (MATCH(602, 輔助計算!$G$2:$G$801, 0)+1)),"0.##")&amp;"+"&amp;TEXT(INDEX(ERP資料!$G:$G, (MATCH(602, 輔助計算!$G$2:$G$801, 0)+1)),"0.##"),TEXT(INDEX(ERP資料!$G:$G, (MATCH(602, 輔助計算!$G$2:$G$801, 0)+1)),"0.##")&amp;"+"&amp;TEXT(INDEX(ERP資料!$G:$G, (MATCH(602, 輔助計算!$G$2:$G$801, 0)+1)),"0.##")&amp;"+"&amp;TEXT(INDEX(ERP資料!$G:$G, (MATCH(602, 輔助計算!$G$2:$G$801, 0)+1)),"0.##")))&amp;"-"&amp;INT(INDEX(輔助計算!$D:$D, (MATCH(602, 輔助計算!$G$2:$G$801, 0)+1))/IF(INDEX(ERP資料!$G:$G, (MATCH(602, 輔助計算!$G$2:$G$801, 0)+1))&lt;100, IF(INDEX(ERP資料!$G:$G, (MATCH(602, 輔助計算!$G$2:$G$801, 0)+1))&lt;=31,3,IF(INDEX(ERP資料!$G:$G, (MATCH(602, 輔助計算!$G$2:$G$801, 0)+1))&lt;=46.5,2,1)), IF(INDEX(ERP資料!$G:$G, (MATCH(602, 輔助計算!$G$2:$G$801, 0)+1))&lt;=790,3,IF(INDEX(ERP資料!$G:$G, (MATCH(602, 輔助計算!$G$2:$G$801, 0)+1))&lt;=1181,2,1)))), "")&lt;&gt;"",IF(MOD(INDEX(輔助計算!$D:$D, (MATCH(602, 輔助計算!$G$2:$G$801, 0)+1)),IF(INDEX(ERP資料!$G:$G, (MATCH(602, 輔助計算!$G$2:$G$801, 0)+1))&lt;100, IF(INDEX(ERP資料!$G:$G, (MATCH(602, 輔助計算!$G$2:$G$801, 0)+1))&lt;=31,3,IF(INDEX(ERP資料!$G:$G, (MATCH(602, 輔助計算!$G$2:$G$801, 0)+1))&lt;=46.5,2,1)), IF(INDEX(ERP資料!$G:$G, (MATCH(602, 輔助計算!$G$2:$G$801, 0)+1))&lt;=790,3,IF(INDEX(ERP資料!$G:$G, (MATCH(602, 輔助計算!$G$2:$G$801, 0)+1))&lt;=1181,2,1))))=0,"",IF(MOD(INDEX(輔助計算!$D:$D, (MATCH(602, 輔助計算!$G$2:$G$801, 0)+1)),IF(INDEX(ERP資料!$G:$G, (MATCH(602, 輔助計算!$G$2:$G$801, 0)+1))&lt;100, IF(INDEX(ERP資料!$G:$G, (MATCH(602, 輔助計算!$G$2:$G$801, 0)+1))&lt;=31,3,IF(INDEX(ERP資料!$G:$G, (MATCH(602, 輔助計算!$G$2:$G$801, 0)+1))&lt;=46.5,2,1)), IF(INDEX(ERP資料!$G:$G, (MATCH(602, 輔助計算!$G$2:$G$801, 0)+1))&lt;=790,3,IF(INDEX(ERP資料!$G:$G, (MATCH(602, 輔助計算!$G$2:$G$801, 0)+1))&lt;=1181,2,1))))=0,"",IF(MOD(INDEX(輔助計算!$D:$D, (MATCH(602, 輔助計算!$G$2:$G$801, 0)+1)),IF(INDEX(ERP資料!$G:$G, (MATCH(602, 輔助計算!$G$2:$G$801, 0)+1))&lt;100, IF(INDEX(ERP資料!$G:$G, (MATCH(602, 輔助計算!$G$2:$G$801, 0)+1))&lt;=31,3,IF(INDEX(ERP資料!$G:$G, (MATCH(602, 輔助計算!$G$2:$G$801, 0)+1))&lt;=46.5,2,1)), IF(INDEX(ERP資料!$G:$G, (MATCH(602, 輔助計算!$G$2:$G$801, 0)+1))&lt;=790,3,IF(INDEX(ERP資料!$G:$G, (MATCH(602, 輔助計算!$G$2:$G$801, 0)+1))&lt;=1181,2,1))))=1,TEXT(INDEX(ERP資料!$G:$G, (MATCH(602, 輔助計算!$G$2:$G$801, 0)+1)),"0.##"),IF(MOD(INDEX(輔助計算!$D:$D, (MATCH(602, 輔助計算!$G$2:$G$801, 0)+1)),IF(INDEX(ERP資料!$G:$G, (MATCH(602, 輔助計算!$G$2:$G$801, 0)+1))&lt;100, IF(INDEX(ERP資料!$G:$G, (MATCH(602, 輔助計算!$G$2:$G$801, 0)+1))&lt;=31,3,IF(INDEX(ERP資料!$G:$G, (MATCH(602, 輔助計算!$G$2:$G$801, 0)+1))&lt;=46.5,2,1)), IF(INDEX(ERP資料!$G:$G, (MATCH(602, 輔助計算!$G$2:$G$801, 0)+1))&lt;=790,3,IF(INDEX(ERP資料!$G:$G, (MATCH(602, 輔助計算!$G$2:$G$801, 0)+1))&lt;=1181,2,1))))=2,TEXT(INDEX(ERP資料!$G:$G, (MATCH(602, 輔助計算!$G$2:$G$801, 0)+1)),"0.##")&amp;"+"&amp;TEXT(INDEX(ERP資料!$G:$G, (MATCH(602, 輔助計算!$G$2:$G$801, 0)+1)),"0.##"),TEXT(INDEX(ERP資料!$G:$G, (MATCH(602, 輔助計算!$G$2:$G$801, 0)+1)),"0.##")&amp;"+"&amp;TEXT(INDEX(ERP資料!$G:$G, (MATCH(602, 輔助計算!$G$2:$G$801, 0)+1)),"0.##")&amp;"+"&amp;TEXT(INDEX(ERP資料!$G:$G, (MATCH(602, 輔助計算!$G$2:$G$801, 0)+1)),"0.##"))))&amp;"-1")&lt;&gt;""),"  ","")&amp;IF(MOD(INDEX(輔助計算!$D:$D, (MATCH(602, 輔助計算!$G$2:$G$801, 0)+1)),IF(INDEX(ERP資料!$G:$G, (MATCH(602, 輔助計算!$G$2:$G$801, 0)+1))&lt;100, IF(INDEX(ERP資料!$G:$G, (MATCH(602, 輔助計算!$G$2:$G$801, 0)+1))&lt;=31,3,IF(INDEX(ERP資料!$G:$G, (MATCH(602, 輔助計算!$G$2:$G$801, 0)+1))&lt;=46.5,2,1)), IF(INDEX(ERP資料!$G:$G, (MATCH(602, 輔助計算!$G$2:$G$801, 0)+1))&lt;=790,3,IF(INDEX(ERP資料!$G:$G, (MATCH(602, 輔助計算!$G$2:$G$801, 0)+1))&lt;=1181,2,1))))=0,"",IF(MOD(INDEX(輔助計算!$D:$D, (MATCH(602, 輔助計算!$G$2:$G$801, 0)+1)),IF(INDEX(ERP資料!$G:$G, (MATCH(602, 輔助計算!$G$2:$G$801, 0)+1))&lt;100, IF(INDEX(ERP資料!$G:$G, (MATCH(602, 輔助計算!$G$2:$G$801, 0)+1))&lt;=31,3,IF(INDEX(ERP資料!$G:$G, (MATCH(602, 輔助計算!$G$2:$G$801, 0)+1))&lt;=46.5,2,1)), IF(INDEX(ERP資料!$G:$G, (MATCH(602, 輔助計算!$G$2:$G$801, 0)+1))&lt;=790,3,IF(INDEX(ERP資料!$G:$G, (MATCH(602, 輔助計算!$G$2:$G$801, 0)+1))&lt;=1181,2,1))))=0,"",IF(MOD(INDEX(輔助計算!$D:$D, (MATCH(602, 輔助計算!$G$2:$G$801, 0)+1)),IF(INDEX(ERP資料!$G:$G, (MATCH(602, 輔助計算!$G$2:$G$801, 0)+1))&lt;100, IF(INDEX(ERP資料!$G:$G, (MATCH(602, 輔助計算!$G$2:$G$801, 0)+1))&lt;=31,3,IF(INDEX(ERP資料!$G:$G, (MATCH(602, 輔助計算!$G$2:$G$801, 0)+1))&lt;=46.5,2,1)), IF(INDEX(ERP資料!$G:$G, (MATCH(602, 輔助計算!$G$2:$G$801, 0)+1))&lt;=790,3,IF(INDEX(ERP資料!$G:$G, (MATCH(602, 輔助計算!$G$2:$G$801, 0)+1))&lt;=1181,2,1))))=1,TEXT(INDEX(ERP資料!$G:$G, (MATCH(602, 輔助計算!$G$2:$G$801, 0)+1)),"0.##"),IF(MOD(INDEX(輔助計算!$D:$D, (MATCH(602, 輔助計算!$G$2:$G$801, 0)+1)),IF(INDEX(ERP資料!$G:$G, (MATCH(602, 輔助計算!$G$2:$G$801, 0)+1))&lt;100, IF(INDEX(ERP資料!$G:$G, (MATCH(602, 輔助計算!$G$2:$G$801, 0)+1))&lt;=31,3,IF(INDEX(ERP資料!$G:$G, (MATCH(602, 輔助計算!$G$2:$G$801, 0)+1))&lt;=46.5,2,1)), IF(INDEX(ERP資料!$G:$G, (MATCH(602, 輔助計算!$G$2:$G$801, 0)+1))&lt;=790,3,IF(INDEX(ERP資料!$G:$G, (MATCH(602, 輔助計算!$G$2:$G$801, 0)+1))&lt;=1181,2,1))))=2,TEXT(INDEX(ERP資料!$G:$G, (MATCH(602, 輔助計算!$G$2:$G$801, 0)+1)),"0.##")&amp;"+"&amp;TEXT(INDEX(ERP資料!$G:$G, (MATCH(602, 輔助計算!$G$2:$G$801, 0)+1)),"0.##"),TEXT(INDEX(ERP資料!$G:$G, (MATCH(602, 輔助計算!$G$2:$G$801, 0)+1)),"0.##")&amp;"+"&amp;TEXT(INDEX(ERP資料!$G:$G, (MATCH(602, 輔助計算!$G$2:$G$801, 0)+1)),"0.##")&amp;"+"&amp;TEXT(INDEX(ERP資料!$G:$G, (MATCH(602, 輔助計算!$G$2:$G$801, 0)+1)),"0.##"))))&amp;"-1")), ""), "")</f>
        <v/>
      </c>
      <c r="K603" s="16" t="n"/>
      <c r="L603" s="14">
        <f>IFERROR(IF(AND(IFERROR(INDEX(ERP資料!$A:$A, (MATCH(602, 輔助計算!$G$2:$G$801, 0)+1)), "")&lt;&gt;"", IFERROR(INDEX(ERP資料!$A:$A, (MATCH(602, 輔助計算!$G$2:$G$801, 0)+1)), "")&lt;&gt;IFERROR(INDEX(ERP資料!$A:$A, MATCH(601, 輔助計算!$G$2:$G$801, 0)+1), "")), INDEX(ERP資料!$B:$B, (MATCH(602, 輔助計算!$G$2:$G$801, 0)+1)), ""), "")</f>
        <v/>
      </c>
      <c r="M603" s="17" t="n"/>
    </row>
    <row r="604">
      <c r="A604" s="10">
        <f>IFERROR(IF(AND(IFERROR(INDEX(ERP資料!$A:$A, (MATCH(603, 輔助計算!$G$2:$G$801, 0)+1)), "")&lt;&gt;"", IFERROR(INDEX(ERP資料!$A:$A, (MATCH(603, 輔助計算!$G$2:$G$801, 0)+1)), "")&lt;&gt;IFERROR(INDEX(ERP資料!$A:$A, MATCH(602, 輔助計算!$G$2:$G$801, 0)+1), "")), IFERROR(INDEX(ERP資料!$A:$A, (MATCH(603, 輔助計算!$G$2:$G$801, 0)+1)), ""), ""), "")</f>
        <v/>
      </c>
      <c r="B604" s="10">
        <f>IFERROR(IF(AND(IFERROR(INDEX(ERP資料!$A:$A, (MATCH(603, 輔助計算!$G$2:$G$801, 0)+1)), "")&lt;&gt;"", IFERROR(INDEX(ERP資料!$A:$A, (MATCH(603, 輔助計算!$G$2:$G$801, 0)+1)), "")&lt;&gt;IFERROR(INDEX(ERP資料!$A:$A, MATCH(602, 輔助計算!$G$2:$G$801, 0)+1), "")), INDEX(ERP資料!$S:$S, (MATCH(603, 輔助計算!$G$2:$G$801, 0)+1)), ""), "")</f>
        <v/>
      </c>
      <c r="C604" s="19">
        <f>IFERROR(IF(AND(IFERROR(INDEX(ERP資料!$A:$A, (MATCH(603, 輔助計算!$G$2:$G$801, 0)+1)), "")&lt;&gt;"", IFERROR(INDEX(ERP資料!$A:$A, (MATCH(603, 輔助計算!$G$2:$G$801, 0)+1)), "")&lt;&gt;IFERROR(INDEX(ERP資料!$A:$A, MATCH(602, 輔助計算!$G$2:$G$801, 0)+1), "")), IFERROR(VLOOKUP(LEFT(INDEX(ERP資料!$S:$S, (MATCH(603, 輔助計算!$G$2:$G$801, 0)+1)), 4), 紙管對照表!$A:$C, 3, FALSE), ""), ""), "")</f>
        <v/>
      </c>
      <c r="D604" s="16" t="n"/>
      <c r="E604" s="10">
        <f>IFERROR(IF(INDEX(ERP資料!$H:$H, (MATCH(603, 輔助計算!$G$2:$G$801, 0)+1))="","",INDEX(ERP資料!$H:$H, (MATCH(603, 輔助計算!$G$2:$G$801, 0)+1))), "")</f>
        <v/>
      </c>
      <c r="F604" s="10">
        <f>IFERROR(IF(INDEX(ERP資料!$E:$E, (MATCH(603, 輔助計算!$G$2:$G$801, 0)+1))="","",TRIM(INDEX(ERP資料!$E:$E, (MATCH(603, 輔助計算!$G$2:$G$801, 0)+1)))), "")</f>
        <v/>
      </c>
      <c r="G604" s="10">
        <f>IFERROR(IF(INDEX(ERP資料!$F:$F, (MATCH(603, 輔助計算!$G$2:$G$801, 0)+1))="","",INDEX(ERP資料!$F:$F, (MATCH(603, 輔助計算!$G$2:$G$801, 0)+1))), "")</f>
        <v/>
      </c>
      <c r="H604" s="10">
        <f>IFERROR(IF(INDEX(ERP資料!$G:$G, (MATCH(603, 輔助計算!$G$2:$G$801, 0)+1))="","",INDEX(ERP資料!$G:$G, (MATCH(603, 輔助計算!$G$2:$G$801, 0)+1))), "")</f>
        <v/>
      </c>
      <c r="I604" s="15">
        <f>IFERROR(INDEX(輔助計算!$D:$D, (MATCH(603, 輔助計算!$G$2:$G$801, 0)+1)), "")</f>
        <v/>
      </c>
      <c r="J604" s="15">
        <f>IFERROR(IF(AND(INDEX(輔助計算!$D:$D, (MATCH(603, 輔助計算!$G$2:$G$801, 0)+1))&lt;&gt;"", INDEX(ERP資料!$G:$G, (MATCH(603, 輔助計算!$G$2:$G$801, 0)+1))&lt;&gt;""), TRIM(IF(INT(INDEX(輔助計算!$D:$D, (MATCH(603, 輔助計算!$G$2:$G$801, 0)+1))/IF(INDEX(ERP資料!$G:$G, (MATCH(603, 輔助計算!$G$2:$G$801, 0)+1))&lt;100, IF(INDEX(ERP資料!$G:$G, (MATCH(603, 輔助計算!$G$2:$G$801, 0)+1))&lt;=31,3,IF(INDEX(ERP資料!$G:$G, (MATCH(603, 輔助計算!$G$2:$G$801, 0)+1))&lt;=46.5,2,1)), IF(INDEX(ERP資料!$G:$G, (MATCH(603, 輔助計算!$G$2:$G$801, 0)+1))&lt;=790,3,IF(INDEX(ERP資料!$G:$G, (MATCH(603, 輔助計算!$G$2:$G$801, 0)+1))&lt;=1181,2,1))))&gt;0, IF(IF(INDEX(ERP資料!$G:$G, (MATCH(603, 輔助計算!$G$2:$G$801, 0)+1))&lt;100, IF(INDEX(ERP資料!$G:$G, (MATCH(603, 輔助計算!$G$2:$G$801, 0)+1))&lt;=31,3,IF(INDEX(ERP資料!$G:$G, (MATCH(603, 輔助計算!$G$2:$G$801, 0)+1))&lt;=46.5,2,1)), IF(INDEX(ERP資料!$G:$G, (MATCH(603, 輔助計算!$G$2:$G$801, 0)+1))&lt;=790,3,IF(INDEX(ERP資料!$G:$G, (MATCH(603, 輔助計算!$G$2:$G$801, 0)+1))&lt;=1181,2,1)))=1,TEXT(INDEX(ERP資料!$G:$G, (MATCH(603, 輔助計算!$G$2:$G$801, 0)+1)),"0.##"),IF(IF(INDEX(ERP資料!$G:$G, (MATCH(603, 輔助計算!$G$2:$G$801, 0)+1))&lt;100, IF(INDEX(ERP資料!$G:$G, (MATCH(603, 輔助計算!$G$2:$G$801, 0)+1))&lt;=31,3,IF(INDEX(ERP資料!$G:$G, (MATCH(603, 輔助計算!$G$2:$G$801, 0)+1))&lt;=46.5,2,1)), IF(INDEX(ERP資料!$G:$G, (MATCH(603, 輔助計算!$G$2:$G$801, 0)+1))&lt;=790,3,IF(INDEX(ERP資料!$G:$G, (MATCH(603, 輔助計算!$G$2:$G$801, 0)+1))&lt;=1181,2,1)))=2,TEXT(INDEX(ERP資料!$G:$G, (MATCH(603, 輔助計算!$G$2:$G$801, 0)+1)),"0.##")&amp;"+"&amp;TEXT(INDEX(ERP資料!$G:$G, (MATCH(603, 輔助計算!$G$2:$G$801, 0)+1)),"0.##"),TEXT(INDEX(ERP資料!$G:$G, (MATCH(603, 輔助計算!$G$2:$G$801, 0)+1)),"0.##")&amp;"+"&amp;TEXT(INDEX(ERP資料!$G:$G, (MATCH(603, 輔助計算!$G$2:$G$801, 0)+1)),"0.##")&amp;"+"&amp;TEXT(INDEX(ERP資料!$G:$G, (MATCH(603, 輔助計算!$G$2:$G$801, 0)+1)),"0.##")))&amp;"-"&amp;INT(INDEX(輔助計算!$D:$D, (MATCH(603, 輔助計算!$G$2:$G$801, 0)+1))/IF(INDEX(ERP資料!$G:$G, (MATCH(603, 輔助計算!$G$2:$G$801, 0)+1))&lt;100, IF(INDEX(ERP資料!$G:$G, (MATCH(603, 輔助計算!$G$2:$G$801, 0)+1))&lt;=31,3,IF(INDEX(ERP資料!$G:$G, (MATCH(603, 輔助計算!$G$2:$G$801, 0)+1))&lt;=46.5,2,1)), IF(INDEX(ERP資料!$G:$G, (MATCH(603, 輔助計算!$G$2:$G$801, 0)+1))&lt;=790,3,IF(INDEX(ERP資料!$G:$G, (MATCH(603, 輔助計算!$G$2:$G$801, 0)+1))&lt;=1181,2,1)))), "")&amp;IF(AND(IF(INT(INDEX(輔助計算!$D:$D, (MATCH(603, 輔助計算!$G$2:$G$801, 0)+1))/IF(INDEX(ERP資料!$G:$G, (MATCH(603, 輔助計算!$G$2:$G$801, 0)+1))&lt;100, IF(INDEX(ERP資料!$G:$G, (MATCH(603, 輔助計算!$G$2:$G$801, 0)+1))&lt;=31,3,IF(INDEX(ERP資料!$G:$G, (MATCH(603, 輔助計算!$G$2:$G$801, 0)+1))&lt;=46.5,2,1)), IF(INDEX(ERP資料!$G:$G, (MATCH(603, 輔助計算!$G$2:$G$801, 0)+1))&lt;=790,3,IF(INDEX(ERP資料!$G:$G, (MATCH(603, 輔助計算!$G$2:$G$801, 0)+1))&lt;=1181,2,1))))&gt;0, IF(IF(INDEX(ERP資料!$G:$G, (MATCH(603, 輔助計算!$G$2:$G$801, 0)+1))&lt;100, IF(INDEX(ERP資料!$G:$G, (MATCH(603, 輔助計算!$G$2:$G$801, 0)+1))&lt;=31,3,IF(INDEX(ERP資料!$G:$G, (MATCH(603, 輔助計算!$G$2:$G$801, 0)+1))&lt;=46.5,2,1)), IF(INDEX(ERP資料!$G:$G, (MATCH(603, 輔助計算!$G$2:$G$801, 0)+1))&lt;=790,3,IF(INDEX(ERP資料!$G:$G, (MATCH(603, 輔助計算!$G$2:$G$801, 0)+1))&lt;=1181,2,1)))=1,TEXT(INDEX(ERP資料!$G:$G, (MATCH(603, 輔助計算!$G$2:$G$801, 0)+1)),"0.##"),IF(IF(INDEX(ERP資料!$G:$G, (MATCH(603, 輔助計算!$G$2:$G$801, 0)+1))&lt;100, IF(INDEX(ERP資料!$G:$G, (MATCH(603, 輔助計算!$G$2:$G$801, 0)+1))&lt;=31,3,IF(INDEX(ERP資料!$G:$G, (MATCH(603, 輔助計算!$G$2:$G$801, 0)+1))&lt;=46.5,2,1)), IF(INDEX(ERP資料!$G:$G, (MATCH(603, 輔助計算!$G$2:$G$801, 0)+1))&lt;=790,3,IF(INDEX(ERP資料!$G:$G, (MATCH(603, 輔助計算!$G$2:$G$801, 0)+1))&lt;=1181,2,1)))=2,TEXT(INDEX(ERP資料!$G:$G, (MATCH(603, 輔助計算!$G$2:$G$801, 0)+1)),"0.##")&amp;"+"&amp;TEXT(INDEX(ERP資料!$G:$G, (MATCH(603, 輔助計算!$G$2:$G$801, 0)+1)),"0.##"),TEXT(INDEX(ERP資料!$G:$G, (MATCH(603, 輔助計算!$G$2:$G$801, 0)+1)),"0.##")&amp;"+"&amp;TEXT(INDEX(ERP資料!$G:$G, (MATCH(603, 輔助計算!$G$2:$G$801, 0)+1)),"0.##")&amp;"+"&amp;TEXT(INDEX(ERP資料!$G:$G, (MATCH(603, 輔助計算!$G$2:$G$801, 0)+1)),"0.##")))&amp;"-"&amp;INT(INDEX(輔助計算!$D:$D, (MATCH(603, 輔助計算!$G$2:$G$801, 0)+1))/IF(INDEX(ERP資料!$G:$G, (MATCH(603, 輔助計算!$G$2:$G$801, 0)+1))&lt;100, IF(INDEX(ERP資料!$G:$G, (MATCH(603, 輔助計算!$G$2:$G$801, 0)+1))&lt;=31,3,IF(INDEX(ERP資料!$G:$G, (MATCH(603, 輔助計算!$G$2:$G$801, 0)+1))&lt;=46.5,2,1)), IF(INDEX(ERP資料!$G:$G, (MATCH(603, 輔助計算!$G$2:$G$801, 0)+1))&lt;=790,3,IF(INDEX(ERP資料!$G:$G, (MATCH(603, 輔助計算!$G$2:$G$801, 0)+1))&lt;=1181,2,1)))), "")&lt;&gt;"",IF(MOD(INDEX(輔助計算!$D:$D, (MATCH(603, 輔助計算!$G$2:$G$801, 0)+1)),IF(INDEX(ERP資料!$G:$G, (MATCH(603, 輔助計算!$G$2:$G$801, 0)+1))&lt;100, IF(INDEX(ERP資料!$G:$G, (MATCH(603, 輔助計算!$G$2:$G$801, 0)+1))&lt;=31,3,IF(INDEX(ERP資料!$G:$G, (MATCH(603, 輔助計算!$G$2:$G$801, 0)+1))&lt;=46.5,2,1)), IF(INDEX(ERP資料!$G:$G, (MATCH(603, 輔助計算!$G$2:$G$801, 0)+1))&lt;=790,3,IF(INDEX(ERP資料!$G:$G, (MATCH(603, 輔助計算!$G$2:$G$801, 0)+1))&lt;=1181,2,1))))=0,"",IF(MOD(INDEX(輔助計算!$D:$D, (MATCH(603, 輔助計算!$G$2:$G$801, 0)+1)),IF(INDEX(ERP資料!$G:$G, (MATCH(603, 輔助計算!$G$2:$G$801, 0)+1))&lt;100, IF(INDEX(ERP資料!$G:$G, (MATCH(603, 輔助計算!$G$2:$G$801, 0)+1))&lt;=31,3,IF(INDEX(ERP資料!$G:$G, (MATCH(603, 輔助計算!$G$2:$G$801, 0)+1))&lt;=46.5,2,1)), IF(INDEX(ERP資料!$G:$G, (MATCH(603, 輔助計算!$G$2:$G$801, 0)+1))&lt;=790,3,IF(INDEX(ERP資料!$G:$G, (MATCH(603, 輔助計算!$G$2:$G$801, 0)+1))&lt;=1181,2,1))))=0,"",IF(MOD(INDEX(輔助計算!$D:$D, (MATCH(603, 輔助計算!$G$2:$G$801, 0)+1)),IF(INDEX(ERP資料!$G:$G, (MATCH(603, 輔助計算!$G$2:$G$801, 0)+1))&lt;100, IF(INDEX(ERP資料!$G:$G, (MATCH(603, 輔助計算!$G$2:$G$801, 0)+1))&lt;=31,3,IF(INDEX(ERP資料!$G:$G, (MATCH(603, 輔助計算!$G$2:$G$801, 0)+1))&lt;=46.5,2,1)), IF(INDEX(ERP資料!$G:$G, (MATCH(603, 輔助計算!$G$2:$G$801, 0)+1))&lt;=790,3,IF(INDEX(ERP資料!$G:$G, (MATCH(603, 輔助計算!$G$2:$G$801, 0)+1))&lt;=1181,2,1))))=1,TEXT(INDEX(ERP資料!$G:$G, (MATCH(603, 輔助計算!$G$2:$G$801, 0)+1)),"0.##"),IF(MOD(INDEX(輔助計算!$D:$D, (MATCH(603, 輔助計算!$G$2:$G$801, 0)+1)),IF(INDEX(ERP資料!$G:$G, (MATCH(603, 輔助計算!$G$2:$G$801, 0)+1))&lt;100, IF(INDEX(ERP資料!$G:$G, (MATCH(603, 輔助計算!$G$2:$G$801, 0)+1))&lt;=31,3,IF(INDEX(ERP資料!$G:$G, (MATCH(603, 輔助計算!$G$2:$G$801, 0)+1))&lt;=46.5,2,1)), IF(INDEX(ERP資料!$G:$G, (MATCH(603, 輔助計算!$G$2:$G$801, 0)+1))&lt;=790,3,IF(INDEX(ERP資料!$G:$G, (MATCH(603, 輔助計算!$G$2:$G$801, 0)+1))&lt;=1181,2,1))))=2,TEXT(INDEX(ERP資料!$G:$G, (MATCH(603, 輔助計算!$G$2:$G$801, 0)+1)),"0.##")&amp;"+"&amp;TEXT(INDEX(ERP資料!$G:$G, (MATCH(603, 輔助計算!$G$2:$G$801, 0)+1)),"0.##"),TEXT(INDEX(ERP資料!$G:$G, (MATCH(603, 輔助計算!$G$2:$G$801, 0)+1)),"0.##")&amp;"+"&amp;TEXT(INDEX(ERP資料!$G:$G, (MATCH(603, 輔助計算!$G$2:$G$801, 0)+1)),"0.##")&amp;"+"&amp;TEXT(INDEX(ERP資料!$G:$G, (MATCH(603, 輔助計算!$G$2:$G$801, 0)+1)),"0.##"))))&amp;"-1")&lt;&gt;""),"  ","")&amp;IF(MOD(INDEX(輔助計算!$D:$D, (MATCH(603, 輔助計算!$G$2:$G$801, 0)+1)),IF(INDEX(ERP資料!$G:$G, (MATCH(603, 輔助計算!$G$2:$G$801, 0)+1))&lt;100, IF(INDEX(ERP資料!$G:$G, (MATCH(603, 輔助計算!$G$2:$G$801, 0)+1))&lt;=31,3,IF(INDEX(ERP資料!$G:$G, (MATCH(603, 輔助計算!$G$2:$G$801, 0)+1))&lt;=46.5,2,1)), IF(INDEX(ERP資料!$G:$G, (MATCH(603, 輔助計算!$G$2:$G$801, 0)+1))&lt;=790,3,IF(INDEX(ERP資料!$G:$G, (MATCH(603, 輔助計算!$G$2:$G$801, 0)+1))&lt;=1181,2,1))))=0,"",IF(MOD(INDEX(輔助計算!$D:$D, (MATCH(603, 輔助計算!$G$2:$G$801, 0)+1)),IF(INDEX(ERP資料!$G:$G, (MATCH(603, 輔助計算!$G$2:$G$801, 0)+1))&lt;100, IF(INDEX(ERP資料!$G:$G, (MATCH(603, 輔助計算!$G$2:$G$801, 0)+1))&lt;=31,3,IF(INDEX(ERP資料!$G:$G, (MATCH(603, 輔助計算!$G$2:$G$801, 0)+1))&lt;=46.5,2,1)), IF(INDEX(ERP資料!$G:$G, (MATCH(603, 輔助計算!$G$2:$G$801, 0)+1))&lt;=790,3,IF(INDEX(ERP資料!$G:$G, (MATCH(603, 輔助計算!$G$2:$G$801, 0)+1))&lt;=1181,2,1))))=0,"",IF(MOD(INDEX(輔助計算!$D:$D, (MATCH(603, 輔助計算!$G$2:$G$801, 0)+1)),IF(INDEX(ERP資料!$G:$G, (MATCH(603, 輔助計算!$G$2:$G$801, 0)+1))&lt;100, IF(INDEX(ERP資料!$G:$G, (MATCH(603, 輔助計算!$G$2:$G$801, 0)+1))&lt;=31,3,IF(INDEX(ERP資料!$G:$G, (MATCH(603, 輔助計算!$G$2:$G$801, 0)+1))&lt;=46.5,2,1)), IF(INDEX(ERP資料!$G:$G, (MATCH(603, 輔助計算!$G$2:$G$801, 0)+1))&lt;=790,3,IF(INDEX(ERP資料!$G:$G, (MATCH(603, 輔助計算!$G$2:$G$801, 0)+1))&lt;=1181,2,1))))=1,TEXT(INDEX(ERP資料!$G:$G, (MATCH(603, 輔助計算!$G$2:$G$801, 0)+1)),"0.##"),IF(MOD(INDEX(輔助計算!$D:$D, (MATCH(603, 輔助計算!$G$2:$G$801, 0)+1)),IF(INDEX(ERP資料!$G:$G, (MATCH(603, 輔助計算!$G$2:$G$801, 0)+1))&lt;100, IF(INDEX(ERP資料!$G:$G, (MATCH(603, 輔助計算!$G$2:$G$801, 0)+1))&lt;=31,3,IF(INDEX(ERP資料!$G:$G, (MATCH(603, 輔助計算!$G$2:$G$801, 0)+1))&lt;=46.5,2,1)), IF(INDEX(ERP資料!$G:$G, (MATCH(603, 輔助計算!$G$2:$G$801, 0)+1))&lt;=790,3,IF(INDEX(ERP資料!$G:$G, (MATCH(603, 輔助計算!$G$2:$G$801, 0)+1))&lt;=1181,2,1))))=2,TEXT(INDEX(ERP資料!$G:$G, (MATCH(603, 輔助計算!$G$2:$G$801, 0)+1)),"0.##")&amp;"+"&amp;TEXT(INDEX(ERP資料!$G:$G, (MATCH(603, 輔助計算!$G$2:$G$801, 0)+1)),"0.##"),TEXT(INDEX(ERP資料!$G:$G, (MATCH(603, 輔助計算!$G$2:$G$801, 0)+1)),"0.##")&amp;"+"&amp;TEXT(INDEX(ERP資料!$G:$G, (MATCH(603, 輔助計算!$G$2:$G$801, 0)+1)),"0.##")&amp;"+"&amp;TEXT(INDEX(ERP資料!$G:$G, (MATCH(603, 輔助計算!$G$2:$G$801, 0)+1)),"0.##"))))&amp;"-1")), ""), "")</f>
        <v/>
      </c>
      <c r="K604" s="16" t="n"/>
      <c r="L604" s="14">
        <f>IFERROR(IF(AND(IFERROR(INDEX(ERP資料!$A:$A, (MATCH(603, 輔助計算!$G$2:$G$801, 0)+1)), "")&lt;&gt;"", IFERROR(INDEX(ERP資料!$A:$A, (MATCH(603, 輔助計算!$G$2:$G$801, 0)+1)), "")&lt;&gt;IFERROR(INDEX(ERP資料!$A:$A, MATCH(602, 輔助計算!$G$2:$G$801, 0)+1), "")), INDEX(ERP資料!$B:$B, (MATCH(603, 輔助計算!$G$2:$G$801, 0)+1)), ""), "")</f>
        <v/>
      </c>
      <c r="M604" s="17" t="n"/>
    </row>
    <row r="605">
      <c r="A605" s="10">
        <f>IFERROR(IF(AND(IFERROR(INDEX(ERP資料!$A:$A, (MATCH(604, 輔助計算!$G$2:$G$801, 0)+1)), "")&lt;&gt;"", IFERROR(INDEX(ERP資料!$A:$A, (MATCH(604, 輔助計算!$G$2:$G$801, 0)+1)), "")&lt;&gt;IFERROR(INDEX(ERP資料!$A:$A, MATCH(603, 輔助計算!$G$2:$G$801, 0)+1), "")), IFERROR(INDEX(ERP資料!$A:$A, (MATCH(604, 輔助計算!$G$2:$G$801, 0)+1)), ""), ""), "")</f>
        <v/>
      </c>
      <c r="B605" s="10">
        <f>IFERROR(IF(AND(IFERROR(INDEX(ERP資料!$A:$A, (MATCH(604, 輔助計算!$G$2:$G$801, 0)+1)), "")&lt;&gt;"", IFERROR(INDEX(ERP資料!$A:$A, (MATCH(604, 輔助計算!$G$2:$G$801, 0)+1)), "")&lt;&gt;IFERROR(INDEX(ERP資料!$A:$A, MATCH(603, 輔助計算!$G$2:$G$801, 0)+1), "")), INDEX(ERP資料!$S:$S, (MATCH(604, 輔助計算!$G$2:$G$801, 0)+1)), ""), "")</f>
        <v/>
      </c>
      <c r="C605" s="19">
        <f>IFERROR(IF(AND(IFERROR(INDEX(ERP資料!$A:$A, (MATCH(604, 輔助計算!$G$2:$G$801, 0)+1)), "")&lt;&gt;"", IFERROR(INDEX(ERP資料!$A:$A, (MATCH(604, 輔助計算!$G$2:$G$801, 0)+1)), "")&lt;&gt;IFERROR(INDEX(ERP資料!$A:$A, MATCH(603, 輔助計算!$G$2:$G$801, 0)+1), "")), IFERROR(VLOOKUP(LEFT(INDEX(ERP資料!$S:$S, (MATCH(604, 輔助計算!$G$2:$G$801, 0)+1)), 4), 紙管對照表!$A:$C, 3, FALSE), ""), ""), "")</f>
        <v/>
      </c>
      <c r="D605" s="16" t="n"/>
      <c r="E605" s="10">
        <f>IFERROR(IF(INDEX(ERP資料!$H:$H, (MATCH(604, 輔助計算!$G$2:$G$801, 0)+1))="","",INDEX(ERP資料!$H:$H, (MATCH(604, 輔助計算!$G$2:$G$801, 0)+1))), "")</f>
        <v/>
      </c>
      <c r="F605" s="10">
        <f>IFERROR(IF(INDEX(ERP資料!$E:$E, (MATCH(604, 輔助計算!$G$2:$G$801, 0)+1))="","",TRIM(INDEX(ERP資料!$E:$E, (MATCH(604, 輔助計算!$G$2:$G$801, 0)+1)))), "")</f>
        <v/>
      </c>
      <c r="G605" s="10">
        <f>IFERROR(IF(INDEX(ERP資料!$F:$F, (MATCH(604, 輔助計算!$G$2:$G$801, 0)+1))="","",INDEX(ERP資料!$F:$F, (MATCH(604, 輔助計算!$G$2:$G$801, 0)+1))), "")</f>
        <v/>
      </c>
      <c r="H605" s="10">
        <f>IFERROR(IF(INDEX(ERP資料!$G:$G, (MATCH(604, 輔助計算!$G$2:$G$801, 0)+1))="","",INDEX(ERP資料!$G:$G, (MATCH(604, 輔助計算!$G$2:$G$801, 0)+1))), "")</f>
        <v/>
      </c>
      <c r="I605" s="15">
        <f>IFERROR(INDEX(輔助計算!$D:$D, (MATCH(604, 輔助計算!$G$2:$G$801, 0)+1)), "")</f>
        <v/>
      </c>
      <c r="J605" s="15">
        <f>IFERROR(IF(AND(INDEX(輔助計算!$D:$D, (MATCH(604, 輔助計算!$G$2:$G$801, 0)+1))&lt;&gt;"", INDEX(ERP資料!$G:$G, (MATCH(604, 輔助計算!$G$2:$G$801, 0)+1))&lt;&gt;""), TRIM(IF(INT(INDEX(輔助計算!$D:$D, (MATCH(604, 輔助計算!$G$2:$G$801, 0)+1))/IF(INDEX(ERP資料!$G:$G, (MATCH(604, 輔助計算!$G$2:$G$801, 0)+1))&lt;100, IF(INDEX(ERP資料!$G:$G, (MATCH(604, 輔助計算!$G$2:$G$801, 0)+1))&lt;=31,3,IF(INDEX(ERP資料!$G:$G, (MATCH(604, 輔助計算!$G$2:$G$801, 0)+1))&lt;=46.5,2,1)), IF(INDEX(ERP資料!$G:$G, (MATCH(604, 輔助計算!$G$2:$G$801, 0)+1))&lt;=790,3,IF(INDEX(ERP資料!$G:$G, (MATCH(604, 輔助計算!$G$2:$G$801, 0)+1))&lt;=1181,2,1))))&gt;0, IF(IF(INDEX(ERP資料!$G:$G, (MATCH(604, 輔助計算!$G$2:$G$801, 0)+1))&lt;100, IF(INDEX(ERP資料!$G:$G, (MATCH(604, 輔助計算!$G$2:$G$801, 0)+1))&lt;=31,3,IF(INDEX(ERP資料!$G:$G, (MATCH(604, 輔助計算!$G$2:$G$801, 0)+1))&lt;=46.5,2,1)), IF(INDEX(ERP資料!$G:$G, (MATCH(604, 輔助計算!$G$2:$G$801, 0)+1))&lt;=790,3,IF(INDEX(ERP資料!$G:$G, (MATCH(604, 輔助計算!$G$2:$G$801, 0)+1))&lt;=1181,2,1)))=1,TEXT(INDEX(ERP資料!$G:$G, (MATCH(604, 輔助計算!$G$2:$G$801, 0)+1)),"0.##"),IF(IF(INDEX(ERP資料!$G:$G, (MATCH(604, 輔助計算!$G$2:$G$801, 0)+1))&lt;100, IF(INDEX(ERP資料!$G:$G, (MATCH(604, 輔助計算!$G$2:$G$801, 0)+1))&lt;=31,3,IF(INDEX(ERP資料!$G:$G, (MATCH(604, 輔助計算!$G$2:$G$801, 0)+1))&lt;=46.5,2,1)), IF(INDEX(ERP資料!$G:$G, (MATCH(604, 輔助計算!$G$2:$G$801, 0)+1))&lt;=790,3,IF(INDEX(ERP資料!$G:$G, (MATCH(604, 輔助計算!$G$2:$G$801, 0)+1))&lt;=1181,2,1)))=2,TEXT(INDEX(ERP資料!$G:$G, (MATCH(604, 輔助計算!$G$2:$G$801, 0)+1)),"0.##")&amp;"+"&amp;TEXT(INDEX(ERP資料!$G:$G, (MATCH(604, 輔助計算!$G$2:$G$801, 0)+1)),"0.##"),TEXT(INDEX(ERP資料!$G:$G, (MATCH(604, 輔助計算!$G$2:$G$801, 0)+1)),"0.##")&amp;"+"&amp;TEXT(INDEX(ERP資料!$G:$G, (MATCH(604, 輔助計算!$G$2:$G$801, 0)+1)),"0.##")&amp;"+"&amp;TEXT(INDEX(ERP資料!$G:$G, (MATCH(604, 輔助計算!$G$2:$G$801, 0)+1)),"0.##")))&amp;"-"&amp;INT(INDEX(輔助計算!$D:$D, (MATCH(604, 輔助計算!$G$2:$G$801, 0)+1))/IF(INDEX(ERP資料!$G:$G, (MATCH(604, 輔助計算!$G$2:$G$801, 0)+1))&lt;100, IF(INDEX(ERP資料!$G:$G, (MATCH(604, 輔助計算!$G$2:$G$801, 0)+1))&lt;=31,3,IF(INDEX(ERP資料!$G:$G, (MATCH(604, 輔助計算!$G$2:$G$801, 0)+1))&lt;=46.5,2,1)), IF(INDEX(ERP資料!$G:$G, (MATCH(604, 輔助計算!$G$2:$G$801, 0)+1))&lt;=790,3,IF(INDEX(ERP資料!$G:$G, (MATCH(604, 輔助計算!$G$2:$G$801, 0)+1))&lt;=1181,2,1)))), "")&amp;IF(AND(IF(INT(INDEX(輔助計算!$D:$D, (MATCH(604, 輔助計算!$G$2:$G$801, 0)+1))/IF(INDEX(ERP資料!$G:$G, (MATCH(604, 輔助計算!$G$2:$G$801, 0)+1))&lt;100, IF(INDEX(ERP資料!$G:$G, (MATCH(604, 輔助計算!$G$2:$G$801, 0)+1))&lt;=31,3,IF(INDEX(ERP資料!$G:$G, (MATCH(604, 輔助計算!$G$2:$G$801, 0)+1))&lt;=46.5,2,1)), IF(INDEX(ERP資料!$G:$G, (MATCH(604, 輔助計算!$G$2:$G$801, 0)+1))&lt;=790,3,IF(INDEX(ERP資料!$G:$G, (MATCH(604, 輔助計算!$G$2:$G$801, 0)+1))&lt;=1181,2,1))))&gt;0, IF(IF(INDEX(ERP資料!$G:$G, (MATCH(604, 輔助計算!$G$2:$G$801, 0)+1))&lt;100, IF(INDEX(ERP資料!$G:$G, (MATCH(604, 輔助計算!$G$2:$G$801, 0)+1))&lt;=31,3,IF(INDEX(ERP資料!$G:$G, (MATCH(604, 輔助計算!$G$2:$G$801, 0)+1))&lt;=46.5,2,1)), IF(INDEX(ERP資料!$G:$G, (MATCH(604, 輔助計算!$G$2:$G$801, 0)+1))&lt;=790,3,IF(INDEX(ERP資料!$G:$G, (MATCH(604, 輔助計算!$G$2:$G$801, 0)+1))&lt;=1181,2,1)))=1,TEXT(INDEX(ERP資料!$G:$G, (MATCH(604, 輔助計算!$G$2:$G$801, 0)+1)),"0.##"),IF(IF(INDEX(ERP資料!$G:$G, (MATCH(604, 輔助計算!$G$2:$G$801, 0)+1))&lt;100, IF(INDEX(ERP資料!$G:$G, (MATCH(604, 輔助計算!$G$2:$G$801, 0)+1))&lt;=31,3,IF(INDEX(ERP資料!$G:$G, (MATCH(604, 輔助計算!$G$2:$G$801, 0)+1))&lt;=46.5,2,1)), IF(INDEX(ERP資料!$G:$G, (MATCH(604, 輔助計算!$G$2:$G$801, 0)+1))&lt;=790,3,IF(INDEX(ERP資料!$G:$G, (MATCH(604, 輔助計算!$G$2:$G$801, 0)+1))&lt;=1181,2,1)))=2,TEXT(INDEX(ERP資料!$G:$G, (MATCH(604, 輔助計算!$G$2:$G$801, 0)+1)),"0.##")&amp;"+"&amp;TEXT(INDEX(ERP資料!$G:$G, (MATCH(604, 輔助計算!$G$2:$G$801, 0)+1)),"0.##"),TEXT(INDEX(ERP資料!$G:$G, (MATCH(604, 輔助計算!$G$2:$G$801, 0)+1)),"0.##")&amp;"+"&amp;TEXT(INDEX(ERP資料!$G:$G, (MATCH(604, 輔助計算!$G$2:$G$801, 0)+1)),"0.##")&amp;"+"&amp;TEXT(INDEX(ERP資料!$G:$G, (MATCH(604, 輔助計算!$G$2:$G$801, 0)+1)),"0.##")))&amp;"-"&amp;INT(INDEX(輔助計算!$D:$D, (MATCH(604, 輔助計算!$G$2:$G$801, 0)+1))/IF(INDEX(ERP資料!$G:$G, (MATCH(604, 輔助計算!$G$2:$G$801, 0)+1))&lt;100, IF(INDEX(ERP資料!$G:$G, (MATCH(604, 輔助計算!$G$2:$G$801, 0)+1))&lt;=31,3,IF(INDEX(ERP資料!$G:$G, (MATCH(604, 輔助計算!$G$2:$G$801, 0)+1))&lt;=46.5,2,1)), IF(INDEX(ERP資料!$G:$G, (MATCH(604, 輔助計算!$G$2:$G$801, 0)+1))&lt;=790,3,IF(INDEX(ERP資料!$G:$G, (MATCH(604, 輔助計算!$G$2:$G$801, 0)+1))&lt;=1181,2,1)))), "")&lt;&gt;"",IF(MOD(INDEX(輔助計算!$D:$D, (MATCH(604, 輔助計算!$G$2:$G$801, 0)+1)),IF(INDEX(ERP資料!$G:$G, (MATCH(604, 輔助計算!$G$2:$G$801, 0)+1))&lt;100, IF(INDEX(ERP資料!$G:$G, (MATCH(604, 輔助計算!$G$2:$G$801, 0)+1))&lt;=31,3,IF(INDEX(ERP資料!$G:$G, (MATCH(604, 輔助計算!$G$2:$G$801, 0)+1))&lt;=46.5,2,1)), IF(INDEX(ERP資料!$G:$G, (MATCH(604, 輔助計算!$G$2:$G$801, 0)+1))&lt;=790,3,IF(INDEX(ERP資料!$G:$G, (MATCH(604, 輔助計算!$G$2:$G$801, 0)+1))&lt;=1181,2,1))))=0,"",IF(MOD(INDEX(輔助計算!$D:$D, (MATCH(604, 輔助計算!$G$2:$G$801, 0)+1)),IF(INDEX(ERP資料!$G:$G, (MATCH(604, 輔助計算!$G$2:$G$801, 0)+1))&lt;100, IF(INDEX(ERP資料!$G:$G, (MATCH(604, 輔助計算!$G$2:$G$801, 0)+1))&lt;=31,3,IF(INDEX(ERP資料!$G:$G, (MATCH(604, 輔助計算!$G$2:$G$801, 0)+1))&lt;=46.5,2,1)), IF(INDEX(ERP資料!$G:$G, (MATCH(604, 輔助計算!$G$2:$G$801, 0)+1))&lt;=790,3,IF(INDEX(ERP資料!$G:$G, (MATCH(604, 輔助計算!$G$2:$G$801, 0)+1))&lt;=1181,2,1))))=0,"",IF(MOD(INDEX(輔助計算!$D:$D, (MATCH(604, 輔助計算!$G$2:$G$801, 0)+1)),IF(INDEX(ERP資料!$G:$G, (MATCH(604, 輔助計算!$G$2:$G$801, 0)+1))&lt;100, IF(INDEX(ERP資料!$G:$G, (MATCH(604, 輔助計算!$G$2:$G$801, 0)+1))&lt;=31,3,IF(INDEX(ERP資料!$G:$G, (MATCH(604, 輔助計算!$G$2:$G$801, 0)+1))&lt;=46.5,2,1)), IF(INDEX(ERP資料!$G:$G, (MATCH(604, 輔助計算!$G$2:$G$801, 0)+1))&lt;=790,3,IF(INDEX(ERP資料!$G:$G, (MATCH(604, 輔助計算!$G$2:$G$801, 0)+1))&lt;=1181,2,1))))=1,TEXT(INDEX(ERP資料!$G:$G, (MATCH(604, 輔助計算!$G$2:$G$801, 0)+1)),"0.##"),IF(MOD(INDEX(輔助計算!$D:$D, (MATCH(604, 輔助計算!$G$2:$G$801, 0)+1)),IF(INDEX(ERP資料!$G:$G, (MATCH(604, 輔助計算!$G$2:$G$801, 0)+1))&lt;100, IF(INDEX(ERP資料!$G:$G, (MATCH(604, 輔助計算!$G$2:$G$801, 0)+1))&lt;=31,3,IF(INDEX(ERP資料!$G:$G, (MATCH(604, 輔助計算!$G$2:$G$801, 0)+1))&lt;=46.5,2,1)), IF(INDEX(ERP資料!$G:$G, (MATCH(604, 輔助計算!$G$2:$G$801, 0)+1))&lt;=790,3,IF(INDEX(ERP資料!$G:$G, (MATCH(604, 輔助計算!$G$2:$G$801, 0)+1))&lt;=1181,2,1))))=2,TEXT(INDEX(ERP資料!$G:$G, (MATCH(604, 輔助計算!$G$2:$G$801, 0)+1)),"0.##")&amp;"+"&amp;TEXT(INDEX(ERP資料!$G:$G, (MATCH(604, 輔助計算!$G$2:$G$801, 0)+1)),"0.##"),TEXT(INDEX(ERP資料!$G:$G, (MATCH(604, 輔助計算!$G$2:$G$801, 0)+1)),"0.##")&amp;"+"&amp;TEXT(INDEX(ERP資料!$G:$G, (MATCH(604, 輔助計算!$G$2:$G$801, 0)+1)),"0.##")&amp;"+"&amp;TEXT(INDEX(ERP資料!$G:$G, (MATCH(604, 輔助計算!$G$2:$G$801, 0)+1)),"0.##"))))&amp;"-1")&lt;&gt;""),"  ","")&amp;IF(MOD(INDEX(輔助計算!$D:$D, (MATCH(604, 輔助計算!$G$2:$G$801, 0)+1)),IF(INDEX(ERP資料!$G:$G, (MATCH(604, 輔助計算!$G$2:$G$801, 0)+1))&lt;100, IF(INDEX(ERP資料!$G:$G, (MATCH(604, 輔助計算!$G$2:$G$801, 0)+1))&lt;=31,3,IF(INDEX(ERP資料!$G:$G, (MATCH(604, 輔助計算!$G$2:$G$801, 0)+1))&lt;=46.5,2,1)), IF(INDEX(ERP資料!$G:$G, (MATCH(604, 輔助計算!$G$2:$G$801, 0)+1))&lt;=790,3,IF(INDEX(ERP資料!$G:$G, (MATCH(604, 輔助計算!$G$2:$G$801, 0)+1))&lt;=1181,2,1))))=0,"",IF(MOD(INDEX(輔助計算!$D:$D, (MATCH(604, 輔助計算!$G$2:$G$801, 0)+1)),IF(INDEX(ERP資料!$G:$G, (MATCH(604, 輔助計算!$G$2:$G$801, 0)+1))&lt;100, IF(INDEX(ERP資料!$G:$G, (MATCH(604, 輔助計算!$G$2:$G$801, 0)+1))&lt;=31,3,IF(INDEX(ERP資料!$G:$G, (MATCH(604, 輔助計算!$G$2:$G$801, 0)+1))&lt;=46.5,2,1)), IF(INDEX(ERP資料!$G:$G, (MATCH(604, 輔助計算!$G$2:$G$801, 0)+1))&lt;=790,3,IF(INDEX(ERP資料!$G:$G, (MATCH(604, 輔助計算!$G$2:$G$801, 0)+1))&lt;=1181,2,1))))=0,"",IF(MOD(INDEX(輔助計算!$D:$D, (MATCH(604, 輔助計算!$G$2:$G$801, 0)+1)),IF(INDEX(ERP資料!$G:$G, (MATCH(604, 輔助計算!$G$2:$G$801, 0)+1))&lt;100, IF(INDEX(ERP資料!$G:$G, (MATCH(604, 輔助計算!$G$2:$G$801, 0)+1))&lt;=31,3,IF(INDEX(ERP資料!$G:$G, (MATCH(604, 輔助計算!$G$2:$G$801, 0)+1))&lt;=46.5,2,1)), IF(INDEX(ERP資料!$G:$G, (MATCH(604, 輔助計算!$G$2:$G$801, 0)+1))&lt;=790,3,IF(INDEX(ERP資料!$G:$G, (MATCH(604, 輔助計算!$G$2:$G$801, 0)+1))&lt;=1181,2,1))))=1,TEXT(INDEX(ERP資料!$G:$G, (MATCH(604, 輔助計算!$G$2:$G$801, 0)+1)),"0.##"),IF(MOD(INDEX(輔助計算!$D:$D, (MATCH(604, 輔助計算!$G$2:$G$801, 0)+1)),IF(INDEX(ERP資料!$G:$G, (MATCH(604, 輔助計算!$G$2:$G$801, 0)+1))&lt;100, IF(INDEX(ERP資料!$G:$G, (MATCH(604, 輔助計算!$G$2:$G$801, 0)+1))&lt;=31,3,IF(INDEX(ERP資料!$G:$G, (MATCH(604, 輔助計算!$G$2:$G$801, 0)+1))&lt;=46.5,2,1)), IF(INDEX(ERP資料!$G:$G, (MATCH(604, 輔助計算!$G$2:$G$801, 0)+1))&lt;=790,3,IF(INDEX(ERP資料!$G:$G, (MATCH(604, 輔助計算!$G$2:$G$801, 0)+1))&lt;=1181,2,1))))=2,TEXT(INDEX(ERP資料!$G:$G, (MATCH(604, 輔助計算!$G$2:$G$801, 0)+1)),"0.##")&amp;"+"&amp;TEXT(INDEX(ERP資料!$G:$G, (MATCH(604, 輔助計算!$G$2:$G$801, 0)+1)),"0.##"),TEXT(INDEX(ERP資料!$G:$G, (MATCH(604, 輔助計算!$G$2:$G$801, 0)+1)),"0.##")&amp;"+"&amp;TEXT(INDEX(ERP資料!$G:$G, (MATCH(604, 輔助計算!$G$2:$G$801, 0)+1)),"0.##")&amp;"+"&amp;TEXT(INDEX(ERP資料!$G:$G, (MATCH(604, 輔助計算!$G$2:$G$801, 0)+1)),"0.##"))))&amp;"-1")), ""), "")</f>
        <v/>
      </c>
      <c r="K605" s="16" t="n"/>
      <c r="L605" s="14">
        <f>IFERROR(IF(AND(IFERROR(INDEX(ERP資料!$A:$A, (MATCH(604, 輔助計算!$G$2:$G$801, 0)+1)), "")&lt;&gt;"", IFERROR(INDEX(ERP資料!$A:$A, (MATCH(604, 輔助計算!$G$2:$G$801, 0)+1)), "")&lt;&gt;IFERROR(INDEX(ERP資料!$A:$A, MATCH(603, 輔助計算!$G$2:$G$801, 0)+1), "")), INDEX(ERP資料!$B:$B, (MATCH(604, 輔助計算!$G$2:$G$801, 0)+1)), ""), "")</f>
        <v/>
      </c>
      <c r="M605" s="17" t="n"/>
    </row>
    <row r="606">
      <c r="A606" s="10">
        <f>IFERROR(IF(AND(IFERROR(INDEX(ERP資料!$A:$A, (MATCH(605, 輔助計算!$G$2:$G$801, 0)+1)), "")&lt;&gt;"", IFERROR(INDEX(ERP資料!$A:$A, (MATCH(605, 輔助計算!$G$2:$G$801, 0)+1)), "")&lt;&gt;IFERROR(INDEX(ERP資料!$A:$A, MATCH(604, 輔助計算!$G$2:$G$801, 0)+1), "")), IFERROR(INDEX(ERP資料!$A:$A, (MATCH(605, 輔助計算!$G$2:$G$801, 0)+1)), ""), ""), "")</f>
        <v/>
      </c>
      <c r="B606" s="10">
        <f>IFERROR(IF(AND(IFERROR(INDEX(ERP資料!$A:$A, (MATCH(605, 輔助計算!$G$2:$G$801, 0)+1)), "")&lt;&gt;"", IFERROR(INDEX(ERP資料!$A:$A, (MATCH(605, 輔助計算!$G$2:$G$801, 0)+1)), "")&lt;&gt;IFERROR(INDEX(ERP資料!$A:$A, MATCH(604, 輔助計算!$G$2:$G$801, 0)+1), "")), INDEX(ERP資料!$S:$S, (MATCH(605, 輔助計算!$G$2:$G$801, 0)+1)), ""), "")</f>
        <v/>
      </c>
      <c r="C606" s="19">
        <f>IFERROR(IF(AND(IFERROR(INDEX(ERP資料!$A:$A, (MATCH(605, 輔助計算!$G$2:$G$801, 0)+1)), "")&lt;&gt;"", IFERROR(INDEX(ERP資料!$A:$A, (MATCH(605, 輔助計算!$G$2:$G$801, 0)+1)), "")&lt;&gt;IFERROR(INDEX(ERP資料!$A:$A, MATCH(604, 輔助計算!$G$2:$G$801, 0)+1), "")), IFERROR(VLOOKUP(LEFT(INDEX(ERP資料!$S:$S, (MATCH(605, 輔助計算!$G$2:$G$801, 0)+1)), 4), 紙管對照表!$A:$C, 3, FALSE), ""), ""), "")</f>
        <v/>
      </c>
      <c r="D606" s="16" t="n"/>
      <c r="E606" s="10">
        <f>IFERROR(IF(INDEX(ERP資料!$H:$H, (MATCH(605, 輔助計算!$G$2:$G$801, 0)+1))="","",INDEX(ERP資料!$H:$H, (MATCH(605, 輔助計算!$G$2:$G$801, 0)+1))), "")</f>
        <v/>
      </c>
      <c r="F606" s="10">
        <f>IFERROR(IF(INDEX(ERP資料!$E:$E, (MATCH(605, 輔助計算!$G$2:$G$801, 0)+1))="","",TRIM(INDEX(ERP資料!$E:$E, (MATCH(605, 輔助計算!$G$2:$G$801, 0)+1)))), "")</f>
        <v/>
      </c>
      <c r="G606" s="10">
        <f>IFERROR(IF(INDEX(ERP資料!$F:$F, (MATCH(605, 輔助計算!$G$2:$G$801, 0)+1))="","",INDEX(ERP資料!$F:$F, (MATCH(605, 輔助計算!$G$2:$G$801, 0)+1))), "")</f>
        <v/>
      </c>
      <c r="H606" s="10">
        <f>IFERROR(IF(INDEX(ERP資料!$G:$G, (MATCH(605, 輔助計算!$G$2:$G$801, 0)+1))="","",INDEX(ERP資料!$G:$G, (MATCH(605, 輔助計算!$G$2:$G$801, 0)+1))), "")</f>
        <v/>
      </c>
      <c r="I606" s="15">
        <f>IFERROR(INDEX(輔助計算!$D:$D, (MATCH(605, 輔助計算!$G$2:$G$801, 0)+1)), "")</f>
        <v/>
      </c>
      <c r="J606" s="15">
        <f>IFERROR(IF(AND(INDEX(輔助計算!$D:$D, (MATCH(605, 輔助計算!$G$2:$G$801, 0)+1))&lt;&gt;"", INDEX(ERP資料!$G:$G, (MATCH(605, 輔助計算!$G$2:$G$801, 0)+1))&lt;&gt;""), TRIM(IF(INT(INDEX(輔助計算!$D:$D, (MATCH(605, 輔助計算!$G$2:$G$801, 0)+1))/IF(INDEX(ERP資料!$G:$G, (MATCH(605, 輔助計算!$G$2:$G$801, 0)+1))&lt;100, IF(INDEX(ERP資料!$G:$G, (MATCH(605, 輔助計算!$G$2:$G$801, 0)+1))&lt;=31,3,IF(INDEX(ERP資料!$G:$G, (MATCH(605, 輔助計算!$G$2:$G$801, 0)+1))&lt;=46.5,2,1)), IF(INDEX(ERP資料!$G:$G, (MATCH(605, 輔助計算!$G$2:$G$801, 0)+1))&lt;=790,3,IF(INDEX(ERP資料!$G:$G, (MATCH(605, 輔助計算!$G$2:$G$801, 0)+1))&lt;=1181,2,1))))&gt;0, IF(IF(INDEX(ERP資料!$G:$G, (MATCH(605, 輔助計算!$G$2:$G$801, 0)+1))&lt;100, IF(INDEX(ERP資料!$G:$G, (MATCH(605, 輔助計算!$G$2:$G$801, 0)+1))&lt;=31,3,IF(INDEX(ERP資料!$G:$G, (MATCH(605, 輔助計算!$G$2:$G$801, 0)+1))&lt;=46.5,2,1)), IF(INDEX(ERP資料!$G:$G, (MATCH(605, 輔助計算!$G$2:$G$801, 0)+1))&lt;=790,3,IF(INDEX(ERP資料!$G:$G, (MATCH(605, 輔助計算!$G$2:$G$801, 0)+1))&lt;=1181,2,1)))=1,TEXT(INDEX(ERP資料!$G:$G, (MATCH(605, 輔助計算!$G$2:$G$801, 0)+1)),"0.##"),IF(IF(INDEX(ERP資料!$G:$G, (MATCH(605, 輔助計算!$G$2:$G$801, 0)+1))&lt;100, IF(INDEX(ERP資料!$G:$G, (MATCH(605, 輔助計算!$G$2:$G$801, 0)+1))&lt;=31,3,IF(INDEX(ERP資料!$G:$G, (MATCH(605, 輔助計算!$G$2:$G$801, 0)+1))&lt;=46.5,2,1)), IF(INDEX(ERP資料!$G:$G, (MATCH(605, 輔助計算!$G$2:$G$801, 0)+1))&lt;=790,3,IF(INDEX(ERP資料!$G:$G, (MATCH(605, 輔助計算!$G$2:$G$801, 0)+1))&lt;=1181,2,1)))=2,TEXT(INDEX(ERP資料!$G:$G, (MATCH(605, 輔助計算!$G$2:$G$801, 0)+1)),"0.##")&amp;"+"&amp;TEXT(INDEX(ERP資料!$G:$G, (MATCH(605, 輔助計算!$G$2:$G$801, 0)+1)),"0.##"),TEXT(INDEX(ERP資料!$G:$G, (MATCH(605, 輔助計算!$G$2:$G$801, 0)+1)),"0.##")&amp;"+"&amp;TEXT(INDEX(ERP資料!$G:$G, (MATCH(605, 輔助計算!$G$2:$G$801, 0)+1)),"0.##")&amp;"+"&amp;TEXT(INDEX(ERP資料!$G:$G, (MATCH(605, 輔助計算!$G$2:$G$801, 0)+1)),"0.##")))&amp;"-"&amp;INT(INDEX(輔助計算!$D:$D, (MATCH(605, 輔助計算!$G$2:$G$801, 0)+1))/IF(INDEX(ERP資料!$G:$G, (MATCH(605, 輔助計算!$G$2:$G$801, 0)+1))&lt;100, IF(INDEX(ERP資料!$G:$G, (MATCH(605, 輔助計算!$G$2:$G$801, 0)+1))&lt;=31,3,IF(INDEX(ERP資料!$G:$G, (MATCH(605, 輔助計算!$G$2:$G$801, 0)+1))&lt;=46.5,2,1)), IF(INDEX(ERP資料!$G:$G, (MATCH(605, 輔助計算!$G$2:$G$801, 0)+1))&lt;=790,3,IF(INDEX(ERP資料!$G:$G, (MATCH(605, 輔助計算!$G$2:$G$801, 0)+1))&lt;=1181,2,1)))), "")&amp;IF(AND(IF(INT(INDEX(輔助計算!$D:$D, (MATCH(605, 輔助計算!$G$2:$G$801, 0)+1))/IF(INDEX(ERP資料!$G:$G, (MATCH(605, 輔助計算!$G$2:$G$801, 0)+1))&lt;100, IF(INDEX(ERP資料!$G:$G, (MATCH(605, 輔助計算!$G$2:$G$801, 0)+1))&lt;=31,3,IF(INDEX(ERP資料!$G:$G, (MATCH(605, 輔助計算!$G$2:$G$801, 0)+1))&lt;=46.5,2,1)), IF(INDEX(ERP資料!$G:$G, (MATCH(605, 輔助計算!$G$2:$G$801, 0)+1))&lt;=790,3,IF(INDEX(ERP資料!$G:$G, (MATCH(605, 輔助計算!$G$2:$G$801, 0)+1))&lt;=1181,2,1))))&gt;0, IF(IF(INDEX(ERP資料!$G:$G, (MATCH(605, 輔助計算!$G$2:$G$801, 0)+1))&lt;100, IF(INDEX(ERP資料!$G:$G, (MATCH(605, 輔助計算!$G$2:$G$801, 0)+1))&lt;=31,3,IF(INDEX(ERP資料!$G:$G, (MATCH(605, 輔助計算!$G$2:$G$801, 0)+1))&lt;=46.5,2,1)), IF(INDEX(ERP資料!$G:$G, (MATCH(605, 輔助計算!$G$2:$G$801, 0)+1))&lt;=790,3,IF(INDEX(ERP資料!$G:$G, (MATCH(605, 輔助計算!$G$2:$G$801, 0)+1))&lt;=1181,2,1)))=1,TEXT(INDEX(ERP資料!$G:$G, (MATCH(605, 輔助計算!$G$2:$G$801, 0)+1)),"0.##"),IF(IF(INDEX(ERP資料!$G:$G, (MATCH(605, 輔助計算!$G$2:$G$801, 0)+1))&lt;100, IF(INDEX(ERP資料!$G:$G, (MATCH(605, 輔助計算!$G$2:$G$801, 0)+1))&lt;=31,3,IF(INDEX(ERP資料!$G:$G, (MATCH(605, 輔助計算!$G$2:$G$801, 0)+1))&lt;=46.5,2,1)), IF(INDEX(ERP資料!$G:$G, (MATCH(605, 輔助計算!$G$2:$G$801, 0)+1))&lt;=790,3,IF(INDEX(ERP資料!$G:$G, (MATCH(605, 輔助計算!$G$2:$G$801, 0)+1))&lt;=1181,2,1)))=2,TEXT(INDEX(ERP資料!$G:$G, (MATCH(605, 輔助計算!$G$2:$G$801, 0)+1)),"0.##")&amp;"+"&amp;TEXT(INDEX(ERP資料!$G:$G, (MATCH(605, 輔助計算!$G$2:$G$801, 0)+1)),"0.##"),TEXT(INDEX(ERP資料!$G:$G, (MATCH(605, 輔助計算!$G$2:$G$801, 0)+1)),"0.##")&amp;"+"&amp;TEXT(INDEX(ERP資料!$G:$G, (MATCH(605, 輔助計算!$G$2:$G$801, 0)+1)),"0.##")&amp;"+"&amp;TEXT(INDEX(ERP資料!$G:$G, (MATCH(605, 輔助計算!$G$2:$G$801, 0)+1)),"0.##")))&amp;"-"&amp;INT(INDEX(輔助計算!$D:$D, (MATCH(605, 輔助計算!$G$2:$G$801, 0)+1))/IF(INDEX(ERP資料!$G:$G, (MATCH(605, 輔助計算!$G$2:$G$801, 0)+1))&lt;100, IF(INDEX(ERP資料!$G:$G, (MATCH(605, 輔助計算!$G$2:$G$801, 0)+1))&lt;=31,3,IF(INDEX(ERP資料!$G:$G, (MATCH(605, 輔助計算!$G$2:$G$801, 0)+1))&lt;=46.5,2,1)), IF(INDEX(ERP資料!$G:$G, (MATCH(605, 輔助計算!$G$2:$G$801, 0)+1))&lt;=790,3,IF(INDEX(ERP資料!$G:$G, (MATCH(605, 輔助計算!$G$2:$G$801, 0)+1))&lt;=1181,2,1)))), "")&lt;&gt;"",IF(MOD(INDEX(輔助計算!$D:$D, (MATCH(605, 輔助計算!$G$2:$G$801, 0)+1)),IF(INDEX(ERP資料!$G:$G, (MATCH(605, 輔助計算!$G$2:$G$801, 0)+1))&lt;100, IF(INDEX(ERP資料!$G:$G, (MATCH(605, 輔助計算!$G$2:$G$801, 0)+1))&lt;=31,3,IF(INDEX(ERP資料!$G:$G, (MATCH(605, 輔助計算!$G$2:$G$801, 0)+1))&lt;=46.5,2,1)), IF(INDEX(ERP資料!$G:$G, (MATCH(605, 輔助計算!$G$2:$G$801, 0)+1))&lt;=790,3,IF(INDEX(ERP資料!$G:$G, (MATCH(605, 輔助計算!$G$2:$G$801, 0)+1))&lt;=1181,2,1))))=0,"",IF(MOD(INDEX(輔助計算!$D:$D, (MATCH(605, 輔助計算!$G$2:$G$801, 0)+1)),IF(INDEX(ERP資料!$G:$G, (MATCH(605, 輔助計算!$G$2:$G$801, 0)+1))&lt;100, IF(INDEX(ERP資料!$G:$G, (MATCH(605, 輔助計算!$G$2:$G$801, 0)+1))&lt;=31,3,IF(INDEX(ERP資料!$G:$G, (MATCH(605, 輔助計算!$G$2:$G$801, 0)+1))&lt;=46.5,2,1)), IF(INDEX(ERP資料!$G:$G, (MATCH(605, 輔助計算!$G$2:$G$801, 0)+1))&lt;=790,3,IF(INDEX(ERP資料!$G:$G, (MATCH(605, 輔助計算!$G$2:$G$801, 0)+1))&lt;=1181,2,1))))=0,"",IF(MOD(INDEX(輔助計算!$D:$D, (MATCH(605, 輔助計算!$G$2:$G$801, 0)+1)),IF(INDEX(ERP資料!$G:$G, (MATCH(605, 輔助計算!$G$2:$G$801, 0)+1))&lt;100, IF(INDEX(ERP資料!$G:$G, (MATCH(605, 輔助計算!$G$2:$G$801, 0)+1))&lt;=31,3,IF(INDEX(ERP資料!$G:$G, (MATCH(605, 輔助計算!$G$2:$G$801, 0)+1))&lt;=46.5,2,1)), IF(INDEX(ERP資料!$G:$G, (MATCH(605, 輔助計算!$G$2:$G$801, 0)+1))&lt;=790,3,IF(INDEX(ERP資料!$G:$G, (MATCH(605, 輔助計算!$G$2:$G$801, 0)+1))&lt;=1181,2,1))))=1,TEXT(INDEX(ERP資料!$G:$G, (MATCH(605, 輔助計算!$G$2:$G$801, 0)+1)),"0.##"),IF(MOD(INDEX(輔助計算!$D:$D, (MATCH(605, 輔助計算!$G$2:$G$801, 0)+1)),IF(INDEX(ERP資料!$G:$G, (MATCH(605, 輔助計算!$G$2:$G$801, 0)+1))&lt;100, IF(INDEX(ERP資料!$G:$G, (MATCH(605, 輔助計算!$G$2:$G$801, 0)+1))&lt;=31,3,IF(INDEX(ERP資料!$G:$G, (MATCH(605, 輔助計算!$G$2:$G$801, 0)+1))&lt;=46.5,2,1)), IF(INDEX(ERP資料!$G:$G, (MATCH(605, 輔助計算!$G$2:$G$801, 0)+1))&lt;=790,3,IF(INDEX(ERP資料!$G:$G, (MATCH(605, 輔助計算!$G$2:$G$801, 0)+1))&lt;=1181,2,1))))=2,TEXT(INDEX(ERP資料!$G:$G, (MATCH(605, 輔助計算!$G$2:$G$801, 0)+1)),"0.##")&amp;"+"&amp;TEXT(INDEX(ERP資料!$G:$G, (MATCH(605, 輔助計算!$G$2:$G$801, 0)+1)),"0.##"),TEXT(INDEX(ERP資料!$G:$G, (MATCH(605, 輔助計算!$G$2:$G$801, 0)+1)),"0.##")&amp;"+"&amp;TEXT(INDEX(ERP資料!$G:$G, (MATCH(605, 輔助計算!$G$2:$G$801, 0)+1)),"0.##")&amp;"+"&amp;TEXT(INDEX(ERP資料!$G:$G, (MATCH(605, 輔助計算!$G$2:$G$801, 0)+1)),"0.##"))))&amp;"-1")&lt;&gt;""),"  ","")&amp;IF(MOD(INDEX(輔助計算!$D:$D, (MATCH(605, 輔助計算!$G$2:$G$801, 0)+1)),IF(INDEX(ERP資料!$G:$G, (MATCH(605, 輔助計算!$G$2:$G$801, 0)+1))&lt;100, IF(INDEX(ERP資料!$G:$G, (MATCH(605, 輔助計算!$G$2:$G$801, 0)+1))&lt;=31,3,IF(INDEX(ERP資料!$G:$G, (MATCH(605, 輔助計算!$G$2:$G$801, 0)+1))&lt;=46.5,2,1)), IF(INDEX(ERP資料!$G:$G, (MATCH(605, 輔助計算!$G$2:$G$801, 0)+1))&lt;=790,3,IF(INDEX(ERP資料!$G:$G, (MATCH(605, 輔助計算!$G$2:$G$801, 0)+1))&lt;=1181,2,1))))=0,"",IF(MOD(INDEX(輔助計算!$D:$D, (MATCH(605, 輔助計算!$G$2:$G$801, 0)+1)),IF(INDEX(ERP資料!$G:$G, (MATCH(605, 輔助計算!$G$2:$G$801, 0)+1))&lt;100, IF(INDEX(ERP資料!$G:$G, (MATCH(605, 輔助計算!$G$2:$G$801, 0)+1))&lt;=31,3,IF(INDEX(ERP資料!$G:$G, (MATCH(605, 輔助計算!$G$2:$G$801, 0)+1))&lt;=46.5,2,1)), IF(INDEX(ERP資料!$G:$G, (MATCH(605, 輔助計算!$G$2:$G$801, 0)+1))&lt;=790,3,IF(INDEX(ERP資料!$G:$G, (MATCH(605, 輔助計算!$G$2:$G$801, 0)+1))&lt;=1181,2,1))))=0,"",IF(MOD(INDEX(輔助計算!$D:$D, (MATCH(605, 輔助計算!$G$2:$G$801, 0)+1)),IF(INDEX(ERP資料!$G:$G, (MATCH(605, 輔助計算!$G$2:$G$801, 0)+1))&lt;100, IF(INDEX(ERP資料!$G:$G, (MATCH(605, 輔助計算!$G$2:$G$801, 0)+1))&lt;=31,3,IF(INDEX(ERP資料!$G:$G, (MATCH(605, 輔助計算!$G$2:$G$801, 0)+1))&lt;=46.5,2,1)), IF(INDEX(ERP資料!$G:$G, (MATCH(605, 輔助計算!$G$2:$G$801, 0)+1))&lt;=790,3,IF(INDEX(ERP資料!$G:$G, (MATCH(605, 輔助計算!$G$2:$G$801, 0)+1))&lt;=1181,2,1))))=1,TEXT(INDEX(ERP資料!$G:$G, (MATCH(605, 輔助計算!$G$2:$G$801, 0)+1)),"0.##"),IF(MOD(INDEX(輔助計算!$D:$D, (MATCH(605, 輔助計算!$G$2:$G$801, 0)+1)),IF(INDEX(ERP資料!$G:$G, (MATCH(605, 輔助計算!$G$2:$G$801, 0)+1))&lt;100, IF(INDEX(ERP資料!$G:$G, (MATCH(605, 輔助計算!$G$2:$G$801, 0)+1))&lt;=31,3,IF(INDEX(ERP資料!$G:$G, (MATCH(605, 輔助計算!$G$2:$G$801, 0)+1))&lt;=46.5,2,1)), IF(INDEX(ERP資料!$G:$G, (MATCH(605, 輔助計算!$G$2:$G$801, 0)+1))&lt;=790,3,IF(INDEX(ERP資料!$G:$G, (MATCH(605, 輔助計算!$G$2:$G$801, 0)+1))&lt;=1181,2,1))))=2,TEXT(INDEX(ERP資料!$G:$G, (MATCH(605, 輔助計算!$G$2:$G$801, 0)+1)),"0.##")&amp;"+"&amp;TEXT(INDEX(ERP資料!$G:$G, (MATCH(605, 輔助計算!$G$2:$G$801, 0)+1)),"0.##"),TEXT(INDEX(ERP資料!$G:$G, (MATCH(605, 輔助計算!$G$2:$G$801, 0)+1)),"0.##")&amp;"+"&amp;TEXT(INDEX(ERP資料!$G:$G, (MATCH(605, 輔助計算!$G$2:$G$801, 0)+1)),"0.##")&amp;"+"&amp;TEXT(INDEX(ERP資料!$G:$G, (MATCH(605, 輔助計算!$G$2:$G$801, 0)+1)),"0.##"))))&amp;"-1")), ""), "")</f>
        <v/>
      </c>
      <c r="K606" s="16" t="n"/>
      <c r="L606" s="14">
        <f>IFERROR(IF(AND(IFERROR(INDEX(ERP資料!$A:$A, (MATCH(605, 輔助計算!$G$2:$G$801, 0)+1)), "")&lt;&gt;"", IFERROR(INDEX(ERP資料!$A:$A, (MATCH(605, 輔助計算!$G$2:$G$801, 0)+1)), "")&lt;&gt;IFERROR(INDEX(ERP資料!$A:$A, MATCH(604, 輔助計算!$G$2:$G$801, 0)+1), "")), INDEX(ERP資料!$B:$B, (MATCH(605, 輔助計算!$G$2:$G$801, 0)+1)), ""), "")</f>
        <v/>
      </c>
      <c r="M606" s="17" t="n"/>
    </row>
    <row r="607">
      <c r="A607" s="10">
        <f>IFERROR(IF(AND(IFERROR(INDEX(ERP資料!$A:$A, (MATCH(606, 輔助計算!$G$2:$G$801, 0)+1)), "")&lt;&gt;"", IFERROR(INDEX(ERP資料!$A:$A, (MATCH(606, 輔助計算!$G$2:$G$801, 0)+1)), "")&lt;&gt;IFERROR(INDEX(ERP資料!$A:$A, MATCH(605, 輔助計算!$G$2:$G$801, 0)+1), "")), IFERROR(INDEX(ERP資料!$A:$A, (MATCH(606, 輔助計算!$G$2:$G$801, 0)+1)), ""), ""), "")</f>
        <v/>
      </c>
      <c r="B607" s="10">
        <f>IFERROR(IF(AND(IFERROR(INDEX(ERP資料!$A:$A, (MATCH(606, 輔助計算!$G$2:$G$801, 0)+1)), "")&lt;&gt;"", IFERROR(INDEX(ERP資料!$A:$A, (MATCH(606, 輔助計算!$G$2:$G$801, 0)+1)), "")&lt;&gt;IFERROR(INDEX(ERP資料!$A:$A, MATCH(605, 輔助計算!$G$2:$G$801, 0)+1), "")), INDEX(ERP資料!$S:$S, (MATCH(606, 輔助計算!$G$2:$G$801, 0)+1)), ""), "")</f>
        <v/>
      </c>
      <c r="C607" s="19">
        <f>IFERROR(IF(AND(IFERROR(INDEX(ERP資料!$A:$A, (MATCH(606, 輔助計算!$G$2:$G$801, 0)+1)), "")&lt;&gt;"", IFERROR(INDEX(ERP資料!$A:$A, (MATCH(606, 輔助計算!$G$2:$G$801, 0)+1)), "")&lt;&gt;IFERROR(INDEX(ERP資料!$A:$A, MATCH(605, 輔助計算!$G$2:$G$801, 0)+1), "")), IFERROR(VLOOKUP(LEFT(INDEX(ERP資料!$S:$S, (MATCH(606, 輔助計算!$G$2:$G$801, 0)+1)), 4), 紙管對照表!$A:$C, 3, FALSE), ""), ""), "")</f>
        <v/>
      </c>
      <c r="D607" s="16" t="n"/>
      <c r="E607" s="10">
        <f>IFERROR(IF(INDEX(ERP資料!$H:$H, (MATCH(606, 輔助計算!$G$2:$G$801, 0)+1))="","",INDEX(ERP資料!$H:$H, (MATCH(606, 輔助計算!$G$2:$G$801, 0)+1))), "")</f>
        <v/>
      </c>
      <c r="F607" s="10">
        <f>IFERROR(IF(INDEX(ERP資料!$E:$E, (MATCH(606, 輔助計算!$G$2:$G$801, 0)+1))="","",TRIM(INDEX(ERP資料!$E:$E, (MATCH(606, 輔助計算!$G$2:$G$801, 0)+1)))), "")</f>
        <v/>
      </c>
      <c r="G607" s="10">
        <f>IFERROR(IF(INDEX(ERP資料!$F:$F, (MATCH(606, 輔助計算!$G$2:$G$801, 0)+1))="","",INDEX(ERP資料!$F:$F, (MATCH(606, 輔助計算!$G$2:$G$801, 0)+1))), "")</f>
        <v/>
      </c>
      <c r="H607" s="10">
        <f>IFERROR(IF(INDEX(ERP資料!$G:$G, (MATCH(606, 輔助計算!$G$2:$G$801, 0)+1))="","",INDEX(ERP資料!$G:$G, (MATCH(606, 輔助計算!$G$2:$G$801, 0)+1))), "")</f>
        <v/>
      </c>
      <c r="I607" s="15">
        <f>IFERROR(INDEX(輔助計算!$D:$D, (MATCH(606, 輔助計算!$G$2:$G$801, 0)+1)), "")</f>
        <v/>
      </c>
      <c r="J607" s="15">
        <f>IFERROR(IF(AND(INDEX(輔助計算!$D:$D, (MATCH(606, 輔助計算!$G$2:$G$801, 0)+1))&lt;&gt;"", INDEX(ERP資料!$G:$G, (MATCH(606, 輔助計算!$G$2:$G$801, 0)+1))&lt;&gt;""), TRIM(IF(INT(INDEX(輔助計算!$D:$D, (MATCH(606, 輔助計算!$G$2:$G$801, 0)+1))/IF(INDEX(ERP資料!$G:$G, (MATCH(606, 輔助計算!$G$2:$G$801, 0)+1))&lt;100, IF(INDEX(ERP資料!$G:$G, (MATCH(606, 輔助計算!$G$2:$G$801, 0)+1))&lt;=31,3,IF(INDEX(ERP資料!$G:$G, (MATCH(606, 輔助計算!$G$2:$G$801, 0)+1))&lt;=46.5,2,1)), IF(INDEX(ERP資料!$G:$G, (MATCH(606, 輔助計算!$G$2:$G$801, 0)+1))&lt;=790,3,IF(INDEX(ERP資料!$G:$G, (MATCH(606, 輔助計算!$G$2:$G$801, 0)+1))&lt;=1181,2,1))))&gt;0, IF(IF(INDEX(ERP資料!$G:$G, (MATCH(606, 輔助計算!$G$2:$G$801, 0)+1))&lt;100, IF(INDEX(ERP資料!$G:$G, (MATCH(606, 輔助計算!$G$2:$G$801, 0)+1))&lt;=31,3,IF(INDEX(ERP資料!$G:$G, (MATCH(606, 輔助計算!$G$2:$G$801, 0)+1))&lt;=46.5,2,1)), IF(INDEX(ERP資料!$G:$G, (MATCH(606, 輔助計算!$G$2:$G$801, 0)+1))&lt;=790,3,IF(INDEX(ERP資料!$G:$G, (MATCH(606, 輔助計算!$G$2:$G$801, 0)+1))&lt;=1181,2,1)))=1,TEXT(INDEX(ERP資料!$G:$G, (MATCH(606, 輔助計算!$G$2:$G$801, 0)+1)),"0.##"),IF(IF(INDEX(ERP資料!$G:$G, (MATCH(606, 輔助計算!$G$2:$G$801, 0)+1))&lt;100, IF(INDEX(ERP資料!$G:$G, (MATCH(606, 輔助計算!$G$2:$G$801, 0)+1))&lt;=31,3,IF(INDEX(ERP資料!$G:$G, (MATCH(606, 輔助計算!$G$2:$G$801, 0)+1))&lt;=46.5,2,1)), IF(INDEX(ERP資料!$G:$G, (MATCH(606, 輔助計算!$G$2:$G$801, 0)+1))&lt;=790,3,IF(INDEX(ERP資料!$G:$G, (MATCH(606, 輔助計算!$G$2:$G$801, 0)+1))&lt;=1181,2,1)))=2,TEXT(INDEX(ERP資料!$G:$G, (MATCH(606, 輔助計算!$G$2:$G$801, 0)+1)),"0.##")&amp;"+"&amp;TEXT(INDEX(ERP資料!$G:$G, (MATCH(606, 輔助計算!$G$2:$G$801, 0)+1)),"0.##"),TEXT(INDEX(ERP資料!$G:$G, (MATCH(606, 輔助計算!$G$2:$G$801, 0)+1)),"0.##")&amp;"+"&amp;TEXT(INDEX(ERP資料!$G:$G, (MATCH(606, 輔助計算!$G$2:$G$801, 0)+1)),"0.##")&amp;"+"&amp;TEXT(INDEX(ERP資料!$G:$G, (MATCH(606, 輔助計算!$G$2:$G$801, 0)+1)),"0.##")))&amp;"-"&amp;INT(INDEX(輔助計算!$D:$D, (MATCH(606, 輔助計算!$G$2:$G$801, 0)+1))/IF(INDEX(ERP資料!$G:$G, (MATCH(606, 輔助計算!$G$2:$G$801, 0)+1))&lt;100, IF(INDEX(ERP資料!$G:$G, (MATCH(606, 輔助計算!$G$2:$G$801, 0)+1))&lt;=31,3,IF(INDEX(ERP資料!$G:$G, (MATCH(606, 輔助計算!$G$2:$G$801, 0)+1))&lt;=46.5,2,1)), IF(INDEX(ERP資料!$G:$G, (MATCH(606, 輔助計算!$G$2:$G$801, 0)+1))&lt;=790,3,IF(INDEX(ERP資料!$G:$G, (MATCH(606, 輔助計算!$G$2:$G$801, 0)+1))&lt;=1181,2,1)))), "")&amp;IF(AND(IF(INT(INDEX(輔助計算!$D:$D, (MATCH(606, 輔助計算!$G$2:$G$801, 0)+1))/IF(INDEX(ERP資料!$G:$G, (MATCH(606, 輔助計算!$G$2:$G$801, 0)+1))&lt;100, IF(INDEX(ERP資料!$G:$G, (MATCH(606, 輔助計算!$G$2:$G$801, 0)+1))&lt;=31,3,IF(INDEX(ERP資料!$G:$G, (MATCH(606, 輔助計算!$G$2:$G$801, 0)+1))&lt;=46.5,2,1)), IF(INDEX(ERP資料!$G:$G, (MATCH(606, 輔助計算!$G$2:$G$801, 0)+1))&lt;=790,3,IF(INDEX(ERP資料!$G:$G, (MATCH(606, 輔助計算!$G$2:$G$801, 0)+1))&lt;=1181,2,1))))&gt;0, IF(IF(INDEX(ERP資料!$G:$G, (MATCH(606, 輔助計算!$G$2:$G$801, 0)+1))&lt;100, IF(INDEX(ERP資料!$G:$G, (MATCH(606, 輔助計算!$G$2:$G$801, 0)+1))&lt;=31,3,IF(INDEX(ERP資料!$G:$G, (MATCH(606, 輔助計算!$G$2:$G$801, 0)+1))&lt;=46.5,2,1)), IF(INDEX(ERP資料!$G:$G, (MATCH(606, 輔助計算!$G$2:$G$801, 0)+1))&lt;=790,3,IF(INDEX(ERP資料!$G:$G, (MATCH(606, 輔助計算!$G$2:$G$801, 0)+1))&lt;=1181,2,1)))=1,TEXT(INDEX(ERP資料!$G:$G, (MATCH(606, 輔助計算!$G$2:$G$801, 0)+1)),"0.##"),IF(IF(INDEX(ERP資料!$G:$G, (MATCH(606, 輔助計算!$G$2:$G$801, 0)+1))&lt;100, IF(INDEX(ERP資料!$G:$G, (MATCH(606, 輔助計算!$G$2:$G$801, 0)+1))&lt;=31,3,IF(INDEX(ERP資料!$G:$G, (MATCH(606, 輔助計算!$G$2:$G$801, 0)+1))&lt;=46.5,2,1)), IF(INDEX(ERP資料!$G:$G, (MATCH(606, 輔助計算!$G$2:$G$801, 0)+1))&lt;=790,3,IF(INDEX(ERP資料!$G:$G, (MATCH(606, 輔助計算!$G$2:$G$801, 0)+1))&lt;=1181,2,1)))=2,TEXT(INDEX(ERP資料!$G:$G, (MATCH(606, 輔助計算!$G$2:$G$801, 0)+1)),"0.##")&amp;"+"&amp;TEXT(INDEX(ERP資料!$G:$G, (MATCH(606, 輔助計算!$G$2:$G$801, 0)+1)),"0.##"),TEXT(INDEX(ERP資料!$G:$G, (MATCH(606, 輔助計算!$G$2:$G$801, 0)+1)),"0.##")&amp;"+"&amp;TEXT(INDEX(ERP資料!$G:$G, (MATCH(606, 輔助計算!$G$2:$G$801, 0)+1)),"0.##")&amp;"+"&amp;TEXT(INDEX(ERP資料!$G:$G, (MATCH(606, 輔助計算!$G$2:$G$801, 0)+1)),"0.##")))&amp;"-"&amp;INT(INDEX(輔助計算!$D:$D, (MATCH(606, 輔助計算!$G$2:$G$801, 0)+1))/IF(INDEX(ERP資料!$G:$G, (MATCH(606, 輔助計算!$G$2:$G$801, 0)+1))&lt;100, IF(INDEX(ERP資料!$G:$G, (MATCH(606, 輔助計算!$G$2:$G$801, 0)+1))&lt;=31,3,IF(INDEX(ERP資料!$G:$G, (MATCH(606, 輔助計算!$G$2:$G$801, 0)+1))&lt;=46.5,2,1)), IF(INDEX(ERP資料!$G:$G, (MATCH(606, 輔助計算!$G$2:$G$801, 0)+1))&lt;=790,3,IF(INDEX(ERP資料!$G:$G, (MATCH(606, 輔助計算!$G$2:$G$801, 0)+1))&lt;=1181,2,1)))), "")&lt;&gt;"",IF(MOD(INDEX(輔助計算!$D:$D, (MATCH(606, 輔助計算!$G$2:$G$801, 0)+1)),IF(INDEX(ERP資料!$G:$G, (MATCH(606, 輔助計算!$G$2:$G$801, 0)+1))&lt;100, IF(INDEX(ERP資料!$G:$G, (MATCH(606, 輔助計算!$G$2:$G$801, 0)+1))&lt;=31,3,IF(INDEX(ERP資料!$G:$G, (MATCH(606, 輔助計算!$G$2:$G$801, 0)+1))&lt;=46.5,2,1)), IF(INDEX(ERP資料!$G:$G, (MATCH(606, 輔助計算!$G$2:$G$801, 0)+1))&lt;=790,3,IF(INDEX(ERP資料!$G:$G, (MATCH(606, 輔助計算!$G$2:$G$801, 0)+1))&lt;=1181,2,1))))=0,"",IF(MOD(INDEX(輔助計算!$D:$D, (MATCH(606, 輔助計算!$G$2:$G$801, 0)+1)),IF(INDEX(ERP資料!$G:$G, (MATCH(606, 輔助計算!$G$2:$G$801, 0)+1))&lt;100, IF(INDEX(ERP資料!$G:$G, (MATCH(606, 輔助計算!$G$2:$G$801, 0)+1))&lt;=31,3,IF(INDEX(ERP資料!$G:$G, (MATCH(606, 輔助計算!$G$2:$G$801, 0)+1))&lt;=46.5,2,1)), IF(INDEX(ERP資料!$G:$G, (MATCH(606, 輔助計算!$G$2:$G$801, 0)+1))&lt;=790,3,IF(INDEX(ERP資料!$G:$G, (MATCH(606, 輔助計算!$G$2:$G$801, 0)+1))&lt;=1181,2,1))))=0,"",IF(MOD(INDEX(輔助計算!$D:$D, (MATCH(606, 輔助計算!$G$2:$G$801, 0)+1)),IF(INDEX(ERP資料!$G:$G, (MATCH(606, 輔助計算!$G$2:$G$801, 0)+1))&lt;100, IF(INDEX(ERP資料!$G:$G, (MATCH(606, 輔助計算!$G$2:$G$801, 0)+1))&lt;=31,3,IF(INDEX(ERP資料!$G:$G, (MATCH(606, 輔助計算!$G$2:$G$801, 0)+1))&lt;=46.5,2,1)), IF(INDEX(ERP資料!$G:$G, (MATCH(606, 輔助計算!$G$2:$G$801, 0)+1))&lt;=790,3,IF(INDEX(ERP資料!$G:$G, (MATCH(606, 輔助計算!$G$2:$G$801, 0)+1))&lt;=1181,2,1))))=1,TEXT(INDEX(ERP資料!$G:$G, (MATCH(606, 輔助計算!$G$2:$G$801, 0)+1)),"0.##"),IF(MOD(INDEX(輔助計算!$D:$D, (MATCH(606, 輔助計算!$G$2:$G$801, 0)+1)),IF(INDEX(ERP資料!$G:$G, (MATCH(606, 輔助計算!$G$2:$G$801, 0)+1))&lt;100, IF(INDEX(ERP資料!$G:$G, (MATCH(606, 輔助計算!$G$2:$G$801, 0)+1))&lt;=31,3,IF(INDEX(ERP資料!$G:$G, (MATCH(606, 輔助計算!$G$2:$G$801, 0)+1))&lt;=46.5,2,1)), IF(INDEX(ERP資料!$G:$G, (MATCH(606, 輔助計算!$G$2:$G$801, 0)+1))&lt;=790,3,IF(INDEX(ERP資料!$G:$G, (MATCH(606, 輔助計算!$G$2:$G$801, 0)+1))&lt;=1181,2,1))))=2,TEXT(INDEX(ERP資料!$G:$G, (MATCH(606, 輔助計算!$G$2:$G$801, 0)+1)),"0.##")&amp;"+"&amp;TEXT(INDEX(ERP資料!$G:$G, (MATCH(606, 輔助計算!$G$2:$G$801, 0)+1)),"0.##"),TEXT(INDEX(ERP資料!$G:$G, (MATCH(606, 輔助計算!$G$2:$G$801, 0)+1)),"0.##")&amp;"+"&amp;TEXT(INDEX(ERP資料!$G:$G, (MATCH(606, 輔助計算!$G$2:$G$801, 0)+1)),"0.##")&amp;"+"&amp;TEXT(INDEX(ERP資料!$G:$G, (MATCH(606, 輔助計算!$G$2:$G$801, 0)+1)),"0.##"))))&amp;"-1")&lt;&gt;""),"  ","")&amp;IF(MOD(INDEX(輔助計算!$D:$D, (MATCH(606, 輔助計算!$G$2:$G$801, 0)+1)),IF(INDEX(ERP資料!$G:$G, (MATCH(606, 輔助計算!$G$2:$G$801, 0)+1))&lt;100, IF(INDEX(ERP資料!$G:$G, (MATCH(606, 輔助計算!$G$2:$G$801, 0)+1))&lt;=31,3,IF(INDEX(ERP資料!$G:$G, (MATCH(606, 輔助計算!$G$2:$G$801, 0)+1))&lt;=46.5,2,1)), IF(INDEX(ERP資料!$G:$G, (MATCH(606, 輔助計算!$G$2:$G$801, 0)+1))&lt;=790,3,IF(INDEX(ERP資料!$G:$G, (MATCH(606, 輔助計算!$G$2:$G$801, 0)+1))&lt;=1181,2,1))))=0,"",IF(MOD(INDEX(輔助計算!$D:$D, (MATCH(606, 輔助計算!$G$2:$G$801, 0)+1)),IF(INDEX(ERP資料!$G:$G, (MATCH(606, 輔助計算!$G$2:$G$801, 0)+1))&lt;100, IF(INDEX(ERP資料!$G:$G, (MATCH(606, 輔助計算!$G$2:$G$801, 0)+1))&lt;=31,3,IF(INDEX(ERP資料!$G:$G, (MATCH(606, 輔助計算!$G$2:$G$801, 0)+1))&lt;=46.5,2,1)), IF(INDEX(ERP資料!$G:$G, (MATCH(606, 輔助計算!$G$2:$G$801, 0)+1))&lt;=790,3,IF(INDEX(ERP資料!$G:$G, (MATCH(606, 輔助計算!$G$2:$G$801, 0)+1))&lt;=1181,2,1))))=0,"",IF(MOD(INDEX(輔助計算!$D:$D, (MATCH(606, 輔助計算!$G$2:$G$801, 0)+1)),IF(INDEX(ERP資料!$G:$G, (MATCH(606, 輔助計算!$G$2:$G$801, 0)+1))&lt;100, IF(INDEX(ERP資料!$G:$G, (MATCH(606, 輔助計算!$G$2:$G$801, 0)+1))&lt;=31,3,IF(INDEX(ERP資料!$G:$G, (MATCH(606, 輔助計算!$G$2:$G$801, 0)+1))&lt;=46.5,2,1)), IF(INDEX(ERP資料!$G:$G, (MATCH(606, 輔助計算!$G$2:$G$801, 0)+1))&lt;=790,3,IF(INDEX(ERP資料!$G:$G, (MATCH(606, 輔助計算!$G$2:$G$801, 0)+1))&lt;=1181,2,1))))=1,TEXT(INDEX(ERP資料!$G:$G, (MATCH(606, 輔助計算!$G$2:$G$801, 0)+1)),"0.##"),IF(MOD(INDEX(輔助計算!$D:$D, (MATCH(606, 輔助計算!$G$2:$G$801, 0)+1)),IF(INDEX(ERP資料!$G:$G, (MATCH(606, 輔助計算!$G$2:$G$801, 0)+1))&lt;100, IF(INDEX(ERP資料!$G:$G, (MATCH(606, 輔助計算!$G$2:$G$801, 0)+1))&lt;=31,3,IF(INDEX(ERP資料!$G:$G, (MATCH(606, 輔助計算!$G$2:$G$801, 0)+1))&lt;=46.5,2,1)), IF(INDEX(ERP資料!$G:$G, (MATCH(606, 輔助計算!$G$2:$G$801, 0)+1))&lt;=790,3,IF(INDEX(ERP資料!$G:$G, (MATCH(606, 輔助計算!$G$2:$G$801, 0)+1))&lt;=1181,2,1))))=2,TEXT(INDEX(ERP資料!$G:$G, (MATCH(606, 輔助計算!$G$2:$G$801, 0)+1)),"0.##")&amp;"+"&amp;TEXT(INDEX(ERP資料!$G:$G, (MATCH(606, 輔助計算!$G$2:$G$801, 0)+1)),"0.##"),TEXT(INDEX(ERP資料!$G:$G, (MATCH(606, 輔助計算!$G$2:$G$801, 0)+1)),"0.##")&amp;"+"&amp;TEXT(INDEX(ERP資料!$G:$G, (MATCH(606, 輔助計算!$G$2:$G$801, 0)+1)),"0.##")&amp;"+"&amp;TEXT(INDEX(ERP資料!$G:$G, (MATCH(606, 輔助計算!$G$2:$G$801, 0)+1)),"0.##"))))&amp;"-1")), ""), "")</f>
        <v/>
      </c>
      <c r="K607" s="16" t="n"/>
      <c r="L607" s="14">
        <f>IFERROR(IF(AND(IFERROR(INDEX(ERP資料!$A:$A, (MATCH(606, 輔助計算!$G$2:$G$801, 0)+1)), "")&lt;&gt;"", IFERROR(INDEX(ERP資料!$A:$A, (MATCH(606, 輔助計算!$G$2:$G$801, 0)+1)), "")&lt;&gt;IFERROR(INDEX(ERP資料!$A:$A, MATCH(605, 輔助計算!$G$2:$G$801, 0)+1), "")), INDEX(ERP資料!$B:$B, (MATCH(606, 輔助計算!$G$2:$G$801, 0)+1)), ""), "")</f>
        <v/>
      </c>
      <c r="M607" s="17" t="n"/>
    </row>
    <row r="608">
      <c r="A608" s="10">
        <f>IFERROR(IF(AND(IFERROR(INDEX(ERP資料!$A:$A, (MATCH(607, 輔助計算!$G$2:$G$801, 0)+1)), "")&lt;&gt;"", IFERROR(INDEX(ERP資料!$A:$A, (MATCH(607, 輔助計算!$G$2:$G$801, 0)+1)), "")&lt;&gt;IFERROR(INDEX(ERP資料!$A:$A, MATCH(606, 輔助計算!$G$2:$G$801, 0)+1), "")), IFERROR(INDEX(ERP資料!$A:$A, (MATCH(607, 輔助計算!$G$2:$G$801, 0)+1)), ""), ""), "")</f>
        <v/>
      </c>
      <c r="B608" s="10">
        <f>IFERROR(IF(AND(IFERROR(INDEX(ERP資料!$A:$A, (MATCH(607, 輔助計算!$G$2:$G$801, 0)+1)), "")&lt;&gt;"", IFERROR(INDEX(ERP資料!$A:$A, (MATCH(607, 輔助計算!$G$2:$G$801, 0)+1)), "")&lt;&gt;IFERROR(INDEX(ERP資料!$A:$A, MATCH(606, 輔助計算!$G$2:$G$801, 0)+1), "")), INDEX(ERP資料!$S:$S, (MATCH(607, 輔助計算!$G$2:$G$801, 0)+1)), ""), "")</f>
        <v/>
      </c>
      <c r="C608" s="19">
        <f>IFERROR(IF(AND(IFERROR(INDEX(ERP資料!$A:$A, (MATCH(607, 輔助計算!$G$2:$G$801, 0)+1)), "")&lt;&gt;"", IFERROR(INDEX(ERP資料!$A:$A, (MATCH(607, 輔助計算!$G$2:$G$801, 0)+1)), "")&lt;&gt;IFERROR(INDEX(ERP資料!$A:$A, MATCH(606, 輔助計算!$G$2:$G$801, 0)+1), "")), IFERROR(VLOOKUP(LEFT(INDEX(ERP資料!$S:$S, (MATCH(607, 輔助計算!$G$2:$G$801, 0)+1)), 4), 紙管對照表!$A:$C, 3, FALSE), ""), ""), "")</f>
        <v/>
      </c>
      <c r="D608" s="16" t="n"/>
      <c r="E608" s="10">
        <f>IFERROR(IF(INDEX(ERP資料!$H:$H, (MATCH(607, 輔助計算!$G$2:$G$801, 0)+1))="","",INDEX(ERP資料!$H:$H, (MATCH(607, 輔助計算!$G$2:$G$801, 0)+1))), "")</f>
        <v/>
      </c>
      <c r="F608" s="10">
        <f>IFERROR(IF(INDEX(ERP資料!$E:$E, (MATCH(607, 輔助計算!$G$2:$G$801, 0)+1))="","",TRIM(INDEX(ERP資料!$E:$E, (MATCH(607, 輔助計算!$G$2:$G$801, 0)+1)))), "")</f>
        <v/>
      </c>
      <c r="G608" s="10">
        <f>IFERROR(IF(INDEX(ERP資料!$F:$F, (MATCH(607, 輔助計算!$G$2:$G$801, 0)+1))="","",INDEX(ERP資料!$F:$F, (MATCH(607, 輔助計算!$G$2:$G$801, 0)+1))), "")</f>
        <v/>
      </c>
      <c r="H608" s="10">
        <f>IFERROR(IF(INDEX(ERP資料!$G:$G, (MATCH(607, 輔助計算!$G$2:$G$801, 0)+1))="","",INDEX(ERP資料!$G:$G, (MATCH(607, 輔助計算!$G$2:$G$801, 0)+1))), "")</f>
        <v/>
      </c>
      <c r="I608" s="15">
        <f>IFERROR(INDEX(輔助計算!$D:$D, (MATCH(607, 輔助計算!$G$2:$G$801, 0)+1)), "")</f>
        <v/>
      </c>
      <c r="J608" s="15">
        <f>IFERROR(IF(AND(INDEX(輔助計算!$D:$D, (MATCH(607, 輔助計算!$G$2:$G$801, 0)+1))&lt;&gt;"", INDEX(ERP資料!$G:$G, (MATCH(607, 輔助計算!$G$2:$G$801, 0)+1))&lt;&gt;""), TRIM(IF(INT(INDEX(輔助計算!$D:$D, (MATCH(607, 輔助計算!$G$2:$G$801, 0)+1))/IF(INDEX(ERP資料!$G:$G, (MATCH(607, 輔助計算!$G$2:$G$801, 0)+1))&lt;100, IF(INDEX(ERP資料!$G:$G, (MATCH(607, 輔助計算!$G$2:$G$801, 0)+1))&lt;=31,3,IF(INDEX(ERP資料!$G:$G, (MATCH(607, 輔助計算!$G$2:$G$801, 0)+1))&lt;=46.5,2,1)), IF(INDEX(ERP資料!$G:$G, (MATCH(607, 輔助計算!$G$2:$G$801, 0)+1))&lt;=790,3,IF(INDEX(ERP資料!$G:$G, (MATCH(607, 輔助計算!$G$2:$G$801, 0)+1))&lt;=1181,2,1))))&gt;0, IF(IF(INDEX(ERP資料!$G:$G, (MATCH(607, 輔助計算!$G$2:$G$801, 0)+1))&lt;100, IF(INDEX(ERP資料!$G:$G, (MATCH(607, 輔助計算!$G$2:$G$801, 0)+1))&lt;=31,3,IF(INDEX(ERP資料!$G:$G, (MATCH(607, 輔助計算!$G$2:$G$801, 0)+1))&lt;=46.5,2,1)), IF(INDEX(ERP資料!$G:$G, (MATCH(607, 輔助計算!$G$2:$G$801, 0)+1))&lt;=790,3,IF(INDEX(ERP資料!$G:$G, (MATCH(607, 輔助計算!$G$2:$G$801, 0)+1))&lt;=1181,2,1)))=1,TEXT(INDEX(ERP資料!$G:$G, (MATCH(607, 輔助計算!$G$2:$G$801, 0)+1)),"0.##"),IF(IF(INDEX(ERP資料!$G:$G, (MATCH(607, 輔助計算!$G$2:$G$801, 0)+1))&lt;100, IF(INDEX(ERP資料!$G:$G, (MATCH(607, 輔助計算!$G$2:$G$801, 0)+1))&lt;=31,3,IF(INDEX(ERP資料!$G:$G, (MATCH(607, 輔助計算!$G$2:$G$801, 0)+1))&lt;=46.5,2,1)), IF(INDEX(ERP資料!$G:$G, (MATCH(607, 輔助計算!$G$2:$G$801, 0)+1))&lt;=790,3,IF(INDEX(ERP資料!$G:$G, (MATCH(607, 輔助計算!$G$2:$G$801, 0)+1))&lt;=1181,2,1)))=2,TEXT(INDEX(ERP資料!$G:$G, (MATCH(607, 輔助計算!$G$2:$G$801, 0)+1)),"0.##")&amp;"+"&amp;TEXT(INDEX(ERP資料!$G:$G, (MATCH(607, 輔助計算!$G$2:$G$801, 0)+1)),"0.##"),TEXT(INDEX(ERP資料!$G:$G, (MATCH(607, 輔助計算!$G$2:$G$801, 0)+1)),"0.##")&amp;"+"&amp;TEXT(INDEX(ERP資料!$G:$G, (MATCH(607, 輔助計算!$G$2:$G$801, 0)+1)),"0.##")&amp;"+"&amp;TEXT(INDEX(ERP資料!$G:$G, (MATCH(607, 輔助計算!$G$2:$G$801, 0)+1)),"0.##")))&amp;"-"&amp;INT(INDEX(輔助計算!$D:$D, (MATCH(607, 輔助計算!$G$2:$G$801, 0)+1))/IF(INDEX(ERP資料!$G:$G, (MATCH(607, 輔助計算!$G$2:$G$801, 0)+1))&lt;100, IF(INDEX(ERP資料!$G:$G, (MATCH(607, 輔助計算!$G$2:$G$801, 0)+1))&lt;=31,3,IF(INDEX(ERP資料!$G:$G, (MATCH(607, 輔助計算!$G$2:$G$801, 0)+1))&lt;=46.5,2,1)), IF(INDEX(ERP資料!$G:$G, (MATCH(607, 輔助計算!$G$2:$G$801, 0)+1))&lt;=790,3,IF(INDEX(ERP資料!$G:$G, (MATCH(607, 輔助計算!$G$2:$G$801, 0)+1))&lt;=1181,2,1)))), "")&amp;IF(AND(IF(INT(INDEX(輔助計算!$D:$D, (MATCH(607, 輔助計算!$G$2:$G$801, 0)+1))/IF(INDEX(ERP資料!$G:$G, (MATCH(607, 輔助計算!$G$2:$G$801, 0)+1))&lt;100, IF(INDEX(ERP資料!$G:$G, (MATCH(607, 輔助計算!$G$2:$G$801, 0)+1))&lt;=31,3,IF(INDEX(ERP資料!$G:$G, (MATCH(607, 輔助計算!$G$2:$G$801, 0)+1))&lt;=46.5,2,1)), IF(INDEX(ERP資料!$G:$G, (MATCH(607, 輔助計算!$G$2:$G$801, 0)+1))&lt;=790,3,IF(INDEX(ERP資料!$G:$G, (MATCH(607, 輔助計算!$G$2:$G$801, 0)+1))&lt;=1181,2,1))))&gt;0, IF(IF(INDEX(ERP資料!$G:$G, (MATCH(607, 輔助計算!$G$2:$G$801, 0)+1))&lt;100, IF(INDEX(ERP資料!$G:$G, (MATCH(607, 輔助計算!$G$2:$G$801, 0)+1))&lt;=31,3,IF(INDEX(ERP資料!$G:$G, (MATCH(607, 輔助計算!$G$2:$G$801, 0)+1))&lt;=46.5,2,1)), IF(INDEX(ERP資料!$G:$G, (MATCH(607, 輔助計算!$G$2:$G$801, 0)+1))&lt;=790,3,IF(INDEX(ERP資料!$G:$G, (MATCH(607, 輔助計算!$G$2:$G$801, 0)+1))&lt;=1181,2,1)))=1,TEXT(INDEX(ERP資料!$G:$G, (MATCH(607, 輔助計算!$G$2:$G$801, 0)+1)),"0.##"),IF(IF(INDEX(ERP資料!$G:$G, (MATCH(607, 輔助計算!$G$2:$G$801, 0)+1))&lt;100, IF(INDEX(ERP資料!$G:$G, (MATCH(607, 輔助計算!$G$2:$G$801, 0)+1))&lt;=31,3,IF(INDEX(ERP資料!$G:$G, (MATCH(607, 輔助計算!$G$2:$G$801, 0)+1))&lt;=46.5,2,1)), IF(INDEX(ERP資料!$G:$G, (MATCH(607, 輔助計算!$G$2:$G$801, 0)+1))&lt;=790,3,IF(INDEX(ERP資料!$G:$G, (MATCH(607, 輔助計算!$G$2:$G$801, 0)+1))&lt;=1181,2,1)))=2,TEXT(INDEX(ERP資料!$G:$G, (MATCH(607, 輔助計算!$G$2:$G$801, 0)+1)),"0.##")&amp;"+"&amp;TEXT(INDEX(ERP資料!$G:$G, (MATCH(607, 輔助計算!$G$2:$G$801, 0)+1)),"0.##"),TEXT(INDEX(ERP資料!$G:$G, (MATCH(607, 輔助計算!$G$2:$G$801, 0)+1)),"0.##")&amp;"+"&amp;TEXT(INDEX(ERP資料!$G:$G, (MATCH(607, 輔助計算!$G$2:$G$801, 0)+1)),"0.##")&amp;"+"&amp;TEXT(INDEX(ERP資料!$G:$G, (MATCH(607, 輔助計算!$G$2:$G$801, 0)+1)),"0.##")))&amp;"-"&amp;INT(INDEX(輔助計算!$D:$D, (MATCH(607, 輔助計算!$G$2:$G$801, 0)+1))/IF(INDEX(ERP資料!$G:$G, (MATCH(607, 輔助計算!$G$2:$G$801, 0)+1))&lt;100, IF(INDEX(ERP資料!$G:$G, (MATCH(607, 輔助計算!$G$2:$G$801, 0)+1))&lt;=31,3,IF(INDEX(ERP資料!$G:$G, (MATCH(607, 輔助計算!$G$2:$G$801, 0)+1))&lt;=46.5,2,1)), IF(INDEX(ERP資料!$G:$G, (MATCH(607, 輔助計算!$G$2:$G$801, 0)+1))&lt;=790,3,IF(INDEX(ERP資料!$G:$G, (MATCH(607, 輔助計算!$G$2:$G$801, 0)+1))&lt;=1181,2,1)))), "")&lt;&gt;"",IF(MOD(INDEX(輔助計算!$D:$D, (MATCH(607, 輔助計算!$G$2:$G$801, 0)+1)),IF(INDEX(ERP資料!$G:$G, (MATCH(607, 輔助計算!$G$2:$G$801, 0)+1))&lt;100, IF(INDEX(ERP資料!$G:$G, (MATCH(607, 輔助計算!$G$2:$G$801, 0)+1))&lt;=31,3,IF(INDEX(ERP資料!$G:$G, (MATCH(607, 輔助計算!$G$2:$G$801, 0)+1))&lt;=46.5,2,1)), IF(INDEX(ERP資料!$G:$G, (MATCH(607, 輔助計算!$G$2:$G$801, 0)+1))&lt;=790,3,IF(INDEX(ERP資料!$G:$G, (MATCH(607, 輔助計算!$G$2:$G$801, 0)+1))&lt;=1181,2,1))))=0,"",IF(MOD(INDEX(輔助計算!$D:$D, (MATCH(607, 輔助計算!$G$2:$G$801, 0)+1)),IF(INDEX(ERP資料!$G:$G, (MATCH(607, 輔助計算!$G$2:$G$801, 0)+1))&lt;100, IF(INDEX(ERP資料!$G:$G, (MATCH(607, 輔助計算!$G$2:$G$801, 0)+1))&lt;=31,3,IF(INDEX(ERP資料!$G:$G, (MATCH(607, 輔助計算!$G$2:$G$801, 0)+1))&lt;=46.5,2,1)), IF(INDEX(ERP資料!$G:$G, (MATCH(607, 輔助計算!$G$2:$G$801, 0)+1))&lt;=790,3,IF(INDEX(ERP資料!$G:$G, (MATCH(607, 輔助計算!$G$2:$G$801, 0)+1))&lt;=1181,2,1))))=0,"",IF(MOD(INDEX(輔助計算!$D:$D, (MATCH(607, 輔助計算!$G$2:$G$801, 0)+1)),IF(INDEX(ERP資料!$G:$G, (MATCH(607, 輔助計算!$G$2:$G$801, 0)+1))&lt;100, IF(INDEX(ERP資料!$G:$G, (MATCH(607, 輔助計算!$G$2:$G$801, 0)+1))&lt;=31,3,IF(INDEX(ERP資料!$G:$G, (MATCH(607, 輔助計算!$G$2:$G$801, 0)+1))&lt;=46.5,2,1)), IF(INDEX(ERP資料!$G:$G, (MATCH(607, 輔助計算!$G$2:$G$801, 0)+1))&lt;=790,3,IF(INDEX(ERP資料!$G:$G, (MATCH(607, 輔助計算!$G$2:$G$801, 0)+1))&lt;=1181,2,1))))=1,TEXT(INDEX(ERP資料!$G:$G, (MATCH(607, 輔助計算!$G$2:$G$801, 0)+1)),"0.##"),IF(MOD(INDEX(輔助計算!$D:$D, (MATCH(607, 輔助計算!$G$2:$G$801, 0)+1)),IF(INDEX(ERP資料!$G:$G, (MATCH(607, 輔助計算!$G$2:$G$801, 0)+1))&lt;100, IF(INDEX(ERP資料!$G:$G, (MATCH(607, 輔助計算!$G$2:$G$801, 0)+1))&lt;=31,3,IF(INDEX(ERP資料!$G:$G, (MATCH(607, 輔助計算!$G$2:$G$801, 0)+1))&lt;=46.5,2,1)), IF(INDEX(ERP資料!$G:$G, (MATCH(607, 輔助計算!$G$2:$G$801, 0)+1))&lt;=790,3,IF(INDEX(ERP資料!$G:$G, (MATCH(607, 輔助計算!$G$2:$G$801, 0)+1))&lt;=1181,2,1))))=2,TEXT(INDEX(ERP資料!$G:$G, (MATCH(607, 輔助計算!$G$2:$G$801, 0)+1)),"0.##")&amp;"+"&amp;TEXT(INDEX(ERP資料!$G:$G, (MATCH(607, 輔助計算!$G$2:$G$801, 0)+1)),"0.##"),TEXT(INDEX(ERP資料!$G:$G, (MATCH(607, 輔助計算!$G$2:$G$801, 0)+1)),"0.##")&amp;"+"&amp;TEXT(INDEX(ERP資料!$G:$G, (MATCH(607, 輔助計算!$G$2:$G$801, 0)+1)),"0.##")&amp;"+"&amp;TEXT(INDEX(ERP資料!$G:$G, (MATCH(607, 輔助計算!$G$2:$G$801, 0)+1)),"0.##"))))&amp;"-1")&lt;&gt;""),"  ","")&amp;IF(MOD(INDEX(輔助計算!$D:$D, (MATCH(607, 輔助計算!$G$2:$G$801, 0)+1)),IF(INDEX(ERP資料!$G:$G, (MATCH(607, 輔助計算!$G$2:$G$801, 0)+1))&lt;100, IF(INDEX(ERP資料!$G:$G, (MATCH(607, 輔助計算!$G$2:$G$801, 0)+1))&lt;=31,3,IF(INDEX(ERP資料!$G:$G, (MATCH(607, 輔助計算!$G$2:$G$801, 0)+1))&lt;=46.5,2,1)), IF(INDEX(ERP資料!$G:$G, (MATCH(607, 輔助計算!$G$2:$G$801, 0)+1))&lt;=790,3,IF(INDEX(ERP資料!$G:$G, (MATCH(607, 輔助計算!$G$2:$G$801, 0)+1))&lt;=1181,2,1))))=0,"",IF(MOD(INDEX(輔助計算!$D:$D, (MATCH(607, 輔助計算!$G$2:$G$801, 0)+1)),IF(INDEX(ERP資料!$G:$G, (MATCH(607, 輔助計算!$G$2:$G$801, 0)+1))&lt;100, IF(INDEX(ERP資料!$G:$G, (MATCH(607, 輔助計算!$G$2:$G$801, 0)+1))&lt;=31,3,IF(INDEX(ERP資料!$G:$G, (MATCH(607, 輔助計算!$G$2:$G$801, 0)+1))&lt;=46.5,2,1)), IF(INDEX(ERP資料!$G:$G, (MATCH(607, 輔助計算!$G$2:$G$801, 0)+1))&lt;=790,3,IF(INDEX(ERP資料!$G:$G, (MATCH(607, 輔助計算!$G$2:$G$801, 0)+1))&lt;=1181,2,1))))=0,"",IF(MOD(INDEX(輔助計算!$D:$D, (MATCH(607, 輔助計算!$G$2:$G$801, 0)+1)),IF(INDEX(ERP資料!$G:$G, (MATCH(607, 輔助計算!$G$2:$G$801, 0)+1))&lt;100, IF(INDEX(ERP資料!$G:$G, (MATCH(607, 輔助計算!$G$2:$G$801, 0)+1))&lt;=31,3,IF(INDEX(ERP資料!$G:$G, (MATCH(607, 輔助計算!$G$2:$G$801, 0)+1))&lt;=46.5,2,1)), IF(INDEX(ERP資料!$G:$G, (MATCH(607, 輔助計算!$G$2:$G$801, 0)+1))&lt;=790,3,IF(INDEX(ERP資料!$G:$G, (MATCH(607, 輔助計算!$G$2:$G$801, 0)+1))&lt;=1181,2,1))))=1,TEXT(INDEX(ERP資料!$G:$G, (MATCH(607, 輔助計算!$G$2:$G$801, 0)+1)),"0.##"),IF(MOD(INDEX(輔助計算!$D:$D, (MATCH(607, 輔助計算!$G$2:$G$801, 0)+1)),IF(INDEX(ERP資料!$G:$G, (MATCH(607, 輔助計算!$G$2:$G$801, 0)+1))&lt;100, IF(INDEX(ERP資料!$G:$G, (MATCH(607, 輔助計算!$G$2:$G$801, 0)+1))&lt;=31,3,IF(INDEX(ERP資料!$G:$G, (MATCH(607, 輔助計算!$G$2:$G$801, 0)+1))&lt;=46.5,2,1)), IF(INDEX(ERP資料!$G:$G, (MATCH(607, 輔助計算!$G$2:$G$801, 0)+1))&lt;=790,3,IF(INDEX(ERP資料!$G:$G, (MATCH(607, 輔助計算!$G$2:$G$801, 0)+1))&lt;=1181,2,1))))=2,TEXT(INDEX(ERP資料!$G:$G, (MATCH(607, 輔助計算!$G$2:$G$801, 0)+1)),"0.##")&amp;"+"&amp;TEXT(INDEX(ERP資料!$G:$G, (MATCH(607, 輔助計算!$G$2:$G$801, 0)+1)),"0.##"),TEXT(INDEX(ERP資料!$G:$G, (MATCH(607, 輔助計算!$G$2:$G$801, 0)+1)),"0.##")&amp;"+"&amp;TEXT(INDEX(ERP資料!$G:$G, (MATCH(607, 輔助計算!$G$2:$G$801, 0)+1)),"0.##")&amp;"+"&amp;TEXT(INDEX(ERP資料!$G:$G, (MATCH(607, 輔助計算!$G$2:$G$801, 0)+1)),"0.##"))))&amp;"-1")), ""), "")</f>
        <v/>
      </c>
      <c r="K608" s="16" t="n"/>
      <c r="L608" s="14">
        <f>IFERROR(IF(AND(IFERROR(INDEX(ERP資料!$A:$A, (MATCH(607, 輔助計算!$G$2:$G$801, 0)+1)), "")&lt;&gt;"", IFERROR(INDEX(ERP資料!$A:$A, (MATCH(607, 輔助計算!$G$2:$G$801, 0)+1)), "")&lt;&gt;IFERROR(INDEX(ERP資料!$A:$A, MATCH(606, 輔助計算!$G$2:$G$801, 0)+1), "")), INDEX(ERP資料!$B:$B, (MATCH(607, 輔助計算!$G$2:$G$801, 0)+1)), ""), "")</f>
        <v/>
      </c>
      <c r="M608" s="17" t="n"/>
    </row>
    <row r="609">
      <c r="A609" s="10">
        <f>IFERROR(IF(AND(IFERROR(INDEX(ERP資料!$A:$A, (MATCH(608, 輔助計算!$G$2:$G$801, 0)+1)), "")&lt;&gt;"", IFERROR(INDEX(ERP資料!$A:$A, (MATCH(608, 輔助計算!$G$2:$G$801, 0)+1)), "")&lt;&gt;IFERROR(INDEX(ERP資料!$A:$A, MATCH(607, 輔助計算!$G$2:$G$801, 0)+1), "")), IFERROR(INDEX(ERP資料!$A:$A, (MATCH(608, 輔助計算!$G$2:$G$801, 0)+1)), ""), ""), "")</f>
        <v/>
      </c>
      <c r="B609" s="10">
        <f>IFERROR(IF(AND(IFERROR(INDEX(ERP資料!$A:$A, (MATCH(608, 輔助計算!$G$2:$G$801, 0)+1)), "")&lt;&gt;"", IFERROR(INDEX(ERP資料!$A:$A, (MATCH(608, 輔助計算!$G$2:$G$801, 0)+1)), "")&lt;&gt;IFERROR(INDEX(ERP資料!$A:$A, MATCH(607, 輔助計算!$G$2:$G$801, 0)+1), "")), INDEX(ERP資料!$S:$S, (MATCH(608, 輔助計算!$G$2:$G$801, 0)+1)), ""), "")</f>
        <v/>
      </c>
      <c r="C609" s="19">
        <f>IFERROR(IF(AND(IFERROR(INDEX(ERP資料!$A:$A, (MATCH(608, 輔助計算!$G$2:$G$801, 0)+1)), "")&lt;&gt;"", IFERROR(INDEX(ERP資料!$A:$A, (MATCH(608, 輔助計算!$G$2:$G$801, 0)+1)), "")&lt;&gt;IFERROR(INDEX(ERP資料!$A:$A, MATCH(607, 輔助計算!$G$2:$G$801, 0)+1), "")), IFERROR(VLOOKUP(LEFT(INDEX(ERP資料!$S:$S, (MATCH(608, 輔助計算!$G$2:$G$801, 0)+1)), 4), 紙管對照表!$A:$C, 3, FALSE), ""), ""), "")</f>
        <v/>
      </c>
      <c r="D609" s="16" t="n"/>
      <c r="E609" s="10">
        <f>IFERROR(IF(INDEX(ERP資料!$H:$H, (MATCH(608, 輔助計算!$G$2:$G$801, 0)+1))="","",INDEX(ERP資料!$H:$H, (MATCH(608, 輔助計算!$G$2:$G$801, 0)+1))), "")</f>
        <v/>
      </c>
      <c r="F609" s="10">
        <f>IFERROR(IF(INDEX(ERP資料!$E:$E, (MATCH(608, 輔助計算!$G$2:$G$801, 0)+1))="","",TRIM(INDEX(ERP資料!$E:$E, (MATCH(608, 輔助計算!$G$2:$G$801, 0)+1)))), "")</f>
        <v/>
      </c>
      <c r="G609" s="10">
        <f>IFERROR(IF(INDEX(ERP資料!$F:$F, (MATCH(608, 輔助計算!$G$2:$G$801, 0)+1))="","",INDEX(ERP資料!$F:$F, (MATCH(608, 輔助計算!$G$2:$G$801, 0)+1))), "")</f>
        <v/>
      </c>
      <c r="H609" s="10">
        <f>IFERROR(IF(INDEX(ERP資料!$G:$G, (MATCH(608, 輔助計算!$G$2:$G$801, 0)+1))="","",INDEX(ERP資料!$G:$G, (MATCH(608, 輔助計算!$G$2:$G$801, 0)+1))), "")</f>
        <v/>
      </c>
      <c r="I609" s="15">
        <f>IFERROR(INDEX(輔助計算!$D:$D, (MATCH(608, 輔助計算!$G$2:$G$801, 0)+1)), "")</f>
        <v/>
      </c>
      <c r="J609" s="15">
        <f>IFERROR(IF(AND(INDEX(輔助計算!$D:$D, (MATCH(608, 輔助計算!$G$2:$G$801, 0)+1))&lt;&gt;"", INDEX(ERP資料!$G:$G, (MATCH(608, 輔助計算!$G$2:$G$801, 0)+1))&lt;&gt;""), TRIM(IF(INT(INDEX(輔助計算!$D:$D, (MATCH(608, 輔助計算!$G$2:$G$801, 0)+1))/IF(INDEX(ERP資料!$G:$G, (MATCH(608, 輔助計算!$G$2:$G$801, 0)+1))&lt;100, IF(INDEX(ERP資料!$G:$G, (MATCH(608, 輔助計算!$G$2:$G$801, 0)+1))&lt;=31,3,IF(INDEX(ERP資料!$G:$G, (MATCH(608, 輔助計算!$G$2:$G$801, 0)+1))&lt;=46.5,2,1)), IF(INDEX(ERP資料!$G:$G, (MATCH(608, 輔助計算!$G$2:$G$801, 0)+1))&lt;=790,3,IF(INDEX(ERP資料!$G:$G, (MATCH(608, 輔助計算!$G$2:$G$801, 0)+1))&lt;=1181,2,1))))&gt;0, IF(IF(INDEX(ERP資料!$G:$G, (MATCH(608, 輔助計算!$G$2:$G$801, 0)+1))&lt;100, IF(INDEX(ERP資料!$G:$G, (MATCH(608, 輔助計算!$G$2:$G$801, 0)+1))&lt;=31,3,IF(INDEX(ERP資料!$G:$G, (MATCH(608, 輔助計算!$G$2:$G$801, 0)+1))&lt;=46.5,2,1)), IF(INDEX(ERP資料!$G:$G, (MATCH(608, 輔助計算!$G$2:$G$801, 0)+1))&lt;=790,3,IF(INDEX(ERP資料!$G:$G, (MATCH(608, 輔助計算!$G$2:$G$801, 0)+1))&lt;=1181,2,1)))=1,TEXT(INDEX(ERP資料!$G:$G, (MATCH(608, 輔助計算!$G$2:$G$801, 0)+1)),"0.##"),IF(IF(INDEX(ERP資料!$G:$G, (MATCH(608, 輔助計算!$G$2:$G$801, 0)+1))&lt;100, IF(INDEX(ERP資料!$G:$G, (MATCH(608, 輔助計算!$G$2:$G$801, 0)+1))&lt;=31,3,IF(INDEX(ERP資料!$G:$G, (MATCH(608, 輔助計算!$G$2:$G$801, 0)+1))&lt;=46.5,2,1)), IF(INDEX(ERP資料!$G:$G, (MATCH(608, 輔助計算!$G$2:$G$801, 0)+1))&lt;=790,3,IF(INDEX(ERP資料!$G:$G, (MATCH(608, 輔助計算!$G$2:$G$801, 0)+1))&lt;=1181,2,1)))=2,TEXT(INDEX(ERP資料!$G:$G, (MATCH(608, 輔助計算!$G$2:$G$801, 0)+1)),"0.##")&amp;"+"&amp;TEXT(INDEX(ERP資料!$G:$G, (MATCH(608, 輔助計算!$G$2:$G$801, 0)+1)),"0.##"),TEXT(INDEX(ERP資料!$G:$G, (MATCH(608, 輔助計算!$G$2:$G$801, 0)+1)),"0.##")&amp;"+"&amp;TEXT(INDEX(ERP資料!$G:$G, (MATCH(608, 輔助計算!$G$2:$G$801, 0)+1)),"0.##")&amp;"+"&amp;TEXT(INDEX(ERP資料!$G:$G, (MATCH(608, 輔助計算!$G$2:$G$801, 0)+1)),"0.##")))&amp;"-"&amp;INT(INDEX(輔助計算!$D:$D, (MATCH(608, 輔助計算!$G$2:$G$801, 0)+1))/IF(INDEX(ERP資料!$G:$G, (MATCH(608, 輔助計算!$G$2:$G$801, 0)+1))&lt;100, IF(INDEX(ERP資料!$G:$G, (MATCH(608, 輔助計算!$G$2:$G$801, 0)+1))&lt;=31,3,IF(INDEX(ERP資料!$G:$G, (MATCH(608, 輔助計算!$G$2:$G$801, 0)+1))&lt;=46.5,2,1)), IF(INDEX(ERP資料!$G:$G, (MATCH(608, 輔助計算!$G$2:$G$801, 0)+1))&lt;=790,3,IF(INDEX(ERP資料!$G:$G, (MATCH(608, 輔助計算!$G$2:$G$801, 0)+1))&lt;=1181,2,1)))), "")&amp;IF(AND(IF(INT(INDEX(輔助計算!$D:$D, (MATCH(608, 輔助計算!$G$2:$G$801, 0)+1))/IF(INDEX(ERP資料!$G:$G, (MATCH(608, 輔助計算!$G$2:$G$801, 0)+1))&lt;100, IF(INDEX(ERP資料!$G:$G, (MATCH(608, 輔助計算!$G$2:$G$801, 0)+1))&lt;=31,3,IF(INDEX(ERP資料!$G:$G, (MATCH(608, 輔助計算!$G$2:$G$801, 0)+1))&lt;=46.5,2,1)), IF(INDEX(ERP資料!$G:$G, (MATCH(608, 輔助計算!$G$2:$G$801, 0)+1))&lt;=790,3,IF(INDEX(ERP資料!$G:$G, (MATCH(608, 輔助計算!$G$2:$G$801, 0)+1))&lt;=1181,2,1))))&gt;0, IF(IF(INDEX(ERP資料!$G:$G, (MATCH(608, 輔助計算!$G$2:$G$801, 0)+1))&lt;100, IF(INDEX(ERP資料!$G:$G, (MATCH(608, 輔助計算!$G$2:$G$801, 0)+1))&lt;=31,3,IF(INDEX(ERP資料!$G:$G, (MATCH(608, 輔助計算!$G$2:$G$801, 0)+1))&lt;=46.5,2,1)), IF(INDEX(ERP資料!$G:$G, (MATCH(608, 輔助計算!$G$2:$G$801, 0)+1))&lt;=790,3,IF(INDEX(ERP資料!$G:$G, (MATCH(608, 輔助計算!$G$2:$G$801, 0)+1))&lt;=1181,2,1)))=1,TEXT(INDEX(ERP資料!$G:$G, (MATCH(608, 輔助計算!$G$2:$G$801, 0)+1)),"0.##"),IF(IF(INDEX(ERP資料!$G:$G, (MATCH(608, 輔助計算!$G$2:$G$801, 0)+1))&lt;100, IF(INDEX(ERP資料!$G:$G, (MATCH(608, 輔助計算!$G$2:$G$801, 0)+1))&lt;=31,3,IF(INDEX(ERP資料!$G:$G, (MATCH(608, 輔助計算!$G$2:$G$801, 0)+1))&lt;=46.5,2,1)), IF(INDEX(ERP資料!$G:$G, (MATCH(608, 輔助計算!$G$2:$G$801, 0)+1))&lt;=790,3,IF(INDEX(ERP資料!$G:$G, (MATCH(608, 輔助計算!$G$2:$G$801, 0)+1))&lt;=1181,2,1)))=2,TEXT(INDEX(ERP資料!$G:$G, (MATCH(608, 輔助計算!$G$2:$G$801, 0)+1)),"0.##")&amp;"+"&amp;TEXT(INDEX(ERP資料!$G:$G, (MATCH(608, 輔助計算!$G$2:$G$801, 0)+1)),"0.##"),TEXT(INDEX(ERP資料!$G:$G, (MATCH(608, 輔助計算!$G$2:$G$801, 0)+1)),"0.##")&amp;"+"&amp;TEXT(INDEX(ERP資料!$G:$G, (MATCH(608, 輔助計算!$G$2:$G$801, 0)+1)),"0.##")&amp;"+"&amp;TEXT(INDEX(ERP資料!$G:$G, (MATCH(608, 輔助計算!$G$2:$G$801, 0)+1)),"0.##")))&amp;"-"&amp;INT(INDEX(輔助計算!$D:$D, (MATCH(608, 輔助計算!$G$2:$G$801, 0)+1))/IF(INDEX(ERP資料!$G:$G, (MATCH(608, 輔助計算!$G$2:$G$801, 0)+1))&lt;100, IF(INDEX(ERP資料!$G:$G, (MATCH(608, 輔助計算!$G$2:$G$801, 0)+1))&lt;=31,3,IF(INDEX(ERP資料!$G:$G, (MATCH(608, 輔助計算!$G$2:$G$801, 0)+1))&lt;=46.5,2,1)), IF(INDEX(ERP資料!$G:$G, (MATCH(608, 輔助計算!$G$2:$G$801, 0)+1))&lt;=790,3,IF(INDEX(ERP資料!$G:$G, (MATCH(608, 輔助計算!$G$2:$G$801, 0)+1))&lt;=1181,2,1)))), "")&lt;&gt;"",IF(MOD(INDEX(輔助計算!$D:$D, (MATCH(608, 輔助計算!$G$2:$G$801, 0)+1)),IF(INDEX(ERP資料!$G:$G, (MATCH(608, 輔助計算!$G$2:$G$801, 0)+1))&lt;100, IF(INDEX(ERP資料!$G:$G, (MATCH(608, 輔助計算!$G$2:$G$801, 0)+1))&lt;=31,3,IF(INDEX(ERP資料!$G:$G, (MATCH(608, 輔助計算!$G$2:$G$801, 0)+1))&lt;=46.5,2,1)), IF(INDEX(ERP資料!$G:$G, (MATCH(608, 輔助計算!$G$2:$G$801, 0)+1))&lt;=790,3,IF(INDEX(ERP資料!$G:$G, (MATCH(608, 輔助計算!$G$2:$G$801, 0)+1))&lt;=1181,2,1))))=0,"",IF(MOD(INDEX(輔助計算!$D:$D, (MATCH(608, 輔助計算!$G$2:$G$801, 0)+1)),IF(INDEX(ERP資料!$G:$G, (MATCH(608, 輔助計算!$G$2:$G$801, 0)+1))&lt;100, IF(INDEX(ERP資料!$G:$G, (MATCH(608, 輔助計算!$G$2:$G$801, 0)+1))&lt;=31,3,IF(INDEX(ERP資料!$G:$G, (MATCH(608, 輔助計算!$G$2:$G$801, 0)+1))&lt;=46.5,2,1)), IF(INDEX(ERP資料!$G:$G, (MATCH(608, 輔助計算!$G$2:$G$801, 0)+1))&lt;=790,3,IF(INDEX(ERP資料!$G:$G, (MATCH(608, 輔助計算!$G$2:$G$801, 0)+1))&lt;=1181,2,1))))=0,"",IF(MOD(INDEX(輔助計算!$D:$D, (MATCH(608, 輔助計算!$G$2:$G$801, 0)+1)),IF(INDEX(ERP資料!$G:$G, (MATCH(608, 輔助計算!$G$2:$G$801, 0)+1))&lt;100, IF(INDEX(ERP資料!$G:$G, (MATCH(608, 輔助計算!$G$2:$G$801, 0)+1))&lt;=31,3,IF(INDEX(ERP資料!$G:$G, (MATCH(608, 輔助計算!$G$2:$G$801, 0)+1))&lt;=46.5,2,1)), IF(INDEX(ERP資料!$G:$G, (MATCH(608, 輔助計算!$G$2:$G$801, 0)+1))&lt;=790,3,IF(INDEX(ERP資料!$G:$G, (MATCH(608, 輔助計算!$G$2:$G$801, 0)+1))&lt;=1181,2,1))))=1,TEXT(INDEX(ERP資料!$G:$G, (MATCH(608, 輔助計算!$G$2:$G$801, 0)+1)),"0.##"),IF(MOD(INDEX(輔助計算!$D:$D, (MATCH(608, 輔助計算!$G$2:$G$801, 0)+1)),IF(INDEX(ERP資料!$G:$G, (MATCH(608, 輔助計算!$G$2:$G$801, 0)+1))&lt;100, IF(INDEX(ERP資料!$G:$G, (MATCH(608, 輔助計算!$G$2:$G$801, 0)+1))&lt;=31,3,IF(INDEX(ERP資料!$G:$G, (MATCH(608, 輔助計算!$G$2:$G$801, 0)+1))&lt;=46.5,2,1)), IF(INDEX(ERP資料!$G:$G, (MATCH(608, 輔助計算!$G$2:$G$801, 0)+1))&lt;=790,3,IF(INDEX(ERP資料!$G:$G, (MATCH(608, 輔助計算!$G$2:$G$801, 0)+1))&lt;=1181,2,1))))=2,TEXT(INDEX(ERP資料!$G:$G, (MATCH(608, 輔助計算!$G$2:$G$801, 0)+1)),"0.##")&amp;"+"&amp;TEXT(INDEX(ERP資料!$G:$G, (MATCH(608, 輔助計算!$G$2:$G$801, 0)+1)),"0.##"),TEXT(INDEX(ERP資料!$G:$G, (MATCH(608, 輔助計算!$G$2:$G$801, 0)+1)),"0.##")&amp;"+"&amp;TEXT(INDEX(ERP資料!$G:$G, (MATCH(608, 輔助計算!$G$2:$G$801, 0)+1)),"0.##")&amp;"+"&amp;TEXT(INDEX(ERP資料!$G:$G, (MATCH(608, 輔助計算!$G$2:$G$801, 0)+1)),"0.##"))))&amp;"-1")&lt;&gt;""),"  ","")&amp;IF(MOD(INDEX(輔助計算!$D:$D, (MATCH(608, 輔助計算!$G$2:$G$801, 0)+1)),IF(INDEX(ERP資料!$G:$G, (MATCH(608, 輔助計算!$G$2:$G$801, 0)+1))&lt;100, IF(INDEX(ERP資料!$G:$G, (MATCH(608, 輔助計算!$G$2:$G$801, 0)+1))&lt;=31,3,IF(INDEX(ERP資料!$G:$G, (MATCH(608, 輔助計算!$G$2:$G$801, 0)+1))&lt;=46.5,2,1)), IF(INDEX(ERP資料!$G:$G, (MATCH(608, 輔助計算!$G$2:$G$801, 0)+1))&lt;=790,3,IF(INDEX(ERP資料!$G:$G, (MATCH(608, 輔助計算!$G$2:$G$801, 0)+1))&lt;=1181,2,1))))=0,"",IF(MOD(INDEX(輔助計算!$D:$D, (MATCH(608, 輔助計算!$G$2:$G$801, 0)+1)),IF(INDEX(ERP資料!$G:$G, (MATCH(608, 輔助計算!$G$2:$G$801, 0)+1))&lt;100, IF(INDEX(ERP資料!$G:$G, (MATCH(608, 輔助計算!$G$2:$G$801, 0)+1))&lt;=31,3,IF(INDEX(ERP資料!$G:$G, (MATCH(608, 輔助計算!$G$2:$G$801, 0)+1))&lt;=46.5,2,1)), IF(INDEX(ERP資料!$G:$G, (MATCH(608, 輔助計算!$G$2:$G$801, 0)+1))&lt;=790,3,IF(INDEX(ERP資料!$G:$G, (MATCH(608, 輔助計算!$G$2:$G$801, 0)+1))&lt;=1181,2,1))))=0,"",IF(MOD(INDEX(輔助計算!$D:$D, (MATCH(608, 輔助計算!$G$2:$G$801, 0)+1)),IF(INDEX(ERP資料!$G:$G, (MATCH(608, 輔助計算!$G$2:$G$801, 0)+1))&lt;100, IF(INDEX(ERP資料!$G:$G, (MATCH(608, 輔助計算!$G$2:$G$801, 0)+1))&lt;=31,3,IF(INDEX(ERP資料!$G:$G, (MATCH(608, 輔助計算!$G$2:$G$801, 0)+1))&lt;=46.5,2,1)), IF(INDEX(ERP資料!$G:$G, (MATCH(608, 輔助計算!$G$2:$G$801, 0)+1))&lt;=790,3,IF(INDEX(ERP資料!$G:$G, (MATCH(608, 輔助計算!$G$2:$G$801, 0)+1))&lt;=1181,2,1))))=1,TEXT(INDEX(ERP資料!$G:$G, (MATCH(608, 輔助計算!$G$2:$G$801, 0)+1)),"0.##"),IF(MOD(INDEX(輔助計算!$D:$D, (MATCH(608, 輔助計算!$G$2:$G$801, 0)+1)),IF(INDEX(ERP資料!$G:$G, (MATCH(608, 輔助計算!$G$2:$G$801, 0)+1))&lt;100, IF(INDEX(ERP資料!$G:$G, (MATCH(608, 輔助計算!$G$2:$G$801, 0)+1))&lt;=31,3,IF(INDEX(ERP資料!$G:$G, (MATCH(608, 輔助計算!$G$2:$G$801, 0)+1))&lt;=46.5,2,1)), IF(INDEX(ERP資料!$G:$G, (MATCH(608, 輔助計算!$G$2:$G$801, 0)+1))&lt;=790,3,IF(INDEX(ERP資料!$G:$G, (MATCH(608, 輔助計算!$G$2:$G$801, 0)+1))&lt;=1181,2,1))))=2,TEXT(INDEX(ERP資料!$G:$G, (MATCH(608, 輔助計算!$G$2:$G$801, 0)+1)),"0.##")&amp;"+"&amp;TEXT(INDEX(ERP資料!$G:$G, (MATCH(608, 輔助計算!$G$2:$G$801, 0)+1)),"0.##"),TEXT(INDEX(ERP資料!$G:$G, (MATCH(608, 輔助計算!$G$2:$G$801, 0)+1)),"0.##")&amp;"+"&amp;TEXT(INDEX(ERP資料!$G:$G, (MATCH(608, 輔助計算!$G$2:$G$801, 0)+1)),"0.##")&amp;"+"&amp;TEXT(INDEX(ERP資料!$G:$G, (MATCH(608, 輔助計算!$G$2:$G$801, 0)+1)),"0.##"))))&amp;"-1")), ""), "")</f>
        <v/>
      </c>
      <c r="K609" s="16" t="n"/>
      <c r="L609" s="14">
        <f>IFERROR(IF(AND(IFERROR(INDEX(ERP資料!$A:$A, (MATCH(608, 輔助計算!$G$2:$G$801, 0)+1)), "")&lt;&gt;"", IFERROR(INDEX(ERP資料!$A:$A, (MATCH(608, 輔助計算!$G$2:$G$801, 0)+1)), "")&lt;&gt;IFERROR(INDEX(ERP資料!$A:$A, MATCH(607, 輔助計算!$G$2:$G$801, 0)+1), "")), INDEX(ERP資料!$B:$B, (MATCH(608, 輔助計算!$G$2:$G$801, 0)+1)), ""), "")</f>
        <v/>
      </c>
      <c r="M609" s="17" t="n"/>
    </row>
    <row r="610">
      <c r="A610" s="10">
        <f>IFERROR(IF(AND(IFERROR(INDEX(ERP資料!$A:$A, (MATCH(609, 輔助計算!$G$2:$G$801, 0)+1)), "")&lt;&gt;"", IFERROR(INDEX(ERP資料!$A:$A, (MATCH(609, 輔助計算!$G$2:$G$801, 0)+1)), "")&lt;&gt;IFERROR(INDEX(ERP資料!$A:$A, MATCH(608, 輔助計算!$G$2:$G$801, 0)+1), "")), IFERROR(INDEX(ERP資料!$A:$A, (MATCH(609, 輔助計算!$G$2:$G$801, 0)+1)), ""), ""), "")</f>
        <v/>
      </c>
      <c r="B610" s="10">
        <f>IFERROR(IF(AND(IFERROR(INDEX(ERP資料!$A:$A, (MATCH(609, 輔助計算!$G$2:$G$801, 0)+1)), "")&lt;&gt;"", IFERROR(INDEX(ERP資料!$A:$A, (MATCH(609, 輔助計算!$G$2:$G$801, 0)+1)), "")&lt;&gt;IFERROR(INDEX(ERP資料!$A:$A, MATCH(608, 輔助計算!$G$2:$G$801, 0)+1), "")), INDEX(ERP資料!$S:$S, (MATCH(609, 輔助計算!$G$2:$G$801, 0)+1)), ""), "")</f>
        <v/>
      </c>
      <c r="C610" s="19">
        <f>IFERROR(IF(AND(IFERROR(INDEX(ERP資料!$A:$A, (MATCH(609, 輔助計算!$G$2:$G$801, 0)+1)), "")&lt;&gt;"", IFERROR(INDEX(ERP資料!$A:$A, (MATCH(609, 輔助計算!$G$2:$G$801, 0)+1)), "")&lt;&gt;IFERROR(INDEX(ERP資料!$A:$A, MATCH(608, 輔助計算!$G$2:$G$801, 0)+1), "")), IFERROR(VLOOKUP(LEFT(INDEX(ERP資料!$S:$S, (MATCH(609, 輔助計算!$G$2:$G$801, 0)+1)), 4), 紙管對照表!$A:$C, 3, FALSE), ""), ""), "")</f>
        <v/>
      </c>
      <c r="D610" s="16" t="n"/>
      <c r="E610" s="10">
        <f>IFERROR(IF(INDEX(ERP資料!$H:$H, (MATCH(609, 輔助計算!$G$2:$G$801, 0)+1))="","",INDEX(ERP資料!$H:$H, (MATCH(609, 輔助計算!$G$2:$G$801, 0)+1))), "")</f>
        <v/>
      </c>
      <c r="F610" s="10">
        <f>IFERROR(IF(INDEX(ERP資料!$E:$E, (MATCH(609, 輔助計算!$G$2:$G$801, 0)+1))="","",TRIM(INDEX(ERP資料!$E:$E, (MATCH(609, 輔助計算!$G$2:$G$801, 0)+1)))), "")</f>
        <v/>
      </c>
      <c r="G610" s="10">
        <f>IFERROR(IF(INDEX(ERP資料!$F:$F, (MATCH(609, 輔助計算!$G$2:$G$801, 0)+1))="","",INDEX(ERP資料!$F:$F, (MATCH(609, 輔助計算!$G$2:$G$801, 0)+1))), "")</f>
        <v/>
      </c>
      <c r="H610" s="10">
        <f>IFERROR(IF(INDEX(ERP資料!$G:$G, (MATCH(609, 輔助計算!$G$2:$G$801, 0)+1))="","",INDEX(ERP資料!$G:$G, (MATCH(609, 輔助計算!$G$2:$G$801, 0)+1))), "")</f>
        <v/>
      </c>
      <c r="I610" s="15">
        <f>IFERROR(INDEX(輔助計算!$D:$D, (MATCH(609, 輔助計算!$G$2:$G$801, 0)+1)), "")</f>
        <v/>
      </c>
      <c r="J610" s="15">
        <f>IFERROR(IF(AND(INDEX(輔助計算!$D:$D, (MATCH(609, 輔助計算!$G$2:$G$801, 0)+1))&lt;&gt;"", INDEX(ERP資料!$G:$G, (MATCH(609, 輔助計算!$G$2:$G$801, 0)+1))&lt;&gt;""), TRIM(IF(INT(INDEX(輔助計算!$D:$D, (MATCH(609, 輔助計算!$G$2:$G$801, 0)+1))/IF(INDEX(ERP資料!$G:$G, (MATCH(609, 輔助計算!$G$2:$G$801, 0)+1))&lt;100, IF(INDEX(ERP資料!$G:$G, (MATCH(609, 輔助計算!$G$2:$G$801, 0)+1))&lt;=31,3,IF(INDEX(ERP資料!$G:$G, (MATCH(609, 輔助計算!$G$2:$G$801, 0)+1))&lt;=46.5,2,1)), IF(INDEX(ERP資料!$G:$G, (MATCH(609, 輔助計算!$G$2:$G$801, 0)+1))&lt;=790,3,IF(INDEX(ERP資料!$G:$G, (MATCH(609, 輔助計算!$G$2:$G$801, 0)+1))&lt;=1181,2,1))))&gt;0, IF(IF(INDEX(ERP資料!$G:$G, (MATCH(609, 輔助計算!$G$2:$G$801, 0)+1))&lt;100, IF(INDEX(ERP資料!$G:$G, (MATCH(609, 輔助計算!$G$2:$G$801, 0)+1))&lt;=31,3,IF(INDEX(ERP資料!$G:$G, (MATCH(609, 輔助計算!$G$2:$G$801, 0)+1))&lt;=46.5,2,1)), IF(INDEX(ERP資料!$G:$G, (MATCH(609, 輔助計算!$G$2:$G$801, 0)+1))&lt;=790,3,IF(INDEX(ERP資料!$G:$G, (MATCH(609, 輔助計算!$G$2:$G$801, 0)+1))&lt;=1181,2,1)))=1,TEXT(INDEX(ERP資料!$G:$G, (MATCH(609, 輔助計算!$G$2:$G$801, 0)+1)),"0.##"),IF(IF(INDEX(ERP資料!$G:$G, (MATCH(609, 輔助計算!$G$2:$G$801, 0)+1))&lt;100, IF(INDEX(ERP資料!$G:$G, (MATCH(609, 輔助計算!$G$2:$G$801, 0)+1))&lt;=31,3,IF(INDEX(ERP資料!$G:$G, (MATCH(609, 輔助計算!$G$2:$G$801, 0)+1))&lt;=46.5,2,1)), IF(INDEX(ERP資料!$G:$G, (MATCH(609, 輔助計算!$G$2:$G$801, 0)+1))&lt;=790,3,IF(INDEX(ERP資料!$G:$G, (MATCH(609, 輔助計算!$G$2:$G$801, 0)+1))&lt;=1181,2,1)))=2,TEXT(INDEX(ERP資料!$G:$G, (MATCH(609, 輔助計算!$G$2:$G$801, 0)+1)),"0.##")&amp;"+"&amp;TEXT(INDEX(ERP資料!$G:$G, (MATCH(609, 輔助計算!$G$2:$G$801, 0)+1)),"0.##"),TEXT(INDEX(ERP資料!$G:$G, (MATCH(609, 輔助計算!$G$2:$G$801, 0)+1)),"0.##")&amp;"+"&amp;TEXT(INDEX(ERP資料!$G:$G, (MATCH(609, 輔助計算!$G$2:$G$801, 0)+1)),"0.##")&amp;"+"&amp;TEXT(INDEX(ERP資料!$G:$G, (MATCH(609, 輔助計算!$G$2:$G$801, 0)+1)),"0.##")))&amp;"-"&amp;INT(INDEX(輔助計算!$D:$D, (MATCH(609, 輔助計算!$G$2:$G$801, 0)+1))/IF(INDEX(ERP資料!$G:$G, (MATCH(609, 輔助計算!$G$2:$G$801, 0)+1))&lt;100, IF(INDEX(ERP資料!$G:$G, (MATCH(609, 輔助計算!$G$2:$G$801, 0)+1))&lt;=31,3,IF(INDEX(ERP資料!$G:$G, (MATCH(609, 輔助計算!$G$2:$G$801, 0)+1))&lt;=46.5,2,1)), IF(INDEX(ERP資料!$G:$G, (MATCH(609, 輔助計算!$G$2:$G$801, 0)+1))&lt;=790,3,IF(INDEX(ERP資料!$G:$G, (MATCH(609, 輔助計算!$G$2:$G$801, 0)+1))&lt;=1181,2,1)))), "")&amp;IF(AND(IF(INT(INDEX(輔助計算!$D:$D, (MATCH(609, 輔助計算!$G$2:$G$801, 0)+1))/IF(INDEX(ERP資料!$G:$G, (MATCH(609, 輔助計算!$G$2:$G$801, 0)+1))&lt;100, IF(INDEX(ERP資料!$G:$G, (MATCH(609, 輔助計算!$G$2:$G$801, 0)+1))&lt;=31,3,IF(INDEX(ERP資料!$G:$G, (MATCH(609, 輔助計算!$G$2:$G$801, 0)+1))&lt;=46.5,2,1)), IF(INDEX(ERP資料!$G:$G, (MATCH(609, 輔助計算!$G$2:$G$801, 0)+1))&lt;=790,3,IF(INDEX(ERP資料!$G:$G, (MATCH(609, 輔助計算!$G$2:$G$801, 0)+1))&lt;=1181,2,1))))&gt;0, IF(IF(INDEX(ERP資料!$G:$G, (MATCH(609, 輔助計算!$G$2:$G$801, 0)+1))&lt;100, IF(INDEX(ERP資料!$G:$G, (MATCH(609, 輔助計算!$G$2:$G$801, 0)+1))&lt;=31,3,IF(INDEX(ERP資料!$G:$G, (MATCH(609, 輔助計算!$G$2:$G$801, 0)+1))&lt;=46.5,2,1)), IF(INDEX(ERP資料!$G:$G, (MATCH(609, 輔助計算!$G$2:$G$801, 0)+1))&lt;=790,3,IF(INDEX(ERP資料!$G:$G, (MATCH(609, 輔助計算!$G$2:$G$801, 0)+1))&lt;=1181,2,1)))=1,TEXT(INDEX(ERP資料!$G:$G, (MATCH(609, 輔助計算!$G$2:$G$801, 0)+1)),"0.##"),IF(IF(INDEX(ERP資料!$G:$G, (MATCH(609, 輔助計算!$G$2:$G$801, 0)+1))&lt;100, IF(INDEX(ERP資料!$G:$G, (MATCH(609, 輔助計算!$G$2:$G$801, 0)+1))&lt;=31,3,IF(INDEX(ERP資料!$G:$G, (MATCH(609, 輔助計算!$G$2:$G$801, 0)+1))&lt;=46.5,2,1)), IF(INDEX(ERP資料!$G:$G, (MATCH(609, 輔助計算!$G$2:$G$801, 0)+1))&lt;=790,3,IF(INDEX(ERP資料!$G:$G, (MATCH(609, 輔助計算!$G$2:$G$801, 0)+1))&lt;=1181,2,1)))=2,TEXT(INDEX(ERP資料!$G:$G, (MATCH(609, 輔助計算!$G$2:$G$801, 0)+1)),"0.##")&amp;"+"&amp;TEXT(INDEX(ERP資料!$G:$G, (MATCH(609, 輔助計算!$G$2:$G$801, 0)+1)),"0.##"),TEXT(INDEX(ERP資料!$G:$G, (MATCH(609, 輔助計算!$G$2:$G$801, 0)+1)),"0.##")&amp;"+"&amp;TEXT(INDEX(ERP資料!$G:$G, (MATCH(609, 輔助計算!$G$2:$G$801, 0)+1)),"0.##")&amp;"+"&amp;TEXT(INDEX(ERP資料!$G:$G, (MATCH(609, 輔助計算!$G$2:$G$801, 0)+1)),"0.##")))&amp;"-"&amp;INT(INDEX(輔助計算!$D:$D, (MATCH(609, 輔助計算!$G$2:$G$801, 0)+1))/IF(INDEX(ERP資料!$G:$G, (MATCH(609, 輔助計算!$G$2:$G$801, 0)+1))&lt;100, IF(INDEX(ERP資料!$G:$G, (MATCH(609, 輔助計算!$G$2:$G$801, 0)+1))&lt;=31,3,IF(INDEX(ERP資料!$G:$G, (MATCH(609, 輔助計算!$G$2:$G$801, 0)+1))&lt;=46.5,2,1)), IF(INDEX(ERP資料!$G:$G, (MATCH(609, 輔助計算!$G$2:$G$801, 0)+1))&lt;=790,3,IF(INDEX(ERP資料!$G:$G, (MATCH(609, 輔助計算!$G$2:$G$801, 0)+1))&lt;=1181,2,1)))), "")&lt;&gt;"",IF(MOD(INDEX(輔助計算!$D:$D, (MATCH(609, 輔助計算!$G$2:$G$801, 0)+1)),IF(INDEX(ERP資料!$G:$G, (MATCH(609, 輔助計算!$G$2:$G$801, 0)+1))&lt;100, IF(INDEX(ERP資料!$G:$G, (MATCH(609, 輔助計算!$G$2:$G$801, 0)+1))&lt;=31,3,IF(INDEX(ERP資料!$G:$G, (MATCH(609, 輔助計算!$G$2:$G$801, 0)+1))&lt;=46.5,2,1)), IF(INDEX(ERP資料!$G:$G, (MATCH(609, 輔助計算!$G$2:$G$801, 0)+1))&lt;=790,3,IF(INDEX(ERP資料!$G:$G, (MATCH(609, 輔助計算!$G$2:$G$801, 0)+1))&lt;=1181,2,1))))=0,"",IF(MOD(INDEX(輔助計算!$D:$D, (MATCH(609, 輔助計算!$G$2:$G$801, 0)+1)),IF(INDEX(ERP資料!$G:$G, (MATCH(609, 輔助計算!$G$2:$G$801, 0)+1))&lt;100, IF(INDEX(ERP資料!$G:$G, (MATCH(609, 輔助計算!$G$2:$G$801, 0)+1))&lt;=31,3,IF(INDEX(ERP資料!$G:$G, (MATCH(609, 輔助計算!$G$2:$G$801, 0)+1))&lt;=46.5,2,1)), IF(INDEX(ERP資料!$G:$G, (MATCH(609, 輔助計算!$G$2:$G$801, 0)+1))&lt;=790,3,IF(INDEX(ERP資料!$G:$G, (MATCH(609, 輔助計算!$G$2:$G$801, 0)+1))&lt;=1181,2,1))))=0,"",IF(MOD(INDEX(輔助計算!$D:$D, (MATCH(609, 輔助計算!$G$2:$G$801, 0)+1)),IF(INDEX(ERP資料!$G:$G, (MATCH(609, 輔助計算!$G$2:$G$801, 0)+1))&lt;100, IF(INDEX(ERP資料!$G:$G, (MATCH(609, 輔助計算!$G$2:$G$801, 0)+1))&lt;=31,3,IF(INDEX(ERP資料!$G:$G, (MATCH(609, 輔助計算!$G$2:$G$801, 0)+1))&lt;=46.5,2,1)), IF(INDEX(ERP資料!$G:$G, (MATCH(609, 輔助計算!$G$2:$G$801, 0)+1))&lt;=790,3,IF(INDEX(ERP資料!$G:$G, (MATCH(609, 輔助計算!$G$2:$G$801, 0)+1))&lt;=1181,2,1))))=1,TEXT(INDEX(ERP資料!$G:$G, (MATCH(609, 輔助計算!$G$2:$G$801, 0)+1)),"0.##"),IF(MOD(INDEX(輔助計算!$D:$D, (MATCH(609, 輔助計算!$G$2:$G$801, 0)+1)),IF(INDEX(ERP資料!$G:$G, (MATCH(609, 輔助計算!$G$2:$G$801, 0)+1))&lt;100, IF(INDEX(ERP資料!$G:$G, (MATCH(609, 輔助計算!$G$2:$G$801, 0)+1))&lt;=31,3,IF(INDEX(ERP資料!$G:$G, (MATCH(609, 輔助計算!$G$2:$G$801, 0)+1))&lt;=46.5,2,1)), IF(INDEX(ERP資料!$G:$G, (MATCH(609, 輔助計算!$G$2:$G$801, 0)+1))&lt;=790,3,IF(INDEX(ERP資料!$G:$G, (MATCH(609, 輔助計算!$G$2:$G$801, 0)+1))&lt;=1181,2,1))))=2,TEXT(INDEX(ERP資料!$G:$G, (MATCH(609, 輔助計算!$G$2:$G$801, 0)+1)),"0.##")&amp;"+"&amp;TEXT(INDEX(ERP資料!$G:$G, (MATCH(609, 輔助計算!$G$2:$G$801, 0)+1)),"0.##"),TEXT(INDEX(ERP資料!$G:$G, (MATCH(609, 輔助計算!$G$2:$G$801, 0)+1)),"0.##")&amp;"+"&amp;TEXT(INDEX(ERP資料!$G:$G, (MATCH(609, 輔助計算!$G$2:$G$801, 0)+1)),"0.##")&amp;"+"&amp;TEXT(INDEX(ERP資料!$G:$G, (MATCH(609, 輔助計算!$G$2:$G$801, 0)+1)),"0.##"))))&amp;"-1")&lt;&gt;""),"  ","")&amp;IF(MOD(INDEX(輔助計算!$D:$D, (MATCH(609, 輔助計算!$G$2:$G$801, 0)+1)),IF(INDEX(ERP資料!$G:$G, (MATCH(609, 輔助計算!$G$2:$G$801, 0)+1))&lt;100, IF(INDEX(ERP資料!$G:$G, (MATCH(609, 輔助計算!$G$2:$G$801, 0)+1))&lt;=31,3,IF(INDEX(ERP資料!$G:$G, (MATCH(609, 輔助計算!$G$2:$G$801, 0)+1))&lt;=46.5,2,1)), IF(INDEX(ERP資料!$G:$G, (MATCH(609, 輔助計算!$G$2:$G$801, 0)+1))&lt;=790,3,IF(INDEX(ERP資料!$G:$G, (MATCH(609, 輔助計算!$G$2:$G$801, 0)+1))&lt;=1181,2,1))))=0,"",IF(MOD(INDEX(輔助計算!$D:$D, (MATCH(609, 輔助計算!$G$2:$G$801, 0)+1)),IF(INDEX(ERP資料!$G:$G, (MATCH(609, 輔助計算!$G$2:$G$801, 0)+1))&lt;100, IF(INDEX(ERP資料!$G:$G, (MATCH(609, 輔助計算!$G$2:$G$801, 0)+1))&lt;=31,3,IF(INDEX(ERP資料!$G:$G, (MATCH(609, 輔助計算!$G$2:$G$801, 0)+1))&lt;=46.5,2,1)), IF(INDEX(ERP資料!$G:$G, (MATCH(609, 輔助計算!$G$2:$G$801, 0)+1))&lt;=790,3,IF(INDEX(ERP資料!$G:$G, (MATCH(609, 輔助計算!$G$2:$G$801, 0)+1))&lt;=1181,2,1))))=0,"",IF(MOD(INDEX(輔助計算!$D:$D, (MATCH(609, 輔助計算!$G$2:$G$801, 0)+1)),IF(INDEX(ERP資料!$G:$G, (MATCH(609, 輔助計算!$G$2:$G$801, 0)+1))&lt;100, IF(INDEX(ERP資料!$G:$G, (MATCH(609, 輔助計算!$G$2:$G$801, 0)+1))&lt;=31,3,IF(INDEX(ERP資料!$G:$G, (MATCH(609, 輔助計算!$G$2:$G$801, 0)+1))&lt;=46.5,2,1)), IF(INDEX(ERP資料!$G:$G, (MATCH(609, 輔助計算!$G$2:$G$801, 0)+1))&lt;=790,3,IF(INDEX(ERP資料!$G:$G, (MATCH(609, 輔助計算!$G$2:$G$801, 0)+1))&lt;=1181,2,1))))=1,TEXT(INDEX(ERP資料!$G:$G, (MATCH(609, 輔助計算!$G$2:$G$801, 0)+1)),"0.##"),IF(MOD(INDEX(輔助計算!$D:$D, (MATCH(609, 輔助計算!$G$2:$G$801, 0)+1)),IF(INDEX(ERP資料!$G:$G, (MATCH(609, 輔助計算!$G$2:$G$801, 0)+1))&lt;100, IF(INDEX(ERP資料!$G:$G, (MATCH(609, 輔助計算!$G$2:$G$801, 0)+1))&lt;=31,3,IF(INDEX(ERP資料!$G:$G, (MATCH(609, 輔助計算!$G$2:$G$801, 0)+1))&lt;=46.5,2,1)), IF(INDEX(ERP資料!$G:$G, (MATCH(609, 輔助計算!$G$2:$G$801, 0)+1))&lt;=790,3,IF(INDEX(ERP資料!$G:$G, (MATCH(609, 輔助計算!$G$2:$G$801, 0)+1))&lt;=1181,2,1))))=2,TEXT(INDEX(ERP資料!$G:$G, (MATCH(609, 輔助計算!$G$2:$G$801, 0)+1)),"0.##")&amp;"+"&amp;TEXT(INDEX(ERP資料!$G:$G, (MATCH(609, 輔助計算!$G$2:$G$801, 0)+1)),"0.##"),TEXT(INDEX(ERP資料!$G:$G, (MATCH(609, 輔助計算!$G$2:$G$801, 0)+1)),"0.##")&amp;"+"&amp;TEXT(INDEX(ERP資料!$G:$G, (MATCH(609, 輔助計算!$G$2:$G$801, 0)+1)),"0.##")&amp;"+"&amp;TEXT(INDEX(ERP資料!$G:$G, (MATCH(609, 輔助計算!$G$2:$G$801, 0)+1)),"0.##"))))&amp;"-1")), ""), "")</f>
        <v/>
      </c>
      <c r="K610" s="16" t="n"/>
      <c r="L610" s="14">
        <f>IFERROR(IF(AND(IFERROR(INDEX(ERP資料!$A:$A, (MATCH(609, 輔助計算!$G$2:$G$801, 0)+1)), "")&lt;&gt;"", IFERROR(INDEX(ERP資料!$A:$A, (MATCH(609, 輔助計算!$G$2:$G$801, 0)+1)), "")&lt;&gt;IFERROR(INDEX(ERP資料!$A:$A, MATCH(608, 輔助計算!$G$2:$G$801, 0)+1), "")), INDEX(ERP資料!$B:$B, (MATCH(609, 輔助計算!$G$2:$G$801, 0)+1)), ""), "")</f>
        <v/>
      </c>
      <c r="M610" s="17" t="n"/>
    </row>
    <row r="611">
      <c r="A611" s="10">
        <f>IFERROR(IF(AND(IFERROR(INDEX(ERP資料!$A:$A, (MATCH(610, 輔助計算!$G$2:$G$801, 0)+1)), "")&lt;&gt;"", IFERROR(INDEX(ERP資料!$A:$A, (MATCH(610, 輔助計算!$G$2:$G$801, 0)+1)), "")&lt;&gt;IFERROR(INDEX(ERP資料!$A:$A, MATCH(609, 輔助計算!$G$2:$G$801, 0)+1), "")), IFERROR(INDEX(ERP資料!$A:$A, (MATCH(610, 輔助計算!$G$2:$G$801, 0)+1)), ""), ""), "")</f>
        <v/>
      </c>
      <c r="B611" s="10">
        <f>IFERROR(IF(AND(IFERROR(INDEX(ERP資料!$A:$A, (MATCH(610, 輔助計算!$G$2:$G$801, 0)+1)), "")&lt;&gt;"", IFERROR(INDEX(ERP資料!$A:$A, (MATCH(610, 輔助計算!$G$2:$G$801, 0)+1)), "")&lt;&gt;IFERROR(INDEX(ERP資料!$A:$A, MATCH(609, 輔助計算!$G$2:$G$801, 0)+1), "")), INDEX(ERP資料!$S:$S, (MATCH(610, 輔助計算!$G$2:$G$801, 0)+1)), ""), "")</f>
        <v/>
      </c>
      <c r="C611" s="19">
        <f>IFERROR(IF(AND(IFERROR(INDEX(ERP資料!$A:$A, (MATCH(610, 輔助計算!$G$2:$G$801, 0)+1)), "")&lt;&gt;"", IFERROR(INDEX(ERP資料!$A:$A, (MATCH(610, 輔助計算!$G$2:$G$801, 0)+1)), "")&lt;&gt;IFERROR(INDEX(ERP資料!$A:$A, MATCH(609, 輔助計算!$G$2:$G$801, 0)+1), "")), IFERROR(VLOOKUP(LEFT(INDEX(ERP資料!$S:$S, (MATCH(610, 輔助計算!$G$2:$G$801, 0)+1)), 4), 紙管對照表!$A:$C, 3, FALSE), ""), ""), "")</f>
        <v/>
      </c>
      <c r="D611" s="16" t="n"/>
      <c r="E611" s="10">
        <f>IFERROR(IF(INDEX(ERP資料!$H:$H, (MATCH(610, 輔助計算!$G$2:$G$801, 0)+1))="","",INDEX(ERP資料!$H:$H, (MATCH(610, 輔助計算!$G$2:$G$801, 0)+1))), "")</f>
        <v/>
      </c>
      <c r="F611" s="10">
        <f>IFERROR(IF(INDEX(ERP資料!$E:$E, (MATCH(610, 輔助計算!$G$2:$G$801, 0)+1))="","",TRIM(INDEX(ERP資料!$E:$E, (MATCH(610, 輔助計算!$G$2:$G$801, 0)+1)))), "")</f>
        <v/>
      </c>
      <c r="G611" s="10">
        <f>IFERROR(IF(INDEX(ERP資料!$F:$F, (MATCH(610, 輔助計算!$G$2:$G$801, 0)+1))="","",INDEX(ERP資料!$F:$F, (MATCH(610, 輔助計算!$G$2:$G$801, 0)+1))), "")</f>
        <v/>
      </c>
      <c r="H611" s="10">
        <f>IFERROR(IF(INDEX(ERP資料!$G:$G, (MATCH(610, 輔助計算!$G$2:$G$801, 0)+1))="","",INDEX(ERP資料!$G:$G, (MATCH(610, 輔助計算!$G$2:$G$801, 0)+1))), "")</f>
        <v/>
      </c>
      <c r="I611" s="15">
        <f>IFERROR(INDEX(輔助計算!$D:$D, (MATCH(610, 輔助計算!$G$2:$G$801, 0)+1)), "")</f>
        <v/>
      </c>
      <c r="J611" s="15">
        <f>IFERROR(IF(AND(INDEX(輔助計算!$D:$D, (MATCH(610, 輔助計算!$G$2:$G$801, 0)+1))&lt;&gt;"", INDEX(ERP資料!$G:$G, (MATCH(610, 輔助計算!$G$2:$G$801, 0)+1))&lt;&gt;""), TRIM(IF(INT(INDEX(輔助計算!$D:$D, (MATCH(610, 輔助計算!$G$2:$G$801, 0)+1))/IF(INDEX(ERP資料!$G:$G, (MATCH(610, 輔助計算!$G$2:$G$801, 0)+1))&lt;100, IF(INDEX(ERP資料!$G:$G, (MATCH(610, 輔助計算!$G$2:$G$801, 0)+1))&lt;=31,3,IF(INDEX(ERP資料!$G:$G, (MATCH(610, 輔助計算!$G$2:$G$801, 0)+1))&lt;=46.5,2,1)), IF(INDEX(ERP資料!$G:$G, (MATCH(610, 輔助計算!$G$2:$G$801, 0)+1))&lt;=790,3,IF(INDEX(ERP資料!$G:$G, (MATCH(610, 輔助計算!$G$2:$G$801, 0)+1))&lt;=1181,2,1))))&gt;0, IF(IF(INDEX(ERP資料!$G:$G, (MATCH(610, 輔助計算!$G$2:$G$801, 0)+1))&lt;100, IF(INDEX(ERP資料!$G:$G, (MATCH(610, 輔助計算!$G$2:$G$801, 0)+1))&lt;=31,3,IF(INDEX(ERP資料!$G:$G, (MATCH(610, 輔助計算!$G$2:$G$801, 0)+1))&lt;=46.5,2,1)), IF(INDEX(ERP資料!$G:$G, (MATCH(610, 輔助計算!$G$2:$G$801, 0)+1))&lt;=790,3,IF(INDEX(ERP資料!$G:$G, (MATCH(610, 輔助計算!$G$2:$G$801, 0)+1))&lt;=1181,2,1)))=1,TEXT(INDEX(ERP資料!$G:$G, (MATCH(610, 輔助計算!$G$2:$G$801, 0)+1)),"0.##"),IF(IF(INDEX(ERP資料!$G:$G, (MATCH(610, 輔助計算!$G$2:$G$801, 0)+1))&lt;100, IF(INDEX(ERP資料!$G:$G, (MATCH(610, 輔助計算!$G$2:$G$801, 0)+1))&lt;=31,3,IF(INDEX(ERP資料!$G:$G, (MATCH(610, 輔助計算!$G$2:$G$801, 0)+1))&lt;=46.5,2,1)), IF(INDEX(ERP資料!$G:$G, (MATCH(610, 輔助計算!$G$2:$G$801, 0)+1))&lt;=790,3,IF(INDEX(ERP資料!$G:$G, (MATCH(610, 輔助計算!$G$2:$G$801, 0)+1))&lt;=1181,2,1)))=2,TEXT(INDEX(ERP資料!$G:$G, (MATCH(610, 輔助計算!$G$2:$G$801, 0)+1)),"0.##")&amp;"+"&amp;TEXT(INDEX(ERP資料!$G:$G, (MATCH(610, 輔助計算!$G$2:$G$801, 0)+1)),"0.##"),TEXT(INDEX(ERP資料!$G:$G, (MATCH(610, 輔助計算!$G$2:$G$801, 0)+1)),"0.##")&amp;"+"&amp;TEXT(INDEX(ERP資料!$G:$G, (MATCH(610, 輔助計算!$G$2:$G$801, 0)+1)),"0.##")&amp;"+"&amp;TEXT(INDEX(ERP資料!$G:$G, (MATCH(610, 輔助計算!$G$2:$G$801, 0)+1)),"0.##")))&amp;"-"&amp;INT(INDEX(輔助計算!$D:$D, (MATCH(610, 輔助計算!$G$2:$G$801, 0)+1))/IF(INDEX(ERP資料!$G:$G, (MATCH(610, 輔助計算!$G$2:$G$801, 0)+1))&lt;100, IF(INDEX(ERP資料!$G:$G, (MATCH(610, 輔助計算!$G$2:$G$801, 0)+1))&lt;=31,3,IF(INDEX(ERP資料!$G:$G, (MATCH(610, 輔助計算!$G$2:$G$801, 0)+1))&lt;=46.5,2,1)), IF(INDEX(ERP資料!$G:$G, (MATCH(610, 輔助計算!$G$2:$G$801, 0)+1))&lt;=790,3,IF(INDEX(ERP資料!$G:$G, (MATCH(610, 輔助計算!$G$2:$G$801, 0)+1))&lt;=1181,2,1)))), "")&amp;IF(AND(IF(INT(INDEX(輔助計算!$D:$D, (MATCH(610, 輔助計算!$G$2:$G$801, 0)+1))/IF(INDEX(ERP資料!$G:$G, (MATCH(610, 輔助計算!$G$2:$G$801, 0)+1))&lt;100, IF(INDEX(ERP資料!$G:$G, (MATCH(610, 輔助計算!$G$2:$G$801, 0)+1))&lt;=31,3,IF(INDEX(ERP資料!$G:$G, (MATCH(610, 輔助計算!$G$2:$G$801, 0)+1))&lt;=46.5,2,1)), IF(INDEX(ERP資料!$G:$G, (MATCH(610, 輔助計算!$G$2:$G$801, 0)+1))&lt;=790,3,IF(INDEX(ERP資料!$G:$G, (MATCH(610, 輔助計算!$G$2:$G$801, 0)+1))&lt;=1181,2,1))))&gt;0, IF(IF(INDEX(ERP資料!$G:$G, (MATCH(610, 輔助計算!$G$2:$G$801, 0)+1))&lt;100, IF(INDEX(ERP資料!$G:$G, (MATCH(610, 輔助計算!$G$2:$G$801, 0)+1))&lt;=31,3,IF(INDEX(ERP資料!$G:$G, (MATCH(610, 輔助計算!$G$2:$G$801, 0)+1))&lt;=46.5,2,1)), IF(INDEX(ERP資料!$G:$G, (MATCH(610, 輔助計算!$G$2:$G$801, 0)+1))&lt;=790,3,IF(INDEX(ERP資料!$G:$G, (MATCH(610, 輔助計算!$G$2:$G$801, 0)+1))&lt;=1181,2,1)))=1,TEXT(INDEX(ERP資料!$G:$G, (MATCH(610, 輔助計算!$G$2:$G$801, 0)+1)),"0.##"),IF(IF(INDEX(ERP資料!$G:$G, (MATCH(610, 輔助計算!$G$2:$G$801, 0)+1))&lt;100, IF(INDEX(ERP資料!$G:$G, (MATCH(610, 輔助計算!$G$2:$G$801, 0)+1))&lt;=31,3,IF(INDEX(ERP資料!$G:$G, (MATCH(610, 輔助計算!$G$2:$G$801, 0)+1))&lt;=46.5,2,1)), IF(INDEX(ERP資料!$G:$G, (MATCH(610, 輔助計算!$G$2:$G$801, 0)+1))&lt;=790,3,IF(INDEX(ERP資料!$G:$G, (MATCH(610, 輔助計算!$G$2:$G$801, 0)+1))&lt;=1181,2,1)))=2,TEXT(INDEX(ERP資料!$G:$G, (MATCH(610, 輔助計算!$G$2:$G$801, 0)+1)),"0.##")&amp;"+"&amp;TEXT(INDEX(ERP資料!$G:$G, (MATCH(610, 輔助計算!$G$2:$G$801, 0)+1)),"0.##"),TEXT(INDEX(ERP資料!$G:$G, (MATCH(610, 輔助計算!$G$2:$G$801, 0)+1)),"0.##")&amp;"+"&amp;TEXT(INDEX(ERP資料!$G:$G, (MATCH(610, 輔助計算!$G$2:$G$801, 0)+1)),"0.##")&amp;"+"&amp;TEXT(INDEX(ERP資料!$G:$G, (MATCH(610, 輔助計算!$G$2:$G$801, 0)+1)),"0.##")))&amp;"-"&amp;INT(INDEX(輔助計算!$D:$D, (MATCH(610, 輔助計算!$G$2:$G$801, 0)+1))/IF(INDEX(ERP資料!$G:$G, (MATCH(610, 輔助計算!$G$2:$G$801, 0)+1))&lt;100, IF(INDEX(ERP資料!$G:$G, (MATCH(610, 輔助計算!$G$2:$G$801, 0)+1))&lt;=31,3,IF(INDEX(ERP資料!$G:$G, (MATCH(610, 輔助計算!$G$2:$G$801, 0)+1))&lt;=46.5,2,1)), IF(INDEX(ERP資料!$G:$G, (MATCH(610, 輔助計算!$G$2:$G$801, 0)+1))&lt;=790,3,IF(INDEX(ERP資料!$G:$G, (MATCH(610, 輔助計算!$G$2:$G$801, 0)+1))&lt;=1181,2,1)))), "")&lt;&gt;"",IF(MOD(INDEX(輔助計算!$D:$D, (MATCH(610, 輔助計算!$G$2:$G$801, 0)+1)),IF(INDEX(ERP資料!$G:$G, (MATCH(610, 輔助計算!$G$2:$G$801, 0)+1))&lt;100, IF(INDEX(ERP資料!$G:$G, (MATCH(610, 輔助計算!$G$2:$G$801, 0)+1))&lt;=31,3,IF(INDEX(ERP資料!$G:$G, (MATCH(610, 輔助計算!$G$2:$G$801, 0)+1))&lt;=46.5,2,1)), IF(INDEX(ERP資料!$G:$G, (MATCH(610, 輔助計算!$G$2:$G$801, 0)+1))&lt;=790,3,IF(INDEX(ERP資料!$G:$G, (MATCH(610, 輔助計算!$G$2:$G$801, 0)+1))&lt;=1181,2,1))))=0,"",IF(MOD(INDEX(輔助計算!$D:$D, (MATCH(610, 輔助計算!$G$2:$G$801, 0)+1)),IF(INDEX(ERP資料!$G:$G, (MATCH(610, 輔助計算!$G$2:$G$801, 0)+1))&lt;100, IF(INDEX(ERP資料!$G:$G, (MATCH(610, 輔助計算!$G$2:$G$801, 0)+1))&lt;=31,3,IF(INDEX(ERP資料!$G:$G, (MATCH(610, 輔助計算!$G$2:$G$801, 0)+1))&lt;=46.5,2,1)), IF(INDEX(ERP資料!$G:$G, (MATCH(610, 輔助計算!$G$2:$G$801, 0)+1))&lt;=790,3,IF(INDEX(ERP資料!$G:$G, (MATCH(610, 輔助計算!$G$2:$G$801, 0)+1))&lt;=1181,2,1))))=0,"",IF(MOD(INDEX(輔助計算!$D:$D, (MATCH(610, 輔助計算!$G$2:$G$801, 0)+1)),IF(INDEX(ERP資料!$G:$G, (MATCH(610, 輔助計算!$G$2:$G$801, 0)+1))&lt;100, IF(INDEX(ERP資料!$G:$G, (MATCH(610, 輔助計算!$G$2:$G$801, 0)+1))&lt;=31,3,IF(INDEX(ERP資料!$G:$G, (MATCH(610, 輔助計算!$G$2:$G$801, 0)+1))&lt;=46.5,2,1)), IF(INDEX(ERP資料!$G:$G, (MATCH(610, 輔助計算!$G$2:$G$801, 0)+1))&lt;=790,3,IF(INDEX(ERP資料!$G:$G, (MATCH(610, 輔助計算!$G$2:$G$801, 0)+1))&lt;=1181,2,1))))=1,TEXT(INDEX(ERP資料!$G:$G, (MATCH(610, 輔助計算!$G$2:$G$801, 0)+1)),"0.##"),IF(MOD(INDEX(輔助計算!$D:$D, (MATCH(610, 輔助計算!$G$2:$G$801, 0)+1)),IF(INDEX(ERP資料!$G:$G, (MATCH(610, 輔助計算!$G$2:$G$801, 0)+1))&lt;100, IF(INDEX(ERP資料!$G:$G, (MATCH(610, 輔助計算!$G$2:$G$801, 0)+1))&lt;=31,3,IF(INDEX(ERP資料!$G:$G, (MATCH(610, 輔助計算!$G$2:$G$801, 0)+1))&lt;=46.5,2,1)), IF(INDEX(ERP資料!$G:$G, (MATCH(610, 輔助計算!$G$2:$G$801, 0)+1))&lt;=790,3,IF(INDEX(ERP資料!$G:$G, (MATCH(610, 輔助計算!$G$2:$G$801, 0)+1))&lt;=1181,2,1))))=2,TEXT(INDEX(ERP資料!$G:$G, (MATCH(610, 輔助計算!$G$2:$G$801, 0)+1)),"0.##")&amp;"+"&amp;TEXT(INDEX(ERP資料!$G:$G, (MATCH(610, 輔助計算!$G$2:$G$801, 0)+1)),"0.##"),TEXT(INDEX(ERP資料!$G:$G, (MATCH(610, 輔助計算!$G$2:$G$801, 0)+1)),"0.##")&amp;"+"&amp;TEXT(INDEX(ERP資料!$G:$G, (MATCH(610, 輔助計算!$G$2:$G$801, 0)+1)),"0.##")&amp;"+"&amp;TEXT(INDEX(ERP資料!$G:$G, (MATCH(610, 輔助計算!$G$2:$G$801, 0)+1)),"0.##"))))&amp;"-1")&lt;&gt;""),"  ","")&amp;IF(MOD(INDEX(輔助計算!$D:$D, (MATCH(610, 輔助計算!$G$2:$G$801, 0)+1)),IF(INDEX(ERP資料!$G:$G, (MATCH(610, 輔助計算!$G$2:$G$801, 0)+1))&lt;100, IF(INDEX(ERP資料!$G:$G, (MATCH(610, 輔助計算!$G$2:$G$801, 0)+1))&lt;=31,3,IF(INDEX(ERP資料!$G:$G, (MATCH(610, 輔助計算!$G$2:$G$801, 0)+1))&lt;=46.5,2,1)), IF(INDEX(ERP資料!$G:$G, (MATCH(610, 輔助計算!$G$2:$G$801, 0)+1))&lt;=790,3,IF(INDEX(ERP資料!$G:$G, (MATCH(610, 輔助計算!$G$2:$G$801, 0)+1))&lt;=1181,2,1))))=0,"",IF(MOD(INDEX(輔助計算!$D:$D, (MATCH(610, 輔助計算!$G$2:$G$801, 0)+1)),IF(INDEX(ERP資料!$G:$G, (MATCH(610, 輔助計算!$G$2:$G$801, 0)+1))&lt;100, IF(INDEX(ERP資料!$G:$G, (MATCH(610, 輔助計算!$G$2:$G$801, 0)+1))&lt;=31,3,IF(INDEX(ERP資料!$G:$G, (MATCH(610, 輔助計算!$G$2:$G$801, 0)+1))&lt;=46.5,2,1)), IF(INDEX(ERP資料!$G:$G, (MATCH(610, 輔助計算!$G$2:$G$801, 0)+1))&lt;=790,3,IF(INDEX(ERP資料!$G:$G, (MATCH(610, 輔助計算!$G$2:$G$801, 0)+1))&lt;=1181,2,1))))=0,"",IF(MOD(INDEX(輔助計算!$D:$D, (MATCH(610, 輔助計算!$G$2:$G$801, 0)+1)),IF(INDEX(ERP資料!$G:$G, (MATCH(610, 輔助計算!$G$2:$G$801, 0)+1))&lt;100, IF(INDEX(ERP資料!$G:$G, (MATCH(610, 輔助計算!$G$2:$G$801, 0)+1))&lt;=31,3,IF(INDEX(ERP資料!$G:$G, (MATCH(610, 輔助計算!$G$2:$G$801, 0)+1))&lt;=46.5,2,1)), IF(INDEX(ERP資料!$G:$G, (MATCH(610, 輔助計算!$G$2:$G$801, 0)+1))&lt;=790,3,IF(INDEX(ERP資料!$G:$G, (MATCH(610, 輔助計算!$G$2:$G$801, 0)+1))&lt;=1181,2,1))))=1,TEXT(INDEX(ERP資料!$G:$G, (MATCH(610, 輔助計算!$G$2:$G$801, 0)+1)),"0.##"),IF(MOD(INDEX(輔助計算!$D:$D, (MATCH(610, 輔助計算!$G$2:$G$801, 0)+1)),IF(INDEX(ERP資料!$G:$G, (MATCH(610, 輔助計算!$G$2:$G$801, 0)+1))&lt;100, IF(INDEX(ERP資料!$G:$G, (MATCH(610, 輔助計算!$G$2:$G$801, 0)+1))&lt;=31,3,IF(INDEX(ERP資料!$G:$G, (MATCH(610, 輔助計算!$G$2:$G$801, 0)+1))&lt;=46.5,2,1)), IF(INDEX(ERP資料!$G:$G, (MATCH(610, 輔助計算!$G$2:$G$801, 0)+1))&lt;=790,3,IF(INDEX(ERP資料!$G:$G, (MATCH(610, 輔助計算!$G$2:$G$801, 0)+1))&lt;=1181,2,1))))=2,TEXT(INDEX(ERP資料!$G:$G, (MATCH(610, 輔助計算!$G$2:$G$801, 0)+1)),"0.##")&amp;"+"&amp;TEXT(INDEX(ERP資料!$G:$G, (MATCH(610, 輔助計算!$G$2:$G$801, 0)+1)),"0.##"),TEXT(INDEX(ERP資料!$G:$G, (MATCH(610, 輔助計算!$G$2:$G$801, 0)+1)),"0.##")&amp;"+"&amp;TEXT(INDEX(ERP資料!$G:$G, (MATCH(610, 輔助計算!$G$2:$G$801, 0)+1)),"0.##")&amp;"+"&amp;TEXT(INDEX(ERP資料!$G:$G, (MATCH(610, 輔助計算!$G$2:$G$801, 0)+1)),"0.##"))))&amp;"-1")), ""), "")</f>
        <v/>
      </c>
      <c r="K611" s="16" t="n"/>
      <c r="L611" s="14">
        <f>IFERROR(IF(AND(IFERROR(INDEX(ERP資料!$A:$A, (MATCH(610, 輔助計算!$G$2:$G$801, 0)+1)), "")&lt;&gt;"", IFERROR(INDEX(ERP資料!$A:$A, (MATCH(610, 輔助計算!$G$2:$G$801, 0)+1)), "")&lt;&gt;IFERROR(INDEX(ERP資料!$A:$A, MATCH(609, 輔助計算!$G$2:$G$801, 0)+1), "")), INDEX(ERP資料!$B:$B, (MATCH(610, 輔助計算!$G$2:$G$801, 0)+1)), ""), "")</f>
        <v/>
      </c>
      <c r="M611" s="17" t="n"/>
    </row>
    <row r="612">
      <c r="A612" s="10">
        <f>IFERROR(IF(AND(IFERROR(INDEX(ERP資料!$A:$A, (MATCH(611, 輔助計算!$G$2:$G$801, 0)+1)), "")&lt;&gt;"", IFERROR(INDEX(ERP資料!$A:$A, (MATCH(611, 輔助計算!$G$2:$G$801, 0)+1)), "")&lt;&gt;IFERROR(INDEX(ERP資料!$A:$A, MATCH(610, 輔助計算!$G$2:$G$801, 0)+1), "")), IFERROR(INDEX(ERP資料!$A:$A, (MATCH(611, 輔助計算!$G$2:$G$801, 0)+1)), ""), ""), "")</f>
        <v/>
      </c>
      <c r="B612" s="10">
        <f>IFERROR(IF(AND(IFERROR(INDEX(ERP資料!$A:$A, (MATCH(611, 輔助計算!$G$2:$G$801, 0)+1)), "")&lt;&gt;"", IFERROR(INDEX(ERP資料!$A:$A, (MATCH(611, 輔助計算!$G$2:$G$801, 0)+1)), "")&lt;&gt;IFERROR(INDEX(ERP資料!$A:$A, MATCH(610, 輔助計算!$G$2:$G$801, 0)+1), "")), INDEX(ERP資料!$S:$S, (MATCH(611, 輔助計算!$G$2:$G$801, 0)+1)), ""), "")</f>
        <v/>
      </c>
      <c r="C612" s="19">
        <f>IFERROR(IF(AND(IFERROR(INDEX(ERP資料!$A:$A, (MATCH(611, 輔助計算!$G$2:$G$801, 0)+1)), "")&lt;&gt;"", IFERROR(INDEX(ERP資料!$A:$A, (MATCH(611, 輔助計算!$G$2:$G$801, 0)+1)), "")&lt;&gt;IFERROR(INDEX(ERP資料!$A:$A, MATCH(610, 輔助計算!$G$2:$G$801, 0)+1), "")), IFERROR(VLOOKUP(LEFT(INDEX(ERP資料!$S:$S, (MATCH(611, 輔助計算!$G$2:$G$801, 0)+1)), 4), 紙管對照表!$A:$C, 3, FALSE), ""), ""), "")</f>
        <v/>
      </c>
      <c r="D612" s="16" t="n"/>
      <c r="E612" s="10">
        <f>IFERROR(IF(INDEX(ERP資料!$H:$H, (MATCH(611, 輔助計算!$G$2:$G$801, 0)+1))="","",INDEX(ERP資料!$H:$H, (MATCH(611, 輔助計算!$G$2:$G$801, 0)+1))), "")</f>
        <v/>
      </c>
      <c r="F612" s="10">
        <f>IFERROR(IF(INDEX(ERP資料!$E:$E, (MATCH(611, 輔助計算!$G$2:$G$801, 0)+1))="","",TRIM(INDEX(ERP資料!$E:$E, (MATCH(611, 輔助計算!$G$2:$G$801, 0)+1)))), "")</f>
        <v/>
      </c>
      <c r="G612" s="10">
        <f>IFERROR(IF(INDEX(ERP資料!$F:$F, (MATCH(611, 輔助計算!$G$2:$G$801, 0)+1))="","",INDEX(ERP資料!$F:$F, (MATCH(611, 輔助計算!$G$2:$G$801, 0)+1))), "")</f>
        <v/>
      </c>
      <c r="H612" s="10">
        <f>IFERROR(IF(INDEX(ERP資料!$G:$G, (MATCH(611, 輔助計算!$G$2:$G$801, 0)+1))="","",INDEX(ERP資料!$G:$G, (MATCH(611, 輔助計算!$G$2:$G$801, 0)+1))), "")</f>
        <v/>
      </c>
      <c r="I612" s="15">
        <f>IFERROR(INDEX(輔助計算!$D:$D, (MATCH(611, 輔助計算!$G$2:$G$801, 0)+1)), "")</f>
        <v/>
      </c>
      <c r="J612" s="15">
        <f>IFERROR(IF(AND(INDEX(輔助計算!$D:$D, (MATCH(611, 輔助計算!$G$2:$G$801, 0)+1))&lt;&gt;"", INDEX(ERP資料!$G:$G, (MATCH(611, 輔助計算!$G$2:$G$801, 0)+1))&lt;&gt;""), TRIM(IF(INT(INDEX(輔助計算!$D:$D, (MATCH(611, 輔助計算!$G$2:$G$801, 0)+1))/IF(INDEX(ERP資料!$G:$G, (MATCH(611, 輔助計算!$G$2:$G$801, 0)+1))&lt;100, IF(INDEX(ERP資料!$G:$G, (MATCH(611, 輔助計算!$G$2:$G$801, 0)+1))&lt;=31,3,IF(INDEX(ERP資料!$G:$G, (MATCH(611, 輔助計算!$G$2:$G$801, 0)+1))&lt;=46.5,2,1)), IF(INDEX(ERP資料!$G:$G, (MATCH(611, 輔助計算!$G$2:$G$801, 0)+1))&lt;=790,3,IF(INDEX(ERP資料!$G:$G, (MATCH(611, 輔助計算!$G$2:$G$801, 0)+1))&lt;=1181,2,1))))&gt;0, IF(IF(INDEX(ERP資料!$G:$G, (MATCH(611, 輔助計算!$G$2:$G$801, 0)+1))&lt;100, IF(INDEX(ERP資料!$G:$G, (MATCH(611, 輔助計算!$G$2:$G$801, 0)+1))&lt;=31,3,IF(INDEX(ERP資料!$G:$G, (MATCH(611, 輔助計算!$G$2:$G$801, 0)+1))&lt;=46.5,2,1)), IF(INDEX(ERP資料!$G:$G, (MATCH(611, 輔助計算!$G$2:$G$801, 0)+1))&lt;=790,3,IF(INDEX(ERP資料!$G:$G, (MATCH(611, 輔助計算!$G$2:$G$801, 0)+1))&lt;=1181,2,1)))=1,TEXT(INDEX(ERP資料!$G:$G, (MATCH(611, 輔助計算!$G$2:$G$801, 0)+1)),"0.##"),IF(IF(INDEX(ERP資料!$G:$G, (MATCH(611, 輔助計算!$G$2:$G$801, 0)+1))&lt;100, IF(INDEX(ERP資料!$G:$G, (MATCH(611, 輔助計算!$G$2:$G$801, 0)+1))&lt;=31,3,IF(INDEX(ERP資料!$G:$G, (MATCH(611, 輔助計算!$G$2:$G$801, 0)+1))&lt;=46.5,2,1)), IF(INDEX(ERP資料!$G:$G, (MATCH(611, 輔助計算!$G$2:$G$801, 0)+1))&lt;=790,3,IF(INDEX(ERP資料!$G:$G, (MATCH(611, 輔助計算!$G$2:$G$801, 0)+1))&lt;=1181,2,1)))=2,TEXT(INDEX(ERP資料!$G:$G, (MATCH(611, 輔助計算!$G$2:$G$801, 0)+1)),"0.##")&amp;"+"&amp;TEXT(INDEX(ERP資料!$G:$G, (MATCH(611, 輔助計算!$G$2:$G$801, 0)+1)),"0.##"),TEXT(INDEX(ERP資料!$G:$G, (MATCH(611, 輔助計算!$G$2:$G$801, 0)+1)),"0.##")&amp;"+"&amp;TEXT(INDEX(ERP資料!$G:$G, (MATCH(611, 輔助計算!$G$2:$G$801, 0)+1)),"0.##")&amp;"+"&amp;TEXT(INDEX(ERP資料!$G:$G, (MATCH(611, 輔助計算!$G$2:$G$801, 0)+1)),"0.##")))&amp;"-"&amp;INT(INDEX(輔助計算!$D:$D, (MATCH(611, 輔助計算!$G$2:$G$801, 0)+1))/IF(INDEX(ERP資料!$G:$G, (MATCH(611, 輔助計算!$G$2:$G$801, 0)+1))&lt;100, IF(INDEX(ERP資料!$G:$G, (MATCH(611, 輔助計算!$G$2:$G$801, 0)+1))&lt;=31,3,IF(INDEX(ERP資料!$G:$G, (MATCH(611, 輔助計算!$G$2:$G$801, 0)+1))&lt;=46.5,2,1)), IF(INDEX(ERP資料!$G:$G, (MATCH(611, 輔助計算!$G$2:$G$801, 0)+1))&lt;=790,3,IF(INDEX(ERP資料!$G:$G, (MATCH(611, 輔助計算!$G$2:$G$801, 0)+1))&lt;=1181,2,1)))), "")&amp;IF(AND(IF(INT(INDEX(輔助計算!$D:$D, (MATCH(611, 輔助計算!$G$2:$G$801, 0)+1))/IF(INDEX(ERP資料!$G:$G, (MATCH(611, 輔助計算!$G$2:$G$801, 0)+1))&lt;100, IF(INDEX(ERP資料!$G:$G, (MATCH(611, 輔助計算!$G$2:$G$801, 0)+1))&lt;=31,3,IF(INDEX(ERP資料!$G:$G, (MATCH(611, 輔助計算!$G$2:$G$801, 0)+1))&lt;=46.5,2,1)), IF(INDEX(ERP資料!$G:$G, (MATCH(611, 輔助計算!$G$2:$G$801, 0)+1))&lt;=790,3,IF(INDEX(ERP資料!$G:$G, (MATCH(611, 輔助計算!$G$2:$G$801, 0)+1))&lt;=1181,2,1))))&gt;0, IF(IF(INDEX(ERP資料!$G:$G, (MATCH(611, 輔助計算!$G$2:$G$801, 0)+1))&lt;100, IF(INDEX(ERP資料!$G:$G, (MATCH(611, 輔助計算!$G$2:$G$801, 0)+1))&lt;=31,3,IF(INDEX(ERP資料!$G:$G, (MATCH(611, 輔助計算!$G$2:$G$801, 0)+1))&lt;=46.5,2,1)), IF(INDEX(ERP資料!$G:$G, (MATCH(611, 輔助計算!$G$2:$G$801, 0)+1))&lt;=790,3,IF(INDEX(ERP資料!$G:$G, (MATCH(611, 輔助計算!$G$2:$G$801, 0)+1))&lt;=1181,2,1)))=1,TEXT(INDEX(ERP資料!$G:$G, (MATCH(611, 輔助計算!$G$2:$G$801, 0)+1)),"0.##"),IF(IF(INDEX(ERP資料!$G:$G, (MATCH(611, 輔助計算!$G$2:$G$801, 0)+1))&lt;100, IF(INDEX(ERP資料!$G:$G, (MATCH(611, 輔助計算!$G$2:$G$801, 0)+1))&lt;=31,3,IF(INDEX(ERP資料!$G:$G, (MATCH(611, 輔助計算!$G$2:$G$801, 0)+1))&lt;=46.5,2,1)), IF(INDEX(ERP資料!$G:$G, (MATCH(611, 輔助計算!$G$2:$G$801, 0)+1))&lt;=790,3,IF(INDEX(ERP資料!$G:$G, (MATCH(611, 輔助計算!$G$2:$G$801, 0)+1))&lt;=1181,2,1)))=2,TEXT(INDEX(ERP資料!$G:$G, (MATCH(611, 輔助計算!$G$2:$G$801, 0)+1)),"0.##")&amp;"+"&amp;TEXT(INDEX(ERP資料!$G:$G, (MATCH(611, 輔助計算!$G$2:$G$801, 0)+1)),"0.##"),TEXT(INDEX(ERP資料!$G:$G, (MATCH(611, 輔助計算!$G$2:$G$801, 0)+1)),"0.##")&amp;"+"&amp;TEXT(INDEX(ERP資料!$G:$G, (MATCH(611, 輔助計算!$G$2:$G$801, 0)+1)),"0.##")&amp;"+"&amp;TEXT(INDEX(ERP資料!$G:$G, (MATCH(611, 輔助計算!$G$2:$G$801, 0)+1)),"0.##")))&amp;"-"&amp;INT(INDEX(輔助計算!$D:$D, (MATCH(611, 輔助計算!$G$2:$G$801, 0)+1))/IF(INDEX(ERP資料!$G:$G, (MATCH(611, 輔助計算!$G$2:$G$801, 0)+1))&lt;100, IF(INDEX(ERP資料!$G:$G, (MATCH(611, 輔助計算!$G$2:$G$801, 0)+1))&lt;=31,3,IF(INDEX(ERP資料!$G:$G, (MATCH(611, 輔助計算!$G$2:$G$801, 0)+1))&lt;=46.5,2,1)), IF(INDEX(ERP資料!$G:$G, (MATCH(611, 輔助計算!$G$2:$G$801, 0)+1))&lt;=790,3,IF(INDEX(ERP資料!$G:$G, (MATCH(611, 輔助計算!$G$2:$G$801, 0)+1))&lt;=1181,2,1)))), "")&lt;&gt;"",IF(MOD(INDEX(輔助計算!$D:$D, (MATCH(611, 輔助計算!$G$2:$G$801, 0)+1)),IF(INDEX(ERP資料!$G:$G, (MATCH(611, 輔助計算!$G$2:$G$801, 0)+1))&lt;100, IF(INDEX(ERP資料!$G:$G, (MATCH(611, 輔助計算!$G$2:$G$801, 0)+1))&lt;=31,3,IF(INDEX(ERP資料!$G:$G, (MATCH(611, 輔助計算!$G$2:$G$801, 0)+1))&lt;=46.5,2,1)), IF(INDEX(ERP資料!$G:$G, (MATCH(611, 輔助計算!$G$2:$G$801, 0)+1))&lt;=790,3,IF(INDEX(ERP資料!$G:$G, (MATCH(611, 輔助計算!$G$2:$G$801, 0)+1))&lt;=1181,2,1))))=0,"",IF(MOD(INDEX(輔助計算!$D:$D, (MATCH(611, 輔助計算!$G$2:$G$801, 0)+1)),IF(INDEX(ERP資料!$G:$G, (MATCH(611, 輔助計算!$G$2:$G$801, 0)+1))&lt;100, IF(INDEX(ERP資料!$G:$G, (MATCH(611, 輔助計算!$G$2:$G$801, 0)+1))&lt;=31,3,IF(INDEX(ERP資料!$G:$G, (MATCH(611, 輔助計算!$G$2:$G$801, 0)+1))&lt;=46.5,2,1)), IF(INDEX(ERP資料!$G:$G, (MATCH(611, 輔助計算!$G$2:$G$801, 0)+1))&lt;=790,3,IF(INDEX(ERP資料!$G:$G, (MATCH(611, 輔助計算!$G$2:$G$801, 0)+1))&lt;=1181,2,1))))=0,"",IF(MOD(INDEX(輔助計算!$D:$D, (MATCH(611, 輔助計算!$G$2:$G$801, 0)+1)),IF(INDEX(ERP資料!$G:$G, (MATCH(611, 輔助計算!$G$2:$G$801, 0)+1))&lt;100, IF(INDEX(ERP資料!$G:$G, (MATCH(611, 輔助計算!$G$2:$G$801, 0)+1))&lt;=31,3,IF(INDEX(ERP資料!$G:$G, (MATCH(611, 輔助計算!$G$2:$G$801, 0)+1))&lt;=46.5,2,1)), IF(INDEX(ERP資料!$G:$G, (MATCH(611, 輔助計算!$G$2:$G$801, 0)+1))&lt;=790,3,IF(INDEX(ERP資料!$G:$G, (MATCH(611, 輔助計算!$G$2:$G$801, 0)+1))&lt;=1181,2,1))))=1,TEXT(INDEX(ERP資料!$G:$G, (MATCH(611, 輔助計算!$G$2:$G$801, 0)+1)),"0.##"),IF(MOD(INDEX(輔助計算!$D:$D, (MATCH(611, 輔助計算!$G$2:$G$801, 0)+1)),IF(INDEX(ERP資料!$G:$G, (MATCH(611, 輔助計算!$G$2:$G$801, 0)+1))&lt;100, IF(INDEX(ERP資料!$G:$G, (MATCH(611, 輔助計算!$G$2:$G$801, 0)+1))&lt;=31,3,IF(INDEX(ERP資料!$G:$G, (MATCH(611, 輔助計算!$G$2:$G$801, 0)+1))&lt;=46.5,2,1)), IF(INDEX(ERP資料!$G:$G, (MATCH(611, 輔助計算!$G$2:$G$801, 0)+1))&lt;=790,3,IF(INDEX(ERP資料!$G:$G, (MATCH(611, 輔助計算!$G$2:$G$801, 0)+1))&lt;=1181,2,1))))=2,TEXT(INDEX(ERP資料!$G:$G, (MATCH(611, 輔助計算!$G$2:$G$801, 0)+1)),"0.##")&amp;"+"&amp;TEXT(INDEX(ERP資料!$G:$G, (MATCH(611, 輔助計算!$G$2:$G$801, 0)+1)),"0.##"),TEXT(INDEX(ERP資料!$G:$G, (MATCH(611, 輔助計算!$G$2:$G$801, 0)+1)),"0.##")&amp;"+"&amp;TEXT(INDEX(ERP資料!$G:$G, (MATCH(611, 輔助計算!$G$2:$G$801, 0)+1)),"0.##")&amp;"+"&amp;TEXT(INDEX(ERP資料!$G:$G, (MATCH(611, 輔助計算!$G$2:$G$801, 0)+1)),"0.##"))))&amp;"-1")&lt;&gt;""),"  ","")&amp;IF(MOD(INDEX(輔助計算!$D:$D, (MATCH(611, 輔助計算!$G$2:$G$801, 0)+1)),IF(INDEX(ERP資料!$G:$G, (MATCH(611, 輔助計算!$G$2:$G$801, 0)+1))&lt;100, IF(INDEX(ERP資料!$G:$G, (MATCH(611, 輔助計算!$G$2:$G$801, 0)+1))&lt;=31,3,IF(INDEX(ERP資料!$G:$G, (MATCH(611, 輔助計算!$G$2:$G$801, 0)+1))&lt;=46.5,2,1)), IF(INDEX(ERP資料!$G:$G, (MATCH(611, 輔助計算!$G$2:$G$801, 0)+1))&lt;=790,3,IF(INDEX(ERP資料!$G:$G, (MATCH(611, 輔助計算!$G$2:$G$801, 0)+1))&lt;=1181,2,1))))=0,"",IF(MOD(INDEX(輔助計算!$D:$D, (MATCH(611, 輔助計算!$G$2:$G$801, 0)+1)),IF(INDEX(ERP資料!$G:$G, (MATCH(611, 輔助計算!$G$2:$G$801, 0)+1))&lt;100, IF(INDEX(ERP資料!$G:$G, (MATCH(611, 輔助計算!$G$2:$G$801, 0)+1))&lt;=31,3,IF(INDEX(ERP資料!$G:$G, (MATCH(611, 輔助計算!$G$2:$G$801, 0)+1))&lt;=46.5,2,1)), IF(INDEX(ERP資料!$G:$G, (MATCH(611, 輔助計算!$G$2:$G$801, 0)+1))&lt;=790,3,IF(INDEX(ERP資料!$G:$G, (MATCH(611, 輔助計算!$G$2:$G$801, 0)+1))&lt;=1181,2,1))))=0,"",IF(MOD(INDEX(輔助計算!$D:$D, (MATCH(611, 輔助計算!$G$2:$G$801, 0)+1)),IF(INDEX(ERP資料!$G:$G, (MATCH(611, 輔助計算!$G$2:$G$801, 0)+1))&lt;100, IF(INDEX(ERP資料!$G:$G, (MATCH(611, 輔助計算!$G$2:$G$801, 0)+1))&lt;=31,3,IF(INDEX(ERP資料!$G:$G, (MATCH(611, 輔助計算!$G$2:$G$801, 0)+1))&lt;=46.5,2,1)), IF(INDEX(ERP資料!$G:$G, (MATCH(611, 輔助計算!$G$2:$G$801, 0)+1))&lt;=790,3,IF(INDEX(ERP資料!$G:$G, (MATCH(611, 輔助計算!$G$2:$G$801, 0)+1))&lt;=1181,2,1))))=1,TEXT(INDEX(ERP資料!$G:$G, (MATCH(611, 輔助計算!$G$2:$G$801, 0)+1)),"0.##"),IF(MOD(INDEX(輔助計算!$D:$D, (MATCH(611, 輔助計算!$G$2:$G$801, 0)+1)),IF(INDEX(ERP資料!$G:$G, (MATCH(611, 輔助計算!$G$2:$G$801, 0)+1))&lt;100, IF(INDEX(ERP資料!$G:$G, (MATCH(611, 輔助計算!$G$2:$G$801, 0)+1))&lt;=31,3,IF(INDEX(ERP資料!$G:$G, (MATCH(611, 輔助計算!$G$2:$G$801, 0)+1))&lt;=46.5,2,1)), IF(INDEX(ERP資料!$G:$G, (MATCH(611, 輔助計算!$G$2:$G$801, 0)+1))&lt;=790,3,IF(INDEX(ERP資料!$G:$G, (MATCH(611, 輔助計算!$G$2:$G$801, 0)+1))&lt;=1181,2,1))))=2,TEXT(INDEX(ERP資料!$G:$G, (MATCH(611, 輔助計算!$G$2:$G$801, 0)+1)),"0.##")&amp;"+"&amp;TEXT(INDEX(ERP資料!$G:$G, (MATCH(611, 輔助計算!$G$2:$G$801, 0)+1)),"0.##"),TEXT(INDEX(ERP資料!$G:$G, (MATCH(611, 輔助計算!$G$2:$G$801, 0)+1)),"0.##")&amp;"+"&amp;TEXT(INDEX(ERP資料!$G:$G, (MATCH(611, 輔助計算!$G$2:$G$801, 0)+1)),"0.##")&amp;"+"&amp;TEXT(INDEX(ERP資料!$G:$G, (MATCH(611, 輔助計算!$G$2:$G$801, 0)+1)),"0.##"))))&amp;"-1")), ""), "")</f>
        <v/>
      </c>
      <c r="K612" s="16" t="n"/>
      <c r="L612" s="14">
        <f>IFERROR(IF(AND(IFERROR(INDEX(ERP資料!$A:$A, (MATCH(611, 輔助計算!$G$2:$G$801, 0)+1)), "")&lt;&gt;"", IFERROR(INDEX(ERP資料!$A:$A, (MATCH(611, 輔助計算!$G$2:$G$801, 0)+1)), "")&lt;&gt;IFERROR(INDEX(ERP資料!$A:$A, MATCH(610, 輔助計算!$G$2:$G$801, 0)+1), "")), INDEX(ERP資料!$B:$B, (MATCH(611, 輔助計算!$G$2:$G$801, 0)+1)), ""), "")</f>
        <v/>
      </c>
      <c r="M612" s="17" t="n"/>
    </row>
    <row r="613">
      <c r="A613" s="10">
        <f>IFERROR(IF(AND(IFERROR(INDEX(ERP資料!$A:$A, (MATCH(612, 輔助計算!$G$2:$G$801, 0)+1)), "")&lt;&gt;"", IFERROR(INDEX(ERP資料!$A:$A, (MATCH(612, 輔助計算!$G$2:$G$801, 0)+1)), "")&lt;&gt;IFERROR(INDEX(ERP資料!$A:$A, MATCH(611, 輔助計算!$G$2:$G$801, 0)+1), "")), IFERROR(INDEX(ERP資料!$A:$A, (MATCH(612, 輔助計算!$G$2:$G$801, 0)+1)), ""), ""), "")</f>
        <v/>
      </c>
      <c r="B613" s="10">
        <f>IFERROR(IF(AND(IFERROR(INDEX(ERP資料!$A:$A, (MATCH(612, 輔助計算!$G$2:$G$801, 0)+1)), "")&lt;&gt;"", IFERROR(INDEX(ERP資料!$A:$A, (MATCH(612, 輔助計算!$G$2:$G$801, 0)+1)), "")&lt;&gt;IFERROR(INDEX(ERP資料!$A:$A, MATCH(611, 輔助計算!$G$2:$G$801, 0)+1), "")), INDEX(ERP資料!$S:$S, (MATCH(612, 輔助計算!$G$2:$G$801, 0)+1)), ""), "")</f>
        <v/>
      </c>
      <c r="C613" s="19">
        <f>IFERROR(IF(AND(IFERROR(INDEX(ERP資料!$A:$A, (MATCH(612, 輔助計算!$G$2:$G$801, 0)+1)), "")&lt;&gt;"", IFERROR(INDEX(ERP資料!$A:$A, (MATCH(612, 輔助計算!$G$2:$G$801, 0)+1)), "")&lt;&gt;IFERROR(INDEX(ERP資料!$A:$A, MATCH(611, 輔助計算!$G$2:$G$801, 0)+1), "")), IFERROR(VLOOKUP(LEFT(INDEX(ERP資料!$S:$S, (MATCH(612, 輔助計算!$G$2:$G$801, 0)+1)), 4), 紙管對照表!$A:$C, 3, FALSE), ""), ""), "")</f>
        <v/>
      </c>
      <c r="D613" s="16" t="n"/>
      <c r="E613" s="10">
        <f>IFERROR(IF(INDEX(ERP資料!$H:$H, (MATCH(612, 輔助計算!$G$2:$G$801, 0)+1))="","",INDEX(ERP資料!$H:$H, (MATCH(612, 輔助計算!$G$2:$G$801, 0)+1))), "")</f>
        <v/>
      </c>
      <c r="F613" s="10">
        <f>IFERROR(IF(INDEX(ERP資料!$E:$E, (MATCH(612, 輔助計算!$G$2:$G$801, 0)+1))="","",TRIM(INDEX(ERP資料!$E:$E, (MATCH(612, 輔助計算!$G$2:$G$801, 0)+1)))), "")</f>
        <v/>
      </c>
      <c r="G613" s="10">
        <f>IFERROR(IF(INDEX(ERP資料!$F:$F, (MATCH(612, 輔助計算!$G$2:$G$801, 0)+1))="","",INDEX(ERP資料!$F:$F, (MATCH(612, 輔助計算!$G$2:$G$801, 0)+1))), "")</f>
        <v/>
      </c>
      <c r="H613" s="10">
        <f>IFERROR(IF(INDEX(ERP資料!$G:$G, (MATCH(612, 輔助計算!$G$2:$G$801, 0)+1))="","",INDEX(ERP資料!$G:$G, (MATCH(612, 輔助計算!$G$2:$G$801, 0)+1))), "")</f>
        <v/>
      </c>
      <c r="I613" s="15">
        <f>IFERROR(INDEX(輔助計算!$D:$D, (MATCH(612, 輔助計算!$G$2:$G$801, 0)+1)), "")</f>
        <v/>
      </c>
      <c r="J613" s="15">
        <f>IFERROR(IF(AND(INDEX(輔助計算!$D:$D, (MATCH(612, 輔助計算!$G$2:$G$801, 0)+1))&lt;&gt;"", INDEX(ERP資料!$G:$G, (MATCH(612, 輔助計算!$G$2:$G$801, 0)+1))&lt;&gt;""), TRIM(IF(INT(INDEX(輔助計算!$D:$D, (MATCH(612, 輔助計算!$G$2:$G$801, 0)+1))/IF(INDEX(ERP資料!$G:$G, (MATCH(612, 輔助計算!$G$2:$G$801, 0)+1))&lt;100, IF(INDEX(ERP資料!$G:$G, (MATCH(612, 輔助計算!$G$2:$G$801, 0)+1))&lt;=31,3,IF(INDEX(ERP資料!$G:$G, (MATCH(612, 輔助計算!$G$2:$G$801, 0)+1))&lt;=46.5,2,1)), IF(INDEX(ERP資料!$G:$G, (MATCH(612, 輔助計算!$G$2:$G$801, 0)+1))&lt;=790,3,IF(INDEX(ERP資料!$G:$G, (MATCH(612, 輔助計算!$G$2:$G$801, 0)+1))&lt;=1181,2,1))))&gt;0, IF(IF(INDEX(ERP資料!$G:$G, (MATCH(612, 輔助計算!$G$2:$G$801, 0)+1))&lt;100, IF(INDEX(ERP資料!$G:$G, (MATCH(612, 輔助計算!$G$2:$G$801, 0)+1))&lt;=31,3,IF(INDEX(ERP資料!$G:$G, (MATCH(612, 輔助計算!$G$2:$G$801, 0)+1))&lt;=46.5,2,1)), IF(INDEX(ERP資料!$G:$G, (MATCH(612, 輔助計算!$G$2:$G$801, 0)+1))&lt;=790,3,IF(INDEX(ERP資料!$G:$G, (MATCH(612, 輔助計算!$G$2:$G$801, 0)+1))&lt;=1181,2,1)))=1,TEXT(INDEX(ERP資料!$G:$G, (MATCH(612, 輔助計算!$G$2:$G$801, 0)+1)),"0.##"),IF(IF(INDEX(ERP資料!$G:$G, (MATCH(612, 輔助計算!$G$2:$G$801, 0)+1))&lt;100, IF(INDEX(ERP資料!$G:$G, (MATCH(612, 輔助計算!$G$2:$G$801, 0)+1))&lt;=31,3,IF(INDEX(ERP資料!$G:$G, (MATCH(612, 輔助計算!$G$2:$G$801, 0)+1))&lt;=46.5,2,1)), IF(INDEX(ERP資料!$G:$G, (MATCH(612, 輔助計算!$G$2:$G$801, 0)+1))&lt;=790,3,IF(INDEX(ERP資料!$G:$G, (MATCH(612, 輔助計算!$G$2:$G$801, 0)+1))&lt;=1181,2,1)))=2,TEXT(INDEX(ERP資料!$G:$G, (MATCH(612, 輔助計算!$G$2:$G$801, 0)+1)),"0.##")&amp;"+"&amp;TEXT(INDEX(ERP資料!$G:$G, (MATCH(612, 輔助計算!$G$2:$G$801, 0)+1)),"0.##"),TEXT(INDEX(ERP資料!$G:$G, (MATCH(612, 輔助計算!$G$2:$G$801, 0)+1)),"0.##")&amp;"+"&amp;TEXT(INDEX(ERP資料!$G:$G, (MATCH(612, 輔助計算!$G$2:$G$801, 0)+1)),"0.##")&amp;"+"&amp;TEXT(INDEX(ERP資料!$G:$G, (MATCH(612, 輔助計算!$G$2:$G$801, 0)+1)),"0.##")))&amp;"-"&amp;INT(INDEX(輔助計算!$D:$D, (MATCH(612, 輔助計算!$G$2:$G$801, 0)+1))/IF(INDEX(ERP資料!$G:$G, (MATCH(612, 輔助計算!$G$2:$G$801, 0)+1))&lt;100, IF(INDEX(ERP資料!$G:$G, (MATCH(612, 輔助計算!$G$2:$G$801, 0)+1))&lt;=31,3,IF(INDEX(ERP資料!$G:$G, (MATCH(612, 輔助計算!$G$2:$G$801, 0)+1))&lt;=46.5,2,1)), IF(INDEX(ERP資料!$G:$G, (MATCH(612, 輔助計算!$G$2:$G$801, 0)+1))&lt;=790,3,IF(INDEX(ERP資料!$G:$G, (MATCH(612, 輔助計算!$G$2:$G$801, 0)+1))&lt;=1181,2,1)))), "")&amp;IF(AND(IF(INT(INDEX(輔助計算!$D:$D, (MATCH(612, 輔助計算!$G$2:$G$801, 0)+1))/IF(INDEX(ERP資料!$G:$G, (MATCH(612, 輔助計算!$G$2:$G$801, 0)+1))&lt;100, IF(INDEX(ERP資料!$G:$G, (MATCH(612, 輔助計算!$G$2:$G$801, 0)+1))&lt;=31,3,IF(INDEX(ERP資料!$G:$G, (MATCH(612, 輔助計算!$G$2:$G$801, 0)+1))&lt;=46.5,2,1)), IF(INDEX(ERP資料!$G:$G, (MATCH(612, 輔助計算!$G$2:$G$801, 0)+1))&lt;=790,3,IF(INDEX(ERP資料!$G:$G, (MATCH(612, 輔助計算!$G$2:$G$801, 0)+1))&lt;=1181,2,1))))&gt;0, IF(IF(INDEX(ERP資料!$G:$G, (MATCH(612, 輔助計算!$G$2:$G$801, 0)+1))&lt;100, IF(INDEX(ERP資料!$G:$G, (MATCH(612, 輔助計算!$G$2:$G$801, 0)+1))&lt;=31,3,IF(INDEX(ERP資料!$G:$G, (MATCH(612, 輔助計算!$G$2:$G$801, 0)+1))&lt;=46.5,2,1)), IF(INDEX(ERP資料!$G:$G, (MATCH(612, 輔助計算!$G$2:$G$801, 0)+1))&lt;=790,3,IF(INDEX(ERP資料!$G:$G, (MATCH(612, 輔助計算!$G$2:$G$801, 0)+1))&lt;=1181,2,1)))=1,TEXT(INDEX(ERP資料!$G:$G, (MATCH(612, 輔助計算!$G$2:$G$801, 0)+1)),"0.##"),IF(IF(INDEX(ERP資料!$G:$G, (MATCH(612, 輔助計算!$G$2:$G$801, 0)+1))&lt;100, IF(INDEX(ERP資料!$G:$G, (MATCH(612, 輔助計算!$G$2:$G$801, 0)+1))&lt;=31,3,IF(INDEX(ERP資料!$G:$G, (MATCH(612, 輔助計算!$G$2:$G$801, 0)+1))&lt;=46.5,2,1)), IF(INDEX(ERP資料!$G:$G, (MATCH(612, 輔助計算!$G$2:$G$801, 0)+1))&lt;=790,3,IF(INDEX(ERP資料!$G:$G, (MATCH(612, 輔助計算!$G$2:$G$801, 0)+1))&lt;=1181,2,1)))=2,TEXT(INDEX(ERP資料!$G:$G, (MATCH(612, 輔助計算!$G$2:$G$801, 0)+1)),"0.##")&amp;"+"&amp;TEXT(INDEX(ERP資料!$G:$G, (MATCH(612, 輔助計算!$G$2:$G$801, 0)+1)),"0.##"),TEXT(INDEX(ERP資料!$G:$G, (MATCH(612, 輔助計算!$G$2:$G$801, 0)+1)),"0.##")&amp;"+"&amp;TEXT(INDEX(ERP資料!$G:$G, (MATCH(612, 輔助計算!$G$2:$G$801, 0)+1)),"0.##")&amp;"+"&amp;TEXT(INDEX(ERP資料!$G:$G, (MATCH(612, 輔助計算!$G$2:$G$801, 0)+1)),"0.##")))&amp;"-"&amp;INT(INDEX(輔助計算!$D:$D, (MATCH(612, 輔助計算!$G$2:$G$801, 0)+1))/IF(INDEX(ERP資料!$G:$G, (MATCH(612, 輔助計算!$G$2:$G$801, 0)+1))&lt;100, IF(INDEX(ERP資料!$G:$G, (MATCH(612, 輔助計算!$G$2:$G$801, 0)+1))&lt;=31,3,IF(INDEX(ERP資料!$G:$G, (MATCH(612, 輔助計算!$G$2:$G$801, 0)+1))&lt;=46.5,2,1)), IF(INDEX(ERP資料!$G:$G, (MATCH(612, 輔助計算!$G$2:$G$801, 0)+1))&lt;=790,3,IF(INDEX(ERP資料!$G:$G, (MATCH(612, 輔助計算!$G$2:$G$801, 0)+1))&lt;=1181,2,1)))), "")&lt;&gt;"",IF(MOD(INDEX(輔助計算!$D:$D, (MATCH(612, 輔助計算!$G$2:$G$801, 0)+1)),IF(INDEX(ERP資料!$G:$G, (MATCH(612, 輔助計算!$G$2:$G$801, 0)+1))&lt;100, IF(INDEX(ERP資料!$G:$G, (MATCH(612, 輔助計算!$G$2:$G$801, 0)+1))&lt;=31,3,IF(INDEX(ERP資料!$G:$G, (MATCH(612, 輔助計算!$G$2:$G$801, 0)+1))&lt;=46.5,2,1)), IF(INDEX(ERP資料!$G:$G, (MATCH(612, 輔助計算!$G$2:$G$801, 0)+1))&lt;=790,3,IF(INDEX(ERP資料!$G:$G, (MATCH(612, 輔助計算!$G$2:$G$801, 0)+1))&lt;=1181,2,1))))=0,"",IF(MOD(INDEX(輔助計算!$D:$D, (MATCH(612, 輔助計算!$G$2:$G$801, 0)+1)),IF(INDEX(ERP資料!$G:$G, (MATCH(612, 輔助計算!$G$2:$G$801, 0)+1))&lt;100, IF(INDEX(ERP資料!$G:$G, (MATCH(612, 輔助計算!$G$2:$G$801, 0)+1))&lt;=31,3,IF(INDEX(ERP資料!$G:$G, (MATCH(612, 輔助計算!$G$2:$G$801, 0)+1))&lt;=46.5,2,1)), IF(INDEX(ERP資料!$G:$G, (MATCH(612, 輔助計算!$G$2:$G$801, 0)+1))&lt;=790,3,IF(INDEX(ERP資料!$G:$G, (MATCH(612, 輔助計算!$G$2:$G$801, 0)+1))&lt;=1181,2,1))))=0,"",IF(MOD(INDEX(輔助計算!$D:$D, (MATCH(612, 輔助計算!$G$2:$G$801, 0)+1)),IF(INDEX(ERP資料!$G:$G, (MATCH(612, 輔助計算!$G$2:$G$801, 0)+1))&lt;100, IF(INDEX(ERP資料!$G:$G, (MATCH(612, 輔助計算!$G$2:$G$801, 0)+1))&lt;=31,3,IF(INDEX(ERP資料!$G:$G, (MATCH(612, 輔助計算!$G$2:$G$801, 0)+1))&lt;=46.5,2,1)), IF(INDEX(ERP資料!$G:$G, (MATCH(612, 輔助計算!$G$2:$G$801, 0)+1))&lt;=790,3,IF(INDEX(ERP資料!$G:$G, (MATCH(612, 輔助計算!$G$2:$G$801, 0)+1))&lt;=1181,2,1))))=1,TEXT(INDEX(ERP資料!$G:$G, (MATCH(612, 輔助計算!$G$2:$G$801, 0)+1)),"0.##"),IF(MOD(INDEX(輔助計算!$D:$D, (MATCH(612, 輔助計算!$G$2:$G$801, 0)+1)),IF(INDEX(ERP資料!$G:$G, (MATCH(612, 輔助計算!$G$2:$G$801, 0)+1))&lt;100, IF(INDEX(ERP資料!$G:$G, (MATCH(612, 輔助計算!$G$2:$G$801, 0)+1))&lt;=31,3,IF(INDEX(ERP資料!$G:$G, (MATCH(612, 輔助計算!$G$2:$G$801, 0)+1))&lt;=46.5,2,1)), IF(INDEX(ERP資料!$G:$G, (MATCH(612, 輔助計算!$G$2:$G$801, 0)+1))&lt;=790,3,IF(INDEX(ERP資料!$G:$G, (MATCH(612, 輔助計算!$G$2:$G$801, 0)+1))&lt;=1181,2,1))))=2,TEXT(INDEX(ERP資料!$G:$G, (MATCH(612, 輔助計算!$G$2:$G$801, 0)+1)),"0.##")&amp;"+"&amp;TEXT(INDEX(ERP資料!$G:$G, (MATCH(612, 輔助計算!$G$2:$G$801, 0)+1)),"0.##"),TEXT(INDEX(ERP資料!$G:$G, (MATCH(612, 輔助計算!$G$2:$G$801, 0)+1)),"0.##")&amp;"+"&amp;TEXT(INDEX(ERP資料!$G:$G, (MATCH(612, 輔助計算!$G$2:$G$801, 0)+1)),"0.##")&amp;"+"&amp;TEXT(INDEX(ERP資料!$G:$G, (MATCH(612, 輔助計算!$G$2:$G$801, 0)+1)),"0.##"))))&amp;"-1")&lt;&gt;""),"  ","")&amp;IF(MOD(INDEX(輔助計算!$D:$D, (MATCH(612, 輔助計算!$G$2:$G$801, 0)+1)),IF(INDEX(ERP資料!$G:$G, (MATCH(612, 輔助計算!$G$2:$G$801, 0)+1))&lt;100, IF(INDEX(ERP資料!$G:$G, (MATCH(612, 輔助計算!$G$2:$G$801, 0)+1))&lt;=31,3,IF(INDEX(ERP資料!$G:$G, (MATCH(612, 輔助計算!$G$2:$G$801, 0)+1))&lt;=46.5,2,1)), IF(INDEX(ERP資料!$G:$G, (MATCH(612, 輔助計算!$G$2:$G$801, 0)+1))&lt;=790,3,IF(INDEX(ERP資料!$G:$G, (MATCH(612, 輔助計算!$G$2:$G$801, 0)+1))&lt;=1181,2,1))))=0,"",IF(MOD(INDEX(輔助計算!$D:$D, (MATCH(612, 輔助計算!$G$2:$G$801, 0)+1)),IF(INDEX(ERP資料!$G:$G, (MATCH(612, 輔助計算!$G$2:$G$801, 0)+1))&lt;100, IF(INDEX(ERP資料!$G:$G, (MATCH(612, 輔助計算!$G$2:$G$801, 0)+1))&lt;=31,3,IF(INDEX(ERP資料!$G:$G, (MATCH(612, 輔助計算!$G$2:$G$801, 0)+1))&lt;=46.5,2,1)), IF(INDEX(ERP資料!$G:$G, (MATCH(612, 輔助計算!$G$2:$G$801, 0)+1))&lt;=790,3,IF(INDEX(ERP資料!$G:$G, (MATCH(612, 輔助計算!$G$2:$G$801, 0)+1))&lt;=1181,2,1))))=0,"",IF(MOD(INDEX(輔助計算!$D:$D, (MATCH(612, 輔助計算!$G$2:$G$801, 0)+1)),IF(INDEX(ERP資料!$G:$G, (MATCH(612, 輔助計算!$G$2:$G$801, 0)+1))&lt;100, IF(INDEX(ERP資料!$G:$G, (MATCH(612, 輔助計算!$G$2:$G$801, 0)+1))&lt;=31,3,IF(INDEX(ERP資料!$G:$G, (MATCH(612, 輔助計算!$G$2:$G$801, 0)+1))&lt;=46.5,2,1)), IF(INDEX(ERP資料!$G:$G, (MATCH(612, 輔助計算!$G$2:$G$801, 0)+1))&lt;=790,3,IF(INDEX(ERP資料!$G:$G, (MATCH(612, 輔助計算!$G$2:$G$801, 0)+1))&lt;=1181,2,1))))=1,TEXT(INDEX(ERP資料!$G:$G, (MATCH(612, 輔助計算!$G$2:$G$801, 0)+1)),"0.##"),IF(MOD(INDEX(輔助計算!$D:$D, (MATCH(612, 輔助計算!$G$2:$G$801, 0)+1)),IF(INDEX(ERP資料!$G:$G, (MATCH(612, 輔助計算!$G$2:$G$801, 0)+1))&lt;100, IF(INDEX(ERP資料!$G:$G, (MATCH(612, 輔助計算!$G$2:$G$801, 0)+1))&lt;=31,3,IF(INDEX(ERP資料!$G:$G, (MATCH(612, 輔助計算!$G$2:$G$801, 0)+1))&lt;=46.5,2,1)), IF(INDEX(ERP資料!$G:$G, (MATCH(612, 輔助計算!$G$2:$G$801, 0)+1))&lt;=790,3,IF(INDEX(ERP資料!$G:$G, (MATCH(612, 輔助計算!$G$2:$G$801, 0)+1))&lt;=1181,2,1))))=2,TEXT(INDEX(ERP資料!$G:$G, (MATCH(612, 輔助計算!$G$2:$G$801, 0)+1)),"0.##")&amp;"+"&amp;TEXT(INDEX(ERP資料!$G:$G, (MATCH(612, 輔助計算!$G$2:$G$801, 0)+1)),"0.##"),TEXT(INDEX(ERP資料!$G:$G, (MATCH(612, 輔助計算!$G$2:$G$801, 0)+1)),"0.##")&amp;"+"&amp;TEXT(INDEX(ERP資料!$G:$G, (MATCH(612, 輔助計算!$G$2:$G$801, 0)+1)),"0.##")&amp;"+"&amp;TEXT(INDEX(ERP資料!$G:$G, (MATCH(612, 輔助計算!$G$2:$G$801, 0)+1)),"0.##"))))&amp;"-1")), ""), "")</f>
        <v/>
      </c>
      <c r="K613" s="16" t="n"/>
      <c r="L613" s="14">
        <f>IFERROR(IF(AND(IFERROR(INDEX(ERP資料!$A:$A, (MATCH(612, 輔助計算!$G$2:$G$801, 0)+1)), "")&lt;&gt;"", IFERROR(INDEX(ERP資料!$A:$A, (MATCH(612, 輔助計算!$G$2:$G$801, 0)+1)), "")&lt;&gt;IFERROR(INDEX(ERP資料!$A:$A, MATCH(611, 輔助計算!$G$2:$G$801, 0)+1), "")), INDEX(ERP資料!$B:$B, (MATCH(612, 輔助計算!$G$2:$G$801, 0)+1)), ""), "")</f>
        <v/>
      </c>
      <c r="M613" s="17" t="n"/>
    </row>
    <row r="614">
      <c r="A614" s="10">
        <f>IFERROR(IF(AND(IFERROR(INDEX(ERP資料!$A:$A, (MATCH(613, 輔助計算!$G$2:$G$801, 0)+1)), "")&lt;&gt;"", IFERROR(INDEX(ERP資料!$A:$A, (MATCH(613, 輔助計算!$G$2:$G$801, 0)+1)), "")&lt;&gt;IFERROR(INDEX(ERP資料!$A:$A, MATCH(612, 輔助計算!$G$2:$G$801, 0)+1), "")), IFERROR(INDEX(ERP資料!$A:$A, (MATCH(613, 輔助計算!$G$2:$G$801, 0)+1)), ""), ""), "")</f>
        <v/>
      </c>
      <c r="B614" s="10">
        <f>IFERROR(IF(AND(IFERROR(INDEX(ERP資料!$A:$A, (MATCH(613, 輔助計算!$G$2:$G$801, 0)+1)), "")&lt;&gt;"", IFERROR(INDEX(ERP資料!$A:$A, (MATCH(613, 輔助計算!$G$2:$G$801, 0)+1)), "")&lt;&gt;IFERROR(INDEX(ERP資料!$A:$A, MATCH(612, 輔助計算!$G$2:$G$801, 0)+1), "")), INDEX(ERP資料!$S:$S, (MATCH(613, 輔助計算!$G$2:$G$801, 0)+1)), ""), "")</f>
        <v/>
      </c>
      <c r="C614" s="19">
        <f>IFERROR(IF(AND(IFERROR(INDEX(ERP資料!$A:$A, (MATCH(613, 輔助計算!$G$2:$G$801, 0)+1)), "")&lt;&gt;"", IFERROR(INDEX(ERP資料!$A:$A, (MATCH(613, 輔助計算!$G$2:$G$801, 0)+1)), "")&lt;&gt;IFERROR(INDEX(ERP資料!$A:$A, MATCH(612, 輔助計算!$G$2:$G$801, 0)+1), "")), IFERROR(VLOOKUP(LEFT(INDEX(ERP資料!$S:$S, (MATCH(613, 輔助計算!$G$2:$G$801, 0)+1)), 4), 紙管對照表!$A:$C, 3, FALSE), ""), ""), "")</f>
        <v/>
      </c>
      <c r="D614" s="16" t="n"/>
      <c r="E614" s="10">
        <f>IFERROR(IF(INDEX(ERP資料!$H:$H, (MATCH(613, 輔助計算!$G$2:$G$801, 0)+1))="","",INDEX(ERP資料!$H:$H, (MATCH(613, 輔助計算!$G$2:$G$801, 0)+1))), "")</f>
        <v/>
      </c>
      <c r="F614" s="10">
        <f>IFERROR(IF(INDEX(ERP資料!$E:$E, (MATCH(613, 輔助計算!$G$2:$G$801, 0)+1))="","",TRIM(INDEX(ERP資料!$E:$E, (MATCH(613, 輔助計算!$G$2:$G$801, 0)+1)))), "")</f>
        <v/>
      </c>
      <c r="G614" s="10">
        <f>IFERROR(IF(INDEX(ERP資料!$F:$F, (MATCH(613, 輔助計算!$G$2:$G$801, 0)+1))="","",INDEX(ERP資料!$F:$F, (MATCH(613, 輔助計算!$G$2:$G$801, 0)+1))), "")</f>
        <v/>
      </c>
      <c r="H614" s="10">
        <f>IFERROR(IF(INDEX(ERP資料!$G:$G, (MATCH(613, 輔助計算!$G$2:$G$801, 0)+1))="","",INDEX(ERP資料!$G:$G, (MATCH(613, 輔助計算!$G$2:$G$801, 0)+1))), "")</f>
        <v/>
      </c>
      <c r="I614" s="15">
        <f>IFERROR(INDEX(輔助計算!$D:$D, (MATCH(613, 輔助計算!$G$2:$G$801, 0)+1)), "")</f>
        <v/>
      </c>
      <c r="J614" s="15">
        <f>IFERROR(IF(AND(INDEX(輔助計算!$D:$D, (MATCH(613, 輔助計算!$G$2:$G$801, 0)+1))&lt;&gt;"", INDEX(ERP資料!$G:$G, (MATCH(613, 輔助計算!$G$2:$G$801, 0)+1))&lt;&gt;""), TRIM(IF(INT(INDEX(輔助計算!$D:$D, (MATCH(613, 輔助計算!$G$2:$G$801, 0)+1))/IF(INDEX(ERP資料!$G:$G, (MATCH(613, 輔助計算!$G$2:$G$801, 0)+1))&lt;100, IF(INDEX(ERP資料!$G:$G, (MATCH(613, 輔助計算!$G$2:$G$801, 0)+1))&lt;=31,3,IF(INDEX(ERP資料!$G:$G, (MATCH(613, 輔助計算!$G$2:$G$801, 0)+1))&lt;=46.5,2,1)), IF(INDEX(ERP資料!$G:$G, (MATCH(613, 輔助計算!$G$2:$G$801, 0)+1))&lt;=790,3,IF(INDEX(ERP資料!$G:$G, (MATCH(613, 輔助計算!$G$2:$G$801, 0)+1))&lt;=1181,2,1))))&gt;0, IF(IF(INDEX(ERP資料!$G:$G, (MATCH(613, 輔助計算!$G$2:$G$801, 0)+1))&lt;100, IF(INDEX(ERP資料!$G:$G, (MATCH(613, 輔助計算!$G$2:$G$801, 0)+1))&lt;=31,3,IF(INDEX(ERP資料!$G:$G, (MATCH(613, 輔助計算!$G$2:$G$801, 0)+1))&lt;=46.5,2,1)), IF(INDEX(ERP資料!$G:$G, (MATCH(613, 輔助計算!$G$2:$G$801, 0)+1))&lt;=790,3,IF(INDEX(ERP資料!$G:$G, (MATCH(613, 輔助計算!$G$2:$G$801, 0)+1))&lt;=1181,2,1)))=1,TEXT(INDEX(ERP資料!$G:$G, (MATCH(613, 輔助計算!$G$2:$G$801, 0)+1)),"0.##"),IF(IF(INDEX(ERP資料!$G:$G, (MATCH(613, 輔助計算!$G$2:$G$801, 0)+1))&lt;100, IF(INDEX(ERP資料!$G:$G, (MATCH(613, 輔助計算!$G$2:$G$801, 0)+1))&lt;=31,3,IF(INDEX(ERP資料!$G:$G, (MATCH(613, 輔助計算!$G$2:$G$801, 0)+1))&lt;=46.5,2,1)), IF(INDEX(ERP資料!$G:$G, (MATCH(613, 輔助計算!$G$2:$G$801, 0)+1))&lt;=790,3,IF(INDEX(ERP資料!$G:$G, (MATCH(613, 輔助計算!$G$2:$G$801, 0)+1))&lt;=1181,2,1)))=2,TEXT(INDEX(ERP資料!$G:$G, (MATCH(613, 輔助計算!$G$2:$G$801, 0)+1)),"0.##")&amp;"+"&amp;TEXT(INDEX(ERP資料!$G:$G, (MATCH(613, 輔助計算!$G$2:$G$801, 0)+1)),"0.##"),TEXT(INDEX(ERP資料!$G:$G, (MATCH(613, 輔助計算!$G$2:$G$801, 0)+1)),"0.##")&amp;"+"&amp;TEXT(INDEX(ERP資料!$G:$G, (MATCH(613, 輔助計算!$G$2:$G$801, 0)+1)),"0.##")&amp;"+"&amp;TEXT(INDEX(ERP資料!$G:$G, (MATCH(613, 輔助計算!$G$2:$G$801, 0)+1)),"0.##")))&amp;"-"&amp;INT(INDEX(輔助計算!$D:$D, (MATCH(613, 輔助計算!$G$2:$G$801, 0)+1))/IF(INDEX(ERP資料!$G:$G, (MATCH(613, 輔助計算!$G$2:$G$801, 0)+1))&lt;100, IF(INDEX(ERP資料!$G:$G, (MATCH(613, 輔助計算!$G$2:$G$801, 0)+1))&lt;=31,3,IF(INDEX(ERP資料!$G:$G, (MATCH(613, 輔助計算!$G$2:$G$801, 0)+1))&lt;=46.5,2,1)), IF(INDEX(ERP資料!$G:$G, (MATCH(613, 輔助計算!$G$2:$G$801, 0)+1))&lt;=790,3,IF(INDEX(ERP資料!$G:$G, (MATCH(613, 輔助計算!$G$2:$G$801, 0)+1))&lt;=1181,2,1)))), "")&amp;IF(AND(IF(INT(INDEX(輔助計算!$D:$D, (MATCH(613, 輔助計算!$G$2:$G$801, 0)+1))/IF(INDEX(ERP資料!$G:$G, (MATCH(613, 輔助計算!$G$2:$G$801, 0)+1))&lt;100, IF(INDEX(ERP資料!$G:$G, (MATCH(613, 輔助計算!$G$2:$G$801, 0)+1))&lt;=31,3,IF(INDEX(ERP資料!$G:$G, (MATCH(613, 輔助計算!$G$2:$G$801, 0)+1))&lt;=46.5,2,1)), IF(INDEX(ERP資料!$G:$G, (MATCH(613, 輔助計算!$G$2:$G$801, 0)+1))&lt;=790,3,IF(INDEX(ERP資料!$G:$G, (MATCH(613, 輔助計算!$G$2:$G$801, 0)+1))&lt;=1181,2,1))))&gt;0, IF(IF(INDEX(ERP資料!$G:$G, (MATCH(613, 輔助計算!$G$2:$G$801, 0)+1))&lt;100, IF(INDEX(ERP資料!$G:$G, (MATCH(613, 輔助計算!$G$2:$G$801, 0)+1))&lt;=31,3,IF(INDEX(ERP資料!$G:$G, (MATCH(613, 輔助計算!$G$2:$G$801, 0)+1))&lt;=46.5,2,1)), IF(INDEX(ERP資料!$G:$G, (MATCH(613, 輔助計算!$G$2:$G$801, 0)+1))&lt;=790,3,IF(INDEX(ERP資料!$G:$G, (MATCH(613, 輔助計算!$G$2:$G$801, 0)+1))&lt;=1181,2,1)))=1,TEXT(INDEX(ERP資料!$G:$G, (MATCH(613, 輔助計算!$G$2:$G$801, 0)+1)),"0.##"),IF(IF(INDEX(ERP資料!$G:$G, (MATCH(613, 輔助計算!$G$2:$G$801, 0)+1))&lt;100, IF(INDEX(ERP資料!$G:$G, (MATCH(613, 輔助計算!$G$2:$G$801, 0)+1))&lt;=31,3,IF(INDEX(ERP資料!$G:$G, (MATCH(613, 輔助計算!$G$2:$G$801, 0)+1))&lt;=46.5,2,1)), IF(INDEX(ERP資料!$G:$G, (MATCH(613, 輔助計算!$G$2:$G$801, 0)+1))&lt;=790,3,IF(INDEX(ERP資料!$G:$G, (MATCH(613, 輔助計算!$G$2:$G$801, 0)+1))&lt;=1181,2,1)))=2,TEXT(INDEX(ERP資料!$G:$G, (MATCH(613, 輔助計算!$G$2:$G$801, 0)+1)),"0.##")&amp;"+"&amp;TEXT(INDEX(ERP資料!$G:$G, (MATCH(613, 輔助計算!$G$2:$G$801, 0)+1)),"0.##"),TEXT(INDEX(ERP資料!$G:$G, (MATCH(613, 輔助計算!$G$2:$G$801, 0)+1)),"0.##")&amp;"+"&amp;TEXT(INDEX(ERP資料!$G:$G, (MATCH(613, 輔助計算!$G$2:$G$801, 0)+1)),"0.##")&amp;"+"&amp;TEXT(INDEX(ERP資料!$G:$G, (MATCH(613, 輔助計算!$G$2:$G$801, 0)+1)),"0.##")))&amp;"-"&amp;INT(INDEX(輔助計算!$D:$D, (MATCH(613, 輔助計算!$G$2:$G$801, 0)+1))/IF(INDEX(ERP資料!$G:$G, (MATCH(613, 輔助計算!$G$2:$G$801, 0)+1))&lt;100, IF(INDEX(ERP資料!$G:$G, (MATCH(613, 輔助計算!$G$2:$G$801, 0)+1))&lt;=31,3,IF(INDEX(ERP資料!$G:$G, (MATCH(613, 輔助計算!$G$2:$G$801, 0)+1))&lt;=46.5,2,1)), IF(INDEX(ERP資料!$G:$G, (MATCH(613, 輔助計算!$G$2:$G$801, 0)+1))&lt;=790,3,IF(INDEX(ERP資料!$G:$G, (MATCH(613, 輔助計算!$G$2:$G$801, 0)+1))&lt;=1181,2,1)))), "")&lt;&gt;"",IF(MOD(INDEX(輔助計算!$D:$D, (MATCH(613, 輔助計算!$G$2:$G$801, 0)+1)),IF(INDEX(ERP資料!$G:$G, (MATCH(613, 輔助計算!$G$2:$G$801, 0)+1))&lt;100, IF(INDEX(ERP資料!$G:$G, (MATCH(613, 輔助計算!$G$2:$G$801, 0)+1))&lt;=31,3,IF(INDEX(ERP資料!$G:$G, (MATCH(613, 輔助計算!$G$2:$G$801, 0)+1))&lt;=46.5,2,1)), IF(INDEX(ERP資料!$G:$G, (MATCH(613, 輔助計算!$G$2:$G$801, 0)+1))&lt;=790,3,IF(INDEX(ERP資料!$G:$G, (MATCH(613, 輔助計算!$G$2:$G$801, 0)+1))&lt;=1181,2,1))))=0,"",IF(MOD(INDEX(輔助計算!$D:$D, (MATCH(613, 輔助計算!$G$2:$G$801, 0)+1)),IF(INDEX(ERP資料!$G:$G, (MATCH(613, 輔助計算!$G$2:$G$801, 0)+1))&lt;100, IF(INDEX(ERP資料!$G:$G, (MATCH(613, 輔助計算!$G$2:$G$801, 0)+1))&lt;=31,3,IF(INDEX(ERP資料!$G:$G, (MATCH(613, 輔助計算!$G$2:$G$801, 0)+1))&lt;=46.5,2,1)), IF(INDEX(ERP資料!$G:$G, (MATCH(613, 輔助計算!$G$2:$G$801, 0)+1))&lt;=790,3,IF(INDEX(ERP資料!$G:$G, (MATCH(613, 輔助計算!$G$2:$G$801, 0)+1))&lt;=1181,2,1))))=0,"",IF(MOD(INDEX(輔助計算!$D:$D, (MATCH(613, 輔助計算!$G$2:$G$801, 0)+1)),IF(INDEX(ERP資料!$G:$G, (MATCH(613, 輔助計算!$G$2:$G$801, 0)+1))&lt;100, IF(INDEX(ERP資料!$G:$G, (MATCH(613, 輔助計算!$G$2:$G$801, 0)+1))&lt;=31,3,IF(INDEX(ERP資料!$G:$G, (MATCH(613, 輔助計算!$G$2:$G$801, 0)+1))&lt;=46.5,2,1)), IF(INDEX(ERP資料!$G:$G, (MATCH(613, 輔助計算!$G$2:$G$801, 0)+1))&lt;=790,3,IF(INDEX(ERP資料!$G:$G, (MATCH(613, 輔助計算!$G$2:$G$801, 0)+1))&lt;=1181,2,1))))=1,TEXT(INDEX(ERP資料!$G:$G, (MATCH(613, 輔助計算!$G$2:$G$801, 0)+1)),"0.##"),IF(MOD(INDEX(輔助計算!$D:$D, (MATCH(613, 輔助計算!$G$2:$G$801, 0)+1)),IF(INDEX(ERP資料!$G:$G, (MATCH(613, 輔助計算!$G$2:$G$801, 0)+1))&lt;100, IF(INDEX(ERP資料!$G:$G, (MATCH(613, 輔助計算!$G$2:$G$801, 0)+1))&lt;=31,3,IF(INDEX(ERP資料!$G:$G, (MATCH(613, 輔助計算!$G$2:$G$801, 0)+1))&lt;=46.5,2,1)), IF(INDEX(ERP資料!$G:$G, (MATCH(613, 輔助計算!$G$2:$G$801, 0)+1))&lt;=790,3,IF(INDEX(ERP資料!$G:$G, (MATCH(613, 輔助計算!$G$2:$G$801, 0)+1))&lt;=1181,2,1))))=2,TEXT(INDEX(ERP資料!$G:$G, (MATCH(613, 輔助計算!$G$2:$G$801, 0)+1)),"0.##")&amp;"+"&amp;TEXT(INDEX(ERP資料!$G:$G, (MATCH(613, 輔助計算!$G$2:$G$801, 0)+1)),"0.##"),TEXT(INDEX(ERP資料!$G:$G, (MATCH(613, 輔助計算!$G$2:$G$801, 0)+1)),"0.##")&amp;"+"&amp;TEXT(INDEX(ERP資料!$G:$G, (MATCH(613, 輔助計算!$G$2:$G$801, 0)+1)),"0.##")&amp;"+"&amp;TEXT(INDEX(ERP資料!$G:$G, (MATCH(613, 輔助計算!$G$2:$G$801, 0)+1)),"0.##"))))&amp;"-1")&lt;&gt;""),"  ","")&amp;IF(MOD(INDEX(輔助計算!$D:$D, (MATCH(613, 輔助計算!$G$2:$G$801, 0)+1)),IF(INDEX(ERP資料!$G:$G, (MATCH(613, 輔助計算!$G$2:$G$801, 0)+1))&lt;100, IF(INDEX(ERP資料!$G:$G, (MATCH(613, 輔助計算!$G$2:$G$801, 0)+1))&lt;=31,3,IF(INDEX(ERP資料!$G:$G, (MATCH(613, 輔助計算!$G$2:$G$801, 0)+1))&lt;=46.5,2,1)), IF(INDEX(ERP資料!$G:$G, (MATCH(613, 輔助計算!$G$2:$G$801, 0)+1))&lt;=790,3,IF(INDEX(ERP資料!$G:$G, (MATCH(613, 輔助計算!$G$2:$G$801, 0)+1))&lt;=1181,2,1))))=0,"",IF(MOD(INDEX(輔助計算!$D:$D, (MATCH(613, 輔助計算!$G$2:$G$801, 0)+1)),IF(INDEX(ERP資料!$G:$G, (MATCH(613, 輔助計算!$G$2:$G$801, 0)+1))&lt;100, IF(INDEX(ERP資料!$G:$G, (MATCH(613, 輔助計算!$G$2:$G$801, 0)+1))&lt;=31,3,IF(INDEX(ERP資料!$G:$G, (MATCH(613, 輔助計算!$G$2:$G$801, 0)+1))&lt;=46.5,2,1)), IF(INDEX(ERP資料!$G:$G, (MATCH(613, 輔助計算!$G$2:$G$801, 0)+1))&lt;=790,3,IF(INDEX(ERP資料!$G:$G, (MATCH(613, 輔助計算!$G$2:$G$801, 0)+1))&lt;=1181,2,1))))=0,"",IF(MOD(INDEX(輔助計算!$D:$D, (MATCH(613, 輔助計算!$G$2:$G$801, 0)+1)),IF(INDEX(ERP資料!$G:$G, (MATCH(613, 輔助計算!$G$2:$G$801, 0)+1))&lt;100, IF(INDEX(ERP資料!$G:$G, (MATCH(613, 輔助計算!$G$2:$G$801, 0)+1))&lt;=31,3,IF(INDEX(ERP資料!$G:$G, (MATCH(613, 輔助計算!$G$2:$G$801, 0)+1))&lt;=46.5,2,1)), IF(INDEX(ERP資料!$G:$G, (MATCH(613, 輔助計算!$G$2:$G$801, 0)+1))&lt;=790,3,IF(INDEX(ERP資料!$G:$G, (MATCH(613, 輔助計算!$G$2:$G$801, 0)+1))&lt;=1181,2,1))))=1,TEXT(INDEX(ERP資料!$G:$G, (MATCH(613, 輔助計算!$G$2:$G$801, 0)+1)),"0.##"),IF(MOD(INDEX(輔助計算!$D:$D, (MATCH(613, 輔助計算!$G$2:$G$801, 0)+1)),IF(INDEX(ERP資料!$G:$G, (MATCH(613, 輔助計算!$G$2:$G$801, 0)+1))&lt;100, IF(INDEX(ERP資料!$G:$G, (MATCH(613, 輔助計算!$G$2:$G$801, 0)+1))&lt;=31,3,IF(INDEX(ERP資料!$G:$G, (MATCH(613, 輔助計算!$G$2:$G$801, 0)+1))&lt;=46.5,2,1)), IF(INDEX(ERP資料!$G:$G, (MATCH(613, 輔助計算!$G$2:$G$801, 0)+1))&lt;=790,3,IF(INDEX(ERP資料!$G:$G, (MATCH(613, 輔助計算!$G$2:$G$801, 0)+1))&lt;=1181,2,1))))=2,TEXT(INDEX(ERP資料!$G:$G, (MATCH(613, 輔助計算!$G$2:$G$801, 0)+1)),"0.##")&amp;"+"&amp;TEXT(INDEX(ERP資料!$G:$G, (MATCH(613, 輔助計算!$G$2:$G$801, 0)+1)),"0.##"),TEXT(INDEX(ERP資料!$G:$G, (MATCH(613, 輔助計算!$G$2:$G$801, 0)+1)),"0.##")&amp;"+"&amp;TEXT(INDEX(ERP資料!$G:$G, (MATCH(613, 輔助計算!$G$2:$G$801, 0)+1)),"0.##")&amp;"+"&amp;TEXT(INDEX(ERP資料!$G:$G, (MATCH(613, 輔助計算!$G$2:$G$801, 0)+1)),"0.##"))))&amp;"-1")), ""), "")</f>
        <v/>
      </c>
      <c r="K614" s="16" t="n"/>
      <c r="L614" s="14">
        <f>IFERROR(IF(AND(IFERROR(INDEX(ERP資料!$A:$A, (MATCH(613, 輔助計算!$G$2:$G$801, 0)+1)), "")&lt;&gt;"", IFERROR(INDEX(ERP資料!$A:$A, (MATCH(613, 輔助計算!$G$2:$G$801, 0)+1)), "")&lt;&gt;IFERROR(INDEX(ERP資料!$A:$A, MATCH(612, 輔助計算!$G$2:$G$801, 0)+1), "")), INDEX(ERP資料!$B:$B, (MATCH(613, 輔助計算!$G$2:$G$801, 0)+1)), ""), "")</f>
        <v/>
      </c>
      <c r="M614" s="17" t="n"/>
    </row>
    <row r="615">
      <c r="A615" s="10">
        <f>IFERROR(IF(AND(IFERROR(INDEX(ERP資料!$A:$A, (MATCH(614, 輔助計算!$G$2:$G$801, 0)+1)), "")&lt;&gt;"", IFERROR(INDEX(ERP資料!$A:$A, (MATCH(614, 輔助計算!$G$2:$G$801, 0)+1)), "")&lt;&gt;IFERROR(INDEX(ERP資料!$A:$A, MATCH(613, 輔助計算!$G$2:$G$801, 0)+1), "")), IFERROR(INDEX(ERP資料!$A:$A, (MATCH(614, 輔助計算!$G$2:$G$801, 0)+1)), ""), ""), "")</f>
        <v/>
      </c>
      <c r="B615" s="10">
        <f>IFERROR(IF(AND(IFERROR(INDEX(ERP資料!$A:$A, (MATCH(614, 輔助計算!$G$2:$G$801, 0)+1)), "")&lt;&gt;"", IFERROR(INDEX(ERP資料!$A:$A, (MATCH(614, 輔助計算!$G$2:$G$801, 0)+1)), "")&lt;&gt;IFERROR(INDEX(ERP資料!$A:$A, MATCH(613, 輔助計算!$G$2:$G$801, 0)+1), "")), INDEX(ERP資料!$S:$S, (MATCH(614, 輔助計算!$G$2:$G$801, 0)+1)), ""), "")</f>
        <v/>
      </c>
      <c r="C615" s="19">
        <f>IFERROR(IF(AND(IFERROR(INDEX(ERP資料!$A:$A, (MATCH(614, 輔助計算!$G$2:$G$801, 0)+1)), "")&lt;&gt;"", IFERROR(INDEX(ERP資料!$A:$A, (MATCH(614, 輔助計算!$G$2:$G$801, 0)+1)), "")&lt;&gt;IFERROR(INDEX(ERP資料!$A:$A, MATCH(613, 輔助計算!$G$2:$G$801, 0)+1), "")), IFERROR(VLOOKUP(LEFT(INDEX(ERP資料!$S:$S, (MATCH(614, 輔助計算!$G$2:$G$801, 0)+1)), 4), 紙管對照表!$A:$C, 3, FALSE), ""), ""), "")</f>
        <v/>
      </c>
      <c r="D615" s="16" t="n"/>
      <c r="E615" s="10">
        <f>IFERROR(IF(INDEX(ERP資料!$H:$H, (MATCH(614, 輔助計算!$G$2:$G$801, 0)+1))="","",INDEX(ERP資料!$H:$H, (MATCH(614, 輔助計算!$G$2:$G$801, 0)+1))), "")</f>
        <v/>
      </c>
      <c r="F615" s="10">
        <f>IFERROR(IF(INDEX(ERP資料!$E:$E, (MATCH(614, 輔助計算!$G$2:$G$801, 0)+1))="","",TRIM(INDEX(ERP資料!$E:$E, (MATCH(614, 輔助計算!$G$2:$G$801, 0)+1)))), "")</f>
        <v/>
      </c>
      <c r="G615" s="10">
        <f>IFERROR(IF(INDEX(ERP資料!$F:$F, (MATCH(614, 輔助計算!$G$2:$G$801, 0)+1))="","",INDEX(ERP資料!$F:$F, (MATCH(614, 輔助計算!$G$2:$G$801, 0)+1))), "")</f>
        <v/>
      </c>
      <c r="H615" s="10">
        <f>IFERROR(IF(INDEX(ERP資料!$G:$G, (MATCH(614, 輔助計算!$G$2:$G$801, 0)+1))="","",INDEX(ERP資料!$G:$G, (MATCH(614, 輔助計算!$G$2:$G$801, 0)+1))), "")</f>
        <v/>
      </c>
      <c r="I615" s="15">
        <f>IFERROR(INDEX(輔助計算!$D:$D, (MATCH(614, 輔助計算!$G$2:$G$801, 0)+1)), "")</f>
        <v/>
      </c>
      <c r="J615" s="15">
        <f>IFERROR(IF(AND(INDEX(輔助計算!$D:$D, (MATCH(614, 輔助計算!$G$2:$G$801, 0)+1))&lt;&gt;"", INDEX(ERP資料!$G:$G, (MATCH(614, 輔助計算!$G$2:$G$801, 0)+1))&lt;&gt;""), TRIM(IF(INT(INDEX(輔助計算!$D:$D, (MATCH(614, 輔助計算!$G$2:$G$801, 0)+1))/IF(INDEX(ERP資料!$G:$G, (MATCH(614, 輔助計算!$G$2:$G$801, 0)+1))&lt;100, IF(INDEX(ERP資料!$G:$G, (MATCH(614, 輔助計算!$G$2:$G$801, 0)+1))&lt;=31,3,IF(INDEX(ERP資料!$G:$G, (MATCH(614, 輔助計算!$G$2:$G$801, 0)+1))&lt;=46.5,2,1)), IF(INDEX(ERP資料!$G:$G, (MATCH(614, 輔助計算!$G$2:$G$801, 0)+1))&lt;=790,3,IF(INDEX(ERP資料!$G:$G, (MATCH(614, 輔助計算!$G$2:$G$801, 0)+1))&lt;=1181,2,1))))&gt;0, IF(IF(INDEX(ERP資料!$G:$G, (MATCH(614, 輔助計算!$G$2:$G$801, 0)+1))&lt;100, IF(INDEX(ERP資料!$G:$G, (MATCH(614, 輔助計算!$G$2:$G$801, 0)+1))&lt;=31,3,IF(INDEX(ERP資料!$G:$G, (MATCH(614, 輔助計算!$G$2:$G$801, 0)+1))&lt;=46.5,2,1)), IF(INDEX(ERP資料!$G:$G, (MATCH(614, 輔助計算!$G$2:$G$801, 0)+1))&lt;=790,3,IF(INDEX(ERP資料!$G:$G, (MATCH(614, 輔助計算!$G$2:$G$801, 0)+1))&lt;=1181,2,1)))=1,TEXT(INDEX(ERP資料!$G:$G, (MATCH(614, 輔助計算!$G$2:$G$801, 0)+1)),"0.##"),IF(IF(INDEX(ERP資料!$G:$G, (MATCH(614, 輔助計算!$G$2:$G$801, 0)+1))&lt;100, IF(INDEX(ERP資料!$G:$G, (MATCH(614, 輔助計算!$G$2:$G$801, 0)+1))&lt;=31,3,IF(INDEX(ERP資料!$G:$G, (MATCH(614, 輔助計算!$G$2:$G$801, 0)+1))&lt;=46.5,2,1)), IF(INDEX(ERP資料!$G:$G, (MATCH(614, 輔助計算!$G$2:$G$801, 0)+1))&lt;=790,3,IF(INDEX(ERP資料!$G:$G, (MATCH(614, 輔助計算!$G$2:$G$801, 0)+1))&lt;=1181,2,1)))=2,TEXT(INDEX(ERP資料!$G:$G, (MATCH(614, 輔助計算!$G$2:$G$801, 0)+1)),"0.##")&amp;"+"&amp;TEXT(INDEX(ERP資料!$G:$G, (MATCH(614, 輔助計算!$G$2:$G$801, 0)+1)),"0.##"),TEXT(INDEX(ERP資料!$G:$G, (MATCH(614, 輔助計算!$G$2:$G$801, 0)+1)),"0.##")&amp;"+"&amp;TEXT(INDEX(ERP資料!$G:$G, (MATCH(614, 輔助計算!$G$2:$G$801, 0)+1)),"0.##")&amp;"+"&amp;TEXT(INDEX(ERP資料!$G:$G, (MATCH(614, 輔助計算!$G$2:$G$801, 0)+1)),"0.##")))&amp;"-"&amp;INT(INDEX(輔助計算!$D:$D, (MATCH(614, 輔助計算!$G$2:$G$801, 0)+1))/IF(INDEX(ERP資料!$G:$G, (MATCH(614, 輔助計算!$G$2:$G$801, 0)+1))&lt;100, IF(INDEX(ERP資料!$G:$G, (MATCH(614, 輔助計算!$G$2:$G$801, 0)+1))&lt;=31,3,IF(INDEX(ERP資料!$G:$G, (MATCH(614, 輔助計算!$G$2:$G$801, 0)+1))&lt;=46.5,2,1)), IF(INDEX(ERP資料!$G:$G, (MATCH(614, 輔助計算!$G$2:$G$801, 0)+1))&lt;=790,3,IF(INDEX(ERP資料!$G:$G, (MATCH(614, 輔助計算!$G$2:$G$801, 0)+1))&lt;=1181,2,1)))), "")&amp;IF(AND(IF(INT(INDEX(輔助計算!$D:$D, (MATCH(614, 輔助計算!$G$2:$G$801, 0)+1))/IF(INDEX(ERP資料!$G:$G, (MATCH(614, 輔助計算!$G$2:$G$801, 0)+1))&lt;100, IF(INDEX(ERP資料!$G:$G, (MATCH(614, 輔助計算!$G$2:$G$801, 0)+1))&lt;=31,3,IF(INDEX(ERP資料!$G:$G, (MATCH(614, 輔助計算!$G$2:$G$801, 0)+1))&lt;=46.5,2,1)), IF(INDEX(ERP資料!$G:$G, (MATCH(614, 輔助計算!$G$2:$G$801, 0)+1))&lt;=790,3,IF(INDEX(ERP資料!$G:$G, (MATCH(614, 輔助計算!$G$2:$G$801, 0)+1))&lt;=1181,2,1))))&gt;0, IF(IF(INDEX(ERP資料!$G:$G, (MATCH(614, 輔助計算!$G$2:$G$801, 0)+1))&lt;100, IF(INDEX(ERP資料!$G:$G, (MATCH(614, 輔助計算!$G$2:$G$801, 0)+1))&lt;=31,3,IF(INDEX(ERP資料!$G:$G, (MATCH(614, 輔助計算!$G$2:$G$801, 0)+1))&lt;=46.5,2,1)), IF(INDEX(ERP資料!$G:$G, (MATCH(614, 輔助計算!$G$2:$G$801, 0)+1))&lt;=790,3,IF(INDEX(ERP資料!$G:$G, (MATCH(614, 輔助計算!$G$2:$G$801, 0)+1))&lt;=1181,2,1)))=1,TEXT(INDEX(ERP資料!$G:$G, (MATCH(614, 輔助計算!$G$2:$G$801, 0)+1)),"0.##"),IF(IF(INDEX(ERP資料!$G:$G, (MATCH(614, 輔助計算!$G$2:$G$801, 0)+1))&lt;100, IF(INDEX(ERP資料!$G:$G, (MATCH(614, 輔助計算!$G$2:$G$801, 0)+1))&lt;=31,3,IF(INDEX(ERP資料!$G:$G, (MATCH(614, 輔助計算!$G$2:$G$801, 0)+1))&lt;=46.5,2,1)), IF(INDEX(ERP資料!$G:$G, (MATCH(614, 輔助計算!$G$2:$G$801, 0)+1))&lt;=790,3,IF(INDEX(ERP資料!$G:$G, (MATCH(614, 輔助計算!$G$2:$G$801, 0)+1))&lt;=1181,2,1)))=2,TEXT(INDEX(ERP資料!$G:$G, (MATCH(614, 輔助計算!$G$2:$G$801, 0)+1)),"0.##")&amp;"+"&amp;TEXT(INDEX(ERP資料!$G:$G, (MATCH(614, 輔助計算!$G$2:$G$801, 0)+1)),"0.##"),TEXT(INDEX(ERP資料!$G:$G, (MATCH(614, 輔助計算!$G$2:$G$801, 0)+1)),"0.##")&amp;"+"&amp;TEXT(INDEX(ERP資料!$G:$G, (MATCH(614, 輔助計算!$G$2:$G$801, 0)+1)),"0.##")&amp;"+"&amp;TEXT(INDEX(ERP資料!$G:$G, (MATCH(614, 輔助計算!$G$2:$G$801, 0)+1)),"0.##")))&amp;"-"&amp;INT(INDEX(輔助計算!$D:$D, (MATCH(614, 輔助計算!$G$2:$G$801, 0)+1))/IF(INDEX(ERP資料!$G:$G, (MATCH(614, 輔助計算!$G$2:$G$801, 0)+1))&lt;100, IF(INDEX(ERP資料!$G:$G, (MATCH(614, 輔助計算!$G$2:$G$801, 0)+1))&lt;=31,3,IF(INDEX(ERP資料!$G:$G, (MATCH(614, 輔助計算!$G$2:$G$801, 0)+1))&lt;=46.5,2,1)), IF(INDEX(ERP資料!$G:$G, (MATCH(614, 輔助計算!$G$2:$G$801, 0)+1))&lt;=790,3,IF(INDEX(ERP資料!$G:$G, (MATCH(614, 輔助計算!$G$2:$G$801, 0)+1))&lt;=1181,2,1)))), "")&lt;&gt;"",IF(MOD(INDEX(輔助計算!$D:$D, (MATCH(614, 輔助計算!$G$2:$G$801, 0)+1)),IF(INDEX(ERP資料!$G:$G, (MATCH(614, 輔助計算!$G$2:$G$801, 0)+1))&lt;100, IF(INDEX(ERP資料!$G:$G, (MATCH(614, 輔助計算!$G$2:$G$801, 0)+1))&lt;=31,3,IF(INDEX(ERP資料!$G:$G, (MATCH(614, 輔助計算!$G$2:$G$801, 0)+1))&lt;=46.5,2,1)), IF(INDEX(ERP資料!$G:$G, (MATCH(614, 輔助計算!$G$2:$G$801, 0)+1))&lt;=790,3,IF(INDEX(ERP資料!$G:$G, (MATCH(614, 輔助計算!$G$2:$G$801, 0)+1))&lt;=1181,2,1))))=0,"",IF(MOD(INDEX(輔助計算!$D:$D, (MATCH(614, 輔助計算!$G$2:$G$801, 0)+1)),IF(INDEX(ERP資料!$G:$G, (MATCH(614, 輔助計算!$G$2:$G$801, 0)+1))&lt;100, IF(INDEX(ERP資料!$G:$G, (MATCH(614, 輔助計算!$G$2:$G$801, 0)+1))&lt;=31,3,IF(INDEX(ERP資料!$G:$G, (MATCH(614, 輔助計算!$G$2:$G$801, 0)+1))&lt;=46.5,2,1)), IF(INDEX(ERP資料!$G:$G, (MATCH(614, 輔助計算!$G$2:$G$801, 0)+1))&lt;=790,3,IF(INDEX(ERP資料!$G:$G, (MATCH(614, 輔助計算!$G$2:$G$801, 0)+1))&lt;=1181,2,1))))=0,"",IF(MOD(INDEX(輔助計算!$D:$D, (MATCH(614, 輔助計算!$G$2:$G$801, 0)+1)),IF(INDEX(ERP資料!$G:$G, (MATCH(614, 輔助計算!$G$2:$G$801, 0)+1))&lt;100, IF(INDEX(ERP資料!$G:$G, (MATCH(614, 輔助計算!$G$2:$G$801, 0)+1))&lt;=31,3,IF(INDEX(ERP資料!$G:$G, (MATCH(614, 輔助計算!$G$2:$G$801, 0)+1))&lt;=46.5,2,1)), IF(INDEX(ERP資料!$G:$G, (MATCH(614, 輔助計算!$G$2:$G$801, 0)+1))&lt;=790,3,IF(INDEX(ERP資料!$G:$G, (MATCH(614, 輔助計算!$G$2:$G$801, 0)+1))&lt;=1181,2,1))))=1,TEXT(INDEX(ERP資料!$G:$G, (MATCH(614, 輔助計算!$G$2:$G$801, 0)+1)),"0.##"),IF(MOD(INDEX(輔助計算!$D:$D, (MATCH(614, 輔助計算!$G$2:$G$801, 0)+1)),IF(INDEX(ERP資料!$G:$G, (MATCH(614, 輔助計算!$G$2:$G$801, 0)+1))&lt;100, IF(INDEX(ERP資料!$G:$G, (MATCH(614, 輔助計算!$G$2:$G$801, 0)+1))&lt;=31,3,IF(INDEX(ERP資料!$G:$G, (MATCH(614, 輔助計算!$G$2:$G$801, 0)+1))&lt;=46.5,2,1)), IF(INDEX(ERP資料!$G:$G, (MATCH(614, 輔助計算!$G$2:$G$801, 0)+1))&lt;=790,3,IF(INDEX(ERP資料!$G:$G, (MATCH(614, 輔助計算!$G$2:$G$801, 0)+1))&lt;=1181,2,1))))=2,TEXT(INDEX(ERP資料!$G:$G, (MATCH(614, 輔助計算!$G$2:$G$801, 0)+1)),"0.##")&amp;"+"&amp;TEXT(INDEX(ERP資料!$G:$G, (MATCH(614, 輔助計算!$G$2:$G$801, 0)+1)),"0.##"),TEXT(INDEX(ERP資料!$G:$G, (MATCH(614, 輔助計算!$G$2:$G$801, 0)+1)),"0.##")&amp;"+"&amp;TEXT(INDEX(ERP資料!$G:$G, (MATCH(614, 輔助計算!$G$2:$G$801, 0)+1)),"0.##")&amp;"+"&amp;TEXT(INDEX(ERP資料!$G:$G, (MATCH(614, 輔助計算!$G$2:$G$801, 0)+1)),"0.##"))))&amp;"-1")&lt;&gt;""),"  ","")&amp;IF(MOD(INDEX(輔助計算!$D:$D, (MATCH(614, 輔助計算!$G$2:$G$801, 0)+1)),IF(INDEX(ERP資料!$G:$G, (MATCH(614, 輔助計算!$G$2:$G$801, 0)+1))&lt;100, IF(INDEX(ERP資料!$G:$G, (MATCH(614, 輔助計算!$G$2:$G$801, 0)+1))&lt;=31,3,IF(INDEX(ERP資料!$G:$G, (MATCH(614, 輔助計算!$G$2:$G$801, 0)+1))&lt;=46.5,2,1)), IF(INDEX(ERP資料!$G:$G, (MATCH(614, 輔助計算!$G$2:$G$801, 0)+1))&lt;=790,3,IF(INDEX(ERP資料!$G:$G, (MATCH(614, 輔助計算!$G$2:$G$801, 0)+1))&lt;=1181,2,1))))=0,"",IF(MOD(INDEX(輔助計算!$D:$D, (MATCH(614, 輔助計算!$G$2:$G$801, 0)+1)),IF(INDEX(ERP資料!$G:$G, (MATCH(614, 輔助計算!$G$2:$G$801, 0)+1))&lt;100, IF(INDEX(ERP資料!$G:$G, (MATCH(614, 輔助計算!$G$2:$G$801, 0)+1))&lt;=31,3,IF(INDEX(ERP資料!$G:$G, (MATCH(614, 輔助計算!$G$2:$G$801, 0)+1))&lt;=46.5,2,1)), IF(INDEX(ERP資料!$G:$G, (MATCH(614, 輔助計算!$G$2:$G$801, 0)+1))&lt;=790,3,IF(INDEX(ERP資料!$G:$G, (MATCH(614, 輔助計算!$G$2:$G$801, 0)+1))&lt;=1181,2,1))))=0,"",IF(MOD(INDEX(輔助計算!$D:$D, (MATCH(614, 輔助計算!$G$2:$G$801, 0)+1)),IF(INDEX(ERP資料!$G:$G, (MATCH(614, 輔助計算!$G$2:$G$801, 0)+1))&lt;100, IF(INDEX(ERP資料!$G:$G, (MATCH(614, 輔助計算!$G$2:$G$801, 0)+1))&lt;=31,3,IF(INDEX(ERP資料!$G:$G, (MATCH(614, 輔助計算!$G$2:$G$801, 0)+1))&lt;=46.5,2,1)), IF(INDEX(ERP資料!$G:$G, (MATCH(614, 輔助計算!$G$2:$G$801, 0)+1))&lt;=790,3,IF(INDEX(ERP資料!$G:$G, (MATCH(614, 輔助計算!$G$2:$G$801, 0)+1))&lt;=1181,2,1))))=1,TEXT(INDEX(ERP資料!$G:$G, (MATCH(614, 輔助計算!$G$2:$G$801, 0)+1)),"0.##"),IF(MOD(INDEX(輔助計算!$D:$D, (MATCH(614, 輔助計算!$G$2:$G$801, 0)+1)),IF(INDEX(ERP資料!$G:$G, (MATCH(614, 輔助計算!$G$2:$G$801, 0)+1))&lt;100, IF(INDEX(ERP資料!$G:$G, (MATCH(614, 輔助計算!$G$2:$G$801, 0)+1))&lt;=31,3,IF(INDEX(ERP資料!$G:$G, (MATCH(614, 輔助計算!$G$2:$G$801, 0)+1))&lt;=46.5,2,1)), IF(INDEX(ERP資料!$G:$G, (MATCH(614, 輔助計算!$G$2:$G$801, 0)+1))&lt;=790,3,IF(INDEX(ERP資料!$G:$G, (MATCH(614, 輔助計算!$G$2:$G$801, 0)+1))&lt;=1181,2,1))))=2,TEXT(INDEX(ERP資料!$G:$G, (MATCH(614, 輔助計算!$G$2:$G$801, 0)+1)),"0.##")&amp;"+"&amp;TEXT(INDEX(ERP資料!$G:$G, (MATCH(614, 輔助計算!$G$2:$G$801, 0)+1)),"0.##"),TEXT(INDEX(ERP資料!$G:$G, (MATCH(614, 輔助計算!$G$2:$G$801, 0)+1)),"0.##")&amp;"+"&amp;TEXT(INDEX(ERP資料!$G:$G, (MATCH(614, 輔助計算!$G$2:$G$801, 0)+1)),"0.##")&amp;"+"&amp;TEXT(INDEX(ERP資料!$G:$G, (MATCH(614, 輔助計算!$G$2:$G$801, 0)+1)),"0.##"))))&amp;"-1")), ""), "")</f>
        <v/>
      </c>
      <c r="K615" s="16" t="n"/>
      <c r="L615" s="14">
        <f>IFERROR(IF(AND(IFERROR(INDEX(ERP資料!$A:$A, (MATCH(614, 輔助計算!$G$2:$G$801, 0)+1)), "")&lt;&gt;"", IFERROR(INDEX(ERP資料!$A:$A, (MATCH(614, 輔助計算!$G$2:$G$801, 0)+1)), "")&lt;&gt;IFERROR(INDEX(ERP資料!$A:$A, MATCH(613, 輔助計算!$G$2:$G$801, 0)+1), "")), INDEX(ERP資料!$B:$B, (MATCH(614, 輔助計算!$G$2:$G$801, 0)+1)), ""), "")</f>
        <v/>
      </c>
      <c r="M615" s="17" t="n"/>
    </row>
    <row r="616">
      <c r="A616" s="10">
        <f>IFERROR(IF(AND(IFERROR(INDEX(ERP資料!$A:$A, (MATCH(615, 輔助計算!$G$2:$G$801, 0)+1)), "")&lt;&gt;"", IFERROR(INDEX(ERP資料!$A:$A, (MATCH(615, 輔助計算!$G$2:$G$801, 0)+1)), "")&lt;&gt;IFERROR(INDEX(ERP資料!$A:$A, MATCH(614, 輔助計算!$G$2:$G$801, 0)+1), "")), IFERROR(INDEX(ERP資料!$A:$A, (MATCH(615, 輔助計算!$G$2:$G$801, 0)+1)), ""), ""), "")</f>
        <v/>
      </c>
      <c r="B616" s="10">
        <f>IFERROR(IF(AND(IFERROR(INDEX(ERP資料!$A:$A, (MATCH(615, 輔助計算!$G$2:$G$801, 0)+1)), "")&lt;&gt;"", IFERROR(INDEX(ERP資料!$A:$A, (MATCH(615, 輔助計算!$G$2:$G$801, 0)+1)), "")&lt;&gt;IFERROR(INDEX(ERP資料!$A:$A, MATCH(614, 輔助計算!$G$2:$G$801, 0)+1), "")), INDEX(ERP資料!$S:$S, (MATCH(615, 輔助計算!$G$2:$G$801, 0)+1)), ""), "")</f>
        <v/>
      </c>
      <c r="C616" s="19">
        <f>IFERROR(IF(AND(IFERROR(INDEX(ERP資料!$A:$A, (MATCH(615, 輔助計算!$G$2:$G$801, 0)+1)), "")&lt;&gt;"", IFERROR(INDEX(ERP資料!$A:$A, (MATCH(615, 輔助計算!$G$2:$G$801, 0)+1)), "")&lt;&gt;IFERROR(INDEX(ERP資料!$A:$A, MATCH(614, 輔助計算!$G$2:$G$801, 0)+1), "")), IFERROR(VLOOKUP(LEFT(INDEX(ERP資料!$S:$S, (MATCH(615, 輔助計算!$G$2:$G$801, 0)+1)), 4), 紙管對照表!$A:$C, 3, FALSE), ""), ""), "")</f>
        <v/>
      </c>
      <c r="D616" s="16" t="n"/>
      <c r="E616" s="10">
        <f>IFERROR(IF(INDEX(ERP資料!$H:$H, (MATCH(615, 輔助計算!$G$2:$G$801, 0)+1))="","",INDEX(ERP資料!$H:$H, (MATCH(615, 輔助計算!$G$2:$G$801, 0)+1))), "")</f>
        <v/>
      </c>
      <c r="F616" s="10">
        <f>IFERROR(IF(INDEX(ERP資料!$E:$E, (MATCH(615, 輔助計算!$G$2:$G$801, 0)+1))="","",TRIM(INDEX(ERP資料!$E:$E, (MATCH(615, 輔助計算!$G$2:$G$801, 0)+1)))), "")</f>
        <v/>
      </c>
      <c r="G616" s="10">
        <f>IFERROR(IF(INDEX(ERP資料!$F:$F, (MATCH(615, 輔助計算!$G$2:$G$801, 0)+1))="","",INDEX(ERP資料!$F:$F, (MATCH(615, 輔助計算!$G$2:$G$801, 0)+1))), "")</f>
        <v/>
      </c>
      <c r="H616" s="10">
        <f>IFERROR(IF(INDEX(ERP資料!$G:$G, (MATCH(615, 輔助計算!$G$2:$G$801, 0)+1))="","",INDEX(ERP資料!$G:$G, (MATCH(615, 輔助計算!$G$2:$G$801, 0)+1))), "")</f>
        <v/>
      </c>
      <c r="I616" s="15">
        <f>IFERROR(INDEX(輔助計算!$D:$D, (MATCH(615, 輔助計算!$G$2:$G$801, 0)+1)), "")</f>
        <v/>
      </c>
      <c r="J616" s="15">
        <f>IFERROR(IF(AND(INDEX(輔助計算!$D:$D, (MATCH(615, 輔助計算!$G$2:$G$801, 0)+1))&lt;&gt;"", INDEX(ERP資料!$G:$G, (MATCH(615, 輔助計算!$G$2:$G$801, 0)+1))&lt;&gt;""), TRIM(IF(INT(INDEX(輔助計算!$D:$D, (MATCH(615, 輔助計算!$G$2:$G$801, 0)+1))/IF(INDEX(ERP資料!$G:$G, (MATCH(615, 輔助計算!$G$2:$G$801, 0)+1))&lt;100, IF(INDEX(ERP資料!$G:$G, (MATCH(615, 輔助計算!$G$2:$G$801, 0)+1))&lt;=31,3,IF(INDEX(ERP資料!$G:$G, (MATCH(615, 輔助計算!$G$2:$G$801, 0)+1))&lt;=46.5,2,1)), IF(INDEX(ERP資料!$G:$G, (MATCH(615, 輔助計算!$G$2:$G$801, 0)+1))&lt;=790,3,IF(INDEX(ERP資料!$G:$G, (MATCH(615, 輔助計算!$G$2:$G$801, 0)+1))&lt;=1181,2,1))))&gt;0, IF(IF(INDEX(ERP資料!$G:$G, (MATCH(615, 輔助計算!$G$2:$G$801, 0)+1))&lt;100, IF(INDEX(ERP資料!$G:$G, (MATCH(615, 輔助計算!$G$2:$G$801, 0)+1))&lt;=31,3,IF(INDEX(ERP資料!$G:$G, (MATCH(615, 輔助計算!$G$2:$G$801, 0)+1))&lt;=46.5,2,1)), IF(INDEX(ERP資料!$G:$G, (MATCH(615, 輔助計算!$G$2:$G$801, 0)+1))&lt;=790,3,IF(INDEX(ERP資料!$G:$G, (MATCH(615, 輔助計算!$G$2:$G$801, 0)+1))&lt;=1181,2,1)))=1,TEXT(INDEX(ERP資料!$G:$G, (MATCH(615, 輔助計算!$G$2:$G$801, 0)+1)),"0.##"),IF(IF(INDEX(ERP資料!$G:$G, (MATCH(615, 輔助計算!$G$2:$G$801, 0)+1))&lt;100, IF(INDEX(ERP資料!$G:$G, (MATCH(615, 輔助計算!$G$2:$G$801, 0)+1))&lt;=31,3,IF(INDEX(ERP資料!$G:$G, (MATCH(615, 輔助計算!$G$2:$G$801, 0)+1))&lt;=46.5,2,1)), IF(INDEX(ERP資料!$G:$G, (MATCH(615, 輔助計算!$G$2:$G$801, 0)+1))&lt;=790,3,IF(INDEX(ERP資料!$G:$G, (MATCH(615, 輔助計算!$G$2:$G$801, 0)+1))&lt;=1181,2,1)))=2,TEXT(INDEX(ERP資料!$G:$G, (MATCH(615, 輔助計算!$G$2:$G$801, 0)+1)),"0.##")&amp;"+"&amp;TEXT(INDEX(ERP資料!$G:$G, (MATCH(615, 輔助計算!$G$2:$G$801, 0)+1)),"0.##"),TEXT(INDEX(ERP資料!$G:$G, (MATCH(615, 輔助計算!$G$2:$G$801, 0)+1)),"0.##")&amp;"+"&amp;TEXT(INDEX(ERP資料!$G:$G, (MATCH(615, 輔助計算!$G$2:$G$801, 0)+1)),"0.##")&amp;"+"&amp;TEXT(INDEX(ERP資料!$G:$G, (MATCH(615, 輔助計算!$G$2:$G$801, 0)+1)),"0.##")))&amp;"-"&amp;INT(INDEX(輔助計算!$D:$D, (MATCH(615, 輔助計算!$G$2:$G$801, 0)+1))/IF(INDEX(ERP資料!$G:$G, (MATCH(615, 輔助計算!$G$2:$G$801, 0)+1))&lt;100, IF(INDEX(ERP資料!$G:$G, (MATCH(615, 輔助計算!$G$2:$G$801, 0)+1))&lt;=31,3,IF(INDEX(ERP資料!$G:$G, (MATCH(615, 輔助計算!$G$2:$G$801, 0)+1))&lt;=46.5,2,1)), IF(INDEX(ERP資料!$G:$G, (MATCH(615, 輔助計算!$G$2:$G$801, 0)+1))&lt;=790,3,IF(INDEX(ERP資料!$G:$G, (MATCH(615, 輔助計算!$G$2:$G$801, 0)+1))&lt;=1181,2,1)))), "")&amp;IF(AND(IF(INT(INDEX(輔助計算!$D:$D, (MATCH(615, 輔助計算!$G$2:$G$801, 0)+1))/IF(INDEX(ERP資料!$G:$G, (MATCH(615, 輔助計算!$G$2:$G$801, 0)+1))&lt;100, IF(INDEX(ERP資料!$G:$G, (MATCH(615, 輔助計算!$G$2:$G$801, 0)+1))&lt;=31,3,IF(INDEX(ERP資料!$G:$G, (MATCH(615, 輔助計算!$G$2:$G$801, 0)+1))&lt;=46.5,2,1)), IF(INDEX(ERP資料!$G:$G, (MATCH(615, 輔助計算!$G$2:$G$801, 0)+1))&lt;=790,3,IF(INDEX(ERP資料!$G:$G, (MATCH(615, 輔助計算!$G$2:$G$801, 0)+1))&lt;=1181,2,1))))&gt;0, IF(IF(INDEX(ERP資料!$G:$G, (MATCH(615, 輔助計算!$G$2:$G$801, 0)+1))&lt;100, IF(INDEX(ERP資料!$G:$G, (MATCH(615, 輔助計算!$G$2:$G$801, 0)+1))&lt;=31,3,IF(INDEX(ERP資料!$G:$G, (MATCH(615, 輔助計算!$G$2:$G$801, 0)+1))&lt;=46.5,2,1)), IF(INDEX(ERP資料!$G:$G, (MATCH(615, 輔助計算!$G$2:$G$801, 0)+1))&lt;=790,3,IF(INDEX(ERP資料!$G:$G, (MATCH(615, 輔助計算!$G$2:$G$801, 0)+1))&lt;=1181,2,1)))=1,TEXT(INDEX(ERP資料!$G:$G, (MATCH(615, 輔助計算!$G$2:$G$801, 0)+1)),"0.##"),IF(IF(INDEX(ERP資料!$G:$G, (MATCH(615, 輔助計算!$G$2:$G$801, 0)+1))&lt;100, IF(INDEX(ERP資料!$G:$G, (MATCH(615, 輔助計算!$G$2:$G$801, 0)+1))&lt;=31,3,IF(INDEX(ERP資料!$G:$G, (MATCH(615, 輔助計算!$G$2:$G$801, 0)+1))&lt;=46.5,2,1)), IF(INDEX(ERP資料!$G:$G, (MATCH(615, 輔助計算!$G$2:$G$801, 0)+1))&lt;=790,3,IF(INDEX(ERP資料!$G:$G, (MATCH(615, 輔助計算!$G$2:$G$801, 0)+1))&lt;=1181,2,1)))=2,TEXT(INDEX(ERP資料!$G:$G, (MATCH(615, 輔助計算!$G$2:$G$801, 0)+1)),"0.##")&amp;"+"&amp;TEXT(INDEX(ERP資料!$G:$G, (MATCH(615, 輔助計算!$G$2:$G$801, 0)+1)),"0.##"),TEXT(INDEX(ERP資料!$G:$G, (MATCH(615, 輔助計算!$G$2:$G$801, 0)+1)),"0.##")&amp;"+"&amp;TEXT(INDEX(ERP資料!$G:$G, (MATCH(615, 輔助計算!$G$2:$G$801, 0)+1)),"0.##")&amp;"+"&amp;TEXT(INDEX(ERP資料!$G:$G, (MATCH(615, 輔助計算!$G$2:$G$801, 0)+1)),"0.##")))&amp;"-"&amp;INT(INDEX(輔助計算!$D:$D, (MATCH(615, 輔助計算!$G$2:$G$801, 0)+1))/IF(INDEX(ERP資料!$G:$G, (MATCH(615, 輔助計算!$G$2:$G$801, 0)+1))&lt;100, IF(INDEX(ERP資料!$G:$G, (MATCH(615, 輔助計算!$G$2:$G$801, 0)+1))&lt;=31,3,IF(INDEX(ERP資料!$G:$G, (MATCH(615, 輔助計算!$G$2:$G$801, 0)+1))&lt;=46.5,2,1)), IF(INDEX(ERP資料!$G:$G, (MATCH(615, 輔助計算!$G$2:$G$801, 0)+1))&lt;=790,3,IF(INDEX(ERP資料!$G:$G, (MATCH(615, 輔助計算!$G$2:$G$801, 0)+1))&lt;=1181,2,1)))), "")&lt;&gt;"",IF(MOD(INDEX(輔助計算!$D:$D, (MATCH(615, 輔助計算!$G$2:$G$801, 0)+1)),IF(INDEX(ERP資料!$G:$G, (MATCH(615, 輔助計算!$G$2:$G$801, 0)+1))&lt;100, IF(INDEX(ERP資料!$G:$G, (MATCH(615, 輔助計算!$G$2:$G$801, 0)+1))&lt;=31,3,IF(INDEX(ERP資料!$G:$G, (MATCH(615, 輔助計算!$G$2:$G$801, 0)+1))&lt;=46.5,2,1)), IF(INDEX(ERP資料!$G:$G, (MATCH(615, 輔助計算!$G$2:$G$801, 0)+1))&lt;=790,3,IF(INDEX(ERP資料!$G:$G, (MATCH(615, 輔助計算!$G$2:$G$801, 0)+1))&lt;=1181,2,1))))=0,"",IF(MOD(INDEX(輔助計算!$D:$D, (MATCH(615, 輔助計算!$G$2:$G$801, 0)+1)),IF(INDEX(ERP資料!$G:$G, (MATCH(615, 輔助計算!$G$2:$G$801, 0)+1))&lt;100, IF(INDEX(ERP資料!$G:$G, (MATCH(615, 輔助計算!$G$2:$G$801, 0)+1))&lt;=31,3,IF(INDEX(ERP資料!$G:$G, (MATCH(615, 輔助計算!$G$2:$G$801, 0)+1))&lt;=46.5,2,1)), IF(INDEX(ERP資料!$G:$G, (MATCH(615, 輔助計算!$G$2:$G$801, 0)+1))&lt;=790,3,IF(INDEX(ERP資料!$G:$G, (MATCH(615, 輔助計算!$G$2:$G$801, 0)+1))&lt;=1181,2,1))))=0,"",IF(MOD(INDEX(輔助計算!$D:$D, (MATCH(615, 輔助計算!$G$2:$G$801, 0)+1)),IF(INDEX(ERP資料!$G:$G, (MATCH(615, 輔助計算!$G$2:$G$801, 0)+1))&lt;100, IF(INDEX(ERP資料!$G:$G, (MATCH(615, 輔助計算!$G$2:$G$801, 0)+1))&lt;=31,3,IF(INDEX(ERP資料!$G:$G, (MATCH(615, 輔助計算!$G$2:$G$801, 0)+1))&lt;=46.5,2,1)), IF(INDEX(ERP資料!$G:$G, (MATCH(615, 輔助計算!$G$2:$G$801, 0)+1))&lt;=790,3,IF(INDEX(ERP資料!$G:$G, (MATCH(615, 輔助計算!$G$2:$G$801, 0)+1))&lt;=1181,2,1))))=1,TEXT(INDEX(ERP資料!$G:$G, (MATCH(615, 輔助計算!$G$2:$G$801, 0)+1)),"0.##"),IF(MOD(INDEX(輔助計算!$D:$D, (MATCH(615, 輔助計算!$G$2:$G$801, 0)+1)),IF(INDEX(ERP資料!$G:$G, (MATCH(615, 輔助計算!$G$2:$G$801, 0)+1))&lt;100, IF(INDEX(ERP資料!$G:$G, (MATCH(615, 輔助計算!$G$2:$G$801, 0)+1))&lt;=31,3,IF(INDEX(ERP資料!$G:$G, (MATCH(615, 輔助計算!$G$2:$G$801, 0)+1))&lt;=46.5,2,1)), IF(INDEX(ERP資料!$G:$G, (MATCH(615, 輔助計算!$G$2:$G$801, 0)+1))&lt;=790,3,IF(INDEX(ERP資料!$G:$G, (MATCH(615, 輔助計算!$G$2:$G$801, 0)+1))&lt;=1181,2,1))))=2,TEXT(INDEX(ERP資料!$G:$G, (MATCH(615, 輔助計算!$G$2:$G$801, 0)+1)),"0.##")&amp;"+"&amp;TEXT(INDEX(ERP資料!$G:$G, (MATCH(615, 輔助計算!$G$2:$G$801, 0)+1)),"0.##"),TEXT(INDEX(ERP資料!$G:$G, (MATCH(615, 輔助計算!$G$2:$G$801, 0)+1)),"0.##")&amp;"+"&amp;TEXT(INDEX(ERP資料!$G:$G, (MATCH(615, 輔助計算!$G$2:$G$801, 0)+1)),"0.##")&amp;"+"&amp;TEXT(INDEX(ERP資料!$G:$G, (MATCH(615, 輔助計算!$G$2:$G$801, 0)+1)),"0.##"))))&amp;"-1")&lt;&gt;""),"  ","")&amp;IF(MOD(INDEX(輔助計算!$D:$D, (MATCH(615, 輔助計算!$G$2:$G$801, 0)+1)),IF(INDEX(ERP資料!$G:$G, (MATCH(615, 輔助計算!$G$2:$G$801, 0)+1))&lt;100, IF(INDEX(ERP資料!$G:$G, (MATCH(615, 輔助計算!$G$2:$G$801, 0)+1))&lt;=31,3,IF(INDEX(ERP資料!$G:$G, (MATCH(615, 輔助計算!$G$2:$G$801, 0)+1))&lt;=46.5,2,1)), IF(INDEX(ERP資料!$G:$G, (MATCH(615, 輔助計算!$G$2:$G$801, 0)+1))&lt;=790,3,IF(INDEX(ERP資料!$G:$G, (MATCH(615, 輔助計算!$G$2:$G$801, 0)+1))&lt;=1181,2,1))))=0,"",IF(MOD(INDEX(輔助計算!$D:$D, (MATCH(615, 輔助計算!$G$2:$G$801, 0)+1)),IF(INDEX(ERP資料!$G:$G, (MATCH(615, 輔助計算!$G$2:$G$801, 0)+1))&lt;100, IF(INDEX(ERP資料!$G:$G, (MATCH(615, 輔助計算!$G$2:$G$801, 0)+1))&lt;=31,3,IF(INDEX(ERP資料!$G:$G, (MATCH(615, 輔助計算!$G$2:$G$801, 0)+1))&lt;=46.5,2,1)), IF(INDEX(ERP資料!$G:$G, (MATCH(615, 輔助計算!$G$2:$G$801, 0)+1))&lt;=790,3,IF(INDEX(ERP資料!$G:$G, (MATCH(615, 輔助計算!$G$2:$G$801, 0)+1))&lt;=1181,2,1))))=0,"",IF(MOD(INDEX(輔助計算!$D:$D, (MATCH(615, 輔助計算!$G$2:$G$801, 0)+1)),IF(INDEX(ERP資料!$G:$G, (MATCH(615, 輔助計算!$G$2:$G$801, 0)+1))&lt;100, IF(INDEX(ERP資料!$G:$G, (MATCH(615, 輔助計算!$G$2:$G$801, 0)+1))&lt;=31,3,IF(INDEX(ERP資料!$G:$G, (MATCH(615, 輔助計算!$G$2:$G$801, 0)+1))&lt;=46.5,2,1)), IF(INDEX(ERP資料!$G:$G, (MATCH(615, 輔助計算!$G$2:$G$801, 0)+1))&lt;=790,3,IF(INDEX(ERP資料!$G:$G, (MATCH(615, 輔助計算!$G$2:$G$801, 0)+1))&lt;=1181,2,1))))=1,TEXT(INDEX(ERP資料!$G:$G, (MATCH(615, 輔助計算!$G$2:$G$801, 0)+1)),"0.##"),IF(MOD(INDEX(輔助計算!$D:$D, (MATCH(615, 輔助計算!$G$2:$G$801, 0)+1)),IF(INDEX(ERP資料!$G:$G, (MATCH(615, 輔助計算!$G$2:$G$801, 0)+1))&lt;100, IF(INDEX(ERP資料!$G:$G, (MATCH(615, 輔助計算!$G$2:$G$801, 0)+1))&lt;=31,3,IF(INDEX(ERP資料!$G:$G, (MATCH(615, 輔助計算!$G$2:$G$801, 0)+1))&lt;=46.5,2,1)), IF(INDEX(ERP資料!$G:$G, (MATCH(615, 輔助計算!$G$2:$G$801, 0)+1))&lt;=790,3,IF(INDEX(ERP資料!$G:$G, (MATCH(615, 輔助計算!$G$2:$G$801, 0)+1))&lt;=1181,2,1))))=2,TEXT(INDEX(ERP資料!$G:$G, (MATCH(615, 輔助計算!$G$2:$G$801, 0)+1)),"0.##")&amp;"+"&amp;TEXT(INDEX(ERP資料!$G:$G, (MATCH(615, 輔助計算!$G$2:$G$801, 0)+1)),"0.##"),TEXT(INDEX(ERP資料!$G:$G, (MATCH(615, 輔助計算!$G$2:$G$801, 0)+1)),"0.##")&amp;"+"&amp;TEXT(INDEX(ERP資料!$G:$G, (MATCH(615, 輔助計算!$G$2:$G$801, 0)+1)),"0.##")&amp;"+"&amp;TEXT(INDEX(ERP資料!$G:$G, (MATCH(615, 輔助計算!$G$2:$G$801, 0)+1)),"0.##"))))&amp;"-1")), ""), "")</f>
        <v/>
      </c>
      <c r="K616" s="16" t="n"/>
      <c r="L616" s="14">
        <f>IFERROR(IF(AND(IFERROR(INDEX(ERP資料!$A:$A, (MATCH(615, 輔助計算!$G$2:$G$801, 0)+1)), "")&lt;&gt;"", IFERROR(INDEX(ERP資料!$A:$A, (MATCH(615, 輔助計算!$G$2:$G$801, 0)+1)), "")&lt;&gt;IFERROR(INDEX(ERP資料!$A:$A, MATCH(614, 輔助計算!$G$2:$G$801, 0)+1), "")), INDEX(ERP資料!$B:$B, (MATCH(615, 輔助計算!$G$2:$G$801, 0)+1)), ""), "")</f>
        <v/>
      </c>
      <c r="M616" s="17" t="n"/>
    </row>
    <row r="617">
      <c r="A617" s="10">
        <f>IFERROR(IF(AND(IFERROR(INDEX(ERP資料!$A:$A, (MATCH(616, 輔助計算!$G$2:$G$801, 0)+1)), "")&lt;&gt;"", IFERROR(INDEX(ERP資料!$A:$A, (MATCH(616, 輔助計算!$G$2:$G$801, 0)+1)), "")&lt;&gt;IFERROR(INDEX(ERP資料!$A:$A, MATCH(615, 輔助計算!$G$2:$G$801, 0)+1), "")), IFERROR(INDEX(ERP資料!$A:$A, (MATCH(616, 輔助計算!$G$2:$G$801, 0)+1)), ""), ""), "")</f>
        <v/>
      </c>
      <c r="B617" s="10">
        <f>IFERROR(IF(AND(IFERROR(INDEX(ERP資料!$A:$A, (MATCH(616, 輔助計算!$G$2:$G$801, 0)+1)), "")&lt;&gt;"", IFERROR(INDEX(ERP資料!$A:$A, (MATCH(616, 輔助計算!$G$2:$G$801, 0)+1)), "")&lt;&gt;IFERROR(INDEX(ERP資料!$A:$A, MATCH(615, 輔助計算!$G$2:$G$801, 0)+1), "")), INDEX(ERP資料!$S:$S, (MATCH(616, 輔助計算!$G$2:$G$801, 0)+1)), ""), "")</f>
        <v/>
      </c>
      <c r="C617" s="19">
        <f>IFERROR(IF(AND(IFERROR(INDEX(ERP資料!$A:$A, (MATCH(616, 輔助計算!$G$2:$G$801, 0)+1)), "")&lt;&gt;"", IFERROR(INDEX(ERP資料!$A:$A, (MATCH(616, 輔助計算!$G$2:$G$801, 0)+1)), "")&lt;&gt;IFERROR(INDEX(ERP資料!$A:$A, MATCH(615, 輔助計算!$G$2:$G$801, 0)+1), "")), IFERROR(VLOOKUP(LEFT(INDEX(ERP資料!$S:$S, (MATCH(616, 輔助計算!$G$2:$G$801, 0)+1)), 4), 紙管對照表!$A:$C, 3, FALSE), ""), ""), "")</f>
        <v/>
      </c>
      <c r="D617" s="16" t="n"/>
      <c r="E617" s="10">
        <f>IFERROR(IF(INDEX(ERP資料!$H:$H, (MATCH(616, 輔助計算!$G$2:$G$801, 0)+1))="","",INDEX(ERP資料!$H:$H, (MATCH(616, 輔助計算!$G$2:$G$801, 0)+1))), "")</f>
        <v/>
      </c>
      <c r="F617" s="10">
        <f>IFERROR(IF(INDEX(ERP資料!$E:$E, (MATCH(616, 輔助計算!$G$2:$G$801, 0)+1))="","",TRIM(INDEX(ERP資料!$E:$E, (MATCH(616, 輔助計算!$G$2:$G$801, 0)+1)))), "")</f>
        <v/>
      </c>
      <c r="G617" s="10">
        <f>IFERROR(IF(INDEX(ERP資料!$F:$F, (MATCH(616, 輔助計算!$G$2:$G$801, 0)+1))="","",INDEX(ERP資料!$F:$F, (MATCH(616, 輔助計算!$G$2:$G$801, 0)+1))), "")</f>
        <v/>
      </c>
      <c r="H617" s="10">
        <f>IFERROR(IF(INDEX(ERP資料!$G:$G, (MATCH(616, 輔助計算!$G$2:$G$801, 0)+1))="","",INDEX(ERP資料!$G:$G, (MATCH(616, 輔助計算!$G$2:$G$801, 0)+1))), "")</f>
        <v/>
      </c>
      <c r="I617" s="15">
        <f>IFERROR(INDEX(輔助計算!$D:$D, (MATCH(616, 輔助計算!$G$2:$G$801, 0)+1)), "")</f>
        <v/>
      </c>
      <c r="J617" s="15">
        <f>IFERROR(IF(AND(INDEX(輔助計算!$D:$D, (MATCH(616, 輔助計算!$G$2:$G$801, 0)+1))&lt;&gt;"", INDEX(ERP資料!$G:$G, (MATCH(616, 輔助計算!$G$2:$G$801, 0)+1))&lt;&gt;""), TRIM(IF(INT(INDEX(輔助計算!$D:$D, (MATCH(616, 輔助計算!$G$2:$G$801, 0)+1))/IF(INDEX(ERP資料!$G:$G, (MATCH(616, 輔助計算!$G$2:$G$801, 0)+1))&lt;100, IF(INDEX(ERP資料!$G:$G, (MATCH(616, 輔助計算!$G$2:$G$801, 0)+1))&lt;=31,3,IF(INDEX(ERP資料!$G:$G, (MATCH(616, 輔助計算!$G$2:$G$801, 0)+1))&lt;=46.5,2,1)), IF(INDEX(ERP資料!$G:$G, (MATCH(616, 輔助計算!$G$2:$G$801, 0)+1))&lt;=790,3,IF(INDEX(ERP資料!$G:$G, (MATCH(616, 輔助計算!$G$2:$G$801, 0)+1))&lt;=1181,2,1))))&gt;0, IF(IF(INDEX(ERP資料!$G:$G, (MATCH(616, 輔助計算!$G$2:$G$801, 0)+1))&lt;100, IF(INDEX(ERP資料!$G:$G, (MATCH(616, 輔助計算!$G$2:$G$801, 0)+1))&lt;=31,3,IF(INDEX(ERP資料!$G:$G, (MATCH(616, 輔助計算!$G$2:$G$801, 0)+1))&lt;=46.5,2,1)), IF(INDEX(ERP資料!$G:$G, (MATCH(616, 輔助計算!$G$2:$G$801, 0)+1))&lt;=790,3,IF(INDEX(ERP資料!$G:$G, (MATCH(616, 輔助計算!$G$2:$G$801, 0)+1))&lt;=1181,2,1)))=1,TEXT(INDEX(ERP資料!$G:$G, (MATCH(616, 輔助計算!$G$2:$G$801, 0)+1)),"0.##"),IF(IF(INDEX(ERP資料!$G:$G, (MATCH(616, 輔助計算!$G$2:$G$801, 0)+1))&lt;100, IF(INDEX(ERP資料!$G:$G, (MATCH(616, 輔助計算!$G$2:$G$801, 0)+1))&lt;=31,3,IF(INDEX(ERP資料!$G:$G, (MATCH(616, 輔助計算!$G$2:$G$801, 0)+1))&lt;=46.5,2,1)), IF(INDEX(ERP資料!$G:$G, (MATCH(616, 輔助計算!$G$2:$G$801, 0)+1))&lt;=790,3,IF(INDEX(ERP資料!$G:$G, (MATCH(616, 輔助計算!$G$2:$G$801, 0)+1))&lt;=1181,2,1)))=2,TEXT(INDEX(ERP資料!$G:$G, (MATCH(616, 輔助計算!$G$2:$G$801, 0)+1)),"0.##")&amp;"+"&amp;TEXT(INDEX(ERP資料!$G:$G, (MATCH(616, 輔助計算!$G$2:$G$801, 0)+1)),"0.##"),TEXT(INDEX(ERP資料!$G:$G, (MATCH(616, 輔助計算!$G$2:$G$801, 0)+1)),"0.##")&amp;"+"&amp;TEXT(INDEX(ERP資料!$G:$G, (MATCH(616, 輔助計算!$G$2:$G$801, 0)+1)),"0.##")&amp;"+"&amp;TEXT(INDEX(ERP資料!$G:$G, (MATCH(616, 輔助計算!$G$2:$G$801, 0)+1)),"0.##")))&amp;"-"&amp;INT(INDEX(輔助計算!$D:$D, (MATCH(616, 輔助計算!$G$2:$G$801, 0)+1))/IF(INDEX(ERP資料!$G:$G, (MATCH(616, 輔助計算!$G$2:$G$801, 0)+1))&lt;100, IF(INDEX(ERP資料!$G:$G, (MATCH(616, 輔助計算!$G$2:$G$801, 0)+1))&lt;=31,3,IF(INDEX(ERP資料!$G:$G, (MATCH(616, 輔助計算!$G$2:$G$801, 0)+1))&lt;=46.5,2,1)), IF(INDEX(ERP資料!$G:$G, (MATCH(616, 輔助計算!$G$2:$G$801, 0)+1))&lt;=790,3,IF(INDEX(ERP資料!$G:$G, (MATCH(616, 輔助計算!$G$2:$G$801, 0)+1))&lt;=1181,2,1)))), "")&amp;IF(AND(IF(INT(INDEX(輔助計算!$D:$D, (MATCH(616, 輔助計算!$G$2:$G$801, 0)+1))/IF(INDEX(ERP資料!$G:$G, (MATCH(616, 輔助計算!$G$2:$G$801, 0)+1))&lt;100, IF(INDEX(ERP資料!$G:$G, (MATCH(616, 輔助計算!$G$2:$G$801, 0)+1))&lt;=31,3,IF(INDEX(ERP資料!$G:$G, (MATCH(616, 輔助計算!$G$2:$G$801, 0)+1))&lt;=46.5,2,1)), IF(INDEX(ERP資料!$G:$G, (MATCH(616, 輔助計算!$G$2:$G$801, 0)+1))&lt;=790,3,IF(INDEX(ERP資料!$G:$G, (MATCH(616, 輔助計算!$G$2:$G$801, 0)+1))&lt;=1181,2,1))))&gt;0, IF(IF(INDEX(ERP資料!$G:$G, (MATCH(616, 輔助計算!$G$2:$G$801, 0)+1))&lt;100, IF(INDEX(ERP資料!$G:$G, (MATCH(616, 輔助計算!$G$2:$G$801, 0)+1))&lt;=31,3,IF(INDEX(ERP資料!$G:$G, (MATCH(616, 輔助計算!$G$2:$G$801, 0)+1))&lt;=46.5,2,1)), IF(INDEX(ERP資料!$G:$G, (MATCH(616, 輔助計算!$G$2:$G$801, 0)+1))&lt;=790,3,IF(INDEX(ERP資料!$G:$G, (MATCH(616, 輔助計算!$G$2:$G$801, 0)+1))&lt;=1181,2,1)))=1,TEXT(INDEX(ERP資料!$G:$G, (MATCH(616, 輔助計算!$G$2:$G$801, 0)+1)),"0.##"),IF(IF(INDEX(ERP資料!$G:$G, (MATCH(616, 輔助計算!$G$2:$G$801, 0)+1))&lt;100, IF(INDEX(ERP資料!$G:$G, (MATCH(616, 輔助計算!$G$2:$G$801, 0)+1))&lt;=31,3,IF(INDEX(ERP資料!$G:$G, (MATCH(616, 輔助計算!$G$2:$G$801, 0)+1))&lt;=46.5,2,1)), IF(INDEX(ERP資料!$G:$G, (MATCH(616, 輔助計算!$G$2:$G$801, 0)+1))&lt;=790,3,IF(INDEX(ERP資料!$G:$G, (MATCH(616, 輔助計算!$G$2:$G$801, 0)+1))&lt;=1181,2,1)))=2,TEXT(INDEX(ERP資料!$G:$G, (MATCH(616, 輔助計算!$G$2:$G$801, 0)+1)),"0.##")&amp;"+"&amp;TEXT(INDEX(ERP資料!$G:$G, (MATCH(616, 輔助計算!$G$2:$G$801, 0)+1)),"0.##"),TEXT(INDEX(ERP資料!$G:$G, (MATCH(616, 輔助計算!$G$2:$G$801, 0)+1)),"0.##")&amp;"+"&amp;TEXT(INDEX(ERP資料!$G:$G, (MATCH(616, 輔助計算!$G$2:$G$801, 0)+1)),"0.##")&amp;"+"&amp;TEXT(INDEX(ERP資料!$G:$G, (MATCH(616, 輔助計算!$G$2:$G$801, 0)+1)),"0.##")))&amp;"-"&amp;INT(INDEX(輔助計算!$D:$D, (MATCH(616, 輔助計算!$G$2:$G$801, 0)+1))/IF(INDEX(ERP資料!$G:$G, (MATCH(616, 輔助計算!$G$2:$G$801, 0)+1))&lt;100, IF(INDEX(ERP資料!$G:$G, (MATCH(616, 輔助計算!$G$2:$G$801, 0)+1))&lt;=31,3,IF(INDEX(ERP資料!$G:$G, (MATCH(616, 輔助計算!$G$2:$G$801, 0)+1))&lt;=46.5,2,1)), IF(INDEX(ERP資料!$G:$G, (MATCH(616, 輔助計算!$G$2:$G$801, 0)+1))&lt;=790,3,IF(INDEX(ERP資料!$G:$G, (MATCH(616, 輔助計算!$G$2:$G$801, 0)+1))&lt;=1181,2,1)))), "")&lt;&gt;"",IF(MOD(INDEX(輔助計算!$D:$D, (MATCH(616, 輔助計算!$G$2:$G$801, 0)+1)),IF(INDEX(ERP資料!$G:$G, (MATCH(616, 輔助計算!$G$2:$G$801, 0)+1))&lt;100, IF(INDEX(ERP資料!$G:$G, (MATCH(616, 輔助計算!$G$2:$G$801, 0)+1))&lt;=31,3,IF(INDEX(ERP資料!$G:$G, (MATCH(616, 輔助計算!$G$2:$G$801, 0)+1))&lt;=46.5,2,1)), IF(INDEX(ERP資料!$G:$G, (MATCH(616, 輔助計算!$G$2:$G$801, 0)+1))&lt;=790,3,IF(INDEX(ERP資料!$G:$G, (MATCH(616, 輔助計算!$G$2:$G$801, 0)+1))&lt;=1181,2,1))))=0,"",IF(MOD(INDEX(輔助計算!$D:$D, (MATCH(616, 輔助計算!$G$2:$G$801, 0)+1)),IF(INDEX(ERP資料!$G:$G, (MATCH(616, 輔助計算!$G$2:$G$801, 0)+1))&lt;100, IF(INDEX(ERP資料!$G:$G, (MATCH(616, 輔助計算!$G$2:$G$801, 0)+1))&lt;=31,3,IF(INDEX(ERP資料!$G:$G, (MATCH(616, 輔助計算!$G$2:$G$801, 0)+1))&lt;=46.5,2,1)), IF(INDEX(ERP資料!$G:$G, (MATCH(616, 輔助計算!$G$2:$G$801, 0)+1))&lt;=790,3,IF(INDEX(ERP資料!$G:$G, (MATCH(616, 輔助計算!$G$2:$G$801, 0)+1))&lt;=1181,2,1))))=0,"",IF(MOD(INDEX(輔助計算!$D:$D, (MATCH(616, 輔助計算!$G$2:$G$801, 0)+1)),IF(INDEX(ERP資料!$G:$G, (MATCH(616, 輔助計算!$G$2:$G$801, 0)+1))&lt;100, IF(INDEX(ERP資料!$G:$G, (MATCH(616, 輔助計算!$G$2:$G$801, 0)+1))&lt;=31,3,IF(INDEX(ERP資料!$G:$G, (MATCH(616, 輔助計算!$G$2:$G$801, 0)+1))&lt;=46.5,2,1)), IF(INDEX(ERP資料!$G:$G, (MATCH(616, 輔助計算!$G$2:$G$801, 0)+1))&lt;=790,3,IF(INDEX(ERP資料!$G:$G, (MATCH(616, 輔助計算!$G$2:$G$801, 0)+1))&lt;=1181,2,1))))=1,TEXT(INDEX(ERP資料!$G:$G, (MATCH(616, 輔助計算!$G$2:$G$801, 0)+1)),"0.##"),IF(MOD(INDEX(輔助計算!$D:$D, (MATCH(616, 輔助計算!$G$2:$G$801, 0)+1)),IF(INDEX(ERP資料!$G:$G, (MATCH(616, 輔助計算!$G$2:$G$801, 0)+1))&lt;100, IF(INDEX(ERP資料!$G:$G, (MATCH(616, 輔助計算!$G$2:$G$801, 0)+1))&lt;=31,3,IF(INDEX(ERP資料!$G:$G, (MATCH(616, 輔助計算!$G$2:$G$801, 0)+1))&lt;=46.5,2,1)), IF(INDEX(ERP資料!$G:$G, (MATCH(616, 輔助計算!$G$2:$G$801, 0)+1))&lt;=790,3,IF(INDEX(ERP資料!$G:$G, (MATCH(616, 輔助計算!$G$2:$G$801, 0)+1))&lt;=1181,2,1))))=2,TEXT(INDEX(ERP資料!$G:$G, (MATCH(616, 輔助計算!$G$2:$G$801, 0)+1)),"0.##")&amp;"+"&amp;TEXT(INDEX(ERP資料!$G:$G, (MATCH(616, 輔助計算!$G$2:$G$801, 0)+1)),"0.##"),TEXT(INDEX(ERP資料!$G:$G, (MATCH(616, 輔助計算!$G$2:$G$801, 0)+1)),"0.##")&amp;"+"&amp;TEXT(INDEX(ERP資料!$G:$G, (MATCH(616, 輔助計算!$G$2:$G$801, 0)+1)),"0.##")&amp;"+"&amp;TEXT(INDEX(ERP資料!$G:$G, (MATCH(616, 輔助計算!$G$2:$G$801, 0)+1)),"0.##"))))&amp;"-1")&lt;&gt;""),"  ","")&amp;IF(MOD(INDEX(輔助計算!$D:$D, (MATCH(616, 輔助計算!$G$2:$G$801, 0)+1)),IF(INDEX(ERP資料!$G:$G, (MATCH(616, 輔助計算!$G$2:$G$801, 0)+1))&lt;100, IF(INDEX(ERP資料!$G:$G, (MATCH(616, 輔助計算!$G$2:$G$801, 0)+1))&lt;=31,3,IF(INDEX(ERP資料!$G:$G, (MATCH(616, 輔助計算!$G$2:$G$801, 0)+1))&lt;=46.5,2,1)), IF(INDEX(ERP資料!$G:$G, (MATCH(616, 輔助計算!$G$2:$G$801, 0)+1))&lt;=790,3,IF(INDEX(ERP資料!$G:$G, (MATCH(616, 輔助計算!$G$2:$G$801, 0)+1))&lt;=1181,2,1))))=0,"",IF(MOD(INDEX(輔助計算!$D:$D, (MATCH(616, 輔助計算!$G$2:$G$801, 0)+1)),IF(INDEX(ERP資料!$G:$G, (MATCH(616, 輔助計算!$G$2:$G$801, 0)+1))&lt;100, IF(INDEX(ERP資料!$G:$G, (MATCH(616, 輔助計算!$G$2:$G$801, 0)+1))&lt;=31,3,IF(INDEX(ERP資料!$G:$G, (MATCH(616, 輔助計算!$G$2:$G$801, 0)+1))&lt;=46.5,2,1)), IF(INDEX(ERP資料!$G:$G, (MATCH(616, 輔助計算!$G$2:$G$801, 0)+1))&lt;=790,3,IF(INDEX(ERP資料!$G:$G, (MATCH(616, 輔助計算!$G$2:$G$801, 0)+1))&lt;=1181,2,1))))=0,"",IF(MOD(INDEX(輔助計算!$D:$D, (MATCH(616, 輔助計算!$G$2:$G$801, 0)+1)),IF(INDEX(ERP資料!$G:$G, (MATCH(616, 輔助計算!$G$2:$G$801, 0)+1))&lt;100, IF(INDEX(ERP資料!$G:$G, (MATCH(616, 輔助計算!$G$2:$G$801, 0)+1))&lt;=31,3,IF(INDEX(ERP資料!$G:$G, (MATCH(616, 輔助計算!$G$2:$G$801, 0)+1))&lt;=46.5,2,1)), IF(INDEX(ERP資料!$G:$G, (MATCH(616, 輔助計算!$G$2:$G$801, 0)+1))&lt;=790,3,IF(INDEX(ERP資料!$G:$G, (MATCH(616, 輔助計算!$G$2:$G$801, 0)+1))&lt;=1181,2,1))))=1,TEXT(INDEX(ERP資料!$G:$G, (MATCH(616, 輔助計算!$G$2:$G$801, 0)+1)),"0.##"),IF(MOD(INDEX(輔助計算!$D:$D, (MATCH(616, 輔助計算!$G$2:$G$801, 0)+1)),IF(INDEX(ERP資料!$G:$G, (MATCH(616, 輔助計算!$G$2:$G$801, 0)+1))&lt;100, IF(INDEX(ERP資料!$G:$G, (MATCH(616, 輔助計算!$G$2:$G$801, 0)+1))&lt;=31,3,IF(INDEX(ERP資料!$G:$G, (MATCH(616, 輔助計算!$G$2:$G$801, 0)+1))&lt;=46.5,2,1)), IF(INDEX(ERP資料!$G:$G, (MATCH(616, 輔助計算!$G$2:$G$801, 0)+1))&lt;=790,3,IF(INDEX(ERP資料!$G:$G, (MATCH(616, 輔助計算!$G$2:$G$801, 0)+1))&lt;=1181,2,1))))=2,TEXT(INDEX(ERP資料!$G:$G, (MATCH(616, 輔助計算!$G$2:$G$801, 0)+1)),"0.##")&amp;"+"&amp;TEXT(INDEX(ERP資料!$G:$G, (MATCH(616, 輔助計算!$G$2:$G$801, 0)+1)),"0.##"),TEXT(INDEX(ERP資料!$G:$G, (MATCH(616, 輔助計算!$G$2:$G$801, 0)+1)),"0.##")&amp;"+"&amp;TEXT(INDEX(ERP資料!$G:$G, (MATCH(616, 輔助計算!$G$2:$G$801, 0)+1)),"0.##")&amp;"+"&amp;TEXT(INDEX(ERP資料!$G:$G, (MATCH(616, 輔助計算!$G$2:$G$801, 0)+1)),"0.##"))))&amp;"-1")), ""), "")</f>
        <v/>
      </c>
      <c r="K617" s="16" t="n"/>
      <c r="L617" s="14">
        <f>IFERROR(IF(AND(IFERROR(INDEX(ERP資料!$A:$A, (MATCH(616, 輔助計算!$G$2:$G$801, 0)+1)), "")&lt;&gt;"", IFERROR(INDEX(ERP資料!$A:$A, (MATCH(616, 輔助計算!$G$2:$G$801, 0)+1)), "")&lt;&gt;IFERROR(INDEX(ERP資料!$A:$A, MATCH(615, 輔助計算!$G$2:$G$801, 0)+1), "")), INDEX(ERP資料!$B:$B, (MATCH(616, 輔助計算!$G$2:$G$801, 0)+1)), ""), "")</f>
        <v/>
      </c>
      <c r="M617" s="17" t="n"/>
    </row>
    <row r="618">
      <c r="A618" s="10">
        <f>IFERROR(IF(AND(IFERROR(INDEX(ERP資料!$A:$A, (MATCH(617, 輔助計算!$G$2:$G$801, 0)+1)), "")&lt;&gt;"", IFERROR(INDEX(ERP資料!$A:$A, (MATCH(617, 輔助計算!$G$2:$G$801, 0)+1)), "")&lt;&gt;IFERROR(INDEX(ERP資料!$A:$A, MATCH(616, 輔助計算!$G$2:$G$801, 0)+1), "")), IFERROR(INDEX(ERP資料!$A:$A, (MATCH(617, 輔助計算!$G$2:$G$801, 0)+1)), ""), ""), "")</f>
        <v/>
      </c>
      <c r="B618" s="10">
        <f>IFERROR(IF(AND(IFERROR(INDEX(ERP資料!$A:$A, (MATCH(617, 輔助計算!$G$2:$G$801, 0)+1)), "")&lt;&gt;"", IFERROR(INDEX(ERP資料!$A:$A, (MATCH(617, 輔助計算!$G$2:$G$801, 0)+1)), "")&lt;&gt;IFERROR(INDEX(ERP資料!$A:$A, MATCH(616, 輔助計算!$G$2:$G$801, 0)+1), "")), INDEX(ERP資料!$S:$S, (MATCH(617, 輔助計算!$G$2:$G$801, 0)+1)), ""), "")</f>
        <v/>
      </c>
      <c r="C618" s="19">
        <f>IFERROR(IF(AND(IFERROR(INDEX(ERP資料!$A:$A, (MATCH(617, 輔助計算!$G$2:$G$801, 0)+1)), "")&lt;&gt;"", IFERROR(INDEX(ERP資料!$A:$A, (MATCH(617, 輔助計算!$G$2:$G$801, 0)+1)), "")&lt;&gt;IFERROR(INDEX(ERP資料!$A:$A, MATCH(616, 輔助計算!$G$2:$G$801, 0)+1), "")), IFERROR(VLOOKUP(LEFT(INDEX(ERP資料!$S:$S, (MATCH(617, 輔助計算!$G$2:$G$801, 0)+1)), 4), 紙管對照表!$A:$C, 3, FALSE), ""), ""), "")</f>
        <v/>
      </c>
      <c r="D618" s="16" t="n"/>
      <c r="E618" s="10">
        <f>IFERROR(IF(INDEX(ERP資料!$H:$H, (MATCH(617, 輔助計算!$G$2:$G$801, 0)+1))="","",INDEX(ERP資料!$H:$H, (MATCH(617, 輔助計算!$G$2:$G$801, 0)+1))), "")</f>
        <v/>
      </c>
      <c r="F618" s="10">
        <f>IFERROR(IF(INDEX(ERP資料!$E:$E, (MATCH(617, 輔助計算!$G$2:$G$801, 0)+1))="","",TRIM(INDEX(ERP資料!$E:$E, (MATCH(617, 輔助計算!$G$2:$G$801, 0)+1)))), "")</f>
        <v/>
      </c>
      <c r="G618" s="10">
        <f>IFERROR(IF(INDEX(ERP資料!$F:$F, (MATCH(617, 輔助計算!$G$2:$G$801, 0)+1))="","",INDEX(ERP資料!$F:$F, (MATCH(617, 輔助計算!$G$2:$G$801, 0)+1))), "")</f>
        <v/>
      </c>
      <c r="H618" s="10">
        <f>IFERROR(IF(INDEX(ERP資料!$G:$G, (MATCH(617, 輔助計算!$G$2:$G$801, 0)+1))="","",INDEX(ERP資料!$G:$G, (MATCH(617, 輔助計算!$G$2:$G$801, 0)+1))), "")</f>
        <v/>
      </c>
      <c r="I618" s="15">
        <f>IFERROR(INDEX(輔助計算!$D:$D, (MATCH(617, 輔助計算!$G$2:$G$801, 0)+1)), "")</f>
        <v/>
      </c>
      <c r="J618" s="15">
        <f>IFERROR(IF(AND(INDEX(輔助計算!$D:$D, (MATCH(617, 輔助計算!$G$2:$G$801, 0)+1))&lt;&gt;"", INDEX(ERP資料!$G:$G, (MATCH(617, 輔助計算!$G$2:$G$801, 0)+1))&lt;&gt;""), TRIM(IF(INT(INDEX(輔助計算!$D:$D, (MATCH(617, 輔助計算!$G$2:$G$801, 0)+1))/IF(INDEX(ERP資料!$G:$G, (MATCH(617, 輔助計算!$G$2:$G$801, 0)+1))&lt;100, IF(INDEX(ERP資料!$G:$G, (MATCH(617, 輔助計算!$G$2:$G$801, 0)+1))&lt;=31,3,IF(INDEX(ERP資料!$G:$G, (MATCH(617, 輔助計算!$G$2:$G$801, 0)+1))&lt;=46.5,2,1)), IF(INDEX(ERP資料!$G:$G, (MATCH(617, 輔助計算!$G$2:$G$801, 0)+1))&lt;=790,3,IF(INDEX(ERP資料!$G:$G, (MATCH(617, 輔助計算!$G$2:$G$801, 0)+1))&lt;=1181,2,1))))&gt;0, IF(IF(INDEX(ERP資料!$G:$G, (MATCH(617, 輔助計算!$G$2:$G$801, 0)+1))&lt;100, IF(INDEX(ERP資料!$G:$G, (MATCH(617, 輔助計算!$G$2:$G$801, 0)+1))&lt;=31,3,IF(INDEX(ERP資料!$G:$G, (MATCH(617, 輔助計算!$G$2:$G$801, 0)+1))&lt;=46.5,2,1)), IF(INDEX(ERP資料!$G:$G, (MATCH(617, 輔助計算!$G$2:$G$801, 0)+1))&lt;=790,3,IF(INDEX(ERP資料!$G:$G, (MATCH(617, 輔助計算!$G$2:$G$801, 0)+1))&lt;=1181,2,1)))=1,TEXT(INDEX(ERP資料!$G:$G, (MATCH(617, 輔助計算!$G$2:$G$801, 0)+1)),"0.##"),IF(IF(INDEX(ERP資料!$G:$G, (MATCH(617, 輔助計算!$G$2:$G$801, 0)+1))&lt;100, IF(INDEX(ERP資料!$G:$G, (MATCH(617, 輔助計算!$G$2:$G$801, 0)+1))&lt;=31,3,IF(INDEX(ERP資料!$G:$G, (MATCH(617, 輔助計算!$G$2:$G$801, 0)+1))&lt;=46.5,2,1)), IF(INDEX(ERP資料!$G:$G, (MATCH(617, 輔助計算!$G$2:$G$801, 0)+1))&lt;=790,3,IF(INDEX(ERP資料!$G:$G, (MATCH(617, 輔助計算!$G$2:$G$801, 0)+1))&lt;=1181,2,1)))=2,TEXT(INDEX(ERP資料!$G:$G, (MATCH(617, 輔助計算!$G$2:$G$801, 0)+1)),"0.##")&amp;"+"&amp;TEXT(INDEX(ERP資料!$G:$G, (MATCH(617, 輔助計算!$G$2:$G$801, 0)+1)),"0.##"),TEXT(INDEX(ERP資料!$G:$G, (MATCH(617, 輔助計算!$G$2:$G$801, 0)+1)),"0.##")&amp;"+"&amp;TEXT(INDEX(ERP資料!$G:$G, (MATCH(617, 輔助計算!$G$2:$G$801, 0)+1)),"0.##")&amp;"+"&amp;TEXT(INDEX(ERP資料!$G:$G, (MATCH(617, 輔助計算!$G$2:$G$801, 0)+1)),"0.##")))&amp;"-"&amp;INT(INDEX(輔助計算!$D:$D, (MATCH(617, 輔助計算!$G$2:$G$801, 0)+1))/IF(INDEX(ERP資料!$G:$G, (MATCH(617, 輔助計算!$G$2:$G$801, 0)+1))&lt;100, IF(INDEX(ERP資料!$G:$G, (MATCH(617, 輔助計算!$G$2:$G$801, 0)+1))&lt;=31,3,IF(INDEX(ERP資料!$G:$G, (MATCH(617, 輔助計算!$G$2:$G$801, 0)+1))&lt;=46.5,2,1)), IF(INDEX(ERP資料!$G:$G, (MATCH(617, 輔助計算!$G$2:$G$801, 0)+1))&lt;=790,3,IF(INDEX(ERP資料!$G:$G, (MATCH(617, 輔助計算!$G$2:$G$801, 0)+1))&lt;=1181,2,1)))), "")&amp;IF(AND(IF(INT(INDEX(輔助計算!$D:$D, (MATCH(617, 輔助計算!$G$2:$G$801, 0)+1))/IF(INDEX(ERP資料!$G:$G, (MATCH(617, 輔助計算!$G$2:$G$801, 0)+1))&lt;100, IF(INDEX(ERP資料!$G:$G, (MATCH(617, 輔助計算!$G$2:$G$801, 0)+1))&lt;=31,3,IF(INDEX(ERP資料!$G:$G, (MATCH(617, 輔助計算!$G$2:$G$801, 0)+1))&lt;=46.5,2,1)), IF(INDEX(ERP資料!$G:$G, (MATCH(617, 輔助計算!$G$2:$G$801, 0)+1))&lt;=790,3,IF(INDEX(ERP資料!$G:$G, (MATCH(617, 輔助計算!$G$2:$G$801, 0)+1))&lt;=1181,2,1))))&gt;0, IF(IF(INDEX(ERP資料!$G:$G, (MATCH(617, 輔助計算!$G$2:$G$801, 0)+1))&lt;100, IF(INDEX(ERP資料!$G:$G, (MATCH(617, 輔助計算!$G$2:$G$801, 0)+1))&lt;=31,3,IF(INDEX(ERP資料!$G:$G, (MATCH(617, 輔助計算!$G$2:$G$801, 0)+1))&lt;=46.5,2,1)), IF(INDEX(ERP資料!$G:$G, (MATCH(617, 輔助計算!$G$2:$G$801, 0)+1))&lt;=790,3,IF(INDEX(ERP資料!$G:$G, (MATCH(617, 輔助計算!$G$2:$G$801, 0)+1))&lt;=1181,2,1)))=1,TEXT(INDEX(ERP資料!$G:$G, (MATCH(617, 輔助計算!$G$2:$G$801, 0)+1)),"0.##"),IF(IF(INDEX(ERP資料!$G:$G, (MATCH(617, 輔助計算!$G$2:$G$801, 0)+1))&lt;100, IF(INDEX(ERP資料!$G:$G, (MATCH(617, 輔助計算!$G$2:$G$801, 0)+1))&lt;=31,3,IF(INDEX(ERP資料!$G:$G, (MATCH(617, 輔助計算!$G$2:$G$801, 0)+1))&lt;=46.5,2,1)), IF(INDEX(ERP資料!$G:$G, (MATCH(617, 輔助計算!$G$2:$G$801, 0)+1))&lt;=790,3,IF(INDEX(ERP資料!$G:$G, (MATCH(617, 輔助計算!$G$2:$G$801, 0)+1))&lt;=1181,2,1)))=2,TEXT(INDEX(ERP資料!$G:$G, (MATCH(617, 輔助計算!$G$2:$G$801, 0)+1)),"0.##")&amp;"+"&amp;TEXT(INDEX(ERP資料!$G:$G, (MATCH(617, 輔助計算!$G$2:$G$801, 0)+1)),"0.##"),TEXT(INDEX(ERP資料!$G:$G, (MATCH(617, 輔助計算!$G$2:$G$801, 0)+1)),"0.##")&amp;"+"&amp;TEXT(INDEX(ERP資料!$G:$G, (MATCH(617, 輔助計算!$G$2:$G$801, 0)+1)),"0.##")&amp;"+"&amp;TEXT(INDEX(ERP資料!$G:$G, (MATCH(617, 輔助計算!$G$2:$G$801, 0)+1)),"0.##")))&amp;"-"&amp;INT(INDEX(輔助計算!$D:$D, (MATCH(617, 輔助計算!$G$2:$G$801, 0)+1))/IF(INDEX(ERP資料!$G:$G, (MATCH(617, 輔助計算!$G$2:$G$801, 0)+1))&lt;100, IF(INDEX(ERP資料!$G:$G, (MATCH(617, 輔助計算!$G$2:$G$801, 0)+1))&lt;=31,3,IF(INDEX(ERP資料!$G:$G, (MATCH(617, 輔助計算!$G$2:$G$801, 0)+1))&lt;=46.5,2,1)), IF(INDEX(ERP資料!$G:$G, (MATCH(617, 輔助計算!$G$2:$G$801, 0)+1))&lt;=790,3,IF(INDEX(ERP資料!$G:$G, (MATCH(617, 輔助計算!$G$2:$G$801, 0)+1))&lt;=1181,2,1)))), "")&lt;&gt;"",IF(MOD(INDEX(輔助計算!$D:$D, (MATCH(617, 輔助計算!$G$2:$G$801, 0)+1)),IF(INDEX(ERP資料!$G:$G, (MATCH(617, 輔助計算!$G$2:$G$801, 0)+1))&lt;100, IF(INDEX(ERP資料!$G:$G, (MATCH(617, 輔助計算!$G$2:$G$801, 0)+1))&lt;=31,3,IF(INDEX(ERP資料!$G:$G, (MATCH(617, 輔助計算!$G$2:$G$801, 0)+1))&lt;=46.5,2,1)), IF(INDEX(ERP資料!$G:$G, (MATCH(617, 輔助計算!$G$2:$G$801, 0)+1))&lt;=790,3,IF(INDEX(ERP資料!$G:$G, (MATCH(617, 輔助計算!$G$2:$G$801, 0)+1))&lt;=1181,2,1))))=0,"",IF(MOD(INDEX(輔助計算!$D:$D, (MATCH(617, 輔助計算!$G$2:$G$801, 0)+1)),IF(INDEX(ERP資料!$G:$G, (MATCH(617, 輔助計算!$G$2:$G$801, 0)+1))&lt;100, IF(INDEX(ERP資料!$G:$G, (MATCH(617, 輔助計算!$G$2:$G$801, 0)+1))&lt;=31,3,IF(INDEX(ERP資料!$G:$G, (MATCH(617, 輔助計算!$G$2:$G$801, 0)+1))&lt;=46.5,2,1)), IF(INDEX(ERP資料!$G:$G, (MATCH(617, 輔助計算!$G$2:$G$801, 0)+1))&lt;=790,3,IF(INDEX(ERP資料!$G:$G, (MATCH(617, 輔助計算!$G$2:$G$801, 0)+1))&lt;=1181,2,1))))=0,"",IF(MOD(INDEX(輔助計算!$D:$D, (MATCH(617, 輔助計算!$G$2:$G$801, 0)+1)),IF(INDEX(ERP資料!$G:$G, (MATCH(617, 輔助計算!$G$2:$G$801, 0)+1))&lt;100, IF(INDEX(ERP資料!$G:$G, (MATCH(617, 輔助計算!$G$2:$G$801, 0)+1))&lt;=31,3,IF(INDEX(ERP資料!$G:$G, (MATCH(617, 輔助計算!$G$2:$G$801, 0)+1))&lt;=46.5,2,1)), IF(INDEX(ERP資料!$G:$G, (MATCH(617, 輔助計算!$G$2:$G$801, 0)+1))&lt;=790,3,IF(INDEX(ERP資料!$G:$G, (MATCH(617, 輔助計算!$G$2:$G$801, 0)+1))&lt;=1181,2,1))))=1,TEXT(INDEX(ERP資料!$G:$G, (MATCH(617, 輔助計算!$G$2:$G$801, 0)+1)),"0.##"),IF(MOD(INDEX(輔助計算!$D:$D, (MATCH(617, 輔助計算!$G$2:$G$801, 0)+1)),IF(INDEX(ERP資料!$G:$G, (MATCH(617, 輔助計算!$G$2:$G$801, 0)+1))&lt;100, IF(INDEX(ERP資料!$G:$G, (MATCH(617, 輔助計算!$G$2:$G$801, 0)+1))&lt;=31,3,IF(INDEX(ERP資料!$G:$G, (MATCH(617, 輔助計算!$G$2:$G$801, 0)+1))&lt;=46.5,2,1)), IF(INDEX(ERP資料!$G:$G, (MATCH(617, 輔助計算!$G$2:$G$801, 0)+1))&lt;=790,3,IF(INDEX(ERP資料!$G:$G, (MATCH(617, 輔助計算!$G$2:$G$801, 0)+1))&lt;=1181,2,1))))=2,TEXT(INDEX(ERP資料!$G:$G, (MATCH(617, 輔助計算!$G$2:$G$801, 0)+1)),"0.##")&amp;"+"&amp;TEXT(INDEX(ERP資料!$G:$G, (MATCH(617, 輔助計算!$G$2:$G$801, 0)+1)),"0.##"),TEXT(INDEX(ERP資料!$G:$G, (MATCH(617, 輔助計算!$G$2:$G$801, 0)+1)),"0.##")&amp;"+"&amp;TEXT(INDEX(ERP資料!$G:$G, (MATCH(617, 輔助計算!$G$2:$G$801, 0)+1)),"0.##")&amp;"+"&amp;TEXT(INDEX(ERP資料!$G:$G, (MATCH(617, 輔助計算!$G$2:$G$801, 0)+1)),"0.##"))))&amp;"-1")&lt;&gt;""),"  ","")&amp;IF(MOD(INDEX(輔助計算!$D:$D, (MATCH(617, 輔助計算!$G$2:$G$801, 0)+1)),IF(INDEX(ERP資料!$G:$G, (MATCH(617, 輔助計算!$G$2:$G$801, 0)+1))&lt;100, IF(INDEX(ERP資料!$G:$G, (MATCH(617, 輔助計算!$G$2:$G$801, 0)+1))&lt;=31,3,IF(INDEX(ERP資料!$G:$G, (MATCH(617, 輔助計算!$G$2:$G$801, 0)+1))&lt;=46.5,2,1)), IF(INDEX(ERP資料!$G:$G, (MATCH(617, 輔助計算!$G$2:$G$801, 0)+1))&lt;=790,3,IF(INDEX(ERP資料!$G:$G, (MATCH(617, 輔助計算!$G$2:$G$801, 0)+1))&lt;=1181,2,1))))=0,"",IF(MOD(INDEX(輔助計算!$D:$D, (MATCH(617, 輔助計算!$G$2:$G$801, 0)+1)),IF(INDEX(ERP資料!$G:$G, (MATCH(617, 輔助計算!$G$2:$G$801, 0)+1))&lt;100, IF(INDEX(ERP資料!$G:$G, (MATCH(617, 輔助計算!$G$2:$G$801, 0)+1))&lt;=31,3,IF(INDEX(ERP資料!$G:$G, (MATCH(617, 輔助計算!$G$2:$G$801, 0)+1))&lt;=46.5,2,1)), IF(INDEX(ERP資料!$G:$G, (MATCH(617, 輔助計算!$G$2:$G$801, 0)+1))&lt;=790,3,IF(INDEX(ERP資料!$G:$G, (MATCH(617, 輔助計算!$G$2:$G$801, 0)+1))&lt;=1181,2,1))))=0,"",IF(MOD(INDEX(輔助計算!$D:$D, (MATCH(617, 輔助計算!$G$2:$G$801, 0)+1)),IF(INDEX(ERP資料!$G:$G, (MATCH(617, 輔助計算!$G$2:$G$801, 0)+1))&lt;100, IF(INDEX(ERP資料!$G:$G, (MATCH(617, 輔助計算!$G$2:$G$801, 0)+1))&lt;=31,3,IF(INDEX(ERP資料!$G:$G, (MATCH(617, 輔助計算!$G$2:$G$801, 0)+1))&lt;=46.5,2,1)), IF(INDEX(ERP資料!$G:$G, (MATCH(617, 輔助計算!$G$2:$G$801, 0)+1))&lt;=790,3,IF(INDEX(ERP資料!$G:$G, (MATCH(617, 輔助計算!$G$2:$G$801, 0)+1))&lt;=1181,2,1))))=1,TEXT(INDEX(ERP資料!$G:$G, (MATCH(617, 輔助計算!$G$2:$G$801, 0)+1)),"0.##"),IF(MOD(INDEX(輔助計算!$D:$D, (MATCH(617, 輔助計算!$G$2:$G$801, 0)+1)),IF(INDEX(ERP資料!$G:$G, (MATCH(617, 輔助計算!$G$2:$G$801, 0)+1))&lt;100, IF(INDEX(ERP資料!$G:$G, (MATCH(617, 輔助計算!$G$2:$G$801, 0)+1))&lt;=31,3,IF(INDEX(ERP資料!$G:$G, (MATCH(617, 輔助計算!$G$2:$G$801, 0)+1))&lt;=46.5,2,1)), IF(INDEX(ERP資料!$G:$G, (MATCH(617, 輔助計算!$G$2:$G$801, 0)+1))&lt;=790,3,IF(INDEX(ERP資料!$G:$G, (MATCH(617, 輔助計算!$G$2:$G$801, 0)+1))&lt;=1181,2,1))))=2,TEXT(INDEX(ERP資料!$G:$G, (MATCH(617, 輔助計算!$G$2:$G$801, 0)+1)),"0.##")&amp;"+"&amp;TEXT(INDEX(ERP資料!$G:$G, (MATCH(617, 輔助計算!$G$2:$G$801, 0)+1)),"0.##"),TEXT(INDEX(ERP資料!$G:$G, (MATCH(617, 輔助計算!$G$2:$G$801, 0)+1)),"0.##")&amp;"+"&amp;TEXT(INDEX(ERP資料!$G:$G, (MATCH(617, 輔助計算!$G$2:$G$801, 0)+1)),"0.##")&amp;"+"&amp;TEXT(INDEX(ERP資料!$G:$G, (MATCH(617, 輔助計算!$G$2:$G$801, 0)+1)),"0.##"))))&amp;"-1")), ""), "")</f>
        <v/>
      </c>
      <c r="K618" s="16" t="n"/>
      <c r="L618" s="14">
        <f>IFERROR(IF(AND(IFERROR(INDEX(ERP資料!$A:$A, (MATCH(617, 輔助計算!$G$2:$G$801, 0)+1)), "")&lt;&gt;"", IFERROR(INDEX(ERP資料!$A:$A, (MATCH(617, 輔助計算!$G$2:$G$801, 0)+1)), "")&lt;&gt;IFERROR(INDEX(ERP資料!$A:$A, MATCH(616, 輔助計算!$G$2:$G$801, 0)+1), "")), INDEX(ERP資料!$B:$B, (MATCH(617, 輔助計算!$G$2:$G$801, 0)+1)), ""), "")</f>
        <v/>
      </c>
      <c r="M618" s="17" t="n"/>
    </row>
    <row r="619">
      <c r="A619" s="10">
        <f>IFERROR(IF(AND(IFERROR(INDEX(ERP資料!$A:$A, (MATCH(618, 輔助計算!$G$2:$G$801, 0)+1)), "")&lt;&gt;"", IFERROR(INDEX(ERP資料!$A:$A, (MATCH(618, 輔助計算!$G$2:$G$801, 0)+1)), "")&lt;&gt;IFERROR(INDEX(ERP資料!$A:$A, MATCH(617, 輔助計算!$G$2:$G$801, 0)+1), "")), IFERROR(INDEX(ERP資料!$A:$A, (MATCH(618, 輔助計算!$G$2:$G$801, 0)+1)), ""), ""), "")</f>
        <v/>
      </c>
      <c r="B619" s="10">
        <f>IFERROR(IF(AND(IFERROR(INDEX(ERP資料!$A:$A, (MATCH(618, 輔助計算!$G$2:$G$801, 0)+1)), "")&lt;&gt;"", IFERROR(INDEX(ERP資料!$A:$A, (MATCH(618, 輔助計算!$G$2:$G$801, 0)+1)), "")&lt;&gt;IFERROR(INDEX(ERP資料!$A:$A, MATCH(617, 輔助計算!$G$2:$G$801, 0)+1), "")), INDEX(ERP資料!$S:$S, (MATCH(618, 輔助計算!$G$2:$G$801, 0)+1)), ""), "")</f>
        <v/>
      </c>
      <c r="C619" s="19">
        <f>IFERROR(IF(AND(IFERROR(INDEX(ERP資料!$A:$A, (MATCH(618, 輔助計算!$G$2:$G$801, 0)+1)), "")&lt;&gt;"", IFERROR(INDEX(ERP資料!$A:$A, (MATCH(618, 輔助計算!$G$2:$G$801, 0)+1)), "")&lt;&gt;IFERROR(INDEX(ERP資料!$A:$A, MATCH(617, 輔助計算!$G$2:$G$801, 0)+1), "")), IFERROR(VLOOKUP(LEFT(INDEX(ERP資料!$S:$S, (MATCH(618, 輔助計算!$G$2:$G$801, 0)+1)), 4), 紙管對照表!$A:$C, 3, FALSE), ""), ""), "")</f>
        <v/>
      </c>
      <c r="D619" s="16" t="n"/>
      <c r="E619" s="10">
        <f>IFERROR(IF(INDEX(ERP資料!$H:$H, (MATCH(618, 輔助計算!$G$2:$G$801, 0)+1))="","",INDEX(ERP資料!$H:$H, (MATCH(618, 輔助計算!$G$2:$G$801, 0)+1))), "")</f>
        <v/>
      </c>
      <c r="F619" s="10">
        <f>IFERROR(IF(INDEX(ERP資料!$E:$E, (MATCH(618, 輔助計算!$G$2:$G$801, 0)+1))="","",TRIM(INDEX(ERP資料!$E:$E, (MATCH(618, 輔助計算!$G$2:$G$801, 0)+1)))), "")</f>
        <v/>
      </c>
      <c r="G619" s="10">
        <f>IFERROR(IF(INDEX(ERP資料!$F:$F, (MATCH(618, 輔助計算!$G$2:$G$801, 0)+1))="","",INDEX(ERP資料!$F:$F, (MATCH(618, 輔助計算!$G$2:$G$801, 0)+1))), "")</f>
        <v/>
      </c>
      <c r="H619" s="10">
        <f>IFERROR(IF(INDEX(ERP資料!$G:$G, (MATCH(618, 輔助計算!$G$2:$G$801, 0)+1))="","",INDEX(ERP資料!$G:$G, (MATCH(618, 輔助計算!$G$2:$G$801, 0)+1))), "")</f>
        <v/>
      </c>
      <c r="I619" s="15">
        <f>IFERROR(INDEX(輔助計算!$D:$D, (MATCH(618, 輔助計算!$G$2:$G$801, 0)+1)), "")</f>
        <v/>
      </c>
      <c r="J619" s="15">
        <f>IFERROR(IF(AND(INDEX(輔助計算!$D:$D, (MATCH(618, 輔助計算!$G$2:$G$801, 0)+1))&lt;&gt;"", INDEX(ERP資料!$G:$G, (MATCH(618, 輔助計算!$G$2:$G$801, 0)+1))&lt;&gt;""), TRIM(IF(INT(INDEX(輔助計算!$D:$D, (MATCH(618, 輔助計算!$G$2:$G$801, 0)+1))/IF(INDEX(ERP資料!$G:$G, (MATCH(618, 輔助計算!$G$2:$G$801, 0)+1))&lt;100, IF(INDEX(ERP資料!$G:$G, (MATCH(618, 輔助計算!$G$2:$G$801, 0)+1))&lt;=31,3,IF(INDEX(ERP資料!$G:$G, (MATCH(618, 輔助計算!$G$2:$G$801, 0)+1))&lt;=46.5,2,1)), IF(INDEX(ERP資料!$G:$G, (MATCH(618, 輔助計算!$G$2:$G$801, 0)+1))&lt;=790,3,IF(INDEX(ERP資料!$G:$G, (MATCH(618, 輔助計算!$G$2:$G$801, 0)+1))&lt;=1181,2,1))))&gt;0, IF(IF(INDEX(ERP資料!$G:$G, (MATCH(618, 輔助計算!$G$2:$G$801, 0)+1))&lt;100, IF(INDEX(ERP資料!$G:$G, (MATCH(618, 輔助計算!$G$2:$G$801, 0)+1))&lt;=31,3,IF(INDEX(ERP資料!$G:$G, (MATCH(618, 輔助計算!$G$2:$G$801, 0)+1))&lt;=46.5,2,1)), IF(INDEX(ERP資料!$G:$G, (MATCH(618, 輔助計算!$G$2:$G$801, 0)+1))&lt;=790,3,IF(INDEX(ERP資料!$G:$G, (MATCH(618, 輔助計算!$G$2:$G$801, 0)+1))&lt;=1181,2,1)))=1,TEXT(INDEX(ERP資料!$G:$G, (MATCH(618, 輔助計算!$G$2:$G$801, 0)+1)),"0.##"),IF(IF(INDEX(ERP資料!$G:$G, (MATCH(618, 輔助計算!$G$2:$G$801, 0)+1))&lt;100, IF(INDEX(ERP資料!$G:$G, (MATCH(618, 輔助計算!$G$2:$G$801, 0)+1))&lt;=31,3,IF(INDEX(ERP資料!$G:$G, (MATCH(618, 輔助計算!$G$2:$G$801, 0)+1))&lt;=46.5,2,1)), IF(INDEX(ERP資料!$G:$G, (MATCH(618, 輔助計算!$G$2:$G$801, 0)+1))&lt;=790,3,IF(INDEX(ERP資料!$G:$G, (MATCH(618, 輔助計算!$G$2:$G$801, 0)+1))&lt;=1181,2,1)))=2,TEXT(INDEX(ERP資料!$G:$G, (MATCH(618, 輔助計算!$G$2:$G$801, 0)+1)),"0.##")&amp;"+"&amp;TEXT(INDEX(ERP資料!$G:$G, (MATCH(618, 輔助計算!$G$2:$G$801, 0)+1)),"0.##"),TEXT(INDEX(ERP資料!$G:$G, (MATCH(618, 輔助計算!$G$2:$G$801, 0)+1)),"0.##")&amp;"+"&amp;TEXT(INDEX(ERP資料!$G:$G, (MATCH(618, 輔助計算!$G$2:$G$801, 0)+1)),"0.##")&amp;"+"&amp;TEXT(INDEX(ERP資料!$G:$G, (MATCH(618, 輔助計算!$G$2:$G$801, 0)+1)),"0.##")))&amp;"-"&amp;INT(INDEX(輔助計算!$D:$D, (MATCH(618, 輔助計算!$G$2:$G$801, 0)+1))/IF(INDEX(ERP資料!$G:$G, (MATCH(618, 輔助計算!$G$2:$G$801, 0)+1))&lt;100, IF(INDEX(ERP資料!$G:$G, (MATCH(618, 輔助計算!$G$2:$G$801, 0)+1))&lt;=31,3,IF(INDEX(ERP資料!$G:$G, (MATCH(618, 輔助計算!$G$2:$G$801, 0)+1))&lt;=46.5,2,1)), IF(INDEX(ERP資料!$G:$G, (MATCH(618, 輔助計算!$G$2:$G$801, 0)+1))&lt;=790,3,IF(INDEX(ERP資料!$G:$G, (MATCH(618, 輔助計算!$G$2:$G$801, 0)+1))&lt;=1181,2,1)))), "")&amp;IF(AND(IF(INT(INDEX(輔助計算!$D:$D, (MATCH(618, 輔助計算!$G$2:$G$801, 0)+1))/IF(INDEX(ERP資料!$G:$G, (MATCH(618, 輔助計算!$G$2:$G$801, 0)+1))&lt;100, IF(INDEX(ERP資料!$G:$G, (MATCH(618, 輔助計算!$G$2:$G$801, 0)+1))&lt;=31,3,IF(INDEX(ERP資料!$G:$G, (MATCH(618, 輔助計算!$G$2:$G$801, 0)+1))&lt;=46.5,2,1)), IF(INDEX(ERP資料!$G:$G, (MATCH(618, 輔助計算!$G$2:$G$801, 0)+1))&lt;=790,3,IF(INDEX(ERP資料!$G:$G, (MATCH(618, 輔助計算!$G$2:$G$801, 0)+1))&lt;=1181,2,1))))&gt;0, IF(IF(INDEX(ERP資料!$G:$G, (MATCH(618, 輔助計算!$G$2:$G$801, 0)+1))&lt;100, IF(INDEX(ERP資料!$G:$G, (MATCH(618, 輔助計算!$G$2:$G$801, 0)+1))&lt;=31,3,IF(INDEX(ERP資料!$G:$G, (MATCH(618, 輔助計算!$G$2:$G$801, 0)+1))&lt;=46.5,2,1)), IF(INDEX(ERP資料!$G:$G, (MATCH(618, 輔助計算!$G$2:$G$801, 0)+1))&lt;=790,3,IF(INDEX(ERP資料!$G:$G, (MATCH(618, 輔助計算!$G$2:$G$801, 0)+1))&lt;=1181,2,1)))=1,TEXT(INDEX(ERP資料!$G:$G, (MATCH(618, 輔助計算!$G$2:$G$801, 0)+1)),"0.##"),IF(IF(INDEX(ERP資料!$G:$G, (MATCH(618, 輔助計算!$G$2:$G$801, 0)+1))&lt;100, IF(INDEX(ERP資料!$G:$G, (MATCH(618, 輔助計算!$G$2:$G$801, 0)+1))&lt;=31,3,IF(INDEX(ERP資料!$G:$G, (MATCH(618, 輔助計算!$G$2:$G$801, 0)+1))&lt;=46.5,2,1)), IF(INDEX(ERP資料!$G:$G, (MATCH(618, 輔助計算!$G$2:$G$801, 0)+1))&lt;=790,3,IF(INDEX(ERP資料!$G:$G, (MATCH(618, 輔助計算!$G$2:$G$801, 0)+1))&lt;=1181,2,1)))=2,TEXT(INDEX(ERP資料!$G:$G, (MATCH(618, 輔助計算!$G$2:$G$801, 0)+1)),"0.##")&amp;"+"&amp;TEXT(INDEX(ERP資料!$G:$G, (MATCH(618, 輔助計算!$G$2:$G$801, 0)+1)),"0.##"),TEXT(INDEX(ERP資料!$G:$G, (MATCH(618, 輔助計算!$G$2:$G$801, 0)+1)),"0.##")&amp;"+"&amp;TEXT(INDEX(ERP資料!$G:$G, (MATCH(618, 輔助計算!$G$2:$G$801, 0)+1)),"0.##")&amp;"+"&amp;TEXT(INDEX(ERP資料!$G:$G, (MATCH(618, 輔助計算!$G$2:$G$801, 0)+1)),"0.##")))&amp;"-"&amp;INT(INDEX(輔助計算!$D:$D, (MATCH(618, 輔助計算!$G$2:$G$801, 0)+1))/IF(INDEX(ERP資料!$G:$G, (MATCH(618, 輔助計算!$G$2:$G$801, 0)+1))&lt;100, IF(INDEX(ERP資料!$G:$G, (MATCH(618, 輔助計算!$G$2:$G$801, 0)+1))&lt;=31,3,IF(INDEX(ERP資料!$G:$G, (MATCH(618, 輔助計算!$G$2:$G$801, 0)+1))&lt;=46.5,2,1)), IF(INDEX(ERP資料!$G:$G, (MATCH(618, 輔助計算!$G$2:$G$801, 0)+1))&lt;=790,3,IF(INDEX(ERP資料!$G:$G, (MATCH(618, 輔助計算!$G$2:$G$801, 0)+1))&lt;=1181,2,1)))), "")&lt;&gt;"",IF(MOD(INDEX(輔助計算!$D:$D, (MATCH(618, 輔助計算!$G$2:$G$801, 0)+1)),IF(INDEX(ERP資料!$G:$G, (MATCH(618, 輔助計算!$G$2:$G$801, 0)+1))&lt;100, IF(INDEX(ERP資料!$G:$G, (MATCH(618, 輔助計算!$G$2:$G$801, 0)+1))&lt;=31,3,IF(INDEX(ERP資料!$G:$G, (MATCH(618, 輔助計算!$G$2:$G$801, 0)+1))&lt;=46.5,2,1)), IF(INDEX(ERP資料!$G:$G, (MATCH(618, 輔助計算!$G$2:$G$801, 0)+1))&lt;=790,3,IF(INDEX(ERP資料!$G:$G, (MATCH(618, 輔助計算!$G$2:$G$801, 0)+1))&lt;=1181,2,1))))=0,"",IF(MOD(INDEX(輔助計算!$D:$D, (MATCH(618, 輔助計算!$G$2:$G$801, 0)+1)),IF(INDEX(ERP資料!$G:$G, (MATCH(618, 輔助計算!$G$2:$G$801, 0)+1))&lt;100, IF(INDEX(ERP資料!$G:$G, (MATCH(618, 輔助計算!$G$2:$G$801, 0)+1))&lt;=31,3,IF(INDEX(ERP資料!$G:$G, (MATCH(618, 輔助計算!$G$2:$G$801, 0)+1))&lt;=46.5,2,1)), IF(INDEX(ERP資料!$G:$G, (MATCH(618, 輔助計算!$G$2:$G$801, 0)+1))&lt;=790,3,IF(INDEX(ERP資料!$G:$G, (MATCH(618, 輔助計算!$G$2:$G$801, 0)+1))&lt;=1181,2,1))))=0,"",IF(MOD(INDEX(輔助計算!$D:$D, (MATCH(618, 輔助計算!$G$2:$G$801, 0)+1)),IF(INDEX(ERP資料!$G:$G, (MATCH(618, 輔助計算!$G$2:$G$801, 0)+1))&lt;100, IF(INDEX(ERP資料!$G:$G, (MATCH(618, 輔助計算!$G$2:$G$801, 0)+1))&lt;=31,3,IF(INDEX(ERP資料!$G:$G, (MATCH(618, 輔助計算!$G$2:$G$801, 0)+1))&lt;=46.5,2,1)), IF(INDEX(ERP資料!$G:$G, (MATCH(618, 輔助計算!$G$2:$G$801, 0)+1))&lt;=790,3,IF(INDEX(ERP資料!$G:$G, (MATCH(618, 輔助計算!$G$2:$G$801, 0)+1))&lt;=1181,2,1))))=1,TEXT(INDEX(ERP資料!$G:$G, (MATCH(618, 輔助計算!$G$2:$G$801, 0)+1)),"0.##"),IF(MOD(INDEX(輔助計算!$D:$D, (MATCH(618, 輔助計算!$G$2:$G$801, 0)+1)),IF(INDEX(ERP資料!$G:$G, (MATCH(618, 輔助計算!$G$2:$G$801, 0)+1))&lt;100, IF(INDEX(ERP資料!$G:$G, (MATCH(618, 輔助計算!$G$2:$G$801, 0)+1))&lt;=31,3,IF(INDEX(ERP資料!$G:$G, (MATCH(618, 輔助計算!$G$2:$G$801, 0)+1))&lt;=46.5,2,1)), IF(INDEX(ERP資料!$G:$G, (MATCH(618, 輔助計算!$G$2:$G$801, 0)+1))&lt;=790,3,IF(INDEX(ERP資料!$G:$G, (MATCH(618, 輔助計算!$G$2:$G$801, 0)+1))&lt;=1181,2,1))))=2,TEXT(INDEX(ERP資料!$G:$G, (MATCH(618, 輔助計算!$G$2:$G$801, 0)+1)),"0.##")&amp;"+"&amp;TEXT(INDEX(ERP資料!$G:$G, (MATCH(618, 輔助計算!$G$2:$G$801, 0)+1)),"0.##"),TEXT(INDEX(ERP資料!$G:$G, (MATCH(618, 輔助計算!$G$2:$G$801, 0)+1)),"0.##")&amp;"+"&amp;TEXT(INDEX(ERP資料!$G:$G, (MATCH(618, 輔助計算!$G$2:$G$801, 0)+1)),"0.##")&amp;"+"&amp;TEXT(INDEX(ERP資料!$G:$G, (MATCH(618, 輔助計算!$G$2:$G$801, 0)+1)),"0.##"))))&amp;"-1")&lt;&gt;""),"  ","")&amp;IF(MOD(INDEX(輔助計算!$D:$D, (MATCH(618, 輔助計算!$G$2:$G$801, 0)+1)),IF(INDEX(ERP資料!$G:$G, (MATCH(618, 輔助計算!$G$2:$G$801, 0)+1))&lt;100, IF(INDEX(ERP資料!$G:$G, (MATCH(618, 輔助計算!$G$2:$G$801, 0)+1))&lt;=31,3,IF(INDEX(ERP資料!$G:$G, (MATCH(618, 輔助計算!$G$2:$G$801, 0)+1))&lt;=46.5,2,1)), IF(INDEX(ERP資料!$G:$G, (MATCH(618, 輔助計算!$G$2:$G$801, 0)+1))&lt;=790,3,IF(INDEX(ERP資料!$G:$G, (MATCH(618, 輔助計算!$G$2:$G$801, 0)+1))&lt;=1181,2,1))))=0,"",IF(MOD(INDEX(輔助計算!$D:$D, (MATCH(618, 輔助計算!$G$2:$G$801, 0)+1)),IF(INDEX(ERP資料!$G:$G, (MATCH(618, 輔助計算!$G$2:$G$801, 0)+1))&lt;100, IF(INDEX(ERP資料!$G:$G, (MATCH(618, 輔助計算!$G$2:$G$801, 0)+1))&lt;=31,3,IF(INDEX(ERP資料!$G:$G, (MATCH(618, 輔助計算!$G$2:$G$801, 0)+1))&lt;=46.5,2,1)), IF(INDEX(ERP資料!$G:$G, (MATCH(618, 輔助計算!$G$2:$G$801, 0)+1))&lt;=790,3,IF(INDEX(ERP資料!$G:$G, (MATCH(618, 輔助計算!$G$2:$G$801, 0)+1))&lt;=1181,2,1))))=0,"",IF(MOD(INDEX(輔助計算!$D:$D, (MATCH(618, 輔助計算!$G$2:$G$801, 0)+1)),IF(INDEX(ERP資料!$G:$G, (MATCH(618, 輔助計算!$G$2:$G$801, 0)+1))&lt;100, IF(INDEX(ERP資料!$G:$G, (MATCH(618, 輔助計算!$G$2:$G$801, 0)+1))&lt;=31,3,IF(INDEX(ERP資料!$G:$G, (MATCH(618, 輔助計算!$G$2:$G$801, 0)+1))&lt;=46.5,2,1)), IF(INDEX(ERP資料!$G:$G, (MATCH(618, 輔助計算!$G$2:$G$801, 0)+1))&lt;=790,3,IF(INDEX(ERP資料!$G:$G, (MATCH(618, 輔助計算!$G$2:$G$801, 0)+1))&lt;=1181,2,1))))=1,TEXT(INDEX(ERP資料!$G:$G, (MATCH(618, 輔助計算!$G$2:$G$801, 0)+1)),"0.##"),IF(MOD(INDEX(輔助計算!$D:$D, (MATCH(618, 輔助計算!$G$2:$G$801, 0)+1)),IF(INDEX(ERP資料!$G:$G, (MATCH(618, 輔助計算!$G$2:$G$801, 0)+1))&lt;100, IF(INDEX(ERP資料!$G:$G, (MATCH(618, 輔助計算!$G$2:$G$801, 0)+1))&lt;=31,3,IF(INDEX(ERP資料!$G:$G, (MATCH(618, 輔助計算!$G$2:$G$801, 0)+1))&lt;=46.5,2,1)), IF(INDEX(ERP資料!$G:$G, (MATCH(618, 輔助計算!$G$2:$G$801, 0)+1))&lt;=790,3,IF(INDEX(ERP資料!$G:$G, (MATCH(618, 輔助計算!$G$2:$G$801, 0)+1))&lt;=1181,2,1))))=2,TEXT(INDEX(ERP資料!$G:$G, (MATCH(618, 輔助計算!$G$2:$G$801, 0)+1)),"0.##")&amp;"+"&amp;TEXT(INDEX(ERP資料!$G:$G, (MATCH(618, 輔助計算!$G$2:$G$801, 0)+1)),"0.##"),TEXT(INDEX(ERP資料!$G:$G, (MATCH(618, 輔助計算!$G$2:$G$801, 0)+1)),"0.##")&amp;"+"&amp;TEXT(INDEX(ERP資料!$G:$G, (MATCH(618, 輔助計算!$G$2:$G$801, 0)+1)),"0.##")&amp;"+"&amp;TEXT(INDEX(ERP資料!$G:$G, (MATCH(618, 輔助計算!$G$2:$G$801, 0)+1)),"0.##"))))&amp;"-1")), ""), "")</f>
        <v/>
      </c>
      <c r="K619" s="16" t="n"/>
      <c r="L619" s="14">
        <f>IFERROR(IF(AND(IFERROR(INDEX(ERP資料!$A:$A, (MATCH(618, 輔助計算!$G$2:$G$801, 0)+1)), "")&lt;&gt;"", IFERROR(INDEX(ERP資料!$A:$A, (MATCH(618, 輔助計算!$G$2:$G$801, 0)+1)), "")&lt;&gt;IFERROR(INDEX(ERP資料!$A:$A, MATCH(617, 輔助計算!$G$2:$G$801, 0)+1), "")), INDEX(ERP資料!$B:$B, (MATCH(618, 輔助計算!$G$2:$G$801, 0)+1)), ""), "")</f>
        <v/>
      </c>
      <c r="M619" s="17" t="n"/>
    </row>
    <row r="620">
      <c r="A620" s="10">
        <f>IFERROR(IF(AND(IFERROR(INDEX(ERP資料!$A:$A, (MATCH(619, 輔助計算!$G$2:$G$801, 0)+1)), "")&lt;&gt;"", IFERROR(INDEX(ERP資料!$A:$A, (MATCH(619, 輔助計算!$G$2:$G$801, 0)+1)), "")&lt;&gt;IFERROR(INDEX(ERP資料!$A:$A, MATCH(618, 輔助計算!$G$2:$G$801, 0)+1), "")), IFERROR(INDEX(ERP資料!$A:$A, (MATCH(619, 輔助計算!$G$2:$G$801, 0)+1)), ""), ""), "")</f>
        <v/>
      </c>
      <c r="B620" s="10">
        <f>IFERROR(IF(AND(IFERROR(INDEX(ERP資料!$A:$A, (MATCH(619, 輔助計算!$G$2:$G$801, 0)+1)), "")&lt;&gt;"", IFERROR(INDEX(ERP資料!$A:$A, (MATCH(619, 輔助計算!$G$2:$G$801, 0)+1)), "")&lt;&gt;IFERROR(INDEX(ERP資料!$A:$A, MATCH(618, 輔助計算!$G$2:$G$801, 0)+1), "")), INDEX(ERP資料!$S:$S, (MATCH(619, 輔助計算!$G$2:$G$801, 0)+1)), ""), "")</f>
        <v/>
      </c>
      <c r="C620" s="19">
        <f>IFERROR(IF(AND(IFERROR(INDEX(ERP資料!$A:$A, (MATCH(619, 輔助計算!$G$2:$G$801, 0)+1)), "")&lt;&gt;"", IFERROR(INDEX(ERP資料!$A:$A, (MATCH(619, 輔助計算!$G$2:$G$801, 0)+1)), "")&lt;&gt;IFERROR(INDEX(ERP資料!$A:$A, MATCH(618, 輔助計算!$G$2:$G$801, 0)+1), "")), IFERROR(VLOOKUP(LEFT(INDEX(ERP資料!$S:$S, (MATCH(619, 輔助計算!$G$2:$G$801, 0)+1)), 4), 紙管對照表!$A:$C, 3, FALSE), ""), ""), "")</f>
        <v/>
      </c>
      <c r="D620" s="16" t="n"/>
      <c r="E620" s="10">
        <f>IFERROR(IF(INDEX(ERP資料!$H:$H, (MATCH(619, 輔助計算!$G$2:$G$801, 0)+1))="","",INDEX(ERP資料!$H:$H, (MATCH(619, 輔助計算!$G$2:$G$801, 0)+1))), "")</f>
        <v/>
      </c>
      <c r="F620" s="10">
        <f>IFERROR(IF(INDEX(ERP資料!$E:$E, (MATCH(619, 輔助計算!$G$2:$G$801, 0)+1))="","",TRIM(INDEX(ERP資料!$E:$E, (MATCH(619, 輔助計算!$G$2:$G$801, 0)+1)))), "")</f>
        <v/>
      </c>
      <c r="G620" s="10">
        <f>IFERROR(IF(INDEX(ERP資料!$F:$F, (MATCH(619, 輔助計算!$G$2:$G$801, 0)+1))="","",INDEX(ERP資料!$F:$F, (MATCH(619, 輔助計算!$G$2:$G$801, 0)+1))), "")</f>
        <v/>
      </c>
      <c r="H620" s="10">
        <f>IFERROR(IF(INDEX(ERP資料!$G:$G, (MATCH(619, 輔助計算!$G$2:$G$801, 0)+1))="","",INDEX(ERP資料!$G:$G, (MATCH(619, 輔助計算!$G$2:$G$801, 0)+1))), "")</f>
        <v/>
      </c>
      <c r="I620" s="15">
        <f>IFERROR(INDEX(輔助計算!$D:$D, (MATCH(619, 輔助計算!$G$2:$G$801, 0)+1)), "")</f>
        <v/>
      </c>
      <c r="J620" s="15">
        <f>IFERROR(IF(AND(INDEX(輔助計算!$D:$D, (MATCH(619, 輔助計算!$G$2:$G$801, 0)+1))&lt;&gt;"", INDEX(ERP資料!$G:$G, (MATCH(619, 輔助計算!$G$2:$G$801, 0)+1))&lt;&gt;""), TRIM(IF(INT(INDEX(輔助計算!$D:$D, (MATCH(619, 輔助計算!$G$2:$G$801, 0)+1))/IF(INDEX(ERP資料!$G:$G, (MATCH(619, 輔助計算!$G$2:$G$801, 0)+1))&lt;100, IF(INDEX(ERP資料!$G:$G, (MATCH(619, 輔助計算!$G$2:$G$801, 0)+1))&lt;=31,3,IF(INDEX(ERP資料!$G:$G, (MATCH(619, 輔助計算!$G$2:$G$801, 0)+1))&lt;=46.5,2,1)), IF(INDEX(ERP資料!$G:$G, (MATCH(619, 輔助計算!$G$2:$G$801, 0)+1))&lt;=790,3,IF(INDEX(ERP資料!$G:$G, (MATCH(619, 輔助計算!$G$2:$G$801, 0)+1))&lt;=1181,2,1))))&gt;0, IF(IF(INDEX(ERP資料!$G:$G, (MATCH(619, 輔助計算!$G$2:$G$801, 0)+1))&lt;100, IF(INDEX(ERP資料!$G:$G, (MATCH(619, 輔助計算!$G$2:$G$801, 0)+1))&lt;=31,3,IF(INDEX(ERP資料!$G:$G, (MATCH(619, 輔助計算!$G$2:$G$801, 0)+1))&lt;=46.5,2,1)), IF(INDEX(ERP資料!$G:$G, (MATCH(619, 輔助計算!$G$2:$G$801, 0)+1))&lt;=790,3,IF(INDEX(ERP資料!$G:$G, (MATCH(619, 輔助計算!$G$2:$G$801, 0)+1))&lt;=1181,2,1)))=1,TEXT(INDEX(ERP資料!$G:$G, (MATCH(619, 輔助計算!$G$2:$G$801, 0)+1)),"0.##"),IF(IF(INDEX(ERP資料!$G:$G, (MATCH(619, 輔助計算!$G$2:$G$801, 0)+1))&lt;100, IF(INDEX(ERP資料!$G:$G, (MATCH(619, 輔助計算!$G$2:$G$801, 0)+1))&lt;=31,3,IF(INDEX(ERP資料!$G:$G, (MATCH(619, 輔助計算!$G$2:$G$801, 0)+1))&lt;=46.5,2,1)), IF(INDEX(ERP資料!$G:$G, (MATCH(619, 輔助計算!$G$2:$G$801, 0)+1))&lt;=790,3,IF(INDEX(ERP資料!$G:$G, (MATCH(619, 輔助計算!$G$2:$G$801, 0)+1))&lt;=1181,2,1)))=2,TEXT(INDEX(ERP資料!$G:$G, (MATCH(619, 輔助計算!$G$2:$G$801, 0)+1)),"0.##")&amp;"+"&amp;TEXT(INDEX(ERP資料!$G:$G, (MATCH(619, 輔助計算!$G$2:$G$801, 0)+1)),"0.##"),TEXT(INDEX(ERP資料!$G:$G, (MATCH(619, 輔助計算!$G$2:$G$801, 0)+1)),"0.##")&amp;"+"&amp;TEXT(INDEX(ERP資料!$G:$G, (MATCH(619, 輔助計算!$G$2:$G$801, 0)+1)),"0.##")&amp;"+"&amp;TEXT(INDEX(ERP資料!$G:$G, (MATCH(619, 輔助計算!$G$2:$G$801, 0)+1)),"0.##")))&amp;"-"&amp;INT(INDEX(輔助計算!$D:$D, (MATCH(619, 輔助計算!$G$2:$G$801, 0)+1))/IF(INDEX(ERP資料!$G:$G, (MATCH(619, 輔助計算!$G$2:$G$801, 0)+1))&lt;100, IF(INDEX(ERP資料!$G:$G, (MATCH(619, 輔助計算!$G$2:$G$801, 0)+1))&lt;=31,3,IF(INDEX(ERP資料!$G:$G, (MATCH(619, 輔助計算!$G$2:$G$801, 0)+1))&lt;=46.5,2,1)), IF(INDEX(ERP資料!$G:$G, (MATCH(619, 輔助計算!$G$2:$G$801, 0)+1))&lt;=790,3,IF(INDEX(ERP資料!$G:$G, (MATCH(619, 輔助計算!$G$2:$G$801, 0)+1))&lt;=1181,2,1)))), "")&amp;IF(AND(IF(INT(INDEX(輔助計算!$D:$D, (MATCH(619, 輔助計算!$G$2:$G$801, 0)+1))/IF(INDEX(ERP資料!$G:$G, (MATCH(619, 輔助計算!$G$2:$G$801, 0)+1))&lt;100, IF(INDEX(ERP資料!$G:$G, (MATCH(619, 輔助計算!$G$2:$G$801, 0)+1))&lt;=31,3,IF(INDEX(ERP資料!$G:$G, (MATCH(619, 輔助計算!$G$2:$G$801, 0)+1))&lt;=46.5,2,1)), IF(INDEX(ERP資料!$G:$G, (MATCH(619, 輔助計算!$G$2:$G$801, 0)+1))&lt;=790,3,IF(INDEX(ERP資料!$G:$G, (MATCH(619, 輔助計算!$G$2:$G$801, 0)+1))&lt;=1181,2,1))))&gt;0, IF(IF(INDEX(ERP資料!$G:$G, (MATCH(619, 輔助計算!$G$2:$G$801, 0)+1))&lt;100, IF(INDEX(ERP資料!$G:$G, (MATCH(619, 輔助計算!$G$2:$G$801, 0)+1))&lt;=31,3,IF(INDEX(ERP資料!$G:$G, (MATCH(619, 輔助計算!$G$2:$G$801, 0)+1))&lt;=46.5,2,1)), IF(INDEX(ERP資料!$G:$G, (MATCH(619, 輔助計算!$G$2:$G$801, 0)+1))&lt;=790,3,IF(INDEX(ERP資料!$G:$G, (MATCH(619, 輔助計算!$G$2:$G$801, 0)+1))&lt;=1181,2,1)))=1,TEXT(INDEX(ERP資料!$G:$G, (MATCH(619, 輔助計算!$G$2:$G$801, 0)+1)),"0.##"),IF(IF(INDEX(ERP資料!$G:$G, (MATCH(619, 輔助計算!$G$2:$G$801, 0)+1))&lt;100, IF(INDEX(ERP資料!$G:$G, (MATCH(619, 輔助計算!$G$2:$G$801, 0)+1))&lt;=31,3,IF(INDEX(ERP資料!$G:$G, (MATCH(619, 輔助計算!$G$2:$G$801, 0)+1))&lt;=46.5,2,1)), IF(INDEX(ERP資料!$G:$G, (MATCH(619, 輔助計算!$G$2:$G$801, 0)+1))&lt;=790,3,IF(INDEX(ERP資料!$G:$G, (MATCH(619, 輔助計算!$G$2:$G$801, 0)+1))&lt;=1181,2,1)))=2,TEXT(INDEX(ERP資料!$G:$G, (MATCH(619, 輔助計算!$G$2:$G$801, 0)+1)),"0.##")&amp;"+"&amp;TEXT(INDEX(ERP資料!$G:$G, (MATCH(619, 輔助計算!$G$2:$G$801, 0)+1)),"0.##"),TEXT(INDEX(ERP資料!$G:$G, (MATCH(619, 輔助計算!$G$2:$G$801, 0)+1)),"0.##")&amp;"+"&amp;TEXT(INDEX(ERP資料!$G:$G, (MATCH(619, 輔助計算!$G$2:$G$801, 0)+1)),"0.##")&amp;"+"&amp;TEXT(INDEX(ERP資料!$G:$G, (MATCH(619, 輔助計算!$G$2:$G$801, 0)+1)),"0.##")))&amp;"-"&amp;INT(INDEX(輔助計算!$D:$D, (MATCH(619, 輔助計算!$G$2:$G$801, 0)+1))/IF(INDEX(ERP資料!$G:$G, (MATCH(619, 輔助計算!$G$2:$G$801, 0)+1))&lt;100, IF(INDEX(ERP資料!$G:$G, (MATCH(619, 輔助計算!$G$2:$G$801, 0)+1))&lt;=31,3,IF(INDEX(ERP資料!$G:$G, (MATCH(619, 輔助計算!$G$2:$G$801, 0)+1))&lt;=46.5,2,1)), IF(INDEX(ERP資料!$G:$G, (MATCH(619, 輔助計算!$G$2:$G$801, 0)+1))&lt;=790,3,IF(INDEX(ERP資料!$G:$G, (MATCH(619, 輔助計算!$G$2:$G$801, 0)+1))&lt;=1181,2,1)))), "")&lt;&gt;"",IF(MOD(INDEX(輔助計算!$D:$D, (MATCH(619, 輔助計算!$G$2:$G$801, 0)+1)),IF(INDEX(ERP資料!$G:$G, (MATCH(619, 輔助計算!$G$2:$G$801, 0)+1))&lt;100, IF(INDEX(ERP資料!$G:$G, (MATCH(619, 輔助計算!$G$2:$G$801, 0)+1))&lt;=31,3,IF(INDEX(ERP資料!$G:$G, (MATCH(619, 輔助計算!$G$2:$G$801, 0)+1))&lt;=46.5,2,1)), IF(INDEX(ERP資料!$G:$G, (MATCH(619, 輔助計算!$G$2:$G$801, 0)+1))&lt;=790,3,IF(INDEX(ERP資料!$G:$G, (MATCH(619, 輔助計算!$G$2:$G$801, 0)+1))&lt;=1181,2,1))))=0,"",IF(MOD(INDEX(輔助計算!$D:$D, (MATCH(619, 輔助計算!$G$2:$G$801, 0)+1)),IF(INDEX(ERP資料!$G:$G, (MATCH(619, 輔助計算!$G$2:$G$801, 0)+1))&lt;100, IF(INDEX(ERP資料!$G:$G, (MATCH(619, 輔助計算!$G$2:$G$801, 0)+1))&lt;=31,3,IF(INDEX(ERP資料!$G:$G, (MATCH(619, 輔助計算!$G$2:$G$801, 0)+1))&lt;=46.5,2,1)), IF(INDEX(ERP資料!$G:$G, (MATCH(619, 輔助計算!$G$2:$G$801, 0)+1))&lt;=790,3,IF(INDEX(ERP資料!$G:$G, (MATCH(619, 輔助計算!$G$2:$G$801, 0)+1))&lt;=1181,2,1))))=0,"",IF(MOD(INDEX(輔助計算!$D:$D, (MATCH(619, 輔助計算!$G$2:$G$801, 0)+1)),IF(INDEX(ERP資料!$G:$G, (MATCH(619, 輔助計算!$G$2:$G$801, 0)+1))&lt;100, IF(INDEX(ERP資料!$G:$G, (MATCH(619, 輔助計算!$G$2:$G$801, 0)+1))&lt;=31,3,IF(INDEX(ERP資料!$G:$G, (MATCH(619, 輔助計算!$G$2:$G$801, 0)+1))&lt;=46.5,2,1)), IF(INDEX(ERP資料!$G:$G, (MATCH(619, 輔助計算!$G$2:$G$801, 0)+1))&lt;=790,3,IF(INDEX(ERP資料!$G:$G, (MATCH(619, 輔助計算!$G$2:$G$801, 0)+1))&lt;=1181,2,1))))=1,TEXT(INDEX(ERP資料!$G:$G, (MATCH(619, 輔助計算!$G$2:$G$801, 0)+1)),"0.##"),IF(MOD(INDEX(輔助計算!$D:$D, (MATCH(619, 輔助計算!$G$2:$G$801, 0)+1)),IF(INDEX(ERP資料!$G:$G, (MATCH(619, 輔助計算!$G$2:$G$801, 0)+1))&lt;100, IF(INDEX(ERP資料!$G:$G, (MATCH(619, 輔助計算!$G$2:$G$801, 0)+1))&lt;=31,3,IF(INDEX(ERP資料!$G:$G, (MATCH(619, 輔助計算!$G$2:$G$801, 0)+1))&lt;=46.5,2,1)), IF(INDEX(ERP資料!$G:$G, (MATCH(619, 輔助計算!$G$2:$G$801, 0)+1))&lt;=790,3,IF(INDEX(ERP資料!$G:$G, (MATCH(619, 輔助計算!$G$2:$G$801, 0)+1))&lt;=1181,2,1))))=2,TEXT(INDEX(ERP資料!$G:$G, (MATCH(619, 輔助計算!$G$2:$G$801, 0)+1)),"0.##")&amp;"+"&amp;TEXT(INDEX(ERP資料!$G:$G, (MATCH(619, 輔助計算!$G$2:$G$801, 0)+1)),"0.##"),TEXT(INDEX(ERP資料!$G:$G, (MATCH(619, 輔助計算!$G$2:$G$801, 0)+1)),"0.##")&amp;"+"&amp;TEXT(INDEX(ERP資料!$G:$G, (MATCH(619, 輔助計算!$G$2:$G$801, 0)+1)),"0.##")&amp;"+"&amp;TEXT(INDEX(ERP資料!$G:$G, (MATCH(619, 輔助計算!$G$2:$G$801, 0)+1)),"0.##"))))&amp;"-1")&lt;&gt;""),"  ","")&amp;IF(MOD(INDEX(輔助計算!$D:$D, (MATCH(619, 輔助計算!$G$2:$G$801, 0)+1)),IF(INDEX(ERP資料!$G:$G, (MATCH(619, 輔助計算!$G$2:$G$801, 0)+1))&lt;100, IF(INDEX(ERP資料!$G:$G, (MATCH(619, 輔助計算!$G$2:$G$801, 0)+1))&lt;=31,3,IF(INDEX(ERP資料!$G:$G, (MATCH(619, 輔助計算!$G$2:$G$801, 0)+1))&lt;=46.5,2,1)), IF(INDEX(ERP資料!$G:$G, (MATCH(619, 輔助計算!$G$2:$G$801, 0)+1))&lt;=790,3,IF(INDEX(ERP資料!$G:$G, (MATCH(619, 輔助計算!$G$2:$G$801, 0)+1))&lt;=1181,2,1))))=0,"",IF(MOD(INDEX(輔助計算!$D:$D, (MATCH(619, 輔助計算!$G$2:$G$801, 0)+1)),IF(INDEX(ERP資料!$G:$G, (MATCH(619, 輔助計算!$G$2:$G$801, 0)+1))&lt;100, IF(INDEX(ERP資料!$G:$G, (MATCH(619, 輔助計算!$G$2:$G$801, 0)+1))&lt;=31,3,IF(INDEX(ERP資料!$G:$G, (MATCH(619, 輔助計算!$G$2:$G$801, 0)+1))&lt;=46.5,2,1)), IF(INDEX(ERP資料!$G:$G, (MATCH(619, 輔助計算!$G$2:$G$801, 0)+1))&lt;=790,3,IF(INDEX(ERP資料!$G:$G, (MATCH(619, 輔助計算!$G$2:$G$801, 0)+1))&lt;=1181,2,1))))=0,"",IF(MOD(INDEX(輔助計算!$D:$D, (MATCH(619, 輔助計算!$G$2:$G$801, 0)+1)),IF(INDEX(ERP資料!$G:$G, (MATCH(619, 輔助計算!$G$2:$G$801, 0)+1))&lt;100, IF(INDEX(ERP資料!$G:$G, (MATCH(619, 輔助計算!$G$2:$G$801, 0)+1))&lt;=31,3,IF(INDEX(ERP資料!$G:$G, (MATCH(619, 輔助計算!$G$2:$G$801, 0)+1))&lt;=46.5,2,1)), IF(INDEX(ERP資料!$G:$G, (MATCH(619, 輔助計算!$G$2:$G$801, 0)+1))&lt;=790,3,IF(INDEX(ERP資料!$G:$G, (MATCH(619, 輔助計算!$G$2:$G$801, 0)+1))&lt;=1181,2,1))))=1,TEXT(INDEX(ERP資料!$G:$G, (MATCH(619, 輔助計算!$G$2:$G$801, 0)+1)),"0.##"),IF(MOD(INDEX(輔助計算!$D:$D, (MATCH(619, 輔助計算!$G$2:$G$801, 0)+1)),IF(INDEX(ERP資料!$G:$G, (MATCH(619, 輔助計算!$G$2:$G$801, 0)+1))&lt;100, IF(INDEX(ERP資料!$G:$G, (MATCH(619, 輔助計算!$G$2:$G$801, 0)+1))&lt;=31,3,IF(INDEX(ERP資料!$G:$G, (MATCH(619, 輔助計算!$G$2:$G$801, 0)+1))&lt;=46.5,2,1)), IF(INDEX(ERP資料!$G:$G, (MATCH(619, 輔助計算!$G$2:$G$801, 0)+1))&lt;=790,3,IF(INDEX(ERP資料!$G:$G, (MATCH(619, 輔助計算!$G$2:$G$801, 0)+1))&lt;=1181,2,1))))=2,TEXT(INDEX(ERP資料!$G:$G, (MATCH(619, 輔助計算!$G$2:$G$801, 0)+1)),"0.##")&amp;"+"&amp;TEXT(INDEX(ERP資料!$G:$G, (MATCH(619, 輔助計算!$G$2:$G$801, 0)+1)),"0.##"),TEXT(INDEX(ERP資料!$G:$G, (MATCH(619, 輔助計算!$G$2:$G$801, 0)+1)),"0.##")&amp;"+"&amp;TEXT(INDEX(ERP資料!$G:$G, (MATCH(619, 輔助計算!$G$2:$G$801, 0)+1)),"0.##")&amp;"+"&amp;TEXT(INDEX(ERP資料!$G:$G, (MATCH(619, 輔助計算!$G$2:$G$801, 0)+1)),"0.##"))))&amp;"-1")), ""), "")</f>
        <v/>
      </c>
      <c r="K620" s="16" t="n"/>
      <c r="L620" s="14">
        <f>IFERROR(IF(AND(IFERROR(INDEX(ERP資料!$A:$A, (MATCH(619, 輔助計算!$G$2:$G$801, 0)+1)), "")&lt;&gt;"", IFERROR(INDEX(ERP資料!$A:$A, (MATCH(619, 輔助計算!$G$2:$G$801, 0)+1)), "")&lt;&gt;IFERROR(INDEX(ERP資料!$A:$A, MATCH(618, 輔助計算!$G$2:$G$801, 0)+1), "")), INDEX(ERP資料!$B:$B, (MATCH(619, 輔助計算!$G$2:$G$801, 0)+1)), ""), "")</f>
        <v/>
      </c>
      <c r="M620" s="17" t="n"/>
    </row>
    <row r="621">
      <c r="A621" s="10">
        <f>IFERROR(IF(AND(IFERROR(INDEX(ERP資料!$A:$A, (MATCH(620, 輔助計算!$G$2:$G$801, 0)+1)), "")&lt;&gt;"", IFERROR(INDEX(ERP資料!$A:$A, (MATCH(620, 輔助計算!$G$2:$G$801, 0)+1)), "")&lt;&gt;IFERROR(INDEX(ERP資料!$A:$A, MATCH(619, 輔助計算!$G$2:$G$801, 0)+1), "")), IFERROR(INDEX(ERP資料!$A:$A, (MATCH(620, 輔助計算!$G$2:$G$801, 0)+1)), ""), ""), "")</f>
        <v/>
      </c>
      <c r="B621" s="10">
        <f>IFERROR(IF(AND(IFERROR(INDEX(ERP資料!$A:$A, (MATCH(620, 輔助計算!$G$2:$G$801, 0)+1)), "")&lt;&gt;"", IFERROR(INDEX(ERP資料!$A:$A, (MATCH(620, 輔助計算!$G$2:$G$801, 0)+1)), "")&lt;&gt;IFERROR(INDEX(ERP資料!$A:$A, MATCH(619, 輔助計算!$G$2:$G$801, 0)+1), "")), INDEX(ERP資料!$S:$S, (MATCH(620, 輔助計算!$G$2:$G$801, 0)+1)), ""), "")</f>
        <v/>
      </c>
      <c r="C621" s="19">
        <f>IFERROR(IF(AND(IFERROR(INDEX(ERP資料!$A:$A, (MATCH(620, 輔助計算!$G$2:$G$801, 0)+1)), "")&lt;&gt;"", IFERROR(INDEX(ERP資料!$A:$A, (MATCH(620, 輔助計算!$G$2:$G$801, 0)+1)), "")&lt;&gt;IFERROR(INDEX(ERP資料!$A:$A, MATCH(619, 輔助計算!$G$2:$G$801, 0)+1), "")), IFERROR(VLOOKUP(LEFT(INDEX(ERP資料!$S:$S, (MATCH(620, 輔助計算!$G$2:$G$801, 0)+1)), 4), 紙管對照表!$A:$C, 3, FALSE), ""), ""), "")</f>
        <v/>
      </c>
      <c r="D621" s="16" t="n"/>
      <c r="E621" s="10">
        <f>IFERROR(IF(INDEX(ERP資料!$H:$H, (MATCH(620, 輔助計算!$G$2:$G$801, 0)+1))="","",INDEX(ERP資料!$H:$H, (MATCH(620, 輔助計算!$G$2:$G$801, 0)+1))), "")</f>
        <v/>
      </c>
      <c r="F621" s="10">
        <f>IFERROR(IF(INDEX(ERP資料!$E:$E, (MATCH(620, 輔助計算!$G$2:$G$801, 0)+1))="","",TRIM(INDEX(ERP資料!$E:$E, (MATCH(620, 輔助計算!$G$2:$G$801, 0)+1)))), "")</f>
        <v/>
      </c>
      <c r="G621" s="10">
        <f>IFERROR(IF(INDEX(ERP資料!$F:$F, (MATCH(620, 輔助計算!$G$2:$G$801, 0)+1))="","",INDEX(ERP資料!$F:$F, (MATCH(620, 輔助計算!$G$2:$G$801, 0)+1))), "")</f>
        <v/>
      </c>
      <c r="H621" s="10">
        <f>IFERROR(IF(INDEX(ERP資料!$G:$G, (MATCH(620, 輔助計算!$G$2:$G$801, 0)+1))="","",INDEX(ERP資料!$G:$G, (MATCH(620, 輔助計算!$G$2:$G$801, 0)+1))), "")</f>
        <v/>
      </c>
      <c r="I621" s="15">
        <f>IFERROR(INDEX(輔助計算!$D:$D, (MATCH(620, 輔助計算!$G$2:$G$801, 0)+1)), "")</f>
        <v/>
      </c>
      <c r="J621" s="15">
        <f>IFERROR(IF(AND(INDEX(輔助計算!$D:$D, (MATCH(620, 輔助計算!$G$2:$G$801, 0)+1))&lt;&gt;"", INDEX(ERP資料!$G:$G, (MATCH(620, 輔助計算!$G$2:$G$801, 0)+1))&lt;&gt;""), TRIM(IF(INT(INDEX(輔助計算!$D:$D, (MATCH(620, 輔助計算!$G$2:$G$801, 0)+1))/IF(INDEX(ERP資料!$G:$G, (MATCH(620, 輔助計算!$G$2:$G$801, 0)+1))&lt;100, IF(INDEX(ERP資料!$G:$G, (MATCH(620, 輔助計算!$G$2:$G$801, 0)+1))&lt;=31,3,IF(INDEX(ERP資料!$G:$G, (MATCH(620, 輔助計算!$G$2:$G$801, 0)+1))&lt;=46.5,2,1)), IF(INDEX(ERP資料!$G:$G, (MATCH(620, 輔助計算!$G$2:$G$801, 0)+1))&lt;=790,3,IF(INDEX(ERP資料!$G:$G, (MATCH(620, 輔助計算!$G$2:$G$801, 0)+1))&lt;=1181,2,1))))&gt;0, IF(IF(INDEX(ERP資料!$G:$G, (MATCH(620, 輔助計算!$G$2:$G$801, 0)+1))&lt;100, IF(INDEX(ERP資料!$G:$G, (MATCH(620, 輔助計算!$G$2:$G$801, 0)+1))&lt;=31,3,IF(INDEX(ERP資料!$G:$G, (MATCH(620, 輔助計算!$G$2:$G$801, 0)+1))&lt;=46.5,2,1)), IF(INDEX(ERP資料!$G:$G, (MATCH(620, 輔助計算!$G$2:$G$801, 0)+1))&lt;=790,3,IF(INDEX(ERP資料!$G:$G, (MATCH(620, 輔助計算!$G$2:$G$801, 0)+1))&lt;=1181,2,1)))=1,TEXT(INDEX(ERP資料!$G:$G, (MATCH(620, 輔助計算!$G$2:$G$801, 0)+1)),"0.##"),IF(IF(INDEX(ERP資料!$G:$G, (MATCH(620, 輔助計算!$G$2:$G$801, 0)+1))&lt;100, IF(INDEX(ERP資料!$G:$G, (MATCH(620, 輔助計算!$G$2:$G$801, 0)+1))&lt;=31,3,IF(INDEX(ERP資料!$G:$G, (MATCH(620, 輔助計算!$G$2:$G$801, 0)+1))&lt;=46.5,2,1)), IF(INDEX(ERP資料!$G:$G, (MATCH(620, 輔助計算!$G$2:$G$801, 0)+1))&lt;=790,3,IF(INDEX(ERP資料!$G:$G, (MATCH(620, 輔助計算!$G$2:$G$801, 0)+1))&lt;=1181,2,1)))=2,TEXT(INDEX(ERP資料!$G:$G, (MATCH(620, 輔助計算!$G$2:$G$801, 0)+1)),"0.##")&amp;"+"&amp;TEXT(INDEX(ERP資料!$G:$G, (MATCH(620, 輔助計算!$G$2:$G$801, 0)+1)),"0.##"),TEXT(INDEX(ERP資料!$G:$G, (MATCH(620, 輔助計算!$G$2:$G$801, 0)+1)),"0.##")&amp;"+"&amp;TEXT(INDEX(ERP資料!$G:$G, (MATCH(620, 輔助計算!$G$2:$G$801, 0)+1)),"0.##")&amp;"+"&amp;TEXT(INDEX(ERP資料!$G:$G, (MATCH(620, 輔助計算!$G$2:$G$801, 0)+1)),"0.##")))&amp;"-"&amp;INT(INDEX(輔助計算!$D:$D, (MATCH(620, 輔助計算!$G$2:$G$801, 0)+1))/IF(INDEX(ERP資料!$G:$G, (MATCH(620, 輔助計算!$G$2:$G$801, 0)+1))&lt;100, IF(INDEX(ERP資料!$G:$G, (MATCH(620, 輔助計算!$G$2:$G$801, 0)+1))&lt;=31,3,IF(INDEX(ERP資料!$G:$G, (MATCH(620, 輔助計算!$G$2:$G$801, 0)+1))&lt;=46.5,2,1)), IF(INDEX(ERP資料!$G:$G, (MATCH(620, 輔助計算!$G$2:$G$801, 0)+1))&lt;=790,3,IF(INDEX(ERP資料!$G:$G, (MATCH(620, 輔助計算!$G$2:$G$801, 0)+1))&lt;=1181,2,1)))), "")&amp;IF(AND(IF(INT(INDEX(輔助計算!$D:$D, (MATCH(620, 輔助計算!$G$2:$G$801, 0)+1))/IF(INDEX(ERP資料!$G:$G, (MATCH(620, 輔助計算!$G$2:$G$801, 0)+1))&lt;100, IF(INDEX(ERP資料!$G:$G, (MATCH(620, 輔助計算!$G$2:$G$801, 0)+1))&lt;=31,3,IF(INDEX(ERP資料!$G:$G, (MATCH(620, 輔助計算!$G$2:$G$801, 0)+1))&lt;=46.5,2,1)), IF(INDEX(ERP資料!$G:$G, (MATCH(620, 輔助計算!$G$2:$G$801, 0)+1))&lt;=790,3,IF(INDEX(ERP資料!$G:$G, (MATCH(620, 輔助計算!$G$2:$G$801, 0)+1))&lt;=1181,2,1))))&gt;0, IF(IF(INDEX(ERP資料!$G:$G, (MATCH(620, 輔助計算!$G$2:$G$801, 0)+1))&lt;100, IF(INDEX(ERP資料!$G:$G, (MATCH(620, 輔助計算!$G$2:$G$801, 0)+1))&lt;=31,3,IF(INDEX(ERP資料!$G:$G, (MATCH(620, 輔助計算!$G$2:$G$801, 0)+1))&lt;=46.5,2,1)), IF(INDEX(ERP資料!$G:$G, (MATCH(620, 輔助計算!$G$2:$G$801, 0)+1))&lt;=790,3,IF(INDEX(ERP資料!$G:$G, (MATCH(620, 輔助計算!$G$2:$G$801, 0)+1))&lt;=1181,2,1)))=1,TEXT(INDEX(ERP資料!$G:$G, (MATCH(620, 輔助計算!$G$2:$G$801, 0)+1)),"0.##"),IF(IF(INDEX(ERP資料!$G:$G, (MATCH(620, 輔助計算!$G$2:$G$801, 0)+1))&lt;100, IF(INDEX(ERP資料!$G:$G, (MATCH(620, 輔助計算!$G$2:$G$801, 0)+1))&lt;=31,3,IF(INDEX(ERP資料!$G:$G, (MATCH(620, 輔助計算!$G$2:$G$801, 0)+1))&lt;=46.5,2,1)), IF(INDEX(ERP資料!$G:$G, (MATCH(620, 輔助計算!$G$2:$G$801, 0)+1))&lt;=790,3,IF(INDEX(ERP資料!$G:$G, (MATCH(620, 輔助計算!$G$2:$G$801, 0)+1))&lt;=1181,2,1)))=2,TEXT(INDEX(ERP資料!$G:$G, (MATCH(620, 輔助計算!$G$2:$G$801, 0)+1)),"0.##")&amp;"+"&amp;TEXT(INDEX(ERP資料!$G:$G, (MATCH(620, 輔助計算!$G$2:$G$801, 0)+1)),"0.##"),TEXT(INDEX(ERP資料!$G:$G, (MATCH(620, 輔助計算!$G$2:$G$801, 0)+1)),"0.##")&amp;"+"&amp;TEXT(INDEX(ERP資料!$G:$G, (MATCH(620, 輔助計算!$G$2:$G$801, 0)+1)),"0.##")&amp;"+"&amp;TEXT(INDEX(ERP資料!$G:$G, (MATCH(620, 輔助計算!$G$2:$G$801, 0)+1)),"0.##")))&amp;"-"&amp;INT(INDEX(輔助計算!$D:$D, (MATCH(620, 輔助計算!$G$2:$G$801, 0)+1))/IF(INDEX(ERP資料!$G:$G, (MATCH(620, 輔助計算!$G$2:$G$801, 0)+1))&lt;100, IF(INDEX(ERP資料!$G:$G, (MATCH(620, 輔助計算!$G$2:$G$801, 0)+1))&lt;=31,3,IF(INDEX(ERP資料!$G:$G, (MATCH(620, 輔助計算!$G$2:$G$801, 0)+1))&lt;=46.5,2,1)), IF(INDEX(ERP資料!$G:$G, (MATCH(620, 輔助計算!$G$2:$G$801, 0)+1))&lt;=790,3,IF(INDEX(ERP資料!$G:$G, (MATCH(620, 輔助計算!$G$2:$G$801, 0)+1))&lt;=1181,2,1)))), "")&lt;&gt;"",IF(MOD(INDEX(輔助計算!$D:$D, (MATCH(620, 輔助計算!$G$2:$G$801, 0)+1)),IF(INDEX(ERP資料!$G:$G, (MATCH(620, 輔助計算!$G$2:$G$801, 0)+1))&lt;100, IF(INDEX(ERP資料!$G:$G, (MATCH(620, 輔助計算!$G$2:$G$801, 0)+1))&lt;=31,3,IF(INDEX(ERP資料!$G:$G, (MATCH(620, 輔助計算!$G$2:$G$801, 0)+1))&lt;=46.5,2,1)), IF(INDEX(ERP資料!$G:$G, (MATCH(620, 輔助計算!$G$2:$G$801, 0)+1))&lt;=790,3,IF(INDEX(ERP資料!$G:$G, (MATCH(620, 輔助計算!$G$2:$G$801, 0)+1))&lt;=1181,2,1))))=0,"",IF(MOD(INDEX(輔助計算!$D:$D, (MATCH(620, 輔助計算!$G$2:$G$801, 0)+1)),IF(INDEX(ERP資料!$G:$G, (MATCH(620, 輔助計算!$G$2:$G$801, 0)+1))&lt;100, IF(INDEX(ERP資料!$G:$G, (MATCH(620, 輔助計算!$G$2:$G$801, 0)+1))&lt;=31,3,IF(INDEX(ERP資料!$G:$G, (MATCH(620, 輔助計算!$G$2:$G$801, 0)+1))&lt;=46.5,2,1)), IF(INDEX(ERP資料!$G:$G, (MATCH(620, 輔助計算!$G$2:$G$801, 0)+1))&lt;=790,3,IF(INDEX(ERP資料!$G:$G, (MATCH(620, 輔助計算!$G$2:$G$801, 0)+1))&lt;=1181,2,1))))=0,"",IF(MOD(INDEX(輔助計算!$D:$D, (MATCH(620, 輔助計算!$G$2:$G$801, 0)+1)),IF(INDEX(ERP資料!$G:$G, (MATCH(620, 輔助計算!$G$2:$G$801, 0)+1))&lt;100, IF(INDEX(ERP資料!$G:$G, (MATCH(620, 輔助計算!$G$2:$G$801, 0)+1))&lt;=31,3,IF(INDEX(ERP資料!$G:$G, (MATCH(620, 輔助計算!$G$2:$G$801, 0)+1))&lt;=46.5,2,1)), IF(INDEX(ERP資料!$G:$G, (MATCH(620, 輔助計算!$G$2:$G$801, 0)+1))&lt;=790,3,IF(INDEX(ERP資料!$G:$G, (MATCH(620, 輔助計算!$G$2:$G$801, 0)+1))&lt;=1181,2,1))))=1,TEXT(INDEX(ERP資料!$G:$G, (MATCH(620, 輔助計算!$G$2:$G$801, 0)+1)),"0.##"),IF(MOD(INDEX(輔助計算!$D:$D, (MATCH(620, 輔助計算!$G$2:$G$801, 0)+1)),IF(INDEX(ERP資料!$G:$G, (MATCH(620, 輔助計算!$G$2:$G$801, 0)+1))&lt;100, IF(INDEX(ERP資料!$G:$G, (MATCH(620, 輔助計算!$G$2:$G$801, 0)+1))&lt;=31,3,IF(INDEX(ERP資料!$G:$G, (MATCH(620, 輔助計算!$G$2:$G$801, 0)+1))&lt;=46.5,2,1)), IF(INDEX(ERP資料!$G:$G, (MATCH(620, 輔助計算!$G$2:$G$801, 0)+1))&lt;=790,3,IF(INDEX(ERP資料!$G:$G, (MATCH(620, 輔助計算!$G$2:$G$801, 0)+1))&lt;=1181,2,1))))=2,TEXT(INDEX(ERP資料!$G:$G, (MATCH(620, 輔助計算!$G$2:$G$801, 0)+1)),"0.##")&amp;"+"&amp;TEXT(INDEX(ERP資料!$G:$G, (MATCH(620, 輔助計算!$G$2:$G$801, 0)+1)),"0.##"),TEXT(INDEX(ERP資料!$G:$G, (MATCH(620, 輔助計算!$G$2:$G$801, 0)+1)),"0.##")&amp;"+"&amp;TEXT(INDEX(ERP資料!$G:$G, (MATCH(620, 輔助計算!$G$2:$G$801, 0)+1)),"0.##")&amp;"+"&amp;TEXT(INDEX(ERP資料!$G:$G, (MATCH(620, 輔助計算!$G$2:$G$801, 0)+1)),"0.##"))))&amp;"-1")&lt;&gt;""),"  ","")&amp;IF(MOD(INDEX(輔助計算!$D:$D, (MATCH(620, 輔助計算!$G$2:$G$801, 0)+1)),IF(INDEX(ERP資料!$G:$G, (MATCH(620, 輔助計算!$G$2:$G$801, 0)+1))&lt;100, IF(INDEX(ERP資料!$G:$G, (MATCH(620, 輔助計算!$G$2:$G$801, 0)+1))&lt;=31,3,IF(INDEX(ERP資料!$G:$G, (MATCH(620, 輔助計算!$G$2:$G$801, 0)+1))&lt;=46.5,2,1)), IF(INDEX(ERP資料!$G:$G, (MATCH(620, 輔助計算!$G$2:$G$801, 0)+1))&lt;=790,3,IF(INDEX(ERP資料!$G:$G, (MATCH(620, 輔助計算!$G$2:$G$801, 0)+1))&lt;=1181,2,1))))=0,"",IF(MOD(INDEX(輔助計算!$D:$D, (MATCH(620, 輔助計算!$G$2:$G$801, 0)+1)),IF(INDEX(ERP資料!$G:$G, (MATCH(620, 輔助計算!$G$2:$G$801, 0)+1))&lt;100, IF(INDEX(ERP資料!$G:$G, (MATCH(620, 輔助計算!$G$2:$G$801, 0)+1))&lt;=31,3,IF(INDEX(ERP資料!$G:$G, (MATCH(620, 輔助計算!$G$2:$G$801, 0)+1))&lt;=46.5,2,1)), IF(INDEX(ERP資料!$G:$G, (MATCH(620, 輔助計算!$G$2:$G$801, 0)+1))&lt;=790,3,IF(INDEX(ERP資料!$G:$G, (MATCH(620, 輔助計算!$G$2:$G$801, 0)+1))&lt;=1181,2,1))))=0,"",IF(MOD(INDEX(輔助計算!$D:$D, (MATCH(620, 輔助計算!$G$2:$G$801, 0)+1)),IF(INDEX(ERP資料!$G:$G, (MATCH(620, 輔助計算!$G$2:$G$801, 0)+1))&lt;100, IF(INDEX(ERP資料!$G:$G, (MATCH(620, 輔助計算!$G$2:$G$801, 0)+1))&lt;=31,3,IF(INDEX(ERP資料!$G:$G, (MATCH(620, 輔助計算!$G$2:$G$801, 0)+1))&lt;=46.5,2,1)), IF(INDEX(ERP資料!$G:$G, (MATCH(620, 輔助計算!$G$2:$G$801, 0)+1))&lt;=790,3,IF(INDEX(ERP資料!$G:$G, (MATCH(620, 輔助計算!$G$2:$G$801, 0)+1))&lt;=1181,2,1))))=1,TEXT(INDEX(ERP資料!$G:$G, (MATCH(620, 輔助計算!$G$2:$G$801, 0)+1)),"0.##"),IF(MOD(INDEX(輔助計算!$D:$D, (MATCH(620, 輔助計算!$G$2:$G$801, 0)+1)),IF(INDEX(ERP資料!$G:$G, (MATCH(620, 輔助計算!$G$2:$G$801, 0)+1))&lt;100, IF(INDEX(ERP資料!$G:$G, (MATCH(620, 輔助計算!$G$2:$G$801, 0)+1))&lt;=31,3,IF(INDEX(ERP資料!$G:$G, (MATCH(620, 輔助計算!$G$2:$G$801, 0)+1))&lt;=46.5,2,1)), IF(INDEX(ERP資料!$G:$G, (MATCH(620, 輔助計算!$G$2:$G$801, 0)+1))&lt;=790,3,IF(INDEX(ERP資料!$G:$G, (MATCH(620, 輔助計算!$G$2:$G$801, 0)+1))&lt;=1181,2,1))))=2,TEXT(INDEX(ERP資料!$G:$G, (MATCH(620, 輔助計算!$G$2:$G$801, 0)+1)),"0.##")&amp;"+"&amp;TEXT(INDEX(ERP資料!$G:$G, (MATCH(620, 輔助計算!$G$2:$G$801, 0)+1)),"0.##"),TEXT(INDEX(ERP資料!$G:$G, (MATCH(620, 輔助計算!$G$2:$G$801, 0)+1)),"0.##")&amp;"+"&amp;TEXT(INDEX(ERP資料!$G:$G, (MATCH(620, 輔助計算!$G$2:$G$801, 0)+1)),"0.##")&amp;"+"&amp;TEXT(INDEX(ERP資料!$G:$G, (MATCH(620, 輔助計算!$G$2:$G$801, 0)+1)),"0.##"))))&amp;"-1")), ""), "")</f>
        <v/>
      </c>
      <c r="K621" s="16" t="n"/>
      <c r="L621" s="14">
        <f>IFERROR(IF(AND(IFERROR(INDEX(ERP資料!$A:$A, (MATCH(620, 輔助計算!$G$2:$G$801, 0)+1)), "")&lt;&gt;"", IFERROR(INDEX(ERP資料!$A:$A, (MATCH(620, 輔助計算!$G$2:$G$801, 0)+1)), "")&lt;&gt;IFERROR(INDEX(ERP資料!$A:$A, MATCH(619, 輔助計算!$G$2:$G$801, 0)+1), "")), INDEX(ERP資料!$B:$B, (MATCH(620, 輔助計算!$G$2:$G$801, 0)+1)), ""), "")</f>
        <v/>
      </c>
      <c r="M621" s="17" t="n"/>
    </row>
    <row r="622">
      <c r="A622" s="10">
        <f>IFERROR(IF(AND(IFERROR(INDEX(ERP資料!$A:$A, (MATCH(621, 輔助計算!$G$2:$G$801, 0)+1)), "")&lt;&gt;"", IFERROR(INDEX(ERP資料!$A:$A, (MATCH(621, 輔助計算!$G$2:$G$801, 0)+1)), "")&lt;&gt;IFERROR(INDEX(ERP資料!$A:$A, MATCH(620, 輔助計算!$G$2:$G$801, 0)+1), "")), IFERROR(INDEX(ERP資料!$A:$A, (MATCH(621, 輔助計算!$G$2:$G$801, 0)+1)), ""), ""), "")</f>
        <v/>
      </c>
      <c r="B622" s="10">
        <f>IFERROR(IF(AND(IFERROR(INDEX(ERP資料!$A:$A, (MATCH(621, 輔助計算!$G$2:$G$801, 0)+1)), "")&lt;&gt;"", IFERROR(INDEX(ERP資料!$A:$A, (MATCH(621, 輔助計算!$G$2:$G$801, 0)+1)), "")&lt;&gt;IFERROR(INDEX(ERP資料!$A:$A, MATCH(620, 輔助計算!$G$2:$G$801, 0)+1), "")), INDEX(ERP資料!$S:$S, (MATCH(621, 輔助計算!$G$2:$G$801, 0)+1)), ""), "")</f>
        <v/>
      </c>
      <c r="C622" s="19">
        <f>IFERROR(IF(AND(IFERROR(INDEX(ERP資料!$A:$A, (MATCH(621, 輔助計算!$G$2:$G$801, 0)+1)), "")&lt;&gt;"", IFERROR(INDEX(ERP資料!$A:$A, (MATCH(621, 輔助計算!$G$2:$G$801, 0)+1)), "")&lt;&gt;IFERROR(INDEX(ERP資料!$A:$A, MATCH(620, 輔助計算!$G$2:$G$801, 0)+1), "")), IFERROR(VLOOKUP(LEFT(INDEX(ERP資料!$S:$S, (MATCH(621, 輔助計算!$G$2:$G$801, 0)+1)), 4), 紙管對照表!$A:$C, 3, FALSE), ""), ""), "")</f>
        <v/>
      </c>
      <c r="D622" s="16" t="n"/>
      <c r="E622" s="10">
        <f>IFERROR(IF(INDEX(ERP資料!$H:$H, (MATCH(621, 輔助計算!$G$2:$G$801, 0)+1))="","",INDEX(ERP資料!$H:$H, (MATCH(621, 輔助計算!$G$2:$G$801, 0)+1))), "")</f>
        <v/>
      </c>
      <c r="F622" s="10">
        <f>IFERROR(IF(INDEX(ERP資料!$E:$E, (MATCH(621, 輔助計算!$G$2:$G$801, 0)+1))="","",TRIM(INDEX(ERP資料!$E:$E, (MATCH(621, 輔助計算!$G$2:$G$801, 0)+1)))), "")</f>
        <v/>
      </c>
      <c r="G622" s="10">
        <f>IFERROR(IF(INDEX(ERP資料!$F:$F, (MATCH(621, 輔助計算!$G$2:$G$801, 0)+1))="","",INDEX(ERP資料!$F:$F, (MATCH(621, 輔助計算!$G$2:$G$801, 0)+1))), "")</f>
        <v/>
      </c>
      <c r="H622" s="10">
        <f>IFERROR(IF(INDEX(ERP資料!$G:$G, (MATCH(621, 輔助計算!$G$2:$G$801, 0)+1))="","",INDEX(ERP資料!$G:$G, (MATCH(621, 輔助計算!$G$2:$G$801, 0)+1))), "")</f>
        <v/>
      </c>
      <c r="I622" s="15">
        <f>IFERROR(INDEX(輔助計算!$D:$D, (MATCH(621, 輔助計算!$G$2:$G$801, 0)+1)), "")</f>
        <v/>
      </c>
      <c r="J622" s="15">
        <f>IFERROR(IF(AND(INDEX(輔助計算!$D:$D, (MATCH(621, 輔助計算!$G$2:$G$801, 0)+1))&lt;&gt;"", INDEX(ERP資料!$G:$G, (MATCH(621, 輔助計算!$G$2:$G$801, 0)+1))&lt;&gt;""), TRIM(IF(INT(INDEX(輔助計算!$D:$D, (MATCH(621, 輔助計算!$G$2:$G$801, 0)+1))/IF(INDEX(ERP資料!$G:$G, (MATCH(621, 輔助計算!$G$2:$G$801, 0)+1))&lt;100, IF(INDEX(ERP資料!$G:$G, (MATCH(621, 輔助計算!$G$2:$G$801, 0)+1))&lt;=31,3,IF(INDEX(ERP資料!$G:$G, (MATCH(621, 輔助計算!$G$2:$G$801, 0)+1))&lt;=46.5,2,1)), IF(INDEX(ERP資料!$G:$G, (MATCH(621, 輔助計算!$G$2:$G$801, 0)+1))&lt;=790,3,IF(INDEX(ERP資料!$G:$G, (MATCH(621, 輔助計算!$G$2:$G$801, 0)+1))&lt;=1181,2,1))))&gt;0, IF(IF(INDEX(ERP資料!$G:$G, (MATCH(621, 輔助計算!$G$2:$G$801, 0)+1))&lt;100, IF(INDEX(ERP資料!$G:$G, (MATCH(621, 輔助計算!$G$2:$G$801, 0)+1))&lt;=31,3,IF(INDEX(ERP資料!$G:$G, (MATCH(621, 輔助計算!$G$2:$G$801, 0)+1))&lt;=46.5,2,1)), IF(INDEX(ERP資料!$G:$G, (MATCH(621, 輔助計算!$G$2:$G$801, 0)+1))&lt;=790,3,IF(INDEX(ERP資料!$G:$G, (MATCH(621, 輔助計算!$G$2:$G$801, 0)+1))&lt;=1181,2,1)))=1,TEXT(INDEX(ERP資料!$G:$G, (MATCH(621, 輔助計算!$G$2:$G$801, 0)+1)),"0.##"),IF(IF(INDEX(ERP資料!$G:$G, (MATCH(621, 輔助計算!$G$2:$G$801, 0)+1))&lt;100, IF(INDEX(ERP資料!$G:$G, (MATCH(621, 輔助計算!$G$2:$G$801, 0)+1))&lt;=31,3,IF(INDEX(ERP資料!$G:$G, (MATCH(621, 輔助計算!$G$2:$G$801, 0)+1))&lt;=46.5,2,1)), IF(INDEX(ERP資料!$G:$G, (MATCH(621, 輔助計算!$G$2:$G$801, 0)+1))&lt;=790,3,IF(INDEX(ERP資料!$G:$G, (MATCH(621, 輔助計算!$G$2:$G$801, 0)+1))&lt;=1181,2,1)))=2,TEXT(INDEX(ERP資料!$G:$G, (MATCH(621, 輔助計算!$G$2:$G$801, 0)+1)),"0.##")&amp;"+"&amp;TEXT(INDEX(ERP資料!$G:$G, (MATCH(621, 輔助計算!$G$2:$G$801, 0)+1)),"0.##"),TEXT(INDEX(ERP資料!$G:$G, (MATCH(621, 輔助計算!$G$2:$G$801, 0)+1)),"0.##")&amp;"+"&amp;TEXT(INDEX(ERP資料!$G:$G, (MATCH(621, 輔助計算!$G$2:$G$801, 0)+1)),"0.##")&amp;"+"&amp;TEXT(INDEX(ERP資料!$G:$G, (MATCH(621, 輔助計算!$G$2:$G$801, 0)+1)),"0.##")))&amp;"-"&amp;INT(INDEX(輔助計算!$D:$D, (MATCH(621, 輔助計算!$G$2:$G$801, 0)+1))/IF(INDEX(ERP資料!$G:$G, (MATCH(621, 輔助計算!$G$2:$G$801, 0)+1))&lt;100, IF(INDEX(ERP資料!$G:$G, (MATCH(621, 輔助計算!$G$2:$G$801, 0)+1))&lt;=31,3,IF(INDEX(ERP資料!$G:$G, (MATCH(621, 輔助計算!$G$2:$G$801, 0)+1))&lt;=46.5,2,1)), IF(INDEX(ERP資料!$G:$G, (MATCH(621, 輔助計算!$G$2:$G$801, 0)+1))&lt;=790,3,IF(INDEX(ERP資料!$G:$G, (MATCH(621, 輔助計算!$G$2:$G$801, 0)+1))&lt;=1181,2,1)))), "")&amp;IF(AND(IF(INT(INDEX(輔助計算!$D:$D, (MATCH(621, 輔助計算!$G$2:$G$801, 0)+1))/IF(INDEX(ERP資料!$G:$G, (MATCH(621, 輔助計算!$G$2:$G$801, 0)+1))&lt;100, IF(INDEX(ERP資料!$G:$G, (MATCH(621, 輔助計算!$G$2:$G$801, 0)+1))&lt;=31,3,IF(INDEX(ERP資料!$G:$G, (MATCH(621, 輔助計算!$G$2:$G$801, 0)+1))&lt;=46.5,2,1)), IF(INDEX(ERP資料!$G:$G, (MATCH(621, 輔助計算!$G$2:$G$801, 0)+1))&lt;=790,3,IF(INDEX(ERP資料!$G:$G, (MATCH(621, 輔助計算!$G$2:$G$801, 0)+1))&lt;=1181,2,1))))&gt;0, IF(IF(INDEX(ERP資料!$G:$G, (MATCH(621, 輔助計算!$G$2:$G$801, 0)+1))&lt;100, IF(INDEX(ERP資料!$G:$G, (MATCH(621, 輔助計算!$G$2:$G$801, 0)+1))&lt;=31,3,IF(INDEX(ERP資料!$G:$G, (MATCH(621, 輔助計算!$G$2:$G$801, 0)+1))&lt;=46.5,2,1)), IF(INDEX(ERP資料!$G:$G, (MATCH(621, 輔助計算!$G$2:$G$801, 0)+1))&lt;=790,3,IF(INDEX(ERP資料!$G:$G, (MATCH(621, 輔助計算!$G$2:$G$801, 0)+1))&lt;=1181,2,1)))=1,TEXT(INDEX(ERP資料!$G:$G, (MATCH(621, 輔助計算!$G$2:$G$801, 0)+1)),"0.##"),IF(IF(INDEX(ERP資料!$G:$G, (MATCH(621, 輔助計算!$G$2:$G$801, 0)+1))&lt;100, IF(INDEX(ERP資料!$G:$G, (MATCH(621, 輔助計算!$G$2:$G$801, 0)+1))&lt;=31,3,IF(INDEX(ERP資料!$G:$G, (MATCH(621, 輔助計算!$G$2:$G$801, 0)+1))&lt;=46.5,2,1)), IF(INDEX(ERP資料!$G:$G, (MATCH(621, 輔助計算!$G$2:$G$801, 0)+1))&lt;=790,3,IF(INDEX(ERP資料!$G:$G, (MATCH(621, 輔助計算!$G$2:$G$801, 0)+1))&lt;=1181,2,1)))=2,TEXT(INDEX(ERP資料!$G:$G, (MATCH(621, 輔助計算!$G$2:$G$801, 0)+1)),"0.##")&amp;"+"&amp;TEXT(INDEX(ERP資料!$G:$G, (MATCH(621, 輔助計算!$G$2:$G$801, 0)+1)),"0.##"),TEXT(INDEX(ERP資料!$G:$G, (MATCH(621, 輔助計算!$G$2:$G$801, 0)+1)),"0.##")&amp;"+"&amp;TEXT(INDEX(ERP資料!$G:$G, (MATCH(621, 輔助計算!$G$2:$G$801, 0)+1)),"0.##")&amp;"+"&amp;TEXT(INDEX(ERP資料!$G:$G, (MATCH(621, 輔助計算!$G$2:$G$801, 0)+1)),"0.##")))&amp;"-"&amp;INT(INDEX(輔助計算!$D:$D, (MATCH(621, 輔助計算!$G$2:$G$801, 0)+1))/IF(INDEX(ERP資料!$G:$G, (MATCH(621, 輔助計算!$G$2:$G$801, 0)+1))&lt;100, IF(INDEX(ERP資料!$G:$G, (MATCH(621, 輔助計算!$G$2:$G$801, 0)+1))&lt;=31,3,IF(INDEX(ERP資料!$G:$G, (MATCH(621, 輔助計算!$G$2:$G$801, 0)+1))&lt;=46.5,2,1)), IF(INDEX(ERP資料!$G:$G, (MATCH(621, 輔助計算!$G$2:$G$801, 0)+1))&lt;=790,3,IF(INDEX(ERP資料!$G:$G, (MATCH(621, 輔助計算!$G$2:$G$801, 0)+1))&lt;=1181,2,1)))), "")&lt;&gt;"",IF(MOD(INDEX(輔助計算!$D:$D, (MATCH(621, 輔助計算!$G$2:$G$801, 0)+1)),IF(INDEX(ERP資料!$G:$G, (MATCH(621, 輔助計算!$G$2:$G$801, 0)+1))&lt;100, IF(INDEX(ERP資料!$G:$G, (MATCH(621, 輔助計算!$G$2:$G$801, 0)+1))&lt;=31,3,IF(INDEX(ERP資料!$G:$G, (MATCH(621, 輔助計算!$G$2:$G$801, 0)+1))&lt;=46.5,2,1)), IF(INDEX(ERP資料!$G:$G, (MATCH(621, 輔助計算!$G$2:$G$801, 0)+1))&lt;=790,3,IF(INDEX(ERP資料!$G:$G, (MATCH(621, 輔助計算!$G$2:$G$801, 0)+1))&lt;=1181,2,1))))=0,"",IF(MOD(INDEX(輔助計算!$D:$D, (MATCH(621, 輔助計算!$G$2:$G$801, 0)+1)),IF(INDEX(ERP資料!$G:$G, (MATCH(621, 輔助計算!$G$2:$G$801, 0)+1))&lt;100, IF(INDEX(ERP資料!$G:$G, (MATCH(621, 輔助計算!$G$2:$G$801, 0)+1))&lt;=31,3,IF(INDEX(ERP資料!$G:$G, (MATCH(621, 輔助計算!$G$2:$G$801, 0)+1))&lt;=46.5,2,1)), IF(INDEX(ERP資料!$G:$G, (MATCH(621, 輔助計算!$G$2:$G$801, 0)+1))&lt;=790,3,IF(INDEX(ERP資料!$G:$G, (MATCH(621, 輔助計算!$G$2:$G$801, 0)+1))&lt;=1181,2,1))))=0,"",IF(MOD(INDEX(輔助計算!$D:$D, (MATCH(621, 輔助計算!$G$2:$G$801, 0)+1)),IF(INDEX(ERP資料!$G:$G, (MATCH(621, 輔助計算!$G$2:$G$801, 0)+1))&lt;100, IF(INDEX(ERP資料!$G:$G, (MATCH(621, 輔助計算!$G$2:$G$801, 0)+1))&lt;=31,3,IF(INDEX(ERP資料!$G:$G, (MATCH(621, 輔助計算!$G$2:$G$801, 0)+1))&lt;=46.5,2,1)), IF(INDEX(ERP資料!$G:$G, (MATCH(621, 輔助計算!$G$2:$G$801, 0)+1))&lt;=790,3,IF(INDEX(ERP資料!$G:$G, (MATCH(621, 輔助計算!$G$2:$G$801, 0)+1))&lt;=1181,2,1))))=1,TEXT(INDEX(ERP資料!$G:$G, (MATCH(621, 輔助計算!$G$2:$G$801, 0)+1)),"0.##"),IF(MOD(INDEX(輔助計算!$D:$D, (MATCH(621, 輔助計算!$G$2:$G$801, 0)+1)),IF(INDEX(ERP資料!$G:$G, (MATCH(621, 輔助計算!$G$2:$G$801, 0)+1))&lt;100, IF(INDEX(ERP資料!$G:$G, (MATCH(621, 輔助計算!$G$2:$G$801, 0)+1))&lt;=31,3,IF(INDEX(ERP資料!$G:$G, (MATCH(621, 輔助計算!$G$2:$G$801, 0)+1))&lt;=46.5,2,1)), IF(INDEX(ERP資料!$G:$G, (MATCH(621, 輔助計算!$G$2:$G$801, 0)+1))&lt;=790,3,IF(INDEX(ERP資料!$G:$G, (MATCH(621, 輔助計算!$G$2:$G$801, 0)+1))&lt;=1181,2,1))))=2,TEXT(INDEX(ERP資料!$G:$G, (MATCH(621, 輔助計算!$G$2:$G$801, 0)+1)),"0.##")&amp;"+"&amp;TEXT(INDEX(ERP資料!$G:$G, (MATCH(621, 輔助計算!$G$2:$G$801, 0)+1)),"0.##"),TEXT(INDEX(ERP資料!$G:$G, (MATCH(621, 輔助計算!$G$2:$G$801, 0)+1)),"0.##")&amp;"+"&amp;TEXT(INDEX(ERP資料!$G:$G, (MATCH(621, 輔助計算!$G$2:$G$801, 0)+1)),"0.##")&amp;"+"&amp;TEXT(INDEX(ERP資料!$G:$G, (MATCH(621, 輔助計算!$G$2:$G$801, 0)+1)),"0.##"))))&amp;"-1")&lt;&gt;""),"  ","")&amp;IF(MOD(INDEX(輔助計算!$D:$D, (MATCH(621, 輔助計算!$G$2:$G$801, 0)+1)),IF(INDEX(ERP資料!$G:$G, (MATCH(621, 輔助計算!$G$2:$G$801, 0)+1))&lt;100, IF(INDEX(ERP資料!$G:$G, (MATCH(621, 輔助計算!$G$2:$G$801, 0)+1))&lt;=31,3,IF(INDEX(ERP資料!$G:$G, (MATCH(621, 輔助計算!$G$2:$G$801, 0)+1))&lt;=46.5,2,1)), IF(INDEX(ERP資料!$G:$G, (MATCH(621, 輔助計算!$G$2:$G$801, 0)+1))&lt;=790,3,IF(INDEX(ERP資料!$G:$G, (MATCH(621, 輔助計算!$G$2:$G$801, 0)+1))&lt;=1181,2,1))))=0,"",IF(MOD(INDEX(輔助計算!$D:$D, (MATCH(621, 輔助計算!$G$2:$G$801, 0)+1)),IF(INDEX(ERP資料!$G:$G, (MATCH(621, 輔助計算!$G$2:$G$801, 0)+1))&lt;100, IF(INDEX(ERP資料!$G:$G, (MATCH(621, 輔助計算!$G$2:$G$801, 0)+1))&lt;=31,3,IF(INDEX(ERP資料!$G:$G, (MATCH(621, 輔助計算!$G$2:$G$801, 0)+1))&lt;=46.5,2,1)), IF(INDEX(ERP資料!$G:$G, (MATCH(621, 輔助計算!$G$2:$G$801, 0)+1))&lt;=790,3,IF(INDEX(ERP資料!$G:$G, (MATCH(621, 輔助計算!$G$2:$G$801, 0)+1))&lt;=1181,2,1))))=0,"",IF(MOD(INDEX(輔助計算!$D:$D, (MATCH(621, 輔助計算!$G$2:$G$801, 0)+1)),IF(INDEX(ERP資料!$G:$G, (MATCH(621, 輔助計算!$G$2:$G$801, 0)+1))&lt;100, IF(INDEX(ERP資料!$G:$G, (MATCH(621, 輔助計算!$G$2:$G$801, 0)+1))&lt;=31,3,IF(INDEX(ERP資料!$G:$G, (MATCH(621, 輔助計算!$G$2:$G$801, 0)+1))&lt;=46.5,2,1)), IF(INDEX(ERP資料!$G:$G, (MATCH(621, 輔助計算!$G$2:$G$801, 0)+1))&lt;=790,3,IF(INDEX(ERP資料!$G:$G, (MATCH(621, 輔助計算!$G$2:$G$801, 0)+1))&lt;=1181,2,1))))=1,TEXT(INDEX(ERP資料!$G:$G, (MATCH(621, 輔助計算!$G$2:$G$801, 0)+1)),"0.##"),IF(MOD(INDEX(輔助計算!$D:$D, (MATCH(621, 輔助計算!$G$2:$G$801, 0)+1)),IF(INDEX(ERP資料!$G:$G, (MATCH(621, 輔助計算!$G$2:$G$801, 0)+1))&lt;100, IF(INDEX(ERP資料!$G:$G, (MATCH(621, 輔助計算!$G$2:$G$801, 0)+1))&lt;=31,3,IF(INDEX(ERP資料!$G:$G, (MATCH(621, 輔助計算!$G$2:$G$801, 0)+1))&lt;=46.5,2,1)), IF(INDEX(ERP資料!$G:$G, (MATCH(621, 輔助計算!$G$2:$G$801, 0)+1))&lt;=790,3,IF(INDEX(ERP資料!$G:$G, (MATCH(621, 輔助計算!$G$2:$G$801, 0)+1))&lt;=1181,2,1))))=2,TEXT(INDEX(ERP資料!$G:$G, (MATCH(621, 輔助計算!$G$2:$G$801, 0)+1)),"0.##")&amp;"+"&amp;TEXT(INDEX(ERP資料!$G:$G, (MATCH(621, 輔助計算!$G$2:$G$801, 0)+1)),"0.##"),TEXT(INDEX(ERP資料!$G:$G, (MATCH(621, 輔助計算!$G$2:$G$801, 0)+1)),"0.##")&amp;"+"&amp;TEXT(INDEX(ERP資料!$G:$G, (MATCH(621, 輔助計算!$G$2:$G$801, 0)+1)),"0.##")&amp;"+"&amp;TEXT(INDEX(ERP資料!$G:$G, (MATCH(621, 輔助計算!$G$2:$G$801, 0)+1)),"0.##"))))&amp;"-1")), ""), "")</f>
        <v/>
      </c>
      <c r="K622" s="16" t="n"/>
      <c r="L622" s="14">
        <f>IFERROR(IF(AND(IFERROR(INDEX(ERP資料!$A:$A, (MATCH(621, 輔助計算!$G$2:$G$801, 0)+1)), "")&lt;&gt;"", IFERROR(INDEX(ERP資料!$A:$A, (MATCH(621, 輔助計算!$G$2:$G$801, 0)+1)), "")&lt;&gt;IFERROR(INDEX(ERP資料!$A:$A, MATCH(620, 輔助計算!$G$2:$G$801, 0)+1), "")), INDEX(ERP資料!$B:$B, (MATCH(621, 輔助計算!$G$2:$G$801, 0)+1)), ""), "")</f>
        <v/>
      </c>
      <c r="M622" s="17" t="n"/>
    </row>
    <row r="623">
      <c r="A623" s="10">
        <f>IFERROR(IF(AND(IFERROR(INDEX(ERP資料!$A:$A, (MATCH(622, 輔助計算!$G$2:$G$801, 0)+1)), "")&lt;&gt;"", IFERROR(INDEX(ERP資料!$A:$A, (MATCH(622, 輔助計算!$G$2:$G$801, 0)+1)), "")&lt;&gt;IFERROR(INDEX(ERP資料!$A:$A, MATCH(621, 輔助計算!$G$2:$G$801, 0)+1), "")), IFERROR(INDEX(ERP資料!$A:$A, (MATCH(622, 輔助計算!$G$2:$G$801, 0)+1)), ""), ""), "")</f>
        <v/>
      </c>
      <c r="B623" s="10">
        <f>IFERROR(IF(AND(IFERROR(INDEX(ERP資料!$A:$A, (MATCH(622, 輔助計算!$G$2:$G$801, 0)+1)), "")&lt;&gt;"", IFERROR(INDEX(ERP資料!$A:$A, (MATCH(622, 輔助計算!$G$2:$G$801, 0)+1)), "")&lt;&gt;IFERROR(INDEX(ERP資料!$A:$A, MATCH(621, 輔助計算!$G$2:$G$801, 0)+1), "")), INDEX(ERP資料!$S:$S, (MATCH(622, 輔助計算!$G$2:$G$801, 0)+1)), ""), "")</f>
        <v/>
      </c>
      <c r="C623" s="19">
        <f>IFERROR(IF(AND(IFERROR(INDEX(ERP資料!$A:$A, (MATCH(622, 輔助計算!$G$2:$G$801, 0)+1)), "")&lt;&gt;"", IFERROR(INDEX(ERP資料!$A:$A, (MATCH(622, 輔助計算!$G$2:$G$801, 0)+1)), "")&lt;&gt;IFERROR(INDEX(ERP資料!$A:$A, MATCH(621, 輔助計算!$G$2:$G$801, 0)+1), "")), IFERROR(VLOOKUP(LEFT(INDEX(ERP資料!$S:$S, (MATCH(622, 輔助計算!$G$2:$G$801, 0)+1)), 4), 紙管對照表!$A:$C, 3, FALSE), ""), ""), "")</f>
        <v/>
      </c>
      <c r="D623" s="16" t="n"/>
      <c r="E623" s="10">
        <f>IFERROR(IF(INDEX(ERP資料!$H:$H, (MATCH(622, 輔助計算!$G$2:$G$801, 0)+1))="","",INDEX(ERP資料!$H:$H, (MATCH(622, 輔助計算!$G$2:$G$801, 0)+1))), "")</f>
        <v/>
      </c>
      <c r="F623" s="10">
        <f>IFERROR(IF(INDEX(ERP資料!$E:$E, (MATCH(622, 輔助計算!$G$2:$G$801, 0)+1))="","",TRIM(INDEX(ERP資料!$E:$E, (MATCH(622, 輔助計算!$G$2:$G$801, 0)+1)))), "")</f>
        <v/>
      </c>
      <c r="G623" s="10">
        <f>IFERROR(IF(INDEX(ERP資料!$F:$F, (MATCH(622, 輔助計算!$G$2:$G$801, 0)+1))="","",INDEX(ERP資料!$F:$F, (MATCH(622, 輔助計算!$G$2:$G$801, 0)+1))), "")</f>
        <v/>
      </c>
      <c r="H623" s="10">
        <f>IFERROR(IF(INDEX(ERP資料!$G:$G, (MATCH(622, 輔助計算!$G$2:$G$801, 0)+1))="","",INDEX(ERP資料!$G:$G, (MATCH(622, 輔助計算!$G$2:$G$801, 0)+1))), "")</f>
        <v/>
      </c>
      <c r="I623" s="15">
        <f>IFERROR(INDEX(輔助計算!$D:$D, (MATCH(622, 輔助計算!$G$2:$G$801, 0)+1)), "")</f>
        <v/>
      </c>
      <c r="J623" s="15">
        <f>IFERROR(IF(AND(INDEX(輔助計算!$D:$D, (MATCH(622, 輔助計算!$G$2:$G$801, 0)+1))&lt;&gt;"", INDEX(ERP資料!$G:$G, (MATCH(622, 輔助計算!$G$2:$G$801, 0)+1))&lt;&gt;""), TRIM(IF(INT(INDEX(輔助計算!$D:$D, (MATCH(622, 輔助計算!$G$2:$G$801, 0)+1))/IF(INDEX(ERP資料!$G:$G, (MATCH(622, 輔助計算!$G$2:$G$801, 0)+1))&lt;100, IF(INDEX(ERP資料!$G:$G, (MATCH(622, 輔助計算!$G$2:$G$801, 0)+1))&lt;=31,3,IF(INDEX(ERP資料!$G:$G, (MATCH(622, 輔助計算!$G$2:$G$801, 0)+1))&lt;=46.5,2,1)), IF(INDEX(ERP資料!$G:$G, (MATCH(622, 輔助計算!$G$2:$G$801, 0)+1))&lt;=790,3,IF(INDEX(ERP資料!$G:$G, (MATCH(622, 輔助計算!$G$2:$G$801, 0)+1))&lt;=1181,2,1))))&gt;0, IF(IF(INDEX(ERP資料!$G:$G, (MATCH(622, 輔助計算!$G$2:$G$801, 0)+1))&lt;100, IF(INDEX(ERP資料!$G:$G, (MATCH(622, 輔助計算!$G$2:$G$801, 0)+1))&lt;=31,3,IF(INDEX(ERP資料!$G:$G, (MATCH(622, 輔助計算!$G$2:$G$801, 0)+1))&lt;=46.5,2,1)), IF(INDEX(ERP資料!$G:$G, (MATCH(622, 輔助計算!$G$2:$G$801, 0)+1))&lt;=790,3,IF(INDEX(ERP資料!$G:$G, (MATCH(622, 輔助計算!$G$2:$G$801, 0)+1))&lt;=1181,2,1)))=1,TEXT(INDEX(ERP資料!$G:$G, (MATCH(622, 輔助計算!$G$2:$G$801, 0)+1)),"0.##"),IF(IF(INDEX(ERP資料!$G:$G, (MATCH(622, 輔助計算!$G$2:$G$801, 0)+1))&lt;100, IF(INDEX(ERP資料!$G:$G, (MATCH(622, 輔助計算!$G$2:$G$801, 0)+1))&lt;=31,3,IF(INDEX(ERP資料!$G:$G, (MATCH(622, 輔助計算!$G$2:$G$801, 0)+1))&lt;=46.5,2,1)), IF(INDEX(ERP資料!$G:$G, (MATCH(622, 輔助計算!$G$2:$G$801, 0)+1))&lt;=790,3,IF(INDEX(ERP資料!$G:$G, (MATCH(622, 輔助計算!$G$2:$G$801, 0)+1))&lt;=1181,2,1)))=2,TEXT(INDEX(ERP資料!$G:$G, (MATCH(622, 輔助計算!$G$2:$G$801, 0)+1)),"0.##")&amp;"+"&amp;TEXT(INDEX(ERP資料!$G:$G, (MATCH(622, 輔助計算!$G$2:$G$801, 0)+1)),"0.##"),TEXT(INDEX(ERP資料!$G:$G, (MATCH(622, 輔助計算!$G$2:$G$801, 0)+1)),"0.##")&amp;"+"&amp;TEXT(INDEX(ERP資料!$G:$G, (MATCH(622, 輔助計算!$G$2:$G$801, 0)+1)),"0.##")&amp;"+"&amp;TEXT(INDEX(ERP資料!$G:$G, (MATCH(622, 輔助計算!$G$2:$G$801, 0)+1)),"0.##")))&amp;"-"&amp;INT(INDEX(輔助計算!$D:$D, (MATCH(622, 輔助計算!$G$2:$G$801, 0)+1))/IF(INDEX(ERP資料!$G:$G, (MATCH(622, 輔助計算!$G$2:$G$801, 0)+1))&lt;100, IF(INDEX(ERP資料!$G:$G, (MATCH(622, 輔助計算!$G$2:$G$801, 0)+1))&lt;=31,3,IF(INDEX(ERP資料!$G:$G, (MATCH(622, 輔助計算!$G$2:$G$801, 0)+1))&lt;=46.5,2,1)), IF(INDEX(ERP資料!$G:$G, (MATCH(622, 輔助計算!$G$2:$G$801, 0)+1))&lt;=790,3,IF(INDEX(ERP資料!$G:$G, (MATCH(622, 輔助計算!$G$2:$G$801, 0)+1))&lt;=1181,2,1)))), "")&amp;IF(AND(IF(INT(INDEX(輔助計算!$D:$D, (MATCH(622, 輔助計算!$G$2:$G$801, 0)+1))/IF(INDEX(ERP資料!$G:$G, (MATCH(622, 輔助計算!$G$2:$G$801, 0)+1))&lt;100, IF(INDEX(ERP資料!$G:$G, (MATCH(622, 輔助計算!$G$2:$G$801, 0)+1))&lt;=31,3,IF(INDEX(ERP資料!$G:$G, (MATCH(622, 輔助計算!$G$2:$G$801, 0)+1))&lt;=46.5,2,1)), IF(INDEX(ERP資料!$G:$G, (MATCH(622, 輔助計算!$G$2:$G$801, 0)+1))&lt;=790,3,IF(INDEX(ERP資料!$G:$G, (MATCH(622, 輔助計算!$G$2:$G$801, 0)+1))&lt;=1181,2,1))))&gt;0, IF(IF(INDEX(ERP資料!$G:$G, (MATCH(622, 輔助計算!$G$2:$G$801, 0)+1))&lt;100, IF(INDEX(ERP資料!$G:$G, (MATCH(622, 輔助計算!$G$2:$G$801, 0)+1))&lt;=31,3,IF(INDEX(ERP資料!$G:$G, (MATCH(622, 輔助計算!$G$2:$G$801, 0)+1))&lt;=46.5,2,1)), IF(INDEX(ERP資料!$G:$G, (MATCH(622, 輔助計算!$G$2:$G$801, 0)+1))&lt;=790,3,IF(INDEX(ERP資料!$G:$G, (MATCH(622, 輔助計算!$G$2:$G$801, 0)+1))&lt;=1181,2,1)))=1,TEXT(INDEX(ERP資料!$G:$G, (MATCH(622, 輔助計算!$G$2:$G$801, 0)+1)),"0.##"),IF(IF(INDEX(ERP資料!$G:$G, (MATCH(622, 輔助計算!$G$2:$G$801, 0)+1))&lt;100, IF(INDEX(ERP資料!$G:$G, (MATCH(622, 輔助計算!$G$2:$G$801, 0)+1))&lt;=31,3,IF(INDEX(ERP資料!$G:$G, (MATCH(622, 輔助計算!$G$2:$G$801, 0)+1))&lt;=46.5,2,1)), IF(INDEX(ERP資料!$G:$G, (MATCH(622, 輔助計算!$G$2:$G$801, 0)+1))&lt;=790,3,IF(INDEX(ERP資料!$G:$G, (MATCH(622, 輔助計算!$G$2:$G$801, 0)+1))&lt;=1181,2,1)))=2,TEXT(INDEX(ERP資料!$G:$G, (MATCH(622, 輔助計算!$G$2:$G$801, 0)+1)),"0.##")&amp;"+"&amp;TEXT(INDEX(ERP資料!$G:$G, (MATCH(622, 輔助計算!$G$2:$G$801, 0)+1)),"0.##"),TEXT(INDEX(ERP資料!$G:$G, (MATCH(622, 輔助計算!$G$2:$G$801, 0)+1)),"0.##")&amp;"+"&amp;TEXT(INDEX(ERP資料!$G:$G, (MATCH(622, 輔助計算!$G$2:$G$801, 0)+1)),"0.##")&amp;"+"&amp;TEXT(INDEX(ERP資料!$G:$G, (MATCH(622, 輔助計算!$G$2:$G$801, 0)+1)),"0.##")))&amp;"-"&amp;INT(INDEX(輔助計算!$D:$D, (MATCH(622, 輔助計算!$G$2:$G$801, 0)+1))/IF(INDEX(ERP資料!$G:$G, (MATCH(622, 輔助計算!$G$2:$G$801, 0)+1))&lt;100, IF(INDEX(ERP資料!$G:$G, (MATCH(622, 輔助計算!$G$2:$G$801, 0)+1))&lt;=31,3,IF(INDEX(ERP資料!$G:$G, (MATCH(622, 輔助計算!$G$2:$G$801, 0)+1))&lt;=46.5,2,1)), IF(INDEX(ERP資料!$G:$G, (MATCH(622, 輔助計算!$G$2:$G$801, 0)+1))&lt;=790,3,IF(INDEX(ERP資料!$G:$G, (MATCH(622, 輔助計算!$G$2:$G$801, 0)+1))&lt;=1181,2,1)))), "")&lt;&gt;"",IF(MOD(INDEX(輔助計算!$D:$D, (MATCH(622, 輔助計算!$G$2:$G$801, 0)+1)),IF(INDEX(ERP資料!$G:$G, (MATCH(622, 輔助計算!$G$2:$G$801, 0)+1))&lt;100, IF(INDEX(ERP資料!$G:$G, (MATCH(622, 輔助計算!$G$2:$G$801, 0)+1))&lt;=31,3,IF(INDEX(ERP資料!$G:$G, (MATCH(622, 輔助計算!$G$2:$G$801, 0)+1))&lt;=46.5,2,1)), IF(INDEX(ERP資料!$G:$G, (MATCH(622, 輔助計算!$G$2:$G$801, 0)+1))&lt;=790,3,IF(INDEX(ERP資料!$G:$G, (MATCH(622, 輔助計算!$G$2:$G$801, 0)+1))&lt;=1181,2,1))))=0,"",IF(MOD(INDEX(輔助計算!$D:$D, (MATCH(622, 輔助計算!$G$2:$G$801, 0)+1)),IF(INDEX(ERP資料!$G:$G, (MATCH(622, 輔助計算!$G$2:$G$801, 0)+1))&lt;100, IF(INDEX(ERP資料!$G:$G, (MATCH(622, 輔助計算!$G$2:$G$801, 0)+1))&lt;=31,3,IF(INDEX(ERP資料!$G:$G, (MATCH(622, 輔助計算!$G$2:$G$801, 0)+1))&lt;=46.5,2,1)), IF(INDEX(ERP資料!$G:$G, (MATCH(622, 輔助計算!$G$2:$G$801, 0)+1))&lt;=790,3,IF(INDEX(ERP資料!$G:$G, (MATCH(622, 輔助計算!$G$2:$G$801, 0)+1))&lt;=1181,2,1))))=0,"",IF(MOD(INDEX(輔助計算!$D:$D, (MATCH(622, 輔助計算!$G$2:$G$801, 0)+1)),IF(INDEX(ERP資料!$G:$G, (MATCH(622, 輔助計算!$G$2:$G$801, 0)+1))&lt;100, IF(INDEX(ERP資料!$G:$G, (MATCH(622, 輔助計算!$G$2:$G$801, 0)+1))&lt;=31,3,IF(INDEX(ERP資料!$G:$G, (MATCH(622, 輔助計算!$G$2:$G$801, 0)+1))&lt;=46.5,2,1)), IF(INDEX(ERP資料!$G:$G, (MATCH(622, 輔助計算!$G$2:$G$801, 0)+1))&lt;=790,3,IF(INDEX(ERP資料!$G:$G, (MATCH(622, 輔助計算!$G$2:$G$801, 0)+1))&lt;=1181,2,1))))=1,TEXT(INDEX(ERP資料!$G:$G, (MATCH(622, 輔助計算!$G$2:$G$801, 0)+1)),"0.##"),IF(MOD(INDEX(輔助計算!$D:$D, (MATCH(622, 輔助計算!$G$2:$G$801, 0)+1)),IF(INDEX(ERP資料!$G:$G, (MATCH(622, 輔助計算!$G$2:$G$801, 0)+1))&lt;100, IF(INDEX(ERP資料!$G:$G, (MATCH(622, 輔助計算!$G$2:$G$801, 0)+1))&lt;=31,3,IF(INDEX(ERP資料!$G:$G, (MATCH(622, 輔助計算!$G$2:$G$801, 0)+1))&lt;=46.5,2,1)), IF(INDEX(ERP資料!$G:$G, (MATCH(622, 輔助計算!$G$2:$G$801, 0)+1))&lt;=790,3,IF(INDEX(ERP資料!$G:$G, (MATCH(622, 輔助計算!$G$2:$G$801, 0)+1))&lt;=1181,2,1))))=2,TEXT(INDEX(ERP資料!$G:$G, (MATCH(622, 輔助計算!$G$2:$G$801, 0)+1)),"0.##")&amp;"+"&amp;TEXT(INDEX(ERP資料!$G:$G, (MATCH(622, 輔助計算!$G$2:$G$801, 0)+1)),"0.##"),TEXT(INDEX(ERP資料!$G:$G, (MATCH(622, 輔助計算!$G$2:$G$801, 0)+1)),"0.##")&amp;"+"&amp;TEXT(INDEX(ERP資料!$G:$G, (MATCH(622, 輔助計算!$G$2:$G$801, 0)+1)),"0.##")&amp;"+"&amp;TEXT(INDEX(ERP資料!$G:$G, (MATCH(622, 輔助計算!$G$2:$G$801, 0)+1)),"0.##"))))&amp;"-1")&lt;&gt;""),"  ","")&amp;IF(MOD(INDEX(輔助計算!$D:$D, (MATCH(622, 輔助計算!$G$2:$G$801, 0)+1)),IF(INDEX(ERP資料!$G:$G, (MATCH(622, 輔助計算!$G$2:$G$801, 0)+1))&lt;100, IF(INDEX(ERP資料!$G:$G, (MATCH(622, 輔助計算!$G$2:$G$801, 0)+1))&lt;=31,3,IF(INDEX(ERP資料!$G:$G, (MATCH(622, 輔助計算!$G$2:$G$801, 0)+1))&lt;=46.5,2,1)), IF(INDEX(ERP資料!$G:$G, (MATCH(622, 輔助計算!$G$2:$G$801, 0)+1))&lt;=790,3,IF(INDEX(ERP資料!$G:$G, (MATCH(622, 輔助計算!$G$2:$G$801, 0)+1))&lt;=1181,2,1))))=0,"",IF(MOD(INDEX(輔助計算!$D:$D, (MATCH(622, 輔助計算!$G$2:$G$801, 0)+1)),IF(INDEX(ERP資料!$G:$G, (MATCH(622, 輔助計算!$G$2:$G$801, 0)+1))&lt;100, IF(INDEX(ERP資料!$G:$G, (MATCH(622, 輔助計算!$G$2:$G$801, 0)+1))&lt;=31,3,IF(INDEX(ERP資料!$G:$G, (MATCH(622, 輔助計算!$G$2:$G$801, 0)+1))&lt;=46.5,2,1)), IF(INDEX(ERP資料!$G:$G, (MATCH(622, 輔助計算!$G$2:$G$801, 0)+1))&lt;=790,3,IF(INDEX(ERP資料!$G:$G, (MATCH(622, 輔助計算!$G$2:$G$801, 0)+1))&lt;=1181,2,1))))=0,"",IF(MOD(INDEX(輔助計算!$D:$D, (MATCH(622, 輔助計算!$G$2:$G$801, 0)+1)),IF(INDEX(ERP資料!$G:$G, (MATCH(622, 輔助計算!$G$2:$G$801, 0)+1))&lt;100, IF(INDEX(ERP資料!$G:$G, (MATCH(622, 輔助計算!$G$2:$G$801, 0)+1))&lt;=31,3,IF(INDEX(ERP資料!$G:$G, (MATCH(622, 輔助計算!$G$2:$G$801, 0)+1))&lt;=46.5,2,1)), IF(INDEX(ERP資料!$G:$G, (MATCH(622, 輔助計算!$G$2:$G$801, 0)+1))&lt;=790,3,IF(INDEX(ERP資料!$G:$G, (MATCH(622, 輔助計算!$G$2:$G$801, 0)+1))&lt;=1181,2,1))))=1,TEXT(INDEX(ERP資料!$G:$G, (MATCH(622, 輔助計算!$G$2:$G$801, 0)+1)),"0.##"),IF(MOD(INDEX(輔助計算!$D:$D, (MATCH(622, 輔助計算!$G$2:$G$801, 0)+1)),IF(INDEX(ERP資料!$G:$G, (MATCH(622, 輔助計算!$G$2:$G$801, 0)+1))&lt;100, IF(INDEX(ERP資料!$G:$G, (MATCH(622, 輔助計算!$G$2:$G$801, 0)+1))&lt;=31,3,IF(INDEX(ERP資料!$G:$G, (MATCH(622, 輔助計算!$G$2:$G$801, 0)+1))&lt;=46.5,2,1)), IF(INDEX(ERP資料!$G:$G, (MATCH(622, 輔助計算!$G$2:$G$801, 0)+1))&lt;=790,3,IF(INDEX(ERP資料!$G:$G, (MATCH(622, 輔助計算!$G$2:$G$801, 0)+1))&lt;=1181,2,1))))=2,TEXT(INDEX(ERP資料!$G:$G, (MATCH(622, 輔助計算!$G$2:$G$801, 0)+1)),"0.##")&amp;"+"&amp;TEXT(INDEX(ERP資料!$G:$G, (MATCH(622, 輔助計算!$G$2:$G$801, 0)+1)),"0.##"),TEXT(INDEX(ERP資料!$G:$G, (MATCH(622, 輔助計算!$G$2:$G$801, 0)+1)),"0.##")&amp;"+"&amp;TEXT(INDEX(ERP資料!$G:$G, (MATCH(622, 輔助計算!$G$2:$G$801, 0)+1)),"0.##")&amp;"+"&amp;TEXT(INDEX(ERP資料!$G:$G, (MATCH(622, 輔助計算!$G$2:$G$801, 0)+1)),"0.##"))))&amp;"-1")), ""), "")</f>
        <v/>
      </c>
      <c r="K623" s="16" t="n"/>
      <c r="L623" s="14">
        <f>IFERROR(IF(AND(IFERROR(INDEX(ERP資料!$A:$A, (MATCH(622, 輔助計算!$G$2:$G$801, 0)+1)), "")&lt;&gt;"", IFERROR(INDEX(ERP資料!$A:$A, (MATCH(622, 輔助計算!$G$2:$G$801, 0)+1)), "")&lt;&gt;IFERROR(INDEX(ERP資料!$A:$A, MATCH(621, 輔助計算!$G$2:$G$801, 0)+1), "")), INDEX(ERP資料!$B:$B, (MATCH(622, 輔助計算!$G$2:$G$801, 0)+1)), ""), "")</f>
        <v/>
      </c>
      <c r="M623" s="17" t="n"/>
    </row>
    <row r="624">
      <c r="A624" s="10">
        <f>IFERROR(IF(AND(IFERROR(INDEX(ERP資料!$A:$A, (MATCH(623, 輔助計算!$G$2:$G$801, 0)+1)), "")&lt;&gt;"", IFERROR(INDEX(ERP資料!$A:$A, (MATCH(623, 輔助計算!$G$2:$G$801, 0)+1)), "")&lt;&gt;IFERROR(INDEX(ERP資料!$A:$A, MATCH(622, 輔助計算!$G$2:$G$801, 0)+1), "")), IFERROR(INDEX(ERP資料!$A:$A, (MATCH(623, 輔助計算!$G$2:$G$801, 0)+1)), ""), ""), "")</f>
        <v/>
      </c>
      <c r="B624" s="10">
        <f>IFERROR(IF(AND(IFERROR(INDEX(ERP資料!$A:$A, (MATCH(623, 輔助計算!$G$2:$G$801, 0)+1)), "")&lt;&gt;"", IFERROR(INDEX(ERP資料!$A:$A, (MATCH(623, 輔助計算!$G$2:$G$801, 0)+1)), "")&lt;&gt;IFERROR(INDEX(ERP資料!$A:$A, MATCH(622, 輔助計算!$G$2:$G$801, 0)+1), "")), INDEX(ERP資料!$S:$S, (MATCH(623, 輔助計算!$G$2:$G$801, 0)+1)), ""), "")</f>
        <v/>
      </c>
      <c r="C624" s="19">
        <f>IFERROR(IF(AND(IFERROR(INDEX(ERP資料!$A:$A, (MATCH(623, 輔助計算!$G$2:$G$801, 0)+1)), "")&lt;&gt;"", IFERROR(INDEX(ERP資料!$A:$A, (MATCH(623, 輔助計算!$G$2:$G$801, 0)+1)), "")&lt;&gt;IFERROR(INDEX(ERP資料!$A:$A, MATCH(622, 輔助計算!$G$2:$G$801, 0)+1), "")), IFERROR(VLOOKUP(LEFT(INDEX(ERP資料!$S:$S, (MATCH(623, 輔助計算!$G$2:$G$801, 0)+1)), 4), 紙管對照表!$A:$C, 3, FALSE), ""), ""), "")</f>
        <v/>
      </c>
      <c r="D624" s="16" t="n"/>
      <c r="E624" s="10">
        <f>IFERROR(IF(INDEX(ERP資料!$H:$H, (MATCH(623, 輔助計算!$G$2:$G$801, 0)+1))="","",INDEX(ERP資料!$H:$H, (MATCH(623, 輔助計算!$G$2:$G$801, 0)+1))), "")</f>
        <v/>
      </c>
      <c r="F624" s="10">
        <f>IFERROR(IF(INDEX(ERP資料!$E:$E, (MATCH(623, 輔助計算!$G$2:$G$801, 0)+1))="","",TRIM(INDEX(ERP資料!$E:$E, (MATCH(623, 輔助計算!$G$2:$G$801, 0)+1)))), "")</f>
        <v/>
      </c>
      <c r="G624" s="10">
        <f>IFERROR(IF(INDEX(ERP資料!$F:$F, (MATCH(623, 輔助計算!$G$2:$G$801, 0)+1))="","",INDEX(ERP資料!$F:$F, (MATCH(623, 輔助計算!$G$2:$G$801, 0)+1))), "")</f>
        <v/>
      </c>
      <c r="H624" s="10">
        <f>IFERROR(IF(INDEX(ERP資料!$G:$G, (MATCH(623, 輔助計算!$G$2:$G$801, 0)+1))="","",INDEX(ERP資料!$G:$G, (MATCH(623, 輔助計算!$G$2:$G$801, 0)+1))), "")</f>
        <v/>
      </c>
      <c r="I624" s="15">
        <f>IFERROR(INDEX(輔助計算!$D:$D, (MATCH(623, 輔助計算!$G$2:$G$801, 0)+1)), "")</f>
        <v/>
      </c>
      <c r="J624" s="15">
        <f>IFERROR(IF(AND(INDEX(輔助計算!$D:$D, (MATCH(623, 輔助計算!$G$2:$G$801, 0)+1))&lt;&gt;"", INDEX(ERP資料!$G:$G, (MATCH(623, 輔助計算!$G$2:$G$801, 0)+1))&lt;&gt;""), TRIM(IF(INT(INDEX(輔助計算!$D:$D, (MATCH(623, 輔助計算!$G$2:$G$801, 0)+1))/IF(INDEX(ERP資料!$G:$G, (MATCH(623, 輔助計算!$G$2:$G$801, 0)+1))&lt;100, IF(INDEX(ERP資料!$G:$G, (MATCH(623, 輔助計算!$G$2:$G$801, 0)+1))&lt;=31,3,IF(INDEX(ERP資料!$G:$G, (MATCH(623, 輔助計算!$G$2:$G$801, 0)+1))&lt;=46.5,2,1)), IF(INDEX(ERP資料!$G:$G, (MATCH(623, 輔助計算!$G$2:$G$801, 0)+1))&lt;=790,3,IF(INDEX(ERP資料!$G:$G, (MATCH(623, 輔助計算!$G$2:$G$801, 0)+1))&lt;=1181,2,1))))&gt;0, IF(IF(INDEX(ERP資料!$G:$G, (MATCH(623, 輔助計算!$G$2:$G$801, 0)+1))&lt;100, IF(INDEX(ERP資料!$G:$G, (MATCH(623, 輔助計算!$G$2:$G$801, 0)+1))&lt;=31,3,IF(INDEX(ERP資料!$G:$G, (MATCH(623, 輔助計算!$G$2:$G$801, 0)+1))&lt;=46.5,2,1)), IF(INDEX(ERP資料!$G:$G, (MATCH(623, 輔助計算!$G$2:$G$801, 0)+1))&lt;=790,3,IF(INDEX(ERP資料!$G:$G, (MATCH(623, 輔助計算!$G$2:$G$801, 0)+1))&lt;=1181,2,1)))=1,TEXT(INDEX(ERP資料!$G:$G, (MATCH(623, 輔助計算!$G$2:$G$801, 0)+1)),"0.##"),IF(IF(INDEX(ERP資料!$G:$G, (MATCH(623, 輔助計算!$G$2:$G$801, 0)+1))&lt;100, IF(INDEX(ERP資料!$G:$G, (MATCH(623, 輔助計算!$G$2:$G$801, 0)+1))&lt;=31,3,IF(INDEX(ERP資料!$G:$G, (MATCH(623, 輔助計算!$G$2:$G$801, 0)+1))&lt;=46.5,2,1)), IF(INDEX(ERP資料!$G:$G, (MATCH(623, 輔助計算!$G$2:$G$801, 0)+1))&lt;=790,3,IF(INDEX(ERP資料!$G:$G, (MATCH(623, 輔助計算!$G$2:$G$801, 0)+1))&lt;=1181,2,1)))=2,TEXT(INDEX(ERP資料!$G:$G, (MATCH(623, 輔助計算!$G$2:$G$801, 0)+1)),"0.##")&amp;"+"&amp;TEXT(INDEX(ERP資料!$G:$G, (MATCH(623, 輔助計算!$G$2:$G$801, 0)+1)),"0.##"),TEXT(INDEX(ERP資料!$G:$G, (MATCH(623, 輔助計算!$G$2:$G$801, 0)+1)),"0.##")&amp;"+"&amp;TEXT(INDEX(ERP資料!$G:$G, (MATCH(623, 輔助計算!$G$2:$G$801, 0)+1)),"0.##")&amp;"+"&amp;TEXT(INDEX(ERP資料!$G:$G, (MATCH(623, 輔助計算!$G$2:$G$801, 0)+1)),"0.##")))&amp;"-"&amp;INT(INDEX(輔助計算!$D:$D, (MATCH(623, 輔助計算!$G$2:$G$801, 0)+1))/IF(INDEX(ERP資料!$G:$G, (MATCH(623, 輔助計算!$G$2:$G$801, 0)+1))&lt;100, IF(INDEX(ERP資料!$G:$G, (MATCH(623, 輔助計算!$G$2:$G$801, 0)+1))&lt;=31,3,IF(INDEX(ERP資料!$G:$G, (MATCH(623, 輔助計算!$G$2:$G$801, 0)+1))&lt;=46.5,2,1)), IF(INDEX(ERP資料!$G:$G, (MATCH(623, 輔助計算!$G$2:$G$801, 0)+1))&lt;=790,3,IF(INDEX(ERP資料!$G:$G, (MATCH(623, 輔助計算!$G$2:$G$801, 0)+1))&lt;=1181,2,1)))), "")&amp;IF(AND(IF(INT(INDEX(輔助計算!$D:$D, (MATCH(623, 輔助計算!$G$2:$G$801, 0)+1))/IF(INDEX(ERP資料!$G:$G, (MATCH(623, 輔助計算!$G$2:$G$801, 0)+1))&lt;100, IF(INDEX(ERP資料!$G:$G, (MATCH(623, 輔助計算!$G$2:$G$801, 0)+1))&lt;=31,3,IF(INDEX(ERP資料!$G:$G, (MATCH(623, 輔助計算!$G$2:$G$801, 0)+1))&lt;=46.5,2,1)), IF(INDEX(ERP資料!$G:$G, (MATCH(623, 輔助計算!$G$2:$G$801, 0)+1))&lt;=790,3,IF(INDEX(ERP資料!$G:$G, (MATCH(623, 輔助計算!$G$2:$G$801, 0)+1))&lt;=1181,2,1))))&gt;0, IF(IF(INDEX(ERP資料!$G:$G, (MATCH(623, 輔助計算!$G$2:$G$801, 0)+1))&lt;100, IF(INDEX(ERP資料!$G:$G, (MATCH(623, 輔助計算!$G$2:$G$801, 0)+1))&lt;=31,3,IF(INDEX(ERP資料!$G:$G, (MATCH(623, 輔助計算!$G$2:$G$801, 0)+1))&lt;=46.5,2,1)), IF(INDEX(ERP資料!$G:$G, (MATCH(623, 輔助計算!$G$2:$G$801, 0)+1))&lt;=790,3,IF(INDEX(ERP資料!$G:$G, (MATCH(623, 輔助計算!$G$2:$G$801, 0)+1))&lt;=1181,2,1)))=1,TEXT(INDEX(ERP資料!$G:$G, (MATCH(623, 輔助計算!$G$2:$G$801, 0)+1)),"0.##"),IF(IF(INDEX(ERP資料!$G:$G, (MATCH(623, 輔助計算!$G$2:$G$801, 0)+1))&lt;100, IF(INDEX(ERP資料!$G:$G, (MATCH(623, 輔助計算!$G$2:$G$801, 0)+1))&lt;=31,3,IF(INDEX(ERP資料!$G:$G, (MATCH(623, 輔助計算!$G$2:$G$801, 0)+1))&lt;=46.5,2,1)), IF(INDEX(ERP資料!$G:$G, (MATCH(623, 輔助計算!$G$2:$G$801, 0)+1))&lt;=790,3,IF(INDEX(ERP資料!$G:$G, (MATCH(623, 輔助計算!$G$2:$G$801, 0)+1))&lt;=1181,2,1)))=2,TEXT(INDEX(ERP資料!$G:$G, (MATCH(623, 輔助計算!$G$2:$G$801, 0)+1)),"0.##")&amp;"+"&amp;TEXT(INDEX(ERP資料!$G:$G, (MATCH(623, 輔助計算!$G$2:$G$801, 0)+1)),"0.##"),TEXT(INDEX(ERP資料!$G:$G, (MATCH(623, 輔助計算!$G$2:$G$801, 0)+1)),"0.##")&amp;"+"&amp;TEXT(INDEX(ERP資料!$G:$G, (MATCH(623, 輔助計算!$G$2:$G$801, 0)+1)),"0.##")&amp;"+"&amp;TEXT(INDEX(ERP資料!$G:$G, (MATCH(623, 輔助計算!$G$2:$G$801, 0)+1)),"0.##")))&amp;"-"&amp;INT(INDEX(輔助計算!$D:$D, (MATCH(623, 輔助計算!$G$2:$G$801, 0)+1))/IF(INDEX(ERP資料!$G:$G, (MATCH(623, 輔助計算!$G$2:$G$801, 0)+1))&lt;100, IF(INDEX(ERP資料!$G:$G, (MATCH(623, 輔助計算!$G$2:$G$801, 0)+1))&lt;=31,3,IF(INDEX(ERP資料!$G:$G, (MATCH(623, 輔助計算!$G$2:$G$801, 0)+1))&lt;=46.5,2,1)), IF(INDEX(ERP資料!$G:$G, (MATCH(623, 輔助計算!$G$2:$G$801, 0)+1))&lt;=790,3,IF(INDEX(ERP資料!$G:$G, (MATCH(623, 輔助計算!$G$2:$G$801, 0)+1))&lt;=1181,2,1)))), "")&lt;&gt;"",IF(MOD(INDEX(輔助計算!$D:$D, (MATCH(623, 輔助計算!$G$2:$G$801, 0)+1)),IF(INDEX(ERP資料!$G:$G, (MATCH(623, 輔助計算!$G$2:$G$801, 0)+1))&lt;100, IF(INDEX(ERP資料!$G:$G, (MATCH(623, 輔助計算!$G$2:$G$801, 0)+1))&lt;=31,3,IF(INDEX(ERP資料!$G:$G, (MATCH(623, 輔助計算!$G$2:$G$801, 0)+1))&lt;=46.5,2,1)), IF(INDEX(ERP資料!$G:$G, (MATCH(623, 輔助計算!$G$2:$G$801, 0)+1))&lt;=790,3,IF(INDEX(ERP資料!$G:$G, (MATCH(623, 輔助計算!$G$2:$G$801, 0)+1))&lt;=1181,2,1))))=0,"",IF(MOD(INDEX(輔助計算!$D:$D, (MATCH(623, 輔助計算!$G$2:$G$801, 0)+1)),IF(INDEX(ERP資料!$G:$G, (MATCH(623, 輔助計算!$G$2:$G$801, 0)+1))&lt;100, IF(INDEX(ERP資料!$G:$G, (MATCH(623, 輔助計算!$G$2:$G$801, 0)+1))&lt;=31,3,IF(INDEX(ERP資料!$G:$G, (MATCH(623, 輔助計算!$G$2:$G$801, 0)+1))&lt;=46.5,2,1)), IF(INDEX(ERP資料!$G:$G, (MATCH(623, 輔助計算!$G$2:$G$801, 0)+1))&lt;=790,3,IF(INDEX(ERP資料!$G:$G, (MATCH(623, 輔助計算!$G$2:$G$801, 0)+1))&lt;=1181,2,1))))=0,"",IF(MOD(INDEX(輔助計算!$D:$D, (MATCH(623, 輔助計算!$G$2:$G$801, 0)+1)),IF(INDEX(ERP資料!$G:$G, (MATCH(623, 輔助計算!$G$2:$G$801, 0)+1))&lt;100, IF(INDEX(ERP資料!$G:$G, (MATCH(623, 輔助計算!$G$2:$G$801, 0)+1))&lt;=31,3,IF(INDEX(ERP資料!$G:$G, (MATCH(623, 輔助計算!$G$2:$G$801, 0)+1))&lt;=46.5,2,1)), IF(INDEX(ERP資料!$G:$G, (MATCH(623, 輔助計算!$G$2:$G$801, 0)+1))&lt;=790,3,IF(INDEX(ERP資料!$G:$G, (MATCH(623, 輔助計算!$G$2:$G$801, 0)+1))&lt;=1181,2,1))))=1,TEXT(INDEX(ERP資料!$G:$G, (MATCH(623, 輔助計算!$G$2:$G$801, 0)+1)),"0.##"),IF(MOD(INDEX(輔助計算!$D:$D, (MATCH(623, 輔助計算!$G$2:$G$801, 0)+1)),IF(INDEX(ERP資料!$G:$G, (MATCH(623, 輔助計算!$G$2:$G$801, 0)+1))&lt;100, IF(INDEX(ERP資料!$G:$G, (MATCH(623, 輔助計算!$G$2:$G$801, 0)+1))&lt;=31,3,IF(INDEX(ERP資料!$G:$G, (MATCH(623, 輔助計算!$G$2:$G$801, 0)+1))&lt;=46.5,2,1)), IF(INDEX(ERP資料!$G:$G, (MATCH(623, 輔助計算!$G$2:$G$801, 0)+1))&lt;=790,3,IF(INDEX(ERP資料!$G:$G, (MATCH(623, 輔助計算!$G$2:$G$801, 0)+1))&lt;=1181,2,1))))=2,TEXT(INDEX(ERP資料!$G:$G, (MATCH(623, 輔助計算!$G$2:$G$801, 0)+1)),"0.##")&amp;"+"&amp;TEXT(INDEX(ERP資料!$G:$G, (MATCH(623, 輔助計算!$G$2:$G$801, 0)+1)),"0.##"),TEXT(INDEX(ERP資料!$G:$G, (MATCH(623, 輔助計算!$G$2:$G$801, 0)+1)),"0.##")&amp;"+"&amp;TEXT(INDEX(ERP資料!$G:$G, (MATCH(623, 輔助計算!$G$2:$G$801, 0)+1)),"0.##")&amp;"+"&amp;TEXT(INDEX(ERP資料!$G:$G, (MATCH(623, 輔助計算!$G$2:$G$801, 0)+1)),"0.##"))))&amp;"-1")&lt;&gt;""),"  ","")&amp;IF(MOD(INDEX(輔助計算!$D:$D, (MATCH(623, 輔助計算!$G$2:$G$801, 0)+1)),IF(INDEX(ERP資料!$G:$G, (MATCH(623, 輔助計算!$G$2:$G$801, 0)+1))&lt;100, IF(INDEX(ERP資料!$G:$G, (MATCH(623, 輔助計算!$G$2:$G$801, 0)+1))&lt;=31,3,IF(INDEX(ERP資料!$G:$G, (MATCH(623, 輔助計算!$G$2:$G$801, 0)+1))&lt;=46.5,2,1)), IF(INDEX(ERP資料!$G:$G, (MATCH(623, 輔助計算!$G$2:$G$801, 0)+1))&lt;=790,3,IF(INDEX(ERP資料!$G:$G, (MATCH(623, 輔助計算!$G$2:$G$801, 0)+1))&lt;=1181,2,1))))=0,"",IF(MOD(INDEX(輔助計算!$D:$D, (MATCH(623, 輔助計算!$G$2:$G$801, 0)+1)),IF(INDEX(ERP資料!$G:$G, (MATCH(623, 輔助計算!$G$2:$G$801, 0)+1))&lt;100, IF(INDEX(ERP資料!$G:$G, (MATCH(623, 輔助計算!$G$2:$G$801, 0)+1))&lt;=31,3,IF(INDEX(ERP資料!$G:$G, (MATCH(623, 輔助計算!$G$2:$G$801, 0)+1))&lt;=46.5,2,1)), IF(INDEX(ERP資料!$G:$G, (MATCH(623, 輔助計算!$G$2:$G$801, 0)+1))&lt;=790,3,IF(INDEX(ERP資料!$G:$G, (MATCH(623, 輔助計算!$G$2:$G$801, 0)+1))&lt;=1181,2,1))))=0,"",IF(MOD(INDEX(輔助計算!$D:$D, (MATCH(623, 輔助計算!$G$2:$G$801, 0)+1)),IF(INDEX(ERP資料!$G:$G, (MATCH(623, 輔助計算!$G$2:$G$801, 0)+1))&lt;100, IF(INDEX(ERP資料!$G:$G, (MATCH(623, 輔助計算!$G$2:$G$801, 0)+1))&lt;=31,3,IF(INDEX(ERP資料!$G:$G, (MATCH(623, 輔助計算!$G$2:$G$801, 0)+1))&lt;=46.5,2,1)), IF(INDEX(ERP資料!$G:$G, (MATCH(623, 輔助計算!$G$2:$G$801, 0)+1))&lt;=790,3,IF(INDEX(ERP資料!$G:$G, (MATCH(623, 輔助計算!$G$2:$G$801, 0)+1))&lt;=1181,2,1))))=1,TEXT(INDEX(ERP資料!$G:$G, (MATCH(623, 輔助計算!$G$2:$G$801, 0)+1)),"0.##"),IF(MOD(INDEX(輔助計算!$D:$D, (MATCH(623, 輔助計算!$G$2:$G$801, 0)+1)),IF(INDEX(ERP資料!$G:$G, (MATCH(623, 輔助計算!$G$2:$G$801, 0)+1))&lt;100, IF(INDEX(ERP資料!$G:$G, (MATCH(623, 輔助計算!$G$2:$G$801, 0)+1))&lt;=31,3,IF(INDEX(ERP資料!$G:$G, (MATCH(623, 輔助計算!$G$2:$G$801, 0)+1))&lt;=46.5,2,1)), IF(INDEX(ERP資料!$G:$G, (MATCH(623, 輔助計算!$G$2:$G$801, 0)+1))&lt;=790,3,IF(INDEX(ERP資料!$G:$G, (MATCH(623, 輔助計算!$G$2:$G$801, 0)+1))&lt;=1181,2,1))))=2,TEXT(INDEX(ERP資料!$G:$G, (MATCH(623, 輔助計算!$G$2:$G$801, 0)+1)),"0.##")&amp;"+"&amp;TEXT(INDEX(ERP資料!$G:$G, (MATCH(623, 輔助計算!$G$2:$G$801, 0)+1)),"0.##"),TEXT(INDEX(ERP資料!$G:$G, (MATCH(623, 輔助計算!$G$2:$G$801, 0)+1)),"0.##")&amp;"+"&amp;TEXT(INDEX(ERP資料!$G:$G, (MATCH(623, 輔助計算!$G$2:$G$801, 0)+1)),"0.##")&amp;"+"&amp;TEXT(INDEX(ERP資料!$G:$G, (MATCH(623, 輔助計算!$G$2:$G$801, 0)+1)),"0.##"))))&amp;"-1")), ""), "")</f>
        <v/>
      </c>
      <c r="K624" s="16" t="n"/>
      <c r="L624" s="14">
        <f>IFERROR(IF(AND(IFERROR(INDEX(ERP資料!$A:$A, (MATCH(623, 輔助計算!$G$2:$G$801, 0)+1)), "")&lt;&gt;"", IFERROR(INDEX(ERP資料!$A:$A, (MATCH(623, 輔助計算!$G$2:$G$801, 0)+1)), "")&lt;&gt;IFERROR(INDEX(ERP資料!$A:$A, MATCH(622, 輔助計算!$G$2:$G$801, 0)+1), "")), INDEX(ERP資料!$B:$B, (MATCH(623, 輔助計算!$G$2:$G$801, 0)+1)), ""), "")</f>
        <v/>
      </c>
      <c r="M624" s="17" t="n"/>
    </row>
    <row r="625">
      <c r="A625" s="10">
        <f>IFERROR(IF(AND(IFERROR(INDEX(ERP資料!$A:$A, (MATCH(624, 輔助計算!$G$2:$G$801, 0)+1)), "")&lt;&gt;"", IFERROR(INDEX(ERP資料!$A:$A, (MATCH(624, 輔助計算!$G$2:$G$801, 0)+1)), "")&lt;&gt;IFERROR(INDEX(ERP資料!$A:$A, MATCH(623, 輔助計算!$G$2:$G$801, 0)+1), "")), IFERROR(INDEX(ERP資料!$A:$A, (MATCH(624, 輔助計算!$G$2:$G$801, 0)+1)), ""), ""), "")</f>
        <v/>
      </c>
      <c r="B625" s="10">
        <f>IFERROR(IF(AND(IFERROR(INDEX(ERP資料!$A:$A, (MATCH(624, 輔助計算!$G$2:$G$801, 0)+1)), "")&lt;&gt;"", IFERROR(INDEX(ERP資料!$A:$A, (MATCH(624, 輔助計算!$G$2:$G$801, 0)+1)), "")&lt;&gt;IFERROR(INDEX(ERP資料!$A:$A, MATCH(623, 輔助計算!$G$2:$G$801, 0)+1), "")), INDEX(ERP資料!$S:$S, (MATCH(624, 輔助計算!$G$2:$G$801, 0)+1)), ""), "")</f>
        <v/>
      </c>
      <c r="C625" s="19">
        <f>IFERROR(IF(AND(IFERROR(INDEX(ERP資料!$A:$A, (MATCH(624, 輔助計算!$G$2:$G$801, 0)+1)), "")&lt;&gt;"", IFERROR(INDEX(ERP資料!$A:$A, (MATCH(624, 輔助計算!$G$2:$G$801, 0)+1)), "")&lt;&gt;IFERROR(INDEX(ERP資料!$A:$A, MATCH(623, 輔助計算!$G$2:$G$801, 0)+1), "")), IFERROR(VLOOKUP(LEFT(INDEX(ERP資料!$S:$S, (MATCH(624, 輔助計算!$G$2:$G$801, 0)+1)), 4), 紙管對照表!$A:$C, 3, FALSE), ""), ""), "")</f>
        <v/>
      </c>
      <c r="D625" s="16" t="n"/>
      <c r="E625" s="10">
        <f>IFERROR(IF(INDEX(ERP資料!$H:$H, (MATCH(624, 輔助計算!$G$2:$G$801, 0)+1))="","",INDEX(ERP資料!$H:$H, (MATCH(624, 輔助計算!$G$2:$G$801, 0)+1))), "")</f>
        <v/>
      </c>
      <c r="F625" s="10">
        <f>IFERROR(IF(INDEX(ERP資料!$E:$E, (MATCH(624, 輔助計算!$G$2:$G$801, 0)+1))="","",TRIM(INDEX(ERP資料!$E:$E, (MATCH(624, 輔助計算!$G$2:$G$801, 0)+1)))), "")</f>
        <v/>
      </c>
      <c r="G625" s="10">
        <f>IFERROR(IF(INDEX(ERP資料!$F:$F, (MATCH(624, 輔助計算!$G$2:$G$801, 0)+1))="","",INDEX(ERP資料!$F:$F, (MATCH(624, 輔助計算!$G$2:$G$801, 0)+1))), "")</f>
        <v/>
      </c>
      <c r="H625" s="10">
        <f>IFERROR(IF(INDEX(ERP資料!$G:$G, (MATCH(624, 輔助計算!$G$2:$G$801, 0)+1))="","",INDEX(ERP資料!$G:$G, (MATCH(624, 輔助計算!$G$2:$G$801, 0)+1))), "")</f>
        <v/>
      </c>
      <c r="I625" s="15">
        <f>IFERROR(INDEX(輔助計算!$D:$D, (MATCH(624, 輔助計算!$G$2:$G$801, 0)+1)), "")</f>
        <v/>
      </c>
      <c r="J625" s="15">
        <f>IFERROR(IF(AND(INDEX(輔助計算!$D:$D, (MATCH(624, 輔助計算!$G$2:$G$801, 0)+1))&lt;&gt;"", INDEX(ERP資料!$G:$G, (MATCH(624, 輔助計算!$G$2:$G$801, 0)+1))&lt;&gt;""), TRIM(IF(INT(INDEX(輔助計算!$D:$D, (MATCH(624, 輔助計算!$G$2:$G$801, 0)+1))/IF(INDEX(ERP資料!$G:$G, (MATCH(624, 輔助計算!$G$2:$G$801, 0)+1))&lt;100, IF(INDEX(ERP資料!$G:$G, (MATCH(624, 輔助計算!$G$2:$G$801, 0)+1))&lt;=31,3,IF(INDEX(ERP資料!$G:$G, (MATCH(624, 輔助計算!$G$2:$G$801, 0)+1))&lt;=46.5,2,1)), IF(INDEX(ERP資料!$G:$G, (MATCH(624, 輔助計算!$G$2:$G$801, 0)+1))&lt;=790,3,IF(INDEX(ERP資料!$G:$G, (MATCH(624, 輔助計算!$G$2:$G$801, 0)+1))&lt;=1181,2,1))))&gt;0, IF(IF(INDEX(ERP資料!$G:$G, (MATCH(624, 輔助計算!$G$2:$G$801, 0)+1))&lt;100, IF(INDEX(ERP資料!$G:$G, (MATCH(624, 輔助計算!$G$2:$G$801, 0)+1))&lt;=31,3,IF(INDEX(ERP資料!$G:$G, (MATCH(624, 輔助計算!$G$2:$G$801, 0)+1))&lt;=46.5,2,1)), IF(INDEX(ERP資料!$G:$G, (MATCH(624, 輔助計算!$G$2:$G$801, 0)+1))&lt;=790,3,IF(INDEX(ERP資料!$G:$G, (MATCH(624, 輔助計算!$G$2:$G$801, 0)+1))&lt;=1181,2,1)))=1,TEXT(INDEX(ERP資料!$G:$G, (MATCH(624, 輔助計算!$G$2:$G$801, 0)+1)),"0.##"),IF(IF(INDEX(ERP資料!$G:$G, (MATCH(624, 輔助計算!$G$2:$G$801, 0)+1))&lt;100, IF(INDEX(ERP資料!$G:$G, (MATCH(624, 輔助計算!$G$2:$G$801, 0)+1))&lt;=31,3,IF(INDEX(ERP資料!$G:$G, (MATCH(624, 輔助計算!$G$2:$G$801, 0)+1))&lt;=46.5,2,1)), IF(INDEX(ERP資料!$G:$G, (MATCH(624, 輔助計算!$G$2:$G$801, 0)+1))&lt;=790,3,IF(INDEX(ERP資料!$G:$G, (MATCH(624, 輔助計算!$G$2:$G$801, 0)+1))&lt;=1181,2,1)))=2,TEXT(INDEX(ERP資料!$G:$G, (MATCH(624, 輔助計算!$G$2:$G$801, 0)+1)),"0.##")&amp;"+"&amp;TEXT(INDEX(ERP資料!$G:$G, (MATCH(624, 輔助計算!$G$2:$G$801, 0)+1)),"0.##"),TEXT(INDEX(ERP資料!$G:$G, (MATCH(624, 輔助計算!$G$2:$G$801, 0)+1)),"0.##")&amp;"+"&amp;TEXT(INDEX(ERP資料!$G:$G, (MATCH(624, 輔助計算!$G$2:$G$801, 0)+1)),"0.##")&amp;"+"&amp;TEXT(INDEX(ERP資料!$G:$G, (MATCH(624, 輔助計算!$G$2:$G$801, 0)+1)),"0.##")))&amp;"-"&amp;INT(INDEX(輔助計算!$D:$D, (MATCH(624, 輔助計算!$G$2:$G$801, 0)+1))/IF(INDEX(ERP資料!$G:$G, (MATCH(624, 輔助計算!$G$2:$G$801, 0)+1))&lt;100, IF(INDEX(ERP資料!$G:$G, (MATCH(624, 輔助計算!$G$2:$G$801, 0)+1))&lt;=31,3,IF(INDEX(ERP資料!$G:$G, (MATCH(624, 輔助計算!$G$2:$G$801, 0)+1))&lt;=46.5,2,1)), IF(INDEX(ERP資料!$G:$G, (MATCH(624, 輔助計算!$G$2:$G$801, 0)+1))&lt;=790,3,IF(INDEX(ERP資料!$G:$G, (MATCH(624, 輔助計算!$G$2:$G$801, 0)+1))&lt;=1181,2,1)))), "")&amp;IF(AND(IF(INT(INDEX(輔助計算!$D:$D, (MATCH(624, 輔助計算!$G$2:$G$801, 0)+1))/IF(INDEX(ERP資料!$G:$G, (MATCH(624, 輔助計算!$G$2:$G$801, 0)+1))&lt;100, IF(INDEX(ERP資料!$G:$G, (MATCH(624, 輔助計算!$G$2:$G$801, 0)+1))&lt;=31,3,IF(INDEX(ERP資料!$G:$G, (MATCH(624, 輔助計算!$G$2:$G$801, 0)+1))&lt;=46.5,2,1)), IF(INDEX(ERP資料!$G:$G, (MATCH(624, 輔助計算!$G$2:$G$801, 0)+1))&lt;=790,3,IF(INDEX(ERP資料!$G:$G, (MATCH(624, 輔助計算!$G$2:$G$801, 0)+1))&lt;=1181,2,1))))&gt;0, IF(IF(INDEX(ERP資料!$G:$G, (MATCH(624, 輔助計算!$G$2:$G$801, 0)+1))&lt;100, IF(INDEX(ERP資料!$G:$G, (MATCH(624, 輔助計算!$G$2:$G$801, 0)+1))&lt;=31,3,IF(INDEX(ERP資料!$G:$G, (MATCH(624, 輔助計算!$G$2:$G$801, 0)+1))&lt;=46.5,2,1)), IF(INDEX(ERP資料!$G:$G, (MATCH(624, 輔助計算!$G$2:$G$801, 0)+1))&lt;=790,3,IF(INDEX(ERP資料!$G:$G, (MATCH(624, 輔助計算!$G$2:$G$801, 0)+1))&lt;=1181,2,1)))=1,TEXT(INDEX(ERP資料!$G:$G, (MATCH(624, 輔助計算!$G$2:$G$801, 0)+1)),"0.##"),IF(IF(INDEX(ERP資料!$G:$G, (MATCH(624, 輔助計算!$G$2:$G$801, 0)+1))&lt;100, IF(INDEX(ERP資料!$G:$G, (MATCH(624, 輔助計算!$G$2:$G$801, 0)+1))&lt;=31,3,IF(INDEX(ERP資料!$G:$G, (MATCH(624, 輔助計算!$G$2:$G$801, 0)+1))&lt;=46.5,2,1)), IF(INDEX(ERP資料!$G:$G, (MATCH(624, 輔助計算!$G$2:$G$801, 0)+1))&lt;=790,3,IF(INDEX(ERP資料!$G:$G, (MATCH(624, 輔助計算!$G$2:$G$801, 0)+1))&lt;=1181,2,1)))=2,TEXT(INDEX(ERP資料!$G:$G, (MATCH(624, 輔助計算!$G$2:$G$801, 0)+1)),"0.##")&amp;"+"&amp;TEXT(INDEX(ERP資料!$G:$G, (MATCH(624, 輔助計算!$G$2:$G$801, 0)+1)),"0.##"),TEXT(INDEX(ERP資料!$G:$G, (MATCH(624, 輔助計算!$G$2:$G$801, 0)+1)),"0.##")&amp;"+"&amp;TEXT(INDEX(ERP資料!$G:$G, (MATCH(624, 輔助計算!$G$2:$G$801, 0)+1)),"0.##")&amp;"+"&amp;TEXT(INDEX(ERP資料!$G:$G, (MATCH(624, 輔助計算!$G$2:$G$801, 0)+1)),"0.##")))&amp;"-"&amp;INT(INDEX(輔助計算!$D:$D, (MATCH(624, 輔助計算!$G$2:$G$801, 0)+1))/IF(INDEX(ERP資料!$G:$G, (MATCH(624, 輔助計算!$G$2:$G$801, 0)+1))&lt;100, IF(INDEX(ERP資料!$G:$G, (MATCH(624, 輔助計算!$G$2:$G$801, 0)+1))&lt;=31,3,IF(INDEX(ERP資料!$G:$G, (MATCH(624, 輔助計算!$G$2:$G$801, 0)+1))&lt;=46.5,2,1)), IF(INDEX(ERP資料!$G:$G, (MATCH(624, 輔助計算!$G$2:$G$801, 0)+1))&lt;=790,3,IF(INDEX(ERP資料!$G:$G, (MATCH(624, 輔助計算!$G$2:$G$801, 0)+1))&lt;=1181,2,1)))), "")&lt;&gt;"",IF(MOD(INDEX(輔助計算!$D:$D, (MATCH(624, 輔助計算!$G$2:$G$801, 0)+1)),IF(INDEX(ERP資料!$G:$G, (MATCH(624, 輔助計算!$G$2:$G$801, 0)+1))&lt;100, IF(INDEX(ERP資料!$G:$G, (MATCH(624, 輔助計算!$G$2:$G$801, 0)+1))&lt;=31,3,IF(INDEX(ERP資料!$G:$G, (MATCH(624, 輔助計算!$G$2:$G$801, 0)+1))&lt;=46.5,2,1)), IF(INDEX(ERP資料!$G:$G, (MATCH(624, 輔助計算!$G$2:$G$801, 0)+1))&lt;=790,3,IF(INDEX(ERP資料!$G:$G, (MATCH(624, 輔助計算!$G$2:$G$801, 0)+1))&lt;=1181,2,1))))=0,"",IF(MOD(INDEX(輔助計算!$D:$D, (MATCH(624, 輔助計算!$G$2:$G$801, 0)+1)),IF(INDEX(ERP資料!$G:$G, (MATCH(624, 輔助計算!$G$2:$G$801, 0)+1))&lt;100, IF(INDEX(ERP資料!$G:$G, (MATCH(624, 輔助計算!$G$2:$G$801, 0)+1))&lt;=31,3,IF(INDEX(ERP資料!$G:$G, (MATCH(624, 輔助計算!$G$2:$G$801, 0)+1))&lt;=46.5,2,1)), IF(INDEX(ERP資料!$G:$G, (MATCH(624, 輔助計算!$G$2:$G$801, 0)+1))&lt;=790,3,IF(INDEX(ERP資料!$G:$G, (MATCH(624, 輔助計算!$G$2:$G$801, 0)+1))&lt;=1181,2,1))))=0,"",IF(MOD(INDEX(輔助計算!$D:$D, (MATCH(624, 輔助計算!$G$2:$G$801, 0)+1)),IF(INDEX(ERP資料!$G:$G, (MATCH(624, 輔助計算!$G$2:$G$801, 0)+1))&lt;100, IF(INDEX(ERP資料!$G:$G, (MATCH(624, 輔助計算!$G$2:$G$801, 0)+1))&lt;=31,3,IF(INDEX(ERP資料!$G:$G, (MATCH(624, 輔助計算!$G$2:$G$801, 0)+1))&lt;=46.5,2,1)), IF(INDEX(ERP資料!$G:$G, (MATCH(624, 輔助計算!$G$2:$G$801, 0)+1))&lt;=790,3,IF(INDEX(ERP資料!$G:$G, (MATCH(624, 輔助計算!$G$2:$G$801, 0)+1))&lt;=1181,2,1))))=1,TEXT(INDEX(ERP資料!$G:$G, (MATCH(624, 輔助計算!$G$2:$G$801, 0)+1)),"0.##"),IF(MOD(INDEX(輔助計算!$D:$D, (MATCH(624, 輔助計算!$G$2:$G$801, 0)+1)),IF(INDEX(ERP資料!$G:$G, (MATCH(624, 輔助計算!$G$2:$G$801, 0)+1))&lt;100, IF(INDEX(ERP資料!$G:$G, (MATCH(624, 輔助計算!$G$2:$G$801, 0)+1))&lt;=31,3,IF(INDEX(ERP資料!$G:$G, (MATCH(624, 輔助計算!$G$2:$G$801, 0)+1))&lt;=46.5,2,1)), IF(INDEX(ERP資料!$G:$G, (MATCH(624, 輔助計算!$G$2:$G$801, 0)+1))&lt;=790,3,IF(INDEX(ERP資料!$G:$G, (MATCH(624, 輔助計算!$G$2:$G$801, 0)+1))&lt;=1181,2,1))))=2,TEXT(INDEX(ERP資料!$G:$G, (MATCH(624, 輔助計算!$G$2:$G$801, 0)+1)),"0.##")&amp;"+"&amp;TEXT(INDEX(ERP資料!$G:$G, (MATCH(624, 輔助計算!$G$2:$G$801, 0)+1)),"0.##"),TEXT(INDEX(ERP資料!$G:$G, (MATCH(624, 輔助計算!$G$2:$G$801, 0)+1)),"0.##")&amp;"+"&amp;TEXT(INDEX(ERP資料!$G:$G, (MATCH(624, 輔助計算!$G$2:$G$801, 0)+1)),"0.##")&amp;"+"&amp;TEXT(INDEX(ERP資料!$G:$G, (MATCH(624, 輔助計算!$G$2:$G$801, 0)+1)),"0.##"))))&amp;"-1")&lt;&gt;""),"  ","")&amp;IF(MOD(INDEX(輔助計算!$D:$D, (MATCH(624, 輔助計算!$G$2:$G$801, 0)+1)),IF(INDEX(ERP資料!$G:$G, (MATCH(624, 輔助計算!$G$2:$G$801, 0)+1))&lt;100, IF(INDEX(ERP資料!$G:$G, (MATCH(624, 輔助計算!$G$2:$G$801, 0)+1))&lt;=31,3,IF(INDEX(ERP資料!$G:$G, (MATCH(624, 輔助計算!$G$2:$G$801, 0)+1))&lt;=46.5,2,1)), IF(INDEX(ERP資料!$G:$G, (MATCH(624, 輔助計算!$G$2:$G$801, 0)+1))&lt;=790,3,IF(INDEX(ERP資料!$G:$G, (MATCH(624, 輔助計算!$G$2:$G$801, 0)+1))&lt;=1181,2,1))))=0,"",IF(MOD(INDEX(輔助計算!$D:$D, (MATCH(624, 輔助計算!$G$2:$G$801, 0)+1)),IF(INDEX(ERP資料!$G:$G, (MATCH(624, 輔助計算!$G$2:$G$801, 0)+1))&lt;100, IF(INDEX(ERP資料!$G:$G, (MATCH(624, 輔助計算!$G$2:$G$801, 0)+1))&lt;=31,3,IF(INDEX(ERP資料!$G:$G, (MATCH(624, 輔助計算!$G$2:$G$801, 0)+1))&lt;=46.5,2,1)), IF(INDEX(ERP資料!$G:$G, (MATCH(624, 輔助計算!$G$2:$G$801, 0)+1))&lt;=790,3,IF(INDEX(ERP資料!$G:$G, (MATCH(624, 輔助計算!$G$2:$G$801, 0)+1))&lt;=1181,2,1))))=0,"",IF(MOD(INDEX(輔助計算!$D:$D, (MATCH(624, 輔助計算!$G$2:$G$801, 0)+1)),IF(INDEX(ERP資料!$G:$G, (MATCH(624, 輔助計算!$G$2:$G$801, 0)+1))&lt;100, IF(INDEX(ERP資料!$G:$G, (MATCH(624, 輔助計算!$G$2:$G$801, 0)+1))&lt;=31,3,IF(INDEX(ERP資料!$G:$G, (MATCH(624, 輔助計算!$G$2:$G$801, 0)+1))&lt;=46.5,2,1)), IF(INDEX(ERP資料!$G:$G, (MATCH(624, 輔助計算!$G$2:$G$801, 0)+1))&lt;=790,3,IF(INDEX(ERP資料!$G:$G, (MATCH(624, 輔助計算!$G$2:$G$801, 0)+1))&lt;=1181,2,1))))=1,TEXT(INDEX(ERP資料!$G:$G, (MATCH(624, 輔助計算!$G$2:$G$801, 0)+1)),"0.##"),IF(MOD(INDEX(輔助計算!$D:$D, (MATCH(624, 輔助計算!$G$2:$G$801, 0)+1)),IF(INDEX(ERP資料!$G:$G, (MATCH(624, 輔助計算!$G$2:$G$801, 0)+1))&lt;100, IF(INDEX(ERP資料!$G:$G, (MATCH(624, 輔助計算!$G$2:$G$801, 0)+1))&lt;=31,3,IF(INDEX(ERP資料!$G:$G, (MATCH(624, 輔助計算!$G$2:$G$801, 0)+1))&lt;=46.5,2,1)), IF(INDEX(ERP資料!$G:$G, (MATCH(624, 輔助計算!$G$2:$G$801, 0)+1))&lt;=790,3,IF(INDEX(ERP資料!$G:$G, (MATCH(624, 輔助計算!$G$2:$G$801, 0)+1))&lt;=1181,2,1))))=2,TEXT(INDEX(ERP資料!$G:$G, (MATCH(624, 輔助計算!$G$2:$G$801, 0)+1)),"0.##")&amp;"+"&amp;TEXT(INDEX(ERP資料!$G:$G, (MATCH(624, 輔助計算!$G$2:$G$801, 0)+1)),"0.##"),TEXT(INDEX(ERP資料!$G:$G, (MATCH(624, 輔助計算!$G$2:$G$801, 0)+1)),"0.##")&amp;"+"&amp;TEXT(INDEX(ERP資料!$G:$G, (MATCH(624, 輔助計算!$G$2:$G$801, 0)+1)),"0.##")&amp;"+"&amp;TEXT(INDEX(ERP資料!$G:$G, (MATCH(624, 輔助計算!$G$2:$G$801, 0)+1)),"0.##"))))&amp;"-1")), ""), "")</f>
        <v/>
      </c>
      <c r="K625" s="16" t="n"/>
      <c r="L625" s="14">
        <f>IFERROR(IF(AND(IFERROR(INDEX(ERP資料!$A:$A, (MATCH(624, 輔助計算!$G$2:$G$801, 0)+1)), "")&lt;&gt;"", IFERROR(INDEX(ERP資料!$A:$A, (MATCH(624, 輔助計算!$G$2:$G$801, 0)+1)), "")&lt;&gt;IFERROR(INDEX(ERP資料!$A:$A, MATCH(623, 輔助計算!$G$2:$G$801, 0)+1), "")), INDEX(ERP資料!$B:$B, (MATCH(624, 輔助計算!$G$2:$G$801, 0)+1)), ""), "")</f>
        <v/>
      </c>
      <c r="M625" s="17" t="n"/>
    </row>
    <row r="626">
      <c r="A626" s="10">
        <f>IFERROR(IF(AND(IFERROR(INDEX(ERP資料!$A:$A, (MATCH(625, 輔助計算!$G$2:$G$801, 0)+1)), "")&lt;&gt;"", IFERROR(INDEX(ERP資料!$A:$A, (MATCH(625, 輔助計算!$G$2:$G$801, 0)+1)), "")&lt;&gt;IFERROR(INDEX(ERP資料!$A:$A, MATCH(624, 輔助計算!$G$2:$G$801, 0)+1), "")), IFERROR(INDEX(ERP資料!$A:$A, (MATCH(625, 輔助計算!$G$2:$G$801, 0)+1)), ""), ""), "")</f>
        <v/>
      </c>
      <c r="B626" s="10">
        <f>IFERROR(IF(AND(IFERROR(INDEX(ERP資料!$A:$A, (MATCH(625, 輔助計算!$G$2:$G$801, 0)+1)), "")&lt;&gt;"", IFERROR(INDEX(ERP資料!$A:$A, (MATCH(625, 輔助計算!$G$2:$G$801, 0)+1)), "")&lt;&gt;IFERROR(INDEX(ERP資料!$A:$A, MATCH(624, 輔助計算!$G$2:$G$801, 0)+1), "")), INDEX(ERP資料!$S:$S, (MATCH(625, 輔助計算!$G$2:$G$801, 0)+1)), ""), "")</f>
        <v/>
      </c>
      <c r="C626" s="19">
        <f>IFERROR(IF(AND(IFERROR(INDEX(ERP資料!$A:$A, (MATCH(625, 輔助計算!$G$2:$G$801, 0)+1)), "")&lt;&gt;"", IFERROR(INDEX(ERP資料!$A:$A, (MATCH(625, 輔助計算!$G$2:$G$801, 0)+1)), "")&lt;&gt;IFERROR(INDEX(ERP資料!$A:$A, MATCH(624, 輔助計算!$G$2:$G$801, 0)+1), "")), IFERROR(VLOOKUP(LEFT(INDEX(ERP資料!$S:$S, (MATCH(625, 輔助計算!$G$2:$G$801, 0)+1)), 4), 紙管對照表!$A:$C, 3, FALSE), ""), ""), "")</f>
        <v/>
      </c>
      <c r="D626" s="16" t="n"/>
      <c r="E626" s="10">
        <f>IFERROR(IF(INDEX(ERP資料!$H:$H, (MATCH(625, 輔助計算!$G$2:$G$801, 0)+1))="","",INDEX(ERP資料!$H:$H, (MATCH(625, 輔助計算!$G$2:$G$801, 0)+1))), "")</f>
        <v/>
      </c>
      <c r="F626" s="10">
        <f>IFERROR(IF(INDEX(ERP資料!$E:$E, (MATCH(625, 輔助計算!$G$2:$G$801, 0)+1))="","",TRIM(INDEX(ERP資料!$E:$E, (MATCH(625, 輔助計算!$G$2:$G$801, 0)+1)))), "")</f>
        <v/>
      </c>
      <c r="G626" s="10">
        <f>IFERROR(IF(INDEX(ERP資料!$F:$F, (MATCH(625, 輔助計算!$G$2:$G$801, 0)+1))="","",INDEX(ERP資料!$F:$F, (MATCH(625, 輔助計算!$G$2:$G$801, 0)+1))), "")</f>
        <v/>
      </c>
      <c r="H626" s="10">
        <f>IFERROR(IF(INDEX(ERP資料!$G:$G, (MATCH(625, 輔助計算!$G$2:$G$801, 0)+1))="","",INDEX(ERP資料!$G:$G, (MATCH(625, 輔助計算!$G$2:$G$801, 0)+1))), "")</f>
        <v/>
      </c>
      <c r="I626" s="15">
        <f>IFERROR(INDEX(輔助計算!$D:$D, (MATCH(625, 輔助計算!$G$2:$G$801, 0)+1)), "")</f>
        <v/>
      </c>
      <c r="J626" s="15">
        <f>IFERROR(IF(AND(INDEX(輔助計算!$D:$D, (MATCH(625, 輔助計算!$G$2:$G$801, 0)+1))&lt;&gt;"", INDEX(ERP資料!$G:$G, (MATCH(625, 輔助計算!$G$2:$G$801, 0)+1))&lt;&gt;""), TRIM(IF(INT(INDEX(輔助計算!$D:$D, (MATCH(625, 輔助計算!$G$2:$G$801, 0)+1))/IF(INDEX(ERP資料!$G:$G, (MATCH(625, 輔助計算!$G$2:$G$801, 0)+1))&lt;100, IF(INDEX(ERP資料!$G:$G, (MATCH(625, 輔助計算!$G$2:$G$801, 0)+1))&lt;=31,3,IF(INDEX(ERP資料!$G:$G, (MATCH(625, 輔助計算!$G$2:$G$801, 0)+1))&lt;=46.5,2,1)), IF(INDEX(ERP資料!$G:$G, (MATCH(625, 輔助計算!$G$2:$G$801, 0)+1))&lt;=790,3,IF(INDEX(ERP資料!$G:$G, (MATCH(625, 輔助計算!$G$2:$G$801, 0)+1))&lt;=1181,2,1))))&gt;0, IF(IF(INDEX(ERP資料!$G:$G, (MATCH(625, 輔助計算!$G$2:$G$801, 0)+1))&lt;100, IF(INDEX(ERP資料!$G:$G, (MATCH(625, 輔助計算!$G$2:$G$801, 0)+1))&lt;=31,3,IF(INDEX(ERP資料!$G:$G, (MATCH(625, 輔助計算!$G$2:$G$801, 0)+1))&lt;=46.5,2,1)), IF(INDEX(ERP資料!$G:$G, (MATCH(625, 輔助計算!$G$2:$G$801, 0)+1))&lt;=790,3,IF(INDEX(ERP資料!$G:$G, (MATCH(625, 輔助計算!$G$2:$G$801, 0)+1))&lt;=1181,2,1)))=1,TEXT(INDEX(ERP資料!$G:$G, (MATCH(625, 輔助計算!$G$2:$G$801, 0)+1)),"0.##"),IF(IF(INDEX(ERP資料!$G:$G, (MATCH(625, 輔助計算!$G$2:$G$801, 0)+1))&lt;100, IF(INDEX(ERP資料!$G:$G, (MATCH(625, 輔助計算!$G$2:$G$801, 0)+1))&lt;=31,3,IF(INDEX(ERP資料!$G:$G, (MATCH(625, 輔助計算!$G$2:$G$801, 0)+1))&lt;=46.5,2,1)), IF(INDEX(ERP資料!$G:$G, (MATCH(625, 輔助計算!$G$2:$G$801, 0)+1))&lt;=790,3,IF(INDEX(ERP資料!$G:$G, (MATCH(625, 輔助計算!$G$2:$G$801, 0)+1))&lt;=1181,2,1)))=2,TEXT(INDEX(ERP資料!$G:$G, (MATCH(625, 輔助計算!$G$2:$G$801, 0)+1)),"0.##")&amp;"+"&amp;TEXT(INDEX(ERP資料!$G:$G, (MATCH(625, 輔助計算!$G$2:$G$801, 0)+1)),"0.##"),TEXT(INDEX(ERP資料!$G:$G, (MATCH(625, 輔助計算!$G$2:$G$801, 0)+1)),"0.##")&amp;"+"&amp;TEXT(INDEX(ERP資料!$G:$G, (MATCH(625, 輔助計算!$G$2:$G$801, 0)+1)),"0.##")&amp;"+"&amp;TEXT(INDEX(ERP資料!$G:$G, (MATCH(625, 輔助計算!$G$2:$G$801, 0)+1)),"0.##")))&amp;"-"&amp;INT(INDEX(輔助計算!$D:$D, (MATCH(625, 輔助計算!$G$2:$G$801, 0)+1))/IF(INDEX(ERP資料!$G:$G, (MATCH(625, 輔助計算!$G$2:$G$801, 0)+1))&lt;100, IF(INDEX(ERP資料!$G:$G, (MATCH(625, 輔助計算!$G$2:$G$801, 0)+1))&lt;=31,3,IF(INDEX(ERP資料!$G:$G, (MATCH(625, 輔助計算!$G$2:$G$801, 0)+1))&lt;=46.5,2,1)), IF(INDEX(ERP資料!$G:$G, (MATCH(625, 輔助計算!$G$2:$G$801, 0)+1))&lt;=790,3,IF(INDEX(ERP資料!$G:$G, (MATCH(625, 輔助計算!$G$2:$G$801, 0)+1))&lt;=1181,2,1)))), "")&amp;IF(AND(IF(INT(INDEX(輔助計算!$D:$D, (MATCH(625, 輔助計算!$G$2:$G$801, 0)+1))/IF(INDEX(ERP資料!$G:$G, (MATCH(625, 輔助計算!$G$2:$G$801, 0)+1))&lt;100, IF(INDEX(ERP資料!$G:$G, (MATCH(625, 輔助計算!$G$2:$G$801, 0)+1))&lt;=31,3,IF(INDEX(ERP資料!$G:$G, (MATCH(625, 輔助計算!$G$2:$G$801, 0)+1))&lt;=46.5,2,1)), IF(INDEX(ERP資料!$G:$G, (MATCH(625, 輔助計算!$G$2:$G$801, 0)+1))&lt;=790,3,IF(INDEX(ERP資料!$G:$G, (MATCH(625, 輔助計算!$G$2:$G$801, 0)+1))&lt;=1181,2,1))))&gt;0, IF(IF(INDEX(ERP資料!$G:$G, (MATCH(625, 輔助計算!$G$2:$G$801, 0)+1))&lt;100, IF(INDEX(ERP資料!$G:$G, (MATCH(625, 輔助計算!$G$2:$G$801, 0)+1))&lt;=31,3,IF(INDEX(ERP資料!$G:$G, (MATCH(625, 輔助計算!$G$2:$G$801, 0)+1))&lt;=46.5,2,1)), IF(INDEX(ERP資料!$G:$G, (MATCH(625, 輔助計算!$G$2:$G$801, 0)+1))&lt;=790,3,IF(INDEX(ERP資料!$G:$G, (MATCH(625, 輔助計算!$G$2:$G$801, 0)+1))&lt;=1181,2,1)))=1,TEXT(INDEX(ERP資料!$G:$G, (MATCH(625, 輔助計算!$G$2:$G$801, 0)+1)),"0.##"),IF(IF(INDEX(ERP資料!$G:$G, (MATCH(625, 輔助計算!$G$2:$G$801, 0)+1))&lt;100, IF(INDEX(ERP資料!$G:$G, (MATCH(625, 輔助計算!$G$2:$G$801, 0)+1))&lt;=31,3,IF(INDEX(ERP資料!$G:$G, (MATCH(625, 輔助計算!$G$2:$G$801, 0)+1))&lt;=46.5,2,1)), IF(INDEX(ERP資料!$G:$G, (MATCH(625, 輔助計算!$G$2:$G$801, 0)+1))&lt;=790,3,IF(INDEX(ERP資料!$G:$G, (MATCH(625, 輔助計算!$G$2:$G$801, 0)+1))&lt;=1181,2,1)))=2,TEXT(INDEX(ERP資料!$G:$G, (MATCH(625, 輔助計算!$G$2:$G$801, 0)+1)),"0.##")&amp;"+"&amp;TEXT(INDEX(ERP資料!$G:$G, (MATCH(625, 輔助計算!$G$2:$G$801, 0)+1)),"0.##"),TEXT(INDEX(ERP資料!$G:$G, (MATCH(625, 輔助計算!$G$2:$G$801, 0)+1)),"0.##")&amp;"+"&amp;TEXT(INDEX(ERP資料!$G:$G, (MATCH(625, 輔助計算!$G$2:$G$801, 0)+1)),"0.##")&amp;"+"&amp;TEXT(INDEX(ERP資料!$G:$G, (MATCH(625, 輔助計算!$G$2:$G$801, 0)+1)),"0.##")))&amp;"-"&amp;INT(INDEX(輔助計算!$D:$D, (MATCH(625, 輔助計算!$G$2:$G$801, 0)+1))/IF(INDEX(ERP資料!$G:$G, (MATCH(625, 輔助計算!$G$2:$G$801, 0)+1))&lt;100, IF(INDEX(ERP資料!$G:$G, (MATCH(625, 輔助計算!$G$2:$G$801, 0)+1))&lt;=31,3,IF(INDEX(ERP資料!$G:$G, (MATCH(625, 輔助計算!$G$2:$G$801, 0)+1))&lt;=46.5,2,1)), IF(INDEX(ERP資料!$G:$G, (MATCH(625, 輔助計算!$G$2:$G$801, 0)+1))&lt;=790,3,IF(INDEX(ERP資料!$G:$G, (MATCH(625, 輔助計算!$G$2:$G$801, 0)+1))&lt;=1181,2,1)))), "")&lt;&gt;"",IF(MOD(INDEX(輔助計算!$D:$D, (MATCH(625, 輔助計算!$G$2:$G$801, 0)+1)),IF(INDEX(ERP資料!$G:$G, (MATCH(625, 輔助計算!$G$2:$G$801, 0)+1))&lt;100, IF(INDEX(ERP資料!$G:$G, (MATCH(625, 輔助計算!$G$2:$G$801, 0)+1))&lt;=31,3,IF(INDEX(ERP資料!$G:$G, (MATCH(625, 輔助計算!$G$2:$G$801, 0)+1))&lt;=46.5,2,1)), IF(INDEX(ERP資料!$G:$G, (MATCH(625, 輔助計算!$G$2:$G$801, 0)+1))&lt;=790,3,IF(INDEX(ERP資料!$G:$G, (MATCH(625, 輔助計算!$G$2:$G$801, 0)+1))&lt;=1181,2,1))))=0,"",IF(MOD(INDEX(輔助計算!$D:$D, (MATCH(625, 輔助計算!$G$2:$G$801, 0)+1)),IF(INDEX(ERP資料!$G:$G, (MATCH(625, 輔助計算!$G$2:$G$801, 0)+1))&lt;100, IF(INDEX(ERP資料!$G:$G, (MATCH(625, 輔助計算!$G$2:$G$801, 0)+1))&lt;=31,3,IF(INDEX(ERP資料!$G:$G, (MATCH(625, 輔助計算!$G$2:$G$801, 0)+1))&lt;=46.5,2,1)), IF(INDEX(ERP資料!$G:$G, (MATCH(625, 輔助計算!$G$2:$G$801, 0)+1))&lt;=790,3,IF(INDEX(ERP資料!$G:$G, (MATCH(625, 輔助計算!$G$2:$G$801, 0)+1))&lt;=1181,2,1))))=0,"",IF(MOD(INDEX(輔助計算!$D:$D, (MATCH(625, 輔助計算!$G$2:$G$801, 0)+1)),IF(INDEX(ERP資料!$G:$G, (MATCH(625, 輔助計算!$G$2:$G$801, 0)+1))&lt;100, IF(INDEX(ERP資料!$G:$G, (MATCH(625, 輔助計算!$G$2:$G$801, 0)+1))&lt;=31,3,IF(INDEX(ERP資料!$G:$G, (MATCH(625, 輔助計算!$G$2:$G$801, 0)+1))&lt;=46.5,2,1)), IF(INDEX(ERP資料!$G:$G, (MATCH(625, 輔助計算!$G$2:$G$801, 0)+1))&lt;=790,3,IF(INDEX(ERP資料!$G:$G, (MATCH(625, 輔助計算!$G$2:$G$801, 0)+1))&lt;=1181,2,1))))=1,TEXT(INDEX(ERP資料!$G:$G, (MATCH(625, 輔助計算!$G$2:$G$801, 0)+1)),"0.##"),IF(MOD(INDEX(輔助計算!$D:$D, (MATCH(625, 輔助計算!$G$2:$G$801, 0)+1)),IF(INDEX(ERP資料!$G:$G, (MATCH(625, 輔助計算!$G$2:$G$801, 0)+1))&lt;100, IF(INDEX(ERP資料!$G:$G, (MATCH(625, 輔助計算!$G$2:$G$801, 0)+1))&lt;=31,3,IF(INDEX(ERP資料!$G:$G, (MATCH(625, 輔助計算!$G$2:$G$801, 0)+1))&lt;=46.5,2,1)), IF(INDEX(ERP資料!$G:$G, (MATCH(625, 輔助計算!$G$2:$G$801, 0)+1))&lt;=790,3,IF(INDEX(ERP資料!$G:$G, (MATCH(625, 輔助計算!$G$2:$G$801, 0)+1))&lt;=1181,2,1))))=2,TEXT(INDEX(ERP資料!$G:$G, (MATCH(625, 輔助計算!$G$2:$G$801, 0)+1)),"0.##")&amp;"+"&amp;TEXT(INDEX(ERP資料!$G:$G, (MATCH(625, 輔助計算!$G$2:$G$801, 0)+1)),"0.##"),TEXT(INDEX(ERP資料!$G:$G, (MATCH(625, 輔助計算!$G$2:$G$801, 0)+1)),"0.##")&amp;"+"&amp;TEXT(INDEX(ERP資料!$G:$G, (MATCH(625, 輔助計算!$G$2:$G$801, 0)+1)),"0.##")&amp;"+"&amp;TEXT(INDEX(ERP資料!$G:$G, (MATCH(625, 輔助計算!$G$2:$G$801, 0)+1)),"0.##"))))&amp;"-1")&lt;&gt;""),"  ","")&amp;IF(MOD(INDEX(輔助計算!$D:$D, (MATCH(625, 輔助計算!$G$2:$G$801, 0)+1)),IF(INDEX(ERP資料!$G:$G, (MATCH(625, 輔助計算!$G$2:$G$801, 0)+1))&lt;100, IF(INDEX(ERP資料!$G:$G, (MATCH(625, 輔助計算!$G$2:$G$801, 0)+1))&lt;=31,3,IF(INDEX(ERP資料!$G:$G, (MATCH(625, 輔助計算!$G$2:$G$801, 0)+1))&lt;=46.5,2,1)), IF(INDEX(ERP資料!$G:$G, (MATCH(625, 輔助計算!$G$2:$G$801, 0)+1))&lt;=790,3,IF(INDEX(ERP資料!$G:$G, (MATCH(625, 輔助計算!$G$2:$G$801, 0)+1))&lt;=1181,2,1))))=0,"",IF(MOD(INDEX(輔助計算!$D:$D, (MATCH(625, 輔助計算!$G$2:$G$801, 0)+1)),IF(INDEX(ERP資料!$G:$G, (MATCH(625, 輔助計算!$G$2:$G$801, 0)+1))&lt;100, IF(INDEX(ERP資料!$G:$G, (MATCH(625, 輔助計算!$G$2:$G$801, 0)+1))&lt;=31,3,IF(INDEX(ERP資料!$G:$G, (MATCH(625, 輔助計算!$G$2:$G$801, 0)+1))&lt;=46.5,2,1)), IF(INDEX(ERP資料!$G:$G, (MATCH(625, 輔助計算!$G$2:$G$801, 0)+1))&lt;=790,3,IF(INDEX(ERP資料!$G:$G, (MATCH(625, 輔助計算!$G$2:$G$801, 0)+1))&lt;=1181,2,1))))=0,"",IF(MOD(INDEX(輔助計算!$D:$D, (MATCH(625, 輔助計算!$G$2:$G$801, 0)+1)),IF(INDEX(ERP資料!$G:$G, (MATCH(625, 輔助計算!$G$2:$G$801, 0)+1))&lt;100, IF(INDEX(ERP資料!$G:$G, (MATCH(625, 輔助計算!$G$2:$G$801, 0)+1))&lt;=31,3,IF(INDEX(ERP資料!$G:$G, (MATCH(625, 輔助計算!$G$2:$G$801, 0)+1))&lt;=46.5,2,1)), IF(INDEX(ERP資料!$G:$G, (MATCH(625, 輔助計算!$G$2:$G$801, 0)+1))&lt;=790,3,IF(INDEX(ERP資料!$G:$G, (MATCH(625, 輔助計算!$G$2:$G$801, 0)+1))&lt;=1181,2,1))))=1,TEXT(INDEX(ERP資料!$G:$G, (MATCH(625, 輔助計算!$G$2:$G$801, 0)+1)),"0.##"),IF(MOD(INDEX(輔助計算!$D:$D, (MATCH(625, 輔助計算!$G$2:$G$801, 0)+1)),IF(INDEX(ERP資料!$G:$G, (MATCH(625, 輔助計算!$G$2:$G$801, 0)+1))&lt;100, IF(INDEX(ERP資料!$G:$G, (MATCH(625, 輔助計算!$G$2:$G$801, 0)+1))&lt;=31,3,IF(INDEX(ERP資料!$G:$G, (MATCH(625, 輔助計算!$G$2:$G$801, 0)+1))&lt;=46.5,2,1)), IF(INDEX(ERP資料!$G:$G, (MATCH(625, 輔助計算!$G$2:$G$801, 0)+1))&lt;=790,3,IF(INDEX(ERP資料!$G:$G, (MATCH(625, 輔助計算!$G$2:$G$801, 0)+1))&lt;=1181,2,1))))=2,TEXT(INDEX(ERP資料!$G:$G, (MATCH(625, 輔助計算!$G$2:$G$801, 0)+1)),"0.##")&amp;"+"&amp;TEXT(INDEX(ERP資料!$G:$G, (MATCH(625, 輔助計算!$G$2:$G$801, 0)+1)),"0.##"),TEXT(INDEX(ERP資料!$G:$G, (MATCH(625, 輔助計算!$G$2:$G$801, 0)+1)),"0.##")&amp;"+"&amp;TEXT(INDEX(ERP資料!$G:$G, (MATCH(625, 輔助計算!$G$2:$G$801, 0)+1)),"0.##")&amp;"+"&amp;TEXT(INDEX(ERP資料!$G:$G, (MATCH(625, 輔助計算!$G$2:$G$801, 0)+1)),"0.##"))))&amp;"-1")), ""), "")</f>
        <v/>
      </c>
      <c r="K626" s="16" t="n"/>
      <c r="L626" s="14">
        <f>IFERROR(IF(AND(IFERROR(INDEX(ERP資料!$A:$A, (MATCH(625, 輔助計算!$G$2:$G$801, 0)+1)), "")&lt;&gt;"", IFERROR(INDEX(ERP資料!$A:$A, (MATCH(625, 輔助計算!$G$2:$G$801, 0)+1)), "")&lt;&gt;IFERROR(INDEX(ERP資料!$A:$A, MATCH(624, 輔助計算!$G$2:$G$801, 0)+1), "")), INDEX(ERP資料!$B:$B, (MATCH(625, 輔助計算!$G$2:$G$801, 0)+1)), ""), "")</f>
        <v/>
      </c>
      <c r="M626" s="17" t="n"/>
    </row>
    <row r="627">
      <c r="A627" s="10">
        <f>IFERROR(IF(AND(IFERROR(INDEX(ERP資料!$A:$A, (MATCH(626, 輔助計算!$G$2:$G$801, 0)+1)), "")&lt;&gt;"", IFERROR(INDEX(ERP資料!$A:$A, (MATCH(626, 輔助計算!$G$2:$G$801, 0)+1)), "")&lt;&gt;IFERROR(INDEX(ERP資料!$A:$A, MATCH(625, 輔助計算!$G$2:$G$801, 0)+1), "")), IFERROR(INDEX(ERP資料!$A:$A, (MATCH(626, 輔助計算!$G$2:$G$801, 0)+1)), ""), ""), "")</f>
        <v/>
      </c>
      <c r="B627" s="10">
        <f>IFERROR(IF(AND(IFERROR(INDEX(ERP資料!$A:$A, (MATCH(626, 輔助計算!$G$2:$G$801, 0)+1)), "")&lt;&gt;"", IFERROR(INDEX(ERP資料!$A:$A, (MATCH(626, 輔助計算!$G$2:$G$801, 0)+1)), "")&lt;&gt;IFERROR(INDEX(ERP資料!$A:$A, MATCH(625, 輔助計算!$G$2:$G$801, 0)+1), "")), INDEX(ERP資料!$S:$S, (MATCH(626, 輔助計算!$G$2:$G$801, 0)+1)), ""), "")</f>
        <v/>
      </c>
      <c r="C627" s="19">
        <f>IFERROR(IF(AND(IFERROR(INDEX(ERP資料!$A:$A, (MATCH(626, 輔助計算!$G$2:$G$801, 0)+1)), "")&lt;&gt;"", IFERROR(INDEX(ERP資料!$A:$A, (MATCH(626, 輔助計算!$G$2:$G$801, 0)+1)), "")&lt;&gt;IFERROR(INDEX(ERP資料!$A:$A, MATCH(625, 輔助計算!$G$2:$G$801, 0)+1), "")), IFERROR(VLOOKUP(LEFT(INDEX(ERP資料!$S:$S, (MATCH(626, 輔助計算!$G$2:$G$801, 0)+1)), 4), 紙管對照表!$A:$C, 3, FALSE), ""), ""), "")</f>
        <v/>
      </c>
      <c r="D627" s="16" t="n"/>
      <c r="E627" s="10">
        <f>IFERROR(IF(INDEX(ERP資料!$H:$H, (MATCH(626, 輔助計算!$G$2:$G$801, 0)+1))="","",INDEX(ERP資料!$H:$H, (MATCH(626, 輔助計算!$G$2:$G$801, 0)+1))), "")</f>
        <v/>
      </c>
      <c r="F627" s="10">
        <f>IFERROR(IF(INDEX(ERP資料!$E:$E, (MATCH(626, 輔助計算!$G$2:$G$801, 0)+1))="","",TRIM(INDEX(ERP資料!$E:$E, (MATCH(626, 輔助計算!$G$2:$G$801, 0)+1)))), "")</f>
        <v/>
      </c>
      <c r="G627" s="10">
        <f>IFERROR(IF(INDEX(ERP資料!$F:$F, (MATCH(626, 輔助計算!$G$2:$G$801, 0)+1))="","",INDEX(ERP資料!$F:$F, (MATCH(626, 輔助計算!$G$2:$G$801, 0)+1))), "")</f>
        <v/>
      </c>
      <c r="H627" s="10">
        <f>IFERROR(IF(INDEX(ERP資料!$G:$G, (MATCH(626, 輔助計算!$G$2:$G$801, 0)+1))="","",INDEX(ERP資料!$G:$G, (MATCH(626, 輔助計算!$G$2:$G$801, 0)+1))), "")</f>
        <v/>
      </c>
      <c r="I627" s="15">
        <f>IFERROR(INDEX(輔助計算!$D:$D, (MATCH(626, 輔助計算!$G$2:$G$801, 0)+1)), "")</f>
        <v/>
      </c>
      <c r="J627" s="15">
        <f>IFERROR(IF(AND(INDEX(輔助計算!$D:$D, (MATCH(626, 輔助計算!$G$2:$G$801, 0)+1))&lt;&gt;"", INDEX(ERP資料!$G:$G, (MATCH(626, 輔助計算!$G$2:$G$801, 0)+1))&lt;&gt;""), TRIM(IF(INT(INDEX(輔助計算!$D:$D, (MATCH(626, 輔助計算!$G$2:$G$801, 0)+1))/IF(INDEX(ERP資料!$G:$G, (MATCH(626, 輔助計算!$G$2:$G$801, 0)+1))&lt;100, IF(INDEX(ERP資料!$G:$G, (MATCH(626, 輔助計算!$G$2:$G$801, 0)+1))&lt;=31,3,IF(INDEX(ERP資料!$G:$G, (MATCH(626, 輔助計算!$G$2:$G$801, 0)+1))&lt;=46.5,2,1)), IF(INDEX(ERP資料!$G:$G, (MATCH(626, 輔助計算!$G$2:$G$801, 0)+1))&lt;=790,3,IF(INDEX(ERP資料!$G:$G, (MATCH(626, 輔助計算!$G$2:$G$801, 0)+1))&lt;=1181,2,1))))&gt;0, IF(IF(INDEX(ERP資料!$G:$G, (MATCH(626, 輔助計算!$G$2:$G$801, 0)+1))&lt;100, IF(INDEX(ERP資料!$G:$G, (MATCH(626, 輔助計算!$G$2:$G$801, 0)+1))&lt;=31,3,IF(INDEX(ERP資料!$G:$G, (MATCH(626, 輔助計算!$G$2:$G$801, 0)+1))&lt;=46.5,2,1)), IF(INDEX(ERP資料!$G:$G, (MATCH(626, 輔助計算!$G$2:$G$801, 0)+1))&lt;=790,3,IF(INDEX(ERP資料!$G:$G, (MATCH(626, 輔助計算!$G$2:$G$801, 0)+1))&lt;=1181,2,1)))=1,TEXT(INDEX(ERP資料!$G:$G, (MATCH(626, 輔助計算!$G$2:$G$801, 0)+1)),"0.##"),IF(IF(INDEX(ERP資料!$G:$G, (MATCH(626, 輔助計算!$G$2:$G$801, 0)+1))&lt;100, IF(INDEX(ERP資料!$G:$G, (MATCH(626, 輔助計算!$G$2:$G$801, 0)+1))&lt;=31,3,IF(INDEX(ERP資料!$G:$G, (MATCH(626, 輔助計算!$G$2:$G$801, 0)+1))&lt;=46.5,2,1)), IF(INDEX(ERP資料!$G:$G, (MATCH(626, 輔助計算!$G$2:$G$801, 0)+1))&lt;=790,3,IF(INDEX(ERP資料!$G:$G, (MATCH(626, 輔助計算!$G$2:$G$801, 0)+1))&lt;=1181,2,1)))=2,TEXT(INDEX(ERP資料!$G:$G, (MATCH(626, 輔助計算!$G$2:$G$801, 0)+1)),"0.##")&amp;"+"&amp;TEXT(INDEX(ERP資料!$G:$G, (MATCH(626, 輔助計算!$G$2:$G$801, 0)+1)),"0.##"),TEXT(INDEX(ERP資料!$G:$G, (MATCH(626, 輔助計算!$G$2:$G$801, 0)+1)),"0.##")&amp;"+"&amp;TEXT(INDEX(ERP資料!$G:$G, (MATCH(626, 輔助計算!$G$2:$G$801, 0)+1)),"0.##")&amp;"+"&amp;TEXT(INDEX(ERP資料!$G:$G, (MATCH(626, 輔助計算!$G$2:$G$801, 0)+1)),"0.##")))&amp;"-"&amp;INT(INDEX(輔助計算!$D:$D, (MATCH(626, 輔助計算!$G$2:$G$801, 0)+1))/IF(INDEX(ERP資料!$G:$G, (MATCH(626, 輔助計算!$G$2:$G$801, 0)+1))&lt;100, IF(INDEX(ERP資料!$G:$G, (MATCH(626, 輔助計算!$G$2:$G$801, 0)+1))&lt;=31,3,IF(INDEX(ERP資料!$G:$G, (MATCH(626, 輔助計算!$G$2:$G$801, 0)+1))&lt;=46.5,2,1)), IF(INDEX(ERP資料!$G:$G, (MATCH(626, 輔助計算!$G$2:$G$801, 0)+1))&lt;=790,3,IF(INDEX(ERP資料!$G:$G, (MATCH(626, 輔助計算!$G$2:$G$801, 0)+1))&lt;=1181,2,1)))), "")&amp;IF(AND(IF(INT(INDEX(輔助計算!$D:$D, (MATCH(626, 輔助計算!$G$2:$G$801, 0)+1))/IF(INDEX(ERP資料!$G:$G, (MATCH(626, 輔助計算!$G$2:$G$801, 0)+1))&lt;100, IF(INDEX(ERP資料!$G:$G, (MATCH(626, 輔助計算!$G$2:$G$801, 0)+1))&lt;=31,3,IF(INDEX(ERP資料!$G:$G, (MATCH(626, 輔助計算!$G$2:$G$801, 0)+1))&lt;=46.5,2,1)), IF(INDEX(ERP資料!$G:$G, (MATCH(626, 輔助計算!$G$2:$G$801, 0)+1))&lt;=790,3,IF(INDEX(ERP資料!$G:$G, (MATCH(626, 輔助計算!$G$2:$G$801, 0)+1))&lt;=1181,2,1))))&gt;0, IF(IF(INDEX(ERP資料!$G:$G, (MATCH(626, 輔助計算!$G$2:$G$801, 0)+1))&lt;100, IF(INDEX(ERP資料!$G:$G, (MATCH(626, 輔助計算!$G$2:$G$801, 0)+1))&lt;=31,3,IF(INDEX(ERP資料!$G:$G, (MATCH(626, 輔助計算!$G$2:$G$801, 0)+1))&lt;=46.5,2,1)), IF(INDEX(ERP資料!$G:$G, (MATCH(626, 輔助計算!$G$2:$G$801, 0)+1))&lt;=790,3,IF(INDEX(ERP資料!$G:$G, (MATCH(626, 輔助計算!$G$2:$G$801, 0)+1))&lt;=1181,2,1)))=1,TEXT(INDEX(ERP資料!$G:$G, (MATCH(626, 輔助計算!$G$2:$G$801, 0)+1)),"0.##"),IF(IF(INDEX(ERP資料!$G:$G, (MATCH(626, 輔助計算!$G$2:$G$801, 0)+1))&lt;100, IF(INDEX(ERP資料!$G:$G, (MATCH(626, 輔助計算!$G$2:$G$801, 0)+1))&lt;=31,3,IF(INDEX(ERP資料!$G:$G, (MATCH(626, 輔助計算!$G$2:$G$801, 0)+1))&lt;=46.5,2,1)), IF(INDEX(ERP資料!$G:$G, (MATCH(626, 輔助計算!$G$2:$G$801, 0)+1))&lt;=790,3,IF(INDEX(ERP資料!$G:$G, (MATCH(626, 輔助計算!$G$2:$G$801, 0)+1))&lt;=1181,2,1)))=2,TEXT(INDEX(ERP資料!$G:$G, (MATCH(626, 輔助計算!$G$2:$G$801, 0)+1)),"0.##")&amp;"+"&amp;TEXT(INDEX(ERP資料!$G:$G, (MATCH(626, 輔助計算!$G$2:$G$801, 0)+1)),"0.##"),TEXT(INDEX(ERP資料!$G:$G, (MATCH(626, 輔助計算!$G$2:$G$801, 0)+1)),"0.##")&amp;"+"&amp;TEXT(INDEX(ERP資料!$G:$G, (MATCH(626, 輔助計算!$G$2:$G$801, 0)+1)),"0.##")&amp;"+"&amp;TEXT(INDEX(ERP資料!$G:$G, (MATCH(626, 輔助計算!$G$2:$G$801, 0)+1)),"0.##")))&amp;"-"&amp;INT(INDEX(輔助計算!$D:$D, (MATCH(626, 輔助計算!$G$2:$G$801, 0)+1))/IF(INDEX(ERP資料!$G:$G, (MATCH(626, 輔助計算!$G$2:$G$801, 0)+1))&lt;100, IF(INDEX(ERP資料!$G:$G, (MATCH(626, 輔助計算!$G$2:$G$801, 0)+1))&lt;=31,3,IF(INDEX(ERP資料!$G:$G, (MATCH(626, 輔助計算!$G$2:$G$801, 0)+1))&lt;=46.5,2,1)), IF(INDEX(ERP資料!$G:$G, (MATCH(626, 輔助計算!$G$2:$G$801, 0)+1))&lt;=790,3,IF(INDEX(ERP資料!$G:$G, (MATCH(626, 輔助計算!$G$2:$G$801, 0)+1))&lt;=1181,2,1)))), "")&lt;&gt;"",IF(MOD(INDEX(輔助計算!$D:$D, (MATCH(626, 輔助計算!$G$2:$G$801, 0)+1)),IF(INDEX(ERP資料!$G:$G, (MATCH(626, 輔助計算!$G$2:$G$801, 0)+1))&lt;100, IF(INDEX(ERP資料!$G:$G, (MATCH(626, 輔助計算!$G$2:$G$801, 0)+1))&lt;=31,3,IF(INDEX(ERP資料!$G:$G, (MATCH(626, 輔助計算!$G$2:$G$801, 0)+1))&lt;=46.5,2,1)), IF(INDEX(ERP資料!$G:$G, (MATCH(626, 輔助計算!$G$2:$G$801, 0)+1))&lt;=790,3,IF(INDEX(ERP資料!$G:$G, (MATCH(626, 輔助計算!$G$2:$G$801, 0)+1))&lt;=1181,2,1))))=0,"",IF(MOD(INDEX(輔助計算!$D:$D, (MATCH(626, 輔助計算!$G$2:$G$801, 0)+1)),IF(INDEX(ERP資料!$G:$G, (MATCH(626, 輔助計算!$G$2:$G$801, 0)+1))&lt;100, IF(INDEX(ERP資料!$G:$G, (MATCH(626, 輔助計算!$G$2:$G$801, 0)+1))&lt;=31,3,IF(INDEX(ERP資料!$G:$G, (MATCH(626, 輔助計算!$G$2:$G$801, 0)+1))&lt;=46.5,2,1)), IF(INDEX(ERP資料!$G:$G, (MATCH(626, 輔助計算!$G$2:$G$801, 0)+1))&lt;=790,3,IF(INDEX(ERP資料!$G:$G, (MATCH(626, 輔助計算!$G$2:$G$801, 0)+1))&lt;=1181,2,1))))=0,"",IF(MOD(INDEX(輔助計算!$D:$D, (MATCH(626, 輔助計算!$G$2:$G$801, 0)+1)),IF(INDEX(ERP資料!$G:$G, (MATCH(626, 輔助計算!$G$2:$G$801, 0)+1))&lt;100, IF(INDEX(ERP資料!$G:$G, (MATCH(626, 輔助計算!$G$2:$G$801, 0)+1))&lt;=31,3,IF(INDEX(ERP資料!$G:$G, (MATCH(626, 輔助計算!$G$2:$G$801, 0)+1))&lt;=46.5,2,1)), IF(INDEX(ERP資料!$G:$G, (MATCH(626, 輔助計算!$G$2:$G$801, 0)+1))&lt;=790,3,IF(INDEX(ERP資料!$G:$G, (MATCH(626, 輔助計算!$G$2:$G$801, 0)+1))&lt;=1181,2,1))))=1,TEXT(INDEX(ERP資料!$G:$G, (MATCH(626, 輔助計算!$G$2:$G$801, 0)+1)),"0.##"),IF(MOD(INDEX(輔助計算!$D:$D, (MATCH(626, 輔助計算!$G$2:$G$801, 0)+1)),IF(INDEX(ERP資料!$G:$G, (MATCH(626, 輔助計算!$G$2:$G$801, 0)+1))&lt;100, IF(INDEX(ERP資料!$G:$G, (MATCH(626, 輔助計算!$G$2:$G$801, 0)+1))&lt;=31,3,IF(INDEX(ERP資料!$G:$G, (MATCH(626, 輔助計算!$G$2:$G$801, 0)+1))&lt;=46.5,2,1)), IF(INDEX(ERP資料!$G:$G, (MATCH(626, 輔助計算!$G$2:$G$801, 0)+1))&lt;=790,3,IF(INDEX(ERP資料!$G:$G, (MATCH(626, 輔助計算!$G$2:$G$801, 0)+1))&lt;=1181,2,1))))=2,TEXT(INDEX(ERP資料!$G:$G, (MATCH(626, 輔助計算!$G$2:$G$801, 0)+1)),"0.##")&amp;"+"&amp;TEXT(INDEX(ERP資料!$G:$G, (MATCH(626, 輔助計算!$G$2:$G$801, 0)+1)),"0.##"),TEXT(INDEX(ERP資料!$G:$G, (MATCH(626, 輔助計算!$G$2:$G$801, 0)+1)),"0.##")&amp;"+"&amp;TEXT(INDEX(ERP資料!$G:$G, (MATCH(626, 輔助計算!$G$2:$G$801, 0)+1)),"0.##")&amp;"+"&amp;TEXT(INDEX(ERP資料!$G:$G, (MATCH(626, 輔助計算!$G$2:$G$801, 0)+1)),"0.##"))))&amp;"-1")&lt;&gt;""),"  ","")&amp;IF(MOD(INDEX(輔助計算!$D:$D, (MATCH(626, 輔助計算!$G$2:$G$801, 0)+1)),IF(INDEX(ERP資料!$G:$G, (MATCH(626, 輔助計算!$G$2:$G$801, 0)+1))&lt;100, IF(INDEX(ERP資料!$G:$G, (MATCH(626, 輔助計算!$G$2:$G$801, 0)+1))&lt;=31,3,IF(INDEX(ERP資料!$G:$G, (MATCH(626, 輔助計算!$G$2:$G$801, 0)+1))&lt;=46.5,2,1)), IF(INDEX(ERP資料!$G:$G, (MATCH(626, 輔助計算!$G$2:$G$801, 0)+1))&lt;=790,3,IF(INDEX(ERP資料!$G:$G, (MATCH(626, 輔助計算!$G$2:$G$801, 0)+1))&lt;=1181,2,1))))=0,"",IF(MOD(INDEX(輔助計算!$D:$D, (MATCH(626, 輔助計算!$G$2:$G$801, 0)+1)),IF(INDEX(ERP資料!$G:$G, (MATCH(626, 輔助計算!$G$2:$G$801, 0)+1))&lt;100, IF(INDEX(ERP資料!$G:$G, (MATCH(626, 輔助計算!$G$2:$G$801, 0)+1))&lt;=31,3,IF(INDEX(ERP資料!$G:$G, (MATCH(626, 輔助計算!$G$2:$G$801, 0)+1))&lt;=46.5,2,1)), IF(INDEX(ERP資料!$G:$G, (MATCH(626, 輔助計算!$G$2:$G$801, 0)+1))&lt;=790,3,IF(INDEX(ERP資料!$G:$G, (MATCH(626, 輔助計算!$G$2:$G$801, 0)+1))&lt;=1181,2,1))))=0,"",IF(MOD(INDEX(輔助計算!$D:$D, (MATCH(626, 輔助計算!$G$2:$G$801, 0)+1)),IF(INDEX(ERP資料!$G:$G, (MATCH(626, 輔助計算!$G$2:$G$801, 0)+1))&lt;100, IF(INDEX(ERP資料!$G:$G, (MATCH(626, 輔助計算!$G$2:$G$801, 0)+1))&lt;=31,3,IF(INDEX(ERP資料!$G:$G, (MATCH(626, 輔助計算!$G$2:$G$801, 0)+1))&lt;=46.5,2,1)), IF(INDEX(ERP資料!$G:$G, (MATCH(626, 輔助計算!$G$2:$G$801, 0)+1))&lt;=790,3,IF(INDEX(ERP資料!$G:$G, (MATCH(626, 輔助計算!$G$2:$G$801, 0)+1))&lt;=1181,2,1))))=1,TEXT(INDEX(ERP資料!$G:$G, (MATCH(626, 輔助計算!$G$2:$G$801, 0)+1)),"0.##"),IF(MOD(INDEX(輔助計算!$D:$D, (MATCH(626, 輔助計算!$G$2:$G$801, 0)+1)),IF(INDEX(ERP資料!$G:$G, (MATCH(626, 輔助計算!$G$2:$G$801, 0)+1))&lt;100, IF(INDEX(ERP資料!$G:$G, (MATCH(626, 輔助計算!$G$2:$G$801, 0)+1))&lt;=31,3,IF(INDEX(ERP資料!$G:$G, (MATCH(626, 輔助計算!$G$2:$G$801, 0)+1))&lt;=46.5,2,1)), IF(INDEX(ERP資料!$G:$G, (MATCH(626, 輔助計算!$G$2:$G$801, 0)+1))&lt;=790,3,IF(INDEX(ERP資料!$G:$G, (MATCH(626, 輔助計算!$G$2:$G$801, 0)+1))&lt;=1181,2,1))))=2,TEXT(INDEX(ERP資料!$G:$G, (MATCH(626, 輔助計算!$G$2:$G$801, 0)+1)),"0.##")&amp;"+"&amp;TEXT(INDEX(ERP資料!$G:$G, (MATCH(626, 輔助計算!$G$2:$G$801, 0)+1)),"0.##"),TEXT(INDEX(ERP資料!$G:$G, (MATCH(626, 輔助計算!$G$2:$G$801, 0)+1)),"0.##")&amp;"+"&amp;TEXT(INDEX(ERP資料!$G:$G, (MATCH(626, 輔助計算!$G$2:$G$801, 0)+1)),"0.##")&amp;"+"&amp;TEXT(INDEX(ERP資料!$G:$G, (MATCH(626, 輔助計算!$G$2:$G$801, 0)+1)),"0.##"))))&amp;"-1")), ""), "")</f>
        <v/>
      </c>
      <c r="K627" s="16" t="n"/>
      <c r="L627" s="14">
        <f>IFERROR(IF(AND(IFERROR(INDEX(ERP資料!$A:$A, (MATCH(626, 輔助計算!$G$2:$G$801, 0)+1)), "")&lt;&gt;"", IFERROR(INDEX(ERP資料!$A:$A, (MATCH(626, 輔助計算!$G$2:$G$801, 0)+1)), "")&lt;&gt;IFERROR(INDEX(ERP資料!$A:$A, MATCH(625, 輔助計算!$G$2:$G$801, 0)+1), "")), INDEX(ERP資料!$B:$B, (MATCH(626, 輔助計算!$G$2:$G$801, 0)+1)), ""), "")</f>
        <v/>
      </c>
      <c r="M627" s="17" t="n"/>
    </row>
    <row r="628">
      <c r="A628" s="10">
        <f>IFERROR(IF(AND(IFERROR(INDEX(ERP資料!$A:$A, (MATCH(627, 輔助計算!$G$2:$G$801, 0)+1)), "")&lt;&gt;"", IFERROR(INDEX(ERP資料!$A:$A, (MATCH(627, 輔助計算!$G$2:$G$801, 0)+1)), "")&lt;&gt;IFERROR(INDEX(ERP資料!$A:$A, MATCH(626, 輔助計算!$G$2:$G$801, 0)+1), "")), IFERROR(INDEX(ERP資料!$A:$A, (MATCH(627, 輔助計算!$G$2:$G$801, 0)+1)), ""), ""), "")</f>
        <v/>
      </c>
      <c r="B628" s="10">
        <f>IFERROR(IF(AND(IFERROR(INDEX(ERP資料!$A:$A, (MATCH(627, 輔助計算!$G$2:$G$801, 0)+1)), "")&lt;&gt;"", IFERROR(INDEX(ERP資料!$A:$A, (MATCH(627, 輔助計算!$G$2:$G$801, 0)+1)), "")&lt;&gt;IFERROR(INDEX(ERP資料!$A:$A, MATCH(626, 輔助計算!$G$2:$G$801, 0)+1), "")), INDEX(ERP資料!$S:$S, (MATCH(627, 輔助計算!$G$2:$G$801, 0)+1)), ""), "")</f>
        <v/>
      </c>
      <c r="C628" s="19">
        <f>IFERROR(IF(AND(IFERROR(INDEX(ERP資料!$A:$A, (MATCH(627, 輔助計算!$G$2:$G$801, 0)+1)), "")&lt;&gt;"", IFERROR(INDEX(ERP資料!$A:$A, (MATCH(627, 輔助計算!$G$2:$G$801, 0)+1)), "")&lt;&gt;IFERROR(INDEX(ERP資料!$A:$A, MATCH(626, 輔助計算!$G$2:$G$801, 0)+1), "")), IFERROR(VLOOKUP(LEFT(INDEX(ERP資料!$S:$S, (MATCH(627, 輔助計算!$G$2:$G$801, 0)+1)), 4), 紙管對照表!$A:$C, 3, FALSE), ""), ""), "")</f>
        <v/>
      </c>
      <c r="D628" s="16" t="n"/>
      <c r="E628" s="10">
        <f>IFERROR(IF(INDEX(ERP資料!$H:$H, (MATCH(627, 輔助計算!$G$2:$G$801, 0)+1))="","",INDEX(ERP資料!$H:$H, (MATCH(627, 輔助計算!$G$2:$G$801, 0)+1))), "")</f>
        <v/>
      </c>
      <c r="F628" s="10">
        <f>IFERROR(IF(INDEX(ERP資料!$E:$E, (MATCH(627, 輔助計算!$G$2:$G$801, 0)+1))="","",TRIM(INDEX(ERP資料!$E:$E, (MATCH(627, 輔助計算!$G$2:$G$801, 0)+1)))), "")</f>
        <v/>
      </c>
      <c r="G628" s="10">
        <f>IFERROR(IF(INDEX(ERP資料!$F:$F, (MATCH(627, 輔助計算!$G$2:$G$801, 0)+1))="","",INDEX(ERP資料!$F:$F, (MATCH(627, 輔助計算!$G$2:$G$801, 0)+1))), "")</f>
        <v/>
      </c>
      <c r="H628" s="10">
        <f>IFERROR(IF(INDEX(ERP資料!$G:$G, (MATCH(627, 輔助計算!$G$2:$G$801, 0)+1))="","",INDEX(ERP資料!$G:$G, (MATCH(627, 輔助計算!$G$2:$G$801, 0)+1))), "")</f>
        <v/>
      </c>
      <c r="I628" s="15">
        <f>IFERROR(INDEX(輔助計算!$D:$D, (MATCH(627, 輔助計算!$G$2:$G$801, 0)+1)), "")</f>
        <v/>
      </c>
      <c r="J628" s="15">
        <f>IFERROR(IF(AND(INDEX(輔助計算!$D:$D, (MATCH(627, 輔助計算!$G$2:$G$801, 0)+1))&lt;&gt;"", INDEX(ERP資料!$G:$G, (MATCH(627, 輔助計算!$G$2:$G$801, 0)+1))&lt;&gt;""), TRIM(IF(INT(INDEX(輔助計算!$D:$D, (MATCH(627, 輔助計算!$G$2:$G$801, 0)+1))/IF(INDEX(ERP資料!$G:$G, (MATCH(627, 輔助計算!$G$2:$G$801, 0)+1))&lt;100, IF(INDEX(ERP資料!$G:$G, (MATCH(627, 輔助計算!$G$2:$G$801, 0)+1))&lt;=31,3,IF(INDEX(ERP資料!$G:$G, (MATCH(627, 輔助計算!$G$2:$G$801, 0)+1))&lt;=46.5,2,1)), IF(INDEX(ERP資料!$G:$G, (MATCH(627, 輔助計算!$G$2:$G$801, 0)+1))&lt;=790,3,IF(INDEX(ERP資料!$G:$G, (MATCH(627, 輔助計算!$G$2:$G$801, 0)+1))&lt;=1181,2,1))))&gt;0, IF(IF(INDEX(ERP資料!$G:$G, (MATCH(627, 輔助計算!$G$2:$G$801, 0)+1))&lt;100, IF(INDEX(ERP資料!$G:$G, (MATCH(627, 輔助計算!$G$2:$G$801, 0)+1))&lt;=31,3,IF(INDEX(ERP資料!$G:$G, (MATCH(627, 輔助計算!$G$2:$G$801, 0)+1))&lt;=46.5,2,1)), IF(INDEX(ERP資料!$G:$G, (MATCH(627, 輔助計算!$G$2:$G$801, 0)+1))&lt;=790,3,IF(INDEX(ERP資料!$G:$G, (MATCH(627, 輔助計算!$G$2:$G$801, 0)+1))&lt;=1181,2,1)))=1,TEXT(INDEX(ERP資料!$G:$G, (MATCH(627, 輔助計算!$G$2:$G$801, 0)+1)),"0.##"),IF(IF(INDEX(ERP資料!$G:$G, (MATCH(627, 輔助計算!$G$2:$G$801, 0)+1))&lt;100, IF(INDEX(ERP資料!$G:$G, (MATCH(627, 輔助計算!$G$2:$G$801, 0)+1))&lt;=31,3,IF(INDEX(ERP資料!$G:$G, (MATCH(627, 輔助計算!$G$2:$G$801, 0)+1))&lt;=46.5,2,1)), IF(INDEX(ERP資料!$G:$G, (MATCH(627, 輔助計算!$G$2:$G$801, 0)+1))&lt;=790,3,IF(INDEX(ERP資料!$G:$G, (MATCH(627, 輔助計算!$G$2:$G$801, 0)+1))&lt;=1181,2,1)))=2,TEXT(INDEX(ERP資料!$G:$G, (MATCH(627, 輔助計算!$G$2:$G$801, 0)+1)),"0.##")&amp;"+"&amp;TEXT(INDEX(ERP資料!$G:$G, (MATCH(627, 輔助計算!$G$2:$G$801, 0)+1)),"0.##"),TEXT(INDEX(ERP資料!$G:$G, (MATCH(627, 輔助計算!$G$2:$G$801, 0)+1)),"0.##")&amp;"+"&amp;TEXT(INDEX(ERP資料!$G:$G, (MATCH(627, 輔助計算!$G$2:$G$801, 0)+1)),"0.##")&amp;"+"&amp;TEXT(INDEX(ERP資料!$G:$G, (MATCH(627, 輔助計算!$G$2:$G$801, 0)+1)),"0.##")))&amp;"-"&amp;INT(INDEX(輔助計算!$D:$D, (MATCH(627, 輔助計算!$G$2:$G$801, 0)+1))/IF(INDEX(ERP資料!$G:$G, (MATCH(627, 輔助計算!$G$2:$G$801, 0)+1))&lt;100, IF(INDEX(ERP資料!$G:$G, (MATCH(627, 輔助計算!$G$2:$G$801, 0)+1))&lt;=31,3,IF(INDEX(ERP資料!$G:$G, (MATCH(627, 輔助計算!$G$2:$G$801, 0)+1))&lt;=46.5,2,1)), IF(INDEX(ERP資料!$G:$G, (MATCH(627, 輔助計算!$G$2:$G$801, 0)+1))&lt;=790,3,IF(INDEX(ERP資料!$G:$G, (MATCH(627, 輔助計算!$G$2:$G$801, 0)+1))&lt;=1181,2,1)))), "")&amp;IF(AND(IF(INT(INDEX(輔助計算!$D:$D, (MATCH(627, 輔助計算!$G$2:$G$801, 0)+1))/IF(INDEX(ERP資料!$G:$G, (MATCH(627, 輔助計算!$G$2:$G$801, 0)+1))&lt;100, IF(INDEX(ERP資料!$G:$G, (MATCH(627, 輔助計算!$G$2:$G$801, 0)+1))&lt;=31,3,IF(INDEX(ERP資料!$G:$G, (MATCH(627, 輔助計算!$G$2:$G$801, 0)+1))&lt;=46.5,2,1)), IF(INDEX(ERP資料!$G:$G, (MATCH(627, 輔助計算!$G$2:$G$801, 0)+1))&lt;=790,3,IF(INDEX(ERP資料!$G:$G, (MATCH(627, 輔助計算!$G$2:$G$801, 0)+1))&lt;=1181,2,1))))&gt;0, IF(IF(INDEX(ERP資料!$G:$G, (MATCH(627, 輔助計算!$G$2:$G$801, 0)+1))&lt;100, IF(INDEX(ERP資料!$G:$G, (MATCH(627, 輔助計算!$G$2:$G$801, 0)+1))&lt;=31,3,IF(INDEX(ERP資料!$G:$G, (MATCH(627, 輔助計算!$G$2:$G$801, 0)+1))&lt;=46.5,2,1)), IF(INDEX(ERP資料!$G:$G, (MATCH(627, 輔助計算!$G$2:$G$801, 0)+1))&lt;=790,3,IF(INDEX(ERP資料!$G:$G, (MATCH(627, 輔助計算!$G$2:$G$801, 0)+1))&lt;=1181,2,1)))=1,TEXT(INDEX(ERP資料!$G:$G, (MATCH(627, 輔助計算!$G$2:$G$801, 0)+1)),"0.##"),IF(IF(INDEX(ERP資料!$G:$G, (MATCH(627, 輔助計算!$G$2:$G$801, 0)+1))&lt;100, IF(INDEX(ERP資料!$G:$G, (MATCH(627, 輔助計算!$G$2:$G$801, 0)+1))&lt;=31,3,IF(INDEX(ERP資料!$G:$G, (MATCH(627, 輔助計算!$G$2:$G$801, 0)+1))&lt;=46.5,2,1)), IF(INDEX(ERP資料!$G:$G, (MATCH(627, 輔助計算!$G$2:$G$801, 0)+1))&lt;=790,3,IF(INDEX(ERP資料!$G:$G, (MATCH(627, 輔助計算!$G$2:$G$801, 0)+1))&lt;=1181,2,1)))=2,TEXT(INDEX(ERP資料!$G:$G, (MATCH(627, 輔助計算!$G$2:$G$801, 0)+1)),"0.##")&amp;"+"&amp;TEXT(INDEX(ERP資料!$G:$G, (MATCH(627, 輔助計算!$G$2:$G$801, 0)+1)),"0.##"),TEXT(INDEX(ERP資料!$G:$G, (MATCH(627, 輔助計算!$G$2:$G$801, 0)+1)),"0.##")&amp;"+"&amp;TEXT(INDEX(ERP資料!$G:$G, (MATCH(627, 輔助計算!$G$2:$G$801, 0)+1)),"0.##")&amp;"+"&amp;TEXT(INDEX(ERP資料!$G:$G, (MATCH(627, 輔助計算!$G$2:$G$801, 0)+1)),"0.##")))&amp;"-"&amp;INT(INDEX(輔助計算!$D:$D, (MATCH(627, 輔助計算!$G$2:$G$801, 0)+1))/IF(INDEX(ERP資料!$G:$G, (MATCH(627, 輔助計算!$G$2:$G$801, 0)+1))&lt;100, IF(INDEX(ERP資料!$G:$G, (MATCH(627, 輔助計算!$G$2:$G$801, 0)+1))&lt;=31,3,IF(INDEX(ERP資料!$G:$G, (MATCH(627, 輔助計算!$G$2:$G$801, 0)+1))&lt;=46.5,2,1)), IF(INDEX(ERP資料!$G:$G, (MATCH(627, 輔助計算!$G$2:$G$801, 0)+1))&lt;=790,3,IF(INDEX(ERP資料!$G:$G, (MATCH(627, 輔助計算!$G$2:$G$801, 0)+1))&lt;=1181,2,1)))), "")&lt;&gt;"",IF(MOD(INDEX(輔助計算!$D:$D, (MATCH(627, 輔助計算!$G$2:$G$801, 0)+1)),IF(INDEX(ERP資料!$G:$G, (MATCH(627, 輔助計算!$G$2:$G$801, 0)+1))&lt;100, IF(INDEX(ERP資料!$G:$G, (MATCH(627, 輔助計算!$G$2:$G$801, 0)+1))&lt;=31,3,IF(INDEX(ERP資料!$G:$G, (MATCH(627, 輔助計算!$G$2:$G$801, 0)+1))&lt;=46.5,2,1)), IF(INDEX(ERP資料!$G:$G, (MATCH(627, 輔助計算!$G$2:$G$801, 0)+1))&lt;=790,3,IF(INDEX(ERP資料!$G:$G, (MATCH(627, 輔助計算!$G$2:$G$801, 0)+1))&lt;=1181,2,1))))=0,"",IF(MOD(INDEX(輔助計算!$D:$D, (MATCH(627, 輔助計算!$G$2:$G$801, 0)+1)),IF(INDEX(ERP資料!$G:$G, (MATCH(627, 輔助計算!$G$2:$G$801, 0)+1))&lt;100, IF(INDEX(ERP資料!$G:$G, (MATCH(627, 輔助計算!$G$2:$G$801, 0)+1))&lt;=31,3,IF(INDEX(ERP資料!$G:$G, (MATCH(627, 輔助計算!$G$2:$G$801, 0)+1))&lt;=46.5,2,1)), IF(INDEX(ERP資料!$G:$G, (MATCH(627, 輔助計算!$G$2:$G$801, 0)+1))&lt;=790,3,IF(INDEX(ERP資料!$G:$G, (MATCH(627, 輔助計算!$G$2:$G$801, 0)+1))&lt;=1181,2,1))))=0,"",IF(MOD(INDEX(輔助計算!$D:$D, (MATCH(627, 輔助計算!$G$2:$G$801, 0)+1)),IF(INDEX(ERP資料!$G:$G, (MATCH(627, 輔助計算!$G$2:$G$801, 0)+1))&lt;100, IF(INDEX(ERP資料!$G:$G, (MATCH(627, 輔助計算!$G$2:$G$801, 0)+1))&lt;=31,3,IF(INDEX(ERP資料!$G:$G, (MATCH(627, 輔助計算!$G$2:$G$801, 0)+1))&lt;=46.5,2,1)), IF(INDEX(ERP資料!$G:$G, (MATCH(627, 輔助計算!$G$2:$G$801, 0)+1))&lt;=790,3,IF(INDEX(ERP資料!$G:$G, (MATCH(627, 輔助計算!$G$2:$G$801, 0)+1))&lt;=1181,2,1))))=1,TEXT(INDEX(ERP資料!$G:$G, (MATCH(627, 輔助計算!$G$2:$G$801, 0)+1)),"0.##"),IF(MOD(INDEX(輔助計算!$D:$D, (MATCH(627, 輔助計算!$G$2:$G$801, 0)+1)),IF(INDEX(ERP資料!$G:$G, (MATCH(627, 輔助計算!$G$2:$G$801, 0)+1))&lt;100, IF(INDEX(ERP資料!$G:$G, (MATCH(627, 輔助計算!$G$2:$G$801, 0)+1))&lt;=31,3,IF(INDEX(ERP資料!$G:$G, (MATCH(627, 輔助計算!$G$2:$G$801, 0)+1))&lt;=46.5,2,1)), IF(INDEX(ERP資料!$G:$G, (MATCH(627, 輔助計算!$G$2:$G$801, 0)+1))&lt;=790,3,IF(INDEX(ERP資料!$G:$G, (MATCH(627, 輔助計算!$G$2:$G$801, 0)+1))&lt;=1181,2,1))))=2,TEXT(INDEX(ERP資料!$G:$G, (MATCH(627, 輔助計算!$G$2:$G$801, 0)+1)),"0.##")&amp;"+"&amp;TEXT(INDEX(ERP資料!$G:$G, (MATCH(627, 輔助計算!$G$2:$G$801, 0)+1)),"0.##"),TEXT(INDEX(ERP資料!$G:$G, (MATCH(627, 輔助計算!$G$2:$G$801, 0)+1)),"0.##")&amp;"+"&amp;TEXT(INDEX(ERP資料!$G:$G, (MATCH(627, 輔助計算!$G$2:$G$801, 0)+1)),"0.##")&amp;"+"&amp;TEXT(INDEX(ERP資料!$G:$G, (MATCH(627, 輔助計算!$G$2:$G$801, 0)+1)),"0.##"))))&amp;"-1")&lt;&gt;""),"  ","")&amp;IF(MOD(INDEX(輔助計算!$D:$D, (MATCH(627, 輔助計算!$G$2:$G$801, 0)+1)),IF(INDEX(ERP資料!$G:$G, (MATCH(627, 輔助計算!$G$2:$G$801, 0)+1))&lt;100, IF(INDEX(ERP資料!$G:$G, (MATCH(627, 輔助計算!$G$2:$G$801, 0)+1))&lt;=31,3,IF(INDEX(ERP資料!$G:$G, (MATCH(627, 輔助計算!$G$2:$G$801, 0)+1))&lt;=46.5,2,1)), IF(INDEX(ERP資料!$G:$G, (MATCH(627, 輔助計算!$G$2:$G$801, 0)+1))&lt;=790,3,IF(INDEX(ERP資料!$G:$G, (MATCH(627, 輔助計算!$G$2:$G$801, 0)+1))&lt;=1181,2,1))))=0,"",IF(MOD(INDEX(輔助計算!$D:$D, (MATCH(627, 輔助計算!$G$2:$G$801, 0)+1)),IF(INDEX(ERP資料!$G:$G, (MATCH(627, 輔助計算!$G$2:$G$801, 0)+1))&lt;100, IF(INDEX(ERP資料!$G:$G, (MATCH(627, 輔助計算!$G$2:$G$801, 0)+1))&lt;=31,3,IF(INDEX(ERP資料!$G:$G, (MATCH(627, 輔助計算!$G$2:$G$801, 0)+1))&lt;=46.5,2,1)), IF(INDEX(ERP資料!$G:$G, (MATCH(627, 輔助計算!$G$2:$G$801, 0)+1))&lt;=790,3,IF(INDEX(ERP資料!$G:$G, (MATCH(627, 輔助計算!$G$2:$G$801, 0)+1))&lt;=1181,2,1))))=0,"",IF(MOD(INDEX(輔助計算!$D:$D, (MATCH(627, 輔助計算!$G$2:$G$801, 0)+1)),IF(INDEX(ERP資料!$G:$G, (MATCH(627, 輔助計算!$G$2:$G$801, 0)+1))&lt;100, IF(INDEX(ERP資料!$G:$G, (MATCH(627, 輔助計算!$G$2:$G$801, 0)+1))&lt;=31,3,IF(INDEX(ERP資料!$G:$G, (MATCH(627, 輔助計算!$G$2:$G$801, 0)+1))&lt;=46.5,2,1)), IF(INDEX(ERP資料!$G:$G, (MATCH(627, 輔助計算!$G$2:$G$801, 0)+1))&lt;=790,3,IF(INDEX(ERP資料!$G:$G, (MATCH(627, 輔助計算!$G$2:$G$801, 0)+1))&lt;=1181,2,1))))=1,TEXT(INDEX(ERP資料!$G:$G, (MATCH(627, 輔助計算!$G$2:$G$801, 0)+1)),"0.##"),IF(MOD(INDEX(輔助計算!$D:$D, (MATCH(627, 輔助計算!$G$2:$G$801, 0)+1)),IF(INDEX(ERP資料!$G:$G, (MATCH(627, 輔助計算!$G$2:$G$801, 0)+1))&lt;100, IF(INDEX(ERP資料!$G:$G, (MATCH(627, 輔助計算!$G$2:$G$801, 0)+1))&lt;=31,3,IF(INDEX(ERP資料!$G:$G, (MATCH(627, 輔助計算!$G$2:$G$801, 0)+1))&lt;=46.5,2,1)), IF(INDEX(ERP資料!$G:$G, (MATCH(627, 輔助計算!$G$2:$G$801, 0)+1))&lt;=790,3,IF(INDEX(ERP資料!$G:$G, (MATCH(627, 輔助計算!$G$2:$G$801, 0)+1))&lt;=1181,2,1))))=2,TEXT(INDEX(ERP資料!$G:$G, (MATCH(627, 輔助計算!$G$2:$G$801, 0)+1)),"0.##")&amp;"+"&amp;TEXT(INDEX(ERP資料!$G:$G, (MATCH(627, 輔助計算!$G$2:$G$801, 0)+1)),"0.##"),TEXT(INDEX(ERP資料!$G:$G, (MATCH(627, 輔助計算!$G$2:$G$801, 0)+1)),"0.##")&amp;"+"&amp;TEXT(INDEX(ERP資料!$G:$G, (MATCH(627, 輔助計算!$G$2:$G$801, 0)+1)),"0.##")&amp;"+"&amp;TEXT(INDEX(ERP資料!$G:$G, (MATCH(627, 輔助計算!$G$2:$G$801, 0)+1)),"0.##"))))&amp;"-1")), ""), "")</f>
        <v/>
      </c>
      <c r="K628" s="16" t="n"/>
      <c r="L628" s="14">
        <f>IFERROR(IF(AND(IFERROR(INDEX(ERP資料!$A:$A, (MATCH(627, 輔助計算!$G$2:$G$801, 0)+1)), "")&lt;&gt;"", IFERROR(INDEX(ERP資料!$A:$A, (MATCH(627, 輔助計算!$G$2:$G$801, 0)+1)), "")&lt;&gt;IFERROR(INDEX(ERP資料!$A:$A, MATCH(626, 輔助計算!$G$2:$G$801, 0)+1), "")), INDEX(ERP資料!$B:$B, (MATCH(627, 輔助計算!$G$2:$G$801, 0)+1)), ""), "")</f>
        <v/>
      </c>
      <c r="M628" s="17" t="n"/>
    </row>
    <row r="629">
      <c r="A629" s="10">
        <f>IFERROR(IF(AND(IFERROR(INDEX(ERP資料!$A:$A, (MATCH(628, 輔助計算!$G$2:$G$801, 0)+1)), "")&lt;&gt;"", IFERROR(INDEX(ERP資料!$A:$A, (MATCH(628, 輔助計算!$G$2:$G$801, 0)+1)), "")&lt;&gt;IFERROR(INDEX(ERP資料!$A:$A, MATCH(627, 輔助計算!$G$2:$G$801, 0)+1), "")), IFERROR(INDEX(ERP資料!$A:$A, (MATCH(628, 輔助計算!$G$2:$G$801, 0)+1)), ""), ""), "")</f>
        <v/>
      </c>
      <c r="B629" s="10">
        <f>IFERROR(IF(AND(IFERROR(INDEX(ERP資料!$A:$A, (MATCH(628, 輔助計算!$G$2:$G$801, 0)+1)), "")&lt;&gt;"", IFERROR(INDEX(ERP資料!$A:$A, (MATCH(628, 輔助計算!$G$2:$G$801, 0)+1)), "")&lt;&gt;IFERROR(INDEX(ERP資料!$A:$A, MATCH(627, 輔助計算!$G$2:$G$801, 0)+1), "")), INDEX(ERP資料!$S:$S, (MATCH(628, 輔助計算!$G$2:$G$801, 0)+1)), ""), "")</f>
        <v/>
      </c>
      <c r="C629" s="19">
        <f>IFERROR(IF(AND(IFERROR(INDEX(ERP資料!$A:$A, (MATCH(628, 輔助計算!$G$2:$G$801, 0)+1)), "")&lt;&gt;"", IFERROR(INDEX(ERP資料!$A:$A, (MATCH(628, 輔助計算!$G$2:$G$801, 0)+1)), "")&lt;&gt;IFERROR(INDEX(ERP資料!$A:$A, MATCH(627, 輔助計算!$G$2:$G$801, 0)+1), "")), IFERROR(VLOOKUP(LEFT(INDEX(ERP資料!$S:$S, (MATCH(628, 輔助計算!$G$2:$G$801, 0)+1)), 4), 紙管對照表!$A:$C, 3, FALSE), ""), ""), "")</f>
        <v/>
      </c>
      <c r="D629" s="16" t="n"/>
      <c r="E629" s="10">
        <f>IFERROR(IF(INDEX(ERP資料!$H:$H, (MATCH(628, 輔助計算!$G$2:$G$801, 0)+1))="","",INDEX(ERP資料!$H:$H, (MATCH(628, 輔助計算!$G$2:$G$801, 0)+1))), "")</f>
        <v/>
      </c>
      <c r="F629" s="10">
        <f>IFERROR(IF(INDEX(ERP資料!$E:$E, (MATCH(628, 輔助計算!$G$2:$G$801, 0)+1))="","",TRIM(INDEX(ERP資料!$E:$E, (MATCH(628, 輔助計算!$G$2:$G$801, 0)+1)))), "")</f>
        <v/>
      </c>
      <c r="G629" s="10">
        <f>IFERROR(IF(INDEX(ERP資料!$F:$F, (MATCH(628, 輔助計算!$G$2:$G$801, 0)+1))="","",INDEX(ERP資料!$F:$F, (MATCH(628, 輔助計算!$G$2:$G$801, 0)+1))), "")</f>
        <v/>
      </c>
      <c r="H629" s="10">
        <f>IFERROR(IF(INDEX(ERP資料!$G:$G, (MATCH(628, 輔助計算!$G$2:$G$801, 0)+1))="","",INDEX(ERP資料!$G:$G, (MATCH(628, 輔助計算!$G$2:$G$801, 0)+1))), "")</f>
        <v/>
      </c>
      <c r="I629" s="15">
        <f>IFERROR(INDEX(輔助計算!$D:$D, (MATCH(628, 輔助計算!$G$2:$G$801, 0)+1)), "")</f>
        <v/>
      </c>
      <c r="J629" s="15">
        <f>IFERROR(IF(AND(INDEX(輔助計算!$D:$D, (MATCH(628, 輔助計算!$G$2:$G$801, 0)+1))&lt;&gt;"", INDEX(ERP資料!$G:$G, (MATCH(628, 輔助計算!$G$2:$G$801, 0)+1))&lt;&gt;""), TRIM(IF(INT(INDEX(輔助計算!$D:$D, (MATCH(628, 輔助計算!$G$2:$G$801, 0)+1))/IF(INDEX(ERP資料!$G:$G, (MATCH(628, 輔助計算!$G$2:$G$801, 0)+1))&lt;100, IF(INDEX(ERP資料!$G:$G, (MATCH(628, 輔助計算!$G$2:$G$801, 0)+1))&lt;=31,3,IF(INDEX(ERP資料!$G:$G, (MATCH(628, 輔助計算!$G$2:$G$801, 0)+1))&lt;=46.5,2,1)), IF(INDEX(ERP資料!$G:$G, (MATCH(628, 輔助計算!$G$2:$G$801, 0)+1))&lt;=790,3,IF(INDEX(ERP資料!$G:$G, (MATCH(628, 輔助計算!$G$2:$G$801, 0)+1))&lt;=1181,2,1))))&gt;0, IF(IF(INDEX(ERP資料!$G:$G, (MATCH(628, 輔助計算!$G$2:$G$801, 0)+1))&lt;100, IF(INDEX(ERP資料!$G:$G, (MATCH(628, 輔助計算!$G$2:$G$801, 0)+1))&lt;=31,3,IF(INDEX(ERP資料!$G:$G, (MATCH(628, 輔助計算!$G$2:$G$801, 0)+1))&lt;=46.5,2,1)), IF(INDEX(ERP資料!$G:$G, (MATCH(628, 輔助計算!$G$2:$G$801, 0)+1))&lt;=790,3,IF(INDEX(ERP資料!$G:$G, (MATCH(628, 輔助計算!$G$2:$G$801, 0)+1))&lt;=1181,2,1)))=1,TEXT(INDEX(ERP資料!$G:$G, (MATCH(628, 輔助計算!$G$2:$G$801, 0)+1)),"0.##"),IF(IF(INDEX(ERP資料!$G:$G, (MATCH(628, 輔助計算!$G$2:$G$801, 0)+1))&lt;100, IF(INDEX(ERP資料!$G:$G, (MATCH(628, 輔助計算!$G$2:$G$801, 0)+1))&lt;=31,3,IF(INDEX(ERP資料!$G:$G, (MATCH(628, 輔助計算!$G$2:$G$801, 0)+1))&lt;=46.5,2,1)), IF(INDEX(ERP資料!$G:$G, (MATCH(628, 輔助計算!$G$2:$G$801, 0)+1))&lt;=790,3,IF(INDEX(ERP資料!$G:$G, (MATCH(628, 輔助計算!$G$2:$G$801, 0)+1))&lt;=1181,2,1)))=2,TEXT(INDEX(ERP資料!$G:$G, (MATCH(628, 輔助計算!$G$2:$G$801, 0)+1)),"0.##")&amp;"+"&amp;TEXT(INDEX(ERP資料!$G:$G, (MATCH(628, 輔助計算!$G$2:$G$801, 0)+1)),"0.##"),TEXT(INDEX(ERP資料!$G:$G, (MATCH(628, 輔助計算!$G$2:$G$801, 0)+1)),"0.##")&amp;"+"&amp;TEXT(INDEX(ERP資料!$G:$G, (MATCH(628, 輔助計算!$G$2:$G$801, 0)+1)),"0.##")&amp;"+"&amp;TEXT(INDEX(ERP資料!$G:$G, (MATCH(628, 輔助計算!$G$2:$G$801, 0)+1)),"0.##")))&amp;"-"&amp;INT(INDEX(輔助計算!$D:$D, (MATCH(628, 輔助計算!$G$2:$G$801, 0)+1))/IF(INDEX(ERP資料!$G:$G, (MATCH(628, 輔助計算!$G$2:$G$801, 0)+1))&lt;100, IF(INDEX(ERP資料!$G:$G, (MATCH(628, 輔助計算!$G$2:$G$801, 0)+1))&lt;=31,3,IF(INDEX(ERP資料!$G:$G, (MATCH(628, 輔助計算!$G$2:$G$801, 0)+1))&lt;=46.5,2,1)), IF(INDEX(ERP資料!$G:$G, (MATCH(628, 輔助計算!$G$2:$G$801, 0)+1))&lt;=790,3,IF(INDEX(ERP資料!$G:$G, (MATCH(628, 輔助計算!$G$2:$G$801, 0)+1))&lt;=1181,2,1)))), "")&amp;IF(AND(IF(INT(INDEX(輔助計算!$D:$D, (MATCH(628, 輔助計算!$G$2:$G$801, 0)+1))/IF(INDEX(ERP資料!$G:$G, (MATCH(628, 輔助計算!$G$2:$G$801, 0)+1))&lt;100, IF(INDEX(ERP資料!$G:$G, (MATCH(628, 輔助計算!$G$2:$G$801, 0)+1))&lt;=31,3,IF(INDEX(ERP資料!$G:$G, (MATCH(628, 輔助計算!$G$2:$G$801, 0)+1))&lt;=46.5,2,1)), IF(INDEX(ERP資料!$G:$G, (MATCH(628, 輔助計算!$G$2:$G$801, 0)+1))&lt;=790,3,IF(INDEX(ERP資料!$G:$G, (MATCH(628, 輔助計算!$G$2:$G$801, 0)+1))&lt;=1181,2,1))))&gt;0, IF(IF(INDEX(ERP資料!$G:$G, (MATCH(628, 輔助計算!$G$2:$G$801, 0)+1))&lt;100, IF(INDEX(ERP資料!$G:$G, (MATCH(628, 輔助計算!$G$2:$G$801, 0)+1))&lt;=31,3,IF(INDEX(ERP資料!$G:$G, (MATCH(628, 輔助計算!$G$2:$G$801, 0)+1))&lt;=46.5,2,1)), IF(INDEX(ERP資料!$G:$G, (MATCH(628, 輔助計算!$G$2:$G$801, 0)+1))&lt;=790,3,IF(INDEX(ERP資料!$G:$G, (MATCH(628, 輔助計算!$G$2:$G$801, 0)+1))&lt;=1181,2,1)))=1,TEXT(INDEX(ERP資料!$G:$G, (MATCH(628, 輔助計算!$G$2:$G$801, 0)+1)),"0.##"),IF(IF(INDEX(ERP資料!$G:$G, (MATCH(628, 輔助計算!$G$2:$G$801, 0)+1))&lt;100, IF(INDEX(ERP資料!$G:$G, (MATCH(628, 輔助計算!$G$2:$G$801, 0)+1))&lt;=31,3,IF(INDEX(ERP資料!$G:$G, (MATCH(628, 輔助計算!$G$2:$G$801, 0)+1))&lt;=46.5,2,1)), IF(INDEX(ERP資料!$G:$G, (MATCH(628, 輔助計算!$G$2:$G$801, 0)+1))&lt;=790,3,IF(INDEX(ERP資料!$G:$G, (MATCH(628, 輔助計算!$G$2:$G$801, 0)+1))&lt;=1181,2,1)))=2,TEXT(INDEX(ERP資料!$G:$G, (MATCH(628, 輔助計算!$G$2:$G$801, 0)+1)),"0.##")&amp;"+"&amp;TEXT(INDEX(ERP資料!$G:$G, (MATCH(628, 輔助計算!$G$2:$G$801, 0)+1)),"0.##"),TEXT(INDEX(ERP資料!$G:$G, (MATCH(628, 輔助計算!$G$2:$G$801, 0)+1)),"0.##")&amp;"+"&amp;TEXT(INDEX(ERP資料!$G:$G, (MATCH(628, 輔助計算!$G$2:$G$801, 0)+1)),"0.##")&amp;"+"&amp;TEXT(INDEX(ERP資料!$G:$G, (MATCH(628, 輔助計算!$G$2:$G$801, 0)+1)),"0.##")))&amp;"-"&amp;INT(INDEX(輔助計算!$D:$D, (MATCH(628, 輔助計算!$G$2:$G$801, 0)+1))/IF(INDEX(ERP資料!$G:$G, (MATCH(628, 輔助計算!$G$2:$G$801, 0)+1))&lt;100, IF(INDEX(ERP資料!$G:$G, (MATCH(628, 輔助計算!$G$2:$G$801, 0)+1))&lt;=31,3,IF(INDEX(ERP資料!$G:$G, (MATCH(628, 輔助計算!$G$2:$G$801, 0)+1))&lt;=46.5,2,1)), IF(INDEX(ERP資料!$G:$G, (MATCH(628, 輔助計算!$G$2:$G$801, 0)+1))&lt;=790,3,IF(INDEX(ERP資料!$G:$G, (MATCH(628, 輔助計算!$G$2:$G$801, 0)+1))&lt;=1181,2,1)))), "")&lt;&gt;"",IF(MOD(INDEX(輔助計算!$D:$D, (MATCH(628, 輔助計算!$G$2:$G$801, 0)+1)),IF(INDEX(ERP資料!$G:$G, (MATCH(628, 輔助計算!$G$2:$G$801, 0)+1))&lt;100, IF(INDEX(ERP資料!$G:$G, (MATCH(628, 輔助計算!$G$2:$G$801, 0)+1))&lt;=31,3,IF(INDEX(ERP資料!$G:$G, (MATCH(628, 輔助計算!$G$2:$G$801, 0)+1))&lt;=46.5,2,1)), IF(INDEX(ERP資料!$G:$G, (MATCH(628, 輔助計算!$G$2:$G$801, 0)+1))&lt;=790,3,IF(INDEX(ERP資料!$G:$G, (MATCH(628, 輔助計算!$G$2:$G$801, 0)+1))&lt;=1181,2,1))))=0,"",IF(MOD(INDEX(輔助計算!$D:$D, (MATCH(628, 輔助計算!$G$2:$G$801, 0)+1)),IF(INDEX(ERP資料!$G:$G, (MATCH(628, 輔助計算!$G$2:$G$801, 0)+1))&lt;100, IF(INDEX(ERP資料!$G:$G, (MATCH(628, 輔助計算!$G$2:$G$801, 0)+1))&lt;=31,3,IF(INDEX(ERP資料!$G:$G, (MATCH(628, 輔助計算!$G$2:$G$801, 0)+1))&lt;=46.5,2,1)), IF(INDEX(ERP資料!$G:$G, (MATCH(628, 輔助計算!$G$2:$G$801, 0)+1))&lt;=790,3,IF(INDEX(ERP資料!$G:$G, (MATCH(628, 輔助計算!$G$2:$G$801, 0)+1))&lt;=1181,2,1))))=0,"",IF(MOD(INDEX(輔助計算!$D:$D, (MATCH(628, 輔助計算!$G$2:$G$801, 0)+1)),IF(INDEX(ERP資料!$G:$G, (MATCH(628, 輔助計算!$G$2:$G$801, 0)+1))&lt;100, IF(INDEX(ERP資料!$G:$G, (MATCH(628, 輔助計算!$G$2:$G$801, 0)+1))&lt;=31,3,IF(INDEX(ERP資料!$G:$G, (MATCH(628, 輔助計算!$G$2:$G$801, 0)+1))&lt;=46.5,2,1)), IF(INDEX(ERP資料!$G:$G, (MATCH(628, 輔助計算!$G$2:$G$801, 0)+1))&lt;=790,3,IF(INDEX(ERP資料!$G:$G, (MATCH(628, 輔助計算!$G$2:$G$801, 0)+1))&lt;=1181,2,1))))=1,TEXT(INDEX(ERP資料!$G:$G, (MATCH(628, 輔助計算!$G$2:$G$801, 0)+1)),"0.##"),IF(MOD(INDEX(輔助計算!$D:$D, (MATCH(628, 輔助計算!$G$2:$G$801, 0)+1)),IF(INDEX(ERP資料!$G:$G, (MATCH(628, 輔助計算!$G$2:$G$801, 0)+1))&lt;100, IF(INDEX(ERP資料!$G:$G, (MATCH(628, 輔助計算!$G$2:$G$801, 0)+1))&lt;=31,3,IF(INDEX(ERP資料!$G:$G, (MATCH(628, 輔助計算!$G$2:$G$801, 0)+1))&lt;=46.5,2,1)), IF(INDEX(ERP資料!$G:$G, (MATCH(628, 輔助計算!$G$2:$G$801, 0)+1))&lt;=790,3,IF(INDEX(ERP資料!$G:$G, (MATCH(628, 輔助計算!$G$2:$G$801, 0)+1))&lt;=1181,2,1))))=2,TEXT(INDEX(ERP資料!$G:$G, (MATCH(628, 輔助計算!$G$2:$G$801, 0)+1)),"0.##")&amp;"+"&amp;TEXT(INDEX(ERP資料!$G:$G, (MATCH(628, 輔助計算!$G$2:$G$801, 0)+1)),"0.##"),TEXT(INDEX(ERP資料!$G:$G, (MATCH(628, 輔助計算!$G$2:$G$801, 0)+1)),"0.##")&amp;"+"&amp;TEXT(INDEX(ERP資料!$G:$G, (MATCH(628, 輔助計算!$G$2:$G$801, 0)+1)),"0.##")&amp;"+"&amp;TEXT(INDEX(ERP資料!$G:$G, (MATCH(628, 輔助計算!$G$2:$G$801, 0)+1)),"0.##"))))&amp;"-1")&lt;&gt;""),"  ","")&amp;IF(MOD(INDEX(輔助計算!$D:$D, (MATCH(628, 輔助計算!$G$2:$G$801, 0)+1)),IF(INDEX(ERP資料!$G:$G, (MATCH(628, 輔助計算!$G$2:$G$801, 0)+1))&lt;100, IF(INDEX(ERP資料!$G:$G, (MATCH(628, 輔助計算!$G$2:$G$801, 0)+1))&lt;=31,3,IF(INDEX(ERP資料!$G:$G, (MATCH(628, 輔助計算!$G$2:$G$801, 0)+1))&lt;=46.5,2,1)), IF(INDEX(ERP資料!$G:$G, (MATCH(628, 輔助計算!$G$2:$G$801, 0)+1))&lt;=790,3,IF(INDEX(ERP資料!$G:$G, (MATCH(628, 輔助計算!$G$2:$G$801, 0)+1))&lt;=1181,2,1))))=0,"",IF(MOD(INDEX(輔助計算!$D:$D, (MATCH(628, 輔助計算!$G$2:$G$801, 0)+1)),IF(INDEX(ERP資料!$G:$G, (MATCH(628, 輔助計算!$G$2:$G$801, 0)+1))&lt;100, IF(INDEX(ERP資料!$G:$G, (MATCH(628, 輔助計算!$G$2:$G$801, 0)+1))&lt;=31,3,IF(INDEX(ERP資料!$G:$G, (MATCH(628, 輔助計算!$G$2:$G$801, 0)+1))&lt;=46.5,2,1)), IF(INDEX(ERP資料!$G:$G, (MATCH(628, 輔助計算!$G$2:$G$801, 0)+1))&lt;=790,3,IF(INDEX(ERP資料!$G:$G, (MATCH(628, 輔助計算!$G$2:$G$801, 0)+1))&lt;=1181,2,1))))=0,"",IF(MOD(INDEX(輔助計算!$D:$D, (MATCH(628, 輔助計算!$G$2:$G$801, 0)+1)),IF(INDEX(ERP資料!$G:$G, (MATCH(628, 輔助計算!$G$2:$G$801, 0)+1))&lt;100, IF(INDEX(ERP資料!$G:$G, (MATCH(628, 輔助計算!$G$2:$G$801, 0)+1))&lt;=31,3,IF(INDEX(ERP資料!$G:$G, (MATCH(628, 輔助計算!$G$2:$G$801, 0)+1))&lt;=46.5,2,1)), IF(INDEX(ERP資料!$G:$G, (MATCH(628, 輔助計算!$G$2:$G$801, 0)+1))&lt;=790,3,IF(INDEX(ERP資料!$G:$G, (MATCH(628, 輔助計算!$G$2:$G$801, 0)+1))&lt;=1181,2,1))))=1,TEXT(INDEX(ERP資料!$G:$G, (MATCH(628, 輔助計算!$G$2:$G$801, 0)+1)),"0.##"),IF(MOD(INDEX(輔助計算!$D:$D, (MATCH(628, 輔助計算!$G$2:$G$801, 0)+1)),IF(INDEX(ERP資料!$G:$G, (MATCH(628, 輔助計算!$G$2:$G$801, 0)+1))&lt;100, IF(INDEX(ERP資料!$G:$G, (MATCH(628, 輔助計算!$G$2:$G$801, 0)+1))&lt;=31,3,IF(INDEX(ERP資料!$G:$G, (MATCH(628, 輔助計算!$G$2:$G$801, 0)+1))&lt;=46.5,2,1)), IF(INDEX(ERP資料!$G:$G, (MATCH(628, 輔助計算!$G$2:$G$801, 0)+1))&lt;=790,3,IF(INDEX(ERP資料!$G:$G, (MATCH(628, 輔助計算!$G$2:$G$801, 0)+1))&lt;=1181,2,1))))=2,TEXT(INDEX(ERP資料!$G:$G, (MATCH(628, 輔助計算!$G$2:$G$801, 0)+1)),"0.##")&amp;"+"&amp;TEXT(INDEX(ERP資料!$G:$G, (MATCH(628, 輔助計算!$G$2:$G$801, 0)+1)),"0.##"),TEXT(INDEX(ERP資料!$G:$G, (MATCH(628, 輔助計算!$G$2:$G$801, 0)+1)),"0.##")&amp;"+"&amp;TEXT(INDEX(ERP資料!$G:$G, (MATCH(628, 輔助計算!$G$2:$G$801, 0)+1)),"0.##")&amp;"+"&amp;TEXT(INDEX(ERP資料!$G:$G, (MATCH(628, 輔助計算!$G$2:$G$801, 0)+1)),"0.##"))))&amp;"-1")), ""), "")</f>
        <v/>
      </c>
      <c r="K629" s="16" t="n"/>
      <c r="L629" s="14">
        <f>IFERROR(IF(AND(IFERROR(INDEX(ERP資料!$A:$A, (MATCH(628, 輔助計算!$G$2:$G$801, 0)+1)), "")&lt;&gt;"", IFERROR(INDEX(ERP資料!$A:$A, (MATCH(628, 輔助計算!$G$2:$G$801, 0)+1)), "")&lt;&gt;IFERROR(INDEX(ERP資料!$A:$A, MATCH(627, 輔助計算!$G$2:$G$801, 0)+1), "")), INDEX(ERP資料!$B:$B, (MATCH(628, 輔助計算!$G$2:$G$801, 0)+1)), ""), "")</f>
        <v/>
      </c>
      <c r="M629" s="17" t="n"/>
    </row>
    <row r="630">
      <c r="A630" s="10">
        <f>IFERROR(IF(AND(IFERROR(INDEX(ERP資料!$A:$A, (MATCH(629, 輔助計算!$G$2:$G$801, 0)+1)), "")&lt;&gt;"", IFERROR(INDEX(ERP資料!$A:$A, (MATCH(629, 輔助計算!$G$2:$G$801, 0)+1)), "")&lt;&gt;IFERROR(INDEX(ERP資料!$A:$A, MATCH(628, 輔助計算!$G$2:$G$801, 0)+1), "")), IFERROR(INDEX(ERP資料!$A:$A, (MATCH(629, 輔助計算!$G$2:$G$801, 0)+1)), ""), ""), "")</f>
        <v/>
      </c>
      <c r="B630" s="10">
        <f>IFERROR(IF(AND(IFERROR(INDEX(ERP資料!$A:$A, (MATCH(629, 輔助計算!$G$2:$G$801, 0)+1)), "")&lt;&gt;"", IFERROR(INDEX(ERP資料!$A:$A, (MATCH(629, 輔助計算!$G$2:$G$801, 0)+1)), "")&lt;&gt;IFERROR(INDEX(ERP資料!$A:$A, MATCH(628, 輔助計算!$G$2:$G$801, 0)+1), "")), INDEX(ERP資料!$S:$S, (MATCH(629, 輔助計算!$G$2:$G$801, 0)+1)), ""), "")</f>
        <v/>
      </c>
      <c r="C630" s="19">
        <f>IFERROR(IF(AND(IFERROR(INDEX(ERP資料!$A:$A, (MATCH(629, 輔助計算!$G$2:$G$801, 0)+1)), "")&lt;&gt;"", IFERROR(INDEX(ERP資料!$A:$A, (MATCH(629, 輔助計算!$G$2:$G$801, 0)+1)), "")&lt;&gt;IFERROR(INDEX(ERP資料!$A:$A, MATCH(628, 輔助計算!$G$2:$G$801, 0)+1), "")), IFERROR(VLOOKUP(LEFT(INDEX(ERP資料!$S:$S, (MATCH(629, 輔助計算!$G$2:$G$801, 0)+1)), 4), 紙管對照表!$A:$C, 3, FALSE), ""), ""), "")</f>
        <v/>
      </c>
      <c r="D630" s="16" t="n"/>
      <c r="E630" s="10">
        <f>IFERROR(IF(INDEX(ERP資料!$H:$H, (MATCH(629, 輔助計算!$G$2:$G$801, 0)+1))="","",INDEX(ERP資料!$H:$H, (MATCH(629, 輔助計算!$G$2:$G$801, 0)+1))), "")</f>
        <v/>
      </c>
      <c r="F630" s="10">
        <f>IFERROR(IF(INDEX(ERP資料!$E:$E, (MATCH(629, 輔助計算!$G$2:$G$801, 0)+1))="","",TRIM(INDEX(ERP資料!$E:$E, (MATCH(629, 輔助計算!$G$2:$G$801, 0)+1)))), "")</f>
        <v/>
      </c>
      <c r="G630" s="10">
        <f>IFERROR(IF(INDEX(ERP資料!$F:$F, (MATCH(629, 輔助計算!$G$2:$G$801, 0)+1))="","",INDEX(ERP資料!$F:$F, (MATCH(629, 輔助計算!$G$2:$G$801, 0)+1))), "")</f>
        <v/>
      </c>
      <c r="H630" s="10">
        <f>IFERROR(IF(INDEX(ERP資料!$G:$G, (MATCH(629, 輔助計算!$G$2:$G$801, 0)+1))="","",INDEX(ERP資料!$G:$G, (MATCH(629, 輔助計算!$G$2:$G$801, 0)+1))), "")</f>
        <v/>
      </c>
      <c r="I630" s="15">
        <f>IFERROR(INDEX(輔助計算!$D:$D, (MATCH(629, 輔助計算!$G$2:$G$801, 0)+1)), "")</f>
        <v/>
      </c>
      <c r="J630" s="15">
        <f>IFERROR(IF(AND(INDEX(輔助計算!$D:$D, (MATCH(629, 輔助計算!$G$2:$G$801, 0)+1))&lt;&gt;"", INDEX(ERP資料!$G:$G, (MATCH(629, 輔助計算!$G$2:$G$801, 0)+1))&lt;&gt;""), TRIM(IF(INT(INDEX(輔助計算!$D:$D, (MATCH(629, 輔助計算!$G$2:$G$801, 0)+1))/IF(INDEX(ERP資料!$G:$G, (MATCH(629, 輔助計算!$G$2:$G$801, 0)+1))&lt;100, IF(INDEX(ERP資料!$G:$G, (MATCH(629, 輔助計算!$G$2:$G$801, 0)+1))&lt;=31,3,IF(INDEX(ERP資料!$G:$G, (MATCH(629, 輔助計算!$G$2:$G$801, 0)+1))&lt;=46.5,2,1)), IF(INDEX(ERP資料!$G:$G, (MATCH(629, 輔助計算!$G$2:$G$801, 0)+1))&lt;=790,3,IF(INDEX(ERP資料!$G:$G, (MATCH(629, 輔助計算!$G$2:$G$801, 0)+1))&lt;=1181,2,1))))&gt;0, IF(IF(INDEX(ERP資料!$G:$G, (MATCH(629, 輔助計算!$G$2:$G$801, 0)+1))&lt;100, IF(INDEX(ERP資料!$G:$G, (MATCH(629, 輔助計算!$G$2:$G$801, 0)+1))&lt;=31,3,IF(INDEX(ERP資料!$G:$G, (MATCH(629, 輔助計算!$G$2:$G$801, 0)+1))&lt;=46.5,2,1)), IF(INDEX(ERP資料!$G:$G, (MATCH(629, 輔助計算!$G$2:$G$801, 0)+1))&lt;=790,3,IF(INDEX(ERP資料!$G:$G, (MATCH(629, 輔助計算!$G$2:$G$801, 0)+1))&lt;=1181,2,1)))=1,TEXT(INDEX(ERP資料!$G:$G, (MATCH(629, 輔助計算!$G$2:$G$801, 0)+1)),"0.##"),IF(IF(INDEX(ERP資料!$G:$G, (MATCH(629, 輔助計算!$G$2:$G$801, 0)+1))&lt;100, IF(INDEX(ERP資料!$G:$G, (MATCH(629, 輔助計算!$G$2:$G$801, 0)+1))&lt;=31,3,IF(INDEX(ERP資料!$G:$G, (MATCH(629, 輔助計算!$G$2:$G$801, 0)+1))&lt;=46.5,2,1)), IF(INDEX(ERP資料!$G:$G, (MATCH(629, 輔助計算!$G$2:$G$801, 0)+1))&lt;=790,3,IF(INDEX(ERP資料!$G:$G, (MATCH(629, 輔助計算!$G$2:$G$801, 0)+1))&lt;=1181,2,1)))=2,TEXT(INDEX(ERP資料!$G:$G, (MATCH(629, 輔助計算!$G$2:$G$801, 0)+1)),"0.##")&amp;"+"&amp;TEXT(INDEX(ERP資料!$G:$G, (MATCH(629, 輔助計算!$G$2:$G$801, 0)+1)),"0.##"),TEXT(INDEX(ERP資料!$G:$G, (MATCH(629, 輔助計算!$G$2:$G$801, 0)+1)),"0.##")&amp;"+"&amp;TEXT(INDEX(ERP資料!$G:$G, (MATCH(629, 輔助計算!$G$2:$G$801, 0)+1)),"0.##")&amp;"+"&amp;TEXT(INDEX(ERP資料!$G:$G, (MATCH(629, 輔助計算!$G$2:$G$801, 0)+1)),"0.##")))&amp;"-"&amp;INT(INDEX(輔助計算!$D:$D, (MATCH(629, 輔助計算!$G$2:$G$801, 0)+1))/IF(INDEX(ERP資料!$G:$G, (MATCH(629, 輔助計算!$G$2:$G$801, 0)+1))&lt;100, IF(INDEX(ERP資料!$G:$G, (MATCH(629, 輔助計算!$G$2:$G$801, 0)+1))&lt;=31,3,IF(INDEX(ERP資料!$G:$G, (MATCH(629, 輔助計算!$G$2:$G$801, 0)+1))&lt;=46.5,2,1)), IF(INDEX(ERP資料!$G:$G, (MATCH(629, 輔助計算!$G$2:$G$801, 0)+1))&lt;=790,3,IF(INDEX(ERP資料!$G:$G, (MATCH(629, 輔助計算!$G$2:$G$801, 0)+1))&lt;=1181,2,1)))), "")&amp;IF(AND(IF(INT(INDEX(輔助計算!$D:$D, (MATCH(629, 輔助計算!$G$2:$G$801, 0)+1))/IF(INDEX(ERP資料!$G:$G, (MATCH(629, 輔助計算!$G$2:$G$801, 0)+1))&lt;100, IF(INDEX(ERP資料!$G:$G, (MATCH(629, 輔助計算!$G$2:$G$801, 0)+1))&lt;=31,3,IF(INDEX(ERP資料!$G:$G, (MATCH(629, 輔助計算!$G$2:$G$801, 0)+1))&lt;=46.5,2,1)), IF(INDEX(ERP資料!$G:$G, (MATCH(629, 輔助計算!$G$2:$G$801, 0)+1))&lt;=790,3,IF(INDEX(ERP資料!$G:$G, (MATCH(629, 輔助計算!$G$2:$G$801, 0)+1))&lt;=1181,2,1))))&gt;0, IF(IF(INDEX(ERP資料!$G:$G, (MATCH(629, 輔助計算!$G$2:$G$801, 0)+1))&lt;100, IF(INDEX(ERP資料!$G:$G, (MATCH(629, 輔助計算!$G$2:$G$801, 0)+1))&lt;=31,3,IF(INDEX(ERP資料!$G:$G, (MATCH(629, 輔助計算!$G$2:$G$801, 0)+1))&lt;=46.5,2,1)), IF(INDEX(ERP資料!$G:$G, (MATCH(629, 輔助計算!$G$2:$G$801, 0)+1))&lt;=790,3,IF(INDEX(ERP資料!$G:$G, (MATCH(629, 輔助計算!$G$2:$G$801, 0)+1))&lt;=1181,2,1)))=1,TEXT(INDEX(ERP資料!$G:$G, (MATCH(629, 輔助計算!$G$2:$G$801, 0)+1)),"0.##"),IF(IF(INDEX(ERP資料!$G:$G, (MATCH(629, 輔助計算!$G$2:$G$801, 0)+1))&lt;100, IF(INDEX(ERP資料!$G:$G, (MATCH(629, 輔助計算!$G$2:$G$801, 0)+1))&lt;=31,3,IF(INDEX(ERP資料!$G:$G, (MATCH(629, 輔助計算!$G$2:$G$801, 0)+1))&lt;=46.5,2,1)), IF(INDEX(ERP資料!$G:$G, (MATCH(629, 輔助計算!$G$2:$G$801, 0)+1))&lt;=790,3,IF(INDEX(ERP資料!$G:$G, (MATCH(629, 輔助計算!$G$2:$G$801, 0)+1))&lt;=1181,2,1)))=2,TEXT(INDEX(ERP資料!$G:$G, (MATCH(629, 輔助計算!$G$2:$G$801, 0)+1)),"0.##")&amp;"+"&amp;TEXT(INDEX(ERP資料!$G:$G, (MATCH(629, 輔助計算!$G$2:$G$801, 0)+1)),"0.##"),TEXT(INDEX(ERP資料!$G:$G, (MATCH(629, 輔助計算!$G$2:$G$801, 0)+1)),"0.##")&amp;"+"&amp;TEXT(INDEX(ERP資料!$G:$G, (MATCH(629, 輔助計算!$G$2:$G$801, 0)+1)),"0.##")&amp;"+"&amp;TEXT(INDEX(ERP資料!$G:$G, (MATCH(629, 輔助計算!$G$2:$G$801, 0)+1)),"0.##")))&amp;"-"&amp;INT(INDEX(輔助計算!$D:$D, (MATCH(629, 輔助計算!$G$2:$G$801, 0)+1))/IF(INDEX(ERP資料!$G:$G, (MATCH(629, 輔助計算!$G$2:$G$801, 0)+1))&lt;100, IF(INDEX(ERP資料!$G:$G, (MATCH(629, 輔助計算!$G$2:$G$801, 0)+1))&lt;=31,3,IF(INDEX(ERP資料!$G:$G, (MATCH(629, 輔助計算!$G$2:$G$801, 0)+1))&lt;=46.5,2,1)), IF(INDEX(ERP資料!$G:$G, (MATCH(629, 輔助計算!$G$2:$G$801, 0)+1))&lt;=790,3,IF(INDEX(ERP資料!$G:$G, (MATCH(629, 輔助計算!$G$2:$G$801, 0)+1))&lt;=1181,2,1)))), "")&lt;&gt;"",IF(MOD(INDEX(輔助計算!$D:$D, (MATCH(629, 輔助計算!$G$2:$G$801, 0)+1)),IF(INDEX(ERP資料!$G:$G, (MATCH(629, 輔助計算!$G$2:$G$801, 0)+1))&lt;100, IF(INDEX(ERP資料!$G:$G, (MATCH(629, 輔助計算!$G$2:$G$801, 0)+1))&lt;=31,3,IF(INDEX(ERP資料!$G:$G, (MATCH(629, 輔助計算!$G$2:$G$801, 0)+1))&lt;=46.5,2,1)), IF(INDEX(ERP資料!$G:$G, (MATCH(629, 輔助計算!$G$2:$G$801, 0)+1))&lt;=790,3,IF(INDEX(ERP資料!$G:$G, (MATCH(629, 輔助計算!$G$2:$G$801, 0)+1))&lt;=1181,2,1))))=0,"",IF(MOD(INDEX(輔助計算!$D:$D, (MATCH(629, 輔助計算!$G$2:$G$801, 0)+1)),IF(INDEX(ERP資料!$G:$G, (MATCH(629, 輔助計算!$G$2:$G$801, 0)+1))&lt;100, IF(INDEX(ERP資料!$G:$G, (MATCH(629, 輔助計算!$G$2:$G$801, 0)+1))&lt;=31,3,IF(INDEX(ERP資料!$G:$G, (MATCH(629, 輔助計算!$G$2:$G$801, 0)+1))&lt;=46.5,2,1)), IF(INDEX(ERP資料!$G:$G, (MATCH(629, 輔助計算!$G$2:$G$801, 0)+1))&lt;=790,3,IF(INDEX(ERP資料!$G:$G, (MATCH(629, 輔助計算!$G$2:$G$801, 0)+1))&lt;=1181,2,1))))=0,"",IF(MOD(INDEX(輔助計算!$D:$D, (MATCH(629, 輔助計算!$G$2:$G$801, 0)+1)),IF(INDEX(ERP資料!$G:$G, (MATCH(629, 輔助計算!$G$2:$G$801, 0)+1))&lt;100, IF(INDEX(ERP資料!$G:$G, (MATCH(629, 輔助計算!$G$2:$G$801, 0)+1))&lt;=31,3,IF(INDEX(ERP資料!$G:$G, (MATCH(629, 輔助計算!$G$2:$G$801, 0)+1))&lt;=46.5,2,1)), IF(INDEX(ERP資料!$G:$G, (MATCH(629, 輔助計算!$G$2:$G$801, 0)+1))&lt;=790,3,IF(INDEX(ERP資料!$G:$G, (MATCH(629, 輔助計算!$G$2:$G$801, 0)+1))&lt;=1181,2,1))))=1,TEXT(INDEX(ERP資料!$G:$G, (MATCH(629, 輔助計算!$G$2:$G$801, 0)+1)),"0.##"),IF(MOD(INDEX(輔助計算!$D:$D, (MATCH(629, 輔助計算!$G$2:$G$801, 0)+1)),IF(INDEX(ERP資料!$G:$G, (MATCH(629, 輔助計算!$G$2:$G$801, 0)+1))&lt;100, IF(INDEX(ERP資料!$G:$G, (MATCH(629, 輔助計算!$G$2:$G$801, 0)+1))&lt;=31,3,IF(INDEX(ERP資料!$G:$G, (MATCH(629, 輔助計算!$G$2:$G$801, 0)+1))&lt;=46.5,2,1)), IF(INDEX(ERP資料!$G:$G, (MATCH(629, 輔助計算!$G$2:$G$801, 0)+1))&lt;=790,3,IF(INDEX(ERP資料!$G:$G, (MATCH(629, 輔助計算!$G$2:$G$801, 0)+1))&lt;=1181,2,1))))=2,TEXT(INDEX(ERP資料!$G:$G, (MATCH(629, 輔助計算!$G$2:$G$801, 0)+1)),"0.##")&amp;"+"&amp;TEXT(INDEX(ERP資料!$G:$G, (MATCH(629, 輔助計算!$G$2:$G$801, 0)+1)),"0.##"),TEXT(INDEX(ERP資料!$G:$G, (MATCH(629, 輔助計算!$G$2:$G$801, 0)+1)),"0.##")&amp;"+"&amp;TEXT(INDEX(ERP資料!$G:$G, (MATCH(629, 輔助計算!$G$2:$G$801, 0)+1)),"0.##")&amp;"+"&amp;TEXT(INDEX(ERP資料!$G:$G, (MATCH(629, 輔助計算!$G$2:$G$801, 0)+1)),"0.##"))))&amp;"-1")&lt;&gt;""),"  ","")&amp;IF(MOD(INDEX(輔助計算!$D:$D, (MATCH(629, 輔助計算!$G$2:$G$801, 0)+1)),IF(INDEX(ERP資料!$G:$G, (MATCH(629, 輔助計算!$G$2:$G$801, 0)+1))&lt;100, IF(INDEX(ERP資料!$G:$G, (MATCH(629, 輔助計算!$G$2:$G$801, 0)+1))&lt;=31,3,IF(INDEX(ERP資料!$G:$G, (MATCH(629, 輔助計算!$G$2:$G$801, 0)+1))&lt;=46.5,2,1)), IF(INDEX(ERP資料!$G:$G, (MATCH(629, 輔助計算!$G$2:$G$801, 0)+1))&lt;=790,3,IF(INDEX(ERP資料!$G:$G, (MATCH(629, 輔助計算!$G$2:$G$801, 0)+1))&lt;=1181,2,1))))=0,"",IF(MOD(INDEX(輔助計算!$D:$D, (MATCH(629, 輔助計算!$G$2:$G$801, 0)+1)),IF(INDEX(ERP資料!$G:$G, (MATCH(629, 輔助計算!$G$2:$G$801, 0)+1))&lt;100, IF(INDEX(ERP資料!$G:$G, (MATCH(629, 輔助計算!$G$2:$G$801, 0)+1))&lt;=31,3,IF(INDEX(ERP資料!$G:$G, (MATCH(629, 輔助計算!$G$2:$G$801, 0)+1))&lt;=46.5,2,1)), IF(INDEX(ERP資料!$G:$G, (MATCH(629, 輔助計算!$G$2:$G$801, 0)+1))&lt;=790,3,IF(INDEX(ERP資料!$G:$G, (MATCH(629, 輔助計算!$G$2:$G$801, 0)+1))&lt;=1181,2,1))))=0,"",IF(MOD(INDEX(輔助計算!$D:$D, (MATCH(629, 輔助計算!$G$2:$G$801, 0)+1)),IF(INDEX(ERP資料!$G:$G, (MATCH(629, 輔助計算!$G$2:$G$801, 0)+1))&lt;100, IF(INDEX(ERP資料!$G:$G, (MATCH(629, 輔助計算!$G$2:$G$801, 0)+1))&lt;=31,3,IF(INDEX(ERP資料!$G:$G, (MATCH(629, 輔助計算!$G$2:$G$801, 0)+1))&lt;=46.5,2,1)), IF(INDEX(ERP資料!$G:$G, (MATCH(629, 輔助計算!$G$2:$G$801, 0)+1))&lt;=790,3,IF(INDEX(ERP資料!$G:$G, (MATCH(629, 輔助計算!$G$2:$G$801, 0)+1))&lt;=1181,2,1))))=1,TEXT(INDEX(ERP資料!$G:$G, (MATCH(629, 輔助計算!$G$2:$G$801, 0)+1)),"0.##"),IF(MOD(INDEX(輔助計算!$D:$D, (MATCH(629, 輔助計算!$G$2:$G$801, 0)+1)),IF(INDEX(ERP資料!$G:$G, (MATCH(629, 輔助計算!$G$2:$G$801, 0)+1))&lt;100, IF(INDEX(ERP資料!$G:$G, (MATCH(629, 輔助計算!$G$2:$G$801, 0)+1))&lt;=31,3,IF(INDEX(ERP資料!$G:$G, (MATCH(629, 輔助計算!$G$2:$G$801, 0)+1))&lt;=46.5,2,1)), IF(INDEX(ERP資料!$G:$G, (MATCH(629, 輔助計算!$G$2:$G$801, 0)+1))&lt;=790,3,IF(INDEX(ERP資料!$G:$G, (MATCH(629, 輔助計算!$G$2:$G$801, 0)+1))&lt;=1181,2,1))))=2,TEXT(INDEX(ERP資料!$G:$G, (MATCH(629, 輔助計算!$G$2:$G$801, 0)+1)),"0.##")&amp;"+"&amp;TEXT(INDEX(ERP資料!$G:$G, (MATCH(629, 輔助計算!$G$2:$G$801, 0)+1)),"0.##"),TEXT(INDEX(ERP資料!$G:$G, (MATCH(629, 輔助計算!$G$2:$G$801, 0)+1)),"0.##")&amp;"+"&amp;TEXT(INDEX(ERP資料!$G:$G, (MATCH(629, 輔助計算!$G$2:$G$801, 0)+1)),"0.##")&amp;"+"&amp;TEXT(INDEX(ERP資料!$G:$G, (MATCH(629, 輔助計算!$G$2:$G$801, 0)+1)),"0.##"))))&amp;"-1")), ""), "")</f>
        <v/>
      </c>
      <c r="K630" s="16" t="n"/>
      <c r="L630" s="14">
        <f>IFERROR(IF(AND(IFERROR(INDEX(ERP資料!$A:$A, (MATCH(629, 輔助計算!$G$2:$G$801, 0)+1)), "")&lt;&gt;"", IFERROR(INDEX(ERP資料!$A:$A, (MATCH(629, 輔助計算!$G$2:$G$801, 0)+1)), "")&lt;&gt;IFERROR(INDEX(ERP資料!$A:$A, MATCH(628, 輔助計算!$G$2:$G$801, 0)+1), "")), INDEX(ERP資料!$B:$B, (MATCH(629, 輔助計算!$G$2:$G$801, 0)+1)), ""), "")</f>
        <v/>
      </c>
      <c r="M630" s="17" t="n"/>
    </row>
    <row r="631">
      <c r="A631" s="10">
        <f>IFERROR(IF(AND(IFERROR(INDEX(ERP資料!$A:$A, (MATCH(630, 輔助計算!$G$2:$G$801, 0)+1)), "")&lt;&gt;"", IFERROR(INDEX(ERP資料!$A:$A, (MATCH(630, 輔助計算!$G$2:$G$801, 0)+1)), "")&lt;&gt;IFERROR(INDEX(ERP資料!$A:$A, MATCH(629, 輔助計算!$G$2:$G$801, 0)+1), "")), IFERROR(INDEX(ERP資料!$A:$A, (MATCH(630, 輔助計算!$G$2:$G$801, 0)+1)), ""), ""), "")</f>
        <v/>
      </c>
      <c r="B631" s="10">
        <f>IFERROR(IF(AND(IFERROR(INDEX(ERP資料!$A:$A, (MATCH(630, 輔助計算!$G$2:$G$801, 0)+1)), "")&lt;&gt;"", IFERROR(INDEX(ERP資料!$A:$A, (MATCH(630, 輔助計算!$G$2:$G$801, 0)+1)), "")&lt;&gt;IFERROR(INDEX(ERP資料!$A:$A, MATCH(629, 輔助計算!$G$2:$G$801, 0)+1), "")), INDEX(ERP資料!$S:$S, (MATCH(630, 輔助計算!$G$2:$G$801, 0)+1)), ""), "")</f>
        <v/>
      </c>
      <c r="C631" s="19">
        <f>IFERROR(IF(AND(IFERROR(INDEX(ERP資料!$A:$A, (MATCH(630, 輔助計算!$G$2:$G$801, 0)+1)), "")&lt;&gt;"", IFERROR(INDEX(ERP資料!$A:$A, (MATCH(630, 輔助計算!$G$2:$G$801, 0)+1)), "")&lt;&gt;IFERROR(INDEX(ERP資料!$A:$A, MATCH(629, 輔助計算!$G$2:$G$801, 0)+1), "")), IFERROR(VLOOKUP(LEFT(INDEX(ERP資料!$S:$S, (MATCH(630, 輔助計算!$G$2:$G$801, 0)+1)), 4), 紙管對照表!$A:$C, 3, FALSE), ""), ""), "")</f>
        <v/>
      </c>
      <c r="D631" s="16" t="n"/>
      <c r="E631" s="10">
        <f>IFERROR(IF(INDEX(ERP資料!$H:$H, (MATCH(630, 輔助計算!$G$2:$G$801, 0)+1))="","",INDEX(ERP資料!$H:$H, (MATCH(630, 輔助計算!$G$2:$G$801, 0)+1))), "")</f>
        <v/>
      </c>
      <c r="F631" s="10">
        <f>IFERROR(IF(INDEX(ERP資料!$E:$E, (MATCH(630, 輔助計算!$G$2:$G$801, 0)+1))="","",TRIM(INDEX(ERP資料!$E:$E, (MATCH(630, 輔助計算!$G$2:$G$801, 0)+1)))), "")</f>
        <v/>
      </c>
      <c r="G631" s="10">
        <f>IFERROR(IF(INDEX(ERP資料!$F:$F, (MATCH(630, 輔助計算!$G$2:$G$801, 0)+1))="","",INDEX(ERP資料!$F:$F, (MATCH(630, 輔助計算!$G$2:$G$801, 0)+1))), "")</f>
        <v/>
      </c>
      <c r="H631" s="10">
        <f>IFERROR(IF(INDEX(ERP資料!$G:$G, (MATCH(630, 輔助計算!$G$2:$G$801, 0)+1))="","",INDEX(ERP資料!$G:$G, (MATCH(630, 輔助計算!$G$2:$G$801, 0)+1))), "")</f>
        <v/>
      </c>
      <c r="I631" s="15">
        <f>IFERROR(INDEX(輔助計算!$D:$D, (MATCH(630, 輔助計算!$G$2:$G$801, 0)+1)), "")</f>
        <v/>
      </c>
      <c r="J631" s="15">
        <f>IFERROR(IF(AND(INDEX(輔助計算!$D:$D, (MATCH(630, 輔助計算!$G$2:$G$801, 0)+1))&lt;&gt;"", INDEX(ERP資料!$G:$G, (MATCH(630, 輔助計算!$G$2:$G$801, 0)+1))&lt;&gt;""), TRIM(IF(INT(INDEX(輔助計算!$D:$D, (MATCH(630, 輔助計算!$G$2:$G$801, 0)+1))/IF(INDEX(ERP資料!$G:$G, (MATCH(630, 輔助計算!$G$2:$G$801, 0)+1))&lt;100, IF(INDEX(ERP資料!$G:$G, (MATCH(630, 輔助計算!$G$2:$G$801, 0)+1))&lt;=31,3,IF(INDEX(ERP資料!$G:$G, (MATCH(630, 輔助計算!$G$2:$G$801, 0)+1))&lt;=46.5,2,1)), IF(INDEX(ERP資料!$G:$G, (MATCH(630, 輔助計算!$G$2:$G$801, 0)+1))&lt;=790,3,IF(INDEX(ERP資料!$G:$G, (MATCH(630, 輔助計算!$G$2:$G$801, 0)+1))&lt;=1181,2,1))))&gt;0, IF(IF(INDEX(ERP資料!$G:$G, (MATCH(630, 輔助計算!$G$2:$G$801, 0)+1))&lt;100, IF(INDEX(ERP資料!$G:$G, (MATCH(630, 輔助計算!$G$2:$G$801, 0)+1))&lt;=31,3,IF(INDEX(ERP資料!$G:$G, (MATCH(630, 輔助計算!$G$2:$G$801, 0)+1))&lt;=46.5,2,1)), IF(INDEX(ERP資料!$G:$G, (MATCH(630, 輔助計算!$G$2:$G$801, 0)+1))&lt;=790,3,IF(INDEX(ERP資料!$G:$G, (MATCH(630, 輔助計算!$G$2:$G$801, 0)+1))&lt;=1181,2,1)))=1,TEXT(INDEX(ERP資料!$G:$G, (MATCH(630, 輔助計算!$G$2:$G$801, 0)+1)),"0.##"),IF(IF(INDEX(ERP資料!$G:$G, (MATCH(630, 輔助計算!$G$2:$G$801, 0)+1))&lt;100, IF(INDEX(ERP資料!$G:$G, (MATCH(630, 輔助計算!$G$2:$G$801, 0)+1))&lt;=31,3,IF(INDEX(ERP資料!$G:$G, (MATCH(630, 輔助計算!$G$2:$G$801, 0)+1))&lt;=46.5,2,1)), IF(INDEX(ERP資料!$G:$G, (MATCH(630, 輔助計算!$G$2:$G$801, 0)+1))&lt;=790,3,IF(INDEX(ERP資料!$G:$G, (MATCH(630, 輔助計算!$G$2:$G$801, 0)+1))&lt;=1181,2,1)))=2,TEXT(INDEX(ERP資料!$G:$G, (MATCH(630, 輔助計算!$G$2:$G$801, 0)+1)),"0.##")&amp;"+"&amp;TEXT(INDEX(ERP資料!$G:$G, (MATCH(630, 輔助計算!$G$2:$G$801, 0)+1)),"0.##"),TEXT(INDEX(ERP資料!$G:$G, (MATCH(630, 輔助計算!$G$2:$G$801, 0)+1)),"0.##")&amp;"+"&amp;TEXT(INDEX(ERP資料!$G:$G, (MATCH(630, 輔助計算!$G$2:$G$801, 0)+1)),"0.##")&amp;"+"&amp;TEXT(INDEX(ERP資料!$G:$G, (MATCH(630, 輔助計算!$G$2:$G$801, 0)+1)),"0.##")))&amp;"-"&amp;INT(INDEX(輔助計算!$D:$D, (MATCH(630, 輔助計算!$G$2:$G$801, 0)+1))/IF(INDEX(ERP資料!$G:$G, (MATCH(630, 輔助計算!$G$2:$G$801, 0)+1))&lt;100, IF(INDEX(ERP資料!$G:$G, (MATCH(630, 輔助計算!$G$2:$G$801, 0)+1))&lt;=31,3,IF(INDEX(ERP資料!$G:$G, (MATCH(630, 輔助計算!$G$2:$G$801, 0)+1))&lt;=46.5,2,1)), IF(INDEX(ERP資料!$G:$G, (MATCH(630, 輔助計算!$G$2:$G$801, 0)+1))&lt;=790,3,IF(INDEX(ERP資料!$G:$G, (MATCH(630, 輔助計算!$G$2:$G$801, 0)+1))&lt;=1181,2,1)))), "")&amp;IF(AND(IF(INT(INDEX(輔助計算!$D:$D, (MATCH(630, 輔助計算!$G$2:$G$801, 0)+1))/IF(INDEX(ERP資料!$G:$G, (MATCH(630, 輔助計算!$G$2:$G$801, 0)+1))&lt;100, IF(INDEX(ERP資料!$G:$G, (MATCH(630, 輔助計算!$G$2:$G$801, 0)+1))&lt;=31,3,IF(INDEX(ERP資料!$G:$G, (MATCH(630, 輔助計算!$G$2:$G$801, 0)+1))&lt;=46.5,2,1)), IF(INDEX(ERP資料!$G:$G, (MATCH(630, 輔助計算!$G$2:$G$801, 0)+1))&lt;=790,3,IF(INDEX(ERP資料!$G:$G, (MATCH(630, 輔助計算!$G$2:$G$801, 0)+1))&lt;=1181,2,1))))&gt;0, IF(IF(INDEX(ERP資料!$G:$G, (MATCH(630, 輔助計算!$G$2:$G$801, 0)+1))&lt;100, IF(INDEX(ERP資料!$G:$G, (MATCH(630, 輔助計算!$G$2:$G$801, 0)+1))&lt;=31,3,IF(INDEX(ERP資料!$G:$G, (MATCH(630, 輔助計算!$G$2:$G$801, 0)+1))&lt;=46.5,2,1)), IF(INDEX(ERP資料!$G:$G, (MATCH(630, 輔助計算!$G$2:$G$801, 0)+1))&lt;=790,3,IF(INDEX(ERP資料!$G:$G, (MATCH(630, 輔助計算!$G$2:$G$801, 0)+1))&lt;=1181,2,1)))=1,TEXT(INDEX(ERP資料!$G:$G, (MATCH(630, 輔助計算!$G$2:$G$801, 0)+1)),"0.##"),IF(IF(INDEX(ERP資料!$G:$G, (MATCH(630, 輔助計算!$G$2:$G$801, 0)+1))&lt;100, IF(INDEX(ERP資料!$G:$G, (MATCH(630, 輔助計算!$G$2:$G$801, 0)+1))&lt;=31,3,IF(INDEX(ERP資料!$G:$G, (MATCH(630, 輔助計算!$G$2:$G$801, 0)+1))&lt;=46.5,2,1)), IF(INDEX(ERP資料!$G:$G, (MATCH(630, 輔助計算!$G$2:$G$801, 0)+1))&lt;=790,3,IF(INDEX(ERP資料!$G:$G, (MATCH(630, 輔助計算!$G$2:$G$801, 0)+1))&lt;=1181,2,1)))=2,TEXT(INDEX(ERP資料!$G:$G, (MATCH(630, 輔助計算!$G$2:$G$801, 0)+1)),"0.##")&amp;"+"&amp;TEXT(INDEX(ERP資料!$G:$G, (MATCH(630, 輔助計算!$G$2:$G$801, 0)+1)),"0.##"),TEXT(INDEX(ERP資料!$G:$G, (MATCH(630, 輔助計算!$G$2:$G$801, 0)+1)),"0.##")&amp;"+"&amp;TEXT(INDEX(ERP資料!$G:$G, (MATCH(630, 輔助計算!$G$2:$G$801, 0)+1)),"0.##")&amp;"+"&amp;TEXT(INDEX(ERP資料!$G:$G, (MATCH(630, 輔助計算!$G$2:$G$801, 0)+1)),"0.##")))&amp;"-"&amp;INT(INDEX(輔助計算!$D:$D, (MATCH(630, 輔助計算!$G$2:$G$801, 0)+1))/IF(INDEX(ERP資料!$G:$G, (MATCH(630, 輔助計算!$G$2:$G$801, 0)+1))&lt;100, IF(INDEX(ERP資料!$G:$G, (MATCH(630, 輔助計算!$G$2:$G$801, 0)+1))&lt;=31,3,IF(INDEX(ERP資料!$G:$G, (MATCH(630, 輔助計算!$G$2:$G$801, 0)+1))&lt;=46.5,2,1)), IF(INDEX(ERP資料!$G:$G, (MATCH(630, 輔助計算!$G$2:$G$801, 0)+1))&lt;=790,3,IF(INDEX(ERP資料!$G:$G, (MATCH(630, 輔助計算!$G$2:$G$801, 0)+1))&lt;=1181,2,1)))), "")&lt;&gt;"",IF(MOD(INDEX(輔助計算!$D:$D, (MATCH(630, 輔助計算!$G$2:$G$801, 0)+1)),IF(INDEX(ERP資料!$G:$G, (MATCH(630, 輔助計算!$G$2:$G$801, 0)+1))&lt;100, IF(INDEX(ERP資料!$G:$G, (MATCH(630, 輔助計算!$G$2:$G$801, 0)+1))&lt;=31,3,IF(INDEX(ERP資料!$G:$G, (MATCH(630, 輔助計算!$G$2:$G$801, 0)+1))&lt;=46.5,2,1)), IF(INDEX(ERP資料!$G:$G, (MATCH(630, 輔助計算!$G$2:$G$801, 0)+1))&lt;=790,3,IF(INDEX(ERP資料!$G:$G, (MATCH(630, 輔助計算!$G$2:$G$801, 0)+1))&lt;=1181,2,1))))=0,"",IF(MOD(INDEX(輔助計算!$D:$D, (MATCH(630, 輔助計算!$G$2:$G$801, 0)+1)),IF(INDEX(ERP資料!$G:$G, (MATCH(630, 輔助計算!$G$2:$G$801, 0)+1))&lt;100, IF(INDEX(ERP資料!$G:$G, (MATCH(630, 輔助計算!$G$2:$G$801, 0)+1))&lt;=31,3,IF(INDEX(ERP資料!$G:$G, (MATCH(630, 輔助計算!$G$2:$G$801, 0)+1))&lt;=46.5,2,1)), IF(INDEX(ERP資料!$G:$G, (MATCH(630, 輔助計算!$G$2:$G$801, 0)+1))&lt;=790,3,IF(INDEX(ERP資料!$G:$G, (MATCH(630, 輔助計算!$G$2:$G$801, 0)+1))&lt;=1181,2,1))))=0,"",IF(MOD(INDEX(輔助計算!$D:$D, (MATCH(630, 輔助計算!$G$2:$G$801, 0)+1)),IF(INDEX(ERP資料!$G:$G, (MATCH(630, 輔助計算!$G$2:$G$801, 0)+1))&lt;100, IF(INDEX(ERP資料!$G:$G, (MATCH(630, 輔助計算!$G$2:$G$801, 0)+1))&lt;=31,3,IF(INDEX(ERP資料!$G:$G, (MATCH(630, 輔助計算!$G$2:$G$801, 0)+1))&lt;=46.5,2,1)), IF(INDEX(ERP資料!$G:$G, (MATCH(630, 輔助計算!$G$2:$G$801, 0)+1))&lt;=790,3,IF(INDEX(ERP資料!$G:$G, (MATCH(630, 輔助計算!$G$2:$G$801, 0)+1))&lt;=1181,2,1))))=1,TEXT(INDEX(ERP資料!$G:$G, (MATCH(630, 輔助計算!$G$2:$G$801, 0)+1)),"0.##"),IF(MOD(INDEX(輔助計算!$D:$D, (MATCH(630, 輔助計算!$G$2:$G$801, 0)+1)),IF(INDEX(ERP資料!$G:$G, (MATCH(630, 輔助計算!$G$2:$G$801, 0)+1))&lt;100, IF(INDEX(ERP資料!$G:$G, (MATCH(630, 輔助計算!$G$2:$G$801, 0)+1))&lt;=31,3,IF(INDEX(ERP資料!$G:$G, (MATCH(630, 輔助計算!$G$2:$G$801, 0)+1))&lt;=46.5,2,1)), IF(INDEX(ERP資料!$G:$G, (MATCH(630, 輔助計算!$G$2:$G$801, 0)+1))&lt;=790,3,IF(INDEX(ERP資料!$G:$G, (MATCH(630, 輔助計算!$G$2:$G$801, 0)+1))&lt;=1181,2,1))))=2,TEXT(INDEX(ERP資料!$G:$G, (MATCH(630, 輔助計算!$G$2:$G$801, 0)+1)),"0.##")&amp;"+"&amp;TEXT(INDEX(ERP資料!$G:$G, (MATCH(630, 輔助計算!$G$2:$G$801, 0)+1)),"0.##"),TEXT(INDEX(ERP資料!$G:$G, (MATCH(630, 輔助計算!$G$2:$G$801, 0)+1)),"0.##")&amp;"+"&amp;TEXT(INDEX(ERP資料!$G:$G, (MATCH(630, 輔助計算!$G$2:$G$801, 0)+1)),"0.##")&amp;"+"&amp;TEXT(INDEX(ERP資料!$G:$G, (MATCH(630, 輔助計算!$G$2:$G$801, 0)+1)),"0.##"))))&amp;"-1")&lt;&gt;""),"  ","")&amp;IF(MOD(INDEX(輔助計算!$D:$D, (MATCH(630, 輔助計算!$G$2:$G$801, 0)+1)),IF(INDEX(ERP資料!$G:$G, (MATCH(630, 輔助計算!$G$2:$G$801, 0)+1))&lt;100, IF(INDEX(ERP資料!$G:$G, (MATCH(630, 輔助計算!$G$2:$G$801, 0)+1))&lt;=31,3,IF(INDEX(ERP資料!$G:$G, (MATCH(630, 輔助計算!$G$2:$G$801, 0)+1))&lt;=46.5,2,1)), IF(INDEX(ERP資料!$G:$G, (MATCH(630, 輔助計算!$G$2:$G$801, 0)+1))&lt;=790,3,IF(INDEX(ERP資料!$G:$G, (MATCH(630, 輔助計算!$G$2:$G$801, 0)+1))&lt;=1181,2,1))))=0,"",IF(MOD(INDEX(輔助計算!$D:$D, (MATCH(630, 輔助計算!$G$2:$G$801, 0)+1)),IF(INDEX(ERP資料!$G:$G, (MATCH(630, 輔助計算!$G$2:$G$801, 0)+1))&lt;100, IF(INDEX(ERP資料!$G:$G, (MATCH(630, 輔助計算!$G$2:$G$801, 0)+1))&lt;=31,3,IF(INDEX(ERP資料!$G:$G, (MATCH(630, 輔助計算!$G$2:$G$801, 0)+1))&lt;=46.5,2,1)), IF(INDEX(ERP資料!$G:$G, (MATCH(630, 輔助計算!$G$2:$G$801, 0)+1))&lt;=790,3,IF(INDEX(ERP資料!$G:$G, (MATCH(630, 輔助計算!$G$2:$G$801, 0)+1))&lt;=1181,2,1))))=0,"",IF(MOD(INDEX(輔助計算!$D:$D, (MATCH(630, 輔助計算!$G$2:$G$801, 0)+1)),IF(INDEX(ERP資料!$G:$G, (MATCH(630, 輔助計算!$G$2:$G$801, 0)+1))&lt;100, IF(INDEX(ERP資料!$G:$G, (MATCH(630, 輔助計算!$G$2:$G$801, 0)+1))&lt;=31,3,IF(INDEX(ERP資料!$G:$G, (MATCH(630, 輔助計算!$G$2:$G$801, 0)+1))&lt;=46.5,2,1)), IF(INDEX(ERP資料!$G:$G, (MATCH(630, 輔助計算!$G$2:$G$801, 0)+1))&lt;=790,3,IF(INDEX(ERP資料!$G:$G, (MATCH(630, 輔助計算!$G$2:$G$801, 0)+1))&lt;=1181,2,1))))=1,TEXT(INDEX(ERP資料!$G:$G, (MATCH(630, 輔助計算!$G$2:$G$801, 0)+1)),"0.##"),IF(MOD(INDEX(輔助計算!$D:$D, (MATCH(630, 輔助計算!$G$2:$G$801, 0)+1)),IF(INDEX(ERP資料!$G:$G, (MATCH(630, 輔助計算!$G$2:$G$801, 0)+1))&lt;100, IF(INDEX(ERP資料!$G:$G, (MATCH(630, 輔助計算!$G$2:$G$801, 0)+1))&lt;=31,3,IF(INDEX(ERP資料!$G:$G, (MATCH(630, 輔助計算!$G$2:$G$801, 0)+1))&lt;=46.5,2,1)), IF(INDEX(ERP資料!$G:$G, (MATCH(630, 輔助計算!$G$2:$G$801, 0)+1))&lt;=790,3,IF(INDEX(ERP資料!$G:$G, (MATCH(630, 輔助計算!$G$2:$G$801, 0)+1))&lt;=1181,2,1))))=2,TEXT(INDEX(ERP資料!$G:$G, (MATCH(630, 輔助計算!$G$2:$G$801, 0)+1)),"0.##")&amp;"+"&amp;TEXT(INDEX(ERP資料!$G:$G, (MATCH(630, 輔助計算!$G$2:$G$801, 0)+1)),"0.##"),TEXT(INDEX(ERP資料!$G:$G, (MATCH(630, 輔助計算!$G$2:$G$801, 0)+1)),"0.##")&amp;"+"&amp;TEXT(INDEX(ERP資料!$G:$G, (MATCH(630, 輔助計算!$G$2:$G$801, 0)+1)),"0.##")&amp;"+"&amp;TEXT(INDEX(ERP資料!$G:$G, (MATCH(630, 輔助計算!$G$2:$G$801, 0)+1)),"0.##"))))&amp;"-1")), ""), "")</f>
        <v/>
      </c>
      <c r="K631" s="16" t="n"/>
      <c r="L631" s="14">
        <f>IFERROR(IF(AND(IFERROR(INDEX(ERP資料!$A:$A, (MATCH(630, 輔助計算!$G$2:$G$801, 0)+1)), "")&lt;&gt;"", IFERROR(INDEX(ERP資料!$A:$A, (MATCH(630, 輔助計算!$G$2:$G$801, 0)+1)), "")&lt;&gt;IFERROR(INDEX(ERP資料!$A:$A, MATCH(629, 輔助計算!$G$2:$G$801, 0)+1), "")), INDEX(ERP資料!$B:$B, (MATCH(630, 輔助計算!$G$2:$G$801, 0)+1)), ""), "")</f>
        <v/>
      </c>
      <c r="M631" s="17" t="n"/>
    </row>
    <row r="632">
      <c r="A632" s="10">
        <f>IFERROR(IF(AND(IFERROR(INDEX(ERP資料!$A:$A, (MATCH(631, 輔助計算!$G$2:$G$801, 0)+1)), "")&lt;&gt;"", IFERROR(INDEX(ERP資料!$A:$A, (MATCH(631, 輔助計算!$G$2:$G$801, 0)+1)), "")&lt;&gt;IFERROR(INDEX(ERP資料!$A:$A, MATCH(630, 輔助計算!$G$2:$G$801, 0)+1), "")), IFERROR(INDEX(ERP資料!$A:$A, (MATCH(631, 輔助計算!$G$2:$G$801, 0)+1)), ""), ""), "")</f>
        <v/>
      </c>
      <c r="B632" s="10">
        <f>IFERROR(IF(AND(IFERROR(INDEX(ERP資料!$A:$A, (MATCH(631, 輔助計算!$G$2:$G$801, 0)+1)), "")&lt;&gt;"", IFERROR(INDEX(ERP資料!$A:$A, (MATCH(631, 輔助計算!$G$2:$G$801, 0)+1)), "")&lt;&gt;IFERROR(INDEX(ERP資料!$A:$A, MATCH(630, 輔助計算!$G$2:$G$801, 0)+1), "")), INDEX(ERP資料!$S:$S, (MATCH(631, 輔助計算!$G$2:$G$801, 0)+1)), ""), "")</f>
        <v/>
      </c>
      <c r="C632" s="19">
        <f>IFERROR(IF(AND(IFERROR(INDEX(ERP資料!$A:$A, (MATCH(631, 輔助計算!$G$2:$G$801, 0)+1)), "")&lt;&gt;"", IFERROR(INDEX(ERP資料!$A:$A, (MATCH(631, 輔助計算!$G$2:$G$801, 0)+1)), "")&lt;&gt;IFERROR(INDEX(ERP資料!$A:$A, MATCH(630, 輔助計算!$G$2:$G$801, 0)+1), "")), IFERROR(VLOOKUP(LEFT(INDEX(ERP資料!$S:$S, (MATCH(631, 輔助計算!$G$2:$G$801, 0)+1)), 4), 紙管對照表!$A:$C, 3, FALSE), ""), ""), "")</f>
        <v/>
      </c>
      <c r="D632" s="16" t="n"/>
      <c r="E632" s="10">
        <f>IFERROR(IF(INDEX(ERP資料!$H:$H, (MATCH(631, 輔助計算!$G$2:$G$801, 0)+1))="","",INDEX(ERP資料!$H:$H, (MATCH(631, 輔助計算!$G$2:$G$801, 0)+1))), "")</f>
        <v/>
      </c>
      <c r="F632" s="10">
        <f>IFERROR(IF(INDEX(ERP資料!$E:$E, (MATCH(631, 輔助計算!$G$2:$G$801, 0)+1))="","",TRIM(INDEX(ERP資料!$E:$E, (MATCH(631, 輔助計算!$G$2:$G$801, 0)+1)))), "")</f>
        <v/>
      </c>
      <c r="G632" s="10">
        <f>IFERROR(IF(INDEX(ERP資料!$F:$F, (MATCH(631, 輔助計算!$G$2:$G$801, 0)+1))="","",INDEX(ERP資料!$F:$F, (MATCH(631, 輔助計算!$G$2:$G$801, 0)+1))), "")</f>
        <v/>
      </c>
      <c r="H632" s="10">
        <f>IFERROR(IF(INDEX(ERP資料!$G:$G, (MATCH(631, 輔助計算!$G$2:$G$801, 0)+1))="","",INDEX(ERP資料!$G:$G, (MATCH(631, 輔助計算!$G$2:$G$801, 0)+1))), "")</f>
        <v/>
      </c>
      <c r="I632" s="15">
        <f>IFERROR(INDEX(輔助計算!$D:$D, (MATCH(631, 輔助計算!$G$2:$G$801, 0)+1)), "")</f>
        <v/>
      </c>
      <c r="J632" s="15">
        <f>IFERROR(IF(AND(INDEX(輔助計算!$D:$D, (MATCH(631, 輔助計算!$G$2:$G$801, 0)+1))&lt;&gt;"", INDEX(ERP資料!$G:$G, (MATCH(631, 輔助計算!$G$2:$G$801, 0)+1))&lt;&gt;""), TRIM(IF(INT(INDEX(輔助計算!$D:$D, (MATCH(631, 輔助計算!$G$2:$G$801, 0)+1))/IF(INDEX(ERP資料!$G:$G, (MATCH(631, 輔助計算!$G$2:$G$801, 0)+1))&lt;100, IF(INDEX(ERP資料!$G:$G, (MATCH(631, 輔助計算!$G$2:$G$801, 0)+1))&lt;=31,3,IF(INDEX(ERP資料!$G:$G, (MATCH(631, 輔助計算!$G$2:$G$801, 0)+1))&lt;=46.5,2,1)), IF(INDEX(ERP資料!$G:$G, (MATCH(631, 輔助計算!$G$2:$G$801, 0)+1))&lt;=790,3,IF(INDEX(ERP資料!$G:$G, (MATCH(631, 輔助計算!$G$2:$G$801, 0)+1))&lt;=1181,2,1))))&gt;0, IF(IF(INDEX(ERP資料!$G:$G, (MATCH(631, 輔助計算!$G$2:$G$801, 0)+1))&lt;100, IF(INDEX(ERP資料!$G:$G, (MATCH(631, 輔助計算!$G$2:$G$801, 0)+1))&lt;=31,3,IF(INDEX(ERP資料!$G:$G, (MATCH(631, 輔助計算!$G$2:$G$801, 0)+1))&lt;=46.5,2,1)), IF(INDEX(ERP資料!$G:$G, (MATCH(631, 輔助計算!$G$2:$G$801, 0)+1))&lt;=790,3,IF(INDEX(ERP資料!$G:$G, (MATCH(631, 輔助計算!$G$2:$G$801, 0)+1))&lt;=1181,2,1)))=1,TEXT(INDEX(ERP資料!$G:$G, (MATCH(631, 輔助計算!$G$2:$G$801, 0)+1)),"0.##"),IF(IF(INDEX(ERP資料!$G:$G, (MATCH(631, 輔助計算!$G$2:$G$801, 0)+1))&lt;100, IF(INDEX(ERP資料!$G:$G, (MATCH(631, 輔助計算!$G$2:$G$801, 0)+1))&lt;=31,3,IF(INDEX(ERP資料!$G:$G, (MATCH(631, 輔助計算!$G$2:$G$801, 0)+1))&lt;=46.5,2,1)), IF(INDEX(ERP資料!$G:$G, (MATCH(631, 輔助計算!$G$2:$G$801, 0)+1))&lt;=790,3,IF(INDEX(ERP資料!$G:$G, (MATCH(631, 輔助計算!$G$2:$G$801, 0)+1))&lt;=1181,2,1)))=2,TEXT(INDEX(ERP資料!$G:$G, (MATCH(631, 輔助計算!$G$2:$G$801, 0)+1)),"0.##")&amp;"+"&amp;TEXT(INDEX(ERP資料!$G:$G, (MATCH(631, 輔助計算!$G$2:$G$801, 0)+1)),"0.##"),TEXT(INDEX(ERP資料!$G:$G, (MATCH(631, 輔助計算!$G$2:$G$801, 0)+1)),"0.##")&amp;"+"&amp;TEXT(INDEX(ERP資料!$G:$G, (MATCH(631, 輔助計算!$G$2:$G$801, 0)+1)),"0.##")&amp;"+"&amp;TEXT(INDEX(ERP資料!$G:$G, (MATCH(631, 輔助計算!$G$2:$G$801, 0)+1)),"0.##")))&amp;"-"&amp;INT(INDEX(輔助計算!$D:$D, (MATCH(631, 輔助計算!$G$2:$G$801, 0)+1))/IF(INDEX(ERP資料!$G:$G, (MATCH(631, 輔助計算!$G$2:$G$801, 0)+1))&lt;100, IF(INDEX(ERP資料!$G:$G, (MATCH(631, 輔助計算!$G$2:$G$801, 0)+1))&lt;=31,3,IF(INDEX(ERP資料!$G:$G, (MATCH(631, 輔助計算!$G$2:$G$801, 0)+1))&lt;=46.5,2,1)), IF(INDEX(ERP資料!$G:$G, (MATCH(631, 輔助計算!$G$2:$G$801, 0)+1))&lt;=790,3,IF(INDEX(ERP資料!$G:$G, (MATCH(631, 輔助計算!$G$2:$G$801, 0)+1))&lt;=1181,2,1)))), "")&amp;IF(AND(IF(INT(INDEX(輔助計算!$D:$D, (MATCH(631, 輔助計算!$G$2:$G$801, 0)+1))/IF(INDEX(ERP資料!$G:$G, (MATCH(631, 輔助計算!$G$2:$G$801, 0)+1))&lt;100, IF(INDEX(ERP資料!$G:$G, (MATCH(631, 輔助計算!$G$2:$G$801, 0)+1))&lt;=31,3,IF(INDEX(ERP資料!$G:$G, (MATCH(631, 輔助計算!$G$2:$G$801, 0)+1))&lt;=46.5,2,1)), IF(INDEX(ERP資料!$G:$G, (MATCH(631, 輔助計算!$G$2:$G$801, 0)+1))&lt;=790,3,IF(INDEX(ERP資料!$G:$G, (MATCH(631, 輔助計算!$G$2:$G$801, 0)+1))&lt;=1181,2,1))))&gt;0, IF(IF(INDEX(ERP資料!$G:$G, (MATCH(631, 輔助計算!$G$2:$G$801, 0)+1))&lt;100, IF(INDEX(ERP資料!$G:$G, (MATCH(631, 輔助計算!$G$2:$G$801, 0)+1))&lt;=31,3,IF(INDEX(ERP資料!$G:$G, (MATCH(631, 輔助計算!$G$2:$G$801, 0)+1))&lt;=46.5,2,1)), IF(INDEX(ERP資料!$G:$G, (MATCH(631, 輔助計算!$G$2:$G$801, 0)+1))&lt;=790,3,IF(INDEX(ERP資料!$G:$G, (MATCH(631, 輔助計算!$G$2:$G$801, 0)+1))&lt;=1181,2,1)))=1,TEXT(INDEX(ERP資料!$G:$G, (MATCH(631, 輔助計算!$G$2:$G$801, 0)+1)),"0.##"),IF(IF(INDEX(ERP資料!$G:$G, (MATCH(631, 輔助計算!$G$2:$G$801, 0)+1))&lt;100, IF(INDEX(ERP資料!$G:$G, (MATCH(631, 輔助計算!$G$2:$G$801, 0)+1))&lt;=31,3,IF(INDEX(ERP資料!$G:$G, (MATCH(631, 輔助計算!$G$2:$G$801, 0)+1))&lt;=46.5,2,1)), IF(INDEX(ERP資料!$G:$G, (MATCH(631, 輔助計算!$G$2:$G$801, 0)+1))&lt;=790,3,IF(INDEX(ERP資料!$G:$G, (MATCH(631, 輔助計算!$G$2:$G$801, 0)+1))&lt;=1181,2,1)))=2,TEXT(INDEX(ERP資料!$G:$G, (MATCH(631, 輔助計算!$G$2:$G$801, 0)+1)),"0.##")&amp;"+"&amp;TEXT(INDEX(ERP資料!$G:$G, (MATCH(631, 輔助計算!$G$2:$G$801, 0)+1)),"0.##"),TEXT(INDEX(ERP資料!$G:$G, (MATCH(631, 輔助計算!$G$2:$G$801, 0)+1)),"0.##")&amp;"+"&amp;TEXT(INDEX(ERP資料!$G:$G, (MATCH(631, 輔助計算!$G$2:$G$801, 0)+1)),"0.##")&amp;"+"&amp;TEXT(INDEX(ERP資料!$G:$G, (MATCH(631, 輔助計算!$G$2:$G$801, 0)+1)),"0.##")))&amp;"-"&amp;INT(INDEX(輔助計算!$D:$D, (MATCH(631, 輔助計算!$G$2:$G$801, 0)+1))/IF(INDEX(ERP資料!$G:$G, (MATCH(631, 輔助計算!$G$2:$G$801, 0)+1))&lt;100, IF(INDEX(ERP資料!$G:$G, (MATCH(631, 輔助計算!$G$2:$G$801, 0)+1))&lt;=31,3,IF(INDEX(ERP資料!$G:$G, (MATCH(631, 輔助計算!$G$2:$G$801, 0)+1))&lt;=46.5,2,1)), IF(INDEX(ERP資料!$G:$G, (MATCH(631, 輔助計算!$G$2:$G$801, 0)+1))&lt;=790,3,IF(INDEX(ERP資料!$G:$G, (MATCH(631, 輔助計算!$G$2:$G$801, 0)+1))&lt;=1181,2,1)))), "")&lt;&gt;"",IF(MOD(INDEX(輔助計算!$D:$D, (MATCH(631, 輔助計算!$G$2:$G$801, 0)+1)),IF(INDEX(ERP資料!$G:$G, (MATCH(631, 輔助計算!$G$2:$G$801, 0)+1))&lt;100, IF(INDEX(ERP資料!$G:$G, (MATCH(631, 輔助計算!$G$2:$G$801, 0)+1))&lt;=31,3,IF(INDEX(ERP資料!$G:$G, (MATCH(631, 輔助計算!$G$2:$G$801, 0)+1))&lt;=46.5,2,1)), IF(INDEX(ERP資料!$G:$G, (MATCH(631, 輔助計算!$G$2:$G$801, 0)+1))&lt;=790,3,IF(INDEX(ERP資料!$G:$G, (MATCH(631, 輔助計算!$G$2:$G$801, 0)+1))&lt;=1181,2,1))))=0,"",IF(MOD(INDEX(輔助計算!$D:$D, (MATCH(631, 輔助計算!$G$2:$G$801, 0)+1)),IF(INDEX(ERP資料!$G:$G, (MATCH(631, 輔助計算!$G$2:$G$801, 0)+1))&lt;100, IF(INDEX(ERP資料!$G:$G, (MATCH(631, 輔助計算!$G$2:$G$801, 0)+1))&lt;=31,3,IF(INDEX(ERP資料!$G:$G, (MATCH(631, 輔助計算!$G$2:$G$801, 0)+1))&lt;=46.5,2,1)), IF(INDEX(ERP資料!$G:$G, (MATCH(631, 輔助計算!$G$2:$G$801, 0)+1))&lt;=790,3,IF(INDEX(ERP資料!$G:$G, (MATCH(631, 輔助計算!$G$2:$G$801, 0)+1))&lt;=1181,2,1))))=0,"",IF(MOD(INDEX(輔助計算!$D:$D, (MATCH(631, 輔助計算!$G$2:$G$801, 0)+1)),IF(INDEX(ERP資料!$G:$G, (MATCH(631, 輔助計算!$G$2:$G$801, 0)+1))&lt;100, IF(INDEX(ERP資料!$G:$G, (MATCH(631, 輔助計算!$G$2:$G$801, 0)+1))&lt;=31,3,IF(INDEX(ERP資料!$G:$G, (MATCH(631, 輔助計算!$G$2:$G$801, 0)+1))&lt;=46.5,2,1)), IF(INDEX(ERP資料!$G:$G, (MATCH(631, 輔助計算!$G$2:$G$801, 0)+1))&lt;=790,3,IF(INDEX(ERP資料!$G:$G, (MATCH(631, 輔助計算!$G$2:$G$801, 0)+1))&lt;=1181,2,1))))=1,TEXT(INDEX(ERP資料!$G:$G, (MATCH(631, 輔助計算!$G$2:$G$801, 0)+1)),"0.##"),IF(MOD(INDEX(輔助計算!$D:$D, (MATCH(631, 輔助計算!$G$2:$G$801, 0)+1)),IF(INDEX(ERP資料!$G:$G, (MATCH(631, 輔助計算!$G$2:$G$801, 0)+1))&lt;100, IF(INDEX(ERP資料!$G:$G, (MATCH(631, 輔助計算!$G$2:$G$801, 0)+1))&lt;=31,3,IF(INDEX(ERP資料!$G:$G, (MATCH(631, 輔助計算!$G$2:$G$801, 0)+1))&lt;=46.5,2,1)), IF(INDEX(ERP資料!$G:$G, (MATCH(631, 輔助計算!$G$2:$G$801, 0)+1))&lt;=790,3,IF(INDEX(ERP資料!$G:$G, (MATCH(631, 輔助計算!$G$2:$G$801, 0)+1))&lt;=1181,2,1))))=2,TEXT(INDEX(ERP資料!$G:$G, (MATCH(631, 輔助計算!$G$2:$G$801, 0)+1)),"0.##")&amp;"+"&amp;TEXT(INDEX(ERP資料!$G:$G, (MATCH(631, 輔助計算!$G$2:$G$801, 0)+1)),"0.##"),TEXT(INDEX(ERP資料!$G:$G, (MATCH(631, 輔助計算!$G$2:$G$801, 0)+1)),"0.##")&amp;"+"&amp;TEXT(INDEX(ERP資料!$G:$G, (MATCH(631, 輔助計算!$G$2:$G$801, 0)+1)),"0.##")&amp;"+"&amp;TEXT(INDEX(ERP資料!$G:$G, (MATCH(631, 輔助計算!$G$2:$G$801, 0)+1)),"0.##"))))&amp;"-1")&lt;&gt;""),"  ","")&amp;IF(MOD(INDEX(輔助計算!$D:$D, (MATCH(631, 輔助計算!$G$2:$G$801, 0)+1)),IF(INDEX(ERP資料!$G:$G, (MATCH(631, 輔助計算!$G$2:$G$801, 0)+1))&lt;100, IF(INDEX(ERP資料!$G:$G, (MATCH(631, 輔助計算!$G$2:$G$801, 0)+1))&lt;=31,3,IF(INDEX(ERP資料!$G:$G, (MATCH(631, 輔助計算!$G$2:$G$801, 0)+1))&lt;=46.5,2,1)), IF(INDEX(ERP資料!$G:$G, (MATCH(631, 輔助計算!$G$2:$G$801, 0)+1))&lt;=790,3,IF(INDEX(ERP資料!$G:$G, (MATCH(631, 輔助計算!$G$2:$G$801, 0)+1))&lt;=1181,2,1))))=0,"",IF(MOD(INDEX(輔助計算!$D:$D, (MATCH(631, 輔助計算!$G$2:$G$801, 0)+1)),IF(INDEX(ERP資料!$G:$G, (MATCH(631, 輔助計算!$G$2:$G$801, 0)+1))&lt;100, IF(INDEX(ERP資料!$G:$G, (MATCH(631, 輔助計算!$G$2:$G$801, 0)+1))&lt;=31,3,IF(INDEX(ERP資料!$G:$G, (MATCH(631, 輔助計算!$G$2:$G$801, 0)+1))&lt;=46.5,2,1)), IF(INDEX(ERP資料!$G:$G, (MATCH(631, 輔助計算!$G$2:$G$801, 0)+1))&lt;=790,3,IF(INDEX(ERP資料!$G:$G, (MATCH(631, 輔助計算!$G$2:$G$801, 0)+1))&lt;=1181,2,1))))=0,"",IF(MOD(INDEX(輔助計算!$D:$D, (MATCH(631, 輔助計算!$G$2:$G$801, 0)+1)),IF(INDEX(ERP資料!$G:$G, (MATCH(631, 輔助計算!$G$2:$G$801, 0)+1))&lt;100, IF(INDEX(ERP資料!$G:$G, (MATCH(631, 輔助計算!$G$2:$G$801, 0)+1))&lt;=31,3,IF(INDEX(ERP資料!$G:$G, (MATCH(631, 輔助計算!$G$2:$G$801, 0)+1))&lt;=46.5,2,1)), IF(INDEX(ERP資料!$G:$G, (MATCH(631, 輔助計算!$G$2:$G$801, 0)+1))&lt;=790,3,IF(INDEX(ERP資料!$G:$G, (MATCH(631, 輔助計算!$G$2:$G$801, 0)+1))&lt;=1181,2,1))))=1,TEXT(INDEX(ERP資料!$G:$G, (MATCH(631, 輔助計算!$G$2:$G$801, 0)+1)),"0.##"),IF(MOD(INDEX(輔助計算!$D:$D, (MATCH(631, 輔助計算!$G$2:$G$801, 0)+1)),IF(INDEX(ERP資料!$G:$G, (MATCH(631, 輔助計算!$G$2:$G$801, 0)+1))&lt;100, IF(INDEX(ERP資料!$G:$G, (MATCH(631, 輔助計算!$G$2:$G$801, 0)+1))&lt;=31,3,IF(INDEX(ERP資料!$G:$G, (MATCH(631, 輔助計算!$G$2:$G$801, 0)+1))&lt;=46.5,2,1)), IF(INDEX(ERP資料!$G:$G, (MATCH(631, 輔助計算!$G$2:$G$801, 0)+1))&lt;=790,3,IF(INDEX(ERP資料!$G:$G, (MATCH(631, 輔助計算!$G$2:$G$801, 0)+1))&lt;=1181,2,1))))=2,TEXT(INDEX(ERP資料!$G:$G, (MATCH(631, 輔助計算!$G$2:$G$801, 0)+1)),"0.##")&amp;"+"&amp;TEXT(INDEX(ERP資料!$G:$G, (MATCH(631, 輔助計算!$G$2:$G$801, 0)+1)),"0.##"),TEXT(INDEX(ERP資料!$G:$G, (MATCH(631, 輔助計算!$G$2:$G$801, 0)+1)),"0.##")&amp;"+"&amp;TEXT(INDEX(ERP資料!$G:$G, (MATCH(631, 輔助計算!$G$2:$G$801, 0)+1)),"0.##")&amp;"+"&amp;TEXT(INDEX(ERP資料!$G:$G, (MATCH(631, 輔助計算!$G$2:$G$801, 0)+1)),"0.##"))))&amp;"-1")), ""), "")</f>
        <v/>
      </c>
      <c r="K632" s="16" t="n"/>
      <c r="L632" s="14">
        <f>IFERROR(IF(AND(IFERROR(INDEX(ERP資料!$A:$A, (MATCH(631, 輔助計算!$G$2:$G$801, 0)+1)), "")&lt;&gt;"", IFERROR(INDEX(ERP資料!$A:$A, (MATCH(631, 輔助計算!$G$2:$G$801, 0)+1)), "")&lt;&gt;IFERROR(INDEX(ERP資料!$A:$A, MATCH(630, 輔助計算!$G$2:$G$801, 0)+1), "")), INDEX(ERP資料!$B:$B, (MATCH(631, 輔助計算!$G$2:$G$801, 0)+1)), ""), "")</f>
        <v/>
      </c>
      <c r="M632" s="17" t="n"/>
    </row>
    <row r="633">
      <c r="A633" s="10">
        <f>IFERROR(IF(AND(IFERROR(INDEX(ERP資料!$A:$A, (MATCH(632, 輔助計算!$G$2:$G$801, 0)+1)), "")&lt;&gt;"", IFERROR(INDEX(ERP資料!$A:$A, (MATCH(632, 輔助計算!$G$2:$G$801, 0)+1)), "")&lt;&gt;IFERROR(INDEX(ERP資料!$A:$A, MATCH(631, 輔助計算!$G$2:$G$801, 0)+1), "")), IFERROR(INDEX(ERP資料!$A:$A, (MATCH(632, 輔助計算!$G$2:$G$801, 0)+1)), ""), ""), "")</f>
        <v/>
      </c>
      <c r="B633" s="10">
        <f>IFERROR(IF(AND(IFERROR(INDEX(ERP資料!$A:$A, (MATCH(632, 輔助計算!$G$2:$G$801, 0)+1)), "")&lt;&gt;"", IFERROR(INDEX(ERP資料!$A:$A, (MATCH(632, 輔助計算!$G$2:$G$801, 0)+1)), "")&lt;&gt;IFERROR(INDEX(ERP資料!$A:$A, MATCH(631, 輔助計算!$G$2:$G$801, 0)+1), "")), INDEX(ERP資料!$S:$S, (MATCH(632, 輔助計算!$G$2:$G$801, 0)+1)), ""), "")</f>
        <v/>
      </c>
      <c r="C633" s="19">
        <f>IFERROR(IF(AND(IFERROR(INDEX(ERP資料!$A:$A, (MATCH(632, 輔助計算!$G$2:$G$801, 0)+1)), "")&lt;&gt;"", IFERROR(INDEX(ERP資料!$A:$A, (MATCH(632, 輔助計算!$G$2:$G$801, 0)+1)), "")&lt;&gt;IFERROR(INDEX(ERP資料!$A:$A, MATCH(631, 輔助計算!$G$2:$G$801, 0)+1), "")), IFERROR(VLOOKUP(LEFT(INDEX(ERP資料!$S:$S, (MATCH(632, 輔助計算!$G$2:$G$801, 0)+1)), 4), 紙管對照表!$A:$C, 3, FALSE), ""), ""), "")</f>
        <v/>
      </c>
      <c r="D633" s="16" t="n"/>
      <c r="E633" s="10">
        <f>IFERROR(IF(INDEX(ERP資料!$H:$H, (MATCH(632, 輔助計算!$G$2:$G$801, 0)+1))="","",INDEX(ERP資料!$H:$H, (MATCH(632, 輔助計算!$G$2:$G$801, 0)+1))), "")</f>
        <v/>
      </c>
      <c r="F633" s="10">
        <f>IFERROR(IF(INDEX(ERP資料!$E:$E, (MATCH(632, 輔助計算!$G$2:$G$801, 0)+1))="","",TRIM(INDEX(ERP資料!$E:$E, (MATCH(632, 輔助計算!$G$2:$G$801, 0)+1)))), "")</f>
        <v/>
      </c>
      <c r="G633" s="10">
        <f>IFERROR(IF(INDEX(ERP資料!$F:$F, (MATCH(632, 輔助計算!$G$2:$G$801, 0)+1))="","",INDEX(ERP資料!$F:$F, (MATCH(632, 輔助計算!$G$2:$G$801, 0)+1))), "")</f>
        <v/>
      </c>
      <c r="H633" s="10">
        <f>IFERROR(IF(INDEX(ERP資料!$G:$G, (MATCH(632, 輔助計算!$G$2:$G$801, 0)+1))="","",INDEX(ERP資料!$G:$G, (MATCH(632, 輔助計算!$G$2:$G$801, 0)+1))), "")</f>
        <v/>
      </c>
      <c r="I633" s="15">
        <f>IFERROR(INDEX(輔助計算!$D:$D, (MATCH(632, 輔助計算!$G$2:$G$801, 0)+1)), "")</f>
        <v/>
      </c>
      <c r="J633" s="15">
        <f>IFERROR(IF(AND(INDEX(輔助計算!$D:$D, (MATCH(632, 輔助計算!$G$2:$G$801, 0)+1))&lt;&gt;"", INDEX(ERP資料!$G:$G, (MATCH(632, 輔助計算!$G$2:$G$801, 0)+1))&lt;&gt;""), TRIM(IF(INT(INDEX(輔助計算!$D:$D, (MATCH(632, 輔助計算!$G$2:$G$801, 0)+1))/IF(INDEX(ERP資料!$G:$G, (MATCH(632, 輔助計算!$G$2:$G$801, 0)+1))&lt;100, IF(INDEX(ERP資料!$G:$G, (MATCH(632, 輔助計算!$G$2:$G$801, 0)+1))&lt;=31,3,IF(INDEX(ERP資料!$G:$G, (MATCH(632, 輔助計算!$G$2:$G$801, 0)+1))&lt;=46.5,2,1)), IF(INDEX(ERP資料!$G:$G, (MATCH(632, 輔助計算!$G$2:$G$801, 0)+1))&lt;=790,3,IF(INDEX(ERP資料!$G:$G, (MATCH(632, 輔助計算!$G$2:$G$801, 0)+1))&lt;=1181,2,1))))&gt;0, IF(IF(INDEX(ERP資料!$G:$G, (MATCH(632, 輔助計算!$G$2:$G$801, 0)+1))&lt;100, IF(INDEX(ERP資料!$G:$G, (MATCH(632, 輔助計算!$G$2:$G$801, 0)+1))&lt;=31,3,IF(INDEX(ERP資料!$G:$G, (MATCH(632, 輔助計算!$G$2:$G$801, 0)+1))&lt;=46.5,2,1)), IF(INDEX(ERP資料!$G:$G, (MATCH(632, 輔助計算!$G$2:$G$801, 0)+1))&lt;=790,3,IF(INDEX(ERP資料!$G:$G, (MATCH(632, 輔助計算!$G$2:$G$801, 0)+1))&lt;=1181,2,1)))=1,TEXT(INDEX(ERP資料!$G:$G, (MATCH(632, 輔助計算!$G$2:$G$801, 0)+1)),"0.##"),IF(IF(INDEX(ERP資料!$G:$G, (MATCH(632, 輔助計算!$G$2:$G$801, 0)+1))&lt;100, IF(INDEX(ERP資料!$G:$G, (MATCH(632, 輔助計算!$G$2:$G$801, 0)+1))&lt;=31,3,IF(INDEX(ERP資料!$G:$G, (MATCH(632, 輔助計算!$G$2:$G$801, 0)+1))&lt;=46.5,2,1)), IF(INDEX(ERP資料!$G:$G, (MATCH(632, 輔助計算!$G$2:$G$801, 0)+1))&lt;=790,3,IF(INDEX(ERP資料!$G:$G, (MATCH(632, 輔助計算!$G$2:$G$801, 0)+1))&lt;=1181,2,1)))=2,TEXT(INDEX(ERP資料!$G:$G, (MATCH(632, 輔助計算!$G$2:$G$801, 0)+1)),"0.##")&amp;"+"&amp;TEXT(INDEX(ERP資料!$G:$G, (MATCH(632, 輔助計算!$G$2:$G$801, 0)+1)),"0.##"),TEXT(INDEX(ERP資料!$G:$G, (MATCH(632, 輔助計算!$G$2:$G$801, 0)+1)),"0.##")&amp;"+"&amp;TEXT(INDEX(ERP資料!$G:$G, (MATCH(632, 輔助計算!$G$2:$G$801, 0)+1)),"0.##")&amp;"+"&amp;TEXT(INDEX(ERP資料!$G:$G, (MATCH(632, 輔助計算!$G$2:$G$801, 0)+1)),"0.##")))&amp;"-"&amp;INT(INDEX(輔助計算!$D:$D, (MATCH(632, 輔助計算!$G$2:$G$801, 0)+1))/IF(INDEX(ERP資料!$G:$G, (MATCH(632, 輔助計算!$G$2:$G$801, 0)+1))&lt;100, IF(INDEX(ERP資料!$G:$G, (MATCH(632, 輔助計算!$G$2:$G$801, 0)+1))&lt;=31,3,IF(INDEX(ERP資料!$G:$G, (MATCH(632, 輔助計算!$G$2:$G$801, 0)+1))&lt;=46.5,2,1)), IF(INDEX(ERP資料!$G:$G, (MATCH(632, 輔助計算!$G$2:$G$801, 0)+1))&lt;=790,3,IF(INDEX(ERP資料!$G:$G, (MATCH(632, 輔助計算!$G$2:$G$801, 0)+1))&lt;=1181,2,1)))), "")&amp;IF(AND(IF(INT(INDEX(輔助計算!$D:$D, (MATCH(632, 輔助計算!$G$2:$G$801, 0)+1))/IF(INDEX(ERP資料!$G:$G, (MATCH(632, 輔助計算!$G$2:$G$801, 0)+1))&lt;100, IF(INDEX(ERP資料!$G:$G, (MATCH(632, 輔助計算!$G$2:$G$801, 0)+1))&lt;=31,3,IF(INDEX(ERP資料!$G:$G, (MATCH(632, 輔助計算!$G$2:$G$801, 0)+1))&lt;=46.5,2,1)), IF(INDEX(ERP資料!$G:$G, (MATCH(632, 輔助計算!$G$2:$G$801, 0)+1))&lt;=790,3,IF(INDEX(ERP資料!$G:$G, (MATCH(632, 輔助計算!$G$2:$G$801, 0)+1))&lt;=1181,2,1))))&gt;0, IF(IF(INDEX(ERP資料!$G:$G, (MATCH(632, 輔助計算!$G$2:$G$801, 0)+1))&lt;100, IF(INDEX(ERP資料!$G:$G, (MATCH(632, 輔助計算!$G$2:$G$801, 0)+1))&lt;=31,3,IF(INDEX(ERP資料!$G:$G, (MATCH(632, 輔助計算!$G$2:$G$801, 0)+1))&lt;=46.5,2,1)), IF(INDEX(ERP資料!$G:$G, (MATCH(632, 輔助計算!$G$2:$G$801, 0)+1))&lt;=790,3,IF(INDEX(ERP資料!$G:$G, (MATCH(632, 輔助計算!$G$2:$G$801, 0)+1))&lt;=1181,2,1)))=1,TEXT(INDEX(ERP資料!$G:$G, (MATCH(632, 輔助計算!$G$2:$G$801, 0)+1)),"0.##"),IF(IF(INDEX(ERP資料!$G:$G, (MATCH(632, 輔助計算!$G$2:$G$801, 0)+1))&lt;100, IF(INDEX(ERP資料!$G:$G, (MATCH(632, 輔助計算!$G$2:$G$801, 0)+1))&lt;=31,3,IF(INDEX(ERP資料!$G:$G, (MATCH(632, 輔助計算!$G$2:$G$801, 0)+1))&lt;=46.5,2,1)), IF(INDEX(ERP資料!$G:$G, (MATCH(632, 輔助計算!$G$2:$G$801, 0)+1))&lt;=790,3,IF(INDEX(ERP資料!$G:$G, (MATCH(632, 輔助計算!$G$2:$G$801, 0)+1))&lt;=1181,2,1)))=2,TEXT(INDEX(ERP資料!$G:$G, (MATCH(632, 輔助計算!$G$2:$G$801, 0)+1)),"0.##")&amp;"+"&amp;TEXT(INDEX(ERP資料!$G:$G, (MATCH(632, 輔助計算!$G$2:$G$801, 0)+1)),"0.##"),TEXT(INDEX(ERP資料!$G:$G, (MATCH(632, 輔助計算!$G$2:$G$801, 0)+1)),"0.##")&amp;"+"&amp;TEXT(INDEX(ERP資料!$G:$G, (MATCH(632, 輔助計算!$G$2:$G$801, 0)+1)),"0.##")&amp;"+"&amp;TEXT(INDEX(ERP資料!$G:$G, (MATCH(632, 輔助計算!$G$2:$G$801, 0)+1)),"0.##")))&amp;"-"&amp;INT(INDEX(輔助計算!$D:$D, (MATCH(632, 輔助計算!$G$2:$G$801, 0)+1))/IF(INDEX(ERP資料!$G:$G, (MATCH(632, 輔助計算!$G$2:$G$801, 0)+1))&lt;100, IF(INDEX(ERP資料!$G:$G, (MATCH(632, 輔助計算!$G$2:$G$801, 0)+1))&lt;=31,3,IF(INDEX(ERP資料!$G:$G, (MATCH(632, 輔助計算!$G$2:$G$801, 0)+1))&lt;=46.5,2,1)), IF(INDEX(ERP資料!$G:$G, (MATCH(632, 輔助計算!$G$2:$G$801, 0)+1))&lt;=790,3,IF(INDEX(ERP資料!$G:$G, (MATCH(632, 輔助計算!$G$2:$G$801, 0)+1))&lt;=1181,2,1)))), "")&lt;&gt;"",IF(MOD(INDEX(輔助計算!$D:$D, (MATCH(632, 輔助計算!$G$2:$G$801, 0)+1)),IF(INDEX(ERP資料!$G:$G, (MATCH(632, 輔助計算!$G$2:$G$801, 0)+1))&lt;100, IF(INDEX(ERP資料!$G:$G, (MATCH(632, 輔助計算!$G$2:$G$801, 0)+1))&lt;=31,3,IF(INDEX(ERP資料!$G:$G, (MATCH(632, 輔助計算!$G$2:$G$801, 0)+1))&lt;=46.5,2,1)), IF(INDEX(ERP資料!$G:$G, (MATCH(632, 輔助計算!$G$2:$G$801, 0)+1))&lt;=790,3,IF(INDEX(ERP資料!$G:$G, (MATCH(632, 輔助計算!$G$2:$G$801, 0)+1))&lt;=1181,2,1))))=0,"",IF(MOD(INDEX(輔助計算!$D:$D, (MATCH(632, 輔助計算!$G$2:$G$801, 0)+1)),IF(INDEX(ERP資料!$G:$G, (MATCH(632, 輔助計算!$G$2:$G$801, 0)+1))&lt;100, IF(INDEX(ERP資料!$G:$G, (MATCH(632, 輔助計算!$G$2:$G$801, 0)+1))&lt;=31,3,IF(INDEX(ERP資料!$G:$G, (MATCH(632, 輔助計算!$G$2:$G$801, 0)+1))&lt;=46.5,2,1)), IF(INDEX(ERP資料!$G:$G, (MATCH(632, 輔助計算!$G$2:$G$801, 0)+1))&lt;=790,3,IF(INDEX(ERP資料!$G:$G, (MATCH(632, 輔助計算!$G$2:$G$801, 0)+1))&lt;=1181,2,1))))=0,"",IF(MOD(INDEX(輔助計算!$D:$D, (MATCH(632, 輔助計算!$G$2:$G$801, 0)+1)),IF(INDEX(ERP資料!$G:$G, (MATCH(632, 輔助計算!$G$2:$G$801, 0)+1))&lt;100, IF(INDEX(ERP資料!$G:$G, (MATCH(632, 輔助計算!$G$2:$G$801, 0)+1))&lt;=31,3,IF(INDEX(ERP資料!$G:$G, (MATCH(632, 輔助計算!$G$2:$G$801, 0)+1))&lt;=46.5,2,1)), IF(INDEX(ERP資料!$G:$G, (MATCH(632, 輔助計算!$G$2:$G$801, 0)+1))&lt;=790,3,IF(INDEX(ERP資料!$G:$G, (MATCH(632, 輔助計算!$G$2:$G$801, 0)+1))&lt;=1181,2,1))))=1,TEXT(INDEX(ERP資料!$G:$G, (MATCH(632, 輔助計算!$G$2:$G$801, 0)+1)),"0.##"),IF(MOD(INDEX(輔助計算!$D:$D, (MATCH(632, 輔助計算!$G$2:$G$801, 0)+1)),IF(INDEX(ERP資料!$G:$G, (MATCH(632, 輔助計算!$G$2:$G$801, 0)+1))&lt;100, IF(INDEX(ERP資料!$G:$G, (MATCH(632, 輔助計算!$G$2:$G$801, 0)+1))&lt;=31,3,IF(INDEX(ERP資料!$G:$G, (MATCH(632, 輔助計算!$G$2:$G$801, 0)+1))&lt;=46.5,2,1)), IF(INDEX(ERP資料!$G:$G, (MATCH(632, 輔助計算!$G$2:$G$801, 0)+1))&lt;=790,3,IF(INDEX(ERP資料!$G:$G, (MATCH(632, 輔助計算!$G$2:$G$801, 0)+1))&lt;=1181,2,1))))=2,TEXT(INDEX(ERP資料!$G:$G, (MATCH(632, 輔助計算!$G$2:$G$801, 0)+1)),"0.##")&amp;"+"&amp;TEXT(INDEX(ERP資料!$G:$G, (MATCH(632, 輔助計算!$G$2:$G$801, 0)+1)),"0.##"),TEXT(INDEX(ERP資料!$G:$G, (MATCH(632, 輔助計算!$G$2:$G$801, 0)+1)),"0.##")&amp;"+"&amp;TEXT(INDEX(ERP資料!$G:$G, (MATCH(632, 輔助計算!$G$2:$G$801, 0)+1)),"0.##")&amp;"+"&amp;TEXT(INDEX(ERP資料!$G:$G, (MATCH(632, 輔助計算!$G$2:$G$801, 0)+1)),"0.##"))))&amp;"-1")&lt;&gt;""),"  ","")&amp;IF(MOD(INDEX(輔助計算!$D:$D, (MATCH(632, 輔助計算!$G$2:$G$801, 0)+1)),IF(INDEX(ERP資料!$G:$G, (MATCH(632, 輔助計算!$G$2:$G$801, 0)+1))&lt;100, IF(INDEX(ERP資料!$G:$G, (MATCH(632, 輔助計算!$G$2:$G$801, 0)+1))&lt;=31,3,IF(INDEX(ERP資料!$G:$G, (MATCH(632, 輔助計算!$G$2:$G$801, 0)+1))&lt;=46.5,2,1)), IF(INDEX(ERP資料!$G:$G, (MATCH(632, 輔助計算!$G$2:$G$801, 0)+1))&lt;=790,3,IF(INDEX(ERP資料!$G:$G, (MATCH(632, 輔助計算!$G$2:$G$801, 0)+1))&lt;=1181,2,1))))=0,"",IF(MOD(INDEX(輔助計算!$D:$D, (MATCH(632, 輔助計算!$G$2:$G$801, 0)+1)),IF(INDEX(ERP資料!$G:$G, (MATCH(632, 輔助計算!$G$2:$G$801, 0)+1))&lt;100, IF(INDEX(ERP資料!$G:$G, (MATCH(632, 輔助計算!$G$2:$G$801, 0)+1))&lt;=31,3,IF(INDEX(ERP資料!$G:$G, (MATCH(632, 輔助計算!$G$2:$G$801, 0)+1))&lt;=46.5,2,1)), IF(INDEX(ERP資料!$G:$G, (MATCH(632, 輔助計算!$G$2:$G$801, 0)+1))&lt;=790,3,IF(INDEX(ERP資料!$G:$G, (MATCH(632, 輔助計算!$G$2:$G$801, 0)+1))&lt;=1181,2,1))))=0,"",IF(MOD(INDEX(輔助計算!$D:$D, (MATCH(632, 輔助計算!$G$2:$G$801, 0)+1)),IF(INDEX(ERP資料!$G:$G, (MATCH(632, 輔助計算!$G$2:$G$801, 0)+1))&lt;100, IF(INDEX(ERP資料!$G:$G, (MATCH(632, 輔助計算!$G$2:$G$801, 0)+1))&lt;=31,3,IF(INDEX(ERP資料!$G:$G, (MATCH(632, 輔助計算!$G$2:$G$801, 0)+1))&lt;=46.5,2,1)), IF(INDEX(ERP資料!$G:$G, (MATCH(632, 輔助計算!$G$2:$G$801, 0)+1))&lt;=790,3,IF(INDEX(ERP資料!$G:$G, (MATCH(632, 輔助計算!$G$2:$G$801, 0)+1))&lt;=1181,2,1))))=1,TEXT(INDEX(ERP資料!$G:$G, (MATCH(632, 輔助計算!$G$2:$G$801, 0)+1)),"0.##"),IF(MOD(INDEX(輔助計算!$D:$D, (MATCH(632, 輔助計算!$G$2:$G$801, 0)+1)),IF(INDEX(ERP資料!$G:$G, (MATCH(632, 輔助計算!$G$2:$G$801, 0)+1))&lt;100, IF(INDEX(ERP資料!$G:$G, (MATCH(632, 輔助計算!$G$2:$G$801, 0)+1))&lt;=31,3,IF(INDEX(ERP資料!$G:$G, (MATCH(632, 輔助計算!$G$2:$G$801, 0)+1))&lt;=46.5,2,1)), IF(INDEX(ERP資料!$G:$G, (MATCH(632, 輔助計算!$G$2:$G$801, 0)+1))&lt;=790,3,IF(INDEX(ERP資料!$G:$G, (MATCH(632, 輔助計算!$G$2:$G$801, 0)+1))&lt;=1181,2,1))))=2,TEXT(INDEX(ERP資料!$G:$G, (MATCH(632, 輔助計算!$G$2:$G$801, 0)+1)),"0.##")&amp;"+"&amp;TEXT(INDEX(ERP資料!$G:$G, (MATCH(632, 輔助計算!$G$2:$G$801, 0)+1)),"0.##"),TEXT(INDEX(ERP資料!$G:$G, (MATCH(632, 輔助計算!$G$2:$G$801, 0)+1)),"0.##")&amp;"+"&amp;TEXT(INDEX(ERP資料!$G:$G, (MATCH(632, 輔助計算!$G$2:$G$801, 0)+1)),"0.##")&amp;"+"&amp;TEXT(INDEX(ERP資料!$G:$G, (MATCH(632, 輔助計算!$G$2:$G$801, 0)+1)),"0.##"))))&amp;"-1")), ""), "")</f>
        <v/>
      </c>
      <c r="K633" s="16" t="n"/>
      <c r="L633" s="14">
        <f>IFERROR(IF(AND(IFERROR(INDEX(ERP資料!$A:$A, (MATCH(632, 輔助計算!$G$2:$G$801, 0)+1)), "")&lt;&gt;"", IFERROR(INDEX(ERP資料!$A:$A, (MATCH(632, 輔助計算!$G$2:$G$801, 0)+1)), "")&lt;&gt;IFERROR(INDEX(ERP資料!$A:$A, MATCH(631, 輔助計算!$G$2:$G$801, 0)+1), "")), INDEX(ERP資料!$B:$B, (MATCH(632, 輔助計算!$G$2:$G$801, 0)+1)), ""), "")</f>
        <v/>
      </c>
      <c r="M633" s="17" t="n"/>
    </row>
    <row r="634">
      <c r="A634" s="10">
        <f>IFERROR(IF(AND(IFERROR(INDEX(ERP資料!$A:$A, (MATCH(633, 輔助計算!$G$2:$G$801, 0)+1)), "")&lt;&gt;"", IFERROR(INDEX(ERP資料!$A:$A, (MATCH(633, 輔助計算!$G$2:$G$801, 0)+1)), "")&lt;&gt;IFERROR(INDEX(ERP資料!$A:$A, MATCH(632, 輔助計算!$G$2:$G$801, 0)+1), "")), IFERROR(INDEX(ERP資料!$A:$A, (MATCH(633, 輔助計算!$G$2:$G$801, 0)+1)), ""), ""), "")</f>
        <v/>
      </c>
      <c r="B634" s="10">
        <f>IFERROR(IF(AND(IFERROR(INDEX(ERP資料!$A:$A, (MATCH(633, 輔助計算!$G$2:$G$801, 0)+1)), "")&lt;&gt;"", IFERROR(INDEX(ERP資料!$A:$A, (MATCH(633, 輔助計算!$G$2:$G$801, 0)+1)), "")&lt;&gt;IFERROR(INDEX(ERP資料!$A:$A, MATCH(632, 輔助計算!$G$2:$G$801, 0)+1), "")), INDEX(ERP資料!$S:$S, (MATCH(633, 輔助計算!$G$2:$G$801, 0)+1)), ""), "")</f>
        <v/>
      </c>
      <c r="C634" s="19">
        <f>IFERROR(IF(AND(IFERROR(INDEX(ERP資料!$A:$A, (MATCH(633, 輔助計算!$G$2:$G$801, 0)+1)), "")&lt;&gt;"", IFERROR(INDEX(ERP資料!$A:$A, (MATCH(633, 輔助計算!$G$2:$G$801, 0)+1)), "")&lt;&gt;IFERROR(INDEX(ERP資料!$A:$A, MATCH(632, 輔助計算!$G$2:$G$801, 0)+1), "")), IFERROR(VLOOKUP(LEFT(INDEX(ERP資料!$S:$S, (MATCH(633, 輔助計算!$G$2:$G$801, 0)+1)), 4), 紙管對照表!$A:$C, 3, FALSE), ""), ""), "")</f>
        <v/>
      </c>
      <c r="D634" s="16" t="n"/>
      <c r="E634" s="10">
        <f>IFERROR(IF(INDEX(ERP資料!$H:$H, (MATCH(633, 輔助計算!$G$2:$G$801, 0)+1))="","",INDEX(ERP資料!$H:$H, (MATCH(633, 輔助計算!$G$2:$G$801, 0)+1))), "")</f>
        <v/>
      </c>
      <c r="F634" s="10">
        <f>IFERROR(IF(INDEX(ERP資料!$E:$E, (MATCH(633, 輔助計算!$G$2:$G$801, 0)+1))="","",TRIM(INDEX(ERP資料!$E:$E, (MATCH(633, 輔助計算!$G$2:$G$801, 0)+1)))), "")</f>
        <v/>
      </c>
      <c r="G634" s="10">
        <f>IFERROR(IF(INDEX(ERP資料!$F:$F, (MATCH(633, 輔助計算!$G$2:$G$801, 0)+1))="","",INDEX(ERP資料!$F:$F, (MATCH(633, 輔助計算!$G$2:$G$801, 0)+1))), "")</f>
        <v/>
      </c>
      <c r="H634" s="10">
        <f>IFERROR(IF(INDEX(ERP資料!$G:$G, (MATCH(633, 輔助計算!$G$2:$G$801, 0)+1))="","",INDEX(ERP資料!$G:$G, (MATCH(633, 輔助計算!$G$2:$G$801, 0)+1))), "")</f>
        <v/>
      </c>
      <c r="I634" s="15">
        <f>IFERROR(INDEX(輔助計算!$D:$D, (MATCH(633, 輔助計算!$G$2:$G$801, 0)+1)), "")</f>
        <v/>
      </c>
      <c r="J634" s="15">
        <f>IFERROR(IF(AND(INDEX(輔助計算!$D:$D, (MATCH(633, 輔助計算!$G$2:$G$801, 0)+1))&lt;&gt;"", INDEX(ERP資料!$G:$G, (MATCH(633, 輔助計算!$G$2:$G$801, 0)+1))&lt;&gt;""), TRIM(IF(INT(INDEX(輔助計算!$D:$D, (MATCH(633, 輔助計算!$G$2:$G$801, 0)+1))/IF(INDEX(ERP資料!$G:$G, (MATCH(633, 輔助計算!$G$2:$G$801, 0)+1))&lt;100, IF(INDEX(ERP資料!$G:$G, (MATCH(633, 輔助計算!$G$2:$G$801, 0)+1))&lt;=31,3,IF(INDEX(ERP資料!$G:$G, (MATCH(633, 輔助計算!$G$2:$G$801, 0)+1))&lt;=46.5,2,1)), IF(INDEX(ERP資料!$G:$G, (MATCH(633, 輔助計算!$G$2:$G$801, 0)+1))&lt;=790,3,IF(INDEX(ERP資料!$G:$G, (MATCH(633, 輔助計算!$G$2:$G$801, 0)+1))&lt;=1181,2,1))))&gt;0, IF(IF(INDEX(ERP資料!$G:$G, (MATCH(633, 輔助計算!$G$2:$G$801, 0)+1))&lt;100, IF(INDEX(ERP資料!$G:$G, (MATCH(633, 輔助計算!$G$2:$G$801, 0)+1))&lt;=31,3,IF(INDEX(ERP資料!$G:$G, (MATCH(633, 輔助計算!$G$2:$G$801, 0)+1))&lt;=46.5,2,1)), IF(INDEX(ERP資料!$G:$G, (MATCH(633, 輔助計算!$G$2:$G$801, 0)+1))&lt;=790,3,IF(INDEX(ERP資料!$G:$G, (MATCH(633, 輔助計算!$G$2:$G$801, 0)+1))&lt;=1181,2,1)))=1,TEXT(INDEX(ERP資料!$G:$G, (MATCH(633, 輔助計算!$G$2:$G$801, 0)+1)),"0.##"),IF(IF(INDEX(ERP資料!$G:$G, (MATCH(633, 輔助計算!$G$2:$G$801, 0)+1))&lt;100, IF(INDEX(ERP資料!$G:$G, (MATCH(633, 輔助計算!$G$2:$G$801, 0)+1))&lt;=31,3,IF(INDEX(ERP資料!$G:$G, (MATCH(633, 輔助計算!$G$2:$G$801, 0)+1))&lt;=46.5,2,1)), IF(INDEX(ERP資料!$G:$G, (MATCH(633, 輔助計算!$G$2:$G$801, 0)+1))&lt;=790,3,IF(INDEX(ERP資料!$G:$G, (MATCH(633, 輔助計算!$G$2:$G$801, 0)+1))&lt;=1181,2,1)))=2,TEXT(INDEX(ERP資料!$G:$G, (MATCH(633, 輔助計算!$G$2:$G$801, 0)+1)),"0.##")&amp;"+"&amp;TEXT(INDEX(ERP資料!$G:$G, (MATCH(633, 輔助計算!$G$2:$G$801, 0)+1)),"0.##"),TEXT(INDEX(ERP資料!$G:$G, (MATCH(633, 輔助計算!$G$2:$G$801, 0)+1)),"0.##")&amp;"+"&amp;TEXT(INDEX(ERP資料!$G:$G, (MATCH(633, 輔助計算!$G$2:$G$801, 0)+1)),"0.##")&amp;"+"&amp;TEXT(INDEX(ERP資料!$G:$G, (MATCH(633, 輔助計算!$G$2:$G$801, 0)+1)),"0.##")))&amp;"-"&amp;INT(INDEX(輔助計算!$D:$D, (MATCH(633, 輔助計算!$G$2:$G$801, 0)+1))/IF(INDEX(ERP資料!$G:$G, (MATCH(633, 輔助計算!$G$2:$G$801, 0)+1))&lt;100, IF(INDEX(ERP資料!$G:$G, (MATCH(633, 輔助計算!$G$2:$G$801, 0)+1))&lt;=31,3,IF(INDEX(ERP資料!$G:$G, (MATCH(633, 輔助計算!$G$2:$G$801, 0)+1))&lt;=46.5,2,1)), IF(INDEX(ERP資料!$G:$G, (MATCH(633, 輔助計算!$G$2:$G$801, 0)+1))&lt;=790,3,IF(INDEX(ERP資料!$G:$G, (MATCH(633, 輔助計算!$G$2:$G$801, 0)+1))&lt;=1181,2,1)))), "")&amp;IF(AND(IF(INT(INDEX(輔助計算!$D:$D, (MATCH(633, 輔助計算!$G$2:$G$801, 0)+1))/IF(INDEX(ERP資料!$G:$G, (MATCH(633, 輔助計算!$G$2:$G$801, 0)+1))&lt;100, IF(INDEX(ERP資料!$G:$G, (MATCH(633, 輔助計算!$G$2:$G$801, 0)+1))&lt;=31,3,IF(INDEX(ERP資料!$G:$G, (MATCH(633, 輔助計算!$G$2:$G$801, 0)+1))&lt;=46.5,2,1)), IF(INDEX(ERP資料!$G:$G, (MATCH(633, 輔助計算!$G$2:$G$801, 0)+1))&lt;=790,3,IF(INDEX(ERP資料!$G:$G, (MATCH(633, 輔助計算!$G$2:$G$801, 0)+1))&lt;=1181,2,1))))&gt;0, IF(IF(INDEX(ERP資料!$G:$G, (MATCH(633, 輔助計算!$G$2:$G$801, 0)+1))&lt;100, IF(INDEX(ERP資料!$G:$G, (MATCH(633, 輔助計算!$G$2:$G$801, 0)+1))&lt;=31,3,IF(INDEX(ERP資料!$G:$G, (MATCH(633, 輔助計算!$G$2:$G$801, 0)+1))&lt;=46.5,2,1)), IF(INDEX(ERP資料!$G:$G, (MATCH(633, 輔助計算!$G$2:$G$801, 0)+1))&lt;=790,3,IF(INDEX(ERP資料!$G:$G, (MATCH(633, 輔助計算!$G$2:$G$801, 0)+1))&lt;=1181,2,1)))=1,TEXT(INDEX(ERP資料!$G:$G, (MATCH(633, 輔助計算!$G$2:$G$801, 0)+1)),"0.##"),IF(IF(INDEX(ERP資料!$G:$G, (MATCH(633, 輔助計算!$G$2:$G$801, 0)+1))&lt;100, IF(INDEX(ERP資料!$G:$G, (MATCH(633, 輔助計算!$G$2:$G$801, 0)+1))&lt;=31,3,IF(INDEX(ERP資料!$G:$G, (MATCH(633, 輔助計算!$G$2:$G$801, 0)+1))&lt;=46.5,2,1)), IF(INDEX(ERP資料!$G:$G, (MATCH(633, 輔助計算!$G$2:$G$801, 0)+1))&lt;=790,3,IF(INDEX(ERP資料!$G:$G, (MATCH(633, 輔助計算!$G$2:$G$801, 0)+1))&lt;=1181,2,1)))=2,TEXT(INDEX(ERP資料!$G:$G, (MATCH(633, 輔助計算!$G$2:$G$801, 0)+1)),"0.##")&amp;"+"&amp;TEXT(INDEX(ERP資料!$G:$G, (MATCH(633, 輔助計算!$G$2:$G$801, 0)+1)),"0.##"),TEXT(INDEX(ERP資料!$G:$G, (MATCH(633, 輔助計算!$G$2:$G$801, 0)+1)),"0.##")&amp;"+"&amp;TEXT(INDEX(ERP資料!$G:$G, (MATCH(633, 輔助計算!$G$2:$G$801, 0)+1)),"0.##")&amp;"+"&amp;TEXT(INDEX(ERP資料!$G:$G, (MATCH(633, 輔助計算!$G$2:$G$801, 0)+1)),"0.##")))&amp;"-"&amp;INT(INDEX(輔助計算!$D:$D, (MATCH(633, 輔助計算!$G$2:$G$801, 0)+1))/IF(INDEX(ERP資料!$G:$G, (MATCH(633, 輔助計算!$G$2:$G$801, 0)+1))&lt;100, IF(INDEX(ERP資料!$G:$G, (MATCH(633, 輔助計算!$G$2:$G$801, 0)+1))&lt;=31,3,IF(INDEX(ERP資料!$G:$G, (MATCH(633, 輔助計算!$G$2:$G$801, 0)+1))&lt;=46.5,2,1)), IF(INDEX(ERP資料!$G:$G, (MATCH(633, 輔助計算!$G$2:$G$801, 0)+1))&lt;=790,3,IF(INDEX(ERP資料!$G:$G, (MATCH(633, 輔助計算!$G$2:$G$801, 0)+1))&lt;=1181,2,1)))), "")&lt;&gt;"",IF(MOD(INDEX(輔助計算!$D:$D, (MATCH(633, 輔助計算!$G$2:$G$801, 0)+1)),IF(INDEX(ERP資料!$G:$G, (MATCH(633, 輔助計算!$G$2:$G$801, 0)+1))&lt;100, IF(INDEX(ERP資料!$G:$G, (MATCH(633, 輔助計算!$G$2:$G$801, 0)+1))&lt;=31,3,IF(INDEX(ERP資料!$G:$G, (MATCH(633, 輔助計算!$G$2:$G$801, 0)+1))&lt;=46.5,2,1)), IF(INDEX(ERP資料!$G:$G, (MATCH(633, 輔助計算!$G$2:$G$801, 0)+1))&lt;=790,3,IF(INDEX(ERP資料!$G:$G, (MATCH(633, 輔助計算!$G$2:$G$801, 0)+1))&lt;=1181,2,1))))=0,"",IF(MOD(INDEX(輔助計算!$D:$D, (MATCH(633, 輔助計算!$G$2:$G$801, 0)+1)),IF(INDEX(ERP資料!$G:$G, (MATCH(633, 輔助計算!$G$2:$G$801, 0)+1))&lt;100, IF(INDEX(ERP資料!$G:$G, (MATCH(633, 輔助計算!$G$2:$G$801, 0)+1))&lt;=31,3,IF(INDEX(ERP資料!$G:$G, (MATCH(633, 輔助計算!$G$2:$G$801, 0)+1))&lt;=46.5,2,1)), IF(INDEX(ERP資料!$G:$G, (MATCH(633, 輔助計算!$G$2:$G$801, 0)+1))&lt;=790,3,IF(INDEX(ERP資料!$G:$G, (MATCH(633, 輔助計算!$G$2:$G$801, 0)+1))&lt;=1181,2,1))))=0,"",IF(MOD(INDEX(輔助計算!$D:$D, (MATCH(633, 輔助計算!$G$2:$G$801, 0)+1)),IF(INDEX(ERP資料!$G:$G, (MATCH(633, 輔助計算!$G$2:$G$801, 0)+1))&lt;100, IF(INDEX(ERP資料!$G:$G, (MATCH(633, 輔助計算!$G$2:$G$801, 0)+1))&lt;=31,3,IF(INDEX(ERP資料!$G:$G, (MATCH(633, 輔助計算!$G$2:$G$801, 0)+1))&lt;=46.5,2,1)), IF(INDEX(ERP資料!$G:$G, (MATCH(633, 輔助計算!$G$2:$G$801, 0)+1))&lt;=790,3,IF(INDEX(ERP資料!$G:$G, (MATCH(633, 輔助計算!$G$2:$G$801, 0)+1))&lt;=1181,2,1))))=1,TEXT(INDEX(ERP資料!$G:$G, (MATCH(633, 輔助計算!$G$2:$G$801, 0)+1)),"0.##"),IF(MOD(INDEX(輔助計算!$D:$D, (MATCH(633, 輔助計算!$G$2:$G$801, 0)+1)),IF(INDEX(ERP資料!$G:$G, (MATCH(633, 輔助計算!$G$2:$G$801, 0)+1))&lt;100, IF(INDEX(ERP資料!$G:$G, (MATCH(633, 輔助計算!$G$2:$G$801, 0)+1))&lt;=31,3,IF(INDEX(ERP資料!$G:$G, (MATCH(633, 輔助計算!$G$2:$G$801, 0)+1))&lt;=46.5,2,1)), IF(INDEX(ERP資料!$G:$G, (MATCH(633, 輔助計算!$G$2:$G$801, 0)+1))&lt;=790,3,IF(INDEX(ERP資料!$G:$G, (MATCH(633, 輔助計算!$G$2:$G$801, 0)+1))&lt;=1181,2,1))))=2,TEXT(INDEX(ERP資料!$G:$G, (MATCH(633, 輔助計算!$G$2:$G$801, 0)+1)),"0.##")&amp;"+"&amp;TEXT(INDEX(ERP資料!$G:$G, (MATCH(633, 輔助計算!$G$2:$G$801, 0)+1)),"0.##"),TEXT(INDEX(ERP資料!$G:$G, (MATCH(633, 輔助計算!$G$2:$G$801, 0)+1)),"0.##")&amp;"+"&amp;TEXT(INDEX(ERP資料!$G:$G, (MATCH(633, 輔助計算!$G$2:$G$801, 0)+1)),"0.##")&amp;"+"&amp;TEXT(INDEX(ERP資料!$G:$G, (MATCH(633, 輔助計算!$G$2:$G$801, 0)+1)),"0.##"))))&amp;"-1")&lt;&gt;""),"  ","")&amp;IF(MOD(INDEX(輔助計算!$D:$D, (MATCH(633, 輔助計算!$G$2:$G$801, 0)+1)),IF(INDEX(ERP資料!$G:$G, (MATCH(633, 輔助計算!$G$2:$G$801, 0)+1))&lt;100, IF(INDEX(ERP資料!$G:$G, (MATCH(633, 輔助計算!$G$2:$G$801, 0)+1))&lt;=31,3,IF(INDEX(ERP資料!$G:$G, (MATCH(633, 輔助計算!$G$2:$G$801, 0)+1))&lt;=46.5,2,1)), IF(INDEX(ERP資料!$G:$G, (MATCH(633, 輔助計算!$G$2:$G$801, 0)+1))&lt;=790,3,IF(INDEX(ERP資料!$G:$G, (MATCH(633, 輔助計算!$G$2:$G$801, 0)+1))&lt;=1181,2,1))))=0,"",IF(MOD(INDEX(輔助計算!$D:$D, (MATCH(633, 輔助計算!$G$2:$G$801, 0)+1)),IF(INDEX(ERP資料!$G:$G, (MATCH(633, 輔助計算!$G$2:$G$801, 0)+1))&lt;100, IF(INDEX(ERP資料!$G:$G, (MATCH(633, 輔助計算!$G$2:$G$801, 0)+1))&lt;=31,3,IF(INDEX(ERP資料!$G:$G, (MATCH(633, 輔助計算!$G$2:$G$801, 0)+1))&lt;=46.5,2,1)), IF(INDEX(ERP資料!$G:$G, (MATCH(633, 輔助計算!$G$2:$G$801, 0)+1))&lt;=790,3,IF(INDEX(ERP資料!$G:$G, (MATCH(633, 輔助計算!$G$2:$G$801, 0)+1))&lt;=1181,2,1))))=0,"",IF(MOD(INDEX(輔助計算!$D:$D, (MATCH(633, 輔助計算!$G$2:$G$801, 0)+1)),IF(INDEX(ERP資料!$G:$G, (MATCH(633, 輔助計算!$G$2:$G$801, 0)+1))&lt;100, IF(INDEX(ERP資料!$G:$G, (MATCH(633, 輔助計算!$G$2:$G$801, 0)+1))&lt;=31,3,IF(INDEX(ERP資料!$G:$G, (MATCH(633, 輔助計算!$G$2:$G$801, 0)+1))&lt;=46.5,2,1)), IF(INDEX(ERP資料!$G:$G, (MATCH(633, 輔助計算!$G$2:$G$801, 0)+1))&lt;=790,3,IF(INDEX(ERP資料!$G:$G, (MATCH(633, 輔助計算!$G$2:$G$801, 0)+1))&lt;=1181,2,1))))=1,TEXT(INDEX(ERP資料!$G:$G, (MATCH(633, 輔助計算!$G$2:$G$801, 0)+1)),"0.##"),IF(MOD(INDEX(輔助計算!$D:$D, (MATCH(633, 輔助計算!$G$2:$G$801, 0)+1)),IF(INDEX(ERP資料!$G:$G, (MATCH(633, 輔助計算!$G$2:$G$801, 0)+1))&lt;100, IF(INDEX(ERP資料!$G:$G, (MATCH(633, 輔助計算!$G$2:$G$801, 0)+1))&lt;=31,3,IF(INDEX(ERP資料!$G:$G, (MATCH(633, 輔助計算!$G$2:$G$801, 0)+1))&lt;=46.5,2,1)), IF(INDEX(ERP資料!$G:$G, (MATCH(633, 輔助計算!$G$2:$G$801, 0)+1))&lt;=790,3,IF(INDEX(ERP資料!$G:$G, (MATCH(633, 輔助計算!$G$2:$G$801, 0)+1))&lt;=1181,2,1))))=2,TEXT(INDEX(ERP資料!$G:$G, (MATCH(633, 輔助計算!$G$2:$G$801, 0)+1)),"0.##")&amp;"+"&amp;TEXT(INDEX(ERP資料!$G:$G, (MATCH(633, 輔助計算!$G$2:$G$801, 0)+1)),"0.##"),TEXT(INDEX(ERP資料!$G:$G, (MATCH(633, 輔助計算!$G$2:$G$801, 0)+1)),"0.##")&amp;"+"&amp;TEXT(INDEX(ERP資料!$G:$G, (MATCH(633, 輔助計算!$G$2:$G$801, 0)+1)),"0.##")&amp;"+"&amp;TEXT(INDEX(ERP資料!$G:$G, (MATCH(633, 輔助計算!$G$2:$G$801, 0)+1)),"0.##"))))&amp;"-1")), ""), "")</f>
        <v/>
      </c>
      <c r="K634" s="16" t="n"/>
      <c r="L634" s="14">
        <f>IFERROR(IF(AND(IFERROR(INDEX(ERP資料!$A:$A, (MATCH(633, 輔助計算!$G$2:$G$801, 0)+1)), "")&lt;&gt;"", IFERROR(INDEX(ERP資料!$A:$A, (MATCH(633, 輔助計算!$G$2:$G$801, 0)+1)), "")&lt;&gt;IFERROR(INDEX(ERP資料!$A:$A, MATCH(632, 輔助計算!$G$2:$G$801, 0)+1), "")), INDEX(ERP資料!$B:$B, (MATCH(633, 輔助計算!$G$2:$G$801, 0)+1)), ""), "")</f>
        <v/>
      </c>
      <c r="M634" s="17" t="n"/>
    </row>
    <row r="635">
      <c r="A635" s="10">
        <f>IFERROR(IF(AND(IFERROR(INDEX(ERP資料!$A:$A, (MATCH(634, 輔助計算!$G$2:$G$801, 0)+1)), "")&lt;&gt;"", IFERROR(INDEX(ERP資料!$A:$A, (MATCH(634, 輔助計算!$G$2:$G$801, 0)+1)), "")&lt;&gt;IFERROR(INDEX(ERP資料!$A:$A, MATCH(633, 輔助計算!$G$2:$G$801, 0)+1), "")), IFERROR(INDEX(ERP資料!$A:$A, (MATCH(634, 輔助計算!$G$2:$G$801, 0)+1)), ""), ""), "")</f>
        <v/>
      </c>
      <c r="B635" s="10">
        <f>IFERROR(IF(AND(IFERROR(INDEX(ERP資料!$A:$A, (MATCH(634, 輔助計算!$G$2:$G$801, 0)+1)), "")&lt;&gt;"", IFERROR(INDEX(ERP資料!$A:$A, (MATCH(634, 輔助計算!$G$2:$G$801, 0)+1)), "")&lt;&gt;IFERROR(INDEX(ERP資料!$A:$A, MATCH(633, 輔助計算!$G$2:$G$801, 0)+1), "")), INDEX(ERP資料!$S:$S, (MATCH(634, 輔助計算!$G$2:$G$801, 0)+1)), ""), "")</f>
        <v/>
      </c>
      <c r="C635" s="19">
        <f>IFERROR(IF(AND(IFERROR(INDEX(ERP資料!$A:$A, (MATCH(634, 輔助計算!$G$2:$G$801, 0)+1)), "")&lt;&gt;"", IFERROR(INDEX(ERP資料!$A:$A, (MATCH(634, 輔助計算!$G$2:$G$801, 0)+1)), "")&lt;&gt;IFERROR(INDEX(ERP資料!$A:$A, MATCH(633, 輔助計算!$G$2:$G$801, 0)+1), "")), IFERROR(VLOOKUP(LEFT(INDEX(ERP資料!$S:$S, (MATCH(634, 輔助計算!$G$2:$G$801, 0)+1)), 4), 紙管對照表!$A:$C, 3, FALSE), ""), ""), "")</f>
        <v/>
      </c>
      <c r="D635" s="16" t="n"/>
      <c r="E635" s="10">
        <f>IFERROR(IF(INDEX(ERP資料!$H:$H, (MATCH(634, 輔助計算!$G$2:$G$801, 0)+1))="","",INDEX(ERP資料!$H:$H, (MATCH(634, 輔助計算!$G$2:$G$801, 0)+1))), "")</f>
        <v/>
      </c>
      <c r="F635" s="10">
        <f>IFERROR(IF(INDEX(ERP資料!$E:$E, (MATCH(634, 輔助計算!$G$2:$G$801, 0)+1))="","",TRIM(INDEX(ERP資料!$E:$E, (MATCH(634, 輔助計算!$G$2:$G$801, 0)+1)))), "")</f>
        <v/>
      </c>
      <c r="G635" s="10">
        <f>IFERROR(IF(INDEX(ERP資料!$F:$F, (MATCH(634, 輔助計算!$G$2:$G$801, 0)+1))="","",INDEX(ERP資料!$F:$F, (MATCH(634, 輔助計算!$G$2:$G$801, 0)+1))), "")</f>
        <v/>
      </c>
      <c r="H635" s="10">
        <f>IFERROR(IF(INDEX(ERP資料!$G:$G, (MATCH(634, 輔助計算!$G$2:$G$801, 0)+1))="","",INDEX(ERP資料!$G:$G, (MATCH(634, 輔助計算!$G$2:$G$801, 0)+1))), "")</f>
        <v/>
      </c>
      <c r="I635" s="15">
        <f>IFERROR(INDEX(輔助計算!$D:$D, (MATCH(634, 輔助計算!$G$2:$G$801, 0)+1)), "")</f>
        <v/>
      </c>
      <c r="J635" s="15">
        <f>IFERROR(IF(AND(INDEX(輔助計算!$D:$D, (MATCH(634, 輔助計算!$G$2:$G$801, 0)+1))&lt;&gt;"", INDEX(ERP資料!$G:$G, (MATCH(634, 輔助計算!$G$2:$G$801, 0)+1))&lt;&gt;""), TRIM(IF(INT(INDEX(輔助計算!$D:$D, (MATCH(634, 輔助計算!$G$2:$G$801, 0)+1))/IF(INDEX(ERP資料!$G:$G, (MATCH(634, 輔助計算!$G$2:$G$801, 0)+1))&lt;100, IF(INDEX(ERP資料!$G:$G, (MATCH(634, 輔助計算!$G$2:$G$801, 0)+1))&lt;=31,3,IF(INDEX(ERP資料!$G:$G, (MATCH(634, 輔助計算!$G$2:$G$801, 0)+1))&lt;=46.5,2,1)), IF(INDEX(ERP資料!$G:$G, (MATCH(634, 輔助計算!$G$2:$G$801, 0)+1))&lt;=790,3,IF(INDEX(ERP資料!$G:$G, (MATCH(634, 輔助計算!$G$2:$G$801, 0)+1))&lt;=1181,2,1))))&gt;0, IF(IF(INDEX(ERP資料!$G:$G, (MATCH(634, 輔助計算!$G$2:$G$801, 0)+1))&lt;100, IF(INDEX(ERP資料!$G:$G, (MATCH(634, 輔助計算!$G$2:$G$801, 0)+1))&lt;=31,3,IF(INDEX(ERP資料!$G:$G, (MATCH(634, 輔助計算!$G$2:$G$801, 0)+1))&lt;=46.5,2,1)), IF(INDEX(ERP資料!$G:$G, (MATCH(634, 輔助計算!$G$2:$G$801, 0)+1))&lt;=790,3,IF(INDEX(ERP資料!$G:$G, (MATCH(634, 輔助計算!$G$2:$G$801, 0)+1))&lt;=1181,2,1)))=1,TEXT(INDEX(ERP資料!$G:$G, (MATCH(634, 輔助計算!$G$2:$G$801, 0)+1)),"0.##"),IF(IF(INDEX(ERP資料!$G:$G, (MATCH(634, 輔助計算!$G$2:$G$801, 0)+1))&lt;100, IF(INDEX(ERP資料!$G:$G, (MATCH(634, 輔助計算!$G$2:$G$801, 0)+1))&lt;=31,3,IF(INDEX(ERP資料!$G:$G, (MATCH(634, 輔助計算!$G$2:$G$801, 0)+1))&lt;=46.5,2,1)), IF(INDEX(ERP資料!$G:$G, (MATCH(634, 輔助計算!$G$2:$G$801, 0)+1))&lt;=790,3,IF(INDEX(ERP資料!$G:$G, (MATCH(634, 輔助計算!$G$2:$G$801, 0)+1))&lt;=1181,2,1)))=2,TEXT(INDEX(ERP資料!$G:$G, (MATCH(634, 輔助計算!$G$2:$G$801, 0)+1)),"0.##")&amp;"+"&amp;TEXT(INDEX(ERP資料!$G:$G, (MATCH(634, 輔助計算!$G$2:$G$801, 0)+1)),"0.##"),TEXT(INDEX(ERP資料!$G:$G, (MATCH(634, 輔助計算!$G$2:$G$801, 0)+1)),"0.##")&amp;"+"&amp;TEXT(INDEX(ERP資料!$G:$G, (MATCH(634, 輔助計算!$G$2:$G$801, 0)+1)),"0.##")&amp;"+"&amp;TEXT(INDEX(ERP資料!$G:$G, (MATCH(634, 輔助計算!$G$2:$G$801, 0)+1)),"0.##")))&amp;"-"&amp;INT(INDEX(輔助計算!$D:$D, (MATCH(634, 輔助計算!$G$2:$G$801, 0)+1))/IF(INDEX(ERP資料!$G:$G, (MATCH(634, 輔助計算!$G$2:$G$801, 0)+1))&lt;100, IF(INDEX(ERP資料!$G:$G, (MATCH(634, 輔助計算!$G$2:$G$801, 0)+1))&lt;=31,3,IF(INDEX(ERP資料!$G:$G, (MATCH(634, 輔助計算!$G$2:$G$801, 0)+1))&lt;=46.5,2,1)), IF(INDEX(ERP資料!$G:$G, (MATCH(634, 輔助計算!$G$2:$G$801, 0)+1))&lt;=790,3,IF(INDEX(ERP資料!$G:$G, (MATCH(634, 輔助計算!$G$2:$G$801, 0)+1))&lt;=1181,2,1)))), "")&amp;IF(AND(IF(INT(INDEX(輔助計算!$D:$D, (MATCH(634, 輔助計算!$G$2:$G$801, 0)+1))/IF(INDEX(ERP資料!$G:$G, (MATCH(634, 輔助計算!$G$2:$G$801, 0)+1))&lt;100, IF(INDEX(ERP資料!$G:$G, (MATCH(634, 輔助計算!$G$2:$G$801, 0)+1))&lt;=31,3,IF(INDEX(ERP資料!$G:$G, (MATCH(634, 輔助計算!$G$2:$G$801, 0)+1))&lt;=46.5,2,1)), IF(INDEX(ERP資料!$G:$G, (MATCH(634, 輔助計算!$G$2:$G$801, 0)+1))&lt;=790,3,IF(INDEX(ERP資料!$G:$G, (MATCH(634, 輔助計算!$G$2:$G$801, 0)+1))&lt;=1181,2,1))))&gt;0, IF(IF(INDEX(ERP資料!$G:$G, (MATCH(634, 輔助計算!$G$2:$G$801, 0)+1))&lt;100, IF(INDEX(ERP資料!$G:$G, (MATCH(634, 輔助計算!$G$2:$G$801, 0)+1))&lt;=31,3,IF(INDEX(ERP資料!$G:$G, (MATCH(634, 輔助計算!$G$2:$G$801, 0)+1))&lt;=46.5,2,1)), IF(INDEX(ERP資料!$G:$G, (MATCH(634, 輔助計算!$G$2:$G$801, 0)+1))&lt;=790,3,IF(INDEX(ERP資料!$G:$G, (MATCH(634, 輔助計算!$G$2:$G$801, 0)+1))&lt;=1181,2,1)))=1,TEXT(INDEX(ERP資料!$G:$G, (MATCH(634, 輔助計算!$G$2:$G$801, 0)+1)),"0.##"),IF(IF(INDEX(ERP資料!$G:$G, (MATCH(634, 輔助計算!$G$2:$G$801, 0)+1))&lt;100, IF(INDEX(ERP資料!$G:$G, (MATCH(634, 輔助計算!$G$2:$G$801, 0)+1))&lt;=31,3,IF(INDEX(ERP資料!$G:$G, (MATCH(634, 輔助計算!$G$2:$G$801, 0)+1))&lt;=46.5,2,1)), IF(INDEX(ERP資料!$G:$G, (MATCH(634, 輔助計算!$G$2:$G$801, 0)+1))&lt;=790,3,IF(INDEX(ERP資料!$G:$G, (MATCH(634, 輔助計算!$G$2:$G$801, 0)+1))&lt;=1181,2,1)))=2,TEXT(INDEX(ERP資料!$G:$G, (MATCH(634, 輔助計算!$G$2:$G$801, 0)+1)),"0.##")&amp;"+"&amp;TEXT(INDEX(ERP資料!$G:$G, (MATCH(634, 輔助計算!$G$2:$G$801, 0)+1)),"0.##"),TEXT(INDEX(ERP資料!$G:$G, (MATCH(634, 輔助計算!$G$2:$G$801, 0)+1)),"0.##")&amp;"+"&amp;TEXT(INDEX(ERP資料!$G:$G, (MATCH(634, 輔助計算!$G$2:$G$801, 0)+1)),"0.##")&amp;"+"&amp;TEXT(INDEX(ERP資料!$G:$G, (MATCH(634, 輔助計算!$G$2:$G$801, 0)+1)),"0.##")))&amp;"-"&amp;INT(INDEX(輔助計算!$D:$D, (MATCH(634, 輔助計算!$G$2:$G$801, 0)+1))/IF(INDEX(ERP資料!$G:$G, (MATCH(634, 輔助計算!$G$2:$G$801, 0)+1))&lt;100, IF(INDEX(ERP資料!$G:$G, (MATCH(634, 輔助計算!$G$2:$G$801, 0)+1))&lt;=31,3,IF(INDEX(ERP資料!$G:$G, (MATCH(634, 輔助計算!$G$2:$G$801, 0)+1))&lt;=46.5,2,1)), IF(INDEX(ERP資料!$G:$G, (MATCH(634, 輔助計算!$G$2:$G$801, 0)+1))&lt;=790,3,IF(INDEX(ERP資料!$G:$G, (MATCH(634, 輔助計算!$G$2:$G$801, 0)+1))&lt;=1181,2,1)))), "")&lt;&gt;"",IF(MOD(INDEX(輔助計算!$D:$D, (MATCH(634, 輔助計算!$G$2:$G$801, 0)+1)),IF(INDEX(ERP資料!$G:$G, (MATCH(634, 輔助計算!$G$2:$G$801, 0)+1))&lt;100, IF(INDEX(ERP資料!$G:$G, (MATCH(634, 輔助計算!$G$2:$G$801, 0)+1))&lt;=31,3,IF(INDEX(ERP資料!$G:$G, (MATCH(634, 輔助計算!$G$2:$G$801, 0)+1))&lt;=46.5,2,1)), IF(INDEX(ERP資料!$G:$G, (MATCH(634, 輔助計算!$G$2:$G$801, 0)+1))&lt;=790,3,IF(INDEX(ERP資料!$G:$G, (MATCH(634, 輔助計算!$G$2:$G$801, 0)+1))&lt;=1181,2,1))))=0,"",IF(MOD(INDEX(輔助計算!$D:$D, (MATCH(634, 輔助計算!$G$2:$G$801, 0)+1)),IF(INDEX(ERP資料!$G:$G, (MATCH(634, 輔助計算!$G$2:$G$801, 0)+1))&lt;100, IF(INDEX(ERP資料!$G:$G, (MATCH(634, 輔助計算!$G$2:$G$801, 0)+1))&lt;=31,3,IF(INDEX(ERP資料!$G:$G, (MATCH(634, 輔助計算!$G$2:$G$801, 0)+1))&lt;=46.5,2,1)), IF(INDEX(ERP資料!$G:$G, (MATCH(634, 輔助計算!$G$2:$G$801, 0)+1))&lt;=790,3,IF(INDEX(ERP資料!$G:$G, (MATCH(634, 輔助計算!$G$2:$G$801, 0)+1))&lt;=1181,2,1))))=0,"",IF(MOD(INDEX(輔助計算!$D:$D, (MATCH(634, 輔助計算!$G$2:$G$801, 0)+1)),IF(INDEX(ERP資料!$G:$G, (MATCH(634, 輔助計算!$G$2:$G$801, 0)+1))&lt;100, IF(INDEX(ERP資料!$G:$G, (MATCH(634, 輔助計算!$G$2:$G$801, 0)+1))&lt;=31,3,IF(INDEX(ERP資料!$G:$G, (MATCH(634, 輔助計算!$G$2:$G$801, 0)+1))&lt;=46.5,2,1)), IF(INDEX(ERP資料!$G:$G, (MATCH(634, 輔助計算!$G$2:$G$801, 0)+1))&lt;=790,3,IF(INDEX(ERP資料!$G:$G, (MATCH(634, 輔助計算!$G$2:$G$801, 0)+1))&lt;=1181,2,1))))=1,TEXT(INDEX(ERP資料!$G:$G, (MATCH(634, 輔助計算!$G$2:$G$801, 0)+1)),"0.##"),IF(MOD(INDEX(輔助計算!$D:$D, (MATCH(634, 輔助計算!$G$2:$G$801, 0)+1)),IF(INDEX(ERP資料!$G:$G, (MATCH(634, 輔助計算!$G$2:$G$801, 0)+1))&lt;100, IF(INDEX(ERP資料!$G:$G, (MATCH(634, 輔助計算!$G$2:$G$801, 0)+1))&lt;=31,3,IF(INDEX(ERP資料!$G:$G, (MATCH(634, 輔助計算!$G$2:$G$801, 0)+1))&lt;=46.5,2,1)), IF(INDEX(ERP資料!$G:$G, (MATCH(634, 輔助計算!$G$2:$G$801, 0)+1))&lt;=790,3,IF(INDEX(ERP資料!$G:$G, (MATCH(634, 輔助計算!$G$2:$G$801, 0)+1))&lt;=1181,2,1))))=2,TEXT(INDEX(ERP資料!$G:$G, (MATCH(634, 輔助計算!$G$2:$G$801, 0)+1)),"0.##")&amp;"+"&amp;TEXT(INDEX(ERP資料!$G:$G, (MATCH(634, 輔助計算!$G$2:$G$801, 0)+1)),"0.##"),TEXT(INDEX(ERP資料!$G:$G, (MATCH(634, 輔助計算!$G$2:$G$801, 0)+1)),"0.##")&amp;"+"&amp;TEXT(INDEX(ERP資料!$G:$G, (MATCH(634, 輔助計算!$G$2:$G$801, 0)+1)),"0.##")&amp;"+"&amp;TEXT(INDEX(ERP資料!$G:$G, (MATCH(634, 輔助計算!$G$2:$G$801, 0)+1)),"0.##"))))&amp;"-1")&lt;&gt;""),"  ","")&amp;IF(MOD(INDEX(輔助計算!$D:$D, (MATCH(634, 輔助計算!$G$2:$G$801, 0)+1)),IF(INDEX(ERP資料!$G:$G, (MATCH(634, 輔助計算!$G$2:$G$801, 0)+1))&lt;100, IF(INDEX(ERP資料!$G:$G, (MATCH(634, 輔助計算!$G$2:$G$801, 0)+1))&lt;=31,3,IF(INDEX(ERP資料!$G:$G, (MATCH(634, 輔助計算!$G$2:$G$801, 0)+1))&lt;=46.5,2,1)), IF(INDEX(ERP資料!$G:$G, (MATCH(634, 輔助計算!$G$2:$G$801, 0)+1))&lt;=790,3,IF(INDEX(ERP資料!$G:$G, (MATCH(634, 輔助計算!$G$2:$G$801, 0)+1))&lt;=1181,2,1))))=0,"",IF(MOD(INDEX(輔助計算!$D:$D, (MATCH(634, 輔助計算!$G$2:$G$801, 0)+1)),IF(INDEX(ERP資料!$G:$G, (MATCH(634, 輔助計算!$G$2:$G$801, 0)+1))&lt;100, IF(INDEX(ERP資料!$G:$G, (MATCH(634, 輔助計算!$G$2:$G$801, 0)+1))&lt;=31,3,IF(INDEX(ERP資料!$G:$G, (MATCH(634, 輔助計算!$G$2:$G$801, 0)+1))&lt;=46.5,2,1)), IF(INDEX(ERP資料!$G:$G, (MATCH(634, 輔助計算!$G$2:$G$801, 0)+1))&lt;=790,3,IF(INDEX(ERP資料!$G:$G, (MATCH(634, 輔助計算!$G$2:$G$801, 0)+1))&lt;=1181,2,1))))=0,"",IF(MOD(INDEX(輔助計算!$D:$D, (MATCH(634, 輔助計算!$G$2:$G$801, 0)+1)),IF(INDEX(ERP資料!$G:$G, (MATCH(634, 輔助計算!$G$2:$G$801, 0)+1))&lt;100, IF(INDEX(ERP資料!$G:$G, (MATCH(634, 輔助計算!$G$2:$G$801, 0)+1))&lt;=31,3,IF(INDEX(ERP資料!$G:$G, (MATCH(634, 輔助計算!$G$2:$G$801, 0)+1))&lt;=46.5,2,1)), IF(INDEX(ERP資料!$G:$G, (MATCH(634, 輔助計算!$G$2:$G$801, 0)+1))&lt;=790,3,IF(INDEX(ERP資料!$G:$G, (MATCH(634, 輔助計算!$G$2:$G$801, 0)+1))&lt;=1181,2,1))))=1,TEXT(INDEX(ERP資料!$G:$G, (MATCH(634, 輔助計算!$G$2:$G$801, 0)+1)),"0.##"),IF(MOD(INDEX(輔助計算!$D:$D, (MATCH(634, 輔助計算!$G$2:$G$801, 0)+1)),IF(INDEX(ERP資料!$G:$G, (MATCH(634, 輔助計算!$G$2:$G$801, 0)+1))&lt;100, IF(INDEX(ERP資料!$G:$G, (MATCH(634, 輔助計算!$G$2:$G$801, 0)+1))&lt;=31,3,IF(INDEX(ERP資料!$G:$G, (MATCH(634, 輔助計算!$G$2:$G$801, 0)+1))&lt;=46.5,2,1)), IF(INDEX(ERP資料!$G:$G, (MATCH(634, 輔助計算!$G$2:$G$801, 0)+1))&lt;=790,3,IF(INDEX(ERP資料!$G:$G, (MATCH(634, 輔助計算!$G$2:$G$801, 0)+1))&lt;=1181,2,1))))=2,TEXT(INDEX(ERP資料!$G:$G, (MATCH(634, 輔助計算!$G$2:$G$801, 0)+1)),"0.##")&amp;"+"&amp;TEXT(INDEX(ERP資料!$G:$G, (MATCH(634, 輔助計算!$G$2:$G$801, 0)+1)),"0.##"),TEXT(INDEX(ERP資料!$G:$G, (MATCH(634, 輔助計算!$G$2:$G$801, 0)+1)),"0.##")&amp;"+"&amp;TEXT(INDEX(ERP資料!$G:$G, (MATCH(634, 輔助計算!$G$2:$G$801, 0)+1)),"0.##")&amp;"+"&amp;TEXT(INDEX(ERP資料!$G:$G, (MATCH(634, 輔助計算!$G$2:$G$801, 0)+1)),"0.##"))))&amp;"-1")), ""), "")</f>
        <v/>
      </c>
      <c r="K635" s="16" t="n"/>
      <c r="L635" s="14">
        <f>IFERROR(IF(AND(IFERROR(INDEX(ERP資料!$A:$A, (MATCH(634, 輔助計算!$G$2:$G$801, 0)+1)), "")&lt;&gt;"", IFERROR(INDEX(ERP資料!$A:$A, (MATCH(634, 輔助計算!$G$2:$G$801, 0)+1)), "")&lt;&gt;IFERROR(INDEX(ERP資料!$A:$A, MATCH(633, 輔助計算!$G$2:$G$801, 0)+1), "")), INDEX(ERP資料!$B:$B, (MATCH(634, 輔助計算!$G$2:$G$801, 0)+1)), ""), "")</f>
        <v/>
      </c>
      <c r="M635" s="17" t="n"/>
    </row>
    <row r="636">
      <c r="A636" s="10">
        <f>IFERROR(IF(AND(IFERROR(INDEX(ERP資料!$A:$A, (MATCH(635, 輔助計算!$G$2:$G$801, 0)+1)), "")&lt;&gt;"", IFERROR(INDEX(ERP資料!$A:$A, (MATCH(635, 輔助計算!$G$2:$G$801, 0)+1)), "")&lt;&gt;IFERROR(INDEX(ERP資料!$A:$A, MATCH(634, 輔助計算!$G$2:$G$801, 0)+1), "")), IFERROR(INDEX(ERP資料!$A:$A, (MATCH(635, 輔助計算!$G$2:$G$801, 0)+1)), ""), ""), "")</f>
        <v/>
      </c>
      <c r="B636" s="10">
        <f>IFERROR(IF(AND(IFERROR(INDEX(ERP資料!$A:$A, (MATCH(635, 輔助計算!$G$2:$G$801, 0)+1)), "")&lt;&gt;"", IFERROR(INDEX(ERP資料!$A:$A, (MATCH(635, 輔助計算!$G$2:$G$801, 0)+1)), "")&lt;&gt;IFERROR(INDEX(ERP資料!$A:$A, MATCH(634, 輔助計算!$G$2:$G$801, 0)+1), "")), INDEX(ERP資料!$S:$S, (MATCH(635, 輔助計算!$G$2:$G$801, 0)+1)), ""), "")</f>
        <v/>
      </c>
      <c r="C636" s="19">
        <f>IFERROR(IF(AND(IFERROR(INDEX(ERP資料!$A:$A, (MATCH(635, 輔助計算!$G$2:$G$801, 0)+1)), "")&lt;&gt;"", IFERROR(INDEX(ERP資料!$A:$A, (MATCH(635, 輔助計算!$G$2:$G$801, 0)+1)), "")&lt;&gt;IFERROR(INDEX(ERP資料!$A:$A, MATCH(634, 輔助計算!$G$2:$G$801, 0)+1), "")), IFERROR(VLOOKUP(LEFT(INDEX(ERP資料!$S:$S, (MATCH(635, 輔助計算!$G$2:$G$801, 0)+1)), 4), 紙管對照表!$A:$C, 3, FALSE), ""), ""), "")</f>
        <v/>
      </c>
      <c r="D636" s="16" t="n"/>
      <c r="E636" s="10">
        <f>IFERROR(IF(INDEX(ERP資料!$H:$H, (MATCH(635, 輔助計算!$G$2:$G$801, 0)+1))="","",INDEX(ERP資料!$H:$H, (MATCH(635, 輔助計算!$G$2:$G$801, 0)+1))), "")</f>
        <v/>
      </c>
      <c r="F636" s="10">
        <f>IFERROR(IF(INDEX(ERP資料!$E:$E, (MATCH(635, 輔助計算!$G$2:$G$801, 0)+1))="","",TRIM(INDEX(ERP資料!$E:$E, (MATCH(635, 輔助計算!$G$2:$G$801, 0)+1)))), "")</f>
        <v/>
      </c>
      <c r="G636" s="10">
        <f>IFERROR(IF(INDEX(ERP資料!$F:$F, (MATCH(635, 輔助計算!$G$2:$G$801, 0)+1))="","",INDEX(ERP資料!$F:$F, (MATCH(635, 輔助計算!$G$2:$G$801, 0)+1))), "")</f>
        <v/>
      </c>
      <c r="H636" s="10">
        <f>IFERROR(IF(INDEX(ERP資料!$G:$G, (MATCH(635, 輔助計算!$G$2:$G$801, 0)+1))="","",INDEX(ERP資料!$G:$G, (MATCH(635, 輔助計算!$G$2:$G$801, 0)+1))), "")</f>
        <v/>
      </c>
      <c r="I636" s="15">
        <f>IFERROR(INDEX(輔助計算!$D:$D, (MATCH(635, 輔助計算!$G$2:$G$801, 0)+1)), "")</f>
        <v/>
      </c>
      <c r="J636" s="15">
        <f>IFERROR(IF(AND(INDEX(輔助計算!$D:$D, (MATCH(635, 輔助計算!$G$2:$G$801, 0)+1))&lt;&gt;"", INDEX(ERP資料!$G:$G, (MATCH(635, 輔助計算!$G$2:$G$801, 0)+1))&lt;&gt;""), TRIM(IF(INT(INDEX(輔助計算!$D:$D, (MATCH(635, 輔助計算!$G$2:$G$801, 0)+1))/IF(INDEX(ERP資料!$G:$G, (MATCH(635, 輔助計算!$G$2:$G$801, 0)+1))&lt;100, IF(INDEX(ERP資料!$G:$G, (MATCH(635, 輔助計算!$G$2:$G$801, 0)+1))&lt;=31,3,IF(INDEX(ERP資料!$G:$G, (MATCH(635, 輔助計算!$G$2:$G$801, 0)+1))&lt;=46.5,2,1)), IF(INDEX(ERP資料!$G:$G, (MATCH(635, 輔助計算!$G$2:$G$801, 0)+1))&lt;=790,3,IF(INDEX(ERP資料!$G:$G, (MATCH(635, 輔助計算!$G$2:$G$801, 0)+1))&lt;=1181,2,1))))&gt;0, IF(IF(INDEX(ERP資料!$G:$G, (MATCH(635, 輔助計算!$G$2:$G$801, 0)+1))&lt;100, IF(INDEX(ERP資料!$G:$G, (MATCH(635, 輔助計算!$G$2:$G$801, 0)+1))&lt;=31,3,IF(INDEX(ERP資料!$G:$G, (MATCH(635, 輔助計算!$G$2:$G$801, 0)+1))&lt;=46.5,2,1)), IF(INDEX(ERP資料!$G:$G, (MATCH(635, 輔助計算!$G$2:$G$801, 0)+1))&lt;=790,3,IF(INDEX(ERP資料!$G:$G, (MATCH(635, 輔助計算!$G$2:$G$801, 0)+1))&lt;=1181,2,1)))=1,TEXT(INDEX(ERP資料!$G:$G, (MATCH(635, 輔助計算!$G$2:$G$801, 0)+1)),"0.##"),IF(IF(INDEX(ERP資料!$G:$G, (MATCH(635, 輔助計算!$G$2:$G$801, 0)+1))&lt;100, IF(INDEX(ERP資料!$G:$G, (MATCH(635, 輔助計算!$G$2:$G$801, 0)+1))&lt;=31,3,IF(INDEX(ERP資料!$G:$G, (MATCH(635, 輔助計算!$G$2:$G$801, 0)+1))&lt;=46.5,2,1)), IF(INDEX(ERP資料!$G:$G, (MATCH(635, 輔助計算!$G$2:$G$801, 0)+1))&lt;=790,3,IF(INDEX(ERP資料!$G:$G, (MATCH(635, 輔助計算!$G$2:$G$801, 0)+1))&lt;=1181,2,1)))=2,TEXT(INDEX(ERP資料!$G:$G, (MATCH(635, 輔助計算!$G$2:$G$801, 0)+1)),"0.##")&amp;"+"&amp;TEXT(INDEX(ERP資料!$G:$G, (MATCH(635, 輔助計算!$G$2:$G$801, 0)+1)),"0.##"),TEXT(INDEX(ERP資料!$G:$G, (MATCH(635, 輔助計算!$G$2:$G$801, 0)+1)),"0.##")&amp;"+"&amp;TEXT(INDEX(ERP資料!$G:$G, (MATCH(635, 輔助計算!$G$2:$G$801, 0)+1)),"0.##")&amp;"+"&amp;TEXT(INDEX(ERP資料!$G:$G, (MATCH(635, 輔助計算!$G$2:$G$801, 0)+1)),"0.##")))&amp;"-"&amp;INT(INDEX(輔助計算!$D:$D, (MATCH(635, 輔助計算!$G$2:$G$801, 0)+1))/IF(INDEX(ERP資料!$G:$G, (MATCH(635, 輔助計算!$G$2:$G$801, 0)+1))&lt;100, IF(INDEX(ERP資料!$G:$G, (MATCH(635, 輔助計算!$G$2:$G$801, 0)+1))&lt;=31,3,IF(INDEX(ERP資料!$G:$G, (MATCH(635, 輔助計算!$G$2:$G$801, 0)+1))&lt;=46.5,2,1)), IF(INDEX(ERP資料!$G:$G, (MATCH(635, 輔助計算!$G$2:$G$801, 0)+1))&lt;=790,3,IF(INDEX(ERP資料!$G:$G, (MATCH(635, 輔助計算!$G$2:$G$801, 0)+1))&lt;=1181,2,1)))), "")&amp;IF(AND(IF(INT(INDEX(輔助計算!$D:$D, (MATCH(635, 輔助計算!$G$2:$G$801, 0)+1))/IF(INDEX(ERP資料!$G:$G, (MATCH(635, 輔助計算!$G$2:$G$801, 0)+1))&lt;100, IF(INDEX(ERP資料!$G:$G, (MATCH(635, 輔助計算!$G$2:$G$801, 0)+1))&lt;=31,3,IF(INDEX(ERP資料!$G:$G, (MATCH(635, 輔助計算!$G$2:$G$801, 0)+1))&lt;=46.5,2,1)), IF(INDEX(ERP資料!$G:$G, (MATCH(635, 輔助計算!$G$2:$G$801, 0)+1))&lt;=790,3,IF(INDEX(ERP資料!$G:$G, (MATCH(635, 輔助計算!$G$2:$G$801, 0)+1))&lt;=1181,2,1))))&gt;0, IF(IF(INDEX(ERP資料!$G:$G, (MATCH(635, 輔助計算!$G$2:$G$801, 0)+1))&lt;100, IF(INDEX(ERP資料!$G:$G, (MATCH(635, 輔助計算!$G$2:$G$801, 0)+1))&lt;=31,3,IF(INDEX(ERP資料!$G:$G, (MATCH(635, 輔助計算!$G$2:$G$801, 0)+1))&lt;=46.5,2,1)), IF(INDEX(ERP資料!$G:$G, (MATCH(635, 輔助計算!$G$2:$G$801, 0)+1))&lt;=790,3,IF(INDEX(ERP資料!$G:$G, (MATCH(635, 輔助計算!$G$2:$G$801, 0)+1))&lt;=1181,2,1)))=1,TEXT(INDEX(ERP資料!$G:$G, (MATCH(635, 輔助計算!$G$2:$G$801, 0)+1)),"0.##"),IF(IF(INDEX(ERP資料!$G:$G, (MATCH(635, 輔助計算!$G$2:$G$801, 0)+1))&lt;100, IF(INDEX(ERP資料!$G:$G, (MATCH(635, 輔助計算!$G$2:$G$801, 0)+1))&lt;=31,3,IF(INDEX(ERP資料!$G:$G, (MATCH(635, 輔助計算!$G$2:$G$801, 0)+1))&lt;=46.5,2,1)), IF(INDEX(ERP資料!$G:$G, (MATCH(635, 輔助計算!$G$2:$G$801, 0)+1))&lt;=790,3,IF(INDEX(ERP資料!$G:$G, (MATCH(635, 輔助計算!$G$2:$G$801, 0)+1))&lt;=1181,2,1)))=2,TEXT(INDEX(ERP資料!$G:$G, (MATCH(635, 輔助計算!$G$2:$G$801, 0)+1)),"0.##")&amp;"+"&amp;TEXT(INDEX(ERP資料!$G:$G, (MATCH(635, 輔助計算!$G$2:$G$801, 0)+1)),"0.##"),TEXT(INDEX(ERP資料!$G:$G, (MATCH(635, 輔助計算!$G$2:$G$801, 0)+1)),"0.##")&amp;"+"&amp;TEXT(INDEX(ERP資料!$G:$G, (MATCH(635, 輔助計算!$G$2:$G$801, 0)+1)),"0.##")&amp;"+"&amp;TEXT(INDEX(ERP資料!$G:$G, (MATCH(635, 輔助計算!$G$2:$G$801, 0)+1)),"0.##")))&amp;"-"&amp;INT(INDEX(輔助計算!$D:$D, (MATCH(635, 輔助計算!$G$2:$G$801, 0)+1))/IF(INDEX(ERP資料!$G:$G, (MATCH(635, 輔助計算!$G$2:$G$801, 0)+1))&lt;100, IF(INDEX(ERP資料!$G:$G, (MATCH(635, 輔助計算!$G$2:$G$801, 0)+1))&lt;=31,3,IF(INDEX(ERP資料!$G:$G, (MATCH(635, 輔助計算!$G$2:$G$801, 0)+1))&lt;=46.5,2,1)), IF(INDEX(ERP資料!$G:$G, (MATCH(635, 輔助計算!$G$2:$G$801, 0)+1))&lt;=790,3,IF(INDEX(ERP資料!$G:$G, (MATCH(635, 輔助計算!$G$2:$G$801, 0)+1))&lt;=1181,2,1)))), "")&lt;&gt;"",IF(MOD(INDEX(輔助計算!$D:$D, (MATCH(635, 輔助計算!$G$2:$G$801, 0)+1)),IF(INDEX(ERP資料!$G:$G, (MATCH(635, 輔助計算!$G$2:$G$801, 0)+1))&lt;100, IF(INDEX(ERP資料!$G:$G, (MATCH(635, 輔助計算!$G$2:$G$801, 0)+1))&lt;=31,3,IF(INDEX(ERP資料!$G:$G, (MATCH(635, 輔助計算!$G$2:$G$801, 0)+1))&lt;=46.5,2,1)), IF(INDEX(ERP資料!$G:$G, (MATCH(635, 輔助計算!$G$2:$G$801, 0)+1))&lt;=790,3,IF(INDEX(ERP資料!$G:$G, (MATCH(635, 輔助計算!$G$2:$G$801, 0)+1))&lt;=1181,2,1))))=0,"",IF(MOD(INDEX(輔助計算!$D:$D, (MATCH(635, 輔助計算!$G$2:$G$801, 0)+1)),IF(INDEX(ERP資料!$G:$G, (MATCH(635, 輔助計算!$G$2:$G$801, 0)+1))&lt;100, IF(INDEX(ERP資料!$G:$G, (MATCH(635, 輔助計算!$G$2:$G$801, 0)+1))&lt;=31,3,IF(INDEX(ERP資料!$G:$G, (MATCH(635, 輔助計算!$G$2:$G$801, 0)+1))&lt;=46.5,2,1)), IF(INDEX(ERP資料!$G:$G, (MATCH(635, 輔助計算!$G$2:$G$801, 0)+1))&lt;=790,3,IF(INDEX(ERP資料!$G:$G, (MATCH(635, 輔助計算!$G$2:$G$801, 0)+1))&lt;=1181,2,1))))=0,"",IF(MOD(INDEX(輔助計算!$D:$D, (MATCH(635, 輔助計算!$G$2:$G$801, 0)+1)),IF(INDEX(ERP資料!$G:$G, (MATCH(635, 輔助計算!$G$2:$G$801, 0)+1))&lt;100, IF(INDEX(ERP資料!$G:$G, (MATCH(635, 輔助計算!$G$2:$G$801, 0)+1))&lt;=31,3,IF(INDEX(ERP資料!$G:$G, (MATCH(635, 輔助計算!$G$2:$G$801, 0)+1))&lt;=46.5,2,1)), IF(INDEX(ERP資料!$G:$G, (MATCH(635, 輔助計算!$G$2:$G$801, 0)+1))&lt;=790,3,IF(INDEX(ERP資料!$G:$G, (MATCH(635, 輔助計算!$G$2:$G$801, 0)+1))&lt;=1181,2,1))))=1,TEXT(INDEX(ERP資料!$G:$G, (MATCH(635, 輔助計算!$G$2:$G$801, 0)+1)),"0.##"),IF(MOD(INDEX(輔助計算!$D:$D, (MATCH(635, 輔助計算!$G$2:$G$801, 0)+1)),IF(INDEX(ERP資料!$G:$G, (MATCH(635, 輔助計算!$G$2:$G$801, 0)+1))&lt;100, IF(INDEX(ERP資料!$G:$G, (MATCH(635, 輔助計算!$G$2:$G$801, 0)+1))&lt;=31,3,IF(INDEX(ERP資料!$G:$G, (MATCH(635, 輔助計算!$G$2:$G$801, 0)+1))&lt;=46.5,2,1)), IF(INDEX(ERP資料!$G:$G, (MATCH(635, 輔助計算!$G$2:$G$801, 0)+1))&lt;=790,3,IF(INDEX(ERP資料!$G:$G, (MATCH(635, 輔助計算!$G$2:$G$801, 0)+1))&lt;=1181,2,1))))=2,TEXT(INDEX(ERP資料!$G:$G, (MATCH(635, 輔助計算!$G$2:$G$801, 0)+1)),"0.##")&amp;"+"&amp;TEXT(INDEX(ERP資料!$G:$G, (MATCH(635, 輔助計算!$G$2:$G$801, 0)+1)),"0.##"),TEXT(INDEX(ERP資料!$G:$G, (MATCH(635, 輔助計算!$G$2:$G$801, 0)+1)),"0.##")&amp;"+"&amp;TEXT(INDEX(ERP資料!$G:$G, (MATCH(635, 輔助計算!$G$2:$G$801, 0)+1)),"0.##")&amp;"+"&amp;TEXT(INDEX(ERP資料!$G:$G, (MATCH(635, 輔助計算!$G$2:$G$801, 0)+1)),"0.##"))))&amp;"-1")&lt;&gt;""),"  ","")&amp;IF(MOD(INDEX(輔助計算!$D:$D, (MATCH(635, 輔助計算!$G$2:$G$801, 0)+1)),IF(INDEX(ERP資料!$G:$G, (MATCH(635, 輔助計算!$G$2:$G$801, 0)+1))&lt;100, IF(INDEX(ERP資料!$G:$G, (MATCH(635, 輔助計算!$G$2:$G$801, 0)+1))&lt;=31,3,IF(INDEX(ERP資料!$G:$G, (MATCH(635, 輔助計算!$G$2:$G$801, 0)+1))&lt;=46.5,2,1)), IF(INDEX(ERP資料!$G:$G, (MATCH(635, 輔助計算!$G$2:$G$801, 0)+1))&lt;=790,3,IF(INDEX(ERP資料!$G:$G, (MATCH(635, 輔助計算!$G$2:$G$801, 0)+1))&lt;=1181,2,1))))=0,"",IF(MOD(INDEX(輔助計算!$D:$D, (MATCH(635, 輔助計算!$G$2:$G$801, 0)+1)),IF(INDEX(ERP資料!$G:$G, (MATCH(635, 輔助計算!$G$2:$G$801, 0)+1))&lt;100, IF(INDEX(ERP資料!$G:$G, (MATCH(635, 輔助計算!$G$2:$G$801, 0)+1))&lt;=31,3,IF(INDEX(ERP資料!$G:$G, (MATCH(635, 輔助計算!$G$2:$G$801, 0)+1))&lt;=46.5,2,1)), IF(INDEX(ERP資料!$G:$G, (MATCH(635, 輔助計算!$G$2:$G$801, 0)+1))&lt;=790,3,IF(INDEX(ERP資料!$G:$G, (MATCH(635, 輔助計算!$G$2:$G$801, 0)+1))&lt;=1181,2,1))))=0,"",IF(MOD(INDEX(輔助計算!$D:$D, (MATCH(635, 輔助計算!$G$2:$G$801, 0)+1)),IF(INDEX(ERP資料!$G:$G, (MATCH(635, 輔助計算!$G$2:$G$801, 0)+1))&lt;100, IF(INDEX(ERP資料!$G:$G, (MATCH(635, 輔助計算!$G$2:$G$801, 0)+1))&lt;=31,3,IF(INDEX(ERP資料!$G:$G, (MATCH(635, 輔助計算!$G$2:$G$801, 0)+1))&lt;=46.5,2,1)), IF(INDEX(ERP資料!$G:$G, (MATCH(635, 輔助計算!$G$2:$G$801, 0)+1))&lt;=790,3,IF(INDEX(ERP資料!$G:$G, (MATCH(635, 輔助計算!$G$2:$G$801, 0)+1))&lt;=1181,2,1))))=1,TEXT(INDEX(ERP資料!$G:$G, (MATCH(635, 輔助計算!$G$2:$G$801, 0)+1)),"0.##"),IF(MOD(INDEX(輔助計算!$D:$D, (MATCH(635, 輔助計算!$G$2:$G$801, 0)+1)),IF(INDEX(ERP資料!$G:$G, (MATCH(635, 輔助計算!$G$2:$G$801, 0)+1))&lt;100, IF(INDEX(ERP資料!$G:$G, (MATCH(635, 輔助計算!$G$2:$G$801, 0)+1))&lt;=31,3,IF(INDEX(ERP資料!$G:$G, (MATCH(635, 輔助計算!$G$2:$G$801, 0)+1))&lt;=46.5,2,1)), IF(INDEX(ERP資料!$G:$G, (MATCH(635, 輔助計算!$G$2:$G$801, 0)+1))&lt;=790,3,IF(INDEX(ERP資料!$G:$G, (MATCH(635, 輔助計算!$G$2:$G$801, 0)+1))&lt;=1181,2,1))))=2,TEXT(INDEX(ERP資料!$G:$G, (MATCH(635, 輔助計算!$G$2:$G$801, 0)+1)),"0.##")&amp;"+"&amp;TEXT(INDEX(ERP資料!$G:$G, (MATCH(635, 輔助計算!$G$2:$G$801, 0)+1)),"0.##"),TEXT(INDEX(ERP資料!$G:$G, (MATCH(635, 輔助計算!$G$2:$G$801, 0)+1)),"0.##")&amp;"+"&amp;TEXT(INDEX(ERP資料!$G:$G, (MATCH(635, 輔助計算!$G$2:$G$801, 0)+1)),"0.##")&amp;"+"&amp;TEXT(INDEX(ERP資料!$G:$G, (MATCH(635, 輔助計算!$G$2:$G$801, 0)+1)),"0.##"))))&amp;"-1")), ""), "")</f>
        <v/>
      </c>
      <c r="K636" s="16" t="n"/>
      <c r="L636" s="14">
        <f>IFERROR(IF(AND(IFERROR(INDEX(ERP資料!$A:$A, (MATCH(635, 輔助計算!$G$2:$G$801, 0)+1)), "")&lt;&gt;"", IFERROR(INDEX(ERP資料!$A:$A, (MATCH(635, 輔助計算!$G$2:$G$801, 0)+1)), "")&lt;&gt;IFERROR(INDEX(ERP資料!$A:$A, MATCH(634, 輔助計算!$G$2:$G$801, 0)+1), "")), INDEX(ERP資料!$B:$B, (MATCH(635, 輔助計算!$G$2:$G$801, 0)+1)), ""), "")</f>
        <v/>
      </c>
      <c r="M636" s="17" t="n"/>
    </row>
    <row r="637">
      <c r="A637" s="10">
        <f>IFERROR(IF(AND(IFERROR(INDEX(ERP資料!$A:$A, (MATCH(636, 輔助計算!$G$2:$G$801, 0)+1)), "")&lt;&gt;"", IFERROR(INDEX(ERP資料!$A:$A, (MATCH(636, 輔助計算!$G$2:$G$801, 0)+1)), "")&lt;&gt;IFERROR(INDEX(ERP資料!$A:$A, MATCH(635, 輔助計算!$G$2:$G$801, 0)+1), "")), IFERROR(INDEX(ERP資料!$A:$A, (MATCH(636, 輔助計算!$G$2:$G$801, 0)+1)), ""), ""), "")</f>
        <v/>
      </c>
      <c r="B637" s="10">
        <f>IFERROR(IF(AND(IFERROR(INDEX(ERP資料!$A:$A, (MATCH(636, 輔助計算!$G$2:$G$801, 0)+1)), "")&lt;&gt;"", IFERROR(INDEX(ERP資料!$A:$A, (MATCH(636, 輔助計算!$G$2:$G$801, 0)+1)), "")&lt;&gt;IFERROR(INDEX(ERP資料!$A:$A, MATCH(635, 輔助計算!$G$2:$G$801, 0)+1), "")), INDEX(ERP資料!$S:$S, (MATCH(636, 輔助計算!$G$2:$G$801, 0)+1)), ""), "")</f>
        <v/>
      </c>
      <c r="C637" s="19">
        <f>IFERROR(IF(AND(IFERROR(INDEX(ERP資料!$A:$A, (MATCH(636, 輔助計算!$G$2:$G$801, 0)+1)), "")&lt;&gt;"", IFERROR(INDEX(ERP資料!$A:$A, (MATCH(636, 輔助計算!$G$2:$G$801, 0)+1)), "")&lt;&gt;IFERROR(INDEX(ERP資料!$A:$A, MATCH(635, 輔助計算!$G$2:$G$801, 0)+1), "")), IFERROR(VLOOKUP(LEFT(INDEX(ERP資料!$S:$S, (MATCH(636, 輔助計算!$G$2:$G$801, 0)+1)), 4), 紙管對照表!$A:$C, 3, FALSE), ""), ""), "")</f>
        <v/>
      </c>
      <c r="D637" s="16" t="n"/>
      <c r="E637" s="10">
        <f>IFERROR(IF(INDEX(ERP資料!$H:$H, (MATCH(636, 輔助計算!$G$2:$G$801, 0)+1))="","",INDEX(ERP資料!$H:$H, (MATCH(636, 輔助計算!$G$2:$G$801, 0)+1))), "")</f>
        <v/>
      </c>
      <c r="F637" s="10">
        <f>IFERROR(IF(INDEX(ERP資料!$E:$E, (MATCH(636, 輔助計算!$G$2:$G$801, 0)+1))="","",TRIM(INDEX(ERP資料!$E:$E, (MATCH(636, 輔助計算!$G$2:$G$801, 0)+1)))), "")</f>
        <v/>
      </c>
      <c r="G637" s="10">
        <f>IFERROR(IF(INDEX(ERP資料!$F:$F, (MATCH(636, 輔助計算!$G$2:$G$801, 0)+1))="","",INDEX(ERP資料!$F:$F, (MATCH(636, 輔助計算!$G$2:$G$801, 0)+1))), "")</f>
        <v/>
      </c>
      <c r="H637" s="10">
        <f>IFERROR(IF(INDEX(ERP資料!$G:$G, (MATCH(636, 輔助計算!$G$2:$G$801, 0)+1))="","",INDEX(ERP資料!$G:$G, (MATCH(636, 輔助計算!$G$2:$G$801, 0)+1))), "")</f>
        <v/>
      </c>
      <c r="I637" s="15">
        <f>IFERROR(INDEX(輔助計算!$D:$D, (MATCH(636, 輔助計算!$G$2:$G$801, 0)+1)), "")</f>
        <v/>
      </c>
      <c r="J637" s="15">
        <f>IFERROR(IF(AND(INDEX(輔助計算!$D:$D, (MATCH(636, 輔助計算!$G$2:$G$801, 0)+1))&lt;&gt;"", INDEX(ERP資料!$G:$G, (MATCH(636, 輔助計算!$G$2:$G$801, 0)+1))&lt;&gt;""), TRIM(IF(INT(INDEX(輔助計算!$D:$D, (MATCH(636, 輔助計算!$G$2:$G$801, 0)+1))/IF(INDEX(ERP資料!$G:$G, (MATCH(636, 輔助計算!$G$2:$G$801, 0)+1))&lt;100, IF(INDEX(ERP資料!$G:$G, (MATCH(636, 輔助計算!$G$2:$G$801, 0)+1))&lt;=31,3,IF(INDEX(ERP資料!$G:$G, (MATCH(636, 輔助計算!$G$2:$G$801, 0)+1))&lt;=46.5,2,1)), IF(INDEX(ERP資料!$G:$G, (MATCH(636, 輔助計算!$G$2:$G$801, 0)+1))&lt;=790,3,IF(INDEX(ERP資料!$G:$G, (MATCH(636, 輔助計算!$G$2:$G$801, 0)+1))&lt;=1181,2,1))))&gt;0, IF(IF(INDEX(ERP資料!$G:$G, (MATCH(636, 輔助計算!$G$2:$G$801, 0)+1))&lt;100, IF(INDEX(ERP資料!$G:$G, (MATCH(636, 輔助計算!$G$2:$G$801, 0)+1))&lt;=31,3,IF(INDEX(ERP資料!$G:$G, (MATCH(636, 輔助計算!$G$2:$G$801, 0)+1))&lt;=46.5,2,1)), IF(INDEX(ERP資料!$G:$G, (MATCH(636, 輔助計算!$G$2:$G$801, 0)+1))&lt;=790,3,IF(INDEX(ERP資料!$G:$G, (MATCH(636, 輔助計算!$G$2:$G$801, 0)+1))&lt;=1181,2,1)))=1,TEXT(INDEX(ERP資料!$G:$G, (MATCH(636, 輔助計算!$G$2:$G$801, 0)+1)),"0.##"),IF(IF(INDEX(ERP資料!$G:$G, (MATCH(636, 輔助計算!$G$2:$G$801, 0)+1))&lt;100, IF(INDEX(ERP資料!$G:$G, (MATCH(636, 輔助計算!$G$2:$G$801, 0)+1))&lt;=31,3,IF(INDEX(ERP資料!$G:$G, (MATCH(636, 輔助計算!$G$2:$G$801, 0)+1))&lt;=46.5,2,1)), IF(INDEX(ERP資料!$G:$G, (MATCH(636, 輔助計算!$G$2:$G$801, 0)+1))&lt;=790,3,IF(INDEX(ERP資料!$G:$G, (MATCH(636, 輔助計算!$G$2:$G$801, 0)+1))&lt;=1181,2,1)))=2,TEXT(INDEX(ERP資料!$G:$G, (MATCH(636, 輔助計算!$G$2:$G$801, 0)+1)),"0.##")&amp;"+"&amp;TEXT(INDEX(ERP資料!$G:$G, (MATCH(636, 輔助計算!$G$2:$G$801, 0)+1)),"0.##"),TEXT(INDEX(ERP資料!$G:$G, (MATCH(636, 輔助計算!$G$2:$G$801, 0)+1)),"0.##")&amp;"+"&amp;TEXT(INDEX(ERP資料!$G:$G, (MATCH(636, 輔助計算!$G$2:$G$801, 0)+1)),"0.##")&amp;"+"&amp;TEXT(INDEX(ERP資料!$G:$G, (MATCH(636, 輔助計算!$G$2:$G$801, 0)+1)),"0.##")))&amp;"-"&amp;INT(INDEX(輔助計算!$D:$D, (MATCH(636, 輔助計算!$G$2:$G$801, 0)+1))/IF(INDEX(ERP資料!$G:$G, (MATCH(636, 輔助計算!$G$2:$G$801, 0)+1))&lt;100, IF(INDEX(ERP資料!$G:$G, (MATCH(636, 輔助計算!$G$2:$G$801, 0)+1))&lt;=31,3,IF(INDEX(ERP資料!$G:$G, (MATCH(636, 輔助計算!$G$2:$G$801, 0)+1))&lt;=46.5,2,1)), IF(INDEX(ERP資料!$G:$G, (MATCH(636, 輔助計算!$G$2:$G$801, 0)+1))&lt;=790,3,IF(INDEX(ERP資料!$G:$G, (MATCH(636, 輔助計算!$G$2:$G$801, 0)+1))&lt;=1181,2,1)))), "")&amp;IF(AND(IF(INT(INDEX(輔助計算!$D:$D, (MATCH(636, 輔助計算!$G$2:$G$801, 0)+1))/IF(INDEX(ERP資料!$G:$G, (MATCH(636, 輔助計算!$G$2:$G$801, 0)+1))&lt;100, IF(INDEX(ERP資料!$G:$G, (MATCH(636, 輔助計算!$G$2:$G$801, 0)+1))&lt;=31,3,IF(INDEX(ERP資料!$G:$G, (MATCH(636, 輔助計算!$G$2:$G$801, 0)+1))&lt;=46.5,2,1)), IF(INDEX(ERP資料!$G:$G, (MATCH(636, 輔助計算!$G$2:$G$801, 0)+1))&lt;=790,3,IF(INDEX(ERP資料!$G:$G, (MATCH(636, 輔助計算!$G$2:$G$801, 0)+1))&lt;=1181,2,1))))&gt;0, IF(IF(INDEX(ERP資料!$G:$G, (MATCH(636, 輔助計算!$G$2:$G$801, 0)+1))&lt;100, IF(INDEX(ERP資料!$G:$G, (MATCH(636, 輔助計算!$G$2:$G$801, 0)+1))&lt;=31,3,IF(INDEX(ERP資料!$G:$G, (MATCH(636, 輔助計算!$G$2:$G$801, 0)+1))&lt;=46.5,2,1)), IF(INDEX(ERP資料!$G:$G, (MATCH(636, 輔助計算!$G$2:$G$801, 0)+1))&lt;=790,3,IF(INDEX(ERP資料!$G:$G, (MATCH(636, 輔助計算!$G$2:$G$801, 0)+1))&lt;=1181,2,1)))=1,TEXT(INDEX(ERP資料!$G:$G, (MATCH(636, 輔助計算!$G$2:$G$801, 0)+1)),"0.##"),IF(IF(INDEX(ERP資料!$G:$G, (MATCH(636, 輔助計算!$G$2:$G$801, 0)+1))&lt;100, IF(INDEX(ERP資料!$G:$G, (MATCH(636, 輔助計算!$G$2:$G$801, 0)+1))&lt;=31,3,IF(INDEX(ERP資料!$G:$G, (MATCH(636, 輔助計算!$G$2:$G$801, 0)+1))&lt;=46.5,2,1)), IF(INDEX(ERP資料!$G:$G, (MATCH(636, 輔助計算!$G$2:$G$801, 0)+1))&lt;=790,3,IF(INDEX(ERP資料!$G:$G, (MATCH(636, 輔助計算!$G$2:$G$801, 0)+1))&lt;=1181,2,1)))=2,TEXT(INDEX(ERP資料!$G:$G, (MATCH(636, 輔助計算!$G$2:$G$801, 0)+1)),"0.##")&amp;"+"&amp;TEXT(INDEX(ERP資料!$G:$G, (MATCH(636, 輔助計算!$G$2:$G$801, 0)+1)),"0.##"),TEXT(INDEX(ERP資料!$G:$G, (MATCH(636, 輔助計算!$G$2:$G$801, 0)+1)),"0.##")&amp;"+"&amp;TEXT(INDEX(ERP資料!$G:$G, (MATCH(636, 輔助計算!$G$2:$G$801, 0)+1)),"0.##")&amp;"+"&amp;TEXT(INDEX(ERP資料!$G:$G, (MATCH(636, 輔助計算!$G$2:$G$801, 0)+1)),"0.##")))&amp;"-"&amp;INT(INDEX(輔助計算!$D:$D, (MATCH(636, 輔助計算!$G$2:$G$801, 0)+1))/IF(INDEX(ERP資料!$G:$G, (MATCH(636, 輔助計算!$G$2:$G$801, 0)+1))&lt;100, IF(INDEX(ERP資料!$G:$G, (MATCH(636, 輔助計算!$G$2:$G$801, 0)+1))&lt;=31,3,IF(INDEX(ERP資料!$G:$G, (MATCH(636, 輔助計算!$G$2:$G$801, 0)+1))&lt;=46.5,2,1)), IF(INDEX(ERP資料!$G:$G, (MATCH(636, 輔助計算!$G$2:$G$801, 0)+1))&lt;=790,3,IF(INDEX(ERP資料!$G:$G, (MATCH(636, 輔助計算!$G$2:$G$801, 0)+1))&lt;=1181,2,1)))), "")&lt;&gt;"",IF(MOD(INDEX(輔助計算!$D:$D, (MATCH(636, 輔助計算!$G$2:$G$801, 0)+1)),IF(INDEX(ERP資料!$G:$G, (MATCH(636, 輔助計算!$G$2:$G$801, 0)+1))&lt;100, IF(INDEX(ERP資料!$G:$G, (MATCH(636, 輔助計算!$G$2:$G$801, 0)+1))&lt;=31,3,IF(INDEX(ERP資料!$G:$G, (MATCH(636, 輔助計算!$G$2:$G$801, 0)+1))&lt;=46.5,2,1)), IF(INDEX(ERP資料!$G:$G, (MATCH(636, 輔助計算!$G$2:$G$801, 0)+1))&lt;=790,3,IF(INDEX(ERP資料!$G:$G, (MATCH(636, 輔助計算!$G$2:$G$801, 0)+1))&lt;=1181,2,1))))=0,"",IF(MOD(INDEX(輔助計算!$D:$D, (MATCH(636, 輔助計算!$G$2:$G$801, 0)+1)),IF(INDEX(ERP資料!$G:$G, (MATCH(636, 輔助計算!$G$2:$G$801, 0)+1))&lt;100, IF(INDEX(ERP資料!$G:$G, (MATCH(636, 輔助計算!$G$2:$G$801, 0)+1))&lt;=31,3,IF(INDEX(ERP資料!$G:$G, (MATCH(636, 輔助計算!$G$2:$G$801, 0)+1))&lt;=46.5,2,1)), IF(INDEX(ERP資料!$G:$G, (MATCH(636, 輔助計算!$G$2:$G$801, 0)+1))&lt;=790,3,IF(INDEX(ERP資料!$G:$G, (MATCH(636, 輔助計算!$G$2:$G$801, 0)+1))&lt;=1181,2,1))))=0,"",IF(MOD(INDEX(輔助計算!$D:$D, (MATCH(636, 輔助計算!$G$2:$G$801, 0)+1)),IF(INDEX(ERP資料!$G:$G, (MATCH(636, 輔助計算!$G$2:$G$801, 0)+1))&lt;100, IF(INDEX(ERP資料!$G:$G, (MATCH(636, 輔助計算!$G$2:$G$801, 0)+1))&lt;=31,3,IF(INDEX(ERP資料!$G:$G, (MATCH(636, 輔助計算!$G$2:$G$801, 0)+1))&lt;=46.5,2,1)), IF(INDEX(ERP資料!$G:$G, (MATCH(636, 輔助計算!$G$2:$G$801, 0)+1))&lt;=790,3,IF(INDEX(ERP資料!$G:$G, (MATCH(636, 輔助計算!$G$2:$G$801, 0)+1))&lt;=1181,2,1))))=1,TEXT(INDEX(ERP資料!$G:$G, (MATCH(636, 輔助計算!$G$2:$G$801, 0)+1)),"0.##"),IF(MOD(INDEX(輔助計算!$D:$D, (MATCH(636, 輔助計算!$G$2:$G$801, 0)+1)),IF(INDEX(ERP資料!$G:$G, (MATCH(636, 輔助計算!$G$2:$G$801, 0)+1))&lt;100, IF(INDEX(ERP資料!$G:$G, (MATCH(636, 輔助計算!$G$2:$G$801, 0)+1))&lt;=31,3,IF(INDEX(ERP資料!$G:$G, (MATCH(636, 輔助計算!$G$2:$G$801, 0)+1))&lt;=46.5,2,1)), IF(INDEX(ERP資料!$G:$G, (MATCH(636, 輔助計算!$G$2:$G$801, 0)+1))&lt;=790,3,IF(INDEX(ERP資料!$G:$G, (MATCH(636, 輔助計算!$G$2:$G$801, 0)+1))&lt;=1181,2,1))))=2,TEXT(INDEX(ERP資料!$G:$G, (MATCH(636, 輔助計算!$G$2:$G$801, 0)+1)),"0.##")&amp;"+"&amp;TEXT(INDEX(ERP資料!$G:$G, (MATCH(636, 輔助計算!$G$2:$G$801, 0)+1)),"0.##"),TEXT(INDEX(ERP資料!$G:$G, (MATCH(636, 輔助計算!$G$2:$G$801, 0)+1)),"0.##")&amp;"+"&amp;TEXT(INDEX(ERP資料!$G:$G, (MATCH(636, 輔助計算!$G$2:$G$801, 0)+1)),"0.##")&amp;"+"&amp;TEXT(INDEX(ERP資料!$G:$G, (MATCH(636, 輔助計算!$G$2:$G$801, 0)+1)),"0.##"))))&amp;"-1")&lt;&gt;""),"  ","")&amp;IF(MOD(INDEX(輔助計算!$D:$D, (MATCH(636, 輔助計算!$G$2:$G$801, 0)+1)),IF(INDEX(ERP資料!$G:$G, (MATCH(636, 輔助計算!$G$2:$G$801, 0)+1))&lt;100, IF(INDEX(ERP資料!$G:$G, (MATCH(636, 輔助計算!$G$2:$G$801, 0)+1))&lt;=31,3,IF(INDEX(ERP資料!$G:$G, (MATCH(636, 輔助計算!$G$2:$G$801, 0)+1))&lt;=46.5,2,1)), IF(INDEX(ERP資料!$G:$G, (MATCH(636, 輔助計算!$G$2:$G$801, 0)+1))&lt;=790,3,IF(INDEX(ERP資料!$G:$G, (MATCH(636, 輔助計算!$G$2:$G$801, 0)+1))&lt;=1181,2,1))))=0,"",IF(MOD(INDEX(輔助計算!$D:$D, (MATCH(636, 輔助計算!$G$2:$G$801, 0)+1)),IF(INDEX(ERP資料!$G:$G, (MATCH(636, 輔助計算!$G$2:$G$801, 0)+1))&lt;100, IF(INDEX(ERP資料!$G:$G, (MATCH(636, 輔助計算!$G$2:$G$801, 0)+1))&lt;=31,3,IF(INDEX(ERP資料!$G:$G, (MATCH(636, 輔助計算!$G$2:$G$801, 0)+1))&lt;=46.5,2,1)), IF(INDEX(ERP資料!$G:$G, (MATCH(636, 輔助計算!$G$2:$G$801, 0)+1))&lt;=790,3,IF(INDEX(ERP資料!$G:$G, (MATCH(636, 輔助計算!$G$2:$G$801, 0)+1))&lt;=1181,2,1))))=0,"",IF(MOD(INDEX(輔助計算!$D:$D, (MATCH(636, 輔助計算!$G$2:$G$801, 0)+1)),IF(INDEX(ERP資料!$G:$G, (MATCH(636, 輔助計算!$G$2:$G$801, 0)+1))&lt;100, IF(INDEX(ERP資料!$G:$G, (MATCH(636, 輔助計算!$G$2:$G$801, 0)+1))&lt;=31,3,IF(INDEX(ERP資料!$G:$G, (MATCH(636, 輔助計算!$G$2:$G$801, 0)+1))&lt;=46.5,2,1)), IF(INDEX(ERP資料!$G:$G, (MATCH(636, 輔助計算!$G$2:$G$801, 0)+1))&lt;=790,3,IF(INDEX(ERP資料!$G:$G, (MATCH(636, 輔助計算!$G$2:$G$801, 0)+1))&lt;=1181,2,1))))=1,TEXT(INDEX(ERP資料!$G:$G, (MATCH(636, 輔助計算!$G$2:$G$801, 0)+1)),"0.##"),IF(MOD(INDEX(輔助計算!$D:$D, (MATCH(636, 輔助計算!$G$2:$G$801, 0)+1)),IF(INDEX(ERP資料!$G:$G, (MATCH(636, 輔助計算!$G$2:$G$801, 0)+1))&lt;100, IF(INDEX(ERP資料!$G:$G, (MATCH(636, 輔助計算!$G$2:$G$801, 0)+1))&lt;=31,3,IF(INDEX(ERP資料!$G:$G, (MATCH(636, 輔助計算!$G$2:$G$801, 0)+1))&lt;=46.5,2,1)), IF(INDEX(ERP資料!$G:$G, (MATCH(636, 輔助計算!$G$2:$G$801, 0)+1))&lt;=790,3,IF(INDEX(ERP資料!$G:$G, (MATCH(636, 輔助計算!$G$2:$G$801, 0)+1))&lt;=1181,2,1))))=2,TEXT(INDEX(ERP資料!$G:$G, (MATCH(636, 輔助計算!$G$2:$G$801, 0)+1)),"0.##")&amp;"+"&amp;TEXT(INDEX(ERP資料!$G:$G, (MATCH(636, 輔助計算!$G$2:$G$801, 0)+1)),"0.##"),TEXT(INDEX(ERP資料!$G:$G, (MATCH(636, 輔助計算!$G$2:$G$801, 0)+1)),"0.##")&amp;"+"&amp;TEXT(INDEX(ERP資料!$G:$G, (MATCH(636, 輔助計算!$G$2:$G$801, 0)+1)),"0.##")&amp;"+"&amp;TEXT(INDEX(ERP資料!$G:$G, (MATCH(636, 輔助計算!$G$2:$G$801, 0)+1)),"0.##"))))&amp;"-1")), ""), "")</f>
        <v/>
      </c>
      <c r="K637" s="16" t="n"/>
      <c r="L637" s="14">
        <f>IFERROR(IF(AND(IFERROR(INDEX(ERP資料!$A:$A, (MATCH(636, 輔助計算!$G$2:$G$801, 0)+1)), "")&lt;&gt;"", IFERROR(INDEX(ERP資料!$A:$A, (MATCH(636, 輔助計算!$G$2:$G$801, 0)+1)), "")&lt;&gt;IFERROR(INDEX(ERP資料!$A:$A, MATCH(635, 輔助計算!$G$2:$G$801, 0)+1), "")), INDEX(ERP資料!$B:$B, (MATCH(636, 輔助計算!$G$2:$G$801, 0)+1)), ""), "")</f>
        <v/>
      </c>
      <c r="M637" s="17" t="n"/>
    </row>
    <row r="638">
      <c r="A638" s="10">
        <f>IFERROR(IF(AND(IFERROR(INDEX(ERP資料!$A:$A, (MATCH(637, 輔助計算!$G$2:$G$801, 0)+1)), "")&lt;&gt;"", IFERROR(INDEX(ERP資料!$A:$A, (MATCH(637, 輔助計算!$G$2:$G$801, 0)+1)), "")&lt;&gt;IFERROR(INDEX(ERP資料!$A:$A, MATCH(636, 輔助計算!$G$2:$G$801, 0)+1), "")), IFERROR(INDEX(ERP資料!$A:$A, (MATCH(637, 輔助計算!$G$2:$G$801, 0)+1)), ""), ""), "")</f>
        <v/>
      </c>
      <c r="B638" s="10">
        <f>IFERROR(IF(AND(IFERROR(INDEX(ERP資料!$A:$A, (MATCH(637, 輔助計算!$G$2:$G$801, 0)+1)), "")&lt;&gt;"", IFERROR(INDEX(ERP資料!$A:$A, (MATCH(637, 輔助計算!$G$2:$G$801, 0)+1)), "")&lt;&gt;IFERROR(INDEX(ERP資料!$A:$A, MATCH(636, 輔助計算!$G$2:$G$801, 0)+1), "")), INDEX(ERP資料!$S:$S, (MATCH(637, 輔助計算!$G$2:$G$801, 0)+1)), ""), "")</f>
        <v/>
      </c>
      <c r="C638" s="19">
        <f>IFERROR(IF(AND(IFERROR(INDEX(ERP資料!$A:$A, (MATCH(637, 輔助計算!$G$2:$G$801, 0)+1)), "")&lt;&gt;"", IFERROR(INDEX(ERP資料!$A:$A, (MATCH(637, 輔助計算!$G$2:$G$801, 0)+1)), "")&lt;&gt;IFERROR(INDEX(ERP資料!$A:$A, MATCH(636, 輔助計算!$G$2:$G$801, 0)+1), "")), IFERROR(VLOOKUP(LEFT(INDEX(ERP資料!$S:$S, (MATCH(637, 輔助計算!$G$2:$G$801, 0)+1)), 4), 紙管對照表!$A:$C, 3, FALSE), ""), ""), "")</f>
        <v/>
      </c>
      <c r="D638" s="16" t="n"/>
      <c r="E638" s="10">
        <f>IFERROR(IF(INDEX(ERP資料!$H:$H, (MATCH(637, 輔助計算!$G$2:$G$801, 0)+1))="","",INDEX(ERP資料!$H:$H, (MATCH(637, 輔助計算!$G$2:$G$801, 0)+1))), "")</f>
        <v/>
      </c>
      <c r="F638" s="10">
        <f>IFERROR(IF(INDEX(ERP資料!$E:$E, (MATCH(637, 輔助計算!$G$2:$G$801, 0)+1))="","",TRIM(INDEX(ERP資料!$E:$E, (MATCH(637, 輔助計算!$G$2:$G$801, 0)+1)))), "")</f>
        <v/>
      </c>
      <c r="G638" s="10">
        <f>IFERROR(IF(INDEX(ERP資料!$F:$F, (MATCH(637, 輔助計算!$G$2:$G$801, 0)+1))="","",INDEX(ERP資料!$F:$F, (MATCH(637, 輔助計算!$G$2:$G$801, 0)+1))), "")</f>
        <v/>
      </c>
      <c r="H638" s="10">
        <f>IFERROR(IF(INDEX(ERP資料!$G:$G, (MATCH(637, 輔助計算!$G$2:$G$801, 0)+1))="","",INDEX(ERP資料!$G:$G, (MATCH(637, 輔助計算!$G$2:$G$801, 0)+1))), "")</f>
        <v/>
      </c>
      <c r="I638" s="15">
        <f>IFERROR(INDEX(輔助計算!$D:$D, (MATCH(637, 輔助計算!$G$2:$G$801, 0)+1)), "")</f>
        <v/>
      </c>
      <c r="J638" s="15">
        <f>IFERROR(IF(AND(INDEX(輔助計算!$D:$D, (MATCH(637, 輔助計算!$G$2:$G$801, 0)+1))&lt;&gt;"", INDEX(ERP資料!$G:$G, (MATCH(637, 輔助計算!$G$2:$G$801, 0)+1))&lt;&gt;""), TRIM(IF(INT(INDEX(輔助計算!$D:$D, (MATCH(637, 輔助計算!$G$2:$G$801, 0)+1))/IF(INDEX(ERP資料!$G:$G, (MATCH(637, 輔助計算!$G$2:$G$801, 0)+1))&lt;100, IF(INDEX(ERP資料!$G:$G, (MATCH(637, 輔助計算!$G$2:$G$801, 0)+1))&lt;=31,3,IF(INDEX(ERP資料!$G:$G, (MATCH(637, 輔助計算!$G$2:$G$801, 0)+1))&lt;=46.5,2,1)), IF(INDEX(ERP資料!$G:$G, (MATCH(637, 輔助計算!$G$2:$G$801, 0)+1))&lt;=790,3,IF(INDEX(ERP資料!$G:$G, (MATCH(637, 輔助計算!$G$2:$G$801, 0)+1))&lt;=1181,2,1))))&gt;0, IF(IF(INDEX(ERP資料!$G:$G, (MATCH(637, 輔助計算!$G$2:$G$801, 0)+1))&lt;100, IF(INDEX(ERP資料!$G:$G, (MATCH(637, 輔助計算!$G$2:$G$801, 0)+1))&lt;=31,3,IF(INDEX(ERP資料!$G:$G, (MATCH(637, 輔助計算!$G$2:$G$801, 0)+1))&lt;=46.5,2,1)), IF(INDEX(ERP資料!$G:$G, (MATCH(637, 輔助計算!$G$2:$G$801, 0)+1))&lt;=790,3,IF(INDEX(ERP資料!$G:$G, (MATCH(637, 輔助計算!$G$2:$G$801, 0)+1))&lt;=1181,2,1)))=1,TEXT(INDEX(ERP資料!$G:$G, (MATCH(637, 輔助計算!$G$2:$G$801, 0)+1)),"0.##"),IF(IF(INDEX(ERP資料!$G:$G, (MATCH(637, 輔助計算!$G$2:$G$801, 0)+1))&lt;100, IF(INDEX(ERP資料!$G:$G, (MATCH(637, 輔助計算!$G$2:$G$801, 0)+1))&lt;=31,3,IF(INDEX(ERP資料!$G:$G, (MATCH(637, 輔助計算!$G$2:$G$801, 0)+1))&lt;=46.5,2,1)), IF(INDEX(ERP資料!$G:$G, (MATCH(637, 輔助計算!$G$2:$G$801, 0)+1))&lt;=790,3,IF(INDEX(ERP資料!$G:$G, (MATCH(637, 輔助計算!$G$2:$G$801, 0)+1))&lt;=1181,2,1)))=2,TEXT(INDEX(ERP資料!$G:$G, (MATCH(637, 輔助計算!$G$2:$G$801, 0)+1)),"0.##")&amp;"+"&amp;TEXT(INDEX(ERP資料!$G:$G, (MATCH(637, 輔助計算!$G$2:$G$801, 0)+1)),"0.##"),TEXT(INDEX(ERP資料!$G:$G, (MATCH(637, 輔助計算!$G$2:$G$801, 0)+1)),"0.##")&amp;"+"&amp;TEXT(INDEX(ERP資料!$G:$G, (MATCH(637, 輔助計算!$G$2:$G$801, 0)+1)),"0.##")&amp;"+"&amp;TEXT(INDEX(ERP資料!$G:$G, (MATCH(637, 輔助計算!$G$2:$G$801, 0)+1)),"0.##")))&amp;"-"&amp;INT(INDEX(輔助計算!$D:$D, (MATCH(637, 輔助計算!$G$2:$G$801, 0)+1))/IF(INDEX(ERP資料!$G:$G, (MATCH(637, 輔助計算!$G$2:$G$801, 0)+1))&lt;100, IF(INDEX(ERP資料!$G:$G, (MATCH(637, 輔助計算!$G$2:$G$801, 0)+1))&lt;=31,3,IF(INDEX(ERP資料!$G:$G, (MATCH(637, 輔助計算!$G$2:$G$801, 0)+1))&lt;=46.5,2,1)), IF(INDEX(ERP資料!$G:$G, (MATCH(637, 輔助計算!$G$2:$G$801, 0)+1))&lt;=790,3,IF(INDEX(ERP資料!$G:$G, (MATCH(637, 輔助計算!$G$2:$G$801, 0)+1))&lt;=1181,2,1)))), "")&amp;IF(AND(IF(INT(INDEX(輔助計算!$D:$D, (MATCH(637, 輔助計算!$G$2:$G$801, 0)+1))/IF(INDEX(ERP資料!$G:$G, (MATCH(637, 輔助計算!$G$2:$G$801, 0)+1))&lt;100, IF(INDEX(ERP資料!$G:$G, (MATCH(637, 輔助計算!$G$2:$G$801, 0)+1))&lt;=31,3,IF(INDEX(ERP資料!$G:$G, (MATCH(637, 輔助計算!$G$2:$G$801, 0)+1))&lt;=46.5,2,1)), IF(INDEX(ERP資料!$G:$G, (MATCH(637, 輔助計算!$G$2:$G$801, 0)+1))&lt;=790,3,IF(INDEX(ERP資料!$G:$G, (MATCH(637, 輔助計算!$G$2:$G$801, 0)+1))&lt;=1181,2,1))))&gt;0, IF(IF(INDEX(ERP資料!$G:$G, (MATCH(637, 輔助計算!$G$2:$G$801, 0)+1))&lt;100, IF(INDEX(ERP資料!$G:$G, (MATCH(637, 輔助計算!$G$2:$G$801, 0)+1))&lt;=31,3,IF(INDEX(ERP資料!$G:$G, (MATCH(637, 輔助計算!$G$2:$G$801, 0)+1))&lt;=46.5,2,1)), IF(INDEX(ERP資料!$G:$G, (MATCH(637, 輔助計算!$G$2:$G$801, 0)+1))&lt;=790,3,IF(INDEX(ERP資料!$G:$G, (MATCH(637, 輔助計算!$G$2:$G$801, 0)+1))&lt;=1181,2,1)))=1,TEXT(INDEX(ERP資料!$G:$G, (MATCH(637, 輔助計算!$G$2:$G$801, 0)+1)),"0.##"),IF(IF(INDEX(ERP資料!$G:$G, (MATCH(637, 輔助計算!$G$2:$G$801, 0)+1))&lt;100, IF(INDEX(ERP資料!$G:$G, (MATCH(637, 輔助計算!$G$2:$G$801, 0)+1))&lt;=31,3,IF(INDEX(ERP資料!$G:$G, (MATCH(637, 輔助計算!$G$2:$G$801, 0)+1))&lt;=46.5,2,1)), IF(INDEX(ERP資料!$G:$G, (MATCH(637, 輔助計算!$G$2:$G$801, 0)+1))&lt;=790,3,IF(INDEX(ERP資料!$G:$G, (MATCH(637, 輔助計算!$G$2:$G$801, 0)+1))&lt;=1181,2,1)))=2,TEXT(INDEX(ERP資料!$G:$G, (MATCH(637, 輔助計算!$G$2:$G$801, 0)+1)),"0.##")&amp;"+"&amp;TEXT(INDEX(ERP資料!$G:$G, (MATCH(637, 輔助計算!$G$2:$G$801, 0)+1)),"0.##"),TEXT(INDEX(ERP資料!$G:$G, (MATCH(637, 輔助計算!$G$2:$G$801, 0)+1)),"0.##")&amp;"+"&amp;TEXT(INDEX(ERP資料!$G:$G, (MATCH(637, 輔助計算!$G$2:$G$801, 0)+1)),"0.##")&amp;"+"&amp;TEXT(INDEX(ERP資料!$G:$G, (MATCH(637, 輔助計算!$G$2:$G$801, 0)+1)),"0.##")))&amp;"-"&amp;INT(INDEX(輔助計算!$D:$D, (MATCH(637, 輔助計算!$G$2:$G$801, 0)+1))/IF(INDEX(ERP資料!$G:$G, (MATCH(637, 輔助計算!$G$2:$G$801, 0)+1))&lt;100, IF(INDEX(ERP資料!$G:$G, (MATCH(637, 輔助計算!$G$2:$G$801, 0)+1))&lt;=31,3,IF(INDEX(ERP資料!$G:$G, (MATCH(637, 輔助計算!$G$2:$G$801, 0)+1))&lt;=46.5,2,1)), IF(INDEX(ERP資料!$G:$G, (MATCH(637, 輔助計算!$G$2:$G$801, 0)+1))&lt;=790,3,IF(INDEX(ERP資料!$G:$G, (MATCH(637, 輔助計算!$G$2:$G$801, 0)+1))&lt;=1181,2,1)))), "")&lt;&gt;"",IF(MOD(INDEX(輔助計算!$D:$D, (MATCH(637, 輔助計算!$G$2:$G$801, 0)+1)),IF(INDEX(ERP資料!$G:$G, (MATCH(637, 輔助計算!$G$2:$G$801, 0)+1))&lt;100, IF(INDEX(ERP資料!$G:$G, (MATCH(637, 輔助計算!$G$2:$G$801, 0)+1))&lt;=31,3,IF(INDEX(ERP資料!$G:$G, (MATCH(637, 輔助計算!$G$2:$G$801, 0)+1))&lt;=46.5,2,1)), IF(INDEX(ERP資料!$G:$G, (MATCH(637, 輔助計算!$G$2:$G$801, 0)+1))&lt;=790,3,IF(INDEX(ERP資料!$G:$G, (MATCH(637, 輔助計算!$G$2:$G$801, 0)+1))&lt;=1181,2,1))))=0,"",IF(MOD(INDEX(輔助計算!$D:$D, (MATCH(637, 輔助計算!$G$2:$G$801, 0)+1)),IF(INDEX(ERP資料!$G:$G, (MATCH(637, 輔助計算!$G$2:$G$801, 0)+1))&lt;100, IF(INDEX(ERP資料!$G:$G, (MATCH(637, 輔助計算!$G$2:$G$801, 0)+1))&lt;=31,3,IF(INDEX(ERP資料!$G:$G, (MATCH(637, 輔助計算!$G$2:$G$801, 0)+1))&lt;=46.5,2,1)), IF(INDEX(ERP資料!$G:$G, (MATCH(637, 輔助計算!$G$2:$G$801, 0)+1))&lt;=790,3,IF(INDEX(ERP資料!$G:$G, (MATCH(637, 輔助計算!$G$2:$G$801, 0)+1))&lt;=1181,2,1))))=0,"",IF(MOD(INDEX(輔助計算!$D:$D, (MATCH(637, 輔助計算!$G$2:$G$801, 0)+1)),IF(INDEX(ERP資料!$G:$G, (MATCH(637, 輔助計算!$G$2:$G$801, 0)+1))&lt;100, IF(INDEX(ERP資料!$G:$G, (MATCH(637, 輔助計算!$G$2:$G$801, 0)+1))&lt;=31,3,IF(INDEX(ERP資料!$G:$G, (MATCH(637, 輔助計算!$G$2:$G$801, 0)+1))&lt;=46.5,2,1)), IF(INDEX(ERP資料!$G:$G, (MATCH(637, 輔助計算!$G$2:$G$801, 0)+1))&lt;=790,3,IF(INDEX(ERP資料!$G:$G, (MATCH(637, 輔助計算!$G$2:$G$801, 0)+1))&lt;=1181,2,1))))=1,TEXT(INDEX(ERP資料!$G:$G, (MATCH(637, 輔助計算!$G$2:$G$801, 0)+1)),"0.##"),IF(MOD(INDEX(輔助計算!$D:$D, (MATCH(637, 輔助計算!$G$2:$G$801, 0)+1)),IF(INDEX(ERP資料!$G:$G, (MATCH(637, 輔助計算!$G$2:$G$801, 0)+1))&lt;100, IF(INDEX(ERP資料!$G:$G, (MATCH(637, 輔助計算!$G$2:$G$801, 0)+1))&lt;=31,3,IF(INDEX(ERP資料!$G:$G, (MATCH(637, 輔助計算!$G$2:$G$801, 0)+1))&lt;=46.5,2,1)), IF(INDEX(ERP資料!$G:$G, (MATCH(637, 輔助計算!$G$2:$G$801, 0)+1))&lt;=790,3,IF(INDEX(ERP資料!$G:$G, (MATCH(637, 輔助計算!$G$2:$G$801, 0)+1))&lt;=1181,2,1))))=2,TEXT(INDEX(ERP資料!$G:$G, (MATCH(637, 輔助計算!$G$2:$G$801, 0)+1)),"0.##")&amp;"+"&amp;TEXT(INDEX(ERP資料!$G:$G, (MATCH(637, 輔助計算!$G$2:$G$801, 0)+1)),"0.##"),TEXT(INDEX(ERP資料!$G:$G, (MATCH(637, 輔助計算!$G$2:$G$801, 0)+1)),"0.##")&amp;"+"&amp;TEXT(INDEX(ERP資料!$G:$G, (MATCH(637, 輔助計算!$G$2:$G$801, 0)+1)),"0.##")&amp;"+"&amp;TEXT(INDEX(ERP資料!$G:$G, (MATCH(637, 輔助計算!$G$2:$G$801, 0)+1)),"0.##"))))&amp;"-1")&lt;&gt;""),"  ","")&amp;IF(MOD(INDEX(輔助計算!$D:$D, (MATCH(637, 輔助計算!$G$2:$G$801, 0)+1)),IF(INDEX(ERP資料!$G:$G, (MATCH(637, 輔助計算!$G$2:$G$801, 0)+1))&lt;100, IF(INDEX(ERP資料!$G:$G, (MATCH(637, 輔助計算!$G$2:$G$801, 0)+1))&lt;=31,3,IF(INDEX(ERP資料!$G:$G, (MATCH(637, 輔助計算!$G$2:$G$801, 0)+1))&lt;=46.5,2,1)), IF(INDEX(ERP資料!$G:$G, (MATCH(637, 輔助計算!$G$2:$G$801, 0)+1))&lt;=790,3,IF(INDEX(ERP資料!$G:$G, (MATCH(637, 輔助計算!$G$2:$G$801, 0)+1))&lt;=1181,2,1))))=0,"",IF(MOD(INDEX(輔助計算!$D:$D, (MATCH(637, 輔助計算!$G$2:$G$801, 0)+1)),IF(INDEX(ERP資料!$G:$G, (MATCH(637, 輔助計算!$G$2:$G$801, 0)+1))&lt;100, IF(INDEX(ERP資料!$G:$G, (MATCH(637, 輔助計算!$G$2:$G$801, 0)+1))&lt;=31,3,IF(INDEX(ERP資料!$G:$G, (MATCH(637, 輔助計算!$G$2:$G$801, 0)+1))&lt;=46.5,2,1)), IF(INDEX(ERP資料!$G:$G, (MATCH(637, 輔助計算!$G$2:$G$801, 0)+1))&lt;=790,3,IF(INDEX(ERP資料!$G:$G, (MATCH(637, 輔助計算!$G$2:$G$801, 0)+1))&lt;=1181,2,1))))=0,"",IF(MOD(INDEX(輔助計算!$D:$D, (MATCH(637, 輔助計算!$G$2:$G$801, 0)+1)),IF(INDEX(ERP資料!$G:$G, (MATCH(637, 輔助計算!$G$2:$G$801, 0)+1))&lt;100, IF(INDEX(ERP資料!$G:$G, (MATCH(637, 輔助計算!$G$2:$G$801, 0)+1))&lt;=31,3,IF(INDEX(ERP資料!$G:$G, (MATCH(637, 輔助計算!$G$2:$G$801, 0)+1))&lt;=46.5,2,1)), IF(INDEX(ERP資料!$G:$G, (MATCH(637, 輔助計算!$G$2:$G$801, 0)+1))&lt;=790,3,IF(INDEX(ERP資料!$G:$G, (MATCH(637, 輔助計算!$G$2:$G$801, 0)+1))&lt;=1181,2,1))))=1,TEXT(INDEX(ERP資料!$G:$G, (MATCH(637, 輔助計算!$G$2:$G$801, 0)+1)),"0.##"),IF(MOD(INDEX(輔助計算!$D:$D, (MATCH(637, 輔助計算!$G$2:$G$801, 0)+1)),IF(INDEX(ERP資料!$G:$G, (MATCH(637, 輔助計算!$G$2:$G$801, 0)+1))&lt;100, IF(INDEX(ERP資料!$G:$G, (MATCH(637, 輔助計算!$G$2:$G$801, 0)+1))&lt;=31,3,IF(INDEX(ERP資料!$G:$G, (MATCH(637, 輔助計算!$G$2:$G$801, 0)+1))&lt;=46.5,2,1)), IF(INDEX(ERP資料!$G:$G, (MATCH(637, 輔助計算!$G$2:$G$801, 0)+1))&lt;=790,3,IF(INDEX(ERP資料!$G:$G, (MATCH(637, 輔助計算!$G$2:$G$801, 0)+1))&lt;=1181,2,1))))=2,TEXT(INDEX(ERP資料!$G:$G, (MATCH(637, 輔助計算!$G$2:$G$801, 0)+1)),"0.##")&amp;"+"&amp;TEXT(INDEX(ERP資料!$G:$G, (MATCH(637, 輔助計算!$G$2:$G$801, 0)+1)),"0.##"),TEXT(INDEX(ERP資料!$G:$G, (MATCH(637, 輔助計算!$G$2:$G$801, 0)+1)),"0.##")&amp;"+"&amp;TEXT(INDEX(ERP資料!$G:$G, (MATCH(637, 輔助計算!$G$2:$G$801, 0)+1)),"0.##")&amp;"+"&amp;TEXT(INDEX(ERP資料!$G:$G, (MATCH(637, 輔助計算!$G$2:$G$801, 0)+1)),"0.##"))))&amp;"-1")), ""), "")</f>
        <v/>
      </c>
      <c r="K638" s="16" t="n"/>
      <c r="L638" s="14">
        <f>IFERROR(IF(AND(IFERROR(INDEX(ERP資料!$A:$A, (MATCH(637, 輔助計算!$G$2:$G$801, 0)+1)), "")&lt;&gt;"", IFERROR(INDEX(ERP資料!$A:$A, (MATCH(637, 輔助計算!$G$2:$G$801, 0)+1)), "")&lt;&gt;IFERROR(INDEX(ERP資料!$A:$A, MATCH(636, 輔助計算!$G$2:$G$801, 0)+1), "")), INDEX(ERP資料!$B:$B, (MATCH(637, 輔助計算!$G$2:$G$801, 0)+1)), ""), "")</f>
        <v/>
      </c>
      <c r="M638" s="17" t="n"/>
    </row>
    <row r="639">
      <c r="A639" s="10">
        <f>IFERROR(IF(AND(IFERROR(INDEX(ERP資料!$A:$A, (MATCH(638, 輔助計算!$G$2:$G$801, 0)+1)), "")&lt;&gt;"", IFERROR(INDEX(ERP資料!$A:$A, (MATCH(638, 輔助計算!$G$2:$G$801, 0)+1)), "")&lt;&gt;IFERROR(INDEX(ERP資料!$A:$A, MATCH(637, 輔助計算!$G$2:$G$801, 0)+1), "")), IFERROR(INDEX(ERP資料!$A:$A, (MATCH(638, 輔助計算!$G$2:$G$801, 0)+1)), ""), ""), "")</f>
        <v/>
      </c>
      <c r="B639" s="10">
        <f>IFERROR(IF(AND(IFERROR(INDEX(ERP資料!$A:$A, (MATCH(638, 輔助計算!$G$2:$G$801, 0)+1)), "")&lt;&gt;"", IFERROR(INDEX(ERP資料!$A:$A, (MATCH(638, 輔助計算!$G$2:$G$801, 0)+1)), "")&lt;&gt;IFERROR(INDEX(ERP資料!$A:$A, MATCH(637, 輔助計算!$G$2:$G$801, 0)+1), "")), INDEX(ERP資料!$S:$S, (MATCH(638, 輔助計算!$G$2:$G$801, 0)+1)), ""), "")</f>
        <v/>
      </c>
      <c r="C639" s="19">
        <f>IFERROR(IF(AND(IFERROR(INDEX(ERP資料!$A:$A, (MATCH(638, 輔助計算!$G$2:$G$801, 0)+1)), "")&lt;&gt;"", IFERROR(INDEX(ERP資料!$A:$A, (MATCH(638, 輔助計算!$G$2:$G$801, 0)+1)), "")&lt;&gt;IFERROR(INDEX(ERP資料!$A:$A, MATCH(637, 輔助計算!$G$2:$G$801, 0)+1), "")), IFERROR(VLOOKUP(LEFT(INDEX(ERP資料!$S:$S, (MATCH(638, 輔助計算!$G$2:$G$801, 0)+1)), 4), 紙管對照表!$A:$C, 3, FALSE), ""), ""), "")</f>
        <v/>
      </c>
      <c r="D639" s="16" t="n"/>
      <c r="E639" s="10">
        <f>IFERROR(IF(INDEX(ERP資料!$H:$H, (MATCH(638, 輔助計算!$G$2:$G$801, 0)+1))="","",INDEX(ERP資料!$H:$H, (MATCH(638, 輔助計算!$G$2:$G$801, 0)+1))), "")</f>
        <v/>
      </c>
      <c r="F639" s="10">
        <f>IFERROR(IF(INDEX(ERP資料!$E:$E, (MATCH(638, 輔助計算!$G$2:$G$801, 0)+1))="","",TRIM(INDEX(ERP資料!$E:$E, (MATCH(638, 輔助計算!$G$2:$G$801, 0)+1)))), "")</f>
        <v/>
      </c>
      <c r="G639" s="10">
        <f>IFERROR(IF(INDEX(ERP資料!$F:$F, (MATCH(638, 輔助計算!$G$2:$G$801, 0)+1))="","",INDEX(ERP資料!$F:$F, (MATCH(638, 輔助計算!$G$2:$G$801, 0)+1))), "")</f>
        <v/>
      </c>
      <c r="H639" s="10">
        <f>IFERROR(IF(INDEX(ERP資料!$G:$G, (MATCH(638, 輔助計算!$G$2:$G$801, 0)+1))="","",INDEX(ERP資料!$G:$G, (MATCH(638, 輔助計算!$G$2:$G$801, 0)+1))), "")</f>
        <v/>
      </c>
      <c r="I639" s="15">
        <f>IFERROR(INDEX(輔助計算!$D:$D, (MATCH(638, 輔助計算!$G$2:$G$801, 0)+1)), "")</f>
        <v/>
      </c>
      <c r="J639" s="15">
        <f>IFERROR(IF(AND(INDEX(輔助計算!$D:$D, (MATCH(638, 輔助計算!$G$2:$G$801, 0)+1))&lt;&gt;"", INDEX(ERP資料!$G:$G, (MATCH(638, 輔助計算!$G$2:$G$801, 0)+1))&lt;&gt;""), TRIM(IF(INT(INDEX(輔助計算!$D:$D, (MATCH(638, 輔助計算!$G$2:$G$801, 0)+1))/IF(INDEX(ERP資料!$G:$G, (MATCH(638, 輔助計算!$G$2:$G$801, 0)+1))&lt;100, IF(INDEX(ERP資料!$G:$G, (MATCH(638, 輔助計算!$G$2:$G$801, 0)+1))&lt;=31,3,IF(INDEX(ERP資料!$G:$G, (MATCH(638, 輔助計算!$G$2:$G$801, 0)+1))&lt;=46.5,2,1)), IF(INDEX(ERP資料!$G:$G, (MATCH(638, 輔助計算!$G$2:$G$801, 0)+1))&lt;=790,3,IF(INDEX(ERP資料!$G:$G, (MATCH(638, 輔助計算!$G$2:$G$801, 0)+1))&lt;=1181,2,1))))&gt;0, IF(IF(INDEX(ERP資料!$G:$G, (MATCH(638, 輔助計算!$G$2:$G$801, 0)+1))&lt;100, IF(INDEX(ERP資料!$G:$G, (MATCH(638, 輔助計算!$G$2:$G$801, 0)+1))&lt;=31,3,IF(INDEX(ERP資料!$G:$G, (MATCH(638, 輔助計算!$G$2:$G$801, 0)+1))&lt;=46.5,2,1)), IF(INDEX(ERP資料!$G:$G, (MATCH(638, 輔助計算!$G$2:$G$801, 0)+1))&lt;=790,3,IF(INDEX(ERP資料!$G:$G, (MATCH(638, 輔助計算!$G$2:$G$801, 0)+1))&lt;=1181,2,1)))=1,TEXT(INDEX(ERP資料!$G:$G, (MATCH(638, 輔助計算!$G$2:$G$801, 0)+1)),"0.##"),IF(IF(INDEX(ERP資料!$G:$G, (MATCH(638, 輔助計算!$G$2:$G$801, 0)+1))&lt;100, IF(INDEX(ERP資料!$G:$G, (MATCH(638, 輔助計算!$G$2:$G$801, 0)+1))&lt;=31,3,IF(INDEX(ERP資料!$G:$G, (MATCH(638, 輔助計算!$G$2:$G$801, 0)+1))&lt;=46.5,2,1)), IF(INDEX(ERP資料!$G:$G, (MATCH(638, 輔助計算!$G$2:$G$801, 0)+1))&lt;=790,3,IF(INDEX(ERP資料!$G:$G, (MATCH(638, 輔助計算!$G$2:$G$801, 0)+1))&lt;=1181,2,1)))=2,TEXT(INDEX(ERP資料!$G:$G, (MATCH(638, 輔助計算!$G$2:$G$801, 0)+1)),"0.##")&amp;"+"&amp;TEXT(INDEX(ERP資料!$G:$G, (MATCH(638, 輔助計算!$G$2:$G$801, 0)+1)),"0.##"),TEXT(INDEX(ERP資料!$G:$G, (MATCH(638, 輔助計算!$G$2:$G$801, 0)+1)),"0.##")&amp;"+"&amp;TEXT(INDEX(ERP資料!$G:$G, (MATCH(638, 輔助計算!$G$2:$G$801, 0)+1)),"0.##")&amp;"+"&amp;TEXT(INDEX(ERP資料!$G:$G, (MATCH(638, 輔助計算!$G$2:$G$801, 0)+1)),"0.##")))&amp;"-"&amp;INT(INDEX(輔助計算!$D:$D, (MATCH(638, 輔助計算!$G$2:$G$801, 0)+1))/IF(INDEX(ERP資料!$G:$G, (MATCH(638, 輔助計算!$G$2:$G$801, 0)+1))&lt;100, IF(INDEX(ERP資料!$G:$G, (MATCH(638, 輔助計算!$G$2:$G$801, 0)+1))&lt;=31,3,IF(INDEX(ERP資料!$G:$G, (MATCH(638, 輔助計算!$G$2:$G$801, 0)+1))&lt;=46.5,2,1)), IF(INDEX(ERP資料!$G:$G, (MATCH(638, 輔助計算!$G$2:$G$801, 0)+1))&lt;=790,3,IF(INDEX(ERP資料!$G:$G, (MATCH(638, 輔助計算!$G$2:$G$801, 0)+1))&lt;=1181,2,1)))), "")&amp;IF(AND(IF(INT(INDEX(輔助計算!$D:$D, (MATCH(638, 輔助計算!$G$2:$G$801, 0)+1))/IF(INDEX(ERP資料!$G:$G, (MATCH(638, 輔助計算!$G$2:$G$801, 0)+1))&lt;100, IF(INDEX(ERP資料!$G:$G, (MATCH(638, 輔助計算!$G$2:$G$801, 0)+1))&lt;=31,3,IF(INDEX(ERP資料!$G:$G, (MATCH(638, 輔助計算!$G$2:$G$801, 0)+1))&lt;=46.5,2,1)), IF(INDEX(ERP資料!$G:$G, (MATCH(638, 輔助計算!$G$2:$G$801, 0)+1))&lt;=790,3,IF(INDEX(ERP資料!$G:$G, (MATCH(638, 輔助計算!$G$2:$G$801, 0)+1))&lt;=1181,2,1))))&gt;0, IF(IF(INDEX(ERP資料!$G:$G, (MATCH(638, 輔助計算!$G$2:$G$801, 0)+1))&lt;100, IF(INDEX(ERP資料!$G:$G, (MATCH(638, 輔助計算!$G$2:$G$801, 0)+1))&lt;=31,3,IF(INDEX(ERP資料!$G:$G, (MATCH(638, 輔助計算!$G$2:$G$801, 0)+1))&lt;=46.5,2,1)), IF(INDEX(ERP資料!$G:$G, (MATCH(638, 輔助計算!$G$2:$G$801, 0)+1))&lt;=790,3,IF(INDEX(ERP資料!$G:$G, (MATCH(638, 輔助計算!$G$2:$G$801, 0)+1))&lt;=1181,2,1)))=1,TEXT(INDEX(ERP資料!$G:$G, (MATCH(638, 輔助計算!$G$2:$G$801, 0)+1)),"0.##"),IF(IF(INDEX(ERP資料!$G:$G, (MATCH(638, 輔助計算!$G$2:$G$801, 0)+1))&lt;100, IF(INDEX(ERP資料!$G:$G, (MATCH(638, 輔助計算!$G$2:$G$801, 0)+1))&lt;=31,3,IF(INDEX(ERP資料!$G:$G, (MATCH(638, 輔助計算!$G$2:$G$801, 0)+1))&lt;=46.5,2,1)), IF(INDEX(ERP資料!$G:$G, (MATCH(638, 輔助計算!$G$2:$G$801, 0)+1))&lt;=790,3,IF(INDEX(ERP資料!$G:$G, (MATCH(638, 輔助計算!$G$2:$G$801, 0)+1))&lt;=1181,2,1)))=2,TEXT(INDEX(ERP資料!$G:$G, (MATCH(638, 輔助計算!$G$2:$G$801, 0)+1)),"0.##")&amp;"+"&amp;TEXT(INDEX(ERP資料!$G:$G, (MATCH(638, 輔助計算!$G$2:$G$801, 0)+1)),"0.##"),TEXT(INDEX(ERP資料!$G:$G, (MATCH(638, 輔助計算!$G$2:$G$801, 0)+1)),"0.##")&amp;"+"&amp;TEXT(INDEX(ERP資料!$G:$G, (MATCH(638, 輔助計算!$G$2:$G$801, 0)+1)),"0.##")&amp;"+"&amp;TEXT(INDEX(ERP資料!$G:$G, (MATCH(638, 輔助計算!$G$2:$G$801, 0)+1)),"0.##")))&amp;"-"&amp;INT(INDEX(輔助計算!$D:$D, (MATCH(638, 輔助計算!$G$2:$G$801, 0)+1))/IF(INDEX(ERP資料!$G:$G, (MATCH(638, 輔助計算!$G$2:$G$801, 0)+1))&lt;100, IF(INDEX(ERP資料!$G:$G, (MATCH(638, 輔助計算!$G$2:$G$801, 0)+1))&lt;=31,3,IF(INDEX(ERP資料!$G:$G, (MATCH(638, 輔助計算!$G$2:$G$801, 0)+1))&lt;=46.5,2,1)), IF(INDEX(ERP資料!$G:$G, (MATCH(638, 輔助計算!$G$2:$G$801, 0)+1))&lt;=790,3,IF(INDEX(ERP資料!$G:$G, (MATCH(638, 輔助計算!$G$2:$G$801, 0)+1))&lt;=1181,2,1)))), "")&lt;&gt;"",IF(MOD(INDEX(輔助計算!$D:$D, (MATCH(638, 輔助計算!$G$2:$G$801, 0)+1)),IF(INDEX(ERP資料!$G:$G, (MATCH(638, 輔助計算!$G$2:$G$801, 0)+1))&lt;100, IF(INDEX(ERP資料!$G:$G, (MATCH(638, 輔助計算!$G$2:$G$801, 0)+1))&lt;=31,3,IF(INDEX(ERP資料!$G:$G, (MATCH(638, 輔助計算!$G$2:$G$801, 0)+1))&lt;=46.5,2,1)), IF(INDEX(ERP資料!$G:$G, (MATCH(638, 輔助計算!$G$2:$G$801, 0)+1))&lt;=790,3,IF(INDEX(ERP資料!$G:$G, (MATCH(638, 輔助計算!$G$2:$G$801, 0)+1))&lt;=1181,2,1))))=0,"",IF(MOD(INDEX(輔助計算!$D:$D, (MATCH(638, 輔助計算!$G$2:$G$801, 0)+1)),IF(INDEX(ERP資料!$G:$G, (MATCH(638, 輔助計算!$G$2:$G$801, 0)+1))&lt;100, IF(INDEX(ERP資料!$G:$G, (MATCH(638, 輔助計算!$G$2:$G$801, 0)+1))&lt;=31,3,IF(INDEX(ERP資料!$G:$G, (MATCH(638, 輔助計算!$G$2:$G$801, 0)+1))&lt;=46.5,2,1)), IF(INDEX(ERP資料!$G:$G, (MATCH(638, 輔助計算!$G$2:$G$801, 0)+1))&lt;=790,3,IF(INDEX(ERP資料!$G:$G, (MATCH(638, 輔助計算!$G$2:$G$801, 0)+1))&lt;=1181,2,1))))=0,"",IF(MOD(INDEX(輔助計算!$D:$D, (MATCH(638, 輔助計算!$G$2:$G$801, 0)+1)),IF(INDEX(ERP資料!$G:$G, (MATCH(638, 輔助計算!$G$2:$G$801, 0)+1))&lt;100, IF(INDEX(ERP資料!$G:$G, (MATCH(638, 輔助計算!$G$2:$G$801, 0)+1))&lt;=31,3,IF(INDEX(ERP資料!$G:$G, (MATCH(638, 輔助計算!$G$2:$G$801, 0)+1))&lt;=46.5,2,1)), IF(INDEX(ERP資料!$G:$G, (MATCH(638, 輔助計算!$G$2:$G$801, 0)+1))&lt;=790,3,IF(INDEX(ERP資料!$G:$G, (MATCH(638, 輔助計算!$G$2:$G$801, 0)+1))&lt;=1181,2,1))))=1,TEXT(INDEX(ERP資料!$G:$G, (MATCH(638, 輔助計算!$G$2:$G$801, 0)+1)),"0.##"),IF(MOD(INDEX(輔助計算!$D:$D, (MATCH(638, 輔助計算!$G$2:$G$801, 0)+1)),IF(INDEX(ERP資料!$G:$G, (MATCH(638, 輔助計算!$G$2:$G$801, 0)+1))&lt;100, IF(INDEX(ERP資料!$G:$G, (MATCH(638, 輔助計算!$G$2:$G$801, 0)+1))&lt;=31,3,IF(INDEX(ERP資料!$G:$G, (MATCH(638, 輔助計算!$G$2:$G$801, 0)+1))&lt;=46.5,2,1)), IF(INDEX(ERP資料!$G:$G, (MATCH(638, 輔助計算!$G$2:$G$801, 0)+1))&lt;=790,3,IF(INDEX(ERP資料!$G:$G, (MATCH(638, 輔助計算!$G$2:$G$801, 0)+1))&lt;=1181,2,1))))=2,TEXT(INDEX(ERP資料!$G:$G, (MATCH(638, 輔助計算!$G$2:$G$801, 0)+1)),"0.##")&amp;"+"&amp;TEXT(INDEX(ERP資料!$G:$G, (MATCH(638, 輔助計算!$G$2:$G$801, 0)+1)),"0.##"),TEXT(INDEX(ERP資料!$G:$G, (MATCH(638, 輔助計算!$G$2:$G$801, 0)+1)),"0.##")&amp;"+"&amp;TEXT(INDEX(ERP資料!$G:$G, (MATCH(638, 輔助計算!$G$2:$G$801, 0)+1)),"0.##")&amp;"+"&amp;TEXT(INDEX(ERP資料!$G:$G, (MATCH(638, 輔助計算!$G$2:$G$801, 0)+1)),"0.##"))))&amp;"-1")&lt;&gt;""),"  ","")&amp;IF(MOD(INDEX(輔助計算!$D:$D, (MATCH(638, 輔助計算!$G$2:$G$801, 0)+1)),IF(INDEX(ERP資料!$G:$G, (MATCH(638, 輔助計算!$G$2:$G$801, 0)+1))&lt;100, IF(INDEX(ERP資料!$G:$G, (MATCH(638, 輔助計算!$G$2:$G$801, 0)+1))&lt;=31,3,IF(INDEX(ERP資料!$G:$G, (MATCH(638, 輔助計算!$G$2:$G$801, 0)+1))&lt;=46.5,2,1)), IF(INDEX(ERP資料!$G:$G, (MATCH(638, 輔助計算!$G$2:$G$801, 0)+1))&lt;=790,3,IF(INDEX(ERP資料!$G:$G, (MATCH(638, 輔助計算!$G$2:$G$801, 0)+1))&lt;=1181,2,1))))=0,"",IF(MOD(INDEX(輔助計算!$D:$D, (MATCH(638, 輔助計算!$G$2:$G$801, 0)+1)),IF(INDEX(ERP資料!$G:$G, (MATCH(638, 輔助計算!$G$2:$G$801, 0)+1))&lt;100, IF(INDEX(ERP資料!$G:$G, (MATCH(638, 輔助計算!$G$2:$G$801, 0)+1))&lt;=31,3,IF(INDEX(ERP資料!$G:$G, (MATCH(638, 輔助計算!$G$2:$G$801, 0)+1))&lt;=46.5,2,1)), IF(INDEX(ERP資料!$G:$G, (MATCH(638, 輔助計算!$G$2:$G$801, 0)+1))&lt;=790,3,IF(INDEX(ERP資料!$G:$G, (MATCH(638, 輔助計算!$G$2:$G$801, 0)+1))&lt;=1181,2,1))))=0,"",IF(MOD(INDEX(輔助計算!$D:$D, (MATCH(638, 輔助計算!$G$2:$G$801, 0)+1)),IF(INDEX(ERP資料!$G:$G, (MATCH(638, 輔助計算!$G$2:$G$801, 0)+1))&lt;100, IF(INDEX(ERP資料!$G:$G, (MATCH(638, 輔助計算!$G$2:$G$801, 0)+1))&lt;=31,3,IF(INDEX(ERP資料!$G:$G, (MATCH(638, 輔助計算!$G$2:$G$801, 0)+1))&lt;=46.5,2,1)), IF(INDEX(ERP資料!$G:$G, (MATCH(638, 輔助計算!$G$2:$G$801, 0)+1))&lt;=790,3,IF(INDEX(ERP資料!$G:$G, (MATCH(638, 輔助計算!$G$2:$G$801, 0)+1))&lt;=1181,2,1))))=1,TEXT(INDEX(ERP資料!$G:$G, (MATCH(638, 輔助計算!$G$2:$G$801, 0)+1)),"0.##"),IF(MOD(INDEX(輔助計算!$D:$D, (MATCH(638, 輔助計算!$G$2:$G$801, 0)+1)),IF(INDEX(ERP資料!$G:$G, (MATCH(638, 輔助計算!$G$2:$G$801, 0)+1))&lt;100, IF(INDEX(ERP資料!$G:$G, (MATCH(638, 輔助計算!$G$2:$G$801, 0)+1))&lt;=31,3,IF(INDEX(ERP資料!$G:$G, (MATCH(638, 輔助計算!$G$2:$G$801, 0)+1))&lt;=46.5,2,1)), IF(INDEX(ERP資料!$G:$G, (MATCH(638, 輔助計算!$G$2:$G$801, 0)+1))&lt;=790,3,IF(INDEX(ERP資料!$G:$G, (MATCH(638, 輔助計算!$G$2:$G$801, 0)+1))&lt;=1181,2,1))))=2,TEXT(INDEX(ERP資料!$G:$G, (MATCH(638, 輔助計算!$G$2:$G$801, 0)+1)),"0.##")&amp;"+"&amp;TEXT(INDEX(ERP資料!$G:$G, (MATCH(638, 輔助計算!$G$2:$G$801, 0)+1)),"0.##"),TEXT(INDEX(ERP資料!$G:$G, (MATCH(638, 輔助計算!$G$2:$G$801, 0)+1)),"0.##")&amp;"+"&amp;TEXT(INDEX(ERP資料!$G:$G, (MATCH(638, 輔助計算!$G$2:$G$801, 0)+1)),"0.##")&amp;"+"&amp;TEXT(INDEX(ERP資料!$G:$G, (MATCH(638, 輔助計算!$G$2:$G$801, 0)+1)),"0.##"))))&amp;"-1")), ""), "")</f>
        <v/>
      </c>
      <c r="K639" s="16" t="n"/>
      <c r="L639" s="14">
        <f>IFERROR(IF(AND(IFERROR(INDEX(ERP資料!$A:$A, (MATCH(638, 輔助計算!$G$2:$G$801, 0)+1)), "")&lt;&gt;"", IFERROR(INDEX(ERP資料!$A:$A, (MATCH(638, 輔助計算!$G$2:$G$801, 0)+1)), "")&lt;&gt;IFERROR(INDEX(ERP資料!$A:$A, MATCH(637, 輔助計算!$G$2:$G$801, 0)+1), "")), INDEX(ERP資料!$B:$B, (MATCH(638, 輔助計算!$G$2:$G$801, 0)+1)), ""), "")</f>
        <v/>
      </c>
      <c r="M639" s="17" t="n"/>
    </row>
    <row r="640">
      <c r="A640" s="10">
        <f>IFERROR(IF(AND(IFERROR(INDEX(ERP資料!$A:$A, (MATCH(639, 輔助計算!$G$2:$G$801, 0)+1)), "")&lt;&gt;"", IFERROR(INDEX(ERP資料!$A:$A, (MATCH(639, 輔助計算!$G$2:$G$801, 0)+1)), "")&lt;&gt;IFERROR(INDEX(ERP資料!$A:$A, MATCH(638, 輔助計算!$G$2:$G$801, 0)+1), "")), IFERROR(INDEX(ERP資料!$A:$A, (MATCH(639, 輔助計算!$G$2:$G$801, 0)+1)), ""), ""), "")</f>
        <v/>
      </c>
      <c r="B640" s="10">
        <f>IFERROR(IF(AND(IFERROR(INDEX(ERP資料!$A:$A, (MATCH(639, 輔助計算!$G$2:$G$801, 0)+1)), "")&lt;&gt;"", IFERROR(INDEX(ERP資料!$A:$A, (MATCH(639, 輔助計算!$G$2:$G$801, 0)+1)), "")&lt;&gt;IFERROR(INDEX(ERP資料!$A:$A, MATCH(638, 輔助計算!$G$2:$G$801, 0)+1), "")), INDEX(ERP資料!$S:$S, (MATCH(639, 輔助計算!$G$2:$G$801, 0)+1)), ""), "")</f>
        <v/>
      </c>
      <c r="C640" s="19">
        <f>IFERROR(IF(AND(IFERROR(INDEX(ERP資料!$A:$A, (MATCH(639, 輔助計算!$G$2:$G$801, 0)+1)), "")&lt;&gt;"", IFERROR(INDEX(ERP資料!$A:$A, (MATCH(639, 輔助計算!$G$2:$G$801, 0)+1)), "")&lt;&gt;IFERROR(INDEX(ERP資料!$A:$A, MATCH(638, 輔助計算!$G$2:$G$801, 0)+1), "")), IFERROR(VLOOKUP(LEFT(INDEX(ERP資料!$S:$S, (MATCH(639, 輔助計算!$G$2:$G$801, 0)+1)), 4), 紙管對照表!$A:$C, 3, FALSE), ""), ""), "")</f>
        <v/>
      </c>
      <c r="D640" s="16" t="n"/>
      <c r="E640" s="10">
        <f>IFERROR(IF(INDEX(ERP資料!$H:$H, (MATCH(639, 輔助計算!$G$2:$G$801, 0)+1))="","",INDEX(ERP資料!$H:$H, (MATCH(639, 輔助計算!$G$2:$G$801, 0)+1))), "")</f>
        <v/>
      </c>
      <c r="F640" s="10">
        <f>IFERROR(IF(INDEX(ERP資料!$E:$E, (MATCH(639, 輔助計算!$G$2:$G$801, 0)+1))="","",TRIM(INDEX(ERP資料!$E:$E, (MATCH(639, 輔助計算!$G$2:$G$801, 0)+1)))), "")</f>
        <v/>
      </c>
      <c r="G640" s="10">
        <f>IFERROR(IF(INDEX(ERP資料!$F:$F, (MATCH(639, 輔助計算!$G$2:$G$801, 0)+1))="","",INDEX(ERP資料!$F:$F, (MATCH(639, 輔助計算!$G$2:$G$801, 0)+1))), "")</f>
        <v/>
      </c>
      <c r="H640" s="10">
        <f>IFERROR(IF(INDEX(ERP資料!$G:$G, (MATCH(639, 輔助計算!$G$2:$G$801, 0)+1))="","",INDEX(ERP資料!$G:$G, (MATCH(639, 輔助計算!$G$2:$G$801, 0)+1))), "")</f>
        <v/>
      </c>
      <c r="I640" s="15">
        <f>IFERROR(INDEX(輔助計算!$D:$D, (MATCH(639, 輔助計算!$G$2:$G$801, 0)+1)), "")</f>
        <v/>
      </c>
      <c r="J640" s="15">
        <f>IFERROR(IF(AND(INDEX(輔助計算!$D:$D, (MATCH(639, 輔助計算!$G$2:$G$801, 0)+1))&lt;&gt;"", INDEX(ERP資料!$G:$G, (MATCH(639, 輔助計算!$G$2:$G$801, 0)+1))&lt;&gt;""), TRIM(IF(INT(INDEX(輔助計算!$D:$D, (MATCH(639, 輔助計算!$G$2:$G$801, 0)+1))/IF(INDEX(ERP資料!$G:$G, (MATCH(639, 輔助計算!$G$2:$G$801, 0)+1))&lt;100, IF(INDEX(ERP資料!$G:$G, (MATCH(639, 輔助計算!$G$2:$G$801, 0)+1))&lt;=31,3,IF(INDEX(ERP資料!$G:$G, (MATCH(639, 輔助計算!$G$2:$G$801, 0)+1))&lt;=46.5,2,1)), IF(INDEX(ERP資料!$G:$G, (MATCH(639, 輔助計算!$G$2:$G$801, 0)+1))&lt;=790,3,IF(INDEX(ERP資料!$G:$G, (MATCH(639, 輔助計算!$G$2:$G$801, 0)+1))&lt;=1181,2,1))))&gt;0, IF(IF(INDEX(ERP資料!$G:$G, (MATCH(639, 輔助計算!$G$2:$G$801, 0)+1))&lt;100, IF(INDEX(ERP資料!$G:$G, (MATCH(639, 輔助計算!$G$2:$G$801, 0)+1))&lt;=31,3,IF(INDEX(ERP資料!$G:$G, (MATCH(639, 輔助計算!$G$2:$G$801, 0)+1))&lt;=46.5,2,1)), IF(INDEX(ERP資料!$G:$G, (MATCH(639, 輔助計算!$G$2:$G$801, 0)+1))&lt;=790,3,IF(INDEX(ERP資料!$G:$G, (MATCH(639, 輔助計算!$G$2:$G$801, 0)+1))&lt;=1181,2,1)))=1,TEXT(INDEX(ERP資料!$G:$G, (MATCH(639, 輔助計算!$G$2:$G$801, 0)+1)),"0.##"),IF(IF(INDEX(ERP資料!$G:$G, (MATCH(639, 輔助計算!$G$2:$G$801, 0)+1))&lt;100, IF(INDEX(ERP資料!$G:$G, (MATCH(639, 輔助計算!$G$2:$G$801, 0)+1))&lt;=31,3,IF(INDEX(ERP資料!$G:$G, (MATCH(639, 輔助計算!$G$2:$G$801, 0)+1))&lt;=46.5,2,1)), IF(INDEX(ERP資料!$G:$G, (MATCH(639, 輔助計算!$G$2:$G$801, 0)+1))&lt;=790,3,IF(INDEX(ERP資料!$G:$G, (MATCH(639, 輔助計算!$G$2:$G$801, 0)+1))&lt;=1181,2,1)))=2,TEXT(INDEX(ERP資料!$G:$G, (MATCH(639, 輔助計算!$G$2:$G$801, 0)+1)),"0.##")&amp;"+"&amp;TEXT(INDEX(ERP資料!$G:$G, (MATCH(639, 輔助計算!$G$2:$G$801, 0)+1)),"0.##"),TEXT(INDEX(ERP資料!$G:$G, (MATCH(639, 輔助計算!$G$2:$G$801, 0)+1)),"0.##")&amp;"+"&amp;TEXT(INDEX(ERP資料!$G:$G, (MATCH(639, 輔助計算!$G$2:$G$801, 0)+1)),"0.##")&amp;"+"&amp;TEXT(INDEX(ERP資料!$G:$G, (MATCH(639, 輔助計算!$G$2:$G$801, 0)+1)),"0.##")))&amp;"-"&amp;INT(INDEX(輔助計算!$D:$D, (MATCH(639, 輔助計算!$G$2:$G$801, 0)+1))/IF(INDEX(ERP資料!$G:$G, (MATCH(639, 輔助計算!$G$2:$G$801, 0)+1))&lt;100, IF(INDEX(ERP資料!$G:$G, (MATCH(639, 輔助計算!$G$2:$G$801, 0)+1))&lt;=31,3,IF(INDEX(ERP資料!$G:$G, (MATCH(639, 輔助計算!$G$2:$G$801, 0)+1))&lt;=46.5,2,1)), IF(INDEX(ERP資料!$G:$G, (MATCH(639, 輔助計算!$G$2:$G$801, 0)+1))&lt;=790,3,IF(INDEX(ERP資料!$G:$G, (MATCH(639, 輔助計算!$G$2:$G$801, 0)+1))&lt;=1181,2,1)))), "")&amp;IF(AND(IF(INT(INDEX(輔助計算!$D:$D, (MATCH(639, 輔助計算!$G$2:$G$801, 0)+1))/IF(INDEX(ERP資料!$G:$G, (MATCH(639, 輔助計算!$G$2:$G$801, 0)+1))&lt;100, IF(INDEX(ERP資料!$G:$G, (MATCH(639, 輔助計算!$G$2:$G$801, 0)+1))&lt;=31,3,IF(INDEX(ERP資料!$G:$G, (MATCH(639, 輔助計算!$G$2:$G$801, 0)+1))&lt;=46.5,2,1)), IF(INDEX(ERP資料!$G:$G, (MATCH(639, 輔助計算!$G$2:$G$801, 0)+1))&lt;=790,3,IF(INDEX(ERP資料!$G:$G, (MATCH(639, 輔助計算!$G$2:$G$801, 0)+1))&lt;=1181,2,1))))&gt;0, IF(IF(INDEX(ERP資料!$G:$G, (MATCH(639, 輔助計算!$G$2:$G$801, 0)+1))&lt;100, IF(INDEX(ERP資料!$G:$G, (MATCH(639, 輔助計算!$G$2:$G$801, 0)+1))&lt;=31,3,IF(INDEX(ERP資料!$G:$G, (MATCH(639, 輔助計算!$G$2:$G$801, 0)+1))&lt;=46.5,2,1)), IF(INDEX(ERP資料!$G:$G, (MATCH(639, 輔助計算!$G$2:$G$801, 0)+1))&lt;=790,3,IF(INDEX(ERP資料!$G:$G, (MATCH(639, 輔助計算!$G$2:$G$801, 0)+1))&lt;=1181,2,1)))=1,TEXT(INDEX(ERP資料!$G:$G, (MATCH(639, 輔助計算!$G$2:$G$801, 0)+1)),"0.##"),IF(IF(INDEX(ERP資料!$G:$G, (MATCH(639, 輔助計算!$G$2:$G$801, 0)+1))&lt;100, IF(INDEX(ERP資料!$G:$G, (MATCH(639, 輔助計算!$G$2:$G$801, 0)+1))&lt;=31,3,IF(INDEX(ERP資料!$G:$G, (MATCH(639, 輔助計算!$G$2:$G$801, 0)+1))&lt;=46.5,2,1)), IF(INDEX(ERP資料!$G:$G, (MATCH(639, 輔助計算!$G$2:$G$801, 0)+1))&lt;=790,3,IF(INDEX(ERP資料!$G:$G, (MATCH(639, 輔助計算!$G$2:$G$801, 0)+1))&lt;=1181,2,1)))=2,TEXT(INDEX(ERP資料!$G:$G, (MATCH(639, 輔助計算!$G$2:$G$801, 0)+1)),"0.##")&amp;"+"&amp;TEXT(INDEX(ERP資料!$G:$G, (MATCH(639, 輔助計算!$G$2:$G$801, 0)+1)),"0.##"),TEXT(INDEX(ERP資料!$G:$G, (MATCH(639, 輔助計算!$G$2:$G$801, 0)+1)),"0.##")&amp;"+"&amp;TEXT(INDEX(ERP資料!$G:$G, (MATCH(639, 輔助計算!$G$2:$G$801, 0)+1)),"0.##")&amp;"+"&amp;TEXT(INDEX(ERP資料!$G:$G, (MATCH(639, 輔助計算!$G$2:$G$801, 0)+1)),"0.##")))&amp;"-"&amp;INT(INDEX(輔助計算!$D:$D, (MATCH(639, 輔助計算!$G$2:$G$801, 0)+1))/IF(INDEX(ERP資料!$G:$G, (MATCH(639, 輔助計算!$G$2:$G$801, 0)+1))&lt;100, IF(INDEX(ERP資料!$G:$G, (MATCH(639, 輔助計算!$G$2:$G$801, 0)+1))&lt;=31,3,IF(INDEX(ERP資料!$G:$G, (MATCH(639, 輔助計算!$G$2:$G$801, 0)+1))&lt;=46.5,2,1)), IF(INDEX(ERP資料!$G:$G, (MATCH(639, 輔助計算!$G$2:$G$801, 0)+1))&lt;=790,3,IF(INDEX(ERP資料!$G:$G, (MATCH(639, 輔助計算!$G$2:$G$801, 0)+1))&lt;=1181,2,1)))), "")&lt;&gt;"",IF(MOD(INDEX(輔助計算!$D:$D, (MATCH(639, 輔助計算!$G$2:$G$801, 0)+1)),IF(INDEX(ERP資料!$G:$G, (MATCH(639, 輔助計算!$G$2:$G$801, 0)+1))&lt;100, IF(INDEX(ERP資料!$G:$G, (MATCH(639, 輔助計算!$G$2:$G$801, 0)+1))&lt;=31,3,IF(INDEX(ERP資料!$G:$G, (MATCH(639, 輔助計算!$G$2:$G$801, 0)+1))&lt;=46.5,2,1)), IF(INDEX(ERP資料!$G:$G, (MATCH(639, 輔助計算!$G$2:$G$801, 0)+1))&lt;=790,3,IF(INDEX(ERP資料!$G:$G, (MATCH(639, 輔助計算!$G$2:$G$801, 0)+1))&lt;=1181,2,1))))=0,"",IF(MOD(INDEX(輔助計算!$D:$D, (MATCH(639, 輔助計算!$G$2:$G$801, 0)+1)),IF(INDEX(ERP資料!$G:$G, (MATCH(639, 輔助計算!$G$2:$G$801, 0)+1))&lt;100, IF(INDEX(ERP資料!$G:$G, (MATCH(639, 輔助計算!$G$2:$G$801, 0)+1))&lt;=31,3,IF(INDEX(ERP資料!$G:$G, (MATCH(639, 輔助計算!$G$2:$G$801, 0)+1))&lt;=46.5,2,1)), IF(INDEX(ERP資料!$G:$G, (MATCH(639, 輔助計算!$G$2:$G$801, 0)+1))&lt;=790,3,IF(INDEX(ERP資料!$G:$G, (MATCH(639, 輔助計算!$G$2:$G$801, 0)+1))&lt;=1181,2,1))))=0,"",IF(MOD(INDEX(輔助計算!$D:$D, (MATCH(639, 輔助計算!$G$2:$G$801, 0)+1)),IF(INDEX(ERP資料!$G:$G, (MATCH(639, 輔助計算!$G$2:$G$801, 0)+1))&lt;100, IF(INDEX(ERP資料!$G:$G, (MATCH(639, 輔助計算!$G$2:$G$801, 0)+1))&lt;=31,3,IF(INDEX(ERP資料!$G:$G, (MATCH(639, 輔助計算!$G$2:$G$801, 0)+1))&lt;=46.5,2,1)), IF(INDEX(ERP資料!$G:$G, (MATCH(639, 輔助計算!$G$2:$G$801, 0)+1))&lt;=790,3,IF(INDEX(ERP資料!$G:$G, (MATCH(639, 輔助計算!$G$2:$G$801, 0)+1))&lt;=1181,2,1))))=1,TEXT(INDEX(ERP資料!$G:$G, (MATCH(639, 輔助計算!$G$2:$G$801, 0)+1)),"0.##"),IF(MOD(INDEX(輔助計算!$D:$D, (MATCH(639, 輔助計算!$G$2:$G$801, 0)+1)),IF(INDEX(ERP資料!$G:$G, (MATCH(639, 輔助計算!$G$2:$G$801, 0)+1))&lt;100, IF(INDEX(ERP資料!$G:$G, (MATCH(639, 輔助計算!$G$2:$G$801, 0)+1))&lt;=31,3,IF(INDEX(ERP資料!$G:$G, (MATCH(639, 輔助計算!$G$2:$G$801, 0)+1))&lt;=46.5,2,1)), IF(INDEX(ERP資料!$G:$G, (MATCH(639, 輔助計算!$G$2:$G$801, 0)+1))&lt;=790,3,IF(INDEX(ERP資料!$G:$G, (MATCH(639, 輔助計算!$G$2:$G$801, 0)+1))&lt;=1181,2,1))))=2,TEXT(INDEX(ERP資料!$G:$G, (MATCH(639, 輔助計算!$G$2:$G$801, 0)+1)),"0.##")&amp;"+"&amp;TEXT(INDEX(ERP資料!$G:$G, (MATCH(639, 輔助計算!$G$2:$G$801, 0)+1)),"0.##"),TEXT(INDEX(ERP資料!$G:$G, (MATCH(639, 輔助計算!$G$2:$G$801, 0)+1)),"0.##")&amp;"+"&amp;TEXT(INDEX(ERP資料!$G:$G, (MATCH(639, 輔助計算!$G$2:$G$801, 0)+1)),"0.##")&amp;"+"&amp;TEXT(INDEX(ERP資料!$G:$G, (MATCH(639, 輔助計算!$G$2:$G$801, 0)+1)),"0.##"))))&amp;"-1")&lt;&gt;""),"  ","")&amp;IF(MOD(INDEX(輔助計算!$D:$D, (MATCH(639, 輔助計算!$G$2:$G$801, 0)+1)),IF(INDEX(ERP資料!$G:$G, (MATCH(639, 輔助計算!$G$2:$G$801, 0)+1))&lt;100, IF(INDEX(ERP資料!$G:$G, (MATCH(639, 輔助計算!$G$2:$G$801, 0)+1))&lt;=31,3,IF(INDEX(ERP資料!$G:$G, (MATCH(639, 輔助計算!$G$2:$G$801, 0)+1))&lt;=46.5,2,1)), IF(INDEX(ERP資料!$G:$G, (MATCH(639, 輔助計算!$G$2:$G$801, 0)+1))&lt;=790,3,IF(INDEX(ERP資料!$G:$G, (MATCH(639, 輔助計算!$G$2:$G$801, 0)+1))&lt;=1181,2,1))))=0,"",IF(MOD(INDEX(輔助計算!$D:$D, (MATCH(639, 輔助計算!$G$2:$G$801, 0)+1)),IF(INDEX(ERP資料!$G:$G, (MATCH(639, 輔助計算!$G$2:$G$801, 0)+1))&lt;100, IF(INDEX(ERP資料!$G:$G, (MATCH(639, 輔助計算!$G$2:$G$801, 0)+1))&lt;=31,3,IF(INDEX(ERP資料!$G:$G, (MATCH(639, 輔助計算!$G$2:$G$801, 0)+1))&lt;=46.5,2,1)), IF(INDEX(ERP資料!$G:$G, (MATCH(639, 輔助計算!$G$2:$G$801, 0)+1))&lt;=790,3,IF(INDEX(ERP資料!$G:$G, (MATCH(639, 輔助計算!$G$2:$G$801, 0)+1))&lt;=1181,2,1))))=0,"",IF(MOD(INDEX(輔助計算!$D:$D, (MATCH(639, 輔助計算!$G$2:$G$801, 0)+1)),IF(INDEX(ERP資料!$G:$G, (MATCH(639, 輔助計算!$G$2:$G$801, 0)+1))&lt;100, IF(INDEX(ERP資料!$G:$G, (MATCH(639, 輔助計算!$G$2:$G$801, 0)+1))&lt;=31,3,IF(INDEX(ERP資料!$G:$G, (MATCH(639, 輔助計算!$G$2:$G$801, 0)+1))&lt;=46.5,2,1)), IF(INDEX(ERP資料!$G:$G, (MATCH(639, 輔助計算!$G$2:$G$801, 0)+1))&lt;=790,3,IF(INDEX(ERP資料!$G:$G, (MATCH(639, 輔助計算!$G$2:$G$801, 0)+1))&lt;=1181,2,1))))=1,TEXT(INDEX(ERP資料!$G:$G, (MATCH(639, 輔助計算!$G$2:$G$801, 0)+1)),"0.##"),IF(MOD(INDEX(輔助計算!$D:$D, (MATCH(639, 輔助計算!$G$2:$G$801, 0)+1)),IF(INDEX(ERP資料!$G:$G, (MATCH(639, 輔助計算!$G$2:$G$801, 0)+1))&lt;100, IF(INDEX(ERP資料!$G:$G, (MATCH(639, 輔助計算!$G$2:$G$801, 0)+1))&lt;=31,3,IF(INDEX(ERP資料!$G:$G, (MATCH(639, 輔助計算!$G$2:$G$801, 0)+1))&lt;=46.5,2,1)), IF(INDEX(ERP資料!$G:$G, (MATCH(639, 輔助計算!$G$2:$G$801, 0)+1))&lt;=790,3,IF(INDEX(ERP資料!$G:$G, (MATCH(639, 輔助計算!$G$2:$G$801, 0)+1))&lt;=1181,2,1))))=2,TEXT(INDEX(ERP資料!$G:$G, (MATCH(639, 輔助計算!$G$2:$G$801, 0)+1)),"0.##")&amp;"+"&amp;TEXT(INDEX(ERP資料!$G:$G, (MATCH(639, 輔助計算!$G$2:$G$801, 0)+1)),"0.##"),TEXT(INDEX(ERP資料!$G:$G, (MATCH(639, 輔助計算!$G$2:$G$801, 0)+1)),"0.##")&amp;"+"&amp;TEXT(INDEX(ERP資料!$G:$G, (MATCH(639, 輔助計算!$G$2:$G$801, 0)+1)),"0.##")&amp;"+"&amp;TEXT(INDEX(ERP資料!$G:$G, (MATCH(639, 輔助計算!$G$2:$G$801, 0)+1)),"0.##"))))&amp;"-1")), ""), "")</f>
        <v/>
      </c>
      <c r="K640" s="16" t="n"/>
      <c r="L640" s="14">
        <f>IFERROR(IF(AND(IFERROR(INDEX(ERP資料!$A:$A, (MATCH(639, 輔助計算!$G$2:$G$801, 0)+1)), "")&lt;&gt;"", IFERROR(INDEX(ERP資料!$A:$A, (MATCH(639, 輔助計算!$G$2:$G$801, 0)+1)), "")&lt;&gt;IFERROR(INDEX(ERP資料!$A:$A, MATCH(638, 輔助計算!$G$2:$G$801, 0)+1), "")), INDEX(ERP資料!$B:$B, (MATCH(639, 輔助計算!$G$2:$G$801, 0)+1)), ""), "")</f>
        <v/>
      </c>
      <c r="M640" s="17" t="n"/>
    </row>
    <row r="641">
      <c r="A641" s="10">
        <f>IFERROR(IF(AND(IFERROR(INDEX(ERP資料!$A:$A, (MATCH(640, 輔助計算!$G$2:$G$801, 0)+1)), "")&lt;&gt;"", IFERROR(INDEX(ERP資料!$A:$A, (MATCH(640, 輔助計算!$G$2:$G$801, 0)+1)), "")&lt;&gt;IFERROR(INDEX(ERP資料!$A:$A, MATCH(639, 輔助計算!$G$2:$G$801, 0)+1), "")), IFERROR(INDEX(ERP資料!$A:$A, (MATCH(640, 輔助計算!$G$2:$G$801, 0)+1)), ""), ""), "")</f>
        <v/>
      </c>
      <c r="B641" s="10">
        <f>IFERROR(IF(AND(IFERROR(INDEX(ERP資料!$A:$A, (MATCH(640, 輔助計算!$G$2:$G$801, 0)+1)), "")&lt;&gt;"", IFERROR(INDEX(ERP資料!$A:$A, (MATCH(640, 輔助計算!$G$2:$G$801, 0)+1)), "")&lt;&gt;IFERROR(INDEX(ERP資料!$A:$A, MATCH(639, 輔助計算!$G$2:$G$801, 0)+1), "")), INDEX(ERP資料!$S:$S, (MATCH(640, 輔助計算!$G$2:$G$801, 0)+1)), ""), "")</f>
        <v/>
      </c>
      <c r="C641" s="19">
        <f>IFERROR(IF(AND(IFERROR(INDEX(ERP資料!$A:$A, (MATCH(640, 輔助計算!$G$2:$G$801, 0)+1)), "")&lt;&gt;"", IFERROR(INDEX(ERP資料!$A:$A, (MATCH(640, 輔助計算!$G$2:$G$801, 0)+1)), "")&lt;&gt;IFERROR(INDEX(ERP資料!$A:$A, MATCH(639, 輔助計算!$G$2:$G$801, 0)+1), "")), IFERROR(VLOOKUP(LEFT(INDEX(ERP資料!$S:$S, (MATCH(640, 輔助計算!$G$2:$G$801, 0)+1)), 4), 紙管對照表!$A:$C, 3, FALSE), ""), ""), "")</f>
        <v/>
      </c>
      <c r="D641" s="16" t="n"/>
      <c r="E641" s="10">
        <f>IFERROR(IF(INDEX(ERP資料!$H:$H, (MATCH(640, 輔助計算!$G$2:$G$801, 0)+1))="","",INDEX(ERP資料!$H:$H, (MATCH(640, 輔助計算!$G$2:$G$801, 0)+1))), "")</f>
        <v/>
      </c>
      <c r="F641" s="10">
        <f>IFERROR(IF(INDEX(ERP資料!$E:$E, (MATCH(640, 輔助計算!$G$2:$G$801, 0)+1))="","",TRIM(INDEX(ERP資料!$E:$E, (MATCH(640, 輔助計算!$G$2:$G$801, 0)+1)))), "")</f>
        <v/>
      </c>
      <c r="G641" s="10">
        <f>IFERROR(IF(INDEX(ERP資料!$F:$F, (MATCH(640, 輔助計算!$G$2:$G$801, 0)+1))="","",INDEX(ERP資料!$F:$F, (MATCH(640, 輔助計算!$G$2:$G$801, 0)+1))), "")</f>
        <v/>
      </c>
      <c r="H641" s="10">
        <f>IFERROR(IF(INDEX(ERP資料!$G:$G, (MATCH(640, 輔助計算!$G$2:$G$801, 0)+1))="","",INDEX(ERP資料!$G:$G, (MATCH(640, 輔助計算!$G$2:$G$801, 0)+1))), "")</f>
        <v/>
      </c>
      <c r="I641" s="15">
        <f>IFERROR(INDEX(輔助計算!$D:$D, (MATCH(640, 輔助計算!$G$2:$G$801, 0)+1)), "")</f>
        <v/>
      </c>
      <c r="J641" s="15">
        <f>IFERROR(IF(AND(INDEX(輔助計算!$D:$D, (MATCH(640, 輔助計算!$G$2:$G$801, 0)+1))&lt;&gt;"", INDEX(ERP資料!$G:$G, (MATCH(640, 輔助計算!$G$2:$G$801, 0)+1))&lt;&gt;""), TRIM(IF(INT(INDEX(輔助計算!$D:$D, (MATCH(640, 輔助計算!$G$2:$G$801, 0)+1))/IF(INDEX(ERP資料!$G:$G, (MATCH(640, 輔助計算!$G$2:$G$801, 0)+1))&lt;100, IF(INDEX(ERP資料!$G:$G, (MATCH(640, 輔助計算!$G$2:$G$801, 0)+1))&lt;=31,3,IF(INDEX(ERP資料!$G:$G, (MATCH(640, 輔助計算!$G$2:$G$801, 0)+1))&lt;=46.5,2,1)), IF(INDEX(ERP資料!$G:$G, (MATCH(640, 輔助計算!$G$2:$G$801, 0)+1))&lt;=790,3,IF(INDEX(ERP資料!$G:$G, (MATCH(640, 輔助計算!$G$2:$G$801, 0)+1))&lt;=1181,2,1))))&gt;0, IF(IF(INDEX(ERP資料!$G:$G, (MATCH(640, 輔助計算!$G$2:$G$801, 0)+1))&lt;100, IF(INDEX(ERP資料!$G:$G, (MATCH(640, 輔助計算!$G$2:$G$801, 0)+1))&lt;=31,3,IF(INDEX(ERP資料!$G:$G, (MATCH(640, 輔助計算!$G$2:$G$801, 0)+1))&lt;=46.5,2,1)), IF(INDEX(ERP資料!$G:$G, (MATCH(640, 輔助計算!$G$2:$G$801, 0)+1))&lt;=790,3,IF(INDEX(ERP資料!$G:$G, (MATCH(640, 輔助計算!$G$2:$G$801, 0)+1))&lt;=1181,2,1)))=1,TEXT(INDEX(ERP資料!$G:$G, (MATCH(640, 輔助計算!$G$2:$G$801, 0)+1)),"0.##"),IF(IF(INDEX(ERP資料!$G:$G, (MATCH(640, 輔助計算!$G$2:$G$801, 0)+1))&lt;100, IF(INDEX(ERP資料!$G:$G, (MATCH(640, 輔助計算!$G$2:$G$801, 0)+1))&lt;=31,3,IF(INDEX(ERP資料!$G:$G, (MATCH(640, 輔助計算!$G$2:$G$801, 0)+1))&lt;=46.5,2,1)), IF(INDEX(ERP資料!$G:$G, (MATCH(640, 輔助計算!$G$2:$G$801, 0)+1))&lt;=790,3,IF(INDEX(ERP資料!$G:$G, (MATCH(640, 輔助計算!$G$2:$G$801, 0)+1))&lt;=1181,2,1)))=2,TEXT(INDEX(ERP資料!$G:$G, (MATCH(640, 輔助計算!$G$2:$G$801, 0)+1)),"0.##")&amp;"+"&amp;TEXT(INDEX(ERP資料!$G:$G, (MATCH(640, 輔助計算!$G$2:$G$801, 0)+1)),"0.##"),TEXT(INDEX(ERP資料!$G:$G, (MATCH(640, 輔助計算!$G$2:$G$801, 0)+1)),"0.##")&amp;"+"&amp;TEXT(INDEX(ERP資料!$G:$G, (MATCH(640, 輔助計算!$G$2:$G$801, 0)+1)),"0.##")&amp;"+"&amp;TEXT(INDEX(ERP資料!$G:$G, (MATCH(640, 輔助計算!$G$2:$G$801, 0)+1)),"0.##")))&amp;"-"&amp;INT(INDEX(輔助計算!$D:$D, (MATCH(640, 輔助計算!$G$2:$G$801, 0)+1))/IF(INDEX(ERP資料!$G:$G, (MATCH(640, 輔助計算!$G$2:$G$801, 0)+1))&lt;100, IF(INDEX(ERP資料!$G:$G, (MATCH(640, 輔助計算!$G$2:$G$801, 0)+1))&lt;=31,3,IF(INDEX(ERP資料!$G:$G, (MATCH(640, 輔助計算!$G$2:$G$801, 0)+1))&lt;=46.5,2,1)), IF(INDEX(ERP資料!$G:$G, (MATCH(640, 輔助計算!$G$2:$G$801, 0)+1))&lt;=790,3,IF(INDEX(ERP資料!$G:$G, (MATCH(640, 輔助計算!$G$2:$G$801, 0)+1))&lt;=1181,2,1)))), "")&amp;IF(AND(IF(INT(INDEX(輔助計算!$D:$D, (MATCH(640, 輔助計算!$G$2:$G$801, 0)+1))/IF(INDEX(ERP資料!$G:$G, (MATCH(640, 輔助計算!$G$2:$G$801, 0)+1))&lt;100, IF(INDEX(ERP資料!$G:$G, (MATCH(640, 輔助計算!$G$2:$G$801, 0)+1))&lt;=31,3,IF(INDEX(ERP資料!$G:$G, (MATCH(640, 輔助計算!$G$2:$G$801, 0)+1))&lt;=46.5,2,1)), IF(INDEX(ERP資料!$G:$G, (MATCH(640, 輔助計算!$G$2:$G$801, 0)+1))&lt;=790,3,IF(INDEX(ERP資料!$G:$G, (MATCH(640, 輔助計算!$G$2:$G$801, 0)+1))&lt;=1181,2,1))))&gt;0, IF(IF(INDEX(ERP資料!$G:$G, (MATCH(640, 輔助計算!$G$2:$G$801, 0)+1))&lt;100, IF(INDEX(ERP資料!$G:$G, (MATCH(640, 輔助計算!$G$2:$G$801, 0)+1))&lt;=31,3,IF(INDEX(ERP資料!$G:$G, (MATCH(640, 輔助計算!$G$2:$G$801, 0)+1))&lt;=46.5,2,1)), IF(INDEX(ERP資料!$G:$G, (MATCH(640, 輔助計算!$G$2:$G$801, 0)+1))&lt;=790,3,IF(INDEX(ERP資料!$G:$G, (MATCH(640, 輔助計算!$G$2:$G$801, 0)+1))&lt;=1181,2,1)))=1,TEXT(INDEX(ERP資料!$G:$G, (MATCH(640, 輔助計算!$G$2:$G$801, 0)+1)),"0.##"),IF(IF(INDEX(ERP資料!$G:$G, (MATCH(640, 輔助計算!$G$2:$G$801, 0)+1))&lt;100, IF(INDEX(ERP資料!$G:$G, (MATCH(640, 輔助計算!$G$2:$G$801, 0)+1))&lt;=31,3,IF(INDEX(ERP資料!$G:$G, (MATCH(640, 輔助計算!$G$2:$G$801, 0)+1))&lt;=46.5,2,1)), IF(INDEX(ERP資料!$G:$G, (MATCH(640, 輔助計算!$G$2:$G$801, 0)+1))&lt;=790,3,IF(INDEX(ERP資料!$G:$G, (MATCH(640, 輔助計算!$G$2:$G$801, 0)+1))&lt;=1181,2,1)))=2,TEXT(INDEX(ERP資料!$G:$G, (MATCH(640, 輔助計算!$G$2:$G$801, 0)+1)),"0.##")&amp;"+"&amp;TEXT(INDEX(ERP資料!$G:$G, (MATCH(640, 輔助計算!$G$2:$G$801, 0)+1)),"0.##"),TEXT(INDEX(ERP資料!$G:$G, (MATCH(640, 輔助計算!$G$2:$G$801, 0)+1)),"0.##")&amp;"+"&amp;TEXT(INDEX(ERP資料!$G:$G, (MATCH(640, 輔助計算!$G$2:$G$801, 0)+1)),"0.##")&amp;"+"&amp;TEXT(INDEX(ERP資料!$G:$G, (MATCH(640, 輔助計算!$G$2:$G$801, 0)+1)),"0.##")))&amp;"-"&amp;INT(INDEX(輔助計算!$D:$D, (MATCH(640, 輔助計算!$G$2:$G$801, 0)+1))/IF(INDEX(ERP資料!$G:$G, (MATCH(640, 輔助計算!$G$2:$G$801, 0)+1))&lt;100, IF(INDEX(ERP資料!$G:$G, (MATCH(640, 輔助計算!$G$2:$G$801, 0)+1))&lt;=31,3,IF(INDEX(ERP資料!$G:$G, (MATCH(640, 輔助計算!$G$2:$G$801, 0)+1))&lt;=46.5,2,1)), IF(INDEX(ERP資料!$G:$G, (MATCH(640, 輔助計算!$G$2:$G$801, 0)+1))&lt;=790,3,IF(INDEX(ERP資料!$G:$G, (MATCH(640, 輔助計算!$G$2:$G$801, 0)+1))&lt;=1181,2,1)))), "")&lt;&gt;"",IF(MOD(INDEX(輔助計算!$D:$D, (MATCH(640, 輔助計算!$G$2:$G$801, 0)+1)),IF(INDEX(ERP資料!$G:$G, (MATCH(640, 輔助計算!$G$2:$G$801, 0)+1))&lt;100, IF(INDEX(ERP資料!$G:$G, (MATCH(640, 輔助計算!$G$2:$G$801, 0)+1))&lt;=31,3,IF(INDEX(ERP資料!$G:$G, (MATCH(640, 輔助計算!$G$2:$G$801, 0)+1))&lt;=46.5,2,1)), IF(INDEX(ERP資料!$G:$G, (MATCH(640, 輔助計算!$G$2:$G$801, 0)+1))&lt;=790,3,IF(INDEX(ERP資料!$G:$G, (MATCH(640, 輔助計算!$G$2:$G$801, 0)+1))&lt;=1181,2,1))))=0,"",IF(MOD(INDEX(輔助計算!$D:$D, (MATCH(640, 輔助計算!$G$2:$G$801, 0)+1)),IF(INDEX(ERP資料!$G:$G, (MATCH(640, 輔助計算!$G$2:$G$801, 0)+1))&lt;100, IF(INDEX(ERP資料!$G:$G, (MATCH(640, 輔助計算!$G$2:$G$801, 0)+1))&lt;=31,3,IF(INDEX(ERP資料!$G:$G, (MATCH(640, 輔助計算!$G$2:$G$801, 0)+1))&lt;=46.5,2,1)), IF(INDEX(ERP資料!$G:$G, (MATCH(640, 輔助計算!$G$2:$G$801, 0)+1))&lt;=790,3,IF(INDEX(ERP資料!$G:$G, (MATCH(640, 輔助計算!$G$2:$G$801, 0)+1))&lt;=1181,2,1))))=0,"",IF(MOD(INDEX(輔助計算!$D:$D, (MATCH(640, 輔助計算!$G$2:$G$801, 0)+1)),IF(INDEX(ERP資料!$G:$G, (MATCH(640, 輔助計算!$G$2:$G$801, 0)+1))&lt;100, IF(INDEX(ERP資料!$G:$G, (MATCH(640, 輔助計算!$G$2:$G$801, 0)+1))&lt;=31,3,IF(INDEX(ERP資料!$G:$G, (MATCH(640, 輔助計算!$G$2:$G$801, 0)+1))&lt;=46.5,2,1)), IF(INDEX(ERP資料!$G:$G, (MATCH(640, 輔助計算!$G$2:$G$801, 0)+1))&lt;=790,3,IF(INDEX(ERP資料!$G:$G, (MATCH(640, 輔助計算!$G$2:$G$801, 0)+1))&lt;=1181,2,1))))=1,TEXT(INDEX(ERP資料!$G:$G, (MATCH(640, 輔助計算!$G$2:$G$801, 0)+1)),"0.##"),IF(MOD(INDEX(輔助計算!$D:$D, (MATCH(640, 輔助計算!$G$2:$G$801, 0)+1)),IF(INDEX(ERP資料!$G:$G, (MATCH(640, 輔助計算!$G$2:$G$801, 0)+1))&lt;100, IF(INDEX(ERP資料!$G:$G, (MATCH(640, 輔助計算!$G$2:$G$801, 0)+1))&lt;=31,3,IF(INDEX(ERP資料!$G:$G, (MATCH(640, 輔助計算!$G$2:$G$801, 0)+1))&lt;=46.5,2,1)), IF(INDEX(ERP資料!$G:$G, (MATCH(640, 輔助計算!$G$2:$G$801, 0)+1))&lt;=790,3,IF(INDEX(ERP資料!$G:$G, (MATCH(640, 輔助計算!$G$2:$G$801, 0)+1))&lt;=1181,2,1))))=2,TEXT(INDEX(ERP資料!$G:$G, (MATCH(640, 輔助計算!$G$2:$G$801, 0)+1)),"0.##")&amp;"+"&amp;TEXT(INDEX(ERP資料!$G:$G, (MATCH(640, 輔助計算!$G$2:$G$801, 0)+1)),"0.##"),TEXT(INDEX(ERP資料!$G:$G, (MATCH(640, 輔助計算!$G$2:$G$801, 0)+1)),"0.##")&amp;"+"&amp;TEXT(INDEX(ERP資料!$G:$G, (MATCH(640, 輔助計算!$G$2:$G$801, 0)+1)),"0.##")&amp;"+"&amp;TEXT(INDEX(ERP資料!$G:$G, (MATCH(640, 輔助計算!$G$2:$G$801, 0)+1)),"0.##"))))&amp;"-1")&lt;&gt;""),"  ","")&amp;IF(MOD(INDEX(輔助計算!$D:$D, (MATCH(640, 輔助計算!$G$2:$G$801, 0)+1)),IF(INDEX(ERP資料!$G:$G, (MATCH(640, 輔助計算!$G$2:$G$801, 0)+1))&lt;100, IF(INDEX(ERP資料!$G:$G, (MATCH(640, 輔助計算!$G$2:$G$801, 0)+1))&lt;=31,3,IF(INDEX(ERP資料!$G:$G, (MATCH(640, 輔助計算!$G$2:$G$801, 0)+1))&lt;=46.5,2,1)), IF(INDEX(ERP資料!$G:$G, (MATCH(640, 輔助計算!$G$2:$G$801, 0)+1))&lt;=790,3,IF(INDEX(ERP資料!$G:$G, (MATCH(640, 輔助計算!$G$2:$G$801, 0)+1))&lt;=1181,2,1))))=0,"",IF(MOD(INDEX(輔助計算!$D:$D, (MATCH(640, 輔助計算!$G$2:$G$801, 0)+1)),IF(INDEX(ERP資料!$G:$G, (MATCH(640, 輔助計算!$G$2:$G$801, 0)+1))&lt;100, IF(INDEX(ERP資料!$G:$G, (MATCH(640, 輔助計算!$G$2:$G$801, 0)+1))&lt;=31,3,IF(INDEX(ERP資料!$G:$G, (MATCH(640, 輔助計算!$G$2:$G$801, 0)+1))&lt;=46.5,2,1)), IF(INDEX(ERP資料!$G:$G, (MATCH(640, 輔助計算!$G$2:$G$801, 0)+1))&lt;=790,3,IF(INDEX(ERP資料!$G:$G, (MATCH(640, 輔助計算!$G$2:$G$801, 0)+1))&lt;=1181,2,1))))=0,"",IF(MOD(INDEX(輔助計算!$D:$D, (MATCH(640, 輔助計算!$G$2:$G$801, 0)+1)),IF(INDEX(ERP資料!$G:$G, (MATCH(640, 輔助計算!$G$2:$G$801, 0)+1))&lt;100, IF(INDEX(ERP資料!$G:$G, (MATCH(640, 輔助計算!$G$2:$G$801, 0)+1))&lt;=31,3,IF(INDEX(ERP資料!$G:$G, (MATCH(640, 輔助計算!$G$2:$G$801, 0)+1))&lt;=46.5,2,1)), IF(INDEX(ERP資料!$G:$G, (MATCH(640, 輔助計算!$G$2:$G$801, 0)+1))&lt;=790,3,IF(INDEX(ERP資料!$G:$G, (MATCH(640, 輔助計算!$G$2:$G$801, 0)+1))&lt;=1181,2,1))))=1,TEXT(INDEX(ERP資料!$G:$G, (MATCH(640, 輔助計算!$G$2:$G$801, 0)+1)),"0.##"),IF(MOD(INDEX(輔助計算!$D:$D, (MATCH(640, 輔助計算!$G$2:$G$801, 0)+1)),IF(INDEX(ERP資料!$G:$G, (MATCH(640, 輔助計算!$G$2:$G$801, 0)+1))&lt;100, IF(INDEX(ERP資料!$G:$G, (MATCH(640, 輔助計算!$G$2:$G$801, 0)+1))&lt;=31,3,IF(INDEX(ERP資料!$G:$G, (MATCH(640, 輔助計算!$G$2:$G$801, 0)+1))&lt;=46.5,2,1)), IF(INDEX(ERP資料!$G:$G, (MATCH(640, 輔助計算!$G$2:$G$801, 0)+1))&lt;=790,3,IF(INDEX(ERP資料!$G:$G, (MATCH(640, 輔助計算!$G$2:$G$801, 0)+1))&lt;=1181,2,1))))=2,TEXT(INDEX(ERP資料!$G:$G, (MATCH(640, 輔助計算!$G$2:$G$801, 0)+1)),"0.##")&amp;"+"&amp;TEXT(INDEX(ERP資料!$G:$G, (MATCH(640, 輔助計算!$G$2:$G$801, 0)+1)),"0.##"),TEXT(INDEX(ERP資料!$G:$G, (MATCH(640, 輔助計算!$G$2:$G$801, 0)+1)),"0.##")&amp;"+"&amp;TEXT(INDEX(ERP資料!$G:$G, (MATCH(640, 輔助計算!$G$2:$G$801, 0)+1)),"0.##")&amp;"+"&amp;TEXT(INDEX(ERP資料!$G:$G, (MATCH(640, 輔助計算!$G$2:$G$801, 0)+1)),"0.##"))))&amp;"-1")), ""), "")</f>
        <v/>
      </c>
      <c r="K641" s="16" t="n"/>
      <c r="L641" s="14">
        <f>IFERROR(IF(AND(IFERROR(INDEX(ERP資料!$A:$A, (MATCH(640, 輔助計算!$G$2:$G$801, 0)+1)), "")&lt;&gt;"", IFERROR(INDEX(ERP資料!$A:$A, (MATCH(640, 輔助計算!$G$2:$G$801, 0)+1)), "")&lt;&gt;IFERROR(INDEX(ERP資料!$A:$A, MATCH(639, 輔助計算!$G$2:$G$801, 0)+1), "")), INDEX(ERP資料!$B:$B, (MATCH(640, 輔助計算!$G$2:$G$801, 0)+1)), ""), "")</f>
        <v/>
      </c>
      <c r="M641" s="17" t="n"/>
    </row>
    <row r="642">
      <c r="A642" s="10">
        <f>IFERROR(IF(AND(IFERROR(INDEX(ERP資料!$A:$A, (MATCH(641, 輔助計算!$G$2:$G$801, 0)+1)), "")&lt;&gt;"", IFERROR(INDEX(ERP資料!$A:$A, (MATCH(641, 輔助計算!$G$2:$G$801, 0)+1)), "")&lt;&gt;IFERROR(INDEX(ERP資料!$A:$A, MATCH(640, 輔助計算!$G$2:$G$801, 0)+1), "")), IFERROR(INDEX(ERP資料!$A:$A, (MATCH(641, 輔助計算!$G$2:$G$801, 0)+1)), ""), ""), "")</f>
        <v/>
      </c>
      <c r="B642" s="10">
        <f>IFERROR(IF(AND(IFERROR(INDEX(ERP資料!$A:$A, (MATCH(641, 輔助計算!$G$2:$G$801, 0)+1)), "")&lt;&gt;"", IFERROR(INDEX(ERP資料!$A:$A, (MATCH(641, 輔助計算!$G$2:$G$801, 0)+1)), "")&lt;&gt;IFERROR(INDEX(ERP資料!$A:$A, MATCH(640, 輔助計算!$G$2:$G$801, 0)+1), "")), INDEX(ERP資料!$S:$S, (MATCH(641, 輔助計算!$G$2:$G$801, 0)+1)), ""), "")</f>
        <v/>
      </c>
      <c r="C642" s="19">
        <f>IFERROR(IF(AND(IFERROR(INDEX(ERP資料!$A:$A, (MATCH(641, 輔助計算!$G$2:$G$801, 0)+1)), "")&lt;&gt;"", IFERROR(INDEX(ERP資料!$A:$A, (MATCH(641, 輔助計算!$G$2:$G$801, 0)+1)), "")&lt;&gt;IFERROR(INDEX(ERP資料!$A:$A, MATCH(640, 輔助計算!$G$2:$G$801, 0)+1), "")), IFERROR(VLOOKUP(LEFT(INDEX(ERP資料!$S:$S, (MATCH(641, 輔助計算!$G$2:$G$801, 0)+1)), 4), 紙管對照表!$A:$C, 3, FALSE), ""), ""), "")</f>
        <v/>
      </c>
      <c r="D642" s="16" t="n"/>
      <c r="E642" s="10">
        <f>IFERROR(IF(INDEX(ERP資料!$H:$H, (MATCH(641, 輔助計算!$G$2:$G$801, 0)+1))="","",INDEX(ERP資料!$H:$H, (MATCH(641, 輔助計算!$G$2:$G$801, 0)+1))), "")</f>
        <v/>
      </c>
      <c r="F642" s="10">
        <f>IFERROR(IF(INDEX(ERP資料!$E:$E, (MATCH(641, 輔助計算!$G$2:$G$801, 0)+1))="","",TRIM(INDEX(ERP資料!$E:$E, (MATCH(641, 輔助計算!$G$2:$G$801, 0)+1)))), "")</f>
        <v/>
      </c>
      <c r="G642" s="10">
        <f>IFERROR(IF(INDEX(ERP資料!$F:$F, (MATCH(641, 輔助計算!$G$2:$G$801, 0)+1))="","",INDEX(ERP資料!$F:$F, (MATCH(641, 輔助計算!$G$2:$G$801, 0)+1))), "")</f>
        <v/>
      </c>
      <c r="H642" s="10">
        <f>IFERROR(IF(INDEX(ERP資料!$G:$G, (MATCH(641, 輔助計算!$G$2:$G$801, 0)+1))="","",INDEX(ERP資料!$G:$G, (MATCH(641, 輔助計算!$G$2:$G$801, 0)+1))), "")</f>
        <v/>
      </c>
      <c r="I642" s="15">
        <f>IFERROR(INDEX(輔助計算!$D:$D, (MATCH(641, 輔助計算!$G$2:$G$801, 0)+1)), "")</f>
        <v/>
      </c>
      <c r="J642" s="15">
        <f>IFERROR(IF(AND(INDEX(輔助計算!$D:$D, (MATCH(641, 輔助計算!$G$2:$G$801, 0)+1))&lt;&gt;"", INDEX(ERP資料!$G:$G, (MATCH(641, 輔助計算!$G$2:$G$801, 0)+1))&lt;&gt;""), TRIM(IF(INT(INDEX(輔助計算!$D:$D, (MATCH(641, 輔助計算!$G$2:$G$801, 0)+1))/IF(INDEX(ERP資料!$G:$G, (MATCH(641, 輔助計算!$G$2:$G$801, 0)+1))&lt;100, IF(INDEX(ERP資料!$G:$G, (MATCH(641, 輔助計算!$G$2:$G$801, 0)+1))&lt;=31,3,IF(INDEX(ERP資料!$G:$G, (MATCH(641, 輔助計算!$G$2:$G$801, 0)+1))&lt;=46.5,2,1)), IF(INDEX(ERP資料!$G:$G, (MATCH(641, 輔助計算!$G$2:$G$801, 0)+1))&lt;=790,3,IF(INDEX(ERP資料!$G:$G, (MATCH(641, 輔助計算!$G$2:$G$801, 0)+1))&lt;=1181,2,1))))&gt;0, IF(IF(INDEX(ERP資料!$G:$G, (MATCH(641, 輔助計算!$G$2:$G$801, 0)+1))&lt;100, IF(INDEX(ERP資料!$G:$G, (MATCH(641, 輔助計算!$G$2:$G$801, 0)+1))&lt;=31,3,IF(INDEX(ERP資料!$G:$G, (MATCH(641, 輔助計算!$G$2:$G$801, 0)+1))&lt;=46.5,2,1)), IF(INDEX(ERP資料!$G:$G, (MATCH(641, 輔助計算!$G$2:$G$801, 0)+1))&lt;=790,3,IF(INDEX(ERP資料!$G:$G, (MATCH(641, 輔助計算!$G$2:$G$801, 0)+1))&lt;=1181,2,1)))=1,TEXT(INDEX(ERP資料!$G:$G, (MATCH(641, 輔助計算!$G$2:$G$801, 0)+1)),"0.##"),IF(IF(INDEX(ERP資料!$G:$G, (MATCH(641, 輔助計算!$G$2:$G$801, 0)+1))&lt;100, IF(INDEX(ERP資料!$G:$G, (MATCH(641, 輔助計算!$G$2:$G$801, 0)+1))&lt;=31,3,IF(INDEX(ERP資料!$G:$G, (MATCH(641, 輔助計算!$G$2:$G$801, 0)+1))&lt;=46.5,2,1)), IF(INDEX(ERP資料!$G:$G, (MATCH(641, 輔助計算!$G$2:$G$801, 0)+1))&lt;=790,3,IF(INDEX(ERP資料!$G:$G, (MATCH(641, 輔助計算!$G$2:$G$801, 0)+1))&lt;=1181,2,1)))=2,TEXT(INDEX(ERP資料!$G:$G, (MATCH(641, 輔助計算!$G$2:$G$801, 0)+1)),"0.##")&amp;"+"&amp;TEXT(INDEX(ERP資料!$G:$G, (MATCH(641, 輔助計算!$G$2:$G$801, 0)+1)),"0.##"),TEXT(INDEX(ERP資料!$G:$G, (MATCH(641, 輔助計算!$G$2:$G$801, 0)+1)),"0.##")&amp;"+"&amp;TEXT(INDEX(ERP資料!$G:$G, (MATCH(641, 輔助計算!$G$2:$G$801, 0)+1)),"0.##")&amp;"+"&amp;TEXT(INDEX(ERP資料!$G:$G, (MATCH(641, 輔助計算!$G$2:$G$801, 0)+1)),"0.##")))&amp;"-"&amp;INT(INDEX(輔助計算!$D:$D, (MATCH(641, 輔助計算!$G$2:$G$801, 0)+1))/IF(INDEX(ERP資料!$G:$G, (MATCH(641, 輔助計算!$G$2:$G$801, 0)+1))&lt;100, IF(INDEX(ERP資料!$G:$G, (MATCH(641, 輔助計算!$G$2:$G$801, 0)+1))&lt;=31,3,IF(INDEX(ERP資料!$G:$G, (MATCH(641, 輔助計算!$G$2:$G$801, 0)+1))&lt;=46.5,2,1)), IF(INDEX(ERP資料!$G:$G, (MATCH(641, 輔助計算!$G$2:$G$801, 0)+1))&lt;=790,3,IF(INDEX(ERP資料!$G:$G, (MATCH(641, 輔助計算!$G$2:$G$801, 0)+1))&lt;=1181,2,1)))), "")&amp;IF(AND(IF(INT(INDEX(輔助計算!$D:$D, (MATCH(641, 輔助計算!$G$2:$G$801, 0)+1))/IF(INDEX(ERP資料!$G:$G, (MATCH(641, 輔助計算!$G$2:$G$801, 0)+1))&lt;100, IF(INDEX(ERP資料!$G:$G, (MATCH(641, 輔助計算!$G$2:$G$801, 0)+1))&lt;=31,3,IF(INDEX(ERP資料!$G:$G, (MATCH(641, 輔助計算!$G$2:$G$801, 0)+1))&lt;=46.5,2,1)), IF(INDEX(ERP資料!$G:$G, (MATCH(641, 輔助計算!$G$2:$G$801, 0)+1))&lt;=790,3,IF(INDEX(ERP資料!$G:$G, (MATCH(641, 輔助計算!$G$2:$G$801, 0)+1))&lt;=1181,2,1))))&gt;0, IF(IF(INDEX(ERP資料!$G:$G, (MATCH(641, 輔助計算!$G$2:$G$801, 0)+1))&lt;100, IF(INDEX(ERP資料!$G:$G, (MATCH(641, 輔助計算!$G$2:$G$801, 0)+1))&lt;=31,3,IF(INDEX(ERP資料!$G:$G, (MATCH(641, 輔助計算!$G$2:$G$801, 0)+1))&lt;=46.5,2,1)), IF(INDEX(ERP資料!$G:$G, (MATCH(641, 輔助計算!$G$2:$G$801, 0)+1))&lt;=790,3,IF(INDEX(ERP資料!$G:$G, (MATCH(641, 輔助計算!$G$2:$G$801, 0)+1))&lt;=1181,2,1)))=1,TEXT(INDEX(ERP資料!$G:$G, (MATCH(641, 輔助計算!$G$2:$G$801, 0)+1)),"0.##"),IF(IF(INDEX(ERP資料!$G:$G, (MATCH(641, 輔助計算!$G$2:$G$801, 0)+1))&lt;100, IF(INDEX(ERP資料!$G:$G, (MATCH(641, 輔助計算!$G$2:$G$801, 0)+1))&lt;=31,3,IF(INDEX(ERP資料!$G:$G, (MATCH(641, 輔助計算!$G$2:$G$801, 0)+1))&lt;=46.5,2,1)), IF(INDEX(ERP資料!$G:$G, (MATCH(641, 輔助計算!$G$2:$G$801, 0)+1))&lt;=790,3,IF(INDEX(ERP資料!$G:$G, (MATCH(641, 輔助計算!$G$2:$G$801, 0)+1))&lt;=1181,2,1)))=2,TEXT(INDEX(ERP資料!$G:$G, (MATCH(641, 輔助計算!$G$2:$G$801, 0)+1)),"0.##")&amp;"+"&amp;TEXT(INDEX(ERP資料!$G:$G, (MATCH(641, 輔助計算!$G$2:$G$801, 0)+1)),"0.##"),TEXT(INDEX(ERP資料!$G:$G, (MATCH(641, 輔助計算!$G$2:$G$801, 0)+1)),"0.##")&amp;"+"&amp;TEXT(INDEX(ERP資料!$G:$G, (MATCH(641, 輔助計算!$G$2:$G$801, 0)+1)),"0.##")&amp;"+"&amp;TEXT(INDEX(ERP資料!$G:$G, (MATCH(641, 輔助計算!$G$2:$G$801, 0)+1)),"0.##")))&amp;"-"&amp;INT(INDEX(輔助計算!$D:$D, (MATCH(641, 輔助計算!$G$2:$G$801, 0)+1))/IF(INDEX(ERP資料!$G:$G, (MATCH(641, 輔助計算!$G$2:$G$801, 0)+1))&lt;100, IF(INDEX(ERP資料!$G:$G, (MATCH(641, 輔助計算!$G$2:$G$801, 0)+1))&lt;=31,3,IF(INDEX(ERP資料!$G:$G, (MATCH(641, 輔助計算!$G$2:$G$801, 0)+1))&lt;=46.5,2,1)), IF(INDEX(ERP資料!$G:$G, (MATCH(641, 輔助計算!$G$2:$G$801, 0)+1))&lt;=790,3,IF(INDEX(ERP資料!$G:$G, (MATCH(641, 輔助計算!$G$2:$G$801, 0)+1))&lt;=1181,2,1)))), "")&lt;&gt;"",IF(MOD(INDEX(輔助計算!$D:$D, (MATCH(641, 輔助計算!$G$2:$G$801, 0)+1)),IF(INDEX(ERP資料!$G:$G, (MATCH(641, 輔助計算!$G$2:$G$801, 0)+1))&lt;100, IF(INDEX(ERP資料!$G:$G, (MATCH(641, 輔助計算!$G$2:$G$801, 0)+1))&lt;=31,3,IF(INDEX(ERP資料!$G:$G, (MATCH(641, 輔助計算!$G$2:$G$801, 0)+1))&lt;=46.5,2,1)), IF(INDEX(ERP資料!$G:$G, (MATCH(641, 輔助計算!$G$2:$G$801, 0)+1))&lt;=790,3,IF(INDEX(ERP資料!$G:$G, (MATCH(641, 輔助計算!$G$2:$G$801, 0)+1))&lt;=1181,2,1))))=0,"",IF(MOD(INDEX(輔助計算!$D:$D, (MATCH(641, 輔助計算!$G$2:$G$801, 0)+1)),IF(INDEX(ERP資料!$G:$G, (MATCH(641, 輔助計算!$G$2:$G$801, 0)+1))&lt;100, IF(INDEX(ERP資料!$G:$G, (MATCH(641, 輔助計算!$G$2:$G$801, 0)+1))&lt;=31,3,IF(INDEX(ERP資料!$G:$G, (MATCH(641, 輔助計算!$G$2:$G$801, 0)+1))&lt;=46.5,2,1)), IF(INDEX(ERP資料!$G:$G, (MATCH(641, 輔助計算!$G$2:$G$801, 0)+1))&lt;=790,3,IF(INDEX(ERP資料!$G:$G, (MATCH(641, 輔助計算!$G$2:$G$801, 0)+1))&lt;=1181,2,1))))=0,"",IF(MOD(INDEX(輔助計算!$D:$D, (MATCH(641, 輔助計算!$G$2:$G$801, 0)+1)),IF(INDEX(ERP資料!$G:$G, (MATCH(641, 輔助計算!$G$2:$G$801, 0)+1))&lt;100, IF(INDEX(ERP資料!$G:$G, (MATCH(641, 輔助計算!$G$2:$G$801, 0)+1))&lt;=31,3,IF(INDEX(ERP資料!$G:$G, (MATCH(641, 輔助計算!$G$2:$G$801, 0)+1))&lt;=46.5,2,1)), IF(INDEX(ERP資料!$G:$G, (MATCH(641, 輔助計算!$G$2:$G$801, 0)+1))&lt;=790,3,IF(INDEX(ERP資料!$G:$G, (MATCH(641, 輔助計算!$G$2:$G$801, 0)+1))&lt;=1181,2,1))))=1,TEXT(INDEX(ERP資料!$G:$G, (MATCH(641, 輔助計算!$G$2:$G$801, 0)+1)),"0.##"),IF(MOD(INDEX(輔助計算!$D:$D, (MATCH(641, 輔助計算!$G$2:$G$801, 0)+1)),IF(INDEX(ERP資料!$G:$G, (MATCH(641, 輔助計算!$G$2:$G$801, 0)+1))&lt;100, IF(INDEX(ERP資料!$G:$G, (MATCH(641, 輔助計算!$G$2:$G$801, 0)+1))&lt;=31,3,IF(INDEX(ERP資料!$G:$G, (MATCH(641, 輔助計算!$G$2:$G$801, 0)+1))&lt;=46.5,2,1)), IF(INDEX(ERP資料!$G:$G, (MATCH(641, 輔助計算!$G$2:$G$801, 0)+1))&lt;=790,3,IF(INDEX(ERP資料!$G:$G, (MATCH(641, 輔助計算!$G$2:$G$801, 0)+1))&lt;=1181,2,1))))=2,TEXT(INDEX(ERP資料!$G:$G, (MATCH(641, 輔助計算!$G$2:$G$801, 0)+1)),"0.##")&amp;"+"&amp;TEXT(INDEX(ERP資料!$G:$G, (MATCH(641, 輔助計算!$G$2:$G$801, 0)+1)),"0.##"),TEXT(INDEX(ERP資料!$G:$G, (MATCH(641, 輔助計算!$G$2:$G$801, 0)+1)),"0.##")&amp;"+"&amp;TEXT(INDEX(ERP資料!$G:$G, (MATCH(641, 輔助計算!$G$2:$G$801, 0)+1)),"0.##")&amp;"+"&amp;TEXT(INDEX(ERP資料!$G:$G, (MATCH(641, 輔助計算!$G$2:$G$801, 0)+1)),"0.##"))))&amp;"-1")&lt;&gt;""),"  ","")&amp;IF(MOD(INDEX(輔助計算!$D:$D, (MATCH(641, 輔助計算!$G$2:$G$801, 0)+1)),IF(INDEX(ERP資料!$G:$G, (MATCH(641, 輔助計算!$G$2:$G$801, 0)+1))&lt;100, IF(INDEX(ERP資料!$G:$G, (MATCH(641, 輔助計算!$G$2:$G$801, 0)+1))&lt;=31,3,IF(INDEX(ERP資料!$G:$G, (MATCH(641, 輔助計算!$G$2:$G$801, 0)+1))&lt;=46.5,2,1)), IF(INDEX(ERP資料!$G:$G, (MATCH(641, 輔助計算!$G$2:$G$801, 0)+1))&lt;=790,3,IF(INDEX(ERP資料!$G:$G, (MATCH(641, 輔助計算!$G$2:$G$801, 0)+1))&lt;=1181,2,1))))=0,"",IF(MOD(INDEX(輔助計算!$D:$D, (MATCH(641, 輔助計算!$G$2:$G$801, 0)+1)),IF(INDEX(ERP資料!$G:$G, (MATCH(641, 輔助計算!$G$2:$G$801, 0)+1))&lt;100, IF(INDEX(ERP資料!$G:$G, (MATCH(641, 輔助計算!$G$2:$G$801, 0)+1))&lt;=31,3,IF(INDEX(ERP資料!$G:$G, (MATCH(641, 輔助計算!$G$2:$G$801, 0)+1))&lt;=46.5,2,1)), IF(INDEX(ERP資料!$G:$G, (MATCH(641, 輔助計算!$G$2:$G$801, 0)+1))&lt;=790,3,IF(INDEX(ERP資料!$G:$G, (MATCH(641, 輔助計算!$G$2:$G$801, 0)+1))&lt;=1181,2,1))))=0,"",IF(MOD(INDEX(輔助計算!$D:$D, (MATCH(641, 輔助計算!$G$2:$G$801, 0)+1)),IF(INDEX(ERP資料!$G:$G, (MATCH(641, 輔助計算!$G$2:$G$801, 0)+1))&lt;100, IF(INDEX(ERP資料!$G:$G, (MATCH(641, 輔助計算!$G$2:$G$801, 0)+1))&lt;=31,3,IF(INDEX(ERP資料!$G:$G, (MATCH(641, 輔助計算!$G$2:$G$801, 0)+1))&lt;=46.5,2,1)), IF(INDEX(ERP資料!$G:$G, (MATCH(641, 輔助計算!$G$2:$G$801, 0)+1))&lt;=790,3,IF(INDEX(ERP資料!$G:$G, (MATCH(641, 輔助計算!$G$2:$G$801, 0)+1))&lt;=1181,2,1))))=1,TEXT(INDEX(ERP資料!$G:$G, (MATCH(641, 輔助計算!$G$2:$G$801, 0)+1)),"0.##"),IF(MOD(INDEX(輔助計算!$D:$D, (MATCH(641, 輔助計算!$G$2:$G$801, 0)+1)),IF(INDEX(ERP資料!$G:$G, (MATCH(641, 輔助計算!$G$2:$G$801, 0)+1))&lt;100, IF(INDEX(ERP資料!$G:$G, (MATCH(641, 輔助計算!$G$2:$G$801, 0)+1))&lt;=31,3,IF(INDEX(ERP資料!$G:$G, (MATCH(641, 輔助計算!$G$2:$G$801, 0)+1))&lt;=46.5,2,1)), IF(INDEX(ERP資料!$G:$G, (MATCH(641, 輔助計算!$G$2:$G$801, 0)+1))&lt;=790,3,IF(INDEX(ERP資料!$G:$G, (MATCH(641, 輔助計算!$G$2:$G$801, 0)+1))&lt;=1181,2,1))))=2,TEXT(INDEX(ERP資料!$G:$G, (MATCH(641, 輔助計算!$G$2:$G$801, 0)+1)),"0.##")&amp;"+"&amp;TEXT(INDEX(ERP資料!$G:$G, (MATCH(641, 輔助計算!$G$2:$G$801, 0)+1)),"0.##"),TEXT(INDEX(ERP資料!$G:$G, (MATCH(641, 輔助計算!$G$2:$G$801, 0)+1)),"0.##")&amp;"+"&amp;TEXT(INDEX(ERP資料!$G:$G, (MATCH(641, 輔助計算!$G$2:$G$801, 0)+1)),"0.##")&amp;"+"&amp;TEXT(INDEX(ERP資料!$G:$G, (MATCH(641, 輔助計算!$G$2:$G$801, 0)+1)),"0.##"))))&amp;"-1")), ""), "")</f>
        <v/>
      </c>
      <c r="K642" s="16" t="n"/>
      <c r="L642" s="14">
        <f>IFERROR(IF(AND(IFERROR(INDEX(ERP資料!$A:$A, (MATCH(641, 輔助計算!$G$2:$G$801, 0)+1)), "")&lt;&gt;"", IFERROR(INDEX(ERP資料!$A:$A, (MATCH(641, 輔助計算!$G$2:$G$801, 0)+1)), "")&lt;&gt;IFERROR(INDEX(ERP資料!$A:$A, MATCH(640, 輔助計算!$G$2:$G$801, 0)+1), "")), INDEX(ERP資料!$B:$B, (MATCH(641, 輔助計算!$G$2:$G$801, 0)+1)), ""), "")</f>
        <v/>
      </c>
      <c r="M642" s="17" t="n"/>
    </row>
    <row r="643">
      <c r="A643" s="10">
        <f>IFERROR(IF(AND(IFERROR(INDEX(ERP資料!$A:$A, (MATCH(642, 輔助計算!$G$2:$G$801, 0)+1)), "")&lt;&gt;"", IFERROR(INDEX(ERP資料!$A:$A, (MATCH(642, 輔助計算!$G$2:$G$801, 0)+1)), "")&lt;&gt;IFERROR(INDEX(ERP資料!$A:$A, MATCH(641, 輔助計算!$G$2:$G$801, 0)+1), "")), IFERROR(INDEX(ERP資料!$A:$A, (MATCH(642, 輔助計算!$G$2:$G$801, 0)+1)), ""), ""), "")</f>
        <v/>
      </c>
      <c r="B643" s="10">
        <f>IFERROR(IF(AND(IFERROR(INDEX(ERP資料!$A:$A, (MATCH(642, 輔助計算!$G$2:$G$801, 0)+1)), "")&lt;&gt;"", IFERROR(INDEX(ERP資料!$A:$A, (MATCH(642, 輔助計算!$G$2:$G$801, 0)+1)), "")&lt;&gt;IFERROR(INDEX(ERP資料!$A:$A, MATCH(641, 輔助計算!$G$2:$G$801, 0)+1), "")), INDEX(ERP資料!$S:$S, (MATCH(642, 輔助計算!$G$2:$G$801, 0)+1)), ""), "")</f>
        <v/>
      </c>
      <c r="C643" s="19">
        <f>IFERROR(IF(AND(IFERROR(INDEX(ERP資料!$A:$A, (MATCH(642, 輔助計算!$G$2:$G$801, 0)+1)), "")&lt;&gt;"", IFERROR(INDEX(ERP資料!$A:$A, (MATCH(642, 輔助計算!$G$2:$G$801, 0)+1)), "")&lt;&gt;IFERROR(INDEX(ERP資料!$A:$A, MATCH(641, 輔助計算!$G$2:$G$801, 0)+1), "")), IFERROR(VLOOKUP(LEFT(INDEX(ERP資料!$S:$S, (MATCH(642, 輔助計算!$G$2:$G$801, 0)+1)), 4), 紙管對照表!$A:$C, 3, FALSE), ""), ""), "")</f>
        <v/>
      </c>
      <c r="D643" s="16" t="n"/>
      <c r="E643" s="10">
        <f>IFERROR(IF(INDEX(ERP資料!$H:$H, (MATCH(642, 輔助計算!$G$2:$G$801, 0)+1))="","",INDEX(ERP資料!$H:$H, (MATCH(642, 輔助計算!$G$2:$G$801, 0)+1))), "")</f>
        <v/>
      </c>
      <c r="F643" s="10">
        <f>IFERROR(IF(INDEX(ERP資料!$E:$E, (MATCH(642, 輔助計算!$G$2:$G$801, 0)+1))="","",TRIM(INDEX(ERP資料!$E:$E, (MATCH(642, 輔助計算!$G$2:$G$801, 0)+1)))), "")</f>
        <v/>
      </c>
      <c r="G643" s="10">
        <f>IFERROR(IF(INDEX(ERP資料!$F:$F, (MATCH(642, 輔助計算!$G$2:$G$801, 0)+1))="","",INDEX(ERP資料!$F:$F, (MATCH(642, 輔助計算!$G$2:$G$801, 0)+1))), "")</f>
        <v/>
      </c>
      <c r="H643" s="10">
        <f>IFERROR(IF(INDEX(ERP資料!$G:$G, (MATCH(642, 輔助計算!$G$2:$G$801, 0)+1))="","",INDEX(ERP資料!$G:$G, (MATCH(642, 輔助計算!$G$2:$G$801, 0)+1))), "")</f>
        <v/>
      </c>
      <c r="I643" s="15">
        <f>IFERROR(INDEX(輔助計算!$D:$D, (MATCH(642, 輔助計算!$G$2:$G$801, 0)+1)), "")</f>
        <v/>
      </c>
      <c r="J643" s="15">
        <f>IFERROR(IF(AND(INDEX(輔助計算!$D:$D, (MATCH(642, 輔助計算!$G$2:$G$801, 0)+1))&lt;&gt;"", INDEX(ERP資料!$G:$G, (MATCH(642, 輔助計算!$G$2:$G$801, 0)+1))&lt;&gt;""), TRIM(IF(INT(INDEX(輔助計算!$D:$D, (MATCH(642, 輔助計算!$G$2:$G$801, 0)+1))/IF(INDEX(ERP資料!$G:$G, (MATCH(642, 輔助計算!$G$2:$G$801, 0)+1))&lt;100, IF(INDEX(ERP資料!$G:$G, (MATCH(642, 輔助計算!$G$2:$G$801, 0)+1))&lt;=31,3,IF(INDEX(ERP資料!$G:$G, (MATCH(642, 輔助計算!$G$2:$G$801, 0)+1))&lt;=46.5,2,1)), IF(INDEX(ERP資料!$G:$G, (MATCH(642, 輔助計算!$G$2:$G$801, 0)+1))&lt;=790,3,IF(INDEX(ERP資料!$G:$G, (MATCH(642, 輔助計算!$G$2:$G$801, 0)+1))&lt;=1181,2,1))))&gt;0, IF(IF(INDEX(ERP資料!$G:$G, (MATCH(642, 輔助計算!$G$2:$G$801, 0)+1))&lt;100, IF(INDEX(ERP資料!$G:$G, (MATCH(642, 輔助計算!$G$2:$G$801, 0)+1))&lt;=31,3,IF(INDEX(ERP資料!$G:$G, (MATCH(642, 輔助計算!$G$2:$G$801, 0)+1))&lt;=46.5,2,1)), IF(INDEX(ERP資料!$G:$G, (MATCH(642, 輔助計算!$G$2:$G$801, 0)+1))&lt;=790,3,IF(INDEX(ERP資料!$G:$G, (MATCH(642, 輔助計算!$G$2:$G$801, 0)+1))&lt;=1181,2,1)))=1,TEXT(INDEX(ERP資料!$G:$G, (MATCH(642, 輔助計算!$G$2:$G$801, 0)+1)),"0.##"),IF(IF(INDEX(ERP資料!$G:$G, (MATCH(642, 輔助計算!$G$2:$G$801, 0)+1))&lt;100, IF(INDEX(ERP資料!$G:$G, (MATCH(642, 輔助計算!$G$2:$G$801, 0)+1))&lt;=31,3,IF(INDEX(ERP資料!$G:$G, (MATCH(642, 輔助計算!$G$2:$G$801, 0)+1))&lt;=46.5,2,1)), IF(INDEX(ERP資料!$G:$G, (MATCH(642, 輔助計算!$G$2:$G$801, 0)+1))&lt;=790,3,IF(INDEX(ERP資料!$G:$G, (MATCH(642, 輔助計算!$G$2:$G$801, 0)+1))&lt;=1181,2,1)))=2,TEXT(INDEX(ERP資料!$G:$G, (MATCH(642, 輔助計算!$G$2:$G$801, 0)+1)),"0.##")&amp;"+"&amp;TEXT(INDEX(ERP資料!$G:$G, (MATCH(642, 輔助計算!$G$2:$G$801, 0)+1)),"0.##"),TEXT(INDEX(ERP資料!$G:$G, (MATCH(642, 輔助計算!$G$2:$G$801, 0)+1)),"0.##")&amp;"+"&amp;TEXT(INDEX(ERP資料!$G:$G, (MATCH(642, 輔助計算!$G$2:$G$801, 0)+1)),"0.##")&amp;"+"&amp;TEXT(INDEX(ERP資料!$G:$G, (MATCH(642, 輔助計算!$G$2:$G$801, 0)+1)),"0.##")))&amp;"-"&amp;INT(INDEX(輔助計算!$D:$D, (MATCH(642, 輔助計算!$G$2:$G$801, 0)+1))/IF(INDEX(ERP資料!$G:$G, (MATCH(642, 輔助計算!$G$2:$G$801, 0)+1))&lt;100, IF(INDEX(ERP資料!$G:$G, (MATCH(642, 輔助計算!$G$2:$G$801, 0)+1))&lt;=31,3,IF(INDEX(ERP資料!$G:$G, (MATCH(642, 輔助計算!$G$2:$G$801, 0)+1))&lt;=46.5,2,1)), IF(INDEX(ERP資料!$G:$G, (MATCH(642, 輔助計算!$G$2:$G$801, 0)+1))&lt;=790,3,IF(INDEX(ERP資料!$G:$G, (MATCH(642, 輔助計算!$G$2:$G$801, 0)+1))&lt;=1181,2,1)))), "")&amp;IF(AND(IF(INT(INDEX(輔助計算!$D:$D, (MATCH(642, 輔助計算!$G$2:$G$801, 0)+1))/IF(INDEX(ERP資料!$G:$G, (MATCH(642, 輔助計算!$G$2:$G$801, 0)+1))&lt;100, IF(INDEX(ERP資料!$G:$G, (MATCH(642, 輔助計算!$G$2:$G$801, 0)+1))&lt;=31,3,IF(INDEX(ERP資料!$G:$G, (MATCH(642, 輔助計算!$G$2:$G$801, 0)+1))&lt;=46.5,2,1)), IF(INDEX(ERP資料!$G:$G, (MATCH(642, 輔助計算!$G$2:$G$801, 0)+1))&lt;=790,3,IF(INDEX(ERP資料!$G:$G, (MATCH(642, 輔助計算!$G$2:$G$801, 0)+1))&lt;=1181,2,1))))&gt;0, IF(IF(INDEX(ERP資料!$G:$G, (MATCH(642, 輔助計算!$G$2:$G$801, 0)+1))&lt;100, IF(INDEX(ERP資料!$G:$G, (MATCH(642, 輔助計算!$G$2:$G$801, 0)+1))&lt;=31,3,IF(INDEX(ERP資料!$G:$G, (MATCH(642, 輔助計算!$G$2:$G$801, 0)+1))&lt;=46.5,2,1)), IF(INDEX(ERP資料!$G:$G, (MATCH(642, 輔助計算!$G$2:$G$801, 0)+1))&lt;=790,3,IF(INDEX(ERP資料!$G:$G, (MATCH(642, 輔助計算!$G$2:$G$801, 0)+1))&lt;=1181,2,1)))=1,TEXT(INDEX(ERP資料!$G:$G, (MATCH(642, 輔助計算!$G$2:$G$801, 0)+1)),"0.##"),IF(IF(INDEX(ERP資料!$G:$G, (MATCH(642, 輔助計算!$G$2:$G$801, 0)+1))&lt;100, IF(INDEX(ERP資料!$G:$G, (MATCH(642, 輔助計算!$G$2:$G$801, 0)+1))&lt;=31,3,IF(INDEX(ERP資料!$G:$G, (MATCH(642, 輔助計算!$G$2:$G$801, 0)+1))&lt;=46.5,2,1)), IF(INDEX(ERP資料!$G:$G, (MATCH(642, 輔助計算!$G$2:$G$801, 0)+1))&lt;=790,3,IF(INDEX(ERP資料!$G:$G, (MATCH(642, 輔助計算!$G$2:$G$801, 0)+1))&lt;=1181,2,1)))=2,TEXT(INDEX(ERP資料!$G:$G, (MATCH(642, 輔助計算!$G$2:$G$801, 0)+1)),"0.##")&amp;"+"&amp;TEXT(INDEX(ERP資料!$G:$G, (MATCH(642, 輔助計算!$G$2:$G$801, 0)+1)),"0.##"),TEXT(INDEX(ERP資料!$G:$G, (MATCH(642, 輔助計算!$G$2:$G$801, 0)+1)),"0.##")&amp;"+"&amp;TEXT(INDEX(ERP資料!$G:$G, (MATCH(642, 輔助計算!$G$2:$G$801, 0)+1)),"0.##")&amp;"+"&amp;TEXT(INDEX(ERP資料!$G:$G, (MATCH(642, 輔助計算!$G$2:$G$801, 0)+1)),"0.##")))&amp;"-"&amp;INT(INDEX(輔助計算!$D:$D, (MATCH(642, 輔助計算!$G$2:$G$801, 0)+1))/IF(INDEX(ERP資料!$G:$G, (MATCH(642, 輔助計算!$G$2:$G$801, 0)+1))&lt;100, IF(INDEX(ERP資料!$G:$G, (MATCH(642, 輔助計算!$G$2:$G$801, 0)+1))&lt;=31,3,IF(INDEX(ERP資料!$G:$G, (MATCH(642, 輔助計算!$G$2:$G$801, 0)+1))&lt;=46.5,2,1)), IF(INDEX(ERP資料!$G:$G, (MATCH(642, 輔助計算!$G$2:$G$801, 0)+1))&lt;=790,3,IF(INDEX(ERP資料!$G:$G, (MATCH(642, 輔助計算!$G$2:$G$801, 0)+1))&lt;=1181,2,1)))), "")&lt;&gt;"",IF(MOD(INDEX(輔助計算!$D:$D, (MATCH(642, 輔助計算!$G$2:$G$801, 0)+1)),IF(INDEX(ERP資料!$G:$G, (MATCH(642, 輔助計算!$G$2:$G$801, 0)+1))&lt;100, IF(INDEX(ERP資料!$G:$G, (MATCH(642, 輔助計算!$G$2:$G$801, 0)+1))&lt;=31,3,IF(INDEX(ERP資料!$G:$G, (MATCH(642, 輔助計算!$G$2:$G$801, 0)+1))&lt;=46.5,2,1)), IF(INDEX(ERP資料!$G:$G, (MATCH(642, 輔助計算!$G$2:$G$801, 0)+1))&lt;=790,3,IF(INDEX(ERP資料!$G:$G, (MATCH(642, 輔助計算!$G$2:$G$801, 0)+1))&lt;=1181,2,1))))=0,"",IF(MOD(INDEX(輔助計算!$D:$D, (MATCH(642, 輔助計算!$G$2:$G$801, 0)+1)),IF(INDEX(ERP資料!$G:$G, (MATCH(642, 輔助計算!$G$2:$G$801, 0)+1))&lt;100, IF(INDEX(ERP資料!$G:$G, (MATCH(642, 輔助計算!$G$2:$G$801, 0)+1))&lt;=31,3,IF(INDEX(ERP資料!$G:$G, (MATCH(642, 輔助計算!$G$2:$G$801, 0)+1))&lt;=46.5,2,1)), IF(INDEX(ERP資料!$G:$G, (MATCH(642, 輔助計算!$G$2:$G$801, 0)+1))&lt;=790,3,IF(INDEX(ERP資料!$G:$G, (MATCH(642, 輔助計算!$G$2:$G$801, 0)+1))&lt;=1181,2,1))))=0,"",IF(MOD(INDEX(輔助計算!$D:$D, (MATCH(642, 輔助計算!$G$2:$G$801, 0)+1)),IF(INDEX(ERP資料!$G:$G, (MATCH(642, 輔助計算!$G$2:$G$801, 0)+1))&lt;100, IF(INDEX(ERP資料!$G:$G, (MATCH(642, 輔助計算!$G$2:$G$801, 0)+1))&lt;=31,3,IF(INDEX(ERP資料!$G:$G, (MATCH(642, 輔助計算!$G$2:$G$801, 0)+1))&lt;=46.5,2,1)), IF(INDEX(ERP資料!$G:$G, (MATCH(642, 輔助計算!$G$2:$G$801, 0)+1))&lt;=790,3,IF(INDEX(ERP資料!$G:$G, (MATCH(642, 輔助計算!$G$2:$G$801, 0)+1))&lt;=1181,2,1))))=1,TEXT(INDEX(ERP資料!$G:$G, (MATCH(642, 輔助計算!$G$2:$G$801, 0)+1)),"0.##"),IF(MOD(INDEX(輔助計算!$D:$D, (MATCH(642, 輔助計算!$G$2:$G$801, 0)+1)),IF(INDEX(ERP資料!$G:$G, (MATCH(642, 輔助計算!$G$2:$G$801, 0)+1))&lt;100, IF(INDEX(ERP資料!$G:$G, (MATCH(642, 輔助計算!$G$2:$G$801, 0)+1))&lt;=31,3,IF(INDEX(ERP資料!$G:$G, (MATCH(642, 輔助計算!$G$2:$G$801, 0)+1))&lt;=46.5,2,1)), IF(INDEX(ERP資料!$G:$G, (MATCH(642, 輔助計算!$G$2:$G$801, 0)+1))&lt;=790,3,IF(INDEX(ERP資料!$G:$G, (MATCH(642, 輔助計算!$G$2:$G$801, 0)+1))&lt;=1181,2,1))))=2,TEXT(INDEX(ERP資料!$G:$G, (MATCH(642, 輔助計算!$G$2:$G$801, 0)+1)),"0.##")&amp;"+"&amp;TEXT(INDEX(ERP資料!$G:$G, (MATCH(642, 輔助計算!$G$2:$G$801, 0)+1)),"0.##"),TEXT(INDEX(ERP資料!$G:$G, (MATCH(642, 輔助計算!$G$2:$G$801, 0)+1)),"0.##")&amp;"+"&amp;TEXT(INDEX(ERP資料!$G:$G, (MATCH(642, 輔助計算!$G$2:$G$801, 0)+1)),"0.##")&amp;"+"&amp;TEXT(INDEX(ERP資料!$G:$G, (MATCH(642, 輔助計算!$G$2:$G$801, 0)+1)),"0.##"))))&amp;"-1")&lt;&gt;""),"  ","")&amp;IF(MOD(INDEX(輔助計算!$D:$D, (MATCH(642, 輔助計算!$G$2:$G$801, 0)+1)),IF(INDEX(ERP資料!$G:$G, (MATCH(642, 輔助計算!$G$2:$G$801, 0)+1))&lt;100, IF(INDEX(ERP資料!$G:$G, (MATCH(642, 輔助計算!$G$2:$G$801, 0)+1))&lt;=31,3,IF(INDEX(ERP資料!$G:$G, (MATCH(642, 輔助計算!$G$2:$G$801, 0)+1))&lt;=46.5,2,1)), IF(INDEX(ERP資料!$G:$G, (MATCH(642, 輔助計算!$G$2:$G$801, 0)+1))&lt;=790,3,IF(INDEX(ERP資料!$G:$G, (MATCH(642, 輔助計算!$G$2:$G$801, 0)+1))&lt;=1181,2,1))))=0,"",IF(MOD(INDEX(輔助計算!$D:$D, (MATCH(642, 輔助計算!$G$2:$G$801, 0)+1)),IF(INDEX(ERP資料!$G:$G, (MATCH(642, 輔助計算!$G$2:$G$801, 0)+1))&lt;100, IF(INDEX(ERP資料!$G:$G, (MATCH(642, 輔助計算!$G$2:$G$801, 0)+1))&lt;=31,3,IF(INDEX(ERP資料!$G:$G, (MATCH(642, 輔助計算!$G$2:$G$801, 0)+1))&lt;=46.5,2,1)), IF(INDEX(ERP資料!$G:$G, (MATCH(642, 輔助計算!$G$2:$G$801, 0)+1))&lt;=790,3,IF(INDEX(ERP資料!$G:$G, (MATCH(642, 輔助計算!$G$2:$G$801, 0)+1))&lt;=1181,2,1))))=0,"",IF(MOD(INDEX(輔助計算!$D:$D, (MATCH(642, 輔助計算!$G$2:$G$801, 0)+1)),IF(INDEX(ERP資料!$G:$G, (MATCH(642, 輔助計算!$G$2:$G$801, 0)+1))&lt;100, IF(INDEX(ERP資料!$G:$G, (MATCH(642, 輔助計算!$G$2:$G$801, 0)+1))&lt;=31,3,IF(INDEX(ERP資料!$G:$G, (MATCH(642, 輔助計算!$G$2:$G$801, 0)+1))&lt;=46.5,2,1)), IF(INDEX(ERP資料!$G:$G, (MATCH(642, 輔助計算!$G$2:$G$801, 0)+1))&lt;=790,3,IF(INDEX(ERP資料!$G:$G, (MATCH(642, 輔助計算!$G$2:$G$801, 0)+1))&lt;=1181,2,1))))=1,TEXT(INDEX(ERP資料!$G:$G, (MATCH(642, 輔助計算!$G$2:$G$801, 0)+1)),"0.##"),IF(MOD(INDEX(輔助計算!$D:$D, (MATCH(642, 輔助計算!$G$2:$G$801, 0)+1)),IF(INDEX(ERP資料!$G:$G, (MATCH(642, 輔助計算!$G$2:$G$801, 0)+1))&lt;100, IF(INDEX(ERP資料!$G:$G, (MATCH(642, 輔助計算!$G$2:$G$801, 0)+1))&lt;=31,3,IF(INDEX(ERP資料!$G:$G, (MATCH(642, 輔助計算!$G$2:$G$801, 0)+1))&lt;=46.5,2,1)), IF(INDEX(ERP資料!$G:$G, (MATCH(642, 輔助計算!$G$2:$G$801, 0)+1))&lt;=790,3,IF(INDEX(ERP資料!$G:$G, (MATCH(642, 輔助計算!$G$2:$G$801, 0)+1))&lt;=1181,2,1))))=2,TEXT(INDEX(ERP資料!$G:$G, (MATCH(642, 輔助計算!$G$2:$G$801, 0)+1)),"0.##")&amp;"+"&amp;TEXT(INDEX(ERP資料!$G:$G, (MATCH(642, 輔助計算!$G$2:$G$801, 0)+1)),"0.##"),TEXT(INDEX(ERP資料!$G:$G, (MATCH(642, 輔助計算!$G$2:$G$801, 0)+1)),"0.##")&amp;"+"&amp;TEXT(INDEX(ERP資料!$G:$G, (MATCH(642, 輔助計算!$G$2:$G$801, 0)+1)),"0.##")&amp;"+"&amp;TEXT(INDEX(ERP資料!$G:$G, (MATCH(642, 輔助計算!$G$2:$G$801, 0)+1)),"0.##"))))&amp;"-1")), ""), "")</f>
        <v/>
      </c>
      <c r="K643" s="16" t="n"/>
      <c r="L643" s="14">
        <f>IFERROR(IF(AND(IFERROR(INDEX(ERP資料!$A:$A, (MATCH(642, 輔助計算!$G$2:$G$801, 0)+1)), "")&lt;&gt;"", IFERROR(INDEX(ERP資料!$A:$A, (MATCH(642, 輔助計算!$G$2:$G$801, 0)+1)), "")&lt;&gt;IFERROR(INDEX(ERP資料!$A:$A, MATCH(641, 輔助計算!$G$2:$G$801, 0)+1), "")), INDEX(ERP資料!$B:$B, (MATCH(642, 輔助計算!$G$2:$G$801, 0)+1)), ""), "")</f>
        <v/>
      </c>
      <c r="M643" s="17" t="n"/>
    </row>
    <row r="644">
      <c r="A644" s="10">
        <f>IFERROR(IF(AND(IFERROR(INDEX(ERP資料!$A:$A, (MATCH(643, 輔助計算!$G$2:$G$801, 0)+1)), "")&lt;&gt;"", IFERROR(INDEX(ERP資料!$A:$A, (MATCH(643, 輔助計算!$G$2:$G$801, 0)+1)), "")&lt;&gt;IFERROR(INDEX(ERP資料!$A:$A, MATCH(642, 輔助計算!$G$2:$G$801, 0)+1), "")), IFERROR(INDEX(ERP資料!$A:$A, (MATCH(643, 輔助計算!$G$2:$G$801, 0)+1)), ""), ""), "")</f>
        <v/>
      </c>
      <c r="B644" s="10">
        <f>IFERROR(IF(AND(IFERROR(INDEX(ERP資料!$A:$A, (MATCH(643, 輔助計算!$G$2:$G$801, 0)+1)), "")&lt;&gt;"", IFERROR(INDEX(ERP資料!$A:$A, (MATCH(643, 輔助計算!$G$2:$G$801, 0)+1)), "")&lt;&gt;IFERROR(INDEX(ERP資料!$A:$A, MATCH(642, 輔助計算!$G$2:$G$801, 0)+1), "")), INDEX(ERP資料!$S:$S, (MATCH(643, 輔助計算!$G$2:$G$801, 0)+1)), ""), "")</f>
        <v/>
      </c>
      <c r="C644" s="19">
        <f>IFERROR(IF(AND(IFERROR(INDEX(ERP資料!$A:$A, (MATCH(643, 輔助計算!$G$2:$G$801, 0)+1)), "")&lt;&gt;"", IFERROR(INDEX(ERP資料!$A:$A, (MATCH(643, 輔助計算!$G$2:$G$801, 0)+1)), "")&lt;&gt;IFERROR(INDEX(ERP資料!$A:$A, MATCH(642, 輔助計算!$G$2:$G$801, 0)+1), "")), IFERROR(VLOOKUP(LEFT(INDEX(ERP資料!$S:$S, (MATCH(643, 輔助計算!$G$2:$G$801, 0)+1)), 4), 紙管對照表!$A:$C, 3, FALSE), ""), ""), "")</f>
        <v/>
      </c>
      <c r="D644" s="16" t="n"/>
      <c r="E644" s="10">
        <f>IFERROR(IF(INDEX(ERP資料!$H:$H, (MATCH(643, 輔助計算!$G$2:$G$801, 0)+1))="","",INDEX(ERP資料!$H:$H, (MATCH(643, 輔助計算!$G$2:$G$801, 0)+1))), "")</f>
        <v/>
      </c>
      <c r="F644" s="10">
        <f>IFERROR(IF(INDEX(ERP資料!$E:$E, (MATCH(643, 輔助計算!$G$2:$G$801, 0)+1))="","",TRIM(INDEX(ERP資料!$E:$E, (MATCH(643, 輔助計算!$G$2:$G$801, 0)+1)))), "")</f>
        <v/>
      </c>
      <c r="G644" s="10">
        <f>IFERROR(IF(INDEX(ERP資料!$F:$F, (MATCH(643, 輔助計算!$G$2:$G$801, 0)+1))="","",INDEX(ERP資料!$F:$F, (MATCH(643, 輔助計算!$G$2:$G$801, 0)+1))), "")</f>
        <v/>
      </c>
      <c r="H644" s="10">
        <f>IFERROR(IF(INDEX(ERP資料!$G:$G, (MATCH(643, 輔助計算!$G$2:$G$801, 0)+1))="","",INDEX(ERP資料!$G:$G, (MATCH(643, 輔助計算!$G$2:$G$801, 0)+1))), "")</f>
        <v/>
      </c>
      <c r="I644" s="15">
        <f>IFERROR(INDEX(輔助計算!$D:$D, (MATCH(643, 輔助計算!$G$2:$G$801, 0)+1)), "")</f>
        <v/>
      </c>
      <c r="J644" s="15">
        <f>IFERROR(IF(AND(INDEX(輔助計算!$D:$D, (MATCH(643, 輔助計算!$G$2:$G$801, 0)+1))&lt;&gt;"", INDEX(ERP資料!$G:$G, (MATCH(643, 輔助計算!$G$2:$G$801, 0)+1))&lt;&gt;""), TRIM(IF(INT(INDEX(輔助計算!$D:$D, (MATCH(643, 輔助計算!$G$2:$G$801, 0)+1))/IF(INDEX(ERP資料!$G:$G, (MATCH(643, 輔助計算!$G$2:$G$801, 0)+1))&lt;100, IF(INDEX(ERP資料!$G:$G, (MATCH(643, 輔助計算!$G$2:$G$801, 0)+1))&lt;=31,3,IF(INDEX(ERP資料!$G:$G, (MATCH(643, 輔助計算!$G$2:$G$801, 0)+1))&lt;=46.5,2,1)), IF(INDEX(ERP資料!$G:$G, (MATCH(643, 輔助計算!$G$2:$G$801, 0)+1))&lt;=790,3,IF(INDEX(ERP資料!$G:$G, (MATCH(643, 輔助計算!$G$2:$G$801, 0)+1))&lt;=1181,2,1))))&gt;0, IF(IF(INDEX(ERP資料!$G:$G, (MATCH(643, 輔助計算!$G$2:$G$801, 0)+1))&lt;100, IF(INDEX(ERP資料!$G:$G, (MATCH(643, 輔助計算!$G$2:$G$801, 0)+1))&lt;=31,3,IF(INDEX(ERP資料!$G:$G, (MATCH(643, 輔助計算!$G$2:$G$801, 0)+1))&lt;=46.5,2,1)), IF(INDEX(ERP資料!$G:$G, (MATCH(643, 輔助計算!$G$2:$G$801, 0)+1))&lt;=790,3,IF(INDEX(ERP資料!$G:$G, (MATCH(643, 輔助計算!$G$2:$G$801, 0)+1))&lt;=1181,2,1)))=1,TEXT(INDEX(ERP資料!$G:$G, (MATCH(643, 輔助計算!$G$2:$G$801, 0)+1)),"0.##"),IF(IF(INDEX(ERP資料!$G:$G, (MATCH(643, 輔助計算!$G$2:$G$801, 0)+1))&lt;100, IF(INDEX(ERP資料!$G:$G, (MATCH(643, 輔助計算!$G$2:$G$801, 0)+1))&lt;=31,3,IF(INDEX(ERP資料!$G:$G, (MATCH(643, 輔助計算!$G$2:$G$801, 0)+1))&lt;=46.5,2,1)), IF(INDEX(ERP資料!$G:$G, (MATCH(643, 輔助計算!$G$2:$G$801, 0)+1))&lt;=790,3,IF(INDEX(ERP資料!$G:$G, (MATCH(643, 輔助計算!$G$2:$G$801, 0)+1))&lt;=1181,2,1)))=2,TEXT(INDEX(ERP資料!$G:$G, (MATCH(643, 輔助計算!$G$2:$G$801, 0)+1)),"0.##")&amp;"+"&amp;TEXT(INDEX(ERP資料!$G:$G, (MATCH(643, 輔助計算!$G$2:$G$801, 0)+1)),"0.##"),TEXT(INDEX(ERP資料!$G:$G, (MATCH(643, 輔助計算!$G$2:$G$801, 0)+1)),"0.##")&amp;"+"&amp;TEXT(INDEX(ERP資料!$G:$G, (MATCH(643, 輔助計算!$G$2:$G$801, 0)+1)),"0.##")&amp;"+"&amp;TEXT(INDEX(ERP資料!$G:$G, (MATCH(643, 輔助計算!$G$2:$G$801, 0)+1)),"0.##")))&amp;"-"&amp;INT(INDEX(輔助計算!$D:$D, (MATCH(643, 輔助計算!$G$2:$G$801, 0)+1))/IF(INDEX(ERP資料!$G:$G, (MATCH(643, 輔助計算!$G$2:$G$801, 0)+1))&lt;100, IF(INDEX(ERP資料!$G:$G, (MATCH(643, 輔助計算!$G$2:$G$801, 0)+1))&lt;=31,3,IF(INDEX(ERP資料!$G:$G, (MATCH(643, 輔助計算!$G$2:$G$801, 0)+1))&lt;=46.5,2,1)), IF(INDEX(ERP資料!$G:$G, (MATCH(643, 輔助計算!$G$2:$G$801, 0)+1))&lt;=790,3,IF(INDEX(ERP資料!$G:$G, (MATCH(643, 輔助計算!$G$2:$G$801, 0)+1))&lt;=1181,2,1)))), "")&amp;IF(AND(IF(INT(INDEX(輔助計算!$D:$D, (MATCH(643, 輔助計算!$G$2:$G$801, 0)+1))/IF(INDEX(ERP資料!$G:$G, (MATCH(643, 輔助計算!$G$2:$G$801, 0)+1))&lt;100, IF(INDEX(ERP資料!$G:$G, (MATCH(643, 輔助計算!$G$2:$G$801, 0)+1))&lt;=31,3,IF(INDEX(ERP資料!$G:$G, (MATCH(643, 輔助計算!$G$2:$G$801, 0)+1))&lt;=46.5,2,1)), IF(INDEX(ERP資料!$G:$G, (MATCH(643, 輔助計算!$G$2:$G$801, 0)+1))&lt;=790,3,IF(INDEX(ERP資料!$G:$G, (MATCH(643, 輔助計算!$G$2:$G$801, 0)+1))&lt;=1181,2,1))))&gt;0, IF(IF(INDEX(ERP資料!$G:$G, (MATCH(643, 輔助計算!$G$2:$G$801, 0)+1))&lt;100, IF(INDEX(ERP資料!$G:$G, (MATCH(643, 輔助計算!$G$2:$G$801, 0)+1))&lt;=31,3,IF(INDEX(ERP資料!$G:$G, (MATCH(643, 輔助計算!$G$2:$G$801, 0)+1))&lt;=46.5,2,1)), IF(INDEX(ERP資料!$G:$G, (MATCH(643, 輔助計算!$G$2:$G$801, 0)+1))&lt;=790,3,IF(INDEX(ERP資料!$G:$G, (MATCH(643, 輔助計算!$G$2:$G$801, 0)+1))&lt;=1181,2,1)))=1,TEXT(INDEX(ERP資料!$G:$G, (MATCH(643, 輔助計算!$G$2:$G$801, 0)+1)),"0.##"),IF(IF(INDEX(ERP資料!$G:$G, (MATCH(643, 輔助計算!$G$2:$G$801, 0)+1))&lt;100, IF(INDEX(ERP資料!$G:$G, (MATCH(643, 輔助計算!$G$2:$G$801, 0)+1))&lt;=31,3,IF(INDEX(ERP資料!$G:$G, (MATCH(643, 輔助計算!$G$2:$G$801, 0)+1))&lt;=46.5,2,1)), IF(INDEX(ERP資料!$G:$G, (MATCH(643, 輔助計算!$G$2:$G$801, 0)+1))&lt;=790,3,IF(INDEX(ERP資料!$G:$G, (MATCH(643, 輔助計算!$G$2:$G$801, 0)+1))&lt;=1181,2,1)))=2,TEXT(INDEX(ERP資料!$G:$G, (MATCH(643, 輔助計算!$G$2:$G$801, 0)+1)),"0.##")&amp;"+"&amp;TEXT(INDEX(ERP資料!$G:$G, (MATCH(643, 輔助計算!$G$2:$G$801, 0)+1)),"0.##"),TEXT(INDEX(ERP資料!$G:$G, (MATCH(643, 輔助計算!$G$2:$G$801, 0)+1)),"0.##")&amp;"+"&amp;TEXT(INDEX(ERP資料!$G:$G, (MATCH(643, 輔助計算!$G$2:$G$801, 0)+1)),"0.##")&amp;"+"&amp;TEXT(INDEX(ERP資料!$G:$G, (MATCH(643, 輔助計算!$G$2:$G$801, 0)+1)),"0.##")))&amp;"-"&amp;INT(INDEX(輔助計算!$D:$D, (MATCH(643, 輔助計算!$G$2:$G$801, 0)+1))/IF(INDEX(ERP資料!$G:$G, (MATCH(643, 輔助計算!$G$2:$G$801, 0)+1))&lt;100, IF(INDEX(ERP資料!$G:$G, (MATCH(643, 輔助計算!$G$2:$G$801, 0)+1))&lt;=31,3,IF(INDEX(ERP資料!$G:$G, (MATCH(643, 輔助計算!$G$2:$G$801, 0)+1))&lt;=46.5,2,1)), IF(INDEX(ERP資料!$G:$G, (MATCH(643, 輔助計算!$G$2:$G$801, 0)+1))&lt;=790,3,IF(INDEX(ERP資料!$G:$G, (MATCH(643, 輔助計算!$G$2:$G$801, 0)+1))&lt;=1181,2,1)))), "")&lt;&gt;"",IF(MOD(INDEX(輔助計算!$D:$D, (MATCH(643, 輔助計算!$G$2:$G$801, 0)+1)),IF(INDEX(ERP資料!$G:$G, (MATCH(643, 輔助計算!$G$2:$G$801, 0)+1))&lt;100, IF(INDEX(ERP資料!$G:$G, (MATCH(643, 輔助計算!$G$2:$G$801, 0)+1))&lt;=31,3,IF(INDEX(ERP資料!$G:$G, (MATCH(643, 輔助計算!$G$2:$G$801, 0)+1))&lt;=46.5,2,1)), IF(INDEX(ERP資料!$G:$G, (MATCH(643, 輔助計算!$G$2:$G$801, 0)+1))&lt;=790,3,IF(INDEX(ERP資料!$G:$G, (MATCH(643, 輔助計算!$G$2:$G$801, 0)+1))&lt;=1181,2,1))))=0,"",IF(MOD(INDEX(輔助計算!$D:$D, (MATCH(643, 輔助計算!$G$2:$G$801, 0)+1)),IF(INDEX(ERP資料!$G:$G, (MATCH(643, 輔助計算!$G$2:$G$801, 0)+1))&lt;100, IF(INDEX(ERP資料!$G:$G, (MATCH(643, 輔助計算!$G$2:$G$801, 0)+1))&lt;=31,3,IF(INDEX(ERP資料!$G:$G, (MATCH(643, 輔助計算!$G$2:$G$801, 0)+1))&lt;=46.5,2,1)), IF(INDEX(ERP資料!$G:$G, (MATCH(643, 輔助計算!$G$2:$G$801, 0)+1))&lt;=790,3,IF(INDEX(ERP資料!$G:$G, (MATCH(643, 輔助計算!$G$2:$G$801, 0)+1))&lt;=1181,2,1))))=0,"",IF(MOD(INDEX(輔助計算!$D:$D, (MATCH(643, 輔助計算!$G$2:$G$801, 0)+1)),IF(INDEX(ERP資料!$G:$G, (MATCH(643, 輔助計算!$G$2:$G$801, 0)+1))&lt;100, IF(INDEX(ERP資料!$G:$G, (MATCH(643, 輔助計算!$G$2:$G$801, 0)+1))&lt;=31,3,IF(INDEX(ERP資料!$G:$G, (MATCH(643, 輔助計算!$G$2:$G$801, 0)+1))&lt;=46.5,2,1)), IF(INDEX(ERP資料!$G:$G, (MATCH(643, 輔助計算!$G$2:$G$801, 0)+1))&lt;=790,3,IF(INDEX(ERP資料!$G:$G, (MATCH(643, 輔助計算!$G$2:$G$801, 0)+1))&lt;=1181,2,1))))=1,TEXT(INDEX(ERP資料!$G:$G, (MATCH(643, 輔助計算!$G$2:$G$801, 0)+1)),"0.##"),IF(MOD(INDEX(輔助計算!$D:$D, (MATCH(643, 輔助計算!$G$2:$G$801, 0)+1)),IF(INDEX(ERP資料!$G:$G, (MATCH(643, 輔助計算!$G$2:$G$801, 0)+1))&lt;100, IF(INDEX(ERP資料!$G:$G, (MATCH(643, 輔助計算!$G$2:$G$801, 0)+1))&lt;=31,3,IF(INDEX(ERP資料!$G:$G, (MATCH(643, 輔助計算!$G$2:$G$801, 0)+1))&lt;=46.5,2,1)), IF(INDEX(ERP資料!$G:$G, (MATCH(643, 輔助計算!$G$2:$G$801, 0)+1))&lt;=790,3,IF(INDEX(ERP資料!$G:$G, (MATCH(643, 輔助計算!$G$2:$G$801, 0)+1))&lt;=1181,2,1))))=2,TEXT(INDEX(ERP資料!$G:$G, (MATCH(643, 輔助計算!$G$2:$G$801, 0)+1)),"0.##")&amp;"+"&amp;TEXT(INDEX(ERP資料!$G:$G, (MATCH(643, 輔助計算!$G$2:$G$801, 0)+1)),"0.##"),TEXT(INDEX(ERP資料!$G:$G, (MATCH(643, 輔助計算!$G$2:$G$801, 0)+1)),"0.##")&amp;"+"&amp;TEXT(INDEX(ERP資料!$G:$G, (MATCH(643, 輔助計算!$G$2:$G$801, 0)+1)),"0.##")&amp;"+"&amp;TEXT(INDEX(ERP資料!$G:$G, (MATCH(643, 輔助計算!$G$2:$G$801, 0)+1)),"0.##"))))&amp;"-1")&lt;&gt;""),"  ","")&amp;IF(MOD(INDEX(輔助計算!$D:$D, (MATCH(643, 輔助計算!$G$2:$G$801, 0)+1)),IF(INDEX(ERP資料!$G:$G, (MATCH(643, 輔助計算!$G$2:$G$801, 0)+1))&lt;100, IF(INDEX(ERP資料!$G:$G, (MATCH(643, 輔助計算!$G$2:$G$801, 0)+1))&lt;=31,3,IF(INDEX(ERP資料!$G:$G, (MATCH(643, 輔助計算!$G$2:$G$801, 0)+1))&lt;=46.5,2,1)), IF(INDEX(ERP資料!$G:$G, (MATCH(643, 輔助計算!$G$2:$G$801, 0)+1))&lt;=790,3,IF(INDEX(ERP資料!$G:$G, (MATCH(643, 輔助計算!$G$2:$G$801, 0)+1))&lt;=1181,2,1))))=0,"",IF(MOD(INDEX(輔助計算!$D:$D, (MATCH(643, 輔助計算!$G$2:$G$801, 0)+1)),IF(INDEX(ERP資料!$G:$G, (MATCH(643, 輔助計算!$G$2:$G$801, 0)+1))&lt;100, IF(INDEX(ERP資料!$G:$G, (MATCH(643, 輔助計算!$G$2:$G$801, 0)+1))&lt;=31,3,IF(INDEX(ERP資料!$G:$G, (MATCH(643, 輔助計算!$G$2:$G$801, 0)+1))&lt;=46.5,2,1)), IF(INDEX(ERP資料!$G:$G, (MATCH(643, 輔助計算!$G$2:$G$801, 0)+1))&lt;=790,3,IF(INDEX(ERP資料!$G:$G, (MATCH(643, 輔助計算!$G$2:$G$801, 0)+1))&lt;=1181,2,1))))=0,"",IF(MOD(INDEX(輔助計算!$D:$D, (MATCH(643, 輔助計算!$G$2:$G$801, 0)+1)),IF(INDEX(ERP資料!$G:$G, (MATCH(643, 輔助計算!$G$2:$G$801, 0)+1))&lt;100, IF(INDEX(ERP資料!$G:$G, (MATCH(643, 輔助計算!$G$2:$G$801, 0)+1))&lt;=31,3,IF(INDEX(ERP資料!$G:$G, (MATCH(643, 輔助計算!$G$2:$G$801, 0)+1))&lt;=46.5,2,1)), IF(INDEX(ERP資料!$G:$G, (MATCH(643, 輔助計算!$G$2:$G$801, 0)+1))&lt;=790,3,IF(INDEX(ERP資料!$G:$G, (MATCH(643, 輔助計算!$G$2:$G$801, 0)+1))&lt;=1181,2,1))))=1,TEXT(INDEX(ERP資料!$G:$G, (MATCH(643, 輔助計算!$G$2:$G$801, 0)+1)),"0.##"),IF(MOD(INDEX(輔助計算!$D:$D, (MATCH(643, 輔助計算!$G$2:$G$801, 0)+1)),IF(INDEX(ERP資料!$G:$G, (MATCH(643, 輔助計算!$G$2:$G$801, 0)+1))&lt;100, IF(INDEX(ERP資料!$G:$G, (MATCH(643, 輔助計算!$G$2:$G$801, 0)+1))&lt;=31,3,IF(INDEX(ERP資料!$G:$G, (MATCH(643, 輔助計算!$G$2:$G$801, 0)+1))&lt;=46.5,2,1)), IF(INDEX(ERP資料!$G:$G, (MATCH(643, 輔助計算!$G$2:$G$801, 0)+1))&lt;=790,3,IF(INDEX(ERP資料!$G:$G, (MATCH(643, 輔助計算!$G$2:$G$801, 0)+1))&lt;=1181,2,1))))=2,TEXT(INDEX(ERP資料!$G:$G, (MATCH(643, 輔助計算!$G$2:$G$801, 0)+1)),"0.##")&amp;"+"&amp;TEXT(INDEX(ERP資料!$G:$G, (MATCH(643, 輔助計算!$G$2:$G$801, 0)+1)),"0.##"),TEXT(INDEX(ERP資料!$G:$G, (MATCH(643, 輔助計算!$G$2:$G$801, 0)+1)),"0.##")&amp;"+"&amp;TEXT(INDEX(ERP資料!$G:$G, (MATCH(643, 輔助計算!$G$2:$G$801, 0)+1)),"0.##")&amp;"+"&amp;TEXT(INDEX(ERP資料!$G:$G, (MATCH(643, 輔助計算!$G$2:$G$801, 0)+1)),"0.##"))))&amp;"-1")), ""), "")</f>
        <v/>
      </c>
      <c r="K644" s="16" t="n"/>
      <c r="L644" s="14">
        <f>IFERROR(IF(AND(IFERROR(INDEX(ERP資料!$A:$A, (MATCH(643, 輔助計算!$G$2:$G$801, 0)+1)), "")&lt;&gt;"", IFERROR(INDEX(ERP資料!$A:$A, (MATCH(643, 輔助計算!$G$2:$G$801, 0)+1)), "")&lt;&gt;IFERROR(INDEX(ERP資料!$A:$A, MATCH(642, 輔助計算!$G$2:$G$801, 0)+1), "")), INDEX(ERP資料!$B:$B, (MATCH(643, 輔助計算!$G$2:$G$801, 0)+1)), ""), "")</f>
        <v/>
      </c>
      <c r="M644" s="17" t="n"/>
    </row>
    <row r="645">
      <c r="A645" s="10">
        <f>IFERROR(IF(AND(IFERROR(INDEX(ERP資料!$A:$A, (MATCH(644, 輔助計算!$G$2:$G$801, 0)+1)), "")&lt;&gt;"", IFERROR(INDEX(ERP資料!$A:$A, (MATCH(644, 輔助計算!$G$2:$G$801, 0)+1)), "")&lt;&gt;IFERROR(INDEX(ERP資料!$A:$A, MATCH(643, 輔助計算!$G$2:$G$801, 0)+1), "")), IFERROR(INDEX(ERP資料!$A:$A, (MATCH(644, 輔助計算!$G$2:$G$801, 0)+1)), ""), ""), "")</f>
        <v/>
      </c>
      <c r="B645" s="10">
        <f>IFERROR(IF(AND(IFERROR(INDEX(ERP資料!$A:$A, (MATCH(644, 輔助計算!$G$2:$G$801, 0)+1)), "")&lt;&gt;"", IFERROR(INDEX(ERP資料!$A:$A, (MATCH(644, 輔助計算!$G$2:$G$801, 0)+1)), "")&lt;&gt;IFERROR(INDEX(ERP資料!$A:$A, MATCH(643, 輔助計算!$G$2:$G$801, 0)+1), "")), INDEX(ERP資料!$S:$S, (MATCH(644, 輔助計算!$G$2:$G$801, 0)+1)), ""), "")</f>
        <v/>
      </c>
      <c r="C645" s="19">
        <f>IFERROR(IF(AND(IFERROR(INDEX(ERP資料!$A:$A, (MATCH(644, 輔助計算!$G$2:$G$801, 0)+1)), "")&lt;&gt;"", IFERROR(INDEX(ERP資料!$A:$A, (MATCH(644, 輔助計算!$G$2:$G$801, 0)+1)), "")&lt;&gt;IFERROR(INDEX(ERP資料!$A:$A, MATCH(643, 輔助計算!$G$2:$G$801, 0)+1), "")), IFERROR(VLOOKUP(LEFT(INDEX(ERP資料!$S:$S, (MATCH(644, 輔助計算!$G$2:$G$801, 0)+1)), 4), 紙管對照表!$A:$C, 3, FALSE), ""), ""), "")</f>
        <v/>
      </c>
      <c r="D645" s="16" t="n"/>
      <c r="E645" s="10">
        <f>IFERROR(IF(INDEX(ERP資料!$H:$H, (MATCH(644, 輔助計算!$G$2:$G$801, 0)+1))="","",INDEX(ERP資料!$H:$H, (MATCH(644, 輔助計算!$G$2:$G$801, 0)+1))), "")</f>
        <v/>
      </c>
      <c r="F645" s="10">
        <f>IFERROR(IF(INDEX(ERP資料!$E:$E, (MATCH(644, 輔助計算!$G$2:$G$801, 0)+1))="","",TRIM(INDEX(ERP資料!$E:$E, (MATCH(644, 輔助計算!$G$2:$G$801, 0)+1)))), "")</f>
        <v/>
      </c>
      <c r="G645" s="10">
        <f>IFERROR(IF(INDEX(ERP資料!$F:$F, (MATCH(644, 輔助計算!$G$2:$G$801, 0)+1))="","",INDEX(ERP資料!$F:$F, (MATCH(644, 輔助計算!$G$2:$G$801, 0)+1))), "")</f>
        <v/>
      </c>
      <c r="H645" s="10">
        <f>IFERROR(IF(INDEX(ERP資料!$G:$G, (MATCH(644, 輔助計算!$G$2:$G$801, 0)+1))="","",INDEX(ERP資料!$G:$G, (MATCH(644, 輔助計算!$G$2:$G$801, 0)+1))), "")</f>
        <v/>
      </c>
      <c r="I645" s="15">
        <f>IFERROR(INDEX(輔助計算!$D:$D, (MATCH(644, 輔助計算!$G$2:$G$801, 0)+1)), "")</f>
        <v/>
      </c>
      <c r="J645" s="15">
        <f>IFERROR(IF(AND(INDEX(輔助計算!$D:$D, (MATCH(644, 輔助計算!$G$2:$G$801, 0)+1))&lt;&gt;"", INDEX(ERP資料!$G:$G, (MATCH(644, 輔助計算!$G$2:$G$801, 0)+1))&lt;&gt;""), TRIM(IF(INT(INDEX(輔助計算!$D:$D, (MATCH(644, 輔助計算!$G$2:$G$801, 0)+1))/IF(INDEX(ERP資料!$G:$G, (MATCH(644, 輔助計算!$G$2:$G$801, 0)+1))&lt;100, IF(INDEX(ERP資料!$G:$G, (MATCH(644, 輔助計算!$G$2:$G$801, 0)+1))&lt;=31,3,IF(INDEX(ERP資料!$G:$G, (MATCH(644, 輔助計算!$G$2:$G$801, 0)+1))&lt;=46.5,2,1)), IF(INDEX(ERP資料!$G:$G, (MATCH(644, 輔助計算!$G$2:$G$801, 0)+1))&lt;=790,3,IF(INDEX(ERP資料!$G:$G, (MATCH(644, 輔助計算!$G$2:$G$801, 0)+1))&lt;=1181,2,1))))&gt;0, IF(IF(INDEX(ERP資料!$G:$G, (MATCH(644, 輔助計算!$G$2:$G$801, 0)+1))&lt;100, IF(INDEX(ERP資料!$G:$G, (MATCH(644, 輔助計算!$G$2:$G$801, 0)+1))&lt;=31,3,IF(INDEX(ERP資料!$G:$G, (MATCH(644, 輔助計算!$G$2:$G$801, 0)+1))&lt;=46.5,2,1)), IF(INDEX(ERP資料!$G:$G, (MATCH(644, 輔助計算!$G$2:$G$801, 0)+1))&lt;=790,3,IF(INDEX(ERP資料!$G:$G, (MATCH(644, 輔助計算!$G$2:$G$801, 0)+1))&lt;=1181,2,1)))=1,TEXT(INDEX(ERP資料!$G:$G, (MATCH(644, 輔助計算!$G$2:$G$801, 0)+1)),"0.##"),IF(IF(INDEX(ERP資料!$G:$G, (MATCH(644, 輔助計算!$G$2:$G$801, 0)+1))&lt;100, IF(INDEX(ERP資料!$G:$G, (MATCH(644, 輔助計算!$G$2:$G$801, 0)+1))&lt;=31,3,IF(INDEX(ERP資料!$G:$G, (MATCH(644, 輔助計算!$G$2:$G$801, 0)+1))&lt;=46.5,2,1)), IF(INDEX(ERP資料!$G:$G, (MATCH(644, 輔助計算!$G$2:$G$801, 0)+1))&lt;=790,3,IF(INDEX(ERP資料!$G:$G, (MATCH(644, 輔助計算!$G$2:$G$801, 0)+1))&lt;=1181,2,1)))=2,TEXT(INDEX(ERP資料!$G:$G, (MATCH(644, 輔助計算!$G$2:$G$801, 0)+1)),"0.##")&amp;"+"&amp;TEXT(INDEX(ERP資料!$G:$G, (MATCH(644, 輔助計算!$G$2:$G$801, 0)+1)),"0.##"),TEXT(INDEX(ERP資料!$G:$G, (MATCH(644, 輔助計算!$G$2:$G$801, 0)+1)),"0.##")&amp;"+"&amp;TEXT(INDEX(ERP資料!$G:$G, (MATCH(644, 輔助計算!$G$2:$G$801, 0)+1)),"0.##")&amp;"+"&amp;TEXT(INDEX(ERP資料!$G:$G, (MATCH(644, 輔助計算!$G$2:$G$801, 0)+1)),"0.##")))&amp;"-"&amp;INT(INDEX(輔助計算!$D:$D, (MATCH(644, 輔助計算!$G$2:$G$801, 0)+1))/IF(INDEX(ERP資料!$G:$G, (MATCH(644, 輔助計算!$G$2:$G$801, 0)+1))&lt;100, IF(INDEX(ERP資料!$G:$G, (MATCH(644, 輔助計算!$G$2:$G$801, 0)+1))&lt;=31,3,IF(INDEX(ERP資料!$G:$G, (MATCH(644, 輔助計算!$G$2:$G$801, 0)+1))&lt;=46.5,2,1)), IF(INDEX(ERP資料!$G:$G, (MATCH(644, 輔助計算!$G$2:$G$801, 0)+1))&lt;=790,3,IF(INDEX(ERP資料!$G:$G, (MATCH(644, 輔助計算!$G$2:$G$801, 0)+1))&lt;=1181,2,1)))), "")&amp;IF(AND(IF(INT(INDEX(輔助計算!$D:$D, (MATCH(644, 輔助計算!$G$2:$G$801, 0)+1))/IF(INDEX(ERP資料!$G:$G, (MATCH(644, 輔助計算!$G$2:$G$801, 0)+1))&lt;100, IF(INDEX(ERP資料!$G:$G, (MATCH(644, 輔助計算!$G$2:$G$801, 0)+1))&lt;=31,3,IF(INDEX(ERP資料!$G:$G, (MATCH(644, 輔助計算!$G$2:$G$801, 0)+1))&lt;=46.5,2,1)), IF(INDEX(ERP資料!$G:$G, (MATCH(644, 輔助計算!$G$2:$G$801, 0)+1))&lt;=790,3,IF(INDEX(ERP資料!$G:$G, (MATCH(644, 輔助計算!$G$2:$G$801, 0)+1))&lt;=1181,2,1))))&gt;0, IF(IF(INDEX(ERP資料!$G:$G, (MATCH(644, 輔助計算!$G$2:$G$801, 0)+1))&lt;100, IF(INDEX(ERP資料!$G:$G, (MATCH(644, 輔助計算!$G$2:$G$801, 0)+1))&lt;=31,3,IF(INDEX(ERP資料!$G:$G, (MATCH(644, 輔助計算!$G$2:$G$801, 0)+1))&lt;=46.5,2,1)), IF(INDEX(ERP資料!$G:$G, (MATCH(644, 輔助計算!$G$2:$G$801, 0)+1))&lt;=790,3,IF(INDEX(ERP資料!$G:$G, (MATCH(644, 輔助計算!$G$2:$G$801, 0)+1))&lt;=1181,2,1)))=1,TEXT(INDEX(ERP資料!$G:$G, (MATCH(644, 輔助計算!$G$2:$G$801, 0)+1)),"0.##"),IF(IF(INDEX(ERP資料!$G:$G, (MATCH(644, 輔助計算!$G$2:$G$801, 0)+1))&lt;100, IF(INDEX(ERP資料!$G:$G, (MATCH(644, 輔助計算!$G$2:$G$801, 0)+1))&lt;=31,3,IF(INDEX(ERP資料!$G:$G, (MATCH(644, 輔助計算!$G$2:$G$801, 0)+1))&lt;=46.5,2,1)), IF(INDEX(ERP資料!$G:$G, (MATCH(644, 輔助計算!$G$2:$G$801, 0)+1))&lt;=790,3,IF(INDEX(ERP資料!$G:$G, (MATCH(644, 輔助計算!$G$2:$G$801, 0)+1))&lt;=1181,2,1)))=2,TEXT(INDEX(ERP資料!$G:$G, (MATCH(644, 輔助計算!$G$2:$G$801, 0)+1)),"0.##")&amp;"+"&amp;TEXT(INDEX(ERP資料!$G:$G, (MATCH(644, 輔助計算!$G$2:$G$801, 0)+1)),"0.##"),TEXT(INDEX(ERP資料!$G:$G, (MATCH(644, 輔助計算!$G$2:$G$801, 0)+1)),"0.##")&amp;"+"&amp;TEXT(INDEX(ERP資料!$G:$G, (MATCH(644, 輔助計算!$G$2:$G$801, 0)+1)),"0.##")&amp;"+"&amp;TEXT(INDEX(ERP資料!$G:$G, (MATCH(644, 輔助計算!$G$2:$G$801, 0)+1)),"0.##")))&amp;"-"&amp;INT(INDEX(輔助計算!$D:$D, (MATCH(644, 輔助計算!$G$2:$G$801, 0)+1))/IF(INDEX(ERP資料!$G:$G, (MATCH(644, 輔助計算!$G$2:$G$801, 0)+1))&lt;100, IF(INDEX(ERP資料!$G:$G, (MATCH(644, 輔助計算!$G$2:$G$801, 0)+1))&lt;=31,3,IF(INDEX(ERP資料!$G:$G, (MATCH(644, 輔助計算!$G$2:$G$801, 0)+1))&lt;=46.5,2,1)), IF(INDEX(ERP資料!$G:$G, (MATCH(644, 輔助計算!$G$2:$G$801, 0)+1))&lt;=790,3,IF(INDEX(ERP資料!$G:$G, (MATCH(644, 輔助計算!$G$2:$G$801, 0)+1))&lt;=1181,2,1)))), "")&lt;&gt;"",IF(MOD(INDEX(輔助計算!$D:$D, (MATCH(644, 輔助計算!$G$2:$G$801, 0)+1)),IF(INDEX(ERP資料!$G:$G, (MATCH(644, 輔助計算!$G$2:$G$801, 0)+1))&lt;100, IF(INDEX(ERP資料!$G:$G, (MATCH(644, 輔助計算!$G$2:$G$801, 0)+1))&lt;=31,3,IF(INDEX(ERP資料!$G:$G, (MATCH(644, 輔助計算!$G$2:$G$801, 0)+1))&lt;=46.5,2,1)), IF(INDEX(ERP資料!$G:$G, (MATCH(644, 輔助計算!$G$2:$G$801, 0)+1))&lt;=790,3,IF(INDEX(ERP資料!$G:$G, (MATCH(644, 輔助計算!$G$2:$G$801, 0)+1))&lt;=1181,2,1))))=0,"",IF(MOD(INDEX(輔助計算!$D:$D, (MATCH(644, 輔助計算!$G$2:$G$801, 0)+1)),IF(INDEX(ERP資料!$G:$G, (MATCH(644, 輔助計算!$G$2:$G$801, 0)+1))&lt;100, IF(INDEX(ERP資料!$G:$G, (MATCH(644, 輔助計算!$G$2:$G$801, 0)+1))&lt;=31,3,IF(INDEX(ERP資料!$G:$G, (MATCH(644, 輔助計算!$G$2:$G$801, 0)+1))&lt;=46.5,2,1)), IF(INDEX(ERP資料!$G:$G, (MATCH(644, 輔助計算!$G$2:$G$801, 0)+1))&lt;=790,3,IF(INDEX(ERP資料!$G:$G, (MATCH(644, 輔助計算!$G$2:$G$801, 0)+1))&lt;=1181,2,1))))=0,"",IF(MOD(INDEX(輔助計算!$D:$D, (MATCH(644, 輔助計算!$G$2:$G$801, 0)+1)),IF(INDEX(ERP資料!$G:$G, (MATCH(644, 輔助計算!$G$2:$G$801, 0)+1))&lt;100, IF(INDEX(ERP資料!$G:$G, (MATCH(644, 輔助計算!$G$2:$G$801, 0)+1))&lt;=31,3,IF(INDEX(ERP資料!$G:$G, (MATCH(644, 輔助計算!$G$2:$G$801, 0)+1))&lt;=46.5,2,1)), IF(INDEX(ERP資料!$G:$G, (MATCH(644, 輔助計算!$G$2:$G$801, 0)+1))&lt;=790,3,IF(INDEX(ERP資料!$G:$G, (MATCH(644, 輔助計算!$G$2:$G$801, 0)+1))&lt;=1181,2,1))))=1,TEXT(INDEX(ERP資料!$G:$G, (MATCH(644, 輔助計算!$G$2:$G$801, 0)+1)),"0.##"),IF(MOD(INDEX(輔助計算!$D:$D, (MATCH(644, 輔助計算!$G$2:$G$801, 0)+1)),IF(INDEX(ERP資料!$G:$G, (MATCH(644, 輔助計算!$G$2:$G$801, 0)+1))&lt;100, IF(INDEX(ERP資料!$G:$G, (MATCH(644, 輔助計算!$G$2:$G$801, 0)+1))&lt;=31,3,IF(INDEX(ERP資料!$G:$G, (MATCH(644, 輔助計算!$G$2:$G$801, 0)+1))&lt;=46.5,2,1)), IF(INDEX(ERP資料!$G:$G, (MATCH(644, 輔助計算!$G$2:$G$801, 0)+1))&lt;=790,3,IF(INDEX(ERP資料!$G:$G, (MATCH(644, 輔助計算!$G$2:$G$801, 0)+1))&lt;=1181,2,1))))=2,TEXT(INDEX(ERP資料!$G:$G, (MATCH(644, 輔助計算!$G$2:$G$801, 0)+1)),"0.##")&amp;"+"&amp;TEXT(INDEX(ERP資料!$G:$G, (MATCH(644, 輔助計算!$G$2:$G$801, 0)+1)),"0.##"),TEXT(INDEX(ERP資料!$G:$G, (MATCH(644, 輔助計算!$G$2:$G$801, 0)+1)),"0.##")&amp;"+"&amp;TEXT(INDEX(ERP資料!$G:$G, (MATCH(644, 輔助計算!$G$2:$G$801, 0)+1)),"0.##")&amp;"+"&amp;TEXT(INDEX(ERP資料!$G:$G, (MATCH(644, 輔助計算!$G$2:$G$801, 0)+1)),"0.##"))))&amp;"-1")&lt;&gt;""),"  ","")&amp;IF(MOD(INDEX(輔助計算!$D:$D, (MATCH(644, 輔助計算!$G$2:$G$801, 0)+1)),IF(INDEX(ERP資料!$G:$G, (MATCH(644, 輔助計算!$G$2:$G$801, 0)+1))&lt;100, IF(INDEX(ERP資料!$G:$G, (MATCH(644, 輔助計算!$G$2:$G$801, 0)+1))&lt;=31,3,IF(INDEX(ERP資料!$G:$G, (MATCH(644, 輔助計算!$G$2:$G$801, 0)+1))&lt;=46.5,2,1)), IF(INDEX(ERP資料!$G:$G, (MATCH(644, 輔助計算!$G$2:$G$801, 0)+1))&lt;=790,3,IF(INDEX(ERP資料!$G:$G, (MATCH(644, 輔助計算!$G$2:$G$801, 0)+1))&lt;=1181,2,1))))=0,"",IF(MOD(INDEX(輔助計算!$D:$D, (MATCH(644, 輔助計算!$G$2:$G$801, 0)+1)),IF(INDEX(ERP資料!$G:$G, (MATCH(644, 輔助計算!$G$2:$G$801, 0)+1))&lt;100, IF(INDEX(ERP資料!$G:$G, (MATCH(644, 輔助計算!$G$2:$G$801, 0)+1))&lt;=31,3,IF(INDEX(ERP資料!$G:$G, (MATCH(644, 輔助計算!$G$2:$G$801, 0)+1))&lt;=46.5,2,1)), IF(INDEX(ERP資料!$G:$G, (MATCH(644, 輔助計算!$G$2:$G$801, 0)+1))&lt;=790,3,IF(INDEX(ERP資料!$G:$G, (MATCH(644, 輔助計算!$G$2:$G$801, 0)+1))&lt;=1181,2,1))))=0,"",IF(MOD(INDEX(輔助計算!$D:$D, (MATCH(644, 輔助計算!$G$2:$G$801, 0)+1)),IF(INDEX(ERP資料!$G:$G, (MATCH(644, 輔助計算!$G$2:$G$801, 0)+1))&lt;100, IF(INDEX(ERP資料!$G:$G, (MATCH(644, 輔助計算!$G$2:$G$801, 0)+1))&lt;=31,3,IF(INDEX(ERP資料!$G:$G, (MATCH(644, 輔助計算!$G$2:$G$801, 0)+1))&lt;=46.5,2,1)), IF(INDEX(ERP資料!$G:$G, (MATCH(644, 輔助計算!$G$2:$G$801, 0)+1))&lt;=790,3,IF(INDEX(ERP資料!$G:$G, (MATCH(644, 輔助計算!$G$2:$G$801, 0)+1))&lt;=1181,2,1))))=1,TEXT(INDEX(ERP資料!$G:$G, (MATCH(644, 輔助計算!$G$2:$G$801, 0)+1)),"0.##"),IF(MOD(INDEX(輔助計算!$D:$D, (MATCH(644, 輔助計算!$G$2:$G$801, 0)+1)),IF(INDEX(ERP資料!$G:$G, (MATCH(644, 輔助計算!$G$2:$G$801, 0)+1))&lt;100, IF(INDEX(ERP資料!$G:$G, (MATCH(644, 輔助計算!$G$2:$G$801, 0)+1))&lt;=31,3,IF(INDEX(ERP資料!$G:$G, (MATCH(644, 輔助計算!$G$2:$G$801, 0)+1))&lt;=46.5,2,1)), IF(INDEX(ERP資料!$G:$G, (MATCH(644, 輔助計算!$G$2:$G$801, 0)+1))&lt;=790,3,IF(INDEX(ERP資料!$G:$G, (MATCH(644, 輔助計算!$G$2:$G$801, 0)+1))&lt;=1181,2,1))))=2,TEXT(INDEX(ERP資料!$G:$G, (MATCH(644, 輔助計算!$G$2:$G$801, 0)+1)),"0.##")&amp;"+"&amp;TEXT(INDEX(ERP資料!$G:$G, (MATCH(644, 輔助計算!$G$2:$G$801, 0)+1)),"0.##"),TEXT(INDEX(ERP資料!$G:$G, (MATCH(644, 輔助計算!$G$2:$G$801, 0)+1)),"0.##")&amp;"+"&amp;TEXT(INDEX(ERP資料!$G:$G, (MATCH(644, 輔助計算!$G$2:$G$801, 0)+1)),"0.##")&amp;"+"&amp;TEXT(INDEX(ERP資料!$G:$G, (MATCH(644, 輔助計算!$G$2:$G$801, 0)+1)),"0.##"))))&amp;"-1")), ""), "")</f>
        <v/>
      </c>
      <c r="K645" s="16" t="n"/>
      <c r="L645" s="14">
        <f>IFERROR(IF(AND(IFERROR(INDEX(ERP資料!$A:$A, (MATCH(644, 輔助計算!$G$2:$G$801, 0)+1)), "")&lt;&gt;"", IFERROR(INDEX(ERP資料!$A:$A, (MATCH(644, 輔助計算!$G$2:$G$801, 0)+1)), "")&lt;&gt;IFERROR(INDEX(ERP資料!$A:$A, MATCH(643, 輔助計算!$G$2:$G$801, 0)+1), "")), INDEX(ERP資料!$B:$B, (MATCH(644, 輔助計算!$G$2:$G$801, 0)+1)), ""), "")</f>
        <v/>
      </c>
      <c r="M645" s="17" t="n"/>
    </row>
    <row r="646">
      <c r="A646" s="10">
        <f>IFERROR(IF(AND(IFERROR(INDEX(ERP資料!$A:$A, (MATCH(645, 輔助計算!$G$2:$G$801, 0)+1)), "")&lt;&gt;"", IFERROR(INDEX(ERP資料!$A:$A, (MATCH(645, 輔助計算!$G$2:$G$801, 0)+1)), "")&lt;&gt;IFERROR(INDEX(ERP資料!$A:$A, MATCH(644, 輔助計算!$G$2:$G$801, 0)+1), "")), IFERROR(INDEX(ERP資料!$A:$A, (MATCH(645, 輔助計算!$G$2:$G$801, 0)+1)), ""), ""), "")</f>
        <v/>
      </c>
      <c r="B646" s="10">
        <f>IFERROR(IF(AND(IFERROR(INDEX(ERP資料!$A:$A, (MATCH(645, 輔助計算!$G$2:$G$801, 0)+1)), "")&lt;&gt;"", IFERROR(INDEX(ERP資料!$A:$A, (MATCH(645, 輔助計算!$G$2:$G$801, 0)+1)), "")&lt;&gt;IFERROR(INDEX(ERP資料!$A:$A, MATCH(644, 輔助計算!$G$2:$G$801, 0)+1), "")), INDEX(ERP資料!$S:$S, (MATCH(645, 輔助計算!$G$2:$G$801, 0)+1)), ""), "")</f>
        <v/>
      </c>
      <c r="C646" s="19">
        <f>IFERROR(IF(AND(IFERROR(INDEX(ERP資料!$A:$A, (MATCH(645, 輔助計算!$G$2:$G$801, 0)+1)), "")&lt;&gt;"", IFERROR(INDEX(ERP資料!$A:$A, (MATCH(645, 輔助計算!$G$2:$G$801, 0)+1)), "")&lt;&gt;IFERROR(INDEX(ERP資料!$A:$A, MATCH(644, 輔助計算!$G$2:$G$801, 0)+1), "")), IFERROR(VLOOKUP(LEFT(INDEX(ERP資料!$S:$S, (MATCH(645, 輔助計算!$G$2:$G$801, 0)+1)), 4), 紙管對照表!$A:$C, 3, FALSE), ""), ""), "")</f>
        <v/>
      </c>
      <c r="D646" s="16" t="n"/>
      <c r="E646" s="10">
        <f>IFERROR(IF(INDEX(ERP資料!$H:$H, (MATCH(645, 輔助計算!$G$2:$G$801, 0)+1))="","",INDEX(ERP資料!$H:$H, (MATCH(645, 輔助計算!$G$2:$G$801, 0)+1))), "")</f>
        <v/>
      </c>
      <c r="F646" s="10">
        <f>IFERROR(IF(INDEX(ERP資料!$E:$E, (MATCH(645, 輔助計算!$G$2:$G$801, 0)+1))="","",TRIM(INDEX(ERP資料!$E:$E, (MATCH(645, 輔助計算!$G$2:$G$801, 0)+1)))), "")</f>
        <v/>
      </c>
      <c r="G646" s="10">
        <f>IFERROR(IF(INDEX(ERP資料!$F:$F, (MATCH(645, 輔助計算!$G$2:$G$801, 0)+1))="","",INDEX(ERP資料!$F:$F, (MATCH(645, 輔助計算!$G$2:$G$801, 0)+1))), "")</f>
        <v/>
      </c>
      <c r="H646" s="10">
        <f>IFERROR(IF(INDEX(ERP資料!$G:$G, (MATCH(645, 輔助計算!$G$2:$G$801, 0)+1))="","",INDEX(ERP資料!$G:$G, (MATCH(645, 輔助計算!$G$2:$G$801, 0)+1))), "")</f>
        <v/>
      </c>
      <c r="I646" s="15">
        <f>IFERROR(INDEX(輔助計算!$D:$D, (MATCH(645, 輔助計算!$G$2:$G$801, 0)+1)), "")</f>
        <v/>
      </c>
      <c r="J646" s="15">
        <f>IFERROR(IF(AND(INDEX(輔助計算!$D:$D, (MATCH(645, 輔助計算!$G$2:$G$801, 0)+1))&lt;&gt;"", INDEX(ERP資料!$G:$G, (MATCH(645, 輔助計算!$G$2:$G$801, 0)+1))&lt;&gt;""), TRIM(IF(INT(INDEX(輔助計算!$D:$D, (MATCH(645, 輔助計算!$G$2:$G$801, 0)+1))/IF(INDEX(ERP資料!$G:$G, (MATCH(645, 輔助計算!$G$2:$G$801, 0)+1))&lt;100, IF(INDEX(ERP資料!$G:$G, (MATCH(645, 輔助計算!$G$2:$G$801, 0)+1))&lt;=31,3,IF(INDEX(ERP資料!$G:$G, (MATCH(645, 輔助計算!$G$2:$G$801, 0)+1))&lt;=46.5,2,1)), IF(INDEX(ERP資料!$G:$G, (MATCH(645, 輔助計算!$G$2:$G$801, 0)+1))&lt;=790,3,IF(INDEX(ERP資料!$G:$G, (MATCH(645, 輔助計算!$G$2:$G$801, 0)+1))&lt;=1181,2,1))))&gt;0, IF(IF(INDEX(ERP資料!$G:$G, (MATCH(645, 輔助計算!$G$2:$G$801, 0)+1))&lt;100, IF(INDEX(ERP資料!$G:$G, (MATCH(645, 輔助計算!$G$2:$G$801, 0)+1))&lt;=31,3,IF(INDEX(ERP資料!$G:$G, (MATCH(645, 輔助計算!$G$2:$G$801, 0)+1))&lt;=46.5,2,1)), IF(INDEX(ERP資料!$G:$G, (MATCH(645, 輔助計算!$G$2:$G$801, 0)+1))&lt;=790,3,IF(INDEX(ERP資料!$G:$G, (MATCH(645, 輔助計算!$G$2:$G$801, 0)+1))&lt;=1181,2,1)))=1,TEXT(INDEX(ERP資料!$G:$G, (MATCH(645, 輔助計算!$G$2:$G$801, 0)+1)),"0.##"),IF(IF(INDEX(ERP資料!$G:$G, (MATCH(645, 輔助計算!$G$2:$G$801, 0)+1))&lt;100, IF(INDEX(ERP資料!$G:$G, (MATCH(645, 輔助計算!$G$2:$G$801, 0)+1))&lt;=31,3,IF(INDEX(ERP資料!$G:$G, (MATCH(645, 輔助計算!$G$2:$G$801, 0)+1))&lt;=46.5,2,1)), IF(INDEX(ERP資料!$G:$G, (MATCH(645, 輔助計算!$G$2:$G$801, 0)+1))&lt;=790,3,IF(INDEX(ERP資料!$G:$G, (MATCH(645, 輔助計算!$G$2:$G$801, 0)+1))&lt;=1181,2,1)))=2,TEXT(INDEX(ERP資料!$G:$G, (MATCH(645, 輔助計算!$G$2:$G$801, 0)+1)),"0.##")&amp;"+"&amp;TEXT(INDEX(ERP資料!$G:$G, (MATCH(645, 輔助計算!$G$2:$G$801, 0)+1)),"0.##"),TEXT(INDEX(ERP資料!$G:$G, (MATCH(645, 輔助計算!$G$2:$G$801, 0)+1)),"0.##")&amp;"+"&amp;TEXT(INDEX(ERP資料!$G:$G, (MATCH(645, 輔助計算!$G$2:$G$801, 0)+1)),"0.##")&amp;"+"&amp;TEXT(INDEX(ERP資料!$G:$G, (MATCH(645, 輔助計算!$G$2:$G$801, 0)+1)),"0.##")))&amp;"-"&amp;INT(INDEX(輔助計算!$D:$D, (MATCH(645, 輔助計算!$G$2:$G$801, 0)+1))/IF(INDEX(ERP資料!$G:$G, (MATCH(645, 輔助計算!$G$2:$G$801, 0)+1))&lt;100, IF(INDEX(ERP資料!$G:$G, (MATCH(645, 輔助計算!$G$2:$G$801, 0)+1))&lt;=31,3,IF(INDEX(ERP資料!$G:$G, (MATCH(645, 輔助計算!$G$2:$G$801, 0)+1))&lt;=46.5,2,1)), IF(INDEX(ERP資料!$G:$G, (MATCH(645, 輔助計算!$G$2:$G$801, 0)+1))&lt;=790,3,IF(INDEX(ERP資料!$G:$G, (MATCH(645, 輔助計算!$G$2:$G$801, 0)+1))&lt;=1181,2,1)))), "")&amp;IF(AND(IF(INT(INDEX(輔助計算!$D:$D, (MATCH(645, 輔助計算!$G$2:$G$801, 0)+1))/IF(INDEX(ERP資料!$G:$G, (MATCH(645, 輔助計算!$G$2:$G$801, 0)+1))&lt;100, IF(INDEX(ERP資料!$G:$G, (MATCH(645, 輔助計算!$G$2:$G$801, 0)+1))&lt;=31,3,IF(INDEX(ERP資料!$G:$G, (MATCH(645, 輔助計算!$G$2:$G$801, 0)+1))&lt;=46.5,2,1)), IF(INDEX(ERP資料!$G:$G, (MATCH(645, 輔助計算!$G$2:$G$801, 0)+1))&lt;=790,3,IF(INDEX(ERP資料!$G:$G, (MATCH(645, 輔助計算!$G$2:$G$801, 0)+1))&lt;=1181,2,1))))&gt;0, IF(IF(INDEX(ERP資料!$G:$G, (MATCH(645, 輔助計算!$G$2:$G$801, 0)+1))&lt;100, IF(INDEX(ERP資料!$G:$G, (MATCH(645, 輔助計算!$G$2:$G$801, 0)+1))&lt;=31,3,IF(INDEX(ERP資料!$G:$G, (MATCH(645, 輔助計算!$G$2:$G$801, 0)+1))&lt;=46.5,2,1)), IF(INDEX(ERP資料!$G:$G, (MATCH(645, 輔助計算!$G$2:$G$801, 0)+1))&lt;=790,3,IF(INDEX(ERP資料!$G:$G, (MATCH(645, 輔助計算!$G$2:$G$801, 0)+1))&lt;=1181,2,1)))=1,TEXT(INDEX(ERP資料!$G:$G, (MATCH(645, 輔助計算!$G$2:$G$801, 0)+1)),"0.##"),IF(IF(INDEX(ERP資料!$G:$G, (MATCH(645, 輔助計算!$G$2:$G$801, 0)+1))&lt;100, IF(INDEX(ERP資料!$G:$G, (MATCH(645, 輔助計算!$G$2:$G$801, 0)+1))&lt;=31,3,IF(INDEX(ERP資料!$G:$G, (MATCH(645, 輔助計算!$G$2:$G$801, 0)+1))&lt;=46.5,2,1)), IF(INDEX(ERP資料!$G:$G, (MATCH(645, 輔助計算!$G$2:$G$801, 0)+1))&lt;=790,3,IF(INDEX(ERP資料!$G:$G, (MATCH(645, 輔助計算!$G$2:$G$801, 0)+1))&lt;=1181,2,1)))=2,TEXT(INDEX(ERP資料!$G:$G, (MATCH(645, 輔助計算!$G$2:$G$801, 0)+1)),"0.##")&amp;"+"&amp;TEXT(INDEX(ERP資料!$G:$G, (MATCH(645, 輔助計算!$G$2:$G$801, 0)+1)),"0.##"),TEXT(INDEX(ERP資料!$G:$G, (MATCH(645, 輔助計算!$G$2:$G$801, 0)+1)),"0.##")&amp;"+"&amp;TEXT(INDEX(ERP資料!$G:$G, (MATCH(645, 輔助計算!$G$2:$G$801, 0)+1)),"0.##")&amp;"+"&amp;TEXT(INDEX(ERP資料!$G:$G, (MATCH(645, 輔助計算!$G$2:$G$801, 0)+1)),"0.##")))&amp;"-"&amp;INT(INDEX(輔助計算!$D:$D, (MATCH(645, 輔助計算!$G$2:$G$801, 0)+1))/IF(INDEX(ERP資料!$G:$G, (MATCH(645, 輔助計算!$G$2:$G$801, 0)+1))&lt;100, IF(INDEX(ERP資料!$G:$G, (MATCH(645, 輔助計算!$G$2:$G$801, 0)+1))&lt;=31,3,IF(INDEX(ERP資料!$G:$G, (MATCH(645, 輔助計算!$G$2:$G$801, 0)+1))&lt;=46.5,2,1)), IF(INDEX(ERP資料!$G:$G, (MATCH(645, 輔助計算!$G$2:$G$801, 0)+1))&lt;=790,3,IF(INDEX(ERP資料!$G:$G, (MATCH(645, 輔助計算!$G$2:$G$801, 0)+1))&lt;=1181,2,1)))), "")&lt;&gt;"",IF(MOD(INDEX(輔助計算!$D:$D, (MATCH(645, 輔助計算!$G$2:$G$801, 0)+1)),IF(INDEX(ERP資料!$G:$G, (MATCH(645, 輔助計算!$G$2:$G$801, 0)+1))&lt;100, IF(INDEX(ERP資料!$G:$G, (MATCH(645, 輔助計算!$G$2:$G$801, 0)+1))&lt;=31,3,IF(INDEX(ERP資料!$G:$G, (MATCH(645, 輔助計算!$G$2:$G$801, 0)+1))&lt;=46.5,2,1)), IF(INDEX(ERP資料!$G:$G, (MATCH(645, 輔助計算!$G$2:$G$801, 0)+1))&lt;=790,3,IF(INDEX(ERP資料!$G:$G, (MATCH(645, 輔助計算!$G$2:$G$801, 0)+1))&lt;=1181,2,1))))=0,"",IF(MOD(INDEX(輔助計算!$D:$D, (MATCH(645, 輔助計算!$G$2:$G$801, 0)+1)),IF(INDEX(ERP資料!$G:$G, (MATCH(645, 輔助計算!$G$2:$G$801, 0)+1))&lt;100, IF(INDEX(ERP資料!$G:$G, (MATCH(645, 輔助計算!$G$2:$G$801, 0)+1))&lt;=31,3,IF(INDEX(ERP資料!$G:$G, (MATCH(645, 輔助計算!$G$2:$G$801, 0)+1))&lt;=46.5,2,1)), IF(INDEX(ERP資料!$G:$G, (MATCH(645, 輔助計算!$G$2:$G$801, 0)+1))&lt;=790,3,IF(INDEX(ERP資料!$G:$G, (MATCH(645, 輔助計算!$G$2:$G$801, 0)+1))&lt;=1181,2,1))))=0,"",IF(MOD(INDEX(輔助計算!$D:$D, (MATCH(645, 輔助計算!$G$2:$G$801, 0)+1)),IF(INDEX(ERP資料!$G:$G, (MATCH(645, 輔助計算!$G$2:$G$801, 0)+1))&lt;100, IF(INDEX(ERP資料!$G:$G, (MATCH(645, 輔助計算!$G$2:$G$801, 0)+1))&lt;=31,3,IF(INDEX(ERP資料!$G:$G, (MATCH(645, 輔助計算!$G$2:$G$801, 0)+1))&lt;=46.5,2,1)), IF(INDEX(ERP資料!$G:$G, (MATCH(645, 輔助計算!$G$2:$G$801, 0)+1))&lt;=790,3,IF(INDEX(ERP資料!$G:$G, (MATCH(645, 輔助計算!$G$2:$G$801, 0)+1))&lt;=1181,2,1))))=1,TEXT(INDEX(ERP資料!$G:$G, (MATCH(645, 輔助計算!$G$2:$G$801, 0)+1)),"0.##"),IF(MOD(INDEX(輔助計算!$D:$D, (MATCH(645, 輔助計算!$G$2:$G$801, 0)+1)),IF(INDEX(ERP資料!$G:$G, (MATCH(645, 輔助計算!$G$2:$G$801, 0)+1))&lt;100, IF(INDEX(ERP資料!$G:$G, (MATCH(645, 輔助計算!$G$2:$G$801, 0)+1))&lt;=31,3,IF(INDEX(ERP資料!$G:$G, (MATCH(645, 輔助計算!$G$2:$G$801, 0)+1))&lt;=46.5,2,1)), IF(INDEX(ERP資料!$G:$G, (MATCH(645, 輔助計算!$G$2:$G$801, 0)+1))&lt;=790,3,IF(INDEX(ERP資料!$G:$G, (MATCH(645, 輔助計算!$G$2:$G$801, 0)+1))&lt;=1181,2,1))))=2,TEXT(INDEX(ERP資料!$G:$G, (MATCH(645, 輔助計算!$G$2:$G$801, 0)+1)),"0.##")&amp;"+"&amp;TEXT(INDEX(ERP資料!$G:$G, (MATCH(645, 輔助計算!$G$2:$G$801, 0)+1)),"0.##"),TEXT(INDEX(ERP資料!$G:$G, (MATCH(645, 輔助計算!$G$2:$G$801, 0)+1)),"0.##")&amp;"+"&amp;TEXT(INDEX(ERP資料!$G:$G, (MATCH(645, 輔助計算!$G$2:$G$801, 0)+1)),"0.##")&amp;"+"&amp;TEXT(INDEX(ERP資料!$G:$G, (MATCH(645, 輔助計算!$G$2:$G$801, 0)+1)),"0.##"))))&amp;"-1")&lt;&gt;""),"  ","")&amp;IF(MOD(INDEX(輔助計算!$D:$D, (MATCH(645, 輔助計算!$G$2:$G$801, 0)+1)),IF(INDEX(ERP資料!$G:$G, (MATCH(645, 輔助計算!$G$2:$G$801, 0)+1))&lt;100, IF(INDEX(ERP資料!$G:$G, (MATCH(645, 輔助計算!$G$2:$G$801, 0)+1))&lt;=31,3,IF(INDEX(ERP資料!$G:$G, (MATCH(645, 輔助計算!$G$2:$G$801, 0)+1))&lt;=46.5,2,1)), IF(INDEX(ERP資料!$G:$G, (MATCH(645, 輔助計算!$G$2:$G$801, 0)+1))&lt;=790,3,IF(INDEX(ERP資料!$G:$G, (MATCH(645, 輔助計算!$G$2:$G$801, 0)+1))&lt;=1181,2,1))))=0,"",IF(MOD(INDEX(輔助計算!$D:$D, (MATCH(645, 輔助計算!$G$2:$G$801, 0)+1)),IF(INDEX(ERP資料!$G:$G, (MATCH(645, 輔助計算!$G$2:$G$801, 0)+1))&lt;100, IF(INDEX(ERP資料!$G:$G, (MATCH(645, 輔助計算!$G$2:$G$801, 0)+1))&lt;=31,3,IF(INDEX(ERP資料!$G:$G, (MATCH(645, 輔助計算!$G$2:$G$801, 0)+1))&lt;=46.5,2,1)), IF(INDEX(ERP資料!$G:$G, (MATCH(645, 輔助計算!$G$2:$G$801, 0)+1))&lt;=790,3,IF(INDEX(ERP資料!$G:$G, (MATCH(645, 輔助計算!$G$2:$G$801, 0)+1))&lt;=1181,2,1))))=0,"",IF(MOD(INDEX(輔助計算!$D:$D, (MATCH(645, 輔助計算!$G$2:$G$801, 0)+1)),IF(INDEX(ERP資料!$G:$G, (MATCH(645, 輔助計算!$G$2:$G$801, 0)+1))&lt;100, IF(INDEX(ERP資料!$G:$G, (MATCH(645, 輔助計算!$G$2:$G$801, 0)+1))&lt;=31,3,IF(INDEX(ERP資料!$G:$G, (MATCH(645, 輔助計算!$G$2:$G$801, 0)+1))&lt;=46.5,2,1)), IF(INDEX(ERP資料!$G:$G, (MATCH(645, 輔助計算!$G$2:$G$801, 0)+1))&lt;=790,3,IF(INDEX(ERP資料!$G:$G, (MATCH(645, 輔助計算!$G$2:$G$801, 0)+1))&lt;=1181,2,1))))=1,TEXT(INDEX(ERP資料!$G:$G, (MATCH(645, 輔助計算!$G$2:$G$801, 0)+1)),"0.##"),IF(MOD(INDEX(輔助計算!$D:$D, (MATCH(645, 輔助計算!$G$2:$G$801, 0)+1)),IF(INDEX(ERP資料!$G:$G, (MATCH(645, 輔助計算!$G$2:$G$801, 0)+1))&lt;100, IF(INDEX(ERP資料!$G:$G, (MATCH(645, 輔助計算!$G$2:$G$801, 0)+1))&lt;=31,3,IF(INDEX(ERP資料!$G:$G, (MATCH(645, 輔助計算!$G$2:$G$801, 0)+1))&lt;=46.5,2,1)), IF(INDEX(ERP資料!$G:$G, (MATCH(645, 輔助計算!$G$2:$G$801, 0)+1))&lt;=790,3,IF(INDEX(ERP資料!$G:$G, (MATCH(645, 輔助計算!$G$2:$G$801, 0)+1))&lt;=1181,2,1))))=2,TEXT(INDEX(ERP資料!$G:$G, (MATCH(645, 輔助計算!$G$2:$G$801, 0)+1)),"0.##")&amp;"+"&amp;TEXT(INDEX(ERP資料!$G:$G, (MATCH(645, 輔助計算!$G$2:$G$801, 0)+1)),"0.##"),TEXT(INDEX(ERP資料!$G:$G, (MATCH(645, 輔助計算!$G$2:$G$801, 0)+1)),"0.##")&amp;"+"&amp;TEXT(INDEX(ERP資料!$G:$G, (MATCH(645, 輔助計算!$G$2:$G$801, 0)+1)),"0.##")&amp;"+"&amp;TEXT(INDEX(ERP資料!$G:$G, (MATCH(645, 輔助計算!$G$2:$G$801, 0)+1)),"0.##"))))&amp;"-1")), ""), "")</f>
        <v/>
      </c>
      <c r="K646" s="16" t="n"/>
      <c r="L646" s="14">
        <f>IFERROR(IF(AND(IFERROR(INDEX(ERP資料!$A:$A, (MATCH(645, 輔助計算!$G$2:$G$801, 0)+1)), "")&lt;&gt;"", IFERROR(INDEX(ERP資料!$A:$A, (MATCH(645, 輔助計算!$G$2:$G$801, 0)+1)), "")&lt;&gt;IFERROR(INDEX(ERP資料!$A:$A, MATCH(644, 輔助計算!$G$2:$G$801, 0)+1), "")), INDEX(ERP資料!$B:$B, (MATCH(645, 輔助計算!$G$2:$G$801, 0)+1)), ""), "")</f>
        <v/>
      </c>
      <c r="M646" s="17" t="n"/>
    </row>
    <row r="647">
      <c r="A647" s="10">
        <f>IFERROR(IF(AND(IFERROR(INDEX(ERP資料!$A:$A, (MATCH(646, 輔助計算!$G$2:$G$801, 0)+1)), "")&lt;&gt;"", IFERROR(INDEX(ERP資料!$A:$A, (MATCH(646, 輔助計算!$G$2:$G$801, 0)+1)), "")&lt;&gt;IFERROR(INDEX(ERP資料!$A:$A, MATCH(645, 輔助計算!$G$2:$G$801, 0)+1), "")), IFERROR(INDEX(ERP資料!$A:$A, (MATCH(646, 輔助計算!$G$2:$G$801, 0)+1)), ""), ""), "")</f>
        <v/>
      </c>
      <c r="B647" s="10">
        <f>IFERROR(IF(AND(IFERROR(INDEX(ERP資料!$A:$A, (MATCH(646, 輔助計算!$G$2:$G$801, 0)+1)), "")&lt;&gt;"", IFERROR(INDEX(ERP資料!$A:$A, (MATCH(646, 輔助計算!$G$2:$G$801, 0)+1)), "")&lt;&gt;IFERROR(INDEX(ERP資料!$A:$A, MATCH(645, 輔助計算!$G$2:$G$801, 0)+1), "")), INDEX(ERP資料!$S:$S, (MATCH(646, 輔助計算!$G$2:$G$801, 0)+1)), ""), "")</f>
        <v/>
      </c>
      <c r="C647" s="19">
        <f>IFERROR(IF(AND(IFERROR(INDEX(ERP資料!$A:$A, (MATCH(646, 輔助計算!$G$2:$G$801, 0)+1)), "")&lt;&gt;"", IFERROR(INDEX(ERP資料!$A:$A, (MATCH(646, 輔助計算!$G$2:$G$801, 0)+1)), "")&lt;&gt;IFERROR(INDEX(ERP資料!$A:$A, MATCH(645, 輔助計算!$G$2:$G$801, 0)+1), "")), IFERROR(VLOOKUP(LEFT(INDEX(ERP資料!$S:$S, (MATCH(646, 輔助計算!$G$2:$G$801, 0)+1)), 4), 紙管對照表!$A:$C, 3, FALSE), ""), ""), "")</f>
        <v/>
      </c>
      <c r="D647" s="16" t="n"/>
      <c r="E647" s="10">
        <f>IFERROR(IF(INDEX(ERP資料!$H:$H, (MATCH(646, 輔助計算!$G$2:$G$801, 0)+1))="","",INDEX(ERP資料!$H:$H, (MATCH(646, 輔助計算!$G$2:$G$801, 0)+1))), "")</f>
        <v/>
      </c>
      <c r="F647" s="10">
        <f>IFERROR(IF(INDEX(ERP資料!$E:$E, (MATCH(646, 輔助計算!$G$2:$G$801, 0)+1))="","",TRIM(INDEX(ERP資料!$E:$E, (MATCH(646, 輔助計算!$G$2:$G$801, 0)+1)))), "")</f>
        <v/>
      </c>
      <c r="G647" s="10">
        <f>IFERROR(IF(INDEX(ERP資料!$F:$F, (MATCH(646, 輔助計算!$G$2:$G$801, 0)+1))="","",INDEX(ERP資料!$F:$F, (MATCH(646, 輔助計算!$G$2:$G$801, 0)+1))), "")</f>
        <v/>
      </c>
      <c r="H647" s="10">
        <f>IFERROR(IF(INDEX(ERP資料!$G:$G, (MATCH(646, 輔助計算!$G$2:$G$801, 0)+1))="","",INDEX(ERP資料!$G:$G, (MATCH(646, 輔助計算!$G$2:$G$801, 0)+1))), "")</f>
        <v/>
      </c>
      <c r="I647" s="15">
        <f>IFERROR(INDEX(輔助計算!$D:$D, (MATCH(646, 輔助計算!$G$2:$G$801, 0)+1)), "")</f>
        <v/>
      </c>
      <c r="J647" s="15">
        <f>IFERROR(IF(AND(INDEX(輔助計算!$D:$D, (MATCH(646, 輔助計算!$G$2:$G$801, 0)+1))&lt;&gt;"", INDEX(ERP資料!$G:$G, (MATCH(646, 輔助計算!$G$2:$G$801, 0)+1))&lt;&gt;""), TRIM(IF(INT(INDEX(輔助計算!$D:$D, (MATCH(646, 輔助計算!$G$2:$G$801, 0)+1))/IF(INDEX(ERP資料!$G:$G, (MATCH(646, 輔助計算!$G$2:$G$801, 0)+1))&lt;100, IF(INDEX(ERP資料!$G:$G, (MATCH(646, 輔助計算!$G$2:$G$801, 0)+1))&lt;=31,3,IF(INDEX(ERP資料!$G:$G, (MATCH(646, 輔助計算!$G$2:$G$801, 0)+1))&lt;=46.5,2,1)), IF(INDEX(ERP資料!$G:$G, (MATCH(646, 輔助計算!$G$2:$G$801, 0)+1))&lt;=790,3,IF(INDEX(ERP資料!$G:$G, (MATCH(646, 輔助計算!$G$2:$G$801, 0)+1))&lt;=1181,2,1))))&gt;0, IF(IF(INDEX(ERP資料!$G:$G, (MATCH(646, 輔助計算!$G$2:$G$801, 0)+1))&lt;100, IF(INDEX(ERP資料!$G:$G, (MATCH(646, 輔助計算!$G$2:$G$801, 0)+1))&lt;=31,3,IF(INDEX(ERP資料!$G:$G, (MATCH(646, 輔助計算!$G$2:$G$801, 0)+1))&lt;=46.5,2,1)), IF(INDEX(ERP資料!$G:$G, (MATCH(646, 輔助計算!$G$2:$G$801, 0)+1))&lt;=790,3,IF(INDEX(ERP資料!$G:$G, (MATCH(646, 輔助計算!$G$2:$G$801, 0)+1))&lt;=1181,2,1)))=1,TEXT(INDEX(ERP資料!$G:$G, (MATCH(646, 輔助計算!$G$2:$G$801, 0)+1)),"0.##"),IF(IF(INDEX(ERP資料!$G:$G, (MATCH(646, 輔助計算!$G$2:$G$801, 0)+1))&lt;100, IF(INDEX(ERP資料!$G:$G, (MATCH(646, 輔助計算!$G$2:$G$801, 0)+1))&lt;=31,3,IF(INDEX(ERP資料!$G:$G, (MATCH(646, 輔助計算!$G$2:$G$801, 0)+1))&lt;=46.5,2,1)), IF(INDEX(ERP資料!$G:$G, (MATCH(646, 輔助計算!$G$2:$G$801, 0)+1))&lt;=790,3,IF(INDEX(ERP資料!$G:$G, (MATCH(646, 輔助計算!$G$2:$G$801, 0)+1))&lt;=1181,2,1)))=2,TEXT(INDEX(ERP資料!$G:$G, (MATCH(646, 輔助計算!$G$2:$G$801, 0)+1)),"0.##")&amp;"+"&amp;TEXT(INDEX(ERP資料!$G:$G, (MATCH(646, 輔助計算!$G$2:$G$801, 0)+1)),"0.##"),TEXT(INDEX(ERP資料!$G:$G, (MATCH(646, 輔助計算!$G$2:$G$801, 0)+1)),"0.##")&amp;"+"&amp;TEXT(INDEX(ERP資料!$G:$G, (MATCH(646, 輔助計算!$G$2:$G$801, 0)+1)),"0.##")&amp;"+"&amp;TEXT(INDEX(ERP資料!$G:$G, (MATCH(646, 輔助計算!$G$2:$G$801, 0)+1)),"0.##")))&amp;"-"&amp;INT(INDEX(輔助計算!$D:$D, (MATCH(646, 輔助計算!$G$2:$G$801, 0)+1))/IF(INDEX(ERP資料!$G:$G, (MATCH(646, 輔助計算!$G$2:$G$801, 0)+1))&lt;100, IF(INDEX(ERP資料!$G:$G, (MATCH(646, 輔助計算!$G$2:$G$801, 0)+1))&lt;=31,3,IF(INDEX(ERP資料!$G:$G, (MATCH(646, 輔助計算!$G$2:$G$801, 0)+1))&lt;=46.5,2,1)), IF(INDEX(ERP資料!$G:$G, (MATCH(646, 輔助計算!$G$2:$G$801, 0)+1))&lt;=790,3,IF(INDEX(ERP資料!$G:$G, (MATCH(646, 輔助計算!$G$2:$G$801, 0)+1))&lt;=1181,2,1)))), "")&amp;IF(AND(IF(INT(INDEX(輔助計算!$D:$D, (MATCH(646, 輔助計算!$G$2:$G$801, 0)+1))/IF(INDEX(ERP資料!$G:$G, (MATCH(646, 輔助計算!$G$2:$G$801, 0)+1))&lt;100, IF(INDEX(ERP資料!$G:$G, (MATCH(646, 輔助計算!$G$2:$G$801, 0)+1))&lt;=31,3,IF(INDEX(ERP資料!$G:$G, (MATCH(646, 輔助計算!$G$2:$G$801, 0)+1))&lt;=46.5,2,1)), IF(INDEX(ERP資料!$G:$G, (MATCH(646, 輔助計算!$G$2:$G$801, 0)+1))&lt;=790,3,IF(INDEX(ERP資料!$G:$G, (MATCH(646, 輔助計算!$G$2:$G$801, 0)+1))&lt;=1181,2,1))))&gt;0, IF(IF(INDEX(ERP資料!$G:$G, (MATCH(646, 輔助計算!$G$2:$G$801, 0)+1))&lt;100, IF(INDEX(ERP資料!$G:$G, (MATCH(646, 輔助計算!$G$2:$G$801, 0)+1))&lt;=31,3,IF(INDEX(ERP資料!$G:$G, (MATCH(646, 輔助計算!$G$2:$G$801, 0)+1))&lt;=46.5,2,1)), IF(INDEX(ERP資料!$G:$G, (MATCH(646, 輔助計算!$G$2:$G$801, 0)+1))&lt;=790,3,IF(INDEX(ERP資料!$G:$G, (MATCH(646, 輔助計算!$G$2:$G$801, 0)+1))&lt;=1181,2,1)))=1,TEXT(INDEX(ERP資料!$G:$G, (MATCH(646, 輔助計算!$G$2:$G$801, 0)+1)),"0.##"),IF(IF(INDEX(ERP資料!$G:$G, (MATCH(646, 輔助計算!$G$2:$G$801, 0)+1))&lt;100, IF(INDEX(ERP資料!$G:$G, (MATCH(646, 輔助計算!$G$2:$G$801, 0)+1))&lt;=31,3,IF(INDEX(ERP資料!$G:$G, (MATCH(646, 輔助計算!$G$2:$G$801, 0)+1))&lt;=46.5,2,1)), IF(INDEX(ERP資料!$G:$G, (MATCH(646, 輔助計算!$G$2:$G$801, 0)+1))&lt;=790,3,IF(INDEX(ERP資料!$G:$G, (MATCH(646, 輔助計算!$G$2:$G$801, 0)+1))&lt;=1181,2,1)))=2,TEXT(INDEX(ERP資料!$G:$G, (MATCH(646, 輔助計算!$G$2:$G$801, 0)+1)),"0.##")&amp;"+"&amp;TEXT(INDEX(ERP資料!$G:$G, (MATCH(646, 輔助計算!$G$2:$G$801, 0)+1)),"0.##"),TEXT(INDEX(ERP資料!$G:$G, (MATCH(646, 輔助計算!$G$2:$G$801, 0)+1)),"0.##")&amp;"+"&amp;TEXT(INDEX(ERP資料!$G:$G, (MATCH(646, 輔助計算!$G$2:$G$801, 0)+1)),"0.##")&amp;"+"&amp;TEXT(INDEX(ERP資料!$G:$G, (MATCH(646, 輔助計算!$G$2:$G$801, 0)+1)),"0.##")))&amp;"-"&amp;INT(INDEX(輔助計算!$D:$D, (MATCH(646, 輔助計算!$G$2:$G$801, 0)+1))/IF(INDEX(ERP資料!$G:$G, (MATCH(646, 輔助計算!$G$2:$G$801, 0)+1))&lt;100, IF(INDEX(ERP資料!$G:$G, (MATCH(646, 輔助計算!$G$2:$G$801, 0)+1))&lt;=31,3,IF(INDEX(ERP資料!$G:$G, (MATCH(646, 輔助計算!$G$2:$G$801, 0)+1))&lt;=46.5,2,1)), IF(INDEX(ERP資料!$G:$G, (MATCH(646, 輔助計算!$G$2:$G$801, 0)+1))&lt;=790,3,IF(INDEX(ERP資料!$G:$G, (MATCH(646, 輔助計算!$G$2:$G$801, 0)+1))&lt;=1181,2,1)))), "")&lt;&gt;"",IF(MOD(INDEX(輔助計算!$D:$D, (MATCH(646, 輔助計算!$G$2:$G$801, 0)+1)),IF(INDEX(ERP資料!$G:$G, (MATCH(646, 輔助計算!$G$2:$G$801, 0)+1))&lt;100, IF(INDEX(ERP資料!$G:$G, (MATCH(646, 輔助計算!$G$2:$G$801, 0)+1))&lt;=31,3,IF(INDEX(ERP資料!$G:$G, (MATCH(646, 輔助計算!$G$2:$G$801, 0)+1))&lt;=46.5,2,1)), IF(INDEX(ERP資料!$G:$G, (MATCH(646, 輔助計算!$G$2:$G$801, 0)+1))&lt;=790,3,IF(INDEX(ERP資料!$G:$G, (MATCH(646, 輔助計算!$G$2:$G$801, 0)+1))&lt;=1181,2,1))))=0,"",IF(MOD(INDEX(輔助計算!$D:$D, (MATCH(646, 輔助計算!$G$2:$G$801, 0)+1)),IF(INDEX(ERP資料!$G:$G, (MATCH(646, 輔助計算!$G$2:$G$801, 0)+1))&lt;100, IF(INDEX(ERP資料!$G:$G, (MATCH(646, 輔助計算!$G$2:$G$801, 0)+1))&lt;=31,3,IF(INDEX(ERP資料!$G:$G, (MATCH(646, 輔助計算!$G$2:$G$801, 0)+1))&lt;=46.5,2,1)), IF(INDEX(ERP資料!$G:$G, (MATCH(646, 輔助計算!$G$2:$G$801, 0)+1))&lt;=790,3,IF(INDEX(ERP資料!$G:$G, (MATCH(646, 輔助計算!$G$2:$G$801, 0)+1))&lt;=1181,2,1))))=0,"",IF(MOD(INDEX(輔助計算!$D:$D, (MATCH(646, 輔助計算!$G$2:$G$801, 0)+1)),IF(INDEX(ERP資料!$G:$G, (MATCH(646, 輔助計算!$G$2:$G$801, 0)+1))&lt;100, IF(INDEX(ERP資料!$G:$G, (MATCH(646, 輔助計算!$G$2:$G$801, 0)+1))&lt;=31,3,IF(INDEX(ERP資料!$G:$G, (MATCH(646, 輔助計算!$G$2:$G$801, 0)+1))&lt;=46.5,2,1)), IF(INDEX(ERP資料!$G:$G, (MATCH(646, 輔助計算!$G$2:$G$801, 0)+1))&lt;=790,3,IF(INDEX(ERP資料!$G:$G, (MATCH(646, 輔助計算!$G$2:$G$801, 0)+1))&lt;=1181,2,1))))=1,TEXT(INDEX(ERP資料!$G:$G, (MATCH(646, 輔助計算!$G$2:$G$801, 0)+1)),"0.##"),IF(MOD(INDEX(輔助計算!$D:$D, (MATCH(646, 輔助計算!$G$2:$G$801, 0)+1)),IF(INDEX(ERP資料!$G:$G, (MATCH(646, 輔助計算!$G$2:$G$801, 0)+1))&lt;100, IF(INDEX(ERP資料!$G:$G, (MATCH(646, 輔助計算!$G$2:$G$801, 0)+1))&lt;=31,3,IF(INDEX(ERP資料!$G:$G, (MATCH(646, 輔助計算!$G$2:$G$801, 0)+1))&lt;=46.5,2,1)), IF(INDEX(ERP資料!$G:$G, (MATCH(646, 輔助計算!$G$2:$G$801, 0)+1))&lt;=790,3,IF(INDEX(ERP資料!$G:$G, (MATCH(646, 輔助計算!$G$2:$G$801, 0)+1))&lt;=1181,2,1))))=2,TEXT(INDEX(ERP資料!$G:$G, (MATCH(646, 輔助計算!$G$2:$G$801, 0)+1)),"0.##")&amp;"+"&amp;TEXT(INDEX(ERP資料!$G:$G, (MATCH(646, 輔助計算!$G$2:$G$801, 0)+1)),"0.##"),TEXT(INDEX(ERP資料!$G:$G, (MATCH(646, 輔助計算!$G$2:$G$801, 0)+1)),"0.##")&amp;"+"&amp;TEXT(INDEX(ERP資料!$G:$G, (MATCH(646, 輔助計算!$G$2:$G$801, 0)+1)),"0.##")&amp;"+"&amp;TEXT(INDEX(ERP資料!$G:$G, (MATCH(646, 輔助計算!$G$2:$G$801, 0)+1)),"0.##"))))&amp;"-1")&lt;&gt;""),"  ","")&amp;IF(MOD(INDEX(輔助計算!$D:$D, (MATCH(646, 輔助計算!$G$2:$G$801, 0)+1)),IF(INDEX(ERP資料!$G:$G, (MATCH(646, 輔助計算!$G$2:$G$801, 0)+1))&lt;100, IF(INDEX(ERP資料!$G:$G, (MATCH(646, 輔助計算!$G$2:$G$801, 0)+1))&lt;=31,3,IF(INDEX(ERP資料!$G:$G, (MATCH(646, 輔助計算!$G$2:$G$801, 0)+1))&lt;=46.5,2,1)), IF(INDEX(ERP資料!$G:$G, (MATCH(646, 輔助計算!$G$2:$G$801, 0)+1))&lt;=790,3,IF(INDEX(ERP資料!$G:$G, (MATCH(646, 輔助計算!$G$2:$G$801, 0)+1))&lt;=1181,2,1))))=0,"",IF(MOD(INDEX(輔助計算!$D:$D, (MATCH(646, 輔助計算!$G$2:$G$801, 0)+1)),IF(INDEX(ERP資料!$G:$G, (MATCH(646, 輔助計算!$G$2:$G$801, 0)+1))&lt;100, IF(INDEX(ERP資料!$G:$G, (MATCH(646, 輔助計算!$G$2:$G$801, 0)+1))&lt;=31,3,IF(INDEX(ERP資料!$G:$G, (MATCH(646, 輔助計算!$G$2:$G$801, 0)+1))&lt;=46.5,2,1)), IF(INDEX(ERP資料!$G:$G, (MATCH(646, 輔助計算!$G$2:$G$801, 0)+1))&lt;=790,3,IF(INDEX(ERP資料!$G:$G, (MATCH(646, 輔助計算!$G$2:$G$801, 0)+1))&lt;=1181,2,1))))=0,"",IF(MOD(INDEX(輔助計算!$D:$D, (MATCH(646, 輔助計算!$G$2:$G$801, 0)+1)),IF(INDEX(ERP資料!$G:$G, (MATCH(646, 輔助計算!$G$2:$G$801, 0)+1))&lt;100, IF(INDEX(ERP資料!$G:$G, (MATCH(646, 輔助計算!$G$2:$G$801, 0)+1))&lt;=31,3,IF(INDEX(ERP資料!$G:$G, (MATCH(646, 輔助計算!$G$2:$G$801, 0)+1))&lt;=46.5,2,1)), IF(INDEX(ERP資料!$G:$G, (MATCH(646, 輔助計算!$G$2:$G$801, 0)+1))&lt;=790,3,IF(INDEX(ERP資料!$G:$G, (MATCH(646, 輔助計算!$G$2:$G$801, 0)+1))&lt;=1181,2,1))))=1,TEXT(INDEX(ERP資料!$G:$G, (MATCH(646, 輔助計算!$G$2:$G$801, 0)+1)),"0.##"),IF(MOD(INDEX(輔助計算!$D:$D, (MATCH(646, 輔助計算!$G$2:$G$801, 0)+1)),IF(INDEX(ERP資料!$G:$G, (MATCH(646, 輔助計算!$G$2:$G$801, 0)+1))&lt;100, IF(INDEX(ERP資料!$G:$G, (MATCH(646, 輔助計算!$G$2:$G$801, 0)+1))&lt;=31,3,IF(INDEX(ERP資料!$G:$G, (MATCH(646, 輔助計算!$G$2:$G$801, 0)+1))&lt;=46.5,2,1)), IF(INDEX(ERP資料!$G:$G, (MATCH(646, 輔助計算!$G$2:$G$801, 0)+1))&lt;=790,3,IF(INDEX(ERP資料!$G:$G, (MATCH(646, 輔助計算!$G$2:$G$801, 0)+1))&lt;=1181,2,1))))=2,TEXT(INDEX(ERP資料!$G:$G, (MATCH(646, 輔助計算!$G$2:$G$801, 0)+1)),"0.##")&amp;"+"&amp;TEXT(INDEX(ERP資料!$G:$G, (MATCH(646, 輔助計算!$G$2:$G$801, 0)+1)),"0.##"),TEXT(INDEX(ERP資料!$G:$G, (MATCH(646, 輔助計算!$G$2:$G$801, 0)+1)),"0.##")&amp;"+"&amp;TEXT(INDEX(ERP資料!$G:$G, (MATCH(646, 輔助計算!$G$2:$G$801, 0)+1)),"0.##")&amp;"+"&amp;TEXT(INDEX(ERP資料!$G:$G, (MATCH(646, 輔助計算!$G$2:$G$801, 0)+1)),"0.##"))))&amp;"-1")), ""), "")</f>
        <v/>
      </c>
      <c r="K647" s="16" t="n"/>
      <c r="L647" s="14">
        <f>IFERROR(IF(AND(IFERROR(INDEX(ERP資料!$A:$A, (MATCH(646, 輔助計算!$G$2:$G$801, 0)+1)), "")&lt;&gt;"", IFERROR(INDEX(ERP資料!$A:$A, (MATCH(646, 輔助計算!$G$2:$G$801, 0)+1)), "")&lt;&gt;IFERROR(INDEX(ERP資料!$A:$A, MATCH(645, 輔助計算!$G$2:$G$801, 0)+1), "")), INDEX(ERP資料!$B:$B, (MATCH(646, 輔助計算!$G$2:$G$801, 0)+1)), ""), "")</f>
        <v/>
      </c>
      <c r="M647" s="17" t="n"/>
    </row>
    <row r="648">
      <c r="A648" s="10">
        <f>IFERROR(IF(AND(IFERROR(INDEX(ERP資料!$A:$A, (MATCH(647, 輔助計算!$G$2:$G$801, 0)+1)), "")&lt;&gt;"", IFERROR(INDEX(ERP資料!$A:$A, (MATCH(647, 輔助計算!$G$2:$G$801, 0)+1)), "")&lt;&gt;IFERROR(INDEX(ERP資料!$A:$A, MATCH(646, 輔助計算!$G$2:$G$801, 0)+1), "")), IFERROR(INDEX(ERP資料!$A:$A, (MATCH(647, 輔助計算!$G$2:$G$801, 0)+1)), ""), ""), "")</f>
        <v/>
      </c>
      <c r="B648" s="10">
        <f>IFERROR(IF(AND(IFERROR(INDEX(ERP資料!$A:$A, (MATCH(647, 輔助計算!$G$2:$G$801, 0)+1)), "")&lt;&gt;"", IFERROR(INDEX(ERP資料!$A:$A, (MATCH(647, 輔助計算!$G$2:$G$801, 0)+1)), "")&lt;&gt;IFERROR(INDEX(ERP資料!$A:$A, MATCH(646, 輔助計算!$G$2:$G$801, 0)+1), "")), INDEX(ERP資料!$S:$S, (MATCH(647, 輔助計算!$G$2:$G$801, 0)+1)), ""), "")</f>
        <v/>
      </c>
      <c r="C648" s="19">
        <f>IFERROR(IF(AND(IFERROR(INDEX(ERP資料!$A:$A, (MATCH(647, 輔助計算!$G$2:$G$801, 0)+1)), "")&lt;&gt;"", IFERROR(INDEX(ERP資料!$A:$A, (MATCH(647, 輔助計算!$G$2:$G$801, 0)+1)), "")&lt;&gt;IFERROR(INDEX(ERP資料!$A:$A, MATCH(646, 輔助計算!$G$2:$G$801, 0)+1), "")), IFERROR(VLOOKUP(LEFT(INDEX(ERP資料!$S:$S, (MATCH(647, 輔助計算!$G$2:$G$801, 0)+1)), 4), 紙管對照表!$A:$C, 3, FALSE), ""), ""), "")</f>
        <v/>
      </c>
      <c r="D648" s="16" t="n"/>
      <c r="E648" s="10">
        <f>IFERROR(IF(INDEX(ERP資料!$H:$H, (MATCH(647, 輔助計算!$G$2:$G$801, 0)+1))="","",INDEX(ERP資料!$H:$H, (MATCH(647, 輔助計算!$G$2:$G$801, 0)+1))), "")</f>
        <v/>
      </c>
      <c r="F648" s="10">
        <f>IFERROR(IF(INDEX(ERP資料!$E:$E, (MATCH(647, 輔助計算!$G$2:$G$801, 0)+1))="","",TRIM(INDEX(ERP資料!$E:$E, (MATCH(647, 輔助計算!$G$2:$G$801, 0)+1)))), "")</f>
        <v/>
      </c>
      <c r="G648" s="10">
        <f>IFERROR(IF(INDEX(ERP資料!$F:$F, (MATCH(647, 輔助計算!$G$2:$G$801, 0)+1))="","",INDEX(ERP資料!$F:$F, (MATCH(647, 輔助計算!$G$2:$G$801, 0)+1))), "")</f>
        <v/>
      </c>
      <c r="H648" s="10">
        <f>IFERROR(IF(INDEX(ERP資料!$G:$G, (MATCH(647, 輔助計算!$G$2:$G$801, 0)+1))="","",INDEX(ERP資料!$G:$G, (MATCH(647, 輔助計算!$G$2:$G$801, 0)+1))), "")</f>
        <v/>
      </c>
      <c r="I648" s="15">
        <f>IFERROR(INDEX(輔助計算!$D:$D, (MATCH(647, 輔助計算!$G$2:$G$801, 0)+1)), "")</f>
        <v/>
      </c>
      <c r="J648" s="15">
        <f>IFERROR(IF(AND(INDEX(輔助計算!$D:$D, (MATCH(647, 輔助計算!$G$2:$G$801, 0)+1))&lt;&gt;"", INDEX(ERP資料!$G:$G, (MATCH(647, 輔助計算!$G$2:$G$801, 0)+1))&lt;&gt;""), TRIM(IF(INT(INDEX(輔助計算!$D:$D, (MATCH(647, 輔助計算!$G$2:$G$801, 0)+1))/IF(INDEX(ERP資料!$G:$G, (MATCH(647, 輔助計算!$G$2:$G$801, 0)+1))&lt;100, IF(INDEX(ERP資料!$G:$G, (MATCH(647, 輔助計算!$G$2:$G$801, 0)+1))&lt;=31,3,IF(INDEX(ERP資料!$G:$G, (MATCH(647, 輔助計算!$G$2:$G$801, 0)+1))&lt;=46.5,2,1)), IF(INDEX(ERP資料!$G:$G, (MATCH(647, 輔助計算!$G$2:$G$801, 0)+1))&lt;=790,3,IF(INDEX(ERP資料!$G:$G, (MATCH(647, 輔助計算!$G$2:$G$801, 0)+1))&lt;=1181,2,1))))&gt;0, IF(IF(INDEX(ERP資料!$G:$G, (MATCH(647, 輔助計算!$G$2:$G$801, 0)+1))&lt;100, IF(INDEX(ERP資料!$G:$G, (MATCH(647, 輔助計算!$G$2:$G$801, 0)+1))&lt;=31,3,IF(INDEX(ERP資料!$G:$G, (MATCH(647, 輔助計算!$G$2:$G$801, 0)+1))&lt;=46.5,2,1)), IF(INDEX(ERP資料!$G:$G, (MATCH(647, 輔助計算!$G$2:$G$801, 0)+1))&lt;=790,3,IF(INDEX(ERP資料!$G:$G, (MATCH(647, 輔助計算!$G$2:$G$801, 0)+1))&lt;=1181,2,1)))=1,TEXT(INDEX(ERP資料!$G:$G, (MATCH(647, 輔助計算!$G$2:$G$801, 0)+1)),"0.##"),IF(IF(INDEX(ERP資料!$G:$G, (MATCH(647, 輔助計算!$G$2:$G$801, 0)+1))&lt;100, IF(INDEX(ERP資料!$G:$G, (MATCH(647, 輔助計算!$G$2:$G$801, 0)+1))&lt;=31,3,IF(INDEX(ERP資料!$G:$G, (MATCH(647, 輔助計算!$G$2:$G$801, 0)+1))&lt;=46.5,2,1)), IF(INDEX(ERP資料!$G:$G, (MATCH(647, 輔助計算!$G$2:$G$801, 0)+1))&lt;=790,3,IF(INDEX(ERP資料!$G:$G, (MATCH(647, 輔助計算!$G$2:$G$801, 0)+1))&lt;=1181,2,1)))=2,TEXT(INDEX(ERP資料!$G:$G, (MATCH(647, 輔助計算!$G$2:$G$801, 0)+1)),"0.##")&amp;"+"&amp;TEXT(INDEX(ERP資料!$G:$G, (MATCH(647, 輔助計算!$G$2:$G$801, 0)+1)),"0.##"),TEXT(INDEX(ERP資料!$G:$G, (MATCH(647, 輔助計算!$G$2:$G$801, 0)+1)),"0.##")&amp;"+"&amp;TEXT(INDEX(ERP資料!$G:$G, (MATCH(647, 輔助計算!$G$2:$G$801, 0)+1)),"0.##")&amp;"+"&amp;TEXT(INDEX(ERP資料!$G:$G, (MATCH(647, 輔助計算!$G$2:$G$801, 0)+1)),"0.##")))&amp;"-"&amp;INT(INDEX(輔助計算!$D:$D, (MATCH(647, 輔助計算!$G$2:$G$801, 0)+1))/IF(INDEX(ERP資料!$G:$G, (MATCH(647, 輔助計算!$G$2:$G$801, 0)+1))&lt;100, IF(INDEX(ERP資料!$G:$G, (MATCH(647, 輔助計算!$G$2:$G$801, 0)+1))&lt;=31,3,IF(INDEX(ERP資料!$G:$G, (MATCH(647, 輔助計算!$G$2:$G$801, 0)+1))&lt;=46.5,2,1)), IF(INDEX(ERP資料!$G:$G, (MATCH(647, 輔助計算!$G$2:$G$801, 0)+1))&lt;=790,3,IF(INDEX(ERP資料!$G:$G, (MATCH(647, 輔助計算!$G$2:$G$801, 0)+1))&lt;=1181,2,1)))), "")&amp;IF(AND(IF(INT(INDEX(輔助計算!$D:$D, (MATCH(647, 輔助計算!$G$2:$G$801, 0)+1))/IF(INDEX(ERP資料!$G:$G, (MATCH(647, 輔助計算!$G$2:$G$801, 0)+1))&lt;100, IF(INDEX(ERP資料!$G:$G, (MATCH(647, 輔助計算!$G$2:$G$801, 0)+1))&lt;=31,3,IF(INDEX(ERP資料!$G:$G, (MATCH(647, 輔助計算!$G$2:$G$801, 0)+1))&lt;=46.5,2,1)), IF(INDEX(ERP資料!$G:$G, (MATCH(647, 輔助計算!$G$2:$G$801, 0)+1))&lt;=790,3,IF(INDEX(ERP資料!$G:$G, (MATCH(647, 輔助計算!$G$2:$G$801, 0)+1))&lt;=1181,2,1))))&gt;0, IF(IF(INDEX(ERP資料!$G:$G, (MATCH(647, 輔助計算!$G$2:$G$801, 0)+1))&lt;100, IF(INDEX(ERP資料!$G:$G, (MATCH(647, 輔助計算!$G$2:$G$801, 0)+1))&lt;=31,3,IF(INDEX(ERP資料!$G:$G, (MATCH(647, 輔助計算!$G$2:$G$801, 0)+1))&lt;=46.5,2,1)), IF(INDEX(ERP資料!$G:$G, (MATCH(647, 輔助計算!$G$2:$G$801, 0)+1))&lt;=790,3,IF(INDEX(ERP資料!$G:$G, (MATCH(647, 輔助計算!$G$2:$G$801, 0)+1))&lt;=1181,2,1)))=1,TEXT(INDEX(ERP資料!$G:$G, (MATCH(647, 輔助計算!$G$2:$G$801, 0)+1)),"0.##"),IF(IF(INDEX(ERP資料!$G:$G, (MATCH(647, 輔助計算!$G$2:$G$801, 0)+1))&lt;100, IF(INDEX(ERP資料!$G:$G, (MATCH(647, 輔助計算!$G$2:$G$801, 0)+1))&lt;=31,3,IF(INDEX(ERP資料!$G:$G, (MATCH(647, 輔助計算!$G$2:$G$801, 0)+1))&lt;=46.5,2,1)), IF(INDEX(ERP資料!$G:$G, (MATCH(647, 輔助計算!$G$2:$G$801, 0)+1))&lt;=790,3,IF(INDEX(ERP資料!$G:$G, (MATCH(647, 輔助計算!$G$2:$G$801, 0)+1))&lt;=1181,2,1)))=2,TEXT(INDEX(ERP資料!$G:$G, (MATCH(647, 輔助計算!$G$2:$G$801, 0)+1)),"0.##")&amp;"+"&amp;TEXT(INDEX(ERP資料!$G:$G, (MATCH(647, 輔助計算!$G$2:$G$801, 0)+1)),"0.##"),TEXT(INDEX(ERP資料!$G:$G, (MATCH(647, 輔助計算!$G$2:$G$801, 0)+1)),"0.##")&amp;"+"&amp;TEXT(INDEX(ERP資料!$G:$G, (MATCH(647, 輔助計算!$G$2:$G$801, 0)+1)),"0.##")&amp;"+"&amp;TEXT(INDEX(ERP資料!$G:$G, (MATCH(647, 輔助計算!$G$2:$G$801, 0)+1)),"0.##")))&amp;"-"&amp;INT(INDEX(輔助計算!$D:$D, (MATCH(647, 輔助計算!$G$2:$G$801, 0)+1))/IF(INDEX(ERP資料!$G:$G, (MATCH(647, 輔助計算!$G$2:$G$801, 0)+1))&lt;100, IF(INDEX(ERP資料!$G:$G, (MATCH(647, 輔助計算!$G$2:$G$801, 0)+1))&lt;=31,3,IF(INDEX(ERP資料!$G:$G, (MATCH(647, 輔助計算!$G$2:$G$801, 0)+1))&lt;=46.5,2,1)), IF(INDEX(ERP資料!$G:$G, (MATCH(647, 輔助計算!$G$2:$G$801, 0)+1))&lt;=790,3,IF(INDEX(ERP資料!$G:$G, (MATCH(647, 輔助計算!$G$2:$G$801, 0)+1))&lt;=1181,2,1)))), "")&lt;&gt;"",IF(MOD(INDEX(輔助計算!$D:$D, (MATCH(647, 輔助計算!$G$2:$G$801, 0)+1)),IF(INDEX(ERP資料!$G:$G, (MATCH(647, 輔助計算!$G$2:$G$801, 0)+1))&lt;100, IF(INDEX(ERP資料!$G:$G, (MATCH(647, 輔助計算!$G$2:$G$801, 0)+1))&lt;=31,3,IF(INDEX(ERP資料!$G:$G, (MATCH(647, 輔助計算!$G$2:$G$801, 0)+1))&lt;=46.5,2,1)), IF(INDEX(ERP資料!$G:$G, (MATCH(647, 輔助計算!$G$2:$G$801, 0)+1))&lt;=790,3,IF(INDEX(ERP資料!$G:$G, (MATCH(647, 輔助計算!$G$2:$G$801, 0)+1))&lt;=1181,2,1))))=0,"",IF(MOD(INDEX(輔助計算!$D:$D, (MATCH(647, 輔助計算!$G$2:$G$801, 0)+1)),IF(INDEX(ERP資料!$G:$G, (MATCH(647, 輔助計算!$G$2:$G$801, 0)+1))&lt;100, IF(INDEX(ERP資料!$G:$G, (MATCH(647, 輔助計算!$G$2:$G$801, 0)+1))&lt;=31,3,IF(INDEX(ERP資料!$G:$G, (MATCH(647, 輔助計算!$G$2:$G$801, 0)+1))&lt;=46.5,2,1)), IF(INDEX(ERP資料!$G:$G, (MATCH(647, 輔助計算!$G$2:$G$801, 0)+1))&lt;=790,3,IF(INDEX(ERP資料!$G:$G, (MATCH(647, 輔助計算!$G$2:$G$801, 0)+1))&lt;=1181,2,1))))=0,"",IF(MOD(INDEX(輔助計算!$D:$D, (MATCH(647, 輔助計算!$G$2:$G$801, 0)+1)),IF(INDEX(ERP資料!$G:$G, (MATCH(647, 輔助計算!$G$2:$G$801, 0)+1))&lt;100, IF(INDEX(ERP資料!$G:$G, (MATCH(647, 輔助計算!$G$2:$G$801, 0)+1))&lt;=31,3,IF(INDEX(ERP資料!$G:$G, (MATCH(647, 輔助計算!$G$2:$G$801, 0)+1))&lt;=46.5,2,1)), IF(INDEX(ERP資料!$G:$G, (MATCH(647, 輔助計算!$G$2:$G$801, 0)+1))&lt;=790,3,IF(INDEX(ERP資料!$G:$G, (MATCH(647, 輔助計算!$G$2:$G$801, 0)+1))&lt;=1181,2,1))))=1,TEXT(INDEX(ERP資料!$G:$G, (MATCH(647, 輔助計算!$G$2:$G$801, 0)+1)),"0.##"),IF(MOD(INDEX(輔助計算!$D:$D, (MATCH(647, 輔助計算!$G$2:$G$801, 0)+1)),IF(INDEX(ERP資料!$G:$G, (MATCH(647, 輔助計算!$G$2:$G$801, 0)+1))&lt;100, IF(INDEX(ERP資料!$G:$G, (MATCH(647, 輔助計算!$G$2:$G$801, 0)+1))&lt;=31,3,IF(INDEX(ERP資料!$G:$G, (MATCH(647, 輔助計算!$G$2:$G$801, 0)+1))&lt;=46.5,2,1)), IF(INDEX(ERP資料!$G:$G, (MATCH(647, 輔助計算!$G$2:$G$801, 0)+1))&lt;=790,3,IF(INDEX(ERP資料!$G:$G, (MATCH(647, 輔助計算!$G$2:$G$801, 0)+1))&lt;=1181,2,1))))=2,TEXT(INDEX(ERP資料!$G:$G, (MATCH(647, 輔助計算!$G$2:$G$801, 0)+1)),"0.##")&amp;"+"&amp;TEXT(INDEX(ERP資料!$G:$G, (MATCH(647, 輔助計算!$G$2:$G$801, 0)+1)),"0.##"),TEXT(INDEX(ERP資料!$G:$G, (MATCH(647, 輔助計算!$G$2:$G$801, 0)+1)),"0.##")&amp;"+"&amp;TEXT(INDEX(ERP資料!$G:$G, (MATCH(647, 輔助計算!$G$2:$G$801, 0)+1)),"0.##")&amp;"+"&amp;TEXT(INDEX(ERP資料!$G:$G, (MATCH(647, 輔助計算!$G$2:$G$801, 0)+1)),"0.##"))))&amp;"-1")&lt;&gt;""),"  ","")&amp;IF(MOD(INDEX(輔助計算!$D:$D, (MATCH(647, 輔助計算!$G$2:$G$801, 0)+1)),IF(INDEX(ERP資料!$G:$G, (MATCH(647, 輔助計算!$G$2:$G$801, 0)+1))&lt;100, IF(INDEX(ERP資料!$G:$G, (MATCH(647, 輔助計算!$G$2:$G$801, 0)+1))&lt;=31,3,IF(INDEX(ERP資料!$G:$G, (MATCH(647, 輔助計算!$G$2:$G$801, 0)+1))&lt;=46.5,2,1)), IF(INDEX(ERP資料!$G:$G, (MATCH(647, 輔助計算!$G$2:$G$801, 0)+1))&lt;=790,3,IF(INDEX(ERP資料!$G:$G, (MATCH(647, 輔助計算!$G$2:$G$801, 0)+1))&lt;=1181,2,1))))=0,"",IF(MOD(INDEX(輔助計算!$D:$D, (MATCH(647, 輔助計算!$G$2:$G$801, 0)+1)),IF(INDEX(ERP資料!$G:$G, (MATCH(647, 輔助計算!$G$2:$G$801, 0)+1))&lt;100, IF(INDEX(ERP資料!$G:$G, (MATCH(647, 輔助計算!$G$2:$G$801, 0)+1))&lt;=31,3,IF(INDEX(ERP資料!$G:$G, (MATCH(647, 輔助計算!$G$2:$G$801, 0)+1))&lt;=46.5,2,1)), IF(INDEX(ERP資料!$G:$G, (MATCH(647, 輔助計算!$G$2:$G$801, 0)+1))&lt;=790,3,IF(INDEX(ERP資料!$G:$G, (MATCH(647, 輔助計算!$G$2:$G$801, 0)+1))&lt;=1181,2,1))))=0,"",IF(MOD(INDEX(輔助計算!$D:$D, (MATCH(647, 輔助計算!$G$2:$G$801, 0)+1)),IF(INDEX(ERP資料!$G:$G, (MATCH(647, 輔助計算!$G$2:$G$801, 0)+1))&lt;100, IF(INDEX(ERP資料!$G:$G, (MATCH(647, 輔助計算!$G$2:$G$801, 0)+1))&lt;=31,3,IF(INDEX(ERP資料!$G:$G, (MATCH(647, 輔助計算!$G$2:$G$801, 0)+1))&lt;=46.5,2,1)), IF(INDEX(ERP資料!$G:$G, (MATCH(647, 輔助計算!$G$2:$G$801, 0)+1))&lt;=790,3,IF(INDEX(ERP資料!$G:$G, (MATCH(647, 輔助計算!$G$2:$G$801, 0)+1))&lt;=1181,2,1))))=1,TEXT(INDEX(ERP資料!$G:$G, (MATCH(647, 輔助計算!$G$2:$G$801, 0)+1)),"0.##"),IF(MOD(INDEX(輔助計算!$D:$D, (MATCH(647, 輔助計算!$G$2:$G$801, 0)+1)),IF(INDEX(ERP資料!$G:$G, (MATCH(647, 輔助計算!$G$2:$G$801, 0)+1))&lt;100, IF(INDEX(ERP資料!$G:$G, (MATCH(647, 輔助計算!$G$2:$G$801, 0)+1))&lt;=31,3,IF(INDEX(ERP資料!$G:$G, (MATCH(647, 輔助計算!$G$2:$G$801, 0)+1))&lt;=46.5,2,1)), IF(INDEX(ERP資料!$G:$G, (MATCH(647, 輔助計算!$G$2:$G$801, 0)+1))&lt;=790,3,IF(INDEX(ERP資料!$G:$G, (MATCH(647, 輔助計算!$G$2:$G$801, 0)+1))&lt;=1181,2,1))))=2,TEXT(INDEX(ERP資料!$G:$G, (MATCH(647, 輔助計算!$G$2:$G$801, 0)+1)),"0.##")&amp;"+"&amp;TEXT(INDEX(ERP資料!$G:$G, (MATCH(647, 輔助計算!$G$2:$G$801, 0)+1)),"0.##"),TEXT(INDEX(ERP資料!$G:$G, (MATCH(647, 輔助計算!$G$2:$G$801, 0)+1)),"0.##")&amp;"+"&amp;TEXT(INDEX(ERP資料!$G:$G, (MATCH(647, 輔助計算!$G$2:$G$801, 0)+1)),"0.##")&amp;"+"&amp;TEXT(INDEX(ERP資料!$G:$G, (MATCH(647, 輔助計算!$G$2:$G$801, 0)+1)),"0.##"))))&amp;"-1")), ""), "")</f>
        <v/>
      </c>
      <c r="K648" s="16" t="n"/>
      <c r="L648" s="14">
        <f>IFERROR(IF(AND(IFERROR(INDEX(ERP資料!$A:$A, (MATCH(647, 輔助計算!$G$2:$G$801, 0)+1)), "")&lt;&gt;"", IFERROR(INDEX(ERP資料!$A:$A, (MATCH(647, 輔助計算!$G$2:$G$801, 0)+1)), "")&lt;&gt;IFERROR(INDEX(ERP資料!$A:$A, MATCH(646, 輔助計算!$G$2:$G$801, 0)+1), "")), INDEX(ERP資料!$B:$B, (MATCH(647, 輔助計算!$G$2:$G$801, 0)+1)), ""), "")</f>
        <v/>
      </c>
      <c r="M648" s="17" t="n"/>
    </row>
    <row r="649">
      <c r="A649" s="10">
        <f>IFERROR(IF(AND(IFERROR(INDEX(ERP資料!$A:$A, (MATCH(648, 輔助計算!$G$2:$G$801, 0)+1)), "")&lt;&gt;"", IFERROR(INDEX(ERP資料!$A:$A, (MATCH(648, 輔助計算!$G$2:$G$801, 0)+1)), "")&lt;&gt;IFERROR(INDEX(ERP資料!$A:$A, MATCH(647, 輔助計算!$G$2:$G$801, 0)+1), "")), IFERROR(INDEX(ERP資料!$A:$A, (MATCH(648, 輔助計算!$G$2:$G$801, 0)+1)), ""), ""), "")</f>
        <v/>
      </c>
      <c r="B649" s="10">
        <f>IFERROR(IF(AND(IFERROR(INDEX(ERP資料!$A:$A, (MATCH(648, 輔助計算!$G$2:$G$801, 0)+1)), "")&lt;&gt;"", IFERROR(INDEX(ERP資料!$A:$A, (MATCH(648, 輔助計算!$G$2:$G$801, 0)+1)), "")&lt;&gt;IFERROR(INDEX(ERP資料!$A:$A, MATCH(647, 輔助計算!$G$2:$G$801, 0)+1), "")), INDEX(ERP資料!$S:$S, (MATCH(648, 輔助計算!$G$2:$G$801, 0)+1)), ""), "")</f>
        <v/>
      </c>
      <c r="C649" s="19">
        <f>IFERROR(IF(AND(IFERROR(INDEX(ERP資料!$A:$A, (MATCH(648, 輔助計算!$G$2:$G$801, 0)+1)), "")&lt;&gt;"", IFERROR(INDEX(ERP資料!$A:$A, (MATCH(648, 輔助計算!$G$2:$G$801, 0)+1)), "")&lt;&gt;IFERROR(INDEX(ERP資料!$A:$A, MATCH(647, 輔助計算!$G$2:$G$801, 0)+1), "")), IFERROR(VLOOKUP(LEFT(INDEX(ERP資料!$S:$S, (MATCH(648, 輔助計算!$G$2:$G$801, 0)+1)), 4), 紙管對照表!$A:$C, 3, FALSE), ""), ""), "")</f>
        <v/>
      </c>
      <c r="D649" s="16" t="n"/>
      <c r="E649" s="10">
        <f>IFERROR(IF(INDEX(ERP資料!$H:$H, (MATCH(648, 輔助計算!$G$2:$G$801, 0)+1))="","",INDEX(ERP資料!$H:$H, (MATCH(648, 輔助計算!$G$2:$G$801, 0)+1))), "")</f>
        <v/>
      </c>
      <c r="F649" s="10">
        <f>IFERROR(IF(INDEX(ERP資料!$E:$E, (MATCH(648, 輔助計算!$G$2:$G$801, 0)+1))="","",TRIM(INDEX(ERP資料!$E:$E, (MATCH(648, 輔助計算!$G$2:$G$801, 0)+1)))), "")</f>
        <v/>
      </c>
      <c r="G649" s="10">
        <f>IFERROR(IF(INDEX(ERP資料!$F:$F, (MATCH(648, 輔助計算!$G$2:$G$801, 0)+1))="","",INDEX(ERP資料!$F:$F, (MATCH(648, 輔助計算!$G$2:$G$801, 0)+1))), "")</f>
        <v/>
      </c>
      <c r="H649" s="10">
        <f>IFERROR(IF(INDEX(ERP資料!$G:$G, (MATCH(648, 輔助計算!$G$2:$G$801, 0)+1))="","",INDEX(ERP資料!$G:$G, (MATCH(648, 輔助計算!$G$2:$G$801, 0)+1))), "")</f>
        <v/>
      </c>
      <c r="I649" s="15">
        <f>IFERROR(INDEX(輔助計算!$D:$D, (MATCH(648, 輔助計算!$G$2:$G$801, 0)+1)), "")</f>
        <v/>
      </c>
      <c r="J649" s="15">
        <f>IFERROR(IF(AND(INDEX(輔助計算!$D:$D, (MATCH(648, 輔助計算!$G$2:$G$801, 0)+1))&lt;&gt;"", INDEX(ERP資料!$G:$G, (MATCH(648, 輔助計算!$G$2:$G$801, 0)+1))&lt;&gt;""), TRIM(IF(INT(INDEX(輔助計算!$D:$D, (MATCH(648, 輔助計算!$G$2:$G$801, 0)+1))/IF(INDEX(ERP資料!$G:$G, (MATCH(648, 輔助計算!$G$2:$G$801, 0)+1))&lt;100, IF(INDEX(ERP資料!$G:$G, (MATCH(648, 輔助計算!$G$2:$G$801, 0)+1))&lt;=31,3,IF(INDEX(ERP資料!$G:$G, (MATCH(648, 輔助計算!$G$2:$G$801, 0)+1))&lt;=46.5,2,1)), IF(INDEX(ERP資料!$G:$G, (MATCH(648, 輔助計算!$G$2:$G$801, 0)+1))&lt;=790,3,IF(INDEX(ERP資料!$G:$G, (MATCH(648, 輔助計算!$G$2:$G$801, 0)+1))&lt;=1181,2,1))))&gt;0, IF(IF(INDEX(ERP資料!$G:$G, (MATCH(648, 輔助計算!$G$2:$G$801, 0)+1))&lt;100, IF(INDEX(ERP資料!$G:$G, (MATCH(648, 輔助計算!$G$2:$G$801, 0)+1))&lt;=31,3,IF(INDEX(ERP資料!$G:$G, (MATCH(648, 輔助計算!$G$2:$G$801, 0)+1))&lt;=46.5,2,1)), IF(INDEX(ERP資料!$G:$G, (MATCH(648, 輔助計算!$G$2:$G$801, 0)+1))&lt;=790,3,IF(INDEX(ERP資料!$G:$G, (MATCH(648, 輔助計算!$G$2:$G$801, 0)+1))&lt;=1181,2,1)))=1,TEXT(INDEX(ERP資料!$G:$G, (MATCH(648, 輔助計算!$G$2:$G$801, 0)+1)),"0.##"),IF(IF(INDEX(ERP資料!$G:$G, (MATCH(648, 輔助計算!$G$2:$G$801, 0)+1))&lt;100, IF(INDEX(ERP資料!$G:$G, (MATCH(648, 輔助計算!$G$2:$G$801, 0)+1))&lt;=31,3,IF(INDEX(ERP資料!$G:$G, (MATCH(648, 輔助計算!$G$2:$G$801, 0)+1))&lt;=46.5,2,1)), IF(INDEX(ERP資料!$G:$G, (MATCH(648, 輔助計算!$G$2:$G$801, 0)+1))&lt;=790,3,IF(INDEX(ERP資料!$G:$G, (MATCH(648, 輔助計算!$G$2:$G$801, 0)+1))&lt;=1181,2,1)))=2,TEXT(INDEX(ERP資料!$G:$G, (MATCH(648, 輔助計算!$G$2:$G$801, 0)+1)),"0.##")&amp;"+"&amp;TEXT(INDEX(ERP資料!$G:$G, (MATCH(648, 輔助計算!$G$2:$G$801, 0)+1)),"0.##"),TEXT(INDEX(ERP資料!$G:$G, (MATCH(648, 輔助計算!$G$2:$G$801, 0)+1)),"0.##")&amp;"+"&amp;TEXT(INDEX(ERP資料!$G:$G, (MATCH(648, 輔助計算!$G$2:$G$801, 0)+1)),"0.##")&amp;"+"&amp;TEXT(INDEX(ERP資料!$G:$G, (MATCH(648, 輔助計算!$G$2:$G$801, 0)+1)),"0.##")))&amp;"-"&amp;INT(INDEX(輔助計算!$D:$D, (MATCH(648, 輔助計算!$G$2:$G$801, 0)+1))/IF(INDEX(ERP資料!$G:$G, (MATCH(648, 輔助計算!$G$2:$G$801, 0)+1))&lt;100, IF(INDEX(ERP資料!$G:$G, (MATCH(648, 輔助計算!$G$2:$G$801, 0)+1))&lt;=31,3,IF(INDEX(ERP資料!$G:$G, (MATCH(648, 輔助計算!$G$2:$G$801, 0)+1))&lt;=46.5,2,1)), IF(INDEX(ERP資料!$G:$G, (MATCH(648, 輔助計算!$G$2:$G$801, 0)+1))&lt;=790,3,IF(INDEX(ERP資料!$G:$G, (MATCH(648, 輔助計算!$G$2:$G$801, 0)+1))&lt;=1181,2,1)))), "")&amp;IF(AND(IF(INT(INDEX(輔助計算!$D:$D, (MATCH(648, 輔助計算!$G$2:$G$801, 0)+1))/IF(INDEX(ERP資料!$G:$G, (MATCH(648, 輔助計算!$G$2:$G$801, 0)+1))&lt;100, IF(INDEX(ERP資料!$G:$G, (MATCH(648, 輔助計算!$G$2:$G$801, 0)+1))&lt;=31,3,IF(INDEX(ERP資料!$G:$G, (MATCH(648, 輔助計算!$G$2:$G$801, 0)+1))&lt;=46.5,2,1)), IF(INDEX(ERP資料!$G:$G, (MATCH(648, 輔助計算!$G$2:$G$801, 0)+1))&lt;=790,3,IF(INDEX(ERP資料!$G:$G, (MATCH(648, 輔助計算!$G$2:$G$801, 0)+1))&lt;=1181,2,1))))&gt;0, IF(IF(INDEX(ERP資料!$G:$G, (MATCH(648, 輔助計算!$G$2:$G$801, 0)+1))&lt;100, IF(INDEX(ERP資料!$G:$G, (MATCH(648, 輔助計算!$G$2:$G$801, 0)+1))&lt;=31,3,IF(INDEX(ERP資料!$G:$G, (MATCH(648, 輔助計算!$G$2:$G$801, 0)+1))&lt;=46.5,2,1)), IF(INDEX(ERP資料!$G:$G, (MATCH(648, 輔助計算!$G$2:$G$801, 0)+1))&lt;=790,3,IF(INDEX(ERP資料!$G:$G, (MATCH(648, 輔助計算!$G$2:$G$801, 0)+1))&lt;=1181,2,1)))=1,TEXT(INDEX(ERP資料!$G:$G, (MATCH(648, 輔助計算!$G$2:$G$801, 0)+1)),"0.##"),IF(IF(INDEX(ERP資料!$G:$G, (MATCH(648, 輔助計算!$G$2:$G$801, 0)+1))&lt;100, IF(INDEX(ERP資料!$G:$G, (MATCH(648, 輔助計算!$G$2:$G$801, 0)+1))&lt;=31,3,IF(INDEX(ERP資料!$G:$G, (MATCH(648, 輔助計算!$G$2:$G$801, 0)+1))&lt;=46.5,2,1)), IF(INDEX(ERP資料!$G:$G, (MATCH(648, 輔助計算!$G$2:$G$801, 0)+1))&lt;=790,3,IF(INDEX(ERP資料!$G:$G, (MATCH(648, 輔助計算!$G$2:$G$801, 0)+1))&lt;=1181,2,1)))=2,TEXT(INDEX(ERP資料!$G:$G, (MATCH(648, 輔助計算!$G$2:$G$801, 0)+1)),"0.##")&amp;"+"&amp;TEXT(INDEX(ERP資料!$G:$G, (MATCH(648, 輔助計算!$G$2:$G$801, 0)+1)),"0.##"),TEXT(INDEX(ERP資料!$G:$G, (MATCH(648, 輔助計算!$G$2:$G$801, 0)+1)),"0.##")&amp;"+"&amp;TEXT(INDEX(ERP資料!$G:$G, (MATCH(648, 輔助計算!$G$2:$G$801, 0)+1)),"0.##")&amp;"+"&amp;TEXT(INDEX(ERP資料!$G:$G, (MATCH(648, 輔助計算!$G$2:$G$801, 0)+1)),"0.##")))&amp;"-"&amp;INT(INDEX(輔助計算!$D:$D, (MATCH(648, 輔助計算!$G$2:$G$801, 0)+1))/IF(INDEX(ERP資料!$G:$G, (MATCH(648, 輔助計算!$G$2:$G$801, 0)+1))&lt;100, IF(INDEX(ERP資料!$G:$G, (MATCH(648, 輔助計算!$G$2:$G$801, 0)+1))&lt;=31,3,IF(INDEX(ERP資料!$G:$G, (MATCH(648, 輔助計算!$G$2:$G$801, 0)+1))&lt;=46.5,2,1)), IF(INDEX(ERP資料!$G:$G, (MATCH(648, 輔助計算!$G$2:$G$801, 0)+1))&lt;=790,3,IF(INDEX(ERP資料!$G:$G, (MATCH(648, 輔助計算!$G$2:$G$801, 0)+1))&lt;=1181,2,1)))), "")&lt;&gt;"",IF(MOD(INDEX(輔助計算!$D:$D, (MATCH(648, 輔助計算!$G$2:$G$801, 0)+1)),IF(INDEX(ERP資料!$G:$G, (MATCH(648, 輔助計算!$G$2:$G$801, 0)+1))&lt;100, IF(INDEX(ERP資料!$G:$G, (MATCH(648, 輔助計算!$G$2:$G$801, 0)+1))&lt;=31,3,IF(INDEX(ERP資料!$G:$G, (MATCH(648, 輔助計算!$G$2:$G$801, 0)+1))&lt;=46.5,2,1)), IF(INDEX(ERP資料!$G:$G, (MATCH(648, 輔助計算!$G$2:$G$801, 0)+1))&lt;=790,3,IF(INDEX(ERP資料!$G:$G, (MATCH(648, 輔助計算!$G$2:$G$801, 0)+1))&lt;=1181,2,1))))=0,"",IF(MOD(INDEX(輔助計算!$D:$D, (MATCH(648, 輔助計算!$G$2:$G$801, 0)+1)),IF(INDEX(ERP資料!$G:$G, (MATCH(648, 輔助計算!$G$2:$G$801, 0)+1))&lt;100, IF(INDEX(ERP資料!$G:$G, (MATCH(648, 輔助計算!$G$2:$G$801, 0)+1))&lt;=31,3,IF(INDEX(ERP資料!$G:$G, (MATCH(648, 輔助計算!$G$2:$G$801, 0)+1))&lt;=46.5,2,1)), IF(INDEX(ERP資料!$G:$G, (MATCH(648, 輔助計算!$G$2:$G$801, 0)+1))&lt;=790,3,IF(INDEX(ERP資料!$G:$G, (MATCH(648, 輔助計算!$G$2:$G$801, 0)+1))&lt;=1181,2,1))))=0,"",IF(MOD(INDEX(輔助計算!$D:$D, (MATCH(648, 輔助計算!$G$2:$G$801, 0)+1)),IF(INDEX(ERP資料!$G:$G, (MATCH(648, 輔助計算!$G$2:$G$801, 0)+1))&lt;100, IF(INDEX(ERP資料!$G:$G, (MATCH(648, 輔助計算!$G$2:$G$801, 0)+1))&lt;=31,3,IF(INDEX(ERP資料!$G:$G, (MATCH(648, 輔助計算!$G$2:$G$801, 0)+1))&lt;=46.5,2,1)), IF(INDEX(ERP資料!$G:$G, (MATCH(648, 輔助計算!$G$2:$G$801, 0)+1))&lt;=790,3,IF(INDEX(ERP資料!$G:$G, (MATCH(648, 輔助計算!$G$2:$G$801, 0)+1))&lt;=1181,2,1))))=1,TEXT(INDEX(ERP資料!$G:$G, (MATCH(648, 輔助計算!$G$2:$G$801, 0)+1)),"0.##"),IF(MOD(INDEX(輔助計算!$D:$D, (MATCH(648, 輔助計算!$G$2:$G$801, 0)+1)),IF(INDEX(ERP資料!$G:$G, (MATCH(648, 輔助計算!$G$2:$G$801, 0)+1))&lt;100, IF(INDEX(ERP資料!$G:$G, (MATCH(648, 輔助計算!$G$2:$G$801, 0)+1))&lt;=31,3,IF(INDEX(ERP資料!$G:$G, (MATCH(648, 輔助計算!$G$2:$G$801, 0)+1))&lt;=46.5,2,1)), IF(INDEX(ERP資料!$G:$G, (MATCH(648, 輔助計算!$G$2:$G$801, 0)+1))&lt;=790,3,IF(INDEX(ERP資料!$G:$G, (MATCH(648, 輔助計算!$G$2:$G$801, 0)+1))&lt;=1181,2,1))))=2,TEXT(INDEX(ERP資料!$G:$G, (MATCH(648, 輔助計算!$G$2:$G$801, 0)+1)),"0.##")&amp;"+"&amp;TEXT(INDEX(ERP資料!$G:$G, (MATCH(648, 輔助計算!$G$2:$G$801, 0)+1)),"0.##"),TEXT(INDEX(ERP資料!$G:$G, (MATCH(648, 輔助計算!$G$2:$G$801, 0)+1)),"0.##")&amp;"+"&amp;TEXT(INDEX(ERP資料!$G:$G, (MATCH(648, 輔助計算!$G$2:$G$801, 0)+1)),"0.##")&amp;"+"&amp;TEXT(INDEX(ERP資料!$G:$G, (MATCH(648, 輔助計算!$G$2:$G$801, 0)+1)),"0.##"))))&amp;"-1")&lt;&gt;""),"  ","")&amp;IF(MOD(INDEX(輔助計算!$D:$D, (MATCH(648, 輔助計算!$G$2:$G$801, 0)+1)),IF(INDEX(ERP資料!$G:$G, (MATCH(648, 輔助計算!$G$2:$G$801, 0)+1))&lt;100, IF(INDEX(ERP資料!$G:$G, (MATCH(648, 輔助計算!$G$2:$G$801, 0)+1))&lt;=31,3,IF(INDEX(ERP資料!$G:$G, (MATCH(648, 輔助計算!$G$2:$G$801, 0)+1))&lt;=46.5,2,1)), IF(INDEX(ERP資料!$G:$G, (MATCH(648, 輔助計算!$G$2:$G$801, 0)+1))&lt;=790,3,IF(INDEX(ERP資料!$G:$G, (MATCH(648, 輔助計算!$G$2:$G$801, 0)+1))&lt;=1181,2,1))))=0,"",IF(MOD(INDEX(輔助計算!$D:$D, (MATCH(648, 輔助計算!$G$2:$G$801, 0)+1)),IF(INDEX(ERP資料!$G:$G, (MATCH(648, 輔助計算!$G$2:$G$801, 0)+1))&lt;100, IF(INDEX(ERP資料!$G:$G, (MATCH(648, 輔助計算!$G$2:$G$801, 0)+1))&lt;=31,3,IF(INDEX(ERP資料!$G:$G, (MATCH(648, 輔助計算!$G$2:$G$801, 0)+1))&lt;=46.5,2,1)), IF(INDEX(ERP資料!$G:$G, (MATCH(648, 輔助計算!$G$2:$G$801, 0)+1))&lt;=790,3,IF(INDEX(ERP資料!$G:$G, (MATCH(648, 輔助計算!$G$2:$G$801, 0)+1))&lt;=1181,2,1))))=0,"",IF(MOD(INDEX(輔助計算!$D:$D, (MATCH(648, 輔助計算!$G$2:$G$801, 0)+1)),IF(INDEX(ERP資料!$G:$G, (MATCH(648, 輔助計算!$G$2:$G$801, 0)+1))&lt;100, IF(INDEX(ERP資料!$G:$G, (MATCH(648, 輔助計算!$G$2:$G$801, 0)+1))&lt;=31,3,IF(INDEX(ERP資料!$G:$G, (MATCH(648, 輔助計算!$G$2:$G$801, 0)+1))&lt;=46.5,2,1)), IF(INDEX(ERP資料!$G:$G, (MATCH(648, 輔助計算!$G$2:$G$801, 0)+1))&lt;=790,3,IF(INDEX(ERP資料!$G:$G, (MATCH(648, 輔助計算!$G$2:$G$801, 0)+1))&lt;=1181,2,1))))=1,TEXT(INDEX(ERP資料!$G:$G, (MATCH(648, 輔助計算!$G$2:$G$801, 0)+1)),"0.##"),IF(MOD(INDEX(輔助計算!$D:$D, (MATCH(648, 輔助計算!$G$2:$G$801, 0)+1)),IF(INDEX(ERP資料!$G:$G, (MATCH(648, 輔助計算!$G$2:$G$801, 0)+1))&lt;100, IF(INDEX(ERP資料!$G:$G, (MATCH(648, 輔助計算!$G$2:$G$801, 0)+1))&lt;=31,3,IF(INDEX(ERP資料!$G:$G, (MATCH(648, 輔助計算!$G$2:$G$801, 0)+1))&lt;=46.5,2,1)), IF(INDEX(ERP資料!$G:$G, (MATCH(648, 輔助計算!$G$2:$G$801, 0)+1))&lt;=790,3,IF(INDEX(ERP資料!$G:$G, (MATCH(648, 輔助計算!$G$2:$G$801, 0)+1))&lt;=1181,2,1))))=2,TEXT(INDEX(ERP資料!$G:$G, (MATCH(648, 輔助計算!$G$2:$G$801, 0)+1)),"0.##")&amp;"+"&amp;TEXT(INDEX(ERP資料!$G:$G, (MATCH(648, 輔助計算!$G$2:$G$801, 0)+1)),"0.##"),TEXT(INDEX(ERP資料!$G:$G, (MATCH(648, 輔助計算!$G$2:$G$801, 0)+1)),"0.##")&amp;"+"&amp;TEXT(INDEX(ERP資料!$G:$G, (MATCH(648, 輔助計算!$G$2:$G$801, 0)+1)),"0.##")&amp;"+"&amp;TEXT(INDEX(ERP資料!$G:$G, (MATCH(648, 輔助計算!$G$2:$G$801, 0)+1)),"0.##"))))&amp;"-1")), ""), "")</f>
        <v/>
      </c>
      <c r="K649" s="16" t="n"/>
      <c r="L649" s="14">
        <f>IFERROR(IF(AND(IFERROR(INDEX(ERP資料!$A:$A, (MATCH(648, 輔助計算!$G$2:$G$801, 0)+1)), "")&lt;&gt;"", IFERROR(INDEX(ERP資料!$A:$A, (MATCH(648, 輔助計算!$G$2:$G$801, 0)+1)), "")&lt;&gt;IFERROR(INDEX(ERP資料!$A:$A, MATCH(647, 輔助計算!$G$2:$G$801, 0)+1), "")), INDEX(ERP資料!$B:$B, (MATCH(648, 輔助計算!$G$2:$G$801, 0)+1)), ""), "")</f>
        <v/>
      </c>
      <c r="M649" s="17" t="n"/>
    </row>
    <row r="650">
      <c r="A650" s="10">
        <f>IFERROR(IF(AND(IFERROR(INDEX(ERP資料!$A:$A, (MATCH(649, 輔助計算!$G$2:$G$801, 0)+1)), "")&lt;&gt;"", IFERROR(INDEX(ERP資料!$A:$A, (MATCH(649, 輔助計算!$G$2:$G$801, 0)+1)), "")&lt;&gt;IFERROR(INDEX(ERP資料!$A:$A, MATCH(648, 輔助計算!$G$2:$G$801, 0)+1), "")), IFERROR(INDEX(ERP資料!$A:$A, (MATCH(649, 輔助計算!$G$2:$G$801, 0)+1)), ""), ""), "")</f>
        <v/>
      </c>
      <c r="B650" s="10">
        <f>IFERROR(IF(AND(IFERROR(INDEX(ERP資料!$A:$A, (MATCH(649, 輔助計算!$G$2:$G$801, 0)+1)), "")&lt;&gt;"", IFERROR(INDEX(ERP資料!$A:$A, (MATCH(649, 輔助計算!$G$2:$G$801, 0)+1)), "")&lt;&gt;IFERROR(INDEX(ERP資料!$A:$A, MATCH(648, 輔助計算!$G$2:$G$801, 0)+1), "")), INDEX(ERP資料!$S:$S, (MATCH(649, 輔助計算!$G$2:$G$801, 0)+1)), ""), "")</f>
        <v/>
      </c>
      <c r="C650" s="19">
        <f>IFERROR(IF(AND(IFERROR(INDEX(ERP資料!$A:$A, (MATCH(649, 輔助計算!$G$2:$G$801, 0)+1)), "")&lt;&gt;"", IFERROR(INDEX(ERP資料!$A:$A, (MATCH(649, 輔助計算!$G$2:$G$801, 0)+1)), "")&lt;&gt;IFERROR(INDEX(ERP資料!$A:$A, MATCH(648, 輔助計算!$G$2:$G$801, 0)+1), "")), IFERROR(VLOOKUP(LEFT(INDEX(ERP資料!$S:$S, (MATCH(649, 輔助計算!$G$2:$G$801, 0)+1)), 4), 紙管對照表!$A:$C, 3, FALSE), ""), ""), "")</f>
        <v/>
      </c>
      <c r="D650" s="16" t="n"/>
      <c r="E650" s="10">
        <f>IFERROR(IF(INDEX(ERP資料!$H:$H, (MATCH(649, 輔助計算!$G$2:$G$801, 0)+1))="","",INDEX(ERP資料!$H:$H, (MATCH(649, 輔助計算!$G$2:$G$801, 0)+1))), "")</f>
        <v/>
      </c>
      <c r="F650" s="10">
        <f>IFERROR(IF(INDEX(ERP資料!$E:$E, (MATCH(649, 輔助計算!$G$2:$G$801, 0)+1))="","",TRIM(INDEX(ERP資料!$E:$E, (MATCH(649, 輔助計算!$G$2:$G$801, 0)+1)))), "")</f>
        <v/>
      </c>
      <c r="G650" s="10">
        <f>IFERROR(IF(INDEX(ERP資料!$F:$F, (MATCH(649, 輔助計算!$G$2:$G$801, 0)+1))="","",INDEX(ERP資料!$F:$F, (MATCH(649, 輔助計算!$G$2:$G$801, 0)+1))), "")</f>
        <v/>
      </c>
      <c r="H650" s="10">
        <f>IFERROR(IF(INDEX(ERP資料!$G:$G, (MATCH(649, 輔助計算!$G$2:$G$801, 0)+1))="","",INDEX(ERP資料!$G:$G, (MATCH(649, 輔助計算!$G$2:$G$801, 0)+1))), "")</f>
        <v/>
      </c>
      <c r="I650" s="15">
        <f>IFERROR(INDEX(輔助計算!$D:$D, (MATCH(649, 輔助計算!$G$2:$G$801, 0)+1)), "")</f>
        <v/>
      </c>
      <c r="J650" s="15">
        <f>IFERROR(IF(AND(INDEX(輔助計算!$D:$D, (MATCH(649, 輔助計算!$G$2:$G$801, 0)+1))&lt;&gt;"", INDEX(ERP資料!$G:$G, (MATCH(649, 輔助計算!$G$2:$G$801, 0)+1))&lt;&gt;""), TRIM(IF(INT(INDEX(輔助計算!$D:$D, (MATCH(649, 輔助計算!$G$2:$G$801, 0)+1))/IF(INDEX(ERP資料!$G:$G, (MATCH(649, 輔助計算!$G$2:$G$801, 0)+1))&lt;100, IF(INDEX(ERP資料!$G:$G, (MATCH(649, 輔助計算!$G$2:$G$801, 0)+1))&lt;=31,3,IF(INDEX(ERP資料!$G:$G, (MATCH(649, 輔助計算!$G$2:$G$801, 0)+1))&lt;=46.5,2,1)), IF(INDEX(ERP資料!$G:$G, (MATCH(649, 輔助計算!$G$2:$G$801, 0)+1))&lt;=790,3,IF(INDEX(ERP資料!$G:$G, (MATCH(649, 輔助計算!$G$2:$G$801, 0)+1))&lt;=1181,2,1))))&gt;0, IF(IF(INDEX(ERP資料!$G:$G, (MATCH(649, 輔助計算!$G$2:$G$801, 0)+1))&lt;100, IF(INDEX(ERP資料!$G:$G, (MATCH(649, 輔助計算!$G$2:$G$801, 0)+1))&lt;=31,3,IF(INDEX(ERP資料!$G:$G, (MATCH(649, 輔助計算!$G$2:$G$801, 0)+1))&lt;=46.5,2,1)), IF(INDEX(ERP資料!$G:$G, (MATCH(649, 輔助計算!$G$2:$G$801, 0)+1))&lt;=790,3,IF(INDEX(ERP資料!$G:$G, (MATCH(649, 輔助計算!$G$2:$G$801, 0)+1))&lt;=1181,2,1)))=1,TEXT(INDEX(ERP資料!$G:$G, (MATCH(649, 輔助計算!$G$2:$G$801, 0)+1)),"0.##"),IF(IF(INDEX(ERP資料!$G:$G, (MATCH(649, 輔助計算!$G$2:$G$801, 0)+1))&lt;100, IF(INDEX(ERP資料!$G:$G, (MATCH(649, 輔助計算!$G$2:$G$801, 0)+1))&lt;=31,3,IF(INDEX(ERP資料!$G:$G, (MATCH(649, 輔助計算!$G$2:$G$801, 0)+1))&lt;=46.5,2,1)), IF(INDEX(ERP資料!$G:$G, (MATCH(649, 輔助計算!$G$2:$G$801, 0)+1))&lt;=790,3,IF(INDEX(ERP資料!$G:$G, (MATCH(649, 輔助計算!$G$2:$G$801, 0)+1))&lt;=1181,2,1)))=2,TEXT(INDEX(ERP資料!$G:$G, (MATCH(649, 輔助計算!$G$2:$G$801, 0)+1)),"0.##")&amp;"+"&amp;TEXT(INDEX(ERP資料!$G:$G, (MATCH(649, 輔助計算!$G$2:$G$801, 0)+1)),"0.##"),TEXT(INDEX(ERP資料!$G:$G, (MATCH(649, 輔助計算!$G$2:$G$801, 0)+1)),"0.##")&amp;"+"&amp;TEXT(INDEX(ERP資料!$G:$G, (MATCH(649, 輔助計算!$G$2:$G$801, 0)+1)),"0.##")&amp;"+"&amp;TEXT(INDEX(ERP資料!$G:$G, (MATCH(649, 輔助計算!$G$2:$G$801, 0)+1)),"0.##")))&amp;"-"&amp;INT(INDEX(輔助計算!$D:$D, (MATCH(649, 輔助計算!$G$2:$G$801, 0)+1))/IF(INDEX(ERP資料!$G:$G, (MATCH(649, 輔助計算!$G$2:$G$801, 0)+1))&lt;100, IF(INDEX(ERP資料!$G:$G, (MATCH(649, 輔助計算!$G$2:$G$801, 0)+1))&lt;=31,3,IF(INDEX(ERP資料!$G:$G, (MATCH(649, 輔助計算!$G$2:$G$801, 0)+1))&lt;=46.5,2,1)), IF(INDEX(ERP資料!$G:$G, (MATCH(649, 輔助計算!$G$2:$G$801, 0)+1))&lt;=790,3,IF(INDEX(ERP資料!$G:$G, (MATCH(649, 輔助計算!$G$2:$G$801, 0)+1))&lt;=1181,2,1)))), "")&amp;IF(AND(IF(INT(INDEX(輔助計算!$D:$D, (MATCH(649, 輔助計算!$G$2:$G$801, 0)+1))/IF(INDEX(ERP資料!$G:$G, (MATCH(649, 輔助計算!$G$2:$G$801, 0)+1))&lt;100, IF(INDEX(ERP資料!$G:$G, (MATCH(649, 輔助計算!$G$2:$G$801, 0)+1))&lt;=31,3,IF(INDEX(ERP資料!$G:$G, (MATCH(649, 輔助計算!$G$2:$G$801, 0)+1))&lt;=46.5,2,1)), IF(INDEX(ERP資料!$G:$G, (MATCH(649, 輔助計算!$G$2:$G$801, 0)+1))&lt;=790,3,IF(INDEX(ERP資料!$G:$G, (MATCH(649, 輔助計算!$G$2:$G$801, 0)+1))&lt;=1181,2,1))))&gt;0, IF(IF(INDEX(ERP資料!$G:$G, (MATCH(649, 輔助計算!$G$2:$G$801, 0)+1))&lt;100, IF(INDEX(ERP資料!$G:$G, (MATCH(649, 輔助計算!$G$2:$G$801, 0)+1))&lt;=31,3,IF(INDEX(ERP資料!$G:$G, (MATCH(649, 輔助計算!$G$2:$G$801, 0)+1))&lt;=46.5,2,1)), IF(INDEX(ERP資料!$G:$G, (MATCH(649, 輔助計算!$G$2:$G$801, 0)+1))&lt;=790,3,IF(INDEX(ERP資料!$G:$G, (MATCH(649, 輔助計算!$G$2:$G$801, 0)+1))&lt;=1181,2,1)))=1,TEXT(INDEX(ERP資料!$G:$G, (MATCH(649, 輔助計算!$G$2:$G$801, 0)+1)),"0.##"),IF(IF(INDEX(ERP資料!$G:$G, (MATCH(649, 輔助計算!$G$2:$G$801, 0)+1))&lt;100, IF(INDEX(ERP資料!$G:$G, (MATCH(649, 輔助計算!$G$2:$G$801, 0)+1))&lt;=31,3,IF(INDEX(ERP資料!$G:$G, (MATCH(649, 輔助計算!$G$2:$G$801, 0)+1))&lt;=46.5,2,1)), IF(INDEX(ERP資料!$G:$G, (MATCH(649, 輔助計算!$G$2:$G$801, 0)+1))&lt;=790,3,IF(INDEX(ERP資料!$G:$G, (MATCH(649, 輔助計算!$G$2:$G$801, 0)+1))&lt;=1181,2,1)))=2,TEXT(INDEX(ERP資料!$G:$G, (MATCH(649, 輔助計算!$G$2:$G$801, 0)+1)),"0.##")&amp;"+"&amp;TEXT(INDEX(ERP資料!$G:$G, (MATCH(649, 輔助計算!$G$2:$G$801, 0)+1)),"0.##"),TEXT(INDEX(ERP資料!$G:$G, (MATCH(649, 輔助計算!$G$2:$G$801, 0)+1)),"0.##")&amp;"+"&amp;TEXT(INDEX(ERP資料!$G:$G, (MATCH(649, 輔助計算!$G$2:$G$801, 0)+1)),"0.##")&amp;"+"&amp;TEXT(INDEX(ERP資料!$G:$G, (MATCH(649, 輔助計算!$G$2:$G$801, 0)+1)),"0.##")))&amp;"-"&amp;INT(INDEX(輔助計算!$D:$D, (MATCH(649, 輔助計算!$G$2:$G$801, 0)+1))/IF(INDEX(ERP資料!$G:$G, (MATCH(649, 輔助計算!$G$2:$G$801, 0)+1))&lt;100, IF(INDEX(ERP資料!$G:$G, (MATCH(649, 輔助計算!$G$2:$G$801, 0)+1))&lt;=31,3,IF(INDEX(ERP資料!$G:$G, (MATCH(649, 輔助計算!$G$2:$G$801, 0)+1))&lt;=46.5,2,1)), IF(INDEX(ERP資料!$G:$G, (MATCH(649, 輔助計算!$G$2:$G$801, 0)+1))&lt;=790,3,IF(INDEX(ERP資料!$G:$G, (MATCH(649, 輔助計算!$G$2:$G$801, 0)+1))&lt;=1181,2,1)))), "")&lt;&gt;"",IF(MOD(INDEX(輔助計算!$D:$D, (MATCH(649, 輔助計算!$G$2:$G$801, 0)+1)),IF(INDEX(ERP資料!$G:$G, (MATCH(649, 輔助計算!$G$2:$G$801, 0)+1))&lt;100, IF(INDEX(ERP資料!$G:$G, (MATCH(649, 輔助計算!$G$2:$G$801, 0)+1))&lt;=31,3,IF(INDEX(ERP資料!$G:$G, (MATCH(649, 輔助計算!$G$2:$G$801, 0)+1))&lt;=46.5,2,1)), IF(INDEX(ERP資料!$G:$G, (MATCH(649, 輔助計算!$G$2:$G$801, 0)+1))&lt;=790,3,IF(INDEX(ERP資料!$G:$G, (MATCH(649, 輔助計算!$G$2:$G$801, 0)+1))&lt;=1181,2,1))))=0,"",IF(MOD(INDEX(輔助計算!$D:$D, (MATCH(649, 輔助計算!$G$2:$G$801, 0)+1)),IF(INDEX(ERP資料!$G:$G, (MATCH(649, 輔助計算!$G$2:$G$801, 0)+1))&lt;100, IF(INDEX(ERP資料!$G:$G, (MATCH(649, 輔助計算!$G$2:$G$801, 0)+1))&lt;=31,3,IF(INDEX(ERP資料!$G:$G, (MATCH(649, 輔助計算!$G$2:$G$801, 0)+1))&lt;=46.5,2,1)), IF(INDEX(ERP資料!$G:$G, (MATCH(649, 輔助計算!$G$2:$G$801, 0)+1))&lt;=790,3,IF(INDEX(ERP資料!$G:$G, (MATCH(649, 輔助計算!$G$2:$G$801, 0)+1))&lt;=1181,2,1))))=0,"",IF(MOD(INDEX(輔助計算!$D:$D, (MATCH(649, 輔助計算!$G$2:$G$801, 0)+1)),IF(INDEX(ERP資料!$G:$G, (MATCH(649, 輔助計算!$G$2:$G$801, 0)+1))&lt;100, IF(INDEX(ERP資料!$G:$G, (MATCH(649, 輔助計算!$G$2:$G$801, 0)+1))&lt;=31,3,IF(INDEX(ERP資料!$G:$G, (MATCH(649, 輔助計算!$G$2:$G$801, 0)+1))&lt;=46.5,2,1)), IF(INDEX(ERP資料!$G:$G, (MATCH(649, 輔助計算!$G$2:$G$801, 0)+1))&lt;=790,3,IF(INDEX(ERP資料!$G:$G, (MATCH(649, 輔助計算!$G$2:$G$801, 0)+1))&lt;=1181,2,1))))=1,TEXT(INDEX(ERP資料!$G:$G, (MATCH(649, 輔助計算!$G$2:$G$801, 0)+1)),"0.##"),IF(MOD(INDEX(輔助計算!$D:$D, (MATCH(649, 輔助計算!$G$2:$G$801, 0)+1)),IF(INDEX(ERP資料!$G:$G, (MATCH(649, 輔助計算!$G$2:$G$801, 0)+1))&lt;100, IF(INDEX(ERP資料!$G:$G, (MATCH(649, 輔助計算!$G$2:$G$801, 0)+1))&lt;=31,3,IF(INDEX(ERP資料!$G:$G, (MATCH(649, 輔助計算!$G$2:$G$801, 0)+1))&lt;=46.5,2,1)), IF(INDEX(ERP資料!$G:$G, (MATCH(649, 輔助計算!$G$2:$G$801, 0)+1))&lt;=790,3,IF(INDEX(ERP資料!$G:$G, (MATCH(649, 輔助計算!$G$2:$G$801, 0)+1))&lt;=1181,2,1))))=2,TEXT(INDEX(ERP資料!$G:$G, (MATCH(649, 輔助計算!$G$2:$G$801, 0)+1)),"0.##")&amp;"+"&amp;TEXT(INDEX(ERP資料!$G:$G, (MATCH(649, 輔助計算!$G$2:$G$801, 0)+1)),"0.##"),TEXT(INDEX(ERP資料!$G:$G, (MATCH(649, 輔助計算!$G$2:$G$801, 0)+1)),"0.##")&amp;"+"&amp;TEXT(INDEX(ERP資料!$G:$G, (MATCH(649, 輔助計算!$G$2:$G$801, 0)+1)),"0.##")&amp;"+"&amp;TEXT(INDEX(ERP資料!$G:$G, (MATCH(649, 輔助計算!$G$2:$G$801, 0)+1)),"0.##"))))&amp;"-1")&lt;&gt;""),"  ","")&amp;IF(MOD(INDEX(輔助計算!$D:$D, (MATCH(649, 輔助計算!$G$2:$G$801, 0)+1)),IF(INDEX(ERP資料!$G:$G, (MATCH(649, 輔助計算!$G$2:$G$801, 0)+1))&lt;100, IF(INDEX(ERP資料!$G:$G, (MATCH(649, 輔助計算!$G$2:$G$801, 0)+1))&lt;=31,3,IF(INDEX(ERP資料!$G:$G, (MATCH(649, 輔助計算!$G$2:$G$801, 0)+1))&lt;=46.5,2,1)), IF(INDEX(ERP資料!$G:$G, (MATCH(649, 輔助計算!$G$2:$G$801, 0)+1))&lt;=790,3,IF(INDEX(ERP資料!$G:$G, (MATCH(649, 輔助計算!$G$2:$G$801, 0)+1))&lt;=1181,2,1))))=0,"",IF(MOD(INDEX(輔助計算!$D:$D, (MATCH(649, 輔助計算!$G$2:$G$801, 0)+1)),IF(INDEX(ERP資料!$G:$G, (MATCH(649, 輔助計算!$G$2:$G$801, 0)+1))&lt;100, IF(INDEX(ERP資料!$G:$G, (MATCH(649, 輔助計算!$G$2:$G$801, 0)+1))&lt;=31,3,IF(INDEX(ERP資料!$G:$G, (MATCH(649, 輔助計算!$G$2:$G$801, 0)+1))&lt;=46.5,2,1)), IF(INDEX(ERP資料!$G:$G, (MATCH(649, 輔助計算!$G$2:$G$801, 0)+1))&lt;=790,3,IF(INDEX(ERP資料!$G:$G, (MATCH(649, 輔助計算!$G$2:$G$801, 0)+1))&lt;=1181,2,1))))=0,"",IF(MOD(INDEX(輔助計算!$D:$D, (MATCH(649, 輔助計算!$G$2:$G$801, 0)+1)),IF(INDEX(ERP資料!$G:$G, (MATCH(649, 輔助計算!$G$2:$G$801, 0)+1))&lt;100, IF(INDEX(ERP資料!$G:$G, (MATCH(649, 輔助計算!$G$2:$G$801, 0)+1))&lt;=31,3,IF(INDEX(ERP資料!$G:$G, (MATCH(649, 輔助計算!$G$2:$G$801, 0)+1))&lt;=46.5,2,1)), IF(INDEX(ERP資料!$G:$G, (MATCH(649, 輔助計算!$G$2:$G$801, 0)+1))&lt;=790,3,IF(INDEX(ERP資料!$G:$G, (MATCH(649, 輔助計算!$G$2:$G$801, 0)+1))&lt;=1181,2,1))))=1,TEXT(INDEX(ERP資料!$G:$G, (MATCH(649, 輔助計算!$G$2:$G$801, 0)+1)),"0.##"),IF(MOD(INDEX(輔助計算!$D:$D, (MATCH(649, 輔助計算!$G$2:$G$801, 0)+1)),IF(INDEX(ERP資料!$G:$G, (MATCH(649, 輔助計算!$G$2:$G$801, 0)+1))&lt;100, IF(INDEX(ERP資料!$G:$G, (MATCH(649, 輔助計算!$G$2:$G$801, 0)+1))&lt;=31,3,IF(INDEX(ERP資料!$G:$G, (MATCH(649, 輔助計算!$G$2:$G$801, 0)+1))&lt;=46.5,2,1)), IF(INDEX(ERP資料!$G:$G, (MATCH(649, 輔助計算!$G$2:$G$801, 0)+1))&lt;=790,3,IF(INDEX(ERP資料!$G:$G, (MATCH(649, 輔助計算!$G$2:$G$801, 0)+1))&lt;=1181,2,1))))=2,TEXT(INDEX(ERP資料!$G:$G, (MATCH(649, 輔助計算!$G$2:$G$801, 0)+1)),"0.##")&amp;"+"&amp;TEXT(INDEX(ERP資料!$G:$G, (MATCH(649, 輔助計算!$G$2:$G$801, 0)+1)),"0.##"),TEXT(INDEX(ERP資料!$G:$G, (MATCH(649, 輔助計算!$G$2:$G$801, 0)+1)),"0.##")&amp;"+"&amp;TEXT(INDEX(ERP資料!$G:$G, (MATCH(649, 輔助計算!$G$2:$G$801, 0)+1)),"0.##")&amp;"+"&amp;TEXT(INDEX(ERP資料!$G:$G, (MATCH(649, 輔助計算!$G$2:$G$801, 0)+1)),"0.##"))))&amp;"-1")), ""), "")</f>
        <v/>
      </c>
      <c r="K650" s="16" t="n"/>
      <c r="L650" s="14">
        <f>IFERROR(IF(AND(IFERROR(INDEX(ERP資料!$A:$A, (MATCH(649, 輔助計算!$G$2:$G$801, 0)+1)), "")&lt;&gt;"", IFERROR(INDEX(ERP資料!$A:$A, (MATCH(649, 輔助計算!$G$2:$G$801, 0)+1)), "")&lt;&gt;IFERROR(INDEX(ERP資料!$A:$A, MATCH(648, 輔助計算!$G$2:$G$801, 0)+1), "")), INDEX(ERP資料!$B:$B, (MATCH(649, 輔助計算!$G$2:$G$801, 0)+1)), ""), "")</f>
        <v/>
      </c>
      <c r="M650" s="17" t="n"/>
    </row>
    <row r="651">
      <c r="A651" s="10">
        <f>IFERROR(IF(AND(IFERROR(INDEX(ERP資料!$A:$A, (MATCH(650, 輔助計算!$G$2:$G$801, 0)+1)), "")&lt;&gt;"", IFERROR(INDEX(ERP資料!$A:$A, (MATCH(650, 輔助計算!$G$2:$G$801, 0)+1)), "")&lt;&gt;IFERROR(INDEX(ERP資料!$A:$A, MATCH(649, 輔助計算!$G$2:$G$801, 0)+1), "")), IFERROR(INDEX(ERP資料!$A:$A, (MATCH(650, 輔助計算!$G$2:$G$801, 0)+1)), ""), ""), "")</f>
        <v/>
      </c>
      <c r="B651" s="10">
        <f>IFERROR(IF(AND(IFERROR(INDEX(ERP資料!$A:$A, (MATCH(650, 輔助計算!$G$2:$G$801, 0)+1)), "")&lt;&gt;"", IFERROR(INDEX(ERP資料!$A:$A, (MATCH(650, 輔助計算!$G$2:$G$801, 0)+1)), "")&lt;&gt;IFERROR(INDEX(ERP資料!$A:$A, MATCH(649, 輔助計算!$G$2:$G$801, 0)+1), "")), INDEX(ERP資料!$S:$S, (MATCH(650, 輔助計算!$G$2:$G$801, 0)+1)), ""), "")</f>
        <v/>
      </c>
      <c r="C651" s="19">
        <f>IFERROR(IF(AND(IFERROR(INDEX(ERP資料!$A:$A, (MATCH(650, 輔助計算!$G$2:$G$801, 0)+1)), "")&lt;&gt;"", IFERROR(INDEX(ERP資料!$A:$A, (MATCH(650, 輔助計算!$G$2:$G$801, 0)+1)), "")&lt;&gt;IFERROR(INDEX(ERP資料!$A:$A, MATCH(649, 輔助計算!$G$2:$G$801, 0)+1), "")), IFERROR(VLOOKUP(LEFT(INDEX(ERP資料!$S:$S, (MATCH(650, 輔助計算!$G$2:$G$801, 0)+1)), 4), 紙管對照表!$A:$C, 3, FALSE), ""), ""), "")</f>
        <v/>
      </c>
      <c r="D651" s="16" t="n"/>
      <c r="E651" s="10">
        <f>IFERROR(IF(INDEX(ERP資料!$H:$H, (MATCH(650, 輔助計算!$G$2:$G$801, 0)+1))="","",INDEX(ERP資料!$H:$H, (MATCH(650, 輔助計算!$G$2:$G$801, 0)+1))), "")</f>
        <v/>
      </c>
      <c r="F651" s="10">
        <f>IFERROR(IF(INDEX(ERP資料!$E:$E, (MATCH(650, 輔助計算!$G$2:$G$801, 0)+1))="","",TRIM(INDEX(ERP資料!$E:$E, (MATCH(650, 輔助計算!$G$2:$G$801, 0)+1)))), "")</f>
        <v/>
      </c>
      <c r="G651" s="10">
        <f>IFERROR(IF(INDEX(ERP資料!$F:$F, (MATCH(650, 輔助計算!$G$2:$G$801, 0)+1))="","",INDEX(ERP資料!$F:$F, (MATCH(650, 輔助計算!$G$2:$G$801, 0)+1))), "")</f>
        <v/>
      </c>
      <c r="H651" s="10">
        <f>IFERROR(IF(INDEX(ERP資料!$G:$G, (MATCH(650, 輔助計算!$G$2:$G$801, 0)+1))="","",INDEX(ERP資料!$G:$G, (MATCH(650, 輔助計算!$G$2:$G$801, 0)+1))), "")</f>
        <v/>
      </c>
      <c r="I651" s="15">
        <f>IFERROR(INDEX(輔助計算!$D:$D, (MATCH(650, 輔助計算!$G$2:$G$801, 0)+1)), "")</f>
        <v/>
      </c>
      <c r="J651" s="15">
        <f>IFERROR(IF(AND(INDEX(輔助計算!$D:$D, (MATCH(650, 輔助計算!$G$2:$G$801, 0)+1))&lt;&gt;"", INDEX(ERP資料!$G:$G, (MATCH(650, 輔助計算!$G$2:$G$801, 0)+1))&lt;&gt;""), TRIM(IF(INT(INDEX(輔助計算!$D:$D, (MATCH(650, 輔助計算!$G$2:$G$801, 0)+1))/IF(INDEX(ERP資料!$G:$G, (MATCH(650, 輔助計算!$G$2:$G$801, 0)+1))&lt;100, IF(INDEX(ERP資料!$G:$G, (MATCH(650, 輔助計算!$G$2:$G$801, 0)+1))&lt;=31,3,IF(INDEX(ERP資料!$G:$G, (MATCH(650, 輔助計算!$G$2:$G$801, 0)+1))&lt;=46.5,2,1)), IF(INDEX(ERP資料!$G:$G, (MATCH(650, 輔助計算!$G$2:$G$801, 0)+1))&lt;=790,3,IF(INDEX(ERP資料!$G:$G, (MATCH(650, 輔助計算!$G$2:$G$801, 0)+1))&lt;=1181,2,1))))&gt;0, IF(IF(INDEX(ERP資料!$G:$G, (MATCH(650, 輔助計算!$G$2:$G$801, 0)+1))&lt;100, IF(INDEX(ERP資料!$G:$G, (MATCH(650, 輔助計算!$G$2:$G$801, 0)+1))&lt;=31,3,IF(INDEX(ERP資料!$G:$G, (MATCH(650, 輔助計算!$G$2:$G$801, 0)+1))&lt;=46.5,2,1)), IF(INDEX(ERP資料!$G:$G, (MATCH(650, 輔助計算!$G$2:$G$801, 0)+1))&lt;=790,3,IF(INDEX(ERP資料!$G:$G, (MATCH(650, 輔助計算!$G$2:$G$801, 0)+1))&lt;=1181,2,1)))=1,TEXT(INDEX(ERP資料!$G:$G, (MATCH(650, 輔助計算!$G$2:$G$801, 0)+1)),"0.##"),IF(IF(INDEX(ERP資料!$G:$G, (MATCH(650, 輔助計算!$G$2:$G$801, 0)+1))&lt;100, IF(INDEX(ERP資料!$G:$G, (MATCH(650, 輔助計算!$G$2:$G$801, 0)+1))&lt;=31,3,IF(INDEX(ERP資料!$G:$G, (MATCH(650, 輔助計算!$G$2:$G$801, 0)+1))&lt;=46.5,2,1)), IF(INDEX(ERP資料!$G:$G, (MATCH(650, 輔助計算!$G$2:$G$801, 0)+1))&lt;=790,3,IF(INDEX(ERP資料!$G:$G, (MATCH(650, 輔助計算!$G$2:$G$801, 0)+1))&lt;=1181,2,1)))=2,TEXT(INDEX(ERP資料!$G:$G, (MATCH(650, 輔助計算!$G$2:$G$801, 0)+1)),"0.##")&amp;"+"&amp;TEXT(INDEX(ERP資料!$G:$G, (MATCH(650, 輔助計算!$G$2:$G$801, 0)+1)),"0.##"),TEXT(INDEX(ERP資料!$G:$G, (MATCH(650, 輔助計算!$G$2:$G$801, 0)+1)),"0.##")&amp;"+"&amp;TEXT(INDEX(ERP資料!$G:$G, (MATCH(650, 輔助計算!$G$2:$G$801, 0)+1)),"0.##")&amp;"+"&amp;TEXT(INDEX(ERP資料!$G:$G, (MATCH(650, 輔助計算!$G$2:$G$801, 0)+1)),"0.##")))&amp;"-"&amp;INT(INDEX(輔助計算!$D:$D, (MATCH(650, 輔助計算!$G$2:$G$801, 0)+1))/IF(INDEX(ERP資料!$G:$G, (MATCH(650, 輔助計算!$G$2:$G$801, 0)+1))&lt;100, IF(INDEX(ERP資料!$G:$G, (MATCH(650, 輔助計算!$G$2:$G$801, 0)+1))&lt;=31,3,IF(INDEX(ERP資料!$G:$G, (MATCH(650, 輔助計算!$G$2:$G$801, 0)+1))&lt;=46.5,2,1)), IF(INDEX(ERP資料!$G:$G, (MATCH(650, 輔助計算!$G$2:$G$801, 0)+1))&lt;=790,3,IF(INDEX(ERP資料!$G:$G, (MATCH(650, 輔助計算!$G$2:$G$801, 0)+1))&lt;=1181,2,1)))), "")&amp;IF(AND(IF(INT(INDEX(輔助計算!$D:$D, (MATCH(650, 輔助計算!$G$2:$G$801, 0)+1))/IF(INDEX(ERP資料!$G:$G, (MATCH(650, 輔助計算!$G$2:$G$801, 0)+1))&lt;100, IF(INDEX(ERP資料!$G:$G, (MATCH(650, 輔助計算!$G$2:$G$801, 0)+1))&lt;=31,3,IF(INDEX(ERP資料!$G:$G, (MATCH(650, 輔助計算!$G$2:$G$801, 0)+1))&lt;=46.5,2,1)), IF(INDEX(ERP資料!$G:$G, (MATCH(650, 輔助計算!$G$2:$G$801, 0)+1))&lt;=790,3,IF(INDEX(ERP資料!$G:$G, (MATCH(650, 輔助計算!$G$2:$G$801, 0)+1))&lt;=1181,2,1))))&gt;0, IF(IF(INDEX(ERP資料!$G:$G, (MATCH(650, 輔助計算!$G$2:$G$801, 0)+1))&lt;100, IF(INDEX(ERP資料!$G:$G, (MATCH(650, 輔助計算!$G$2:$G$801, 0)+1))&lt;=31,3,IF(INDEX(ERP資料!$G:$G, (MATCH(650, 輔助計算!$G$2:$G$801, 0)+1))&lt;=46.5,2,1)), IF(INDEX(ERP資料!$G:$G, (MATCH(650, 輔助計算!$G$2:$G$801, 0)+1))&lt;=790,3,IF(INDEX(ERP資料!$G:$G, (MATCH(650, 輔助計算!$G$2:$G$801, 0)+1))&lt;=1181,2,1)))=1,TEXT(INDEX(ERP資料!$G:$G, (MATCH(650, 輔助計算!$G$2:$G$801, 0)+1)),"0.##"),IF(IF(INDEX(ERP資料!$G:$G, (MATCH(650, 輔助計算!$G$2:$G$801, 0)+1))&lt;100, IF(INDEX(ERP資料!$G:$G, (MATCH(650, 輔助計算!$G$2:$G$801, 0)+1))&lt;=31,3,IF(INDEX(ERP資料!$G:$G, (MATCH(650, 輔助計算!$G$2:$G$801, 0)+1))&lt;=46.5,2,1)), IF(INDEX(ERP資料!$G:$G, (MATCH(650, 輔助計算!$G$2:$G$801, 0)+1))&lt;=790,3,IF(INDEX(ERP資料!$G:$G, (MATCH(650, 輔助計算!$G$2:$G$801, 0)+1))&lt;=1181,2,1)))=2,TEXT(INDEX(ERP資料!$G:$G, (MATCH(650, 輔助計算!$G$2:$G$801, 0)+1)),"0.##")&amp;"+"&amp;TEXT(INDEX(ERP資料!$G:$G, (MATCH(650, 輔助計算!$G$2:$G$801, 0)+1)),"0.##"),TEXT(INDEX(ERP資料!$G:$G, (MATCH(650, 輔助計算!$G$2:$G$801, 0)+1)),"0.##")&amp;"+"&amp;TEXT(INDEX(ERP資料!$G:$G, (MATCH(650, 輔助計算!$G$2:$G$801, 0)+1)),"0.##")&amp;"+"&amp;TEXT(INDEX(ERP資料!$G:$G, (MATCH(650, 輔助計算!$G$2:$G$801, 0)+1)),"0.##")))&amp;"-"&amp;INT(INDEX(輔助計算!$D:$D, (MATCH(650, 輔助計算!$G$2:$G$801, 0)+1))/IF(INDEX(ERP資料!$G:$G, (MATCH(650, 輔助計算!$G$2:$G$801, 0)+1))&lt;100, IF(INDEX(ERP資料!$G:$G, (MATCH(650, 輔助計算!$G$2:$G$801, 0)+1))&lt;=31,3,IF(INDEX(ERP資料!$G:$G, (MATCH(650, 輔助計算!$G$2:$G$801, 0)+1))&lt;=46.5,2,1)), IF(INDEX(ERP資料!$G:$G, (MATCH(650, 輔助計算!$G$2:$G$801, 0)+1))&lt;=790,3,IF(INDEX(ERP資料!$G:$G, (MATCH(650, 輔助計算!$G$2:$G$801, 0)+1))&lt;=1181,2,1)))), "")&lt;&gt;"",IF(MOD(INDEX(輔助計算!$D:$D, (MATCH(650, 輔助計算!$G$2:$G$801, 0)+1)),IF(INDEX(ERP資料!$G:$G, (MATCH(650, 輔助計算!$G$2:$G$801, 0)+1))&lt;100, IF(INDEX(ERP資料!$G:$G, (MATCH(650, 輔助計算!$G$2:$G$801, 0)+1))&lt;=31,3,IF(INDEX(ERP資料!$G:$G, (MATCH(650, 輔助計算!$G$2:$G$801, 0)+1))&lt;=46.5,2,1)), IF(INDEX(ERP資料!$G:$G, (MATCH(650, 輔助計算!$G$2:$G$801, 0)+1))&lt;=790,3,IF(INDEX(ERP資料!$G:$G, (MATCH(650, 輔助計算!$G$2:$G$801, 0)+1))&lt;=1181,2,1))))=0,"",IF(MOD(INDEX(輔助計算!$D:$D, (MATCH(650, 輔助計算!$G$2:$G$801, 0)+1)),IF(INDEX(ERP資料!$G:$G, (MATCH(650, 輔助計算!$G$2:$G$801, 0)+1))&lt;100, IF(INDEX(ERP資料!$G:$G, (MATCH(650, 輔助計算!$G$2:$G$801, 0)+1))&lt;=31,3,IF(INDEX(ERP資料!$G:$G, (MATCH(650, 輔助計算!$G$2:$G$801, 0)+1))&lt;=46.5,2,1)), IF(INDEX(ERP資料!$G:$G, (MATCH(650, 輔助計算!$G$2:$G$801, 0)+1))&lt;=790,3,IF(INDEX(ERP資料!$G:$G, (MATCH(650, 輔助計算!$G$2:$G$801, 0)+1))&lt;=1181,2,1))))=0,"",IF(MOD(INDEX(輔助計算!$D:$D, (MATCH(650, 輔助計算!$G$2:$G$801, 0)+1)),IF(INDEX(ERP資料!$G:$G, (MATCH(650, 輔助計算!$G$2:$G$801, 0)+1))&lt;100, IF(INDEX(ERP資料!$G:$G, (MATCH(650, 輔助計算!$G$2:$G$801, 0)+1))&lt;=31,3,IF(INDEX(ERP資料!$G:$G, (MATCH(650, 輔助計算!$G$2:$G$801, 0)+1))&lt;=46.5,2,1)), IF(INDEX(ERP資料!$G:$G, (MATCH(650, 輔助計算!$G$2:$G$801, 0)+1))&lt;=790,3,IF(INDEX(ERP資料!$G:$G, (MATCH(650, 輔助計算!$G$2:$G$801, 0)+1))&lt;=1181,2,1))))=1,TEXT(INDEX(ERP資料!$G:$G, (MATCH(650, 輔助計算!$G$2:$G$801, 0)+1)),"0.##"),IF(MOD(INDEX(輔助計算!$D:$D, (MATCH(650, 輔助計算!$G$2:$G$801, 0)+1)),IF(INDEX(ERP資料!$G:$G, (MATCH(650, 輔助計算!$G$2:$G$801, 0)+1))&lt;100, IF(INDEX(ERP資料!$G:$G, (MATCH(650, 輔助計算!$G$2:$G$801, 0)+1))&lt;=31,3,IF(INDEX(ERP資料!$G:$G, (MATCH(650, 輔助計算!$G$2:$G$801, 0)+1))&lt;=46.5,2,1)), IF(INDEX(ERP資料!$G:$G, (MATCH(650, 輔助計算!$G$2:$G$801, 0)+1))&lt;=790,3,IF(INDEX(ERP資料!$G:$G, (MATCH(650, 輔助計算!$G$2:$G$801, 0)+1))&lt;=1181,2,1))))=2,TEXT(INDEX(ERP資料!$G:$G, (MATCH(650, 輔助計算!$G$2:$G$801, 0)+1)),"0.##")&amp;"+"&amp;TEXT(INDEX(ERP資料!$G:$G, (MATCH(650, 輔助計算!$G$2:$G$801, 0)+1)),"0.##"),TEXT(INDEX(ERP資料!$G:$G, (MATCH(650, 輔助計算!$G$2:$G$801, 0)+1)),"0.##")&amp;"+"&amp;TEXT(INDEX(ERP資料!$G:$G, (MATCH(650, 輔助計算!$G$2:$G$801, 0)+1)),"0.##")&amp;"+"&amp;TEXT(INDEX(ERP資料!$G:$G, (MATCH(650, 輔助計算!$G$2:$G$801, 0)+1)),"0.##"))))&amp;"-1")&lt;&gt;""),"  ","")&amp;IF(MOD(INDEX(輔助計算!$D:$D, (MATCH(650, 輔助計算!$G$2:$G$801, 0)+1)),IF(INDEX(ERP資料!$G:$G, (MATCH(650, 輔助計算!$G$2:$G$801, 0)+1))&lt;100, IF(INDEX(ERP資料!$G:$G, (MATCH(650, 輔助計算!$G$2:$G$801, 0)+1))&lt;=31,3,IF(INDEX(ERP資料!$G:$G, (MATCH(650, 輔助計算!$G$2:$G$801, 0)+1))&lt;=46.5,2,1)), IF(INDEX(ERP資料!$G:$G, (MATCH(650, 輔助計算!$G$2:$G$801, 0)+1))&lt;=790,3,IF(INDEX(ERP資料!$G:$G, (MATCH(650, 輔助計算!$G$2:$G$801, 0)+1))&lt;=1181,2,1))))=0,"",IF(MOD(INDEX(輔助計算!$D:$D, (MATCH(650, 輔助計算!$G$2:$G$801, 0)+1)),IF(INDEX(ERP資料!$G:$G, (MATCH(650, 輔助計算!$G$2:$G$801, 0)+1))&lt;100, IF(INDEX(ERP資料!$G:$G, (MATCH(650, 輔助計算!$G$2:$G$801, 0)+1))&lt;=31,3,IF(INDEX(ERP資料!$G:$G, (MATCH(650, 輔助計算!$G$2:$G$801, 0)+1))&lt;=46.5,2,1)), IF(INDEX(ERP資料!$G:$G, (MATCH(650, 輔助計算!$G$2:$G$801, 0)+1))&lt;=790,3,IF(INDEX(ERP資料!$G:$G, (MATCH(650, 輔助計算!$G$2:$G$801, 0)+1))&lt;=1181,2,1))))=0,"",IF(MOD(INDEX(輔助計算!$D:$D, (MATCH(650, 輔助計算!$G$2:$G$801, 0)+1)),IF(INDEX(ERP資料!$G:$G, (MATCH(650, 輔助計算!$G$2:$G$801, 0)+1))&lt;100, IF(INDEX(ERP資料!$G:$G, (MATCH(650, 輔助計算!$G$2:$G$801, 0)+1))&lt;=31,3,IF(INDEX(ERP資料!$G:$G, (MATCH(650, 輔助計算!$G$2:$G$801, 0)+1))&lt;=46.5,2,1)), IF(INDEX(ERP資料!$G:$G, (MATCH(650, 輔助計算!$G$2:$G$801, 0)+1))&lt;=790,3,IF(INDEX(ERP資料!$G:$G, (MATCH(650, 輔助計算!$G$2:$G$801, 0)+1))&lt;=1181,2,1))))=1,TEXT(INDEX(ERP資料!$G:$G, (MATCH(650, 輔助計算!$G$2:$G$801, 0)+1)),"0.##"),IF(MOD(INDEX(輔助計算!$D:$D, (MATCH(650, 輔助計算!$G$2:$G$801, 0)+1)),IF(INDEX(ERP資料!$G:$G, (MATCH(650, 輔助計算!$G$2:$G$801, 0)+1))&lt;100, IF(INDEX(ERP資料!$G:$G, (MATCH(650, 輔助計算!$G$2:$G$801, 0)+1))&lt;=31,3,IF(INDEX(ERP資料!$G:$G, (MATCH(650, 輔助計算!$G$2:$G$801, 0)+1))&lt;=46.5,2,1)), IF(INDEX(ERP資料!$G:$G, (MATCH(650, 輔助計算!$G$2:$G$801, 0)+1))&lt;=790,3,IF(INDEX(ERP資料!$G:$G, (MATCH(650, 輔助計算!$G$2:$G$801, 0)+1))&lt;=1181,2,1))))=2,TEXT(INDEX(ERP資料!$G:$G, (MATCH(650, 輔助計算!$G$2:$G$801, 0)+1)),"0.##")&amp;"+"&amp;TEXT(INDEX(ERP資料!$G:$G, (MATCH(650, 輔助計算!$G$2:$G$801, 0)+1)),"0.##"),TEXT(INDEX(ERP資料!$G:$G, (MATCH(650, 輔助計算!$G$2:$G$801, 0)+1)),"0.##")&amp;"+"&amp;TEXT(INDEX(ERP資料!$G:$G, (MATCH(650, 輔助計算!$G$2:$G$801, 0)+1)),"0.##")&amp;"+"&amp;TEXT(INDEX(ERP資料!$G:$G, (MATCH(650, 輔助計算!$G$2:$G$801, 0)+1)),"0.##"))))&amp;"-1")), ""), "")</f>
        <v/>
      </c>
      <c r="K651" s="16" t="n"/>
      <c r="L651" s="14">
        <f>IFERROR(IF(AND(IFERROR(INDEX(ERP資料!$A:$A, (MATCH(650, 輔助計算!$G$2:$G$801, 0)+1)), "")&lt;&gt;"", IFERROR(INDEX(ERP資料!$A:$A, (MATCH(650, 輔助計算!$G$2:$G$801, 0)+1)), "")&lt;&gt;IFERROR(INDEX(ERP資料!$A:$A, MATCH(649, 輔助計算!$G$2:$G$801, 0)+1), "")), INDEX(ERP資料!$B:$B, (MATCH(650, 輔助計算!$G$2:$G$801, 0)+1)), ""), "")</f>
        <v/>
      </c>
      <c r="M651" s="17" t="n"/>
    </row>
    <row r="652">
      <c r="A652" s="10">
        <f>IFERROR(IF(AND(IFERROR(INDEX(ERP資料!$A:$A, (MATCH(651, 輔助計算!$G$2:$G$801, 0)+1)), "")&lt;&gt;"", IFERROR(INDEX(ERP資料!$A:$A, (MATCH(651, 輔助計算!$G$2:$G$801, 0)+1)), "")&lt;&gt;IFERROR(INDEX(ERP資料!$A:$A, MATCH(650, 輔助計算!$G$2:$G$801, 0)+1), "")), IFERROR(INDEX(ERP資料!$A:$A, (MATCH(651, 輔助計算!$G$2:$G$801, 0)+1)), ""), ""), "")</f>
        <v/>
      </c>
      <c r="B652" s="10">
        <f>IFERROR(IF(AND(IFERROR(INDEX(ERP資料!$A:$A, (MATCH(651, 輔助計算!$G$2:$G$801, 0)+1)), "")&lt;&gt;"", IFERROR(INDEX(ERP資料!$A:$A, (MATCH(651, 輔助計算!$G$2:$G$801, 0)+1)), "")&lt;&gt;IFERROR(INDEX(ERP資料!$A:$A, MATCH(650, 輔助計算!$G$2:$G$801, 0)+1), "")), INDEX(ERP資料!$S:$S, (MATCH(651, 輔助計算!$G$2:$G$801, 0)+1)), ""), "")</f>
        <v/>
      </c>
      <c r="C652" s="19">
        <f>IFERROR(IF(AND(IFERROR(INDEX(ERP資料!$A:$A, (MATCH(651, 輔助計算!$G$2:$G$801, 0)+1)), "")&lt;&gt;"", IFERROR(INDEX(ERP資料!$A:$A, (MATCH(651, 輔助計算!$G$2:$G$801, 0)+1)), "")&lt;&gt;IFERROR(INDEX(ERP資料!$A:$A, MATCH(650, 輔助計算!$G$2:$G$801, 0)+1), "")), IFERROR(VLOOKUP(LEFT(INDEX(ERP資料!$S:$S, (MATCH(651, 輔助計算!$G$2:$G$801, 0)+1)), 4), 紙管對照表!$A:$C, 3, FALSE), ""), ""), "")</f>
        <v/>
      </c>
      <c r="D652" s="16" t="n"/>
      <c r="E652" s="10">
        <f>IFERROR(IF(INDEX(ERP資料!$H:$H, (MATCH(651, 輔助計算!$G$2:$G$801, 0)+1))="","",INDEX(ERP資料!$H:$H, (MATCH(651, 輔助計算!$G$2:$G$801, 0)+1))), "")</f>
        <v/>
      </c>
      <c r="F652" s="10">
        <f>IFERROR(IF(INDEX(ERP資料!$E:$E, (MATCH(651, 輔助計算!$G$2:$G$801, 0)+1))="","",TRIM(INDEX(ERP資料!$E:$E, (MATCH(651, 輔助計算!$G$2:$G$801, 0)+1)))), "")</f>
        <v/>
      </c>
      <c r="G652" s="10">
        <f>IFERROR(IF(INDEX(ERP資料!$F:$F, (MATCH(651, 輔助計算!$G$2:$G$801, 0)+1))="","",INDEX(ERP資料!$F:$F, (MATCH(651, 輔助計算!$G$2:$G$801, 0)+1))), "")</f>
        <v/>
      </c>
      <c r="H652" s="10">
        <f>IFERROR(IF(INDEX(ERP資料!$G:$G, (MATCH(651, 輔助計算!$G$2:$G$801, 0)+1))="","",INDEX(ERP資料!$G:$G, (MATCH(651, 輔助計算!$G$2:$G$801, 0)+1))), "")</f>
        <v/>
      </c>
      <c r="I652" s="15">
        <f>IFERROR(INDEX(輔助計算!$D:$D, (MATCH(651, 輔助計算!$G$2:$G$801, 0)+1)), "")</f>
        <v/>
      </c>
      <c r="J652" s="15">
        <f>IFERROR(IF(AND(INDEX(輔助計算!$D:$D, (MATCH(651, 輔助計算!$G$2:$G$801, 0)+1))&lt;&gt;"", INDEX(ERP資料!$G:$G, (MATCH(651, 輔助計算!$G$2:$G$801, 0)+1))&lt;&gt;""), TRIM(IF(INT(INDEX(輔助計算!$D:$D, (MATCH(651, 輔助計算!$G$2:$G$801, 0)+1))/IF(INDEX(ERP資料!$G:$G, (MATCH(651, 輔助計算!$G$2:$G$801, 0)+1))&lt;100, IF(INDEX(ERP資料!$G:$G, (MATCH(651, 輔助計算!$G$2:$G$801, 0)+1))&lt;=31,3,IF(INDEX(ERP資料!$G:$G, (MATCH(651, 輔助計算!$G$2:$G$801, 0)+1))&lt;=46.5,2,1)), IF(INDEX(ERP資料!$G:$G, (MATCH(651, 輔助計算!$G$2:$G$801, 0)+1))&lt;=790,3,IF(INDEX(ERP資料!$G:$G, (MATCH(651, 輔助計算!$G$2:$G$801, 0)+1))&lt;=1181,2,1))))&gt;0, IF(IF(INDEX(ERP資料!$G:$G, (MATCH(651, 輔助計算!$G$2:$G$801, 0)+1))&lt;100, IF(INDEX(ERP資料!$G:$G, (MATCH(651, 輔助計算!$G$2:$G$801, 0)+1))&lt;=31,3,IF(INDEX(ERP資料!$G:$G, (MATCH(651, 輔助計算!$G$2:$G$801, 0)+1))&lt;=46.5,2,1)), IF(INDEX(ERP資料!$G:$G, (MATCH(651, 輔助計算!$G$2:$G$801, 0)+1))&lt;=790,3,IF(INDEX(ERP資料!$G:$G, (MATCH(651, 輔助計算!$G$2:$G$801, 0)+1))&lt;=1181,2,1)))=1,TEXT(INDEX(ERP資料!$G:$G, (MATCH(651, 輔助計算!$G$2:$G$801, 0)+1)),"0.##"),IF(IF(INDEX(ERP資料!$G:$G, (MATCH(651, 輔助計算!$G$2:$G$801, 0)+1))&lt;100, IF(INDEX(ERP資料!$G:$G, (MATCH(651, 輔助計算!$G$2:$G$801, 0)+1))&lt;=31,3,IF(INDEX(ERP資料!$G:$G, (MATCH(651, 輔助計算!$G$2:$G$801, 0)+1))&lt;=46.5,2,1)), IF(INDEX(ERP資料!$G:$G, (MATCH(651, 輔助計算!$G$2:$G$801, 0)+1))&lt;=790,3,IF(INDEX(ERP資料!$G:$G, (MATCH(651, 輔助計算!$G$2:$G$801, 0)+1))&lt;=1181,2,1)))=2,TEXT(INDEX(ERP資料!$G:$G, (MATCH(651, 輔助計算!$G$2:$G$801, 0)+1)),"0.##")&amp;"+"&amp;TEXT(INDEX(ERP資料!$G:$G, (MATCH(651, 輔助計算!$G$2:$G$801, 0)+1)),"0.##"),TEXT(INDEX(ERP資料!$G:$G, (MATCH(651, 輔助計算!$G$2:$G$801, 0)+1)),"0.##")&amp;"+"&amp;TEXT(INDEX(ERP資料!$G:$G, (MATCH(651, 輔助計算!$G$2:$G$801, 0)+1)),"0.##")&amp;"+"&amp;TEXT(INDEX(ERP資料!$G:$G, (MATCH(651, 輔助計算!$G$2:$G$801, 0)+1)),"0.##")))&amp;"-"&amp;INT(INDEX(輔助計算!$D:$D, (MATCH(651, 輔助計算!$G$2:$G$801, 0)+1))/IF(INDEX(ERP資料!$G:$G, (MATCH(651, 輔助計算!$G$2:$G$801, 0)+1))&lt;100, IF(INDEX(ERP資料!$G:$G, (MATCH(651, 輔助計算!$G$2:$G$801, 0)+1))&lt;=31,3,IF(INDEX(ERP資料!$G:$G, (MATCH(651, 輔助計算!$G$2:$G$801, 0)+1))&lt;=46.5,2,1)), IF(INDEX(ERP資料!$G:$G, (MATCH(651, 輔助計算!$G$2:$G$801, 0)+1))&lt;=790,3,IF(INDEX(ERP資料!$G:$G, (MATCH(651, 輔助計算!$G$2:$G$801, 0)+1))&lt;=1181,2,1)))), "")&amp;IF(AND(IF(INT(INDEX(輔助計算!$D:$D, (MATCH(651, 輔助計算!$G$2:$G$801, 0)+1))/IF(INDEX(ERP資料!$G:$G, (MATCH(651, 輔助計算!$G$2:$G$801, 0)+1))&lt;100, IF(INDEX(ERP資料!$G:$G, (MATCH(651, 輔助計算!$G$2:$G$801, 0)+1))&lt;=31,3,IF(INDEX(ERP資料!$G:$G, (MATCH(651, 輔助計算!$G$2:$G$801, 0)+1))&lt;=46.5,2,1)), IF(INDEX(ERP資料!$G:$G, (MATCH(651, 輔助計算!$G$2:$G$801, 0)+1))&lt;=790,3,IF(INDEX(ERP資料!$G:$G, (MATCH(651, 輔助計算!$G$2:$G$801, 0)+1))&lt;=1181,2,1))))&gt;0, IF(IF(INDEX(ERP資料!$G:$G, (MATCH(651, 輔助計算!$G$2:$G$801, 0)+1))&lt;100, IF(INDEX(ERP資料!$G:$G, (MATCH(651, 輔助計算!$G$2:$G$801, 0)+1))&lt;=31,3,IF(INDEX(ERP資料!$G:$G, (MATCH(651, 輔助計算!$G$2:$G$801, 0)+1))&lt;=46.5,2,1)), IF(INDEX(ERP資料!$G:$G, (MATCH(651, 輔助計算!$G$2:$G$801, 0)+1))&lt;=790,3,IF(INDEX(ERP資料!$G:$G, (MATCH(651, 輔助計算!$G$2:$G$801, 0)+1))&lt;=1181,2,1)))=1,TEXT(INDEX(ERP資料!$G:$G, (MATCH(651, 輔助計算!$G$2:$G$801, 0)+1)),"0.##"),IF(IF(INDEX(ERP資料!$G:$G, (MATCH(651, 輔助計算!$G$2:$G$801, 0)+1))&lt;100, IF(INDEX(ERP資料!$G:$G, (MATCH(651, 輔助計算!$G$2:$G$801, 0)+1))&lt;=31,3,IF(INDEX(ERP資料!$G:$G, (MATCH(651, 輔助計算!$G$2:$G$801, 0)+1))&lt;=46.5,2,1)), IF(INDEX(ERP資料!$G:$G, (MATCH(651, 輔助計算!$G$2:$G$801, 0)+1))&lt;=790,3,IF(INDEX(ERP資料!$G:$G, (MATCH(651, 輔助計算!$G$2:$G$801, 0)+1))&lt;=1181,2,1)))=2,TEXT(INDEX(ERP資料!$G:$G, (MATCH(651, 輔助計算!$G$2:$G$801, 0)+1)),"0.##")&amp;"+"&amp;TEXT(INDEX(ERP資料!$G:$G, (MATCH(651, 輔助計算!$G$2:$G$801, 0)+1)),"0.##"),TEXT(INDEX(ERP資料!$G:$G, (MATCH(651, 輔助計算!$G$2:$G$801, 0)+1)),"0.##")&amp;"+"&amp;TEXT(INDEX(ERP資料!$G:$G, (MATCH(651, 輔助計算!$G$2:$G$801, 0)+1)),"0.##")&amp;"+"&amp;TEXT(INDEX(ERP資料!$G:$G, (MATCH(651, 輔助計算!$G$2:$G$801, 0)+1)),"0.##")))&amp;"-"&amp;INT(INDEX(輔助計算!$D:$D, (MATCH(651, 輔助計算!$G$2:$G$801, 0)+1))/IF(INDEX(ERP資料!$G:$G, (MATCH(651, 輔助計算!$G$2:$G$801, 0)+1))&lt;100, IF(INDEX(ERP資料!$G:$G, (MATCH(651, 輔助計算!$G$2:$G$801, 0)+1))&lt;=31,3,IF(INDEX(ERP資料!$G:$G, (MATCH(651, 輔助計算!$G$2:$G$801, 0)+1))&lt;=46.5,2,1)), IF(INDEX(ERP資料!$G:$G, (MATCH(651, 輔助計算!$G$2:$G$801, 0)+1))&lt;=790,3,IF(INDEX(ERP資料!$G:$G, (MATCH(651, 輔助計算!$G$2:$G$801, 0)+1))&lt;=1181,2,1)))), "")&lt;&gt;"",IF(MOD(INDEX(輔助計算!$D:$D, (MATCH(651, 輔助計算!$G$2:$G$801, 0)+1)),IF(INDEX(ERP資料!$G:$G, (MATCH(651, 輔助計算!$G$2:$G$801, 0)+1))&lt;100, IF(INDEX(ERP資料!$G:$G, (MATCH(651, 輔助計算!$G$2:$G$801, 0)+1))&lt;=31,3,IF(INDEX(ERP資料!$G:$G, (MATCH(651, 輔助計算!$G$2:$G$801, 0)+1))&lt;=46.5,2,1)), IF(INDEX(ERP資料!$G:$G, (MATCH(651, 輔助計算!$G$2:$G$801, 0)+1))&lt;=790,3,IF(INDEX(ERP資料!$G:$G, (MATCH(651, 輔助計算!$G$2:$G$801, 0)+1))&lt;=1181,2,1))))=0,"",IF(MOD(INDEX(輔助計算!$D:$D, (MATCH(651, 輔助計算!$G$2:$G$801, 0)+1)),IF(INDEX(ERP資料!$G:$G, (MATCH(651, 輔助計算!$G$2:$G$801, 0)+1))&lt;100, IF(INDEX(ERP資料!$G:$G, (MATCH(651, 輔助計算!$G$2:$G$801, 0)+1))&lt;=31,3,IF(INDEX(ERP資料!$G:$G, (MATCH(651, 輔助計算!$G$2:$G$801, 0)+1))&lt;=46.5,2,1)), IF(INDEX(ERP資料!$G:$G, (MATCH(651, 輔助計算!$G$2:$G$801, 0)+1))&lt;=790,3,IF(INDEX(ERP資料!$G:$G, (MATCH(651, 輔助計算!$G$2:$G$801, 0)+1))&lt;=1181,2,1))))=0,"",IF(MOD(INDEX(輔助計算!$D:$D, (MATCH(651, 輔助計算!$G$2:$G$801, 0)+1)),IF(INDEX(ERP資料!$G:$G, (MATCH(651, 輔助計算!$G$2:$G$801, 0)+1))&lt;100, IF(INDEX(ERP資料!$G:$G, (MATCH(651, 輔助計算!$G$2:$G$801, 0)+1))&lt;=31,3,IF(INDEX(ERP資料!$G:$G, (MATCH(651, 輔助計算!$G$2:$G$801, 0)+1))&lt;=46.5,2,1)), IF(INDEX(ERP資料!$G:$G, (MATCH(651, 輔助計算!$G$2:$G$801, 0)+1))&lt;=790,3,IF(INDEX(ERP資料!$G:$G, (MATCH(651, 輔助計算!$G$2:$G$801, 0)+1))&lt;=1181,2,1))))=1,TEXT(INDEX(ERP資料!$G:$G, (MATCH(651, 輔助計算!$G$2:$G$801, 0)+1)),"0.##"),IF(MOD(INDEX(輔助計算!$D:$D, (MATCH(651, 輔助計算!$G$2:$G$801, 0)+1)),IF(INDEX(ERP資料!$G:$G, (MATCH(651, 輔助計算!$G$2:$G$801, 0)+1))&lt;100, IF(INDEX(ERP資料!$G:$G, (MATCH(651, 輔助計算!$G$2:$G$801, 0)+1))&lt;=31,3,IF(INDEX(ERP資料!$G:$G, (MATCH(651, 輔助計算!$G$2:$G$801, 0)+1))&lt;=46.5,2,1)), IF(INDEX(ERP資料!$G:$G, (MATCH(651, 輔助計算!$G$2:$G$801, 0)+1))&lt;=790,3,IF(INDEX(ERP資料!$G:$G, (MATCH(651, 輔助計算!$G$2:$G$801, 0)+1))&lt;=1181,2,1))))=2,TEXT(INDEX(ERP資料!$G:$G, (MATCH(651, 輔助計算!$G$2:$G$801, 0)+1)),"0.##")&amp;"+"&amp;TEXT(INDEX(ERP資料!$G:$G, (MATCH(651, 輔助計算!$G$2:$G$801, 0)+1)),"0.##"),TEXT(INDEX(ERP資料!$G:$G, (MATCH(651, 輔助計算!$G$2:$G$801, 0)+1)),"0.##")&amp;"+"&amp;TEXT(INDEX(ERP資料!$G:$G, (MATCH(651, 輔助計算!$G$2:$G$801, 0)+1)),"0.##")&amp;"+"&amp;TEXT(INDEX(ERP資料!$G:$G, (MATCH(651, 輔助計算!$G$2:$G$801, 0)+1)),"0.##"))))&amp;"-1")&lt;&gt;""),"  ","")&amp;IF(MOD(INDEX(輔助計算!$D:$D, (MATCH(651, 輔助計算!$G$2:$G$801, 0)+1)),IF(INDEX(ERP資料!$G:$G, (MATCH(651, 輔助計算!$G$2:$G$801, 0)+1))&lt;100, IF(INDEX(ERP資料!$G:$G, (MATCH(651, 輔助計算!$G$2:$G$801, 0)+1))&lt;=31,3,IF(INDEX(ERP資料!$G:$G, (MATCH(651, 輔助計算!$G$2:$G$801, 0)+1))&lt;=46.5,2,1)), IF(INDEX(ERP資料!$G:$G, (MATCH(651, 輔助計算!$G$2:$G$801, 0)+1))&lt;=790,3,IF(INDEX(ERP資料!$G:$G, (MATCH(651, 輔助計算!$G$2:$G$801, 0)+1))&lt;=1181,2,1))))=0,"",IF(MOD(INDEX(輔助計算!$D:$D, (MATCH(651, 輔助計算!$G$2:$G$801, 0)+1)),IF(INDEX(ERP資料!$G:$G, (MATCH(651, 輔助計算!$G$2:$G$801, 0)+1))&lt;100, IF(INDEX(ERP資料!$G:$G, (MATCH(651, 輔助計算!$G$2:$G$801, 0)+1))&lt;=31,3,IF(INDEX(ERP資料!$G:$G, (MATCH(651, 輔助計算!$G$2:$G$801, 0)+1))&lt;=46.5,2,1)), IF(INDEX(ERP資料!$G:$G, (MATCH(651, 輔助計算!$G$2:$G$801, 0)+1))&lt;=790,3,IF(INDEX(ERP資料!$G:$G, (MATCH(651, 輔助計算!$G$2:$G$801, 0)+1))&lt;=1181,2,1))))=0,"",IF(MOD(INDEX(輔助計算!$D:$D, (MATCH(651, 輔助計算!$G$2:$G$801, 0)+1)),IF(INDEX(ERP資料!$G:$G, (MATCH(651, 輔助計算!$G$2:$G$801, 0)+1))&lt;100, IF(INDEX(ERP資料!$G:$G, (MATCH(651, 輔助計算!$G$2:$G$801, 0)+1))&lt;=31,3,IF(INDEX(ERP資料!$G:$G, (MATCH(651, 輔助計算!$G$2:$G$801, 0)+1))&lt;=46.5,2,1)), IF(INDEX(ERP資料!$G:$G, (MATCH(651, 輔助計算!$G$2:$G$801, 0)+1))&lt;=790,3,IF(INDEX(ERP資料!$G:$G, (MATCH(651, 輔助計算!$G$2:$G$801, 0)+1))&lt;=1181,2,1))))=1,TEXT(INDEX(ERP資料!$G:$G, (MATCH(651, 輔助計算!$G$2:$G$801, 0)+1)),"0.##"),IF(MOD(INDEX(輔助計算!$D:$D, (MATCH(651, 輔助計算!$G$2:$G$801, 0)+1)),IF(INDEX(ERP資料!$G:$G, (MATCH(651, 輔助計算!$G$2:$G$801, 0)+1))&lt;100, IF(INDEX(ERP資料!$G:$G, (MATCH(651, 輔助計算!$G$2:$G$801, 0)+1))&lt;=31,3,IF(INDEX(ERP資料!$G:$G, (MATCH(651, 輔助計算!$G$2:$G$801, 0)+1))&lt;=46.5,2,1)), IF(INDEX(ERP資料!$G:$G, (MATCH(651, 輔助計算!$G$2:$G$801, 0)+1))&lt;=790,3,IF(INDEX(ERP資料!$G:$G, (MATCH(651, 輔助計算!$G$2:$G$801, 0)+1))&lt;=1181,2,1))))=2,TEXT(INDEX(ERP資料!$G:$G, (MATCH(651, 輔助計算!$G$2:$G$801, 0)+1)),"0.##")&amp;"+"&amp;TEXT(INDEX(ERP資料!$G:$G, (MATCH(651, 輔助計算!$G$2:$G$801, 0)+1)),"0.##"),TEXT(INDEX(ERP資料!$G:$G, (MATCH(651, 輔助計算!$G$2:$G$801, 0)+1)),"0.##")&amp;"+"&amp;TEXT(INDEX(ERP資料!$G:$G, (MATCH(651, 輔助計算!$G$2:$G$801, 0)+1)),"0.##")&amp;"+"&amp;TEXT(INDEX(ERP資料!$G:$G, (MATCH(651, 輔助計算!$G$2:$G$801, 0)+1)),"0.##"))))&amp;"-1")), ""), "")</f>
        <v/>
      </c>
      <c r="K652" s="16" t="n"/>
      <c r="L652" s="14">
        <f>IFERROR(IF(AND(IFERROR(INDEX(ERP資料!$A:$A, (MATCH(651, 輔助計算!$G$2:$G$801, 0)+1)), "")&lt;&gt;"", IFERROR(INDEX(ERP資料!$A:$A, (MATCH(651, 輔助計算!$G$2:$G$801, 0)+1)), "")&lt;&gt;IFERROR(INDEX(ERP資料!$A:$A, MATCH(650, 輔助計算!$G$2:$G$801, 0)+1), "")), INDEX(ERP資料!$B:$B, (MATCH(651, 輔助計算!$G$2:$G$801, 0)+1)), ""), "")</f>
        <v/>
      </c>
      <c r="M652" s="17" t="n"/>
    </row>
    <row r="653">
      <c r="A653" s="10">
        <f>IFERROR(IF(AND(IFERROR(INDEX(ERP資料!$A:$A, (MATCH(652, 輔助計算!$G$2:$G$801, 0)+1)), "")&lt;&gt;"", IFERROR(INDEX(ERP資料!$A:$A, (MATCH(652, 輔助計算!$G$2:$G$801, 0)+1)), "")&lt;&gt;IFERROR(INDEX(ERP資料!$A:$A, MATCH(651, 輔助計算!$G$2:$G$801, 0)+1), "")), IFERROR(INDEX(ERP資料!$A:$A, (MATCH(652, 輔助計算!$G$2:$G$801, 0)+1)), ""), ""), "")</f>
        <v/>
      </c>
      <c r="B653" s="10">
        <f>IFERROR(IF(AND(IFERROR(INDEX(ERP資料!$A:$A, (MATCH(652, 輔助計算!$G$2:$G$801, 0)+1)), "")&lt;&gt;"", IFERROR(INDEX(ERP資料!$A:$A, (MATCH(652, 輔助計算!$G$2:$G$801, 0)+1)), "")&lt;&gt;IFERROR(INDEX(ERP資料!$A:$A, MATCH(651, 輔助計算!$G$2:$G$801, 0)+1), "")), INDEX(ERP資料!$S:$S, (MATCH(652, 輔助計算!$G$2:$G$801, 0)+1)), ""), "")</f>
        <v/>
      </c>
      <c r="C653" s="19">
        <f>IFERROR(IF(AND(IFERROR(INDEX(ERP資料!$A:$A, (MATCH(652, 輔助計算!$G$2:$G$801, 0)+1)), "")&lt;&gt;"", IFERROR(INDEX(ERP資料!$A:$A, (MATCH(652, 輔助計算!$G$2:$G$801, 0)+1)), "")&lt;&gt;IFERROR(INDEX(ERP資料!$A:$A, MATCH(651, 輔助計算!$G$2:$G$801, 0)+1), "")), IFERROR(VLOOKUP(LEFT(INDEX(ERP資料!$S:$S, (MATCH(652, 輔助計算!$G$2:$G$801, 0)+1)), 4), 紙管對照表!$A:$C, 3, FALSE), ""), ""), "")</f>
        <v/>
      </c>
      <c r="D653" s="16" t="n"/>
      <c r="E653" s="10">
        <f>IFERROR(IF(INDEX(ERP資料!$H:$H, (MATCH(652, 輔助計算!$G$2:$G$801, 0)+1))="","",INDEX(ERP資料!$H:$H, (MATCH(652, 輔助計算!$G$2:$G$801, 0)+1))), "")</f>
        <v/>
      </c>
      <c r="F653" s="10">
        <f>IFERROR(IF(INDEX(ERP資料!$E:$E, (MATCH(652, 輔助計算!$G$2:$G$801, 0)+1))="","",TRIM(INDEX(ERP資料!$E:$E, (MATCH(652, 輔助計算!$G$2:$G$801, 0)+1)))), "")</f>
        <v/>
      </c>
      <c r="G653" s="10">
        <f>IFERROR(IF(INDEX(ERP資料!$F:$F, (MATCH(652, 輔助計算!$G$2:$G$801, 0)+1))="","",INDEX(ERP資料!$F:$F, (MATCH(652, 輔助計算!$G$2:$G$801, 0)+1))), "")</f>
        <v/>
      </c>
      <c r="H653" s="10">
        <f>IFERROR(IF(INDEX(ERP資料!$G:$G, (MATCH(652, 輔助計算!$G$2:$G$801, 0)+1))="","",INDEX(ERP資料!$G:$G, (MATCH(652, 輔助計算!$G$2:$G$801, 0)+1))), "")</f>
        <v/>
      </c>
      <c r="I653" s="15">
        <f>IFERROR(INDEX(輔助計算!$D:$D, (MATCH(652, 輔助計算!$G$2:$G$801, 0)+1)), "")</f>
        <v/>
      </c>
      <c r="J653" s="15">
        <f>IFERROR(IF(AND(INDEX(輔助計算!$D:$D, (MATCH(652, 輔助計算!$G$2:$G$801, 0)+1))&lt;&gt;"", INDEX(ERP資料!$G:$G, (MATCH(652, 輔助計算!$G$2:$G$801, 0)+1))&lt;&gt;""), TRIM(IF(INT(INDEX(輔助計算!$D:$D, (MATCH(652, 輔助計算!$G$2:$G$801, 0)+1))/IF(INDEX(ERP資料!$G:$G, (MATCH(652, 輔助計算!$G$2:$G$801, 0)+1))&lt;100, IF(INDEX(ERP資料!$G:$G, (MATCH(652, 輔助計算!$G$2:$G$801, 0)+1))&lt;=31,3,IF(INDEX(ERP資料!$G:$G, (MATCH(652, 輔助計算!$G$2:$G$801, 0)+1))&lt;=46.5,2,1)), IF(INDEX(ERP資料!$G:$G, (MATCH(652, 輔助計算!$G$2:$G$801, 0)+1))&lt;=790,3,IF(INDEX(ERP資料!$G:$G, (MATCH(652, 輔助計算!$G$2:$G$801, 0)+1))&lt;=1181,2,1))))&gt;0, IF(IF(INDEX(ERP資料!$G:$G, (MATCH(652, 輔助計算!$G$2:$G$801, 0)+1))&lt;100, IF(INDEX(ERP資料!$G:$G, (MATCH(652, 輔助計算!$G$2:$G$801, 0)+1))&lt;=31,3,IF(INDEX(ERP資料!$G:$G, (MATCH(652, 輔助計算!$G$2:$G$801, 0)+1))&lt;=46.5,2,1)), IF(INDEX(ERP資料!$G:$G, (MATCH(652, 輔助計算!$G$2:$G$801, 0)+1))&lt;=790,3,IF(INDEX(ERP資料!$G:$G, (MATCH(652, 輔助計算!$G$2:$G$801, 0)+1))&lt;=1181,2,1)))=1,TEXT(INDEX(ERP資料!$G:$G, (MATCH(652, 輔助計算!$G$2:$G$801, 0)+1)),"0.##"),IF(IF(INDEX(ERP資料!$G:$G, (MATCH(652, 輔助計算!$G$2:$G$801, 0)+1))&lt;100, IF(INDEX(ERP資料!$G:$G, (MATCH(652, 輔助計算!$G$2:$G$801, 0)+1))&lt;=31,3,IF(INDEX(ERP資料!$G:$G, (MATCH(652, 輔助計算!$G$2:$G$801, 0)+1))&lt;=46.5,2,1)), IF(INDEX(ERP資料!$G:$G, (MATCH(652, 輔助計算!$G$2:$G$801, 0)+1))&lt;=790,3,IF(INDEX(ERP資料!$G:$G, (MATCH(652, 輔助計算!$G$2:$G$801, 0)+1))&lt;=1181,2,1)))=2,TEXT(INDEX(ERP資料!$G:$G, (MATCH(652, 輔助計算!$G$2:$G$801, 0)+1)),"0.##")&amp;"+"&amp;TEXT(INDEX(ERP資料!$G:$G, (MATCH(652, 輔助計算!$G$2:$G$801, 0)+1)),"0.##"),TEXT(INDEX(ERP資料!$G:$G, (MATCH(652, 輔助計算!$G$2:$G$801, 0)+1)),"0.##")&amp;"+"&amp;TEXT(INDEX(ERP資料!$G:$G, (MATCH(652, 輔助計算!$G$2:$G$801, 0)+1)),"0.##")&amp;"+"&amp;TEXT(INDEX(ERP資料!$G:$G, (MATCH(652, 輔助計算!$G$2:$G$801, 0)+1)),"0.##")))&amp;"-"&amp;INT(INDEX(輔助計算!$D:$D, (MATCH(652, 輔助計算!$G$2:$G$801, 0)+1))/IF(INDEX(ERP資料!$G:$G, (MATCH(652, 輔助計算!$G$2:$G$801, 0)+1))&lt;100, IF(INDEX(ERP資料!$G:$G, (MATCH(652, 輔助計算!$G$2:$G$801, 0)+1))&lt;=31,3,IF(INDEX(ERP資料!$G:$G, (MATCH(652, 輔助計算!$G$2:$G$801, 0)+1))&lt;=46.5,2,1)), IF(INDEX(ERP資料!$G:$G, (MATCH(652, 輔助計算!$G$2:$G$801, 0)+1))&lt;=790,3,IF(INDEX(ERP資料!$G:$G, (MATCH(652, 輔助計算!$G$2:$G$801, 0)+1))&lt;=1181,2,1)))), "")&amp;IF(AND(IF(INT(INDEX(輔助計算!$D:$D, (MATCH(652, 輔助計算!$G$2:$G$801, 0)+1))/IF(INDEX(ERP資料!$G:$G, (MATCH(652, 輔助計算!$G$2:$G$801, 0)+1))&lt;100, IF(INDEX(ERP資料!$G:$G, (MATCH(652, 輔助計算!$G$2:$G$801, 0)+1))&lt;=31,3,IF(INDEX(ERP資料!$G:$G, (MATCH(652, 輔助計算!$G$2:$G$801, 0)+1))&lt;=46.5,2,1)), IF(INDEX(ERP資料!$G:$G, (MATCH(652, 輔助計算!$G$2:$G$801, 0)+1))&lt;=790,3,IF(INDEX(ERP資料!$G:$G, (MATCH(652, 輔助計算!$G$2:$G$801, 0)+1))&lt;=1181,2,1))))&gt;0, IF(IF(INDEX(ERP資料!$G:$G, (MATCH(652, 輔助計算!$G$2:$G$801, 0)+1))&lt;100, IF(INDEX(ERP資料!$G:$G, (MATCH(652, 輔助計算!$G$2:$G$801, 0)+1))&lt;=31,3,IF(INDEX(ERP資料!$G:$G, (MATCH(652, 輔助計算!$G$2:$G$801, 0)+1))&lt;=46.5,2,1)), IF(INDEX(ERP資料!$G:$G, (MATCH(652, 輔助計算!$G$2:$G$801, 0)+1))&lt;=790,3,IF(INDEX(ERP資料!$G:$G, (MATCH(652, 輔助計算!$G$2:$G$801, 0)+1))&lt;=1181,2,1)))=1,TEXT(INDEX(ERP資料!$G:$G, (MATCH(652, 輔助計算!$G$2:$G$801, 0)+1)),"0.##"),IF(IF(INDEX(ERP資料!$G:$G, (MATCH(652, 輔助計算!$G$2:$G$801, 0)+1))&lt;100, IF(INDEX(ERP資料!$G:$G, (MATCH(652, 輔助計算!$G$2:$G$801, 0)+1))&lt;=31,3,IF(INDEX(ERP資料!$G:$G, (MATCH(652, 輔助計算!$G$2:$G$801, 0)+1))&lt;=46.5,2,1)), IF(INDEX(ERP資料!$G:$G, (MATCH(652, 輔助計算!$G$2:$G$801, 0)+1))&lt;=790,3,IF(INDEX(ERP資料!$G:$G, (MATCH(652, 輔助計算!$G$2:$G$801, 0)+1))&lt;=1181,2,1)))=2,TEXT(INDEX(ERP資料!$G:$G, (MATCH(652, 輔助計算!$G$2:$G$801, 0)+1)),"0.##")&amp;"+"&amp;TEXT(INDEX(ERP資料!$G:$G, (MATCH(652, 輔助計算!$G$2:$G$801, 0)+1)),"0.##"),TEXT(INDEX(ERP資料!$G:$G, (MATCH(652, 輔助計算!$G$2:$G$801, 0)+1)),"0.##")&amp;"+"&amp;TEXT(INDEX(ERP資料!$G:$G, (MATCH(652, 輔助計算!$G$2:$G$801, 0)+1)),"0.##")&amp;"+"&amp;TEXT(INDEX(ERP資料!$G:$G, (MATCH(652, 輔助計算!$G$2:$G$801, 0)+1)),"0.##")))&amp;"-"&amp;INT(INDEX(輔助計算!$D:$D, (MATCH(652, 輔助計算!$G$2:$G$801, 0)+1))/IF(INDEX(ERP資料!$G:$G, (MATCH(652, 輔助計算!$G$2:$G$801, 0)+1))&lt;100, IF(INDEX(ERP資料!$G:$G, (MATCH(652, 輔助計算!$G$2:$G$801, 0)+1))&lt;=31,3,IF(INDEX(ERP資料!$G:$G, (MATCH(652, 輔助計算!$G$2:$G$801, 0)+1))&lt;=46.5,2,1)), IF(INDEX(ERP資料!$G:$G, (MATCH(652, 輔助計算!$G$2:$G$801, 0)+1))&lt;=790,3,IF(INDEX(ERP資料!$G:$G, (MATCH(652, 輔助計算!$G$2:$G$801, 0)+1))&lt;=1181,2,1)))), "")&lt;&gt;"",IF(MOD(INDEX(輔助計算!$D:$D, (MATCH(652, 輔助計算!$G$2:$G$801, 0)+1)),IF(INDEX(ERP資料!$G:$G, (MATCH(652, 輔助計算!$G$2:$G$801, 0)+1))&lt;100, IF(INDEX(ERP資料!$G:$G, (MATCH(652, 輔助計算!$G$2:$G$801, 0)+1))&lt;=31,3,IF(INDEX(ERP資料!$G:$G, (MATCH(652, 輔助計算!$G$2:$G$801, 0)+1))&lt;=46.5,2,1)), IF(INDEX(ERP資料!$G:$G, (MATCH(652, 輔助計算!$G$2:$G$801, 0)+1))&lt;=790,3,IF(INDEX(ERP資料!$G:$G, (MATCH(652, 輔助計算!$G$2:$G$801, 0)+1))&lt;=1181,2,1))))=0,"",IF(MOD(INDEX(輔助計算!$D:$D, (MATCH(652, 輔助計算!$G$2:$G$801, 0)+1)),IF(INDEX(ERP資料!$G:$G, (MATCH(652, 輔助計算!$G$2:$G$801, 0)+1))&lt;100, IF(INDEX(ERP資料!$G:$G, (MATCH(652, 輔助計算!$G$2:$G$801, 0)+1))&lt;=31,3,IF(INDEX(ERP資料!$G:$G, (MATCH(652, 輔助計算!$G$2:$G$801, 0)+1))&lt;=46.5,2,1)), IF(INDEX(ERP資料!$G:$G, (MATCH(652, 輔助計算!$G$2:$G$801, 0)+1))&lt;=790,3,IF(INDEX(ERP資料!$G:$G, (MATCH(652, 輔助計算!$G$2:$G$801, 0)+1))&lt;=1181,2,1))))=0,"",IF(MOD(INDEX(輔助計算!$D:$D, (MATCH(652, 輔助計算!$G$2:$G$801, 0)+1)),IF(INDEX(ERP資料!$G:$G, (MATCH(652, 輔助計算!$G$2:$G$801, 0)+1))&lt;100, IF(INDEX(ERP資料!$G:$G, (MATCH(652, 輔助計算!$G$2:$G$801, 0)+1))&lt;=31,3,IF(INDEX(ERP資料!$G:$G, (MATCH(652, 輔助計算!$G$2:$G$801, 0)+1))&lt;=46.5,2,1)), IF(INDEX(ERP資料!$G:$G, (MATCH(652, 輔助計算!$G$2:$G$801, 0)+1))&lt;=790,3,IF(INDEX(ERP資料!$G:$G, (MATCH(652, 輔助計算!$G$2:$G$801, 0)+1))&lt;=1181,2,1))))=1,TEXT(INDEX(ERP資料!$G:$G, (MATCH(652, 輔助計算!$G$2:$G$801, 0)+1)),"0.##"),IF(MOD(INDEX(輔助計算!$D:$D, (MATCH(652, 輔助計算!$G$2:$G$801, 0)+1)),IF(INDEX(ERP資料!$G:$G, (MATCH(652, 輔助計算!$G$2:$G$801, 0)+1))&lt;100, IF(INDEX(ERP資料!$G:$G, (MATCH(652, 輔助計算!$G$2:$G$801, 0)+1))&lt;=31,3,IF(INDEX(ERP資料!$G:$G, (MATCH(652, 輔助計算!$G$2:$G$801, 0)+1))&lt;=46.5,2,1)), IF(INDEX(ERP資料!$G:$G, (MATCH(652, 輔助計算!$G$2:$G$801, 0)+1))&lt;=790,3,IF(INDEX(ERP資料!$G:$G, (MATCH(652, 輔助計算!$G$2:$G$801, 0)+1))&lt;=1181,2,1))))=2,TEXT(INDEX(ERP資料!$G:$G, (MATCH(652, 輔助計算!$G$2:$G$801, 0)+1)),"0.##")&amp;"+"&amp;TEXT(INDEX(ERP資料!$G:$G, (MATCH(652, 輔助計算!$G$2:$G$801, 0)+1)),"0.##"),TEXT(INDEX(ERP資料!$G:$G, (MATCH(652, 輔助計算!$G$2:$G$801, 0)+1)),"0.##")&amp;"+"&amp;TEXT(INDEX(ERP資料!$G:$G, (MATCH(652, 輔助計算!$G$2:$G$801, 0)+1)),"0.##")&amp;"+"&amp;TEXT(INDEX(ERP資料!$G:$G, (MATCH(652, 輔助計算!$G$2:$G$801, 0)+1)),"0.##"))))&amp;"-1")&lt;&gt;""),"  ","")&amp;IF(MOD(INDEX(輔助計算!$D:$D, (MATCH(652, 輔助計算!$G$2:$G$801, 0)+1)),IF(INDEX(ERP資料!$G:$G, (MATCH(652, 輔助計算!$G$2:$G$801, 0)+1))&lt;100, IF(INDEX(ERP資料!$G:$G, (MATCH(652, 輔助計算!$G$2:$G$801, 0)+1))&lt;=31,3,IF(INDEX(ERP資料!$G:$G, (MATCH(652, 輔助計算!$G$2:$G$801, 0)+1))&lt;=46.5,2,1)), IF(INDEX(ERP資料!$G:$G, (MATCH(652, 輔助計算!$G$2:$G$801, 0)+1))&lt;=790,3,IF(INDEX(ERP資料!$G:$G, (MATCH(652, 輔助計算!$G$2:$G$801, 0)+1))&lt;=1181,2,1))))=0,"",IF(MOD(INDEX(輔助計算!$D:$D, (MATCH(652, 輔助計算!$G$2:$G$801, 0)+1)),IF(INDEX(ERP資料!$G:$G, (MATCH(652, 輔助計算!$G$2:$G$801, 0)+1))&lt;100, IF(INDEX(ERP資料!$G:$G, (MATCH(652, 輔助計算!$G$2:$G$801, 0)+1))&lt;=31,3,IF(INDEX(ERP資料!$G:$G, (MATCH(652, 輔助計算!$G$2:$G$801, 0)+1))&lt;=46.5,2,1)), IF(INDEX(ERP資料!$G:$G, (MATCH(652, 輔助計算!$G$2:$G$801, 0)+1))&lt;=790,3,IF(INDEX(ERP資料!$G:$G, (MATCH(652, 輔助計算!$G$2:$G$801, 0)+1))&lt;=1181,2,1))))=0,"",IF(MOD(INDEX(輔助計算!$D:$D, (MATCH(652, 輔助計算!$G$2:$G$801, 0)+1)),IF(INDEX(ERP資料!$G:$G, (MATCH(652, 輔助計算!$G$2:$G$801, 0)+1))&lt;100, IF(INDEX(ERP資料!$G:$G, (MATCH(652, 輔助計算!$G$2:$G$801, 0)+1))&lt;=31,3,IF(INDEX(ERP資料!$G:$G, (MATCH(652, 輔助計算!$G$2:$G$801, 0)+1))&lt;=46.5,2,1)), IF(INDEX(ERP資料!$G:$G, (MATCH(652, 輔助計算!$G$2:$G$801, 0)+1))&lt;=790,3,IF(INDEX(ERP資料!$G:$G, (MATCH(652, 輔助計算!$G$2:$G$801, 0)+1))&lt;=1181,2,1))))=1,TEXT(INDEX(ERP資料!$G:$G, (MATCH(652, 輔助計算!$G$2:$G$801, 0)+1)),"0.##"),IF(MOD(INDEX(輔助計算!$D:$D, (MATCH(652, 輔助計算!$G$2:$G$801, 0)+1)),IF(INDEX(ERP資料!$G:$G, (MATCH(652, 輔助計算!$G$2:$G$801, 0)+1))&lt;100, IF(INDEX(ERP資料!$G:$G, (MATCH(652, 輔助計算!$G$2:$G$801, 0)+1))&lt;=31,3,IF(INDEX(ERP資料!$G:$G, (MATCH(652, 輔助計算!$G$2:$G$801, 0)+1))&lt;=46.5,2,1)), IF(INDEX(ERP資料!$G:$G, (MATCH(652, 輔助計算!$G$2:$G$801, 0)+1))&lt;=790,3,IF(INDEX(ERP資料!$G:$G, (MATCH(652, 輔助計算!$G$2:$G$801, 0)+1))&lt;=1181,2,1))))=2,TEXT(INDEX(ERP資料!$G:$G, (MATCH(652, 輔助計算!$G$2:$G$801, 0)+1)),"0.##")&amp;"+"&amp;TEXT(INDEX(ERP資料!$G:$G, (MATCH(652, 輔助計算!$G$2:$G$801, 0)+1)),"0.##"),TEXT(INDEX(ERP資料!$G:$G, (MATCH(652, 輔助計算!$G$2:$G$801, 0)+1)),"0.##")&amp;"+"&amp;TEXT(INDEX(ERP資料!$G:$G, (MATCH(652, 輔助計算!$G$2:$G$801, 0)+1)),"0.##")&amp;"+"&amp;TEXT(INDEX(ERP資料!$G:$G, (MATCH(652, 輔助計算!$G$2:$G$801, 0)+1)),"0.##"))))&amp;"-1")), ""), "")</f>
        <v/>
      </c>
      <c r="K653" s="16" t="n"/>
      <c r="L653" s="14">
        <f>IFERROR(IF(AND(IFERROR(INDEX(ERP資料!$A:$A, (MATCH(652, 輔助計算!$G$2:$G$801, 0)+1)), "")&lt;&gt;"", IFERROR(INDEX(ERP資料!$A:$A, (MATCH(652, 輔助計算!$G$2:$G$801, 0)+1)), "")&lt;&gt;IFERROR(INDEX(ERP資料!$A:$A, MATCH(651, 輔助計算!$G$2:$G$801, 0)+1), "")), INDEX(ERP資料!$B:$B, (MATCH(652, 輔助計算!$G$2:$G$801, 0)+1)), ""), "")</f>
        <v/>
      </c>
      <c r="M653" s="17" t="n"/>
    </row>
    <row r="654">
      <c r="A654" s="10">
        <f>IFERROR(IF(AND(IFERROR(INDEX(ERP資料!$A:$A, (MATCH(653, 輔助計算!$G$2:$G$801, 0)+1)), "")&lt;&gt;"", IFERROR(INDEX(ERP資料!$A:$A, (MATCH(653, 輔助計算!$G$2:$G$801, 0)+1)), "")&lt;&gt;IFERROR(INDEX(ERP資料!$A:$A, MATCH(652, 輔助計算!$G$2:$G$801, 0)+1), "")), IFERROR(INDEX(ERP資料!$A:$A, (MATCH(653, 輔助計算!$G$2:$G$801, 0)+1)), ""), ""), "")</f>
        <v/>
      </c>
      <c r="B654" s="10">
        <f>IFERROR(IF(AND(IFERROR(INDEX(ERP資料!$A:$A, (MATCH(653, 輔助計算!$G$2:$G$801, 0)+1)), "")&lt;&gt;"", IFERROR(INDEX(ERP資料!$A:$A, (MATCH(653, 輔助計算!$G$2:$G$801, 0)+1)), "")&lt;&gt;IFERROR(INDEX(ERP資料!$A:$A, MATCH(652, 輔助計算!$G$2:$G$801, 0)+1), "")), INDEX(ERP資料!$S:$S, (MATCH(653, 輔助計算!$G$2:$G$801, 0)+1)), ""), "")</f>
        <v/>
      </c>
      <c r="C654" s="19">
        <f>IFERROR(IF(AND(IFERROR(INDEX(ERP資料!$A:$A, (MATCH(653, 輔助計算!$G$2:$G$801, 0)+1)), "")&lt;&gt;"", IFERROR(INDEX(ERP資料!$A:$A, (MATCH(653, 輔助計算!$G$2:$G$801, 0)+1)), "")&lt;&gt;IFERROR(INDEX(ERP資料!$A:$A, MATCH(652, 輔助計算!$G$2:$G$801, 0)+1), "")), IFERROR(VLOOKUP(LEFT(INDEX(ERP資料!$S:$S, (MATCH(653, 輔助計算!$G$2:$G$801, 0)+1)), 4), 紙管對照表!$A:$C, 3, FALSE), ""), ""), "")</f>
        <v/>
      </c>
      <c r="D654" s="16" t="n"/>
      <c r="E654" s="10">
        <f>IFERROR(IF(INDEX(ERP資料!$H:$H, (MATCH(653, 輔助計算!$G$2:$G$801, 0)+1))="","",INDEX(ERP資料!$H:$H, (MATCH(653, 輔助計算!$G$2:$G$801, 0)+1))), "")</f>
        <v/>
      </c>
      <c r="F654" s="10">
        <f>IFERROR(IF(INDEX(ERP資料!$E:$E, (MATCH(653, 輔助計算!$G$2:$G$801, 0)+1))="","",TRIM(INDEX(ERP資料!$E:$E, (MATCH(653, 輔助計算!$G$2:$G$801, 0)+1)))), "")</f>
        <v/>
      </c>
      <c r="G654" s="10">
        <f>IFERROR(IF(INDEX(ERP資料!$F:$F, (MATCH(653, 輔助計算!$G$2:$G$801, 0)+1))="","",INDEX(ERP資料!$F:$F, (MATCH(653, 輔助計算!$G$2:$G$801, 0)+1))), "")</f>
        <v/>
      </c>
      <c r="H654" s="10">
        <f>IFERROR(IF(INDEX(ERP資料!$G:$G, (MATCH(653, 輔助計算!$G$2:$G$801, 0)+1))="","",INDEX(ERP資料!$G:$G, (MATCH(653, 輔助計算!$G$2:$G$801, 0)+1))), "")</f>
        <v/>
      </c>
      <c r="I654" s="15">
        <f>IFERROR(INDEX(輔助計算!$D:$D, (MATCH(653, 輔助計算!$G$2:$G$801, 0)+1)), "")</f>
        <v/>
      </c>
      <c r="J654" s="15">
        <f>IFERROR(IF(AND(INDEX(輔助計算!$D:$D, (MATCH(653, 輔助計算!$G$2:$G$801, 0)+1))&lt;&gt;"", INDEX(ERP資料!$G:$G, (MATCH(653, 輔助計算!$G$2:$G$801, 0)+1))&lt;&gt;""), TRIM(IF(INT(INDEX(輔助計算!$D:$D, (MATCH(653, 輔助計算!$G$2:$G$801, 0)+1))/IF(INDEX(ERP資料!$G:$G, (MATCH(653, 輔助計算!$G$2:$G$801, 0)+1))&lt;100, IF(INDEX(ERP資料!$G:$G, (MATCH(653, 輔助計算!$G$2:$G$801, 0)+1))&lt;=31,3,IF(INDEX(ERP資料!$G:$G, (MATCH(653, 輔助計算!$G$2:$G$801, 0)+1))&lt;=46.5,2,1)), IF(INDEX(ERP資料!$G:$G, (MATCH(653, 輔助計算!$G$2:$G$801, 0)+1))&lt;=790,3,IF(INDEX(ERP資料!$G:$G, (MATCH(653, 輔助計算!$G$2:$G$801, 0)+1))&lt;=1181,2,1))))&gt;0, IF(IF(INDEX(ERP資料!$G:$G, (MATCH(653, 輔助計算!$G$2:$G$801, 0)+1))&lt;100, IF(INDEX(ERP資料!$G:$G, (MATCH(653, 輔助計算!$G$2:$G$801, 0)+1))&lt;=31,3,IF(INDEX(ERP資料!$G:$G, (MATCH(653, 輔助計算!$G$2:$G$801, 0)+1))&lt;=46.5,2,1)), IF(INDEX(ERP資料!$G:$G, (MATCH(653, 輔助計算!$G$2:$G$801, 0)+1))&lt;=790,3,IF(INDEX(ERP資料!$G:$G, (MATCH(653, 輔助計算!$G$2:$G$801, 0)+1))&lt;=1181,2,1)))=1,TEXT(INDEX(ERP資料!$G:$G, (MATCH(653, 輔助計算!$G$2:$G$801, 0)+1)),"0.##"),IF(IF(INDEX(ERP資料!$G:$G, (MATCH(653, 輔助計算!$G$2:$G$801, 0)+1))&lt;100, IF(INDEX(ERP資料!$G:$G, (MATCH(653, 輔助計算!$G$2:$G$801, 0)+1))&lt;=31,3,IF(INDEX(ERP資料!$G:$G, (MATCH(653, 輔助計算!$G$2:$G$801, 0)+1))&lt;=46.5,2,1)), IF(INDEX(ERP資料!$G:$G, (MATCH(653, 輔助計算!$G$2:$G$801, 0)+1))&lt;=790,3,IF(INDEX(ERP資料!$G:$G, (MATCH(653, 輔助計算!$G$2:$G$801, 0)+1))&lt;=1181,2,1)))=2,TEXT(INDEX(ERP資料!$G:$G, (MATCH(653, 輔助計算!$G$2:$G$801, 0)+1)),"0.##")&amp;"+"&amp;TEXT(INDEX(ERP資料!$G:$G, (MATCH(653, 輔助計算!$G$2:$G$801, 0)+1)),"0.##"),TEXT(INDEX(ERP資料!$G:$G, (MATCH(653, 輔助計算!$G$2:$G$801, 0)+1)),"0.##")&amp;"+"&amp;TEXT(INDEX(ERP資料!$G:$G, (MATCH(653, 輔助計算!$G$2:$G$801, 0)+1)),"0.##")&amp;"+"&amp;TEXT(INDEX(ERP資料!$G:$G, (MATCH(653, 輔助計算!$G$2:$G$801, 0)+1)),"0.##")))&amp;"-"&amp;INT(INDEX(輔助計算!$D:$D, (MATCH(653, 輔助計算!$G$2:$G$801, 0)+1))/IF(INDEX(ERP資料!$G:$G, (MATCH(653, 輔助計算!$G$2:$G$801, 0)+1))&lt;100, IF(INDEX(ERP資料!$G:$G, (MATCH(653, 輔助計算!$G$2:$G$801, 0)+1))&lt;=31,3,IF(INDEX(ERP資料!$G:$G, (MATCH(653, 輔助計算!$G$2:$G$801, 0)+1))&lt;=46.5,2,1)), IF(INDEX(ERP資料!$G:$G, (MATCH(653, 輔助計算!$G$2:$G$801, 0)+1))&lt;=790,3,IF(INDEX(ERP資料!$G:$G, (MATCH(653, 輔助計算!$G$2:$G$801, 0)+1))&lt;=1181,2,1)))), "")&amp;IF(AND(IF(INT(INDEX(輔助計算!$D:$D, (MATCH(653, 輔助計算!$G$2:$G$801, 0)+1))/IF(INDEX(ERP資料!$G:$G, (MATCH(653, 輔助計算!$G$2:$G$801, 0)+1))&lt;100, IF(INDEX(ERP資料!$G:$G, (MATCH(653, 輔助計算!$G$2:$G$801, 0)+1))&lt;=31,3,IF(INDEX(ERP資料!$G:$G, (MATCH(653, 輔助計算!$G$2:$G$801, 0)+1))&lt;=46.5,2,1)), IF(INDEX(ERP資料!$G:$G, (MATCH(653, 輔助計算!$G$2:$G$801, 0)+1))&lt;=790,3,IF(INDEX(ERP資料!$G:$G, (MATCH(653, 輔助計算!$G$2:$G$801, 0)+1))&lt;=1181,2,1))))&gt;0, IF(IF(INDEX(ERP資料!$G:$G, (MATCH(653, 輔助計算!$G$2:$G$801, 0)+1))&lt;100, IF(INDEX(ERP資料!$G:$G, (MATCH(653, 輔助計算!$G$2:$G$801, 0)+1))&lt;=31,3,IF(INDEX(ERP資料!$G:$G, (MATCH(653, 輔助計算!$G$2:$G$801, 0)+1))&lt;=46.5,2,1)), IF(INDEX(ERP資料!$G:$G, (MATCH(653, 輔助計算!$G$2:$G$801, 0)+1))&lt;=790,3,IF(INDEX(ERP資料!$G:$G, (MATCH(653, 輔助計算!$G$2:$G$801, 0)+1))&lt;=1181,2,1)))=1,TEXT(INDEX(ERP資料!$G:$G, (MATCH(653, 輔助計算!$G$2:$G$801, 0)+1)),"0.##"),IF(IF(INDEX(ERP資料!$G:$G, (MATCH(653, 輔助計算!$G$2:$G$801, 0)+1))&lt;100, IF(INDEX(ERP資料!$G:$G, (MATCH(653, 輔助計算!$G$2:$G$801, 0)+1))&lt;=31,3,IF(INDEX(ERP資料!$G:$G, (MATCH(653, 輔助計算!$G$2:$G$801, 0)+1))&lt;=46.5,2,1)), IF(INDEX(ERP資料!$G:$G, (MATCH(653, 輔助計算!$G$2:$G$801, 0)+1))&lt;=790,3,IF(INDEX(ERP資料!$G:$G, (MATCH(653, 輔助計算!$G$2:$G$801, 0)+1))&lt;=1181,2,1)))=2,TEXT(INDEX(ERP資料!$G:$G, (MATCH(653, 輔助計算!$G$2:$G$801, 0)+1)),"0.##")&amp;"+"&amp;TEXT(INDEX(ERP資料!$G:$G, (MATCH(653, 輔助計算!$G$2:$G$801, 0)+1)),"0.##"),TEXT(INDEX(ERP資料!$G:$G, (MATCH(653, 輔助計算!$G$2:$G$801, 0)+1)),"0.##")&amp;"+"&amp;TEXT(INDEX(ERP資料!$G:$G, (MATCH(653, 輔助計算!$G$2:$G$801, 0)+1)),"0.##")&amp;"+"&amp;TEXT(INDEX(ERP資料!$G:$G, (MATCH(653, 輔助計算!$G$2:$G$801, 0)+1)),"0.##")))&amp;"-"&amp;INT(INDEX(輔助計算!$D:$D, (MATCH(653, 輔助計算!$G$2:$G$801, 0)+1))/IF(INDEX(ERP資料!$G:$G, (MATCH(653, 輔助計算!$G$2:$G$801, 0)+1))&lt;100, IF(INDEX(ERP資料!$G:$G, (MATCH(653, 輔助計算!$G$2:$G$801, 0)+1))&lt;=31,3,IF(INDEX(ERP資料!$G:$G, (MATCH(653, 輔助計算!$G$2:$G$801, 0)+1))&lt;=46.5,2,1)), IF(INDEX(ERP資料!$G:$G, (MATCH(653, 輔助計算!$G$2:$G$801, 0)+1))&lt;=790,3,IF(INDEX(ERP資料!$G:$G, (MATCH(653, 輔助計算!$G$2:$G$801, 0)+1))&lt;=1181,2,1)))), "")&lt;&gt;"",IF(MOD(INDEX(輔助計算!$D:$D, (MATCH(653, 輔助計算!$G$2:$G$801, 0)+1)),IF(INDEX(ERP資料!$G:$G, (MATCH(653, 輔助計算!$G$2:$G$801, 0)+1))&lt;100, IF(INDEX(ERP資料!$G:$G, (MATCH(653, 輔助計算!$G$2:$G$801, 0)+1))&lt;=31,3,IF(INDEX(ERP資料!$G:$G, (MATCH(653, 輔助計算!$G$2:$G$801, 0)+1))&lt;=46.5,2,1)), IF(INDEX(ERP資料!$G:$G, (MATCH(653, 輔助計算!$G$2:$G$801, 0)+1))&lt;=790,3,IF(INDEX(ERP資料!$G:$G, (MATCH(653, 輔助計算!$G$2:$G$801, 0)+1))&lt;=1181,2,1))))=0,"",IF(MOD(INDEX(輔助計算!$D:$D, (MATCH(653, 輔助計算!$G$2:$G$801, 0)+1)),IF(INDEX(ERP資料!$G:$G, (MATCH(653, 輔助計算!$G$2:$G$801, 0)+1))&lt;100, IF(INDEX(ERP資料!$G:$G, (MATCH(653, 輔助計算!$G$2:$G$801, 0)+1))&lt;=31,3,IF(INDEX(ERP資料!$G:$G, (MATCH(653, 輔助計算!$G$2:$G$801, 0)+1))&lt;=46.5,2,1)), IF(INDEX(ERP資料!$G:$G, (MATCH(653, 輔助計算!$G$2:$G$801, 0)+1))&lt;=790,3,IF(INDEX(ERP資料!$G:$G, (MATCH(653, 輔助計算!$G$2:$G$801, 0)+1))&lt;=1181,2,1))))=0,"",IF(MOD(INDEX(輔助計算!$D:$D, (MATCH(653, 輔助計算!$G$2:$G$801, 0)+1)),IF(INDEX(ERP資料!$G:$G, (MATCH(653, 輔助計算!$G$2:$G$801, 0)+1))&lt;100, IF(INDEX(ERP資料!$G:$G, (MATCH(653, 輔助計算!$G$2:$G$801, 0)+1))&lt;=31,3,IF(INDEX(ERP資料!$G:$G, (MATCH(653, 輔助計算!$G$2:$G$801, 0)+1))&lt;=46.5,2,1)), IF(INDEX(ERP資料!$G:$G, (MATCH(653, 輔助計算!$G$2:$G$801, 0)+1))&lt;=790,3,IF(INDEX(ERP資料!$G:$G, (MATCH(653, 輔助計算!$G$2:$G$801, 0)+1))&lt;=1181,2,1))))=1,TEXT(INDEX(ERP資料!$G:$G, (MATCH(653, 輔助計算!$G$2:$G$801, 0)+1)),"0.##"),IF(MOD(INDEX(輔助計算!$D:$D, (MATCH(653, 輔助計算!$G$2:$G$801, 0)+1)),IF(INDEX(ERP資料!$G:$G, (MATCH(653, 輔助計算!$G$2:$G$801, 0)+1))&lt;100, IF(INDEX(ERP資料!$G:$G, (MATCH(653, 輔助計算!$G$2:$G$801, 0)+1))&lt;=31,3,IF(INDEX(ERP資料!$G:$G, (MATCH(653, 輔助計算!$G$2:$G$801, 0)+1))&lt;=46.5,2,1)), IF(INDEX(ERP資料!$G:$G, (MATCH(653, 輔助計算!$G$2:$G$801, 0)+1))&lt;=790,3,IF(INDEX(ERP資料!$G:$G, (MATCH(653, 輔助計算!$G$2:$G$801, 0)+1))&lt;=1181,2,1))))=2,TEXT(INDEX(ERP資料!$G:$G, (MATCH(653, 輔助計算!$G$2:$G$801, 0)+1)),"0.##")&amp;"+"&amp;TEXT(INDEX(ERP資料!$G:$G, (MATCH(653, 輔助計算!$G$2:$G$801, 0)+1)),"0.##"),TEXT(INDEX(ERP資料!$G:$G, (MATCH(653, 輔助計算!$G$2:$G$801, 0)+1)),"0.##")&amp;"+"&amp;TEXT(INDEX(ERP資料!$G:$G, (MATCH(653, 輔助計算!$G$2:$G$801, 0)+1)),"0.##")&amp;"+"&amp;TEXT(INDEX(ERP資料!$G:$G, (MATCH(653, 輔助計算!$G$2:$G$801, 0)+1)),"0.##"))))&amp;"-1")&lt;&gt;""),"  ","")&amp;IF(MOD(INDEX(輔助計算!$D:$D, (MATCH(653, 輔助計算!$G$2:$G$801, 0)+1)),IF(INDEX(ERP資料!$G:$G, (MATCH(653, 輔助計算!$G$2:$G$801, 0)+1))&lt;100, IF(INDEX(ERP資料!$G:$G, (MATCH(653, 輔助計算!$G$2:$G$801, 0)+1))&lt;=31,3,IF(INDEX(ERP資料!$G:$G, (MATCH(653, 輔助計算!$G$2:$G$801, 0)+1))&lt;=46.5,2,1)), IF(INDEX(ERP資料!$G:$G, (MATCH(653, 輔助計算!$G$2:$G$801, 0)+1))&lt;=790,3,IF(INDEX(ERP資料!$G:$G, (MATCH(653, 輔助計算!$G$2:$G$801, 0)+1))&lt;=1181,2,1))))=0,"",IF(MOD(INDEX(輔助計算!$D:$D, (MATCH(653, 輔助計算!$G$2:$G$801, 0)+1)),IF(INDEX(ERP資料!$G:$G, (MATCH(653, 輔助計算!$G$2:$G$801, 0)+1))&lt;100, IF(INDEX(ERP資料!$G:$G, (MATCH(653, 輔助計算!$G$2:$G$801, 0)+1))&lt;=31,3,IF(INDEX(ERP資料!$G:$G, (MATCH(653, 輔助計算!$G$2:$G$801, 0)+1))&lt;=46.5,2,1)), IF(INDEX(ERP資料!$G:$G, (MATCH(653, 輔助計算!$G$2:$G$801, 0)+1))&lt;=790,3,IF(INDEX(ERP資料!$G:$G, (MATCH(653, 輔助計算!$G$2:$G$801, 0)+1))&lt;=1181,2,1))))=0,"",IF(MOD(INDEX(輔助計算!$D:$D, (MATCH(653, 輔助計算!$G$2:$G$801, 0)+1)),IF(INDEX(ERP資料!$G:$G, (MATCH(653, 輔助計算!$G$2:$G$801, 0)+1))&lt;100, IF(INDEX(ERP資料!$G:$G, (MATCH(653, 輔助計算!$G$2:$G$801, 0)+1))&lt;=31,3,IF(INDEX(ERP資料!$G:$G, (MATCH(653, 輔助計算!$G$2:$G$801, 0)+1))&lt;=46.5,2,1)), IF(INDEX(ERP資料!$G:$G, (MATCH(653, 輔助計算!$G$2:$G$801, 0)+1))&lt;=790,3,IF(INDEX(ERP資料!$G:$G, (MATCH(653, 輔助計算!$G$2:$G$801, 0)+1))&lt;=1181,2,1))))=1,TEXT(INDEX(ERP資料!$G:$G, (MATCH(653, 輔助計算!$G$2:$G$801, 0)+1)),"0.##"),IF(MOD(INDEX(輔助計算!$D:$D, (MATCH(653, 輔助計算!$G$2:$G$801, 0)+1)),IF(INDEX(ERP資料!$G:$G, (MATCH(653, 輔助計算!$G$2:$G$801, 0)+1))&lt;100, IF(INDEX(ERP資料!$G:$G, (MATCH(653, 輔助計算!$G$2:$G$801, 0)+1))&lt;=31,3,IF(INDEX(ERP資料!$G:$G, (MATCH(653, 輔助計算!$G$2:$G$801, 0)+1))&lt;=46.5,2,1)), IF(INDEX(ERP資料!$G:$G, (MATCH(653, 輔助計算!$G$2:$G$801, 0)+1))&lt;=790,3,IF(INDEX(ERP資料!$G:$G, (MATCH(653, 輔助計算!$G$2:$G$801, 0)+1))&lt;=1181,2,1))))=2,TEXT(INDEX(ERP資料!$G:$G, (MATCH(653, 輔助計算!$G$2:$G$801, 0)+1)),"0.##")&amp;"+"&amp;TEXT(INDEX(ERP資料!$G:$G, (MATCH(653, 輔助計算!$G$2:$G$801, 0)+1)),"0.##"),TEXT(INDEX(ERP資料!$G:$G, (MATCH(653, 輔助計算!$G$2:$G$801, 0)+1)),"0.##")&amp;"+"&amp;TEXT(INDEX(ERP資料!$G:$G, (MATCH(653, 輔助計算!$G$2:$G$801, 0)+1)),"0.##")&amp;"+"&amp;TEXT(INDEX(ERP資料!$G:$G, (MATCH(653, 輔助計算!$G$2:$G$801, 0)+1)),"0.##"))))&amp;"-1")), ""), "")</f>
        <v/>
      </c>
      <c r="K654" s="16" t="n"/>
      <c r="L654" s="14">
        <f>IFERROR(IF(AND(IFERROR(INDEX(ERP資料!$A:$A, (MATCH(653, 輔助計算!$G$2:$G$801, 0)+1)), "")&lt;&gt;"", IFERROR(INDEX(ERP資料!$A:$A, (MATCH(653, 輔助計算!$G$2:$G$801, 0)+1)), "")&lt;&gt;IFERROR(INDEX(ERP資料!$A:$A, MATCH(652, 輔助計算!$G$2:$G$801, 0)+1), "")), INDEX(ERP資料!$B:$B, (MATCH(653, 輔助計算!$G$2:$G$801, 0)+1)), ""), "")</f>
        <v/>
      </c>
      <c r="M654" s="17" t="n"/>
    </row>
    <row r="655">
      <c r="A655" s="10">
        <f>IFERROR(IF(AND(IFERROR(INDEX(ERP資料!$A:$A, (MATCH(654, 輔助計算!$G$2:$G$801, 0)+1)), "")&lt;&gt;"", IFERROR(INDEX(ERP資料!$A:$A, (MATCH(654, 輔助計算!$G$2:$G$801, 0)+1)), "")&lt;&gt;IFERROR(INDEX(ERP資料!$A:$A, MATCH(653, 輔助計算!$G$2:$G$801, 0)+1), "")), IFERROR(INDEX(ERP資料!$A:$A, (MATCH(654, 輔助計算!$G$2:$G$801, 0)+1)), ""), ""), "")</f>
        <v/>
      </c>
      <c r="B655" s="10">
        <f>IFERROR(IF(AND(IFERROR(INDEX(ERP資料!$A:$A, (MATCH(654, 輔助計算!$G$2:$G$801, 0)+1)), "")&lt;&gt;"", IFERROR(INDEX(ERP資料!$A:$A, (MATCH(654, 輔助計算!$G$2:$G$801, 0)+1)), "")&lt;&gt;IFERROR(INDEX(ERP資料!$A:$A, MATCH(653, 輔助計算!$G$2:$G$801, 0)+1), "")), INDEX(ERP資料!$S:$S, (MATCH(654, 輔助計算!$G$2:$G$801, 0)+1)), ""), "")</f>
        <v/>
      </c>
      <c r="C655" s="19">
        <f>IFERROR(IF(AND(IFERROR(INDEX(ERP資料!$A:$A, (MATCH(654, 輔助計算!$G$2:$G$801, 0)+1)), "")&lt;&gt;"", IFERROR(INDEX(ERP資料!$A:$A, (MATCH(654, 輔助計算!$G$2:$G$801, 0)+1)), "")&lt;&gt;IFERROR(INDEX(ERP資料!$A:$A, MATCH(653, 輔助計算!$G$2:$G$801, 0)+1), "")), IFERROR(VLOOKUP(LEFT(INDEX(ERP資料!$S:$S, (MATCH(654, 輔助計算!$G$2:$G$801, 0)+1)), 4), 紙管對照表!$A:$C, 3, FALSE), ""), ""), "")</f>
        <v/>
      </c>
      <c r="D655" s="16" t="n"/>
      <c r="E655" s="10">
        <f>IFERROR(IF(INDEX(ERP資料!$H:$H, (MATCH(654, 輔助計算!$G$2:$G$801, 0)+1))="","",INDEX(ERP資料!$H:$H, (MATCH(654, 輔助計算!$G$2:$G$801, 0)+1))), "")</f>
        <v/>
      </c>
      <c r="F655" s="10">
        <f>IFERROR(IF(INDEX(ERP資料!$E:$E, (MATCH(654, 輔助計算!$G$2:$G$801, 0)+1))="","",TRIM(INDEX(ERP資料!$E:$E, (MATCH(654, 輔助計算!$G$2:$G$801, 0)+1)))), "")</f>
        <v/>
      </c>
      <c r="G655" s="10">
        <f>IFERROR(IF(INDEX(ERP資料!$F:$F, (MATCH(654, 輔助計算!$G$2:$G$801, 0)+1))="","",INDEX(ERP資料!$F:$F, (MATCH(654, 輔助計算!$G$2:$G$801, 0)+1))), "")</f>
        <v/>
      </c>
      <c r="H655" s="10">
        <f>IFERROR(IF(INDEX(ERP資料!$G:$G, (MATCH(654, 輔助計算!$G$2:$G$801, 0)+1))="","",INDEX(ERP資料!$G:$G, (MATCH(654, 輔助計算!$G$2:$G$801, 0)+1))), "")</f>
        <v/>
      </c>
      <c r="I655" s="15">
        <f>IFERROR(INDEX(輔助計算!$D:$D, (MATCH(654, 輔助計算!$G$2:$G$801, 0)+1)), "")</f>
        <v/>
      </c>
      <c r="J655" s="15">
        <f>IFERROR(IF(AND(INDEX(輔助計算!$D:$D, (MATCH(654, 輔助計算!$G$2:$G$801, 0)+1))&lt;&gt;"", INDEX(ERP資料!$G:$G, (MATCH(654, 輔助計算!$G$2:$G$801, 0)+1))&lt;&gt;""), TRIM(IF(INT(INDEX(輔助計算!$D:$D, (MATCH(654, 輔助計算!$G$2:$G$801, 0)+1))/IF(INDEX(ERP資料!$G:$G, (MATCH(654, 輔助計算!$G$2:$G$801, 0)+1))&lt;100, IF(INDEX(ERP資料!$G:$G, (MATCH(654, 輔助計算!$G$2:$G$801, 0)+1))&lt;=31,3,IF(INDEX(ERP資料!$G:$G, (MATCH(654, 輔助計算!$G$2:$G$801, 0)+1))&lt;=46.5,2,1)), IF(INDEX(ERP資料!$G:$G, (MATCH(654, 輔助計算!$G$2:$G$801, 0)+1))&lt;=790,3,IF(INDEX(ERP資料!$G:$G, (MATCH(654, 輔助計算!$G$2:$G$801, 0)+1))&lt;=1181,2,1))))&gt;0, IF(IF(INDEX(ERP資料!$G:$G, (MATCH(654, 輔助計算!$G$2:$G$801, 0)+1))&lt;100, IF(INDEX(ERP資料!$G:$G, (MATCH(654, 輔助計算!$G$2:$G$801, 0)+1))&lt;=31,3,IF(INDEX(ERP資料!$G:$G, (MATCH(654, 輔助計算!$G$2:$G$801, 0)+1))&lt;=46.5,2,1)), IF(INDEX(ERP資料!$G:$G, (MATCH(654, 輔助計算!$G$2:$G$801, 0)+1))&lt;=790,3,IF(INDEX(ERP資料!$G:$G, (MATCH(654, 輔助計算!$G$2:$G$801, 0)+1))&lt;=1181,2,1)))=1,TEXT(INDEX(ERP資料!$G:$G, (MATCH(654, 輔助計算!$G$2:$G$801, 0)+1)),"0.##"),IF(IF(INDEX(ERP資料!$G:$G, (MATCH(654, 輔助計算!$G$2:$G$801, 0)+1))&lt;100, IF(INDEX(ERP資料!$G:$G, (MATCH(654, 輔助計算!$G$2:$G$801, 0)+1))&lt;=31,3,IF(INDEX(ERP資料!$G:$G, (MATCH(654, 輔助計算!$G$2:$G$801, 0)+1))&lt;=46.5,2,1)), IF(INDEX(ERP資料!$G:$G, (MATCH(654, 輔助計算!$G$2:$G$801, 0)+1))&lt;=790,3,IF(INDEX(ERP資料!$G:$G, (MATCH(654, 輔助計算!$G$2:$G$801, 0)+1))&lt;=1181,2,1)))=2,TEXT(INDEX(ERP資料!$G:$G, (MATCH(654, 輔助計算!$G$2:$G$801, 0)+1)),"0.##")&amp;"+"&amp;TEXT(INDEX(ERP資料!$G:$G, (MATCH(654, 輔助計算!$G$2:$G$801, 0)+1)),"0.##"),TEXT(INDEX(ERP資料!$G:$G, (MATCH(654, 輔助計算!$G$2:$G$801, 0)+1)),"0.##")&amp;"+"&amp;TEXT(INDEX(ERP資料!$G:$G, (MATCH(654, 輔助計算!$G$2:$G$801, 0)+1)),"0.##")&amp;"+"&amp;TEXT(INDEX(ERP資料!$G:$G, (MATCH(654, 輔助計算!$G$2:$G$801, 0)+1)),"0.##")))&amp;"-"&amp;INT(INDEX(輔助計算!$D:$D, (MATCH(654, 輔助計算!$G$2:$G$801, 0)+1))/IF(INDEX(ERP資料!$G:$G, (MATCH(654, 輔助計算!$G$2:$G$801, 0)+1))&lt;100, IF(INDEX(ERP資料!$G:$G, (MATCH(654, 輔助計算!$G$2:$G$801, 0)+1))&lt;=31,3,IF(INDEX(ERP資料!$G:$G, (MATCH(654, 輔助計算!$G$2:$G$801, 0)+1))&lt;=46.5,2,1)), IF(INDEX(ERP資料!$G:$G, (MATCH(654, 輔助計算!$G$2:$G$801, 0)+1))&lt;=790,3,IF(INDEX(ERP資料!$G:$G, (MATCH(654, 輔助計算!$G$2:$G$801, 0)+1))&lt;=1181,2,1)))), "")&amp;IF(AND(IF(INT(INDEX(輔助計算!$D:$D, (MATCH(654, 輔助計算!$G$2:$G$801, 0)+1))/IF(INDEX(ERP資料!$G:$G, (MATCH(654, 輔助計算!$G$2:$G$801, 0)+1))&lt;100, IF(INDEX(ERP資料!$G:$G, (MATCH(654, 輔助計算!$G$2:$G$801, 0)+1))&lt;=31,3,IF(INDEX(ERP資料!$G:$G, (MATCH(654, 輔助計算!$G$2:$G$801, 0)+1))&lt;=46.5,2,1)), IF(INDEX(ERP資料!$G:$G, (MATCH(654, 輔助計算!$G$2:$G$801, 0)+1))&lt;=790,3,IF(INDEX(ERP資料!$G:$G, (MATCH(654, 輔助計算!$G$2:$G$801, 0)+1))&lt;=1181,2,1))))&gt;0, IF(IF(INDEX(ERP資料!$G:$G, (MATCH(654, 輔助計算!$G$2:$G$801, 0)+1))&lt;100, IF(INDEX(ERP資料!$G:$G, (MATCH(654, 輔助計算!$G$2:$G$801, 0)+1))&lt;=31,3,IF(INDEX(ERP資料!$G:$G, (MATCH(654, 輔助計算!$G$2:$G$801, 0)+1))&lt;=46.5,2,1)), IF(INDEX(ERP資料!$G:$G, (MATCH(654, 輔助計算!$G$2:$G$801, 0)+1))&lt;=790,3,IF(INDEX(ERP資料!$G:$G, (MATCH(654, 輔助計算!$G$2:$G$801, 0)+1))&lt;=1181,2,1)))=1,TEXT(INDEX(ERP資料!$G:$G, (MATCH(654, 輔助計算!$G$2:$G$801, 0)+1)),"0.##"),IF(IF(INDEX(ERP資料!$G:$G, (MATCH(654, 輔助計算!$G$2:$G$801, 0)+1))&lt;100, IF(INDEX(ERP資料!$G:$G, (MATCH(654, 輔助計算!$G$2:$G$801, 0)+1))&lt;=31,3,IF(INDEX(ERP資料!$G:$G, (MATCH(654, 輔助計算!$G$2:$G$801, 0)+1))&lt;=46.5,2,1)), IF(INDEX(ERP資料!$G:$G, (MATCH(654, 輔助計算!$G$2:$G$801, 0)+1))&lt;=790,3,IF(INDEX(ERP資料!$G:$G, (MATCH(654, 輔助計算!$G$2:$G$801, 0)+1))&lt;=1181,2,1)))=2,TEXT(INDEX(ERP資料!$G:$G, (MATCH(654, 輔助計算!$G$2:$G$801, 0)+1)),"0.##")&amp;"+"&amp;TEXT(INDEX(ERP資料!$G:$G, (MATCH(654, 輔助計算!$G$2:$G$801, 0)+1)),"0.##"),TEXT(INDEX(ERP資料!$G:$G, (MATCH(654, 輔助計算!$G$2:$G$801, 0)+1)),"0.##")&amp;"+"&amp;TEXT(INDEX(ERP資料!$G:$G, (MATCH(654, 輔助計算!$G$2:$G$801, 0)+1)),"0.##")&amp;"+"&amp;TEXT(INDEX(ERP資料!$G:$G, (MATCH(654, 輔助計算!$G$2:$G$801, 0)+1)),"0.##")))&amp;"-"&amp;INT(INDEX(輔助計算!$D:$D, (MATCH(654, 輔助計算!$G$2:$G$801, 0)+1))/IF(INDEX(ERP資料!$G:$G, (MATCH(654, 輔助計算!$G$2:$G$801, 0)+1))&lt;100, IF(INDEX(ERP資料!$G:$G, (MATCH(654, 輔助計算!$G$2:$G$801, 0)+1))&lt;=31,3,IF(INDEX(ERP資料!$G:$G, (MATCH(654, 輔助計算!$G$2:$G$801, 0)+1))&lt;=46.5,2,1)), IF(INDEX(ERP資料!$G:$G, (MATCH(654, 輔助計算!$G$2:$G$801, 0)+1))&lt;=790,3,IF(INDEX(ERP資料!$G:$G, (MATCH(654, 輔助計算!$G$2:$G$801, 0)+1))&lt;=1181,2,1)))), "")&lt;&gt;"",IF(MOD(INDEX(輔助計算!$D:$D, (MATCH(654, 輔助計算!$G$2:$G$801, 0)+1)),IF(INDEX(ERP資料!$G:$G, (MATCH(654, 輔助計算!$G$2:$G$801, 0)+1))&lt;100, IF(INDEX(ERP資料!$G:$G, (MATCH(654, 輔助計算!$G$2:$G$801, 0)+1))&lt;=31,3,IF(INDEX(ERP資料!$G:$G, (MATCH(654, 輔助計算!$G$2:$G$801, 0)+1))&lt;=46.5,2,1)), IF(INDEX(ERP資料!$G:$G, (MATCH(654, 輔助計算!$G$2:$G$801, 0)+1))&lt;=790,3,IF(INDEX(ERP資料!$G:$G, (MATCH(654, 輔助計算!$G$2:$G$801, 0)+1))&lt;=1181,2,1))))=0,"",IF(MOD(INDEX(輔助計算!$D:$D, (MATCH(654, 輔助計算!$G$2:$G$801, 0)+1)),IF(INDEX(ERP資料!$G:$G, (MATCH(654, 輔助計算!$G$2:$G$801, 0)+1))&lt;100, IF(INDEX(ERP資料!$G:$G, (MATCH(654, 輔助計算!$G$2:$G$801, 0)+1))&lt;=31,3,IF(INDEX(ERP資料!$G:$G, (MATCH(654, 輔助計算!$G$2:$G$801, 0)+1))&lt;=46.5,2,1)), IF(INDEX(ERP資料!$G:$G, (MATCH(654, 輔助計算!$G$2:$G$801, 0)+1))&lt;=790,3,IF(INDEX(ERP資料!$G:$G, (MATCH(654, 輔助計算!$G$2:$G$801, 0)+1))&lt;=1181,2,1))))=0,"",IF(MOD(INDEX(輔助計算!$D:$D, (MATCH(654, 輔助計算!$G$2:$G$801, 0)+1)),IF(INDEX(ERP資料!$G:$G, (MATCH(654, 輔助計算!$G$2:$G$801, 0)+1))&lt;100, IF(INDEX(ERP資料!$G:$G, (MATCH(654, 輔助計算!$G$2:$G$801, 0)+1))&lt;=31,3,IF(INDEX(ERP資料!$G:$G, (MATCH(654, 輔助計算!$G$2:$G$801, 0)+1))&lt;=46.5,2,1)), IF(INDEX(ERP資料!$G:$G, (MATCH(654, 輔助計算!$G$2:$G$801, 0)+1))&lt;=790,3,IF(INDEX(ERP資料!$G:$G, (MATCH(654, 輔助計算!$G$2:$G$801, 0)+1))&lt;=1181,2,1))))=1,TEXT(INDEX(ERP資料!$G:$G, (MATCH(654, 輔助計算!$G$2:$G$801, 0)+1)),"0.##"),IF(MOD(INDEX(輔助計算!$D:$D, (MATCH(654, 輔助計算!$G$2:$G$801, 0)+1)),IF(INDEX(ERP資料!$G:$G, (MATCH(654, 輔助計算!$G$2:$G$801, 0)+1))&lt;100, IF(INDEX(ERP資料!$G:$G, (MATCH(654, 輔助計算!$G$2:$G$801, 0)+1))&lt;=31,3,IF(INDEX(ERP資料!$G:$G, (MATCH(654, 輔助計算!$G$2:$G$801, 0)+1))&lt;=46.5,2,1)), IF(INDEX(ERP資料!$G:$G, (MATCH(654, 輔助計算!$G$2:$G$801, 0)+1))&lt;=790,3,IF(INDEX(ERP資料!$G:$G, (MATCH(654, 輔助計算!$G$2:$G$801, 0)+1))&lt;=1181,2,1))))=2,TEXT(INDEX(ERP資料!$G:$G, (MATCH(654, 輔助計算!$G$2:$G$801, 0)+1)),"0.##")&amp;"+"&amp;TEXT(INDEX(ERP資料!$G:$G, (MATCH(654, 輔助計算!$G$2:$G$801, 0)+1)),"0.##"),TEXT(INDEX(ERP資料!$G:$G, (MATCH(654, 輔助計算!$G$2:$G$801, 0)+1)),"0.##")&amp;"+"&amp;TEXT(INDEX(ERP資料!$G:$G, (MATCH(654, 輔助計算!$G$2:$G$801, 0)+1)),"0.##")&amp;"+"&amp;TEXT(INDEX(ERP資料!$G:$G, (MATCH(654, 輔助計算!$G$2:$G$801, 0)+1)),"0.##"))))&amp;"-1")&lt;&gt;""),"  ","")&amp;IF(MOD(INDEX(輔助計算!$D:$D, (MATCH(654, 輔助計算!$G$2:$G$801, 0)+1)),IF(INDEX(ERP資料!$G:$G, (MATCH(654, 輔助計算!$G$2:$G$801, 0)+1))&lt;100, IF(INDEX(ERP資料!$G:$G, (MATCH(654, 輔助計算!$G$2:$G$801, 0)+1))&lt;=31,3,IF(INDEX(ERP資料!$G:$G, (MATCH(654, 輔助計算!$G$2:$G$801, 0)+1))&lt;=46.5,2,1)), IF(INDEX(ERP資料!$G:$G, (MATCH(654, 輔助計算!$G$2:$G$801, 0)+1))&lt;=790,3,IF(INDEX(ERP資料!$G:$G, (MATCH(654, 輔助計算!$G$2:$G$801, 0)+1))&lt;=1181,2,1))))=0,"",IF(MOD(INDEX(輔助計算!$D:$D, (MATCH(654, 輔助計算!$G$2:$G$801, 0)+1)),IF(INDEX(ERP資料!$G:$G, (MATCH(654, 輔助計算!$G$2:$G$801, 0)+1))&lt;100, IF(INDEX(ERP資料!$G:$G, (MATCH(654, 輔助計算!$G$2:$G$801, 0)+1))&lt;=31,3,IF(INDEX(ERP資料!$G:$G, (MATCH(654, 輔助計算!$G$2:$G$801, 0)+1))&lt;=46.5,2,1)), IF(INDEX(ERP資料!$G:$G, (MATCH(654, 輔助計算!$G$2:$G$801, 0)+1))&lt;=790,3,IF(INDEX(ERP資料!$G:$G, (MATCH(654, 輔助計算!$G$2:$G$801, 0)+1))&lt;=1181,2,1))))=0,"",IF(MOD(INDEX(輔助計算!$D:$D, (MATCH(654, 輔助計算!$G$2:$G$801, 0)+1)),IF(INDEX(ERP資料!$G:$G, (MATCH(654, 輔助計算!$G$2:$G$801, 0)+1))&lt;100, IF(INDEX(ERP資料!$G:$G, (MATCH(654, 輔助計算!$G$2:$G$801, 0)+1))&lt;=31,3,IF(INDEX(ERP資料!$G:$G, (MATCH(654, 輔助計算!$G$2:$G$801, 0)+1))&lt;=46.5,2,1)), IF(INDEX(ERP資料!$G:$G, (MATCH(654, 輔助計算!$G$2:$G$801, 0)+1))&lt;=790,3,IF(INDEX(ERP資料!$G:$G, (MATCH(654, 輔助計算!$G$2:$G$801, 0)+1))&lt;=1181,2,1))))=1,TEXT(INDEX(ERP資料!$G:$G, (MATCH(654, 輔助計算!$G$2:$G$801, 0)+1)),"0.##"),IF(MOD(INDEX(輔助計算!$D:$D, (MATCH(654, 輔助計算!$G$2:$G$801, 0)+1)),IF(INDEX(ERP資料!$G:$G, (MATCH(654, 輔助計算!$G$2:$G$801, 0)+1))&lt;100, IF(INDEX(ERP資料!$G:$G, (MATCH(654, 輔助計算!$G$2:$G$801, 0)+1))&lt;=31,3,IF(INDEX(ERP資料!$G:$G, (MATCH(654, 輔助計算!$G$2:$G$801, 0)+1))&lt;=46.5,2,1)), IF(INDEX(ERP資料!$G:$G, (MATCH(654, 輔助計算!$G$2:$G$801, 0)+1))&lt;=790,3,IF(INDEX(ERP資料!$G:$G, (MATCH(654, 輔助計算!$G$2:$G$801, 0)+1))&lt;=1181,2,1))))=2,TEXT(INDEX(ERP資料!$G:$G, (MATCH(654, 輔助計算!$G$2:$G$801, 0)+1)),"0.##")&amp;"+"&amp;TEXT(INDEX(ERP資料!$G:$G, (MATCH(654, 輔助計算!$G$2:$G$801, 0)+1)),"0.##"),TEXT(INDEX(ERP資料!$G:$G, (MATCH(654, 輔助計算!$G$2:$G$801, 0)+1)),"0.##")&amp;"+"&amp;TEXT(INDEX(ERP資料!$G:$G, (MATCH(654, 輔助計算!$G$2:$G$801, 0)+1)),"0.##")&amp;"+"&amp;TEXT(INDEX(ERP資料!$G:$G, (MATCH(654, 輔助計算!$G$2:$G$801, 0)+1)),"0.##"))))&amp;"-1")), ""), "")</f>
        <v/>
      </c>
      <c r="K655" s="16" t="n"/>
      <c r="L655" s="14">
        <f>IFERROR(IF(AND(IFERROR(INDEX(ERP資料!$A:$A, (MATCH(654, 輔助計算!$G$2:$G$801, 0)+1)), "")&lt;&gt;"", IFERROR(INDEX(ERP資料!$A:$A, (MATCH(654, 輔助計算!$G$2:$G$801, 0)+1)), "")&lt;&gt;IFERROR(INDEX(ERP資料!$A:$A, MATCH(653, 輔助計算!$G$2:$G$801, 0)+1), "")), INDEX(ERP資料!$B:$B, (MATCH(654, 輔助計算!$G$2:$G$801, 0)+1)), ""), "")</f>
        <v/>
      </c>
      <c r="M655" s="17" t="n"/>
    </row>
    <row r="656">
      <c r="A656" s="10">
        <f>IFERROR(IF(AND(IFERROR(INDEX(ERP資料!$A:$A, (MATCH(655, 輔助計算!$G$2:$G$801, 0)+1)), "")&lt;&gt;"", IFERROR(INDEX(ERP資料!$A:$A, (MATCH(655, 輔助計算!$G$2:$G$801, 0)+1)), "")&lt;&gt;IFERROR(INDEX(ERP資料!$A:$A, MATCH(654, 輔助計算!$G$2:$G$801, 0)+1), "")), IFERROR(INDEX(ERP資料!$A:$A, (MATCH(655, 輔助計算!$G$2:$G$801, 0)+1)), ""), ""), "")</f>
        <v/>
      </c>
      <c r="B656" s="10">
        <f>IFERROR(IF(AND(IFERROR(INDEX(ERP資料!$A:$A, (MATCH(655, 輔助計算!$G$2:$G$801, 0)+1)), "")&lt;&gt;"", IFERROR(INDEX(ERP資料!$A:$A, (MATCH(655, 輔助計算!$G$2:$G$801, 0)+1)), "")&lt;&gt;IFERROR(INDEX(ERP資料!$A:$A, MATCH(654, 輔助計算!$G$2:$G$801, 0)+1), "")), INDEX(ERP資料!$S:$S, (MATCH(655, 輔助計算!$G$2:$G$801, 0)+1)), ""), "")</f>
        <v/>
      </c>
      <c r="C656" s="19">
        <f>IFERROR(IF(AND(IFERROR(INDEX(ERP資料!$A:$A, (MATCH(655, 輔助計算!$G$2:$G$801, 0)+1)), "")&lt;&gt;"", IFERROR(INDEX(ERP資料!$A:$A, (MATCH(655, 輔助計算!$G$2:$G$801, 0)+1)), "")&lt;&gt;IFERROR(INDEX(ERP資料!$A:$A, MATCH(654, 輔助計算!$G$2:$G$801, 0)+1), "")), IFERROR(VLOOKUP(LEFT(INDEX(ERP資料!$S:$S, (MATCH(655, 輔助計算!$G$2:$G$801, 0)+1)), 4), 紙管對照表!$A:$C, 3, FALSE), ""), ""), "")</f>
        <v/>
      </c>
      <c r="D656" s="16" t="n"/>
      <c r="E656" s="10">
        <f>IFERROR(IF(INDEX(ERP資料!$H:$H, (MATCH(655, 輔助計算!$G$2:$G$801, 0)+1))="","",INDEX(ERP資料!$H:$H, (MATCH(655, 輔助計算!$G$2:$G$801, 0)+1))), "")</f>
        <v/>
      </c>
      <c r="F656" s="10">
        <f>IFERROR(IF(INDEX(ERP資料!$E:$E, (MATCH(655, 輔助計算!$G$2:$G$801, 0)+1))="","",TRIM(INDEX(ERP資料!$E:$E, (MATCH(655, 輔助計算!$G$2:$G$801, 0)+1)))), "")</f>
        <v/>
      </c>
      <c r="G656" s="10">
        <f>IFERROR(IF(INDEX(ERP資料!$F:$F, (MATCH(655, 輔助計算!$G$2:$G$801, 0)+1))="","",INDEX(ERP資料!$F:$F, (MATCH(655, 輔助計算!$G$2:$G$801, 0)+1))), "")</f>
        <v/>
      </c>
      <c r="H656" s="10">
        <f>IFERROR(IF(INDEX(ERP資料!$G:$G, (MATCH(655, 輔助計算!$G$2:$G$801, 0)+1))="","",INDEX(ERP資料!$G:$G, (MATCH(655, 輔助計算!$G$2:$G$801, 0)+1))), "")</f>
        <v/>
      </c>
      <c r="I656" s="15">
        <f>IFERROR(INDEX(輔助計算!$D:$D, (MATCH(655, 輔助計算!$G$2:$G$801, 0)+1)), "")</f>
        <v/>
      </c>
      <c r="J656" s="15">
        <f>IFERROR(IF(AND(INDEX(輔助計算!$D:$D, (MATCH(655, 輔助計算!$G$2:$G$801, 0)+1))&lt;&gt;"", INDEX(ERP資料!$G:$G, (MATCH(655, 輔助計算!$G$2:$G$801, 0)+1))&lt;&gt;""), TRIM(IF(INT(INDEX(輔助計算!$D:$D, (MATCH(655, 輔助計算!$G$2:$G$801, 0)+1))/IF(INDEX(ERP資料!$G:$G, (MATCH(655, 輔助計算!$G$2:$G$801, 0)+1))&lt;100, IF(INDEX(ERP資料!$G:$G, (MATCH(655, 輔助計算!$G$2:$G$801, 0)+1))&lt;=31,3,IF(INDEX(ERP資料!$G:$G, (MATCH(655, 輔助計算!$G$2:$G$801, 0)+1))&lt;=46.5,2,1)), IF(INDEX(ERP資料!$G:$G, (MATCH(655, 輔助計算!$G$2:$G$801, 0)+1))&lt;=790,3,IF(INDEX(ERP資料!$G:$G, (MATCH(655, 輔助計算!$G$2:$G$801, 0)+1))&lt;=1181,2,1))))&gt;0, IF(IF(INDEX(ERP資料!$G:$G, (MATCH(655, 輔助計算!$G$2:$G$801, 0)+1))&lt;100, IF(INDEX(ERP資料!$G:$G, (MATCH(655, 輔助計算!$G$2:$G$801, 0)+1))&lt;=31,3,IF(INDEX(ERP資料!$G:$G, (MATCH(655, 輔助計算!$G$2:$G$801, 0)+1))&lt;=46.5,2,1)), IF(INDEX(ERP資料!$G:$G, (MATCH(655, 輔助計算!$G$2:$G$801, 0)+1))&lt;=790,3,IF(INDEX(ERP資料!$G:$G, (MATCH(655, 輔助計算!$G$2:$G$801, 0)+1))&lt;=1181,2,1)))=1,TEXT(INDEX(ERP資料!$G:$G, (MATCH(655, 輔助計算!$G$2:$G$801, 0)+1)),"0.##"),IF(IF(INDEX(ERP資料!$G:$G, (MATCH(655, 輔助計算!$G$2:$G$801, 0)+1))&lt;100, IF(INDEX(ERP資料!$G:$G, (MATCH(655, 輔助計算!$G$2:$G$801, 0)+1))&lt;=31,3,IF(INDEX(ERP資料!$G:$G, (MATCH(655, 輔助計算!$G$2:$G$801, 0)+1))&lt;=46.5,2,1)), IF(INDEX(ERP資料!$G:$G, (MATCH(655, 輔助計算!$G$2:$G$801, 0)+1))&lt;=790,3,IF(INDEX(ERP資料!$G:$G, (MATCH(655, 輔助計算!$G$2:$G$801, 0)+1))&lt;=1181,2,1)))=2,TEXT(INDEX(ERP資料!$G:$G, (MATCH(655, 輔助計算!$G$2:$G$801, 0)+1)),"0.##")&amp;"+"&amp;TEXT(INDEX(ERP資料!$G:$G, (MATCH(655, 輔助計算!$G$2:$G$801, 0)+1)),"0.##"),TEXT(INDEX(ERP資料!$G:$G, (MATCH(655, 輔助計算!$G$2:$G$801, 0)+1)),"0.##")&amp;"+"&amp;TEXT(INDEX(ERP資料!$G:$G, (MATCH(655, 輔助計算!$G$2:$G$801, 0)+1)),"0.##")&amp;"+"&amp;TEXT(INDEX(ERP資料!$G:$G, (MATCH(655, 輔助計算!$G$2:$G$801, 0)+1)),"0.##")))&amp;"-"&amp;INT(INDEX(輔助計算!$D:$D, (MATCH(655, 輔助計算!$G$2:$G$801, 0)+1))/IF(INDEX(ERP資料!$G:$G, (MATCH(655, 輔助計算!$G$2:$G$801, 0)+1))&lt;100, IF(INDEX(ERP資料!$G:$G, (MATCH(655, 輔助計算!$G$2:$G$801, 0)+1))&lt;=31,3,IF(INDEX(ERP資料!$G:$G, (MATCH(655, 輔助計算!$G$2:$G$801, 0)+1))&lt;=46.5,2,1)), IF(INDEX(ERP資料!$G:$G, (MATCH(655, 輔助計算!$G$2:$G$801, 0)+1))&lt;=790,3,IF(INDEX(ERP資料!$G:$G, (MATCH(655, 輔助計算!$G$2:$G$801, 0)+1))&lt;=1181,2,1)))), "")&amp;IF(AND(IF(INT(INDEX(輔助計算!$D:$D, (MATCH(655, 輔助計算!$G$2:$G$801, 0)+1))/IF(INDEX(ERP資料!$G:$G, (MATCH(655, 輔助計算!$G$2:$G$801, 0)+1))&lt;100, IF(INDEX(ERP資料!$G:$G, (MATCH(655, 輔助計算!$G$2:$G$801, 0)+1))&lt;=31,3,IF(INDEX(ERP資料!$G:$G, (MATCH(655, 輔助計算!$G$2:$G$801, 0)+1))&lt;=46.5,2,1)), IF(INDEX(ERP資料!$G:$G, (MATCH(655, 輔助計算!$G$2:$G$801, 0)+1))&lt;=790,3,IF(INDEX(ERP資料!$G:$G, (MATCH(655, 輔助計算!$G$2:$G$801, 0)+1))&lt;=1181,2,1))))&gt;0, IF(IF(INDEX(ERP資料!$G:$G, (MATCH(655, 輔助計算!$G$2:$G$801, 0)+1))&lt;100, IF(INDEX(ERP資料!$G:$G, (MATCH(655, 輔助計算!$G$2:$G$801, 0)+1))&lt;=31,3,IF(INDEX(ERP資料!$G:$G, (MATCH(655, 輔助計算!$G$2:$G$801, 0)+1))&lt;=46.5,2,1)), IF(INDEX(ERP資料!$G:$G, (MATCH(655, 輔助計算!$G$2:$G$801, 0)+1))&lt;=790,3,IF(INDEX(ERP資料!$G:$G, (MATCH(655, 輔助計算!$G$2:$G$801, 0)+1))&lt;=1181,2,1)))=1,TEXT(INDEX(ERP資料!$G:$G, (MATCH(655, 輔助計算!$G$2:$G$801, 0)+1)),"0.##"),IF(IF(INDEX(ERP資料!$G:$G, (MATCH(655, 輔助計算!$G$2:$G$801, 0)+1))&lt;100, IF(INDEX(ERP資料!$G:$G, (MATCH(655, 輔助計算!$G$2:$G$801, 0)+1))&lt;=31,3,IF(INDEX(ERP資料!$G:$G, (MATCH(655, 輔助計算!$G$2:$G$801, 0)+1))&lt;=46.5,2,1)), IF(INDEX(ERP資料!$G:$G, (MATCH(655, 輔助計算!$G$2:$G$801, 0)+1))&lt;=790,3,IF(INDEX(ERP資料!$G:$G, (MATCH(655, 輔助計算!$G$2:$G$801, 0)+1))&lt;=1181,2,1)))=2,TEXT(INDEX(ERP資料!$G:$G, (MATCH(655, 輔助計算!$G$2:$G$801, 0)+1)),"0.##")&amp;"+"&amp;TEXT(INDEX(ERP資料!$G:$G, (MATCH(655, 輔助計算!$G$2:$G$801, 0)+1)),"0.##"),TEXT(INDEX(ERP資料!$G:$G, (MATCH(655, 輔助計算!$G$2:$G$801, 0)+1)),"0.##")&amp;"+"&amp;TEXT(INDEX(ERP資料!$G:$G, (MATCH(655, 輔助計算!$G$2:$G$801, 0)+1)),"0.##")&amp;"+"&amp;TEXT(INDEX(ERP資料!$G:$G, (MATCH(655, 輔助計算!$G$2:$G$801, 0)+1)),"0.##")))&amp;"-"&amp;INT(INDEX(輔助計算!$D:$D, (MATCH(655, 輔助計算!$G$2:$G$801, 0)+1))/IF(INDEX(ERP資料!$G:$G, (MATCH(655, 輔助計算!$G$2:$G$801, 0)+1))&lt;100, IF(INDEX(ERP資料!$G:$G, (MATCH(655, 輔助計算!$G$2:$G$801, 0)+1))&lt;=31,3,IF(INDEX(ERP資料!$G:$G, (MATCH(655, 輔助計算!$G$2:$G$801, 0)+1))&lt;=46.5,2,1)), IF(INDEX(ERP資料!$G:$G, (MATCH(655, 輔助計算!$G$2:$G$801, 0)+1))&lt;=790,3,IF(INDEX(ERP資料!$G:$G, (MATCH(655, 輔助計算!$G$2:$G$801, 0)+1))&lt;=1181,2,1)))), "")&lt;&gt;"",IF(MOD(INDEX(輔助計算!$D:$D, (MATCH(655, 輔助計算!$G$2:$G$801, 0)+1)),IF(INDEX(ERP資料!$G:$G, (MATCH(655, 輔助計算!$G$2:$G$801, 0)+1))&lt;100, IF(INDEX(ERP資料!$G:$G, (MATCH(655, 輔助計算!$G$2:$G$801, 0)+1))&lt;=31,3,IF(INDEX(ERP資料!$G:$G, (MATCH(655, 輔助計算!$G$2:$G$801, 0)+1))&lt;=46.5,2,1)), IF(INDEX(ERP資料!$G:$G, (MATCH(655, 輔助計算!$G$2:$G$801, 0)+1))&lt;=790,3,IF(INDEX(ERP資料!$G:$G, (MATCH(655, 輔助計算!$G$2:$G$801, 0)+1))&lt;=1181,2,1))))=0,"",IF(MOD(INDEX(輔助計算!$D:$D, (MATCH(655, 輔助計算!$G$2:$G$801, 0)+1)),IF(INDEX(ERP資料!$G:$G, (MATCH(655, 輔助計算!$G$2:$G$801, 0)+1))&lt;100, IF(INDEX(ERP資料!$G:$G, (MATCH(655, 輔助計算!$G$2:$G$801, 0)+1))&lt;=31,3,IF(INDEX(ERP資料!$G:$G, (MATCH(655, 輔助計算!$G$2:$G$801, 0)+1))&lt;=46.5,2,1)), IF(INDEX(ERP資料!$G:$G, (MATCH(655, 輔助計算!$G$2:$G$801, 0)+1))&lt;=790,3,IF(INDEX(ERP資料!$G:$G, (MATCH(655, 輔助計算!$G$2:$G$801, 0)+1))&lt;=1181,2,1))))=0,"",IF(MOD(INDEX(輔助計算!$D:$D, (MATCH(655, 輔助計算!$G$2:$G$801, 0)+1)),IF(INDEX(ERP資料!$G:$G, (MATCH(655, 輔助計算!$G$2:$G$801, 0)+1))&lt;100, IF(INDEX(ERP資料!$G:$G, (MATCH(655, 輔助計算!$G$2:$G$801, 0)+1))&lt;=31,3,IF(INDEX(ERP資料!$G:$G, (MATCH(655, 輔助計算!$G$2:$G$801, 0)+1))&lt;=46.5,2,1)), IF(INDEX(ERP資料!$G:$G, (MATCH(655, 輔助計算!$G$2:$G$801, 0)+1))&lt;=790,3,IF(INDEX(ERP資料!$G:$G, (MATCH(655, 輔助計算!$G$2:$G$801, 0)+1))&lt;=1181,2,1))))=1,TEXT(INDEX(ERP資料!$G:$G, (MATCH(655, 輔助計算!$G$2:$G$801, 0)+1)),"0.##"),IF(MOD(INDEX(輔助計算!$D:$D, (MATCH(655, 輔助計算!$G$2:$G$801, 0)+1)),IF(INDEX(ERP資料!$G:$G, (MATCH(655, 輔助計算!$G$2:$G$801, 0)+1))&lt;100, IF(INDEX(ERP資料!$G:$G, (MATCH(655, 輔助計算!$G$2:$G$801, 0)+1))&lt;=31,3,IF(INDEX(ERP資料!$G:$G, (MATCH(655, 輔助計算!$G$2:$G$801, 0)+1))&lt;=46.5,2,1)), IF(INDEX(ERP資料!$G:$G, (MATCH(655, 輔助計算!$G$2:$G$801, 0)+1))&lt;=790,3,IF(INDEX(ERP資料!$G:$G, (MATCH(655, 輔助計算!$G$2:$G$801, 0)+1))&lt;=1181,2,1))))=2,TEXT(INDEX(ERP資料!$G:$G, (MATCH(655, 輔助計算!$G$2:$G$801, 0)+1)),"0.##")&amp;"+"&amp;TEXT(INDEX(ERP資料!$G:$G, (MATCH(655, 輔助計算!$G$2:$G$801, 0)+1)),"0.##"),TEXT(INDEX(ERP資料!$G:$G, (MATCH(655, 輔助計算!$G$2:$G$801, 0)+1)),"0.##")&amp;"+"&amp;TEXT(INDEX(ERP資料!$G:$G, (MATCH(655, 輔助計算!$G$2:$G$801, 0)+1)),"0.##")&amp;"+"&amp;TEXT(INDEX(ERP資料!$G:$G, (MATCH(655, 輔助計算!$G$2:$G$801, 0)+1)),"0.##"))))&amp;"-1")&lt;&gt;""),"  ","")&amp;IF(MOD(INDEX(輔助計算!$D:$D, (MATCH(655, 輔助計算!$G$2:$G$801, 0)+1)),IF(INDEX(ERP資料!$G:$G, (MATCH(655, 輔助計算!$G$2:$G$801, 0)+1))&lt;100, IF(INDEX(ERP資料!$G:$G, (MATCH(655, 輔助計算!$G$2:$G$801, 0)+1))&lt;=31,3,IF(INDEX(ERP資料!$G:$G, (MATCH(655, 輔助計算!$G$2:$G$801, 0)+1))&lt;=46.5,2,1)), IF(INDEX(ERP資料!$G:$G, (MATCH(655, 輔助計算!$G$2:$G$801, 0)+1))&lt;=790,3,IF(INDEX(ERP資料!$G:$G, (MATCH(655, 輔助計算!$G$2:$G$801, 0)+1))&lt;=1181,2,1))))=0,"",IF(MOD(INDEX(輔助計算!$D:$D, (MATCH(655, 輔助計算!$G$2:$G$801, 0)+1)),IF(INDEX(ERP資料!$G:$G, (MATCH(655, 輔助計算!$G$2:$G$801, 0)+1))&lt;100, IF(INDEX(ERP資料!$G:$G, (MATCH(655, 輔助計算!$G$2:$G$801, 0)+1))&lt;=31,3,IF(INDEX(ERP資料!$G:$G, (MATCH(655, 輔助計算!$G$2:$G$801, 0)+1))&lt;=46.5,2,1)), IF(INDEX(ERP資料!$G:$G, (MATCH(655, 輔助計算!$G$2:$G$801, 0)+1))&lt;=790,3,IF(INDEX(ERP資料!$G:$G, (MATCH(655, 輔助計算!$G$2:$G$801, 0)+1))&lt;=1181,2,1))))=0,"",IF(MOD(INDEX(輔助計算!$D:$D, (MATCH(655, 輔助計算!$G$2:$G$801, 0)+1)),IF(INDEX(ERP資料!$G:$G, (MATCH(655, 輔助計算!$G$2:$G$801, 0)+1))&lt;100, IF(INDEX(ERP資料!$G:$G, (MATCH(655, 輔助計算!$G$2:$G$801, 0)+1))&lt;=31,3,IF(INDEX(ERP資料!$G:$G, (MATCH(655, 輔助計算!$G$2:$G$801, 0)+1))&lt;=46.5,2,1)), IF(INDEX(ERP資料!$G:$G, (MATCH(655, 輔助計算!$G$2:$G$801, 0)+1))&lt;=790,3,IF(INDEX(ERP資料!$G:$G, (MATCH(655, 輔助計算!$G$2:$G$801, 0)+1))&lt;=1181,2,1))))=1,TEXT(INDEX(ERP資料!$G:$G, (MATCH(655, 輔助計算!$G$2:$G$801, 0)+1)),"0.##"),IF(MOD(INDEX(輔助計算!$D:$D, (MATCH(655, 輔助計算!$G$2:$G$801, 0)+1)),IF(INDEX(ERP資料!$G:$G, (MATCH(655, 輔助計算!$G$2:$G$801, 0)+1))&lt;100, IF(INDEX(ERP資料!$G:$G, (MATCH(655, 輔助計算!$G$2:$G$801, 0)+1))&lt;=31,3,IF(INDEX(ERP資料!$G:$G, (MATCH(655, 輔助計算!$G$2:$G$801, 0)+1))&lt;=46.5,2,1)), IF(INDEX(ERP資料!$G:$G, (MATCH(655, 輔助計算!$G$2:$G$801, 0)+1))&lt;=790,3,IF(INDEX(ERP資料!$G:$G, (MATCH(655, 輔助計算!$G$2:$G$801, 0)+1))&lt;=1181,2,1))))=2,TEXT(INDEX(ERP資料!$G:$G, (MATCH(655, 輔助計算!$G$2:$G$801, 0)+1)),"0.##")&amp;"+"&amp;TEXT(INDEX(ERP資料!$G:$G, (MATCH(655, 輔助計算!$G$2:$G$801, 0)+1)),"0.##"),TEXT(INDEX(ERP資料!$G:$G, (MATCH(655, 輔助計算!$G$2:$G$801, 0)+1)),"0.##")&amp;"+"&amp;TEXT(INDEX(ERP資料!$G:$G, (MATCH(655, 輔助計算!$G$2:$G$801, 0)+1)),"0.##")&amp;"+"&amp;TEXT(INDEX(ERP資料!$G:$G, (MATCH(655, 輔助計算!$G$2:$G$801, 0)+1)),"0.##"))))&amp;"-1")), ""), "")</f>
        <v/>
      </c>
      <c r="K656" s="16" t="n"/>
      <c r="L656" s="14">
        <f>IFERROR(IF(AND(IFERROR(INDEX(ERP資料!$A:$A, (MATCH(655, 輔助計算!$G$2:$G$801, 0)+1)), "")&lt;&gt;"", IFERROR(INDEX(ERP資料!$A:$A, (MATCH(655, 輔助計算!$G$2:$G$801, 0)+1)), "")&lt;&gt;IFERROR(INDEX(ERP資料!$A:$A, MATCH(654, 輔助計算!$G$2:$G$801, 0)+1), "")), INDEX(ERP資料!$B:$B, (MATCH(655, 輔助計算!$G$2:$G$801, 0)+1)), ""), "")</f>
        <v/>
      </c>
      <c r="M656" s="17" t="n"/>
    </row>
    <row r="657">
      <c r="A657" s="10">
        <f>IFERROR(IF(AND(IFERROR(INDEX(ERP資料!$A:$A, (MATCH(656, 輔助計算!$G$2:$G$801, 0)+1)), "")&lt;&gt;"", IFERROR(INDEX(ERP資料!$A:$A, (MATCH(656, 輔助計算!$G$2:$G$801, 0)+1)), "")&lt;&gt;IFERROR(INDEX(ERP資料!$A:$A, MATCH(655, 輔助計算!$G$2:$G$801, 0)+1), "")), IFERROR(INDEX(ERP資料!$A:$A, (MATCH(656, 輔助計算!$G$2:$G$801, 0)+1)), ""), ""), "")</f>
        <v/>
      </c>
      <c r="B657" s="10">
        <f>IFERROR(IF(AND(IFERROR(INDEX(ERP資料!$A:$A, (MATCH(656, 輔助計算!$G$2:$G$801, 0)+1)), "")&lt;&gt;"", IFERROR(INDEX(ERP資料!$A:$A, (MATCH(656, 輔助計算!$G$2:$G$801, 0)+1)), "")&lt;&gt;IFERROR(INDEX(ERP資料!$A:$A, MATCH(655, 輔助計算!$G$2:$G$801, 0)+1), "")), INDEX(ERP資料!$S:$S, (MATCH(656, 輔助計算!$G$2:$G$801, 0)+1)), ""), "")</f>
        <v/>
      </c>
      <c r="C657" s="19">
        <f>IFERROR(IF(AND(IFERROR(INDEX(ERP資料!$A:$A, (MATCH(656, 輔助計算!$G$2:$G$801, 0)+1)), "")&lt;&gt;"", IFERROR(INDEX(ERP資料!$A:$A, (MATCH(656, 輔助計算!$G$2:$G$801, 0)+1)), "")&lt;&gt;IFERROR(INDEX(ERP資料!$A:$A, MATCH(655, 輔助計算!$G$2:$G$801, 0)+1), "")), IFERROR(VLOOKUP(LEFT(INDEX(ERP資料!$S:$S, (MATCH(656, 輔助計算!$G$2:$G$801, 0)+1)), 4), 紙管對照表!$A:$C, 3, FALSE), ""), ""), "")</f>
        <v/>
      </c>
      <c r="D657" s="16" t="n"/>
      <c r="E657" s="10">
        <f>IFERROR(IF(INDEX(ERP資料!$H:$H, (MATCH(656, 輔助計算!$G$2:$G$801, 0)+1))="","",INDEX(ERP資料!$H:$H, (MATCH(656, 輔助計算!$G$2:$G$801, 0)+1))), "")</f>
        <v/>
      </c>
      <c r="F657" s="10">
        <f>IFERROR(IF(INDEX(ERP資料!$E:$E, (MATCH(656, 輔助計算!$G$2:$G$801, 0)+1))="","",TRIM(INDEX(ERP資料!$E:$E, (MATCH(656, 輔助計算!$G$2:$G$801, 0)+1)))), "")</f>
        <v/>
      </c>
      <c r="G657" s="10">
        <f>IFERROR(IF(INDEX(ERP資料!$F:$F, (MATCH(656, 輔助計算!$G$2:$G$801, 0)+1))="","",INDEX(ERP資料!$F:$F, (MATCH(656, 輔助計算!$G$2:$G$801, 0)+1))), "")</f>
        <v/>
      </c>
      <c r="H657" s="10">
        <f>IFERROR(IF(INDEX(ERP資料!$G:$G, (MATCH(656, 輔助計算!$G$2:$G$801, 0)+1))="","",INDEX(ERP資料!$G:$G, (MATCH(656, 輔助計算!$G$2:$G$801, 0)+1))), "")</f>
        <v/>
      </c>
      <c r="I657" s="15">
        <f>IFERROR(INDEX(輔助計算!$D:$D, (MATCH(656, 輔助計算!$G$2:$G$801, 0)+1)), "")</f>
        <v/>
      </c>
      <c r="J657" s="15">
        <f>IFERROR(IF(AND(INDEX(輔助計算!$D:$D, (MATCH(656, 輔助計算!$G$2:$G$801, 0)+1))&lt;&gt;"", INDEX(ERP資料!$G:$G, (MATCH(656, 輔助計算!$G$2:$G$801, 0)+1))&lt;&gt;""), TRIM(IF(INT(INDEX(輔助計算!$D:$D, (MATCH(656, 輔助計算!$G$2:$G$801, 0)+1))/IF(INDEX(ERP資料!$G:$G, (MATCH(656, 輔助計算!$G$2:$G$801, 0)+1))&lt;100, IF(INDEX(ERP資料!$G:$G, (MATCH(656, 輔助計算!$G$2:$G$801, 0)+1))&lt;=31,3,IF(INDEX(ERP資料!$G:$G, (MATCH(656, 輔助計算!$G$2:$G$801, 0)+1))&lt;=46.5,2,1)), IF(INDEX(ERP資料!$G:$G, (MATCH(656, 輔助計算!$G$2:$G$801, 0)+1))&lt;=790,3,IF(INDEX(ERP資料!$G:$G, (MATCH(656, 輔助計算!$G$2:$G$801, 0)+1))&lt;=1181,2,1))))&gt;0, IF(IF(INDEX(ERP資料!$G:$G, (MATCH(656, 輔助計算!$G$2:$G$801, 0)+1))&lt;100, IF(INDEX(ERP資料!$G:$G, (MATCH(656, 輔助計算!$G$2:$G$801, 0)+1))&lt;=31,3,IF(INDEX(ERP資料!$G:$G, (MATCH(656, 輔助計算!$G$2:$G$801, 0)+1))&lt;=46.5,2,1)), IF(INDEX(ERP資料!$G:$G, (MATCH(656, 輔助計算!$G$2:$G$801, 0)+1))&lt;=790,3,IF(INDEX(ERP資料!$G:$G, (MATCH(656, 輔助計算!$G$2:$G$801, 0)+1))&lt;=1181,2,1)))=1,TEXT(INDEX(ERP資料!$G:$G, (MATCH(656, 輔助計算!$G$2:$G$801, 0)+1)),"0.##"),IF(IF(INDEX(ERP資料!$G:$G, (MATCH(656, 輔助計算!$G$2:$G$801, 0)+1))&lt;100, IF(INDEX(ERP資料!$G:$G, (MATCH(656, 輔助計算!$G$2:$G$801, 0)+1))&lt;=31,3,IF(INDEX(ERP資料!$G:$G, (MATCH(656, 輔助計算!$G$2:$G$801, 0)+1))&lt;=46.5,2,1)), IF(INDEX(ERP資料!$G:$G, (MATCH(656, 輔助計算!$G$2:$G$801, 0)+1))&lt;=790,3,IF(INDEX(ERP資料!$G:$G, (MATCH(656, 輔助計算!$G$2:$G$801, 0)+1))&lt;=1181,2,1)))=2,TEXT(INDEX(ERP資料!$G:$G, (MATCH(656, 輔助計算!$G$2:$G$801, 0)+1)),"0.##")&amp;"+"&amp;TEXT(INDEX(ERP資料!$G:$G, (MATCH(656, 輔助計算!$G$2:$G$801, 0)+1)),"0.##"),TEXT(INDEX(ERP資料!$G:$G, (MATCH(656, 輔助計算!$G$2:$G$801, 0)+1)),"0.##")&amp;"+"&amp;TEXT(INDEX(ERP資料!$G:$G, (MATCH(656, 輔助計算!$G$2:$G$801, 0)+1)),"0.##")&amp;"+"&amp;TEXT(INDEX(ERP資料!$G:$G, (MATCH(656, 輔助計算!$G$2:$G$801, 0)+1)),"0.##")))&amp;"-"&amp;INT(INDEX(輔助計算!$D:$D, (MATCH(656, 輔助計算!$G$2:$G$801, 0)+1))/IF(INDEX(ERP資料!$G:$G, (MATCH(656, 輔助計算!$G$2:$G$801, 0)+1))&lt;100, IF(INDEX(ERP資料!$G:$G, (MATCH(656, 輔助計算!$G$2:$G$801, 0)+1))&lt;=31,3,IF(INDEX(ERP資料!$G:$G, (MATCH(656, 輔助計算!$G$2:$G$801, 0)+1))&lt;=46.5,2,1)), IF(INDEX(ERP資料!$G:$G, (MATCH(656, 輔助計算!$G$2:$G$801, 0)+1))&lt;=790,3,IF(INDEX(ERP資料!$G:$G, (MATCH(656, 輔助計算!$G$2:$G$801, 0)+1))&lt;=1181,2,1)))), "")&amp;IF(AND(IF(INT(INDEX(輔助計算!$D:$D, (MATCH(656, 輔助計算!$G$2:$G$801, 0)+1))/IF(INDEX(ERP資料!$G:$G, (MATCH(656, 輔助計算!$G$2:$G$801, 0)+1))&lt;100, IF(INDEX(ERP資料!$G:$G, (MATCH(656, 輔助計算!$G$2:$G$801, 0)+1))&lt;=31,3,IF(INDEX(ERP資料!$G:$G, (MATCH(656, 輔助計算!$G$2:$G$801, 0)+1))&lt;=46.5,2,1)), IF(INDEX(ERP資料!$G:$G, (MATCH(656, 輔助計算!$G$2:$G$801, 0)+1))&lt;=790,3,IF(INDEX(ERP資料!$G:$G, (MATCH(656, 輔助計算!$G$2:$G$801, 0)+1))&lt;=1181,2,1))))&gt;0, IF(IF(INDEX(ERP資料!$G:$G, (MATCH(656, 輔助計算!$G$2:$G$801, 0)+1))&lt;100, IF(INDEX(ERP資料!$G:$G, (MATCH(656, 輔助計算!$G$2:$G$801, 0)+1))&lt;=31,3,IF(INDEX(ERP資料!$G:$G, (MATCH(656, 輔助計算!$G$2:$G$801, 0)+1))&lt;=46.5,2,1)), IF(INDEX(ERP資料!$G:$G, (MATCH(656, 輔助計算!$G$2:$G$801, 0)+1))&lt;=790,3,IF(INDEX(ERP資料!$G:$G, (MATCH(656, 輔助計算!$G$2:$G$801, 0)+1))&lt;=1181,2,1)))=1,TEXT(INDEX(ERP資料!$G:$G, (MATCH(656, 輔助計算!$G$2:$G$801, 0)+1)),"0.##"),IF(IF(INDEX(ERP資料!$G:$G, (MATCH(656, 輔助計算!$G$2:$G$801, 0)+1))&lt;100, IF(INDEX(ERP資料!$G:$G, (MATCH(656, 輔助計算!$G$2:$G$801, 0)+1))&lt;=31,3,IF(INDEX(ERP資料!$G:$G, (MATCH(656, 輔助計算!$G$2:$G$801, 0)+1))&lt;=46.5,2,1)), IF(INDEX(ERP資料!$G:$G, (MATCH(656, 輔助計算!$G$2:$G$801, 0)+1))&lt;=790,3,IF(INDEX(ERP資料!$G:$G, (MATCH(656, 輔助計算!$G$2:$G$801, 0)+1))&lt;=1181,2,1)))=2,TEXT(INDEX(ERP資料!$G:$G, (MATCH(656, 輔助計算!$G$2:$G$801, 0)+1)),"0.##")&amp;"+"&amp;TEXT(INDEX(ERP資料!$G:$G, (MATCH(656, 輔助計算!$G$2:$G$801, 0)+1)),"0.##"),TEXT(INDEX(ERP資料!$G:$G, (MATCH(656, 輔助計算!$G$2:$G$801, 0)+1)),"0.##")&amp;"+"&amp;TEXT(INDEX(ERP資料!$G:$G, (MATCH(656, 輔助計算!$G$2:$G$801, 0)+1)),"0.##")&amp;"+"&amp;TEXT(INDEX(ERP資料!$G:$G, (MATCH(656, 輔助計算!$G$2:$G$801, 0)+1)),"0.##")))&amp;"-"&amp;INT(INDEX(輔助計算!$D:$D, (MATCH(656, 輔助計算!$G$2:$G$801, 0)+1))/IF(INDEX(ERP資料!$G:$G, (MATCH(656, 輔助計算!$G$2:$G$801, 0)+1))&lt;100, IF(INDEX(ERP資料!$G:$G, (MATCH(656, 輔助計算!$G$2:$G$801, 0)+1))&lt;=31,3,IF(INDEX(ERP資料!$G:$G, (MATCH(656, 輔助計算!$G$2:$G$801, 0)+1))&lt;=46.5,2,1)), IF(INDEX(ERP資料!$G:$G, (MATCH(656, 輔助計算!$G$2:$G$801, 0)+1))&lt;=790,3,IF(INDEX(ERP資料!$G:$G, (MATCH(656, 輔助計算!$G$2:$G$801, 0)+1))&lt;=1181,2,1)))), "")&lt;&gt;"",IF(MOD(INDEX(輔助計算!$D:$D, (MATCH(656, 輔助計算!$G$2:$G$801, 0)+1)),IF(INDEX(ERP資料!$G:$G, (MATCH(656, 輔助計算!$G$2:$G$801, 0)+1))&lt;100, IF(INDEX(ERP資料!$G:$G, (MATCH(656, 輔助計算!$G$2:$G$801, 0)+1))&lt;=31,3,IF(INDEX(ERP資料!$G:$G, (MATCH(656, 輔助計算!$G$2:$G$801, 0)+1))&lt;=46.5,2,1)), IF(INDEX(ERP資料!$G:$G, (MATCH(656, 輔助計算!$G$2:$G$801, 0)+1))&lt;=790,3,IF(INDEX(ERP資料!$G:$G, (MATCH(656, 輔助計算!$G$2:$G$801, 0)+1))&lt;=1181,2,1))))=0,"",IF(MOD(INDEX(輔助計算!$D:$D, (MATCH(656, 輔助計算!$G$2:$G$801, 0)+1)),IF(INDEX(ERP資料!$G:$G, (MATCH(656, 輔助計算!$G$2:$G$801, 0)+1))&lt;100, IF(INDEX(ERP資料!$G:$G, (MATCH(656, 輔助計算!$G$2:$G$801, 0)+1))&lt;=31,3,IF(INDEX(ERP資料!$G:$G, (MATCH(656, 輔助計算!$G$2:$G$801, 0)+1))&lt;=46.5,2,1)), IF(INDEX(ERP資料!$G:$G, (MATCH(656, 輔助計算!$G$2:$G$801, 0)+1))&lt;=790,3,IF(INDEX(ERP資料!$G:$G, (MATCH(656, 輔助計算!$G$2:$G$801, 0)+1))&lt;=1181,2,1))))=0,"",IF(MOD(INDEX(輔助計算!$D:$D, (MATCH(656, 輔助計算!$G$2:$G$801, 0)+1)),IF(INDEX(ERP資料!$G:$G, (MATCH(656, 輔助計算!$G$2:$G$801, 0)+1))&lt;100, IF(INDEX(ERP資料!$G:$G, (MATCH(656, 輔助計算!$G$2:$G$801, 0)+1))&lt;=31,3,IF(INDEX(ERP資料!$G:$G, (MATCH(656, 輔助計算!$G$2:$G$801, 0)+1))&lt;=46.5,2,1)), IF(INDEX(ERP資料!$G:$G, (MATCH(656, 輔助計算!$G$2:$G$801, 0)+1))&lt;=790,3,IF(INDEX(ERP資料!$G:$G, (MATCH(656, 輔助計算!$G$2:$G$801, 0)+1))&lt;=1181,2,1))))=1,TEXT(INDEX(ERP資料!$G:$G, (MATCH(656, 輔助計算!$G$2:$G$801, 0)+1)),"0.##"),IF(MOD(INDEX(輔助計算!$D:$D, (MATCH(656, 輔助計算!$G$2:$G$801, 0)+1)),IF(INDEX(ERP資料!$G:$G, (MATCH(656, 輔助計算!$G$2:$G$801, 0)+1))&lt;100, IF(INDEX(ERP資料!$G:$G, (MATCH(656, 輔助計算!$G$2:$G$801, 0)+1))&lt;=31,3,IF(INDEX(ERP資料!$G:$G, (MATCH(656, 輔助計算!$G$2:$G$801, 0)+1))&lt;=46.5,2,1)), IF(INDEX(ERP資料!$G:$G, (MATCH(656, 輔助計算!$G$2:$G$801, 0)+1))&lt;=790,3,IF(INDEX(ERP資料!$G:$G, (MATCH(656, 輔助計算!$G$2:$G$801, 0)+1))&lt;=1181,2,1))))=2,TEXT(INDEX(ERP資料!$G:$G, (MATCH(656, 輔助計算!$G$2:$G$801, 0)+1)),"0.##")&amp;"+"&amp;TEXT(INDEX(ERP資料!$G:$G, (MATCH(656, 輔助計算!$G$2:$G$801, 0)+1)),"0.##"),TEXT(INDEX(ERP資料!$G:$G, (MATCH(656, 輔助計算!$G$2:$G$801, 0)+1)),"0.##")&amp;"+"&amp;TEXT(INDEX(ERP資料!$G:$G, (MATCH(656, 輔助計算!$G$2:$G$801, 0)+1)),"0.##")&amp;"+"&amp;TEXT(INDEX(ERP資料!$G:$G, (MATCH(656, 輔助計算!$G$2:$G$801, 0)+1)),"0.##"))))&amp;"-1")&lt;&gt;""),"  ","")&amp;IF(MOD(INDEX(輔助計算!$D:$D, (MATCH(656, 輔助計算!$G$2:$G$801, 0)+1)),IF(INDEX(ERP資料!$G:$G, (MATCH(656, 輔助計算!$G$2:$G$801, 0)+1))&lt;100, IF(INDEX(ERP資料!$G:$G, (MATCH(656, 輔助計算!$G$2:$G$801, 0)+1))&lt;=31,3,IF(INDEX(ERP資料!$G:$G, (MATCH(656, 輔助計算!$G$2:$G$801, 0)+1))&lt;=46.5,2,1)), IF(INDEX(ERP資料!$G:$G, (MATCH(656, 輔助計算!$G$2:$G$801, 0)+1))&lt;=790,3,IF(INDEX(ERP資料!$G:$G, (MATCH(656, 輔助計算!$G$2:$G$801, 0)+1))&lt;=1181,2,1))))=0,"",IF(MOD(INDEX(輔助計算!$D:$D, (MATCH(656, 輔助計算!$G$2:$G$801, 0)+1)),IF(INDEX(ERP資料!$G:$G, (MATCH(656, 輔助計算!$G$2:$G$801, 0)+1))&lt;100, IF(INDEX(ERP資料!$G:$G, (MATCH(656, 輔助計算!$G$2:$G$801, 0)+1))&lt;=31,3,IF(INDEX(ERP資料!$G:$G, (MATCH(656, 輔助計算!$G$2:$G$801, 0)+1))&lt;=46.5,2,1)), IF(INDEX(ERP資料!$G:$G, (MATCH(656, 輔助計算!$G$2:$G$801, 0)+1))&lt;=790,3,IF(INDEX(ERP資料!$G:$G, (MATCH(656, 輔助計算!$G$2:$G$801, 0)+1))&lt;=1181,2,1))))=0,"",IF(MOD(INDEX(輔助計算!$D:$D, (MATCH(656, 輔助計算!$G$2:$G$801, 0)+1)),IF(INDEX(ERP資料!$G:$G, (MATCH(656, 輔助計算!$G$2:$G$801, 0)+1))&lt;100, IF(INDEX(ERP資料!$G:$G, (MATCH(656, 輔助計算!$G$2:$G$801, 0)+1))&lt;=31,3,IF(INDEX(ERP資料!$G:$G, (MATCH(656, 輔助計算!$G$2:$G$801, 0)+1))&lt;=46.5,2,1)), IF(INDEX(ERP資料!$G:$G, (MATCH(656, 輔助計算!$G$2:$G$801, 0)+1))&lt;=790,3,IF(INDEX(ERP資料!$G:$G, (MATCH(656, 輔助計算!$G$2:$G$801, 0)+1))&lt;=1181,2,1))))=1,TEXT(INDEX(ERP資料!$G:$G, (MATCH(656, 輔助計算!$G$2:$G$801, 0)+1)),"0.##"),IF(MOD(INDEX(輔助計算!$D:$D, (MATCH(656, 輔助計算!$G$2:$G$801, 0)+1)),IF(INDEX(ERP資料!$G:$G, (MATCH(656, 輔助計算!$G$2:$G$801, 0)+1))&lt;100, IF(INDEX(ERP資料!$G:$G, (MATCH(656, 輔助計算!$G$2:$G$801, 0)+1))&lt;=31,3,IF(INDEX(ERP資料!$G:$G, (MATCH(656, 輔助計算!$G$2:$G$801, 0)+1))&lt;=46.5,2,1)), IF(INDEX(ERP資料!$G:$G, (MATCH(656, 輔助計算!$G$2:$G$801, 0)+1))&lt;=790,3,IF(INDEX(ERP資料!$G:$G, (MATCH(656, 輔助計算!$G$2:$G$801, 0)+1))&lt;=1181,2,1))))=2,TEXT(INDEX(ERP資料!$G:$G, (MATCH(656, 輔助計算!$G$2:$G$801, 0)+1)),"0.##")&amp;"+"&amp;TEXT(INDEX(ERP資料!$G:$G, (MATCH(656, 輔助計算!$G$2:$G$801, 0)+1)),"0.##"),TEXT(INDEX(ERP資料!$G:$G, (MATCH(656, 輔助計算!$G$2:$G$801, 0)+1)),"0.##")&amp;"+"&amp;TEXT(INDEX(ERP資料!$G:$G, (MATCH(656, 輔助計算!$G$2:$G$801, 0)+1)),"0.##")&amp;"+"&amp;TEXT(INDEX(ERP資料!$G:$G, (MATCH(656, 輔助計算!$G$2:$G$801, 0)+1)),"0.##"))))&amp;"-1")), ""), "")</f>
        <v/>
      </c>
      <c r="K657" s="16" t="n"/>
      <c r="L657" s="14">
        <f>IFERROR(IF(AND(IFERROR(INDEX(ERP資料!$A:$A, (MATCH(656, 輔助計算!$G$2:$G$801, 0)+1)), "")&lt;&gt;"", IFERROR(INDEX(ERP資料!$A:$A, (MATCH(656, 輔助計算!$G$2:$G$801, 0)+1)), "")&lt;&gt;IFERROR(INDEX(ERP資料!$A:$A, MATCH(655, 輔助計算!$G$2:$G$801, 0)+1), "")), INDEX(ERP資料!$B:$B, (MATCH(656, 輔助計算!$G$2:$G$801, 0)+1)), ""), "")</f>
        <v/>
      </c>
      <c r="M657" s="17" t="n"/>
    </row>
    <row r="658">
      <c r="A658" s="10">
        <f>IFERROR(IF(AND(IFERROR(INDEX(ERP資料!$A:$A, (MATCH(657, 輔助計算!$G$2:$G$801, 0)+1)), "")&lt;&gt;"", IFERROR(INDEX(ERP資料!$A:$A, (MATCH(657, 輔助計算!$G$2:$G$801, 0)+1)), "")&lt;&gt;IFERROR(INDEX(ERP資料!$A:$A, MATCH(656, 輔助計算!$G$2:$G$801, 0)+1), "")), IFERROR(INDEX(ERP資料!$A:$A, (MATCH(657, 輔助計算!$G$2:$G$801, 0)+1)), ""), ""), "")</f>
        <v/>
      </c>
      <c r="B658" s="10">
        <f>IFERROR(IF(AND(IFERROR(INDEX(ERP資料!$A:$A, (MATCH(657, 輔助計算!$G$2:$G$801, 0)+1)), "")&lt;&gt;"", IFERROR(INDEX(ERP資料!$A:$A, (MATCH(657, 輔助計算!$G$2:$G$801, 0)+1)), "")&lt;&gt;IFERROR(INDEX(ERP資料!$A:$A, MATCH(656, 輔助計算!$G$2:$G$801, 0)+1), "")), INDEX(ERP資料!$S:$S, (MATCH(657, 輔助計算!$G$2:$G$801, 0)+1)), ""), "")</f>
        <v/>
      </c>
      <c r="C658" s="19">
        <f>IFERROR(IF(AND(IFERROR(INDEX(ERP資料!$A:$A, (MATCH(657, 輔助計算!$G$2:$G$801, 0)+1)), "")&lt;&gt;"", IFERROR(INDEX(ERP資料!$A:$A, (MATCH(657, 輔助計算!$G$2:$G$801, 0)+1)), "")&lt;&gt;IFERROR(INDEX(ERP資料!$A:$A, MATCH(656, 輔助計算!$G$2:$G$801, 0)+1), "")), IFERROR(VLOOKUP(LEFT(INDEX(ERP資料!$S:$S, (MATCH(657, 輔助計算!$G$2:$G$801, 0)+1)), 4), 紙管對照表!$A:$C, 3, FALSE), ""), ""), "")</f>
        <v/>
      </c>
      <c r="D658" s="16" t="n"/>
      <c r="E658" s="10">
        <f>IFERROR(IF(INDEX(ERP資料!$H:$H, (MATCH(657, 輔助計算!$G$2:$G$801, 0)+1))="","",INDEX(ERP資料!$H:$H, (MATCH(657, 輔助計算!$G$2:$G$801, 0)+1))), "")</f>
        <v/>
      </c>
      <c r="F658" s="10">
        <f>IFERROR(IF(INDEX(ERP資料!$E:$E, (MATCH(657, 輔助計算!$G$2:$G$801, 0)+1))="","",TRIM(INDEX(ERP資料!$E:$E, (MATCH(657, 輔助計算!$G$2:$G$801, 0)+1)))), "")</f>
        <v/>
      </c>
      <c r="G658" s="10">
        <f>IFERROR(IF(INDEX(ERP資料!$F:$F, (MATCH(657, 輔助計算!$G$2:$G$801, 0)+1))="","",INDEX(ERP資料!$F:$F, (MATCH(657, 輔助計算!$G$2:$G$801, 0)+1))), "")</f>
        <v/>
      </c>
      <c r="H658" s="10">
        <f>IFERROR(IF(INDEX(ERP資料!$G:$G, (MATCH(657, 輔助計算!$G$2:$G$801, 0)+1))="","",INDEX(ERP資料!$G:$G, (MATCH(657, 輔助計算!$G$2:$G$801, 0)+1))), "")</f>
        <v/>
      </c>
      <c r="I658" s="15">
        <f>IFERROR(INDEX(輔助計算!$D:$D, (MATCH(657, 輔助計算!$G$2:$G$801, 0)+1)), "")</f>
        <v/>
      </c>
      <c r="J658" s="15">
        <f>IFERROR(IF(AND(INDEX(輔助計算!$D:$D, (MATCH(657, 輔助計算!$G$2:$G$801, 0)+1))&lt;&gt;"", INDEX(ERP資料!$G:$G, (MATCH(657, 輔助計算!$G$2:$G$801, 0)+1))&lt;&gt;""), TRIM(IF(INT(INDEX(輔助計算!$D:$D, (MATCH(657, 輔助計算!$G$2:$G$801, 0)+1))/IF(INDEX(ERP資料!$G:$G, (MATCH(657, 輔助計算!$G$2:$G$801, 0)+1))&lt;100, IF(INDEX(ERP資料!$G:$G, (MATCH(657, 輔助計算!$G$2:$G$801, 0)+1))&lt;=31,3,IF(INDEX(ERP資料!$G:$G, (MATCH(657, 輔助計算!$G$2:$G$801, 0)+1))&lt;=46.5,2,1)), IF(INDEX(ERP資料!$G:$G, (MATCH(657, 輔助計算!$G$2:$G$801, 0)+1))&lt;=790,3,IF(INDEX(ERP資料!$G:$G, (MATCH(657, 輔助計算!$G$2:$G$801, 0)+1))&lt;=1181,2,1))))&gt;0, IF(IF(INDEX(ERP資料!$G:$G, (MATCH(657, 輔助計算!$G$2:$G$801, 0)+1))&lt;100, IF(INDEX(ERP資料!$G:$G, (MATCH(657, 輔助計算!$G$2:$G$801, 0)+1))&lt;=31,3,IF(INDEX(ERP資料!$G:$G, (MATCH(657, 輔助計算!$G$2:$G$801, 0)+1))&lt;=46.5,2,1)), IF(INDEX(ERP資料!$G:$G, (MATCH(657, 輔助計算!$G$2:$G$801, 0)+1))&lt;=790,3,IF(INDEX(ERP資料!$G:$G, (MATCH(657, 輔助計算!$G$2:$G$801, 0)+1))&lt;=1181,2,1)))=1,TEXT(INDEX(ERP資料!$G:$G, (MATCH(657, 輔助計算!$G$2:$G$801, 0)+1)),"0.##"),IF(IF(INDEX(ERP資料!$G:$G, (MATCH(657, 輔助計算!$G$2:$G$801, 0)+1))&lt;100, IF(INDEX(ERP資料!$G:$G, (MATCH(657, 輔助計算!$G$2:$G$801, 0)+1))&lt;=31,3,IF(INDEX(ERP資料!$G:$G, (MATCH(657, 輔助計算!$G$2:$G$801, 0)+1))&lt;=46.5,2,1)), IF(INDEX(ERP資料!$G:$G, (MATCH(657, 輔助計算!$G$2:$G$801, 0)+1))&lt;=790,3,IF(INDEX(ERP資料!$G:$G, (MATCH(657, 輔助計算!$G$2:$G$801, 0)+1))&lt;=1181,2,1)))=2,TEXT(INDEX(ERP資料!$G:$G, (MATCH(657, 輔助計算!$G$2:$G$801, 0)+1)),"0.##")&amp;"+"&amp;TEXT(INDEX(ERP資料!$G:$G, (MATCH(657, 輔助計算!$G$2:$G$801, 0)+1)),"0.##"),TEXT(INDEX(ERP資料!$G:$G, (MATCH(657, 輔助計算!$G$2:$G$801, 0)+1)),"0.##")&amp;"+"&amp;TEXT(INDEX(ERP資料!$G:$G, (MATCH(657, 輔助計算!$G$2:$G$801, 0)+1)),"0.##")&amp;"+"&amp;TEXT(INDEX(ERP資料!$G:$G, (MATCH(657, 輔助計算!$G$2:$G$801, 0)+1)),"0.##")))&amp;"-"&amp;INT(INDEX(輔助計算!$D:$D, (MATCH(657, 輔助計算!$G$2:$G$801, 0)+1))/IF(INDEX(ERP資料!$G:$G, (MATCH(657, 輔助計算!$G$2:$G$801, 0)+1))&lt;100, IF(INDEX(ERP資料!$G:$G, (MATCH(657, 輔助計算!$G$2:$G$801, 0)+1))&lt;=31,3,IF(INDEX(ERP資料!$G:$G, (MATCH(657, 輔助計算!$G$2:$G$801, 0)+1))&lt;=46.5,2,1)), IF(INDEX(ERP資料!$G:$G, (MATCH(657, 輔助計算!$G$2:$G$801, 0)+1))&lt;=790,3,IF(INDEX(ERP資料!$G:$G, (MATCH(657, 輔助計算!$G$2:$G$801, 0)+1))&lt;=1181,2,1)))), "")&amp;IF(AND(IF(INT(INDEX(輔助計算!$D:$D, (MATCH(657, 輔助計算!$G$2:$G$801, 0)+1))/IF(INDEX(ERP資料!$G:$G, (MATCH(657, 輔助計算!$G$2:$G$801, 0)+1))&lt;100, IF(INDEX(ERP資料!$G:$G, (MATCH(657, 輔助計算!$G$2:$G$801, 0)+1))&lt;=31,3,IF(INDEX(ERP資料!$G:$G, (MATCH(657, 輔助計算!$G$2:$G$801, 0)+1))&lt;=46.5,2,1)), IF(INDEX(ERP資料!$G:$G, (MATCH(657, 輔助計算!$G$2:$G$801, 0)+1))&lt;=790,3,IF(INDEX(ERP資料!$G:$G, (MATCH(657, 輔助計算!$G$2:$G$801, 0)+1))&lt;=1181,2,1))))&gt;0, IF(IF(INDEX(ERP資料!$G:$G, (MATCH(657, 輔助計算!$G$2:$G$801, 0)+1))&lt;100, IF(INDEX(ERP資料!$G:$G, (MATCH(657, 輔助計算!$G$2:$G$801, 0)+1))&lt;=31,3,IF(INDEX(ERP資料!$G:$G, (MATCH(657, 輔助計算!$G$2:$G$801, 0)+1))&lt;=46.5,2,1)), IF(INDEX(ERP資料!$G:$G, (MATCH(657, 輔助計算!$G$2:$G$801, 0)+1))&lt;=790,3,IF(INDEX(ERP資料!$G:$G, (MATCH(657, 輔助計算!$G$2:$G$801, 0)+1))&lt;=1181,2,1)))=1,TEXT(INDEX(ERP資料!$G:$G, (MATCH(657, 輔助計算!$G$2:$G$801, 0)+1)),"0.##"),IF(IF(INDEX(ERP資料!$G:$G, (MATCH(657, 輔助計算!$G$2:$G$801, 0)+1))&lt;100, IF(INDEX(ERP資料!$G:$G, (MATCH(657, 輔助計算!$G$2:$G$801, 0)+1))&lt;=31,3,IF(INDEX(ERP資料!$G:$G, (MATCH(657, 輔助計算!$G$2:$G$801, 0)+1))&lt;=46.5,2,1)), IF(INDEX(ERP資料!$G:$G, (MATCH(657, 輔助計算!$G$2:$G$801, 0)+1))&lt;=790,3,IF(INDEX(ERP資料!$G:$G, (MATCH(657, 輔助計算!$G$2:$G$801, 0)+1))&lt;=1181,2,1)))=2,TEXT(INDEX(ERP資料!$G:$G, (MATCH(657, 輔助計算!$G$2:$G$801, 0)+1)),"0.##")&amp;"+"&amp;TEXT(INDEX(ERP資料!$G:$G, (MATCH(657, 輔助計算!$G$2:$G$801, 0)+1)),"0.##"),TEXT(INDEX(ERP資料!$G:$G, (MATCH(657, 輔助計算!$G$2:$G$801, 0)+1)),"0.##")&amp;"+"&amp;TEXT(INDEX(ERP資料!$G:$G, (MATCH(657, 輔助計算!$G$2:$G$801, 0)+1)),"0.##")&amp;"+"&amp;TEXT(INDEX(ERP資料!$G:$G, (MATCH(657, 輔助計算!$G$2:$G$801, 0)+1)),"0.##")))&amp;"-"&amp;INT(INDEX(輔助計算!$D:$D, (MATCH(657, 輔助計算!$G$2:$G$801, 0)+1))/IF(INDEX(ERP資料!$G:$G, (MATCH(657, 輔助計算!$G$2:$G$801, 0)+1))&lt;100, IF(INDEX(ERP資料!$G:$G, (MATCH(657, 輔助計算!$G$2:$G$801, 0)+1))&lt;=31,3,IF(INDEX(ERP資料!$G:$G, (MATCH(657, 輔助計算!$G$2:$G$801, 0)+1))&lt;=46.5,2,1)), IF(INDEX(ERP資料!$G:$G, (MATCH(657, 輔助計算!$G$2:$G$801, 0)+1))&lt;=790,3,IF(INDEX(ERP資料!$G:$G, (MATCH(657, 輔助計算!$G$2:$G$801, 0)+1))&lt;=1181,2,1)))), "")&lt;&gt;"",IF(MOD(INDEX(輔助計算!$D:$D, (MATCH(657, 輔助計算!$G$2:$G$801, 0)+1)),IF(INDEX(ERP資料!$G:$G, (MATCH(657, 輔助計算!$G$2:$G$801, 0)+1))&lt;100, IF(INDEX(ERP資料!$G:$G, (MATCH(657, 輔助計算!$G$2:$G$801, 0)+1))&lt;=31,3,IF(INDEX(ERP資料!$G:$G, (MATCH(657, 輔助計算!$G$2:$G$801, 0)+1))&lt;=46.5,2,1)), IF(INDEX(ERP資料!$G:$G, (MATCH(657, 輔助計算!$G$2:$G$801, 0)+1))&lt;=790,3,IF(INDEX(ERP資料!$G:$G, (MATCH(657, 輔助計算!$G$2:$G$801, 0)+1))&lt;=1181,2,1))))=0,"",IF(MOD(INDEX(輔助計算!$D:$D, (MATCH(657, 輔助計算!$G$2:$G$801, 0)+1)),IF(INDEX(ERP資料!$G:$G, (MATCH(657, 輔助計算!$G$2:$G$801, 0)+1))&lt;100, IF(INDEX(ERP資料!$G:$G, (MATCH(657, 輔助計算!$G$2:$G$801, 0)+1))&lt;=31,3,IF(INDEX(ERP資料!$G:$G, (MATCH(657, 輔助計算!$G$2:$G$801, 0)+1))&lt;=46.5,2,1)), IF(INDEX(ERP資料!$G:$G, (MATCH(657, 輔助計算!$G$2:$G$801, 0)+1))&lt;=790,3,IF(INDEX(ERP資料!$G:$G, (MATCH(657, 輔助計算!$G$2:$G$801, 0)+1))&lt;=1181,2,1))))=0,"",IF(MOD(INDEX(輔助計算!$D:$D, (MATCH(657, 輔助計算!$G$2:$G$801, 0)+1)),IF(INDEX(ERP資料!$G:$G, (MATCH(657, 輔助計算!$G$2:$G$801, 0)+1))&lt;100, IF(INDEX(ERP資料!$G:$G, (MATCH(657, 輔助計算!$G$2:$G$801, 0)+1))&lt;=31,3,IF(INDEX(ERP資料!$G:$G, (MATCH(657, 輔助計算!$G$2:$G$801, 0)+1))&lt;=46.5,2,1)), IF(INDEX(ERP資料!$G:$G, (MATCH(657, 輔助計算!$G$2:$G$801, 0)+1))&lt;=790,3,IF(INDEX(ERP資料!$G:$G, (MATCH(657, 輔助計算!$G$2:$G$801, 0)+1))&lt;=1181,2,1))))=1,TEXT(INDEX(ERP資料!$G:$G, (MATCH(657, 輔助計算!$G$2:$G$801, 0)+1)),"0.##"),IF(MOD(INDEX(輔助計算!$D:$D, (MATCH(657, 輔助計算!$G$2:$G$801, 0)+1)),IF(INDEX(ERP資料!$G:$G, (MATCH(657, 輔助計算!$G$2:$G$801, 0)+1))&lt;100, IF(INDEX(ERP資料!$G:$G, (MATCH(657, 輔助計算!$G$2:$G$801, 0)+1))&lt;=31,3,IF(INDEX(ERP資料!$G:$G, (MATCH(657, 輔助計算!$G$2:$G$801, 0)+1))&lt;=46.5,2,1)), IF(INDEX(ERP資料!$G:$G, (MATCH(657, 輔助計算!$G$2:$G$801, 0)+1))&lt;=790,3,IF(INDEX(ERP資料!$G:$G, (MATCH(657, 輔助計算!$G$2:$G$801, 0)+1))&lt;=1181,2,1))))=2,TEXT(INDEX(ERP資料!$G:$G, (MATCH(657, 輔助計算!$G$2:$G$801, 0)+1)),"0.##")&amp;"+"&amp;TEXT(INDEX(ERP資料!$G:$G, (MATCH(657, 輔助計算!$G$2:$G$801, 0)+1)),"0.##"),TEXT(INDEX(ERP資料!$G:$G, (MATCH(657, 輔助計算!$G$2:$G$801, 0)+1)),"0.##")&amp;"+"&amp;TEXT(INDEX(ERP資料!$G:$G, (MATCH(657, 輔助計算!$G$2:$G$801, 0)+1)),"0.##")&amp;"+"&amp;TEXT(INDEX(ERP資料!$G:$G, (MATCH(657, 輔助計算!$G$2:$G$801, 0)+1)),"0.##"))))&amp;"-1")&lt;&gt;""),"  ","")&amp;IF(MOD(INDEX(輔助計算!$D:$D, (MATCH(657, 輔助計算!$G$2:$G$801, 0)+1)),IF(INDEX(ERP資料!$G:$G, (MATCH(657, 輔助計算!$G$2:$G$801, 0)+1))&lt;100, IF(INDEX(ERP資料!$G:$G, (MATCH(657, 輔助計算!$G$2:$G$801, 0)+1))&lt;=31,3,IF(INDEX(ERP資料!$G:$G, (MATCH(657, 輔助計算!$G$2:$G$801, 0)+1))&lt;=46.5,2,1)), IF(INDEX(ERP資料!$G:$G, (MATCH(657, 輔助計算!$G$2:$G$801, 0)+1))&lt;=790,3,IF(INDEX(ERP資料!$G:$G, (MATCH(657, 輔助計算!$G$2:$G$801, 0)+1))&lt;=1181,2,1))))=0,"",IF(MOD(INDEX(輔助計算!$D:$D, (MATCH(657, 輔助計算!$G$2:$G$801, 0)+1)),IF(INDEX(ERP資料!$G:$G, (MATCH(657, 輔助計算!$G$2:$G$801, 0)+1))&lt;100, IF(INDEX(ERP資料!$G:$G, (MATCH(657, 輔助計算!$G$2:$G$801, 0)+1))&lt;=31,3,IF(INDEX(ERP資料!$G:$G, (MATCH(657, 輔助計算!$G$2:$G$801, 0)+1))&lt;=46.5,2,1)), IF(INDEX(ERP資料!$G:$G, (MATCH(657, 輔助計算!$G$2:$G$801, 0)+1))&lt;=790,3,IF(INDEX(ERP資料!$G:$G, (MATCH(657, 輔助計算!$G$2:$G$801, 0)+1))&lt;=1181,2,1))))=0,"",IF(MOD(INDEX(輔助計算!$D:$D, (MATCH(657, 輔助計算!$G$2:$G$801, 0)+1)),IF(INDEX(ERP資料!$G:$G, (MATCH(657, 輔助計算!$G$2:$G$801, 0)+1))&lt;100, IF(INDEX(ERP資料!$G:$G, (MATCH(657, 輔助計算!$G$2:$G$801, 0)+1))&lt;=31,3,IF(INDEX(ERP資料!$G:$G, (MATCH(657, 輔助計算!$G$2:$G$801, 0)+1))&lt;=46.5,2,1)), IF(INDEX(ERP資料!$G:$G, (MATCH(657, 輔助計算!$G$2:$G$801, 0)+1))&lt;=790,3,IF(INDEX(ERP資料!$G:$G, (MATCH(657, 輔助計算!$G$2:$G$801, 0)+1))&lt;=1181,2,1))))=1,TEXT(INDEX(ERP資料!$G:$G, (MATCH(657, 輔助計算!$G$2:$G$801, 0)+1)),"0.##"),IF(MOD(INDEX(輔助計算!$D:$D, (MATCH(657, 輔助計算!$G$2:$G$801, 0)+1)),IF(INDEX(ERP資料!$G:$G, (MATCH(657, 輔助計算!$G$2:$G$801, 0)+1))&lt;100, IF(INDEX(ERP資料!$G:$G, (MATCH(657, 輔助計算!$G$2:$G$801, 0)+1))&lt;=31,3,IF(INDEX(ERP資料!$G:$G, (MATCH(657, 輔助計算!$G$2:$G$801, 0)+1))&lt;=46.5,2,1)), IF(INDEX(ERP資料!$G:$G, (MATCH(657, 輔助計算!$G$2:$G$801, 0)+1))&lt;=790,3,IF(INDEX(ERP資料!$G:$G, (MATCH(657, 輔助計算!$G$2:$G$801, 0)+1))&lt;=1181,2,1))))=2,TEXT(INDEX(ERP資料!$G:$G, (MATCH(657, 輔助計算!$G$2:$G$801, 0)+1)),"0.##")&amp;"+"&amp;TEXT(INDEX(ERP資料!$G:$G, (MATCH(657, 輔助計算!$G$2:$G$801, 0)+1)),"0.##"),TEXT(INDEX(ERP資料!$G:$G, (MATCH(657, 輔助計算!$G$2:$G$801, 0)+1)),"0.##")&amp;"+"&amp;TEXT(INDEX(ERP資料!$G:$G, (MATCH(657, 輔助計算!$G$2:$G$801, 0)+1)),"0.##")&amp;"+"&amp;TEXT(INDEX(ERP資料!$G:$G, (MATCH(657, 輔助計算!$G$2:$G$801, 0)+1)),"0.##"))))&amp;"-1")), ""), "")</f>
        <v/>
      </c>
      <c r="K658" s="16" t="n"/>
      <c r="L658" s="14">
        <f>IFERROR(IF(AND(IFERROR(INDEX(ERP資料!$A:$A, (MATCH(657, 輔助計算!$G$2:$G$801, 0)+1)), "")&lt;&gt;"", IFERROR(INDEX(ERP資料!$A:$A, (MATCH(657, 輔助計算!$G$2:$G$801, 0)+1)), "")&lt;&gt;IFERROR(INDEX(ERP資料!$A:$A, MATCH(656, 輔助計算!$G$2:$G$801, 0)+1), "")), INDEX(ERP資料!$B:$B, (MATCH(657, 輔助計算!$G$2:$G$801, 0)+1)), ""), "")</f>
        <v/>
      </c>
      <c r="M658" s="17" t="n"/>
    </row>
    <row r="659">
      <c r="A659" s="10">
        <f>IFERROR(IF(AND(IFERROR(INDEX(ERP資料!$A:$A, (MATCH(658, 輔助計算!$G$2:$G$801, 0)+1)), "")&lt;&gt;"", IFERROR(INDEX(ERP資料!$A:$A, (MATCH(658, 輔助計算!$G$2:$G$801, 0)+1)), "")&lt;&gt;IFERROR(INDEX(ERP資料!$A:$A, MATCH(657, 輔助計算!$G$2:$G$801, 0)+1), "")), IFERROR(INDEX(ERP資料!$A:$A, (MATCH(658, 輔助計算!$G$2:$G$801, 0)+1)), ""), ""), "")</f>
        <v/>
      </c>
      <c r="B659" s="10">
        <f>IFERROR(IF(AND(IFERROR(INDEX(ERP資料!$A:$A, (MATCH(658, 輔助計算!$G$2:$G$801, 0)+1)), "")&lt;&gt;"", IFERROR(INDEX(ERP資料!$A:$A, (MATCH(658, 輔助計算!$G$2:$G$801, 0)+1)), "")&lt;&gt;IFERROR(INDEX(ERP資料!$A:$A, MATCH(657, 輔助計算!$G$2:$G$801, 0)+1), "")), INDEX(ERP資料!$S:$S, (MATCH(658, 輔助計算!$G$2:$G$801, 0)+1)), ""), "")</f>
        <v/>
      </c>
      <c r="C659" s="19">
        <f>IFERROR(IF(AND(IFERROR(INDEX(ERP資料!$A:$A, (MATCH(658, 輔助計算!$G$2:$G$801, 0)+1)), "")&lt;&gt;"", IFERROR(INDEX(ERP資料!$A:$A, (MATCH(658, 輔助計算!$G$2:$G$801, 0)+1)), "")&lt;&gt;IFERROR(INDEX(ERP資料!$A:$A, MATCH(657, 輔助計算!$G$2:$G$801, 0)+1), "")), IFERROR(VLOOKUP(LEFT(INDEX(ERP資料!$S:$S, (MATCH(658, 輔助計算!$G$2:$G$801, 0)+1)), 4), 紙管對照表!$A:$C, 3, FALSE), ""), ""), "")</f>
        <v/>
      </c>
      <c r="D659" s="16" t="n"/>
      <c r="E659" s="10">
        <f>IFERROR(IF(INDEX(ERP資料!$H:$H, (MATCH(658, 輔助計算!$G$2:$G$801, 0)+1))="","",INDEX(ERP資料!$H:$H, (MATCH(658, 輔助計算!$G$2:$G$801, 0)+1))), "")</f>
        <v/>
      </c>
      <c r="F659" s="10">
        <f>IFERROR(IF(INDEX(ERP資料!$E:$E, (MATCH(658, 輔助計算!$G$2:$G$801, 0)+1))="","",TRIM(INDEX(ERP資料!$E:$E, (MATCH(658, 輔助計算!$G$2:$G$801, 0)+1)))), "")</f>
        <v/>
      </c>
      <c r="G659" s="10">
        <f>IFERROR(IF(INDEX(ERP資料!$F:$F, (MATCH(658, 輔助計算!$G$2:$G$801, 0)+1))="","",INDEX(ERP資料!$F:$F, (MATCH(658, 輔助計算!$G$2:$G$801, 0)+1))), "")</f>
        <v/>
      </c>
      <c r="H659" s="10">
        <f>IFERROR(IF(INDEX(ERP資料!$G:$G, (MATCH(658, 輔助計算!$G$2:$G$801, 0)+1))="","",INDEX(ERP資料!$G:$G, (MATCH(658, 輔助計算!$G$2:$G$801, 0)+1))), "")</f>
        <v/>
      </c>
      <c r="I659" s="15">
        <f>IFERROR(INDEX(輔助計算!$D:$D, (MATCH(658, 輔助計算!$G$2:$G$801, 0)+1)), "")</f>
        <v/>
      </c>
      <c r="J659" s="15">
        <f>IFERROR(IF(AND(INDEX(輔助計算!$D:$D, (MATCH(658, 輔助計算!$G$2:$G$801, 0)+1))&lt;&gt;"", INDEX(ERP資料!$G:$G, (MATCH(658, 輔助計算!$G$2:$G$801, 0)+1))&lt;&gt;""), TRIM(IF(INT(INDEX(輔助計算!$D:$D, (MATCH(658, 輔助計算!$G$2:$G$801, 0)+1))/IF(INDEX(ERP資料!$G:$G, (MATCH(658, 輔助計算!$G$2:$G$801, 0)+1))&lt;100, IF(INDEX(ERP資料!$G:$G, (MATCH(658, 輔助計算!$G$2:$G$801, 0)+1))&lt;=31,3,IF(INDEX(ERP資料!$G:$G, (MATCH(658, 輔助計算!$G$2:$G$801, 0)+1))&lt;=46.5,2,1)), IF(INDEX(ERP資料!$G:$G, (MATCH(658, 輔助計算!$G$2:$G$801, 0)+1))&lt;=790,3,IF(INDEX(ERP資料!$G:$G, (MATCH(658, 輔助計算!$G$2:$G$801, 0)+1))&lt;=1181,2,1))))&gt;0, IF(IF(INDEX(ERP資料!$G:$G, (MATCH(658, 輔助計算!$G$2:$G$801, 0)+1))&lt;100, IF(INDEX(ERP資料!$G:$G, (MATCH(658, 輔助計算!$G$2:$G$801, 0)+1))&lt;=31,3,IF(INDEX(ERP資料!$G:$G, (MATCH(658, 輔助計算!$G$2:$G$801, 0)+1))&lt;=46.5,2,1)), IF(INDEX(ERP資料!$G:$G, (MATCH(658, 輔助計算!$G$2:$G$801, 0)+1))&lt;=790,3,IF(INDEX(ERP資料!$G:$G, (MATCH(658, 輔助計算!$G$2:$G$801, 0)+1))&lt;=1181,2,1)))=1,TEXT(INDEX(ERP資料!$G:$G, (MATCH(658, 輔助計算!$G$2:$G$801, 0)+1)),"0.##"),IF(IF(INDEX(ERP資料!$G:$G, (MATCH(658, 輔助計算!$G$2:$G$801, 0)+1))&lt;100, IF(INDEX(ERP資料!$G:$G, (MATCH(658, 輔助計算!$G$2:$G$801, 0)+1))&lt;=31,3,IF(INDEX(ERP資料!$G:$G, (MATCH(658, 輔助計算!$G$2:$G$801, 0)+1))&lt;=46.5,2,1)), IF(INDEX(ERP資料!$G:$G, (MATCH(658, 輔助計算!$G$2:$G$801, 0)+1))&lt;=790,3,IF(INDEX(ERP資料!$G:$G, (MATCH(658, 輔助計算!$G$2:$G$801, 0)+1))&lt;=1181,2,1)))=2,TEXT(INDEX(ERP資料!$G:$G, (MATCH(658, 輔助計算!$G$2:$G$801, 0)+1)),"0.##")&amp;"+"&amp;TEXT(INDEX(ERP資料!$G:$G, (MATCH(658, 輔助計算!$G$2:$G$801, 0)+1)),"0.##"),TEXT(INDEX(ERP資料!$G:$G, (MATCH(658, 輔助計算!$G$2:$G$801, 0)+1)),"0.##")&amp;"+"&amp;TEXT(INDEX(ERP資料!$G:$G, (MATCH(658, 輔助計算!$G$2:$G$801, 0)+1)),"0.##")&amp;"+"&amp;TEXT(INDEX(ERP資料!$G:$G, (MATCH(658, 輔助計算!$G$2:$G$801, 0)+1)),"0.##")))&amp;"-"&amp;INT(INDEX(輔助計算!$D:$D, (MATCH(658, 輔助計算!$G$2:$G$801, 0)+1))/IF(INDEX(ERP資料!$G:$G, (MATCH(658, 輔助計算!$G$2:$G$801, 0)+1))&lt;100, IF(INDEX(ERP資料!$G:$G, (MATCH(658, 輔助計算!$G$2:$G$801, 0)+1))&lt;=31,3,IF(INDEX(ERP資料!$G:$G, (MATCH(658, 輔助計算!$G$2:$G$801, 0)+1))&lt;=46.5,2,1)), IF(INDEX(ERP資料!$G:$G, (MATCH(658, 輔助計算!$G$2:$G$801, 0)+1))&lt;=790,3,IF(INDEX(ERP資料!$G:$G, (MATCH(658, 輔助計算!$G$2:$G$801, 0)+1))&lt;=1181,2,1)))), "")&amp;IF(AND(IF(INT(INDEX(輔助計算!$D:$D, (MATCH(658, 輔助計算!$G$2:$G$801, 0)+1))/IF(INDEX(ERP資料!$G:$G, (MATCH(658, 輔助計算!$G$2:$G$801, 0)+1))&lt;100, IF(INDEX(ERP資料!$G:$G, (MATCH(658, 輔助計算!$G$2:$G$801, 0)+1))&lt;=31,3,IF(INDEX(ERP資料!$G:$G, (MATCH(658, 輔助計算!$G$2:$G$801, 0)+1))&lt;=46.5,2,1)), IF(INDEX(ERP資料!$G:$G, (MATCH(658, 輔助計算!$G$2:$G$801, 0)+1))&lt;=790,3,IF(INDEX(ERP資料!$G:$G, (MATCH(658, 輔助計算!$G$2:$G$801, 0)+1))&lt;=1181,2,1))))&gt;0, IF(IF(INDEX(ERP資料!$G:$G, (MATCH(658, 輔助計算!$G$2:$G$801, 0)+1))&lt;100, IF(INDEX(ERP資料!$G:$G, (MATCH(658, 輔助計算!$G$2:$G$801, 0)+1))&lt;=31,3,IF(INDEX(ERP資料!$G:$G, (MATCH(658, 輔助計算!$G$2:$G$801, 0)+1))&lt;=46.5,2,1)), IF(INDEX(ERP資料!$G:$G, (MATCH(658, 輔助計算!$G$2:$G$801, 0)+1))&lt;=790,3,IF(INDEX(ERP資料!$G:$G, (MATCH(658, 輔助計算!$G$2:$G$801, 0)+1))&lt;=1181,2,1)))=1,TEXT(INDEX(ERP資料!$G:$G, (MATCH(658, 輔助計算!$G$2:$G$801, 0)+1)),"0.##"),IF(IF(INDEX(ERP資料!$G:$G, (MATCH(658, 輔助計算!$G$2:$G$801, 0)+1))&lt;100, IF(INDEX(ERP資料!$G:$G, (MATCH(658, 輔助計算!$G$2:$G$801, 0)+1))&lt;=31,3,IF(INDEX(ERP資料!$G:$G, (MATCH(658, 輔助計算!$G$2:$G$801, 0)+1))&lt;=46.5,2,1)), IF(INDEX(ERP資料!$G:$G, (MATCH(658, 輔助計算!$G$2:$G$801, 0)+1))&lt;=790,3,IF(INDEX(ERP資料!$G:$G, (MATCH(658, 輔助計算!$G$2:$G$801, 0)+1))&lt;=1181,2,1)))=2,TEXT(INDEX(ERP資料!$G:$G, (MATCH(658, 輔助計算!$G$2:$G$801, 0)+1)),"0.##")&amp;"+"&amp;TEXT(INDEX(ERP資料!$G:$G, (MATCH(658, 輔助計算!$G$2:$G$801, 0)+1)),"0.##"),TEXT(INDEX(ERP資料!$G:$G, (MATCH(658, 輔助計算!$G$2:$G$801, 0)+1)),"0.##")&amp;"+"&amp;TEXT(INDEX(ERP資料!$G:$G, (MATCH(658, 輔助計算!$G$2:$G$801, 0)+1)),"0.##")&amp;"+"&amp;TEXT(INDEX(ERP資料!$G:$G, (MATCH(658, 輔助計算!$G$2:$G$801, 0)+1)),"0.##")))&amp;"-"&amp;INT(INDEX(輔助計算!$D:$D, (MATCH(658, 輔助計算!$G$2:$G$801, 0)+1))/IF(INDEX(ERP資料!$G:$G, (MATCH(658, 輔助計算!$G$2:$G$801, 0)+1))&lt;100, IF(INDEX(ERP資料!$G:$G, (MATCH(658, 輔助計算!$G$2:$G$801, 0)+1))&lt;=31,3,IF(INDEX(ERP資料!$G:$G, (MATCH(658, 輔助計算!$G$2:$G$801, 0)+1))&lt;=46.5,2,1)), IF(INDEX(ERP資料!$G:$G, (MATCH(658, 輔助計算!$G$2:$G$801, 0)+1))&lt;=790,3,IF(INDEX(ERP資料!$G:$G, (MATCH(658, 輔助計算!$G$2:$G$801, 0)+1))&lt;=1181,2,1)))), "")&lt;&gt;"",IF(MOD(INDEX(輔助計算!$D:$D, (MATCH(658, 輔助計算!$G$2:$G$801, 0)+1)),IF(INDEX(ERP資料!$G:$G, (MATCH(658, 輔助計算!$G$2:$G$801, 0)+1))&lt;100, IF(INDEX(ERP資料!$G:$G, (MATCH(658, 輔助計算!$G$2:$G$801, 0)+1))&lt;=31,3,IF(INDEX(ERP資料!$G:$G, (MATCH(658, 輔助計算!$G$2:$G$801, 0)+1))&lt;=46.5,2,1)), IF(INDEX(ERP資料!$G:$G, (MATCH(658, 輔助計算!$G$2:$G$801, 0)+1))&lt;=790,3,IF(INDEX(ERP資料!$G:$G, (MATCH(658, 輔助計算!$G$2:$G$801, 0)+1))&lt;=1181,2,1))))=0,"",IF(MOD(INDEX(輔助計算!$D:$D, (MATCH(658, 輔助計算!$G$2:$G$801, 0)+1)),IF(INDEX(ERP資料!$G:$G, (MATCH(658, 輔助計算!$G$2:$G$801, 0)+1))&lt;100, IF(INDEX(ERP資料!$G:$G, (MATCH(658, 輔助計算!$G$2:$G$801, 0)+1))&lt;=31,3,IF(INDEX(ERP資料!$G:$G, (MATCH(658, 輔助計算!$G$2:$G$801, 0)+1))&lt;=46.5,2,1)), IF(INDEX(ERP資料!$G:$G, (MATCH(658, 輔助計算!$G$2:$G$801, 0)+1))&lt;=790,3,IF(INDEX(ERP資料!$G:$G, (MATCH(658, 輔助計算!$G$2:$G$801, 0)+1))&lt;=1181,2,1))))=0,"",IF(MOD(INDEX(輔助計算!$D:$D, (MATCH(658, 輔助計算!$G$2:$G$801, 0)+1)),IF(INDEX(ERP資料!$G:$G, (MATCH(658, 輔助計算!$G$2:$G$801, 0)+1))&lt;100, IF(INDEX(ERP資料!$G:$G, (MATCH(658, 輔助計算!$G$2:$G$801, 0)+1))&lt;=31,3,IF(INDEX(ERP資料!$G:$G, (MATCH(658, 輔助計算!$G$2:$G$801, 0)+1))&lt;=46.5,2,1)), IF(INDEX(ERP資料!$G:$G, (MATCH(658, 輔助計算!$G$2:$G$801, 0)+1))&lt;=790,3,IF(INDEX(ERP資料!$G:$G, (MATCH(658, 輔助計算!$G$2:$G$801, 0)+1))&lt;=1181,2,1))))=1,TEXT(INDEX(ERP資料!$G:$G, (MATCH(658, 輔助計算!$G$2:$G$801, 0)+1)),"0.##"),IF(MOD(INDEX(輔助計算!$D:$D, (MATCH(658, 輔助計算!$G$2:$G$801, 0)+1)),IF(INDEX(ERP資料!$G:$G, (MATCH(658, 輔助計算!$G$2:$G$801, 0)+1))&lt;100, IF(INDEX(ERP資料!$G:$G, (MATCH(658, 輔助計算!$G$2:$G$801, 0)+1))&lt;=31,3,IF(INDEX(ERP資料!$G:$G, (MATCH(658, 輔助計算!$G$2:$G$801, 0)+1))&lt;=46.5,2,1)), IF(INDEX(ERP資料!$G:$G, (MATCH(658, 輔助計算!$G$2:$G$801, 0)+1))&lt;=790,3,IF(INDEX(ERP資料!$G:$G, (MATCH(658, 輔助計算!$G$2:$G$801, 0)+1))&lt;=1181,2,1))))=2,TEXT(INDEX(ERP資料!$G:$G, (MATCH(658, 輔助計算!$G$2:$G$801, 0)+1)),"0.##")&amp;"+"&amp;TEXT(INDEX(ERP資料!$G:$G, (MATCH(658, 輔助計算!$G$2:$G$801, 0)+1)),"0.##"),TEXT(INDEX(ERP資料!$G:$G, (MATCH(658, 輔助計算!$G$2:$G$801, 0)+1)),"0.##")&amp;"+"&amp;TEXT(INDEX(ERP資料!$G:$G, (MATCH(658, 輔助計算!$G$2:$G$801, 0)+1)),"0.##")&amp;"+"&amp;TEXT(INDEX(ERP資料!$G:$G, (MATCH(658, 輔助計算!$G$2:$G$801, 0)+1)),"0.##"))))&amp;"-1")&lt;&gt;""),"  ","")&amp;IF(MOD(INDEX(輔助計算!$D:$D, (MATCH(658, 輔助計算!$G$2:$G$801, 0)+1)),IF(INDEX(ERP資料!$G:$G, (MATCH(658, 輔助計算!$G$2:$G$801, 0)+1))&lt;100, IF(INDEX(ERP資料!$G:$G, (MATCH(658, 輔助計算!$G$2:$G$801, 0)+1))&lt;=31,3,IF(INDEX(ERP資料!$G:$G, (MATCH(658, 輔助計算!$G$2:$G$801, 0)+1))&lt;=46.5,2,1)), IF(INDEX(ERP資料!$G:$G, (MATCH(658, 輔助計算!$G$2:$G$801, 0)+1))&lt;=790,3,IF(INDEX(ERP資料!$G:$G, (MATCH(658, 輔助計算!$G$2:$G$801, 0)+1))&lt;=1181,2,1))))=0,"",IF(MOD(INDEX(輔助計算!$D:$D, (MATCH(658, 輔助計算!$G$2:$G$801, 0)+1)),IF(INDEX(ERP資料!$G:$G, (MATCH(658, 輔助計算!$G$2:$G$801, 0)+1))&lt;100, IF(INDEX(ERP資料!$G:$G, (MATCH(658, 輔助計算!$G$2:$G$801, 0)+1))&lt;=31,3,IF(INDEX(ERP資料!$G:$G, (MATCH(658, 輔助計算!$G$2:$G$801, 0)+1))&lt;=46.5,2,1)), IF(INDEX(ERP資料!$G:$G, (MATCH(658, 輔助計算!$G$2:$G$801, 0)+1))&lt;=790,3,IF(INDEX(ERP資料!$G:$G, (MATCH(658, 輔助計算!$G$2:$G$801, 0)+1))&lt;=1181,2,1))))=0,"",IF(MOD(INDEX(輔助計算!$D:$D, (MATCH(658, 輔助計算!$G$2:$G$801, 0)+1)),IF(INDEX(ERP資料!$G:$G, (MATCH(658, 輔助計算!$G$2:$G$801, 0)+1))&lt;100, IF(INDEX(ERP資料!$G:$G, (MATCH(658, 輔助計算!$G$2:$G$801, 0)+1))&lt;=31,3,IF(INDEX(ERP資料!$G:$G, (MATCH(658, 輔助計算!$G$2:$G$801, 0)+1))&lt;=46.5,2,1)), IF(INDEX(ERP資料!$G:$G, (MATCH(658, 輔助計算!$G$2:$G$801, 0)+1))&lt;=790,3,IF(INDEX(ERP資料!$G:$G, (MATCH(658, 輔助計算!$G$2:$G$801, 0)+1))&lt;=1181,2,1))))=1,TEXT(INDEX(ERP資料!$G:$G, (MATCH(658, 輔助計算!$G$2:$G$801, 0)+1)),"0.##"),IF(MOD(INDEX(輔助計算!$D:$D, (MATCH(658, 輔助計算!$G$2:$G$801, 0)+1)),IF(INDEX(ERP資料!$G:$G, (MATCH(658, 輔助計算!$G$2:$G$801, 0)+1))&lt;100, IF(INDEX(ERP資料!$G:$G, (MATCH(658, 輔助計算!$G$2:$G$801, 0)+1))&lt;=31,3,IF(INDEX(ERP資料!$G:$G, (MATCH(658, 輔助計算!$G$2:$G$801, 0)+1))&lt;=46.5,2,1)), IF(INDEX(ERP資料!$G:$G, (MATCH(658, 輔助計算!$G$2:$G$801, 0)+1))&lt;=790,3,IF(INDEX(ERP資料!$G:$G, (MATCH(658, 輔助計算!$G$2:$G$801, 0)+1))&lt;=1181,2,1))))=2,TEXT(INDEX(ERP資料!$G:$G, (MATCH(658, 輔助計算!$G$2:$G$801, 0)+1)),"0.##")&amp;"+"&amp;TEXT(INDEX(ERP資料!$G:$G, (MATCH(658, 輔助計算!$G$2:$G$801, 0)+1)),"0.##"),TEXT(INDEX(ERP資料!$G:$G, (MATCH(658, 輔助計算!$G$2:$G$801, 0)+1)),"0.##")&amp;"+"&amp;TEXT(INDEX(ERP資料!$G:$G, (MATCH(658, 輔助計算!$G$2:$G$801, 0)+1)),"0.##")&amp;"+"&amp;TEXT(INDEX(ERP資料!$G:$G, (MATCH(658, 輔助計算!$G$2:$G$801, 0)+1)),"0.##"))))&amp;"-1")), ""), "")</f>
        <v/>
      </c>
      <c r="K659" s="16" t="n"/>
      <c r="L659" s="14">
        <f>IFERROR(IF(AND(IFERROR(INDEX(ERP資料!$A:$A, (MATCH(658, 輔助計算!$G$2:$G$801, 0)+1)), "")&lt;&gt;"", IFERROR(INDEX(ERP資料!$A:$A, (MATCH(658, 輔助計算!$G$2:$G$801, 0)+1)), "")&lt;&gt;IFERROR(INDEX(ERP資料!$A:$A, MATCH(657, 輔助計算!$G$2:$G$801, 0)+1), "")), INDEX(ERP資料!$B:$B, (MATCH(658, 輔助計算!$G$2:$G$801, 0)+1)), ""), "")</f>
        <v/>
      </c>
      <c r="M659" s="17" t="n"/>
    </row>
    <row r="660">
      <c r="A660" s="10">
        <f>IFERROR(IF(AND(IFERROR(INDEX(ERP資料!$A:$A, (MATCH(659, 輔助計算!$G$2:$G$801, 0)+1)), "")&lt;&gt;"", IFERROR(INDEX(ERP資料!$A:$A, (MATCH(659, 輔助計算!$G$2:$G$801, 0)+1)), "")&lt;&gt;IFERROR(INDEX(ERP資料!$A:$A, MATCH(658, 輔助計算!$G$2:$G$801, 0)+1), "")), IFERROR(INDEX(ERP資料!$A:$A, (MATCH(659, 輔助計算!$G$2:$G$801, 0)+1)), ""), ""), "")</f>
        <v/>
      </c>
      <c r="B660" s="10">
        <f>IFERROR(IF(AND(IFERROR(INDEX(ERP資料!$A:$A, (MATCH(659, 輔助計算!$G$2:$G$801, 0)+1)), "")&lt;&gt;"", IFERROR(INDEX(ERP資料!$A:$A, (MATCH(659, 輔助計算!$G$2:$G$801, 0)+1)), "")&lt;&gt;IFERROR(INDEX(ERP資料!$A:$A, MATCH(658, 輔助計算!$G$2:$G$801, 0)+1), "")), INDEX(ERP資料!$S:$S, (MATCH(659, 輔助計算!$G$2:$G$801, 0)+1)), ""), "")</f>
        <v/>
      </c>
      <c r="C660" s="19">
        <f>IFERROR(IF(AND(IFERROR(INDEX(ERP資料!$A:$A, (MATCH(659, 輔助計算!$G$2:$G$801, 0)+1)), "")&lt;&gt;"", IFERROR(INDEX(ERP資料!$A:$A, (MATCH(659, 輔助計算!$G$2:$G$801, 0)+1)), "")&lt;&gt;IFERROR(INDEX(ERP資料!$A:$A, MATCH(658, 輔助計算!$G$2:$G$801, 0)+1), "")), IFERROR(VLOOKUP(LEFT(INDEX(ERP資料!$S:$S, (MATCH(659, 輔助計算!$G$2:$G$801, 0)+1)), 4), 紙管對照表!$A:$C, 3, FALSE), ""), ""), "")</f>
        <v/>
      </c>
      <c r="D660" s="16" t="n"/>
      <c r="E660" s="10">
        <f>IFERROR(IF(INDEX(ERP資料!$H:$H, (MATCH(659, 輔助計算!$G$2:$G$801, 0)+1))="","",INDEX(ERP資料!$H:$H, (MATCH(659, 輔助計算!$G$2:$G$801, 0)+1))), "")</f>
        <v/>
      </c>
      <c r="F660" s="10">
        <f>IFERROR(IF(INDEX(ERP資料!$E:$E, (MATCH(659, 輔助計算!$G$2:$G$801, 0)+1))="","",TRIM(INDEX(ERP資料!$E:$E, (MATCH(659, 輔助計算!$G$2:$G$801, 0)+1)))), "")</f>
        <v/>
      </c>
      <c r="G660" s="10">
        <f>IFERROR(IF(INDEX(ERP資料!$F:$F, (MATCH(659, 輔助計算!$G$2:$G$801, 0)+1))="","",INDEX(ERP資料!$F:$F, (MATCH(659, 輔助計算!$G$2:$G$801, 0)+1))), "")</f>
        <v/>
      </c>
      <c r="H660" s="10">
        <f>IFERROR(IF(INDEX(ERP資料!$G:$G, (MATCH(659, 輔助計算!$G$2:$G$801, 0)+1))="","",INDEX(ERP資料!$G:$G, (MATCH(659, 輔助計算!$G$2:$G$801, 0)+1))), "")</f>
        <v/>
      </c>
      <c r="I660" s="15">
        <f>IFERROR(INDEX(輔助計算!$D:$D, (MATCH(659, 輔助計算!$G$2:$G$801, 0)+1)), "")</f>
        <v/>
      </c>
      <c r="J660" s="15">
        <f>IFERROR(IF(AND(INDEX(輔助計算!$D:$D, (MATCH(659, 輔助計算!$G$2:$G$801, 0)+1))&lt;&gt;"", INDEX(ERP資料!$G:$G, (MATCH(659, 輔助計算!$G$2:$G$801, 0)+1))&lt;&gt;""), TRIM(IF(INT(INDEX(輔助計算!$D:$D, (MATCH(659, 輔助計算!$G$2:$G$801, 0)+1))/IF(INDEX(ERP資料!$G:$G, (MATCH(659, 輔助計算!$G$2:$G$801, 0)+1))&lt;100, IF(INDEX(ERP資料!$G:$G, (MATCH(659, 輔助計算!$G$2:$G$801, 0)+1))&lt;=31,3,IF(INDEX(ERP資料!$G:$G, (MATCH(659, 輔助計算!$G$2:$G$801, 0)+1))&lt;=46.5,2,1)), IF(INDEX(ERP資料!$G:$G, (MATCH(659, 輔助計算!$G$2:$G$801, 0)+1))&lt;=790,3,IF(INDEX(ERP資料!$G:$G, (MATCH(659, 輔助計算!$G$2:$G$801, 0)+1))&lt;=1181,2,1))))&gt;0, IF(IF(INDEX(ERP資料!$G:$G, (MATCH(659, 輔助計算!$G$2:$G$801, 0)+1))&lt;100, IF(INDEX(ERP資料!$G:$G, (MATCH(659, 輔助計算!$G$2:$G$801, 0)+1))&lt;=31,3,IF(INDEX(ERP資料!$G:$G, (MATCH(659, 輔助計算!$G$2:$G$801, 0)+1))&lt;=46.5,2,1)), IF(INDEX(ERP資料!$G:$G, (MATCH(659, 輔助計算!$G$2:$G$801, 0)+1))&lt;=790,3,IF(INDEX(ERP資料!$G:$G, (MATCH(659, 輔助計算!$G$2:$G$801, 0)+1))&lt;=1181,2,1)))=1,TEXT(INDEX(ERP資料!$G:$G, (MATCH(659, 輔助計算!$G$2:$G$801, 0)+1)),"0.##"),IF(IF(INDEX(ERP資料!$G:$G, (MATCH(659, 輔助計算!$G$2:$G$801, 0)+1))&lt;100, IF(INDEX(ERP資料!$G:$G, (MATCH(659, 輔助計算!$G$2:$G$801, 0)+1))&lt;=31,3,IF(INDEX(ERP資料!$G:$G, (MATCH(659, 輔助計算!$G$2:$G$801, 0)+1))&lt;=46.5,2,1)), IF(INDEX(ERP資料!$G:$G, (MATCH(659, 輔助計算!$G$2:$G$801, 0)+1))&lt;=790,3,IF(INDEX(ERP資料!$G:$G, (MATCH(659, 輔助計算!$G$2:$G$801, 0)+1))&lt;=1181,2,1)))=2,TEXT(INDEX(ERP資料!$G:$G, (MATCH(659, 輔助計算!$G$2:$G$801, 0)+1)),"0.##")&amp;"+"&amp;TEXT(INDEX(ERP資料!$G:$G, (MATCH(659, 輔助計算!$G$2:$G$801, 0)+1)),"0.##"),TEXT(INDEX(ERP資料!$G:$G, (MATCH(659, 輔助計算!$G$2:$G$801, 0)+1)),"0.##")&amp;"+"&amp;TEXT(INDEX(ERP資料!$G:$G, (MATCH(659, 輔助計算!$G$2:$G$801, 0)+1)),"0.##")&amp;"+"&amp;TEXT(INDEX(ERP資料!$G:$G, (MATCH(659, 輔助計算!$G$2:$G$801, 0)+1)),"0.##")))&amp;"-"&amp;INT(INDEX(輔助計算!$D:$D, (MATCH(659, 輔助計算!$G$2:$G$801, 0)+1))/IF(INDEX(ERP資料!$G:$G, (MATCH(659, 輔助計算!$G$2:$G$801, 0)+1))&lt;100, IF(INDEX(ERP資料!$G:$G, (MATCH(659, 輔助計算!$G$2:$G$801, 0)+1))&lt;=31,3,IF(INDEX(ERP資料!$G:$G, (MATCH(659, 輔助計算!$G$2:$G$801, 0)+1))&lt;=46.5,2,1)), IF(INDEX(ERP資料!$G:$G, (MATCH(659, 輔助計算!$G$2:$G$801, 0)+1))&lt;=790,3,IF(INDEX(ERP資料!$G:$G, (MATCH(659, 輔助計算!$G$2:$G$801, 0)+1))&lt;=1181,2,1)))), "")&amp;IF(AND(IF(INT(INDEX(輔助計算!$D:$D, (MATCH(659, 輔助計算!$G$2:$G$801, 0)+1))/IF(INDEX(ERP資料!$G:$G, (MATCH(659, 輔助計算!$G$2:$G$801, 0)+1))&lt;100, IF(INDEX(ERP資料!$G:$G, (MATCH(659, 輔助計算!$G$2:$G$801, 0)+1))&lt;=31,3,IF(INDEX(ERP資料!$G:$G, (MATCH(659, 輔助計算!$G$2:$G$801, 0)+1))&lt;=46.5,2,1)), IF(INDEX(ERP資料!$G:$G, (MATCH(659, 輔助計算!$G$2:$G$801, 0)+1))&lt;=790,3,IF(INDEX(ERP資料!$G:$G, (MATCH(659, 輔助計算!$G$2:$G$801, 0)+1))&lt;=1181,2,1))))&gt;0, IF(IF(INDEX(ERP資料!$G:$G, (MATCH(659, 輔助計算!$G$2:$G$801, 0)+1))&lt;100, IF(INDEX(ERP資料!$G:$G, (MATCH(659, 輔助計算!$G$2:$G$801, 0)+1))&lt;=31,3,IF(INDEX(ERP資料!$G:$G, (MATCH(659, 輔助計算!$G$2:$G$801, 0)+1))&lt;=46.5,2,1)), IF(INDEX(ERP資料!$G:$G, (MATCH(659, 輔助計算!$G$2:$G$801, 0)+1))&lt;=790,3,IF(INDEX(ERP資料!$G:$G, (MATCH(659, 輔助計算!$G$2:$G$801, 0)+1))&lt;=1181,2,1)))=1,TEXT(INDEX(ERP資料!$G:$G, (MATCH(659, 輔助計算!$G$2:$G$801, 0)+1)),"0.##"),IF(IF(INDEX(ERP資料!$G:$G, (MATCH(659, 輔助計算!$G$2:$G$801, 0)+1))&lt;100, IF(INDEX(ERP資料!$G:$G, (MATCH(659, 輔助計算!$G$2:$G$801, 0)+1))&lt;=31,3,IF(INDEX(ERP資料!$G:$G, (MATCH(659, 輔助計算!$G$2:$G$801, 0)+1))&lt;=46.5,2,1)), IF(INDEX(ERP資料!$G:$G, (MATCH(659, 輔助計算!$G$2:$G$801, 0)+1))&lt;=790,3,IF(INDEX(ERP資料!$G:$G, (MATCH(659, 輔助計算!$G$2:$G$801, 0)+1))&lt;=1181,2,1)))=2,TEXT(INDEX(ERP資料!$G:$G, (MATCH(659, 輔助計算!$G$2:$G$801, 0)+1)),"0.##")&amp;"+"&amp;TEXT(INDEX(ERP資料!$G:$G, (MATCH(659, 輔助計算!$G$2:$G$801, 0)+1)),"0.##"),TEXT(INDEX(ERP資料!$G:$G, (MATCH(659, 輔助計算!$G$2:$G$801, 0)+1)),"0.##")&amp;"+"&amp;TEXT(INDEX(ERP資料!$G:$G, (MATCH(659, 輔助計算!$G$2:$G$801, 0)+1)),"0.##")&amp;"+"&amp;TEXT(INDEX(ERP資料!$G:$G, (MATCH(659, 輔助計算!$G$2:$G$801, 0)+1)),"0.##")))&amp;"-"&amp;INT(INDEX(輔助計算!$D:$D, (MATCH(659, 輔助計算!$G$2:$G$801, 0)+1))/IF(INDEX(ERP資料!$G:$G, (MATCH(659, 輔助計算!$G$2:$G$801, 0)+1))&lt;100, IF(INDEX(ERP資料!$G:$G, (MATCH(659, 輔助計算!$G$2:$G$801, 0)+1))&lt;=31,3,IF(INDEX(ERP資料!$G:$G, (MATCH(659, 輔助計算!$G$2:$G$801, 0)+1))&lt;=46.5,2,1)), IF(INDEX(ERP資料!$G:$G, (MATCH(659, 輔助計算!$G$2:$G$801, 0)+1))&lt;=790,3,IF(INDEX(ERP資料!$G:$G, (MATCH(659, 輔助計算!$G$2:$G$801, 0)+1))&lt;=1181,2,1)))), "")&lt;&gt;"",IF(MOD(INDEX(輔助計算!$D:$D, (MATCH(659, 輔助計算!$G$2:$G$801, 0)+1)),IF(INDEX(ERP資料!$G:$G, (MATCH(659, 輔助計算!$G$2:$G$801, 0)+1))&lt;100, IF(INDEX(ERP資料!$G:$G, (MATCH(659, 輔助計算!$G$2:$G$801, 0)+1))&lt;=31,3,IF(INDEX(ERP資料!$G:$G, (MATCH(659, 輔助計算!$G$2:$G$801, 0)+1))&lt;=46.5,2,1)), IF(INDEX(ERP資料!$G:$G, (MATCH(659, 輔助計算!$G$2:$G$801, 0)+1))&lt;=790,3,IF(INDEX(ERP資料!$G:$G, (MATCH(659, 輔助計算!$G$2:$G$801, 0)+1))&lt;=1181,2,1))))=0,"",IF(MOD(INDEX(輔助計算!$D:$D, (MATCH(659, 輔助計算!$G$2:$G$801, 0)+1)),IF(INDEX(ERP資料!$G:$G, (MATCH(659, 輔助計算!$G$2:$G$801, 0)+1))&lt;100, IF(INDEX(ERP資料!$G:$G, (MATCH(659, 輔助計算!$G$2:$G$801, 0)+1))&lt;=31,3,IF(INDEX(ERP資料!$G:$G, (MATCH(659, 輔助計算!$G$2:$G$801, 0)+1))&lt;=46.5,2,1)), IF(INDEX(ERP資料!$G:$G, (MATCH(659, 輔助計算!$G$2:$G$801, 0)+1))&lt;=790,3,IF(INDEX(ERP資料!$G:$G, (MATCH(659, 輔助計算!$G$2:$G$801, 0)+1))&lt;=1181,2,1))))=0,"",IF(MOD(INDEX(輔助計算!$D:$D, (MATCH(659, 輔助計算!$G$2:$G$801, 0)+1)),IF(INDEX(ERP資料!$G:$G, (MATCH(659, 輔助計算!$G$2:$G$801, 0)+1))&lt;100, IF(INDEX(ERP資料!$G:$G, (MATCH(659, 輔助計算!$G$2:$G$801, 0)+1))&lt;=31,3,IF(INDEX(ERP資料!$G:$G, (MATCH(659, 輔助計算!$G$2:$G$801, 0)+1))&lt;=46.5,2,1)), IF(INDEX(ERP資料!$G:$G, (MATCH(659, 輔助計算!$G$2:$G$801, 0)+1))&lt;=790,3,IF(INDEX(ERP資料!$G:$G, (MATCH(659, 輔助計算!$G$2:$G$801, 0)+1))&lt;=1181,2,1))))=1,TEXT(INDEX(ERP資料!$G:$G, (MATCH(659, 輔助計算!$G$2:$G$801, 0)+1)),"0.##"),IF(MOD(INDEX(輔助計算!$D:$D, (MATCH(659, 輔助計算!$G$2:$G$801, 0)+1)),IF(INDEX(ERP資料!$G:$G, (MATCH(659, 輔助計算!$G$2:$G$801, 0)+1))&lt;100, IF(INDEX(ERP資料!$G:$G, (MATCH(659, 輔助計算!$G$2:$G$801, 0)+1))&lt;=31,3,IF(INDEX(ERP資料!$G:$G, (MATCH(659, 輔助計算!$G$2:$G$801, 0)+1))&lt;=46.5,2,1)), IF(INDEX(ERP資料!$G:$G, (MATCH(659, 輔助計算!$G$2:$G$801, 0)+1))&lt;=790,3,IF(INDEX(ERP資料!$G:$G, (MATCH(659, 輔助計算!$G$2:$G$801, 0)+1))&lt;=1181,2,1))))=2,TEXT(INDEX(ERP資料!$G:$G, (MATCH(659, 輔助計算!$G$2:$G$801, 0)+1)),"0.##")&amp;"+"&amp;TEXT(INDEX(ERP資料!$G:$G, (MATCH(659, 輔助計算!$G$2:$G$801, 0)+1)),"0.##"),TEXT(INDEX(ERP資料!$G:$G, (MATCH(659, 輔助計算!$G$2:$G$801, 0)+1)),"0.##")&amp;"+"&amp;TEXT(INDEX(ERP資料!$G:$G, (MATCH(659, 輔助計算!$G$2:$G$801, 0)+1)),"0.##")&amp;"+"&amp;TEXT(INDEX(ERP資料!$G:$G, (MATCH(659, 輔助計算!$G$2:$G$801, 0)+1)),"0.##"))))&amp;"-1")&lt;&gt;""),"  ","")&amp;IF(MOD(INDEX(輔助計算!$D:$D, (MATCH(659, 輔助計算!$G$2:$G$801, 0)+1)),IF(INDEX(ERP資料!$G:$G, (MATCH(659, 輔助計算!$G$2:$G$801, 0)+1))&lt;100, IF(INDEX(ERP資料!$G:$G, (MATCH(659, 輔助計算!$G$2:$G$801, 0)+1))&lt;=31,3,IF(INDEX(ERP資料!$G:$G, (MATCH(659, 輔助計算!$G$2:$G$801, 0)+1))&lt;=46.5,2,1)), IF(INDEX(ERP資料!$G:$G, (MATCH(659, 輔助計算!$G$2:$G$801, 0)+1))&lt;=790,3,IF(INDEX(ERP資料!$G:$G, (MATCH(659, 輔助計算!$G$2:$G$801, 0)+1))&lt;=1181,2,1))))=0,"",IF(MOD(INDEX(輔助計算!$D:$D, (MATCH(659, 輔助計算!$G$2:$G$801, 0)+1)),IF(INDEX(ERP資料!$G:$G, (MATCH(659, 輔助計算!$G$2:$G$801, 0)+1))&lt;100, IF(INDEX(ERP資料!$G:$G, (MATCH(659, 輔助計算!$G$2:$G$801, 0)+1))&lt;=31,3,IF(INDEX(ERP資料!$G:$G, (MATCH(659, 輔助計算!$G$2:$G$801, 0)+1))&lt;=46.5,2,1)), IF(INDEX(ERP資料!$G:$G, (MATCH(659, 輔助計算!$G$2:$G$801, 0)+1))&lt;=790,3,IF(INDEX(ERP資料!$G:$G, (MATCH(659, 輔助計算!$G$2:$G$801, 0)+1))&lt;=1181,2,1))))=0,"",IF(MOD(INDEX(輔助計算!$D:$D, (MATCH(659, 輔助計算!$G$2:$G$801, 0)+1)),IF(INDEX(ERP資料!$G:$G, (MATCH(659, 輔助計算!$G$2:$G$801, 0)+1))&lt;100, IF(INDEX(ERP資料!$G:$G, (MATCH(659, 輔助計算!$G$2:$G$801, 0)+1))&lt;=31,3,IF(INDEX(ERP資料!$G:$G, (MATCH(659, 輔助計算!$G$2:$G$801, 0)+1))&lt;=46.5,2,1)), IF(INDEX(ERP資料!$G:$G, (MATCH(659, 輔助計算!$G$2:$G$801, 0)+1))&lt;=790,3,IF(INDEX(ERP資料!$G:$G, (MATCH(659, 輔助計算!$G$2:$G$801, 0)+1))&lt;=1181,2,1))))=1,TEXT(INDEX(ERP資料!$G:$G, (MATCH(659, 輔助計算!$G$2:$G$801, 0)+1)),"0.##"),IF(MOD(INDEX(輔助計算!$D:$D, (MATCH(659, 輔助計算!$G$2:$G$801, 0)+1)),IF(INDEX(ERP資料!$G:$G, (MATCH(659, 輔助計算!$G$2:$G$801, 0)+1))&lt;100, IF(INDEX(ERP資料!$G:$G, (MATCH(659, 輔助計算!$G$2:$G$801, 0)+1))&lt;=31,3,IF(INDEX(ERP資料!$G:$G, (MATCH(659, 輔助計算!$G$2:$G$801, 0)+1))&lt;=46.5,2,1)), IF(INDEX(ERP資料!$G:$G, (MATCH(659, 輔助計算!$G$2:$G$801, 0)+1))&lt;=790,3,IF(INDEX(ERP資料!$G:$G, (MATCH(659, 輔助計算!$G$2:$G$801, 0)+1))&lt;=1181,2,1))))=2,TEXT(INDEX(ERP資料!$G:$G, (MATCH(659, 輔助計算!$G$2:$G$801, 0)+1)),"0.##")&amp;"+"&amp;TEXT(INDEX(ERP資料!$G:$G, (MATCH(659, 輔助計算!$G$2:$G$801, 0)+1)),"0.##"),TEXT(INDEX(ERP資料!$G:$G, (MATCH(659, 輔助計算!$G$2:$G$801, 0)+1)),"0.##")&amp;"+"&amp;TEXT(INDEX(ERP資料!$G:$G, (MATCH(659, 輔助計算!$G$2:$G$801, 0)+1)),"0.##")&amp;"+"&amp;TEXT(INDEX(ERP資料!$G:$G, (MATCH(659, 輔助計算!$G$2:$G$801, 0)+1)),"0.##"))))&amp;"-1")), ""), "")</f>
        <v/>
      </c>
      <c r="K660" s="16" t="n"/>
      <c r="L660" s="14">
        <f>IFERROR(IF(AND(IFERROR(INDEX(ERP資料!$A:$A, (MATCH(659, 輔助計算!$G$2:$G$801, 0)+1)), "")&lt;&gt;"", IFERROR(INDEX(ERP資料!$A:$A, (MATCH(659, 輔助計算!$G$2:$G$801, 0)+1)), "")&lt;&gt;IFERROR(INDEX(ERP資料!$A:$A, MATCH(658, 輔助計算!$G$2:$G$801, 0)+1), "")), INDEX(ERP資料!$B:$B, (MATCH(659, 輔助計算!$G$2:$G$801, 0)+1)), ""), "")</f>
        <v/>
      </c>
      <c r="M660" s="17" t="n"/>
    </row>
    <row r="661">
      <c r="A661" s="10">
        <f>IFERROR(IF(AND(IFERROR(INDEX(ERP資料!$A:$A, (MATCH(660, 輔助計算!$G$2:$G$801, 0)+1)), "")&lt;&gt;"", IFERROR(INDEX(ERP資料!$A:$A, (MATCH(660, 輔助計算!$G$2:$G$801, 0)+1)), "")&lt;&gt;IFERROR(INDEX(ERP資料!$A:$A, MATCH(659, 輔助計算!$G$2:$G$801, 0)+1), "")), IFERROR(INDEX(ERP資料!$A:$A, (MATCH(660, 輔助計算!$G$2:$G$801, 0)+1)), ""), ""), "")</f>
        <v/>
      </c>
      <c r="B661" s="10">
        <f>IFERROR(IF(AND(IFERROR(INDEX(ERP資料!$A:$A, (MATCH(660, 輔助計算!$G$2:$G$801, 0)+1)), "")&lt;&gt;"", IFERROR(INDEX(ERP資料!$A:$A, (MATCH(660, 輔助計算!$G$2:$G$801, 0)+1)), "")&lt;&gt;IFERROR(INDEX(ERP資料!$A:$A, MATCH(659, 輔助計算!$G$2:$G$801, 0)+1), "")), INDEX(ERP資料!$S:$S, (MATCH(660, 輔助計算!$G$2:$G$801, 0)+1)), ""), "")</f>
        <v/>
      </c>
      <c r="C661" s="19">
        <f>IFERROR(IF(AND(IFERROR(INDEX(ERP資料!$A:$A, (MATCH(660, 輔助計算!$G$2:$G$801, 0)+1)), "")&lt;&gt;"", IFERROR(INDEX(ERP資料!$A:$A, (MATCH(660, 輔助計算!$G$2:$G$801, 0)+1)), "")&lt;&gt;IFERROR(INDEX(ERP資料!$A:$A, MATCH(659, 輔助計算!$G$2:$G$801, 0)+1), "")), IFERROR(VLOOKUP(LEFT(INDEX(ERP資料!$S:$S, (MATCH(660, 輔助計算!$G$2:$G$801, 0)+1)), 4), 紙管對照表!$A:$C, 3, FALSE), ""), ""), "")</f>
        <v/>
      </c>
      <c r="D661" s="16" t="n"/>
      <c r="E661" s="10">
        <f>IFERROR(IF(INDEX(ERP資料!$H:$H, (MATCH(660, 輔助計算!$G$2:$G$801, 0)+1))="","",INDEX(ERP資料!$H:$H, (MATCH(660, 輔助計算!$G$2:$G$801, 0)+1))), "")</f>
        <v/>
      </c>
      <c r="F661" s="10">
        <f>IFERROR(IF(INDEX(ERP資料!$E:$E, (MATCH(660, 輔助計算!$G$2:$G$801, 0)+1))="","",TRIM(INDEX(ERP資料!$E:$E, (MATCH(660, 輔助計算!$G$2:$G$801, 0)+1)))), "")</f>
        <v/>
      </c>
      <c r="G661" s="10">
        <f>IFERROR(IF(INDEX(ERP資料!$F:$F, (MATCH(660, 輔助計算!$G$2:$G$801, 0)+1))="","",INDEX(ERP資料!$F:$F, (MATCH(660, 輔助計算!$G$2:$G$801, 0)+1))), "")</f>
        <v/>
      </c>
      <c r="H661" s="10">
        <f>IFERROR(IF(INDEX(ERP資料!$G:$G, (MATCH(660, 輔助計算!$G$2:$G$801, 0)+1))="","",INDEX(ERP資料!$G:$G, (MATCH(660, 輔助計算!$G$2:$G$801, 0)+1))), "")</f>
        <v/>
      </c>
      <c r="I661" s="15">
        <f>IFERROR(INDEX(輔助計算!$D:$D, (MATCH(660, 輔助計算!$G$2:$G$801, 0)+1)), "")</f>
        <v/>
      </c>
      <c r="J661" s="15">
        <f>IFERROR(IF(AND(INDEX(輔助計算!$D:$D, (MATCH(660, 輔助計算!$G$2:$G$801, 0)+1))&lt;&gt;"", INDEX(ERP資料!$G:$G, (MATCH(660, 輔助計算!$G$2:$G$801, 0)+1))&lt;&gt;""), TRIM(IF(INT(INDEX(輔助計算!$D:$D, (MATCH(660, 輔助計算!$G$2:$G$801, 0)+1))/IF(INDEX(ERP資料!$G:$G, (MATCH(660, 輔助計算!$G$2:$G$801, 0)+1))&lt;100, IF(INDEX(ERP資料!$G:$G, (MATCH(660, 輔助計算!$G$2:$G$801, 0)+1))&lt;=31,3,IF(INDEX(ERP資料!$G:$G, (MATCH(660, 輔助計算!$G$2:$G$801, 0)+1))&lt;=46.5,2,1)), IF(INDEX(ERP資料!$G:$G, (MATCH(660, 輔助計算!$G$2:$G$801, 0)+1))&lt;=790,3,IF(INDEX(ERP資料!$G:$G, (MATCH(660, 輔助計算!$G$2:$G$801, 0)+1))&lt;=1181,2,1))))&gt;0, IF(IF(INDEX(ERP資料!$G:$G, (MATCH(660, 輔助計算!$G$2:$G$801, 0)+1))&lt;100, IF(INDEX(ERP資料!$G:$G, (MATCH(660, 輔助計算!$G$2:$G$801, 0)+1))&lt;=31,3,IF(INDEX(ERP資料!$G:$G, (MATCH(660, 輔助計算!$G$2:$G$801, 0)+1))&lt;=46.5,2,1)), IF(INDEX(ERP資料!$G:$G, (MATCH(660, 輔助計算!$G$2:$G$801, 0)+1))&lt;=790,3,IF(INDEX(ERP資料!$G:$G, (MATCH(660, 輔助計算!$G$2:$G$801, 0)+1))&lt;=1181,2,1)))=1,TEXT(INDEX(ERP資料!$G:$G, (MATCH(660, 輔助計算!$G$2:$G$801, 0)+1)),"0.##"),IF(IF(INDEX(ERP資料!$G:$G, (MATCH(660, 輔助計算!$G$2:$G$801, 0)+1))&lt;100, IF(INDEX(ERP資料!$G:$G, (MATCH(660, 輔助計算!$G$2:$G$801, 0)+1))&lt;=31,3,IF(INDEX(ERP資料!$G:$G, (MATCH(660, 輔助計算!$G$2:$G$801, 0)+1))&lt;=46.5,2,1)), IF(INDEX(ERP資料!$G:$G, (MATCH(660, 輔助計算!$G$2:$G$801, 0)+1))&lt;=790,3,IF(INDEX(ERP資料!$G:$G, (MATCH(660, 輔助計算!$G$2:$G$801, 0)+1))&lt;=1181,2,1)))=2,TEXT(INDEX(ERP資料!$G:$G, (MATCH(660, 輔助計算!$G$2:$G$801, 0)+1)),"0.##")&amp;"+"&amp;TEXT(INDEX(ERP資料!$G:$G, (MATCH(660, 輔助計算!$G$2:$G$801, 0)+1)),"0.##"),TEXT(INDEX(ERP資料!$G:$G, (MATCH(660, 輔助計算!$G$2:$G$801, 0)+1)),"0.##")&amp;"+"&amp;TEXT(INDEX(ERP資料!$G:$G, (MATCH(660, 輔助計算!$G$2:$G$801, 0)+1)),"0.##")&amp;"+"&amp;TEXT(INDEX(ERP資料!$G:$G, (MATCH(660, 輔助計算!$G$2:$G$801, 0)+1)),"0.##")))&amp;"-"&amp;INT(INDEX(輔助計算!$D:$D, (MATCH(660, 輔助計算!$G$2:$G$801, 0)+1))/IF(INDEX(ERP資料!$G:$G, (MATCH(660, 輔助計算!$G$2:$G$801, 0)+1))&lt;100, IF(INDEX(ERP資料!$G:$G, (MATCH(660, 輔助計算!$G$2:$G$801, 0)+1))&lt;=31,3,IF(INDEX(ERP資料!$G:$G, (MATCH(660, 輔助計算!$G$2:$G$801, 0)+1))&lt;=46.5,2,1)), IF(INDEX(ERP資料!$G:$G, (MATCH(660, 輔助計算!$G$2:$G$801, 0)+1))&lt;=790,3,IF(INDEX(ERP資料!$G:$G, (MATCH(660, 輔助計算!$G$2:$G$801, 0)+1))&lt;=1181,2,1)))), "")&amp;IF(AND(IF(INT(INDEX(輔助計算!$D:$D, (MATCH(660, 輔助計算!$G$2:$G$801, 0)+1))/IF(INDEX(ERP資料!$G:$G, (MATCH(660, 輔助計算!$G$2:$G$801, 0)+1))&lt;100, IF(INDEX(ERP資料!$G:$G, (MATCH(660, 輔助計算!$G$2:$G$801, 0)+1))&lt;=31,3,IF(INDEX(ERP資料!$G:$G, (MATCH(660, 輔助計算!$G$2:$G$801, 0)+1))&lt;=46.5,2,1)), IF(INDEX(ERP資料!$G:$G, (MATCH(660, 輔助計算!$G$2:$G$801, 0)+1))&lt;=790,3,IF(INDEX(ERP資料!$G:$G, (MATCH(660, 輔助計算!$G$2:$G$801, 0)+1))&lt;=1181,2,1))))&gt;0, IF(IF(INDEX(ERP資料!$G:$G, (MATCH(660, 輔助計算!$G$2:$G$801, 0)+1))&lt;100, IF(INDEX(ERP資料!$G:$G, (MATCH(660, 輔助計算!$G$2:$G$801, 0)+1))&lt;=31,3,IF(INDEX(ERP資料!$G:$G, (MATCH(660, 輔助計算!$G$2:$G$801, 0)+1))&lt;=46.5,2,1)), IF(INDEX(ERP資料!$G:$G, (MATCH(660, 輔助計算!$G$2:$G$801, 0)+1))&lt;=790,3,IF(INDEX(ERP資料!$G:$G, (MATCH(660, 輔助計算!$G$2:$G$801, 0)+1))&lt;=1181,2,1)))=1,TEXT(INDEX(ERP資料!$G:$G, (MATCH(660, 輔助計算!$G$2:$G$801, 0)+1)),"0.##"),IF(IF(INDEX(ERP資料!$G:$G, (MATCH(660, 輔助計算!$G$2:$G$801, 0)+1))&lt;100, IF(INDEX(ERP資料!$G:$G, (MATCH(660, 輔助計算!$G$2:$G$801, 0)+1))&lt;=31,3,IF(INDEX(ERP資料!$G:$G, (MATCH(660, 輔助計算!$G$2:$G$801, 0)+1))&lt;=46.5,2,1)), IF(INDEX(ERP資料!$G:$G, (MATCH(660, 輔助計算!$G$2:$G$801, 0)+1))&lt;=790,3,IF(INDEX(ERP資料!$G:$G, (MATCH(660, 輔助計算!$G$2:$G$801, 0)+1))&lt;=1181,2,1)))=2,TEXT(INDEX(ERP資料!$G:$G, (MATCH(660, 輔助計算!$G$2:$G$801, 0)+1)),"0.##")&amp;"+"&amp;TEXT(INDEX(ERP資料!$G:$G, (MATCH(660, 輔助計算!$G$2:$G$801, 0)+1)),"0.##"),TEXT(INDEX(ERP資料!$G:$G, (MATCH(660, 輔助計算!$G$2:$G$801, 0)+1)),"0.##")&amp;"+"&amp;TEXT(INDEX(ERP資料!$G:$G, (MATCH(660, 輔助計算!$G$2:$G$801, 0)+1)),"0.##")&amp;"+"&amp;TEXT(INDEX(ERP資料!$G:$G, (MATCH(660, 輔助計算!$G$2:$G$801, 0)+1)),"0.##")))&amp;"-"&amp;INT(INDEX(輔助計算!$D:$D, (MATCH(660, 輔助計算!$G$2:$G$801, 0)+1))/IF(INDEX(ERP資料!$G:$G, (MATCH(660, 輔助計算!$G$2:$G$801, 0)+1))&lt;100, IF(INDEX(ERP資料!$G:$G, (MATCH(660, 輔助計算!$G$2:$G$801, 0)+1))&lt;=31,3,IF(INDEX(ERP資料!$G:$G, (MATCH(660, 輔助計算!$G$2:$G$801, 0)+1))&lt;=46.5,2,1)), IF(INDEX(ERP資料!$G:$G, (MATCH(660, 輔助計算!$G$2:$G$801, 0)+1))&lt;=790,3,IF(INDEX(ERP資料!$G:$G, (MATCH(660, 輔助計算!$G$2:$G$801, 0)+1))&lt;=1181,2,1)))), "")&lt;&gt;"",IF(MOD(INDEX(輔助計算!$D:$D, (MATCH(660, 輔助計算!$G$2:$G$801, 0)+1)),IF(INDEX(ERP資料!$G:$G, (MATCH(660, 輔助計算!$G$2:$G$801, 0)+1))&lt;100, IF(INDEX(ERP資料!$G:$G, (MATCH(660, 輔助計算!$G$2:$G$801, 0)+1))&lt;=31,3,IF(INDEX(ERP資料!$G:$G, (MATCH(660, 輔助計算!$G$2:$G$801, 0)+1))&lt;=46.5,2,1)), IF(INDEX(ERP資料!$G:$G, (MATCH(660, 輔助計算!$G$2:$G$801, 0)+1))&lt;=790,3,IF(INDEX(ERP資料!$G:$G, (MATCH(660, 輔助計算!$G$2:$G$801, 0)+1))&lt;=1181,2,1))))=0,"",IF(MOD(INDEX(輔助計算!$D:$D, (MATCH(660, 輔助計算!$G$2:$G$801, 0)+1)),IF(INDEX(ERP資料!$G:$G, (MATCH(660, 輔助計算!$G$2:$G$801, 0)+1))&lt;100, IF(INDEX(ERP資料!$G:$G, (MATCH(660, 輔助計算!$G$2:$G$801, 0)+1))&lt;=31,3,IF(INDEX(ERP資料!$G:$G, (MATCH(660, 輔助計算!$G$2:$G$801, 0)+1))&lt;=46.5,2,1)), IF(INDEX(ERP資料!$G:$G, (MATCH(660, 輔助計算!$G$2:$G$801, 0)+1))&lt;=790,3,IF(INDEX(ERP資料!$G:$G, (MATCH(660, 輔助計算!$G$2:$G$801, 0)+1))&lt;=1181,2,1))))=0,"",IF(MOD(INDEX(輔助計算!$D:$D, (MATCH(660, 輔助計算!$G$2:$G$801, 0)+1)),IF(INDEX(ERP資料!$G:$G, (MATCH(660, 輔助計算!$G$2:$G$801, 0)+1))&lt;100, IF(INDEX(ERP資料!$G:$G, (MATCH(660, 輔助計算!$G$2:$G$801, 0)+1))&lt;=31,3,IF(INDEX(ERP資料!$G:$G, (MATCH(660, 輔助計算!$G$2:$G$801, 0)+1))&lt;=46.5,2,1)), IF(INDEX(ERP資料!$G:$G, (MATCH(660, 輔助計算!$G$2:$G$801, 0)+1))&lt;=790,3,IF(INDEX(ERP資料!$G:$G, (MATCH(660, 輔助計算!$G$2:$G$801, 0)+1))&lt;=1181,2,1))))=1,TEXT(INDEX(ERP資料!$G:$G, (MATCH(660, 輔助計算!$G$2:$G$801, 0)+1)),"0.##"),IF(MOD(INDEX(輔助計算!$D:$D, (MATCH(660, 輔助計算!$G$2:$G$801, 0)+1)),IF(INDEX(ERP資料!$G:$G, (MATCH(660, 輔助計算!$G$2:$G$801, 0)+1))&lt;100, IF(INDEX(ERP資料!$G:$G, (MATCH(660, 輔助計算!$G$2:$G$801, 0)+1))&lt;=31,3,IF(INDEX(ERP資料!$G:$G, (MATCH(660, 輔助計算!$G$2:$G$801, 0)+1))&lt;=46.5,2,1)), IF(INDEX(ERP資料!$G:$G, (MATCH(660, 輔助計算!$G$2:$G$801, 0)+1))&lt;=790,3,IF(INDEX(ERP資料!$G:$G, (MATCH(660, 輔助計算!$G$2:$G$801, 0)+1))&lt;=1181,2,1))))=2,TEXT(INDEX(ERP資料!$G:$G, (MATCH(660, 輔助計算!$G$2:$G$801, 0)+1)),"0.##")&amp;"+"&amp;TEXT(INDEX(ERP資料!$G:$G, (MATCH(660, 輔助計算!$G$2:$G$801, 0)+1)),"0.##"),TEXT(INDEX(ERP資料!$G:$G, (MATCH(660, 輔助計算!$G$2:$G$801, 0)+1)),"0.##")&amp;"+"&amp;TEXT(INDEX(ERP資料!$G:$G, (MATCH(660, 輔助計算!$G$2:$G$801, 0)+1)),"0.##")&amp;"+"&amp;TEXT(INDEX(ERP資料!$G:$G, (MATCH(660, 輔助計算!$G$2:$G$801, 0)+1)),"0.##"))))&amp;"-1")&lt;&gt;""),"  ","")&amp;IF(MOD(INDEX(輔助計算!$D:$D, (MATCH(660, 輔助計算!$G$2:$G$801, 0)+1)),IF(INDEX(ERP資料!$G:$G, (MATCH(660, 輔助計算!$G$2:$G$801, 0)+1))&lt;100, IF(INDEX(ERP資料!$G:$G, (MATCH(660, 輔助計算!$G$2:$G$801, 0)+1))&lt;=31,3,IF(INDEX(ERP資料!$G:$G, (MATCH(660, 輔助計算!$G$2:$G$801, 0)+1))&lt;=46.5,2,1)), IF(INDEX(ERP資料!$G:$G, (MATCH(660, 輔助計算!$G$2:$G$801, 0)+1))&lt;=790,3,IF(INDEX(ERP資料!$G:$G, (MATCH(660, 輔助計算!$G$2:$G$801, 0)+1))&lt;=1181,2,1))))=0,"",IF(MOD(INDEX(輔助計算!$D:$D, (MATCH(660, 輔助計算!$G$2:$G$801, 0)+1)),IF(INDEX(ERP資料!$G:$G, (MATCH(660, 輔助計算!$G$2:$G$801, 0)+1))&lt;100, IF(INDEX(ERP資料!$G:$G, (MATCH(660, 輔助計算!$G$2:$G$801, 0)+1))&lt;=31,3,IF(INDEX(ERP資料!$G:$G, (MATCH(660, 輔助計算!$G$2:$G$801, 0)+1))&lt;=46.5,2,1)), IF(INDEX(ERP資料!$G:$G, (MATCH(660, 輔助計算!$G$2:$G$801, 0)+1))&lt;=790,3,IF(INDEX(ERP資料!$G:$G, (MATCH(660, 輔助計算!$G$2:$G$801, 0)+1))&lt;=1181,2,1))))=0,"",IF(MOD(INDEX(輔助計算!$D:$D, (MATCH(660, 輔助計算!$G$2:$G$801, 0)+1)),IF(INDEX(ERP資料!$G:$G, (MATCH(660, 輔助計算!$G$2:$G$801, 0)+1))&lt;100, IF(INDEX(ERP資料!$G:$G, (MATCH(660, 輔助計算!$G$2:$G$801, 0)+1))&lt;=31,3,IF(INDEX(ERP資料!$G:$G, (MATCH(660, 輔助計算!$G$2:$G$801, 0)+1))&lt;=46.5,2,1)), IF(INDEX(ERP資料!$G:$G, (MATCH(660, 輔助計算!$G$2:$G$801, 0)+1))&lt;=790,3,IF(INDEX(ERP資料!$G:$G, (MATCH(660, 輔助計算!$G$2:$G$801, 0)+1))&lt;=1181,2,1))))=1,TEXT(INDEX(ERP資料!$G:$G, (MATCH(660, 輔助計算!$G$2:$G$801, 0)+1)),"0.##"),IF(MOD(INDEX(輔助計算!$D:$D, (MATCH(660, 輔助計算!$G$2:$G$801, 0)+1)),IF(INDEX(ERP資料!$G:$G, (MATCH(660, 輔助計算!$G$2:$G$801, 0)+1))&lt;100, IF(INDEX(ERP資料!$G:$G, (MATCH(660, 輔助計算!$G$2:$G$801, 0)+1))&lt;=31,3,IF(INDEX(ERP資料!$G:$G, (MATCH(660, 輔助計算!$G$2:$G$801, 0)+1))&lt;=46.5,2,1)), IF(INDEX(ERP資料!$G:$G, (MATCH(660, 輔助計算!$G$2:$G$801, 0)+1))&lt;=790,3,IF(INDEX(ERP資料!$G:$G, (MATCH(660, 輔助計算!$G$2:$G$801, 0)+1))&lt;=1181,2,1))))=2,TEXT(INDEX(ERP資料!$G:$G, (MATCH(660, 輔助計算!$G$2:$G$801, 0)+1)),"0.##")&amp;"+"&amp;TEXT(INDEX(ERP資料!$G:$G, (MATCH(660, 輔助計算!$G$2:$G$801, 0)+1)),"0.##"),TEXT(INDEX(ERP資料!$G:$G, (MATCH(660, 輔助計算!$G$2:$G$801, 0)+1)),"0.##")&amp;"+"&amp;TEXT(INDEX(ERP資料!$G:$G, (MATCH(660, 輔助計算!$G$2:$G$801, 0)+1)),"0.##")&amp;"+"&amp;TEXT(INDEX(ERP資料!$G:$G, (MATCH(660, 輔助計算!$G$2:$G$801, 0)+1)),"0.##"))))&amp;"-1")), ""), "")</f>
        <v/>
      </c>
      <c r="K661" s="16" t="n"/>
      <c r="L661" s="14">
        <f>IFERROR(IF(AND(IFERROR(INDEX(ERP資料!$A:$A, (MATCH(660, 輔助計算!$G$2:$G$801, 0)+1)), "")&lt;&gt;"", IFERROR(INDEX(ERP資料!$A:$A, (MATCH(660, 輔助計算!$G$2:$G$801, 0)+1)), "")&lt;&gt;IFERROR(INDEX(ERP資料!$A:$A, MATCH(659, 輔助計算!$G$2:$G$801, 0)+1), "")), INDEX(ERP資料!$B:$B, (MATCH(660, 輔助計算!$G$2:$G$801, 0)+1)), ""), "")</f>
        <v/>
      </c>
      <c r="M661" s="17" t="n"/>
    </row>
    <row r="662">
      <c r="A662" s="10">
        <f>IFERROR(IF(AND(IFERROR(INDEX(ERP資料!$A:$A, (MATCH(661, 輔助計算!$G$2:$G$801, 0)+1)), "")&lt;&gt;"", IFERROR(INDEX(ERP資料!$A:$A, (MATCH(661, 輔助計算!$G$2:$G$801, 0)+1)), "")&lt;&gt;IFERROR(INDEX(ERP資料!$A:$A, MATCH(660, 輔助計算!$G$2:$G$801, 0)+1), "")), IFERROR(INDEX(ERP資料!$A:$A, (MATCH(661, 輔助計算!$G$2:$G$801, 0)+1)), ""), ""), "")</f>
        <v/>
      </c>
      <c r="B662" s="10">
        <f>IFERROR(IF(AND(IFERROR(INDEX(ERP資料!$A:$A, (MATCH(661, 輔助計算!$G$2:$G$801, 0)+1)), "")&lt;&gt;"", IFERROR(INDEX(ERP資料!$A:$A, (MATCH(661, 輔助計算!$G$2:$G$801, 0)+1)), "")&lt;&gt;IFERROR(INDEX(ERP資料!$A:$A, MATCH(660, 輔助計算!$G$2:$G$801, 0)+1), "")), INDEX(ERP資料!$S:$S, (MATCH(661, 輔助計算!$G$2:$G$801, 0)+1)), ""), "")</f>
        <v/>
      </c>
      <c r="C662" s="19">
        <f>IFERROR(IF(AND(IFERROR(INDEX(ERP資料!$A:$A, (MATCH(661, 輔助計算!$G$2:$G$801, 0)+1)), "")&lt;&gt;"", IFERROR(INDEX(ERP資料!$A:$A, (MATCH(661, 輔助計算!$G$2:$G$801, 0)+1)), "")&lt;&gt;IFERROR(INDEX(ERP資料!$A:$A, MATCH(660, 輔助計算!$G$2:$G$801, 0)+1), "")), IFERROR(VLOOKUP(LEFT(INDEX(ERP資料!$S:$S, (MATCH(661, 輔助計算!$G$2:$G$801, 0)+1)), 4), 紙管對照表!$A:$C, 3, FALSE), ""), ""), "")</f>
        <v/>
      </c>
      <c r="D662" s="16" t="n"/>
      <c r="E662" s="10">
        <f>IFERROR(IF(INDEX(ERP資料!$H:$H, (MATCH(661, 輔助計算!$G$2:$G$801, 0)+1))="","",INDEX(ERP資料!$H:$H, (MATCH(661, 輔助計算!$G$2:$G$801, 0)+1))), "")</f>
        <v/>
      </c>
      <c r="F662" s="10">
        <f>IFERROR(IF(INDEX(ERP資料!$E:$E, (MATCH(661, 輔助計算!$G$2:$G$801, 0)+1))="","",TRIM(INDEX(ERP資料!$E:$E, (MATCH(661, 輔助計算!$G$2:$G$801, 0)+1)))), "")</f>
        <v/>
      </c>
      <c r="G662" s="10">
        <f>IFERROR(IF(INDEX(ERP資料!$F:$F, (MATCH(661, 輔助計算!$G$2:$G$801, 0)+1))="","",INDEX(ERP資料!$F:$F, (MATCH(661, 輔助計算!$G$2:$G$801, 0)+1))), "")</f>
        <v/>
      </c>
      <c r="H662" s="10">
        <f>IFERROR(IF(INDEX(ERP資料!$G:$G, (MATCH(661, 輔助計算!$G$2:$G$801, 0)+1))="","",INDEX(ERP資料!$G:$G, (MATCH(661, 輔助計算!$G$2:$G$801, 0)+1))), "")</f>
        <v/>
      </c>
      <c r="I662" s="15">
        <f>IFERROR(INDEX(輔助計算!$D:$D, (MATCH(661, 輔助計算!$G$2:$G$801, 0)+1)), "")</f>
        <v/>
      </c>
      <c r="J662" s="15">
        <f>IFERROR(IF(AND(INDEX(輔助計算!$D:$D, (MATCH(661, 輔助計算!$G$2:$G$801, 0)+1))&lt;&gt;"", INDEX(ERP資料!$G:$G, (MATCH(661, 輔助計算!$G$2:$G$801, 0)+1))&lt;&gt;""), TRIM(IF(INT(INDEX(輔助計算!$D:$D, (MATCH(661, 輔助計算!$G$2:$G$801, 0)+1))/IF(INDEX(ERP資料!$G:$G, (MATCH(661, 輔助計算!$G$2:$G$801, 0)+1))&lt;100, IF(INDEX(ERP資料!$G:$G, (MATCH(661, 輔助計算!$G$2:$G$801, 0)+1))&lt;=31,3,IF(INDEX(ERP資料!$G:$G, (MATCH(661, 輔助計算!$G$2:$G$801, 0)+1))&lt;=46.5,2,1)), IF(INDEX(ERP資料!$G:$G, (MATCH(661, 輔助計算!$G$2:$G$801, 0)+1))&lt;=790,3,IF(INDEX(ERP資料!$G:$G, (MATCH(661, 輔助計算!$G$2:$G$801, 0)+1))&lt;=1181,2,1))))&gt;0, IF(IF(INDEX(ERP資料!$G:$G, (MATCH(661, 輔助計算!$G$2:$G$801, 0)+1))&lt;100, IF(INDEX(ERP資料!$G:$G, (MATCH(661, 輔助計算!$G$2:$G$801, 0)+1))&lt;=31,3,IF(INDEX(ERP資料!$G:$G, (MATCH(661, 輔助計算!$G$2:$G$801, 0)+1))&lt;=46.5,2,1)), IF(INDEX(ERP資料!$G:$G, (MATCH(661, 輔助計算!$G$2:$G$801, 0)+1))&lt;=790,3,IF(INDEX(ERP資料!$G:$G, (MATCH(661, 輔助計算!$G$2:$G$801, 0)+1))&lt;=1181,2,1)))=1,TEXT(INDEX(ERP資料!$G:$G, (MATCH(661, 輔助計算!$G$2:$G$801, 0)+1)),"0.##"),IF(IF(INDEX(ERP資料!$G:$G, (MATCH(661, 輔助計算!$G$2:$G$801, 0)+1))&lt;100, IF(INDEX(ERP資料!$G:$G, (MATCH(661, 輔助計算!$G$2:$G$801, 0)+1))&lt;=31,3,IF(INDEX(ERP資料!$G:$G, (MATCH(661, 輔助計算!$G$2:$G$801, 0)+1))&lt;=46.5,2,1)), IF(INDEX(ERP資料!$G:$G, (MATCH(661, 輔助計算!$G$2:$G$801, 0)+1))&lt;=790,3,IF(INDEX(ERP資料!$G:$G, (MATCH(661, 輔助計算!$G$2:$G$801, 0)+1))&lt;=1181,2,1)))=2,TEXT(INDEX(ERP資料!$G:$G, (MATCH(661, 輔助計算!$G$2:$G$801, 0)+1)),"0.##")&amp;"+"&amp;TEXT(INDEX(ERP資料!$G:$G, (MATCH(661, 輔助計算!$G$2:$G$801, 0)+1)),"0.##"),TEXT(INDEX(ERP資料!$G:$G, (MATCH(661, 輔助計算!$G$2:$G$801, 0)+1)),"0.##")&amp;"+"&amp;TEXT(INDEX(ERP資料!$G:$G, (MATCH(661, 輔助計算!$G$2:$G$801, 0)+1)),"0.##")&amp;"+"&amp;TEXT(INDEX(ERP資料!$G:$G, (MATCH(661, 輔助計算!$G$2:$G$801, 0)+1)),"0.##")))&amp;"-"&amp;INT(INDEX(輔助計算!$D:$D, (MATCH(661, 輔助計算!$G$2:$G$801, 0)+1))/IF(INDEX(ERP資料!$G:$G, (MATCH(661, 輔助計算!$G$2:$G$801, 0)+1))&lt;100, IF(INDEX(ERP資料!$G:$G, (MATCH(661, 輔助計算!$G$2:$G$801, 0)+1))&lt;=31,3,IF(INDEX(ERP資料!$G:$G, (MATCH(661, 輔助計算!$G$2:$G$801, 0)+1))&lt;=46.5,2,1)), IF(INDEX(ERP資料!$G:$G, (MATCH(661, 輔助計算!$G$2:$G$801, 0)+1))&lt;=790,3,IF(INDEX(ERP資料!$G:$G, (MATCH(661, 輔助計算!$G$2:$G$801, 0)+1))&lt;=1181,2,1)))), "")&amp;IF(AND(IF(INT(INDEX(輔助計算!$D:$D, (MATCH(661, 輔助計算!$G$2:$G$801, 0)+1))/IF(INDEX(ERP資料!$G:$G, (MATCH(661, 輔助計算!$G$2:$G$801, 0)+1))&lt;100, IF(INDEX(ERP資料!$G:$G, (MATCH(661, 輔助計算!$G$2:$G$801, 0)+1))&lt;=31,3,IF(INDEX(ERP資料!$G:$G, (MATCH(661, 輔助計算!$G$2:$G$801, 0)+1))&lt;=46.5,2,1)), IF(INDEX(ERP資料!$G:$G, (MATCH(661, 輔助計算!$G$2:$G$801, 0)+1))&lt;=790,3,IF(INDEX(ERP資料!$G:$G, (MATCH(661, 輔助計算!$G$2:$G$801, 0)+1))&lt;=1181,2,1))))&gt;0, IF(IF(INDEX(ERP資料!$G:$G, (MATCH(661, 輔助計算!$G$2:$G$801, 0)+1))&lt;100, IF(INDEX(ERP資料!$G:$G, (MATCH(661, 輔助計算!$G$2:$G$801, 0)+1))&lt;=31,3,IF(INDEX(ERP資料!$G:$G, (MATCH(661, 輔助計算!$G$2:$G$801, 0)+1))&lt;=46.5,2,1)), IF(INDEX(ERP資料!$G:$G, (MATCH(661, 輔助計算!$G$2:$G$801, 0)+1))&lt;=790,3,IF(INDEX(ERP資料!$G:$G, (MATCH(661, 輔助計算!$G$2:$G$801, 0)+1))&lt;=1181,2,1)))=1,TEXT(INDEX(ERP資料!$G:$G, (MATCH(661, 輔助計算!$G$2:$G$801, 0)+1)),"0.##"),IF(IF(INDEX(ERP資料!$G:$G, (MATCH(661, 輔助計算!$G$2:$G$801, 0)+1))&lt;100, IF(INDEX(ERP資料!$G:$G, (MATCH(661, 輔助計算!$G$2:$G$801, 0)+1))&lt;=31,3,IF(INDEX(ERP資料!$G:$G, (MATCH(661, 輔助計算!$G$2:$G$801, 0)+1))&lt;=46.5,2,1)), IF(INDEX(ERP資料!$G:$G, (MATCH(661, 輔助計算!$G$2:$G$801, 0)+1))&lt;=790,3,IF(INDEX(ERP資料!$G:$G, (MATCH(661, 輔助計算!$G$2:$G$801, 0)+1))&lt;=1181,2,1)))=2,TEXT(INDEX(ERP資料!$G:$G, (MATCH(661, 輔助計算!$G$2:$G$801, 0)+1)),"0.##")&amp;"+"&amp;TEXT(INDEX(ERP資料!$G:$G, (MATCH(661, 輔助計算!$G$2:$G$801, 0)+1)),"0.##"),TEXT(INDEX(ERP資料!$G:$G, (MATCH(661, 輔助計算!$G$2:$G$801, 0)+1)),"0.##")&amp;"+"&amp;TEXT(INDEX(ERP資料!$G:$G, (MATCH(661, 輔助計算!$G$2:$G$801, 0)+1)),"0.##")&amp;"+"&amp;TEXT(INDEX(ERP資料!$G:$G, (MATCH(661, 輔助計算!$G$2:$G$801, 0)+1)),"0.##")))&amp;"-"&amp;INT(INDEX(輔助計算!$D:$D, (MATCH(661, 輔助計算!$G$2:$G$801, 0)+1))/IF(INDEX(ERP資料!$G:$G, (MATCH(661, 輔助計算!$G$2:$G$801, 0)+1))&lt;100, IF(INDEX(ERP資料!$G:$G, (MATCH(661, 輔助計算!$G$2:$G$801, 0)+1))&lt;=31,3,IF(INDEX(ERP資料!$G:$G, (MATCH(661, 輔助計算!$G$2:$G$801, 0)+1))&lt;=46.5,2,1)), IF(INDEX(ERP資料!$G:$G, (MATCH(661, 輔助計算!$G$2:$G$801, 0)+1))&lt;=790,3,IF(INDEX(ERP資料!$G:$G, (MATCH(661, 輔助計算!$G$2:$G$801, 0)+1))&lt;=1181,2,1)))), "")&lt;&gt;"",IF(MOD(INDEX(輔助計算!$D:$D, (MATCH(661, 輔助計算!$G$2:$G$801, 0)+1)),IF(INDEX(ERP資料!$G:$G, (MATCH(661, 輔助計算!$G$2:$G$801, 0)+1))&lt;100, IF(INDEX(ERP資料!$G:$G, (MATCH(661, 輔助計算!$G$2:$G$801, 0)+1))&lt;=31,3,IF(INDEX(ERP資料!$G:$G, (MATCH(661, 輔助計算!$G$2:$G$801, 0)+1))&lt;=46.5,2,1)), IF(INDEX(ERP資料!$G:$G, (MATCH(661, 輔助計算!$G$2:$G$801, 0)+1))&lt;=790,3,IF(INDEX(ERP資料!$G:$G, (MATCH(661, 輔助計算!$G$2:$G$801, 0)+1))&lt;=1181,2,1))))=0,"",IF(MOD(INDEX(輔助計算!$D:$D, (MATCH(661, 輔助計算!$G$2:$G$801, 0)+1)),IF(INDEX(ERP資料!$G:$G, (MATCH(661, 輔助計算!$G$2:$G$801, 0)+1))&lt;100, IF(INDEX(ERP資料!$G:$G, (MATCH(661, 輔助計算!$G$2:$G$801, 0)+1))&lt;=31,3,IF(INDEX(ERP資料!$G:$G, (MATCH(661, 輔助計算!$G$2:$G$801, 0)+1))&lt;=46.5,2,1)), IF(INDEX(ERP資料!$G:$G, (MATCH(661, 輔助計算!$G$2:$G$801, 0)+1))&lt;=790,3,IF(INDEX(ERP資料!$G:$G, (MATCH(661, 輔助計算!$G$2:$G$801, 0)+1))&lt;=1181,2,1))))=0,"",IF(MOD(INDEX(輔助計算!$D:$D, (MATCH(661, 輔助計算!$G$2:$G$801, 0)+1)),IF(INDEX(ERP資料!$G:$G, (MATCH(661, 輔助計算!$G$2:$G$801, 0)+1))&lt;100, IF(INDEX(ERP資料!$G:$G, (MATCH(661, 輔助計算!$G$2:$G$801, 0)+1))&lt;=31,3,IF(INDEX(ERP資料!$G:$G, (MATCH(661, 輔助計算!$G$2:$G$801, 0)+1))&lt;=46.5,2,1)), IF(INDEX(ERP資料!$G:$G, (MATCH(661, 輔助計算!$G$2:$G$801, 0)+1))&lt;=790,3,IF(INDEX(ERP資料!$G:$G, (MATCH(661, 輔助計算!$G$2:$G$801, 0)+1))&lt;=1181,2,1))))=1,TEXT(INDEX(ERP資料!$G:$G, (MATCH(661, 輔助計算!$G$2:$G$801, 0)+1)),"0.##"),IF(MOD(INDEX(輔助計算!$D:$D, (MATCH(661, 輔助計算!$G$2:$G$801, 0)+1)),IF(INDEX(ERP資料!$G:$G, (MATCH(661, 輔助計算!$G$2:$G$801, 0)+1))&lt;100, IF(INDEX(ERP資料!$G:$G, (MATCH(661, 輔助計算!$G$2:$G$801, 0)+1))&lt;=31,3,IF(INDEX(ERP資料!$G:$G, (MATCH(661, 輔助計算!$G$2:$G$801, 0)+1))&lt;=46.5,2,1)), IF(INDEX(ERP資料!$G:$G, (MATCH(661, 輔助計算!$G$2:$G$801, 0)+1))&lt;=790,3,IF(INDEX(ERP資料!$G:$G, (MATCH(661, 輔助計算!$G$2:$G$801, 0)+1))&lt;=1181,2,1))))=2,TEXT(INDEX(ERP資料!$G:$G, (MATCH(661, 輔助計算!$G$2:$G$801, 0)+1)),"0.##")&amp;"+"&amp;TEXT(INDEX(ERP資料!$G:$G, (MATCH(661, 輔助計算!$G$2:$G$801, 0)+1)),"0.##"),TEXT(INDEX(ERP資料!$G:$G, (MATCH(661, 輔助計算!$G$2:$G$801, 0)+1)),"0.##")&amp;"+"&amp;TEXT(INDEX(ERP資料!$G:$G, (MATCH(661, 輔助計算!$G$2:$G$801, 0)+1)),"0.##")&amp;"+"&amp;TEXT(INDEX(ERP資料!$G:$G, (MATCH(661, 輔助計算!$G$2:$G$801, 0)+1)),"0.##"))))&amp;"-1")&lt;&gt;""),"  ","")&amp;IF(MOD(INDEX(輔助計算!$D:$D, (MATCH(661, 輔助計算!$G$2:$G$801, 0)+1)),IF(INDEX(ERP資料!$G:$G, (MATCH(661, 輔助計算!$G$2:$G$801, 0)+1))&lt;100, IF(INDEX(ERP資料!$G:$G, (MATCH(661, 輔助計算!$G$2:$G$801, 0)+1))&lt;=31,3,IF(INDEX(ERP資料!$G:$G, (MATCH(661, 輔助計算!$G$2:$G$801, 0)+1))&lt;=46.5,2,1)), IF(INDEX(ERP資料!$G:$G, (MATCH(661, 輔助計算!$G$2:$G$801, 0)+1))&lt;=790,3,IF(INDEX(ERP資料!$G:$G, (MATCH(661, 輔助計算!$G$2:$G$801, 0)+1))&lt;=1181,2,1))))=0,"",IF(MOD(INDEX(輔助計算!$D:$D, (MATCH(661, 輔助計算!$G$2:$G$801, 0)+1)),IF(INDEX(ERP資料!$G:$G, (MATCH(661, 輔助計算!$G$2:$G$801, 0)+1))&lt;100, IF(INDEX(ERP資料!$G:$G, (MATCH(661, 輔助計算!$G$2:$G$801, 0)+1))&lt;=31,3,IF(INDEX(ERP資料!$G:$G, (MATCH(661, 輔助計算!$G$2:$G$801, 0)+1))&lt;=46.5,2,1)), IF(INDEX(ERP資料!$G:$G, (MATCH(661, 輔助計算!$G$2:$G$801, 0)+1))&lt;=790,3,IF(INDEX(ERP資料!$G:$G, (MATCH(661, 輔助計算!$G$2:$G$801, 0)+1))&lt;=1181,2,1))))=0,"",IF(MOD(INDEX(輔助計算!$D:$D, (MATCH(661, 輔助計算!$G$2:$G$801, 0)+1)),IF(INDEX(ERP資料!$G:$G, (MATCH(661, 輔助計算!$G$2:$G$801, 0)+1))&lt;100, IF(INDEX(ERP資料!$G:$G, (MATCH(661, 輔助計算!$G$2:$G$801, 0)+1))&lt;=31,3,IF(INDEX(ERP資料!$G:$G, (MATCH(661, 輔助計算!$G$2:$G$801, 0)+1))&lt;=46.5,2,1)), IF(INDEX(ERP資料!$G:$G, (MATCH(661, 輔助計算!$G$2:$G$801, 0)+1))&lt;=790,3,IF(INDEX(ERP資料!$G:$G, (MATCH(661, 輔助計算!$G$2:$G$801, 0)+1))&lt;=1181,2,1))))=1,TEXT(INDEX(ERP資料!$G:$G, (MATCH(661, 輔助計算!$G$2:$G$801, 0)+1)),"0.##"),IF(MOD(INDEX(輔助計算!$D:$D, (MATCH(661, 輔助計算!$G$2:$G$801, 0)+1)),IF(INDEX(ERP資料!$G:$G, (MATCH(661, 輔助計算!$G$2:$G$801, 0)+1))&lt;100, IF(INDEX(ERP資料!$G:$G, (MATCH(661, 輔助計算!$G$2:$G$801, 0)+1))&lt;=31,3,IF(INDEX(ERP資料!$G:$G, (MATCH(661, 輔助計算!$G$2:$G$801, 0)+1))&lt;=46.5,2,1)), IF(INDEX(ERP資料!$G:$G, (MATCH(661, 輔助計算!$G$2:$G$801, 0)+1))&lt;=790,3,IF(INDEX(ERP資料!$G:$G, (MATCH(661, 輔助計算!$G$2:$G$801, 0)+1))&lt;=1181,2,1))))=2,TEXT(INDEX(ERP資料!$G:$G, (MATCH(661, 輔助計算!$G$2:$G$801, 0)+1)),"0.##")&amp;"+"&amp;TEXT(INDEX(ERP資料!$G:$G, (MATCH(661, 輔助計算!$G$2:$G$801, 0)+1)),"0.##"),TEXT(INDEX(ERP資料!$G:$G, (MATCH(661, 輔助計算!$G$2:$G$801, 0)+1)),"0.##")&amp;"+"&amp;TEXT(INDEX(ERP資料!$G:$G, (MATCH(661, 輔助計算!$G$2:$G$801, 0)+1)),"0.##")&amp;"+"&amp;TEXT(INDEX(ERP資料!$G:$G, (MATCH(661, 輔助計算!$G$2:$G$801, 0)+1)),"0.##"))))&amp;"-1")), ""), "")</f>
        <v/>
      </c>
      <c r="K662" s="16" t="n"/>
      <c r="L662" s="14">
        <f>IFERROR(IF(AND(IFERROR(INDEX(ERP資料!$A:$A, (MATCH(661, 輔助計算!$G$2:$G$801, 0)+1)), "")&lt;&gt;"", IFERROR(INDEX(ERP資料!$A:$A, (MATCH(661, 輔助計算!$G$2:$G$801, 0)+1)), "")&lt;&gt;IFERROR(INDEX(ERP資料!$A:$A, MATCH(660, 輔助計算!$G$2:$G$801, 0)+1), "")), INDEX(ERP資料!$B:$B, (MATCH(661, 輔助計算!$G$2:$G$801, 0)+1)), ""), "")</f>
        <v/>
      </c>
      <c r="M662" s="17" t="n"/>
    </row>
    <row r="663">
      <c r="A663" s="10">
        <f>IFERROR(IF(AND(IFERROR(INDEX(ERP資料!$A:$A, (MATCH(662, 輔助計算!$G$2:$G$801, 0)+1)), "")&lt;&gt;"", IFERROR(INDEX(ERP資料!$A:$A, (MATCH(662, 輔助計算!$G$2:$G$801, 0)+1)), "")&lt;&gt;IFERROR(INDEX(ERP資料!$A:$A, MATCH(661, 輔助計算!$G$2:$G$801, 0)+1), "")), IFERROR(INDEX(ERP資料!$A:$A, (MATCH(662, 輔助計算!$G$2:$G$801, 0)+1)), ""), ""), "")</f>
        <v/>
      </c>
      <c r="B663" s="10">
        <f>IFERROR(IF(AND(IFERROR(INDEX(ERP資料!$A:$A, (MATCH(662, 輔助計算!$G$2:$G$801, 0)+1)), "")&lt;&gt;"", IFERROR(INDEX(ERP資料!$A:$A, (MATCH(662, 輔助計算!$G$2:$G$801, 0)+1)), "")&lt;&gt;IFERROR(INDEX(ERP資料!$A:$A, MATCH(661, 輔助計算!$G$2:$G$801, 0)+1), "")), INDEX(ERP資料!$S:$S, (MATCH(662, 輔助計算!$G$2:$G$801, 0)+1)), ""), "")</f>
        <v/>
      </c>
      <c r="C663" s="19">
        <f>IFERROR(IF(AND(IFERROR(INDEX(ERP資料!$A:$A, (MATCH(662, 輔助計算!$G$2:$G$801, 0)+1)), "")&lt;&gt;"", IFERROR(INDEX(ERP資料!$A:$A, (MATCH(662, 輔助計算!$G$2:$G$801, 0)+1)), "")&lt;&gt;IFERROR(INDEX(ERP資料!$A:$A, MATCH(661, 輔助計算!$G$2:$G$801, 0)+1), "")), IFERROR(VLOOKUP(LEFT(INDEX(ERP資料!$S:$S, (MATCH(662, 輔助計算!$G$2:$G$801, 0)+1)), 4), 紙管對照表!$A:$C, 3, FALSE), ""), ""), "")</f>
        <v/>
      </c>
      <c r="D663" s="16" t="n"/>
      <c r="E663" s="10">
        <f>IFERROR(IF(INDEX(ERP資料!$H:$H, (MATCH(662, 輔助計算!$G$2:$G$801, 0)+1))="","",INDEX(ERP資料!$H:$H, (MATCH(662, 輔助計算!$G$2:$G$801, 0)+1))), "")</f>
        <v/>
      </c>
      <c r="F663" s="10">
        <f>IFERROR(IF(INDEX(ERP資料!$E:$E, (MATCH(662, 輔助計算!$G$2:$G$801, 0)+1))="","",TRIM(INDEX(ERP資料!$E:$E, (MATCH(662, 輔助計算!$G$2:$G$801, 0)+1)))), "")</f>
        <v/>
      </c>
      <c r="G663" s="10">
        <f>IFERROR(IF(INDEX(ERP資料!$F:$F, (MATCH(662, 輔助計算!$G$2:$G$801, 0)+1))="","",INDEX(ERP資料!$F:$F, (MATCH(662, 輔助計算!$G$2:$G$801, 0)+1))), "")</f>
        <v/>
      </c>
      <c r="H663" s="10">
        <f>IFERROR(IF(INDEX(ERP資料!$G:$G, (MATCH(662, 輔助計算!$G$2:$G$801, 0)+1))="","",INDEX(ERP資料!$G:$G, (MATCH(662, 輔助計算!$G$2:$G$801, 0)+1))), "")</f>
        <v/>
      </c>
      <c r="I663" s="15">
        <f>IFERROR(INDEX(輔助計算!$D:$D, (MATCH(662, 輔助計算!$G$2:$G$801, 0)+1)), "")</f>
        <v/>
      </c>
      <c r="J663" s="15">
        <f>IFERROR(IF(AND(INDEX(輔助計算!$D:$D, (MATCH(662, 輔助計算!$G$2:$G$801, 0)+1))&lt;&gt;"", INDEX(ERP資料!$G:$G, (MATCH(662, 輔助計算!$G$2:$G$801, 0)+1))&lt;&gt;""), TRIM(IF(INT(INDEX(輔助計算!$D:$D, (MATCH(662, 輔助計算!$G$2:$G$801, 0)+1))/IF(INDEX(ERP資料!$G:$G, (MATCH(662, 輔助計算!$G$2:$G$801, 0)+1))&lt;100, IF(INDEX(ERP資料!$G:$G, (MATCH(662, 輔助計算!$G$2:$G$801, 0)+1))&lt;=31,3,IF(INDEX(ERP資料!$G:$G, (MATCH(662, 輔助計算!$G$2:$G$801, 0)+1))&lt;=46.5,2,1)), IF(INDEX(ERP資料!$G:$G, (MATCH(662, 輔助計算!$G$2:$G$801, 0)+1))&lt;=790,3,IF(INDEX(ERP資料!$G:$G, (MATCH(662, 輔助計算!$G$2:$G$801, 0)+1))&lt;=1181,2,1))))&gt;0, IF(IF(INDEX(ERP資料!$G:$G, (MATCH(662, 輔助計算!$G$2:$G$801, 0)+1))&lt;100, IF(INDEX(ERP資料!$G:$G, (MATCH(662, 輔助計算!$G$2:$G$801, 0)+1))&lt;=31,3,IF(INDEX(ERP資料!$G:$G, (MATCH(662, 輔助計算!$G$2:$G$801, 0)+1))&lt;=46.5,2,1)), IF(INDEX(ERP資料!$G:$G, (MATCH(662, 輔助計算!$G$2:$G$801, 0)+1))&lt;=790,3,IF(INDEX(ERP資料!$G:$G, (MATCH(662, 輔助計算!$G$2:$G$801, 0)+1))&lt;=1181,2,1)))=1,TEXT(INDEX(ERP資料!$G:$G, (MATCH(662, 輔助計算!$G$2:$G$801, 0)+1)),"0.##"),IF(IF(INDEX(ERP資料!$G:$G, (MATCH(662, 輔助計算!$G$2:$G$801, 0)+1))&lt;100, IF(INDEX(ERP資料!$G:$G, (MATCH(662, 輔助計算!$G$2:$G$801, 0)+1))&lt;=31,3,IF(INDEX(ERP資料!$G:$G, (MATCH(662, 輔助計算!$G$2:$G$801, 0)+1))&lt;=46.5,2,1)), IF(INDEX(ERP資料!$G:$G, (MATCH(662, 輔助計算!$G$2:$G$801, 0)+1))&lt;=790,3,IF(INDEX(ERP資料!$G:$G, (MATCH(662, 輔助計算!$G$2:$G$801, 0)+1))&lt;=1181,2,1)))=2,TEXT(INDEX(ERP資料!$G:$G, (MATCH(662, 輔助計算!$G$2:$G$801, 0)+1)),"0.##")&amp;"+"&amp;TEXT(INDEX(ERP資料!$G:$G, (MATCH(662, 輔助計算!$G$2:$G$801, 0)+1)),"0.##"),TEXT(INDEX(ERP資料!$G:$G, (MATCH(662, 輔助計算!$G$2:$G$801, 0)+1)),"0.##")&amp;"+"&amp;TEXT(INDEX(ERP資料!$G:$G, (MATCH(662, 輔助計算!$G$2:$G$801, 0)+1)),"0.##")&amp;"+"&amp;TEXT(INDEX(ERP資料!$G:$G, (MATCH(662, 輔助計算!$G$2:$G$801, 0)+1)),"0.##")))&amp;"-"&amp;INT(INDEX(輔助計算!$D:$D, (MATCH(662, 輔助計算!$G$2:$G$801, 0)+1))/IF(INDEX(ERP資料!$G:$G, (MATCH(662, 輔助計算!$G$2:$G$801, 0)+1))&lt;100, IF(INDEX(ERP資料!$G:$G, (MATCH(662, 輔助計算!$G$2:$G$801, 0)+1))&lt;=31,3,IF(INDEX(ERP資料!$G:$G, (MATCH(662, 輔助計算!$G$2:$G$801, 0)+1))&lt;=46.5,2,1)), IF(INDEX(ERP資料!$G:$G, (MATCH(662, 輔助計算!$G$2:$G$801, 0)+1))&lt;=790,3,IF(INDEX(ERP資料!$G:$G, (MATCH(662, 輔助計算!$G$2:$G$801, 0)+1))&lt;=1181,2,1)))), "")&amp;IF(AND(IF(INT(INDEX(輔助計算!$D:$D, (MATCH(662, 輔助計算!$G$2:$G$801, 0)+1))/IF(INDEX(ERP資料!$G:$G, (MATCH(662, 輔助計算!$G$2:$G$801, 0)+1))&lt;100, IF(INDEX(ERP資料!$G:$G, (MATCH(662, 輔助計算!$G$2:$G$801, 0)+1))&lt;=31,3,IF(INDEX(ERP資料!$G:$G, (MATCH(662, 輔助計算!$G$2:$G$801, 0)+1))&lt;=46.5,2,1)), IF(INDEX(ERP資料!$G:$G, (MATCH(662, 輔助計算!$G$2:$G$801, 0)+1))&lt;=790,3,IF(INDEX(ERP資料!$G:$G, (MATCH(662, 輔助計算!$G$2:$G$801, 0)+1))&lt;=1181,2,1))))&gt;0, IF(IF(INDEX(ERP資料!$G:$G, (MATCH(662, 輔助計算!$G$2:$G$801, 0)+1))&lt;100, IF(INDEX(ERP資料!$G:$G, (MATCH(662, 輔助計算!$G$2:$G$801, 0)+1))&lt;=31,3,IF(INDEX(ERP資料!$G:$G, (MATCH(662, 輔助計算!$G$2:$G$801, 0)+1))&lt;=46.5,2,1)), IF(INDEX(ERP資料!$G:$G, (MATCH(662, 輔助計算!$G$2:$G$801, 0)+1))&lt;=790,3,IF(INDEX(ERP資料!$G:$G, (MATCH(662, 輔助計算!$G$2:$G$801, 0)+1))&lt;=1181,2,1)))=1,TEXT(INDEX(ERP資料!$G:$G, (MATCH(662, 輔助計算!$G$2:$G$801, 0)+1)),"0.##"),IF(IF(INDEX(ERP資料!$G:$G, (MATCH(662, 輔助計算!$G$2:$G$801, 0)+1))&lt;100, IF(INDEX(ERP資料!$G:$G, (MATCH(662, 輔助計算!$G$2:$G$801, 0)+1))&lt;=31,3,IF(INDEX(ERP資料!$G:$G, (MATCH(662, 輔助計算!$G$2:$G$801, 0)+1))&lt;=46.5,2,1)), IF(INDEX(ERP資料!$G:$G, (MATCH(662, 輔助計算!$G$2:$G$801, 0)+1))&lt;=790,3,IF(INDEX(ERP資料!$G:$G, (MATCH(662, 輔助計算!$G$2:$G$801, 0)+1))&lt;=1181,2,1)))=2,TEXT(INDEX(ERP資料!$G:$G, (MATCH(662, 輔助計算!$G$2:$G$801, 0)+1)),"0.##")&amp;"+"&amp;TEXT(INDEX(ERP資料!$G:$G, (MATCH(662, 輔助計算!$G$2:$G$801, 0)+1)),"0.##"),TEXT(INDEX(ERP資料!$G:$G, (MATCH(662, 輔助計算!$G$2:$G$801, 0)+1)),"0.##")&amp;"+"&amp;TEXT(INDEX(ERP資料!$G:$G, (MATCH(662, 輔助計算!$G$2:$G$801, 0)+1)),"0.##")&amp;"+"&amp;TEXT(INDEX(ERP資料!$G:$G, (MATCH(662, 輔助計算!$G$2:$G$801, 0)+1)),"0.##")))&amp;"-"&amp;INT(INDEX(輔助計算!$D:$D, (MATCH(662, 輔助計算!$G$2:$G$801, 0)+1))/IF(INDEX(ERP資料!$G:$G, (MATCH(662, 輔助計算!$G$2:$G$801, 0)+1))&lt;100, IF(INDEX(ERP資料!$G:$G, (MATCH(662, 輔助計算!$G$2:$G$801, 0)+1))&lt;=31,3,IF(INDEX(ERP資料!$G:$G, (MATCH(662, 輔助計算!$G$2:$G$801, 0)+1))&lt;=46.5,2,1)), IF(INDEX(ERP資料!$G:$G, (MATCH(662, 輔助計算!$G$2:$G$801, 0)+1))&lt;=790,3,IF(INDEX(ERP資料!$G:$G, (MATCH(662, 輔助計算!$G$2:$G$801, 0)+1))&lt;=1181,2,1)))), "")&lt;&gt;"",IF(MOD(INDEX(輔助計算!$D:$D, (MATCH(662, 輔助計算!$G$2:$G$801, 0)+1)),IF(INDEX(ERP資料!$G:$G, (MATCH(662, 輔助計算!$G$2:$G$801, 0)+1))&lt;100, IF(INDEX(ERP資料!$G:$G, (MATCH(662, 輔助計算!$G$2:$G$801, 0)+1))&lt;=31,3,IF(INDEX(ERP資料!$G:$G, (MATCH(662, 輔助計算!$G$2:$G$801, 0)+1))&lt;=46.5,2,1)), IF(INDEX(ERP資料!$G:$G, (MATCH(662, 輔助計算!$G$2:$G$801, 0)+1))&lt;=790,3,IF(INDEX(ERP資料!$G:$G, (MATCH(662, 輔助計算!$G$2:$G$801, 0)+1))&lt;=1181,2,1))))=0,"",IF(MOD(INDEX(輔助計算!$D:$D, (MATCH(662, 輔助計算!$G$2:$G$801, 0)+1)),IF(INDEX(ERP資料!$G:$G, (MATCH(662, 輔助計算!$G$2:$G$801, 0)+1))&lt;100, IF(INDEX(ERP資料!$G:$G, (MATCH(662, 輔助計算!$G$2:$G$801, 0)+1))&lt;=31,3,IF(INDEX(ERP資料!$G:$G, (MATCH(662, 輔助計算!$G$2:$G$801, 0)+1))&lt;=46.5,2,1)), IF(INDEX(ERP資料!$G:$G, (MATCH(662, 輔助計算!$G$2:$G$801, 0)+1))&lt;=790,3,IF(INDEX(ERP資料!$G:$G, (MATCH(662, 輔助計算!$G$2:$G$801, 0)+1))&lt;=1181,2,1))))=0,"",IF(MOD(INDEX(輔助計算!$D:$D, (MATCH(662, 輔助計算!$G$2:$G$801, 0)+1)),IF(INDEX(ERP資料!$G:$G, (MATCH(662, 輔助計算!$G$2:$G$801, 0)+1))&lt;100, IF(INDEX(ERP資料!$G:$G, (MATCH(662, 輔助計算!$G$2:$G$801, 0)+1))&lt;=31,3,IF(INDEX(ERP資料!$G:$G, (MATCH(662, 輔助計算!$G$2:$G$801, 0)+1))&lt;=46.5,2,1)), IF(INDEX(ERP資料!$G:$G, (MATCH(662, 輔助計算!$G$2:$G$801, 0)+1))&lt;=790,3,IF(INDEX(ERP資料!$G:$G, (MATCH(662, 輔助計算!$G$2:$G$801, 0)+1))&lt;=1181,2,1))))=1,TEXT(INDEX(ERP資料!$G:$G, (MATCH(662, 輔助計算!$G$2:$G$801, 0)+1)),"0.##"),IF(MOD(INDEX(輔助計算!$D:$D, (MATCH(662, 輔助計算!$G$2:$G$801, 0)+1)),IF(INDEX(ERP資料!$G:$G, (MATCH(662, 輔助計算!$G$2:$G$801, 0)+1))&lt;100, IF(INDEX(ERP資料!$G:$G, (MATCH(662, 輔助計算!$G$2:$G$801, 0)+1))&lt;=31,3,IF(INDEX(ERP資料!$G:$G, (MATCH(662, 輔助計算!$G$2:$G$801, 0)+1))&lt;=46.5,2,1)), IF(INDEX(ERP資料!$G:$G, (MATCH(662, 輔助計算!$G$2:$G$801, 0)+1))&lt;=790,3,IF(INDEX(ERP資料!$G:$G, (MATCH(662, 輔助計算!$G$2:$G$801, 0)+1))&lt;=1181,2,1))))=2,TEXT(INDEX(ERP資料!$G:$G, (MATCH(662, 輔助計算!$G$2:$G$801, 0)+1)),"0.##")&amp;"+"&amp;TEXT(INDEX(ERP資料!$G:$G, (MATCH(662, 輔助計算!$G$2:$G$801, 0)+1)),"0.##"),TEXT(INDEX(ERP資料!$G:$G, (MATCH(662, 輔助計算!$G$2:$G$801, 0)+1)),"0.##")&amp;"+"&amp;TEXT(INDEX(ERP資料!$G:$G, (MATCH(662, 輔助計算!$G$2:$G$801, 0)+1)),"0.##")&amp;"+"&amp;TEXT(INDEX(ERP資料!$G:$G, (MATCH(662, 輔助計算!$G$2:$G$801, 0)+1)),"0.##"))))&amp;"-1")&lt;&gt;""),"  ","")&amp;IF(MOD(INDEX(輔助計算!$D:$D, (MATCH(662, 輔助計算!$G$2:$G$801, 0)+1)),IF(INDEX(ERP資料!$G:$G, (MATCH(662, 輔助計算!$G$2:$G$801, 0)+1))&lt;100, IF(INDEX(ERP資料!$G:$G, (MATCH(662, 輔助計算!$G$2:$G$801, 0)+1))&lt;=31,3,IF(INDEX(ERP資料!$G:$G, (MATCH(662, 輔助計算!$G$2:$G$801, 0)+1))&lt;=46.5,2,1)), IF(INDEX(ERP資料!$G:$G, (MATCH(662, 輔助計算!$G$2:$G$801, 0)+1))&lt;=790,3,IF(INDEX(ERP資料!$G:$G, (MATCH(662, 輔助計算!$G$2:$G$801, 0)+1))&lt;=1181,2,1))))=0,"",IF(MOD(INDEX(輔助計算!$D:$D, (MATCH(662, 輔助計算!$G$2:$G$801, 0)+1)),IF(INDEX(ERP資料!$G:$G, (MATCH(662, 輔助計算!$G$2:$G$801, 0)+1))&lt;100, IF(INDEX(ERP資料!$G:$G, (MATCH(662, 輔助計算!$G$2:$G$801, 0)+1))&lt;=31,3,IF(INDEX(ERP資料!$G:$G, (MATCH(662, 輔助計算!$G$2:$G$801, 0)+1))&lt;=46.5,2,1)), IF(INDEX(ERP資料!$G:$G, (MATCH(662, 輔助計算!$G$2:$G$801, 0)+1))&lt;=790,3,IF(INDEX(ERP資料!$G:$G, (MATCH(662, 輔助計算!$G$2:$G$801, 0)+1))&lt;=1181,2,1))))=0,"",IF(MOD(INDEX(輔助計算!$D:$D, (MATCH(662, 輔助計算!$G$2:$G$801, 0)+1)),IF(INDEX(ERP資料!$G:$G, (MATCH(662, 輔助計算!$G$2:$G$801, 0)+1))&lt;100, IF(INDEX(ERP資料!$G:$G, (MATCH(662, 輔助計算!$G$2:$G$801, 0)+1))&lt;=31,3,IF(INDEX(ERP資料!$G:$G, (MATCH(662, 輔助計算!$G$2:$G$801, 0)+1))&lt;=46.5,2,1)), IF(INDEX(ERP資料!$G:$G, (MATCH(662, 輔助計算!$G$2:$G$801, 0)+1))&lt;=790,3,IF(INDEX(ERP資料!$G:$G, (MATCH(662, 輔助計算!$G$2:$G$801, 0)+1))&lt;=1181,2,1))))=1,TEXT(INDEX(ERP資料!$G:$G, (MATCH(662, 輔助計算!$G$2:$G$801, 0)+1)),"0.##"),IF(MOD(INDEX(輔助計算!$D:$D, (MATCH(662, 輔助計算!$G$2:$G$801, 0)+1)),IF(INDEX(ERP資料!$G:$G, (MATCH(662, 輔助計算!$G$2:$G$801, 0)+1))&lt;100, IF(INDEX(ERP資料!$G:$G, (MATCH(662, 輔助計算!$G$2:$G$801, 0)+1))&lt;=31,3,IF(INDEX(ERP資料!$G:$G, (MATCH(662, 輔助計算!$G$2:$G$801, 0)+1))&lt;=46.5,2,1)), IF(INDEX(ERP資料!$G:$G, (MATCH(662, 輔助計算!$G$2:$G$801, 0)+1))&lt;=790,3,IF(INDEX(ERP資料!$G:$G, (MATCH(662, 輔助計算!$G$2:$G$801, 0)+1))&lt;=1181,2,1))))=2,TEXT(INDEX(ERP資料!$G:$G, (MATCH(662, 輔助計算!$G$2:$G$801, 0)+1)),"0.##")&amp;"+"&amp;TEXT(INDEX(ERP資料!$G:$G, (MATCH(662, 輔助計算!$G$2:$G$801, 0)+1)),"0.##"),TEXT(INDEX(ERP資料!$G:$G, (MATCH(662, 輔助計算!$G$2:$G$801, 0)+1)),"0.##")&amp;"+"&amp;TEXT(INDEX(ERP資料!$G:$G, (MATCH(662, 輔助計算!$G$2:$G$801, 0)+1)),"0.##")&amp;"+"&amp;TEXT(INDEX(ERP資料!$G:$G, (MATCH(662, 輔助計算!$G$2:$G$801, 0)+1)),"0.##"))))&amp;"-1")), ""), "")</f>
        <v/>
      </c>
      <c r="K663" s="16" t="n"/>
      <c r="L663" s="14">
        <f>IFERROR(IF(AND(IFERROR(INDEX(ERP資料!$A:$A, (MATCH(662, 輔助計算!$G$2:$G$801, 0)+1)), "")&lt;&gt;"", IFERROR(INDEX(ERP資料!$A:$A, (MATCH(662, 輔助計算!$G$2:$G$801, 0)+1)), "")&lt;&gt;IFERROR(INDEX(ERP資料!$A:$A, MATCH(661, 輔助計算!$G$2:$G$801, 0)+1), "")), INDEX(ERP資料!$B:$B, (MATCH(662, 輔助計算!$G$2:$G$801, 0)+1)), ""), "")</f>
        <v/>
      </c>
      <c r="M663" s="17" t="n"/>
    </row>
    <row r="664">
      <c r="A664" s="10">
        <f>IFERROR(IF(AND(IFERROR(INDEX(ERP資料!$A:$A, (MATCH(663, 輔助計算!$G$2:$G$801, 0)+1)), "")&lt;&gt;"", IFERROR(INDEX(ERP資料!$A:$A, (MATCH(663, 輔助計算!$G$2:$G$801, 0)+1)), "")&lt;&gt;IFERROR(INDEX(ERP資料!$A:$A, MATCH(662, 輔助計算!$G$2:$G$801, 0)+1), "")), IFERROR(INDEX(ERP資料!$A:$A, (MATCH(663, 輔助計算!$G$2:$G$801, 0)+1)), ""), ""), "")</f>
        <v/>
      </c>
      <c r="B664" s="10">
        <f>IFERROR(IF(AND(IFERROR(INDEX(ERP資料!$A:$A, (MATCH(663, 輔助計算!$G$2:$G$801, 0)+1)), "")&lt;&gt;"", IFERROR(INDEX(ERP資料!$A:$A, (MATCH(663, 輔助計算!$G$2:$G$801, 0)+1)), "")&lt;&gt;IFERROR(INDEX(ERP資料!$A:$A, MATCH(662, 輔助計算!$G$2:$G$801, 0)+1), "")), INDEX(ERP資料!$S:$S, (MATCH(663, 輔助計算!$G$2:$G$801, 0)+1)), ""), "")</f>
        <v/>
      </c>
      <c r="C664" s="19">
        <f>IFERROR(IF(AND(IFERROR(INDEX(ERP資料!$A:$A, (MATCH(663, 輔助計算!$G$2:$G$801, 0)+1)), "")&lt;&gt;"", IFERROR(INDEX(ERP資料!$A:$A, (MATCH(663, 輔助計算!$G$2:$G$801, 0)+1)), "")&lt;&gt;IFERROR(INDEX(ERP資料!$A:$A, MATCH(662, 輔助計算!$G$2:$G$801, 0)+1), "")), IFERROR(VLOOKUP(LEFT(INDEX(ERP資料!$S:$S, (MATCH(663, 輔助計算!$G$2:$G$801, 0)+1)), 4), 紙管對照表!$A:$C, 3, FALSE), ""), ""), "")</f>
        <v/>
      </c>
      <c r="D664" s="16" t="n"/>
      <c r="E664" s="10">
        <f>IFERROR(IF(INDEX(ERP資料!$H:$H, (MATCH(663, 輔助計算!$G$2:$G$801, 0)+1))="","",INDEX(ERP資料!$H:$H, (MATCH(663, 輔助計算!$G$2:$G$801, 0)+1))), "")</f>
        <v/>
      </c>
      <c r="F664" s="10">
        <f>IFERROR(IF(INDEX(ERP資料!$E:$E, (MATCH(663, 輔助計算!$G$2:$G$801, 0)+1))="","",TRIM(INDEX(ERP資料!$E:$E, (MATCH(663, 輔助計算!$G$2:$G$801, 0)+1)))), "")</f>
        <v/>
      </c>
      <c r="G664" s="10">
        <f>IFERROR(IF(INDEX(ERP資料!$F:$F, (MATCH(663, 輔助計算!$G$2:$G$801, 0)+1))="","",INDEX(ERP資料!$F:$F, (MATCH(663, 輔助計算!$G$2:$G$801, 0)+1))), "")</f>
        <v/>
      </c>
      <c r="H664" s="10">
        <f>IFERROR(IF(INDEX(ERP資料!$G:$G, (MATCH(663, 輔助計算!$G$2:$G$801, 0)+1))="","",INDEX(ERP資料!$G:$G, (MATCH(663, 輔助計算!$G$2:$G$801, 0)+1))), "")</f>
        <v/>
      </c>
      <c r="I664" s="15">
        <f>IFERROR(INDEX(輔助計算!$D:$D, (MATCH(663, 輔助計算!$G$2:$G$801, 0)+1)), "")</f>
        <v/>
      </c>
      <c r="J664" s="15">
        <f>IFERROR(IF(AND(INDEX(輔助計算!$D:$D, (MATCH(663, 輔助計算!$G$2:$G$801, 0)+1))&lt;&gt;"", INDEX(ERP資料!$G:$G, (MATCH(663, 輔助計算!$G$2:$G$801, 0)+1))&lt;&gt;""), TRIM(IF(INT(INDEX(輔助計算!$D:$D, (MATCH(663, 輔助計算!$G$2:$G$801, 0)+1))/IF(INDEX(ERP資料!$G:$G, (MATCH(663, 輔助計算!$G$2:$G$801, 0)+1))&lt;100, IF(INDEX(ERP資料!$G:$G, (MATCH(663, 輔助計算!$G$2:$G$801, 0)+1))&lt;=31,3,IF(INDEX(ERP資料!$G:$G, (MATCH(663, 輔助計算!$G$2:$G$801, 0)+1))&lt;=46.5,2,1)), IF(INDEX(ERP資料!$G:$G, (MATCH(663, 輔助計算!$G$2:$G$801, 0)+1))&lt;=790,3,IF(INDEX(ERP資料!$G:$G, (MATCH(663, 輔助計算!$G$2:$G$801, 0)+1))&lt;=1181,2,1))))&gt;0, IF(IF(INDEX(ERP資料!$G:$G, (MATCH(663, 輔助計算!$G$2:$G$801, 0)+1))&lt;100, IF(INDEX(ERP資料!$G:$G, (MATCH(663, 輔助計算!$G$2:$G$801, 0)+1))&lt;=31,3,IF(INDEX(ERP資料!$G:$G, (MATCH(663, 輔助計算!$G$2:$G$801, 0)+1))&lt;=46.5,2,1)), IF(INDEX(ERP資料!$G:$G, (MATCH(663, 輔助計算!$G$2:$G$801, 0)+1))&lt;=790,3,IF(INDEX(ERP資料!$G:$G, (MATCH(663, 輔助計算!$G$2:$G$801, 0)+1))&lt;=1181,2,1)))=1,TEXT(INDEX(ERP資料!$G:$G, (MATCH(663, 輔助計算!$G$2:$G$801, 0)+1)),"0.##"),IF(IF(INDEX(ERP資料!$G:$G, (MATCH(663, 輔助計算!$G$2:$G$801, 0)+1))&lt;100, IF(INDEX(ERP資料!$G:$G, (MATCH(663, 輔助計算!$G$2:$G$801, 0)+1))&lt;=31,3,IF(INDEX(ERP資料!$G:$G, (MATCH(663, 輔助計算!$G$2:$G$801, 0)+1))&lt;=46.5,2,1)), IF(INDEX(ERP資料!$G:$G, (MATCH(663, 輔助計算!$G$2:$G$801, 0)+1))&lt;=790,3,IF(INDEX(ERP資料!$G:$G, (MATCH(663, 輔助計算!$G$2:$G$801, 0)+1))&lt;=1181,2,1)))=2,TEXT(INDEX(ERP資料!$G:$G, (MATCH(663, 輔助計算!$G$2:$G$801, 0)+1)),"0.##")&amp;"+"&amp;TEXT(INDEX(ERP資料!$G:$G, (MATCH(663, 輔助計算!$G$2:$G$801, 0)+1)),"0.##"),TEXT(INDEX(ERP資料!$G:$G, (MATCH(663, 輔助計算!$G$2:$G$801, 0)+1)),"0.##")&amp;"+"&amp;TEXT(INDEX(ERP資料!$G:$G, (MATCH(663, 輔助計算!$G$2:$G$801, 0)+1)),"0.##")&amp;"+"&amp;TEXT(INDEX(ERP資料!$G:$G, (MATCH(663, 輔助計算!$G$2:$G$801, 0)+1)),"0.##")))&amp;"-"&amp;INT(INDEX(輔助計算!$D:$D, (MATCH(663, 輔助計算!$G$2:$G$801, 0)+1))/IF(INDEX(ERP資料!$G:$G, (MATCH(663, 輔助計算!$G$2:$G$801, 0)+1))&lt;100, IF(INDEX(ERP資料!$G:$G, (MATCH(663, 輔助計算!$G$2:$G$801, 0)+1))&lt;=31,3,IF(INDEX(ERP資料!$G:$G, (MATCH(663, 輔助計算!$G$2:$G$801, 0)+1))&lt;=46.5,2,1)), IF(INDEX(ERP資料!$G:$G, (MATCH(663, 輔助計算!$G$2:$G$801, 0)+1))&lt;=790,3,IF(INDEX(ERP資料!$G:$G, (MATCH(663, 輔助計算!$G$2:$G$801, 0)+1))&lt;=1181,2,1)))), "")&amp;IF(AND(IF(INT(INDEX(輔助計算!$D:$D, (MATCH(663, 輔助計算!$G$2:$G$801, 0)+1))/IF(INDEX(ERP資料!$G:$G, (MATCH(663, 輔助計算!$G$2:$G$801, 0)+1))&lt;100, IF(INDEX(ERP資料!$G:$G, (MATCH(663, 輔助計算!$G$2:$G$801, 0)+1))&lt;=31,3,IF(INDEX(ERP資料!$G:$G, (MATCH(663, 輔助計算!$G$2:$G$801, 0)+1))&lt;=46.5,2,1)), IF(INDEX(ERP資料!$G:$G, (MATCH(663, 輔助計算!$G$2:$G$801, 0)+1))&lt;=790,3,IF(INDEX(ERP資料!$G:$G, (MATCH(663, 輔助計算!$G$2:$G$801, 0)+1))&lt;=1181,2,1))))&gt;0, IF(IF(INDEX(ERP資料!$G:$G, (MATCH(663, 輔助計算!$G$2:$G$801, 0)+1))&lt;100, IF(INDEX(ERP資料!$G:$G, (MATCH(663, 輔助計算!$G$2:$G$801, 0)+1))&lt;=31,3,IF(INDEX(ERP資料!$G:$G, (MATCH(663, 輔助計算!$G$2:$G$801, 0)+1))&lt;=46.5,2,1)), IF(INDEX(ERP資料!$G:$G, (MATCH(663, 輔助計算!$G$2:$G$801, 0)+1))&lt;=790,3,IF(INDEX(ERP資料!$G:$G, (MATCH(663, 輔助計算!$G$2:$G$801, 0)+1))&lt;=1181,2,1)))=1,TEXT(INDEX(ERP資料!$G:$G, (MATCH(663, 輔助計算!$G$2:$G$801, 0)+1)),"0.##"),IF(IF(INDEX(ERP資料!$G:$G, (MATCH(663, 輔助計算!$G$2:$G$801, 0)+1))&lt;100, IF(INDEX(ERP資料!$G:$G, (MATCH(663, 輔助計算!$G$2:$G$801, 0)+1))&lt;=31,3,IF(INDEX(ERP資料!$G:$G, (MATCH(663, 輔助計算!$G$2:$G$801, 0)+1))&lt;=46.5,2,1)), IF(INDEX(ERP資料!$G:$G, (MATCH(663, 輔助計算!$G$2:$G$801, 0)+1))&lt;=790,3,IF(INDEX(ERP資料!$G:$G, (MATCH(663, 輔助計算!$G$2:$G$801, 0)+1))&lt;=1181,2,1)))=2,TEXT(INDEX(ERP資料!$G:$G, (MATCH(663, 輔助計算!$G$2:$G$801, 0)+1)),"0.##")&amp;"+"&amp;TEXT(INDEX(ERP資料!$G:$G, (MATCH(663, 輔助計算!$G$2:$G$801, 0)+1)),"0.##"),TEXT(INDEX(ERP資料!$G:$G, (MATCH(663, 輔助計算!$G$2:$G$801, 0)+1)),"0.##")&amp;"+"&amp;TEXT(INDEX(ERP資料!$G:$G, (MATCH(663, 輔助計算!$G$2:$G$801, 0)+1)),"0.##")&amp;"+"&amp;TEXT(INDEX(ERP資料!$G:$G, (MATCH(663, 輔助計算!$G$2:$G$801, 0)+1)),"0.##")))&amp;"-"&amp;INT(INDEX(輔助計算!$D:$D, (MATCH(663, 輔助計算!$G$2:$G$801, 0)+1))/IF(INDEX(ERP資料!$G:$G, (MATCH(663, 輔助計算!$G$2:$G$801, 0)+1))&lt;100, IF(INDEX(ERP資料!$G:$G, (MATCH(663, 輔助計算!$G$2:$G$801, 0)+1))&lt;=31,3,IF(INDEX(ERP資料!$G:$G, (MATCH(663, 輔助計算!$G$2:$G$801, 0)+1))&lt;=46.5,2,1)), IF(INDEX(ERP資料!$G:$G, (MATCH(663, 輔助計算!$G$2:$G$801, 0)+1))&lt;=790,3,IF(INDEX(ERP資料!$G:$G, (MATCH(663, 輔助計算!$G$2:$G$801, 0)+1))&lt;=1181,2,1)))), "")&lt;&gt;"",IF(MOD(INDEX(輔助計算!$D:$D, (MATCH(663, 輔助計算!$G$2:$G$801, 0)+1)),IF(INDEX(ERP資料!$G:$G, (MATCH(663, 輔助計算!$G$2:$G$801, 0)+1))&lt;100, IF(INDEX(ERP資料!$G:$G, (MATCH(663, 輔助計算!$G$2:$G$801, 0)+1))&lt;=31,3,IF(INDEX(ERP資料!$G:$G, (MATCH(663, 輔助計算!$G$2:$G$801, 0)+1))&lt;=46.5,2,1)), IF(INDEX(ERP資料!$G:$G, (MATCH(663, 輔助計算!$G$2:$G$801, 0)+1))&lt;=790,3,IF(INDEX(ERP資料!$G:$G, (MATCH(663, 輔助計算!$G$2:$G$801, 0)+1))&lt;=1181,2,1))))=0,"",IF(MOD(INDEX(輔助計算!$D:$D, (MATCH(663, 輔助計算!$G$2:$G$801, 0)+1)),IF(INDEX(ERP資料!$G:$G, (MATCH(663, 輔助計算!$G$2:$G$801, 0)+1))&lt;100, IF(INDEX(ERP資料!$G:$G, (MATCH(663, 輔助計算!$G$2:$G$801, 0)+1))&lt;=31,3,IF(INDEX(ERP資料!$G:$G, (MATCH(663, 輔助計算!$G$2:$G$801, 0)+1))&lt;=46.5,2,1)), IF(INDEX(ERP資料!$G:$G, (MATCH(663, 輔助計算!$G$2:$G$801, 0)+1))&lt;=790,3,IF(INDEX(ERP資料!$G:$G, (MATCH(663, 輔助計算!$G$2:$G$801, 0)+1))&lt;=1181,2,1))))=0,"",IF(MOD(INDEX(輔助計算!$D:$D, (MATCH(663, 輔助計算!$G$2:$G$801, 0)+1)),IF(INDEX(ERP資料!$G:$G, (MATCH(663, 輔助計算!$G$2:$G$801, 0)+1))&lt;100, IF(INDEX(ERP資料!$G:$G, (MATCH(663, 輔助計算!$G$2:$G$801, 0)+1))&lt;=31,3,IF(INDEX(ERP資料!$G:$G, (MATCH(663, 輔助計算!$G$2:$G$801, 0)+1))&lt;=46.5,2,1)), IF(INDEX(ERP資料!$G:$G, (MATCH(663, 輔助計算!$G$2:$G$801, 0)+1))&lt;=790,3,IF(INDEX(ERP資料!$G:$G, (MATCH(663, 輔助計算!$G$2:$G$801, 0)+1))&lt;=1181,2,1))))=1,TEXT(INDEX(ERP資料!$G:$G, (MATCH(663, 輔助計算!$G$2:$G$801, 0)+1)),"0.##"),IF(MOD(INDEX(輔助計算!$D:$D, (MATCH(663, 輔助計算!$G$2:$G$801, 0)+1)),IF(INDEX(ERP資料!$G:$G, (MATCH(663, 輔助計算!$G$2:$G$801, 0)+1))&lt;100, IF(INDEX(ERP資料!$G:$G, (MATCH(663, 輔助計算!$G$2:$G$801, 0)+1))&lt;=31,3,IF(INDEX(ERP資料!$G:$G, (MATCH(663, 輔助計算!$G$2:$G$801, 0)+1))&lt;=46.5,2,1)), IF(INDEX(ERP資料!$G:$G, (MATCH(663, 輔助計算!$G$2:$G$801, 0)+1))&lt;=790,3,IF(INDEX(ERP資料!$G:$G, (MATCH(663, 輔助計算!$G$2:$G$801, 0)+1))&lt;=1181,2,1))))=2,TEXT(INDEX(ERP資料!$G:$G, (MATCH(663, 輔助計算!$G$2:$G$801, 0)+1)),"0.##")&amp;"+"&amp;TEXT(INDEX(ERP資料!$G:$G, (MATCH(663, 輔助計算!$G$2:$G$801, 0)+1)),"0.##"),TEXT(INDEX(ERP資料!$G:$G, (MATCH(663, 輔助計算!$G$2:$G$801, 0)+1)),"0.##")&amp;"+"&amp;TEXT(INDEX(ERP資料!$G:$G, (MATCH(663, 輔助計算!$G$2:$G$801, 0)+1)),"0.##")&amp;"+"&amp;TEXT(INDEX(ERP資料!$G:$G, (MATCH(663, 輔助計算!$G$2:$G$801, 0)+1)),"0.##"))))&amp;"-1")&lt;&gt;""),"  ","")&amp;IF(MOD(INDEX(輔助計算!$D:$D, (MATCH(663, 輔助計算!$G$2:$G$801, 0)+1)),IF(INDEX(ERP資料!$G:$G, (MATCH(663, 輔助計算!$G$2:$G$801, 0)+1))&lt;100, IF(INDEX(ERP資料!$G:$G, (MATCH(663, 輔助計算!$G$2:$G$801, 0)+1))&lt;=31,3,IF(INDEX(ERP資料!$G:$G, (MATCH(663, 輔助計算!$G$2:$G$801, 0)+1))&lt;=46.5,2,1)), IF(INDEX(ERP資料!$G:$G, (MATCH(663, 輔助計算!$G$2:$G$801, 0)+1))&lt;=790,3,IF(INDEX(ERP資料!$G:$G, (MATCH(663, 輔助計算!$G$2:$G$801, 0)+1))&lt;=1181,2,1))))=0,"",IF(MOD(INDEX(輔助計算!$D:$D, (MATCH(663, 輔助計算!$G$2:$G$801, 0)+1)),IF(INDEX(ERP資料!$G:$G, (MATCH(663, 輔助計算!$G$2:$G$801, 0)+1))&lt;100, IF(INDEX(ERP資料!$G:$G, (MATCH(663, 輔助計算!$G$2:$G$801, 0)+1))&lt;=31,3,IF(INDEX(ERP資料!$G:$G, (MATCH(663, 輔助計算!$G$2:$G$801, 0)+1))&lt;=46.5,2,1)), IF(INDEX(ERP資料!$G:$G, (MATCH(663, 輔助計算!$G$2:$G$801, 0)+1))&lt;=790,3,IF(INDEX(ERP資料!$G:$G, (MATCH(663, 輔助計算!$G$2:$G$801, 0)+1))&lt;=1181,2,1))))=0,"",IF(MOD(INDEX(輔助計算!$D:$D, (MATCH(663, 輔助計算!$G$2:$G$801, 0)+1)),IF(INDEX(ERP資料!$G:$G, (MATCH(663, 輔助計算!$G$2:$G$801, 0)+1))&lt;100, IF(INDEX(ERP資料!$G:$G, (MATCH(663, 輔助計算!$G$2:$G$801, 0)+1))&lt;=31,3,IF(INDEX(ERP資料!$G:$G, (MATCH(663, 輔助計算!$G$2:$G$801, 0)+1))&lt;=46.5,2,1)), IF(INDEX(ERP資料!$G:$G, (MATCH(663, 輔助計算!$G$2:$G$801, 0)+1))&lt;=790,3,IF(INDEX(ERP資料!$G:$G, (MATCH(663, 輔助計算!$G$2:$G$801, 0)+1))&lt;=1181,2,1))))=1,TEXT(INDEX(ERP資料!$G:$G, (MATCH(663, 輔助計算!$G$2:$G$801, 0)+1)),"0.##"),IF(MOD(INDEX(輔助計算!$D:$D, (MATCH(663, 輔助計算!$G$2:$G$801, 0)+1)),IF(INDEX(ERP資料!$G:$G, (MATCH(663, 輔助計算!$G$2:$G$801, 0)+1))&lt;100, IF(INDEX(ERP資料!$G:$G, (MATCH(663, 輔助計算!$G$2:$G$801, 0)+1))&lt;=31,3,IF(INDEX(ERP資料!$G:$G, (MATCH(663, 輔助計算!$G$2:$G$801, 0)+1))&lt;=46.5,2,1)), IF(INDEX(ERP資料!$G:$G, (MATCH(663, 輔助計算!$G$2:$G$801, 0)+1))&lt;=790,3,IF(INDEX(ERP資料!$G:$G, (MATCH(663, 輔助計算!$G$2:$G$801, 0)+1))&lt;=1181,2,1))))=2,TEXT(INDEX(ERP資料!$G:$G, (MATCH(663, 輔助計算!$G$2:$G$801, 0)+1)),"0.##")&amp;"+"&amp;TEXT(INDEX(ERP資料!$G:$G, (MATCH(663, 輔助計算!$G$2:$G$801, 0)+1)),"0.##"),TEXT(INDEX(ERP資料!$G:$G, (MATCH(663, 輔助計算!$G$2:$G$801, 0)+1)),"0.##")&amp;"+"&amp;TEXT(INDEX(ERP資料!$G:$G, (MATCH(663, 輔助計算!$G$2:$G$801, 0)+1)),"0.##")&amp;"+"&amp;TEXT(INDEX(ERP資料!$G:$G, (MATCH(663, 輔助計算!$G$2:$G$801, 0)+1)),"0.##"))))&amp;"-1")), ""), "")</f>
        <v/>
      </c>
      <c r="K664" s="16" t="n"/>
      <c r="L664" s="14">
        <f>IFERROR(IF(AND(IFERROR(INDEX(ERP資料!$A:$A, (MATCH(663, 輔助計算!$G$2:$G$801, 0)+1)), "")&lt;&gt;"", IFERROR(INDEX(ERP資料!$A:$A, (MATCH(663, 輔助計算!$G$2:$G$801, 0)+1)), "")&lt;&gt;IFERROR(INDEX(ERP資料!$A:$A, MATCH(662, 輔助計算!$G$2:$G$801, 0)+1), "")), INDEX(ERP資料!$B:$B, (MATCH(663, 輔助計算!$G$2:$G$801, 0)+1)), ""), "")</f>
        <v/>
      </c>
      <c r="M664" s="17" t="n"/>
    </row>
    <row r="665">
      <c r="A665" s="10">
        <f>IFERROR(IF(AND(IFERROR(INDEX(ERP資料!$A:$A, (MATCH(664, 輔助計算!$G$2:$G$801, 0)+1)), "")&lt;&gt;"", IFERROR(INDEX(ERP資料!$A:$A, (MATCH(664, 輔助計算!$G$2:$G$801, 0)+1)), "")&lt;&gt;IFERROR(INDEX(ERP資料!$A:$A, MATCH(663, 輔助計算!$G$2:$G$801, 0)+1), "")), IFERROR(INDEX(ERP資料!$A:$A, (MATCH(664, 輔助計算!$G$2:$G$801, 0)+1)), ""), ""), "")</f>
        <v/>
      </c>
      <c r="B665" s="10">
        <f>IFERROR(IF(AND(IFERROR(INDEX(ERP資料!$A:$A, (MATCH(664, 輔助計算!$G$2:$G$801, 0)+1)), "")&lt;&gt;"", IFERROR(INDEX(ERP資料!$A:$A, (MATCH(664, 輔助計算!$G$2:$G$801, 0)+1)), "")&lt;&gt;IFERROR(INDEX(ERP資料!$A:$A, MATCH(663, 輔助計算!$G$2:$G$801, 0)+1), "")), INDEX(ERP資料!$S:$S, (MATCH(664, 輔助計算!$G$2:$G$801, 0)+1)), ""), "")</f>
        <v/>
      </c>
      <c r="C665" s="19">
        <f>IFERROR(IF(AND(IFERROR(INDEX(ERP資料!$A:$A, (MATCH(664, 輔助計算!$G$2:$G$801, 0)+1)), "")&lt;&gt;"", IFERROR(INDEX(ERP資料!$A:$A, (MATCH(664, 輔助計算!$G$2:$G$801, 0)+1)), "")&lt;&gt;IFERROR(INDEX(ERP資料!$A:$A, MATCH(663, 輔助計算!$G$2:$G$801, 0)+1), "")), IFERROR(VLOOKUP(LEFT(INDEX(ERP資料!$S:$S, (MATCH(664, 輔助計算!$G$2:$G$801, 0)+1)), 4), 紙管對照表!$A:$C, 3, FALSE), ""), ""), "")</f>
        <v/>
      </c>
      <c r="D665" s="16" t="n"/>
      <c r="E665" s="10">
        <f>IFERROR(IF(INDEX(ERP資料!$H:$H, (MATCH(664, 輔助計算!$G$2:$G$801, 0)+1))="","",INDEX(ERP資料!$H:$H, (MATCH(664, 輔助計算!$G$2:$G$801, 0)+1))), "")</f>
        <v/>
      </c>
      <c r="F665" s="10">
        <f>IFERROR(IF(INDEX(ERP資料!$E:$E, (MATCH(664, 輔助計算!$G$2:$G$801, 0)+1))="","",TRIM(INDEX(ERP資料!$E:$E, (MATCH(664, 輔助計算!$G$2:$G$801, 0)+1)))), "")</f>
        <v/>
      </c>
      <c r="G665" s="10">
        <f>IFERROR(IF(INDEX(ERP資料!$F:$F, (MATCH(664, 輔助計算!$G$2:$G$801, 0)+1))="","",INDEX(ERP資料!$F:$F, (MATCH(664, 輔助計算!$G$2:$G$801, 0)+1))), "")</f>
        <v/>
      </c>
      <c r="H665" s="10">
        <f>IFERROR(IF(INDEX(ERP資料!$G:$G, (MATCH(664, 輔助計算!$G$2:$G$801, 0)+1))="","",INDEX(ERP資料!$G:$G, (MATCH(664, 輔助計算!$G$2:$G$801, 0)+1))), "")</f>
        <v/>
      </c>
      <c r="I665" s="15">
        <f>IFERROR(INDEX(輔助計算!$D:$D, (MATCH(664, 輔助計算!$G$2:$G$801, 0)+1)), "")</f>
        <v/>
      </c>
      <c r="J665" s="15">
        <f>IFERROR(IF(AND(INDEX(輔助計算!$D:$D, (MATCH(664, 輔助計算!$G$2:$G$801, 0)+1))&lt;&gt;"", INDEX(ERP資料!$G:$G, (MATCH(664, 輔助計算!$G$2:$G$801, 0)+1))&lt;&gt;""), TRIM(IF(INT(INDEX(輔助計算!$D:$D, (MATCH(664, 輔助計算!$G$2:$G$801, 0)+1))/IF(INDEX(ERP資料!$G:$G, (MATCH(664, 輔助計算!$G$2:$G$801, 0)+1))&lt;100, IF(INDEX(ERP資料!$G:$G, (MATCH(664, 輔助計算!$G$2:$G$801, 0)+1))&lt;=31,3,IF(INDEX(ERP資料!$G:$G, (MATCH(664, 輔助計算!$G$2:$G$801, 0)+1))&lt;=46.5,2,1)), IF(INDEX(ERP資料!$G:$G, (MATCH(664, 輔助計算!$G$2:$G$801, 0)+1))&lt;=790,3,IF(INDEX(ERP資料!$G:$G, (MATCH(664, 輔助計算!$G$2:$G$801, 0)+1))&lt;=1181,2,1))))&gt;0, IF(IF(INDEX(ERP資料!$G:$G, (MATCH(664, 輔助計算!$G$2:$G$801, 0)+1))&lt;100, IF(INDEX(ERP資料!$G:$G, (MATCH(664, 輔助計算!$G$2:$G$801, 0)+1))&lt;=31,3,IF(INDEX(ERP資料!$G:$G, (MATCH(664, 輔助計算!$G$2:$G$801, 0)+1))&lt;=46.5,2,1)), IF(INDEX(ERP資料!$G:$G, (MATCH(664, 輔助計算!$G$2:$G$801, 0)+1))&lt;=790,3,IF(INDEX(ERP資料!$G:$G, (MATCH(664, 輔助計算!$G$2:$G$801, 0)+1))&lt;=1181,2,1)))=1,TEXT(INDEX(ERP資料!$G:$G, (MATCH(664, 輔助計算!$G$2:$G$801, 0)+1)),"0.##"),IF(IF(INDEX(ERP資料!$G:$G, (MATCH(664, 輔助計算!$G$2:$G$801, 0)+1))&lt;100, IF(INDEX(ERP資料!$G:$G, (MATCH(664, 輔助計算!$G$2:$G$801, 0)+1))&lt;=31,3,IF(INDEX(ERP資料!$G:$G, (MATCH(664, 輔助計算!$G$2:$G$801, 0)+1))&lt;=46.5,2,1)), IF(INDEX(ERP資料!$G:$G, (MATCH(664, 輔助計算!$G$2:$G$801, 0)+1))&lt;=790,3,IF(INDEX(ERP資料!$G:$G, (MATCH(664, 輔助計算!$G$2:$G$801, 0)+1))&lt;=1181,2,1)))=2,TEXT(INDEX(ERP資料!$G:$G, (MATCH(664, 輔助計算!$G$2:$G$801, 0)+1)),"0.##")&amp;"+"&amp;TEXT(INDEX(ERP資料!$G:$G, (MATCH(664, 輔助計算!$G$2:$G$801, 0)+1)),"0.##"),TEXT(INDEX(ERP資料!$G:$G, (MATCH(664, 輔助計算!$G$2:$G$801, 0)+1)),"0.##")&amp;"+"&amp;TEXT(INDEX(ERP資料!$G:$G, (MATCH(664, 輔助計算!$G$2:$G$801, 0)+1)),"0.##")&amp;"+"&amp;TEXT(INDEX(ERP資料!$G:$G, (MATCH(664, 輔助計算!$G$2:$G$801, 0)+1)),"0.##")))&amp;"-"&amp;INT(INDEX(輔助計算!$D:$D, (MATCH(664, 輔助計算!$G$2:$G$801, 0)+1))/IF(INDEX(ERP資料!$G:$G, (MATCH(664, 輔助計算!$G$2:$G$801, 0)+1))&lt;100, IF(INDEX(ERP資料!$G:$G, (MATCH(664, 輔助計算!$G$2:$G$801, 0)+1))&lt;=31,3,IF(INDEX(ERP資料!$G:$G, (MATCH(664, 輔助計算!$G$2:$G$801, 0)+1))&lt;=46.5,2,1)), IF(INDEX(ERP資料!$G:$G, (MATCH(664, 輔助計算!$G$2:$G$801, 0)+1))&lt;=790,3,IF(INDEX(ERP資料!$G:$G, (MATCH(664, 輔助計算!$G$2:$G$801, 0)+1))&lt;=1181,2,1)))), "")&amp;IF(AND(IF(INT(INDEX(輔助計算!$D:$D, (MATCH(664, 輔助計算!$G$2:$G$801, 0)+1))/IF(INDEX(ERP資料!$G:$G, (MATCH(664, 輔助計算!$G$2:$G$801, 0)+1))&lt;100, IF(INDEX(ERP資料!$G:$G, (MATCH(664, 輔助計算!$G$2:$G$801, 0)+1))&lt;=31,3,IF(INDEX(ERP資料!$G:$G, (MATCH(664, 輔助計算!$G$2:$G$801, 0)+1))&lt;=46.5,2,1)), IF(INDEX(ERP資料!$G:$G, (MATCH(664, 輔助計算!$G$2:$G$801, 0)+1))&lt;=790,3,IF(INDEX(ERP資料!$G:$G, (MATCH(664, 輔助計算!$G$2:$G$801, 0)+1))&lt;=1181,2,1))))&gt;0, IF(IF(INDEX(ERP資料!$G:$G, (MATCH(664, 輔助計算!$G$2:$G$801, 0)+1))&lt;100, IF(INDEX(ERP資料!$G:$G, (MATCH(664, 輔助計算!$G$2:$G$801, 0)+1))&lt;=31,3,IF(INDEX(ERP資料!$G:$G, (MATCH(664, 輔助計算!$G$2:$G$801, 0)+1))&lt;=46.5,2,1)), IF(INDEX(ERP資料!$G:$G, (MATCH(664, 輔助計算!$G$2:$G$801, 0)+1))&lt;=790,3,IF(INDEX(ERP資料!$G:$G, (MATCH(664, 輔助計算!$G$2:$G$801, 0)+1))&lt;=1181,2,1)))=1,TEXT(INDEX(ERP資料!$G:$G, (MATCH(664, 輔助計算!$G$2:$G$801, 0)+1)),"0.##"),IF(IF(INDEX(ERP資料!$G:$G, (MATCH(664, 輔助計算!$G$2:$G$801, 0)+1))&lt;100, IF(INDEX(ERP資料!$G:$G, (MATCH(664, 輔助計算!$G$2:$G$801, 0)+1))&lt;=31,3,IF(INDEX(ERP資料!$G:$G, (MATCH(664, 輔助計算!$G$2:$G$801, 0)+1))&lt;=46.5,2,1)), IF(INDEX(ERP資料!$G:$G, (MATCH(664, 輔助計算!$G$2:$G$801, 0)+1))&lt;=790,3,IF(INDEX(ERP資料!$G:$G, (MATCH(664, 輔助計算!$G$2:$G$801, 0)+1))&lt;=1181,2,1)))=2,TEXT(INDEX(ERP資料!$G:$G, (MATCH(664, 輔助計算!$G$2:$G$801, 0)+1)),"0.##")&amp;"+"&amp;TEXT(INDEX(ERP資料!$G:$G, (MATCH(664, 輔助計算!$G$2:$G$801, 0)+1)),"0.##"),TEXT(INDEX(ERP資料!$G:$G, (MATCH(664, 輔助計算!$G$2:$G$801, 0)+1)),"0.##")&amp;"+"&amp;TEXT(INDEX(ERP資料!$G:$G, (MATCH(664, 輔助計算!$G$2:$G$801, 0)+1)),"0.##")&amp;"+"&amp;TEXT(INDEX(ERP資料!$G:$G, (MATCH(664, 輔助計算!$G$2:$G$801, 0)+1)),"0.##")))&amp;"-"&amp;INT(INDEX(輔助計算!$D:$D, (MATCH(664, 輔助計算!$G$2:$G$801, 0)+1))/IF(INDEX(ERP資料!$G:$G, (MATCH(664, 輔助計算!$G$2:$G$801, 0)+1))&lt;100, IF(INDEX(ERP資料!$G:$G, (MATCH(664, 輔助計算!$G$2:$G$801, 0)+1))&lt;=31,3,IF(INDEX(ERP資料!$G:$G, (MATCH(664, 輔助計算!$G$2:$G$801, 0)+1))&lt;=46.5,2,1)), IF(INDEX(ERP資料!$G:$G, (MATCH(664, 輔助計算!$G$2:$G$801, 0)+1))&lt;=790,3,IF(INDEX(ERP資料!$G:$G, (MATCH(664, 輔助計算!$G$2:$G$801, 0)+1))&lt;=1181,2,1)))), "")&lt;&gt;"",IF(MOD(INDEX(輔助計算!$D:$D, (MATCH(664, 輔助計算!$G$2:$G$801, 0)+1)),IF(INDEX(ERP資料!$G:$G, (MATCH(664, 輔助計算!$G$2:$G$801, 0)+1))&lt;100, IF(INDEX(ERP資料!$G:$G, (MATCH(664, 輔助計算!$G$2:$G$801, 0)+1))&lt;=31,3,IF(INDEX(ERP資料!$G:$G, (MATCH(664, 輔助計算!$G$2:$G$801, 0)+1))&lt;=46.5,2,1)), IF(INDEX(ERP資料!$G:$G, (MATCH(664, 輔助計算!$G$2:$G$801, 0)+1))&lt;=790,3,IF(INDEX(ERP資料!$G:$G, (MATCH(664, 輔助計算!$G$2:$G$801, 0)+1))&lt;=1181,2,1))))=0,"",IF(MOD(INDEX(輔助計算!$D:$D, (MATCH(664, 輔助計算!$G$2:$G$801, 0)+1)),IF(INDEX(ERP資料!$G:$G, (MATCH(664, 輔助計算!$G$2:$G$801, 0)+1))&lt;100, IF(INDEX(ERP資料!$G:$G, (MATCH(664, 輔助計算!$G$2:$G$801, 0)+1))&lt;=31,3,IF(INDEX(ERP資料!$G:$G, (MATCH(664, 輔助計算!$G$2:$G$801, 0)+1))&lt;=46.5,2,1)), IF(INDEX(ERP資料!$G:$G, (MATCH(664, 輔助計算!$G$2:$G$801, 0)+1))&lt;=790,3,IF(INDEX(ERP資料!$G:$G, (MATCH(664, 輔助計算!$G$2:$G$801, 0)+1))&lt;=1181,2,1))))=0,"",IF(MOD(INDEX(輔助計算!$D:$D, (MATCH(664, 輔助計算!$G$2:$G$801, 0)+1)),IF(INDEX(ERP資料!$G:$G, (MATCH(664, 輔助計算!$G$2:$G$801, 0)+1))&lt;100, IF(INDEX(ERP資料!$G:$G, (MATCH(664, 輔助計算!$G$2:$G$801, 0)+1))&lt;=31,3,IF(INDEX(ERP資料!$G:$G, (MATCH(664, 輔助計算!$G$2:$G$801, 0)+1))&lt;=46.5,2,1)), IF(INDEX(ERP資料!$G:$G, (MATCH(664, 輔助計算!$G$2:$G$801, 0)+1))&lt;=790,3,IF(INDEX(ERP資料!$G:$G, (MATCH(664, 輔助計算!$G$2:$G$801, 0)+1))&lt;=1181,2,1))))=1,TEXT(INDEX(ERP資料!$G:$G, (MATCH(664, 輔助計算!$G$2:$G$801, 0)+1)),"0.##"),IF(MOD(INDEX(輔助計算!$D:$D, (MATCH(664, 輔助計算!$G$2:$G$801, 0)+1)),IF(INDEX(ERP資料!$G:$G, (MATCH(664, 輔助計算!$G$2:$G$801, 0)+1))&lt;100, IF(INDEX(ERP資料!$G:$G, (MATCH(664, 輔助計算!$G$2:$G$801, 0)+1))&lt;=31,3,IF(INDEX(ERP資料!$G:$G, (MATCH(664, 輔助計算!$G$2:$G$801, 0)+1))&lt;=46.5,2,1)), IF(INDEX(ERP資料!$G:$G, (MATCH(664, 輔助計算!$G$2:$G$801, 0)+1))&lt;=790,3,IF(INDEX(ERP資料!$G:$G, (MATCH(664, 輔助計算!$G$2:$G$801, 0)+1))&lt;=1181,2,1))))=2,TEXT(INDEX(ERP資料!$G:$G, (MATCH(664, 輔助計算!$G$2:$G$801, 0)+1)),"0.##")&amp;"+"&amp;TEXT(INDEX(ERP資料!$G:$G, (MATCH(664, 輔助計算!$G$2:$G$801, 0)+1)),"0.##"),TEXT(INDEX(ERP資料!$G:$G, (MATCH(664, 輔助計算!$G$2:$G$801, 0)+1)),"0.##")&amp;"+"&amp;TEXT(INDEX(ERP資料!$G:$G, (MATCH(664, 輔助計算!$G$2:$G$801, 0)+1)),"0.##")&amp;"+"&amp;TEXT(INDEX(ERP資料!$G:$G, (MATCH(664, 輔助計算!$G$2:$G$801, 0)+1)),"0.##"))))&amp;"-1")&lt;&gt;""),"  ","")&amp;IF(MOD(INDEX(輔助計算!$D:$D, (MATCH(664, 輔助計算!$G$2:$G$801, 0)+1)),IF(INDEX(ERP資料!$G:$G, (MATCH(664, 輔助計算!$G$2:$G$801, 0)+1))&lt;100, IF(INDEX(ERP資料!$G:$G, (MATCH(664, 輔助計算!$G$2:$G$801, 0)+1))&lt;=31,3,IF(INDEX(ERP資料!$G:$G, (MATCH(664, 輔助計算!$G$2:$G$801, 0)+1))&lt;=46.5,2,1)), IF(INDEX(ERP資料!$G:$G, (MATCH(664, 輔助計算!$G$2:$G$801, 0)+1))&lt;=790,3,IF(INDEX(ERP資料!$G:$G, (MATCH(664, 輔助計算!$G$2:$G$801, 0)+1))&lt;=1181,2,1))))=0,"",IF(MOD(INDEX(輔助計算!$D:$D, (MATCH(664, 輔助計算!$G$2:$G$801, 0)+1)),IF(INDEX(ERP資料!$G:$G, (MATCH(664, 輔助計算!$G$2:$G$801, 0)+1))&lt;100, IF(INDEX(ERP資料!$G:$G, (MATCH(664, 輔助計算!$G$2:$G$801, 0)+1))&lt;=31,3,IF(INDEX(ERP資料!$G:$G, (MATCH(664, 輔助計算!$G$2:$G$801, 0)+1))&lt;=46.5,2,1)), IF(INDEX(ERP資料!$G:$G, (MATCH(664, 輔助計算!$G$2:$G$801, 0)+1))&lt;=790,3,IF(INDEX(ERP資料!$G:$G, (MATCH(664, 輔助計算!$G$2:$G$801, 0)+1))&lt;=1181,2,1))))=0,"",IF(MOD(INDEX(輔助計算!$D:$D, (MATCH(664, 輔助計算!$G$2:$G$801, 0)+1)),IF(INDEX(ERP資料!$G:$G, (MATCH(664, 輔助計算!$G$2:$G$801, 0)+1))&lt;100, IF(INDEX(ERP資料!$G:$G, (MATCH(664, 輔助計算!$G$2:$G$801, 0)+1))&lt;=31,3,IF(INDEX(ERP資料!$G:$G, (MATCH(664, 輔助計算!$G$2:$G$801, 0)+1))&lt;=46.5,2,1)), IF(INDEX(ERP資料!$G:$G, (MATCH(664, 輔助計算!$G$2:$G$801, 0)+1))&lt;=790,3,IF(INDEX(ERP資料!$G:$G, (MATCH(664, 輔助計算!$G$2:$G$801, 0)+1))&lt;=1181,2,1))))=1,TEXT(INDEX(ERP資料!$G:$G, (MATCH(664, 輔助計算!$G$2:$G$801, 0)+1)),"0.##"),IF(MOD(INDEX(輔助計算!$D:$D, (MATCH(664, 輔助計算!$G$2:$G$801, 0)+1)),IF(INDEX(ERP資料!$G:$G, (MATCH(664, 輔助計算!$G$2:$G$801, 0)+1))&lt;100, IF(INDEX(ERP資料!$G:$G, (MATCH(664, 輔助計算!$G$2:$G$801, 0)+1))&lt;=31,3,IF(INDEX(ERP資料!$G:$G, (MATCH(664, 輔助計算!$G$2:$G$801, 0)+1))&lt;=46.5,2,1)), IF(INDEX(ERP資料!$G:$G, (MATCH(664, 輔助計算!$G$2:$G$801, 0)+1))&lt;=790,3,IF(INDEX(ERP資料!$G:$G, (MATCH(664, 輔助計算!$G$2:$G$801, 0)+1))&lt;=1181,2,1))))=2,TEXT(INDEX(ERP資料!$G:$G, (MATCH(664, 輔助計算!$G$2:$G$801, 0)+1)),"0.##")&amp;"+"&amp;TEXT(INDEX(ERP資料!$G:$G, (MATCH(664, 輔助計算!$G$2:$G$801, 0)+1)),"0.##"),TEXT(INDEX(ERP資料!$G:$G, (MATCH(664, 輔助計算!$G$2:$G$801, 0)+1)),"0.##")&amp;"+"&amp;TEXT(INDEX(ERP資料!$G:$G, (MATCH(664, 輔助計算!$G$2:$G$801, 0)+1)),"0.##")&amp;"+"&amp;TEXT(INDEX(ERP資料!$G:$G, (MATCH(664, 輔助計算!$G$2:$G$801, 0)+1)),"0.##"))))&amp;"-1")), ""), "")</f>
        <v/>
      </c>
      <c r="K665" s="16" t="n"/>
      <c r="L665" s="14">
        <f>IFERROR(IF(AND(IFERROR(INDEX(ERP資料!$A:$A, (MATCH(664, 輔助計算!$G$2:$G$801, 0)+1)), "")&lt;&gt;"", IFERROR(INDEX(ERP資料!$A:$A, (MATCH(664, 輔助計算!$G$2:$G$801, 0)+1)), "")&lt;&gt;IFERROR(INDEX(ERP資料!$A:$A, MATCH(663, 輔助計算!$G$2:$G$801, 0)+1), "")), INDEX(ERP資料!$B:$B, (MATCH(664, 輔助計算!$G$2:$G$801, 0)+1)), ""), "")</f>
        <v/>
      </c>
      <c r="M665" s="17" t="n"/>
    </row>
    <row r="666">
      <c r="A666" s="10">
        <f>IFERROR(IF(AND(IFERROR(INDEX(ERP資料!$A:$A, (MATCH(665, 輔助計算!$G$2:$G$801, 0)+1)), "")&lt;&gt;"", IFERROR(INDEX(ERP資料!$A:$A, (MATCH(665, 輔助計算!$G$2:$G$801, 0)+1)), "")&lt;&gt;IFERROR(INDEX(ERP資料!$A:$A, MATCH(664, 輔助計算!$G$2:$G$801, 0)+1), "")), IFERROR(INDEX(ERP資料!$A:$A, (MATCH(665, 輔助計算!$G$2:$G$801, 0)+1)), ""), ""), "")</f>
        <v/>
      </c>
      <c r="B666" s="10">
        <f>IFERROR(IF(AND(IFERROR(INDEX(ERP資料!$A:$A, (MATCH(665, 輔助計算!$G$2:$G$801, 0)+1)), "")&lt;&gt;"", IFERROR(INDEX(ERP資料!$A:$A, (MATCH(665, 輔助計算!$G$2:$G$801, 0)+1)), "")&lt;&gt;IFERROR(INDEX(ERP資料!$A:$A, MATCH(664, 輔助計算!$G$2:$G$801, 0)+1), "")), INDEX(ERP資料!$S:$S, (MATCH(665, 輔助計算!$G$2:$G$801, 0)+1)), ""), "")</f>
        <v/>
      </c>
      <c r="C666" s="19">
        <f>IFERROR(IF(AND(IFERROR(INDEX(ERP資料!$A:$A, (MATCH(665, 輔助計算!$G$2:$G$801, 0)+1)), "")&lt;&gt;"", IFERROR(INDEX(ERP資料!$A:$A, (MATCH(665, 輔助計算!$G$2:$G$801, 0)+1)), "")&lt;&gt;IFERROR(INDEX(ERP資料!$A:$A, MATCH(664, 輔助計算!$G$2:$G$801, 0)+1), "")), IFERROR(VLOOKUP(LEFT(INDEX(ERP資料!$S:$S, (MATCH(665, 輔助計算!$G$2:$G$801, 0)+1)), 4), 紙管對照表!$A:$C, 3, FALSE), ""), ""), "")</f>
        <v/>
      </c>
      <c r="D666" s="16" t="n"/>
      <c r="E666" s="10">
        <f>IFERROR(IF(INDEX(ERP資料!$H:$H, (MATCH(665, 輔助計算!$G$2:$G$801, 0)+1))="","",INDEX(ERP資料!$H:$H, (MATCH(665, 輔助計算!$G$2:$G$801, 0)+1))), "")</f>
        <v/>
      </c>
      <c r="F666" s="10">
        <f>IFERROR(IF(INDEX(ERP資料!$E:$E, (MATCH(665, 輔助計算!$G$2:$G$801, 0)+1))="","",TRIM(INDEX(ERP資料!$E:$E, (MATCH(665, 輔助計算!$G$2:$G$801, 0)+1)))), "")</f>
        <v/>
      </c>
      <c r="G666" s="10">
        <f>IFERROR(IF(INDEX(ERP資料!$F:$F, (MATCH(665, 輔助計算!$G$2:$G$801, 0)+1))="","",INDEX(ERP資料!$F:$F, (MATCH(665, 輔助計算!$G$2:$G$801, 0)+1))), "")</f>
        <v/>
      </c>
      <c r="H666" s="10">
        <f>IFERROR(IF(INDEX(ERP資料!$G:$G, (MATCH(665, 輔助計算!$G$2:$G$801, 0)+1))="","",INDEX(ERP資料!$G:$G, (MATCH(665, 輔助計算!$G$2:$G$801, 0)+1))), "")</f>
        <v/>
      </c>
      <c r="I666" s="15">
        <f>IFERROR(INDEX(輔助計算!$D:$D, (MATCH(665, 輔助計算!$G$2:$G$801, 0)+1)), "")</f>
        <v/>
      </c>
      <c r="J666" s="15">
        <f>IFERROR(IF(AND(INDEX(輔助計算!$D:$D, (MATCH(665, 輔助計算!$G$2:$G$801, 0)+1))&lt;&gt;"", INDEX(ERP資料!$G:$G, (MATCH(665, 輔助計算!$G$2:$G$801, 0)+1))&lt;&gt;""), TRIM(IF(INT(INDEX(輔助計算!$D:$D, (MATCH(665, 輔助計算!$G$2:$G$801, 0)+1))/IF(INDEX(ERP資料!$G:$G, (MATCH(665, 輔助計算!$G$2:$G$801, 0)+1))&lt;100, IF(INDEX(ERP資料!$G:$G, (MATCH(665, 輔助計算!$G$2:$G$801, 0)+1))&lt;=31,3,IF(INDEX(ERP資料!$G:$G, (MATCH(665, 輔助計算!$G$2:$G$801, 0)+1))&lt;=46.5,2,1)), IF(INDEX(ERP資料!$G:$G, (MATCH(665, 輔助計算!$G$2:$G$801, 0)+1))&lt;=790,3,IF(INDEX(ERP資料!$G:$G, (MATCH(665, 輔助計算!$G$2:$G$801, 0)+1))&lt;=1181,2,1))))&gt;0, IF(IF(INDEX(ERP資料!$G:$G, (MATCH(665, 輔助計算!$G$2:$G$801, 0)+1))&lt;100, IF(INDEX(ERP資料!$G:$G, (MATCH(665, 輔助計算!$G$2:$G$801, 0)+1))&lt;=31,3,IF(INDEX(ERP資料!$G:$G, (MATCH(665, 輔助計算!$G$2:$G$801, 0)+1))&lt;=46.5,2,1)), IF(INDEX(ERP資料!$G:$G, (MATCH(665, 輔助計算!$G$2:$G$801, 0)+1))&lt;=790,3,IF(INDEX(ERP資料!$G:$G, (MATCH(665, 輔助計算!$G$2:$G$801, 0)+1))&lt;=1181,2,1)))=1,TEXT(INDEX(ERP資料!$G:$G, (MATCH(665, 輔助計算!$G$2:$G$801, 0)+1)),"0.##"),IF(IF(INDEX(ERP資料!$G:$G, (MATCH(665, 輔助計算!$G$2:$G$801, 0)+1))&lt;100, IF(INDEX(ERP資料!$G:$G, (MATCH(665, 輔助計算!$G$2:$G$801, 0)+1))&lt;=31,3,IF(INDEX(ERP資料!$G:$G, (MATCH(665, 輔助計算!$G$2:$G$801, 0)+1))&lt;=46.5,2,1)), IF(INDEX(ERP資料!$G:$G, (MATCH(665, 輔助計算!$G$2:$G$801, 0)+1))&lt;=790,3,IF(INDEX(ERP資料!$G:$G, (MATCH(665, 輔助計算!$G$2:$G$801, 0)+1))&lt;=1181,2,1)))=2,TEXT(INDEX(ERP資料!$G:$G, (MATCH(665, 輔助計算!$G$2:$G$801, 0)+1)),"0.##")&amp;"+"&amp;TEXT(INDEX(ERP資料!$G:$G, (MATCH(665, 輔助計算!$G$2:$G$801, 0)+1)),"0.##"),TEXT(INDEX(ERP資料!$G:$G, (MATCH(665, 輔助計算!$G$2:$G$801, 0)+1)),"0.##")&amp;"+"&amp;TEXT(INDEX(ERP資料!$G:$G, (MATCH(665, 輔助計算!$G$2:$G$801, 0)+1)),"0.##")&amp;"+"&amp;TEXT(INDEX(ERP資料!$G:$G, (MATCH(665, 輔助計算!$G$2:$G$801, 0)+1)),"0.##")))&amp;"-"&amp;INT(INDEX(輔助計算!$D:$D, (MATCH(665, 輔助計算!$G$2:$G$801, 0)+1))/IF(INDEX(ERP資料!$G:$G, (MATCH(665, 輔助計算!$G$2:$G$801, 0)+1))&lt;100, IF(INDEX(ERP資料!$G:$G, (MATCH(665, 輔助計算!$G$2:$G$801, 0)+1))&lt;=31,3,IF(INDEX(ERP資料!$G:$G, (MATCH(665, 輔助計算!$G$2:$G$801, 0)+1))&lt;=46.5,2,1)), IF(INDEX(ERP資料!$G:$G, (MATCH(665, 輔助計算!$G$2:$G$801, 0)+1))&lt;=790,3,IF(INDEX(ERP資料!$G:$G, (MATCH(665, 輔助計算!$G$2:$G$801, 0)+1))&lt;=1181,2,1)))), "")&amp;IF(AND(IF(INT(INDEX(輔助計算!$D:$D, (MATCH(665, 輔助計算!$G$2:$G$801, 0)+1))/IF(INDEX(ERP資料!$G:$G, (MATCH(665, 輔助計算!$G$2:$G$801, 0)+1))&lt;100, IF(INDEX(ERP資料!$G:$G, (MATCH(665, 輔助計算!$G$2:$G$801, 0)+1))&lt;=31,3,IF(INDEX(ERP資料!$G:$G, (MATCH(665, 輔助計算!$G$2:$G$801, 0)+1))&lt;=46.5,2,1)), IF(INDEX(ERP資料!$G:$G, (MATCH(665, 輔助計算!$G$2:$G$801, 0)+1))&lt;=790,3,IF(INDEX(ERP資料!$G:$G, (MATCH(665, 輔助計算!$G$2:$G$801, 0)+1))&lt;=1181,2,1))))&gt;0, IF(IF(INDEX(ERP資料!$G:$G, (MATCH(665, 輔助計算!$G$2:$G$801, 0)+1))&lt;100, IF(INDEX(ERP資料!$G:$G, (MATCH(665, 輔助計算!$G$2:$G$801, 0)+1))&lt;=31,3,IF(INDEX(ERP資料!$G:$G, (MATCH(665, 輔助計算!$G$2:$G$801, 0)+1))&lt;=46.5,2,1)), IF(INDEX(ERP資料!$G:$G, (MATCH(665, 輔助計算!$G$2:$G$801, 0)+1))&lt;=790,3,IF(INDEX(ERP資料!$G:$G, (MATCH(665, 輔助計算!$G$2:$G$801, 0)+1))&lt;=1181,2,1)))=1,TEXT(INDEX(ERP資料!$G:$G, (MATCH(665, 輔助計算!$G$2:$G$801, 0)+1)),"0.##"),IF(IF(INDEX(ERP資料!$G:$G, (MATCH(665, 輔助計算!$G$2:$G$801, 0)+1))&lt;100, IF(INDEX(ERP資料!$G:$G, (MATCH(665, 輔助計算!$G$2:$G$801, 0)+1))&lt;=31,3,IF(INDEX(ERP資料!$G:$G, (MATCH(665, 輔助計算!$G$2:$G$801, 0)+1))&lt;=46.5,2,1)), IF(INDEX(ERP資料!$G:$G, (MATCH(665, 輔助計算!$G$2:$G$801, 0)+1))&lt;=790,3,IF(INDEX(ERP資料!$G:$G, (MATCH(665, 輔助計算!$G$2:$G$801, 0)+1))&lt;=1181,2,1)))=2,TEXT(INDEX(ERP資料!$G:$G, (MATCH(665, 輔助計算!$G$2:$G$801, 0)+1)),"0.##")&amp;"+"&amp;TEXT(INDEX(ERP資料!$G:$G, (MATCH(665, 輔助計算!$G$2:$G$801, 0)+1)),"0.##"),TEXT(INDEX(ERP資料!$G:$G, (MATCH(665, 輔助計算!$G$2:$G$801, 0)+1)),"0.##")&amp;"+"&amp;TEXT(INDEX(ERP資料!$G:$G, (MATCH(665, 輔助計算!$G$2:$G$801, 0)+1)),"0.##")&amp;"+"&amp;TEXT(INDEX(ERP資料!$G:$G, (MATCH(665, 輔助計算!$G$2:$G$801, 0)+1)),"0.##")))&amp;"-"&amp;INT(INDEX(輔助計算!$D:$D, (MATCH(665, 輔助計算!$G$2:$G$801, 0)+1))/IF(INDEX(ERP資料!$G:$G, (MATCH(665, 輔助計算!$G$2:$G$801, 0)+1))&lt;100, IF(INDEX(ERP資料!$G:$G, (MATCH(665, 輔助計算!$G$2:$G$801, 0)+1))&lt;=31,3,IF(INDEX(ERP資料!$G:$G, (MATCH(665, 輔助計算!$G$2:$G$801, 0)+1))&lt;=46.5,2,1)), IF(INDEX(ERP資料!$G:$G, (MATCH(665, 輔助計算!$G$2:$G$801, 0)+1))&lt;=790,3,IF(INDEX(ERP資料!$G:$G, (MATCH(665, 輔助計算!$G$2:$G$801, 0)+1))&lt;=1181,2,1)))), "")&lt;&gt;"",IF(MOD(INDEX(輔助計算!$D:$D, (MATCH(665, 輔助計算!$G$2:$G$801, 0)+1)),IF(INDEX(ERP資料!$G:$G, (MATCH(665, 輔助計算!$G$2:$G$801, 0)+1))&lt;100, IF(INDEX(ERP資料!$G:$G, (MATCH(665, 輔助計算!$G$2:$G$801, 0)+1))&lt;=31,3,IF(INDEX(ERP資料!$G:$G, (MATCH(665, 輔助計算!$G$2:$G$801, 0)+1))&lt;=46.5,2,1)), IF(INDEX(ERP資料!$G:$G, (MATCH(665, 輔助計算!$G$2:$G$801, 0)+1))&lt;=790,3,IF(INDEX(ERP資料!$G:$G, (MATCH(665, 輔助計算!$G$2:$G$801, 0)+1))&lt;=1181,2,1))))=0,"",IF(MOD(INDEX(輔助計算!$D:$D, (MATCH(665, 輔助計算!$G$2:$G$801, 0)+1)),IF(INDEX(ERP資料!$G:$G, (MATCH(665, 輔助計算!$G$2:$G$801, 0)+1))&lt;100, IF(INDEX(ERP資料!$G:$G, (MATCH(665, 輔助計算!$G$2:$G$801, 0)+1))&lt;=31,3,IF(INDEX(ERP資料!$G:$G, (MATCH(665, 輔助計算!$G$2:$G$801, 0)+1))&lt;=46.5,2,1)), IF(INDEX(ERP資料!$G:$G, (MATCH(665, 輔助計算!$G$2:$G$801, 0)+1))&lt;=790,3,IF(INDEX(ERP資料!$G:$G, (MATCH(665, 輔助計算!$G$2:$G$801, 0)+1))&lt;=1181,2,1))))=0,"",IF(MOD(INDEX(輔助計算!$D:$D, (MATCH(665, 輔助計算!$G$2:$G$801, 0)+1)),IF(INDEX(ERP資料!$G:$G, (MATCH(665, 輔助計算!$G$2:$G$801, 0)+1))&lt;100, IF(INDEX(ERP資料!$G:$G, (MATCH(665, 輔助計算!$G$2:$G$801, 0)+1))&lt;=31,3,IF(INDEX(ERP資料!$G:$G, (MATCH(665, 輔助計算!$G$2:$G$801, 0)+1))&lt;=46.5,2,1)), IF(INDEX(ERP資料!$G:$G, (MATCH(665, 輔助計算!$G$2:$G$801, 0)+1))&lt;=790,3,IF(INDEX(ERP資料!$G:$G, (MATCH(665, 輔助計算!$G$2:$G$801, 0)+1))&lt;=1181,2,1))))=1,TEXT(INDEX(ERP資料!$G:$G, (MATCH(665, 輔助計算!$G$2:$G$801, 0)+1)),"0.##"),IF(MOD(INDEX(輔助計算!$D:$D, (MATCH(665, 輔助計算!$G$2:$G$801, 0)+1)),IF(INDEX(ERP資料!$G:$G, (MATCH(665, 輔助計算!$G$2:$G$801, 0)+1))&lt;100, IF(INDEX(ERP資料!$G:$G, (MATCH(665, 輔助計算!$G$2:$G$801, 0)+1))&lt;=31,3,IF(INDEX(ERP資料!$G:$G, (MATCH(665, 輔助計算!$G$2:$G$801, 0)+1))&lt;=46.5,2,1)), IF(INDEX(ERP資料!$G:$G, (MATCH(665, 輔助計算!$G$2:$G$801, 0)+1))&lt;=790,3,IF(INDEX(ERP資料!$G:$G, (MATCH(665, 輔助計算!$G$2:$G$801, 0)+1))&lt;=1181,2,1))))=2,TEXT(INDEX(ERP資料!$G:$G, (MATCH(665, 輔助計算!$G$2:$G$801, 0)+1)),"0.##")&amp;"+"&amp;TEXT(INDEX(ERP資料!$G:$G, (MATCH(665, 輔助計算!$G$2:$G$801, 0)+1)),"0.##"),TEXT(INDEX(ERP資料!$G:$G, (MATCH(665, 輔助計算!$G$2:$G$801, 0)+1)),"0.##")&amp;"+"&amp;TEXT(INDEX(ERP資料!$G:$G, (MATCH(665, 輔助計算!$G$2:$G$801, 0)+1)),"0.##")&amp;"+"&amp;TEXT(INDEX(ERP資料!$G:$G, (MATCH(665, 輔助計算!$G$2:$G$801, 0)+1)),"0.##"))))&amp;"-1")&lt;&gt;""),"  ","")&amp;IF(MOD(INDEX(輔助計算!$D:$D, (MATCH(665, 輔助計算!$G$2:$G$801, 0)+1)),IF(INDEX(ERP資料!$G:$G, (MATCH(665, 輔助計算!$G$2:$G$801, 0)+1))&lt;100, IF(INDEX(ERP資料!$G:$G, (MATCH(665, 輔助計算!$G$2:$G$801, 0)+1))&lt;=31,3,IF(INDEX(ERP資料!$G:$G, (MATCH(665, 輔助計算!$G$2:$G$801, 0)+1))&lt;=46.5,2,1)), IF(INDEX(ERP資料!$G:$G, (MATCH(665, 輔助計算!$G$2:$G$801, 0)+1))&lt;=790,3,IF(INDEX(ERP資料!$G:$G, (MATCH(665, 輔助計算!$G$2:$G$801, 0)+1))&lt;=1181,2,1))))=0,"",IF(MOD(INDEX(輔助計算!$D:$D, (MATCH(665, 輔助計算!$G$2:$G$801, 0)+1)),IF(INDEX(ERP資料!$G:$G, (MATCH(665, 輔助計算!$G$2:$G$801, 0)+1))&lt;100, IF(INDEX(ERP資料!$G:$G, (MATCH(665, 輔助計算!$G$2:$G$801, 0)+1))&lt;=31,3,IF(INDEX(ERP資料!$G:$G, (MATCH(665, 輔助計算!$G$2:$G$801, 0)+1))&lt;=46.5,2,1)), IF(INDEX(ERP資料!$G:$G, (MATCH(665, 輔助計算!$G$2:$G$801, 0)+1))&lt;=790,3,IF(INDEX(ERP資料!$G:$G, (MATCH(665, 輔助計算!$G$2:$G$801, 0)+1))&lt;=1181,2,1))))=0,"",IF(MOD(INDEX(輔助計算!$D:$D, (MATCH(665, 輔助計算!$G$2:$G$801, 0)+1)),IF(INDEX(ERP資料!$G:$G, (MATCH(665, 輔助計算!$G$2:$G$801, 0)+1))&lt;100, IF(INDEX(ERP資料!$G:$G, (MATCH(665, 輔助計算!$G$2:$G$801, 0)+1))&lt;=31,3,IF(INDEX(ERP資料!$G:$G, (MATCH(665, 輔助計算!$G$2:$G$801, 0)+1))&lt;=46.5,2,1)), IF(INDEX(ERP資料!$G:$G, (MATCH(665, 輔助計算!$G$2:$G$801, 0)+1))&lt;=790,3,IF(INDEX(ERP資料!$G:$G, (MATCH(665, 輔助計算!$G$2:$G$801, 0)+1))&lt;=1181,2,1))))=1,TEXT(INDEX(ERP資料!$G:$G, (MATCH(665, 輔助計算!$G$2:$G$801, 0)+1)),"0.##"),IF(MOD(INDEX(輔助計算!$D:$D, (MATCH(665, 輔助計算!$G$2:$G$801, 0)+1)),IF(INDEX(ERP資料!$G:$G, (MATCH(665, 輔助計算!$G$2:$G$801, 0)+1))&lt;100, IF(INDEX(ERP資料!$G:$G, (MATCH(665, 輔助計算!$G$2:$G$801, 0)+1))&lt;=31,3,IF(INDEX(ERP資料!$G:$G, (MATCH(665, 輔助計算!$G$2:$G$801, 0)+1))&lt;=46.5,2,1)), IF(INDEX(ERP資料!$G:$G, (MATCH(665, 輔助計算!$G$2:$G$801, 0)+1))&lt;=790,3,IF(INDEX(ERP資料!$G:$G, (MATCH(665, 輔助計算!$G$2:$G$801, 0)+1))&lt;=1181,2,1))))=2,TEXT(INDEX(ERP資料!$G:$G, (MATCH(665, 輔助計算!$G$2:$G$801, 0)+1)),"0.##")&amp;"+"&amp;TEXT(INDEX(ERP資料!$G:$G, (MATCH(665, 輔助計算!$G$2:$G$801, 0)+1)),"0.##"),TEXT(INDEX(ERP資料!$G:$G, (MATCH(665, 輔助計算!$G$2:$G$801, 0)+1)),"0.##")&amp;"+"&amp;TEXT(INDEX(ERP資料!$G:$G, (MATCH(665, 輔助計算!$G$2:$G$801, 0)+1)),"0.##")&amp;"+"&amp;TEXT(INDEX(ERP資料!$G:$G, (MATCH(665, 輔助計算!$G$2:$G$801, 0)+1)),"0.##"))))&amp;"-1")), ""), "")</f>
        <v/>
      </c>
      <c r="K666" s="16" t="n"/>
      <c r="L666" s="14">
        <f>IFERROR(IF(AND(IFERROR(INDEX(ERP資料!$A:$A, (MATCH(665, 輔助計算!$G$2:$G$801, 0)+1)), "")&lt;&gt;"", IFERROR(INDEX(ERP資料!$A:$A, (MATCH(665, 輔助計算!$G$2:$G$801, 0)+1)), "")&lt;&gt;IFERROR(INDEX(ERP資料!$A:$A, MATCH(664, 輔助計算!$G$2:$G$801, 0)+1), "")), INDEX(ERP資料!$B:$B, (MATCH(665, 輔助計算!$G$2:$G$801, 0)+1)), ""), "")</f>
        <v/>
      </c>
      <c r="M666" s="17" t="n"/>
    </row>
    <row r="667">
      <c r="A667" s="10">
        <f>IFERROR(IF(AND(IFERROR(INDEX(ERP資料!$A:$A, (MATCH(666, 輔助計算!$G$2:$G$801, 0)+1)), "")&lt;&gt;"", IFERROR(INDEX(ERP資料!$A:$A, (MATCH(666, 輔助計算!$G$2:$G$801, 0)+1)), "")&lt;&gt;IFERROR(INDEX(ERP資料!$A:$A, MATCH(665, 輔助計算!$G$2:$G$801, 0)+1), "")), IFERROR(INDEX(ERP資料!$A:$A, (MATCH(666, 輔助計算!$G$2:$G$801, 0)+1)), ""), ""), "")</f>
        <v/>
      </c>
      <c r="B667" s="10">
        <f>IFERROR(IF(AND(IFERROR(INDEX(ERP資料!$A:$A, (MATCH(666, 輔助計算!$G$2:$G$801, 0)+1)), "")&lt;&gt;"", IFERROR(INDEX(ERP資料!$A:$A, (MATCH(666, 輔助計算!$G$2:$G$801, 0)+1)), "")&lt;&gt;IFERROR(INDEX(ERP資料!$A:$A, MATCH(665, 輔助計算!$G$2:$G$801, 0)+1), "")), INDEX(ERP資料!$S:$S, (MATCH(666, 輔助計算!$G$2:$G$801, 0)+1)), ""), "")</f>
        <v/>
      </c>
      <c r="C667" s="19">
        <f>IFERROR(IF(AND(IFERROR(INDEX(ERP資料!$A:$A, (MATCH(666, 輔助計算!$G$2:$G$801, 0)+1)), "")&lt;&gt;"", IFERROR(INDEX(ERP資料!$A:$A, (MATCH(666, 輔助計算!$G$2:$G$801, 0)+1)), "")&lt;&gt;IFERROR(INDEX(ERP資料!$A:$A, MATCH(665, 輔助計算!$G$2:$G$801, 0)+1), "")), IFERROR(VLOOKUP(LEFT(INDEX(ERP資料!$S:$S, (MATCH(666, 輔助計算!$G$2:$G$801, 0)+1)), 4), 紙管對照表!$A:$C, 3, FALSE), ""), ""), "")</f>
        <v/>
      </c>
      <c r="D667" s="16" t="n"/>
      <c r="E667" s="10">
        <f>IFERROR(IF(INDEX(ERP資料!$H:$H, (MATCH(666, 輔助計算!$G$2:$G$801, 0)+1))="","",INDEX(ERP資料!$H:$H, (MATCH(666, 輔助計算!$G$2:$G$801, 0)+1))), "")</f>
        <v/>
      </c>
      <c r="F667" s="10">
        <f>IFERROR(IF(INDEX(ERP資料!$E:$E, (MATCH(666, 輔助計算!$G$2:$G$801, 0)+1))="","",TRIM(INDEX(ERP資料!$E:$E, (MATCH(666, 輔助計算!$G$2:$G$801, 0)+1)))), "")</f>
        <v/>
      </c>
      <c r="G667" s="10">
        <f>IFERROR(IF(INDEX(ERP資料!$F:$F, (MATCH(666, 輔助計算!$G$2:$G$801, 0)+1))="","",INDEX(ERP資料!$F:$F, (MATCH(666, 輔助計算!$G$2:$G$801, 0)+1))), "")</f>
        <v/>
      </c>
      <c r="H667" s="10">
        <f>IFERROR(IF(INDEX(ERP資料!$G:$G, (MATCH(666, 輔助計算!$G$2:$G$801, 0)+1))="","",INDEX(ERP資料!$G:$G, (MATCH(666, 輔助計算!$G$2:$G$801, 0)+1))), "")</f>
        <v/>
      </c>
      <c r="I667" s="15">
        <f>IFERROR(INDEX(輔助計算!$D:$D, (MATCH(666, 輔助計算!$G$2:$G$801, 0)+1)), "")</f>
        <v/>
      </c>
      <c r="J667" s="15">
        <f>IFERROR(IF(AND(INDEX(輔助計算!$D:$D, (MATCH(666, 輔助計算!$G$2:$G$801, 0)+1))&lt;&gt;"", INDEX(ERP資料!$G:$G, (MATCH(666, 輔助計算!$G$2:$G$801, 0)+1))&lt;&gt;""), TRIM(IF(INT(INDEX(輔助計算!$D:$D, (MATCH(666, 輔助計算!$G$2:$G$801, 0)+1))/IF(INDEX(ERP資料!$G:$G, (MATCH(666, 輔助計算!$G$2:$G$801, 0)+1))&lt;100, IF(INDEX(ERP資料!$G:$G, (MATCH(666, 輔助計算!$G$2:$G$801, 0)+1))&lt;=31,3,IF(INDEX(ERP資料!$G:$G, (MATCH(666, 輔助計算!$G$2:$G$801, 0)+1))&lt;=46.5,2,1)), IF(INDEX(ERP資料!$G:$G, (MATCH(666, 輔助計算!$G$2:$G$801, 0)+1))&lt;=790,3,IF(INDEX(ERP資料!$G:$G, (MATCH(666, 輔助計算!$G$2:$G$801, 0)+1))&lt;=1181,2,1))))&gt;0, IF(IF(INDEX(ERP資料!$G:$G, (MATCH(666, 輔助計算!$G$2:$G$801, 0)+1))&lt;100, IF(INDEX(ERP資料!$G:$G, (MATCH(666, 輔助計算!$G$2:$G$801, 0)+1))&lt;=31,3,IF(INDEX(ERP資料!$G:$G, (MATCH(666, 輔助計算!$G$2:$G$801, 0)+1))&lt;=46.5,2,1)), IF(INDEX(ERP資料!$G:$G, (MATCH(666, 輔助計算!$G$2:$G$801, 0)+1))&lt;=790,3,IF(INDEX(ERP資料!$G:$G, (MATCH(666, 輔助計算!$G$2:$G$801, 0)+1))&lt;=1181,2,1)))=1,TEXT(INDEX(ERP資料!$G:$G, (MATCH(666, 輔助計算!$G$2:$G$801, 0)+1)),"0.##"),IF(IF(INDEX(ERP資料!$G:$G, (MATCH(666, 輔助計算!$G$2:$G$801, 0)+1))&lt;100, IF(INDEX(ERP資料!$G:$G, (MATCH(666, 輔助計算!$G$2:$G$801, 0)+1))&lt;=31,3,IF(INDEX(ERP資料!$G:$G, (MATCH(666, 輔助計算!$G$2:$G$801, 0)+1))&lt;=46.5,2,1)), IF(INDEX(ERP資料!$G:$G, (MATCH(666, 輔助計算!$G$2:$G$801, 0)+1))&lt;=790,3,IF(INDEX(ERP資料!$G:$G, (MATCH(666, 輔助計算!$G$2:$G$801, 0)+1))&lt;=1181,2,1)))=2,TEXT(INDEX(ERP資料!$G:$G, (MATCH(666, 輔助計算!$G$2:$G$801, 0)+1)),"0.##")&amp;"+"&amp;TEXT(INDEX(ERP資料!$G:$G, (MATCH(666, 輔助計算!$G$2:$G$801, 0)+1)),"0.##"),TEXT(INDEX(ERP資料!$G:$G, (MATCH(666, 輔助計算!$G$2:$G$801, 0)+1)),"0.##")&amp;"+"&amp;TEXT(INDEX(ERP資料!$G:$G, (MATCH(666, 輔助計算!$G$2:$G$801, 0)+1)),"0.##")&amp;"+"&amp;TEXT(INDEX(ERP資料!$G:$G, (MATCH(666, 輔助計算!$G$2:$G$801, 0)+1)),"0.##")))&amp;"-"&amp;INT(INDEX(輔助計算!$D:$D, (MATCH(666, 輔助計算!$G$2:$G$801, 0)+1))/IF(INDEX(ERP資料!$G:$G, (MATCH(666, 輔助計算!$G$2:$G$801, 0)+1))&lt;100, IF(INDEX(ERP資料!$G:$G, (MATCH(666, 輔助計算!$G$2:$G$801, 0)+1))&lt;=31,3,IF(INDEX(ERP資料!$G:$G, (MATCH(666, 輔助計算!$G$2:$G$801, 0)+1))&lt;=46.5,2,1)), IF(INDEX(ERP資料!$G:$G, (MATCH(666, 輔助計算!$G$2:$G$801, 0)+1))&lt;=790,3,IF(INDEX(ERP資料!$G:$G, (MATCH(666, 輔助計算!$G$2:$G$801, 0)+1))&lt;=1181,2,1)))), "")&amp;IF(AND(IF(INT(INDEX(輔助計算!$D:$D, (MATCH(666, 輔助計算!$G$2:$G$801, 0)+1))/IF(INDEX(ERP資料!$G:$G, (MATCH(666, 輔助計算!$G$2:$G$801, 0)+1))&lt;100, IF(INDEX(ERP資料!$G:$G, (MATCH(666, 輔助計算!$G$2:$G$801, 0)+1))&lt;=31,3,IF(INDEX(ERP資料!$G:$G, (MATCH(666, 輔助計算!$G$2:$G$801, 0)+1))&lt;=46.5,2,1)), IF(INDEX(ERP資料!$G:$G, (MATCH(666, 輔助計算!$G$2:$G$801, 0)+1))&lt;=790,3,IF(INDEX(ERP資料!$G:$G, (MATCH(666, 輔助計算!$G$2:$G$801, 0)+1))&lt;=1181,2,1))))&gt;0, IF(IF(INDEX(ERP資料!$G:$G, (MATCH(666, 輔助計算!$G$2:$G$801, 0)+1))&lt;100, IF(INDEX(ERP資料!$G:$G, (MATCH(666, 輔助計算!$G$2:$G$801, 0)+1))&lt;=31,3,IF(INDEX(ERP資料!$G:$G, (MATCH(666, 輔助計算!$G$2:$G$801, 0)+1))&lt;=46.5,2,1)), IF(INDEX(ERP資料!$G:$G, (MATCH(666, 輔助計算!$G$2:$G$801, 0)+1))&lt;=790,3,IF(INDEX(ERP資料!$G:$G, (MATCH(666, 輔助計算!$G$2:$G$801, 0)+1))&lt;=1181,2,1)))=1,TEXT(INDEX(ERP資料!$G:$G, (MATCH(666, 輔助計算!$G$2:$G$801, 0)+1)),"0.##"),IF(IF(INDEX(ERP資料!$G:$G, (MATCH(666, 輔助計算!$G$2:$G$801, 0)+1))&lt;100, IF(INDEX(ERP資料!$G:$G, (MATCH(666, 輔助計算!$G$2:$G$801, 0)+1))&lt;=31,3,IF(INDEX(ERP資料!$G:$G, (MATCH(666, 輔助計算!$G$2:$G$801, 0)+1))&lt;=46.5,2,1)), IF(INDEX(ERP資料!$G:$G, (MATCH(666, 輔助計算!$G$2:$G$801, 0)+1))&lt;=790,3,IF(INDEX(ERP資料!$G:$G, (MATCH(666, 輔助計算!$G$2:$G$801, 0)+1))&lt;=1181,2,1)))=2,TEXT(INDEX(ERP資料!$G:$G, (MATCH(666, 輔助計算!$G$2:$G$801, 0)+1)),"0.##")&amp;"+"&amp;TEXT(INDEX(ERP資料!$G:$G, (MATCH(666, 輔助計算!$G$2:$G$801, 0)+1)),"0.##"),TEXT(INDEX(ERP資料!$G:$G, (MATCH(666, 輔助計算!$G$2:$G$801, 0)+1)),"0.##")&amp;"+"&amp;TEXT(INDEX(ERP資料!$G:$G, (MATCH(666, 輔助計算!$G$2:$G$801, 0)+1)),"0.##")&amp;"+"&amp;TEXT(INDEX(ERP資料!$G:$G, (MATCH(666, 輔助計算!$G$2:$G$801, 0)+1)),"0.##")))&amp;"-"&amp;INT(INDEX(輔助計算!$D:$D, (MATCH(666, 輔助計算!$G$2:$G$801, 0)+1))/IF(INDEX(ERP資料!$G:$G, (MATCH(666, 輔助計算!$G$2:$G$801, 0)+1))&lt;100, IF(INDEX(ERP資料!$G:$G, (MATCH(666, 輔助計算!$G$2:$G$801, 0)+1))&lt;=31,3,IF(INDEX(ERP資料!$G:$G, (MATCH(666, 輔助計算!$G$2:$G$801, 0)+1))&lt;=46.5,2,1)), IF(INDEX(ERP資料!$G:$G, (MATCH(666, 輔助計算!$G$2:$G$801, 0)+1))&lt;=790,3,IF(INDEX(ERP資料!$G:$G, (MATCH(666, 輔助計算!$G$2:$G$801, 0)+1))&lt;=1181,2,1)))), "")&lt;&gt;"",IF(MOD(INDEX(輔助計算!$D:$D, (MATCH(666, 輔助計算!$G$2:$G$801, 0)+1)),IF(INDEX(ERP資料!$G:$G, (MATCH(666, 輔助計算!$G$2:$G$801, 0)+1))&lt;100, IF(INDEX(ERP資料!$G:$G, (MATCH(666, 輔助計算!$G$2:$G$801, 0)+1))&lt;=31,3,IF(INDEX(ERP資料!$G:$G, (MATCH(666, 輔助計算!$G$2:$G$801, 0)+1))&lt;=46.5,2,1)), IF(INDEX(ERP資料!$G:$G, (MATCH(666, 輔助計算!$G$2:$G$801, 0)+1))&lt;=790,3,IF(INDEX(ERP資料!$G:$G, (MATCH(666, 輔助計算!$G$2:$G$801, 0)+1))&lt;=1181,2,1))))=0,"",IF(MOD(INDEX(輔助計算!$D:$D, (MATCH(666, 輔助計算!$G$2:$G$801, 0)+1)),IF(INDEX(ERP資料!$G:$G, (MATCH(666, 輔助計算!$G$2:$G$801, 0)+1))&lt;100, IF(INDEX(ERP資料!$G:$G, (MATCH(666, 輔助計算!$G$2:$G$801, 0)+1))&lt;=31,3,IF(INDEX(ERP資料!$G:$G, (MATCH(666, 輔助計算!$G$2:$G$801, 0)+1))&lt;=46.5,2,1)), IF(INDEX(ERP資料!$G:$G, (MATCH(666, 輔助計算!$G$2:$G$801, 0)+1))&lt;=790,3,IF(INDEX(ERP資料!$G:$G, (MATCH(666, 輔助計算!$G$2:$G$801, 0)+1))&lt;=1181,2,1))))=0,"",IF(MOD(INDEX(輔助計算!$D:$D, (MATCH(666, 輔助計算!$G$2:$G$801, 0)+1)),IF(INDEX(ERP資料!$G:$G, (MATCH(666, 輔助計算!$G$2:$G$801, 0)+1))&lt;100, IF(INDEX(ERP資料!$G:$G, (MATCH(666, 輔助計算!$G$2:$G$801, 0)+1))&lt;=31,3,IF(INDEX(ERP資料!$G:$G, (MATCH(666, 輔助計算!$G$2:$G$801, 0)+1))&lt;=46.5,2,1)), IF(INDEX(ERP資料!$G:$G, (MATCH(666, 輔助計算!$G$2:$G$801, 0)+1))&lt;=790,3,IF(INDEX(ERP資料!$G:$G, (MATCH(666, 輔助計算!$G$2:$G$801, 0)+1))&lt;=1181,2,1))))=1,TEXT(INDEX(ERP資料!$G:$G, (MATCH(666, 輔助計算!$G$2:$G$801, 0)+1)),"0.##"),IF(MOD(INDEX(輔助計算!$D:$D, (MATCH(666, 輔助計算!$G$2:$G$801, 0)+1)),IF(INDEX(ERP資料!$G:$G, (MATCH(666, 輔助計算!$G$2:$G$801, 0)+1))&lt;100, IF(INDEX(ERP資料!$G:$G, (MATCH(666, 輔助計算!$G$2:$G$801, 0)+1))&lt;=31,3,IF(INDEX(ERP資料!$G:$G, (MATCH(666, 輔助計算!$G$2:$G$801, 0)+1))&lt;=46.5,2,1)), IF(INDEX(ERP資料!$G:$G, (MATCH(666, 輔助計算!$G$2:$G$801, 0)+1))&lt;=790,3,IF(INDEX(ERP資料!$G:$G, (MATCH(666, 輔助計算!$G$2:$G$801, 0)+1))&lt;=1181,2,1))))=2,TEXT(INDEX(ERP資料!$G:$G, (MATCH(666, 輔助計算!$G$2:$G$801, 0)+1)),"0.##")&amp;"+"&amp;TEXT(INDEX(ERP資料!$G:$G, (MATCH(666, 輔助計算!$G$2:$G$801, 0)+1)),"0.##"),TEXT(INDEX(ERP資料!$G:$G, (MATCH(666, 輔助計算!$G$2:$G$801, 0)+1)),"0.##")&amp;"+"&amp;TEXT(INDEX(ERP資料!$G:$G, (MATCH(666, 輔助計算!$G$2:$G$801, 0)+1)),"0.##")&amp;"+"&amp;TEXT(INDEX(ERP資料!$G:$G, (MATCH(666, 輔助計算!$G$2:$G$801, 0)+1)),"0.##"))))&amp;"-1")&lt;&gt;""),"  ","")&amp;IF(MOD(INDEX(輔助計算!$D:$D, (MATCH(666, 輔助計算!$G$2:$G$801, 0)+1)),IF(INDEX(ERP資料!$G:$G, (MATCH(666, 輔助計算!$G$2:$G$801, 0)+1))&lt;100, IF(INDEX(ERP資料!$G:$G, (MATCH(666, 輔助計算!$G$2:$G$801, 0)+1))&lt;=31,3,IF(INDEX(ERP資料!$G:$G, (MATCH(666, 輔助計算!$G$2:$G$801, 0)+1))&lt;=46.5,2,1)), IF(INDEX(ERP資料!$G:$G, (MATCH(666, 輔助計算!$G$2:$G$801, 0)+1))&lt;=790,3,IF(INDEX(ERP資料!$G:$G, (MATCH(666, 輔助計算!$G$2:$G$801, 0)+1))&lt;=1181,2,1))))=0,"",IF(MOD(INDEX(輔助計算!$D:$D, (MATCH(666, 輔助計算!$G$2:$G$801, 0)+1)),IF(INDEX(ERP資料!$G:$G, (MATCH(666, 輔助計算!$G$2:$G$801, 0)+1))&lt;100, IF(INDEX(ERP資料!$G:$G, (MATCH(666, 輔助計算!$G$2:$G$801, 0)+1))&lt;=31,3,IF(INDEX(ERP資料!$G:$G, (MATCH(666, 輔助計算!$G$2:$G$801, 0)+1))&lt;=46.5,2,1)), IF(INDEX(ERP資料!$G:$G, (MATCH(666, 輔助計算!$G$2:$G$801, 0)+1))&lt;=790,3,IF(INDEX(ERP資料!$G:$G, (MATCH(666, 輔助計算!$G$2:$G$801, 0)+1))&lt;=1181,2,1))))=0,"",IF(MOD(INDEX(輔助計算!$D:$D, (MATCH(666, 輔助計算!$G$2:$G$801, 0)+1)),IF(INDEX(ERP資料!$G:$G, (MATCH(666, 輔助計算!$G$2:$G$801, 0)+1))&lt;100, IF(INDEX(ERP資料!$G:$G, (MATCH(666, 輔助計算!$G$2:$G$801, 0)+1))&lt;=31,3,IF(INDEX(ERP資料!$G:$G, (MATCH(666, 輔助計算!$G$2:$G$801, 0)+1))&lt;=46.5,2,1)), IF(INDEX(ERP資料!$G:$G, (MATCH(666, 輔助計算!$G$2:$G$801, 0)+1))&lt;=790,3,IF(INDEX(ERP資料!$G:$G, (MATCH(666, 輔助計算!$G$2:$G$801, 0)+1))&lt;=1181,2,1))))=1,TEXT(INDEX(ERP資料!$G:$G, (MATCH(666, 輔助計算!$G$2:$G$801, 0)+1)),"0.##"),IF(MOD(INDEX(輔助計算!$D:$D, (MATCH(666, 輔助計算!$G$2:$G$801, 0)+1)),IF(INDEX(ERP資料!$G:$G, (MATCH(666, 輔助計算!$G$2:$G$801, 0)+1))&lt;100, IF(INDEX(ERP資料!$G:$G, (MATCH(666, 輔助計算!$G$2:$G$801, 0)+1))&lt;=31,3,IF(INDEX(ERP資料!$G:$G, (MATCH(666, 輔助計算!$G$2:$G$801, 0)+1))&lt;=46.5,2,1)), IF(INDEX(ERP資料!$G:$G, (MATCH(666, 輔助計算!$G$2:$G$801, 0)+1))&lt;=790,3,IF(INDEX(ERP資料!$G:$G, (MATCH(666, 輔助計算!$G$2:$G$801, 0)+1))&lt;=1181,2,1))))=2,TEXT(INDEX(ERP資料!$G:$G, (MATCH(666, 輔助計算!$G$2:$G$801, 0)+1)),"0.##")&amp;"+"&amp;TEXT(INDEX(ERP資料!$G:$G, (MATCH(666, 輔助計算!$G$2:$G$801, 0)+1)),"0.##"),TEXT(INDEX(ERP資料!$G:$G, (MATCH(666, 輔助計算!$G$2:$G$801, 0)+1)),"0.##")&amp;"+"&amp;TEXT(INDEX(ERP資料!$G:$G, (MATCH(666, 輔助計算!$G$2:$G$801, 0)+1)),"0.##")&amp;"+"&amp;TEXT(INDEX(ERP資料!$G:$G, (MATCH(666, 輔助計算!$G$2:$G$801, 0)+1)),"0.##"))))&amp;"-1")), ""), "")</f>
        <v/>
      </c>
      <c r="K667" s="16" t="n"/>
      <c r="L667" s="14">
        <f>IFERROR(IF(AND(IFERROR(INDEX(ERP資料!$A:$A, (MATCH(666, 輔助計算!$G$2:$G$801, 0)+1)), "")&lt;&gt;"", IFERROR(INDEX(ERP資料!$A:$A, (MATCH(666, 輔助計算!$G$2:$G$801, 0)+1)), "")&lt;&gt;IFERROR(INDEX(ERP資料!$A:$A, MATCH(665, 輔助計算!$G$2:$G$801, 0)+1), "")), INDEX(ERP資料!$B:$B, (MATCH(666, 輔助計算!$G$2:$G$801, 0)+1)), ""), "")</f>
        <v/>
      </c>
      <c r="M667" s="17" t="n"/>
    </row>
    <row r="668">
      <c r="A668" s="10">
        <f>IFERROR(IF(AND(IFERROR(INDEX(ERP資料!$A:$A, (MATCH(667, 輔助計算!$G$2:$G$801, 0)+1)), "")&lt;&gt;"", IFERROR(INDEX(ERP資料!$A:$A, (MATCH(667, 輔助計算!$G$2:$G$801, 0)+1)), "")&lt;&gt;IFERROR(INDEX(ERP資料!$A:$A, MATCH(666, 輔助計算!$G$2:$G$801, 0)+1), "")), IFERROR(INDEX(ERP資料!$A:$A, (MATCH(667, 輔助計算!$G$2:$G$801, 0)+1)), ""), ""), "")</f>
        <v/>
      </c>
      <c r="B668" s="10">
        <f>IFERROR(IF(AND(IFERROR(INDEX(ERP資料!$A:$A, (MATCH(667, 輔助計算!$G$2:$G$801, 0)+1)), "")&lt;&gt;"", IFERROR(INDEX(ERP資料!$A:$A, (MATCH(667, 輔助計算!$G$2:$G$801, 0)+1)), "")&lt;&gt;IFERROR(INDEX(ERP資料!$A:$A, MATCH(666, 輔助計算!$G$2:$G$801, 0)+1), "")), INDEX(ERP資料!$S:$S, (MATCH(667, 輔助計算!$G$2:$G$801, 0)+1)), ""), "")</f>
        <v/>
      </c>
      <c r="C668" s="19">
        <f>IFERROR(IF(AND(IFERROR(INDEX(ERP資料!$A:$A, (MATCH(667, 輔助計算!$G$2:$G$801, 0)+1)), "")&lt;&gt;"", IFERROR(INDEX(ERP資料!$A:$A, (MATCH(667, 輔助計算!$G$2:$G$801, 0)+1)), "")&lt;&gt;IFERROR(INDEX(ERP資料!$A:$A, MATCH(666, 輔助計算!$G$2:$G$801, 0)+1), "")), IFERROR(VLOOKUP(LEFT(INDEX(ERP資料!$S:$S, (MATCH(667, 輔助計算!$G$2:$G$801, 0)+1)), 4), 紙管對照表!$A:$C, 3, FALSE), ""), ""), "")</f>
        <v/>
      </c>
      <c r="D668" s="16" t="n"/>
      <c r="E668" s="10">
        <f>IFERROR(IF(INDEX(ERP資料!$H:$H, (MATCH(667, 輔助計算!$G$2:$G$801, 0)+1))="","",INDEX(ERP資料!$H:$H, (MATCH(667, 輔助計算!$G$2:$G$801, 0)+1))), "")</f>
        <v/>
      </c>
      <c r="F668" s="10">
        <f>IFERROR(IF(INDEX(ERP資料!$E:$E, (MATCH(667, 輔助計算!$G$2:$G$801, 0)+1))="","",TRIM(INDEX(ERP資料!$E:$E, (MATCH(667, 輔助計算!$G$2:$G$801, 0)+1)))), "")</f>
        <v/>
      </c>
      <c r="G668" s="10">
        <f>IFERROR(IF(INDEX(ERP資料!$F:$F, (MATCH(667, 輔助計算!$G$2:$G$801, 0)+1))="","",INDEX(ERP資料!$F:$F, (MATCH(667, 輔助計算!$G$2:$G$801, 0)+1))), "")</f>
        <v/>
      </c>
      <c r="H668" s="10">
        <f>IFERROR(IF(INDEX(ERP資料!$G:$G, (MATCH(667, 輔助計算!$G$2:$G$801, 0)+1))="","",INDEX(ERP資料!$G:$G, (MATCH(667, 輔助計算!$G$2:$G$801, 0)+1))), "")</f>
        <v/>
      </c>
      <c r="I668" s="15">
        <f>IFERROR(INDEX(輔助計算!$D:$D, (MATCH(667, 輔助計算!$G$2:$G$801, 0)+1)), "")</f>
        <v/>
      </c>
      <c r="J668" s="15">
        <f>IFERROR(IF(AND(INDEX(輔助計算!$D:$D, (MATCH(667, 輔助計算!$G$2:$G$801, 0)+1))&lt;&gt;"", INDEX(ERP資料!$G:$G, (MATCH(667, 輔助計算!$G$2:$G$801, 0)+1))&lt;&gt;""), TRIM(IF(INT(INDEX(輔助計算!$D:$D, (MATCH(667, 輔助計算!$G$2:$G$801, 0)+1))/IF(INDEX(ERP資料!$G:$G, (MATCH(667, 輔助計算!$G$2:$G$801, 0)+1))&lt;100, IF(INDEX(ERP資料!$G:$G, (MATCH(667, 輔助計算!$G$2:$G$801, 0)+1))&lt;=31,3,IF(INDEX(ERP資料!$G:$G, (MATCH(667, 輔助計算!$G$2:$G$801, 0)+1))&lt;=46.5,2,1)), IF(INDEX(ERP資料!$G:$G, (MATCH(667, 輔助計算!$G$2:$G$801, 0)+1))&lt;=790,3,IF(INDEX(ERP資料!$G:$G, (MATCH(667, 輔助計算!$G$2:$G$801, 0)+1))&lt;=1181,2,1))))&gt;0, IF(IF(INDEX(ERP資料!$G:$G, (MATCH(667, 輔助計算!$G$2:$G$801, 0)+1))&lt;100, IF(INDEX(ERP資料!$G:$G, (MATCH(667, 輔助計算!$G$2:$G$801, 0)+1))&lt;=31,3,IF(INDEX(ERP資料!$G:$G, (MATCH(667, 輔助計算!$G$2:$G$801, 0)+1))&lt;=46.5,2,1)), IF(INDEX(ERP資料!$G:$G, (MATCH(667, 輔助計算!$G$2:$G$801, 0)+1))&lt;=790,3,IF(INDEX(ERP資料!$G:$G, (MATCH(667, 輔助計算!$G$2:$G$801, 0)+1))&lt;=1181,2,1)))=1,TEXT(INDEX(ERP資料!$G:$G, (MATCH(667, 輔助計算!$G$2:$G$801, 0)+1)),"0.##"),IF(IF(INDEX(ERP資料!$G:$G, (MATCH(667, 輔助計算!$G$2:$G$801, 0)+1))&lt;100, IF(INDEX(ERP資料!$G:$G, (MATCH(667, 輔助計算!$G$2:$G$801, 0)+1))&lt;=31,3,IF(INDEX(ERP資料!$G:$G, (MATCH(667, 輔助計算!$G$2:$G$801, 0)+1))&lt;=46.5,2,1)), IF(INDEX(ERP資料!$G:$G, (MATCH(667, 輔助計算!$G$2:$G$801, 0)+1))&lt;=790,3,IF(INDEX(ERP資料!$G:$G, (MATCH(667, 輔助計算!$G$2:$G$801, 0)+1))&lt;=1181,2,1)))=2,TEXT(INDEX(ERP資料!$G:$G, (MATCH(667, 輔助計算!$G$2:$G$801, 0)+1)),"0.##")&amp;"+"&amp;TEXT(INDEX(ERP資料!$G:$G, (MATCH(667, 輔助計算!$G$2:$G$801, 0)+1)),"0.##"),TEXT(INDEX(ERP資料!$G:$G, (MATCH(667, 輔助計算!$G$2:$G$801, 0)+1)),"0.##")&amp;"+"&amp;TEXT(INDEX(ERP資料!$G:$G, (MATCH(667, 輔助計算!$G$2:$G$801, 0)+1)),"0.##")&amp;"+"&amp;TEXT(INDEX(ERP資料!$G:$G, (MATCH(667, 輔助計算!$G$2:$G$801, 0)+1)),"0.##")))&amp;"-"&amp;INT(INDEX(輔助計算!$D:$D, (MATCH(667, 輔助計算!$G$2:$G$801, 0)+1))/IF(INDEX(ERP資料!$G:$G, (MATCH(667, 輔助計算!$G$2:$G$801, 0)+1))&lt;100, IF(INDEX(ERP資料!$G:$G, (MATCH(667, 輔助計算!$G$2:$G$801, 0)+1))&lt;=31,3,IF(INDEX(ERP資料!$G:$G, (MATCH(667, 輔助計算!$G$2:$G$801, 0)+1))&lt;=46.5,2,1)), IF(INDEX(ERP資料!$G:$G, (MATCH(667, 輔助計算!$G$2:$G$801, 0)+1))&lt;=790,3,IF(INDEX(ERP資料!$G:$G, (MATCH(667, 輔助計算!$G$2:$G$801, 0)+1))&lt;=1181,2,1)))), "")&amp;IF(AND(IF(INT(INDEX(輔助計算!$D:$D, (MATCH(667, 輔助計算!$G$2:$G$801, 0)+1))/IF(INDEX(ERP資料!$G:$G, (MATCH(667, 輔助計算!$G$2:$G$801, 0)+1))&lt;100, IF(INDEX(ERP資料!$G:$G, (MATCH(667, 輔助計算!$G$2:$G$801, 0)+1))&lt;=31,3,IF(INDEX(ERP資料!$G:$G, (MATCH(667, 輔助計算!$G$2:$G$801, 0)+1))&lt;=46.5,2,1)), IF(INDEX(ERP資料!$G:$G, (MATCH(667, 輔助計算!$G$2:$G$801, 0)+1))&lt;=790,3,IF(INDEX(ERP資料!$G:$G, (MATCH(667, 輔助計算!$G$2:$G$801, 0)+1))&lt;=1181,2,1))))&gt;0, IF(IF(INDEX(ERP資料!$G:$G, (MATCH(667, 輔助計算!$G$2:$G$801, 0)+1))&lt;100, IF(INDEX(ERP資料!$G:$G, (MATCH(667, 輔助計算!$G$2:$G$801, 0)+1))&lt;=31,3,IF(INDEX(ERP資料!$G:$G, (MATCH(667, 輔助計算!$G$2:$G$801, 0)+1))&lt;=46.5,2,1)), IF(INDEX(ERP資料!$G:$G, (MATCH(667, 輔助計算!$G$2:$G$801, 0)+1))&lt;=790,3,IF(INDEX(ERP資料!$G:$G, (MATCH(667, 輔助計算!$G$2:$G$801, 0)+1))&lt;=1181,2,1)))=1,TEXT(INDEX(ERP資料!$G:$G, (MATCH(667, 輔助計算!$G$2:$G$801, 0)+1)),"0.##"),IF(IF(INDEX(ERP資料!$G:$G, (MATCH(667, 輔助計算!$G$2:$G$801, 0)+1))&lt;100, IF(INDEX(ERP資料!$G:$G, (MATCH(667, 輔助計算!$G$2:$G$801, 0)+1))&lt;=31,3,IF(INDEX(ERP資料!$G:$G, (MATCH(667, 輔助計算!$G$2:$G$801, 0)+1))&lt;=46.5,2,1)), IF(INDEX(ERP資料!$G:$G, (MATCH(667, 輔助計算!$G$2:$G$801, 0)+1))&lt;=790,3,IF(INDEX(ERP資料!$G:$G, (MATCH(667, 輔助計算!$G$2:$G$801, 0)+1))&lt;=1181,2,1)))=2,TEXT(INDEX(ERP資料!$G:$G, (MATCH(667, 輔助計算!$G$2:$G$801, 0)+1)),"0.##")&amp;"+"&amp;TEXT(INDEX(ERP資料!$G:$G, (MATCH(667, 輔助計算!$G$2:$G$801, 0)+1)),"0.##"),TEXT(INDEX(ERP資料!$G:$G, (MATCH(667, 輔助計算!$G$2:$G$801, 0)+1)),"0.##")&amp;"+"&amp;TEXT(INDEX(ERP資料!$G:$G, (MATCH(667, 輔助計算!$G$2:$G$801, 0)+1)),"0.##")&amp;"+"&amp;TEXT(INDEX(ERP資料!$G:$G, (MATCH(667, 輔助計算!$G$2:$G$801, 0)+1)),"0.##")))&amp;"-"&amp;INT(INDEX(輔助計算!$D:$D, (MATCH(667, 輔助計算!$G$2:$G$801, 0)+1))/IF(INDEX(ERP資料!$G:$G, (MATCH(667, 輔助計算!$G$2:$G$801, 0)+1))&lt;100, IF(INDEX(ERP資料!$G:$G, (MATCH(667, 輔助計算!$G$2:$G$801, 0)+1))&lt;=31,3,IF(INDEX(ERP資料!$G:$G, (MATCH(667, 輔助計算!$G$2:$G$801, 0)+1))&lt;=46.5,2,1)), IF(INDEX(ERP資料!$G:$G, (MATCH(667, 輔助計算!$G$2:$G$801, 0)+1))&lt;=790,3,IF(INDEX(ERP資料!$G:$G, (MATCH(667, 輔助計算!$G$2:$G$801, 0)+1))&lt;=1181,2,1)))), "")&lt;&gt;"",IF(MOD(INDEX(輔助計算!$D:$D, (MATCH(667, 輔助計算!$G$2:$G$801, 0)+1)),IF(INDEX(ERP資料!$G:$G, (MATCH(667, 輔助計算!$G$2:$G$801, 0)+1))&lt;100, IF(INDEX(ERP資料!$G:$G, (MATCH(667, 輔助計算!$G$2:$G$801, 0)+1))&lt;=31,3,IF(INDEX(ERP資料!$G:$G, (MATCH(667, 輔助計算!$G$2:$G$801, 0)+1))&lt;=46.5,2,1)), IF(INDEX(ERP資料!$G:$G, (MATCH(667, 輔助計算!$G$2:$G$801, 0)+1))&lt;=790,3,IF(INDEX(ERP資料!$G:$G, (MATCH(667, 輔助計算!$G$2:$G$801, 0)+1))&lt;=1181,2,1))))=0,"",IF(MOD(INDEX(輔助計算!$D:$D, (MATCH(667, 輔助計算!$G$2:$G$801, 0)+1)),IF(INDEX(ERP資料!$G:$G, (MATCH(667, 輔助計算!$G$2:$G$801, 0)+1))&lt;100, IF(INDEX(ERP資料!$G:$G, (MATCH(667, 輔助計算!$G$2:$G$801, 0)+1))&lt;=31,3,IF(INDEX(ERP資料!$G:$G, (MATCH(667, 輔助計算!$G$2:$G$801, 0)+1))&lt;=46.5,2,1)), IF(INDEX(ERP資料!$G:$G, (MATCH(667, 輔助計算!$G$2:$G$801, 0)+1))&lt;=790,3,IF(INDEX(ERP資料!$G:$G, (MATCH(667, 輔助計算!$G$2:$G$801, 0)+1))&lt;=1181,2,1))))=0,"",IF(MOD(INDEX(輔助計算!$D:$D, (MATCH(667, 輔助計算!$G$2:$G$801, 0)+1)),IF(INDEX(ERP資料!$G:$G, (MATCH(667, 輔助計算!$G$2:$G$801, 0)+1))&lt;100, IF(INDEX(ERP資料!$G:$G, (MATCH(667, 輔助計算!$G$2:$G$801, 0)+1))&lt;=31,3,IF(INDEX(ERP資料!$G:$G, (MATCH(667, 輔助計算!$G$2:$G$801, 0)+1))&lt;=46.5,2,1)), IF(INDEX(ERP資料!$G:$G, (MATCH(667, 輔助計算!$G$2:$G$801, 0)+1))&lt;=790,3,IF(INDEX(ERP資料!$G:$G, (MATCH(667, 輔助計算!$G$2:$G$801, 0)+1))&lt;=1181,2,1))))=1,TEXT(INDEX(ERP資料!$G:$G, (MATCH(667, 輔助計算!$G$2:$G$801, 0)+1)),"0.##"),IF(MOD(INDEX(輔助計算!$D:$D, (MATCH(667, 輔助計算!$G$2:$G$801, 0)+1)),IF(INDEX(ERP資料!$G:$G, (MATCH(667, 輔助計算!$G$2:$G$801, 0)+1))&lt;100, IF(INDEX(ERP資料!$G:$G, (MATCH(667, 輔助計算!$G$2:$G$801, 0)+1))&lt;=31,3,IF(INDEX(ERP資料!$G:$G, (MATCH(667, 輔助計算!$G$2:$G$801, 0)+1))&lt;=46.5,2,1)), IF(INDEX(ERP資料!$G:$G, (MATCH(667, 輔助計算!$G$2:$G$801, 0)+1))&lt;=790,3,IF(INDEX(ERP資料!$G:$G, (MATCH(667, 輔助計算!$G$2:$G$801, 0)+1))&lt;=1181,2,1))))=2,TEXT(INDEX(ERP資料!$G:$G, (MATCH(667, 輔助計算!$G$2:$G$801, 0)+1)),"0.##")&amp;"+"&amp;TEXT(INDEX(ERP資料!$G:$G, (MATCH(667, 輔助計算!$G$2:$G$801, 0)+1)),"0.##"),TEXT(INDEX(ERP資料!$G:$G, (MATCH(667, 輔助計算!$G$2:$G$801, 0)+1)),"0.##")&amp;"+"&amp;TEXT(INDEX(ERP資料!$G:$G, (MATCH(667, 輔助計算!$G$2:$G$801, 0)+1)),"0.##")&amp;"+"&amp;TEXT(INDEX(ERP資料!$G:$G, (MATCH(667, 輔助計算!$G$2:$G$801, 0)+1)),"0.##"))))&amp;"-1")&lt;&gt;""),"  ","")&amp;IF(MOD(INDEX(輔助計算!$D:$D, (MATCH(667, 輔助計算!$G$2:$G$801, 0)+1)),IF(INDEX(ERP資料!$G:$G, (MATCH(667, 輔助計算!$G$2:$G$801, 0)+1))&lt;100, IF(INDEX(ERP資料!$G:$G, (MATCH(667, 輔助計算!$G$2:$G$801, 0)+1))&lt;=31,3,IF(INDEX(ERP資料!$G:$G, (MATCH(667, 輔助計算!$G$2:$G$801, 0)+1))&lt;=46.5,2,1)), IF(INDEX(ERP資料!$G:$G, (MATCH(667, 輔助計算!$G$2:$G$801, 0)+1))&lt;=790,3,IF(INDEX(ERP資料!$G:$G, (MATCH(667, 輔助計算!$G$2:$G$801, 0)+1))&lt;=1181,2,1))))=0,"",IF(MOD(INDEX(輔助計算!$D:$D, (MATCH(667, 輔助計算!$G$2:$G$801, 0)+1)),IF(INDEX(ERP資料!$G:$G, (MATCH(667, 輔助計算!$G$2:$G$801, 0)+1))&lt;100, IF(INDEX(ERP資料!$G:$G, (MATCH(667, 輔助計算!$G$2:$G$801, 0)+1))&lt;=31,3,IF(INDEX(ERP資料!$G:$G, (MATCH(667, 輔助計算!$G$2:$G$801, 0)+1))&lt;=46.5,2,1)), IF(INDEX(ERP資料!$G:$G, (MATCH(667, 輔助計算!$G$2:$G$801, 0)+1))&lt;=790,3,IF(INDEX(ERP資料!$G:$G, (MATCH(667, 輔助計算!$G$2:$G$801, 0)+1))&lt;=1181,2,1))))=0,"",IF(MOD(INDEX(輔助計算!$D:$D, (MATCH(667, 輔助計算!$G$2:$G$801, 0)+1)),IF(INDEX(ERP資料!$G:$G, (MATCH(667, 輔助計算!$G$2:$G$801, 0)+1))&lt;100, IF(INDEX(ERP資料!$G:$G, (MATCH(667, 輔助計算!$G$2:$G$801, 0)+1))&lt;=31,3,IF(INDEX(ERP資料!$G:$G, (MATCH(667, 輔助計算!$G$2:$G$801, 0)+1))&lt;=46.5,2,1)), IF(INDEX(ERP資料!$G:$G, (MATCH(667, 輔助計算!$G$2:$G$801, 0)+1))&lt;=790,3,IF(INDEX(ERP資料!$G:$G, (MATCH(667, 輔助計算!$G$2:$G$801, 0)+1))&lt;=1181,2,1))))=1,TEXT(INDEX(ERP資料!$G:$G, (MATCH(667, 輔助計算!$G$2:$G$801, 0)+1)),"0.##"),IF(MOD(INDEX(輔助計算!$D:$D, (MATCH(667, 輔助計算!$G$2:$G$801, 0)+1)),IF(INDEX(ERP資料!$G:$G, (MATCH(667, 輔助計算!$G$2:$G$801, 0)+1))&lt;100, IF(INDEX(ERP資料!$G:$G, (MATCH(667, 輔助計算!$G$2:$G$801, 0)+1))&lt;=31,3,IF(INDEX(ERP資料!$G:$G, (MATCH(667, 輔助計算!$G$2:$G$801, 0)+1))&lt;=46.5,2,1)), IF(INDEX(ERP資料!$G:$G, (MATCH(667, 輔助計算!$G$2:$G$801, 0)+1))&lt;=790,3,IF(INDEX(ERP資料!$G:$G, (MATCH(667, 輔助計算!$G$2:$G$801, 0)+1))&lt;=1181,2,1))))=2,TEXT(INDEX(ERP資料!$G:$G, (MATCH(667, 輔助計算!$G$2:$G$801, 0)+1)),"0.##")&amp;"+"&amp;TEXT(INDEX(ERP資料!$G:$G, (MATCH(667, 輔助計算!$G$2:$G$801, 0)+1)),"0.##"),TEXT(INDEX(ERP資料!$G:$G, (MATCH(667, 輔助計算!$G$2:$G$801, 0)+1)),"0.##")&amp;"+"&amp;TEXT(INDEX(ERP資料!$G:$G, (MATCH(667, 輔助計算!$G$2:$G$801, 0)+1)),"0.##")&amp;"+"&amp;TEXT(INDEX(ERP資料!$G:$G, (MATCH(667, 輔助計算!$G$2:$G$801, 0)+1)),"0.##"))))&amp;"-1")), ""), "")</f>
        <v/>
      </c>
      <c r="K668" s="16" t="n"/>
      <c r="L668" s="14">
        <f>IFERROR(IF(AND(IFERROR(INDEX(ERP資料!$A:$A, (MATCH(667, 輔助計算!$G$2:$G$801, 0)+1)), "")&lt;&gt;"", IFERROR(INDEX(ERP資料!$A:$A, (MATCH(667, 輔助計算!$G$2:$G$801, 0)+1)), "")&lt;&gt;IFERROR(INDEX(ERP資料!$A:$A, MATCH(666, 輔助計算!$G$2:$G$801, 0)+1), "")), INDEX(ERP資料!$B:$B, (MATCH(667, 輔助計算!$G$2:$G$801, 0)+1)), ""), "")</f>
        <v/>
      </c>
      <c r="M668" s="17" t="n"/>
    </row>
    <row r="669">
      <c r="A669" s="10">
        <f>IFERROR(IF(AND(IFERROR(INDEX(ERP資料!$A:$A, (MATCH(668, 輔助計算!$G$2:$G$801, 0)+1)), "")&lt;&gt;"", IFERROR(INDEX(ERP資料!$A:$A, (MATCH(668, 輔助計算!$G$2:$G$801, 0)+1)), "")&lt;&gt;IFERROR(INDEX(ERP資料!$A:$A, MATCH(667, 輔助計算!$G$2:$G$801, 0)+1), "")), IFERROR(INDEX(ERP資料!$A:$A, (MATCH(668, 輔助計算!$G$2:$G$801, 0)+1)), ""), ""), "")</f>
        <v/>
      </c>
      <c r="B669" s="10">
        <f>IFERROR(IF(AND(IFERROR(INDEX(ERP資料!$A:$A, (MATCH(668, 輔助計算!$G$2:$G$801, 0)+1)), "")&lt;&gt;"", IFERROR(INDEX(ERP資料!$A:$A, (MATCH(668, 輔助計算!$G$2:$G$801, 0)+1)), "")&lt;&gt;IFERROR(INDEX(ERP資料!$A:$A, MATCH(667, 輔助計算!$G$2:$G$801, 0)+1), "")), INDEX(ERP資料!$S:$S, (MATCH(668, 輔助計算!$G$2:$G$801, 0)+1)), ""), "")</f>
        <v/>
      </c>
      <c r="C669" s="19">
        <f>IFERROR(IF(AND(IFERROR(INDEX(ERP資料!$A:$A, (MATCH(668, 輔助計算!$G$2:$G$801, 0)+1)), "")&lt;&gt;"", IFERROR(INDEX(ERP資料!$A:$A, (MATCH(668, 輔助計算!$G$2:$G$801, 0)+1)), "")&lt;&gt;IFERROR(INDEX(ERP資料!$A:$A, MATCH(667, 輔助計算!$G$2:$G$801, 0)+1), "")), IFERROR(VLOOKUP(LEFT(INDEX(ERP資料!$S:$S, (MATCH(668, 輔助計算!$G$2:$G$801, 0)+1)), 4), 紙管對照表!$A:$C, 3, FALSE), ""), ""), "")</f>
        <v/>
      </c>
      <c r="D669" s="16" t="n"/>
      <c r="E669" s="10">
        <f>IFERROR(IF(INDEX(ERP資料!$H:$H, (MATCH(668, 輔助計算!$G$2:$G$801, 0)+1))="","",INDEX(ERP資料!$H:$H, (MATCH(668, 輔助計算!$G$2:$G$801, 0)+1))), "")</f>
        <v/>
      </c>
      <c r="F669" s="10">
        <f>IFERROR(IF(INDEX(ERP資料!$E:$E, (MATCH(668, 輔助計算!$G$2:$G$801, 0)+1))="","",TRIM(INDEX(ERP資料!$E:$E, (MATCH(668, 輔助計算!$G$2:$G$801, 0)+1)))), "")</f>
        <v/>
      </c>
      <c r="G669" s="10">
        <f>IFERROR(IF(INDEX(ERP資料!$F:$F, (MATCH(668, 輔助計算!$G$2:$G$801, 0)+1))="","",INDEX(ERP資料!$F:$F, (MATCH(668, 輔助計算!$G$2:$G$801, 0)+1))), "")</f>
        <v/>
      </c>
      <c r="H669" s="10">
        <f>IFERROR(IF(INDEX(ERP資料!$G:$G, (MATCH(668, 輔助計算!$G$2:$G$801, 0)+1))="","",INDEX(ERP資料!$G:$G, (MATCH(668, 輔助計算!$G$2:$G$801, 0)+1))), "")</f>
        <v/>
      </c>
      <c r="I669" s="15">
        <f>IFERROR(INDEX(輔助計算!$D:$D, (MATCH(668, 輔助計算!$G$2:$G$801, 0)+1)), "")</f>
        <v/>
      </c>
      <c r="J669" s="15">
        <f>IFERROR(IF(AND(INDEX(輔助計算!$D:$D, (MATCH(668, 輔助計算!$G$2:$G$801, 0)+1))&lt;&gt;"", INDEX(ERP資料!$G:$G, (MATCH(668, 輔助計算!$G$2:$G$801, 0)+1))&lt;&gt;""), TRIM(IF(INT(INDEX(輔助計算!$D:$D, (MATCH(668, 輔助計算!$G$2:$G$801, 0)+1))/IF(INDEX(ERP資料!$G:$G, (MATCH(668, 輔助計算!$G$2:$G$801, 0)+1))&lt;100, IF(INDEX(ERP資料!$G:$G, (MATCH(668, 輔助計算!$G$2:$G$801, 0)+1))&lt;=31,3,IF(INDEX(ERP資料!$G:$G, (MATCH(668, 輔助計算!$G$2:$G$801, 0)+1))&lt;=46.5,2,1)), IF(INDEX(ERP資料!$G:$G, (MATCH(668, 輔助計算!$G$2:$G$801, 0)+1))&lt;=790,3,IF(INDEX(ERP資料!$G:$G, (MATCH(668, 輔助計算!$G$2:$G$801, 0)+1))&lt;=1181,2,1))))&gt;0, IF(IF(INDEX(ERP資料!$G:$G, (MATCH(668, 輔助計算!$G$2:$G$801, 0)+1))&lt;100, IF(INDEX(ERP資料!$G:$G, (MATCH(668, 輔助計算!$G$2:$G$801, 0)+1))&lt;=31,3,IF(INDEX(ERP資料!$G:$G, (MATCH(668, 輔助計算!$G$2:$G$801, 0)+1))&lt;=46.5,2,1)), IF(INDEX(ERP資料!$G:$G, (MATCH(668, 輔助計算!$G$2:$G$801, 0)+1))&lt;=790,3,IF(INDEX(ERP資料!$G:$G, (MATCH(668, 輔助計算!$G$2:$G$801, 0)+1))&lt;=1181,2,1)))=1,TEXT(INDEX(ERP資料!$G:$G, (MATCH(668, 輔助計算!$G$2:$G$801, 0)+1)),"0.##"),IF(IF(INDEX(ERP資料!$G:$G, (MATCH(668, 輔助計算!$G$2:$G$801, 0)+1))&lt;100, IF(INDEX(ERP資料!$G:$G, (MATCH(668, 輔助計算!$G$2:$G$801, 0)+1))&lt;=31,3,IF(INDEX(ERP資料!$G:$G, (MATCH(668, 輔助計算!$G$2:$G$801, 0)+1))&lt;=46.5,2,1)), IF(INDEX(ERP資料!$G:$G, (MATCH(668, 輔助計算!$G$2:$G$801, 0)+1))&lt;=790,3,IF(INDEX(ERP資料!$G:$G, (MATCH(668, 輔助計算!$G$2:$G$801, 0)+1))&lt;=1181,2,1)))=2,TEXT(INDEX(ERP資料!$G:$G, (MATCH(668, 輔助計算!$G$2:$G$801, 0)+1)),"0.##")&amp;"+"&amp;TEXT(INDEX(ERP資料!$G:$G, (MATCH(668, 輔助計算!$G$2:$G$801, 0)+1)),"0.##"),TEXT(INDEX(ERP資料!$G:$G, (MATCH(668, 輔助計算!$G$2:$G$801, 0)+1)),"0.##")&amp;"+"&amp;TEXT(INDEX(ERP資料!$G:$G, (MATCH(668, 輔助計算!$G$2:$G$801, 0)+1)),"0.##")&amp;"+"&amp;TEXT(INDEX(ERP資料!$G:$G, (MATCH(668, 輔助計算!$G$2:$G$801, 0)+1)),"0.##")))&amp;"-"&amp;INT(INDEX(輔助計算!$D:$D, (MATCH(668, 輔助計算!$G$2:$G$801, 0)+1))/IF(INDEX(ERP資料!$G:$G, (MATCH(668, 輔助計算!$G$2:$G$801, 0)+1))&lt;100, IF(INDEX(ERP資料!$G:$G, (MATCH(668, 輔助計算!$G$2:$G$801, 0)+1))&lt;=31,3,IF(INDEX(ERP資料!$G:$G, (MATCH(668, 輔助計算!$G$2:$G$801, 0)+1))&lt;=46.5,2,1)), IF(INDEX(ERP資料!$G:$G, (MATCH(668, 輔助計算!$G$2:$G$801, 0)+1))&lt;=790,3,IF(INDEX(ERP資料!$G:$G, (MATCH(668, 輔助計算!$G$2:$G$801, 0)+1))&lt;=1181,2,1)))), "")&amp;IF(AND(IF(INT(INDEX(輔助計算!$D:$D, (MATCH(668, 輔助計算!$G$2:$G$801, 0)+1))/IF(INDEX(ERP資料!$G:$G, (MATCH(668, 輔助計算!$G$2:$G$801, 0)+1))&lt;100, IF(INDEX(ERP資料!$G:$G, (MATCH(668, 輔助計算!$G$2:$G$801, 0)+1))&lt;=31,3,IF(INDEX(ERP資料!$G:$G, (MATCH(668, 輔助計算!$G$2:$G$801, 0)+1))&lt;=46.5,2,1)), IF(INDEX(ERP資料!$G:$G, (MATCH(668, 輔助計算!$G$2:$G$801, 0)+1))&lt;=790,3,IF(INDEX(ERP資料!$G:$G, (MATCH(668, 輔助計算!$G$2:$G$801, 0)+1))&lt;=1181,2,1))))&gt;0, IF(IF(INDEX(ERP資料!$G:$G, (MATCH(668, 輔助計算!$G$2:$G$801, 0)+1))&lt;100, IF(INDEX(ERP資料!$G:$G, (MATCH(668, 輔助計算!$G$2:$G$801, 0)+1))&lt;=31,3,IF(INDEX(ERP資料!$G:$G, (MATCH(668, 輔助計算!$G$2:$G$801, 0)+1))&lt;=46.5,2,1)), IF(INDEX(ERP資料!$G:$G, (MATCH(668, 輔助計算!$G$2:$G$801, 0)+1))&lt;=790,3,IF(INDEX(ERP資料!$G:$G, (MATCH(668, 輔助計算!$G$2:$G$801, 0)+1))&lt;=1181,2,1)))=1,TEXT(INDEX(ERP資料!$G:$G, (MATCH(668, 輔助計算!$G$2:$G$801, 0)+1)),"0.##"),IF(IF(INDEX(ERP資料!$G:$G, (MATCH(668, 輔助計算!$G$2:$G$801, 0)+1))&lt;100, IF(INDEX(ERP資料!$G:$G, (MATCH(668, 輔助計算!$G$2:$G$801, 0)+1))&lt;=31,3,IF(INDEX(ERP資料!$G:$G, (MATCH(668, 輔助計算!$G$2:$G$801, 0)+1))&lt;=46.5,2,1)), IF(INDEX(ERP資料!$G:$G, (MATCH(668, 輔助計算!$G$2:$G$801, 0)+1))&lt;=790,3,IF(INDEX(ERP資料!$G:$G, (MATCH(668, 輔助計算!$G$2:$G$801, 0)+1))&lt;=1181,2,1)))=2,TEXT(INDEX(ERP資料!$G:$G, (MATCH(668, 輔助計算!$G$2:$G$801, 0)+1)),"0.##")&amp;"+"&amp;TEXT(INDEX(ERP資料!$G:$G, (MATCH(668, 輔助計算!$G$2:$G$801, 0)+1)),"0.##"),TEXT(INDEX(ERP資料!$G:$G, (MATCH(668, 輔助計算!$G$2:$G$801, 0)+1)),"0.##")&amp;"+"&amp;TEXT(INDEX(ERP資料!$G:$G, (MATCH(668, 輔助計算!$G$2:$G$801, 0)+1)),"0.##")&amp;"+"&amp;TEXT(INDEX(ERP資料!$G:$G, (MATCH(668, 輔助計算!$G$2:$G$801, 0)+1)),"0.##")))&amp;"-"&amp;INT(INDEX(輔助計算!$D:$D, (MATCH(668, 輔助計算!$G$2:$G$801, 0)+1))/IF(INDEX(ERP資料!$G:$G, (MATCH(668, 輔助計算!$G$2:$G$801, 0)+1))&lt;100, IF(INDEX(ERP資料!$G:$G, (MATCH(668, 輔助計算!$G$2:$G$801, 0)+1))&lt;=31,3,IF(INDEX(ERP資料!$G:$G, (MATCH(668, 輔助計算!$G$2:$G$801, 0)+1))&lt;=46.5,2,1)), IF(INDEX(ERP資料!$G:$G, (MATCH(668, 輔助計算!$G$2:$G$801, 0)+1))&lt;=790,3,IF(INDEX(ERP資料!$G:$G, (MATCH(668, 輔助計算!$G$2:$G$801, 0)+1))&lt;=1181,2,1)))), "")&lt;&gt;"",IF(MOD(INDEX(輔助計算!$D:$D, (MATCH(668, 輔助計算!$G$2:$G$801, 0)+1)),IF(INDEX(ERP資料!$G:$G, (MATCH(668, 輔助計算!$G$2:$G$801, 0)+1))&lt;100, IF(INDEX(ERP資料!$G:$G, (MATCH(668, 輔助計算!$G$2:$G$801, 0)+1))&lt;=31,3,IF(INDEX(ERP資料!$G:$G, (MATCH(668, 輔助計算!$G$2:$G$801, 0)+1))&lt;=46.5,2,1)), IF(INDEX(ERP資料!$G:$G, (MATCH(668, 輔助計算!$G$2:$G$801, 0)+1))&lt;=790,3,IF(INDEX(ERP資料!$G:$G, (MATCH(668, 輔助計算!$G$2:$G$801, 0)+1))&lt;=1181,2,1))))=0,"",IF(MOD(INDEX(輔助計算!$D:$D, (MATCH(668, 輔助計算!$G$2:$G$801, 0)+1)),IF(INDEX(ERP資料!$G:$G, (MATCH(668, 輔助計算!$G$2:$G$801, 0)+1))&lt;100, IF(INDEX(ERP資料!$G:$G, (MATCH(668, 輔助計算!$G$2:$G$801, 0)+1))&lt;=31,3,IF(INDEX(ERP資料!$G:$G, (MATCH(668, 輔助計算!$G$2:$G$801, 0)+1))&lt;=46.5,2,1)), IF(INDEX(ERP資料!$G:$G, (MATCH(668, 輔助計算!$G$2:$G$801, 0)+1))&lt;=790,3,IF(INDEX(ERP資料!$G:$G, (MATCH(668, 輔助計算!$G$2:$G$801, 0)+1))&lt;=1181,2,1))))=0,"",IF(MOD(INDEX(輔助計算!$D:$D, (MATCH(668, 輔助計算!$G$2:$G$801, 0)+1)),IF(INDEX(ERP資料!$G:$G, (MATCH(668, 輔助計算!$G$2:$G$801, 0)+1))&lt;100, IF(INDEX(ERP資料!$G:$G, (MATCH(668, 輔助計算!$G$2:$G$801, 0)+1))&lt;=31,3,IF(INDEX(ERP資料!$G:$G, (MATCH(668, 輔助計算!$G$2:$G$801, 0)+1))&lt;=46.5,2,1)), IF(INDEX(ERP資料!$G:$G, (MATCH(668, 輔助計算!$G$2:$G$801, 0)+1))&lt;=790,3,IF(INDEX(ERP資料!$G:$G, (MATCH(668, 輔助計算!$G$2:$G$801, 0)+1))&lt;=1181,2,1))))=1,TEXT(INDEX(ERP資料!$G:$G, (MATCH(668, 輔助計算!$G$2:$G$801, 0)+1)),"0.##"),IF(MOD(INDEX(輔助計算!$D:$D, (MATCH(668, 輔助計算!$G$2:$G$801, 0)+1)),IF(INDEX(ERP資料!$G:$G, (MATCH(668, 輔助計算!$G$2:$G$801, 0)+1))&lt;100, IF(INDEX(ERP資料!$G:$G, (MATCH(668, 輔助計算!$G$2:$G$801, 0)+1))&lt;=31,3,IF(INDEX(ERP資料!$G:$G, (MATCH(668, 輔助計算!$G$2:$G$801, 0)+1))&lt;=46.5,2,1)), IF(INDEX(ERP資料!$G:$G, (MATCH(668, 輔助計算!$G$2:$G$801, 0)+1))&lt;=790,3,IF(INDEX(ERP資料!$G:$G, (MATCH(668, 輔助計算!$G$2:$G$801, 0)+1))&lt;=1181,2,1))))=2,TEXT(INDEX(ERP資料!$G:$G, (MATCH(668, 輔助計算!$G$2:$G$801, 0)+1)),"0.##")&amp;"+"&amp;TEXT(INDEX(ERP資料!$G:$G, (MATCH(668, 輔助計算!$G$2:$G$801, 0)+1)),"0.##"),TEXT(INDEX(ERP資料!$G:$G, (MATCH(668, 輔助計算!$G$2:$G$801, 0)+1)),"0.##")&amp;"+"&amp;TEXT(INDEX(ERP資料!$G:$G, (MATCH(668, 輔助計算!$G$2:$G$801, 0)+1)),"0.##")&amp;"+"&amp;TEXT(INDEX(ERP資料!$G:$G, (MATCH(668, 輔助計算!$G$2:$G$801, 0)+1)),"0.##"))))&amp;"-1")&lt;&gt;""),"  ","")&amp;IF(MOD(INDEX(輔助計算!$D:$D, (MATCH(668, 輔助計算!$G$2:$G$801, 0)+1)),IF(INDEX(ERP資料!$G:$G, (MATCH(668, 輔助計算!$G$2:$G$801, 0)+1))&lt;100, IF(INDEX(ERP資料!$G:$G, (MATCH(668, 輔助計算!$G$2:$G$801, 0)+1))&lt;=31,3,IF(INDEX(ERP資料!$G:$G, (MATCH(668, 輔助計算!$G$2:$G$801, 0)+1))&lt;=46.5,2,1)), IF(INDEX(ERP資料!$G:$G, (MATCH(668, 輔助計算!$G$2:$G$801, 0)+1))&lt;=790,3,IF(INDEX(ERP資料!$G:$G, (MATCH(668, 輔助計算!$G$2:$G$801, 0)+1))&lt;=1181,2,1))))=0,"",IF(MOD(INDEX(輔助計算!$D:$D, (MATCH(668, 輔助計算!$G$2:$G$801, 0)+1)),IF(INDEX(ERP資料!$G:$G, (MATCH(668, 輔助計算!$G$2:$G$801, 0)+1))&lt;100, IF(INDEX(ERP資料!$G:$G, (MATCH(668, 輔助計算!$G$2:$G$801, 0)+1))&lt;=31,3,IF(INDEX(ERP資料!$G:$G, (MATCH(668, 輔助計算!$G$2:$G$801, 0)+1))&lt;=46.5,2,1)), IF(INDEX(ERP資料!$G:$G, (MATCH(668, 輔助計算!$G$2:$G$801, 0)+1))&lt;=790,3,IF(INDEX(ERP資料!$G:$G, (MATCH(668, 輔助計算!$G$2:$G$801, 0)+1))&lt;=1181,2,1))))=0,"",IF(MOD(INDEX(輔助計算!$D:$D, (MATCH(668, 輔助計算!$G$2:$G$801, 0)+1)),IF(INDEX(ERP資料!$G:$G, (MATCH(668, 輔助計算!$G$2:$G$801, 0)+1))&lt;100, IF(INDEX(ERP資料!$G:$G, (MATCH(668, 輔助計算!$G$2:$G$801, 0)+1))&lt;=31,3,IF(INDEX(ERP資料!$G:$G, (MATCH(668, 輔助計算!$G$2:$G$801, 0)+1))&lt;=46.5,2,1)), IF(INDEX(ERP資料!$G:$G, (MATCH(668, 輔助計算!$G$2:$G$801, 0)+1))&lt;=790,3,IF(INDEX(ERP資料!$G:$G, (MATCH(668, 輔助計算!$G$2:$G$801, 0)+1))&lt;=1181,2,1))))=1,TEXT(INDEX(ERP資料!$G:$G, (MATCH(668, 輔助計算!$G$2:$G$801, 0)+1)),"0.##"),IF(MOD(INDEX(輔助計算!$D:$D, (MATCH(668, 輔助計算!$G$2:$G$801, 0)+1)),IF(INDEX(ERP資料!$G:$G, (MATCH(668, 輔助計算!$G$2:$G$801, 0)+1))&lt;100, IF(INDEX(ERP資料!$G:$G, (MATCH(668, 輔助計算!$G$2:$G$801, 0)+1))&lt;=31,3,IF(INDEX(ERP資料!$G:$G, (MATCH(668, 輔助計算!$G$2:$G$801, 0)+1))&lt;=46.5,2,1)), IF(INDEX(ERP資料!$G:$G, (MATCH(668, 輔助計算!$G$2:$G$801, 0)+1))&lt;=790,3,IF(INDEX(ERP資料!$G:$G, (MATCH(668, 輔助計算!$G$2:$G$801, 0)+1))&lt;=1181,2,1))))=2,TEXT(INDEX(ERP資料!$G:$G, (MATCH(668, 輔助計算!$G$2:$G$801, 0)+1)),"0.##")&amp;"+"&amp;TEXT(INDEX(ERP資料!$G:$G, (MATCH(668, 輔助計算!$G$2:$G$801, 0)+1)),"0.##"),TEXT(INDEX(ERP資料!$G:$G, (MATCH(668, 輔助計算!$G$2:$G$801, 0)+1)),"0.##")&amp;"+"&amp;TEXT(INDEX(ERP資料!$G:$G, (MATCH(668, 輔助計算!$G$2:$G$801, 0)+1)),"0.##")&amp;"+"&amp;TEXT(INDEX(ERP資料!$G:$G, (MATCH(668, 輔助計算!$G$2:$G$801, 0)+1)),"0.##"))))&amp;"-1")), ""), "")</f>
        <v/>
      </c>
      <c r="K669" s="16" t="n"/>
      <c r="L669" s="14">
        <f>IFERROR(IF(AND(IFERROR(INDEX(ERP資料!$A:$A, (MATCH(668, 輔助計算!$G$2:$G$801, 0)+1)), "")&lt;&gt;"", IFERROR(INDEX(ERP資料!$A:$A, (MATCH(668, 輔助計算!$G$2:$G$801, 0)+1)), "")&lt;&gt;IFERROR(INDEX(ERP資料!$A:$A, MATCH(667, 輔助計算!$G$2:$G$801, 0)+1), "")), INDEX(ERP資料!$B:$B, (MATCH(668, 輔助計算!$G$2:$G$801, 0)+1)), ""), "")</f>
        <v/>
      </c>
      <c r="M669" s="17" t="n"/>
    </row>
    <row r="670">
      <c r="A670" s="10">
        <f>IFERROR(IF(AND(IFERROR(INDEX(ERP資料!$A:$A, (MATCH(669, 輔助計算!$G$2:$G$801, 0)+1)), "")&lt;&gt;"", IFERROR(INDEX(ERP資料!$A:$A, (MATCH(669, 輔助計算!$G$2:$G$801, 0)+1)), "")&lt;&gt;IFERROR(INDEX(ERP資料!$A:$A, MATCH(668, 輔助計算!$G$2:$G$801, 0)+1), "")), IFERROR(INDEX(ERP資料!$A:$A, (MATCH(669, 輔助計算!$G$2:$G$801, 0)+1)), ""), ""), "")</f>
        <v/>
      </c>
      <c r="B670" s="10">
        <f>IFERROR(IF(AND(IFERROR(INDEX(ERP資料!$A:$A, (MATCH(669, 輔助計算!$G$2:$G$801, 0)+1)), "")&lt;&gt;"", IFERROR(INDEX(ERP資料!$A:$A, (MATCH(669, 輔助計算!$G$2:$G$801, 0)+1)), "")&lt;&gt;IFERROR(INDEX(ERP資料!$A:$A, MATCH(668, 輔助計算!$G$2:$G$801, 0)+1), "")), INDEX(ERP資料!$S:$S, (MATCH(669, 輔助計算!$G$2:$G$801, 0)+1)), ""), "")</f>
        <v/>
      </c>
      <c r="C670" s="19">
        <f>IFERROR(IF(AND(IFERROR(INDEX(ERP資料!$A:$A, (MATCH(669, 輔助計算!$G$2:$G$801, 0)+1)), "")&lt;&gt;"", IFERROR(INDEX(ERP資料!$A:$A, (MATCH(669, 輔助計算!$G$2:$G$801, 0)+1)), "")&lt;&gt;IFERROR(INDEX(ERP資料!$A:$A, MATCH(668, 輔助計算!$G$2:$G$801, 0)+1), "")), IFERROR(VLOOKUP(LEFT(INDEX(ERP資料!$S:$S, (MATCH(669, 輔助計算!$G$2:$G$801, 0)+1)), 4), 紙管對照表!$A:$C, 3, FALSE), ""), ""), "")</f>
        <v/>
      </c>
      <c r="D670" s="16" t="n"/>
      <c r="E670" s="10">
        <f>IFERROR(IF(INDEX(ERP資料!$H:$H, (MATCH(669, 輔助計算!$G$2:$G$801, 0)+1))="","",INDEX(ERP資料!$H:$H, (MATCH(669, 輔助計算!$G$2:$G$801, 0)+1))), "")</f>
        <v/>
      </c>
      <c r="F670" s="10">
        <f>IFERROR(IF(INDEX(ERP資料!$E:$E, (MATCH(669, 輔助計算!$G$2:$G$801, 0)+1))="","",TRIM(INDEX(ERP資料!$E:$E, (MATCH(669, 輔助計算!$G$2:$G$801, 0)+1)))), "")</f>
        <v/>
      </c>
      <c r="G670" s="10">
        <f>IFERROR(IF(INDEX(ERP資料!$F:$F, (MATCH(669, 輔助計算!$G$2:$G$801, 0)+1))="","",INDEX(ERP資料!$F:$F, (MATCH(669, 輔助計算!$G$2:$G$801, 0)+1))), "")</f>
        <v/>
      </c>
      <c r="H670" s="10">
        <f>IFERROR(IF(INDEX(ERP資料!$G:$G, (MATCH(669, 輔助計算!$G$2:$G$801, 0)+1))="","",INDEX(ERP資料!$G:$G, (MATCH(669, 輔助計算!$G$2:$G$801, 0)+1))), "")</f>
        <v/>
      </c>
      <c r="I670" s="15">
        <f>IFERROR(INDEX(輔助計算!$D:$D, (MATCH(669, 輔助計算!$G$2:$G$801, 0)+1)), "")</f>
        <v/>
      </c>
      <c r="J670" s="15">
        <f>IFERROR(IF(AND(INDEX(輔助計算!$D:$D, (MATCH(669, 輔助計算!$G$2:$G$801, 0)+1))&lt;&gt;"", INDEX(ERP資料!$G:$G, (MATCH(669, 輔助計算!$G$2:$G$801, 0)+1))&lt;&gt;""), TRIM(IF(INT(INDEX(輔助計算!$D:$D, (MATCH(669, 輔助計算!$G$2:$G$801, 0)+1))/IF(INDEX(ERP資料!$G:$G, (MATCH(669, 輔助計算!$G$2:$G$801, 0)+1))&lt;100, IF(INDEX(ERP資料!$G:$G, (MATCH(669, 輔助計算!$G$2:$G$801, 0)+1))&lt;=31,3,IF(INDEX(ERP資料!$G:$G, (MATCH(669, 輔助計算!$G$2:$G$801, 0)+1))&lt;=46.5,2,1)), IF(INDEX(ERP資料!$G:$G, (MATCH(669, 輔助計算!$G$2:$G$801, 0)+1))&lt;=790,3,IF(INDEX(ERP資料!$G:$G, (MATCH(669, 輔助計算!$G$2:$G$801, 0)+1))&lt;=1181,2,1))))&gt;0, IF(IF(INDEX(ERP資料!$G:$G, (MATCH(669, 輔助計算!$G$2:$G$801, 0)+1))&lt;100, IF(INDEX(ERP資料!$G:$G, (MATCH(669, 輔助計算!$G$2:$G$801, 0)+1))&lt;=31,3,IF(INDEX(ERP資料!$G:$G, (MATCH(669, 輔助計算!$G$2:$G$801, 0)+1))&lt;=46.5,2,1)), IF(INDEX(ERP資料!$G:$G, (MATCH(669, 輔助計算!$G$2:$G$801, 0)+1))&lt;=790,3,IF(INDEX(ERP資料!$G:$G, (MATCH(669, 輔助計算!$G$2:$G$801, 0)+1))&lt;=1181,2,1)))=1,TEXT(INDEX(ERP資料!$G:$G, (MATCH(669, 輔助計算!$G$2:$G$801, 0)+1)),"0.##"),IF(IF(INDEX(ERP資料!$G:$G, (MATCH(669, 輔助計算!$G$2:$G$801, 0)+1))&lt;100, IF(INDEX(ERP資料!$G:$G, (MATCH(669, 輔助計算!$G$2:$G$801, 0)+1))&lt;=31,3,IF(INDEX(ERP資料!$G:$G, (MATCH(669, 輔助計算!$G$2:$G$801, 0)+1))&lt;=46.5,2,1)), IF(INDEX(ERP資料!$G:$G, (MATCH(669, 輔助計算!$G$2:$G$801, 0)+1))&lt;=790,3,IF(INDEX(ERP資料!$G:$G, (MATCH(669, 輔助計算!$G$2:$G$801, 0)+1))&lt;=1181,2,1)))=2,TEXT(INDEX(ERP資料!$G:$G, (MATCH(669, 輔助計算!$G$2:$G$801, 0)+1)),"0.##")&amp;"+"&amp;TEXT(INDEX(ERP資料!$G:$G, (MATCH(669, 輔助計算!$G$2:$G$801, 0)+1)),"0.##"),TEXT(INDEX(ERP資料!$G:$G, (MATCH(669, 輔助計算!$G$2:$G$801, 0)+1)),"0.##")&amp;"+"&amp;TEXT(INDEX(ERP資料!$G:$G, (MATCH(669, 輔助計算!$G$2:$G$801, 0)+1)),"0.##")&amp;"+"&amp;TEXT(INDEX(ERP資料!$G:$G, (MATCH(669, 輔助計算!$G$2:$G$801, 0)+1)),"0.##")))&amp;"-"&amp;INT(INDEX(輔助計算!$D:$D, (MATCH(669, 輔助計算!$G$2:$G$801, 0)+1))/IF(INDEX(ERP資料!$G:$G, (MATCH(669, 輔助計算!$G$2:$G$801, 0)+1))&lt;100, IF(INDEX(ERP資料!$G:$G, (MATCH(669, 輔助計算!$G$2:$G$801, 0)+1))&lt;=31,3,IF(INDEX(ERP資料!$G:$G, (MATCH(669, 輔助計算!$G$2:$G$801, 0)+1))&lt;=46.5,2,1)), IF(INDEX(ERP資料!$G:$G, (MATCH(669, 輔助計算!$G$2:$G$801, 0)+1))&lt;=790,3,IF(INDEX(ERP資料!$G:$G, (MATCH(669, 輔助計算!$G$2:$G$801, 0)+1))&lt;=1181,2,1)))), "")&amp;IF(AND(IF(INT(INDEX(輔助計算!$D:$D, (MATCH(669, 輔助計算!$G$2:$G$801, 0)+1))/IF(INDEX(ERP資料!$G:$G, (MATCH(669, 輔助計算!$G$2:$G$801, 0)+1))&lt;100, IF(INDEX(ERP資料!$G:$G, (MATCH(669, 輔助計算!$G$2:$G$801, 0)+1))&lt;=31,3,IF(INDEX(ERP資料!$G:$G, (MATCH(669, 輔助計算!$G$2:$G$801, 0)+1))&lt;=46.5,2,1)), IF(INDEX(ERP資料!$G:$G, (MATCH(669, 輔助計算!$G$2:$G$801, 0)+1))&lt;=790,3,IF(INDEX(ERP資料!$G:$G, (MATCH(669, 輔助計算!$G$2:$G$801, 0)+1))&lt;=1181,2,1))))&gt;0, IF(IF(INDEX(ERP資料!$G:$G, (MATCH(669, 輔助計算!$G$2:$G$801, 0)+1))&lt;100, IF(INDEX(ERP資料!$G:$G, (MATCH(669, 輔助計算!$G$2:$G$801, 0)+1))&lt;=31,3,IF(INDEX(ERP資料!$G:$G, (MATCH(669, 輔助計算!$G$2:$G$801, 0)+1))&lt;=46.5,2,1)), IF(INDEX(ERP資料!$G:$G, (MATCH(669, 輔助計算!$G$2:$G$801, 0)+1))&lt;=790,3,IF(INDEX(ERP資料!$G:$G, (MATCH(669, 輔助計算!$G$2:$G$801, 0)+1))&lt;=1181,2,1)))=1,TEXT(INDEX(ERP資料!$G:$G, (MATCH(669, 輔助計算!$G$2:$G$801, 0)+1)),"0.##"),IF(IF(INDEX(ERP資料!$G:$G, (MATCH(669, 輔助計算!$G$2:$G$801, 0)+1))&lt;100, IF(INDEX(ERP資料!$G:$G, (MATCH(669, 輔助計算!$G$2:$G$801, 0)+1))&lt;=31,3,IF(INDEX(ERP資料!$G:$G, (MATCH(669, 輔助計算!$G$2:$G$801, 0)+1))&lt;=46.5,2,1)), IF(INDEX(ERP資料!$G:$G, (MATCH(669, 輔助計算!$G$2:$G$801, 0)+1))&lt;=790,3,IF(INDEX(ERP資料!$G:$G, (MATCH(669, 輔助計算!$G$2:$G$801, 0)+1))&lt;=1181,2,1)))=2,TEXT(INDEX(ERP資料!$G:$G, (MATCH(669, 輔助計算!$G$2:$G$801, 0)+1)),"0.##")&amp;"+"&amp;TEXT(INDEX(ERP資料!$G:$G, (MATCH(669, 輔助計算!$G$2:$G$801, 0)+1)),"0.##"),TEXT(INDEX(ERP資料!$G:$G, (MATCH(669, 輔助計算!$G$2:$G$801, 0)+1)),"0.##")&amp;"+"&amp;TEXT(INDEX(ERP資料!$G:$G, (MATCH(669, 輔助計算!$G$2:$G$801, 0)+1)),"0.##")&amp;"+"&amp;TEXT(INDEX(ERP資料!$G:$G, (MATCH(669, 輔助計算!$G$2:$G$801, 0)+1)),"0.##")))&amp;"-"&amp;INT(INDEX(輔助計算!$D:$D, (MATCH(669, 輔助計算!$G$2:$G$801, 0)+1))/IF(INDEX(ERP資料!$G:$G, (MATCH(669, 輔助計算!$G$2:$G$801, 0)+1))&lt;100, IF(INDEX(ERP資料!$G:$G, (MATCH(669, 輔助計算!$G$2:$G$801, 0)+1))&lt;=31,3,IF(INDEX(ERP資料!$G:$G, (MATCH(669, 輔助計算!$G$2:$G$801, 0)+1))&lt;=46.5,2,1)), IF(INDEX(ERP資料!$G:$G, (MATCH(669, 輔助計算!$G$2:$G$801, 0)+1))&lt;=790,3,IF(INDEX(ERP資料!$G:$G, (MATCH(669, 輔助計算!$G$2:$G$801, 0)+1))&lt;=1181,2,1)))), "")&lt;&gt;"",IF(MOD(INDEX(輔助計算!$D:$D, (MATCH(669, 輔助計算!$G$2:$G$801, 0)+1)),IF(INDEX(ERP資料!$G:$G, (MATCH(669, 輔助計算!$G$2:$G$801, 0)+1))&lt;100, IF(INDEX(ERP資料!$G:$G, (MATCH(669, 輔助計算!$G$2:$G$801, 0)+1))&lt;=31,3,IF(INDEX(ERP資料!$G:$G, (MATCH(669, 輔助計算!$G$2:$G$801, 0)+1))&lt;=46.5,2,1)), IF(INDEX(ERP資料!$G:$G, (MATCH(669, 輔助計算!$G$2:$G$801, 0)+1))&lt;=790,3,IF(INDEX(ERP資料!$G:$G, (MATCH(669, 輔助計算!$G$2:$G$801, 0)+1))&lt;=1181,2,1))))=0,"",IF(MOD(INDEX(輔助計算!$D:$D, (MATCH(669, 輔助計算!$G$2:$G$801, 0)+1)),IF(INDEX(ERP資料!$G:$G, (MATCH(669, 輔助計算!$G$2:$G$801, 0)+1))&lt;100, IF(INDEX(ERP資料!$G:$G, (MATCH(669, 輔助計算!$G$2:$G$801, 0)+1))&lt;=31,3,IF(INDEX(ERP資料!$G:$G, (MATCH(669, 輔助計算!$G$2:$G$801, 0)+1))&lt;=46.5,2,1)), IF(INDEX(ERP資料!$G:$G, (MATCH(669, 輔助計算!$G$2:$G$801, 0)+1))&lt;=790,3,IF(INDEX(ERP資料!$G:$G, (MATCH(669, 輔助計算!$G$2:$G$801, 0)+1))&lt;=1181,2,1))))=0,"",IF(MOD(INDEX(輔助計算!$D:$D, (MATCH(669, 輔助計算!$G$2:$G$801, 0)+1)),IF(INDEX(ERP資料!$G:$G, (MATCH(669, 輔助計算!$G$2:$G$801, 0)+1))&lt;100, IF(INDEX(ERP資料!$G:$G, (MATCH(669, 輔助計算!$G$2:$G$801, 0)+1))&lt;=31,3,IF(INDEX(ERP資料!$G:$G, (MATCH(669, 輔助計算!$G$2:$G$801, 0)+1))&lt;=46.5,2,1)), IF(INDEX(ERP資料!$G:$G, (MATCH(669, 輔助計算!$G$2:$G$801, 0)+1))&lt;=790,3,IF(INDEX(ERP資料!$G:$G, (MATCH(669, 輔助計算!$G$2:$G$801, 0)+1))&lt;=1181,2,1))))=1,TEXT(INDEX(ERP資料!$G:$G, (MATCH(669, 輔助計算!$G$2:$G$801, 0)+1)),"0.##"),IF(MOD(INDEX(輔助計算!$D:$D, (MATCH(669, 輔助計算!$G$2:$G$801, 0)+1)),IF(INDEX(ERP資料!$G:$G, (MATCH(669, 輔助計算!$G$2:$G$801, 0)+1))&lt;100, IF(INDEX(ERP資料!$G:$G, (MATCH(669, 輔助計算!$G$2:$G$801, 0)+1))&lt;=31,3,IF(INDEX(ERP資料!$G:$G, (MATCH(669, 輔助計算!$G$2:$G$801, 0)+1))&lt;=46.5,2,1)), IF(INDEX(ERP資料!$G:$G, (MATCH(669, 輔助計算!$G$2:$G$801, 0)+1))&lt;=790,3,IF(INDEX(ERP資料!$G:$G, (MATCH(669, 輔助計算!$G$2:$G$801, 0)+1))&lt;=1181,2,1))))=2,TEXT(INDEX(ERP資料!$G:$G, (MATCH(669, 輔助計算!$G$2:$G$801, 0)+1)),"0.##")&amp;"+"&amp;TEXT(INDEX(ERP資料!$G:$G, (MATCH(669, 輔助計算!$G$2:$G$801, 0)+1)),"0.##"),TEXT(INDEX(ERP資料!$G:$G, (MATCH(669, 輔助計算!$G$2:$G$801, 0)+1)),"0.##")&amp;"+"&amp;TEXT(INDEX(ERP資料!$G:$G, (MATCH(669, 輔助計算!$G$2:$G$801, 0)+1)),"0.##")&amp;"+"&amp;TEXT(INDEX(ERP資料!$G:$G, (MATCH(669, 輔助計算!$G$2:$G$801, 0)+1)),"0.##"))))&amp;"-1")&lt;&gt;""),"  ","")&amp;IF(MOD(INDEX(輔助計算!$D:$D, (MATCH(669, 輔助計算!$G$2:$G$801, 0)+1)),IF(INDEX(ERP資料!$G:$G, (MATCH(669, 輔助計算!$G$2:$G$801, 0)+1))&lt;100, IF(INDEX(ERP資料!$G:$G, (MATCH(669, 輔助計算!$G$2:$G$801, 0)+1))&lt;=31,3,IF(INDEX(ERP資料!$G:$G, (MATCH(669, 輔助計算!$G$2:$G$801, 0)+1))&lt;=46.5,2,1)), IF(INDEX(ERP資料!$G:$G, (MATCH(669, 輔助計算!$G$2:$G$801, 0)+1))&lt;=790,3,IF(INDEX(ERP資料!$G:$G, (MATCH(669, 輔助計算!$G$2:$G$801, 0)+1))&lt;=1181,2,1))))=0,"",IF(MOD(INDEX(輔助計算!$D:$D, (MATCH(669, 輔助計算!$G$2:$G$801, 0)+1)),IF(INDEX(ERP資料!$G:$G, (MATCH(669, 輔助計算!$G$2:$G$801, 0)+1))&lt;100, IF(INDEX(ERP資料!$G:$G, (MATCH(669, 輔助計算!$G$2:$G$801, 0)+1))&lt;=31,3,IF(INDEX(ERP資料!$G:$G, (MATCH(669, 輔助計算!$G$2:$G$801, 0)+1))&lt;=46.5,2,1)), IF(INDEX(ERP資料!$G:$G, (MATCH(669, 輔助計算!$G$2:$G$801, 0)+1))&lt;=790,3,IF(INDEX(ERP資料!$G:$G, (MATCH(669, 輔助計算!$G$2:$G$801, 0)+1))&lt;=1181,2,1))))=0,"",IF(MOD(INDEX(輔助計算!$D:$D, (MATCH(669, 輔助計算!$G$2:$G$801, 0)+1)),IF(INDEX(ERP資料!$G:$G, (MATCH(669, 輔助計算!$G$2:$G$801, 0)+1))&lt;100, IF(INDEX(ERP資料!$G:$G, (MATCH(669, 輔助計算!$G$2:$G$801, 0)+1))&lt;=31,3,IF(INDEX(ERP資料!$G:$G, (MATCH(669, 輔助計算!$G$2:$G$801, 0)+1))&lt;=46.5,2,1)), IF(INDEX(ERP資料!$G:$G, (MATCH(669, 輔助計算!$G$2:$G$801, 0)+1))&lt;=790,3,IF(INDEX(ERP資料!$G:$G, (MATCH(669, 輔助計算!$G$2:$G$801, 0)+1))&lt;=1181,2,1))))=1,TEXT(INDEX(ERP資料!$G:$G, (MATCH(669, 輔助計算!$G$2:$G$801, 0)+1)),"0.##"),IF(MOD(INDEX(輔助計算!$D:$D, (MATCH(669, 輔助計算!$G$2:$G$801, 0)+1)),IF(INDEX(ERP資料!$G:$G, (MATCH(669, 輔助計算!$G$2:$G$801, 0)+1))&lt;100, IF(INDEX(ERP資料!$G:$G, (MATCH(669, 輔助計算!$G$2:$G$801, 0)+1))&lt;=31,3,IF(INDEX(ERP資料!$G:$G, (MATCH(669, 輔助計算!$G$2:$G$801, 0)+1))&lt;=46.5,2,1)), IF(INDEX(ERP資料!$G:$G, (MATCH(669, 輔助計算!$G$2:$G$801, 0)+1))&lt;=790,3,IF(INDEX(ERP資料!$G:$G, (MATCH(669, 輔助計算!$G$2:$G$801, 0)+1))&lt;=1181,2,1))))=2,TEXT(INDEX(ERP資料!$G:$G, (MATCH(669, 輔助計算!$G$2:$G$801, 0)+1)),"0.##")&amp;"+"&amp;TEXT(INDEX(ERP資料!$G:$G, (MATCH(669, 輔助計算!$G$2:$G$801, 0)+1)),"0.##"),TEXT(INDEX(ERP資料!$G:$G, (MATCH(669, 輔助計算!$G$2:$G$801, 0)+1)),"0.##")&amp;"+"&amp;TEXT(INDEX(ERP資料!$G:$G, (MATCH(669, 輔助計算!$G$2:$G$801, 0)+1)),"0.##")&amp;"+"&amp;TEXT(INDEX(ERP資料!$G:$G, (MATCH(669, 輔助計算!$G$2:$G$801, 0)+1)),"0.##"))))&amp;"-1")), ""), "")</f>
        <v/>
      </c>
      <c r="K670" s="16" t="n"/>
      <c r="L670" s="14">
        <f>IFERROR(IF(AND(IFERROR(INDEX(ERP資料!$A:$A, (MATCH(669, 輔助計算!$G$2:$G$801, 0)+1)), "")&lt;&gt;"", IFERROR(INDEX(ERP資料!$A:$A, (MATCH(669, 輔助計算!$G$2:$G$801, 0)+1)), "")&lt;&gt;IFERROR(INDEX(ERP資料!$A:$A, MATCH(668, 輔助計算!$G$2:$G$801, 0)+1), "")), INDEX(ERP資料!$B:$B, (MATCH(669, 輔助計算!$G$2:$G$801, 0)+1)), ""), "")</f>
        <v/>
      </c>
      <c r="M670" s="17" t="n"/>
    </row>
    <row r="671">
      <c r="A671" s="10">
        <f>IFERROR(IF(AND(IFERROR(INDEX(ERP資料!$A:$A, (MATCH(670, 輔助計算!$G$2:$G$801, 0)+1)), "")&lt;&gt;"", IFERROR(INDEX(ERP資料!$A:$A, (MATCH(670, 輔助計算!$G$2:$G$801, 0)+1)), "")&lt;&gt;IFERROR(INDEX(ERP資料!$A:$A, MATCH(669, 輔助計算!$G$2:$G$801, 0)+1), "")), IFERROR(INDEX(ERP資料!$A:$A, (MATCH(670, 輔助計算!$G$2:$G$801, 0)+1)), ""), ""), "")</f>
        <v/>
      </c>
      <c r="B671" s="10">
        <f>IFERROR(IF(AND(IFERROR(INDEX(ERP資料!$A:$A, (MATCH(670, 輔助計算!$G$2:$G$801, 0)+1)), "")&lt;&gt;"", IFERROR(INDEX(ERP資料!$A:$A, (MATCH(670, 輔助計算!$G$2:$G$801, 0)+1)), "")&lt;&gt;IFERROR(INDEX(ERP資料!$A:$A, MATCH(669, 輔助計算!$G$2:$G$801, 0)+1), "")), INDEX(ERP資料!$S:$S, (MATCH(670, 輔助計算!$G$2:$G$801, 0)+1)), ""), "")</f>
        <v/>
      </c>
      <c r="C671" s="19">
        <f>IFERROR(IF(AND(IFERROR(INDEX(ERP資料!$A:$A, (MATCH(670, 輔助計算!$G$2:$G$801, 0)+1)), "")&lt;&gt;"", IFERROR(INDEX(ERP資料!$A:$A, (MATCH(670, 輔助計算!$G$2:$G$801, 0)+1)), "")&lt;&gt;IFERROR(INDEX(ERP資料!$A:$A, MATCH(669, 輔助計算!$G$2:$G$801, 0)+1), "")), IFERROR(VLOOKUP(LEFT(INDEX(ERP資料!$S:$S, (MATCH(670, 輔助計算!$G$2:$G$801, 0)+1)), 4), 紙管對照表!$A:$C, 3, FALSE), ""), ""), "")</f>
        <v/>
      </c>
      <c r="D671" s="16" t="n"/>
      <c r="E671" s="10">
        <f>IFERROR(IF(INDEX(ERP資料!$H:$H, (MATCH(670, 輔助計算!$G$2:$G$801, 0)+1))="","",INDEX(ERP資料!$H:$H, (MATCH(670, 輔助計算!$G$2:$G$801, 0)+1))), "")</f>
        <v/>
      </c>
      <c r="F671" s="10">
        <f>IFERROR(IF(INDEX(ERP資料!$E:$E, (MATCH(670, 輔助計算!$G$2:$G$801, 0)+1))="","",TRIM(INDEX(ERP資料!$E:$E, (MATCH(670, 輔助計算!$G$2:$G$801, 0)+1)))), "")</f>
        <v/>
      </c>
      <c r="G671" s="10">
        <f>IFERROR(IF(INDEX(ERP資料!$F:$F, (MATCH(670, 輔助計算!$G$2:$G$801, 0)+1))="","",INDEX(ERP資料!$F:$F, (MATCH(670, 輔助計算!$G$2:$G$801, 0)+1))), "")</f>
        <v/>
      </c>
      <c r="H671" s="10">
        <f>IFERROR(IF(INDEX(ERP資料!$G:$G, (MATCH(670, 輔助計算!$G$2:$G$801, 0)+1))="","",INDEX(ERP資料!$G:$G, (MATCH(670, 輔助計算!$G$2:$G$801, 0)+1))), "")</f>
        <v/>
      </c>
      <c r="I671" s="15">
        <f>IFERROR(INDEX(輔助計算!$D:$D, (MATCH(670, 輔助計算!$G$2:$G$801, 0)+1)), "")</f>
        <v/>
      </c>
      <c r="J671" s="15">
        <f>IFERROR(IF(AND(INDEX(輔助計算!$D:$D, (MATCH(670, 輔助計算!$G$2:$G$801, 0)+1))&lt;&gt;"", INDEX(ERP資料!$G:$G, (MATCH(670, 輔助計算!$G$2:$G$801, 0)+1))&lt;&gt;""), TRIM(IF(INT(INDEX(輔助計算!$D:$D, (MATCH(670, 輔助計算!$G$2:$G$801, 0)+1))/IF(INDEX(ERP資料!$G:$G, (MATCH(670, 輔助計算!$G$2:$G$801, 0)+1))&lt;100, IF(INDEX(ERP資料!$G:$G, (MATCH(670, 輔助計算!$G$2:$G$801, 0)+1))&lt;=31,3,IF(INDEX(ERP資料!$G:$G, (MATCH(670, 輔助計算!$G$2:$G$801, 0)+1))&lt;=46.5,2,1)), IF(INDEX(ERP資料!$G:$G, (MATCH(670, 輔助計算!$G$2:$G$801, 0)+1))&lt;=790,3,IF(INDEX(ERP資料!$G:$G, (MATCH(670, 輔助計算!$G$2:$G$801, 0)+1))&lt;=1181,2,1))))&gt;0, IF(IF(INDEX(ERP資料!$G:$G, (MATCH(670, 輔助計算!$G$2:$G$801, 0)+1))&lt;100, IF(INDEX(ERP資料!$G:$G, (MATCH(670, 輔助計算!$G$2:$G$801, 0)+1))&lt;=31,3,IF(INDEX(ERP資料!$G:$G, (MATCH(670, 輔助計算!$G$2:$G$801, 0)+1))&lt;=46.5,2,1)), IF(INDEX(ERP資料!$G:$G, (MATCH(670, 輔助計算!$G$2:$G$801, 0)+1))&lt;=790,3,IF(INDEX(ERP資料!$G:$G, (MATCH(670, 輔助計算!$G$2:$G$801, 0)+1))&lt;=1181,2,1)))=1,TEXT(INDEX(ERP資料!$G:$G, (MATCH(670, 輔助計算!$G$2:$G$801, 0)+1)),"0.##"),IF(IF(INDEX(ERP資料!$G:$G, (MATCH(670, 輔助計算!$G$2:$G$801, 0)+1))&lt;100, IF(INDEX(ERP資料!$G:$G, (MATCH(670, 輔助計算!$G$2:$G$801, 0)+1))&lt;=31,3,IF(INDEX(ERP資料!$G:$G, (MATCH(670, 輔助計算!$G$2:$G$801, 0)+1))&lt;=46.5,2,1)), IF(INDEX(ERP資料!$G:$G, (MATCH(670, 輔助計算!$G$2:$G$801, 0)+1))&lt;=790,3,IF(INDEX(ERP資料!$G:$G, (MATCH(670, 輔助計算!$G$2:$G$801, 0)+1))&lt;=1181,2,1)))=2,TEXT(INDEX(ERP資料!$G:$G, (MATCH(670, 輔助計算!$G$2:$G$801, 0)+1)),"0.##")&amp;"+"&amp;TEXT(INDEX(ERP資料!$G:$G, (MATCH(670, 輔助計算!$G$2:$G$801, 0)+1)),"0.##"),TEXT(INDEX(ERP資料!$G:$G, (MATCH(670, 輔助計算!$G$2:$G$801, 0)+1)),"0.##")&amp;"+"&amp;TEXT(INDEX(ERP資料!$G:$G, (MATCH(670, 輔助計算!$G$2:$G$801, 0)+1)),"0.##")&amp;"+"&amp;TEXT(INDEX(ERP資料!$G:$G, (MATCH(670, 輔助計算!$G$2:$G$801, 0)+1)),"0.##")))&amp;"-"&amp;INT(INDEX(輔助計算!$D:$D, (MATCH(670, 輔助計算!$G$2:$G$801, 0)+1))/IF(INDEX(ERP資料!$G:$G, (MATCH(670, 輔助計算!$G$2:$G$801, 0)+1))&lt;100, IF(INDEX(ERP資料!$G:$G, (MATCH(670, 輔助計算!$G$2:$G$801, 0)+1))&lt;=31,3,IF(INDEX(ERP資料!$G:$G, (MATCH(670, 輔助計算!$G$2:$G$801, 0)+1))&lt;=46.5,2,1)), IF(INDEX(ERP資料!$G:$G, (MATCH(670, 輔助計算!$G$2:$G$801, 0)+1))&lt;=790,3,IF(INDEX(ERP資料!$G:$G, (MATCH(670, 輔助計算!$G$2:$G$801, 0)+1))&lt;=1181,2,1)))), "")&amp;IF(AND(IF(INT(INDEX(輔助計算!$D:$D, (MATCH(670, 輔助計算!$G$2:$G$801, 0)+1))/IF(INDEX(ERP資料!$G:$G, (MATCH(670, 輔助計算!$G$2:$G$801, 0)+1))&lt;100, IF(INDEX(ERP資料!$G:$G, (MATCH(670, 輔助計算!$G$2:$G$801, 0)+1))&lt;=31,3,IF(INDEX(ERP資料!$G:$G, (MATCH(670, 輔助計算!$G$2:$G$801, 0)+1))&lt;=46.5,2,1)), IF(INDEX(ERP資料!$G:$G, (MATCH(670, 輔助計算!$G$2:$G$801, 0)+1))&lt;=790,3,IF(INDEX(ERP資料!$G:$G, (MATCH(670, 輔助計算!$G$2:$G$801, 0)+1))&lt;=1181,2,1))))&gt;0, IF(IF(INDEX(ERP資料!$G:$G, (MATCH(670, 輔助計算!$G$2:$G$801, 0)+1))&lt;100, IF(INDEX(ERP資料!$G:$G, (MATCH(670, 輔助計算!$G$2:$G$801, 0)+1))&lt;=31,3,IF(INDEX(ERP資料!$G:$G, (MATCH(670, 輔助計算!$G$2:$G$801, 0)+1))&lt;=46.5,2,1)), IF(INDEX(ERP資料!$G:$G, (MATCH(670, 輔助計算!$G$2:$G$801, 0)+1))&lt;=790,3,IF(INDEX(ERP資料!$G:$G, (MATCH(670, 輔助計算!$G$2:$G$801, 0)+1))&lt;=1181,2,1)))=1,TEXT(INDEX(ERP資料!$G:$G, (MATCH(670, 輔助計算!$G$2:$G$801, 0)+1)),"0.##"),IF(IF(INDEX(ERP資料!$G:$G, (MATCH(670, 輔助計算!$G$2:$G$801, 0)+1))&lt;100, IF(INDEX(ERP資料!$G:$G, (MATCH(670, 輔助計算!$G$2:$G$801, 0)+1))&lt;=31,3,IF(INDEX(ERP資料!$G:$G, (MATCH(670, 輔助計算!$G$2:$G$801, 0)+1))&lt;=46.5,2,1)), IF(INDEX(ERP資料!$G:$G, (MATCH(670, 輔助計算!$G$2:$G$801, 0)+1))&lt;=790,3,IF(INDEX(ERP資料!$G:$G, (MATCH(670, 輔助計算!$G$2:$G$801, 0)+1))&lt;=1181,2,1)))=2,TEXT(INDEX(ERP資料!$G:$G, (MATCH(670, 輔助計算!$G$2:$G$801, 0)+1)),"0.##")&amp;"+"&amp;TEXT(INDEX(ERP資料!$G:$G, (MATCH(670, 輔助計算!$G$2:$G$801, 0)+1)),"0.##"),TEXT(INDEX(ERP資料!$G:$G, (MATCH(670, 輔助計算!$G$2:$G$801, 0)+1)),"0.##")&amp;"+"&amp;TEXT(INDEX(ERP資料!$G:$G, (MATCH(670, 輔助計算!$G$2:$G$801, 0)+1)),"0.##")&amp;"+"&amp;TEXT(INDEX(ERP資料!$G:$G, (MATCH(670, 輔助計算!$G$2:$G$801, 0)+1)),"0.##")))&amp;"-"&amp;INT(INDEX(輔助計算!$D:$D, (MATCH(670, 輔助計算!$G$2:$G$801, 0)+1))/IF(INDEX(ERP資料!$G:$G, (MATCH(670, 輔助計算!$G$2:$G$801, 0)+1))&lt;100, IF(INDEX(ERP資料!$G:$G, (MATCH(670, 輔助計算!$G$2:$G$801, 0)+1))&lt;=31,3,IF(INDEX(ERP資料!$G:$G, (MATCH(670, 輔助計算!$G$2:$G$801, 0)+1))&lt;=46.5,2,1)), IF(INDEX(ERP資料!$G:$G, (MATCH(670, 輔助計算!$G$2:$G$801, 0)+1))&lt;=790,3,IF(INDEX(ERP資料!$G:$G, (MATCH(670, 輔助計算!$G$2:$G$801, 0)+1))&lt;=1181,2,1)))), "")&lt;&gt;"",IF(MOD(INDEX(輔助計算!$D:$D, (MATCH(670, 輔助計算!$G$2:$G$801, 0)+1)),IF(INDEX(ERP資料!$G:$G, (MATCH(670, 輔助計算!$G$2:$G$801, 0)+1))&lt;100, IF(INDEX(ERP資料!$G:$G, (MATCH(670, 輔助計算!$G$2:$G$801, 0)+1))&lt;=31,3,IF(INDEX(ERP資料!$G:$G, (MATCH(670, 輔助計算!$G$2:$G$801, 0)+1))&lt;=46.5,2,1)), IF(INDEX(ERP資料!$G:$G, (MATCH(670, 輔助計算!$G$2:$G$801, 0)+1))&lt;=790,3,IF(INDEX(ERP資料!$G:$G, (MATCH(670, 輔助計算!$G$2:$G$801, 0)+1))&lt;=1181,2,1))))=0,"",IF(MOD(INDEX(輔助計算!$D:$D, (MATCH(670, 輔助計算!$G$2:$G$801, 0)+1)),IF(INDEX(ERP資料!$G:$G, (MATCH(670, 輔助計算!$G$2:$G$801, 0)+1))&lt;100, IF(INDEX(ERP資料!$G:$G, (MATCH(670, 輔助計算!$G$2:$G$801, 0)+1))&lt;=31,3,IF(INDEX(ERP資料!$G:$G, (MATCH(670, 輔助計算!$G$2:$G$801, 0)+1))&lt;=46.5,2,1)), IF(INDEX(ERP資料!$G:$G, (MATCH(670, 輔助計算!$G$2:$G$801, 0)+1))&lt;=790,3,IF(INDEX(ERP資料!$G:$G, (MATCH(670, 輔助計算!$G$2:$G$801, 0)+1))&lt;=1181,2,1))))=0,"",IF(MOD(INDEX(輔助計算!$D:$D, (MATCH(670, 輔助計算!$G$2:$G$801, 0)+1)),IF(INDEX(ERP資料!$G:$G, (MATCH(670, 輔助計算!$G$2:$G$801, 0)+1))&lt;100, IF(INDEX(ERP資料!$G:$G, (MATCH(670, 輔助計算!$G$2:$G$801, 0)+1))&lt;=31,3,IF(INDEX(ERP資料!$G:$G, (MATCH(670, 輔助計算!$G$2:$G$801, 0)+1))&lt;=46.5,2,1)), IF(INDEX(ERP資料!$G:$G, (MATCH(670, 輔助計算!$G$2:$G$801, 0)+1))&lt;=790,3,IF(INDEX(ERP資料!$G:$G, (MATCH(670, 輔助計算!$G$2:$G$801, 0)+1))&lt;=1181,2,1))))=1,TEXT(INDEX(ERP資料!$G:$G, (MATCH(670, 輔助計算!$G$2:$G$801, 0)+1)),"0.##"),IF(MOD(INDEX(輔助計算!$D:$D, (MATCH(670, 輔助計算!$G$2:$G$801, 0)+1)),IF(INDEX(ERP資料!$G:$G, (MATCH(670, 輔助計算!$G$2:$G$801, 0)+1))&lt;100, IF(INDEX(ERP資料!$G:$G, (MATCH(670, 輔助計算!$G$2:$G$801, 0)+1))&lt;=31,3,IF(INDEX(ERP資料!$G:$G, (MATCH(670, 輔助計算!$G$2:$G$801, 0)+1))&lt;=46.5,2,1)), IF(INDEX(ERP資料!$G:$G, (MATCH(670, 輔助計算!$G$2:$G$801, 0)+1))&lt;=790,3,IF(INDEX(ERP資料!$G:$G, (MATCH(670, 輔助計算!$G$2:$G$801, 0)+1))&lt;=1181,2,1))))=2,TEXT(INDEX(ERP資料!$G:$G, (MATCH(670, 輔助計算!$G$2:$G$801, 0)+1)),"0.##")&amp;"+"&amp;TEXT(INDEX(ERP資料!$G:$G, (MATCH(670, 輔助計算!$G$2:$G$801, 0)+1)),"0.##"),TEXT(INDEX(ERP資料!$G:$G, (MATCH(670, 輔助計算!$G$2:$G$801, 0)+1)),"0.##")&amp;"+"&amp;TEXT(INDEX(ERP資料!$G:$G, (MATCH(670, 輔助計算!$G$2:$G$801, 0)+1)),"0.##")&amp;"+"&amp;TEXT(INDEX(ERP資料!$G:$G, (MATCH(670, 輔助計算!$G$2:$G$801, 0)+1)),"0.##"))))&amp;"-1")&lt;&gt;""),"  ","")&amp;IF(MOD(INDEX(輔助計算!$D:$D, (MATCH(670, 輔助計算!$G$2:$G$801, 0)+1)),IF(INDEX(ERP資料!$G:$G, (MATCH(670, 輔助計算!$G$2:$G$801, 0)+1))&lt;100, IF(INDEX(ERP資料!$G:$G, (MATCH(670, 輔助計算!$G$2:$G$801, 0)+1))&lt;=31,3,IF(INDEX(ERP資料!$G:$G, (MATCH(670, 輔助計算!$G$2:$G$801, 0)+1))&lt;=46.5,2,1)), IF(INDEX(ERP資料!$G:$G, (MATCH(670, 輔助計算!$G$2:$G$801, 0)+1))&lt;=790,3,IF(INDEX(ERP資料!$G:$G, (MATCH(670, 輔助計算!$G$2:$G$801, 0)+1))&lt;=1181,2,1))))=0,"",IF(MOD(INDEX(輔助計算!$D:$D, (MATCH(670, 輔助計算!$G$2:$G$801, 0)+1)),IF(INDEX(ERP資料!$G:$G, (MATCH(670, 輔助計算!$G$2:$G$801, 0)+1))&lt;100, IF(INDEX(ERP資料!$G:$G, (MATCH(670, 輔助計算!$G$2:$G$801, 0)+1))&lt;=31,3,IF(INDEX(ERP資料!$G:$G, (MATCH(670, 輔助計算!$G$2:$G$801, 0)+1))&lt;=46.5,2,1)), IF(INDEX(ERP資料!$G:$G, (MATCH(670, 輔助計算!$G$2:$G$801, 0)+1))&lt;=790,3,IF(INDEX(ERP資料!$G:$G, (MATCH(670, 輔助計算!$G$2:$G$801, 0)+1))&lt;=1181,2,1))))=0,"",IF(MOD(INDEX(輔助計算!$D:$D, (MATCH(670, 輔助計算!$G$2:$G$801, 0)+1)),IF(INDEX(ERP資料!$G:$G, (MATCH(670, 輔助計算!$G$2:$G$801, 0)+1))&lt;100, IF(INDEX(ERP資料!$G:$G, (MATCH(670, 輔助計算!$G$2:$G$801, 0)+1))&lt;=31,3,IF(INDEX(ERP資料!$G:$G, (MATCH(670, 輔助計算!$G$2:$G$801, 0)+1))&lt;=46.5,2,1)), IF(INDEX(ERP資料!$G:$G, (MATCH(670, 輔助計算!$G$2:$G$801, 0)+1))&lt;=790,3,IF(INDEX(ERP資料!$G:$G, (MATCH(670, 輔助計算!$G$2:$G$801, 0)+1))&lt;=1181,2,1))))=1,TEXT(INDEX(ERP資料!$G:$G, (MATCH(670, 輔助計算!$G$2:$G$801, 0)+1)),"0.##"),IF(MOD(INDEX(輔助計算!$D:$D, (MATCH(670, 輔助計算!$G$2:$G$801, 0)+1)),IF(INDEX(ERP資料!$G:$G, (MATCH(670, 輔助計算!$G$2:$G$801, 0)+1))&lt;100, IF(INDEX(ERP資料!$G:$G, (MATCH(670, 輔助計算!$G$2:$G$801, 0)+1))&lt;=31,3,IF(INDEX(ERP資料!$G:$G, (MATCH(670, 輔助計算!$G$2:$G$801, 0)+1))&lt;=46.5,2,1)), IF(INDEX(ERP資料!$G:$G, (MATCH(670, 輔助計算!$G$2:$G$801, 0)+1))&lt;=790,3,IF(INDEX(ERP資料!$G:$G, (MATCH(670, 輔助計算!$G$2:$G$801, 0)+1))&lt;=1181,2,1))))=2,TEXT(INDEX(ERP資料!$G:$G, (MATCH(670, 輔助計算!$G$2:$G$801, 0)+1)),"0.##")&amp;"+"&amp;TEXT(INDEX(ERP資料!$G:$G, (MATCH(670, 輔助計算!$G$2:$G$801, 0)+1)),"0.##"),TEXT(INDEX(ERP資料!$G:$G, (MATCH(670, 輔助計算!$G$2:$G$801, 0)+1)),"0.##")&amp;"+"&amp;TEXT(INDEX(ERP資料!$G:$G, (MATCH(670, 輔助計算!$G$2:$G$801, 0)+1)),"0.##")&amp;"+"&amp;TEXT(INDEX(ERP資料!$G:$G, (MATCH(670, 輔助計算!$G$2:$G$801, 0)+1)),"0.##"))))&amp;"-1")), ""), "")</f>
        <v/>
      </c>
      <c r="K671" s="16" t="n"/>
      <c r="L671" s="14">
        <f>IFERROR(IF(AND(IFERROR(INDEX(ERP資料!$A:$A, (MATCH(670, 輔助計算!$G$2:$G$801, 0)+1)), "")&lt;&gt;"", IFERROR(INDEX(ERP資料!$A:$A, (MATCH(670, 輔助計算!$G$2:$G$801, 0)+1)), "")&lt;&gt;IFERROR(INDEX(ERP資料!$A:$A, MATCH(669, 輔助計算!$G$2:$G$801, 0)+1), "")), INDEX(ERP資料!$B:$B, (MATCH(670, 輔助計算!$G$2:$G$801, 0)+1)), ""), "")</f>
        <v/>
      </c>
      <c r="M671" s="17" t="n"/>
    </row>
    <row r="672">
      <c r="A672" s="10">
        <f>IFERROR(IF(AND(IFERROR(INDEX(ERP資料!$A:$A, (MATCH(671, 輔助計算!$G$2:$G$801, 0)+1)), "")&lt;&gt;"", IFERROR(INDEX(ERP資料!$A:$A, (MATCH(671, 輔助計算!$G$2:$G$801, 0)+1)), "")&lt;&gt;IFERROR(INDEX(ERP資料!$A:$A, MATCH(670, 輔助計算!$G$2:$G$801, 0)+1), "")), IFERROR(INDEX(ERP資料!$A:$A, (MATCH(671, 輔助計算!$G$2:$G$801, 0)+1)), ""), ""), "")</f>
        <v/>
      </c>
      <c r="B672" s="10">
        <f>IFERROR(IF(AND(IFERROR(INDEX(ERP資料!$A:$A, (MATCH(671, 輔助計算!$G$2:$G$801, 0)+1)), "")&lt;&gt;"", IFERROR(INDEX(ERP資料!$A:$A, (MATCH(671, 輔助計算!$G$2:$G$801, 0)+1)), "")&lt;&gt;IFERROR(INDEX(ERP資料!$A:$A, MATCH(670, 輔助計算!$G$2:$G$801, 0)+1), "")), INDEX(ERP資料!$S:$S, (MATCH(671, 輔助計算!$G$2:$G$801, 0)+1)), ""), "")</f>
        <v/>
      </c>
      <c r="C672" s="19">
        <f>IFERROR(IF(AND(IFERROR(INDEX(ERP資料!$A:$A, (MATCH(671, 輔助計算!$G$2:$G$801, 0)+1)), "")&lt;&gt;"", IFERROR(INDEX(ERP資料!$A:$A, (MATCH(671, 輔助計算!$G$2:$G$801, 0)+1)), "")&lt;&gt;IFERROR(INDEX(ERP資料!$A:$A, MATCH(670, 輔助計算!$G$2:$G$801, 0)+1), "")), IFERROR(VLOOKUP(LEFT(INDEX(ERP資料!$S:$S, (MATCH(671, 輔助計算!$G$2:$G$801, 0)+1)), 4), 紙管對照表!$A:$C, 3, FALSE), ""), ""), "")</f>
        <v/>
      </c>
      <c r="D672" s="16" t="n"/>
      <c r="E672" s="10">
        <f>IFERROR(IF(INDEX(ERP資料!$H:$H, (MATCH(671, 輔助計算!$G$2:$G$801, 0)+1))="","",INDEX(ERP資料!$H:$H, (MATCH(671, 輔助計算!$G$2:$G$801, 0)+1))), "")</f>
        <v/>
      </c>
      <c r="F672" s="10">
        <f>IFERROR(IF(INDEX(ERP資料!$E:$E, (MATCH(671, 輔助計算!$G$2:$G$801, 0)+1))="","",TRIM(INDEX(ERP資料!$E:$E, (MATCH(671, 輔助計算!$G$2:$G$801, 0)+1)))), "")</f>
        <v/>
      </c>
      <c r="G672" s="10">
        <f>IFERROR(IF(INDEX(ERP資料!$F:$F, (MATCH(671, 輔助計算!$G$2:$G$801, 0)+1))="","",INDEX(ERP資料!$F:$F, (MATCH(671, 輔助計算!$G$2:$G$801, 0)+1))), "")</f>
        <v/>
      </c>
      <c r="H672" s="10">
        <f>IFERROR(IF(INDEX(ERP資料!$G:$G, (MATCH(671, 輔助計算!$G$2:$G$801, 0)+1))="","",INDEX(ERP資料!$G:$G, (MATCH(671, 輔助計算!$G$2:$G$801, 0)+1))), "")</f>
        <v/>
      </c>
      <c r="I672" s="15">
        <f>IFERROR(INDEX(輔助計算!$D:$D, (MATCH(671, 輔助計算!$G$2:$G$801, 0)+1)), "")</f>
        <v/>
      </c>
      <c r="J672" s="15">
        <f>IFERROR(IF(AND(INDEX(輔助計算!$D:$D, (MATCH(671, 輔助計算!$G$2:$G$801, 0)+1))&lt;&gt;"", INDEX(ERP資料!$G:$G, (MATCH(671, 輔助計算!$G$2:$G$801, 0)+1))&lt;&gt;""), TRIM(IF(INT(INDEX(輔助計算!$D:$D, (MATCH(671, 輔助計算!$G$2:$G$801, 0)+1))/IF(INDEX(ERP資料!$G:$G, (MATCH(671, 輔助計算!$G$2:$G$801, 0)+1))&lt;100, IF(INDEX(ERP資料!$G:$G, (MATCH(671, 輔助計算!$G$2:$G$801, 0)+1))&lt;=31,3,IF(INDEX(ERP資料!$G:$G, (MATCH(671, 輔助計算!$G$2:$G$801, 0)+1))&lt;=46.5,2,1)), IF(INDEX(ERP資料!$G:$G, (MATCH(671, 輔助計算!$G$2:$G$801, 0)+1))&lt;=790,3,IF(INDEX(ERP資料!$G:$G, (MATCH(671, 輔助計算!$G$2:$G$801, 0)+1))&lt;=1181,2,1))))&gt;0, IF(IF(INDEX(ERP資料!$G:$G, (MATCH(671, 輔助計算!$G$2:$G$801, 0)+1))&lt;100, IF(INDEX(ERP資料!$G:$G, (MATCH(671, 輔助計算!$G$2:$G$801, 0)+1))&lt;=31,3,IF(INDEX(ERP資料!$G:$G, (MATCH(671, 輔助計算!$G$2:$G$801, 0)+1))&lt;=46.5,2,1)), IF(INDEX(ERP資料!$G:$G, (MATCH(671, 輔助計算!$G$2:$G$801, 0)+1))&lt;=790,3,IF(INDEX(ERP資料!$G:$G, (MATCH(671, 輔助計算!$G$2:$G$801, 0)+1))&lt;=1181,2,1)))=1,TEXT(INDEX(ERP資料!$G:$G, (MATCH(671, 輔助計算!$G$2:$G$801, 0)+1)),"0.##"),IF(IF(INDEX(ERP資料!$G:$G, (MATCH(671, 輔助計算!$G$2:$G$801, 0)+1))&lt;100, IF(INDEX(ERP資料!$G:$G, (MATCH(671, 輔助計算!$G$2:$G$801, 0)+1))&lt;=31,3,IF(INDEX(ERP資料!$G:$G, (MATCH(671, 輔助計算!$G$2:$G$801, 0)+1))&lt;=46.5,2,1)), IF(INDEX(ERP資料!$G:$G, (MATCH(671, 輔助計算!$G$2:$G$801, 0)+1))&lt;=790,3,IF(INDEX(ERP資料!$G:$G, (MATCH(671, 輔助計算!$G$2:$G$801, 0)+1))&lt;=1181,2,1)))=2,TEXT(INDEX(ERP資料!$G:$G, (MATCH(671, 輔助計算!$G$2:$G$801, 0)+1)),"0.##")&amp;"+"&amp;TEXT(INDEX(ERP資料!$G:$G, (MATCH(671, 輔助計算!$G$2:$G$801, 0)+1)),"0.##"),TEXT(INDEX(ERP資料!$G:$G, (MATCH(671, 輔助計算!$G$2:$G$801, 0)+1)),"0.##")&amp;"+"&amp;TEXT(INDEX(ERP資料!$G:$G, (MATCH(671, 輔助計算!$G$2:$G$801, 0)+1)),"0.##")&amp;"+"&amp;TEXT(INDEX(ERP資料!$G:$G, (MATCH(671, 輔助計算!$G$2:$G$801, 0)+1)),"0.##")))&amp;"-"&amp;INT(INDEX(輔助計算!$D:$D, (MATCH(671, 輔助計算!$G$2:$G$801, 0)+1))/IF(INDEX(ERP資料!$G:$G, (MATCH(671, 輔助計算!$G$2:$G$801, 0)+1))&lt;100, IF(INDEX(ERP資料!$G:$G, (MATCH(671, 輔助計算!$G$2:$G$801, 0)+1))&lt;=31,3,IF(INDEX(ERP資料!$G:$G, (MATCH(671, 輔助計算!$G$2:$G$801, 0)+1))&lt;=46.5,2,1)), IF(INDEX(ERP資料!$G:$G, (MATCH(671, 輔助計算!$G$2:$G$801, 0)+1))&lt;=790,3,IF(INDEX(ERP資料!$G:$G, (MATCH(671, 輔助計算!$G$2:$G$801, 0)+1))&lt;=1181,2,1)))), "")&amp;IF(AND(IF(INT(INDEX(輔助計算!$D:$D, (MATCH(671, 輔助計算!$G$2:$G$801, 0)+1))/IF(INDEX(ERP資料!$G:$G, (MATCH(671, 輔助計算!$G$2:$G$801, 0)+1))&lt;100, IF(INDEX(ERP資料!$G:$G, (MATCH(671, 輔助計算!$G$2:$G$801, 0)+1))&lt;=31,3,IF(INDEX(ERP資料!$G:$G, (MATCH(671, 輔助計算!$G$2:$G$801, 0)+1))&lt;=46.5,2,1)), IF(INDEX(ERP資料!$G:$G, (MATCH(671, 輔助計算!$G$2:$G$801, 0)+1))&lt;=790,3,IF(INDEX(ERP資料!$G:$G, (MATCH(671, 輔助計算!$G$2:$G$801, 0)+1))&lt;=1181,2,1))))&gt;0, IF(IF(INDEX(ERP資料!$G:$G, (MATCH(671, 輔助計算!$G$2:$G$801, 0)+1))&lt;100, IF(INDEX(ERP資料!$G:$G, (MATCH(671, 輔助計算!$G$2:$G$801, 0)+1))&lt;=31,3,IF(INDEX(ERP資料!$G:$G, (MATCH(671, 輔助計算!$G$2:$G$801, 0)+1))&lt;=46.5,2,1)), IF(INDEX(ERP資料!$G:$G, (MATCH(671, 輔助計算!$G$2:$G$801, 0)+1))&lt;=790,3,IF(INDEX(ERP資料!$G:$G, (MATCH(671, 輔助計算!$G$2:$G$801, 0)+1))&lt;=1181,2,1)))=1,TEXT(INDEX(ERP資料!$G:$G, (MATCH(671, 輔助計算!$G$2:$G$801, 0)+1)),"0.##"),IF(IF(INDEX(ERP資料!$G:$G, (MATCH(671, 輔助計算!$G$2:$G$801, 0)+1))&lt;100, IF(INDEX(ERP資料!$G:$G, (MATCH(671, 輔助計算!$G$2:$G$801, 0)+1))&lt;=31,3,IF(INDEX(ERP資料!$G:$G, (MATCH(671, 輔助計算!$G$2:$G$801, 0)+1))&lt;=46.5,2,1)), IF(INDEX(ERP資料!$G:$G, (MATCH(671, 輔助計算!$G$2:$G$801, 0)+1))&lt;=790,3,IF(INDEX(ERP資料!$G:$G, (MATCH(671, 輔助計算!$G$2:$G$801, 0)+1))&lt;=1181,2,1)))=2,TEXT(INDEX(ERP資料!$G:$G, (MATCH(671, 輔助計算!$G$2:$G$801, 0)+1)),"0.##")&amp;"+"&amp;TEXT(INDEX(ERP資料!$G:$G, (MATCH(671, 輔助計算!$G$2:$G$801, 0)+1)),"0.##"),TEXT(INDEX(ERP資料!$G:$G, (MATCH(671, 輔助計算!$G$2:$G$801, 0)+1)),"0.##")&amp;"+"&amp;TEXT(INDEX(ERP資料!$G:$G, (MATCH(671, 輔助計算!$G$2:$G$801, 0)+1)),"0.##")&amp;"+"&amp;TEXT(INDEX(ERP資料!$G:$G, (MATCH(671, 輔助計算!$G$2:$G$801, 0)+1)),"0.##")))&amp;"-"&amp;INT(INDEX(輔助計算!$D:$D, (MATCH(671, 輔助計算!$G$2:$G$801, 0)+1))/IF(INDEX(ERP資料!$G:$G, (MATCH(671, 輔助計算!$G$2:$G$801, 0)+1))&lt;100, IF(INDEX(ERP資料!$G:$G, (MATCH(671, 輔助計算!$G$2:$G$801, 0)+1))&lt;=31,3,IF(INDEX(ERP資料!$G:$G, (MATCH(671, 輔助計算!$G$2:$G$801, 0)+1))&lt;=46.5,2,1)), IF(INDEX(ERP資料!$G:$G, (MATCH(671, 輔助計算!$G$2:$G$801, 0)+1))&lt;=790,3,IF(INDEX(ERP資料!$G:$G, (MATCH(671, 輔助計算!$G$2:$G$801, 0)+1))&lt;=1181,2,1)))), "")&lt;&gt;"",IF(MOD(INDEX(輔助計算!$D:$D, (MATCH(671, 輔助計算!$G$2:$G$801, 0)+1)),IF(INDEX(ERP資料!$G:$G, (MATCH(671, 輔助計算!$G$2:$G$801, 0)+1))&lt;100, IF(INDEX(ERP資料!$G:$G, (MATCH(671, 輔助計算!$G$2:$G$801, 0)+1))&lt;=31,3,IF(INDEX(ERP資料!$G:$G, (MATCH(671, 輔助計算!$G$2:$G$801, 0)+1))&lt;=46.5,2,1)), IF(INDEX(ERP資料!$G:$G, (MATCH(671, 輔助計算!$G$2:$G$801, 0)+1))&lt;=790,3,IF(INDEX(ERP資料!$G:$G, (MATCH(671, 輔助計算!$G$2:$G$801, 0)+1))&lt;=1181,2,1))))=0,"",IF(MOD(INDEX(輔助計算!$D:$D, (MATCH(671, 輔助計算!$G$2:$G$801, 0)+1)),IF(INDEX(ERP資料!$G:$G, (MATCH(671, 輔助計算!$G$2:$G$801, 0)+1))&lt;100, IF(INDEX(ERP資料!$G:$G, (MATCH(671, 輔助計算!$G$2:$G$801, 0)+1))&lt;=31,3,IF(INDEX(ERP資料!$G:$G, (MATCH(671, 輔助計算!$G$2:$G$801, 0)+1))&lt;=46.5,2,1)), IF(INDEX(ERP資料!$G:$G, (MATCH(671, 輔助計算!$G$2:$G$801, 0)+1))&lt;=790,3,IF(INDEX(ERP資料!$G:$G, (MATCH(671, 輔助計算!$G$2:$G$801, 0)+1))&lt;=1181,2,1))))=0,"",IF(MOD(INDEX(輔助計算!$D:$D, (MATCH(671, 輔助計算!$G$2:$G$801, 0)+1)),IF(INDEX(ERP資料!$G:$G, (MATCH(671, 輔助計算!$G$2:$G$801, 0)+1))&lt;100, IF(INDEX(ERP資料!$G:$G, (MATCH(671, 輔助計算!$G$2:$G$801, 0)+1))&lt;=31,3,IF(INDEX(ERP資料!$G:$G, (MATCH(671, 輔助計算!$G$2:$G$801, 0)+1))&lt;=46.5,2,1)), IF(INDEX(ERP資料!$G:$G, (MATCH(671, 輔助計算!$G$2:$G$801, 0)+1))&lt;=790,3,IF(INDEX(ERP資料!$G:$G, (MATCH(671, 輔助計算!$G$2:$G$801, 0)+1))&lt;=1181,2,1))))=1,TEXT(INDEX(ERP資料!$G:$G, (MATCH(671, 輔助計算!$G$2:$G$801, 0)+1)),"0.##"),IF(MOD(INDEX(輔助計算!$D:$D, (MATCH(671, 輔助計算!$G$2:$G$801, 0)+1)),IF(INDEX(ERP資料!$G:$G, (MATCH(671, 輔助計算!$G$2:$G$801, 0)+1))&lt;100, IF(INDEX(ERP資料!$G:$G, (MATCH(671, 輔助計算!$G$2:$G$801, 0)+1))&lt;=31,3,IF(INDEX(ERP資料!$G:$G, (MATCH(671, 輔助計算!$G$2:$G$801, 0)+1))&lt;=46.5,2,1)), IF(INDEX(ERP資料!$G:$G, (MATCH(671, 輔助計算!$G$2:$G$801, 0)+1))&lt;=790,3,IF(INDEX(ERP資料!$G:$G, (MATCH(671, 輔助計算!$G$2:$G$801, 0)+1))&lt;=1181,2,1))))=2,TEXT(INDEX(ERP資料!$G:$G, (MATCH(671, 輔助計算!$G$2:$G$801, 0)+1)),"0.##")&amp;"+"&amp;TEXT(INDEX(ERP資料!$G:$G, (MATCH(671, 輔助計算!$G$2:$G$801, 0)+1)),"0.##"),TEXT(INDEX(ERP資料!$G:$G, (MATCH(671, 輔助計算!$G$2:$G$801, 0)+1)),"0.##")&amp;"+"&amp;TEXT(INDEX(ERP資料!$G:$G, (MATCH(671, 輔助計算!$G$2:$G$801, 0)+1)),"0.##")&amp;"+"&amp;TEXT(INDEX(ERP資料!$G:$G, (MATCH(671, 輔助計算!$G$2:$G$801, 0)+1)),"0.##"))))&amp;"-1")&lt;&gt;""),"  ","")&amp;IF(MOD(INDEX(輔助計算!$D:$D, (MATCH(671, 輔助計算!$G$2:$G$801, 0)+1)),IF(INDEX(ERP資料!$G:$G, (MATCH(671, 輔助計算!$G$2:$G$801, 0)+1))&lt;100, IF(INDEX(ERP資料!$G:$G, (MATCH(671, 輔助計算!$G$2:$G$801, 0)+1))&lt;=31,3,IF(INDEX(ERP資料!$G:$G, (MATCH(671, 輔助計算!$G$2:$G$801, 0)+1))&lt;=46.5,2,1)), IF(INDEX(ERP資料!$G:$G, (MATCH(671, 輔助計算!$G$2:$G$801, 0)+1))&lt;=790,3,IF(INDEX(ERP資料!$G:$G, (MATCH(671, 輔助計算!$G$2:$G$801, 0)+1))&lt;=1181,2,1))))=0,"",IF(MOD(INDEX(輔助計算!$D:$D, (MATCH(671, 輔助計算!$G$2:$G$801, 0)+1)),IF(INDEX(ERP資料!$G:$G, (MATCH(671, 輔助計算!$G$2:$G$801, 0)+1))&lt;100, IF(INDEX(ERP資料!$G:$G, (MATCH(671, 輔助計算!$G$2:$G$801, 0)+1))&lt;=31,3,IF(INDEX(ERP資料!$G:$G, (MATCH(671, 輔助計算!$G$2:$G$801, 0)+1))&lt;=46.5,2,1)), IF(INDEX(ERP資料!$G:$G, (MATCH(671, 輔助計算!$G$2:$G$801, 0)+1))&lt;=790,3,IF(INDEX(ERP資料!$G:$G, (MATCH(671, 輔助計算!$G$2:$G$801, 0)+1))&lt;=1181,2,1))))=0,"",IF(MOD(INDEX(輔助計算!$D:$D, (MATCH(671, 輔助計算!$G$2:$G$801, 0)+1)),IF(INDEX(ERP資料!$G:$G, (MATCH(671, 輔助計算!$G$2:$G$801, 0)+1))&lt;100, IF(INDEX(ERP資料!$G:$G, (MATCH(671, 輔助計算!$G$2:$G$801, 0)+1))&lt;=31,3,IF(INDEX(ERP資料!$G:$G, (MATCH(671, 輔助計算!$G$2:$G$801, 0)+1))&lt;=46.5,2,1)), IF(INDEX(ERP資料!$G:$G, (MATCH(671, 輔助計算!$G$2:$G$801, 0)+1))&lt;=790,3,IF(INDEX(ERP資料!$G:$G, (MATCH(671, 輔助計算!$G$2:$G$801, 0)+1))&lt;=1181,2,1))))=1,TEXT(INDEX(ERP資料!$G:$G, (MATCH(671, 輔助計算!$G$2:$G$801, 0)+1)),"0.##"),IF(MOD(INDEX(輔助計算!$D:$D, (MATCH(671, 輔助計算!$G$2:$G$801, 0)+1)),IF(INDEX(ERP資料!$G:$G, (MATCH(671, 輔助計算!$G$2:$G$801, 0)+1))&lt;100, IF(INDEX(ERP資料!$G:$G, (MATCH(671, 輔助計算!$G$2:$G$801, 0)+1))&lt;=31,3,IF(INDEX(ERP資料!$G:$G, (MATCH(671, 輔助計算!$G$2:$G$801, 0)+1))&lt;=46.5,2,1)), IF(INDEX(ERP資料!$G:$G, (MATCH(671, 輔助計算!$G$2:$G$801, 0)+1))&lt;=790,3,IF(INDEX(ERP資料!$G:$G, (MATCH(671, 輔助計算!$G$2:$G$801, 0)+1))&lt;=1181,2,1))))=2,TEXT(INDEX(ERP資料!$G:$G, (MATCH(671, 輔助計算!$G$2:$G$801, 0)+1)),"0.##")&amp;"+"&amp;TEXT(INDEX(ERP資料!$G:$G, (MATCH(671, 輔助計算!$G$2:$G$801, 0)+1)),"0.##"),TEXT(INDEX(ERP資料!$G:$G, (MATCH(671, 輔助計算!$G$2:$G$801, 0)+1)),"0.##")&amp;"+"&amp;TEXT(INDEX(ERP資料!$G:$G, (MATCH(671, 輔助計算!$G$2:$G$801, 0)+1)),"0.##")&amp;"+"&amp;TEXT(INDEX(ERP資料!$G:$G, (MATCH(671, 輔助計算!$G$2:$G$801, 0)+1)),"0.##"))))&amp;"-1")), ""), "")</f>
        <v/>
      </c>
      <c r="K672" s="16" t="n"/>
      <c r="L672" s="14">
        <f>IFERROR(IF(AND(IFERROR(INDEX(ERP資料!$A:$A, (MATCH(671, 輔助計算!$G$2:$G$801, 0)+1)), "")&lt;&gt;"", IFERROR(INDEX(ERP資料!$A:$A, (MATCH(671, 輔助計算!$G$2:$G$801, 0)+1)), "")&lt;&gt;IFERROR(INDEX(ERP資料!$A:$A, MATCH(670, 輔助計算!$G$2:$G$801, 0)+1), "")), INDEX(ERP資料!$B:$B, (MATCH(671, 輔助計算!$G$2:$G$801, 0)+1)), ""), "")</f>
        <v/>
      </c>
      <c r="M672" s="17" t="n"/>
    </row>
    <row r="673">
      <c r="A673" s="10">
        <f>IFERROR(IF(AND(IFERROR(INDEX(ERP資料!$A:$A, (MATCH(672, 輔助計算!$G$2:$G$801, 0)+1)), "")&lt;&gt;"", IFERROR(INDEX(ERP資料!$A:$A, (MATCH(672, 輔助計算!$G$2:$G$801, 0)+1)), "")&lt;&gt;IFERROR(INDEX(ERP資料!$A:$A, MATCH(671, 輔助計算!$G$2:$G$801, 0)+1), "")), IFERROR(INDEX(ERP資料!$A:$A, (MATCH(672, 輔助計算!$G$2:$G$801, 0)+1)), ""), ""), "")</f>
        <v/>
      </c>
      <c r="B673" s="10">
        <f>IFERROR(IF(AND(IFERROR(INDEX(ERP資料!$A:$A, (MATCH(672, 輔助計算!$G$2:$G$801, 0)+1)), "")&lt;&gt;"", IFERROR(INDEX(ERP資料!$A:$A, (MATCH(672, 輔助計算!$G$2:$G$801, 0)+1)), "")&lt;&gt;IFERROR(INDEX(ERP資料!$A:$A, MATCH(671, 輔助計算!$G$2:$G$801, 0)+1), "")), INDEX(ERP資料!$S:$S, (MATCH(672, 輔助計算!$G$2:$G$801, 0)+1)), ""), "")</f>
        <v/>
      </c>
      <c r="C673" s="19">
        <f>IFERROR(IF(AND(IFERROR(INDEX(ERP資料!$A:$A, (MATCH(672, 輔助計算!$G$2:$G$801, 0)+1)), "")&lt;&gt;"", IFERROR(INDEX(ERP資料!$A:$A, (MATCH(672, 輔助計算!$G$2:$G$801, 0)+1)), "")&lt;&gt;IFERROR(INDEX(ERP資料!$A:$A, MATCH(671, 輔助計算!$G$2:$G$801, 0)+1), "")), IFERROR(VLOOKUP(LEFT(INDEX(ERP資料!$S:$S, (MATCH(672, 輔助計算!$G$2:$G$801, 0)+1)), 4), 紙管對照表!$A:$C, 3, FALSE), ""), ""), "")</f>
        <v/>
      </c>
      <c r="D673" s="16" t="n"/>
      <c r="E673" s="10">
        <f>IFERROR(IF(INDEX(ERP資料!$H:$H, (MATCH(672, 輔助計算!$G$2:$G$801, 0)+1))="","",INDEX(ERP資料!$H:$H, (MATCH(672, 輔助計算!$G$2:$G$801, 0)+1))), "")</f>
        <v/>
      </c>
      <c r="F673" s="10">
        <f>IFERROR(IF(INDEX(ERP資料!$E:$E, (MATCH(672, 輔助計算!$G$2:$G$801, 0)+1))="","",TRIM(INDEX(ERP資料!$E:$E, (MATCH(672, 輔助計算!$G$2:$G$801, 0)+1)))), "")</f>
        <v/>
      </c>
      <c r="G673" s="10">
        <f>IFERROR(IF(INDEX(ERP資料!$F:$F, (MATCH(672, 輔助計算!$G$2:$G$801, 0)+1))="","",INDEX(ERP資料!$F:$F, (MATCH(672, 輔助計算!$G$2:$G$801, 0)+1))), "")</f>
        <v/>
      </c>
      <c r="H673" s="10">
        <f>IFERROR(IF(INDEX(ERP資料!$G:$G, (MATCH(672, 輔助計算!$G$2:$G$801, 0)+1))="","",INDEX(ERP資料!$G:$G, (MATCH(672, 輔助計算!$G$2:$G$801, 0)+1))), "")</f>
        <v/>
      </c>
      <c r="I673" s="15">
        <f>IFERROR(INDEX(輔助計算!$D:$D, (MATCH(672, 輔助計算!$G$2:$G$801, 0)+1)), "")</f>
        <v/>
      </c>
      <c r="J673" s="15">
        <f>IFERROR(IF(AND(INDEX(輔助計算!$D:$D, (MATCH(672, 輔助計算!$G$2:$G$801, 0)+1))&lt;&gt;"", INDEX(ERP資料!$G:$G, (MATCH(672, 輔助計算!$G$2:$G$801, 0)+1))&lt;&gt;""), TRIM(IF(INT(INDEX(輔助計算!$D:$D, (MATCH(672, 輔助計算!$G$2:$G$801, 0)+1))/IF(INDEX(ERP資料!$G:$G, (MATCH(672, 輔助計算!$G$2:$G$801, 0)+1))&lt;100, IF(INDEX(ERP資料!$G:$G, (MATCH(672, 輔助計算!$G$2:$G$801, 0)+1))&lt;=31,3,IF(INDEX(ERP資料!$G:$G, (MATCH(672, 輔助計算!$G$2:$G$801, 0)+1))&lt;=46.5,2,1)), IF(INDEX(ERP資料!$G:$G, (MATCH(672, 輔助計算!$G$2:$G$801, 0)+1))&lt;=790,3,IF(INDEX(ERP資料!$G:$G, (MATCH(672, 輔助計算!$G$2:$G$801, 0)+1))&lt;=1181,2,1))))&gt;0, IF(IF(INDEX(ERP資料!$G:$G, (MATCH(672, 輔助計算!$G$2:$G$801, 0)+1))&lt;100, IF(INDEX(ERP資料!$G:$G, (MATCH(672, 輔助計算!$G$2:$G$801, 0)+1))&lt;=31,3,IF(INDEX(ERP資料!$G:$G, (MATCH(672, 輔助計算!$G$2:$G$801, 0)+1))&lt;=46.5,2,1)), IF(INDEX(ERP資料!$G:$G, (MATCH(672, 輔助計算!$G$2:$G$801, 0)+1))&lt;=790,3,IF(INDEX(ERP資料!$G:$G, (MATCH(672, 輔助計算!$G$2:$G$801, 0)+1))&lt;=1181,2,1)))=1,TEXT(INDEX(ERP資料!$G:$G, (MATCH(672, 輔助計算!$G$2:$G$801, 0)+1)),"0.##"),IF(IF(INDEX(ERP資料!$G:$G, (MATCH(672, 輔助計算!$G$2:$G$801, 0)+1))&lt;100, IF(INDEX(ERP資料!$G:$G, (MATCH(672, 輔助計算!$G$2:$G$801, 0)+1))&lt;=31,3,IF(INDEX(ERP資料!$G:$G, (MATCH(672, 輔助計算!$G$2:$G$801, 0)+1))&lt;=46.5,2,1)), IF(INDEX(ERP資料!$G:$G, (MATCH(672, 輔助計算!$G$2:$G$801, 0)+1))&lt;=790,3,IF(INDEX(ERP資料!$G:$G, (MATCH(672, 輔助計算!$G$2:$G$801, 0)+1))&lt;=1181,2,1)))=2,TEXT(INDEX(ERP資料!$G:$G, (MATCH(672, 輔助計算!$G$2:$G$801, 0)+1)),"0.##")&amp;"+"&amp;TEXT(INDEX(ERP資料!$G:$G, (MATCH(672, 輔助計算!$G$2:$G$801, 0)+1)),"0.##"),TEXT(INDEX(ERP資料!$G:$G, (MATCH(672, 輔助計算!$G$2:$G$801, 0)+1)),"0.##")&amp;"+"&amp;TEXT(INDEX(ERP資料!$G:$G, (MATCH(672, 輔助計算!$G$2:$G$801, 0)+1)),"0.##")&amp;"+"&amp;TEXT(INDEX(ERP資料!$G:$G, (MATCH(672, 輔助計算!$G$2:$G$801, 0)+1)),"0.##")))&amp;"-"&amp;INT(INDEX(輔助計算!$D:$D, (MATCH(672, 輔助計算!$G$2:$G$801, 0)+1))/IF(INDEX(ERP資料!$G:$G, (MATCH(672, 輔助計算!$G$2:$G$801, 0)+1))&lt;100, IF(INDEX(ERP資料!$G:$G, (MATCH(672, 輔助計算!$G$2:$G$801, 0)+1))&lt;=31,3,IF(INDEX(ERP資料!$G:$G, (MATCH(672, 輔助計算!$G$2:$G$801, 0)+1))&lt;=46.5,2,1)), IF(INDEX(ERP資料!$G:$G, (MATCH(672, 輔助計算!$G$2:$G$801, 0)+1))&lt;=790,3,IF(INDEX(ERP資料!$G:$G, (MATCH(672, 輔助計算!$G$2:$G$801, 0)+1))&lt;=1181,2,1)))), "")&amp;IF(AND(IF(INT(INDEX(輔助計算!$D:$D, (MATCH(672, 輔助計算!$G$2:$G$801, 0)+1))/IF(INDEX(ERP資料!$G:$G, (MATCH(672, 輔助計算!$G$2:$G$801, 0)+1))&lt;100, IF(INDEX(ERP資料!$G:$G, (MATCH(672, 輔助計算!$G$2:$G$801, 0)+1))&lt;=31,3,IF(INDEX(ERP資料!$G:$G, (MATCH(672, 輔助計算!$G$2:$G$801, 0)+1))&lt;=46.5,2,1)), IF(INDEX(ERP資料!$G:$G, (MATCH(672, 輔助計算!$G$2:$G$801, 0)+1))&lt;=790,3,IF(INDEX(ERP資料!$G:$G, (MATCH(672, 輔助計算!$G$2:$G$801, 0)+1))&lt;=1181,2,1))))&gt;0, IF(IF(INDEX(ERP資料!$G:$G, (MATCH(672, 輔助計算!$G$2:$G$801, 0)+1))&lt;100, IF(INDEX(ERP資料!$G:$G, (MATCH(672, 輔助計算!$G$2:$G$801, 0)+1))&lt;=31,3,IF(INDEX(ERP資料!$G:$G, (MATCH(672, 輔助計算!$G$2:$G$801, 0)+1))&lt;=46.5,2,1)), IF(INDEX(ERP資料!$G:$G, (MATCH(672, 輔助計算!$G$2:$G$801, 0)+1))&lt;=790,3,IF(INDEX(ERP資料!$G:$G, (MATCH(672, 輔助計算!$G$2:$G$801, 0)+1))&lt;=1181,2,1)))=1,TEXT(INDEX(ERP資料!$G:$G, (MATCH(672, 輔助計算!$G$2:$G$801, 0)+1)),"0.##"),IF(IF(INDEX(ERP資料!$G:$G, (MATCH(672, 輔助計算!$G$2:$G$801, 0)+1))&lt;100, IF(INDEX(ERP資料!$G:$G, (MATCH(672, 輔助計算!$G$2:$G$801, 0)+1))&lt;=31,3,IF(INDEX(ERP資料!$G:$G, (MATCH(672, 輔助計算!$G$2:$G$801, 0)+1))&lt;=46.5,2,1)), IF(INDEX(ERP資料!$G:$G, (MATCH(672, 輔助計算!$G$2:$G$801, 0)+1))&lt;=790,3,IF(INDEX(ERP資料!$G:$G, (MATCH(672, 輔助計算!$G$2:$G$801, 0)+1))&lt;=1181,2,1)))=2,TEXT(INDEX(ERP資料!$G:$G, (MATCH(672, 輔助計算!$G$2:$G$801, 0)+1)),"0.##")&amp;"+"&amp;TEXT(INDEX(ERP資料!$G:$G, (MATCH(672, 輔助計算!$G$2:$G$801, 0)+1)),"0.##"),TEXT(INDEX(ERP資料!$G:$G, (MATCH(672, 輔助計算!$G$2:$G$801, 0)+1)),"0.##")&amp;"+"&amp;TEXT(INDEX(ERP資料!$G:$G, (MATCH(672, 輔助計算!$G$2:$G$801, 0)+1)),"0.##")&amp;"+"&amp;TEXT(INDEX(ERP資料!$G:$G, (MATCH(672, 輔助計算!$G$2:$G$801, 0)+1)),"0.##")))&amp;"-"&amp;INT(INDEX(輔助計算!$D:$D, (MATCH(672, 輔助計算!$G$2:$G$801, 0)+1))/IF(INDEX(ERP資料!$G:$G, (MATCH(672, 輔助計算!$G$2:$G$801, 0)+1))&lt;100, IF(INDEX(ERP資料!$G:$G, (MATCH(672, 輔助計算!$G$2:$G$801, 0)+1))&lt;=31,3,IF(INDEX(ERP資料!$G:$G, (MATCH(672, 輔助計算!$G$2:$G$801, 0)+1))&lt;=46.5,2,1)), IF(INDEX(ERP資料!$G:$G, (MATCH(672, 輔助計算!$G$2:$G$801, 0)+1))&lt;=790,3,IF(INDEX(ERP資料!$G:$G, (MATCH(672, 輔助計算!$G$2:$G$801, 0)+1))&lt;=1181,2,1)))), "")&lt;&gt;"",IF(MOD(INDEX(輔助計算!$D:$D, (MATCH(672, 輔助計算!$G$2:$G$801, 0)+1)),IF(INDEX(ERP資料!$G:$G, (MATCH(672, 輔助計算!$G$2:$G$801, 0)+1))&lt;100, IF(INDEX(ERP資料!$G:$G, (MATCH(672, 輔助計算!$G$2:$G$801, 0)+1))&lt;=31,3,IF(INDEX(ERP資料!$G:$G, (MATCH(672, 輔助計算!$G$2:$G$801, 0)+1))&lt;=46.5,2,1)), IF(INDEX(ERP資料!$G:$G, (MATCH(672, 輔助計算!$G$2:$G$801, 0)+1))&lt;=790,3,IF(INDEX(ERP資料!$G:$G, (MATCH(672, 輔助計算!$G$2:$G$801, 0)+1))&lt;=1181,2,1))))=0,"",IF(MOD(INDEX(輔助計算!$D:$D, (MATCH(672, 輔助計算!$G$2:$G$801, 0)+1)),IF(INDEX(ERP資料!$G:$G, (MATCH(672, 輔助計算!$G$2:$G$801, 0)+1))&lt;100, IF(INDEX(ERP資料!$G:$G, (MATCH(672, 輔助計算!$G$2:$G$801, 0)+1))&lt;=31,3,IF(INDEX(ERP資料!$G:$G, (MATCH(672, 輔助計算!$G$2:$G$801, 0)+1))&lt;=46.5,2,1)), IF(INDEX(ERP資料!$G:$G, (MATCH(672, 輔助計算!$G$2:$G$801, 0)+1))&lt;=790,3,IF(INDEX(ERP資料!$G:$G, (MATCH(672, 輔助計算!$G$2:$G$801, 0)+1))&lt;=1181,2,1))))=0,"",IF(MOD(INDEX(輔助計算!$D:$D, (MATCH(672, 輔助計算!$G$2:$G$801, 0)+1)),IF(INDEX(ERP資料!$G:$G, (MATCH(672, 輔助計算!$G$2:$G$801, 0)+1))&lt;100, IF(INDEX(ERP資料!$G:$G, (MATCH(672, 輔助計算!$G$2:$G$801, 0)+1))&lt;=31,3,IF(INDEX(ERP資料!$G:$G, (MATCH(672, 輔助計算!$G$2:$G$801, 0)+1))&lt;=46.5,2,1)), IF(INDEX(ERP資料!$G:$G, (MATCH(672, 輔助計算!$G$2:$G$801, 0)+1))&lt;=790,3,IF(INDEX(ERP資料!$G:$G, (MATCH(672, 輔助計算!$G$2:$G$801, 0)+1))&lt;=1181,2,1))))=1,TEXT(INDEX(ERP資料!$G:$G, (MATCH(672, 輔助計算!$G$2:$G$801, 0)+1)),"0.##"),IF(MOD(INDEX(輔助計算!$D:$D, (MATCH(672, 輔助計算!$G$2:$G$801, 0)+1)),IF(INDEX(ERP資料!$G:$G, (MATCH(672, 輔助計算!$G$2:$G$801, 0)+1))&lt;100, IF(INDEX(ERP資料!$G:$G, (MATCH(672, 輔助計算!$G$2:$G$801, 0)+1))&lt;=31,3,IF(INDEX(ERP資料!$G:$G, (MATCH(672, 輔助計算!$G$2:$G$801, 0)+1))&lt;=46.5,2,1)), IF(INDEX(ERP資料!$G:$G, (MATCH(672, 輔助計算!$G$2:$G$801, 0)+1))&lt;=790,3,IF(INDEX(ERP資料!$G:$G, (MATCH(672, 輔助計算!$G$2:$G$801, 0)+1))&lt;=1181,2,1))))=2,TEXT(INDEX(ERP資料!$G:$G, (MATCH(672, 輔助計算!$G$2:$G$801, 0)+1)),"0.##")&amp;"+"&amp;TEXT(INDEX(ERP資料!$G:$G, (MATCH(672, 輔助計算!$G$2:$G$801, 0)+1)),"0.##"),TEXT(INDEX(ERP資料!$G:$G, (MATCH(672, 輔助計算!$G$2:$G$801, 0)+1)),"0.##")&amp;"+"&amp;TEXT(INDEX(ERP資料!$G:$G, (MATCH(672, 輔助計算!$G$2:$G$801, 0)+1)),"0.##")&amp;"+"&amp;TEXT(INDEX(ERP資料!$G:$G, (MATCH(672, 輔助計算!$G$2:$G$801, 0)+1)),"0.##"))))&amp;"-1")&lt;&gt;""),"  ","")&amp;IF(MOD(INDEX(輔助計算!$D:$D, (MATCH(672, 輔助計算!$G$2:$G$801, 0)+1)),IF(INDEX(ERP資料!$G:$G, (MATCH(672, 輔助計算!$G$2:$G$801, 0)+1))&lt;100, IF(INDEX(ERP資料!$G:$G, (MATCH(672, 輔助計算!$G$2:$G$801, 0)+1))&lt;=31,3,IF(INDEX(ERP資料!$G:$G, (MATCH(672, 輔助計算!$G$2:$G$801, 0)+1))&lt;=46.5,2,1)), IF(INDEX(ERP資料!$G:$G, (MATCH(672, 輔助計算!$G$2:$G$801, 0)+1))&lt;=790,3,IF(INDEX(ERP資料!$G:$G, (MATCH(672, 輔助計算!$G$2:$G$801, 0)+1))&lt;=1181,2,1))))=0,"",IF(MOD(INDEX(輔助計算!$D:$D, (MATCH(672, 輔助計算!$G$2:$G$801, 0)+1)),IF(INDEX(ERP資料!$G:$G, (MATCH(672, 輔助計算!$G$2:$G$801, 0)+1))&lt;100, IF(INDEX(ERP資料!$G:$G, (MATCH(672, 輔助計算!$G$2:$G$801, 0)+1))&lt;=31,3,IF(INDEX(ERP資料!$G:$G, (MATCH(672, 輔助計算!$G$2:$G$801, 0)+1))&lt;=46.5,2,1)), IF(INDEX(ERP資料!$G:$G, (MATCH(672, 輔助計算!$G$2:$G$801, 0)+1))&lt;=790,3,IF(INDEX(ERP資料!$G:$G, (MATCH(672, 輔助計算!$G$2:$G$801, 0)+1))&lt;=1181,2,1))))=0,"",IF(MOD(INDEX(輔助計算!$D:$D, (MATCH(672, 輔助計算!$G$2:$G$801, 0)+1)),IF(INDEX(ERP資料!$G:$G, (MATCH(672, 輔助計算!$G$2:$G$801, 0)+1))&lt;100, IF(INDEX(ERP資料!$G:$G, (MATCH(672, 輔助計算!$G$2:$G$801, 0)+1))&lt;=31,3,IF(INDEX(ERP資料!$G:$G, (MATCH(672, 輔助計算!$G$2:$G$801, 0)+1))&lt;=46.5,2,1)), IF(INDEX(ERP資料!$G:$G, (MATCH(672, 輔助計算!$G$2:$G$801, 0)+1))&lt;=790,3,IF(INDEX(ERP資料!$G:$G, (MATCH(672, 輔助計算!$G$2:$G$801, 0)+1))&lt;=1181,2,1))))=1,TEXT(INDEX(ERP資料!$G:$G, (MATCH(672, 輔助計算!$G$2:$G$801, 0)+1)),"0.##"),IF(MOD(INDEX(輔助計算!$D:$D, (MATCH(672, 輔助計算!$G$2:$G$801, 0)+1)),IF(INDEX(ERP資料!$G:$G, (MATCH(672, 輔助計算!$G$2:$G$801, 0)+1))&lt;100, IF(INDEX(ERP資料!$G:$G, (MATCH(672, 輔助計算!$G$2:$G$801, 0)+1))&lt;=31,3,IF(INDEX(ERP資料!$G:$G, (MATCH(672, 輔助計算!$G$2:$G$801, 0)+1))&lt;=46.5,2,1)), IF(INDEX(ERP資料!$G:$G, (MATCH(672, 輔助計算!$G$2:$G$801, 0)+1))&lt;=790,3,IF(INDEX(ERP資料!$G:$G, (MATCH(672, 輔助計算!$G$2:$G$801, 0)+1))&lt;=1181,2,1))))=2,TEXT(INDEX(ERP資料!$G:$G, (MATCH(672, 輔助計算!$G$2:$G$801, 0)+1)),"0.##")&amp;"+"&amp;TEXT(INDEX(ERP資料!$G:$G, (MATCH(672, 輔助計算!$G$2:$G$801, 0)+1)),"0.##"),TEXT(INDEX(ERP資料!$G:$G, (MATCH(672, 輔助計算!$G$2:$G$801, 0)+1)),"0.##")&amp;"+"&amp;TEXT(INDEX(ERP資料!$G:$G, (MATCH(672, 輔助計算!$G$2:$G$801, 0)+1)),"0.##")&amp;"+"&amp;TEXT(INDEX(ERP資料!$G:$G, (MATCH(672, 輔助計算!$G$2:$G$801, 0)+1)),"0.##"))))&amp;"-1")), ""), "")</f>
        <v/>
      </c>
      <c r="K673" s="16" t="n"/>
      <c r="L673" s="14">
        <f>IFERROR(IF(AND(IFERROR(INDEX(ERP資料!$A:$A, (MATCH(672, 輔助計算!$G$2:$G$801, 0)+1)), "")&lt;&gt;"", IFERROR(INDEX(ERP資料!$A:$A, (MATCH(672, 輔助計算!$G$2:$G$801, 0)+1)), "")&lt;&gt;IFERROR(INDEX(ERP資料!$A:$A, MATCH(671, 輔助計算!$G$2:$G$801, 0)+1), "")), INDEX(ERP資料!$B:$B, (MATCH(672, 輔助計算!$G$2:$G$801, 0)+1)), ""), "")</f>
        <v/>
      </c>
      <c r="M673" s="17" t="n"/>
    </row>
    <row r="674">
      <c r="A674" s="10">
        <f>IFERROR(IF(AND(IFERROR(INDEX(ERP資料!$A:$A, (MATCH(673, 輔助計算!$G$2:$G$801, 0)+1)), "")&lt;&gt;"", IFERROR(INDEX(ERP資料!$A:$A, (MATCH(673, 輔助計算!$G$2:$G$801, 0)+1)), "")&lt;&gt;IFERROR(INDEX(ERP資料!$A:$A, MATCH(672, 輔助計算!$G$2:$G$801, 0)+1), "")), IFERROR(INDEX(ERP資料!$A:$A, (MATCH(673, 輔助計算!$G$2:$G$801, 0)+1)), ""), ""), "")</f>
        <v/>
      </c>
      <c r="B674" s="10">
        <f>IFERROR(IF(AND(IFERROR(INDEX(ERP資料!$A:$A, (MATCH(673, 輔助計算!$G$2:$G$801, 0)+1)), "")&lt;&gt;"", IFERROR(INDEX(ERP資料!$A:$A, (MATCH(673, 輔助計算!$G$2:$G$801, 0)+1)), "")&lt;&gt;IFERROR(INDEX(ERP資料!$A:$A, MATCH(672, 輔助計算!$G$2:$G$801, 0)+1), "")), INDEX(ERP資料!$S:$S, (MATCH(673, 輔助計算!$G$2:$G$801, 0)+1)), ""), "")</f>
        <v/>
      </c>
      <c r="C674" s="19">
        <f>IFERROR(IF(AND(IFERROR(INDEX(ERP資料!$A:$A, (MATCH(673, 輔助計算!$G$2:$G$801, 0)+1)), "")&lt;&gt;"", IFERROR(INDEX(ERP資料!$A:$A, (MATCH(673, 輔助計算!$G$2:$G$801, 0)+1)), "")&lt;&gt;IFERROR(INDEX(ERP資料!$A:$A, MATCH(672, 輔助計算!$G$2:$G$801, 0)+1), "")), IFERROR(VLOOKUP(LEFT(INDEX(ERP資料!$S:$S, (MATCH(673, 輔助計算!$G$2:$G$801, 0)+1)), 4), 紙管對照表!$A:$C, 3, FALSE), ""), ""), "")</f>
        <v/>
      </c>
      <c r="D674" s="16" t="n"/>
      <c r="E674" s="10">
        <f>IFERROR(IF(INDEX(ERP資料!$H:$H, (MATCH(673, 輔助計算!$G$2:$G$801, 0)+1))="","",INDEX(ERP資料!$H:$H, (MATCH(673, 輔助計算!$G$2:$G$801, 0)+1))), "")</f>
        <v/>
      </c>
      <c r="F674" s="10">
        <f>IFERROR(IF(INDEX(ERP資料!$E:$E, (MATCH(673, 輔助計算!$G$2:$G$801, 0)+1))="","",TRIM(INDEX(ERP資料!$E:$E, (MATCH(673, 輔助計算!$G$2:$G$801, 0)+1)))), "")</f>
        <v/>
      </c>
      <c r="G674" s="10">
        <f>IFERROR(IF(INDEX(ERP資料!$F:$F, (MATCH(673, 輔助計算!$G$2:$G$801, 0)+1))="","",INDEX(ERP資料!$F:$F, (MATCH(673, 輔助計算!$G$2:$G$801, 0)+1))), "")</f>
        <v/>
      </c>
      <c r="H674" s="10">
        <f>IFERROR(IF(INDEX(ERP資料!$G:$G, (MATCH(673, 輔助計算!$G$2:$G$801, 0)+1))="","",INDEX(ERP資料!$G:$G, (MATCH(673, 輔助計算!$G$2:$G$801, 0)+1))), "")</f>
        <v/>
      </c>
      <c r="I674" s="15">
        <f>IFERROR(INDEX(輔助計算!$D:$D, (MATCH(673, 輔助計算!$G$2:$G$801, 0)+1)), "")</f>
        <v/>
      </c>
      <c r="J674" s="15">
        <f>IFERROR(IF(AND(INDEX(輔助計算!$D:$D, (MATCH(673, 輔助計算!$G$2:$G$801, 0)+1))&lt;&gt;"", INDEX(ERP資料!$G:$G, (MATCH(673, 輔助計算!$G$2:$G$801, 0)+1))&lt;&gt;""), TRIM(IF(INT(INDEX(輔助計算!$D:$D, (MATCH(673, 輔助計算!$G$2:$G$801, 0)+1))/IF(INDEX(ERP資料!$G:$G, (MATCH(673, 輔助計算!$G$2:$G$801, 0)+1))&lt;100, IF(INDEX(ERP資料!$G:$G, (MATCH(673, 輔助計算!$G$2:$G$801, 0)+1))&lt;=31,3,IF(INDEX(ERP資料!$G:$G, (MATCH(673, 輔助計算!$G$2:$G$801, 0)+1))&lt;=46.5,2,1)), IF(INDEX(ERP資料!$G:$G, (MATCH(673, 輔助計算!$G$2:$G$801, 0)+1))&lt;=790,3,IF(INDEX(ERP資料!$G:$G, (MATCH(673, 輔助計算!$G$2:$G$801, 0)+1))&lt;=1181,2,1))))&gt;0, IF(IF(INDEX(ERP資料!$G:$G, (MATCH(673, 輔助計算!$G$2:$G$801, 0)+1))&lt;100, IF(INDEX(ERP資料!$G:$G, (MATCH(673, 輔助計算!$G$2:$G$801, 0)+1))&lt;=31,3,IF(INDEX(ERP資料!$G:$G, (MATCH(673, 輔助計算!$G$2:$G$801, 0)+1))&lt;=46.5,2,1)), IF(INDEX(ERP資料!$G:$G, (MATCH(673, 輔助計算!$G$2:$G$801, 0)+1))&lt;=790,3,IF(INDEX(ERP資料!$G:$G, (MATCH(673, 輔助計算!$G$2:$G$801, 0)+1))&lt;=1181,2,1)))=1,TEXT(INDEX(ERP資料!$G:$G, (MATCH(673, 輔助計算!$G$2:$G$801, 0)+1)),"0.##"),IF(IF(INDEX(ERP資料!$G:$G, (MATCH(673, 輔助計算!$G$2:$G$801, 0)+1))&lt;100, IF(INDEX(ERP資料!$G:$G, (MATCH(673, 輔助計算!$G$2:$G$801, 0)+1))&lt;=31,3,IF(INDEX(ERP資料!$G:$G, (MATCH(673, 輔助計算!$G$2:$G$801, 0)+1))&lt;=46.5,2,1)), IF(INDEX(ERP資料!$G:$G, (MATCH(673, 輔助計算!$G$2:$G$801, 0)+1))&lt;=790,3,IF(INDEX(ERP資料!$G:$G, (MATCH(673, 輔助計算!$G$2:$G$801, 0)+1))&lt;=1181,2,1)))=2,TEXT(INDEX(ERP資料!$G:$G, (MATCH(673, 輔助計算!$G$2:$G$801, 0)+1)),"0.##")&amp;"+"&amp;TEXT(INDEX(ERP資料!$G:$G, (MATCH(673, 輔助計算!$G$2:$G$801, 0)+1)),"0.##"),TEXT(INDEX(ERP資料!$G:$G, (MATCH(673, 輔助計算!$G$2:$G$801, 0)+1)),"0.##")&amp;"+"&amp;TEXT(INDEX(ERP資料!$G:$G, (MATCH(673, 輔助計算!$G$2:$G$801, 0)+1)),"0.##")&amp;"+"&amp;TEXT(INDEX(ERP資料!$G:$G, (MATCH(673, 輔助計算!$G$2:$G$801, 0)+1)),"0.##")))&amp;"-"&amp;INT(INDEX(輔助計算!$D:$D, (MATCH(673, 輔助計算!$G$2:$G$801, 0)+1))/IF(INDEX(ERP資料!$G:$G, (MATCH(673, 輔助計算!$G$2:$G$801, 0)+1))&lt;100, IF(INDEX(ERP資料!$G:$G, (MATCH(673, 輔助計算!$G$2:$G$801, 0)+1))&lt;=31,3,IF(INDEX(ERP資料!$G:$G, (MATCH(673, 輔助計算!$G$2:$G$801, 0)+1))&lt;=46.5,2,1)), IF(INDEX(ERP資料!$G:$G, (MATCH(673, 輔助計算!$G$2:$G$801, 0)+1))&lt;=790,3,IF(INDEX(ERP資料!$G:$G, (MATCH(673, 輔助計算!$G$2:$G$801, 0)+1))&lt;=1181,2,1)))), "")&amp;IF(AND(IF(INT(INDEX(輔助計算!$D:$D, (MATCH(673, 輔助計算!$G$2:$G$801, 0)+1))/IF(INDEX(ERP資料!$G:$G, (MATCH(673, 輔助計算!$G$2:$G$801, 0)+1))&lt;100, IF(INDEX(ERP資料!$G:$G, (MATCH(673, 輔助計算!$G$2:$G$801, 0)+1))&lt;=31,3,IF(INDEX(ERP資料!$G:$G, (MATCH(673, 輔助計算!$G$2:$G$801, 0)+1))&lt;=46.5,2,1)), IF(INDEX(ERP資料!$G:$G, (MATCH(673, 輔助計算!$G$2:$G$801, 0)+1))&lt;=790,3,IF(INDEX(ERP資料!$G:$G, (MATCH(673, 輔助計算!$G$2:$G$801, 0)+1))&lt;=1181,2,1))))&gt;0, IF(IF(INDEX(ERP資料!$G:$G, (MATCH(673, 輔助計算!$G$2:$G$801, 0)+1))&lt;100, IF(INDEX(ERP資料!$G:$G, (MATCH(673, 輔助計算!$G$2:$G$801, 0)+1))&lt;=31,3,IF(INDEX(ERP資料!$G:$G, (MATCH(673, 輔助計算!$G$2:$G$801, 0)+1))&lt;=46.5,2,1)), IF(INDEX(ERP資料!$G:$G, (MATCH(673, 輔助計算!$G$2:$G$801, 0)+1))&lt;=790,3,IF(INDEX(ERP資料!$G:$G, (MATCH(673, 輔助計算!$G$2:$G$801, 0)+1))&lt;=1181,2,1)))=1,TEXT(INDEX(ERP資料!$G:$G, (MATCH(673, 輔助計算!$G$2:$G$801, 0)+1)),"0.##"),IF(IF(INDEX(ERP資料!$G:$G, (MATCH(673, 輔助計算!$G$2:$G$801, 0)+1))&lt;100, IF(INDEX(ERP資料!$G:$G, (MATCH(673, 輔助計算!$G$2:$G$801, 0)+1))&lt;=31,3,IF(INDEX(ERP資料!$G:$G, (MATCH(673, 輔助計算!$G$2:$G$801, 0)+1))&lt;=46.5,2,1)), IF(INDEX(ERP資料!$G:$G, (MATCH(673, 輔助計算!$G$2:$G$801, 0)+1))&lt;=790,3,IF(INDEX(ERP資料!$G:$G, (MATCH(673, 輔助計算!$G$2:$G$801, 0)+1))&lt;=1181,2,1)))=2,TEXT(INDEX(ERP資料!$G:$G, (MATCH(673, 輔助計算!$G$2:$G$801, 0)+1)),"0.##")&amp;"+"&amp;TEXT(INDEX(ERP資料!$G:$G, (MATCH(673, 輔助計算!$G$2:$G$801, 0)+1)),"0.##"),TEXT(INDEX(ERP資料!$G:$G, (MATCH(673, 輔助計算!$G$2:$G$801, 0)+1)),"0.##")&amp;"+"&amp;TEXT(INDEX(ERP資料!$G:$G, (MATCH(673, 輔助計算!$G$2:$G$801, 0)+1)),"0.##")&amp;"+"&amp;TEXT(INDEX(ERP資料!$G:$G, (MATCH(673, 輔助計算!$G$2:$G$801, 0)+1)),"0.##")))&amp;"-"&amp;INT(INDEX(輔助計算!$D:$D, (MATCH(673, 輔助計算!$G$2:$G$801, 0)+1))/IF(INDEX(ERP資料!$G:$G, (MATCH(673, 輔助計算!$G$2:$G$801, 0)+1))&lt;100, IF(INDEX(ERP資料!$G:$G, (MATCH(673, 輔助計算!$G$2:$G$801, 0)+1))&lt;=31,3,IF(INDEX(ERP資料!$G:$G, (MATCH(673, 輔助計算!$G$2:$G$801, 0)+1))&lt;=46.5,2,1)), IF(INDEX(ERP資料!$G:$G, (MATCH(673, 輔助計算!$G$2:$G$801, 0)+1))&lt;=790,3,IF(INDEX(ERP資料!$G:$G, (MATCH(673, 輔助計算!$G$2:$G$801, 0)+1))&lt;=1181,2,1)))), "")&lt;&gt;"",IF(MOD(INDEX(輔助計算!$D:$D, (MATCH(673, 輔助計算!$G$2:$G$801, 0)+1)),IF(INDEX(ERP資料!$G:$G, (MATCH(673, 輔助計算!$G$2:$G$801, 0)+1))&lt;100, IF(INDEX(ERP資料!$G:$G, (MATCH(673, 輔助計算!$G$2:$G$801, 0)+1))&lt;=31,3,IF(INDEX(ERP資料!$G:$G, (MATCH(673, 輔助計算!$G$2:$G$801, 0)+1))&lt;=46.5,2,1)), IF(INDEX(ERP資料!$G:$G, (MATCH(673, 輔助計算!$G$2:$G$801, 0)+1))&lt;=790,3,IF(INDEX(ERP資料!$G:$G, (MATCH(673, 輔助計算!$G$2:$G$801, 0)+1))&lt;=1181,2,1))))=0,"",IF(MOD(INDEX(輔助計算!$D:$D, (MATCH(673, 輔助計算!$G$2:$G$801, 0)+1)),IF(INDEX(ERP資料!$G:$G, (MATCH(673, 輔助計算!$G$2:$G$801, 0)+1))&lt;100, IF(INDEX(ERP資料!$G:$G, (MATCH(673, 輔助計算!$G$2:$G$801, 0)+1))&lt;=31,3,IF(INDEX(ERP資料!$G:$G, (MATCH(673, 輔助計算!$G$2:$G$801, 0)+1))&lt;=46.5,2,1)), IF(INDEX(ERP資料!$G:$G, (MATCH(673, 輔助計算!$G$2:$G$801, 0)+1))&lt;=790,3,IF(INDEX(ERP資料!$G:$G, (MATCH(673, 輔助計算!$G$2:$G$801, 0)+1))&lt;=1181,2,1))))=0,"",IF(MOD(INDEX(輔助計算!$D:$D, (MATCH(673, 輔助計算!$G$2:$G$801, 0)+1)),IF(INDEX(ERP資料!$G:$G, (MATCH(673, 輔助計算!$G$2:$G$801, 0)+1))&lt;100, IF(INDEX(ERP資料!$G:$G, (MATCH(673, 輔助計算!$G$2:$G$801, 0)+1))&lt;=31,3,IF(INDEX(ERP資料!$G:$G, (MATCH(673, 輔助計算!$G$2:$G$801, 0)+1))&lt;=46.5,2,1)), IF(INDEX(ERP資料!$G:$G, (MATCH(673, 輔助計算!$G$2:$G$801, 0)+1))&lt;=790,3,IF(INDEX(ERP資料!$G:$G, (MATCH(673, 輔助計算!$G$2:$G$801, 0)+1))&lt;=1181,2,1))))=1,TEXT(INDEX(ERP資料!$G:$G, (MATCH(673, 輔助計算!$G$2:$G$801, 0)+1)),"0.##"),IF(MOD(INDEX(輔助計算!$D:$D, (MATCH(673, 輔助計算!$G$2:$G$801, 0)+1)),IF(INDEX(ERP資料!$G:$G, (MATCH(673, 輔助計算!$G$2:$G$801, 0)+1))&lt;100, IF(INDEX(ERP資料!$G:$G, (MATCH(673, 輔助計算!$G$2:$G$801, 0)+1))&lt;=31,3,IF(INDEX(ERP資料!$G:$G, (MATCH(673, 輔助計算!$G$2:$G$801, 0)+1))&lt;=46.5,2,1)), IF(INDEX(ERP資料!$G:$G, (MATCH(673, 輔助計算!$G$2:$G$801, 0)+1))&lt;=790,3,IF(INDEX(ERP資料!$G:$G, (MATCH(673, 輔助計算!$G$2:$G$801, 0)+1))&lt;=1181,2,1))))=2,TEXT(INDEX(ERP資料!$G:$G, (MATCH(673, 輔助計算!$G$2:$G$801, 0)+1)),"0.##")&amp;"+"&amp;TEXT(INDEX(ERP資料!$G:$G, (MATCH(673, 輔助計算!$G$2:$G$801, 0)+1)),"0.##"),TEXT(INDEX(ERP資料!$G:$G, (MATCH(673, 輔助計算!$G$2:$G$801, 0)+1)),"0.##")&amp;"+"&amp;TEXT(INDEX(ERP資料!$G:$G, (MATCH(673, 輔助計算!$G$2:$G$801, 0)+1)),"0.##")&amp;"+"&amp;TEXT(INDEX(ERP資料!$G:$G, (MATCH(673, 輔助計算!$G$2:$G$801, 0)+1)),"0.##"))))&amp;"-1")&lt;&gt;""),"  ","")&amp;IF(MOD(INDEX(輔助計算!$D:$D, (MATCH(673, 輔助計算!$G$2:$G$801, 0)+1)),IF(INDEX(ERP資料!$G:$G, (MATCH(673, 輔助計算!$G$2:$G$801, 0)+1))&lt;100, IF(INDEX(ERP資料!$G:$G, (MATCH(673, 輔助計算!$G$2:$G$801, 0)+1))&lt;=31,3,IF(INDEX(ERP資料!$G:$G, (MATCH(673, 輔助計算!$G$2:$G$801, 0)+1))&lt;=46.5,2,1)), IF(INDEX(ERP資料!$G:$G, (MATCH(673, 輔助計算!$G$2:$G$801, 0)+1))&lt;=790,3,IF(INDEX(ERP資料!$G:$G, (MATCH(673, 輔助計算!$G$2:$G$801, 0)+1))&lt;=1181,2,1))))=0,"",IF(MOD(INDEX(輔助計算!$D:$D, (MATCH(673, 輔助計算!$G$2:$G$801, 0)+1)),IF(INDEX(ERP資料!$G:$G, (MATCH(673, 輔助計算!$G$2:$G$801, 0)+1))&lt;100, IF(INDEX(ERP資料!$G:$G, (MATCH(673, 輔助計算!$G$2:$G$801, 0)+1))&lt;=31,3,IF(INDEX(ERP資料!$G:$G, (MATCH(673, 輔助計算!$G$2:$G$801, 0)+1))&lt;=46.5,2,1)), IF(INDEX(ERP資料!$G:$G, (MATCH(673, 輔助計算!$G$2:$G$801, 0)+1))&lt;=790,3,IF(INDEX(ERP資料!$G:$G, (MATCH(673, 輔助計算!$G$2:$G$801, 0)+1))&lt;=1181,2,1))))=0,"",IF(MOD(INDEX(輔助計算!$D:$D, (MATCH(673, 輔助計算!$G$2:$G$801, 0)+1)),IF(INDEX(ERP資料!$G:$G, (MATCH(673, 輔助計算!$G$2:$G$801, 0)+1))&lt;100, IF(INDEX(ERP資料!$G:$G, (MATCH(673, 輔助計算!$G$2:$G$801, 0)+1))&lt;=31,3,IF(INDEX(ERP資料!$G:$G, (MATCH(673, 輔助計算!$G$2:$G$801, 0)+1))&lt;=46.5,2,1)), IF(INDEX(ERP資料!$G:$G, (MATCH(673, 輔助計算!$G$2:$G$801, 0)+1))&lt;=790,3,IF(INDEX(ERP資料!$G:$G, (MATCH(673, 輔助計算!$G$2:$G$801, 0)+1))&lt;=1181,2,1))))=1,TEXT(INDEX(ERP資料!$G:$G, (MATCH(673, 輔助計算!$G$2:$G$801, 0)+1)),"0.##"),IF(MOD(INDEX(輔助計算!$D:$D, (MATCH(673, 輔助計算!$G$2:$G$801, 0)+1)),IF(INDEX(ERP資料!$G:$G, (MATCH(673, 輔助計算!$G$2:$G$801, 0)+1))&lt;100, IF(INDEX(ERP資料!$G:$G, (MATCH(673, 輔助計算!$G$2:$G$801, 0)+1))&lt;=31,3,IF(INDEX(ERP資料!$G:$G, (MATCH(673, 輔助計算!$G$2:$G$801, 0)+1))&lt;=46.5,2,1)), IF(INDEX(ERP資料!$G:$G, (MATCH(673, 輔助計算!$G$2:$G$801, 0)+1))&lt;=790,3,IF(INDEX(ERP資料!$G:$G, (MATCH(673, 輔助計算!$G$2:$G$801, 0)+1))&lt;=1181,2,1))))=2,TEXT(INDEX(ERP資料!$G:$G, (MATCH(673, 輔助計算!$G$2:$G$801, 0)+1)),"0.##")&amp;"+"&amp;TEXT(INDEX(ERP資料!$G:$G, (MATCH(673, 輔助計算!$G$2:$G$801, 0)+1)),"0.##"),TEXT(INDEX(ERP資料!$G:$G, (MATCH(673, 輔助計算!$G$2:$G$801, 0)+1)),"0.##")&amp;"+"&amp;TEXT(INDEX(ERP資料!$G:$G, (MATCH(673, 輔助計算!$G$2:$G$801, 0)+1)),"0.##")&amp;"+"&amp;TEXT(INDEX(ERP資料!$G:$G, (MATCH(673, 輔助計算!$G$2:$G$801, 0)+1)),"0.##"))))&amp;"-1")), ""), "")</f>
        <v/>
      </c>
      <c r="K674" s="16" t="n"/>
      <c r="L674" s="14">
        <f>IFERROR(IF(AND(IFERROR(INDEX(ERP資料!$A:$A, (MATCH(673, 輔助計算!$G$2:$G$801, 0)+1)), "")&lt;&gt;"", IFERROR(INDEX(ERP資料!$A:$A, (MATCH(673, 輔助計算!$G$2:$G$801, 0)+1)), "")&lt;&gt;IFERROR(INDEX(ERP資料!$A:$A, MATCH(672, 輔助計算!$G$2:$G$801, 0)+1), "")), INDEX(ERP資料!$B:$B, (MATCH(673, 輔助計算!$G$2:$G$801, 0)+1)), ""), "")</f>
        <v/>
      </c>
      <c r="M674" s="17" t="n"/>
    </row>
    <row r="675">
      <c r="A675" s="10">
        <f>IFERROR(IF(AND(IFERROR(INDEX(ERP資料!$A:$A, (MATCH(674, 輔助計算!$G$2:$G$801, 0)+1)), "")&lt;&gt;"", IFERROR(INDEX(ERP資料!$A:$A, (MATCH(674, 輔助計算!$G$2:$G$801, 0)+1)), "")&lt;&gt;IFERROR(INDEX(ERP資料!$A:$A, MATCH(673, 輔助計算!$G$2:$G$801, 0)+1), "")), IFERROR(INDEX(ERP資料!$A:$A, (MATCH(674, 輔助計算!$G$2:$G$801, 0)+1)), ""), ""), "")</f>
        <v/>
      </c>
      <c r="B675" s="10">
        <f>IFERROR(IF(AND(IFERROR(INDEX(ERP資料!$A:$A, (MATCH(674, 輔助計算!$G$2:$G$801, 0)+1)), "")&lt;&gt;"", IFERROR(INDEX(ERP資料!$A:$A, (MATCH(674, 輔助計算!$G$2:$G$801, 0)+1)), "")&lt;&gt;IFERROR(INDEX(ERP資料!$A:$A, MATCH(673, 輔助計算!$G$2:$G$801, 0)+1), "")), INDEX(ERP資料!$S:$S, (MATCH(674, 輔助計算!$G$2:$G$801, 0)+1)), ""), "")</f>
        <v/>
      </c>
      <c r="C675" s="19">
        <f>IFERROR(IF(AND(IFERROR(INDEX(ERP資料!$A:$A, (MATCH(674, 輔助計算!$G$2:$G$801, 0)+1)), "")&lt;&gt;"", IFERROR(INDEX(ERP資料!$A:$A, (MATCH(674, 輔助計算!$G$2:$G$801, 0)+1)), "")&lt;&gt;IFERROR(INDEX(ERP資料!$A:$A, MATCH(673, 輔助計算!$G$2:$G$801, 0)+1), "")), IFERROR(VLOOKUP(LEFT(INDEX(ERP資料!$S:$S, (MATCH(674, 輔助計算!$G$2:$G$801, 0)+1)), 4), 紙管對照表!$A:$C, 3, FALSE), ""), ""), "")</f>
        <v/>
      </c>
      <c r="D675" s="16" t="n"/>
      <c r="E675" s="10">
        <f>IFERROR(IF(INDEX(ERP資料!$H:$H, (MATCH(674, 輔助計算!$G$2:$G$801, 0)+1))="","",INDEX(ERP資料!$H:$H, (MATCH(674, 輔助計算!$G$2:$G$801, 0)+1))), "")</f>
        <v/>
      </c>
      <c r="F675" s="10">
        <f>IFERROR(IF(INDEX(ERP資料!$E:$E, (MATCH(674, 輔助計算!$G$2:$G$801, 0)+1))="","",TRIM(INDEX(ERP資料!$E:$E, (MATCH(674, 輔助計算!$G$2:$G$801, 0)+1)))), "")</f>
        <v/>
      </c>
      <c r="G675" s="10">
        <f>IFERROR(IF(INDEX(ERP資料!$F:$F, (MATCH(674, 輔助計算!$G$2:$G$801, 0)+1))="","",INDEX(ERP資料!$F:$F, (MATCH(674, 輔助計算!$G$2:$G$801, 0)+1))), "")</f>
        <v/>
      </c>
      <c r="H675" s="10">
        <f>IFERROR(IF(INDEX(ERP資料!$G:$G, (MATCH(674, 輔助計算!$G$2:$G$801, 0)+1))="","",INDEX(ERP資料!$G:$G, (MATCH(674, 輔助計算!$G$2:$G$801, 0)+1))), "")</f>
        <v/>
      </c>
      <c r="I675" s="15">
        <f>IFERROR(INDEX(輔助計算!$D:$D, (MATCH(674, 輔助計算!$G$2:$G$801, 0)+1)), "")</f>
        <v/>
      </c>
      <c r="J675" s="15">
        <f>IFERROR(IF(AND(INDEX(輔助計算!$D:$D, (MATCH(674, 輔助計算!$G$2:$G$801, 0)+1))&lt;&gt;"", INDEX(ERP資料!$G:$G, (MATCH(674, 輔助計算!$G$2:$G$801, 0)+1))&lt;&gt;""), TRIM(IF(INT(INDEX(輔助計算!$D:$D, (MATCH(674, 輔助計算!$G$2:$G$801, 0)+1))/IF(INDEX(ERP資料!$G:$G, (MATCH(674, 輔助計算!$G$2:$G$801, 0)+1))&lt;100, IF(INDEX(ERP資料!$G:$G, (MATCH(674, 輔助計算!$G$2:$G$801, 0)+1))&lt;=31,3,IF(INDEX(ERP資料!$G:$G, (MATCH(674, 輔助計算!$G$2:$G$801, 0)+1))&lt;=46.5,2,1)), IF(INDEX(ERP資料!$G:$G, (MATCH(674, 輔助計算!$G$2:$G$801, 0)+1))&lt;=790,3,IF(INDEX(ERP資料!$G:$G, (MATCH(674, 輔助計算!$G$2:$G$801, 0)+1))&lt;=1181,2,1))))&gt;0, IF(IF(INDEX(ERP資料!$G:$G, (MATCH(674, 輔助計算!$G$2:$G$801, 0)+1))&lt;100, IF(INDEX(ERP資料!$G:$G, (MATCH(674, 輔助計算!$G$2:$G$801, 0)+1))&lt;=31,3,IF(INDEX(ERP資料!$G:$G, (MATCH(674, 輔助計算!$G$2:$G$801, 0)+1))&lt;=46.5,2,1)), IF(INDEX(ERP資料!$G:$G, (MATCH(674, 輔助計算!$G$2:$G$801, 0)+1))&lt;=790,3,IF(INDEX(ERP資料!$G:$G, (MATCH(674, 輔助計算!$G$2:$G$801, 0)+1))&lt;=1181,2,1)))=1,TEXT(INDEX(ERP資料!$G:$G, (MATCH(674, 輔助計算!$G$2:$G$801, 0)+1)),"0.##"),IF(IF(INDEX(ERP資料!$G:$G, (MATCH(674, 輔助計算!$G$2:$G$801, 0)+1))&lt;100, IF(INDEX(ERP資料!$G:$G, (MATCH(674, 輔助計算!$G$2:$G$801, 0)+1))&lt;=31,3,IF(INDEX(ERP資料!$G:$G, (MATCH(674, 輔助計算!$G$2:$G$801, 0)+1))&lt;=46.5,2,1)), IF(INDEX(ERP資料!$G:$G, (MATCH(674, 輔助計算!$G$2:$G$801, 0)+1))&lt;=790,3,IF(INDEX(ERP資料!$G:$G, (MATCH(674, 輔助計算!$G$2:$G$801, 0)+1))&lt;=1181,2,1)))=2,TEXT(INDEX(ERP資料!$G:$G, (MATCH(674, 輔助計算!$G$2:$G$801, 0)+1)),"0.##")&amp;"+"&amp;TEXT(INDEX(ERP資料!$G:$G, (MATCH(674, 輔助計算!$G$2:$G$801, 0)+1)),"0.##"),TEXT(INDEX(ERP資料!$G:$G, (MATCH(674, 輔助計算!$G$2:$G$801, 0)+1)),"0.##")&amp;"+"&amp;TEXT(INDEX(ERP資料!$G:$G, (MATCH(674, 輔助計算!$G$2:$G$801, 0)+1)),"0.##")&amp;"+"&amp;TEXT(INDEX(ERP資料!$G:$G, (MATCH(674, 輔助計算!$G$2:$G$801, 0)+1)),"0.##")))&amp;"-"&amp;INT(INDEX(輔助計算!$D:$D, (MATCH(674, 輔助計算!$G$2:$G$801, 0)+1))/IF(INDEX(ERP資料!$G:$G, (MATCH(674, 輔助計算!$G$2:$G$801, 0)+1))&lt;100, IF(INDEX(ERP資料!$G:$G, (MATCH(674, 輔助計算!$G$2:$G$801, 0)+1))&lt;=31,3,IF(INDEX(ERP資料!$G:$G, (MATCH(674, 輔助計算!$G$2:$G$801, 0)+1))&lt;=46.5,2,1)), IF(INDEX(ERP資料!$G:$G, (MATCH(674, 輔助計算!$G$2:$G$801, 0)+1))&lt;=790,3,IF(INDEX(ERP資料!$G:$G, (MATCH(674, 輔助計算!$G$2:$G$801, 0)+1))&lt;=1181,2,1)))), "")&amp;IF(AND(IF(INT(INDEX(輔助計算!$D:$D, (MATCH(674, 輔助計算!$G$2:$G$801, 0)+1))/IF(INDEX(ERP資料!$G:$G, (MATCH(674, 輔助計算!$G$2:$G$801, 0)+1))&lt;100, IF(INDEX(ERP資料!$G:$G, (MATCH(674, 輔助計算!$G$2:$G$801, 0)+1))&lt;=31,3,IF(INDEX(ERP資料!$G:$G, (MATCH(674, 輔助計算!$G$2:$G$801, 0)+1))&lt;=46.5,2,1)), IF(INDEX(ERP資料!$G:$G, (MATCH(674, 輔助計算!$G$2:$G$801, 0)+1))&lt;=790,3,IF(INDEX(ERP資料!$G:$G, (MATCH(674, 輔助計算!$G$2:$G$801, 0)+1))&lt;=1181,2,1))))&gt;0, IF(IF(INDEX(ERP資料!$G:$G, (MATCH(674, 輔助計算!$G$2:$G$801, 0)+1))&lt;100, IF(INDEX(ERP資料!$G:$G, (MATCH(674, 輔助計算!$G$2:$G$801, 0)+1))&lt;=31,3,IF(INDEX(ERP資料!$G:$G, (MATCH(674, 輔助計算!$G$2:$G$801, 0)+1))&lt;=46.5,2,1)), IF(INDEX(ERP資料!$G:$G, (MATCH(674, 輔助計算!$G$2:$G$801, 0)+1))&lt;=790,3,IF(INDEX(ERP資料!$G:$G, (MATCH(674, 輔助計算!$G$2:$G$801, 0)+1))&lt;=1181,2,1)))=1,TEXT(INDEX(ERP資料!$G:$G, (MATCH(674, 輔助計算!$G$2:$G$801, 0)+1)),"0.##"),IF(IF(INDEX(ERP資料!$G:$G, (MATCH(674, 輔助計算!$G$2:$G$801, 0)+1))&lt;100, IF(INDEX(ERP資料!$G:$G, (MATCH(674, 輔助計算!$G$2:$G$801, 0)+1))&lt;=31,3,IF(INDEX(ERP資料!$G:$G, (MATCH(674, 輔助計算!$G$2:$G$801, 0)+1))&lt;=46.5,2,1)), IF(INDEX(ERP資料!$G:$G, (MATCH(674, 輔助計算!$G$2:$G$801, 0)+1))&lt;=790,3,IF(INDEX(ERP資料!$G:$G, (MATCH(674, 輔助計算!$G$2:$G$801, 0)+1))&lt;=1181,2,1)))=2,TEXT(INDEX(ERP資料!$G:$G, (MATCH(674, 輔助計算!$G$2:$G$801, 0)+1)),"0.##")&amp;"+"&amp;TEXT(INDEX(ERP資料!$G:$G, (MATCH(674, 輔助計算!$G$2:$G$801, 0)+1)),"0.##"),TEXT(INDEX(ERP資料!$G:$G, (MATCH(674, 輔助計算!$G$2:$G$801, 0)+1)),"0.##")&amp;"+"&amp;TEXT(INDEX(ERP資料!$G:$G, (MATCH(674, 輔助計算!$G$2:$G$801, 0)+1)),"0.##")&amp;"+"&amp;TEXT(INDEX(ERP資料!$G:$G, (MATCH(674, 輔助計算!$G$2:$G$801, 0)+1)),"0.##")))&amp;"-"&amp;INT(INDEX(輔助計算!$D:$D, (MATCH(674, 輔助計算!$G$2:$G$801, 0)+1))/IF(INDEX(ERP資料!$G:$G, (MATCH(674, 輔助計算!$G$2:$G$801, 0)+1))&lt;100, IF(INDEX(ERP資料!$G:$G, (MATCH(674, 輔助計算!$G$2:$G$801, 0)+1))&lt;=31,3,IF(INDEX(ERP資料!$G:$G, (MATCH(674, 輔助計算!$G$2:$G$801, 0)+1))&lt;=46.5,2,1)), IF(INDEX(ERP資料!$G:$G, (MATCH(674, 輔助計算!$G$2:$G$801, 0)+1))&lt;=790,3,IF(INDEX(ERP資料!$G:$G, (MATCH(674, 輔助計算!$G$2:$G$801, 0)+1))&lt;=1181,2,1)))), "")&lt;&gt;"",IF(MOD(INDEX(輔助計算!$D:$D, (MATCH(674, 輔助計算!$G$2:$G$801, 0)+1)),IF(INDEX(ERP資料!$G:$G, (MATCH(674, 輔助計算!$G$2:$G$801, 0)+1))&lt;100, IF(INDEX(ERP資料!$G:$G, (MATCH(674, 輔助計算!$G$2:$G$801, 0)+1))&lt;=31,3,IF(INDEX(ERP資料!$G:$G, (MATCH(674, 輔助計算!$G$2:$G$801, 0)+1))&lt;=46.5,2,1)), IF(INDEX(ERP資料!$G:$G, (MATCH(674, 輔助計算!$G$2:$G$801, 0)+1))&lt;=790,3,IF(INDEX(ERP資料!$G:$G, (MATCH(674, 輔助計算!$G$2:$G$801, 0)+1))&lt;=1181,2,1))))=0,"",IF(MOD(INDEX(輔助計算!$D:$D, (MATCH(674, 輔助計算!$G$2:$G$801, 0)+1)),IF(INDEX(ERP資料!$G:$G, (MATCH(674, 輔助計算!$G$2:$G$801, 0)+1))&lt;100, IF(INDEX(ERP資料!$G:$G, (MATCH(674, 輔助計算!$G$2:$G$801, 0)+1))&lt;=31,3,IF(INDEX(ERP資料!$G:$G, (MATCH(674, 輔助計算!$G$2:$G$801, 0)+1))&lt;=46.5,2,1)), IF(INDEX(ERP資料!$G:$G, (MATCH(674, 輔助計算!$G$2:$G$801, 0)+1))&lt;=790,3,IF(INDEX(ERP資料!$G:$G, (MATCH(674, 輔助計算!$G$2:$G$801, 0)+1))&lt;=1181,2,1))))=0,"",IF(MOD(INDEX(輔助計算!$D:$D, (MATCH(674, 輔助計算!$G$2:$G$801, 0)+1)),IF(INDEX(ERP資料!$G:$G, (MATCH(674, 輔助計算!$G$2:$G$801, 0)+1))&lt;100, IF(INDEX(ERP資料!$G:$G, (MATCH(674, 輔助計算!$G$2:$G$801, 0)+1))&lt;=31,3,IF(INDEX(ERP資料!$G:$G, (MATCH(674, 輔助計算!$G$2:$G$801, 0)+1))&lt;=46.5,2,1)), IF(INDEX(ERP資料!$G:$G, (MATCH(674, 輔助計算!$G$2:$G$801, 0)+1))&lt;=790,3,IF(INDEX(ERP資料!$G:$G, (MATCH(674, 輔助計算!$G$2:$G$801, 0)+1))&lt;=1181,2,1))))=1,TEXT(INDEX(ERP資料!$G:$G, (MATCH(674, 輔助計算!$G$2:$G$801, 0)+1)),"0.##"),IF(MOD(INDEX(輔助計算!$D:$D, (MATCH(674, 輔助計算!$G$2:$G$801, 0)+1)),IF(INDEX(ERP資料!$G:$G, (MATCH(674, 輔助計算!$G$2:$G$801, 0)+1))&lt;100, IF(INDEX(ERP資料!$G:$G, (MATCH(674, 輔助計算!$G$2:$G$801, 0)+1))&lt;=31,3,IF(INDEX(ERP資料!$G:$G, (MATCH(674, 輔助計算!$G$2:$G$801, 0)+1))&lt;=46.5,2,1)), IF(INDEX(ERP資料!$G:$G, (MATCH(674, 輔助計算!$G$2:$G$801, 0)+1))&lt;=790,3,IF(INDEX(ERP資料!$G:$G, (MATCH(674, 輔助計算!$G$2:$G$801, 0)+1))&lt;=1181,2,1))))=2,TEXT(INDEX(ERP資料!$G:$G, (MATCH(674, 輔助計算!$G$2:$G$801, 0)+1)),"0.##")&amp;"+"&amp;TEXT(INDEX(ERP資料!$G:$G, (MATCH(674, 輔助計算!$G$2:$G$801, 0)+1)),"0.##"),TEXT(INDEX(ERP資料!$G:$G, (MATCH(674, 輔助計算!$G$2:$G$801, 0)+1)),"0.##")&amp;"+"&amp;TEXT(INDEX(ERP資料!$G:$G, (MATCH(674, 輔助計算!$G$2:$G$801, 0)+1)),"0.##")&amp;"+"&amp;TEXT(INDEX(ERP資料!$G:$G, (MATCH(674, 輔助計算!$G$2:$G$801, 0)+1)),"0.##"))))&amp;"-1")&lt;&gt;""),"  ","")&amp;IF(MOD(INDEX(輔助計算!$D:$D, (MATCH(674, 輔助計算!$G$2:$G$801, 0)+1)),IF(INDEX(ERP資料!$G:$G, (MATCH(674, 輔助計算!$G$2:$G$801, 0)+1))&lt;100, IF(INDEX(ERP資料!$G:$G, (MATCH(674, 輔助計算!$G$2:$G$801, 0)+1))&lt;=31,3,IF(INDEX(ERP資料!$G:$G, (MATCH(674, 輔助計算!$G$2:$G$801, 0)+1))&lt;=46.5,2,1)), IF(INDEX(ERP資料!$G:$G, (MATCH(674, 輔助計算!$G$2:$G$801, 0)+1))&lt;=790,3,IF(INDEX(ERP資料!$G:$G, (MATCH(674, 輔助計算!$G$2:$G$801, 0)+1))&lt;=1181,2,1))))=0,"",IF(MOD(INDEX(輔助計算!$D:$D, (MATCH(674, 輔助計算!$G$2:$G$801, 0)+1)),IF(INDEX(ERP資料!$G:$G, (MATCH(674, 輔助計算!$G$2:$G$801, 0)+1))&lt;100, IF(INDEX(ERP資料!$G:$G, (MATCH(674, 輔助計算!$G$2:$G$801, 0)+1))&lt;=31,3,IF(INDEX(ERP資料!$G:$G, (MATCH(674, 輔助計算!$G$2:$G$801, 0)+1))&lt;=46.5,2,1)), IF(INDEX(ERP資料!$G:$G, (MATCH(674, 輔助計算!$G$2:$G$801, 0)+1))&lt;=790,3,IF(INDEX(ERP資料!$G:$G, (MATCH(674, 輔助計算!$G$2:$G$801, 0)+1))&lt;=1181,2,1))))=0,"",IF(MOD(INDEX(輔助計算!$D:$D, (MATCH(674, 輔助計算!$G$2:$G$801, 0)+1)),IF(INDEX(ERP資料!$G:$G, (MATCH(674, 輔助計算!$G$2:$G$801, 0)+1))&lt;100, IF(INDEX(ERP資料!$G:$G, (MATCH(674, 輔助計算!$G$2:$G$801, 0)+1))&lt;=31,3,IF(INDEX(ERP資料!$G:$G, (MATCH(674, 輔助計算!$G$2:$G$801, 0)+1))&lt;=46.5,2,1)), IF(INDEX(ERP資料!$G:$G, (MATCH(674, 輔助計算!$G$2:$G$801, 0)+1))&lt;=790,3,IF(INDEX(ERP資料!$G:$G, (MATCH(674, 輔助計算!$G$2:$G$801, 0)+1))&lt;=1181,2,1))))=1,TEXT(INDEX(ERP資料!$G:$G, (MATCH(674, 輔助計算!$G$2:$G$801, 0)+1)),"0.##"),IF(MOD(INDEX(輔助計算!$D:$D, (MATCH(674, 輔助計算!$G$2:$G$801, 0)+1)),IF(INDEX(ERP資料!$G:$G, (MATCH(674, 輔助計算!$G$2:$G$801, 0)+1))&lt;100, IF(INDEX(ERP資料!$G:$G, (MATCH(674, 輔助計算!$G$2:$G$801, 0)+1))&lt;=31,3,IF(INDEX(ERP資料!$G:$G, (MATCH(674, 輔助計算!$G$2:$G$801, 0)+1))&lt;=46.5,2,1)), IF(INDEX(ERP資料!$G:$G, (MATCH(674, 輔助計算!$G$2:$G$801, 0)+1))&lt;=790,3,IF(INDEX(ERP資料!$G:$G, (MATCH(674, 輔助計算!$G$2:$G$801, 0)+1))&lt;=1181,2,1))))=2,TEXT(INDEX(ERP資料!$G:$G, (MATCH(674, 輔助計算!$G$2:$G$801, 0)+1)),"0.##")&amp;"+"&amp;TEXT(INDEX(ERP資料!$G:$G, (MATCH(674, 輔助計算!$G$2:$G$801, 0)+1)),"0.##"),TEXT(INDEX(ERP資料!$G:$G, (MATCH(674, 輔助計算!$G$2:$G$801, 0)+1)),"0.##")&amp;"+"&amp;TEXT(INDEX(ERP資料!$G:$G, (MATCH(674, 輔助計算!$G$2:$G$801, 0)+1)),"0.##")&amp;"+"&amp;TEXT(INDEX(ERP資料!$G:$G, (MATCH(674, 輔助計算!$G$2:$G$801, 0)+1)),"0.##"))))&amp;"-1")), ""), "")</f>
        <v/>
      </c>
      <c r="K675" s="16" t="n"/>
      <c r="L675" s="14">
        <f>IFERROR(IF(AND(IFERROR(INDEX(ERP資料!$A:$A, (MATCH(674, 輔助計算!$G$2:$G$801, 0)+1)), "")&lt;&gt;"", IFERROR(INDEX(ERP資料!$A:$A, (MATCH(674, 輔助計算!$G$2:$G$801, 0)+1)), "")&lt;&gt;IFERROR(INDEX(ERP資料!$A:$A, MATCH(673, 輔助計算!$G$2:$G$801, 0)+1), "")), INDEX(ERP資料!$B:$B, (MATCH(674, 輔助計算!$G$2:$G$801, 0)+1)), ""), "")</f>
        <v/>
      </c>
      <c r="M675" s="17" t="n"/>
    </row>
    <row r="676">
      <c r="A676" s="10">
        <f>IFERROR(IF(AND(IFERROR(INDEX(ERP資料!$A:$A, (MATCH(675, 輔助計算!$G$2:$G$801, 0)+1)), "")&lt;&gt;"", IFERROR(INDEX(ERP資料!$A:$A, (MATCH(675, 輔助計算!$G$2:$G$801, 0)+1)), "")&lt;&gt;IFERROR(INDEX(ERP資料!$A:$A, MATCH(674, 輔助計算!$G$2:$G$801, 0)+1), "")), IFERROR(INDEX(ERP資料!$A:$A, (MATCH(675, 輔助計算!$G$2:$G$801, 0)+1)), ""), ""), "")</f>
        <v/>
      </c>
      <c r="B676" s="10">
        <f>IFERROR(IF(AND(IFERROR(INDEX(ERP資料!$A:$A, (MATCH(675, 輔助計算!$G$2:$G$801, 0)+1)), "")&lt;&gt;"", IFERROR(INDEX(ERP資料!$A:$A, (MATCH(675, 輔助計算!$G$2:$G$801, 0)+1)), "")&lt;&gt;IFERROR(INDEX(ERP資料!$A:$A, MATCH(674, 輔助計算!$G$2:$G$801, 0)+1), "")), INDEX(ERP資料!$S:$S, (MATCH(675, 輔助計算!$G$2:$G$801, 0)+1)), ""), "")</f>
        <v/>
      </c>
      <c r="C676" s="19">
        <f>IFERROR(IF(AND(IFERROR(INDEX(ERP資料!$A:$A, (MATCH(675, 輔助計算!$G$2:$G$801, 0)+1)), "")&lt;&gt;"", IFERROR(INDEX(ERP資料!$A:$A, (MATCH(675, 輔助計算!$G$2:$G$801, 0)+1)), "")&lt;&gt;IFERROR(INDEX(ERP資料!$A:$A, MATCH(674, 輔助計算!$G$2:$G$801, 0)+1), "")), IFERROR(VLOOKUP(LEFT(INDEX(ERP資料!$S:$S, (MATCH(675, 輔助計算!$G$2:$G$801, 0)+1)), 4), 紙管對照表!$A:$C, 3, FALSE), ""), ""), "")</f>
        <v/>
      </c>
      <c r="D676" s="16" t="n"/>
      <c r="E676" s="10">
        <f>IFERROR(IF(INDEX(ERP資料!$H:$H, (MATCH(675, 輔助計算!$G$2:$G$801, 0)+1))="","",INDEX(ERP資料!$H:$H, (MATCH(675, 輔助計算!$G$2:$G$801, 0)+1))), "")</f>
        <v/>
      </c>
      <c r="F676" s="10">
        <f>IFERROR(IF(INDEX(ERP資料!$E:$E, (MATCH(675, 輔助計算!$G$2:$G$801, 0)+1))="","",TRIM(INDEX(ERP資料!$E:$E, (MATCH(675, 輔助計算!$G$2:$G$801, 0)+1)))), "")</f>
        <v/>
      </c>
      <c r="G676" s="10">
        <f>IFERROR(IF(INDEX(ERP資料!$F:$F, (MATCH(675, 輔助計算!$G$2:$G$801, 0)+1))="","",INDEX(ERP資料!$F:$F, (MATCH(675, 輔助計算!$G$2:$G$801, 0)+1))), "")</f>
        <v/>
      </c>
      <c r="H676" s="10">
        <f>IFERROR(IF(INDEX(ERP資料!$G:$G, (MATCH(675, 輔助計算!$G$2:$G$801, 0)+1))="","",INDEX(ERP資料!$G:$G, (MATCH(675, 輔助計算!$G$2:$G$801, 0)+1))), "")</f>
        <v/>
      </c>
      <c r="I676" s="15">
        <f>IFERROR(INDEX(輔助計算!$D:$D, (MATCH(675, 輔助計算!$G$2:$G$801, 0)+1)), "")</f>
        <v/>
      </c>
      <c r="J676" s="15">
        <f>IFERROR(IF(AND(INDEX(輔助計算!$D:$D, (MATCH(675, 輔助計算!$G$2:$G$801, 0)+1))&lt;&gt;"", INDEX(ERP資料!$G:$G, (MATCH(675, 輔助計算!$G$2:$G$801, 0)+1))&lt;&gt;""), TRIM(IF(INT(INDEX(輔助計算!$D:$D, (MATCH(675, 輔助計算!$G$2:$G$801, 0)+1))/IF(INDEX(ERP資料!$G:$G, (MATCH(675, 輔助計算!$G$2:$G$801, 0)+1))&lt;100, IF(INDEX(ERP資料!$G:$G, (MATCH(675, 輔助計算!$G$2:$G$801, 0)+1))&lt;=31,3,IF(INDEX(ERP資料!$G:$G, (MATCH(675, 輔助計算!$G$2:$G$801, 0)+1))&lt;=46.5,2,1)), IF(INDEX(ERP資料!$G:$G, (MATCH(675, 輔助計算!$G$2:$G$801, 0)+1))&lt;=790,3,IF(INDEX(ERP資料!$G:$G, (MATCH(675, 輔助計算!$G$2:$G$801, 0)+1))&lt;=1181,2,1))))&gt;0, IF(IF(INDEX(ERP資料!$G:$G, (MATCH(675, 輔助計算!$G$2:$G$801, 0)+1))&lt;100, IF(INDEX(ERP資料!$G:$G, (MATCH(675, 輔助計算!$G$2:$G$801, 0)+1))&lt;=31,3,IF(INDEX(ERP資料!$G:$G, (MATCH(675, 輔助計算!$G$2:$G$801, 0)+1))&lt;=46.5,2,1)), IF(INDEX(ERP資料!$G:$G, (MATCH(675, 輔助計算!$G$2:$G$801, 0)+1))&lt;=790,3,IF(INDEX(ERP資料!$G:$G, (MATCH(675, 輔助計算!$G$2:$G$801, 0)+1))&lt;=1181,2,1)))=1,TEXT(INDEX(ERP資料!$G:$G, (MATCH(675, 輔助計算!$G$2:$G$801, 0)+1)),"0.##"),IF(IF(INDEX(ERP資料!$G:$G, (MATCH(675, 輔助計算!$G$2:$G$801, 0)+1))&lt;100, IF(INDEX(ERP資料!$G:$G, (MATCH(675, 輔助計算!$G$2:$G$801, 0)+1))&lt;=31,3,IF(INDEX(ERP資料!$G:$G, (MATCH(675, 輔助計算!$G$2:$G$801, 0)+1))&lt;=46.5,2,1)), IF(INDEX(ERP資料!$G:$G, (MATCH(675, 輔助計算!$G$2:$G$801, 0)+1))&lt;=790,3,IF(INDEX(ERP資料!$G:$G, (MATCH(675, 輔助計算!$G$2:$G$801, 0)+1))&lt;=1181,2,1)))=2,TEXT(INDEX(ERP資料!$G:$G, (MATCH(675, 輔助計算!$G$2:$G$801, 0)+1)),"0.##")&amp;"+"&amp;TEXT(INDEX(ERP資料!$G:$G, (MATCH(675, 輔助計算!$G$2:$G$801, 0)+1)),"0.##"),TEXT(INDEX(ERP資料!$G:$G, (MATCH(675, 輔助計算!$G$2:$G$801, 0)+1)),"0.##")&amp;"+"&amp;TEXT(INDEX(ERP資料!$G:$G, (MATCH(675, 輔助計算!$G$2:$G$801, 0)+1)),"0.##")&amp;"+"&amp;TEXT(INDEX(ERP資料!$G:$G, (MATCH(675, 輔助計算!$G$2:$G$801, 0)+1)),"0.##")))&amp;"-"&amp;INT(INDEX(輔助計算!$D:$D, (MATCH(675, 輔助計算!$G$2:$G$801, 0)+1))/IF(INDEX(ERP資料!$G:$G, (MATCH(675, 輔助計算!$G$2:$G$801, 0)+1))&lt;100, IF(INDEX(ERP資料!$G:$G, (MATCH(675, 輔助計算!$G$2:$G$801, 0)+1))&lt;=31,3,IF(INDEX(ERP資料!$G:$G, (MATCH(675, 輔助計算!$G$2:$G$801, 0)+1))&lt;=46.5,2,1)), IF(INDEX(ERP資料!$G:$G, (MATCH(675, 輔助計算!$G$2:$G$801, 0)+1))&lt;=790,3,IF(INDEX(ERP資料!$G:$G, (MATCH(675, 輔助計算!$G$2:$G$801, 0)+1))&lt;=1181,2,1)))), "")&amp;IF(AND(IF(INT(INDEX(輔助計算!$D:$D, (MATCH(675, 輔助計算!$G$2:$G$801, 0)+1))/IF(INDEX(ERP資料!$G:$G, (MATCH(675, 輔助計算!$G$2:$G$801, 0)+1))&lt;100, IF(INDEX(ERP資料!$G:$G, (MATCH(675, 輔助計算!$G$2:$G$801, 0)+1))&lt;=31,3,IF(INDEX(ERP資料!$G:$G, (MATCH(675, 輔助計算!$G$2:$G$801, 0)+1))&lt;=46.5,2,1)), IF(INDEX(ERP資料!$G:$G, (MATCH(675, 輔助計算!$G$2:$G$801, 0)+1))&lt;=790,3,IF(INDEX(ERP資料!$G:$G, (MATCH(675, 輔助計算!$G$2:$G$801, 0)+1))&lt;=1181,2,1))))&gt;0, IF(IF(INDEX(ERP資料!$G:$G, (MATCH(675, 輔助計算!$G$2:$G$801, 0)+1))&lt;100, IF(INDEX(ERP資料!$G:$G, (MATCH(675, 輔助計算!$G$2:$G$801, 0)+1))&lt;=31,3,IF(INDEX(ERP資料!$G:$G, (MATCH(675, 輔助計算!$G$2:$G$801, 0)+1))&lt;=46.5,2,1)), IF(INDEX(ERP資料!$G:$G, (MATCH(675, 輔助計算!$G$2:$G$801, 0)+1))&lt;=790,3,IF(INDEX(ERP資料!$G:$G, (MATCH(675, 輔助計算!$G$2:$G$801, 0)+1))&lt;=1181,2,1)))=1,TEXT(INDEX(ERP資料!$G:$G, (MATCH(675, 輔助計算!$G$2:$G$801, 0)+1)),"0.##"),IF(IF(INDEX(ERP資料!$G:$G, (MATCH(675, 輔助計算!$G$2:$G$801, 0)+1))&lt;100, IF(INDEX(ERP資料!$G:$G, (MATCH(675, 輔助計算!$G$2:$G$801, 0)+1))&lt;=31,3,IF(INDEX(ERP資料!$G:$G, (MATCH(675, 輔助計算!$G$2:$G$801, 0)+1))&lt;=46.5,2,1)), IF(INDEX(ERP資料!$G:$G, (MATCH(675, 輔助計算!$G$2:$G$801, 0)+1))&lt;=790,3,IF(INDEX(ERP資料!$G:$G, (MATCH(675, 輔助計算!$G$2:$G$801, 0)+1))&lt;=1181,2,1)))=2,TEXT(INDEX(ERP資料!$G:$G, (MATCH(675, 輔助計算!$G$2:$G$801, 0)+1)),"0.##")&amp;"+"&amp;TEXT(INDEX(ERP資料!$G:$G, (MATCH(675, 輔助計算!$G$2:$G$801, 0)+1)),"0.##"),TEXT(INDEX(ERP資料!$G:$G, (MATCH(675, 輔助計算!$G$2:$G$801, 0)+1)),"0.##")&amp;"+"&amp;TEXT(INDEX(ERP資料!$G:$G, (MATCH(675, 輔助計算!$G$2:$G$801, 0)+1)),"0.##")&amp;"+"&amp;TEXT(INDEX(ERP資料!$G:$G, (MATCH(675, 輔助計算!$G$2:$G$801, 0)+1)),"0.##")))&amp;"-"&amp;INT(INDEX(輔助計算!$D:$D, (MATCH(675, 輔助計算!$G$2:$G$801, 0)+1))/IF(INDEX(ERP資料!$G:$G, (MATCH(675, 輔助計算!$G$2:$G$801, 0)+1))&lt;100, IF(INDEX(ERP資料!$G:$G, (MATCH(675, 輔助計算!$G$2:$G$801, 0)+1))&lt;=31,3,IF(INDEX(ERP資料!$G:$G, (MATCH(675, 輔助計算!$G$2:$G$801, 0)+1))&lt;=46.5,2,1)), IF(INDEX(ERP資料!$G:$G, (MATCH(675, 輔助計算!$G$2:$G$801, 0)+1))&lt;=790,3,IF(INDEX(ERP資料!$G:$G, (MATCH(675, 輔助計算!$G$2:$G$801, 0)+1))&lt;=1181,2,1)))), "")&lt;&gt;"",IF(MOD(INDEX(輔助計算!$D:$D, (MATCH(675, 輔助計算!$G$2:$G$801, 0)+1)),IF(INDEX(ERP資料!$G:$G, (MATCH(675, 輔助計算!$G$2:$G$801, 0)+1))&lt;100, IF(INDEX(ERP資料!$G:$G, (MATCH(675, 輔助計算!$G$2:$G$801, 0)+1))&lt;=31,3,IF(INDEX(ERP資料!$G:$G, (MATCH(675, 輔助計算!$G$2:$G$801, 0)+1))&lt;=46.5,2,1)), IF(INDEX(ERP資料!$G:$G, (MATCH(675, 輔助計算!$G$2:$G$801, 0)+1))&lt;=790,3,IF(INDEX(ERP資料!$G:$G, (MATCH(675, 輔助計算!$G$2:$G$801, 0)+1))&lt;=1181,2,1))))=0,"",IF(MOD(INDEX(輔助計算!$D:$D, (MATCH(675, 輔助計算!$G$2:$G$801, 0)+1)),IF(INDEX(ERP資料!$G:$G, (MATCH(675, 輔助計算!$G$2:$G$801, 0)+1))&lt;100, IF(INDEX(ERP資料!$G:$G, (MATCH(675, 輔助計算!$G$2:$G$801, 0)+1))&lt;=31,3,IF(INDEX(ERP資料!$G:$G, (MATCH(675, 輔助計算!$G$2:$G$801, 0)+1))&lt;=46.5,2,1)), IF(INDEX(ERP資料!$G:$G, (MATCH(675, 輔助計算!$G$2:$G$801, 0)+1))&lt;=790,3,IF(INDEX(ERP資料!$G:$G, (MATCH(675, 輔助計算!$G$2:$G$801, 0)+1))&lt;=1181,2,1))))=0,"",IF(MOD(INDEX(輔助計算!$D:$D, (MATCH(675, 輔助計算!$G$2:$G$801, 0)+1)),IF(INDEX(ERP資料!$G:$G, (MATCH(675, 輔助計算!$G$2:$G$801, 0)+1))&lt;100, IF(INDEX(ERP資料!$G:$G, (MATCH(675, 輔助計算!$G$2:$G$801, 0)+1))&lt;=31,3,IF(INDEX(ERP資料!$G:$G, (MATCH(675, 輔助計算!$G$2:$G$801, 0)+1))&lt;=46.5,2,1)), IF(INDEX(ERP資料!$G:$G, (MATCH(675, 輔助計算!$G$2:$G$801, 0)+1))&lt;=790,3,IF(INDEX(ERP資料!$G:$G, (MATCH(675, 輔助計算!$G$2:$G$801, 0)+1))&lt;=1181,2,1))))=1,TEXT(INDEX(ERP資料!$G:$G, (MATCH(675, 輔助計算!$G$2:$G$801, 0)+1)),"0.##"),IF(MOD(INDEX(輔助計算!$D:$D, (MATCH(675, 輔助計算!$G$2:$G$801, 0)+1)),IF(INDEX(ERP資料!$G:$G, (MATCH(675, 輔助計算!$G$2:$G$801, 0)+1))&lt;100, IF(INDEX(ERP資料!$G:$G, (MATCH(675, 輔助計算!$G$2:$G$801, 0)+1))&lt;=31,3,IF(INDEX(ERP資料!$G:$G, (MATCH(675, 輔助計算!$G$2:$G$801, 0)+1))&lt;=46.5,2,1)), IF(INDEX(ERP資料!$G:$G, (MATCH(675, 輔助計算!$G$2:$G$801, 0)+1))&lt;=790,3,IF(INDEX(ERP資料!$G:$G, (MATCH(675, 輔助計算!$G$2:$G$801, 0)+1))&lt;=1181,2,1))))=2,TEXT(INDEX(ERP資料!$G:$G, (MATCH(675, 輔助計算!$G$2:$G$801, 0)+1)),"0.##")&amp;"+"&amp;TEXT(INDEX(ERP資料!$G:$G, (MATCH(675, 輔助計算!$G$2:$G$801, 0)+1)),"0.##"),TEXT(INDEX(ERP資料!$G:$G, (MATCH(675, 輔助計算!$G$2:$G$801, 0)+1)),"0.##")&amp;"+"&amp;TEXT(INDEX(ERP資料!$G:$G, (MATCH(675, 輔助計算!$G$2:$G$801, 0)+1)),"0.##")&amp;"+"&amp;TEXT(INDEX(ERP資料!$G:$G, (MATCH(675, 輔助計算!$G$2:$G$801, 0)+1)),"0.##"))))&amp;"-1")&lt;&gt;""),"  ","")&amp;IF(MOD(INDEX(輔助計算!$D:$D, (MATCH(675, 輔助計算!$G$2:$G$801, 0)+1)),IF(INDEX(ERP資料!$G:$G, (MATCH(675, 輔助計算!$G$2:$G$801, 0)+1))&lt;100, IF(INDEX(ERP資料!$G:$G, (MATCH(675, 輔助計算!$G$2:$G$801, 0)+1))&lt;=31,3,IF(INDEX(ERP資料!$G:$G, (MATCH(675, 輔助計算!$G$2:$G$801, 0)+1))&lt;=46.5,2,1)), IF(INDEX(ERP資料!$G:$G, (MATCH(675, 輔助計算!$G$2:$G$801, 0)+1))&lt;=790,3,IF(INDEX(ERP資料!$G:$G, (MATCH(675, 輔助計算!$G$2:$G$801, 0)+1))&lt;=1181,2,1))))=0,"",IF(MOD(INDEX(輔助計算!$D:$D, (MATCH(675, 輔助計算!$G$2:$G$801, 0)+1)),IF(INDEX(ERP資料!$G:$G, (MATCH(675, 輔助計算!$G$2:$G$801, 0)+1))&lt;100, IF(INDEX(ERP資料!$G:$G, (MATCH(675, 輔助計算!$G$2:$G$801, 0)+1))&lt;=31,3,IF(INDEX(ERP資料!$G:$G, (MATCH(675, 輔助計算!$G$2:$G$801, 0)+1))&lt;=46.5,2,1)), IF(INDEX(ERP資料!$G:$G, (MATCH(675, 輔助計算!$G$2:$G$801, 0)+1))&lt;=790,3,IF(INDEX(ERP資料!$G:$G, (MATCH(675, 輔助計算!$G$2:$G$801, 0)+1))&lt;=1181,2,1))))=0,"",IF(MOD(INDEX(輔助計算!$D:$D, (MATCH(675, 輔助計算!$G$2:$G$801, 0)+1)),IF(INDEX(ERP資料!$G:$G, (MATCH(675, 輔助計算!$G$2:$G$801, 0)+1))&lt;100, IF(INDEX(ERP資料!$G:$G, (MATCH(675, 輔助計算!$G$2:$G$801, 0)+1))&lt;=31,3,IF(INDEX(ERP資料!$G:$G, (MATCH(675, 輔助計算!$G$2:$G$801, 0)+1))&lt;=46.5,2,1)), IF(INDEX(ERP資料!$G:$G, (MATCH(675, 輔助計算!$G$2:$G$801, 0)+1))&lt;=790,3,IF(INDEX(ERP資料!$G:$G, (MATCH(675, 輔助計算!$G$2:$G$801, 0)+1))&lt;=1181,2,1))))=1,TEXT(INDEX(ERP資料!$G:$G, (MATCH(675, 輔助計算!$G$2:$G$801, 0)+1)),"0.##"),IF(MOD(INDEX(輔助計算!$D:$D, (MATCH(675, 輔助計算!$G$2:$G$801, 0)+1)),IF(INDEX(ERP資料!$G:$G, (MATCH(675, 輔助計算!$G$2:$G$801, 0)+1))&lt;100, IF(INDEX(ERP資料!$G:$G, (MATCH(675, 輔助計算!$G$2:$G$801, 0)+1))&lt;=31,3,IF(INDEX(ERP資料!$G:$G, (MATCH(675, 輔助計算!$G$2:$G$801, 0)+1))&lt;=46.5,2,1)), IF(INDEX(ERP資料!$G:$G, (MATCH(675, 輔助計算!$G$2:$G$801, 0)+1))&lt;=790,3,IF(INDEX(ERP資料!$G:$G, (MATCH(675, 輔助計算!$G$2:$G$801, 0)+1))&lt;=1181,2,1))))=2,TEXT(INDEX(ERP資料!$G:$G, (MATCH(675, 輔助計算!$G$2:$G$801, 0)+1)),"0.##")&amp;"+"&amp;TEXT(INDEX(ERP資料!$G:$G, (MATCH(675, 輔助計算!$G$2:$G$801, 0)+1)),"0.##"),TEXT(INDEX(ERP資料!$G:$G, (MATCH(675, 輔助計算!$G$2:$G$801, 0)+1)),"0.##")&amp;"+"&amp;TEXT(INDEX(ERP資料!$G:$G, (MATCH(675, 輔助計算!$G$2:$G$801, 0)+1)),"0.##")&amp;"+"&amp;TEXT(INDEX(ERP資料!$G:$G, (MATCH(675, 輔助計算!$G$2:$G$801, 0)+1)),"0.##"))))&amp;"-1")), ""), "")</f>
        <v/>
      </c>
      <c r="K676" s="16" t="n"/>
      <c r="L676" s="14">
        <f>IFERROR(IF(AND(IFERROR(INDEX(ERP資料!$A:$A, (MATCH(675, 輔助計算!$G$2:$G$801, 0)+1)), "")&lt;&gt;"", IFERROR(INDEX(ERP資料!$A:$A, (MATCH(675, 輔助計算!$G$2:$G$801, 0)+1)), "")&lt;&gt;IFERROR(INDEX(ERP資料!$A:$A, MATCH(674, 輔助計算!$G$2:$G$801, 0)+1), "")), INDEX(ERP資料!$B:$B, (MATCH(675, 輔助計算!$G$2:$G$801, 0)+1)), ""), "")</f>
        <v/>
      </c>
      <c r="M676" s="17" t="n"/>
    </row>
    <row r="677">
      <c r="A677" s="10">
        <f>IFERROR(IF(AND(IFERROR(INDEX(ERP資料!$A:$A, (MATCH(676, 輔助計算!$G$2:$G$801, 0)+1)), "")&lt;&gt;"", IFERROR(INDEX(ERP資料!$A:$A, (MATCH(676, 輔助計算!$G$2:$G$801, 0)+1)), "")&lt;&gt;IFERROR(INDEX(ERP資料!$A:$A, MATCH(675, 輔助計算!$G$2:$G$801, 0)+1), "")), IFERROR(INDEX(ERP資料!$A:$A, (MATCH(676, 輔助計算!$G$2:$G$801, 0)+1)), ""), ""), "")</f>
        <v/>
      </c>
      <c r="B677" s="10">
        <f>IFERROR(IF(AND(IFERROR(INDEX(ERP資料!$A:$A, (MATCH(676, 輔助計算!$G$2:$G$801, 0)+1)), "")&lt;&gt;"", IFERROR(INDEX(ERP資料!$A:$A, (MATCH(676, 輔助計算!$G$2:$G$801, 0)+1)), "")&lt;&gt;IFERROR(INDEX(ERP資料!$A:$A, MATCH(675, 輔助計算!$G$2:$G$801, 0)+1), "")), INDEX(ERP資料!$S:$S, (MATCH(676, 輔助計算!$G$2:$G$801, 0)+1)), ""), "")</f>
        <v/>
      </c>
      <c r="C677" s="19">
        <f>IFERROR(IF(AND(IFERROR(INDEX(ERP資料!$A:$A, (MATCH(676, 輔助計算!$G$2:$G$801, 0)+1)), "")&lt;&gt;"", IFERROR(INDEX(ERP資料!$A:$A, (MATCH(676, 輔助計算!$G$2:$G$801, 0)+1)), "")&lt;&gt;IFERROR(INDEX(ERP資料!$A:$A, MATCH(675, 輔助計算!$G$2:$G$801, 0)+1), "")), IFERROR(VLOOKUP(LEFT(INDEX(ERP資料!$S:$S, (MATCH(676, 輔助計算!$G$2:$G$801, 0)+1)), 4), 紙管對照表!$A:$C, 3, FALSE), ""), ""), "")</f>
        <v/>
      </c>
      <c r="D677" s="16" t="n"/>
      <c r="E677" s="10">
        <f>IFERROR(IF(INDEX(ERP資料!$H:$H, (MATCH(676, 輔助計算!$G$2:$G$801, 0)+1))="","",INDEX(ERP資料!$H:$H, (MATCH(676, 輔助計算!$G$2:$G$801, 0)+1))), "")</f>
        <v/>
      </c>
      <c r="F677" s="10">
        <f>IFERROR(IF(INDEX(ERP資料!$E:$E, (MATCH(676, 輔助計算!$G$2:$G$801, 0)+1))="","",TRIM(INDEX(ERP資料!$E:$E, (MATCH(676, 輔助計算!$G$2:$G$801, 0)+1)))), "")</f>
        <v/>
      </c>
      <c r="G677" s="10">
        <f>IFERROR(IF(INDEX(ERP資料!$F:$F, (MATCH(676, 輔助計算!$G$2:$G$801, 0)+1))="","",INDEX(ERP資料!$F:$F, (MATCH(676, 輔助計算!$G$2:$G$801, 0)+1))), "")</f>
        <v/>
      </c>
      <c r="H677" s="10">
        <f>IFERROR(IF(INDEX(ERP資料!$G:$G, (MATCH(676, 輔助計算!$G$2:$G$801, 0)+1))="","",INDEX(ERP資料!$G:$G, (MATCH(676, 輔助計算!$G$2:$G$801, 0)+1))), "")</f>
        <v/>
      </c>
      <c r="I677" s="15">
        <f>IFERROR(INDEX(輔助計算!$D:$D, (MATCH(676, 輔助計算!$G$2:$G$801, 0)+1)), "")</f>
        <v/>
      </c>
      <c r="J677" s="15">
        <f>IFERROR(IF(AND(INDEX(輔助計算!$D:$D, (MATCH(676, 輔助計算!$G$2:$G$801, 0)+1))&lt;&gt;"", INDEX(ERP資料!$G:$G, (MATCH(676, 輔助計算!$G$2:$G$801, 0)+1))&lt;&gt;""), TRIM(IF(INT(INDEX(輔助計算!$D:$D, (MATCH(676, 輔助計算!$G$2:$G$801, 0)+1))/IF(INDEX(ERP資料!$G:$G, (MATCH(676, 輔助計算!$G$2:$G$801, 0)+1))&lt;100, IF(INDEX(ERP資料!$G:$G, (MATCH(676, 輔助計算!$G$2:$G$801, 0)+1))&lt;=31,3,IF(INDEX(ERP資料!$G:$G, (MATCH(676, 輔助計算!$G$2:$G$801, 0)+1))&lt;=46.5,2,1)), IF(INDEX(ERP資料!$G:$G, (MATCH(676, 輔助計算!$G$2:$G$801, 0)+1))&lt;=790,3,IF(INDEX(ERP資料!$G:$G, (MATCH(676, 輔助計算!$G$2:$G$801, 0)+1))&lt;=1181,2,1))))&gt;0, IF(IF(INDEX(ERP資料!$G:$G, (MATCH(676, 輔助計算!$G$2:$G$801, 0)+1))&lt;100, IF(INDEX(ERP資料!$G:$G, (MATCH(676, 輔助計算!$G$2:$G$801, 0)+1))&lt;=31,3,IF(INDEX(ERP資料!$G:$G, (MATCH(676, 輔助計算!$G$2:$G$801, 0)+1))&lt;=46.5,2,1)), IF(INDEX(ERP資料!$G:$G, (MATCH(676, 輔助計算!$G$2:$G$801, 0)+1))&lt;=790,3,IF(INDEX(ERP資料!$G:$G, (MATCH(676, 輔助計算!$G$2:$G$801, 0)+1))&lt;=1181,2,1)))=1,TEXT(INDEX(ERP資料!$G:$G, (MATCH(676, 輔助計算!$G$2:$G$801, 0)+1)),"0.##"),IF(IF(INDEX(ERP資料!$G:$G, (MATCH(676, 輔助計算!$G$2:$G$801, 0)+1))&lt;100, IF(INDEX(ERP資料!$G:$G, (MATCH(676, 輔助計算!$G$2:$G$801, 0)+1))&lt;=31,3,IF(INDEX(ERP資料!$G:$G, (MATCH(676, 輔助計算!$G$2:$G$801, 0)+1))&lt;=46.5,2,1)), IF(INDEX(ERP資料!$G:$G, (MATCH(676, 輔助計算!$G$2:$G$801, 0)+1))&lt;=790,3,IF(INDEX(ERP資料!$G:$G, (MATCH(676, 輔助計算!$G$2:$G$801, 0)+1))&lt;=1181,2,1)))=2,TEXT(INDEX(ERP資料!$G:$G, (MATCH(676, 輔助計算!$G$2:$G$801, 0)+1)),"0.##")&amp;"+"&amp;TEXT(INDEX(ERP資料!$G:$G, (MATCH(676, 輔助計算!$G$2:$G$801, 0)+1)),"0.##"),TEXT(INDEX(ERP資料!$G:$G, (MATCH(676, 輔助計算!$G$2:$G$801, 0)+1)),"0.##")&amp;"+"&amp;TEXT(INDEX(ERP資料!$G:$G, (MATCH(676, 輔助計算!$G$2:$G$801, 0)+1)),"0.##")&amp;"+"&amp;TEXT(INDEX(ERP資料!$G:$G, (MATCH(676, 輔助計算!$G$2:$G$801, 0)+1)),"0.##")))&amp;"-"&amp;INT(INDEX(輔助計算!$D:$D, (MATCH(676, 輔助計算!$G$2:$G$801, 0)+1))/IF(INDEX(ERP資料!$G:$G, (MATCH(676, 輔助計算!$G$2:$G$801, 0)+1))&lt;100, IF(INDEX(ERP資料!$G:$G, (MATCH(676, 輔助計算!$G$2:$G$801, 0)+1))&lt;=31,3,IF(INDEX(ERP資料!$G:$G, (MATCH(676, 輔助計算!$G$2:$G$801, 0)+1))&lt;=46.5,2,1)), IF(INDEX(ERP資料!$G:$G, (MATCH(676, 輔助計算!$G$2:$G$801, 0)+1))&lt;=790,3,IF(INDEX(ERP資料!$G:$G, (MATCH(676, 輔助計算!$G$2:$G$801, 0)+1))&lt;=1181,2,1)))), "")&amp;IF(AND(IF(INT(INDEX(輔助計算!$D:$D, (MATCH(676, 輔助計算!$G$2:$G$801, 0)+1))/IF(INDEX(ERP資料!$G:$G, (MATCH(676, 輔助計算!$G$2:$G$801, 0)+1))&lt;100, IF(INDEX(ERP資料!$G:$G, (MATCH(676, 輔助計算!$G$2:$G$801, 0)+1))&lt;=31,3,IF(INDEX(ERP資料!$G:$G, (MATCH(676, 輔助計算!$G$2:$G$801, 0)+1))&lt;=46.5,2,1)), IF(INDEX(ERP資料!$G:$G, (MATCH(676, 輔助計算!$G$2:$G$801, 0)+1))&lt;=790,3,IF(INDEX(ERP資料!$G:$G, (MATCH(676, 輔助計算!$G$2:$G$801, 0)+1))&lt;=1181,2,1))))&gt;0, IF(IF(INDEX(ERP資料!$G:$G, (MATCH(676, 輔助計算!$G$2:$G$801, 0)+1))&lt;100, IF(INDEX(ERP資料!$G:$G, (MATCH(676, 輔助計算!$G$2:$G$801, 0)+1))&lt;=31,3,IF(INDEX(ERP資料!$G:$G, (MATCH(676, 輔助計算!$G$2:$G$801, 0)+1))&lt;=46.5,2,1)), IF(INDEX(ERP資料!$G:$G, (MATCH(676, 輔助計算!$G$2:$G$801, 0)+1))&lt;=790,3,IF(INDEX(ERP資料!$G:$G, (MATCH(676, 輔助計算!$G$2:$G$801, 0)+1))&lt;=1181,2,1)))=1,TEXT(INDEX(ERP資料!$G:$G, (MATCH(676, 輔助計算!$G$2:$G$801, 0)+1)),"0.##"),IF(IF(INDEX(ERP資料!$G:$G, (MATCH(676, 輔助計算!$G$2:$G$801, 0)+1))&lt;100, IF(INDEX(ERP資料!$G:$G, (MATCH(676, 輔助計算!$G$2:$G$801, 0)+1))&lt;=31,3,IF(INDEX(ERP資料!$G:$G, (MATCH(676, 輔助計算!$G$2:$G$801, 0)+1))&lt;=46.5,2,1)), IF(INDEX(ERP資料!$G:$G, (MATCH(676, 輔助計算!$G$2:$G$801, 0)+1))&lt;=790,3,IF(INDEX(ERP資料!$G:$G, (MATCH(676, 輔助計算!$G$2:$G$801, 0)+1))&lt;=1181,2,1)))=2,TEXT(INDEX(ERP資料!$G:$G, (MATCH(676, 輔助計算!$G$2:$G$801, 0)+1)),"0.##")&amp;"+"&amp;TEXT(INDEX(ERP資料!$G:$G, (MATCH(676, 輔助計算!$G$2:$G$801, 0)+1)),"0.##"),TEXT(INDEX(ERP資料!$G:$G, (MATCH(676, 輔助計算!$G$2:$G$801, 0)+1)),"0.##")&amp;"+"&amp;TEXT(INDEX(ERP資料!$G:$G, (MATCH(676, 輔助計算!$G$2:$G$801, 0)+1)),"0.##")&amp;"+"&amp;TEXT(INDEX(ERP資料!$G:$G, (MATCH(676, 輔助計算!$G$2:$G$801, 0)+1)),"0.##")))&amp;"-"&amp;INT(INDEX(輔助計算!$D:$D, (MATCH(676, 輔助計算!$G$2:$G$801, 0)+1))/IF(INDEX(ERP資料!$G:$G, (MATCH(676, 輔助計算!$G$2:$G$801, 0)+1))&lt;100, IF(INDEX(ERP資料!$G:$G, (MATCH(676, 輔助計算!$G$2:$G$801, 0)+1))&lt;=31,3,IF(INDEX(ERP資料!$G:$G, (MATCH(676, 輔助計算!$G$2:$G$801, 0)+1))&lt;=46.5,2,1)), IF(INDEX(ERP資料!$G:$G, (MATCH(676, 輔助計算!$G$2:$G$801, 0)+1))&lt;=790,3,IF(INDEX(ERP資料!$G:$G, (MATCH(676, 輔助計算!$G$2:$G$801, 0)+1))&lt;=1181,2,1)))), "")&lt;&gt;"",IF(MOD(INDEX(輔助計算!$D:$D, (MATCH(676, 輔助計算!$G$2:$G$801, 0)+1)),IF(INDEX(ERP資料!$G:$G, (MATCH(676, 輔助計算!$G$2:$G$801, 0)+1))&lt;100, IF(INDEX(ERP資料!$G:$G, (MATCH(676, 輔助計算!$G$2:$G$801, 0)+1))&lt;=31,3,IF(INDEX(ERP資料!$G:$G, (MATCH(676, 輔助計算!$G$2:$G$801, 0)+1))&lt;=46.5,2,1)), IF(INDEX(ERP資料!$G:$G, (MATCH(676, 輔助計算!$G$2:$G$801, 0)+1))&lt;=790,3,IF(INDEX(ERP資料!$G:$G, (MATCH(676, 輔助計算!$G$2:$G$801, 0)+1))&lt;=1181,2,1))))=0,"",IF(MOD(INDEX(輔助計算!$D:$D, (MATCH(676, 輔助計算!$G$2:$G$801, 0)+1)),IF(INDEX(ERP資料!$G:$G, (MATCH(676, 輔助計算!$G$2:$G$801, 0)+1))&lt;100, IF(INDEX(ERP資料!$G:$G, (MATCH(676, 輔助計算!$G$2:$G$801, 0)+1))&lt;=31,3,IF(INDEX(ERP資料!$G:$G, (MATCH(676, 輔助計算!$G$2:$G$801, 0)+1))&lt;=46.5,2,1)), IF(INDEX(ERP資料!$G:$G, (MATCH(676, 輔助計算!$G$2:$G$801, 0)+1))&lt;=790,3,IF(INDEX(ERP資料!$G:$G, (MATCH(676, 輔助計算!$G$2:$G$801, 0)+1))&lt;=1181,2,1))))=0,"",IF(MOD(INDEX(輔助計算!$D:$D, (MATCH(676, 輔助計算!$G$2:$G$801, 0)+1)),IF(INDEX(ERP資料!$G:$G, (MATCH(676, 輔助計算!$G$2:$G$801, 0)+1))&lt;100, IF(INDEX(ERP資料!$G:$G, (MATCH(676, 輔助計算!$G$2:$G$801, 0)+1))&lt;=31,3,IF(INDEX(ERP資料!$G:$G, (MATCH(676, 輔助計算!$G$2:$G$801, 0)+1))&lt;=46.5,2,1)), IF(INDEX(ERP資料!$G:$G, (MATCH(676, 輔助計算!$G$2:$G$801, 0)+1))&lt;=790,3,IF(INDEX(ERP資料!$G:$G, (MATCH(676, 輔助計算!$G$2:$G$801, 0)+1))&lt;=1181,2,1))))=1,TEXT(INDEX(ERP資料!$G:$G, (MATCH(676, 輔助計算!$G$2:$G$801, 0)+1)),"0.##"),IF(MOD(INDEX(輔助計算!$D:$D, (MATCH(676, 輔助計算!$G$2:$G$801, 0)+1)),IF(INDEX(ERP資料!$G:$G, (MATCH(676, 輔助計算!$G$2:$G$801, 0)+1))&lt;100, IF(INDEX(ERP資料!$G:$G, (MATCH(676, 輔助計算!$G$2:$G$801, 0)+1))&lt;=31,3,IF(INDEX(ERP資料!$G:$G, (MATCH(676, 輔助計算!$G$2:$G$801, 0)+1))&lt;=46.5,2,1)), IF(INDEX(ERP資料!$G:$G, (MATCH(676, 輔助計算!$G$2:$G$801, 0)+1))&lt;=790,3,IF(INDEX(ERP資料!$G:$G, (MATCH(676, 輔助計算!$G$2:$G$801, 0)+1))&lt;=1181,2,1))))=2,TEXT(INDEX(ERP資料!$G:$G, (MATCH(676, 輔助計算!$G$2:$G$801, 0)+1)),"0.##")&amp;"+"&amp;TEXT(INDEX(ERP資料!$G:$G, (MATCH(676, 輔助計算!$G$2:$G$801, 0)+1)),"0.##"),TEXT(INDEX(ERP資料!$G:$G, (MATCH(676, 輔助計算!$G$2:$G$801, 0)+1)),"0.##")&amp;"+"&amp;TEXT(INDEX(ERP資料!$G:$G, (MATCH(676, 輔助計算!$G$2:$G$801, 0)+1)),"0.##")&amp;"+"&amp;TEXT(INDEX(ERP資料!$G:$G, (MATCH(676, 輔助計算!$G$2:$G$801, 0)+1)),"0.##"))))&amp;"-1")&lt;&gt;""),"  ","")&amp;IF(MOD(INDEX(輔助計算!$D:$D, (MATCH(676, 輔助計算!$G$2:$G$801, 0)+1)),IF(INDEX(ERP資料!$G:$G, (MATCH(676, 輔助計算!$G$2:$G$801, 0)+1))&lt;100, IF(INDEX(ERP資料!$G:$G, (MATCH(676, 輔助計算!$G$2:$G$801, 0)+1))&lt;=31,3,IF(INDEX(ERP資料!$G:$G, (MATCH(676, 輔助計算!$G$2:$G$801, 0)+1))&lt;=46.5,2,1)), IF(INDEX(ERP資料!$G:$G, (MATCH(676, 輔助計算!$G$2:$G$801, 0)+1))&lt;=790,3,IF(INDEX(ERP資料!$G:$G, (MATCH(676, 輔助計算!$G$2:$G$801, 0)+1))&lt;=1181,2,1))))=0,"",IF(MOD(INDEX(輔助計算!$D:$D, (MATCH(676, 輔助計算!$G$2:$G$801, 0)+1)),IF(INDEX(ERP資料!$G:$G, (MATCH(676, 輔助計算!$G$2:$G$801, 0)+1))&lt;100, IF(INDEX(ERP資料!$G:$G, (MATCH(676, 輔助計算!$G$2:$G$801, 0)+1))&lt;=31,3,IF(INDEX(ERP資料!$G:$G, (MATCH(676, 輔助計算!$G$2:$G$801, 0)+1))&lt;=46.5,2,1)), IF(INDEX(ERP資料!$G:$G, (MATCH(676, 輔助計算!$G$2:$G$801, 0)+1))&lt;=790,3,IF(INDEX(ERP資料!$G:$G, (MATCH(676, 輔助計算!$G$2:$G$801, 0)+1))&lt;=1181,2,1))))=0,"",IF(MOD(INDEX(輔助計算!$D:$D, (MATCH(676, 輔助計算!$G$2:$G$801, 0)+1)),IF(INDEX(ERP資料!$G:$G, (MATCH(676, 輔助計算!$G$2:$G$801, 0)+1))&lt;100, IF(INDEX(ERP資料!$G:$G, (MATCH(676, 輔助計算!$G$2:$G$801, 0)+1))&lt;=31,3,IF(INDEX(ERP資料!$G:$G, (MATCH(676, 輔助計算!$G$2:$G$801, 0)+1))&lt;=46.5,2,1)), IF(INDEX(ERP資料!$G:$G, (MATCH(676, 輔助計算!$G$2:$G$801, 0)+1))&lt;=790,3,IF(INDEX(ERP資料!$G:$G, (MATCH(676, 輔助計算!$G$2:$G$801, 0)+1))&lt;=1181,2,1))))=1,TEXT(INDEX(ERP資料!$G:$G, (MATCH(676, 輔助計算!$G$2:$G$801, 0)+1)),"0.##"),IF(MOD(INDEX(輔助計算!$D:$D, (MATCH(676, 輔助計算!$G$2:$G$801, 0)+1)),IF(INDEX(ERP資料!$G:$G, (MATCH(676, 輔助計算!$G$2:$G$801, 0)+1))&lt;100, IF(INDEX(ERP資料!$G:$G, (MATCH(676, 輔助計算!$G$2:$G$801, 0)+1))&lt;=31,3,IF(INDEX(ERP資料!$G:$G, (MATCH(676, 輔助計算!$G$2:$G$801, 0)+1))&lt;=46.5,2,1)), IF(INDEX(ERP資料!$G:$G, (MATCH(676, 輔助計算!$G$2:$G$801, 0)+1))&lt;=790,3,IF(INDEX(ERP資料!$G:$G, (MATCH(676, 輔助計算!$G$2:$G$801, 0)+1))&lt;=1181,2,1))))=2,TEXT(INDEX(ERP資料!$G:$G, (MATCH(676, 輔助計算!$G$2:$G$801, 0)+1)),"0.##")&amp;"+"&amp;TEXT(INDEX(ERP資料!$G:$G, (MATCH(676, 輔助計算!$G$2:$G$801, 0)+1)),"0.##"),TEXT(INDEX(ERP資料!$G:$G, (MATCH(676, 輔助計算!$G$2:$G$801, 0)+1)),"0.##")&amp;"+"&amp;TEXT(INDEX(ERP資料!$G:$G, (MATCH(676, 輔助計算!$G$2:$G$801, 0)+1)),"0.##")&amp;"+"&amp;TEXT(INDEX(ERP資料!$G:$G, (MATCH(676, 輔助計算!$G$2:$G$801, 0)+1)),"0.##"))))&amp;"-1")), ""), "")</f>
        <v/>
      </c>
      <c r="K677" s="16" t="n"/>
      <c r="L677" s="14">
        <f>IFERROR(IF(AND(IFERROR(INDEX(ERP資料!$A:$A, (MATCH(676, 輔助計算!$G$2:$G$801, 0)+1)), "")&lt;&gt;"", IFERROR(INDEX(ERP資料!$A:$A, (MATCH(676, 輔助計算!$G$2:$G$801, 0)+1)), "")&lt;&gt;IFERROR(INDEX(ERP資料!$A:$A, MATCH(675, 輔助計算!$G$2:$G$801, 0)+1), "")), INDEX(ERP資料!$B:$B, (MATCH(676, 輔助計算!$G$2:$G$801, 0)+1)), ""), "")</f>
        <v/>
      </c>
      <c r="M677" s="17" t="n"/>
    </row>
    <row r="678">
      <c r="A678" s="10">
        <f>IFERROR(IF(AND(IFERROR(INDEX(ERP資料!$A:$A, (MATCH(677, 輔助計算!$G$2:$G$801, 0)+1)), "")&lt;&gt;"", IFERROR(INDEX(ERP資料!$A:$A, (MATCH(677, 輔助計算!$G$2:$G$801, 0)+1)), "")&lt;&gt;IFERROR(INDEX(ERP資料!$A:$A, MATCH(676, 輔助計算!$G$2:$G$801, 0)+1), "")), IFERROR(INDEX(ERP資料!$A:$A, (MATCH(677, 輔助計算!$G$2:$G$801, 0)+1)), ""), ""), "")</f>
        <v/>
      </c>
      <c r="B678" s="10">
        <f>IFERROR(IF(AND(IFERROR(INDEX(ERP資料!$A:$A, (MATCH(677, 輔助計算!$G$2:$G$801, 0)+1)), "")&lt;&gt;"", IFERROR(INDEX(ERP資料!$A:$A, (MATCH(677, 輔助計算!$G$2:$G$801, 0)+1)), "")&lt;&gt;IFERROR(INDEX(ERP資料!$A:$A, MATCH(676, 輔助計算!$G$2:$G$801, 0)+1), "")), INDEX(ERP資料!$S:$S, (MATCH(677, 輔助計算!$G$2:$G$801, 0)+1)), ""), "")</f>
        <v/>
      </c>
      <c r="C678" s="19">
        <f>IFERROR(IF(AND(IFERROR(INDEX(ERP資料!$A:$A, (MATCH(677, 輔助計算!$G$2:$G$801, 0)+1)), "")&lt;&gt;"", IFERROR(INDEX(ERP資料!$A:$A, (MATCH(677, 輔助計算!$G$2:$G$801, 0)+1)), "")&lt;&gt;IFERROR(INDEX(ERP資料!$A:$A, MATCH(676, 輔助計算!$G$2:$G$801, 0)+1), "")), IFERROR(VLOOKUP(LEFT(INDEX(ERP資料!$S:$S, (MATCH(677, 輔助計算!$G$2:$G$801, 0)+1)), 4), 紙管對照表!$A:$C, 3, FALSE), ""), ""), "")</f>
        <v/>
      </c>
      <c r="D678" s="16" t="n"/>
      <c r="E678" s="10">
        <f>IFERROR(IF(INDEX(ERP資料!$H:$H, (MATCH(677, 輔助計算!$G$2:$G$801, 0)+1))="","",INDEX(ERP資料!$H:$H, (MATCH(677, 輔助計算!$G$2:$G$801, 0)+1))), "")</f>
        <v/>
      </c>
      <c r="F678" s="10">
        <f>IFERROR(IF(INDEX(ERP資料!$E:$E, (MATCH(677, 輔助計算!$G$2:$G$801, 0)+1))="","",TRIM(INDEX(ERP資料!$E:$E, (MATCH(677, 輔助計算!$G$2:$G$801, 0)+1)))), "")</f>
        <v/>
      </c>
      <c r="G678" s="10">
        <f>IFERROR(IF(INDEX(ERP資料!$F:$F, (MATCH(677, 輔助計算!$G$2:$G$801, 0)+1))="","",INDEX(ERP資料!$F:$F, (MATCH(677, 輔助計算!$G$2:$G$801, 0)+1))), "")</f>
        <v/>
      </c>
      <c r="H678" s="10">
        <f>IFERROR(IF(INDEX(ERP資料!$G:$G, (MATCH(677, 輔助計算!$G$2:$G$801, 0)+1))="","",INDEX(ERP資料!$G:$G, (MATCH(677, 輔助計算!$G$2:$G$801, 0)+1))), "")</f>
        <v/>
      </c>
      <c r="I678" s="15">
        <f>IFERROR(INDEX(輔助計算!$D:$D, (MATCH(677, 輔助計算!$G$2:$G$801, 0)+1)), "")</f>
        <v/>
      </c>
      <c r="J678" s="15">
        <f>IFERROR(IF(AND(INDEX(輔助計算!$D:$D, (MATCH(677, 輔助計算!$G$2:$G$801, 0)+1))&lt;&gt;"", INDEX(ERP資料!$G:$G, (MATCH(677, 輔助計算!$G$2:$G$801, 0)+1))&lt;&gt;""), TRIM(IF(INT(INDEX(輔助計算!$D:$D, (MATCH(677, 輔助計算!$G$2:$G$801, 0)+1))/IF(INDEX(ERP資料!$G:$G, (MATCH(677, 輔助計算!$G$2:$G$801, 0)+1))&lt;100, IF(INDEX(ERP資料!$G:$G, (MATCH(677, 輔助計算!$G$2:$G$801, 0)+1))&lt;=31,3,IF(INDEX(ERP資料!$G:$G, (MATCH(677, 輔助計算!$G$2:$G$801, 0)+1))&lt;=46.5,2,1)), IF(INDEX(ERP資料!$G:$G, (MATCH(677, 輔助計算!$G$2:$G$801, 0)+1))&lt;=790,3,IF(INDEX(ERP資料!$G:$G, (MATCH(677, 輔助計算!$G$2:$G$801, 0)+1))&lt;=1181,2,1))))&gt;0, IF(IF(INDEX(ERP資料!$G:$G, (MATCH(677, 輔助計算!$G$2:$G$801, 0)+1))&lt;100, IF(INDEX(ERP資料!$G:$G, (MATCH(677, 輔助計算!$G$2:$G$801, 0)+1))&lt;=31,3,IF(INDEX(ERP資料!$G:$G, (MATCH(677, 輔助計算!$G$2:$G$801, 0)+1))&lt;=46.5,2,1)), IF(INDEX(ERP資料!$G:$G, (MATCH(677, 輔助計算!$G$2:$G$801, 0)+1))&lt;=790,3,IF(INDEX(ERP資料!$G:$G, (MATCH(677, 輔助計算!$G$2:$G$801, 0)+1))&lt;=1181,2,1)))=1,TEXT(INDEX(ERP資料!$G:$G, (MATCH(677, 輔助計算!$G$2:$G$801, 0)+1)),"0.##"),IF(IF(INDEX(ERP資料!$G:$G, (MATCH(677, 輔助計算!$G$2:$G$801, 0)+1))&lt;100, IF(INDEX(ERP資料!$G:$G, (MATCH(677, 輔助計算!$G$2:$G$801, 0)+1))&lt;=31,3,IF(INDEX(ERP資料!$G:$G, (MATCH(677, 輔助計算!$G$2:$G$801, 0)+1))&lt;=46.5,2,1)), IF(INDEX(ERP資料!$G:$G, (MATCH(677, 輔助計算!$G$2:$G$801, 0)+1))&lt;=790,3,IF(INDEX(ERP資料!$G:$G, (MATCH(677, 輔助計算!$G$2:$G$801, 0)+1))&lt;=1181,2,1)))=2,TEXT(INDEX(ERP資料!$G:$G, (MATCH(677, 輔助計算!$G$2:$G$801, 0)+1)),"0.##")&amp;"+"&amp;TEXT(INDEX(ERP資料!$G:$G, (MATCH(677, 輔助計算!$G$2:$G$801, 0)+1)),"0.##"),TEXT(INDEX(ERP資料!$G:$G, (MATCH(677, 輔助計算!$G$2:$G$801, 0)+1)),"0.##")&amp;"+"&amp;TEXT(INDEX(ERP資料!$G:$G, (MATCH(677, 輔助計算!$G$2:$G$801, 0)+1)),"0.##")&amp;"+"&amp;TEXT(INDEX(ERP資料!$G:$G, (MATCH(677, 輔助計算!$G$2:$G$801, 0)+1)),"0.##")))&amp;"-"&amp;INT(INDEX(輔助計算!$D:$D, (MATCH(677, 輔助計算!$G$2:$G$801, 0)+1))/IF(INDEX(ERP資料!$G:$G, (MATCH(677, 輔助計算!$G$2:$G$801, 0)+1))&lt;100, IF(INDEX(ERP資料!$G:$G, (MATCH(677, 輔助計算!$G$2:$G$801, 0)+1))&lt;=31,3,IF(INDEX(ERP資料!$G:$G, (MATCH(677, 輔助計算!$G$2:$G$801, 0)+1))&lt;=46.5,2,1)), IF(INDEX(ERP資料!$G:$G, (MATCH(677, 輔助計算!$G$2:$G$801, 0)+1))&lt;=790,3,IF(INDEX(ERP資料!$G:$G, (MATCH(677, 輔助計算!$G$2:$G$801, 0)+1))&lt;=1181,2,1)))), "")&amp;IF(AND(IF(INT(INDEX(輔助計算!$D:$D, (MATCH(677, 輔助計算!$G$2:$G$801, 0)+1))/IF(INDEX(ERP資料!$G:$G, (MATCH(677, 輔助計算!$G$2:$G$801, 0)+1))&lt;100, IF(INDEX(ERP資料!$G:$G, (MATCH(677, 輔助計算!$G$2:$G$801, 0)+1))&lt;=31,3,IF(INDEX(ERP資料!$G:$G, (MATCH(677, 輔助計算!$G$2:$G$801, 0)+1))&lt;=46.5,2,1)), IF(INDEX(ERP資料!$G:$G, (MATCH(677, 輔助計算!$G$2:$G$801, 0)+1))&lt;=790,3,IF(INDEX(ERP資料!$G:$G, (MATCH(677, 輔助計算!$G$2:$G$801, 0)+1))&lt;=1181,2,1))))&gt;0, IF(IF(INDEX(ERP資料!$G:$G, (MATCH(677, 輔助計算!$G$2:$G$801, 0)+1))&lt;100, IF(INDEX(ERP資料!$G:$G, (MATCH(677, 輔助計算!$G$2:$G$801, 0)+1))&lt;=31,3,IF(INDEX(ERP資料!$G:$G, (MATCH(677, 輔助計算!$G$2:$G$801, 0)+1))&lt;=46.5,2,1)), IF(INDEX(ERP資料!$G:$G, (MATCH(677, 輔助計算!$G$2:$G$801, 0)+1))&lt;=790,3,IF(INDEX(ERP資料!$G:$G, (MATCH(677, 輔助計算!$G$2:$G$801, 0)+1))&lt;=1181,2,1)))=1,TEXT(INDEX(ERP資料!$G:$G, (MATCH(677, 輔助計算!$G$2:$G$801, 0)+1)),"0.##"),IF(IF(INDEX(ERP資料!$G:$G, (MATCH(677, 輔助計算!$G$2:$G$801, 0)+1))&lt;100, IF(INDEX(ERP資料!$G:$G, (MATCH(677, 輔助計算!$G$2:$G$801, 0)+1))&lt;=31,3,IF(INDEX(ERP資料!$G:$G, (MATCH(677, 輔助計算!$G$2:$G$801, 0)+1))&lt;=46.5,2,1)), IF(INDEX(ERP資料!$G:$G, (MATCH(677, 輔助計算!$G$2:$G$801, 0)+1))&lt;=790,3,IF(INDEX(ERP資料!$G:$G, (MATCH(677, 輔助計算!$G$2:$G$801, 0)+1))&lt;=1181,2,1)))=2,TEXT(INDEX(ERP資料!$G:$G, (MATCH(677, 輔助計算!$G$2:$G$801, 0)+1)),"0.##")&amp;"+"&amp;TEXT(INDEX(ERP資料!$G:$G, (MATCH(677, 輔助計算!$G$2:$G$801, 0)+1)),"0.##"),TEXT(INDEX(ERP資料!$G:$G, (MATCH(677, 輔助計算!$G$2:$G$801, 0)+1)),"0.##")&amp;"+"&amp;TEXT(INDEX(ERP資料!$G:$G, (MATCH(677, 輔助計算!$G$2:$G$801, 0)+1)),"0.##")&amp;"+"&amp;TEXT(INDEX(ERP資料!$G:$G, (MATCH(677, 輔助計算!$G$2:$G$801, 0)+1)),"0.##")))&amp;"-"&amp;INT(INDEX(輔助計算!$D:$D, (MATCH(677, 輔助計算!$G$2:$G$801, 0)+1))/IF(INDEX(ERP資料!$G:$G, (MATCH(677, 輔助計算!$G$2:$G$801, 0)+1))&lt;100, IF(INDEX(ERP資料!$G:$G, (MATCH(677, 輔助計算!$G$2:$G$801, 0)+1))&lt;=31,3,IF(INDEX(ERP資料!$G:$G, (MATCH(677, 輔助計算!$G$2:$G$801, 0)+1))&lt;=46.5,2,1)), IF(INDEX(ERP資料!$G:$G, (MATCH(677, 輔助計算!$G$2:$G$801, 0)+1))&lt;=790,3,IF(INDEX(ERP資料!$G:$G, (MATCH(677, 輔助計算!$G$2:$G$801, 0)+1))&lt;=1181,2,1)))), "")&lt;&gt;"",IF(MOD(INDEX(輔助計算!$D:$D, (MATCH(677, 輔助計算!$G$2:$G$801, 0)+1)),IF(INDEX(ERP資料!$G:$G, (MATCH(677, 輔助計算!$G$2:$G$801, 0)+1))&lt;100, IF(INDEX(ERP資料!$G:$G, (MATCH(677, 輔助計算!$G$2:$G$801, 0)+1))&lt;=31,3,IF(INDEX(ERP資料!$G:$G, (MATCH(677, 輔助計算!$G$2:$G$801, 0)+1))&lt;=46.5,2,1)), IF(INDEX(ERP資料!$G:$G, (MATCH(677, 輔助計算!$G$2:$G$801, 0)+1))&lt;=790,3,IF(INDEX(ERP資料!$G:$G, (MATCH(677, 輔助計算!$G$2:$G$801, 0)+1))&lt;=1181,2,1))))=0,"",IF(MOD(INDEX(輔助計算!$D:$D, (MATCH(677, 輔助計算!$G$2:$G$801, 0)+1)),IF(INDEX(ERP資料!$G:$G, (MATCH(677, 輔助計算!$G$2:$G$801, 0)+1))&lt;100, IF(INDEX(ERP資料!$G:$G, (MATCH(677, 輔助計算!$G$2:$G$801, 0)+1))&lt;=31,3,IF(INDEX(ERP資料!$G:$G, (MATCH(677, 輔助計算!$G$2:$G$801, 0)+1))&lt;=46.5,2,1)), IF(INDEX(ERP資料!$G:$G, (MATCH(677, 輔助計算!$G$2:$G$801, 0)+1))&lt;=790,3,IF(INDEX(ERP資料!$G:$G, (MATCH(677, 輔助計算!$G$2:$G$801, 0)+1))&lt;=1181,2,1))))=0,"",IF(MOD(INDEX(輔助計算!$D:$D, (MATCH(677, 輔助計算!$G$2:$G$801, 0)+1)),IF(INDEX(ERP資料!$G:$G, (MATCH(677, 輔助計算!$G$2:$G$801, 0)+1))&lt;100, IF(INDEX(ERP資料!$G:$G, (MATCH(677, 輔助計算!$G$2:$G$801, 0)+1))&lt;=31,3,IF(INDEX(ERP資料!$G:$G, (MATCH(677, 輔助計算!$G$2:$G$801, 0)+1))&lt;=46.5,2,1)), IF(INDEX(ERP資料!$G:$G, (MATCH(677, 輔助計算!$G$2:$G$801, 0)+1))&lt;=790,3,IF(INDEX(ERP資料!$G:$G, (MATCH(677, 輔助計算!$G$2:$G$801, 0)+1))&lt;=1181,2,1))))=1,TEXT(INDEX(ERP資料!$G:$G, (MATCH(677, 輔助計算!$G$2:$G$801, 0)+1)),"0.##"),IF(MOD(INDEX(輔助計算!$D:$D, (MATCH(677, 輔助計算!$G$2:$G$801, 0)+1)),IF(INDEX(ERP資料!$G:$G, (MATCH(677, 輔助計算!$G$2:$G$801, 0)+1))&lt;100, IF(INDEX(ERP資料!$G:$G, (MATCH(677, 輔助計算!$G$2:$G$801, 0)+1))&lt;=31,3,IF(INDEX(ERP資料!$G:$G, (MATCH(677, 輔助計算!$G$2:$G$801, 0)+1))&lt;=46.5,2,1)), IF(INDEX(ERP資料!$G:$G, (MATCH(677, 輔助計算!$G$2:$G$801, 0)+1))&lt;=790,3,IF(INDEX(ERP資料!$G:$G, (MATCH(677, 輔助計算!$G$2:$G$801, 0)+1))&lt;=1181,2,1))))=2,TEXT(INDEX(ERP資料!$G:$G, (MATCH(677, 輔助計算!$G$2:$G$801, 0)+1)),"0.##")&amp;"+"&amp;TEXT(INDEX(ERP資料!$G:$G, (MATCH(677, 輔助計算!$G$2:$G$801, 0)+1)),"0.##"),TEXT(INDEX(ERP資料!$G:$G, (MATCH(677, 輔助計算!$G$2:$G$801, 0)+1)),"0.##")&amp;"+"&amp;TEXT(INDEX(ERP資料!$G:$G, (MATCH(677, 輔助計算!$G$2:$G$801, 0)+1)),"0.##")&amp;"+"&amp;TEXT(INDEX(ERP資料!$G:$G, (MATCH(677, 輔助計算!$G$2:$G$801, 0)+1)),"0.##"))))&amp;"-1")&lt;&gt;""),"  ","")&amp;IF(MOD(INDEX(輔助計算!$D:$D, (MATCH(677, 輔助計算!$G$2:$G$801, 0)+1)),IF(INDEX(ERP資料!$G:$G, (MATCH(677, 輔助計算!$G$2:$G$801, 0)+1))&lt;100, IF(INDEX(ERP資料!$G:$G, (MATCH(677, 輔助計算!$G$2:$G$801, 0)+1))&lt;=31,3,IF(INDEX(ERP資料!$G:$G, (MATCH(677, 輔助計算!$G$2:$G$801, 0)+1))&lt;=46.5,2,1)), IF(INDEX(ERP資料!$G:$G, (MATCH(677, 輔助計算!$G$2:$G$801, 0)+1))&lt;=790,3,IF(INDEX(ERP資料!$G:$G, (MATCH(677, 輔助計算!$G$2:$G$801, 0)+1))&lt;=1181,2,1))))=0,"",IF(MOD(INDEX(輔助計算!$D:$D, (MATCH(677, 輔助計算!$G$2:$G$801, 0)+1)),IF(INDEX(ERP資料!$G:$G, (MATCH(677, 輔助計算!$G$2:$G$801, 0)+1))&lt;100, IF(INDEX(ERP資料!$G:$G, (MATCH(677, 輔助計算!$G$2:$G$801, 0)+1))&lt;=31,3,IF(INDEX(ERP資料!$G:$G, (MATCH(677, 輔助計算!$G$2:$G$801, 0)+1))&lt;=46.5,2,1)), IF(INDEX(ERP資料!$G:$G, (MATCH(677, 輔助計算!$G$2:$G$801, 0)+1))&lt;=790,3,IF(INDEX(ERP資料!$G:$G, (MATCH(677, 輔助計算!$G$2:$G$801, 0)+1))&lt;=1181,2,1))))=0,"",IF(MOD(INDEX(輔助計算!$D:$D, (MATCH(677, 輔助計算!$G$2:$G$801, 0)+1)),IF(INDEX(ERP資料!$G:$G, (MATCH(677, 輔助計算!$G$2:$G$801, 0)+1))&lt;100, IF(INDEX(ERP資料!$G:$G, (MATCH(677, 輔助計算!$G$2:$G$801, 0)+1))&lt;=31,3,IF(INDEX(ERP資料!$G:$G, (MATCH(677, 輔助計算!$G$2:$G$801, 0)+1))&lt;=46.5,2,1)), IF(INDEX(ERP資料!$G:$G, (MATCH(677, 輔助計算!$G$2:$G$801, 0)+1))&lt;=790,3,IF(INDEX(ERP資料!$G:$G, (MATCH(677, 輔助計算!$G$2:$G$801, 0)+1))&lt;=1181,2,1))))=1,TEXT(INDEX(ERP資料!$G:$G, (MATCH(677, 輔助計算!$G$2:$G$801, 0)+1)),"0.##"),IF(MOD(INDEX(輔助計算!$D:$D, (MATCH(677, 輔助計算!$G$2:$G$801, 0)+1)),IF(INDEX(ERP資料!$G:$G, (MATCH(677, 輔助計算!$G$2:$G$801, 0)+1))&lt;100, IF(INDEX(ERP資料!$G:$G, (MATCH(677, 輔助計算!$G$2:$G$801, 0)+1))&lt;=31,3,IF(INDEX(ERP資料!$G:$G, (MATCH(677, 輔助計算!$G$2:$G$801, 0)+1))&lt;=46.5,2,1)), IF(INDEX(ERP資料!$G:$G, (MATCH(677, 輔助計算!$G$2:$G$801, 0)+1))&lt;=790,3,IF(INDEX(ERP資料!$G:$G, (MATCH(677, 輔助計算!$G$2:$G$801, 0)+1))&lt;=1181,2,1))))=2,TEXT(INDEX(ERP資料!$G:$G, (MATCH(677, 輔助計算!$G$2:$G$801, 0)+1)),"0.##")&amp;"+"&amp;TEXT(INDEX(ERP資料!$G:$G, (MATCH(677, 輔助計算!$G$2:$G$801, 0)+1)),"0.##"),TEXT(INDEX(ERP資料!$G:$G, (MATCH(677, 輔助計算!$G$2:$G$801, 0)+1)),"0.##")&amp;"+"&amp;TEXT(INDEX(ERP資料!$G:$G, (MATCH(677, 輔助計算!$G$2:$G$801, 0)+1)),"0.##")&amp;"+"&amp;TEXT(INDEX(ERP資料!$G:$G, (MATCH(677, 輔助計算!$G$2:$G$801, 0)+1)),"0.##"))))&amp;"-1")), ""), "")</f>
        <v/>
      </c>
      <c r="K678" s="16" t="n"/>
      <c r="L678" s="14">
        <f>IFERROR(IF(AND(IFERROR(INDEX(ERP資料!$A:$A, (MATCH(677, 輔助計算!$G$2:$G$801, 0)+1)), "")&lt;&gt;"", IFERROR(INDEX(ERP資料!$A:$A, (MATCH(677, 輔助計算!$G$2:$G$801, 0)+1)), "")&lt;&gt;IFERROR(INDEX(ERP資料!$A:$A, MATCH(676, 輔助計算!$G$2:$G$801, 0)+1), "")), INDEX(ERP資料!$B:$B, (MATCH(677, 輔助計算!$G$2:$G$801, 0)+1)), ""), "")</f>
        <v/>
      </c>
      <c r="M678" s="17" t="n"/>
    </row>
    <row r="679">
      <c r="A679" s="10">
        <f>IFERROR(IF(AND(IFERROR(INDEX(ERP資料!$A:$A, (MATCH(678, 輔助計算!$G$2:$G$801, 0)+1)), "")&lt;&gt;"", IFERROR(INDEX(ERP資料!$A:$A, (MATCH(678, 輔助計算!$G$2:$G$801, 0)+1)), "")&lt;&gt;IFERROR(INDEX(ERP資料!$A:$A, MATCH(677, 輔助計算!$G$2:$G$801, 0)+1), "")), IFERROR(INDEX(ERP資料!$A:$A, (MATCH(678, 輔助計算!$G$2:$G$801, 0)+1)), ""), ""), "")</f>
        <v/>
      </c>
      <c r="B679" s="10">
        <f>IFERROR(IF(AND(IFERROR(INDEX(ERP資料!$A:$A, (MATCH(678, 輔助計算!$G$2:$G$801, 0)+1)), "")&lt;&gt;"", IFERROR(INDEX(ERP資料!$A:$A, (MATCH(678, 輔助計算!$G$2:$G$801, 0)+1)), "")&lt;&gt;IFERROR(INDEX(ERP資料!$A:$A, MATCH(677, 輔助計算!$G$2:$G$801, 0)+1), "")), INDEX(ERP資料!$S:$S, (MATCH(678, 輔助計算!$G$2:$G$801, 0)+1)), ""), "")</f>
        <v/>
      </c>
      <c r="C679" s="19">
        <f>IFERROR(IF(AND(IFERROR(INDEX(ERP資料!$A:$A, (MATCH(678, 輔助計算!$G$2:$G$801, 0)+1)), "")&lt;&gt;"", IFERROR(INDEX(ERP資料!$A:$A, (MATCH(678, 輔助計算!$G$2:$G$801, 0)+1)), "")&lt;&gt;IFERROR(INDEX(ERP資料!$A:$A, MATCH(677, 輔助計算!$G$2:$G$801, 0)+1), "")), IFERROR(VLOOKUP(LEFT(INDEX(ERP資料!$S:$S, (MATCH(678, 輔助計算!$G$2:$G$801, 0)+1)), 4), 紙管對照表!$A:$C, 3, FALSE), ""), ""), "")</f>
        <v/>
      </c>
      <c r="D679" s="16" t="n"/>
      <c r="E679" s="10">
        <f>IFERROR(IF(INDEX(ERP資料!$H:$H, (MATCH(678, 輔助計算!$G$2:$G$801, 0)+1))="","",INDEX(ERP資料!$H:$H, (MATCH(678, 輔助計算!$G$2:$G$801, 0)+1))), "")</f>
        <v/>
      </c>
      <c r="F679" s="10">
        <f>IFERROR(IF(INDEX(ERP資料!$E:$E, (MATCH(678, 輔助計算!$G$2:$G$801, 0)+1))="","",TRIM(INDEX(ERP資料!$E:$E, (MATCH(678, 輔助計算!$G$2:$G$801, 0)+1)))), "")</f>
        <v/>
      </c>
      <c r="G679" s="10">
        <f>IFERROR(IF(INDEX(ERP資料!$F:$F, (MATCH(678, 輔助計算!$G$2:$G$801, 0)+1))="","",INDEX(ERP資料!$F:$F, (MATCH(678, 輔助計算!$G$2:$G$801, 0)+1))), "")</f>
        <v/>
      </c>
      <c r="H679" s="10">
        <f>IFERROR(IF(INDEX(ERP資料!$G:$G, (MATCH(678, 輔助計算!$G$2:$G$801, 0)+1))="","",INDEX(ERP資料!$G:$G, (MATCH(678, 輔助計算!$G$2:$G$801, 0)+1))), "")</f>
        <v/>
      </c>
      <c r="I679" s="15">
        <f>IFERROR(INDEX(輔助計算!$D:$D, (MATCH(678, 輔助計算!$G$2:$G$801, 0)+1)), "")</f>
        <v/>
      </c>
      <c r="J679" s="15">
        <f>IFERROR(IF(AND(INDEX(輔助計算!$D:$D, (MATCH(678, 輔助計算!$G$2:$G$801, 0)+1))&lt;&gt;"", INDEX(ERP資料!$G:$G, (MATCH(678, 輔助計算!$G$2:$G$801, 0)+1))&lt;&gt;""), TRIM(IF(INT(INDEX(輔助計算!$D:$D, (MATCH(678, 輔助計算!$G$2:$G$801, 0)+1))/IF(INDEX(ERP資料!$G:$G, (MATCH(678, 輔助計算!$G$2:$G$801, 0)+1))&lt;100, IF(INDEX(ERP資料!$G:$G, (MATCH(678, 輔助計算!$G$2:$G$801, 0)+1))&lt;=31,3,IF(INDEX(ERP資料!$G:$G, (MATCH(678, 輔助計算!$G$2:$G$801, 0)+1))&lt;=46.5,2,1)), IF(INDEX(ERP資料!$G:$G, (MATCH(678, 輔助計算!$G$2:$G$801, 0)+1))&lt;=790,3,IF(INDEX(ERP資料!$G:$G, (MATCH(678, 輔助計算!$G$2:$G$801, 0)+1))&lt;=1181,2,1))))&gt;0, IF(IF(INDEX(ERP資料!$G:$G, (MATCH(678, 輔助計算!$G$2:$G$801, 0)+1))&lt;100, IF(INDEX(ERP資料!$G:$G, (MATCH(678, 輔助計算!$G$2:$G$801, 0)+1))&lt;=31,3,IF(INDEX(ERP資料!$G:$G, (MATCH(678, 輔助計算!$G$2:$G$801, 0)+1))&lt;=46.5,2,1)), IF(INDEX(ERP資料!$G:$G, (MATCH(678, 輔助計算!$G$2:$G$801, 0)+1))&lt;=790,3,IF(INDEX(ERP資料!$G:$G, (MATCH(678, 輔助計算!$G$2:$G$801, 0)+1))&lt;=1181,2,1)))=1,TEXT(INDEX(ERP資料!$G:$G, (MATCH(678, 輔助計算!$G$2:$G$801, 0)+1)),"0.##"),IF(IF(INDEX(ERP資料!$G:$G, (MATCH(678, 輔助計算!$G$2:$G$801, 0)+1))&lt;100, IF(INDEX(ERP資料!$G:$G, (MATCH(678, 輔助計算!$G$2:$G$801, 0)+1))&lt;=31,3,IF(INDEX(ERP資料!$G:$G, (MATCH(678, 輔助計算!$G$2:$G$801, 0)+1))&lt;=46.5,2,1)), IF(INDEX(ERP資料!$G:$G, (MATCH(678, 輔助計算!$G$2:$G$801, 0)+1))&lt;=790,3,IF(INDEX(ERP資料!$G:$G, (MATCH(678, 輔助計算!$G$2:$G$801, 0)+1))&lt;=1181,2,1)))=2,TEXT(INDEX(ERP資料!$G:$G, (MATCH(678, 輔助計算!$G$2:$G$801, 0)+1)),"0.##")&amp;"+"&amp;TEXT(INDEX(ERP資料!$G:$G, (MATCH(678, 輔助計算!$G$2:$G$801, 0)+1)),"0.##"),TEXT(INDEX(ERP資料!$G:$G, (MATCH(678, 輔助計算!$G$2:$G$801, 0)+1)),"0.##")&amp;"+"&amp;TEXT(INDEX(ERP資料!$G:$G, (MATCH(678, 輔助計算!$G$2:$G$801, 0)+1)),"0.##")&amp;"+"&amp;TEXT(INDEX(ERP資料!$G:$G, (MATCH(678, 輔助計算!$G$2:$G$801, 0)+1)),"0.##")))&amp;"-"&amp;INT(INDEX(輔助計算!$D:$D, (MATCH(678, 輔助計算!$G$2:$G$801, 0)+1))/IF(INDEX(ERP資料!$G:$G, (MATCH(678, 輔助計算!$G$2:$G$801, 0)+1))&lt;100, IF(INDEX(ERP資料!$G:$G, (MATCH(678, 輔助計算!$G$2:$G$801, 0)+1))&lt;=31,3,IF(INDEX(ERP資料!$G:$G, (MATCH(678, 輔助計算!$G$2:$G$801, 0)+1))&lt;=46.5,2,1)), IF(INDEX(ERP資料!$G:$G, (MATCH(678, 輔助計算!$G$2:$G$801, 0)+1))&lt;=790,3,IF(INDEX(ERP資料!$G:$G, (MATCH(678, 輔助計算!$G$2:$G$801, 0)+1))&lt;=1181,2,1)))), "")&amp;IF(AND(IF(INT(INDEX(輔助計算!$D:$D, (MATCH(678, 輔助計算!$G$2:$G$801, 0)+1))/IF(INDEX(ERP資料!$G:$G, (MATCH(678, 輔助計算!$G$2:$G$801, 0)+1))&lt;100, IF(INDEX(ERP資料!$G:$G, (MATCH(678, 輔助計算!$G$2:$G$801, 0)+1))&lt;=31,3,IF(INDEX(ERP資料!$G:$G, (MATCH(678, 輔助計算!$G$2:$G$801, 0)+1))&lt;=46.5,2,1)), IF(INDEX(ERP資料!$G:$G, (MATCH(678, 輔助計算!$G$2:$G$801, 0)+1))&lt;=790,3,IF(INDEX(ERP資料!$G:$G, (MATCH(678, 輔助計算!$G$2:$G$801, 0)+1))&lt;=1181,2,1))))&gt;0, IF(IF(INDEX(ERP資料!$G:$G, (MATCH(678, 輔助計算!$G$2:$G$801, 0)+1))&lt;100, IF(INDEX(ERP資料!$G:$G, (MATCH(678, 輔助計算!$G$2:$G$801, 0)+1))&lt;=31,3,IF(INDEX(ERP資料!$G:$G, (MATCH(678, 輔助計算!$G$2:$G$801, 0)+1))&lt;=46.5,2,1)), IF(INDEX(ERP資料!$G:$G, (MATCH(678, 輔助計算!$G$2:$G$801, 0)+1))&lt;=790,3,IF(INDEX(ERP資料!$G:$G, (MATCH(678, 輔助計算!$G$2:$G$801, 0)+1))&lt;=1181,2,1)))=1,TEXT(INDEX(ERP資料!$G:$G, (MATCH(678, 輔助計算!$G$2:$G$801, 0)+1)),"0.##"),IF(IF(INDEX(ERP資料!$G:$G, (MATCH(678, 輔助計算!$G$2:$G$801, 0)+1))&lt;100, IF(INDEX(ERP資料!$G:$G, (MATCH(678, 輔助計算!$G$2:$G$801, 0)+1))&lt;=31,3,IF(INDEX(ERP資料!$G:$G, (MATCH(678, 輔助計算!$G$2:$G$801, 0)+1))&lt;=46.5,2,1)), IF(INDEX(ERP資料!$G:$G, (MATCH(678, 輔助計算!$G$2:$G$801, 0)+1))&lt;=790,3,IF(INDEX(ERP資料!$G:$G, (MATCH(678, 輔助計算!$G$2:$G$801, 0)+1))&lt;=1181,2,1)))=2,TEXT(INDEX(ERP資料!$G:$G, (MATCH(678, 輔助計算!$G$2:$G$801, 0)+1)),"0.##")&amp;"+"&amp;TEXT(INDEX(ERP資料!$G:$G, (MATCH(678, 輔助計算!$G$2:$G$801, 0)+1)),"0.##"),TEXT(INDEX(ERP資料!$G:$G, (MATCH(678, 輔助計算!$G$2:$G$801, 0)+1)),"0.##")&amp;"+"&amp;TEXT(INDEX(ERP資料!$G:$G, (MATCH(678, 輔助計算!$G$2:$G$801, 0)+1)),"0.##")&amp;"+"&amp;TEXT(INDEX(ERP資料!$G:$G, (MATCH(678, 輔助計算!$G$2:$G$801, 0)+1)),"0.##")))&amp;"-"&amp;INT(INDEX(輔助計算!$D:$D, (MATCH(678, 輔助計算!$G$2:$G$801, 0)+1))/IF(INDEX(ERP資料!$G:$G, (MATCH(678, 輔助計算!$G$2:$G$801, 0)+1))&lt;100, IF(INDEX(ERP資料!$G:$G, (MATCH(678, 輔助計算!$G$2:$G$801, 0)+1))&lt;=31,3,IF(INDEX(ERP資料!$G:$G, (MATCH(678, 輔助計算!$G$2:$G$801, 0)+1))&lt;=46.5,2,1)), IF(INDEX(ERP資料!$G:$G, (MATCH(678, 輔助計算!$G$2:$G$801, 0)+1))&lt;=790,3,IF(INDEX(ERP資料!$G:$G, (MATCH(678, 輔助計算!$G$2:$G$801, 0)+1))&lt;=1181,2,1)))), "")&lt;&gt;"",IF(MOD(INDEX(輔助計算!$D:$D, (MATCH(678, 輔助計算!$G$2:$G$801, 0)+1)),IF(INDEX(ERP資料!$G:$G, (MATCH(678, 輔助計算!$G$2:$G$801, 0)+1))&lt;100, IF(INDEX(ERP資料!$G:$G, (MATCH(678, 輔助計算!$G$2:$G$801, 0)+1))&lt;=31,3,IF(INDEX(ERP資料!$G:$G, (MATCH(678, 輔助計算!$G$2:$G$801, 0)+1))&lt;=46.5,2,1)), IF(INDEX(ERP資料!$G:$G, (MATCH(678, 輔助計算!$G$2:$G$801, 0)+1))&lt;=790,3,IF(INDEX(ERP資料!$G:$G, (MATCH(678, 輔助計算!$G$2:$G$801, 0)+1))&lt;=1181,2,1))))=0,"",IF(MOD(INDEX(輔助計算!$D:$D, (MATCH(678, 輔助計算!$G$2:$G$801, 0)+1)),IF(INDEX(ERP資料!$G:$G, (MATCH(678, 輔助計算!$G$2:$G$801, 0)+1))&lt;100, IF(INDEX(ERP資料!$G:$G, (MATCH(678, 輔助計算!$G$2:$G$801, 0)+1))&lt;=31,3,IF(INDEX(ERP資料!$G:$G, (MATCH(678, 輔助計算!$G$2:$G$801, 0)+1))&lt;=46.5,2,1)), IF(INDEX(ERP資料!$G:$G, (MATCH(678, 輔助計算!$G$2:$G$801, 0)+1))&lt;=790,3,IF(INDEX(ERP資料!$G:$G, (MATCH(678, 輔助計算!$G$2:$G$801, 0)+1))&lt;=1181,2,1))))=0,"",IF(MOD(INDEX(輔助計算!$D:$D, (MATCH(678, 輔助計算!$G$2:$G$801, 0)+1)),IF(INDEX(ERP資料!$G:$G, (MATCH(678, 輔助計算!$G$2:$G$801, 0)+1))&lt;100, IF(INDEX(ERP資料!$G:$G, (MATCH(678, 輔助計算!$G$2:$G$801, 0)+1))&lt;=31,3,IF(INDEX(ERP資料!$G:$G, (MATCH(678, 輔助計算!$G$2:$G$801, 0)+1))&lt;=46.5,2,1)), IF(INDEX(ERP資料!$G:$G, (MATCH(678, 輔助計算!$G$2:$G$801, 0)+1))&lt;=790,3,IF(INDEX(ERP資料!$G:$G, (MATCH(678, 輔助計算!$G$2:$G$801, 0)+1))&lt;=1181,2,1))))=1,TEXT(INDEX(ERP資料!$G:$G, (MATCH(678, 輔助計算!$G$2:$G$801, 0)+1)),"0.##"),IF(MOD(INDEX(輔助計算!$D:$D, (MATCH(678, 輔助計算!$G$2:$G$801, 0)+1)),IF(INDEX(ERP資料!$G:$G, (MATCH(678, 輔助計算!$G$2:$G$801, 0)+1))&lt;100, IF(INDEX(ERP資料!$G:$G, (MATCH(678, 輔助計算!$G$2:$G$801, 0)+1))&lt;=31,3,IF(INDEX(ERP資料!$G:$G, (MATCH(678, 輔助計算!$G$2:$G$801, 0)+1))&lt;=46.5,2,1)), IF(INDEX(ERP資料!$G:$G, (MATCH(678, 輔助計算!$G$2:$G$801, 0)+1))&lt;=790,3,IF(INDEX(ERP資料!$G:$G, (MATCH(678, 輔助計算!$G$2:$G$801, 0)+1))&lt;=1181,2,1))))=2,TEXT(INDEX(ERP資料!$G:$G, (MATCH(678, 輔助計算!$G$2:$G$801, 0)+1)),"0.##")&amp;"+"&amp;TEXT(INDEX(ERP資料!$G:$G, (MATCH(678, 輔助計算!$G$2:$G$801, 0)+1)),"0.##"),TEXT(INDEX(ERP資料!$G:$G, (MATCH(678, 輔助計算!$G$2:$G$801, 0)+1)),"0.##")&amp;"+"&amp;TEXT(INDEX(ERP資料!$G:$G, (MATCH(678, 輔助計算!$G$2:$G$801, 0)+1)),"0.##")&amp;"+"&amp;TEXT(INDEX(ERP資料!$G:$G, (MATCH(678, 輔助計算!$G$2:$G$801, 0)+1)),"0.##"))))&amp;"-1")&lt;&gt;""),"  ","")&amp;IF(MOD(INDEX(輔助計算!$D:$D, (MATCH(678, 輔助計算!$G$2:$G$801, 0)+1)),IF(INDEX(ERP資料!$G:$G, (MATCH(678, 輔助計算!$G$2:$G$801, 0)+1))&lt;100, IF(INDEX(ERP資料!$G:$G, (MATCH(678, 輔助計算!$G$2:$G$801, 0)+1))&lt;=31,3,IF(INDEX(ERP資料!$G:$G, (MATCH(678, 輔助計算!$G$2:$G$801, 0)+1))&lt;=46.5,2,1)), IF(INDEX(ERP資料!$G:$G, (MATCH(678, 輔助計算!$G$2:$G$801, 0)+1))&lt;=790,3,IF(INDEX(ERP資料!$G:$G, (MATCH(678, 輔助計算!$G$2:$G$801, 0)+1))&lt;=1181,2,1))))=0,"",IF(MOD(INDEX(輔助計算!$D:$D, (MATCH(678, 輔助計算!$G$2:$G$801, 0)+1)),IF(INDEX(ERP資料!$G:$G, (MATCH(678, 輔助計算!$G$2:$G$801, 0)+1))&lt;100, IF(INDEX(ERP資料!$G:$G, (MATCH(678, 輔助計算!$G$2:$G$801, 0)+1))&lt;=31,3,IF(INDEX(ERP資料!$G:$G, (MATCH(678, 輔助計算!$G$2:$G$801, 0)+1))&lt;=46.5,2,1)), IF(INDEX(ERP資料!$G:$G, (MATCH(678, 輔助計算!$G$2:$G$801, 0)+1))&lt;=790,3,IF(INDEX(ERP資料!$G:$G, (MATCH(678, 輔助計算!$G$2:$G$801, 0)+1))&lt;=1181,2,1))))=0,"",IF(MOD(INDEX(輔助計算!$D:$D, (MATCH(678, 輔助計算!$G$2:$G$801, 0)+1)),IF(INDEX(ERP資料!$G:$G, (MATCH(678, 輔助計算!$G$2:$G$801, 0)+1))&lt;100, IF(INDEX(ERP資料!$G:$G, (MATCH(678, 輔助計算!$G$2:$G$801, 0)+1))&lt;=31,3,IF(INDEX(ERP資料!$G:$G, (MATCH(678, 輔助計算!$G$2:$G$801, 0)+1))&lt;=46.5,2,1)), IF(INDEX(ERP資料!$G:$G, (MATCH(678, 輔助計算!$G$2:$G$801, 0)+1))&lt;=790,3,IF(INDEX(ERP資料!$G:$G, (MATCH(678, 輔助計算!$G$2:$G$801, 0)+1))&lt;=1181,2,1))))=1,TEXT(INDEX(ERP資料!$G:$G, (MATCH(678, 輔助計算!$G$2:$G$801, 0)+1)),"0.##"),IF(MOD(INDEX(輔助計算!$D:$D, (MATCH(678, 輔助計算!$G$2:$G$801, 0)+1)),IF(INDEX(ERP資料!$G:$G, (MATCH(678, 輔助計算!$G$2:$G$801, 0)+1))&lt;100, IF(INDEX(ERP資料!$G:$G, (MATCH(678, 輔助計算!$G$2:$G$801, 0)+1))&lt;=31,3,IF(INDEX(ERP資料!$G:$G, (MATCH(678, 輔助計算!$G$2:$G$801, 0)+1))&lt;=46.5,2,1)), IF(INDEX(ERP資料!$G:$G, (MATCH(678, 輔助計算!$G$2:$G$801, 0)+1))&lt;=790,3,IF(INDEX(ERP資料!$G:$G, (MATCH(678, 輔助計算!$G$2:$G$801, 0)+1))&lt;=1181,2,1))))=2,TEXT(INDEX(ERP資料!$G:$G, (MATCH(678, 輔助計算!$G$2:$G$801, 0)+1)),"0.##")&amp;"+"&amp;TEXT(INDEX(ERP資料!$G:$G, (MATCH(678, 輔助計算!$G$2:$G$801, 0)+1)),"0.##"),TEXT(INDEX(ERP資料!$G:$G, (MATCH(678, 輔助計算!$G$2:$G$801, 0)+1)),"0.##")&amp;"+"&amp;TEXT(INDEX(ERP資料!$G:$G, (MATCH(678, 輔助計算!$G$2:$G$801, 0)+1)),"0.##")&amp;"+"&amp;TEXT(INDEX(ERP資料!$G:$G, (MATCH(678, 輔助計算!$G$2:$G$801, 0)+1)),"0.##"))))&amp;"-1")), ""), "")</f>
        <v/>
      </c>
      <c r="K679" s="16" t="n"/>
      <c r="L679" s="14">
        <f>IFERROR(IF(AND(IFERROR(INDEX(ERP資料!$A:$A, (MATCH(678, 輔助計算!$G$2:$G$801, 0)+1)), "")&lt;&gt;"", IFERROR(INDEX(ERP資料!$A:$A, (MATCH(678, 輔助計算!$G$2:$G$801, 0)+1)), "")&lt;&gt;IFERROR(INDEX(ERP資料!$A:$A, MATCH(677, 輔助計算!$G$2:$G$801, 0)+1), "")), INDEX(ERP資料!$B:$B, (MATCH(678, 輔助計算!$G$2:$G$801, 0)+1)), ""), "")</f>
        <v/>
      </c>
      <c r="M679" s="17" t="n"/>
    </row>
    <row r="680">
      <c r="A680" s="10">
        <f>IFERROR(IF(AND(IFERROR(INDEX(ERP資料!$A:$A, (MATCH(679, 輔助計算!$G$2:$G$801, 0)+1)), "")&lt;&gt;"", IFERROR(INDEX(ERP資料!$A:$A, (MATCH(679, 輔助計算!$G$2:$G$801, 0)+1)), "")&lt;&gt;IFERROR(INDEX(ERP資料!$A:$A, MATCH(678, 輔助計算!$G$2:$G$801, 0)+1), "")), IFERROR(INDEX(ERP資料!$A:$A, (MATCH(679, 輔助計算!$G$2:$G$801, 0)+1)), ""), ""), "")</f>
        <v/>
      </c>
      <c r="B680" s="10">
        <f>IFERROR(IF(AND(IFERROR(INDEX(ERP資料!$A:$A, (MATCH(679, 輔助計算!$G$2:$G$801, 0)+1)), "")&lt;&gt;"", IFERROR(INDEX(ERP資料!$A:$A, (MATCH(679, 輔助計算!$G$2:$G$801, 0)+1)), "")&lt;&gt;IFERROR(INDEX(ERP資料!$A:$A, MATCH(678, 輔助計算!$G$2:$G$801, 0)+1), "")), INDEX(ERP資料!$S:$S, (MATCH(679, 輔助計算!$G$2:$G$801, 0)+1)), ""), "")</f>
        <v/>
      </c>
      <c r="C680" s="19">
        <f>IFERROR(IF(AND(IFERROR(INDEX(ERP資料!$A:$A, (MATCH(679, 輔助計算!$G$2:$G$801, 0)+1)), "")&lt;&gt;"", IFERROR(INDEX(ERP資料!$A:$A, (MATCH(679, 輔助計算!$G$2:$G$801, 0)+1)), "")&lt;&gt;IFERROR(INDEX(ERP資料!$A:$A, MATCH(678, 輔助計算!$G$2:$G$801, 0)+1), "")), IFERROR(VLOOKUP(LEFT(INDEX(ERP資料!$S:$S, (MATCH(679, 輔助計算!$G$2:$G$801, 0)+1)), 4), 紙管對照表!$A:$C, 3, FALSE), ""), ""), "")</f>
        <v/>
      </c>
      <c r="D680" s="16" t="n"/>
      <c r="E680" s="10">
        <f>IFERROR(IF(INDEX(ERP資料!$H:$H, (MATCH(679, 輔助計算!$G$2:$G$801, 0)+1))="","",INDEX(ERP資料!$H:$H, (MATCH(679, 輔助計算!$G$2:$G$801, 0)+1))), "")</f>
        <v/>
      </c>
      <c r="F680" s="10">
        <f>IFERROR(IF(INDEX(ERP資料!$E:$E, (MATCH(679, 輔助計算!$G$2:$G$801, 0)+1))="","",TRIM(INDEX(ERP資料!$E:$E, (MATCH(679, 輔助計算!$G$2:$G$801, 0)+1)))), "")</f>
        <v/>
      </c>
      <c r="G680" s="10">
        <f>IFERROR(IF(INDEX(ERP資料!$F:$F, (MATCH(679, 輔助計算!$G$2:$G$801, 0)+1))="","",INDEX(ERP資料!$F:$F, (MATCH(679, 輔助計算!$G$2:$G$801, 0)+1))), "")</f>
        <v/>
      </c>
      <c r="H680" s="10">
        <f>IFERROR(IF(INDEX(ERP資料!$G:$G, (MATCH(679, 輔助計算!$G$2:$G$801, 0)+1))="","",INDEX(ERP資料!$G:$G, (MATCH(679, 輔助計算!$G$2:$G$801, 0)+1))), "")</f>
        <v/>
      </c>
      <c r="I680" s="15">
        <f>IFERROR(INDEX(輔助計算!$D:$D, (MATCH(679, 輔助計算!$G$2:$G$801, 0)+1)), "")</f>
        <v/>
      </c>
      <c r="J680" s="15">
        <f>IFERROR(IF(AND(INDEX(輔助計算!$D:$D, (MATCH(679, 輔助計算!$G$2:$G$801, 0)+1))&lt;&gt;"", INDEX(ERP資料!$G:$G, (MATCH(679, 輔助計算!$G$2:$G$801, 0)+1))&lt;&gt;""), TRIM(IF(INT(INDEX(輔助計算!$D:$D, (MATCH(679, 輔助計算!$G$2:$G$801, 0)+1))/IF(INDEX(ERP資料!$G:$G, (MATCH(679, 輔助計算!$G$2:$G$801, 0)+1))&lt;100, IF(INDEX(ERP資料!$G:$G, (MATCH(679, 輔助計算!$G$2:$G$801, 0)+1))&lt;=31,3,IF(INDEX(ERP資料!$G:$G, (MATCH(679, 輔助計算!$G$2:$G$801, 0)+1))&lt;=46.5,2,1)), IF(INDEX(ERP資料!$G:$G, (MATCH(679, 輔助計算!$G$2:$G$801, 0)+1))&lt;=790,3,IF(INDEX(ERP資料!$G:$G, (MATCH(679, 輔助計算!$G$2:$G$801, 0)+1))&lt;=1181,2,1))))&gt;0, IF(IF(INDEX(ERP資料!$G:$G, (MATCH(679, 輔助計算!$G$2:$G$801, 0)+1))&lt;100, IF(INDEX(ERP資料!$G:$G, (MATCH(679, 輔助計算!$G$2:$G$801, 0)+1))&lt;=31,3,IF(INDEX(ERP資料!$G:$G, (MATCH(679, 輔助計算!$G$2:$G$801, 0)+1))&lt;=46.5,2,1)), IF(INDEX(ERP資料!$G:$G, (MATCH(679, 輔助計算!$G$2:$G$801, 0)+1))&lt;=790,3,IF(INDEX(ERP資料!$G:$G, (MATCH(679, 輔助計算!$G$2:$G$801, 0)+1))&lt;=1181,2,1)))=1,TEXT(INDEX(ERP資料!$G:$G, (MATCH(679, 輔助計算!$G$2:$G$801, 0)+1)),"0.##"),IF(IF(INDEX(ERP資料!$G:$G, (MATCH(679, 輔助計算!$G$2:$G$801, 0)+1))&lt;100, IF(INDEX(ERP資料!$G:$G, (MATCH(679, 輔助計算!$G$2:$G$801, 0)+1))&lt;=31,3,IF(INDEX(ERP資料!$G:$G, (MATCH(679, 輔助計算!$G$2:$G$801, 0)+1))&lt;=46.5,2,1)), IF(INDEX(ERP資料!$G:$G, (MATCH(679, 輔助計算!$G$2:$G$801, 0)+1))&lt;=790,3,IF(INDEX(ERP資料!$G:$G, (MATCH(679, 輔助計算!$G$2:$G$801, 0)+1))&lt;=1181,2,1)))=2,TEXT(INDEX(ERP資料!$G:$G, (MATCH(679, 輔助計算!$G$2:$G$801, 0)+1)),"0.##")&amp;"+"&amp;TEXT(INDEX(ERP資料!$G:$G, (MATCH(679, 輔助計算!$G$2:$G$801, 0)+1)),"0.##"),TEXT(INDEX(ERP資料!$G:$G, (MATCH(679, 輔助計算!$G$2:$G$801, 0)+1)),"0.##")&amp;"+"&amp;TEXT(INDEX(ERP資料!$G:$G, (MATCH(679, 輔助計算!$G$2:$G$801, 0)+1)),"0.##")&amp;"+"&amp;TEXT(INDEX(ERP資料!$G:$G, (MATCH(679, 輔助計算!$G$2:$G$801, 0)+1)),"0.##")))&amp;"-"&amp;INT(INDEX(輔助計算!$D:$D, (MATCH(679, 輔助計算!$G$2:$G$801, 0)+1))/IF(INDEX(ERP資料!$G:$G, (MATCH(679, 輔助計算!$G$2:$G$801, 0)+1))&lt;100, IF(INDEX(ERP資料!$G:$G, (MATCH(679, 輔助計算!$G$2:$G$801, 0)+1))&lt;=31,3,IF(INDEX(ERP資料!$G:$G, (MATCH(679, 輔助計算!$G$2:$G$801, 0)+1))&lt;=46.5,2,1)), IF(INDEX(ERP資料!$G:$G, (MATCH(679, 輔助計算!$G$2:$G$801, 0)+1))&lt;=790,3,IF(INDEX(ERP資料!$G:$G, (MATCH(679, 輔助計算!$G$2:$G$801, 0)+1))&lt;=1181,2,1)))), "")&amp;IF(AND(IF(INT(INDEX(輔助計算!$D:$D, (MATCH(679, 輔助計算!$G$2:$G$801, 0)+1))/IF(INDEX(ERP資料!$G:$G, (MATCH(679, 輔助計算!$G$2:$G$801, 0)+1))&lt;100, IF(INDEX(ERP資料!$G:$G, (MATCH(679, 輔助計算!$G$2:$G$801, 0)+1))&lt;=31,3,IF(INDEX(ERP資料!$G:$G, (MATCH(679, 輔助計算!$G$2:$G$801, 0)+1))&lt;=46.5,2,1)), IF(INDEX(ERP資料!$G:$G, (MATCH(679, 輔助計算!$G$2:$G$801, 0)+1))&lt;=790,3,IF(INDEX(ERP資料!$G:$G, (MATCH(679, 輔助計算!$G$2:$G$801, 0)+1))&lt;=1181,2,1))))&gt;0, IF(IF(INDEX(ERP資料!$G:$G, (MATCH(679, 輔助計算!$G$2:$G$801, 0)+1))&lt;100, IF(INDEX(ERP資料!$G:$G, (MATCH(679, 輔助計算!$G$2:$G$801, 0)+1))&lt;=31,3,IF(INDEX(ERP資料!$G:$G, (MATCH(679, 輔助計算!$G$2:$G$801, 0)+1))&lt;=46.5,2,1)), IF(INDEX(ERP資料!$G:$G, (MATCH(679, 輔助計算!$G$2:$G$801, 0)+1))&lt;=790,3,IF(INDEX(ERP資料!$G:$G, (MATCH(679, 輔助計算!$G$2:$G$801, 0)+1))&lt;=1181,2,1)))=1,TEXT(INDEX(ERP資料!$G:$G, (MATCH(679, 輔助計算!$G$2:$G$801, 0)+1)),"0.##"),IF(IF(INDEX(ERP資料!$G:$G, (MATCH(679, 輔助計算!$G$2:$G$801, 0)+1))&lt;100, IF(INDEX(ERP資料!$G:$G, (MATCH(679, 輔助計算!$G$2:$G$801, 0)+1))&lt;=31,3,IF(INDEX(ERP資料!$G:$G, (MATCH(679, 輔助計算!$G$2:$G$801, 0)+1))&lt;=46.5,2,1)), IF(INDEX(ERP資料!$G:$G, (MATCH(679, 輔助計算!$G$2:$G$801, 0)+1))&lt;=790,3,IF(INDEX(ERP資料!$G:$G, (MATCH(679, 輔助計算!$G$2:$G$801, 0)+1))&lt;=1181,2,1)))=2,TEXT(INDEX(ERP資料!$G:$G, (MATCH(679, 輔助計算!$G$2:$G$801, 0)+1)),"0.##")&amp;"+"&amp;TEXT(INDEX(ERP資料!$G:$G, (MATCH(679, 輔助計算!$G$2:$G$801, 0)+1)),"0.##"),TEXT(INDEX(ERP資料!$G:$G, (MATCH(679, 輔助計算!$G$2:$G$801, 0)+1)),"0.##")&amp;"+"&amp;TEXT(INDEX(ERP資料!$G:$G, (MATCH(679, 輔助計算!$G$2:$G$801, 0)+1)),"0.##")&amp;"+"&amp;TEXT(INDEX(ERP資料!$G:$G, (MATCH(679, 輔助計算!$G$2:$G$801, 0)+1)),"0.##")))&amp;"-"&amp;INT(INDEX(輔助計算!$D:$D, (MATCH(679, 輔助計算!$G$2:$G$801, 0)+1))/IF(INDEX(ERP資料!$G:$G, (MATCH(679, 輔助計算!$G$2:$G$801, 0)+1))&lt;100, IF(INDEX(ERP資料!$G:$G, (MATCH(679, 輔助計算!$G$2:$G$801, 0)+1))&lt;=31,3,IF(INDEX(ERP資料!$G:$G, (MATCH(679, 輔助計算!$G$2:$G$801, 0)+1))&lt;=46.5,2,1)), IF(INDEX(ERP資料!$G:$G, (MATCH(679, 輔助計算!$G$2:$G$801, 0)+1))&lt;=790,3,IF(INDEX(ERP資料!$G:$G, (MATCH(679, 輔助計算!$G$2:$G$801, 0)+1))&lt;=1181,2,1)))), "")&lt;&gt;"",IF(MOD(INDEX(輔助計算!$D:$D, (MATCH(679, 輔助計算!$G$2:$G$801, 0)+1)),IF(INDEX(ERP資料!$G:$G, (MATCH(679, 輔助計算!$G$2:$G$801, 0)+1))&lt;100, IF(INDEX(ERP資料!$G:$G, (MATCH(679, 輔助計算!$G$2:$G$801, 0)+1))&lt;=31,3,IF(INDEX(ERP資料!$G:$G, (MATCH(679, 輔助計算!$G$2:$G$801, 0)+1))&lt;=46.5,2,1)), IF(INDEX(ERP資料!$G:$G, (MATCH(679, 輔助計算!$G$2:$G$801, 0)+1))&lt;=790,3,IF(INDEX(ERP資料!$G:$G, (MATCH(679, 輔助計算!$G$2:$G$801, 0)+1))&lt;=1181,2,1))))=0,"",IF(MOD(INDEX(輔助計算!$D:$D, (MATCH(679, 輔助計算!$G$2:$G$801, 0)+1)),IF(INDEX(ERP資料!$G:$G, (MATCH(679, 輔助計算!$G$2:$G$801, 0)+1))&lt;100, IF(INDEX(ERP資料!$G:$G, (MATCH(679, 輔助計算!$G$2:$G$801, 0)+1))&lt;=31,3,IF(INDEX(ERP資料!$G:$G, (MATCH(679, 輔助計算!$G$2:$G$801, 0)+1))&lt;=46.5,2,1)), IF(INDEX(ERP資料!$G:$G, (MATCH(679, 輔助計算!$G$2:$G$801, 0)+1))&lt;=790,3,IF(INDEX(ERP資料!$G:$G, (MATCH(679, 輔助計算!$G$2:$G$801, 0)+1))&lt;=1181,2,1))))=0,"",IF(MOD(INDEX(輔助計算!$D:$D, (MATCH(679, 輔助計算!$G$2:$G$801, 0)+1)),IF(INDEX(ERP資料!$G:$G, (MATCH(679, 輔助計算!$G$2:$G$801, 0)+1))&lt;100, IF(INDEX(ERP資料!$G:$G, (MATCH(679, 輔助計算!$G$2:$G$801, 0)+1))&lt;=31,3,IF(INDEX(ERP資料!$G:$G, (MATCH(679, 輔助計算!$G$2:$G$801, 0)+1))&lt;=46.5,2,1)), IF(INDEX(ERP資料!$G:$G, (MATCH(679, 輔助計算!$G$2:$G$801, 0)+1))&lt;=790,3,IF(INDEX(ERP資料!$G:$G, (MATCH(679, 輔助計算!$G$2:$G$801, 0)+1))&lt;=1181,2,1))))=1,TEXT(INDEX(ERP資料!$G:$G, (MATCH(679, 輔助計算!$G$2:$G$801, 0)+1)),"0.##"),IF(MOD(INDEX(輔助計算!$D:$D, (MATCH(679, 輔助計算!$G$2:$G$801, 0)+1)),IF(INDEX(ERP資料!$G:$G, (MATCH(679, 輔助計算!$G$2:$G$801, 0)+1))&lt;100, IF(INDEX(ERP資料!$G:$G, (MATCH(679, 輔助計算!$G$2:$G$801, 0)+1))&lt;=31,3,IF(INDEX(ERP資料!$G:$G, (MATCH(679, 輔助計算!$G$2:$G$801, 0)+1))&lt;=46.5,2,1)), IF(INDEX(ERP資料!$G:$G, (MATCH(679, 輔助計算!$G$2:$G$801, 0)+1))&lt;=790,3,IF(INDEX(ERP資料!$G:$G, (MATCH(679, 輔助計算!$G$2:$G$801, 0)+1))&lt;=1181,2,1))))=2,TEXT(INDEX(ERP資料!$G:$G, (MATCH(679, 輔助計算!$G$2:$G$801, 0)+1)),"0.##")&amp;"+"&amp;TEXT(INDEX(ERP資料!$G:$G, (MATCH(679, 輔助計算!$G$2:$G$801, 0)+1)),"0.##"),TEXT(INDEX(ERP資料!$G:$G, (MATCH(679, 輔助計算!$G$2:$G$801, 0)+1)),"0.##")&amp;"+"&amp;TEXT(INDEX(ERP資料!$G:$G, (MATCH(679, 輔助計算!$G$2:$G$801, 0)+1)),"0.##")&amp;"+"&amp;TEXT(INDEX(ERP資料!$G:$G, (MATCH(679, 輔助計算!$G$2:$G$801, 0)+1)),"0.##"))))&amp;"-1")&lt;&gt;""),"  ","")&amp;IF(MOD(INDEX(輔助計算!$D:$D, (MATCH(679, 輔助計算!$G$2:$G$801, 0)+1)),IF(INDEX(ERP資料!$G:$G, (MATCH(679, 輔助計算!$G$2:$G$801, 0)+1))&lt;100, IF(INDEX(ERP資料!$G:$G, (MATCH(679, 輔助計算!$G$2:$G$801, 0)+1))&lt;=31,3,IF(INDEX(ERP資料!$G:$G, (MATCH(679, 輔助計算!$G$2:$G$801, 0)+1))&lt;=46.5,2,1)), IF(INDEX(ERP資料!$G:$G, (MATCH(679, 輔助計算!$G$2:$G$801, 0)+1))&lt;=790,3,IF(INDEX(ERP資料!$G:$G, (MATCH(679, 輔助計算!$G$2:$G$801, 0)+1))&lt;=1181,2,1))))=0,"",IF(MOD(INDEX(輔助計算!$D:$D, (MATCH(679, 輔助計算!$G$2:$G$801, 0)+1)),IF(INDEX(ERP資料!$G:$G, (MATCH(679, 輔助計算!$G$2:$G$801, 0)+1))&lt;100, IF(INDEX(ERP資料!$G:$G, (MATCH(679, 輔助計算!$G$2:$G$801, 0)+1))&lt;=31,3,IF(INDEX(ERP資料!$G:$G, (MATCH(679, 輔助計算!$G$2:$G$801, 0)+1))&lt;=46.5,2,1)), IF(INDEX(ERP資料!$G:$G, (MATCH(679, 輔助計算!$G$2:$G$801, 0)+1))&lt;=790,3,IF(INDEX(ERP資料!$G:$G, (MATCH(679, 輔助計算!$G$2:$G$801, 0)+1))&lt;=1181,2,1))))=0,"",IF(MOD(INDEX(輔助計算!$D:$D, (MATCH(679, 輔助計算!$G$2:$G$801, 0)+1)),IF(INDEX(ERP資料!$G:$G, (MATCH(679, 輔助計算!$G$2:$G$801, 0)+1))&lt;100, IF(INDEX(ERP資料!$G:$G, (MATCH(679, 輔助計算!$G$2:$G$801, 0)+1))&lt;=31,3,IF(INDEX(ERP資料!$G:$G, (MATCH(679, 輔助計算!$G$2:$G$801, 0)+1))&lt;=46.5,2,1)), IF(INDEX(ERP資料!$G:$G, (MATCH(679, 輔助計算!$G$2:$G$801, 0)+1))&lt;=790,3,IF(INDEX(ERP資料!$G:$G, (MATCH(679, 輔助計算!$G$2:$G$801, 0)+1))&lt;=1181,2,1))))=1,TEXT(INDEX(ERP資料!$G:$G, (MATCH(679, 輔助計算!$G$2:$G$801, 0)+1)),"0.##"),IF(MOD(INDEX(輔助計算!$D:$D, (MATCH(679, 輔助計算!$G$2:$G$801, 0)+1)),IF(INDEX(ERP資料!$G:$G, (MATCH(679, 輔助計算!$G$2:$G$801, 0)+1))&lt;100, IF(INDEX(ERP資料!$G:$G, (MATCH(679, 輔助計算!$G$2:$G$801, 0)+1))&lt;=31,3,IF(INDEX(ERP資料!$G:$G, (MATCH(679, 輔助計算!$G$2:$G$801, 0)+1))&lt;=46.5,2,1)), IF(INDEX(ERP資料!$G:$G, (MATCH(679, 輔助計算!$G$2:$G$801, 0)+1))&lt;=790,3,IF(INDEX(ERP資料!$G:$G, (MATCH(679, 輔助計算!$G$2:$G$801, 0)+1))&lt;=1181,2,1))))=2,TEXT(INDEX(ERP資料!$G:$G, (MATCH(679, 輔助計算!$G$2:$G$801, 0)+1)),"0.##")&amp;"+"&amp;TEXT(INDEX(ERP資料!$G:$G, (MATCH(679, 輔助計算!$G$2:$G$801, 0)+1)),"0.##"),TEXT(INDEX(ERP資料!$G:$G, (MATCH(679, 輔助計算!$G$2:$G$801, 0)+1)),"0.##")&amp;"+"&amp;TEXT(INDEX(ERP資料!$G:$G, (MATCH(679, 輔助計算!$G$2:$G$801, 0)+1)),"0.##")&amp;"+"&amp;TEXT(INDEX(ERP資料!$G:$G, (MATCH(679, 輔助計算!$G$2:$G$801, 0)+1)),"0.##"))))&amp;"-1")), ""), "")</f>
        <v/>
      </c>
      <c r="K680" s="16" t="n"/>
      <c r="L680" s="14">
        <f>IFERROR(IF(AND(IFERROR(INDEX(ERP資料!$A:$A, (MATCH(679, 輔助計算!$G$2:$G$801, 0)+1)), "")&lt;&gt;"", IFERROR(INDEX(ERP資料!$A:$A, (MATCH(679, 輔助計算!$G$2:$G$801, 0)+1)), "")&lt;&gt;IFERROR(INDEX(ERP資料!$A:$A, MATCH(678, 輔助計算!$G$2:$G$801, 0)+1), "")), INDEX(ERP資料!$B:$B, (MATCH(679, 輔助計算!$G$2:$G$801, 0)+1)), ""), "")</f>
        <v/>
      </c>
      <c r="M680" s="17" t="n"/>
    </row>
    <row r="681">
      <c r="A681" s="10">
        <f>IFERROR(IF(AND(IFERROR(INDEX(ERP資料!$A:$A, (MATCH(680, 輔助計算!$G$2:$G$801, 0)+1)), "")&lt;&gt;"", IFERROR(INDEX(ERP資料!$A:$A, (MATCH(680, 輔助計算!$G$2:$G$801, 0)+1)), "")&lt;&gt;IFERROR(INDEX(ERP資料!$A:$A, MATCH(679, 輔助計算!$G$2:$G$801, 0)+1), "")), IFERROR(INDEX(ERP資料!$A:$A, (MATCH(680, 輔助計算!$G$2:$G$801, 0)+1)), ""), ""), "")</f>
        <v/>
      </c>
      <c r="B681" s="10">
        <f>IFERROR(IF(AND(IFERROR(INDEX(ERP資料!$A:$A, (MATCH(680, 輔助計算!$G$2:$G$801, 0)+1)), "")&lt;&gt;"", IFERROR(INDEX(ERP資料!$A:$A, (MATCH(680, 輔助計算!$G$2:$G$801, 0)+1)), "")&lt;&gt;IFERROR(INDEX(ERP資料!$A:$A, MATCH(679, 輔助計算!$G$2:$G$801, 0)+1), "")), INDEX(ERP資料!$S:$S, (MATCH(680, 輔助計算!$G$2:$G$801, 0)+1)), ""), "")</f>
        <v/>
      </c>
      <c r="C681" s="19">
        <f>IFERROR(IF(AND(IFERROR(INDEX(ERP資料!$A:$A, (MATCH(680, 輔助計算!$G$2:$G$801, 0)+1)), "")&lt;&gt;"", IFERROR(INDEX(ERP資料!$A:$A, (MATCH(680, 輔助計算!$G$2:$G$801, 0)+1)), "")&lt;&gt;IFERROR(INDEX(ERP資料!$A:$A, MATCH(679, 輔助計算!$G$2:$G$801, 0)+1), "")), IFERROR(VLOOKUP(LEFT(INDEX(ERP資料!$S:$S, (MATCH(680, 輔助計算!$G$2:$G$801, 0)+1)), 4), 紙管對照表!$A:$C, 3, FALSE), ""), ""), "")</f>
        <v/>
      </c>
      <c r="D681" s="16" t="n"/>
      <c r="E681" s="10">
        <f>IFERROR(IF(INDEX(ERP資料!$H:$H, (MATCH(680, 輔助計算!$G$2:$G$801, 0)+1))="","",INDEX(ERP資料!$H:$H, (MATCH(680, 輔助計算!$G$2:$G$801, 0)+1))), "")</f>
        <v/>
      </c>
      <c r="F681" s="10">
        <f>IFERROR(IF(INDEX(ERP資料!$E:$E, (MATCH(680, 輔助計算!$G$2:$G$801, 0)+1))="","",TRIM(INDEX(ERP資料!$E:$E, (MATCH(680, 輔助計算!$G$2:$G$801, 0)+1)))), "")</f>
        <v/>
      </c>
      <c r="G681" s="10">
        <f>IFERROR(IF(INDEX(ERP資料!$F:$F, (MATCH(680, 輔助計算!$G$2:$G$801, 0)+1))="","",INDEX(ERP資料!$F:$F, (MATCH(680, 輔助計算!$G$2:$G$801, 0)+1))), "")</f>
        <v/>
      </c>
      <c r="H681" s="10">
        <f>IFERROR(IF(INDEX(ERP資料!$G:$G, (MATCH(680, 輔助計算!$G$2:$G$801, 0)+1))="","",INDEX(ERP資料!$G:$G, (MATCH(680, 輔助計算!$G$2:$G$801, 0)+1))), "")</f>
        <v/>
      </c>
      <c r="I681" s="15">
        <f>IFERROR(INDEX(輔助計算!$D:$D, (MATCH(680, 輔助計算!$G$2:$G$801, 0)+1)), "")</f>
        <v/>
      </c>
      <c r="J681" s="15">
        <f>IFERROR(IF(AND(INDEX(輔助計算!$D:$D, (MATCH(680, 輔助計算!$G$2:$G$801, 0)+1))&lt;&gt;"", INDEX(ERP資料!$G:$G, (MATCH(680, 輔助計算!$G$2:$G$801, 0)+1))&lt;&gt;""), TRIM(IF(INT(INDEX(輔助計算!$D:$D, (MATCH(680, 輔助計算!$G$2:$G$801, 0)+1))/IF(INDEX(ERP資料!$G:$G, (MATCH(680, 輔助計算!$G$2:$G$801, 0)+1))&lt;100, IF(INDEX(ERP資料!$G:$G, (MATCH(680, 輔助計算!$G$2:$G$801, 0)+1))&lt;=31,3,IF(INDEX(ERP資料!$G:$G, (MATCH(680, 輔助計算!$G$2:$G$801, 0)+1))&lt;=46.5,2,1)), IF(INDEX(ERP資料!$G:$G, (MATCH(680, 輔助計算!$G$2:$G$801, 0)+1))&lt;=790,3,IF(INDEX(ERP資料!$G:$G, (MATCH(680, 輔助計算!$G$2:$G$801, 0)+1))&lt;=1181,2,1))))&gt;0, IF(IF(INDEX(ERP資料!$G:$G, (MATCH(680, 輔助計算!$G$2:$G$801, 0)+1))&lt;100, IF(INDEX(ERP資料!$G:$G, (MATCH(680, 輔助計算!$G$2:$G$801, 0)+1))&lt;=31,3,IF(INDEX(ERP資料!$G:$G, (MATCH(680, 輔助計算!$G$2:$G$801, 0)+1))&lt;=46.5,2,1)), IF(INDEX(ERP資料!$G:$G, (MATCH(680, 輔助計算!$G$2:$G$801, 0)+1))&lt;=790,3,IF(INDEX(ERP資料!$G:$G, (MATCH(680, 輔助計算!$G$2:$G$801, 0)+1))&lt;=1181,2,1)))=1,TEXT(INDEX(ERP資料!$G:$G, (MATCH(680, 輔助計算!$G$2:$G$801, 0)+1)),"0.##"),IF(IF(INDEX(ERP資料!$G:$G, (MATCH(680, 輔助計算!$G$2:$G$801, 0)+1))&lt;100, IF(INDEX(ERP資料!$G:$G, (MATCH(680, 輔助計算!$G$2:$G$801, 0)+1))&lt;=31,3,IF(INDEX(ERP資料!$G:$G, (MATCH(680, 輔助計算!$G$2:$G$801, 0)+1))&lt;=46.5,2,1)), IF(INDEX(ERP資料!$G:$G, (MATCH(680, 輔助計算!$G$2:$G$801, 0)+1))&lt;=790,3,IF(INDEX(ERP資料!$G:$G, (MATCH(680, 輔助計算!$G$2:$G$801, 0)+1))&lt;=1181,2,1)))=2,TEXT(INDEX(ERP資料!$G:$G, (MATCH(680, 輔助計算!$G$2:$G$801, 0)+1)),"0.##")&amp;"+"&amp;TEXT(INDEX(ERP資料!$G:$G, (MATCH(680, 輔助計算!$G$2:$G$801, 0)+1)),"0.##"),TEXT(INDEX(ERP資料!$G:$G, (MATCH(680, 輔助計算!$G$2:$G$801, 0)+1)),"0.##")&amp;"+"&amp;TEXT(INDEX(ERP資料!$G:$G, (MATCH(680, 輔助計算!$G$2:$G$801, 0)+1)),"0.##")&amp;"+"&amp;TEXT(INDEX(ERP資料!$G:$G, (MATCH(680, 輔助計算!$G$2:$G$801, 0)+1)),"0.##")))&amp;"-"&amp;INT(INDEX(輔助計算!$D:$D, (MATCH(680, 輔助計算!$G$2:$G$801, 0)+1))/IF(INDEX(ERP資料!$G:$G, (MATCH(680, 輔助計算!$G$2:$G$801, 0)+1))&lt;100, IF(INDEX(ERP資料!$G:$G, (MATCH(680, 輔助計算!$G$2:$G$801, 0)+1))&lt;=31,3,IF(INDEX(ERP資料!$G:$G, (MATCH(680, 輔助計算!$G$2:$G$801, 0)+1))&lt;=46.5,2,1)), IF(INDEX(ERP資料!$G:$G, (MATCH(680, 輔助計算!$G$2:$G$801, 0)+1))&lt;=790,3,IF(INDEX(ERP資料!$G:$G, (MATCH(680, 輔助計算!$G$2:$G$801, 0)+1))&lt;=1181,2,1)))), "")&amp;IF(AND(IF(INT(INDEX(輔助計算!$D:$D, (MATCH(680, 輔助計算!$G$2:$G$801, 0)+1))/IF(INDEX(ERP資料!$G:$G, (MATCH(680, 輔助計算!$G$2:$G$801, 0)+1))&lt;100, IF(INDEX(ERP資料!$G:$G, (MATCH(680, 輔助計算!$G$2:$G$801, 0)+1))&lt;=31,3,IF(INDEX(ERP資料!$G:$G, (MATCH(680, 輔助計算!$G$2:$G$801, 0)+1))&lt;=46.5,2,1)), IF(INDEX(ERP資料!$G:$G, (MATCH(680, 輔助計算!$G$2:$G$801, 0)+1))&lt;=790,3,IF(INDEX(ERP資料!$G:$G, (MATCH(680, 輔助計算!$G$2:$G$801, 0)+1))&lt;=1181,2,1))))&gt;0, IF(IF(INDEX(ERP資料!$G:$G, (MATCH(680, 輔助計算!$G$2:$G$801, 0)+1))&lt;100, IF(INDEX(ERP資料!$G:$G, (MATCH(680, 輔助計算!$G$2:$G$801, 0)+1))&lt;=31,3,IF(INDEX(ERP資料!$G:$G, (MATCH(680, 輔助計算!$G$2:$G$801, 0)+1))&lt;=46.5,2,1)), IF(INDEX(ERP資料!$G:$G, (MATCH(680, 輔助計算!$G$2:$G$801, 0)+1))&lt;=790,3,IF(INDEX(ERP資料!$G:$G, (MATCH(680, 輔助計算!$G$2:$G$801, 0)+1))&lt;=1181,2,1)))=1,TEXT(INDEX(ERP資料!$G:$G, (MATCH(680, 輔助計算!$G$2:$G$801, 0)+1)),"0.##"),IF(IF(INDEX(ERP資料!$G:$G, (MATCH(680, 輔助計算!$G$2:$G$801, 0)+1))&lt;100, IF(INDEX(ERP資料!$G:$G, (MATCH(680, 輔助計算!$G$2:$G$801, 0)+1))&lt;=31,3,IF(INDEX(ERP資料!$G:$G, (MATCH(680, 輔助計算!$G$2:$G$801, 0)+1))&lt;=46.5,2,1)), IF(INDEX(ERP資料!$G:$G, (MATCH(680, 輔助計算!$G$2:$G$801, 0)+1))&lt;=790,3,IF(INDEX(ERP資料!$G:$G, (MATCH(680, 輔助計算!$G$2:$G$801, 0)+1))&lt;=1181,2,1)))=2,TEXT(INDEX(ERP資料!$G:$G, (MATCH(680, 輔助計算!$G$2:$G$801, 0)+1)),"0.##")&amp;"+"&amp;TEXT(INDEX(ERP資料!$G:$G, (MATCH(680, 輔助計算!$G$2:$G$801, 0)+1)),"0.##"),TEXT(INDEX(ERP資料!$G:$G, (MATCH(680, 輔助計算!$G$2:$G$801, 0)+1)),"0.##")&amp;"+"&amp;TEXT(INDEX(ERP資料!$G:$G, (MATCH(680, 輔助計算!$G$2:$G$801, 0)+1)),"0.##")&amp;"+"&amp;TEXT(INDEX(ERP資料!$G:$G, (MATCH(680, 輔助計算!$G$2:$G$801, 0)+1)),"0.##")))&amp;"-"&amp;INT(INDEX(輔助計算!$D:$D, (MATCH(680, 輔助計算!$G$2:$G$801, 0)+1))/IF(INDEX(ERP資料!$G:$G, (MATCH(680, 輔助計算!$G$2:$G$801, 0)+1))&lt;100, IF(INDEX(ERP資料!$G:$G, (MATCH(680, 輔助計算!$G$2:$G$801, 0)+1))&lt;=31,3,IF(INDEX(ERP資料!$G:$G, (MATCH(680, 輔助計算!$G$2:$G$801, 0)+1))&lt;=46.5,2,1)), IF(INDEX(ERP資料!$G:$G, (MATCH(680, 輔助計算!$G$2:$G$801, 0)+1))&lt;=790,3,IF(INDEX(ERP資料!$G:$G, (MATCH(680, 輔助計算!$G$2:$G$801, 0)+1))&lt;=1181,2,1)))), "")&lt;&gt;"",IF(MOD(INDEX(輔助計算!$D:$D, (MATCH(680, 輔助計算!$G$2:$G$801, 0)+1)),IF(INDEX(ERP資料!$G:$G, (MATCH(680, 輔助計算!$G$2:$G$801, 0)+1))&lt;100, IF(INDEX(ERP資料!$G:$G, (MATCH(680, 輔助計算!$G$2:$G$801, 0)+1))&lt;=31,3,IF(INDEX(ERP資料!$G:$G, (MATCH(680, 輔助計算!$G$2:$G$801, 0)+1))&lt;=46.5,2,1)), IF(INDEX(ERP資料!$G:$G, (MATCH(680, 輔助計算!$G$2:$G$801, 0)+1))&lt;=790,3,IF(INDEX(ERP資料!$G:$G, (MATCH(680, 輔助計算!$G$2:$G$801, 0)+1))&lt;=1181,2,1))))=0,"",IF(MOD(INDEX(輔助計算!$D:$D, (MATCH(680, 輔助計算!$G$2:$G$801, 0)+1)),IF(INDEX(ERP資料!$G:$G, (MATCH(680, 輔助計算!$G$2:$G$801, 0)+1))&lt;100, IF(INDEX(ERP資料!$G:$G, (MATCH(680, 輔助計算!$G$2:$G$801, 0)+1))&lt;=31,3,IF(INDEX(ERP資料!$G:$G, (MATCH(680, 輔助計算!$G$2:$G$801, 0)+1))&lt;=46.5,2,1)), IF(INDEX(ERP資料!$G:$G, (MATCH(680, 輔助計算!$G$2:$G$801, 0)+1))&lt;=790,3,IF(INDEX(ERP資料!$G:$G, (MATCH(680, 輔助計算!$G$2:$G$801, 0)+1))&lt;=1181,2,1))))=0,"",IF(MOD(INDEX(輔助計算!$D:$D, (MATCH(680, 輔助計算!$G$2:$G$801, 0)+1)),IF(INDEX(ERP資料!$G:$G, (MATCH(680, 輔助計算!$G$2:$G$801, 0)+1))&lt;100, IF(INDEX(ERP資料!$G:$G, (MATCH(680, 輔助計算!$G$2:$G$801, 0)+1))&lt;=31,3,IF(INDEX(ERP資料!$G:$G, (MATCH(680, 輔助計算!$G$2:$G$801, 0)+1))&lt;=46.5,2,1)), IF(INDEX(ERP資料!$G:$G, (MATCH(680, 輔助計算!$G$2:$G$801, 0)+1))&lt;=790,3,IF(INDEX(ERP資料!$G:$G, (MATCH(680, 輔助計算!$G$2:$G$801, 0)+1))&lt;=1181,2,1))))=1,TEXT(INDEX(ERP資料!$G:$G, (MATCH(680, 輔助計算!$G$2:$G$801, 0)+1)),"0.##"),IF(MOD(INDEX(輔助計算!$D:$D, (MATCH(680, 輔助計算!$G$2:$G$801, 0)+1)),IF(INDEX(ERP資料!$G:$G, (MATCH(680, 輔助計算!$G$2:$G$801, 0)+1))&lt;100, IF(INDEX(ERP資料!$G:$G, (MATCH(680, 輔助計算!$G$2:$G$801, 0)+1))&lt;=31,3,IF(INDEX(ERP資料!$G:$G, (MATCH(680, 輔助計算!$G$2:$G$801, 0)+1))&lt;=46.5,2,1)), IF(INDEX(ERP資料!$G:$G, (MATCH(680, 輔助計算!$G$2:$G$801, 0)+1))&lt;=790,3,IF(INDEX(ERP資料!$G:$G, (MATCH(680, 輔助計算!$G$2:$G$801, 0)+1))&lt;=1181,2,1))))=2,TEXT(INDEX(ERP資料!$G:$G, (MATCH(680, 輔助計算!$G$2:$G$801, 0)+1)),"0.##")&amp;"+"&amp;TEXT(INDEX(ERP資料!$G:$G, (MATCH(680, 輔助計算!$G$2:$G$801, 0)+1)),"0.##"),TEXT(INDEX(ERP資料!$G:$G, (MATCH(680, 輔助計算!$G$2:$G$801, 0)+1)),"0.##")&amp;"+"&amp;TEXT(INDEX(ERP資料!$G:$G, (MATCH(680, 輔助計算!$G$2:$G$801, 0)+1)),"0.##")&amp;"+"&amp;TEXT(INDEX(ERP資料!$G:$G, (MATCH(680, 輔助計算!$G$2:$G$801, 0)+1)),"0.##"))))&amp;"-1")&lt;&gt;""),"  ","")&amp;IF(MOD(INDEX(輔助計算!$D:$D, (MATCH(680, 輔助計算!$G$2:$G$801, 0)+1)),IF(INDEX(ERP資料!$G:$G, (MATCH(680, 輔助計算!$G$2:$G$801, 0)+1))&lt;100, IF(INDEX(ERP資料!$G:$G, (MATCH(680, 輔助計算!$G$2:$G$801, 0)+1))&lt;=31,3,IF(INDEX(ERP資料!$G:$G, (MATCH(680, 輔助計算!$G$2:$G$801, 0)+1))&lt;=46.5,2,1)), IF(INDEX(ERP資料!$G:$G, (MATCH(680, 輔助計算!$G$2:$G$801, 0)+1))&lt;=790,3,IF(INDEX(ERP資料!$G:$G, (MATCH(680, 輔助計算!$G$2:$G$801, 0)+1))&lt;=1181,2,1))))=0,"",IF(MOD(INDEX(輔助計算!$D:$D, (MATCH(680, 輔助計算!$G$2:$G$801, 0)+1)),IF(INDEX(ERP資料!$G:$G, (MATCH(680, 輔助計算!$G$2:$G$801, 0)+1))&lt;100, IF(INDEX(ERP資料!$G:$G, (MATCH(680, 輔助計算!$G$2:$G$801, 0)+1))&lt;=31,3,IF(INDEX(ERP資料!$G:$G, (MATCH(680, 輔助計算!$G$2:$G$801, 0)+1))&lt;=46.5,2,1)), IF(INDEX(ERP資料!$G:$G, (MATCH(680, 輔助計算!$G$2:$G$801, 0)+1))&lt;=790,3,IF(INDEX(ERP資料!$G:$G, (MATCH(680, 輔助計算!$G$2:$G$801, 0)+1))&lt;=1181,2,1))))=0,"",IF(MOD(INDEX(輔助計算!$D:$D, (MATCH(680, 輔助計算!$G$2:$G$801, 0)+1)),IF(INDEX(ERP資料!$G:$G, (MATCH(680, 輔助計算!$G$2:$G$801, 0)+1))&lt;100, IF(INDEX(ERP資料!$G:$G, (MATCH(680, 輔助計算!$G$2:$G$801, 0)+1))&lt;=31,3,IF(INDEX(ERP資料!$G:$G, (MATCH(680, 輔助計算!$G$2:$G$801, 0)+1))&lt;=46.5,2,1)), IF(INDEX(ERP資料!$G:$G, (MATCH(680, 輔助計算!$G$2:$G$801, 0)+1))&lt;=790,3,IF(INDEX(ERP資料!$G:$G, (MATCH(680, 輔助計算!$G$2:$G$801, 0)+1))&lt;=1181,2,1))))=1,TEXT(INDEX(ERP資料!$G:$G, (MATCH(680, 輔助計算!$G$2:$G$801, 0)+1)),"0.##"),IF(MOD(INDEX(輔助計算!$D:$D, (MATCH(680, 輔助計算!$G$2:$G$801, 0)+1)),IF(INDEX(ERP資料!$G:$G, (MATCH(680, 輔助計算!$G$2:$G$801, 0)+1))&lt;100, IF(INDEX(ERP資料!$G:$G, (MATCH(680, 輔助計算!$G$2:$G$801, 0)+1))&lt;=31,3,IF(INDEX(ERP資料!$G:$G, (MATCH(680, 輔助計算!$G$2:$G$801, 0)+1))&lt;=46.5,2,1)), IF(INDEX(ERP資料!$G:$G, (MATCH(680, 輔助計算!$G$2:$G$801, 0)+1))&lt;=790,3,IF(INDEX(ERP資料!$G:$G, (MATCH(680, 輔助計算!$G$2:$G$801, 0)+1))&lt;=1181,2,1))))=2,TEXT(INDEX(ERP資料!$G:$G, (MATCH(680, 輔助計算!$G$2:$G$801, 0)+1)),"0.##")&amp;"+"&amp;TEXT(INDEX(ERP資料!$G:$G, (MATCH(680, 輔助計算!$G$2:$G$801, 0)+1)),"0.##"),TEXT(INDEX(ERP資料!$G:$G, (MATCH(680, 輔助計算!$G$2:$G$801, 0)+1)),"0.##")&amp;"+"&amp;TEXT(INDEX(ERP資料!$G:$G, (MATCH(680, 輔助計算!$G$2:$G$801, 0)+1)),"0.##")&amp;"+"&amp;TEXT(INDEX(ERP資料!$G:$G, (MATCH(680, 輔助計算!$G$2:$G$801, 0)+1)),"0.##"))))&amp;"-1")), ""), "")</f>
        <v/>
      </c>
      <c r="K681" s="16" t="n"/>
      <c r="L681" s="14">
        <f>IFERROR(IF(AND(IFERROR(INDEX(ERP資料!$A:$A, (MATCH(680, 輔助計算!$G$2:$G$801, 0)+1)), "")&lt;&gt;"", IFERROR(INDEX(ERP資料!$A:$A, (MATCH(680, 輔助計算!$G$2:$G$801, 0)+1)), "")&lt;&gt;IFERROR(INDEX(ERP資料!$A:$A, MATCH(679, 輔助計算!$G$2:$G$801, 0)+1), "")), INDEX(ERP資料!$B:$B, (MATCH(680, 輔助計算!$G$2:$G$801, 0)+1)), ""), "")</f>
        <v/>
      </c>
      <c r="M681" s="17" t="n"/>
    </row>
    <row r="682">
      <c r="A682" s="10">
        <f>IFERROR(IF(AND(IFERROR(INDEX(ERP資料!$A:$A, (MATCH(681, 輔助計算!$G$2:$G$801, 0)+1)), "")&lt;&gt;"", IFERROR(INDEX(ERP資料!$A:$A, (MATCH(681, 輔助計算!$G$2:$G$801, 0)+1)), "")&lt;&gt;IFERROR(INDEX(ERP資料!$A:$A, MATCH(680, 輔助計算!$G$2:$G$801, 0)+1), "")), IFERROR(INDEX(ERP資料!$A:$A, (MATCH(681, 輔助計算!$G$2:$G$801, 0)+1)), ""), ""), "")</f>
        <v/>
      </c>
      <c r="B682" s="10">
        <f>IFERROR(IF(AND(IFERROR(INDEX(ERP資料!$A:$A, (MATCH(681, 輔助計算!$G$2:$G$801, 0)+1)), "")&lt;&gt;"", IFERROR(INDEX(ERP資料!$A:$A, (MATCH(681, 輔助計算!$G$2:$G$801, 0)+1)), "")&lt;&gt;IFERROR(INDEX(ERP資料!$A:$A, MATCH(680, 輔助計算!$G$2:$G$801, 0)+1), "")), INDEX(ERP資料!$S:$S, (MATCH(681, 輔助計算!$G$2:$G$801, 0)+1)), ""), "")</f>
        <v/>
      </c>
      <c r="C682" s="19">
        <f>IFERROR(IF(AND(IFERROR(INDEX(ERP資料!$A:$A, (MATCH(681, 輔助計算!$G$2:$G$801, 0)+1)), "")&lt;&gt;"", IFERROR(INDEX(ERP資料!$A:$A, (MATCH(681, 輔助計算!$G$2:$G$801, 0)+1)), "")&lt;&gt;IFERROR(INDEX(ERP資料!$A:$A, MATCH(680, 輔助計算!$G$2:$G$801, 0)+1), "")), IFERROR(VLOOKUP(LEFT(INDEX(ERP資料!$S:$S, (MATCH(681, 輔助計算!$G$2:$G$801, 0)+1)), 4), 紙管對照表!$A:$C, 3, FALSE), ""), ""), "")</f>
        <v/>
      </c>
      <c r="D682" s="16" t="n"/>
      <c r="E682" s="10">
        <f>IFERROR(IF(INDEX(ERP資料!$H:$H, (MATCH(681, 輔助計算!$G$2:$G$801, 0)+1))="","",INDEX(ERP資料!$H:$H, (MATCH(681, 輔助計算!$G$2:$G$801, 0)+1))), "")</f>
        <v/>
      </c>
      <c r="F682" s="10">
        <f>IFERROR(IF(INDEX(ERP資料!$E:$E, (MATCH(681, 輔助計算!$G$2:$G$801, 0)+1))="","",TRIM(INDEX(ERP資料!$E:$E, (MATCH(681, 輔助計算!$G$2:$G$801, 0)+1)))), "")</f>
        <v/>
      </c>
      <c r="G682" s="10">
        <f>IFERROR(IF(INDEX(ERP資料!$F:$F, (MATCH(681, 輔助計算!$G$2:$G$801, 0)+1))="","",INDEX(ERP資料!$F:$F, (MATCH(681, 輔助計算!$G$2:$G$801, 0)+1))), "")</f>
        <v/>
      </c>
      <c r="H682" s="10">
        <f>IFERROR(IF(INDEX(ERP資料!$G:$G, (MATCH(681, 輔助計算!$G$2:$G$801, 0)+1))="","",INDEX(ERP資料!$G:$G, (MATCH(681, 輔助計算!$G$2:$G$801, 0)+1))), "")</f>
        <v/>
      </c>
      <c r="I682" s="15">
        <f>IFERROR(INDEX(輔助計算!$D:$D, (MATCH(681, 輔助計算!$G$2:$G$801, 0)+1)), "")</f>
        <v/>
      </c>
      <c r="J682" s="15">
        <f>IFERROR(IF(AND(INDEX(輔助計算!$D:$D, (MATCH(681, 輔助計算!$G$2:$G$801, 0)+1))&lt;&gt;"", INDEX(ERP資料!$G:$G, (MATCH(681, 輔助計算!$G$2:$G$801, 0)+1))&lt;&gt;""), TRIM(IF(INT(INDEX(輔助計算!$D:$D, (MATCH(681, 輔助計算!$G$2:$G$801, 0)+1))/IF(INDEX(ERP資料!$G:$G, (MATCH(681, 輔助計算!$G$2:$G$801, 0)+1))&lt;100, IF(INDEX(ERP資料!$G:$G, (MATCH(681, 輔助計算!$G$2:$G$801, 0)+1))&lt;=31,3,IF(INDEX(ERP資料!$G:$G, (MATCH(681, 輔助計算!$G$2:$G$801, 0)+1))&lt;=46.5,2,1)), IF(INDEX(ERP資料!$G:$G, (MATCH(681, 輔助計算!$G$2:$G$801, 0)+1))&lt;=790,3,IF(INDEX(ERP資料!$G:$G, (MATCH(681, 輔助計算!$G$2:$G$801, 0)+1))&lt;=1181,2,1))))&gt;0, IF(IF(INDEX(ERP資料!$G:$G, (MATCH(681, 輔助計算!$G$2:$G$801, 0)+1))&lt;100, IF(INDEX(ERP資料!$G:$G, (MATCH(681, 輔助計算!$G$2:$G$801, 0)+1))&lt;=31,3,IF(INDEX(ERP資料!$G:$G, (MATCH(681, 輔助計算!$G$2:$G$801, 0)+1))&lt;=46.5,2,1)), IF(INDEX(ERP資料!$G:$G, (MATCH(681, 輔助計算!$G$2:$G$801, 0)+1))&lt;=790,3,IF(INDEX(ERP資料!$G:$G, (MATCH(681, 輔助計算!$G$2:$G$801, 0)+1))&lt;=1181,2,1)))=1,TEXT(INDEX(ERP資料!$G:$G, (MATCH(681, 輔助計算!$G$2:$G$801, 0)+1)),"0.##"),IF(IF(INDEX(ERP資料!$G:$G, (MATCH(681, 輔助計算!$G$2:$G$801, 0)+1))&lt;100, IF(INDEX(ERP資料!$G:$G, (MATCH(681, 輔助計算!$G$2:$G$801, 0)+1))&lt;=31,3,IF(INDEX(ERP資料!$G:$G, (MATCH(681, 輔助計算!$G$2:$G$801, 0)+1))&lt;=46.5,2,1)), IF(INDEX(ERP資料!$G:$G, (MATCH(681, 輔助計算!$G$2:$G$801, 0)+1))&lt;=790,3,IF(INDEX(ERP資料!$G:$G, (MATCH(681, 輔助計算!$G$2:$G$801, 0)+1))&lt;=1181,2,1)))=2,TEXT(INDEX(ERP資料!$G:$G, (MATCH(681, 輔助計算!$G$2:$G$801, 0)+1)),"0.##")&amp;"+"&amp;TEXT(INDEX(ERP資料!$G:$G, (MATCH(681, 輔助計算!$G$2:$G$801, 0)+1)),"0.##"),TEXT(INDEX(ERP資料!$G:$G, (MATCH(681, 輔助計算!$G$2:$G$801, 0)+1)),"0.##")&amp;"+"&amp;TEXT(INDEX(ERP資料!$G:$G, (MATCH(681, 輔助計算!$G$2:$G$801, 0)+1)),"0.##")&amp;"+"&amp;TEXT(INDEX(ERP資料!$G:$G, (MATCH(681, 輔助計算!$G$2:$G$801, 0)+1)),"0.##")))&amp;"-"&amp;INT(INDEX(輔助計算!$D:$D, (MATCH(681, 輔助計算!$G$2:$G$801, 0)+1))/IF(INDEX(ERP資料!$G:$G, (MATCH(681, 輔助計算!$G$2:$G$801, 0)+1))&lt;100, IF(INDEX(ERP資料!$G:$G, (MATCH(681, 輔助計算!$G$2:$G$801, 0)+1))&lt;=31,3,IF(INDEX(ERP資料!$G:$G, (MATCH(681, 輔助計算!$G$2:$G$801, 0)+1))&lt;=46.5,2,1)), IF(INDEX(ERP資料!$G:$G, (MATCH(681, 輔助計算!$G$2:$G$801, 0)+1))&lt;=790,3,IF(INDEX(ERP資料!$G:$G, (MATCH(681, 輔助計算!$G$2:$G$801, 0)+1))&lt;=1181,2,1)))), "")&amp;IF(AND(IF(INT(INDEX(輔助計算!$D:$D, (MATCH(681, 輔助計算!$G$2:$G$801, 0)+1))/IF(INDEX(ERP資料!$G:$G, (MATCH(681, 輔助計算!$G$2:$G$801, 0)+1))&lt;100, IF(INDEX(ERP資料!$G:$G, (MATCH(681, 輔助計算!$G$2:$G$801, 0)+1))&lt;=31,3,IF(INDEX(ERP資料!$G:$G, (MATCH(681, 輔助計算!$G$2:$G$801, 0)+1))&lt;=46.5,2,1)), IF(INDEX(ERP資料!$G:$G, (MATCH(681, 輔助計算!$G$2:$G$801, 0)+1))&lt;=790,3,IF(INDEX(ERP資料!$G:$G, (MATCH(681, 輔助計算!$G$2:$G$801, 0)+1))&lt;=1181,2,1))))&gt;0, IF(IF(INDEX(ERP資料!$G:$G, (MATCH(681, 輔助計算!$G$2:$G$801, 0)+1))&lt;100, IF(INDEX(ERP資料!$G:$G, (MATCH(681, 輔助計算!$G$2:$G$801, 0)+1))&lt;=31,3,IF(INDEX(ERP資料!$G:$G, (MATCH(681, 輔助計算!$G$2:$G$801, 0)+1))&lt;=46.5,2,1)), IF(INDEX(ERP資料!$G:$G, (MATCH(681, 輔助計算!$G$2:$G$801, 0)+1))&lt;=790,3,IF(INDEX(ERP資料!$G:$G, (MATCH(681, 輔助計算!$G$2:$G$801, 0)+1))&lt;=1181,2,1)))=1,TEXT(INDEX(ERP資料!$G:$G, (MATCH(681, 輔助計算!$G$2:$G$801, 0)+1)),"0.##"),IF(IF(INDEX(ERP資料!$G:$G, (MATCH(681, 輔助計算!$G$2:$G$801, 0)+1))&lt;100, IF(INDEX(ERP資料!$G:$G, (MATCH(681, 輔助計算!$G$2:$G$801, 0)+1))&lt;=31,3,IF(INDEX(ERP資料!$G:$G, (MATCH(681, 輔助計算!$G$2:$G$801, 0)+1))&lt;=46.5,2,1)), IF(INDEX(ERP資料!$G:$G, (MATCH(681, 輔助計算!$G$2:$G$801, 0)+1))&lt;=790,3,IF(INDEX(ERP資料!$G:$G, (MATCH(681, 輔助計算!$G$2:$G$801, 0)+1))&lt;=1181,2,1)))=2,TEXT(INDEX(ERP資料!$G:$G, (MATCH(681, 輔助計算!$G$2:$G$801, 0)+1)),"0.##")&amp;"+"&amp;TEXT(INDEX(ERP資料!$G:$G, (MATCH(681, 輔助計算!$G$2:$G$801, 0)+1)),"0.##"),TEXT(INDEX(ERP資料!$G:$G, (MATCH(681, 輔助計算!$G$2:$G$801, 0)+1)),"0.##")&amp;"+"&amp;TEXT(INDEX(ERP資料!$G:$G, (MATCH(681, 輔助計算!$G$2:$G$801, 0)+1)),"0.##")&amp;"+"&amp;TEXT(INDEX(ERP資料!$G:$G, (MATCH(681, 輔助計算!$G$2:$G$801, 0)+1)),"0.##")))&amp;"-"&amp;INT(INDEX(輔助計算!$D:$D, (MATCH(681, 輔助計算!$G$2:$G$801, 0)+1))/IF(INDEX(ERP資料!$G:$G, (MATCH(681, 輔助計算!$G$2:$G$801, 0)+1))&lt;100, IF(INDEX(ERP資料!$G:$G, (MATCH(681, 輔助計算!$G$2:$G$801, 0)+1))&lt;=31,3,IF(INDEX(ERP資料!$G:$G, (MATCH(681, 輔助計算!$G$2:$G$801, 0)+1))&lt;=46.5,2,1)), IF(INDEX(ERP資料!$G:$G, (MATCH(681, 輔助計算!$G$2:$G$801, 0)+1))&lt;=790,3,IF(INDEX(ERP資料!$G:$G, (MATCH(681, 輔助計算!$G$2:$G$801, 0)+1))&lt;=1181,2,1)))), "")&lt;&gt;"",IF(MOD(INDEX(輔助計算!$D:$D, (MATCH(681, 輔助計算!$G$2:$G$801, 0)+1)),IF(INDEX(ERP資料!$G:$G, (MATCH(681, 輔助計算!$G$2:$G$801, 0)+1))&lt;100, IF(INDEX(ERP資料!$G:$G, (MATCH(681, 輔助計算!$G$2:$G$801, 0)+1))&lt;=31,3,IF(INDEX(ERP資料!$G:$G, (MATCH(681, 輔助計算!$G$2:$G$801, 0)+1))&lt;=46.5,2,1)), IF(INDEX(ERP資料!$G:$G, (MATCH(681, 輔助計算!$G$2:$G$801, 0)+1))&lt;=790,3,IF(INDEX(ERP資料!$G:$G, (MATCH(681, 輔助計算!$G$2:$G$801, 0)+1))&lt;=1181,2,1))))=0,"",IF(MOD(INDEX(輔助計算!$D:$D, (MATCH(681, 輔助計算!$G$2:$G$801, 0)+1)),IF(INDEX(ERP資料!$G:$G, (MATCH(681, 輔助計算!$G$2:$G$801, 0)+1))&lt;100, IF(INDEX(ERP資料!$G:$G, (MATCH(681, 輔助計算!$G$2:$G$801, 0)+1))&lt;=31,3,IF(INDEX(ERP資料!$G:$G, (MATCH(681, 輔助計算!$G$2:$G$801, 0)+1))&lt;=46.5,2,1)), IF(INDEX(ERP資料!$G:$G, (MATCH(681, 輔助計算!$G$2:$G$801, 0)+1))&lt;=790,3,IF(INDEX(ERP資料!$G:$G, (MATCH(681, 輔助計算!$G$2:$G$801, 0)+1))&lt;=1181,2,1))))=0,"",IF(MOD(INDEX(輔助計算!$D:$D, (MATCH(681, 輔助計算!$G$2:$G$801, 0)+1)),IF(INDEX(ERP資料!$G:$G, (MATCH(681, 輔助計算!$G$2:$G$801, 0)+1))&lt;100, IF(INDEX(ERP資料!$G:$G, (MATCH(681, 輔助計算!$G$2:$G$801, 0)+1))&lt;=31,3,IF(INDEX(ERP資料!$G:$G, (MATCH(681, 輔助計算!$G$2:$G$801, 0)+1))&lt;=46.5,2,1)), IF(INDEX(ERP資料!$G:$G, (MATCH(681, 輔助計算!$G$2:$G$801, 0)+1))&lt;=790,3,IF(INDEX(ERP資料!$G:$G, (MATCH(681, 輔助計算!$G$2:$G$801, 0)+1))&lt;=1181,2,1))))=1,TEXT(INDEX(ERP資料!$G:$G, (MATCH(681, 輔助計算!$G$2:$G$801, 0)+1)),"0.##"),IF(MOD(INDEX(輔助計算!$D:$D, (MATCH(681, 輔助計算!$G$2:$G$801, 0)+1)),IF(INDEX(ERP資料!$G:$G, (MATCH(681, 輔助計算!$G$2:$G$801, 0)+1))&lt;100, IF(INDEX(ERP資料!$G:$G, (MATCH(681, 輔助計算!$G$2:$G$801, 0)+1))&lt;=31,3,IF(INDEX(ERP資料!$G:$G, (MATCH(681, 輔助計算!$G$2:$G$801, 0)+1))&lt;=46.5,2,1)), IF(INDEX(ERP資料!$G:$G, (MATCH(681, 輔助計算!$G$2:$G$801, 0)+1))&lt;=790,3,IF(INDEX(ERP資料!$G:$G, (MATCH(681, 輔助計算!$G$2:$G$801, 0)+1))&lt;=1181,2,1))))=2,TEXT(INDEX(ERP資料!$G:$G, (MATCH(681, 輔助計算!$G$2:$G$801, 0)+1)),"0.##")&amp;"+"&amp;TEXT(INDEX(ERP資料!$G:$G, (MATCH(681, 輔助計算!$G$2:$G$801, 0)+1)),"0.##"),TEXT(INDEX(ERP資料!$G:$G, (MATCH(681, 輔助計算!$G$2:$G$801, 0)+1)),"0.##")&amp;"+"&amp;TEXT(INDEX(ERP資料!$G:$G, (MATCH(681, 輔助計算!$G$2:$G$801, 0)+1)),"0.##")&amp;"+"&amp;TEXT(INDEX(ERP資料!$G:$G, (MATCH(681, 輔助計算!$G$2:$G$801, 0)+1)),"0.##"))))&amp;"-1")&lt;&gt;""),"  ","")&amp;IF(MOD(INDEX(輔助計算!$D:$D, (MATCH(681, 輔助計算!$G$2:$G$801, 0)+1)),IF(INDEX(ERP資料!$G:$G, (MATCH(681, 輔助計算!$G$2:$G$801, 0)+1))&lt;100, IF(INDEX(ERP資料!$G:$G, (MATCH(681, 輔助計算!$G$2:$G$801, 0)+1))&lt;=31,3,IF(INDEX(ERP資料!$G:$G, (MATCH(681, 輔助計算!$G$2:$G$801, 0)+1))&lt;=46.5,2,1)), IF(INDEX(ERP資料!$G:$G, (MATCH(681, 輔助計算!$G$2:$G$801, 0)+1))&lt;=790,3,IF(INDEX(ERP資料!$G:$G, (MATCH(681, 輔助計算!$G$2:$G$801, 0)+1))&lt;=1181,2,1))))=0,"",IF(MOD(INDEX(輔助計算!$D:$D, (MATCH(681, 輔助計算!$G$2:$G$801, 0)+1)),IF(INDEX(ERP資料!$G:$G, (MATCH(681, 輔助計算!$G$2:$G$801, 0)+1))&lt;100, IF(INDEX(ERP資料!$G:$G, (MATCH(681, 輔助計算!$G$2:$G$801, 0)+1))&lt;=31,3,IF(INDEX(ERP資料!$G:$G, (MATCH(681, 輔助計算!$G$2:$G$801, 0)+1))&lt;=46.5,2,1)), IF(INDEX(ERP資料!$G:$G, (MATCH(681, 輔助計算!$G$2:$G$801, 0)+1))&lt;=790,3,IF(INDEX(ERP資料!$G:$G, (MATCH(681, 輔助計算!$G$2:$G$801, 0)+1))&lt;=1181,2,1))))=0,"",IF(MOD(INDEX(輔助計算!$D:$D, (MATCH(681, 輔助計算!$G$2:$G$801, 0)+1)),IF(INDEX(ERP資料!$G:$G, (MATCH(681, 輔助計算!$G$2:$G$801, 0)+1))&lt;100, IF(INDEX(ERP資料!$G:$G, (MATCH(681, 輔助計算!$G$2:$G$801, 0)+1))&lt;=31,3,IF(INDEX(ERP資料!$G:$G, (MATCH(681, 輔助計算!$G$2:$G$801, 0)+1))&lt;=46.5,2,1)), IF(INDEX(ERP資料!$G:$G, (MATCH(681, 輔助計算!$G$2:$G$801, 0)+1))&lt;=790,3,IF(INDEX(ERP資料!$G:$G, (MATCH(681, 輔助計算!$G$2:$G$801, 0)+1))&lt;=1181,2,1))))=1,TEXT(INDEX(ERP資料!$G:$G, (MATCH(681, 輔助計算!$G$2:$G$801, 0)+1)),"0.##"),IF(MOD(INDEX(輔助計算!$D:$D, (MATCH(681, 輔助計算!$G$2:$G$801, 0)+1)),IF(INDEX(ERP資料!$G:$G, (MATCH(681, 輔助計算!$G$2:$G$801, 0)+1))&lt;100, IF(INDEX(ERP資料!$G:$G, (MATCH(681, 輔助計算!$G$2:$G$801, 0)+1))&lt;=31,3,IF(INDEX(ERP資料!$G:$G, (MATCH(681, 輔助計算!$G$2:$G$801, 0)+1))&lt;=46.5,2,1)), IF(INDEX(ERP資料!$G:$G, (MATCH(681, 輔助計算!$G$2:$G$801, 0)+1))&lt;=790,3,IF(INDEX(ERP資料!$G:$G, (MATCH(681, 輔助計算!$G$2:$G$801, 0)+1))&lt;=1181,2,1))))=2,TEXT(INDEX(ERP資料!$G:$G, (MATCH(681, 輔助計算!$G$2:$G$801, 0)+1)),"0.##")&amp;"+"&amp;TEXT(INDEX(ERP資料!$G:$G, (MATCH(681, 輔助計算!$G$2:$G$801, 0)+1)),"0.##"),TEXT(INDEX(ERP資料!$G:$G, (MATCH(681, 輔助計算!$G$2:$G$801, 0)+1)),"0.##")&amp;"+"&amp;TEXT(INDEX(ERP資料!$G:$G, (MATCH(681, 輔助計算!$G$2:$G$801, 0)+1)),"0.##")&amp;"+"&amp;TEXT(INDEX(ERP資料!$G:$G, (MATCH(681, 輔助計算!$G$2:$G$801, 0)+1)),"0.##"))))&amp;"-1")), ""), "")</f>
        <v/>
      </c>
      <c r="K682" s="16" t="n"/>
      <c r="L682" s="14">
        <f>IFERROR(IF(AND(IFERROR(INDEX(ERP資料!$A:$A, (MATCH(681, 輔助計算!$G$2:$G$801, 0)+1)), "")&lt;&gt;"", IFERROR(INDEX(ERP資料!$A:$A, (MATCH(681, 輔助計算!$G$2:$G$801, 0)+1)), "")&lt;&gt;IFERROR(INDEX(ERP資料!$A:$A, MATCH(680, 輔助計算!$G$2:$G$801, 0)+1), "")), INDEX(ERP資料!$B:$B, (MATCH(681, 輔助計算!$G$2:$G$801, 0)+1)), ""), "")</f>
        <v/>
      </c>
      <c r="M682" s="17" t="n"/>
    </row>
    <row r="683">
      <c r="A683" s="10">
        <f>IFERROR(IF(AND(IFERROR(INDEX(ERP資料!$A:$A, (MATCH(682, 輔助計算!$G$2:$G$801, 0)+1)), "")&lt;&gt;"", IFERROR(INDEX(ERP資料!$A:$A, (MATCH(682, 輔助計算!$G$2:$G$801, 0)+1)), "")&lt;&gt;IFERROR(INDEX(ERP資料!$A:$A, MATCH(681, 輔助計算!$G$2:$G$801, 0)+1), "")), IFERROR(INDEX(ERP資料!$A:$A, (MATCH(682, 輔助計算!$G$2:$G$801, 0)+1)), ""), ""), "")</f>
        <v/>
      </c>
      <c r="B683" s="10">
        <f>IFERROR(IF(AND(IFERROR(INDEX(ERP資料!$A:$A, (MATCH(682, 輔助計算!$G$2:$G$801, 0)+1)), "")&lt;&gt;"", IFERROR(INDEX(ERP資料!$A:$A, (MATCH(682, 輔助計算!$G$2:$G$801, 0)+1)), "")&lt;&gt;IFERROR(INDEX(ERP資料!$A:$A, MATCH(681, 輔助計算!$G$2:$G$801, 0)+1), "")), INDEX(ERP資料!$S:$S, (MATCH(682, 輔助計算!$G$2:$G$801, 0)+1)), ""), "")</f>
        <v/>
      </c>
      <c r="C683" s="19">
        <f>IFERROR(IF(AND(IFERROR(INDEX(ERP資料!$A:$A, (MATCH(682, 輔助計算!$G$2:$G$801, 0)+1)), "")&lt;&gt;"", IFERROR(INDEX(ERP資料!$A:$A, (MATCH(682, 輔助計算!$G$2:$G$801, 0)+1)), "")&lt;&gt;IFERROR(INDEX(ERP資料!$A:$A, MATCH(681, 輔助計算!$G$2:$G$801, 0)+1), "")), IFERROR(VLOOKUP(LEFT(INDEX(ERP資料!$S:$S, (MATCH(682, 輔助計算!$G$2:$G$801, 0)+1)), 4), 紙管對照表!$A:$C, 3, FALSE), ""), ""), "")</f>
        <v/>
      </c>
      <c r="D683" s="16" t="n"/>
      <c r="E683" s="10">
        <f>IFERROR(IF(INDEX(ERP資料!$H:$H, (MATCH(682, 輔助計算!$G$2:$G$801, 0)+1))="","",INDEX(ERP資料!$H:$H, (MATCH(682, 輔助計算!$G$2:$G$801, 0)+1))), "")</f>
        <v/>
      </c>
      <c r="F683" s="10">
        <f>IFERROR(IF(INDEX(ERP資料!$E:$E, (MATCH(682, 輔助計算!$G$2:$G$801, 0)+1))="","",TRIM(INDEX(ERP資料!$E:$E, (MATCH(682, 輔助計算!$G$2:$G$801, 0)+1)))), "")</f>
        <v/>
      </c>
      <c r="G683" s="10">
        <f>IFERROR(IF(INDEX(ERP資料!$F:$F, (MATCH(682, 輔助計算!$G$2:$G$801, 0)+1))="","",INDEX(ERP資料!$F:$F, (MATCH(682, 輔助計算!$G$2:$G$801, 0)+1))), "")</f>
        <v/>
      </c>
      <c r="H683" s="10">
        <f>IFERROR(IF(INDEX(ERP資料!$G:$G, (MATCH(682, 輔助計算!$G$2:$G$801, 0)+1))="","",INDEX(ERP資料!$G:$G, (MATCH(682, 輔助計算!$G$2:$G$801, 0)+1))), "")</f>
        <v/>
      </c>
      <c r="I683" s="15">
        <f>IFERROR(INDEX(輔助計算!$D:$D, (MATCH(682, 輔助計算!$G$2:$G$801, 0)+1)), "")</f>
        <v/>
      </c>
      <c r="J683" s="15">
        <f>IFERROR(IF(AND(INDEX(輔助計算!$D:$D, (MATCH(682, 輔助計算!$G$2:$G$801, 0)+1))&lt;&gt;"", INDEX(ERP資料!$G:$G, (MATCH(682, 輔助計算!$G$2:$G$801, 0)+1))&lt;&gt;""), TRIM(IF(INT(INDEX(輔助計算!$D:$D, (MATCH(682, 輔助計算!$G$2:$G$801, 0)+1))/IF(INDEX(ERP資料!$G:$G, (MATCH(682, 輔助計算!$G$2:$G$801, 0)+1))&lt;100, IF(INDEX(ERP資料!$G:$G, (MATCH(682, 輔助計算!$G$2:$G$801, 0)+1))&lt;=31,3,IF(INDEX(ERP資料!$G:$G, (MATCH(682, 輔助計算!$G$2:$G$801, 0)+1))&lt;=46.5,2,1)), IF(INDEX(ERP資料!$G:$G, (MATCH(682, 輔助計算!$G$2:$G$801, 0)+1))&lt;=790,3,IF(INDEX(ERP資料!$G:$G, (MATCH(682, 輔助計算!$G$2:$G$801, 0)+1))&lt;=1181,2,1))))&gt;0, IF(IF(INDEX(ERP資料!$G:$G, (MATCH(682, 輔助計算!$G$2:$G$801, 0)+1))&lt;100, IF(INDEX(ERP資料!$G:$G, (MATCH(682, 輔助計算!$G$2:$G$801, 0)+1))&lt;=31,3,IF(INDEX(ERP資料!$G:$G, (MATCH(682, 輔助計算!$G$2:$G$801, 0)+1))&lt;=46.5,2,1)), IF(INDEX(ERP資料!$G:$G, (MATCH(682, 輔助計算!$G$2:$G$801, 0)+1))&lt;=790,3,IF(INDEX(ERP資料!$G:$G, (MATCH(682, 輔助計算!$G$2:$G$801, 0)+1))&lt;=1181,2,1)))=1,TEXT(INDEX(ERP資料!$G:$G, (MATCH(682, 輔助計算!$G$2:$G$801, 0)+1)),"0.##"),IF(IF(INDEX(ERP資料!$G:$G, (MATCH(682, 輔助計算!$G$2:$G$801, 0)+1))&lt;100, IF(INDEX(ERP資料!$G:$G, (MATCH(682, 輔助計算!$G$2:$G$801, 0)+1))&lt;=31,3,IF(INDEX(ERP資料!$G:$G, (MATCH(682, 輔助計算!$G$2:$G$801, 0)+1))&lt;=46.5,2,1)), IF(INDEX(ERP資料!$G:$G, (MATCH(682, 輔助計算!$G$2:$G$801, 0)+1))&lt;=790,3,IF(INDEX(ERP資料!$G:$G, (MATCH(682, 輔助計算!$G$2:$G$801, 0)+1))&lt;=1181,2,1)))=2,TEXT(INDEX(ERP資料!$G:$G, (MATCH(682, 輔助計算!$G$2:$G$801, 0)+1)),"0.##")&amp;"+"&amp;TEXT(INDEX(ERP資料!$G:$G, (MATCH(682, 輔助計算!$G$2:$G$801, 0)+1)),"0.##"),TEXT(INDEX(ERP資料!$G:$G, (MATCH(682, 輔助計算!$G$2:$G$801, 0)+1)),"0.##")&amp;"+"&amp;TEXT(INDEX(ERP資料!$G:$G, (MATCH(682, 輔助計算!$G$2:$G$801, 0)+1)),"0.##")&amp;"+"&amp;TEXT(INDEX(ERP資料!$G:$G, (MATCH(682, 輔助計算!$G$2:$G$801, 0)+1)),"0.##")))&amp;"-"&amp;INT(INDEX(輔助計算!$D:$D, (MATCH(682, 輔助計算!$G$2:$G$801, 0)+1))/IF(INDEX(ERP資料!$G:$G, (MATCH(682, 輔助計算!$G$2:$G$801, 0)+1))&lt;100, IF(INDEX(ERP資料!$G:$G, (MATCH(682, 輔助計算!$G$2:$G$801, 0)+1))&lt;=31,3,IF(INDEX(ERP資料!$G:$G, (MATCH(682, 輔助計算!$G$2:$G$801, 0)+1))&lt;=46.5,2,1)), IF(INDEX(ERP資料!$G:$G, (MATCH(682, 輔助計算!$G$2:$G$801, 0)+1))&lt;=790,3,IF(INDEX(ERP資料!$G:$G, (MATCH(682, 輔助計算!$G$2:$G$801, 0)+1))&lt;=1181,2,1)))), "")&amp;IF(AND(IF(INT(INDEX(輔助計算!$D:$D, (MATCH(682, 輔助計算!$G$2:$G$801, 0)+1))/IF(INDEX(ERP資料!$G:$G, (MATCH(682, 輔助計算!$G$2:$G$801, 0)+1))&lt;100, IF(INDEX(ERP資料!$G:$G, (MATCH(682, 輔助計算!$G$2:$G$801, 0)+1))&lt;=31,3,IF(INDEX(ERP資料!$G:$G, (MATCH(682, 輔助計算!$G$2:$G$801, 0)+1))&lt;=46.5,2,1)), IF(INDEX(ERP資料!$G:$G, (MATCH(682, 輔助計算!$G$2:$G$801, 0)+1))&lt;=790,3,IF(INDEX(ERP資料!$G:$G, (MATCH(682, 輔助計算!$G$2:$G$801, 0)+1))&lt;=1181,2,1))))&gt;0, IF(IF(INDEX(ERP資料!$G:$G, (MATCH(682, 輔助計算!$G$2:$G$801, 0)+1))&lt;100, IF(INDEX(ERP資料!$G:$G, (MATCH(682, 輔助計算!$G$2:$G$801, 0)+1))&lt;=31,3,IF(INDEX(ERP資料!$G:$G, (MATCH(682, 輔助計算!$G$2:$G$801, 0)+1))&lt;=46.5,2,1)), IF(INDEX(ERP資料!$G:$G, (MATCH(682, 輔助計算!$G$2:$G$801, 0)+1))&lt;=790,3,IF(INDEX(ERP資料!$G:$G, (MATCH(682, 輔助計算!$G$2:$G$801, 0)+1))&lt;=1181,2,1)))=1,TEXT(INDEX(ERP資料!$G:$G, (MATCH(682, 輔助計算!$G$2:$G$801, 0)+1)),"0.##"),IF(IF(INDEX(ERP資料!$G:$G, (MATCH(682, 輔助計算!$G$2:$G$801, 0)+1))&lt;100, IF(INDEX(ERP資料!$G:$G, (MATCH(682, 輔助計算!$G$2:$G$801, 0)+1))&lt;=31,3,IF(INDEX(ERP資料!$G:$G, (MATCH(682, 輔助計算!$G$2:$G$801, 0)+1))&lt;=46.5,2,1)), IF(INDEX(ERP資料!$G:$G, (MATCH(682, 輔助計算!$G$2:$G$801, 0)+1))&lt;=790,3,IF(INDEX(ERP資料!$G:$G, (MATCH(682, 輔助計算!$G$2:$G$801, 0)+1))&lt;=1181,2,1)))=2,TEXT(INDEX(ERP資料!$G:$G, (MATCH(682, 輔助計算!$G$2:$G$801, 0)+1)),"0.##")&amp;"+"&amp;TEXT(INDEX(ERP資料!$G:$G, (MATCH(682, 輔助計算!$G$2:$G$801, 0)+1)),"0.##"),TEXT(INDEX(ERP資料!$G:$G, (MATCH(682, 輔助計算!$G$2:$G$801, 0)+1)),"0.##")&amp;"+"&amp;TEXT(INDEX(ERP資料!$G:$G, (MATCH(682, 輔助計算!$G$2:$G$801, 0)+1)),"0.##")&amp;"+"&amp;TEXT(INDEX(ERP資料!$G:$G, (MATCH(682, 輔助計算!$G$2:$G$801, 0)+1)),"0.##")))&amp;"-"&amp;INT(INDEX(輔助計算!$D:$D, (MATCH(682, 輔助計算!$G$2:$G$801, 0)+1))/IF(INDEX(ERP資料!$G:$G, (MATCH(682, 輔助計算!$G$2:$G$801, 0)+1))&lt;100, IF(INDEX(ERP資料!$G:$G, (MATCH(682, 輔助計算!$G$2:$G$801, 0)+1))&lt;=31,3,IF(INDEX(ERP資料!$G:$G, (MATCH(682, 輔助計算!$G$2:$G$801, 0)+1))&lt;=46.5,2,1)), IF(INDEX(ERP資料!$G:$G, (MATCH(682, 輔助計算!$G$2:$G$801, 0)+1))&lt;=790,3,IF(INDEX(ERP資料!$G:$G, (MATCH(682, 輔助計算!$G$2:$G$801, 0)+1))&lt;=1181,2,1)))), "")&lt;&gt;"",IF(MOD(INDEX(輔助計算!$D:$D, (MATCH(682, 輔助計算!$G$2:$G$801, 0)+1)),IF(INDEX(ERP資料!$G:$G, (MATCH(682, 輔助計算!$G$2:$G$801, 0)+1))&lt;100, IF(INDEX(ERP資料!$G:$G, (MATCH(682, 輔助計算!$G$2:$G$801, 0)+1))&lt;=31,3,IF(INDEX(ERP資料!$G:$G, (MATCH(682, 輔助計算!$G$2:$G$801, 0)+1))&lt;=46.5,2,1)), IF(INDEX(ERP資料!$G:$G, (MATCH(682, 輔助計算!$G$2:$G$801, 0)+1))&lt;=790,3,IF(INDEX(ERP資料!$G:$G, (MATCH(682, 輔助計算!$G$2:$G$801, 0)+1))&lt;=1181,2,1))))=0,"",IF(MOD(INDEX(輔助計算!$D:$D, (MATCH(682, 輔助計算!$G$2:$G$801, 0)+1)),IF(INDEX(ERP資料!$G:$G, (MATCH(682, 輔助計算!$G$2:$G$801, 0)+1))&lt;100, IF(INDEX(ERP資料!$G:$G, (MATCH(682, 輔助計算!$G$2:$G$801, 0)+1))&lt;=31,3,IF(INDEX(ERP資料!$G:$G, (MATCH(682, 輔助計算!$G$2:$G$801, 0)+1))&lt;=46.5,2,1)), IF(INDEX(ERP資料!$G:$G, (MATCH(682, 輔助計算!$G$2:$G$801, 0)+1))&lt;=790,3,IF(INDEX(ERP資料!$G:$G, (MATCH(682, 輔助計算!$G$2:$G$801, 0)+1))&lt;=1181,2,1))))=0,"",IF(MOD(INDEX(輔助計算!$D:$D, (MATCH(682, 輔助計算!$G$2:$G$801, 0)+1)),IF(INDEX(ERP資料!$G:$G, (MATCH(682, 輔助計算!$G$2:$G$801, 0)+1))&lt;100, IF(INDEX(ERP資料!$G:$G, (MATCH(682, 輔助計算!$G$2:$G$801, 0)+1))&lt;=31,3,IF(INDEX(ERP資料!$G:$G, (MATCH(682, 輔助計算!$G$2:$G$801, 0)+1))&lt;=46.5,2,1)), IF(INDEX(ERP資料!$G:$G, (MATCH(682, 輔助計算!$G$2:$G$801, 0)+1))&lt;=790,3,IF(INDEX(ERP資料!$G:$G, (MATCH(682, 輔助計算!$G$2:$G$801, 0)+1))&lt;=1181,2,1))))=1,TEXT(INDEX(ERP資料!$G:$G, (MATCH(682, 輔助計算!$G$2:$G$801, 0)+1)),"0.##"),IF(MOD(INDEX(輔助計算!$D:$D, (MATCH(682, 輔助計算!$G$2:$G$801, 0)+1)),IF(INDEX(ERP資料!$G:$G, (MATCH(682, 輔助計算!$G$2:$G$801, 0)+1))&lt;100, IF(INDEX(ERP資料!$G:$G, (MATCH(682, 輔助計算!$G$2:$G$801, 0)+1))&lt;=31,3,IF(INDEX(ERP資料!$G:$G, (MATCH(682, 輔助計算!$G$2:$G$801, 0)+1))&lt;=46.5,2,1)), IF(INDEX(ERP資料!$G:$G, (MATCH(682, 輔助計算!$G$2:$G$801, 0)+1))&lt;=790,3,IF(INDEX(ERP資料!$G:$G, (MATCH(682, 輔助計算!$G$2:$G$801, 0)+1))&lt;=1181,2,1))))=2,TEXT(INDEX(ERP資料!$G:$G, (MATCH(682, 輔助計算!$G$2:$G$801, 0)+1)),"0.##")&amp;"+"&amp;TEXT(INDEX(ERP資料!$G:$G, (MATCH(682, 輔助計算!$G$2:$G$801, 0)+1)),"0.##"),TEXT(INDEX(ERP資料!$G:$G, (MATCH(682, 輔助計算!$G$2:$G$801, 0)+1)),"0.##")&amp;"+"&amp;TEXT(INDEX(ERP資料!$G:$G, (MATCH(682, 輔助計算!$G$2:$G$801, 0)+1)),"0.##")&amp;"+"&amp;TEXT(INDEX(ERP資料!$G:$G, (MATCH(682, 輔助計算!$G$2:$G$801, 0)+1)),"0.##"))))&amp;"-1")&lt;&gt;""),"  ","")&amp;IF(MOD(INDEX(輔助計算!$D:$D, (MATCH(682, 輔助計算!$G$2:$G$801, 0)+1)),IF(INDEX(ERP資料!$G:$G, (MATCH(682, 輔助計算!$G$2:$G$801, 0)+1))&lt;100, IF(INDEX(ERP資料!$G:$G, (MATCH(682, 輔助計算!$G$2:$G$801, 0)+1))&lt;=31,3,IF(INDEX(ERP資料!$G:$G, (MATCH(682, 輔助計算!$G$2:$G$801, 0)+1))&lt;=46.5,2,1)), IF(INDEX(ERP資料!$G:$G, (MATCH(682, 輔助計算!$G$2:$G$801, 0)+1))&lt;=790,3,IF(INDEX(ERP資料!$G:$G, (MATCH(682, 輔助計算!$G$2:$G$801, 0)+1))&lt;=1181,2,1))))=0,"",IF(MOD(INDEX(輔助計算!$D:$D, (MATCH(682, 輔助計算!$G$2:$G$801, 0)+1)),IF(INDEX(ERP資料!$G:$G, (MATCH(682, 輔助計算!$G$2:$G$801, 0)+1))&lt;100, IF(INDEX(ERP資料!$G:$G, (MATCH(682, 輔助計算!$G$2:$G$801, 0)+1))&lt;=31,3,IF(INDEX(ERP資料!$G:$G, (MATCH(682, 輔助計算!$G$2:$G$801, 0)+1))&lt;=46.5,2,1)), IF(INDEX(ERP資料!$G:$G, (MATCH(682, 輔助計算!$G$2:$G$801, 0)+1))&lt;=790,3,IF(INDEX(ERP資料!$G:$G, (MATCH(682, 輔助計算!$G$2:$G$801, 0)+1))&lt;=1181,2,1))))=0,"",IF(MOD(INDEX(輔助計算!$D:$D, (MATCH(682, 輔助計算!$G$2:$G$801, 0)+1)),IF(INDEX(ERP資料!$G:$G, (MATCH(682, 輔助計算!$G$2:$G$801, 0)+1))&lt;100, IF(INDEX(ERP資料!$G:$G, (MATCH(682, 輔助計算!$G$2:$G$801, 0)+1))&lt;=31,3,IF(INDEX(ERP資料!$G:$G, (MATCH(682, 輔助計算!$G$2:$G$801, 0)+1))&lt;=46.5,2,1)), IF(INDEX(ERP資料!$G:$G, (MATCH(682, 輔助計算!$G$2:$G$801, 0)+1))&lt;=790,3,IF(INDEX(ERP資料!$G:$G, (MATCH(682, 輔助計算!$G$2:$G$801, 0)+1))&lt;=1181,2,1))))=1,TEXT(INDEX(ERP資料!$G:$G, (MATCH(682, 輔助計算!$G$2:$G$801, 0)+1)),"0.##"),IF(MOD(INDEX(輔助計算!$D:$D, (MATCH(682, 輔助計算!$G$2:$G$801, 0)+1)),IF(INDEX(ERP資料!$G:$G, (MATCH(682, 輔助計算!$G$2:$G$801, 0)+1))&lt;100, IF(INDEX(ERP資料!$G:$G, (MATCH(682, 輔助計算!$G$2:$G$801, 0)+1))&lt;=31,3,IF(INDEX(ERP資料!$G:$G, (MATCH(682, 輔助計算!$G$2:$G$801, 0)+1))&lt;=46.5,2,1)), IF(INDEX(ERP資料!$G:$G, (MATCH(682, 輔助計算!$G$2:$G$801, 0)+1))&lt;=790,3,IF(INDEX(ERP資料!$G:$G, (MATCH(682, 輔助計算!$G$2:$G$801, 0)+1))&lt;=1181,2,1))))=2,TEXT(INDEX(ERP資料!$G:$G, (MATCH(682, 輔助計算!$G$2:$G$801, 0)+1)),"0.##")&amp;"+"&amp;TEXT(INDEX(ERP資料!$G:$G, (MATCH(682, 輔助計算!$G$2:$G$801, 0)+1)),"0.##"),TEXT(INDEX(ERP資料!$G:$G, (MATCH(682, 輔助計算!$G$2:$G$801, 0)+1)),"0.##")&amp;"+"&amp;TEXT(INDEX(ERP資料!$G:$G, (MATCH(682, 輔助計算!$G$2:$G$801, 0)+1)),"0.##")&amp;"+"&amp;TEXT(INDEX(ERP資料!$G:$G, (MATCH(682, 輔助計算!$G$2:$G$801, 0)+1)),"0.##"))))&amp;"-1")), ""), "")</f>
        <v/>
      </c>
      <c r="K683" s="16" t="n"/>
      <c r="L683" s="14">
        <f>IFERROR(IF(AND(IFERROR(INDEX(ERP資料!$A:$A, (MATCH(682, 輔助計算!$G$2:$G$801, 0)+1)), "")&lt;&gt;"", IFERROR(INDEX(ERP資料!$A:$A, (MATCH(682, 輔助計算!$G$2:$G$801, 0)+1)), "")&lt;&gt;IFERROR(INDEX(ERP資料!$A:$A, MATCH(681, 輔助計算!$G$2:$G$801, 0)+1), "")), INDEX(ERP資料!$B:$B, (MATCH(682, 輔助計算!$G$2:$G$801, 0)+1)), ""), "")</f>
        <v/>
      </c>
      <c r="M683" s="17" t="n"/>
    </row>
    <row r="684">
      <c r="A684" s="10">
        <f>IFERROR(IF(AND(IFERROR(INDEX(ERP資料!$A:$A, (MATCH(683, 輔助計算!$G$2:$G$801, 0)+1)), "")&lt;&gt;"", IFERROR(INDEX(ERP資料!$A:$A, (MATCH(683, 輔助計算!$G$2:$G$801, 0)+1)), "")&lt;&gt;IFERROR(INDEX(ERP資料!$A:$A, MATCH(682, 輔助計算!$G$2:$G$801, 0)+1), "")), IFERROR(INDEX(ERP資料!$A:$A, (MATCH(683, 輔助計算!$G$2:$G$801, 0)+1)), ""), ""), "")</f>
        <v/>
      </c>
      <c r="B684" s="10">
        <f>IFERROR(IF(AND(IFERROR(INDEX(ERP資料!$A:$A, (MATCH(683, 輔助計算!$G$2:$G$801, 0)+1)), "")&lt;&gt;"", IFERROR(INDEX(ERP資料!$A:$A, (MATCH(683, 輔助計算!$G$2:$G$801, 0)+1)), "")&lt;&gt;IFERROR(INDEX(ERP資料!$A:$A, MATCH(682, 輔助計算!$G$2:$G$801, 0)+1), "")), INDEX(ERP資料!$S:$S, (MATCH(683, 輔助計算!$G$2:$G$801, 0)+1)), ""), "")</f>
        <v/>
      </c>
      <c r="C684" s="19">
        <f>IFERROR(IF(AND(IFERROR(INDEX(ERP資料!$A:$A, (MATCH(683, 輔助計算!$G$2:$G$801, 0)+1)), "")&lt;&gt;"", IFERROR(INDEX(ERP資料!$A:$A, (MATCH(683, 輔助計算!$G$2:$G$801, 0)+1)), "")&lt;&gt;IFERROR(INDEX(ERP資料!$A:$A, MATCH(682, 輔助計算!$G$2:$G$801, 0)+1), "")), IFERROR(VLOOKUP(LEFT(INDEX(ERP資料!$S:$S, (MATCH(683, 輔助計算!$G$2:$G$801, 0)+1)), 4), 紙管對照表!$A:$C, 3, FALSE), ""), ""), "")</f>
        <v/>
      </c>
      <c r="D684" s="16" t="n"/>
      <c r="E684" s="10">
        <f>IFERROR(IF(INDEX(ERP資料!$H:$H, (MATCH(683, 輔助計算!$G$2:$G$801, 0)+1))="","",INDEX(ERP資料!$H:$H, (MATCH(683, 輔助計算!$G$2:$G$801, 0)+1))), "")</f>
        <v/>
      </c>
      <c r="F684" s="10">
        <f>IFERROR(IF(INDEX(ERP資料!$E:$E, (MATCH(683, 輔助計算!$G$2:$G$801, 0)+1))="","",TRIM(INDEX(ERP資料!$E:$E, (MATCH(683, 輔助計算!$G$2:$G$801, 0)+1)))), "")</f>
        <v/>
      </c>
      <c r="G684" s="10">
        <f>IFERROR(IF(INDEX(ERP資料!$F:$F, (MATCH(683, 輔助計算!$G$2:$G$801, 0)+1))="","",INDEX(ERP資料!$F:$F, (MATCH(683, 輔助計算!$G$2:$G$801, 0)+1))), "")</f>
        <v/>
      </c>
      <c r="H684" s="10">
        <f>IFERROR(IF(INDEX(ERP資料!$G:$G, (MATCH(683, 輔助計算!$G$2:$G$801, 0)+1))="","",INDEX(ERP資料!$G:$G, (MATCH(683, 輔助計算!$G$2:$G$801, 0)+1))), "")</f>
        <v/>
      </c>
      <c r="I684" s="15">
        <f>IFERROR(INDEX(輔助計算!$D:$D, (MATCH(683, 輔助計算!$G$2:$G$801, 0)+1)), "")</f>
        <v/>
      </c>
      <c r="J684" s="15">
        <f>IFERROR(IF(AND(INDEX(輔助計算!$D:$D, (MATCH(683, 輔助計算!$G$2:$G$801, 0)+1))&lt;&gt;"", INDEX(ERP資料!$G:$G, (MATCH(683, 輔助計算!$G$2:$G$801, 0)+1))&lt;&gt;""), TRIM(IF(INT(INDEX(輔助計算!$D:$D, (MATCH(683, 輔助計算!$G$2:$G$801, 0)+1))/IF(INDEX(ERP資料!$G:$G, (MATCH(683, 輔助計算!$G$2:$G$801, 0)+1))&lt;100, IF(INDEX(ERP資料!$G:$G, (MATCH(683, 輔助計算!$G$2:$G$801, 0)+1))&lt;=31,3,IF(INDEX(ERP資料!$G:$G, (MATCH(683, 輔助計算!$G$2:$G$801, 0)+1))&lt;=46.5,2,1)), IF(INDEX(ERP資料!$G:$G, (MATCH(683, 輔助計算!$G$2:$G$801, 0)+1))&lt;=790,3,IF(INDEX(ERP資料!$G:$G, (MATCH(683, 輔助計算!$G$2:$G$801, 0)+1))&lt;=1181,2,1))))&gt;0, IF(IF(INDEX(ERP資料!$G:$G, (MATCH(683, 輔助計算!$G$2:$G$801, 0)+1))&lt;100, IF(INDEX(ERP資料!$G:$G, (MATCH(683, 輔助計算!$G$2:$G$801, 0)+1))&lt;=31,3,IF(INDEX(ERP資料!$G:$G, (MATCH(683, 輔助計算!$G$2:$G$801, 0)+1))&lt;=46.5,2,1)), IF(INDEX(ERP資料!$G:$G, (MATCH(683, 輔助計算!$G$2:$G$801, 0)+1))&lt;=790,3,IF(INDEX(ERP資料!$G:$G, (MATCH(683, 輔助計算!$G$2:$G$801, 0)+1))&lt;=1181,2,1)))=1,TEXT(INDEX(ERP資料!$G:$G, (MATCH(683, 輔助計算!$G$2:$G$801, 0)+1)),"0.##"),IF(IF(INDEX(ERP資料!$G:$G, (MATCH(683, 輔助計算!$G$2:$G$801, 0)+1))&lt;100, IF(INDEX(ERP資料!$G:$G, (MATCH(683, 輔助計算!$G$2:$G$801, 0)+1))&lt;=31,3,IF(INDEX(ERP資料!$G:$G, (MATCH(683, 輔助計算!$G$2:$G$801, 0)+1))&lt;=46.5,2,1)), IF(INDEX(ERP資料!$G:$G, (MATCH(683, 輔助計算!$G$2:$G$801, 0)+1))&lt;=790,3,IF(INDEX(ERP資料!$G:$G, (MATCH(683, 輔助計算!$G$2:$G$801, 0)+1))&lt;=1181,2,1)))=2,TEXT(INDEX(ERP資料!$G:$G, (MATCH(683, 輔助計算!$G$2:$G$801, 0)+1)),"0.##")&amp;"+"&amp;TEXT(INDEX(ERP資料!$G:$G, (MATCH(683, 輔助計算!$G$2:$G$801, 0)+1)),"0.##"),TEXT(INDEX(ERP資料!$G:$G, (MATCH(683, 輔助計算!$G$2:$G$801, 0)+1)),"0.##")&amp;"+"&amp;TEXT(INDEX(ERP資料!$G:$G, (MATCH(683, 輔助計算!$G$2:$G$801, 0)+1)),"0.##")&amp;"+"&amp;TEXT(INDEX(ERP資料!$G:$G, (MATCH(683, 輔助計算!$G$2:$G$801, 0)+1)),"0.##")))&amp;"-"&amp;INT(INDEX(輔助計算!$D:$D, (MATCH(683, 輔助計算!$G$2:$G$801, 0)+1))/IF(INDEX(ERP資料!$G:$G, (MATCH(683, 輔助計算!$G$2:$G$801, 0)+1))&lt;100, IF(INDEX(ERP資料!$G:$G, (MATCH(683, 輔助計算!$G$2:$G$801, 0)+1))&lt;=31,3,IF(INDEX(ERP資料!$G:$G, (MATCH(683, 輔助計算!$G$2:$G$801, 0)+1))&lt;=46.5,2,1)), IF(INDEX(ERP資料!$G:$G, (MATCH(683, 輔助計算!$G$2:$G$801, 0)+1))&lt;=790,3,IF(INDEX(ERP資料!$G:$G, (MATCH(683, 輔助計算!$G$2:$G$801, 0)+1))&lt;=1181,2,1)))), "")&amp;IF(AND(IF(INT(INDEX(輔助計算!$D:$D, (MATCH(683, 輔助計算!$G$2:$G$801, 0)+1))/IF(INDEX(ERP資料!$G:$G, (MATCH(683, 輔助計算!$G$2:$G$801, 0)+1))&lt;100, IF(INDEX(ERP資料!$G:$G, (MATCH(683, 輔助計算!$G$2:$G$801, 0)+1))&lt;=31,3,IF(INDEX(ERP資料!$G:$G, (MATCH(683, 輔助計算!$G$2:$G$801, 0)+1))&lt;=46.5,2,1)), IF(INDEX(ERP資料!$G:$G, (MATCH(683, 輔助計算!$G$2:$G$801, 0)+1))&lt;=790,3,IF(INDEX(ERP資料!$G:$G, (MATCH(683, 輔助計算!$G$2:$G$801, 0)+1))&lt;=1181,2,1))))&gt;0, IF(IF(INDEX(ERP資料!$G:$G, (MATCH(683, 輔助計算!$G$2:$G$801, 0)+1))&lt;100, IF(INDEX(ERP資料!$G:$G, (MATCH(683, 輔助計算!$G$2:$G$801, 0)+1))&lt;=31,3,IF(INDEX(ERP資料!$G:$G, (MATCH(683, 輔助計算!$G$2:$G$801, 0)+1))&lt;=46.5,2,1)), IF(INDEX(ERP資料!$G:$G, (MATCH(683, 輔助計算!$G$2:$G$801, 0)+1))&lt;=790,3,IF(INDEX(ERP資料!$G:$G, (MATCH(683, 輔助計算!$G$2:$G$801, 0)+1))&lt;=1181,2,1)))=1,TEXT(INDEX(ERP資料!$G:$G, (MATCH(683, 輔助計算!$G$2:$G$801, 0)+1)),"0.##"),IF(IF(INDEX(ERP資料!$G:$G, (MATCH(683, 輔助計算!$G$2:$G$801, 0)+1))&lt;100, IF(INDEX(ERP資料!$G:$G, (MATCH(683, 輔助計算!$G$2:$G$801, 0)+1))&lt;=31,3,IF(INDEX(ERP資料!$G:$G, (MATCH(683, 輔助計算!$G$2:$G$801, 0)+1))&lt;=46.5,2,1)), IF(INDEX(ERP資料!$G:$G, (MATCH(683, 輔助計算!$G$2:$G$801, 0)+1))&lt;=790,3,IF(INDEX(ERP資料!$G:$G, (MATCH(683, 輔助計算!$G$2:$G$801, 0)+1))&lt;=1181,2,1)))=2,TEXT(INDEX(ERP資料!$G:$G, (MATCH(683, 輔助計算!$G$2:$G$801, 0)+1)),"0.##")&amp;"+"&amp;TEXT(INDEX(ERP資料!$G:$G, (MATCH(683, 輔助計算!$G$2:$G$801, 0)+1)),"0.##"),TEXT(INDEX(ERP資料!$G:$G, (MATCH(683, 輔助計算!$G$2:$G$801, 0)+1)),"0.##")&amp;"+"&amp;TEXT(INDEX(ERP資料!$G:$G, (MATCH(683, 輔助計算!$G$2:$G$801, 0)+1)),"0.##")&amp;"+"&amp;TEXT(INDEX(ERP資料!$G:$G, (MATCH(683, 輔助計算!$G$2:$G$801, 0)+1)),"0.##")))&amp;"-"&amp;INT(INDEX(輔助計算!$D:$D, (MATCH(683, 輔助計算!$G$2:$G$801, 0)+1))/IF(INDEX(ERP資料!$G:$G, (MATCH(683, 輔助計算!$G$2:$G$801, 0)+1))&lt;100, IF(INDEX(ERP資料!$G:$G, (MATCH(683, 輔助計算!$G$2:$G$801, 0)+1))&lt;=31,3,IF(INDEX(ERP資料!$G:$G, (MATCH(683, 輔助計算!$G$2:$G$801, 0)+1))&lt;=46.5,2,1)), IF(INDEX(ERP資料!$G:$G, (MATCH(683, 輔助計算!$G$2:$G$801, 0)+1))&lt;=790,3,IF(INDEX(ERP資料!$G:$G, (MATCH(683, 輔助計算!$G$2:$G$801, 0)+1))&lt;=1181,2,1)))), "")&lt;&gt;"",IF(MOD(INDEX(輔助計算!$D:$D, (MATCH(683, 輔助計算!$G$2:$G$801, 0)+1)),IF(INDEX(ERP資料!$G:$G, (MATCH(683, 輔助計算!$G$2:$G$801, 0)+1))&lt;100, IF(INDEX(ERP資料!$G:$G, (MATCH(683, 輔助計算!$G$2:$G$801, 0)+1))&lt;=31,3,IF(INDEX(ERP資料!$G:$G, (MATCH(683, 輔助計算!$G$2:$G$801, 0)+1))&lt;=46.5,2,1)), IF(INDEX(ERP資料!$G:$G, (MATCH(683, 輔助計算!$G$2:$G$801, 0)+1))&lt;=790,3,IF(INDEX(ERP資料!$G:$G, (MATCH(683, 輔助計算!$G$2:$G$801, 0)+1))&lt;=1181,2,1))))=0,"",IF(MOD(INDEX(輔助計算!$D:$D, (MATCH(683, 輔助計算!$G$2:$G$801, 0)+1)),IF(INDEX(ERP資料!$G:$G, (MATCH(683, 輔助計算!$G$2:$G$801, 0)+1))&lt;100, IF(INDEX(ERP資料!$G:$G, (MATCH(683, 輔助計算!$G$2:$G$801, 0)+1))&lt;=31,3,IF(INDEX(ERP資料!$G:$G, (MATCH(683, 輔助計算!$G$2:$G$801, 0)+1))&lt;=46.5,2,1)), IF(INDEX(ERP資料!$G:$G, (MATCH(683, 輔助計算!$G$2:$G$801, 0)+1))&lt;=790,3,IF(INDEX(ERP資料!$G:$G, (MATCH(683, 輔助計算!$G$2:$G$801, 0)+1))&lt;=1181,2,1))))=0,"",IF(MOD(INDEX(輔助計算!$D:$D, (MATCH(683, 輔助計算!$G$2:$G$801, 0)+1)),IF(INDEX(ERP資料!$G:$G, (MATCH(683, 輔助計算!$G$2:$G$801, 0)+1))&lt;100, IF(INDEX(ERP資料!$G:$G, (MATCH(683, 輔助計算!$G$2:$G$801, 0)+1))&lt;=31,3,IF(INDEX(ERP資料!$G:$G, (MATCH(683, 輔助計算!$G$2:$G$801, 0)+1))&lt;=46.5,2,1)), IF(INDEX(ERP資料!$G:$G, (MATCH(683, 輔助計算!$G$2:$G$801, 0)+1))&lt;=790,3,IF(INDEX(ERP資料!$G:$G, (MATCH(683, 輔助計算!$G$2:$G$801, 0)+1))&lt;=1181,2,1))))=1,TEXT(INDEX(ERP資料!$G:$G, (MATCH(683, 輔助計算!$G$2:$G$801, 0)+1)),"0.##"),IF(MOD(INDEX(輔助計算!$D:$D, (MATCH(683, 輔助計算!$G$2:$G$801, 0)+1)),IF(INDEX(ERP資料!$G:$G, (MATCH(683, 輔助計算!$G$2:$G$801, 0)+1))&lt;100, IF(INDEX(ERP資料!$G:$G, (MATCH(683, 輔助計算!$G$2:$G$801, 0)+1))&lt;=31,3,IF(INDEX(ERP資料!$G:$G, (MATCH(683, 輔助計算!$G$2:$G$801, 0)+1))&lt;=46.5,2,1)), IF(INDEX(ERP資料!$G:$G, (MATCH(683, 輔助計算!$G$2:$G$801, 0)+1))&lt;=790,3,IF(INDEX(ERP資料!$G:$G, (MATCH(683, 輔助計算!$G$2:$G$801, 0)+1))&lt;=1181,2,1))))=2,TEXT(INDEX(ERP資料!$G:$G, (MATCH(683, 輔助計算!$G$2:$G$801, 0)+1)),"0.##")&amp;"+"&amp;TEXT(INDEX(ERP資料!$G:$G, (MATCH(683, 輔助計算!$G$2:$G$801, 0)+1)),"0.##"),TEXT(INDEX(ERP資料!$G:$G, (MATCH(683, 輔助計算!$G$2:$G$801, 0)+1)),"0.##")&amp;"+"&amp;TEXT(INDEX(ERP資料!$G:$G, (MATCH(683, 輔助計算!$G$2:$G$801, 0)+1)),"0.##")&amp;"+"&amp;TEXT(INDEX(ERP資料!$G:$G, (MATCH(683, 輔助計算!$G$2:$G$801, 0)+1)),"0.##"))))&amp;"-1")&lt;&gt;""),"  ","")&amp;IF(MOD(INDEX(輔助計算!$D:$D, (MATCH(683, 輔助計算!$G$2:$G$801, 0)+1)),IF(INDEX(ERP資料!$G:$G, (MATCH(683, 輔助計算!$G$2:$G$801, 0)+1))&lt;100, IF(INDEX(ERP資料!$G:$G, (MATCH(683, 輔助計算!$G$2:$G$801, 0)+1))&lt;=31,3,IF(INDEX(ERP資料!$G:$G, (MATCH(683, 輔助計算!$G$2:$G$801, 0)+1))&lt;=46.5,2,1)), IF(INDEX(ERP資料!$G:$G, (MATCH(683, 輔助計算!$G$2:$G$801, 0)+1))&lt;=790,3,IF(INDEX(ERP資料!$G:$G, (MATCH(683, 輔助計算!$G$2:$G$801, 0)+1))&lt;=1181,2,1))))=0,"",IF(MOD(INDEX(輔助計算!$D:$D, (MATCH(683, 輔助計算!$G$2:$G$801, 0)+1)),IF(INDEX(ERP資料!$G:$G, (MATCH(683, 輔助計算!$G$2:$G$801, 0)+1))&lt;100, IF(INDEX(ERP資料!$G:$G, (MATCH(683, 輔助計算!$G$2:$G$801, 0)+1))&lt;=31,3,IF(INDEX(ERP資料!$G:$G, (MATCH(683, 輔助計算!$G$2:$G$801, 0)+1))&lt;=46.5,2,1)), IF(INDEX(ERP資料!$G:$G, (MATCH(683, 輔助計算!$G$2:$G$801, 0)+1))&lt;=790,3,IF(INDEX(ERP資料!$G:$G, (MATCH(683, 輔助計算!$G$2:$G$801, 0)+1))&lt;=1181,2,1))))=0,"",IF(MOD(INDEX(輔助計算!$D:$D, (MATCH(683, 輔助計算!$G$2:$G$801, 0)+1)),IF(INDEX(ERP資料!$G:$G, (MATCH(683, 輔助計算!$G$2:$G$801, 0)+1))&lt;100, IF(INDEX(ERP資料!$G:$G, (MATCH(683, 輔助計算!$G$2:$G$801, 0)+1))&lt;=31,3,IF(INDEX(ERP資料!$G:$G, (MATCH(683, 輔助計算!$G$2:$G$801, 0)+1))&lt;=46.5,2,1)), IF(INDEX(ERP資料!$G:$G, (MATCH(683, 輔助計算!$G$2:$G$801, 0)+1))&lt;=790,3,IF(INDEX(ERP資料!$G:$G, (MATCH(683, 輔助計算!$G$2:$G$801, 0)+1))&lt;=1181,2,1))))=1,TEXT(INDEX(ERP資料!$G:$G, (MATCH(683, 輔助計算!$G$2:$G$801, 0)+1)),"0.##"),IF(MOD(INDEX(輔助計算!$D:$D, (MATCH(683, 輔助計算!$G$2:$G$801, 0)+1)),IF(INDEX(ERP資料!$G:$G, (MATCH(683, 輔助計算!$G$2:$G$801, 0)+1))&lt;100, IF(INDEX(ERP資料!$G:$G, (MATCH(683, 輔助計算!$G$2:$G$801, 0)+1))&lt;=31,3,IF(INDEX(ERP資料!$G:$G, (MATCH(683, 輔助計算!$G$2:$G$801, 0)+1))&lt;=46.5,2,1)), IF(INDEX(ERP資料!$G:$G, (MATCH(683, 輔助計算!$G$2:$G$801, 0)+1))&lt;=790,3,IF(INDEX(ERP資料!$G:$G, (MATCH(683, 輔助計算!$G$2:$G$801, 0)+1))&lt;=1181,2,1))))=2,TEXT(INDEX(ERP資料!$G:$G, (MATCH(683, 輔助計算!$G$2:$G$801, 0)+1)),"0.##")&amp;"+"&amp;TEXT(INDEX(ERP資料!$G:$G, (MATCH(683, 輔助計算!$G$2:$G$801, 0)+1)),"0.##"),TEXT(INDEX(ERP資料!$G:$G, (MATCH(683, 輔助計算!$G$2:$G$801, 0)+1)),"0.##")&amp;"+"&amp;TEXT(INDEX(ERP資料!$G:$G, (MATCH(683, 輔助計算!$G$2:$G$801, 0)+1)),"0.##")&amp;"+"&amp;TEXT(INDEX(ERP資料!$G:$G, (MATCH(683, 輔助計算!$G$2:$G$801, 0)+1)),"0.##"))))&amp;"-1")), ""), "")</f>
        <v/>
      </c>
      <c r="K684" s="16" t="n"/>
      <c r="L684" s="14">
        <f>IFERROR(IF(AND(IFERROR(INDEX(ERP資料!$A:$A, (MATCH(683, 輔助計算!$G$2:$G$801, 0)+1)), "")&lt;&gt;"", IFERROR(INDEX(ERP資料!$A:$A, (MATCH(683, 輔助計算!$G$2:$G$801, 0)+1)), "")&lt;&gt;IFERROR(INDEX(ERP資料!$A:$A, MATCH(682, 輔助計算!$G$2:$G$801, 0)+1), "")), INDEX(ERP資料!$B:$B, (MATCH(683, 輔助計算!$G$2:$G$801, 0)+1)), ""), "")</f>
        <v/>
      </c>
      <c r="M684" s="17" t="n"/>
    </row>
    <row r="685">
      <c r="A685" s="10">
        <f>IFERROR(IF(AND(IFERROR(INDEX(ERP資料!$A:$A, (MATCH(684, 輔助計算!$G$2:$G$801, 0)+1)), "")&lt;&gt;"", IFERROR(INDEX(ERP資料!$A:$A, (MATCH(684, 輔助計算!$G$2:$G$801, 0)+1)), "")&lt;&gt;IFERROR(INDEX(ERP資料!$A:$A, MATCH(683, 輔助計算!$G$2:$G$801, 0)+1), "")), IFERROR(INDEX(ERP資料!$A:$A, (MATCH(684, 輔助計算!$G$2:$G$801, 0)+1)), ""), ""), "")</f>
        <v/>
      </c>
      <c r="B685" s="10">
        <f>IFERROR(IF(AND(IFERROR(INDEX(ERP資料!$A:$A, (MATCH(684, 輔助計算!$G$2:$G$801, 0)+1)), "")&lt;&gt;"", IFERROR(INDEX(ERP資料!$A:$A, (MATCH(684, 輔助計算!$G$2:$G$801, 0)+1)), "")&lt;&gt;IFERROR(INDEX(ERP資料!$A:$A, MATCH(683, 輔助計算!$G$2:$G$801, 0)+1), "")), INDEX(ERP資料!$S:$S, (MATCH(684, 輔助計算!$G$2:$G$801, 0)+1)), ""), "")</f>
        <v/>
      </c>
      <c r="C685" s="19">
        <f>IFERROR(IF(AND(IFERROR(INDEX(ERP資料!$A:$A, (MATCH(684, 輔助計算!$G$2:$G$801, 0)+1)), "")&lt;&gt;"", IFERROR(INDEX(ERP資料!$A:$A, (MATCH(684, 輔助計算!$G$2:$G$801, 0)+1)), "")&lt;&gt;IFERROR(INDEX(ERP資料!$A:$A, MATCH(683, 輔助計算!$G$2:$G$801, 0)+1), "")), IFERROR(VLOOKUP(LEFT(INDEX(ERP資料!$S:$S, (MATCH(684, 輔助計算!$G$2:$G$801, 0)+1)), 4), 紙管對照表!$A:$C, 3, FALSE), ""), ""), "")</f>
        <v/>
      </c>
      <c r="D685" s="16" t="n"/>
      <c r="E685" s="10">
        <f>IFERROR(IF(INDEX(ERP資料!$H:$H, (MATCH(684, 輔助計算!$G$2:$G$801, 0)+1))="","",INDEX(ERP資料!$H:$H, (MATCH(684, 輔助計算!$G$2:$G$801, 0)+1))), "")</f>
        <v/>
      </c>
      <c r="F685" s="10">
        <f>IFERROR(IF(INDEX(ERP資料!$E:$E, (MATCH(684, 輔助計算!$G$2:$G$801, 0)+1))="","",TRIM(INDEX(ERP資料!$E:$E, (MATCH(684, 輔助計算!$G$2:$G$801, 0)+1)))), "")</f>
        <v/>
      </c>
      <c r="G685" s="10">
        <f>IFERROR(IF(INDEX(ERP資料!$F:$F, (MATCH(684, 輔助計算!$G$2:$G$801, 0)+1))="","",INDEX(ERP資料!$F:$F, (MATCH(684, 輔助計算!$G$2:$G$801, 0)+1))), "")</f>
        <v/>
      </c>
      <c r="H685" s="10">
        <f>IFERROR(IF(INDEX(ERP資料!$G:$G, (MATCH(684, 輔助計算!$G$2:$G$801, 0)+1))="","",INDEX(ERP資料!$G:$G, (MATCH(684, 輔助計算!$G$2:$G$801, 0)+1))), "")</f>
        <v/>
      </c>
      <c r="I685" s="15">
        <f>IFERROR(INDEX(輔助計算!$D:$D, (MATCH(684, 輔助計算!$G$2:$G$801, 0)+1)), "")</f>
        <v/>
      </c>
      <c r="J685" s="15">
        <f>IFERROR(IF(AND(INDEX(輔助計算!$D:$D, (MATCH(684, 輔助計算!$G$2:$G$801, 0)+1))&lt;&gt;"", INDEX(ERP資料!$G:$G, (MATCH(684, 輔助計算!$G$2:$G$801, 0)+1))&lt;&gt;""), TRIM(IF(INT(INDEX(輔助計算!$D:$D, (MATCH(684, 輔助計算!$G$2:$G$801, 0)+1))/IF(INDEX(ERP資料!$G:$G, (MATCH(684, 輔助計算!$G$2:$G$801, 0)+1))&lt;100, IF(INDEX(ERP資料!$G:$G, (MATCH(684, 輔助計算!$G$2:$G$801, 0)+1))&lt;=31,3,IF(INDEX(ERP資料!$G:$G, (MATCH(684, 輔助計算!$G$2:$G$801, 0)+1))&lt;=46.5,2,1)), IF(INDEX(ERP資料!$G:$G, (MATCH(684, 輔助計算!$G$2:$G$801, 0)+1))&lt;=790,3,IF(INDEX(ERP資料!$G:$G, (MATCH(684, 輔助計算!$G$2:$G$801, 0)+1))&lt;=1181,2,1))))&gt;0, IF(IF(INDEX(ERP資料!$G:$G, (MATCH(684, 輔助計算!$G$2:$G$801, 0)+1))&lt;100, IF(INDEX(ERP資料!$G:$G, (MATCH(684, 輔助計算!$G$2:$G$801, 0)+1))&lt;=31,3,IF(INDEX(ERP資料!$G:$G, (MATCH(684, 輔助計算!$G$2:$G$801, 0)+1))&lt;=46.5,2,1)), IF(INDEX(ERP資料!$G:$G, (MATCH(684, 輔助計算!$G$2:$G$801, 0)+1))&lt;=790,3,IF(INDEX(ERP資料!$G:$G, (MATCH(684, 輔助計算!$G$2:$G$801, 0)+1))&lt;=1181,2,1)))=1,TEXT(INDEX(ERP資料!$G:$G, (MATCH(684, 輔助計算!$G$2:$G$801, 0)+1)),"0.##"),IF(IF(INDEX(ERP資料!$G:$G, (MATCH(684, 輔助計算!$G$2:$G$801, 0)+1))&lt;100, IF(INDEX(ERP資料!$G:$G, (MATCH(684, 輔助計算!$G$2:$G$801, 0)+1))&lt;=31,3,IF(INDEX(ERP資料!$G:$G, (MATCH(684, 輔助計算!$G$2:$G$801, 0)+1))&lt;=46.5,2,1)), IF(INDEX(ERP資料!$G:$G, (MATCH(684, 輔助計算!$G$2:$G$801, 0)+1))&lt;=790,3,IF(INDEX(ERP資料!$G:$G, (MATCH(684, 輔助計算!$G$2:$G$801, 0)+1))&lt;=1181,2,1)))=2,TEXT(INDEX(ERP資料!$G:$G, (MATCH(684, 輔助計算!$G$2:$G$801, 0)+1)),"0.##")&amp;"+"&amp;TEXT(INDEX(ERP資料!$G:$G, (MATCH(684, 輔助計算!$G$2:$G$801, 0)+1)),"0.##"),TEXT(INDEX(ERP資料!$G:$G, (MATCH(684, 輔助計算!$G$2:$G$801, 0)+1)),"0.##")&amp;"+"&amp;TEXT(INDEX(ERP資料!$G:$G, (MATCH(684, 輔助計算!$G$2:$G$801, 0)+1)),"0.##")&amp;"+"&amp;TEXT(INDEX(ERP資料!$G:$G, (MATCH(684, 輔助計算!$G$2:$G$801, 0)+1)),"0.##")))&amp;"-"&amp;INT(INDEX(輔助計算!$D:$D, (MATCH(684, 輔助計算!$G$2:$G$801, 0)+1))/IF(INDEX(ERP資料!$G:$G, (MATCH(684, 輔助計算!$G$2:$G$801, 0)+1))&lt;100, IF(INDEX(ERP資料!$G:$G, (MATCH(684, 輔助計算!$G$2:$G$801, 0)+1))&lt;=31,3,IF(INDEX(ERP資料!$G:$G, (MATCH(684, 輔助計算!$G$2:$G$801, 0)+1))&lt;=46.5,2,1)), IF(INDEX(ERP資料!$G:$G, (MATCH(684, 輔助計算!$G$2:$G$801, 0)+1))&lt;=790,3,IF(INDEX(ERP資料!$G:$G, (MATCH(684, 輔助計算!$G$2:$G$801, 0)+1))&lt;=1181,2,1)))), "")&amp;IF(AND(IF(INT(INDEX(輔助計算!$D:$D, (MATCH(684, 輔助計算!$G$2:$G$801, 0)+1))/IF(INDEX(ERP資料!$G:$G, (MATCH(684, 輔助計算!$G$2:$G$801, 0)+1))&lt;100, IF(INDEX(ERP資料!$G:$G, (MATCH(684, 輔助計算!$G$2:$G$801, 0)+1))&lt;=31,3,IF(INDEX(ERP資料!$G:$G, (MATCH(684, 輔助計算!$G$2:$G$801, 0)+1))&lt;=46.5,2,1)), IF(INDEX(ERP資料!$G:$G, (MATCH(684, 輔助計算!$G$2:$G$801, 0)+1))&lt;=790,3,IF(INDEX(ERP資料!$G:$G, (MATCH(684, 輔助計算!$G$2:$G$801, 0)+1))&lt;=1181,2,1))))&gt;0, IF(IF(INDEX(ERP資料!$G:$G, (MATCH(684, 輔助計算!$G$2:$G$801, 0)+1))&lt;100, IF(INDEX(ERP資料!$G:$G, (MATCH(684, 輔助計算!$G$2:$G$801, 0)+1))&lt;=31,3,IF(INDEX(ERP資料!$G:$G, (MATCH(684, 輔助計算!$G$2:$G$801, 0)+1))&lt;=46.5,2,1)), IF(INDEX(ERP資料!$G:$G, (MATCH(684, 輔助計算!$G$2:$G$801, 0)+1))&lt;=790,3,IF(INDEX(ERP資料!$G:$G, (MATCH(684, 輔助計算!$G$2:$G$801, 0)+1))&lt;=1181,2,1)))=1,TEXT(INDEX(ERP資料!$G:$G, (MATCH(684, 輔助計算!$G$2:$G$801, 0)+1)),"0.##"),IF(IF(INDEX(ERP資料!$G:$G, (MATCH(684, 輔助計算!$G$2:$G$801, 0)+1))&lt;100, IF(INDEX(ERP資料!$G:$G, (MATCH(684, 輔助計算!$G$2:$G$801, 0)+1))&lt;=31,3,IF(INDEX(ERP資料!$G:$G, (MATCH(684, 輔助計算!$G$2:$G$801, 0)+1))&lt;=46.5,2,1)), IF(INDEX(ERP資料!$G:$G, (MATCH(684, 輔助計算!$G$2:$G$801, 0)+1))&lt;=790,3,IF(INDEX(ERP資料!$G:$G, (MATCH(684, 輔助計算!$G$2:$G$801, 0)+1))&lt;=1181,2,1)))=2,TEXT(INDEX(ERP資料!$G:$G, (MATCH(684, 輔助計算!$G$2:$G$801, 0)+1)),"0.##")&amp;"+"&amp;TEXT(INDEX(ERP資料!$G:$G, (MATCH(684, 輔助計算!$G$2:$G$801, 0)+1)),"0.##"),TEXT(INDEX(ERP資料!$G:$G, (MATCH(684, 輔助計算!$G$2:$G$801, 0)+1)),"0.##")&amp;"+"&amp;TEXT(INDEX(ERP資料!$G:$G, (MATCH(684, 輔助計算!$G$2:$G$801, 0)+1)),"0.##")&amp;"+"&amp;TEXT(INDEX(ERP資料!$G:$G, (MATCH(684, 輔助計算!$G$2:$G$801, 0)+1)),"0.##")))&amp;"-"&amp;INT(INDEX(輔助計算!$D:$D, (MATCH(684, 輔助計算!$G$2:$G$801, 0)+1))/IF(INDEX(ERP資料!$G:$G, (MATCH(684, 輔助計算!$G$2:$G$801, 0)+1))&lt;100, IF(INDEX(ERP資料!$G:$G, (MATCH(684, 輔助計算!$G$2:$G$801, 0)+1))&lt;=31,3,IF(INDEX(ERP資料!$G:$G, (MATCH(684, 輔助計算!$G$2:$G$801, 0)+1))&lt;=46.5,2,1)), IF(INDEX(ERP資料!$G:$G, (MATCH(684, 輔助計算!$G$2:$G$801, 0)+1))&lt;=790,3,IF(INDEX(ERP資料!$G:$G, (MATCH(684, 輔助計算!$G$2:$G$801, 0)+1))&lt;=1181,2,1)))), "")&lt;&gt;"",IF(MOD(INDEX(輔助計算!$D:$D, (MATCH(684, 輔助計算!$G$2:$G$801, 0)+1)),IF(INDEX(ERP資料!$G:$G, (MATCH(684, 輔助計算!$G$2:$G$801, 0)+1))&lt;100, IF(INDEX(ERP資料!$G:$G, (MATCH(684, 輔助計算!$G$2:$G$801, 0)+1))&lt;=31,3,IF(INDEX(ERP資料!$G:$G, (MATCH(684, 輔助計算!$G$2:$G$801, 0)+1))&lt;=46.5,2,1)), IF(INDEX(ERP資料!$G:$G, (MATCH(684, 輔助計算!$G$2:$G$801, 0)+1))&lt;=790,3,IF(INDEX(ERP資料!$G:$G, (MATCH(684, 輔助計算!$G$2:$G$801, 0)+1))&lt;=1181,2,1))))=0,"",IF(MOD(INDEX(輔助計算!$D:$D, (MATCH(684, 輔助計算!$G$2:$G$801, 0)+1)),IF(INDEX(ERP資料!$G:$G, (MATCH(684, 輔助計算!$G$2:$G$801, 0)+1))&lt;100, IF(INDEX(ERP資料!$G:$G, (MATCH(684, 輔助計算!$G$2:$G$801, 0)+1))&lt;=31,3,IF(INDEX(ERP資料!$G:$G, (MATCH(684, 輔助計算!$G$2:$G$801, 0)+1))&lt;=46.5,2,1)), IF(INDEX(ERP資料!$G:$G, (MATCH(684, 輔助計算!$G$2:$G$801, 0)+1))&lt;=790,3,IF(INDEX(ERP資料!$G:$G, (MATCH(684, 輔助計算!$G$2:$G$801, 0)+1))&lt;=1181,2,1))))=0,"",IF(MOD(INDEX(輔助計算!$D:$D, (MATCH(684, 輔助計算!$G$2:$G$801, 0)+1)),IF(INDEX(ERP資料!$G:$G, (MATCH(684, 輔助計算!$G$2:$G$801, 0)+1))&lt;100, IF(INDEX(ERP資料!$G:$G, (MATCH(684, 輔助計算!$G$2:$G$801, 0)+1))&lt;=31,3,IF(INDEX(ERP資料!$G:$G, (MATCH(684, 輔助計算!$G$2:$G$801, 0)+1))&lt;=46.5,2,1)), IF(INDEX(ERP資料!$G:$G, (MATCH(684, 輔助計算!$G$2:$G$801, 0)+1))&lt;=790,3,IF(INDEX(ERP資料!$G:$G, (MATCH(684, 輔助計算!$G$2:$G$801, 0)+1))&lt;=1181,2,1))))=1,TEXT(INDEX(ERP資料!$G:$G, (MATCH(684, 輔助計算!$G$2:$G$801, 0)+1)),"0.##"),IF(MOD(INDEX(輔助計算!$D:$D, (MATCH(684, 輔助計算!$G$2:$G$801, 0)+1)),IF(INDEX(ERP資料!$G:$G, (MATCH(684, 輔助計算!$G$2:$G$801, 0)+1))&lt;100, IF(INDEX(ERP資料!$G:$G, (MATCH(684, 輔助計算!$G$2:$G$801, 0)+1))&lt;=31,3,IF(INDEX(ERP資料!$G:$G, (MATCH(684, 輔助計算!$G$2:$G$801, 0)+1))&lt;=46.5,2,1)), IF(INDEX(ERP資料!$G:$G, (MATCH(684, 輔助計算!$G$2:$G$801, 0)+1))&lt;=790,3,IF(INDEX(ERP資料!$G:$G, (MATCH(684, 輔助計算!$G$2:$G$801, 0)+1))&lt;=1181,2,1))))=2,TEXT(INDEX(ERP資料!$G:$G, (MATCH(684, 輔助計算!$G$2:$G$801, 0)+1)),"0.##")&amp;"+"&amp;TEXT(INDEX(ERP資料!$G:$G, (MATCH(684, 輔助計算!$G$2:$G$801, 0)+1)),"0.##"),TEXT(INDEX(ERP資料!$G:$G, (MATCH(684, 輔助計算!$G$2:$G$801, 0)+1)),"0.##")&amp;"+"&amp;TEXT(INDEX(ERP資料!$G:$G, (MATCH(684, 輔助計算!$G$2:$G$801, 0)+1)),"0.##")&amp;"+"&amp;TEXT(INDEX(ERP資料!$G:$G, (MATCH(684, 輔助計算!$G$2:$G$801, 0)+1)),"0.##"))))&amp;"-1")&lt;&gt;""),"  ","")&amp;IF(MOD(INDEX(輔助計算!$D:$D, (MATCH(684, 輔助計算!$G$2:$G$801, 0)+1)),IF(INDEX(ERP資料!$G:$G, (MATCH(684, 輔助計算!$G$2:$G$801, 0)+1))&lt;100, IF(INDEX(ERP資料!$G:$G, (MATCH(684, 輔助計算!$G$2:$G$801, 0)+1))&lt;=31,3,IF(INDEX(ERP資料!$G:$G, (MATCH(684, 輔助計算!$G$2:$G$801, 0)+1))&lt;=46.5,2,1)), IF(INDEX(ERP資料!$G:$G, (MATCH(684, 輔助計算!$G$2:$G$801, 0)+1))&lt;=790,3,IF(INDEX(ERP資料!$G:$G, (MATCH(684, 輔助計算!$G$2:$G$801, 0)+1))&lt;=1181,2,1))))=0,"",IF(MOD(INDEX(輔助計算!$D:$D, (MATCH(684, 輔助計算!$G$2:$G$801, 0)+1)),IF(INDEX(ERP資料!$G:$G, (MATCH(684, 輔助計算!$G$2:$G$801, 0)+1))&lt;100, IF(INDEX(ERP資料!$G:$G, (MATCH(684, 輔助計算!$G$2:$G$801, 0)+1))&lt;=31,3,IF(INDEX(ERP資料!$G:$G, (MATCH(684, 輔助計算!$G$2:$G$801, 0)+1))&lt;=46.5,2,1)), IF(INDEX(ERP資料!$G:$G, (MATCH(684, 輔助計算!$G$2:$G$801, 0)+1))&lt;=790,3,IF(INDEX(ERP資料!$G:$G, (MATCH(684, 輔助計算!$G$2:$G$801, 0)+1))&lt;=1181,2,1))))=0,"",IF(MOD(INDEX(輔助計算!$D:$D, (MATCH(684, 輔助計算!$G$2:$G$801, 0)+1)),IF(INDEX(ERP資料!$G:$G, (MATCH(684, 輔助計算!$G$2:$G$801, 0)+1))&lt;100, IF(INDEX(ERP資料!$G:$G, (MATCH(684, 輔助計算!$G$2:$G$801, 0)+1))&lt;=31,3,IF(INDEX(ERP資料!$G:$G, (MATCH(684, 輔助計算!$G$2:$G$801, 0)+1))&lt;=46.5,2,1)), IF(INDEX(ERP資料!$G:$G, (MATCH(684, 輔助計算!$G$2:$G$801, 0)+1))&lt;=790,3,IF(INDEX(ERP資料!$G:$G, (MATCH(684, 輔助計算!$G$2:$G$801, 0)+1))&lt;=1181,2,1))))=1,TEXT(INDEX(ERP資料!$G:$G, (MATCH(684, 輔助計算!$G$2:$G$801, 0)+1)),"0.##"),IF(MOD(INDEX(輔助計算!$D:$D, (MATCH(684, 輔助計算!$G$2:$G$801, 0)+1)),IF(INDEX(ERP資料!$G:$G, (MATCH(684, 輔助計算!$G$2:$G$801, 0)+1))&lt;100, IF(INDEX(ERP資料!$G:$G, (MATCH(684, 輔助計算!$G$2:$G$801, 0)+1))&lt;=31,3,IF(INDEX(ERP資料!$G:$G, (MATCH(684, 輔助計算!$G$2:$G$801, 0)+1))&lt;=46.5,2,1)), IF(INDEX(ERP資料!$G:$G, (MATCH(684, 輔助計算!$G$2:$G$801, 0)+1))&lt;=790,3,IF(INDEX(ERP資料!$G:$G, (MATCH(684, 輔助計算!$G$2:$G$801, 0)+1))&lt;=1181,2,1))))=2,TEXT(INDEX(ERP資料!$G:$G, (MATCH(684, 輔助計算!$G$2:$G$801, 0)+1)),"0.##")&amp;"+"&amp;TEXT(INDEX(ERP資料!$G:$G, (MATCH(684, 輔助計算!$G$2:$G$801, 0)+1)),"0.##"),TEXT(INDEX(ERP資料!$G:$G, (MATCH(684, 輔助計算!$G$2:$G$801, 0)+1)),"0.##")&amp;"+"&amp;TEXT(INDEX(ERP資料!$G:$G, (MATCH(684, 輔助計算!$G$2:$G$801, 0)+1)),"0.##")&amp;"+"&amp;TEXT(INDEX(ERP資料!$G:$G, (MATCH(684, 輔助計算!$G$2:$G$801, 0)+1)),"0.##"))))&amp;"-1")), ""), "")</f>
        <v/>
      </c>
      <c r="K685" s="16" t="n"/>
      <c r="L685" s="14">
        <f>IFERROR(IF(AND(IFERROR(INDEX(ERP資料!$A:$A, (MATCH(684, 輔助計算!$G$2:$G$801, 0)+1)), "")&lt;&gt;"", IFERROR(INDEX(ERP資料!$A:$A, (MATCH(684, 輔助計算!$G$2:$G$801, 0)+1)), "")&lt;&gt;IFERROR(INDEX(ERP資料!$A:$A, MATCH(683, 輔助計算!$G$2:$G$801, 0)+1), "")), INDEX(ERP資料!$B:$B, (MATCH(684, 輔助計算!$G$2:$G$801, 0)+1)), ""), "")</f>
        <v/>
      </c>
      <c r="M685" s="17" t="n"/>
    </row>
    <row r="686">
      <c r="A686" s="10">
        <f>IFERROR(IF(AND(IFERROR(INDEX(ERP資料!$A:$A, (MATCH(685, 輔助計算!$G$2:$G$801, 0)+1)), "")&lt;&gt;"", IFERROR(INDEX(ERP資料!$A:$A, (MATCH(685, 輔助計算!$G$2:$G$801, 0)+1)), "")&lt;&gt;IFERROR(INDEX(ERP資料!$A:$A, MATCH(684, 輔助計算!$G$2:$G$801, 0)+1), "")), IFERROR(INDEX(ERP資料!$A:$A, (MATCH(685, 輔助計算!$G$2:$G$801, 0)+1)), ""), ""), "")</f>
        <v/>
      </c>
      <c r="B686" s="10">
        <f>IFERROR(IF(AND(IFERROR(INDEX(ERP資料!$A:$A, (MATCH(685, 輔助計算!$G$2:$G$801, 0)+1)), "")&lt;&gt;"", IFERROR(INDEX(ERP資料!$A:$A, (MATCH(685, 輔助計算!$G$2:$G$801, 0)+1)), "")&lt;&gt;IFERROR(INDEX(ERP資料!$A:$A, MATCH(684, 輔助計算!$G$2:$G$801, 0)+1), "")), INDEX(ERP資料!$S:$S, (MATCH(685, 輔助計算!$G$2:$G$801, 0)+1)), ""), "")</f>
        <v/>
      </c>
      <c r="C686" s="19">
        <f>IFERROR(IF(AND(IFERROR(INDEX(ERP資料!$A:$A, (MATCH(685, 輔助計算!$G$2:$G$801, 0)+1)), "")&lt;&gt;"", IFERROR(INDEX(ERP資料!$A:$A, (MATCH(685, 輔助計算!$G$2:$G$801, 0)+1)), "")&lt;&gt;IFERROR(INDEX(ERP資料!$A:$A, MATCH(684, 輔助計算!$G$2:$G$801, 0)+1), "")), IFERROR(VLOOKUP(LEFT(INDEX(ERP資料!$S:$S, (MATCH(685, 輔助計算!$G$2:$G$801, 0)+1)), 4), 紙管對照表!$A:$C, 3, FALSE), ""), ""), "")</f>
        <v/>
      </c>
      <c r="D686" s="16" t="n"/>
      <c r="E686" s="10">
        <f>IFERROR(IF(INDEX(ERP資料!$H:$H, (MATCH(685, 輔助計算!$G$2:$G$801, 0)+1))="","",INDEX(ERP資料!$H:$H, (MATCH(685, 輔助計算!$G$2:$G$801, 0)+1))), "")</f>
        <v/>
      </c>
      <c r="F686" s="10">
        <f>IFERROR(IF(INDEX(ERP資料!$E:$E, (MATCH(685, 輔助計算!$G$2:$G$801, 0)+1))="","",TRIM(INDEX(ERP資料!$E:$E, (MATCH(685, 輔助計算!$G$2:$G$801, 0)+1)))), "")</f>
        <v/>
      </c>
      <c r="G686" s="10">
        <f>IFERROR(IF(INDEX(ERP資料!$F:$F, (MATCH(685, 輔助計算!$G$2:$G$801, 0)+1))="","",INDEX(ERP資料!$F:$F, (MATCH(685, 輔助計算!$G$2:$G$801, 0)+1))), "")</f>
        <v/>
      </c>
      <c r="H686" s="10">
        <f>IFERROR(IF(INDEX(ERP資料!$G:$G, (MATCH(685, 輔助計算!$G$2:$G$801, 0)+1))="","",INDEX(ERP資料!$G:$G, (MATCH(685, 輔助計算!$G$2:$G$801, 0)+1))), "")</f>
        <v/>
      </c>
      <c r="I686" s="15">
        <f>IFERROR(INDEX(輔助計算!$D:$D, (MATCH(685, 輔助計算!$G$2:$G$801, 0)+1)), "")</f>
        <v/>
      </c>
      <c r="J686" s="15">
        <f>IFERROR(IF(AND(INDEX(輔助計算!$D:$D, (MATCH(685, 輔助計算!$G$2:$G$801, 0)+1))&lt;&gt;"", INDEX(ERP資料!$G:$G, (MATCH(685, 輔助計算!$G$2:$G$801, 0)+1))&lt;&gt;""), TRIM(IF(INT(INDEX(輔助計算!$D:$D, (MATCH(685, 輔助計算!$G$2:$G$801, 0)+1))/IF(INDEX(ERP資料!$G:$G, (MATCH(685, 輔助計算!$G$2:$G$801, 0)+1))&lt;100, IF(INDEX(ERP資料!$G:$G, (MATCH(685, 輔助計算!$G$2:$G$801, 0)+1))&lt;=31,3,IF(INDEX(ERP資料!$G:$G, (MATCH(685, 輔助計算!$G$2:$G$801, 0)+1))&lt;=46.5,2,1)), IF(INDEX(ERP資料!$G:$G, (MATCH(685, 輔助計算!$G$2:$G$801, 0)+1))&lt;=790,3,IF(INDEX(ERP資料!$G:$G, (MATCH(685, 輔助計算!$G$2:$G$801, 0)+1))&lt;=1181,2,1))))&gt;0, IF(IF(INDEX(ERP資料!$G:$G, (MATCH(685, 輔助計算!$G$2:$G$801, 0)+1))&lt;100, IF(INDEX(ERP資料!$G:$G, (MATCH(685, 輔助計算!$G$2:$G$801, 0)+1))&lt;=31,3,IF(INDEX(ERP資料!$G:$G, (MATCH(685, 輔助計算!$G$2:$G$801, 0)+1))&lt;=46.5,2,1)), IF(INDEX(ERP資料!$G:$G, (MATCH(685, 輔助計算!$G$2:$G$801, 0)+1))&lt;=790,3,IF(INDEX(ERP資料!$G:$G, (MATCH(685, 輔助計算!$G$2:$G$801, 0)+1))&lt;=1181,2,1)))=1,TEXT(INDEX(ERP資料!$G:$G, (MATCH(685, 輔助計算!$G$2:$G$801, 0)+1)),"0.##"),IF(IF(INDEX(ERP資料!$G:$G, (MATCH(685, 輔助計算!$G$2:$G$801, 0)+1))&lt;100, IF(INDEX(ERP資料!$G:$G, (MATCH(685, 輔助計算!$G$2:$G$801, 0)+1))&lt;=31,3,IF(INDEX(ERP資料!$G:$G, (MATCH(685, 輔助計算!$G$2:$G$801, 0)+1))&lt;=46.5,2,1)), IF(INDEX(ERP資料!$G:$G, (MATCH(685, 輔助計算!$G$2:$G$801, 0)+1))&lt;=790,3,IF(INDEX(ERP資料!$G:$G, (MATCH(685, 輔助計算!$G$2:$G$801, 0)+1))&lt;=1181,2,1)))=2,TEXT(INDEX(ERP資料!$G:$G, (MATCH(685, 輔助計算!$G$2:$G$801, 0)+1)),"0.##")&amp;"+"&amp;TEXT(INDEX(ERP資料!$G:$G, (MATCH(685, 輔助計算!$G$2:$G$801, 0)+1)),"0.##"),TEXT(INDEX(ERP資料!$G:$G, (MATCH(685, 輔助計算!$G$2:$G$801, 0)+1)),"0.##")&amp;"+"&amp;TEXT(INDEX(ERP資料!$G:$G, (MATCH(685, 輔助計算!$G$2:$G$801, 0)+1)),"0.##")&amp;"+"&amp;TEXT(INDEX(ERP資料!$G:$G, (MATCH(685, 輔助計算!$G$2:$G$801, 0)+1)),"0.##")))&amp;"-"&amp;INT(INDEX(輔助計算!$D:$D, (MATCH(685, 輔助計算!$G$2:$G$801, 0)+1))/IF(INDEX(ERP資料!$G:$G, (MATCH(685, 輔助計算!$G$2:$G$801, 0)+1))&lt;100, IF(INDEX(ERP資料!$G:$G, (MATCH(685, 輔助計算!$G$2:$G$801, 0)+1))&lt;=31,3,IF(INDEX(ERP資料!$G:$G, (MATCH(685, 輔助計算!$G$2:$G$801, 0)+1))&lt;=46.5,2,1)), IF(INDEX(ERP資料!$G:$G, (MATCH(685, 輔助計算!$G$2:$G$801, 0)+1))&lt;=790,3,IF(INDEX(ERP資料!$G:$G, (MATCH(685, 輔助計算!$G$2:$G$801, 0)+1))&lt;=1181,2,1)))), "")&amp;IF(AND(IF(INT(INDEX(輔助計算!$D:$D, (MATCH(685, 輔助計算!$G$2:$G$801, 0)+1))/IF(INDEX(ERP資料!$G:$G, (MATCH(685, 輔助計算!$G$2:$G$801, 0)+1))&lt;100, IF(INDEX(ERP資料!$G:$G, (MATCH(685, 輔助計算!$G$2:$G$801, 0)+1))&lt;=31,3,IF(INDEX(ERP資料!$G:$G, (MATCH(685, 輔助計算!$G$2:$G$801, 0)+1))&lt;=46.5,2,1)), IF(INDEX(ERP資料!$G:$G, (MATCH(685, 輔助計算!$G$2:$G$801, 0)+1))&lt;=790,3,IF(INDEX(ERP資料!$G:$G, (MATCH(685, 輔助計算!$G$2:$G$801, 0)+1))&lt;=1181,2,1))))&gt;0, IF(IF(INDEX(ERP資料!$G:$G, (MATCH(685, 輔助計算!$G$2:$G$801, 0)+1))&lt;100, IF(INDEX(ERP資料!$G:$G, (MATCH(685, 輔助計算!$G$2:$G$801, 0)+1))&lt;=31,3,IF(INDEX(ERP資料!$G:$G, (MATCH(685, 輔助計算!$G$2:$G$801, 0)+1))&lt;=46.5,2,1)), IF(INDEX(ERP資料!$G:$G, (MATCH(685, 輔助計算!$G$2:$G$801, 0)+1))&lt;=790,3,IF(INDEX(ERP資料!$G:$G, (MATCH(685, 輔助計算!$G$2:$G$801, 0)+1))&lt;=1181,2,1)))=1,TEXT(INDEX(ERP資料!$G:$G, (MATCH(685, 輔助計算!$G$2:$G$801, 0)+1)),"0.##"),IF(IF(INDEX(ERP資料!$G:$G, (MATCH(685, 輔助計算!$G$2:$G$801, 0)+1))&lt;100, IF(INDEX(ERP資料!$G:$G, (MATCH(685, 輔助計算!$G$2:$G$801, 0)+1))&lt;=31,3,IF(INDEX(ERP資料!$G:$G, (MATCH(685, 輔助計算!$G$2:$G$801, 0)+1))&lt;=46.5,2,1)), IF(INDEX(ERP資料!$G:$G, (MATCH(685, 輔助計算!$G$2:$G$801, 0)+1))&lt;=790,3,IF(INDEX(ERP資料!$G:$G, (MATCH(685, 輔助計算!$G$2:$G$801, 0)+1))&lt;=1181,2,1)))=2,TEXT(INDEX(ERP資料!$G:$G, (MATCH(685, 輔助計算!$G$2:$G$801, 0)+1)),"0.##")&amp;"+"&amp;TEXT(INDEX(ERP資料!$G:$G, (MATCH(685, 輔助計算!$G$2:$G$801, 0)+1)),"0.##"),TEXT(INDEX(ERP資料!$G:$G, (MATCH(685, 輔助計算!$G$2:$G$801, 0)+1)),"0.##")&amp;"+"&amp;TEXT(INDEX(ERP資料!$G:$G, (MATCH(685, 輔助計算!$G$2:$G$801, 0)+1)),"0.##")&amp;"+"&amp;TEXT(INDEX(ERP資料!$G:$G, (MATCH(685, 輔助計算!$G$2:$G$801, 0)+1)),"0.##")))&amp;"-"&amp;INT(INDEX(輔助計算!$D:$D, (MATCH(685, 輔助計算!$G$2:$G$801, 0)+1))/IF(INDEX(ERP資料!$G:$G, (MATCH(685, 輔助計算!$G$2:$G$801, 0)+1))&lt;100, IF(INDEX(ERP資料!$G:$G, (MATCH(685, 輔助計算!$G$2:$G$801, 0)+1))&lt;=31,3,IF(INDEX(ERP資料!$G:$G, (MATCH(685, 輔助計算!$G$2:$G$801, 0)+1))&lt;=46.5,2,1)), IF(INDEX(ERP資料!$G:$G, (MATCH(685, 輔助計算!$G$2:$G$801, 0)+1))&lt;=790,3,IF(INDEX(ERP資料!$G:$G, (MATCH(685, 輔助計算!$G$2:$G$801, 0)+1))&lt;=1181,2,1)))), "")&lt;&gt;"",IF(MOD(INDEX(輔助計算!$D:$D, (MATCH(685, 輔助計算!$G$2:$G$801, 0)+1)),IF(INDEX(ERP資料!$G:$G, (MATCH(685, 輔助計算!$G$2:$G$801, 0)+1))&lt;100, IF(INDEX(ERP資料!$G:$G, (MATCH(685, 輔助計算!$G$2:$G$801, 0)+1))&lt;=31,3,IF(INDEX(ERP資料!$G:$G, (MATCH(685, 輔助計算!$G$2:$G$801, 0)+1))&lt;=46.5,2,1)), IF(INDEX(ERP資料!$G:$G, (MATCH(685, 輔助計算!$G$2:$G$801, 0)+1))&lt;=790,3,IF(INDEX(ERP資料!$G:$G, (MATCH(685, 輔助計算!$G$2:$G$801, 0)+1))&lt;=1181,2,1))))=0,"",IF(MOD(INDEX(輔助計算!$D:$D, (MATCH(685, 輔助計算!$G$2:$G$801, 0)+1)),IF(INDEX(ERP資料!$G:$G, (MATCH(685, 輔助計算!$G$2:$G$801, 0)+1))&lt;100, IF(INDEX(ERP資料!$G:$G, (MATCH(685, 輔助計算!$G$2:$G$801, 0)+1))&lt;=31,3,IF(INDEX(ERP資料!$G:$G, (MATCH(685, 輔助計算!$G$2:$G$801, 0)+1))&lt;=46.5,2,1)), IF(INDEX(ERP資料!$G:$G, (MATCH(685, 輔助計算!$G$2:$G$801, 0)+1))&lt;=790,3,IF(INDEX(ERP資料!$G:$G, (MATCH(685, 輔助計算!$G$2:$G$801, 0)+1))&lt;=1181,2,1))))=0,"",IF(MOD(INDEX(輔助計算!$D:$D, (MATCH(685, 輔助計算!$G$2:$G$801, 0)+1)),IF(INDEX(ERP資料!$G:$G, (MATCH(685, 輔助計算!$G$2:$G$801, 0)+1))&lt;100, IF(INDEX(ERP資料!$G:$G, (MATCH(685, 輔助計算!$G$2:$G$801, 0)+1))&lt;=31,3,IF(INDEX(ERP資料!$G:$G, (MATCH(685, 輔助計算!$G$2:$G$801, 0)+1))&lt;=46.5,2,1)), IF(INDEX(ERP資料!$G:$G, (MATCH(685, 輔助計算!$G$2:$G$801, 0)+1))&lt;=790,3,IF(INDEX(ERP資料!$G:$G, (MATCH(685, 輔助計算!$G$2:$G$801, 0)+1))&lt;=1181,2,1))))=1,TEXT(INDEX(ERP資料!$G:$G, (MATCH(685, 輔助計算!$G$2:$G$801, 0)+1)),"0.##"),IF(MOD(INDEX(輔助計算!$D:$D, (MATCH(685, 輔助計算!$G$2:$G$801, 0)+1)),IF(INDEX(ERP資料!$G:$G, (MATCH(685, 輔助計算!$G$2:$G$801, 0)+1))&lt;100, IF(INDEX(ERP資料!$G:$G, (MATCH(685, 輔助計算!$G$2:$G$801, 0)+1))&lt;=31,3,IF(INDEX(ERP資料!$G:$G, (MATCH(685, 輔助計算!$G$2:$G$801, 0)+1))&lt;=46.5,2,1)), IF(INDEX(ERP資料!$G:$G, (MATCH(685, 輔助計算!$G$2:$G$801, 0)+1))&lt;=790,3,IF(INDEX(ERP資料!$G:$G, (MATCH(685, 輔助計算!$G$2:$G$801, 0)+1))&lt;=1181,2,1))))=2,TEXT(INDEX(ERP資料!$G:$G, (MATCH(685, 輔助計算!$G$2:$G$801, 0)+1)),"0.##")&amp;"+"&amp;TEXT(INDEX(ERP資料!$G:$G, (MATCH(685, 輔助計算!$G$2:$G$801, 0)+1)),"0.##"),TEXT(INDEX(ERP資料!$G:$G, (MATCH(685, 輔助計算!$G$2:$G$801, 0)+1)),"0.##")&amp;"+"&amp;TEXT(INDEX(ERP資料!$G:$G, (MATCH(685, 輔助計算!$G$2:$G$801, 0)+1)),"0.##")&amp;"+"&amp;TEXT(INDEX(ERP資料!$G:$G, (MATCH(685, 輔助計算!$G$2:$G$801, 0)+1)),"0.##"))))&amp;"-1")&lt;&gt;""),"  ","")&amp;IF(MOD(INDEX(輔助計算!$D:$D, (MATCH(685, 輔助計算!$G$2:$G$801, 0)+1)),IF(INDEX(ERP資料!$G:$G, (MATCH(685, 輔助計算!$G$2:$G$801, 0)+1))&lt;100, IF(INDEX(ERP資料!$G:$G, (MATCH(685, 輔助計算!$G$2:$G$801, 0)+1))&lt;=31,3,IF(INDEX(ERP資料!$G:$G, (MATCH(685, 輔助計算!$G$2:$G$801, 0)+1))&lt;=46.5,2,1)), IF(INDEX(ERP資料!$G:$G, (MATCH(685, 輔助計算!$G$2:$G$801, 0)+1))&lt;=790,3,IF(INDEX(ERP資料!$G:$G, (MATCH(685, 輔助計算!$G$2:$G$801, 0)+1))&lt;=1181,2,1))))=0,"",IF(MOD(INDEX(輔助計算!$D:$D, (MATCH(685, 輔助計算!$G$2:$G$801, 0)+1)),IF(INDEX(ERP資料!$G:$G, (MATCH(685, 輔助計算!$G$2:$G$801, 0)+1))&lt;100, IF(INDEX(ERP資料!$G:$G, (MATCH(685, 輔助計算!$G$2:$G$801, 0)+1))&lt;=31,3,IF(INDEX(ERP資料!$G:$G, (MATCH(685, 輔助計算!$G$2:$G$801, 0)+1))&lt;=46.5,2,1)), IF(INDEX(ERP資料!$G:$G, (MATCH(685, 輔助計算!$G$2:$G$801, 0)+1))&lt;=790,3,IF(INDEX(ERP資料!$G:$G, (MATCH(685, 輔助計算!$G$2:$G$801, 0)+1))&lt;=1181,2,1))))=0,"",IF(MOD(INDEX(輔助計算!$D:$D, (MATCH(685, 輔助計算!$G$2:$G$801, 0)+1)),IF(INDEX(ERP資料!$G:$G, (MATCH(685, 輔助計算!$G$2:$G$801, 0)+1))&lt;100, IF(INDEX(ERP資料!$G:$G, (MATCH(685, 輔助計算!$G$2:$G$801, 0)+1))&lt;=31,3,IF(INDEX(ERP資料!$G:$G, (MATCH(685, 輔助計算!$G$2:$G$801, 0)+1))&lt;=46.5,2,1)), IF(INDEX(ERP資料!$G:$G, (MATCH(685, 輔助計算!$G$2:$G$801, 0)+1))&lt;=790,3,IF(INDEX(ERP資料!$G:$G, (MATCH(685, 輔助計算!$G$2:$G$801, 0)+1))&lt;=1181,2,1))))=1,TEXT(INDEX(ERP資料!$G:$G, (MATCH(685, 輔助計算!$G$2:$G$801, 0)+1)),"0.##"),IF(MOD(INDEX(輔助計算!$D:$D, (MATCH(685, 輔助計算!$G$2:$G$801, 0)+1)),IF(INDEX(ERP資料!$G:$G, (MATCH(685, 輔助計算!$G$2:$G$801, 0)+1))&lt;100, IF(INDEX(ERP資料!$G:$G, (MATCH(685, 輔助計算!$G$2:$G$801, 0)+1))&lt;=31,3,IF(INDEX(ERP資料!$G:$G, (MATCH(685, 輔助計算!$G$2:$G$801, 0)+1))&lt;=46.5,2,1)), IF(INDEX(ERP資料!$G:$G, (MATCH(685, 輔助計算!$G$2:$G$801, 0)+1))&lt;=790,3,IF(INDEX(ERP資料!$G:$G, (MATCH(685, 輔助計算!$G$2:$G$801, 0)+1))&lt;=1181,2,1))))=2,TEXT(INDEX(ERP資料!$G:$G, (MATCH(685, 輔助計算!$G$2:$G$801, 0)+1)),"0.##")&amp;"+"&amp;TEXT(INDEX(ERP資料!$G:$G, (MATCH(685, 輔助計算!$G$2:$G$801, 0)+1)),"0.##"),TEXT(INDEX(ERP資料!$G:$G, (MATCH(685, 輔助計算!$G$2:$G$801, 0)+1)),"0.##")&amp;"+"&amp;TEXT(INDEX(ERP資料!$G:$G, (MATCH(685, 輔助計算!$G$2:$G$801, 0)+1)),"0.##")&amp;"+"&amp;TEXT(INDEX(ERP資料!$G:$G, (MATCH(685, 輔助計算!$G$2:$G$801, 0)+1)),"0.##"))))&amp;"-1")), ""), "")</f>
        <v/>
      </c>
      <c r="K686" s="16" t="n"/>
      <c r="L686" s="14">
        <f>IFERROR(IF(AND(IFERROR(INDEX(ERP資料!$A:$A, (MATCH(685, 輔助計算!$G$2:$G$801, 0)+1)), "")&lt;&gt;"", IFERROR(INDEX(ERP資料!$A:$A, (MATCH(685, 輔助計算!$G$2:$G$801, 0)+1)), "")&lt;&gt;IFERROR(INDEX(ERP資料!$A:$A, MATCH(684, 輔助計算!$G$2:$G$801, 0)+1), "")), INDEX(ERP資料!$B:$B, (MATCH(685, 輔助計算!$G$2:$G$801, 0)+1)), ""), "")</f>
        <v/>
      </c>
      <c r="M686" s="17" t="n"/>
    </row>
    <row r="687">
      <c r="A687" s="10">
        <f>IFERROR(IF(AND(IFERROR(INDEX(ERP資料!$A:$A, (MATCH(686, 輔助計算!$G$2:$G$801, 0)+1)), "")&lt;&gt;"", IFERROR(INDEX(ERP資料!$A:$A, (MATCH(686, 輔助計算!$G$2:$G$801, 0)+1)), "")&lt;&gt;IFERROR(INDEX(ERP資料!$A:$A, MATCH(685, 輔助計算!$G$2:$G$801, 0)+1), "")), IFERROR(INDEX(ERP資料!$A:$A, (MATCH(686, 輔助計算!$G$2:$G$801, 0)+1)), ""), ""), "")</f>
        <v/>
      </c>
      <c r="B687" s="10">
        <f>IFERROR(IF(AND(IFERROR(INDEX(ERP資料!$A:$A, (MATCH(686, 輔助計算!$G$2:$G$801, 0)+1)), "")&lt;&gt;"", IFERROR(INDEX(ERP資料!$A:$A, (MATCH(686, 輔助計算!$G$2:$G$801, 0)+1)), "")&lt;&gt;IFERROR(INDEX(ERP資料!$A:$A, MATCH(685, 輔助計算!$G$2:$G$801, 0)+1), "")), INDEX(ERP資料!$S:$S, (MATCH(686, 輔助計算!$G$2:$G$801, 0)+1)), ""), "")</f>
        <v/>
      </c>
      <c r="C687" s="19">
        <f>IFERROR(IF(AND(IFERROR(INDEX(ERP資料!$A:$A, (MATCH(686, 輔助計算!$G$2:$G$801, 0)+1)), "")&lt;&gt;"", IFERROR(INDEX(ERP資料!$A:$A, (MATCH(686, 輔助計算!$G$2:$G$801, 0)+1)), "")&lt;&gt;IFERROR(INDEX(ERP資料!$A:$A, MATCH(685, 輔助計算!$G$2:$G$801, 0)+1), "")), IFERROR(VLOOKUP(LEFT(INDEX(ERP資料!$S:$S, (MATCH(686, 輔助計算!$G$2:$G$801, 0)+1)), 4), 紙管對照表!$A:$C, 3, FALSE), ""), ""), "")</f>
        <v/>
      </c>
      <c r="D687" s="16" t="n"/>
      <c r="E687" s="10">
        <f>IFERROR(IF(INDEX(ERP資料!$H:$H, (MATCH(686, 輔助計算!$G$2:$G$801, 0)+1))="","",INDEX(ERP資料!$H:$H, (MATCH(686, 輔助計算!$G$2:$G$801, 0)+1))), "")</f>
        <v/>
      </c>
      <c r="F687" s="10">
        <f>IFERROR(IF(INDEX(ERP資料!$E:$E, (MATCH(686, 輔助計算!$G$2:$G$801, 0)+1))="","",TRIM(INDEX(ERP資料!$E:$E, (MATCH(686, 輔助計算!$G$2:$G$801, 0)+1)))), "")</f>
        <v/>
      </c>
      <c r="G687" s="10">
        <f>IFERROR(IF(INDEX(ERP資料!$F:$F, (MATCH(686, 輔助計算!$G$2:$G$801, 0)+1))="","",INDEX(ERP資料!$F:$F, (MATCH(686, 輔助計算!$G$2:$G$801, 0)+1))), "")</f>
        <v/>
      </c>
      <c r="H687" s="10">
        <f>IFERROR(IF(INDEX(ERP資料!$G:$G, (MATCH(686, 輔助計算!$G$2:$G$801, 0)+1))="","",INDEX(ERP資料!$G:$G, (MATCH(686, 輔助計算!$G$2:$G$801, 0)+1))), "")</f>
        <v/>
      </c>
      <c r="I687" s="15">
        <f>IFERROR(INDEX(輔助計算!$D:$D, (MATCH(686, 輔助計算!$G$2:$G$801, 0)+1)), "")</f>
        <v/>
      </c>
      <c r="J687" s="15">
        <f>IFERROR(IF(AND(INDEX(輔助計算!$D:$D, (MATCH(686, 輔助計算!$G$2:$G$801, 0)+1))&lt;&gt;"", INDEX(ERP資料!$G:$G, (MATCH(686, 輔助計算!$G$2:$G$801, 0)+1))&lt;&gt;""), TRIM(IF(INT(INDEX(輔助計算!$D:$D, (MATCH(686, 輔助計算!$G$2:$G$801, 0)+1))/IF(INDEX(ERP資料!$G:$G, (MATCH(686, 輔助計算!$G$2:$G$801, 0)+1))&lt;100, IF(INDEX(ERP資料!$G:$G, (MATCH(686, 輔助計算!$G$2:$G$801, 0)+1))&lt;=31,3,IF(INDEX(ERP資料!$G:$G, (MATCH(686, 輔助計算!$G$2:$G$801, 0)+1))&lt;=46.5,2,1)), IF(INDEX(ERP資料!$G:$G, (MATCH(686, 輔助計算!$G$2:$G$801, 0)+1))&lt;=790,3,IF(INDEX(ERP資料!$G:$G, (MATCH(686, 輔助計算!$G$2:$G$801, 0)+1))&lt;=1181,2,1))))&gt;0, IF(IF(INDEX(ERP資料!$G:$G, (MATCH(686, 輔助計算!$G$2:$G$801, 0)+1))&lt;100, IF(INDEX(ERP資料!$G:$G, (MATCH(686, 輔助計算!$G$2:$G$801, 0)+1))&lt;=31,3,IF(INDEX(ERP資料!$G:$G, (MATCH(686, 輔助計算!$G$2:$G$801, 0)+1))&lt;=46.5,2,1)), IF(INDEX(ERP資料!$G:$G, (MATCH(686, 輔助計算!$G$2:$G$801, 0)+1))&lt;=790,3,IF(INDEX(ERP資料!$G:$G, (MATCH(686, 輔助計算!$G$2:$G$801, 0)+1))&lt;=1181,2,1)))=1,TEXT(INDEX(ERP資料!$G:$G, (MATCH(686, 輔助計算!$G$2:$G$801, 0)+1)),"0.##"),IF(IF(INDEX(ERP資料!$G:$G, (MATCH(686, 輔助計算!$G$2:$G$801, 0)+1))&lt;100, IF(INDEX(ERP資料!$G:$G, (MATCH(686, 輔助計算!$G$2:$G$801, 0)+1))&lt;=31,3,IF(INDEX(ERP資料!$G:$G, (MATCH(686, 輔助計算!$G$2:$G$801, 0)+1))&lt;=46.5,2,1)), IF(INDEX(ERP資料!$G:$G, (MATCH(686, 輔助計算!$G$2:$G$801, 0)+1))&lt;=790,3,IF(INDEX(ERP資料!$G:$G, (MATCH(686, 輔助計算!$G$2:$G$801, 0)+1))&lt;=1181,2,1)))=2,TEXT(INDEX(ERP資料!$G:$G, (MATCH(686, 輔助計算!$G$2:$G$801, 0)+1)),"0.##")&amp;"+"&amp;TEXT(INDEX(ERP資料!$G:$G, (MATCH(686, 輔助計算!$G$2:$G$801, 0)+1)),"0.##"),TEXT(INDEX(ERP資料!$G:$G, (MATCH(686, 輔助計算!$G$2:$G$801, 0)+1)),"0.##")&amp;"+"&amp;TEXT(INDEX(ERP資料!$G:$G, (MATCH(686, 輔助計算!$G$2:$G$801, 0)+1)),"0.##")&amp;"+"&amp;TEXT(INDEX(ERP資料!$G:$G, (MATCH(686, 輔助計算!$G$2:$G$801, 0)+1)),"0.##")))&amp;"-"&amp;INT(INDEX(輔助計算!$D:$D, (MATCH(686, 輔助計算!$G$2:$G$801, 0)+1))/IF(INDEX(ERP資料!$G:$G, (MATCH(686, 輔助計算!$G$2:$G$801, 0)+1))&lt;100, IF(INDEX(ERP資料!$G:$G, (MATCH(686, 輔助計算!$G$2:$G$801, 0)+1))&lt;=31,3,IF(INDEX(ERP資料!$G:$G, (MATCH(686, 輔助計算!$G$2:$G$801, 0)+1))&lt;=46.5,2,1)), IF(INDEX(ERP資料!$G:$G, (MATCH(686, 輔助計算!$G$2:$G$801, 0)+1))&lt;=790,3,IF(INDEX(ERP資料!$G:$G, (MATCH(686, 輔助計算!$G$2:$G$801, 0)+1))&lt;=1181,2,1)))), "")&amp;IF(AND(IF(INT(INDEX(輔助計算!$D:$D, (MATCH(686, 輔助計算!$G$2:$G$801, 0)+1))/IF(INDEX(ERP資料!$G:$G, (MATCH(686, 輔助計算!$G$2:$G$801, 0)+1))&lt;100, IF(INDEX(ERP資料!$G:$G, (MATCH(686, 輔助計算!$G$2:$G$801, 0)+1))&lt;=31,3,IF(INDEX(ERP資料!$G:$G, (MATCH(686, 輔助計算!$G$2:$G$801, 0)+1))&lt;=46.5,2,1)), IF(INDEX(ERP資料!$G:$G, (MATCH(686, 輔助計算!$G$2:$G$801, 0)+1))&lt;=790,3,IF(INDEX(ERP資料!$G:$G, (MATCH(686, 輔助計算!$G$2:$G$801, 0)+1))&lt;=1181,2,1))))&gt;0, IF(IF(INDEX(ERP資料!$G:$G, (MATCH(686, 輔助計算!$G$2:$G$801, 0)+1))&lt;100, IF(INDEX(ERP資料!$G:$G, (MATCH(686, 輔助計算!$G$2:$G$801, 0)+1))&lt;=31,3,IF(INDEX(ERP資料!$G:$G, (MATCH(686, 輔助計算!$G$2:$G$801, 0)+1))&lt;=46.5,2,1)), IF(INDEX(ERP資料!$G:$G, (MATCH(686, 輔助計算!$G$2:$G$801, 0)+1))&lt;=790,3,IF(INDEX(ERP資料!$G:$G, (MATCH(686, 輔助計算!$G$2:$G$801, 0)+1))&lt;=1181,2,1)))=1,TEXT(INDEX(ERP資料!$G:$G, (MATCH(686, 輔助計算!$G$2:$G$801, 0)+1)),"0.##"),IF(IF(INDEX(ERP資料!$G:$G, (MATCH(686, 輔助計算!$G$2:$G$801, 0)+1))&lt;100, IF(INDEX(ERP資料!$G:$G, (MATCH(686, 輔助計算!$G$2:$G$801, 0)+1))&lt;=31,3,IF(INDEX(ERP資料!$G:$G, (MATCH(686, 輔助計算!$G$2:$G$801, 0)+1))&lt;=46.5,2,1)), IF(INDEX(ERP資料!$G:$G, (MATCH(686, 輔助計算!$G$2:$G$801, 0)+1))&lt;=790,3,IF(INDEX(ERP資料!$G:$G, (MATCH(686, 輔助計算!$G$2:$G$801, 0)+1))&lt;=1181,2,1)))=2,TEXT(INDEX(ERP資料!$G:$G, (MATCH(686, 輔助計算!$G$2:$G$801, 0)+1)),"0.##")&amp;"+"&amp;TEXT(INDEX(ERP資料!$G:$G, (MATCH(686, 輔助計算!$G$2:$G$801, 0)+1)),"0.##"),TEXT(INDEX(ERP資料!$G:$G, (MATCH(686, 輔助計算!$G$2:$G$801, 0)+1)),"0.##")&amp;"+"&amp;TEXT(INDEX(ERP資料!$G:$G, (MATCH(686, 輔助計算!$G$2:$G$801, 0)+1)),"0.##")&amp;"+"&amp;TEXT(INDEX(ERP資料!$G:$G, (MATCH(686, 輔助計算!$G$2:$G$801, 0)+1)),"0.##")))&amp;"-"&amp;INT(INDEX(輔助計算!$D:$D, (MATCH(686, 輔助計算!$G$2:$G$801, 0)+1))/IF(INDEX(ERP資料!$G:$G, (MATCH(686, 輔助計算!$G$2:$G$801, 0)+1))&lt;100, IF(INDEX(ERP資料!$G:$G, (MATCH(686, 輔助計算!$G$2:$G$801, 0)+1))&lt;=31,3,IF(INDEX(ERP資料!$G:$G, (MATCH(686, 輔助計算!$G$2:$G$801, 0)+1))&lt;=46.5,2,1)), IF(INDEX(ERP資料!$G:$G, (MATCH(686, 輔助計算!$G$2:$G$801, 0)+1))&lt;=790,3,IF(INDEX(ERP資料!$G:$G, (MATCH(686, 輔助計算!$G$2:$G$801, 0)+1))&lt;=1181,2,1)))), "")&lt;&gt;"",IF(MOD(INDEX(輔助計算!$D:$D, (MATCH(686, 輔助計算!$G$2:$G$801, 0)+1)),IF(INDEX(ERP資料!$G:$G, (MATCH(686, 輔助計算!$G$2:$G$801, 0)+1))&lt;100, IF(INDEX(ERP資料!$G:$G, (MATCH(686, 輔助計算!$G$2:$G$801, 0)+1))&lt;=31,3,IF(INDEX(ERP資料!$G:$G, (MATCH(686, 輔助計算!$G$2:$G$801, 0)+1))&lt;=46.5,2,1)), IF(INDEX(ERP資料!$G:$G, (MATCH(686, 輔助計算!$G$2:$G$801, 0)+1))&lt;=790,3,IF(INDEX(ERP資料!$G:$G, (MATCH(686, 輔助計算!$G$2:$G$801, 0)+1))&lt;=1181,2,1))))=0,"",IF(MOD(INDEX(輔助計算!$D:$D, (MATCH(686, 輔助計算!$G$2:$G$801, 0)+1)),IF(INDEX(ERP資料!$G:$G, (MATCH(686, 輔助計算!$G$2:$G$801, 0)+1))&lt;100, IF(INDEX(ERP資料!$G:$G, (MATCH(686, 輔助計算!$G$2:$G$801, 0)+1))&lt;=31,3,IF(INDEX(ERP資料!$G:$G, (MATCH(686, 輔助計算!$G$2:$G$801, 0)+1))&lt;=46.5,2,1)), IF(INDEX(ERP資料!$G:$G, (MATCH(686, 輔助計算!$G$2:$G$801, 0)+1))&lt;=790,3,IF(INDEX(ERP資料!$G:$G, (MATCH(686, 輔助計算!$G$2:$G$801, 0)+1))&lt;=1181,2,1))))=0,"",IF(MOD(INDEX(輔助計算!$D:$D, (MATCH(686, 輔助計算!$G$2:$G$801, 0)+1)),IF(INDEX(ERP資料!$G:$G, (MATCH(686, 輔助計算!$G$2:$G$801, 0)+1))&lt;100, IF(INDEX(ERP資料!$G:$G, (MATCH(686, 輔助計算!$G$2:$G$801, 0)+1))&lt;=31,3,IF(INDEX(ERP資料!$G:$G, (MATCH(686, 輔助計算!$G$2:$G$801, 0)+1))&lt;=46.5,2,1)), IF(INDEX(ERP資料!$G:$G, (MATCH(686, 輔助計算!$G$2:$G$801, 0)+1))&lt;=790,3,IF(INDEX(ERP資料!$G:$G, (MATCH(686, 輔助計算!$G$2:$G$801, 0)+1))&lt;=1181,2,1))))=1,TEXT(INDEX(ERP資料!$G:$G, (MATCH(686, 輔助計算!$G$2:$G$801, 0)+1)),"0.##"),IF(MOD(INDEX(輔助計算!$D:$D, (MATCH(686, 輔助計算!$G$2:$G$801, 0)+1)),IF(INDEX(ERP資料!$G:$G, (MATCH(686, 輔助計算!$G$2:$G$801, 0)+1))&lt;100, IF(INDEX(ERP資料!$G:$G, (MATCH(686, 輔助計算!$G$2:$G$801, 0)+1))&lt;=31,3,IF(INDEX(ERP資料!$G:$G, (MATCH(686, 輔助計算!$G$2:$G$801, 0)+1))&lt;=46.5,2,1)), IF(INDEX(ERP資料!$G:$G, (MATCH(686, 輔助計算!$G$2:$G$801, 0)+1))&lt;=790,3,IF(INDEX(ERP資料!$G:$G, (MATCH(686, 輔助計算!$G$2:$G$801, 0)+1))&lt;=1181,2,1))))=2,TEXT(INDEX(ERP資料!$G:$G, (MATCH(686, 輔助計算!$G$2:$G$801, 0)+1)),"0.##")&amp;"+"&amp;TEXT(INDEX(ERP資料!$G:$G, (MATCH(686, 輔助計算!$G$2:$G$801, 0)+1)),"0.##"),TEXT(INDEX(ERP資料!$G:$G, (MATCH(686, 輔助計算!$G$2:$G$801, 0)+1)),"0.##")&amp;"+"&amp;TEXT(INDEX(ERP資料!$G:$G, (MATCH(686, 輔助計算!$G$2:$G$801, 0)+1)),"0.##")&amp;"+"&amp;TEXT(INDEX(ERP資料!$G:$G, (MATCH(686, 輔助計算!$G$2:$G$801, 0)+1)),"0.##"))))&amp;"-1")&lt;&gt;""),"  ","")&amp;IF(MOD(INDEX(輔助計算!$D:$D, (MATCH(686, 輔助計算!$G$2:$G$801, 0)+1)),IF(INDEX(ERP資料!$G:$G, (MATCH(686, 輔助計算!$G$2:$G$801, 0)+1))&lt;100, IF(INDEX(ERP資料!$G:$G, (MATCH(686, 輔助計算!$G$2:$G$801, 0)+1))&lt;=31,3,IF(INDEX(ERP資料!$G:$G, (MATCH(686, 輔助計算!$G$2:$G$801, 0)+1))&lt;=46.5,2,1)), IF(INDEX(ERP資料!$G:$G, (MATCH(686, 輔助計算!$G$2:$G$801, 0)+1))&lt;=790,3,IF(INDEX(ERP資料!$G:$G, (MATCH(686, 輔助計算!$G$2:$G$801, 0)+1))&lt;=1181,2,1))))=0,"",IF(MOD(INDEX(輔助計算!$D:$D, (MATCH(686, 輔助計算!$G$2:$G$801, 0)+1)),IF(INDEX(ERP資料!$G:$G, (MATCH(686, 輔助計算!$G$2:$G$801, 0)+1))&lt;100, IF(INDEX(ERP資料!$G:$G, (MATCH(686, 輔助計算!$G$2:$G$801, 0)+1))&lt;=31,3,IF(INDEX(ERP資料!$G:$G, (MATCH(686, 輔助計算!$G$2:$G$801, 0)+1))&lt;=46.5,2,1)), IF(INDEX(ERP資料!$G:$G, (MATCH(686, 輔助計算!$G$2:$G$801, 0)+1))&lt;=790,3,IF(INDEX(ERP資料!$G:$G, (MATCH(686, 輔助計算!$G$2:$G$801, 0)+1))&lt;=1181,2,1))))=0,"",IF(MOD(INDEX(輔助計算!$D:$D, (MATCH(686, 輔助計算!$G$2:$G$801, 0)+1)),IF(INDEX(ERP資料!$G:$G, (MATCH(686, 輔助計算!$G$2:$G$801, 0)+1))&lt;100, IF(INDEX(ERP資料!$G:$G, (MATCH(686, 輔助計算!$G$2:$G$801, 0)+1))&lt;=31,3,IF(INDEX(ERP資料!$G:$G, (MATCH(686, 輔助計算!$G$2:$G$801, 0)+1))&lt;=46.5,2,1)), IF(INDEX(ERP資料!$G:$G, (MATCH(686, 輔助計算!$G$2:$G$801, 0)+1))&lt;=790,3,IF(INDEX(ERP資料!$G:$G, (MATCH(686, 輔助計算!$G$2:$G$801, 0)+1))&lt;=1181,2,1))))=1,TEXT(INDEX(ERP資料!$G:$G, (MATCH(686, 輔助計算!$G$2:$G$801, 0)+1)),"0.##"),IF(MOD(INDEX(輔助計算!$D:$D, (MATCH(686, 輔助計算!$G$2:$G$801, 0)+1)),IF(INDEX(ERP資料!$G:$G, (MATCH(686, 輔助計算!$G$2:$G$801, 0)+1))&lt;100, IF(INDEX(ERP資料!$G:$G, (MATCH(686, 輔助計算!$G$2:$G$801, 0)+1))&lt;=31,3,IF(INDEX(ERP資料!$G:$G, (MATCH(686, 輔助計算!$G$2:$G$801, 0)+1))&lt;=46.5,2,1)), IF(INDEX(ERP資料!$G:$G, (MATCH(686, 輔助計算!$G$2:$G$801, 0)+1))&lt;=790,3,IF(INDEX(ERP資料!$G:$G, (MATCH(686, 輔助計算!$G$2:$G$801, 0)+1))&lt;=1181,2,1))))=2,TEXT(INDEX(ERP資料!$G:$G, (MATCH(686, 輔助計算!$G$2:$G$801, 0)+1)),"0.##")&amp;"+"&amp;TEXT(INDEX(ERP資料!$G:$G, (MATCH(686, 輔助計算!$G$2:$G$801, 0)+1)),"0.##"),TEXT(INDEX(ERP資料!$G:$G, (MATCH(686, 輔助計算!$G$2:$G$801, 0)+1)),"0.##")&amp;"+"&amp;TEXT(INDEX(ERP資料!$G:$G, (MATCH(686, 輔助計算!$G$2:$G$801, 0)+1)),"0.##")&amp;"+"&amp;TEXT(INDEX(ERP資料!$G:$G, (MATCH(686, 輔助計算!$G$2:$G$801, 0)+1)),"0.##"))))&amp;"-1")), ""), "")</f>
        <v/>
      </c>
      <c r="K687" s="16" t="n"/>
      <c r="L687" s="14">
        <f>IFERROR(IF(AND(IFERROR(INDEX(ERP資料!$A:$A, (MATCH(686, 輔助計算!$G$2:$G$801, 0)+1)), "")&lt;&gt;"", IFERROR(INDEX(ERP資料!$A:$A, (MATCH(686, 輔助計算!$G$2:$G$801, 0)+1)), "")&lt;&gt;IFERROR(INDEX(ERP資料!$A:$A, MATCH(685, 輔助計算!$G$2:$G$801, 0)+1), "")), INDEX(ERP資料!$B:$B, (MATCH(686, 輔助計算!$G$2:$G$801, 0)+1)), ""), "")</f>
        <v/>
      </c>
      <c r="M687" s="17" t="n"/>
    </row>
    <row r="688">
      <c r="A688" s="10">
        <f>IFERROR(IF(AND(IFERROR(INDEX(ERP資料!$A:$A, (MATCH(687, 輔助計算!$G$2:$G$801, 0)+1)), "")&lt;&gt;"", IFERROR(INDEX(ERP資料!$A:$A, (MATCH(687, 輔助計算!$G$2:$G$801, 0)+1)), "")&lt;&gt;IFERROR(INDEX(ERP資料!$A:$A, MATCH(686, 輔助計算!$G$2:$G$801, 0)+1), "")), IFERROR(INDEX(ERP資料!$A:$A, (MATCH(687, 輔助計算!$G$2:$G$801, 0)+1)), ""), ""), "")</f>
        <v/>
      </c>
      <c r="B688" s="10">
        <f>IFERROR(IF(AND(IFERROR(INDEX(ERP資料!$A:$A, (MATCH(687, 輔助計算!$G$2:$G$801, 0)+1)), "")&lt;&gt;"", IFERROR(INDEX(ERP資料!$A:$A, (MATCH(687, 輔助計算!$G$2:$G$801, 0)+1)), "")&lt;&gt;IFERROR(INDEX(ERP資料!$A:$A, MATCH(686, 輔助計算!$G$2:$G$801, 0)+1), "")), INDEX(ERP資料!$S:$S, (MATCH(687, 輔助計算!$G$2:$G$801, 0)+1)), ""), "")</f>
        <v/>
      </c>
      <c r="C688" s="19">
        <f>IFERROR(IF(AND(IFERROR(INDEX(ERP資料!$A:$A, (MATCH(687, 輔助計算!$G$2:$G$801, 0)+1)), "")&lt;&gt;"", IFERROR(INDEX(ERP資料!$A:$A, (MATCH(687, 輔助計算!$G$2:$G$801, 0)+1)), "")&lt;&gt;IFERROR(INDEX(ERP資料!$A:$A, MATCH(686, 輔助計算!$G$2:$G$801, 0)+1), "")), IFERROR(VLOOKUP(LEFT(INDEX(ERP資料!$S:$S, (MATCH(687, 輔助計算!$G$2:$G$801, 0)+1)), 4), 紙管對照表!$A:$C, 3, FALSE), ""), ""), "")</f>
        <v/>
      </c>
      <c r="D688" s="16" t="n"/>
      <c r="E688" s="10">
        <f>IFERROR(IF(INDEX(ERP資料!$H:$H, (MATCH(687, 輔助計算!$G$2:$G$801, 0)+1))="","",INDEX(ERP資料!$H:$H, (MATCH(687, 輔助計算!$G$2:$G$801, 0)+1))), "")</f>
        <v/>
      </c>
      <c r="F688" s="10">
        <f>IFERROR(IF(INDEX(ERP資料!$E:$E, (MATCH(687, 輔助計算!$G$2:$G$801, 0)+1))="","",TRIM(INDEX(ERP資料!$E:$E, (MATCH(687, 輔助計算!$G$2:$G$801, 0)+1)))), "")</f>
        <v/>
      </c>
      <c r="G688" s="10">
        <f>IFERROR(IF(INDEX(ERP資料!$F:$F, (MATCH(687, 輔助計算!$G$2:$G$801, 0)+1))="","",INDEX(ERP資料!$F:$F, (MATCH(687, 輔助計算!$G$2:$G$801, 0)+1))), "")</f>
        <v/>
      </c>
      <c r="H688" s="10">
        <f>IFERROR(IF(INDEX(ERP資料!$G:$G, (MATCH(687, 輔助計算!$G$2:$G$801, 0)+1))="","",INDEX(ERP資料!$G:$G, (MATCH(687, 輔助計算!$G$2:$G$801, 0)+1))), "")</f>
        <v/>
      </c>
      <c r="I688" s="15">
        <f>IFERROR(INDEX(輔助計算!$D:$D, (MATCH(687, 輔助計算!$G$2:$G$801, 0)+1)), "")</f>
        <v/>
      </c>
      <c r="J688" s="15">
        <f>IFERROR(IF(AND(INDEX(輔助計算!$D:$D, (MATCH(687, 輔助計算!$G$2:$G$801, 0)+1))&lt;&gt;"", INDEX(ERP資料!$G:$G, (MATCH(687, 輔助計算!$G$2:$G$801, 0)+1))&lt;&gt;""), TRIM(IF(INT(INDEX(輔助計算!$D:$D, (MATCH(687, 輔助計算!$G$2:$G$801, 0)+1))/IF(INDEX(ERP資料!$G:$G, (MATCH(687, 輔助計算!$G$2:$G$801, 0)+1))&lt;100, IF(INDEX(ERP資料!$G:$G, (MATCH(687, 輔助計算!$G$2:$G$801, 0)+1))&lt;=31,3,IF(INDEX(ERP資料!$G:$G, (MATCH(687, 輔助計算!$G$2:$G$801, 0)+1))&lt;=46.5,2,1)), IF(INDEX(ERP資料!$G:$G, (MATCH(687, 輔助計算!$G$2:$G$801, 0)+1))&lt;=790,3,IF(INDEX(ERP資料!$G:$G, (MATCH(687, 輔助計算!$G$2:$G$801, 0)+1))&lt;=1181,2,1))))&gt;0, IF(IF(INDEX(ERP資料!$G:$G, (MATCH(687, 輔助計算!$G$2:$G$801, 0)+1))&lt;100, IF(INDEX(ERP資料!$G:$G, (MATCH(687, 輔助計算!$G$2:$G$801, 0)+1))&lt;=31,3,IF(INDEX(ERP資料!$G:$G, (MATCH(687, 輔助計算!$G$2:$G$801, 0)+1))&lt;=46.5,2,1)), IF(INDEX(ERP資料!$G:$G, (MATCH(687, 輔助計算!$G$2:$G$801, 0)+1))&lt;=790,3,IF(INDEX(ERP資料!$G:$G, (MATCH(687, 輔助計算!$G$2:$G$801, 0)+1))&lt;=1181,2,1)))=1,TEXT(INDEX(ERP資料!$G:$G, (MATCH(687, 輔助計算!$G$2:$G$801, 0)+1)),"0.##"),IF(IF(INDEX(ERP資料!$G:$G, (MATCH(687, 輔助計算!$G$2:$G$801, 0)+1))&lt;100, IF(INDEX(ERP資料!$G:$G, (MATCH(687, 輔助計算!$G$2:$G$801, 0)+1))&lt;=31,3,IF(INDEX(ERP資料!$G:$G, (MATCH(687, 輔助計算!$G$2:$G$801, 0)+1))&lt;=46.5,2,1)), IF(INDEX(ERP資料!$G:$G, (MATCH(687, 輔助計算!$G$2:$G$801, 0)+1))&lt;=790,3,IF(INDEX(ERP資料!$G:$G, (MATCH(687, 輔助計算!$G$2:$G$801, 0)+1))&lt;=1181,2,1)))=2,TEXT(INDEX(ERP資料!$G:$G, (MATCH(687, 輔助計算!$G$2:$G$801, 0)+1)),"0.##")&amp;"+"&amp;TEXT(INDEX(ERP資料!$G:$G, (MATCH(687, 輔助計算!$G$2:$G$801, 0)+1)),"0.##"),TEXT(INDEX(ERP資料!$G:$G, (MATCH(687, 輔助計算!$G$2:$G$801, 0)+1)),"0.##")&amp;"+"&amp;TEXT(INDEX(ERP資料!$G:$G, (MATCH(687, 輔助計算!$G$2:$G$801, 0)+1)),"0.##")&amp;"+"&amp;TEXT(INDEX(ERP資料!$G:$G, (MATCH(687, 輔助計算!$G$2:$G$801, 0)+1)),"0.##")))&amp;"-"&amp;INT(INDEX(輔助計算!$D:$D, (MATCH(687, 輔助計算!$G$2:$G$801, 0)+1))/IF(INDEX(ERP資料!$G:$G, (MATCH(687, 輔助計算!$G$2:$G$801, 0)+1))&lt;100, IF(INDEX(ERP資料!$G:$G, (MATCH(687, 輔助計算!$G$2:$G$801, 0)+1))&lt;=31,3,IF(INDEX(ERP資料!$G:$G, (MATCH(687, 輔助計算!$G$2:$G$801, 0)+1))&lt;=46.5,2,1)), IF(INDEX(ERP資料!$G:$G, (MATCH(687, 輔助計算!$G$2:$G$801, 0)+1))&lt;=790,3,IF(INDEX(ERP資料!$G:$G, (MATCH(687, 輔助計算!$G$2:$G$801, 0)+1))&lt;=1181,2,1)))), "")&amp;IF(AND(IF(INT(INDEX(輔助計算!$D:$D, (MATCH(687, 輔助計算!$G$2:$G$801, 0)+1))/IF(INDEX(ERP資料!$G:$G, (MATCH(687, 輔助計算!$G$2:$G$801, 0)+1))&lt;100, IF(INDEX(ERP資料!$G:$G, (MATCH(687, 輔助計算!$G$2:$G$801, 0)+1))&lt;=31,3,IF(INDEX(ERP資料!$G:$G, (MATCH(687, 輔助計算!$G$2:$G$801, 0)+1))&lt;=46.5,2,1)), IF(INDEX(ERP資料!$G:$G, (MATCH(687, 輔助計算!$G$2:$G$801, 0)+1))&lt;=790,3,IF(INDEX(ERP資料!$G:$G, (MATCH(687, 輔助計算!$G$2:$G$801, 0)+1))&lt;=1181,2,1))))&gt;0, IF(IF(INDEX(ERP資料!$G:$G, (MATCH(687, 輔助計算!$G$2:$G$801, 0)+1))&lt;100, IF(INDEX(ERP資料!$G:$G, (MATCH(687, 輔助計算!$G$2:$G$801, 0)+1))&lt;=31,3,IF(INDEX(ERP資料!$G:$G, (MATCH(687, 輔助計算!$G$2:$G$801, 0)+1))&lt;=46.5,2,1)), IF(INDEX(ERP資料!$G:$G, (MATCH(687, 輔助計算!$G$2:$G$801, 0)+1))&lt;=790,3,IF(INDEX(ERP資料!$G:$G, (MATCH(687, 輔助計算!$G$2:$G$801, 0)+1))&lt;=1181,2,1)))=1,TEXT(INDEX(ERP資料!$G:$G, (MATCH(687, 輔助計算!$G$2:$G$801, 0)+1)),"0.##"),IF(IF(INDEX(ERP資料!$G:$G, (MATCH(687, 輔助計算!$G$2:$G$801, 0)+1))&lt;100, IF(INDEX(ERP資料!$G:$G, (MATCH(687, 輔助計算!$G$2:$G$801, 0)+1))&lt;=31,3,IF(INDEX(ERP資料!$G:$G, (MATCH(687, 輔助計算!$G$2:$G$801, 0)+1))&lt;=46.5,2,1)), IF(INDEX(ERP資料!$G:$G, (MATCH(687, 輔助計算!$G$2:$G$801, 0)+1))&lt;=790,3,IF(INDEX(ERP資料!$G:$G, (MATCH(687, 輔助計算!$G$2:$G$801, 0)+1))&lt;=1181,2,1)))=2,TEXT(INDEX(ERP資料!$G:$G, (MATCH(687, 輔助計算!$G$2:$G$801, 0)+1)),"0.##")&amp;"+"&amp;TEXT(INDEX(ERP資料!$G:$G, (MATCH(687, 輔助計算!$G$2:$G$801, 0)+1)),"0.##"),TEXT(INDEX(ERP資料!$G:$G, (MATCH(687, 輔助計算!$G$2:$G$801, 0)+1)),"0.##")&amp;"+"&amp;TEXT(INDEX(ERP資料!$G:$G, (MATCH(687, 輔助計算!$G$2:$G$801, 0)+1)),"0.##")&amp;"+"&amp;TEXT(INDEX(ERP資料!$G:$G, (MATCH(687, 輔助計算!$G$2:$G$801, 0)+1)),"0.##")))&amp;"-"&amp;INT(INDEX(輔助計算!$D:$D, (MATCH(687, 輔助計算!$G$2:$G$801, 0)+1))/IF(INDEX(ERP資料!$G:$G, (MATCH(687, 輔助計算!$G$2:$G$801, 0)+1))&lt;100, IF(INDEX(ERP資料!$G:$G, (MATCH(687, 輔助計算!$G$2:$G$801, 0)+1))&lt;=31,3,IF(INDEX(ERP資料!$G:$G, (MATCH(687, 輔助計算!$G$2:$G$801, 0)+1))&lt;=46.5,2,1)), IF(INDEX(ERP資料!$G:$G, (MATCH(687, 輔助計算!$G$2:$G$801, 0)+1))&lt;=790,3,IF(INDEX(ERP資料!$G:$G, (MATCH(687, 輔助計算!$G$2:$G$801, 0)+1))&lt;=1181,2,1)))), "")&lt;&gt;"",IF(MOD(INDEX(輔助計算!$D:$D, (MATCH(687, 輔助計算!$G$2:$G$801, 0)+1)),IF(INDEX(ERP資料!$G:$G, (MATCH(687, 輔助計算!$G$2:$G$801, 0)+1))&lt;100, IF(INDEX(ERP資料!$G:$G, (MATCH(687, 輔助計算!$G$2:$G$801, 0)+1))&lt;=31,3,IF(INDEX(ERP資料!$G:$G, (MATCH(687, 輔助計算!$G$2:$G$801, 0)+1))&lt;=46.5,2,1)), IF(INDEX(ERP資料!$G:$G, (MATCH(687, 輔助計算!$G$2:$G$801, 0)+1))&lt;=790,3,IF(INDEX(ERP資料!$G:$G, (MATCH(687, 輔助計算!$G$2:$G$801, 0)+1))&lt;=1181,2,1))))=0,"",IF(MOD(INDEX(輔助計算!$D:$D, (MATCH(687, 輔助計算!$G$2:$G$801, 0)+1)),IF(INDEX(ERP資料!$G:$G, (MATCH(687, 輔助計算!$G$2:$G$801, 0)+1))&lt;100, IF(INDEX(ERP資料!$G:$G, (MATCH(687, 輔助計算!$G$2:$G$801, 0)+1))&lt;=31,3,IF(INDEX(ERP資料!$G:$G, (MATCH(687, 輔助計算!$G$2:$G$801, 0)+1))&lt;=46.5,2,1)), IF(INDEX(ERP資料!$G:$G, (MATCH(687, 輔助計算!$G$2:$G$801, 0)+1))&lt;=790,3,IF(INDEX(ERP資料!$G:$G, (MATCH(687, 輔助計算!$G$2:$G$801, 0)+1))&lt;=1181,2,1))))=0,"",IF(MOD(INDEX(輔助計算!$D:$D, (MATCH(687, 輔助計算!$G$2:$G$801, 0)+1)),IF(INDEX(ERP資料!$G:$G, (MATCH(687, 輔助計算!$G$2:$G$801, 0)+1))&lt;100, IF(INDEX(ERP資料!$G:$G, (MATCH(687, 輔助計算!$G$2:$G$801, 0)+1))&lt;=31,3,IF(INDEX(ERP資料!$G:$G, (MATCH(687, 輔助計算!$G$2:$G$801, 0)+1))&lt;=46.5,2,1)), IF(INDEX(ERP資料!$G:$G, (MATCH(687, 輔助計算!$G$2:$G$801, 0)+1))&lt;=790,3,IF(INDEX(ERP資料!$G:$G, (MATCH(687, 輔助計算!$G$2:$G$801, 0)+1))&lt;=1181,2,1))))=1,TEXT(INDEX(ERP資料!$G:$G, (MATCH(687, 輔助計算!$G$2:$G$801, 0)+1)),"0.##"),IF(MOD(INDEX(輔助計算!$D:$D, (MATCH(687, 輔助計算!$G$2:$G$801, 0)+1)),IF(INDEX(ERP資料!$G:$G, (MATCH(687, 輔助計算!$G$2:$G$801, 0)+1))&lt;100, IF(INDEX(ERP資料!$G:$G, (MATCH(687, 輔助計算!$G$2:$G$801, 0)+1))&lt;=31,3,IF(INDEX(ERP資料!$G:$G, (MATCH(687, 輔助計算!$G$2:$G$801, 0)+1))&lt;=46.5,2,1)), IF(INDEX(ERP資料!$G:$G, (MATCH(687, 輔助計算!$G$2:$G$801, 0)+1))&lt;=790,3,IF(INDEX(ERP資料!$G:$G, (MATCH(687, 輔助計算!$G$2:$G$801, 0)+1))&lt;=1181,2,1))))=2,TEXT(INDEX(ERP資料!$G:$G, (MATCH(687, 輔助計算!$G$2:$G$801, 0)+1)),"0.##")&amp;"+"&amp;TEXT(INDEX(ERP資料!$G:$G, (MATCH(687, 輔助計算!$G$2:$G$801, 0)+1)),"0.##"),TEXT(INDEX(ERP資料!$G:$G, (MATCH(687, 輔助計算!$G$2:$G$801, 0)+1)),"0.##")&amp;"+"&amp;TEXT(INDEX(ERP資料!$G:$G, (MATCH(687, 輔助計算!$G$2:$G$801, 0)+1)),"0.##")&amp;"+"&amp;TEXT(INDEX(ERP資料!$G:$G, (MATCH(687, 輔助計算!$G$2:$G$801, 0)+1)),"0.##"))))&amp;"-1")&lt;&gt;""),"  ","")&amp;IF(MOD(INDEX(輔助計算!$D:$D, (MATCH(687, 輔助計算!$G$2:$G$801, 0)+1)),IF(INDEX(ERP資料!$G:$G, (MATCH(687, 輔助計算!$G$2:$G$801, 0)+1))&lt;100, IF(INDEX(ERP資料!$G:$G, (MATCH(687, 輔助計算!$G$2:$G$801, 0)+1))&lt;=31,3,IF(INDEX(ERP資料!$G:$G, (MATCH(687, 輔助計算!$G$2:$G$801, 0)+1))&lt;=46.5,2,1)), IF(INDEX(ERP資料!$G:$G, (MATCH(687, 輔助計算!$G$2:$G$801, 0)+1))&lt;=790,3,IF(INDEX(ERP資料!$G:$G, (MATCH(687, 輔助計算!$G$2:$G$801, 0)+1))&lt;=1181,2,1))))=0,"",IF(MOD(INDEX(輔助計算!$D:$D, (MATCH(687, 輔助計算!$G$2:$G$801, 0)+1)),IF(INDEX(ERP資料!$G:$G, (MATCH(687, 輔助計算!$G$2:$G$801, 0)+1))&lt;100, IF(INDEX(ERP資料!$G:$G, (MATCH(687, 輔助計算!$G$2:$G$801, 0)+1))&lt;=31,3,IF(INDEX(ERP資料!$G:$G, (MATCH(687, 輔助計算!$G$2:$G$801, 0)+1))&lt;=46.5,2,1)), IF(INDEX(ERP資料!$G:$G, (MATCH(687, 輔助計算!$G$2:$G$801, 0)+1))&lt;=790,3,IF(INDEX(ERP資料!$G:$G, (MATCH(687, 輔助計算!$G$2:$G$801, 0)+1))&lt;=1181,2,1))))=0,"",IF(MOD(INDEX(輔助計算!$D:$D, (MATCH(687, 輔助計算!$G$2:$G$801, 0)+1)),IF(INDEX(ERP資料!$G:$G, (MATCH(687, 輔助計算!$G$2:$G$801, 0)+1))&lt;100, IF(INDEX(ERP資料!$G:$G, (MATCH(687, 輔助計算!$G$2:$G$801, 0)+1))&lt;=31,3,IF(INDEX(ERP資料!$G:$G, (MATCH(687, 輔助計算!$G$2:$G$801, 0)+1))&lt;=46.5,2,1)), IF(INDEX(ERP資料!$G:$G, (MATCH(687, 輔助計算!$G$2:$G$801, 0)+1))&lt;=790,3,IF(INDEX(ERP資料!$G:$G, (MATCH(687, 輔助計算!$G$2:$G$801, 0)+1))&lt;=1181,2,1))))=1,TEXT(INDEX(ERP資料!$G:$G, (MATCH(687, 輔助計算!$G$2:$G$801, 0)+1)),"0.##"),IF(MOD(INDEX(輔助計算!$D:$D, (MATCH(687, 輔助計算!$G$2:$G$801, 0)+1)),IF(INDEX(ERP資料!$G:$G, (MATCH(687, 輔助計算!$G$2:$G$801, 0)+1))&lt;100, IF(INDEX(ERP資料!$G:$G, (MATCH(687, 輔助計算!$G$2:$G$801, 0)+1))&lt;=31,3,IF(INDEX(ERP資料!$G:$G, (MATCH(687, 輔助計算!$G$2:$G$801, 0)+1))&lt;=46.5,2,1)), IF(INDEX(ERP資料!$G:$G, (MATCH(687, 輔助計算!$G$2:$G$801, 0)+1))&lt;=790,3,IF(INDEX(ERP資料!$G:$G, (MATCH(687, 輔助計算!$G$2:$G$801, 0)+1))&lt;=1181,2,1))))=2,TEXT(INDEX(ERP資料!$G:$G, (MATCH(687, 輔助計算!$G$2:$G$801, 0)+1)),"0.##")&amp;"+"&amp;TEXT(INDEX(ERP資料!$G:$G, (MATCH(687, 輔助計算!$G$2:$G$801, 0)+1)),"0.##"),TEXT(INDEX(ERP資料!$G:$G, (MATCH(687, 輔助計算!$G$2:$G$801, 0)+1)),"0.##")&amp;"+"&amp;TEXT(INDEX(ERP資料!$G:$G, (MATCH(687, 輔助計算!$G$2:$G$801, 0)+1)),"0.##")&amp;"+"&amp;TEXT(INDEX(ERP資料!$G:$G, (MATCH(687, 輔助計算!$G$2:$G$801, 0)+1)),"0.##"))))&amp;"-1")), ""), "")</f>
        <v/>
      </c>
      <c r="K688" s="16" t="n"/>
      <c r="L688" s="14">
        <f>IFERROR(IF(AND(IFERROR(INDEX(ERP資料!$A:$A, (MATCH(687, 輔助計算!$G$2:$G$801, 0)+1)), "")&lt;&gt;"", IFERROR(INDEX(ERP資料!$A:$A, (MATCH(687, 輔助計算!$G$2:$G$801, 0)+1)), "")&lt;&gt;IFERROR(INDEX(ERP資料!$A:$A, MATCH(686, 輔助計算!$G$2:$G$801, 0)+1), "")), INDEX(ERP資料!$B:$B, (MATCH(687, 輔助計算!$G$2:$G$801, 0)+1)), ""), "")</f>
        <v/>
      </c>
      <c r="M688" s="17" t="n"/>
    </row>
    <row r="689">
      <c r="A689" s="10">
        <f>IFERROR(IF(AND(IFERROR(INDEX(ERP資料!$A:$A, (MATCH(688, 輔助計算!$G$2:$G$801, 0)+1)), "")&lt;&gt;"", IFERROR(INDEX(ERP資料!$A:$A, (MATCH(688, 輔助計算!$G$2:$G$801, 0)+1)), "")&lt;&gt;IFERROR(INDEX(ERP資料!$A:$A, MATCH(687, 輔助計算!$G$2:$G$801, 0)+1), "")), IFERROR(INDEX(ERP資料!$A:$A, (MATCH(688, 輔助計算!$G$2:$G$801, 0)+1)), ""), ""), "")</f>
        <v/>
      </c>
      <c r="B689" s="10">
        <f>IFERROR(IF(AND(IFERROR(INDEX(ERP資料!$A:$A, (MATCH(688, 輔助計算!$G$2:$G$801, 0)+1)), "")&lt;&gt;"", IFERROR(INDEX(ERP資料!$A:$A, (MATCH(688, 輔助計算!$G$2:$G$801, 0)+1)), "")&lt;&gt;IFERROR(INDEX(ERP資料!$A:$A, MATCH(687, 輔助計算!$G$2:$G$801, 0)+1), "")), INDEX(ERP資料!$S:$S, (MATCH(688, 輔助計算!$G$2:$G$801, 0)+1)), ""), "")</f>
        <v/>
      </c>
      <c r="C689" s="19">
        <f>IFERROR(IF(AND(IFERROR(INDEX(ERP資料!$A:$A, (MATCH(688, 輔助計算!$G$2:$G$801, 0)+1)), "")&lt;&gt;"", IFERROR(INDEX(ERP資料!$A:$A, (MATCH(688, 輔助計算!$G$2:$G$801, 0)+1)), "")&lt;&gt;IFERROR(INDEX(ERP資料!$A:$A, MATCH(687, 輔助計算!$G$2:$G$801, 0)+1), "")), IFERROR(VLOOKUP(LEFT(INDEX(ERP資料!$S:$S, (MATCH(688, 輔助計算!$G$2:$G$801, 0)+1)), 4), 紙管對照表!$A:$C, 3, FALSE), ""), ""), "")</f>
        <v/>
      </c>
      <c r="D689" s="16" t="n"/>
      <c r="E689" s="10">
        <f>IFERROR(IF(INDEX(ERP資料!$H:$H, (MATCH(688, 輔助計算!$G$2:$G$801, 0)+1))="","",INDEX(ERP資料!$H:$H, (MATCH(688, 輔助計算!$G$2:$G$801, 0)+1))), "")</f>
        <v/>
      </c>
      <c r="F689" s="10">
        <f>IFERROR(IF(INDEX(ERP資料!$E:$E, (MATCH(688, 輔助計算!$G$2:$G$801, 0)+1))="","",TRIM(INDEX(ERP資料!$E:$E, (MATCH(688, 輔助計算!$G$2:$G$801, 0)+1)))), "")</f>
        <v/>
      </c>
      <c r="G689" s="10">
        <f>IFERROR(IF(INDEX(ERP資料!$F:$F, (MATCH(688, 輔助計算!$G$2:$G$801, 0)+1))="","",INDEX(ERP資料!$F:$F, (MATCH(688, 輔助計算!$G$2:$G$801, 0)+1))), "")</f>
        <v/>
      </c>
      <c r="H689" s="10">
        <f>IFERROR(IF(INDEX(ERP資料!$G:$G, (MATCH(688, 輔助計算!$G$2:$G$801, 0)+1))="","",INDEX(ERP資料!$G:$G, (MATCH(688, 輔助計算!$G$2:$G$801, 0)+1))), "")</f>
        <v/>
      </c>
      <c r="I689" s="15">
        <f>IFERROR(INDEX(輔助計算!$D:$D, (MATCH(688, 輔助計算!$G$2:$G$801, 0)+1)), "")</f>
        <v/>
      </c>
      <c r="J689" s="15">
        <f>IFERROR(IF(AND(INDEX(輔助計算!$D:$D, (MATCH(688, 輔助計算!$G$2:$G$801, 0)+1))&lt;&gt;"", INDEX(ERP資料!$G:$G, (MATCH(688, 輔助計算!$G$2:$G$801, 0)+1))&lt;&gt;""), TRIM(IF(INT(INDEX(輔助計算!$D:$D, (MATCH(688, 輔助計算!$G$2:$G$801, 0)+1))/IF(INDEX(ERP資料!$G:$G, (MATCH(688, 輔助計算!$G$2:$G$801, 0)+1))&lt;100, IF(INDEX(ERP資料!$G:$G, (MATCH(688, 輔助計算!$G$2:$G$801, 0)+1))&lt;=31,3,IF(INDEX(ERP資料!$G:$G, (MATCH(688, 輔助計算!$G$2:$G$801, 0)+1))&lt;=46.5,2,1)), IF(INDEX(ERP資料!$G:$G, (MATCH(688, 輔助計算!$G$2:$G$801, 0)+1))&lt;=790,3,IF(INDEX(ERP資料!$G:$G, (MATCH(688, 輔助計算!$G$2:$G$801, 0)+1))&lt;=1181,2,1))))&gt;0, IF(IF(INDEX(ERP資料!$G:$G, (MATCH(688, 輔助計算!$G$2:$G$801, 0)+1))&lt;100, IF(INDEX(ERP資料!$G:$G, (MATCH(688, 輔助計算!$G$2:$G$801, 0)+1))&lt;=31,3,IF(INDEX(ERP資料!$G:$G, (MATCH(688, 輔助計算!$G$2:$G$801, 0)+1))&lt;=46.5,2,1)), IF(INDEX(ERP資料!$G:$G, (MATCH(688, 輔助計算!$G$2:$G$801, 0)+1))&lt;=790,3,IF(INDEX(ERP資料!$G:$G, (MATCH(688, 輔助計算!$G$2:$G$801, 0)+1))&lt;=1181,2,1)))=1,TEXT(INDEX(ERP資料!$G:$G, (MATCH(688, 輔助計算!$G$2:$G$801, 0)+1)),"0.##"),IF(IF(INDEX(ERP資料!$G:$G, (MATCH(688, 輔助計算!$G$2:$G$801, 0)+1))&lt;100, IF(INDEX(ERP資料!$G:$G, (MATCH(688, 輔助計算!$G$2:$G$801, 0)+1))&lt;=31,3,IF(INDEX(ERP資料!$G:$G, (MATCH(688, 輔助計算!$G$2:$G$801, 0)+1))&lt;=46.5,2,1)), IF(INDEX(ERP資料!$G:$G, (MATCH(688, 輔助計算!$G$2:$G$801, 0)+1))&lt;=790,3,IF(INDEX(ERP資料!$G:$G, (MATCH(688, 輔助計算!$G$2:$G$801, 0)+1))&lt;=1181,2,1)))=2,TEXT(INDEX(ERP資料!$G:$G, (MATCH(688, 輔助計算!$G$2:$G$801, 0)+1)),"0.##")&amp;"+"&amp;TEXT(INDEX(ERP資料!$G:$G, (MATCH(688, 輔助計算!$G$2:$G$801, 0)+1)),"0.##"),TEXT(INDEX(ERP資料!$G:$G, (MATCH(688, 輔助計算!$G$2:$G$801, 0)+1)),"0.##")&amp;"+"&amp;TEXT(INDEX(ERP資料!$G:$G, (MATCH(688, 輔助計算!$G$2:$G$801, 0)+1)),"0.##")&amp;"+"&amp;TEXT(INDEX(ERP資料!$G:$G, (MATCH(688, 輔助計算!$G$2:$G$801, 0)+1)),"0.##")))&amp;"-"&amp;INT(INDEX(輔助計算!$D:$D, (MATCH(688, 輔助計算!$G$2:$G$801, 0)+1))/IF(INDEX(ERP資料!$G:$G, (MATCH(688, 輔助計算!$G$2:$G$801, 0)+1))&lt;100, IF(INDEX(ERP資料!$G:$G, (MATCH(688, 輔助計算!$G$2:$G$801, 0)+1))&lt;=31,3,IF(INDEX(ERP資料!$G:$G, (MATCH(688, 輔助計算!$G$2:$G$801, 0)+1))&lt;=46.5,2,1)), IF(INDEX(ERP資料!$G:$G, (MATCH(688, 輔助計算!$G$2:$G$801, 0)+1))&lt;=790,3,IF(INDEX(ERP資料!$G:$G, (MATCH(688, 輔助計算!$G$2:$G$801, 0)+1))&lt;=1181,2,1)))), "")&amp;IF(AND(IF(INT(INDEX(輔助計算!$D:$D, (MATCH(688, 輔助計算!$G$2:$G$801, 0)+1))/IF(INDEX(ERP資料!$G:$G, (MATCH(688, 輔助計算!$G$2:$G$801, 0)+1))&lt;100, IF(INDEX(ERP資料!$G:$G, (MATCH(688, 輔助計算!$G$2:$G$801, 0)+1))&lt;=31,3,IF(INDEX(ERP資料!$G:$G, (MATCH(688, 輔助計算!$G$2:$G$801, 0)+1))&lt;=46.5,2,1)), IF(INDEX(ERP資料!$G:$G, (MATCH(688, 輔助計算!$G$2:$G$801, 0)+1))&lt;=790,3,IF(INDEX(ERP資料!$G:$G, (MATCH(688, 輔助計算!$G$2:$G$801, 0)+1))&lt;=1181,2,1))))&gt;0, IF(IF(INDEX(ERP資料!$G:$G, (MATCH(688, 輔助計算!$G$2:$G$801, 0)+1))&lt;100, IF(INDEX(ERP資料!$G:$G, (MATCH(688, 輔助計算!$G$2:$G$801, 0)+1))&lt;=31,3,IF(INDEX(ERP資料!$G:$G, (MATCH(688, 輔助計算!$G$2:$G$801, 0)+1))&lt;=46.5,2,1)), IF(INDEX(ERP資料!$G:$G, (MATCH(688, 輔助計算!$G$2:$G$801, 0)+1))&lt;=790,3,IF(INDEX(ERP資料!$G:$G, (MATCH(688, 輔助計算!$G$2:$G$801, 0)+1))&lt;=1181,2,1)))=1,TEXT(INDEX(ERP資料!$G:$G, (MATCH(688, 輔助計算!$G$2:$G$801, 0)+1)),"0.##"),IF(IF(INDEX(ERP資料!$G:$G, (MATCH(688, 輔助計算!$G$2:$G$801, 0)+1))&lt;100, IF(INDEX(ERP資料!$G:$G, (MATCH(688, 輔助計算!$G$2:$G$801, 0)+1))&lt;=31,3,IF(INDEX(ERP資料!$G:$G, (MATCH(688, 輔助計算!$G$2:$G$801, 0)+1))&lt;=46.5,2,1)), IF(INDEX(ERP資料!$G:$G, (MATCH(688, 輔助計算!$G$2:$G$801, 0)+1))&lt;=790,3,IF(INDEX(ERP資料!$G:$G, (MATCH(688, 輔助計算!$G$2:$G$801, 0)+1))&lt;=1181,2,1)))=2,TEXT(INDEX(ERP資料!$G:$G, (MATCH(688, 輔助計算!$G$2:$G$801, 0)+1)),"0.##")&amp;"+"&amp;TEXT(INDEX(ERP資料!$G:$G, (MATCH(688, 輔助計算!$G$2:$G$801, 0)+1)),"0.##"),TEXT(INDEX(ERP資料!$G:$G, (MATCH(688, 輔助計算!$G$2:$G$801, 0)+1)),"0.##")&amp;"+"&amp;TEXT(INDEX(ERP資料!$G:$G, (MATCH(688, 輔助計算!$G$2:$G$801, 0)+1)),"0.##")&amp;"+"&amp;TEXT(INDEX(ERP資料!$G:$G, (MATCH(688, 輔助計算!$G$2:$G$801, 0)+1)),"0.##")))&amp;"-"&amp;INT(INDEX(輔助計算!$D:$D, (MATCH(688, 輔助計算!$G$2:$G$801, 0)+1))/IF(INDEX(ERP資料!$G:$G, (MATCH(688, 輔助計算!$G$2:$G$801, 0)+1))&lt;100, IF(INDEX(ERP資料!$G:$G, (MATCH(688, 輔助計算!$G$2:$G$801, 0)+1))&lt;=31,3,IF(INDEX(ERP資料!$G:$G, (MATCH(688, 輔助計算!$G$2:$G$801, 0)+1))&lt;=46.5,2,1)), IF(INDEX(ERP資料!$G:$G, (MATCH(688, 輔助計算!$G$2:$G$801, 0)+1))&lt;=790,3,IF(INDEX(ERP資料!$G:$G, (MATCH(688, 輔助計算!$G$2:$G$801, 0)+1))&lt;=1181,2,1)))), "")&lt;&gt;"",IF(MOD(INDEX(輔助計算!$D:$D, (MATCH(688, 輔助計算!$G$2:$G$801, 0)+1)),IF(INDEX(ERP資料!$G:$G, (MATCH(688, 輔助計算!$G$2:$G$801, 0)+1))&lt;100, IF(INDEX(ERP資料!$G:$G, (MATCH(688, 輔助計算!$G$2:$G$801, 0)+1))&lt;=31,3,IF(INDEX(ERP資料!$G:$G, (MATCH(688, 輔助計算!$G$2:$G$801, 0)+1))&lt;=46.5,2,1)), IF(INDEX(ERP資料!$G:$G, (MATCH(688, 輔助計算!$G$2:$G$801, 0)+1))&lt;=790,3,IF(INDEX(ERP資料!$G:$G, (MATCH(688, 輔助計算!$G$2:$G$801, 0)+1))&lt;=1181,2,1))))=0,"",IF(MOD(INDEX(輔助計算!$D:$D, (MATCH(688, 輔助計算!$G$2:$G$801, 0)+1)),IF(INDEX(ERP資料!$G:$G, (MATCH(688, 輔助計算!$G$2:$G$801, 0)+1))&lt;100, IF(INDEX(ERP資料!$G:$G, (MATCH(688, 輔助計算!$G$2:$G$801, 0)+1))&lt;=31,3,IF(INDEX(ERP資料!$G:$G, (MATCH(688, 輔助計算!$G$2:$G$801, 0)+1))&lt;=46.5,2,1)), IF(INDEX(ERP資料!$G:$G, (MATCH(688, 輔助計算!$G$2:$G$801, 0)+1))&lt;=790,3,IF(INDEX(ERP資料!$G:$G, (MATCH(688, 輔助計算!$G$2:$G$801, 0)+1))&lt;=1181,2,1))))=0,"",IF(MOD(INDEX(輔助計算!$D:$D, (MATCH(688, 輔助計算!$G$2:$G$801, 0)+1)),IF(INDEX(ERP資料!$G:$G, (MATCH(688, 輔助計算!$G$2:$G$801, 0)+1))&lt;100, IF(INDEX(ERP資料!$G:$G, (MATCH(688, 輔助計算!$G$2:$G$801, 0)+1))&lt;=31,3,IF(INDEX(ERP資料!$G:$G, (MATCH(688, 輔助計算!$G$2:$G$801, 0)+1))&lt;=46.5,2,1)), IF(INDEX(ERP資料!$G:$G, (MATCH(688, 輔助計算!$G$2:$G$801, 0)+1))&lt;=790,3,IF(INDEX(ERP資料!$G:$G, (MATCH(688, 輔助計算!$G$2:$G$801, 0)+1))&lt;=1181,2,1))))=1,TEXT(INDEX(ERP資料!$G:$G, (MATCH(688, 輔助計算!$G$2:$G$801, 0)+1)),"0.##"),IF(MOD(INDEX(輔助計算!$D:$D, (MATCH(688, 輔助計算!$G$2:$G$801, 0)+1)),IF(INDEX(ERP資料!$G:$G, (MATCH(688, 輔助計算!$G$2:$G$801, 0)+1))&lt;100, IF(INDEX(ERP資料!$G:$G, (MATCH(688, 輔助計算!$G$2:$G$801, 0)+1))&lt;=31,3,IF(INDEX(ERP資料!$G:$G, (MATCH(688, 輔助計算!$G$2:$G$801, 0)+1))&lt;=46.5,2,1)), IF(INDEX(ERP資料!$G:$G, (MATCH(688, 輔助計算!$G$2:$G$801, 0)+1))&lt;=790,3,IF(INDEX(ERP資料!$G:$G, (MATCH(688, 輔助計算!$G$2:$G$801, 0)+1))&lt;=1181,2,1))))=2,TEXT(INDEX(ERP資料!$G:$G, (MATCH(688, 輔助計算!$G$2:$G$801, 0)+1)),"0.##")&amp;"+"&amp;TEXT(INDEX(ERP資料!$G:$G, (MATCH(688, 輔助計算!$G$2:$G$801, 0)+1)),"0.##"),TEXT(INDEX(ERP資料!$G:$G, (MATCH(688, 輔助計算!$G$2:$G$801, 0)+1)),"0.##")&amp;"+"&amp;TEXT(INDEX(ERP資料!$G:$G, (MATCH(688, 輔助計算!$G$2:$G$801, 0)+1)),"0.##")&amp;"+"&amp;TEXT(INDEX(ERP資料!$G:$G, (MATCH(688, 輔助計算!$G$2:$G$801, 0)+1)),"0.##"))))&amp;"-1")&lt;&gt;""),"  ","")&amp;IF(MOD(INDEX(輔助計算!$D:$D, (MATCH(688, 輔助計算!$G$2:$G$801, 0)+1)),IF(INDEX(ERP資料!$G:$G, (MATCH(688, 輔助計算!$G$2:$G$801, 0)+1))&lt;100, IF(INDEX(ERP資料!$G:$G, (MATCH(688, 輔助計算!$G$2:$G$801, 0)+1))&lt;=31,3,IF(INDEX(ERP資料!$G:$G, (MATCH(688, 輔助計算!$G$2:$G$801, 0)+1))&lt;=46.5,2,1)), IF(INDEX(ERP資料!$G:$G, (MATCH(688, 輔助計算!$G$2:$G$801, 0)+1))&lt;=790,3,IF(INDEX(ERP資料!$G:$G, (MATCH(688, 輔助計算!$G$2:$G$801, 0)+1))&lt;=1181,2,1))))=0,"",IF(MOD(INDEX(輔助計算!$D:$D, (MATCH(688, 輔助計算!$G$2:$G$801, 0)+1)),IF(INDEX(ERP資料!$G:$G, (MATCH(688, 輔助計算!$G$2:$G$801, 0)+1))&lt;100, IF(INDEX(ERP資料!$G:$G, (MATCH(688, 輔助計算!$G$2:$G$801, 0)+1))&lt;=31,3,IF(INDEX(ERP資料!$G:$G, (MATCH(688, 輔助計算!$G$2:$G$801, 0)+1))&lt;=46.5,2,1)), IF(INDEX(ERP資料!$G:$G, (MATCH(688, 輔助計算!$G$2:$G$801, 0)+1))&lt;=790,3,IF(INDEX(ERP資料!$G:$G, (MATCH(688, 輔助計算!$G$2:$G$801, 0)+1))&lt;=1181,2,1))))=0,"",IF(MOD(INDEX(輔助計算!$D:$D, (MATCH(688, 輔助計算!$G$2:$G$801, 0)+1)),IF(INDEX(ERP資料!$G:$G, (MATCH(688, 輔助計算!$G$2:$G$801, 0)+1))&lt;100, IF(INDEX(ERP資料!$G:$G, (MATCH(688, 輔助計算!$G$2:$G$801, 0)+1))&lt;=31,3,IF(INDEX(ERP資料!$G:$G, (MATCH(688, 輔助計算!$G$2:$G$801, 0)+1))&lt;=46.5,2,1)), IF(INDEX(ERP資料!$G:$G, (MATCH(688, 輔助計算!$G$2:$G$801, 0)+1))&lt;=790,3,IF(INDEX(ERP資料!$G:$G, (MATCH(688, 輔助計算!$G$2:$G$801, 0)+1))&lt;=1181,2,1))))=1,TEXT(INDEX(ERP資料!$G:$G, (MATCH(688, 輔助計算!$G$2:$G$801, 0)+1)),"0.##"),IF(MOD(INDEX(輔助計算!$D:$D, (MATCH(688, 輔助計算!$G$2:$G$801, 0)+1)),IF(INDEX(ERP資料!$G:$G, (MATCH(688, 輔助計算!$G$2:$G$801, 0)+1))&lt;100, IF(INDEX(ERP資料!$G:$G, (MATCH(688, 輔助計算!$G$2:$G$801, 0)+1))&lt;=31,3,IF(INDEX(ERP資料!$G:$G, (MATCH(688, 輔助計算!$G$2:$G$801, 0)+1))&lt;=46.5,2,1)), IF(INDEX(ERP資料!$G:$G, (MATCH(688, 輔助計算!$G$2:$G$801, 0)+1))&lt;=790,3,IF(INDEX(ERP資料!$G:$G, (MATCH(688, 輔助計算!$G$2:$G$801, 0)+1))&lt;=1181,2,1))))=2,TEXT(INDEX(ERP資料!$G:$G, (MATCH(688, 輔助計算!$G$2:$G$801, 0)+1)),"0.##")&amp;"+"&amp;TEXT(INDEX(ERP資料!$G:$G, (MATCH(688, 輔助計算!$G$2:$G$801, 0)+1)),"0.##"),TEXT(INDEX(ERP資料!$G:$G, (MATCH(688, 輔助計算!$G$2:$G$801, 0)+1)),"0.##")&amp;"+"&amp;TEXT(INDEX(ERP資料!$G:$G, (MATCH(688, 輔助計算!$G$2:$G$801, 0)+1)),"0.##")&amp;"+"&amp;TEXT(INDEX(ERP資料!$G:$G, (MATCH(688, 輔助計算!$G$2:$G$801, 0)+1)),"0.##"))))&amp;"-1")), ""), "")</f>
        <v/>
      </c>
      <c r="K689" s="16" t="n"/>
      <c r="L689" s="14">
        <f>IFERROR(IF(AND(IFERROR(INDEX(ERP資料!$A:$A, (MATCH(688, 輔助計算!$G$2:$G$801, 0)+1)), "")&lt;&gt;"", IFERROR(INDEX(ERP資料!$A:$A, (MATCH(688, 輔助計算!$G$2:$G$801, 0)+1)), "")&lt;&gt;IFERROR(INDEX(ERP資料!$A:$A, MATCH(687, 輔助計算!$G$2:$G$801, 0)+1), "")), INDEX(ERP資料!$B:$B, (MATCH(688, 輔助計算!$G$2:$G$801, 0)+1)), ""), "")</f>
        <v/>
      </c>
      <c r="M689" s="17" t="n"/>
    </row>
    <row r="690">
      <c r="A690" s="10">
        <f>IFERROR(IF(AND(IFERROR(INDEX(ERP資料!$A:$A, (MATCH(689, 輔助計算!$G$2:$G$801, 0)+1)), "")&lt;&gt;"", IFERROR(INDEX(ERP資料!$A:$A, (MATCH(689, 輔助計算!$G$2:$G$801, 0)+1)), "")&lt;&gt;IFERROR(INDEX(ERP資料!$A:$A, MATCH(688, 輔助計算!$G$2:$G$801, 0)+1), "")), IFERROR(INDEX(ERP資料!$A:$A, (MATCH(689, 輔助計算!$G$2:$G$801, 0)+1)), ""), ""), "")</f>
        <v/>
      </c>
      <c r="B690" s="10">
        <f>IFERROR(IF(AND(IFERROR(INDEX(ERP資料!$A:$A, (MATCH(689, 輔助計算!$G$2:$G$801, 0)+1)), "")&lt;&gt;"", IFERROR(INDEX(ERP資料!$A:$A, (MATCH(689, 輔助計算!$G$2:$G$801, 0)+1)), "")&lt;&gt;IFERROR(INDEX(ERP資料!$A:$A, MATCH(688, 輔助計算!$G$2:$G$801, 0)+1), "")), INDEX(ERP資料!$S:$S, (MATCH(689, 輔助計算!$G$2:$G$801, 0)+1)), ""), "")</f>
        <v/>
      </c>
      <c r="C690" s="19">
        <f>IFERROR(IF(AND(IFERROR(INDEX(ERP資料!$A:$A, (MATCH(689, 輔助計算!$G$2:$G$801, 0)+1)), "")&lt;&gt;"", IFERROR(INDEX(ERP資料!$A:$A, (MATCH(689, 輔助計算!$G$2:$G$801, 0)+1)), "")&lt;&gt;IFERROR(INDEX(ERP資料!$A:$A, MATCH(688, 輔助計算!$G$2:$G$801, 0)+1), "")), IFERROR(VLOOKUP(LEFT(INDEX(ERP資料!$S:$S, (MATCH(689, 輔助計算!$G$2:$G$801, 0)+1)), 4), 紙管對照表!$A:$C, 3, FALSE), ""), ""), "")</f>
        <v/>
      </c>
      <c r="D690" s="16" t="n"/>
      <c r="E690" s="10">
        <f>IFERROR(IF(INDEX(ERP資料!$H:$H, (MATCH(689, 輔助計算!$G$2:$G$801, 0)+1))="","",INDEX(ERP資料!$H:$H, (MATCH(689, 輔助計算!$G$2:$G$801, 0)+1))), "")</f>
        <v/>
      </c>
      <c r="F690" s="10">
        <f>IFERROR(IF(INDEX(ERP資料!$E:$E, (MATCH(689, 輔助計算!$G$2:$G$801, 0)+1))="","",TRIM(INDEX(ERP資料!$E:$E, (MATCH(689, 輔助計算!$G$2:$G$801, 0)+1)))), "")</f>
        <v/>
      </c>
      <c r="G690" s="10">
        <f>IFERROR(IF(INDEX(ERP資料!$F:$F, (MATCH(689, 輔助計算!$G$2:$G$801, 0)+1))="","",INDEX(ERP資料!$F:$F, (MATCH(689, 輔助計算!$G$2:$G$801, 0)+1))), "")</f>
        <v/>
      </c>
      <c r="H690" s="10">
        <f>IFERROR(IF(INDEX(ERP資料!$G:$G, (MATCH(689, 輔助計算!$G$2:$G$801, 0)+1))="","",INDEX(ERP資料!$G:$G, (MATCH(689, 輔助計算!$G$2:$G$801, 0)+1))), "")</f>
        <v/>
      </c>
      <c r="I690" s="15">
        <f>IFERROR(INDEX(輔助計算!$D:$D, (MATCH(689, 輔助計算!$G$2:$G$801, 0)+1)), "")</f>
        <v/>
      </c>
      <c r="J690" s="15">
        <f>IFERROR(IF(AND(INDEX(輔助計算!$D:$D, (MATCH(689, 輔助計算!$G$2:$G$801, 0)+1))&lt;&gt;"", INDEX(ERP資料!$G:$G, (MATCH(689, 輔助計算!$G$2:$G$801, 0)+1))&lt;&gt;""), TRIM(IF(INT(INDEX(輔助計算!$D:$D, (MATCH(689, 輔助計算!$G$2:$G$801, 0)+1))/IF(INDEX(ERP資料!$G:$G, (MATCH(689, 輔助計算!$G$2:$G$801, 0)+1))&lt;100, IF(INDEX(ERP資料!$G:$G, (MATCH(689, 輔助計算!$G$2:$G$801, 0)+1))&lt;=31,3,IF(INDEX(ERP資料!$G:$G, (MATCH(689, 輔助計算!$G$2:$G$801, 0)+1))&lt;=46.5,2,1)), IF(INDEX(ERP資料!$G:$G, (MATCH(689, 輔助計算!$G$2:$G$801, 0)+1))&lt;=790,3,IF(INDEX(ERP資料!$G:$G, (MATCH(689, 輔助計算!$G$2:$G$801, 0)+1))&lt;=1181,2,1))))&gt;0, IF(IF(INDEX(ERP資料!$G:$G, (MATCH(689, 輔助計算!$G$2:$G$801, 0)+1))&lt;100, IF(INDEX(ERP資料!$G:$G, (MATCH(689, 輔助計算!$G$2:$G$801, 0)+1))&lt;=31,3,IF(INDEX(ERP資料!$G:$G, (MATCH(689, 輔助計算!$G$2:$G$801, 0)+1))&lt;=46.5,2,1)), IF(INDEX(ERP資料!$G:$G, (MATCH(689, 輔助計算!$G$2:$G$801, 0)+1))&lt;=790,3,IF(INDEX(ERP資料!$G:$G, (MATCH(689, 輔助計算!$G$2:$G$801, 0)+1))&lt;=1181,2,1)))=1,TEXT(INDEX(ERP資料!$G:$G, (MATCH(689, 輔助計算!$G$2:$G$801, 0)+1)),"0.##"),IF(IF(INDEX(ERP資料!$G:$G, (MATCH(689, 輔助計算!$G$2:$G$801, 0)+1))&lt;100, IF(INDEX(ERP資料!$G:$G, (MATCH(689, 輔助計算!$G$2:$G$801, 0)+1))&lt;=31,3,IF(INDEX(ERP資料!$G:$G, (MATCH(689, 輔助計算!$G$2:$G$801, 0)+1))&lt;=46.5,2,1)), IF(INDEX(ERP資料!$G:$G, (MATCH(689, 輔助計算!$G$2:$G$801, 0)+1))&lt;=790,3,IF(INDEX(ERP資料!$G:$G, (MATCH(689, 輔助計算!$G$2:$G$801, 0)+1))&lt;=1181,2,1)))=2,TEXT(INDEX(ERP資料!$G:$G, (MATCH(689, 輔助計算!$G$2:$G$801, 0)+1)),"0.##")&amp;"+"&amp;TEXT(INDEX(ERP資料!$G:$G, (MATCH(689, 輔助計算!$G$2:$G$801, 0)+1)),"0.##"),TEXT(INDEX(ERP資料!$G:$G, (MATCH(689, 輔助計算!$G$2:$G$801, 0)+1)),"0.##")&amp;"+"&amp;TEXT(INDEX(ERP資料!$G:$G, (MATCH(689, 輔助計算!$G$2:$G$801, 0)+1)),"0.##")&amp;"+"&amp;TEXT(INDEX(ERP資料!$G:$G, (MATCH(689, 輔助計算!$G$2:$G$801, 0)+1)),"0.##")))&amp;"-"&amp;INT(INDEX(輔助計算!$D:$D, (MATCH(689, 輔助計算!$G$2:$G$801, 0)+1))/IF(INDEX(ERP資料!$G:$G, (MATCH(689, 輔助計算!$G$2:$G$801, 0)+1))&lt;100, IF(INDEX(ERP資料!$G:$G, (MATCH(689, 輔助計算!$G$2:$G$801, 0)+1))&lt;=31,3,IF(INDEX(ERP資料!$G:$G, (MATCH(689, 輔助計算!$G$2:$G$801, 0)+1))&lt;=46.5,2,1)), IF(INDEX(ERP資料!$G:$G, (MATCH(689, 輔助計算!$G$2:$G$801, 0)+1))&lt;=790,3,IF(INDEX(ERP資料!$G:$G, (MATCH(689, 輔助計算!$G$2:$G$801, 0)+1))&lt;=1181,2,1)))), "")&amp;IF(AND(IF(INT(INDEX(輔助計算!$D:$D, (MATCH(689, 輔助計算!$G$2:$G$801, 0)+1))/IF(INDEX(ERP資料!$G:$G, (MATCH(689, 輔助計算!$G$2:$G$801, 0)+1))&lt;100, IF(INDEX(ERP資料!$G:$G, (MATCH(689, 輔助計算!$G$2:$G$801, 0)+1))&lt;=31,3,IF(INDEX(ERP資料!$G:$G, (MATCH(689, 輔助計算!$G$2:$G$801, 0)+1))&lt;=46.5,2,1)), IF(INDEX(ERP資料!$G:$G, (MATCH(689, 輔助計算!$G$2:$G$801, 0)+1))&lt;=790,3,IF(INDEX(ERP資料!$G:$G, (MATCH(689, 輔助計算!$G$2:$G$801, 0)+1))&lt;=1181,2,1))))&gt;0, IF(IF(INDEX(ERP資料!$G:$G, (MATCH(689, 輔助計算!$G$2:$G$801, 0)+1))&lt;100, IF(INDEX(ERP資料!$G:$G, (MATCH(689, 輔助計算!$G$2:$G$801, 0)+1))&lt;=31,3,IF(INDEX(ERP資料!$G:$G, (MATCH(689, 輔助計算!$G$2:$G$801, 0)+1))&lt;=46.5,2,1)), IF(INDEX(ERP資料!$G:$G, (MATCH(689, 輔助計算!$G$2:$G$801, 0)+1))&lt;=790,3,IF(INDEX(ERP資料!$G:$G, (MATCH(689, 輔助計算!$G$2:$G$801, 0)+1))&lt;=1181,2,1)))=1,TEXT(INDEX(ERP資料!$G:$G, (MATCH(689, 輔助計算!$G$2:$G$801, 0)+1)),"0.##"),IF(IF(INDEX(ERP資料!$G:$G, (MATCH(689, 輔助計算!$G$2:$G$801, 0)+1))&lt;100, IF(INDEX(ERP資料!$G:$G, (MATCH(689, 輔助計算!$G$2:$G$801, 0)+1))&lt;=31,3,IF(INDEX(ERP資料!$G:$G, (MATCH(689, 輔助計算!$G$2:$G$801, 0)+1))&lt;=46.5,2,1)), IF(INDEX(ERP資料!$G:$G, (MATCH(689, 輔助計算!$G$2:$G$801, 0)+1))&lt;=790,3,IF(INDEX(ERP資料!$G:$G, (MATCH(689, 輔助計算!$G$2:$G$801, 0)+1))&lt;=1181,2,1)))=2,TEXT(INDEX(ERP資料!$G:$G, (MATCH(689, 輔助計算!$G$2:$G$801, 0)+1)),"0.##")&amp;"+"&amp;TEXT(INDEX(ERP資料!$G:$G, (MATCH(689, 輔助計算!$G$2:$G$801, 0)+1)),"0.##"),TEXT(INDEX(ERP資料!$G:$G, (MATCH(689, 輔助計算!$G$2:$G$801, 0)+1)),"0.##")&amp;"+"&amp;TEXT(INDEX(ERP資料!$G:$G, (MATCH(689, 輔助計算!$G$2:$G$801, 0)+1)),"0.##")&amp;"+"&amp;TEXT(INDEX(ERP資料!$G:$G, (MATCH(689, 輔助計算!$G$2:$G$801, 0)+1)),"0.##")))&amp;"-"&amp;INT(INDEX(輔助計算!$D:$D, (MATCH(689, 輔助計算!$G$2:$G$801, 0)+1))/IF(INDEX(ERP資料!$G:$G, (MATCH(689, 輔助計算!$G$2:$G$801, 0)+1))&lt;100, IF(INDEX(ERP資料!$G:$G, (MATCH(689, 輔助計算!$G$2:$G$801, 0)+1))&lt;=31,3,IF(INDEX(ERP資料!$G:$G, (MATCH(689, 輔助計算!$G$2:$G$801, 0)+1))&lt;=46.5,2,1)), IF(INDEX(ERP資料!$G:$G, (MATCH(689, 輔助計算!$G$2:$G$801, 0)+1))&lt;=790,3,IF(INDEX(ERP資料!$G:$G, (MATCH(689, 輔助計算!$G$2:$G$801, 0)+1))&lt;=1181,2,1)))), "")&lt;&gt;"",IF(MOD(INDEX(輔助計算!$D:$D, (MATCH(689, 輔助計算!$G$2:$G$801, 0)+1)),IF(INDEX(ERP資料!$G:$G, (MATCH(689, 輔助計算!$G$2:$G$801, 0)+1))&lt;100, IF(INDEX(ERP資料!$G:$G, (MATCH(689, 輔助計算!$G$2:$G$801, 0)+1))&lt;=31,3,IF(INDEX(ERP資料!$G:$G, (MATCH(689, 輔助計算!$G$2:$G$801, 0)+1))&lt;=46.5,2,1)), IF(INDEX(ERP資料!$G:$G, (MATCH(689, 輔助計算!$G$2:$G$801, 0)+1))&lt;=790,3,IF(INDEX(ERP資料!$G:$G, (MATCH(689, 輔助計算!$G$2:$G$801, 0)+1))&lt;=1181,2,1))))=0,"",IF(MOD(INDEX(輔助計算!$D:$D, (MATCH(689, 輔助計算!$G$2:$G$801, 0)+1)),IF(INDEX(ERP資料!$G:$G, (MATCH(689, 輔助計算!$G$2:$G$801, 0)+1))&lt;100, IF(INDEX(ERP資料!$G:$G, (MATCH(689, 輔助計算!$G$2:$G$801, 0)+1))&lt;=31,3,IF(INDEX(ERP資料!$G:$G, (MATCH(689, 輔助計算!$G$2:$G$801, 0)+1))&lt;=46.5,2,1)), IF(INDEX(ERP資料!$G:$G, (MATCH(689, 輔助計算!$G$2:$G$801, 0)+1))&lt;=790,3,IF(INDEX(ERP資料!$G:$G, (MATCH(689, 輔助計算!$G$2:$G$801, 0)+1))&lt;=1181,2,1))))=0,"",IF(MOD(INDEX(輔助計算!$D:$D, (MATCH(689, 輔助計算!$G$2:$G$801, 0)+1)),IF(INDEX(ERP資料!$G:$G, (MATCH(689, 輔助計算!$G$2:$G$801, 0)+1))&lt;100, IF(INDEX(ERP資料!$G:$G, (MATCH(689, 輔助計算!$G$2:$G$801, 0)+1))&lt;=31,3,IF(INDEX(ERP資料!$G:$G, (MATCH(689, 輔助計算!$G$2:$G$801, 0)+1))&lt;=46.5,2,1)), IF(INDEX(ERP資料!$G:$G, (MATCH(689, 輔助計算!$G$2:$G$801, 0)+1))&lt;=790,3,IF(INDEX(ERP資料!$G:$G, (MATCH(689, 輔助計算!$G$2:$G$801, 0)+1))&lt;=1181,2,1))))=1,TEXT(INDEX(ERP資料!$G:$G, (MATCH(689, 輔助計算!$G$2:$G$801, 0)+1)),"0.##"),IF(MOD(INDEX(輔助計算!$D:$D, (MATCH(689, 輔助計算!$G$2:$G$801, 0)+1)),IF(INDEX(ERP資料!$G:$G, (MATCH(689, 輔助計算!$G$2:$G$801, 0)+1))&lt;100, IF(INDEX(ERP資料!$G:$G, (MATCH(689, 輔助計算!$G$2:$G$801, 0)+1))&lt;=31,3,IF(INDEX(ERP資料!$G:$G, (MATCH(689, 輔助計算!$G$2:$G$801, 0)+1))&lt;=46.5,2,1)), IF(INDEX(ERP資料!$G:$G, (MATCH(689, 輔助計算!$G$2:$G$801, 0)+1))&lt;=790,3,IF(INDEX(ERP資料!$G:$G, (MATCH(689, 輔助計算!$G$2:$G$801, 0)+1))&lt;=1181,2,1))))=2,TEXT(INDEX(ERP資料!$G:$G, (MATCH(689, 輔助計算!$G$2:$G$801, 0)+1)),"0.##")&amp;"+"&amp;TEXT(INDEX(ERP資料!$G:$G, (MATCH(689, 輔助計算!$G$2:$G$801, 0)+1)),"0.##"),TEXT(INDEX(ERP資料!$G:$G, (MATCH(689, 輔助計算!$G$2:$G$801, 0)+1)),"0.##")&amp;"+"&amp;TEXT(INDEX(ERP資料!$G:$G, (MATCH(689, 輔助計算!$G$2:$G$801, 0)+1)),"0.##")&amp;"+"&amp;TEXT(INDEX(ERP資料!$G:$G, (MATCH(689, 輔助計算!$G$2:$G$801, 0)+1)),"0.##"))))&amp;"-1")&lt;&gt;""),"  ","")&amp;IF(MOD(INDEX(輔助計算!$D:$D, (MATCH(689, 輔助計算!$G$2:$G$801, 0)+1)),IF(INDEX(ERP資料!$G:$G, (MATCH(689, 輔助計算!$G$2:$G$801, 0)+1))&lt;100, IF(INDEX(ERP資料!$G:$G, (MATCH(689, 輔助計算!$G$2:$G$801, 0)+1))&lt;=31,3,IF(INDEX(ERP資料!$G:$G, (MATCH(689, 輔助計算!$G$2:$G$801, 0)+1))&lt;=46.5,2,1)), IF(INDEX(ERP資料!$G:$G, (MATCH(689, 輔助計算!$G$2:$G$801, 0)+1))&lt;=790,3,IF(INDEX(ERP資料!$G:$G, (MATCH(689, 輔助計算!$G$2:$G$801, 0)+1))&lt;=1181,2,1))))=0,"",IF(MOD(INDEX(輔助計算!$D:$D, (MATCH(689, 輔助計算!$G$2:$G$801, 0)+1)),IF(INDEX(ERP資料!$G:$G, (MATCH(689, 輔助計算!$G$2:$G$801, 0)+1))&lt;100, IF(INDEX(ERP資料!$G:$G, (MATCH(689, 輔助計算!$G$2:$G$801, 0)+1))&lt;=31,3,IF(INDEX(ERP資料!$G:$G, (MATCH(689, 輔助計算!$G$2:$G$801, 0)+1))&lt;=46.5,2,1)), IF(INDEX(ERP資料!$G:$G, (MATCH(689, 輔助計算!$G$2:$G$801, 0)+1))&lt;=790,3,IF(INDEX(ERP資料!$G:$G, (MATCH(689, 輔助計算!$G$2:$G$801, 0)+1))&lt;=1181,2,1))))=0,"",IF(MOD(INDEX(輔助計算!$D:$D, (MATCH(689, 輔助計算!$G$2:$G$801, 0)+1)),IF(INDEX(ERP資料!$G:$G, (MATCH(689, 輔助計算!$G$2:$G$801, 0)+1))&lt;100, IF(INDEX(ERP資料!$G:$G, (MATCH(689, 輔助計算!$G$2:$G$801, 0)+1))&lt;=31,3,IF(INDEX(ERP資料!$G:$G, (MATCH(689, 輔助計算!$G$2:$G$801, 0)+1))&lt;=46.5,2,1)), IF(INDEX(ERP資料!$G:$G, (MATCH(689, 輔助計算!$G$2:$G$801, 0)+1))&lt;=790,3,IF(INDEX(ERP資料!$G:$G, (MATCH(689, 輔助計算!$G$2:$G$801, 0)+1))&lt;=1181,2,1))))=1,TEXT(INDEX(ERP資料!$G:$G, (MATCH(689, 輔助計算!$G$2:$G$801, 0)+1)),"0.##"),IF(MOD(INDEX(輔助計算!$D:$D, (MATCH(689, 輔助計算!$G$2:$G$801, 0)+1)),IF(INDEX(ERP資料!$G:$G, (MATCH(689, 輔助計算!$G$2:$G$801, 0)+1))&lt;100, IF(INDEX(ERP資料!$G:$G, (MATCH(689, 輔助計算!$G$2:$G$801, 0)+1))&lt;=31,3,IF(INDEX(ERP資料!$G:$G, (MATCH(689, 輔助計算!$G$2:$G$801, 0)+1))&lt;=46.5,2,1)), IF(INDEX(ERP資料!$G:$G, (MATCH(689, 輔助計算!$G$2:$G$801, 0)+1))&lt;=790,3,IF(INDEX(ERP資料!$G:$G, (MATCH(689, 輔助計算!$G$2:$G$801, 0)+1))&lt;=1181,2,1))))=2,TEXT(INDEX(ERP資料!$G:$G, (MATCH(689, 輔助計算!$G$2:$G$801, 0)+1)),"0.##")&amp;"+"&amp;TEXT(INDEX(ERP資料!$G:$G, (MATCH(689, 輔助計算!$G$2:$G$801, 0)+1)),"0.##"),TEXT(INDEX(ERP資料!$G:$G, (MATCH(689, 輔助計算!$G$2:$G$801, 0)+1)),"0.##")&amp;"+"&amp;TEXT(INDEX(ERP資料!$G:$G, (MATCH(689, 輔助計算!$G$2:$G$801, 0)+1)),"0.##")&amp;"+"&amp;TEXT(INDEX(ERP資料!$G:$G, (MATCH(689, 輔助計算!$G$2:$G$801, 0)+1)),"0.##"))))&amp;"-1")), ""), "")</f>
        <v/>
      </c>
      <c r="K690" s="16" t="n"/>
      <c r="L690" s="14">
        <f>IFERROR(IF(AND(IFERROR(INDEX(ERP資料!$A:$A, (MATCH(689, 輔助計算!$G$2:$G$801, 0)+1)), "")&lt;&gt;"", IFERROR(INDEX(ERP資料!$A:$A, (MATCH(689, 輔助計算!$G$2:$G$801, 0)+1)), "")&lt;&gt;IFERROR(INDEX(ERP資料!$A:$A, MATCH(688, 輔助計算!$G$2:$G$801, 0)+1), "")), INDEX(ERP資料!$B:$B, (MATCH(689, 輔助計算!$G$2:$G$801, 0)+1)), ""), "")</f>
        <v/>
      </c>
      <c r="M690" s="17" t="n"/>
    </row>
    <row r="691">
      <c r="A691" s="10">
        <f>IFERROR(IF(AND(IFERROR(INDEX(ERP資料!$A:$A, (MATCH(690, 輔助計算!$G$2:$G$801, 0)+1)), "")&lt;&gt;"", IFERROR(INDEX(ERP資料!$A:$A, (MATCH(690, 輔助計算!$G$2:$G$801, 0)+1)), "")&lt;&gt;IFERROR(INDEX(ERP資料!$A:$A, MATCH(689, 輔助計算!$G$2:$G$801, 0)+1), "")), IFERROR(INDEX(ERP資料!$A:$A, (MATCH(690, 輔助計算!$G$2:$G$801, 0)+1)), ""), ""), "")</f>
        <v/>
      </c>
      <c r="B691" s="10">
        <f>IFERROR(IF(AND(IFERROR(INDEX(ERP資料!$A:$A, (MATCH(690, 輔助計算!$G$2:$G$801, 0)+1)), "")&lt;&gt;"", IFERROR(INDEX(ERP資料!$A:$A, (MATCH(690, 輔助計算!$G$2:$G$801, 0)+1)), "")&lt;&gt;IFERROR(INDEX(ERP資料!$A:$A, MATCH(689, 輔助計算!$G$2:$G$801, 0)+1), "")), INDEX(ERP資料!$S:$S, (MATCH(690, 輔助計算!$G$2:$G$801, 0)+1)), ""), "")</f>
        <v/>
      </c>
      <c r="C691" s="19">
        <f>IFERROR(IF(AND(IFERROR(INDEX(ERP資料!$A:$A, (MATCH(690, 輔助計算!$G$2:$G$801, 0)+1)), "")&lt;&gt;"", IFERROR(INDEX(ERP資料!$A:$A, (MATCH(690, 輔助計算!$G$2:$G$801, 0)+1)), "")&lt;&gt;IFERROR(INDEX(ERP資料!$A:$A, MATCH(689, 輔助計算!$G$2:$G$801, 0)+1), "")), IFERROR(VLOOKUP(LEFT(INDEX(ERP資料!$S:$S, (MATCH(690, 輔助計算!$G$2:$G$801, 0)+1)), 4), 紙管對照表!$A:$C, 3, FALSE), ""), ""), "")</f>
        <v/>
      </c>
      <c r="D691" s="16" t="n"/>
      <c r="E691" s="10">
        <f>IFERROR(IF(INDEX(ERP資料!$H:$H, (MATCH(690, 輔助計算!$G$2:$G$801, 0)+1))="","",INDEX(ERP資料!$H:$H, (MATCH(690, 輔助計算!$G$2:$G$801, 0)+1))), "")</f>
        <v/>
      </c>
      <c r="F691" s="10">
        <f>IFERROR(IF(INDEX(ERP資料!$E:$E, (MATCH(690, 輔助計算!$G$2:$G$801, 0)+1))="","",TRIM(INDEX(ERP資料!$E:$E, (MATCH(690, 輔助計算!$G$2:$G$801, 0)+1)))), "")</f>
        <v/>
      </c>
      <c r="G691" s="10">
        <f>IFERROR(IF(INDEX(ERP資料!$F:$F, (MATCH(690, 輔助計算!$G$2:$G$801, 0)+1))="","",INDEX(ERP資料!$F:$F, (MATCH(690, 輔助計算!$G$2:$G$801, 0)+1))), "")</f>
        <v/>
      </c>
      <c r="H691" s="10">
        <f>IFERROR(IF(INDEX(ERP資料!$G:$G, (MATCH(690, 輔助計算!$G$2:$G$801, 0)+1))="","",INDEX(ERP資料!$G:$G, (MATCH(690, 輔助計算!$G$2:$G$801, 0)+1))), "")</f>
        <v/>
      </c>
      <c r="I691" s="15">
        <f>IFERROR(INDEX(輔助計算!$D:$D, (MATCH(690, 輔助計算!$G$2:$G$801, 0)+1)), "")</f>
        <v/>
      </c>
      <c r="J691" s="15">
        <f>IFERROR(IF(AND(INDEX(輔助計算!$D:$D, (MATCH(690, 輔助計算!$G$2:$G$801, 0)+1))&lt;&gt;"", INDEX(ERP資料!$G:$G, (MATCH(690, 輔助計算!$G$2:$G$801, 0)+1))&lt;&gt;""), TRIM(IF(INT(INDEX(輔助計算!$D:$D, (MATCH(690, 輔助計算!$G$2:$G$801, 0)+1))/IF(INDEX(ERP資料!$G:$G, (MATCH(690, 輔助計算!$G$2:$G$801, 0)+1))&lt;100, IF(INDEX(ERP資料!$G:$G, (MATCH(690, 輔助計算!$G$2:$G$801, 0)+1))&lt;=31,3,IF(INDEX(ERP資料!$G:$G, (MATCH(690, 輔助計算!$G$2:$G$801, 0)+1))&lt;=46.5,2,1)), IF(INDEX(ERP資料!$G:$G, (MATCH(690, 輔助計算!$G$2:$G$801, 0)+1))&lt;=790,3,IF(INDEX(ERP資料!$G:$G, (MATCH(690, 輔助計算!$G$2:$G$801, 0)+1))&lt;=1181,2,1))))&gt;0, IF(IF(INDEX(ERP資料!$G:$G, (MATCH(690, 輔助計算!$G$2:$G$801, 0)+1))&lt;100, IF(INDEX(ERP資料!$G:$G, (MATCH(690, 輔助計算!$G$2:$G$801, 0)+1))&lt;=31,3,IF(INDEX(ERP資料!$G:$G, (MATCH(690, 輔助計算!$G$2:$G$801, 0)+1))&lt;=46.5,2,1)), IF(INDEX(ERP資料!$G:$G, (MATCH(690, 輔助計算!$G$2:$G$801, 0)+1))&lt;=790,3,IF(INDEX(ERP資料!$G:$G, (MATCH(690, 輔助計算!$G$2:$G$801, 0)+1))&lt;=1181,2,1)))=1,TEXT(INDEX(ERP資料!$G:$G, (MATCH(690, 輔助計算!$G$2:$G$801, 0)+1)),"0.##"),IF(IF(INDEX(ERP資料!$G:$G, (MATCH(690, 輔助計算!$G$2:$G$801, 0)+1))&lt;100, IF(INDEX(ERP資料!$G:$G, (MATCH(690, 輔助計算!$G$2:$G$801, 0)+1))&lt;=31,3,IF(INDEX(ERP資料!$G:$G, (MATCH(690, 輔助計算!$G$2:$G$801, 0)+1))&lt;=46.5,2,1)), IF(INDEX(ERP資料!$G:$G, (MATCH(690, 輔助計算!$G$2:$G$801, 0)+1))&lt;=790,3,IF(INDEX(ERP資料!$G:$G, (MATCH(690, 輔助計算!$G$2:$G$801, 0)+1))&lt;=1181,2,1)))=2,TEXT(INDEX(ERP資料!$G:$G, (MATCH(690, 輔助計算!$G$2:$G$801, 0)+1)),"0.##")&amp;"+"&amp;TEXT(INDEX(ERP資料!$G:$G, (MATCH(690, 輔助計算!$G$2:$G$801, 0)+1)),"0.##"),TEXT(INDEX(ERP資料!$G:$G, (MATCH(690, 輔助計算!$G$2:$G$801, 0)+1)),"0.##")&amp;"+"&amp;TEXT(INDEX(ERP資料!$G:$G, (MATCH(690, 輔助計算!$G$2:$G$801, 0)+1)),"0.##")&amp;"+"&amp;TEXT(INDEX(ERP資料!$G:$G, (MATCH(690, 輔助計算!$G$2:$G$801, 0)+1)),"0.##")))&amp;"-"&amp;INT(INDEX(輔助計算!$D:$D, (MATCH(690, 輔助計算!$G$2:$G$801, 0)+1))/IF(INDEX(ERP資料!$G:$G, (MATCH(690, 輔助計算!$G$2:$G$801, 0)+1))&lt;100, IF(INDEX(ERP資料!$G:$G, (MATCH(690, 輔助計算!$G$2:$G$801, 0)+1))&lt;=31,3,IF(INDEX(ERP資料!$G:$G, (MATCH(690, 輔助計算!$G$2:$G$801, 0)+1))&lt;=46.5,2,1)), IF(INDEX(ERP資料!$G:$G, (MATCH(690, 輔助計算!$G$2:$G$801, 0)+1))&lt;=790,3,IF(INDEX(ERP資料!$G:$G, (MATCH(690, 輔助計算!$G$2:$G$801, 0)+1))&lt;=1181,2,1)))), "")&amp;IF(AND(IF(INT(INDEX(輔助計算!$D:$D, (MATCH(690, 輔助計算!$G$2:$G$801, 0)+1))/IF(INDEX(ERP資料!$G:$G, (MATCH(690, 輔助計算!$G$2:$G$801, 0)+1))&lt;100, IF(INDEX(ERP資料!$G:$G, (MATCH(690, 輔助計算!$G$2:$G$801, 0)+1))&lt;=31,3,IF(INDEX(ERP資料!$G:$G, (MATCH(690, 輔助計算!$G$2:$G$801, 0)+1))&lt;=46.5,2,1)), IF(INDEX(ERP資料!$G:$G, (MATCH(690, 輔助計算!$G$2:$G$801, 0)+1))&lt;=790,3,IF(INDEX(ERP資料!$G:$G, (MATCH(690, 輔助計算!$G$2:$G$801, 0)+1))&lt;=1181,2,1))))&gt;0, IF(IF(INDEX(ERP資料!$G:$G, (MATCH(690, 輔助計算!$G$2:$G$801, 0)+1))&lt;100, IF(INDEX(ERP資料!$G:$G, (MATCH(690, 輔助計算!$G$2:$G$801, 0)+1))&lt;=31,3,IF(INDEX(ERP資料!$G:$G, (MATCH(690, 輔助計算!$G$2:$G$801, 0)+1))&lt;=46.5,2,1)), IF(INDEX(ERP資料!$G:$G, (MATCH(690, 輔助計算!$G$2:$G$801, 0)+1))&lt;=790,3,IF(INDEX(ERP資料!$G:$G, (MATCH(690, 輔助計算!$G$2:$G$801, 0)+1))&lt;=1181,2,1)))=1,TEXT(INDEX(ERP資料!$G:$G, (MATCH(690, 輔助計算!$G$2:$G$801, 0)+1)),"0.##"),IF(IF(INDEX(ERP資料!$G:$G, (MATCH(690, 輔助計算!$G$2:$G$801, 0)+1))&lt;100, IF(INDEX(ERP資料!$G:$G, (MATCH(690, 輔助計算!$G$2:$G$801, 0)+1))&lt;=31,3,IF(INDEX(ERP資料!$G:$G, (MATCH(690, 輔助計算!$G$2:$G$801, 0)+1))&lt;=46.5,2,1)), IF(INDEX(ERP資料!$G:$G, (MATCH(690, 輔助計算!$G$2:$G$801, 0)+1))&lt;=790,3,IF(INDEX(ERP資料!$G:$G, (MATCH(690, 輔助計算!$G$2:$G$801, 0)+1))&lt;=1181,2,1)))=2,TEXT(INDEX(ERP資料!$G:$G, (MATCH(690, 輔助計算!$G$2:$G$801, 0)+1)),"0.##")&amp;"+"&amp;TEXT(INDEX(ERP資料!$G:$G, (MATCH(690, 輔助計算!$G$2:$G$801, 0)+1)),"0.##"),TEXT(INDEX(ERP資料!$G:$G, (MATCH(690, 輔助計算!$G$2:$G$801, 0)+1)),"0.##")&amp;"+"&amp;TEXT(INDEX(ERP資料!$G:$G, (MATCH(690, 輔助計算!$G$2:$G$801, 0)+1)),"0.##")&amp;"+"&amp;TEXT(INDEX(ERP資料!$G:$G, (MATCH(690, 輔助計算!$G$2:$G$801, 0)+1)),"0.##")))&amp;"-"&amp;INT(INDEX(輔助計算!$D:$D, (MATCH(690, 輔助計算!$G$2:$G$801, 0)+1))/IF(INDEX(ERP資料!$G:$G, (MATCH(690, 輔助計算!$G$2:$G$801, 0)+1))&lt;100, IF(INDEX(ERP資料!$G:$G, (MATCH(690, 輔助計算!$G$2:$G$801, 0)+1))&lt;=31,3,IF(INDEX(ERP資料!$G:$G, (MATCH(690, 輔助計算!$G$2:$G$801, 0)+1))&lt;=46.5,2,1)), IF(INDEX(ERP資料!$G:$G, (MATCH(690, 輔助計算!$G$2:$G$801, 0)+1))&lt;=790,3,IF(INDEX(ERP資料!$G:$G, (MATCH(690, 輔助計算!$G$2:$G$801, 0)+1))&lt;=1181,2,1)))), "")&lt;&gt;"",IF(MOD(INDEX(輔助計算!$D:$D, (MATCH(690, 輔助計算!$G$2:$G$801, 0)+1)),IF(INDEX(ERP資料!$G:$G, (MATCH(690, 輔助計算!$G$2:$G$801, 0)+1))&lt;100, IF(INDEX(ERP資料!$G:$G, (MATCH(690, 輔助計算!$G$2:$G$801, 0)+1))&lt;=31,3,IF(INDEX(ERP資料!$G:$G, (MATCH(690, 輔助計算!$G$2:$G$801, 0)+1))&lt;=46.5,2,1)), IF(INDEX(ERP資料!$G:$G, (MATCH(690, 輔助計算!$G$2:$G$801, 0)+1))&lt;=790,3,IF(INDEX(ERP資料!$G:$G, (MATCH(690, 輔助計算!$G$2:$G$801, 0)+1))&lt;=1181,2,1))))=0,"",IF(MOD(INDEX(輔助計算!$D:$D, (MATCH(690, 輔助計算!$G$2:$G$801, 0)+1)),IF(INDEX(ERP資料!$G:$G, (MATCH(690, 輔助計算!$G$2:$G$801, 0)+1))&lt;100, IF(INDEX(ERP資料!$G:$G, (MATCH(690, 輔助計算!$G$2:$G$801, 0)+1))&lt;=31,3,IF(INDEX(ERP資料!$G:$G, (MATCH(690, 輔助計算!$G$2:$G$801, 0)+1))&lt;=46.5,2,1)), IF(INDEX(ERP資料!$G:$G, (MATCH(690, 輔助計算!$G$2:$G$801, 0)+1))&lt;=790,3,IF(INDEX(ERP資料!$G:$G, (MATCH(690, 輔助計算!$G$2:$G$801, 0)+1))&lt;=1181,2,1))))=0,"",IF(MOD(INDEX(輔助計算!$D:$D, (MATCH(690, 輔助計算!$G$2:$G$801, 0)+1)),IF(INDEX(ERP資料!$G:$G, (MATCH(690, 輔助計算!$G$2:$G$801, 0)+1))&lt;100, IF(INDEX(ERP資料!$G:$G, (MATCH(690, 輔助計算!$G$2:$G$801, 0)+1))&lt;=31,3,IF(INDEX(ERP資料!$G:$G, (MATCH(690, 輔助計算!$G$2:$G$801, 0)+1))&lt;=46.5,2,1)), IF(INDEX(ERP資料!$G:$G, (MATCH(690, 輔助計算!$G$2:$G$801, 0)+1))&lt;=790,3,IF(INDEX(ERP資料!$G:$G, (MATCH(690, 輔助計算!$G$2:$G$801, 0)+1))&lt;=1181,2,1))))=1,TEXT(INDEX(ERP資料!$G:$G, (MATCH(690, 輔助計算!$G$2:$G$801, 0)+1)),"0.##"),IF(MOD(INDEX(輔助計算!$D:$D, (MATCH(690, 輔助計算!$G$2:$G$801, 0)+1)),IF(INDEX(ERP資料!$G:$G, (MATCH(690, 輔助計算!$G$2:$G$801, 0)+1))&lt;100, IF(INDEX(ERP資料!$G:$G, (MATCH(690, 輔助計算!$G$2:$G$801, 0)+1))&lt;=31,3,IF(INDEX(ERP資料!$G:$G, (MATCH(690, 輔助計算!$G$2:$G$801, 0)+1))&lt;=46.5,2,1)), IF(INDEX(ERP資料!$G:$G, (MATCH(690, 輔助計算!$G$2:$G$801, 0)+1))&lt;=790,3,IF(INDEX(ERP資料!$G:$G, (MATCH(690, 輔助計算!$G$2:$G$801, 0)+1))&lt;=1181,2,1))))=2,TEXT(INDEX(ERP資料!$G:$G, (MATCH(690, 輔助計算!$G$2:$G$801, 0)+1)),"0.##")&amp;"+"&amp;TEXT(INDEX(ERP資料!$G:$G, (MATCH(690, 輔助計算!$G$2:$G$801, 0)+1)),"0.##"),TEXT(INDEX(ERP資料!$G:$G, (MATCH(690, 輔助計算!$G$2:$G$801, 0)+1)),"0.##")&amp;"+"&amp;TEXT(INDEX(ERP資料!$G:$G, (MATCH(690, 輔助計算!$G$2:$G$801, 0)+1)),"0.##")&amp;"+"&amp;TEXT(INDEX(ERP資料!$G:$G, (MATCH(690, 輔助計算!$G$2:$G$801, 0)+1)),"0.##"))))&amp;"-1")&lt;&gt;""),"  ","")&amp;IF(MOD(INDEX(輔助計算!$D:$D, (MATCH(690, 輔助計算!$G$2:$G$801, 0)+1)),IF(INDEX(ERP資料!$G:$G, (MATCH(690, 輔助計算!$G$2:$G$801, 0)+1))&lt;100, IF(INDEX(ERP資料!$G:$G, (MATCH(690, 輔助計算!$G$2:$G$801, 0)+1))&lt;=31,3,IF(INDEX(ERP資料!$G:$G, (MATCH(690, 輔助計算!$G$2:$G$801, 0)+1))&lt;=46.5,2,1)), IF(INDEX(ERP資料!$G:$G, (MATCH(690, 輔助計算!$G$2:$G$801, 0)+1))&lt;=790,3,IF(INDEX(ERP資料!$G:$G, (MATCH(690, 輔助計算!$G$2:$G$801, 0)+1))&lt;=1181,2,1))))=0,"",IF(MOD(INDEX(輔助計算!$D:$D, (MATCH(690, 輔助計算!$G$2:$G$801, 0)+1)),IF(INDEX(ERP資料!$G:$G, (MATCH(690, 輔助計算!$G$2:$G$801, 0)+1))&lt;100, IF(INDEX(ERP資料!$G:$G, (MATCH(690, 輔助計算!$G$2:$G$801, 0)+1))&lt;=31,3,IF(INDEX(ERP資料!$G:$G, (MATCH(690, 輔助計算!$G$2:$G$801, 0)+1))&lt;=46.5,2,1)), IF(INDEX(ERP資料!$G:$G, (MATCH(690, 輔助計算!$G$2:$G$801, 0)+1))&lt;=790,3,IF(INDEX(ERP資料!$G:$G, (MATCH(690, 輔助計算!$G$2:$G$801, 0)+1))&lt;=1181,2,1))))=0,"",IF(MOD(INDEX(輔助計算!$D:$D, (MATCH(690, 輔助計算!$G$2:$G$801, 0)+1)),IF(INDEX(ERP資料!$G:$G, (MATCH(690, 輔助計算!$G$2:$G$801, 0)+1))&lt;100, IF(INDEX(ERP資料!$G:$G, (MATCH(690, 輔助計算!$G$2:$G$801, 0)+1))&lt;=31,3,IF(INDEX(ERP資料!$G:$G, (MATCH(690, 輔助計算!$G$2:$G$801, 0)+1))&lt;=46.5,2,1)), IF(INDEX(ERP資料!$G:$G, (MATCH(690, 輔助計算!$G$2:$G$801, 0)+1))&lt;=790,3,IF(INDEX(ERP資料!$G:$G, (MATCH(690, 輔助計算!$G$2:$G$801, 0)+1))&lt;=1181,2,1))))=1,TEXT(INDEX(ERP資料!$G:$G, (MATCH(690, 輔助計算!$G$2:$G$801, 0)+1)),"0.##"),IF(MOD(INDEX(輔助計算!$D:$D, (MATCH(690, 輔助計算!$G$2:$G$801, 0)+1)),IF(INDEX(ERP資料!$G:$G, (MATCH(690, 輔助計算!$G$2:$G$801, 0)+1))&lt;100, IF(INDEX(ERP資料!$G:$G, (MATCH(690, 輔助計算!$G$2:$G$801, 0)+1))&lt;=31,3,IF(INDEX(ERP資料!$G:$G, (MATCH(690, 輔助計算!$G$2:$G$801, 0)+1))&lt;=46.5,2,1)), IF(INDEX(ERP資料!$G:$G, (MATCH(690, 輔助計算!$G$2:$G$801, 0)+1))&lt;=790,3,IF(INDEX(ERP資料!$G:$G, (MATCH(690, 輔助計算!$G$2:$G$801, 0)+1))&lt;=1181,2,1))))=2,TEXT(INDEX(ERP資料!$G:$G, (MATCH(690, 輔助計算!$G$2:$G$801, 0)+1)),"0.##")&amp;"+"&amp;TEXT(INDEX(ERP資料!$G:$G, (MATCH(690, 輔助計算!$G$2:$G$801, 0)+1)),"0.##"),TEXT(INDEX(ERP資料!$G:$G, (MATCH(690, 輔助計算!$G$2:$G$801, 0)+1)),"0.##")&amp;"+"&amp;TEXT(INDEX(ERP資料!$G:$G, (MATCH(690, 輔助計算!$G$2:$G$801, 0)+1)),"0.##")&amp;"+"&amp;TEXT(INDEX(ERP資料!$G:$G, (MATCH(690, 輔助計算!$G$2:$G$801, 0)+1)),"0.##"))))&amp;"-1")), ""), "")</f>
        <v/>
      </c>
      <c r="K691" s="16" t="n"/>
      <c r="L691" s="14">
        <f>IFERROR(IF(AND(IFERROR(INDEX(ERP資料!$A:$A, (MATCH(690, 輔助計算!$G$2:$G$801, 0)+1)), "")&lt;&gt;"", IFERROR(INDEX(ERP資料!$A:$A, (MATCH(690, 輔助計算!$G$2:$G$801, 0)+1)), "")&lt;&gt;IFERROR(INDEX(ERP資料!$A:$A, MATCH(689, 輔助計算!$G$2:$G$801, 0)+1), "")), INDEX(ERP資料!$B:$B, (MATCH(690, 輔助計算!$G$2:$G$801, 0)+1)), ""), "")</f>
        <v/>
      </c>
      <c r="M691" s="17" t="n"/>
    </row>
    <row r="692">
      <c r="A692" s="10">
        <f>IFERROR(IF(AND(IFERROR(INDEX(ERP資料!$A:$A, (MATCH(691, 輔助計算!$G$2:$G$801, 0)+1)), "")&lt;&gt;"", IFERROR(INDEX(ERP資料!$A:$A, (MATCH(691, 輔助計算!$G$2:$G$801, 0)+1)), "")&lt;&gt;IFERROR(INDEX(ERP資料!$A:$A, MATCH(690, 輔助計算!$G$2:$G$801, 0)+1), "")), IFERROR(INDEX(ERP資料!$A:$A, (MATCH(691, 輔助計算!$G$2:$G$801, 0)+1)), ""), ""), "")</f>
        <v/>
      </c>
      <c r="B692" s="10">
        <f>IFERROR(IF(AND(IFERROR(INDEX(ERP資料!$A:$A, (MATCH(691, 輔助計算!$G$2:$G$801, 0)+1)), "")&lt;&gt;"", IFERROR(INDEX(ERP資料!$A:$A, (MATCH(691, 輔助計算!$G$2:$G$801, 0)+1)), "")&lt;&gt;IFERROR(INDEX(ERP資料!$A:$A, MATCH(690, 輔助計算!$G$2:$G$801, 0)+1), "")), INDEX(ERP資料!$S:$S, (MATCH(691, 輔助計算!$G$2:$G$801, 0)+1)), ""), "")</f>
        <v/>
      </c>
      <c r="C692" s="19">
        <f>IFERROR(IF(AND(IFERROR(INDEX(ERP資料!$A:$A, (MATCH(691, 輔助計算!$G$2:$G$801, 0)+1)), "")&lt;&gt;"", IFERROR(INDEX(ERP資料!$A:$A, (MATCH(691, 輔助計算!$G$2:$G$801, 0)+1)), "")&lt;&gt;IFERROR(INDEX(ERP資料!$A:$A, MATCH(690, 輔助計算!$G$2:$G$801, 0)+1), "")), IFERROR(VLOOKUP(LEFT(INDEX(ERP資料!$S:$S, (MATCH(691, 輔助計算!$G$2:$G$801, 0)+1)), 4), 紙管對照表!$A:$C, 3, FALSE), ""), ""), "")</f>
        <v/>
      </c>
      <c r="D692" s="16" t="n"/>
      <c r="E692" s="10">
        <f>IFERROR(IF(INDEX(ERP資料!$H:$H, (MATCH(691, 輔助計算!$G$2:$G$801, 0)+1))="","",INDEX(ERP資料!$H:$H, (MATCH(691, 輔助計算!$G$2:$G$801, 0)+1))), "")</f>
        <v/>
      </c>
      <c r="F692" s="10">
        <f>IFERROR(IF(INDEX(ERP資料!$E:$E, (MATCH(691, 輔助計算!$G$2:$G$801, 0)+1))="","",TRIM(INDEX(ERP資料!$E:$E, (MATCH(691, 輔助計算!$G$2:$G$801, 0)+1)))), "")</f>
        <v/>
      </c>
      <c r="G692" s="10">
        <f>IFERROR(IF(INDEX(ERP資料!$F:$F, (MATCH(691, 輔助計算!$G$2:$G$801, 0)+1))="","",INDEX(ERP資料!$F:$F, (MATCH(691, 輔助計算!$G$2:$G$801, 0)+1))), "")</f>
        <v/>
      </c>
      <c r="H692" s="10">
        <f>IFERROR(IF(INDEX(ERP資料!$G:$G, (MATCH(691, 輔助計算!$G$2:$G$801, 0)+1))="","",INDEX(ERP資料!$G:$G, (MATCH(691, 輔助計算!$G$2:$G$801, 0)+1))), "")</f>
        <v/>
      </c>
      <c r="I692" s="15">
        <f>IFERROR(INDEX(輔助計算!$D:$D, (MATCH(691, 輔助計算!$G$2:$G$801, 0)+1)), "")</f>
        <v/>
      </c>
      <c r="J692" s="15">
        <f>IFERROR(IF(AND(INDEX(輔助計算!$D:$D, (MATCH(691, 輔助計算!$G$2:$G$801, 0)+1))&lt;&gt;"", INDEX(ERP資料!$G:$G, (MATCH(691, 輔助計算!$G$2:$G$801, 0)+1))&lt;&gt;""), TRIM(IF(INT(INDEX(輔助計算!$D:$D, (MATCH(691, 輔助計算!$G$2:$G$801, 0)+1))/IF(INDEX(ERP資料!$G:$G, (MATCH(691, 輔助計算!$G$2:$G$801, 0)+1))&lt;100, IF(INDEX(ERP資料!$G:$G, (MATCH(691, 輔助計算!$G$2:$G$801, 0)+1))&lt;=31,3,IF(INDEX(ERP資料!$G:$G, (MATCH(691, 輔助計算!$G$2:$G$801, 0)+1))&lt;=46.5,2,1)), IF(INDEX(ERP資料!$G:$G, (MATCH(691, 輔助計算!$G$2:$G$801, 0)+1))&lt;=790,3,IF(INDEX(ERP資料!$G:$G, (MATCH(691, 輔助計算!$G$2:$G$801, 0)+1))&lt;=1181,2,1))))&gt;0, IF(IF(INDEX(ERP資料!$G:$G, (MATCH(691, 輔助計算!$G$2:$G$801, 0)+1))&lt;100, IF(INDEX(ERP資料!$G:$G, (MATCH(691, 輔助計算!$G$2:$G$801, 0)+1))&lt;=31,3,IF(INDEX(ERP資料!$G:$G, (MATCH(691, 輔助計算!$G$2:$G$801, 0)+1))&lt;=46.5,2,1)), IF(INDEX(ERP資料!$G:$G, (MATCH(691, 輔助計算!$G$2:$G$801, 0)+1))&lt;=790,3,IF(INDEX(ERP資料!$G:$G, (MATCH(691, 輔助計算!$G$2:$G$801, 0)+1))&lt;=1181,2,1)))=1,TEXT(INDEX(ERP資料!$G:$G, (MATCH(691, 輔助計算!$G$2:$G$801, 0)+1)),"0.##"),IF(IF(INDEX(ERP資料!$G:$G, (MATCH(691, 輔助計算!$G$2:$G$801, 0)+1))&lt;100, IF(INDEX(ERP資料!$G:$G, (MATCH(691, 輔助計算!$G$2:$G$801, 0)+1))&lt;=31,3,IF(INDEX(ERP資料!$G:$G, (MATCH(691, 輔助計算!$G$2:$G$801, 0)+1))&lt;=46.5,2,1)), IF(INDEX(ERP資料!$G:$G, (MATCH(691, 輔助計算!$G$2:$G$801, 0)+1))&lt;=790,3,IF(INDEX(ERP資料!$G:$G, (MATCH(691, 輔助計算!$G$2:$G$801, 0)+1))&lt;=1181,2,1)))=2,TEXT(INDEX(ERP資料!$G:$G, (MATCH(691, 輔助計算!$G$2:$G$801, 0)+1)),"0.##")&amp;"+"&amp;TEXT(INDEX(ERP資料!$G:$G, (MATCH(691, 輔助計算!$G$2:$G$801, 0)+1)),"0.##"),TEXT(INDEX(ERP資料!$G:$G, (MATCH(691, 輔助計算!$G$2:$G$801, 0)+1)),"0.##")&amp;"+"&amp;TEXT(INDEX(ERP資料!$G:$G, (MATCH(691, 輔助計算!$G$2:$G$801, 0)+1)),"0.##")&amp;"+"&amp;TEXT(INDEX(ERP資料!$G:$G, (MATCH(691, 輔助計算!$G$2:$G$801, 0)+1)),"0.##")))&amp;"-"&amp;INT(INDEX(輔助計算!$D:$D, (MATCH(691, 輔助計算!$G$2:$G$801, 0)+1))/IF(INDEX(ERP資料!$G:$G, (MATCH(691, 輔助計算!$G$2:$G$801, 0)+1))&lt;100, IF(INDEX(ERP資料!$G:$G, (MATCH(691, 輔助計算!$G$2:$G$801, 0)+1))&lt;=31,3,IF(INDEX(ERP資料!$G:$G, (MATCH(691, 輔助計算!$G$2:$G$801, 0)+1))&lt;=46.5,2,1)), IF(INDEX(ERP資料!$G:$G, (MATCH(691, 輔助計算!$G$2:$G$801, 0)+1))&lt;=790,3,IF(INDEX(ERP資料!$G:$G, (MATCH(691, 輔助計算!$G$2:$G$801, 0)+1))&lt;=1181,2,1)))), "")&amp;IF(AND(IF(INT(INDEX(輔助計算!$D:$D, (MATCH(691, 輔助計算!$G$2:$G$801, 0)+1))/IF(INDEX(ERP資料!$G:$G, (MATCH(691, 輔助計算!$G$2:$G$801, 0)+1))&lt;100, IF(INDEX(ERP資料!$G:$G, (MATCH(691, 輔助計算!$G$2:$G$801, 0)+1))&lt;=31,3,IF(INDEX(ERP資料!$G:$G, (MATCH(691, 輔助計算!$G$2:$G$801, 0)+1))&lt;=46.5,2,1)), IF(INDEX(ERP資料!$G:$G, (MATCH(691, 輔助計算!$G$2:$G$801, 0)+1))&lt;=790,3,IF(INDEX(ERP資料!$G:$G, (MATCH(691, 輔助計算!$G$2:$G$801, 0)+1))&lt;=1181,2,1))))&gt;0, IF(IF(INDEX(ERP資料!$G:$G, (MATCH(691, 輔助計算!$G$2:$G$801, 0)+1))&lt;100, IF(INDEX(ERP資料!$G:$G, (MATCH(691, 輔助計算!$G$2:$G$801, 0)+1))&lt;=31,3,IF(INDEX(ERP資料!$G:$G, (MATCH(691, 輔助計算!$G$2:$G$801, 0)+1))&lt;=46.5,2,1)), IF(INDEX(ERP資料!$G:$G, (MATCH(691, 輔助計算!$G$2:$G$801, 0)+1))&lt;=790,3,IF(INDEX(ERP資料!$G:$G, (MATCH(691, 輔助計算!$G$2:$G$801, 0)+1))&lt;=1181,2,1)))=1,TEXT(INDEX(ERP資料!$G:$G, (MATCH(691, 輔助計算!$G$2:$G$801, 0)+1)),"0.##"),IF(IF(INDEX(ERP資料!$G:$G, (MATCH(691, 輔助計算!$G$2:$G$801, 0)+1))&lt;100, IF(INDEX(ERP資料!$G:$G, (MATCH(691, 輔助計算!$G$2:$G$801, 0)+1))&lt;=31,3,IF(INDEX(ERP資料!$G:$G, (MATCH(691, 輔助計算!$G$2:$G$801, 0)+1))&lt;=46.5,2,1)), IF(INDEX(ERP資料!$G:$G, (MATCH(691, 輔助計算!$G$2:$G$801, 0)+1))&lt;=790,3,IF(INDEX(ERP資料!$G:$G, (MATCH(691, 輔助計算!$G$2:$G$801, 0)+1))&lt;=1181,2,1)))=2,TEXT(INDEX(ERP資料!$G:$G, (MATCH(691, 輔助計算!$G$2:$G$801, 0)+1)),"0.##")&amp;"+"&amp;TEXT(INDEX(ERP資料!$G:$G, (MATCH(691, 輔助計算!$G$2:$G$801, 0)+1)),"0.##"),TEXT(INDEX(ERP資料!$G:$G, (MATCH(691, 輔助計算!$G$2:$G$801, 0)+1)),"0.##")&amp;"+"&amp;TEXT(INDEX(ERP資料!$G:$G, (MATCH(691, 輔助計算!$G$2:$G$801, 0)+1)),"0.##")&amp;"+"&amp;TEXT(INDEX(ERP資料!$G:$G, (MATCH(691, 輔助計算!$G$2:$G$801, 0)+1)),"0.##")))&amp;"-"&amp;INT(INDEX(輔助計算!$D:$D, (MATCH(691, 輔助計算!$G$2:$G$801, 0)+1))/IF(INDEX(ERP資料!$G:$G, (MATCH(691, 輔助計算!$G$2:$G$801, 0)+1))&lt;100, IF(INDEX(ERP資料!$G:$G, (MATCH(691, 輔助計算!$G$2:$G$801, 0)+1))&lt;=31,3,IF(INDEX(ERP資料!$G:$G, (MATCH(691, 輔助計算!$G$2:$G$801, 0)+1))&lt;=46.5,2,1)), IF(INDEX(ERP資料!$G:$G, (MATCH(691, 輔助計算!$G$2:$G$801, 0)+1))&lt;=790,3,IF(INDEX(ERP資料!$G:$G, (MATCH(691, 輔助計算!$G$2:$G$801, 0)+1))&lt;=1181,2,1)))), "")&lt;&gt;"",IF(MOD(INDEX(輔助計算!$D:$D, (MATCH(691, 輔助計算!$G$2:$G$801, 0)+1)),IF(INDEX(ERP資料!$G:$G, (MATCH(691, 輔助計算!$G$2:$G$801, 0)+1))&lt;100, IF(INDEX(ERP資料!$G:$G, (MATCH(691, 輔助計算!$G$2:$G$801, 0)+1))&lt;=31,3,IF(INDEX(ERP資料!$G:$G, (MATCH(691, 輔助計算!$G$2:$G$801, 0)+1))&lt;=46.5,2,1)), IF(INDEX(ERP資料!$G:$G, (MATCH(691, 輔助計算!$G$2:$G$801, 0)+1))&lt;=790,3,IF(INDEX(ERP資料!$G:$G, (MATCH(691, 輔助計算!$G$2:$G$801, 0)+1))&lt;=1181,2,1))))=0,"",IF(MOD(INDEX(輔助計算!$D:$D, (MATCH(691, 輔助計算!$G$2:$G$801, 0)+1)),IF(INDEX(ERP資料!$G:$G, (MATCH(691, 輔助計算!$G$2:$G$801, 0)+1))&lt;100, IF(INDEX(ERP資料!$G:$G, (MATCH(691, 輔助計算!$G$2:$G$801, 0)+1))&lt;=31,3,IF(INDEX(ERP資料!$G:$G, (MATCH(691, 輔助計算!$G$2:$G$801, 0)+1))&lt;=46.5,2,1)), IF(INDEX(ERP資料!$G:$G, (MATCH(691, 輔助計算!$G$2:$G$801, 0)+1))&lt;=790,3,IF(INDEX(ERP資料!$G:$G, (MATCH(691, 輔助計算!$G$2:$G$801, 0)+1))&lt;=1181,2,1))))=0,"",IF(MOD(INDEX(輔助計算!$D:$D, (MATCH(691, 輔助計算!$G$2:$G$801, 0)+1)),IF(INDEX(ERP資料!$G:$G, (MATCH(691, 輔助計算!$G$2:$G$801, 0)+1))&lt;100, IF(INDEX(ERP資料!$G:$G, (MATCH(691, 輔助計算!$G$2:$G$801, 0)+1))&lt;=31,3,IF(INDEX(ERP資料!$G:$G, (MATCH(691, 輔助計算!$G$2:$G$801, 0)+1))&lt;=46.5,2,1)), IF(INDEX(ERP資料!$G:$G, (MATCH(691, 輔助計算!$G$2:$G$801, 0)+1))&lt;=790,3,IF(INDEX(ERP資料!$G:$G, (MATCH(691, 輔助計算!$G$2:$G$801, 0)+1))&lt;=1181,2,1))))=1,TEXT(INDEX(ERP資料!$G:$G, (MATCH(691, 輔助計算!$G$2:$G$801, 0)+1)),"0.##"),IF(MOD(INDEX(輔助計算!$D:$D, (MATCH(691, 輔助計算!$G$2:$G$801, 0)+1)),IF(INDEX(ERP資料!$G:$G, (MATCH(691, 輔助計算!$G$2:$G$801, 0)+1))&lt;100, IF(INDEX(ERP資料!$G:$G, (MATCH(691, 輔助計算!$G$2:$G$801, 0)+1))&lt;=31,3,IF(INDEX(ERP資料!$G:$G, (MATCH(691, 輔助計算!$G$2:$G$801, 0)+1))&lt;=46.5,2,1)), IF(INDEX(ERP資料!$G:$G, (MATCH(691, 輔助計算!$G$2:$G$801, 0)+1))&lt;=790,3,IF(INDEX(ERP資料!$G:$G, (MATCH(691, 輔助計算!$G$2:$G$801, 0)+1))&lt;=1181,2,1))))=2,TEXT(INDEX(ERP資料!$G:$G, (MATCH(691, 輔助計算!$G$2:$G$801, 0)+1)),"0.##")&amp;"+"&amp;TEXT(INDEX(ERP資料!$G:$G, (MATCH(691, 輔助計算!$G$2:$G$801, 0)+1)),"0.##"),TEXT(INDEX(ERP資料!$G:$G, (MATCH(691, 輔助計算!$G$2:$G$801, 0)+1)),"0.##")&amp;"+"&amp;TEXT(INDEX(ERP資料!$G:$G, (MATCH(691, 輔助計算!$G$2:$G$801, 0)+1)),"0.##")&amp;"+"&amp;TEXT(INDEX(ERP資料!$G:$G, (MATCH(691, 輔助計算!$G$2:$G$801, 0)+1)),"0.##"))))&amp;"-1")&lt;&gt;""),"  ","")&amp;IF(MOD(INDEX(輔助計算!$D:$D, (MATCH(691, 輔助計算!$G$2:$G$801, 0)+1)),IF(INDEX(ERP資料!$G:$G, (MATCH(691, 輔助計算!$G$2:$G$801, 0)+1))&lt;100, IF(INDEX(ERP資料!$G:$G, (MATCH(691, 輔助計算!$G$2:$G$801, 0)+1))&lt;=31,3,IF(INDEX(ERP資料!$G:$G, (MATCH(691, 輔助計算!$G$2:$G$801, 0)+1))&lt;=46.5,2,1)), IF(INDEX(ERP資料!$G:$G, (MATCH(691, 輔助計算!$G$2:$G$801, 0)+1))&lt;=790,3,IF(INDEX(ERP資料!$G:$G, (MATCH(691, 輔助計算!$G$2:$G$801, 0)+1))&lt;=1181,2,1))))=0,"",IF(MOD(INDEX(輔助計算!$D:$D, (MATCH(691, 輔助計算!$G$2:$G$801, 0)+1)),IF(INDEX(ERP資料!$G:$G, (MATCH(691, 輔助計算!$G$2:$G$801, 0)+1))&lt;100, IF(INDEX(ERP資料!$G:$G, (MATCH(691, 輔助計算!$G$2:$G$801, 0)+1))&lt;=31,3,IF(INDEX(ERP資料!$G:$G, (MATCH(691, 輔助計算!$G$2:$G$801, 0)+1))&lt;=46.5,2,1)), IF(INDEX(ERP資料!$G:$G, (MATCH(691, 輔助計算!$G$2:$G$801, 0)+1))&lt;=790,3,IF(INDEX(ERP資料!$G:$G, (MATCH(691, 輔助計算!$G$2:$G$801, 0)+1))&lt;=1181,2,1))))=0,"",IF(MOD(INDEX(輔助計算!$D:$D, (MATCH(691, 輔助計算!$G$2:$G$801, 0)+1)),IF(INDEX(ERP資料!$G:$G, (MATCH(691, 輔助計算!$G$2:$G$801, 0)+1))&lt;100, IF(INDEX(ERP資料!$G:$G, (MATCH(691, 輔助計算!$G$2:$G$801, 0)+1))&lt;=31,3,IF(INDEX(ERP資料!$G:$G, (MATCH(691, 輔助計算!$G$2:$G$801, 0)+1))&lt;=46.5,2,1)), IF(INDEX(ERP資料!$G:$G, (MATCH(691, 輔助計算!$G$2:$G$801, 0)+1))&lt;=790,3,IF(INDEX(ERP資料!$G:$G, (MATCH(691, 輔助計算!$G$2:$G$801, 0)+1))&lt;=1181,2,1))))=1,TEXT(INDEX(ERP資料!$G:$G, (MATCH(691, 輔助計算!$G$2:$G$801, 0)+1)),"0.##"),IF(MOD(INDEX(輔助計算!$D:$D, (MATCH(691, 輔助計算!$G$2:$G$801, 0)+1)),IF(INDEX(ERP資料!$G:$G, (MATCH(691, 輔助計算!$G$2:$G$801, 0)+1))&lt;100, IF(INDEX(ERP資料!$G:$G, (MATCH(691, 輔助計算!$G$2:$G$801, 0)+1))&lt;=31,3,IF(INDEX(ERP資料!$G:$G, (MATCH(691, 輔助計算!$G$2:$G$801, 0)+1))&lt;=46.5,2,1)), IF(INDEX(ERP資料!$G:$G, (MATCH(691, 輔助計算!$G$2:$G$801, 0)+1))&lt;=790,3,IF(INDEX(ERP資料!$G:$G, (MATCH(691, 輔助計算!$G$2:$G$801, 0)+1))&lt;=1181,2,1))))=2,TEXT(INDEX(ERP資料!$G:$G, (MATCH(691, 輔助計算!$G$2:$G$801, 0)+1)),"0.##")&amp;"+"&amp;TEXT(INDEX(ERP資料!$G:$G, (MATCH(691, 輔助計算!$G$2:$G$801, 0)+1)),"0.##"),TEXT(INDEX(ERP資料!$G:$G, (MATCH(691, 輔助計算!$G$2:$G$801, 0)+1)),"0.##")&amp;"+"&amp;TEXT(INDEX(ERP資料!$G:$G, (MATCH(691, 輔助計算!$G$2:$G$801, 0)+1)),"0.##")&amp;"+"&amp;TEXT(INDEX(ERP資料!$G:$G, (MATCH(691, 輔助計算!$G$2:$G$801, 0)+1)),"0.##"))))&amp;"-1")), ""), "")</f>
        <v/>
      </c>
      <c r="K692" s="16" t="n"/>
      <c r="L692" s="14">
        <f>IFERROR(IF(AND(IFERROR(INDEX(ERP資料!$A:$A, (MATCH(691, 輔助計算!$G$2:$G$801, 0)+1)), "")&lt;&gt;"", IFERROR(INDEX(ERP資料!$A:$A, (MATCH(691, 輔助計算!$G$2:$G$801, 0)+1)), "")&lt;&gt;IFERROR(INDEX(ERP資料!$A:$A, MATCH(690, 輔助計算!$G$2:$G$801, 0)+1), "")), INDEX(ERP資料!$B:$B, (MATCH(691, 輔助計算!$G$2:$G$801, 0)+1)), ""), "")</f>
        <v/>
      </c>
      <c r="M692" s="17" t="n"/>
    </row>
    <row r="693">
      <c r="A693" s="10">
        <f>IFERROR(IF(AND(IFERROR(INDEX(ERP資料!$A:$A, (MATCH(692, 輔助計算!$G$2:$G$801, 0)+1)), "")&lt;&gt;"", IFERROR(INDEX(ERP資料!$A:$A, (MATCH(692, 輔助計算!$G$2:$G$801, 0)+1)), "")&lt;&gt;IFERROR(INDEX(ERP資料!$A:$A, MATCH(691, 輔助計算!$G$2:$G$801, 0)+1), "")), IFERROR(INDEX(ERP資料!$A:$A, (MATCH(692, 輔助計算!$G$2:$G$801, 0)+1)), ""), ""), "")</f>
        <v/>
      </c>
      <c r="B693" s="10">
        <f>IFERROR(IF(AND(IFERROR(INDEX(ERP資料!$A:$A, (MATCH(692, 輔助計算!$G$2:$G$801, 0)+1)), "")&lt;&gt;"", IFERROR(INDEX(ERP資料!$A:$A, (MATCH(692, 輔助計算!$G$2:$G$801, 0)+1)), "")&lt;&gt;IFERROR(INDEX(ERP資料!$A:$A, MATCH(691, 輔助計算!$G$2:$G$801, 0)+1), "")), INDEX(ERP資料!$S:$S, (MATCH(692, 輔助計算!$G$2:$G$801, 0)+1)), ""), "")</f>
        <v/>
      </c>
      <c r="C693" s="19">
        <f>IFERROR(IF(AND(IFERROR(INDEX(ERP資料!$A:$A, (MATCH(692, 輔助計算!$G$2:$G$801, 0)+1)), "")&lt;&gt;"", IFERROR(INDEX(ERP資料!$A:$A, (MATCH(692, 輔助計算!$G$2:$G$801, 0)+1)), "")&lt;&gt;IFERROR(INDEX(ERP資料!$A:$A, MATCH(691, 輔助計算!$G$2:$G$801, 0)+1), "")), IFERROR(VLOOKUP(LEFT(INDEX(ERP資料!$S:$S, (MATCH(692, 輔助計算!$G$2:$G$801, 0)+1)), 4), 紙管對照表!$A:$C, 3, FALSE), ""), ""), "")</f>
        <v/>
      </c>
      <c r="D693" s="16" t="n"/>
      <c r="E693" s="10">
        <f>IFERROR(IF(INDEX(ERP資料!$H:$H, (MATCH(692, 輔助計算!$G$2:$G$801, 0)+1))="","",INDEX(ERP資料!$H:$H, (MATCH(692, 輔助計算!$G$2:$G$801, 0)+1))), "")</f>
        <v/>
      </c>
      <c r="F693" s="10">
        <f>IFERROR(IF(INDEX(ERP資料!$E:$E, (MATCH(692, 輔助計算!$G$2:$G$801, 0)+1))="","",TRIM(INDEX(ERP資料!$E:$E, (MATCH(692, 輔助計算!$G$2:$G$801, 0)+1)))), "")</f>
        <v/>
      </c>
      <c r="G693" s="10">
        <f>IFERROR(IF(INDEX(ERP資料!$F:$F, (MATCH(692, 輔助計算!$G$2:$G$801, 0)+1))="","",INDEX(ERP資料!$F:$F, (MATCH(692, 輔助計算!$G$2:$G$801, 0)+1))), "")</f>
        <v/>
      </c>
      <c r="H693" s="10">
        <f>IFERROR(IF(INDEX(ERP資料!$G:$G, (MATCH(692, 輔助計算!$G$2:$G$801, 0)+1))="","",INDEX(ERP資料!$G:$G, (MATCH(692, 輔助計算!$G$2:$G$801, 0)+1))), "")</f>
        <v/>
      </c>
      <c r="I693" s="15">
        <f>IFERROR(INDEX(輔助計算!$D:$D, (MATCH(692, 輔助計算!$G$2:$G$801, 0)+1)), "")</f>
        <v/>
      </c>
      <c r="J693" s="15">
        <f>IFERROR(IF(AND(INDEX(輔助計算!$D:$D, (MATCH(692, 輔助計算!$G$2:$G$801, 0)+1))&lt;&gt;"", INDEX(ERP資料!$G:$G, (MATCH(692, 輔助計算!$G$2:$G$801, 0)+1))&lt;&gt;""), TRIM(IF(INT(INDEX(輔助計算!$D:$D, (MATCH(692, 輔助計算!$G$2:$G$801, 0)+1))/IF(INDEX(ERP資料!$G:$G, (MATCH(692, 輔助計算!$G$2:$G$801, 0)+1))&lt;100, IF(INDEX(ERP資料!$G:$G, (MATCH(692, 輔助計算!$G$2:$G$801, 0)+1))&lt;=31,3,IF(INDEX(ERP資料!$G:$G, (MATCH(692, 輔助計算!$G$2:$G$801, 0)+1))&lt;=46.5,2,1)), IF(INDEX(ERP資料!$G:$G, (MATCH(692, 輔助計算!$G$2:$G$801, 0)+1))&lt;=790,3,IF(INDEX(ERP資料!$G:$G, (MATCH(692, 輔助計算!$G$2:$G$801, 0)+1))&lt;=1181,2,1))))&gt;0, IF(IF(INDEX(ERP資料!$G:$G, (MATCH(692, 輔助計算!$G$2:$G$801, 0)+1))&lt;100, IF(INDEX(ERP資料!$G:$G, (MATCH(692, 輔助計算!$G$2:$G$801, 0)+1))&lt;=31,3,IF(INDEX(ERP資料!$G:$G, (MATCH(692, 輔助計算!$G$2:$G$801, 0)+1))&lt;=46.5,2,1)), IF(INDEX(ERP資料!$G:$G, (MATCH(692, 輔助計算!$G$2:$G$801, 0)+1))&lt;=790,3,IF(INDEX(ERP資料!$G:$G, (MATCH(692, 輔助計算!$G$2:$G$801, 0)+1))&lt;=1181,2,1)))=1,TEXT(INDEX(ERP資料!$G:$G, (MATCH(692, 輔助計算!$G$2:$G$801, 0)+1)),"0.##"),IF(IF(INDEX(ERP資料!$G:$G, (MATCH(692, 輔助計算!$G$2:$G$801, 0)+1))&lt;100, IF(INDEX(ERP資料!$G:$G, (MATCH(692, 輔助計算!$G$2:$G$801, 0)+1))&lt;=31,3,IF(INDEX(ERP資料!$G:$G, (MATCH(692, 輔助計算!$G$2:$G$801, 0)+1))&lt;=46.5,2,1)), IF(INDEX(ERP資料!$G:$G, (MATCH(692, 輔助計算!$G$2:$G$801, 0)+1))&lt;=790,3,IF(INDEX(ERP資料!$G:$G, (MATCH(692, 輔助計算!$G$2:$G$801, 0)+1))&lt;=1181,2,1)))=2,TEXT(INDEX(ERP資料!$G:$G, (MATCH(692, 輔助計算!$G$2:$G$801, 0)+1)),"0.##")&amp;"+"&amp;TEXT(INDEX(ERP資料!$G:$G, (MATCH(692, 輔助計算!$G$2:$G$801, 0)+1)),"0.##"),TEXT(INDEX(ERP資料!$G:$G, (MATCH(692, 輔助計算!$G$2:$G$801, 0)+1)),"0.##")&amp;"+"&amp;TEXT(INDEX(ERP資料!$G:$G, (MATCH(692, 輔助計算!$G$2:$G$801, 0)+1)),"0.##")&amp;"+"&amp;TEXT(INDEX(ERP資料!$G:$G, (MATCH(692, 輔助計算!$G$2:$G$801, 0)+1)),"0.##")))&amp;"-"&amp;INT(INDEX(輔助計算!$D:$D, (MATCH(692, 輔助計算!$G$2:$G$801, 0)+1))/IF(INDEX(ERP資料!$G:$G, (MATCH(692, 輔助計算!$G$2:$G$801, 0)+1))&lt;100, IF(INDEX(ERP資料!$G:$G, (MATCH(692, 輔助計算!$G$2:$G$801, 0)+1))&lt;=31,3,IF(INDEX(ERP資料!$G:$G, (MATCH(692, 輔助計算!$G$2:$G$801, 0)+1))&lt;=46.5,2,1)), IF(INDEX(ERP資料!$G:$G, (MATCH(692, 輔助計算!$G$2:$G$801, 0)+1))&lt;=790,3,IF(INDEX(ERP資料!$G:$G, (MATCH(692, 輔助計算!$G$2:$G$801, 0)+1))&lt;=1181,2,1)))), "")&amp;IF(AND(IF(INT(INDEX(輔助計算!$D:$D, (MATCH(692, 輔助計算!$G$2:$G$801, 0)+1))/IF(INDEX(ERP資料!$G:$G, (MATCH(692, 輔助計算!$G$2:$G$801, 0)+1))&lt;100, IF(INDEX(ERP資料!$G:$G, (MATCH(692, 輔助計算!$G$2:$G$801, 0)+1))&lt;=31,3,IF(INDEX(ERP資料!$G:$G, (MATCH(692, 輔助計算!$G$2:$G$801, 0)+1))&lt;=46.5,2,1)), IF(INDEX(ERP資料!$G:$G, (MATCH(692, 輔助計算!$G$2:$G$801, 0)+1))&lt;=790,3,IF(INDEX(ERP資料!$G:$G, (MATCH(692, 輔助計算!$G$2:$G$801, 0)+1))&lt;=1181,2,1))))&gt;0, IF(IF(INDEX(ERP資料!$G:$G, (MATCH(692, 輔助計算!$G$2:$G$801, 0)+1))&lt;100, IF(INDEX(ERP資料!$G:$G, (MATCH(692, 輔助計算!$G$2:$G$801, 0)+1))&lt;=31,3,IF(INDEX(ERP資料!$G:$G, (MATCH(692, 輔助計算!$G$2:$G$801, 0)+1))&lt;=46.5,2,1)), IF(INDEX(ERP資料!$G:$G, (MATCH(692, 輔助計算!$G$2:$G$801, 0)+1))&lt;=790,3,IF(INDEX(ERP資料!$G:$G, (MATCH(692, 輔助計算!$G$2:$G$801, 0)+1))&lt;=1181,2,1)))=1,TEXT(INDEX(ERP資料!$G:$G, (MATCH(692, 輔助計算!$G$2:$G$801, 0)+1)),"0.##"),IF(IF(INDEX(ERP資料!$G:$G, (MATCH(692, 輔助計算!$G$2:$G$801, 0)+1))&lt;100, IF(INDEX(ERP資料!$G:$G, (MATCH(692, 輔助計算!$G$2:$G$801, 0)+1))&lt;=31,3,IF(INDEX(ERP資料!$G:$G, (MATCH(692, 輔助計算!$G$2:$G$801, 0)+1))&lt;=46.5,2,1)), IF(INDEX(ERP資料!$G:$G, (MATCH(692, 輔助計算!$G$2:$G$801, 0)+1))&lt;=790,3,IF(INDEX(ERP資料!$G:$G, (MATCH(692, 輔助計算!$G$2:$G$801, 0)+1))&lt;=1181,2,1)))=2,TEXT(INDEX(ERP資料!$G:$G, (MATCH(692, 輔助計算!$G$2:$G$801, 0)+1)),"0.##")&amp;"+"&amp;TEXT(INDEX(ERP資料!$G:$G, (MATCH(692, 輔助計算!$G$2:$G$801, 0)+1)),"0.##"),TEXT(INDEX(ERP資料!$G:$G, (MATCH(692, 輔助計算!$G$2:$G$801, 0)+1)),"0.##")&amp;"+"&amp;TEXT(INDEX(ERP資料!$G:$G, (MATCH(692, 輔助計算!$G$2:$G$801, 0)+1)),"0.##")&amp;"+"&amp;TEXT(INDEX(ERP資料!$G:$G, (MATCH(692, 輔助計算!$G$2:$G$801, 0)+1)),"0.##")))&amp;"-"&amp;INT(INDEX(輔助計算!$D:$D, (MATCH(692, 輔助計算!$G$2:$G$801, 0)+1))/IF(INDEX(ERP資料!$G:$G, (MATCH(692, 輔助計算!$G$2:$G$801, 0)+1))&lt;100, IF(INDEX(ERP資料!$G:$G, (MATCH(692, 輔助計算!$G$2:$G$801, 0)+1))&lt;=31,3,IF(INDEX(ERP資料!$G:$G, (MATCH(692, 輔助計算!$G$2:$G$801, 0)+1))&lt;=46.5,2,1)), IF(INDEX(ERP資料!$G:$G, (MATCH(692, 輔助計算!$G$2:$G$801, 0)+1))&lt;=790,3,IF(INDEX(ERP資料!$G:$G, (MATCH(692, 輔助計算!$G$2:$G$801, 0)+1))&lt;=1181,2,1)))), "")&lt;&gt;"",IF(MOD(INDEX(輔助計算!$D:$D, (MATCH(692, 輔助計算!$G$2:$G$801, 0)+1)),IF(INDEX(ERP資料!$G:$G, (MATCH(692, 輔助計算!$G$2:$G$801, 0)+1))&lt;100, IF(INDEX(ERP資料!$G:$G, (MATCH(692, 輔助計算!$G$2:$G$801, 0)+1))&lt;=31,3,IF(INDEX(ERP資料!$G:$G, (MATCH(692, 輔助計算!$G$2:$G$801, 0)+1))&lt;=46.5,2,1)), IF(INDEX(ERP資料!$G:$G, (MATCH(692, 輔助計算!$G$2:$G$801, 0)+1))&lt;=790,3,IF(INDEX(ERP資料!$G:$G, (MATCH(692, 輔助計算!$G$2:$G$801, 0)+1))&lt;=1181,2,1))))=0,"",IF(MOD(INDEX(輔助計算!$D:$D, (MATCH(692, 輔助計算!$G$2:$G$801, 0)+1)),IF(INDEX(ERP資料!$G:$G, (MATCH(692, 輔助計算!$G$2:$G$801, 0)+1))&lt;100, IF(INDEX(ERP資料!$G:$G, (MATCH(692, 輔助計算!$G$2:$G$801, 0)+1))&lt;=31,3,IF(INDEX(ERP資料!$G:$G, (MATCH(692, 輔助計算!$G$2:$G$801, 0)+1))&lt;=46.5,2,1)), IF(INDEX(ERP資料!$G:$G, (MATCH(692, 輔助計算!$G$2:$G$801, 0)+1))&lt;=790,3,IF(INDEX(ERP資料!$G:$G, (MATCH(692, 輔助計算!$G$2:$G$801, 0)+1))&lt;=1181,2,1))))=0,"",IF(MOD(INDEX(輔助計算!$D:$D, (MATCH(692, 輔助計算!$G$2:$G$801, 0)+1)),IF(INDEX(ERP資料!$G:$G, (MATCH(692, 輔助計算!$G$2:$G$801, 0)+1))&lt;100, IF(INDEX(ERP資料!$G:$G, (MATCH(692, 輔助計算!$G$2:$G$801, 0)+1))&lt;=31,3,IF(INDEX(ERP資料!$G:$G, (MATCH(692, 輔助計算!$G$2:$G$801, 0)+1))&lt;=46.5,2,1)), IF(INDEX(ERP資料!$G:$G, (MATCH(692, 輔助計算!$G$2:$G$801, 0)+1))&lt;=790,3,IF(INDEX(ERP資料!$G:$G, (MATCH(692, 輔助計算!$G$2:$G$801, 0)+1))&lt;=1181,2,1))))=1,TEXT(INDEX(ERP資料!$G:$G, (MATCH(692, 輔助計算!$G$2:$G$801, 0)+1)),"0.##"),IF(MOD(INDEX(輔助計算!$D:$D, (MATCH(692, 輔助計算!$G$2:$G$801, 0)+1)),IF(INDEX(ERP資料!$G:$G, (MATCH(692, 輔助計算!$G$2:$G$801, 0)+1))&lt;100, IF(INDEX(ERP資料!$G:$G, (MATCH(692, 輔助計算!$G$2:$G$801, 0)+1))&lt;=31,3,IF(INDEX(ERP資料!$G:$G, (MATCH(692, 輔助計算!$G$2:$G$801, 0)+1))&lt;=46.5,2,1)), IF(INDEX(ERP資料!$G:$G, (MATCH(692, 輔助計算!$G$2:$G$801, 0)+1))&lt;=790,3,IF(INDEX(ERP資料!$G:$G, (MATCH(692, 輔助計算!$G$2:$G$801, 0)+1))&lt;=1181,2,1))))=2,TEXT(INDEX(ERP資料!$G:$G, (MATCH(692, 輔助計算!$G$2:$G$801, 0)+1)),"0.##")&amp;"+"&amp;TEXT(INDEX(ERP資料!$G:$G, (MATCH(692, 輔助計算!$G$2:$G$801, 0)+1)),"0.##"),TEXT(INDEX(ERP資料!$G:$G, (MATCH(692, 輔助計算!$G$2:$G$801, 0)+1)),"0.##")&amp;"+"&amp;TEXT(INDEX(ERP資料!$G:$G, (MATCH(692, 輔助計算!$G$2:$G$801, 0)+1)),"0.##")&amp;"+"&amp;TEXT(INDEX(ERP資料!$G:$G, (MATCH(692, 輔助計算!$G$2:$G$801, 0)+1)),"0.##"))))&amp;"-1")&lt;&gt;""),"  ","")&amp;IF(MOD(INDEX(輔助計算!$D:$D, (MATCH(692, 輔助計算!$G$2:$G$801, 0)+1)),IF(INDEX(ERP資料!$G:$G, (MATCH(692, 輔助計算!$G$2:$G$801, 0)+1))&lt;100, IF(INDEX(ERP資料!$G:$G, (MATCH(692, 輔助計算!$G$2:$G$801, 0)+1))&lt;=31,3,IF(INDEX(ERP資料!$G:$G, (MATCH(692, 輔助計算!$G$2:$G$801, 0)+1))&lt;=46.5,2,1)), IF(INDEX(ERP資料!$G:$G, (MATCH(692, 輔助計算!$G$2:$G$801, 0)+1))&lt;=790,3,IF(INDEX(ERP資料!$G:$G, (MATCH(692, 輔助計算!$G$2:$G$801, 0)+1))&lt;=1181,2,1))))=0,"",IF(MOD(INDEX(輔助計算!$D:$D, (MATCH(692, 輔助計算!$G$2:$G$801, 0)+1)),IF(INDEX(ERP資料!$G:$G, (MATCH(692, 輔助計算!$G$2:$G$801, 0)+1))&lt;100, IF(INDEX(ERP資料!$G:$G, (MATCH(692, 輔助計算!$G$2:$G$801, 0)+1))&lt;=31,3,IF(INDEX(ERP資料!$G:$G, (MATCH(692, 輔助計算!$G$2:$G$801, 0)+1))&lt;=46.5,2,1)), IF(INDEX(ERP資料!$G:$G, (MATCH(692, 輔助計算!$G$2:$G$801, 0)+1))&lt;=790,3,IF(INDEX(ERP資料!$G:$G, (MATCH(692, 輔助計算!$G$2:$G$801, 0)+1))&lt;=1181,2,1))))=0,"",IF(MOD(INDEX(輔助計算!$D:$D, (MATCH(692, 輔助計算!$G$2:$G$801, 0)+1)),IF(INDEX(ERP資料!$G:$G, (MATCH(692, 輔助計算!$G$2:$G$801, 0)+1))&lt;100, IF(INDEX(ERP資料!$G:$G, (MATCH(692, 輔助計算!$G$2:$G$801, 0)+1))&lt;=31,3,IF(INDEX(ERP資料!$G:$G, (MATCH(692, 輔助計算!$G$2:$G$801, 0)+1))&lt;=46.5,2,1)), IF(INDEX(ERP資料!$G:$G, (MATCH(692, 輔助計算!$G$2:$G$801, 0)+1))&lt;=790,3,IF(INDEX(ERP資料!$G:$G, (MATCH(692, 輔助計算!$G$2:$G$801, 0)+1))&lt;=1181,2,1))))=1,TEXT(INDEX(ERP資料!$G:$G, (MATCH(692, 輔助計算!$G$2:$G$801, 0)+1)),"0.##"),IF(MOD(INDEX(輔助計算!$D:$D, (MATCH(692, 輔助計算!$G$2:$G$801, 0)+1)),IF(INDEX(ERP資料!$G:$G, (MATCH(692, 輔助計算!$G$2:$G$801, 0)+1))&lt;100, IF(INDEX(ERP資料!$G:$G, (MATCH(692, 輔助計算!$G$2:$G$801, 0)+1))&lt;=31,3,IF(INDEX(ERP資料!$G:$G, (MATCH(692, 輔助計算!$G$2:$G$801, 0)+1))&lt;=46.5,2,1)), IF(INDEX(ERP資料!$G:$G, (MATCH(692, 輔助計算!$G$2:$G$801, 0)+1))&lt;=790,3,IF(INDEX(ERP資料!$G:$G, (MATCH(692, 輔助計算!$G$2:$G$801, 0)+1))&lt;=1181,2,1))))=2,TEXT(INDEX(ERP資料!$G:$G, (MATCH(692, 輔助計算!$G$2:$G$801, 0)+1)),"0.##")&amp;"+"&amp;TEXT(INDEX(ERP資料!$G:$G, (MATCH(692, 輔助計算!$G$2:$G$801, 0)+1)),"0.##"),TEXT(INDEX(ERP資料!$G:$G, (MATCH(692, 輔助計算!$G$2:$G$801, 0)+1)),"0.##")&amp;"+"&amp;TEXT(INDEX(ERP資料!$G:$G, (MATCH(692, 輔助計算!$G$2:$G$801, 0)+1)),"0.##")&amp;"+"&amp;TEXT(INDEX(ERP資料!$G:$G, (MATCH(692, 輔助計算!$G$2:$G$801, 0)+1)),"0.##"))))&amp;"-1")), ""), "")</f>
        <v/>
      </c>
      <c r="K693" s="16" t="n"/>
      <c r="L693" s="14">
        <f>IFERROR(IF(AND(IFERROR(INDEX(ERP資料!$A:$A, (MATCH(692, 輔助計算!$G$2:$G$801, 0)+1)), "")&lt;&gt;"", IFERROR(INDEX(ERP資料!$A:$A, (MATCH(692, 輔助計算!$G$2:$G$801, 0)+1)), "")&lt;&gt;IFERROR(INDEX(ERP資料!$A:$A, MATCH(691, 輔助計算!$G$2:$G$801, 0)+1), "")), INDEX(ERP資料!$B:$B, (MATCH(692, 輔助計算!$G$2:$G$801, 0)+1)), ""), "")</f>
        <v/>
      </c>
      <c r="M693" s="17" t="n"/>
    </row>
    <row r="694">
      <c r="A694" s="10">
        <f>IFERROR(IF(AND(IFERROR(INDEX(ERP資料!$A:$A, (MATCH(693, 輔助計算!$G$2:$G$801, 0)+1)), "")&lt;&gt;"", IFERROR(INDEX(ERP資料!$A:$A, (MATCH(693, 輔助計算!$G$2:$G$801, 0)+1)), "")&lt;&gt;IFERROR(INDEX(ERP資料!$A:$A, MATCH(692, 輔助計算!$G$2:$G$801, 0)+1), "")), IFERROR(INDEX(ERP資料!$A:$A, (MATCH(693, 輔助計算!$G$2:$G$801, 0)+1)), ""), ""), "")</f>
        <v/>
      </c>
      <c r="B694" s="10">
        <f>IFERROR(IF(AND(IFERROR(INDEX(ERP資料!$A:$A, (MATCH(693, 輔助計算!$G$2:$G$801, 0)+1)), "")&lt;&gt;"", IFERROR(INDEX(ERP資料!$A:$A, (MATCH(693, 輔助計算!$G$2:$G$801, 0)+1)), "")&lt;&gt;IFERROR(INDEX(ERP資料!$A:$A, MATCH(692, 輔助計算!$G$2:$G$801, 0)+1), "")), INDEX(ERP資料!$S:$S, (MATCH(693, 輔助計算!$G$2:$G$801, 0)+1)), ""), "")</f>
        <v/>
      </c>
      <c r="C694" s="19">
        <f>IFERROR(IF(AND(IFERROR(INDEX(ERP資料!$A:$A, (MATCH(693, 輔助計算!$G$2:$G$801, 0)+1)), "")&lt;&gt;"", IFERROR(INDEX(ERP資料!$A:$A, (MATCH(693, 輔助計算!$G$2:$G$801, 0)+1)), "")&lt;&gt;IFERROR(INDEX(ERP資料!$A:$A, MATCH(692, 輔助計算!$G$2:$G$801, 0)+1), "")), IFERROR(VLOOKUP(LEFT(INDEX(ERP資料!$S:$S, (MATCH(693, 輔助計算!$G$2:$G$801, 0)+1)), 4), 紙管對照表!$A:$C, 3, FALSE), ""), ""), "")</f>
        <v/>
      </c>
      <c r="D694" s="16" t="n"/>
      <c r="E694" s="10">
        <f>IFERROR(IF(INDEX(ERP資料!$H:$H, (MATCH(693, 輔助計算!$G$2:$G$801, 0)+1))="","",INDEX(ERP資料!$H:$H, (MATCH(693, 輔助計算!$G$2:$G$801, 0)+1))), "")</f>
        <v/>
      </c>
      <c r="F694" s="10">
        <f>IFERROR(IF(INDEX(ERP資料!$E:$E, (MATCH(693, 輔助計算!$G$2:$G$801, 0)+1))="","",TRIM(INDEX(ERP資料!$E:$E, (MATCH(693, 輔助計算!$G$2:$G$801, 0)+1)))), "")</f>
        <v/>
      </c>
      <c r="G694" s="10">
        <f>IFERROR(IF(INDEX(ERP資料!$F:$F, (MATCH(693, 輔助計算!$G$2:$G$801, 0)+1))="","",INDEX(ERP資料!$F:$F, (MATCH(693, 輔助計算!$G$2:$G$801, 0)+1))), "")</f>
        <v/>
      </c>
      <c r="H694" s="10">
        <f>IFERROR(IF(INDEX(ERP資料!$G:$G, (MATCH(693, 輔助計算!$G$2:$G$801, 0)+1))="","",INDEX(ERP資料!$G:$G, (MATCH(693, 輔助計算!$G$2:$G$801, 0)+1))), "")</f>
        <v/>
      </c>
      <c r="I694" s="15">
        <f>IFERROR(INDEX(輔助計算!$D:$D, (MATCH(693, 輔助計算!$G$2:$G$801, 0)+1)), "")</f>
        <v/>
      </c>
      <c r="J694" s="15">
        <f>IFERROR(IF(AND(INDEX(輔助計算!$D:$D, (MATCH(693, 輔助計算!$G$2:$G$801, 0)+1))&lt;&gt;"", INDEX(ERP資料!$G:$G, (MATCH(693, 輔助計算!$G$2:$G$801, 0)+1))&lt;&gt;""), TRIM(IF(INT(INDEX(輔助計算!$D:$D, (MATCH(693, 輔助計算!$G$2:$G$801, 0)+1))/IF(INDEX(ERP資料!$G:$G, (MATCH(693, 輔助計算!$G$2:$G$801, 0)+1))&lt;100, IF(INDEX(ERP資料!$G:$G, (MATCH(693, 輔助計算!$G$2:$G$801, 0)+1))&lt;=31,3,IF(INDEX(ERP資料!$G:$G, (MATCH(693, 輔助計算!$G$2:$G$801, 0)+1))&lt;=46.5,2,1)), IF(INDEX(ERP資料!$G:$G, (MATCH(693, 輔助計算!$G$2:$G$801, 0)+1))&lt;=790,3,IF(INDEX(ERP資料!$G:$G, (MATCH(693, 輔助計算!$G$2:$G$801, 0)+1))&lt;=1181,2,1))))&gt;0, IF(IF(INDEX(ERP資料!$G:$G, (MATCH(693, 輔助計算!$G$2:$G$801, 0)+1))&lt;100, IF(INDEX(ERP資料!$G:$G, (MATCH(693, 輔助計算!$G$2:$G$801, 0)+1))&lt;=31,3,IF(INDEX(ERP資料!$G:$G, (MATCH(693, 輔助計算!$G$2:$G$801, 0)+1))&lt;=46.5,2,1)), IF(INDEX(ERP資料!$G:$G, (MATCH(693, 輔助計算!$G$2:$G$801, 0)+1))&lt;=790,3,IF(INDEX(ERP資料!$G:$G, (MATCH(693, 輔助計算!$G$2:$G$801, 0)+1))&lt;=1181,2,1)))=1,TEXT(INDEX(ERP資料!$G:$G, (MATCH(693, 輔助計算!$G$2:$G$801, 0)+1)),"0.##"),IF(IF(INDEX(ERP資料!$G:$G, (MATCH(693, 輔助計算!$G$2:$G$801, 0)+1))&lt;100, IF(INDEX(ERP資料!$G:$G, (MATCH(693, 輔助計算!$G$2:$G$801, 0)+1))&lt;=31,3,IF(INDEX(ERP資料!$G:$G, (MATCH(693, 輔助計算!$G$2:$G$801, 0)+1))&lt;=46.5,2,1)), IF(INDEX(ERP資料!$G:$G, (MATCH(693, 輔助計算!$G$2:$G$801, 0)+1))&lt;=790,3,IF(INDEX(ERP資料!$G:$G, (MATCH(693, 輔助計算!$G$2:$G$801, 0)+1))&lt;=1181,2,1)))=2,TEXT(INDEX(ERP資料!$G:$G, (MATCH(693, 輔助計算!$G$2:$G$801, 0)+1)),"0.##")&amp;"+"&amp;TEXT(INDEX(ERP資料!$G:$G, (MATCH(693, 輔助計算!$G$2:$G$801, 0)+1)),"0.##"),TEXT(INDEX(ERP資料!$G:$G, (MATCH(693, 輔助計算!$G$2:$G$801, 0)+1)),"0.##")&amp;"+"&amp;TEXT(INDEX(ERP資料!$G:$G, (MATCH(693, 輔助計算!$G$2:$G$801, 0)+1)),"0.##")&amp;"+"&amp;TEXT(INDEX(ERP資料!$G:$G, (MATCH(693, 輔助計算!$G$2:$G$801, 0)+1)),"0.##")))&amp;"-"&amp;INT(INDEX(輔助計算!$D:$D, (MATCH(693, 輔助計算!$G$2:$G$801, 0)+1))/IF(INDEX(ERP資料!$G:$G, (MATCH(693, 輔助計算!$G$2:$G$801, 0)+1))&lt;100, IF(INDEX(ERP資料!$G:$G, (MATCH(693, 輔助計算!$G$2:$G$801, 0)+1))&lt;=31,3,IF(INDEX(ERP資料!$G:$G, (MATCH(693, 輔助計算!$G$2:$G$801, 0)+1))&lt;=46.5,2,1)), IF(INDEX(ERP資料!$G:$G, (MATCH(693, 輔助計算!$G$2:$G$801, 0)+1))&lt;=790,3,IF(INDEX(ERP資料!$G:$G, (MATCH(693, 輔助計算!$G$2:$G$801, 0)+1))&lt;=1181,2,1)))), "")&amp;IF(AND(IF(INT(INDEX(輔助計算!$D:$D, (MATCH(693, 輔助計算!$G$2:$G$801, 0)+1))/IF(INDEX(ERP資料!$G:$G, (MATCH(693, 輔助計算!$G$2:$G$801, 0)+1))&lt;100, IF(INDEX(ERP資料!$G:$G, (MATCH(693, 輔助計算!$G$2:$G$801, 0)+1))&lt;=31,3,IF(INDEX(ERP資料!$G:$G, (MATCH(693, 輔助計算!$G$2:$G$801, 0)+1))&lt;=46.5,2,1)), IF(INDEX(ERP資料!$G:$G, (MATCH(693, 輔助計算!$G$2:$G$801, 0)+1))&lt;=790,3,IF(INDEX(ERP資料!$G:$G, (MATCH(693, 輔助計算!$G$2:$G$801, 0)+1))&lt;=1181,2,1))))&gt;0, IF(IF(INDEX(ERP資料!$G:$G, (MATCH(693, 輔助計算!$G$2:$G$801, 0)+1))&lt;100, IF(INDEX(ERP資料!$G:$G, (MATCH(693, 輔助計算!$G$2:$G$801, 0)+1))&lt;=31,3,IF(INDEX(ERP資料!$G:$G, (MATCH(693, 輔助計算!$G$2:$G$801, 0)+1))&lt;=46.5,2,1)), IF(INDEX(ERP資料!$G:$G, (MATCH(693, 輔助計算!$G$2:$G$801, 0)+1))&lt;=790,3,IF(INDEX(ERP資料!$G:$G, (MATCH(693, 輔助計算!$G$2:$G$801, 0)+1))&lt;=1181,2,1)))=1,TEXT(INDEX(ERP資料!$G:$G, (MATCH(693, 輔助計算!$G$2:$G$801, 0)+1)),"0.##"),IF(IF(INDEX(ERP資料!$G:$G, (MATCH(693, 輔助計算!$G$2:$G$801, 0)+1))&lt;100, IF(INDEX(ERP資料!$G:$G, (MATCH(693, 輔助計算!$G$2:$G$801, 0)+1))&lt;=31,3,IF(INDEX(ERP資料!$G:$G, (MATCH(693, 輔助計算!$G$2:$G$801, 0)+1))&lt;=46.5,2,1)), IF(INDEX(ERP資料!$G:$G, (MATCH(693, 輔助計算!$G$2:$G$801, 0)+1))&lt;=790,3,IF(INDEX(ERP資料!$G:$G, (MATCH(693, 輔助計算!$G$2:$G$801, 0)+1))&lt;=1181,2,1)))=2,TEXT(INDEX(ERP資料!$G:$G, (MATCH(693, 輔助計算!$G$2:$G$801, 0)+1)),"0.##")&amp;"+"&amp;TEXT(INDEX(ERP資料!$G:$G, (MATCH(693, 輔助計算!$G$2:$G$801, 0)+1)),"0.##"),TEXT(INDEX(ERP資料!$G:$G, (MATCH(693, 輔助計算!$G$2:$G$801, 0)+1)),"0.##")&amp;"+"&amp;TEXT(INDEX(ERP資料!$G:$G, (MATCH(693, 輔助計算!$G$2:$G$801, 0)+1)),"0.##")&amp;"+"&amp;TEXT(INDEX(ERP資料!$G:$G, (MATCH(693, 輔助計算!$G$2:$G$801, 0)+1)),"0.##")))&amp;"-"&amp;INT(INDEX(輔助計算!$D:$D, (MATCH(693, 輔助計算!$G$2:$G$801, 0)+1))/IF(INDEX(ERP資料!$G:$G, (MATCH(693, 輔助計算!$G$2:$G$801, 0)+1))&lt;100, IF(INDEX(ERP資料!$G:$G, (MATCH(693, 輔助計算!$G$2:$G$801, 0)+1))&lt;=31,3,IF(INDEX(ERP資料!$G:$G, (MATCH(693, 輔助計算!$G$2:$G$801, 0)+1))&lt;=46.5,2,1)), IF(INDEX(ERP資料!$G:$G, (MATCH(693, 輔助計算!$G$2:$G$801, 0)+1))&lt;=790,3,IF(INDEX(ERP資料!$G:$G, (MATCH(693, 輔助計算!$G$2:$G$801, 0)+1))&lt;=1181,2,1)))), "")&lt;&gt;"",IF(MOD(INDEX(輔助計算!$D:$D, (MATCH(693, 輔助計算!$G$2:$G$801, 0)+1)),IF(INDEX(ERP資料!$G:$G, (MATCH(693, 輔助計算!$G$2:$G$801, 0)+1))&lt;100, IF(INDEX(ERP資料!$G:$G, (MATCH(693, 輔助計算!$G$2:$G$801, 0)+1))&lt;=31,3,IF(INDEX(ERP資料!$G:$G, (MATCH(693, 輔助計算!$G$2:$G$801, 0)+1))&lt;=46.5,2,1)), IF(INDEX(ERP資料!$G:$G, (MATCH(693, 輔助計算!$G$2:$G$801, 0)+1))&lt;=790,3,IF(INDEX(ERP資料!$G:$G, (MATCH(693, 輔助計算!$G$2:$G$801, 0)+1))&lt;=1181,2,1))))=0,"",IF(MOD(INDEX(輔助計算!$D:$D, (MATCH(693, 輔助計算!$G$2:$G$801, 0)+1)),IF(INDEX(ERP資料!$G:$G, (MATCH(693, 輔助計算!$G$2:$G$801, 0)+1))&lt;100, IF(INDEX(ERP資料!$G:$G, (MATCH(693, 輔助計算!$G$2:$G$801, 0)+1))&lt;=31,3,IF(INDEX(ERP資料!$G:$G, (MATCH(693, 輔助計算!$G$2:$G$801, 0)+1))&lt;=46.5,2,1)), IF(INDEX(ERP資料!$G:$G, (MATCH(693, 輔助計算!$G$2:$G$801, 0)+1))&lt;=790,3,IF(INDEX(ERP資料!$G:$G, (MATCH(693, 輔助計算!$G$2:$G$801, 0)+1))&lt;=1181,2,1))))=0,"",IF(MOD(INDEX(輔助計算!$D:$D, (MATCH(693, 輔助計算!$G$2:$G$801, 0)+1)),IF(INDEX(ERP資料!$G:$G, (MATCH(693, 輔助計算!$G$2:$G$801, 0)+1))&lt;100, IF(INDEX(ERP資料!$G:$G, (MATCH(693, 輔助計算!$G$2:$G$801, 0)+1))&lt;=31,3,IF(INDEX(ERP資料!$G:$G, (MATCH(693, 輔助計算!$G$2:$G$801, 0)+1))&lt;=46.5,2,1)), IF(INDEX(ERP資料!$G:$G, (MATCH(693, 輔助計算!$G$2:$G$801, 0)+1))&lt;=790,3,IF(INDEX(ERP資料!$G:$G, (MATCH(693, 輔助計算!$G$2:$G$801, 0)+1))&lt;=1181,2,1))))=1,TEXT(INDEX(ERP資料!$G:$G, (MATCH(693, 輔助計算!$G$2:$G$801, 0)+1)),"0.##"),IF(MOD(INDEX(輔助計算!$D:$D, (MATCH(693, 輔助計算!$G$2:$G$801, 0)+1)),IF(INDEX(ERP資料!$G:$G, (MATCH(693, 輔助計算!$G$2:$G$801, 0)+1))&lt;100, IF(INDEX(ERP資料!$G:$G, (MATCH(693, 輔助計算!$G$2:$G$801, 0)+1))&lt;=31,3,IF(INDEX(ERP資料!$G:$G, (MATCH(693, 輔助計算!$G$2:$G$801, 0)+1))&lt;=46.5,2,1)), IF(INDEX(ERP資料!$G:$G, (MATCH(693, 輔助計算!$G$2:$G$801, 0)+1))&lt;=790,3,IF(INDEX(ERP資料!$G:$G, (MATCH(693, 輔助計算!$G$2:$G$801, 0)+1))&lt;=1181,2,1))))=2,TEXT(INDEX(ERP資料!$G:$G, (MATCH(693, 輔助計算!$G$2:$G$801, 0)+1)),"0.##")&amp;"+"&amp;TEXT(INDEX(ERP資料!$G:$G, (MATCH(693, 輔助計算!$G$2:$G$801, 0)+1)),"0.##"),TEXT(INDEX(ERP資料!$G:$G, (MATCH(693, 輔助計算!$G$2:$G$801, 0)+1)),"0.##")&amp;"+"&amp;TEXT(INDEX(ERP資料!$G:$G, (MATCH(693, 輔助計算!$G$2:$G$801, 0)+1)),"0.##")&amp;"+"&amp;TEXT(INDEX(ERP資料!$G:$G, (MATCH(693, 輔助計算!$G$2:$G$801, 0)+1)),"0.##"))))&amp;"-1")&lt;&gt;""),"  ","")&amp;IF(MOD(INDEX(輔助計算!$D:$D, (MATCH(693, 輔助計算!$G$2:$G$801, 0)+1)),IF(INDEX(ERP資料!$G:$G, (MATCH(693, 輔助計算!$G$2:$G$801, 0)+1))&lt;100, IF(INDEX(ERP資料!$G:$G, (MATCH(693, 輔助計算!$G$2:$G$801, 0)+1))&lt;=31,3,IF(INDEX(ERP資料!$G:$G, (MATCH(693, 輔助計算!$G$2:$G$801, 0)+1))&lt;=46.5,2,1)), IF(INDEX(ERP資料!$G:$G, (MATCH(693, 輔助計算!$G$2:$G$801, 0)+1))&lt;=790,3,IF(INDEX(ERP資料!$G:$G, (MATCH(693, 輔助計算!$G$2:$G$801, 0)+1))&lt;=1181,2,1))))=0,"",IF(MOD(INDEX(輔助計算!$D:$D, (MATCH(693, 輔助計算!$G$2:$G$801, 0)+1)),IF(INDEX(ERP資料!$G:$G, (MATCH(693, 輔助計算!$G$2:$G$801, 0)+1))&lt;100, IF(INDEX(ERP資料!$G:$G, (MATCH(693, 輔助計算!$G$2:$G$801, 0)+1))&lt;=31,3,IF(INDEX(ERP資料!$G:$G, (MATCH(693, 輔助計算!$G$2:$G$801, 0)+1))&lt;=46.5,2,1)), IF(INDEX(ERP資料!$G:$G, (MATCH(693, 輔助計算!$G$2:$G$801, 0)+1))&lt;=790,3,IF(INDEX(ERP資料!$G:$G, (MATCH(693, 輔助計算!$G$2:$G$801, 0)+1))&lt;=1181,2,1))))=0,"",IF(MOD(INDEX(輔助計算!$D:$D, (MATCH(693, 輔助計算!$G$2:$G$801, 0)+1)),IF(INDEX(ERP資料!$G:$G, (MATCH(693, 輔助計算!$G$2:$G$801, 0)+1))&lt;100, IF(INDEX(ERP資料!$G:$G, (MATCH(693, 輔助計算!$G$2:$G$801, 0)+1))&lt;=31,3,IF(INDEX(ERP資料!$G:$G, (MATCH(693, 輔助計算!$G$2:$G$801, 0)+1))&lt;=46.5,2,1)), IF(INDEX(ERP資料!$G:$G, (MATCH(693, 輔助計算!$G$2:$G$801, 0)+1))&lt;=790,3,IF(INDEX(ERP資料!$G:$G, (MATCH(693, 輔助計算!$G$2:$G$801, 0)+1))&lt;=1181,2,1))))=1,TEXT(INDEX(ERP資料!$G:$G, (MATCH(693, 輔助計算!$G$2:$G$801, 0)+1)),"0.##"),IF(MOD(INDEX(輔助計算!$D:$D, (MATCH(693, 輔助計算!$G$2:$G$801, 0)+1)),IF(INDEX(ERP資料!$G:$G, (MATCH(693, 輔助計算!$G$2:$G$801, 0)+1))&lt;100, IF(INDEX(ERP資料!$G:$G, (MATCH(693, 輔助計算!$G$2:$G$801, 0)+1))&lt;=31,3,IF(INDEX(ERP資料!$G:$G, (MATCH(693, 輔助計算!$G$2:$G$801, 0)+1))&lt;=46.5,2,1)), IF(INDEX(ERP資料!$G:$G, (MATCH(693, 輔助計算!$G$2:$G$801, 0)+1))&lt;=790,3,IF(INDEX(ERP資料!$G:$G, (MATCH(693, 輔助計算!$G$2:$G$801, 0)+1))&lt;=1181,2,1))))=2,TEXT(INDEX(ERP資料!$G:$G, (MATCH(693, 輔助計算!$G$2:$G$801, 0)+1)),"0.##")&amp;"+"&amp;TEXT(INDEX(ERP資料!$G:$G, (MATCH(693, 輔助計算!$G$2:$G$801, 0)+1)),"0.##"),TEXT(INDEX(ERP資料!$G:$G, (MATCH(693, 輔助計算!$G$2:$G$801, 0)+1)),"0.##")&amp;"+"&amp;TEXT(INDEX(ERP資料!$G:$G, (MATCH(693, 輔助計算!$G$2:$G$801, 0)+1)),"0.##")&amp;"+"&amp;TEXT(INDEX(ERP資料!$G:$G, (MATCH(693, 輔助計算!$G$2:$G$801, 0)+1)),"0.##"))))&amp;"-1")), ""), "")</f>
        <v/>
      </c>
      <c r="K694" s="16" t="n"/>
      <c r="L694" s="14">
        <f>IFERROR(IF(AND(IFERROR(INDEX(ERP資料!$A:$A, (MATCH(693, 輔助計算!$G$2:$G$801, 0)+1)), "")&lt;&gt;"", IFERROR(INDEX(ERP資料!$A:$A, (MATCH(693, 輔助計算!$G$2:$G$801, 0)+1)), "")&lt;&gt;IFERROR(INDEX(ERP資料!$A:$A, MATCH(692, 輔助計算!$G$2:$G$801, 0)+1), "")), INDEX(ERP資料!$B:$B, (MATCH(693, 輔助計算!$G$2:$G$801, 0)+1)), ""), "")</f>
        <v/>
      </c>
      <c r="M694" s="17" t="n"/>
    </row>
    <row r="695">
      <c r="A695" s="10">
        <f>IFERROR(IF(AND(IFERROR(INDEX(ERP資料!$A:$A, (MATCH(694, 輔助計算!$G$2:$G$801, 0)+1)), "")&lt;&gt;"", IFERROR(INDEX(ERP資料!$A:$A, (MATCH(694, 輔助計算!$G$2:$G$801, 0)+1)), "")&lt;&gt;IFERROR(INDEX(ERP資料!$A:$A, MATCH(693, 輔助計算!$G$2:$G$801, 0)+1), "")), IFERROR(INDEX(ERP資料!$A:$A, (MATCH(694, 輔助計算!$G$2:$G$801, 0)+1)), ""), ""), "")</f>
        <v/>
      </c>
      <c r="B695" s="10">
        <f>IFERROR(IF(AND(IFERROR(INDEX(ERP資料!$A:$A, (MATCH(694, 輔助計算!$G$2:$G$801, 0)+1)), "")&lt;&gt;"", IFERROR(INDEX(ERP資料!$A:$A, (MATCH(694, 輔助計算!$G$2:$G$801, 0)+1)), "")&lt;&gt;IFERROR(INDEX(ERP資料!$A:$A, MATCH(693, 輔助計算!$G$2:$G$801, 0)+1), "")), INDEX(ERP資料!$S:$S, (MATCH(694, 輔助計算!$G$2:$G$801, 0)+1)), ""), "")</f>
        <v/>
      </c>
      <c r="C695" s="19">
        <f>IFERROR(IF(AND(IFERROR(INDEX(ERP資料!$A:$A, (MATCH(694, 輔助計算!$G$2:$G$801, 0)+1)), "")&lt;&gt;"", IFERROR(INDEX(ERP資料!$A:$A, (MATCH(694, 輔助計算!$G$2:$G$801, 0)+1)), "")&lt;&gt;IFERROR(INDEX(ERP資料!$A:$A, MATCH(693, 輔助計算!$G$2:$G$801, 0)+1), "")), IFERROR(VLOOKUP(LEFT(INDEX(ERP資料!$S:$S, (MATCH(694, 輔助計算!$G$2:$G$801, 0)+1)), 4), 紙管對照表!$A:$C, 3, FALSE), ""), ""), "")</f>
        <v/>
      </c>
      <c r="D695" s="16" t="n"/>
      <c r="E695" s="10">
        <f>IFERROR(IF(INDEX(ERP資料!$H:$H, (MATCH(694, 輔助計算!$G$2:$G$801, 0)+1))="","",INDEX(ERP資料!$H:$H, (MATCH(694, 輔助計算!$G$2:$G$801, 0)+1))), "")</f>
        <v/>
      </c>
      <c r="F695" s="10">
        <f>IFERROR(IF(INDEX(ERP資料!$E:$E, (MATCH(694, 輔助計算!$G$2:$G$801, 0)+1))="","",TRIM(INDEX(ERP資料!$E:$E, (MATCH(694, 輔助計算!$G$2:$G$801, 0)+1)))), "")</f>
        <v/>
      </c>
      <c r="G695" s="10">
        <f>IFERROR(IF(INDEX(ERP資料!$F:$F, (MATCH(694, 輔助計算!$G$2:$G$801, 0)+1))="","",INDEX(ERP資料!$F:$F, (MATCH(694, 輔助計算!$G$2:$G$801, 0)+1))), "")</f>
        <v/>
      </c>
      <c r="H695" s="10">
        <f>IFERROR(IF(INDEX(ERP資料!$G:$G, (MATCH(694, 輔助計算!$G$2:$G$801, 0)+1))="","",INDEX(ERP資料!$G:$G, (MATCH(694, 輔助計算!$G$2:$G$801, 0)+1))), "")</f>
        <v/>
      </c>
      <c r="I695" s="15">
        <f>IFERROR(INDEX(輔助計算!$D:$D, (MATCH(694, 輔助計算!$G$2:$G$801, 0)+1)), "")</f>
        <v/>
      </c>
      <c r="J695" s="15">
        <f>IFERROR(IF(AND(INDEX(輔助計算!$D:$D, (MATCH(694, 輔助計算!$G$2:$G$801, 0)+1))&lt;&gt;"", INDEX(ERP資料!$G:$G, (MATCH(694, 輔助計算!$G$2:$G$801, 0)+1))&lt;&gt;""), TRIM(IF(INT(INDEX(輔助計算!$D:$D, (MATCH(694, 輔助計算!$G$2:$G$801, 0)+1))/IF(INDEX(ERP資料!$G:$G, (MATCH(694, 輔助計算!$G$2:$G$801, 0)+1))&lt;100, IF(INDEX(ERP資料!$G:$G, (MATCH(694, 輔助計算!$G$2:$G$801, 0)+1))&lt;=31,3,IF(INDEX(ERP資料!$G:$G, (MATCH(694, 輔助計算!$G$2:$G$801, 0)+1))&lt;=46.5,2,1)), IF(INDEX(ERP資料!$G:$G, (MATCH(694, 輔助計算!$G$2:$G$801, 0)+1))&lt;=790,3,IF(INDEX(ERP資料!$G:$G, (MATCH(694, 輔助計算!$G$2:$G$801, 0)+1))&lt;=1181,2,1))))&gt;0, IF(IF(INDEX(ERP資料!$G:$G, (MATCH(694, 輔助計算!$G$2:$G$801, 0)+1))&lt;100, IF(INDEX(ERP資料!$G:$G, (MATCH(694, 輔助計算!$G$2:$G$801, 0)+1))&lt;=31,3,IF(INDEX(ERP資料!$G:$G, (MATCH(694, 輔助計算!$G$2:$G$801, 0)+1))&lt;=46.5,2,1)), IF(INDEX(ERP資料!$G:$G, (MATCH(694, 輔助計算!$G$2:$G$801, 0)+1))&lt;=790,3,IF(INDEX(ERP資料!$G:$G, (MATCH(694, 輔助計算!$G$2:$G$801, 0)+1))&lt;=1181,2,1)))=1,TEXT(INDEX(ERP資料!$G:$G, (MATCH(694, 輔助計算!$G$2:$G$801, 0)+1)),"0.##"),IF(IF(INDEX(ERP資料!$G:$G, (MATCH(694, 輔助計算!$G$2:$G$801, 0)+1))&lt;100, IF(INDEX(ERP資料!$G:$G, (MATCH(694, 輔助計算!$G$2:$G$801, 0)+1))&lt;=31,3,IF(INDEX(ERP資料!$G:$G, (MATCH(694, 輔助計算!$G$2:$G$801, 0)+1))&lt;=46.5,2,1)), IF(INDEX(ERP資料!$G:$G, (MATCH(694, 輔助計算!$G$2:$G$801, 0)+1))&lt;=790,3,IF(INDEX(ERP資料!$G:$G, (MATCH(694, 輔助計算!$G$2:$G$801, 0)+1))&lt;=1181,2,1)))=2,TEXT(INDEX(ERP資料!$G:$G, (MATCH(694, 輔助計算!$G$2:$G$801, 0)+1)),"0.##")&amp;"+"&amp;TEXT(INDEX(ERP資料!$G:$G, (MATCH(694, 輔助計算!$G$2:$G$801, 0)+1)),"0.##"),TEXT(INDEX(ERP資料!$G:$G, (MATCH(694, 輔助計算!$G$2:$G$801, 0)+1)),"0.##")&amp;"+"&amp;TEXT(INDEX(ERP資料!$G:$G, (MATCH(694, 輔助計算!$G$2:$G$801, 0)+1)),"0.##")&amp;"+"&amp;TEXT(INDEX(ERP資料!$G:$G, (MATCH(694, 輔助計算!$G$2:$G$801, 0)+1)),"0.##")))&amp;"-"&amp;INT(INDEX(輔助計算!$D:$D, (MATCH(694, 輔助計算!$G$2:$G$801, 0)+1))/IF(INDEX(ERP資料!$G:$G, (MATCH(694, 輔助計算!$G$2:$G$801, 0)+1))&lt;100, IF(INDEX(ERP資料!$G:$G, (MATCH(694, 輔助計算!$G$2:$G$801, 0)+1))&lt;=31,3,IF(INDEX(ERP資料!$G:$G, (MATCH(694, 輔助計算!$G$2:$G$801, 0)+1))&lt;=46.5,2,1)), IF(INDEX(ERP資料!$G:$G, (MATCH(694, 輔助計算!$G$2:$G$801, 0)+1))&lt;=790,3,IF(INDEX(ERP資料!$G:$G, (MATCH(694, 輔助計算!$G$2:$G$801, 0)+1))&lt;=1181,2,1)))), "")&amp;IF(AND(IF(INT(INDEX(輔助計算!$D:$D, (MATCH(694, 輔助計算!$G$2:$G$801, 0)+1))/IF(INDEX(ERP資料!$G:$G, (MATCH(694, 輔助計算!$G$2:$G$801, 0)+1))&lt;100, IF(INDEX(ERP資料!$G:$G, (MATCH(694, 輔助計算!$G$2:$G$801, 0)+1))&lt;=31,3,IF(INDEX(ERP資料!$G:$G, (MATCH(694, 輔助計算!$G$2:$G$801, 0)+1))&lt;=46.5,2,1)), IF(INDEX(ERP資料!$G:$G, (MATCH(694, 輔助計算!$G$2:$G$801, 0)+1))&lt;=790,3,IF(INDEX(ERP資料!$G:$G, (MATCH(694, 輔助計算!$G$2:$G$801, 0)+1))&lt;=1181,2,1))))&gt;0, IF(IF(INDEX(ERP資料!$G:$G, (MATCH(694, 輔助計算!$G$2:$G$801, 0)+1))&lt;100, IF(INDEX(ERP資料!$G:$G, (MATCH(694, 輔助計算!$G$2:$G$801, 0)+1))&lt;=31,3,IF(INDEX(ERP資料!$G:$G, (MATCH(694, 輔助計算!$G$2:$G$801, 0)+1))&lt;=46.5,2,1)), IF(INDEX(ERP資料!$G:$G, (MATCH(694, 輔助計算!$G$2:$G$801, 0)+1))&lt;=790,3,IF(INDEX(ERP資料!$G:$G, (MATCH(694, 輔助計算!$G$2:$G$801, 0)+1))&lt;=1181,2,1)))=1,TEXT(INDEX(ERP資料!$G:$G, (MATCH(694, 輔助計算!$G$2:$G$801, 0)+1)),"0.##"),IF(IF(INDEX(ERP資料!$G:$G, (MATCH(694, 輔助計算!$G$2:$G$801, 0)+1))&lt;100, IF(INDEX(ERP資料!$G:$G, (MATCH(694, 輔助計算!$G$2:$G$801, 0)+1))&lt;=31,3,IF(INDEX(ERP資料!$G:$G, (MATCH(694, 輔助計算!$G$2:$G$801, 0)+1))&lt;=46.5,2,1)), IF(INDEX(ERP資料!$G:$G, (MATCH(694, 輔助計算!$G$2:$G$801, 0)+1))&lt;=790,3,IF(INDEX(ERP資料!$G:$G, (MATCH(694, 輔助計算!$G$2:$G$801, 0)+1))&lt;=1181,2,1)))=2,TEXT(INDEX(ERP資料!$G:$G, (MATCH(694, 輔助計算!$G$2:$G$801, 0)+1)),"0.##")&amp;"+"&amp;TEXT(INDEX(ERP資料!$G:$G, (MATCH(694, 輔助計算!$G$2:$G$801, 0)+1)),"0.##"),TEXT(INDEX(ERP資料!$G:$G, (MATCH(694, 輔助計算!$G$2:$G$801, 0)+1)),"0.##")&amp;"+"&amp;TEXT(INDEX(ERP資料!$G:$G, (MATCH(694, 輔助計算!$G$2:$G$801, 0)+1)),"0.##")&amp;"+"&amp;TEXT(INDEX(ERP資料!$G:$G, (MATCH(694, 輔助計算!$G$2:$G$801, 0)+1)),"0.##")))&amp;"-"&amp;INT(INDEX(輔助計算!$D:$D, (MATCH(694, 輔助計算!$G$2:$G$801, 0)+1))/IF(INDEX(ERP資料!$G:$G, (MATCH(694, 輔助計算!$G$2:$G$801, 0)+1))&lt;100, IF(INDEX(ERP資料!$G:$G, (MATCH(694, 輔助計算!$G$2:$G$801, 0)+1))&lt;=31,3,IF(INDEX(ERP資料!$G:$G, (MATCH(694, 輔助計算!$G$2:$G$801, 0)+1))&lt;=46.5,2,1)), IF(INDEX(ERP資料!$G:$G, (MATCH(694, 輔助計算!$G$2:$G$801, 0)+1))&lt;=790,3,IF(INDEX(ERP資料!$G:$G, (MATCH(694, 輔助計算!$G$2:$G$801, 0)+1))&lt;=1181,2,1)))), "")&lt;&gt;"",IF(MOD(INDEX(輔助計算!$D:$D, (MATCH(694, 輔助計算!$G$2:$G$801, 0)+1)),IF(INDEX(ERP資料!$G:$G, (MATCH(694, 輔助計算!$G$2:$G$801, 0)+1))&lt;100, IF(INDEX(ERP資料!$G:$G, (MATCH(694, 輔助計算!$G$2:$G$801, 0)+1))&lt;=31,3,IF(INDEX(ERP資料!$G:$G, (MATCH(694, 輔助計算!$G$2:$G$801, 0)+1))&lt;=46.5,2,1)), IF(INDEX(ERP資料!$G:$G, (MATCH(694, 輔助計算!$G$2:$G$801, 0)+1))&lt;=790,3,IF(INDEX(ERP資料!$G:$G, (MATCH(694, 輔助計算!$G$2:$G$801, 0)+1))&lt;=1181,2,1))))=0,"",IF(MOD(INDEX(輔助計算!$D:$D, (MATCH(694, 輔助計算!$G$2:$G$801, 0)+1)),IF(INDEX(ERP資料!$G:$G, (MATCH(694, 輔助計算!$G$2:$G$801, 0)+1))&lt;100, IF(INDEX(ERP資料!$G:$G, (MATCH(694, 輔助計算!$G$2:$G$801, 0)+1))&lt;=31,3,IF(INDEX(ERP資料!$G:$G, (MATCH(694, 輔助計算!$G$2:$G$801, 0)+1))&lt;=46.5,2,1)), IF(INDEX(ERP資料!$G:$G, (MATCH(694, 輔助計算!$G$2:$G$801, 0)+1))&lt;=790,3,IF(INDEX(ERP資料!$G:$G, (MATCH(694, 輔助計算!$G$2:$G$801, 0)+1))&lt;=1181,2,1))))=0,"",IF(MOD(INDEX(輔助計算!$D:$D, (MATCH(694, 輔助計算!$G$2:$G$801, 0)+1)),IF(INDEX(ERP資料!$G:$G, (MATCH(694, 輔助計算!$G$2:$G$801, 0)+1))&lt;100, IF(INDEX(ERP資料!$G:$G, (MATCH(694, 輔助計算!$G$2:$G$801, 0)+1))&lt;=31,3,IF(INDEX(ERP資料!$G:$G, (MATCH(694, 輔助計算!$G$2:$G$801, 0)+1))&lt;=46.5,2,1)), IF(INDEX(ERP資料!$G:$G, (MATCH(694, 輔助計算!$G$2:$G$801, 0)+1))&lt;=790,3,IF(INDEX(ERP資料!$G:$G, (MATCH(694, 輔助計算!$G$2:$G$801, 0)+1))&lt;=1181,2,1))))=1,TEXT(INDEX(ERP資料!$G:$G, (MATCH(694, 輔助計算!$G$2:$G$801, 0)+1)),"0.##"),IF(MOD(INDEX(輔助計算!$D:$D, (MATCH(694, 輔助計算!$G$2:$G$801, 0)+1)),IF(INDEX(ERP資料!$G:$G, (MATCH(694, 輔助計算!$G$2:$G$801, 0)+1))&lt;100, IF(INDEX(ERP資料!$G:$G, (MATCH(694, 輔助計算!$G$2:$G$801, 0)+1))&lt;=31,3,IF(INDEX(ERP資料!$G:$G, (MATCH(694, 輔助計算!$G$2:$G$801, 0)+1))&lt;=46.5,2,1)), IF(INDEX(ERP資料!$G:$G, (MATCH(694, 輔助計算!$G$2:$G$801, 0)+1))&lt;=790,3,IF(INDEX(ERP資料!$G:$G, (MATCH(694, 輔助計算!$G$2:$G$801, 0)+1))&lt;=1181,2,1))))=2,TEXT(INDEX(ERP資料!$G:$G, (MATCH(694, 輔助計算!$G$2:$G$801, 0)+1)),"0.##")&amp;"+"&amp;TEXT(INDEX(ERP資料!$G:$G, (MATCH(694, 輔助計算!$G$2:$G$801, 0)+1)),"0.##"),TEXT(INDEX(ERP資料!$G:$G, (MATCH(694, 輔助計算!$G$2:$G$801, 0)+1)),"0.##")&amp;"+"&amp;TEXT(INDEX(ERP資料!$G:$G, (MATCH(694, 輔助計算!$G$2:$G$801, 0)+1)),"0.##")&amp;"+"&amp;TEXT(INDEX(ERP資料!$G:$G, (MATCH(694, 輔助計算!$G$2:$G$801, 0)+1)),"0.##"))))&amp;"-1")&lt;&gt;""),"  ","")&amp;IF(MOD(INDEX(輔助計算!$D:$D, (MATCH(694, 輔助計算!$G$2:$G$801, 0)+1)),IF(INDEX(ERP資料!$G:$G, (MATCH(694, 輔助計算!$G$2:$G$801, 0)+1))&lt;100, IF(INDEX(ERP資料!$G:$G, (MATCH(694, 輔助計算!$G$2:$G$801, 0)+1))&lt;=31,3,IF(INDEX(ERP資料!$G:$G, (MATCH(694, 輔助計算!$G$2:$G$801, 0)+1))&lt;=46.5,2,1)), IF(INDEX(ERP資料!$G:$G, (MATCH(694, 輔助計算!$G$2:$G$801, 0)+1))&lt;=790,3,IF(INDEX(ERP資料!$G:$G, (MATCH(694, 輔助計算!$G$2:$G$801, 0)+1))&lt;=1181,2,1))))=0,"",IF(MOD(INDEX(輔助計算!$D:$D, (MATCH(694, 輔助計算!$G$2:$G$801, 0)+1)),IF(INDEX(ERP資料!$G:$G, (MATCH(694, 輔助計算!$G$2:$G$801, 0)+1))&lt;100, IF(INDEX(ERP資料!$G:$G, (MATCH(694, 輔助計算!$G$2:$G$801, 0)+1))&lt;=31,3,IF(INDEX(ERP資料!$G:$G, (MATCH(694, 輔助計算!$G$2:$G$801, 0)+1))&lt;=46.5,2,1)), IF(INDEX(ERP資料!$G:$G, (MATCH(694, 輔助計算!$G$2:$G$801, 0)+1))&lt;=790,3,IF(INDEX(ERP資料!$G:$G, (MATCH(694, 輔助計算!$G$2:$G$801, 0)+1))&lt;=1181,2,1))))=0,"",IF(MOD(INDEX(輔助計算!$D:$D, (MATCH(694, 輔助計算!$G$2:$G$801, 0)+1)),IF(INDEX(ERP資料!$G:$G, (MATCH(694, 輔助計算!$G$2:$G$801, 0)+1))&lt;100, IF(INDEX(ERP資料!$G:$G, (MATCH(694, 輔助計算!$G$2:$G$801, 0)+1))&lt;=31,3,IF(INDEX(ERP資料!$G:$G, (MATCH(694, 輔助計算!$G$2:$G$801, 0)+1))&lt;=46.5,2,1)), IF(INDEX(ERP資料!$G:$G, (MATCH(694, 輔助計算!$G$2:$G$801, 0)+1))&lt;=790,3,IF(INDEX(ERP資料!$G:$G, (MATCH(694, 輔助計算!$G$2:$G$801, 0)+1))&lt;=1181,2,1))))=1,TEXT(INDEX(ERP資料!$G:$G, (MATCH(694, 輔助計算!$G$2:$G$801, 0)+1)),"0.##"),IF(MOD(INDEX(輔助計算!$D:$D, (MATCH(694, 輔助計算!$G$2:$G$801, 0)+1)),IF(INDEX(ERP資料!$G:$G, (MATCH(694, 輔助計算!$G$2:$G$801, 0)+1))&lt;100, IF(INDEX(ERP資料!$G:$G, (MATCH(694, 輔助計算!$G$2:$G$801, 0)+1))&lt;=31,3,IF(INDEX(ERP資料!$G:$G, (MATCH(694, 輔助計算!$G$2:$G$801, 0)+1))&lt;=46.5,2,1)), IF(INDEX(ERP資料!$G:$G, (MATCH(694, 輔助計算!$G$2:$G$801, 0)+1))&lt;=790,3,IF(INDEX(ERP資料!$G:$G, (MATCH(694, 輔助計算!$G$2:$G$801, 0)+1))&lt;=1181,2,1))))=2,TEXT(INDEX(ERP資料!$G:$G, (MATCH(694, 輔助計算!$G$2:$G$801, 0)+1)),"0.##")&amp;"+"&amp;TEXT(INDEX(ERP資料!$G:$G, (MATCH(694, 輔助計算!$G$2:$G$801, 0)+1)),"0.##"),TEXT(INDEX(ERP資料!$G:$G, (MATCH(694, 輔助計算!$G$2:$G$801, 0)+1)),"0.##")&amp;"+"&amp;TEXT(INDEX(ERP資料!$G:$G, (MATCH(694, 輔助計算!$G$2:$G$801, 0)+1)),"0.##")&amp;"+"&amp;TEXT(INDEX(ERP資料!$G:$G, (MATCH(694, 輔助計算!$G$2:$G$801, 0)+1)),"0.##"))))&amp;"-1")), ""), "")</f>
        <v/>
      </c>
      <c r="K695" s="16" t="n"/>
      <c r="L695" s="14">
        <f>IFERROR(IF(AND(IFERROR(INDEX(ERP資料!$A:$A, (MATCH(694, 輔助計算!$G$2:$G$801, 0)+1)), "")&lt;&gt;"", IFERROR(INDEX(ERP資料!$A:$A, (MATCH(694, 輔助計算!$G$2:$G$801, 0)+1)), "")&lt;&gt;IFERROR(INDEX(ERP資料!$A:$A, MATCH(693, 輔助計算!$G$2:$G$801, 0)+1), "")), INDEX(ERP資料!$B:$B, (MATCH(694, 輔助計算!$G$2:$G$801, 0)+1)), ""), "")</f>
        <v/>
      </c>
      <c r="M695" s="17" t="n"/>
    </row>
    <row r="696">
      <c r="A696" s="10">
        <f>IFERROR(IF(AND(IFERROR(INDEX(ERP資料!$A:$A, (MATCH(695, 輔助計算!$G$2:$G$801, 0)+1)), "")&lt;&gt;"", IFERROR(INDEX(ERP資料!$A:$A, (MATCH(695, 輔助計算!$G$2:$G$801, 0)+1)), "")&lt;&gt;IFERROR(INDEX(ERP資料!$A:$A, MATCH(694, 輔助計算!$G$2:$G$801, 0)+1), "")), IFERROR(INDEX(ERP資料!$A:$A, (MATCH(695, 輔助計算!$G$2:$G$801, 0)+1)), ""), ""), "")</f>
        <v/>
      </c>
      <c r="B696" s="10">
        <f>IFERROR(IF(AND(IFERROR(INDEX(ERP資料!$A:$A, (MATCH(695, 輔助計算!$G$2:$G$801, 0)+1)), "")&lt;&gt;"", IFERROR(INDEX(ERP資料!$A:$A, (MATCH(695, 輔助計算!$G$2:$G$801, 0)+1)), "")&lt;&gt;IFERROR(INDEX(ERP資料!$A:$A, MATCH(694, 輔助計算!$G$2:$G$801, 0)+1), "")), INDEX(ERP資料!$S:$S, (MATCH(695, 輔助計算!$G$2:$G$801, 0)+1)), ""), "")</f>
        <v/>
      </c>
      <c r="C696" s="19">
        <f>IFERROR(IF(AND(IFERROR(INDEX(ERP資料!$A:$A, (MATCH(695, 輔助計算!$G$2:$G$801, 0)+1)), "")&lt;&gt;"", IFERROR(INDEX(ERP資料!$A:$A, (MATCH(695, 輔助計算!$G$2:$G$801, 0)+1)), "")&lt;&gt;IFERROR(INDEX(ERP資料!$A:$A, MATCH(694, 輔助計算!$G$2:$G$801, 0)+1), "")), IFERROR(VLOOKUP(LEFT(INDEX(ERP資料!$S:$S, (MATCH(695, 輔助計算!$G$2:$G$801, 0)+1)), 4), 紙管對照表!$A:$C, 3, FALSE), ""), ""), "")</f>
        <v/>
      </c>
      <c r="D696" s="16" t="n"/>
      <c r="E696" s="10">
        <f>IFERROR(IF(INDEX(ERP資料!$H:$H, (MATCH(695, 輔助計算!$G$2:$G$801, 0)+1))="","",INDEX(ERP資料!$H:$H, (MATCH(695, 輔助計算!$G$2:$G$801, 0)+1))), "")</f>
        <v/>
      </c>
      <c r="F696" s="10">
        <f>IFERROR(IF(INDEX(ERP資料!$E:$E, (MATCH(695, 輔助計算!$G$2:$G$801, 0)+1))="","",TRIM(INDEX(ERP資料!$E:$E, (MATCH(695, 輔助計算!$G$2:$G$801, 0)+1)))), "")</f>
        <v/>
      </c>
      <c r="G696" s="10">
        <f>IFERROR(IF(INDEX(ERP資料!$F:$F, (MATCH(695, 輔助計算!$G$2:$G$801, 0)+1))="","",INDEX(ERP資料!$F:$F, (MATCH(695, 輔助計算!$G$2:$G$801, 0)+1))), "")</f>
        <v/>
      </c>
      <c r="H696" s="10">
        <f>IFERROR(IF(INDEX(ERP資料!$G:$G, (MATCH(695, 輔助計算!$G$2:$G$801, 0)+1))="","",INDEX(ERP資料!$G:$G, (MATCH(695, 輔助計算!$G$2:$G$801, 0)+1))), "")</f>
        <v/>
      </c>
      <c r="I696" s="15">
        <f>IFERROR(INDEX(輔助計算!$D:$D, (MATCH(695, 輔助計算!$G$2:$G$801, 0)+1)), "")</f>
        <v/>
      </c>
      <c r="J696" s="15">
        <f>IFERROR(IF(AND(INDEX(輔助計算!$D:$D, (MATCH(695, 輔助計算!$G$2:$G$801, 0)+1))&lt;&gt;"", INDEX(ERP資料!$G:$G, (MATCH(695, 輔助計算!$G$2:$G$801, 0)+1))&lt;&gt;""), TRIM(IF(INT(INDEX(輔助計算!$D:$D, (MATCH(695, 輔助計算!$G$2:$G$801, 0)+1))/IF(INDEX(ERP資料!$G:$G, (MATCH(695, 輔助計算!$G$2:$G$801, 0)+1))&lt;100, IF(INDEX(ERP資料!$G:$G, (MATCH(695, 輔助計算!$G$2:$G$801, 0)+1))&lt;=31,3,IF(INDEX(ERP資料!$G:$G, (MATCH(695, 輔助計算!$G$2:$G$801, 0)+1))&lt;=46.5,2,1)), IF(INDEX(ERP資料!$G:$G, (MATCH(695, 輔助計算!$G$2:$G$801, 0)+1))&lt;=790,3,IF(INDEX(ERP資料!$G:$G, (MATCH(695, 輔助計算!$G$2:$G$801, 0)+1))&lt;=1181,2,1))))&gt;0, IF(IF(INDEX(ERP資料!$G:$G, (MATCH(695, 輔助計算!$G$2:$G$801, 0)+1))&lt;100, IF(INDEX(ERP資料!$G:$G, (MATCH(695, 輔助計算!$G$2:$G$801, 0)+1))&lt;=31,3,IF(INDEX(ERP資料!$G:$G, (MATCH(695, 輔助計算!$G$2:$G$801, 0)+1))&lt;=46.5,2,1)), IF(INDEX(ERP資料!$G:$G, (MATCH(695, 輔助計算!$G$2:$G$801, 0)+1))&lt;=790,3,IF(INDEX(ERP資料!$G:$G, (MATCH(695, 輔助計算!$G$2:$G$801, 0)+1))&lt;=1181,2,1)))=1,TEXT(INDEX(ERP資料!$G:$G, (MATCH(695, 輔助計算!$G$2:$G$801, 0)+1)),"0.##"),IF(IF(INDEX(ERP資料!$G:$G, (MATCH(695, 輔助計算!$G$2:$G$801, 0)+1))&lt;100, IF(INDEX(ERP資料!$G:$G, (MATCH(695, 輔助計算!$G$2:$G$801, 0)+1))&lt;=31,3,IF(INDEX(ERP資料!$G:$G, (MATCH(695, 輔助計算!$G$2:$G$801, 0)+1))&lt;=46.5,2,1)), IF(INDEX(ERP資料!$G:$G, (MATCH(695, 輔助計算!$G$2:$G$801, 0)+1))&lt;=790,3,IF(INDEX(ERP資料!$G:$G, (MATCH(695, 輔助計算!$G$2:$G$801, 0)+1))&lt;=1181,2,1)))=2,TEXT(INDEX(ERP資料!$G:$G, (MATCH(695, 輔助計算!$G$2:$G$801, 0)+1)),"0.##")&amp;"+"&amp;TEXT(INDEX(ERP資料!$G:$G, (MATCH(695, 輔助計算!$G$2:$G$801, 0)+1)),"0.##"),TEXT(INDEX(ERP資料!$G:$G, (MATCH(695, 輔助計算!$G$2:$G$801, 0)+1)),"0.##")&amp;"+"&amp;TEXT(INDEX(ERP資料!$G:$G, (MATCH(695, 輔助計算!$G$2:$G$801, 0)+1)),"0.##")&amp;"+"&amp;TEXT(INDEX(ERP資料!$G:$G, (MATCH(695, 輔助計算!$G$2:$G$801, 0)+1)),"0.##")))&amp;"-"&amp;INT(INDEX(輔助計算!$D:$D, (MATCH(695, 輔助計算!$G$2:$G$801, 0)+1))/IF(INDEX(ERP資料!$G:$G, (MATCH(695, 輔助計算!$G$2:$G$801, 0)+1))&lt;100, IF(INDEX(ERP資料!$G:$G, (MATCH(695, 輔助計算!$G$2:$G$801, 0)+1))&lt;=31,3,IF(INDEX(ERP資料!$G:$G, (MATCH(695, 輔助計算!$G$2:$G$801, 0)+1))&lt;=46.5,2,1)), IF(INDEX(ERP資料!$G:$G, (MATCH(695, 輔助計算!$G$2:$G$801, 0)+1))&lt;=790,3,IF(INDEX(ERP資料!$G:$G, (MATCH(695, 輔助計算!$G$2:$G$801, 0)+1))&lt;=1181,2,1)))), "")&amp;IF(AND(IF(INT(INDEX(輔助計算!$D:$D, (MATCH(695, 輔助計算!$G$2:$G$801, 0)+1))/IF(INDEX(ERP資料!$G:$G, (MATCH(695, 輔助計算!$G$2:$G$801, 0)+1))&lt;100, IF(INDEX(ERP資料!$G:$G, (MATCH(695, 輔助計算!$G$2:$G$801, 0)+1))&lt;=31,3,IF(INDEX(ERP資料!$G:$G, (MATCH(695, 輔助計算!$G$2:$G$801, 0)+1))&lt;=46.5,2,1)), IF(INDEX(ERP資料!$G:$G, (MATCH(695, 輔助計算!$G$2:$G$801, 0)+1))&lt;=790,3,IF(INDEX(ERP資料!$G:$G, (MATCH(695, 輔助計算!$G$2:$G$801, 0)+1))&lt;=1181,2,1))))&gt;0, IF(IF(INDEX(ERP資料!$G:$G, (MATCH(695, 輔助計算!$G$2:$G$801, 0)+1))&lt;100, IF(INDEX(ERP資料!$G:$G, (MATCH(695, 輔助計算!$G$2:$G$801, 0)+1))&lt;=31,3,IF(INDEX(ERP資料!$G:$G, (MATCH(695, 輔助計算!$G$2:$G$801, 0)+1))&lt;=46.5,2,1)), IF(INDEX(ERP資料!$G:$G, (MATCH(695, 輔助計算!$G$2:$G$801, 0)+1))&lt;=790,3,IF(INDEX(ERP資料!$G:$G, (MATCH(695, 輔助計算!$G$2:$G$801, 0)+1))&lt;=1181,2,1)))=1,TEXT(INDEX(ERP資料!$G:$G, (MATCH(695, 輔助計算!$G$2:$G$801, 0)+1)),"0.##"),IF(IF(INDEX(ERP資料!$G:$G, (MATCH(695, 輔助計算!$G$2:$G$801, 0)+1))&lt;100, IF(INDEX(ERP資料!$G:$G, (MATCH(695, 輔助計算!$G$2:$G$801, 0)+1))&lt;=31,3,IF(INDEX(ERP資料!$G:$G, (MATCH(695, 輔助計算!$G$2:$G$801, 0)+1))&lt;=46.5,2,1)), IF(INDEX(ERP資料!$G:$G, (MATCH(695, 輔助計算!$G$2:$G$801, 0)+1))&lt;=790,3,IF(INDEX(ERP資料!$G:$G, (MATCH(695, 輔助計算!$G$2:$G$801, 0)+1))&lt;=1181,2,1)))=2,TEXT(INDEX(ERP資料!$G:$G, (MATCH(695, 輔助計算!$G$2:$G$801, 0)+1)),"0.##")&amp;"+"&amp;TEXT(INDEX(ERP資料!$G:$G, (MATCH(695, 輔助計算!$G$2:$G$801, 0)+1)),"0.##"),TEXT(INDEX(ERP資料!$G:$G, (MATCH(695, 輔助計算!$G$2:$G$801, 0)+1)),"0.##")&amp;"+"&amp;TEXT(INDEX(ERP資料!$G:$G, (MATCH(695, 輔助計算!$G$2:$G$801, 0)+1)),"0.##")&amp;"+"&amp;TEXT(INDEX(ERP資料!$G:$G, (MATCH(695, 輔助計算!$G$2:$G$801, 0)+1)),"0.##")))&amp;"-"&amp;INT(INDEX(輔助計算!$D:$D, (MATCH(695, 輔助計算!$G$2:$G$801, 0)+1))/IF(INDEX(ERP資料!$G:$G, (MATCH(695, 輔助計算!$G$2:$G$801, 0)+1))&lt;100, IF(INDEX(ERP資料!$G:$G, (MATCH(695, 輔助計算!$G$2:$G$801, 0)+1))&lt;=31,3,IF(INDEX(ERP資料!$G:$G, (MATCH(695, 輔助計算!$G$2:$G$801, 0)+1))&lt;=46.5,2,1)), IF(INDEX(ERP資料!$G:$G, (MATCH(695, 輔助計算!$G$2:$G$801, 0)+1))&lt;=790,3,IF(INDEX(ERP資料!$G:$G, (MATCH(695, 輔助計算!$G$2:$G$801, 0)+1))&lt;=1181,2,1)))), "")&lt;&gt;"",IF(MOD(INDEX(輔助計算!$D:$D, (MATCH(695, 輔助計算!$G$2:$G$801, 0)+1)),IF(INDEX(ERP資料!$G:$G, (MATCH(695, 輔助計算!$G$2:$G$801, 0)+1))&lt;100, IF(INDEX(ERP資料!$G:$G, (MATCH(695, 輔助計算!$G$2:$G$801, 0)+1))&lt;=31,3,IF(INDEX(ERP資料!$G:$G, (MATCH(695, 輔助計算!$G$2:$G$801, 0)+1))&lt;=46.5,2,1)), IF(INDEX(ERP資料!$G:$G, (MATCH(695, 輔助計算!$G$2:$G$801, 0)+1))&lt;=790,3,IF(INDEX(ERP資料!$G:$G, (MATCH(695, 輔助計算!$G$2:$G$801, 0)+1))&lt;=1181,2,1))))=0,"",IF(MOD(INDEX(輔助計算!$D:$D, (MATCH(695, 輔助計算!$G$2:$G$801, 0)+1)),IF(INDEX(ERP資料!$G:$G, (MATCH(695, 輔助計算!$G$2:$G$801, 0)+1))&lt;100, IF(INDEX(ERP資料!$G:$G, (MATCH(695, 輔助計算!$G$2:$G$801, 0)+1))&lt;=31,3,IF(INDEX(ERP資料!$G:$G, (MATCH(695, 輔助計算!$G$2:$G$801, 0)+1))&lt;=46.5,2,1)), IF(INDEX(ERP資料!$G:$G, (MATCH(695, 輔助計算!$G$2:$G$801, 0)+1))&lt;=790,3,IF(INDEX(ERP資料!$G:$G, (MATCH(695, 輔助計算!$G$2:$G$801, 0)+1))&lt;=1181,2,1))))=0,"",IF(MOD(INDEX(輔助計算!$D:$D, (MATCH(695, 輔助計算!$G$2:$G$801, 0)+1)),IF(INDEX(ERP資料!$G:$G, (MATCH(695, 輔助計算!$G$2:$G$801, 0)+1))&lt;100, IF(INDEX(ERP資料!$G:$G, (MATCH(695, 輔助計算!$G$2:$G$801, 0)+1))&lt;=31,3,IF(INDEX(ERP資料!$G:$G, (MATCH(695, 輔助計算!$G$2:$G$801, 0)+1))&lt;=46.5,2,1)), IF(INDEX(ERP資料!$G:$G, (MATCH(695, 輔助計算!$G$2:$G$801, 0)+1))&lt;=790,3,IF(INDEX(ERP資料!$G:$G, (MATCH(695, 輔助計算!$G$2:$G$801, 0)+1))&lt;=1181,2,1))))=1,TEXT(INDEX(ERP資料!$G:$G, (MATCH(695, 輔助計算!$G$2:$G$801, 0)+1)),"0.##"),IF(MOD(INDEX(輔助計算!$D:$D, (MATCH(695, 輔助計算!$G$2:$G$801, 0)+1)),IF(INDEX(ERP資料!$G:$G, (MATCH(695, 輔助計算!$G$2:$G$801, 0)+1))&lt;100, IF(INDEX(ERP資料!$G:$G, (MATCH(695, 輔助計算!$G$2:$G$801, 0)+1))&lt;=31,3,IF(INDEX(ERP資料!$G:$G, (MATCH(695, 輔助計算!$G$2:$G$801, 0)+1))&lt;=46.5,2,1)), IF(INDEX(ERP資料!$G:$G, (MATCH(695, 輔助計算!$G$2:$G$801, 0)+1))&lt;=790,3,IF(INDEX(ERP資料!$G:$G, (MATCH(695, 輔助計算!$G$2:$G$801, 0)+1))&lt;=1181,2,1))))=2,TEXT(INDEX(ERP資料!$G:$G, (MATCH(695, 輔助計算!$G$2:$G$801, 0)+1)),"0.##")&amp;"+"&amp;TEXT(INDEX(ERP資料!$G:$G, (MATCH(695, 輔助計算!$G$2:$G$801, 0)+1)),"0.##"),TEXT(INDEX(ERP資料!$G:$G, (MATCH(695, 輔助計算!$G$2:$G$801, 0)+1)),"0.##")&amp;"+"&amp;TEXT(INDEX(ERP資料!$G:$G, (MATCH(695, 輔助計算!$G$2:$G$801, 0)+1)),"0.##")&amp;"+"&amp;TEXT(INDEX(ERP資料!$G:$G, (MATCH(695, 輔助計算!$G$2:$G$801, 0)+1)),"0.##"))))&amp;"-1")&lt;&gt;""),"  ","")&amp;IF(MOD(INDEX(輔助計算!$D:$D, (MATCH(695, 輔助計算!$G$2:$G$801, 0)+1)),IF(INDEX(ERP資料!$G:$G, (MATCH(695, 輔助計算!$G$2:$G$801, 0)+1))&lt;100, IF(INDEX(ERP資料!$G:$G, (MATCH(695, 輔助計算!$G$2:$G$801, 0)+1))&lt;=31,3,IF(INDEX(ERP資料!$G:$G, (MATCH(695, 輔助計算!$G$2:$G$801, 0)+1))&lt;=46.5,2,1)), IF(INDEX(ERP資料!$G:$G, (MATCH(695, 輔助計算!$G$2:$G$801, 0)+1))&lt;=790,3,IF(INDEX(ERP資料!$G:$G, (MATCH(695, 輔助計算!$G$2:$G$801, 0)+1))&lt;=1181,2,1))))=0,"",IF(MOD(INDEX(輔助計算!$D:$D, (MATCH(695, 輔助計算!$G$2:$G$801, 0)+1)),IF(INDEX(ERP資料!$G:$G, (MATCH(695, 輔助計算!$G$2:$G$801, 0)+1))&lt;100, IF(INDEX(ERP資料!$G:$G, (MATCH(695, 輔助計算!$G$2:$G$801, 0)+1))&lt;=31,3,IF(INDEX(ERP資料!$G:$G, (MATCH(695, 輔助計算!$G$2:$G$801, 0)+1))&lt;=46.5,2,1)), IF(INDEX(ERP資料!$G:$G, (MATCH(695, 輔助計算!$G$2:$G$801, 0)+1))&lt;=790,3,IF(INDEX(ERP資料!$G:$G, (MATCH(695, 輔助計算!$G$2:$G$801, 0)+1))&lt;=1181,2,1))))=0,"",IF(MOD(INDEX(輔助計算!$D:$D, (MATCH(695, 輔助計算!$G$2:$G$801, 0)+1)),IF(INDEX(ERP資料!$G:$G, (MATCH(695, 輔助計算!$G$2:$G$801, 0)+1))&lt;100, IF(INDEX(ERP資料!$G:$G, (MATCH(695, 輔助計算!$G$2:$G$801, 0)+1))&lt;=31,3,IF(INDEX(ERP資料!$G:$G, (MATCH(695, 輔助計算!$G$2:$G$801, 0)+1))&lt;=46.5,2,1)), IF(INDEX(ERP資料!$G:$G, (MATCH(695, 輔助計算!$G$2:$G$801, 0)+1))&lt;=790,3,IF(INDEX(ERP資料!$G:$G, (MATCH(695, 輔助計算!$G$2:$G$801, 0)+1))&lt;=1181,2,1))))=1,TEXT(INDEX(ERP資料!$G:$G, (MATCH(695, 輔助計算!$G$2:$G$801, 0)+1)),"0.##"),IF(MOD(INDEX(輔助計算!$D:$D, (MATCH(695, 輔助計算!$G$2:$G$801, 0)+1)),IF(INDEX(ERP資料!$G:$G, (MATCH(695, 輔助計算!$G$2:$G$801, 0)+1))&lt;100, IF(INDEX(ERP資料!$G:$G, (MATCH(695, 輔助計算!$G$2:$G$801, 0)+1))&lt;=31,3,IF(INDEX(ERP資料!$G:$G, (MATCH(695, 輔助計算!$G$2:$G$801, 0)+1))&lt;=46.5,2,1)), IF(INDEX(ERP資料!$G:$G, (MATCH(695, 輔助計算!$G$2:$G$801, 0)+1))&lt;=790,3,IF(INDEX(ERP資料!$G:$G, (MATCH(695, 輔助計算!$G$2:$G$801, 0)+1))&lt;=1181,2,1))))=2,TEXT(INDEX(ERP資料!$G:$G, (MATCH(695, 輔助計算!$G$2:$G$801, 0)+1)),"0.##")&amp;"+"&amp;TEXT(INDEX(ERP資料!$G:$G, (MATCH(695, 輔助計算!$G$2:$G$801, 0)+1)),"0.##"),TEXT(INDEX(ERP資料!$G:$G, (MATCH(695, 輔助計算!$G$2:$G$801, 0)+1)),"0.##")&amp;"+"&amp;TEXT(INDEX(ERP資料!$G:$G, (MATCH(695, 輔助計算!$G$2:$G$801, 0)+1)),"0.##")&amp;"+"&amp;TEXT(INDEX(ERP資料!$G:$G, (MATCH(695, 輔助計算!$G$2:$G$801, 0)+1)),"0.##"))))&amp;"-1")), ""), "")</f>
        <v/>
      </c>
      <c r="K696" s="16" t="n"/>
      <c r="L696" s="14">
        <f>IFERROR(IF(AND(IFERROR(INDEX(ERP資料!$A:$A, (MATCH(695, 輔助計算!$G$2:$G$801, 0)+1)), "")&lt;&gt;"", IFERROR(INDEX(ERP資料!$A:$A, (MATCH(695, 輔助計算!$G$2:$G$801, 0)+1)), "")&lt;&gt;IFERROR(INDEX(ERP資料!$A:$A, MATCH(694, 輔助計算!$G$2:$G$801, 0)+1), "")), INDEX(ERP資料!$B:$B, (MATCH(695, 輔助計算!$G$2:$G$801, 0)+1)), ""), "")</f>
        <v/>
      </c>
      <c r="M696" s="17" t="n"/>
    </row>
    <row r="697">
      <c r="A697" s="10">
        <f>IFERROR(IF(AND(IFERROR(INDEX(ERP資料!$A:$A, (MATCH(696, 輔助計算!$G$2:$G$801, 0)+1)), "")&lt;&gt;"", IFERROR(INDEX(ERP資料!$A:$A, (MATCH(696, 輔助計算!$G$2:$G$801, 0)+1)), "")&lt;&gt;IFERROR(INDEX(ERP資料!$A:$A, MATCH(695, 輔助計算!$G$2:$G$801, 0)+1), "")), IFERROR(INDEX(ERP資料!$A:$A, (MATCH(696, 輔助計算!$G$2:$G$801, 0)+1)), ""), ""), "")</f>
        <v/>
      </c>
      <c r="B697" s="10">
        <f>IFERROR(IF(AND(IFERROR(INDEX(ERP資料!$A:$A, (MATCH(696, 輔助計算!$G$2:$G$801, 0)+1)), "")&lt;&gt;"", IFERROR(INDEX(ERP資料!$A:$A, (MATCH(696, 輔助計算!$G$2:$G$801, 0)+1)), "")&lt;&gt;IFERROR(INDEX(ERP資料!$A:$A, MATCH(695, 輔助計算!$G$2:$G$801, 0)+1), "")), INDEX(ERP資料!$S:$S, (MATCH(696, 輔助計算!$G$2:$G$801, 0)+1)), ""), "")</f>
        <v/>
      </c>
      <c r="C697" s="19">
        <f>IFERROR(IF(AND(IFERROR(INDEX(ERP資料!$A:$A, (MATCH(696, 輔助計算!$G$2:$G$801, 0)+1)), "")&lt;&gt;"", IFERROR(INDEX(ERP資料!$A:$A, (MATCH(696, 輔助計算!$G$2:$G$801, 0)+1)), "")&lt;&gt;IFERROR(INDEX(ERP資料!$A:$A, MATCH(695, 輔助計算!$G$2:$G$801, 0)+1), "")), IFERROR(VLOOKUP(LEFT(INDEX(ERP資料!$S:$S, (MATCH(696, 輔助計算!$G$2:$G$801, 0)+1)), 4), 紙管對照表!$A:$C, 3, FALSE), ""), ""), "")</f>
        <v/>
      </c>
      <c r="D697" s="16" t="n"/>
      <c r="E697" s="10">
        <f>IFERROR(IF(INDEX(ERP資料!$H:$H, (MATCH(696, 輔助計算!$G$2:$G$801, 0)+1))="","",INDEX(ERP資料!$H:$H, (MATCH(696, 輔助計算!$G$2:$G$801, 0)+1))), "")</f>
        <v/>
      </c>
      <c r="F697" s="10">
        <f>IFERROR(IF(INDEX(ERP資料!$E:$E, (MATCH(696, 輔助計算!$G$2:$G$801, 0)+1))="","",TRIM(INDEX(ERP資料!$E:$E, (MATCH(696, 輔助計算!$G$2:$G$801, 0)+1)))), "")</f>
        <v/>
      </c>
      <c r="G697" s="10">
        <f>IFERROR(IF(INDEX(ERP資料!$F:$F, (MATCH(696, 輔助計算!$G$2:$G$801, 0)+1))="","",INDEX(ERP資料!$F:$F, (MATCH(696, 輔助計算!$G$2:$G$801, 0)+1))), "")</f>
        <v/>
      </c>
      <c r="H697" s="10">
        <f>IFERROR(IF(INDEX(ERP資料!$G:$G, (MATCH(696, 輔助計算!$G$2:$G$801, 0)+1))="","",INDEX(ERP資料!$G:$G, (MATCH(696, 輔助計算!$G$2:$G$801, 0)+1))), "")</f>
        <v/>
      </c>
      <c r="I697" s="15">
        <f>IFERROR(INDEX(輔助計算!$D:$D, (MATCH(696, 輔助計算!$G$2:$G$801, 0)+1)), "")</f>
        <v/>
      </c>
      <c r="J697" s="15">
        <f>IFERROR(IF(AND(INDEX(輔助計算!$D:$D, (MATCH(696, 輔助計算!$G$2:$G$801, 0)+1))&lt;&gt;"", INDEX(ERP資料!$G:$G, (MATCH(696, 輔助計算!$G$2:$G$801, 0)+1))&lt;&gt;""), TRIM(IF(INT(INDEX(輔助計算!$D:$D, (MATCH(696, 輔助計算!$G$2:$G$801, 0)+1))/IF(INDEX(ERP資料!$G:$G, (MATCH(696, 輔助計算!$G$2:$G$801, 0)+1))&lt;100, IF(INDEX(ERP資料!$G:$G, (MATCH(696, 輔助計算!$G$2:$G$801, 0)+1))&lt;=31,3,IF(INDEX(ERP資料!$G:$G, (MATCH(696, 輔助計算!$G$2:$G$801, 0)+1))&lt;=46.5,2,1)), IF(INDEX(ERP資料!$G:$G, (MATCH(696, 輔助計算!$G$2:$G$801, 0)+1))&lt;=790,3,IF(INDEX(ERP資料!$G:$G, (MATCH(696, 輔助計算!$G$2:$G$801, 0)+1))&lt;=1181,2,1))))&gt;0, IF(IF(INDEX(ERP資料!$G:$G, (MATCH(696, 輔助計算!$G$2:$G$801, 0)+1))&lt;100, IF(INDEX(ERP資料!$G:$G, (MATCH(696, 輔助計算!$G$2:$G$801, 0)+1))&lt;=31,3,IF(INDEX(ERP資料!$G:$G, (MATCH(696, 輔助計算!$G$2:$G$801, 0)+1))&lt;=46.5,2,1)), IF(INDEX(ERP資料!$G:$G, (MATCH(696, 輔助計算!$G$2:$G$801, 0)+1))&lt;=790,3,IF(INDEX(ERP資料!$G:$G, (MATCH(696, 輔助計算!$G$2:$G$801, 0)+1))&lt;=1181,2,1)))=1,TEXT(INDEX(ERP資料!$G:$G, (MATCH(696, 輔助計算!$G$2:$G$801, 0)+1)),"0.##"),IF(IF(INDEX(ERP資料!$G:$G, (MATCH(696, 輔助計算!$G$2:$G$801, 0)+1))&lt;100, IF(INDEX(ERP資料!$G:$G, (MATCH(696, 輔助計算!$G$2:$G$801, 0)+1))&lt;=31,3,IF(INDEX(ERP資料!$G:$G, (MATCH(696, 輔助計算!$G$2:$G$801, 0)+1))&lt;=46.5,2,1)), IF(INDEX(ERP資料!$G:$G, (MATCH(696, 輔助計算!$G$2:$G$801, 0)+1))&lt;=790,3,IF(INDEX(ERP資料!$G:$G, (MATCH(696, 輔助計算!$G$2:$G$801, 0)+1))&lt;=1181,2,1)))=2,TEXT(INDEX(ERP資料!$G:$G, (MATCH(696, 輔助計算!$G$2:$G$801, 0)+1)),"0.##")&amp;"+"&amp;TEXT(INDEX(ERP資料!$G:$G, (MATCH(696, 輔助計算!$G$2:$G$801, 0)+1)),"0.##"),TEXT(INDEX(ERP資料!$G:$G, (MATCH(696, 輔助計算!$G$2:$G$801, 0)+1)),"0.##")&amp;"+"&amp;TEXT(INDEX(ERP資料!$G:$G, (MATCH(696, 輔助計算!$G$2:$G$801, 0)+1)),"0.##")&amp;"+"&amp;TEXT(INDEX(ERP資料!$G:$G, (MATCH(696, 輔助計算!$G$2:$G$801, 0)+1)),"0.##")))&amp;"-"&amp;INT(INDEX(輔助計算!$D:$D, (MATCH(696, 輔助計算!$G$2:$G$801, 0)+1))/IF(INDEX(ERP資料!$G:$G, (MATCH(696, 輔助計算!$G$2:$G$801, 0)+1))&lt;100, IF(INDEX(ERP資料!$G:$G, (MATCH(696, 輔助計算!$G$2:$G$801, 0)+1))&lt;=31,3,IF(INDEX(ERP資料!$G:$G, (MATCH(696, 輔助計算!$G$2:$G$801, 0)+1))&lt;=46.5,2,1)), IF(INDEX(ERP資料!$G:$G, (MATCH(696, 輔助計算!$G$2:$G$801, 0)+1))&lt;=790,3,IF(INDEX(ERP資料!$G:$G, (MATCH(696, 輔助計算!$G$2:$G$801, 0)+1))&lt;=1181,2,1)))), "")&amp;IF(AND(IF(INT(INDEX(輔助計算!$D:$D, (MATCH(696, 輔助計算!$G$2:$G$801, 0)+1))/IF(INDEX(ERP資料!$G:$G, (MATCH(696, 輔助計算!$G$2:$G$801, 0)+1))&lt;100, IF(INDEX(ERP資料!$G:$G, (MATCH(696, 輔助計算!$G$2:$G$801, 0)+1))&lt;=31,3,IF(INDEX(ERP資料!$G:$G, (MATCH(696, 輔助計算!$G$2:$G$801, 0)+1))&lt;=46.5,2,1)), IF(INDEX(ERP資料!$G:$G, (MATCH(696, 輔助計算!$G$2:$G$801, 0)+1))&lt;=790,3,IF(INDEX(ERP資料!$G:$G, (MATCH(696, 輔助計算!$G$2:$G$801, 0)+1))&lt;=1181,2,1))))&gt;0, IF(IF(INDEX(ERP資料!$G:$G, (MATCH(696, 輔助計算!$G$2:$G$801, 0)+1))&lt;100, IF(INDEX(ERP資料!$G:$G, (MATCH(696, 輔助計算!$G$2:$G$801, 0)+1))&lt;=31,3,IF(INDEX(ERP資料!$G:$G, (MATCH(696, 輔助計算!$G$2:$G$801, 0)+1))&lt;=46.5,2,1)), IF(INDEX(ERP資料!$G:$G, (MATCH(696, 輔助計算!$G$2:$G$801, 0)+1))&lt;=790,3,IF(INDEX(ERP資料!$G:$G, (MATCH(696, 輔助計算!$G$2:$G$801, 0)+1))&lt;=1181,2,1)))=1,TEXT(INDEX(ERP資料!$G:$G, (MATCH(696, 輔助計算!$G$2:$G$801, 0)+1)),"0.##"),IF(IF(INDEX(ERP資料!$G:$G, (MATCH(696, 輔助計算!$G$2:$G$801, 0)+1))&lt;100, IF(INDEX(ERP資料!$G:$G, (MATCH(696, 輔助計算!$G$2:$G$801, 0)+1))&lt;=31,3,IF(INDEX(ERP資料!$G:$G, (MATCH(696, 輔助計算!$G$2:$G$801, 0)+1))&lt;=46.5,2,1)), IF(INDEX(ERP資料!$G:$G, (MATCH(696, 輔助計算!$G$2:$G$801, 0)+1))&lt;=790,3,IF(INDEX(ERP資料!$G:$G, (MATCH(696, 輔助計算!$G$2:$G$801, 0)+1))&lt;=1181,2,1)))=2,TEXT(INDEX(ERP資料!$G:$G, (MATCH(696, 輔助計算!$G$2:$G$801, 0)+1)),"0.##")&amp;"+"&amp;TEXT(INDEX(ERP資料!$G:$G, (MATCH(696, 輔助計算!$G$2:$G$801, 0)+1)),"0.##"),TEXT(INDEX(ERP資料!$G:$G, (MATCH(696, 輔助計算!$G$2:$G$801, 0)+1)),"0.##")&amp;"+"&amp;TEXT(INDEX(ERP資料!$G:$G, (MATCH(696, 輔助計算!$G$2:$G$801, 0)+1)),"0.##")&amp;"+"&amp;TEXT(INDEX(ERP資料!$G:$G, (MATCH(696, 輔助計算!$G$2:$G$801, 0)+1)),"0.##")))&amp;"-"&amp;INT(INDEX(輔助計算!$D:$D, (MATCH(696, 輔助計算!$G$2:$G$801, 0)+1))/IF(INDEX(ERP資料!$G:$G, (MATCH(696, 輔助計算!$G$2:$G$801, 0)+1))&lt;100, IF(INDEX(ERP資料!$G:$G, (MATCH(696, 輔助計算!$G$2:$G$801, 0)+1))&lt;=31,3,IF(INDEX(ERP資料!$G:$G, (MATCH(696, 輔助計算!$G$2:$G$801, 0)+1))&lt;=46.5,2,1)), IF(INDEX(ERP資料!$G:$G, (MATCH(696, 輔助計算!$G$2:$G$801, 0)+1))&lt;=790,3,IF(INDEX(ERP資料!$G:$G, (MATCH(696, 輔助計算!$G$2:$G$801, 0)+1))&lt;=1181,2,1)))), "")&lt;&gt;"",IF(MOD(INDEX(輔助計算!$D:$D, (MATCH(696, 輔助計算!$G$2:$G$801, 0)+1)),IF(INDEX(ERP資料!$G:$G, (MATCH(696, 輔助計算!$G$2:$G$801, 0)+1))&lt;100, IF(INDEX(ERP資料!$G:$G, (MATCH(696, 輔助計算!$G$2:$G$801, 0)+1))&lt;=31,3,IF(INDEX(ERP資料!$G:$G, (MATCH(696, 輔助計算!$G$2:$G$801, 0)+1))&lt;=46.5,2,1)), IF(INDEX(ERP資料!$G:$G, (MATCH(696, 輔助計算!$G$2:$G$801, 0)+1))&lt;=790,3,IF(INDEX(ERP資料!$G:$G, (MATCH(696, 輔助計算!$G$2:$G$801, 0)+1))&lt;=1181,2,1))))=0,"",IF(MOD(INDEX(輔助計算!$D:$D, (MATCH(696, 輔助計算!$G$2:$G$801, 0)+1)),IF(INDEX(ERP資料!$G:$G, (MATCH(696, 輔助計算!$G$2:$G$801, 0)+1))&lt;100, IF(INDEX(ERP資料!$G:$G, (MATCH(696, 輔助計算!$G$2:$G$801, 0)+1))&lt;=31,3,IF(INDEX(ERP資料!$G:$G, (MATCH(696, 輔助計算!$G$2:$G$801, 0)+1))&lt;=46.5,2,1)), IF(INDEX(ERP資料!$G:$G, (MATCH(696, 輔助計算!$G$2:$G$801, 0)+1))&lt;=790,3,IF(INDEX(ERP資料!$G:$G, (MATCH(696, 輔助計算!$G$2:$G$801, 0)+1))&lt;=1181,2,1))))=0,"",IF(MOD(INDEX(輔助計算!$D:$D, (MATCH(696, 輔助計算!$G$2:$G$801, 0)+1)),IF(INDEX(ERP資料!$G:$G, (MATCH(696, 輔助計算!$G$2:$G$801, 0)+1))&lt;100, IF(INDEX(ERP資料!$G:$G, (MATCH(696, 輔助計算!$G$2:$G$801, 0)+1))&lt;=31,3,IF(INDEX(ERP資料!$G:$G, (MATCH(696, 輔助計算!$G$2:$G$801, 0)+1))&lt;=46.5,2,1)), IF(INDEX(ERP資料!$G:$G, (MATCH(696, 輔助計算!$G$2:$G$801, 0)+1))&lt;=790,3,IF(INDEX(ERP資料!$G:$G, (MATCH(696, 輔助計算!$G$2:$G$801, 0)+1))&lt;=1181,2,1))))=1,TEXT(INDEX(ERP資料!$G:$G, (MATCH(696, 輔助計算!$G$2:$G$801, 0)+1)),"0.##"),IF(MOD(INDEX(輔助計算!$D:$D, (MATCH(696, 輔助計算!$G$2:$G$801, 0)+1)),IF(INDEX(ERP資料!$G:$G, (MATCH(696, 輔助計算!$G$2:$G$801, 0)+1))&lt;100, IF(INDEX(ERP資料!$G:$G, (MATCH(696, 輔助計算!$G$2:$G$801, 0)+1))&lt;=31,3,IF(INDEX(ERP資料!$G:$G, (MATCH(696, 輔助計算!$G$2:$G$801, 0)+1))&lt;=46.5,2,1)), IF(INDEX(ERP資料!$G:$G, (MATCH(696, 輔助計算!$G$2:$G$801, 0)+1))&lt;=790,3,IF(INDEX(ERP資料!$G:$G, (MATCH(696, 輔助計算!$G$2:$G$801, 0)+1))&lt;=1181,2,1))))=2,TEXT(INDEX(ERP資料!$G:$G, (MATCH(696, 輔助計算!$G$2:$G$801, 0)+1)),"0.##")&amp;"+"&amp;TEXT(INDEX(ERP資料!$G:$G, (MATCH(696, 輔助計算!$G$2:$G$801, 0)+1)),"0.##"),TEXT(INDEX(ERP資料!$G:$G, (MATCH(696, 輔助計算!$G$2:$G$801, 0)+1)),"0.##")&amp;"+"&amp;TEXT(INDEX(ERP資料!$G:$G, (MATCH(696, 輔助計算!$G$2:$G$801, 0)+1)),"0.##")&amp;"+"&amp;TEXT(INDEX(ERP資料!$G:$G, (MATCH(696, 輔助計算!$G$2:$G$801, 0)+1)),"0.##"))))&amp;"-1")&lt;&gt;""),"  ","")&amp;IF(MOD(INDEX(輔助計算!$D:$D, (MATCH(696, 輔助計算!$G$2:$G$801, 0)+1)),IF(INDEX(ERP資料!$G:$G, (MATCH(696, 輔助計算!$G$2:$G$801, 0)+1))&lt;100, IF(INDEX(ERP資料!$G:$G, (MATCH(696, 輔助計算!$G$2:$G$801, 0)+1))&lt;=31,3,IF(INDEX(ERP資料!$G:$G, (MATCH(696, 輔助計算!$G$2:$G$801, 0)+1))&lt;=46.5,2,1)), IF(INDEX(ERP資料!$G:$G, (MATCH(696, 輔助計算!$G$2:$G$801, 0)+1))&lt;=790,3,IF(INDEX(ERP資料!$G:$G, (MATCH(696, 輔助計算!$G$2:$G$801, 0)+1))&lt;=1181,2,1))))=0,"",IF(MOD(INDEX(輔助計算!$D:$D, (MATCH(696, 輔助計算!$G$2:$G$801, 0)+1)),IF(INDEX(ERP資料!$G:$G, (MATCH(696, 輔助計算!$G$2:$G$801, 0)+1))&lt;100, IF(INDEX(ERP資料!$G:$G, (MATCH(696, 輔助計算!$G$2:$G$801, 0)+1))&lt;=31,3,IF(INDEX(ERP資料!$G:$G, (MATCH(696, 輔助計算!$G$2:$G$801, 0)+1))&lt;=46.5,2,1)), IF(INDEX(ERP資料!$G:$G, (MATCH(696, 輔助計算!$G$2:$G$801, 0)+1))&lt;=790,3,IF(INDEX(ERP資料!$G:$G, (MATCH(696, 輔助計算!$G$2:$G$801, 0)+1))&lt;=1181,2,1))))=0,"",IF(MOD(INDEX(輔助計算!$D:$D, (MATCH(696, 輔助計算!$G$2:$G$801, 0)+1)),IF(INDEX(ERP資料!$G:$G, (MATCH(696, 輔助計算!$G$2:$G$801, 0)+1))&lt;100, IF(INDEX(ERP資料!$G:$G, (MATCH(696, 輔助計算!$G$2:$G$801, 0)+1))&lt;=31,3,IF(INDEX(ERP資料!$G:$G, (MATCH(696, 輔助計算!$G$2:$G$801, 0)+1))&lt;=46.5,2,1)), IF(INDEX(ERP資料!$G:$G, (MATCH(696, 輔助計算!$G$2:$G$801, 0)+1))&lt;=790,3,IF(INDEX(ERP資料!$G:$G, (MATCH(696, 輔助計算!$G$2:$G$801, 0)+1))&lt;=1181,2,1))))=1,TEXT(INDEX(ERP資料!$G:$G, (MATCH(696, 輔助計算!$G$2:$G$801, 0)+1)),"0.##"),IF(MOD(INDEX(輔助計算!$D:$D, (MATCH(696, 輔助計算!$G$2:$G$801, 0)+1)),IF(INDEX(ERP資料!$G:$G, (MATCH(696, 輔助計算!$G$2:$G$801, 0)+1))&lt;100, IF(INDEX(ERP資料!$G:$G, (MATCH(696, 輔助計算!$G$2:$G$801, 0)+1))&lt;=31,3,IF(INDEX(ERP資料!$G:$G, (MATCH(696, 輔助計算!$G$2:$G$801, 0)+1))&lt;=46.5,2,1)), IF(INDEX(ERP資料!$G:$G, (MATCH(696, 輔助計算!$G$2:$G$801, 0)+1))&lt;=790,3,IF(INDEX(ERP資料!$G:$G, (MATCH(696, 輔助計算!$G$2:$G$801, 0)+1))&lt;=1181,2,1))))=2,TEXT(INDEX(ERP資料!$G:$G, (MATCH(696, 輔助計算!$G$2:$G$801, 0)+1)),"0.##")&amp;"+"&amp;TEXT(INDEX(ERP資料!$G:$G, (MATCH(696, 輔助計算!$G$2:$G$801, 0)+1)),"0.##"),TEXT(INDEX(ERP資料!$G:$G, (MATCH(696, 輔助計算!$G$2:$G$801, 0)+1)),"0.##")&amp;"+"&amp;TEXT(INDEX(ERP資料!$G:$G, (MATCH(696, 輔助計算!$G$2:$G$801, 0)+1)),"0.##")&amp;"+"&amp;TEXT(INDEX(ERP資料!$G:$G, (MATCH(696, 輔助計算!$G$2:$G$801, 0)+1)),"0.##"))))&amp;"-1")), ""), "")</f>
        <v/>
      </c>
      <c r="K697" s="16" t="n"/>
      <c r="L697" s="14">
        <f>IFERROR(IF(AND(IFERROR(INDEX(ERP資料!$A:$A, (MATCH(696, 輔助計算!$G$2:$G$801, 0)+1)), "")&lt;&gt;"", IFERROR(INDEX(ERP資料!$A:$A, (MATCH(696, 輔助計算!$G$2:$G$801, 0)+1)), "")&lt;&gt;IFERROR(INDEX(ERP資料!$A:$A, MATCH(695, 輔助計算!$G$2:$G$801, 0)+1), "")), INDEX(ERP資料!$B:$B, (MATCH(696, 輔助計算!$G$2:$G$801, 0)+1)), ""), "")</f>
        <v/>
      </c>
      <c r="M697" s="17" t="n"/>
    </row>
    <row r="698">
      <c r="A698" s="10">
        <f>IFERROR(IF(AND(IFERROR(INDEX(ERP資料!$A:$A, (MATCH(697, 輔助計算!$G$2:$G$801, 0)+1)), "")&lt;&gt;"", IFERROR(INDEX(ERP資料!$A:$A, (MATCH(697, 輔助計算!$G$2:$G$801, 0)+1)), "")&lt;&gt;IFERROR(INDEX(ERP資料!$A:$A, MATCH(696, 輔助計算!$G$2:$G$801, 0)+1), "")), IFERROR(INDEX(ERP資料!$A:$A, (MATCH(697, 輔助計算!$G$2:$G$801, 0)+1)), ""), ""), "")</f>
        <v/>
      </c>
      <c r="B698" s="10">
        <f>IFERROR(IF(AND(IFERROR(INDEX(ERP資料!$A:$A, (MATCH(697, 輔助計算!$G$2:$G$801, 0)+1)), "")&lt;&gt;"", IFERROR(INDEX(ERP資料!$A:$A, (MATCH(697, 輔助計算!$G$2:$G$801, 0)+1)), "")&lt;&gt;IFERROR(INDEX(ERP資料!$A:$A, MATCH(696, 輔助計算!$G$2:$G$801, 0)+1), "")), INDEX(ERP資料!$S:$S, (MATCH(697, 輔助計算!$G$2:$G$801, 0)+1)), ""), "")</f>
        <v/>
      </c>
      <c r="C698" s="19">
        <f>IFERROR(IF(AND(IFERROR(INDEX(ERP資料!$A:$A, (MATCH(697, 輔助計算!$G$2:$G$801, 0)+1)), "")&lt;&gt;"", IFERROR(INDEX(ERP資料!$A:$A, (MATCH(697, 輔助計算!$G$2:$G$801, 0)+1)), "")&lt;&gt;IFERROR(INDEX(ERP資料!$A:$A, MATCH(696, 輔助計算!$G$2:$G$801, 0)+1), "")), IFERROR(VLOOKUP(LEFT(INDEX(ERP資料!$S:$S, (MATCH(697, 輔助計算!$G$2:$G$801, 0)+1)), 4), 紙管對照表!$A:$C, 3, FALSE), ""), ""), "")</f>
        <v/>
      </c>
      <c r="D698" s="16" t="n"/>
      <c r="E698" s="10">
        <f>IFERROR(IF(INDEX(ERP資料!$H:$H, (MATCH(697, 輔助計算!$G$2:$G$801, 0)+1))="","",INDEX(ERP資料!$H:$H, (MATCH(697, 輔助計算!$G$2:$G$801, 0)+1))), "")</f>
        <v/>
      </c>
      <c r="F698" s="10">
        <f>IFERROR(IF(INDEX(ERP資料!$E:$E, (MATCH(697, 輔助計算!$G$2:$G$801, 0)+1))="","",TRIM(INDEX(ERP資料!$E:$E, (MATCH(697, 輔助計算!$G$2:$G$801, 0)+1)))), "")</f>
        <v/>
      </c>
      <c r="G698" s="10">
        <f>IFERROR(IF(INDEX(ERP資料!$F:$F, (MATCH(697, 輔助計算!$G$2:$G$801, 0)+1))="","",INDEX(ERP資料!$F:$F, (MATCH(697, 輔助計算!$G$2:$G$801, 0)+1))), "")</f>
        <v/>
      </c>
      <c r="H698" s="10">
        <f>IFERROR(IF(INDEX(ERP資料!$G:$G, (MATCH(697, 輔助計算!$G$2:$G$801, 0)+1))="","",INDEX(ERP資料!$G:$G, (MATCH(697, 輔助計算!$G$2:$G$801, 0)+1))), "")</f>
        <v/>
      </c>
      <c r="I698" s="15">
        <f>IFERROR(INDEX(輔助計算!$D:$D, (MATCH(697, 輔助計算!$G$2:$G$801, 0)+1)), "")</f>
        <v/>
      </c>
      <c r="J698" s="15">
        <f>IFERROR(IF(AND(INDEX(輔助計算!$D:$D, (MATCH(697, 輔助計算!$G$2:$G$801, 0)+1))&lt;&gt;"", INDEX(ERP資料!$G:$G, (MATCH(697, 輔助計算!$G$2:$G$801, 0)+1))&lt;&gt;""), TRIM(IF(INT(INDEX(輔助計算!$D:$D, (MATCH(697, 輔助計算!$G$2:$G$801, 0)+1))/IF(INDEX(ERP資料!$G:$G, (MATCH(697, 輔助計算!$G$2:$G$801, 0)+1))&lt;100, IF(INDEX(ERP資料!$G:$G, (MATCH(697, 輔助計算!$G$2:$G$801, 0)+1))&lt;=31,3,IF(INDEX(ERP資料!$G:$G, (MATCH(697, 輔助計算!$G$2:$G$801, 0)+1))&lt;=46.5,2,1)), IF(INDEX(ERP資料!$G:$G, (MATCH(697, 輔助計算!$G$2:$G$801, 0)+1))&lt;=790,3,IF(INDEX(ERP資料!$G:$G, (MATCH(697, 輔助計算!$G$2:$G$801, 0)+1))&lt;=1181,2,1))))&gt;0, IF(IF(INDEX(ERP資料!$G:$G, (MATCH(697, 輔助計算!$G$2:$G$801, 0)+1))&lt;100, IF(INDEX(ERP資料!$G:$G, (MATCH(697, 輔助計算!$G$2:$G$801, 0)+1))&lt;=31,3,IF(INDEX(ERP資料!$G:$G, (MATCH(697, 輔助計算!$G$2:$G$801, 0)+1))&lt;=46.5,2,1)), IF(INDEX(ERP資料!$G:$G, (MATCH(697, 輔助計算!$G$2:$G$801, 0)+1))&lt;=790,3,IF(INDEX(ERP資料!$G:$G, (MATCH(697, 輔助計算!$G$2:$G$801, 0)+1))&lt;=1181,2,1)))=1,TEXT(INDEX(ERP資料!$G:$G, (MATCH(697, 輔助計算!$G$2:$G$801, 0)+1)),"0.##"),IF(IF(INDEX(ERP資料!$G:$G, (MATCH(697, 輔助計算!$G$2:$G$801, 0)+1))&lt;100, IF(INDEX(ERP資料!$G:$G, (MATCH(697, 輔助計算!$G$2:$G$801, 0)+1))&lt;=31,3,IF(INDEX(ERP資料!$G:$G, (MATCH(697, 輔助計算!$G$2:$G$801, 0)+1))&lt;=46.5,2,1)), IF(INDEX(ERP資料!$G:$G, (MATCH(697, 輔助計算!$G$2:$G$801, 0)+1))&lt;=790,3,IF(INDEX(ERP資料!$G:$G, (MATCH(697, 輔助計算!$G$2:$G$801, 0)+1))&lt;=1181,2,1)))=2,TEXT(INDEX(ERP資料!$G:$G, (MATCH(697, 輔助計算!$G$2:$G$801, 0)+1)),"0.##")&amp;"+"&amp;TEXT(INDEX(ERP資料!$G:$G, (MATCH(697, 輔助計算!$G$2:$G$801, 0)+1)),"0.##"),TEXT(INDEX(ERP資料!$G:$G, (MATCH(697, 輔助計算!$G$2:$G$801, 0)+1)),"0.##")&amp;"+"&amp;TEXT(INDEX(ERP資料!$G:$G, (MATCH(697, 輔助計算!$G$2:$G$801, 0)+1)),"0.##")&amp;"+"&amp;TEXT(INDEX(ERP資料!$G:$G, (MATCH(697, 輔助計算!$G$2:$G$801, 0)+1)),"0.##")))&amp;"-"&amp;INT(INDEX(輔助計算!$D:$D, (MATCH(697, 輔助計算!$G$2:$G$801, 0)+1))/IF(INDEX(ERP資料!$G:$G, (MATCH(697, 輔助計算!$G$2:$G$801, 0)+1))&lt;100, IF(INDEX(ERP資料!$G:$G, (MATCH(697, 輔助計算!$G$2:$G$801, 0)+1))&lt;=31,3,IF(INDEX(ERP資料!$G:$G, (MATCH(697, 輔助計算!$G$2:$G$801, 0)+1))&lt;=46.5,2,1)), IF(INDEX(ERP資料!$G:$G, (MATCH(697, 輔助計算!$G$2:$G$801, 0)+1))&lt;=790,3,IF(INDEX(ERP資料!$G:$G, (MATCH(697, 輔助計算!$G$2:$G$801, 0)+1))&lt;=1181,2,1)))), "")&amp;IF(AND(IF(INT(INDEX(輔助計算!$D:$D, (MATCH(697, 輔助計算!$G$2:$G$801, 0)+1))/IF(INDEX(ERP資料!$G:$G, (MATCH(697, 輔助計算!$G$2:$G$801, 0)+1))&lt;100, IF(INDEX(ERP資料!$G:$G, (MATCH(697, 輔助計算!$G$2:$G$801, 0)+1))&lt;=31,3,IF(INDEX(ERP資料!$G:$G, (MATCH(697, 輔助計算!$G$2:$G$801, 0)+1))&lt;=46.5,2,1)), IF(INDEX(ERP資料!$G:$G, (MATCH(697, 輔助計算!$G$2:$G$801, 0)+1))&lt;=790,3,IF(INDEX(ERP資料!$G:$G, (MATCH(697, 輔助計算!$G$2:$G$801, 0)+1))&lt;=1181,2,1))))&gt;0, IF(IF(INDEX(ERP資料!$G:$G, (MATCH(697, 輔助計算!$G$2:$G$801, 0)+1))&lt;100, IF(INDEX(ERP資料!$G:$G, (MATCH(697, 輔助計算!$G$2:$G$801, 0)+1))&lt;=31,3,IF(INDEX(ERP資料!$G:$G, (MATCH(697, 輔助計算!$G$2:$G$801, 0)+1))&lt;=46.5,2,1)), IF(INDEX(ERP資料!$G:$G, (MATCH(697, 輔助計算!$G$2:$G$801, 0)+1))&lt;=790,3,IF(INDEX(ERP資料!$G:$G, (MATCH(697, 輔助計算!$G$2:$G$801, 0)+1))&lt;=1181,2,1)))=1,TEXT(INDEX(ERP資料!$G:$G, (MATCH(697, 輔助計算!$G$2:$G$801, 0)+1)),"0.##"),IF(IF(INDEX(ERP資料!$G:$G, (MATCH(697, 輔助計算!$G$2:$G$801, 0)+1))&lt;100, IF(INDEX(ERP資料!$G:$G, (MATCH(697, 輔助計算!$G$2:$G$801, 0)+1))&lt;=31,3,IF(INDEX(ERP資料!$G:$G, (MATCH(697, 輔助計算!$G$2:$G$801, 0)+1))&lt;=46.5,2,1)), IF(INDEX(ERP資料!$G:$G, (MATCH(697, 輔助計算!$G$2:$G$801, 0)+1))&lt;=790,3,IF(INDEX(ERP資料!$G:$G, (MATCH(697, 輔助計算!$G$2:$G$801, 0)+1))&lt;=1181,2,1)))=2,TEXT(INDEX(ERP資料!$G:$G, (MATCH(697, 輔助計算!$G$2:$G$801, 0)+1)),"0.##")&amp;"+"&amp;TEXT(INDEX(ERP資料!$G:$G, (MATCH(697, 輔助計算!$G$2:$G$801, 0)+1)),"0.##"),TEXT(INDEX(ERP資料!$G:$G, (MATCH(697, 輔助計算!$G$2:$G$801, 0)+1)),"0.##")&amp;"+"&amp;TEXT(INDEX(ERP資料!$G:$G, (MATCH(697, 輔助計算!$G$2:$G$801, 0)+1)),"0.##")&amp;"+"&amp;TEXT(INDEX(ERP資料!$G:$G, (MATCH(697, 輔助計算!$G$2:$G$801, 0)+1)),"0.##")))&amp;"-"&amp;INT(INDEX(輔助計算!$D:$D, (MATCH(697, 輔助計算!$G$2:$G$801, 0)+1))/IF(INDEX(ERP資料!$G:$G, (MATCH(697, 輔助計算!$G$2:$G$801, 0)+1))&lt;100, IF(INDEX(ERP資料!$G:$G, (MATCH(697, 輔助計算!$G$2:$G$801, 0)+1))&lt;=31,3,IF(INDEX(ERP資料!$G:$G, (MATCH(697, 輔助計算!$G$2:$G$801, 0)+1))&lt;=46.5,2,1)), IF(INDEX(ERP資料!$G:$G, (MATCH(697, 輔助計算!$G$2:$G$801, 0)+1))&lt;=790,3,IF(INDEX(ERP資料!$G:$G, (MATCH(697, 輔助計算!$G$2:$G$801, 0)+1))&lt;=1181,2,1)))), "")&lt;&gt;"",IF(MOD(INDEX(輔助計算!$D:$D, (MATCH(697, 輔助計算!$G$2:$G$801, 0)+1)),IF(INDEX(ERP資料!$G:$G, (MATCH(697, 輔助計算!$G$2:$G$801, 0)+1))&lt;100, IF(INDEX(ERP資料!$G:$G, (MATCH(697, 輔助計算!$G$2:$G$801, 0)+1))&lt;=31,3,IF(INDEX(ERP資料!$G:$G, (MATCH(697, 輔助計算!$G$2:$G$801, 0)+1))&lt;=46.5,2,1)), IF(INDEX(ERP資料!$G:$G, (MATCH(697, 輔助計算!$G$2:$G$801, 0)+1))&lt;=790,3,IF(INDEX(ERP資料!$G:$G, (MATCH(697, 輔助計算!$G$2:$G$801, 0)+1))&lt;=1181,2,1))))=0,"",IF(MOD(INDEX(輔助計算!$D:$D, (MATCH(697, 輔助計算!$G$2:$G$801, 0)+1)),IF(INDEX(ERP資料!$G:$G, (MATCH(697, 輔助計算!$G$2:$G$801, 0)+1))&lt;100, IF(INDEX(ERP資料!$G:$G, (MATCH(697, 輔助計算!$G$2:$G$801, 0)+1))&lt;=31,3,IF(INDEX(ERP資料!$G:$G, (MATCH(697, 輔助計算!$G$2:$G$801, 0)+1))&lt;=46.5,2,1)), IF(INDEX(ERP資料!$G:$G, (MATCH(697, 輔助計算!$G$2:$G$801, 0)+1))&lt;=790,3,IF(INDEX(ERP資料!$G:$G, (MATCH(697, 輔助計算!$G$2:$G$801, 0)+1))&lt;=1181,2,1))))=0,"",IF(MOD(INDEX(輔助計算!$D:$D, (MATCH(697, 輔助計算!$G$2:$G$801, 0)+1)),IF(INDEX(ERP資料!$G:$G, (MATCH(697, 輔助計算!$G$2:$G$801, 0)+1))&lt;100, IF(INDEX(ERP資料!$G:$G, (MATCH(697, 輔助計算!$G$2:$G$801, 0)+1))&lt;=31,3,IF(INDEX(ERP資料!$G:$G, (MATCH(697, 輔助計算!$G$2:$G$801, 0)+1))&lt;=46.5,2,1)), IF(INDEX(ERP資料!$G:$G, (MATCH(697, 輔助計算!$G$2:$G$801, 0)+1))&lt;=790,3,IF(INDEX(ERP資料!$G:$G, (MATCH(697, 輔助計算!$G$2:$G$801, 0)+1))&lt;=1181,2,1))))=1,TEXT(INDEX(ERP資料!$G:$G, (MATCH(697, 輔助計算!$G$2:$G$801, 0)+1)),"0.##"),IF(MOD(INDEX(輔助計算!$D:$D, (MATCH(697, 輔助計算!$G$2:$G$801, 0)+1)),IF(INDEX(ERP資料!$G:$G, (MATCH(697, 輔助計算!$G$2:$G$801, 0)+1))&lt;100, IF(INDEX(ERP資料!$G:$G, (MATCH(697, 輔助計算!$G$2:$G$801, 0)+1))&lt;=31,3,IF(INDEX(ERP資料!$G:$G, (MATCH(697, 輔助計算!$G$2:$G$801, 0)+1))&lt;=46.5,2,1)), IF(INDEX(ERP資料!$G:$G, (MATCH(697, 輔助計算!$G$2:$G$801, 0)+1))&lt;=790,3,IF(INDEX(ERP資料!$G:$G, (MATCH(697, 輔助計算!$G$2:$G$801, 0)+1))&lt;=1181,2,1))))=2,TEXT(INDEX(ERP資料!$G:$G, (MATCH(697, 輔助計算!$G$2:$G$801, 0)+1)),"0.##")&amp;"+"&amp;TEXT(INDEX(ERP資料!$G:$G, (MATCH(697, 輔助計算!$G$2:$G$801, 0)+1)),"0.##"),TEXT(INDEX(ERP資料!$G:$G, (MATCH(697, 輔助計算!$G$2:$G$801, 0)+1)),"0.##")&amp;"+"&amp;TEXT(INDEX(ERP資料!$G:$G, (MATCH(697, 輔助計算!$G$2:$G$801, 0)+1)),"0.##")&amp;"+"&amp;TEXT(INDEX(ERP資料!$G:$G, (MATCH(697, 輔助計算!$G$2:$G$801, 0)+1)),"0.##"))))&amp;"-1")&lt;&gt;""),"  ","")&amp;IF(MOD(INDEX(輔助計算!$D:$D, (MATCH(697, 輔助計算!$G$2:$G$801, 0)+1)),IF(INDEX(ERP資料!$G:$G, (MATCH(697, 輔助計算!$G$2:$G$801, 0)+1))&lt;100, IF(INDEX(ERP資料!$G:$G, (MATCH(697, 輔助計算!$G$2:$G$801, 0)+1))&lt;=31,3,IF(INDEX(ERP資料!$G:$G, (MATCH(697, 輔助計算!$G$2:$G$801, 0)+1))&lt;=46.5,2,1)), IF(INDEX(ERP資料!$G:$G, (MATCH(697, 輔助計算!$G$2:$G$801, 0)+1))&lt;=790,3,IF(INDEX(ERP資料!$G:$G, (MATCH(697, 輔助計算!$G$2:$G$801, 0)+1))&lt;=1181,2,1))))=0,"",IF(MOD(INDEX(輔助計算!$D:$D, (MATCH(697, 輔助計算!$G$2:$G$801, 0)+1)),IF(INDEX(ERP資料!$G:$G, (MATCH(697, 輔助計算!$G$2:$G$801, 0)+1))&lt;100, IF(INDEX(ERP資料!$G:$G, (MATCH(697, 輔助計算!$G$2:$G$801, 0)+1))&lt;=31,3,IF(INDEX(ERP資料!$G:$G, (MATCH(697, 輔助計算!$G$2:$G$801, 0)+1))&lt;=46.5,2,1)), IF(INDEX(ERP資料!$G:$G, (MATCH(697, 輔助計算!$G$2:$G$801, 0)+1))&lt;=790,3,IF(INDEX(ERP資料!$G:$G, (MATCH(697, 輔助計算!$G$2:$G$801, 0)+1))&lt;=1181,2,1))))=0,"",IF(MOD(INDEX(輔助計算!$D:$D, (MATCH(697, 輔助計算!$G$2:$G$801, 0)+1)),IF(INDEX(ERP資料!$G:$G, (MATCH(697, 輔助計算!$G$2:$G$801, 0)+1))&lt;100, IF(INDEX(ERP資料!$G:$G, (MATCH(697, 輔助計算!$G$2:$G$801, 0)+1))&lt;=31,3,IF(INDEX(ERP資料!$G:$G, (MATCH(697, 輔助計算!$G$2:$G$801, 0)+1))&lt;=46.5,2,1)), IF(INDEX(ERP資料!$G:$G, (MATCH(697, 輔助計算!$G$2:$G$801, 0)+1))&lt;=790,3,IF(INDEX(ERP資料!$G:$G, (MATCH(697, 輔助計算!$G$2:$G$801, 0)+1))&lt;=1181,2,1))))=1,TEXT(INDEX(ERP資料!$G:$G, (MATCH(697, 輔助計算!$G$2:$G$801, 0)+1)),"0.##"),IF(MOD(INDEX(輔助計算!$D:$D, (MATCH(697, 輔助計算!$G$2:$G$801, 0)+1)),IF(INDEX(ERP資料!$G:$G, (MATCH(697, 輔助計算!$G$2:$G$801, 0)+1))&lt;100, IF(INDEX(ERP資料!$G:$G, (MATCH(697, 輔助計算!$G$2:$G$801, 0)+1))&lt;=31,3,IF(INDEX(ERP資料!$G:$G, (MATCH(697, 輔助計算!$G$2:$G$801, 0)+1))&lt;=46.5,2,1)), IF(INDEX(ERP資料!$G:$G, (MATCH(697, 輔助計算!$G$2:$G$801, 0)+1))&lt;=790,3,IF(INDEX(ERP資料!$G:$G, (MATCH(697, 輔助計算!$G$2:$G$801, 0)+1))&lt;=1181,2,1))))=2,TEXT(INDEX(ERP資料!$G:$G, (MATCH(697, 輔助計算!$G$2:$G$801, 0)+1)),"0.##")&amp;"+"&amp;TEXT(INDEX(ERP資料!$G:$G, (MATCH(697, 輔助計算!$G$2:$G$801, 0)+1)),"0.##"),TEXT(INDEX(ERP資料!$G:$G, (MATCH(697, 輔助計算!$G$2:$G$801, 0)+1)),"0.##")&amp;"+"&amp;TEXT(INDEX(ERP資料!$G:$G, (MATCH(697, 輔助計算!$G$2:$G$801, 0)+1)),"0.##")&amp;"+"&amp;TEXT(INDEX(ERP資料!$G:$G, (MATCH(697, 輔助計算!$G$2:$G$801, 0)+1)),"0.##"))))&amp;"-1")), ""), "")</f>
        <v/>
      </c>
      <c r="K698" s="16" t="n"/>
      <c r="L698" s="14">
        <f>IFERROR(IF(AND(IFERROR(INDEX(ERP資料!$A:$A, (MATCH(697, 輔助計算!$G$2:$G$801, 0)+1)), "")&lt;&gt;"", IFERROR(INDEX(ERP資料!$A:$A, (MATCH(697, 輔助計算!$G$2:$G$801, 0)+1)), "")&lt;&gt;IFERROR(INDEX(ERP資料!$A:$A, MATCH(696, 輔助計算!$G$2:$G$801, 0)+1), "")), INDEX(ERP資料!$B:$B, (MATCH(697, 輔助計算!$G$2:$G$801, 0)+1)), ""), "")</f>
        <v/>
      </c>
      <c r="M698" s="17" t="n"/>
    </row>
    <row r="699">
      <c r="A699" s="10">
        <f>IFERROR(IF(AND(IFERROR(INDEX(ERP資料!$A:$A, (MATCH(698, 輔助計算!$G$2:$G$801, 0)+1)), "")&lt;&gt;"", IFERROR(INDEX(ERP資料!$A:$A, (MATCH(698, 輔助計算!$G$2:$G$801, 0)+1)), "")&lt;&gt;IFERROR(INDEX(ERP資料!$A:$A, MATCH(697, 輔助計算!$G$2:$G$801, 0)+1), "")), IFERROR(INDEX(ERP資料!$A:$A, (MATCH(698, 輔助計算!$G$2:$G$801, 0)+1)), ""), ""), "")</f>
        <v/>
      </c>
      <c r="B699" s="10">
        <f>IFERROR(IF(AND(IFERROR(INDEX(ERP資料!$A:$A, (MATCH(698, 輔助計算!$G$2:$G$801, 0)+1)), "")&lt;&gt;"", IFERROR(INDEX(ERP資料!$A:$A, (MATCH(698, 輔助計算!$G$2:$G$801, 0)+1)), "")&lt;&gt;IFERROR(INDEX(ERP資料!$A:$A, MATCH(697, 輔助計算!$G$2:$G$801, 0)+1), "")), INDEX(ERP資料!$S:$S, (MATCH(698, 輔助計算!$G$2:$G$801, 0)+1)), ""), "")</f>
        <v/>
      </c>
      <c r="C699" s="19">
        <f>IFERROR(IF(AND(IFERROR(INDEX(ERP資料!$A:$A, (MATCH(698, 輔助計算!$G$2:$G$801, 0)+1)), "")&lt;&gt;"", IFERROR(INDEX(ERP資料!$A:$A, (MATCH(698, 輔助計算!$G$2:$G$801, 0)+1)), "")&lt;&gt;IFERROR(INDEX(ERP資料!$A:$A, MATCH(697, 輔助計算!$G$2:$G$801, 0)+1), "")), IFERROR(VLOOKUP(LEFT(INDEX(ERP資料!$S:$S, (MATCH(698, 輔助計算!$G$2:$G$801, 0)+1)), 4), 紙管對照表!$A:$C, 3, FALSE), ""), ""), "")</f>
        <v/>
      </c>
      <c r="D699" s="16" t="n"/>
      <c r="E699" s="10">
        <f>IFERROR(IF(INDEX(ERP資料!$H:$H, (MATCH(698, 輔助計算!$G$2:$G$801, 0)+1))="","",INDEX(ERP資料!$H:$H, (MATCH(698, 輔助計算!$G$2:$G$801, 0)+1))), "")</f>
        <v/>
      </c>
      <c r="F699" s="10">
        <f>IFERROR(IF(INDEX(ERP資料!$E:$E, (MATCH(698, 輔助計算!$G$2:$G$801, 0)+1))="","",TRIM(INDEX(ERP資料!$E:$E, (MATCH(698, 輔助計算!$G$2:$G$801, 0)+1)))), "")</f>
        <v/>
      </c>
      <c r="G699" s="10">
        <f>IFERROR(IF(INDEX(ERP資料!$F:$F, (MATCH(698, 輔助計算!$G$2:$G$801, 0)+1))="","",INDEX(ERP資料!$F:$F, (MATCH(698, 輔助計算!$G$2:$G$801, 0)+1))), "")</f>
        <v/>
      </c>
      <c r="H699" s="10">
        <f>IFERROR(IF(INDEX(ERP資料!$G:$G, (MATCH(698, 輔助計算!$G$2:$G$801, 0)+1))="","",INDEX(ERP資料!$G:$G, (MATCH(698, 輔助計算!$G$2:$G$801, 0)+1))), "")</f>
        <v/>
      </c>
      <c r="I699" s="15">
        <f>IFERROR(INDEX(輔助計算!$D:$D, (MATCH(698, 輔助計算!$G$2:$G$801, 0)+1)), "")</f>
        <v/>
      </c>
      <c r="J699" s="15">
        <f>IFERROR(IF(AND(INDEX(輔助計算!$D:$D, (MATCH(698, 輔助計算!$G$2:$G$801, 0)+1))&lt;&gt;"", INDEX(ERP資料!$G:$G, (MATCH(698, 輔助計算!$G$2:$G$801, 0)+1))&lt;&gt;""), TRIM(IF(INT(INDEX(輔助計算!$D:$D, (MATCH(698, 輔助計算!$G$2:$G$801, 0)+1))/IF(INDEX(ERP資料!$G:$G, (MATCH(698, 輔助計算!$G$2:$G$801, 0)+1))&lt;100, IF(INDEX(ERP資料!$G:$G, (MATCH(698, 輔助計算!$G$2:$G$801, 0)+1))&lt;=31,3,IF(INDEX(ERP資料!$G:$G, (MATCH(698, 輔助計算!$G$2:$G$801, 0)+1))&lt;=46.5,2,1)), IF(INDEX(ERP資料!$G:$G, (MATCH(698, 輔助計算!$G$2:$G$801, 0)+1))&lt;=790,3,IF(INDEX(ERP資料!$G:$G, (MATCH(698, 輔助計算!$G$2:$G$801, 0)+1))&lt;=1181,2,1))))&gt;0, IF(IF(INDEX(ERP資料!$G:$G, (MATCH(698, 輔助計算!$G$2:$G$801, 0)+1))&lt;100, IF(INDEX(ERP資料!$G:$G, (MATCH(698, 輔助計算!$G$2:$G$801, 0)+1))&lt;=31,3,IF(INDEX(ERP資料!$G:$G, (MATCH(698, 輔助計算!$G$2:$G$801, 0)+1))&lt;=46.5,2,1)), IF(INDEX(ERP資料!$G:$G, (MATCH(698, 輔助計算!$G$2:$G$801, 0)+1))&lt;=790,3,IF(INDEX(ERP資料!$G:$G, (MATCH(698, 輔助計算!$G$2:$G$801, 0)+1))&lt;=1181,2,1)))=1,TEXT(INDEX(ERP資料!$G:$G, (MATCH(698, 輔助計算!$G$2:$G$801, 0)+1)),"0.##"),IF(IF(INDEX(ERP資料!$G:$G, (MATCH(698, 輔助計算!$G$2:$G$801, 0)+1))&lt;100, IF(INDEX(ERP資料!$G:$G, (MATCH(698, 輔助計算!$G$2:$G$801, 0)+1))&lt;=31,3,IF(INDEX(ERP資料!$G:$G, (MATCH(698, 輔助計算!$G$2:$G$801, 0)+1))&lt;=46.5,2,1)), IF(INDEX(ERP資料!$G:$G, (MATCH(698, 輔助計算!$G$2:$G$801, 0)+1))&lt;=790,3,IF(INDEX(ERP資料!$G:$G, (MATCH(698, 輔助計算!$G$2:$G$801, 0)+1))&lt;=1181,2,1)))=2,TEXT(INDEX(ERP資料!$G:$G, (MATCH(698, 輔助計算!$G$2:$G$801, 0)+1)),"0.##")&amp;"+"&amp;TEXT(INDEX(ERP資料!$G:$G, (MATCH(698, 輔助計算!$G$2:$G$801, 0)+1)),"0.##"),TEXT(INDEX(ERP資料!$G:$G, (MATCH(698, 輔助計算!$G$2:$G$801, 0)+1)),"0.##")&amp;"+"&amp;TEXT(INDEX(ERP資料!$G:$G, (MATCH(698, 輔助計算!$G$2:$G$801, 0)+1)),"0.##")&amp;"+"&amp;TEXT(INDEX(ERP資料!$G:$G, (MATCH(698, 輔助計算!$G$2:$G$801, 0)+1)),"0.##")))&amp;"-"&amp;INT(INDEX(輔助計算!$D:$D, (MATCH(698, 輔助計算!$G$2:$G$801, 0)+1))/IF(INDEX(ERP資料!$G:$G, (MATCH(698, 輔助計算!$G$2:$G$801, 0)+1))&lt;100, IF(INDEX(ERP資料!$G:$G, (MATCH(698, 輔助計算!$G$2:$G$801, 0)+1))&lt;=31,3,IF(INDEX(ERP資料!$G:$G, (MATCH(698, 輔助計算!$G$2:$G$801, 0)+1))&lt;=46.5,2,1)), IF(INDEX(ERP資料!$G:$G, (MATCH(698, 輔助計算!$G$2:$G$801, 0)+1))&lt;=790,3,IF(INDEX(ERP資料!$G:$G, (MATCH(698, 輔助計算!$G$2:$G$801, 0)+1))&lt;=1181,2,1)))), "")&amp;IF(AND(IF(INT(INDEX(輔助計算!$D:$D, (MATCH(698, 輔助計算!$G$2:$G$801, 0)+1))/IF(INDEX(ERP資料!$G:$G, (MATCH(698, 輔助計算!$G$2:$G$801, 0)+1))&lt;100, IF(INDEX(ERP資料!$G:$G, (MATCH(698, 輔助計算!$G$2:$G$801, 0)+1))&lt;=31,3,IF(INDEX(ERP資料!$G:$G, (MATCH(698, 輔助計算!$G$2:$G$801, 0)+1))&lt;=46.5,2,1)), IF(INDEX(ERP資料!$G:$G, (MATCH(698, 輔助計算!$G$2:$G$801, 0)+1))&lt;=790,3,IF(INDEX(ERP資料!$G:$G, (MATCH(698, 輔助計算!$G$2:$G$801, 0)+1))&lt;=1181,2,1))))&gt;0, IF(IF(INDEX(ERP資料!$G:$G, (MATCH(698, 輔助計算!$G$2:$G$801, 0)+1))&lt;100, IF(INDEX(ERP資料!$G:$G, (MATCH(698, 輔助計算!$G$2:$G$801, 0)+1))&lt;=31,3,IF(INDEX(ERP資料!$G:$G, (MATCH(698, 輔助計算!$G$2:$G$801, 0)+1))&lt;=46.5,2,1)), IF(INDEX(ERP資料!$G:$G, (MATCH(698, 輔助計算!$G$2:$G$801, 0)+1))&lt;=790,3,IF(INDEX(ERP資料!$G:$G, (MATCH(698, 輔助計算!$G$2:$G$801, 0)+1))&lt;=1181,2,1)))=1,TEXT(INDEX(ERP資料!$G:$G, (MATCH(698, 輔助計算!$G$2:$G$801, 0)+1)),"0.##"),IF(IF(INDEX(ERP資料!$G:$G, (MATCH(698, 輔助計算!$G$2:$G$801, 0)+1))&lt;100, IF(INDEX(ERP資料!$G:$G, (MATCH(698, 輔助計算!$G$2:$G$801, 0)+1))&lt;=31,3,IF(INDEX(ERP資料!$G:$G, (MATCH(698, 輔助計算!$G$2:$G$801, 0)+1))&lt;=46.5,2,1)), IF(INDEX(ERP資料!$G:$G, (MATCH(698, 輔助計算!$G$2:$G$801, 0)+1))&lt;=790,3,IF(INDEX(ERP資料!$G:$G, (MATCH(698, 輔助計算!$G$2:$G$801, 0)+1))&lt;=1181,2,1)))=2,TEXT(INDEX(ERP資料!$G:$G, (MATCH(698, 輔助計算!$G$2:$G$801, 0)+1)),"0.##")&amp;"+"&amp;TEXT(INDEX(ERP資料!$G:$G, (MATCH(698, 輔助計算!$G$2:$G$801, 0)+1)),"0.##"),TEXT(INDEX(ERP資料!$G:$G, (MATCH(698, 輔助計算!$G$2:$G$801, 0)+1)),"0.##")&amp;"+"&amp;TEXT(INDEX(ERP資料!$G:$G, (MATCH(698, 輔助計算!$G$2:$G$801, 0)+1)),"0.##")&amp;"+"&amp;TEXT(INDEX(ERP資料!$G:$G, (MATCH(698, 輔助計算!$G$2:$G$801, 0)+1)),"0.##")))&amp;"-"&amp;INT(INDEX(輔助計算!$D:$D, (MATCH(698, 輔助計算!$G$2:$G$801, 0)+1))/IF(INDEX(ERP資料!$G:$G, (MATCH(698, 輔助計算!$G$2:$G$801, 0)+1))&lt;100, IF(INDEX(ERP資料!$G:$G, (MATCH(698, 輔助計算!$G$2:$G$801, 0)+1))&lt;=31,3,IF(INDEX(ERP資料!$G:$G, (MATCH(698, 輔助計算!$G$2:$G$801, 0)+1))&lt;=46.5,2,1)), IF(INDEX(ERP資料!$G:$G, (MATCH(698, 輔助計算!$G$2:$G$801, 0)+1))&lt;=790,3,IF(INDEX(ERP資料!$G:$G, (MATCH(698, 輔助計算!$G$2:$G$801, 0)+1))&lt;=1181,2,1)))), "")&lt;&gt;"",IF(MOD(INDEX(輔助計算!$D:$D, (MATCH(698, 輔助計算!$G$2:$G$801, 0)+1)),IF(INDEX(ERP資料!$G:$G, (MATCH(698, 輔助計算!$G$2:$G$801, 0)+1))&lt;100, IF(INDEX(ERP資料!$G:$G, (MATCH(698, 輔助計算!$G$2:$G$801, 0)+1))&lt;=31,3,IF(INDEX(ERP資料!$G:$G, (MATCH(698, 輔助計算!$G$2:$G$801, 0)+1))&lt;=46.5,2,1)), IF(INDEX(ERP資料!$G:$G, (MATCH(698, 輔助計算!$G$2:$G$801, 0)+1))&lt;=790,3,IF(INDEX(ERP資料!$G:$G, (MATCH(698, 輔助計算!$G$2:$G$801, 0)+1))&lt;=1181,2,1))))=0,"",IF(MOD(INDEX(輔助計算!$D:$D, (MATCH(698, 輔助計算!$G$2:$G$801, 0)+1)),IF(INDEX(ERP資料!$G:$G, (MATCH(698, 輔助計算!$G$2:$G$801, 0)+1))&lt;100, IF(INDEX(ERP資料!$G:$G, (MATCH(698, 輔助計算!$G$2:$G$801, 0)+1))&lt;=31,3,IF(INDEX(ERP資料!$G:$G, (MATCH(698, 輔助計算!$G$2:$G$801, 0)+1))&lt;=46.5,2,1)), IF(INDEX(ERP資料!$G:$G, (MATCH(698, 輔助計算!$G$2:$G$801, 0)+1))&lt;=790,3,IF(INDEX(ERP資料!$G:$G, (MATCH(698, 輔助計算!$G$2:$G$801, 0)+1))&lt;=1181,2,1))))=0,"",IF(MOD(INDEX(輔助計算!$D:$D, (MATCH(698, 輔助計算!$G$2:$G$801, 0)+1)),IF(INDEX(ERP資料!$G:$G, (MATCH(698, 輔助計算!$G$2:$G$801, 0)+1))&lt;100, IF(INDEX(ERP資料!$G:$G, (MATCH(698, 輔助計算!$G$2:$G$801, 0)+1))&lt;=31,3,IF(INDEX(ERP資料!$G:$G, (MATCH(698, 輔助計算!$G$2:$G$801, 0)+1))&lt;=46.5,2,1)), IF(INDEX(ERP資料!$G:$G, (MATCH(698, 輔助計算!$G$2:$G$801, 0)+1))&lt;=790,3,IF(INDEX(ERP資料!$G:$G, (MATCH(698, 輔助計算!$G$2:$G$801, 0)+1))&lt;=1181,2,1))))=1,TEXT(INDEX(ERP資料!$G:$G, (MATCH(698, 輔助計算!$G$2:$G$801, 0)+1)),"0.##"),IF(MOD(INDEX(輔助計算!$D:$D, (MATCH(698, 輔助計算!$G$2:$G$801, 0)+1)),IF(INDEX(ERP資料!$G:$G, (MATCH(698, 輔助計算!$G$2:$G$801, 0)+1))&lt;100, IF(INDEX(ERP資料!$G:$G, (MATCH(698, 輔助計算!$G$2:$G$801, 0)+1))&lt;=31,3,IF(INDEX(ERP資料!$G:$G, (MATCH(698, 輔助計算!$G$2:$G$801, 0)+1))&lt;=46.5,2,1)), IF(INDEX(ERP資料!$G:$G, (MATCH(698, 輔助計算!$G$2:$G$801, 0)+1))&lt;=790,3,IF(INDEX(ERP資料!$G:$G, (MATCH(698, 輔助計算!$G$2:$G$801, 0)+1))&lt;=1181,2,1))))=2,TEXT(INDEX(ERP資料!$G:$G, (MATCH(698, 輔助計算!$G$2:$G$801, 0)+1)),"0.##")&amp;"+"&amp;TEXT(INDEX(ERP資料!$G:$G, (MATCH(698, 輔助計算!$G$2:$G$801, 0)+1)),"0.##"),TEXT(INDEX(ERP資料!$G:$G, (MATCH(698, 輔助計算!$G$2:$G$801, 0)+1)),"0.##")&amp;"+"&amp;TEXT(INDEX(ERP資料!$G:$G, (MATCH(698, 輔助計算!$G$2:$G$801, 0)+1)),"0.##")&amp;"+"&amp;TEXT(INDEX(ERP資料!$G:$G, (MATCH(698, 輔助計算!$G$2:$G$801, 0)+1)),"0.##"))))&amp;"-1")&lt;&gt;""),"  ","")&amp;IF(MOD(INDEX(輔助計算!$D:$D, (MATCH(698, 輔助計算!$G$2:$G$801, 0)+1)),IF(INDEX(ERP資料!$G:$G, (MATCH(698, 輔助計算!$G$2:$G$801, 0)+1))&lt;100, IF(INDEX(ERP資料!$G:$G, (MATCH(698, 輔助計算!$G$2:$G$801, 0)+1))&lt;=31,3,IF(INDEX(ERP資料!$G:$G, (MATCH(698, 輔助計算!$G$2:$G$801, 0)+1))&lt;=46.5,2,1)), IF(INDEX(ERP資料!$G:$G, (MATCH(698, 輔助計算!$G$2:$G$801, 0)+1))&lt;=790,3,IF(INDEX(ERP資料!$G:$G, (MATCH(698, 輔助計算!$G$2:$G$801, 0)+1))&lt;=1181,2,1))))=0,"",IF(MOD(INDEX(輔助計算!$D:$D, (MATCH(698, 輔助計算!$G$2:$G$801, 0)+1)),IF(INDEX(ERP資料!$G:$G, (MATCH(698, 輔助計算!$G$2:$G$801, 0)+1))&lt;100, IF(INDEX(ERP資料!$G:$G, (MATCH(698, 輔助計算!$G$2:$G$801, 0)+1))&lt;=31,3,IF(INDEX(ERP資料!$G:$G, (MATCH(698, 輔助計算!$G$2:$G$801, 0)+1))&lt;=46.5,2,1)), IF(INDEX(ERP資料!$G:$G, (MATCH(698, 輔助計算!$G$2:$G$801, 0)+1))&lt;=790,3,IF(INDEX(ERP資料!$G:$G, (MATCH(698, 輔助計算!$G$2:$G$801, 0)+1))&lt;=1181,2,1))))=0,"",IF(MOD(INDEX(輔助計算!$D:$D, (MATCH(698, 輔助計算!$G$2:$G$801, 0)+1)),IF(INDEX(ERP資料!$G:$G, (MATCH(698, 輔助計算!$G$2:$G$801, 0)+1))&lt;100, IF(INDEX(ERP資料!$G:$G, (MATCH(698, 輔助計算!$G$2:$G$801, 0)+1))&lt;=31,3,IF(INDEX(ERP資料!$G:$G, (MATCH(698, 輔助計算!$G$2:$G$801, 0)+1))&lt;=46.5,2,1)), IF(INDEX(ERP資料!$G:$G, (MATCH(698, 輔助計算!$G$2:$G$801, 0)+1))&lt;=790,3,IF(INDEX(ERP資料!$G:$G, (MATCH(698, 輔助計算!$G$2:$G$801, 0)+1))&lt;=1181,2,1))))=1,TEXT(INDEX(ERP資料!$G:$G, (MATCH(698, 輔助計算!$G$2:$G$801, 0)+1)),"0.##"),IF(MOD(INDEX(輔助計算!$D:$D, (MATCH(698, 輔助計算!$G$2:$G$801, 0)+1)),IF(INDEX(ERP資料!$G:$G, (MATCH(698, 輔助計算!$G$2:$G$801, 0)+1))&lt;100, IF(INDEX(ERP資料!$G:$G, (MATCH(698, 輔助計算!$G$2:$G$801, 0)+1))&lt;=31,3,IF(INDEX(ERP資料!$G:$G, (MATCH(698, 輔助計算!$G$2:$G$801, 0)+1))&lt;=46.5,2,1)), IF(INDEX(ERP資料!$G:$G, (MATCH(698, 輔助計算!$G$2:$G$801, 0)+1))&lt;=790,3,IF(INDEX(ERP資料!$G:$G, (MATCH(698, 輔助計算!$G$2:$G$801, 0)+1))&lt;=1181,2,1))))=2,TEXT(INDEX(ERP資料!$G:$G, (MATCH(698, 輔助計算!$G$2:$G$801, 0)+1)),"0.##")&amp;"+"&amp;TEXT(INDEX(ERP資料!$G:$G, (MATCH(698, 輔助計算!$G$2:$G$801, 0)+1)),"0.##"),TEXT(INDEX(ERP資料!$G:$G, (MATCH(698, 輔助計算!$G$2:$G$801, 0)+1)),"0.##")&amp;"+"&amp;TEXT(INDEX(ERP資料!$G:$G, (MATCH(698, 輔助計算!$G$2:$G$801, 0)+1)),"0.##")&amp;"+"&amp;TEXT(INDEX(ERP資料!$G:$G, (MATCH(698, 輔助計算!$G$2:$G$801, 0)+1)),"0.##"))))&amp;"-1")), ""), "")</f>
        <v/>
      </c>
      <c r="K699" s="16" t="n"/>
      <c r="L699" s="14">
        <f>IFERROR(IF(AND(IFERROR(INDEX(ERP資料!$A:$A, (MATCH(698, 輔助計算!$G$2:$G$801, 0)+1)), "")&lt;&gt;"", IFERROR(INDEX(ERP資料!$A:$A, (MATCH(698, 輔助計算!$G$2:$G$801, 0)+1)), "")&lt;&gt;IFERROR(INDEX(ERP資料!$A:$A, MATCH(697, 輔助計算!$G$2:$G$801, 0)+1), "")), INDEX(ERP資料!$B:$B, (MATCH(698, 輔助計算!$G$2:$G$801, 0)+1)), ""), "")</f>
        <v/>
      </c>
      <c r="M699" s="17" t="n"/>
    </row>
    <row r="700">
      <c r="A700" s="10">
        <f>IFERROR(IF(AND(IFERROR(INDEX(ERP資料!$A:$A, (MATCH(699, 輔助計算!$G$2:$G$801, 0)+1)), "")&lt;&gt;"", IFERROR(INDEX(ERP資料!$A:$A, (MATCH(699, 輔助計算!$G$2:$G$801, 0)+1)), "")&lt;&gt;IFERROR(INDEX(ERP資料!$A:$A, MATCH(698, 輔助計算!$G$2:$G$801, 0)+1), "")), IFERROR(INDEX(ERP資料!$A:$A, (MATCH(699, 輔助計算!$G$2:$G$801, 0)+1)), ""), ""), "")</f>
        <v/>
      </c>
      <c r="B700" s="10">
        <f>IFERROR(IF(AND(IFERROR(INDEX(ERP資料!$A:$A, (MATCH(699, 輔助計算!$G$2:$G$801, 0)+1)), "")&lt;&gt;"", IFERROR(INDEX(ERP資料!$A:$A, (MATCH(699, 輔助計算!$G$2:$G$801, 0)+1)), "")&lt;&gt;IFERROR(INDEX(ERP資料!$A:$A, MATCH(698, 輔助計算!$G$2:$G$801, 0)+1), "")), INDEX(ERP資料!$S:$S, (MATCH(699, 輔助計算!$G$2:$G$801, 0)+1)), ""), "")</f>
        <v/>
      </c>
      <c r="C700" s="19">
        <f>IFERROR(IF(AND(IFERROR(INDEX(ERP資料!$A:$A, (MATCH(699, 輔助計算!$G$2:$G$801, 0)+1)), "")&lt;&gt;"", IFERROR(INDEX(ERP資料!$A:$A, (MATCH(699, 輔助計算!$G$2:$G$801, 0)+1)), "")&lt;&gt;IFERROR(INDEX(ERP資料!$A:$A, MATCH(698, 輔助計算!$G$2:$G$801, 0)+1), "")), IFERROR(VLOOKUP(LEFT(INDEX(ERP資料!$S:$S, (MATCH(699, 輔助計算!$G$2:$G$801, 0)+1)), 4), 紙管對照表!$A:$C, 3, FALSE), ""), ""), "")</f>
        <v/>
      </c>
      <c r="D700" s="16" t="n"/>
      <c r="E700" s="10">
        <f>IFERROR(IF(INDEX(ERP資料!$H:$H, (MATCH(699, 輔助計算!$G$2:$G$801, 0)+1))="","",INDEX(ERP資料!$H:$H, (MATCH(699, 輔助計算!$G$2:$G$801, 0)+1))), "")</f>
        <v/>
      </c>
      <c r="F700" s="10">
        <f>IFERROR(IF(INDEX(ERP資料!$E:$E, (MATCH(699, 輔助計算!$G$2:$G$801, 0)+1))="","",TRIM(INDEX(ERP資料!$E:$E, (MATCH(699, 輔助計算!$G$2:$G$801, 0)+1)))), "")</f>
        <v/>
      </c>
      <c r="G700" s="10">
        <f>IFERROR(IF(INDEX(ERP資料!$F:$F, (MATCH(699, 輔助計算!$G$2:$G$801, 0)+1))="","",INDEX(ERP資料!$F:$F, (MATCH(699, 輔助計算!$G$2:$G$801, 0)+1))), "")</f>
        <v/>
      </c>
      <c r="H700" s="10">
        <f>IFERROR(IF(INDEX(ERP資料!$G:$G, (MATCH(699, 輔助計算!$G$2:$G$801, 0)+1))="","",INDEX(ERP資料!$G:$G, (MATCH(699, 輔助計算!$G$2:$G$801, 0)+1))), "")</f>
        <v/>
      </c>
      <c r="I700" s="15">
        <f>IFERROR(INDEX(輔助計算!$D:$D, (MATCH(699, 輔助計算!$G$2:$G$801, 0)+1)), "")</f>
        <v/>
      </c>
      <c r="J700" s="15">
        <f>IFERROR(IF(AND(INDEX(輔助計算!$D:$D, (MATCH(699, 輔助計算!$G$2:$G$801, 0)+1))&lt;&gt;"", INDEX(ERP資料!$G:$G, (MATCH(699, 輔助計算!$G$2:$G$801, 0)+1))&lt;&gt;""), TRIM(IF(INT(INDEX(輔助計算!$D:$D, (MATCH(699, 輔助計算!$G$2:$G$801, 0)+1))/IF(INDEX(ERP資料!$G:$G, (MATCH(699, 輔助計算!$G$2:$G$801, 0)+1))&lt;100, IF(INDEX(ERP資料!$G:$G, (MATCH(699, 輔助計算!$G$2:$G$801, 0)+1))&lt;=31,3,IF(INDEX(ERP資料!$G:$G, (MATCH(699, 輔助計算!$G$2:$G$801, 0)+1))&lt;=46.5,2,1)), IF(INDEX(ERP資料!$G:$G, (MATCH(699, 輔助計算!$G$2:$G$801, 0)+1))&lt;=790,3,IF(INDEX(ERP資料!$G:$G, (MATCH(699, 輔助計算!$G$2:$G$801, 0)+1))&lt;=1181,2,1))))&gt;0, IF(IF(INDEX(ERP資料!$G:$G, (MATCH(699, 輔助計算!$G$2:$G$801, 0)+1))&lt;100, IF(INDEX(ERP資料!$G:$G, (MATCH(699, 輔助計算!$G$2:$G$801, 0)+1))&lt;=31,3,IF(INDEX(ERP資料!$G:$G, (MATCH(699, 輔助計算!$G$2:$G$801, 0)+1))&lt;=46.5,2,1)), IF(INDEX(ERP資料!$G:$G, (MATCH(699, 輔助計算!$G$2:$G$801, 0)+1))&lt;=790,3,IF(INDEX(ERP資料!$G:$G, (MATCH(699, 輔助計算!$G$2:$G$801, 0)+1))&lt;=1181,2,1)))=1,TEXT(INDEX(ERP資料!$G:$G, (MATCH(699, 輔助計算!$G$2:$G$801, 0)+1)),"0.##"),IF(IF(INDEX(ERP資料!$G:$G, (MATCH(699, 輔助計算!$G$2:$G$801, 0)+1))&lt;100, IF(INDEX(ERP資料!$G:$G, (MATCH(699, 輔助計算!$G$2:$G$801, 0)+1))&lt;=31,3,IF(INDEX(ERP資料!$G:$G, (MATCH(699, 輔助計算!$G$2:$G$801, 0)+1))&lt;=46.5,2,1)), IF(INDEX(ERP資料!$G:$G, (MATCH(699, 輔助計算!$G$2:$G$801, 0)+1))&lt;=790,3,IF(INDEX(ERP資料!$G:$G, (MATCH(699, 輔助計算!$G$2:$G$801, 0)+1))&lt;=1181,2,1)))=2,TEXT(INDEX(ERP資料!$G:$G, (MATCH(699, 輔助計算!$G$2:$G$801, 0)+1)),"0.##")&amp;"+"&amp;TEXT(INDEX(ERP資料!$G:$G, (MATCH(699, 輔助計算!$G$2:$G$801, 0)+1)),"0.##"),TEXT(INDEX(ERP資料!$G:$G, (MATCH(699, 輔助計算!$G$2:$G$801, 0)+1)),"0.##")&amp;"+"&amp;TEXT(INDEX(ERP資料!$G:$G, (MATCH(699, 輔助計算!$G$2:$G$801, 0)+1)),"0.##")&amp;"+"&amp;TEXT(INDEX(ERP資料!$G:$G, (MATCH(699, 輔助計算!$G$2:$G$801, 0)+1)),"0.##")))&amp;"-"&amp;INT(INDEX(輔助計算!$D:$D, (MATCH(699, 輔助計算!$G$2:$G$801, 0)+1))/IF(INDEX(ERP資料!$G:$G, (MATCH(699, 輔助計算!$G$2:$G$801, 0)+1))&lt;100, IF(INDEX(ERP資料!$G:$G, (MATCH(699, 輔助計算!$G$2:$G$801, 0)+1))&lt;=31,3,IF(INDEX(ERP資料!$G:$G, (MATCH(699, 輔助計算!$G$2:$G$801, 0)+1))&lt;=46.5,2,1)), IF(INDEX(ERP資料!$G:$G, (MATCH(699, 輔助計算!$G$2:$G$801, 0)+1))&lt;=790,3,IF(INDEX(ERP資料!$G:$G, (MATCH(699, 輔助計算!$G$2:$G$801, 0)+1))&lt;=1181,2,1)))), "")&amp;IF(AND(IF(INT(INDEX(輔助計算!$D:$D, (MATCH(699, 輔助計算!$G$2:$G$801, 0)+1))/IF(INDEX(ERP資料!$G:$G, (MATCH(699, 輔助計算!$G$2:$G$801, 0)+1))&lt;100, IF(INDEX(ERP資料!$G:$G, (MATCH(699, 輔助計算!$G$2:$G$801, 0)+1))&lt;=31,3,IF(INDEX(ERP資料!$G:$G, (MATCH(699, 輔助計算!$G$2:$G$801, 0)+1))&lt;=46.5,2,1)), IF(INDEX(ERP資料!$G:$G, (MATCH(699, 輔助計算!$G$2:$G$801, 0)+1))&lt;=790,3,IF(INDEX(ERP資料!$G:$G, (MATCH(699, 輔助計算!$G$2:$G$801, 0)+1))&lt;=1181,2,1))))&gt;0, IF(IF(INDEX(ERP資料!$G:$G, (MATCH(699, 輔助計算!$G$2:$G$801, 0)+1))&lt;100, IF(INDEX(ERP資料!$G:$G, (MATCH(699, 輔助計算!$G$2:$G$801, 0)+1))&lt;=31,3,IF(INDEX(ERP資料!$G:$G, (MATCH(699, 輔助計算!$G$2:$G$801, 0)+1))&lt;=46.5,2,1)), IF(INDEX(ERP資料!$G:$G, (MATCH(699, 輔助計算!$G$2:$G$801, 0)+1))&lt;=790,3,IF(INDEX(ERP資料!$G:$G, (MATCH(699, 輔助計算!$G$2:$G$801, 0)+1))&lt;=1181,2,1)))=1,TEXT(INDEX(ERP資料!$G:$G, (MATCH(699, 輔助計算!$G$2:$G$801, 0)+1)),"0.##"),IF(IF(INDEX(ERP資料!$G:$G, (MATCH(699, 輔助計算!$G$2:$G$801, 0)+1))&lt;100, IF(INDEX(ERP資料!$G:$G, (MATCH(699, 輔助計算!$G$2:$G$801, 0)+1))&lt;=31,3,IF(INDEX(ERP資料!$G:$G, (MATCH(699, 輔助計算!$G$2:$G$801, 0)+1))&lt;=46.5,2,1)), IF(INDEX(ERP資料!$G:$G, (MATCH(699, 輔助計算!$G$2:$G$801, 0)+1))&lt;=790,3,IF(INDEX(ERP資料!$G:$G, (MATCH(699, 輔助計算!$G$2:$G$801, 0)+1))&lt;=1181,2,1)))=2,TEXT(INDEX(ERP資料!$G:$G, (MATCH(699, 輔助計算!$G$2:$G$801, 0)+1)),"0.##")&amp;"+"&amp;TEXT(INDEX(ERP資料!$G:$G, (MATCH(699, 輔助計算!$G$2:$G$801, 0)+1)),"0.##"),TEXT(INDEX(ERP資料!$G:$G, (MATCH(699, 輔助計算!$G$2:$G$801, 0)+1)),"0.##")&amp;"+"&amp;TEXT(INDEX(ERP資料!$G:$G, (MATCH(699, 輔助計算!$G$2:$G$801, 0)+1)),"0.##")&amp;"+"&amp;TEXT(INDEX(ERP資料!$G:$G, (MATCH(699, 輔助計算!$G$2:$G$801, 0)+1)),"0.##")))&amp;"-"&amp;INT(INDEX(輔助計算!$D:$D, (MATCH(699, 輔助計算!$G$2:$G$801, 0)+1))/IF(INDEX(ERP資料!$G:$G, (MATCH(699, 輔助計算!$G$2:$G$801, 0)+1))&lt;100, IF(INDEX(ERP資料!$G:$G, (MATCH(699, 輔助計算!$G$2:$G$801, 0)+1))&lt;=31,3,IF(INDEX(ERP資料!$G:$G, (MATCH(699, 輔助計算!$G$2:$G$801, 0)+1))&lt;=46.5,2,1)), IF(INDEX(ERP資料!$G:$G, (MATCH(699, 輔助計算!$G$2:$G$801, 0)+1))&lt;=790,3,IF(INDEX(ERP資料!$G:$G, (MATCH(699, 輔助計算!$G$2:$G$801, 0)+1))&lt;=1181,2,1)))), "")&lt;&gt;"",IF(MOD(INDEX(輔助計算!$D:$D, (MATCH(699, 輔助計算!$G$2:$G$801, 0)+1)),IF(INDEX(ERP資料!$G:$G, (MATCH(699, 輔助計算!$G$2:$G$801, 0)+1))&lt;100, IF(INDEX(ERP資料!$G:$G, (MATCH(699, 輔助計算!$G$2:$G$801, 0)+1))&lt;=31,3,IF(INDEX(ERP資料!$G:$G, (MATCH(699, 輔助計算!$G$2:$G$801, 0)+1))&lt;=46.5,2,1)), IF(INDEX(ERP資料!$G:$G, (MATCH(699, 輔助計算!$G$2:$G$801, 0)+1))&lt;=790,3,IF(INDEX(ERP資料!$G:$G, (MATCH(699, 輔助計算!$G$2:$G$801, 0)+1))&lt;=1181,2,1))))=0,"",IF(MOD(INDEX(輔助計算!$D:$D, (MATCH(699, 輔助計算!$G$2:$G$801, 0)+1)),IF(INDEX(ERP資料!$G:$G, (MATCH(699, 輔助計算!$G$2:$G$801, 0)+1))&lt;100, IF(INDEX(ERP資料!$G:$G, (MATCH(699, 輔助計算!$G$2:$G$801, 0)+1))&lt;=31,3,IF(INDEX(ERP資料!$G:$G, (MATCH(699, 輔助計算!$G$2:$G$801, 0)+1))&lt;=46.5,2,1)), IF(INDEX(ERP資料!$G:$G, (MATCH(699, 輔助計算!$G$2:$G$801, 0)+1))&lt;=790,3,IF(INDEX(ERP資料!$G:$G, (MATCH(699, 輔助計算!$G$2:$G$801, 0)+1))&lt;=1181,2,1))))=0,"",IF(MOD(INDEX(輔助計算!$D:$D, (MATCH(699, 輔助計算!$G$2:$G$801, 0)+1)),IF(INDEX(ERP資料!$G:$G, (MATCH(699, 輔助計算!$G$2:$G$801, 0)+1))&lt;100, IF(INDEX(ERP資料!$G:$G, (MATCH(699, 輔助計算!$G$2:$G$801, 0)+1))&lt;=31,3,IF(INDEX(ERP資料!$G:$G, (MATCH(699, 輔助計算!$G$2:$G$801, 0)+1))&lt;=46.5,2,1)), IF(INDEX(ERP資料!$G:$G, (MATCH(699, 輔助計算!$G$2:$G$801, 0)+1))&lt;=790,3,IF(INDEX(ERP資料!$G:$G, (MATCH(699, 輔助計算!$G$2:$G$801, 0)+1))&lt;=1181,2,1))))=1,TEXT(INDEX(ERP資料!$G:$G, (MATCH(699, 輔助計算!$G$2:$G$801, 0)+1)),"0.##"),IF(MOD(INDEX(輔助計算!$D:$D, (MATCH(699, 輔助計算!$G$2:$G$801, 0)+1)),IF(INDEX(ERP資料!$G:$G, (MATCH(699, 輔助計算!$G$2:$G$801, 0)+1))&lt;100, IF(INDEX(ERP資料!$G:$G, (MATCH(699, 輔助計算!$G$2:$G$801, 0)+1))&lt;=31,3,IF(INDEX(ERP資料!$G:$G, (MATCH(699, 輔助計算!$G$2:$G$801, 0)+1))&lt;=46.5,2,1)), IF(INDEX(ERP資料!$G:$G, (MATCH(699, 輔助計算!$G$2:$G$801, 0)+1))&lt;=790,3,IF(INDEX(ERP資料!$G:$G, (MATCH(699, 輔助計算!$G$2:$G$801, 0)+1))&lt;=1181,2,1))))=2,TEXT(INDEX(ERP資料!$G:$G, (MATCH(699, 輔助計算!$G$2:$G$801, 0)+1)),"0.##")&amp;"+"&amp;TEXT(INDEX(ERP資料!$G:$G, (MATCH(699, 輔助計算!$G$2:$G$801, 0)+1)),"0.##"),TEXT(INDEX(ERP資料!$G:$G, (MATCH(699, 輔助計算!$G$2:$G$801, 0)+1)),"0.##")&amp;"+"&amp;TEXT(INDEX(ERP資料!$G:$G, (MATCH(699, 輔助計算!$G$2:$G$801, 0)+1)),"0.##")&amp;"+"&amp;TEXT(INDEX(ERP資料!$G:$G, (MATCH(699, 輔助計算!$G$2:$G$801, 0)+1)),"0.##"))))&amp;"-1")&lt;&gt;""),"  ","")&amp;IF(MOD(INDEX(輔助計算!$D:$D, (MATCH(699, 輔助計算!$G$2:$G$801, 0)+1)),IF(INDEX(ERP資料!$G:$G, (MATCH(699, 輔助計算!$G$2:$G$801, 0)+1))&lt;100, IF(INDEX(ERP資料!$G:$G, (MATCH(699, 輔助計算!$G$2:$G$801, 0)+1))&lt;=31,3,IF(INDEX(ERP資料!$G:$G, (MATCH(699, 輔助計算!$G$2:$G$801, 0)+1))&lt;=46.5,2,1)), IF(INDEX(ERP資料!$G:$G, (MATCH(699, 輔助計算!$G$2:$G$801, 0)+1))&lt;=790,3,IF(INDEX(ERP資料!$G:$G, (MATCH(699, 輔助計算!$G$2:$G$801, 0)+1))&lt;=1181,2,1))))=0,"",IF(MOD(INDEX(輔助計算!$D:$D, (MATCH(699, 輔助計算!$G$2:$G$801, 0)+1)),IF(INDEX(ERP資料!$G:$G, (MATCH(699, 輔助計算!$G$2:$G$801, 0)+1))&lt;100, IF(INDEX(ERP資料!$G:$G, (MATCH(699, 輔助計算!$G$2:$G$801, 0)+1))&lt;=31,3,IF(INDEX(ERP資料!$G:$G, (MATCH(699, 輔助計算!$G$2:$G$801, 0)+1))&lt;=46.5,2,1)), IF(INDEX(ERP資料!$G:$G, (MATCH(699, 輔助計算!$G$2:$G$801, 0)+1))&lt;=790,3,IF(INDEX(ERP資料!$G:$G, (MATCH(699, 輔助計算!$G$2:$G$801, 0)+1))&lt;=1181,2,1))))=0,"",IF(MOD(INDEX(輔助計算!$D:$D, (MATCH(699, 輔助計算!$G$2:$G$801, 0)+1)),IF(INDEX(ERP資料!$G:$G, (MATCH(699, 輔助計算!$G$2:$G$801, 0)+1))&lt;100, IF(INDEX(ERP資料!$G:$G, (MATCH(699, 輔助計算!$G$2:$G$801, 0)+1))&lt;=31,3,IF(INDEX(ERP資料!$G:$G, (MATCH(699, 輔助計算!$G$2:$G$801, 0)+1))&lt;=46.5,2,1)), IF(INDEX(ERP資料!$G:$G, (MATCH(699, 輔助計算!$G$2:$G$801, 0)+1))&lt;=790,3,IF(INDEX(ERP資料!$G:$G, (MATCH(699, 輔助計算!$G$2:$G$801, 0)+1))&lt;=1181,2,1))))=1,TEXT(INDEX(ERP資料!$G:$G, (MATCH(699, 輔助計算!$G$2:$G$801, 0)+1)),"0.##"),IF(MOD(INDEX(輔助計算!$D:$D, (MATCH(699, 輔助計算!$G$2:$G$801, 0)+1)),IF(INDEX(ERP資料!$G:$G, (MATCH(699, 輔助計算!$G$2:$G$801, 0)+1))&lt;100, IF(INDEX(ERP資料!$G:$G, (MATCH(699, 輔助計算!$G$2:$G$801, 0)+1))&lt;=31,3,IF(INDEX(ERP資料!$G:$G, (MATCH(699, 輔助計算!$G$2:$G$801, 0)+1))&lt;=46.5,2,1)), IF(INDEX(ERP資料!$G:$G, (MATCH(699, 輔助計算!$G$2:$G$801, 0)+1))&lt;=790,3,IF(INDEX(ERP資料!$G:$G, (MATCH(699, 輔助計算!$G$2:$G$801, 0)+1))&lt;=1181,2,1))))=2,TEXT(INDEX(ERP資料!$G:$G, (MATCH(699, 輔助計算!$G$2:$G$801, 0)+1)),"0.##")&amp;"+"&amp;TEXT(INDEX(ERP資料!$G:$G, (MATCH(699, 輔助計算!$G$2:$G$801, 0)+1)),"0.##"),TEXT(INDEX(ERP資料!$G:$G, (MATCH(699, 輔助計算!$G$2:$G$801, 0)+1)),"0.##")&amp;"+"&amp;TEXT(INDEX(ERP資料!$G:$G, (MATCH(699, 輔助計算!$G$2:$G$801, 0)+1)),"0.##")&amp;"+"&amp;TEXT(INDEX(ERP資料!$G:$G, (MATCH(699, 輔助計算!$G$2:$G$801, 0)+1)),"0.##"))))&amp;"-1")), ""), "")</f>
        <v/>
      </c>
      <c r="K700" s="16" t="n"/>
      <c r="L700" s="14">
        <f>IFERROR(IF(AND(IFERROR(INDEX(ERP資料!$A:$A, (MATCH(699, 輔助計算!$G$2:$G$801, 0)+1)), "")&lt;&gt;"", IFERROR(INDEX(ERP資料!$A:$A, (MATCH(699, 輔助計算!$G$2:$G$801, 0)+1)), "")&lt;&gt;IFERROR(INDEX(ERP資料!$A:$A, MATCH(698, 輔助計算!$G$2:$G$801, 0)+1), "")), INDEX(ERP資料!$B:$B, (MATCH(699, 輔助計算!$G$2:$G$801, 0)+1)), ""), "")</f>
        <v/>
      </c>
      <c r="M700" s="17" t="n"/>
    </row>
    <row r="701">
      <c r="A701" s="10">
        <f>IFERROR(IF(AND(IFERROR(INDEX(ERP資料!$A:$A, (MATCH(700, 輔助計算!$G$2:$G$801, 0)+1)), "")&lt;&gt;"", IFERROR(INDEX(ERP資料!$A:$A, (MATCH(700, 輔助計算!$G$2:$G$801, 0)+1)), "")&lt;&gt;IFERROR(INDEX(ERP資料!$A:$A, MATCH(699, 輔助計算!$G$2:$G$801, 0)+1), "")), IFERROR(INDEX(ERP資料!$A:$A, (MATCH(700, 輔助計算!$G$2:$G$801, 0)+1)), ""), ""), "")</f>
        <v/>
      </c>
      <c r="B701" s="10">
        <f>IFERROR(IF(AND(IFERROR(INDEX(ERP資料!$A:$A, (MATCH(700, 輔助計算!$G$2:$G$801, 0)+1)), "")&lt;&gt;"", IFERROR(INDEX(ERP資料!$A:$A, (MATCH(700, 輔助計算!$G$2:$G$801, 0)+1)), "")&lt;&gt;IFERROR(INDEX(ERP資料!$A:$A, MATCH(699, 輔助計算!$G$2:$G$801, 0)+1), "")), INDEX(ERP資料!$S:$S, (MATCH(700, 輔助計算!$G$2:$G$801, 0)+1)), ""), "")</f>
        <v/>
      </c>
      <c r="C701" s="19">
        <f>IFERROR(IF(AND(IFERROR(INDEX(ERP資料!$A:$A, (MATCH(700, 輔助計算!$G$2:$G$801, 0)+1)), "")&lt;&gt;"", IFERROR(INDEX(ERP資料!$A:$A, (MATCH(700, 輔助計算!$G$2:$G$801, 0)+1)), "")&lt;&gt;IFERROR(INDEX(ERP資料!$A:$A, MATCH(699, 輔助計算!$G$2:$G$801, 0)+1), "")), IFERROR(VLOOKUP(LEFT(INDEX(ERP資料!$S:$S, (MATCH(700, 輔助計算!$G$2:$G$801, 0)+1)), 4), 紙管對照表!$A:$C, 3, FALSE), ""), ""), "")</f>
        <v/>
      </c>
      <c r="D701" s="16" t="n"/>
      <c r="E701" s="10">
        <f>IFERROR(IF(INDEX(ERP資料!$H:$H, (MATCH(700, 輔助計算!$G$2:$G$801, 0)+1))="","",INDEX(ERP資料!$H:$H, (MATCH(700, 輔助計算!$G$2:$G$801, 0)+1))), "")</f>
        <v/>
      </c>
      <c r="F701" s="10">
        <f>IFERROR(IF(INDEX(ERP資料!$E:$E, (MATCH(700, 輔助計算!$G$2:$G$801, 0)+1))="","",TRIM(INDEX(ERP資料!$E:$E, (MATCH(700, 輔助計算!$G$2:$G$801, 0)+1)))), "")</f>
        <v/>
      </c>
      <c r="G701" s="10">
        <f>IFERROR(IF(INDEX(ERP資料!$F:$F, (MATCH(700, 輔助計算!$G$2:$G$801, 0)+1))="","",INDEX(ERP資料!$F:$F, (MATCH(700, 輔助計算!$G$2:$G$801, 0)+1))), "")</f>
        <v/>
      </c>
      <c r="H701" s="10">
        <f>IFERROR(IF(INDEX(ERP資料!$G:$G, (MATCH(700, 輔助計算!$G$2:$G$801, 0)+1))="","",INDEX(ERP資料!$G:$G, (MATCH(700, 輔助計算!$G$2:$G$801, 0)+1))), "")</f>
        <v/>
      </c>
      <c r="I701" s="15">
        <f>IFERROR(INDEX(輔助計算!$D:$D, (MATCH(700, 輔助計算!$G$2:$G$801, 0)+1)), "")</f>
        <v/>
      </c>
      <c r="J701" s="15">
        <f>IFERROR(IF(AND(INDEX(輔助計算!$D:$D, (MATCH(700, 輔助計算!$G$2:$G$801, 0)+1))&lt;&gt;"", INDEX(ERP資料!$G:$G, (MATCH(700, 輔助計算!$G$2:$G$801, 0)+1))&lt;&gt;""), TRIM(IF(INT(INDEX(輔助計算!$D:$D, (MATCH(700, 輔助計算!$G$2:$G$801, 0)+1))/IF(INDEX(ERP資料!$G:$G, (MATCH(700, 輔助計算!$G$2:$G$801, 0)+1))&lt;100, IF(INDEX(ERP資料!$G:$G, (MATCH(700, 輔助計算!$G$2:$G$801, 0)+1))&lt;=31,3,IF(INDEX(ERP資料!$G:$G, (MATCH(700, 輔助計算!$G$2:$G$801, 0)+1))&lt;=46.5,2,1)), IF(INDEX(ERP資料!$G:$G, (MATCH(700, 輔助計算!$G$2:$G$801, 0)+1))&lt;=790,3,IF(INDEX(ERP資料!$G:$G, (MATCH(700, 輔助計算!$G$2:$G$801, 0)+1))&lt;=1181,2,1))))&gt;0, IF(IF(INDEX(ERP資料!$G:$G, (MATCH(700, 輔助計算!$G$2:$G$801, 0)+1))&lt;100, IF(INDEX(ERP資料!$G:$G, (MATCH(700, 輔助計算!$G$2:$G$801, 0)+1))&lt;=31,3,IF(INDEX(ERP資料!$G:$G, (MATCH(700, 輔助計算!$G$2:$G$801, 0)+1))&lt;=46.5,2,1)), IF(INDEX(ERP資料!$G:$G, (MATCH(700, 輔助計算!$G$2:$G$801, 0)+1))&lt;=790,3,IF(INDEX(ERP資料!$G:$G, (MATCH(700, 輔助計算!$G$2:$G$801, 0)+1))&lt;=1181,2,1)))=1,TEXT(INDEX(ERP資料!$G:$G, (MATCH(700, 輔助計算!$G$2:$G$801, 0)+1)),"0.##"),IF(IF(INDEX(ERP資料!$G:$G, (MATCH(700, 輔助計算!$G$2:$G$801, 0)+1))&lt;100, IF(INDEX(ERP資料!$G:$G, (MATCH(700, 輔助計算!$G$2:$G$801, 0)+1))&lt;=31,3,IF(INDEX(ERP資料!$G:$G, (MATCH(700, 輔助計算!$G$2:$G$801, 0)+1))&lt;=46.5,2,1)), IF(INDEX(ERP資料!$G:$G, (MATCH(700, 輔助計算!$G$2:$G$801, 0)+1))&lt;=790,3,IF(INDEX(ERP資料!$G:$G, (MATCH(700, 輔助計算!$G$2:$G$801, 0)+1))&lt;=1181,2,1)))=2,TEXT(INDEX(ERP資料!$G:$G, (MATCH(700, 輔助計算!$G$2:$G$801, 0)+1)),"0.##")&amp;"+"&amp;TEXT(INDEX(ERP資料!$G:$G, (MATCH(700, 輔助計算!$G$2:$G$801, 0)+1)),"0.##"),TEXT(INDEX(ERP資料!$G:$G, (MATCH(700, 輔助計算!$G$2:$G$801, 0)+1)),"0.##")&amp;"+"&amp;TEXT(INDEX(ERP資料!$G:$G, (MATCH(700, 輔助計算!$G$2:$G$801, 0)+1)),"0.##")&amp;"+"&amp;TEXT(INDEX(ERP資料!$G:$G, (MATCH(700, 輔助計算!$G$2:$G$801, 0)+1)),"0.##")))&amp;"-"&amp;INT(INDEX(輔助計算!$D:$D, (MATCH(700, 輔助計算!$G$2:$G$801, 0)+1))/IF(INDEX(ERP資料!$G:$G, (MATCH(700, 輔助計算!$G$2:$G$801, 0)+1))&lt;100, IF(INDEX(ERP資料!$G:$G, (MATCH(700, 輔助計算!$G$2:$G$801, 0)+1))&lt;=31,3,IF(INDEX(ERP資料!$G:$G, (MATCH(700, 輔助計算!$G$2:$G$801, 0)+1))&lt;=46.5,2,1)), IF(INDEX(ERP資料!$G:$G, (MATCH(700, 輔助計算!$G$2:$G$801, 0)+1))&lt;=790,3,IF(INDEX(ERP資料!$G:$G, (MATCH(700, 輔助計算!$G$2:$G$801, 0)+1))&lt;=1181,2,1)))), "")&amp;IF(AND(IF(INT(INDEX(輔助計算!$D:$D, (MATCH(700, 輔助計算!$G$2:$G$801, 0)+1))/IF(INDEX(ERP資料!$G:$G, (MATCH(700, 輔助計算!$G$2:$G$801, 0)+1))&lt;100, IF(INDEX(ERP資料!$G:$G, (MATCH(700, 輔助計算!$G$2:$G$801, 0)+1))&lt;=31,3,IF(INDEX(ERP資料!$G:$G, (MATCH(700, 輔助計算!$G$2:$G$801, 0)+1))&lt;=46.5,2,1)), IF(INDEX(ERP資料!$G:$G, (MATCH(700, 輔助計算!$G$2:$G$801, 0)+1))&lt;=790,3,IF(INDEX(ERP資料!$G:$G, (MATCH(700, 輔助計算!$G$2:$G$801, 0)+1))&lt;=1181,2,1))))&gt;0, IF(IF(INDEX(ERP資料!$G:$G, (MATCH(700, 輔助計算!$G$2:$G$801, 0)+1))&lt;100, IF(INDEX(ERP資料!$G:$G, (MATCH(700, 輔助計算!$G$2:$G$801, 0)+1))&lt;=31,3,IF(INDEX(ERP資料!$G:$G, (MATCH(700, 輔助計算!$G$2:$G$801, 0)+1))&lt;=46.5,2,1)), IF(INDEX(ERP資料!$G:$G, (MATCH(700, 輔助計算!$G$2:$G$801, 0)+1))&lt;=790,3,IF(INDEX(ERP資料!$G:$G, (MATCH(700, 輔助計算!$G$2:$G$801, 0)+1))&lt;=1181,2,1)))=1,TEXT(INDEX(ERP資料!$G:$G, (MATCH(700, 輔助計算!$G$2:$G$801, 0)+1)),"0.##"),IF(IF(INDEX(ERP資料!$G:$G, (MATCH(700, 輔助計算!$G$2:$G$801, 0)+1))&lt;100, IF(INDEX(ERP資料!$G:$G, (MATCH(700, 輔助計算!$G$2:$G$801, 0)+1))&lt;=31,3,IF(INDEX(ERP資料!$G:$G, (MATCH(700, 輔助計算!$G$2:$G$801, 0)+1))&lt;=46.5,2,1)), IF(INDEX(ERP資料!$G:$G, (MATCH(700, 輔助計算!$G$2:$G$801, 0)+1))&lt;=790,3,IF(INDEX(ERP資料!$G:$G, (MATCH(700, 輔助計算!$G$2:$G$801, 0)+1))&lt;=1181,2,1)))=2,TEXT(INDEX(ERP資料!$G:$G, (MATCH(700, 輔助計算!$G$2:$G$801, 0)+1)),"0.##")&amp;"+"&amp;TEXT(INDEX(ERP資料!$G:$G, (MATCH(700, 輔助計算!$G$2:$G$801, 0)+1)),"0.##"),TEXT(INDEX(ERP資料!$G:$G, (MATCH(700, 輔助計算!$G$2:$G$801, 0)+1)),"0.##")&amp;"+"&amp;TEXT(INDEX(ERP資料!$G:$G, (MATCH(700, 輔助計算!$G$2:$G$801, 0)+1)),"0.##")&amp;"+"&amp;TEXT(INDEX(ERP資料!$G:$G, (MATCH(700, 輔助計算!$G$2:$G$801, 0)+1)),"0.##")))&amp;"-"&amp;INT(INDEX(輔助計算!$D:$D, (MATCH(700, 輔助計算!$G$2:$G$801, 0)+1))/IF(INDEX(ERP資料!$G:$G, (MATCH(700, 輔助計算!$G$2:$G$801, 0)+1))&lt;100, IF(INDEX(ERP資料!$G:$G, (MATCH(700, 輔助計算!$G$2:$G$801, 0)+1))&lt;=31,3,IF(INDEX(ERP資料!$G:$G, (MATCH(700, 輔助計算!$G$2:$G$801, 0)+1))&lt;=46.5,2,1)), IF(INDEX(ERP資料!$G:$G, (MATCH(700, 輔助計算!$G$2:$G$801, 0)+1))&lt;=790,3,IF(INDEX(ERP資料!$G:$G, (MATCH(700, 輔助計算!$G$2:$G$801, 0)+1))&lt;=1181,2,1)))), "")&lt;&gt;"",IF(MOD(INDEX(輔助計算!$D:$D, (MATCH(700, 輔助計算!$G$2:$G$801, 0)+1)),IF(INDEX(ERP資料!$G:$G, (MATCH(700, 輔助計算!$G$2:$G$801, 0)+1))&lt;100, IF(INDEX(ERP資料!$G:$G, (MATCH(700, 輔助計算!$G$2:$G$801, 0)+1))&lt;=31,3,IF(INDEX(ERP資料!$G:$G, (MATCH(700, 輔助計算!$G$2:$G$801, 0)+1))&lt;=46.5,2,1)), IF(INDEX(ERP資料!$G:$G, (MATCH(700, 輔助計算!$G$2:$G$801, 0)+1))&lt;=790,3,IF(INDEX(ERP資料!$G:$G, (MATCH(700, 輔助計算!$G$2:$G$801, 0)+1))&lt;=1181,2,1))))=0,"",IF(MOD(INDEX(輔助計算!$D:$D, (MATCH(700, 輔助計算!$G$2:$G$801, 0)+1)),IF(INDEX(ERP資料!$G:$G, (MATCH(700, 輔助計算!$G$2:$G$801, 0)+1))&lt;100, IF(INDEX(ERP資料!$G:$G, (MATCH(700, 輔助計算!$G$2:$G$801, 0)+1))&lt;=31,3,IF(INDEX(ERP資料!$G:$G, (MATCH(700, 輔助計算!$G$2:$G$801, 0)+1))&lt;=46.5,2,1)), IF(INDEX(ERP資料!$G:$G, (MATCH(700, 輔助計算!$G$2:$G$801, 0)+1))&lt;=790,3,IF(INDEX(ERP資料!$G:$G, (MATCH(700, 輔助計算!$G$2:$G$801, 0)+1))&lt;=1181,2,1))))=0,"",IF(MOD(INDEX(輔助計算!$D:$D, (MATCH(700, 輔助計算!$G$2:$G$801, 0)+1)),IF(INDEX(ERP資料!$G:$G, (MATCH(700, 輔助計算!$G$2:$G$801, 0)+1))&lt;100, IF(INDEX(ERP資料!$G:$G, (MATCH(700, 輔助計算!$G$2:$G$801, 0)+1))&lt;=31,3,IF(INDEX(ERP資料!$G:$G, (MATCH(700, 輔助計算!$G$2:$G$801, 0)+1))&lt;=46.5,2,1)), IF(INDEX(ERP資料!$G:$G, (MATCH(700, 輔助計算!$G$2:$G$801, 0)+1))&lt;=790,3,IF(INDEX(ERP資料!$G:$G, (MATCH(700, 輔助計算!$G$2:$G$801, 0)+1))&lt;=1181,2,1))))=1,TEXT(INDEX(ERP資料!$G:$G, (MATCH(700, 輔助計算!$G$2:$G$801, 0)+1)),"0.##"),IF(MOD(INDEX(輔助計算!$D:$D, (MATCH(700, 輔助計算!$G$2:$G$801, 0)+1)),IF(INDEX(ERP資料!$G:$G, (MATCH(700, 輔助計算!$G$2:$G$801, 0)+1))&lt;100, IF(INDEX(ERP資料!$G:$G, (MATCH(700, 輔助計算!$G$2:$G$801, 0)+1))&lt;=31,3,IF(INDEX(ERP資料!$G:$G, (MATCH(700, 輔助計算!$G$2:$G$801, 0)+1))&lt;=46.5,2,1)), IF(INDEX(ERP資料!$G:$G, (MATCH(700, 輔助計算!$G$2:$G$801, 0)+1))&lt;=790,3,IF(INDEX(ERP資料!$G:$G, (MATCH(700, 輔助計算!$G$2:$G$801, 0)+1))&lt;=1181,2,1))))=2,TEXT(INDEX(ERP資料!$G:$G, (MATCH(700, 輔助計算!$G$2:$G$801, 0)+1)),"0.##")&amp;"+"&amp;TEXT(INDEX(ERP資料!$G:$G, (MATCH(700, 輔助計算!$G$2:$G$801, 0)+1)),"0.##"),TEXT(INDEX(ERP資料!$G:$G, (MATCH(700, 輔助計算!$G$2:$G$801, 0)+1)),"0.##")&amp;"+"&amp;TEXT(INDEX(ERP資料!$G:$G, (MATCH(700, 輔助計算!$G$2:$G$801, 0)+1)),"0.##")&amp;"+"&amp;TEXT(INDEX(ERP資料!$G:$G, (MATCH(700, 輔助計算!$G$2:$G$801, 0)+1)),"0.##"))))&amp;"-1")&lt;&gt;""),"  ","")&amp;IF(MOD(INDEX(輔助計算!$D:$D, (MATCH(700, 輔助計算!$G$2:$G$801, 0)+1)),IF(INDEX(ERP資料!$G:$G, (MATCH(700, 輔助計算!$G$2:$G$801, 0)+1))&lt;100, IF(INDEX(ERP資料!$G:$G, (MATCH(700, 輔助計算!$G$2:$G$801, 0)+1))&lt;=31,3,IF(INDEX(ERP資料!$G:$G, (MATCH(700, 輔助計算!$G$2:$G$801, 0)+1))&lt;=46.5,2,1)), IF(INDEX(ERP資料!$G:$G, (MATCH(700, 輔助計算!$G$2:$G$801, 0)+1))&lt;=790,3,IF(INDEX(ERP資料!$G:$G, (MATCH(700, 輔助計算!$G$2:$G$801, 0)+1))&lt;=1181,2,1))))=0,"",IF(MOD(INDEX(輔助計算!$D:$D, (MATCH(700, 輔助計算!$G$2:$G$801, 0)+1)),IF(INDEX(ERP資料!$G:$G, (MATCH(700, 輔助計算!$G$2:$G$801, 0)+1))&lt;100, IF(INDEX(ERP資料!$G:$G, (MATCH(700, 輔助計算!$G$2:$G$801, 0)+1))&lt;=31,3,IF(INDEX(ERP資料!$G:$G, (MATCH(700, 輔助計算!$G$2:$G$801, 0)+1))&lt;=46.5,2,1)), IF(INDEX(ERP資料!$G:$G, (MATCH(700, 輔助計算!$G$2:$G$801, 0)+1))&lt;=790,3,IF(INDEX(ERP資料!$G:$G, (MATCH(700, 輔助計算!$G$2:$G$801, 0)+1))&lt;=1181,2,1))))=0,"",IF(MOD(INDEX(輔助計算!$D:$D, (MATCH(700, 輔助計算!$G$2:$G$801, 0)+1)),IF(INDEX(ERP資料!$G:$G, (MATCH(700, 輔助計算!$G$2:$G$801, 0)+1))&lt;100, IF(INDEX(ERP資料!$G:$G, (MATCH(700, 輔助計算!$G$2:$G$801, 0)+1))&lt;=31,3,IF(INDEX(ERP資料!$G:$G, (MATCH(700, 輔助計算!$G$2:$G$801, 0)+1))&lt;=46.5,2,1)), IF(INDEX(ERP資料!$G:$G, (MATCH(700, 輔助計算!$G$2:$G$801, 0)+1))&lt;=790,3,IF(INDEX(ERP資料!$G:$G, (MATCH(700, 輔助計算!$G$2:$G$801, 0)+1))&lt;=1181,2,1))))=1,TEXT(INDEX(ERP資料!$G:$G, (MATCH(700, 輔助計算!$G$2:$G$801, 0)+1)),"0.##"),IF(MOD(INDEX(輔助計算!$D:$D, (MATCH(700, 輔助計算!$G$2:$G$801, 0)+1)),IF(INDEX(ERP資料!$G:$G, (MATCH(700, 輔助計算!$G$2:$G$801, 0)+1))&lt;100, IF(INDEX(ERP資料!$G:$G, (MATCH(700, 輔助計算!$G$2:$G$801, 0)+1))&lt;=31,3,IF(INDEX(ERP資料!$G:$G, (MATCH(700, 輔助計算!$G$2:$G$801, 0)+1))&lt;=46.5,2,1)), IF(INDEX(ERP資料!$G:$G, (MATCH(700, 輔助計算!$G$2:$G$801, 0)+1))&lt;=790,3,IF(INDEX(ERP資料!$G:$G, (MATCH(700, 輔助計算!$G$2:$G$801, 0)+1))&lt;=1181,2,1))))=2,TEXT(INDEX(ERP資料!$G:$G, (MATCH(700, 輔助計算!$G$2:$G$801, 0)+1)),"0.##")&amp;"+"&amp;TEXT(INDEX(ERP資料!$G:$G, (MATCH(700, 輔助計算!$G$2:$G$801, 0)+1)),"0.##"),TEXT(INDEX(ERP資料!$G:$G, (MATCH(700, 輔助計算!$G$2:$G$801, 0)+1)),"0.##")&amp;"+"&amp;TEXT(INDEX(ERP資料!$G:$G, (MATCH(700, 輔助計算!$G$2:$G$801, 0)+1)),"0.##")&amp;"+"&amp;TEXT(INDEX(ERP資料!$G:$G, (MATCH(700, 輔助計算!$G$2:$G$801, 0)+1)),"0.##"))))&amp;"-1")), ""), "")</f>
        <v/>
      </c>
      <c r="K701" s="16" t="n"/>
      <c r="L701" s="14">
        <f>IFERROR(IF(AND(IFERROR(INDEX(ERP資料!$A:$A, (MATCH(700, 輔助計算!$G$2:$G$801, 0)+1)), "")&lt;&gt;"", IFERROR(INDEX(ERP資料!$A:$A, (MATCH(700, 輔助計算!$G$2:$G$801, 0)+1)), "")&lt;&gt;IFERROR(INDEX(ERP資料!$A:$A, MATCH(699, 輔助計算!$G$2:$G$801, 0)+1), "")), INDEX(ERP資料!$B:$B, (MATCH(700, 輔助計算!$G$2:$G$801, 0)+1)), ""), "")</f>
        <v/>
      </c>
      <c r="M701" s="17" t="n"/>
    </row>
    <row r="702">
      <c r="A702" s="10">
        <f>IFERROR(IF(AND(IFERROR(INDEX(ERP資料!$A:$A, (MATCH(701, 輔助計算!$G$2:$G$801, 0)+1)), "")&lt;&gt;"", IFERROR(INDEX(ERP資料!$A:$A, (MATCH(701, 輔助計算!$G$2:$G$801, 0)+1)), "")&lt;&gt;IFERROR(INDEX(ERP資料!$A:$A, MATCH(700, 輔助計算!$G$2:$G$801, 0)+1), "")), IFERROR(INDEX(ERP資料!$A:$A, (MATCH(701, 輔助計算!$G$2:$G$801, 0)+1)), ""), ""), "")</f>
        <v/>
      </c>
      <c r="B702" s="10">
        <f>IFERROR(IF(AND(IFERROR(INDEX(ERP資料!$A:$A, (MATCH(701, 輔助計算!$G$2:$G$801, 0)+1)), "")&lt;&gt;"", IFERROR(INDEX(ERP資料!$A:$A, (MATCH(701, 輔助計算!$G$2:$G$801, 0)+1)), "")&lt;&gt;IFERROR(INDEX(ERP資料!$A:$A, MATCH(700, 輔助計算!$G$2:$G$801, 0)+1), "")), INDEX(ERP資料!$S:$S, (MATCH(701, 輔助計算!$G$2:$G$801, 0)+1)), ""), "")</f>
        <v/>
      </c>
      <c r="C702" s="19">
        <f>IFERROR(IF(AND(IFERROR(INDEX(ERP資料!$A:$A, (MATCH(701, 輔助計算!$G$2:$G$801, 0)+1)), "")&lt;&gt;"", IFERROR(INDEX(ERP資料!$A:$A, (MATCH(701, 輔助計算!$G$2:$G$801, 0)+1)), "")&lt;&gt;IFERROR(INDEX(ERP資料!$A:$A, MATCH(700, 輔助計算!$G$2:$G$801, 0)+1), "")), IFERROR(VLOOKUP(LEFT(INDEX(ERP資料!$S:$S, (MATCH(701, 輔助計算!$G$2:$G$801, 0)+1)), 4), 紙管對照表!$A:$C, 3, FALSE), ""), ""), "")</f>
        <v/>
      </c>
      <c r="D702" s="16" t="n"/>
      <c r="E702" s="10">
        <f>IFERROR(IF(INDEX(ERP資料!$H:$H, (MATCH(701, 輔助計算!$G$2:$G$801, 0)+1))="","",INDEX(ERP資料!$H:$H, (MATCH(701, 輔助計算!$G$2:$G$801, 0)+1))), "")</f>
        <v/>
      </c>
      <c r="F702" s="10">
        <f>IFERROR(IF(INDEX(ERP資料!$E:$E, (MATCH(701, 輔助計算!$G$2:$G$801, 0)+1))="","",TRIM(INDEX(ERP資料!$E:$E, (MATCH(701, 輔助計算!$G$2:$G$801, 0)+1)))), "")</f>
        <v/>
      </c>
      <c r="G702" s="10">
        <f>IFERROR(IF(INDEX(ERP資料!$F:$F, (MATCH(701, 輔助計算!$G$2:$G$801, 0)+1))="","",INDEX(ERP資料!$F:$F, (MATCH(701, 輔助計算!$G$2:$G$801, 0)+1))), "")</f>
        <v/>
      </c>
      <c r="H702" s="10">
        <f>IFERROR(IF(INDEX(ERP資料!$G:$G, (MATCH(701, 輔助計算!$G$2:$G$801, 0)+1))="","",INDEX(ERP資料!$G:$G, (MATCH(701, 輔助計算!$G$2:$G$801, 0)+1))), "")</f>
        <v/>
      </c>
      <c r="I702" s="15">
        <f>IFERROR(INDEX(輔助計算!$D:$D, (MATCH(701, 輔助計算!$G$2:$G$801, 0)+1)), "")</f>
        <v/>
      </c>
      <c r="J702" s="15">
        <f>IFERROR(IF(AND(INDEX(輔助計算!$D:$D, (MATCH(701, 輔助計算!$G$2:$G$801, 0)+1))&lt;&gt;"", INDEX(ERP資料!$G:$G, (MATCH(701, 輔助計算!$G$2:$G$801, 0)+1))&lt;&gt;""), TRIM(IF(INT(INDEX(輔助計算!$D:$D, (MATCH(701, 輔助計算!$G$2:$G$801, 0)+1))/IF(INDEX(ERP資料!$G:$G, (MATCH(701, 輔助計算!$G$2:$G$801, 0)+1))&lt;100, IF(INDEX(ERP資料!$G:$G, (MATCH(701, 輔助計算!$G$2:$G$801, 0)+1))&lt;=31,3,IF(INDEX(ERP資料!$G:$G, (MATCH(701, 輔助計算!$G$2:$G$801, 0)+1))&lt;=46.5,2,1)), IF(INDEX(ERP資料!$G:$G, (MATCH(701, 輔助計算!$G$2:$G$801, 0)+1))&lt;=790,3,IF(INDEX(ERP資料!$G:$G, (MATCH(701, 輔助計算!$G$2:$G$801, 0)+1))&lt;=1181,2,1))))&gt;0, IF(IF(INDEX(ERP資料!$G:$G, (MATCH(701, 輔助計算!$G$2:$G$801, 0)+1))&lt;100, IF(INDEX(ERP資料!$G:$G, (MATCH(701, 輔助計算!$G$2:$G$801, 0)+1))&lt;=31,3,IF(INDEX(ERP資料!$G:$G, (MATCH(701, 輔助計算!$G$2:$G$801, 0)+1))&lt;=46.5,2,1)), IF(INDEX(ERP資料!$G:$G, (MATCH(701, 輔助計算!$G$2:$G$801, 0)+1))&lt;=790,3,IF(INDEX(ERP資料!$G:$G, (MATCH(701, 輔助計算!$G$2:$G$801, 0)+1))&lt;=1181,2,1)))=1,TEXT(INDEX(ERP資料!$G:$G, (MATCH(701, 輔助計算!$G$2:$G$801, 0)+1)),"0.##"),IF(IF(INDEX(ERP資料!$G:$G, (MATCH(701, 輔助計算!$G$2:$G$801, 0)+1))&lt;100, IF(INDEX(ERP資料!$G:$G, (MATCH(701, 輔助計算!$G$2:$G$801, 0)+1))&lt;=31,3,IF(INDEX(ERP資料!$G:$G, (MATCH(701, 輔助計算!$G$2:$G$801, 0)+1))&lt;=46.5,2,1)), IF(INDEX(ERP資料!$G:$G, (MATCH(701, 輔助計算!$G$2:$G$801, 0)+1))&lt;=790,3,IF(INDEX(ERP資料!$G:$G, (MATCH(701, 輔助計算!$G$2:$G$801, 0)+1))&lt;=1181,2,1)))=2,TEXT(INDEX(ERP資料!$G:$G, (MATCH(701, 輔助計算!$G$2:$G$801, 0)+1)),"0.##")&amp;"+"&amp;TEXT(INDEX(ERP資料!$G:$G, (MATCH(701, 輔助計算!$G$2:$G$801, 0)+1)),"0.##"),TEXT(INDEX(ERP資料!$G:$G, (MATCH(701, 輔助計算!$G$2:$G$801, 0)+1)),"0.##")&amp;"+"&amp;TEXT(INDEX(ERP資料!$G:$G, (MATCH(701, 輔助計算!$G$2:$G$801, 0)+1)),"0.##")&amp;"+"&amp;TEXT(INDEX(ERP資料!$G:$G, (MATCH(701, 輔助計算!$G$2:$G$801, 0)+1)),"0.##")))&amp;"-"&amp;INT(INDEX(輔助計算!$D:$D, (MATCH(701, 輔助計算!$G$2:$G$801, 0)+1))/IF(INDEX(ERP資料!$G:$G, (MATCH(701, 輔助計算!$G$2:$G$801, 0)+1))&lt;100, IF(INDEX(ERP資料!$G:$G, (MATCH(701, 輔助計算!$G$2:$G$801, 0)+1))&lt;=31,3,IF(INDEX(ERP資料!$G:$G, (MATCH(701, 輔助計算!$G$2:$G$801, 0)+1))&lt;=46.5,2,1)), IF(INDEX(ERP資料!$G:$G, (MATCH(701, 輔助計算!$G$2:$G$801, 0)+1))&lt;=790,3,IF(INDEX(ERP資料!$G:$G, (MATCH(701, 輔助計算!$G$2:$G$801, 0)+1))&lt;=1181,2,1)))), "")&amp;IF(AND(IF(INT(INDEX(輔助計算!$D:$D, (MATCH(701, 輔助計算!$G$2:$G$801, 0)+1))/IF(INDEX(ERP資料!$G:$G, (MATCH(701, 輔助計算!$G$2:$G$801, 0)+1))&lt;100, IF(INDEX(ERP資料!$G:$G, (MATCH(701, 輔助計算!$G$2:$G$801, 0)+1))&lt;=31,3,IF(INDEX(ERP資料!$G:$G, (MATCH(701, 輔助計算!$G$2:$G$801, 0)+1))&lt;=46.5,2,1)), IF(INDEX(ERP資料!$G:$G, (MATCH(701, 輔助計算!$G$2:$G$801, 0)+1))&lt;=790,3,IF(INDEX(ERP資料!$G:$G, (MATCH(701, 輔助計算!$G$2:$G$801, 0)+1))&lt;=1181,2,1))))&gt;0, IF(IF(INDEX(ERP資料!$G:$G, (MATCH(701, 輔助計算!$G$2:$G$801, 0)+1))&lt;100, IF(INDEX(ERP資料!$G:$G, (MATCH(701, 輔助計算!$G$2:$G$801, 0)+1))&lt;=31,3,IF(INDEX(ERP資料!$G:$G, (MATCH(701, 輔助計算!$G$2:$G$801, 0)+1))&lt;=46.5,2,1)), IF(INDEX(ERP資料!$G:$G, (MATCH(701, 輔助計算!$G$2:$G$801, 0)+1))&lt;=790,3,IF(INDEX(ERP資料!$G:$G, (MATCH(701, 輔助計算!$G$2:$G$801, 0)+1))&lt;=1181,2,1)))=1,TEXT(INDEX(ERP資料!$G:$G, (MATCH(701, 輔助計算!$G$2:$G$801, 0)+1)),"0.##"),IF(IF(INDEX(ERP資料!$G:$G, (MATCH(701, 輔助計算!$G$2:$G$801, 0)+1))&lt;100, IF(INDEX(ERP資料!$G:$G, (MATCH(701, 輔助計算!$G$2:$G$801, 0)+1))&lt;=31,3,IF(INDEX(ERP資料!$G:$G, (MATCH(701, 輔助計算!$G$2:$G$801, 0)+1))&lt;=46.5,2,1)), IF(INDEX(ERP資料!$G:$G, (MATCH(701, 輔助計算!$G$2:$G$801, 0)+1))&lt;=790,3,IF(INDEX(ERP資料!$G:$G, (MATCH(701, 輔助計算!$G$2:$G$801, 0)+1))&lt;=1181,2,1)))=2,TEXT(INDEX(ERP資料!$G:$G, (MATCH(701, 輔助計算!$G$2:$G$801, 0)+1)),"0.##")&amp;"+"&amp;TEXT(INDEX(ERP資料!$G:$G, (MATCH(701, 輔助計算!$G$2:$G$801, 0)+1)),"0.##"),TEXT(INDEX(ERP資料!$G:$G, (MATCH(701, 輔助計算!$G$2:$G$801, 0)+1)),"0.##")&amp;"+"&amp;TEXT(INDEX(ERP資料!$G:$G, (MATCH(701, 輔助計算!$G$2:$G$801, 0)+1)),"0.##")&amp;"+"&amp;TEXT(INDEX(ERP資料!$G:$G, (MATCH(701, 輔助計算!$G$2:$G$801, 0)+1)),"0.##")))&amp;"-"&amp;INT(INDEX(輔助計算!$D:$D, (MATCH(701, 輔助計算!$G$2:$G$801, 0)+1))/IF(INDEX(ERP資料!$G:$G, (MATCH(701, 輔助計算!$G$2:$G$801, 0)+1))&lt;100, IF(INDEX(ERP資料!$G:$G, (MATCH(701, 輔助計算!$G$2:$G$801, 0)+1))&lt;=31,3,IF(INDEX(ERP資料!$G:$G, (MATCH(701, 輔助計算!$G$2:$G$801, 0)+1))&lt;=46.5,2,1)), IF(INDEX(ERP資料!$G:$G, (MATCH(701, 輔助計算!$G$2:$G$801, 0)+1))&lt;=790,3,IF(INDEX(ERP資料!$G:$G, (MATCH(701, 輔助計算!$G$2:$G$801, 0)+1))&lt;=1181,2,1)))), "")&lt;&gt;"",IF(MOD(INDEX(輔助計算!$D:$D, (MATCH(701, 輔助計算!$G$2:$G$801, 0)+1)),IF(INDEX(ERP資料!$G:$G, (MATCH(701, 輔助計算!$G$2:$G$801, 0)+1))&lt;100, IF(INDEX(ERP資料!$G:$G, (MATCH(701, 輔助計算!$G$2:$G$801, 0)+1))&lt;=31,3,IF(INDEX(ERP資料!$G:$G, (MATCH(701, 輔助計算!$G$2:$G$801, 0)+1))&lt;=46.5,2,1)), IF(INDEX(ERP資料!$G:$G, (MATCH(701, 輔助計算!$G$2:$G$801, 0)+1))&lt;=790,3,IF(INDEX(ERP資料!$G:$G, (MATCH(701, 輔助計算!$G$2:$G$801, 0)+1))&lt;=1181,2,1))))=0,"",IF(MOD(INDEX(輔助計算!$D:$D, (MATCH(701, 輔助計算!$G$2:$G$801, 0)+1)),IF(INDEX(ERP資料!$G:$G, (MATCH(701, 輔助計算!$G$2:$G$801, 0)+1))&lt;100, IF(INDEX(ERP資料!$G:$G, (MATCH(701, 輔助計算!$G$2:$G$801, 0)+1))&lt;=31,3,IF(INDEX(ERP資料!$G:$G, (MATCH(701, 輔助計算!$G$2:$G$801, 0)+1))&lt;=46.5,2,1)), IF(INDEX(ERP資料!$G:$G, (MATCH(701, 輔助計算!$G$2:$G$801, 0)+1))&lt;=790,3,IF(INDEX(ERP資料!$G:$G, (MATCH(701, 輔助計算!$G$2:$G$801, 0)+1))&lt;=1181,2,1))))=0,"",IF(MOD(INDEX(輔助計算!$D:$D, (MATCH(701, 輔助計算!$G$2:$G$801, 0)+1)),IF(INDEX(ERP資料!$G:$G, (MATCH(701, 輔助計算!$G$2:$G$801, 0)+1))&lt;100, IF(INDEX(ERP資料!$G:$G, (MATCH(701, 輔助計算!$G$2:$G$801, 0)+1))&lt;=31,3,IF(INDEX(ERP資料!$G:$G, (MATCH(701, 輔助計算!$G$2:$G$801, 0)+1))&lt;=46.5,2,1)), IF(INDEX(ERP資料!$G:$G, (MATCH(701, 輔助計算!$G$2:$G$801, 0)+1))&lt;=790,3,IF(INDEX(ERP資料!$G:$G, (MATCH(701, 輔助計算!$G$2:$G$801, 0)+1))&lt;=1181,2,1))))=1,TEXT(INDEX(ERP資料!$G:$G, (MATCH(701, 輔助計算!$G$2:$G$801, 0)+1)),"0.##"),IF(MOD(INDEX(輔助計算!$D:$D, (MATCH(701, 輔助計算!$G$2:$G$801, 0)+1)),IF(INDEX(ERP資料!$G:$G, (MATCH(701, 輔助計算!$G$2:$G$801, 0)+1))&lt;100, IF(INDEX(ERP資料!$G:$G, (MATCH(701, 輔助計算!$G$2:$G$801, 0)+1))&lt;=31,3,IF(INDEX(ERP資料!$G:$G, (MATCH(701, 輔助計算!$G$2:$G$801, 0)+1))&lt;=46.5,2,1)), IF(INDEX(ERP資料!$G:$G, (MATCH(701, 輔助計算!$G$2:$G$801, 0)+1))&lt;=790,3,IF(INDEX(ERP資料!$G:$G, (MATCH(701, 輔助計算!$G$2:$G$801, 0)+1))&lt;=1181,2,1))))=2,TEXT(INDEX(ERP資料!$G:$G, (MATCH(701, 輔助計算!$G$2:$G$801, 0)+1)),"0.##")&amp;"+"&amp;TEXT(INDEX(ERP資料!$G:$G, (MATCH(701, 輔助計算!$G$2:$G$801, 0)+1)),"0.##"),TEXT(INDEX(ERP資料!$G:$G, (MATCH(701, 輔助計算!$G$2:$G$801, 0)+1)),"0.##")&amp;"+"&amp;TEXT(INDEX(ERP資料!$G:$G, (MATCH(701, 輔助計算!$G$2:$G$801, 0)+1)),"0.##")&amp;"+"&amp;TEXT(INDEX(ERP資料!$G:$G, (MATCH(701, 輔助計算!$G$2:$G$801, 0)+1)),"0.##"))))&amp;"-1")&lt;&gt;""),"  ","")&amp;IF(MOD(INDEX(輔助計算!$D:$D, (MATCH(701, 輔助計算!$G$2:$G$801, 0)+1)),IF(INDEX(ERP資料!$G:$G, (MATCH(701, 輔助計算!$G$2:$G$801, 0)+1))&lt;100, IF(INDEX(ERP資料!$G:$G, (MATCH(701, 輔助計算!$G$2:$G$801, 0)+1))&lt;=31,3,IF(INDEX(ERP資料!$G:$G, (MATCH(701, 輔助計算!$G$2:$G$801, 0)+1))&lt;=46.5,2,1)), IF(INDEX(ERP資料!$G:$G, (MATCH(701, 輔助計算!$G$2:$G$801, 0)+1))&lt;=790,3,IF(INDEX(ERP資料!$G:$G, (MATCH(701, 輔助計算!$G$2:$G$801, 0)+1))&lt;=1181,2,1))))=0,"",IF(MOD(INDEX(輔助計算!$D:$D, (MATCH(701, 輔助計算!$G$2:$G$801, 0)+1)),IF(INDEX(ERP資料!$G:$G, (MATCH(701, 輔助計算!$G$2:$G$801, 0)+1))&lt;100, IF(INDEX(ERP資料!$G:$G, (MATCH(701, 輔助計算!$G$2:$G$801, 0)+1))&lt;=31,3,IF(INDEX(ERP資料!$G:$G, (MATCH(701, 輔助計算!$G$2:$G$801, 0)+1))&lt;=46.5,2,1)), IF(INDEX(ERP資料!$G:$G, (MATCH(701, 輔助計算!$G$2:$G$801, 0)+1))&lt;=790,3,IF(INDEX(ERP資料!$G:$G, (MATCH(701, 輔助計算!$G$2:$G$801, 0)+1))&lt;=1181,2,1))))=0,"",IF(MOD(INDEX(輔助計算!$D:$D, (MATCH(701, 輔助計算!$G$2:$G$801, 0)+1)),IF(INDEX(ERP資料!$G:$G, (MATCH(701, 輔助計算!$G$2:$G$801, 0)+1))&lt;100, IF(INDEX(ERP資料!$G:$G, (MATCH(701, 輔助計算!$G$2:$G$801, 0)+1))&lt;=31,3,IF(INDEX(ERP資料!$G:$G, (MATCH(701, 輔助計算!$G$2:$G$801, 0)+1))&lt;=46.5,2,1)), IF(INDEX(ERP資料!$G:$G, (MATCH(701, 輔助計算!$G$2:$G$801, 0)+1))&lt;=790,3,IF(INDEX(ERP資料!$G:$G, (MATCH(701, 輔助計算!$G$2:$G$801, 0)+1))&lt;=1181,2,1))))=1,TEXT(INDEX(ERP資料!$G:$G, (MATCH(701, 輔助計算!$G$2:$G$801, 0)+1)),"0.##"),IF(MOD(INDEX(輔助計算!$D:$D, (MATCH(701, 輔助計算!$G$2:$G$801, 0)+1)),IF(INDEX(ERP資料!$G:$G, (MATCH(701, 輔助計算!$G$2:$G$801, 0)+1))&lt;100, IF(INDEX(ERP資料!$G:$G, (MATCH(701, 輔助計算!$G$2:$G$801, 0)+1))&lt;=31,3,IF(INDEX(ERP資料!$G:$G, (MATCH(701, 輔助計算!$G$2:$G$801, 0)+1))&lt;=46.5,2,1)), IF(INDEX(ERP資料!$G:$G, (MATCH(701, 輔助計算!$G$2:$G$801, 0)+1))&lt;=790,3,IF(INDEX(ERP資料!$G:$G, (MATCH(701, 輔助計算!$G$2:$G$801, 0)+1))&lt;=1181,2,1))))=2,TEXT(INDEX(ERP資料!$G:$G, (MATCH(701, 輔助計算!$G$2:$G$801, 0)+1)),"0.##")&amp;"+"&amp;TEXT(INDEX(ERP資料!$G:$G, (MATCH(701, 輔助計算!$G$2:$G$801, 0)+1)),"0.##"),TEXT(INDEX(ERP資料!$G:$G, (MATCH(701, 輔助計算!$G$2:$G$801, 0)+1)),"0.##")&amp;"+"&amp;TEXT(INDEX(ERP資料!$G:$G, (MATCH(701, 輔助計算!$G$2:$G$801, 0)+1)),"0.##")&amp;"+"&amp;TEXT(INDEX(ERP資料!$G:$G, (MATCH(701, 輔助計算!$G$2:$G$801, 0)+1)),"0.##"))))&amp;"-1")), ""), "")</f>
        <v/>
      </c>
      <c r="K702" s="16" t="n"/>
      <c r="L702" s="14">
        <f>IFERROR(IF(AND(IFERROR(INDEX(ERP資料!$A:$A, (MATCH(701, 輔助計算!$G$2:$G$801, 0)+1)), "")&lt;&gt;"", IFERROR(INDEX(ERP資料!$A:$A, (MATCH(701, 輔助計算!$G$2:$G$801, 0)+1)), "")&lt;&gt;IFERROR(INDEX(ERP資料!$A:$A, MATCH(700, 輔助計算!$G$2:$G$801, 0)+1), "")), INDEX(ERP資料!$B:$B, (MATCH(701, 輔助計算!$G$2:$G$801, 0)+1)), ""), "")</f>
        <v/>
      </c>
      <c r="M702" s="17" t="n"/>
    </row>
    <row r="703">
      <c r="A703" s="10">
        <f>IFERROR(IF(AND(IFERROR(INDEX(ERP資料!$A:$A, (MATCH(702, 輔助計算!$G$2:$G$801, 0)+1)), "")&lt;&gt;"", IFERROR(INDEX(ERP資料!$A:$A, (MATCH(702, 輔助計算!$G$2:$G$801, 0)+1)), "")&lt;&gt;IFERROR(INDEX(ERP資料!$A:$A, MATCH(701, 輔助計算!$G$2:$G$801, 0)+1), "")), IFERROR(INDEX(ERP資料!$A:$A, (MATCH(702, 輔助計算!$G$2:$G$801, 0)+1)), ""), ""), "")</f>
        <v/>
      </c>
      <c r="B703" s="10">
        <f>IFERROR(IF(AND(IFERROR(INDEX(ERP資料!$A:$A, (MATCH(702, 輔助計算!$G$2:$G$801, 0)+1)), "")&lt;&gt;"", IFERROR(INDEX(ERP資料!$A:$A, (MATCH(702, 輔助計算!$G$2:$G$801, 0)+1)), "")&lt;&gt;IFERROR(INDEX(ERP資料!$A:$A, MATCH(701, 輔助計算!$G$2:$G$801, 0)+1), "")), INDEX(ERP資料!$S:$S, (MATCH(702, 輔助計算!$G$2:$G$801, 0)+1)), ""), "")</f>
        <v/>
      </c>
      <c r="C703" s="19">
        <f>IFERROR(IF(AND(IFERROR(INDEX(ERP資料!$A:$A, (MATCH(702, 輔助計算!$G$2:$G$801, 0)+1)), "")&lt;&gt;"", IFERROR(INDEX(ERP資料!$A:$A, (MATCH(702, 輔助計算!$G$2:$G$801, 0)+1)), "")&lt;&gt;IFERROR(INDEX(ERP資料!$A:$A, MATCH(701, 輔助計算!$G$2:$G$801, 0)+1), "")), IFERROR(VLOOKUP(LEFT(INDEX(ERP資料!$S:$S, (MATCH(702, 輔助計算!$G$2:$G$801, 0)+1)), 4), 紙管對照表!$A:$C, 3, FALSE), ""), ""), "")</f>
        <v/>
      </c>
      <c r="D703" s="16" t="n"/>
      <c r="E703" s="10">
        <f>IFERROR(IF(INDEX(ERP資料!$H:$H, (MATCH(702, 輔助計算!$G$2:$G$801, 0)+1))="","",INDEX(ERP資料!$H:$H, (MATCH(702, 輔助計算!$G$2:$G$801, 0)+1))), "")</f>
        <v/>
      </c>
      <c r="F703" s="10">
        <f>IFERROR(IF(INDEX(ERP資料!$E:$E, (MATCH(702, 輔助計算!$G$2:$G$801, 0)+1))="","",TRIM(INDEX(ERP資料!$E:$E, (MATCH(702, 輔助計算!$G$2:$G$801, 0)+1)))), "")</f>
        <v/>
      </c>
      <c r="G703" s="10">
        <f>IFERROR(IF(INDEX(ERP資料!$F:$F, (MATCH(702, 輔助計算!$G$2:$G$801, 0)+1))="","",INDEX(ERP資料!$F:$F, (MATCH(702, 輔助計算!$G$2:$G$801, 0)+1))), "")</f>
        <v/>
      </c>
      <c r="H703" s="10">
        <f>IFERROR(IF(INDEX(ERP資料!$G:$G, (MATCH(702, 輔助計算!$G$2:$G$801, 0)+1))="","",INDEX(ERP資料!$G:$G, (MATCH(702, 輔助計算!$G$2:$G$801, 0)+1))), "")</f>
        <v/>
      </c>
      <c r="I703" s="15">
        <f>IFERROR(INDEX(輔助計算!$D:$D, (MATCH(702, 輔助計算!$G$2:$G$801, 0)+1)), "")</f>
        <v/>
      </c>
      <c r="J703" s="15">
        <f>IFERROR(IF(AND(INDEX(輔助計算!$D:$D, (MATCH(702, 輔助計算!$G$2:$G$801, 0)+1))&lt;&gt;"", INDEX(ERP資料!$G:$G, (MATCH(702, 輔助計算!$G$2:$G$801, 0)+1))&lt;&gt;""), TRIM(IF(INT(INDEX(輔助計算!$D:$D, (MATCH(702, 輔助計算!$G$2:$G$801, 0)+1))/IF(INDEX(ERP資料!$G:$G, (MATCH(702, 輔助計算!$G$2:$G$801, 0)+1))&lt;100, IF(INDEX(ERP資料!$G:$G, (MATCH(702, 輔助計算!$G$2:$G$801, 0)+1))&lt;=31,3,IF(INDEX(ERP資料!$G:$G, (MATCH(702, 輔助計算!$G$2:$G$801, 0)+1))&lt;=46.5,2,1)), IF(INDEX(ERP資料!$G:$G, (MATCH(702, 輔助計算!$G$2:$G$801, 0)+1))&lt;=790,3,IF(INDEX(ERP資料!$G:$G, (MATCH(702, 輔助計算!$G$2:$G$801, 0)+1))&lt;=1181,2,1))))&gt;0, IF(IF(INDEX(ERP資料!$G:$G, (MATCH(702, 輔助計算!$G$2:$G$801, 0)+1))&lt;100, IF(INDEX(ERP資料!$G:$G, (MATCH(702, 輔助計算!$G$2:$G$801, 0)+1))&lt;=31,3,IF(INDEX(ERP資料!$G:$G, (MATCH(702, 輔助計算!$G$2:$G$801, 0)+1))&lt;=46.5,2,1)), IF(INDEX(ERP資料!$G:$G, (MATCH(702, 輔助計算!$G$2:$G$801, 0)+1))&lt;=790,3,IF(INDEX(ERP資料!$G:$G, (MATCH(702, 輔助計算!$G$2:$G$801, 0)+1))&lt;=1181,2,1)))=1,TEXT(INDEX(ERP資料!$G:$G, (MATCH(702, 輔助計算!$G$2:$G$801, 0)+1)),"0.##"),IF(IF(INDEX(ERP資料!$G:$G, (MATCH(702, 輔助計算!$G$2:$G$801, 0)+1))&lt;100, IF(INDEX(ERP資料!$G:$G, (MATCH(702, 輔助計算!$G$2:$G$801, 0)+1))&lt;=31,3,IF(INDEX(ERP資料!$G:$G, (MATCH(702, 輔助計算!$G$2:$G$801, 0)+1))&lt;=46.5,2,1)), IF(INDEX(ERP資料!$G:$G, (MATCH(702, 輔助計算!$G$2:$G$801, 0)+1))&lt;=790,3,IF(INDEX(ERP資料!$G:$G, (MATCH(702, 輔助計算!$G$2:$G$801, 0)+1))&lt;=1181,2,1)))=2,TEXT(INDEX(ERP資料!$G:$G, (MATCH(702, 輔助計算!$G$2:$G$801, 0)+1)),"0.##")&amp;"+"&amp;TEXT(INDEX(ERP資料!$G:$G, (MATCH(702, 輔助計算!$G$2:$G$801, 0)+1)),"0.##"),TEXT(INDEX(ERP資料!$G:$G, (MATCH(702, 輔助計算!$G$2:$G$801, 0)+1)),"0.##")&amp;"+"&amp;TEXT(INDEX(ERP資料!$G:$G, (MATCH(702, 輔助計算!$G$2:$G$801, 0)+1)),"0.##")&amp;"+"&amp;TEXT(INDEX(ERP資料!$G:$G, (MATCH(702, 輔助計算!$G$2:$G$801, 0)+1)),"0.##")))&amp;"-"&amp;INT(INDEX(輔助計算!$D:$D, (MATCH(702, 輔助計算!$G$2:$G$801, 0)+1))/IF(INDEX(ERP資料!$G:$G, (MATCH(702, 輔助計算!$G$2:$G$801, 0)+1))&lt;100, IF(INDEX(ERP資料!$G:$G, (MATCH(702, 輔助計算!$G$2:$G$801, 0)+1))&lt;=31,3,IF(INDEX(ERP資料!$G:$G, (MATCH(702, 輔助計算!$G$2:$G$801, 0)+1))&lt;=46.5,2,1)), IF(INDEX(ERP資料!$G:$G, (MATCH(702, 輔助計算!$G$2:$G$801, 0)+1))&lt;=790,3,IF(INDEX(ERP資料!$G:$G, (MATCH(702, 輔助計算!$G$2:$G$801, 0)+1))&lt;=1181,2,1)))), "")&amp;IF(AND(IF(INT(INDEX(輔助計算!$D:$D, (MATCH(702, 輔助計算!$G$2:$G$801, 0)+1))/IF(INDEX(ERP資料!$G:$G, (MATCH(702, 輔助計算!$G$2:$G$801, 0)+1))&lt;100, IF(INDEX(ERP資料!$G:$G, (MATCH(702, 輔助計算!$G$2:$G$801, 0)+1))&lt;=31,3,IF(INDEX(ERP資料!$G:$G, (MATCH(702, 輔助計算!$G$2:$G$801, 0)+1))&lt;=46.5,2,1)), IF(INDEX(ERP資料!$G:$G, (MATCH(702, 輔助計算!$G$2:$G$801, 0)+1))&lt;=790,3,IF(INDEX(ERP資料!$G:$G, (MATCH(702, 輔助計算!$G$2:$G$801, 0)+1))&lt;=1181,2,1))))&gt;0, IF(IF(INDEX(ERP資料!$G:$G, (MATCH(702, 輔助計算!$G$2:$G$801, 0)+1))&lt;100, IF(INDEX(ERP資料!$G:$G, (MATCH(702, 輔助計算!$G$2:$G$801, 0)+1))&lt;=31,3,IF(INDEX(ERP資料!$G:$G, (MATCH(702, 輔助計算!$G$2:$G$801, 0)+1))&lt;=46.5,2,1)), IF(INDEX(ERP資料!$G:$G, (MATCH(702, 輔助計算!$G$2:$G$801, 0)+1))&lt;=790,3,IF(INDEX(ERP資料!$G:$G, (MATCH(702, 輔助計算!$G$2:$G$801, 0)+1))&lt;=1181,2,1)))=1,TEXT(INDEX(ERP資料!$G:$G, (MATCH(702, 輔助計算!$G$2:$G$801, 0)+1)),"0.##"),IF(IF(INDEX(ERP資料!$G:$G, (MATCH(702, 輔助計算!$G$2:$G$801, 0)+1))&lt;100, IF(INDEX(ERP資料!$G:$G, (MATCH(702, 輔助計算!$G$2:$G$801, 0)+1))&lt;=31,3,IF(INDEX(ERP資料!$G:$G, (MATCH(702, 輔助計算!$G$2:$G$801, 0)+1))&lt;=46.5,2,1)), IF(INDEX(ERP資料!$G:$G, (MATCH(702, 輔助計算!$G$2:$G$801, 0)+1))&lt;=790,3,IF(INDEX(ERP資料!$G:$G, (MATCH(702, 輔助計算!$G$2:$G$801, 0)+1))&lt;=1181,2,1)))=2,TEXT(INDEX(ERP資料!$G:$G, (MATCH(702, 輔助計算!$G$2:$G$801, 0)+1)),"0.##")&amp;"+"&amp;TEXT(INDEX(ERP資料!$G:$G, (MATCH(702, 輔助計算!$G$2:$G$801, 0)+1)),"0.##"),TEXT(INDEX(ERP資料!$G:$G, (MATCH(702, 輔助計算!$G$2:$G$801, 0)+1)),"0.##")&amp;"+"&amp;TEXT(INDEX(ERP資料!$G:$G, (MATCH(702, 輔助計算!$G$2:$G$801, 0)+1)),"0.##")&amp;"+"&amp;TEXT(INDEX(ERP資料!$G:$G, (MATCH(702, 輔助計算!$G$2:$G$801, 0)+1)),"0.##")))&amp;"-"&amp;INT(INDEX(輔助計算!$D:$D, (MATCH(702, 輔助計算!$G$2:$G$801, 0)+1))/IF(INDEX(ERP資料!$G:$G, (MATCH(702, 輔助計算!$G$2:$G$801, 0)+1))&lt;100, IF(INDEX(ERP資料!$G:$G, (MATCH(702, 輔助計算!$G$2:$G$801, 0)+1))&lt;=31,3,IF(INDEX(ERP資料!$G:$G, (MATCH(702, 輔助計算!$G$2:$G$801, 0)+1))&lt;=46.5,2,1)), IF(INDEX(ERP資料!$G:$G, (MATCH(702, 輔助計算!$G$2:$G$801, 0)+1))&lt;=790,3,IF(INDEX(ERP資料!$G:$G, (MATCH(702, 輔助計算!$G$2:$G$801, 0)+1))&lt;=1181,2,1)))), "")&lt;&gt;"",IF(MOD(INDEX(輔助計算!$D:$D, (MATCH(702, 輔助計算!$G$2:$G$801, 0)+1)),IF(INDEX(ERP資料!$G:$G, (MATCH(702, 輔助計算!$G$2:$G$801, 0)+1))&lt;100, IF(INDEX(ERP資料!$G:$G, (MATCH(702, 輔助計算!$G$2:$G$801, 0)+1))&lt;=31,3,IF(INDEX(ERP資料!$G:$G, (MATCH(702, 輔助計算!$G$2:$G$801, 0)+1))&lt;=46.5,2,1)), IF(INDEX(ERP資料!$G:$G, (MATCH(702, 輔助計算!$G$2:$G$801, 0)+1))&lt;=790,3,IF(INDEX(ERP資料!$G:$G, (MATCH(702, 輔助計算!$G$2:$G$801, 0)+1))&lt;=1181,2,1))))=0,"",IF(MOD(INDEX(輔助計算!$D:$D, (MATCH(702, 輔助計算!$G$2:$G$801, 0)+1)),IF(INDEX(ERP資料!$G:$G, (MATCH(702, 輔助計算!$G$2:$G$801, 0)+1))&lt;100, IF(INDEX(ERP資料!$G:$G, (MATCH(702, 輔助計算!$G$2:$G$801, 0)+1))&lt;=31,3,IF(INDEX(ERP資料!$G:$G, (MATCH(702, 輔助計算!$G$2:$G$801, 0)+1))&lt;=46.5,2,1)), IF(INDEX(ERP資料!$G:$G, (MATCH(702, 輔助計算!$G$2:$G$801, 0)+1))&lt;=790,3,IF(INDEX(ERP資料!$G:$G, (MATCH(702, 輔助計算!$G$2:$G$801, 0)+1))&lt;=1181,2,1))))=0,"",IF(MOD(INDEX(輔助計算!$D:$D, (MATCH(702, 輔助計算!$G$2:$G$801, 0)+1)),IF(INDEX(ERP資料!$G:$G, (MATCH(702, 輔助計算!$G$2:$G$801, 0)+1))&lt;100, IF(INDEX(ERP資料!$G:$G, (MATCH(702, 輔助計算!$G$2:$G$801, 0)+1))&lt;=31,3,IF(INDEX(ERP資料!$G:$G, (MATCH(702, 輔助計算!$G$2:$G$801, 0)+1))&lt;=46.5,2,1)), IF(INDEX(ERP資料!$G:$G, (MATCH(702, 輔助計算!$G$2:$G$801, 0)+1))&lt;=790,3,IF(INDEX(ERP資料!$G:$G, (MATCH(702, 輔助計算!$G$2:$G$801, 0)+1))&lt;=1181,2,1))))=1,TEXT(INDEX(ERP資料!$G:$G, (MATCH(702, 輔助計算!$G$2:$G$801, 0)+1)),"0.##"),IF(MOD(INDEX(輔助計算!$D:$D, (MATCH(702, 輔助計算!$G$2:$G$801, 0)+1)),IF(INDEX(ERP資料!$G:$G, (MATCH(702, 輔助計算!$G$2:$G$801, 0)+1))&lt;100, IF(INDEX(ERP資料!$G:$G, (MATCH(702, 輔助計算!$G$2:$G$801, 0)+1))&lt;=31,3,IF(INDEX(ERP資料!$G:$G, (MATCH(702, 輔助計算!$G$2:$G$801, 0)+1))&lt;=46.5,2,1)), IF(INDEX(ERP資料!$G:$G, (MATCH(702, 輔助計算!$G$2:$G$801, 0)+1))&lt;=790,3,IF(INDEX(ERP資料!$G:$G, (MATCH(702, 輔助計算!$G$2:$G$801, 0)+1))&lt;=1181,2,1))))=2,TEXT(INDEX(ERP資料!$G:$G, (MATCH(702, 輔助計算!$G$2:$G$801, 0)+1)),"0.##")&amp;"+"&amp;TEXT(INDEX(ERP資料!$G:$G, (MATCH(702, 輔助計算!$G$2:$G$801, 0)+1)),"0.##"),TEXT(INDEX(ERP資料!$G:$G, (MATCH(702, 輔助計算!$G$2:$G$801, 0)+1)),"0.##")&amp;"+"&amp;TEXT(INDEX(ERP資料!$G:$G, (MATCH(702, 輔助計算!$G$2:$G$801, 0)+1)),"0.##")&amp;"+"&amp;TEXT(INDEX(ERP資料!$G:$G, (MATCH(702, 輔助計算!$G$2:$G$801, 0)+1)),"0.##"))))&amp;"-1")&lt;&gt;""),"  ","")&amp;IF(MOD(INDEX(輔助計算!$D:$D, (MATCH(702, 輔助計算!$G$2:$G$801, 0)+1)),IF(INDEX(ERP資料!$G:$G, (MATCH(702, 輔助計算!$G$2:$G$801, 0)+1))&lt;100, IF(INDEX(ERP資料!$G:$G, (MATCH(702, 輔助計算!$G$2:$G$801, 0)+1))&lt;=31,3,IF(INDEX(ERP資料!$G:$G, (MATCH(702, 輔助計算!$G$2:$G$801, 0)+1))&lt;=46.5,2,1)), IF(INDEX(ERP資料!$G:$G, (MATCH(702, 輔助計算!$G$2:$G$801, 0)+1))&lt;=790,3,IF(INDEX(ERP資料!$G:$G, (MATCH(702, 輔助計算!$G$2:$G$801, 0)+1))&lt;=1181,2,1))))=0,"",IF(MOD(INDEX(輔助計算!$D:$D, (MATCH(702, 輔助計算!$G$2:$G$801, 0)+1)),IF(INDEX(ERP資料!$G:$G, (MATCH(702, 輔助計算!$G$2:$G$801, 0)+1))&lt;100, IF(INDEX(ERP資料!$G:$G, (MATCH(702, 輔助計算!$G$2:$G$801, 0)+1))&lt;=31,3,IF(INDEX(ERP資料!$G:$G, (MATCH(702, 輔助計算!$G$2:$G$801, 0)+1))&lt;=46.5,2,1)), IF(INDEX(ERP資料!$G:$G, (MATCH(702, 輔助計算!$G$2:$G$801, 0)+1))&lt;=790,3,IF(INDEX(ERP資料!$G:$G, (MATCH(702, 輔助計算!$G$2:$G$801, 0)+1))&lt;=1181,2,1))))=0,"",IF(MOD(INDEX(輔助計算!$D:$D, (MATCH(702, 輔助計算!$G$2:$G$801, 0)+1)),IF(INDEX(ERP資料!$G:$G, (MATCH(702, 輔助計算!$G$2:$G$801, 0)+1))&lt;100, IF(INDEX(ERP資料!$G:$G, (MATCH(702, 輔助計算!$G$2:$G$801, 0)+1))&lt;=31,3,IF(INDEX(ERP資料!$G:$G, (MATCH(702, 輔助計算!$G$2:$G$801, 0)+1))&lt;=46.5,2,1)), IF(INDEX(ERP資料!$G:$G, (MATCH(702, 輔助計算!$G$2:$G$801, 0)+1))&lt;=790,3,IF(INDEX(ERP資料!$G:$G, (MATCH(702, 輔助計算!$G$2:$G$801, 0)+1))&lt;=1181,2,1))))=1,TEXT(INDEX(ERP資料!$G:$G, (MATCH(702, 輔助計算!$G$2:$G$801, 0)+1)),"0.##"),IF(MOD(INDEX(輔助計算!$D:$D, (MATCH(702, 輔助計算!$G$2:$G$801, 0)+1)),IF(INDEX(ERP資料!$G:$G, (MATCH(702, 輔助計算!$G$2:$G$801, 0)+1))&lt;100, IF(INDEX(ERP資料!$G:$G, (MATCH(702, 輔助計算!$G$2:$G$801, 0)+1))&lt;=31,3,IF(INDEX(ERP資料!$G:$G, (MATCH(702, 輔助計算!$G$2:$G$801, 0)+1))&lt;=46.5,2,1)), IF(INDEX(ERP資料!$G:$G, (MATCH(702, 輔助計算!$G$2:$G$801, 0)+1))&lt;=790,3,IF(INDEX(ERP資料!$G:$G, (MATCH(702, 輔助計算!$G$2:$G$801, 0)+1))&lt;=1181,2,1))))=2,TEXT(INDEX(ERP資料!$G:$G, (MATCH(702, 輔助計算!$G$2:$G$801, 0)+1)),"0.##")&amp;"+"&amp;TEXT(INDEX(ERP資料!$G:$G, (MATCH(702, 輔助計算!$G$2:$G$801, 0)+1)),"0.##"),TEXT(INDEX(ERP資料!$G:$G, (MATCH(702, 輔助計算!$G$2:$G$801, 0)+1)),"0.##")&amp;"+"&amp;TEXT(INDEX(ERP資料!$G:$G, (MATCH(702, 輔助計算!$G$2:$G$801, 0)+1)),"0.##")&amp;"+"&amp;TEXT(INDEX(ERP資料!$G:$G, (MATCH(702, 輔助計算!$G$2:$G$801, 0)+1)),"0.##"))))&amp;"-1")), ""), "")</f>
        <v/>
      </c>
      <c r="K703" s="16" t="n"/>
      <c r="L703" s="14">
        <f>IFERROR(IF(AND(IFERROR(INDEX(ERP資料!$A:$A, (MATCH(702, 輔助計算!$G$2:$G$801, 0)+1)), "")&lt;&gt;"", IFERROR(INDEX(ERP資料!$A:$A, (MATCH(702, 輔助計算!$G$2:$G$801, 0)+1)), "")&lt;&gt;IFERROR(INDEX(ERP資料!$A:$A, MATCH(701, 輔助計算!$G$2:$G$801, 0)+1), "")), INDEX(ERP資料!$B:$B, (MATCH(702, 輔助計算!$G$2:$G$801, 0)+1)), ""), "")</f>
        <v/>
      </c>
      <c r="M703" s="17" t="n"/>
    </row>
    <row r="704">
      <c r="A704" s="10">
        <f>IFERROR(IF(AND(IFERROR(INDEX(ERP資料!$A:$A, (MATCH(703, 輔助計算!$G$2:$G$801, 0)+1)), "")&lt;&gt;"", IFERROR(INDEX(ERP資料!$A:$A, (MATCH(703, 輔助計算!$G$2:$G$801, 0)+1)), "")&lt;&gt;IFERROR(INDEX(ERP資料!$A:$A, MATCH(702, 輔助計算!$G$2:$G$801, 0)+1), "")), IFERROR(INDEX(ERP資料!$A:$A, (MATCH(703, 輔助計算!$G$2:$G$801, 0)+1)), ""), ""), "")</f>
        <v/>
      </c>
      <c r="B704" s="10">
        <f>IFERROR(IF(AND(IFERROR(INDEX(ERP資料!$A:$A, (MATCH(703, 輔助計算!$G$2:$G$801, 0)+1)), "")&lt;&gt;"", IFERROR(INDEX(ERP資料!$A:$A, (MATCH(703, 輔助計算!$G$2:$G$801, 0)+1)), "")&lt;&gt;IFERROR(INDEX(ERP資料!$A:$A, MATCH(702, 輔助計算!$G$2:$G$801, 0)+1), "")), INDEX(ERP資料!$S:$S, (MATCH(703, 輔助計算!$G$2:$G$801, 0)+1)), ""), "")</f>
        <v/>
      </c>
      <c r="C704" s="19">
        <f>IFERROR(IF(AND(IFERROR(INDEX(ERP資料!$A:$A, (MATCH(703, 輔助計算!$G$2:$G$801, 0)+1)), "")&lt;&gt;"", IFERROR(INDEX(ERP資料!$A:$A, (MATCH(703, 輔助計算!$G$2:$G$801, 0)+1)), "")&lt;&gt;IFERROR(INDEX(ERP資料!$A:$A, MATCH(702, 輔助計算!$G$2:$G$801, 0)+1), "")), IFERROR(VLOOKUP(LEFT(INDEX(ERP資料!$S:$S, (MATCH(703, 輔助計算!$G$2:$G$801, 0)+1)), 4), 紙管對照表!$A:$C, 3, FALSE), ""), ""), "")</f>
        <v/>
      </c>
      <c r="D704" s="16" t="n"/>
      <c r="E704" s="10">
        <f>IFERROR(IF(INDEX(ERP資料!$H:$H, (MATCH(703, 輔助計算!$G$2:$G$801, 0)+1))="","",INDEX(ERP資料!$H:$H, (MATCH(703, 輔助計算!$G$2:$G$801, 0)+1))), "")</f>
        <v/>
      </c>
      <c r="F704" s="10">
        <f>IFERROR(IF(INDEX(ERP資料!$E:$E, (MATCH(703, 輔助計算!$G$2:$G$801, 0)+1))="","",TRIM(INDEX(ERP資料!$E:$E, (MATCH(703, 輔助計算!$G$2:$G$801, 0)+1)))), "")</f>
        <v/>
      </c>
      <c r="G704" s="10">
        <f>IFERROR(IF(INDEX(ERP資料!$F:$F, (MATCH(703, 輔助計算!$G$2:$G$801, 0)+1))="","",INDEX(ERP資料!$F:$F, (MATCH(703, 輔助計算!$G$2:$G$801, 0)+1))), "")</f>
        <v/>
      </c>
      <c r="H704" s="10">
        <f>IFERROR(IF(INDEX(ERP資料!$G:$G, (MATCH(703, 輔助計算!$G$2:$G$801, 0)+1))="","",INDEX(ERP資料!$G:$G, (MATCH(703, 輔助計算!$G$2:$G$801, 0)+1))), "")</f>
        <v/>
      </c>
      <c r="I704" s="15">
        <f>IFERROR(INDEX(輔助計算!$D:$D, (MATCH(703, 輔助計算!$G$2:$G$801, 0)+1)), "")</f>
        <v/>
      </c>
      <c r="J704" s="15">
        <f>IFERROR(IF(AND(INDEX(輔助計算!$D:$D, (MATCH(703, 輔助計算!$G$2:$G$801, 0)+1))&lt;&gt;"", INDEX(ERP資料!$G:$G, (MATCH(703, 輔助計算!$G$2:$G$801, 0)+1))&lt;&gt;""), TRIM(IF(INT(INDEX(輔助計算!$D:$D, (MATCH(703, 輔助計算!$G$2:$G$801, 0)+1))/IF(INDEX(ERP資料!$G:$G, (MATCH(703, 輔助計算!$G$2:$G$801, 0)+1))&lt;100, IF(INDEX(ERP資料!$G:$G, (MATCH(703, 輔助計算!$G$2:$G$801, 0)+1))&lt;=31,3,IF(INDEX(ERP資料!$G:$G, (MATCH(703, 輔助計算!$G$2:$G$801, 0)+1))&lt;=46.5,2,1)), IF(INDEX(ERP資料!$G:$G, (MATCH(703, 輔助計算!$G$2:$G$801, 0)+1))&lt;=790,3,IF(INDEX(ERP資料!$G:$G, (MATCH(703, 輔助計算!$G$2:$G$801, 0)+1))&lt;=1181,2,1))))&gt;0, IF(IF(INDEX(ERP資料!$G:$G, (MATCH(703, 輔助計算!$G$2:$G$801, 0)+1))&lt;100, IF(INDEX(ERP資料!$G:$G, (MATCH(703, 輔助計算!$G$2:$G$801, 0)+1))&lt;=31,3,IF(INDEX(ERP資料!$G:$G, (MATCH(703, 輔助計算!$G$2:$G$801, 0)+1))&lt;=46.5,2,1)), IF(INDEX(ERP資料!$G:$G, (MATCH(703, 輔助計算!$G$2:$G$801, 0)+1))&lt;=790,3,IF(INDEX(ERP資料!$G:$G, (MATCH(703, 輔助計算!$G$2:$G$801, 0)+1))&lt;=1181,2,1)))=1,TEXT(INDEX(ERP資料!$G:$G, (MATCH(703, 輔助計算!$G$2:$G$801, 0)+1)),"0.##"),IF(IF(INDEX(ERP資料!$G:$G, (MATCH(703, 輔助計算!$G$2:$G$801, 0)+1))&lt;100, IF(INDEX(ERP資料!$G:$G, (MATCH(703, 輔助計算!$G$2:$G$801, 0)+1))&lt;=31,3,IF(INDEX(ERP資料!$G:$G, (MATCH(703, 輔助計算!$G$2:$G$801, 0)+1))&lt;=46.5,2,1)), IF(INDEX(ERP資料!$G:$G, (MATCH(703, 輔助計算!$G$2:$G$801, 0)+1))&lt;=790,3,IF(INDEX(ERP資料!$G:$G, (MATCH(703, 輔助計算!$G$2:$G$801, 0)+1))&lt;=1181,2,1)))=2,TEXT(INDEX(ERP資料!$G:$G, (MATCH(703, 輔助計算!$G$2:$G$801, 0)+1)),"0.##")&amp;"+"&amp;TEXT(INDEX(ERP資料!$G:$G, (MATCH(703, 輔助計算!$G$2:$G$801, 0)+1)),"0.##"),TEXT(INDEX(ERP資料!$G:$G, (MATCH(703, 輔助計算!$G$2:$G$801, 0)+1)),"0.##")&amp;"+"&amp;TEXT(INDEX(ERP資料!$G:$G, (MATCH(703, 輔助計算!$G$2:$G$801, 0)+1)),"0.##")&amp;"+"&amp;TEXT(INDEX(ERP資料!$G:$G, (MATCH(703, 輔助計算!$G$2:$G$801, 0)+1)),"0.##")))&amp;"-"&amp;INT(INDEX(輔助計算!$D:$D, (MATCH(703, 輔助計算!$G$2:$G$801, 0)+1))/IF(INDEX(ERP資料!$G:$G, (MATCH(703, 輔助計算!$G$2:$G$801, 0)+1))&lt;100, IF(INDEX(ERP資料!$G:$G, (MATCH(703, 輔助計算!$G$2:$G$801, 0)+1))&lt;=31,3,IF(INDEX(ERP資料!$G:$G, (MATCH(703, 輔助計算!$G$2:$G$801, 0)+1))&lt;=46.5,2,1)), IF(INDEX(ERP資料!$G:$G, (MATCH(703, 輔助計算!$G$2:$G$801, 0)+1))&lt;=790,3,IF(INDEX(ERP資料!$G:$G, (MATCH(703, 輔助計算!$G$2:$G$801, 0)+1))&lt;=1181,2,1)))), "")&amp;IF(AND(IF(INT(INDEX(輔助計算!$D:$D, (MATCH(703, 輔助計算!$G$2:$G$801, 0)+1))/IF(INDEX(ERP資料!$G:$G, (MATCH(703, 輔助計算!$G$2:$G$801, 0)+1))&lt;100, IF(INDEX(ERP資料!$G:$G, (MATCH(703, 輔助計算!$G$2:$G$801, 0)+1))&lt;=31,3,IF(INDEX(ERP資料!$G:$G, (MATCH(703, 輔助計算!$G$2:$G$801, 0)+1))&lt;=46.5,2,1)), IF(INDEX(ERP資料!$G:$G, (MATCH(703, 輔助計算!$G$2:$G$801, 0)+1))&lt;=790,3,IF(INDEX(ERP資料!$G:$G, (MATCH(703, 輔助計算!$G$2:$G$801, 0)+1))&lt;=1181,2,1))))&gt;0, IF(IF(INDEX(ERP資料!$G:$G, (MATCH(703, 輔助計算!$G$2:$G$801, 0)+1))&lt;100, IF(INDEX(ERP資料!$G:$G, (MATCH(703, 輔助計算!$G$2:$G$801, 0)+1))&lt;=31,3,IF(INDEX(ERP資料!$G:$G, (MATCH(703, 輔助計算!$G$2:$G$801, 0)+1))&lt;=46.5,2,1)), IF(INDEX(ERP資料!$G:$G, (MATCH(703, 輔助計算!$G$2:$G$801, 0)+1))&lt;=790,3,IF(INDEX(ERP資料!$G:$G, (MATCH(703, 輔助計算!$G$2:$G$801, 0)+1))&lt;=1181,2,1)))=1,TEXT(INDEX(ERP資料!$G:$G, (MATCH(703, 輔助計算!$G$2:$G$801, 0)+1)),"0.##"),IF(IF(INDEX(ERP資料!$G:$G, (MATCH(703, 輔助計算!$G$2:$G$801, 0)+1))&lt;100, IF(INDEX(ERP資料!$G:$G, (MATCH(703, 輔助計算!$G$2:$G$801, 0)+1))&lt;=31,3,IF(INDEX(ERP資料!$G:$G, (MATCH(703, 輔助計算!$G$2:$G$801, 0)+1))&lt;=46.5,2,1)), IF(INDEX(ERP資料!$G:$G, (MATCH(703, 輔助計算!$G$2:$G$801, 0)+1))&lt;=790,3,IF(INDEX(ERP資料!$G:$G, (MATCH(703, 輔助計算!$G$2:$G$801, 0)+1))&lt;=1181,2,1)))=2,TEXT(INDEX(ERP資料!$G:$G, (MATCH(703, 輔助計算!$G$2:$G$801, 0)+1)),"0.##")&amp;"+"&amp;TEXT(INDEX(ERP資料!$G:$G, (MATCH(703, 輔助計算!$G$2:$G$801, 0)+1)),"0.##"),TEXT(INDEX(ERP資料!$G:$G, (MATCH(703, 輔助計算!$G$2:$G$801, 0)+1)),"0.##")&amp;"+"&amp;TEXT(INDEX(ERP資料!$G:$G, (MATCH(703, 輔助計算!$G$2:$G$801, 0)+1)),"0.##")&amp;"+"&amp;TEXT(INDEX(ERP資料!$G:$G, (MATCH(703, 輔助計算!$G$2:$G$801, 0)+1)),"0.##")))&amp;"-"&amp;INT(INDEX(輔助計算!$D:$D, (MATCH(703, 輔助計算!$G$2:$G$801, 0)+1))/IF(INDEX(ERP資料!$G:$G, (MATCH(703, 輔助計算!$G$2:$G$801, 0)+1))&lt;100, IF(INDEX(ERP資料!$G:$G, (MATCH(703, 輔助計算!$G$2:$G$801, 0)+1))&lt;=31,3,IF(INDEX(ERP資料!$G:$G, (MATCH(703, 輔助計算!$G$2:$G$801, 0)+1))&lt;=46.5,2,1)), IF(INDEX(ERP資料!$G:$G, (MATCH(703, 輔助計算!$G$2:$G$801, 0)+1))&lt;=790,3,IF(INDEX(ERP資料!$G:$G, (MATCH(703, 輔助計算!$G$2:$G$801, 0)+1))&lt;=1181,2,1)))), "")&lt;&gt;"",IF(MOD(INDEX(輔助計算!$D:$D, (MATCH(703, 輔助計算!$G$2:$G$801, 0)+1)),IF(INDEX(ERP資料!$G:$G, (MATCH(703, 輔助計算!$G$2:$G$801, 0)+1))&lt;100, IF(INDEX(ERP資料!$G:$G, (MATCH(703, 輔助計算!$G$2:$G$801, 0)+1))&lt;=31,3,IF(INDEX(ERP資料!$G:$G, (MATCH(703, 輔助計算!$G$2:$G$801, 0)+1))&lt;=46.5,2,1)), IF(INDEX(ERP資料!$G:$G, (MATCH(703, 輔助計算!$G$2:$G$801, 0)+1))&lt;=790,3,IF(INDEX(ERP資料!$G:$G, (MATCH(703, 輔助計算!$G$2:$G$801, 0)+1))&lt;=1181,2,1))))=0,"",IF(MOD(INDEX(輔助計算!$D:$D, (MATCH(703, 輔助計算!$G$2:$G$801, 0)+1)),IF(INDEX(ERP資料!$G:$G, (MATCH(703, 輔助計算!$G$2:$G$801, 0)+1))&lt;100, IF(INDEX(ERP資料!$G:$G, (MATCH(703, 輔助計算!$G$2:$G$801, 0)+1))&lt;=31,3,IF(INDEX(ERP資料!$G:$G, (MATCH(703, 輔助計算!$G$2:$G$801, 0)+1))&lt;=46.5,2,1)), IF(INDEX(ERP資料!$G:$G, (MATCH(703, 輔助計算!$G$2:$G$801, 0)+1))&lt;=790,3,IF(INDEX(ERP資料!$G:$G, (MATCH(703, 輔助計算!$G$2:$G$801, 0)+1))&lt;=1181,2,1))))=0,"",IF(MOD(INDEX(輔助計算!$D:$D, (MATCH(703, 輔助計算!$G$2:$G$801, 0)+1)),IF(INDEX(ERP資料!$G:$G, (MATCH(703, 輔助計算!$G$2:$G$801, 0)+1))&lt;100, IF(INDEX(ERP資料!$G:$G, (MATCH(703, 輔助計算!$G$2:$G$801, 0)+1))&lt;=31,3,IF(INDEX(ERP資料!$G:$G, (MATCH(703, 輔助計算!$G$2:$G$801, 0)+1))&lt;=46.5,2,1)), IF(INDEX(ERP資料!$G:$G, (MATCH(703, 輔助計算!$G$2:$G$801, 0)+1))&lt;=790,3,IF(INDEX(ERP資料!$G:$G, (MATCH(703, 輔助計算!$G$2:$G$801, 0)+1))&lt;=1181,2,1))))=1,TEXT(INDEX(ERP資料!$G:$G, (MATCH(703, 輔助計算!$G$2:$G$801, 0)+1)),"0.##"),IF(MOD(INDEX(輔助計算!$D:$D, (MATCH(703, 輔助計算!$G$2:$G$801, 0)+1)),IF(INDEX(ERP資料!$G:$G, (MATCH(703, 輔助計算!$G$2:$G$801, 0)+1))&lt;100, IF(INDEX(ERP資料!$G:$G, (MATCH(703, 輔助計算!$G$2:$G$801, 0)+1))&lt;=31,3,IF(INDEX(ERP資料!$G:$G, (MATCH(703, 輔助計算!$G$2:$G$801, 0)+1))&lt;=46.5,2,1)), IF(INDEX(ERP資料!$G:$G, (MATCH(703, 輔助計算!$G$2:$G$801, 0)+1))&lt;=790,3,IF(INDEX(ERP資料!$G:$G, (MATCH(703, 輔助計算!$G$2:$G$801, 0)+1))&lt;=1181,2,1))))=2,TEXT(INDEX(ERP資料!$G:$G, (MATCH(703, 輔助計算!$G$2:$G$801, 0)+1)),"0.##")&amp;"+"&amp;TEXT(INDEX(ERP資料!$G:$G, (MATCH(703, 輔助計算!$G$2:$G$801, 0)+1)),"0.##"),TEXT(INDEX(ERP資料!$G:$G, (MATCH(703, 輔助計算!$G$2:$G$801, 0)+1)),"0.##")&amp;"+"&amp;TEXT(INDEX(ERP資料!$G:$G, (MATCH(703, 輔助計算!$G$2:$G$801, 0)+1)),"0.##")&amp;"+"&amp;TEXT(INDEX(ERP資料!$G:$G, (MATCH(703, 輔助計算!$G$2:$G$801, 0)+1)),"0.##"))))&amp;"-1")&lt;&gt;""),"  ","")&amp;IF(MOD(INDEX(輔助計算!$D:$D, (MATCH(703, 輔助計算!$G$2:$G$801, 0)+1)),IF(INDEX(ERP資料!$G:$G, (MATCH(703, 輔助計算!$G$2:$G$801, 0)+1))&lt;100, IF(INDEX(ERP資料!$G:$G, (MATCH(703, 輔助計算!$G$2:$G$801, 0)+1))&lt;=31,3,IF(INDEX(ERP資料!$G:$G, (MATCH(703, 輔助計算!$G$2:$G$801, 0)+1))&lt;=46.5,2,1)), IF(INDEX(ERP資料!$G:$G, (MATCH(703, 輔助計算!$G$2:$G$801, 0)+1))&lt;=790,3,IF(INDEX(ERP資料!$G:$G, (MATCH(703, 輔助計算!$G$2:$G$801, 0)+1))&lt;=1181,2,1))))=0,"",IF(MOD(INDEX(輔助計算!$D:$D, (MATCH(703, 輔助計算!$G$2:$G$801, 0)+1)),IF(INDEX(ERP資料!$G:$G, (MATCH(703, 輔助計算!$G$2:$G$801, 0)+1))&lt;100, IF(INDEX(ERP資料!$G:$G, (MATCH(703, 輔助計算!$G$2:$G$801, 0)+1))&lt;=31,3,IF(INDEX(ERP資料!$G:$G, (MATCH(703, 輔助計算!$G$2:$G$801, 0)+1))&lt;=46.5,2,1)), IF(INDEX(ERP資料!$G:$G, (MATCH(703, 輔助計算!$G$2:$G$801, 0)+1))&lt;=790,3,IF(INDEX(ERP資料!$G:$G, (MATCH(703, 輔助計算!$G$2:$G$801, 0)+1))&lt;=1181,2,1))))=0,"",IF(MOD(INDEX(輔助計算!$D:$D, (MATCH(703, 輔助計算!$G$2:$G$801, 0)+1)),IF(INDEX(ERP資料!$G:$G, (MATCH(703, 輔助計算!$G$2:$G$801, 0)+1))&lt;100, IF(INDEX(ERP資料!$G:$G, (MATCH(703, 輔助計算!$G$2:$G$801, 0)+1))&lt;=31,3,IF(INDEX(ERP資料!$G:$G, (MATCH(703, 輔助計算!$G$2:$G$801, 0)+1))&lt;=46.5,2,1)), IF(INDEX(ERP資料!$G:$G, (MATCH(703, 輔助計算!$G$2:$G$801, 0)+1))&lt;=790,3,IF(INDEX(ERP資料!$G:$G, (MATCH(703, 輔助計算!$G$2:$G$801, 0)+1))&lt;=1181,2,1))))=1,TEXT(INDEX(ERP資料!$G:$G, (MATCH(703, 輔助計算!$G$2:$G$801, 0)+1)),"0.##"),IF(MOD(INDEX(輔助計算!$D:$D, (MATCH(703, 輔助計算!$G$2:$G$801, 0)+1)),IF(INDEX(ERP資料!$G:$G, (MATCH(703, 輔助計算!$G$2:$G$801, 0)+1))&lt;100, IF(INDEX(ERP資料!$G:$G, (MATCH(703, 輔助計算!$G$2:$G$801, 0)+1))&lt;=31,3,IF(INDEX(ERP資料!$G:$G, (MATCH(703, 輔助計算!$G$2:$G$801, 0)+1))&lt;=46.5,2,1)), IF(INDEX(ERP資料!$G:$G, (MATCH(703, 輔助計算!$G$2:$G$801, 0)+1))&lt;=790,3,IF(INDEX(ERP資料!$G:$G, (MATCH(703, 輔助計算!$G$2:$G$801, 0)+1))&lt;=1181,2,1))))=2,TEXT(INDEX(ERP資料!$G:$G, (MATCH(703, 輔助計算!$G$2:$G$801, 0)+1)),"0.##")&amp;"+"&amp;TEXT(INDEX(ERP資料!$G:$G, (MATCH(703, 輔助計算!$G$2:$G$801, 0)+1)),"0.##"),TEXT(INDEX(ERP資料!$G:$G, (MATCH(703, 輔助計算!$G$2:$G$801, 0)+1)),"0.##")&amp;"+"&amp;TEXT(INDEX(ERP資料!$G:$G, (MATCH(703, 輔助計算!$G$2:$G$801, 0)+1)),"0.##")&amp;"+"&amp;TEXT(INDEX(ERP資料!$G:$G, (MATCH(703, 輔助計算!$G$2:$G$801, 0)+1)),"0.##"))))&amp;"-1")), ""), "")</f>
        <v/>
      </c>
      <c r="K704" s="16" t="n"/>
      <c r="L704" s="14">
        <f>IFERROR(IF(AND(IFERROR(INDEX(ERP資料!$A:$A, (MATCH(703, 輔助計算!$G$2:$G$801, 0)+1)), "")&lt;&gt;"", IFERROR(INDEX(ERP資料!$A:$A, (MATCH(703, 輔助計算!$G$2:$G$801, 0)+1)), "")&lt;&gt;IFERROR(INDEX(ERP資料!$A:$A, MATCH(702, 輔助計算!$G$2:$G$801, 0)+1), "")), INDEX(ERP資料!$B:$B, (MATCH(703, 輔助計算!$G$2:$G$801, 0)+1)), ""), "")</f>
        <v/>
      </c>
      <c r="M704" s="17" t="n"/>
    </row>
    <row r="705">
      <c r="A705" s="10">
        <f>IFERROR(IF(AND(IFERROR(INDEX(ERP資料!$A:$A, (MATCH(704, 輔助計算!$G$2:$G$801, 0)+1)), "")&lt;&gt;"", IFERROR(INDEX(ERP資料!$A:$A, (MATCH(704, 輔助計算!$G$2:$G$801, 0)+1)), "")&lt;&gt;IFERROR(INDEX(ERP資料!$A:$A, MATCH(703, 輔助計算!$G$2:$G$801, 0)+1), "")), IFERROR(INDEX(ERP資料!$A:$A, (MATCH(704, 輔助計算!$G$2:$G$801, 0)+1)), ""), ""), "")</f>
        <v/>
      </c>
      <c r="B705" s="10">
        <f>IFERROR(IF(AND(IFERROR(INDEX(ERP資料!$A:$A, (MATCH(704, 輔助計算!$G$2:$G$801, 0)+1)), "")&lt;&gt;"", IFERROR(INDEX(ERP資料!$A:$A, (MATCH(704, 輔助計算!$G$2:$G$801, 0)+1)), "")&lt;&gt;IFERROR(INDEX(ERP資料!$A:$A, MATCH(703, 輔助計算!$G$2:$G$801, 0)+1), "")), INDEX(ERP資料!$S:$S, (MATCH(704, 輔助計算!$G$2:$G$801, 0)+1)), ""), "")</f>
        <v/>
      </c>
      <c r="C705" s="19">
        <f>IFERROR(IF(AND(IFERROR(INDEX(ERP資料!$A:$A, (MATCH(704, 輔助計算!$G$2:$G$801, 0)+1)), "")&lt;&gt;"", IFERROR(INDEX(ERP資料!$A:$A, (MATCH(704, 輔助計算!$G$2:$G$801, 0)+1)), "")&lt;&gt;IFERROR(INDEX(ERP資料!$A:$A, MATCH(703, 輔助計算!$G$2:$G$801, 0)+1), "")), IFERROR(VLOOKUP(LEFT(INDEX(ERP資料!$S:$S, (MATCH(704, 輔助計算!$G$2:$G$801, 0)+1)), 4), 紙管對照表!$A:$C, 3, FALSE), ""), ""), "")</f>
        <v/>
      </c>
      <c r="D705" s="16" t="n"/>
      <c r="E705" s="10">
        <f>IFERROR(IF(INDEX(ERP資料!$H:$H, (MATCH(704, 輔助計算!$G$2:$G$801, 0)+1))="","",INDEX(ERP資料!$H:$H, (MATCH(704, 輔助計算!$G$2:$G$801, 0)+1))), "")</f>
        <v/>
      </c>
      <c r="F705" s="10">
        <f>IFERROR(IF(INDEX(ERP資料!$E:$E, (MATCH(704, 輔助計算!$G$2:$G$801, 0)+1))="","",TRIM(INDEX(ERP資料!$E:$E, (MATCH(704, 輔助計算!$G$2:$G$801, 0)+1)))), "")</f>
        <v/>
      </c>
      <c r="G705" s="10">
        <f>IFERROR(IF(INDEX(ERP資料!$F:$F, (MATCH(704, 輔助計算!$G$2:$G$801, 0)+1))="","",INDEX(ERP資料!$F:$F, (MATCH(704, 輔助計算!$G$2:$G$801, 0)+1))), "")</f>
        <v/>
      </c>
      <c r="H705" s="10">
        <f>IFERROR(IF(INDEX(ERP資料!$G:$G, (MATCH(704, 輔助計算!$G$2:$G$801, 0)+1))="","",INDEX(ERP資料!$G:$G, (MATCH(704, 輔助計算!$G$2:$G$801, 0)+1))), "")</f>
        <v/>
      </c>
      <c r="I705" s="15">
        <f>IFERROR(INDEX(輔助計算!$D:$D, (MATCH(704, 輔助計算!$G$2:$G$801, 0)+1)), "")</f>
        <v/>
      </c>
      <c r="J705" s="15">
        <f>IFERROR(IF(AND(INDEX(輔助計算!$D:$D, (MATCH(704, 輔助計算!$G$2:$G$801, 0)+1))&lt;&gt;"", INDEX(ERP資料!$G:$G, (MATCH(704, 輔助計算!$G$2:$G$801, 0)+1))&lt;&gt;""), TRIM(IF(INT(INDEX(輔助計算!$D:$D, (MATCH(704, 輔助計算!$G$2:$G$801, 0)+1))/IF(INDEX(ERP資料!$G:$G, (MATCH(704, 輔助計算!$G$2:$G$801, 0)+1))&lt;100, IF(INDEX(ERP資料!$G:$G, (MATCH(704, 輔助計算!$G$2:$G$801, 0)+1))&lt;=31,3,IF(INDEX(ERP資料!$G:$G, (MATCH(704, 輔助計算!$G$2:$G$801, 0)+1))&lt;=46.5,2,1)), IF(INDEX(ERP資料!$G:$G, (MATCH(704, 輔助計算!$G$2:$G$801, 0)+1))&lt;=790,3,IF(INDEX(ERP資料!$G:$G, (MATCH(704, 輔助計算!$G$2:$G$801, 0)+1))&lt;=1181,2,1))))&gt;0, IF(IF(INDEX(ERP資料!$G:$G, (MATCH(704, 輔助計算!$G$2:$G$801, 0)+1))&lt;100, IF(INDEX(ERP資料!$G:$G, (MATCH(704, 輔助計算!$G$2:$G$801, 0)+1))&lt;=31,3,IF(INDEX(ERP資料!$G:$G, (MATCH(704, 輔助計算!$G$2:$G$801, 0)+1))&lt;=46.5,2,1)), IF(INDEX(ERP資料!$G:$G, (MATCH(704, 輔助計算!$G$2:$G$801, 0)+1))&lt;=790,3,IF(INDEX(ERP資料!$G:$G, (MATCH(704, 輔助計算!$G$2:$G$801, 0)+1))&lt;=1181,2,1)))=1,TEXT(INDEX(ERP資料!$G:$G, (MATCH(704, 輔助計算!$G$2:$G$801, 0)+1)),"0.##"),IF(IF(INDEX(ERP資料!$G:$G, (MATCH(704, 輔助計算!$G$2:$G$801, 0)+1))&lt;100, IF(INDEX(ERP資料!$G:$G, (MATCH(704, 輔助計算!$G$2:$G$801, 0)+1))&lt;=31,3,IF(INDEX(ERP資料!$G:$G, (MATCH(704, 輔助計算!$G$2:$G$801, 0)+1))&lt;=46.5,2,1)), IF(INDEX(ERP資料!$G:$G, (MATCH(704, 輔助計算!$G$2:$G$801, 0)+1))&lt;=790,3,IF(INDEX(ERP資料!$G:$G, (MATCH(704, 輔助計算!$G$2:$G$801, 0)+1))&lt;=1181,2,1)))=2,TEXT(INDEX(ERP資料!$G:$G, (MATCH(704, 輔助計算!$G$2:$G$801, 0)+1)),"0.##")&amp;"+"&amp;TEXT(INDEX(ERP資料!$G:$G, (MATCH(704, 輔助計算!$G$2:$G$801, 0)+1)),"0.##"),TEXT(INDEX(ERP資料!$G:$G, (MATCH(704, 輔助計算!$G$2:$G$801, 0)+1)),"0.##")&amp;"+"&amp;TEXT(INDEX(ERP資料!$G:$G, (MATCH(704, 輔助計算!$G$2:$G$801, 0)+1)),"0.##")&amp;"+"&amp;TEXT(INDEX(ERP資料!$G:$G, (MATCH(704, 輔助計算!$G$2:$G$801, 0)+1)),"0.##")))&amp;"-"&amp;INT(INDEX(輔助計算!$D:$D, (MATCH(704, 輔助計算!$G$2:$G$801, 0)+1))/IF(INDEX(ERP資料!$G:$G, (MATCH(704, 輔助計算!$G$2:$G$801, 0)+1))&lt;100, IF(INDEX(ERP資料!$G:$G, (MATCH(704, 輔助計算!$G$2:$G$801, 0)+1))&lt;=31,3,IF(INDEX(ERP資料!$G:$G, (MATCH(704, 輔助計算!$G$2:$G$801, 0)+1))&lt;=46.5,2,1)), IF(INDEX(ERP資料!$G:$G, (MATCH(704, 輔助計算!$G$2:$G$801, 0)+1))&lt;=790,3,IF(INDEX(ERP資料!$G:$G, (MATCH(704, 輔助計算!$G$2:$G$801, 0)+1))&lt;=1181,2,1)))), "")&amp;IF(AND(IF(INT(INDEX(輔助計算!$D:$D, (MATCH(704, 輔助計算!$G$2:$G$801, 0)+1))/IF(INDEX(ERP資料!$G:$G, (MATCH(704, 輔助計算!$G$2:$G$801, 0)+1))&lt;100, IF(INDEX(ERP資料!$G:$G, (MATCH(704, 輔助計算!$G$2:$G$801, 0)+1))&lt;=31,3,IF(INDEX(ERP資料!$G:$G, (MATCH(704, 輔助計算!$G$2:$G$801, 0)+1))&lt;=46.5,2,1)), IF(INDEX(ERP資料!$G:$G, (MATCH(704, 輔助計算!$G$2:$G$801, 0)+1))&lt;=790,3,IF(INDEX(ERP資料!$G:$G, (MATCH(704, 輔助計算!$G$2:$G$801, 0)+1))&lt;=1181,2,1))))&gt;0, IF(IF(INDEX(ERP資料!$G:$G, (MATCH(704, 輔助計算!$G$2:$G$801, 0)+1))&lt;100, IF(INDEX(ERP資料!$G:$G, (MATCH(704, 輔助計算!$G$2:$G$801, 0)+1))&lt;=31,3,IF(INDEX(ERP資料!$G:$G, (MATCH(704, 輔助計算!$G$2:$G$801, 0)+1))&lt;=46.5,2,1)), IF(INDEX(ERP資料!$G:$G, (MATCH(704, 輔助計算!$G$2:$G$801, 0)+1))&lt;=790,3,IF(INDEX(ERP資料!$G:$G, (MATCH(704, 輔助計算!$G$2:$G$801, 0)+1))&lt;=1181,2,1)))=1,TEXT(INDEX(ERP資料!$G:$G, (MATCH(704, 輔助計算!$G$2:$G$801, 0)+1)),"0.##"),IF(IF(INDEX(ERP資料!$G:$G, (MATCH(704, 輔助計算!$G$2:$G$801, 0)+1))&lt;100, IF(INDEX(ERP資料!$G:$G, (MATCH(704, 輔助計算!$G$2:$G$801, 0)+1))&lt;=31,3,IF(INDEX(ERP資料!$G:$G, (MATCH(704, 輔助計算!$G$2:$G$801, 0)+1))&lt;=46.5,2,1)), IF(INDEX(ERP資料!$G:$G, (MATCH(704, 輔助計算!$G$2:$G$801, 0)+1))&lt;=790,3,IF(INDEX(ERP資料!$G:$G, (MATCH(704, 輔助計算!$G$2:$G$801, 0)+1))&lt;=1181,2,1)))=2,TEXT(INDEX(ERP資料!$G:$G, (MATCH(704, 輔助計算!$G$2:$G$801, 0)+1)),"0.##")&amp;"+"&amp;TEXT(INDEX(ERP資料!$G:$G, (MATCH(704, 輔助計算!$G$2:$G$801, 0)+1)),"0.##"),TEXT(INDEX(ERP資料!$G:$G, (MATCH(704, 輔助計算!$G$2:$G$801, 0)+1)),"0.##")&amp;"+"&amp;TEXT(INDEX(ERP資料!$G:$G, (MATCH(704, 輔助計算!$G$2:$G$801, 0)+1)),"0.##")&amp;"+"&amp;TEXT(INDEX(ERP資料!$G:$G, (MATCH(704, 輔助計算!$G$2:$G$801, 0)+1)),"0.##")))&amp;"-"&amp;INT(INDEX(輔助計算!$D:$D, (MATCH(704, 輔助計算!$G$2:$G$801, 0)+1))/IF(INDEX(ERP資料!$G:$G, (MATCH(704, 輔助計算!$G$2:$G$801, 0)+1))&lt;100, IF(INDEX(ERP資料!$G:$G, (MATCH(704, 輔助計算!$G$2:$G$801, 0)+1))&lt;=31,3,IF(INDEX(ERP資料!$G:$G, (MATCH(704, 輔助計算!$G$2:$G$801, 0)+1))&lt;=46.5,2,1)), IF(INDEX(ERP資料!$G:$G, (MATCH(704, 輔助計算!$G$2:$G$801, 0)+1))&lt;=790,3,IF(INDEX(ERP資料!$G:$G, (MATCH(704, 輔助計算!$G$2:$G$801, 0)+1))&lt;=1181,2,1)))), "")&lt;&gt;"",IF(MOD(INDEX(輔助計算!$D:$D, (MATCH(704, 輔助計算!$G$2:$G$801, 0)+1)),IF(INDEX(ERP資料!$G:$G, (MATCH(704, 輔助計算!$G$2:$G$801, 0)+1))&lt;100, IF(INDEX(ERP資料!$G:$G, (MATCH(704, 輔助計算!$G$2:$G$801, 0)+1))&lt;=31,3,IF(INDEX(ERP資料!$G:$G, (MATCH(704, 輔助計算!$G$2:$G$801, 0)+1))&lt;=46.5,2,1)), IF(INDEX(ERP資料!$G:$G, (MATCH(704, 輔助計算!$G$2:$G$801, 0)+1))&lt;=790,3,IF(INDEX(ERP資料!$G:$G, (MATCH(704, 輔助計算!$G$2:$G$801, 0)+1))&lt;=1181,2,1))))=0,"",IF(MOD(INDEX(輔助計算!$D:$D, (MATCH(704, 輔助計算!$G$2:$G$801, 0)+1)),IF(INDEX(ERP資料!$G:$G, (MATCH(704, 輔助計算!$G$2:$G$801, 0)+1))&lt;100, IF(INDEX(ERP資料!$G:$G, (MATCH(704, 輔助計算!$G$2:$G$801, 0)+1))&lt;=31,3,IF(INDEX(ERP資料!$G:$G, (MATCH(704, 輔助計算!$G$2:$G$801, 0)+1))&lt;=46.5,2,1)), IF(INDEX(ERP資料!$G:$G, (MATCH(704, 輔助計算!$G$2:$G$801, 0)+1))&lt;=790,3,IF(INDEX(ERP資料!$G:$G, (MATCH(704, 輔助計算!$G$2:$G$801, 0)+1))&lt;=1181,2,1))))=0,"",IF(MOD(INDEX(輔助計算!$D:$D, (MATCH(704, 輔助計算!$G$2:$G$801, 0)+1)),IF(INDEX(ERP資料!$G:$G, (MATCH(704, 輔助計算!$G$2:$G$801, 0)+1))&lt;100, IF(INDEX(ERP資料!$G:$G, (MATCH(704, 輔助計算!$G$2:$G$801, 0)+1))&lt;=31,3,IF(INDEX(ERP資料!$G:$G, (MATCH(704, 輔助計算!$G$2:$G$801, 0)+1))&lt;=46.5,2,1)), IF(INDEX(ERP資料!$G:$G, (MATCH(704, 輔助計算!$G$2:$G$801, 0)+1))&lt;=790,3,IF(INDEX(ERP資料!$G:$G, (MATCH(704, 輔助計算!$G$2:$G$801, 0)+1))&lt;=1181,2,1))))=1,TEXT(INDEX(ERP資料!$G:$G, (MATCH(704, 輔助計算!$G$2:$G$801, 0)+1)),"0.##"),IF(MOD(INDEX(輔助計算!$D:$D, (MATCH(704, 輔助計算!$G$2:$G$801, 0)+1)),IF(INDEX(ERP資料!$G:$G, (MATCH(704, 輔助計算!$G$2:$G$801, 0)+1))&lt;100, IF(INDEX(ERP資料!$G:$G, (MATCH(704, 輔助計算!$G$2:$G$801, 0)+1))&lt;=31,3,IF(INDEX(ERP資料!$G:$G, (MATCH(704, 輔助計算!$G$2:$G$801, 0)+1))&lt;=46.5,2,1)), IF(INDEX(ERP資料!$G:$G, (MATCH(704, 輔助計算!$G$2:$G$801, 0)+1))&lt;=790,3,IF(INDEX(ERP資料!$G:$G, (MATCH(704, 輔助計算!$G$2:$G$801, 0)+1))&lt;=1181,2,1))))=2,TEXT(INDEX(ERP資料!$G:$G, (MATCH(704, 輔助計算!$G$2:$G$801, 0)+1)),"0.##")&amp;"+"&amp;TEXT(INDEX(ERP資料!$G:$G, (MATCH(704, 輔助計算!$G$2:$G$801, 0)+1)),"0.##"),TEXT(INDEX(ERP資料!$G:$G, (MATCH(704, 輔助計算!$G$2:$G$801, 0)+1)),"0.##")&amp;"+"&amp;TEXT(INDEX(ERP資料!$G:$G, (MATCH(704, 輔助計算!$G$2:$G$801, 0)+1)),"0.##")&amp;"+"&amp;TEXT(INDEX(ERP資料!$G:$G, (MATCH(704, 輔助計算!$G$2:$G$801, 0)+1)),"0.##"))))&amp;"-1")&lt;&gt;""),"  ","")&amp;IF(MOD(INDEX(輔助計算!$D:$D, (MATCH(704, 輔助計算!$G$2:$G$801, 0)+1)),IF(INDEX(ERP資料!$G:$G, (MATCH(704, 輔助計算!$G$2:$G$801, 0)+1))&lt;100, IF(INDEX(ERP資料!$G:$G, (MATCH(704, 輔助計算!$G$2:$G$801, 0)+1))&lt;=31,3,IF(INDEX(ERP資料!$G:$G, (MATCH(704, 輔助計算!$G$2:$G$801, 0)+1))&lt;=46.5,2,1)), IF(INDEX(ERP資料!$G:$G, (MATCH(704, 輔助計算!$G$2:$G$801, 0)+1))&lt;=790,3,IF(INDEX(ERP資料!$G:$G, (MATCH(704, 輔助計算!$G$2:$G$801, 0)+1))&lt;=1181,2,1))))=0,"",IF(MOD(INDEX(輔助計算!$D:$D, (MATCH(704, 輔助計算!$G$2:$G$801, 0)+1)),IF(INDEX(ERP資料!$G:$G, (MATCH(704, 輔助計算!$G$2:$G$801, 0)+1))&lt;100, IF(INDEX(ERP資料!$G:$G, (MATCH(704, 輔助計算!$G$2:$G$801, 0)+1))&lt;=31,3,IF(INDEX(ERP資料!$G:$G, (MATCH(704, 輔助計算!$G$2:$G$801, 0)+1))&lt;=46.5,2,1)), IF(INDEX(ERP資料!$G:$G, (MATCH(704, 輔助計算!$G$2:$G$801, 0)+1))&lt;=790,3,IF(INDEX(ERP資料!$G:$G, (MATCH(704, 輔助計算!$G$2:$G$801, 0)+1))&lt;=1181,2,1))))=0,"",IF(MOD(INDEX(輔助計算!$D:$D, (MATCH(704, 輔助計算!$G$2:$G$801, 0)+1)),IF(INDEX(ERP資料!$G:$G, (MATCH(704, 輔助計算!$G$2:$G$801, 0)+1))&lt;100, IF(INDEX(ERP資料!$G:$G, (MATCH(704, 輔助計算!$G$2:$G$801, 0)+1))&lt;=31,3,IF(INDEX(ERP資料!$G:$G, (MATCH(704, 輔助計算!$G$2:$G$801, 0)+1))&lt;=46.5,2,1)), IF(INDEX(ERP資料!$G:$G, (MATCH(704, 輔助計算!$G$2:$G$801, 0)+1))&lt;=790,3,IF(INDEX(ERP資料!$G:$G, (MATCH(704, 輔助計算!$G$2:$G$801, 0)+1))&lt;=1181,2,1))))=1,TEXT(INDEX(ERP資料!$G:$G, (MATCH(704, 輔助計算!$G$2:$G$801, 0)+1)),"0.##"),IF(MOD(INDEX(輔助計算!$D:$D, (MATCH(704, 輔助計算!$G$2:$G$801, 0)+1)),IF(INDEX(ERP資料!$G:$G, (MATCH(704, 輔助計算!$G$2:$G$801, 0)+1))&lt;100, IF(INDEX(ERP資料!$G:$G, (MATCH(704, 輔助計算!$G$2:$G$801, 0)+1))&lt;=31,3,IF(INDEX(ERP資料!$G:$G, (MATCH(704, 輔助計算!$G$2:$G$801, 0)+1))&lt;=46.5,2,1)), IF(INDEX(ERP資料!$G:$G, (MATCH(704, 輔助計算!$G$2:$G$801, 0)+1))&lt;=790,3,IF(INDEX(ERP資料!$G:$G, (MATCH(704, 輔助計算!$G$2:$G$801, 0)+1))&lt;=1181,2,1))))=2,TEXT(INDEX(ERP資料!$G:$G, (MATCH(704, 輔助計算!$G$2:$G$801, 0)+1)),"0.##")&amp;"+"&amp;TEXT(INDEX(ERP資料!$G:$G, (MATCH(704, 輔助計算!$G$2:$G$801, 0)+1)),"0.##"),TEXT(INDEX(ERP資料!$G:$G, (MATCH(704, 輔助計算!$G$2:$G$801, 0)+1)),"0.##")&amp;"+"&amp;TEXT(INDEX(ERP資料!$G:$G, (MATCH(704, 輔助計算!$G$2:$G$801, 0)+1)),"0.##")&amp;"+"&amp;TEXT(INDEX(ERP資料!$G:$G, (MATCH(704, 輔助計算!$G$2:$G$801, 0)+1)),"0.##"))))&amp;"-1")), ""), "")</f>
        <v/>
      </c>
      <c r="K705" s="16" t="n"/>
      <c r="L705" s="14">
        <f>IFERROR(IF(AND(IFERROR(INDEX(ERP資料!$A:$A, (MATCH(704, 輔助計算!$G$2:$G$801, 0)+1)), "")&lt;&gt;"", IFERROR(INDEX(ERP資料!$A:$A, (MATCH(704, 輔助計算!$G$2:$G$801, 0)+1)), "")&lt;&gt;IFERROR(INDEX(ERP資料!$A:$A, MATCH(703, 輔助計算!$G$2:$G$801, 0)+1), "")), INDEX(ERP資料!$B:$B, (MATCH(704, 輔助計算!$G$2:$G$801, 0)+1)), ""), "")</f>
        <v/>
      </c>
      <c r="M705" s="17" t="n"/>
    </row>
    <row r="706">
      <c r="A706" s="10">
        <f>IFERROR(IF(AND(IFERROR(INDEX(ERP資料!$A:$A, (MATCH(705, 輔助計算!$G$2:$G$801, 0)+1)), "")&lt;&gt;"", IFERROR(INDEX(ERP資料!$A:$A, (MATCH(705, 輔助計算!$G$2:$G$801, 0)+1)), "")&lt;&gt;IFERROR(INDEX(ERP資料!$A:$A, MATCH(704, 輔助計算!$G$2:$G$801, 0)+1), "")), IFERROR(INDEX(ERP資料!$A:$A, (MATCH(705, 輔助計算!$G$2:$G$801, 0)+1)), ""), ""), "")</f>
        <v/>
      </c>
      <c r="B706" s="10">
        <f>IFERROR(IF(AND(IFERROR(INDEX(ERP資料!$A:$A, (MATCH(705, 輔助計算!$G$2:$G$801, 0)+1)), "")&lt;&gt;"", IFERROR(INDEX(ERP資料!$A:$A, (MATCH(705, 輔助計算!$G$2:$G$801, 0)+1)), "")&lt;&gt;IFERROR(INDEX(ERP資料!$A:$A, MATCH(704, 輔助計算!$G$2:$G$801, 0)+1), "")), INDEX(ERP資料!$S:$S, (MATCH(705, 輔助計算!$G$2:$G$801, 0)+1)), ""), "")</f>
        <v/>
      </c>
      <c r="C706" s="19">
        <f>IFERROR(IF(AND(IFERROR(INDEX(ERP資料!$A:$A, (MATCH(705, 輔助計算!$G$2:$G$801, 0)+1)), "")&lt;&gt;"", IFERROR(INDEX(ERP資料!$A:$A, (MATCH(705, 輔助計算!$G$2:$G$801, 0)+1)), "")&lt;&gt;IFERROR(INDEX(ERP資料!$A:$A, MATCH(704, 輔助計算!$G$2:$G$801, 0)+1), "")), IFERROR(VLOOKUP(LEFT(INDEX(ERP資料!$S:$S, (MATCH(705, 輔助計算!$G$2:$G$801, 0)+1)), 4), 紙管對照表!$A:$C, 3, FALSE), ""), ""), "")</f>
        <v/>
      </c>
      <c r="D706" s="16" t="n"/>
      <c r="E706" s="10">
        <f>IFERROR(IF(INDEX(ERP資料!$H:$H, (MATCH(705, 輔助計算!$G$2:$G$801, 0)+1))="","",INDEX(ERP資料!$H:$H, (MATCH(705, 輔助計算!$G$2:$G$801, 0)+1))), "")</f>
        <v/>
      </c>
      <c r="F706" s="10">
        <f>IFERROR(IF(INDEX(ERP資料!$E:$E, (MATCH(705, 輔助計算!$G$2:$G$801, 0)+1))="","",TRIM(INDEX(ERP資料!$E:$E, (MATCH(705, 輔助計算!$G$2:$G$801, 0)+1)))), "")</f>
        <v/>
      </c>
      <c r="G706" s="10">
        <f>IFERROR(IF(INDEX(ERP資料!$F:$F, (MATCH(705, 輔助計算!$G$2:$G$801, 0)+1))="","",INDEX(ERP資料!$F:$F, (MATCH(705, 輔助計算!$G$2:$G$801, 0)+1))), "")</f>
        <v/>
      </c>
      <c r="H706" s="10">
        <f>IFERROR(IF(INDEX(ERP資料!$G:$G, (MATCH(705, 輔助計算!$G$2:$G$801, 0)+1))="","",INDEX(ERP資料!$G:$G, (MATCH(705, 輔助計算!$G$2:$G$801, 0)+1))), "")</f>
        <v/>
      </c>
      <c r="I706" s="15">
        <f>IFERROR(INDEX(輔助計算!$D:$D, (MATCH(705, 輔助計算!$G$2:$G$801, 0)+1)), "")</f>
        <v/>
      </c>
      <c r="J706" s="15">
        <f>IFERROR(IF(AND(INDEX(輔助計算!$D:$D, (MATCH(705, 輔助計算!$G$2:$G$801, 0)+1))&lt;&gt;"", INDEX(ERP資料!$G:$G, (MATCH(705, 輔助計算!$G$2:$G$801, 0)+1))&lt;&gt;""), TRIM(IF(INT(INDEX(輔助計算!$D:$D, (MATCH(705, 輔助計算!$G$2:$G$801, 0)+1))/IF(INDEX(ERP資料!$G:$G, (MATCH(705, 輔助計算!$G$2:$G$801, 0)+1))&lt;100, IF(INDEX(ERP資料!$G:$G, (MATCH(705, 輔助計算!$G$2:$G$801, 0)+1))&lt;=31,3,IF(INDEX(ERP資料!$G:$G, (MATCH(705, 輔助計算!$G$2:$G$801, 0)+1))&lt;=46.5,2,1)), IF(INDEX(ERP資料!$G:$G, (MATCH(705, 輔助計算!$G$2:$G$801, 0)+1))&lt;=790,3,IF(INDEX(ERP資料!$G:$G, (MATCH(705, 輔助計算!$G$2:$G$801, 0)+1))&lt;=1181,2,1))))&gt;0, IF(IF(INDEX(ERP資料!$G:$G, (MATCH(705, 輔助計算!$G$2:$G$801, 0)+1))&lt;100, IF(INDEX(ERP資料!$G:$G, (MATCH(705, 輔助計算!$G$2:$G$801, 0)+1))&lt;=31,3,IF(INDEX(ERP資料!$G:$G, (MATCH(705, 輔助計算!$G$2:$G$801, 0)+1))&lt;=46.5,2,1)), IF(INDEX(ERP資料!$G:$G, (MATCH(705, 輔助計算!$G$2:$G$801, 0)+1))&lt;=790,3,IF(INDEX(ERP資料!$G:$G, (MATCH(705, 輔助計算!$G$2:$G$801, 0)+1))&lt;=1181,2,1)))=1,TEXT(INDEX(ERP資料!$G:$G, (MATCH(705, 輔助計算!$G$2:$G$801, 0)+1)),"0.##"),IF(IF(INDEX(ERP資料!$G:$G, (MATCH(705, 輔助計算!$G$2:$G$801, 0)+1))&lt;100, IF(INDEX(ERP資料!$G:$G, (MATCH(705, 輔助計算!$G$2:$G$801, 0)+1))&lt;=31,3,IF(INDEX(ERP資料!$G:$G, (MATCH(705, 輔助計算!$G$2:$G$801, 0)+1))&lt;=46.5,2,1)), IF(INDEX(ERP資料!$G:$G, (MATCH(705, 輔助計算!$G$2:$G$801, 0)+1))&lt;=790,3,IF(INDEX(ERP資料!$G:$G, (MATCH(705, 輔助計算!$G$2:$G$801, 0)+1))&lt;=1181,2,1)))=2,TEXT(INDEX(ERP資料!$G:$G, (MATCH(705, 輔助計算!$G$2:$G$801, 0)+1)),"0.##")&amp;"+"&amp;TEXT(INDEX(ERP資料!$G:$G, (MATCH(705, 輔助計算!$G$2:$G$801, 0)+1)),"0.##"),TEXT(INDEX(ERP資料!$G:$G, (MATCH(705, 輔助計算!$G$2:$G$801, 0)+1)),"0.##")&amp;"+"&amp;TEXT(INDEX(ERP資料!$G:$G, (MATCH(705, 輔助計算!$G$2:$G$801, 0)+1)),"0.##")&amp;"+"&amp;TEXT(INDEX(ERP資料!$G:$G, (MATCH(705, 輔助計算!$G$2:$G$801, 0)+1)),"0.##")))&amp;"-"&amp;INT(INDEX(輔助計算!$D:$D, (MATCH(705, 輔助計算!$G$2:$G$801, 0)+1))/IF(INDEX(ERP資料!$G:$G, (MATCH(705, 輔助計算!$G$2:$G$801, 0)+1))&lt;100, IF(INDEX(ERP資料!$G:$G, (MATCH(705, 輔助計算!$G$2:$G$801, 0)+1))&lt;=31,3,IF(INDEX(ERP資料!$G:$G, (MATCH(705, 輔助計算!$G$2:$G$801, 0)+1))&lt;=46.5,2,1)), IF(INDEX(ERP資料!$G:$G, (MATCH(705, 輔助計算!$G$2:$G$801, 0)+1))&lt;=790,3,IF(INDEX(ERP資料!$G:$G, (MATCH(705, 輔助計算!$G$2:$G$801, 0)+1))&lt;=1181,2,1)))), "")&amp;IF(AND(IF(INT(INDEX(輔助計算!$D:$D, (MATCH(705, 輔助計算!$G$2:$G$801, 0)+1))/IF(INDEX(ERP資料!$G:$G, (MATCH(705, 輔助計算!$G$2:$G$801, 0)+1))&lt;100, IF(INDEX(ERP資料!$G:$G, (MATCH(705, 輔助計算!$G$2:$G$801, 0)+1))&lt;=31,3,IF(INDEX(ERP資料!$G:$G, (MATCH(705, 輔助計算!$G$2:$G$801, 0)+1))&lt;=46.5,2,1)), IF(INDEX(ERP資料!$G:$G, (MATCH(705, 輔助計算!$G$2:$G$801, 0)+1))&lt;=790,3,IF(INDEX(ERP資料!$G:$G, (MATCH(705, 輔助計算!$G$2:$G$801, 0)+1))&lt;=1181,2,1))))&gt;0, IF(IF(INDEX(ERP資料!$G:$G, (MATCH(705, 輔助計算!$G$2:$G$801, 0)+1))&lt;100, IF(INDEX(ERP資料!$G:$G, (MATCH(705, 輔助計算!$G$2:$G$801, 0)+1))&lt;=31,3,IF(INDEX(ERP資料!$G:$G, (MATCH(705, 輔助計算!$G$2:$G$801, 0)+1))&lt;=46.5,2,1)), IF(INDEX(ERP資料!$G:$G, (MATCH(705, 輔助計算!$G$2:$G$801, 0)+1))&lt;=790,3,IF(INDEX(ERP資料!$G:$G, (MATCH(705, 輔助計算!$G$2:$G$801, 0)+1))&lt;=1181,2,1)))=1,TEXT(INDEX(ERP資料!$G:$G, (MATCH(705, 輔助計算!$G$2:$G$801, 0)+1)),"0.##"),IF(IF(INDEX(ERP資料!$G:$G, (MATCH(705, 輔助計算!$G$2:$G$801, 0)+1))&lt;100, IF(INDEX(ERP資料!$G:$G, (MATCH(705, 輔助計算!$G$2:$G$801, 0)+1))&lt;=31,3,IF(INDEX(ERP資料!$G:$G, (MATCH(705, 輔助計算!$G$2:$G$801, 0)+1))&lt;=46.5,2,1)), IF(INDEX(ERP資料!$G:$G, (MATCH(705, 輔助計算!$G$2:$G$801, 0)+1))&lt;=790,3,IF(INDEX(ERP資料!$G:$G, (MATCH(705, 輔助計算!$G$2:$G$801, 0)+1))&lt;=1181,2,1)))=2,TEXT(INDEX(ERP資料!$G:$G, (MATCH(705, 輔助計算!$G$2:$G$801, 0)+1)),"0.##")&amp;"+"&amp;TEXT(INDEX(ERP資料!$G:$G, (MATCH(705, 輔助計算!$G$2:$G$801, 0)+1)),"0.##"),TEXT(INDEX(ERP資料!$G:$G, (MATCH(705, 輔助計算!$G$2:$G$801, 0)+1)),"0.##")&amp;"+"&amp;TEXT(INDEX(ERP資料!$G:$G, (MATCH(705, 輔助計算!$G$2:$G$801, 0)+1)),"0.##")&amp;"+"&amp;TEXT(INDEX(ERP資料!$G:$G, (MATCH(705, 輔助計算!$G$2:$G$801, 0)+1)),"0.##")))&amp;"-"&amp;INT(INDEX(輔助計算!$D:$D, (MATCH(705, 輔助計算!$G$2:$G$801, 0)+1))/IF(INDEX(ERP資料!$G:$G, (MATCH(705, 輔助計算!$G$2:$G$801, 0)+1))&lt;100, IF(INDEX(ERP資料!$G:$G, (MATCH(705, 輔助計算!$G$2:$G$801, 0)+1))&lt;=31,3,IF(INDEX(ERP資料!$G:$G, (MATCH(705, 輔助計算!$G$2:$G$801, 0)+1))&lt;=46.5,2,1)), IF(INDEX(ERP資料!$G:$G, (MATCH(705, 輔助計算!$G$2:$G$801, 0)+1))&lt;=790,3,IF(INDEX(ERP資料!$G:$G, (MATCH(705, 輔助計算!$G$2:$G$801, 0)+1))&lt;=1181,2,1)))), "")&lt;&gt;"",IF(MOD(INDEX(輔助計算!$D:$D, (MATCH(705, 輔助計算!$G$2:$G$801, 0)+1)),IF(INDEX(ERP資料!$G:$G, (MATCH(705, 輔助計算!$G$2:$G$801, 0)+1))&lt;100, IF(INDEX(ERP資料!$G:$G, (MATCH(705, 輔助計算!$G$2:$G$801, 0)+1))&lt;=31,3,IF(INDEX(ERP資料!$G:$G, (MATCH(705, 輔助計算!$G$2:$G$801, 0)+1))&lt;=46.5,2,1)), IF(INDEX(ERP資料!$G:$G, (MATCH(705, 輔助計算!$G$2:$G$801, 0)+1))&lt;=790,3,IF(INDEX(ERP資料!$G:$G, (MATCH(705, 輔助計算!$G$2:$G$801, 0)+1))&lt;=1181,2,1))))=0,"",IF(MOD(INDEX(輔助計算!$D:$D, (MATCH(705, 輔助計算!$G$2:$G$801, 0)+1)),IF(INDEX(ERP資料!$G:$G, (MATCH(705, 輔助計算!$G$2:$G$801, 0)+1))&lt;100, IF(INDEX(ERP資料!$G:$G, (MATCH(705, 輔助計算!$G$2:$G$801, 0)+1))&lt;=31,3,IF(INDEX(ERP資料!$G:$G, (MATCH(705, 輔助計算!$G$2:$G$801, 0)+1))&lt;=46.5,2,1)), IF(INDEX(ERP資料!$G:$G, (MATCH(705, 輔助計算!$G$2:$G$801, 0)+1))&lt;=790,3,IF(INDEX(ERP資料!$G:$G, (MATCH(705, 輔助計算!$G$2:$G$801, 0)+1))&lt;=1181,2,1))))=0,"",IF(MOD(INDEX(輔助計算!$D:$D, (MATCH(705, 輔助計算!$G$2:$G$801, 0)+1)),IF(INDEX(ERP資料!$G:$G, (MATCH(705, 輔助計算!$G$2:$G$801, 0)+1))&lt;100, IF(INDEX(ERP資料!$G:$G, (MATCH(705, 輔助計算!$G$2:$G$801, 0)+1))&lt;=31,3,IF(INDEX(ERP資料!$G:$G, (MATCH(705, 輔助計算!$G$2:$G$801, 0)+1))&lt;=46.5,2,1)), IF(INDEX(ERP資料!$G:$G, (MATCH(705, 輔助計算!$G$2:$G$801, 0)+1))&lt;=790,3,IF(INDEX(ERP資料!$G:$G, (MATCH(705, 輔助計算!$G$2:$G$801, 0)+1))&lt;=1181,2,1))))=1,TEXT(INDEX(ERP資料!$G:$G, (MATCH(705, 輔助計算!$G$2:$G$801, 0)+1)),"0.##"),IF(MOD(INDEX(輔助計算!$D:$D, (MATCH(705, 輔助計算!$G$2:$G$801, 0)+1)),IF(INDEX(ERP資料!$G:$G, (MATCH(705, 輔助計算!$G$2:$G$801, 0)+1))&lt;100, IF(INDEX(ERP資料!$G:$G, (MATCH(705, 輔助計算!$G$2:$G$801, 0)+1))&lt;=31,3,IF(INDEX(ERP資料!$G:$G, (MATCH(705, 輔助計算!$G$2:$G$801, 0)+1))&lt;=46.5,2,1)), IF(INDEX(ERP資料!$G:$G, (MATCH(705, 輔助計算!$G$2:$G$801, 0)+1))&lt;=790,3,IF(INDEX(ERP資料!$G:$G, (MATCH(705, 輔助計算!$G$2:$G$801, 0)+1))&lt;=1181,2,1))))=2,TEXT(INDEX(ERP資料!$G:$G, (MATCH(705, 輔助計算!$G$2:$G$801, 0)+1)),"0.##")&amp;"+"&amp;TEXT(INDEX(ERP資料!$G:$G, (MATCH(705, 輔助計算!$G$2:$G$801, 0)+1)),"0.##"),TEXT(INDEX(ERP資料!$G:$G, (MATCH(705, 輔助計算!$G$2:$G$801, 0)+1)),"0.##")&amp;"+"&amp;TEXT(INDEX(ERP資料!$G:$G, (MATCH(705, 輔助計算!$G$2:$G$801, 0)+1)),"0.##")&amp;"+"&amp;TEXT(INDEX(ERP資料!$G:$G, (MATCH(705, 輔助計算!$G$2:$G$801, 0)+1)),"0.##"))))&amp;"-1")&lt;&gt;""),"  ","")&amp;IF(MOD(INDEX(輔助計算!$D:$D, (MATCH(705, 輔助計算!$G$2:$G$801, 0)+1)),IF(INDEX(ERP資料!$G:$G, (MATCH(705, 輔助計算!$G$2:$G$801, 0)+1))&lt;100, IF(INDEX(ERP資料!$G:$G, (MATCH(705, 輔助計算!$G$2:$G$801, 0)+1))&lt;=31,3,IF(INDEX(ERP資料!$G:$G, (MATCH(705, 輔助計算!$G$2:$G$801, 0)+1))&lt;=46.5,2,1)), IF(INDEX(ERP資料!$G:$G, (MATCH(705, 輔助計算!$G$2:$G$801, 0)+1))&lt;=790,3,IF(INDEX(ERP資料!$G:$G, (MATCH(705, 輔助計算!$G$2:$G$801, 0)+1))&lt;=1181,2,1))))=0,"",IF(MOD(INDEX(輔助計算!$D:$D, (MATCH(705, 輔助計算!$G$2:$G$801, 0)+1)),IF(INDEX(ERP資料!$G:$G, (MATCH(705, 輔助計算!$G$2:$G$801, 0)+1))&lt;100, IF(INDEX(ERP資料!$G:$G, (MATCH(705, 輔助計算!$G$2:$G$801, 0)+1))&lt;=31,3,IF(INDEX(ERP資料!$G:$G, (MATCH(705, 輔助計算!$G$2:$G$801, 0)+1))&lt;=46.5,2,1)), IF(INDEX(ERP資料!$G:$G, (MATCH(705, 輔助計算!$G$2:$G$801, 0)+1))&lt;=790,3,IF(INDEX(ERP資料!$G:$G, (MATCH(705, 輔助計算!$G$2:$G$801, 0)+1))&lt;=1181,2,1))))=0,"",IF(MOD(INDEX(輔助計算!$D:$D, (MATCH(705, 輔助計算!$G$2:$G$801, 0)+1)),IF(INDEX(ERP資料!$G:$G, (MATCH(705, 輔助計算!$G$2:$G$801, 0)+1))&lt;100, IF(INDEX(ERP資料!$G:$G, (MATCH(705, 輔助計算!$G$2:$G$801, 0)+1))&lt;=31,3,IF(INDEX(ERP資料!$G:$G, (MATCH(705, 輔助計算!$G$2:$G$801, 0)+1))&lt;=46.5,2,1)), IF(INDEX(ERP資料!$G:$G, (MATCH(705, 輔助計算!$G$2:$G$801, 0)+1))&lt;=790,3,IF(INDEX(ERP資料!$G:$G, (MATCH(705, 輔助計算!$G$2:$G$801, 0)+1))&lt;=1181,2,1))))=1,TEXT(INDEX(ERP資料!$G:$G, (MATCH(705, 輔助計算!$G$2:$G$801, 0)+1)),"0.##"),IF(MOD(INDEX(輔助計算!$D:$D, (MATCH(705, 輔助計算!$G$2:$G$801, 0)+1)),IF(INDEX(ERP資料!$G:$G, (MATCH(705, 輔助計算!$G$2:$G$801, 0)+1))&lt;100, IF(INDEX(ERP資料!$G:$G, (MATCH(705, 輔助計算!$G$2:$G$801, 0)+1))&lt;=31,3,IF(INDEX(ERP資料!$G:$G, (MATCH(705, 輔助計算!$G$2:$G$801, 0)+1))&lt;=46.5,2,1)), IF(INDEX(ERP資料!$G:$G, (MATCH(705, 輔助計算!$G$2:$G$801, 0)+1))&lt;=790,3,IF(INDEX(ERP資料!$G:$G, (MATCH(705, 輔助計算!$G$2:$G$801, 0)+1))&lt;=1181,2,1))))=2,TEXT(INDEX(ERP資料!$G:$G, (MATCH(705, 輔助計算!$G$2:$G$801, 0)+1)),"0.##")&amp;"+"&amp;TEXT(INDEX(ERP資料!$G:$G, (MATCH(705, 輔助計算!$G$2:$G$801, 0)+1)),"0.##"),TEXT(INDEX(ERP資料!$G:$G, (MATCH(705, 輔助計算!$G$2:$G$801, 0)+1)),"0.##")&amp;"+"&amp;TEXT(INDEX(ERP資料!$G:$G, (MATCH(705, 輔助計算!$G$2:$G$801, 0)+1)),"0.##")&amp;"+"&amp;TEXT(INDEX(ERP資料!$G:$G, (MATCH(705, 輔助計算!$G$2:$G$801, 0)+1)),"0.##"))))&amp;"-1")), ""), "")</f>
        <v/>
      </c>
      <c r="K706" s="16" t="n"/>
      <c r="L706" s="14">
        <f>IFERROR(IF(AND(IFERROR(INDEX(ERP資料!$A:$A, (MATCH(705, 輔助計算!$G$2:$G$801, 0)+1)), "")&lt;&gt;"", IFERROR(INDEX(ERP資料!$A:$A, (MATCH(705, 輔助計算!$G$2:$G$801, 0)+1)), "")&lt;&gt;IFERROR(INDEX(ERP資料!$A:$A, MATCH(704, 輔助計算!$G$2:$G$801, 0)+1), "")), INDEX(ERP資料!$B:$B, (MATCH(705, 輔助計算!$G$2:$G$801, 0)+1)), ""), "")</f>
        <v/>
      </c>
      <c r="M706" s="17" t="n"/>
    </row>
    <row r="707">
      <c r="A707" s="10">
        <f>IFERROR(IF(AND(IFERROR(INDEX(ERP資料!$A:$A, (MATCH(706, 輔助計算!$G$2:$G$801, 0)+1)), "")&lt;&gt;"", IFERROR(INDEX(ERP資料!$A:$A, (MATCH(706, 輔助計算!$G$2:$G$801, 0)+1)), "")&lt;&gt;IFERROR(INDEX(ERP資料!$A:$A, MATCH(705, 輔助計算!$G$2:$G$801, 0)+1), "")), IFERROR(INDEX(ERP資料!$A:$A, (MATCH(706, 輔助計算!$G$2:$G$801, 0)+1)), ""), ""), "")</f>
        <v/>
      </c>
      <c r="B707" s="10">
        <f>IFERROR(IF(AND(IFERROR(INDEX(ERP資料!$A:$A, (MATCH(706, 輔助計算!$G$2:$G$801, 0)+1)), "")&lt;&gt;"", IFERROR(INDEX(ERP資料!$A:$A, (MATCH(706, 輔助計算!$G$2:$G$801, 0)+1)), "")&lt;&gt;IFERROR(INDEX(ERP資料!$A:$A, MATCH(705, 輔助計算!$G$2:$G$801, 0)+1), "")), INDEX(ERP資料!$S:$S, (MATCH(706, 輔助計算!$G$2:$G$801, 0)+1)), ""), "")</f>
        <v/>
      </c>
      <c r="C707" s="19">
        <f>IFERROR(IF(AND(IFERROR(INDEX(ERP資料!$A:$A, (MATCH(706, 輔助計算!$G$2:$G$801, 0)+1)), "")&lt;&gt;"", IFERROR(INDEX(ERP資料!$A:$A, (MATCH(706, 輔助計算!$G$2:$G$801, 0)+1)), "")&lt;&gt;IFERROR(INDEX(ERP資料!$A:$A, MATCH(705, 輔助計算!$G$2:$G$801, 0)+1), "")), IFERROR(VLOOKUP(LEFT(INDEX(ERP資料!$S:$S, (MATCH(706, 輔助計算!$G$2:$G$801, 0)+1)), 4), 紙管對照表!$A:$C, 3, FALSE), ""), ""), "")</f>
        <v/>
      </c>
      <c r="D707" s="16" t="n"/>
      <c r="E707" s="10">
        <f>IFERROR(IF(INDEX(ERP資料!$H:$H, (MATCH(706, 輔助計算!$G$2:$G$801, 0)+1))="","",INDEX(ERP資料!$H:$H, (MATCH(706, 輔助計算!$G$2:$G$801, 0)+1))), "")</f>
        <v/>
      </c>
      <c r="F707" s="10">
        <f>IFERROR(IF(INDEX(ERP資料!$E:$E, (MATCH(706, 輔助計算!$G$2:$G$801, 0)+1))="","",TRIM(INDEX(ERP資料!$E:$E, (MATCH(706, 輔助計算!$G$2:$G$801, 0)+1)))), "")</f>
        <v/>
      </c>
      <c r="G707" s="10">
        <f>IFERROR(IF(INDEX(ERP資料!$F:$F, (MATCH(706, 輔助計算!$G$2:$G$801, 0)+1))="","",INDEX(ERP資料!$F:$F, (MATCH(706, 輔助計算!$G$2:$G$801, 0)+1))), "")</f>
        <v/>
      </c>
      <c r="H707" s="10">
        <f>IFERROR(IF(INDEX(ERP資料!$G:$G, (MATCH(706, 輔助計算!$G$2:$G$801, 0)+1))="","",INDEX(ERP資料!$G:$G, (MATCH(706, 輔助計算!$G$2:$G$801, 0)+1))), "")</f>
        <v/>
      </c>
      <c r="I707" s="15">
        <f>IFERROR(INDEX(輔助計算!$D:$D, (MATCH(706, 輔助計算!$G$2:$G$801, 0)+1)), "")</f>
        <v/>
      </c>
      <c r="J707" s="15">
        <f>IFERROR(IF(AND(INDEX(輔助計算!$D:$D, (MATCH(706, 輔助計算!$G$2:$G$801, 0)+1))&lt;&gt;"", INDEX(ERP資料!$G:$G, (MATCH(706, 輔助計算!$G$2:$G$801, 0)+1))&lt;&gt;""), TRIM(IF(INT(INDEX(輔助計算!$D:$D, (MATCH(706, 輔助計算!$G$2:$G$801, 0)+1))/IF(INDEX(ERP資料!$G:$G, (MATCH(706, 輔助計算!$G$2:$G$801, 0)+1))&lt;100, IF(INDEX(ERP資料!$G:$G, (MATCH(706, 輔助計算!$G$2:$G$801, 0)+1))&lt;=31,3,IF(INDEX(ERP資料!$G:$G, (MATCH(706, 輔助計算!$G$2:$G$801, 0)+1))&lt;=46.5,2,1)), IF(INDEX(ERP資料!$G:$G, (MATCH(706, 輔助計算!$G$2:$G$801, 0)+1))&lt;=790,3,IF(INDEX(ERP資料!$G:$G, (MATCH(706, 輔助計算!$G$2:$G$801, 0)+1))&lt;=1181,2,1))))&gt;0, IF(IF(INDEX(ERP資料!$G:$G, (MATCH(706, 輔助計算!$G$2:$G$801, 0)+1))&lt;100, IF(INDEX(ERP資料!$G:$G, (MATCH(706, 輔助計算!$G$2:$G$801, 0)+1))&lt;=31,3,IF(INDEX(ERP資料!$G:$G, (MATCH(706, 輔助計算!$G$2:$G$801, 0)+1))&lt;=46.5,2,1)), IF(INDEX(ERP資料!$G:$G, (MATCH(706, 輔助計算!$G$2:$G$801, 0)+1))&lt;=790,3,IF(INDEX(ERP資料!$G:$G, (MATCH(706, 輔助計算!$G$2:$G$801, 0)+1))&lt;=1181,2,1)))=1,TEXT(INDEX(ERP資料!$G:$G, (MATCH(706, 輔助計算!$G$2:$G$801, 0)+1)),"0.##"),IF(IF(INDEX(ERP資料!$G:$G, (MATCH(706, 輔助計算!$G$2:$G$801, 0)+1))&lt;100, IF(INDEX(ERP資料!$G:$G, (MATCH(706, 輔助計算!$G$2:$G$801, 0)+1))&lt;=31,3,IF(INDEX(ERP資料!$G:$G, (MATCH(706, 輔助計算!$G$2:$G$801, 0)+1))&lt;=46.5,2,1)), IF(INDEX(ERP資料!$G:$G, (MATCH(706, 輔助計算!$G$2:$G$801, 0)+1))&lt;=790,3,IF(INDEX(ERP資料!$G:$G, (MATCH(706, 輔助計算!$G$2:$G$801, 0)+1))&lt;=1181,2,1)))=2,TEXT(INDEX(ERP資料!$G:$G, (MATCH(706, 輔助計算!$G$2:$G$801, 0)+1)),"0.##")&amp;"+"&amp;TEXT(INDEX(ERP資料!$G:$G, (MATCH(706, 輔助計算!$G$2:$G$801, 0)+1)),"0.##"),TEXT(INDEX(ERP資料!$G:$G, (MATCH(706, 輔助計算!$G$2:$G$801, 0)+1)),"0.##")&amp;"+"&amp;TEXT(INDEX(ERP資料!$G:$G, (MATCH(706, 輔助計算!$G$2:$G$801, 0)+1)),"0.##")&amp;"+"&amp;TEXT(INDEX(ERP資料!$G:$G, (MATCH(706, 輔助計算!$G$2:$G$801, 0)+1)),"0.##")))&amp;"-"&amp;INT(INDEX(輔助計算!$D:$D, (MATCH(706, 輔助計算!$G$2:$G$801, 0)+1))/IF(INDEX(ERP資料!$G:$G, (MATCH(706, 輔助計算!$G$2:$G$801, 0)+1))&lt;100, IF(INDEX(ERP資料!$G:$G, (MATCH(706, 輔助計算!$G$2:$G$801, 0)+1))&lt;=31,3,IF(INDEX(ERP資料!$G:$G, (MATCH(706, 輔助計算!$G$2:$G$801, 0)+1))&lt;=46.5,2,1)), IF(INDEX(ERP資料!$G:$G, (MATCH(706, 輔助計算!$G$2:$G$801, 0)+1))&lt;=790,3,IF(INDEX(ERP資料!$G:$G, (MATCH(706, 輔助計算!$G$2:$G$801, 0)+1))&lt;=1181,2,1)))), "")&amp;IF(AND(IF(INT(INDEX(輔助計算!$D:$D, (MATCH(706, 輔助計算!$G$2:$G$801, 0)+1))/IF(INDEX(ERP資料!$G:$G, (MATCH(706, 輔助計算!$G$2:$G$801, 0)+1))&lt;100, IF(INDEX(ERP資料!$G:$G, (MATCH(706, 輔助計算!$G$2:$G$801, 0)+1))&lt;=31,3,IF(INDEX(ERP資料!$G:$G, (MATCH(706, 輔助計算!$G$2:$G$801, 0)+1))&lt;=46.5,2,1)), IF(INDEX(ERP資料!$G:$G, (MATCH(706, 輔助計算!$G$2:$G$801, 0)+1))&lt;=790,3,IF(INDEX(ERP資料!$G:$G, (MATCH(706, 輔助計算!$G$2:$G$801, 0)+1))&lt;=1181,2,1))))&gt;0, IF(IF(INDEX(ERP資料!$G:$G, (MATCH(706, 輔助計算!$G$2:$G$801, 0)+1))&lt;100, IF(INDEX(ERP資料!$G:$G, (MATCH(706, 輔助計算!$G$2:$G$801, 0)+1))&lt;=31,3,IF(INDEX(ERP資料!$G:$G, (MATCH(706, 輔助計算!$G$2:$G$801, 0)+1))&lt;=46.5,2,1)), IF(INDEX(ERP資料!$G:$G, (MATCH(706, 輔助計算!$G$2:$G$801, 0)+1))&lt;=790,3,IF(INDEX(ERP資料!$G:$G, (MATCH(706, 輔助計算!$G$2:$G$801, 0)+1))&lt;=1181,2,1)))=1,TEXT(INDEX(ERP資料!$G:$G, (MATCH(706, 輔助計算!$G$2:$G$801, 0)+1)),"0.##"),IF(IF(INDEX(ERP資料!$G:$G, (MATCH(706, 輔助計算!$G$2:$G$801, 0)+1))&lt;100, IF(INDEX(ERP資料!$G:$G, (MATCH(706, 輔助計算!$G$2:$G$801, 0)+1))&lt;=31,3,IF(INDEX(ERP資料!$G:$G, (MATCH(706, 輔助計算!$G$2:$G$801, 0)+1))&lt;=46.5,2,1)), IF(INDEX(ERP資料!$G:$G, (MATCH(706, 輔助計算!$G$2:$G$801, 0)+1))&lt;=790,3,IF(INDEX(ERP資料!$G:$G, (MATCH(706, 輔助計算!$G$2:$G$801, 0)+1))&lt;=1181,2,1)))=2,TEXT(INDEX(ERP資料!$G:$G, (MATCH(706, 輔助計算!$G$2:$G$801, 0)+1)),"0.##")&amp;"+"&amp;TEXT(INDEX(ERP資料!$G:$G, (MATCH(706, 輔助計算!$G$2:$G$801, 0)+1)),"0.##"),TEXT(INDEX(ERP資料!$G:$G, (MATCH(706, 輔助計算!$G$2:$G$801, 0)+1)),"0.##")&amp;"+"&amp;TEXT(INDEX(ERP資料!$G:$G, (MATCH(706, 輔助計算!$G$2:$G$801, 0)+1)),"0.##")&amp;"+"&amp;TEXT(INDEX(ERP資料!$G:$G, (MATCH(706, 輔助計算!$G$2:$G$801, 0)+1)),"0.##")))&amp;"-"&amp;INT(INDEX(輔助計算!$D:$D, (MATCH(706, 輔助計算!$G$2:$G$801, 0)+1))/IF(INDEX(ERP資料!$G:$G, (MATCH(706, 輔助計算!$G$2:$G$801, 0)+1))&lt;100, IF(INDEX(ERP資料!$G:$G, (MATCH(706, 輔助計算!$G$2:$G$801, 0)+1))&lt;=31,3,IF(INDEX(ERP資料!$G:$G, (MATCH(706, 輔助計算!$G$2:$G$801, 0)+1))&lt;=46.5,2,1)), IF(INDEX(ERP資料!$G:$G, (MATCH(706, 輔助計算!$G$2:$G$801, 0)+1))&lt;=790,3,IF(INDEX(ERP資料!$G:$G, (MATCH(706, 輔助計算!$G$2:$G$801, 0)+1))&lt;=1181,2,1)))), "")&lt;&gt;"",IF(MOD(INDEX(輔助計算!$D:$D, (MATCH(706, 輔助計算!$G$2:$G$801, 0)+1)),IF(INDEX(ERP資料!$G:$G, (MATCH(706, 輔助計算!$G$2:$G$801, 0)+1))&lt;100, IF(INDEX(ERP資料!$G:$G, (MATCH(706, 輔助計算!$G$2:$G$801, 0)+1))&lt;=31,3,IF(INDEX(ERP資料!$G:$G, (MATCH(706, 輔助計算!$G$2:$G$801, 0)+1))&lt;=46.5,2,1)), IF(INDEX(ERP資料!$G:$G, (MATCH(706, 輔助計算!$G$2:$G$801, 0)+1))&lt;=790,3,IF(INDEX(ERP資料!$G:$G, (MATCH(706, 輔助計算!$G$2:$G$801, 0)+1))&lt;=1181,2,1))))=0,"",IF(MOD(INDEX(輔助計算!$D:$D, (MATCH(706, 輔助計算!$G$2:$G$801, 0)+1)),IF(INDEX(ERP資料!$G:$G, (MATCH(706, 輔助計算!$G$2:$G$801, 0)+1))&lt;100, IF(INDEX(ERP資料!$G:$G, (MATCH(706, 輔助計算!$G$2:$G$801, 0)+1))&lt;=31,3,IF(INDEX(ERP資料!$G:$G, (MATCH(706, 輔助計算!$G$2:$G$801, 0)+1))&lt;=46.5,2,1)), IF(INDEX(ERP資料!$G:$G, (MATCH(706, 輔助計算!$G$2:$G$801, 0)+1))&lt;=790,3,IF(INDEX(ERP資料!$G:$G, (MATCH(706, 輔助計算!$G$2:$G$801, 0)+1))&lt;=1181,2,1))))=0,"",IF(MOD(INDEX(輔助計算!$D:$D, (MATCH(706, 輔助計算!$G$2:$G$801, 0)+1)),IF(INDEX(ERP資料!$G:$G, (MATCH(706, 輔助計算!$G$2:$G$801, 0)+1))&lt;100, IF(INDEX(ERP資料!$G:$G, (MATCH(706, 輔助計算!$G$2:$G$801, 0)+1))&lt;=31,3,IF(INDEX(ERP資料!$G:$G, (MATCH(706, 輔助計算!$G$2:$G$801, 0)+1))&lt;=46.5,2,1)), IF(INDEX(ERP資料!$G:$G, (MATCH(706, 輔助計算!$G$2:$G$801, 0)+1))&lt;=790,3,IF(INDEX(ERP資料!$G:$G, (MATCH(706, 輔助計算!$G$2:$G$801, 0)+1))&lt;=1181,2,1))))=1,TEXT(INDEX(ERP資料!$G:$G, (MATCH(706, 輔助計算!$G$2:$G$801, 0)+1)),"0.##"),IF(MOD(INDEX(輔助計算!$D:$D, (MATCH(706, 輔助計算!$G$2:$G$801, 0)+1)),IF(INDEX(ERP資料!$G:$G, (MATCH(706, 輔助計算!$G$2:$G$801, 0)+1))&lt;100, IF(INDEX(ERP資料!$G:$G, (MATCH(706, 輔助計算!$G$2:$G$801, 0)+1))&lt;=31,3,IF(INDEX(ERP資料!$G:$G, (MATCH(706, 輔助計算!$G$2:$G$801, 0)+1))&lt;=46.5,2,1)), IF(INDEX(ERP資料!$G:$G, (MATCH(706, 輔助計算!$G$2:$G$801, 0)+1))&lt;=790,3,IF(INDEX(ERP資料!$G:$G, (MATCH(706, 輔助計算!$G$2:$G$801, 0)+1))&lt;=1181,2,1))))=2,TEXT(INDEX(ERP資料!$G:$G, (MATCH(706, 輔助計算!$G$2:$G$801, 0)+1)),"0.##")&amp;"+"&amp;TEXT(INDEX(ERP資料!$G:$G, (MATCH(706, 輔助計算!$G$2:$G$801, 0)+1)),"0.##"),TEXT(INDEX(ERP資料!$G:$G, (MATCH(706, 輔助計算!$G$2:$G$801, 0)+1)),"0.##")&amp;"+"&amp;TEXT(INDEX(ERP資料!$G:$G, (MATCH(706, 輔助計算!$G$2:$G$801, 0)+1)),"0.##")&amp;"+"&amp;TEXT(INDEX(ERP資料!$G:$G, (MATCH(706, 輔助計算!$G$2:$G$801, 0)+1)),"0.##"))))&amp;"-1")&lt;&gt;""),"  ","")&amp;IF(MOD(INDEX(輔助計算!$D:$D, (MATCH(706, 輔助計算!$G$2:$G$801, 0)+1)),IF(INDEX(ERP資料!$G:$G, (MATCH(706, 輔助計算!$G$2:$G$801, 0)+1))&lt;100, IF(INDEX(ERP資料!$G:$G, (MATCH(706, 輔助計算!$G$2:$G$801, 0)+1))&lt;=31,3,IF(INDEX(ERP資料!$G:$G, (MATCH(706, 輔助計算!$G$2:$G$801, 0)+1))&lt;=46.5,2,1)), IF(INDEX(ERP資料!$G:$G, (MATCH(706, 輔助計算!$G$2:$G$801, 0)+1))&lt;=790,3,IF(INDEX(ERP資料!$G:$G, (MATCH(706, 輔助計算!$G$2:$G$801, 0)+1))&lt;=1181,2,1))))=0,"",IF(MOD(INDEX(輔助計算!$D:$D, (MATCH(706, 輔助計算!$G$2:$G$801, 0)+1)),IF(INDEX(ERP資料!$G:$G, (MATCH(706, 輔助計算!$G$2:$G$801, 0)+1))&lt;100, IF(INDEX(ERP資料!$G:$G, (MATCH(706, 輔助計算!$G$2:$G$801, 0)+1))&lt;=31,3,IF(INDEX(ERP資料!$G:$G, (MATCH(706, 輔助計算!$G$2:$G$801, 0)+1))&lt;=46.5,2,1)), IF(INDEX(ERP資料!$G:$G, (MATCH(706, 輔助計算!$G$2:$G$801, 0)+1))&lt;=790,3,IF(INDEX(ERP資料!$G:$G, (MATCH(706, 輔助計算!$G$2:$G$801, 0)+1))&lt;=1181,2,1))))=0,"",IF(MOD(INDEX(輔助計算!$D:$D, (MATCH(706, 輔助計算!$G$2:$G$801, 0)+1)),IF(INDEX(ERP資料!$G:$G, (MATCH(706, 輔助計算!$G$2:$G$801, 0)+1))&lt;100, IF(INDEX(ERP資料!$G:$G, (MATCH(706, 輔助計算!$G$2:$G$801, 0)+1))&lt;=31,3,IF(INDEX(ERP資料!$G:$G, (MATCH(706, 輔助計算!$G$2:$G$801, 0)+1))&lt;=46.5,2,1)), IF(INDEX(ERP資料!$G:$G, (MATCH(706, 輔助計算!$G$2:$G$801, 0)+1))&lt;=790,3,IF(INDEX(ERP資料!$G:$G, (MATCH(706, 輔助計算!$G$2:$G$801, 0)+1))&lt;=1181,2,1))))=1,TEXT(INDEX(ERP資料!$G:$G, (MATCH(706, 輔助計算!$G$2:$G$801, 0)+1)),"0.##"),IF(MOD(INDEX(輔助計算!$D:$D, (MATCH(706, 輔助計算!$G$2:$G$801, 0)+1)),IF(INDEX(ERP資料!$G:$G, (MATCH(706, 輔助計算!$G$2:$G$801, 0)+1))&lt;100, IF(INDEX(ERP資料!$G:$G, (MATCH(706, 輔助計算!$G$2:$G$801, 0)+1))&lt;=31,3,IF(INDEX(ERP資料!$G:$G, (MATCH(706, 輔助計算!$G$2:$G$801, 0)+1))&lt;=46.5,2,1)), IF(INDEX(ERP資料!$G:$G, (MATCH(706, 輔助計算!$G$2:$G$801, 0)+1))&lt;=790,3,IF(INDEX(ERP資料!$G:$G, (MATCH(706, 輔助計算!$G$2:$G$801, 0)+1))&lt;=1181,2,1))))=2,TEXT(INDEX(ERP資料!$G:$G, (MATCH(706, 輔助計算!$G$2:$G$801, 0)+1)),"0.##")&amp;"+"&amp;TEXT(INDEX(ERP資料!$G:$G, (MATCH(706, 輔助計算!$G$2:$G$801, 0)+1)),"0.##"),TEXT(INDEX(ERP資料!$G:$G, (MATCH(706, 輔助計算!$G$2:$G$801, 0)+1)),"0.##")&amp;"+"&amp;TEXT(INDEX(ERP資料!$G:$G, (MATCH(706, 輔助計算!$G$2:$G$801, 0)+1)),"0.##")&amp;"+"&amp;TEXT(INDEX(ERP資料!$G:$G, (MATCH(706, 輔助計算!$G$2:$G$801, 0)+1)),"0.##"))))&amp;"-1")), ""), "")</f>
        <v/>
      </c>
      <c r="K707" s="16" t="n"/>
      <c r="L707" s="14">
        <f>IFERROR(IF(AND(IFERROR(INDEX(ERP資料!$A:$A, (MATCH(706, 輔助計算!$G$2:$G$801, 0)+1)), "")&lt;&gt;"", IFERROR(INDEX(ERP資料!$A:$A, (MATCH(706, 輔助計算!$G$2:$G$801, 0)+1)), "")&lt;&gt;IFERROR(INDEX(ERP資料!$A:$A, MATCH(705, 輔助計算!$G$2:$G$801, 0)+1), "")), INDEX(ERP資料!$B:$B, (MATCH(706, 輔助計算!$G$2:$G$801, 0)+1)), ""), "")</f>
        <v/>
      </c>
      <c r="M707" s="17" t="n"/>
    </row>
    <row r="708">
      <c r="A708" s="10">
        <f>IFERROR(IF(AND(IFERROR(INDEX(ERP資料!$A:$A, (MATCH(707, 輔助計算!$G$2:$G$801, 0)+1)), "")&lt;&gt;"", IFERROR(INDEX(ERP資料!$A:$A, (MATCH(707, 輔助計算!$G$2:$G$801, 0)+1)), "")&lt;&gt;IFERROR(INDEX(ERP資料!$A:$A, MATCH(706, 輔助計算!$G$2:$G$801, 0)+1), "")), IFERROR(INDEX(ERP資料!$A:$A, (MATCH(707, 輔助計算!$G$2:$G$801, 0)+1)), ""), ""), "")</f>
        <v/>
      </c>
      <c r="B708" s="10">
        <f>IFERROR(IF(AND(IFERROR(INDEX(ERP資料!$A:$A, (MATCH(707, 輔助計算!$G$2:$G$801, 0)+1)), "")&lt;&gt;"", IFERROR(INDEX(ERP資料!$A:$A, (MATCH(707, 輔助計算!$G$2:$G$801, 0)+1)), "")&lt;&gt;IFERROR(INDEX(ERP資料!$A:$A, MATCH(706, 輔助計算!$G$2:$G$801, 0)+1), "")), INDEX(ERP資料!$S:$S, (MATCH(707, 輔助計算!$G$2:$G$801, 0)+1)), ""), "")</f>
        <v/>
      </c>
      <c r="C708" s="19">
        <f>IFERROR(IF(AND(IFERROR(INDEX(ERP資料!$A:$A, (MATCH(707, 輔助計算!$G$2:$G$801, 0)+1)), "")&lt;&gt;"", IFERROR(INDEX(ERP資料!$A:$A, (MATCH(707, 輔助計算!$G$2:$G$801, 0)+1)), "")&lt;&gt;IFERROR(INDEX(ERP資料!$A:$A, MATCH(706, 輔助計算!$G$2:$G$801, 0)+1), "")), IFERROR(VLOOKUP(LEFT(INDEX(ERP資料!$S:$S, (MATCH(707, 輔助計算!$G$2:$G$801, 0)+1)), 4), 紙管對照表!$A:$C, 3, FALSE), ""), ""), "")</f>
        <v/>
      </c>
      <c r="D708" s="16" t="n"/>
      <c r="E708" s="10">
        <f>IFERROR(IF(INDEX(ERP資料!$H:$H, (MATCH(707, 輔助計算!$G$2:$G$801, 0)+1))="","",INDEX(ERP資料!$H:$H, (MATCH(707, 輔助計算!$G$2:$G$801, 0)+1))), "")</f>
        <v/>
      </c>
      <c r="F708" s="10">
        <f>IFERROR(IF(INDEX(ERP資料!$E:$E, (MATCH(707, 輔助計算!$G$2:$G$801, 0)+1))="","",TRIM(INDEX(ERP資料!$E:$E, (MATCH(707, 輔助計算!$G$2:$G$801, 0)+1)))), "")</f>
        <v/>
      </c>
      <c r="G708" s="10">
        <f>IFERROR(IF(INDEX(ERP資料!$F:$F, (MATCH(707, 輔助計算!$G$2:$G$801, 0)+1))="","",INDEX(ERP資料!$F:$F, (MATCH(707, 輔助計算!$G$2:$G$801, 0)+1))), "")</f>
        <v/>
      </c>
      <c r="H708" s="10">
        <f>IFERROR(IF(INDEX(ERP資料!$G:$G, (MATCH(707, 輔助計算!$G$2:$G$801, 0)+1))="","",INDEX(ERP資料!$G:$G, (MATCH(707, 輔助計算!$G$2:$G$801, 0)+1))), "")</f>
        <v/>
      </c>
      <c r="I708" s="15">
        <f>IFERROR(INDEX(輔助計算!$D:$D, (MATCH(707, 輔助計算!$G$2:$G$801, 0)+1)), "")</f>
        <v/>
      </c>
      <c r="J708" s="15">
        <f>IFERROR(IF(AND(INDEX(輔助計算!$D:$D, (MATCH(707, 輔助計算!$G$2:$G$801, 0)+1))&lt;&gt;"", INDEX(ERP資料!$G:$G, (MATCH(707, 輔助計算!$G$2:$G$801, 0)+1))&lt;&gt;""), TRIM(IF(INT(INDEX(輔助計算!$D:$D, (MATCH(707, 輔助計算!$G$2:$G$801, 0)+1))/IF(INDEX(ERP資料!$G:$G, (MATCH(707, 輔助計算!$G$2:$G$801, 0)+1))&lt;100, IF(INDEX(ERP資料!$G:$G, (MATCH(707, 輔助計算!$G$2:$G$801, 0)+1))&lt;=31,3,IF(INDEX(ERP資料!$G:$G, (MATCH(707, 輔助計算!$G$2:$G$801, 0)+1))&lt;=46.5,2,1)), IF(INDEX(ERP資料!$G:$G, (MATCH(707, 輔助計算!$G$2:$G$801, 0)+1))&lt;=790,3,IF(INDEX(ERP資料!$G:$G, (MATCH(707, 輔助計算!$G$2:$G$801, 0)+1))&lt;=1181,2,1))))&gt;0, IF(IF(INDEX(ERP資料!$G:$G, (MATCH(707, 輔助計算!$G$2:$G$801, 0)+1))&lt;100, IF(INDEX(ERP資料!$G:$G, (MATCH(707, 輔助計算!$G$2:$G$801, 0)+1))&lt;=31,3,IF(INDEX(ERP資料!$G:$G, (MATCH(707, 輔助計算!$G$2:$G$801, 0)+1))&lt;=46.5,2,1)), IF(INDEX(ERP資料!$G:$G, (MATCH(707, 輔助計算!$G$2:$G$801, 0)+1))&lt;=790,3,IF(INDEX(ERP資料!$G:$G, (MATCH(707, 輔助計算!$G$2:$G$801, 0)+1))&lt;=1181,2,1)))=1,TEXT(INDEX(ERP資料!$G:$G, (MATCH(707, 輔助計算!$G$2:$G$801, 0)+1)),"0.##"),IF(IF(INDEX(ERP資料!$G:$G, (MATCH(707, 輔助計算!$G$2:$G$801, 0)+1))&lt;100, IF(INDEX(ERP資料!$G:$G, (MATCH(707, 輔助計算!$G$2:$G$801, 0)+1))&lt;=31,3,IF(INDEX(ERP資料!$G:$G, (MATCH(707, 輔助計算!$G$2:$G$801, 0)+1))&lt;=46.5,2,1)), IF(INDEX(ERP資料!$G:$G, (MATCH(707, 輔助計算!$G$2:$G$801, 0)+1))&lt;=790,3,IF(INDEX(ERP資料!$G:$G, (MATCH(707, 輔助計算!$G$2:$G$801, 0)+1))&lt;=1181,2,1)))=2,TEXT(INDEX(ERP資料!$G:$G, (MATCH(707, 輔助計算!$G$2:$G$801, 0)+1)),"0.##")&amp;"+"&amp;TEXT(INDEX(ERP資料!$G:$G, (MATCH(707, 輔助計算!$G$2:$G$801, 0)+1)),"0.##"),TEXT(INDEX(ERP資料!$G:$G, (MATCH(707, 輔助計算!$G$2:$G$801, 0)+1)),"0.##")&amp;"+"&amp;TEXT(INDEX(ERP資料!$G:$G, (MATCH(707, 輔助計算!$G$2:$G$801, 0)+1)),"0.##")&amp;"+"&amp;TEXT(INDEX(ERP資料!$G:$G, (MATCH(707, 輔助計算!$G$2:$G$801, 0)+1)),"0.##")))&amp;"-"&amp;INT(INDEX(輔助計算!$D:$D, (MATCH(707, 輔助計算!$G$2:$G$801, 0)+1))/IF(INDEX(ERP資料!$G:$G, (MATCH(707, 輔助計算!$G$2:$G$801, 0)+1))&lt;100, IF(INDEX(ERP資料!$G:$G, (MATCH(707, 輔助計算!$G$2:$G$801, 0)+1))&lt;=31,3,IF(INDEX(ERP資料!$G:$G, (MATCH(707, 輔助計算!$G$2:$G$801, 0)+1))&lt;=46.5,2,1)), IF(INDEX(ERP資料!$G:$G, (MATCH(707, 輔助計算!$G$2:$G$801, 0)+1))&lt;=790,3,IF(INDEX(ERP資料!$G:$G, (MATCH(707, 輔助計算!$G$2:$G$801, 0)+1))&lt;=1181,2,1)))), "")&amp;IF(AND(IF(INT(INDEX(輔助計算!$D:$D, (MATCH(707, 輔助計算!$G$2:$G$801, 0)+1))/IF(INDEX(ERP資料!$G:$G, (MATCH(707, 輔助計算!$G$2:$G$801, 0)+1))&lt;100, IF(INDEX(ERP資料!$G:$G, (MATCH(707, 輔助計算!$G$2:$G$801, 0)+1))&lt;=31,3,IF(INDEX(ERP資料!$G:$G, (MATCH(707, 輔助計算!$G$2:$G$801, 0)+1))&lt;=46.5,2,1)), IF(INDEX(ERP資料!$G:$G, (MATCH(707, 輔助計算!$G$2:$G$801, 0)+1))&lt;=790,3,IF(INDEX(ERP資料!$G:$G, (MATCH(707, 輔助計算!$G$2:$G$801, 0)+1))&lt;=1181,2,1))))&gt;0, IF(IF(INDEX(ERP資料!$G:$G, (MATCH(707, 輔助計算!$G$2:$G$801, 0)+1))&lt;100, IF(INDEX(ERP資料!$G:$G, (MATCH(707, 輔助計算!$G$2:$G$801, 0)+1))&lt;=31,3,IF(INDEX(ERP資料!$G:$G, (MATCH(707, 輔助計算!$G$2:$G$801, 0)+1))&lt;=46.5,2,1)), IF(INDEX(ERP資料!$G:$G, (MATCH(707, 輔助計算!$G$2:$G$801, 0)+1))&lt;=790,3,IF(INDEX(ERP資料!$G:$G, (MATCH(707, 輔助計算!$G$2:$G$801, 0)+1))&lt;=1181,2,1)))=1,TEXT(INDEX(ERP資料!$G:$G, (MATCH(707, 輔助計算!$G$2:$G$801, 0)+1)),"0.##"),IF(IF(INDEX(ERP資料!$G:$G, (MATCH(707, 輔助計算!$G$2:$G$801, 0)+1))&lt;100, IF(INDEX(ERP資料!$G:$G, (MATCH(707, 輔助計算!$G$2:$G$801, 0)+1))&lt;=31,3,IF(INDEX(ERP資料!$G:$G, (MATCH(707, 輔助計算!$G$2:$G$801, 0)+1))&lt;=46.5,2,1)), IF(INDEX(ERP資料!$G:$G, (MATCH(707, 輔助計算!$G$2:$G$801, 0)+1))&lt;=790,3,IF(INDEX(ERP資料!$G:$G, (MATCH(707, 輔助計算!$G$2:$G$801, 0)+1))&lt;=1181,2,1)))=2,TEXT(INDEX(ERP資料!$G:$G, (MATCH(707, 輔助計算!$G$2:$G$801, 0)+1)),"0.##")&amp;"+"&amp;TEXT(INDEX(ERP資料!$G:$G, (MATCH(707, 輔助計算!$G$2:$G$801, 0)+1)),"0.##"),TEXT(INDEX(ERP資料!$G:$G, (MATCH(707, 輔助計算!$G$2:$G$801, 0)+1)),"0.##")&amp;"+"&amp;TEXT(INDEX(ERP資料!$G:$G, (MATCH(707, 輔助計算!$G$2:$G$801, 0)+1)),"0.##")&amp;"+"&amp;TEXT(INDEX(ERP資料!$G:$G, (MATCH(707, 輔助計算!$G$2:$G$801, 0)+1)),"0.##")))&amp;"-"&amp;INT(INDEX(輔助計算!$D:$D, (MATCH(707, 輔助計算!$G$2:$G$801, 0)+1))/IF(INDEX(ERP資料!$G:$G, (MATCH(707, 輔助計算!$G$2:$G$801, 0)+1))&lt;100, IF(INDEX(ERP資料!$G:$G, (MATCH(707, 輔助計算!$G$2:$G$801, 0)+1))&lt;=31,3,IF(INDEX(ERP資料!$G:$G, (MATCH(707, 輔助計算!$G$2:$G$801, 0)+1))&lt;=46.5,2,1)), IF(INDEX(ERP資料!$G:$G, (MATCH(707, 輔助計算!$G$2:$G$801, 0)+1))&lt;=790,3,IF(INDEX(ERP資料!$G:$G, (MATCH(707, 輔助計算!$G$2:$G$801, 0)+1))&lt;=1181,2,1)))), "")&lt;&gt;"",IF(MOD(INDEX(輔助計算!$D:$D, (MATCH(707, 輔助計算!$G$2:$G$801, 0)+1)),IF(INDEX(ERP資料!$G:$G, (MATCH(707, 輔助計算!$G$2:$G$801, 0)+1))&lt;100, IF(INDEX(ERP資料!$G:$G, (MATCH(707, 輔助計算!$G$2:$G$801, 0)+1))&lt;=31,3,IF(INDEX(ERP資料!$G:$G, (MATCH(707, 輔助計算!$G$2:$G$801, 0)+1))&lt;=46.5,2,1)), IF(INDEX(ERP資料!$G:$G, (MATCH(707, 輔助計算!$G$2:$G$801, 0)+1))&lt;=790,3,IF(INDEX(ERP資料!$G:$G, (MATCH(707, 輔助計算!$G$2:$G$801, 0)+1))&lt;=1181,2,1))))=0,"",IF(MOD(INDEX(輔助計算!$D:$D, (MATCH(707, 輔助計算!$G$2:$G$801, 0)+1)),IF(INDEX(ERP資料!$G:$G, (MATCH(707, 輔助計算!$G$2:$G$801, 0)+1))&lt;100, IF(INDEX(ERP資料!$G:$G, (MATCH(707, 輔助計算!$G$2:$G$801, 0)+1))&lt;=31,3,IF(INDEX(ERP資料!$G:$G, (MATCH(707, 輔助計算!$G$2:$G$801, 0)+1))&lt;=46.5,2,1)), IF(INDEX(ERP資料!$G:$G, (MATCH(707, 輔助計算!$G$2:$G$801, 0)+1))&lt;=790,3,IF(INDEX(ERP資料!$G:$G, (MATCH(707, 輔助計算!$G$2:$G$801, 0)+1))&lt;=1181,2,1))))=0,"",IF(MOD(INDEX(輔助計算!$D:$D, (MATCH(707, 輔助計算!$G$2:$G$801, 0)+1)),IF(INDEX(ERP資料!$G:$G, (MATCH(707, 輔助計算!$G$2:$G$801, 0)+1))&lt;100, IF(INDEX(ERP資料!$G:$G, (MATCH(707, 輔助計算!$G$2:$G$801, 0)+1))&lt;=31,3,IF(INDEX(ERP資料!$G:$G, (MATCH(707, 輔助計算!$G$2:$G$801, 0)+1))&lt;=46.5,2,1)), IF(INDEX(ERP資料!$G:$G, (MATCH(707, 輔助計算!$G$2:$G$801, 0)+1))&lt;=790,3,IF(INDEX(ERP資料!$G:$G, (MATCH(707, 輔助計算!$G$2:$G$801, 0)+1))&lt;=1181,2,1))))=1,TEXT(INDEX(ERP資料!$G:$G, (MATCH(707, 輔助計算!$G$2:$G$801, 0)+1)),"0.##"),IF(MOD(INDEX(輔助計算!$D:$D, (MATCH(707, 輔助計算!$G$2:$G$801, 0)+1)),IF(INDEX(ERP資料!$G:$G, (MATCH(707, 輔助計算!$G$2:$G$801, 0)+1))&lt;100, IF(INDEX(ERP資料!$G:$G, (MATCH(707, 輔助計算!$G$2:$G$801, 0)+1))&lt;=31,3,IF(INDEX(ERP資料!$G:$G, (MATCH(707, 輔助計算!$G$2:$G$801, 0)+1))&lt;=46.5,2,1)), IF(INDEX(ERP資料!$G:$G, (MATCH(707, 輔助計算!$G$2:$G$801, 0)+1))&lt;=790,3,IF(INDEX(ERP資料!$G:$G, (MATCH(707, 輔助計算!$G$2:$G$801, 0)+1))&lt;=1181,2,1))))=2,TEXT(INDEX(ERP資料!$G:$G, (MATCH(707, 輔助計算!$G$2:$G$801, 0)+1)),"0.##")&amp;"+"&amp;TEXT(INDEX(ERP資料!$G:$G, (MATCH(707, 輔助計算!$G$2:$G$801, 0)+1)),"0.##"),TEXT(INDEX(ERP資料!$G:$G, (MATCH(707, 輔助計算!$G$2:$G$801, 0)+1)),"0.##")&amp;"+"&amp;TEXT(INDEX(ERP資料!$G:$G, (MATCH(707, 輔助計算!$G$2:$G$801, 0)+1)),"0.##")&amp;"+"&amp;TEXT(INDEX(ERP資料!$G:$G, (MATCH(707, 輔助計算!$G$2:$G$801, 0)+1)),"0.##"))))&amp;"-1")&lt;&gt;""),"  ","")&amp;IF(MOD(INDEX(輔助計算!$D:$D, (MATCH(707, 輔助計算!$G$2:$G$801, 0)+1)),IF(INDEX(ERP資料!$G:$G, (MATCH(707, 輔助計算!$G$2:$G$801, 0)+1))&lt;100, IF(INDEX(ERP資料!$G:$G, (MATCH(707, 輔助計算!$G$2:$G$801, 0)+1))&lt;=31,3,IF(INDEX(ERP資料!$G:$G, (MATCH(707, 輔助計算!$G$2:$G$801, 0)+1))&lt;=46.5,2,1)), IF(INDEX(ERP資料!$G:$G, (MATCH(707, 輔助計算!$G$2:$G$801, 0)+1))&lt;=790,3,IF(INDEX(ERP資料!$G:$G, (MATCH(707, 輔助計算!$G$2:$G$801, 0)+1))&lt;=1181,2,1))))=0,"",IF(MOD(INDEX(輔助計算!$D:$D, (MATCH(707, 輔助計算!$G$2:$G$801, 0)+1)),IF(INDEX(ERP資料!$G:$G, (MATCH(707, 輔助計算!$G$2:$G$801, 0)+1))&lt;100, IF(INDEX(ERP資料!$G:$G, (MATCH(707, 輔助計算!$G$2:$G$801, 0)+1))&lt;=31,3,IF(INDEX(ERP資料!$G:$G, (MATCH(707, 輔助計算!$G$2:$G$801, 0)+1))&lt;=46.5,2,1)), IF(INDEX(ERP資料!$G:$G, (MATCH(707, 輔助計算!$G$2:$G$801, 0)+1))&lt;=790,3,IF(INDEX(ERP資料!$G:$G, (MATCH(707, 輔助計算!$G$2:$G$801, 0)+1))&lt;=1181,2,1))))=0,"",IF(MOD(INDEX(輔助計算!$D:$D, (MATCH(707, 輔助計算!$G$2:$G$801, 0)+1)),IF(INDEX(ERP資料!$G:$G, (MATCH(707, 輔助計算!$G$2:$G$801, 0)+1))&lt;100, IF(INDEX(ERP資料!$G:$G, (MATCH(707, 輔助計算!$G$2:$G$801, 0)+1))&lt;=31,3,IF(INDEX(ERP資料!$G:$G, (MATCH(707, 輔助計算!$G$2:$G$801, 0)+1))&lt;=46.5,2,1)), IF(INDEX(ERP資料!$G:$G, (MATCH(707, 輔助計算!$G$2:$G$801, 0)+1))&lt;=790,3,IF(INDEX(ERP資料!$G:$G, (MATCH(707, 輔助計算!$G$2:$G$801, 0)+1))&lt;=1181,2,1))))=1,TEXT(INDEX(ERP資料!$G:$G, (MATCH(707, 輔助計算!$G$2:$G$801, 0)+1)),"0.##"),IF(MOD(INDEX(輔助計算!$D:$D, (MATCH(707, 輔助計算!$G$2:$G$801, 0)+1)),IF(INDEX(ERP資料!$G:$G, (MATCH(707, 輔助計算!$G$2:$G$801, 0)+1))&lt;100, IF(INDEX(ERP資料!$G:$G, (MATCH(707, 輔助計算!$G$2:$G$801, 0)+1))&lt;=31,3,IF(INDEX(ERP資料!$G:$G, (MATCH(707, 輔助計算!$G$2:$G$801, 0)+1))&lt;=46.5,2,1)), IF(INDEX(ERP資料!$G:$G, (MATCH(707, 輔助計算!$G$2:$G$801, 0)+1))&lt;=790,3,IF(INDEX(ERP資料!$G:$G, (MATCH(707, 輔助計算!$G$2:$G$801, 0)+1))&lt;=1181,2,1))))=2,TEXT(INDEX(ERP資料!$G:$G, (MATCH(707, 輔助計算!$G$2:$G$801, 0)+1)),"0.##")&amp;"+"&amp;TEXT(INDEX(ERP資料!$G:$G, (MATCH(707, 輔助計算!$G$2:$G$801, 0)+1)),"0.##"),TEXT(INDEX(ERP資料!$G:$G, (MATCH(707, 輔助計算!$G$2:$G$801, 0)+1)),"0.##")&amp;"+"&amp;TEXT(INDEX(ERP資料!$G:$G, (MATCH(707, 輔助計算!$G$2:$G$801, 0)+1)),"0.##")&amp;"+"&amp;TEXT(INDEX(ERP資料!$G:$G, (MATCH(707, 輔助計算!$G$2:$G$801, 0)+1)),"0.##"))))&amp;"-1")), ""), "")</f>
        <v/>
      </c>
      <c r="K708" s="16" t="n"/>
      <c r="L708" s="14">
        <f>IFERROR(IF(AND(IFERROR(INDEX(ERP資料!$A:$A, (MATCH(707, 輔助計算!$G$2:$G$801, 0)+1)), "")&lt;&gt;"", IFERROR(INDEX(ERP資料!$A:$A, (MATCH(707, 輔助計算!$G$2:$G$801, 0)+1)), "")&lt;&gt;IFERROR(INDEX(ERP資料!$A:$A, MATCH(706, 輔助計算!$G$2:$G$801, 0)+1), "")), INDEX(ERP資料!$B:$B, (MATCH(707, 輔助計算!$G$2:$G$801, 0)+1)), ""), "")</f>
        <v/>
      </c>
      <c r="M708" s="17" t="n"/>
    </row>
    <row r="709">
      <c r="A709" s="10">
        <f>IFERROR(IF(AND(IFERROR(INDEX(ERP資料!$A:$A, (MATCH(708, 輔助計算!$G$2:$G$801, 0)+1)), "")&lt;&gt;"", IFERROR(INDEX(ERP資料!$A:$A, (MATCH(708, 輔助計算!$G$2:$G$801, 0)+1)), "")&lt;&gt;IFERROR(INDEX(ERP資料!$A:$A, MATCH(707, 輔助計算!$G$2:$G$801, 0)+1), "")), IFERROR(INDEX(ERP資料!$A:$A, (MATCH(708, 輔助計算!$G$2:$G$801, 0)+1)), ""), ""), "")</f>
        <v/>
      </c>
      <c r="B709" s="10">
        <f>IFERROR(IF(AND(IFERROR(INDEX(ERP資料!$A:$A, (MATCH(708, 輔助計算!$G$2:$G$801, 0)+1)), "")&lt;&gt;"", IFERROR(INDEX(ERP資料!$A:$A, (MATCH(708, 輔助計算!$G$2:$G$801, 0)+1)), "")&lt;&gt;IFERROR(INDEX(ERP資料!$A:$A, MATCH(707, 輔助計算!$G$2:$G$801, 0)+1), "")), INDEX(ERP資料!$S:$S, (MATCH(708, 輔助計算!$G$2:$G$801, 0)+1)), ""), "")</f>
        <v/>
      </c>
      <c r="C709" s="19">
        <f>IFERROR(IF(AND(IFERROR(INDEX(ERP資料!$A:$A, (MATCH(708, 輔助計算!$G$2:$G$801, 0)+1)), "")&lt;&gt;"", IFERROR(INDEX(ERP資料!$A:$A, (MATCH(708, 輔助計算!$G$2:$G$801, 0)+1)), "")&lt;&gt;IFERROR(INDEX(ERP資料!$A:$A, MATCH(707, 輔助計算!$G$2:$G$801, 0)+1), "")), IFERROR(VLOOKUP(LEFT(INDEX(ERP資料!$S:$S, (MATCH(708, 輔助計算!$G$2:$G$801, 0)+1)), 4), 紙管對照表!$A:$C, 3, FALSE), ""), ""), "")</f>
        <v/>
      </c>
      <c r="D709" s="16" t="n"/>
      <c r="E709" s="10">
        <f>IFERROR(IF(INDEX(ERP資料!$H:$H, (MATCH(708, 輔助計算!$G$2:$G$801, 0)+1))="","",INDEX(ERP資料!$H:$H, (MATCH(708, 輔助計算!$G$2:$G$801, 0)+1))), "")</f>
        <v/>
      </c>
      <c r="F709" s="10">
        <f>IFERROR(IF(INDEX(ERP資料!$E:$E, (MATCH(708, 輔助計算!$G$2:$G$801, 0)+1))="","",TRIM(INDEX(ERP資料!$E:$E, (MATCH(708, 輔助計算!$G$2:$G$801, 0)+1)))), "")</f>
        <v/>
      </c>
      <c r="G709" s="10">
        <f>IFERROR(IF(INDEX(ERP資料!$F:$F, (MATCH(708, 輔助計算!$G$2:$G$801, 0)+1))="","",INDEX(ERP資料!$F:$F, (MATCH(708, 輔助計算!$G$2:$G$801, 0)+1))), "")</f>
        <v/>
      </c>
      <c r="H709" s="10">
        <f>IFERROR(IF(INDEX(ERP資料!$G:$G, (MATCH(708, 輔助計算!$G$2:$G$801, 0)+1))="","",INDEX(ERP資料!$G:$G, (MATCH(708, 輔助計算!$G$2:$G$801, 0)+1))), "")</f>
        <v/>
      </c>
      <c r="I709" s="15">
        <f>IFERROR(INDEX(輔助計算!$D:$D, (MATCH(708, 輔助計算!$G$2:$G$801, 0)+1)), "")</f>
        <v/>
      </c>
      <c r="J709" s="15">
        <f>IFERROR(IF(AND(INDEX(輔助計算!$D:$D, (MATCH(708, 輔助計算!$G$2:$G$801, 0)+1))&lt;&gt;"", INDEX(ERP資料!$G:$G, (MATCH(708, 輔助計算!$G$2:$G$801, 0)+1))&lt;&gt;""), TRIM(IF(INT(INDEX(輔助計算!$D:$D, (MATCH(708, 輔助計算!$G$2:$G$801, 0)+1))/IF(INDEX(ERP資料!$G:$G, (MATCH(708, 輔助計算!$G$2:$G$801, 0)+1))&lt;100, IF(INDEX(ERP資料!$G:$G, (MATCH(708, 輔助計算!$G$2:$G$801, 0)+1))&lt;=31,3,IF(INDEX(ERP資料!$G:$G, (MATCH(708, 輔助計算!$G$2:$G$801, 0)+1))&lt;=46.5,2,1)), IF(INDEX(ERP資料!$G:$G, (MATCH(708, 輔助計算!$G$2:$G$801, 0)+1))&lt;=790,3,IF(INDEX(ERP資料!$G:$G, (MATCH(708, 輔助計算!$G$2:$G$801, 0)+1))&lt;=1181,2,1))))&gt;0, IF(IF(INDEX(ERP資料!$G:$G, (MATCH(708, 輔助計算!$G$2:$G$801, 0)+1))&lt;100, IF(INDEX(ERP資料!$G:$G, (MATCH(708, 輔助計算!$G$2:$G$801, 0)+1))&lt;=31,3,IF(INDEX(ERP資料!$G:$G, (MATCH(708, 輔助計算!$G$2:$G$801, 0)+1))&lt;=46.5,2,1)), IF(INDEX(ERP資料!$G:$G, (MATCH(708, 輔助計算!$G$2:$G$801, 0)+1))&lt;=790,3,IF(INDEX(ERP資料!$G:$G, (MATCH(708, 輔助計算!$G$2:$G$801, 0)+1))&lt;=1181,2,1)))=1,TEXT(INDEX(ERP資料!$G:$G, (MATCH(708, 輔助計算!$G$2:$G$801, 0)+1)),"0.##"),IF(IF(INDEX(ERP資料!$G:$G, (MATCH(708, 輔助計算!$G$2:$G$801, 0)+1))&lt;100, IF(INDEX(ERP資料!$G:$G, (MATCH(708, 輔助計算!$G$2:$G$801, 0)+1))&lt;=31,3,IF(INDEX(ERP資料!$G:$G, (MATCH(708, 輔助計算!$G$2:$G$801, 0)+1))&lt;=46.5,2,1)), IF(INDEX(ERP資料!$G:$G, (MATCH(708, 輔助計算!$G$2:$G$801, 0)+1))&lt;=790,3,IF(INDEX(ERP資料!$G:$G, (MATCH(708, 輔助計算!$G$2:$G$801, 0)+1))&lt;=1181,2,1)))=2,TEXT(INDEX(ERP資料!$G:$G, (MATCH(708, 輔助計算!$G$2:$G$801, 0)+1)),"0.##")&amp;"+"&amp;TEXT(INDEX(ERP資料!$G:$G, (MATCH(708, 輔助計算!$G$2:$G$801, 0)+1)),"0.##"),TEXT(INDEX(ERP資料!$G:$G, (MATCH(708, 輔助計算!$G$2:$G$801, 0)+1)),"0.##")&amp;"+"&amp;TEXT(INDEX(ERP資料!$G:$G, (MATCH(708, 輔助計算!$G$2:$G$801, 0)+1)),"0.##")&amp;"+"&amp;TEXT(INDEX(ERP資料!$G:$G, (MATCH(708, 輔助計算!$G$2:$G$801, 0)+1)),"0.##")))&amp;"-"&amp;INT(INDEX(輔助計算!$D:$D, (MATCH(708, 輔助計算!$G$2:$G$801, 0)+1))/IF(INDEX(ERP資料!$G:$G, (MATCH(708, 輔助計算!$G$2:$G$801, 0)+1))&lt;100, IF(INDEX(ERP資料!$G:$G, (MATCH(708, 輔助計算!$G$2:$G$801, 0)+1))&lt;=31,3,IF(INDEX(ERP資料!$G:$G, (MATCH(708, 輔助計算!$G$2:$G$801, 0)+1))&lt;=46.5,2,1)), IF(INDEX(ERP資料!$G:$G, (MATCH(708, 輔助計算!$G$2:$G$801, 0)+1))&lt;=790,3,IF(INDEX(ERP資料!$G:$G, (MATCH(708, 輔助計算!$G$2:$G$801, 0)+1))&lt;=1181,2,1)))), "")&amp;IF(AND(IF(INT(INDEX(輔助計算!$D:$D, (MATCH(708, 輔助計算!$G$2:$G$801, 0)+1))/IF(INDEX(ERP資料!$G:$G, (MATCH(708, 輔助計算!$G$2:$G$801, 0)+1))&lt;100, IF(INDEX(ERP資料!$G:$G, (MATCH(708, 輔助計算!$G$2:$G$801, 0)+1))&lt;=31,3,IF(INDEX(ERP資料!$G:$G, (MATCH(708, 輔助計算!$G$2:$G$801, 0)+1))&lt;=46.5,2,1)), IF(INDEX(ERP資料!$G:$G, (MATCH(708, 輔助計算!$G$2:$G$801, 0)+1))&lt;=790,3,IF(INDEX(ERP資料!$G:$G, (MATCH(708, 輔助計算!$G$2:$G$801, 0)+1))&lt;=1181,2,1))))&gt;0, IF(IF(INDEX(ERP資料!$G:$G, (MATCH(708, 輔助計算!$G$2:$G$801, 0)+1))&lt;100, IF(INDEX(ERP資料!$G:$G, (MATCH(708, 輔助計算!$G$2:$G$801, 0)+1))&lt;=31,3,IF(INDEX(ERP資料!$G:$G, (MATCH(708, 輔助計算!$G$2:$G$801, 0)+1))&lt;=46.5,2,1)), IF(INDEX(ERP資料!$G:$G, (MATCH(708, 輔助計算!$G$2:$G$801, 0)+1))&lt;=790,3,IF(INDEX(ERP資料!$G:$G, (MATCH(708, 輔助計算!$G$2:$G$801, 0)+1))&lt;=1181,2,1)))=1,TEXT(INDEX(ERP資料!$G:$G, (MATCH(708, 輔助計算!$G$2:$G$801, 0)+1)),"0.##"),IF(IF(INDEX(ERP資料!$G:$G, (MATCH(708, 輔助計算!$G$2:$G$801, 0)+1))&lt;100, IF(INDEX(ERP資料!$G:$G, (MATCH(708, 輔助計算!$G$2:$G$801, 0)+1))&lt;=31,3,IF(INDEX(ERP資料!$G:$G, (MATCH(708, 輔助計算!$G$2:$G$801, 0)+1))&lt;=46.5,2,1)), IF(INDEX(ERP資料!$G:$G, (MATCH(708, 輔助計算!$G$2:$G$801, 0)+1))&lt;=790,3,IF(INDEX(ERP資料!$G:$G, (MATCH(708, 輔助計算!$G$2:$G$801, 0)+1))&lt;=1181,2,1)))=2,TEXT(INDEX(ERP資料!$G:$G, (MATCH(708, 輔助計算!$G$2:$G$801, 0)+1)),"0.##")&amp;"+"&amp;TEXT(INDEX(ERP資料!$G:$G, (MATCH(708, 輔助計算!$G$2:$G$801, 0)+1)),"0.##"),TEXT(INDEX(ERP資料!$G:$G, (MATCH(708, 輔助計算!$G$2:$G$801, 0)+1)),"0.##")&amp;"+"&amp;TEXT(INDEX(ERP資料!$G:$G, (MATCH(708, 輔助計算!$G$2:$G$801, 0)+1)),"0.##")&amp;"+"&amp;TEXT(INDEX(ERP資料!$G:$G, (MATCH(708, 輔助計算!$G$2:$G$801, 0)+1)),"0.##")))&amp;"-"&amp;INT(INDEX(輔助計算!$D:$D, (MATCH(708, 輔助計算!$G$2:$G$801, 0)+1))/IF(INDEX(ERP資料!$G:$G, (MATCH(708, 輔助計算!$G$2:$G$801, 0)+1))&lt;100, IF(INDEX(ERP資料!$G:$G, (MATCH(708, 輔助計算!$G$2:$G$801, 0)+1))&lt;=31,3,IF(INDEX(ERP資料!$G:$G, (MATCH(708, 輔助計算!$G$2:$G$801, 0)+1))&lt;=46.5,2,1)), IF(INDEX(ERP資料!$G:$G, (MATCH(708, 輔助計算!$G$2:$G$801, 0)+1))&lt;=790,3,IF(INDEX(ERP資料!$G:$G, (MATCH(708, 輔助計算!$G$2:$G$801, 0)+1))&lt;=1181,2,1)))), "")&lt;&gt;"",IF(MOD(INDEX(輔助計算!$D:$D, (MATCH(708, 輔助計算!$G$2:$G$801, 0)+1)),IF(INDEX(ERP資料!$G:$G, (MATCH(708, 輔助計算!$G$2:$G$801, 0)+1))&lt;100, IF(INDEX(ERP資料!$G:$G, (MATCH(708, 輔助計算!$G$2:$G$801, 0)+1))&lt;=31,3,IF(INDEX(ERP資料!$G:$G, (MATCH(708, 輔助計算!$G$2:$G$801, 0)+1))&lt;=46.5,2,1)), IF(INDEX(ERP資料!$G:$G, (MATCH(708, 輔助計算!$G$2:$G$801, 0)+1))&lt;=790,3,IF(INDEX(ERP資料!$G:$G, (MATCH(708, 輔助計算!$G$2:$G$801, 0)+1))&lt;=1181,2,1))))=0,"",IF(MOD(INDEX(輔助計算!$D:$D, (MATCH(708, 輔助計算!$G$2:$G$801, 0)+1)),IF(INDEX(ERP資料!$G:$G, (MATCH(708, 輔助計算!$G$2:$G$801, 0)+1))&lt;100, IF(INDEX(ERP資料!$G:$G, (MATCH(708, 輔助計算!$G$2:$G$801, 0)+1))&lt;=31,3,IF(INDEX(ERP資料!$G:$G, (MATCH(708, 輔助計算!$G$2:$G$801, 0)+1))&lt;=46.5,2,1)), IF(INDEX(ERP資料!$G:$G, (MATCH(708, 輔助計算!$G$2:$G$801, 0)+1))&lt;=790,3,IF(INDEX(ERP資料!$G:$G, (MATCH(708, 輔助計算!$G$2:$G$801, 0)+1))&lt;=1181,2,1))))=0,"",IF(MOD(INDEX(輔助計算!$D:$D, (MATCH(708, 輔助計算!$G$2:$G$801, 0)+1)),IF(INDEX(ERP資料!$G:$G, (MATCH(708, 輔助計算!$G$2:$G$801, 0)+1))&lt;100, IF(INDEX(ERP資料!$G:$G, (MATCH(708, 輔助計算!$G$2:$G$801, 0)+1))&lt;=31,3,IF(INDEX(ERP資料!$G:$G, (MATCH(708, 輔助計算!$G$2:$G$801, 0)+1))&lt;=46.5,2,1)), IF(INDEX(ERP資料!$G:$G, (MATCH(708, 輔助計算!$G$2:$G$801, 0)+1))&lt;=790,3,IF(INDEX(ERP資料!$G:$G, (MATCH(708, 輔助計算!$G$2:$G$801, 0)+1))&lt;=1181,2,1))))=1,TEXT(INDEX(ERP資料!$G:$G, (MATCH(708, 輔助計算!$G$2:$G$801, 0)+1)),"0.##"),IF(MOD(INDEX(輔助計算!$D:$D, (MATCH(708, 輔助計算!$G$2:$G$801, 0)+1)),IF(INDEX(ERP資料!$G:$G, (MATCH(708, 輔助計算!$G$2:$G$801, 0)+1))&lt;100, IF(INDEX(ERP資料!$G:$G, (MATCH(708, 輔助計算!$G$2:$G$801, 0)+1))&lt;=31,3,IF(INDEX(ERP資料!$G:$G, (MATCH(708, 輔助計算!$G$2:$G$801, 0)+1))&lt;=46.5,2,1)), IF(INDEX(ERP資料!$G:$G, (MATCH(708, 輔助計算!$G$2:$G$801, 0)+1))&lt;=790,3,IF(INDEX(ERP資料!$G:$G, (MATCH(708, 輔助計算!$G$2:$G$801, 0)+1))&lt;=1181,2,1))))=2,TEXT(INDEX(ERP資料!$G:$G, (MATCH(708, 輔助計算!$G$2:$G$801, 0)+1)),"0.##")&amp;"+"&amp;TEXT(INDEX(ERP資料!$G:$G, (MATCH(708, 輔助計算!$G$2:$G$801, 0)+1)),"0.##"),TEXT(INDEX(ERP資料!$G:$G, (MATCH(708, 輔助計算!$G$2:$G$801, 0)+1)),"0.##")&amp;"+"&amp;TEXT(INDEX(ERP資料!$G:$G, (MATCH(708, 輔助計算!$G$2:$G$801, 0)+1)),"0.##")&amp;"+"&amp;TEXT(INDEX(ERP資料!$G:$G, (MATCH(708, 輔助計算!$G$2:$G$801, 0)+1)),"0.##"))))&amp;"-1")&lt;&gt;""),"  ","")&amp;IF(MOD(INDEX(輔助計算!$D:$D, (MATCH(708, 輔助計算!$G$2:$G$801, 0)+1)),IF(INDEX(ERP資料!$G:$G, (MATCH(708, 輔助計算!$G$2:$G$801, 0)+1))&lt;100, IF(INDEX(ERP資料!$G:$G, (MATCH(708, 輔助計算!$G$2:$G$801, 0)+1))&lt;=31,3,IF(INDEX(ERP資料!$G:$G, (MATCH(708, 輔助計算!$G$2:$G$801, 0)+1))&lt;=46.5,2,1)), IF(INDEX(ERP資料!$G:$G, (MATCH(708, 輔助計算!$G$2:$G$801, 0)+1))&lt;=790,3,IF(INDEX(ERP資料!$G:$G, (MATCH(708, 輔助計算!$G$2:$G$801, 0)+1))&lt;=1181,2,1))))=0,"",IF(MOD(INDEX(輔助計算!$D:$D, (MATCH(708, 輔助計算!$G$2:$G$801, 0)+1)),IF(INDEX(ERP資料!$G:$G, (MATCH(708, 輔助計算!$G$2:$G$801, 0)+1))&lt;100, IF(INDEX(ERP資料!$G:$G, (MATCH(708, 輔助計算!$G$2:$G$801, 0)+1))&lt;=31,3,IF(INDEX(ERP資料!$G:$G, (MATCH(708, 輔助計算!$G$2:$G$801, 0)+1))&lt;=46.5,2,1)), IF(INDEX(ERP資料!$G:$G, (MATCH(708, 輔助計算!$G$2:$G$801, 0)+1))&lt;=790,3,IF(INDEX(ERP資料!$G:$G, (MATCH(708, 輔助計算!$G$2:$G$801, 0)+1))&lt;=1181,2,1))))=0,"",IF(MOD(INDEX(輔助計算!$D:$D, (MATCH(708, 輔助計算!$G$2:$G$801, 0)+1)),IF(INDEX(ERP資料!$G:$G, (MATCH(708, 輔助計算!$G$2:$G$801, 0)+1))&lt;100, IF(INDEX(ERP資料!$G:$G, (MATCH(708, 輔助計算!$G$2:$G$801, 0)+1))&lt;=31,3,IF(INDEX(ERP資料!$G:$G, (MATCH(708, 輔助計算!$G$2:$G$801, 0)+1))&lt;=46.5,2,1)), IF(INDEX(ERP資料!$G:$G, (MATCH(708, 輔助計算!$G$2:$G$801, 0)+1))&lt;=790,3,IF(INDEX(ERP資料!$G:$G, (MATCH(708, 輔助計算!$G$2:$G$801, 0)+1))&lt;=1181,2,1))))=1,TEXT(INDEX(ERP資料!$G:$G, (MATCH(708, 輔助計算!$G$2:$G$801, 0)+1)),"0.##"),IF(MOD(INDEX(輔助計算!$D:$D, (MATCH(708, 輔助計算!$G$2:$G$801, 0)+1)),IF(INDEX(ERP資料!$G:$G, (MATCH(708, 輔助計算!$G$2:$G$801, 0)+1))&lt;100, IF(INDEX(ERP資料!$G:$G, (MATCH(708, 輔助計算!$G$2:$G$801, 0)+1))&lt;=31,3,IF(INDEX(ERP資料!$G:$G, (MATCH(708, 輔助計算!$G$2:$G$801, 0)+1))&lt;=46.5,2,1)), IF(INDEX(ERP資料!$G:$G, (MATCH(708, 輔助計算!$G$2:$G$801, 0)+1))&lt;=790,3,IF(INDEX(ERP資料!$G:$G, (MATCH(708, 輔助計算!$G$2:$G$801, 0)+1))&lt;=1181,2,1))))=2,TEXT(INDEX(ERP資料!$G:$G, (MATCH(708, 輔助計算!$G$2:$G$801, 0)+1)),"0.##")&amp;"+"&amp;TEXT(INDEX(ERP資料!$G:$G, (MATCH(708, 輔助計算!$G$2:$G$801, 0)+1)),"0.##"),TEXT(INDEX(ERP資料!$G:$G, (MATCH(708, 輔助計算!$G$2:$G$801, 0)+1)),"0.##")&amp;"+"&amp;TEXT(INDEX(ERP資料!$G:$G, (MATCH(708, 輔助計算!$G$2:$G$801, 0)+1)),"0.##")&amp;"+"&amp;TEXT(INDEX(ERP資料!$G:$G, (MATCH(708, 輔助計算!$G$2:$G$801, 0)+1)),"0.##"))))&amp;"-1")), ""), "")</f>
        <v/>
      </c>
      <c r="K709" s="16" t="n"/>
      <c r="L709" s="14">
        <f>IFERROR(IF(AND(IFERROR(INDEX(ERP資料!$A:$A, (MATCH(708, 輔助計算!$G$2:$G$801, 0)+1)), "")&lt;&gt;"", IFERROR(INDEX(ERP資料!$A:$A, (MATCH(708, 輔助計算!$G$2:$G$801, 0)+1)), "")&lt;&gt;IFERROR(INDEX(ERP資料!$A:$A, MATCH(707, 輔助計算!$G$2:$G$801, 0)+1), "")), INDEX(ERP資料!$B:$B, (MATCH(708, 輔助計算!$G$2:$G$801, 0)+1)), ""), "")</f>
        <v/>
      </c>
      <c r="M709" s="17" t="n"/>
    </row>
    <row r="710">
      <c r="A710" s="10">
        <f>IFERROR(IF(AND(IFERROR(INDEX(ERP資料!$A:$A, (MATCH(709, 輔助計算!$G$2:$G$801, 0)+1)), "")&lt;&gt;"", IFERROR(INDEX(ERP資料!$A:$A, (MATCH(709, 輔助計算!$G$2:$G$801, 0)+1)), "")&lt;&gt;IFERROR(INDEX(ERP資料!$A:$A, MATCH(708, 輔助計算!$G$2:$G$801, 0)+1), "")), IFERROR(INDEX(ERP資料!$A:$A, (MATCH(709, 輔助計算!$G$2:$G$801, 0)+1)), ""), ""), "")</f>
        <v/>
      </c>
      <c r="B710" s="10">
        <f>IFERROR(IF(AND(IFERROR(INDEX(ERP資料!$A:$A, (MATCH(709, 輔助計算!$G$2:$G$801, 0)+1)), "")&lt;&gt;"", IFERROR(INDEX(ERP資料!$A:$A, (MATCH(709, 輔助計算!$G$2:$G$801, 0)+1)), "")&lt;&gt;IFERROR(INDEX(ERP資料!$A:$A, MATCH(708, 輔助計算!$G$2:$G$801, 0)+1), "")), INDEX(ERP資料!$S:$S, (MATCH(709, 輔助計算!$G$2:$G$801, 0)+1)), ""), "")</f>
        <v/>
      </c>
      <c r="C710" s="19">
        <f>IFERROR(IF(AND(IFERROR(INDEX(ERP資料!$A:$A, (MATCH(709, 輔助計算!$G$2:$G$801, 0)+1)), "")&lt;&gt;"", IFERROR(INDEX(ERP資料!$A:$A, (MATCH(709, 輔助計算!$G$2:$G$801, 0)+1)), "")&lt;&gt;IFERROR(INDEX(ERP資料!$A:$A, MATCH(708, 輔助計算!$G$2:$G$801, 0)+1), "")), IFERROR(VLOOKUP(LEFT(INDEX(ERP資料!$S:$S, (MATCH(709, 輔助計算!$G$2:$G$801, 0)+1)), 4), 紙管對照表!$A:$C, 3, FALSE), ""), ""), "")</f>
        <v/>
      </c>
      <c r="D710" s="16" t="n"/>
      <c r="E710" s="10">
        <f>IFERROR(IF(INDEX(ERP資料!$H:$H, (MATCH(709, 輔助計算!$G$2:$G$801, 0)+1))="","",INDEX(ERP資料!$H:$H, (MATCH(709, 輔助計算!$G$2:$G$801, 0)+1))), "")</f>
        <v/>
      </c>
      <c r="F710" s="10">
        <f>IFERROR(IF(INDEX(ERP資料!$E:$E, (MATCH(709, 輔助計算!$G$2:$G$801, 0)+1))="","",TRIM(INDEX(ERP資料!$E:$E, (MATCH(709, 輔助計算!$G$2:$G$801, 0)+1)))), "")</f>
        <v/>
      </c>
      <c r="G710" s="10">
        <f>IFERROR(IF(INDEX(ERP資料!$F:$F, (MATCH(709, 輔助計算!$G$2:$G$801, 0)+1))="","",INDEX(ERP資料!$F:$F, (MATCH(709, 輔助計算!$G$2:$G$801, 0)+1))), "")</f>
        <v/>
      </c>
      <c r="H710" s="10">
        <f>IFERROR(IF(INDEX(ERP資料!$G:$G, (MATCH(709, 輔助計算!$G$2:$G$801, 0)+1))="","",INDEX(ERP資料!$G:$G, (MATCH(709, 輔助計算!$G$2:$G$801, 0)+1))), "")</f>
        <v/>
      </c>
      <c r="I710" s="15">
        <f>IFERROR(INDEX(輔助計算!$D:$D, (MATCH(709, 輔助計算!$G$2:$G$801, 0)+1)), "")</f>
        <v/>
      </c>
      <c r="J710" s="15">
        <f>IFERROR(IF(AND(INDEX(輔助計算!$D:$D, (MATCH(709, 輔助計算!$G$2:$G$801, 0)+1))&lt;&gt;"", INDEX(ERP資料!$G:$G, (MATCH(709, 輔助計算!$G$2:$G$801, 0)+1))&lt;&gt;""), TRIM(IF(INT(INDEX(輔助計算!$D:$D, (MATCH(709, 輔助計算!$G$2:$G$801, 0)+1))/IF(INDEX(ERP資料!$G:$G, (MATCH(709, 輔助計算!$G$2:$G$801, 0)+1))&lt;100, IF(INDEX(ERP資料!$G:$G, (MATCH(709, 輔助計算!$G$2:$G$801, 0)+1))&lt;=31,3,IF(INDEX(ERP資料!$G:$G, (MATCH(709, 輔助計算!$G$2:$G$801, 0)+1))&lt;=46.5,2,1)), IF(INDEX(ERP資料!$G:$G, (MATCH(709, 輔助計算!$G$2:$G$801, 0)+1))&lt;=790,3,IF(INDEX(ERP資料!$G:$G, (MATCH(709, 輔助計算!$G$2:$G$801, 0)+1))&lt;=1181,2,1))))&gt;0, IF(IF(INDEX(ERP資料!$G:$G, (MATCH(709, 輔助計算!$G$2:$G$801, 0)+1))&lt;100, IF(INDEX(ERP資料!$G:$G, (MATCH(709, 輔助計算!$G$2:$G$801, 0)+1))&lt;=31,3,IF(INDEX(ERP資料!$G:$G, (MATCH(709, 輔助計算!$G$2:$G$801, 0)+1))&lt;=46.5,2,1)), IF(INDEX(ERP資料!$G:$G, (MATCH(709, 輔助計算!$G$2:$G$801, 0)+1))&lt;=790,3,IF(INDEX(ERP資料!$G:$G, (MATCH(709, 輔助計算!$G$2:$G$801, 0)+1))&lt;=1181,2,1)))=1,TEXT(INDEX(ERP資料!$G:$G, (MATCH(709, 輔助計算!$G$2:$G$801, 0)+1)),"0.##"),IF(IF(INDEX(ERP資料!$G:$G, (MATCH(709, 輔助計算!$G$2:$G$801, 0)+1))&lt;100, IF(INDEX(ERP資料!$G:$G, (MATCH(709, 輔助計算!$G$2:$G$801, 0)+1))&lt;=31,3,IF(INDEX(ERP資料!$G:$G, (MATCH(709, 輔助計算!$G$2:$G$801, 0)+1))&lt;=46.5,2,1)), IF(INDEX(ERP資料!$G:$G, (MATCH(709, 輔助計算!$G$2:$G$801, 0)+1))&lt;=790,3,IF(INDEX(ERP資料!$G:$G, (MATCH(709, 輔助計算!$G$2:$G$801, 0)+1))&lt;=1181,2,1)))=2,TEXT(INDEX(ERP資料!$G:$G, (MATCH(709, 輔助計算!$G$2:$G$801, 0)+1)),"0.##")&amp;"+"&amp;TEXT(INDEX(ERP資料!$G:$G, (MATCH(709, 輔助計算!$G$2:$G$801, 0)+1)),"0.##"),TEXT(INDEX(ERP資料!$G:$G, (MATCH(709, 輔助計算!$G$2:$G$801, 0)+1)),"0.##")&amp;"+"&amp;TEXT(INDEX(ERP資料!$G:$G, (MATCH(709, 輔助計算!$G$2:$G$801, 0)+1)),"0.##")&amp;"+"&amp;TEXT(INDEX(ERP資料!$G:$G, (MATCH(709, 輔助計算!$G$2:$G$801, 0)+1)),"0.##")))&amp;"-"&amp;INT(INDEX(輔助計算!$D:$D, (MATCH(709, 輔助計算!$G$2:$G$801, 0)+1))/IF(INDEX(ERP資料!$G:$G, (MATCH(709, 輔助計算!$G$2:$G$801, 0)+1))&lt;100, IF(INDEX(ERP資料!$G:$G, (MATCH(709, 輔助計算!$G$2:$G$801, 0)+1))&lt;=31,3,IF(INDEX(ERP資料!$G:$G, (MATCH(709, 輔助計算!$G$2:$G$801, 0)+1))&lt;=46.5,2,1)), IF(INDEX(ERP資料!$G:$G, (MATCH(709, 輔助計算!$G$2:$G$801, 0)+1))&lt;=790,3,IF(INDEX(ERP資料!$G:$G, (MATCH(709, 輔助計算!$G$2:$G$801, 0)+1))&lt;=1181,2,1)))), "")&amp;IF(AND(IF(INT(INDEX(輔助計算!$D:$D, (MATCH(709, 輔助計算!$G$2:$G$801, 0)+1))/IF(INDEX(ERP資料!$G:$G, (MATCH(709, 輔助計算!$G$2:$G$801, 0)+1))&lt;100, IF(INDEX(ERP資料!$G:$G, (MATCH(709, 輔助計算!$G$2:$G$801, 0)+1))&lt;=31,3,IF(INDEX(ERP資料!$G:$G, (MATCH(709, 輔助計算!$G$2:$G$801, 0)+1))&lt;=46.5,2,1)), IF(INDEX(ERP資料!$G:$G, (MATCH(709, 輔助計算!$G$2:$G$801, 0)+1))&lt;=790,3,IF(INDEX(ERP資料!$G:$G, (MATCH(709, 輔助計算!$G$2:$G$801, 0)+1))&lt;=1181,2,1))))&gt;0, IF(IF(INDEX(ERP資料!$G:$G, (MATCH(709, 輔助計算!$G$2:$G$801, 0)+1))&lt;100, IF(INDEX(ERP資料!$G:$G, (MATCH(709, 輔助計算!$G$2:$G$801, 0)+1))&lt;=31,3,IF(INDEX(ERP資料!$G:$G, (MATCH(709, 輔助計算!$G$2:$G$801, 0)+1))&lt;=46.5,2,1)), IF(INDEX(ERP資料!$G:$G, (MATCH(709, 輔助計算!$G$2:$G$801, 0)+1))&lt;=790,3,IF(INDEX(ERP資料!$G:$G, (MATCH(709, 輔助計算!$G$2:$G$801, 0)+1))&lt;=1181,2,1)))=1,TEXT(INDEX(ERP資料!$G:$G, (MATCH(709, 輔助計算!$G$2:$G$801, 0)+1)),"0.##"),IF(IF(INDEX(ERP資料!$G:$G, (MATCH(709, 輔助計算!$G$2:$G$801, 0)+1))&lt;100, IF(INDEX(ERP資料!$G:$G, (MATCH(709, 輔助計算!$G$2:$G$801, 0)+1))&lt;=31,3,IF(INDEX(ERP資料!$G:$G, (MATCH(709, 輔助計算!$G$2:$G$801, 0)+1))&lt;=46.5,2,1)), IF(INDEX(ERP資料!$G:$G, (MATCH(709, 輔助計算!$G$2:$G$801, 0)+1))&lt;=790,3,IF(INDEX(ERP資料!$G:$G, (MATCH(709, 輔助計算!$G$2:$G$801, 0)+1))&lt;=1181,2,1)))=2,TEXT(INDEX(ERP資料!$G:$G, (MATCH(709, 輔助計算!$G$2:$G$801, 0)+1)),"0.##")&amp;"+"&amp;TEXT(INDEX(ERP資料!$G:$G, (MATCH(709, 輔助計算!$G$2:$G$801, 0)+1)),"0.##"),TEXT(INDEX(ERP資料!$G:$G, (MATCH(709, 輔助計算!$G$2:$G$801, 0)+1)),"0.##")&amp;"+"&amp;TEXT(INDEX(ERP資料!$G:$G, (MATCH(709, 輔助計算!$G$2:$G$801, 0)+1)),"0.##")&amp;"+"&amp;TEXT(INDEX(ERP資料!$G:$G, (MATCH(709, 輔助計算!$G$2:$G$801, 0)+1)),"0.##")))&amp;"-"&amp;INT(INDEX(輔助計算!$D:$D, (MATCH(709, 輔助計算!$G$2:$G$801, 0)+1))/IF(INDEX(ERP資料!$G:$G, (MATCH(709, 輔助計算!$G$2:$G$801, 0)+1))&lt;100, IF(INDEX(ERP資料!$G:$G, (MATCH(709, 輔助計算!$G$2:$G$801, 0)+1))&lt;=31,3,IF(INDEX(ERP資料!$G:$G, (MATCH(709, 輔助計算!$G$2:$G$801, 0)+1))&lt;=46.5,2,1)), IF(INDEX(ERP資料!$G:$G, (MATCH(709, 輔助計算!$G$2:$G$801, 0)+1))&lt;=790,3,IF(INDEX(ERP資料!$G:$G, (MATCH(709, 輔助計算!$G$2:$G$801, 0)+1))&lt;=1181,2,1)))), "")&lt;&gt;"",IF(MOD(INDEX(輔助計算!$D:$D, (MATCH(709, 輔助計算!$G$2:$G$801, 0)+1)),IF(INDEX(ERP資料!$G:$G, (MATCH(709, 輔助計算!$G$2:$G$801, 0)+1))&lt;100, IF(INDEX(ERP資料!$G:$G, (MATCH(709, 輔助計算!$G$2:$G$801, 0)+1))&lt;=31,3,IF(INDEX(ERP資料!$G:$G, (MATCH(709, 輔助計算!$G$2:$G$801, 0)+1))&lt;=46.5,2,1)), IF(INDEX(ERP資料!$G:$G, (MATCH(709, 輔助計算!$G$2:$G$801, 0)+1))&lt;=790,3,IF(INDEX(ERP資料!$G:$G, (MATCH(709, 輔助計算!$G$2:$G$801, 0)+1))&lt;=1181,2,1))))=0,"",IF(MOD(INDEX(輔助計算!$D:$D, (MATCH(709, 輔助計算!$G$2:$G$801, 0)+1)),IF(INDEX(ERP資料!$G:$G, (MATCH(709, 輔助計算!$G$2:$G$801, 0)+1))&lt;100, IF(INDEX(ERP資料!$G:$G, (MATCH(709, 輔助計算!$G$2:$G$801, 0)+1))&lt;=31,3,IF(INDEX(ERP資料!$G:$G, (MATCH(709, 輔助計算!$G$2:$G$801, 0)+1))&lt;=46.5,2,1)), IF(INDEX(ERP資料!$G:$G, (MATCH(709, 輔助計算!$G$2:$G$801, 0)+1))&lt;=790,3,IF(INDEX(ERP資料!$G:$G, (MATCH(709, 輔助計算!$G$2:$G$801, 0)+1))&lt;=1181,2,1))))=0,"",IF(MOD(INDEX(輔助計算!$D:$D, (MATCH(709, 輔助計算!$G$2:$G$801, 0)+1)),IF(INDEX(ERP資料!$G:$G, (MATCH(709, 輔助計算!$G$2:$G$801, 0)+1))&lt;100, IF(INDEX(ERP資料!$G:$G, (MATCH(709, 輔助計算!$G$2:$G$801, 0)+1))&lt;=31,3,IF(INDEX(ERP資料!$G:$G, (MATCH(709, 輔助計算!$G$2:$G$801, 0)+1))&lt;=46.5,2,1)), IF(INDEX(ERP資料!$G:$G, (MATCH(709, 輔助計算!$G$2:$G$801, 0)+1))&lt;=790,3,IF(INDEX(ERP資料!$G:$G, (MATCH(709, 輔助計算!$G$2:$G$801, 0)+1))&lt;=1181,2,1))))=1,TEXT(INDEX(ERP資料!$G:$G, (MATCH(709, 輔助計算!$G$2:$G$801, 0)+1)),"0.##"),IF(MOD(INDEX(輔助計算!$D:$D, (MATCH(709, 輔助計算!$G$2:$G$801, 0)+1)),IF(INDEX(ERP資料!$G:$G, (MATCH(709, 輔助計算!$G$2:$G$801, 0)+1))&lt;100, IF(INDEX(ERP資料!$G:$G, (MATCH(709, 輔助計算!$G$2:$G$801, 0)+1))&lt;=31,3,IF(INDEX(ERP資料!$G:$G, (MATCH(709, 輔助計算!$G$2:$G$801, 0)+1))&lt;=46.5,2,1)), IF(INDEX(ERP資料!$G:$G, (MATCH(709, 輔助計算!$G$2:$G$801, 0)+1))&lt;=790,3,IF(INDEX(ERP資料!$G:$G, (MATCH(709, 輔助計算!$G$2:$G$801, 0)+1))&lt;=1181,2,1))))=2,TEXT(INDEX(ERP資料!$G:$G, (MATCH(709, 輔助計算!$G$2:$G$801, 0)+1)),"0.##")&amp;"+"&amp;TEXT(INDEX(ERP資料!$G:$G, (MATCH(709, 輔助計算!$G$2:$G$801, 0)+1)),"0.##"),TEXT(INDEX(ERP資料!$G:$G, (MATCH(709, 輔助計算!$G$2:$G$801, 0)+1)),"0.##")&amp;"+"&amp;TEXT(INDEX(ERP資料!$G:$G, (MATCH(709, 輔助計算!$G$2:$G$801, 0)+1)),"0.##")&amp;"+"&amp;TEXT(INDEX(ERP資料!$G:$G, (MATCH(709, 輔助計算!$G$2:$G$801, 0)+1)),"0.##"))))&amp;"-1")&lt;&gt;""),"  ","")&amp;IF(MOD(INDEX(輔助計算!$D:$D, (MATCH(709, 輔助計算!$G$2:$G$801, 0)+1)),IF(INDEX(ERP資料!$G:$G, (MATCH(709, 輔助計算!$G$2:$G$801, 0)+1))&lt;100, IF(INDEX(ERP資料!$G:$G, (MATCH(709, 輔助計算!$G$2:$G$801, 0)+1))&lt;=31,3,IF(INDEX(ERP資料!$G:$G, (MATCH(709, 輔助計算!$G$2:$G$801, 0)+1))&lt;=46.5,2,1)), IF(INDEX(ERP資料!$G:$G, (MATCH(709, 輔助計算!$G$2:$G$801, 0)+1))&lt;=790,3,IF(INDEX(ERP資料!$G:$G, (MATCH(709, 輔助計算!$G$2:$G$801, 0)+1))&lt;=1181,2,1))))=0,"",IF(MOD(INDEX(輔助計算!$D:$D, (MATCH(709, 輔助計算!$G$2:$G$801, 0)+1)),IF(INDEX(ERP資料!$G:$G, (MATCH(709, 輔助計算!$G$2:$G$801, 0)+1))&lt;100, IF(INDEX(ERP資料!$G:$G, (MATCH(709, 輔助計算!$G$2:$G$801, 0)+1))&lt;=31,3,IF(INDEX(ERP資料!$G:$G, (MATCH(709, 輔助計算!$G$2:$G$801, 0)+1))&lt;=46.5,2,1)), IF(INDEX(ERP資料!$G:$G, (MATCH(709, 輔助計算!$G$2:$G$801, 0)+1))&lt;=790,3,IF(INDEX(ERP資料!$G:$G, (MATCH(709, 輔助計算!$G$2:$G$801, 0)+1))&lt;=1181,2,1))))=0,"",IF(MOD(INDEX(輔助計算!$D:$D, (MATCH(709, 輔助計算!$G$2:$G$801, 0)+1)),IF(INDEX(ERP資料!$G:$G, (MATCH(709, 輔助計算!$G$2:$G$801, 0)+1))&lt;100, IF(INDEX(ERP資料!$G:$G, (MATCH(709, 輔助計算!$G$2:$G$801, 0)+1))&lt;=31,3,IF(INDEX(ERP資料!$G:$G, (MATCH(709, 輔助計算!$G$2:$G$801, 0)+1))&lt;=46.5,2,1)), IF(INDEX(ERP資料!$G:$G, (MATCH(709, 輔助計算!$G$2:$G$801, 0)+1))&lt;=790,3,IF(INDEX(ERP資料!$G:$G, (MATCH(709, 輔助計算!$G$2:$G$801, 0)+1))&lt;=1181,2,1))))=1,TEXT(INDEX(ERP資料!$G:$G, (MATCH(709, 輔助計算!$G$2:$G$801, 0)+1)),"0.##"),IF(MOD(INDEX(輔助計算!$D:$D, (MATCH(709, 輔助計算!$G$2:$G$801, 0)+1)),IF(INDEX(ERP資料!$G:$G, (MATCH(709, 輔助計算!$G$2:$G$801, 0)+1))&lt;100, IF(INDEX(ERP資料!$G:$G, (MATCH(709, 輔助計算!$G$2:$G$801, 0)+1))&lt;=31,3,IF(INDEX(ERP資料!$G:$G, (MATCH(709, 輔助計算!$G$2:$G$801, 0)+1))&lt;=46.5,2,1)), IF(INDEX(ERP資料!$G:$G, (MATCH(709, 輔助計算!$G$2:$G$801, 0)+1))&lt;=790,3,IF(INDEX(ERP資料!$G:$G, (MATCH(709, 輔助計算!$G$2:$G$801, 0)+1))&lt;=1181,2,1))))=2,TEXT(INDEX(ERP資料!$G:$G, (MATCH(709, 輔助計算!$G$2:$G$801, 0)+1)),"0.##")&amp;"+"&amp;TEXT(INDEX(ERP資料!$G:$G, (MATCH(709, 輔助計算!$G$2:$G$801, 0)+1)),"0.##"),TEXT(INDEX(ERP資料!$G:$G, (MATCH(709, 輔助計算!$G$2:$G$801, 0)+1)),"0.##")&amp;"+"&amp;TEXT(INDEX(ERP資料!$G:$G, (MATCH(709, 輔助計算!$G$2:$G$801, 0)+1)),"0.##")&amp;"+"&amp;TEXT(INDEX(ERP資料!$G:$G, (MATCH(709, 輔助計算!$G$2:$G$801, 0)+1)),"0.##"))))&amp;"-1")), ""), "")</f>
        <v/>
      </c>
      <c r="K710" s="16" t="n"/>
      <c r="L710" s="14">
        <f>IFERROR(IF(AND(IFERROR(INDEX(ERP資料!$A:$A, (MATCH(709, 輔助計算!$G$2:$G$801, 0)+1)), "")&lt;&gt;"", IFERROR(INDEX(ERP資料!$A:$A, (MATCH(709, 輔助計算!$G$2:$G$801, 0)+1)), "")&lt;&gt;IFERROR(INDEX(ERP資料!$A:$A, MATCH(708, 輔助計算!$G$2:$G$801, 0)+1), "")), INDEX(ERP資料!$B:$B, (MATCH(709, 輔助計算!$G$2:$G$801, 0)+1)), ""), "")</f>
        <v/>
      </c>
      <c r="M710" s="17" t="n"/>
    </row>
    <row r="711">
      <c r="A711" s="10">
        <f>IFERROR(IF(AND(IFERROR(INDEX(ERP資料!$A:$A, (MATCH(710, 輔助計算!$G$2:$G$801, 0)+1)), "")&lt;&gt;"", IFERROR(INDEX(ERP資料!$A:$A, (MATCH(710, 輔助計算!$G$2:$G$801, 0)+1)), "")&lt;&gt;IFERROR(INDEX(ERP資料!$A:$A, MATCH(709, 輔助計算!$G$2:$G$801, 0)+1), "")), IFERROR(INDEX(ERP資料!$A:$A, (MATCH(710, 輔助計算!$G$2:$G$801, 0)+1)), ""), ""), "")</f>
        <v/>
      </c>
      <c r="B711" s="10">
        <f>IFERROR(IF(AND(IFERROR(INDEX(ERP資料!$A:$A, (MATCH(710, 輔助計算!$G$2:$G$801, 0)+1)), "")&lt;&gt;"", IFERROR(INDEX(ERP資料!$A:$A, (MATCH(710, 輔助計算!$G$2:$G$801, 0)+1)), "")&lt;&gt;IFERROR(INDEX(ERP資料!$A:$A, MATCH(709, 輔助計算!$G$2:$G$801, 0)+1), "")), INDEX(ERP資料!$S:$S, (MATCH(710, 輔助計算!$G$2:$G$801, 0)+1)), ""), "")</f>
        <v/>
      </c>
      <c r="C711" s="19">
        <f>IFERROR(IF(AND(IFERROR(INDEX(ERP資料!$A:$A, (MATCH(710, 輔助計算!$G$2:$G$801, 0)+1)), "")&lt;&gt;"", IFERROR(INDEX(ERP資料!$A:$A, (MATCH(710, 輔助計算!$G$2:$G$801, 0)+1)), "")&lt;&gt;IFERROR(INDEX(ERP資料!$A:$A, MATCH(709, 輔助計算!$G$2:$G$801, 0)+1), "")), IFERROR(VLOOKUP(LEFT(INDEX(ERP資料!$S:$S, (MATCH(710, 輔助計算!$G$2:$G$801, 0)+1)), 4), 紙管對照表!$A:$C, 3, FALSE), ""), ""), "")</f>
        <v/>
      </c>
      <c r="D711" s="16" t="n"/>
      <c r="E711" s="10">
        <f>IFERROR(IF(INDEX(ERP資料!$H:$H, (MATCH(710, 輔助計算!$G$2:$G$801, 0)+1))="","",INDEX(ERP資料!$H:$H, (MATCH(710, 輔助計算!$G$2:$G$801, 0)+1))), "")</f>
        <v/>
      </c>
      <c r="F711" s="10">
        <f>IFERROR(IF(INDEX(ERP資料!$E:$E, (MATCH(710, 輔助計算!$G$2:$G$801, 0)+1))="","",TRIM(INDEX(ERP資料!$E:$E, (MATCH(710, 輔助計算!$G$2:$G$801, 0)+1)))), "")</f>
        <v/>
      </c>
      <c r="G711" s="10">
        <f>IFERROR(IF(INDEX(ERP資料!$F:$F, (MATCH(710, 輔助計算!$G$2:$G$801, 0)+1))="","",INDEX(ERP資料!$F:$F, (MATCH(710, 輔助計算!$G$2:$G$801, 0)+1))), "")</f>
        <v/>
      </c>
      <c r="H711" s="10">
        <f>IFERROR(IF(INDEX(ERP資料!$G:$G, (MATCH(710, 輔助計算!$G$2:$G$801, 0)+1))="","",INDEX(ERP資料!$G:$G, (MATCH(710, 輔助計算!$G$2:$G$801, 0)+1))), "")</f>
        <v/>
      </c>
      <c r="I711" s="15">
        <f>IFERROR(INDEX(輔助計算!$D:$D, (MATCH(710, 輔助計算!$G$2:$G$801, 0)+1)), "")</f>
        <v/>
      </c>
      <c r="J711" s="15">
        <f>IFERROR(IF(AND(INDEX(輔助計算!$D:$D, (MATCH(710, 輔助計算!$G$2:$G$801, 0)+1))&lt;&gt;"", INDEX(ERP資料!$G:$G, (MATCH(710, 輔助計算!$G$2:$G$801, 0)+1))&lt;&gt;""), TRIM(IF(INT(INDEX(輔助計算!$D:$D, (MATCH(710, 輔助計算!$G$2:$G$801, 0)+1))/IF(INDEX(ERP資料!$G:$G, (MATCH(710, 輔助計算!$G$2:$G$801, 0)+1))&lt;100, IF(INDEX(ERP資料!$G:$G, (MATCH(710, 輔助計算!$G$2:$G$801, 0)+1))&lt;=31,3,IF(INDEX(ERP資料!$G:$G, (MATCH(710, 輔助計算!$G$2:$G$801, 0)+1))&lt;=46.5,2,1)), IF(INDEX(ERP資料!$G:$G, (MATCH(710, 輔助計算!$G$2:$G$801, 0)+1))&lt;=790,3,IF(INDEX(ERP資料!$G:$G, (MATCH(710, 輔助計算!$G$2:$G$801, 0)+1))&lt;=1181,2,1))))&gt;0, IF(IF(INDEX(ERP資料!$G:$G, (MATCH(710, 輔助計算!$G$2:$G$801, 0)+1))&lt;100, IF(INDEX(ERP資料!$G:$G, (MATCH(710, 輔助計算!$G$2:$G$801, 0)+1))&lt;=31,3,IF(INDEX(ERP資料!$G:$G, (MATCH(710, 輔助計算!$G$2:$G$801, 0)+1))&lt;=46.5,2,1)), IF(INDEX(ERP資料!$G:$G, (MATCH(710, 輔助計算!$G$2:$G$801, 0)+1))&lt;=790,3,IF(INDEX(ERP資料!$G:$G, (MATCH(710, 輔助計算!$G$2:$G$801, 0)+1))&lt;=1181,2,1)))=1,TEXT(INDEX(ERP資料!$G:$G, (MATCH(710, 輔助計算!$G$2:$G$801, 0)+1)),"0.##"),IF(IF(INDEX(ERP資料!$G:$G, (MATCH(710, 輔助計算!$G$2:$G$801, 0)+1))&lt;100, IF(INDEX(ERP資料!$G:$G, (MATCH(710, 輔助計算!$G$2:$G$801, 0)+1))&lt;=31,3,IF(INDEX(ERP資料!$G:$G, (MATCH(710, 輔助計算!$G$2:$G$801, 0)+1))&lt;=46.5,2,1)), IF(INDEX(ERP資料!$G:$G, (MATCH(710, 輔助計算!$G$2:$G$801, 0)+1))&lt;=790,3,IF(INDEX(ERP資料!$G:$G, (MATCH(710, 輔助計算!$G$2:$G$801, 0)+1))&lt;=1181,2,1)))=2,TEXT(INDEX(ERP資料!$G:$G, (MATCH(710, 輔助計算!$G$2:$G$801, 0)+1)),"0.##")&amp;"+"&amp;TEXT(INDEX(ERP資料!$G:$G, (MATCH(710, 輔助計算!$G$2:$G$801, 0)+1)),"0.##"),TEXT(INDEX(ERP資料!$G:$G, (MATCH(710, 輔助計算!$G$2:$G$801, 0)+1)),"0.##")&amp;"+"&amp;TEXT(INDEX(ERP資料!$G:$G, (MATCH(710, 輔助計算!$G$2:$G$801, 0)+1)),"0.##")&amp;"+"&amp;TEXT(INDEX(ERP資料!$G:$G, (MATCH(710, 輔助計算!$G$2:$G$801, 0)+1)),"0.##")))&amp;"-"&amp;INT(INDEX(輔助計算!$D:$D, (MATCH(710, 輔助計算!$G$2:$G$801, 0)+1))/IF(INDEX(ERP資料!$G:$G, (MATCH(710, 輔助計算!$G$2:$G$801, 0)+1))&lt;100, IF(INDEX(ERP資料!$G:$G, (MATCH(710, 輔助計算!$G$2:$G$801, 0)+1))&lt;=31,3,IF(INDEX(ERP資料!$G:$G, (MATCH(710, 輔助計算!$G$2:$G$801, 0)+1))&lt;=46.5,2,1)), IF(INDEX(ERP資料!$G:$G, (MATCH(710, 輔助計算!$G$2:$G$801, 0)+1))&lt;=790,3,IF(INDEX(ERP資料!$G:$G, (MATCH(710, 輔助計算!$G$2:$G$801, 0)+1))&lt;=1181,2,1)))), "")&amp;IF(AND(IF(INT(INDEX(輔助計算!$D:$D, (MATCH(710, 輔助計算!$G$2:$G$801, 0)+1))/IF(INDEX(ERP資料!$G:$G, (MATCH(710, 輔助計算!$G$2:$G$801, 0)+1))&lt;100, IF(INDEX(ERP資料!$G:$G, (MATCH(710, 輔助計算!$G$2:$G$801, 0)+1))&lt;=31,3,IF(INDEX(ERP資料!$G:$G, (MATCH(710, 輔助計算!$G$2:$G$801, 0)+1))&lt;=46.5,2,1)), IF(INDEX(ERP資料!$G:$G, (MATCH(710, 輔助計算!$G$2:$G$801, 0)+1))&lt;=790,3,IF(INDEX(ERP資料!$G:$G, (MATCH(710, 輔助計算!$G$2:$G$801, 0)+1))&lt;=1181,2,1))))&gt;0, IF(IF(INDEX(ERP資料!$G:$G, (MATCH(710, 輔助計算!$G$2:$G$801, 0)+1))&lt;100, IF(INDEX(ERP資料!$G:$G, (MATCH(710, 輔助計算!$G$2:$G$801, 0)+1))&lt;=31,3,IF(INDEX(ERP資料!$G:$G, (MATCH(710, 輔助計算!$G$2:$G$801, 0)+1))&lt;=46.5,2,1)), IF(INDEX(ERP資料!$G:$G, (MATCH(710, 輔助計算!$G$2:$G$801, 0)+1))&lt;=790,3,IF(INDEX(ERP資料!$G:$G, (MATCH(710, 輔助計算!$G$2:$G$801, 0)+1))&lt;=1181,2,1)))=1,TEXT(INDEX(ERP資料!$G:$G, (MATCH(710, 輔助計算!$G$2:$G$801, 0)+1)),"0.##"),IF(IF(INDEX(ERP資料!$G:$G, (MATCH(710, 輔助計算!$G$2:$G$801, 0)+1))&lt;100, IF(INDEX(ERP資料!$G:$G, (MATCH(710, 輔助計算!$G$2:$G$801, 0)+1))&lt;=31,3,IF(INDEX(ERP資料!$G:$G, (MATCH(710, 輔助計算!$G$2:$G$801, 0)+1))&lt;=46.5,2,1)), IF(INDEX(ERP資料!$G:$G, (MATCH(710, 輔助計算!$G$2:$G$801, 0)+1))&lt;=790,3,IF(INDEX(ERP資料!$G:$G, (MATCH(710, 輔助計算!$G$2:$G$801, 0)+1))&lt;=1181,2,1)))=2,TEXT(INDEX(ERP資料!$G:$G, (MATCH(710, 輔助計算!$G$2:$G$801, 0)+1)),"0.##")&amp;"+"&amp;TEXT(INDEX(ERP資料!$G:$G, (MATCH(710, 輔助計算!$G$2:$G$801, 0)+1)),"0.##"),TEXT(INDEX(ERP資料!$G:$G, (MATCH(710, 輔助計算!$G$2:$G$801, 0)+1)),"0.##")&amp;"+"&amp;TEXT(INDEX(ERP資料!$G:$G, (MATCH(710, 輔助計算!$G$2:$G$801, 0)+1)),"0.##")&amp;"+"&amp;TEXT(INDEX(ERP資料!$G:$G, (MATCH(710, 輔助計算!$G$2:$G$801, 0)+1)),"0.##")))&amp;"-"&amp;INT(INDEX(輔助計算!$D:$D, (MATCH(710, 輔助計算!$G$2:$G$801, 0)+1))/IF(INDEX(ERP資料!$G:$G, (MATCH(710, 輔助計算!$G$2:$G$801, 0)+1))&lt;100, IF(INDEX(ERP資料!$G:$G, (MATCH(710, 輔助計算!$G$2:$G$801, 0)+1))&lt;=31,3,IF(INDEX(ERP資料!$G:$G, (MATCH(710, 輔助計算!$G$2:$G$801, 0)+1))&lt;=46.5,2,1)), IF(INDEX(ERP資料!$G:$G, (MATCH(710, 輔助計算!$G$2:$G$801, 0)+1))&lt;=790,3,IF(INDEX(ERP資料!$G:$G, (MATCH(710, 輔助計算!$G$2:$G$801, 0)+1))&lt;=1181,2,1)))), "")&lt;&gt;"",IF(MOD(INDEX(輔助計算!$D:$D, (MATCH(710, 輔助計算!$G$2:$G$801, 0)+1)),IF(INDEX(ERP資料!$G:$G, (MATCH(710, 輔助計算!$G$2:$G$801, 0)+1))&lt;100, IF(INDEX(ERP資料!$G:$G, (MATCH(710, 輔助計算!$G$2:$G$801, 0)+1))&lt;=31,3,IF(INDEX(ERP資料!$G:$G, (MATCH(710, 輔助計算!$G$2:$G$801, 0)+1))&lt;=46.5,2,1)), IF(INDEX(ERP資料!$G:$G, (MATCH(710, 輔助計算!$G$2:$G$801, 0)+1))&lt;=790,3,IF(INDEX(ERP資料!$G:$G, (MATCH(710, 輔助計算!$G$2:$G$801, 0)+1))&lt;=1181,2,1))))=0,"",IF(MOD(INDEX(輔助計算!$D:$D, (MATCH(710, 輔助計算!$G$2:$G$801, 0)+1)),IF(INDEX(ERP資料!$G:$G, (MATCH(710, 輔助計算!$G$2:$G$801, 0)+1))&lt;100, IF(INDEX(ERP資料!$G:$G, (MATCH(710, 輔助計算!$G$2:$G$801, 0)+1))&lt;=31,3,IF(INDEX(ERP資料!$G:$G, (MATCH(710, 輔助計算!$G$2:$G$801, 0)+1))&lt;=46.5,2,1)), IF(INDEX(ERP資料!$G:$G, (MATCH(710, 輔助計算!$G$2:$G$801, 0)+1))&lt;=790,3,IF(INDEX(ERP資料!$G:$G, (MATCH(710, 輔助計算!$G$2:$G$801, 0)+1))&lt;=1181,2,1))))=0,"",IF(MOD(INDEX(輔助計算!$D:$D, (MATCH(710, 輔助計算!$G$2:$G$801, 0)+1)),IF(INDEX(ERP資料!$G:$G, (MATCH(710, 輔助計算!$G$2:$G$801, 0)+1))&lt;100, IF(INDEX(ERP資料!$G:$G, (MATCH(710, 輔助計算!$G$2:$G$801, 0)+1))&lt;=31,3,IF(INDEX(ERP資料!$G:$G, (MATCH(710, 輔助計算!$G$2:$G$801, 0)+1))&lt;=46.5,2,1)), IF(INDEX(ERP資料!$G:$G, (MATCH(710, 輔助計算!$G$2:$G$801, 0)+1))&lt;=790,3,IF(INDEX(ERP資料!$G:$G, (MATCH(710, 輔助計算!$G$2:$G$801, 0)+1))&lt;=1181,2,1))))=1,TEXT(INDEX(ERP資料!$G:$G, (MATCH(710, 輔助計算!$G$2:$G$801, 0)+1)),"0.##"),IF(MOD(INDEX(輔助計算!$D:$D, (MATCH(710, 輔助計算!$G$2:$G$801, 0)+1)),IF(INDEX(ERP資料!$G:$G, (MATCH(710, 輔助計算!$G$2:$G$801, 0)+1))&lt;100, IF(INDEX(ERP資料!$G:$G, (MATCH(710, 輔助計算!$G$2:$G$801, 0)+1))&lt;=31,3,IF(INDEX(ERP資料!$G:$G, (MATCH(710, 輔助計算!$G$2:$G$801, 0)+1))&lt;=46.5,2,1)), IF(INDEX(ERP資料!$G:$G, (MATCH(710, 輔助計算!$G$2:$G$801, 0)+1))&lt;=790,3,IF(INDEX(ERP資料!$G:$G, (MATCH(710, 輔助計算!$G$2:$G$801, 0)+1))&lt;=1181,2,1))))=2,TEXT(INDEX(ERP資料!$G:$G, (MATCH(710, 輔助計算!$G$2:$G$801, 0)+1)),"0.##")&amp;"+"&amp;TEXT(INDEX(ERP資料!$G:$G, (MATCH(710, 輔助計算!$G$2:$G$801, 0)+1)),"0.##"),TEXT(INDEX(ERP資料!$G:$G, (MATCH(710, 輔助計算!$G$2:$G$801, 0)+1)),"0.##")&amp;"+"&amp;TEXT(INDEX(ERP資料!$G:$G, (MATCH(710, 輔助計算!$G$2:$G$801, 0)+1)),"0.##")&amp;"+"&amp;TEXT(INDEX(ERP資料!$G:$G, (MATCH(710, 輔助計算!$G$2:$G$801, 0)+1)),"0.##"))))&amp;"-1")&lt;&gt;""),"  ","")&amp;IF(MOD(INDEX(輔助計算!$D:$D, (MATCH(710, 輔助計算!$G$2:$G$801, 0)+1)),IF(INDEX(ERP資料!$G:$G, (MATCH(710, 輔助計算!$G$2:$G$801, 0)+1))&lt;100, IF(INDEX(ERP資料!$G:$G, (MATCH(710, 輔助計算!$G$2:$G$801, 0)+1))&lt;=31,3,IF(INDEX(ERP資料!$G:$G, (MATCH(710, 輔助計算!$G$2:$G$801, 0)+1))&lt;=46.5,2,1)), IF(INDEX(ERP資料!$G:$G, (MATCH(710, 輔助計算!$G$2:$G$801, 0)+1))&lt;=790,3,IF(INDEX(ERP資料!$G:$G, (MATCH(710, 輔助計算!$G$2:$G$801, 0)+1))&lt;=1181,2,1))))=0,"",IF(MOD(INDEX(輔助計算!$D:$D, (MATCH(710, 輔助計算!$G$2:$G$801, 0)+1)),IF(INDEX(ERP資料!$G:$G, (MATCH(710, 輔助計算!$G$2:$G$801, 0)+1))&lt;100, IF(INDEX(ERP資料!$G:$G, (MATCH(710, 輔助計算!$G$2:$G$801, 0)+1))&lt;=31,3,IF(INDEX(ERP資料!$G:$G, (MATCH(710, 輔助計算!$G$2:$G$801, 0)+1))&lt;=46.5,2,1)), IF(INDEX(ERP資料!$G:$G, (MATCH(710, 輔助計算!$G$2:$G$801, 0)+1))&lt;=790,3,IF(INDEX(ERP資料!$G:$G, (MATCH(710, 輔助計算!$G$2:$G$801, 0)+1))&lt;=1181,2,1))))=0,"",IF(MOD(INDEX(輔助計算!$D:$D, (MATCH(710, 輔助計算!$G$2:$G$801, 0)+1)),IF(INDEX(ERP資料!$G:$G, (MATCH(710, 輔助計算!$G$2:$G$801, 0)+1))&lt;100, IF(INDEX(ERP資料!$G:$G, (MATCH(710, 輔助計算!$G$2:$G$801, 0)+1))&lt;=31,3,IF(INDEX(ERP資料!$G:$G, (MATCH(710, 輔助計算!$G$2:$G$801, 0)+1))&lt;=46.5,2,1)), IF(INDEX(ERP資料!$G:$G, (MATCH(710, 輔助計算!$G$2:$G$801, 0)+1))&lt;=790,3,IF(INDEX(ERP資料!$G:$G, (MATCH(710, 輔助計算!$G$2:$G$801, 0)+1))&lt;=1181,2,1))))=1,TEXT(INDEX(ERP資料!$G:$G, (MATCH(710, 輔助計算!$G$2:$G$801, 0)+1)),"0.##"),IF(MOD(INDEX(輔助計算!$D:$D, (MATCH(710, 輔助計算!$G$2:$G$801, 0)+1)),IF(INDEX(ERP資料!$G:$G, (MATCH(710, 輔助計算!$G$2:$G$801, 0)+1))&lt;100, IF(INDEX(ERP資料!$G:$G, (MATCH(710, 輔助計算!$G$2:$G$801, 0)+1))&lt;=31,3,IF(INDEX(ERP資料!$G:$G, (MATCH(710, 輔助計算!$G$2:$G$801, 0)+1))&lt;=46.5,2,1)), IF(INDEX(ERP資料!$G:$G, (MATCH(710, 輔助計算!$G$2:$G$801, 0)+1))&lt;=790,3,IF(INDEX(ERP資料!$G:$G, (MATCH(710, 輔助計算!$G$2:$G$801, 0)+1))&lt;=1181,2,1))))=2,TEXT(INDEX(ERP資料!$G:$G, (MATCH(710, 輔助計算!$G$2:$G$801, 0)+1)),"0.##")&amp;"+"&amp;TEXT(INDEX(ERP資料!$G:$G, (MATCH(710, 輔助計算!$G$2:$G$801, 0)+1)),"0.##"),TEXT(INDEX(ERP資料!$G:$G, (MATCH(710, 輔助計算!$G$2:$G$801, 0)+1)),"0.##")&amp;"+"&amp;TEXT(INDEX(ERP資料!$G:$G, (MATCH(710, 輔助計算!$G$2:$G$801, 0)+1)),"0.##")&amp;"+"&amp;TEXT(INDEX(ERP資料!$G:$G, (MATCH(710, 輔助計算!$G$2:$G$801, 0)+1)),"0.##"))))&amp;"-1")), ""), "")</f>
        <v/>
      </c>
      <c r="K711" s="16" t="n"/>
      <c r="L711" s="14">
        <f>IFERROR(IF(AND(IFERROR(INDEX(ERP資料!$A:$A, (MATCH(710, 輔助計算!$G$2:$G$801, 0)+1)), "")&lt;&gt;"", IFERROR(INDEX(ERP資料!$A:$A, (MATCH(710, 輔助計算!$G$2:$G$801, 0)+1)), "")&lt;&gt;IFERROR(INDEX(ERP資料!$A:$A, MATCH(709, 輔助計算!$G$2:$G$801, 0)+1), "")), INDEX(ERP資料!$B:$B, (MATCH(710, 輔助計算!$G$2:$G$801, 0)+1)), ""), "")</f>
        <v/>
      </c>
      <c r="M711" s="17" t="n"/>
    </row>
    <row r="712">
      <c r="A712" s="10">
        <f>IFERROR(IF(AND(IFERROR(INDEX(ERP資料!$A:$A, (MATCH(711, 輔助計算!$G$2:$G$801, 0)+1)), "")&lt;&gt;"", IFERROR(INDEX(ERP資料!$A:$A, (MATCH(711, 輔助計算!$G$2:$G$801, 0)+1)), "")&lt;&gt;IFERROR(INDEX(ERP資料!$A:$A, MATCH(710, 輔助計算!$G$2:$G$801, 0)+1), "")), IFERROR(INDEX(ERP資料!$A:$A, (MATCH(711, 輔助計算!$G$2:$G$801, 0)+1)), ""), ""), "")</f>
        <v/>
      </c>
      <c r="B712" s="10">
        <f>IFERROR(IF(AND(IFERROR(INDEX(ERP資料!$A:$A, (MATCH(711, 輔助計算!$G$2:$G$801, 0)+1)), "")&lt;&gt;"", IFERROR(INDEX(ERP資料!$A:$A, (MATCH(711, 輔助計算!$G$2:$G$801, 0)+1)), "")&lt;&gt;IFERROR(INDEX(ERP資料!$A:$A, MATCH(710, 輔助計算!$G$2:$G$801, 0)+1), "")), INDEX(ERP資料!$S:$S, (MATCH(711, 輔助計算!$G$2:$G$801, 0)+1)), ""), "")</f>
        <v/>
      </c>
      <c r="C712" s="19">
        <f>IFERROR(IF(AND(IFERROR(INDEX(ERP資料!$A:$A, (MATCH(711, 輔助計算!$G$2:$G$801, 0)+1)), "")&lt;&gt;"", IFERROR(INDEX(ERP資料!$A:$A, (MATCH(711, 輔助計算!$G$2:$G$801, 0)+1)), "")&lt;&gt;IFERROR(INDEX(ERP資料!$A:$A, MATCH(710, 輔助計算!$G$2:$G$801, 0)+1), "")), IFERROR(VLOOKUP(LEFT(INDEX(ERP資料!$S:$S, (MATCH(711, 輔助計算!$G$2:$G$801, 0)+1)), 4), 紙管對照表!$A:$C, 3, FALSE), ""), ""), "")</f>
        <v/>
      </c>
      <c r="D712" s="16" t="n"/>
      <c r="E712" s="10">
        <f>IFERROR(IF(INDEX(ERP資料!$H:$H, (MATCH(711, 輔助計算!$G$2:$G$801, 0)+1))="","",INDEX(ERP資料!$H:$H, (MATCH(711, 輔助計算!$G$2:$G$801, 0)+1))), "")</f>
        <v/>
      </c>
      <c r="F712" s="10">
        <f>IFERROR(IF(INDEX(ERP資料!$E:$E, (MATCH(711, 輔助計算!$G$2:$G$801, 0)+1))="","",TRIM(INDEX(ERP資料!$E:$E, (MATCH(711, 輔助計算!$G$2:$G$801, 0)+1)))), "")</f>
        <v/>
      </c>
      <c r="G712" s="10">
        <f>IFERROR(IF(INDEX(ERP資料!$F:$F, (MATCH(711, 輔助計算!$G$2:$G$801, 0)+1))="","",INDEX(ERP資料!$F:$F, (MATCH(711, 輔助計算!$G$2:$G$801, 0)+1))), "")</f>
        <v/>
      </c>
      <c r="H712" s="10">
        <f>IFERROR(IF(INDEX(ERP資料!$G:$G, (MATCH(711, 輔助計算!$G$2:$G$801, 0)+1))="","",INDEX(ERP資料!$G:$G, (MATCH(711, 輔助計算!$G$2:$G$801, 0)+1))), "")</f>
        <v/>
      </c>
      <c r="I712" s="15">
        <f>IFERROR(INDEX(輔助計算!$D:$D, (MATCH(711, 輔助計算!$G$2:$G$801, 0)+1)), "")</f>
        <v/>
      </c>
      <c r="J712" s="15">
        <f>IFERROR(IF(AND(INDEX(輔助計算!$D:$D, (MATCH(711, 輔助計算!$G$2:$G$801, 0)+1))&lt;&gt;"", INDEX(ERP資料!$G:$G, (MATCH(711, 輔助計算!$G$2:$G$801, 0)+1))&lt;&gt;""), TRIM(IF(INT(INDEX(輔助計算!$D:$D, (MATCH(711, 輔助計算!$G$2:$G$801, 0)+1))/IF(INDEX(ERP資料!$G:$G, (MATCH(711, 輔助計算!$G$2:$G$801, 0)+1))&lt;100, IF(INDEX(ERP資料!$G:$G, (MATCH(711, 輔助計算!$G$2:$G$801, 0)+1))&lt;=31,3,IF(INDEX(ERP資料!$G:$G, (MATCH(711, 輔助計算!$G$2:$G$801, 0)+1))&lt;=46.5,2,1)), IF(INDEX(ERP資料!$G:$G, (MATCH(711, 輔助計算!$G$2:$G$801, 0)+1))&lt;=790,3,IF(INDEX(ERP資料!$G:$G, (MATCH(711, 輔助計算!$G$2:$G$801, 0)+1))&lt;=1181,2,1))))&gt;0, IF(IF(INDEX(ERP資料!$G:$G, (MATCH(711, 輔助計算!$G$2:$G$801, 0)+1))&lt;100, IF(INDEX(ERP資料!$G:$G, (MATCH(711, 輔助計算!$G$2:$G$801, 0)+1))&lt;=31,3,IF(INDEX(ERP資料!$G:$G, (MATCH(711, 輔助計算!$G$2:$G$801, 0)+1))&lt;=46.5,2,1)), IF(INDEX(ERP資料!$G:$G, (MATCH(711, 輔助計算!$G$2:$G$801, 0)+1))&lt;=790,3,IF(INDEX(ERP資料!$G:$G, (MATCH(711, 輔助計算!$G$2:$G$801, 0)+1))&lt;=1181,2,1)))=1,TEXT(INDEX(ERP資料!$G:$G, (MATCH(711, 輔助計算!$G$2:$G$801, 0)+1)),"0.##"),IF(IF(INDEX(ERP資料!$G:$G, (MATCH(711, 輔助計算!$G$2:$G$801, 0)+1))&lt;100, IF(INDEX(ERP資料!$G:$G, (MATCH(711, 輔助計算!$G$2:$G$801, 0)+1))&lt;=31,3,IF(INDEX(ERP資料!$G:$G, (MATCH(711, 輔助計算!$G$2:$G$801, 0)+1))&lt;=46.5,2,1)), IF(INDEX(ERP資料!$G:$G, (MATCH(711, 輔助計算!$G$2:$G$801, 0)+1))&lt;=790,3,IF(INDEX(ERP資料!$G:$G, (MATCH(711, 輔助計算!$G$2:$G$801, 0)+1))&lt;=1181,2,1)))=2,TEXT(INDEX(ERP資料!$G:$G, (MATCH(711, 輔助計算!$G$2:$G$801, 0)+1)),"0.##")&amp;"+"&amp;TEXT(INDEX(ERP資料!$G:$G, (MATCH(711, 輔助計算!$G$2:$G$801, 0)+1)),"0.##"),TEXT(INDEX(ERP資料!$G:$G, (MATCH(711, 輔助計算!$G$2:$G$801, 0)+1)),"0.##")&amp;"+"&amp;TEXT(INDEX(ERP資料!$G:$G, (MATCH(711, 輔助計算!$G$2:$G$801, 0)+1)),"0.##")&amp;"+"&amp;TEXT(INDEX(ERP資料!$G:$G, (MATCH(711, 輔助計算!$G$2:$G$801, 0)+1)),"0.##")))&amp;"-"&amp;INT(INDEX(輔助計算!$D:$D, (MATCH(711, 輔助計算!$G$2:$G$801, 0)+1))/IF(INDEX(ERP資料!$G:$G, (MATCH(711, 輔助計算!$G$2:$G$801, 0)+1))&lt;100, IF(INDEX(ERP資料!$G:$G, (MATCH(711, 輔助計算!$G$2:$G$801, 0)+1))&lt;=31,3,IF(INDEX(ERP資料!$G:$G, (MATCH(711, 輔助計算!$G$2:$G$801, 0)+1))&lt;=46.5,2,1)), IF(INDEX(ERP資料!$G:$G, (MATCH(711, 輔助計算!$G$2:$G$801, 0)+1))&lt;=790,3,IF(INDEX(ERP資料!$G:$G, (MATCH(711, 輔助計算!$G$2:$G$801, 0)+1))&lt;=1181,2,1)))), "")&amp;IF(AND(IF(INT(INDEX(輔助計算!$D:$D, (MATCH(711, 輔助計算!$G$2:$G$801, 0)+1))/IF(INDEX(ERP資料!$G:$G, (MATCH(711, 輔助計算!$G$2:$G$801, 0)+1))&lt;100, IF(INDEX(ERP資料!$G:$G, (MATCH(711, 輔助計算!$G$2:$G$801, 0)+1))&lt;=31,3,IF(INDEX(ERP資料!$G:$G, (MATCH(711, 輔助計算!$G$2:$G$801, 0)+1))&lt;=46.5,2,1)), IF(INDEX(ERP資料!$G:$G, (MATCH(711, 輔助計算!$G$2:$G$801, 0)+1))&lt;=790,3,IF(INDEX(ERP資料!$G:$G, (MATCH(711, 輔助計算!$G$2:$G$801, 0)+1))&lt;=1181,2,1))))&gt;0, IF(IF(INDEX(ERP資料!$G:$G, (MATCH(711, 輔助計算!$G$2:$G$801, 0)+1))&lt;100, IF(INDEX(ERP資料!$G:$G, (MATCH(711, 輔助計算!$G$2:$G$801, 0)+1))&lt;=31,3,IF(INDEX(ERP資料!$G:$G, (MATCH(711, 輔助計算!$G$2:$G$801, 0)+1))&lt;=46.5,2,1)), IF(INDEX(ERP資料!$G:$G, (MATCH(711, 輔助計算!$G$2:$G$801, 0)+1))&lt;=790,3,IF(INDEX(ERP資料!$G:$G, (MATCH(711, 輔助計算!$G$2:$G$801, 0)+1))&lt;=1181,2,1)))=1,TEXT(INDEX(ERP資料!$G:$G, (MATCH(711, 輔助計算!$G$2:$G$801, 0)+1)),"0.##"),IF(IF(INDEX(ERP資料!$G:$G, (MATCH(711, 輔助計算!$G$2:$G$801, 0)+1))&lt;100, IF(INDEX(ERP資料!$G:$G, (MATCH(711, 輔助計算!$G$2:$G$801, 0)+1))&lt;=31,3,IF(INDEX(ERP資料!$G:$G, (MATCH(711, 輔助計算!$G$2:$G$801, 0)+1))&lt;=46.5,2,1)), IF(INDEX(ERP資料!$G:$G, (MATCH(711, 輔助計算!$G$2:$G$801, 0)+1))&lt;=790,3,IF(INDEX(ERP資料!$G:$G, (MATCH(711, 輔助計算!$G$2:$G$801, 0)+1))&lt;=1181,2,1)))=2,TEXT(INDEX(ERP資料!$G:$G, (MATCH(711, 輔助計算!$G$2:$G$801, 0)+1)),"0.##")&amp;"+"&amp;TEXT(INDEX(ERP資料!$G:$G, (MATCH(711, 輔助計算!$G$2:$G$801, 0)+1)),"0.##"),TEXT(INDEX(ERP資料!$G:$G, (MATCH(711, 輔助計算!$G$2:$G$801, 0)+1)),"0.##")&amp;"+"&amp;TEXT(INDEX(ERP資料!$G:$G, (MATCH(711, 輔助計算!$G$2:$G$801, 0)+1)),"0.##")&amp;"+"&amp;TEXT(INDEX(ERP資料!$G:$G, (MATCH(711, 輔助計算!$G$2:$G$801, 0)+1)),"0.##")))&amp;"-"&amp;INT(INDEX(輔助計算!$D:$D, (MATCH(711, 輔助計算!$G$2:$G$801, 0)+1))/IF(INDEX(ERP資料!$G:$G, (MATCH(711, 輔助計算!$G$2:$G$801, 0)+1))&lt;100, IF(INDEX(ERP資料!$G:$G, (MATCH(711, 輔助計算!$G$2:$G$801, 0)+1))&lt;=31,3,IF(INDEX(ERP資料!$G:$G, (MATCH(711, 輔助計算!$G$2:$G$801, 0)+1))&lt;=46.5,2,1)), IF(INDEX(ERP資料!$G:$G, (MATCH(711, 輔助計算!$G$2:$G$801, 0)+1))&lt;=790,3,IF(INDEX(ERP資料!$G:$G, (MATCH(711, 輔助計算!$G$2:$G$801, 0)+1))&lt;=1181,2,1)))), "")&lt;&gt;"",IF(MOD(INDEX(輔助計算!$D:$D, (MATCH(711, 輔助計算!$G$2:$G$801, 0)+1)),IF(INDEX(ERP資料!$G:$G, (MATCH(711, 輔助計算!$G$2:$G$801, 0)+1))&lt;100, IF(INDEX(ERP資料!$G:$G, (MATCH(711, 輔助計算!$G$2:$G$801, 0)+1))&lt;=31,3,IF(INDEX(ERP資料!$G:$G, (MATCH(711, 輔助計算!$G$2:$G$801, 0)+1))&lt;=46.5,2,1)), IF(INDEX(ERP資料!$G:$G, (MATCH(711, 輔助計算!$G$2:$G$801, 0)+1))&lt;=790,3,IF(INDEX(ERP資料!$G:$G, (MATCH(711, 輔助計算!$G$2:$G$801, 0)+1))&lt;=1181,2,1))))=0,"",IF(MOD(INDEX(輔助計算!$D:$D, (MATCH(711, 輔助計算!$G$2:$G$801, 0)+1)),IF(INDEX(ERP資料!$G:$G, (MATCH(711, 輔助計算!$G$2:$G$801, 0)+1))&lt;100, IF(INDEX(ERP資料!$G:$G, (MATCH(711, 輔助計算!$G$2:$G$801, 0)+1))&lt;=31,3,IF(INDEX(ERP資料!$G:$G, (MATCH(711, 輔助計算!$G$2:$G$801, 0)+1))&lt;=46.5,2,1)), IF(INDEX(ERP資料!$G:$G, (MATCH(711, 輔助計算!$G$2:$G$801, 0)+1))&lt;=790,3,IF(INDEX(ERP資料!$G:$G, (MATCH(711, 輔助計算!$G$2:$G$801, 0)+1))&lt;=1181,2,1))))=0,"",IF(MOD(INDEX(輔助計算!$D:$D, (MATCH(711, 輔助計算!$G$2:$G$801, 0)+1)),IF(INDEX(ERP資料!$G:$G, (MATCH(711, 輔助計算!$G$2:$G$801, 0)+1))&lt;100, IF(INDEX(ERP資料!$G:$G, (MATCH(711, 輔助計算!$G$2:$G$801, 0)+1))&lt;=31,3,IF(INDEX(ERP資料!$G:$G, (MATCH(711, 輔助計算!$G$2:$G$801, 0)+1))&lt;=46.5,2,1)), IF(INDEX(ERP資料!$G:$G, (MATCH(711, 輔助計算!$G$2:$G$801, 0)+1))&lt;=790,3,IF(INDEX(ERP資料!$G:$G, (MATCH(711, 輔助計算!$G$2:$G$801, 0)+1))&lt;=1181,2,1))))=1,TEXT(INDEX(ERP資料!$G:$G, (MATCH(711, 輔助計算!$G$2:$G$801, 0)+1)),"0.##"),IF(MOD(INDEX(輔助計算!$D:$D, (MATCH(711, 輔助計算!$G$2:$G$801, 0)+1)),IF(INDEX(ERP資料!$G:$G, (MATCH(711, 輔助計算!$G$2:$G$801, 0)+1))&lt;100, IF(INDEX(ERP資料!$G:$G, (MATCH(711, 輔助計算!$G$2:$G$801, 0)+1))&lt;=31,3,IF(INDEX(ERP資料!$G:$G, (MATCH(711, 輔助計算!$G$2:$G$801, 0)+1))&lt;=46.5,2,1)), IF(INDEX(ERP資料!$G:$G, (MATCH(711, 輔助計算!$G$2:$G$801, 0)+1))&lt;=790,3,IF(INDEX(ERP資料!$G:$G, (MATCH(711, 輔助計算!$G$2:$G$801, 0)+1))&lt;=1181,2,1))))=2,TEXT(INDEX(ERP資料!$G:$G, (MATCH(711, 輔助計算!$G$2:$G$801, 0)+1)),"0.##")&amp;"+"&amp;TEXT(INDEX(ERP資料!$G:$G, (MATCH(711, 輔助計算!$G$2:$G$801, 0)+1)),"0.##"),TEXT(INDEX(ERP資料!$G:$G, (MATCH(711, 輔助計算!$G$2:$G$801, 0)+1)),"0.##")&amp;"+"&amp;TEXT(INDEX(ERP資料!$G:$G, (MATCH(711, 輔助計算!$G$2:$G$801, 0)+1)),"0.##")&amp;"+"&amp;TEXT(INDEX(ERP資料!$G:$G, (MATCH(711, 輔助計算!$G$2:$G$801, 0)+1)),"0.##"))))&amp;"-1")&lt;&gt;""),"  ","")&amp;IF(MOD(INDEX(輔助計算!$D:$D, (MATCH(711, 輔助計算!$G$2:$G$801, 0)+1)),IF(INDEX(ERP資料!$G:$G, (MATCH(711, 輔助計算!$G$2:$G$801, 0)+1))&lt;100, IF(INDEX(ERP資料!$G:$G, (MATCH(711, 輔助計算!$G$2:$G$801, 0)+1))&lt;=31,3,IF(INDEX(ERP資料!$G:$G, (MATCH(711, 輔助計算!$G$2:$G$801, 0)+1))&lt;=46.5,2,1)), IF(INDEX(ERP資料!$G:$G, (MATCH(711, 輔助計算!$G$2:$G$801, 0)+1))&lt;=790,3,IF(INDEX(ERP資料!$G:$G, (MATCH(711, 輔助計算!$G$2:$G$801, 0)+1))&lt;=1181,2,1))))=0,"",IF(MOD(INDEX(輔助計算!$D:$D, (MATCH(711, 輔助計算!$G$2:$G$801, 0)+1)),IF(INDEX(ERP資料!$G:$G, (MATCH(711, 輔助計算!$G$2:$G$801, 0)+1))&lt;100, IF(INDEX(ERP資料!$G:$G, (MATCH(711, 輔助計算!$G$2:$G$801, 0)+1))&lt;=31,3,IF(INDEX(ERP資料!$G:$G, (MATCH(711, 輔助計算!$G$2:$G$801, 0)+1))&lt;=46.5,2,1)), IF(INDEX(ERP資料!$G:$G, (MATCH(711, 輔助計算!$G$2:$G$801, 0)+1))&lt;=790,3,IF(INDEX(ERP資料!$G:$G, (MATCH(711, 輔助計算!$G$2:$G$801, 0)+1))&lt;=1181,2,1))))=0,"",IF(MOD(INDEX(輔助計算!$D:$D, (MATCH(711, 輔助計算!$G$2:$G$801, 0)+1)),IF(INDEX(ERP資料!$G:$G, (MATCH(711, 輔助計算!$G$2:$G$801, 0)+1))&lt;100, IF(INDEX(ERP資料!$G:$G, (MATCH(711, 輔助計算!$G$2:$G$801, 0)+1))&lt;=31,3,IF(INDEX(ERP資料!$G:$G, (MATCH(711, 輔助計算!$G$2:$G$801, 0)+1))&lt;=46.5,2,1)), IF(INDEX(ERP資料!$G:$G, (MATCH(711, 輔助計算!$G$2:$G$801, 0)+1))&lt;=790,3,IF(INDEX(ERP資料!$G:$G, (MATCH(711, 輔助計算!$G$2:$G$801, 0)+1))&lt;=1181,2,1))))=1,TEXT(INDEX(ERP資料!$G:$G, (MATCH(711, 輔助計算!$G$2:$G$801, 0)+1)),"0.##"),IF(MOD(INDEX(輔助計算!$D:$D, (MATCH(711, 輔助計算!$G$2:$G$801, 0)+1)),IF(INDEX(ERP資料!$G:$G, (MATCH(711, 輔助計算!$G$2:$G$801, 0)+1))&lt;100, IF(INDEX(ERP資料!$G:$G, (MATCH(711, 輔助計算!$G$2:$G$801, 0)+1))&lt;=31,3,IF(INDEX(ERP資料!$G:$G, (MATCH(711, 輔助計算!$G$2:$G$801, 0)+1))&lt;=46.5,2,1)), IF(INDEX(ERP資料!$G:$G, (MATCH(711, 輔助計算!$G$2:$G$801, 0)+1))&lt;=790,3,IF(INDEX(ERP資料!$G:$G, (MATCH(711, 輔助計算!$G$2:$G$801, 0)+1))&lt;=1181,2,1))))=2,TEXT(INDEX(ERP資料!$G:$G, (MATCH(711, 輔助計算!$G$2:$G$801, 0)+1)),"0.##")&amp;"+"&amp;TEXT(INDEX(ERP資料!$G:$G, (MATCH(711, 輔助計算!$G$2:$G$801, 0)+1)),"0.##"),TEXT(INDEX(ERP資料!$G:$G, (MATCH(711, 輔助計算!$G$2:$G$801, 0)+1)),"0.##")&amp;"+"&amp;TEXT(INDEX(ERP資料!$G:$G, (MATCH(711, 輔助計算!$G$2:$G$801, 0)+1)),"0.##")&amp;"+"&amp;TEXT(INDEX(ERP資料!$G:$G, (MATCH(711, 輔助計算!$G$2:$G$801, 0)+1)),"0.##"))))&amp;"-1")), ""), "")</f>
        <v/>
      </c>
      <c r="K712" s="16" t="n"/>
      <c r="L712" s="14">
        <f>IFERROR(IF(AND(IFERROR(INDEX(ERP資料!$A:$A, (MATCH(711, 輔助計算!$G$2:$G$801, 0)+1)), "")&lt;&gt;"", IFERROR(INDEX(ERP資料!$A:$A, (MATCH(711, 輔助計算!$G$2:$G$801, 0)+1)), "")&lt;&gt;IFERROR(INDEX(ERP資料!$A:$A, MATCH(710, 輔助計算!$G$2:$G$801, 0)+1), "")), INDEX(ERP資料!$B:$B, (MATCH(711, 輔助計算!$G$2:$G$801, 0)+1)), ""), "")</f>
        <v/>
      </c>
      <c r="M712" s="17" t="n"/>
    </row>
    <row r="713">
      <c r="A713" s="10">
        <f>IFERROR(IF(AND(IFERROR(INDEX(ERP資料!$A:$A, (MATCH(712, 輔助計算!$G$2:$G$801, 0)+1)), "")&lt;&gt;"", IFERROR(INDEX(ERP資料!$A:$A, (MATCH(712, 輔助計算!$G$2:$G$801, 0)+1)), "")&lt;&gt;IFERROR(INDEX(ERP資料!$A:$A, MATCH(711, 輔助計算!$G$2:$G$801, 0)+1), "")), IFERROR(INDEX(ERP資料!$A:$A, (MATCH(712, 輔助計算!$G$2:$G$801, 0)+1)), ""), ""), "")</f>
        <v/>
      </c>
      <c r="B713" s="10">
        <f>IFERROR(IF(AND(IFERROR(INDEX(ERP資料!$A:$A, (MATCH(712, 輔助計算!$G$2:$G$801, 0)+1)), "")&lt;&gt;"", IFERROR(INDEX(ERP資料!$A:$A, (MATCH(712, 輔助計算!$G$2:$G$801, 0)+1)), "")&lt;&gt;IFERROR(INDEX(ERP資料!$A:$A, MATCH(711, 輔助計算!$G$2:$G$801, 0)+1), "")), INDEX(ERP資料!$S:$S, (MATCH(712, 輔助計算!$G$2:$G$801, 0)+1)), ""), "")</f>
        <v/>
      </c>
      <c r="C713" s="19">
        <f>IFERROR(IF(AND(IFERROR(INDEX(ERP資料!$A:$A, (MATCH(712, 輔助計算!$G$2:$G$801, 0)+1)), "")&lt;&gt;"", IFERROR(INDEX(ERP資料!$A:$A, (MATCH(712, 輔助計算!$G$2:$G$801, 0)+1)), "")&lt;&gt;IFERROR(INDEX(ERP資料!$A:$A, MATCH(711, 輔助計算!$G$2:$G$801, 0)+1), "")), IFERROR(VLOOKUP(LEFT(INDEX(ERP資料!$S:$S, (MATCH(712, 輔助計算!$G$2:$G$801, 0)+1)), 4), 紙管對照表!$A:$C, 3, FALSE), ""), ""), "")</f>
        <v/>
      </c>
      <c r="D713" s="16" t="n"/>
      <c r="E713" s="10">
        <f>IFERROR(IF(INDEX(ERP資料!$H:$H, (MATCH(712, 輔助計算!$G$2:$G$801, 0)+1))="","",INDEX(ERP資料!$H:$H, (MATCH(712, 輔助計算!$G$2:$G$801, 0)+1))), "")</f>
        <v/>
      </c>
      <c r="F713" s="10">
        <f>IFERROR(IF(INDEX(ERP資料!$E:$E, (MATCH(712, 輔助計算!$G$2:$G$801, 0)+1))="","",TRIM(INDEX(ERP資料!$E:$E, (MATCH(712, 輔助計算!$G$2:$G$801, 0)+1)))), "")</f>
        <v/>
      </c>
      <c r="G713" s="10">
        <f>IFERROR(IF(INDEX(ERP資料!$F:$F, (MATCH(712, 輔助計算!$G$2:$G$801, 0)+1))="","",INDEX(ERP資料!$F:$F, (MATCH(712, 輔助計算!$G$2:$G$801, 0)+1))), "")</f>
        <v/>
      </c>
      <c r="H713" s="10">
        <f>IFERROR(IF(INDEX(ERP資料!$G:$G, (MATCH(712, 輔助計算!$G$2:$G$801, 0)+1))="","",INDEX(ERP資料!$G:$G, (MATCH(712, 輔助計算!$G$2:$G$801, 0)+1))), "")</f>
        <v/>
      </c>
      <c r="I713" s="15">
        <f>IFERROR(INDEX(輔助計算!$D:$D, (MATCH(712, 輔助計算!$G$2:$G$801, 0)+1)), "")</f>
        <v/>
      </c>
      <c r="J713" s="15">
        <f>IFERROR(IF(AND(INDEX(輔助計算!$D:$D, (MATCH(712, 輔助計算!$G$2:$G$801, 0)+1))&lt;&gt;"", INDEX(ERP資料!$G:$G, (MATCH(712, 輔助計算!$G$2:$G$801, 0)+1))&lt;&gt;""), TRIM(IF(INT(INDEX(輔助計算!$D:$D, (MATCH(712, 輔助計算!$G$2:$G$801, 0)+1))/IF(INDEX(ERP資料!$G:$G, (MATCH(712, 輔助計算!$G$2:$G$801, 0)+1))&lt;100, IF(INDEX(ERP資料!$G:$G, (MATCH(712, 輔助計算!$G$2:$G$801, 0)+1))&lt;=31,3,IF(INDEX(ERP資料!$G:$G, (MATCH(712, 輔助計算!$G$2:$G$801, 0)+1))&lt;=46.5,2,1)), IF(INDEX(ERP資料!$G:$G, (MATCH(712, 輔助計算!$G$2:$G$801, 0)+1))&lt;=790,3,IF(INDEX(ERP資料!$G:$G, (MATCH(712, 輔助計算!$G$2:$G$801, 0)+1))&lt;=1181,2,1))))&gt;0, IF(IF(INDEX(ERP資料!$G:$G, (MATCH(712, 輔助計算!$G$2:$G$801, 0)+1))&lt;100, IF(INDEX(ERP資料!$G:$G, (MATCH(712, 輔助計算!$G$2:$G$801, 0)+1))&lt;=31,3,IF(INDEX(ERP資料!$G:$G, (MATCH(712, 輔助計算!$G$2:$G$801, 0)+1))&lt;=46.5,2,1)), IF(INDEX(ERP資料!$G:$G, (MATCH(712, 輔助計算!$G$2:$G$801, 0)+1))&lt;=790,3,IF(INDEX(ERP資料!$G:$G, (MATCH(712, 輔助計算!$G$2:$G$801, 0)+1))&lt;=1181,2,1)))=1,TEXT(INDEX(ERP資料!$G:$G, (MATCH(712, 輔助計算!$G$2:$G$801, 0)+1)),"0.##"),IF(IF(INDEX(ERP資料!$G:$G, (MATCH(712, 輔助計算!$G$2:$G$801, 0)+1))&lt;100, IF(INDEX(ERP資料!$G:$G, (MATCH(712, 輔助計算!$G$2:$G$801, 0)+1))&lt;=31,3,IF(INDEX(ERP資料!$G:$G, (MATCH(712, 輔助計算!$G$2:$G$801, 0)+1))&lt;=46.5,2,1)), IF(INDEX(ERP資料!$G:$G, (MATCH(712, 輔助計算!$G$2:$G$801, 0)+1))&lt;=790,3,IF(INDEX(ERP資料!$G:$G, (MATCH(712, 輔助計算!$G$2:$G$801, 0)+1))&lt;=1181,2,1)))=2,TEXT(INDEX(ERP資料!$G:$G, (MATCH(712, 輔助計算!$G$2:$G$801, 0)+1)),"0.##")&amp;"+"&amp;TEXT(INDEX(ERP資料!$G:$G, (MATCH(712, 輔助計算!$G$2:$G$801, 0)+1)),"0.##"),TEXT(INDEX(ERP資料!$G:$G, (MATCH(712, 輔助計算!$G$2:$G$801, 0)+1)),"0.##")&amp;"+"&amp;TEXT(INDEX(ERP資料!$G:$G, (MATCH(712, 輔助計算!$G$2:$G$801, 0)+1)),"0.##")&amp;"+"&amp;TEXT(INDEX(ERP資料!$G:$G, (MATCH(712, 輔助計算!$G$2:$G$801, 0)+1)),"0.##")))&amp;"-"&amp;INT(INDEX(輔助計算!$D:$D, (MATCH(712, 輔助計算!$G$2:$G$801, 0)+1))/IF(INDEX(ERP資料!$G:$G, (MATCH(712, 輔助計算!$G$2:$G$801, 0)+1))&lt;100, IF(INDEX(ERP資料!$G:$G, (MATCH(712, 輔助計算!$G$2:$G$801, 0)+1))&lt;=31,3,IF(INDEX(ERP資料!$G:$G, (MATCH(712, 輔助計算!$G$2:$G$801, 0)+1))&lt;=46.5,2,1)), IF(INDEX(ERP資料!$G:$G, (MATCH(712, 輔助計算!$G$2:$G$801, 0)+1))&lt;=790,3,IF(INDEX(ERP資料!$G:$G, (MATCH(712, 輔助計算!$G$2:$G$801, 0)+1))&lt;=1181,2,1)))), "")&amp;IF(AND(IF(INT(INDEX(輔助計算!$D:$D, (MATCH(712, 輔助計算!$G$2:$G$801, 0)+1))/IF(INDEX(ERP資料!$G:$G, (MATCH(712, 輔助計算!$G$2:$G$801, 0)+1))&lt;100, IF(INDEX(ERP資料!$G:$G, (MATCH(712, 輔助計算!$G$2:$G$801, 0)+1))&lt;=31,3,IF(INDEX(ERP資料!$G:$G, (MATCH(712, 輔助計算!$G$2:$G$801, 0)+1))&lt;=46.5,2,1)), IF(INDEX(ERP資料!$G:$G, (MATCH(712, 輔助計算!$G$2:$G$801, 0)+1))&lt;=790,3,IF(INDEX(ERP資料!$G:$G, (MATCH(712, 輔助計算!$G$2:$G$801, 0)+1))&lt;=1181,2,1))))&gt;0, IF(IF(INDEX(ERP資料!$G:$G, (MATCH(712, 輔助計算!$G$2:$G$801, 0)+1))&lt;100, IF(INDEX(ERP資料!$G:$G, (MATCH(712, 輔助計算!$G$2:$G$801, 0)+1))&lt;=31,3,IF(INDEX(ERP資料!$G:$G, (MATCH(712, 輔助計算!$G$2:$G$801, 0)+1))&lt;=46.5,2,1)), IF(INDEX(ERP資料!$G:$G, (MATCH(712, 輔助計算!$G$2:$G$801, 0)+1))&lt;=790,3,IF(INDEX(ERP資料!$G:$G, (MATCH(712, 輔助計算!$G$2:$G$801, 0)+1))&lt;=1181,2,1)))=1,TEXT(INDEX(ERP資料!$G:$G, (MATCH(712, 輔助計算!$G$2:$G$801, 0)+1)),"0.##"),IF(IF(INDEX(ERP資料!$G:$G, (MATCH(712, 輔助計算!$G$2:$G$801, 0)+1))&lt;100, IF(INDEX(ERP資料!$G:$G, (MATCH(712, 輔助計算!$G$2:$G$801, 0)+1))&lt;=31,3,IF(INDEX(ERP資料!$G:$G, (MATCH(712, 輔助計算!$G$2:$G$801, 0)+1))&lt;=46.5,2,1)), IF(INDEX(ERP資料!$G:$G, (MATCH(712, 輔助計算!$G$2:$G$801, 0)+1))&lt;=790,3,IF(INDEX(ERP資料!$G:$G, (MATCH(712, 輔助計算!$G$2:$G$801, 0)+1))&lt;=1181,2,1)))=2,TEXT(INDEX(ERP資料!$G:$G, (MATCH(712, 輔助計算!$G$2:$G$801, 0)+1)),"0.##")&amp;"+"&amp;TEXT(INDEX(ERP資料!$G:$G, (MATCH(712, 輔助計算!$G$2:$G$801, 0)+1)),"0.##"),TEXT(INDEX(ERP資料!$G:$G, (MATCH(712, 輔助計算!$G$2:$G$801, 0)+1)),"0.##")&amp;"+"&amp;TEXT(INDEX(ERP資料!$G:$G, (MATCH(712, 輔助計算!$G$2:$G$801, 0)+1)),"0.##")&amp;"+"&amp;TEXT(INDEX(ERP資料!$G:$G, (MATCH(712, 輔助計算!$G$2:$G$801, 0)+1)),"0.##")))&amp;"-"&amp;INT(INDEX(輔助計算!$D:$D, (MATCH(712, 輔助計算!$G$2:$G$801, 0)+1))/IF(INDEX(ERP資料!$G:$G, (MATCH(712, 輔助計算!$G$2:$G$801, 0)+1))&lt;100, IF(INDEX(ERP資料!$G:$G, (MATCH(712, 輔助計算!$G$2:$G$801, 0)+1))&lt;=31,3,IF(INDEX(ERP資料!$G:$G, (MATCH(712, 輔助計算!$G$2:$G$801, 0)+1))&lt;=46.5,2,1)), IF(INDEX(ERP資料!$G:$G, (MATCH(712, 輔助計算!$G$2:$G$801, 0)+1))&lt;=790,3,IF(INDEX(ERP資料!$G:$G, (MATCH(712, 輔助計算!$G$2:$G$801, 0)+1))&lt;=1181,2,1)))), "")&lt;&gt;"",IF(MOD(INDEX(輔助計算!$D:$D, (MATCH(712, 輔助計算!$G$2:$G$801, 0)+1)),IF(INDEX(ERP資料!$G:$G, (MATCH(712, 輔助計算!$G$2:$G$801, 0)+1))&lt;100, IF(INDEX(ERP資料!$G:$G, (MATCH(712, 輔助計算!$G$2:$G$801, 0)+1))&lt;=31,3,IF(INDEX(ERP資料!$G:$G, (MATCH(712, 輔助計算!$G$2:$G$801, 0)+1))&lt;=46.5,2,1)), IF(INDEX(ERP資料!$G:$G, (MATCH(712, 輔助計算!$G$2:$G$801, 0)+1))&lt;=790,3,IF(INDEX(ERP資料!$G:$G, (MATCH(712, 輔助計算!$G$2:$G$801, 0)+1))&lt;=1181,2,1))))=0,"",IF(MOD(INDEX(輔助計算!$D:$D, (MATCH(712, 輔助計算!$G$2:$G$801, 0)+1)),IF(INDEX(ERP資料!$G:$G, (MATCH(712, 輔助計算!$G$2:$G$801, 0)+1))&lt;100, IF(INDEX(ERP資料!$G:$G, (MATCH(712, 輔助計算!$G$2:$G$801, 0)+1))&lt;=31,3,IF(INDEX(ERP資料!$G:$G, (MATCH(712, 輔助計算!$G$2:$G$801, 0)+1))&lt;=46.5,2,1)), IF(INDEX(ERP資料!$G:$G, (MATCH(712, 輔助計算!$G$2:$G$801, 0)+1))&lt;=790,3,IF(INDEX(ERP資料!$G:$G, (MATCH(712, 輔助計算!$G$2:$G$801, 0)+1))&lt;=1181,2,1))))=0,"",IF(MOD(INDEX(輔助計算!$D:$D, (MATCH(712, 輔助計算!$G$2:$G$801, 0)+1)),IF(INDEX(ERP資料!$G:$G, (MATCH(712, 輔助計算!$G$2:$G$801, 0)+1))&lt;100, IF(INDEX(ERP資料!$G:$G, (MATCH(712, 輔助計算!$G$2:$G$801, 0)+1))&lt;=31,3,IF(INDEX(ERP資料!$G:$G, (MATCH(712, 輔助計算!$G$2:$G$801, 0)+1))&lt;=46.5,2,1)), IF(INDEX(ERP資料!$G:$G, (MATCH(712, 輔助計算!$G$2:$G$801, 0)+1))&lt;=790,3,IF(INDEX(ERP資料!$G:$G, (MATCH(712, 輔助計算!$G$2:$G$801, 0)+1))&lt;=1181,2,1))))=1,TEXT(INDEX(ERP資料!$G:$G, (MATCH(712, 輔助計算!$G$2:$G$801, 0)+1)),"0.##"),IF(MOD(INDEX(輔助計算!$D:$D, (MATCH(712, 輔助計算!$G$2:$G$801, 0)+1)),IF(INDEX(ERP資料!$G:$G, (MATCH(712, 輔助計算!$G$2:$G$801, 0)+1))&lt;100, IF(INDEX(ERP資料!$G:$G, (MATCH(712, 輔助計算!$G$2:$G$801, 0)+1))&lt;=31,3,IF(INDEX(ERP資料!$G:$G, (MATCH(712, 輔助計算!$G$2:$G$801, 0)+1))&lt;=46.5,2,1)), IF(INDEX(ERP資料!$G:$G, (MATCH(712, 輔助計算!$G$2:$G$801, 0)+1))&lt;=790,3,IF(INDEX(ERP資料!$G:$G, (MATCH(712, 輔助計算!$G$2:$G$801, 0)+1))&lt;=1181,2,1))))=2,TEXT(INDEX(ERP資料!$G:$G, (MATCH(712, 輔助計算!$G$2:$G$801, 0)+1)),"0.##")&amp;"+"&amp;TEXT(INDEX(ERP資料!$G:$G, (MATCH(712, 輔助計算!$G$2:$G$801, 0)+1)),"0.##"),TEXT(INDEX(ERP資料!$G:$G, (MATCH(712, 輔助計算!$G$2:$G$801, 0)+1)),"0.##")&amp;"+"&amp;TEXT(INDEX(ERP資料!$G:$G, (MATCH(712, 輔助計算!$G$2:$G$801, 0)+1)),"0.##")&amp;"+"&amp;TEXT(INDEX(ERP資料!$G:$G, (MATCH(712, 輔助計算!$G$2:$G$801, 0)+1)),"0.##"))))&amp;"-1")&lt;&gt;""),"  ","")&amp;IF(MOD(INDEX(輔助計算!$D:$D, (MATCH(712, 輔助計算!$G$2:$G$801, 0)+1)),IF(INDEX(ERP資料!$G:$G, (MATCH(712, 輔助計算!$G$2:$G$801, 0)+1))&lt;100, IF(INDEX(ERP資料!$G:$G, (MATCH(712, 輔助計算!$G$2:$G$801, 0)+1))&lt;=31,3,IF(INDEX(ERP資料!$G:$G, (MATCH(712, 輔助計算!$G$2:$G$801, 0)+1))&lt;=46.5,2,1)), IF(INDEX(ERP資料!$G:$G, (MATCH(712, 輔助計算!$G$2:$G$801, 0)+1))&lt;=790,3,IF(INDEX(ERP資料!$G:$G, (MATCH(712, 輔助計算!$G$2:$G$801, 0)+1))&lt;=1181,2,1))))=0,"",IF(MOD(INDEX(輔助計算!$D:$D, (MATCH(712, 輔助計算!$G$2:$G$801, 0)+1)),IF(INDEX(ERP資料!$G:$G, (MATCH(712, 輔助計算!$G$2:$G$801, 0)+1))&lt;100, IF(INDEX(ERP資料!$G:$G, (MATCH(712, 輔助計算!$G$2:$G$801, 0)+1))&lt;=31,3,IF(INDEX(ERP資料!$G:$G, (MATCH(712, 輔助計算!$G$2:$G$801, 0)+1))&lt;=46.5,2,1)), IF(INDEX(ERP資料!$G:$G, (MATCH(712, 輔助計算!$G$2:$G$801, 0)+1))&lt;=790,3,IF(INDEX(ERP資料!$G:$G, (MATCH(712, 輔助計算!$G$2:$G$801, 0)+1))&lt;=1181,2,1))))=0,"",IF(MOD(INDEX(輔助計算!$D:$D, (MATCH(712, 輔助計算!$G$2:$G$801, 0)+1)),IF(INDEX(ERP資料!$G:$G, (MATCH(712, 輔助計算!$G$2:$G$801, 0)+1))&lt;100, IF(INDEX(ERP資料!$G:$G, (MATCH(712, 輔助計算!$G$2:$G$801, 0)+1))&lt;=31,3,IF(INDEX(ERP資料!$G:$G, (MATCH(712, 輔助計算!$G$2:$G$801, 0)+1))&lt;=46.5,2,1)), IF(INDEX(ERP資料!$G:$G, (MATCH(712, 輔助計算!$G$2:$G$801, 0)+1))&lt;=790,3,IF(INDEX(ERP資料!$G:$G, (MATCH(712, 輔助計算!$G$2:$G$801, 0)+1))&lt;=1181,2,1))))=1,TEXT(INDEX(ERP資料!$G:$G, (MATCH(712, 輔助計算!$G$2:$G$801, 0)+1)),"0.##"),IF(MOD(INDEX(輔助計算!$D:$D, (MATCH(712, 輔助計算!$G$2:$G$801, 0)+1)),IF(INDEX(ERP資料!$G:$G, (MATCH(712, 輔助計算!$G$2:$G$801, 0)+1))&lt;100, IF(INDEX(ERP資料!$G:$G, (MATCH(712, 輔助計算!$G$2:$G$801, 0)+1))&lt;=31,3,IF(INDEX(ERP資料!$G:$G, (MATCH(712, 輔助計算!$G$2:$G$801, 0)+1))&lt;=46.5,2,1)), IF(INDEX(ERP資料!$G:$G, (MATCH(712, 輔助計算!$G$2:$G$801, 0)+1))&lt;=790,3,IF(INDEX(ERP資料!$G:$G, (MATCH(712, 輔助計算!$G$2:$G$801, 0)+1))&lt;=1181,2,1))))=2,TEXT(INDEX(ERP資料!$G:$G, (MATCH(712, 輔助計算!$G$2:$G$801, 0)+1)),"0.##")&amp;"+"&amp;TEXT(INDEX(ERP資料!$G:$G, (MATCH(712, 輔助計算!$G$2:$G$801, 0)+1)),"0.##"),TEXT(INDEX(ERP資料!$G:$G, (MATCH(712, 輔助計算!$G$2:$G$801, 0)+1)),"0.##")&amp;"+"&amp;TEXT(INDEX(ERP資料!$G:$G, (MATCH(712, 輔助計算!$G$2:$G$801, 0)+1)),"0.##")&amp;"+"&amp;TEXT(INDEX(ERP資料!$G:$G, (MATCH(712, 輔助計算!$G$2:$G$801, 0)+1)),"0.##"))))&amp;"-1")), ""), "")</f>
        <v/>
      </c>
      <c r="K713" s="16" t="n"/>
      <c r="L713" s="14">
        <f>IFERROR(IF(AND(IFERROR(INDEX(ERP資料!$A:$A, (MATCH(712, 輔助計算!$G$2:$G$801, 0)+1)), "")&lt;&gt;"", IFERROR(INDEX(ERP資料!$A:$A, (MATCH(712, 輔助計算!$G$2:$G$801, 0)+1)), "")&lt;&gt;IFERROR(INDEX(ERP資料!$A:$A, MATCH(711, 輔助計算!$G$2:$G$801, 0)+1), "")), INDEX(ERP資料!$B:$B, (MATCH(712, 輔助計算!$G$2:$G$801, 0)+1)), ""), "")</f>
        <v/>
      </c>
      <c r="M713" s="17" t="n"/>
    </row>
    <row r="714">
      <c r="A714" s="10">
        <f>IFERROR(IF(AND(IFERROR(INDEX(ERP資料!$A:$A, (MATCH(713, 輔助計算!$G$2:$G$801, 0)+1)), "")&lt;&gt;"", IFERROR(INDEX(ERP資料!$A:$A, (MATCH(713, 輔助計算!$G$2:$G$801, 0)+1)), "")&lt;&gt;IFERROR(INDEX(ERP資料!$A:$A, MATCH(712, 輔助計算!$G$2:$G$801, 0)+1), "")), IFERROR(INDEX(ERP資料!$A:$A, (MATCH(713, 輔助計算!$G$2:$G$801, 0)+1)), ""), ""), "")</f>
        <v/>
      </c>
      <c r="B714" s="10">
        <f>IFERROR(IF(AND(IFERROR(INDEX(ERP資料!$A:$A, (MATCH(713, 輔助計算!$G$2:$G$801, 0)+1)), "")&lt;&gt;"", IFERROR(INDEX(ERP資料!$A:$A, (MATCH(713, 輔助計算!$G$2:$G$801, 0)+1)), "")&lt;&gt;IFERROR(INDEX(ERP資料!$A:$A, MATCH(712, 輔助計算!$G$2:$G$801, 0)+1), "")), INDEX(ERP資料!$S:$S, (MATCH(713, 輔助計算!$G$2:$G$801, 0)+1)), ""), "")</f>
        <v/>
      </c>
      <c r="C714" s="19">
        <f>IFERROR(IF(AND(IFERROR(INDEX(ERP資料!$A:$A, (MATCH(713, 輔助計算!$G$2:$G$801, 0)+1)), "")&lt;&gt;"", IFERROR(INDEX(ERP資料!$A:$A, (MATCH(713, 輔助計算!$G$2:$G$801, 0)+1)), "")&lt;&gt;IFERROR(INDEX(ERP資料!$A:$A, MATCH(712, 輔助計算!$G$2:$G$801, 0)+1), "")), IFERROR(VLOOKUP(LEFT(INDEX(ERP資料!$S:$S, (MATCH(713, 輔助計算!$G$2:$G$801, 0)+1)), 4), 紙管對照表!$A:$C, 3, FALSE), ""), ""), "")</f>
        <v/>
      </c>
      <c r="D714" s="16" t="n"/>
      <c r="E714" s="10">
        <f>IFERROR(IF(INDEX(ERP資料!$H:$H, (MATCH(713, 輔助計算!$G$2:$G$801, 0)+1))="","",INDEX(ERP資料!$H:$H, (MATCH(713, 輔助計算!$G$2:$G$801, 0)+1))), "")</f>
        <v/>
      </c>
      <c r="F714" s="10">
        <f>IFERROR(IF(INDEX(ERP資料!$E:$E, (MATCH(713, 輔助計算!$G$2:$G$801, 0)+1))="","",TRIM(INDEX(ERP資料!$E:$E, (MATCH(713, 輔助計算!$G$2:$G$801, 0)+1)))), "")</f>
        <v/>
      </c>
      <c r="G714" s="10">
        <f>IFERROR(IF(INDEX(ERP資料!$F:$F, (MATCH(713, 輔助計算!$G$2:$G$801, 0)+1))="","",INDEX(ERP資料!$F:$F, (MATCH(713, 輔助計算!$G$2:$G$801, 0)+1))), "")</f>
        <v/>
      </c>
      <c r="H714" s="10">
        <f>IFERROR(IF(INDEX(ERP資料!$G:$G, (MATCH(713, 輔助計算!$G$2:$G$801, 0)+1))="","",INDEX(ERP資料!$G:$G, (MATCH(713, 輔助計算!$G$2:$G$801, 0)+1))), "")</f>
        <v/>
      </c>
      <c r="I714" s="15">
        <f>IFERROR(INDEX(輔助計算!$D:$D, (MATCH(713, 輔助計算!$G$2:$G$801, 0)+1)), "")</f>
        <v/>
      </c>
      <c r="J714" s="15">
        <f>IFERROR(IF(AND(INDEX(輔助計算!$D:$D, (MATCH(713, 輔助計算!$G$2:$G$801, 0)+1))&lt;&gt;"", INDEX(ERP資料!$G:$G, (MATCH(713, 輔助計算!$G$2:$G$801, 0)+1))&lt;&gt;""), TRIM(IF(INT(INDEX(輔助計算!$D:$D, (MATCH(713, 輔助計算!$G$2:$G$801, 0)+1))/IF(INDEX(ERP資料!$G:$G, (MATCH(713, 輔助計算!$G$2:$G$801, 0)+1))&lt;100, IF(INDEX(ERP資料!$G:$G, (MATCH(713, 輔助計算!$G$2:$G$801, 0)+1))&lt;=31,3,IF(INDEX(ERP資料!$G:$G, (MATCH(713, 輔助計算!$G$2:$G$801, 0)+1))&lt;=46.5,2,1)), IF(INDEX(ERP資料!$G:$G, (MATCH(713, 輔助計算!$G$2:$G$801, 0)+1))&lt;=790,3,IF(INDEX(ERP資料!$G:$G, (MATCH(713, 輔助計算!$G$2:$G$801, 0)+1))&lt;=1181,2,1))))&gt;0, IF(IF(INDEX(ERP資料!$G:$G, (MATCH(713, 輔助計算!$G$2:$G$801, 0)+1))&lt;100, IF(INDEX(ERP資料!$G:$G, (MATCH(713, 輔助計算!$G$2:$G$801, 0)+1))&lt;=31,3,IF(INDEX(ERP資料!$G:$G, (MATCH(713, 輔助計算!$G$2:$G$801, 0)+1))&lt;=46.5,2,1)), IF(INDEX(ERP資料!$G:$G, (MATCH(713, 輔助計算!$G$2:$G$801, 0)+1))&lt;=790,3,IF(INDEX(ERP資料!$G:$G, (MATCH(713, 輔助計算!$G$2:$G$801, 0)+1))&lt;=1181,2,1)))=1,TEXT(INDEX(ERP資料!$G:$G, (MATCH(713, 輔助計算!$G$2:$G$801, 0)+1)),"0.##"),IF(IF(INDEX(ERP資料!$G:$G, (MATCH(713, 輔助計算!$G$2:$G$801, 0)+1))&lt;100, IF(INDEX(ERP資料!$G:$G, (MATCH(713, 輔助計算!$G$2:$G$801, 0)+1))&lt;=31,3,IF(INDEX(ERP資料!$G:$G, (MATCH(713, 輔助計算!$G$2:$G$801, 0)+1))&lt;=46.5,2,1)), IF(INDEX(ERP資料!$G:$G, (MATCH(713, 輔助計算!$G$2:$G$801, 0)+1))&lt;=790,3,IF(INDEX(ERP資料!$G:$G, (MATCH(713, 輔助計算!$G$2:$G$801, 0)+1))&lt;=1181,2,1)))=2,TEXT(INDEX(ERP資料!$G:$G, (MATCH(713, 輔助計算!$G$2:$G$801, 0)+1)),"0.##")&amp;"+"&amp;TEXT(INDEX(ERP資料!$G:$G, (MATCH(713, 輔助計算!$G$2:$G$801, 0)+1)),"0.##"),TEXT(INDEX(ERP資料!$G:$G, (MATCH(713, 輔助計算!$G$2:$G$801, 0)+1)),"0.##")&amp;"+"&amp;TEXT(INDEX(ERP資料!$G:$G, (MATCH(713, 輔助計算!$G$2:$G$801, 0)+1)),"0.##")&amp;"+"&amp;TEXT(INDEX(ERP資料!$G:$G, (MATCH(713, 輔助計算!$G$2:$G$801, 0)+1)),"0.##")))&amp;"-"&amp;INT(INDEX(輔助計算!$D:$D, (MATCH(713, 輔助計算!$G$2:$G$801, 0)+1))/IF(INDEX(ERP資料!$G:$G, (MATCH(713, 輔助計算!$G$2:$G$801, 0)+1))&lt;100, IF(INDEX(ERP資料!$G:$G, (MATCH(713, 輔助計算!$G$2:$G$801, 0)+1))&lt;=31,3,IF(INDEX(ERP資料!$G:$G, (MATCH(713, 輔助計算!$G$2:$G$801, 0)+1))&lt;=46.5,2,1)), IF(INDEX(ERP資料!$G:$G, (MATCH(713, 輔助計算!$G$2:$G$801, 0)+1))&lt;=790,3,IF(INDEX(ERP資料!$G:$G, (MATCH(713, 輔助計算!$G$2:$G$801, 0)+1))&lt;=1181,2,1)))), "")&amp;IF(AND(IF(INT(INDEX(輔助計算!$D:$D, (MATCH(713, 輔助計算!$G$2:$G$801, 0)+1))/IF(INDEX(ERP資料!$G:$G, (MATCH(713, 輔助計算!$G$2:$G$801, 0)+1))&lt;100, IF(INDEX(ERP資料!$G:$G, (MATCH(713, 輔助計算!$G$2:$G$801, 0)+1))&lt;=31,3,IF(INDEX(ERP資料!$G:$G, (MATCH(713, 輔助計算!$G$2:$G$801, 0)+1))&lt;=46.5,2,1)), IF(INDEX(ERP資料!$G:$G, (MATCH(713, 輔助計算!$G$2:$G$801, 0)+1))&lt;=790,3,IF(INDEX(ERP資料!$G:$G, (MATCH(713, 輔助計算!$G$2:$G$801, 0)+1))&lt;=1181,2,1))))&gt;0, IF(IF(INDEX(ERP資料!$G:$G, (MATCH(713, 輔助計算!$G$2:$G$801, 0)+1))&lt;100, IF(INDEX(ERP資料!$G:$G, (MATCH(713, 輔助計算!$G$2:$G$801, 0)+1))&lt;=31,3,IF(INDEX(ERP資料!$G:$G, (MATCH(713, 輔助計算!$G$2:$G$801, 0)+1))&lt;=46.5,2,1)), IF(INDEX(ERP資料!$G:$G, (MATCH(713, 輔助計算!$G$2:$G$801, 0)+1))&lt;=790,3,IF(INDEX(ERP資料!$G:$G, (MATCH(713, 輔助計算!$G$2:$G$801, 0)+1))&lt;=1181,2,1)))=1,TEXT(INDEX(ERP資料!$G:$G, (MATCH(713, 輔助計算!$G$2:$G$801, 0)+1)),"0.##"),IF(IF(INDEX(ERP資料!$G:$G, (MATCH(713, 輔助計算!$G$2:$G$801, 0)+1))&lt;100, IF(INDEX(ERP資料!$G:$G, (MATCH(713, 輔助計算!$G$2:$G$801, 0)+1))&lt;=31,3,IF(INDEX(ERP資料!$G:$G, (MATCH(713, 輔助計算!$G$2:$G$801, 0)+1))&lt;=46.5,2,1)), IF(INDEX(ERP資料!$G:$G, (MATCH(713, 輔助計算!$G$2:$G$801, 0)+1))&lt;=790,3,IF(INDEX(ERP資料!$G:$G, (MATCH(713, 輔助計算!$G$2:$G$801, 0)+1))&lt;=1181,2,1)))=2,TEXT(INDEX(ERP資料!$G:$G, (MATCH(713, 輔助計算!$G$2:$G$801, 0)+1)),"0.##")&amp;"+"&amp;TEXT(INDEX(ERP資料!$G:$G, (MATCH(713, 輔助計算!$G$2:$G$801, 0)+1)),"0.##"),TEXT(INDEX(ERP資料!$G:$G, (MATCH(713, 輔助計算!$G$2:$G$801, 0)+1)),"0.##")&amp;"+"&amp;TEXT(INDEX(ERP資料!$G:$G, (MATCH(713, 輔助計算!$G$2:$G$801, 0)+1)),"0.##")&amp;"+"&amp;TEXT(INDEX(ERP資料!$G:$G, (MATCH(713, 輔助計算!$G$2:$G$801, 0)+1)),"0.##")))&amp;"-"&amp;INT(INDEX(輔助計算!$D:$D, (MATCH(713, 輔助計算!$G$2:$G$801, 0)+1))/IF(INDEX(ERP資料!$G:$G, (MATCH(713, 輔助計算!$G$2:$G$801, 0)+1))&lt;100, IF(INDEX(ERP資料!$G:$G, (MATCH(713, 輔助計算!$G$2:$G$801, 0)+1))&lt;=31,3,IF(INDEX(ERP資料!$G:$G, (MATCH(713, 輔助計算!$G$2:$G$801, 0)+1))&lt;=46.5,2,1)), IF(INDEX(ERP資料!$G:$G, (MATCH(713, 輔助計算!$G$2:$G$801, 0)+1))&lt;=790,3,IF(INDEX(ERP資料!$G:$G, (MATCH(713, 輔助計算!$G$2:$G$801, 0)+1))&lt;=1181,2,1)))), "")&lt;&gt;"",IF(MOD(INDEX(輔助計算!$D:$D, (MATCH(713, 輔助計算!$G$2:$G$801, 0)+1)),IF(INDEX(ERP資料!$G:$G, (MATCH(713, 輔助計算!$G$2:$G$801, 0)+1))&lt;100, IF(INDEX(ERP資料!$G:$G, (MATCH(713, 輔助計算!$G$2:$G$801, 0)+1))&lt;=31,3,IF(INDEX(ERP資料!$G:$G, (MATCH(713, 輔助計算!$G$2:$G$801, 0)+1))&lt;=46.5,2,1)), IF(INDEX(ERP資料!$G:$G, (MATCH(713, 輔助計算!$G$2:$G$801, 0)+1))&lt;=790,3,IF(INDEX(ERP資料!$G:$G, (MATCH(713, 輔助計算!$G$2:$G$801, 0)+1))&lt;=1181,2,1))))=0,"",IF(MOD(INDEX(輔助計算!$D:$D, (MATCH(713, 輔助計算!$G$2:$G$801, 0)+1)),IF(INDEX(ERP資料!$G:$G, (MATCH(713, 輔助計算!$G$2:$G$801, 0)+1))&lt;100, IF(INDEX(ERP資料!$G:$G, (MATCH(713, 輔助計算!$G$2:$G$801, 0)+1))&lt;=31,3,IF(INDEX(ERP資料!$G:$G, (MATCH(713, 輔助計算!$G$2:$G$801, 0)+1))&lt;=46.5,2,1)), IF(INDEX(ERP資料!$G:$G, (MATCH(713, 輔助計算!$G$2:$G$801, 0)+1))&lt;=790,3,IF(INDEX(ERP資料!$G:$G, (MATCH(713, 輔助計算!$G$2:$G$801, 0)+1))&lt;=1181,2,1))))=0,"",IF(MOD(INDEX(輔助計算!$D:$D, (MATCH(713, 輔助計算!$G$2:$G$801, 0)+1)),IF(INDEX(ERP資料!$G:$G, (MATCH(713, 輔助計算!$G$2:$G$801, 0)+1))&lt;100, IF(INDEX(ERP資料!$G:$G, (MATCH(713, 輔助計算!$G$2:$G$801, 0)+1))&lt;=31,3,IF(INDEX(ERP資料!$G:$G, (MATCH(713, 輔助計算!$G$2:$G$801, 0)+1))&lt;=46.5,2,1)), IF(INDEX(ERP資料!$G:$G, (MATCH(713, 輔助計算!$G$2:$G$801, 0)+1))&lt;=790,3,IF(INDEX(ERP資料!$G:$G, (MATCH(713, 輔助計算!$G$2:$G$801, 0)+1))&lt;=1181,2,1))))=1,TEXT(INDEX(ERP資料!$G:$G, (MATCH(713, 輔助計算!$G$2:$G$801, 0)+1)),"0.##"),IF(MOD(INDEX(輔助計算!$D:$D, (MATCH(713, 輔助計算!$G$2:$G$801, 0)+1)),IF(INDEX(ERP資料!$G:$G, (MATCH(713, 輔助計算!$G$2:$G$801, 0)+1))&lt;100, IF(INDEX(ERP資料!$G:$G, (MATCH(713, 輔助計算!$G$2:$G$801, 0)+1))&lt;=31,3,IF(INDEX(ERP資料!$G:$G, (MATCH(713, 輔助計算!$G$2:$G$801, 0)+1))&lt;=46.5,2,1)), IF(INDEX(ERP資料!$G:$G, (MATCH(713, 輔助計算!$G$2:$G$801, 0)+1))&lt;=790,3,IF(INDEX(ERP資料!$G:$G, (MATCH(713, 輔助計算!$G$2:$G$801, 0)+1))&lt;=1181,2,1))))=2,TEXT(INDEX(ERP資料!$G:$G, (MATCH(713, 輔助計算!$G$2:$G$801, 0)+1)),"0.##")&amp;"+"&amp;TEXT(INDEX(ERP資料!$G:$G, (MATCH(713, 輔助計算!$G$2:$G$801, 0)+1)),"0.##"),TEXT(INDEX(ERP資料!$G:$G, (MATCH(713, 輔助計算!$G$2:$G$801, 0)+1)),"0.##")&amp;"+"&amp;TEXT(INDEX(ERP資料!$G:$G, (MATCH(713, 輔助計算!$G$2:$G$801, 0)+1)),"0.##")&amp;"+"&amp;TEXT(INDEX(ERP資料!$G:$G, (MATCH(713, 輔助計算!$G$2:$G$801, 0)+1)),"0.##"))))&amp;"-1")&lt;&gt;""),"  ","")&amp;IF(MOD(INDEX(輔助計算!$D:$D, (MATCH(713, 輔助計算!$G$2:$G$801, 0)+1)),IF(INDEX(ERP資料!$G:$G, (MATCH(713, 輔助計算!$G$2:$G$801, 0)+1))&lt;100, IF(INDEX(ERP資料!$G:$G, (MATCH(713, 輔助計算!$G$2:$G$801, 0)+1))&lt;=31,3,IF(INDEX(ERP資料!$G:$G, (MATCH(713, 輔助計算!$G$2:$G$801, 0)+1))&lt;=46.5,2,1)), IF(INDEX(ERP資料!$G:$G, (MATCH(713, 輔助計算!$G$2:$G$801, 0)+1))&lt;=790,3,IF(INDEX(ERP資料!$G:$G, (MATCH(713, 輔助計算!$G$2:$G$801, 0)+1))&lt;=1181,2,1))))=0,"",IF(MOD(INDEX(輔助計算!$D:$D, (MATCH(713, 輔助計算!$G$2:$G$801, 0)+1)),IF(INDEX(ERP資料!$G:$G, (MATCH(713, 輔助計算!$G$2:$G$801, 0)+1))&lt;100, IF(INDEX(ERP資料!$G:$G, (MATCH(713, 輔助計算!$G$2:$G$801, 0)+1))&lt;=31,3,IF(INDEX(ERP資料!$G:$G, (MATCH(713, 輔助計算!$G$2:$G$801, 0)+1))&lt;=46.5,2,1)), IF(INDEX(ERP資料!$G:$G, (MATCH(713, 輔助計算!$G$2:$G$801, 0)+1))&lt;=790,3,IF(INDEX(ERP資料!$G:$G, (MATCH(713, 輔助計算!$G$2:$G$801, 0)+1))&lt;=1181,2,1))))=0,"",IF(MOD(INDEX(輔助計算!$D:$D, (MATCH(713, 輔助計算!$G$2:$G$801, 0)+1)),IF(INDEX(ERP資料!$G:$G, (MATCH(713, 輔助計算!$G$2:$G$801, 0)+1))&lt;100, IF(INDEX(ERP資料!$G:$G, (MATCH(713, 輔助計算!$G$2:$G$801, 0)+1))&lt;=31,3,IF(INDEX(ERP資料!$G:$G, (MATCH(713, 輔助計算!$G$2:$G$801, 0)+1))&lt;=46.5,2,1)), IF(INDEX(ERP資料!$G:$G, (MATCH(713, 輔助計算!$G$2:$G$801, 0)+1))&lt;=790,3,IF(INDEX(ERP資料!$G:$G, (MATCH(713, 輔助計算!$G$2:$G$801, 0)+1))&lt;=1181,2,1))))=1,TEXT(INDEX(ERP資料!$G:$G, (MATCH(713, 輔助計算!$G$2:$G$801, 0)+1)),"0.##"),IF(MOD(INDEX(輔助計算!$D:$D, (MATCH(713, 輔助計算!$G$2:$G$801, 0)+1)),IF(INDEX(ERP資料!$G:$G, (MATCH(713, 輔助計算!$G$2:$G$801, 0)+1))&lt;100, IF(INDEX(ERP資料!$G:$G, (MATCH(713, 輔助計算!$G$2:$G$801, 0)+1))&lt;=31,3,IF(INDEX(ERP資料!$G:$G, (MATCH(713, 輔助計算!$G$2:$G$801, 0)+1))&lt;=46.5,2,1)), IF(INDEX(ERP資料!$G:$G, (MATCH(713, 輔助計算!$G$2:$G$801, 0)+1))&lt;=790,3,IF(INDEX(ERP資料!$G:$G, (MATCH(713, 輔助計算!$G$2:$G$801, 0)+1))&lt;=1181,2,1))))=2,TEXT(INDEX(ERP資料!$G:$G, (MATCH(713, 輔助計算!$G$2:$G$801, 0)+1)),"0.##")&amp;"+"&amp;TEXT(INDEX(ERP資料!$G:$G, (MATCH(713, 輔助計算!$G$2:$G$801, 0)+1)),"0.##"),TEXT(INDEX(ERP資料!$G:$G, (MATCH(713, 輔助計算!$G$2:$G$801, 0)+1)),"0.##")&amp;"+"&amp;TEXT(INDEX(ERP資料!$G:$G, (MATCH(713, 輔助計算!$G$2:$G$801, 0)+1)),"0.##")&amp;"+"&amp;TEXT(INDEX(ERP資料!$G:$G, (MATCH(713, 輔助計算!$G$2:$G$801, 0)+1)),"0.##"))))&amp;"-1")), ""), "")</f>
        <v/>
      </c>
      <c r="K714" s="16" t="n"/>
      <c r="L714" s="14">
        <f>IFERROR(IF(AND(IFERROR(INDEX(ERP資料!$A:$A, (MATCH(713, 輔助計算!$G$2:$G$801, 0)+1)), "")&lt;&gt;"", IFERROR(INDEX(ERP資料!$A:$A, (MATCH(713, 輔助計算!$G$2:$G$801, 0)+1)), "")&lt;&gt;IFERROR(INDEX(ERP資料!$A:$A, MATCH(712, 輔助計算!$G$2:$G$801, 0)+1), "")), INDEX(ERP資料!$B:$B, (MATCH(713, 輔助計算!$G$2:$G$801, 0)+1)), ""), "")</f>
        <v/>
      </c>
      <c r="M714" s="17" t="n"/>
    </row>
    <row r="715">
      <c r="A715" s="10">
        <f>IFERROR(IF(AND(IFERROR(INDEX(ERP資料!$A:$A, (MATCH(714, 輔助計算!$G$2:$G$801, 0)+1)), "")&lt;&gt;"", IFERROR(INDEX(ERP資料!$A:$A, (MATCH(714, 輔助計算!$G$2:$G$801, 0)+1)), "")&lt;&gt;IFERROR(INDEX(ERP資料!$A:$A, MATCH(713, 輔助計算!$G$2:$G$801, 0)+1), "")), IFERROR(INDEX(ERP資料!$A:$A, (MATCH(714, 輔助計算!$G$2:$G$801, 0)+1)), ""), ""), "")</f>
        <v/>
      </c>
      <c r="B715" s="10">
        <f>IFERROR(IF(AND(IFERROR(INDEX(ERP資料!$A:$A, (MATCH(714, 輔助計算!$G$2:$G$801, 0)+1)), "")&lt;&gt;"", IFERROR(INDEX(ERP資料!$A:$A, (MATCH(714, 輔助計算!$G$2:$G$801, 0)+1)), "")&lt;&gt;IFERROR(INDEX(ERP資料!$A:$A, MATCH(713, 輔助計算!$G$2:$G$801, 0)+1), "")), INDEX(ERP資料!$S:$S, (MATCH(714, 輔助計算!$G$2:$G$801, 0)+1)), ""), "")</f>
        <v/>
      </c>
      <c r="C715" s="19">
        <f>IFERROR(IF(AND(IFERROR(INDEX(ERP資料!$A:$A, (MATCH(714, 輔助計算!$G$2:$G$801, 0)+1)), "")&lt;&gt;"", IFERROR(INDEX(ERP資料!$A:$A, (MATCH(714, 輔助計算!$G$2:$G$801, 0)+1)), "")&lt;&gt;IFERROR(INDEX(ERP資料!$A:$A, MATCH(713, 輔助計算!$G$2:$G$801, 0)+1), "")), IFERROR(VLOOKUP(LEFT(INDEX(ERP資料!$S:$S, (MATCH(714, 輔助計算!$G$2:$G$801, 0)+1)), 4), 紙管對照表!$A:$C, 3, FALSE), ""), ""), "")</f>
        <v/>
      </c>
      <c r="D715" s="16" t="n"/>
      <c r="E715" s="10">
        <f>IFERROR(IF(INDEX(ERP資料!$H:$H, (MATCH(714, 輔助計算!$G$2:$G$801, 0)+1))="","",INDEX(ERP資料!$H:$H, (MATCH(714, 輔助計算!$G$2:$G$801, 0)+1))), "")</f>
        <v/>
      </c>
      <c r="F715" s="10">
        <f>IFERROR(IF(INDEX(ERP資料!$E:$E, (MATCH(714, 輔助計算!$G$2:$G$801, 0)+1))="","",TRIM(INDEX(ERP資料!$E:$E, (MATCH(714, 輔助計算!$G$2:$G$801, 0)+1)))), "")</f>
        <v/>
      </c>
      <c r="G715" s="10">
        <f>IFERROR(IF(INDEX(ERP資料!$F:$F, (MATCH(714, 輔助計算!$G$2:$G$801, 0)+1))="","",INDEX(ERP資料!$F:$F, (MATCH(714, 輔助計算!$G$2:$G$801, 0)+1))), "")</f>
        <v/>
      </c>
      <c r="H715" s="10">
        <f>IFERROR(IF(INDEX(ERP資料!$G:$G, (MATCH(714, 輔助計算!$G$2:$G$801, 0)+1))="","",INDEX(ERP資料!$G:$G, (MATCH(714, 輔助計算!$G$2:$G$801, 0)+1))), "")</f>
        <v/>
      </c>
      <c r="I715" s="15">
        <f>IFERROR(INDEX(輔助計算!$D:$D, (MATCH(714, 輔助計算!$G$2:$G$801, 0)+1)), "")</f>
        <v/>
      </c>
      <c r="J715" s="15">
        <f>IFERROR(IF(AND(INDEX(輔助計算!$D:$D, (MATCH(714, 輔助計算!$G$2:$G$801, 0)+1))&lt;&gt;"", INDEX(ERP資料!$G:$G, (MATCH(714, 輔助計算!$G$2:$G$801, 0)+1))&lt;&gt;""), TRIM(IF(INT(INDEX(輔助計算!$D:$D, (MATCH(714, 輔助計算!$G$2:$G$801, 0)+1))/IF(INDEX(ERP資料!$G:$G, (MATCH(714, 輔助計算!$G$2:$G$801, 0)+1))&lt;100, IF(INDEX(ERP資料!$G:$G, (MATCH(714, 輔助計算!$G$2:$G$801, 0)+1))&lt;=31,3,IF(INDEX(ERP資料!$G:$G, (MATCH(714, 輔助計算!$G$2:$G$801, 0)+1))&lt;=46.5,2,1)), IF(INDEX(ERP資料!$G:$G, (MATCH(714, 輔助計算!$G$2:$G$801, 0)+1))&lt;=790,3,IF(INDEX(ERP資料!$G:$G, (MATCH(714, 輔助計算!$G$2:$G$801, 0)+1))&lt;=1181,2,1))))&gt;0, IF(IF(INDEX(ERP資料!$G:$G, (MATCH(714, 輔助計算!$G$2:$G$801, 0)+1))&lt;100, IF(INDEX(ERP資料!$G:$G, (MATCH(714, 輔助計算!$G$2:$G$801, 0)+1))&lt;=31,3,IF(INDEX(ERP資料!$G:$G, (MATCH(714, 輔助計算!$G$2:$G$801, 0)+1))&lt;=46.5,2,1)), IF(INDEX(ERP資料!$G:$G, (MATCH(714, 輔助計算!$G$2:$G$801, 0)+1))&lt;=790,3,IF(INDEX(ERP資料!$G:$G, (MATCH(714, 輔助計算!$G$2:$G$801, 0)+1))&lt;=1181,2,1)))=1,TEXT(INDEX(ERP資料!$G:$G, (MATCH(714, 輔助計算!$G$2:$G$801, 0)+1)),"0.##"),IF(IF(INDEX(ERP資料!$G:$G, (MATCH(714, 輔助計算!$G$2:$G$801, 0)+1))&lt;100, IF(INDEX(ERP資料!$G:$G, (MATCH(714, 輔助計算!$G$2:$G$801, 0)+1))&lt;=31,3,IF(INDEX(ERP資料!$G:$G, (MATCH(714, 輔助計算!$G$2:$G$801, 0)+1))&lt;=46.5,2,1)), IF(INDEX(ERP資料!$G:$G, (MATCH(714, 輔助計算!$G$2:$G$801, 0)+1))&lt;=790,3,IF(INDEX(ERP資料!$G:$G, (MATCH(714, 輔助計算!$G$2:$G$801, 0)+1))&lt;=1181,2,1)))=2,TEXT(INDEX(ERP資料!$G:$G, (MATCH(714, 輔助計算!$G$2:$G$801, 0)+1)),"0.##")&amp;"+"&amp;TEXT(INDEX(ERP資料!$G:$G, (MATCH(714, 輔助計算!$G$2:$G$801, 0)+1)),"0.##"),TEXT(INDEX(ERP資料!$G:$G, (MATCH(714, 輔助計算!$G$2:$G$801, 0)+1)),"0.##")&amp;"+"&amp;TEXT(INDEX(ERP資料!$G:$G, (MATCH(714, 輔助計算!$G$2:$G$801, 0)+1)),"0.##")&amp;"+"&amp;TEXT(INDEX(ERP資料!$G:$G, (MATCH(714, 輔助計算!$G$2:$G$801, 0)+1)),"0.##")))&amp;"-"&amp;INT(INDEX(輔助計算!$D:$D, (MATCH(714, 輔助計算!$G$2:$G$801, 0)+1))/IF(INDEX(ERP資料!$G:$G, (MATCH(714, 輔助計算!$G$2:$G$801, 0)+1))&lt;100, IF(INDEX(ERP資料!$G:$G, (MATCH(714, 輔助計算!$G$2:$G$801, 0)+1))&lt;=31,3,IF(INDEX(ERP資料!$G:$G, (MATCH(714, 輔助計算!$G$2:$G$801, 0)+1))&lt;=46.5,2,1)), IF(INDEX(ERP資料!$G:$G, (MATCH(714, 輔助計算!$G$2:$G$801, 0)+1))&lt;=790,3,IF(INDEX(ERP資料!$G:$G, (MATCH(714, 輔助計算!$G$2:$G$801, 0)+1))&lt;=1181,2,1)))), "")&amp;IF(AND(IF(INT(INDEX(輔助計算!$D:$D, (MATCH(714, 輔助計算!$G$2:$G$801, 0)+1))/IF(INDEX(ERP資料!$G:$G, (MATCH(714, 輔助計算!$G$2:$G$801, 0)+1))&lt;100, IF(INDEX(ERP資料!$G:$G, (MATCH(714, 輔助計算!$G$2:$G$801, 0)+1))&lt;=31,3,IF(INDEX(ERP資料!$G:$G, (MATCH(714, 輔助計算!$G$2:$G$801, 0)+1))&lt;=46.5,2,1)), IF(INDEX(ERP資料!$G:$G, (MATCH(714, 輔助計算!$G$2:$G$801, 0)+1))&lt;=790,3,IF(INDEX(ERP資料!$G:$G, (MATCH(714, 輔助計算!$G$2:$G$801, 0)+1))&lt;=1181,2,1))))&gt;0, IF(IF(INDEX(ERP資料!$G:$G, (MATCH(714, 輔助計算!$G$2:$G$801, 0)+1))&lt;100, IF(INDEX(ERP資料!$G:$G, (MATCH(714, 輔助計算!$G$2:$G$801, 0)+1))&lt;=31,3,IF(INDEX(ERP資料!$G:$G, (MATCH(714, 輔助計算!$G$2:$G$801, 0)+1))&lt;=46.5,2,1)), IF(INDEX(ERP資料!$G:$G, (MATCH(714, 輔助計算!$G$2:$G$801, 0)+1))&lt;=790,3,IF(INDEX(ERP資料!$G:$G, (MATCH(714, 輔助計算!$G$2:$G$801, 0)+1))&lt;=1181,2,1)))=1,TEXT(INDEX(ERP資料!$G:$G, (MATCH(714, 輔助計算!$G$2:$G$801, 0)+1)),"0.##"),IF(IF(INDEX(ERP資料!$G:$G, (MATCH(714, 輔助計算!$G$2:$G$801, 0)+1))&lt;100, IF(INDEX(ERP資料!$G:$G, (MATCH(714, 輔助計算!$G$2:$G$801, 0)+1))&lt;=31,3,IF(INDEX(ERP資料!$G:$G, (MATCH(714, 輔助計算!$G$2:$G$801, 0)+1))&lt;=46.5,2,1)), IF(INDEX(ERP資料!$G:$G, (MATCH(714, 輔助計算!$G$2:$G$801, 0)+1))&lt;=790,3,IF(INDEX(ERP資料!$G:$G, (MATCH(714, 輔助計算!$G$2:$G$801, 0)+1))&lt;=1181,2,1)))=2,TEXT(INDEX(ERP資料!$G:$G, (MATCH(714, 輔助計算!$G$2:$G$801, 0)+1)),"0.##")&amp;"+"&amp;TEXT(INDEX(ERP資料!$G:$G, (MATCH(714, 輔助計算!$G$2:$G$801, 0)+1)),"0.##"),TEXT(INDEX(ERP資料!$G:$G, (MATCH(714, 輔助計算!$G$2:$G$801, 0)+1)),"0.##")&amp;"+"&amp;TEXT(INDEX(ERP資料!$G:$G, (MATCH(714, 輔助計算!$G$2:$G$801, 0)+1)),"0.##")&amp;"+"&amp;TEXT(INDEX(ERP資料!$G:$G, (MATCH(714, 輔助計算!$G$2:$G$801, 0)+1)),"0.##")))&amp;"-"&amp;INT(INDEX(輔助計算!$D:$D, (MATCH(714, 輔助計算!$G$2:$G$801, 0)+1))/IF(INDEX(ERP資料!$G:$G, (MATCH(714, 輔助計算!$G$2:$G$801, 0)+1))&lt;100, IF(INDEX(ERP資料!$G:$G, (MATCH(714, 輔助計算!$G$2:$G$801, 0)+1))&lt;=31,3,IF(INDEX(ERP資料!$G:$G, (MATCH(714, 輔助計算!$G$2:$G$801, 0)+1))&lt;=46.5,2,1)), IF(INDEX(ERP資料!$G:$G, (MATCH(714, 輔助計算!$G$2:$G$801, 0)+1))&lt;=790,3,IF(INDEX(ERP資料!$G:$G, (MATCH(714, 輔助計算!$G$2:$G$801, 0)+1))&lt;=1181,2,1)))), "")&lt;&gt;"",IF(MOD(INDEX(輔助計算!$D:$D, (MATCH(714, 輔助計算!$G$2:$G$801, 0)+1)),IF(INDEX(ERP資料!$G:$G, (MATCH(714, 輔助計算!$G$2:$G$801, 0)+1))&lt;100, IF(INDEX(ERP資料!$G:$G, (MATCH(714, 輔助計算!$G$2:$G$801, 0)+1))&lt;=31,3,IF(INDEX(ERP資料!$G:$G, (MATCH(714, 輔助計算!$G$2:$G$801, 0)+1))&lt;=46.5,2,1)), IF(INDEX(ERP資料!$G:$G, (MATCH(714, 輔助計算!$G$2:$G$801, 0)+1))&lt;=790,3,IF(INDEX(ERP資料!$G:$G, (MATCH(714, 輔助計算!$G$2:$G$801, 0)+1))&lt;=1181,2,1))))=0,"",IF(MOD(INDEX(輔助計算!$D:$D, (MATCH(714, 輔助計算!$G$2:$G$801, 0)+1)),IF(INDEX(ERP資料!$G:$G, (MATCH(714, 輔助計算!$G$2:$G$801, 0)+1))&lt;100, IF(INDEX(ERP資料!$G:$G, (MATCH(714, 輔助計算!$G$2:$G$801, 0)+1))&lt;=31,3,IF(INDEX(ERP資料!$G:$G, (MATCH(714, 輔助計算!$G$2:$G$801, 0)+1))&lt;=46.5,2,1)), IF(INDEX(ERP資料!$G:$G, (MATCH(714, 輔助計算!$G$2:$G$801, 0)+1))&lt;=790,3,IF(INDEX(ERP資料!$G:$G, (MATCH(714, 輔助計算!$G$2:$G$801, 0)+1))&lt;=1181,2,1))))=0,"",IF(MOD(INDEX(輔助計算!$D:$D, (MATCH(714, 輔助計算!$G$2:$G$801, 0)+1)),IF(INDEX(ERP資料!$G:$G, (MATCH(714, 輔助計算!$G$2:$G$801, 0)+1))&lt;100, IF(INDEX(ERP資料!$G:$G, (MATCH(714, 輔助計算!$G$2:$G$801, 0)+1))&lt;=31,3,IF(INDEX(ERP資料!$G:$G, (MATCH(714, 輔助計算!$G$2:$G$801, 0)+1))&lt;=46.5,2,1)), IF(INDEX(ERP資料!$G:$G, (MATCH(714, 輔助計算!$G$2:$G$801, 0)+1))&lt;=790,3,IF(INDEX(ERP資料!$G:$G, (MATCH(714, 輔助計算!$G$2:$G$801, 0)+1))&lt;=1181,2,1))))=1,TEXT(INDEX(ERP資料!$G:$G, (MATCH(714, 輔助計算!$G$2:$G$801, 0)+1)),"0.##"),IF(MOD(INDEX(輔助計算!$D:$D, (MATCH(714, 輔助計算!$G$2:$G$801, 0)+1)),IF(INDEX(ERP資料!$G:$G, (MATCH(714, 輔助計算!$G$2:$G$801, 0)+1))&lt;100, IF(INDEX(ERP資料!$G:$G, (MATCH(714, 輔助計算!$G$2:$G$801, 0)+1))&lt;=31,3,IF(INDEX(ERP資料!$G:$G, (MATCH(714, 輔助計算!$G$2:$G$801, 0)+1))&lt;=46.5,2,1)), IF(INDEX(ERP資料!$G:$G, (MATCH(714, 輔助計算!$G$2:$G$801, 0)+1))&lt;=790,3,IF(INDEX(ERP資料!$G:$G, (MATCH(714, 輔助計算!$G$2:$G$801, 0)+1))&lt;=1181,2,1))))=2,TEXT(INDEX(ERP資料!$G:$G, (MATCH(714, 輔助計算!$G$2:$G$801, 0)+1)),"0.##")&amp;"+"&amp;TEXT(INDEX(ERP資料!$G:$G, (MATCH(714, 輔助計算!$G$2:$G$801, 0)+1)),"0.##"),TEXT(INDEX(ERP資料!$G:$G, (MATCH(714, 輔助計算!$G$2:$G$801, 0)+1)),"0.##")&amp;"+"&amp;TEXT(INDEX(ERP資料!$G:$G, (MATCH(714, 輔助計算!$G$2:$G$801, 0)+1)),"0.##")&amp;"+"&amp;TEXT(INDEX(ERP資料!$G:$G, (MATCH(714, 輔助計算!$G$2:$G$801, 0)+1)),"0.##"))))&amp;"-1")&lt;&gt;""),"  ","")&amp;IF(MOD(INDEX(輔助計算!$D:$D, (MATCH(714, 輔助計算!$G$2:$G$801, 0)+1)),IF(INDEX(ERP資料!$G:$G, (MATCH(714, 輔助計算!$G$2:$G$801, 0)+1))&lt;100, IF(INDEX(ERP資料!$G:$G, (MATCH(714, 輔助計算!$G$2:$G$801, 0)+1))&lt;=31,3,IF(INDEX(ERP資料!$G:$G, (MATCH(714, 輔助計算!$G$2:$G$801, 0)+1))&lt;=46.5,2,1)), IF(INDEX(ERP資料!$G:$G, (MATCH(714, 輔助計算!$G$2:$G$801, 0)+1))&lt;=790,3,IF(INDEX(ERP資料!$G:$G, (MATCH(714, 輔助計算!$G$2:$G$801, 0)+1))&lt;=1181,2,1))))=0,"",IF(MOD(INDEX(輔助計算!$D:$D, (MATCH(714, 輔助計算!$G$2:$G$801, 0)+1)),IF(INDEX(ERP資料!$G:$G, (MATCH(714, 輔助計算!$G$2:$G$801, 0)+1))&lt;100, IF(INDEX(ERP資料!$G:$G, (MATCH(714, 輔助計算!$G$2:$G$801, 0)+1))&lt;=31,3,IF(INDEX(ERP資料!$G:$G, (MATCH(714, 輔助計算!$G$2:$G$801, 0)+1))&lt;=46.5,2,1)), IF(INDEX(ERP資料!$G:$G, (MATCH(714, 輔助計算!$G$2:$G$801, 0)+1))&lt;=790,3,IF(INDEX(ERP資料!$G:$G, (MATCH(714, 輔助計算!$G$2:$G$801, 0)+1))&lt;=1181,2,1))))=0,"",IF(MOD(INDEX(輔助計算!$D:$D, (MATCH(714, 輔助計算!$G$2:$G$801, 0)+1)),IF(INDEX(ERP資料!$G:$G, (MATCH(714, 輔助計算!$G$2:$G$801, 0)+1))&lt;100, IF(INDEX(ERP資料!$G:$G, (MATCH(714, 輔助計算!$G$2:$G$801, 0)+1))&lt;=31,3,IF(INDEX(ERP資料!$G:$G, (MATCH(714, 輔助計算!$G$2:$G$801, 0)+1))&lt;=46.5,2,1)), IF(INDEX(ERP資料!$G:$G, (MATCH(714, 輔助計算!$G$2:$G$801, 0)+1))&lt;=790,3,IF(INDEX(ERP資料!$G:$G, (MATCH(714, 輔助計算!$G$2:$G$801, 0)+1))&lt;=1181,2,1))))=1,TEXT(INDEX(ERP資料!$G:$G, (MATCH(714, 輔助計算!$G$2:$G$801, 0)+1)),"0.##"),IF(MOD(INDEX(輔助計算!$D:$D, (MATCH(714, 輔助計算!$G$2:$G$801, 0)+1)),IF(INDEX(ERP資料!$G:$G, (MATCH(714, 輔助計算!$G$2:$G$801, 0)+1))&lt;100, IF(INDEX(ERP資料!$G:$G, (MATCH(714, 輔助計算!$G$2:$G$801, 0)+1))&lt;=31,3,IF(INDEX(ERP資料!$G:$G, (MATCH(714, 輔助計算!$G$2:$G$801, 0)+1))&lt;=46.5,2,1)), IF(INDEX(ERP資料!$G:$G, (MATCH(714, 輔助計算!$G$2:$G$801, 0)+1))&lt;=790,3,IF(INDEX(ERP資料!$G:$G, (MATCH(714, 輔助計算!$G$2:$G$801, 0)+1))&lt;=1181,2,1))))=2,TEXT(INDEX(ERP資料!$G:$G, (MATCH(714, 輔助計算!$G$2:$G$801, 0)+1)),"0.##")&amp;"+"&amp;TEXT(INDEX(ERP資料!$G:$G, (MATCH(714, 輔助計算!$G$2:$G$801, 0)+1)),"0.##"),TEXT(INDEX(ERP資料!$G:$G, (MATCH(714, 輔助計算!$G$2:$G$801, 0)+1)),"0.##")&amp;"+"&amp;TEXT(INDEX(ERP資料!$G:$G, (MATCH(714, 輔助計算!$G$2:$G$801, 0)+1)),"0.##")&amp;"+"&amp;TEXT(INDEX(ERP資料!$G:$G, (MATCH(714, 輔助計算!$G$2:$G$801, 0)+1)),"0.##"))))&amp;"-1")), ""), "")</f>
        <v/>
      </c>
      <c r="K715" s="16" t="n"/>
      <c r="L715" s="14">
        <f>IFERROR(IF(AND(IFERROR(INDEX(ERP資料!$A:$A, (MATCH(714, 輔助計算!$G$2:$G$801, 0)+1)), "")&lt;&gt;"", IFERROR(INDEX(ERP資料!$A:$A, (MATCH(714, 輔助計算!$G$2:$G$801, 0)+1)), "")&lt;&gt;IFERROR(INDEX(ERP資料!$A:$A, MATCH(713, 輔助計算!$G$2:$G$801, 0)+1), "")), INDEX(ERP資料!$B:$B, (MATCH(714, 輔助計算!$G$2:$G$801, 0)+1)), ""), "")</f>
        <v/>
      </c>
      <c r="M715" s="17" t="n"/>
    </row>
    <row r="716">
      <c r="A716" s="10">
        <f>IFERROR(IF(AND(IFERROR(INDEX(ERP資料!$A:$A, (MATCH(715, 輔助計算!$G$2:$G$801, 0)+1)), "")&lt;&gt;"", IFERROR(INDEX(ERP資料!$A:$A, (MATCH(715, 輔助計算!$G$2:$G$801, 0)+1)), "")&lt;&gt;IFERROR(INDEX(ERP資料!$A:$A, MATCH(714, 輔助計算!$G$2:$G$801, 0)+1), "")), IFERROR(INDEX(ERP資料!$A:$A, (MATCH(715, 輔助計算!$G$2:$G$801, 0)+1)), ""), ""), "")</f>
        <v/>
      </c>
      <c r="B716" s="10">
        <f>IFERROR(IF(AND(IFERROR(INDEX(ERP資料!$A:$A, (MATCH(715, 輔助計算!$G$2:$G$801, 0)+1)), "")&lt;&gt;"", IFERROR(INDEX(ERP資料!$A:$A, (MATCH(715, 輔助計算!$G$2:$G$801, 0)+1)), "")&lt;&gt;IFERROR(INDEX(ERP資料!$A:$A, MATCH(714, 輔助計算!$G$2:$G$801, 0)+1), "")), INDEX(ERP資料!$S:$S, (MATCH(715, 輔助計算!$G$2:$G$801, 0)+1)), ""), "")</f>
        <v/>
      </c>
      <c r="C716" s="19">
        <f>IFERROR(IF(AND(IFERROR(INDEX(ERP資料!$A:$A, (MATCH(715, 輔助計算!$G$2:$G$801, 0)+1)), "")&lt;&gt;"", IFERROR(INDEX(ERP資料!$A:$A, (MATCH(715, 輔助計算!$G$2:$G$801, 0)+1)), "")&lt;&gt;IFERROR(INDEX(ERP資料!$A:$A, MATCH(714, 輔助計算!$G$2:$G$801, 0)+1), "")), IFERROR(VLOOKUP(LEFT(INDEX(ERP資料!$S:$S, (MATCH(715, 輔助計算!$G$2:$G$801, 0)+1)), 4), 紙管對照表!$A:$C, 3, FALSE), ""), ""), "")</f>
        <v/>
      </c>
      <c r="D716" s="16" t="n"/>
      <c r="E716" s="10">
        <f>IFERROR(IF(INDEX(ERP資料!$H:$H, (MATCH(715, 輔助計算!$G$2:$G$801, 0)+1))="","",INDEX(ERP資料!$H:$H, (MATCH(715, 輔助計算!$G$2:$G$801, 0)+1))), "")</f>
        <v/>
      </c>
      <c r="F716" s="10">
        <f>IFERROR(IF(INDEX(ERP資料!$E:$E, (MATCH(715, 輔助計算!$G$2:$G$801, 0)+1))="","",TRIM(INDEX(ERP資料!$E:$E, (MATCH(715, 輔助計算!$G$2:$G$801, 0)+1)))), "")</f>
        <v/>
      </c>
      <c r="G716" s="10">
        <f>IFERROR(IF(INDEX(ERP資料!$F:$F, (MATCH(715, 輔助計算!$G$2:$G$801, 0)+1))="","",INDEX(ERP資料!$F:$F, (MATCH(715, 輔助計算!$G$2:$G$801, 0)+1))), "")</f>
        <v/>
      </c>
      <c r="H716" s="10">
        <f>IFERROR(IF(INDEX(ERP資料!$G:$G, (MATCH(715, 輔助計算!$G$2:$G$801, 0)+1))="","",INDEX(ERP資料!$G:$G, (MATCH(715, 輔助計算!$G$2:$G$801, 0)+1))), "")</f>
        <v/>
      </c>
      <c r="I716" s="15">
        <f>IFERROR(INDEX(輔助計算!$D:$D, (MATCH(715, 輔助計算!$G$2:$G$801, 0)+1)), "")</f>
        <v/>
      </c>
      <c r="J716" s="15">
        <f>IFERROR(IF(AND(INDEX(輔助計算!$D:$D, (MATCH(715, 輔助計算!$G$2:$G$801, 0)+1))&lt;&gt;"", INDEX(ERP資料!$G:$G, (MATCH(715, 輔助計算!$G$2:$G$801, 0)+1))&lt;&gt;""), TRIM(IF(INT(INDEX(輔助計算!$D:$D, (MATCH(715, 輔助計算!$G$2:$G$801, 0)+1))/IF(INDEX(ERP資料!$G:$G, (MATCH(715, 輔助計算!$G$2:$G$801, 0)+1))&lt;100, IF(INDEX(ERP資料!$G:$G, (MATCH(715, 輔助計算!$G$2:$G$801, 0)+1))&lt;=31,3,IF(INDEX(ERP資料!$G:$G, (MATCH(715, 輔助計算!$G$2:$G$801, 0)+1))&lt;=46.5,2,1)), IF(INDEX(ERP資料!$G:$G, (MATCH(715, 輔助計算!$G$2:$G$801, 0)+1))&lt;=790,3,IF(INDEX(ERP資料!$G:$G, (MATCH(715, 輔助計算!$G$2:$G$801, 0)+1))&lt;=1181,2,1))))&gt;0, IF(IF(INDEX(ERP資料!$G:$G, (MATCH(715, 輔助計算!$G$2:$G$801, 0)+1))&lt;100, IF(INDEX(ERP資料!$G:$G, (MATCH(715, 輔助計算!$G$2:$G$801, 0)+1))&lt;=31,3,IF(INDEX(ERP資料!$G:$G, (MATCH(715, 輔助計算!$G$2:$G$801, 0)+1))&lt;=46.5,2,1)), IF(INDEX(ERP資料!$G:$G, (MATCH(715, 輔助計算!$G$2:$G$801, 0)+1))&lt;=790,3,IF(INDEX(ERP資料!$G:$G, (MATCH(715, 輔助計算!$G$2:$G$801, 0)+1))&lt;=1181,2,1)))=1,TEXT(INDEX(ERP資料!$G:$G, (MATCH(715, 輔助計算!$G$2:$G$801, 0)+1)),"0.##"),IF(IF(INDEX(ERP資料!$G:$G, (MATCH(715, 輔助計算!$G$2:$G$801, 0)+1))&lt;100, IF(INDEX(ERP資料!$G:$G, (MATCH(715, 輔助計算!$G$2:$G$801, 0)+1))&lt;=31,3,IF(INDEX(ERP資料!$G:$G, (MATCH(715, 輔助計算!$G$2:$G$801, 0)+1))&lt;=46.5,2,1)), IF(INDEX(ERP資料!$G:$G, (MATCH(715, 輔助計算!$G$2:$G$801, 0)+1))&lt;=790,3,IF(INDEX(ERP資料!$G:$G, (MATCH(715, 輔助計算!$G$2:$G$801, 0)+1))&lt;=1181,2,1)))=2,TEXT(INDEX(ERP資料!$G:$G, (MATCH(715, 輔助計算!$G$2:$G$801, 0)+1)),"0.##")&amp;"+"&amp;TEXT(INDEX(ERP資料!$G:$G, (MATCH(715, 輔助計算!$G$2:$G$801, 0)+1)),"0.##"),TEXT(INDEX(ERP資料!$G:$G, (MATCH(715, 輔助計算!$G$2:$G$801, 0)+1)),"0.##")&amp;"+"&amp;TEXT(INDEX(ERP資料!$G:$G, (MATCH(715, 輔助計算!$G$2:$G$801, 0)+1)),"0.##")&amp;"+"&amp;TEXT(INDEX(ERP資料!$G:$G, (MATCH(715, 輔助計算!$G$2:$G$801, 0)+1)),"0.##")))&amp;"-"&amp;INT(INDEX(輔助計算!$D:$D, (MATCH(715, 輔助計算!$G$2:$G$801, 0)+1))/IF(INDEX(ERP資料!$G:$G, (MATCH(715, 輔助計算!$G$2:$G$801, 0)+1))&lt;100, IF(INDEX(ERP資料!$G:$G, (MATCH(715, 輔助計算!$G$2:$G$801, 0)+1))&lt;=31,3,IF(INDEX(ERP資料!$G:$G, (MATCH(715, 輔助計算!$G$2:$G$801, 0)+1))&lt;=46.5,2,1)), IF(INDEX(ERP資料!$G:$G, (MATCH(715, 輔助計算!$G$2:$G$801, 0)+1))&lt;=790,3,IF(INDEX(ERP資料!$G:$G, (MATCH(715, 輔助計算!$G$2:$G$801, 0)+1))&lt;=1181,2,1)))), "")&amp;IF(AND(IF(INT(INDEX(輔助計算!$D:$D, (MATCH(715, 輔助計算!$G$2:$G$801, 0)+1))/IF(INDEX(ERP資料!$G:$G, (MATCH(715, 輔助計算!$G$2:$G$801, 0)+1))&lt;100, IF(INDEX(ERP資料!$G:$G, (MATCH(715, 輔助計算!$G$2:$G$801, 0)+1))&lt;=31,3,IF(INDEX(ERP資料!$G:$G, (MATCH(715, 輔助計算!$G$2:$G$801, 0)+1))&lt;=46.5,2,1)), IF(INDEX(ERP資料!$G:$G, (MATCH(715, 輔助計算!$G$2:$G$801, 0)+1))&lt;=790,3,IF(INDEX(ERP資料!$G:$G, (MATCH(715, 輔助計算!$G$2:$G$801, 0)+1))&lt;=1181,2,1))))&gt;0, IF(IF(INDEX(ERP資料!$G:$G, (MATCH(715, 輔助計算!$G$2:$G$801, 0)+1))&lt;100, IF(INDEX(ERP資料!$G:$G, (MATCH(715, 輔助計算!$G$2:$G$801, 0)+1))&lt;=31,3,IF(INDEX(ERP資料!$G:$G, (MATCH(715, 輔助計算!$G$2:$G$801, 0)+1))&lt;=46.5,2,1)), IF(INDEX(ERP資料!$G:$G, (MATCH(715, 輔助計算!$G$2:$G$801, 0)+1))&lt;=790,3,IF(INDEX(ERP資料!$G:$G, (MATCH(715, 輔助計算!$G$2:$G$801, 0)+1))&lt;=1181,2,1)))=1,TEXT(INDEX(ERP資料!$G:$G, (MATCH(715, 輔助計算!$G$2:$G$801, 0)+1)),"0.##"),IF(IF(INDEX(ERP資料!$G:$G, (MATCH(715, 輔助計算!$G$2:$G$801, 0)+1))&lt;100, IF(INDEX(ERP資料!$G:$G, (MATCH(715, 輔助計算!$G$2:$G$801, 0)+1))&lt;=31,3,IF(INDEX(ERP資料!$G:$G, (MATCH(715, 輔助計算!$G$2:$G$801, 0)+1))&lt;=46.5,2,1)), IF(INDEX(ERP資料!$G:$G, (MATCH(715, 輔助計算!$G$2:$G$801, 0)+1))&lt;=790,3,IF(INDEX(ERP資料!$G:$G, (MATCH(715, 輔助計算!$G$2:$G$801, 0)+1))&lt;=1181,2,1)))=2,TEXT(INDEX(ERP資料!$G:$G, (MATCH(715, 輔助計算!$G$2:$G$801, 0)+1)),"0.##")&amp;"+"&amp;TEXT(INDEX(ERP資料!$G:$G, (MATCH(715, 輔助計算!$G$2:$G$801, 0)+1)),"0.##"),TEXT(INDEX(ERP資料!$G:$G, (MATCH(715, 輔助計算!$G$2:$G$801, 0)+1)),"0.##")&amp;"+"&amp;TEXT(INDEX(ERP資料!$G:$G, (MATCH(715, 輔助計算!$G$2:$G$801, 0)+1)),"0.##")&amp;"+"&amp;TEXT(INDEX(ERP資料!$G:$G, (MATCH(715, 輔助計算!$G$2:$G$801, 0)+1)),"0.##")))&amp;"-"&amp;INT(INDEX(輔助計算!$D:$D, (MATCH(715, 輔助計算!$G$2:$G$801, 0)+1))/IF(INDEX(ERP資料!$G:$G, (MATCH(715, 輔助計算!$G$2:$G$801, 0)+1))&lt;100, IF(INDEX(ERP資料!$G:$G, (MATCH(715, 輔助計算!$G$2:$G$801, 0)+1))&lt;=31,3,IF(INDEX(ERP資料!$G:$G, (MATCH(715, 輔助計算!$G$2:$G$801, 0)+1))&lt;=46.5,2,1)), IF(INDEX(ERP資料!$G:$G, (MATCH(715, 輔助計算!$G$2:$G$801, 0)+1))&lt;=790,3,IF(INDEX(ERP資料!$G:$G, (MATCH(715, 輔助計算!$G$2:$G$801, 0)+1))&lt;=1181,2,1)))), "")&lt;&gt;"",IF(MOD(INDEX(輔助計算!$D:$D, (MATCH(715, 輔助計算!$G$2:$G$801, 0)+1)),IF(INDEX(ERP資料!$G:$G, (MATCH(715, 輔助計算!$G$2:$G$801, 0)+1))&lt;100, IF(INDEX(ERP資料!$G:$G, (MATCH(715, 輔助計算!$G$2:$G$801, 0)+1))&lt;=31,3,IF(INDEX(ERP資料!$G:$G, (MATCH(715, 輔助計算!$G$2:$G$801, 0)+1))&lt;=46.5,2,1)), IF(INDEX(ERP資料!$G:$G, (MATCH(715, 輔助計算!$G$2:$G$801, 0)+1))&lt;=790,3,IF(INDEX(ERP資料!$G:$G, (MATCH(715, 輔助計算!$G$2:$G$801, 0)+1))&lt;=1181,2,1))))=0,"",IF(MOD(INDEX(輔助計算!$D:$D, (MATCH(715, 輔助計算!$G$2:$G$801, 0)+1)),IF(INDEX(ERP資料!$G:$G, (MATCH(715, 輔助計算!$G$2:$G$801, 0)+1))&lt;100, IF(INDEX(ERP資料!$G:$G, (MATCH(715, 輔助計算!$G$2:$G$801, 0)+1))&lt;=31,3,IF(INDEX(ERP資料!$G:$G, (MATCH(715, 輔助計算!$G$2:$G$801, 0)+1))&lt;=46.5,2,1)), IF(INDEX(ERP資料!$G:$G, (MATCH(715, 輔助計算!$G$2:$G$801, 0)+1))&lt;=790,3,IF(INDEX(ERP資料!$G:$G, (MATCH(715, 輔助計算!$G$2:$G$801, 0)+1))&lt;=1181,2,1))))=0,"",IF(MOD(INDEX(輔助計算!$D:$D, (MATCH(715, 輔助計算!$G$2:$G$801, 0)+1)),IF(INDEX(ERP資料!$G:$G, (MATCH(715, 輔助計算!$G$2:$G$801, 0)+1))&lt;100, IF(INDEX(ERP資料!$G:$G, (MATCH(715, 輔助計算!$G$2:$G$801, 0)+1))&lt;=31,3,IF(INDEX(ERP資料!$G:$G, (MATCH(715, 輔助計算!$G$2:$G$801, 0)+1))&lt;=46.5,2,1)), IF(INDEX(ERP資料!$G:$G, (MATCH(715, 輔助計算!$G$2:$G$801, 0)+1))&lt;=790,3,IF(INDEX(ERP資料!$G:$G, (MATCH(715, 輔助計算!$G$2:$G$801, 0)+1))&lt;=1181,2,1))))=1,TEXT(INDEX(ERP資料!$G:$G, (MATCH(715, 輔助計算!$G$2:$G$801, 0)+1)),"0.##"),IF(MOD(INDEX(輔助計算!$D:$D, (MATCH(715, 輔助計算!$G$2:$G$801, 0)+1)),IF(INDEX(ERP資料!$G:$G, (MATCH(715, 輔助計算!$G$2:$G$801, 0)+1))&lt;100, IF(INDEX(ERP資料!$G:$G, (MATCH(715, 輔助計算!$G$2:$G$801, 0)+1))&lt;=31,3,IF(INDEX(ERP資料!$G:$G, (MATCH(715, 輔助計算!$G$2:$G$801, 0)+1))&lt;=46.5,2,1)), IF(INDEX(ERP資料!$G:$G, (MATCH(715, 輔助計算!$G$2:$G$801, 0)+1))&lt;=790,3,IF(INDEX(ERP資料!$G:$G, (MATCH(715, 輔助計算!$G$2:$G$801, 0)+1))&lt;=1181,2,1))))=2,TEXT(INDEX(ERP資料!$G:$G, (MATCH(715, 輔助計算!$G$2:$G$801, 0)+1)),"0.##")&amp;"+"&amp;TEXT(INDEX(ERP資料!$G:$G, (MATCH(715, 輔助計算!$G$2:$G$801, 0)+1)),"0.##"),TEXT(INDEX(ERP資料!$G:$G, (MATCH(715, 輔助計算!$G$2:$G$801, 0)+1)),"0.##")&amp;"+"&amp;TEXT(INDEX(ERP資料!$G:$G, (MATCH(715, 輔助計算!$G$2:$G$801, 0)+1)),"0.##")&amp;"+"&amp;TEXT(INDEX(ERP資料!$G:$G, (MATCH(715, 輔助計算!$G$2:$G$801, 0)+1)),"0.##"))))&amp;"-1")&lt;&gt;""),"  ","")&amp;IF(MOD(INDEX(輔助計算!$D:$D, (MATCH(715, 輔助計算!$G$2:$G$801, 0)+1)),IF(INDEX(ERP資料!$G:$G, (MATCH(715, 輔助計算!$G$2:$G$801, 0)+1))&lt;100, IF(INDEX(ERP資料!$G:$G, (MATCH(715, 輔助計算!$G$2:$G$801, 0)+1))&lt;=31,3,IF(INDEX(ERP資料!$G:$G, (MATCH(715, 輔助計算!$G$2:$G$801, 0)+1))&lt;=46.5,2,1)), IF(INDEX(ERP資料!$G:$G, (MATCH(715, 輔助計算!$G$2:$G$801, 0)+1))&lt;=790,3,IF(INDEX(ERP資料!$G:$G, (MATCH(715, 輔助計算!$G$2:$G$801, 0)+1))&lt;=1181,2,1))))=0,"",IF(MOD(INDEX(輔助計算!$D:$D, (MATCH(715, 輔助計算!$G$2:$G$801, 0)+1)),IF(INDEX(ERP資料!$G:$G, (MATCH(715, 輔助計算!$G$2:$G$801, 0)+1))&lt;100, IF(INDEX(ERP資料!$G:$G, (MATCH(715, 輔助計算!$G$2:$G$801, 0)+1))&lt;=31,3,IF(INDEX(ERP資料!$G:$G, (MATCH(715, 輔助計算!$G$2:$G$801, 0)+1))&lt;=46.5,2,1)), IF(INDEX(ERP資料!$G:$G, (MATCH(715, 輔助計算!$G$2:$G$801, 0)+1))&lt;=790,3,IF(INDEX(ERP資料!$G:$G, (MATCH(715, 輔助計算!$G$2:$G$801, 0)+1))&lt;=1181,2,1))))=0,"",IF(MOD(INDEX(輔助計算!$D:$D, (MATCH(715, 輔助計算!$G$2:$G$801, 0)+1)),IF(INDEX(ERP資料!$G:$G, (MATCH(715, 輔助計算!$G$2:$G$801, 0)+1))&lt;100, IF(INDEX(ERP資料!$G:$G, (MATCH(715, 輔助計算!$G$2:$G$801, 0)+1))&lt;=31,3,IF(INDEX(ERP資料!$G:$G, (MATCH(715, 輔助計算!$G$2:$G$801, 0)+1))&lt;=46.5,2,1)), IF(INDEX(ERP資料!$G:$G, (MATCH(715, 輔助計算!$G$2:$G$801, 0)+1))&lt;=790,3,IF(INDEX(ERP資料!$G:$G, (MATCH(715, 輔助計算!$G$2:$G$801, 0)+1))&lt;=1181,2,1))))=1,TEXT(INDEX(ERP資料!$G:$G, (MATCH(715, 輔助計算!$G$2:$G$801, 0)+1)),"0.##"),IF(MOD(INDEX(輔助計算!$D:$D, (MATCH(715, 輔助計算!$G$2:$G$801, 0)+1)),IF(INDEX(ERP資料!$G:$G, (MATCH(715, 輔助計算!$G$2:$G$801, 0)+1))&lt;100, IF(INDEX(ERP資料!$G:$G, (MATCH(715, 輔助計算!$G$2:$G$801, 0)+1))&lt;=31,3,IF(INDEX(ERP資料!$G:$G, (MATCH(715, 輔助計算!$G$2:$G$801, 0)+1))&lt;=46.5,2,1)), IF(INDEX(ERP資料!$G:$G, (MATCH(715, 輔助計算!$G$2:$G$801, 0)+1))&lt;=790,3,IF(INDEX(ERP資料!$G:$G, (MATCH(715, 輔助計算!$G$2:$G$801, 0)+1))&lt;=1181,2,1))))=2,TEXT(INDEX(ERP資料!$G:$G, (MATCH(715, 輔助計算!$G$2:$G$801, 0)+1)),"0.##")&amp;"+"&amp;TEXT(INDEX(ERP資料!$G:$G, (MATCH(715, 輔助計算!$G$2:$G$801, 0)+1)),"0.##"),TEXT(INDEX(ERP資料!$G:$G, (MATCH(715, 輔助計算!$G$2:$G$801, 0)+1)),"0.##")&amp;"+"&amp;TEXT(INDEX(ERP資料!$G:$G, (MATCH(715, 輔助計算!$G$2:$G$801, 0)+1)),"0.##")&amp;"+"&amp;TEXT(INDEX(ERP資料!$G:$G, (MATCH(715, 輔助計算!$G$2:$G$801, 0)+1)),"0.##"))))&amp;"-1")), ""), "")</f>
        <v/>
      </c>
      <c r="K716" s="16" t="n"/>
      <c r="L716" s="14">
        <f>IFERROR(IF(AND(IFERROR(INDEX(ERP資料!$A:$A, (MATCH(715, 輔助計算!$G$2:$G$801, 0)+1)), "")&lt;&gt;"", IFERROR(INDEX(ERP資料!$A:$A, (MATCH(715, 輔助計算!$G$2:$G$801, 0)+1)), "")&lt;&gt;IFERROR(INDEX(ERP資料!$A:$A, MATCH(714, 輔助計算!$G$2:$G$801, 0)+1), "")), INDEX(ERP資料!$B:$B, (MATCH(715, 輔助計算!$G$2:$G$801, 0)+1)), ""), "")</f>
        <v/>
      </c>
      <c r="M716" s="17" t="n"/>
    </row>
    <row r="717">
      <c r="A717" s="10">
        <f>IFERROR(IF(AND(IFERROR(INDEX(ERP資料!$A:$A, (MATCH(716, 輔助計算!$G$2:$G$801, 0)+1)), "")&lt;&gt;"", IFERROR(INDEX(ERP資料!$A:$A, (MATCH(716, 輔助計算!$G$2:$G$801, 0)+1)), "")&lt;&gt;IFERROR(INDEX(ERP資料!$A:$A, MATCH(715, 輔助計算!$G$2:$G$801, 0)+1), "")), IFERROR(INDEX(ERP資料!$A:$A, (MATCH(716, 輔助計算!$G$2:$G$801, 0)+1)), ""), ""), "")</f>
        <v/>
      </c>
      <c r="B717" s="10">
        <f>IFERROR(IF(AND(IFERROR(INDEX(ERP資料!$A:$A, (MATCH(716, 輔助計算!$G$2:$G$801, 0)+1)), "")&lt;&gt;"", IFERROR(INDEX(ERP資料!$A:$A, (MATCH(716, 輔助計算!$G$2:$G$801, 0)+1)), "")&lt;&gt;IFERROR(INDEX(ERP資料!$A:$A, MATCH(715, 輔助計算!$G$2:$G$801, 0)+1), "")), INDEX(ERP資料!$S:$S, (MATCH(716, 輔助計算!$G$2:$G$801, 0)+1)), ""), "")</f>
        <v/>
      </c>
      <c r="C717" s="19">
        <f>IFERROR(IF(AND(IFERROR(INDEX(ERP資料!$A:$A, (MATCH(716, 輔助計算!$G$2:$G$801, 0)+1)), "")&lt;&gt;"", IFERROR(INDEX(ERP資料!$A:$A, (MATCH(716, 輔助計算!$G$2:$G$801, 0)+1)), "")&lt;&gt;IFERROR(INDEX(ERP資料!$A:$A, MATCH(715, 輔助計算!$G$2:$G$801, 0)+1), "")), IFERROR(VLOOKUP(LEFT(INDEX(ERP資料!$S:$S, (MATCH(716, 輔助計算!$G$2:$G$801, 0)+1)), 4), 紙管對照表!$A:$C, 3, FALSE), ""), ""), "")</f>
        <v/>
      </c>
      <c r="D717" s="16" t="n"/>
      <c r="E717" s="10">
        <f>IFERROR(IF(INDEX(ERP資料!$H:$H, (MATCH(716, 輔助計算!$G$2:$G$801, 0)+1))="","",INDEX(ERP資料!$H:$H, (MATCH(716, 輔助計算!$G$2:$G$801, 0)+1))), "")</f>
        <v/>
      </c>
      <c r="F717" s="10">
        <f>IFERROR(IF(INDEX(ERP資料!$E:$E, (MATCH(716, 輔助計算!$G$2:$G$801, 0)+1))="","",TRIM(INDEX(ERP資料!$E:$E, (MATCH(716, 輔助計算!$G$2:$G$801, 0)+1)))), "")</f>
        <v/>
      </c>
      <c r="G717" s="10">
        <f>IFERROR(IF(INDEX(ERP資料!$F:$F, (MATCH(716, 輔助計算!$G$2:$G$801, 0)+1))="","",INDEX(ERP資料!$F:$F, (MATCH(716, 輔助計算!$G$2:$G$801, 0)+1))), "")</f>
        <v/>
      </c>
      <c r="H717" s="10">
        <f>IFERROR(IF(INDEX(ERP資料!$G:$G, (MATCH(716, 輔助計算!$G$2:$G$801, 0)+1))="","",INDEX(ERP資料!$G:$G, (MATCH(716, 輔助計算!$G$2:$G$801, 0)+1))), "")</f>
        <v/>
      </c>
      <c r="I717" s="15">
        <f>IFERROR(INDEX(輔助計算!$D:$D, (MATCH(716, 輔助計算!$G$2:$G$801, 0)+1)), "")</f>
        <v/>
      </c>
      <c r="J717" s="15">
        <f>IFERROR(IF(AND(INDEX(輔助計算!$D:$D, (MATCH(716, 輔助計算!$G$2:$G$801, 0)+1))&lt;&gt;"", INDEX(ERP資料!$G:$G, (MATCH(716, 輔助計算!$G$2:$G$801, 0)+1))&lt;&gt;""), TRIM(IF(INT(INDEX(輔助計算!$D:$D, (MATCH(716, 輔助計算!$G$2:$G$801, 0)+1))/IF(INDEX(ERP資料!$G:$G, (MATCH(716, 輔助計算!$G$2:$G$801, 0)+1))&lt;100, IF(INDEX(ERP資料!$G:$G, (MATCH(716, 輔助計算!$G$2:$G$801, 0)+1))&lt;=31,3,IF(INDEX(ERP資料!$G:$G, (MATCH(716, 輔助計算!$G$2:$G$801, 0)+1))&lt;=46.5,2,1)), IF(INDEX(ERP資料!$G:$G, (MATCH(716, 輔助計算!$G$2:$G$801, 0)+1))&lt;=790,3,IF(INDEX(ERP資料!$G:$G, (MATCH(716, 輔助計算!$G$2:$G$801, 0)+1))&lt;=1181,2,1))))&gt;0, IF(IF(INDEX(ERP資料!$G:$G, (MATCH(716, 輔助計算!$G$2:$G$801, 0)+1))&lt;100, IF(INDEX(ERP資料!$G:$G, (MATCH(716, 輔助計算!$G$2:$G$801, 0)+1))&lt;=31,3,IF(INDEX(ERP資料!$G:$G, (MATCH(716, 輔助計算!$G$2:$G$801, 0)+1))&lt;=46.5,2,1)), IF(INDEX(ERP資料!$G:$G, (MATCH(716, 輔助計算!$G$2:$G$801, 0)+1))&lt;=790,3,IF(INDEX(ERP資料!$G:$G, (MATCH(716, 輔助計算!$G$2:$G$801, 0)+1))&lt;=1181,2,1)))=1,TEXT(INDEX(ERP資料!$G:$G, (MATCH(716, 輔助計算!$G$2:$G$801, 0)+1)),"0.##"),IF(IF(INDEX(ERP資料!$G:$G, (MATCH(716, 輔助計算!$G$2:$G$801, 0)+1))&lt;100, IF(INDEX(ERP資料!$G:$G, (MATCH(716, 輔助計算!$G$2:$G$801, 0)+1))&lt;=31,3,IF(INDEX(ERP資料!$G:$G, (MATCH(716, 輔助計算!$G$2:$G$801, 0)+1))&lt;=46.5,2,1)), IF(INDEX(ERP資料!$G:$G, (MATCH(716, 輔助計算!$G$2:$G$801, 0)+1))&lt;=790,3,IF(INDEX(ERP資料!$G:$G, (MATCH(716, 輔助計算!$G$2:$G$801, 0)+1))&lt;=1181,2,1)))=2,TEXT(INDEX(ERP資料!$G:$G, (MATCH(716, 輔助計算!$G$2:$G$801, 0)+1)),"0.##")&amp;"+"&amp;TEXT(INDEX(ERP資料!$G:$G, (MATCH(716, 輔助計算!$G$2:$G$801, 0)+1)),"0.##"),TEXT(INDEX(ERP資料!$G:$G, (MATCH(716, 輔助計算!$G$2:$G$801, 0)+1)),"0.##")&amp;"+"&amp;TEXT(INDEX(ERP資料!$G:$G, (MATCH(716, 輔助計算!$G$2:$G$801, 0)+1)),"0.##")&amp;"+"&amp;TEXT(INDEX(ERP資料!$G:$G, (MATCH(716, 輔助計算!$G$2:$G$801, 0)+1)),"0.##")))&amp;"-"&amp;INT(INDEX(輔助計算!$D:$D, (MATCH(716, 輔助計算!$G$2:$G$801, 0)+1))/IF(INDEX(ERP資料!$G:$G, (MATCH(716, 輔助計算!$G$2:$G$801, 0)+1))&lt;100, IF(INDEX(ERP資料!$G:$G, (MATCH(716, 輔助計算!$G$2:$G$801, 0)+1))&lt;=31,3,IF(INDEX(ERP資料!$G:$G, (MATCH(716, 輔助計算!$G$2:$G$801, 0)+1))&lt;=46.5,2,1)), IF(INDEX(ERP資料!$G:$G, (MATCH(716, 輔助計算!$G$2:$G$801, 0)+1))&lt;=790,3,IF(INDEX(ERP資料!$G:$G, (MATCH(716, 輔助計算!$G$2:$G$801, 0)+1))&lt;=1181,2,1)))), "")&amp;IF(AND(IF(INT(INDEX(輔助計算!$D:$D, (MATCH(716, 輔助計算!$G$2:$G$801, 0)+1))/IF(INDEX(ERP資料!$G:$G, (MATCH(716, 輔助計算!$G$2:$G$801, 0)+1))&lt;100, IF(INDEX(ERP資料!$G:$G, (MATCH(716, 輔助計算!$G$2:$G$801, 0)+1))&lt;=31,3,IF(INDEX(ERP資料!$G:$G, (MATCH(716, 輔助計算!$G$2:$G$801, 0)+1))&lt;=46.5,2,1)), IF(INDEX(ERP資料!$G:$G, (MATCH(716, 輔助計算!$G$2:$G$801, 0)+1))&lt;=790,3,IF(INDEX(ERP資料!$G:$G, (MATCH(716, 輔助計算!$G$2:$G$801, 0)+1))&lt;=1181,2,1))))&gt;0, IF(IF(INDEX(ERP資料!$G:$G, (MATCH(716, 輔助計算!$G$2:$G$801, 0)+1))&lt;100, IF(INDEX(ERP資料!$G:$G, (MATCH(716, 輔助計算!$G$2:$G$801, 0)+1))&lt;=31,3,IF(INDEX(ERP資料!$G:$G, (MATCH(716, 輔助計算!$G$2:$G$801, 0)+1))&lt;=46.5,2,1)), IF(INDEX(ERP資料!$G:$G, (MATCH(716, 輔助計算!$G$2:$G$801, 0)+1))&lt;=790,3,IF(INDEX(ERP資料!$G:$G, (MATCH(716, 輔助計算!$G$2:$G$801, 0)+1))&lt;=1181,2,1)))=1,TEXT(INDEX(ERP資料!$G:$G, (MATCH(716, 輔助計算!$G$2:$G$801, 0)+1)),"0.##"),IF(IF(INDEX(ERP資料!$G:$G, (MATCH(716, 輔助計算!$G$2:$G$801, 0)+1))&lt;100, IF(INDEX(ERP資料!$G:$G, (MATCH(716, 輔助計算!$G$2:$G$801, 0)+1))&lt;=31,3,IF(INDEX(ERP資料!$G:$G, (MATCH(716, 輔助計算!$G$2:$G$801, 0)+1))&lt;=46.5,2,1)), IF(INDEX(ERP資料!$G:$G, (MATCH(716, 輔助計算!$G$2:$G$801, 0)+1))&lt;=790,3,IF(INDEX(ERP資料!$G:$G, (MATCH(716, 輔助計算!$G$2:$G$801, 0)+1))&lt;=1181,2,1)))=2,TEXT(INDEX(ERP資料!$G:$G, (MATCH(716, 輔助計算!$G$2:$G$801, 0)+1)),"0.##")&amp;"+"&amp;TEXT(INDEX(ERP資料!$G:$G, (MATCH(716, 輔助計算!$G$2:$G$801, 0)+1)),"0.##"),TEXT(INDEX(ERP資料!$G:$G, (MATCH(716, 輔助計算!$G$2:$G$801, 0)+1)),"0.##")&amp;"+"&amp;TEXT(INDEX(ERP資料!$G:$G, (MATCH(716, 輔助計算!$G$2:$G$801, 0)+1)),"0.##")&amp;"+"&amp;TEXT(INDEX(ERP資料!$G:$G, (MATCH(716, 輔助計算!$G$2:$G$801, 0)+1)),"0.##")))&amp;"-"&amp;INT(INDEX(輔助計算!$D:$D, (MATCH(716, 輔助計算!$G$2:$G$801, 0)+1))/IF(INDEX(ERP資料!$G:$G, (MATCH(716, 輔助計算!$G$2:$G$801, 0)+1))&lt;100, IF(INDEX(ERP資料!$G:$G, (MATCH(716, 輔助計算!$G$2:$G$801, 0)+1))&lt;=31,3,IF(INDEX(ERP資料!$G:$G, (MATCH(716, 輔助計算!$G$2:$G$801, 0)+1))&lt;=46.5,2,1)), IF(INDEX(ERP資料!$G:$G, (MATCH(716, 輔助計算!$G$2:$G$801, 0)+1))&lt;=790,3,IF(INDEX(ERP資料!$G:$G, (MATCH(716, 輔助計算!$G$2:$G$801, 0)+1))&lt;=1181,2,1)))), "")&lt;&gt;"",IF(MOD(INDEX(輔助計算!$D:$D, (MATCH(716, 輔助計算!$G$2:$G$801, 0)+1)),IF(INDEX(ERP資料!$G:$G, (MATCH(716, 輔助計算!$G$2:$G$801, 0)+1))&lt;100, IF(INDEX(ERP資料!$G:$G, (MATCH(716, 輔助計算!$G$2:$G$801, 0)+1))&lt;=31,3,IF(INDEX(ERP資料!$G:$G, (MATCH(716, 輔助計算!$G$2:$G$801, 0)+1))&lt;=46.5,2,1)), IF(INDEX(ERP資料!$G:$G, (MATCH(716, 輔助計算!$G$2:$G$801, 0)+1))&lt;=790,3,IF(INDEX(ERP資料!$G:$G, (MATCH(716, 輔助計算!$G$2:$G$801, 0)+1))&lt;=1181,2,1))))=0,"",IF(MOD(INDEX(輔助計算!$D:$D, (MATCH(716, 輔助計算!$G$2:$G$801, 0)+1)),IF(INDEX(ERP資料!$G:$G, (MATCH(716, 輔助計算!$G$2:$G$801, 0)+1))&lt;100, IF(INDEX(ERP資料!$G:$G, (MATCH(716, 輔助計算!$G$2:$G$801, 0)+1))&lt;=31,3,IF(INDEX(ERP資料!$G:$G, (MATCH(716, 輔助計算!$G$2:$G$801, 0)+1))&lt;=46.5,2,1)), IF(INDEX(ERP資料!$G:$G, (MATCH(716, 輔助計算!$G$2:$G$801, 0)+1))&lt;=790,3,IF(INDEX(ERP資料!$G:$G, (MATCH(716, 輔助計算!$G$2:$G$801, 0)+1))&lt;=1181,2,1))))=0,"",IF(MOD(INDEX(輔助計算!$D:$D, (MATCH(716, 輔助計算!$G$2:$G$801, 0)+1)),IF(INDEX(ERP資料!$G:$G, (MATCH(716, 輔助計算!$G$2:$G$801, 0)+1))&lt;100, IF(INDEX(ERP資料!$G:$G, (MATCH(716, 輔助計算!$G$2:$G$801, 0)+1))&lt;=31,3,IF(INDEX(ERP資料!$G:$G, (MATCH(716, 輔助計算!$G$2:$G$801, 0)+1))&lt;=46.5,2,1)), IF(INDEX(ERP資料!$G:$G, (MATCH(716, 輔助計算!$G$2:$G$801, 0)+1))&lt;=790,3,IF(INDEX(ERP資料!$G:$G, (MATCH(716, 輔助計算!$G$2:$G$801, 0)+1))&lt;=1181,2,1))))=1,TEXT(INDEX(ERP資料!$G:$G, (MATCH(716, 輔助計算!$G$2:$G$801, 0)+1)),"0.##"),IF(MOD(INDEX(輔助計算!$D:$D, (MATCH(716, 輔助計算!$G$2:$G$801, 0)+1)),IF(INDEX(ERP資料!$G:$G, (MATCH(716, 輔助計算!$G$2:$G$801, 0)+1))&lt;100, IF(INDEX(ERP資料!$G:$G, (MATCH(716, 輔助計算!$G$2:$G$801, 0)+1))&lt;=31,3,IF(INDEX(ERP資料!$G:$G, (MATCH(716, 輔助計算!$G$2:$G$801, 0)+1))&lt;=46.5,2,1)), IF(INDEX(ERP資料!$G:$G, (MATCH(716, 輔助計算!$G$2:$G$801, 0)+1))&lt;=790,3,IF(INDEX(ERP資料!$G:$G, (MATCH(716, 輔助計算!$G$2:$G$801, 0)+1))&lt;=1181,2,1))))=2,TEXT(INDEX(ERP資料!$G:$G, (MATCH(716, 輔助計算!$G$2:$G$801, 0)+1)),"0.##")&amp;"+"&amp;TEXT(INDEX(ERP資料!$G:$G, (MATCH(716, 輔助計算!$G$2:$G$801, 0)+1)),"0.##"),TEXT(INDEX(ERP資料!$G:$G, (MATCH(716, 輔助計算!$G$2:$G$801, 0)+1)),"0.##")&amp;"+"&amp;TEXT(INDEX(ERP資料!$G:$G, (MATCH(716, 輔助計算!$G$2:$G$801, 0)+1)),"0.##")&amp;"+"&amp;TEXT(INDEX(ERP資料!$G:$G, (MATCH(716, 輔助計算!$G$2:$G$801, 0)+1)),"0.##"))))&amp;"-1")&lt;&gt;""),"  ","")&amp;IF(MOD(INDEX(輔助計算!$D:$D, (MATCH(716, 輔助計算!$G$2:$G$801, 0)+1)),IF(INDEX(ERP資料!$G:$G, (MATCH(716, 輔助計算!$G$2:$G$801, 0)+1))&lt;100, IF(INDEX(ERP資料!$G:$G, (MATCH(716, 輔助計算!$G$2:$G$801, 0)+1))&lt;=31,3,IF(INDEX(ERP資料!$G:$G, (MATCH(716, 輔助計算!$G$2:$G$801, 0)+1))&lt;=46.5,2,1)), IF(INDEX(ERP資料!$G:$G, (MATCH(716, 輔助計算!$G$2:$G$801, 0)+1))&lt;=790,3,IF(INDEX(ERP資料!$G:$G, (MATCH(716, 輔助計算!$G$2:$G$801, 0)+1))&lt;=1181,2,1))))=0,"",IF(MOD(INDEX(輔助計算!$D:$D, (MATCH(716, 輔助計算!$G$2:$G$801, 0)+1)),IF(INDEX(ERP資料!$G:$G, (MATCH(716, 輔助計算!$G$2:$G$801, 0)+1))&lt;100, IF(INDEX(ERP資料!$G:$G, (MATCH(716, 輔助計算!$G$2:$G$801, 0)+1))&lt;=31,3,IF(INDEX(ERP資料!$G:$G, (MATCH(716, 輔助計算!$G$2:$G$801, 0)+1))&lt;=46.5,2,1)), IF(INDEX(ERP資料!$G:$G, (MATCH(716, 輔助計算!$G$2:$G$801, 0)+1))&lt;=790,3,IF(INDEX(ERP資料!$G:$G, (MATCH(716, 輔助計算!$G$2:$G$801, 0)+1))&lt;=1181,2,1))))=0,"",IF(MOD(INDEX(輔助計算!$D:$D, (MATCH(716, 輔助計算!$G$2:$G$801, 0)+1)),IF(INDEX(ERP資料!$G:$G, (MATCH(716, 輔助計算!$G$2:$G$801, 0)+1))&lt;100, IF(INDEX(ERP資料!$G:$G, (MATCH(716, 輔助計算!$G$2:$G$801, 0)+1))&lt;=31,3,IF(INDEX(ERP資料!$G:$G, (MATCH(716, 輔助計算!$G$2:$G$801, 0)+1))&lt;=46.5,2,1)), IF(INDEX(ERP資料!$G:$G, (MATCH(716, 輔助計算!$G$2:$G$801, 0)+1))&lt;=790,3,IF(INDEX(ERP資料!$G:$G, (MATCH(716, 輔助計算!$G$2:$G$801, 0)+1))&lt;=1181,2,1))))=1,TEXT(INDEX(ERP資料!$G:$G, (MATCH(716, 輔助計算!$G$2:$G$801, 0)+1)),"0.##"),IF(MOD(INDEX(輔助計算!$D:$D, (MATCH(716, 輔助計算!$G$2:$G$801, 0)+1)),IF(INDEX(ERP資料!$G:$G, (MATCH(716, 輔助計算!$G$2:$G$801, 0)+1))&lt;100, IF(INDEX(ERP資料!$G:$G, (MATCH(716, 輔助計算!$G$2:$G$801, 0)+1))&lt;=31,3,IF(INDEX(ERP資料!$G:$G, (MATCH(716, 輔助計算!$G$2:$G$801, 0)+1))&lt;=46.5,2,1)), IF(INDEX(ERP資料!$G:$G, (MATCH(716, 輔助計算!$G$2:$G$801, 0)+1))&lt;=790,3,IF(INDEX(ERP資料!$G:$G, (MATCH(716, 輔助計算!$G$2:$G$801, 0)+1))&lt;=1181,2,1))))=2,TEXT(INDEX(ERP資料!$G:$G, (MATCH(716, 輔助計算!$G$2:$G$801, 0)+1)),"0.##")&amp;"+"&amp;TEXT(INDEX(ERP資料!$G:$G, (MATCH(716, 輔助計算!$G$2:$G$801, 0)+1)),"0.##"),TEXT(INDEX(ERP資料!$G:$G, (MATCH(716, 輔助計算!$G$2:$G$801, 0)+1)),"0.##")&amp;"+"&amp;TEXT(INDEX(ERP資料!$G:$G, (MATCH(716, 輔助計算!$G$2:$G$801, 0)+1)),"0.##")&amp;"+"&amp;TEXT(INDEX(ERP資料!$G:$G, (MATCH(716, 輔助計算!$G$2:$G$801, 0)+1)),"0.##"))))&amp;"-1")), ""), "")</f>
        <v/>
      </c>
      <c r="K717" s="16" t="n"/>
      <c r="L717" s="14">
        <f>IFERROR(IF(AND(IFERROR(INDEX(ERP資料!$A:$A, (MATCH(716, 輔助計算!$G$2:$G$801, 0)+1)), "")&lt;&gt;"", IFERROR(INDEX(ERP資料!$A:$A, (MATCH(716, 輔助計算!$G$2:$G$801, 0)+1)), "")&lt;&gt;IFERROR(INDEX(ERP資料!$A:$A, MATCH(715, 輔助計算!$G$2:$G$801, 0)+1), "")), INDEX(ERP資料!$B:$B, (MATCH(716, 輔助計算!$G$2:$G$801, 0)+1)), ""), "")</f>
        <v/>
      </c>
      <c r="M717" s="17" t="n"/>
    </row>
    <row r="718">
      <c r="A718" s="10">
        <f>IFERROR(IF(AND(IFERROR(INDEX(ERP資料!$A:$A, (MATCH(717, 輔助計算!$G$2:$G$801, 0)+1)), "")&lt;&gt;"", IFERROR(INDEX(ERP資料!$A:$A, (MATCH(717, 輔助計算!$G$2:$G$801, 0)+1)), "")&lt;&gt;IFERROR(INDEX(ERP資料!$A:$A, MATCH(716, 輔助計算!$G$2:$G$801, 0)+1), "")), IFERROR(INDEX(ERP資料!$A:$A, (MATCH(717, 輔助計算!$G$2:$G$801, 0)+1)), ""), ""), "")</f>
        <v/>
      </c>
      <c r="B718" s="10">
        <f>IFERROR(IF(AND(IFERROR(INDEX(ERP資料!$A:$A, (MATCH(717, 輔助計算!$G$2:$G$801, 0)+1)), "")&lt;&gt;"", IFERROR(INDEX(ERP資料!$A:$A, (MATCH(717, 輔助計算!$G$2:$G$801, 0)+1)), "")&lt;&gt;IFERROR(INDEX(ERP資料!$A:$A, MATCH(716, 輔助計算!$G$2:$G$801, 0)+1), "")), INDEX(ERP資料!$S:$S, (MATCH(717, 輔助計算!$G$2:$G$801, 0)+1)), ""), "")</f>
        <v/>
      </c>
      <c r="C718" s="19">
        <f>IFERROR(IF(AND(IFERROR(INDEX(ERP資料!$A:$A, (MATCH(717, 輔助計算!$G$2:$G$801, 0)+1)), "")&lt;&gt;"", IFERROR(INDEX(ERP資料!$A:$A, (MATCH(717, 輔助計算!$G$2:$G$801, 0)+1)), "")&lt;&gt;IFERROR(INDEX(ERP資料!$A:$A, MATCH(716, 輔助計算!$G$2:$G$801, 0)+1), "")), IFERROR(VLOOKUP(LEFT(INDEX(ERP資料!$S:$S, (MATCH(717, 輔助計算!$G$2:$G$801, 0)+1)), 4), 紙管對照表!$A:$C, 3, FALSE), ""), ""), "")</f>
        <v/>
      </c>
      <c r="D718" s="16" t="n"/>
      <c r="E718" s="10">
        <f>IFERROR(IF(INDEX(ERP資料!$H:$H, (MATCH(717, 輔助計算!$G$2:$G$801, 0)+1))="","",INDEX(ERP資料!$H:$H, (MATCH(717, 輔助計算!$G$2:$G$801, 0)+1))), "")</f>
        <v/>
      </c>
      <c r="F718" s="10">
        <f>IFERROR(IF(INDEX(ERP資料!$E:$E, (MATCH(717, 輔助計算!$G$2:$G$801, 0)+1))="","",TRIM(INDEX(ERP資料!$E:$E, (MATCH(717, 輔助計算!$G$2:$G$801, 0)+1)))), "")</f>
        <v/>
      </c>
      <c r="G718" s="10">
        <f>IFERROR(IF(INDEX(ERP資料!$F:$F, (MATCH(717, 輔助計算!$G$2:$G$801, 0)+1))="","",INDEX(ERP資料!$F:$F, (MATCH(717, 輔助計算!$G$2:$G$801, 0)+1))), "")</f>
        <v/>
      </c>
      <c r="H718" s="10">
        <f>IFERROR(IF(INDEX(ERP資料!$G:$G, (MATCH(717, 輔助計算!$G$2:$G$801, 0)+1))="","",INDEX(ERP資料!$G:$G, (MATCH(717, 輔助計算!$G$2:$G$801, 0)+1))), "")</f>
        <v/>
      </c>
      <c r="I718" s="15">
        <f>IFERROR(INDEX(輔助計算!$D:$D, (MATCH(717, 輔助計算!$G$2:$G$801, 0)+1)), "")</f>
        <v/>
      </c>
      <c r="J718" s="15">
        <f>IFERROR(IF(AND(INDEX(輔助計算!$D:$D, (MATCH(717, 輔助計算!$G$2:$G$801, 0)+1))&lt;&gt;"", INDEX(ERP資料!$G:$G, (MATCH(717, 輔助計算!$G$2:$G$801, 0)+1))&lt;&gt;""), TRIM(IF(INT(INDEX(輔助計算!$D:$D, (MATCH(717, 輔助計算!$G$2:$G$801, 0)+1))/IF(INDEX(ERP資料!$G:$G, (MATCH(717, 輔助計算!$G$2:$G$801, 0)+1))&lt;100, IF(INDEX(ERP資料!$G:$G, (MATCH(717, 輔助計算!$G$2:$G$801, 0)+1))&lt;=31,3,IF(INDEX(ERP資料!$G:$G, (MATCH(717, 輔助計算!$G$2:$G$801, 0)+1))&lt;=46.5,2,1)), IF(INDEX(ERP資料!$G:$G, (MATCH(717, 輔助計算!$G$2:$G$801, 0)+1))&lt;=790,3,IF(INDEX(ERP資料!$G:$G, (MATCH(717, 輔助計算!$G$2:$G$801, 0)+1))&lt;=1181,2,1))))&gt;0, IF(IF(INDEX(ERP資料!$G:$G, (MATCH(717, 輔助計算!$G$2:$G$801, 0)+1))&lt;100, IF(INDEX(ERP資料!$G:$G, (MATCH(717, 輔助計算!$G$2:$G$801, 0)+1))&lt;=31,3,IF(INDEX(ERP資料!$G:$G, (MATCH(717, 輔助計算!$G$2:$G$801, 0)+1))&lt;=46.5,2,1)), IF(INDEX(ERP資料!$G:$G, (MATCH(717, 輔助計算!$G$2:$G$801, 0)+1))&lt;=790,3,IF(INDEX(ERP資料!$G:$G, (MATCH(717, 輔助計算!$G$2:$G$801, 0)+1))&lt;=1181,2,1)))=1,TEXT(INDEX(ERP資料!$G:$G, (MATCH(717, 輔助計算!$G$2:$G$801, 0)+1)),"0.##"),IF(IF(INDEX(ERP資料!$G:$G, (MATCH(717, 輔助計算!$G$2:$G$801, 0)+1))&lt;100, IF(INDEX(ERP資料!$G:$G, (MATCH(717, 輔助計算!$G$2:$G$801, 0)+1))&lt;=31,3,IF(INDEX(ERP資料!$G:$G, (MATCH(717, 輔助計算!$G$2:$G$801, 0)+1))&lt;=46.5,2,1)), IF(INDEX(ERP資料!$G:$G, (MATCH(717, 輔助計算!$G$2:$G$801, 0)+1))&lt;=790,3,IF(INDEX(ERP資料!$G:$G, (MATCH(717, 輔助計算!$G$2:$G$801, 0)+1))&lt;=1181,2,1)))=2,TEXT(INDEX(ERP資料!$G:$G, (MATCH(717, 輔助計算!$G$2:$G$801, 0)+1)),"0.##")&amp;"+"&amp;TEXT(INDEX(ERP資料!$G:$G, (MATCH(717, 輔助計算!$G$2:$G$801, 0)+1)),"0.##"),TEXT(INDEX(ERP資料!$G:$G, (MATCH(717, 輔助計算!$G$2:$G$801, 0)+1)),"0.##")&amp;"+"&amp;TEXT(INDEX(ERP資料!$G:$G, (MATCH(717, 輔助計算!$G$2:$G$801, 0)+1)),"0.##")&amp;"+"&amp;TEXT(INDEX(ERP資料!$G:$G, (MATCH(717, 輔助計算!$G$2:$G$801, 0)+1)),"0.##")))&amp;"-"&amp;INT(INDEX(輔助計算!$D:$D, (MATCH(717, 輔助計算!$G$2:$G$801, 0)+1))/IF(INDEX(ERP資料!$G:$G, (MATCH(717, 輔助計算!$G$2:$G$801, 0)+1))&lt;100, IF(INDEX(ERP資料!$G:$G, (MATCH(717, 輔助計算!$G$2:$G$801, 0)+1))&lt;=31,3,IF(INDEX(ERP資料!$G:$G, (MATCH(717, 輔助計算!$G$2:$G$801, 0)+1))&lt;=46.5,2,1)), IF(INDEX(ERP資料!$G:$G, (MATCH(717, 輔助計算!$G$2:$G$801, 0)+1))&lt;=790,3,IF(INDEX(ERP資料!$G:$G, (MATCH(717, 輔助計算!$G$2:$G$801, 0)+1))&lt;=1181,2,1)))), "")&amp;IF(AND(IF(INT(INDEX(輔助計算!$D:$D, (MATCH(717, 輔助計算!$G$2:$G$801, 0)+1))/IF(INDEX(ERP資料!$G:$G, (MATCH(717, 輔助計算!$G$2:$G$801, 0)+1))&lt;100, IF(INDEX(ERP資料!$G:$G, (MATCH(717, 輔助計算!$G$2:$G$801, 0)+1))&lt;=31,3,IF(INDEX(ERP資料!$G:$G, (MATCH(717, 輔助計算!$G$2:$G$801, 0)+1))&lt;=46.5,2,1)), IF(INDEX(ERP資料!$G:$G, (MATCH(717, 輔助計算!$G$2:$G$801, 0)+1))&lt;=790,3,IF(INDEX(ERP資料!$G:$G, (MATCH(717, 輔助計算!$G$2:$G$801, 0)+1))&lt;=1181,2,1))))&gt;0, IF(IF(INDEX(ERP資料!$G:$G, (MATCH(717, 輔助計算!$G$2:$G$801, 0)+1))&lt;100, IF(INDEX(ERP資料!$G:$G, (MATCH(717, 輔助計算!$G$2:$G$801, 0)+1))&lt;=31,3,IF(INDEX(ERP資料!$G:$G, (MATCH(717, 輔助計算!$G$2:$G$801, 0)+1))&lt;=46.5,2,1)), IF(INDEX(ERP資料!$G:$G, (MATCH(717, 輔助計算!$G$2:$G$801, 0)+1))&lt;=790,3,IF(INDEX(ERP資料!$G:$G, (MATCH(717, 輔助計算!$G$2:$G$801, 0)+1))&lt;=1181,2,1)))=1,TEXT(INDEX(ERP資料!$G:$G, (MATCH(717, 輔助計算!$G$2:$G$801, 0)+1)),"0.##"),IF(IF(INDEX(ERP資料!$G:$G, (MATCH(717, 輔助計算!$G$2:$G$801, 0)+1))&lt;100, IF(INDEX(ERP資料!$G:$G, (MATCH(717, 輔助計算!$G$2:$G$801, 0)+1))&lt;=31,3,IF(INDEX(ERP資料!$G:$G, (MATCH(717, 輔助計算!$G$2:$G$801, 0)+1))&lt;=46.5,2,1)), IF(INDEX(ERP資料!$G:$G, (MATCH(717, 輔助計算!$G$2:$G$801, 0)+1))&lt;=790,3,IF(INDEX(ERP資料!$G:$G, (MATCH(717, 輔助計算!$G$2:$G$801, 0)+1))&lt;=1181,2,1)))=2,TEXT(INDEX(ERP資料!$G:$G, (MATCH(717, 輔助計算!$G$2:$G$801, 0)+1)),"0.##")&amp;"+"&amp;TEXT(INDEX(ERP資料!$G:$G, (MATCH(717, 輔助計算!$G$2:$G$801, 0)+1)),"0.##"),TEXT(INDEX(ERP資料!$G:$G, (MATCH(717, 輔助計算!$G$2:$G$801, 0)+1)),"0.##")&amp;"+"&amp;TEXT(INDEX(ERP資料!$G:$G, (MATCH(717, 輔助計算!$G$2:$G$801, 0)+1)),"0.##")&amp;"+"&amp;TEXT(INDEX(ERP資料!$G:$G, (MATCH(717, 輔助計算!$G$2:$G$801, 0)+1)),"0.##")))&amp;"-"&amp;INT(INDEX(輔助計算!$D:$D, (MATCH(717, 輔助計算!$G$2:$G$801, 0)+1))/IF(INDEX(ERP資料!$G:$G, (MATCH(717, 輔助計算!$G$2:$G$801, 0)+1))&lt;100, IF(INDEX(ERP資料!$G:$G, (MATCH(717, 輔助計算!$G$2:$G$801, 0)+1))&lt;=31,3,IF(INDEX(ERP資料!$G:$G, (MATCH(717, 輔助計算!$G$2:$G$801, 0)+1))&lt;=46.5,2,1)), IF(INDEX(ERP資料!$G:$G, (MATCH(717, 輔助計算!$G$2:$G$801, 0)+1))&lt;=790,3,IF(INDEX(ERP資料!$G:$G, (MATCH(717, 輔助計算!$G$2:$G$801, 0)+1))&lt;=1181,2,1)))), "")&lt;&gt;"",IF(MOD(INDEX(輔助計算!$D:$D, (MATCH(717, 輔助計算!$G$2:$G$801, 0)+1)),IF(INDEX(ERP資料!$G:$G, (MATCH(717, 輔助計算!$G$2:$G$801, 0)+1))&lt;100, IF(INDEX(ERP資料!$G:$G, (MATCH(717, 輔助計算!$G$2:$G$801, 0)+1))&lt;=31,3,IF(INDEX(ERP資料!$G:$G, (MATCH(717, 輔助計算!$G$2:$G$801, 0)+1))&lt;=46.5,2,1)), IF(INDEX(ERP資料!$G:$G, (MATCH(717, 輔助計算!$G$2:$G$801, 0)+1))&lt;=790,3,IF(INDEX(ERP資料!$G:$G, (MATCH(717, 輔助計算!$G$2:$G$801, 0)+1))&lt;=1181,2,1))))=0,"",IF(MOD(INDEX(輔助計算!$D:$D, (MATCH(717, 輔助計算!$G$2:$G$801, 0)+1)),IF(INDEX(ERP資料!$G:$G, (MATCH(717, 輔助計算!$G$2:$G$801, 0)+1))&lt;100, IF(INDEX(ERP資料!$G:$G, (MATCH(717, 輔助計算!$G$2:$G$801, 0)+1))&lt;=31,3,IF(INDEX(ERP資料!$G:$G, (MATCH(717, 輔助計算!$G$2:$G$801, 0)+1))&lt;=46.5,2,1)), IF(INDEX(ERP資料!$G:$G, (MATCH(717, 輔助計算!$G$2:$G$801, 0)+1))&lt;=790,3,IF(INDEX(ERP資料!$G:$G, (MATCH(717, 輔助計算!$G$2:$G$801, 0)+1))&lt;=1181,2,1))))=0,"",IF(MOD(INDEX(輔助計算!$D:$D, (MATCH(717, 輔助計算!$G$2:$G$801, 0)+1)),IF(INDEX(ERP資料!$G:$G, (MATCH(717, 輔助計算!$G$2:$G$801, 0)+1))&lt;100, IF(INDEX(ERP資料!$G:$G, (MATCH(717, 輔助計算!$G$2:$G$801, 0)+1))&lt;=31,3,IF(INDEX(ERP資料!$G:$G, (MATCH(717, 輔助計算!$G$2:$G$801, 0)+1))&lt;=46.5,2,1)), IF(INDEX(ERP資料!$G:$G, (MATCH(717, 輔助計算!$G$2:$G$801, 0)+1))&lt;=790,3,IF(INDEX(ERP資料!$G:$G, (MATCH(717, 輔助計算!$G$2:$G$801, 0)+1))&lt;=1181,2,1))))=1,TEXT(INDEX(ERP資料!$G:$G, (MATCH(717, 輔助計算!$G$2:$G$801, 0)+1)),"0.##"),IF(MOD(INDEX(輔助計算!$D:$D, (MATCH(717, 輔助計算!$G$2:$G$801, 0)+1)),IF(INDEX(ERP資料!$G:$G, (MATCH(717, 輔助計算!$G$2:$G$801, 0)+1))&lt;100, IF(INDEX(ERP資料!$G:$G, (MATCH(717, 輔助計算!$G$2:$G$801, 0)+1))&lt;=31,3,IF(INDEX(ERP資料!$G:$G, (MATCH(717, 輔助計算!$G$2:$G$801, 0)+1))&lt;=46.5,2,1)), IF(INDEX(ERP資料!$G:$G, (MATCH(717, 輔助計算!$G$2:$G$801, 0)+1))&lt;=790,3,IF(INDEX(ERP資料!$G:$G, (MATCH(717, 輔助計算!$G$2:$G$801, 0)+1))&lt;=1181,2,1))))=2,TEXT(INDEX(ERP資料!$G:$G, (MATCH(717, 輔助計算!$G$2:$G$801, 0)+1)),"0.##")&amp;"+"&amp;TEXT(INDEX(ERP資料!$G:$G, (MATCH(717, 輔助計算!$G$2:$G$801, 0)+1)),"0.##"),TEXT(INDEX(ERP資料!$G:$G, (MATCH(717, 輔助計算!$G$2:$G$801, 0)+1)),"0.##")&amp;"+"&amp;TEXT(INDEX(ERP資料!$G:$G, (MATCH(717, 輔助計算!$G$2:$G$801, 0)+1)),"0.##")&amp;"+"&amp;TEXT(INDEX(ERP資料!$G:$G, (MATCH(717, 輔助計算!$G$2:$G$801, 0)+1)),"0.##"))))&amp;"-1")&lt;&gt;""),"  ","")&amp;IF(MOD(INDEX(輔助計算!$D:$D, (MATCH(717, 輔助計算!$G$2:$G$801, 0)+1)),IF(INDEX(ERP資料!$G:$G, (MATCH(717, 輔助計算!$G$2:$G$801, 0)+1))&lt;100, IF(INDEX(ERP資料!$G:$G, (MATCH(717, 輔助計算!$G$2:$G$801, 0)+1))&lt;=31,3,IF(INDEX(ERP資料!$G:$G, (MATCH(717, 輔助計算!$G$2:$G$801, 0)+1))&lt;=46.5,2,1)), IF(INDEX(ERP資料!$G:$G, (MATCH(717, 輔助計算!$G$2:$G$801, 0)+1))&lt;=790,3,IF(INDEX(ERP資料!$G:$G, (MATCH(717, 輔助計算!$G$2:$G$801, 0)+1))&lt;=1181,2,1))))=0,"",IF(MOD(INDEX(輔助計算!$D:$D, (MATCH(717, 輔助計算!$G$2:$G$801, 0)+1)),IF(INDEX(ERP資料!$G:$G, (MATCH(717, 輔助計算!$G$2:$G$801, 0)+1))&lt;100, IF(INDEX(ERP資料!$G:$G, (MATCH(717, 輔助計算!$G$2:$G$801, 0)+1))&lt;=31,3,IF(INDEX(ERP資料!$G:$G, (MATCH(717, 輔助計算!$G$2:$G$801, 0)+1))&lt;=46.5,2,1)), IF(INDEX(ERP資料!$G:$G, (MATCH(717, 輔助計算!$G$2:$G$801, 0)+1))&lt;=790,3,IF(INDEX(ERP資料!$G:$G, (MATCH(717, 輔助計算!$G$2:$G$801, 0)+1))&lt;=1181,2,1))))=0,"",IF(MOD(INDEX(輔助計算!$D:$D, (MATCH(717, 輔助計算!$G$2:$G$801, 0)+1)),IF(INDEX(ERP資料!$G:$G, (MATCH(717, 輔助計算!$G$2:$G$801, 0)+1))&lt;100, IF(INDEX(ERP資料!$G:$G, (MATCH(717, 輔助計算!$G$2:$G$801, 0)+1))&lt;=31,3,IF(INDEX(ERP資料!$G:$G, (MATCH(717, 輔助計算!$G$2:$G$801, 0)+1))&lt;=46.5,2,1)), IF(INDEX(ERP資料!$G:$G, (MATCH(717, 輔助計算!$G$2:$G$801, 0)+1))&lt;=790,3,IF(INDEX(ERP資料!$G:$G, (MATCH(717, 輔助計算!$G$2:$G$801, 0)+1))&lt;=1181,2,1))))=1,TEXT(INDEX(ERP資料!$G:$G, (MATCH(717, 輔助計算!$G$2:$G$801, 0)+1)),"0.##"),IF(MOD(INDEX(輔助計算!$D:$D, (MATCH(717, 輔助計算!$G$2:$G$801, 0)+1)),IF(INDEX(ERP資料!$G:$G, (MATCH(717, 輔助計算!$G$2:$G$801, 0)+1))&lt;100, IF(INDEX(ERP資料!$G:$G, (MATCH(717, 輔助計算!$G$2:$G$801, 0)+1))&lt;=31,3,IF(INDEX(ERP資料!$G:$G, (MATCH(717, 輔助計算!$G$2:$G$801, 0)+1))&lt;=46.5,2,1)), IF(INDEX(ERP資料!$G:$G, (MATCH(717, 輔助計算!$G$2:$G$801, 0)+1))&lt;=790,3,IF(INDEX(ERP資料!$G:$G, (MATCH(717, 輔助計算!$G$2:$G$801, 0)+1))&lt;=1181,2,1))))=2,TEXT(INDEX(ERP資料!$G:$G, (MATCH(717, 輔助計算!$G$2:$G$801, 0)+1)),"0.##")&amp;"+"&amp;TEXT(INDEX(ERP資料!$G:$G, (MATCH(717, 輔助計算!$G$2:$G$801, 0)+1)),"0.##"),TEXT(INDEX(ERP資料!$G:$G, (MATCH(717, 輔助計算!$G$2:$G$801, 0)+1)),"0.##")&amp;"+"&amp;TEXT(INDEX(ERP資料!$G:$G, (MATCH(717, 輔助計算!$G$2:$G$801, 0)+1)),"0.##")&amp;"+"&amp;TEXT(INDEX(ERP資料!$G:$G, (MATCH(717, 輔助計算!$G$2:$G$801, 0)+1)),"0.##"))))&amp;"-1")), ""), "")</f>
        <v/>
      </c>
      <c r="K718" s="16" t="n"/>
      <c r="L718" s="14">
        <f>IFERROR(IF(AND(IFERROR(INDEX(ERP資料!$A:$A, (MATCH(717, 輔助計算!$G$2:$G$801, 0)+1)), "")&lt;&gt;"", IFERROR(INDEX(ERP資料!$A:$A, (MATCH(717, 輔助計算!$G$2:$G$801, 0)+1)), "")&lt;&gt;IFERROR(INDEX(ERP資料!$A:$A, MATCH(716, 輔助計算!$G$2:$G$801, 0)+1), "")), INDEX(ERP資料!$B:$B, (MATCH(717, 輔助計算!$G$2:$G$801, 0)+1)), ""), "")</f>
        <v/>
      </c>
      <c r="M718" s="17" t="n"/>
    </row>
    <row r="719">
      <c r="A719" s="10">
        <f>IFERROR(IF(AND(IFERROR(INDEX(ERP資料!$A:$A, (MATCH(718, 輔助計算!$G$2:$G$801, 0)+1)), "")&lt;&gt;"", IFERROR(INDEX(ERP資料!$A:$A, (MATCH(718, 輔助計算!$G$2:$G$801, 0)+1)), "")&lt;&gt;IFERROR(INDEX(ERP資料!$A:$A, MATCH(717, 輔助計算!$G$2:$G$801, 0)+1), "")), IFERROR(INDEX(ERP資料!$A:$A, (MATCH(718, 輔助計算!$G$2:$G$801, 0)+1)), ""), ""), "")</f>
        <v/>
      </c>
      <c r="B719" s="10">
        <f>IFERROR(IF(AND(IFERROR(INDEX(ERP資料!$A:$A, (MATCH(718, 輔助計算!$G$2:$G$801, 0)+1)), "")&lt;&gt;"", IFERROR(INDEX(ERP資料!$A:$A, (MATCH(718, 輔助計算!$G$2:$G$801, 0)+1)), "")&lt;&gt;IFERROR(INDEX(ERP資料!$A:$A, MATCH(717, 輔助計算!$G$2:$G$801, 0)+1), "")), INDEX(ERP資料!$S:$S, (MATCH(718, 輔助計算!$G$2:$G$801, 0)+1)), ""), "")</f>
        <v/>
      </c>
      <c r="C719" s="19">
        <f>IFERROR(IF(AND(IFERROR(INDEX(ERP資料!$A:$A, (MATCH(718, 輔助計算!$G$2:$G$801, 0)+1)), "")&lt;&gt;"", IFERROR(INDEX(ERP資料!$A:$A, (MATCH(718, 輔助計算!$G$2:$G$801, 0)+1)), "")&lt;&gt;IFERROR(INDEX(ERP資料!$A:$A, MATCH(717, 輔助計算!$G$2:$G$801, 0)+1), "")), IFERROR(VLOOKUP(LEFT(INDEX(ERP資料!$S:$S, (MATCH(718, 輔助計算!$G$2:$G$801, 0)+1)), 4), 紙管對照表!$A:$C, 3, FALSE), ""), ""), "")</f>
        <v/>
      </c>
      <c r="D719" s="16" t="n"/>
      <c r="E719" s="10">
        <f>IFERROR(IF(INDEX(ERP資料!$H:$H, (MATCH(718, 輔助計算!$G$2:$G$801, 0)+1))="","",INDEX(ERP資料!$H:$H, (MATCH(718, 輔助計算!$G$2:$G$801, 0)+1))), "")</f>
        <v/>
      </c>
      <c r="F719" s="10">
        <f>IFERROR(IF(INDEX(ERP資料!$E:$E, (MATCH(718, 輔助計算!$G$2:$G$801, 0)+1))="","",TRIM(INDEX(ERP資料!$E:$E, (MATCH(718, 輔助計算!$G$2:$G$801, 0)+1)))), "")</f>
        <v/>
      </c>
      <c r="G719" s="10">
        <f>IFERROR(IF(INDEX(ERP資料!$F:$F, (MATCH(718, 輔助計算!$G$2:$G$801, 0)+1))="","",INDEX(ERP資料!$F:$F, (MATCH(718, 輔助計算!$G$2:$G$801, 0)+1))), "")</f>
        <v/>
      </c>
      <c r="H719" s="10">
        <f>IFERROR(IF(INDEX(ERP資料!$G:$G, (MATCH(718, 輔助計算!$G$2:$G$801, 0)+1))="","",INDEX(ERP資料!$G:$G, (MATCH(718, 輔助計算!$G$2:$G$801, 0)+1))), "")</f>
        <v/>
      </c>
      <c r="I719" s="15">
        <f>IFERROR(INDEX(輔助計算!$D:$D, (MATCH(718, 輔助計算!$G$2:$G$801, 0)+1)), "")</f>
        <v/>
      </c>
      <c r="J719" s="15">
        <f>IFERROR(IF(AND(INDEX(輔助計算!$D:$D, (MATCH(718, 輔助計算!$G$2:$G$801, 0)+1))&lt;&gt;"", INDEX(ERP資料!$G:$G, (MATCH(718, 輔助計算!$G$2:$G$801, 0)+1))&lt;&gt;""), TRIM(IF(INT(INDEX(輔助計算!$D:$D, (MATCH(718, 輔助計算!$G$2:$G$801, 0)+1))/IF(INDEX(ERP資料!$G:$G, (MATCH(718, 輔助計算!$G$2:$G$801, 0)+1))&lt;100, IF(INDEX(ERP資料!$G:$G, (MATCH(718, 輔助計算!$G$2:$G$801, 0)+1))&lt;=31,3,IF(INDEX(ERP資料!$G:$G, (MATCH(718, 輔助計算!$G$2:$G$801, 0)+1))&lt;=46.5,2,1)), IF(INDEX(ERP資料!$G:$G, (MATCH(718, 輔助計算!$G$2:$G$801, 0)+1))&lt;=790,3,IF(INDEX(ERP資料!$G:$G, (MATCH(718, 輔助計算!$G$2:$G$801, 0)+1))&lt;=1181,2,1))))&gt;0, IF(IF(INDEX(ERP資料!$G:$G, (MATCH(718, 輔助計算!$G$2:$G$801, 0)+1))&lt;100, IF(INDEX(ERP資料!$G:$G, (MATCH(718, 輔助計算!$G$2:$G$801, 0)+1))&lt;=31,3,IF(INDEX(ERP資料!$G:$G, (MATCH(718, 輔助計算!$G$2:$G$801, 0)+1))&lt;=46.5,2,1)), IF(INDEX(ERP資料!$G:$G, (MATCH(718, 輔助計算!$G$2:$G$801, 0)+1))&lt;=790,3,IF(INDEX(ERP資料!$G:$G, (MATCH(718, 輔助計算!$G$2:$G$801, 0)+1))&lt;=1181,2,1)))=1,TEXT(INDEX(ERP資料!$G:$G, (MATCH(718, 輔助計算!$G$2:$G$801, 0)+1)),"0.##"),IF(IF(INDEX(ERP資料!$G:$G, (MATCH(718, 輔助計算!$G$2:$G$801, 0)+1))&lt;100, IF(INDEX(ERP資料!$G:$G, (MATCH(718, 輔助計算!$G$2:$G$801, 0)+1))&lt;=31,3,IF(INDEX(ERP資料!$G:$G, (MATCH(718, 輔助計算!$G$2:$G$801, 0)+1))&lt;=46.5,2,1)), IF(INDEX(ERP資料!$G:$G, (MATCH(718, 輔助計算!$G$2:$G$801, 0)+1))&lt;=790,3,IF(INDEX(ERP資料!$G:$G, (MATCH(718, 輔助計算!$G$2:$G$801, 0)+1))&lt;=1181,2,1)))=2,TEXT(INDEX(ERP資料!$G:$G, (MATCH(718, 輔助計算!$G$2:$G$801, 0)+1)),"0.##")&amp;"+"&amp;TEXT(INDEX(ERP資料!$G:$G, (MATCH(718, 輔助計算!$G$2:$G$801, 0)+1)),"0.##"),TEXT(INDEX(ERP資料!$G:$G, (MATCH(718, 輔助計算!$G$2:$G$801, 0)+1)),"0.##")&amp;"+"&amp;TEXT(INDEX(ERP資料!$G:$G, (MATCH(718, 輔助計算!$G$2:$G$801, 0)+1)),"0.##")&amp;"+"&amp;TEXT(INDEX(ERP資料!$G:$G, (MATCH(718, 輔助計算!$G$2:$G$801, 0)+1)),"0.##")))&amp;"-"&amp;INT(INDEX(輔助計算!$D:$D, (MATCH(718, 輔助計算!$G$2:$G$801, 0)+1))/IF(INDEX(ERP資料!$G:$G, (MATCH(718, 輔助計算!$G$2:$G$801, 0)+1))&lt;100, IF(INDEX(ERP資料!$G:$G, (MATCH(718, 輔助計算!$G$2:$G$801, 0)+1))&lt;=31,3,IF(INDEX(ERP資料!$G:$G, (MATCH(718, 輔助計算!$G$2:$G$801, 0)+1))&lt;=46.5,2,1)), IF(INDEX(ERP資料!$G:$G, (MATCH(718, 輔助計算!$G$2:$G$801, 0)+1))&lt;=790,3,IF(INDEX(ERP資料!$G:$G, (MATCH(718, 輔助計算!$G$2:$G$801, 0)+1))&lt;=1181,2,1)))), "")&amp;IF(AND(IF(INT(INDEX(輔助計算!$D:$D, (MATCH(718, 輔助計算!$G$2:$G$801, 0)+1))/IF(INDEX(ERP資料!$G:$G, (MATCH(718, 輔助計算!$G$2:$G$801, 0)+1))&lt;100, IF(INDEX(ERP資料!$G:$G, (MATCH(718, 輔助計算!$G$2:$G$801, 0)+1))&lt;=31,3,IF(INDEX(ERP資料!$G:$G, (MATCH(718, 輔助計算!$G$2:$G$801, 0)+1))&lt;=46.5,2,1)), IF(INDEX(ERP資料!$G:$G, (MATCH(718, 輔助計算!$G$2:$G$801, 0)+1))&lt;=790,3,IF(INDEX(ERP資料!$G:$G, (MATCH(718, 輔助計算!$G$2:$G$801, 0)+1))&lt;=1181,2,1))))&gt;0, IF(IF(INDEX(ERP資料!$G:$G, (MATCH(718, 輔助計算!$G$2:$G$801, 0)+1))&lt;100, IF(INDEX(ERP資料!$G:$G, (MATCH(718, 輔助計算!$G$2:$G$801, 0)+1))&lt;=31,3,IF(INDEX(ERP資料!$G:$G, (MATCH(718, 輔助計算!$G$2:$G$801, 0)+1))&lt;=46.5,2,1)), IF(INDEX(ERP資料!$G:$G, (MATCH(718, 輔助計算!$G$2:$G$801, 0)+1))&lt;=790,3,IF(INDEX(ERP資料!$G:$G, (MATCH(718, 輔助計算!$G$2:$G$801, 0)+1))&lt;=1181,2,1)))=1,TEXT(INDEX(ERP資料!$G:$G, (MATCH(718, 輔助計算!$G$2:$G$801, 0)+1)),"0.##"),IF(IF(INDEX(ERP資料!$G:$G, (MATCH(718, 輔助計算!$G$2:$G$801, 0)+1))&lt;100, IF(INDEX(ERP資料!$G:$G, (MATCH(718, 輔助計算!$G$2:$G$801, 0)+1))&lt;=31,3,IF(INDEX(ERP資料!$G:$G, (MATCH(718, 輔助計算!$G$2:$G$801, 0)+1))&lt;=46.5,2,1)), IF(INDEX(ERP資料!$G:$G, (MATCH(718, 輔助計算!$G$2:$G$801, 0)+1))&lt;=790,3,IF(INDEX(ERP資料!$G:$G, (MATCH(718, 輔助計算!$G$2:$G$801, 0)+1))&lt;=1181,2,1)))=2,TEXT(INDEX(ERP資料!$G:$G, (MATCH(718, 輔助計算!$G$2:$G$801, 0)+1)),"0.##")&amp;"+"&amp;TEXT(INDEX(ERP資料!$G:$G, (MATCH(718, 輔助計算!$G$2:$G$801, 0)+1)),"0.##"),TEXT(INDEX(ERP資料!$G:$G, (MATCH(718, 輔助計算!$G$2:$G$801, 0)+1)),"0.##")&amp;"+"&amp;TEXT(INDEX(ERP資料!$G:$G, (MATCH(718, 輔助計算!$G$2:$G$801, 0)+1)),"0.##")&amp;"+"&amp;TEXT(INDEX(ERP資料!$G:$G, (MATCH(718, 輔助計算!$G$2:$G$801, 0)+1)),"0.##")))&amp;"-"&amp;INT(INDEX(輔助計算!$D:$D, (MATCH(718, 輔助計算!$G$2:$G$801, 0)+1))/IF(INDEX(ERP資料!$G:$G, (MATCH(718, 輔助計算!$G$2:$G$801, 0)+1))&lt;100, IF(INDEX(ERP資料!$G:$G, (MATCH(718, 輔助計算!$G$2:$G$801, 0)+1))&lt;=31,3,IF(INDEX(ERP資料!$G:$G, (MATCH(718, 輔助計算!$G$2:$G$801, 0)+1))&lt;=46.5,2,1)), IF(INDEX(ERP資料!$G:$G, (MATCH(718, 輔助計算!$G$2:$G$801, 0)+1))&lt;=790,3,IF(INDEX(ERP資料!$G:$G, (MATCH(718, 輔助計算!$G$2:$G$801, 0)+1))&lt;=1181,2,1)))), "")&lt;&gt;"",IF(MOD(INDEX(輔助計算!$D:$D, (MATCH(718, 輔助計算!$G$2:$G$801, 0)+1)),IF(INDEX(ERP資料!$G:$G, (MATCH(718, 輔助計算!$G$2:$G$801, 0)+1))&lt;100, IF(INDEX(ERP資料!$G:$G, (MATCH(718, 輔助計算!$G$2:$G$801, 0)+1))&lt;=31,3,IF(INDEX(ERP資料!$G:$G, (MATCH(718, 輔助計算!$G$2:$G$801, 0)+1))&lt;=46.5,2,1)), IF(INDEX(ERP資料!$G:$G, (MATCH(718, 輔助計算!$G$2:$G$801, 0)+1))&lt;=790,3,IF(INDEX(ERP資料!$G:$G, (MATCH(718, 輔助計算!$G$2:$G$801, 0)+1))&lt;=1181,2,1))))=0,"",IF(MOD(INDEX(輔助計算!$D:$D, (MATCH(718, 輔助計算!$G$2:$G$801, 0)+1)),IF(INDEX(ERP資料!$G:$G, (MATCH(718, 輔助計算!$G$2:$G$801, 0)+1))&lt;100, IF(INDEX(ERP資料!$G:$G, (MATCH(718, 輔助計算!$G$2:$G$801, 0)+1))&lt;=31,3,IF(INDEX(ERP資料!$G:$G, (MATCH(718, 輔助計算!$G$2:$G$801, 0)+1))&lt;=46.5,2,1)), IF(INDEX(ERP資料!$G:$G, (MATCH(718, 輔助計算!$G$2:$G$801, 0)+1))&lt;=790,3,IF(INDEX(ERP資料!$G:$G, (MATCH(718, 輔助計算!$G$2:$G$801, 0)+1))&lt;=1181,2,1))))=0,"",IF(MOD(INDEX(輔助計算!$D:$D, (MATCH(718, 輔助計算!$G$2:$G$801, 0)+1)),IF(INDEX(ERP資料!$G:$G, (MATCH(718, 輔助計算!$G$2:$G$801, 0)+1))&lt;100, IF(INDEX(ERP資料!$G:$G, (MATCH(718, 輔助計算!$G$2:$G$801, 0)+1))&lt;=31,3,IF(INDEX(ERP資料!$G:$G, (MATCH(718, 輔助計算!$G$2:$G$801, 0)+1))&lt;=46.5,2,1)), IF(INDEX(ERP資料!$G:$G, (MATCH(718, 輔助計算!$G$2:$G$801, 0)+1))&lt;=790,3,IF(INDEX(ERP資料!$G:$G, (MATCH(718, 輔助計算!$G$2:$G$801, 0)+1))&lt;=1181,2,1))))=1,TEXT(INDEX(ERP資料!$G:$G, (MATCH(718, 輔助計算!$G$2:$G$801, 0)+1)),"0.##"),IF(MOD(INDEX(輔助計算!$D:$D, (MATCH(718, 輔助計算!$G$2:$G$801, 0)+1)),IF(INDEX(ERP資料!$G:$G, (MATCH(718, 輔助計算!$G$2:$G$801, 0)+1))&lt;100, IF(INDEX(ERP資料!$G:$G, (MATCH(718, 輔助計算!$G$2:$G$801, 0)+1))&lt;=31,3,IF(INDEX(ERP資料!$G:$G, (MATCH(718, 輔助計算!$G$2:$G$801, 0)+1))&lt;=46.5,2,1)), IF(INDEX(ERP資料!$G:$G, (MATCH(718, 輔助計算!$G$2:$G$801, 0)+1))&lt;=790,3,IF(INDEX(ERP資料!$G:$G, (MATCH(718, 輔助計算!$G$2:$G$801, 0)+1))&lt;=1181,2,1))))=2,TEXT(INDEX(ERP資料!$G:$G, (MATCH(718, 輔助計算!$G$2:$G$801, 0)+1)),"0.##")&amp;"+"&amp;TEXT(INDEX(ERP資料!$G:$G, (MATCH(718, 輔助計算!$G$2:$G$801, 0)+1)),"0.##"),TEXT(INDEX(ERP資料!$G:$G, (MATCH(718, 輔助計算!$G$2:$G$801, 0)+1)),"0.##")&amp;"+"&amp;TEXT(INDEX(ERP資料!$G:$G, (MATCH(718, 輔助計算!$G$2:$G$801, 0)+1)),"0.##")&amp;"+"&amp;TEXT(INDEX(ERP資料!$G:$G, (MATCH(718, 輔助計算!$G$2:$G$801, 0)+1)),"0.##"))))&amp;"-1")&lt;&gt;""),"  ","")&amp;IF(MOD(INDEX(輔助計算!$D:$D, (MATCH(718, 輔助計算!$G$2:$G$801, 0)+1)),IF(INDEX(ERP資料!$G:$G, (MATCH(718, 輔助計算!$G$2:$G$801, 0)+1))&lt;100, IF(INDEX(ERP資料!$G:$G, (MATCH(718, 輔助計算!$G$2:$G$801, 0)+1))&lt;=31,3,IF(INDEX(ERP資料!$G:$G, (MATCH(718, 輔助計算!$G$2:$G$801, 0)+1))&lt;=46.5,2,1)), IF(INDEX(ERP資料!$G:$G, (MATCH(718, 輔助計算!$G$2:$G$801, 0)+1))&lt;=790,3,IF(INDEX(ERP資料!$G:$G, (MATCH(718, 輔助計算!$G$2:$G$801, 0)+1))&lt;=1181,2,1))))=0,"",IF(MOD(INDEX(輔助計算!$D:$D, (MATCH(718, 輔助計算!$G$2:$G$801, 0)+1)),IF(INDEX(ERP資料!$G:$G, (MATCH(718, 輔助計算!$G$2:$G$801, 0)+1))&lt;100, IF(INDEX(ERP資料!$G:$G, (MATCH(718, 輔助計算!$G$2:$G$801, 0)+1))&lt;=31,3,IF(INDEX(ERP資料!$G:$G, (MATCH(718, 輔助計算!$G$2:$G$801, 0)+1))&lt;=46.5,2,1)), IF(INDEX(ERP資料!$G:$G, (MATCH(718, 輔助計算!$G$2:$G$801, 0)+1))&lt;=790,3,IF(INDEX(ERP資料!$G:$G, (MATCH(718, 輔助計算!$G$2:$G$801, 0)+1))&lt;=1181,2,1))))=0,"",IF(MOD(INDEX(輔助計算!$D:$D, (MATCH(718, 輔助計算!$G$2:$G$801, 0)+1)),IF(INDEX(ERP資料!$G:$G, (MATCH(718, 輔助計算!$G$2:$G$801, 0)+1))&lt;100, IF(INDEX(ERP資料!$G:$G, (MATCH(718, 輔助計算!$G$2:$G$801, 0)+1))&lt;=31,3,IF(INDEX(ERP資料!$G:$G, (MATCH(718, 輔助計算!$G$2:$G$801, 0)+1))&lt;=46.5,2,1)), IF(INDEX(ERP資料!$G:$G, (MATCH(718, 輔助計算!$G$2:$G$801, 0)+1))&lt;=790,3,IF(INDEX(ERP資料!$G:$G, (MATCH(718, 輔助計算!$G$2:$G$801, 0)+1))&lt;=1181,2,1))))=1,TEXT(INDEX(ERP資料!$G:$G, (MATCH(718, 輔助計算!$G$2:$G$801, 0)+1)),"0.##"),IF(MOD(INDEX(輔助計算!$D:$D, (MATCH(718, 輔助計算!$G$2:$G$801, 0)+1)),IF(INDEX(ERP資料!$G:$G, (MATCH(718, 輔助計算!$G$2:$G$801, 0)+1))&lt;100, IF(INDEX(ERP資料!$G:$G, (MATCH(718, 輔助計算!$G$2:$G$801, 0)+1))&lt;=31,3,IF(INDEX(ERP資料!$G:$G, (MATCH(718, 輔助計算!$G$2:$G$801, 0)+1))&lt;=46.5,2,1)), IF(INDEX(ERP資料!$G:$G, (MATCH(718, 輔助計算!$G$2:$G$801, 0)+1))&lt;=790,3,IF(INDEX(ERP資料!$G:$G, (MATCH(718, 輔助計算!$G$2:$G$801, 0)+1))&lt;=1181,2,1))))=2,TEXT(INDEX(ERP資料!$G:$G, (MATCH(718, 輔助計算!$G$2:$G$801, 0)+1)),"0.##")&amp;"+"&amp;TEXT(INDEX(ERP資料!$G:$G, (MATCH(718, 輔助計算!$G$2:$G$801, 0)+1)),"0.##"),TEXT(INDEX(ERP資料!$G:$G, (MATCH(718, 輔助計算!$G$2:$G$801, 0)+1)),"0.##")&amp;"+"&amp;TEXT(INDEX(ERP資料!$G:$G, (MATCH(718, 輔助計算!$G$2:$G$801, 0)+1)),"0.##")&amp;"+"&amp;TEXT(INDEX(ERP資料!$G:$G, (MATCH(718, 輔助計算!$G$2:$G$801, 0)+1)),"0.##"))))&amp;"-1")), ""), "")</f>
        <v/>
      </c>
      <c r="K719" s="16" t="n"/>
      <c r="L719" s="14">
        <f>IFERROR(IF(AND(IFERROR(INDEX(ERP資料!$A:$A, (MATCH(718, 輔助計算!$G$2:$G$801, 0)+1)), "")&lt;&gt;"", IFERROR(INDEX(ERP資料!$A:$A, (MATCH(718, 輔助計算!$G$2:$G$801, 0)+1)), "")&lt;&gt;IFERROR(INDEX(ERP資料!$A:$A, MATCH(717, 輔助計算!$G$2:$G$801, 0)+1), "")), INDEX(ERP資料!$B:$B, (MATCH(718, 輔助計算!$G$2:$G$801, 0)+1)), ""), "")</f>
        <v/>
      </c>
      <c r="M719" s="17" t="n"/>
    </row>
    <row r="720">
      <c r="A720" s="10">
        <f>IFERROR(IF(AND(IFERROR(INDEX(ERP資料!$A:$A, (MATCH(719, 輔助計算!$G$2:$G$801, 0)+1)), "")&lt;&gt;"", IFERROR(INDEX(ERP資料!$A:$A, (MATCH(719, 輔助計算!$G$2:$G$801, 0)+1)), "")&lt;&gt;IFERROR(INDEX(ERP資料!$A:$A, MATCH(718, 輔助計算!$G$2:$G$801, 0)+1), "")), IFERROR(INDEX(ERP資料!$A:$A, (MATCH(719, 輔助計算!$G$2:$G$801, 0)+1)), ""), ""), "")</f>
        <v/>
      </c>
      <c r="B720" s="10">
        <f>IFERROR(IF(AND(IFERROR(INDEX(ERP資料!$A:$A, (MATCH(719, 輔助計算!$G$2:$G$801, 0)+1)), "")&lt;&gt;"", IFERROR(INDEX(ERP資料!$A:$A, (MATCH(719, 輔助計算!$G$2:$G$801, 0)+1)), "")&lt;&gt;IFERROR(INDEX(ERP資料!$A:$A, MATCH(718, 輔助計算!$G$2:$G$801, 0)+1), "")), INDEX(ERP資料!$S:$S, (MATCH(719, 輔助計算!$G$2:$G$801, 0)+1)), ""), "")</f>
        <v/>
      </c>
      <c r="C720" s="19">
        <f>IFERROR(IF(AND(IFERROR(INDEX(ERP資料!$A:$A, (MATCH(719, 輔助計算!$G$2:$G$801, 0)+1)), "")&lt;&gt;"", IFERROR(INDEX(ERP資料!$A:$A, (MATCH(719, 輔助計算!$G$2:$G$801, 0)+1)), "")&lt;&gt;IFERROR(INDEX(ERP資料!$A:$A, MATCH(718, 輔助計算!$G$2:$G$801, 0)+1), "")), IFERROR(VLOOKUP(LEFT(INDEX(ERP資料!$S:$S, (MATCH(719, 輔助計算!$G$2:$G$801, 0)+1)), 4), 紙管對照表!$A:$C, 3, FALSE), ""), ""), "")</f>
        <v/>
      </c>
      <c r="D720" s="16" t="n"/>
      <c r="E720" s="10">
        <f>IFERROR(IF(INDEX(ERP資料!$H:$H, (MATCH(719, 輔助計算!$G$2:$G$801, 0)+1))="","",INDEX(ERP資料!$H:$H, (MATCH(719, 輔助計算!$G$2:$G$801, 0)+1))), "")</f>
        <v/>
      </c>
      <c r="F720" s="10">
        <f>IFERROR(IF(INDEX(ERP資料!$E:$E, (MATCH(719, 輔助計算!$G$2:$G$801, 0)+1))="","",TRIM(INDEX(ERP資料!$E:$E, (MATCH(719, 輔助計算!$G$2:$G$801, 0)+1)))), "")</f>
        <v/>
      </c>
      <c r="G720" s="10">
        <f>IFERROR(IF(INDEX(ERP資料!$F:$F, (MATCH(719, 輔助計算!$G$2:$G$801, 0)+1))="","",INDEX(ERP資料!$F:$F, (MATCH(719, 輔助計算!$G$2:$G$801, 0)+1))), "")</f>
        <v/>
      </c>
      <c r="H720" s="10">
        <f>IFERROR(IF(INDEX(ERP資料!$G:$G, (MATCH(719, 輔助計算!$G$2:$G$801, 0)+1))="","",INDEX(ERP資料!$G:$G, (MATCH(719, 輔助計算!$G$2:$G$801, 0)+1))), "")</f>
        <v/>
      </c>
      <c r="I720" s="15">
        <f>IFERROR(INDEX(輔助計算!$D:$D, (MATCH(719, 輔助計算!$G$2:$G$801, 0)+1)), "")</f>
        <v/>
      </c>
      <c r="J720" s="15">
        <f>IFERROR(IF(AND(INDEX(輔助計算!$D:$D, (MATCH(719, 輔助計算!$G$2:$G$801, 0)+1))&lt;&gt;"", INDEX(ERP資料!$G:$G, (MATCH(719, 輔助計算!$G$2:$G$801, 0)+1))&lt;&gt;""), TRIM(IF(INT(INDEX(輔助計算!$D:$D, (MATCH(719, 輔助計算!$G$2:$G$801, 0)+1))/IF(INDEX(ERP資料!$G:$G, (MATCH(719, 輔助計算!$G$2:$G$801, 0)+1))&lt;100, IF(INDEX(ERP資料!$G:$G, (MATCH(719, 輔助計算!$G$2:$G$801, 0)+1))&lt;=31,3,IF(INDEX(ERP資料!$G:$G, (MATCH(719, 輔助計算!$G$2:$G$801, 0)+1))&lt;=46.5,2,1)), IF(INDEX(ERP資料!$G:$G, (MATCH(719, 輔助計算!$G$2:$G$801, 0)+1))&lt;=790,3,IF(INDEX(ERP資料!$G:$G, (MATCH(719, 輔助計算!$G$2:$G$801, 0)+1))&lt;=1181,2,1))))&gt;0, IF(IF(INDEX(ERP資料!$G:$G, (MATCH(719, 輔助計算!$G$2:$G$801, 0)+1))&lt;100, IF(INDEX(ERP資料!$G:$G, (MATCH(719, 輔助計算!$G$2:$G$801, 0)+1))&lt;=31,3,IF(INDEX(ERP資料!$G:$G, (MATCH(719, 輔助計算!$G$2:$G$801, 0)+1))&lt;=46.5,2,1)), IF(INDEX(ERP資料!$G:$G, (MATCH(719, 輔助計算!$G$2:$G$801, 0)+1))&lt;=790,3,IF(INDEX(ERP資料!$G:$G, (MATCH(719, 輔助計算!$G$2:$G$801, 0)+1))&lt;=1181,2,1)))=1,TEXT(INDEX(ERP資料!$G:$G, (MATCH(719, 輔助計算!$G$2:$G$801, 0)+1)),"0.##"),IF(IF(INDEX(ERP資料!$G:$G, (MATCH(719, 輔助計算!$G$2:$G$801, 0)+1))&lt;100, IF(INDEX(ERP資料!$G:$G, (MATCH(719, 輔助計算!$G$2:$G$801, 0)+1))&lt;=31,3,IF(INDEX(ERP資料!$G:$G, (MATCH(719, 輔助計算!$G$2:$G$801, 0)+1))&lt;=46.5,2,1)), IF(INDEX(ERP資料!$G:$G, (MATCH(719, 輔助計算!$G$2:$G$801, 0)+1))&lt;=790,3,IF(INDEX(ERP資料!$G:$G, (MATCH(719, 輔助計算!$G$2:$G$801, 0)+1))&lt;=1181,2,1)))=2,TEXT(INDEX(ERP資料!$G:$G, (MATCH(719, 輔助計算!$G$2:$G$801, 0)+1)),"0.##")&amp;"+"&amp;TEXT(INDEX(ERP資料!$G:$G, (MATCH(719, 輔助計算!$G$2:$G$801, 0)+1)),"0.##"),TEXT(INDEX(ERP資料!$G:$G, (MATCH(719, 輔助計算!$G$2:$G$801, 0)+1)),"0.##")&amp;"+"&amp;TEXT(INDEX(ERP資料!$G:$G, (MATCH(719, 輔助計算!$G$2:$G$801, 0)+1)),"0.##")&amp;"+"&amp;TEXT(INDEX(ERP資料!$G:$G, (MATCH(719, 輔助計算!$G$2:$G$801, 0)+1)),"0.##")))&amp;"-"&amp;INT(INDEX(輔助計算!$D:$D, (MATCH(719, 輔助計算!$G$2:$G$801, 0)+1))/IF(INDEX(ERP資料!$G:$G, (MATCH(719, 輔助計算!$G$2:$G$801, 0)+1))&lt;100, IF(INDEX(ERP資料!$G:$G, (MATCH(719, 輔助計算!$G$2:$G$801, 0)+1))&lt;=31,3,IF(INDEX(ERP資料!$G:$G, (MATCH(719, 輔助計算!$G$2:$G$801, 0)+1))&lt;=46.5,2,1)), IF(INDEX(ERP資料!$G:$G, (MATCH(719, 輔助計算!$G$2:$G$801, 0)+1))&lt;=790,3,IF(INDEX(ERP資料!$G:$G, (MATCH(719, 輔助計算!$G$2:$G$801, 0)+1))&lt;=1181,2,1)))), "")&amp;IF(AND(IF(INT(INDEX(輔助計算!$D:$D, (MATCH(719, 輔助計算!$G$2:$G$801, 0)+1))/IF(INDEX(ERP資料!$G:$G, (MATCH(719, 輔助計算!$G$2:$G$801, 0)+1))&lt;100, IF(INDEX(ERP資料!$G:$G, (MATCH(719, 輔助計算!$G$2:$G$801, 0)+1))&lt;=31,3,IF(INDEX(ERP資料!$G:$G, (MATCH(719, 輔助計算!$G$2:$G$801, 0)+1))&lt;=46.5,2,1)), IF(INDEX(ERP資料!$G:$G, (MATCH(719, 輔助計算!$G$2:$G$801, 0)+1))&lt;=790,3,IF(INDEX(ERP資料!$G:$G, (MATCH(719, 輔助計算!$G$2:$G$801, 0)+1))&lt;=1181,2,1))))&gt;0, IF(IF(INDEX(ERP資料!$G:$G, (MATCH(719, 輔助計算!$G$2:$G$801, 0)+1))&lt;100, IF(INDEX(ERP資料!$G:$G, (MATCH(719, 輔助計算!$G$2:$G$801, 0)+1))&lt;=31,3,IF(INDEX(ERP資料!$G:$G, (MATCH(719, 輔助計算!$G$2:$G$801, 0)+1))&lt;=46.5,2,1)), IF(INDEX(ERP資料!$G:$G, (MATCH(719, 輔助計算!$G$2:$G$801, 0)+1))&lt;=790,3,IF(INDEX(ERP資料!$G:$G, (MATCH(719, 輔助計算!$G$2:$G$801, 0)+1))&lt;=1181,2,1)))=1,TEXT(INDEX(ERP資料!$G:$G, (MATCH(719, 輔助計算!$G$2:$G$801, 0)+1)),"0.##"),IF(IF(INDEX(ERP資料!$G:$G, (MATCH(719, 輔助計算!$G$2:$G$801, 0)+1))&lt;100, IF(INDEX(ERP資料!$G:$G, (MATCH(719, 輔助計算!$G$2:$G$801, 0)+1))&lt;=31,3,IF(INDEX(ERP資料!$G:$G, (MATCH(719, 輔助計算!$G$2:$G$801, 0)+1))&lt;=46.5,2,1)), IF(INDEX(ERP資料!$G:$G, (MATCH(719, 輔助計算!$G$2:$G$801, 0)+1))&lt;=790,3,IF(INDEX(ERP資料!$G:$G, (MATCH(719, 輔助計算!$G$2:$G$801, 0)+1))&lt;=1181,2,1)))=2,TEXT(INDEX(ERP資料!$G:$G, (MATCH(719, 輔助計算!$G$2:$G$801, 0)+1)),"0.##")&amp;"+"&amp;TEXT(INDEX(ERP資料!$G:$G, (MATCH(719, 輔助計算!$G$2:$G$801, 0)+1)),"0.##"),TEXT(INDEX(ERP資料!$G:$G, (MATCH(719, 輔助計算!$G$2:$G$801, 0)+1)),"0.##")&amp;"+"&amp;TEXT(INDEX(ERP資料!$G:$G, (MATCH(719, 輔助計算!$G$2:$G$801, 0)+1)),"0.##")&amp;"+"&amp;TEXT(INDEX(ERP資料!$G:$G, (MATCH(719, 輔助計算!$G$2:$G$801, 0)+1)),"0.##")))&amp;"-"&amp;INT(INDEX(輔助計算!$D:$D, (MATCH(719, 輔助計算!$G$2:$G$801, 0)+1))/IF(INDEX(ERP資料!$G:$G, (MATCH(719, 輔助計算!$G$2:$G$801, 0)+1))&lt;100, IF(INDEX(ERP資料!$G:$G, (MATCH(719, 輔助計算!$G$2:$G$801, 0)+1))&lt;=31,3,IF(INDEX(ERP資料!$G:$G, (MATCH(719, 輔助計算!$G$2:$G$801, 0)+1))&lt;=46.5,2,1)), IF(INDEX(ERP資料!$G:$G, (MATCH(719, 輔助計算!$G$2:$G$801, 0)+1))&lt;=790,3,IF(INDEX(ERP資料!$G:$G, (MATCH(719, 輔助計算!$G$2:$G$801, 0)+1))&lt;=1181,2,1)))), "")&lt;&gt;"",IF(MOD(INDEX(輔助計算!$D:$D, (MATCH(719, 輔助計算!$G$2:$G$801, 0)+1)),IF(INDEX(ERP資料!$G:$G, (MATCH(719, 輔助計算!$G$2:$G$801, 0)+1))&lt;100, IF(INDEX(ERP資料!$G:$G, (MATCH(719, 輔助計算!$G$2:$G$801, 0)+1))&lt;=31,3,IF(INDEX(ERP資料!$G:$G, (MATCH(719, 輔助計算!$G$2:$G$801, 0)+1))&lt;=46.5,2,1)), IF(INDEX(ERP資料!$G:$G, (MATCH(719, 輔助計算!$G$2:$G$801, 0)+1))&lt;=790,3,IF(INDEX(ERP資料!$G:$G, (MATCH(719, 輔助計算!$G$2:$G$801, 0)+1))&lt;=1181,2,1))))=0,"",IF(MOD(INDEX(輔助計算!$D:$D, (MATCH(719, 輔助計算!$G$2:$G$801, 0)+1)),IF(INDEX(ERP資料!$G:$G, (MATCH(719, 輔助計算!$G$2:$G$801, 0)+1))&lt;100, IF(INDEX(ERP資料!$G:$G, (MATCH(719, 輔助計算!$G$2:$G$801, 0)+1))&lt;=31,3,IF(INDEX(ERP資料!$G:$G, (MATCH(719, 輔助計算!$G$2:$G$801, 0)+1))&lt;=46.5,2,1)), IF(INDEX(ERP資料!$G:$G, (MATCH(719, 輔助計算!$G$2:$G$801, 0)+1))&lt;=790,3,IF(INDEX(ERP資料!$G:$G, (MATCH(719, 輔助計算!$G$2:$G$801, 0)+1))&lt;=1181,2,1))))=0,"",IF(MOD(INDEX(輔助計算!$D:$D, (MATCH(719, 輔助計算!$G$2:$G$801, 0)+1)),IF(INDEX(ERP資料!$G:$G, (MATCH(719, 輔助計算!$G$2:$G$801, 0)+1))&lt;100, IF(INDEX(ERP資料!$G:$G, (MATCH(719, 輔助計算!$G$2:$G$801, 0)+1))&lt;=31,3,IF(INDEX(ERP資料!$G:$G, (MATCH(719, 輔助計算!$G$2:$G$801, 0)+1))&lt;=46.5,2,1)), IF(INDEX(ERP資料!$G:$G, (MATCH(719, 輔助計算!$G$2:$G$801, 0)+1))&lt;=790,3,IF(INDEX(ERP資料!$G:$G, (MATCH(719, 輔助計算!$G$2:$G$801, 0)+1))&lt;=1181,2,1))))=1,TEXT(INDEX(ERP資料!$G:$G, (MATCH(719, 輔助計算!$G$2:$G$801, 0)+1)),"0.##"),IF(MOD(INDEX(輔助計算!$D:$D, (MATCH(719, 輔助計算!$G$2:$G$801, 0)+1)),IF(INDEX(ERP資料!$G:$G, (MATCH(719, 輔助計算!$G$2:$G$801, 0)+1))&lt;100, IF(INDEX(ERP資料!$G:$G, (MATCH(719, 輔助計算!$G$2:$G$801, 0)+1))&lt;=31,3,IF(INDEX(ERP資料!$G:$G, (MATCH(719, 輔助計算!$G$2:$G$801, 0)+1))&lt;=46.5,2,1)), IF(INDEX(ERP資料!$G:$G, (MATCH(719, 輔助計算!$G$2:$G$801, 0)+1))&lt;=790,3,IF(INDEX(ERP資料!$G:$G, (MATCH(719, 輔助計算!$G$2:$G$801, 0)+1))&lt;=1181,2,1))))=2,TEXT(INDEX(ERP資料!$G:$G, (MATCH(719, 輔助計算!$G$2:$G$801, 0)+1)),"0.##")&amp;"+"&amp;TEXT(INDEX(ERP資料!$G:$G, (MATCH(719, 輔助計算!$G$2:$G$801, 0)+1)),"0.##"),TEXT(INDEX(ERP資料!$G:$G, (MATCH(719, 輔助計算!$G$2:$G$801, 0)+1)),"0.##")&amp;"+"&amp;TEXT(INDEX(ERP資料!$G:$G, (MATCH(719, 輔助計算!$G$2:$G$801, 0)+1)),"0.##")&amp;"+"&amp;TEXT(INDEX(ERP資料!$G:$G, (MATCH(719, 輔助計算!$G$2:$G$801, 0)+1)),"0.##"))))&amp;"-1")&lt;&gt;""),"  ","")&amp;IF(MOD(INDEX(輔助計算!$D:$D, (MATCH(719, 輔助計算!$G$2:$G$801, 0)+1)),IF(INDEX(ERP資料!$G:$G, (MATCH(719, 輔助計算!$G$2:$G$801, 0)+1))&lt;100, IF(INDEX(ERP資料!$G:$G, (MATCH(719, 輔助計算!$G$2:$G$801, 0)+1))&lt;=31,3,IF(INDEX(ERP資料!$G:$G, (MATCH(719, 輔助計算!$G$2:$G$801, 0)+1))&lt;=46.5,2,1)), IF(INDEX(ERP資料!$G:$G, (MATCH(719, 輔助計算!$G$2:$G$801, 0)+1))&lt;=790,3,IF(INDEX(ERP資料!$G:$G, (MATCH(719, 輔助計算!$G$2:$G$801, 0)+1))&lt;=1181,2,1))))=0,"",IF(MOD(INDEX(輔助計算!$D:$D, (MATCH(719, 輔助計算!$G$2:$G$801, 0)+1)),IF(INDEX(ERP資料!$G:$G, (MATCH(719, 輔助計算!$G$2:$G$801, 0)+1))&lt;100, IF(INDEX(ERP資料!$G:$G, (MATCH(719, 輔助計算!$G$2:$G$801, 0)+1))&lt;=31,3,IF(INDEX(ERP資料!$G:$G, (MATCH(719, 輔助計算!$G$2:$G$801, 0)+1))&lt;=46.5,2,1)), IF(INDEX(ERP資料!$G:$G, (MATCH(719, 輔助計算!$G$2:$G$801, 0)+1))&lt;=790,3,IF(INDEX(ERP資料!$G:$G, (MATCH(719, 輔助計算!$G$2:$G$801, 0)+1))&lt;=1181,2,1))))=0,"",IF(MOD(INDEX(輔助計算!$D:$D, (MATCH(719, 輔助計算!$G$2:$G$801, 0)+1)),IF(INDEX(ERP資料!$G:$G, (MATCH(719, 輔助計算!$G$2:$G$801, 0)+1))&lt;100, IF(INDEX(ERP資料!$G:$G, (MATCH(719, 輔助計算!$G$2:$G$801, 0)+1))&lt;=31,3,IF(INDEX(ERP資料!$G:$G, (MATCH(719, 輔助計算!$G$2:$G$801, 0)+1))&lt;=46.5,2,1)), IF(INDEX(ERP資料!$G:$G, (MATCH(719, 輔助計算!$G$2:$G$801, 0)+1))&lt;=790,3,IF(INDEX(ERP資料!$G:$G, (MATCH(719, 輔助計算!$G$2:$G$801, 0)+1))&lt;=1181,2,1))))=1,TEXT(INDEX(ERP資料!$G:$G, (MATCH(719, 輔助計算!$G$2:$G$801, 0)+1)),"0.##"),IF(MOD(INDEX(輔助計算!$D:$D, (MATCH(719, 輔助計算!$G$2:$G$801, 0)+1)),IF(INDEX(ERP資料!$G:$G, (MATCH(719, 輔助計算!$G$2:$G$801, 0)+1))&lt;100, IF(INDEX(ERP資料!$G:$G, (MATCH(719, 輔助計算!$G$2:$G$801, 0)+1))&lt;=31,3,IF(INDEX(ERP資料!$G:$G, (MATCH(719, 輔助計算!$G$2:$G$801, 0)+1))&lt;=46.5,2,1)), IF(INDEX(ERP資料!$G:$G, (MATCH(719, 輔助計算!$G$2:$G$801, 0)+1))&lt;=790,3,IF(INDEX(ERP資料!$G:$G, (MATCH(719, 輔助計算!$G$2:$G$801, 0)+1))&lt;=1181,2,1))))=2,TEXT(INDEX(ERP資料!$G:$G, (MATCH(719, 輔助計算!$G$2:$G$801, 0)+1)),"0.##")&amp;"+"&amp;TEXT(INDEX(ERP資料!$G:$G, (MATCH(719, 輔助計算!$G$2:$G$801, 0)+1)),"0.##"),TEXT(INDEX(ERP資料!$G:$G, (MATCH(719, 輔助計算!$G$2:$G$801, 0)+1)),"0.##")&amp;"+"&amp;TEXT(INDEX(ERP資料!$G:$G, (MATCH(719, 輔助計算!$G$2:$G$801, 0)+1)),"0.##")&amp;"+"&amp;TEXT(INDEX(ERP資料!$G:$G, (MATCH(719, 輔助計算!$G$2:$G$801, 0)+1)),"0.##"))))&amp;"-1")), ""), "")</f>
        <v/>
      </c>
      <c r="K720" s="16" t="n"/>
      <c r="L720" s="14">
        <f>IFERROR(IF(AND(IFERROR(INDEX(ERP資料!$A:$A, (MATCH(719, 輔助計算!$G$2:$G$801, 0)+1)), "")&lt;&gt;"", IFERROR(INDEX(ERP資料!$A:$A, (MATCH(719, 輔助計算!$G$2:$G$801, 0)+1)), "")&lt;&gt;IFERROR(INDEX(ERP資料!$A:$A, MATCH(718, 輔助計算!$G$2:$G$801, 0)+1), "")), INDEX(ERP資料!$B:$B, (MATCH(719, 輔助計算!$G$2:$G$801, 0)+1)), ""), "")</f>
        <v/>
      </c>
      <c r="M720" s="17" t="n"/>
    </row>
    <row r="721">
      <c r="A721" s="10">
        <f>IFERROR(IF(AND(IFERROR(INDEX(ERP資料!$A:$A, (MATCH(720, 輔助計算!$G$2:$G$801, 0)+1)), "")&lt;&gt;"", IFERROR(INDEX(ERP資料!$A:$A, (MATCH(720, 輔助計算!$G$2:$G$801, 0)+1)), "")&lt;&gt;IFERROR(INDEX(ERP資料!$A:$A, MATCH(719, 輔助計算!$G$2:$G$801, 0)+1), "")), IFERROR(INDEX(ERP資料!$A:$A, (MATCH(720, 輔助計算!$G$2:$G$801, 0)+1)), ""), ""), "")</f>
        <v/>
      </c>
      <c r="B721" s="10">
        <f>IFERROR(IF(AND(IFERROR(INDEX(ERP資料!$A:$A, (MATCH(720, 輔助計算!$G$2:$G$801, 0)+1)), "")&lt;&gt;"", IFERROR(INDEX(ERP資料!$A:$A, (MATCH(720, 輔助計算!$G$2:$G$801, 0)+1)), "")&lt;&gt;IFERROR(INDEX(ERP資料!$A:$A, MATCH(719, 輔助計算!$G$2:$G$801, 0)+1), "")), INDEX(ERP資料!$S:$S, (MATCH(720, 輔助計算!$G$2:$G$801, 0)+1)), ""), "")</f>
        <v/>
      </c>
      <c r="C721" s="19">
        <f>IFERROR(IF(AND(IFERROR(INDEX(ERP資料!$A:$A, (MATCH(720, 輔助計算!$G$2:$G$801, 0)+1)), "")&lt;&gt;"", IFERROR(INDEX(ERP資料!$A:$A, (MATCH(720, 輔助計算!$G$2:$G$801, 0)+1)), "")&lt;&gt;IFERROR(INDEX(ERP資料!$A:$A, MATCH(719, 輔助計算!$G$2:$G$801, 0)+1), "")), IFERROR(VLOOKUP(LEFT(INDEX(ERP資料!$S:$S, (MATCH(720, 輔助計算!$G$2:$G$801, 0)+1)), 4), 紙管對照表!$A:$C, 3, FALSE), ""), ""), "")</f>
        <v/>
      </c>
      <c r="D721" s="16" t="n"/>
      <c r="E721" s="10">
        <f>IFERROR(IF(INDEX(ERP資料!$H:$H, (MATCH(720, 輔助計算!$G$2:$G$801, 0)+1))="","",INDEX(ERP資料!$H:$H, (MATCH(720, 輔助計算!$G$2:$G$801, 0)+1))), "")</f>
        <v/>
      </c>
      <c r="F721" s="10">
        <f>IFERROR(IF(INDEX(ERP資料!$E:$E, (MATCH(720, 輔助計算!$G$2:$G$801, 0)+1))="","",TRIM(INDEX(ERP資料!$E:$E, (MATCH(720, 輔助計算!$G$2:$G$801, 0)+1)))), "")</f>
        <v/>
      </c>
      <c r="G721" s="10">
        <f>IFERROR(IF(INDEX(ERP資料!$F:$F, (MATCH(720, 輔助計算!$G$2:$G$801, 0)+1))="","",INDEX(ERP資料!$F:$F, (MATCH(720, 輔助計算!$G$2:$G$801, 0)+1))), "")</f>
        <v/>
      </c>
      <c r="H721" s="10">
        <f>IFERROR(IF(INDEX(ERP資料!$G:$G, (MATCH(720, 輔助計算!$G$2:$G$801, 0)+1))="","",INDEX(ERP資料!$G:$G, (MATCH(720, 輔助計算!$G$2:$G$801, 0)+1))), "")</f>
        <v/>
      </c>
      <c r="I721" s="15">
        <f>IFERROR(INDEX(輔助計算!$D:$D, (MATCH(720, 輔助計算!$G$2:$G$801, 0)+1)), "")</f>
        <v/>
      </c>
      <c r="J721" s="15">
        <f>IFERROR(IF(AND(INDEX(輔助計算!$D:$D, (MATCH(720, 輔助計算!$G$2:$G$801, 0)+1))&lt;&gt;"", INDEX(ERP資料!$G:$G, (MATCH(720, 輔助計算!$G$2:$G$801, 0)+1))&lt;&gt;""), TRIM(IF(INT(INDEX(輔助計算!$D:$D, (MATCH(720, 輔助計算!$G$2:$G$801, 0)+1))/IF(INDEX(ERP資料!$G:$G, (MATCH(720, 輔助計算!$G$2:$G$801, 0)+1))&lt;100, IF(INDEX(ERP資料!$G:$G, (MATCH(720, 輔助計算!$G$2:$G$801, 0)+1))&lt;=31,3,IF(INDEX(ERP資料!$G:$G, (MATCH(720, 輔助計算!$G$2:$G$801, 0)+1))&lt;=46.5,2,1)), IF(INDEX(ERP資料!$G:$G, (MATCH(720, 輔助計算!$G$2:$G$801, 0)+1))&lt;=790,3,IF(INDEX(ERP資料!$G:$G, (MATCH(720, 輔助計算!$G$2:$G$801, 0)+1))&lt;=1181,2,1))))&gt;0, IF(IF(INDEX(ERP資料!$G:$G, (MATCH(720, 輔助計算!$G$2:$G$801, 0)+1))&lt;100, IF(INDEX(ERP資料!$G:$G, (MATCH(720, 輔助計算!$G$2:$G$801, 0)+1))&lt;=31,3,IF(INDEX(ERP資料!$G:$G, (MATCH(720, 輔助計算!$G$2:$G$801, 0)+1))&lt;=46.5,2,1)), IF(INDEX(ERP資料!$G:$G, (MATCH(720, 輔助計算!$G$2:$G$801, 0)+1))&lt;=790,3,IF(INDEX(ERP資料!$G:$G, (MATCH(720, 輔助計算!$G$2:$G$801, 0)+1))&lt;=1181,2,1)))=1,TEXT(INDEX(ERP資料!$G:$G, (MATCH(720, 輔助計算!$G$2:$G$801, 0)+1)),"0.##"),IF(IF(INDEX(ERP資料!$G:$G, (MATCH(720, 輔助計算!$G$2:$G$801, 0)+1))&lt;100, IF(INDEX(ERP資料!$G:$G, (MATCH(720, 輔助計算!$G$2:$G$801, 0)+1))&lt;=31,3,IF(INDEX(ERP資料!$G:$G, (MATCH(720, 輔助計算!$G$2:$G$801, 0)+1))&lt;=46.5,2,1)), IF(INDEX(ERP資料!$G:$G, (MATCH(720, 輔助計算!$G$2:$G$801, 0)+1))&lt;=790,3,IF(INDEX(ERP資料!$G:$G, (MATCH(720, 輔助計算!$G$2:$G$801, 0)+1))&lt;=1181,2,1)))=2,TEXT(INDEX(ERP資料!$G:$G, (MATCH(720, 輔助計算!$G$2:$G$801, 0)+1)),"0.##")&amp;"+"&amp;TEXT(INDEX(ERP資料!$G:$G, (MATCH(720, 輔助計算!$G$2:$G$801, 0)+1)),"0.##"),TEXT(INDEX(ERP資料!$G:$G, (MATCH(720, 輔助計算!$G$2:$G$801, 0)+1)),"0.##")&amp;"+"&amp;TEXT(INDEX(ERP資料!$G:$G, (MATCH(720, 輔助計算!$G$2:$G$801, 0)+1)),"0.##")&amp;"+"&amp;TEXT(INDEX(ERP資料!$G:$G, (MATCH(720, 輔助計算!$G$2:$G$801, 0)+1)),"0.##")))&amp;"-"&amp;INT(INDEX(輔助計算!$D:$D, (MATCH(720, 輔助計算!$G$2:$G$801, 0)+1))/IF(INDEX(ERP資料!$G:$G, (MATCH(720, 輔助計算!$G$2:$G$801, 0)+1))&lt;100, IF(INDEX(ERP資料!$G:$G, (MATCH(720, 輔助計算!$G$2:$G$801, 0)+1))&lt;=31,3,IF(INDEX(ERP資料!$G:$G, (MATCH(720, 輔助計算!$G$2:$G$801, 0)+1))&lt;=46.5,2,1)), IF(INDEX(ERP資料!$G:$G, (MATCH(720, 輔助計算!$G$2:$G$801, 0)+1))&lt;=790,3,IF(INDEX(ERP資料!$G:$G, (MATCH(720, 輔助計算!$G$2:$G$801, 0)+1))&lt;=1181,2,1)))), "")&amp;IF(AND(IF(INT(INDEX(輔助計算!$D:$D, (MATCH(720, 輔助計算!$G$2:$G$801, 0)+1))/IF(INDEX(ERP資料!$G:$G, (MATCH(720, 輔助計算!$G$2:$G$801, 0)+1))&lt;100, IF(INDEX(ERP資料!$G:$G, (MATCH(720, 輔助計算!$G$2:$G$801, 0)+1))&lt;=31,3,IF(INDEX(ERP資料!$G:$G, (MATCH(720, 輔助計算!$G$2:$G$801, 0)+1))&lt;=46.5,2,1)), IF(INDEX(ERP資料!$G:$G, (MATCH(720, 輔助計算!$G$2:$G$801, 0)+1))&lt;=790,3,IF(INDEX(ERP資料!$G:$G, (MATCH(720, 輔助計算!$G$2:$G$801, 0)+1))&lt;=1181,2,1))))&gt;0, IF(IF(INDEX(ERP資料!$G:$G, (MATCH(720, 輔助計算!$G$2:$G$801, 0)+1))&lt;100, IF(INDEX(ERP資料!$G:$G, (MATCH(720, 輔助計算!$G$2:$G$801, 0)+1))&lt;=31,3,IF(INDEX(ERP資料!$G:$G, (MATCH(720, 輔助計算!$G$2:$G$801, 0)+1))&lt;=46.5,2,1)), IF(INDEX(ERP資料!$G:$G, (MATCH(720, 輔助計算!$G$2:$G$801, 0)+1))&lt;=790,3,IF(INDEX(ERP資料!$G:$G, (MATCH(720, 輔助計算!$G$2:$G$801, 0)+1))&lt;=1181,2,1)))=1,TEXT(INDEX(ERP資料!$G:$G, (MATCH(720, 輔助計算!$G$2:$G$801, 0)+1)),"0.##"),IF(IF(INDEX(ERP資料!$G:$G, (MATCH(720, 輔助計算!$G$2:$G$801, 0)+1))&lt;100, IF(INDEX(ERP資料!$G:$G, (MATCH(720, 輔助計算!$G$2:$G$801, 0)+1))&lt;=31,3,IF(INDEX(ERP資料!$G:$G, (MATCH(720, 輔助計算!$G$2:$G$801, 0)+1))&lt;=46.5,2,1)), IF(INDEX(ERP資料!$G:$G, (MATCH(720, 輔助計算!$G$2:$G$801, 0)+1))&lt;=790,3,IF(INDEX(ERP資料!$G:$G, (MATCH(720, 輔助計算!$G$2:$G$801, 0)+1))&lt;=1181,2,1)))=2,TEXT(INDEX(ERP資料!$G:$G, (MATCH(720, 輔助計算!$G$2:$G$801, 0)+1)),"0.##")&amp;"+"&amp;TEXT(INDEX(ERP資料!$G:$G, (MATCH(720, 輔助計算!$G$2:$G$801, 0)+1)),"0.##"),TEXT(INDEX(ERP資料!$G:$G, (MATCH(720, 輔助計算!$G$2:$G$801, 0)+1)),"0.##")&amp;"+"&amp;TEXT(INDEX(ERP資料!$G:$G, (MATCH(720, 輔助計算!$G$2:$G$801, 0)+1)),"0.##")&amp;"+"&amp;TEXT(INDEX(ERP資料!$G:$G, (MATCH(720, 輔助計算!$G$2:$G$801, 0)+1)),"0.##")))&amp;"-"&amp;INT(INDEX(輔助計算!$D:$D, (MATCH(720, 輔助計算!$G$2:$G$801, 0)+1))/IF(INDEX(ERP資料!$G:$G, (MATCH(720, 輔助計算!$G$2:$G$801, 0)+1))&lt;100, IF(INDEX(ERP資料!$G:$G, (MATCH(720, 輔助計算!$G$2:$G$801, 0)+1))&lt;=31,3,IF(INDEX(ERP資料!$G:$G, (MATCH(720, 輔助計算!$G$2:$G$801, 0)+1))&lt;=46.5,2,1)), IF(INDEX(ERP資料!$G:$G, (MATCH(720, 輔助計算!$G$2:$G$801, 0)+1))&lt;=790,3,IF(INDEX(ERP資料!$G:$G, (MATCH(720, 輔助計算!$G$2:$G$801, 0)+1))&lt;=1181,2,1)))), "")&lt;&gt;"",IF(MOD(INDEX(輔助計算!$D:$D, (MATCH(720, 輔助計算!$G$2:$G$801, 0)+1)),IF(INDEX(ERP資料!$G:$G, (MATCH(720, 輔助計算!$G$2:$G$801, 0)+1))&lt;100, IF(INDEX(ERP資料!$G:$G, (MATCH(720, 輔助計算!$G$2:$G$801, 0)+1))&lt;=31,3,IF(INDEX(ERP資料!$G:$G, (MATCH(720, 輔助計算!$G$2:$G$801, 0)+1))&lt;=46.5,2,1)), IF(INDEX(ERP資料!$G:$G, (MATCH(720, 輔助計算!$G$2:$G$801, 0)+1))&lt;=790,3,IF(INDEX(ERP資料!$G:$G, (MATCH(720, 輔助計算!$G$2:$G$801, 0)+1))&lt;=1181,2,1))))=0,"",IF(MOD(INDEX(輔助計算!$D:$D, (MATCH(720, 輔助計算!$G$2:$G$801, 0)+1)),IF(INDEX(ERP資料!$G:$G, (MATCH(720, 輔助計算!$G$2:$G$801, 0)+1))&lt;100, IF(INDEX(ERP資料!$G:$G, (MATCH(720, 輔助計算!$G$2:$G$801, 0)+1))&lt;=31,3,IF(INDEX(ERP資料!$G:$G, (MATCH(720, 輔助計算!$G$2:$G$801, 0)+1))&lt;=46.5,2,1)), IF(INDEX(ERP資料!$G:$G, (MATCH(720, 輔助計算!$G$2:$G$801, 0)+1))&lt;=790,3,IF(INDEX(ERP資料!$G:$G, (MATCH(720, 輔助計算!$G$2:$G$801, 0)+1))&lt;=1181,2,1))))=0,"",IF(MOD(INDEX(輔助計算!$D:$D, (MATCH(720, 輔助計算!$G$2:$G$801, 0)+1)),IF(INDEX(ERP資料!$G:$G, (MATCH(720, 輔助計算!$G$2:$G$801, 0)+1))&lt;100, IF(INDEX(ERP資料!$G:$G, (MATCH(720, 輔助計算!$G$2:$G$801, 0)+1))&lt;=31,3,IF(INDEX(ERP資料!$G:$G, (MATCH(720, 輔助計算!$G$2:$G$801, 0)+1))&lt;=46.5,2,1)), IF(INDEX(ERP資料!$G:$G, (MATCH(720, 輔助計算!$G$2:$G$801, 0)+1))&lt;=790,3,IF(INDEX(ERP資料!$G:$G, (MATCH(720, 輔助計算!$G$2:$G$801, 0)+1))&lt;=1181,2,1))))=1,TEXT(INDEX(ERP資料!$G:$G, (MATCH(720, 輔助計算!$G$2:$G$801, 0)+1)),"0.##"),IF(MOD(INDEX(輔助計算!$D:$D, (MATCH(720, 輔助計算!$G$2:$G$801, 0)+1)),IF(INDEX(ERP資料!$G:$G, (MATCH(720, 輔助計算!$G$2:$G$801, 0)+1))&lt;100, IF(INDEX(ERP資料!$G:$G, (MATCH(720, 輔助計算!$G$2:$G$801, 0)+1))&lt;=31,3,IF(INDEX(ERP資料!$G:$G, (MATCH(720, 輔助計算!$G$2:$G$801, 0)+1))&lt;=46.5,2,1)), IF(INDEX(ERP資料!$G:$G, (MATCH(720, 輔助計算!$G$2:$G$801, 0)+1))&lt;=790,3,IF(INDEX(ERP資料!$G:$G, (MATCH(720, 輔助計算!$G$2:$G$801, 0)+1))&lt;=1181,2,1))))=2,TEXT(INDEX(ERP資料!$G:$G, (MATCH(720, 輔助計算!$G$2:$G$801, 0)+1)),"0.##")&amp;"+"&amp;TEXT(INDEX(ERP資料!$G:$G, (MATCH(720, 輔助計算!$G$2:$G$801, 0)+1)),"0.##"),TEXT(INDEX(ERP資料!$G:$G, (MATCH(720, 輔助計算!$G$2:$G$801, 0)+1)),"0.##")&amp;"+"&amp;TEXT(INDEX(ERP資料!$G:$G, (MATCH(720, 輔助計算!$G$2:$G$801, 0)+1)),"0.##")&amp;"+"&amp;TEXT(INDEX(ERP資料!$G:$G, (MATCH(720, 輔助計算!$G$2:$G$801, 0)+1)),"0.##"))))&amp;"-1")&lt;&gt;""),"  ","")&amp;IF(MOD(INDEX(輔助計算!$D:$D, (MATCH(720, 輔助計算!$G$2:$G$801, 0)+1)),IF(INDEX(ERP資料!$G:$G, (MATCH(720, 輔助計算!$G$2:$G$801, 0)+1))&lt;100, IF(INDEX(ERP資料!$G:$G, (MATCH(720, 輔助計算!$G$2:$G$801, 0)+1))&lt;=31,3,IF(INDEX(ERP資料!$G:$G, (MATCH(720, 輔助計算!$G$2:$G$801, 0)+1))&lt;=46.5,2,1)), IF(INDEX(ERP資料!$G:$G, (MATCH(720, 輔助計算!$G$2:$G$801, 0)+1))&lt;=790,3,IF(INDEX(ERP資料!$G:$G, (MATCH(720, 輔助計算!$G$2:$G$801, 0)+1))&lt;=1181,2,1))))=0,"",IF(MOD(INDEX(輔助計算!$D:$D, (MATCH(720, 輔助計算!$G$2:$G$801, 0)+1)),IF(INDEX(ERP資料!$G:$G, (MATCH(720, 輔助計算!$G$2:$G$801, 0)+1))&lt;100, IF(INDEX(ERP資料!$G:$G, (MATCH(720, 輔助計算!$G$2:$G$801, 0)+1))&lt;=31,3,IF(INDEX(ERP資料!$G:$G, (MATCH(720, 輔助計算!$G$2:$G$801, 0)+1))&lt;=46.5,2,1)), IF(INDEX(ERP資料!$G:$G, (MATCH(720, 輔助計算!$G$2:$G$801, 0)+1))&lt;=790,3,IF(INDEX(ERP資料!$G:$G, (MATCH(720, 輔助計算!$G$2:$G$801, 0)+1))&lt;=1181,2,1))))=0,"",IF(MOD(INDEX(輔助計算!$D:$D, (MATCH(720, 輔助計算!$G$2:$G$801, 0)+1)),IF(INDEX(ERP資料!$G:$G, (MATCH(720, 輔助計算!$G$2:$G$801, 0)+1))&lt;100, IF(INDEX(ERP資料!$G:$G, (MATCH(720, 輔助計算!$G$2:$G$801, 0)+1))&lt;=31,3,IF(INDEX(ERP資料!$G:$G, (MATCH(720, 輔助計算!$G$2:$G$801, 0)+1))&lt;=46.5,2,1)), IF(INDEX(ERP資料!$G:$G, (MATCH(720, 輔助計算!$G$2:$G$801, 0)+1))&lt;=790,3,IF(INDEX(ERP資料!$G:$G, (MATCH(720, 輔助計算!$G$2:$G$801, 0)+1))&lt;=1181,2,1))))=1,TEXT(INDEX(ERP資料!$G:$G, (MATCH(720, 輔助計算!$G$2:$G$801, 0)+1)),"0.##"),IF(MOD(INDEX(輔助計算!$D:$D, (MATCH(720, 輔助計算!$G$2:$G$801, 0)+1)),IF(INDEX(ERP資料!$G:$G, (MATCH(720, 輔助計算!$G$2:$G$801, 0)+1))&lt;100, IF(INDEX(ERP資料!$G:$G, (MATCH(720, 輔助計算!$G$2:$G$801, 0)+1))&lt;=31,3,IF(INDEX(ERP資料!$G:$G, (MATCH(720, 輔助計算!$G$2:$G$801, 0)+1))&lt;=46.5,2,1)), IF(INDEX(ERP資料!$G:$G, (MATCH(720, 輔助計算!$G$2:$G$801, 0)+1))&lt;=790,3,IF(INDEX(ERP資料!$G:$G, (MATCH(720, 輔助計算!$G$2:$G$801, 0)+1))&lt;=1181,2,1))))=2,TEXT(INDEX(ERP資料!$G:$G, (MATCH(720, 輔助計算!$G$2:$G$801, 0)+1)),"0.##")&amp;"+"&amp;TEXT(INDEX(ERP資料!$G:$G, (MATCH(720, 輔助計算!$G$2:$G$801, 0)+1)),"0.##"),TEXT(INDEX(ERP資料!$G:$G, (MATCH(720, 輔助計算!$G$2:$G$801, 0)+1)),"0.##")&amp;"+"&amp;TEXT(INDEX(ERP資料!$G:$G, (MATCH(720, 輔助計算!$G$2:$G$801, 0)+1)),"0.##")&amp;"+"&amp;TEXT(INDEX(ERP資料!$G:$G, (MATCH(720, 輔助計算!$G$2:$G$801, 0)+1)),"0.##"))))&amp;"-1")), ""), "")</f>
        <v/>
      </c>
      <c r="K721" s="16" t="n"/>
      <c r="L721" s="14">
        <f>IFERROR(IF(AND(IFERROR(INDEX(ERP資料!$A:$A, (MATCH(720, 輔助計算!$G$2:$G$801, 0)+1)), "")&lt;&gt;"", IFERROR(INDEX(ERP資料!$A:$A, (MATCH(720, 輔助計算!$G$2:$G$801, 0)+1)), "")&lt;&gt;IFERROR(INDEX(ERP資料!$A:$A, MATCH(719, 輔助計算!$G$2:$G$801, 0)+1), "")), INDEX(ERP資料!$B:$B, (MATCH(720, 輔助計算!$G$2:$G$801, 0)+1)), ""), "")</f>
        <v/>
      </c>
      <c r="M721" s="17" t="n"/>
    </row>
    <row r="722">
      <c r="A722" s="10">
        <f>IFERROR(IF(AND(IFERROR(INDEX(ERP資料!$A:$A, (MATCH(721, 輔助計算!$G$2:$G$801, 0)+1)), "")&lt;&gt;"", IFERROR(INDEX(ERP資料!$A:$A, (MATCH(721, 輔助計算!$G$2:$G$801, 0)+1)), "")&lt;&gt;IFERROR(INDEX(ERP資料!$A:$A, MATCH(720, 輔助計算!$G$2:$G$801, 0)+1), "")), IFERROR(INDEX(ERP資料!$A:$A, (MATCH(721, 輔助計算!$G$2:$G$801, 0)+1)), ""), ""), "")</f>
        <v/>
      </c>
      <c r="B722" s="10">
        <f>IFERROR(IF(AND(IFERROR(INDEX(ERP資料!$A:$A, (MATCH(721, 輔助計算!$G$2:$G$801, 0)+1)), "")&lt;&gt;"", IFERROR(INDEX(ERP資料!$A:$A, (MATCH(721, 輔助計算!$G$2:$G$801, 0)+1)), "")&lt;&gt;IFERROR(INDEX(ERP資料!$A:$A, MATCH(720, 輔助計算!$G$2:$G$801, 0)+1), "")), INDEX(ERP資料!$S:$S, (MATCH(721, 輔助計算!$G$2:$G$801, 0)+1)), ""), "")</f>
        <v/>
      </c>
      <c r="C722" s="19">
        <f>IFERROR(IF(AND(IFERROR(INDEX(ERP資料!$A:$A, (MATCH(721, 輔助計算!$G$2:$G$801, 0)+1)), "")&lt;&gt;"", IFERROR(INDEX(ERP資料!$A:$A, (MATCH(721, 輔助計算!$G$2:$G$801, 0)+1)), "")&lt;&gt;IFERROR(INDEX(ERP資料!$A:$A, MATCH(720, 輔助計算!$G$2:$G$801, 0)+1), "")), IFERROR(VLOOKUP(LEFT(INDEX(ERP資料!$S:$S, (MATCH(721, 輔助計算!$G$2:$G$801, 0)+1)), 4), 紙管對照表!$A:$C, 3, FALSE), ""), ""), "")</f>
        <v/>
      </c>
      <c r="D722" s="16" t="n"/>
      <c r="E722" s="10">
        <f>IFERROR(IF(INDEX(ERP資料!$H:$H, (MATCH(721, 輔助計算!$G$2:$G$801, 0)+1))="","",INDEX(ERP資料!$H:$H, (MATCH(721, 輔助計算!$G$2:$G$801, 0)+1))), "")</f>
        <v/>
      </c>
      <c r="F722" s="10">
        <f>IFERROR(IF(INDEX(ERP資料!$E:$E, (MATCH(721, 輔助計算!$G$2:$G$801, 0)+1))="","",TRIM(INDEX(ERP資料!$E:$E, (MATCH(721, 輔助計算!$G$2:$G$801, 0)+1)))), "")</f>
        <v/>
      </c>
      <c r="G722" s="10">
        <f>IFERROR(IF(INDEX(ERP資料!$F:$F, (MATCH(721, 輔助計算!$G$2:$G$801, 0)+1))="","",INDEX(ERP資料!$F:$F, (MATCH(721, 輔助計算!$G$2:$G$801, 0)+1))), "")</f>
        <v/>
      </c>
      <c r="H722" s="10">
        <f>IFERROR(IF(INDEX(ERP資料!$G:$G, (MATCH(721, 輔助計算!$G$2:$G$801, 0)+1))="","",INDEX(ERP資料!$G:$G, (MATCH(721, 輔助計算!$G$2:$G$801, 0)+1))), "")</f>
        <v/>
      </c>
      <c r="I722" s="15">
        <f>IFERROR(INDEX(輔助計算!$D:$D, (MATCH(721, 輔助計算!$G$2:$G$801, 0)+1)), "")</f>
        <v/>
      </c>
      <c r="J722" s="15">
        <f>IFERROR(IF(AND(INDEX(輔助計算!$D:$D, (MATCH(721, 輔助計算!$G$2:$G$801, 0)+1))&lt;&gt;"", INDEX(ERP資料!$G:$G, (MATCH(721, 輔助計算!$G$2:$G$801, 0)+1))&lt;&gt;""), TRIM(IF(INT(INDEX(輔助計算!$D:$D, (MATCH(721, 輔助計算!$G$2:$G$801, 0)+1))/IF(INDEX(ERP資料!$G:$G, (MATCH(721, 輔助計算!$G$2:$G$801, 0)+1))&lt;100, IF(INDEX(ERP資料!$G:$G, (MATCH(721, 輔助計算!$G$2:$G$801, 0)+1))&lt;=31,3,IF(INDEX(ERP資料!$G:$G, (MATCH(721, 輔助計算!$G$2:$G$801, 0)+1))&lt;=46.5,2,1)), IF(INDEX(ERP資料!$G:$G, (MATCH(721, 輔助計算!$G$2:$G$801, 0)+1))&lt;=790,3,IF(INDEX(ERP資料!$G:$G, (MATCH(721, 輔助計算!$G$2:$G$801, 0)+1))&lt;=1181,2,1))))&gt;0, IF(IF(INDEX(ERP資料!$G:$G, (MATCH(721, 輔助計算!$G$2:$G$801, 0)+1))&lt;100, IF(INDEX(ERP資料!$G:$G, (MATCH(721, 輔助計算!$G$2:$G$801, 0)+1))&lt;=31,3,IF(INDEX(ERP資料!$G:$G, (MATCH(721, 輔助計算!$G$2:$G$801, 0)+1))&lt;=46.5,2,1)), IF(INDEX(ERP資料!$G:$G, (MATCH(721, 輔助計算!$G$2:$G$801, 0)+1))&lt;=790,3,IF(INDEX(ERP資料!$G:$G, (MATCH(721, 輔助計算!$G$2:$G$801, 0)+1))&lt;=1181,2,1)))=1,TEXT(INDEX(ERP資料!$G:$G, (MATCH(721, 輔助計算!$G$2:$G$801, 0)+1)),"0.##"),IF(IF(INDEX(ERP資料!$G:$G, (MATCH(721, 輔助計算!$G$2:$G$801, 0)+1))&lt;100, IF(INDEX(ERP資料!$G:$G, (MATCH(721, 輔助計算!$G$2:$G$801, 0)+1))&lt;=31,3,IF(INDEX(ERP資料!$G:$G, (MATCH(721, 輔助計算!$G$2:$G$801, 0)+1))&lt;=46.5,2,1)), IF(INDEX(ERP資料!$G:$G, (MATCH(721, 輔助計算!$G$2:$G$801, 0)+1))&lt;=790,3,IF(INDEX(ERP資料!$G:$G, (MATCH(721, 輔助計算!$G$2:$G$801, 0)+1))&lt;=1181,2,1)))=2,TEXT(INDEX(ERP資料!$G:$G, (MATCH(721, 輔助計算!$G$2:$G$801, 0)+1)),"0.##")&amp;"+"&amp;TEXT(INDEX(ERP資料!$G:$G, (MATCH(721, 輔助計算!$G$2:$G$801, 0)+1)),"0.##"),TEXT(INDEX(ERP資料!$G:$G, (MATCH(721, 輔助計算!$G$2:$G$801, 0)+1)),"0.##")&amp;"+"&amp;TEXT(INDEX(ERP資料!$G:$G, (MATCH(721, 輔助計算!$G$2:$G$801, 0)+1)),"0.##")&amp;"+"&amp;TEXT(INDEX(ERP資料!$G:$G, (MATCH(721, 輔助計算!$G$2:$G$801, 0)+1)),"0.##")))&amp;"-"&amp;INT(INDEX(輔助計算!$D:$D, (MATCH(721, 輔助計算!$G$2:$G$801, 0)+1))/IF(INDEX(ERP資料!$G:$G, (MATCH(721, 輔助計算!$G$2:$G$801, 0)+1))&lt;100, IF(INDEX(ERP資料!$G:$G, (MATCH(721, 輔助計算!$G$2:$G$801, 0)+1))&lt;=31,3,IF(INDEX(ERP資料!$G:$G, (MATCH(721, 輔助計算!$G$2:$G$801, 0)+1))&lt;=46.5,2,1)), IF(INDEX(ERP資料!$G:$G, (MATCH(721, 輔助計算!$G$2:$G$801, 0)+1))&lt;=790,3,IF(INDEX(ERP資料!$G:$G, (MATCH(721, 輔助計算!$G$2:$G$801, 0)+1))&lt;=1181,2,1)))), "")&amp;IF(AND(IF(INT(INDEX(輔助計算!$D:$D, (MATCH(721, 輔助計算!$G$2:$G$801, 0)+1))/IF(INDEX(ERP資料!$G:$G, (MATCH(721, 輔助計算!$G$2:$G$801, 0)+1))&lt;100, IF(INDEX(ERP資料!$G:$G, (MATCH(721, 輔助計算!$G$2:$G$801, 0)+1))&lt;=31,3,IF(INDEX(ERP資料!$G:$G, (MATCH(721, 輔助計算!$G$2:$G$801, 0)+1))&lt;=46.5,2,1)), IF(INDEX(ERP資料!$G:$G, (MATCH(721, 輔助計算!$G$2:$G$801, 0)+1))&lt;=790,3,IF(INDEX(ERP資料!$G:$G, (MATCH(721, 輔助計算!$G$2:$G$801, 0)+1))&lt;=1181,2,1))))&gt;0, IF(IF(INDEX(ERP資料!$G:$G, (MATCH(721, 輔助計算!$G$2:$G$801, 0)+1))&lt;100, IF(INDEX(ERP資料!$G:$G, (MATCH(721, 輔助計算!$G$2:$G$801, 0)+1))&lt;=31,3,IF(INDEX(ERP資料!$G:$G, (MATCH(721, 輔助計算!$G$2:$G$801, 0)+1))&lt;=46.5,2,1)), IF(INDEX(ERP資料!$G:$G, (MATCH(721, 輔助計算!$G$2:$G$801, 0)+1))&lt;=790,3,IF(INDEX(ERP資料!$G:$G, (MATCH(721, 輔助計算!$G$2:$G$801, 0)+1))&lt;=1181,2,1)))=1,TEXT(INDEX(ERP資料!$G:$G, (MATCH(721, 輔助計算!$G$2:$G$801, 0)+1)),"0.##"),IF(IF(INDEX(ERP資料!$G:$G, (MATCH(721, 輔助計算!$G$2:$G$801, 0)+1))&lt;100, IF(INDEX(ERP資料!$G:$G, (MATCH(721, 輔助計算!$G$2:$G$801, 0)+1))&lt;=31,3,IF(INDEX(ERP資料!$G:$G, (MATCH(721, 輔助計算!$G$2:$G$801, 0)+1))&lt;=46.5,2,1)), IF(INDEX(ERP資料!$G:$G, (MATCH(721, 輔助計算!$G$2:$G$801, 0)+1))&lt;=790,3,IF(INDEX(ERP資料!$G:$G, (MATCH(721, 輔助計算!$G$2:$G$801, 0)+1))&lt;=1181,2,1)))=2,TEXT(INDEX(ERP資料!$G:$G, (MATCH(721, 輔助計算!$G$2:$G$801, 0)+1)),"0.##")&amp;"+"&amp;TEXT(INDEX(ERP資料!$G:$G, (MATCH(721, 輔助計算!$G$2:$G$801, 0)+1)),"0.##"),TEXT(INDEX(ERP資料!$G:$G, (MATCH(721, 輔助計算!$G$2:$G$801, 0)+1)),"0.##")&amp;"+"&amp;TEXT(INDEX(ERP資料!$G:$G, (MATCH(721, 輔助計算!$G$2:$G$801, 0)+1)),"0.##")&amp;"+"&amp;TEXT(INDEX(ERP資料!$G:$G, (MATCH(721, 輔助計算!$G$2:$G$801, 0)+1)),"0.##")))&amp;"-"&amp;INT(INDEX(輔助計算!$D:$D, (MATCH(721, 輔助計算!$G$2:$G$801, 0)+1))/IF(INDEX(ERP資料!$G:$G, (MATCH(721, 輔助計算!$G$2:$G$801, 0)+1))&lt;100, IF(INDEX(ERP資料!$G:$G, (MATCH(721, 輔助計算!$G$2:$G$801, 0)+1))&lt;=31,3,IF(INDEX(ERP資料!$G:$G, (MATCH(721, 輔助計算!$G$2:$G$801, 0)+1))&lt;=46.5,2,1)), IF(INDEX(ERP資料!$G:$G, (MATCH(721, 輔助計算!$G$2:$G$801, 0)+1))&lt;=790,3,IF(INDEX(ERP資料!$G:$G, (MATCH(721, 輔助計算!$G$2:$G$801, 0)+1))&lt;=1181,2,1)))), "")&lt;&gt;"",IF(MOD(INDEX(輔助計算!$D:$D, (MATCH(721, 輔助計算!$G$2:$G$801, 0)+1)),IF(INDEX(ERP資料!$G:$G, (MATCH(721, 輔助計算!$G$2:$G$801, 0)+1))&lt;100, IF(INDEX(ERP資料!$G:$G, (MATCH(721, 輔助計算!$G$2:$G$801, 0)+1))&lt;=31,3,IF(INDEX(ERP資料!$G:$G, (MATCH(721, 輔助計算!$G$2:$G$801, 0)+1))&lt;=46.5,2,1)), IF(INDEX(ERP資料!$G:$G, (MATCH(721, 輔助計算!$G$2:$G$801, 0)+1))&lt;=790,3,IF(INDEX(ERP資料!$G:$G, (MATCH(721, 輔助計算!$G$2:$G$801, 0)+1))&lt;=1181,2,1))))=0,"",IF(MOD(INDEX(輔助計算!$D:$D, (MATCH(721, 輔助計算!$G$2:$G$801, 0)+1)),IF(INDEX(ERP資料!$G:$G, (MATCH(721, 輔助計算!$G$2:$G$801, 0)+1))&lt;100, IF(INDEX(ERP資料!$G:$G, (MATCH(721, 輔助計算!$G$2:$G$801, 0)+1))&lt;=31,3,IF(INDEX(ERP資料!$G:$G, (MATCH(721, 輔助計算!$G$2:$G$801, 0)+1))&lt;=46.5,2,1)), IF(INDEX(ERP資料!$G:$G, (MATCH(721, 輔助計算!$G$2:$G$801, 0)+1))&lt;=790,3,IF(INDEX(ERP資料!$G:$G, (MATCH(721, 輔助計算!$G$2:$G$801, 0)+1))&lt;=1181,2,1))))=0,"",IF(MOD(INDEX(輔助計算!$D:$D, (MATCH(721, 輔助計算!$G$2:$G$801, 0)+1)),IF(INDEX(ERP資料!$G:$G, (MATCH(721, 輔助計算!$G$2:$G$801, 0)+1))&lt;100, IF(INDEX(ERP資料!$G:$G, (MATCH(721, 輔助計算!$G$2:$G$801, 0)+1))&lt;=31,3,IF(INDEX(ERP資料!$G:$G, (MATCH(721, 輔助計算!$G$2:$G$801, 0)+1))&lt;=46.5,2,1)), IF(INDEX(ERP資料!$G:$G, (MATCH(721, 輔助計算!$G$2:$G$801, 0)+1))&lt;=790,3,IF(INDEX(ERP資料!$G:$G, (MATCH(721, 輔助計算!$G$2:$G$801, 0)+1))&lt;=1181,2,1))))=1,TEXT(INDEX(ERP資料!$G:$G, (MATCH(721, 輔助計算!$G$2:$G$801, 0)+1)),"0.##"),IF(MOD(INDEX(輔助計算!$D:$D, (MATCH(721, 輔助計算!$G$2:$G$801, 0)+1)),IF(INDEX(ERP資料!$G:$G, (MATCH(721, 輔助計算!$G$2:$G$801, 0)+1))&lt;100, IF(INDEX(ERP資料!$G:$G, (MATCH(721, 輔助計算!$G$2:$G$801, 0)+1))&lt;=31,3,IF(INDEX(ERP資料!$G:$G, (MATCH(721, 輔助計算!$G$2:$G$801, 0)+1))&lt;=46.5,2,1)), IF(INDEX(ERP資料!$G:$G, (MATCH(721, 輔助計算!$G$2:$G$801, 0)+1))&lt;=790,3,IF(INDEX(ERP資料!$G:$G, (MATCH(721, 輔助計算!$G$2:$G$801, 0)+1))&lt;=1181,2,1))))=2,TEXT(INDEX(ERP資料!$G:$G, (MATCH(721, 輔助計算!$G$2:$G$801, 0)+1)),"0.##")&amp;"+"&amp;TEXT(INDEX(ERP資料!$G:$G, (MATCH(721, 輔助計算!$G$2:$G$801, 0)+1)),"0.##"),TEXT(INDEX(ERP資料!$G:$G, (MATCH(721, 輔助計算!$G$2:$G$801, 0)+1)),"0.##")&amp;"+"&amp;TEXT(INDEX(ERP資料!$G:$G, (MATCH(721, 輔助計算!$G$2:$G$801, 0)+1)),"0.##")&amp;"+"&amp;TEXT(INDEX(ERP資料!$G:$G, (MATCH(721, 輔助計算!$G$2:$G$801, 0)+1)),"0.##"))))&amp;"-1")&lt;&gt;""),"  ","")&amp;IF(MOD(INDEX(輔助計算!$D:$D, (MATCH(721, 輔助計算!$G$2:$G$801, 0)+1)),IF(INDEX(ERP資料!$G:$G, (MATCH(721, 輔助計算!$G$2:$G$801, 0)+1))&lt;100, IF(INDEX(ERP資料!$G:$G, (MATCH(721, 輔助計算!$G$2:$G$801, 0)+1))&lt;=31,3,IF(INDEX(ERP資料!$G:$G, (MATCH(721, 輔助計算!$G$2:$G$801, 0)+1))&lt;=46.5,2,1)), IF(INDEX(ERP資料!$G:$G, (MATCH(721, 輔助計算!$G$2:$G$801, 0)+1))&lt;=790,3,IF(INDEX(ERP資料!$G:$G, (MATCH(721, 輔助計算!$G$2:$G$801, 0)+1))&lt;=1181,2,1))))=0,"",IF(MOD(INDEX(輔助計算!$D:$D, (MATCH(721, 輔助計算!$G$2:$G$801, 0)+1)),IF(INDEX(ERP資料!$G:$G, (MATCH(721, 輔助計算!$G$2:$G$801, 0)+1))&lt;100, IF(INDEX(ERP資料!$G:$G, (MATCH(721, 輔助計算!$G$2:$G$801, 0)+1))&lt;=31,3,IF(INDEX(ERP資料!$G:$G, (MATCH(721, 輔助計算!$G$2:$G$801, 0)+1))&lt;=46.5,2,1)), IF(INDEX(ERP資料!$G:$G, (MATCH(721, 輔助計算!$G$2:$G$801, 0)+1))&lt;=790,3,IF(INDEX(ERP資料!$G:$G, (MATCH(721, 輔助計算!$G$2:$G$801, 0)+1))&lt;=1181,2,1))))=0,"",IF(MOD(INDEX(輔助計算!$D:$D, (MATCH(721, 輔助計算!$G$2:$G$801, 0)+1)),IF(INDEX(ERP資料!$G:$G, (MATCH(721, 輔助計算!$G$2:$G$801, 0)+1))&lt;100, IF(INDEX(ERP資料!$G:$G, (MATCH(721, 輔助計算!$G$2:$G$801, 0)+1))&lt;=31,3,IF(INDEX(ERP資料!$G:$G, (MATCH(721, 輔助計算!$G$2:$G$801, 0)+1))&lt;=46.5,2,1)), IF(INDEX(ERP資料!$G:$G, (MATCH(721, 輔助計算!$G$2:$G$801, 0)+1))&lt;=790,3,IF(INDEX(ERP資料!$G:$G, (MATCH(721, 輔助計算!$G$2:$G$801, 0)+1))&lt;=1181,2,1))))=1,TEXT(INDEX(ERP資料!$G:$G, (MATCH(721, 輔助計算!$G$2:$G$801, 0)+1)),"0.##"),IF(MOD(INDEX(輔助計算!$D:$D, (MATCH(721, 輔助計算!$G$2:$G$801, 0)+1)),IF(INDEX(ERP資料!$G:$G, (MATCH(721, 輔助計算!$G$2:$G$801, 0)+1))&lt;100, IF(INDEX(ERP資料!$G:$G, (MATCH(721, 輔助計算!$G$2:$G$801, 0)+1))&lt;=31,3,IF(INDEX(ERP資料!$G:$G, (MATCH(721, 輔助計算!$G$2:$G$801, 0)+1))&lt;=46.5,2,1)), IF(INDEX(ERP資料!$G:$G, (MATCH(721, 輔助計算!$G$2:$G$801, 0)+1))&lt;=790,3,IF(INDEX(ERP資料!$G:$G, (MATCH(721, 輔助計算!$G$2:$G$801, 0)+1))&lt;=1181,2,1))))=2,TEXT(INDEX(ERP資料!$G:$G, (MATCH(721, 輔助計算!$G$2:$G$801, 0)+1)),"0.##")&amp;"+"&amp;TEXT(INDEX(ERP資料!$G:$G, (MATCH(721, 輔助計算!$G$2:$G$801, 0)+1)),"0.##"),TEXT(INDEX(ERP資料!$G:$G, (MATCH(721, 輔助計算!$G$2:$G$801, 0)+1)),"0.##")&amp;"+"&amp;TEXT(INDEX(ERP資料!$G:$G, (MATCH(721, 輔助計算!$G$2:$G$801, 0)+1)),"0.##")&amp;"+"&amp;TEXT(INDEX(ERP資料!$G:$G, (MATCH(721, 輔助計算!$G$2:$G$801, 0)+1)),"0.##"))))&amp;"-1")), ""), "")</f>
        <v/>
      </c>
      <c r="K722" s="16" t="n"/>
      <c r="L722" s="14">
        <f>IFERROR(IF(AND(IFERROR(INDEX(ERP資料!$A:$A, (MATCH(721, 輔助計算!$G$2:$G$801, 0)+1)), "")&lt;&gt;"", IFERROR(INDEX(ERP資料!$A:$A, (MATCH(721, 輔助計算!$G$2:$G$801, 0)+1)), "")&lt;&gt;IFERROR(INDEX(ERP資料!$A:$A, MATCH(720, 輔助計算!$G$2:$G$801, 0)+1), "")), INDEX(ERP資料!$B:$B, (MATCH(721, 輔助計算!$G$2:$G$801, 0)+1)), ""), "")</f>
        <v/>
      </c>
      <c r="M722" s="17" t="n"/>
    </row>
    <row r="723">
      <c r="A723" s="10">
        <f>IFERROR(IF(AND(IFERROR(INDEX(ERP資料!$A:$A, (MATCH(722, 輔助計算!$G$2:$G$801, 0)+1)), "")&lt;&gt;"", IFERROR(INDEX(ERP資料!$A:$A, (MATCH(722, 輔助計算!$G$2:$G$801, 0)+1)), "")&lt;&gt;IFERROR(INDEX(ERP資料!$A:$A, MATCH(721, 輔助計算!$G$2:$G$801, 0)+1), "")), IFERROR(INDEX(ERP資料!$A:$A, (MATCH(722, 輔助計算!$G$2:$G$801, 0)+1)), ""), ""), "")</f>
        <v/>
      </c>
      <c r="B723" s="10">
        <f>IFERROR(IF(AND(IFERROR(INDEX(ERP資料!$A:$A, (MATCH(722, 輔助計算!$G$2:$G$801, 0)+1)), "")&lt;&gt;"", IFERROR(INDEX(ERP資料!$A:$A, (MATCH(722, 輔助計算!$G$2:$G$801, 0)+1)), "")&lt;&gt;IFERROR(INDEX(ERP資料!$A:$A, MATCH(721, 輔助計算!$G$2:$G$801, 0)+1), "")), INDEX(ERP資料!$S:$S, (MATCH(722, 輔助計算!$G$2:$G$801, 0)+1)), ""), "")</f>
        <v/>
      </c>
      <c r="C723" s="19">
        <f>IFERROR(IF(AND(IFERROR(INDEX(ERP資料!$A:$A, (MATCH(722, 輔助計算!$G$2:$G$801, 0)+1)), "")&lt;&gt;"", IFERROR(INDEX(ERP資料!$A:$A, (MATCH(722, 輔助計算!$G$2:$G$801, 0)+1)), "")&lt;&gt;IFERROR(INDEX(ERP資料!$A:$A, MATCH(721, 輔助計算!$G$2:$G$801, 0)+1), "")), IFERROR(VLOOKUP(LEFT(INDEX(ERP資料!$S:$S, (MATCH(722, 輔助計算!$G$2:$G$801, 0)+1)), 4), 紙管對照表!$A:$C, 3, FALSE), ""), ""), "")</f>
        <v/>
      </c>
      <c r="D723" s="16" t="n"/>
      <c r="E723" s="10">
        <f>IFERROR(IF(INDEX(ERP資料!$H:$H, (MATCH(722, 輔助計算!$G$2:$G$801, 0)+1))="","",INDEX(ERP資料!$H:$H, (MATCH(722, 輔助計算!$G$2:$G$801, 0)+1))), "")</f>
        <v/>
      </c>
      <c r="F723" s="10">
        <f>IFERROR(IF(INDEX(ERP資料!$E:$E, (MATCH(722, 輔助計算!$G$2:$G$801, 0)+1))="","",TRIM(INDEX(ERP資料!$E:$E, (MATCH(722, 輔助計算!$G$2:$G$801, 0)+1)))), "")</f>
        <v/>
      </c>
      <c r="G723" s="10">
        <f>IFERROR(IF(INDEX(ERP資料!$F:$F, (MATCH(722, 輔助計算!$G$2:$G$801, 0)+1))="","",INDEX(ERP資料!$F:$F, (MATCH(722, 輔助計算!$G$2:$G$801, 0)+1))), "")</f>
        <v/>
      </c>
      <c r="H723" s="10">
        <f>IFERROR(IF(INDEX(ERP資料!$G:$G, (MATCH(722, 輔助計算!$G$2:$G$801, 0)+1))="","",INDEX(ERP資料!$G:$G, (MATCH(722, 輔助計算!$G$2:$G$801, 0)+1))), "")</f>
        <v/>
      </c>
      <c r="I723" s="15">
        <f>IFERROR(INDEX(輔助計算!$D:$D, (MATCH(722, 輔助計算!$G$2:$G$801, 0)+1)), "")</f>
        <v/>
      </c>
      <c r="J723" s="15">
        <f>IFERROR(IF(AND(INDEX(輔助計算!$D:$D, (MATCH(722, 輔助計算!$G$2:$G$801, 0)+1))&lt;&gt;"", INDEX(ERP資料!$G:$G, (MATCH(722, 輔助計算!$G$2:$G$801, 0)+1))&lt;&gt;""), TRIM(IF(INT(INDEX(輔助計算!$D:$D, (MATCH(722, 輔助計算!$G$2:$G$801, 0)+1))/IF(INDEX(ERP資料!$G:$G, (MATCH(722, 輔助計算!$G$2:$G$801, 0)+1))&lt;100, IF(INDEX(ERP資料!$G:$G, (MATCH(722, 輔助計算!$G$2:$G$801, 0)+1))&lt;=31,3,IF(INDEX(ERP資料!$G:$G, (MATCH(722, 輔助計算!$G$2:$G$801, 0)+1))&lt;=46.5,2,1)), IF(INDEX(ERP資料!$G:$G, (MATCH(722, 輔助計算!$G$2:$G$801, 0)+1))&lt;=790,3,IF(INDEX(ERP資料!$G:$G, (MATCH(722, 輔助計算!$G$2:$G$801, 0)+1))&lt;=1181,2,1))))&gt;0, IF(IF(INDEX(ERP資料!$G:$G, (MATCH(722, 輔助計算!$G$2:$G$801, 0)+1))&lt;100, IF(INDEX(ERP資料!$G:$G, (MATCH(722, 輔助計算!$G$2:$G$801, 0)+1))&lt;=31,3,IF(INDEX(ERP資料!$G:$G, (MATCH(722, 輔助計算!$G$2:$G$801, 0)+1))&lt;=46.5,2,1)), IF(INDEX(ERP資料!$G:$G, (MATCH(722, 輔助計算!$G$2:$G$801, 0)+1))&lt;=790,3,IF(INDEX(ERP資料!$G:$G, (MATCH(722, 輔助計算!$G$2:$G$801, 0)+1))&lt;=1181,2,1)))=1,TEXT(INDEX(ERP資料!$G:$G, (MATCH(722, 輔助計算!$G$2:$G$801, 0)+1)),"0.##"),IF(IF(INDEX(ERP資料!$G:$G, (MATCH(722, 輔助計算!$G$2:$G$801, 0)+1))&lt;100, IF(INDEX(ERP資料!$G:$G, (MATCH(722, 輔助計算!$G$2:$G$801, 0)+1))&lt;=31,3,IF(INDEX(ERP資料!$G:$G, (MATCH(722, 輔助計算!$G$2:$G$801, 0)+1))&lt;=46.5,2,1)), IF(INDEX(ERP資料!$G:$G, (MATCH(722, 輔助計算!$G$2:$G$801, 0)+1))&lt;=790,3,IF(INDEX(ERP資料!$G:$G, (MATCH(722, 輔助計算!$G$2:$G$801, 0)+1))&lt;=1181,2,1)))=2,TEXT(INDEX(ERP資料!$G:$G, (MATCH(722, 輔助計算!$G$2:$G$801, 0)+1)),"0.##")&amp;"+"&amp;TEXT(INDEX(ERP資料!$G:$G, (MATCH(722, 輔助計算!$G$2:$G$801, 0)+1)),"0.##"),TEXT(INDEX(ERP資料!$G:$G, (MATCH(722, 輔助計算!$G$2:$G$801, 0)+1)),"0.##")&amp;"+"&amp;TEXT(INDEX(ERP資料!$G:$G, (MATCH(722, 輔助計算!$G$2:$G$801, 0)+1)),"0.##")&amp;"+"&amp;TEXT(INDEX(ERP資料!$G:$G, (MATCH(722, 輔助計算!$G$2:$G$801, 0)+1)),"0.##")))&amp;"-"&amp;INT(INDEX(輔助計算!$D:$D, (MATCH(722, 輔助計算!$G$2:$G$801, 0)+1))/IF(INDEX(ERP資料!$G:$G, (MATCH(722, 輔助計算!$G$2:$G$801, 0)+1))&lt;100, IF(INDEX(ERP資料!$G:$G, (MATCH(722, 輔助計算!$G$2:$G$801, 0)+1))&lt;=31,3,IF(INDEX(ERP資料!$G:$G, (MATCH(722, 輔助計算!$G$2:$G$801, 0)+1))&lt;=46.5,2,1)), IF(INDEX(ERP資料!$G:$G, (MATCH(722, 輔助計算!$G$2:$G$801, 0)+1))&lt;=790,3,IF(INDEX(ERP資料!$G:$G, (MATCH(722, 輔助計算!$G$2:$G$801, 0)+1))&lt;=1181,2,1)))), "")&amp;IF(AND(IF(INT(INDEX(輔助計算!$D:$D, (MATCH(722, 輔助計算!$G$2:$G$801, 0)+1))/IF(INDEX(ERP資料!$G:$G, (MATCH(722, 輔助計算!$G$2:$G$801, 0)+1))&lt;100, IF(INDEX(ERP資料!$G:$G, (MATCH(722, 輔助計算!$G$2:$G$801, 0)+1))&lt;=31,3,IF(INDEX(ERP資料!$G:$G, (MATCH(722, 輔助計算!$G$2:$G$801, 0)+1))&lt;=46.5,2,1)), IF(INDEX(ERP資料!$G:$G, (MATCH(722, 輔助計算!$G$2:$G$801, 0)+1))&lt;=790,3,IF(INDEX(ERP資料!$G:$G, (MATCH(722, 輔助計算!$G$2:$G$801, 0)+1))&lt;=1181,2,1))))&gt;0, IF(IF(INDEX(ERP資料!$G:$G, (MATCH(722, 輔助計算!$G$2:$G$801, 0)+1))&lt;100, IF(INDEX(ERP資料!$G:$G, (MATCH(722, 輔助計算!$G$2:$G$801, 0)+1))&lt;=31,3,IF(INDEX(ERP資料!$G:$G, (MATCH(722, 輔助計算!$G$2:$G$801, 0)+1))&lt;=46.5,2,1)), IF(INDEX(ERP資料!$G:$G, (MATCH(722, 輔助計算!$G$2:$G$801, 0)+1))&lt;=790,3,IF(INDEX(ERP資料!$G:$G, (MATCH(722, 輔助計算!$G$2:$G$801, 0)+1))&lt;=1181,2,1)))=1,TEXT(INDEX(ERP資料!$G:$G, (MATCH(722, 輔助計算!$G$2:$G$801, 0)+1)),"0.##"),IF(IF(INDEX(ERP資料!$G:$G, (MATCH(722, 輔助計算!$G$2:$G$801, 0)+1))&lt;100, IF(INDEX(ERP資料!$G:$G, (MATCH(722, 輔助計算!$G$2:$G$801, 0)+1))&lt;=31,3,IF(INDEX(ERP資料!$G:$G, (MATCH(722, 輔助計算!$G$2:$G$801, 0)+1))&lt;=46.5,2,1)), IF(INDEX(ERP資料!$G:$G, (MATCH(722, 輔助計算!$G$2:$G$801, 0)+1))&lt;=790,3,IF(INDEX(ERP資料!$G:$G, (MATCH(722, 輔助計算!$G$2:$G$801, 0)+1))&lt;=1181,2,1)))=2,TEXT(INDEX(ERP資料!$G:$G, (MATCH(722, 輔助計算!$G$2:$G$801, 0)+1)),"0.##")&amp;"+"&amp;TEXT(INDEX(ERP資料!$G:$G, (MATCH(722, 輔助計算!$G$2:$G$801, 0)+1)),"0.##"),TEXT(INDEX(ERP資料!$G:$G, (MATCH(722, 輔助計算!$G$2:$G$801, 0)+1)),"0.##")&amp;"+"&amp;TEXT(INDEX(ERP資料!$G:$G, (MATCH(722, 輔助計算!$G$2:$G$801, 0)+1)),"0.##")&amp;"+"&amp;TEXT(INDEX(ERP資料!$G:$G, (MATCH(722, 輔助計算!$G$2:$G$801, 0)+1)),"0.##")))&amp;"-"&amp;INT(INDEX(輔助計算!$D:$D, (MATCH(722, 輔助計算!$G$2:$G$801, 0)+1))/IF(INDEX(ERP資料!$G:$G, (MATCH(722, 輔助計算!$G$2:$G$801, 0)+1))&lt;100, IF(INDEX(ERP資料!$G:$G, (MATCH(722, 輔助計算!$G$2:$G$801, 0)+1))&lt;=31,3,IF(INDEX(ERP資料!$G:$G, (MATCH(722, 輔助計算!$G$2:$G$801, 0)+1))&lt;=46.5,2,1)), IF(INDEX(ERP資料!$G:$G, (MATCH(722, 輔助計算!$G$2:$G$801, 0)+1))&lt;=790,3,IF(INDEX(ERP資料!$G:$G, (MATCH(722, 輔助計算!$G$2:$G$801, 0)+1))&lt;=1181,2,1)))), "")&lt;&gt;"",IF(MOD(INDEX(輔助計算!$D:$D, (MATCH(722, 輔助計算!$G$2:$G$801, 0)+1)),IF(INDEX(ERP資料!$G:$G, (MATCH(722, 輔助計算!$G$2:$G$801, 0)+1))&lt;100, IF(INDEX(ERP資料!$G:$G, (MATCH(722, 輔助計算!$G$2:$G$801, 0)+1))&lt;=31,3,IF(INDEX(ERP資料!$G:$G, (MATCH(722, 輔助計算!$G$2:$G$801, 0)+1))&lt;=46.5,2,1)), IF(INDEX(ERP資料!$G:$G, (MATCH(722, 輔助計算!$G$2:$G$801, 0)+1))&lt;=790,3,IF(INDEX(ERP資料!$G:$G, (MATCH(722, 輔助計算!$G$2:$G$801, 0)+1))&lt;=1181,2,1))))=0,"",IF(MOD(INDEX(輔助計算!$D:$D, (MATCH(722, 輔助計算!$G$2:$G$801, 0)+1)),IF(INDEX(ERP資料!$G:$G, (MATCH(722, 輔助計算!$G$2:$G$801, 0)+1))&lt;100, IF(INDEX(ERP資料!$G:$G, (MATCH(722, 輔助計算!$G$2:$G$801, 0)+1))&lt;=31,3,IF(INDEX(ERP資料!$G:$G, (MATCH(722, 輔助計算!$G$2:$G$801, 0)+1))&lt;=46.5,2,1)), IF(INDEX(ERP資料!$G:$G, (MATCH(722, 輔助計算!$G$2:$G$801, 0)+1))&lt;=790,3,IF(INDEX(ERP資料!$G:$G, (MATCH(722, 輔助計算!$G$2:$G$801, 0)+1))&lt;=1181,2,1))))=0,"",IF(MOD(INDEX(輔助計算!$D:$D, (MATCH(722, 輔助計算!$G$2:$G$801, 0)+1)),IF(INDEX(ERP資料!$G:$G, (MATCH(722, 輔助計算!$G$2:$G$801, 0)+1))&lt;100, IF(INDEX(ERP資料!$G:$G, (MATCH(722, 輔助計算!$G$2:$G$801, 0)+1))&lt;=31,3,IF(INDEX(ERP資料!$G:$G, (MATCH(722, 輔助計算!$G$2:$G$801, 0)+1))&lt;=46.5,2,1)), IF(INDEX(ERP資料!$G:$G, (MATCH(722, 輔助計算!$G$2:$G$801, 0)+1))&lt;=790,3,IF(INDEX(ERP資料!$G:$G, (MATCH(722, 輔助計算!$G$2:$G$801, 0)+1))&lt;=1181,2,1))))=1,TEXT(INDEX(ERP資料!$G:$G, (MATCH(722, 輔助計算!$G$2:$G$801, 0)+1)),"0.##"),IF(MOD(INDEX(輔助計算!$D:$D, (MATCH(722, 輔助計算!$G$2:$G$801, 0)+1)),IF(INDEX(ERP資料!$G:$G, (MATCH(722, 輔助計算!$G$2:$G$801, 0)+1))&lt;100, IF(INDEX(ERP資料!$G:$G, (MATCH(722, 輔助計算!$G$2:$G$801, 0)+1))&lt;=31,3,IF(INDEX(ERP資料!$G:$G, (MATCH(722, 輔助計算!$G$2:$G$801, 0)+1))&lt;=46.5,2,1)), IF(INDEX(ERP資料!$G:$G, (MATCH(722, 輔助計算!$G$2:$G$801, 0)+1))&lt;=790,3,IF(INDEX(ERP資料!$G:$G, (MATCH(722, 輔助計算!$G$2:$G$801, 0)+1))&lt;=1181,2,1))))=2,TEXT(INDEX(ERP資料!$G:$G, (MATCH(722, 輔助計算!$G$2:$G$801, 0)+1)),"0.##")&amp;"+"&amp;TEXT(INDEX(ERP資料!$G:$G, (MATCH(722, 輔助計算!$G$2:$G$801, 0)+1)),"0.##"),TEXT(INDEX(ERP資料!$G:$G, (MATCH(722, 輔助計算!$G$2:$G$801, 0)+1)),"0.##")&amp;"+"&amp;TEXT(INDEX(ERP資料!$G:$G, (MATCH(722, 輔助計算!$G$2:$G$801, 0)+1)),"0.##")&amp;"+"&amp;TEXT(INDEX(ERP資料!$G:$G, (MATCH(722, 輔助計算!$G$2:$G$801, 0)+1)),"0.##"))))&amp;"-1")&lt;&gt;""),"  ","")&amp;IF(MOD(INDEX(輔助計算!$D:$D, (MATCH(722, 輔助計算!$G$2:$G$801, 0)+1)),IF(INDEX(ERP資料!$G:$G, (MATCH(722, 輔助計算!$G$2:$G$801, 0)+1))&lt;100, IF(INDEX(ERP資料!$G:$G, (MATCH(722, 輔助計算!$G$2:$G$801, 0)+1))&lt;=31,3,IF(INDEX(ERP資料!$G:$G, (MATCH(722, 輔助計算!$G$2:$G$801, 0)+1))&lt;=46.5,2,1)), IF(INDEX(ERP資料!$G:$G, (MATCH(722, 輔助計算!$G$2:$G$801, 0)+1))&lt;=790,3,IF(INDEX(ERP資料!$G:$G, (MATCH(722, 輔助計算!$G$2:$G$801, 0)+1))&lt;=1181,2,1))))=0,"",IF(MOD(INDEX(輔助計算!$D:$D, (MATCH(722, 輔助計算!$G$2:$G$801, 0)+1)),IF(INDEX(ERP資料!$G:$G, (MATCH(722, 輔助計算!$G$2:$G$801, 0)+1))&lt;100, IF(INDEX(ERP資料!$G:$G, (MATCH(722, 輔助計算!$G$2:$G$801, 0)+1))&lt;=31,3,IF(INDEX(ERP資料!$G:$G, (MATCH(722, 輔助計算!$G$2:$G$801, 0)+1))&lt;=46.5,2,1)), IF(INDEX(ERP資料!$G:$G, (MATCH(722, 輔助計算!$G$2:$G$801, 0)+1))&lt;=790,3,IF(INDEX(ERP資料!$G:$G, (MATCH(722, 輔助計算!$G$2:$G$801, 0)+1))&lt;=1181,2,1))))=0,"",IF(MOD(INDEX(輔助計算!$D:$D, (MATCH(722, 輔助計算!$G$2:$G$801, 0)+1)),IF(INDEX(ERP資料!$G:$G, (MATCH(722, 輔助計算!$G$2:$G$801, 0)+1))&lt;100, IF(INDEX(ERP資料!$G:$G, (MATCH(722, 輔助計算!$G$2:$G$801, 0)+1))&lt;=31,3,IF(INDEX(ERP資料!$G:$G, (MATCH(722, 輔助計算!$G$2:$G$801, 0)+1))&lt;=46.5,2,1)), IF(INDEX(ERP資料!$G:$G, (MATCH(722, 輔助計算!$G$2:$G$801, 0)+1))&lt;=790,3,IF(INDEX(ERP資料!$G:$G, (MATCH(722, 輔助計算!$G$2:$G$801, 0)+1))&lt;=1181,2,1))))=1,TEXT(INDEX(ERP資料!$G:$G, (MATCH(722, 輔助計算!$G$2:$G$801, 0)+1)),"0.##"),IF(MOD(INDEX(輔助計算!$D:$D, (MATCH(722, 輔助計算!$G$2:$G$801, 0)+1)),IF(INDEX(ERP資料!$G:$G, (MATCH(722, 輔助計算!$G$2:$G$801, 0)+1))&lt;100, IF(INDEX(ERP資料!$G:$G, (MATCH(722, 輔助計算!$G$2:$G$801, 0)+1))&lt;=31,3,IF(INDEX(ERP資料!$G:$G, (MATCH(722, 輔助計算!$G$2:$G$801, 0)+1))&lt;=46.5,2,1)), IF(INDEX(ERP資料!$G:$G, (MATCH(722, 輔助計算!$G$2:$G$801, 0)+1))&lt;=790,3,IF(INDEX(ERP資料!$G:$G, (MATCH(722, 輔助計算!$G$2:$G$801, 0)+1))&lt;=1181,2,1))))=2,TEXT(INDEX(ERP資料!$G:$G, (MATCH(722, 輔助計算!$G$2:$G$801, 0)+1)),"0.##")&amp;"+"&amp;TEXT(INDEX(ERP資料!$G:$G, (MATCH(722, 輔助計算!$G$2:$G$801, 0)+1)),"0.##"),TEXT(INDEX(ERP資料!$G:$G, (MATCH(722, 輔助計算!$G$2:$G$801, 0)+1)),"0.##")&amp;"+"&amp;TEXT(INDEX(ERP資料!$G:$G, (MATCH(722, 輔助計算!$G$2:$G$801, 0)+1)),"0.##")&amp;"+"&amp;TEXT(INDEX(ERP資料!$G:$G, (MATCH(722, 輔助計算!$G$2:$G$801, 0)+1)),"0.##"))))&amp;"-1")), ""), "")</f>
        <v/>
      </c>
      <c r="K723" s="16" t="n"/>
      <c r="L723" s="14">
        <f>IFERROR(IF(AND(IFERROR(INDEX(ERP資料!$A:$A, (MATCH(722, 輔助計算!$G$2:$G$801, 0)+1)), "")&lt;&gt;"", IFERROR(INDEX(ERP資料!$A:$A, (MATCH(722, 輔助計算!$G$2:$G$801, 0)+1)), "")&lt;&gt;IFERROR(INDEX(ERP資料!$A:$A, MATCH(721, 輔助計算!$G$2:$G$801, 0)+1), "")), INDEX(ERP資料!$B:$B, (MATCH(722, 輔助計算!$G$2:$G$801, 0)+1)), ""), "")</f>
        <v/>
      </c>
      <c r="M723" s="17" t="n"/>
    </row>
    <row r="724">
      <c r="A724" s="10">
        <f>IFERROR(IF(AND(IFERROR(INDEX(ERP資料!$A:$A, (MATCH(723, 輔助計算!$G$2:$G$801, 0)+1)), "")&lt;&gt;"", IFERROR(INDEX(ERP資料!$A:$A, (MATCH(723, 輔助計算!$G$2:$G$801, 0)+1)), "")&lt;&gt;IFERROR(INDEX(ERP資料!$A:$A, MATCH(722, 輔助計算!$G$2:$G$801, 0)+1), "")), IFERROR(INDEX(ERP資料!$A:$A, (MATCH(723, 輔助計算!$G$2:$G$801, 0)+1)), ""), ""), "")</f>
        <v/>
      </c>
      <c r="B724" s="10">
        <f>IFERROR(IF(AND(IFERROR(INDEX(ERP資料!$A:$A, (MATCH(723, 輔助計算!$G$2:$G$801, 0)+1)), "")&lt;&gt;"", IFERROR(INDEX(ERP資料!$A:$A, (MATCH(723, 輔助計算!$G$2:$G$801, 0)+1)), "")&lt;&gt;IFERROR(INDEX(ERP資料!$A:$A, MATCH(722, 輔助計算!$G$2:$G$801, 0)+1), "")), INDEX(ERP資料!$S:$S, (MATCH(723, 輔助計算!$G$2:$G$801, 0)+1)), ""), "")</f>
        <v/>
      </c>
      <c r="C724" s="19">
        <f>IFERROR(IF(AND(IFERROR(INDEX(ERP資料!$A:$A, (MATCH(723, 輔助計算!$G$2:$G$801, 0)+1)), "")&lt;&gt;"", IFERROR(INDEX(ERP資料!$A:$A, (MATCH(723, 輔助計算!$G$2:$G$801, 0)+1)), "")&lt;&gt;IFERROR(INDEX(ERP資料!$A:$A, MATCH(722, 輔助計算!$G$2:$G$801, 0)+1), "")), IFERROR(VLOOKUP(LEFT(INDEX(ERP資料!$S:$S, (MATCH(723, 輔助計算!$G$2:$G$801, 0)+1)), 4), 紙管對照表!$A:$C, 3, FALSE), ""), ""), "")</f>
        <v/>
      </c>
      <c r="D724" s="16" t="n"/>
      <c r="E724" s="10">
        <f>IFERROR(IF(INDEX(ERP資料!$H:$H, (MATCH(723, 輔助計算!$G$2:$G$801, 0)+1))="","",INDEX(ERP資料!$H:$H, (MATCH(723, 輔助計算!$G$2:$G$801, 0)+1))), "")</f>
        <v/>
      </c>
      <c r="F724" s="10">
        <f>IFERROR(IF(INDEX(ERP資料!$E:$E, (MATCH(723, 輔助計算!$G$2:$G$801, 0)+1))="","",TRIM(INDEX(ERP資料!$E:$E, (MATCH(723, 輔助計算!$G$2:$G$801, 0)+1)))), "")</f>
        <v/>
      </c>
      <c r="G724" s="10">
        <f>IFERROR(IF(INDEX(ERP資料!$F:$F, (MATCH(723, 輔助計算!$G$2:$G$801, 0)+1))="","",INDEX(ERP資料!$F:$F, (MATCH(723, 輔助計算!$G$2:$G$801, 0)+1))), "")</f>
        <v/>
      </c>
      <c r="H724" s="10">
        <f>IFERROR(IF(INDEX(ERP資料!$G:$G, (MATCH(723, 輔助計算!$G$2:$G$801, 0)+1))="","",INDEX(ERP資料!$G:$G, (MATCH(723, 輔助計算!$G$2:$G$801, 0)+1))), "")</f>
        <v/>
      </c>
      <c r="I724" s="15">
        <f>IFERROR(INDEX(輔助計算!$D:$D, (MATCH(723, 輔助計算!$G$2:$G$801, 0)+1)), "")</f>
        <v/>
      </c>
      <c r="J724" s="15">
        <f>IFERROR(IF(AND(INDEX(輔助計算!$D:$D, (MATCH(723, 輔助計算!$G$2:$G$801, 0)+1))&lt;&gt;"", INDEX(ERP資料!$G:$G, (MATCH(723, 輔助計算!$G$2:$G$801, 0)+1))&lt;&gt;""), TRIM(IF(INT(INDEX(輔助計算!$D:$D, (MATCH(723, 輔助計算!$G$2:$G$801, 0)+1))/IF(INDEX(ERP資料!$G:$G, (MATCH(723, 輔助計算!$G$2:$G$801, 0)+1))&lt;100, IF(INDEX(ERP資料!$G:$G, (MATCH(723, 輔助計算!$G$2:$G$801, 0)+1))&lt;=31,3,IF(INDEX(ERP資料!$G:$G, (MATCH(723, 輔助計算!$G$2:$G$801, 0)+1))&lt;=46.5,2,1)), IF(INDEX(ERP資料!$G:$G, (MATCH(723, 輔助計算!$G$2:$G$801, 0)+1))&lt;=790,3,IF(INDEX(ERP資料!$G:$G, (MATCH(723, 輔助計算!$G$2:$G$801, 0)+1))&lt;=1181,2,1))))&gt;0, IF(IF(INDEX(ERP資料!$G:$G, (MATCH(723, 輔助計算!$G$2:$G$801, 0)+1))&lt;100, IF(INDEX(ERP資料!$G:$G, (MATCH(723, 輔助計算!$G$2:$G$801, 0)+1))&lt;=31,3,IF(INDEX(ERP資料!$G:$G, (MATCH(723, 輔助計算!$G$2:$G$801, 0)+1))&lt;=46.5,2,1)), IF(INDEX(ERP資料!$G:$G, (MATCH(723, 輔助計算!$G$2:$G$801, 0)+1))&lt;=790,3,IF(INDEX(ERP資料!$G:$G, (MATCH(723, 輔助計算!$G$2:$G$801, 0)+1))&lt;=1181,2,1)))=1,TEXT(INDEX(ERP資料!$G:$G, (MATCH(723, 輔助計算!$G$2:$G$801, 0)+1)),"0.##"),IF(IF(INDEX(ERP資料!$G:$G, (MATCH(723, 輔助計算!$G$2:$G$801, 0)+1))&lt;100, IF(INDEX(ERP資料!$G:$G, (MATCH(723, 輔助計算!$G$2:$G$801, 0)+1))&lt;=31,3,IF(INDEX(ERP資料!$G:$G, (MATCH(723, 輔助計算!$G$2:$G$801, 0)+1))&lt;=46.5,2,1)), IF(INDEX(ERP資料!$G:$G, (MATCH(723, 輔助計算!$G$2:$G$801, 0)+1))&lt;=790,3,IF(INDEX(ERP資料!$G:$G, (MATCH(723, 輔助計算!$G$2:$G$801, 0)+1))&lt;=1181,2,1)))=2,TEXT(INDEX(ERP資料!$G:$G, (MATCH(723, 輔助計算!$G$2:$G$801, 0)+1)),"0.##")&amp;"+"&amp;TEXT(INDEX(ERP資料!$G:$G, (MATCH(723, 輔助計算!$G$2:$G$801, 0)+1)),"0.##"),TEXT(INDEX(ERP資料!$G:$G, (MATCH(723, 輔助計算!$G$2:$G$801, 0)+1)),"0.##")&amp;"+"&amp;TEXT(INDEX(ERP資料!$G:$G, (MATCH(723, 輔助計算!$G$2:$G$801, 0)+1)),"0.##")&amp;"+"&amp;TEXT(INDEX(ERP資料!$G:$G, (MATCH(723, 輔助計算!$G$2:$G$801, 0)+1)),"0.##")))&amp;"-"&amp;INT(INDEX(輔助計算!$D:$D, (MATCH(723, 輔助計算!$G$2:$G$801, 0)+1))/IF(INDEX(ERP資料!$G:$G, (MATCH(723, 輔助計算!$G$2:$G$801, 0)+1))&lt;100, IF(INDEX(ERP資料!$G:$G, (MATCH(723, 輔助計算!$G$2:$G$801, 0)+1))&lt;=31,3,IF(INDEX(ERP資料!$G:$G, (MATCH(723, 輔助計算!$G$2:$G$801, 0)+1))&lt;=46.5,2,1)), IF(INDEX(ERP資料!$G:$G, (MATCH(723, 輔助計算!$G$2:$G$801, 0)+1))&lt;=790,3,IF(INDEX(ERP資料!$G:$G, (MATCH(723, 輔助計算!$G$2:$G$801, 0)+1))&lt;=1181,2,1)))), "")&amp;IF(AND(IF(INT(INDEX(輔助計算!$D:$D, (MATCH(723, 輔助計算!$G$2:$G$801, 0)+1))/IF(INDEX(ERP資料!$G:$G, (MATCH(723, 輔助計算!$G$2:$G$801, 0)+1))&lt;100, IF(INDEX(ERP資料!$G:$G, (MATCH(723, 輔助計算!$G$2:$G$801, 0)+1))&lt;=31,3,IF(INDEX(ERP資料!$G:$G, (MATCH(723, 輔助計算!$G$2:$G$801, 0)+1))&lt;=46.5,2,1)), IF(INDEX(ERP資料!$G:$G, (MATCH(723, 輔助計算!$G$2:$G$801, 0)+1))&lt;=790,3,IF(INDEX(ERP資料!$G:$G, (MATCH(723, 輔助計算!$G$2:$G$801, 0)+1))&lt;=1181,2,1))))&gt;0, IF(IF(INDEX(ERP資料!$G:$G, (MATCH(723, 輔助計算!$G$2:$G$801, 0)+1))&lt;100, IF(INDEX(ERP資料!$G:$G, (MATCH(723, 輔助計算!$G$2:$G$801, 0)+1))&lt;=31,3,IF(INDEX(ERP資料!$G:$G, (MATCH(723, 輔助計算!$G$2:$G$801, 0)+1))&lt;=46.5,2,1)), IF(INDEX(ERP資料!$G:$G, (MATCH(723, 輔助計算!$G$2:$G$801, 0)+1))&lt;=790,3,IF(INDEX(ERP資料!$G:$G, (MATCH(723, 輔助計算!$G$2:$G$801, 0)+1))&lt;=1181,2,1)))=1,TEXT(INDEX(ERP資料!$G:$G, (MATCH(723, 輔助計算!$G$2:$G$801, 0)+1)),"0.##"),IF(IF(INDEX(ERP資料!$G:$G, (MATCH(723, 輔助計算!$G$2:$G$801, 0)+1))&lt;100, IF(INDEX(ERP資料!$G:$G, (MATCH(723, 輔助計算!$G$2:$G$801, 0)+1))&lt;=31,3,IF(INDEX(ERP資料!$G:$G, (MATCH(723, 輔助計算!$G$2:$G$801, 0)+1))&lt;=46.5,2,1)), IF(INDEX(ERP資料!$G:$G, (MATCH(723, 輔助計算!$G$2:$G$801, 0)+1))&lt;=790,3,IF(INDEX(ERP資料!$G:$G, (MATCH(723, 輔助計算!$G$2:$G$801, 0)+1))&lt;=1181,2,1)))=2,TEXT(INDEX(ERP資料!$G:$G, (MATCH(723, 輔助計算!$G$2:$G$801, 0)+1)),"0.##")&amp;"+"&amp;TEXT(INDEX(ERP資料!$G:$G, (MATCH(723, 輔助計算!$G$2:$G$801, 0)+1)),"0.##"),TEXT(INDEX(ERP資料!$G:$G, (MATCH(723, 輔助計算!$G$2:$G$801, 0)+1)),"0.##")&amp;"+"&amp;TEXT(INDEX(ERP資料!$G:$G, (MATCH(723, 輔助計算!$G$2:$G$801, 0)+1)),"0.##")&amp;"+"&amp;TEXT(INDEX(ERP資料!$G:$G, (MATCH(723, 輔助計算!$G$2:$G$801, 0)+1)),"0.##")))&amp;"-"&amp;INT(INDEX(輔助計算!$D:$D, (MATCH(723, 輔助計算!$G$2:$G$801, 0)+1))/IF(INDEX(ERP資料!$G:$G, (MATCH(723, 輔助計算!$G$2:$G$801, 0)+1))&lt;100, IF(INDEX(ERP資料!$G:$G, (MATCH(723, 輔助計算!$G$2:$G$801, 0)+1))&lt;=31,3,IF(INDEX(ERP資料!$G:$G, (MATCH(723, 輔助計算!$G$2:$G$801, 0)+1))&lt;=46.5,2,1)), IF(INDEX(ERP資料!$G:$G, (MATCH(723, 輔助計算!$G$2:$G$801, 0)+1))&lt;=790,3,IF(INDEX(ERP資料!$G:$G, (MATCH(723, 輔助計算!$G$2:$G$801, 0)+1))&lt;=1181,2,1)))), "")&lt;&gt;"",IF(MOD(INDEX(輔助計算!$D:$D, (MATCH(723, 輔助計算!$G$2:$G$801, 0)+1)),IF(INDEX(ERP資料!$G:$G, (MATCH(723, 輔助計算!$G$2:$G$801, 0)+1))&lt;100, IF(INDEX(ERP資料!$G:$G, (MATCH(723, 輔助計算!$G$2:$G$801, 0)+1))&lt;=31,3,IF(INDEX(ERP資料!$G:$G, (MATCH(723, 輔助計算!$G$2:$G$801, 0)+1))&lt;=46.5,2,1)), IF(INDEX(ERP資料!$G:$G, (MATCH(723, 輔助計算!$G$2:$G$801, 0)+1))&lt;=790,3,IF(INDEX(ERP資料!$G:$G, (MATCH(723, 輔助計算!$G$2:$G$801, 0)+1))&lt;=1181,2,1))))=0,"",IF(MOD(INDEX(輔助計算!$D:$D, (MATCH(723, 輔助計算!$G$2:$G$801, 0)+1)),IF(INDEX(ERP資料!$G:$G, (MATCH(723, 輔助計算!$G$2:$G$801, 0)+1))&lt;100, IF(INDEX(ERP資料!$G:$G, (MATCH(723, 輔助計算!$G$2:$G$801, 0)+1))&lt;=31,3,IF(INDEX(ERP資料!$G:$G, (MATCH(723, 輔助計算!$G$2:$G$801, 0)+1))&lt;=46.5,2,1)), IF(INDEX(ERP資料!$G:$G, (MATCH(723, 輔助計算!$G$2:$G$801, 0)+1))&lt;=790,3,IF(INDEX(ERP資料!$G:$G, (MATCH(723, 輔助計算!$G$2:$G$801, 0)+1))&lt;=1181,2,1))))=0,"",IF(MOD(INDEX(輔助計算!$D:$D, (MATCH(723, 輔助計算!$G$2:$G$801, 0)+1)),IF(INDEX(ERP資料!$G:$G, (MATCH(723, 輔助計算!$G$2:$G$801, 0)+1))&lt;100, IF(INDEX(ERP資料!$G:$G, (MATCH(723, 輔助計算!$G$2:$G$801, 0)+1))&lt;=31,3,IF(INDEX(ERP資料!$G:$G, (MATCH(723, 輔助計算!$G$2:$G$801, 0)+1))&lt;=46.5,2,1)), IF(INDEX(ERP資料!$G:$G, (MATCH(723, 輔助計算!$G$2:$G$801, 0)+1))&lt;=790,3,IF(INDEX(ERP資料!$G:$G, (MATCH(723, 輔助計算!$G$2:$G$801, 0)+1))&lt;=1181,2,1))))=1,TEXT(INDEX(ERP資料!$G:$G, (MATCH(723, 輔助計算!$G$2:$G$801, 0)+1)),"0.##"),IF(MOD(INDEX(輔助計算!$D:$D, (MATCH(723, 輔助計算!$G$2:$G$801, 0)+1)),IF(INDEX(ERP資料!$G:$G, (MATCH(723, 輔助計算!$G$2:$G$801, 0)+1))&lt;100, IF(INDEX(ERP資料!$G:$G, (MATCH(723, 輔助計算!$G$2:$G$801, 0)+1))&lt;=31,3,IF(INDEX(ERP資料!$G:$G, (MATCH(723, 輔助計算!$G$2:$G$801, 0)+1))&lt;=46.5,2,1)), IF(INDEX(ERP資料!$G:$G, (MATCH(723, 輔助計算!$G$2:$G$801, 0)+1))&lt;=790,3,IF(INDEX(ERP資料!$G:$G, (MATCH(723, 輔助計算!$G$2:$G$801, 0)+1))&lt;=1181,2,1))))=2,TEXT(INDEX(ERP資料!$G:$G, (MATCH(723, 輔助計算!$G$2:$G$801, 0)+1)),"0.##")&amp;"+"&amp;TEXT(INDEX(ERP資料!$G:$G, (MATCH(723, 輔助計算!$G$2:$G$801, 0)+1)),"0.##"),TEXT(INDEX(ERP資料!$G:$G, (MATCH(723, 輔助計算!$G$2:$G$801, 0)+1)),"0.##")&amp;"+"&amp;TEXT(INDEX(ERP資料!$G:$G, (MATCH(723, 輔助計算!$G$2:$G$801, 0)+1)),"0.##")&amp;"+"&amp;TEXT(INDEX(ERP資料!$G:$G, (MATCH(723, 輔助計算!$G$2:$G$801, 0)+1)),"0.##"))))&amp;"-1")&lt;&gt;""),"  ","")&amp;IF(MOD(INDEX(輔助計算!$D:$D, (MATCH(723, 輔助計算!$G$2:$G$801, 0)+1)),IF(INDEX(ERP資料!$G:$G, (MATCH(723, 輔助計算!$G$2:$G$801, 0)+1))&lt;100, IF(INDEX(ERP資料!$G:$G, (MATCH(723, 輔助計算!$G$2:$G$801, 0)+1))&lt;=31,3,IF(INDEX(ERP資料!$G:$G, (MATCH(723, 輔助計算!$G$2:$G$801, 0)+1))&lt;=46.5,2,1)), IF(INDEX(ERP資料!$G:$G, (MATCH(723, 輔助計算!$G$2:$G$801, 0)+1))&lt;=790,3,IF(INDEX(ERP資料!$G:$G, (MATCH(723, 輔助計算!$G$2:$G$801, 0)+1))&lt;=1181,2,1))))=0,"",IF(MOD(INDEX(輔助計算!$D:$D, (MATCH(723, 輔助計算!$G$2:$G$801, 0)+1)),IF(INDEX(ERP資料!$G:$G, (MATCH(723, 輔助計算!$G$2:$G$801, 0)+1))&lt;100, IF(INDEX(ERP資料!$G:$G, (MATCH(723, 輔助計算!$G$2:$G$801, 0)+1))&lt;=31,3,IF(INDEX(ERP資料!$G:$G, (MATCH(723, 輔助計算!$G$2:$G$801, 0)+1))&lt;=46.5,2,1)), IF(INDEX(ERP資料!$G:$G, (MATCH(723, 輔助計算!$G$2:$G$801, 0)+1))&lt;=790,3,IF(INDEX(ERP資料!$G:$G, (MATCH(723, 輔助計算!$G$2:$G$801, 0)+1))&lt;=1181,2,1))))=0,"",IF(MOD(INDEX(輔助計算!$D:$D, (MATCH(723, 輔助計算!$G$2:$G$801, 0)+1)),IF(INDEX(ERP資料!$G:$G, (MATCH(723, 輔助計算!$G$2:$G$801, 0)+1))&lt;100, IF(INDEX(ERP資料!$G:$G, (MATCH(723, 輔助計算!$G$2:$G$801, 0)+1))&lt;=31,3,IF(INDEX(ERP資料!$G:$G, (MATCH(723, 輔助計算!$G$2:$G$801, 0)+1))&lt;=46.5,2,1)), IF(INDEX(ERP資料!$G:$G, (MATCH(723, 輔助計算!$G$2:$G$801, 0)+1))&lt;=790,3,IF(INDEX(ERP資料!$G:$G, (MATCH(723, 輔助計算!$G$2:$G$801, 0)+1))&lt;=1181,2,1))))=1,TEXT(INDEX(ERP資料!$G:$G, (MATCH(723, 輔助計算!$G$2:$G$801, 0)+1)),"0.##"),IF(MOD(INDEX(輔助計算!$D:$D, (MATCH(723, 輔助計算!$G$2:$G$801, 0)+1)),IF(INDEX(ERP資料!$G:$G, (MATCH(723, 輔助計算!$G$2:$G$801, 0)+1))&lt;100, IF(INDEX(ERP資料!$G:$G, (MATCH(723, 輔助計算!$G$2:$G$801, 0)+1))&lt;=31,3,IF(INDEX(ERP資料!$G:$G, (MATCH(723, 輔助計算!$G$2:$G$801, 0)+1))&lt;=46.5,2,1)), IF(INDEX(ERP資料!$G:$G, (MATCH(723, 輔助計算!$G$2:$G$801, 0)+1))&lt;=790,3,IF(INDEX(ERP資料!$G:$G, (MATCH(723, 輔助計算!$G$2:$G$801, 0)+1))&lt;=1181,2,1))))=2,TEXT(INDEX(ERP資料!$G:$G, (MATCH(723, 輔助計算!$G$2:$G$801, 0)+1)),"0.##")&amp;"+"&amp;TEXT(INDEX(ERP資料!$G:$G, (MATCH(723, 輔助計算!$G$2:$G$801, 0)+1)),"0.##"),TEXT(INDEX(ERP資料!$G:$G, (MATCH(723, 輔助計算!$G$2:$G$801, 0)+1)),"0.##")&amp;"+"&amp;TEXT(INDEX(ERP資料!$G:$G, (MATCH(723, 輔助計算!$G$2:$G$801, 0)+1)),"0.##")&amp;"+"&amp;TEXT(INDEX(ERP資料!$G:$G, (MATCH(723, 輔助計算!$G$2:$G$801, 0)+1)),"0.##"))))&amp;"-1")), ""), "")</f>
        <v/>
      </c>
      <c r="K724" s="16" t="n"/>
      <c r="L724" s="14">
        <f>IFERROR(IF(AND(IFERROR(INDEX(ERP資料!$A:$A, (MATCH(723, 輔助計算!$G$2:$G$801, 0)+1)), "")&lt;&gt;"", IFERROR(INDEX(ERP資料!$A:$A, (MATCH(723, 輔助計算!$G$2:$G$801, 0)+1)), "")&lt;&gt;IFERROR(INDEX(ERP資料!$A:$A, MATCH(722, 輔助計算!$G$2:$G$801, 0)+1), "")), INDEX(ERP資料!$B:$B, (MATCH(723, 輔助計算!$G$2:$G$801, 0)+1)), ""), "")</f>
        <v/>
      </c>
      <c r="M724" s="17" t="n"/>
    </row>
    <row r="725">
      <c r="A725" s="10">
        <f>IFERROR(IF(AND(IFERROR(INDEX(ERP資料!$A:$A, (MATCH(724, 輔助計算!$G$2:$G$801, 0)+1)), "")&lt;&gt;"", IFERROR(INDEX(ERP資料!$A:$A, (MATCH(724, 輔助計算!$G$2:$G$801, 0)+1)), "")&lt;&gt;IFERROR(INDEX(ERP資料!$A:$A, MATCH(723, 輔助計算!$G$2:$G$801, 0)+1), "")), IFERROR(INDEX(ERP資料!$A:$A, (MATCH(724, 輔助計算!$G$2:$G$801, 0)+1)), ""), ""), "")</f>
        <v/>
      </c>
      <c r="B725" s="10">
        <f>IFERROR(IF(AND(IFERROR(INDEX(ERP資料!$A:$A, (MATCH(724, 輔助計算!$G$2:$G$801, 0)+1)), "")&lt;&gt;"", IFERROR(INDEX(ERP資料!$A:$A, (MATCH(724, 輔助計算!$G$2:$G$801, 0)+1)), "")&lt;&gt;IFERROR(INDEX(ERP資料!$A:$A, MATCH(723, 輔助計算!$G$2:$G$801, 0)+1), "")), INDEX(ERP資料!$S:$S, (MATCH(724, 輔助計算!$G$2:$G$801, 0)+1)), ""), "")</f>
        <v/>
      </c>
      <c r="C725" s="19">
        <f>IFERROR(IF(AND(IFERROR(INDEX(ERP資料!$A:$A, (MATCH(724, 輔助計算!$G$2:$G$801, 0)+1)), "")&lt;&gt;"", IFERROR(INDEX(ERP資料!$A:$A, (MATCH(724, 輔助計算!$G$2:$G$801, 0)+1)), "")&lt;&gt;IFERROR(INDEX(ERP資料!$A:$A, MATCH(723, 輔助計算!$G$2:$G$801, 0)+1), "")), IFERROR(VLOOKUP(LEFT(INDEX(ERP資料!$S:$S, (MATCH(724, 輔助計算!$G$2:$G$801, 0)+1)), 4), 紙管對照表!$A:$C, 3, FALSE), ""), ""), "")</f>
        <v/>
      </c>
      <c r="D725" s="16" t="n"/>
      <c r="E725" s="10">
        <f>IFERROR(IF(INDEX(ERP資料!$H:$H, (MATCH(724, 輔助計算!$G$2:$G$801, 0)+1))="","",INDEX(ERP資料!$H:$H, (MATCH(724, 輔助計算!$G$2:$G$801, 0)+1))), "")</f>
        <v/>
      </c>
      <c r="F725" s="10">
        <f>IFERROR(IF(INDEX(ERP資料!$E:$E, (MATCH(724, 輔助計算!$G$2:$G$801, 0)+1))="","",TRIM(INDEX(ERP資料!$E:$E, (MATCH(724, 輔助計算!$G$2:$G$801, 0)+1)))), "")</f>
        <v/>
      </c>
      <c r="G725" s="10">
        <f>IFERROR(IF(INDEX(ERP資料!$F:$F, (MATCH(724, 輔助計算!$G$2:$G$801, 0)+1))="","",INDEX(ERP資料!$F:$F, (MATCH(724, 輔助計算!$G$2:$G$801, 0)+1))), "")</f>
        <v/>
      </c>
      <c r="H725" s="10">
        <f>IFERROR(IF(INDEX(ERP資料!$G:$G, (MATCH(724, 輔助計算!$G$2:$G$801, 0)+1))="","",INDEX(ERP資料!$G:$G, (MATCH(724, 輔助計算!$G$2:$G$801, 0)+1))), "")</f>
        <v/>
      </c>
      <c r="I725" s="15">
        <f>IFERROR(INDEX(輔助計算!$D:$D, (MATCH(724, 輔助計算!$G$2:$G$801, 0)+1)), "")</f>
        <v/>
      </c>
      <c r="J725" s="15">
        <f>IFERROR(IF(AND(INDEX(輔助計算!$D:$D, (MATCH(724, 輔助計算!$G$2:$G$801, 0)+1))&lt;&gt;"", INDEX(ERP資料!$G:$G, (MATCH(724, 輔助計算!$G$2:$G$801, 0)+1))&lt;&gt;""), TRIM(IF(INT(INDEX(輔助計算!$D:$D, (MATCH(724, 輔助計算!$G$2:$G$801, 0)+1))/IF(INDEX(ERP資料!$G:$G, (MATCH(724, 輔助計算!$G$2:$G$801, 0)+1))&lt;100, IF(INDEX(ERP資料!$G:$G, (MATCH(724, 輔助計算!$G$2:$G$801, 0)+1))&lt;=31,3,IF(INDEX(ERP資料!$G:$G, (MATCH(724, 輔助計算!$G$2:$G$801, 0)+1))&lt;=46.5,2,1)), IF(INDEX(ERP資料!$G:$G, (MATCH(724, 輔助計算!$G$2:$G$801, 0)+1))&lt;=790,3,IF(INDEX(ERP資料!$G:$G, (MATCH(724, 輔助計算!$G$2:$G$801, 0)+1))&lt;=1181,2,1))))&gt;0, IF(IF(INDEX(ERP資料!$G:$G, (MATCH(724, 輔助計算!$G$2:$G$801, 0)+1))&lt;100, IF(INDEX(ERP資料!$G:$G, (MATCH(724, 輔助計算!$G$2:$G$801, 0)+1))&lt;=31,3,IF(INDEX(ERP資料!$G:$G, (MATCH(724, 輔助計算!$G$2:$G$801, 0)+1))&lt;=46.5,2,1)), IF(INDEX(ERP資料!$G:$G, (MATCH(724, 輔助計算!$G$2:$G$801, 0)+1))&lt;=790,3,IF(INDEX(ERP資料!$G:$G, (MATCH(724, 輔助計算!$G$2:$G$801, 0)+1))&lt;=1181,2,1)))=1,TEXT(INDEX(ERP資料!$G:$G, (MATCH(724, 輔助計算!$G$2:$G$801, 0)+1)),"0.##"),IF(IF(INDEX(ERP資料!$G:$G, (MATCH(724, 輔助計算!$G$2:$G$801, 0)+1))&lt;100, IF(INDEX(ERP資料!$G:$G, (MATCH(724, 輔助計算!$G$2:$G$801, 0)+1))&lt;=31,3,IF(INDEX(ERP資料!$G:$G, (MATCH(724, 輔助計算!$G$2:$G$801, 0)+1))&lt;=46.5,2,1)), IF(INDEX(ERP資料!$G:$G, (MATCH(724, 輔助計算!$G$2:$G$801, 0)+1))&lt;=790,3,IF(INDEX(ERP資料!$G:$G, (MATCH(724, 輔助計算!$G$2:$G$801, 0)+1))&lt;=1181,2,1)))=2,TEXT(INDEX(ERP資料!$G:$G, (MATCH(724, 輔助計算!$G$2:$G$801, 0)+1)),"0.##")&amp;"+"&amp;TEXT(INDEX(ERP資料!$G:$G, (MATCH(724, 輔助計算!$G$2:$G$801, 0)+1)),"0.##"),TEXT(INDEX(ERP資料!$G:$G, (MATCH(724, 輔助計算!$G$2:$G$801, 0)+1)),"0.##")&amp;"+"&amp;TEXT(INDEX(ERP資料!$G:$G, (MATCH(724, 輔助計算!$G$2:$G$801, 0)+1)),"0.##")&amp;"+"&amp;TEXT(INDEX(ERP資料!$G:$G, (MATCH(724, 輔助計算!$G$2:$G$801, 0)+1)),"0.##")))&amp;"-"&amp;INT(INDEX(輔助計算!$D:$D, (MATCH(724, 輔助計算!$G$2:$G$801, 0)+1))/IF(INDEX(ERP資料!$G:$G, (MATCH(724, 輔助計算!$G$2:$G$801, 0)+1))&lt;100, IF(INDEX(ERP資料!$G:$G, (MATCH(724, 輔助計算!$G$2:$G$801, 0)+1))&lt;=31,3,IF(INDEX(ERP資料!$G:$G, (MATCH(724, 輔助計算!$G$2:$G$801, 0)+1))&lt;=46.5,2,1)), IF(INDEX(ERP資料!$G:$G, (MATCH(724, 輔助計算!$G$2:$G$801, 0)+1))&lt;=790,3,IF(INDEX(ERP資料!$G:$G, (MATCH(724, 輔助計算!$G$2:$G$801, 0)+1))&lt;=1181,2,1)))), "")&amp;IF(AND(IF(INT(INDEX(輔助計算!$D:$D, (MATCH(724, 輔助計算!$G$2:$G$801, 0)+1))/IF(INDEX(ERP資料!$G:$G, (MATCH(724, 輔助計算!$G$2:$G$801, 0)+1))&lt;100, IF(INDEX(ERP資料!$G:$G, (MATCH(724, 輔助計算!$G$2:$G$801, 0)+1))&lt;=31,3,IF(INDEX(ERP資料!$G:$G, (MATCH(724, 輔助計算!$G$2:$G$801, 0)+1))&lt;=46.5,2,1)), IF(INDEX(ERP資料!$G:$G, (MATCH(724, 輔助計算!$G$2:$G$801, 0)+1))&lt;=790,3,IF(INDEX(ERP資料!$G:$G, (MATCH(724, 輔助計算!$G$2:$G$801, 0)+1))&lt;=1181,2,1))))&gt;0, IF(IF(INDEX(ERP資料!$G:$G, (MATCH(724, 輔助計算!$G$2:$G$801, 0)+1))&lt;100, IF(INDEX(ERP資料!$G:$G, (MATCH(724, 輔助計算!$G$2:$G$801, 0)+1))&lt;=31,3,IF(INDEX(ERP資料!$G:$G, (MATCH(724, 輔助計算!$G$2:$G$801, 0)+1))&lt;=46.5,2,1)), IF(INDEX(ERP資料!$G:$G, (MATCH(724, 輔助計算!$G$2:$G$801, 0)+1))&lt;=790,3,IF(INDEX(ERP資料!$G:$G, (MATCH(724, 輔助計算!$G$2:$G$801, 0)+1))&lt;=1181,2,1)))=1,TEXT(INDEX(ERP資料!$G:$G, (MATCH(724, 輔助計算!$G$2:$G$801, 0)+1)),"0.##"),IF(IF(INDEX(ERP資料!$G:$G, (MATCH(724, 輔助計算!$G$2:$G$801, 0)+1))&lt;100, IF(INDEX(ERP資料!$G:$G, (MATCH(724, 輔助計算!$G$2:$G$801, 0)+1))&lt;=31,3,IF(INDEX(ERP資料!$G:$G, (MATCH(724, 輔助計算!$G$2:$G$801, 0)+1))&lt;=46.5,2,1)), IF(INDEX(ERP資料!$G:$G, (MATCH(724, 輔助計算!$G$2:$G$801, 0)+1))&lt;=790,3,IF(INDEX(ERP資料!$G:$G, (MATCH(724, 輔助計算!$G$2:$G$801, 0)+1))&lt;=1181,2,1)))=2,TEXT(INDEX(ERP資料!$G:$G, (MATCH(724, 輔助計算!$G$2:$G$801, 0)+1)),"0.##")&amp;"+"&amp;TEXT(INDEX(ERP資料!$G:$G, (MATCH(724, 輔助計算!$G$2:$G$801, 0)+1)),"0.##"),TEXT(INDEX(ERP資料!$G:$G, (MATCH(724, 輔助計算!$G$2:$G$801, 0)+1)),"0.##")&amp;"+"&amp;TEXT(INDEX(ERP資料!$G:$G, (MATCH(724, 輔助計算!$G$2:$G$801, 0)+1)),"0.##")&amp;"+"&amp;TEXT(INDEX(ERP資料!$G:$G, (MATCH(724, 輔助計算!$G$2:$G$801, 0)+1)),"0.##")))&amp;"-"&amp;INT(INDEX(輔助計算!$D:$D, (MATCH(724, 輔助計算!$G$2:$G$801, 0)+1))/IF(INDEX(ERP資料!$G:$G, (MATCH(724, 輔助計算!$G$2:$G$801, 0)+1))&lt;100, IF(INDEX(ERP資料!$G:$G, (MATCH(724, 輔助計算!$G$2:$G$801, 0)+1))&lt;=31,3,IF(INDEX(ERP資料!$G:$G, (MATCH(724, 輔助計算!$G$2:$G$801, 0)+1))&lt;=46.5,2,1)), IF(INDEX(ERP資料!$G:$G, (MATCH(724, 輔助計算!$G$2:$G$801, 0)+1))&lt;=790,3,IF(INDEX(ERP資料!$G:$G, (MATCH(724, 輔助計算!$G$2:$G$801, 0)+1))&lt;=1181,2,1)))), "")&lt;&gt;"",IF(MOD(INDEX(輔助計算!$D:$D, (MATCH(724, 輔助計算!$G$2:$G$801, 0)+1)),IF(INDEX(ERP資料!$G:$G, (MATCH(724, 輔助計算!$G$2:$G$801, 0)+1))&lt;100, IF(INDEX(ERP資料!$G:$G, (MATCH(724, 輔助計算!$G$2:$G$801, 0)+1))&lt;=31,3,IF(INDEX(ERP資料!$G:$G, (MATCH(724, 輔助計算!$G$2:$G$801, 0)+1))&lt;=46.5,2,1)), IF(INDEX(ERP資料!$G:$G, (MATCH(724, 輔助計算!$G$2:$G$801, 0)+1))&lt;=790,3,IF(INDEX(ERP資料!$G:$G, (MATCH(724, 輔助計算!$G$2:$G$801, 0)+1))&lt;=1181,2,1))))=0,"",IF(MOD(INDEX(輔助計算!$D:$D, (MATCH(724, 輔助計算!$G$2:$G$801, 0)+1)),IF(INDEX(ERP資料!$G:$G, (MATCH(724, 輔助計算!$G$2:$G$801, 0)+1))&lt;100, IF(INDEX(ERP資料!$G:$G, (MATCH(724, 輔助計算!$G$2:$G$801, 0)+1))&lt;=31,3,IF(INDEX(ERP資料!$G:$G, (MATCH(724, 輔助計算!$G$2:$G$801, 0)+1))&lt;=46.5,2,1)), IF(INDEX(ERP資料!$G:$G, (MATCH(724, 輔助計算!$G$2:$G$801, 0)+1))&lt;=790,3,IF(INDEX(ERP資料!$G:$G, (MATCH(724, 輔助計算!$G$2:$G$801, 0)+1))&lt;=1181,2,1))))=0,"",IF(MOD(INDEX(輔助計算!$D:$D, (MATCH(724, 輔助計算!$G$2:$G$801, 0)+1)),IF(INDEX(ERP資料!$G:$G, (MATCH(724, 輔助計算!$G$2:$G$801, 0)+1))&lt;100, IF(INDEX(ERP資料!$G:$G, (MATCH(724, 輔助計算!$G$2:$G$801, 0)+1))&lt;=31,3,IF(INDEX(ERP資料!$G:$G, (MATCH(724, 輔助計算!$G$2:$G$801, 0)+1))&lt;=46.5,2,1)), IF(INDEX(ERP資料!$G:$G, (MATCH(724, 輔助計算!$G$2:$G$801, 0)+1))&lt;=790,3,IF(INDEX(ERP資料!$G:$G, (MATCH(724, 輔助計算!$G$2:$G$801, 0)+1))&lt;=1181,2,1))))=1,TEXT(INDEX(ERP資料!$G:$G, (MATCH(724, 輔助計算!$G$2:$G$801, 0)+1)),"0.##"),IF(MOD(INDEX(輔助計算!$D:$D, (MATCH(724, 輔助計算!$G$2:$G$801, 0)+1)),IF(INDEX(ERP資料!$G:$G, (MATCH(724, 輔助計算!$G$2:$G$801, 0)+1))&lt;100, IF(INDEX(ERP資料!$G:$G, (MATCH(724, 輔助計算!$G$2:$G$801, 0)+1))&lt;=31,3,IF(INDEX(ERP資料!$G:$G, (MATCH(724, 輔助計算!$G$2:$G$801, 0)+1))&lt;=46.5,2,1)), IF(INDEX(ERP資料!$G:$G, (MATCH(724, 輔助計算!$G$2:$G$801, 0)+1))&lt;=790,3,IF(INDEX(ERP資料!$G:$G, (MATCH(724, 輔助計算!$G$2:$G$801, 0)+1))&lt;=1181,2,1))))=2,TEXT(INDEX(ERP資料!$G:$G, (MATCH(724, 輔助計算!$G$2:$G$801, 0)+1)),"0.##")&amp;"+"&amp;TEXT(INDEX(ERP資料!$G:$G, (MATCH(724, 輔助計算!$G$2:$G$801, 0)+1)),"0.##"),TEXT(INDEX(ERP資料!$G:$G, (MATCH(724, 輔助計算!$G$2:$G$801, 0)+1)),"0.##")&amp;"+"&amp;TEXT(INDEX(ERP資料!$G:$G, (MATCH(724, 輔助計算!$G$2:$G$801, 0)+1)),"0.##")&amp;"+"&amp;TEXT(INDEX(ERP資料!$G:$G, (MATCH(724, 輔助計算!$G$2:$G$801, 0)+1)),"0.##"))))&amp;"-1")&lt;&gt;""),"  ","")&amp;IF(MOD(INDEX(輔助計算!$D:$D, (MATCH(724, 輔助計算!$G$2:$G$801, 0)+1)),IF(INDEX(ERP資料!$G:$G, (MATCH(724, 輔助計算!$G$2:$G$801, 0)+1))&lt;100, IF(INDEX(ERP資料!$G:$G, (MATCH(724, 輔助計算!$G$2:$G$801, 0)+1))&lt;=31,3,IF(INDEX(ERP資料!$G:$G, (MATCH(724, 輔助計算!$G$2:$G$801, 0)+1))&lt;=46.5,2,1)), IF(INDEX(ERP資料!$G:$G, (MATCH(724, 輔助計算!$G$2:$G$801, 0)+1))&lt;=790,3,IF(INDEX(ERP資料!$G:$G, (MATCH(724, 輔助計算!$G$2:$G$801, 0)+1))&lt;=1181,2,1))))=0,"",IF(MOD(INDEX(輔助計算!$D:$D, (MATCH(724, 輔助計算!$G$2:$G$801, 0)+1)),IF(INDEX(ERP資料!$G:$G, (MATCH(724, 輔助計算!$G$2:$G$801, 0)+1))&lt;100, IF(INDEX(ERP資料!$G:$G, (MATCH(724, 輔助計算!$G$2:$G$801, 0)+1))&lt;=31,3,IF(INDEX(ERP資料!$G:$G, (MATCH(724, 輔助計算!$G$2:$G$801, 0)+1))&lt;=46.5,2,1)), IF(INDEX(ERP資料!$G:$G, (MATCH(724, 輔助計算!$G$2:$G$801, 0)+1))&lt;=790,3,IF(INDEX(ERP資料!$G:$G, (MATCH(724, 輔助計算!$G$2:$G$801, 0)+1))&lt;=1181,2,1))))=0,"",IF(MOD(INDEX(輔助計算!$D:$D, (MATCH(724, 輔助計算!$G$2:$G$801, 0)+1)),IF(INDEX(ERP資料!$G:$G, (MATCH(724, 輔助計算!$G$2:$G$801, 0)+1))&lt;100, IF(INDEX(ERP資料!$G:$G, (MATCH(724, 輔助計算!$G$2:$G$801, 0)+1))&lt;=31,3,IF(INDEX(ERP資料!$G:$G, (MATCH(724, 輔助計算!$G$2:$G$801, 0)+1))&lt;=46.5,2,1)), IF(INDEX(ERP資料!$G:$G, (MATCH(724, 輔助計算!$G$2:$G$801, 0)+1))&lt;=790,3,IF(INDEX(ERP資料!$G:$G, (MATCH(724, 輔助計算!$G$2:$G$801, 0)+1))&lt;=1181,2,1))))=1,TEXT(INDEX(ERP資料!$G:$G, (MATCH(724, 輔助計算!$G$2:$G$801, 0)+1)),"0.##"),IF(MOD(INDEX(輔助計算!$D:$D, (MATCH(724, 輔助計算!$G$2:$G$801, 0)+1)),IF(INDEX(ERP資料!$G:$G, (MATCH(724, 輔助計算!$G$2:$G$801, 0)+1))&lt;100, IF(INDEX(ERP資料!$G:$G, (MATCH(724, 輔助計算!$G$2:$G$801, 0)+1))&lt;=31,3,IF(INDEX(ERP資料!$G:$G, (MATCH(724, 輔助計算!$G$2:$G$801, 0)+1))&lt;=46.5,2,1)), IF(INDEX(ERP資料!$G:$G, (MATCH(724, 輔助計算!$G$2:$G$801, 0)+1))&lt;=790,3,IF(INDEX(ERP資料!$G:$G, (MATCH(724, 輔助計算!$G$2:$G$801, 0)+1))&lt;=1181,2,1))))=2,TEXT(INDEX(ERP資料!$G:$G, (MATCH(724, 輔助計算!$G$2:$G$801, 0)+1)),"0.##")&amp;"+"&amp;TEXT(INDEX(ERP資料!$G:$G, (MATCH(724, 輔助計算!$G$2:$G$801, 0)+1)),"0.##"),TEXT(INDEX(ERP資料!$G:$G, (MATCH(724, 輔助計算!$G$2:$G$801, 0)+1)),"0.##")&amp;"+"&amp;TEXT(INDEX(ERP資料!$G:$G, (MATCH(724, 輔助計算!$G$2:$G$801, 0)+1)),"0.##")&amp;"+"&amp;TEXT(INDEX(ERP資料!$G:$G, (MATCH(724, 輔助計算!$G$2:$G$801, 0)+1)),"0.##"))))&amp;"-1")), ""), "")</f>
        <v/>
      </c>
      <c r="K725" s="16" t="n"/>
      <c r="L725" s="14">
        <f>IFERROR(IF(AND(IFERROR(INDEX(ERP資料!$A:$A, (MATCH(724, 輔助計算!$G$2:$G$801, 0)+1)), "")&lt;&gt;"", IFERROR(INDEX(ERP資料!$A:$A, (MATCH(724, 輔助計算!$G$2:$G$801, 0)+1)), "")&lt;&gt;IFERROR(INDEX(ERP資料!$A:$A, MATCH(723, 輔助計算!$G$2:$G$801, 0)+1), "")), INDEX(ERP資料!$B:$B, (MATCH(724, 輔助計算!$G$2:$G$801, 0)+1)), ""), "")</f>
        <v/>
      </c>
      <c r="M725" s="17" t="n"/>
    </row>
    <row r="726">
      <c r="A726" s="10">
        <f>IFERROR(IF(AND(IFERROR(INDEX(ERP資料!$A:$A, (MATCH(725, 輔助計算!$G$2:$G$801, 0)+1)), "")&lt;&gt;"", IFERROR(INDEX(ERP資料!$A:$A, (MATCH(725, 輔助計算!$G$2:$G$801, 0)+1)), "")&lt;&gt;IFERROR(INDEX(ERP資料!$A:$A, MATCH(724, 輔助計算!$G$2:$G$801, 0)+1), "")), IFERROR(INDEX(ERP資料!$A:$A, (MATCH(725, 輔助計算!$G$2:$G$801, 0)+1)), ""), ""), "")</f>
        <v/>
      </c>
      <c r="B726" s="10">
        <f>IFERROR(IF(AND(IFERROR(INDEX(ERP資料!$A:$A, (MATCH(725, 輔助計算!$G$2:$G$801, 0)+1)), "")&lt;&gt;"", IFERROR(INDEX(ERP資料!$A:$A, (MATCH(725, 輔助計算!$G$2:$G$801, 0)+1)), "")&lt;&gt;IFERROR(INDEX(ERP資料!$A:$A, MATCH(724, 輔助計算!$G$2:$G$801, 0)+1), "")), INDEX(ERP資料!$S:$S, (MATCH(725, 輔助計算!$G$2:$G$801, 0)+1)), ""), "")</f>
        <v/>
      </c>
      <c r="C726" s="19">
        <f>IFERROR(IF(AND(IFERROR(INDEX(ERP資料!$A:$A, (MATCH(725, 輔助計算!$G$2:$G$801, 0)+1)), "")&lt;&gt;"", IFERROR(INDEX(ERP資料!$A:$A, (MATCH(725, 輔助計算!$G$2:$G$801, 0)+1)), "")&lt;&gt;IFERROR(INDEX(ERP資料!$A:$A, MATCH(724, 輔助計算!$G$2:$G$801, 0)+1), "")), IFERROR(VLOOKUP(LEFT(INDEX(ERP資料!$S:$S, (MATCH(725, 輔助計算!$G$2:$G$801, 0)+1)), 4), 紙管對照表!$A:$C, 3, FALSE), ""), ""), "")</f>
        <v/>
      </c>
      <c r="D726" s="16" t="n"/>
      <c r="E726" s="10">
        <f>IFERROR(IF(INDEX(ERP資料!$H:$H, (MATCH(725, 輔助計算!$G$2:$G$801, 0)+1))="","",INDEX(ERP資料!$H:$H, (MATCH(725, 輔助計算!$G$2:$G$801, 0)+1))), "")</f>
        <v/>
      </c>
      <c r="F726" s="10">
        <f>IFERROR(IF(INDEX(ERP資料!$E:$E, (MATCH(725, 輔助計算!$G$2:$G$801, 0)+1))="","",TRIM(INDEX(ERP資料!$E:$E, (MATCH(725, 輔助計算!$G$2:$G$801, 0)+1)))), "")</f>
        <v/>
      </c>
      <c r="G726" s="10">
        <f>IFERROR(IF(INDEX(ERP資料!$F:$F, (MATCH(725, 輔助計算!$G$2:$G$801, 0)+1))="","",INDEX(ERP資料!$F:$F, (MATCH(725, 輔助計算!$G$2:$G$801, 0)+1))), "")</f>
        <v/>
      </c>
      <c r="H726" s="10">
        <f>IFERROR(IF(INDEX(ERP資料!$G:$G, (MATCH(725, 輔助計算!$G$2:$G$801, 0)+1))="","",INDEX(ERP資料!$G:$G, (MATCH(725, 輔助計算!$G$2:$G$801, 0)+1))), "")</f>
        <v/>
      </c>
      <c r="I726" s="15">
        <f>IFERROR(INDEX(輔助計算!$D:$D, (MATCH(725, 輔助計算!$G$2:$G$801, 0)+1)), "")</f>
        <v/>
      </c>
      <c r="J726" s="15">
        <f>IFERROR(IF(AND(INDEX(輔助計算!$D:$D, (MATCH(725, 輔助計算!$G$2:$G$801, 0)+1))&lt;&gt;"", INDEX(ERP資料!$G:$G, (MATCH(725, 輔助計算!$G$2:$G$801, 0)+1))&lt;&gt;""), TRIM(IF(INT(INDEX(輔助計算!$D:$D, (MATCH(725, 輔助計算!$G$2:$G$801, 0)+1))/IF(INDEX(ERP資料!$G:$G, (MATCH(725, 輔助計算!$G$2:$G$801, 0)+1))&lt;100, IF(INDEX(ERP資料!$G:$G, (MATCH(725, 輔助計算!$G$2:$G$801, 0)+1))&lt;=31,3,IF(INDEX(ERP資料!$G:$G, (MATCH(725, 輔助計算!$G$2:$G$801, 0)+1))&lt;=46.5,2,1)), IF(INDEX(ERP資料!$G:$G, (MATCH(725, 輔助計算!$G$2:$G$801, 0)+1))&lt;=790,3,IF(INDEX(ERP資料!$G:$G, (MATCH(725, 輔助計算!$G$2:$G$801, 0)+1))&lt;=1181,2,1))))&gt;0, IF(IF(INDEX(ERP資料!$G:$G, (MATCH(725, 輔助計算!$G$2:$G$801, 0)+1))&lt;100, IF(INDEX(ERP資料!$G:$G, (MATCH(725, 輔助計算!$G$2:$G$801, 0)+1))&lt;=31,3,IF(INDEX(ERP資料!$G:$G, (MATCH(725, 輔助計算!$G$2:$G$801, 0)+1))&lt;=46.5,2,1)), IF(INDEX(ERP資料!$G:$G, (MATCH(725, 輔助計算!$G$2:$G$801, 0)+1))&lt;=790,3,IF(INDEX(ERP資料!$G:$G, (MATCH(725, 輔助計算!$G$2:$G$801, 0)+1))&lt;=1181,2,1)))=1,TEXT(INDEX(ERP資料!$G:$G, (MATCH(725, 輔助計算!$G$2:$G$801, 0)+1)),"0.##"),IF(IF(INDEX(ERP資料!$G:$G, (MATCH(725, 輔助計算!$G$2:$G$801, 0)+1))&lt;100, IF(INDEX(ERP資料!$G:$G, (MATCH(725, 輔助計算!$G$2:$G$801, 0)+1))&lt;=31,3,IF(INDEX(ERP資料!$G:$G, (MATCH(725, 輔助計算!$G$2:$G$801, 0)+1))&lt;=46.5,2,1)), IF(INDEX(ERP資料!$G:$G, (MATCH(725, 輔助計算!$G$2:$G$801, 0)+1))&lt;=790,3,IF(INDEX(ERP資料!$G:$G, (MATCH(725, 輔助計算!$G$2:$G$801, 0)+1))&lt;=1181,2,1)))=2,TEXT(INDEX(ERP資料!$G:$G, (MATCH(725, 輔助計算!$G$2:$G$801, 0)+1)),"0.##")&amp;"+"&amp;TEXT(INDEX(ERP資料!$G:$G, (MATCH(725, 輔助計算!$G$2:$G$801, 0)+1)),"0.##"),TEXT(INDEX(ERP資料!$G:$G, (MATCH(725, 輔助計算!$G$2:$G$801, 0)+1)),"0.##")&amp;"+"&amp;TEXT(INDEX(ERP資料!$G:$G, (MATCH(725, 輔助計算!$G$2:$G$801, 0)+1)),"0.##")&amp;"+"&amp;TEXT(INDEX(ERP資料!$G:$G, (MATCH(725, 輔助計算!$G$2:$G$801, 0)+1)),"0.##")))&amp;"-"&amp;INT(INDEX(輔助計算!$D:$D, (MATCH(725, 輔助計算!$G$2:$G$801, 0)+1))/IF(INDEX(ERP資料!$G:$G, (MATCH(725, 輔助計算!$G$2:$G$801, 0)+1))&lt;100, IF(INDEX(ERP資料!$G:$G, (MATCH(725, 輔助計算!$G$2:$G$801, 0)+1))&lt;=31,3,IF(INDEX(ERP資料!$G:$G, (MATCH(725, 輔助計算!$G$2:$G$801, 0)+1))&lt;=46.5,2,1)), IF(INDEX(ERP資料!$G:$G, (MATCH(725, 輔助計算!$G$2:$G$801, 0)+1))&lt;=790,3,IF(INDEX(ERP資料!$G:$G, (MATCH(725, 輔助計算!$G$2:$G$801, 0)+1))&lt;=1181,2,1)))), "")&amp;IF(AND(IF(INT(INDEX(輔助計算!$D:$D, (MATCH(725, 輔助計算!$G$2:$G$801, 0)+1))/IF(INDEX(ERP資料!$G:$G, (MATCH(725, 輔助計算!$G$2:$G$801, 0)+1))&lt;100, IF(INDEX(ERP資料!$G:$G, (MATCH(725, 輔助計算!$G$2:$G$801, 0)+1))&lt;=31,3,IF(INDEX(ERP資料!$G:$G, (MATCH(725, 輔助計算!$G$2:$G$801, 0)+1))&lt;=46.5,2,1)), IF(INDEX(ERP資料!$G:$G, (MATCH(725, 輔助計算!$G$2:$G$801, 0)+1))&lt;=790,3,IF(INDEX(ERP資料!$G:$G, (MATCH(725, 輔助計算!$G$2:$G$801, 0)+1))&lt;=1181,2,1))))&gt;0, IF(IF(INDEX(ERP資料!$G:$G, (MATCH(725, 輔助計算!$G$2:$G$801, 0)+1))&lt;100, IF(INDEX(ERP資料!$G:$G, (MATCH(725, 輔助計算!$G$2:$G$801, 0)+1))&lt;=31,3,IF(INDEX(ERP資料!$G:$G, (MATCH(725, 輔助計算!$G$2:$G$801, 0)+1))&lt;=46.5,2,1)), IF(INDEX(ERP資料!$G:$G, (MATCH(725, 輔助計算!$G$2:$G$801, 0)+1))&lt;=790,3,IF(INDEX(ERP資料!$G:$G, (MATCH(725, 輔助計算!$G$2:$G$801, 0)+1))&lt;=1181,2,1)))=1,TEXT(INDEX(ERP資料!$G:$G, (MATCH(725, 輔助計算!$G$2:$G$801, 0)+1)),"0.##"),IF(IF(INDEX(ERP資料!$G:$G, (MATCH(725, 輔助計算!$G$2:$G$801, 0)+1))&lt;100, IF(INDEX(ERP資料!$G:$G, (MATCH(725, 輔助計算!$G$2:$G$801, 0)+1))&lt;=31,3,IF(INDEX(ERP資料!$G:$G, (MATCH(725, 輔助計算!$G$2:$G$801, 0)+1))&lt;=46.5,2,1)), IF(INDEX(ERP資料!$G:$G, (MATCH(725, 輔助計算!$G$2:$G$801, 0)+1))&lt;=790,3,IF(INDEX(ERP資料!$G:$G, (MATCH(725, 輔助計算!$G$2:$G$801, 0)+1))&lt;=1181,2,1)))=2,TEXT(INDEX(ERP資料!$G:$G, (MATCH(725, 輔助計算!$G$2:$G$801, 0)+1)),"0.##")&amp;"+"&amp;TEXT(INDEX(ERP資料!$G:$G, (MATCH(725, 輔助計算!$G$2:$G$801, 0)+1)),"0.##"),TEXT(INDEX(ERP資料!$G:$G, (MATCH(725, 輔助計算!$G$2:$G$801, 0)+1)),"0.##")&amp;"+"&amp;TEXT(INDEX(ERP資料!$G:$G, (MATCH(725, 輔助計算!$G$2:$G$801, 0)+1)),"0.##")&amp;"+"&amp;TEXT(INDEX(ERP資料!$G:$G, (MATCH(725, 輔助計算!$G$2:$G$801, 0)+1)),"0.##")))&amp;"-"&amp;INT(INDEX(輔助計算!$D:$D, (MATCH(725, 輔助計算!$G$2:$G$801, 0)+1))/IF(INDEX(ERP資料!$G:$G, (MATCH(725, 輔助計算!$G$2:$G$801, 0)+1))&lt;100, IF(INDEX(ERP資料!$G:$G, (MATCH(725, 輔助計算!$G$2:$G$801, 0)+1))&lt;=31,3,IF(INDEX(ERP資料!$G:$G, (MATCH(725, 輔助計算!$G$2:$G$801, 0)+1))&lt;=46.5,2,1)), IF(INDEX(ERP資料!$G:$G, (MATCH(725, 輔助計算!$G$2:$G$801, 0)+1))&lt;=790,3,IF(INDEX(ERP資料!$G:$G, (MATCH(725, 輔助計算!$G$2:$G$801, 0)+1))&lt;=1181,2,1)))), "")&lt;&gt;"",IF(MOD(INDEX(輔助計算!$D:$D, (MATCH(725, 輔助計算!$G$2:$G$801, 0)+1)),IF(INDEX(ERP資料!$G:$G, (MATCH(725, 輔助計算!$G$2:$G$801, 0)+1))&lt;100, IF(INDEX(ERP資料!$G:$G, (MATCH(725, 輔助計算!$G$2:$G$801, 0)+1))&lt;=31,3,IF(INDEX(ERP資料!$G:$G, (MATCH(725, 輔助計算!$G$2:$G$801, 0)+1))&lt;=46.5,2,1)), IF(INDEX(ERP資料!$G:$G, (MATCH(725, 輔助計算!$G$2:$G$801, 0)+1))&lt;=790,3,IF(INDEX(ERP資料!$G:$G, (MATCH(725, 輔助計算!$G$2:$G$801, 0)+1))&lt;=1181,2,1))))=0,"",IF(MOD(INDEX(輔助計算!$D:$D, (MATCH(725, 輔助計算!$G$2:$G$801, 0)+1)),IF(INDEX(ERP資料!$G:$G, (MATCH(725, 輔助計算!$G$2:$G$801, 0)+1))&lt;100, IF(INDEX(ERP資料!$G:$G, (MATCH(725, 輔助計算!$G$2:$G$801, 0)+1))&lt;=31,3,IF(INDEX(ERP資料!$G:$G, (MATCH(725, 輔助計算!$G$2:$G$801, 0)+1))&lt;=46.5,2,1)), IF(INDEX(ERP資料!$G:$G, (MATCH(725, 輔助計算!$G$2:$G$801, 0)+1))&lt;=790,3,IF(INDEX(ERP資料!$G:$G, (MATCH(725, 輔助計算!$G$2:$G$801, 0)+1))&lt;=1181,2,1))))=0,"",IF(MOD(INDEX(輔助計算!$D:$D, (MATCH(725, 輔助計算!$G$2:$G$801, 0)+1)),IF(INDEX(ERP資料!$G:$G, (MATCH(725, 輔助計算!$G$2:$G$801, 0)+1))&lt;100, IF(INDEX(ERP資料!$G:$G, (MATCH(725, 輔助計算!$G$2:$G$801, 0)+1))&lt;=31,3,IF(INDEX(ERP資料!$G:$G, (MATCH(725, 輔助計算!$G$2:$G$801, 0)+1))&lt;=46.5,2,1)), IF(INDEX(ERP資料!$G:$G, (MATCH(725, 輔助計算!$G$2:$G$801, 0)+1))&lt;=790,3,IF(INDEX(ERP資料!$G:$G, (MATCH(725, 輔助計算!$G$2:$G$801, 0)+1))&lt;=1181,2,1))))=1,TEXT(INDEX(ERP資料!$G:$G, (MATCH(725, 輔助計算!$G$2:$G$801, 0)+1)),"0.##"),IF(MOD(INDEX(輔助計算!$D:$D, (MATCH(725, 輔助計算!$G$2:$G$801, 0)+1)),IF(INDEX(ERP資料!$G:$G, (MATCH(725, 輔助計算!$G$2:$G$801, 0)+1))&lt;100, IF(INDEX(ERP資料!$G:$G, (MATCH(725, 輔助計算!$G$2:$G$801, 0)+1))&lt;=31,3,IF(INDEX(ERP資料!$G:$G, (MATCH(725, 輔助計算!$G$2:$G$801, 0)+1))&lt;=46.5,2,1)), IF(INDEX(ERP資料!$G:$G, (MATCH(725, 輔助計算!$G$2:$G$801, 0)+1))&lt;=790,3,IF(INDEX(ERP資料!$G:$G, (MATCH(725, 輔助計算!$G$2:$G$801, 0)+1))&lt;=1181,2,1))))=2,TEXT(INDEX(ERP資料!$G:$G, (MATCH(725, 輔助計算!$G$2:$G$801, 0)+1)),"0.##")&amp;"+"&amp;TEXT(INDEX(ERP資料!$G:$G, (MATCH(725, 輔助計算!$G$2:$G$801, 0)+1)),"0.##"),TEXT(INDEX(ERP資料!$G:$G, (MATCH(725, 輔助計算!$G$2:$G$801, 0)+1)),"0.##")&amp;"+"&amp;TEXT(INDEX(ERP資料!$G:$G, (MATCH(725, 輔助計算!$G$2:$G$801, 0)+1)),"0.##")&amp;"+"&amp;TEXT(INDEX(ERP資料!$G:$G, (MATCH(725, 輔助計算!$G$2:$G$801, 0)+1)),"0.##"))))&amp;"-1")&lt;&gt;""),"  ","")&amp;IF(MOD(INDEX(輔助計算!$D:$D, (MATCH(725, 輔助計算!$G$2:$G$801, 0)+1)),IF(INDEX(ERP資料!$G:$G, (MATCH(725, 輔助計算!$G$2:$G$801, 0)+1))&lt;100, IF(INDEX(ERP資料!$G:$G, (MATCH(725, 輔助計算!$G$2:$G$801, 0)+1))&lt;=31,3,IF(INDEX(ERP資料!$G:$G, (MATCH(725, 輔助計算!$G$2:$G$801, 0)+1))&lt;=46.5,2,1)), IF(INDEX(ERP資料!$G:$G, (MATCH(725, 輔助計算!$G$2:$G$801, 0)+1))&lt;=790,3,IF(INDEX(ERP資料!$G:$G, (MATCH(725, 輔助計算!$G$2:$G$801, 0)+1))&lt;=1181,2,1))))=0,"",IF(MOD(INDEX(輔助計算!$D:$D, (MATCH(725, 輔助計算!$G$2:$G$801, 0)+1)),IF(INDEX(ERP資料!$G:$G, (MATCH(725, 輔助計算!$G$2:$G$801, 0)+1))&lt;100, IF(INDEX(ERP資料!$G:$G, (MATCH(725, 輔助計算!$G$2:$G$801, 0)+1))&lt;=31,3,IF(INDEX(ERP資料!$G:$G, (MATCH(725, 輔助計算!$G$2:$G$801, 0)+1))&lt;=46.5,2,1)), IF(INDEX(ERP資料!$G:$G, (MATCH(725, 輔助計算!$G$2:$G$801, 0)+1))&lt;=790,3,IF(INDEX(ERP資料!$G:$G, (MATCH(725, 輔助計算!$G$2:$G$801, 0)+1))&lt;=1181,2,1))))=0,"",IF(MOD(INDEX(輔助計算!$D:$D, (MATCH(725, 輔助計算!$G$2:$G$801, 0)+1)),IF(INDEX(ERP資料!$G:$G, (MATCH(725, 輔助計算!$G$2:$G$801, 0)+1))&lt;100, IF(INDEX(ERP資料!$G:$G, (MATCH(725, 輔助計算!$G$2:$G$801, 0)+1))&lt;=31,3,IF(INDEX(ERP資料!$G:$G, (MATCH(725, 輔助計算!$G$2:$G$801, 0)+1))&lt;=46.5,2,1)), IF(INDEX(ERP資料!$G:$G, (MATCH(725, 輔助計算!$G$2:$G$801, 0)+1))&lt;=790,3,IF(INDEX(ERP資料!$G:$G, (MATCH(725, 輔助計算!$G$2:$G$801, 0)+1))&lt;=1181,2,1))))=1,TEXT(INDEX(ERP資料!$G:$G, (MATCH(725, 輔助計算!$G$2:$G$801, 0)+1)),"0.##"),IF(MOD(INDEX(輔助計算!$D:$D, (MATCH(725, 輔助計算!$G$2:$G$801, 0)+1)),IF(INDEX(ERP資料!$G:$G, (MATCH(725, 輔助計算!$G$2:$G$801, 0)+1))&lt;100, IF(INDEX(ERP資料!$G:$G, (MATCH(725, 輔助計算!$G$2:$G$801, 0)+1))&lt;=31,3,IF(INDEX(ERP資料!$G:$G, (MATCH(725, 輔助計算!$G$2:$G$801, 0)+1))&lt;=46.5,2,1)), IF(INDEX(ERP資料!$G:$G, (MATCH(725, 輔助計算!$G$2:$G$801, 0)+1))&lt;=790,3,IF(INDEX(ERP資料!$G:$G, (MATCH(725, 輔助計算!$G$2:$G$801, 0)+1))&lt;=1181,2,1))))=2,TEXT(INDEX(ERP資料!$G:$G, (MATCH(725, 輔助計算!$G$2:$G$801, 0)+1)),"0.##")&amp;"+"&amp;TEXT(INDEX(ERP資料!$G:$G, (MATCH(725, 輔助計算!$G$2:$G$801, 0)+1)),"0.##"),TEXT(INDEX(ERP資料!$G:$G, (MATCH(725, 輔助計算!$G$2:$G$801, 0)+1)),"0.##")&amp;"+"&amp;TEXT(INDEX(ERP資料!$G:$G, (MATCH(725, 輔助計算!$G$2:$G$801, 0)+1)),"0.##")&amp;"+"&amp;TEXT(INDEX(ERP資料!$G:$G, (MATCH(725, 輔助計算!$G$2:$G$801, 0)+1)),"0.##"))))&amp;"-1")), ""), "")</f>
        <v/>
      </c>
      <c r="K726" s="16" t="n"/>
      <c r="L726" s="14">
        <f>IFERROR(IF(AND(IFERROR(INDEX(ERP資料!$A:$A, (MATCH(725, 輔助計算!$G$2:$G$801, 0)+1)), "")&lt;&gt;"", IFERROR(INDEX(ERP資料!$A:$A, (MATCH(725, 輔助計算!$G$2:$G$801, 0)+1)), "")&lt;&gt;IFERROR(INDEX(ERP資料!$A:$A, MATCH(724, 輔助計算!$G$2:$G$801, 0)+1), "")), INDEX(ERP資料!$B:$B, (MATCH(725, 輔助計算!$G$2:$G$801, 0)+1)), ""), "")</f>
        <v/>
      </c>
      <c r="M726" s="17" t="n"/>
    </row>
    <row r="727">
      <c r="A727" s="10">
        <f>IFERROR(IF(AND(IFERROR(INDEX(ERP資料!$A:$A, (MATCH(726, 輔助計算!$G$2:$G$801, 0)+1)), "")&lt;&gt;"", IFERROR(INDEX(ERP資料!$A:$A, (MATCH(726, 輔助計算!$G$2:$G$801, 0)+1)), "")&lt;&gt;IFERROR(INDEX(ERP資料!$A:$A, MATCH(725, 輔助計算!$G$2:$G$801, 0)+1), "")), IFERROR(INDEX(ERP資料!$A:$A, (MATCH(726, 輔助計算!$G$2:$G$801, 0)+1)), ""), ""), "")</f>
        <v/>
      </c>
      <c r="B727" s="10">
        <f>IFERROR(IF(AND(IFERROR(INDEX(ERP資料!$A:$A, (MATCH(726, 輔助計算!$G$2:$G$801, 0)+1)), "")&lt;&gt;"", IFERROR(INDEX(ERP資料!$A:$A, (MATCH(726, 輔助計算!$G$2:$G$801, 0)+1)), "")&lt;&gt;IFERROR(INDEX(ERP資料!$A:$A, MATCH(725, 輔助計算!$G$2:$G$801, 0)+1), "")), INDEX(ERP資料!$S:$S, (MATCH(726, 輔助計算!$G$2:$G$801, 0)+1)), ""), "")</f>
        <v/>
      </c>
      <c r="C727" s="19">
        <f>IFERROR(IF(AND(IFERROR(INDEX(ERP資料!$A:$A, (MATCH(726, 輔助計算!$G$2:$G$801, 0)+1)), "")&lt;&gt;"", IFERROR(INDEX(ERP資料!$A:$A, (MATCH(726, 輔助計算!$G$2:$G$801, 0)+1)), "")&lt;&gt;IFERROR(INDEX(ERP資料!$A:$A, MATCH(725, 輔助計算!$G$2:$G$801, 0)+1), "")), IFERROR(VLOOKUP(LEFT(INDEX(ERP資料!$S:$S, (MATCH(726, 輔助計算!$G$2:$G$801, 0)+1)), 4), 紙管對照表!$A:$C, 3, FALSE), ""), ""), "")</f>
        <v/>
      </c>
      <c r="D727" s="16" t="n"/>
      <c r="E727" s="10">
        <f>IFERROR(IF(INDEX(ERP資料!$H:$H, (MATCH(726, 輔助計算!$G$2:$G$801, 0)+1))="","",INDEX(ERP資料!$H:$H, (MATCH(726, 輔助計算!$G$2:$G$801, 0)+1))), "")</f>
        <v/>
      </c>
      <c r="F727" s="10">
        <f>IFERROR(IF(INDEX(ERP資料!$E:$E, (MATCH(726, 輔助計算!$G$2:$G$801, 0)+1))="","",TRIM(INDEX(ERP資料!$E:$E, (MATCH(726, 輔助計算!$G$2:$G$801, 0)+1)))), "")</f>
        <v/>
      </c>
      <c r="G727" s="10">
        <f>IFERROR(IF(INDEX(ERP資料!$F:$F, (MATCH(726, 輔助計算!$G$2:$G$801, 0)+1))="","",INDEX(ERP資料!$F:$F, (MATCH(726, 輔助計算!$G$2:$G$801, 0)+1))), "")</f>
        <v/>
      </c>
      <c r="H727" s="10">
        <f>IFERROR(IF(INDEX(ERP資料!$G:$G, (MATCH(726, 輔助計算!$G$2:$G$801, 0)+1))="","",INDEX(ERP資料!$G:$G, (MATCH(726, 輔助計算!$G$2:$G$801, 0)+1))), "")</f>
        <v/>
      </c>
      <c r="I727" s="15">
        <f>IFERROR(INDEX(輔助計算!$D:$D, (MATCH(726, 輔助計算!$G$2:$G$801, 0)+1)), "")</f>
        <v/>
      </c>
      <c r="J727" s="15">
        <f>IFERROR(IF(AND(INDEX(輔助計算!$D:$D, (MATCH(726, 輔助計算!$G$2:$G$801, 0)+1))&lt;&gt;"", INDEX(ERP資料!$G:$G, (MATCH(726, 輔助計算!$G$2:$G$801, 0)+1))&lt;&gt;""), TRIM(IF(INT(INDEX(輔助計算!$D:$D, (MATCH(726, 輔助計算!$G$2:$G$801, 0)+1))/IF(INDEX(ERP資料!$G:$G, (MATCH(726, 輔助計算!$G$2:$G$801, 0)+1))&lt;100, IF(INDEX(ERP資料!$G:$G, (MATCH(726, 輔助計算!$G$2:$G$801, 0)+1))&lt;=31,3,IF(INDEX(ERP資料!$G:$G, (MATCH(726, 輔助計算!$G$2:$G$801, 0)+1))&lt;=46.5,2,1)), IF(INDEX(ERP資料!$G:$G, (MATCH(726, 輔助計算!$G$2:$G$801, 0)+1))&lt;=790,3,IF(INDEX(ERP資料!$G:$G, (MATCH(726, 輔助計算!$G$2:$G$801, 0)+1))&lt;=1181,2,1))))&gt;0, IF(IF(INDEX(ERP資料!$G:$G, (MATCH(726, 輔助計算!$G$2:$G$801, 0)+1))&lt;100, IF(INDEX(ERP資料!$G:$G, (MATCH(726, 輔助計算!$G$2:$G$801, 0)+1))&lt;=31,3,IF(INDEX(ERP資料!$G:$G, (MATCH(726, 輔助計算!$G$2:$G$801, 0)+1))&lt;=46.5,2,1)), IF(INDEX(ERP資料!$G:$G, (MATCH(726, 輔助計算!$G$2:$G$801, 0)+1))&lt;=790,3,IF(INDEX(ERP資料!$G:$G, (MATCH(726, 輔助計算!$G$2:$G$801, 0)+1))&lt;=1181,2,1)))=1,TEXT(INDEX(ERP資料!$G:$G, (MATCH(726, 輔助計算!$G$2:$G$801, 0)+1)),"0.##"),IF(IF(INDEX(ERP資料!$G:$G, (MATCH(726, 輔助計算!$G$2:$G$801, 0)+1))&lt;100, IF(INDEX(ERP資料!$G:$G, (MATCH(726, 輔助計算!$G$2:$G$801, 0)+1))&lt;=31,3,IF(INDEX(ERP資料!$G:$G, (MATCH(726, 輔助計算!$G$2:$G$801, 0)+1))&lt;=46.5,2,1)), IF(INDEX(ERP資料!$G:$G, (MATCH(726, 輔助計算!$G$2:$G$801, 0)+1))&lt;=790,3,IF(INDEX(ERP資料!$G:$G, (MATCH(726, 輔助計算!$G$2:$G$801, 0)+1))&lt;=1181,2,1)))=2,TEXT(INDEX(ERP資料!$G:$G, (MATCH(726, 輔助計算!$G$2:$G$801, 0)+1)),"0.##")&amp;"+"&amp;TEXT(INDEX(ERP資料!$G:$G, (MATCH(726, 輔助計算!$G$2:$G$801, 0)+1)),"0.##"),TEXT(INDEX(ERP資料!$G:$G, (MATCH(726, 輔助計算!$G$2:$G$801, 0)+1)),"0.##")&amp;"+"&amp;TEXT(INDEX(ERP資料!$G:$G, (MATCH(726, 輔助計算!$G$2:$G$801, 0)+1)),"0.##")&amp;"+"&amp;TEXT(INDEX(ERP資料!$G:$G, (MATCH(726, 輔助計算!$G$2:$G$801, 0)+1)),"0.##")))&amp;"-"&amp;INT(INDEX(輔助計算!$D:$D, (MATCH(726, 輔助計算!$G$2:$G$801, 0)+1))/IF(INDEX(ERP資料!$G:$G, (MATCH(726, 輔助計算!$G$2:$G$801, 0)+1))&lt;100, IF(INDEX(ERP資料!$G:$G, (MATCH(726, 輔助計算!$G$2:$G$801, 0)+1))&lt;=31,3,IF(INDEX(ERP資料!$G:$G, (MATCH(726, 輔助計算!$G$2:$G$801, 0)+1))&lt;=46.5,2,1)), IF(INDEX(ERP資料!$G:$G, (MATCH(726, 輔助計算!$G$2:$G$801, 0)+1))&lt;=790,3,IF(INDEX(ERP資料!$G:$G, (MATCH(726, 輔助計算!$G$2:$G$801, 0)+1))&lt;=1181,2,1)))), "")&amp;IF(AND(IF(INT(INDEX(輔助計算!$D:$D, (MATCH(726, 輔助計算!$G$2:$G$801, 0)+1))/IF(INDEX(ERP資料!$G:$G, (MATCH(726, 輔助計算!$G$2:$G$801, 0)+1))&lt;100, IF(INDEX(ERP資料!$G:$G, (MATCH(726, 輔助計算!$G$2:$G$801, 0)+1))&lt;=31,3,IF(INDEX(ERP資料!$G:$G, (MATCH(726, 輔助計算!$G$2:$G$801, 0)+1))&lt;=46.5,2,1)), IF(INDEX(ERP資料!$G:$G, (MATCH(726, 輔助計算!$G$2:$G$801, 0)+1))&lt;=790,3,IF(INDEX(ERP資料!$G:$G, (MATCH(726, 輔助計算!$G$2:$G$801, 0)+1))&lt;=1181,2,1))))&gt;0, IF(IF(INDEX(ERP資料!$G:$G, (MATCH(726, 輔助計算!$G$2:$G$801, 0)+1))&lt;100, IF(INDEX(ERP資料!$G:$G, (MATCH(726, 輔助計算!$G$2:$G$801, 0)+1))&lt;=31,3,IF(INDEX(ERP資料!$G:$G, (MATCH(726, 輔助計算!$G$2:$G$801, 0)+1))&lt;=46.5,2,1)), IF(INDEX(ERP資料!$G:$G, (MATCH(726, 輔助計算!$G$2:$G$801, 0)+1))&lt;=790,3,IF(INDEX(ERP資料!$G:$G, (MATCH(726, 輔助計算!$G$2:$G$801, 0)+1))&lt;=1181,2,1)))=1,TEXT(INDEX(ERP資料!$G:$G, (MATCH(726, 輔助計算!$G$2:$G$801, 0)+1)),"0.##"),IF(IF(INDEX(ERP資料!$G:$G, (MATCH(726, 輔助計算!$G$2:$G$801, 0)+1))&lt;100, IF(INDEX(ERP資料!$G:$G, (MATCH(726, 輔助計算!$G$2:$G$801, 0)+1))&lt;=31,3,IF(INDEX(ERP資料!$G:$G, (MATCH(726, 輔助計算!$G$2:$G$801, 0)+1))&lt;=46.5,2,1)), IF(INDEX(ERP資料!$G:$G, (MATCH(726, 輔助計算!$G$2:$G$801, 0)+1))&lt;=790,3,IF(INDEX(ERP資料!$G:$G, (MATCH(726, 輔助計算!$G$2:$G$801, 0)+1))&lt;=1181,2,1)))=2,TEXT(INDEX(ERP資料!$G:$G, (MATCH(726, 輔助計算!$G$2:$G$801, 0)+1)),"0.##")&amp;"+"&amp;TEXT(INDEX(ERP資料!$G:$G, (MATCH(726, 輔助計算!$G$2:$G$801, 0)+1)),"0.##"),TEXT(INDEX(ERP資料!$G:$G, (MATCH(726, 輔助計算!$G$2:$G$801, 0)+1)),"0.##")&amp;"+"&amp;TEXT(INDEX(ERP資料!$G:$G, (MATCH(726, 輔助計算!$G$2:$G$801, 0)+1)),"0.##")&amp;"+"&amp;TEXT(INDEX(ERP資料!$G:$G, (MATCH(726, 輔助計算!$G$2:$G$801, 0)+1)),"0.##")))&amp;"-"&amp;INT(INDEX(輔助計算!$D:$D, (MATCH(726, 輔助計算!$G$2:$G$801, 0)+1))/IF(INDEX(ERP資料!$G:$G, (MATCH(726, 輔助計算!$G$2:$G$801, 0)+1))&lt;100, IF(INDEX(ERP資料!$G:$G, (MATCH(726, 輔助計算!$G$2:$G$801, 0)+1))&lt;=31,3,IF(INDEX(ERP資料!$G:$G, (MATCH(726, 輔助計算!$G$2:$G$801, 0)+1))&lt;=46.5,2,1)), IF(INDEX(ERP資料!$G:$G, (MATCH(726, 輔助計算!$G$2:$G$801, 0)+1))&lt;=790,3,IF(INDEX(ERP資料!$G:$G, (MATCH(726, 輔助計算!$G$2:$G$801, 0)+1))&lt;=1181,2,1)))), "")&lt;&gt;"",IF(MOD(INDEX(輔助計算!$D:$D, (MATCH(726, 輔助計算!$G$2:$G$801, 0)+1)),IF(INDEX(ERP資料!$G:$G, (MATCH(726, 輔助計算!$G$2:$G$801, 0)+1))&lt;100, IF(INDEX(ERP資料!$G:$G, (MATCH(726, 輔助計算!$G$2:$G$801, 0)+1))&lt;=31,3,IF(INDEX(ERP資料!$G:$G, (MATCH(726, 輔助計算!$G$2:$G$801, 0)+1))&lt;=46.5,2,1)), IF(INDEX(ERP資料!$G:$G, (MATCH(726, 輔助計算!$G$2:$G$801, 0)+1))&lt;=790,3,IF(INDEX(ERP資料!$G:$G, (MATCH(726, 輔助計算!$G$2:$G$801, 0)+1))&lt;=1181,2,1))))=0,"",IF(MOD(INDEX(輔助計算!$D:$D, (MATCH(726, 輔助計算!$G$2:$G$801, 0)+1)),IF(INDEX(ERP資料!$G:$G, (MATCH(726, 輔助計算!$G$2:$G$801, 0)+1))&lt;100, IF(INDEX(ERP資料!$G:$G, (MATCH(726, 輔助計算!$G$2:$G$801, 0)+1))&lt;=31,3,IF(INDEX(ERP資料!$G:$G, (MATCH(726, 輔助計算!$G$2:$G$801, 0)+1))&lt;=46.5,2,1)), IF(INDEX(ERP資料!$G:$G, (MATCH(726, 輔助計算!$G$2:$G$801, 0)+1))&lt;=790,3,IF(INDEX(ERP資料!$G:$G, (MATCH(726, 輔助計算!$G$2:$G$801, 0)+1))&lt;=1181,2,1))))=0,"",IF(MOD(INDEX(輔助計算!$D:$D, (MATCH(726, 輔助計算!$G$2:$G$801, 0)+1)),IF(INDEX(ERP資料!$G:$G, (MATCH(726, 輔助計算!$G$2:$G$801, 0)+1))&lt;100, IF(INDEX(ERP資料!$G:$G, (MATCH(726, 輔助計算!$G$2:$G$801, 0)+1))&lt;=31,3,IF(INDEX(ERP資料!$G:$G, (MATCH(726, 輔助計算!$G$2:$G$801, 0)+1))&lt;=46.5,2,1)), IF(INDEX(ERP資料!$G:$G, (MATCH(726, 輔助計算!$G$2:$G$801, 0)+1))&lt;=790,3,IF(INDEX(ERP資料!$G:$G, (MATCH(726, 輔助計算!$G$2:$G$801, 0)+1))&lt;=1181,2,1))))=1,TEXT(INDEX(ERP資料!$G:$G, (MATCH(726, 輔助計算!$G$2:$G$801, 0)+1)),"0.##"),IF(MOD(INDEX(輔助計算!$D:$D, (MATCH(726, 輔助計算!$G$2:$G$801, 0)+1)),IF(INDEX(ERP資料!$G:$G, (MATCH(726, 輔助計算!$G$2:$G$801, 0)+1))&lt;100, IF(INDEX(ERP資料!$G:$G, (MATCH(726, 輔助計算!$G$2:$G$801, 0)+1))&lt;=31,3,IF(INDEX(ERP資料!$G:$G, (MATCH(726, 輔助計算!$G$2:$G$801, 0)+1))&lt;=46.5,2,1)), IF(INDEX(ERP資料!$G:$G, (MATCH(726, 輔助計算!$G$2:$G$801, 0)+1))&lt;=790,3,IF(INDEX(ERP資料!$G:$G, (MATCH(726, 輔助計算!$G$2:$G$801, 0)+1))&lt;=1181,2,1))))=2,TEXT(INDEX(ERP資料!$G:$G, (MATCH(726, 輔助計算!$G$2:$G$801, 0)+1)),"0.##")&amp;"+"&amp;TEXT(INDEX(ERP資料!$G:$G, (MATCH(726, 輔助計算!$G$2:$G$801, 0)+1)),"0.##"),TEXT(INDEX(ERP資料!$G:$G, (MATCH(726, 輔助計算!$G$2:$G$801, 0)+1)),"0.##")&amp;"+"&amp;TEXT(INDEX(ERP資料!$G:$G, (MATCH(726, 輔助計算!$G$2:$G$801, 0)+1)),"0.##")&amp;"+"&amp;TEXT(INDEX(ERP資料!$G:$G, (MATCH(726, 輔助計算!$G$2:$G$801, 0)+1)),"0.##"))))&amp;"-1")&lt;&gt;""),"  ","")&amp;IF(MOD(INDEX(輔助計算!$D:$D, (MATCH(726, 輔助計算!$G$2:$G$801, 0)+1)),IF(INDEX(ERP資料!$G:$G, (MATCH(726, 輔助計算!$G$2:$G$801, 0)+1))&lt;100, IF(INDEX(ERP資料!$G:$G, (MATCH(726, 輔助計算!$G$2:$G$801, 0)+1))&lt;=31,3,IF(INDEX(ERP資料!$G:$G, (MATCH(726, 輔助計算!$G$2:$G$801, 0)+1))&lt;=46.5,2,1)), IF(INDEX(ERP資料!$G:$G, (MATCH(726, 輔助計算!$G$2:$G$801, 0)+1))&lt;=790,3,IF(INDEX(ERP資料!$G:$G, (MATCH(726, 輔助計算!$G$2:$G$801, 0)+1))&lt;=1181,2,1))))=0,"",IF(MOD(INDEX(輔助計算!$D:$D, (MATCH(726, 輔助計算!$G$2:$G$801, 0)+1)),IF(INDEX(ERP資料!$G:$G, (MATCH(726, 輔助計算!$G$2:$G$801, 0)+1))&lt;100, IF(INDEX(ERP資料!$G:$G, (MATCH(726, 輔助計算!$G$2:$G$801, 0)+1))&lt;=31,3,IF(INDEX(ERP資料!$G:$G, (MATCH(726, 輔助計算!$G$2:$G$801, 0)+1))&lt;=46.5,2,1)), IF(INDEX(ERP資料!$G:$G, (MATCH(726, 輔助計算!$G$2:$G$801, 0)+1))&lt;=790,3,IF(INDEX(ERP資料!$G:$G, (MATCH(726, 輔助計算!$G$2:$G$801, 0)+1))&lt;=1181,2,1))))=0,"",IF(MOD(INDEX(輔助計算!$D:$D, (MATCH(726, 輔助計算!$G$2:$G$801, 0)+1)),IF(INDEX(ERP資料!$G:$G, (MATCH(726, 輔助計算!$G$2:$G$801, 0)+1))&lt;100, IF(INDEX(ERP資料!$G:$G, (MATCH(726, 輔助計算!$G$2:$G$801, 0)+1))&lt;=31,3,IF(INDEX(ERP資料!$G:$G, (MATCH(726, 輔助計算!$G$2:$G$801, 0)+1))&lt;=46.5,2,1)), IF(INDEX(ERP資料!$G:$G, (MATCH(726, 輔助計算!$G$2:$G$801, 0)+1))&lt;=790,3,IF(INDEX(ERP資料!$G:$G, (MATCH(726, 輔助計算!$G$2:$G$801, 0)+1))&lt;=1181,2,1))))=1,TEXT(INDEX(ERP資料!$G:$G, (MATCH(726, 輔助計算!$G$2:$G$801, 0)+1)),"0.##"),IF(MOD(INDEX(輔助計算!$D:$D, (MATCH(726, 輔助計算!$G$2:$G$801, 0)+1)),IF(INDEX(ERP資料!$G:$G, (MATCH(726, 輔助計算!$G$2:$G$801, 0)+1))&lt;100, IF(INDEX(ERP資料!$G:$G, (MATCH(726, 輔助計算!$G$2:$G$801, 0)+1))&lt;=31,3,IF(INDEX(ERP資料!$G:$G, (MATCH(726, 輔助計算!$G$2:$G$801, 0)+1))&lt;=46.5,2,1)), IF(INDEX(ERP資料!$G:$G, (MATCH(726, 輔助計算!$G$2:$G$801, 0)+1))&lt;=790,3,IF(INDEX(ERP資料!$G:$G, (MATCH(726, 輔助計算!$G$2:$G$801, 0)+1))&lt;=1181,2,1))))=2,TEXT(INDEX(ERP資料!$G:$G, (MATCH(726, 輔助計算!$G$2:$G$801, 0)+1)),"0.##")&amp;"+"&amp;TEXT(INDEX(ERP資料!$G:$G, (MATCH(726, 輔助計算!$G$2:$G$801, 0)+1)),"0.##"),TEXT(INDEX(ERP資料!$G:$G, (MATCH(726, 輔助計算!$G$2:$G$801, 0)+1)),"0.##")&amp;"+"&amp;TEXT(INDEX(ERP資料!$G:$G, (MATCH(726, 輔助計算!$G$2:$G$801, 0)+1)),"0.##")&amp;"+"&amp;TEXT(INDEX(ERP資料!$G:$G, (MATCH(726, 輔助計算!$G$2:$G$801, 0)+1)),"0.##"))))&amp;"-1")), ""), "")</f>
        <v/>
      </c>
      <c r="K727" s="16" t="n"/>
      <c r="L727" s="14">
        <f>IFERROR(IF(AND(IFERROR(INDEX(ERP資料!$A:$A, (MATCH(726, 輔助計算!$G$2:$G$801, 0)+1)), "")&lt;&gt;"", IFERROR(INDEX(ERP資料!$A:$A, (MATCH(726, 輔助計算!$G$2:$G$801, 0)+1)), "")&lt;&gt;IFERROR(INDEX(ERP資料!$A:$A, MATCH(725, 輔助計算!$G$2:$G$801, 0)+1), "")), INDEX(ERP資料!$B:$B, (MATCH(726, 輔助計算!$G$2:$G$801, 0)+1)), ""), "")</f>
        <v/>
      </c>
      <c r="M727" s="17" t="n"/>
    </row>
    <row r="728">
      <c r="A728" s="10">
        <f>IFERROR(IF(AND(IFERROR(INDEX(ERP資料!$A:$A, (MATCH(727, 輔助計算!$G$2:$G$801, 0)+1)), "")&lt;&gt;"", IFERROR(INDEX(ERP資料!$A:$A, (MATCH(727, 輔助計算!$G$2:$G$801, 0)+1)), "")&lt;&gt;IFERROR(INDEX(ERP資料!$A:$A, MATCH(726, 輔助計算!$G$2:$G$801, 0)+1), "")), IFERROR(INDEX(ERP資料!$A:$A, (MATCH(727, 輔助計算!$G$2:$G$801, 0)+1)), ""), ""), "")</f>
        <v/>
      </c>
      <c r="B728" s="10">
        <f>IFERROR(IF(AND(IFERROR(INDEX(ERP資料!$A:$A, (MATCH(727, 輔助計算!$G$2:$G$801, 0)+1)), "")&lt;&gt;"", IFERROR(INDEX(ERP資料!$A:$A, (MATCH(727, 輔助計算!$G$2:$G$801, 0)+1)), "")&lt;&gt;IFERROR(INDEX(ERP資料!$A:$A, MATCH(726, 輔助計算!$G$2:$G$801, 0)+1), "")), INDEX(ERP資料!$S:$S, (MATCH(727, 輔助計算!$G$2:$G$801, 0)+1)), ""), "")</f>
        <v/>
      </c>
      <c r="C728" s="19">
        <f>IFERROR(IF(AND(IFERROR(INDEX(ERP資料!$A:$A, (MATCH(727, 輔助計算!$G$2:$G$801, 0)+1)), "")&lt;&gt;"", IFERROR(INDEX(ERP資料!$A:$A, (MATCH(727, 輔助計算!$G$2:$G$801, 0)+1)), "")&lt;&gt;IFERROR(INDEX(ERP資料!$A:$A, MATCH(726, 輔助計算!$G$2:$G$801, 0)+1), "")), IFERROR(VLOOKUP(LEFT(INDEX(ERP資料!$S:$S, (MATCH(727, 輔助計算!$G$2:$G$801, 0)+1)), 4), 紙管對照表!$A:$C, 3, FALSE), ""), ""), "")</f>
        <v/>
      </c>
      <c r="D728" s="16" t="n"/>
      <c r="E728" s="10">
        <f>IFERROR(IF(INDEX(ERP資料!$H:$H, (MATCH(727, 輔助計算!$G$2:$G$801, 0)+1))="","",INDEX(ERP資料!$H:$H, (MATCH(727, 輔助計算!$G$2:$G$801, 0)+1))), "")</f>
        <v/>
      </c>
      <c r="F728" s="10">
        <f>IFERROR(IF(INDEX(ERP資料!$E:$E, (MATCH(727, 輔助計算!$G$2:$G$801, 0)+1))="","",TRIM(INDEX(ERP資料!$E:$E, (MATCH(727, 輔助計算!$G$2:$G$801, 0)+1)))), "")</f>
        <v/>
      </c>
      <c r="G728" s="10">
        <f>IFERROR(IF(INDEX(ERP資料!$F:$F, (MATCH(727, 輔助計算!$G$2:$G$801, 0)+1))="","",INDEX(ERP資料!$F:$F, (MATCH(727, 輔助計算!$G$2:$G$801, 0)+1))), "")</f>
        <v/>
      </c>
      <c r="H728" s="10">
        <f>IFERROR(IF(INDEX(ERP資料!$G:$G, (MATCH(727, 輔助計算!$G$2:$G$801, 0)+1))="","",INDEX(ERP資料!$G:$G, (MATCH(727, 輔助計算!$G$2:$G$801, 0)+1))), "")</f>
        <v/>
      </c>
      <c r="I728" s="15">
        <f>IFERROR(INDEX(輔助計算!$D:$D, (MATCH(727, 輔助計算!$G$2:$G$801, 0)+1)), "")</f>
        <v/>
      </c>
      <c r="J728" s="15">
        <f>IFERROR(IF(AND(INDEX(輔助計算!$D:$D, (MATCH(727, 輔助計算!$G$2:$G$801, 0)+1))&lt;&gt;"", INDEX(ERP資料!$G:$G, (MATCH(727, 輔助計算!$G$2:$G$801, 0)+1))&lt;&gt;""), TRIM(IF(INT(INDEX(輔助計算!$D:$D, (MATCH(727, 輔助計算!$G$2:$G$801, 0)+1))/IF(INDEX(ERP資料!$G:$G, (MATCH(727, 輔助計算!$G$2:$G$801, 0)+1))&lt;100, IF(INDEX(ERP資料!$G:$G, (MATCH(727, 輔助計算!$G$2:$G$801, 0)+1))&lt;=31,3,IF(INDEX(ERP資料!$G:$G, (MATCH(727, 輔助計算!$G$2:$G$801, 0)+1))&lt;=46.5,2,1)), IF(INDEX(ERP資料!$G:$G, (MATCH(727, 輔助計算!$G$2:$G$801, 0)+1))&lt;=790,3,IF(INDEX(ERP資料!$G:$G, (MATCH(727, 輔助計算!$G$2:$G$801, 0)+1))&lt;=1181,2,1))))&gt;0, IF(IF(INDEX(ERP資料!$G:$G, (MATCH(727, 輔助計算!$G$2:$G$801, 0)+1))&lt;100, IF(INDEX(ERP資料!$G:$G, (MATCH(727, 輔助計算!$G$2:$G$801, 0)+1))&lt;=31,3,IF(INDEX(ERP資料!$G:$G, (MATCH(727, 輔助計算!$G$2:$G$801, 0)+1))&lt;=46.5,2,1)), IF(INDEX(ERP資料!$G:$G, (MATCH(727, 輔助計算!$G$2:$G$801, 0)+1))&lt;=790,3,IF(INDEX(ERP資料!$G:$G, (MATCH(727, 輔助計算!$G$2:$G$801, 0)+1))&lt;=1181,2,1)))=1,TEXT(INDEX(ERP資料!$G:$G, (MATCH(727, 輔助計算!$G$2:$G$801, 0)+1)),"0.##"),IF(IF(INDEX(ERP資料!$G:$G, (MATCH(727, 輔助計算!$G$2:$G$801, 0)+1))&lt;100, IF(INDEX(ERP資料!$G:$G, (MATCH(727, 輔助計算!$G$2:$G$801, 0)+1))&lt;=31,3,IF(INDEX(ERP資料!$G:$G, (MATCH(727, 輔助計算!$G$2:$G$801, 0)+1))&lt;=46.5,2,1)), IF(INDEX(ERP資料!$G:$G, (MATCH(727, 輔助計算!$G$2:$G$801, 0)+1))&lt;=790,3,IF(INDEX(ERP資料!$G:$G, (MATCH(727, 輔助計算!$G$2:$G$801, 0)+1))&lt;=1181,2,1)))=2,TEXT(INDEX(ERP資料!$G:$G, (MATCH(727, 輔助計算!$G$2:$G$801, 0)+1)),"0.##")&amp;"+"&amp;TEXT(INDEX(ERP資料!$G:$G, (MATCH(727, 輔助計算!$G$2:$G$801, 0)+1)),"0.##"),TEXT(INDEX(ERP資料!$G:$G, (MATCH(727, 輔助計算!$G$2:$G$801, 0)+1)),"0.##")&amp;"+"&amp;TEXT(INDEX(ERP資料!$G:$G, (MATCH(727, 輔助計算!$G$2:$G$801, 0)+1)),"0.##")&amp;"+"&amp;TEXT(INDEX(ERP資料!$G:$G, (MATCH(727, 輔助計算!$G$2:$G$801, 0)+1)),"0.##")))&amp;"-"&amp;INT(INDEX(輔助計算!$D:$D, (MATCH(727, 輔助計算!$G$2:$G$801, 0)+1))/IF(INDEX(ERP資料!$G:$G, (MATCH(727, 輔助計算!$G$2:$G$801, 0)+1))&lt;100, IF(INDEX(ERP資料!$G:$G, (MATCH(727, 輔助計算!$G$2:$G$801, 0)+1))&lt;=31,3,IF(INDEX(ERP資料!$G:$G, (MATCH(727, 輔助計算!$G$2:$G$801, 0)+1))&lt;=46.5,2,1)), IF(INDEX(ERP資料!$G:$G, (MATCH(727, 輔助計算!$G$2:$G$801, 0)+1))&lt;=790,3,IF(INDEX(ERP資料!$G:$G, (MATCH(727, 輔助計算!$G$2:$G$801, 0)+1))&lt;=1181,2,1)))), "")&amp;IF(AND(IF(INT(INDEX(輔助計算!$D:$D, (MATCH(727, 輔助計算!$G$2:$G$801, 0)+1))/IF(INDEX(ERP資料!$G:$G, (MATCH(727, 輔助計算!$G$2:$G$801, 0)+1))&lt;100, IF(INDEX(ERP資料!$G:$G, (MATCH(727, 輔助計算!$G$2:$G$801, 0)+1))&lt;=31,3,IF(INDEX(ERP資料!$G:$G, (MATCH(727, 輔助計算!$G$2:$G$801, 0)+1))&lt;=46.5,2,1)), IF(INDEX(ERP資料!$G:$G, (MATCH(727, 輔助計算!$G$2:$G$801, 0)+1))&lt;=790,3,IF(INDEX(ERP資料!$G:$G, (MATCH(727, 輔助計算!$G$2:$G$801, 0)+1))&lt;=1181,2,1))))&gt;0, IF(IF(INDEX(ERP資料!$G:$G, (MATCH(727, 輔助計算!$G$2:$G$801, 0)+1))&lt;100, IF(INDEX(ERP資料!$G:$G, (MATCH(727, 輔助計算!$G$2:$G$801, 0)+1))&lt;=31,3,IF(INDEX(ERP資料!$G:$G, (MATCH(727, 輔助計算!$G$2:$G$801, 0)+1))&lt;=46.5,2,1)), IF(INDEX(ERP資料!$G:$G, (MATCH(727, 輔助計算!$G$2:$G$801, 0)+1))&lt;=790,3,IF(INDEX(ERP資料!$G:$G, (MATCH(727, 輔助計算!$G$2:$G$801, 0)+1))&lt;=1181,2,1)))=1,TEXT(INDEX(ERP資料!$G:$G, (MATCH(727, 輔助計算!$G$2:$G$801, 0)+1)),"0.##"),IF(IF(INDEX(ERP資料!$G:$G, (MATCH(727, 輔助計算!$G$2:$G$801, 0)+1))&lt;100, IF(INDEX(ERP資料!$G:$G, (MATCH(727, 輔助計算!$G$2:$G$801, 0)+1))&lt;=31,3,IF(INDEX(ERP資料!$G:$G, (MATCH(727, 輔助計算!$G$2:$G$801, 0)+1))&lt;=46.5,2,1)), IF(INDEX(ERP資料!$G:$G, (MATCH(727, 輔助計算!$G$2:$G$801, 0)+1))&lt;=790,3,IF(INDEX(ERP資料!$G:$G, (MATCH(727, 輔助計算!$G$2:$G$801, 0)+1))&lt;=1181,2,1)))=2,TEXT(INDEX(ERP資料!$G:$G, (MATCH(727, 輔助計算!$G$2:$G$801, 0)+1)),"0.##")&amp;"+"&amp;TEXT(INDEX(ERP資料!$G:$G, (MATCH(727, 輔助計算!$G$2:$G$801, 0)+1)),"0.##"),TEXT(INDEX(ERP資料!$G:$G, (MATCH(727, 輔助計算!$G$2:$G$801, 0)+1)),"0.##")&amp;"+"&amp;TEXT(INDEX(ERP資料!$G:$G, (MATCH(727, 輔助計算!$G$2:$G$801, 0)+1)),"0.##")&amp;"+"&amp;TEXT(INDEX(ERP資料!$G:$G, (MATCH(727, 輔助計算!$G$2:$G$801, 0)+1)),"0.##")))&amp;"-"&amp;INT(INDEX(輔助計算!$D:$D, (MATCH(727, 輔助計算!$G$2:$G$801, 0)+1))/IF(INDEX(ERP資料!$G:$G, (MATCH(727, 輔助計算!$G$2:$G$801, 0)+1))&lt;100, IF(INDEX(ERP資料!$G:$G, (MATCH(727, 輔助計算!$G$2:$G$801, 0)+1))&lt;=31,3,IF(INDEX(ERP資料!$G:$G, (MATCH(727, 輔助計算!$G$2:$G$801, 0)+1))&lt;=46.5,2,1)), IF(INDEX(ERP資料!$G:$G, (MATCH(727, 輔助計算!$G$2:$G$801, 0)+1))&lt;=790,3,IF(INDEX(ERP資料!$G:$G, (MATCH(727, 輔助計算!$G$2:$G$801, 0)+1))&lt;=1181,2,1)))), "")&lt;&gt;"",IF(MOD(INDEX(輔助計算!$D:$D, (MATCH(727, 輔助計算!$G$2:$G$801, 0)+1)),IF(INDEX(ERP資料!$G:$G, (MATCH(727, 輔助計算!$G$2:$G$801, 0)+1))&lt;100, IF(INDEX(ERP資料!$G:$G, (MATCH(727, 輔助計算!$G$2:$G$801, 0)+1))&lt;=31,3,IF(INDEX(ERP資料!$G:$G, (MATCH(727, 輔助計算!$G$2:$G$801, 0)+1))&lt;=46.5,2,1)), IF(INDEX(ERP資料!$G:$G, (MATCH(727, 輔助計算!$G$2:$G$801, 0)+1))&lt;=790,3,IF(INDEX(ERP資料!$G:$G, (MATCH(727, 輔助計算!$G$2:$G$801, 0)+1))&lt;=1181,2,1))))=0,"",IF(MOD(INDEX(輔助計算!$D:$D, (MATCH(727, 輔助計算!$G$2:$G$801, 0)+1)),IF(INDEX(ERP資料!$G:$G, (MATCH(727, 輔助計算!$G$2:$G$801, 0)+1))&lt;100, IF(INDEX(ERP資料!$G:$G, (MATCH(727, 輔助計算!$G$2:$G$801, 0)+1))&lt;=31,3,IF(INDEX(ERP資料!$G:$G, (MATCH(727, 輔助計算!$G$2:$G$801, 0)+1))&lt;=46.5,2,1)), IF(INDEX(ERP資料!$G:$G, (MATCH(727, 輔助計算!$G$2:$G$801, 0)+1))&lt;=790,3,IF(INDEX(ERP資料!$G:$G, (MATCH(727, 輔助計算!$G$2:$G$801, 0)+1))&lt;=1181,2,1))))=0,"",IF(MOD(INDEX(輔助計算!$D:$D, (MATCH(727, 輔助計算!$G$2:$G$801, 0)+1)),IF(INDEX(ERP資料!$G:$G, (MATCH(727, 輔助計算!$G$2:$G$801, 0)+1))&lt;100, IF(INDEX(ERP資料!$G:$G, (MATCH(727, 輔助計算!$G$2:$G$801, 0)+1))&lt;=31,3,IF(INDEX(ERP資料!$G:$G, (MATCH(727, 輔助計算!$G$2:$G$801, 0)+1))&lt;=46.5,2,1)), IF(INDEX(ERP資料!$G:$G, (MATCH(727, 輔助計算!$G$2:$G$801, 0)+1))&lt;=790,3,IF(INDEX(ERP資料!$G:$G, (MATCH(727, 輔助計算!$G$2:$G$801, 0)+1))&lt;=1181,2,1))))=1,TEXT(INDEX(ERP資料!$G:$G, (MATCH(727, 輔助計算!$G$2:$G$801, 0)+1)),"0.##"),IF(MOD(INDEX(輔助計算!$D:$D, (MATCH(727, 輔助計算!$G$2:$G$801, 0)+1)),IF(INDEX(ERP資料!$G:$G, (MATCH(727, 輔助計算!$G$2:$G$801, 0)+1))&lt;100, IF(INDEX(ERP資料!$G:$G, (MATCH(727, 輔助計算!$G$2:$G$801, 0)+1))&lt;=31,3,IF(INDEX(ERP資料!$G:$G, (MATCH(727, 輔助計算!$G$2:$G$801, 0)+1))&lt;=46.5,2,1)), IF(INDEX(ERP資料!$G:$G, (MATCH(727, 輔助計算!$G$2:$G$801, 0)+1))&lt;=790,3,IF(INDEX(ERP資料!$G:$G, (MATCH(727, 輔助計算!$G$2:$G$801, 0)+1))&lt;=1181,2,1))))=2,TEXT(INDEX(ERP資料!$G:$G, (MATCH(727, 輔助計算!$G$2:$G$801, 0)+1)),"0.##")&amp;"+"&amp;TEXT(INDEX(ERP資料!$G:$G, (MATCH(727, 輔助計算!$G$2:$G$801, 0)+1)),"0.##"),TEXT(INDEX(ERP資料!$G:$G, (MATCH(727, 輔助計算!$G$2:$G$801, 0)+1)),"0.##")&amp;"+"&amp;TEXT(INDEX(ERP資料!$G:$G, (MATCH(727, 輔助計算!$G$2:$G$801, 0)+1)),"0.##")&amp;"+"&amp;TEXT(INDEX(ERP資料!$G:$G, (MATCH(727, 輔助計算!$G$2:$G$801, 0)+1)),"0.##"))))&amp;"-1")&lt;&gt;""),"  ","")&amp;IF(MOD(INDEX(輔助計算!$D:$D, (MATCH(727, 輔助計算!$G$2:$G$801, 0)+1)),IF(INDEX(ERP資料!$G:$G, (MATCH(727, 輔助計算!$G$2:$G$801, 0)+1))&lt;100, IF(INDEX(ERP資料!$G:$G, (MATCH(727, 輔助計算!$G$2:$G$801, 0)+1))&lt;=31,3,IF(INDEX(ERP資料!$G:$G, (MATCH(727, 輔助計算!$G$2:$G$801, 0)+1))&lt;=46.5,2,1)), IF(INDEX(ERP資料!$G:$G, (MATCH(727, 輔助計算!$G$2:$G$801, 0)+1))&lt;=790,3,IF(INDEX(ERP資料!$G:$G, (MATCH(727, 輔助計算!$G$2:$G$801, 0)+1))&lt;=1181,2,1))))=0,"",IF(MOD(INDEX(輔助計算!$D:$D, (MATCH(727, 輔助計算!$G$2:$G$801, 0)+1)),IF(INDEX(ERP資料!$G:$G, (MATCH(727, 輔助計算!$G$2:$G$801, 0)+1))&lt;100, IF(INDEX(ERP資料!$G:$G, (MATCH(727, 輔助計算!$G$2:$G$801, 0)+1))&lt;=31,3,IF(INDEX(ERP資料!$G:$G, (MATCH(727, 輔助計算!$G$2:$G$801, 0)+1))&lt;=46.5,2,1)), IF(INDEX(ERP資料!$G:$G, (MATCH(727, 輔助計算!$G$2:$G$801, 0)+1))&lt;=790,3,IF(INDEX(ERP資料!$G:$G, (MATCH(727, 輔助計算!$G$2:$G$801, 0)+1))&lt;=1181,2,1))))=0,"",IF(MOD(INDEX(輔助計算!$D:$D, (MATCH(727, 輔助計算!$G$2:$G$801, 0)+1)),IF(INDEX(ERP資料!$G:$G, (MATCH(727, 輔助計算!$G$2:$G$801, 0)+1))&lt;100, IF(INDEX(ERP資料!$G:$G, (MATCH(727, 輔助計算!$G$2:$G$801, 0)+1))&lt;=31,3,IF(INDEX(ERP資料!$G:$G, (MATCH(727, 輔助計算!$G$2:$G$801, 0)+1))&lt;=46.5,2,1)), IF(INDEX(ERP資料!$G:$G, (MATCH(727, 輔助計算!$G$2:$G$801, 0)+1))&lt;=790,3,IF(INDEX(ERP資料!$G:$G, (MATCH(727, 輔助計算!$G$2:$G$801, 0)+1))&lt;=1181,2,1))))=1,TEXT(INDEX(ERP資料!$G:$G, (MATCH(727, 輔助計算!$G$2:$G$801, 0)+1)),"0.##"),IF(MOD(INDEX(輔助計算!$D:$D, (MATCH(727, 輔助計算!$G$2:$G$801, 0)+1)),IF(INDEX(ERP資料!$G:$G, (MATCH(727, 輔助計算!$G$2:$G$801, 0)+1))&lt;100, IF(INDEX(ERP資料!$G:$G, (MATCH(727, 輔助計算!$G$2:$G$801, 0)+1))&lt;=31,3,IF(INDEX(ERP資料!$G:$G, (MATCH(727, 輔助計算!$G$2:$G$801, 0)+1))&lt;=46.5,2,1)), IF(INDEX(ERP資料!$G:$G, (MATCH(727, 輔助計算!$G$2:$G$801, 0)+1))&lt;=790,3,IF(INDEX(ERP資料!$G:$G, (MATCH(727, 輔助計算!$G$2:$G$801, 0)+1))&lt;=1181,2,1))))=2,TEXT(INDEX(ERP資料!$G:$G, (MATCH(727, 輔助計算!$G$2:$G$801, 0)+1)),"0.##")&amp;"+"&amp;TEXT(INDEX(ERP資料!$G:$G, (MATCH(727, 輔助計算!$G$2:$G$801, 0)+1)),"0.##"),TEXT(INDEX(ERP資料!$G:$G, (MATCH(727, 輔助計算!$G$2:$G$801, 0)+1)),"0.##")&amp;"+"&amp;TEXT(INDEX(ERP資料!$G:$G, (MATCH(727, 輔助計算!$G$2:$G$801, 0)+1)),"0.##")&amp;"+"&amp;TEXT(INDEX(ERP資料!$G:$G, (MATCH(727, 輔助計算!$G$2:$G$801, 0)+1)),"0.##"))))&amp;"-1")), ""), "")</f>
        <v/>
      </c>
      <c r="K728" s="16" t="n"/>
      <c r="L728" s="14">
        <f>IFERROR(IF(AND(IFERROR(INDEX(ERP資料!$A:$A, (MATCH(727, 輔助計算!$G$2:$G$801, 0)+1)), "")&lt;&gt;"", IFERROR(INDEX(ERP資料!$A:$A, (MATCH(727, 輔助計算!$G$2:$G$801, 0)+1)), "")&lt;&gt;IFERROR(INDEX(ERP資料!$A:$A, MATCH(726, 輔助計算!$G$2:$G$801, 0)+1), "")), INDEX(ERP資料!$B:$B, (MATCH(727, 輔助計算!$G$2:$G$801, 0)+1)), ""), "")</f>
        <v/>
      </c>
      <c r="M728" s="17" t="n"/>
    </row>
    <row r="729">
      <c r="A729" s="10">
        <f>IFERROR(IF(AND(IFERROR(INDEX(ERP資料!$A:$A, (MATCH(728, 輔助計算!$G$2:$G$801, 0)+1)), "")&lt;&gt;"", IFERROR(INDEX(ERP資料!$A:$A, (MATCH(728, 輔助計算!$G$2:$G$801, 0)+1)), "")&lt;&gt;IFERROR(INDEX(ERP資料!$A:$A, MATCH(727, 輔助計算!$G$2:$G$801, 0)+1), "")), IFERROR(INDEX(ERP資料!$A:$A, (MATCH(728, 輔助計算!$G$2:$G$801, 0)+1)), ""), ""), "")</f>
        <v/>
      </c>
      <c r="B729" s="10">
        <f>IFERROR(IF(AND(IFERROR(INDEX(ERP資料!$A:$A, (MATCH(728, 輔助計算!$G$2:$G$801, 0)+1)), "")&lt;&gt;"", IFERROR(INDEX(ERP資料!$A:$A, (MATCH(728, 輔助計算!$G$2:$G$801, 0)+1)), "")&lt;&gt;IFERROR(INDEX(ERP資料!$A:$A, MATCH(727, 輔助計算!$G$2:$G$801, 0)+1), "")), INDEX(ERP資料!$S:$S, (MATCH(728, 輔助計算!$G$2:$G$801, 0)+1)), ""), "")</f>
        <v/>
      </c>
      <c r="C729" s="19">
        <f>IFERROR(IF(AND(IFERROR(INDEX(ERP資料!$A:$A, (MATCH(728, 輔助計算!$G$2:$G$801, 0)+1)), "")&lt;&gt;"", IFERROR(INDEX(ERP資料!$A:$A, (MATCH(728, 輔助計算!$G$2:$G$801, 0)+1)), "")&lt;&gt;IFERROR(INDEX(ERP資料!$A:$A, MATCH(727, 輔助計算!$G$2:$G$801, 0)+1), "")), IFERROR(VLOOKUP(LEFT(INDEX(ERP資料!$S:$S, (MATCH(728, 輔助計算!$G$2:$G$801, 0)+1)), 4), 紙管對照表!$A:$C, 3, FALSE), ""), ""), "")</f>
        <v/>
      </c>
      <c r="D729" s="16" t="n"/>
      <c r="E729" s="10">
        <f>IFERROR(IF(INDEX(ERP資料!$H:$H, (MATCH(728, 輔助計算!$G$2:$G$801, 0)+1))="","",INDEX(ERP資料!$H:$H, (MATCH(728, 輔助計算!$G$2:$G$801, 0)+1))), "")</f>
        <v/>
      </c>
      <c r="F729" s="10">
        <f>IFERROR(IF(INDEX(ERP資料!$E:$E, (MATCH(728, 輔助計算!$G$2:$G$801, 0)+1))="","",TRIM(INDEX(ERP資料!$E:$E, (MATCH(728, 輔助計算!$G$2:$G$801, 0)+1)))), "")</f>
        <v/>
      </c>
      <c r="G729" s="10">
        <f>IFERROR(IF(INDEX(ERP資料!$F:$F, (MATCH(728, 輔助計算!$G$2:$G$801, 0)+1))="","",INDEX(ERP資料!$F:$F, (MATCH(728, 輔助計算!$G$2:$G$801, 0)+1))), "")</f>
        <v/>
      </c>
      <c r="H729" s="10">
        <f>IFERROR(IF(INDEX(ERP資料!$G:$G, (MATCH(728, 輔助計算!$G$2:$G$801, 0)+1))="","",INDEX(ERP資料!$G:$G, (MATCH(728, 輔助計算!$G$2:$G$801, 0)+1))), "")</f>
        <v/>
      </c>
      <c r="I729" s="15">
        <f>IFERROR(INDEX(輔助計算!$D:$D, (MATCH(728, 輔助計算!$G$2:$G$801, 0)+1)), "")</f>
        <v/>
      </c>
      <c r="J729" s="15">
        <f>IFERROR(IF(AND(INDEX(輔助計算!$D:$D, (MATCH(728, 輔助計算!$G$2:$G$801, 0)+1))&lt;&gt;"", INDEX(ERP資料!$G:$G, (MATCH(728, 輔助計算!$G$2:$G$801, 0)+1))&lt;&gt;""), TRIM(IF(INT(INDEX(輔助計算!$D:$D, (MATCH(728, 輔助計算!$G$2:$G$801, 0)+1))/IF(INDEX(ERP資料!$G:$G, (MATCH(728, 輔助計算!$G$2:$G$801, 0)+1))&lt;100, IF(INDEX(ERP資料!$G:$G, (MATCH(728, 輔助計算!$G$2:$G$801, 0)+1))&lt;=31,3,IF(INDEX(ERP資料!$G:$G, (MATCH(728, 輔助計算!$G$2:$G$801, 0)+1))&lt;=46.5,2,1)), IF(INDEX(ERP資料!$G:$G, (MATCH(728, 輔助計算!$G$2:$G$801, 0)+1))&lt;=790,3,IF(INDEX(ERP資料!$G:$G, (MATCH(728, 輔助計算!$G$2:$G$801, 0)+1))&lt;=1181,2,1))))&gt;0, IF(IF(INDEX(ERP資料!$G:$G, (MATCH(728, 輔助計算!$G$2:$G$801, 0)+1))&lt;100, IF(INDEX(ERP資料!$G:$G, (MATCH(728, 輔助計算!$G$2:$G$801, 0)+1))&lt;=31,3,IF(INDEX(ERP資料!$G:$G, (MATCH(728, 輔助計算!$G$2:$G$801, 0)+1))&lt;=46.5,2,1)), IF(INDEX(ERP資料!$G:$G, (MATCH(728, 輔助計算!$G$2:$G$801, 0)+1))&lt;=790,3,IF(INDEX(ERP資料!$G:$G, (MATCH(728, 輔助計算!$G$2:$G$801, 0)+1))&lt;=1181,2,1)))=1,TEXT(INDEX(ERP資料!$G:$G, (MATCH(728, 輔助計算!$G$2:$G$801, 0)+1)),"0.##"),IF(IF(INDEX(ERP資料!$G:$G, (MATCH(728, 輔助計算!$G$2:$G$801, 0)+1))&lt;100, IF(INDEX(ERP資料!$G:$G, (MATCH(728, 輔助計算!$G$2:$G$801, 0)+1))&lt;=31,3,IF(INDEX(ERP資料!$G:$G, (MATCH(728, 輔助計算!$G$2:$G$801, 0)+1))&lt;=46.5,2,1)), IF(INDEX(ERP資料!$G:$G, (MATCH(728, 輔助計算!$G$2:$G$801, 0)+1))&lt;=790,3,IF(INDEX(ERP資料!$G:$G, (MATCH(728, 輔助計算!$G$2:$G$801, 0)+1))&lt;=1181,2,1)))=2,TEXT(INDEX(ERP資料!$G:$G, (MATCH(728, 輔助計算!$G$2:$G$801, 0)+1)),"0.##")&amp;"+"&amp;TEXT(INDEX(ERP資料!$G:$G, (MATCH(728, 輔助計算!$G$2:$G$801, 0)+1)),"0.##"),TEXT(INDEX(ERP資料!$G:$G, (MATCH(728, 輔助計算!$G$2:$G$801, 0)+1)),"0.##")&amp;"+"&amp;TEXT(INDEX(ERP資料!$G:$G, (MATCH(728, 輔助計算!$G$2:$G$801, 0)+1)),"0.##")&amp;"+"&amp;TEXT(INDEX(ERP資料!$G:$G, (MATCH(728, 輔助計算!$G$2:$G$801, 0)+1)),"0.##")))&amp;"-"&amp;INT(INDEX(輔助計算!$D:$D, (MATCH(728, 輔助計算!$G$2:$G$801, 0)+1))/IF(INDEX(ERP資料!$G:$G, (MATCH(728, 輔助計算!$G$2:$G$801, 0)+1))&lt;100, IF(INDEX(ERP資料!$G:$G, (MATCH(728, 輔助計算!$G$2:$G$801, 0)+1))&lt;=31,3,IF(INDEX(ERP資料!$G:$G, (MATCH(728, 輔助計算!$G$2:$G$801, 0)+1))&lt;=46.5,2,1)), IF(INDEX(ERP資料!$G:$G, (MATCH(728, 輔助計算!$G$2:$G$801, 0)+1))&lt;=790,3,IF(INDEX(ERP資料!$G:$G, (MATCH(728, 輔助計算!$G$2:$G$801, 0)+1))&lt;=1181,2,1)))), "")&amp;IF(AND(IF(INT(INDEX(輔助計算!$D:$D, (MATCH(728, 輔助計算!$G$2:$G$801, 0)+1))/IF(INDEX(ERP資料!$G:$G, (MATCH(728, 輔助計算!$G$2:$G$801, 0)+1))&lt;100, IF(INDEX(ERP資料!$G:$G, (MATCH(728, 輔助計算!$G$2:$G$801, 0)+1))&lt;=31,3,IF(INDEX(ERP資料!$G:$G, (MATCH(728, 輔助計算!$G$2:$G$801, 0)+1))&lt;=46.5,2,1)), IF(INDEX(ERP資料!$G:$G, (MATCH(728, 輔助計算!$G$2:$G$801, 0)+1))&lt;=790,3,IF(INDEX(ERP資料!$G:$G, (MATCH(728, 輔助計算!$G$2:$G$801, 0)+1))&lt;=1181,2,1))))&gt;0, IF(IF(INDEX(ERP資料!$G:$G, (MATCH(728, 輔助計算!$G$2:$G$801, 0)+1))&lt;100, IF(INDEX(ERP資料!$G:$G, (MATCH(728, 輔助計算!$G$2:$G$801, 0)+1))&lt;=31,3,IF(INDEX(ERP資料!$G:$G, (MATCH(728, 輔助計算!$G$2:$G$801, 0)+1))&lt;=46.5,2,1)), IF(INDEX(ERP資料!$G:$G, (MATCH(728, 輔助計算!$G$2:$G$801, 0)+1))&lt;=790,3,IF(INDEX(ERP資料!$G:$G, (MATCH(728, 輔助計算!$G$2:$G$801, 0)+1))&lt;=1181,2,1)))=1,TEXT(INDEX(ERP資料!$G:$G, (MATCH(728, 輔助計算!$G$2:$G$801, 0)+1)),"0.##"),IF(IF(INDEX(ERP資料!$G:$G, (MATCH(728, 輔助計算!$G$2:$G$801, 0)+1))&lt;100, IF(INDEX(ERP資料!$G:$G, (MATCH(728, 輔助計算!$G$2:$G$801, 0)+1))&lt;=31,3,IF(INDEX(ERP資料!$G:$G, (MATCH(728, 輔助計算!$G$2:$G$801, 0)+1))&lt;=46.5,2,1)), IF(INDEX(ERP資料!$G:$G, (MATCH(728, 輔助計算!$G$2:$G$801, 0)+1))&lt;=790,3,IF(INDEX(ERP資料!$G:$G, (MATCH(728, 輔助計算!$G$2:$G$801, 0)+1))&lt;=1181,2,1)))=2,TEXT(INDEX(ERP資料!$G:$G, (MATCH(728, 輔助計算!$G$2:$G$801, 0)+1)),"0.##")&amp;"+"&amp;TEXT(INDEX(ERP資料!$G:$G, (MATCH(728, 輔助計算!$G$2:$G$801, 0)+1)),"0.##"),TEXT(INDEX(ERP資料!$G:$G, (MATCH(728, 輔助計算!$G$2:$G$801, 0)+1)),"0.##")&amp;"+"&amp;TEXT(INDEX(ERP資料!$G:$G, (MATCH(728, 輔助計算!$G$2:$G$801, 0)+1)),"0.##")&amp;"+"&amp;TEXT(INDEX(ERP資料!$G:$G, (MATCH(728, 輔助計算!$G$2:$G$801, 0)+1)),"0.##")))&amp;"-"&amp;INT(INDEX(輔助計算!$D:$D, (MATCH(728, 輔助計算!$G$2:$G$801, 0)+1))/IF(INDEX(ERP資料!$G:$G, (MATCH(728, 輔助計算!$G$2:$G$801, 0)+1))&lt;100, IF(INDEX(ERP資料!$G:$G, (MATCH(728, 輔助計算!$G$2:$G$801, 0)+1))&lt;=31,3,IF(INDEX(ERP資料!$G:$G, (MATCH(728, 輔助計算!$G$2:$G$801, 0)+1))&lt;=46.5,2,1)), IF(INDEX(ERP資料!$G:$G, (MATCH(728, 輔助計算!$G$2:$G$801, 0)+1))&lt;=790,3,IF(INDEX(ERP資料!$G:$G, (MATCH(728, 輔助計算!$G$2:$G$801, 0)+1))&lt;=1181,2,1)))), "")&lt;&gt;"",IF(MOD(INDEX(輔助計算!$D:$D, (MATCH(728, 輔助計算!$G$2:$G$801, 0)+1)),IF(INDEX(ERP資料!$G:$G, (MATCH(728, 輔助計算!$G$2:$G$801, 0)+1))&lt;100, IF(INDEX(ERP資料!$G:$G, (MATCH(728, 輔助計算!$G$2:$G$801, 0)+1))&lt;=31,3,IF(INDEX(ERP資料!$G:$G, (MATCH(728, 輔助計算!$G$2:$G$801, 0)+1))&lt;=46.5,2,1)), IF(INDEX(ERP資料!$G:$G, (MATCH(728, 輔助計算!$G$2:$G$801, 0)+1))&lt;=790,3,IF(INDEX(ERP資料!$G:$G, (MATCH(728, 輔助計算!$G$2:$G$801, 0)+1))&lt;=1181,2,1))))=0,"",IF(MOD(INDEX(輔助計算!$D:$D, (MATCH(728, 輔助計算!$G$2:$G$801, 0)+1)),IF(INDEX(ERP資料!$G:$G, (MATCH(728, 輔助計算!$G$2:$G$801, 0)+1))&lt;100, IF(INDEX(ERP資料!$G:$G, (MATCH(728, 輔助計算!$G$2:$G$801, 0)+1))&lt;=31,3,IF(INDEX(ERP資料!$G:$G, (MATCH(728, 輔助計算!$G$2:$G$801, 0)+1))&lt;=46.5,2,1)), IF(INDEX(ERP資料!$G:$G, (MATCH(728, 輔助計算!$G$2:$G$801, 0)+1))&lt;=790,3,IF(INDEX(ERP資料!$G:$G, (MATCH(728, 輔助計算!$G$2:$G$801, 0)+1))&lt;=1181,2,1))))=0,"",IF(MOD(INDEX(輔助計算!$D:$D, (MATCH(728, 輔助計算!$G$2:$G$801, 0)+1)),IF(INDEX(ERP資料!$G:$G, (MATCH(728, 輔助計算!$G$2:$G$801, 0)+1))&lt;100, IF(INDEX(ERP資料!$G:$G, (MATCH(728, 輔助計算!$G$2:$G$801, 0)+1))&lt;=31,3,IF(INDEX(ERP資料!$G:$G, (MATCH(728, 輔助計算!$G$2:$G$801, 0)+1))&lt;=46.5,2,1)), IF(INDEX(ERP資料!$G:$G, (MATCH(728, 輔助計算!$G$2:$G$801, 0)+1))&lt;=790,3,IF(INDEX(ERP資料!$G:$G, (MATCH(728, 輔助計算!$G$2:$G$801, 0)+1))&lt;=1181,2,1))))=1,TEXT(INDEX(ERP資料!$G:$G, (MATCH(728, 輔助計算!$G$2:$G$801, 0)+1)),"0.##"),IF(MOD(INDEX(輔助計算!$D:$D, (MATCH(728, 輔助計算!$G$2:$G$801, 0)+1)),IF(INDEX(ERP資料!$G:$G, (MATCH(728, 輔助計算!$G$2:$G$801, 0)+1))&lt;100, IF(INDEX(ERP資料!$G:$G, (MATCH(728, 輔助計算!$G$2:$G$801, 0)+1))&lt;=31,3,IF(INDEX(ERP資料!$G:$G, (MATCH(728, 輔助計算!$G$2:$G$801, 0)+1))&lt;=46.5,2,1)), IF(INDEX(ERP資料!$G:$G, (MATCH(728, 輔助計算!$G$2:$G$801, 0)+1))&lt;=790,3,IF(INDEX(ERP資料!$G:$G, (MATCH(728, 輔助計算!$G$2:$G$801, 0)+1))&lt;=1181,2,1))))=2,TEXT(INDEX(ERP資料!$G:$G, (MATCH(728, 輔助計算!$G$2:$G$801, 0)+1)),"0.##")&amp;"+"&amp;TEXT(INDEX(ERP資料!$G:$G, (MATCH(728, 輔助計算!$G$2:$G$801, 0)+1)),"0.##"),TEXT(INDEX(ERP資料!$G:$G, (MATCH(728, 輔助計算!$G$2:$G$801, 0)+1)),"0.##")&amp;"+"&amp;TEXT(INDEX(ERP資料!$G:$G, (MATCH(728, 輔助計算!$G$2:$G$801, 0)+1)),"0.##")&amp;"+"&amp;TEXT(INDEX(ERP資料!$G:$G, (MATCH(728, 輔助計算!$G$2:$G$801, 0)+1)),"0.##"))))&amp;"-1")&lt;&gt;""),"  ","")&amp;IF(MOD(INDEX(輔助計算!$D:$D, (MATCH(728, 輔助計算!$G$2:$G$801, 0)+1)),IF(INDEX(ERP資料!$G:$G, (MATCH(728, 輔助計算!$G$2:$G$801, 0)+1))&lt;100, IF(INDEX(ERP資料!$G:$G, (MATCH(728, 輔助計算!$G$2:$G$801, 0)+1))&lt;=31,3,IF(INDEX(ERP資料!$G:$G, (MATCH(728, 輔助計算!$G$2:$G$801, 0)+1))&lt;=46.5,2,1)), IF(INDEX(ERP資料!$G:$G, (MATCH(728, 輔助計算!$G$2:$G$801, 0)+1))&lt;=790,3,IF(INDEX(ERP資料!$G:$G, (MATCH(728, 輔助計算!$G$2:$G$801, 0)+1))&lt;=1181,2,1))))=0,"",IF(MOD(INDEX(輔助計算!$D:$D, (MATCH(728, 輔助計算!$G$2:$G$801, 0)+1)),IF(INDEX(ERP資料!$G:$G, (MATCH(728, 輔助計算!$G$2:$G$801, 0)+1))&lt;100, IF(INDEX(ERP資料!$G:$G, (MATCH(728, 輔助計算!$G$2:$G$801, 0)+1))&lt;=31,3,IF(INDEX(ERP資料!$G:$G, (MATCH(728, 輔助計算!$G$2:$G$801, 0)+1))&lt;=46.5,2,1)), IF(INDEX(ERP資料!$G:$G, (MATCH(728, 輔助計算!$G$2:$G$801, 0)+1))&lt;=790,3,IF(INDEX(ERP資料!$G:$G, (MATCH(728, 輔助計算!$G$2:$G$801, 0)+1))&lt;=1181,2,1))))=0,"",IF(MOD(INDEX(輔助計算!$D:$D, (MATCH(728, 輔助計算!$G$2:$G$801, 0)+1)),IF(INDEX(ERP資料!$G:$G, (MATCH(728, 輔助計算!$G$2:$G$801, 0)+1))&lt;100, IF(INDEX(ERP資料!$G:$G, (MATCH(728, 輔助計算!$G$2:$G$801, 0)+1))&lt;=31,3,IF(INDEX(ERP資料!$G:$G, (MATCH(728, 輔助計算!$G$2:$G$801, 0)+1))&lt;=46.5,2,1)), IF(INDEX(ERP資料!$G:$G, (MATCH(728, 輔助計算!$G$2:$G$801, 0)+1))&lt;=790,3,IF(INDEX(ERP資料!$G:$G, (MATCH(728, 輔助計算!$G$2:$G$801, 0)+1))&lt;=1181,2,1))))=1,TEXT(INDEX(ERP資料!$G:$G, (MATCH(728, 輔助計算!$G$2:$G$801, 0)+1)),"0.##"),IF(MOD(INDEX(輔助計算!$D:$D, (MATCH(728, 輔助計算!$G$2:$G$801, 0)+1)),IF(INDEX(ERP資料!$G:$G, (MATCH(728, 輔助計算!$G$2:$G$801, 0)+1))&lt;100, IF(INDEX(ERP資料!$G:$G, (MATCH(728, 輔助計算!$G$2:$G$801, 0)+1))&lt;=31,3,IF(INDEX(ERP資料!$G:$G, (MATCH(728, 輔助計算!$G$2:$G$801, 0)+1))&lt;=46.5,2,1)), IF(INDEX(ERP資料!$G:$G, (MATCH(728, 輔助計算!$G$2:$G$801, 0)+1))&lt;=790,3,IF(INDEX(ERP資料!$G:$G, (MATCH(728, 輔助計算!$G$2:$G$801, 0)+1))&lt;=1181,2,1))))=2,TEXT(INDEX(ERP資料!$G:$G, (MATCH(728, 輔助計算!$G$2:$G$801, 0)+1)),"0.##")&amp;"+"&amp;TEXT(INDEX(ERP資料!$G:$G, (MATCH(728, 輔助計算!$G$2:$G$801, 0)+1)),"0.##"),TEXT(INDEX(ERP資料!$G:$G, (MATCH(728, 輔助計算!$G$2:$G$801, 0)+1)),"0.##")&amp;"+"&amp;TEXT(INDEX(ERP資料!$G:$G, (MATCH(728, 輔助計算!$G$2:$G$801, 0)+1)),"0.##")&amp;"+"&amp;TEXT(INDEX(ERP資料!$G:$G, (MATCH(728, 輔助計算!$G$2:$G$801, 0)+1)),"0.##"))))&amp;"-1")), ""), "")</f>
        <v/>
      </c>
      <c r="K729" s="16" t="n"/>
      <c r="L729" s="14">
        <f>IFERROR(IF(AND(IFERROR(INDEX(ERP資料!$A:$A, (MATCH(728, 輔助計算!$G$2:$G$801, 0)+1)), "")&lt;&gt;"", IFERROR(INDEX(ERP資料!$A:$A, (MATCH(728, 輔助計算!$G$2:$G$801, 0)+1)), "")&lt;&gt;IFERROR(INDEX(ERP資料!$A:$A, MATCH(727, 輔助計算!$G$2:$G$801, 0)+1), "")), INDEX(ERP資料!$B:$B, (MATCH(728, 輔助計算!$G$2:$G$801, 0)+1)), ""), "")</f>
        <v/>
      </c>
      <c r="M729" s="17" t="n"/>
    </row>
    <row r="730">
      <c r="A730" s="10">
        <f>IFERROR(IF(AND(IFERROR(INDEX(ERP資料!$A:$A, (MATCH(729, 輔助計算!$G$2:$G$801, 0)+1)), "")&lt;&gt;"", IFERROR(INDEX(ERP資料!$A:$A, (MATCH(729, 輔助計算!$G$2:$G$801, 0)+1)), "")&lt;&gt;IFERROR(INDEX(ERP資料!$A:$A, MATCH(728, 輔助計算!$G$2:$G$801, 0)+1), "")), IFERROR(INDEX(ERP資料!$A:$A, (MATCH(729, 輔助計算!$G$2:$G$801, 0)+1)), ""), ""), "")</f>
        <v/>
      </c>
      <c r="B730" s="10">
        <f>IFERROR(IF(AND(IFERROR(INDEX(ERP資料!$A:$A, (MATCH(729, 輔助計算!$G$2:$G$801, 0)+1)), "")&lt;&gt;"", IFERROR(INDEX(ERP資料!$A:$A, (MATCH(729, 輔助計算!$G$2:$G$801, 0)+1)), "")&lt;&gt;IFERROR(INDEX(ERP資料!$A:$A, MATCH(728, 輔助計算!$G$2:$G$801, 0)+1), "")), INDEX(ERP資料!$S:$S, (MATCH(729, 輔助計算!$G$2:$G$801, 0)+1)), ""), "")</f>
        <v/>
      </c>
      <c r="C730" s="19">
        <f>IFERROR(IF(AND(IFERROR(INDEX(ERP資料!$A:$A, (MATCH(729, 輔助計算!$G$2:$G$801, 0)+1)), "")&lt;&gt;"", IFERROR(INDEX(ERP資料!$A:$A, (MATCH(729, 輔助計算!$G$2:$G$801, 0)+1)), "")&lt;&gt;IFERROR(INDEX(ERP資料!$A:$A, MATCH(728, 輔助計算!$G$2:$G$801, 0)+1), "")), IFERROR(VLOOKUP(LEFT(INDEX(ERP資料!$S:$S, (MATCH(729, 輔助計算!$G$2:$G$801, 0)+1)), 4), 紙管對照表!$A:$C, 3, FALSE), ""), ""), "")</f>
        <v/>
      </c>
      <c r="D730" s="16" t="n"/>
      <c r="E730" s="10">
        <f>IFERROR(IF(INDEX(ERP資料!$H:$H, (MATCH(729, 輔助計算!$G$2:$G$801, 0)+1))="","",INDEX(ERP資料!$H:$H, (MATCH(729, 輔助計算!$G$2:$G$801, 0)+1))), "")</f>
        <v/>
      </c>
      <c r="F730" s="10">
        <f>IFERROR(IF(INDEX(ERP資料!$E:$E, (MATCH(729, 輔助計算!$G$2:$G$801, 0)+1))="","",TRIM(INDEX(ERP資料!$E:$E, (MATCH(729, 輔助計算!$G$2:$G$801, 0)+1)))), "")</f>
        <v/>
      </c>
      <c r="G730" s="10">
        <f>IFERROR(IF(INDEX(ERP資料!$F:$F, (MATCH(729, 輔助計算!$G$2:$G$801, 0)+1))="","",INDEX(ERP資料!$F:$F, (MATCH(729, 輔助計算!$G$2:$G$801, 0)+1))), "")</f>
        <v/>
      </c>
      <c r="H730" s="10">
        <f>IFERROR(IF(INDEX(ERP資料!$G:$G, (MATCH(729, 輔助計算!$G$2:$G$801, 0)+1))="","",INDEX(ERP資料!$G:$G, (MATCH(729, 輔助計算!$G$2:$G$801, 0)+1))), "")</f>
        <v/>
      </c>
      <c r="I730" s="15">
        <f>IFERROR(INDEX(輔助計算!$D:$D, (MATCH(729, 輔助計算!$G$2:$G$801, 0)+1)), "")</f>
        <v/>
      </c>
      <c r="J730" s="15">
        <f>IFERROR(IF(AND(INDEX(輔助計算!$D:$D, (MATCH(729, 輔助計算!$G$2:$G$801, 0)+1))&lt;&gt;"", INDEX(ERP資料!$G:$G, (MATCH(729, 輔助計算!$G$2:$G$801, 0)+1))&lt;&gt;""), TRIM(IF(INT(INDEX(輔助計算!$D:$D, (MATCH(729, 輔助計算!$G$2:$G$801, 0)+1))/IF(INDEX(ERP資料!$G:$G, (MATCH(729, 輔助計算!$G$2:$G$801, 0)+1))&lt;100, IF(INDEX(ERP資料!$G:$G, (MATCH(729, 輔助計算!$G$2:$G$801, 0)+1))&lt;=31,3,IF(INDEX(ERP資料!$G:$G, (MATCH(729, 輔助計算!$G$2:$G$801, 0)+1))&lt;=46.5,2,1)), IF(INDEX(ERP資料!$G:$G, (MATCH(729, 輔助計算!$G$2:$G$801, 0)+1))&lt;=790,3,IF(INDEX(ERP資料!$G:$G, (MATCH(729, 輔助計算!$G$2:$G$801, 0)+1))&lt;=1181,2,1))))&gt;0, IF(IF(INDEX(ERP資料!$G:$G, (MATCH(729, 輔助計算!$G$2:$G$801, 0)+1))&lt;100, IF(INDEX(ERP資料!$G:$G, (MATCH(729, 輔助計算!$G$2:$G$801, 0)+1))&lt;=31,3,IF(INDEX(ERP資料!$G:$G, (MATCH(729, 輔助計算!$G$2:$G$801, 0)+1))&lt;=46.5,2,1)), IF(INDEX(ERP資料!$G:$G, (MATCH(729, 輔助計算!$G$2:$G$801, 0)+1))&lt;=790,3,IF(INDEX(ERP資料!$G:$G, (MATCH(729, 輔助計算!$G$2:$G$801, 0)+1))&lt;=1181,2,1)))=1,TEXT(INDEX(ERP資料!$G:$G, (MATCH(729, 輔助計算!$G$2:$G$801, 0)+1)),"0.##"),IF(IF(INDEX(ERP資料!$G:$G, (MATCH(729, 輔助計算!$G$2:$G$801, 0)+1))&lt;100, IF(INDEX(ERP資料!$G:$G, (MATCH(729, 輔助計算!$G$2:$G$801, 0)+1))&lt;=31,3,IF(INDEX(ERP資料!$G:$G, (MATCH(729, 輔助計算!$G$2:$G$801, 0)+1))&lt;=46.5,2,1)), IF(INDEX(ERP資料!$G:$G, (MATCH(729, 輔助計算!$G$2:$G$801, 0)+1))&lt;=790,3,IF(INDEX(ERP資料!$G:$G, (MATCH(729, 輔助計算!$G$2:$G$801, 0)+1))&lt;=1181,2,1)))=2,TEXT(INDEX(ERP資料!$G:$G, (MATCH(729, 輔助計算!$G$2:$G$801, 0)+1)),"0.##")&amp;"+"&amp;TEXT(INDEX(ERP資料!$G:$G, (MATCH(729, 輔助計算!$G$2:$G$801, 0)+1)),"0.##"),TEXT(INDEX(ERP資料!$G:$G, (MATCH(729, 輔助計算!$G$2:$G$801, 0)+1)),"0.##")&amp;"+"&amp;TEXT(INDEX(ERP資料!$G:$G, (MATCH(729, 輔助計算!$G$2:$G$801, 0)+1)),"0.##")&amp;"+"&amp;TEXT(INDEX(ERP資料!$G:$G, (MATCH(729, 輔助計算!$G$2:$G$801, 0)+1)),"0.##")))&amp;"-"&amp;INT(INDEX(輔助計算!$D:$D, (MATCH(729, 輔助計算!$G$2:$G$801, 0)+1))/IF(INDEX(ERP資料!$G:$G, (MATCH(729, 輔助計算!$G$2:$G$801, 0)+1))&lt;100, IF(INDEX(ERP資料!$G:$G, (MATCH(729, 輔助計算!$G$2:$G$801, 0)+1))&lt;=31,3,IF(INDEX(ERP資料!$G:$G, (MATCH(729, 輔助計算!$G$2:$G$801, 0)+1))&lt;=46.5,2,1)), IF(INDEX(ERP資料!$G:$G, (MATCH(729, 輔助計算!$G$2:$G$801, 0)+1))&lt;=790,3,IF(INDEX(ERP資料!$G:$G, (MATCH(729, 輔助計算!$G$2:$G$801, 0)+1))&lt;=1181,2,1)))), "")&amp;IF(AND(IF(INT(INDEX(輔助計算!$D:$D, (MATCH(729, 輔助計算!$G$2:$G$801, 0)+1))/IF(INDEX(ERP資料!$G:$G, (MATCH(729, 輔助計算!$G$2:$G$801, 0)+1))&lt;100, IF(INDEX(ERP資料!$G:$G, (MATCH(729, 輔助計算!$G$2:$G$801, 0)+1))&lt;=31,3,IF(INDEX(ERP資料!$G:$G, (MATCH(729, 輔助計算!$G$2:$G$801, 0)+1))&lt;=46.5,2,1)), IF(INDEX(ERP資料!$G:$G, (MATCH(729, 輔助計算!$G$2:$G$801, 0)+1))&lt;=790,3,IF(INDEX(ERP資料!$G:$G, (MATCH(729, 輔助計算!$G$2:$G$801, 0)+1))&lt;=1181,2,1))))&gt;0, IF(IF(INDEX(ERP資料!$G:$G, (MATCH(729, 輔助計算!$G$2:$G$801, 0)+1))&lt;100, IF(INDEX(ERP資料!$G:$G, (MATCH(729, 輔助計算!$G$2:$G$801, 0)+1))&lt;=31,3,IF(INDEX(ERP資料!$G:$G, (MATCH(729, 輔助計算!$G$2:$G$801, 0)+1))&lt;=46.5,2,1)), IF(INDEX(ERP資料!$G:$G, (MATCH(729, 輔助計算!$G$2:$G$801, 0)+1))&lt;=790,3,IF(INDEX(ERP資料!$G:$G, (MATCH(729, 輔助計算!$G$2:$G$801, 0)+1))&lt;=1181,2,1)))=1,TEXT(INDEX(ERP資料!$G:$G, (MATCH(729, 輔助計算!$G$2:$G$801, 0)+1)),"0.##"),IF(IF(INDEX(ERP資料!$G:$G, (MATCH(729, 輔助計算!$G$2:$G$801, 0)+1))&lt;100, IF(INDEX(ERP資料!$G:$G, (MATCH(729, 輔助計算!$G$2:$G$801, 0)+1))&lt;=31,3,IF(INDEX(ERP資料!$G:$G, (MATCH(729, 輔助計算!$G$2:$G$801, 0)+1))&lt;=46.5,2,1)), IF(INDEX(ERP資料!$G:$G, (MATCH(729, 輔助計算!$G$2:$G$801, 0)+1))&lt;=790,3,IF(INDEX(ERP資料!$G:$G, (MATCH(729, 輔助計算!$G$2:$G$801, 0)+1))&lt;=1181,2,1)))=2,TEXT(INDEX(ERP資料!$G:$G, (MATCH(729, 輔助計算!$G$2:$G$801, 0)+1)),"0.##")&amp;"+"&amp;TEXT(INDEX(ERP資料!$G:$G, (MATCH(729, 輔助計算!$G$2:$G$801, 0)+1)),"0.##"),TEXT(INDEX(ERP資料!$G:$G, (MATCH(729, 輔助計算!$G$2:$G$801, 0)+1)),"0.##")&amp;"+"&amp;TEXT(INDEX(ERP資料!$G:$G, (MATCH(729, 輔助計算!$G$2:$G$801, 0)+1)),"0.##")&amp;"+"&amp;TEXT(INDEX(ERP資料!$G:$G, (MATCH(729, 輔助計算!$G$2:$G$801, 0)+1)),"0.##")))&amp;"-"&amp;INT(INDEX(輔助計算!$D:$D, (MATCH(729, 輔助計算!$G$2:$G$801, 0)+1))/IF(INDEX(ERP資料!$G:$G, (MATCH(729, 輔助計算!$G$2:$G$801, 0)+1))&lt;100, IF(INDEX(ERP資料!$G:$G, (MATCH(729, 輔助計算!$G$2:$G$801, 0)+1))&lt;=31,3,IF(INDEX(ERP資料!$G:$G, (MATCH(729, 輔助計算!$G$2:$G$801, 0)+1))&lt;=46.5,2,1)), IF(INDEX(ERP資料!$G:$G, (MATCH(729, 輔助計算!$G$2:$G$801, 0)+1))&lt;=790,3,IF(INDEX(ERP資料!$G:$G, (MATCH(729, 輔助計算!$G$2:$G$801, 0)+1))&lt;=1181,2,1)))), "")&lt;&gt;"",IF(MOD(INDEX(輔助計算!$D:$D, (MATCH(729, 輔助計算!$G$2:$G$801, 0)+1)),IF(INDEX(ERP資料!$G:$G, (MATCH(729, 輔助計算!$G$2:$G$801, 0)+1))&lt;100, IF(INDEX(ERP資料!$G:$G, (MATCH(729, 輔助計算!$G$2:$G$801, 0)+1))&lt;=31,3,IF(INDEX(ERP資料!$G:$G, (MATCH(729, 輔助計算!$G$2:$G$801, 0)+1))&lt;=46.5,2,1)), IF(INDEX(ERP資料!$G:$G, (MATCH(729, 輔助計算!$G$2:$G$801, 0)+1))&lt;=790,3,IF(INDEX(ERP資料!$G:$G, (MATCH(729, 輔助計算!$G$2:$G$801, 0)+1))&lt;=1181,2,1))))=0,"",IF(MOD(INDEX(輔助計算!$D:$D, (MATCH(729, 輔助計算!$G$2:$G$801, 0)+1)),IF(INDEX(ERP資料!$G:$G, (MATCH(729, 輔助計算!$G$2:$G$801, 0)+1))&lt;100, IF(INDEX(ERP資料!$G:$G, (MATCH(729, 輔助計算!$G$2:$G$801, 0)+1))&lt;=31,3,IF(INDEX(ERP資料!$G:$G, (MATCH(729, 輔助計算!$G$2:$G$801, 0)+1))&lt;=46.5,2,1)), IF(INDEX(ERP資料!$G:$G, (MATCH(729, 輔助計算!$G$2:$G$801, 0)+1))&lt;=790,3,IF(INDEX(ERP資料!$G:$G, (MATCH(729, 輔助計算!$G$2:$G$801, 0)+1))&lt;=1181,2,1))))=0,"",IF(MOD(INDEX(輔助計算!$D:$D, (MATCH(729, 輔助計算!$G$2:$G$801, 0)+1)),IF(INDEX(ERP資料!$G:$G, (MATCH(729, 輔助計算!$G$2:$G$801, 0)+1))&lt;100, IF(INDEX(ERP資料!$G:$G, (MATCH(729, 輔助計算!$G$2:$G$801, 0)+1))&lt;=31,3,IF(INDEX(ERP資料!$G:$G, (MATCH(729, 輔助計算!$G$2:$G$801, 0)+1))&lt;=46.5,2,1)), IF(INDEX(ERP資料!$G:$G, (MATCH(729, 輔助計算!$G$2:$G$801, 0)+1))&lt;=790,3,IF(INDEX(ERP資料!$G:$G, (MATCH(729, 輔助計算!$G$2:$G$801, 0)+1))&lt;=1181,2,1))))=1,TEXT(INDEX(ERP資料!$G:$G, (MATCH(729, 輔助計算!$G$2:$G$801, 0)+1)),"0.##"),IF(MOD(INDEX(輔助計算!$D:$D, (MATCH(729, 輔助計算!$G$2:$G$801, 0)+1)),IF(INDEX(ERP資料!$G:$G, (MATCH(729, 輔助計算!$G$2:$G$801, 0)+1))&lt;100, IF(INDEX(ERP資料!$G:$G, (MATCH(729, 輔助計算!$G$2:$G$801, 0)+1))&lt;=31,3,IF(INDEX(ERP資料!$G:$G, (MATCH(729, 輔助計算!$G$2:$G$801, 0)+1))&lt;=46.5,2,1)), IF(INDEX(ERP資料!$G:$G, (MATCH(729, 輔助計算!$G$2:$G$801, 0)+1))&lt;=790,3,IF(INDEX(ERP資料!$G:$G, (MATCH(729, 輔助計算!$G$2:$G$801, 0)+1))&lt;=1181,2,1))))=2,TEXT(INDEX(ERP資料!$G:$G, (MATCH(729, 輔助計算!$G$2:$G$801, 0)+1)),"0.##")&amp;"+"&amp;TEXT(INDEX(ERP資料!$G:$G, (MATCH(729, 輔助計算!$G$2:$G$801, 0)+1)),"0.##"),TEXT(INDEX(ERP資料!$G:$G, (MATCH(729, 輔助計算!$G$2:$G$801, 0)+1)),"0.##")&amp;"+"&amp;TEXT(INDEX(ERP資料!$G:$G, (MATCH(729, 輔助計算!$G$2:$G$801, 0)+1)),"0.##")&amp;"+"&amp;TEXT(INDEX(ERP資料!$G:$G, (MATCH(729, 輔助計算!$G$2:$G$801, 0)+1)),"0.##"))))&amp;"-1")&lt;&gt;""),"  ","")&amp;IF(MOD(INDEX(輔助計算!$D:$D, (MATCH(729, 輔助計算!$G$2:$G$801, 0)+1)),IF(INDEX(ERP資料!$G:$G, (MATCH(729, 輔助計算!$G$2:$G$801, 0)+1))&lt;100, IF(INDEX(ERP資料!$G:$G, (MATCH(729, 輔助計算!$G$2:$G$801, 0)+1))&lt;=31,3,IF(INDEX(ERP資料!$G:$G, (MATCH(729, 輔助計算!$G$2:$G$801, 0)+1))&lt;=46.5,2,1)), IF(INDEX(ERP資料!$G:$G, (MATCH(729, 輔助計算!$G$2:$G$801, 0)+1))&lt;=790,3,IF(INDEX(ERP資料!$G:$G, (MATCH(729, 輔助計算!$G$2:$G$801, 0)+1))&lt;=1181,2,1))))=0,"",IF(MOD(INDEX(輔助計算!$D:$D, (MATCH(729, 輔助計算!$G$2:$G$801, 0)+1)),IF(INDEX(ERP資料!$G:$G, (MATCH(729, 輔助計算!$G$2:$G$801, 0)+1))&lt;100, IF(INDEX(ERP資料!$G:$G, (MATCH(729, 輔助計算!$G$2:$G$801, 0)+1))&lt;=31,3,IF(INDEX(ERP資料!$G:$G, (MATCH(729, 輔助計算!$G$2:$G$801, 0)+1))&lt;=46.5,2,1)), IF(INDEX(ERP資料!$G:$G, (MATCH(729, 輔助計算!$G$2:$G$801, 0)+1))&lt;=790,3,IF(INDEX(ERP資料!$G:$G, (MATCH(729, 輔助計算!$G$2:$G$801, 0)+1))&lt;=1181,2,1))))=0,"",IF(MOD(INDEX(輔助計算!$D:$D, (MATCH(729, 輔助計算!$G$2:$G$801, 0)+1)),IF(INDEX(ERP資料!$G:$G, (MATCH(729, 輔助計算!$G$2:$G$801, 0)+1))&lt;100, IF(INDEX(ERP資料!$G:$G, (MATCH(729, 輔助計算!$G$2:$G$801, 0)+1))&lt;=31,3,IF(INDEX(ERP資料!$G:$G, (MATCH(729, 輔助計算!$G$2:$G$801, 0)+1))&lt;=46.5,2,1)), IF(INDEX(ERP資料!$G:$G, (MATCH(729, 輔助計算!$G$2:$G$801, 0)+1))&lt;=790,3,IF(INDEX(ERP資料!$G:$G, (MATCH(729, 輔助計算!$G$2:$G$801, 0)+1))&lt;=1181,2,1))))=1,TEXT(INDEX(ERP資料!$G:$G, (MATCH(729, 輔助計算!$G$2:$G$801, 0)+1)),"0.##"),IF(MOD(INDEX(輔助計算!$D:$D, (MATCH(729, 輔助計算!$G$2:$G$801, 0)+1)),IF(INDEX(ERP資料!$G:$G, (MATCH(729, 輔助計算!$G$2:$G$801, 0)+1))&lt;100, IF(INDEX(ERP資料!$G:$G, (MATCH(729, 輔助計算!$G$2:$G$801, 0)+1))&lt;=31,3,IF(INDEX(ERP資料!$G:$G, (MATCH(729, 輔助計算!$G$2:$G$801, 0)+1))&lt;=46.5,2,1)), IF(INDEX(ERP資料!$G:$G, (MATCH(729, 輔助計算!$G$2:$G$801, 0)+1))&lt;=790,3,IF(INDEX(ERP資料!$G:$G, (MATCH(729, 輔助計算!$G$2:$G$801, 0)+1))&lt;=1181,2,1))))=2,TEXT(INDEX(ERP資料!$G:$G, (MATCH(729, 輔助計算!$G$2:$G$801, 0)+1)),"0.##")&amp;"+"&amp;TEXT(INDEX(ERP資料!$G:$G, (MATCH(729, 輔助計算!$G$2:$G$801, 0)+1)),"0.##"),TEXT(INDEX(ERP資料!$G:$G, (MATCH(729, 輔助計算!$G$2:$G$801, 0)+1)),"0.##")&amp;"+"&amp;TEXT(INDEX(ERP資料!$G:$G, (MATCH(729, 輔助計算!$G$2:$G$801, 0)+1)),"0.##")&amp;"+"&amp;TEXT(INDEX(ERP資料!$G:$G, (MATCH(729, 輔助計算!$G$2:$G$801, 0)+1)),"0.##"))))&amp;"-1")), ""), "")</f>
        <v/>
      </c>
      <c r="K730" s="16" t="n"/>
      <c r="L730" s="14">
        <f>IFERROR(IF(AND(IFERROR(INDEX(ERP資料!$A:$A, (MATCH(729, 輔助計算!$G$2:$G$801, 0)+1)), "")&lt;&gt;"", IFERROR(INDEX(ERP資料!$A:$A, (MATCH(729, 輔助計算!$G$2:$G$801, 0)+1)), "")&lt;&gt;IFERROR(INDEX(ERP資料!$A:$A, MATCH(728, 輔助計算!$G$2:$G$801, 0)+1), "")), INDEX(ERP資料!$B:$B, (MATCH(729, 輔助計算!$G$2:$G$801, 0)+1)), ""), "")</f>
        <v/>
      </c>
      <c r="M730" s="17" t="n"/>
    </row>
    <row r="731">
      <c r="A731" s="10">
        <f>IFERROR(IF(AND(IFERROR(INDEX(ERP資料!$A:$A, (MATCH(730, 輔助計算!$G$2:$G$801, 0)+1)), "")&lt;&gt;"", IFERROR(INDEX(ERP資料!$A:$A, (MATCH(730, 輔助計算!$G$2:$G$801, 0)+1)), "")&lt;&gt;IFERROR(INDEX(ERP資料!$A:$A, MATCH(729, 輔助計算!$G$2:$G$801, 0)+1), "")), IFERROR(INDEX(ERP資料!$A:$A, (MATCH(730, 輔助計算!$G$2:$G$801, 0)+1)), ""), ""), "")</f>
        <v/>
      </c>
      <c r="B731" s="10">
        <f>IFERROR(IF(AND(IFERROR(INDEX(ERP資料!$A:$A, (MATCH(730, 輔助計算!$G$2:$G$801, 0)+1)), "")&lt;&gt;"", IFERROR(INDEX(ERP資料!$A:$A, (MATCH(730, 輔助計算!$G$2:$G$801, 0)+1)), "")&lt;&gt;IFERROR(INDEX(ERP資料!$A:$A, MATCH(729, 輔助計算!$G$2:$G$801, 0)+1), "")), INDEX(ERP資料!$S:$S, (MATCH(730, 輔助計算!$G$2:$G$801, 0)+1)), ""), "")</f>
        <v/>
      </c>
      <c r="C731" s="19">
        <f>IFERROR(IF(AND(IFERROR(INDEX(ERP資料!$A:$A, (MATCH(730, 輔助計算!$G$2:$G$801, 0)+1)), "")&lt;&gt;"", IFERROR(INDEX(ERP資料!$A:$A, (MATCH(730, 輔助計算!$G$2:$G$801, 0)+1)), "")&lt;&gt;IFERROR(INDEX(ERP資料!$A:$A, MATCH(729, 輔助計算!$G$2:$G$801, 0)+1), "")), IFERROR(VLOOKUP(LEFT(INDEX(ERP資料!$S:$S, (MATCH(730, 輔助計算!$G$2:$G$801, 0)+1)), 4), 紙管對照表!$A:$C, 3, FALSE), ""), ""), "")</f>
        <v/>
      </c>
      <c r="D731" s="16" t="n"/>
      <c r="E731" s="10">
        <f>IFERROR(IF(INDEX(ERP資料!$H:$H, (MATCH(730, 輔助計算!$G$2:$G$801, 0)+1))="","",INDEX(ERP資料!$H:$H, (MATCH(730, 輔助計算!$G$2:$G$801, 0)+1))), "")</f>
        <v/>
      </c>
      <c r="F731" s="10">
        <f>IFERROR(IF(INDEX(ERP資料!$E:$E, (MATCH(730, 輔助計算!$G$2:$G$801, 0)+1))="","",TRIM(INDEX(ERP資料!$E:$E, (MATCH(730, 輔助計算!$G$2:$G$801, 0)+1)))), "")</f>
        <v/>
      </c>
      <c r="G731" s="10">
        <f>IFERROR(IF(INDEX(ERP資料!$F:$F, (MATCH(730, 輔助計算!$G$2:$G$801, 0)+1))="","",INDEX(ERP資料!$F:$F, (MATCH(730, 輔助計算!$G$2:$G$801, 0)+1))), "")</f>
        <v/>
      </c>
      <c r="H731" s="10">
        <f>IFERROR(IF(INDEX(ERP資料!$G:$G, (MATCH(730, 輔助計算!$G$2:$G$801, 0)+1))="","",INDEX(ERP資料!$G:$G, (MATCH(730, 輔助計算!$G$2:$G$801, 0)+1))), "")</f>
        <v/>
      </c>
      <c r="I731" s="15">
        <f>IFERROR(INDEX(輔助計算!$D:$D, (MATCH(730, 輔助計算!$G$2:$G$801, 0)+1)), "")</f>
        <v/>
      </c>
      <c r="J731" s="15">
        <f>IFERROR(IF(AND(INDEX(輔助計算!$D:$D, (MATCH(730, 輔助計算!$G$2:$G$801, 0)+1))&lt;&gt;"", INDEX(ERP資料!$G:$G, (MATCH(730, 輔助計算!$G$2:$G$801, 0)+1))&lt;&gt;""), TRIM(IF(INT(INDEX(輔助計算!$D:$D, (MATCH(730, 輔助計算!$G$2:$G$801, 0)+1))/IF(INDEX(ERP資料!$G:$G, (MATCH(730, 輔助計算!$G$2:$G$801, 0)+1))&lt;100, IF(INDEX(ERP資料!$G:$G, (MATCH(730, 輔助計算!$G$2:$G$801, 0)+1))&lt;=31,3,IF(INDEX(ERP資料!$G:$G, (MATCH(730, 輔助計算!$G$2:$G$801, 0)+1))&lt;=46.5,2,1)), IF(INDEX(ERP資料!$G:$G, (MATCH(730, 輔助計算!$G$2:$G$801, 0)+1))&lt;=790,3,IF(INDEX(ERP資料!$G:$G, (MATCH(730, 輔助計算!$G$2:$G$801, 0)+1))&lt;=1181,2,1))))&gt;0, IF(IF(INDEX(ERP資料!$G:$G, (MATCH(730, 輔助計算!$G$2:$G$801, 0)+1))&lt;100, IF(INDEX(ERP資料!$G:$G, (MATCH(730, 輔助計算!$G$2:$G$801, 0)+1))&lt;=31,3,IF(INDEX(ERP資料!$G:$G, (MATCH(730, 輔助計算!$G$2:$G$801, 0)+1))&lt;=46.5,2,1)), IF(INDEX(ERP資料!$G:$G, (MATCH(730, 輔助計算!$G$2:$G$801, 0)+1))&lt;=790,3,IF(INDEX(ERP資料!$G:$G, (MATCH(730, 輔助計算!$G$2:$G$801, 0)+1))&lt;=1181,2,1)))=1,TEXT(INDEX(ERP資料!$G:$G, (MATCH(730, 輔助計算!$G$2:$G$801, 0)+1)),"0.##"),IF(IF(INDEX(ERP資料!$G:$G, (MATCH(730, 輔助計算!$G$2:$G$801, 0)+1))&lt;100, IF(INDEX(ERP資料!$G:$G, (MATCH(730, 輔助計算!$G$2:$G$801, 0)+1))&lt;=31,3,IF(INDEX(ERP資料!$G:$G, (MATCH(730, 輔助計算!$G$2:$G$801, 0)+1))&lt;=46.5,2,1)), IF(INDEX(ERP資料!$G:$G, (MATCH(730, 輔助計算!$G$2:$G$801, 0)+1))&lt;=790,3,IF(INDEX(ERP資料!$G:$G, (MATCH(730, 輔助計算!$G$2:$G$801, 0)+1))&lt;=1181,2,1)))=2,TEXT(INDEX(ERP資料!$G:$G, (MATCH(730, 輔助計算!$G$2:$G$801, 0)+1)),"0.##")&amp;"+"&amp;TEXT(INDEX(ERP資料!$G:$G, (MATCH(730, 輔助計算!$G$2:$G$801, 0)+1)),"0.##"),TEXT(INDEX(ERP資料!$G:$G, (MATCH(730, 輔助計算!$G$2:$G$801, 0)+1)),"0.##")&amp;"+"&amp;TEXT(INDEX(ERP資料!$G:$G, (MATCH(730, 輔助計算!$G$2:$G$801, 0)+1)),"0.##")&amp;"+"&amp;TEXT(INDEX(ERP資料!$G:$G, (MATCH(730, 輔助計算!$G$2:$G$801, 0)+1)),"0.##")))&amp;"-"&amp;INT(INDEX(輔助計算!$D:$D, (MATCH(730, 輔助計算!$G$2:$G$801, 0)+1))/IF(INDEX(ERP資料!$G:$G, (MATCH(730, 輔助計算!$G$2:$G$801, 0)+1))&lt;100, IF(INDEX(ERP資料!$G:$G, (MATCH(730, 輔助計算!$G$2:$G$801, 0)+1))&lt;=31,3,IF(INDEX(ERP資料!$G:$G, (MATCH(730, 輔助計算!$G$2:$G$801, 0)+1))&lt;=46.5,2,1)), IF(INDEX(ERP資料!$G:$G, (MATCH(730, 輔助計算!$G$2:$G$801, 0)+1))&lt;=790,3,IF(INDEX(ERP資料!$G:$G, (MATCH(730, 輔助計算!$G$2:$G$801, 0)+1))&lt;=1181,2,1)))), "")&amp;IF(AND(IF(INT(INDEX(輔助計算!$D:$D, (MATCH(730, 輔助計算!$G$2:$G$801, 0)+1))/IF(INDEX(ERP資料!$G:$G, (MATCH(730, 輔助計算!$G$2:$G$801, 0)+1))&lt;100, IF(INDEX(ERP資料!$G:$G, (MATCH(730, 輔助計算!$G$2:$G$801, 0)+1))&lt;=31,3,IF(INDEX(ERP資料!$G:$G, (MATCH(730, 輔助計算!$G$2:$G$801, 0)+1))&lt;=46.5,2,1)), IF(INDEX(ERP資料!$G:$G, (MATCH(730, 輔助計算!$G$2:$G$801, 0)+1))&lt;=790,3,IF(INDEX(ERP資料!$G:$G, (MATCH(730, 輔助計算!$G$2:$G$801, 0)+1))&lt;=1181,2,1))))&gt;0, IF(IF(INDEX(ERP資料!$G:$G, (MATCH(730, 輔助計算!$G$2:$G$801, 0)+1))&lt;100, IF(INDEX(ERP資料!$G:$G, (MATCH(730, 輔助計算!$G$2:$G$801, 0)+1))&lt;=31,3,IF(INDEX(ERP資料!$G:$G, (MATCH(730, 輔助計算!$G$2:$G$801, 0)+1))&lt;=46.5,2,1)), IF(INDEX(ERP資料!$G:$G, (MATCH(730, 輔助計算!$G$2:$G$801, 0)+1))&lt;=790,3,IF(INDEX(ERP資料!$G:$G, (MATCH(730, 輔助計算!$G$2:$G$801, 0)+1))&lt;=1181,2,1)))=1,TEXT(INDEX(ERP資料!$G:$G, (MATCH(730, 輔助計算!$G$2:$G$801, 0)+1)),"0.##"),IF(IF(INDEX(ERP資料!$G:$G, (MATCH(730, 輔助計算!$G$2:$G$801, 0)+1))&lt;100, IF(INDEX(ERP資料!$G:$G, (MATCH(730, 輔助計算!$G$2:$G$801, 0)+1))&lt;=31,3,IF(INDEX(ERP資料!$G:$G, (MATCH(730, 輔助計算!$G$2:$G$801, 0)+1))&lt;=46.5,2,1)), IF(INDEX(ERP資料!$G:$G, (MATCH(730, 輔助計算!$G$2:$G$801, 0)+1))&lt;=790,3,IF(INDEX(ERP資料!$G:$G, (MATCH(730, 輔助計算!$G$2:$G$801, 0)+1))&lt;=1181,2,1)))=2,TEXT(INDEX(ERP資料!$G:$G, (MATCH(730, 輔助計算!$G$2:$G$801, 0)+1)),"0.##")&amp;"+"&amp;TEXT(INDEX(ERP資料!$G:$G, (MATCH(730, 輔助計算!$G$2:$G$801, 0)+1)),"0.##"),TEXT(INDEX(ERP資料!$G:$G, (MATCH(730, 輔助計算!$G$2:$G$801, 0)+1)),"0.##")&amp;"+"&amp;TEXT(INDEX(ERP資料!$G:$G, (MATCH(730, 輔助計算!$G$2:$G$801, 0)+1)),"0.##")&amp;"+"&amp;TEXT(INDEX(ERP資料!$G:$G, (MATCH(730, 輔助計算!$G$2:$G$801, 0)+1)),"0.##")))&amp;"-"&amp;INT(INDEX(輔助計算!$D:$D, (MATCH(730, 輔助計算!$G$2:$G$801, 0)+1))/IF(INDEX(ERP資料!$G:$G, (MATCH(730, 輔助計算!$G$2:$G$801, 0)+1))&lt;100, IF(INDEX(ERP資料!$G:$G, (MATCH(730, 輔助計算!$G$2:$G$801, 0)+1))&lt;=31,3,IF(INDEX(ERP資料!$G:$G, (MATCH(730, 輔助計算!$G$2:$G$801, 0)+1))&lt;=46.5,2,1)), IF(INDEX(ERP資料!$G:$G, (MATCH(730, 輔助計算!$G$2:$G$801, 0)+1))&lt;=790,3,IF(INDEX(ERP資料!$G:$G, (MATCH(730, 輔助計算!$G$2:$G$801, 0)+1))&lt;=1181,2,1)))), "")&lt;&gt;"",IF(MOD(INDEX(輔助計算!$D:$D, (MATCH(730, 輔助計算!$G$2:$G$801, 0)+1)),IF(INDEX(ERP資料!$G:$G, (MATCH(730, 輔助計算!$G$2:$G$801, 0)+1))&lt;100, IF(INDEX(ERP資料!$G:$G, (MATCH(730, 輔助計算!$G$2:$G$801, 0)+1))&lt;=31,3,IF(INDEX(ERP資料!$G:$G, (MATCH(730, 輔助計算!$G$2:$G$801, 0)+1))&lt;=46.5,2,1)), IF(INDEX(ERP資料!$G:$G, (MATCH(730, 輔助計算!$G$2:$G$801, 0)+1))&lt;=790,3,IF(INDEX(ERP資料!$G:$G, (MATCH(730, 輔助計算!$G$2:$G$801, 0)+1))&lt;=1181,2,1))))=0,"",IF(MOD(INDEX(輔助計算!$D:$D, (MATCH(730, 輔助計算!$G$2:$G$801, 0)+1)),IF(INDEX(ERP資料!$G:$G, (MATCH(730, 輔助計算!$G$2:$G$801, 0)+1))&lt;100, IF(INDEX(ERP資料!$G:$G, (MATCH(730, 輔助計算!$G$2:$G$801, 0)+1))&lt;=31,3,IF(INDEX(ERP資料!$G:$G, (MATCH(730, 輔助計算!$G$2:$G$801, 0)+1))&lt;=46.5,2,1)), IF(INDEX(ERP資料!$G:$G, (MATCH(730, 輔助計算!$G$2:$G$801, 0)+1))&lt;=790,3,IF(INDEX(ERP資料!$G:$G, (MATCH(730, 輔助計算!$G$2:$G$801, 0)+1))&lt;=1181,2,1))))=0,"",IF(MOD(INDEX(輔助計算!$D:$D, (MATCH(730, 輔助計算!$G$2:$G$801, 0)+1)),IF(INDEX(ERP資料!$G:$G, (MATCH(730, 輔助計算!$G$2:$G$801, 0)+1))&lt;100, IF(INDEX(ERP資料!$G:$G, (MATCH(730, 輔助計算!$G$2:$G$801, 0)+1))&lt;=31,3,IF(INDEX(ERP資料!$G:$G, (MATCH(730, 輔助計算!$G$2:$G$801, 0)+1))&lt;=46.5,2,1)), IF(INDEX(ERP資料!$G:$G, (MATCH(730, 輔助計算!$G$2:$G$801, 0)+1))&lt;=790,3,IF(INDEX(ERP資料!$G:$G, (MATCH(730, 輔助計算!$G$2:$G$801, 0)+1))&lt;=1181,2,1))))=1,TEXT(INDEX(ERP資料!$G:$G, (MATCH(730, 輔助計算!$G$2:$G$801, 0)+1)),"0.##"),IF(MOD(INDEX(輔助計算!$D:$D, (MATCH(730, 輔助計算!$G$2:$G$801, 0)+1)),IF(INDEX(ERP資料!$G:$G, (MATCH(730, 輔助計算!$G$2:$G$801, 0)+1))&lt;100, IF(INDEX(ERP資料!$G:$G, (MATCH(730, 輔助計算!$G$2:$G$801, 0)+1))&lt;=31,3,IF(INDEX(ERP資料!$G:$G, (MATCH(730, 輔助計算!$G$2:$G$801, 0)+1))&lt;=46.5,2,1)), IF(INDEX(ERP資料!$G:$G, (MATCH(730, 輔助計算!$G$2:$G$801, 0)+1))&lt;=790,3,IF(INDEX(ERP資料!$G:$G, (MATCH(730, 輔助計算!$G$2:$G$801, 0)+1))&lt;=1181,2,1))))=2,TEXT(INDEX(ERP資料!$G:$G, (MATCH(730, 輔助計算!$G$2:$G$801, 0)+1)),"0.##")&amp;"+"&amp;TEXT(INDEX(ERP資料!$G:$G, (MATCH(730, 輔助計算!$G$2:$G$801, 0)+1)),"0.##"),TEXT(INDEX(ERP資料!$G:$G, (MATCH(730, 輔助計算!$G$2:$G$801, 0)+1)),"0.##")&amp;"+"&amp;TEXT(INDEX(ERP資料!$G:$G, (MATCH(730, 輔助計算!$G$2:$G$801, 0)+1)),"0.##")&amp;"+"&amp;TEXT(INDEX(ERP資料!$G:$G, (MATCH(730, 輔助計算!$G$2:$G$801, 0)+1)),"0.##"))))&amp;"-1")&lt;&gt;""),"  ","")&amp;IF(MOD(INDEX(輔助計算!$D:$D, (MATCH(730, 輔助計算!$G$2:$G$801, 0)+1)),IF(INDEX(ERP資料!$G:$G, (MATCH(730, 輔助計算!$G$2:$G$801, 0)+1))&lt;100, IF(INDEX(ERP資料!$G:$G, (MATCH(730, 輔助計算!$G$2:$G$801, 0)+1))&lt;=31,3,IF(INDEX(ERP資料!$G:$G, (MATCH(730, 輔助計算!$G$2:$G$801, 0)+1))&lt;=46.5,2,1)), IF(INDEX(ERP資料!$G:$G, (MATCH(730, 輔助計算!$G$2:$G$801, 0)+1))&lt;=790,3,IF(INDEX(ERP資料!$G:$G, (MATCH(730, 輔助計算!$G$2:$G$801, 0)+1))&lt;=1181,2,1))))=0,"",IF(MOD(INDEX(輔助計算!$D:$D, (MATCH(730, 輔助計算!$G$2:$G$801, 0)+1)),IF(INDEX(ERP資料!$G:$G, (MATCH(730, 輔助計算!$G$2:$G$801, 0)+1))&lt;100, IF(INDEX(ERP資料!$G:$G, (MATCH(730, 輔助計算!$G$2:$G$801, 0)+1))&lt;=31,3,IF(INDEX(ERP資料!$G:$G, (MATCH(730, 輔助計算!$G$2:$G$801, 0)+1))&lt;=46.5,2,1)), IF(INDEX(ERP資料!$G:$G, (MATCH(730, 輔助計算!$G$2:$G$801, 0)+1))&lt;=790,3,IF(INDEX(ERP資料!$G:$G, (MATCH(730, 輔助計算!$G$2:$G$801, 0)+1))&lt;=1181,2,1))))=0,"",IF(MOD(INDEX(輔助計算!$D:$D, (MATCH(730, 輔助計算!$G$2:$G$801, 0)+1)),IF(INDEX(ERP資料!$G:$G, (MATCH(730, 輔助計算!$G$2:$G$801, 0)+1))&lt;100, IF(INDEX(ERP資料!$G:$G, (MATCH(730, 輔助計算!$G$2:$G$801, 0)+1))&lt;=31,3,IF(INDEX(ERP資料!$G:$G, (MATCH(730, 輔助計算!$G$2:$G$801, 0)+1))&lt;=46.5,2,1)), IF(INDEX(ERP資料!$G:$G, (MATCH(730, 輔助計算!$G$2:$G$801, 0)+1))&lt;=790,3,IF(INDEX(ERP資料!$G:$G, (MATCH(730, 輔助計算!$G$2:$G$801, 0)+1))&lt;=1181,2,1))))=1,TEXT(INDEX(ERP資料!$G:$G, (MATCH(730, 輔助計算!$G$2:$G$801, 0)+1)),"0.##"),IF(MOD(INDEX(輔助計算!$D:$D, (MATCH(730, 輔助計算!$G$2:$G$801, 0)+1)),IF(INDEX(ERP資料!$G:$G, (MATCH(730, 輔助計算!$G$2:$G$801, 0)+1))&lt;100, IF(INDEX(ERP資料!$G:$G, (MATCH(730, 輔助計算!$G$2:$G$801, 0)+1))&lt;=31,3,IF(INDEX(ERP資料!$G:$G, (MATCH(730, 輔助計算!$G$2:$G$801, 0)+1))&lt;=46.5,2,1)), IF(INDEX(ERP資料!$G:$G, (MATCH(730, 輔助計算!$G$2:$G$801, 0)+1))&lt;=790,3,IF(INDEX(ERP資料!$G:$G, (MATCH(730, 輔助計算!$G$2:$G$801, 0)+1))&lt;=1181,2,1))))=2,TEXT(INDEX(ERP資料!$G:$G, (MATCH(730, 輔助計算!$G$2:$G$801, 0)+1)),"0.##")&amp;"+"&amp;TEXT(INDEX(ERP資料!$G:$G, (MATCH(730, 輔助計算!$G$2:$G$801, 0)+1)),"0.##"),TEXT(INDEX(ERP資料!$G:$G, (MATCH(730, 輔助計算!$G$2:$G$801, 0)+1)),"0.##")&amp;"+"&amp;TEXT(INDEX(ERP資料!$G:$G, (MATCH(730, 輔助計算!$G$2:$G$801, 0)+1)),"0.##")&amp;"+"&amp;TEXT(INDEX(ERP資料!$G:$G, (MATCH(730, 輔助計算!$G$2:$G$801, 0)+1)),"0.##"))))&amp;"-1")), ""), "")</f>
        <v/>
      </c>
      <c r="K731" s="16" t="n"/>
      <c r="L731" s="14">
        <f>IFERROR(IF(AND(IFERROR(INDEX(ERP資料!$A:$A, (MATCH(730, 輔助計算!$G$2:$G$801, 0)+1)), "")&lt;&gt;"", IFERROR(INDEX(ERP資料!$A:$A, (MATCH(730, 輔助計算!$G$2:$G$801, 0)+1)), "")&lt;&gt;IFERROR(INDEX(ERP資料!$A:$A, MATCH(729, 輔助計算!$G$2:$G$801, 0)+1), "")), INDEX(ERP資料!$B:$B, (MATCH(730, 輔助計算!$G$2:$G$801, 0)+1)), ""), "")</f>
        <v/>
      </c>
      <c r="M731" s="17" t="n"/>
    </row>
    <row r="732">
      <c r="A732" s="10">
        <f>IFERROR(IF(AND(IFERROR(INDEX(ERP資料!$A:$A, (MATCH(731, 輔助計算!$G$2:$G$801, 0)+1)), "")&lt;&gt;"", IFERROR(INDEX(ERP資料!$A:$A, (MATCH(731, 輔助計算!$G$2:$G$801, 0)+1)), "")&lt;&gt;IFERROR(INDEX(ERP資料!$A:$A, MATCH(730, 輔助計算!$G$2:$G$801, 0)+1), "")), IFERROR(INDEX(ERP資料!$A:$A, (MATCH(731, 輔助計算!$G$2:$G$801, 0)+1)), ""), ""), "")</f>
        <v/>
      </c>
      <c r="B732" s="10">
        <f>IFERROR(IF(AND(IFERROR(INDEX(ERP資料!$A:$A, (MATCH(731, 輔助計算!$G$2:$G$801, 0)+1)), "")&lt;&gt;"", IFERROR(INDEX(ERP資料!$A:$A, (MATCH(731, 輔助計算!$G$2:$G$801, 0)+1)), "")&lt;&gt;IFERROR(INDEX(ERP資料!$A:$A, MATCH(730, 輔助計算!$G$2:$G$801, 0)+1), "")), INDEX(ERP資料!$S:$S, (MATCH(731, 輔助計算!$G$2:$G$801, 0)+1)), ""), "")</f>
        <v/>
      </c>
      <c r="C732" s="19">
        <f>IFERROR(IF(AND(IFERROR(INDEX(ERP資料!$A:$A, (MATCH(731, 輔助計算!$G$2:$G$801, 0)+1)), "")&lt;&gt;"", IFERROR(INDEX(ERP資料!$A:$A, (MATCH(731, 輔助計算!$G$2:$G$801, 0)+1)), "")&lt;&gt;IFERROR(INDEX(ERP資料!$A:$A, MATCH(730, 輔助計算!$G$2:$G$801, 0)+1), "")), IFERROR(VLOOKUP(LEFT(INDEX(ERP資料!$S:$S, (MATCH(731, 輔助計算!$G$2:$G$801, 0)+1)), 4), 紙管對照表!$A:$C, 3, FALSE), ""), ""), "")</f>
        <v/>
      </c>
      <c r="D732" s="16" t="n"/>
      <c r="E732" s="10">
        <f>IFERROR(IF(INDEX(ERP資料!$H:$H, (MATCH(731, 輔助計算!$G$2:$G$801, 0)+1))="","",INDEX(ERP資料!$H:$H, (MATCH(731, 輔助計算!$G$2:$G$801, 0)+1))), "")</f>
        <v/>
      </c>
      <c r="F732" s="10">
        <f>IFERROR(IF(INDEX(ERP資料!$E:$E, (MATCH(731, 輔助計算!$G$2:$G$801, 0)+1))="","",TRIM(INDEX(ERP資料!$E:$E, (MATCH(731, 輔助計算!$G$2:$G$801, 0)+1)))), "")</f>
        <v/>
      </c>
      <c r="G732" s="10">
        <f>IFERROR(IF(INDEX(ERP資料!$F:$F, (MATCH(731, 輔助計算!$G$2:$G$801, 0)+1))="","",INDEX(ERP資料!$F:$F, (MATCH(731, 輔助計算!$G$2:$G$801, 0)+1))), "")</f>
        <v/>
      </c>
      <c r="H732" s="10">
        <f>IFERROR(IF(INDEX(ERP資料!$G:$G, (MATCH(731, 輔助計算!$G$2:$G$801, 0)+1))="","",INDEX(ERP資料!$G:$G, (MATCH(731, 輔助計算!$G$2:$G$801, 0)+1))), "")</f>
        <v/>
      </c>
      <c r="I732" s="15">
        <f>IFERROR(INDEX(輔助計算!$D:$D, (MATCH(731, 輔助計算!$G$2:$G$801, 0)+1)), "")</f>
        <v/>
      </c>
      <c r="J732" s="15">
        <f>IFERROR(IF(AND(INDEX(輔助計算!$D:$D, (MATCH(731, 輔助計算!$G$2:$G$801, 0)+1))&lt;&gt;"", INDEX(ERP資料!$G:$G, (MATCH(731, 輔助計算!$G$2:$G$801, 0)+1))&lt;&gt;""), TRIM(IF(INT(INDEX(輔助計算!$D:$D, (MATCH(731, 輔助計算!$G$2:$G$801, 0)+1))/IF(INDEX(ERP資料!$G:$G, (MATCH(731, 輔助計算!$G$2:$G$801, 0)+1))&lt;100, IF(INDEX(ERP資料!$G:$G, (MATCH(731, 輔助計算!$G$2:$G$801, 0)+1))&lt;=31,3,IF(INDEX(ERP資料!$G:$G, (MATCH(731, 輔助計算!$G$2:$G$801, 0)+1))&lt;=46.5,2,1)), IF(INDEX(ERP資料!$G:$G, (MATCH(731, 輔助計算!$G$2:$G$801, 0)+1))&lt;=790,3,IF(INDEX(ERP資料!$G:$G, (MATCH(731, 輔助計算!$G$2:$G$801, 0)+1))&lt;=1181,2,1))))&gt;0, IF(IF(INDEX(ERP資料!$G:$G, (MATCH(731, 輔助計算!$G$2:$G$801, 0)+1))&lt;100, IF(INDEX(ERP資料!$G:$G, (MATCH(731, 輔助計算!$G$2:$G$801, 0)+1))&lt;=31,3,IF(INDEX(ERP資料!$G:$G, (MATCH(731, 輔助計算!$G$2:$G$801, 0)+1))&lt;=46.5,2,1)), IF(INDEX(ERP資料!$G:$G, (MATCH(731, 輔助計算!$G$2:$G$801, 0)+1))&lt;=790,3,IF(INDEX(ERP資料!$G:$G, (MATCH(731, 輔助計算!$G$2:$G$801, 0)+1))&lt;=1181,2,1)))=1,TEXT(INDEX(ERP資料!$G:$G, (MATCH(731, 輔助計算!$G$2:$G$801, 0)+1)),"0.##"),IF(IF(INDEX(ERP資料!$G:$G, (MATCH(731, 輔助計算!$G$2:$G$801, 0)+1))&lt;100, IF(INDEX(ERP資料!$G:$G, (MATCH(731, 輔助計算!$G$2:$G$801, 0)+1))&lt;=31,3,IF(INDEX(ERP資料!$G:$G, (MATCH(731, 輔助計算!$G$2:$G$801, 0)+1))&lt;=46.5,2,1)), IF(INDEX(ERP資料!$G:$G, (MATCH(731, 輔助計算!$G$2:$G$801, 0)+1))&lt;=790,3,IF(INDEX(ERP資料!$G:$G, (MATCH(731, 輔助計算!$G$2:$G$801, 0)+1))&lt;=1181,2,1)))=2,TEXT(INDEX(ERP資料!$G:$G, (MATCH(731, 輔助計算!$G$2:$G$801, 0)+1)),"0.##")&amp;"+"&amp;TEXT(INDEX(ERP資料!$G:$G, (MATCH(731, 輔助計算!$G$2:$G$801, 0)+1)),"0.##"),TEXT(INDEX(ERP資料!$G:$G, (MATCH(731, 輔助計算!$G$2:$G$801, 0)+1)),"0.##")&amp;"+"&amp;TEXT(INDEX(ERP資料!$G:$G, (MATCH(731, 輔助計算!$G$2:$G$801, 0)+1)),"0.##")&amp;"+"&amp;TEXT(INDEX(ERP資料!$G:$G, (MATCH(731, 輔助計算!$G$2:$G$801, 0)+1)),"0.##")))&amp;"-"&amp;INT(INDEX(輔助計算!$D:$D, (MATCH(731, 輔助計算!$G$2:$G$801, 0)+1))/IF(INDEX(ERP資料!$G:$G, (MATCH(731, 輔助計算!$G$2:$G$801, 0)+1))&lt;100, IF(INDEX(ERP資料!$G:$G, (MATCH(731, 輔助計算!$G$2:$G$801, 0)+1))&lt;=31,3,IF(INDEX(ERP資料!$G:$G, (MATCH(731, 輔助計算!$G$2:$G$801, 0)+1))&lt;=46.5,2,1)), IF(INDEX(ERP資料!$G:$G, (MATCH(731, 輔助計算!$G$2:$G$801, 0)+1))&lt;=790,3,IF(INDEX(ERP資料!$G:$G, (MATCH(731, 輔助計算!$G$2:$G$801, 0)+1))&lt;=1181,2,1)))), "")&amp;IF(AND(IF(INT(INDEX(輔助計算!$D:$D, (MATCH(731, 輔助計算!$G$2:$G$801, 0)+1))/IF(INDEX(ERP資料!$G:$G, (MATCH(731, 輔助計算!$G$2:$G$801, 0)+1))&lt;100, IF(INDEX(ERP資料!$G:$G, (MATCH(731, 輔助計算!$G$2:$G$801, 0)+1))&lt;=31,3,IF(INDEX(ERP資料!$G:$G, (MATCH(731, 輔助計算!$G$2:$G$801, 0)+1))&lt;=46.5,2,1)), IF(INDEX(ERP資料!$G:$G, (MATCH(731, 輔助計算!$G$2:$G$801, 0)+1))&lt;=790,3,IF(INDEX(ERP資料!$G:$G, (MATCH(731, 輔助計算!$G$2:$G$801, 0)+1))&lt;=1181,2,1))))&gt;0, IF(IF(INDEX(ERP資料!$G:$G, (MATCH(731, 輔助計算!$G$2:$G$801, 0)+1))&lt;100, IF(INDEX(ERP資料!$G:$G, (MATCH(731, 輔助計算!$G$2:$G$801, 0)+1))&lt;=31,3,IF(INDEX(ERP資料!$G:$G, (MATCH(731, 輔助計算!$G$2:$G$801, 0)+1))&lt;=46.5,2,1)), IF(INDEX(ERP資料!$G:$G, (MATCH(731, 輔助計算!$G$2:$G$801, 0)+1))&lt;=790,3,IF(INDEX(ERP資料!$G:$G, (MATCH(731, 輔助計算!$G$2:$G$801, 0)+1))&lt;=1181,2,1)))=1,TEXT(INDEX(ERP資料!$G:$G, (MATCH(731, 輔助計算!$G$2:$G$801, 0)+1)),"0.##"),IF(IF(INDEX(ERP資料!$G:$G, (MATCH(731, 輔助計算!$G$2:$G$801, 0)+1))&lt;100, IF(INDEX(ERP資料!$G:$G, (MATCH(731, 輔助計算!$G$2:$G$801, 0)+1))&lt;=31,3,IF(INDEX(ERP資料!$G:$G, (MATCH(731, 輔助計算!$G$2:$G$801, 0)+1))&lt;=46.5,2,1)), IF(INDEX(ERP資料!$G:$G, (MATCH(731, 輔助計算!$G$2:$G$801, 0)+1))&lt;=790,3,IF(INDEX(ERP資料!$G:$G, (MATCH(731, 輔助計算!$G$2:$G$801, 0)+1))&lt;=1181,2,1)))=2,TEXT(INDEX(ERP資料!$G:$G, (MATCH(731, 輔助計算!$G$2:$G$801, 0)+1)),"0.##")&amp;"+"&amp;TEXT(INDEX(ERP資料!$G:$G, (MATCH(731, 輔助計算!$G$2:$G$801, 0)+1)),"0.##"),TEXT(INDEX(ERP資料!$G:$G, (MATCH(731, 輔助計算!$G$2:$G$801, 0)+1)),"0.##")&amp;"+"&amp;TEXT(INDEX(ERP資料!$G:$G, (MATCH(731, 輔助計算!$G$2:$G$801, 0)+1)),"0.##")&amp;"+"&amp;TEXT(INDEX(ERP資料!$G:$G, (MATCH(731, 輔助計算!$G$2:$G$801, 0)+1)),"0.##")))&amp;"-"&amp;INT(INDEX(輔助計算!$D:$D, (MATCH(731, 輔助計算!$G$2:$G$801, 0)+1))/IF(INDEX(ERP資料!$G:$G, (MATCH(731, 輔助計算!$G$2:$G$801, 0)+1))&lt;100, IF(INDEX(ERP資料!$G:$G, (MATCH(731, 輔助計算!$G$2:$G$801, 0)+1))&lt;=31,3,IF(INDEX(ERP資料!$G:$G, (MATCH(731, 輔助計算!$G$2:$G$801, 0)+1))&lt;=46.5,2,1)), IF(INDEX(ERP資料!$G:$G, (MATCH(731, 輔助計算!$G$2:$G$801, 0)+1))&lt;=790,3,IF(INDEX(ERP資料!$G:$G, (MATCH(731, 輔助計算!$G$2:$G$801, 0)+1))&lt;=1181,2,1)))), "")&lt;&gt;"",IF(MOD(INDEX(輔助計算!$D:$D, (MATCH(731, 輔助計算!$G$2:$G$801, 0)+1)),IF(INDEX(ERP資料!$G:$G, (MATCH(731, 輔助計算!$G$2:$G$801, 0)+1))&lt;100, IF(INDEX(ERP資料!$G:$G, (MATCH(731, 輔助計算!$G$2:$G$801, 0)+1))&lt;=31,3,IF(INDEX(ERP資料!$G:$G, (MATCH(731, 輔助計算!$G$2:$G$801, 0)+1))&lt;=46.5,2,1)), IF(INDEX(ERP資料!$G:$G, (MATCH(731, 輔助計算!$G$2:$G$801, 0)+1))&lt;=790,3,IF(INDEX(ERP資料!$G:$G, (MATCH(731, 輔助計算!$G$2:$G$801, 0)+1))&lt;=1181,2,1))))=0,"",IF(MOD(INDEX(輔助計算!$D:$D, (MATCH(731, 輔助計算!$G$2:$G$801, 0)+1)),IF(INDEX(ERP資料!$G:$G, (MATCH(731, 輔助計算!$G$2:$G$801, 0)+1))&lt;100, IF(INDEX(ERP資料!$G:$G, (MATCH(731, 輔助計算!$G$2:$G$801, 0)+1))&lt;=31,3,IF(INDEX(ERP資料!$G:$G, (MATCH(731, 輔助計算!$G$2:$G$801, 0)+1))&lt;=46.5,2,1)), IF(INDEX(ERP資料!$G:$G, (MATCH(731, 輔助計算!$G$2:$G$801, 0)+1))&lt;=790,3,IF(INDEX(ERP資料!$G:$G, (MATCH(731, 輔助計算!$G$2:$G$801, 0)+1))&lt;=1181,2,1))))=0,"",IF(MOD(INDEX(輔助計算!$D:$D, (MATCH(731, 輔助計算!$G$2:$G$801, 0)+1)),IF(INDEX(ERP資料!$G:$G, (MATCH(731, 輔助計算!$G$2:$G$801, 0)+1))&lt;100, IF(INDEX(ERP資料!$G:$G, (MATCH(731, 輔助計算!$G$2:$G$801, 0)+1))&lt;=31,3,IF(INDEX(ERP資料!$G:$G, (MATCH(731, 輔助計算!$G$2:$G$801, 0)+1))&lt;=46.5,2,1)), IF(INDEX(ERP資料!$G:$G, (MATCH(731, 輔助計算!$G$2:$G$801, 0)+1))&lt;=790,3,IF(INDEX(ERP資料!$G:$G, (MATCH(731, 輔助計算!$G$2:$G$801, 0)+1))&lt;=1181,2,1))))=1,TEXT(INDEX(ERP資料!$G:$G, (MATCH(731, 輔助計算!$G$2:$G$801, 0)+1)),"0.##"),IF(MOD(INDEX(輔助計算!$D:$D, (MATCH(731, 輔助計算!$G$2:$G$801, 0)+1)),IF(INDEX(ERP資料!$G:$G, (MATCH(731, 輔助計算!$G$2:$G$801, 0)+1))&lt;100, IF(INDEX(ERP資料!$G:$G, (MATCH(731, 輔助計算!$G$2:$G$801, 0)+1))&lt;=31,3,IF(INDEX(ERP資料!$G:$G, (MATCH(731, 輔助計算!$G$2:$G$801, 0)+1))&lt;=46.5,2,1)), IF(INDEX(ERP資料!$G:$G, (MATCH(731, 輔助計算!$G$2:$G$801, 0)+1))&lt;=790,3,IF(INDEX(ERP資料!$G:$G, (MATCH(731, 輔助計算!$G$2:$G$801, 0)+1))&lt;=1181,2,1))))=2,TEXT(INDEX(ERP資料!$G:$G, (MATCH(731, 輔助計算!$G$2:$G$801, 0)+1)),"0.##")&amp;"+"&amp;TEXT(INDEX(ERP資料!$G:$G, (MATCH(731, 輔助計算!$G$2:$G$801, 0)+1)),"0.##"),TEXT(INDEX(ERP資料!$G:$G, (MATCH(731, 輔助計算!$G$2:$G$801, 0)+1)),"0.##")&amp;"+"&amp;TEXT(INDEX(ERP資料!$G:$G, (MATCH(731, 輔助計算!$G$2:$G$801, 0)+1)),"0.##")&amp;"+"&amp;TEXT(INDEX(ERP資料!$G:$G, (MATCH(731, 輔助計算!$G$2:$G$801, 0)+1)),"0.##"))))&amp;"-1")&lt;&gt;""),"  ","")&amp;IF(MOD(INDEX(輔助計算!$D:$D, (MATCH(731, 輔助計算!$G$2:$G$801, 0)+1)),IF(INDEX(ERP資料!$G:$G, (MATCH(731, 輔助計算!$G$2:$G$801, 0)+1))&lt;100, IF(INDEX(ERP資料!$G:$G, (MATCH(731, 輔助計算!$G$2:$G$801, 0)+1))&lt;=31,3,IF(INDEX(ERP資料!$G:$G, (MATCH(731, 輔助計算!$G$2:$G$801, 0)+1))&lt;=46.5,2,1)), IF(INDEX(ERP資料!$G:$G, (MATCH(731, 輔助計算!$G$2:$G$801, 0)+1))&lt;=790,3,IF(INDEX(ERP資料!$G:$G, (MATCH(731, 輔助計算!$G$2:$G$801, 0)+1))&lt;=1181,2,1))))=0,"",IF(MOD(INDEX(輔助計算!$D:$D, (MATCH(731, 輔助計算!$G$2:$G$801, 0)+1)),IF(INDEX(ERP資料!$G:$G, (MATCH(731, 輔助計算!$G$2:$G$801, 0)+1))&lt;100, IF(INDEX(ERP資料!$G:$G, (MATCH(731, 輔助計算!$G$2:$G$801, 0)+1))&lt;=31,3,IF(INDEX(ERP資料!$G:$G, (MATCH(731, 輔助計算!$G$2:$G$801, 0)+1))&lt;=46.5,2,1)), IF(INDEX(ERP資料!$G:$G, (MATCH(731, 輔助計算!$G$2:$G$801, 0)+1))&lt;=790,3,IF(INDEX(ERP資料!$G:$G, (MATCH(731, 輔助計算!$G$2:$G$801, 0)+1))&lt;=1181,2,1))))=0,"",IF(MOD(INDEX(輔助計算!$D:$D, (MATCH(731, 輔助計算!$G$2:$G$801, 0)+1)),IF(INDEX(ERP資料!$G:$G, (MATCH(731, 輔助計算!$G$2:$G$801, 0)+1))&lt;100, IF(INDEX(ERP資料!$G:$G, (MATCH(731, 輔助計算!$G$2:$G$801, 0)+1))&lt;=31,3,IF(INDEX(ERP資料!$G:$G, (MATCH(731, 輔助計算!$G$2:$G$801, 0)+1))&lt;=46.5,2,1)), IF(INDEX(ERP資料!$G:$G, (MATCH(731, 輔助計算!$G$2:$G$801, 0)+1))&lt;=790,3,IF(INDEX(ERP資料!$G:$G, (MATCH(731, 輔助計算!$G$2:$G$801, 0)+1))&lt;=1181,2,1))))=1,TEXT(INDEX(ERP資料!$G:$G, (MATCH(731, 輔助計算!$G$2:$G$801, 0)+1)),"0.##"),IF(MOD(INDEX(輔助計算!$D:$D, (MATCH(731, 輔助計算!$G$2:$G$801, 0)+1)),IF(INDEX(ERP資料!$G:$G, (MATCH(731, 輔助計算!$G$2:$G$801, 0)+1))&lt;100, IF(INDEX(ERP資料!$G:$G, (MATCH(731, 輔助計算!$G$2:$G$801, 0)+1))&lt;=31,3,IF(INDEX(ERP資料!$G:$G, (MATCH(731, 輔助計算!$G$2:$G$801, 0)+1))&lt;=46.5,2,1)), IF(INDEX(ERP資料!$G:$G, (MATCH(731, 輔助計算!$G$2:$G$801, 0)+1))&lt;=790,3,IF(INDEX(ERP資料!$G:$G, (MATCH(731, 輔助計算!$G$2:$G$801, 0)+1))&lt;=1181,2,1))))=2,TEXT(INDEX(ERP資料!$G:$G, (MATCH(731, 輔助計算!$G$2:$G$801, 0)+1)),"0.##")&amp;"+"&amp;TEXT(INDEX(ERP資料!$G:$G, (MATCH(731, 輔助計算!$G$2:$G$801, 0)+1)),"0.##"),TEXT(INDEX(ERP資料!$G:$G, (MATCH(731, 輔助計算!$G$2:$G$801, 0)+1)),"0.##")&amp;"+"&amp;TEXT(INDEX(ERP資料!$G:$G, (MATCH(731, 輔助計算!$G$2:$G$801, 0)+1)),"0.##")&amp;"+"&amp;TEXT(INDEX(ERP資料!$G:$G, (MATCH(731, 輔助計算!$G$2:$G$801, 0)+1)),"0.##"))))&amp;"-1")), ""), "")</f>
        <v/>
      </c>
      <c r="K732" s="16" t="n"/>
      <c r="L732" s="14">
        <f>IFERROR(IF(AND(IFERROR(INDEX(ERP資料!$A:$A, (MATCH(731, 輔助計算!$G$2:$G$801, 0)+1)), "")&lt;&gt;"", IFERROR(INDEX(ERP資料!$A:$A, (MATCH(731, 輔助計算!$G$2:$G$801, 0)+1)), "")&lt;&gt;IFERROR(INDEX(ERP資料!$A:$A, MATCH(730, 輔助計算!$G$2:$G$801, 0)+1), "")), INDEX(ERP資料!$B:$B, (MATCH(731, 輔助計算!$G$2:$G$801, 0)+1)), ""), "")</f>
        <v/>
      </c>
      <c r="M732" s="17" t="n"/>
    </row>
    <row r="733">
      <c r="A733" s="10">
        <f>IFERROR(IF(AND(IFERROR(INDEX(ERP資料!$A:$A, (MATCH(732, 輔助計算!$G$2:$G$801, 0)+1)), "")&lt;&gt;"", IFERROR(INDEX(ERP資料!$A:$A, (MATCH(732, 輔助計算!$G$2:$G$801, 0)+1)), "")&lt;&gt;IFERROR(INDEX(ERP資料!$A:$A, MATCH(731, 輔助計算!$G$2:$G$801, 0)+1), "")), IFERROR(INDEX(ERP資料!$A:$A, (MATCH(732, 輔助計算!$G$2:$G$801, 0)+1)), ""), ""), "")</f>
        <v/>
      </c>
      <c r="B733" s="10">
        <f>IFERROR(IF(AND(IFERROR(INDEX(ERP資料!$A:$A, (MATCH(732, 輔助計算!$G$2:$G$801, 0)+1)), "")&lt;&gt;"", IFERROR(INDEX(ERP資料!$A:$A, (MATCH(732, 輔助計算!$G$2:$G$801, 0)+1)), "")&lt;&gt;IFERROR(INDEX(ERP資料!$A:$A, MATCH(731, 輔助計算!$G$2:$G$801, 0)+1), "")), INDEX(ERP資料!$S:$S, (MATCH(732, 輔助計算!$G$2:$G$801, 0)+1)), ""), "")</f>
        <v/>
      </c>
      <c r="C733" s="19">
        <f>IFERROR(IF(AND(IFERROR(INDEX(ERP資料!$A:$A, (MATCH(732, 輔助計算!$G$2:$G$801, 0)+1)), "")&lt;&gt;"", IFERROR(INDEX(ERP資料!$A:$A, (MATCH(732, 輔助計算!$G$2:$G$801, 0)+1)), "")&lt;&gt;IFERROR(INDEX(ERP資料!$A:$A, MATCH(731, 輔助計算!$G$2:$G$801, 0)+1), "")), IFERROR(VLOOKUP(LEFT(INDEX(ERP資料!$S:$S, (MATCH(732, 輔助計算!$G$2:$G$801, 0)+1)), 4), 紙管對照表!$A:$C, 3, FALSE), ""), ""), "")</f>
        <v/>
      </c>
      <c r="D733" s="16" t="n"/>
      <c r="E733" s="10">
        <f>IFERROR(IF(INDEX(ERP資料!$H:$H, (MATCH(732, 輔助計算!$G$2:$G$801, 0)+1))="","",INDEX(ERP資料!$H:$H, (MATCH(732, 輔助計算!$G$2:$G$801, 0)+1))), "")</f>
        <v/>
      </c>
      <c r="F733" s="10">
        <f>IFERROR(IF(INDEX(ERP資料!$E:$E, (MATCH(732, 輔助計算!$G$2:$G$801, 0)+1))="","",TRIM(INDEX(ERP資料!$E:$E, (MATCH(732, 輔助計算!$G$2:$G$801, 0)+1)))), "")</f>
        <v/>
      </c>
      <c r="G733" s="10">
        <f>IFERROR(IF(INDEX(ERP資料!$F:$F, (MATCH(732, 輔助計算!$G$2:$G$801, 0)+1))="","",INDEX(ERP資料!$F:$F, (MATCH(732, 輔助計算!$G$2:$G$801, 0)+1))), "")</f>
        <v/>
      </c>
      <c r="H733" s="10">
        <f>IFERROR(IF(INDEX(ERP資料!$G:$G, (MATCH(732, 輔助計算!$G$2:$G$801, 0)+1))="","",INDEX(ERP資料!$G:$G, (MATCH(732, 輔助計算!$G$2:$G$801, 0)+1))), "")</f>
        <v/>
      </c>
      <c r="I733" s="15">
        <f>IFERROR(INDEX(輔助計算!$D:$D, (MATCH(732, 輔助計算!$G$2:$G$801, 0)+1)), "")</f>
        <v/>
      </c>
      <c r="J733" s="15">
        <f>IFERROR(IF(AND(INDEX(輔助計算!$D:$D, (MATCH(732, 輔助計算!$G$2:$G$801, 0)+1))&lt;&gt;"", INDEX(ERP資料!$G:$G, (MATCH(732, 輔助計算!$G$2:$G$801, 0)+1))&lt;&gt;""), TRIM(IF(INT(INDEX(輔助計算!$D:$D, (MATCH(732, 輔助計算!$G$2:$G$801, 0)+1))/IF(INDEX(ERP資料!$G:$G, (MATCH(732, 輔助計算!$G$2:$G$801, 0)+1))&lt;100, IF(INDEX(ERP資料!$G:$G, (MATCH(732, 輔助計算!$G$2:$G$801, 0)+1))&lt;=31,3,IF(INDEX(ERP資料!$G:$G, (MATCH(732, 輔助計算!$G$2:$G$801, 0)+1))&lt;=46.5,2,1)), IF(INDEX(ERP資料!$G:$G, (MATCH(732, 輔助計算!$G$2:$G$801, 0)+1))&lt;=790,3,IF(INDEX(ERP資料!$G:$G, (MATCH(732, 輔助計算!$G$2:$G$801, 0)+1))&lt;=1181,2,1))))&gt;0, IF(IF(INDEX(ERP資料!$G:$G, (MATCH(732, 輔助計算!$G$2:$G$801, 0)+1))&lt;100, IF(INDEX(ERP資料!$G:$G, (MATCH(732, 輔助計算!$G$2:$G$801, 0)+1))&lt;=31,3,IF(INDEX(ERP資料!$G:$G, (MATCH(732, 輔助計算!$G$2:$G$801, 0)+1))&lt;=46.5,2,1)), IF(INDEX(ERP資料!$G:$G, (MATCH(732, 輔助計算!$G$2:$G$801, 0)+1))&lt;=790,3,IF(INDEX(ERP資料!$G:$G, (MATCH(732, 輔助計算!$G$2:$G$801, 0)+1))&lt;=1181,2,1)))=1,TEXT(INDEX(ERP資料!$G:$G, (MATCH(732, 輔助計算!$G$2:$G$801, 0)+1)),"0.##"),IF(IF(INDEX(ERP資料!$G:$G, (MATCH(732, 輔助計算!$G$2:$G$801, 0)+1))&lt;100, IF(INDEX(ERP資料!$G:$G, (MATCH(732, 輔助計算!$G$2:$G$801, 0)+1))&lt;=31,3,IF(INDEX(ERP資料!$G:$G, (MATCH(732, 輔助計算!$G$2:$G$801, 0)+1))&lt;=46.5,2,1)), IF(INDEX(ERP資料!$G:$G, (MATCH(732, 輔助計算!$G$2:$G$801, 0)+1))&lt;=790,3,IF(INDEX(ERP資料!$G:$G, (MATCH(732, 輔助計算!$G$2:$G$801, 0)+1))&lt;=1181,2,1)))=2,TEXT(INDEX(ERP資料!$G:$G, (MATCH(732, 輔助計算!$G$2:$G$801, 0)+1)),"0.##")&amp;"+"&amp;TEXT(INDEX(ERP資料!$G:$G, (MATCH(732, 輔助計算!$G$2:$G$801, 0)+1)),"0.##"),TEXT(INDEX(ERP資料!$G:$G, (MATCH(732, 輔助計算!$G$2:$G$801, 0)+1)),"0.##")&amp;"+"&amp;TEXT(INDEX(ERP資料!$G:$G, (MATCH(732, 輔助計算!$G$2:$G$801, 0)+1)),"0.##")&amp;"+"&amp;TEXT(INDEX(ERP資料!$G:$G, (MATCH(732, 輔助計算!$G$2:$G$801, 0)+1)),"0.##")))&amp;"-"&amp;INT(INDEX(輔助計算!$D:$D, (MATCH(732, 輔助計算!$G$2:$G$801, 0)+1))/IF(INDEX(ERP資料!$G:$G, (MATCH(732, 輔助計算!$G$2:$G$801, 0)+1))&lt;100, IF(INDEX(ERP資料!$G:$G, (MATCH(732, 輔助計算!$G$2:$G$801, 0)+1))&lt;=31,3,IF(INDEX(ERP資料!$G:$G, (MATCH(732, 輔助計算!$G$2:$G$801, 0)+1))&lt;=46.5,2,1)), IF(INDEX(ERP資料!$G:$G, (MATCH(732, 輔助計算!$G$2:$G$801, 0)+1))&lt;=790,3,IF(INDEX(ERP資料!$G:$G, (MATCH(732, 輔助計算!$G$2:$G$801, 0)+1))&lt;=1181,2,1)))), "")&amp;IF(AND(IF(INT(INDEX(輔助計算!$D:$D, (MATCH(732, 輔助計算!$G$2:$G$801, 0)+1))/IF(INDEX(ERP資料!$G:$G, (MATCH(732, 輔助計算!$G$2:$G$801, 0)+1))&lt;100, IF(INDEX(ERP資料!$G:$G, (MATCH(732, 輔助計算!$G$2:$G$801, 0)+1))&lt;=31,3,IF(INDEX(ERP資料!$G:$G, (MATCH(732, 輔助計算!$G$2:$G$801, 0)+1))&lt;=46.5,2,1)), IF(INDEX(ERP資料!$G:$G, (MATCH(732, 輔助計算!$G$2:$G$801, 0)+1))&lt;=790,3,IF(INDEX(ERP資料!$G:$G, (MATCH(732, 輔助計算!$G$2:$G$801, 0)+1))&lt;=1181,2,1))))&gt;0, IF(IF(INDEX(ERP資料!$G:$G, (MATCH(732, 輔助計算!$G$2:$G$801, 0)+1))&lt;100, IF(INDEX(ERP資料!$G:$G, (MATCH(732, 輔助計算!$G$2:$G$801, 0)+1))&lt;=31,3,IF(INDEX(ERP資料!$G:$G, (MATCH(732, 輔助計算!$G$2:$G$801, 0)+1))&lt;=46.5,2,1)), IF(INDEX(ERP資料!$G:$G, (MATCH(732, 輔助計算!$G$2:$G$801, 0)+1))&lt;=790,3,IF(INDEX(ERP資料!$G:$G, (MATCH(732, 輔助計算!$G$2:$G$801, 0)+1))&lt;=1181,2,1)))=1,TEXT(INDEX(ERP資料!$G:$G, (MATCH(732, 輔助計算!$G$2:$G$801, 0)+1)),"0.##"),IF(IF(INDEX(ERP資料!$G:$G, (MATCH(732, 輔助計算!$G$2:$G$801, 0)+1))&lt;100, IF(INDEX(ERP資料!$G:$G, (MATCH(732, 輔助計算!$G$2:$G$801, 0)+1))&lt;=31,3,IF(INDEX(ERP資料!$G:$G, (MATCH(732, 輔助計算!$G$2:$G$801, 0)+1))&lt;=46.5,2,1)), IF(INDEX(ERP資料!$G:$G, (MATCH(732, 輔助計算!$G$2:$G$801, 0)+1))&lt;=790,3,IF(INDEX(ERP資料!$G:$G, (MATCH(732, 輔助計算!$G$2:$G$801, 0)+1))&lt;=1181,2,1)))=2,TEXT(INDEX(ERP資料!$G:$G, (MATCH(732, 輔助計算!$G$2:$G$801, 0)+1)),"0.##")&amp;"+"&amp;TEXT(INDEX(ERP資料!$G:$G, (MATCH(732, 輔助計算!$G$2:$G$801, 0)+1)),"0.##"),TEXT(INDEX(ERP資料!$G:$G, (MATCH(732, 輔助計算!$G$2:$G$801, 0)+1)),"0.##")&amp;"+"&amp;TEXT(INDEX(ERP資料!$G:$G, (MATCH(732, 輔助計算!$G$2:$G$801, 0)+1)),"0.##")&amp;"+"&amp;TEXT(INDEX(ERP資料!$G:$G, (MATCH(732, 輔助計算!$G$2:$G$801, 0)+1)),"0.##")))&amp;"-"&amp;INT(INDEX(輔助計算!$D:$D, (MATCH(732, 輔助計算!$G$2:$G$801, 0)+1))/IF(INDEX(ERP資料!$G:$G, (MATCH(732, 輔助計算!$G$2:$G$801, 0)+1))&lt;100, IF(INDEX(ERP資料!$G:$G, (MATCH(732, 輔助計算!$G$2:$G$801, 0)+1))&lt;=31,3,IF(INDEX(ERP資料!$G:$G, (MATCH(732, 輔助計算!$G$2:$G$801, 0)+1))&lt;=46.5,2,1)), IF(INDEX(ERP資料!$G:$G, (MATCH(732, 輔助計算!$G$2:$G$801, 0)+1))&lt;=790,3,IF(INDEX(ERP資料!$G:$G, (MATCH(732, 輔助計算!$G$2:$G$801, 0)+1))&lt;=1181,2,1)))), "")&lt;&gt;"",IF(MOD(INDEX(輔助計算!$D:$D, (MATCH(732, 輔助計算!$G$2:$G$801, 0)+1)),IF(INDEX(ERP資料!$G:$G, (MATCH(732, 輔助計算!$G$2:$G$801, 0)+1))&lt;100, IF(INDEX(ERP資料!$G:$G, (MATCH(732, 輔助計算!$G$2:$G$801, 0)+1))&lt;=31,3,IF(INDEX(ERP資料!$G:$G, (MATCH(732, 輔助計算!$G$2:$G$801, 0)+1))&lt;=46.5,2,1)), IF(INDEX(ERP資料!$G:$G, (MATCH(732, 輔助計算!$G$2:$G$801, 0)+1))&lt;=790,3,IF(INDEX(ERP資料!$G:$G, (MATCH(732, 輔助計算!$G$2:$G$801, 0)+1))&lt;=1181,2,1))))=0,"",IF(MOD(INDEX(輔助計算!$D:$D, (MATCH(732, 輔助計算!$G$2:$G$801, 0)+1)),IF(INDEX(ERP資料!$G:$G, (MATCH(732, 輔助計算!$G$2:$G$801, 0)+1))&lt;100, IF(INDEX(ERP資料!$G:$G, (MATCH(732, 輔助計算!$G$2:$G$801, 0)+1))&lt;=31,3,IF(INDEX(ERP資料!$G:$G, (MATCH(732, 輔助計算!$G$2:$G$801, 0)+1))&lt;=46.5,2,1)), IF(INDEX(ERP資料!$G:$G, (MATCH(732, 輔助計算!$G$2:$G$801, 0)+1))&lt;=790,3,IF(INDEX(ERP資料!$G:$G, (MATCH(732, 輔助計算!$G$2:$G$801, 0)+1))&lt;=1181,2,1))))=0,"",IF(MOD(INDEX(輔助計算!$D:$D, (MATCH(732, 輔助計算!$G$2:$G$801, 0)+1)),IF(INDEX(ERP資料!$G:$G, (MATCH(732, 輔助計算!$G$2:$G$801, 0)+1))&lt;100, IF(INDEX(ERP資料!$G:$G, (MATCH(732, 輔助計算!$G$2:$G$801, 0)+1))&lt;=31,3,IF(INDEX(ERP資料!$G:$G, (MATCH(732, 輔助計算!$G$2:$G$801, 0)+1))&lt;=46.5,2,1)), IF(INDEX(ERP資料!$G:$G, (MATCH(732, 輔助計算!$G$2:$G$801, 0)+1))&lt;=790,3,IF(INDEX(ERP資料!$G:$G, (MATCH(732, 輔助計算!$G$2:$G$801, 0)+1))&lt;=1181,2,1))))=1,TEXT(INDEX(ERP資料!$G:$G, (MATCH(732, 輔助計算!$G$2:$G$801, 0)+1)),"0.##"),IF(MOD(INDEX(輔助計算!$D:$D, (MATCH(732, 輔助計算!$G$2:$G$801, 0)+1)),IF(INDEX(ERP資料!$G:$G, (MATCH(732, 輔助計算!$G$2:$G$801, 0)+1))&lt;100, IF(INDEX(ERP資料!$G:$G, (MATCH(732, 輔助計算!$G$2:$G$801, 0)+1))&lt;=31,3,IF(INDEX(ERP資料!$G:$G, (MATCH(732, 輔助計算!$G$2:$G$801, 0)+1))&lt;=46.5,2,1)), IF(INDEX(ERP資料!$G:$G, (MATCH(732, 輔助計算!$G$2:$G$801, 0)+1))&lt;=790,3,IF(INDEX(ERP資料!$G:$G, (MATCH(732, 輔助計算!$G$2:$G$801, 0)+1))&lt;=1181,2,1))))=2,TEXT(INDEX(ERP資料!$G:$G, (MATCH(732, 輔助計算!$G$2:$G$801, 0)+1)),"0.##")&amp;"+"&amp;TEXT(INDEX(ERP資料!$G:$G, (MATCH(732, 輔助計算!$G$2:$G$801, 0)+1)),"0.##"),TEXT(INDEX(ERP資料!$G:$G, (MATCH(732, 輔助計算!$G$2:$G$801, 0)+1)),"0.##")&amp;"+"&amp;TEXT(INDEX(ERP資料!$G:$G, (MATCH(732, 輔助計算!$G$2:$G$801, 0)+1)),"0.##")&amp;"+"&amp;TEXT(INDEX(ERP資料!$G:$G, (MATCH(732, 輔助計算!$G$2:$G$801, 0)+1)),"0.##"))))&amp;"-1")&lt;&gt;""),"  ","")&amp;IF(MOD(INDEX(輔助計算!$D:$D, (MATCH(732, 輔助計算!$G$2:$G$801, 0)+1)),IF(INDEX(ERP資料!$G:$G, (MATCH(732, 輔助計算!$G$2:$G$801, 0)+1))&lt;100, IF(INDEX(ERP資料!$G:$G, (MATCH(732, 輔助計算!$G$2:$G$801, 0)+1))&lt;=31,3,IF(INDEX(ERP資料!$G:$G, (MATCH(732, 輔助計算!$G$2:$G$801, 0)+1))&lt;=46.5,2,1)), IF(INDEX(ERP資料!$G:$G, (MATCH(732, 輔助計算!$G$2:$G$801, 0)+1))&lt;=790,3,IF(INDEX(ERP資料!$G:$G, (MATCH(732, 輔助計算!$G$2:$G$801, 0)+1))&lt;=1181,2,1))))=0,"",IF(MOD(INDEX(輔助計算!$D:$D, (MATCH(732, 輔助計算!$G$2:$G$801, 0)+1)),IF(INDEX(ERP資料!$G:$G, (MATCH(732, 輔助計算!$G$2:$G$801, 0)+1))&lt;100, IF(INDEX(ERP資料!$G:$G, (MATCH(732, 輔助計算!$G$2:$G$801, 0)+1))&lt;=31,3,IF(INDEX(ERP資料!$G:$G, (MATCH(732, 輔助計算!$G$2:$G$801, 0)+1))&lt;=46.5,2,1)), IF(INDEX(ERP資料!$G:$G, (MATCH(732, 輔助計算!$G$2:$G$801, 0)+1))&lt;=790,3,IF(INDEX(ERP資料!$G:$G, (MATCH(732, 輔助計算!$G$2:$G$801, 0)+1))&lt;=1181,2,1))))=0,"",IF(MOD(INDEX(輔助計算!$D:$D, (MATCH(732, 輔助計算!$G$2:$G$801, 0)+1)),IF(INDEX(ERP資料!$G:$G, (MATCH(732, 輔助計算!$G$2:$G$801, 0)+1))&lt;100, IF(INDEX(ERP資料!$G:$G, (MATCH(732, 輔助計算!$G$2:$G$801, 0)+1))&lt;=31,3,IF(INDEX(ERP資料!$G:$G, (MATCH(732, 輔助計算!$G$2:$G$801, 0)+1))&lt;=46.5,2,1)), IF(INDEX(ERP資料!$G:$G, (MATCH(732, 輔助計算!$G$2:$G$801, 0)+1))&lt;=790,3,IF(INDEX(ERP資料!$G:$G, (MATCH(732, 輔助計算!$G$2:$G$801, 0)+1))&lt;=1181,2,1))))=1,TEXT(INDEX(ERP資料!$G:$G, (MATCH(732, 輔助計算!$G$2:$G$801, 0)+1)),"0.##"),IF(MOD(INDEX(輔助計算!$D:$D, (MATCH(732, 輔助計算!$G$2:$G$801, 0)+1)),IF(INDEX(ERP資料!$G:$G, (MATCH(732, 輔助計算!$G$2:$G$801, 0)+1))&lt;100, IF(INDEX(ERP資料!$G:$G, (MATCH(732, 輔助計算!$G$2:$G$801, 0)+1))&lt;=31,3,IF(INDEX(ERP資料!$G:$G, (MATCH(732, 輔助計算!$G$2:$G$801, 0)+1))&lt;=46.5,2,1)), IF(INDEX(ERP資料!$G:$G, (MATCH(732, 輔助計算!$G$2:$G$801, 0)+1))&lt;=790,3,IF(INDEX(ERP資料!$G:$G, (MATCH(732, 輔助計算!$G$2:$G$801, 0)+1))&lt;=1181,2,1))))=2,TEXT(INDEX(ERP資料!$G:$G, (MATCH(732, 輔助計算!$G$2:$G$801, 0)+1)),"0.##")&amp;"+"&amp;TEXT(INDEX(ERP資料!$G:$G, (MATCH(732, 輔助計算!$G$2:$G$801, 0)+1)),"0.##"),TEXT(INDEX(ERP資料!$G:$G, (MATCH(732, 輔助計算!$G$2:$G$801, 0)+1)),"0.##")&amp;"+"&amp;TEXT(INDEX(ERP資料!$G:$G, (MATCH(732, 輔助計算!$G$2:$G$801, 0)+1)),"0.##")&amp;"+"&amp;TEXT(INDEX(ERP資料!$G:$G, (MATCH(732, 輔助計算!$G$2:$G$801, 0)+1)),"0.##"))))&amp;"-1")), ""), "")</f>
        <v/>
      </c>
      <c r="K733" s="16" t="n"/>
      <c r="L733" s="14">
        <f>IFERROR(IF(AND(IFERROR(INDEX(ERP資料!$A:$A, (MATCH(732, 輔助計算!$G$2:$G$801, 0)+1)), "")&lt;&gt;"", IFERROR(INDEX(ERP資料!$A:$A, (MATCH(732, 輔助計算!$G$2:$G$801, 0)+1)), "")&lt;&gt;IFERROR(INDEX(ERP資料!$A:$A, MATCH(731, 輔助計算!$G$2:$G$801, 0)+1), "")), INDEX(ERP資料!$B:$B, (MATCH(732, 輔助計算!$G$2:$G$801, 0)+1)), ""), "")</f>
        <v/>
      </c>
      <c r="M733" s="17" t="n"/>
    </row>
    <row r="734">
      <c r="A734" s="10">
        <f>IFERROR(IF(AND(IFERROR(INDEX(ERP資料!$A:$A, (MATCH(733, 輔助計算!$G$2:$G$801, 0)+1)), "")&lt;&gt;"", IFERROR(INDEX(ERP資料!$A:$A, (MATCH(733, 輔助計算!$G$2:$G$801, 0)+1)), "")&lt;&gt;IFERROR(INDEX(ERP資料!$A:$A, MATCH(732, 輔助計算!$G$2:$G$801, 0)+1), "")), IFERROR(INDEX(ERP資料!$A:$A, (MATCH(733, 輔助計算!$G$2:$G$801, 0)+1)), ""), ""), "")</f>
        <v/>
      </c>
      <c r="B734" s="10">
        <f>IFERROR(IF(AND(IFERROR(INDEX(ERP資料!$A:$A, (MATCH(733, 輔助計算!$G$2:$G$801, 0)+1)), "")&lt;&gt;"", IFERROR(INDEX(ERP資料!$A:$A, (MATCH(733, 輔助計算!$G$2:$G$801, 0)+1)), "")&lt;&gt;IFERROR(INDEX(ERP資料!$A:$A, MATCH(732, 輔助計算!$G$2:$G$801, 0)+1), "")), INDEX(ERP資料!$S:$S, (MATCH(733, 輔助計算!$G$2:$G$801, 0)+1)), ""), "")</f>
        <v/>
      </c>
      <c r="C734" s="19">
        <f>IFERROR(IF(AND(IFERROR(INDEX(ERP資料!$A:$A, (MATCH(733, 輔助計算!$G$2:$G$801, 0)+1)), "")&lt;&gt;"", IFERROR(INDEX(ERP資料!$A:$A, (MATCH(733, 輔助計算!$G$2:$G$801, 0)+1)), "")&lt;&gt;IFERROR(INDEX(ERP資料!$A:$A, MATCH(732, 輔助計算!$G$2:$G$801, 0)+1), "")), IFERROR(VLOOKUP(LEFT(INDEX(ERP資料!$S:$S, (MATCH(733, 輔助計算!$G$2:$G$801, 0)+1)), 4), 紙管對照表!$A:$C, 3, FALSE), ""), ""), "")</f>
        <v/>
      </c>
      <c r="D734" s="16" t="n"/>
      <c r="E734" s="10">
        <f>IFERROR(IF(INDEX(ERP資料!$H:$H, (MATCH(733, 輔助計算!$G$2:$G$801, 0)+1))="","",INDEX(ERP資料!$H:$H, (MATCH(733, 輔助計算!$G$2:$G$801, 0)+1))), "")</f>
        <v/>
      </c>
      <c r="F734" s="10">
        <f>IFERROR(IF(INDEX(ERP資料!$E:$E, (MATCH(733, 輔助計算!$G$2:$G$801, 0)+1))="","",TRIM(INDEX(ERP資料!$E:$E, (MATCH(733, 輔助計算!$G$2:$G$801, 0)+1)))), "")</f>
        <v/>
      </c>
      <c r="G734" s="10">
        <f>IFERROR(IF(INDEX(ERP資料!$F:$F, (MATCH(733, 輔助計算!$G$2:$G$801, 0)+1))="","",INDEX(ERP資料!$F:$F, (MATCH(733, 輔助計算!$G$2:$G$801, 0)+1))), "")</f>
        <v/>
      </c>
      <c r="H734" s="10">
        <f>IFERROR(IF(INDEX(ERP資料!$G:$G, (MATCH(733, 輔助計算!$G$2:$G$801, 0)+1))="","",INDEX(ERP資料!$G:$G, (MATCH(733, 輔助計算!$G$2:$G$801, 0)+1))), "")</f>
        <v/>
      </c>
      <c r="I734" s="15">
        <f>IFERROR(INDEX(輔助計算!$D:$D, (MATCH(733, 輔助計算!$G$2:$G$801, 0)+1)), "")</f>
        <v/>
      </c>
      <c r="J734" s="15">
        <f>IFERROR(IF(AND(INDEX(輔助計算!$D:$D, (MATCH(733, 輔助計算!$G$2:$G$801, 0)+1))&lt;&gt;"", INDEX(ERP資料!$G:$G, (MATCH(733, 輔助計算!$G$2:$G$801, 0)+1))&lt;&gt;""), TRIM(IF(INT(INDEX(輔助計算!$D:$D, (MATCH(733, 輔助計算!$G$2:$G$801, 0)+1))/IF(INDEX(ERP資料!$G:$G, (MATCH(733, 輔助計算!$G$2:$G$801, 0)+1))&lt;100, IF(INDEX(ERP資料!$G:$G, (MATCH(733, 輔助計算!$G$2:$G$801, 0)+1))&lt;=31,3,IF(INDEX(ERP資料!$G:$G, (MATCH(733, 輔助計算!$G$2:$G$801, 0)+1))&lt;=46.5,2,1)), IF(INDEX(ERP資料!$G:$G, (MATCH(733, 輔助計算!$G$2:$G$801, 0)+1))&lt;=790,3,IF(INDEX(ERP資料!$G:$G, (MATCH(733, 輔助計算!$G$2:$G$801, 0)+1))&lt;=1181,2,1))))&gt;0, IF(IF(INDEX(ERP資料!$G:$G, (MATCH(733, 輔助計算!$G$2:$G$801, 0)+1))&lt;100, IF(INDEX(ERP資料!$G:$G, (MATCH(733, 輔助計算!$G$2:$G$801, 0)+1))&lt;=31,3,IF(INDEX(ERP資料!$G:$G, (MATCH(733, 輔助計算!$G$2:$G$801, 0)+1))&lt;=46.5,2,1)), IF(INDEX(ERP資料!$G:$G, (MATCH(733, 輔助計算!$G$2:$G$801, 0)+1))&lt;=790,3,IF(INDEX(ERP資料!$G:$G, (MATCH(733, 輔助計算!$G$2:$G$801, 0)+1))&lt;=1181,2,1)))=1,TEXT(INDEX(ERP資料!$G:$G, (MATCH(733, 輔助計算!$G$2:$G$801, 0)+1)),"0.##"),IF(IF(INDEX(ERP資料!$G:$G, (MATCH(733, 輔助計算!$G$2:$G$801, 0)+1))&lt;100, IF(INDEX(ERP資料!$G:$G, (MATCH(733, 輔助計算!$G$2:$G$801, 0)+1))&lt;=31,3,IF(INDEX(ERP資料!$G:$G, (MATCH(733, 輔助計算!$G$2:$G$801, 0)+1))&lt;=46.5,2,1)), IF(INDEX(ERP資料!$G:$G, (MATCH(733, 輔助計算!$G$2:$G$801, 0)+1))&lt;=790,3,IF(INDEX(ERP資料!$G:$G, (MATCH(733, 輔助計算!$G$2:$G$801, 0)+1))&lt;=1181,2,1)))=2,TEXT(INDEX(ERP資料!$G:$G, (MATCH(733, 輔助計算!$G$2:$G$801, 0)+1)),"0.##")&amp;"+"&amp;TEXT(INDEX(ERP資料!$G:$G, (MATCH(733, 輔助計算!$G$2:$G$801, 0)+1)),"0.##"),TEXT(INDEX(ERP資料!$G:$G, (MATCH(733, 輔助計算!$G$2:$G$801, 0)+1)),"0.##")&amp;"+"&amp;TEXT(INDEX(ERP資料!$G:$G, (MATCH(733, 輔助計算!$G$2:$G$801, 0)+1)),"0.##")&amp;"+"&amp;TEXT(INDEX(ERP資料!$G:$G, (MATCH(733, 輔助計算!$G$2:$G$801, 0)+1)),"0.##")))&amp;"-"&amp;INT(INDEX(輔助計算!$D:$D, (MATCH(733, 輔助計算!$G$2:$G$801, 0)+1))/IF(INDEX(ERP資料!$G:$G, (MATCH(733, 輔助計算!$G$2:$G$801, 0)+1))&lt;100, IF(INDEX(ERP資料!$G:$G, (MATCH(733, 輔助計算!$G$2:$G$801, 0)+1))&lt;=31,3,IF(INDEX(ERP資料!$G:$G, (MATCH(733, 輔助計算!$G$2:$G$801, 0)+1))&lt;=46.5,2,1)), IF(INDEX(ERP資料!$G:$G, (MATCH(733, 輔助計算!$G$2:$G$801, 0)+1))&lt;=790,3,IF(INDEX(ERP資料!$G:$G, (MATCH(733, 輔助計算!$G$2:$G$801, 0)+1))&lt;=1181,2,1)))), "")&amp;IF(AND(IF(INT(INDEX(輔助計算!$D:$D, (MATCH(733, 輔助計算!$G$2:$G$801, 0)+1))/IF(INDEX(ERP資料!$G:$G, (MATCH(733, 輔助計算!$G$2:$G$801, 0)+1))&lt;100, IF(INDEX(ERP資料!$G:$G, (MATCH(733, 輔助計算!$G$2:$G$801, 0)+1))&lt;=31,3,IF(INDEX(ERP資料!$G:$G, (MATCH(733, 輔助計算!$G$2:$G$801, 0)+1))&lt;=46.5,2,1)), IF(INDEX(ERP資料!$G:$G, (MATCH(733, 輔助計算!$G$2:$G$801, 0)+1))&lt;=790,3,IF(INDEX(ERP資料!$G:$G, (MATCH(733, 輔助計算!$G$2:$G$801, 0)+1))&lt;=1181,2,1))))&gt;0, IF(IF(INDEX(ERP資料!$G:$G, (MATCH(733, 輔助計算!$G$2:$G$801, 0)+1))&lt;100, IF(INDEX(ERP資料!$G:$G, (MATCH(733, 輔助計算!$G$2:$G$801, 0)+1))&lt;=31,3,IF(INDEX(ERP資料!$G:$G, (MATCH(733, 輔助計算!$G$2:$G$801, 0)+1))&lt;=46.5,2,1)), IF(INDEX(ERP資料!$G:$G, (MATCH(733, 輔助計算!$G$2:$G$801, 0)+1))&lt;=790,3,IF(INDEX(ERP資料!$G:$G, (MATCH(733, 輔助計算!$G$2:$G$801, 0)+1))&lt;=1181,2,1)))=1,TEXT(INDEX(ERP資料!$G:$G, (MATCH(733, 輔助計算!$G$2:$G$801, 0)+1)),"0.##"),IF(IF(INDEX(ERP資料!$G:$G, (MATCH(733, 輔助計算!$G$2:$G$801, 0)+1))&lt;100, IF(INDEX(ERP資料!$G:$G, (MATCH(733, 輔助計算!$G$2:$G$801, 0)+1))&lt;=31,3,IF(INDEX(ERP資料!$G:$G, (MATCH(733, 輔助計算!$G$2:$G$801, 0)+1))&lt;=46.5,2,1)), IF(INDEX(ERP資料!$G:$G, (MATCH(733, 輔助計算!$G$2:$G$801, 0)+1))&lt;=790,3,IF(INDEX(ERP資料!$G:$G, (MATCH(733, 輔助計算!$G$2:$G$801, 0)+1))&lt;=1181,2,1)))=2,TEXT(INDEX(ERP資料!$G:$G, (MATCH(733, 輔助計算!$G$2:$G$801, 0)+1)),"0.##")&amp;"+"&amp;TEXT(INDEX(ERP資料!$G:$G, (MATCH(733, 輔助計算!$G$2:$G$801, 0)+1)),"0.##"),TEXT(INDEX(ERP資料!$G:$G, (MATCH(733, 輔助計算!$G$2:$G$801, 0)+1)),"0.##")&amp;"+"&amp;TEXT(INDEX(ERP資料!$G:$G, (MATCH(733, 輔助計算!$G$2:$G$801, 0)+1)),"0.##")&amp;"+"&amp;TEXT(INDEX(ERP資料!$G:$G, (MATCH(733, 輔助計算!$G$2:$G$801, 0)+1)),"0.##")))&amp;"-"&amp;INT(INDEX(輔助計算!$D:$D, (MATCH(733, 輔助計算!$G$2:$G$801, 0)+1))/IF(INDEX(ERP資料!$G:$G, (MATCH(733, 輔助計算!$G$2:$G$801, 0)+1))&lt;100, IF(INDEX(ERP資料!$G:$G, (MATCH(733, 輔助計算!$G$2:$G$801, 0)+1))&lt;=31,3,IF(INDEX(ERP資料!$G:$G, (MATCH(733, 輔助計算!$G$2:$G$801, 0)+1))&lt;=46.5,2,1)), IF(INDEX(ERP資料!$G:$G, (MATCH(733, 輔助計算!$G$2:$G$801, 0)+1))&lt;=790,3,IF(INDEX(ERP資料!$G:$G, (MATCH(733, 輔助計算!$G$2:$G$801, 0)+1))&lt;=1181,2,1)))), "")&lt;&gt;"",IF(MOD(INDEX(輔助計算!$D:$D, (MATCH(733, 輔助計算!$G$2:$G$801, 0)+1)),IF(INDEX(ERP資料!$G:$G, (MATCH(733, 輔助計算!$G$2:$G$801, 0)+1))&lt;100, IF(INDEX(ERP資料!$G:$G, (MATCH(733, 輔助計算!$G$2:$G$801, 0)+1))&lt;=31,3,IF(INDEX(ERP資料!$G:$G, (MATCH(733, 輔助計算!$G$2:$G$801, 0)+1))&lt;=46.5,2,1)), IF(INDEX(ERP資料!$G:$G, (MATCH(733, 輔助計算!$G$2:$G$801, 0)+1))&lt;=790,3,IF(INDEX(ERP資料!$G:$G, (MATCH(733, 輔助計算!$G$2:$G$801, 0)+1))&lt;=1181,2,1))))=0,"",IF(MOD(INDEX(輔助計算!$D:$D, (MATCH(733, 輔助計算!$G$2:$G$801, 0)+1)),IF(INDEX(ERP資料!$G:$G, (MATCH(733, 輔助計算!$G$2:$G$801, 0)+1))&lt;100, IF(INDEX(ERP資料!$G:$G, (MATCH(733, 輔助計算!$G$2:$G$801, 0)+1))&lt;=31,3,IF(INDEX(ERP資料!$G:$G, (MATCH(733, 輔助計算!$G$2:$G$801, 0)+1))&lt;=46.5,2,1)), IF(INDEX(ERP資料!$G:$G, (MATCH(733, 輔助計算!$G$2:$G$801, 0)+1))&lt;=790,3,IF(INDEX(ERP資料!$G:$G, (MATCH(733, 輔助計算!$G$2:$G$801, 0)+1))&lt;=1181,2,1))))=0,"",IF(MOD(INDEX(輔助計算!$D:$D, (MATCH(733, 輔助計算!$G$2:$G$801, 0)+1)),IF(INDEX(ERP資料!$G:$G, (MATCH(733, 輔助計算!$G$2:$G$801, 0)+1))&lt;100, IF(INDEX(ERP資料!$G:$G, (MATCH(733, 輔助計算!$G$2:$G$801, 0)+1))&lt;=31,3,IF(INDEX(ERP資料!$G:$G, (MATCH(733, 輔助計算!$G$2:$G$801, 0)+1))&lt;=46.5,2,1)), IF(INDEX(ERP資料!$G:$G, (MATCH(733, 輔助計算!$G$2:$G$801, 0)+1))&lt;=790,3,IF(INDEX(ERP資料!$G:$G, (MATCH(733, 輔助計算!$G$2:$G$801, 0)+1))&lt;=1181,2,1))))=1,TEXT(INDEX(ERP資料!$G:$G, (MATCH(733, 輔助計算!$G$2:$G$801, 0)+1)),"0.##"),IF(MOD(INDEX(輔助計算!$D:$D, (MATCH(733, 輔助計算!$G$2:$G$801, 0)+1)),IF(INDEX(ERP資料!$G:$G, (MATCH(733, 輔助計算!$G$2:$G$801, 0)+1))&lt;100, IF(INDEX(ERP資料!$G:$G, (MATCH(733, 輔助計算!$G$2:$G$801, 0)+1))&lt;=31,3,IF(INDEX(ERP資料!$G:$G, (MATCH(733, 輔助計算!$G$2:$G$801, 0)+1))&lt;=46.5,2,1)), IF(INDEX(ERP資料!$G:$G, (MATCH(733, 輔助計算!$G$2:$G$801, 0)+1))&lt;=790,3,IF(INDEX(ERP資料!$G:$G, (MATCH(733, 輔助計算!$G$2:$G$801, 0)+1))&lt;=1181,2,1))))=2,TEXT(INDEX(ERP資料!$G:$G, (MATCH(733, 輔助計算!$G$2:$G$801, 0)+1)),"0.##")&amp;"+"&amp;TEXT(INDEX(ERP資料!$G:$G, (MATCH(733, 輔助計算!$G$2:$G$801, 0)+1)),"0.##"),TEXT(INDEX(ERP資料!$G:$G, (MATCH(733, 輔助計算!$G$2:$G$801, 0)+1)),"0.##")&amp;"+"&amp;TEXT(INDEX(ERP資料!$G:$G, (MATCH(733, 輔助計算!$G$2:$G$801, 0)+1)),"0.##")&amp;"+"&amp;TEXT(INDEX(ERP資料!$G:$G, (MATCH(733, 輔助計算!$G$2:$G$801, 0)+1)),"0.##"))))&amp;"-1")&lt;&gt;""),"  ","")&amp;IF(MOD(INDEX(輔助計算!$D:$D, (MATCH(733, 輔助計算!$G$2:$G$801, 0)+1)),IF(INDEX(ERP資料!$G:$G, (MATCH(733, 輔助計算!$G$2:$G$801, 0)+1))&lt;100, IF(INDEX(ERP資料!$G:$G, (MATCH(733, 輔助計算!$G$2:$G$801, 0)+1))&lt;=31,3,IF(INDEX(ERP資料!$G:$G, (MATCH(733, 輔助計算!$G$2:$G$801, 0)+1))&lt;=46.5,2,1)), IF(INDEX(ERP資料!$G:$G, (MATCH(733, 輔助計算!$G$2:$G$801, 0)+1))&lt;=790,3,IF(INDEX(ERP資料!$G:$G, (MATCH(733, 輔助計算!$G$2:$G$801, 0)+1))&lt;=1181,2,1))))=0,"",IF(MOD(INDEX(輔助計算!$D:$D, (MATCH(733, 輔助計算!$G$2:$G$801, 0)+1)),IF(INDEX(ERP資料!$G:$G, (MATCH(733, 輔助計算!$G$2:$G$801, 0)+1))&lt;100, IF(INDEX(ERP資料!$G:$G, (MATCH(733, 輔助計算!$G$2:$G$801, 0)+1))&lt;=31,3,IF(INDEX(ERP資料!$G:$G, (MATCH(733, 輔助計算!$G$2:$G$801, 0)+1))&lt;=46.5,2,1)), IF(INDEX(ERP資料!$G:$G, (MATCH(733, 輔助計算!$G$2:$G$801, 0)+1))&lt;=790,3,IF(INDEX(ERP資料!$G:$G, (MATCH(733, 輔助計算!$G$2:$G$801, 0)+1))&lt;=1181,2,1))))=0,"",IF(MOD(INDEX(輔助計算!$D:$D, (MATCH(733, 輔助計算!$G$2:$G$801, 0)+1)),IF(INDEX(ERP資料!$G:$G, (MATCH(733, 輔助計算!$G$2:$G$801, 0)+1))&lt;100, IF(INDEX(ERP資料!$G:$G, (MATCH(733, 輔助計算!$G$2:$G$801, 0)+1))&lt;=31,3,IF(INDEX(ERP資料!$G:$G, (MATCH(733, 輔助計算!$G$2:$G$801, 0)+1))&lt;=46.5,2,1)), IF(INDEX(ERP資料!$G:$G, (MATCH(733, 輔助計算!$G$2:$G$801, 0)+1))&lt;=790,3,IF(INDEX(ERP資料!$G:$G, (MATCH(733, 輔助計算!$G$2:$G$801, 0)+1))&lt;=1181,2,1))))=1,TEXT(INDEX(ERP資料!$G:$G, (MATCH(733, 輔助計算!$G$2:$G$801, 0)+1)),"0.##"),IF(MOD(INDEX(輔助計算!$D:$D, (MATCH(733, 輔助計算!$G$2:$G$801, 0)+1)),IF(INDEX(ERP資料!$G:$G, (MATCH(733, 輔助計算!$G$2:$G$801, 0)+1))&lt;100, IF(INDEX(ERP資料!$G:$G, (MATCH(733, 輔助計算!$G$2:$G$801, 0)+1))&lt;=31,3,IF(INDEX(ERP資料!$G:$G, (MATCH(733, 輔助計算!$G$2:$G$801, 0)+1))&lt;=46.5,2,1)), IF(INDEX(ERP資料!$G:$G, (MATCH(733, 輔助計算!$G$2:$G$801, 0)+1))&lt;=790,3,IF(INDEX(ERP資料!$G:$G, (MATCH(733, 輔助計算!$G$2:$G$801, 0)+1))&lt;=1181,2,1))))=2,TEXT(INDEX(ERP資料!$G:$G, (MATCH(733, 輔助計算!$G$2:$G$801, 0)+1)),"0.##")&amp;"+"&amp;TEXT(INDEX(ERP資料!$G:$G, (MATCH(733, 輔助計算!$G$2:$G$801, 0)+1)),"0.##"),TEXT(INDEX(ERP資料!$G:$G, (MATCH(733, 輔助計算!$G$2:$G$801, 0)+1)),"0.##")&amp;"+"&amp;TEXT(INDEX(ERP資料!$G:$G, (MATCH(733, 輔助計算!$G$2:$G$801, 0)+1)),"0.##")&amp;"+"&amp;TEXT(INDEX(ERP資料!$G:$G, (MATCH(733, 輔助計算!$G$2:$G$801, 0)+1)),"0.##"))))&amp;"-1")), ""), "")</f>
        <v/>
      </c>
      <c r="K734" s="16" t="n"/>
      <c r="L734" s="14">
        <f>IFERROR(IF(AND(IFERROR(INDEX(ERP資料!$A:$A, (MATCH(733, 輔助計算!$G$2:$G$801, 0)+1)), "")&lt;&gt;"", IFERROR(INDEX(ERP資料!$A:$A, (MATCH(733, 輔助計算!$G$2:$G$801, 0)+1)), "")&lt;&gt;IFERROR(INDEX(ERP資料!$A:$A, MATCH(732, 輔助計算!$G$2:$G$801, 0)+1), "")), INDEX(ERP資料!$B:$B, (MATCH(733, 輔助計算!$G$2:$G$801, 0)+1)), ""), "")</f>
        <v/>
      </c>
      <c r="M734" s="17" t="n"/>
    </row>
    <row r="735">
      <c r="A735" s="10">
        <f>IFERROR(IF(AND(IFERROR(INDEX(ERP資料!$A:$A, (MATCH(734, 輔助計算!$G$2:$G$801, 0)+1)), "")&lt;&gt;"", IFERROR(INDEX(ERP資料!$A:$A, (MATCH(734, 輔助計算!$G$2:$G$801, 0)+1)), "")&lt;&gt;IFERROR(INDEX(ERP資料!$A:$A, MATCH(733, 輔助計算!$G$2:$G$801, 0)+1), "")), IFERROR(INDEX(ERP資料!$A:$A, (MATCH(734, 輔助計算!$G$2:$G$801, 0)+1)), ""), ""), "")</f>
        <v/>
      </c>
      <c r="B735" s="10">
        <f>IFERROR(IF(AND(IFERROR(INDEX(ERP資料!$A:$A, (MATCH(734, 輔助計算!$G$2:$G$801, 0)+1)), "")&lt;&gt;"", IFERROR(INDEX(ERP資料!$A:$A, (MATCH(734, 輔助計算!$G$2:$G$801, 0)+1)), "")&lt;&gt;IFERROR(INDEX(ERP資料!$A:$A, MATCH(733, 輔助計算!$G$2:$G$801, 0)+1), "")), INDEX(ERP資料!$S:$S, (MATCH(734, 輔助計算!$G$2:$G$801, 0)+1)), ""), "")</f>
        <v/>
      </c>
      <c r="C735" s="19">
        <f>IFERROR(IF(AND(IFERROR(INDEX(ERP資料!$A:$A, (MATCH(734, 輔助計算!$G$2:$G$801, 0)+1)), "")&lt;&gt;"", IFERROR(INDEX(ERP資料!$A:$A, (MATCH(734, 輔助計算!$G$2:$G$801, 0)+1)), "")&lt;&gt;IFERROR(INDEX(ERP資料!$A:$A, MATCH(733, 輔助計算!$G$2:$G$801, 0)+1), "")), IFERROR(VLOOKUP(LEFT(INDEX(ERP資料!$S:$S, (MATCH(734, 輔助計算!$G$2:$G$801, 0)+1)), 4), 紙管對照表!$A:$C, 3, FALSE), ""), ""), "")</f>
        <v/>
      </c>
      <c r="D735" s="16" t="n"/>
      <c r="E735" s="10">
        <f>IFERROR(IF(INDEX(ERP資料!$H:$H, (MATCH(734, 輔助計算!$G$2:$G$801, 0)+1))="","",INDEX(ERP資料!$H:$H, (MATCH(734, 輔助計算!$G$2:$G$801, 0)+1))), "")</f>
        <v/>
      </c>
      <c r="F735" s="10">
        <f>IFERROR(IF(INDEX(ERP資料!$E:$E, (MATCH(734, 輔助計算!$G$2:$G$801, 0)+1))="","",TRIM(INDEX(ERP資料!$E:$E, (MATCH(734, 輔助計算!$G$2:$G$801, 0)+1)))), "")</f>
        <v/>
      </c>
      <c r="G735" s="10">
        <f>IFERROR(IF(INDEX(ERP資料!$F:$F, (MATCH(734, 輔助計算!$G$2:$G$801, 0)+1))="","",INDEX(ERP資料!$F:$F, (MATCH(734, 輔助計算!$G$2:$G$801, 0)+1))), "")</f>
        <v/>
      </c>
      <c r="H735" s="10">
        <f>IFERROR(IF(INDEX(ERP資料!$G:$G, (MATCH(734, 輔助計算!$G$2:$G$801, 0)+1))="","",INDEX(ERP資料!$G:$G, (MATCH(734, 輔助計算!$G$2:$G$801, 0)+1))), "")</f>
        <v/>
      </c>
      <c r="I735" s="15">
        <f>IFERROR(INDEX(輔助計算!$D:$D, (MATCH(734, 輔助計算!$G$2:$G$801, 0)+1)), "")</f>
        <v/>
      </c>
      <c r="J735" s="15">
        <f>IFERROR(IF(AND(INDEX(輔助計算!$D:$D, (MATCH(734, 輔助計算!$G$2:$G$801, 0)+1))&lt;&gt;"", INDEX(ERP資料!$G:$G, (MATCH(734, 輔助計算!$G$2:$G$801, 0)+1))&lt;&gt;""), TRIM(IF(INT(INDEX(輔助計算!$D:$D, (MATCH(734, 輔助計算!$G$2:$G$801, 0)+1))/IF(INDEX(ERP資料!$G:$G, (MATCH(734, 輔助計算!$G$2:$G$801, 0)+1))&lt;100, IF(INDEX(ERP資料!$G:$G, (MATCH(734, 輔助計算!$G$2:$G$801, 0)+1))&lt;=31,3,IF(INDEX(ERP資料!$G:$G, (MATCH(734, 輔助計算!$G$2:$G$801, 0)+1))&lt;=46.5,2,1)), IF(INDEX(ERP資料!$G:$G, (MATCH(734, 輔助計算!$G$2:$G$801, 0)+1))&lt;=790,3,IF(INDEX(ERP資料!$G:$G, (MATCH(734, 輔助計算!$G$2:$G$801, 0)+1))&lt;=1181,2,1))))&gt;0, IF(IF(INDEX(ERP資料!$G:$G, (MATCH(734, 輔助計算!$G$2:$G$801, 0)+1))&lt;100, IF(INDEX(ERP資料!$G:$G, (MATCH(734, 輔助計算!$G$2:$G$801, 0)+1))&lt;=31,3,IF(INDEX(ERP資料!$G:$G, (MATCH(734, 輔助計算!$G$2:$G$801, 0)+1))&lt;=46.5,2,1)), IF(INDEX(ERP資料!$G:$G, (MATCH(734, 輔助計算!$G$2:$G$801, 0)+1))&lt;=790,3,IF(INDEX(ERP資料!$G:$G, (MATCH(734, 輔助計算!$G$2:$G$801, 0)+1))&lt;=1181,2,1)))=1,TEXT(INDEX(ERP資料!$G:$G, (MATCH(734, 輔助計算!$G$2:$G$801, 0)+1)),"0.##"),IF(IF(INDEX(ERP資料!$G:$G, (MATCH(734, 輔助計算!$G$2:$G$801, 0)+1))&lt;100, IF(INDEX(ERP資料!$G:$G, (MATCH(734, 輔助計算!$G$2:$G$801, 0)+1))&lt;=31,3,IF(INDEX(ERP資料!$G:$G, (MATCH(734, 輔助計算!$G$2:$G$801, 0)+1))&lt;=46.5,2,1)), IF(INDEX(ERP資料!$G:$G, (MATCH(734, 輔助計算!$G$2:$G$801, 0)+1))&lt;=790,3,IF(INDEX(ERP資料!$G:$G, (MATCH(734, 輔助計算!$G$2:$G$801, 0)+1))&lt;=1181,2,1)))=2,TEXT(INDEX(ERP資料!$G:$G, (MATCH(734, 輔助計算!$G$2:$G$801, 0)+1)),"0.##")&amp;"+"&amp;TEXT(INDEX(ERP資料!$G:$G, (MATCH(734, 輔助計算!$G$2:$G$801, 0)+1)),"0.##"),TEXT(INDEX(ERP資料!$G:$G, (MATCH(734, 輔助計算!$G$2:$G$801, 0)+1)),"0.##")&amp;"+"&amp;TEXT(INDEX(ERP資料!$G:$G, (MATCH(734, 輔助計算!$G$2:$G$801, 0)+1)),"0.##")&amp;"+"&amp;TEXT(INDEX(ERP資料!$G:$G, (MATCH(734, 輔助計算!$G$2:$G$801, 0)+1)),"0.##")))&amp;"-"&amp;INT(INDEX(輔助計算!$D:$D, (MATCH(734, 輔助計算!$G$2:$G$801, 0)+1))/IF(INDEX(ERP資料!$G:$G, (MATCH(734, 輔助計算!$G$2:$G$801, 0)+1))&lt;100, IF(INDEX(ERP資料!$G:$G, (MATCH(734, 輔助計算!$G$2:$G$801, 0)+1))&lt;=31,3,IF(INDEX(ERP資料!$G:$G, (MATCH(734, 輔助計算!$G$2:$G$801, 0)+1))&lt;=46.5,2,1)), IF(INDEX(ERP資料!$G:$G, (MATCH(734, 輔助計算!$G$2:$G$801, 0)+1))&lt;=790,3,IF(INDEX(ERP資料!$G:$G, (MATCH(734, 輔助計算!$G$2:$G$801, 0)+1))&lt;=1181,2,1)))), "")&amp;IF(AND(IF(INT(INDEX(輔助計算!$D:$D, (MATCH(734, 輔助計算!$G$2:$G$801, 0)+1))/IF(INDEX(ERP資料!$G:$G, (MATCH(734, 輔助計算!$G$2:$G$801, 0)+1))&lt;100, IF(INDEX(ERP資料!$G:$G, (MATCH(734, 輔助計算!$G$2:$G$801, 0)+1))&lt;=31,3,IF(INDEX(ERP資料!$G:$G, (MATCH(734, 輔助計算!$G$2:$G$801, 0)+1))&lt;=46.5,2,1)), IF(INDEX(ERP資料!$G:$G, (MATCH(734, 輔助計算!$G$2:$G$801, 0)+1))&lt;=790,3,IF(INDEX(ERP資料!$G:$G, (MATCH(734, 輔助計算!$G$2:$G$801, 0)+1))&lt;=1181,2,1))))&gt;0, IF(IF(INDEX(ERP資料!$G:$G, (MATCH(734, 輔助計算!$G$2:$G$801, 0)+1))&lt;100, IF(INDEX(ERP資料!$G:$G, (MATCH(734, 輔助計算!$G$2:$G$801, 0)+1))&lt;=31,3,IF(INDEX(ERP資料!$G:$G, (MATCH(734, 輔助計算!$G$2:$G$801, 0)+1))&lt;=46.5,2,1)), IF(INDEX(ERP資料!$G:$G, (MATCH(734, 輔助計算!$G$2:$G$801, 0)+1))&lt;=790,3,IF(INDEX(ERP資料!$G:$G, (MATCH(734, 輔助計算!$G$2:$G$801, 0)+1))&lt;=1181,2,1)))=1,TEXT(INDEX(ERP資料!$G:$G, (MATCH(734, 輔助計算!$G$2:$G$801, 0)+1)),"0.##"),IF(IF(INDEX(ERP資料!$G:$G, (MATCH(734, 輔助計算!$G$2:$G$801, 0)+1))&lt;100, IF(INDEX(ERP資料!$G:$G, (MATCH(734, 輔助計算!$G$2:$G$801, 0)+1))&lt;=31,3,IF(INDEX(ERP資料!$G:$G, (MATCH(734, 輔助計算!$G$2:$G$801, 0)+1))&lt;=46.5,2,1)), IF(INDEX(ERP資料!$G:$G, (MATCH(734, 輔助計算!$G$2:$G$801, 0)+1))&lt;=790,3,IF(INDEX(ERP資料!$G:$G, (MATCH(734, 輔助計算!$G$2:$G$801, 0)+1))&lt;=1181,2,1)))=2,TEXT(INDEX(ERP資料!$G:$G, (MATCH(734, 輔助計算!$G$2:$G$801, 0)+1)),"0.##")&amp;"+"&amp;TEXT(INDEX(ERP資料!$G:$G, (MATCH(734, 輔助計算!$G$2:$G$801, 0)+1)),"0.##"),TEXT(INDEX(ERP資料!$G:$G, (MATCH(734, 輔助計算!$G$2:$G$801, 0)+1)),"0.##")&amp;"+"&amp;TEXT(INDEX(ERP資料!$G:$G, (MATCH(734, 輔助計算!$G$2:$G$801, 0)+1)),"0.##")&amp;"+"&amp;TEXT(INDEX(ERP資料!$G:$G, (MATCH(734, 輔助計算!$G$2:$G$801, 0)+1)),"0.##")))&amp;"-"&amp;INT(INDEX(輔助計算!$D:$D, (MATCH(734, 輔助計算!$G$2:$G$801, 0)+1))/IF(INDEX(ERP資料!$G:$G, (MATCH(734, 輔助計算!$G$2:$G$801, 0)+1))&lt;100, IF(INDEX(ERP資料!$G:$G, (MATCH(734, 輔助計算!$G$2:$G$801, 0)+1))&lt;=31,3,IF(INDEX(ERP資料!$G:$G, (MATCH(734, 輔助計算!$G$2:$G$801, 0)+1))&lt;=46.5,2,1)), IF(INDEX(ERP資料!$G:$G, (MATCH(734, 輔助計算!$G$2:$G$801, 0)+1))&lt;=790,3,IF(INDEX(ERP資料!$G:$G, (MATCH(734, 輔助計算!$G$2:$G$801, 0)+1))&lt;=1181,2,1)))), "")&lt;&gt;"",IF(MOD(INDEX(輔助計算!$D:$D, (MATCH(734, 輔助計算!$G$2:$G$801, 0)+1)),IF(INDEX(ERP資料!$G:$G, (MATCH(734, 輔助計算!$G$2:$G$801, 0)+1))&lt;100, IF(INDEX(ERP資料!$G:$G, (MATCH(734, 輔助計算!$G$2:$G$801, 0)+1))&lt;=31,3,IF(INDEX(ERP資料!$G:$G, (MATCH(734, 輔助計算!$G$2:$G$801, 0)+1))&lt;=46.5,2,1)), IF(INDEX(ERP資料!$G:$G, (MATCH(734, 輔助計算!$G$2:$G$801, 0)+1))&lt;=790,3,IF(INDEX(ERP資料!$G:$G, (MATCH(734, 輔助計算!$G$2:$G$801, 0)+1))&lt;=1181,2,1))))=0,"",IF(MOD(INDEX(輔助計算!$D:$D, (MATCH(734, 輔助計算!$G$2:$G$801, 0)+1)),IF(INDEX(ERP資料!$G:$G, (MATCH(734, 輔助計算!$G$2:$G$801, 0)+1))&lt;100, IF(INDEX(ERP資料!$G:$G, (MATCH(734, 輔助計算!$G$2:$G$801, 0)+1))&lt;=31,3,IF(INDEX(ERP資料!$G:$G, (MATCH(734, 輔助計算!$G$2:$G$801, 0)+1))&lt;=46.5,2,1)), IF(INDEX(ERP資料!$G:$G, (MATCH(734, 輔助計算!$G$2:$G$801, 0)+1))&lt;=790,3,IF(INDEX(ERP資料!$G:$G, (MATCH(734, 輔助計算!$G$2:$G$801, 0)+1))&lt;=1181,2,1))))=0,"",IF(MOD(INDEX(輔助計算!$D:$D, (MATCH(734, 輔助計算!$G$2:$G$801, 0)+1)),IF(INDEX(ERP資料!$G:$G, (MATCH(734, 輔助計算!$G$2:$G$801, 0)+1))&lt;100, IF(INDEX(ERP資料!$G:$G, (MATCH(734, 輔助計算!$G$2:$G$801, 0)+1))&lt;=31,3,IF(INDEX(ERP資料!$G:$G, (MATCH(734, 輔助計算!$G$2:$G$801, 0)+1))&lt;=46.5,2,1)), IF(INDEX(ERP資料!$G:$G, (MATCH(734, 輔助計算!$G$2:$G$801, 0)+1))&lt;=790,3,IF(INDEX(ERP資料!$G:$G, (MATCH(734, 輔助計算!$G$2:$G$801, 0)+1))&lt;=1181,2,1))))=1,TEXT(INDEX(ERP資料!$G:$G, (MATCH(734, 輔助計算!$G$2:$G$801, 0)+1)),"0.##"),IF(MOD(INDEX(輔助計算!$D:$D, (MATCH(734, 輔助計算!$G$2:$G$801, 0)+1)),IF(INDEX(ERP資料!$G:$G, (MATCH(734, 輔助計算!$G$2:$G$801, 0)+1))&lt;100, IF(INDEX(ERP資料!$G:$G, (MATCH(734, 輔助計算!$G$2:$G$801, 0)+1))&lt;=31,3,IF(INDEX(ERP資料!$G:$G, (MATCH(734, 輔助計算!$G$2:$G$801, 0)+1))&lt;=46.5,2,1)), IF(INDEX(ERP資料!$G:$G, (MATCH(734, 輔助計算!$G$2:$G$801, 0)+1))&lt;=790,3,IF(INDEX(ERP資料!$G:$G, (MATCH(734, 輔助計算!$G$2:$G$801, 0)+1))&lt;=1181,2,1))))=2,TEXT(INDEX(ERP資料!$G:$G, (MATCH(734, 輔助計算!$G$2:$G$801, 0)+1)),"0.##")&amp;"+"&amp;TEXT(INDEX(ERP資料!$G:$G, (MATCH(734, 輔助計算!$G$2:$G$801, 0)+1)),"0.##"),TEXT(INDEX(ERP資料!$G:$G, (MATCH(734, 輔助計算!$G$2:$G$801, 0)+1)),"0.##")&amp;"+"&amp;TEXT(INDEX(ERP資料!$G:$G, (MATCH(734, 輔助計算!$G$2:$G$801, 0)+1)),"0.##")&amp;"+"&amp;TEXT(INDEX(ERP資料!$G:$G, (MATCH(734, 輔助計算!$G$2:$G$801, 0)+1)),"0.##"))))&amp;"-1")&lt;&gt;""),"  ","")&amp;IF(MOD(INDEX(輔助計算!$D:$D, (MATCH(734, 輔助計算!$G$2:$G$801, 0)+1)),IF(INDEX(ERP資料!$G:$G, (MATCH(734, 輔助計算!$G$2:$G$801, 0)+1))&lt;100, IF(INDEX(ERP資料!$G:$G, (MATCH(734, 輔助計算!$G$2:$G$801, 0)+1))&lt;=31,3,IF(INDEX(ERP資料!$G:$G, (MATCH(734, 輔助計算!$G$2:$G$801, 0)+1))&lt;=46.5,2,1)), IF(INDEX(ERP資料!$G:$G, (MATCH(734, 輔助計算!$G$2:$G$801, 0)+1))&lt;=790,3,IF(INDEX(ERP資料!$G:$G, (MATCH(734, 輔助計算!$G$2:$G$801, 0)+1))&lt;=1181,2,1))))=0,"",IF(MOD(INDEX(輔助計算!$D:$D, (MATCH(734, 輔助計算!$G$2:$G$801, 0)+1)),IF(INDEX(ERP資料!$G:$G, (MATCH(734, 輔助計算!$G$2:$G$801, 0)+1))&lt;100, IF(INDEX(ERP資料!$G:$G, (MATCH(734, 輔助計算!$G$2:$G$801, 0)+1))&lt;=31,3,IF(INDEX(ERP資料!$G:$G, (MATCH(734, 輔助計算!$G$2:$G$801, 0)+1))&lt;=46.5,2,1)), IF(INDEX(ERP資料!$G:$G, (MATCH(734, 輔助計算!$G$2:$G$801, 0)+1))&lt;=790,3,IF(INDEX(ERP資料!$G:$G, (MATCH(734, 輔助計算!$G$2:$G$801, 0)+1))&lt;=1181,2,1))))=0,"",IF(MOD(INDEX(輔助計算!$D:$D, (MATCH(734, 輔助計算!$G$2:$G$801, 0)+1)),IF(INDEX(ERP資料!$G:$G, (MATCH(734, 輔助計算!$G$2:$G$801, 0)+1))&lt;100, IF(INDEX(ERP資料!$G:$G, (MATCH(734, 輔助計算!$G$2:$G$801, 0)+1))&lt;=31,3,IF(INDEX(ERP資料!$G:$G, (MATCH(734, 輔助計算!$G$2:$G$801, 0)+1))&lt;=46.5,2,1)), IF(INDEX(ERP資料!$G:$G, (MATCH(734, 輔助計算!$G$2:$G$801, 0)+1))&lt;=790,3,IF(INDEX(ERP資料!$G:$G, (MATCH(734, 輔助計算!$G$2:$G$801, 0)+1))&lt;=1181,2,1))))=1,TEXT(INDEX(ERP資料!$G:$G, (MATCH(734, 輔助計算!$G$2:$G$801, 0)+1)),"0.##"),IF(MOD(INDEX(輔助計算!$D:$D, (MATCH(734, 輔助計算!$G$2:$G$801, 0)+1)),IF(INDEX(ERP資料!$G:$G, (MATCH(734, 輔助計算!$G$2:$G$801, 0)+1))&lt;100, IF(INDEX(ERP資料!$G:$G, (MATCH(734, 輔助計算!$G$2:$G$801, 0)+1))&lt;=31,3,IF(INDEX(ERP資料!$G:$G, (MATCH(734, 輔助計算!$G$2:$G$801, 0)+1))&lt;=46.5,2,1)), IF(INDEX(ERP資料!$G:$G, (MATCH(734, 輔助計算!$G$2:$G$801, 0)+1))&lt;=790,3,IF(INDEX(ERP資料!$G:$G, (MATCH(734, 輔助計算!$G$2:$G$801, 0)+1))&lt;=1181,2,1))))=2,TEXT(INDEX(ERP資料!$G:$G, (MATCH(734, 輔助計算!$G$2:$G$801, 0)+1)),"0.##")&amp;"+"&amp;TEXT(INDEX(ERP資料!$G:$G, (MATCH(734, 輔助計算!$G$2:$G$801, 0)+1)),"0.##"),TEXT(INDEX(ERP資料!$G:$G, (MATCH(734, 輔助計算!$G$2:$G$801, 0)+1)),"0.##")&amp;"+"&amp;TEXT(INDEX(ERP資料!$G:$G, (MATCH(734, 輔助計算!$G$2:$G$801, 0)+1)),"0.##")&amp;"+"&amp;TEXT(INDEX(ERP資料!$G:$G, (MATCH(734, 輔助計算!$G$2:$G$801, 0)+1)),"0.##"))))&amp;"-1")), ""), "")</f>
        <v/>
      </c>
      <c r="K735" s="16" t="n"/>
      <c r="L735" s="14">
        <f>IFERROR(IF(AND(IFERROR(INDEX(ERP資料!$A:$A, (MATCH(734, 輔助計算!$G$2:$G$801, 0)+1)), "")&lt;&gt;"", IFERROR(INDEX(ERP資料!$A:$A, (MATCH(734, 輔助計算!$G$2:$G$801, 0)+1)), "")&lt;&gt;IFERROR(INDEX(ERP資料!$A:$A, MATCH(733, 輔助計算!$G$2:$G$801, 0)+1), "")), INDEX(ERP資料!$B:$B, (MATCH(734, 輔助計算!$G$2:$G$801, 0)+1)), ""), "")</f>
        <v/>
      </c>
      <c r="M735" s="17" t="n"/>
    </row>
    <row r="736">
      <c r="A736" s="10">
        <f>IFERROR(IF(AND(IFERROR(INDEX(ERP資料!$A:$A, (MATCH(735, 輔助計算!$G$2:$G$801, 0)+1)), "")&lt;&gt;"", IFERROR(INDEX(ERP資料!$A:$A, (MATCH(735, 輔助計算!$G$2:$G$801, 0)+1)), "")&lt;&gt;IFERROR(INDEX(ERP資料!$A:$A, MATCH(734, 輔助計算!$G$2:$G$801, 0)+1), "")), IFERROR(INDEX(ERP資料!$A:$A, (MATCH(735, 輔助計算!$G$2:$G$801, 0)+1)), ""), ""), "")</f>
        <v/>
      </c>
      <c r="B736" s="10">
        <f>IFERROR(IF(AND(IFERROR(INDEX(ERP資料!$A:$A, (MATCH(735, 輔助計算!$G$2:$G$801, 0)+1)), "")&lt;&gt;"", IFERROR(INDEX(ERP資料!$A:$A, (MATCH(735, 輔助計算!$G$2:$G$801, 0)+1)), "")&lt;&gt;IFERROR(INDEX(ERP資料!$A:$A, MATCH(734, 輔助計算!$G$2:$G$801, 0)+1), "")), INDEX(ERP資料!$S:$S, (MATCH(735, 輔助計算!$G$2:$G$801, 0)+1)), ""), "")</f>
        <v/>
      </c>
      <c r="C736" s="19">
        <f>IFERROR(IF(AND(IFERROR(INDEX(ERP資料!$A:$A, (MATCH(735, 輔助計算!$G$2:$G$801, 0)+1)), "")&lt;&gt;"", IFERROR(INDEX(ERP資料!$A:$A, (MATCH(735, 輔助計算!$G$2:$G$801, 0)+1)), "")&lt;&gt;IFERROR(INDEX(ERP資料!$A:$A, MATCH(734, 輔助計算!$G$2:$G$801, 0)+1), "")), IFERROR(VLOOKUP(LEFT(INDEX(ERP資料!$S:$S, (MATCH(735, 輔助計算!$G$2:$G$801, 0)+1)), 4), 紙管對照表!$A:$C, 3, FALSE), ""), ""), "")</f>
        <v/>
      </c>
      <c r="D736" s="16" t="n"/>
      <c r="E736" s="10">
        <f>IFERROR(IF(INDEX(ERP資料!$H:$H, (MATCH(735, 輔助計算!$G$2:$G$801, 0)+1))="","",INDEX(ERP資料!$H:$H, (MATCH(735, 輔助計算!$G$2:$G$801, 0)+1))), "")</f>
        <v/>
      </c>
      <c r="F736" s="10">
        <f>IFERROR(IF(INDEX(ERP資料!$E:$E, (MATCH(735, 輔助計算!$G$2:$G$801, 0)+1))="","",TRIM(INDEX(ERP資料!$E:$E, (MATCH(735, 輔助計算!$G$2:$G$801, 0)+1)))), "")</f>
        <v/>
      </c>
      <c r="G736" s="10">
        <f>IFERROR(IF(INDEX(ERP資料!$F:$F, (MATCH(735, 輔助計算!$G$2:$G$801, 0)+1))="","",INDEX(ERP資料!$F:$F, (MATCH(735, 輔助計算!$G$2:$G$801, 0)+1))), "")</f>
        <v/>
      </c>
      <c r="H736" s="10">
        <f>IFERROR(IF(INDEX(ERP資料!$G:$G, (MATCH(735, 輔助計算!$G$2:$G$801, 0)+1))="","",INDEX(ERP資料!$G:$G, (MATCH(735, 輔助計算!$G$2:$G$801, 0)+1))), "")</f>
        <v/>
      </c>
      <c r="I736" s="15">
        <f>IFERROR(INDEX(輔助計算!$D:$D, (MATCH(735, 輔助計算!$G$2:$G$801, 0)+1)), "")</f>
        <v/>
      </c>
      <c r="J736" s="15">
        <f>IFERROR(IF(AND(INDEX(輔助計算!$D:$D, (MATCH(735, 輔助計算!$G$2:$G$801, 0)+1))&lt;&gt;"", INDEX(ERP資料!$G:$G, (MATCH(735, 輔助計算!$G$2:$G$801, 0)+1))&lt;&gt;""), TRIM(IF(INT(INDEX(輔助計算!$D:$D, (MATCH(735, 輔助計算!$G$2:$G$801, 0)+1))/IF(INDEX(ERP資料!$G:$G, (MATCH(735, 輔助計算!$G$2:$G$801, 0)+1))&lt;100, IF(INDEX(ERP資料!$G:$G, (MATCH(735, 輔助計算!$G$2:$G$801, 0)+1))&lt;=31,3,IF(INDEX(ERP資料!$G:$G, (MATCH(735, 輔助計算!$G$2:$G$801, 0)+1))&lt;=46.5,2,1)), IF(INDEX(ERP資料!$G:$G, (MATCH(735, 輔助計算!$G$2:$G$801, 0)+1))&lt;=790,3,IF(INDEX(ERP資料!$G:$G, (MATCH(735, 輔助計算!$G$2:$G$801, 0)+1))&lt;=1181,2,1))))&gt;0, IF(IF(INDEX(ERP資料!$G:$G, (MATCH(735, 輔助計算!$G$2:$G$801, 0)+1))&lt;100, IF(INDEX(ERP資料!$G:$G, (MATCH(735, 輔助計算!$G$2:$G$801, 0)+1))&lt;=31,3,IF(INDEX(ERP資料!$G:$G, (MATCH(735, 輔助計算!$G$2:$G$801, 0)+1))&lt;=46.5,2,1)), IF(INDEX(ERP資料!$G:$G, (MATCH(735, 輔助計算!$G$2:$G$801, 0)+1))&lt;=790,3,IF(INDEX(ERP資料!$G:$G, (MATCH(735, 輔助計算!$G$2:$G$801, 0)+1))&lt;=1181,2,1)))=1,TEXT(INDEX(ERP資料!$G:$G, (MATCH(735, 輔助計算!$G$2:$G$801, 0)+1)),"0.##"),IF(IF(INDEX(ERP資料!$G:$G, (MATCH(735, 輔助計算!$G$2:$G$801, 0)+1))&lt;100, IF(INDEX(ERP資料!$G:$G, (MATCH(735, 輔助計算!$G$2:$G$801, 0)+1))&lt;=31,3,IF(INDEX(ERP資料!$G:$G, (MATCH(735, 輔助計算!$G$2:$G$801, 0)+1))&lt;=46.5,2,1)), IF(INDEX(ERP資料!$G:$G, (MATCH(735, 輔助計算!$G$2:$G$801, 0)+1))&lt;=790,3,IF(INDEX(ERP資料!$G:$G, (MATCH(735, 輔助計算!$G$2:$G$801, 0)+1))&lt;=1181,2,1)))=2,TEXT(INDEX(ERP資料!$G:$G, (MATCH(735, 輔助計算!$G$2:$G$801, 0)+1)),"0.##")&amp;"+"&amp;TEXT(INDEX(ERP資料!$G:$G, (MATCH(735, 輔助計算!$G$2:$G$801, 0)+1)),"0.##"),TEXT(INDEX(ERP資料!$G:$G, (MATCH(735, 輔助計算!$G$2:$G$801, 0)+1)),"0.##")&amp;"+"&amp;TEXT(INDEX(ERP資料!$G:$G, (MATCH(735, 輔助計算!$G$2:$G$801, 0)+1)),"0.##")&amp;"+"&amp;TEXT(INDEX(ERP資料!$G:$G, (MATCH(735, 輔助計算!$G$2:$G$801, 0)+1)),"0.##")))&amp;"-"&amp;INT(INDEX(輔助計算!$D:$D, (MATCH(735, 輔助計算!$G$2:$G$801, 0)+1))/IF(INDEX(ERP資料!$G:$G, (MATCH(735, 輔助計算!$G$2:$G$801, 0)+1))&lt;100, IF(INDEX(ERP資料!$G:$G, (MATCH(735, 輔助計算!$G$2:$G$801, 0)+1))&lt;=31,3,IF(INDEX(ERP資料!$G:$G, (MATCH(735, 輔助計算!$G$2:$G$801, 0)+1))&lt;=46.5,2,1)), IF(INDEX(ERP資料!$G:$G, (MATCH(735, 輔助計算!$G$2:$G$801, 0)+1))&lt;=790,3,IF(INDEX(ERP資料!$G:$G, (MATCH(735, 輔助計算!$G$2:$G$801, 0)+1))&lt;=1181,2,1)))), "")&amp;IF(AND(IF(INT(INDEX(輔助計算!$D:$D, (MATCH(735, 輔助計算!$G$2:$G$801, 0)+1))/IF(INDEX(ERP資料!$G:$G, (MATCH(735, 輔助計算!$G$2:$G$801, 0)+1))&lt;100, IF(INDEX(ERP資料!$G:$G, (MATCH(735, 輔助計算!$G$2:$G$801, 0)+1))&lt;=31,3,IF(INDEX(ERP資料!$G:$G, (MATCH(735, 輔助計算!$G$2:$G$801, 0)+1))&lt;=46.5,2,1)), IF(INDEX(ERP資料!$G:$G, (MATCH(735, 輔助計算!$G$2:$G$801, 0)+1))&lt;=790,3,IF(INDEX(ERP資料!$G:$G, (MATCH(735, 輔助計算!$G$2:$G$801, 0)+1))&lt;=1181,2,1))))&gt;0, IF(IF(INDEX(ERP資料!$G:$G, (MATCH(735, 輔助計算!$G$2:$G$801, 0)+1))&lt;100, IF(INDEX(ERP資料!$G:$G, (MATCH(735, 輔助計算!$G$2:$G$801, 0)+1))&lt;=31,3,IF(INDEX(ERP資料!$G:$G, (MATCH(735, 輔助計算!$G$2:$G$801, 0)+1))&lt;=46.5,2,1)), IF(INDEX(ERP資料!$G:$G, (MATCH(735, 輔助計算!$G$2:$G$801, 0)+1))&lt;=790,3,IF(INDEX(ERP資料!$G:$G, (MATCH(735, 輔助計算!$G$2:$G$801, 0)+1))&lt;=1181,2,1)))=1,TEXT(INDEX(ERP資料!$G:$G, (MATCH(735, 輔助計算!$G$2:$G$801, 0)+1)),"0.##"),IF(IF(INDEX(ERP資料!$G:$G, (MATCH(735, 輔助計算!$G$2:$G$801, 0)+1))&lt;100, IF(INDEX(ERP資料!$G:$G, (MATCH(735, 輔助計算!$G$2:$G$801, 0)+1))&lt;=31,3,IF(INDEX(ERP資料!$G:$G, (MATCH(735, 輔助計算!$G$2:$G$801, 0)+1))&lt;=46.5,2,1)), IF(INDEX(ERP資料!$G:$G, (MATCH(735, 輔助計算!$G$2:$G$801, 0)+1))&lt;=790,3,IF(INDEX(ERP資料!$G:$G, (MATCH(735, 輔助計算!$G$2:$G$801, 0)+1))&lt;=1181,2,1)))=2,TEXT(INDEX(ERP資料!$G:$G, (MATCH(735, 輔助計算!$G$2:$G$801, 0)+1)),"0.##")&amp;"+"&amp;TEXT(INDEX(ERP資料!$G:$G, (MATCH(735, 輔助計算!$G$2:$G$801, 0)+1)),"0.##"),TEXT(INDEX(ERP資料!$G:$G, (MATCH(735, 輔助計算!$G$2:$G$801, 0)+1)),"0.##")&amp;"+"&amp;TEXT(INDEX(ERP資料!$G:$G, (MATCH(735, 輔助計算!$G$2:$G$801, 0)+1)),"0.##")&amp;"+"&amp;TEXT(INDEX(ERP資料!$G:$G, (MATCH(735, 輔助計算!$G$2:$G$801, 0)+1)),"0.##")))&amp;"-"&amp;INT(INDEX(輔助計算!$D:$D, (MATCH(735, 輔助計算!$G$2:$G$801, 0)+1))/IF(INDEX(ERP資料!$G:$G, (MATCH(735, 輔助計算!$G$2:$G$801, 0)+1))&lt;100, IF(INDEX(ERP資料!$G:$G, (MATCH(735, 輔助計算!$G$2:$G$801, 0)+1))&lt;=31,3,IF(INDEX(ERP資料!$G:$G, (MATCH(735, 輔助計算!$G$2:$G$801, 0)+1))&lt;=46.5,2,1)), IF(INDEX(ERP資料!$G:$G, (MATCH(735, 輔助計算!$G$2:$G$801, 0)+1))&lt;=790,3,IF(INDEX(ERP資料!$G:$G, (MATCH(735, 輔助計算!$G$2:$G$801, 0)+1))&lt;=1181,2,1)))), "")&lt;&gt;"",IF(MOD(INDEX(輔助計算!$D:$D, (MATCH(735, 輔助計算!$G$2:$G$801, 0)+1)),IF(INDEX(ERP資料!$G:$G, (MATCH(735, 輔助計算!$G$2:$G$801, 0)+1))&lt;100, IF(INDEX(ERP資料!$G:$G, (MATCH(735, 輔助計算!$G$2:$G$801, 0)+1))&lt;=31,3,IF(INDEX(ERP資料!$G:$G, (MATCH(735, 輔助計算!$G$2:$G$801, 0)+1))&lt;=46.5,2,1)), IF(INDEX(ERP資料!$G:$G, (MATCH(735, 輔助計算!$G$2:$G$801, 0)+1))&lt;=790,3,IF(INDEX(ERP資料!$G:$G, (MATCH(735, 輔助計算!$G$2:$G$801, 0)+1))&lt;=1181,2,1))))=0,"",IF(MOD(INDEX(輔助計算!$D:$D, (MATCH(735, 輔助計算!$G$2:$G$801, 0)+1)),IF(INDEX(ERP資料!$G:$G, (MATCH(735, 輔助計算!$G$2:$G$801, 0)+1))&lt;100, IF(INDEX(ERP資料!$G:$G, (MATCH(735, 輔助計算!$G$2:$G$801, 0)+1))&lt;=31,3,IF(INDEX(ERP資料!$G:$G, (MATCH(735, 輔助計算!$G$2:$G$801, 0)+1))&lt;=46.5,2,1)), IF(INDEX(ERP資料!$G:$G, (MATCH(735, 輔助計算!$G$2:$G$801, 0)+1))&lt;=790,3,IF(INDEX(ERP資料!$G:$G, (MATCH(735, 輔助計算!$G$2:$G$801, 0)+1))&lt;=1181,2,1))))=0,"",IF(MOD(INDEX(輔助計算!$D:$D, (MATCH(735, 輔助計算!$G$2:$G$801, 0)+1)),IF(INDEX(ERP資料!$G:$G, (MATCH(735, 輔助計算!$G$2:$G$801, 0)+1))&lt;100, IF(INDEX(ERP資料!$G:$G, (MATCH(735, 輔助計算!$G$2:$G$801, 0)+1))&lt;=31,3,IF(INDEX(ERP資料!$G:$G, (MATCH(735, 輔助計算!$G$2:$G$801, 0)+1))&lt;=46.5,2,1)), IF(INDEX(ERP資料!$G:$G, (MATCH(735, 輔助計算!$G$2:$G$801, 0)+1))&lt;=790,3,IF(INDEX(ERP資料!$G:$G, (MATCH(735, 輔助計算!$G$2:$G$801, 0)+1))&lt;=1181,2,1))))=1,TEXT(INDEX(ERP資料!$G:$G, (MATCH(735, 輔助計算!$G$2:$G$801, 0)+1)),"0.##"),IF(MOD(INDEX(輔助計算!$D:$D, (MATCH(735, 輔助計算!$G$2:$G$801, 0)+1)),IF(INDEX(ERP資料!$G:$G, (MATCH(735, 輔助計算!$G$2:$G$801, 0)+1))&lt;100, IF(INDEX(ERP資料!$G:$G, (MATCH(735, 輔助計算!$G$2:$G$801, 0)+1))&lt;=31,3,IF(INDEX(ERP資料!$G:$G, (MATCH(735, 輔助計算!$G$2:$G$801, 0)+1))&lt;=46.5,2,1)), IF(INDEX(ERP資料!$G:$G, (MATCH(735, 輔助計算!$G$2:$G$801, 0)+1))&lt;=790,3,IF(INDEX(ERP資料!$G:$G, (MATCH(735, 輔助計算!$G$2:$G$801, 0)+1))&lt;=1181,2,1))))=2,TEXT(INDEX(ERP資料!$G:$G, (MATCH(735, 輔助計算!$G$2:$G$801, 0)+1)),"0.##")&amp;"+"&amp;TEXT(INDEX(ERP資料!$G:$G, (MATCH(735, 輔助計算!$G$2:$G$801, 0)+1)),"0.##"),TEXT(INDEX(ERP資料!$G:$G, (MATCH(735, 輔助計算!$G$2:$G$801, 0)+1)),"0.##")&amp;"+"&amp;TEXT(INDEX(ERP資料!$G:$G, (MATCH(735, 輔助計算!$G$2:$G$801, 0)+1)),"0.##")&amp;"+"&amp;TEXT(INDEX(ERP資料!$G:$G, (MATCH(735, 輔助計算!$G$2:$G$801, 0)+1)),"0.##"))))&amp;"-1")&lt;&gt;""),"  ","")&amp;IF(MOD(INDEX(輔助計算!$D:$D, (MATCH(735, 輔助計算!$G$2:$G$801, 0)+1)),IF(INDEX(ERP資料!$G:$G, (MATCH(735, 輔助計算!$G$2:$G$801, 0)+1))&lt;100, IF(INDEX(ERP資料!$G:$G, (MATCH(735, 輔助計算!$G$2:$G$801, 0)+1))&lt;=31,3,IF(INDEX(ERP資料!$G:$G, (MATCH(735, 輔助計算!$G$2:$G$801, 0)+1))&lt;=46.5,2,1)), IF(INDEX(ERP資料!$G:$G, (MATCH(735, 輔助計算!$G$2:$G$801, 0)+1))&lt;=790,3,IF(INDEX(ERP資料!$G:$G, (MATCH(735, 輔助計算!$G$2:$G$801, 0)+1))&lt;=1181,2,1))))=0,"",IF(MOD(INDEX(輔助計算!$D:$D, (MATCH(735, 輔助計算!$G$2:$G$801, 0)+1)),IF(INDEX(ERP資料!$G:$G, (MATCH(735, 輔助計算!$G$2:$G$801, 0)+1))&lt;100, IF(INDEX(ERP資料!$G:$G, (MATCH(735, 輔助計算!$G$2:$G$801, 0)+1))&lt;=31,3,IF(INDEX(ERP資料!$G:$G, (MATCH(735, 輔助計算!$G$2:$G$801, 0)+1))&lt;=46.5,2,1)), IF(INDEX(ERP資料!$G:$G, (MATCH(735, 輔助計算!$G$2:$G$801, 0)+1))&lt;=790,3,IF(INDEX(ERP資料!$G:$G, (MATCH(735, 輔助計算!$G$2:$G$801, 0)+1))&lt;=1181,2,1))))=0,"",IF(MOD(INDEX(輔助計算!$D:$D, (MATCH(735, 輔助計算!$G$2:$G$801, 0)+1)),IF(INDEX(ERP資料!$G:$G, (MATCH(735, 輔助計算!$G$2:$G$801, 0)+1))&lt;100, IF(INDEX(ERP資料!$G:$G, (MATCH(735, 輔助計算!$G$2:$G$801, 0)+1))&lt;=31,3,IF(INDEX(ERP資料!$G:$G, (MATCH(735, 輔助計算!$G$2:$G$801, 0)+1))&lt;=46.5,2,1)), IF(INDEX(ERP資料!$G:$G, (MATCH(735, 輔助計算!$G$2:$G$801, 0)+1))&lt;=790,3,IF(INDEX(ERP資料!$G:$G, (MATCH(735, 輔助計算!$G$2:$G$801, 0)+1))&lt;=1181,2,1))))=1,TEXT(INDEX(ERP資料!$G:$G, (MATCH(735, 輔助計算!$G$2:$G$801, 0)+1)),"0.##"),IF(MOD(INDEX(輔助計算!$D:$D, (MATCH(735, 輔助計算!$G$2:$G$801, 0)+1)),IF(INDEX(ERP資料!$G:$G, (MATCH(735, 輔助計算!$G$2:$G$801, 0)+1))&lt;100, IF(INDEX(ERP資料!$G:$G, (MATCH(735, 輔助計算!$G$2:$G$801, 0)+1))&lt;=31,3,IF(INDEX(ERP資料!$G:$G, (MATCH(735, 輔助計算!$G$2:$G$801, 0)+1))&lt;=46.5,2,1)), IF(INDEX(ERP資料!$G:$G, (MATCH(735, 輔助計算!$G$2:$G$801, 0)+1))&lt;=790,3,IF(INDEX(ERP資料!$G:$G, (MATCH(735, 輔助計算!$G$2:$G$801, 0)+1))&lt;=1181,2,1))))=2,TEXT(INDEX(ERP資料!$G:$G, (MATCH(735, 輔助計算!$G$2:$G$801, 0)+1)),"0.##")&amp;"+"&amp;TEXT(INDEX(ERP資料!$G:$G, (MATCH(735, 輔助計算!$G$2:$G$801, 0)+1)),"0.##"),TEXT(INDEX(ERP資料!$G:$G, (MATCH(735, 輔助計算!$G$2:$G$801, 0)+1)),"0.##")&amp;"+"&amp;TEXT(INDEX(ERP資料!$G:$G, (MATCH(735, 輔助計算!$G$2:$G$801, 0)+1)),"0.##")&amp;"+"&amp;TEXT(INDEX(ERP資料!$G:$G, (MATCH(735, 輔助計算!$G$2:$G$801, 0)+1)),"0.##"))))&amp;"-1")), ""), "")</f>
        <v/>
      </c>
      <c r="K736" s="16" t="n"/>
      <c r="L736" s="14">
        <f>IFERROR(IF(AND(IFERROR(INDEX(ERP資料!$A:$A, (MATCH(735, 輔助計算!$G$2:$G$801, 0)+1)), "")&lt;&gt;"", IFERROR(INDEX(ERP資料!$A:$A, (MATCH(735, 輔助計算!$G$2:$G$801, 0)+1)), "")&lt;&gt;IFERROR(INDEX(ERP資料!$A:$A, MATCH(734, 輔助計算!$G$2:$G$801, 0)+1), "")), INDEX(ERP資料!$B:$B, (MATCH(735, 輔助計算!$G$2:$G$801, 0)+1)), ""), "")</f>
        <v/>
      </c>
      <c r="M736" s="17" t="n"/>
    </row>
    <row r="737">
      <c r="A737" s="10">
        <f>IFERROR(IF(AND(IFERROR(INDEX(ERP資料!$A:$A, (MATCH(736, 輔助計算!$G$2:$G$801, 0)+1)), "")&lt;&gt;"", IFERROR(INDEX(ERP資料!$A:$A, (MATCH(736, 輔助計算!$G$2:$G$801, 0)+1)), "")&lt;&gt;IFERROR(INDEX(ERP資料!$A:$A, MATCH(735, 輔助計算!$G$2:$G$801, 0)+1), "")), IFERROR(INDEX(ERP資料!$A:$A, (MATCH(736, 輔助計算!$G$2:$G$801, 0)+1)), ""), ""), "")</f>
        <v/>
      </c>
      <c r="B737" s="10">
        <f>IFERROR(IF(AND(IFERROR(INDEX(ERP資料!$A:$A, (MATCH(736, 輔助計算!$G$2:$G$801, 0)+1)), "")&lt;&gt;"", IFERROR(INDEX(ERP資料!$A:$A, (MATCH(736, 輔助計算!$G$2:$G$801, 0)+1)), "")&lt;&gt;IFERROR(INDEX(ERP資料!$A:$A, MATCH(735, 輔助計算!$G$2:$G$801, 0)+1), "")), INDEX(ERP資料!$S:$S, (MATCH(736, 輔助計算!$G$2:$G$801, 0)+1)), ""), "")</f>
        <v/>
      </c>
      <c r="C737" s="19">
        <f>IFERROR(IF(AND(IFERROR(INDEX(ERP資料!$A:$A, (MATCH(736, 輔助計算!$G$2:$G$801, 0)+1)), "")&lt;&gt;"", IFERROR(INDEX(ERP資料!$A:$A, (MATCH(736, 輔助計算!$G$2:$G$801, 0)+1)), "")&lt;&gt;IFERROR(INDEX(ERP資料!$A:$A, MATCH(735, 輔助計算!$G$2:$G$801, 0)+1), "")), IFERROR(VLOOKUP(LEFT(INDEX(ERP資料!$S:$S, (MATCH(736, 輔助計算!$G$2:$G$801, 0)+1)), 4), 紙管對照表!$A:$C, 3, FALSE), ""), ""), "")</f>
        <v/>
      </c>
      <c r="D737" s="16" t="n"/>
      <c r="E737" s="10">
        <f>IFERROR(IF(INDEX(ERP資料!$H:$H, (MATCH(736, 輔助計算!$G$2:$G$801, 0)+1))="","",INDEX(ERP資料!$H:$H, (MATCH(736, 輔助計算!$G$2:$G$801, 0)+1))), "")</f>
        <v/>
      </c>
      <c r="F737" s="10">
        <f>IFERROR(IF(INDEX(ERP資料!$E:$E, (MATCH(736, 輔助計算!$G$2:$G$801, 0)+1))="","",TRIM(INDEX(ERP資料!$E:$E, (MATCH(736, 輔助計算!$G$2:$G$801, 0)+1)))), "")</f>
        <v/>
      </c>
      <c r="G737" s="10">
        <f>IFERROR(IF(INDEX(ERP資料!$F:$F, (MATCH(736, 輔助計算!$G$2:$G$801, 0)+1))="","",INDEX(ERP資料!$F:$F, (MATCH(736, 輔助計算!$G$2:$G$801, 0)+1))), "")</f>
        <v/>
      </c>
      <c r="H737" s="10">
        <f>IFERROR(IF(INDEX(ERP資料!$G:$G, (MATCH(736, 輔助計算!$G$2:$G$801, 0)+1))="","",INDEX(ERP資料!$G:$G, (MATCH(736, 輔助計算!$G$2:$G$801, 0)+1))), "")</f>
        <v/>
      </c>
      <c r="I737" s="15">
        <f>IFERROR(INDEX(輔助計算!$D:$D, (MATCH(736, 輔助計算!$G$2:$G$801, 0)+1)), "")</f>
        <v/>
      </c>
      <c r="J737" s="15">
        <f>IFERROR(IF(AND(INDEX(輔助計算!$D:$D, (MATCH(736, 輔助計算!$G$2:$G$801, 0)+1))&lt;&gt;"", INDEX(ERP資料!$G:$G, (MATCH(736, 輔助計算!$G$2:$G$801, 0)+1))&lt;&gt;""), TRIM(IF(INT(INDEX(輔助計算!$D:$D, (MATCH(736, 輔助計算!$G$2:$G$801, 0)+1))/IF(INDEX(ERP資料!$G:$G, (MATCH(736, 輔助計算!$G$2:$G$801, 0)+1))&lt;100, IF(INDEX(ERP資料!$G:$G, (MATCH(736, 輔助計算!$G$2:$G$801, 0)+1))&lt;=31,3,IF(INDEX(ERP資料!$G:$G, (MATCH(736, 輔助計算!$G$2:$G$801, 0)+1))&lt;=46.5,2,1)), IF(INDEX(ERP資料!$G:$G, (MATCH(736, 輔助計算!$G$2:$G$801, 0)+1))&lt;=790,3,IF(INDEX(ERP資料!$G:$G, (MATCH(736, 輔助計算!$G$2:$G$801, 0)+1))&lt;=1181,2,1))))&gt;0, IF(IF(INDEX(ERP資料!$G:$G, (MATCH(736, 輔助計算!$G$2:$G$801, 0)+1))&lt;100, IF(INDEX(ERP資料!$G:$G, (MATCH(736, 輔助計算!$G$2:$G$801, 0)+1))&lt;=31,3,IF(INDEX(ERP資料!$G:$G, (MATCH(736, 輔助計算!$G$2:$G$801, 0)+1))&lt;=46.5,2,1)), IF(INDEX(ERP資料!$G:$G, (MATCH(736, 輔助計算!$G$2:$G$801, 0)+1))&lt;=790,3,IF(INDEX(ERP資料!$G:$G, (MATCH(736, 輔助計算!$G$2:$G$801, 0)+1))&lt;=1181,2,1)))=1,TEXT(INDEX(ERP資料!$G:$G, (MATCH(736, 輔助計算!$G$2:$G$801, 0)+1)),"0.##"),IF(IF(INDEX(ERP資料!$G:$G, (MATCH(736, 輔助計算!$G$2:$G$801, 0)+1))&lt;100, IF(INDEX(ERP資料!$G:$G, (MATCH(736, 輔助計算!$G$2:$G$801, 0)+1))&lt;=31,3,IF(INDEX(ERP資料!$G:$G, (MATCH(736, 輔助計算!$G$2:$G$801, 0)+1))&lt;=46.5,2,1)), IF(INDEX(ERP資料!$G:$G, (MATCH(736, 輔助計算!$G$2:$G$801, 0)+1))&lt;=790,3,IF(INDEX(ERP資料!$G:$G, (MATCH(736, 輔助計算!$G$2:$G$801, 0)+1))&lt;=1181,2,1)))=2,TEXT(INDEX(ERP資料!$G:$G, (MATCH(736, 輔助計算!$G$2:$G$801, 0)+1)),"0.##")&amp;"+"&amp;TEXT(INDEX(ERP資料!$G:$G, (MATCH(736, 輔助計算!$G$2:$G$801, 0)+1)),"0.##"),TEXT(INDEX(ERP資料!$G:$G, (MATCH(736, 輔助計算!$G$2:$G$801, 0)+1)),"0.##")&amp;"+"&amp;TEXT(INDEX(ERP資料!$G:$G, (MATCH(736, 輔助計算!$G$2:$G$801, 0)+1)),"0.##")&amp;"+"&amp;TEXT(INDEX(ERP資料!$G:$G, (MATCH(736, 輔助計算!$G$2:$G$801, 0)+1)),"0.##")))&amp;"-"&amp;INT(INDEX(輔助計算!$D:$D, (MATCH(736, 輔助計算!$G$2:$G$801, 0)+1))/IF(INDEX(ERP資料!$G:$G, (MATCH(736, 輔助計算!$G$2:$G$801, 0)+1))&lt;100, IF(INDEX(ERP資料!$G:$G, (MATCH(736, 輔助計算!$G$2:$G$801, 0)+1))&lt;=31,3,IF(INDEX(ERP資料!$G:$G, (MATCH(736, 輔助計算!$G$2:$G$801, 0)+1))&lt;=46.5,2,1)), IF(INDEX(ERP資料!$G:$G, (MATCH(736, 輔助計算!$G$2:$G$801, 0)+1))&lt;=790,3,IF(INDEX(ERP資料!$G:$G, (MATCH(736, 輔助計算!$G$2:$G$801, 0)+1))&lt;=1181,2,1)))), "")&amp;IF(AND(IF(INT(INDEX(輔助計算!$D:$D, (MATCH(736, 輔助計算!$G$2:$G$801, 0)+1))/IF(INDEX(ERP資料!$G:$G, (MATCH(736, 輔助計算!$G$2:$G$801, 0)+1))&lt;100, IF(INDEX(ERP資料!$G:$G, (MATCH(736, 輔助計算!$G$2:$G$801, 0)+1))&lt;=31,3,IF(INDEX(ERP資料!$G:$G, (MATCH(736, 輔助計算!$G$2:$G$801, 0)+1))&lt;=46.5,2,1)), IF(INDEX(ERP資料!$G:$G, (MATCH(736, 輔助計算!$G$2:$G$801, 0)+1))&lt;=790,3,IF(INDEX(ERP資料!$G:$G, (MATCH(736, 輔助計算!$G$2:$G$801, 0)+1))&lt;=1181,2,1))))&gt;0, IF(IF(INDEX(ERP資料!$G:$G, (MATCH(736, 輔助計算!$G$2:$G$801, 0)+1))&lt;100, IF(INDEX(ERP資料!$G:$G, (MATCH(736, 輔助計算!$G$2:$G$801, 0)+1))&lt;=31,3,IF(INDEX(ERP資料!$G:$G, (MATCH(736, 輔助計算!$G$2:$G$801, 0)+1))&lt;=46.5,2,1)), IF(INDEX(ERP資料!$G:$G, (MATCH(736, 輔助計算!$G$2:$G$801, 0)+1))&lt;=790,3,IF(INDEX(ERP資料!$G:$G, (MATCH(736, 輔助計算!$G$2:$G$801, 0)+1))&lt;=1181,2,1)))=1,TEXT(INDEX(ERP資料!$G:$G, (MATCH(736, 輔助計算!$G$2:$G$801, 0)+1)),"0.##"),IF(IF(INDEX(ERP資料!$G:$G, (MATCH(736, 輔助計算!$G$2:$G$801, 0)+1))&lt;100, IF(INDEX(ERP資料!$G:$G, (MATCH(736, 輔助計算!$G$2:$G$801, 0)+1))&lt;=31,3,IF(INDEX(ERP資料!$G:$G, (MATCH(736, 輔助計算!$G$2:$G$801, 0)+1))&lt;=46.5,2,1)), IF(INDEX(ERP資料!$G:$G, (MATCH(736, 輔助計算!$G$2:$G$801, 0)+1))&lt;=790,3,IF(INDEX(ERP資料!$G:$G, (MATCH(736, 輔助計算!$G$2:$G$801, 0)+1))&lt;=1181,2,1)))=2,TEXT(INDEX(ERP資料!$G:$G, (MATCH(736, 輔助計算!$G$2:$G$801, 0)+1)),"0.##")&amp;"+"&amp;TEXT(INDEX(ERP資料!$G:$G, (MATCH(736, 輔助計算!$G$2:$G$801, 0)+1)),"0.##"),TEXT(INDEX(ERP資料!$G:$G, (MATCH(736, 輔助計算!$G$2:$G$801, 0)+1)),"0.##")&amp;"+"&amp;TEXT(INDEX(ERP資料!$G:$G, (MATCH(736, 輔助計算!$G$2:$G$801, 0)+1)),"0.##")&amp;"+"&amp;TEXT(INDEX(ERP資料!$G:$G, (MATCH(736, 輔助計算!$G$2:$G$801, 0)+1)),"0.##")))&amp;"-"&amp;INT(INDEX(輔助計算!$D:$D, (MATCH(736, 輔助計算!$G$2:$G$801, 0)+1))/IF(INDEX(ERP資料!$G:$G, (MATCH(736, 輔助計算!$G$2:$G$801, 0)+1))&lt;100, IF(INDEX(ERP資料!$G:$G, (MATCH(736, 輔助計算!$G$2:$G$801, 0)+1))&lt;=31,3,IF(INDEX(ERP資料!$G:$G, (MATCH(736, 輔助計算!$G$2:$G$801, 0)+1))&lt;=46.5,2,1)), IF(INDEX(ERP資料!$G:$G, (MATCH(736, 輔助計算!$G$2:$G$801, 0)+1))&lt;=790,3,IF(INDEX(ERP資料!$G:$G, (MATCH(736, 輔助計算!$G$2:$G$801, 0)+1))&lt;=1181,2,1)))), "")&lt;&gt;"",IF(MOD(INDEX(輔助計算!$D:$D, (MATCH(736, 輔助計算!$G$2:$G$801, 0)+1)),IF(INDEX(ERP資料!$G:$G, (MATCH(736, 輔助計算!$G$2:$G$801, 0)+1))&lt;100, IF(INDEX(ERP資料!$G:$G, (MATCH(736, 輔助計算!$G$2:$G$801, 0)+1))&lt;=31,3,IF(INDEX(ERP資料!$G:$G, (MATCH(736, 輔助計算!$G$2:$G$801, 0)+1))&lt;=46.5,2,1)), IF(INDEX(ERP資料!$G:$G, (MATCH(736, 輔助計算!$G$2:$G$801, 0)+1))&lt;=790,3,IF(INDEX(ERP資料!$G:$G, (MATCH(736, 輔助計算!$G$2:$G$801, 0)+1))&lt;=1181,2,1))))=0,"",IF(MOD(INDEX(輔助計算!$D:$D, (MATCH(736, 輔助計算!$G$2:$G$801, 0)+1)),IF(INDEX(ERP資料!$G:$G, (MATCH(736, 輔助計算!$G$2:$G$801, 0)+1))&lt;100, IF(INDEX(ERP資料!$G:$G, (MATCH(736, 輔助計算!$G$2:$G$801, 0)+1))&lt;=31,3,IF(INDEX(ERP資料!$G:$G, (MATCH(736, 輔助計算!$G$2:$G$801, 0)+1))&lt;=46.5,2,1)), IF(INDEX(ERP資料!$G:$G, (MATCH(736, 輔助計算!$G$2:$G$801, 0)+1))&lt;=790,3,IF(INDEX(ERP資料!$G:$G, (MATCH(736, 輔助計算!$G$2:$G$801, 0)+1))&lt;=1181,2,1))))=0,"",IF(MOD(INDEX(輔助計算!$D:$D, (MATCH(736, 輔助計算!$G$2:$G$801, 0)+1)),IF(INDEX(ERP資料!$G:$G, (MATCH(736, 輔助計算!$G$2:$G$801, 0)+1))&lt;100, IF(INDEX(ERP資料!$G:$G, (MATCH(736, 輔助計算!$G$2:$G$801, 0)+1))&lt;=31,3,IF(INDEX(ERP資料!$G:$G, (MATCH(736, 輔助計算!$G$2:$G$801, 0)+1))&lt;=46.5,2,1)), IF(INDEX(ERP資料!$G:$G, (MATCH(736, 輔助計算!$G$2:$G$801, 0)+1))&lt;=790,3,IF(INDEX(ERP資料!$G:$G, (MATCH(736, 輔助計算!$G$2:$G$801, 0)+1))&lt;=1181,2,1))))=1,TEXT(INDEX(ERP資料!$G:$G, (MATCH(736, 輔助計算!$G$2:$G$801, 0)+1)),"0.##"),IF(MOD(INDEX(輔助計算!$D:$D, (MATCH(736, 輔助計算!$G$2:$G$801, 0)+1)),IF(INDEX(ERP資料!$G:$G, (MATCH(736, 輔助計算!$G$2:$G$801, 0)+1))&lt;100, IF(INDEX(ERP資料!$G:$G, (MATCH(736, 輔助計算!$G$2:$G$801, 0)+1))&lt;=31,3,IF(INDEX(ERP資料!$G:$G, (MATCH(736, 輔助計算!$G$2:$G$801, 0)+1))&lt;=46.5,2,1)), IF(INDEX(ERP資料!$G:$G, (MATCH(736, 輔助計算!$G$2:$G$801, 0)+1))&lt;=790,3,IF(INDEX(ERP資料!$G:$G, (MATCH(736, 輔助計算!$G$2:$G$801, 0)+1))&lt;=1181,2,1))))=2,TEXT(INDEX(ERP資料!$G:$G, (MATCH(736, 輔助計算!$G$2:$G$801, 0)+1)),"0.##")&amp;"+"&amp;TEXT(INDEX(ERP資料!$G:$G, (MATCH(736, 輔助計算!$G$2:$G$801, 0)+1)),"0.##"),TEXT(INDEX(ERP資料!$G:$G, (MATCH(736, 輔助計算!$G$2:$G$801, 0)+1)),"0.##")&amp;"+"&amp;TEXT(INDEX(ERP資料!$G:$G, (MATCH(736, 輔助計算!$G$2:$G$801, 0)+1)),"0.##")&amp;"+"&amp;TEXT(INDEX(ERP資料!$G:$G, (MATCH(736, 輔助計算!$G$2:$G$801, 0)+1)),"0.##"))))&amp;"-1")&lt;&gt;""),"  ","")&amp;IF(MOD(INDEX(輔助計算!$D:$D, (MATCH(736, 輔助計算!$G$2:$G$801, 0)+1)),IF(INDEX(ERP資料!$G:$G, (MATCH(736, 輔助計算!$G$2:$G$801, 0)+1))&lt;100, IF(INDEX(ERP資料!$G:$G, (MATCH(736, 輔助計算!$G$2:$G$801, 0)+1))&lt;=31,3,IF(INDEX(ERP資料!$G:$G, (MATCH(736, 輔助計算!$G$2:$G$801, 0)+1))&lt;=46.5,2,1)), IF(INDEX(ERP資料!$G:$G, (MATCH(736, 輔助計算!$G$2:$G$801, 0)+1))&lt;=790,3,IF(INDEX(ERP資料!$G:$G, (MATCH(736, 輔助計算!$G$2:$G$801, 0)+1))&lt;=1181,2,1))))=0,"",IF(MOD(INDEX(輔助計算!$D:$D, (MATCH(736, 輔助計算!$G$2:$G$801, 0)+1)),IF(INDEX(ERP資料!$G:$G, (MATCH(736, 輔助計算!$G$2:$G$801, 0)+1))&lt;100, IF(INDEX(ERP資料!$G:$G, (MATCH(736, 輔助計算!$G$2:$G$801, 0)+1))&lt;=31,3,IF(INDEX(ERP資料!$G:$G, (MATCH(736, 輔助計算!$G$2:$G$801, 0)+1))&lt;=46.5,2,1)), IF(INDEX(ERP資料!$G:$G, (MATCH(736, 輔助計算!$G$2:$G$801, 0)+1))&lt;=790,3,IF(INDEX(ERP資料!$G:$G, (MATCH(736, 輔助計算!$G$2:$G$801, 0)+1))&lt;=1181,2,1))))=0,"",IF(MOD(INDEX(輔助計算!$D:$D, (MATCH(736, 輔助計算!$G$2:$G$801, 0)+1)),IF(INDEX(ERP資料!$G:$G, (MATCH(736, 輔助計算!$G$2:$G$801, 0)+1))&lt;100, IF(INDEX(ERP資料!$G:$G, (MATCH(736, 輔助計算!$G$2:$G$801, 0)+1))&lt;=31,3,IF(INDEX(ERP資料!$G:$G, (MATCH(736, 輔助計算!$G$2:$G$801, 0)+1))&lt;=46.5,2,1)), IF(INDEX(ERP資料!$G:$G, (MATCH(736, 輔助計算!$G$2:$G$801, 0)+1))&lt;=790,3,IF(INDEX(ERP資料!$G:$G, (MATCH(736, 輔助計算!$G$2:$G$801, 0)+1))&lt;=1181,2,1))))=1,TEXT(INDEX(ERP資料!$G:$G, (MATCH(736, 輔助計算!$G$2:$G$801, 0)+1)),"0.##"),IF(MOD(INDEX(輔助計算!$D:$D, (MATCH(736, 輔助計算!$G$2:$G$801, 0)+1)),IF(INDEX(ERP資料!$G:$G, (MATCH(736, 輔助計算!$G$2:$G$801, 0)+1))&lt;100, IF(INDEX(ERP資料!$G:$G, (MATCH(736, 輔助計算!$G$2:$G$801, 0)+1))&lt;=31,3,IF(INDEX(ERP資料!$G:$G, (MATCH(736, 輔助計算!$G$2:$G$801, 0)+1))&lt;=46.5,2,1)), IF(INDEX(ERP資料!$G:$G, (MATCH(736, 輔助計算!$G$2:$G$801, 0)+1))&lt;=790,3,IF(INDEX(ERP資料!$G:$G, (MATCH(736, 輔助計算!$G$2:$G$801, 0)+1))&lt;=1181,2,1))))=2,TEXT(INDEX(ERP資料!$G:$G, (MATCH(736, 輔助計算!$G$2:$G$801, 0)+1)),"0.##")&amp;"+"&amp;TEXT(INDEX(ERP資料!$G:$G, (MATCH(736, 輔助計算!$G$2:$G$801, 0)+1)),"0.##"),TEXT(INDEX(ERP資料!$G:$G, (MATCH(736, 輔助計算!$G$2:$G$801, 0)+1)),"0.##")&amp;"+"&amp;TEXT(INDEX(ERP資料!$G:$G, (MATCH(736, 輔助計算!$G$2:$G$801, 0)+1)),"0.##")&amp;"+"&amp;TEXT(INDEX(ERP資料!$G:$G, (MATCH(736, 輔助計算!$G$2:$G$801, 0)+1)),"0.##"))))&amp;"-1")), ""), "")</f>
        <v/>
      </c>
      <c r="K737" s="16" t="n"/>
      <c r="L737" s="14">
        <f>IFERROR(IF(AND(IFERROR(INDEX(ERP資料!$A:$A, (MATCH(736, 輔助計算!$G$2:$G$801, 0)+1)), "")&lt;&gt;"", IFERROR(INDEX(ERP資料!$A:$A, (MATCH(736, 輔助計算!$G$2:$G$801, 0)+1)), "")&lt;&gt;IFERROR(INDEX(ERP資料!$A:$A, MATCH(735, 輔助計算!$G$2:$G$801, 0)+1), "")), INDEX(ERP資料!$B:$B, (MATCH(736, 輔助計算!$G$2:$G$801, 0)+1)), ""), "")</f>
        <v/>
      </c>
      <c r="M737" s="17" t="n"/>
    </row>
    <row r="738">
      <c r="A738" s="10">
        <f>IFERROR(IF(AND(IFERROR(INDEX(ERP資料!$A:$A, (MATCH(737, 輔助計算!$G$2:$G$801, 0)+1)), "")&lt;&gt;"", IFERROR(INDEX(ERP資料!$A:$A, (MATCH(737, 輔助計算!$G$2:$G$801, 0)+1)), "")&lt;&gt;IFERROR(INDEX(ERP資料!$A:$A, MATCH(736, 輔助計算!$G$2:$G$801, 0)+1), "")), IFERROR(INDEX(ERP資料!$A:$A, (MATCH(737, 輔助計算!$G$2:$G$801, 0)+1)), ""), ""), "")</f>
        <v/>
      </c>
      <c r="B738" s="10">
        <f>IFERROR(IF(AND(IFERROR(INDEX(ERP資料!$A:$A, (MATCH(737, 輔助計算!$G$2:$G$801, 0)+1)), "")&lt;&gt;"", IFERROR(INDEX(ERP資料!$A:$A, (MATCH(737, 輔助計算!$G$2:$G$801, 0)+1)), "")&lt;&gt;IFERROR(INDEX(ERP資料!$A:$A, MATCH(736, 輔助計算!$G$2:$G$801, 0)+1), "")), INDEX(ERP資料!$S:$S, (MATCH(737, 輔助計算!$G$2:$G$801, 0)+1)), ""), "")</f>
        <v/>
      </c>
      <c r="C738" s="19">
        <f>IFERROR(IF(AND(IFERROR(INDEX(ERP資料!$A:$A, (MATCH(737, 輔助計算!$G$2:$G$801, 0)+1)), "")&lt;&gt;"", IFERROR(INDEX(ERP資料!$A:$A, (MATCH(737, 輔助計算!$G$2:$G$801, 0)+1)), "")&lt;&gt;IFERROR(INDEX(ERP資料!$A:$A, MATCH(736, 輔助計算!$G$2:$G$801, 0)+1), "")), IFERROR(VLOOKUP(LEFT(INDEX(ERP資料!$S:$S, (MATCH(737, 輔助計算!$G$2:$G$801, 0)+1)), 4), 紙管對照表!$A:$C, 3, FALSE), ""), ""), "")</f>
        <v/>
      </c>
      <c r="D738" s="16" t="n"/>
      <c r="E738" s="10">
        <f>IFERROR(IF(INDEX(ERP資料!$H:$H, (MATCH(737, 輔助計算!$G$2:$G$801, 0)+1))="","",INDEX(ERP資料!$H:$H, (MATCH(737, 輔助計算!$G$2:$G$801, 0)+1))), "")</f>
        <v/>
      </c>
      <c r="F738" s="10">
        <f>IFERROR(IF(INDEX(ERP資料!$E:$E, (MATCH(737, 輔助計算!$G$2:$G$801, 0)+1))="","",TRIM(INDEX(ERP資料!$E:$E, (MATCH(737, 輔助計算!$G$2:$G$801, 0)+1)))), "")</f>
        <v/>
      </c>
      <c r="G738" s="10">
        <f>IFERROR(IF(INDEX(ERP資料!$F:$F, (MATCH(737, 輔助計算!$G$2:$G$801, 0)+1))="","",INDEX(ERP資料!$F:$F, (MATCH(737, 輔助計算!$G$2:$G$801, 0)+1))), "")</f>
        <v/>
      </c>
      <c r="H738" s="10">
        <f>IFERROR(IF(INDEX(ERP資料!$G:$G, (MATCH(737, 輔助計算!$G$2:$G$801, 0)+1))="","",INDEX(ERP資料!$G:$G, (MATCH(737, 輔助計算!$G$2:$G$801, 0)+1))), "")</f>
        <v/>
      </c>
      <c r="I738" s="15">
        <f>IFERROR(INDEX(輔助計算!$D:$D, (MATCH(737, 輔助計算!$G$2:$G$801, 0)+1)), "")</f>
        <v/>
      </c>
      <c r="J738" s="15">
        <f>IFERROR(IF(AND(INDEX(輔助計算!$D:$D, (MATCH(737, 輔助計算!$G$2:$G$801, 0)+1))&lt;&gt;"", INDEX(ERP資料!$G:$G, (MATCH(737, 輔助計算!$G$2:$G$801, 0)+1))&lt;&gt;""), TRIM(IF(INT(INDEX(輔助計算!$D:$D, (MATCH(737, 輔助計算!$G$2:$G$801, 0)+1))/IF(INDEX(ERP資料!$G:$G, (MATCH(737, 輔助計算!$G$2:$G$801, 0)+1))&lt;100, IF(INDEX(ERP資料!$G:$G, (MATCH(737, 輔助計算!$G$2:$G$801, 0)+1))&lt;=31,3,IF(INDEX(ERP資料!$G:$G, (MATCH(737, 輔助計算!$G$2:$G$801, 0)+1))&lt;=46.5,2,1)), IF(INDEX(ERP資料!$G:$G, (MATCH(737, 輔助計算!$G$2:$G$801, 0)+1))&lt;=790,3,IF(INDEX(ERP資料!$G:$G, (MATCH(737, 輔助計算!$G$2:$G$801, 0)+1))&lt;=1181,2,1))))&gt;0, IF(IF(INDEX(ERP資料!$G:$G, (MATCH(737, 輔助計算!$G$2:$G$801, 0)+1))&lt;100, IF(INDEX(ERP資料!$G:$G, (MATCH(737, 輔助計算!$G$2:$G$801, 0)+1))&lt;=31,3,IF(INDEX(ERP資料!$G:$G, (MATCH(737, 輔助計算!$G$2:$G$801, 0)+1))&lt;=46.5,2,1)), IF(INDEX(ERP資料!$G:$G, (MATCH(737, 輔助計算!$G$2:$G$801, 0)+1))&lt;=790,3,IF(INDEX(ERP資料!$G:$G, (MATCH(737, 輔助計算!$G$2:$G$801, 0)+1))&lt;=1181,2,1)))=1,TEXT(INDEX(ERP資料!$G:$G, (MATCH(737, 輔助計算!$G$2:$G$801, 0)+1)),"0.##"),IF(IF(INDEX(ERP資料!$G:$G, (MATCH(737, 輔助計算!$G$2:$G$801, 0)+1))&lt;100, IF(INDEX(ERP資料!$G:$G, (MATCH(737, 輔助計算!$G$2:$G$801, 0)+1))&lt;=31,3,IF(INDEX(ERP資料!$G:$G, (MATCH(737, 輔助計算!$G$2:$G$801, 0)+1))&lt;=46.5,2,1)), IF(INDEX(ERP資料!$G:$G, (MATCH(737, 輔助計算!$G$2:$G$801, 0)+1))&lt;=790,3,IF(INDEX(ERP資料!$G:$G, (MATCH(737, 輔助計算!$G$2:$G$801, 0)+1))&lt;=1181,2,1)))=2,TEXT(INDEX(ERP資料!$G:$G, (MATCH(737, 輔助計算!$G$2:$G$801, 0)+1)),"0.##")&amp;"+"&amp;TEXT(INDEX(ERP資料!$G:$G, (MATCH(737, 輔助計算!$G$2:$G$801, 0)+1)),"0.##"),TEXT(INDEX(ERP資料!$G:$G, (MATCH(737, 輔助計算!$G$2:$G$801, 0)+1)),"0.##")&amp;"+"&amp;TEXT(INDEX(ERP資料!$G:$G, (MATCH(737, 輔助計算!$G$2:$G$801, 0)+1)),"0.##")&amp;"+"&amp;TEXT(INDEX(ERP資料!$G:$G, (MATCH(737, 輔助計算!$G$2:$G$801, 0)+1)),"0.##")))&amp;"-"&amp;INT(INDEX(輔助計算!$D:$D, (MATCH(737, 輔助計算!$G$2:$G$801, 0)+1))/IF(INDEX(ERP資料!$G:$G, (MATCH(737, 輔助計算!$G$2:$G$801, 0)+1))&lt;100, IF(INDEX(ERP資料!$G:$G, (MATCH(737, 輔助計算!$G$2:$G$801, 0)+1))&lt;=31,3,IF(INDEX(ERP資料!$G:$G, (MATCH(737, 輔助計算!$G$2:$G$801, 0)+1))&lt;=46.5,2,1)), IF(INDEX(ERP資料!$G:$G, (MATCH(737, 輔助計算!$G$2:$G$801, 0)+1))&lt;=790,3,IF(INDEX(ERP資料!$G:$G, (MATCH(737, 輔助計算!$G$2:$G$801, 0)+1))&lt;=1181,2,1)))), "")&amp;IF(AND(IF(INT(INDEX(輔助計算!$D:$D, (MATCH(737, 輔助計算!$G$2:$G$801, 0)+1))/IF(INDEX(ERP資料!$G:$G, (MATCH(737, 輔助計算!$G$2:$G$801, 0)+1))&lt;100, IF(INDEX(ERP資料!$G:$G, (MATCH(737, 輔助計算!$G$2:$G$801, 0)+1))&lt;=31,3,IF(INDEX(ERP資料!$G:$G, (MATCH(737, 輔助計算!$G$2:$G$801, 0)+1))&lt;=46.5,2,1)), IF(INDEX(ERP資料!$G:$G, (MATCH(737, 輔助計算!$G$2:$G$801, 0)+1))&lt;=790,3,IF(INDEX(ERP資料!$G:$G, (MATCH(737, 輔助計算!$G$2:$G$801, 0)+1))&lt;=1181,2,1))))&gt;0, IF(IF(INDEX(ERP資料!$G:$G, (MATCH(737, 輔助計算!$G$2:$G$801, 0)+1))&lt;100, IF(INDEX(ERP資料!$G:$G, (MATCH(737, 輔助計算!$G$2:$G$801, 0)+1))&lt;=31,3,IF(INDEX(ERP資料!$G:$G, (MATCH(737, 輔助計算!$G$2:$G$801, 0)+1))&lt;=46.5,2,1)), IF(INDEX(ERP資料!$G:$G, (MATCH(737, 輔助計算!$G$2:$G$801, 0)+1))&lt;=790,3,IF(INDEX(ERP資料!$G:$G, (MATCH(737, 輔助計算!$G$2:$G$801, 0)+1))&lt;=1181,2,1)))=1,TEXT(INDEX(ERP資料!$G:$G, (MATCH(737, 輔助計算!$G$2:$G$801, 0)+1)),"0.##"),IF(IF(INDEX(ERP資料!$G:$G, (MATCH(737, 輔助計算!$G$2:$G$801, 0)+1))&lt;100, IF(INDEX(ERP資料!$G:$G, (MATCH(737, 輔助計算!$G$2:$G$801, 0)+1))&lt;=31,3,IF(INDEX(ERP資料!$G:$G, (MATCH(737, 輔助計算!$G$2:$G$801, 0)+1))&lt;=46.5,2,1)), IF(INDEX(ERP資料!$G:$G, (MATCH(737, 輔助計算!$G$2:$G$801, 0)+1))&lt;=790,3,IF(INDEX(ERP資料!$G:$G, (MATCH(737, 輔助計算!$G$2:$G$801, 0)+1))&lt;=1181,2,1)))=2,TEXT(INDEX(ERP資料!$G:$G, (MATCH(737, 輔助計算!$G$2:$G$801, 0)+1)),"0.##")&amp;"+"&amp;TEXT(INDEX(ERP資料!$G:$G, (MATCH(737, 輔助計算!$G$2:$G$801, 0)+1)),"0.##"),TEXT(INDEX(ERP資料!$G:$G, (MATCH(737, 輔助計算!$G$2:$G$801, 0)+1)),"0.##")&amp;"+"&amp;TEXT(INDEX(ERP資料!$G:$G, (MATCH(737, 輔助計算!$G$2:$G$801, 0)+1)),"0.##")&amp;"+"&amp;TEXT(INDEX(ERP資料!$G:$G, (MATCH(737, 輔助計算!$G$2:$G$801, 0)+1)),"0.##")))&amp;"-"&amp;INT(INDEX(輔助計算!$D:$D, (MATCH(737, 輔助計算!$G$2:$G$801, 0)+1))/IF(INDEX(ERP資料!$G:$G, (MATCH(737, 輔助計算!$G$2:$G$801, 0)+1))&lt;100, IF(INDEX(ERP資料!$G:$G, (MATCH(737, 輔助計算!$G$2:$G$801, 0)+1))&lt;=31,3,IF(INDEX(ERP資料!$G:$G, (MATCH(737, 輔助計算!$G$2:$G$801, 0)+1))&lt;=46.5,2,1)), IF(INDEX(ERP資料!$G:$G, (MATCH(737, 輔助計算!$G$2:$G$801, 0)+1))&lt;=790,3,IF(INDEX(ERP資料!$G:$G, (MATCH(737, 輔助計算!$G$2:$G$801, 0)+1))&lt;=1181,2,1)))), "")&lt;&gt;"",IF(MOD(INDEX(輔助計算!$D:$D, (MATCH(737, 輔助計算!$G$2:$G$801, 0)+1)),IF(INDEX(ERP資料!$G:$G, (MATCH(737, 輔助計算!$G$2:$G$801, 0)+1))&lt;100, IF(INDEX(ERP資料!$G:$G, (MATCH(737, 輔助計算!$G$2:$G$801, 0)+1))&lt;=31,3,IF(INDEX(ERP資料!$G:$G, (MATCH(737, 輔助計算!$G$2:$G$801, 0)+1))&lt;=46.5,2,1)), IF(INDEX(ERP資料!$G:$G, (MATCH(737, 輔助計算!$G$2:$G$801, 0)+1))&lt;=790,3,IF(INDEX(ERP資料!$G:$G, (MATCH(737, 輔助計算!$G$2:$G$801, 0)+1))&lt;=1181,2,1))))=0,"",IF(MOD(INDEX(輔助計算!$D:$D, (MATCH(737, 輔助計算!$G$2:$G$801, 0)+1)),IF(INDEX(ERP資料!$G:$G, (MATCH(737, 輔助計算!$G$2:$G$801, 0)+1))&lt;100, IF(INDEX(ERP資料!$G:$G, (MATCH(737, 輔助計算!$G$2:$G$801, 0)+1))&lt;=31,3,IF(INDEX(ERP資料!$G:$G, (MATCH(737, 輔助計算!$G$2:$G$801, 0)+1))&lt;=46.5,2,1)), IF(INDEX(ERP資料!$G:$G, (MATCH(737, 輔助計算!$G$2:$G$801, 0)+1))&lt;=790,3,IF(INDEX(ERP資料!$G:$G, (MATCH(737, 輔助計算!$G$2:$G$801, 0)+1))&lt;=1181,2,1))))=0,"",IF(MOD(INDEX(輔助計算!$D:$D, (MATCH(737, 輔助計算!$G$2:$G$801, 0)+1)),IF(INDEX(ERP資料!$G:$G, (MATCH(737, 輔助計算!$G$2:$G$801, 0)+1))&lt;100, IF(INDEX(ERP資料!$G:$G, (MATCH(737, 輔助計算!$G$2:$G$801, 0)+1))&lt;=31,3,IF(INDEX(ERP資料!$G:$G, (MATCH(737, 輔助計算!$G$2:$G$801, 0)+1))&lt;=46.5,2,1)), IF(INDEX(ERP資料!$G:$G, (MATCH(737, 輔助計算!$G$2:$G$801, 0)+1))&lt;=790,3,IF(INDEX(ERP資料!$G:$G, (MATCH(737, 輔助計算!$G$2:$G$801, 0)+1))&lt;=1181,2,1))))=1,TEXT(INDEX(ERP資料!$G:$G, (MATCH(737, 輔助計算!$G$2:$G$801, 0)+1)),"0.##"),IF(MOD(INDEX(輔助計算!$D:$D, (MATCH(737, 輔助計算!$G$2:$G$801, 0)+1)),IF(INDEX(ERP資料!$G:$G, (MATCH(737, 輔助計算!$G$2:$G$801, 0)+1))&lt;100, IF(INDEX(ERP資料!$G:$G, (MATCH(737, 輔助計算!$G$2:$G$801, 0)+1))&lt;=31,3,IF(INDEX(ERP資料!$G:$G, (MATCH(737, 輔助計算!$G$2:$G$801, 0)+1))&lt;=46.5,2,1)), IF(INDEX(ERP資料!$G:$G, (MATCH(737, 輔助計算!$G$2:$G$801, 0)+1))&lt;=790,3,IF(INDEX(ERP資料!$G:$G, (MATCH(737, 輔助計算!$G$2:$G$801, 0)+1))&lt;=1181,2,1))))=2,TEXT(INDEX(ERP資料!$G:$G, (MATCH(737, 輔助計算!$G$2:$G$801, 0)+1)),"0.##")&amp;"+"&amp;TEXT(INDEX(ERP資料!$G:$G, (MATCH(737, 輔助計算!$G$2:$G$801, 0)+1)),"0.##"),TEXT(INDEX(ERP資料!$G:$G, (MATCH(737, 輔助計算!$G$2:$G$801, 0)+1)),"0.##")&amp;"+"&amp;TEXT(INDEX(ERP資料!$G:$G, (MATCH(737, 輔助計算!$G$2:$G$801, 0)+1)),"0.##")&amp;"+"&amp;TEXT(INDEX(ERP資料!$G:$G, (MATCH(737, 輔助計算!$G$2:$G$801, 0)+1)),"0.##"))))&amp;"-1")&lt;&gt;""),"  ","")&amp;IF(MOD(INDEX(輔助計算!$D:$D, (MATCH(737, 輔助計算!$G$2:$G$801, 0)+1)),IF(INDEX(ERP資料!$G:$G, (MATCH(737, 輔助計算!$G$2:$G$801, 0)+1))&lt;100, IF(INDEX(ERP資料!$G:$G, (MATCH(737, 輔助計算!$G$2:$G$801, 0)+1))&lt;=31,3,IF(INDEX(ERP資料!$G:$G, (MATCH(737, 輔助計算!$G$2:$G$801, 0)+1))&lt;=46.5,2,1)), IF(INDEX(ERP資料!$G:$G, (MATCH(737, 輔助計算!$G$2:$G$801, 0)+1))&lt;=790,3,IF(INDEX(ERP資料!$G:$G, (MATCH(737, 輔助計算!$G$2:$G$801, 0)+1))&lt;=1181,2,1))))=0,"",IF(MOD(INDEX(輔助計算!$D:$D, (MATCH(737, 輔助計算!$G$2:$G$801, 0)+1)),IF(INDEX(ERP資料!$G:$G, (MATCH(737, 輔助計算!$G$2:$G$801, 0)+1))&lt;100, IF(INDEX(ERP資料!$G:$G, (MATCH(737, 輔助計算!$G$2:$G$801, 0)+1))&lt;=31,3,IF(INDEX(ERP資料!$G:$G, (MATCH(737, 輔助計算!$G$2:$G$801, 0)+1))&lt;=46.5,2,1)), IF(INDEX(ERP資料!$G:$G, (MATCH(737, 輔助計算!$G$2:$G$801, 0)+1))&lt;=790,3,IF(INDEX(ERP資料!$G:$G, (MATCH(737, 輔助計算!$G$2:$G$801, 0)+1))&lt;=1181,2,1))))=0,"",IF(MOD(INDEX(輔助計算!$D:$D, (MATCH(737, 輔助計算!$G$2:$G$801, 0)+1)),IF(INDEX(ERP資料!$G:$G, (MATCH(737, 輔助計算!$G$2:$G$801, 0)+1))&lt;100, IF(INDEX(ERP資料!$G:$G, (MATCH(737, 輔助計算!$G$2:$G$801, 0)+1))&lt;=31,3,IF(INDEX(ERP資料!$G:$G, (MATCH(737, 輔助計算!$G$2:$G$801, 0)+1))&lt;=46.5,2,1)), IF(INDEX(ERP資料!$G:$G, (MATCH(737, 輔助計算!$G$2:$G$801, 0)+1))&lt;=790,3,IF(INDEX(ERP資料!$G:$G, (MATCH(737, 輔助計算!$G$2:$G$801, 0)+1))&lt;=1181,2,1))))=1,TEXT(INDEX(ERP資料!$G:$G, (MATCH(737, 輔助計算!$G$2:$G$801, 0)+1)),"0.##"),IF(MOD(INDEX(輔助計算!$D:$D, (MATCH(737, 輔助計算!$G$2:$G$801, 0)+1)),IF(INDEX(ERP資料!$G:$G, (MATCH(737, 輔助計算!$G$2:$G$801, 0)+1))&lt;100, IF(INDEX(ERP資料!$G:$G, (MATCH(737, 輔助計算!$G$2:$G$801, 0)+1))&lt;=31,3,IF(INDEX(ERP資料!$G:$G, (MATCH(737, 輔助計算!$G$2:$G$801, 0)+1))&lt;=46.5,2,1)), IF(INDEX(ERP資料!$G:$G, (MATCH(737, 輔助計算!$G$2:$G$801, 0)+1))&lt;=790,3,IF(INDEX(ERP資料!$G:$G, (MATCH(737, 輔助計算!$G$2:$G$801, 0)+1))&lt;=1181,2,1))))=2,TEXT(INDEX(ERP資料!$G:$G, (MATCH(737, 輔助計算!$G$2:$G$801, 0)+1)),"0.##")&amp;"+"&amp;TEXT(INDEX(ERP資料!$G:$G, (MATCH(737, 輔助計算!$G$2:$G$801, 0)+1)),"0.##"),TEXT(INDEX(ERP資料!$G:$G, (MATCH(737, 輔助計算!$G$2:$G$801, 0)+1)),"0.##")&amp;"+"&amp;TEXT(INDEX(ERP資料!$G:$G, (MATCH(737, 輔助計算!$G$2:$G$801, 0)+1)),"0.##")&amp;"+"&amp;TEXT(INDEX(ERP資料!$G:$G, (MATCH(737, 輔助計算!$G$2:$G$801, 0)+1)),"0.##"))))&amp;"-1")), ""), "")</f>
        <v/>
      </c>
      <c r="K738" s="16" t="n"/>
      <c r="L738" s="14">
        <f>IFERROR(IF(AND(IFERROR(INDEX(ERP資料!$A:$A, (MATCH(737, 輔助計算!$G$2:$G$801, 0)+1)), "")&lt;&gt;"", IFERROR(INDEX(ERP資料!$A:$A, (MATCH(737, 輔助計算!$G$2:$G$801, 0)+1)), "")&lt;&gt;IFERROR(INDEX(ERP資料!$A:$A, MATCH(736, 輔助計算!$G$2:$G$801, 0)+1), "")), INDEX(ERP資料!$B:$B, (MATCH(737, 輔助計算!$G$2:$G$801, 0)+1)), ""), "")</f>
        <v/>
      </c>
      <c r="M738" s="17" t="n"/>
    </row>
    <row r="739">
      <c r="A739" s="10">
        <f>IFERROR(IF(AND(IFERROR(INDEX(ERP資料!$A:$A, (MATCH(738, 輔助計算!$G$2:$G$801, 0)+1)), "")&lt;&gt;"", IFERROR(INDEX(ERP資料!$A:$A, (MATCH(738, 輔助計算!$G$2:$G$801, 0)+1)), "")&lt;&gt;IFERROR(INDEX(ERP資料!$A:$A, MATCH(737, 輔助計算!$G$2:$G$801, 0)+1), "")), IFERROR(INDEX(ERP資料!$A:$A, (MATCH(738, 輔助計算!$G$2:$G$801, 0)+1)), ""), ""), "")</f>
        <v/>
      </c>
      <c r="B739" s="10">
        <f>IFERROR(IF(AND(IFERROR(INDEX(ERP資料!$A:$A, (MATCH(738, 輔助計算!$G$2:$G$801, 0)+1)), "")&lt;&gt;"", IFERROR(INDEX(ERP資料!$A:$A, (MATCH(738, 輔助計算!$G$2:$G$801, 0)+1)), "")&lt;&gt;IFERROR(INDEX(ERP資料!$A:$A, MATCH(737, 輔助計算!$G$2:$G$801, 0)+1), "")), INDEX(ERP資料!$S:$S, (MATCH(738, 輔助計算!$G$2:$G$801, 0)+1)), ""), "")</f>
        <v/>
      </c>
      <c r="C739" s="19">
        <f>IFERROR(IF(AND(IFERROR(INDEX(ERP資料!$A:$A, (MATCH(738, 輔助計算!$G$2:$G$801, 0)+1)), "")&lt;&gt;"", IFERROR(INDEX(ERP資料!$A:$A, (MATCH(738, 輔助計算!$G$2:$G$801, 0)+1)), "")&lt;&gt;IFERROR(INDEX(ERP資料!$A:$A, MATCH(737, 輔助計算!$G$2:$G$801, 0)+1), "")), IFERROR(VLOOKUP(LEFT(INDEX(ERP資料!$S:$S, (MATCH(738, 輔助計算!$G$2:$G$801, 0)+1)), 4), 紙管對照表!$A:$C, 3, FALSE), ""), ""), "")</f>
        <v/>
      </c>
      <c r="D739" s="16" t="n"/>
      <c r="E739" s="10">
        <f>IFERROR(IF(INDEX(ERP資料!$H:$H, (MATCH(738, 輔助計算!$G$2:$G$801, 0)+1))="","",INDEX(ERP資料!$H:$H, (MATCH(738, 輔助計算!$G$2:$G$801, 0)+1))), "")</f>
        <v/>
      </c>
      <c r="F739" s="10">
        <f>IFERROR(IF(INDEX(ERP資料!$E:$E, (MATCH(738, 輔助計算!$G$2:$G$801, 0)+1))="","",TRIM(INDEX(ERP資料!$E:$E, (MATCH(738, 輔助計算!$G$2:$G$801, 0)+1)))), "")</f>
        <v/>
      </c>
      <c r="G739" s="10">
        <f>IFERROR(IF(INDEX(ERP資料!$F:$F, (MATCH(738, 輔助計算!$G$2:$G$801, 0)+1))="","",INDEX(ERP資料!$F:$F, (MATCH(738, 輔助計算!$G$2:$G$801, 0)+1))), "")</f>
        <v/>
      </c>
      <c r="H739" s="10">
        <f>IFERROR(IF(INDEX(ERP資料!$G:$G, (MATCH(738, 輔助計算!$G$2:$G$801, 0)+1))="","",INDEX(ERP資料!$G:$G, (MATCH(738, 輔助計算!$G$2:$G$801, 0)+1))), "")</f>
        <v/>
      </c>
      <c r="I739" s="15">
        <f>IFERROR(INDEX(輔助計算!$D:$D, (MATCH(738, 輔助計算!$G$2:$G$801, 0)+1)), "")</f>
        <v/>
      </c>
      <c r="J739" s="15">
        <f>IFERROR(IF(AND(INDEX(輔助計算!$D:$D, (MATCH(738, 輔助計算!$G$2:$G$801, 0)+1))&lt;&gt;"", INDEX(ERP資料!$G:$G, (MATCH(738, 輔助計算!$G$2:$G$801, 0)+1))&lt;&gt;""), TRIM(IF(INT(INDEX(輔助計算!$D:$D, (MATCH(738, 輔助計算!$G$2:$G$801, 0)+1))/IF(INDEX(ERP資料!$G:$G, (MATCH(738, 輔助計算!$G$2:$G$801, 0)+1))&lt;100, IF(INDEX(ERP資料!$G:$G, (MATCH(738, 輔助計算!$G$2:$G$801, 0)+1))&lt;=31,3,IF(INDEX(ERP資料!$G:$G, (MATCH(738, 輔助計算!$G$2:$G$801, 0)+1))&lt;=46.5,2,1)), IF(INDEX(ERP資料!$G:$G, (MATCH(738, 輔助計算!$G$2:$G$801, 0)+1))&lt;=790,3,IF(INDEX(ERP資料!$G:$G, (MATCH(738, 輔助計算!$G$2:$G$801, 0)+1))&lt;=1181,2,1))))&gt;0, IF(IF(INDEX(ERP資料!$G:$G, (MATCH(738, 輔助計算!$G$2:$G$801, 0)+1))&lt;100, IF(INDEX(ERP資料!$G:$G, (MATCH(738, 輔助計算!$G$2:$G$801, 0)+1))&lt;=31,3,IF(INDEX(ERP資料!$G:$G, (MATCH(738, 輔助計算!$G$2:$G$801, 0)+1))&lt;=46.5,2,1)), IF(INDEX(ERP資料!$G:$G, (MATCH(738, 輔助計算!$G$2:$G$801, 0)+1))&lt;=790,3,IF(INDEX(ERP資料!$G:$G, (MATCH(738, 輔助計算!$G$2:$G$801, 0)+1))&lt;=1181,2,1)))=1,TEXT(INDEX(ERP資料!$G:$G, (MATCH(738, 輔助計算!$G$2:$G$801, 0)+1)),"0.##"),IF(IF(INDEX(ERP資料!$G:$G, (MATCH(738, 輔助計算!$G$2:$G$801, 0)+1))&lt;100, IF(INDEX(ERP資料!$G:$G, (MATCH(738, 輔助計算!$G$2:$G$801, 0)+1))&lt;=31,3,IF(INDEX(ERP資料!$G:$G, (MATCH(738, 輔助計算!$G$2:$G$801, 0)+1))&lt;=46.5,2,1)), IF(INDEX(ERP資料!$G:$G, (MATCH(738, 輔助計算!$G$2:$G$801, 0)+1))&lt;=790,3,IF(INDEX(ERP資料!$G:$G, (MATCH(738, 輔助計算!$G$2:$G$801, 0)+1))&lt;=1181,2,1)))=2,TEXT(INDEX(ERP資料!$G:$G, (MATCH(738, 輔助計算!$G$2:$G$801, 0)+1)),"0.##")&amp;"+"&amp;TEXT(INDEX(ERP資料!$G:$G, (MATCH(738, 輔助計算!$G$2:$G$801, 0)+1)),"0.##"),TEXT(INDEX(ERP資料!$G:$G, (MATCH(738, 輔助計算!$G$2:$G$801, 0)+1)),"0.##")&amp;"+"&amp;TEXT(INDEX(ERP資料!$G:$G, (MATCH(738, 輔助計算!$G$2:$G$801, 0)+1)),"0.##")&amp;"+"&amp;TEXT(INDEX(ERP資料!$G:$G, (MATCH(738, 輔助計算!$G$2:$G$801, 0)+1)),"0.##")))&amp;"-"&amp;INT(INDEX(輔助計算!$D:$D, (MATCH(738, 輔助計算!$G$2:$G$801, 0)+1))/IF(INDEX(ERP資料!$G:$G, (MATCH(738, 輔助計算!$G$2:$G$801, 0)+1))&lt;100, IF(INDEX(ERP資料!$G:$G, (MATCH(738, 輔助計算!$G$2:$G$801, 0)+1))&lt;=31,3,IF(INDEX(ERP資料!$G:$G, (MATCH(738, 輔助計算!$G$2:$G$801, 0)+1))&lt;=46.5,2,1)), IF(INDEX(ERP資料!$G:$G, (MATCH(738, 輔助計算!$G$2:$G$801, 0)+1))&lt;=790,3,IF(INDEX(ERP資料!$G:$G, (MATCH(738, 輔助計算!$G$2:$G$801, 0)+1))&lt;=1181,2,1)))), "")&amp;IF(AND(IF(INT(INDEX(輔助計算!$D:$D, (MATCH(738, 輔助計算!$G$2:$G$801, 0)+1))/IF(INDEX(ERP資料!$G:$G, (MATCH(738, 輔助計算!$G$2:$G$801, 0)+1))&lt;100, IF(INDEX(ERP資料!$G:$G, (MATCH(738, 輔助計算!$G$2:$G$801, 0)+1))&lt;=31,3,IF(INDEX(ERP資料!$G:$G, (MATCH(738, 輔助計算!$G$2:$G$801, 0)+1))&lt;=46.5,2,1)), IF(INDEX(ERP資料!$G:$G, (MATCH(738, 輔助計算!$G$2:$G$801, 0)+1))&lt;=790,3,IF(INDEX(ERP資料!$G:$G, (MATCH(738, 輔助計算!$G$2:$G$801, 0)+1))&lt;=1181,2,1))))&gt;0, IF(IF(INDEX(ERP資料!$G:$G, (MATCH(738, 輔助計算!$G$2:$G$801, 0)+1))&lt;100, IF(INDEX(ERP資料!$G:$G, (MATCH(738, 輔助計算!$G$2:$G$801, 0)+1))&lt;=31,3,IF(INDEX(ERP資料!$G:$G, (MATCH(738, 輔助計算!$G$2:$G$801, 0)+1))&lt;=46.5,2,1)), IF(INDEX(ERP資料!$G:$G, (MATCH(738, 輔助計算!$G$2:$G$801, 0)+1))&lt;=790,3,IF(INDEX(ERP資料!$G:$G, (MATCH(738, 輔助計算!$G$2:$G$801, 0)+1))&lt;=1181,2,1)))=1,TEXT(INDEX(ERP資料!$G:$G, (MATCH(738, 輔助計算!$G$2:$G$801, 0)+1)),"0.##"),IF(IF(INDEX(ERP資料!$G:$G, (MATCH(738, 輔助計算!$G$2:$G$801, 0)+1))&lt;100, IF(INDEX(ERP資料!$G:$G, (MATCH(738, 輔助計算!$G$2:$G$801, 0)+1))&lt;=31,3,IF(INDEX(ERP資料!$G:$G, (MATCH(738, 輔助計算!$G$2:$G$801, 0)+1))&lt;=46.5,2,1)), IF(INDEX(ERP資料!$G:$G, (MATCH(738, 輔助計算!$G$2:$G$801, 0)+1))&lt;=790,3,IF(INDEX(ERP資料!$G:$G, (MATCH(738, 輔助計算!$G$2:$G$801, 0)+1))&lt;=1181,2,1)))=2,TEXT(INDEX(ERP資料!$G:$G, (MATCH(738, 輔助計算!$G$2:$G$801, 0)+1)),"0.##")&amp;"+"&amp;TEXT(INDEX(ERP資料!$G:$G, (MATCH(738, 輔助計算!$G$2:$G$801, 0)+1)),"0.##"),TEXT(INDEX(ERP資料!$G:$G, (MATCH(738, 輔助計算!$G$2:$G$801, 0)+1)),"0.##")&amp;"+"&amp;TEXT(INDEX(ERP資料!$G:$G, (MATCH(738, 輔助計算!$G$2:$G$801, 0)+1)),"0.##")&amp;"+"&amp;TEXT(INDEX(ERP資料!$G:$G, (MATCH(738, 輔助計算!$G$2:$G$801, 0)+1)),"0.##")))&amp;"-"&amp;INT(INDEX(輔助計算!$D:$D, (MATCH(738, 輔助計算!$G$2:$G$801, 0)+1))/IF(INDEX(ERP資料!$G:$G, (MATCH(738, 輔助計算!$G$2:$G$801, 0)+1))&lt;100, IF(INDEX(ERP資料!$G:$G, (MATCH(738, 輔助計算!$G$2:$G$801, 0)+1))&lt;=31,3,IF(INDEX(ERP資料!$G:$G, (MATCH(738, 輔助計算!$G$2:$G$801, 0)+1))&lt;=46.5,2,1)), IF(INDEX(ERP資料!$G:$G, (MATCH(738, 輔助計算!$G$2:$G$801, 0)+1))&lt;=790,3,IF(INDEX(ERP資料!$G:$G, (MATCH(738, 輔助計算!$G$2:$G$801, 0)+1))&lt;=1181,2,1)))), "")&lt;&gt;"",IF(MOD(INDEX(輔助計算!$D:$D, (MATCH(738, 輔助計算!$G$2:$G$801, 0)+1)),IF(INDEX(ERP資料!$G:$G, (MATCH(738, 輔助計算!$G$2:$G$801, 0)+1))&lt;100, IF(INDEX(ERP資料!$G:$G, (MATCH(738, 輔助計算!$G$2:$G$801, 0)+1))&lt;=31,3,IF(INDEX(ERP資料!$G:$G, (MATCH(738, 輔助計算!$G$2:$G$801, 0)+1))&lt;=46.5,2,1)), IF(INDEX(ERP資料!$G:$G, (MATCH(738, 輔助計算!$G$2:$G$801, 0)+1))&lt;=790,3,IF(INDEX(ERP資料!$G:$G, (MATCH(738, 輔助計算!$G$2:$G$801, 0)+1))&lt;=1181,2,1))))=0,"",IF(MOD(INDEX(輔助計算!$D:$D, (MATCH(738, 輔助計算!$G$2:$G$801, 0)+1)),IF(INDEX(ERP資料!$G:$G, (MATCH(738, 輔助計算!$G$2:$G$801, 0)+1))&lt;100, IF(INDEX(ERP資料!$G:$G, (MATCH(738, 輔助計算!$G$2:$G$801, 0)+1))&lt;=31,3,IF(INDEX(ERP資料!$G:$G, (MATCH(738, 輔助計算!$G$2:$G$801, 0)+1))&lt;=46.5,2,1)), IF(INDEX(ERP資料!$G:$G, (MATCH(738, 輔助計算!$G$2:$G$801, 0)+1))&lt;=790,3,IF(INDEX(ERP資料!$G:$G, (MATCH(738, 輔助計算!$G$2:$G$801, 0)+1))&lt;=1181,2,1))))=0,"",IF(MOD(INDEX(輔助計算!$D:$D, (MATCH(738, 輔助計算!$G$2:$G$801, 0)+1)),IF(INDEX(ERP資料!$G:$G, (MATCH(738, 輔助計算!$G$2:$G$801, 0)+1))&lt;100, IF(INDEX(ERP資料!$G:$G, (MATCH(738, 輔助計算!$G$2:$G$801, 0)+1))&lt;=31,3,IF(INDEX(ERP資料!$G:$G, (MATCH(738, 輔助計算!$G$2:$G$801, 0)+1))&lt;=46.5,2,1)), IF(INDEX(ERP資料!$G:$G, (MATCH(738, 輔助計算!$G$2:$G$801, 0)+1))&lt;=790,3,IF(INDEX(ERP資料!$G:$G, (MATCH(738, 輔助計算!$G$2:$G$801, 0)+1))&lt;=1181,2,1))))=1,TEXT(INDEX(ERP資料!$G:$G, (MATCH(738, 輔助計算!$G$2:$G$801, 0)+1)),"0.##"),IF(MOD(INDEX(輔助計算!$D:$D, (MATCH(738, 輔助計算!$G$2:$G$801, 0)+1)),IF(INDEX(ERP資料!$G:$G, (MATCH(738, 輔助計算!$G$2:$G$801, 0)+1))&lt;100, IF(INDEX(ERP資料!$G:$G, (MATCH(738, 輔助計算!$G$2:$G$801, 0)+1))&lt;=31,3,IF(INDEX(ERP資料!$G:$G, (MATCH(738, 輔助計算!$G$2:$G$801, 0)+1))&lt;=46.5,2,1)), IF(INDEX(ERP資料!$G:$G, (MATCH(738, 輔助計算!$G$2:$G$801, 0)+1))&lt;=790,3,IF(INDEX(ERP資料!$G:$G, (MATCH(738, 輔助計算!$G$2:$G$801, 0)+1))&lt;=1181,2,1))))=2,TEXT(INDEX(ERP資料!$G:$G, (MATCH(738, 輔助計算!$G$2:$G$801, 0)+1)),"0.##")&amp;"+"&amp;TEXT(INDEX(ERP資料!$G:$G, (MATCH(738, 輔助計算!$G$2:$G$801, 0)+1)),"0.##"),TEXT(INDEX(ERP資料!$G:$G, (MATCH(738, 輔助計算!$G$2:$G$801, 0)+1)),"0.##")&amp;"+"&amp;TEXT(INDEX(ERP資料!$G:$G, (MATCH(738, 輔助計算!$G$2:$G$801, 0)+1)),"0.##")&amp;"+"&amp;TEXT(INDEX(ERP資料!$G:$G, (MATCH(738, 輔助計算!$G$2:$G$801, 0)+1)),"0.##"))))&amp;"-1")&lt;&gt;""),"  ","")&amp;IF(MOD(INDEX(輔助計算!$D:$D, (MATCH(738, 輔助計算!$G$2:$G$801, 0)+1)),IF(INDEX(ERP資料!$G:$G, (MATCH(738, 輔助計算!$G$2:$G$801, 0)+1))&lt;100, IF(INDEX(ERP資料!$G:$G, (MATCH(738, 輔助計算!$G$2:$G$801, 0)+1))&lt;=31,3,IF(INDEX(ERP資料!$G:$G, (MATCH(738, 輔助計算!$G$2:$G$801, 0)+1))&lt;=46.5,2,1)), IF(INDEX(ERP資料!$G:$G, (MATCH(738, 輔助計算!$G$2:$G$801, 0)+1))&lt;=790,3,IF(INDEX(ERP資料!$G:$G, (MATCH(738, 輔助計算!$G$2:$G$801, 0)+1))&lt;=1181,2,1))))=0,"",IF(MOD(INDEX(輔助計算!$D:$D, (MATCH(738, 輔助計算!$G$2:$G$801, 0)+1)),IF(INDEX(ERP資料!$G:$G, (MATCH(738, 輔助計算!$G$2:$G$801, 0)+1))&lt;100, IF(INDEX(ERP資料!$G:$G, (MATCH(738, 輔助計算!$G$2:$G$801, 0)+1))&lt;=31,3,IF(INDEX(ERP資料!$G:$G, (MATCH(738, 輔助計算!$G$2:$G$801, 0)+1))&lt;=46.5,2,1)), IF(INDEX(ERP資料!$G:$G, (MATCH(738, 輔助計算!$G$2:$G$801, 0)+1))&lt;=790,3,IF(INDEX(ERP資料!$G:$G, (MATCH(738, 輔助計算!$G$2:$G$801, 0)+1))&lt;=1181,2,1))))=0,"",IF(MOD(INDEX(輔助計算!$D:$D, (MATCH(738, 輔助計算!$G$2:$G$801, 0)+1)),IF(INDEX(ERP資料!$G:$G, (MATCH(738, 輔助計算!$G$2:$G$801, 0)+1))&lt;100, IF(INDEX(ERP資料!$G:$G, (MATCH(738, 輔助計算!$G$2:$G$801, 0)+1))&lt;=31,3,IF(INDEX(ERP資料!$G:$G, (MATCH(738, 輔助計算!$G$2:$G$801, 0)+1))&lt;=46.5,2,1)), IF(INDEX(ERP資料!$G:$G, (MATCH(738, 輔助計算!$G$2:$G$801, 0)+1))&lt;=790,3,IF(INDEX(ERP資料!$G:$G, (MATCH(738, 輔助計算!$G$2:$G$801, 0)+1))&lt;=1181,2,1))))=1,TEXT(INDEX(ERP資料!$G:$G, (MATCH(738, 輔助計算!$G$2:$G$801, 0)+1)),"0.##"),IF(MOD(INDEX(輔助計算!$D:$D, (MATCH(738, 輔助計算!$G$2:$G$801, 0)+1)),IF(INDEX(ERP資料!$G:$G, (MATCH(738, 輔助計算!$G$2:$G$801, 0)+1))&lt;100, IF(INDEX(ERP資料!$G:$G, (MATCH(738, 輔助計算!$G$2:$G$801, 0)+1))&lt;=31,3,IF(INDEX(ERP資料!$G:$G, (MATCH(738, 輔助計算!$G$2:$G$801, 0)+1))&lt;=46.5,2,1)), IF(INDEX(ERP資料!$G:$G, (MATCH(738, 輔助計算!$G$2:$G$801, 0)+1))&lt;=790,3,IF(INDEX(ERP資料!$G:$G, (MATCH(738, 輔助計算!$G$2:$G$801, 0)+1))&lt;=1181,2,1))))=2,TEXT(INDEX(ERP資料!$G:$G, (MATCH(738, 輔助計算!$G$2:$G$801, 0)+1)),"0.##")&amp;"+"&amp;TEXT(INDEX(ERP資料!$G:$G, (MATCH(738, 輔助計算!$G$2:$G$801, 0)+1)),"0.##"),TEXT(INDEX(ERP資料!$G:$G, (MATCH(738, 輔助計算!$G$2:$G$801, 0)+1)),"0.##")&amp;"+"&amp;TEXT(INDEX(ERP資料!$G:$G, (MATCH(738, 輔助計算!$G$2:$G$801, 0)+1)),"0.##")&amp;"+"&amp;TEXT(INDEX(ERP資料!$G:$G, (MATCH(738, 輔助計算!$G$2:$G$801, 0)+1)),"0.##"))))&amp;"-1")), ""), "")</f>
        <v/>
      </c>
      <c r="K739" s="16" t="n"/>
      <c r="L739" s="14">
        <f>IFERROR(IF(AND(IFERROR(INDEX(ERP資料!$A:$A, (MATCH(738, 輔助計算!$G$2:$G$801, 0)+1)), "")&lt;&gt;"", IFERROR(INDEX(ERP資料!$A:$A, (MATCH(738, 輔助計算!$G$2:$G$801, 0)+1)), "")&lt;&gt;IFERROR(INDEX(ERP資料!$A:$A, MATCH(737, 輔助計算!$G$2:$G$801, 0)+1), "")), INDEX(ERP資料!$B:$B, (MATCH(738, 輔助計算!$G$2:$G$801, 0)+1)), ""), "")</f>
        <v/>
      </c>
      <c r="M739" s="17" t="n"/>
    </row>
    <row r="740">
      <c r="A740" s="10">
        <f>IFERROR(IF(AND(IFERROR(INDEX(ERP資料!$A:$A, (MATCH(739, 輔助計算!$G$2:$G$801, 0)+1)), "")&lt;&gt;"", IFERROR(INDEX(ERP資料!$A:$A, (MATCH(739, 輔助計算!$G$2:$G$801, 0)+1)), "")&lt;&gt;IFERROR(INDEX(ERP資料!$A:$A, MATCH(738, 輔助計算!$G$2:$G$801, 0)+1), "")), IFERROR(INDEX(ERP資料!$A:$A, (MATCH(739, 輔助計算!$G$2:$G$801, 0)+1)), ""), ""), "")</f>
        <v/>
      </c>
      <c r="B740" s="10">
        <f>IFERROR(IF(AND(IFERROR(INDEX(ERP資料!$A:$A, (MATCH(739, 輔助計算!$G$2:$G$801, 0)+1)), "")&lt;&gt;"", IFERROR(INDEX(ERP資料!$A:$A, (MATCH(739, 輔助計算!$G$2:$G$801, 0)+1)), "")&lt;&gt;IFERROR(INDEX(ERP資料!$A:$A, MATCH(738, 輔助計算!$G$2:$G$801, 0)+1), "")), INDEX(ERP資料!$S:$S, (MATCH(739, 輔助計算!$G$2:$G$801, 0)+1)), ""), "")</f>
        <v/>
      </c>
      <c r="C740" s="19">
        <f>IFERROR(IF(AND(IFERROR(INDEX(ERP資料!$A:$A, (MATCH(739, 輔助計算!$G$2:$G$801, 0)+1)), "")&lt;&gt;"", IFERROR(INDEX(ERP資料!$A:$A, (MATCH(739, 輔助計算!$G$2:$G$801, 0)+1)), "")&lt;&gt;IFERROR(INDEX(ERP資料!$A:$A, MATCH(738, 輔助計算!$G$2:$G$801, 0)+1), "")), IFERROR(VLOOKUP(LEFT(INDEX(ERP資料!$S:$S, (MATCH(739, 輔助計算!$G$2:$G$801, 0)+1)), 4), 紙管對照表!$A:$C, 3, FALSE), ""), ""), "")</f>
        <v/>
      </c>
      <c r="D740" s="16" t="n"/>
      <c r="E740" s="10">
        <f>IFERROR(IF(INDEX(ERP資料!$H:$H, (MATCH(739, 輔助計算!$G$2:$G$801, 0)+1))="","",INDEX(ERP資料!$H:$H, (MATCH(739, 輔助計算!$G$2:$G$801, 0)+1))), "")</f>
        <v/>
      </c>
      <c r="F740" s="10">
        <f>IFERROR(IF(INDEX(ERP資料!$E:$E, (MATCH(739, 輔助計算!$G$2:$G$801, 0)+1))="","",TRIM(INDEX(ERP資料!$E:$E, (MATCH(739, 輔助計算!$G$2:$G$801, 0)+1)))), "")</f>
        <v/>
      </c>
      <c r="G740" s="10">
        <f>IFERROR(IF(INDEX(ERP資料!$F:$F, (MATCH(739, 輔助計算!$G$2:$G$801, 0)+1))="","",INDEX(ERP資料!$F:$F, (MATCH(739, 輔助計算!$G$2:$G$801, 0)+1))), "")</f>
        <v/>
      </c>
      <c r="H740" s="10">
        <f>IFERROR(IF(INDEX(ERP資料!$G:$G, (MATCH(739, 輔助計算!$G$2:$G$801, 0)+1))="","",INDEX(ERP資料!$G:$G, (MATCH(739, 輔助計算!$G$2:$G$801, 0)+1))), "")</f>
        <v/>
      </c>
      <c r="I740" s="15">
        <f>IFERROR(INDEX(輔助計算!$D:$D, (MATCH(739, 輔助計算!$G$2:$G$801, 0)+1)), "")</f>
        <v/>
      </c>
      <c r="J740" s="15">
        <f>IFERROR(IF(AND(INDEX(輔助計算!$D:$D, (MATCH(739, 輔助計算!$G$2:$G$801, 0)+1))&lt;&gt;"", INDEX(ERP資料!$G:$G, (MATCH(739, 輔助計算!$G$2:$G$801, 0)+1))&lt;&gt;""), TRIM(IF(INT(INDEX(輔助計算!$D:$D, (MATCH(739, 輔助計算!$G$2:$G$801, 0)+1))/IF(INDEX(ERP資料!$G:$G, (MATCH(739, 輔助計算!$G$2:$G$801, 0)+1))&lt;100, IF(INDEX(ERP資料!$G:$G, (MATCH(739, 輔助計算!$G$2:$G$801, 0)+1))&lt;=31,3,IF(INDEX(ERP資料!$G:$G, (MATCH(739, 輔助計算!$G$2:$G$801, 0)+1))&lt;=46.5,2,1)), IF(INDEX(ERP資料!$G:$G, (MATCH(739, 輔助計算!$G$2:$G$801, 0)+1))&lt;=790,3,IF(INDEX(ERP資料!$G:$G, (MATCH(739, 輔助計算!$G$2:$G$801, 0)+1))&lt;=1181,2,1))))&gt;0, IF(IF(INDEX(ERP資料!$G:$G, (MATCH(739, 輔助計算!$G$2:$G$801, 0)+1))&lt;100, IF(INDEX(ERP資料!$G:$G, (MATCH(739, 輔助計算!$G$2:$G$801, 0)+1))&lt;=31,3,IF(INDEX(ERP資料!$G:$G, (MATCH(739, 輔助計算!$G$2:$G$801, 0)+1))&lt;=46.5,2,1)), IF(INDEX(ERP資料!$G:$G, (MATCH(739, 輔助計算!$G$2:$G$801, 0)+1))&lt;=790,3,IF(INDEX(ERP資料!$G:$G, (MATCH(739, 輔助計算!$G$2:$G$801, 0)+1))&lt;=1181,2,1)))=1,TEXT(INDEX(ERP資料!$G:$G, (MATCH(739, 輔助計算!$G$2:$G$801, 0)+1)),"0.##"),IF(IF(INDEX(ERP資料!$G:$G, (MATCH(739, 輔助計算!$G$2:$G$801, 0)+1))&lt;100, IF(INDEX(ERP資料!$G:$G, (MATCH(739, 輔助計算!$G$2:$G$801, 0)+1))&lt;=31,3,IF(INDEX(ERP資料!$G:$G, (MATCH(739, 輔助計算!$G$2:$G$801, 0)+1))&lt;=46.5,2,1)), IF(INDEX(ERP資料!$G:$G, (MATCH(739, 輔助計算!$G$2:$G$801, 0)+1))&lt;=790,3,IF(INDEX(ERP資料!$G:$G, (MATCH(739, 輔助計算!$G$2:$G$801, 0)+1))&lt;=1181,2,1)))=2,TEXT(INDEX(ERP資料!$G:$G, (MATCH(739, 輔助計算!$G$2:$G$801, 0)+1)),"0.##")&amp;"+"&amp;TEXT(INDEX(ERP資料!$G:$G, (MATCH(739, 輔助計算!$G$2:$G$801, 0)+1)),"0.##"),TEXT(INDEX(ERP資料!$G:$G, (MATCH(739, 輔助計算!$G$2:$G$801, 0)+1)),"0.##")&amp;"+"&amp;TEXT(INDEX(ERP資料!$G:$G, (MATCH(739, 輔助計算!$G$2:$G$801, 0)+1)),"0.##")&amp;"+"&amp;TEXT(INDEX(ERP資料!$G:$G, (MATCH(739, 輔助計算!$G$2:$G$801, 0)+1)),"0.##")))&amp;"-"&amp;INT(INDEX(輔助計算!$D:$D, (MATCH(739, 輔助計算!$G$2:$G$801, 0)+1))/IF(INDEX(ERP資料!$G:$G, (MATCH(739, 輔助計算!$G$2:$G$801, 0)+1))&lt;100, IF(INDEX(ERP資料!$G:$G, (MATCH(739, 輔助計算!$G$2:$G$801, 0)+1))&lt;=31,3,IF(INDEX(ERP資料!$G:$G, (MATCH(739, 輔助計算!$G$2:$G$801, 0)+1))&lt;=46.5,2,1)), IF(INDEX(ERP資料!$G:$G, (MATCH(739, 輔助計算!$G$2:$G$801, 0)+1))&lt;=790,3,IF(INDEX(ERP資料!$G:$G, (MATCH(739, 輔助計算!$G$2:$G$801, 0)+1))&lt;=1181,2,1)))), "")&amp;IF(AND(IF(INT(INDEX(輔助計算!$D:$D, (MATCH(739, 輔助計算!$G$2:$G$801, 0)+1))/IF(INDEX(ERP資料!$G:$G, (MATCH(739, 輔助計算!$G$2:$G$801, 0)+1))&lt;100, IF(INDEX(ERP資料!$G:$G, (MATCH(739, 輔助計算!$G$2:$G$801, 0)+1))&lt;=31,3,IF(INDEX(ERP資料!$G:$G, (MATCH(739, 輔助計算!$G$2:$G$801, 0)+1))&lt;=46.5,2,1)), IF(INDEX(ERP資料!$G:$G, (MATCH(739, 輔助計算!$G$2:$G$801, 0)+1))&lt;=790,3,IF(INDEX(ERP資料!$G:$G, (MATCH(739, 輔助計算!$G$2:$G$801, 0)+1))&lt;=1181,2,1))))&gt;0, IF(IF(INDEX(ERP資料!$G:$G, (MATCH(739, 輔助計算!$G$2:$G$801, 0)+1))&lt;100, IF(INDEX(ERP資料!$G:$G, (MATCH(739, 輔助計算!$G$2:$G$801, 0)+1))&lt;=31,3,IF(INDEX(ERP資料!$G:$G, (MATCH(739, 輔助計算!$G$2:$G$801, 0)+1))&lt;=46.5,2,1)), IF(INDEX(ERP資料!$G:$G, (MATCH(739, 輔助計算!$G$2:$G$801, 0)+1))&lt;=790,3,IF(INDEX(ERP資料!$G:$G, (MATCH(739, 輔助計算!$G$2:$G$801, 0)+1))&lt;=1181,2,1)))=1,TEXT(INDEX(ERP資料!$G:$G, (MATCH(739, 輔助計算!$G$2:$G$801, 0)+1)),"0.##"),IF(IF(INDEX(ERP資料!$G:$G, (MATCH(739, 輔助計算!$G$2:$G$801, 0)+1))&lt;100, IF(INDEX(ERP資料!$G:$G, (MATCH(739, 輔助計算!$G$2:$G$801, 0)+1))&lt;=31,3,IF(INDEX(ERP資料!$G:$G, (MATCH(739, 輔助計算!$G$2:$G$801, 0)+1))&lt;=46.5,2,1)), IF(INDEX(ERP資料!$G:$G, (MATCH(739, 輔助計算!$G$2:$G$801, 0)+1))&lt;=790,3,IF(INDEX(ERP資料!$G:$G, (MATCH(739, 輔助計算!$G$2:$G$801, 0)+1))&lt;=1181,2,1)))=2,TEXT(INDEX(ERP資料!$G:$G, (MATCH(739, 輔助計算!$G$2:$G$801, 0)+1)),"0.##")&amp;"+"&amp;TEXT(INDEX(ERP資料!$G:$G, (MATCH(739, 輔助計算!$G$2:$G$801, 0)+1)),"0.##"),TEXT(INDEX(ERP資料!$G:$G, (MATCH(739, 輔助計算!$G$2:$G$801, 0)+1)),"0.##")&amp;"+"&amp;TEXT(INDEX(ERP資料!$G:$G, (MATCH(739, 輔助計算!$G$2:$G$801, 0)+1)),"0.##")&amp;"+"&amp;TEXT(INDEX(ERP資料!$G:$G, (MATCH(739, 輔助計算!$G$2:$G$801, 0)+1)),"0.##")))&amp;"-"&amp;INT(INDEX(輔助計算!$D:$D, (MATCH(739, 輔助計算!$G$2:$G$801, 0)+1))/IF(INDEX(ERP資料!$G:$G, (MATCH(739, 輔助計算!$G$2:$G$801, 0)+1))&lt;100, IF(INDEX(ERP資料!$G:$G, (MATCH(739, 輔助計算!$G$2:$G$801, 0)+1))&lt;=31,3,IF(INDEX(ERP資料!$G:$G, (MATCH(739, 輔助計算!$G$2:$G$801, 0)+1))&lt;=46.5,2,1)), IF(INDEX(ERP資料!$G:$G, (MATCH(739, 輔助計算!$G$2:$G$801, 0)+1))&lt;=790,3,IF(INDEX(ERP資料!$G:$G, (MATCH(739, 輔助計算!$G$2:$G$801, 0)+1))&lt;=1181,2,1)))), "")&lt;&gt;"",IF(MOD(INDEX(輔助計算!$D:$D, (MATCH(739, 輔助計算!$G$2:$G$801, 0)+1)),IF(INDEX(ERP資料!$G:$G, (MATCH(739, 輔助計算!$G$2:$G$801, 0)+1))&lt;100, IF(INDEX(ERP資料!$G:$G, (MATCH(739, 輔助計算!$G$2:$G$801, 0)+1))&lt;=31,3,IF(INDEX(ERP資料!$G:$G, (MATCH(739, 輔助計算!$G$2:$G$801, 0)+1))&lt;=46.5,2,1)), IF(INDEX(ERP資料!$G:$G, (MATCH(739, 輔助計算!$G$2:$G$801, 0)+1))&lt;=790,3,IF(INDEX(ERP資料!$G:$G, (MATCH(739, 輔助計算!$G$2:$G$801, 0)+1))&lt;=1181,2,1))))=0,"",IF(MOD(INDEX(輔助計算!$D:$D, (MATCH(739, 輔助計算!$G$2:$G$801, 0)+1)),IF(INDEX(ERP資料!$G:$G, (MATCH(739, 輔助計算!$G$2:$G$801, 0)+1))&lt;100, IF(INDEX(ERP資料!$G:$G, (MATCH(739, 輔助計算!$G$2:$G$801, 0)+1))&lt;=31,3,IF(INDEX(ERP資料!$G:$G, (MATCH(739, 輔助計算!$G$2:$G$801, 0)+1))&lt;=46.5,2,1)), IF(INDEX(ERP資料!$G:$G, (MATCH(739, 輔助計算!$G$2:$G$801, 0)+1))&lt;=790,3,IF(INDEX(ERP資料!$G:$G, (MATCH(739, 輔助計算!$G$2:$G$801, 0)+1))&lt;=1181,2,1))))=0,"",IF(MOD(INDEX(輔助計算!$D:$D, (MATCH(739, 輔助計算!$G$2:$G$801, 0)+1)),IF(INDEX(ERP資料!$G:$G, (MATCH(739, 輔助計算!$G$2:$G$801, 0)+1))&lt;100, IF(INDEX(ERP資料!$G:$G, (MATCH(739, 輔助計算!$G$2:$G$801, 0)+1))&lt;=31,3,IF(INDEX(ERP資料!$G:$G, (MATCH(739, 輔助計算!$G$2:$G$801, 0)+1))&lt;=46.5,2,1)), IF(INDEX(ERP資料!$G:$G, (MATCH(739, 輔助計算!$G$2:$G$801, 0)+1))&lt;=790,3,IF(INDEX(ERP資料!$G:$G, (MATCH(739, 輔助計算!$G$2:$G$801, 0)+1))&lt;=1181,2,1))))=1,TEXT(INDEX(ERP資料!$G:$G, (MATCH(739, 輔助計算!$G$2:$G$801, 0)+1)),"0.##"),IF(MOD(INDEX(輔助計算!$D:$D, (MATCH(739, 輔助計算!$G$2:$G$801, 0)+1)),IF(INDEX(ERP資料!$G:$G, (MATCH(739, 輔助計算!$G$2:$G$801, 0)+1))&lt;100, IF(INDEX(ERP資料!$G:$G, (MATCH(739, 輔助計算!$G$2:$G$801, 0)+1))&lt;=31,3,IF(INDEX(ERP資料!$G:$G, (MATCH(739, 輔助計算!$G$2:$G$801, 0)+1))&lt;=46.5,2,1)), IF(INDEX(ERP資料!$G:$G, (MATCH(739, 輔助計算!$G$2:$G$801, 0)+1))&lt;=790,3,IF(INDEX(ERP資料!$G:$G, (MATCH(739, 輔助計算!$G$2:$G$801, 0)+1))&lt;=1181,2,1))))=2,TEXT(INDEX(ERP資料!$G:$G, (MATCH(739, 輔助計算!$G$2:$G$801, 0)+1)),"0.##")&amp;"+"&amp;TEXT(INDEX(ERP資料!$G:$G, (MATCH(739, 輔助計算!$G$2:$G$801, 0)+1)),"0.##"),TEXT(INDEX(ERP資料!$G:$G, (MATCH(739, 輔助計算!$G$2:$G$801, 0)+1)),"0.##")&amp;"+"&amp;TEXT(INDEX(ERP資料!$G:$G, (MATCH(739, 輔助計算!$G$2:$G$801, 0)+1)),"0.##")&amp;"+"&amp;TEXT(INDEX(ERP資料!$G:$G, (MATCH(739, 輔助計算!$G$2:$G$801, 0)+1)),"0.##"))))&amp;"-1")&lt;&gt;""),"  ","")&amp;IF(MOD(INDEX(輔助計算!$D:$D, (MATCH(739, 輔助計算!$G$2:$G$801, 0)+1)),IF(INDEX(ERP資料!$G:$G, (MATCH(739, 輔助計算!$G$2:$G$801, 0)+1))&lt;100, IF(INDEX(ERP資料!$G:$G, (MATCH(739, 輔助計算!$G$2:$G$801, 0)+1))&lt;=31,3,IF(INDEX(ERP資料!$G:$G, (MATCH(739, 輔助計算!$G$2:$G$801, 0)+1))&lt;=46.5,2,1)), IF(INDEX(ERP資料!$G:$G, (MATCH(739, 輔助計算!$G$2:$G$801, 0)+1))&lt;=790,3,IF(INDEX(ERP資料!$G:$G, (MATCH(739, 輔助計算!$G$2:$G$801, 0)+1))&lt;=1181,2,1))))=0,"",IF(MOD(INDEX(輔助計算!$D:$D, (MATCH(739, 輔助計算!$G$2:$G$801, 0)+1)),IF(INDEX(ERP資料!$G:$G, (MATCH(739, 輔助計算!$G$2:$G$801, 0)+1))&lt;100, IF(INDEX(ERP資料!$G:$G, (MATCH(739, 輔助計算!$G$2:$G$801, 0)+1))&lt;=31,3,IF(INDEX(ERP資料!$G:$G, (MATCH(739, 輔助計算!$G$2:$G$801, 0)+1))&lt;=46.5,2,1)), IF(INDEX(ERP資料!$G:$G, (MATCH(739, 輔助計算!$G$2:$G$801, 0)+1))&lt;=790,3,IF(INDEX(ERP資料!$G:$G, (MATCH(739, 輔助計算!$G$2:$G$801, 0)+1))&lt;=1181,2,1))))=0,"",IF(MOD(INDEX(輔助計算!$D:$D, (MATCH(739, 輔助計算!$G$2:$G$801, 0)+1)),IF(INDEX(ERP資料!$G:$G, (MATCH(739, 輔助計算!$G$2:$G$801, 0)+1))&lt;100, IF(INDEX(ERP資料!$G:$G, (MATCH(739, 輔助計算!$G$2:$G$801, 0)+1))&lt;=31,3,IF(INDEX(ERP資料!$G:$G, (MATCH(739, 輔助計算!$G$2:$G$801, 0)+1))&lt;=46.5,2,1)), IF(INDEX(ERP資料!$G:$G, (MATCH(739, 輔助計算!$G$2:$G$801, 0)+1))&lt;=790,3,IF(INDEX(ERP資料!$G:$G, (MATCH(739, 輔助計算!$G$2:$G$801, 0)+1))&lt;=1181,2,1))))=1,TEXT(INDEX(ERP資料!$G:$G, (MATCH(739, 輔助計算!$G$2:$G$801, 0)+1)),"0.##"),IF(MOD(INDEX(輔助計算!$D:$D, (MATCH(739, 輔助計算!$G$2:$G$801, 0)+1)),IF(INDEX(ERP資料!$G:$G, (MATCH(739, 輔助計算!$G$2:$G$801, 0)+1))&lt;100, IF(INDEX(ERP資料!$G:$G, (MATCH(739, 輔助計算!$G$2:$G$801, 0)+1))&lt;=31,3,IF(INDEX(ERP資料!$G:$G, (MATCH(739, 輔助計算!$G$2:$G$801, 0)+1))&lt;=46.5,2,1)), IF(INDEX(ERP資料!$G:$G, (MATCH(739, 輔助計算!$G$2:$G$801, 0)+1))&lt;=790,3,IF(INDEX(ERP資料!$G:$G, (MATCH(739, 輔助計算!$G$2:$G$801, 0)+1))&lt;=1181,2,1))))=2,TEXT(INDEX(ERP資料!$G:$G, (MATCH(739, 輔助計算!$G$2:$G$801, 0)+1)),"0.##")&amp;"+"&amp;TEXT(INDEX(ERP資料!$G:$G, (MATCH(739, 輔助計算!$G$2:$G$801, 0)+1)),"0.##"),TEXT(INDEX(ERP資料!$G:$G, (MATCH(739, 輔助計算!$G$2:$G$801, 0)+1)),"0.##")&amp;"+"&amp;TEXT(INDEX(ERP資料!$G:$G, (MATCH(739, 輔助計算!$G$2:$G$801, 0)+1)),"0.##")&amp;"+"&amp;TEXT(INDEX(ERP資料!$G:$G, (MATCH(739, 輔助計算!$G$2:$G$801, 0)+1)),"0.##"))))&amp;"-1")), ""), "")</f>
        <v/>
      </c>
      <c r="K740" s="16" t="n"/>
      <c r="L740" s="14">
        <f>IFERROR(IF(AND(IFERROR(INDEX(ERP資料!$A:$A, (MATCH(739, 輔助計算!$G$2:$G$801, 0)+1)), "")&lt;&gt;"", IFERROR(INDEX(ERP資料!$A:$A, (MATCH(739, 輔助計算!$G$2:$G$801, 0)+1)), "")&lt;&gt;IFERROR(INDEX(ERP資料!$A:$A, MATCH(738, 輔助計算!$G$2:$G$801, 0)+1), "")), INDEX(ERP資料!$B:$B, (MATCH(739, 輔助計算!$G$2:$G$801, 0)+1)), ""), "")</f>
        <v/>
      </c>
      <c r="M740" s="17" t="n"/>
    </row>
    <row r="741">
      <c r="A741" s="10">
        <f>IFERROR(IF(AND(IFERROR(INDEX(ERP資料!$A:$A, (MATCH(740, 輔助計算!$G$2:$G$801, 0)+1)), "")&lt;&gt;"", IFERROR(INDEX(ERP資料!$A:$A, (MATCH(740, 輔助計算!$G$2:$G$801, 0)+1)), "")&lt;&gt;IFERROR(INDEX(ERP資料!$A:$A, MATCH(739, 輔助計算!$G$2:$G$801, 0)+1), "")), IFERROR(INDEX(ERP資料!$A:$A, (MATCH(740, 輔助計算!$G$2:$G$801, 0)+1)), ""), ""), "")</f>
        <v/>
      </c>
      <c r="B741" s="10">
        <f>IFERROR(IF(AND(IFERROR(INDEX(ERP資料!$A:$A, (MATCH(740, 輔助計算!$G$2:$G$801, 0)+1)), "")&lt;&gt;"", IFERROR(INDEX(ERP資料!$A:$A, (MATCH(740, 輔助計算!$G$2:$G$801, 0)+1)), "")&lt;&gt;IFERROR(INDEX(ERP資料!$A:$A, MATCH(739, 輔助計算!$G$2:$G$801, 0)+1), "")), INDEX(ERP資料!$S:$S, (MATCH(740, 輔助計算!$G$2:$G$801, 0)+1)), ""), "")</f>
        <v/>
      </c>
      <c r="C741" s="19">
        <f>IFERROR(IF(AND(IFERROR(INDEX(ERP資料!$A:$A, (MATCH(740, 輔助計算!$G$2:$G$801, 0)+1)), "")&lt;&gt;"", IFERROR(INDEX(ERP資料!$A:$A, (MATCH(740, 輔助計算!$G$2:$G$801, 0)+1)), "")&lt;&gt;IFERROR(INDEX(ERP資料!$A:$A, MATCH(739, 輔助計算!$G$2:$G$801, 0)+1), "")), IFERROR(VLOOKUP(LEFT(INDEX(ERP資料!$S:$S, (MATCH(740, 輔助計算!$G$2:$G$801, 0)+1)), 4), 紙管對照表!$A:$C, 3, FALSE), ""), ""), "")</f>
        <v/>
      </c>
      <c r="D741" s="16" t="n"/>
      <c r="E741" s="10">
        <f>IFERROR(IF(INDEX(ERP資料!$H:$H, (MATCH(740, 輔助計算!$G$2:$G$801, 0)+1))="","",INDEX(ERP資料!$H:$H, (MATCH(740, 輔助計算!$G$2:$G$801, 0)+1))), "")</f>
        <v/>
      </c>
      <c r="F741" s="10">
        <f>IFERROR(IF(INDEX(ERP資料!$E:$E, (MATCH(740, 輔助計算!$G$2:$G$801, 0)+1))="","",TRIM(INDEX(ERP資料!$E:$E, (MATCH(740, 輔助計算!$G$2:$G$801, 0)+1)))), "")</f>
        <v/>
      </c>
      <c r="G741" s="10">
        <f>IFERROR(IF(INDEX(ERP資料!$F:$F, (MATCH(740, 輔助計算!$G$2:$G$801, 0)+1))="","",INDEX(ERP資料!$F:$F, (MATCH(740, 輔助計算!$G$2:$G$801, 0)+1))), "")</f>
        <v/>
      </c>
      <c r="H741" s="10">
        <f>IFERROR(IF(INDEX(ERP資料!$G:$G, (MATCH(740, 輔助計算!$G$2:$G$801, 0)+1))="","",INDEX(ERP資料!$G:$G, (MATCH(740, 輔助計算!$G$2:$G$801, 0)+1))), "")</f>
        <v/>
      </c>
      <c r="I741" s="15">
        <f>IFERROR(INDEX(輔助計算!$D:$D, (MATCH(740, 輔助計算!$G$2:$G$801, 0)+1)), "")</f>
        <v/>
      </c>
      <c r="J741" s="15">
        <f>IFERROR(IF(AND(INDEX(輔助計算!$D:$D, (MATCH(740, 輔助計算!$G$2:$G$801, 0)+1))&lt;&gt;"", INDEX(ERP資料!$G:$G, (MATCH(740, 輔助計算!$G$2:$G$801, 0)+1))&lt;&gt;""), TRIM(IF(INT(INDEX(輔助計算!$D:$D, (MATCH(740, 輔助計算!$G$2:$G$801, 0)+1))/IF(INDEX(ERP資料!$G:$G, (MATCH(740, 輔助計算!$G$2:$G$801, 0)+1))&lt;100, IF(INDEX(ERP資料!$G:$G, (MATCH(740, 輔助計算!$G$2:$G$801, 0)+1))&lt;=31,3,IF(INDEX(ERP資料!$G:$G, (MATCH(740, 輔助計算!$G$2:$G$801, 0)+1))&lt;=46.5,2,1)), IF(INDEX(ERP資料!$G:$G, (MATCH(740, 輔助計算!$G$2:$G$801, 0)+1))&lt;=790,3,IF(INDEX(ERP資料!$G:$G, (MATCH(740, 輔助計算!$G$2:$G$801, 0)+1))&lt;=1181,2,1))))&gt;0, IF(IF(INDEX(ERP資料!$G:$G, (MATCH(740, 輔助計算!$G$2:$G$801, 0)+1))&lt;100, IF(INDEX(ERP資料!$G:$G, (MATCH(740, 輔助計算!$G$2:$G$801, 0)+1))&lt;=31,3,IF(INDEX(ERP資料!$G:$G, (MATCH(740, 輔助計算!$G$2:$G$801, 0)+1))&lt;=46.5,2,1)), IF(INDEX(ERP資料!$G:$G, (MATCH(740, 輔助計算!$G$2:$G$801, 0)+1))&lt;=790,3,IF(INDEX(ERP資料!$G:$G, (MATCH(740, 輔助計算!$G$2:$G$801, 0)+1))&lt;=1181,2,1)))=1,TEXT(INDEX(ERP資料!$G:$G, (MATCH(740, 輔助計算!$G$2:$G$801, 0)+1)),"0.##"),IF(IF(INDEX(ERP資料!$G:$G, (MATCH(740, 輔助計算!$G$2:$G$801, 0)+1))&lt;100, IF(INDEX(ERP資料!$G:$G, (MATCH(740, 輔助計算!$G$2:$G$801, 0)+1))&lt;=31,3,IF(INDEX(ERP資料!$G:$G, (MATCH(740, 輔助計算!$G$2:$G$801, 0)+1))&lt;=46.5,2,1)), IF(INDEX(ERP資料!$G:$G, (MATCH(740, 輔助計算!$G$2:$G$801, 0)+1))&lt;=790,3,IF(INDEX(ERP資料!$G:$G, (MATCH(740, 輔助計算!$G$2:$G$801, 0)+1))&lt;=1181,2,1)))=2,TEXT(INDEX(ERP資料!$G:$G, (MATCH(740, 輔助計算!$G$2:$G$801, 0)+1)),"0.##")&amp;"+"&amp;TEXT(INDEX(ERP資料!$G:$G, (MATCH(740, 輔助計算!$G$2:$G$801, 0)+1)),"0.##"),TEXT(INDEX(ERP資料!$G:$G, (MATCH(740, 輔助計算!$G$2:$G$801, 0)+1)),"0.##")&amp;"+"&amp;TEXT(INDEX(ERP資料!$G:$G, (MATCH(740, 輔助計算!$G$2:$G$801, 0)+1)),"0.##")&amp;"+"&amp;TEXT(INDEX(ERP資料!$G:$G, (MATCH(740, 輔助計算!$G$2:$G$801, 0)+1)),"0.##")))&amp;"-"&amp;INT(INDEX(輔助計算!$D:$D, (MATCH(740, 輔助計算!$G$2:$G$801, 0)+1))/IF(INDEX(ERP資料!$G:$G, (MATCH(740, 輔助計算!$G$2:$G$801, 0)+1))&lt;100, IF(INDEX(ERP資料!$G:$G, (MATCH(740, 輔助計算!$G$2:$G$801, 0)+1))&lt;=31,3,IF(INDEX(ERP資料!$G:$G, (MATCH(740, 輔助計算!$G$2:$G$801, 0)+1))&lt;=46.5,2,1)), IF(INDEX(ERP資料!$G:$G, (MATCH(740, 輔助計算!$G$2:$G$801, 0)+1))&lt;=790,3,IF(INDEX(ERP資料!$G:$G, (MATCH(740, 輔助計算!$G$2:$G$801, 0)+1))&lt;=1181,2,1)))), "")&amp;IF(AND(IF(INT(INDEX(輔助計算!$D:$D, (MATCH(740, 輔助計算!$G$2:$G$801, 0)+1))/IF(INDEX(ERP資料!$G:$G, (MATCH(740, 輔助計算!$G$2:$G$801, 0)+1))&lt;100, IF(INDEX(ERP資料!$G:$G, (MATCH(740, 輔助計算!$G$2:$G$801, 0)+1))&lt;=31,3,IF(INDEX(ERP資料!$G:$G, (MATCH(740, 輔助計算!$G$2:$G$801, 0)+1))&lt;=46.5,2,1)), IF(INDEX(ERP資料!$G:$G, (MATCH(740, 輔助計算!$G$2:$G$801, 0)+1))&lt;=790,3,IF(INDEX(ERP資料!$G:$G, (MATCH(740, 輔助計算!$G$2:$G$801, 0)+1))&lt;=1181,2,1))))&gt;0, IF(IF(INDEX(ERP資料!$G:$G, (MATCH(740, 輔助計算!$G$2:$G$801, 0)+1))&lt;100, IF(INDEX(ERP資料!$G:$G, (MATCH(740, 輔助計算!$G$2:$G$801, 0)+1))&lt;=31,3,IF(INDEX(ERP資料!$G:$G, (MATCH(740, 輔助計算!$G$2:$G$801, 0)+1))&lt;=46.5,2,1)), IF(INDEX(ERP資料!$G:$G, (MATCH(740, 輔助計算!$G$2:$G$801, 0)+1))&lt;=790,3,IF(INDEX(ERP資料!$G:$G, (MATCH(740, 輔助計算!$G$2:$G$801, 0)+1))&lt;=1181,2,1)))=1,TEXT(INDEX(ERP資料!$G:$G, (MATCH(740, 輔助計算!$G$2:$G$801, 0)+1)),"0.##"),IF(IF(INDEX(ERP資料!$G:$G, (MATCH(740, 輔助計算!$G$2:$G$801, 0)+1))&lt;100, IF(INDEX(ERP資料!$G:$G, (MATCH(740, 輔助計算!$G$2:$G$801, 0)+1))&lt;=31,3,IF(INDEX(ERP資料!$G:$G, (MATCH(740, 輔助計算!$G$2:$G$801, 0)+1))&lt;=46.5,2,1)), IF(INDEX(ERP資料!$G:$G, (MATCH(740, 輔助計算!$G$2:$G$801, 0)+1))&lt;=790,3,IF(INDEX(ERP資料!$G:$G, (MATCH(740, 輔助計算!$G$2:$G$801, 0)+1))&lt;=1181,2,1)))=2,TEXT(INDEX(ERP資料!$G:$G, (MATCH(740, 輔助計算!$G$2:$G$801, 0)+1)),"0.##")&amp;"+"&amp;TEXT(INDEX(ERP資料!$G:$G, (MATCH(740, 輔助計算!$G$2:$G$801, 0)+1)),"0.##"),TEXT(INDEX(ERP資料!$G:$G, (MATCH(740, 輔助計算!$G$2:$G$801, 0)+1)),"0.##")&amp;"+"&amp;TEXT(INDEX(ERP資料!$G:$G, (MATCH(740, 輔助計算!$G$2:$G$801, 0)+1)),"0.##")&amp;"+"&amp;TEXT(INDEX(ERP資料!$G:$G, (MATCH(740, 輔助計算!$G$2:$G$801, 0)+1)),"0.##")))&amp;"-"&amp;INT(INDEX(輔助計算!$D:$D, (MATCH(740, 輔助計算!$G$2:$G$801, 0)+1))/IF(INDEX(ERP資料!$G:$G, (MATCH(740, 輔助計算!$G$2:$G$801, 0)+1))&lt;100, IF(INDEX(ERP資料!$G:$G, (MATCH(740, 輔助計算!$G$2:$G$801, 0)+1))&lt;=31,3,IF(INDEX(ERP資料!$G:$G, (MATCH(740, 輔助計算!$G$2:$G$801, 0)+1))&lt;=46.5,2,1)), IF(INDEX(ERP資料!$G:$G, (MATCH(740, 輔助計算!$G$2:$G$801, 0)+1))&lt;=790,3,IF(INDEX(ERP資料!$G:$G, (MATCH(740, 輔助計算!$G$2:$G$801, 0)+1))&lt;=1181,2,1)))), "")&lt;&gt;"",IF(MOD(INDEX(輔助計算!$D:$D, (MATCH(740, 輔助計算!$G$2:$G$801, 0)+1)),IF(INDEX(ERP資料!$G:$G, (MATCH(740, 輔助計算!$G$2:$G$801, 0)+1))&lt;100, IF(INDEX(ERP資料!$G:$G, (MATCH(740, 輔助計算!$G$2:$G$801, 0)+1))&lt;=31,3,IF(INDEX(ERP資料!$G:$G, (MATCH(740, 輔助計算!$G$2:$G$801, 0)+1))&lt;=46.5,2,1)), IF(INDEX(ERP資料!$G:$G, (MATCH(740, 輔助計算!$G$2:$G$801, 0)+1))&lt;=790,3,IF(INDEX(ERP資料!$G:$G, (MATCH(740, 輔助計算!$G$2:$G$801, 0)+1))&lt;=1181,2,1))))=0,"",IF(MOD(INDEX(輔助計算!$D:$D, (MATCH(740, 輔助計算!$G$2:$G$801, 0)+1)),IF(INDEX(ERP資料!$G:$G, (MATCH(740, 輔助計算!$G$2:$G$801, 0)+1))&lt;100, IF(INDEX(ERP資料!$G:$G, (MATCH(740, 輔助計算!$G$2:$G$801, 0)+1))&lt;=31,3,IF(INDEX(ERP資料!$G:$G, (MATCH(740, 輔助計算!$G$2:$G$801, 0)+1))&lt;=46.5,2,1)), IF(INDEX(ERP資料!$G:$G, (MATCH(740, 輔助計算!$G$2:$G$801, 0)+1))&lt;=790,3,IF(INDEX(ERP資料!$G:$G, (MATCH(740, 輔助計算!$G$2:$G$801, 0)+1))&lt;=1181,2,1))))=0,"",IF(MOD(INDEX(輔助計算!$D:$D, (MATCH(740, 輔助計算!$G$2:$G$801, 0)+1)),IF(INDEX(ERP資料!$G:$G, (MATCH(740, 輔助計算!$G$2:$G$801, 0)+1))&lt;100, IF(INDEX(ERP資料!$G:$G, (MATCH(740, 輔助計算!$G$2:$G$801, 0)+1))&lt;=31,3,IF(INDEX(ERP資料!$G:$G, (MATCH(740, 輔助計算!$G$2:$G$801, 0)+1))&lt;=46.5,2,1)), IF(INDEX(ERP資料!$G:$G, (MATCH(740, 輔助計算!$G$2:$G$801, 0)+1))&lt;=790,3,IF(INDEX(ERP資料!$G:$G, (MATCH(740, 輔助計算!$G$2:$G$801, 0)+1))&lt;=1181,2,1))))=1,TEXT(INDEX(ERP資料!$G:$G, (MATCH(740, 輔助計算!$G$2:$G$801, 0)+1)),"0.##"),IF(MOD(INDEX(輔助計算!$D:$D, (MATCH(740, 輔助計算!$G$2:$G$801, 0)+1)),IF(INDEX(ERP資料!$G:$G, (MATCH(740, 輔助計算!$G$2:$G$801, 0)+1))&lt;100, IF(INDEX(ERP資料!$G:$G, (MATCH(740, 輔助計算!$G$2:$G$801, 0)+1))&lt;=31,3,IF(INDEX(ERP資料!$G:$G, (MATCH(740, 輔助計算!$G$2:$G$801, 0)+1))&lt;=46.5,2,1)), IF(INDEX(ERP資料!$G:$G, (MATCH(740, 輔助計算!$G$2:$G$801, 0)+1))&lt;=790,3,IF(INDEX(ERP資料!$G:$G, (MATCH(740, 輔助計算!$G$2:$G$801, 0)+1))&lt;=1181,2,1))))=2,TEXT(INDEX(ERP資料!$G:$G, (MATCH(740, 輔助計算!$G$2:$G$801, 0)+1)),"0.##")&amp;"+"&amp;TEXT(INDEX(ERP資料!$G:$G, (MATCH(740, 輔助計算!$G$2:$G$801, 0)+1)),"0.##"),TEXT(INDEX(ERP資料!$G:$G, (MATCH(740, 輔助計算!$G$2:$G$801, 0)+1)),"0.##")&amp;"+"&amp;TEXT(INDEX(ERP資料!$G:$G, (MATCH(740, 輔助計算!$G$2:$G$801, 0)+1)),"0.##")&amp;"+"&amp;TEXT(INDEX(ERP資料!$G:$G, (MATCH(740, 輔助計算!$G$2:$G$801, 0)+1)),"0.##"))))&amp;"-1")&lt;&gt;""),"  ","")&amp;IF(MOD(INDEX(輔助計算!$D:$D, (MATCH(740, 輔助計算!$G$2:$G$801, 0)+1)),IF(INDEX(ERP資料!$G:$G, (MATCH(740, 輔助計算!$G$2:$G$801, 0)+1))&lt;100, IF(INDEX(ERP資料!$G:$G, (MATCH(740, 輔助計算!$G$2:$G$801, 0)+1))&lt;=31,3,IF(INDEX(ERP資料!$G:$G, (MATCH(740, 輔助計算!$G$2:$G$801, 0)+1))&lt;=46.5,2,1)), IF(INDEX(ERP資料!$G:$G, (MATCH(740, 輔助計算!$G$2:$G$801, 0)+1))&lt;=790,3,IF(INDEX(ERP資料!$G:$G, (MATCH(740, 輔助計算!$G$2:$G$801, 0)+1))&lt;=1181,2,1))))=0,"",IF(MOD(INDEX(輔助計算!$D:$D, (MATCH(740, 輔助計算!$G$2:$G$801, 0)+1)),IF(INDEX(ERP資料!$G:$G, (MATCH(740, 輔助計算!$G$2:$G$801, 0)+1))&lt;100, IF(INDEX(ERP資料!$G:$G, (MATCH(740, 輔助計算!$G$2:$G$801, 0)+1))&lt;=31,3,IF(INDEX(ERP資料!$G:$G, (MATCH(740, 輔助計算!$G$2:$G$801, 0)+1))&lt;=46.5,2,1)), IF(INDEX(ERP資料!$G:$G, (MATCH(740, 輔助計算!$G$2:$G$801, 0)+1))&lt;=790,3,IF(INDEX(ERP資料!$G:$G, (MATCH(740, 輔助計算!$G$2:$G$801, 0)+1))&lt;=1181,2,1))))=0,"",IF(MOD(INDEX(輔助計算!$D:$D, (MATCH(740, 輔助計算!$G$2:$G$801, 0)+1)),IF(INDEX(ERP資料!$G:$G, (MATCH(740, 輔助計算!$G$2:$G$801, 0)+1))&lt;100, IF(INDEX(ERP資料!$G:$G, (MATCH(740, 輔助計算!$G$2:$G$801, 0)+1))&lt;=31,3,IF(INDEX(ERP資料!$G:$G, (MATCH(740, 輔助計算!$G$2:$G$801, 0)+1))&lt;=46.5,2,1)), IF(INDEX(ERP資料!$G:$G, (MATCH(740, 輔助計算!$G$2:$G$801, 0)+1))&lt;=790,3,IF(INDEX(ERP資料!$G:$G, (MATCH(740, 輔助計算!$G$2:$G$801, 0)+1))&lt;=1181,2,1))))=1,TEXT(INDEX(ERP資料!$G:$G, (MATCH(740, 輔助計算!$G$2:$G$801, 0)+1)),"0.##"),IF(MOD(INDEX(輔助計算!$D:$D, (MATCH(740, 輔助計算!$G$2:$G$801, 0)+1)),IF(INDEX(ERP資料!$G:$G, (MATCH(740, 輔助計算!$G$2:$G$801, 0)+1))&lt;100, IF(INDEX(ERP資料!$G:$G, (MATCH(740, 輔助計算!$G$2:$G$801, 0)+1))&lt;=31,3,IF(INDEX(ERP資料!$G:$G, (MATCH(740, 輔助計算!$G$2:$G$801, 0)+1))&lt;=46.5,2,1)), IF(INDEX(ERP資料!$G:$G, (MATCH(740, 輔助計算!$G$2:$G$801, 0)+1))&lt;=790,3,IF(INDEX(ERP資料!$G:$G, (MATCH(740, 輔助計算!$G$2:$G$801, 0)+1))&lt;=1181,2,1))))=2,TEXT(INDEX(ERP資料!$G:$G, (MATCH(740, 輔助計算!$G$2:$G$801, 0)+1)),"0.##")&amp;"+"&amp;TEXT(INDEX(ERP資料!$G:$G, (MATCH(740, 輔助計算!$G$2:$G$801, 0)+1)),"0.##"),TEXT(INDEX(ERP資料!$G:$G, (MATCH(740, 輔助計算!$G$2:$G$801, 0)+1)),"0.##")&amp;"+"&amp;TEXT(INDEX(ERP資料!$G:$G, (MATCH(740, 輔助計算!$G$2:$G$801, 0)+1)),"0.##")&amp;"+"&amp;TEXT(INDEX(ERP資料!$G:$G, (MATCH(740, 輔助計算!$G$2:$G$801, 0)+1)),"0.##"))))&amp;"-1")), ""), "")</f>
        <v/>
      </c>
      <c r="K741" s="16" t="n"/>
      <c r="L741" s="14">
        <f>IFERROR(IF(AND(IFERROR(INDEX(ERP資料!$A:$A, (MATCH(740, 輔助計算!$G$2:$G$801, 0)+1)), "")&lt;&gt;"", IFERROR(INDEX(ERP資料!$A:$A, (MATCH(740, 輔助計算!$G$2:$G$801, 0)+1)), "")&lt;&gt;IFERROR(INDEX(ERP資料!$A:$A, MATCH(739, 輔助計算!$G$2:$G$801, 0)+1), "")), INDEX(ERP資料!$B:$B, (MATCH(740, 輔助計算!$G$2:$G$801, 0)+1)), ""), "")</f>
        <v/>
      </c>
      <c r="M741" s="17" t="n"/>
    </row>
    <row r="742">
      <c r="A742" s="10">
        <f>IFERROR(IF(AND(IFERROR(INDEX(ERP資料!$A:$A, (MATCH(741, 輔助計算!$G$2:$G$801, 0)+1)), "")&lt;&gt;"", IFERROR(INDEX(ERP資料!$A:$A, (MATCH(741, 輔助計算!$G$2:$G$801, 0)+1)), "")&lt;&gt;IFERROR(INDEX(ERP資料!$A:$A, MATCH(740, 輔助計算!$G$2:$G$801, 0)+1), "")), IFERROR(INDEX(ERP資料!$A:$A, (MATCH(741, 輔助計算!$G$2:$G$801, 0)+1)), ""), ""), "")</f>
        <v/>
      </c>
      <c r="B742" s="10">
        <f>IFERROR(IF(AND(IFERROR(INDEX(ERP資料!$A:$A, (MATCH(741, 輔助計算!$G$2:$G$801, 0)+1)), "")&lt;&gt;"", IFERROR(INDEX(ERP資料!$A:$A, (MATCH(741, 輔助計算!$G$2:$G$801, 0)+1)), "")&lt;&gt;IFERROR(INDEX(ERP資料!$A:$A, MATCH(740, 輔助計算!$G$2:$G$801, 0)+1), "")), INDEX(ERP資料!$S:$S, (MATCH(741, 輔助計算!$G$2:$G$801, 0)+1)), ""), "")</f>
        <v/>
      </c>
      <c r="C742" s="19">
        <f>IFERROR(IF(AND(IFERROR(INDEX(ERP資料!$A:$A, (MATCH(741, 輔助計算!$G$2:$G$801, 0)+1)), "")&lt;&gt;"", IFERROR(INDEX(ERP資料!$A:$A, (MATCH(741, 輔助計算!$G$2:$G$801, 0)+1)), "")&lt;&gt;IFERROR(INDEX(ERP資料!$A:$A, MATCH(740, 輔助計算!$G$2:$G$801, 0)+1), "")), IFERROR(VLOOKUP(LEFT(INDEX(ERP資料!$S:$S, (MATCH(741, 輔助計算!$G$2:$G$801, 0)+1)), 4), 紙管對照表!$A:$C, 3, FALSE), ""), ""), "")</f>
        <v/>
      </c>
      <c r="D742" s="16" t="n"/>
      <c r="E742" s="10">
        <f>IFERROR(IF(INDEX(ERP資料!$H:$H, (MATCH(741, 輔助計算!$G$2:$G$801, 0)+1))="","",INDEX(ERP資料!$H:$H, (MATCH(741, 輔助計算!$G$2:$G$801, 0)+1))), "")</f>
        <v/>
      </c>
      <c r="F742" s="10">
        <f>IFERROR(IF(INDEX(ERP資料!$E:$E, (MATCH(741, 輔助計算!$G$2:$G$801, 0)+1))="","",TRIM(INDEX(ERP資料!$E:$E, (MATCH(741, 輔助計算!$G$2:$G$801, 0)+1)))), "")</f>
        <v/>
      </c>
      <c r="G742" s="10">
        <f>IFERROR(IF(INDEX(ERP資料!$F:$F, (MATCH(741, 輔助計算!$G$2:$G$801, 0)+1))="","",INDEX(ERP資料!$F:$F, (MATCH(741, 輔助計算!$G$2:$G$801, 0)+1))), "")</f>
        <v/>
      </c>
      <c r="H742" s="10">
        <f>IFERROR(IF(INDEX(ERP資料!$G:$G, (MATCH(741, 輔助計算!$G$2:$G$801, 0)+1))="","",INDEX(ERP資料!$G:$G, (MATCH(741, 輔助計算!$G$2:$G$801, 0)+1))), "")</f>
        <v/>
      </c>
      <c r="I742" s="15">
        <f>IFERROR(INDEX(輔助計算!$D:$D, (MATCH(741, 輔助計算!$G$2:$G$801, 0)+1)), "")</f>
        <v/>
      </c>
      <c r="J742" s="15">
        <f>IFERROR(IF(AND(INDEX(輔助計算!$D:$D, (MATCH(741, 輔助計算!$G$2:$G$801, 0)+1))&lt;&gt;"", INDEX(ERP資料!$G:$G, (MATCH(741, 輔助計算!$G$2:$G$801, 0)+1))&lt;&gt;""), TRIM(IF(INT(INDEX(輔助計算!$D:$D, (MATCH(741, 輔助計算!$G$2:$G$801, 0)+1))/IF(INDEX(ERP資料!$G:$G, (MATCH(741, 輔助計算!$G$2:$G$801, 0)+1))&lt;100, IF(INDEX(ERP資料!$G:$G, (MATCH(741, 輔助計算!$G$2:$G$801, 0)+1))&lt;=31,3,IF(INDEX(ERP資料!$G:$G, (MATCH(741, 輔助計算!$G$2:$G$801, 0)+1))&lt;=46.5,2,1)), IF(INDEX(ERP資料!$G:$G, (MATCH(741, 輔助計算!$G$2:$G$801, 0)+1))&lt;=790,3,IF(INDEX(ERP資料!$G:$G, (MATCH(741, 輔助計算!$G$2:$G$801, 0)+1))&lt;=1181,2,1))))&gt;0, IF(IF(INDEX(ERP資料!$G:$G, (MATCH(741, 輔助計算!$G$2:$G$801, 0)+1))&lt;100, IF(INDEX(ERP資料!$G:$G, (MATCH(741, 輔助計算!$G$2:$G$801, 0)+1))&lt;=31,3,IF(INDEX(ERP資料!$G:$G, (MATCH(741, 輔助計算!$G$2:$G$801, 0)+1))&lt;=46.5,2,1)), IF(INDEX(ERP資料!$G:$G, (MATCH(741, 輔助計算!$G$2:$G$801, 0)+1))&lt;=790,3,IF(INDEX(ERP資料!$G:$G, (MATCH(741, 輔助計算!$G$2:$G$801, 0)+1))&lt;=1181,2,1)))=1,TEXT(INDEX(ERP資料!$G:$G, (MATCH(741, 輔助計算!$G$2:$G$801, 0)+1)),"0.##"),IF(IF(INDEX(ERP資料!$G:$G, (MATCH(741, 輔助計算!$G$2:$G$801, 0)+1))&lt;100, IF(INDEX(ERP資料!$G:$G, (MATCH(741, 輔助計算!$G$2:$G$801, 0)+1))&lt;=31,3,IF(INDEX(ERP資料!$G:$G, (MATCH(741, 輔助計算!$G$2:$G$801, 0)+1))&lt;=46.5,2,1)), IF(INDEX(ERP資料!$G:$G, (MATCH(741, 輔助計算!$G$2:$G$801, 0)+1))&lt;=790,3,IF(INDEX(ERP資料!$G:$G, (MATCH(741, 輔助計算!$G$2:$G$801, 0)+1))&lt;=1181,2,1)))=2,TEXT(INDEX(ERP資料!$G:$G, (MATCH(741, 輔助計算!$G$2:$G$801, 0)+1)),"0.##")&amp;"+"&amp;TEXT(INDEX(ERP資料!$G:$G, (MATCH(741, 輔助計算!$G$2:$G$801, 0)+1)),"0.##"),TEXT(INDEX(ERP資料!$G:$G, (MATCH(741, 輔助計算!$G$2:$G$801, 0)+1)),"0.##")&amp;"+"&amp;TEXT(INDEX(ERP資料!$G:$G, (MATCH(741, 輔助計算!$G$2:$G$801, 0)+1)),"0.##")&amp;"+"&amp;TEXT(INDEX(ERP資料!$G:$G, (MATCH(741, 輔助計算!$G$2:$G$801, 0)+1)),"0.##")))&amp;"-"&amp;INT(INDEX(輔助計算!$D:$D, (MATCH(741, 輔助計算!$G$2:$G$801, 0)+1))/IF(INDEX(ERP資料!$G:$G, (MATCH(741, 輔助計算!$G$2:$G$801, 0)+1))&lt;100, IF(INDEX(ERP資料!$G:$G, (MATCH(741, 輔助計算!$G$2:$G$801, 0)+1))&lt;=31,3,IF(INDEX(ERP資料!$G:$G, (MATCH(741, 輔助計算!$G$2:$G$801, 0)+1))&lt;=46.5,2,1)), IF(INDEX(ERP資料!$G:$G, (MATCH(741, 輔助計算!$G$2:$G$801, 0)+1))&lt;=790,3,IF(INDEX(ERP資料!$G:$G, (MATCH(741, 輔助計算!$G$2:$G$801, 0)+1))&lt;=1181,2,1)))), "")&amp;IF(AND(IF(INT(INDEX(輔助計算!$D:$D, (MATCH(741, 輔助計算!$G$2:$G$801, 0)+1))/IF(INDEX(ERP資料!$G:$G, (MATCH(741, 輔助計算!$G$2:$G$801, 0)+1))&lt;100, IF(INDEX(ERP資料!$G:$G, (MATCH(741, 輔助計算!$G$2:$G$801, 0)+1))&lt;=31,3,IF(INDEX(ERP資料!$G:$G, (MATCH(741, 輔助計算!$G$2:$G$801, 0)+1))&lt;=46.5,2,1)), IF(INDEX(ERP資料!$G:$G, (MATCH(741, 輔助計算!$G$2:$G$801, 0)+1))&lt;=790,3,IF(INDEX(ERP資料!$G:$G, (MATCH(741, 輔助計算!$G$2:$G$801, 0)+1))&lt;=1181,2,1))))&gt;0, IF(IF(INDEX(ERP資料!$G:$G, (MATCH(741, 輔助計算!$G$2:$G$801, 0)+1))&lt;100, IF(INDEX(ERP資料!$G:$G, (MATCH(741, 輔助計算!$G$2:$G$801, 0)+1))&lt;=31,3,IF(INDEX(ERP資料!$G:$G, (MATCH(741, 輔助計算!$G$2:$G$801, 0)+1))&lt;=46.5,2,1)), IF(INDEX(ERP資料!$G:$G, (MATCH(741, 輔助計算!$G$2:$G$801, 0)+1))&lt;=790,3,IF(INDEX(ERP資料!$G:$G, (MATCH(741, 輔助計算!$G$2:$G$801, 0)+1))&lt;=1181,2,1)))=1,TEXT(INDEX(ERP資料!$G:$G, (MATCH(741, 輔助計算!$G$2:$G$801, 0)+1)),"0.##"),IF(IF(INDEX(ERP資料!$G:$G, (MATCH(741, 輔助計算!$G$2:$G$801, 0)+1))&lt;100, IF(INDEX(ERP資料!$G:$G, (MATCH(741, 輔助計算!$G$2:$G$801, 0)+1))&lt;=31,3,IF(INDEX(ERP資料!$G:$G, (MATCH(741, 輔助計算!$G$2:$G$801, 0)+1))&lt;=46.5,2,1)), IF(INDEX(ERP資料!$G:$G, (MATCH(741, 輔助計算!$G$2:$G$801, 0)+1))&lt;=790,3,IF(INDEX(ERP資料!$G:$G, (MATCH(741, 輔助計算!$G$2:$G$801, 0)+1))&lt;=1181,2,1)))=2,TEXT(INDEX(ERP資料!$G:$G, (MATCH(741, 輔助計算!$G$2:$G$801, 0)+1)),"0.##")&amp;"+"&amp;TEXT(INDEX(ERP資料!$G:$G, (MATCH(741, 輔助計算!$G$2:$G$801, 0)+1)),"0.##"),TEXT(INDEX(ERP資料!$G:$G, (MATCH(741, 輔助計算!$G$2:$G$801, 0)+1)),"0.##")&amp;"+"&amp;TEXT(INDEX(ERP資料!$G:$G, (MATCH(741, 輔助計算!$G$2:$G$801, 0)+1)),"0.##")&amp;"+"&amp;TEXT(INDEX(ERP資料!$G:$G, (MATCH(741, 輔助計算!$G$2:$G$801, 0)+1)),"0.##")))&amp;"-"&amp;INT(INDEX(輔助計算!$D:$D, (MATCH(741, 輔助計算!$G$2:$G$801, 0)+1))/IF(INDEX(ERP資料!$G:$G, (MATCH(741, 輔助計算!$G$2:$G$801, 0)+1))&lt;100, IF(INDEX(ERP資料!$G:$G, (MATCH(741, 輔助計算!$G$2:$G$801, 0)+1))&lt;=31,3,IF(INDEX(ERP資料!$G:$G, (MATCH(741, 輔助計算!$G$2:$G$801, 0)+1))&lt;=46.5,2,1)), IF(INDEX(ERP資料!$G:$G, (MATCH(741, 輔助計算!$G$2:$G$801, 0)+1))&lt;=790,3,IF(INDEX(ERP資料!$G:$G, (MATCH(741, 輔助計算!$G$2:$G$801, 0)+1))&lt;=1181,2,1)))), "")&lt;&gt;"",IF(MOD(INDEX(輔助計算!$D:$D, (MATCH(741, 輔助計算!$G$2:$G$801, 0)+1)),IF(INDEX(ERP資料!$G:$G, (MATCH(741, 輔助計算!$G$2:$G$801, 0)+1))&lt;100, IF(INDEX(ERP資料!$G:$G, (MATCH(741, 輔助計算!$G$2:$G$801, 0)+1))&lt;=31,3,IF(INDEX(ERP資料!$G:$G, (MATCH(741, 輔助計算!$G$2:$G$801, 0)+1))&lt;=46.5,2,1)), IF(INDEX(ERP資料!$G:$G, (MATCH(741, 輔助計算!$G$2:$G$801, 0)+1))&lt;=790,3,IF(INDEX(ERP資料!$G:$G, (MATCH(741, 輔助計算!$G$2:$G$801, 0)+1))&lt;=1181,2,1))))=0,"",IF(MOD(INDEX(輔助計算!$D:$D, (MATCH(741, 輔助計算!$G$2:$G$801, 0)+1)),IF(INDEX(ERP資料!$G:$G, (MATCH(741, 輔助計算!$G$2:$G$801, 0)+1))&lt;100, IF(INDEX(ERP資料!$G:$G, (MATCH(741, 輔助計算!$G$2:$G$801, 0)+1))&lt;=31,3,IF(INDEX(ERP資料!$G:$G, (MATCH(741, 輔助計算!$G$2:$G$801, 0)+1))&lt;=46.5,2,1)), IF(INDEX(ERP資料!$G:$G, (MATCH(741, 輔助計算!$G$2:$G$801, 0)+1))&lt;=790,3,IF(INDEX(ERP資料!$G:$G, (MATCH(741, 輔助計算!$G$2:$G$801, 0)+1))&lt;=1181,2,1))))=0,"",IF(MOD(INDEX(輔助計算!$D:$D, (MATCH(741, 輔助計算!$G$2:$G$801, 0)+1)),IF(INDEX(ERP資料!$G:$G, (MATCH(741, 輔助計算!$G$2:$G$801, 0)+1))&lt;100, IF(INDEX(ERP資料!$G:$G, (MATCH(741, 輔助計算!$G$2:$G$801, 0)+1))&lt;=31,3,IF(INDEX(ERP資料!$G:$G, (MATCH(741, 輔助計算!$G$2:$G$801, 0)+1))&lt;=46.5,2,1)), IF(INDEX(ERP資料!$G:$G, (MATCH(741, 輔助計算!$G$2:$G$801, 0)+1))&lt;=790,3,IF(INDEX(ERP資料!$G:$G, (MATCH(741, 輔助計算!$G$2:$G$801, 0)+1))&lt;=1181,2,1))))=1,TEXT(INDEX(ERP資料!$G:$G, (MATCH(741, 輔助計算!$G$2:$G$801, 0)+1)),"0.##"),IF(MOD(INDEX(輔助計算!$D:$D, (MATCH(741, 輔助計算!$G$2:$G$801, 0)+1)),IF(INDEX(ERP資料!$G:$G, (MATCH(741, 輔助計算!$G$2:$G$801, 0)+1))&lt;100, IF(INDEX(ERP資料!$G:$G, (MATCH(741, 輔助計算!$G$2:$G$801, 0)+1))&lt;=31,3,IF(INDEX(ERP資料!$G:$G, (MATCH(741, 輔助計算!$G$2:$G$801, 0)+1))&lt;=46.5,2,1)), IF(INDEX(ERP資料!$G:$G, (MATCH(741, 輔助計算!$G$2:$G$801, 0)+1))&lt;=790,3,IF(INDEX(ERP資料!$G:$G, (MATCH(741, 輔助計算!$G$2:$G$801, 0)+1))&lt;=1181,2,1))))=2,TEXT(INDEX(ERP資料!$G:$G, (MATCH(741, 輔助計算!$G$2:$G$801, 0)+1)),"0.##")&amp;"+"&amp;TEXT(INDEX(ERP資料!$G:$G, (MATCH(741, 輔助計算!$G$2:$G$801, 0)+1)),"0.##"),TEXT(INDEX(ERP資料!$G:$G, (MATCH(741, 輔助計算!$G$2:$G$801, 0)+1)),"0.##")&amp;"+"&amp;TEXT(INDEX(ERP資料!$G:$G, (MATCH(741, 輔助計算!$G$2:$G$801, 0)+1)),"0.##")&amp;"+"&amp;TEXT(INDEX(ERP資料!$G:$G, (MATCH(741, 輔助計算!$G$2:$G$801, 0)+1)),"0.##"))))&amp;"-1")&lt;&gt;""),"  ","")&amp;IF(MOD(INDEX(輔助計算!$D:$D, (MATCH(741, 輔助計算!$G$2:$G$801, 0)+1)),IF(INDEX(ERP資料!$G:$G, (MATCH(741, 輔助計算!$G$2:$G$801, 0)+1))&lt;100, IF(INDEX(ERP資料!$G:$G, (MATCH(741, 輔助計算!$G$2:$G$801, 0)+1))&lt;=31,3,IF(INDEX(ERP資料!$G:$G, (MATCH(741, 輔助計算!$G$2:$G$801, 0)+1))&lt;=46.5,2,1)), IF(INDEX(ERP資料!$G:$G, (MATCH(741, 輔助計算!$G$2:$G$801, 0)+1))&lt;=790,3,IF(INDEX(ERP資料!$G:$G, (MATCH(741, 輔助計算!$G$2:$G$801, 0)+1))&lt;=1181,2,1))))=0,"",IF(MOD(INDEX(輔助計算!$D:$D, (MATCH(741, 輔助計算!$G$2:$G$801, 0)+1)),IF(INDEX(ERP資料!$G:$G, (MATCH(741, 輔助計算!$G$2:$G$801, 0)+1))&lt;100, IF(INDEX(ERP資料!$G:$G, (MATCH(741, 輔助計算!$G$2:$G$801, 0)+1))&lt;=31,3,IF(INDEX(ERP資料!$G:$G, (MATCH(741, 輔助計算!$G$2:$G$801, 0)+1))&lt;=46.5,2,1)), IF(INDEX(ERP資料!$G:$G, (MATCH(741, 輔助計算!$G$2:$G$801, 0)+1))&lt;=790,3,IF(INDEX(ERP資料!$G:$G, (MATCH(741, 輔助計算!$G$2:$G$801, 0)+1))&lt;=1181,2,1))))=0,"",IF(MOD(INDEX(輔助計算!$D:$D, (MATCH(741, 輔助計算!$G$2:$G$801, 0)+1)),IF(INDEX(ERP資料!$G:$G, (MATCH(741, 輔助計算!$G$2:$G$801, 0)+1))&lt;100, IF(INDEX(ERP資料!$G:$G, (MATCH(741, 輔助計算!$G$2:$G$801, 0)+1))&lt;=31,3,IF(INDEX(ERP資料!$G:$G, (MATCH(741, 輔助計算!$G$2:$G$801, 0)+1))&lt;=46.5,2,1)), IF(INDEX(ERP資料!$G:$G, (MATCH(741, 輔助計算!$G$2:$G$801, 0)+1))&lt;=790,3,IF(INDEX(ERP資料!$G:$G, (MATCH(741, 輔助計算!$G$2:$G$801, 0)+1))&lt;=1181,2,1))))=1,TEXT(INDEX(ERP資料!$G:$G, (MATCH(741, 輔助計算!$G$2:$G$801, 0)+1)),"0.##"),IF(MOD(INDEX(輔助計算!$D:$D, (MATCH(741, 輔助計算!$G$2:$G$801, 0)+1)),IF(INDEX(ERP資料!$G:$G, (MATCH(741, 輔助計算!$G$2:$G$801, 0)+1))&lt;100, IF(INDEX(ERP資料!$G:$G, (MATCH(741, 輔助計算!$G$2:$G$801, 0)+1))&lt;=31,3,IF(INDEX(ERP資料!$G:$G, (MATCH(741, 輔助計算!$G$2:$G$801, 0)+1))&lt;=46.5,2,1)), IF(INDEX(ERP資料!$G:$G, (MATCH(741, 輔助計算!$G$2:$G$801, 0)+1))&lt;=790,3,IF(INDEX(ERP資料!$G:$G, (MATCH(741, 輔助計算!$G$2:$G$801, 0)+1))&lt;=1181,2,1))))=2,TEXT(INDEX(ERP資料!$G:$G, (MATCH(741, 輔助計算!$G$2:$G$801, 0)+1)),"0.##")&amp;"+"&amp;TEXT(INDEX(ERP資料!$G:$G, (MATCH(741, 輔助計算!$G$2:$G$801, 0)+1)),"0.##"),TEXT(INDEX(ERP資料!$G:$G, (MATCH(741, 輔助計算!$G$2:$G$801, 0)+1)),"0.##")&amp;"+"&amp;TEXT(INDEX(ERP資料!$G:$G, (MATCH(741, 輔助計算!$G$2:$G$801, 0)+1)),"0.##")&amp;"+"&amp;TEXT(INDEX(ERP資料!$G:$G, (MATCH(741, 輔助計算!$G$2:$G$801, 0)+1)),"0.##"))))&amp;"-1")), ""), "")</f>
        <v/>
      </c>
      <c r="K742" s="16" t="n"/>
      <c r="L742" s="14">
        <f>IFERROR(IF(AND(IFERROR(INDEX(ERP資料!$A:$A, (MATCH(741, 輔助計算!$G$2:$G$801, 0)+1)), "")&lt;&gt;"", IFERROR(INDEX(ERP資料!$A:$A, (MATCH(741, 輔助計算!$G$2:$G$801, 0)+1)), "")&lt;&gt;IFERROR(INDEX(ERP資料!$A:$A, MATCH(740, 輔助計算!$G$2:$G$801, 0)+1), "")), INDEX(ERP資料!$B:$B, (MATCH(741, 輔助計算!$G$2:$G$801, 0)+1)), ""), "")</f>
        <v/>
      </c>
      <c r="M742" s="17" t="n"/>
    </row>
    <row r="743">
      <c r="A743" s="10">
        <f>IFERROR(IF(AND(IFERROR(INDEX(ERP資料!$A:$A, (MATCH(742, 輔助計算!$G$2:$G$801, 0)+1)), "")&lt;&gt;"", IFERROR(INDEX(ERP資料!$A:$A, (MATCH(742, 輔助計算!$G$2:$G$801, 0)+1)), "")&lt;&gt;IFERROR(INDEX(ERP資料!$A:$A, MATCH(741, 輔助計算!$G$2:$G$801, 0)+1), "")), IFERROR(INDEX(ERP資料!$A:$A, (MATCH(742, 輔助計算!$G$2:$G$801, 0)+1)), ""), ""), "")</f>
        <v/>
      </c>
      <c r="B743" s="10">
        <f>IFERROR(IF(AND(IFERROR(INDEX(ERP資料!$A:$A, (MATCH(742, 輔助計算!$G$2:$G$801, 0)+1)), "")&lt;&gt;"", IFERROR(INDEX(ERP資料!$A:$A, (MATCH(742, 輔助計算!$G$2:$G$801, 0)+1)), "")&lt;&gt;IFERROR(INDEX(ERP資料!$A:$A, MATCH(741, 輔助計算!$G$2:$G$801, 0)+1), "")), INDEX(ERP資料!$S:$S, (MATCH(742, 輔助計算!$G$2:$G$801, 0)+1)), ""), "")</f>
        <v/>
      </c>
      <c r="C743" s="19">
        <f>IFERROR(IF(AND(IFERROR(INDEX(ERP資料!$A:$A, (MATCH(742, 輔助計算!$G$2:$G$801, 0)+1)), "")&lt;&gt;"", IFERROR(INDEX(ERP資料!$A:$A, (MATCH(742, 輔助計算!$G$2:$G$801, 0)+1)), "")&lt;&gt;IFERROR(INDEX(ERP資料!$A:$A, MATCH(741, 輔助計算!$G$2:$G$801, 0)+1), "")), IFERROR(VLOOKUP(LEFT(INDEX(ERP資料!$S:$S, (MATCH(742, 輔助計算!$G$2:$G$801, 0)+1)), 4), 紙管對照表!$A:$C, 3, FALSE), ""), ""), "")</f>
        <v/>
      </c>
      <c r="D743" s="16" t="n"/>
      <c r="E743" s="10">
        <f>IFERROR(IF(INDEX(ERP資料!$H:$H, (MATCH(742, 輔助計算!$G$2:$G$801, 0)+1))="","",INDEX(ERP資料!$H:$H, (MATCH(742, 輔助計算!$G$2:$G$801, 0)+1))), "")</f>
        <v/>
      </c>
      <c r="F743" s="10">
        <f>IFERROR(IF(INDEX(ERP資料!$E:$E, (MATCH(742, 輔助計算!$G$2:$G$801, 0)+1))="","",TRIM(INDEX(ERP資料!$E:$E, (MATCH(742, 輔助計算!$G$2:$G$801, 0)+1)))), "")</f>
        <v/>
      </c>
      <c r="G743" s="10">
        <f>IFERROR(IF(INDEX(ERP資料!$F:$F, (MATCH(742, 輔助計算!$G$2:$G$801, 0)+1))="","",INDEX(ERP資料!$F:$F, (MATCH(742, 輔助計算!$G$2:$G$801, 0)+1))), "")</f>
        <v/>
      </c>
      <c r="H743" s="10">
        <f>IFERROR(IF(INDEX(ERP資料!$G:$G, (MATCH(742, 輔助計算!$G$2:$G$801, 0)+1))="","",INDEX(ERP資料!$G:$G, (MATCH(742, 輔助計算!$G$2:$G$801, 0)+1))), "")</f>
        <v/>
      </c>
      <c r="I743" s="15">
        <f>IFERROR(INDEX(輔助計算!$D:$D, (MATCH(742, 輔助計算!$G$2:$G$801, 0)+1)), "")</f>
        <v/>
      </c>
      <c r="J743" s="15">
        <f>IFERROR(IF(AND(INDEX(輔助計算!$D:$D, (MATCH(742, 輔助計算!$G$2:$G$801, 0)+1))&lt;&gt;"", INDEX(ERP資料!$G:$G, (MATCH(742, 輔助計算!$G$2:$G$801, 0)+1))&lt;&gt;""), TRIM(IF(INT(INDEX(輔助計算!$D:$D, (MATCH(742, 輔助計算!$G$2:$G$801, 0)+1))/IF(INDEX(ERP資料!$G:$G, (MATCH(742, 輔助計算!$G$2:$G$801, 0)+1))&lt;100, IF(INDEX(ERP資料!$G:$G, (MATCH(742, 輔助計算!$G$2:$G$801, 0)+1))&lt;=31,3,IF(INDEX(ERP資料!$G:$G, (MATCH(742, 輔助計算!$G$2:$G$801, 0)+1))&lt;=46.5,2,1)), IF(INDEX(ERP資料!$G:$G, (MATCH(742, 輔助計算!$G$2:$G$801, 0)+1))&lt;=790,3,IF(INDEX(ERP資料!$G:$G, (MATCH(742, 輔助計算!$G$2:$G$801, 0)+1))&lt;=1181,2,1))))&gt;0, IF(IF(INDEX(ERP資料!$G:$G, (MATCH(742, 輔助計算!$G$2:$G$801, 0)+1))&lt;100, IF(INDEX(ERP資料!$G:$G, (MATCH(742, 輔助計算!$G$2:$G$801, 0)+1))&lt;=31,3,IF(INDEX(ERP資料!$G:$G, (MATCH(742, 輔助計算!$G$2:$G$801, 0)+1))&lt;=46.5,2,1)), IF(INDEX(ERP資料!$G:$G, (MATCH(742, 輔助計算!$G$2:$G$801, 0)+1))&lt;=790,3,IF(INDEX(ERP資料!$G:$G, (MATCH(742, 輔助計算!$G$2:$G$801, 0)+1))&lt;=1181,2,1)))=1,TEXT(INDEX(ERP資料!$G:$G, (MATCH(742, 輔助計算!$G$2:$G$801, 0)+1)),"0.##"),IF(IF(INDEX(ERP資料!$G:$G, (MATCH(742, 輔助計算!$G$2:$G$801, 0)+1))&lt;100, IF(INDEX(ERP資料!$G:$G, (MATCH(742, 輔助計算!$G$2:$G$801, 0)+1))&lt;=31,3,IF(INDEX(ERP資料!$G:$G, (MATCH(742, 輔助計算!$G$2:$G$801, 0)+1))&lt;=46.5,2,1)), IF(INDEX(ERP資料!$G:$G, (MATCH(742, 輔助計算!$G$2:$G$801, 0)+1))&lt;=790,3,IF(INDEX(ERP資料!$G:$G, (MATCH(742, 輔助計算!$G$2:$G$801, 0)+1))&lt;=1181,2,1)))=2,TEXT(INDEX(ERP資料!$G:$G, (MATCH(742, 輔助計算!$G$2:$G$801, 0)+1)),"0.##")&amp;"+"&amp;TEXT(INDEX(ERP資料!$G:$G, (MATCH(742, 輔助計算!$G$2:$G$801, 0)+1)),"0.##"),TEXT(INDEX(ERP資料!$G:$G, (MATCH(742, 輔助計算!$G$2:$G$801, 0)+1)),"0.##")&amp;"+"&amp;TEXT(INDEX(ERP資料!$G:$G, (MATCH(742, 輔助計算!$G$2:$G$801, 0)+1)),"0.##")&amp;"+"&amp;TEXT(INDEX(ERP資料!$G:$G, (MATCH(742, 輔助計算!$G$2:$G$801, 0)+1)),"0.##")))&amp;"-"&amp;INT(INDEX(輔助計算!$D:$D, (MATCH(742, 輔助計算!$G$2:$G$801, 0)+1))/IF(INDEX(ERP資料!$G:$G, (MATCH(742, 輔助計算!$G$2:$G$801, 0)+1))&lt;100, IF(INDEX(ERP資料!$G:$G, (MATCH(742, 輔助計算!$G$2:$G$801, 0)+1))&lt;=31,3,IF(INDEX(ERP資料!$G:$G, (MATCH(742, 輔助計算!$G$2:$G$801, 0)+1))&lt;=46.5,2,1)), IF(INDEX(ERP資料!$G:$G, (MATCH(742, 輔助計算!$G$2:$G$801, 0)+1))&lt;=790,3,IF(INDEX(ERP資料!$G:$G, (MATCH(742, 輔助計算!$G$2:$G$801, 0)+1))&lt;=1181,2,1)))), "")&amp;IF(AND(IF(INT(INDEX(輔助計算!$D:$D, (MATCH(742, 輔助計算!$G$2:$G$801, 0)+1))/IF(INDEX(ERP資料!$G:$G, (MATCH(742, 輔助計算!$G$2:$G$801, 0)+1))&lt;100, IF(INDEX(ERP資料!$G:$G, (MATCH(742, 輔助計算!$G$2:$G$801, 0)+1))&lt;=31,3,IF(INDEX(ERP資料!$G:$G, (MATCH(742, 輔助計算!$G$2:$G$801, 0)+1))&lt;=46.5,2,1)), IF(INDEX(ERP資料!$G:$G, (MATCH(742, 輔助計算!$G$2:$G$801, 0)+1))&lt;=790,3,IF(INDEX(ERP資料!$G:$G, (MATCH(742, 輔助計算!$G$2:$G$801, 0)+1))&lt;=1181,2,1))))&gt;0, IF(IF(INDEX(ERP資料!$G:$G, (MATCH(742, 輔助計算!$G$2:$G$801, 0)+1))&lt;100, IF(INDEX(ERP資料!$G:$G, (MATCH(742, 輔助計算!$G$2:$G$801, 0)+1))&lt;=31,3,IF(INDEX(ERP資料!$G:$G, (MATCH(742, 輔助計算!$G$2:$G$801, 0)+1))&lt;=46.5,2,1)), IF(INDEX(ERP資料!$G:$G, (MATCH(742, 輔助計算!$G$2:$G$801, 0)+1))&lt;=790,3,IF(INDEX(ERP資料!$G:$G, (MATCH(742, 輔助計算!$G$2:$G$801, 0)+1))&lt;=1181,2,1)))=1,TEXT(INDEX(ERP資料!$G:$G, (MATCH(742, 輔助計算!$G$2:$G$801, 0)+1)),"0.##"),IF(IF(INDEX(ERP資料!$G:$G, (MATCH(742, 輔助計算!$G$2:$G$801, 0)+1))&lt;100, IF(INDEX(ERP資料!$G:$G, (MATCH(742, 輔助計算!$G$2:$G$801, 0)+1))&lt;=31,3,IF(INDEX(ERP資料!$G:$G, (MATCH(742, 輔助計算!$G$2:$G$801, 0)+1))&lt;=46.5,2,1)), IF(INDEX(ERP資料!$G:$G, (MATCH(742, 輔助計算!$G$2:$G$801, 0)+1))&lt;=790,3,IF(INDEX(ERP資料!$G:$G, (MATCH(742, 輔助計算!$G$2:$G$801, 0)+1))&lt;=1181,2,1)))=2,TEXT(INDEX(ERP資料!$G:$G, (MATCH(742, 輔助計算!$G$2:$G$801, 0)+1)),"0.##")&amp;"+"&amp;TEXT(INDEX(ERP資料!$G:$G, (MATCH(742, 輔助計算!$G$2:$G$801, 0)+1)),"0.##"),TEXT(INDEX(ERP資料!$G:$G, (MATCH(742, 輔助計算!$G$2:$G$801, 0)+1)),"0.##")&amp;"+"&amp;TEXT(INDEX(ERP資料!$G:$G, (MATCH(742, 輔助計算!$G$2:$G$801, 0)+1)),"0.##")&amp;"+"&amp;TEXT(INDEX(ERP資料!$G:$G, (MATCH(742, 輔助計算!$G$2:$G$801, 0)+1)),"0.##")))&amp;"-"&amp;INT(INDEX(輔助計算!$D:$D, (MATCH(742, 輔助計算!$G$2:$G$801, 0)+1))/IF(INDEX(ERP資料!$G:$G, (MATCH(742, 輔助計算!$G$2:$G$801, 0)+1))&lt;100, IF(INDEX(ERP資料!$G:$G, (MATCH(742, 輔助計算!$G$2:$G$801, 0)+1))&lt;=31,3,IF(INDEX(ERP資料!$G:$G, (MATCH(742, 輔助計算!$G$2:$G$801, 0)+1))&lt;=46.5,2,1)), IF(INDEX(ERP資料!$G:$G, (MATCH(742, 輔助計算!$G$2:$G$801, 0)+1))&lt;=790,3,IF(INDEX(ERP資料!$G:$G, (MATCH(742, 輔助計算!$G$2:$G$801, 0)+1))&lt;=1181,2,1)))), "")&lt;&gt;"",IF(MOD(INDEX(輔助計算!$D:$D, (MATCH(742, 輔助計算!$G$2:$G$801, 0)+1)),IF(INDEX(ERP資料!$G:$G, (MATCH(742, 輔助計算!$G$2:$G$801, 0)+1))&lt;100, IF(INDEX(ERP資料!$G:$G, (MATCH(742, 輔助計算!$G$2:$G$801, 0)+1))&lt;=31,3,IF(INDEX(ERP資料!$G:$G, (MATCH(742, 輔助計算!$G$2:$G$801, 0)+1))&lt;=46.5,2,1)), IF(INDEX(ERP資料!$G:$G, (MATCH(742, 輔助計算!$G$2:$G$801, 0)+1))&lt;=790,3,IF(INDEX(ERP資料!$G:$G, (MATCH(742, 輔助計算!$G$2:$G$801, 0)+1))&lt;=1181,2,1))))=0,"",IF(MOD(INDEX(輔助計算!$D:$D, (MATCH(742, 輔助計算!$G$2:$G$801, 0)+1)),IF(INDEX(ERP資料!$G:$G, (MATCH(742, 輔助計算!$G$2:$G$801, 0)+1))&lt;100, IF(INDEX(ERP資料!$G:$G, (MATCH(742, 輔助計算!$G$2:$G$801, 0)+1))&lt;=31,3,IF(INDEX(ERP資料!$G:$G, (MATCH(742, 輔助計算!$G$2:$G$801, 0)+1))&lt;=46.5,2,1)), IF(INDEX(ERP資料!$G:$G, (MATCH(742, 輔助計算!$G$2:$G$801, 0)+1))&lt;=790,3,IF(INDEX(ERP資料!$G:$G, (MATCH(742, 輔助計算!$G$2:$G$801, 0)+1))&lt;=1181,2,1))))=0,"",IF(MOD(INDEX(輔助計算!$D:$D, (MATCH(742, 輔助計算!$G$2:$G$801, 0)+1)),IF(INDEX(ERP資料!$G:$G, (MATCH(742, 輔助計算!$G$2:$G$801, 0)+1))&lt;100, IF(INDEX(ERP資料!$G:$G, (MATCH(742, 輔助計算!$G$2:$G$801, 0)+1))&lt;=31,3,IF(INDEX(ERP資料!$G:$G, (MATCH(742, 輔助計算!$G$2:$G$801, 0)+1))&lt;=46.5,2,1)), IF(INDEX(ERP資料!$G:$G, (MATCH(742, 輔助計算!$G$2:$G$801, 0)+1))&lt;=790,3,IF(INDEX(ERP資料!$G:$G, (MATCH(742, 輔助計算!$G$2:$G$801, 0)+1))&lt;=1181,2,1))))=1,TEXT(INDEX(ERP資料!$G:$G, (MATCH(742, 輔助計算!$G$2:$G$801, 0)+1)),"0.##"),IF(MOD(INDEX(輔助計算!$D:$D, (MATCH(742, 輔助計算!$G$2:$G$801, 0)+1)),IF(INDEX(ERP資料!$G:$G, (MATCH(742, 輔助計算!$G$2:$G$801, 0)+1))&lt;100, IF(INDEX(ERP資料!$G:$G, (MATCH(742, 輔助計算!$G$2:$G$801, 0)+1))&lt;=31,3,IF(INDEX(ERP資料!$G:$G, (MATCH(742, 輔助計算!$G$2:$G$801, 0)+1))&lt;=46.5,2,1)), IF(INDEX(ERP資料!$G:$G, (MATCH(742, 輔助計算!$G$2:$G$801, 0)+1))&lt;=790,3,IF(INDEX(ERP資料!$G:$G, (MATCH(742, 輔助計算!$G$2:$G$801, 0)+1))&lt;=1181,2,1))))=2,TEXT(INDEX(ERP資料!$G:$G, (MATCH(742, 輔助計算!$G$2:$G$801, 0)+1)),"0.##")&amp;"+"&amp;TEXT(INDEX(ERP資料!$G:$G, (MATCH(742, 輔助計算!$G$2:$G$801, 0)+1)),"0.##"),TEXT(INDEX(ERP資料!$G:$G, (MATCH(742, 輔助計算!$G$2:$G$801, 0)+1)),"0.##")&amp;"+"&amp;TEXT(INDEX(ERP資料!$G:$G, (MATCH(742, 輔助計算!$G$2:$G$801, 0)+1)),"0.##")&amp;"+"&amp;TEXT(INDEX(ERP資料!$G:$G, (MATCH(742, 輔助計算!$G$2:$G$801, 0)+1)),"0.##"))))&amp;"-1")&lt;&gt;""),"  ","")&amp;IF(MOD(INDEX(輔助計算!$D:$D, (MATCH(742, 輔助計算!$G$2:$G$801, 0)+1)),IF(INDEX(ERP資料!$G:$G, (MATCH(742, 輔助計算!$G$2:$G$801, 0)+1))&lt;100, IF(INDEX(ERP資料!$G:$G, (MATCH(742, 輔助計算!$G$2:$G$801, 0)+1))&lt;=31,3,IF(INDEX(ERP資料!$G:$G, (MATCH(742, 輔助計算!$G$2:$G$801, 0)+1))&lt;=46.5,2,1)), IF(INDEX(ERP資料!$G:$G, (MATCH(742, 輔助計算!$G$2:$G$801, 0)+1))&lt;=790,3,IF(INDEX(ERP資料!$G:$G, (MATCH(742, 輔助計算!$G$2:$G$801, 0)+1))&lt;=1181,2,1))))=0,"",IF(MOD(INDEX(輔助計算!$D:$D, (MATCH(742, 輔助計算!$G$2:$G$801, 0)+1)),IF(INDEX(ERP資料!$G:$G, (MATCH(742, 輔助計算!$G$2:$G$801, 0)+1))&lt;100, IF(INDEX(ERP資料!$G:$G, (MATCH(742, 輔助計算!$G$2:$G$801, 0)+1))&lt;=31,3,IF(INDEX(ERP資料!$G:$G, (MATCH(742, 輔助計算!$G$2:$G$801, 0)+1))&lt;=46.5,2,1)), IF(INDEX(ERP資料!$G:$G, (MATCH(742, 輔助計算!$G$2:$G$801, 0)+1))&lt;=790,3,IF(INDEX(ERP資料!$G:$G, (MATCH(742, 輔助計算!$G$2:$G$801, 0)+1))&lt;=1181,2,1))))=0,"",IF(MOD(INDEX(輔助計算!$D:$D, (MATCH(742, 輔助計算!$G$2:$G$801, 0)+1)),IF(INDEX(ERP資料!$G:$G, (MATCH(742, 輔助計算!$G$2:$G$801, 0)+1))&lt;100, IF(INDEX(ERP資料!$G:$G, (MATCH(742, 輔助計算!$G$2:$G$801, 0)+1))&lt;=31,3,IF(INDEX(ERP資料!$G:$G, (MATCH(742, 輔助計算!$G$2:$G$801, 0)+1))&lt;=46.5,2,1)), IF(INDEX(ERP資料!$G:$G, (MATCH(742, 輔助計算!$G$2:$G$801, 0)+1))&lt;=790,3,IF(INDEX(ERP資料!$G:$G, (MATCH(742, 輔助計算!$G$2:$G$801, 0)+1))&lt;=1181,2,1))))=1,TEXT(INDEX(ERP資料!$G:$G, (MATCH(742, 輔助計算!$G$2:$G$801, 0)+1)),"0.##"),IF(MOD(INDEX(輔助計算!$D:$D, (MATCH(742, 輔助計算!$G$2:$G$801, 0)+1)),IF(INDEX(ERP資料!$G:$G, (MATCH(742, 輔助計算!$G$2:$G$801, 0)+1))&lt;100, IF(INDEX(ERP資料!$G:$G, (MATCH(742, 輔助計算!$G$2:$G$801, 0)+1))&lt;=31,3,IF(INDEX(ERP資料!$G:$G, (MATCH(742, 輔助計算!$G$2:$G$801, 0)+1))&lt;=46.5,2,1)), IF(INDEX(ERP資料!$G:$G, (MATCH(742, 輔助計算!$G$2:$G$801, 0)+1))&lt;=790,3,IF(INDEX(ERP資料!$G:$G, (MATCH(742, 輔助計算!$G$2:$G$801, 0)+1))&lt;=1181,2,1))))=2,TEXT(INDEX(ERP資料!$G:$G, (MATCH(742, 輔助計算!$G$2:$G$801, 0)+1)),"0.##")&amp;"+"&amp;TEXT(INDEX(ERP資料!$G:$G, (MATCH(742, 輔助計算!$G$2:$G$801, 0)+1)),"0.##"),TEXT(INDEX(ERP資料!$G:$G, (MATCH(742, 輔助計算!$G$2:$G$801, 0)+1)),"0.##")&amp;"+"&amp;TEXT(INDEX(ERP資料!$G:$G, (MATCH(742, 輔助計算!$G$2:$G$801, 0)+1)),"0.##")&amp;"+"&amp;TEXT(INDEX(ERP資料!$G:$G, (MATCH(742, 輔助計算!$G$2:$G$801, 0)+1)),"0.##"))))&amp;"-1")), ""), "")</f>
        <v/>
      </c>
      <c r="K743" s="16" t="n"/>
      <c r="L743" s="14">
        <f>IFERROR(IF(AND(IFERROR(INDEX(ERP資料!$A:$A, (MATCH(742, 輔助計算!$G$2:$G$801, 0)+1)), "")&lt;&gt;"", IFERROR(INDEX(ERP資料!$A:$A, (MATCH(742, 輔助計算!$G$2:$G$801, 0)+1)), "")&lt;&gt;IFERROR(INDEX(ERP資料!$A:$A, MATCH(741, 輔助計算!$G$2:$G$801, 0)+1), "")), INDEX(ERP資料!$B:$B, (MATCH(742, 輔助計算!$G$2:$G$801, 0)+1)), ""), "")</f>
        <v/>
      </c>
      <c r="M743" s="17" t="n"/>
    </row>
    <row r="744">
      <c r="A744" s="10">
        <f>IFERROR(IF(AND(IFERROR(INDEX(ERP資料!$A:$A, (MATCH(743, 輔助計算!$G$2:$G$801, 0)+1)), "")&lt;&gt;"", IFERROR(INDEX(ERP資料!$A:$A, (MATCH(743, 輔助計算!$G$2:$G$801, 0)+1)), "")&lt;&gt;IFERROR(INDEX(ERP資料!$A:$A, MATCH(742, 輔助計算!$G$2:$G$801, 0)+1), "")), IFERROR(INDEX(ERP資料!$A:$A, (MATCH(743, 輔助計算!$G$2:$G$801, 0)+1)), ""), ""), "")</f>
        <v/>
      </c>
      <c r="B744" s="10">
        <f>IFERROR(IF(AND(IFERROR(INDEX(ERP資料!$A:$A, (MATCH(743, 輔助計算!$G$2:$G$801, 0)+1)), "")&lt;&gt;"", IFERROR(INDEX(ERP資料!$A:$A, (MATCH(743, 輔助計算!$G$2:$G$801, 0)+1)), "")&lt;&gt;IFERROR(INDEX(ERP資料!$A:$A, MATCH(742, 輔助計算!$G$2:$G$801, 0)+1), "")), INDEX(ERP資料!$S:$S, (MATCH(743, 輔助計算!$G$2:$G$801, 0)+1)), ""), "")</f>
        <v/>
      </c>
      <c r="C744" s="19">
        <f>IFERROR(IF(AND(IFERROR(INDEX(ERP資料!$A:$A, (MATCH(743, 輔助計算!$G$2:$G$801, 0)+1)), "")&lt;&gt;"", IFERROR(INDEX(ERP資料!$A:$A, (MATCH(743, 輔助計算!$G$2:$G$801, 0)+1)), "")&lt;&gt;IFERROR(INDEX(ERP資料!$A:$A, MATCH(742, 輔助計算!$G$2:$G$801, 0)+1), "")), IFERROR(VLOOKUP(LEFT(INDEX(ERP資料!$S:$S, (MATCH(743, 輔助計算!$G$2:$G$801, 0)+1)), 4), 紙管對照表!$A:$C, 3, FALSE), ""), ""), "")</f>
        <v/>
      </c>
      <c r="D744" s="16" t="n"/>
      <c r="E744" s="10">
        <f>IFERROR(IF(INDEX(ERP資料!$H:$H, (MATCH(743, 輔助計算!$G$2:$G$801, 0)+1))="","",INDEX(ERP資料!$H:$H, (MATCH(743, 輔助計算!$G$2:$G$801, 0)+1))), "")</f>
        <v/>
      </c>
      <c r="F744" s="10">
        <f>IFERROR(IF(INDEX(ERP資料!$E:$E, (MATCH(743, 輔助計算!$G$2:$G$801, 0)+1))="","",TRIM(INDEX(ERP資料!$E:$E, (MATCH(743, 輔助計算!$G$2:$G$801, 0)+1)))), "")</f>
        <v/>
      </c>
      <c r="G744" s="10">
        <f>IFERROR(IF(INDEX(ERP資料!$F:$F, (MATCH(743, 輔助計算!$G$2:$G$801, 0)+1))="","",INDEX(ERP資料!$F:$F, (MATCH(743, 輔助計算!$G$2:$G$801, 0)+1))), "")</f>
        <v/>
      </c>
      <c r="H744" s="10">
        <f>IFERROR(IF(INDEX(ERP資料!$G:$G, (MATCH(743, 輔助計算!$G$2:$G$801, 0)+1))="","",INDEX(ERP資料!$G:$G, (MATCH(743, 輔助計算!$G$2:$G$801, 0)+1))), "")</f>
        <v/>
      </c>
      <c r="I744" s="15">
        <f>IFERROR(INDEX(輔助計算!$D:$D, (MATCH(743, 輔助計算!$G$2:$G$801, 0)+1)), "")</f>
        <v/>
      </c>
      <c r="J744" s="15">
        <f>IFERROR(IF(AND(INDEX(輔助計算!$D:$D, (MATCH(743, 輔助計算!$G$2:$G$801, 0)+1))&lt;&gt;"", INDEX(ERP資料!$G:$G, (MATCH(743, 輔助計算!$G$2:$G$801, 0)+1))&lt;&gt;""), TRIM(IF(INT(INDEX(輔助計算!$D:$D, (MATCH(743, 輔助計算!$G$2:$G$801, 0)+1))/IF(INDEX(ERP資料!$G:$G, (MATCH(743, 輔助計算!$G$2:$G$801, 0)+1))&lt;100, IF(INDEX(ERP資料!$G:$G, (MATCH(743, 輔助計算!$G$2:$G$801, 0)+1))&lt;=31,3,IF(INDEX(ERP資料!$G:$G, (MATCH(743, 輔助計算!$G$2:$G$801, 0)+1))&lt;=46.5,2,1)), IF(INDEX(ERP資料!$G:$G, (MATCH(743, 輔助計算!$G$2:$G$801, 0)+1))&lt;=790,3,IF(INDEX(ERP資料!$G:$G, (MATCH(743, 輔助計算!$G$2:$G$801, 0)+1))&lt;=1181,2,1))))&gt;0, IF(IF(INDEX(ERP資料!$G:$G, (MATCH(743, 輔助計算!$G$2:$G$801, 0)+1))&lt;100, IF(INDEX(ERP資料!$G:$G, (MATCH(743, 輔助計算!$G$2:$G$801, 0)+1))&lt;=31,3,IF(INDEX(ERP資料!$G:$G, (MATCH(743, 輔助計算!$G$2:$G$801, 0)+1))&lt;=46.5,2,1)), IF(INDEX(ERP資料!$G:$G, (MATCH(743, 輔助計算!$G$2:$G$801, 0)+1))&lt;=790,3,IF(INDEX(ERP資料!$G:$G, (MATCH(743, 輔助計算!$G$2:$G$801, 0)+1))&lt;=1181,2,1)))=1,TEXT(INDEX(ERP資料!$G:$G, (MATCH(743, 輔助計算!$G$2:$G$801, 0)+1)),"0.##"),IF(IF(INDEX(ERP資料!$G:$G, (MATCH(743, 輔助計算!$G$2:$G$801, 0)+1))&lt;100, IF(INDEX(ERP資料!$G:$G, (MATCH(743, 輔助計算!$G$2:$G$801, 0)+1))&lt;=31,3,IF(INDEX(ERP資料!$G:$G, (MATCH(743, 輔助計算!$G$2:$G$801, 0)+1))&lt;=46.5,2,1)), IF(INDEX(ERP資料!$G:$G, (MATCH(743, 輔助計算!$G$2:$G$801, 0)+1))&lt;=790,3,IF(INDEX(ERP資料!$G:$G, (MATCH(743, 輔助計算!$G$2:$G$801, 0)+1))&lt;=1181,2,1)))=2,TEXT(INDEX(ERP資料!$G:$G, (MATCH(743, 輔助計算!$G$2:$G$801, 0)+1)),"0.##")&amp;"+"&amp;TEXT(INDEX(ERP資料!$G:$G, (MATCH(743, 輔助計算!$G$2:$G$801, 0)+1)),"0.##"),TEXT(INDEX(ERP資料!$G:$G, (MATCH(743, 輔助計算!$G$2:$G$801, 0)+1)),"0.##")&amp;"+"&amp;TEXT(INDEX(ERP資料!$G:$G, (MATCH(743, 輔助計算!$G$2:$G$801, 0)+1)),"0.##")&amp;"+"&amp;TEXT(INDEX(ERP資料!$G:$G, (MATCH(743, 輔助計算!$G$2:$G$801, 0)+1)),"0.##")))&amp;"-"&amp;INT(INDEX(輔助計算!$D:$D, (MATCH(743, 輔助計算!$G$2:$G$801, 0)+1))/IF(INDEX(ERP資料!$G:$G, (MATCH(743, 輔助計算!$G$2:$G$801, 0)+1))&lt;100, IF(INDEX(ERP資料!$G:$G, (MATCH(743, 輔助計算!$G$2:$G$801, 0)+1))&lt;=31,3,IF(INDEX(ERP資料!$G:$G, (MATCH(743, 輔助計算!$G$2:$G$801, 0)+1))&lt;=46.5,2,1)), IF(INDEX(ERP資料!$G:$G, (MATCH(743, 輔助計算!$G$2:$G$801, 0)+1))&lt;=790,3,IF(INDEX(ERP資料!$G:$G, (MATCH(743, 輔助計算!$G$2:$G$801, 0)+1))&lt;=1181,2,1)))), "")&amp;IF(AND(IF(INT(INDEX(輔助計算!$D:$D, (MATCH(743, 輔助計算!$G$2:$G$801, 0)+1))/IF(INDEX(ERP資料!$G:$G, (MATCH(743, 輔助計算!$G$2:$G$801, 0)+1))&lt;100, IF(INDEX(ERP資料!$G:$G, (MATCH(743, 輔助計算!$G$2:$G$801, 0)+1))&lt;=31,3,IF(INDEX(ERP資料!$G:$G, (MATCH(743, 輔助計算!$G$2:$G$801, 0)+1))&lt;=46.5,2,1)), IF(INDEX(ERP資料!$G:$G, (MATCH(743, 輔助計算!$G$2:$G$801, 0)+1))&lt;=790,3,IF(INDEX(ERP資料!$G:$G, (MATCH(743, 輔助計算!$G$2:$G$801, 0)+1))&lt;=1181,2,1))))&gt;0, IF(IF(INDEX(ERP資料!$G:$G, (MATCH(743, 輔助計算!$G$2:$G$801, 0)+1))&lt;100, IF(INDEX(ERP資料!$G:$G, (MATCH(743, 輔助計算!$G$2:$G$801, 0)+1))&lt;=31,3,IF(INDEX(ERP資料!$G:$G, (MATCH(743, 輔助計算!$G$2:$G$801, 0)+1))&lt;=46.5,2,1)), IF(INDEX(ERP資料!$G:$G, (MATCH(743, 輔助計算!$G$2:$G$801, 0)+1))&lt;=790,3,IF(INDEX(ERP資料!$G:$G, (MATCH(743, 輔助計算!$G$2:$G$801, 0)+1))&lt;=1181,2,1)))=1,TEXT(INDEX(ERP資料!$G:$G, (MATCH(743, 輔助計算!$G$2:$G$801, 0)+1)),"0.##"),IF(IF(INDEX(ERP資料!$G:$G, (MATCH(743, 輔助計算!$G$2:$G$801, 0)+1))&lt;100, IF(INDEX(ERP資料!$G:$G, (MATCH(743, 輔助計算!$G$2:$G$801, 0)+1))&lt;=31,3,IF(INDEX(ERP資料!$G:$G, (MATCH(743, 輔助計算!$G$2:$G$801, 0)+1))&lt;=46.5,2,1)), IF(INDEX(ERP資料!$G:$G, (MATCH(743, 輔助計算!$G$2:$G$801, 0)+1))&lt;=790,3,IF(INDEX(ERP資料!$G:$G, (MATCH(743, 輔助計算!$G$2:$G$801, 0)+1))&lt;=1181,2,1)))=2,TEXT(INDEX(ERP資料!$G:$G, (MATCH(743, 輔助計算!$G$2:$G$801, 0)+1)),"0.##")&amp;"+"&amp;TEXT(INDEX(ERP資料!$G:$G, (MATCH(743, 輔助計算!$G$2:$G$801, 0)+1)),"0.##"),TEXT(INDEX(ERP資料!$G:$G, (MATCH(743, 輔助計算!$G$2:$G$801, 0)+1)),"0.##")&amp;"+"&amp;TEXT(INDEX(ERP資料!$G:$G, (MATCH(743, 輔助計算!$G$2:$G$801, 0)+1)),"0.##")&amp;"+"&amp;TEXT(INDEX(ERP資料!$G:$G, (MATCH(743, 輔助計算!$G$2:$G$801, 0)+1)),"0.##")))&amp;"-"&amp;INT(INDEX(輔助計算!$D:$D, (MATCH(743, 輔助計算!$G$2:$G$801, 0)+1))/IF(INDEX(ERP資料!$G:$G, (MATCH(743, 輔助計算!$G$2:$G$801, 0)+1))&lt;100, IF(INDEX(ERP資料!$G:$G, (MATCH(743, 輔助計算!$G$2:$G$801, 0)+1))&lt;=31,3,IF(INDEX(ERP資料!$G:$G, (MATCH(743, 輔助計算!$G$2:$G$801, 0)+1))&lt;=46.5,2,1)), IF(INDEX(ERP資料!$G:$G, (MATCH(743, 輔助計算!$G$2:$G$801, 0)+1))&lt;=790,3,IF(INDEX(ERP資料!$G:$G, (MATCH(743, 輔助計算!$G$2:$G$801, 0)+1))&lt;=1181,2,1)))), "")&lt;&gt;"",IF(MOD(INDEX(輔助計算!$D:$D, (MATCH(743, 輔助計算!$G$2:$G$801, 0)+1)),IF(INDEX(ERP資料!$G:$G, (MATCH(743, 輔助計算!$G$2:$G$801, 0)+1))&lt;100, IF(INDEX(ERP資料!$G:$G, (MATCH(743, 輔助計算!$G$2:$G$801, 0)+1))&lt;=31,3,IF(INDEX(ERP資料!$G:$G, (MATCH(743, 輔助計算!$G$2:$G$801, 0)+1))&lt;=46.5,2,1)), IF(INDEX(ERP資料!$G:$G, (MATCH(743, 輔助計算!$G$2:$G$801, 0)+1))&lt;=790,3,IF(INDEX(ERP資料!$G:$G, (MATCH(743, 輔助計算!$G$2:$G$801, 0)+1))&lt;=1181,2,1))))=0,"",IF(MOD(INDEX(輔助計算!$D:$D, (MATCH(743, 輔助計算!$G$2:$G$801, 0)+1)),IF(INDEX(ERP資料!$G:$G, (MATCH(743, 輔助計算!$G$2:$G$801, 0)+1))&lt;100, IF(INDEX(ERP資料!$G:$G, (MATCH(743, 輔助計算!$G$2:$G$801, 0)+1))&lt;=31,3,IF(INDEX(ERP資料!$G:$G, (MATCH(743, 輔助計算!$G$2:$G$801, 0)+1))&lt;=46.5,2,1)), IF(INDEX(ERP資料!$G:$G, (MATCH(743, 輔助計算!$G$2:$G$801, 0)+1))&lt;=790,3,IF(INDEX(ERP資料!$G:$G, (MATCH(743, 輔助計算!$G$2:$G$801, 0)+1))&lt;=1181,2,1))))=0,"",IF(MOD(INDEX(輔助計算!$D:$D, (MATCH(743, 輔助計算!$G$2:$G$801, 0)+1)),IF(INDEX(ERP資料!$G:$G, (MATCH(743, 輔助計算!$G$2:$G$801, 0)+1))&lt;100, IF(INDEX(ERP資料!$G:$G, (MATCH(743, 輔助計算!$G$2:$G$801, 0)+1))&lt;=31,3,IF(INDEX(ERP資料!$G:$G, (MATCH(743, 輔助計算!$G$2:$G$801, 0)+1))&lt;=46.5,2,1)), IF(INDEX(ERP資料!$G:$G, (MATCH(743, 輔助計算!$G$2:$G$801, 0)+1))&lt;=790,3,IF(INDEX(ERP資料!$G:$G, (MATCH(743, 輔助計算!$G$2:$G$801, 0)+1))&lt;=1181,2,1))))=1,TEXT(INDEX(ERP資料!$G:$G, (MATCH(743, 輔助計算!$G$2:$G$801, 0)+1)),"0.##"),IF(MOD(INDEX(輔助計算!$D:$D, (MATCH(743, 輔助計算!$G$2:$G$801, 0)+1)),IF(INDEX(ERP資料!$G:$G, (MATCH(743, 輔助計算!$G$2:$G$801, 0)+1))&lt;100, IF(INDEX(ERP資料!$G:$G, (MATCH(743, 輔助計算!$G$2:$G$801, 0)+1))&lt;=31,3,IF(INDEX(ERP資料!$G:$G, (MATCH(743, 輔助計算!$G$2:$G$801, 0)+1))&lt;=46.5,2,1)), IF(INDEX(ERP資料!$G:$G, (MATCH(743, 輔助計算!$G$2:$G$801, 0)+1))&lt;=790,3,IF(INDEX(ERP資料!$G:$G, (MATCH(743, 輔助計算!$G$2:$G$801, 0)+1))&lt;=1181,2,1))))=2,TEXT(INDEX(ERP資料!$G:$G, (MATCH(743, 輔助計算!$G$2:$G$801, 0)+1)),"0.##")&amp;"+"&amp;TEXT(INDEX(ERP資料!$G:$G, (MATCH(743, 輔助計算!$G$2:$G$801, 0)+1)),"0.##"),TEXT(INDEX(ERP資料!$G:$G, (MATCH(743, 輔助計算!$G$2:$G$801, 0)+1)),"0.##")&amp;"+"&amp;TEXT(INDEX(ERP資料!$G:$G, (MATCH(743, 輔助計算!$G$2:$G$801, 0)+1)),"0.##")&amp;"+"&amp;TEXT(INDEX(ERP資料!$G:$G, (MATCH(743, 輔助計算!$G$2:$G$801, 0)+1)),"0.##"))))&amp;"-1")&lt;&gt;""),"  ","")&amp;IF(MOD(INDEX(輔助計算!$D:$D, (MATCH(743, 輔助計算!$G$2:$G$801, 0)+1)),IF(INDEX(ERP資料!$G:$G, (MATCH(743, 輔助計算!$G$2:$G$801, 0)+1))&lt;100, IF(INDEX(ERP資料!$G:$G, (MATCH(743, 輔助計算!$G$2:$G$801, 0)+1))&lt;=31,3,IF(INDEX(ERP資料!$G:$G, (MATCH(743, 輔助計算!$G$2:$G$801, 0)+1))&lt;=46.5,2,1)), IF(INDEX(ERP資料!$G:$G, (MATCH(743, 輔助計算!$G$2:$G$801, 0)+1))&lt;=790,3,IF(INDEX(ERP資料!$G:$G, (MATCH(743, 輔助計算!$G$2:$G$801, 0)+1))&lt;=1181,2,1))))=0,"",IF(MOD(INDEX(輔助計算!$D:$D, (MATCH(743, 輔助計算!$G$2:$G$801, 0)+1)),IF(INDEX(ERP資料!$G:$G, (MATCH(743, 輔助計算!$G$2:$G$801, 0)+1))&lt;100, IF(INDEX(ERP資料!$G:$G, (MATCH(743, 輔助計算!$G$2:$G$801, 0)+1))&lt;=31,3,IF(INDEX(ERP資料!$G:$G, (MATCH(743, 輔助計算!$G$2:$G$801, 0)+1))&lt;=46.5,2,1)), IF(INDEX(ERP資料!$G:$G, (MATCH(743, 輔助計算!$G$2:$G$801, 0)+1))&lt;=790,3,IF(INDEX(ERP資料!$G:$G, (MATCH(743, 輔助計算!$G$2:$G$801, 0)+1))&lt;=1181,2,1))))=0,"",IF(MOD(INDEX(輔助計算!$D:$D, (MATCH(743, 輔助計算!$G$2:$G$801, 0)+1)),IF(INDEX(ERP資料!$G:$G, (MATCH(743, 輔助計算!$G$2:$G$801, 0)+1))&lt;100, IF(INDEX(ERP資料!$G:$G, (MATCH(743, 輔助計算!$G$2:$G$801, 0)+1))&lt;=31,3,IF(INDEX(ERP資料!$G:$G, (MATCH(743, 輔助計算!$G$2:$G$801, 0)+1))&lt;=46.5,2,1)), IF(INDEX(ERP資料!$G:$G, (MATCH(743, 輔助計算!$G$2:$G$801, 0)+1))&lt;=790,3,IF(INDEX(ERP資料!$G:$G, (MATCH(743, 輔助計算!$G$2:$G$801, 0)+1))&lt;=1181,2,1))))=1,TEXT(INDEX(ERP資料!$G:$G, (MATCH(743, 輔助計算!$G$2:$G$801, 0)+1)),"0.##"),IF(MOD(INDEX(輔助計算!$D:$D, (MATCH(743, 輔助計算!$G$2:$G$801, 0)+1)),IF(INDEX(ERP資料!$G:$G, (MATCH(743, 輔助計算!$G$2:$G$801, 0)+1))&lt;100, IF(INDEX(ERP資料!$G:$G, (MATCH(743, 輔助計算!$G$2:$G$801, 0)+1))&lt;=31,3,IF(INDEX(ERP資料!$G:$G, (MATCH(743, 輔助計算!$G$2:$G$801, 0)+1))&lt;=46.5,2,1)), IF(INDEX(ERP資料!$G:$G, (MATCH(743, 輔助計算!$G$2:$G$801, 0)+1))&lt;=790,3,IF(INDEX(ERP資料!$G:$G, (MATCH(743, 輔助計算!$G$2:$G$801, 0)+1))&lt;=1181,2,1))))=2,TEXT(INDEX(ERP資料!$G:$G, (MATCH(743, 輔助計算!$G$2:$G$801, 0)+1)),"0.##")&amp;"+"&amp;TEXT(INDEX(ERP資料!$G:$G, (MATCH(743, 輔助計算!$G$2:$G$801, 0)+1)),"0.##"),TEXT(INDEX(ERP資料!$G:$G, (MATCH(743, 輔助計算!$G$2:$G$801, 0)+1)),"0.##")&amp;"+"&amp;TEXT(INDEX(ERP資料!$G:$G, (MATCH(743, 輔助計算!$G$2:$G$801, 0)+1)),"0.##")&amp;"+"&amp;TEXT(INDEX(ERP資料!$G:$G, (MATCH(743, 輔助計算!$G$2:$G$801, 0)+1)),"0.##"))))&amp;"-1")), ""), "")</f>
        <v/>
      </c>
      <c r="K744" s="16" t="n"/>
      <c r="L744" s="14">
        <f>IFERROR(IF(AND(IFERROR(INDEX(ERP資料!$A:$A, (MATCH(743, 輔助計算!$G$2:$G$801, 0)+1)), "")&lt;&gt;"", IFERROR(INDEX(ERP資料!$A:$A, (MATCH(743, 輔助計算!$G$2:$G$801, 0)+1)), "")&lt;&gt;IFERROR(INDEX(ERP資料!$A:$A, MATCH(742, 輔助計算!$G$2:$G$801, 0)+1), "")), INDEX(ERP資料!$B:$B, (MATCH(743, 輔助計算!$G$2:$G$801, 0)+1)), ""), "")</f>
        <v/>
      </c>
      <c r="M744" s="17" t="n"/>
    </row>
    <row r="745">
      <c r="A745" s="10">
        <f>IFERROR(IF(AND(IFERROR(INDEX(ERP資料!$A:$A, (MATCH(744, 輔助計算!$G$2:$G$801, 0)+1)), "")&lt;&gt;"", IFERROR(INDEX(ERP資料!$A:$A, (MATCH(744, 輔助計算!$G$2:$G$801, 0)+1)), "")&lt;&gt;IFERROR(INDEX(ERP資料!$A:$A, MATCH(743, 輔助計算!$G$2:$G$801, 0)+1), "")), IFERROR(INDEX(ERP資料!$A:$A, (MATCH(744, 輔助計算!$G$2:$G$801, 0)+1)), ""), ""), "")</f>
        <v/>
      </c>
      <c r="B745" s="10">
        <f>IFERROR(IF(AND(IFERROR(INDEX(ERP資料!$A:$A, (MATCH(744, 輔助計算!$G$2:$G$801, 0)+1)), "")&lt;&gt;"", IFERROR(INDEX(ERP資料!$A:$A, (MATCH(744, 輔助計算!$G$2:$G$801, 0)+1)), "")&lt;&gt;IFERROR(INDEX(ERP資料!$A:$A, MATCH(743, 輔助計算!$G$2:$G$801, 0)+1), "")), INDEX(ERP資料!$S:$S, (MATCH(744, 輔助計算!$G$2:$G$801, 0)+1)), ""), "")</f>
        <v/>
      </c>
      <c r="C745" s="19">
        <f>IFERROR(IF(AND(IFERROR(INDEX(ERP資料!$A:$A, (MATCH(744, 輔助計算!$G$2:$G$801, 0)+1)), "")&lt;&gt;"", IFERROR(INDEX(ERP資料!$A:$A, (MATCH(744, 輔助計算!$G$2:$G$801, 0)+1)), "")&lt;&gt;IFERROR(INDEX(ERP資料!$A:$A, MATCH(743, 輔助計算!$G$2:$G$801, 0)+1), "")), IFERROR(VLOOKUP(LEFT(INDEX(ERP資料!$S:$S, (MATCH(744, 輔助計算!$G$2:$G$801, 0)+1)), 4), 紙管對照表!$A:$C, 3, FALSE), ""), ""), "")</f>
        <v/>
      </c>
      <c r="D745" s="16" t="n"/>
      <c r="E745" s="10">
        <f>IFERROR(IF(INDEX(ERP資料!$H:$H, (MATCH(744, 輔助計算!$G$2:$G$801, 0)+1))="","",INDEX(ERP資料!$H:$H, (MATCH(744, 輔助計算!$G$2:$G$801, 0)+1))), "")</f>
        <v/>
      </c>
      <c r="F745" s="10">
        <f>IFERROR(IF(INDEX(ERP資料!$E:$E, (MATCH(744, 輔助計算!$G$2:$G$801, 0)+1))="","",TRIM(INDEX(ERP資料!$E:$E, (MATCH(744, 輔助計算!$G$2:$G$801, 0)+1)))), "")</f>
        <v/>
      </c>
      <c r="G745" s="10">
        <f>IFERROR(IF(INDEX(ERP資料!$F:$F, (MATCH(744, 輔助計算!$G$2:$G$801, 0)+1))="","",INDEX(ERP資料!$F:$F, (MATCH(744, 輔助計算!$G$2:$G$801, 0)+1))), "")</f>
        <v/>
      </c>
      <c r="H745" s="10">
        <f>IFERROR(IF(INDEX(ERP資料!$G:$G, (MATCH(744, 輔助計算!$G$2:$G$801, 0)+1))="","",INDEX(ERP資料!$G:$G, (MATCH(744, 輔助計算!$G$2:$G$801, 0)+1))), "")</f>
        <v/>
      </c>
      <c r="I745" s="15">
        <f>IFERROR(INDEX(輔助計算!$D:$D, (MATCH(744, 輔助計算!$G$2:$G$801, 0)+1)), "")</f>
        <v/>
      </c>
      <c r="J745" s="15">
        <f>IFERROR(IF(AND(INDEX(輔助計算!$D:$D, (MATCH(744, 輔助計算!$G$2:$G$801, 0)+1))&lt;&gt;"", INDEX(ERP資料!$G:$G, (MATCH(744, 輔助計算!$G$2:$G$801, 0)+1))&lt;&gt;""), TRIM(IF(INT(INDEX(輔助計算!$D:$D, (MATCH(744, 輔助計算!$G$2:$G$801, 0)+1))/IF(INDEX(ERP資料!$G:$G, (MATCH(744, 輔助計算!$G$2:$G$801, 0)+1))&lt;100, IF(INDEX(ERP資料!$G:$G, (MATCH(744, 輔助計算!$G$2:$G$801, 0)+1))&lt;=31,3,IF(INDEX(ERP資料!$G:$G, (MATCH(744, 輔助計算!$G$2:$G$801, 0)+1))&lt;=46.5,2,1)), IF(INDEX(ERP資料!$G:$G, (MATCH(744, 輔助計算!$G$2:$G$801, 0)+1))&lt;=790,3,IF(INDEX(ERP資料!$G:$G, (MATCH(744, 輔助計算!$G$2:$G$801, 0)+1))&lt;=1181,2,1))))&gt;0, IF(IF(INDEX(ERP資料!$G:$G, (MATCH(744, 輔助計算!$G$2:$G$801, 0)+1))&lt;100, IF(INDEX(ERP資料!$G:$G, (MATCH(744, 輔助計算!$G$2:$G$801, 0)+1))&lt;=31,3,IF(INDEX(ERP資料!$G:$G, (MATCH(744, 輔助計算!$G$2:$G$801, 0)+1))&lt;=46.5,2,1)), IF(INDEX(ERP資料!$G:$G, (MATCH(744, 輔助計算!$G$2:$G$801, 0)+1))&lt;=790,3,IF(INDEX(ERP資料!$G:$G, (MATCH(744, 輔助計算!$G$2:$G$801, 0)+1))&lt;=1181,2,1)))=1,TEXT(INDEX(ERP資料!$G:$G, (MATCH(744, 輔助計算!$G$2:$G$801, 0)+1)),"0.##"),IF(IF(INDEX(ERP資料!$G:$G, (MATCH(744, 輔助計算!$G$2:$G$801, 0)+1))&lt;100, IF(INDEX(ERP資料!$G:$G, (MATCH(744, 輔助計算!$G$2:$G$801, 0)+1))&lt;=31,3,IF(INDEX(ERP資料!$G:$G, (MATCH(744, 輔助計算!$G$2:$G$801, 0)+1))&lt;=46.5,2,1)), IF(INDEX(ERP資料!$G:$G, (MATCH(744, 輔助計算!$G$2:$G$801, 0)+1))&lt;=790,3,IF(INDEX(ERP資料!$G:$G, (MATCH(744, 輔助計算!$G$2:$G$801, 0)+1))&lt;=1181,2,1)))=2,TEXT(INDEX(ERP資料!$G:$G, (MATCH(744, 輔助計算!$G$2:$G$801, 0)+1)),"0.##")&amp;"+"&amp;TEXT(INDEX(ERP資料!$G:$G, (MATCH(744, 輔助計算!$G$2:$G$801, 0)+1)),"0.##"),TEXT(INDEX(ERP資料!$G:$G, (MATCH(744, 輔助計算!$G$2:$G$801, 0)+1)),"0.##")&amp;"+"&amp;TEXT(INDEX(ERP資料!$G:$G, (MATCH(744, 輔助計算!$G$2:$G$801, 0)+1)),"0.##")&amp;"+"&amp;TEXT(INDEX(ERP資料!$G:$G, (MATCH(744, 輔助計算!$G$2:$G$801, 0)+1)),"0.##")))&amp;"-"&amp;INT(INDEX(輔助計算!$D:$D, (MATCH(744, 輔助計算!$G$2:$G$801, 0)+1))/IF(INDEX(ERP資料!$G:$G, (MATCH(744, 輔助計算!$G$2:$G$801, 0)+1))&lt;100, IF(INDEX(ERP資料!$G:$G, (MATCH(744, 輔助計算!$G$2:$G$801, 0)+1))&lt;=31,3,IF(INDEX(ERP資料!$G:$G, (MATCH(744, 輔助計算!$G$2:$G$801, 0)+1))&lt;=46.5,2,1)), IF(INDEX(ERP資料!$G:$G, (MATCH(744, 輔助計算!$G$2:$G$801, 0)+1))&lt;=790,3,IF(INDEX(ERP資料!$G:$G, (MATCH(744, 輔助計算!$G$2:$G$801, 0)+1))&lt;=1181,2,1)))), "")&amp;IF(AND(IF(INT(INDEX(輔助計算!$D:$D, (MATCH(744, 輔助計算!$G$2:$G$801, 0)+1))/IF(INDEX(ERP資料!$G:$G, (MATCH(744, 輔助計算!$G$2:$G$801, 0)+1))&lt;100, IF(INDEX(ERP資料!$G:$G, (MATCH(744, 輔助計算!$G$2:$G$801, 0)+1))&lt;=31,3,IF(INDEX(ERP資料!$G:$G, (MATCH(744, 輔助計算!$G$2:$G$801, 0)+1))&lt;=46.5,2,1)), IF(INDEX(ERP資料!$G:$G, (MATCH(744, 輔助計算!$G$2:$G$801, 0)+1))&lt;=790,3,IF(INDEX(ERP資料!$G:$G, (MATCH(744, 輔助計算!$G$2:$G$801, 0)+1))&lt;=1181,2,1))))&gt;0, IF(IF(INDEX(ERP資料!$G:$G, (MATCH(744, 輔助計算!$G$2:$G$801, 0)+1))&lt;100, IF(INDEX(ERP資料!$G:$G, (MATCH(744, 輔助計算!$G$2:$G$801, 0)+1))&lt;=31,3,IF(INDEX(ERP資料!$G:$G, (MATCH(744, 輔助計算!$G$2:$G$801, 0)+1))&lt;=46.5,2,1)), IF(INDEX(ERP資料!$G:$G, (MATCH(744, 輔助計算!$G$2:$G$801, 0)+1))&lt;=790,3,IF(INDEX(ERP資料!$G:$G, (MATCH(744, 輔助計算!$G$2:$G$801, 0)+1))&lt;=1181,2,1)))=1,TEXT(INDEX(ERP資料!$G:$G, (MATCH(744, 輔助計算!$G$2:$G$801, 0)+1)),"0.##"),IF(IF(INDEX(ERP資料!$G:$G, (MATCH(744, 輔助計算!$G$2:$G$801, 0)+1))&lt;100, IF(INDEX(ERP資料!$G:$G, (MATCH(744, 輔助計算!$G$2:$G$801, 0)+1))&lt;=31,3,IF(INDEX(ERP資料!$G:$G, (MATCH(744, 輔助計算!$G$2:$G$801, 0)+1))&lt;=46.5,2,1)), IF(INDEX(ERP資料!$G:$G, (MATCH(744, 輔助計算!$G$2:$G$801, 0)+1))&lt;=790,3,IF(INDEX(ERP資料!$G:$G, (MATCH(744, 輔助計算!$G$2:$G$801, 0)+1))&lt;=1181,2,1)))=2,TEXT(INDEX(ERP資料!$G:$G, (MATCH(744, 輔助計算!$G$2:$G$801, 0)+1)),"0.##")&amp;"+"&amp;TEXT(INDEX(ERP資料!$G:$G, (MATCH(744, 輔助計算!$G$2:$G$801, 0)+1)),"0.##"),TEXT(INDEX(ERP資料!$G:$G, (MATCH(744, 輔助計算!$G$2:$G$801, 0)+1)),"0.##")&amp;"+"&amp;TEXT(INDEX(ERP資料!$G:$G, (MATCH(744, 輔助計算!$G$2:$G$801, 0)+1)),"0.##")&amp;"+"&amp;TEXT(INDEX(ERP資料!$G:$G, (MATCH(744, 輔助計算!$G$2:$G$801, 0)+1)),"0.##")))&amp;"-"&amp;INT(INDEX(輔助計算!$D:$D, (MATCH(744, 輔助計算!$G$2:$G$801, 0)+1))/IF(INDEX(ERP資料!$G:$G, (MATCH(744, 輔助計算!$G$2:$G$801, 0)+1))&lt;100, IF(INDEX(ERP資料!$G:$G, (MATCH(744, 輔助計算!$G$2:$G$801, 0)+1))&lt;=31,3,IF(INDEX(ERP資料!$G:$G, (MATCH(744, 輔助計算!$G$2:$G$801, 0)+1))&lt;=46.5,2,1)), IF(INDEX(ERP資料!$G:$G, (MATCH(744, 輔助計算!$G$2:$G$801, 0)+1))&lt;=790,3,IF(INDEX(ERP資料!$G:$G, (MATCH(744, 輔助計算!$G$2:$G$801, 0)+1))&lt;=1181,2,1)))), "")&lt;&gt;"",IF(MOD(INDEX(輔助計算!$D:$D, (MATCH(744, 輔助計算!$G$2:$G$801, 0)+1)),IF(INDEX(ERP資料!$G:$G, (MATCH(744, 輔助計算!$G$2:$G$801, 0)+1))&lt;100, IF(INDEX(ERP資料!$G:$G, (MATCH(744, 輔助計算!$G$2:$G$801, 0)+1))&lt;=31,3,IF(INDEX(ERP資料!$G:$G, (MATCH(744, 輔助計算!$G$2:$G$801, 0)+1))&lt;=46.5,2,1)), IF(INDEX(ERP資料!$G:$G, (MATCH(744, 輔助計算!$G$2:$G$801, 0)+1))&lt;=790,3,IF(INDEX(ERP資料!$G:$G, (MATCH(744, 輔助計算!$G$2:$G$801, 0)+1))&lt;=1181,2,1))))=0,"",IF(MOD(INDEX(輔助計算!$D:$D, (MATCH(744, 輔助計算!$G$2:$G$801, 0)+1)),IF(INDEX(ERP資料!$G:$G, (MATCH(744, 輔助計算!$G$2:$G$801, 0)+1))&lt;100, IF(INDEX(ERP資料!$G:$G, (MATCH(744, 輔助計算!$G$2:$G$801, 0)+1))&lt;=31,3,IF(INDEX(ERP資料!$G:$G, (MATCH(744, 輔助計算!$G$2:$G$801, 0)+1))&lt;=46.5,2,1)), IF(INDEX(ERP資料!$G:$G, (MATCH(744, 輔助計算!$G$2:$G$801, 0)+1))&lt;=790,3,IF(INDEX(ERP資料!$G:$G, (MATCH(744, 輔助計算!$G$2:$G$801, 0)+1))&lt;=1181,2,1))))=0,"",IF(MOD(INDEX(輔助計算!$D:$D, (MATCH(744, 輔助計算!$G$2:$G$801, 0)+1)),IF(INDEX(ERP資料!$G:$G, (MATCH(744, 輔助計算!$G$2:$G$801, 0)+1))&lt;100, IF(INDEX(ERP資料!$G:$G, (MATCH(744, 輔助計算!$G$2:$G$801, 0)+1))&lt;=31,3,IF(INDEX(ERP資料!$G:$G, (MATCH(744, 輔助計算!$G$2:$G$801, 0)+1))&lt;=46.5,2,1)), IF(INDEX(ERP資料!$G:$G, (MATCH(744, 輔助計算!$G$2:$G$801, 0)+1))&lt;=790,3,IF(INDEX(ERP資料!$G:$G, (MATCH(744, 輔助計算!$G$2:$G$801, 0)+1))&lt;=1181,2,1))))=1,TEXT(INDEX(ERP資料!$G:$G, (MATCH(744, 輔助計算!$G$2:$G$801, 0)+1)),"0.##"),IF(MOD(INDEX(輔助計算!$D:$D, (MATCH(744, 輔助計算!$G$2:$G$801, 0)+1)),IF(INDEX(ERP資料!$G:$G, (MATCH(744, 輔助計算!$G$2:$G$801, 0)+1))&lt;100, IF(INDEX(ERP資料!$G:$G, (MATCH(744, 輔助計算!$G$2:$G$801, 0)+1))&lt;=31,3,IF(INDEX(ERP資料!$G:$G, (MATCH(744, 輔助計算!$G$2:$G$801, 0)+1))&lt;=46.5,2,1)), IF(INDEX(ERP資料!$G:$G, (MATCH(744, 輔助計算!$G$2:$G$801, 0)+1))&lt;=790,3,IF(INDEX(ERP資料!$G:$G, (MATCH(744, 輔助計算!$G$2:$G$801, 0)+1))&lt;=1181,2,1))))=2,TEXT(INDEX(ERP資料!$G:$G, (MATCH(744, 輔助計算!$G$2:$G$801, 0)+1)),"0.##")&amp;"+"&amp;TEXT(INDEX(ERP資料!$G:$G, (MATCH(744, 輔助計算!$G$2:$G$801, 0)+1)),"0.##"),TEXT(INDEX(ERP資料!$G:$G, (MATCH(744, 輔助計算!$G$2:$G$801, 0)+1)),"0.##")&amp;"+"&amp;TEXT(INDEX(ERP資料!$G:$G, (MATCH(744, 輔助計算!$G$2:$G$801, 0)+1)),"0.##")&amp;"+"&amp;TEXT(INDEX(ERP資料!$G:$G, (MATCH(744, 輔助計算!$G$2:$G$801, 0)+1)),"0.##"))))&amp;"-1")&lt;&gt;""),"  ","")&amp;IF(MOD(INDEX(輔助計算!$D:$D, (MATCH(744, 輔助計算!$G$2:$G$801, 0)+1)),IF(INDEX(ERP資料!$G:$G, (MATCH(744, 輔助計算!$G$2:$G$801, 0)+1))&lt;100, IF(INDEX(ERP資料!$G:$G, (MATCH(744, 輔助計算!$G$2:$G$801, 0)+1))&lt;=31,3,IF(INDEX(ERP資料!$G:$G, (MATCH(744, 輔助計算!$G$2:$G$801, 0)+1))&lt;=46.5,2,1)), IF(INDEX(ERP資料!$G:$G, (MATCH(744, 輔助計算!$G$2:$G$801, 0)+1))&lt;=790,3,IF(INDEX(ERP資料!$G:$G, (MATCH(744, 輔助計算!$G$2:$G$801, 0)+1))&lt;=1181,2,1))))=0,"",IF(MOD(INDEX(輔助計算!$D:$D, (MATCH(744, 輔助計算!$G$2:$G$801, 0)+1)),IF(INDEX(ERP資料!$G:$G, (MATCH(744, 輔助計算!$G$2:$G$801, 0)+1))&lt;100, IF(INDEX(ERP資料!$G:$G, (MATCH(744, 輔助計算!$G$2:$G$801, 0)+1))&lt;=31,3,IF(INDEX(ERP資料!$G:$G, (MATCH(744, 輔助計算!$G$2:$G$801, 0)+1))&lt;=46.5,2,1)), IF(INDEX(ERP資料!$G:$G, (MATCH(744, 輔助計算!$G$2:$G$801, 0)+1))&lt;=790,3,IF(INDEX(ERP資料!$G:$G, (MATCH(744, 輔助計算!$G$2:$G$801, 0)+1))&lt;=1181,2,1))))=0,"",IF(MOD(INDEX(輔助計算!$D:$D, (MATCH(744, 輔助計算!$G$2:$G$801, 0)+1)),IF(INDEX(ERP資料!$G:$G, (MATCH(744, 輔助計算!$G$2:$G$801, 0)+1))&lt;100, IF(INDEX(ERP資料!$G:$G, (MATCH(744, 輔助計算!$G$2:$G$801, 0)+1))&lt;=31,3,IF(INDEX(ERP資料!$G:$G, (MATCH(744, 輔助計算!$G$2:$G$801, 0)+1))&lt;=46.5,2,1)), IF(INDEX(ERP資料!$G:$G, (MATCH(744, 輔助計算!$G$2:$G$801, 0)+1))&lt;=790,3,IF(INDEX(ERP資料!$G:$G, (MATCH(744, 輔助計算!$G$2:$G$801, 0)+1))&lt;=1181,2,1))))=1,TEXT(INDEX(ERP資料!$G:$G, (MATCH(744, 輔助計算!$G$2:$G$801, 0)+1)),"0.##"),IF(MOD(INDEX(輔助計算!$D:$D, (MATCH(744, 輔助計算!$G$2:$G$801, 0)+1)),IF(INDEX(ERP資料!$G:$G, (MATCH(744, 輔助計算!$G$2:$G$801, 0)+1))&lt;100, IF(INDEX(ERP資料!$G:$G, (MATCH(744, 輔助計算!$G$2:$G$801, 0)+1))&lt;=31,3,IF(INDEX(ERP資料!$G:$G, (MATCH(744, 輔助計算!$G$2:$G$801, 0)+1))&lt;=46.5,2,1)), IF(INDEX(ERP資料!$G:$G, (MATCH(744, 輔助計算!$G$2:$G$801, 0)+1))&lt;=790,3,IF(INDEX(ERP資料!$G:$G, (MATCH(744, 輔助計算!$G$2:$G$801, 0)+1))&lt;=1181,2,1))))=2,TEXT(INDEX(ERP資料!$G:$G, (MATCH(744, 輔助計算!$G$2:$G$801, 0)+1)),"0.##")&amp;"+"&amp;TEXT(INDEX(ERP資料!$G:$G, (MATCH(744, 輔助計算!$G$2:$G$801, 0)+1)),"0.##"),TEXT(INDEX(ERP資料!$G:$G, (MATCH(744, 輔助計算!$G$2:$G$801, 0)+1)),"0.##")&amp;"+"&amp;TEXT(INDEX(ERP資料!$G:$G, (MATCH(744, 輔助計算!$G$2:$G$801, 0)+1)),"0.##")&amp;"+"&amp;TEXT(INDEX(ERP資料!$G:$G, (MATCH(744, 輔助計算!$G$2:$G$801, 0)+1)),"0.##"))))&amp;"-1")), ""), "")</f>
        <v/>
      </c>
      <c r="K745" s="16" t="n"/>
      <c r="L745" s="14">
        <f>IFERROR(IF(AND(IFERROR(INDEX(ERP資料!$A:$A, (MATCH(744, 輔助計算!$G$2:$G$801, 0)+1)), "")&lt;&gt;"", IFERROR(INDEX(ERP資料!$A:$A, (MATCH(744, 輔助計算!$G$2:$G$801, 0)+1)), "")&lt;&gt;IFERROR(INDEX(ERP資料!$A:$A, MATCH(743, 輔助計算!$G$2:$G$801, 0)+1), "")), INDEX(ERP資料!$B:$B, (MATCH(744, 輔助計算!$G$2:$G$801, 0)+1)), ""), "")</f>
        <v/>
      </c>
      <c r="M745" s="17" t="n"/>
    </row>
    <row r="746">
      <c r="A746" s="10">
        <f>IFERROR(IF(AND(IFERROR(INDEX(ERP資料!$A:$A, (MATCH(745, 輔助計算!$G$2:$G$801, 0)+1)), "")&lt;&gt;"", IFERROR(INDEX(ERP資料!$A:$A, (MATCH(745, 輔助計算!$G$2:$G$801, 0)+1)), "")&lt;&gt;IFERROR(INDEX(ERP資料!$A:$A, MATCH(744, 輔助計算!$G$2:$G$801, 0)+1), "")), IFERROR(INDEX(ERP資料!$A:$A, (MATCH(745, 輔助計算!$G$2:$G$801, 0)+1)), ""), ""), "")</f>
        <v/>
      </c>
      <c r="B746" s="10">
        <f>IFERROR(IF(AND(IFERROR(INDEX(ERP資料!$A:$A, (MATCH(745, 輔助計算!$G$2:$G$801, 0)+1)), "")&lt;&gt;"", IFERROR(INDEX(ERP資料!$A:$A, (MATCH(745, 輔助計算!$G$2:$G$801, 0)+1)), "")&lt;&gt;IFERROR(INDEX(ERP資料!$A:$A, MATCH(744, 輔助計算!$G$2:$G$801, 0)+1), "")), INDEX(ERP資料!$S:$S, (MATCH(745, 輔助計算!$G$2:$G$801, 0)+1)), ""), "")</f>
        <v/>
      </c>
      <c r="C746" s="19">
        <f>IFERROR(IF(AND(IFERROR(INDEX(ERP資料!$A:$A, (MATCH(745, 輔助計算!$G$2:$G$801, 0)+1)), "")&lt;&gt;"", IFERROR(INDEX(ERP資料!$A:$A, (MATCH(745, 輔助計算!$G$2:$G$801, 0)+1)), "")&lt;&gt;IFERROR(INDEX(ERP資料!$A:$A, MATCH(744, 輔助計算!$G$2:$G$801, 0)+1), "")), IFERROR(VLOOKUP(LEFT(INDEX(ERP資料!$S:$S, (MATCH(745, 輔助計算!$G$2:$G$801, 0)+1)), 4), 紙管對照表!$A:$C, 3, FALSE), ""), ""), "")</f>
        <v/>
      </c>
      <c r="D746" s="16" t="n"/>
      <c r="E746" s="10">
        <f>IFERROR(IF(INDEX(ERP資料!$H:$H, (MATCH(745, 輔助計算!$G$2:$G$801, 0)+1))="","",INDEX(ERP資料!$H:$H, (MATCH(745, 輔助計算!$G$2:$G$801, 0)+1))), "")</f>
        <v/>
      </c>
      <c r="F746" s="10">
        <f>IFERROR(IF(INDEX(ERP資料!$E:$E, (MATCH(745, 輔助計算!$G$2:$G$801, 0)+1))="","",TRIM(INDEX(ERP資料!$E:$E, (MATCH(745, 輔助計算!$G$2:$G$801, 0)+1)))), "")</f>
        <v/>
      </c>
      <c r="G746" s="10">
        <f>IFERROR(IF(INDEX(ERP資料!$F:$F, (MATCH(745, 輔助計算!$G$2:$G$801, 0)+1))="","",INDEX(ERP資料!$F:$F, (MATCH(745, 輔助計算!$G$2:$G$801, 0)+1))), "")</f>
        <v/>
      </c>
      <c r="H746" s="10">
        <f>IFERROR(IF(INDEX(ERP資料!$G:$G, (MATCH(745, 輔助計算!$G$2:$G$801, 0)+1))="","",INDEX(ERP資料!$G:$G, (MATCH(745, 輔助計算!$G$2:$G$801, 0)+1))), "")</f>
        <v/>
      </c>
      <c r="I746" s="15">
        <f>IFERROR(INDEX(輔助計算!$D:$D, (MATCH(745, 輔助計算!$G$2:$G$801, 0)+1)), "")</f>
        <v/>
      </c>
      <c r="J746" s="15">
        <f>IFERROR(IF(AND(INDEX(輔助計算!$D:$D, (MATCH(745, 輔助計算!$G$2:$G$801, 0)+1))&lt;&gt;"", INDEX(ERP資料!$G:$G, (MATCH(745, 輔助計算!$G$2:$G$801, 0)+1))&lt;&gt;""), TRIM(IF(INT(INDEX(輔助計算!$D:$D, (MATCH(745, 輔助計算!$G$2:$G$801, 0)+1))/IF(INDEX(ERP資料!$G:$G, (MATCH(745, 輔助計算!$G$2:$G$801, 0)+1))&lt;100, IF(INDEX(ERP資料!$G:$G, (MATCH(745, 輔助計算!$G$2:$G$801, 0)+1))&lt;=31,3,IF(INDEX(ERP資料!$G:$G, (MATCH(745, 輔助計算!$G$2:$G$801, 0)+1))&lt;=46.5,2,1)), IF(INDEX(ERP資料!$G:$G, (MATCH(745, 輔助計算!$G$2:$G$801, 0)+1))&lt;=790,3,IF(INDEX(ERP資料!$G:$G, (MATCH(745, 輔助計算!$G$2:$G$801, 0)+1))&lt;=1181,2,1))))&gt;0, IF(IF(INDEX(ERP資料!$G:$G, (MATCH(745, 輔助計算!$G$2:$G$801, 0)+1))&lt;100, IF(INDEX(ERP資料!$G:$G, (MATCH(745, 輔助計算!$G$2:$G$801, 0)+1))&lt;=31,3,IF(INDEX(ERP資料!$G:$G, (MATCH(745, 輔助計算!$G$2:$G$801, 0)+1))&lt;=46.5,2,1)), IF(INDEX(ERP資料!$G:$G, (MATCH(745, 輔助計算!$G$2:$G$801, 0)+1))&lt;=790,3,IF(INDEX(ERP資料!$G:$G, (MATCH(745, 輔助計算!$G$2:$G$801, 0)+1))&lt;=1181,2,1)))=1,TEXT(INDEX(ERP資料!$G:$G, (MATCH(745, 輔助計算!$G$2:$G$801, 0)+1)),"0.##"),IF(IF(INDEX(ERP資料!$G:$G, (MATCH(745, 輔助計算!$G$2:$G$801, 0)+1))&lt;100, IF(INDEX(ERP資料!$G:$G, (MATCH(745, 輔助計算!$G$2:$G$801, 0)+1))&lt;=31,3,IF(INDEX(ERP資料!$G:$G, (MATCH(745, 輔助計算!$G$2:$G$801, 0)+1))&lt;=46.5,2,1)), IF(INDEX(ERP資料!$G:$G, (MATCH(745, 輔助計算!$G$2:$G$801, 0)+1))&lt;=790,3,IF(INDEX(ERP資料!$G:$G, (MATCH(745, 輔助計算!$G$2:$G$801, 0)+1))&lt;=1181,2,1)))=2,TEXT(INDEX(ERP資料!$G:$G, (MATCH(745, 輔助計算!$G$2:$G$801, 0)+1)),"0.##")&amp;"+"&amp;TEXT(INDEX(ERP資料!$G:$G, (MATCH(745, 輔助計算!$G$2:$G$801, 0)+1)),"0.##"),TEXT(INDEX(ERP資料!$G:$G, (MATCH(745, 輔助計算!$G$2:$G$801, 0)+1)),"0.##")&amp;"+"&amp;TEXT(INDEX(ERP資料!$G:$G, (MATCH(745, 輔助計算!$G$2:$G$801, 0)+1)),"0.##")&amp;"+"&amp;TEXT(INDEX(ERP資料!$G:$G, (MATCH(745, 輔助計算!$G$2:$G$801, 0)+1)),"0.##")))&amp;"-"&amp;INT(INDEX(輔助計算!$D:$D, (MATCH(745, 輔助計算!$G$2:$G$801, 0)+1))/IF(INDEX(ERP資料!$G:$G, (MATCH(745, 輔助計算!$G$2:$G$801, 0)+1))&lt;100, IF(INDEX(ERP資料!$G:$G, (MATCH(745, 輔助計算!$G$2:$G$801, 0)+1))&lt;=31,3,IF(INDEX(ERP資料!$G:$G, (MATCH(745, 輔助計算!$G$2:$G$801, 0)+1))&lt;=46.5,2,1)), IF(INDEX(ERP資料!$G:$G, (MATCH(745, 輔助計算!$G$2:$G$801, 0)+1))&lt;=790,3,IF(INDEX(ERP資料!$G:$G, (MATCH(745, 輔助計算!$G$2:$G$801, 0)+1))&lt;=1181,2,1)))), "")&amp;IF(AND(IF(INT(INDEX(輔助計算!$D:$D, (MATCH(745, 輔助計算!$G$2:$G$801, 0)+1))/IF(INDEX(ERP資料!$G:$G, (MATCH(745, 輔助計算!$G$2:$G$801, 0)+1))&lt;100, IF(INDEX(ERP資料!$G:$G, (MATCH(745, 輔助計算!$G$2:$G$801, 0)+1))&lt;=31,3,IF(INDEX(ERP資料!$G:$G, (MATCH(745, 輔助計算!$G$2:$G$801, 0)+1))&lt;=46.5,2,1)), IF(INDEX(ERP資料!$G:$G, (MATCH(745, 輔助計算!$G$2:$G$801, 0)+1))&lt;=790,3,IF(INDEX(ERP資料!$G:$G, (MATCH(745, 輔助計算!$G$2:$G$801, 0)+1))&lt;=1181,2,1))))&gt;0, IF(IF(INDEX(ERP資料!$G:$G, (MATCH(745, 輔助計算!$G$2:$G$801, 0)+1))&lt;100, IF(INDEX(ERP資料!$G:$G, (MATCH(745, 輔助計算!$G$2:$G$801, 0)+1))&lt;=31,3,IF(INDEX(ERP資料!$G:$G, (MATCH(745, 輔助計算!$G$2:$G$801, 0)+1))&lt;=46.5,2,1)), IF(INDEX(ERP資料!$G:$G, (MATCH(745, 輔助計算!$G$2:$G$801, 0)+1))&lt;=790,3,IF(INDEX(ERP資料!$G:$G, (MATCH(745, 輔助計算!$G$2:$G$801, 0)+1))&lt;=1181,2,1)))=1,TEXT(INDEX(ERP資料!$G:$G, (MATCH(745, 輔助計算!$G$2:$G$801, 0)+1)),"0.##"),IF(IF(INDEX(ERP資料!$G:$G, (MATCH(745, 輔助計算!$G$2:$G$801, 0)+1))&lt;100, IF(INDEX(ERP資料!$G:$G, (MATCH(745, 輔助計算!$G$2:$G$801, 0)+1))&lt;=31,3,IF(INDEX(ERP資料!$G:$G, (MATCH(745, 輔助計算!$G$2:$G$801, 0)+1))&lt;=46.5,2,1)), IF(INDEX(ERP資料!$G:$G, (MATCH(745, 輔助計算!$G$2:$G$801, 0)+1))&lt;=790,3,IF(INDEX(ERP資料!$G:$G, (MATCH(745, 輔助計算!$G$2:$G$801, 0)+1))&lt;=1181,2,1)))=2,TEXT(INDEX(ERP資料!$G:$G, (MATCH(745, 輔助計算!$G$2:$G$801, 0)+1)),"0.##")&amp;"+"&amp;TEXT(INDEX(ERP資料!$G:$G, (MATCH(745, 輔助計算!$G$2:$G$801, 0)+1)),"0.##"),TEXT(INDEX(ERP資料!$G:$G, (MATCH(745, 輔助計算!$G$2:$G$801, 0)+1)),"0.##")&amp;"+"&amp;TEXT(INDEX(ERP資料!$G:$G, (MATCH(745, 輔助計算!$G$2:$G$801, 0)+1)),"0.##")&amp;"+"&amp;TEXT(INDEX(ERP資料!$G:$G, (MATCH(745, 輔助計算!$G$2:$G$801, 0)+1)),"0.##")))&amp;"-"&amp;INT(INDEX(輔助計算!$D:$D, (MATCH(745, 輔助計算!$G$2:$G$801, 0)+1))/IF(INDEX(ERP資料!$G:$G, (MATCH(745, 輔助計算!$G$2:$G$801, 0)+1))&lt;100, IF(INDEX(ERP資料!$G:$G, (MATCH(745, 輔助計算!$G$2:$G$801, 0)+1))&lt;=31,3,IF(INDEX(ERP資料!$G:$G, (MATCH(745, 輔助計算!$G$2:$G$801, 0)+1))&lt;=46.5,2,1)), IF(INDEX(ERP資料!$G:$G, (MATCH(745, 輔助計算!$G$2:$G$801, 0)+1))&lt;=790,3,IF(INDEX(ERP資料!$G:$G, (MATCH(745, 輔助計算!$G$2:$G$801, 0)+1))&lt;=1181,2,1)))), "")&lt;&gt;"",IF(MOD(INDEX(輔助計算!$D:$D, (MATCH(745, 輔助計算!$G$2:$G$801, 0)+1)),IF(INDEX(ERP資料!$G:$G, (MATCH(745, 輔助計算!$G$2:$G$801, 0)+1))&lt;100, IF(INDEX(ERP資料!$G:$G, (MATCH(745, 輔助計算!$G$2:$G$801, 0)+1))&lt;=31,3,IF(INDEX(ERP資料!$G:$G, (MATCH(745, 輔助計算!$G$2:$G$801, 0)+1))&lt;=46.5,2,1)), IF(INDEX(ERP資料!$G:$G, (MATCH(745, 輔助計算!$G$2:$G$801, 0)+1))&lt;=790,3,IF(INDEX(ERP資料!$G:$G, (MATCH(745, 輔助計算!$G$2:$G$801, 0)+1))&lt;=1181,2,1))))=0,"",IF(MOD(INDEX(輔助計算!$D:$D, (MATCH(745, 輔助計算!$G$2:$G$801, 0)+1)),IF(INDEX(ERP資料!$G:$G, (MATCH(745, 輔助計算!$G$2:$G$801, 0)+1))&lt;100, IF(INDEX(ERP資料!$G:$G, (MATCH(745, 輔助計算!$G$2:$G$801, 0)+1))&lt;=31,3,IF(INDEX(ERP資料!$G:$G, (MATCH(745, 輔助計算!$G$2:$G$801, 0)+1))&lt;=46.5,2,1)), IF(INDEX(ERP資料!$G:$G, (MATCH(745, 輔助計算!$G$2:$G$801, 0)+1))&lt;=790,3,IF(INDEX(ERP資料!$G:$G, (MATCH(745, 輔助計算!$G$2:$G$801, 0)+1))&lt;=1181,2,1))))=0,"",IF(MOD(INDEX(輔助計算!$D:$D, (MATCH(745, 輔助計算!$G$2:$G$801, 0)+1)),IF(INDEX(ERP資料!$G:$G, (MATCH(745, 輔助計算!$G$2:$G$801, 0)+1))&lt;100, IF(INDEX(ERP資料!$G:$G, (MATCH(745, 輔助計算!$G$2:$G$801, 0)+1))&lt;=31,3,IF(INDEX(ERP資料!$G:$G, (MATCH(745, 輔助計算!$G$2:$G$801, 0)+1))&lt;=46.5,2,1)), IF(INDEX(ERP資料!$G:$G, (MATCH(745, 輔助計算!$G$2:$G$801, 0)+1))&lt;=790,3,IF(INDEX(ERP資料!$G:$G, (MATCH(745, 輔助計算!$G$2:$G$801, 0)+1))&lt;=1181,2,1))))=1,TEXT(INDEX(ERP資料!$G:$G, (MATCH(745, 輔助計算!$G$2:$G$801, 0)+1)),"0.##"),IF(MOD(INDEX(輔助計算!$D:$D, (MATCH(745, 輔助計算!$G$2:$G$801, 0)+1)),IF(INDEX(ERP資料!$G:$G, (MATCH(745, 輔助計算!$G$2:$G$801, 0)+1))&lt;100, IF(INDEX(ERP資料!$G:$G, (MATCH(745, 輔助計算!$G$2:$G$801, 0)+1))&lt;=31,3,IF(INDEX(ERP資料!$G:$G, (MATCH(745, 輔助計算!$G$2:$G$801, 0)+1))&lt;=46.5,2,1)), IF(INDEX(ERP資料!$G:$G, (MATCH(745, 輔助計算!$G$2:$G$801, 0)+1))&lt;=790,3,IF(INDEX(ERP資料!$G:$G, (MATCH(745, 輔助計算!$G$2:$G$801, 0)+1))&lt;=1181,2,1))))=2,TEXT(INDEX(ERP資料!$G:$G, (MATCH(745, 輔助計算!$G$2:$G$801, 0)+1)),"0.##")&amp;"+"&amp;TEXT(INDEX(ERP資料!$G:$G, (MATCH(745, 輔助計算!$G$2:$G$801, 0)+1)),"0.##"),TEXT(INDEX(ERP資料!$G:$G, (MATCH(745, 輔助計算!$G$2:$G$801, 0)+1)),"0.##")&amp;"+"&amp;TEXT(INDEX(ERP資料!$G:$G, (MATCH(745, 輔助計算!$G$2:$G$801, 0)+1)),"0.##")&amp;"+"&amp;TEXT(INDEX(ERP資料!$G:$G, (MATCH(745, 輔助計算!$G$2:$G$801, 0)+1)),"0.##"))))&amp;"-1")&lt;&gt;""),"  ","")&amp;IF(MOD(INDEX(輔助計算!$D:$D, (MATCH(745, 輔助計算!$G$2:$G$801, 0)+1)),IF(INDEX(ERP資料!$G:$G, (MATCH(745, 輔助計算!$G$2:$G$801, 0)+1))&lt;100, IF(INDEX(ERP資料!$G:$G, (MATCH(745, 輔助計算!$G$2:$G$801, 0)+1))&lt;=31,3,IF(INDEX(ERP資料!$G:$G, (MATCH(745, 輔助計算!$G$2:$G$801, 0)+1))&lt;=46.5,2,1)), IF(INDEX(ERP資料!$G:$G, (MATCH(745, 輔助計算!$G$2:$G$801, 0)+1))&lt;=790,3,IF(INDEX(ERP資料!$G:$G, (MATCH(745, 輔助計算!$G$2:$G$801, 0)+1))&lt;=1181,2,1))))=0,"",IF(MOD(INDEX(輔助計算!$D:$D, (MATCH(745, 輔助計算!$G$2:$G$801, 0)+1)),IF(INDEX(ERP資料!$G:$G, (MATCH(745, 輔助計算!$G$2:$G$801, 0)+1))&lt;100, IF(INDEX(ERP資料!$G:$G, (MATCH(745, 輔助計算!$G$2:$G$801, 0)+1))&lt;=31,3,IF(INDEX(ERP資料!$G:$G, (MATCH(745, 輔助計算!$G$2:$G$801, 0)+1))&lt;=46.5,2,1)), IF(INDEX(ERP資料!$G:$G, (MATCH(745, 輔助計算!$G$2:$G$801, 0)+1))&lt;=790,3,IF(INDEX(ERP資料!$G:$G, (MATCH(745, 輔助計算!$G$2:$G$801, 0)+1))&lt;=1181,2,1))))=0,"",IF(MOD(INDEX(輔助計算!$D:$D, (MATCH(745, 輔助計算!$G$2:$G$801, 0)+1)),IF(INDEX(ERP資料!$G:$G, (MATCH(745, 輔助計算!$G$2:$G$801, 0)+1))&lt;100, IF(INDEX(ERP資料!$G:$G, (MATCH(745, 輔助計算!$G$2:$G$801, 0)+1))&lt;=31,3,IF(INDEX(ERP資料!$G:$G, (MATCH(745, 輔助計算!$G$2:$G$801, 0)+1))&lt;=46.5,2,1)), IF(INDEX(ERP資料!$G:$G, (MATCH(745, 輔助計算!$G$2:$G$801, 0)+1))&lt;=790,3,IF(INDEX(ERP資料!$G:$G, (MATCH(745, 輔助計算!$G$2:$G$801, 0)+1))&lt;=1181,2,1))))=1,TEXT(INDEX(ERP資料!$G:$G, (MATCH(745, 輔助計算!$G$2:$G$801, 0)+1)),"0.##"),IF(MOD(INDEX(輔助計算!$D:$D, (MATCH(745, 輔助計算!$G$2:$G$801, 0)+1)),IF(INDEX(ERP資料!$G:$G, (MATCH(745, 輔助計算!$G$2:$G$801, 0)+1))&lt;100, IF(INDEX(ERP資料!$G:$G, (MATCH(745, 輔助計算!$G$2:$G$801, 0)+1))&lt;=31,3,IF(INDEX(ERP資料!$G:$G, (MATCH(745, 輔助計算!$G$2:$G$801, 0)+1))&lt;=46.5,2,1)), IF(INDEX(ERP資料!$G:$G, (MATCH(745, 輔助計算!$G$2:$G$801, 0)+1))&lt;=790,3,IF(INDEX(ERP資料!$G:$G, (MATCH(745, 輔助計算!$G$2:$G$801, 0)+1))&lt;=1181,2,1))))=2,TEXT(INDEX(ERP資料!$G:$G, (MATCH(745, 輔助計算!$G$2:$G$801, 0)+1)),"0.##")&amp;"+"&amp;TEXT(INDEX(ERP資料!$G:$G, (MATCH(745, 輔助計算!$G$2:$G$801, 0)+1)),"0.##"),TEXT(INDEX(ERP資料!$G:$G, (MATCH(745, 輔助計算!$G$2:$G$801, 0)+1)),"0.##")&amp;"+"&amp;TEXT(INDEX(ERP資料!$G:$G, (MATCH(745, 輔助計算!$G$2:$G$801, 0)+1)),"0.##")&amp;"+"&amp;TEXT(INDEX(ERP資料!$G:$G, (MATCH(745, 輔助計算!$G$2:$G$801, 0)+1)),"0.##"))))&amp;"-1")), ""), "")</f>
        <v/>
      </c>
      <c r="K746" s="16" t="n"/>
      <c r="L746" s="14">
        <f>IFERROR(IF(AND(IFERROR(INDEX(ERP資料!$A:$A, (MATCH(745, 輔助計算!$G$2:$G$801, 0)+1)), "")&lt;&gt;"", IFERROR(INDEX(ERP資料!$A:$A, (MATCH(745, 輔助計算!$G$2:$G$801, 0)+1)), "")&lt;&gt;IFERROR(INDEX(ERP資料!$A:$A, MATCH(744, 輔助計算!$G$2:$G$801, 0)+1), "")), INDEX(ERP資料!$B:$B, (MATCH(745, 輔助計算!$G$2:$G$801, 0)+1)), ""), "")</f>
        <v/>
      </c>
      <c r="M746" s="17" t="n"/>
    </row>
    <row r="747">
      <c r="A747" s="10">
        <f>IFERROR(IF(AND(IFERROR(INDEX(ERP資料!$A:$A, (MATCH(746, 輔助計算!$G$2:$G$801, 0)+1)), "")&lt;&gt;"", IFERROR(INDEX(ERP資料!$A:$A, (MATCH(746, 輔助計算!$G$2:$G$801, 0)+1)), "")&lt;&gt;IFERROR(INDEX(ERP資料!$A:$A, MATCH(745, 輔助計算!$G$2:$G$801, 0)+1), "")), IFERROR(INDEX(ERP資料!$A:$A, (MATCH(746, 輔助計算!$G$2:$G$801, 0)+1)), ""), ""), "")</f>
        <v/>
      </c>
      <c r="B747" s="10">
        <f>IFERROR(IF(AND(IFERROR(INDEX(ERP資料!$A:$A, (MATCH(746, 輔助計算!$G$2:$G$801, 0)+1)), "")&lt;&gt;"", IFERROR(INDEX(ERP資料!$A:$A, (MATCH(746, 輔助計算!$G$2:$G$801, 0)+1)), "")&lt;&gt;IFERROR(INDEX(ERP資料!$A:$A, MATCH(745, 輔助計算!$G$2:$G$801, 0)+1), "")), INDEX(ERP資料!$S:$S, (MATCH(746, 輔助計算!$G$2:$G$801, 0)+1)), ""), "")</f>
        <v/>
      </c>
      <c r="C747" s="19">
        <f>IFERROR(IF(AND(IFERROR(INDEX(ERP資料!$A:$A, (MATCH(746, 輔助計算!$G$2:$G$801, 0)+1)), "")&lt;&gt;"", IFERROR(INDEX(ERP資料!$A:$A, (MATCH(746, 輔助計算!$G$2:$G$801, 0)+1)), "")&lt;&gt;IFERROR(INDEX(ERP資料!$A:$A, MATCH(745, 輔助計算!$G$2:$G$801, 0)+1), "")), IFERROR(VLOOKUP(LEFT(INDEX(ERP資料!$S:$S, (MATCH(746, 輔助計算!$G$2:$G$801, 0)+1)), 4), 紙管對照表!$A:$C, 3, FALSE), ""), ""), "")</f>
        <v/>
      </c>
      <c r="D747" s="16" t="n"/>
      <c r="E747" s="10">
        <f>IFERROR(IF(INDEX(ERP資料!$H:$H, (MATCH(746, 輔助計算!$G$2:$G$801, 0)+1))="","",INDEX(ERP資料!$H:$H, (MATCH(746, 輔助計算!$G$2:$G$801, 0)+1))), "")</f>
        <v/>
      </c>
      <c r="F747" s="10">
        <f>IFERROR(IF(INDEX(ERP資料!$E:$E, (MATCH(746, 輔助計算!$G$2:$G$801, 0)+1))="","",TRIM(INDEX(ERP資料!$E:$E, (MATCH(746, 輔助計算!$G$2:$G$801, 0)+1)))), "")</f>
        <v/>
      </c>
      <c r="G747" s="10">
        <f>IFERROR(IF(INDEX(ERP資料!$F:$F, (MATCH(746, 輔助計算!$G$2:$G$801, 0)+1))="","",INDEX(ERP資料!$F:$F, (MATCH(746, 輔助計算!$G$2:$G$801, 0)+1))), "")</f>
        <v/>
      </c>
      <c r="H747" s="10">
        <f>IFERROR(IF(INDEX(ERP資料!$G:$G, (MATCH(746, 輔助計算!$G$2:$G$801, 0)+1))="","",INDEX(ERP資料!$G:$G, (MATCH(746, 輔助計算!$G$2:$G$801, 0)+1))), "")</f>
        <v/>
      </c>
      <c r="I747" s="15">
        <f>IFERROR(INDEX(輔助計算!$D:$D, (MATCH(746, 輔助計算!$G$2:$G$801, 0)+1)), "")</f>
        <v/>
      </c>
      <c r="J747" s="15">
        <f>IFERROR(IF(AND(INDEX(輔助計算!$D:$D, (MATCH(746, 輔助計算!$G$2:$G$801, 0)+1))&lt;&gt;"", INDEX(ERP資料!$G:$G, (MATCH(746, 輔助計算!$G$2:$G$801, 0)+1))&lt;&gt;""), TRIM(IF(INT(INDEX(輔助計算!$D:$D, (MATCH(746, 輔助計算!$G$2:$G$801, 0)+1))/IF(INDEX(ERP資料!$G:$G, (MATCH(746, 輔助計算!$G$2:$G$801, 0)+1))&lt;100, IF(INDEX(ERP資料!$G:$G, (MATCH(746, 輔助計算!$G$2:$G$801, 0)+1))&lt;=31,3,IF(INDEX(ERP資料!$G:$G, (MATCH(746, 輔助計算!$G$2:$G$801, 0)+1))&lt;=46.5,2,1)), IF(INDEX(ERP資料!$G:$G, (MATCH(746, 輔助計算!$G$2:$G$801, 0)+1))&lt;=790,3,IF(INDEX(ERP資料!$G:$G, (MATCH(746, 輔助計算!$G$2:$G$801, 0)+1))&lt;=1181,2,1))))&gt;0, IF(IF(INDEX(ERP資料!$G:$G, (MATCH(746, 輔助計算!$G$2:$G$801, 0)+1))&lt;100, IF(INDEX(ERP資料!$G:$G, (MATCH(746, 輔助計算!$G$2:$G$801, 0)+1))&lt;=31,3,IF(INDEX(ERP資料!$G:$G, (MATCH(746, 輔助計算!$G$2:$G$801, 0)+1))&lt;=46.5,2,1)), IF(INDEX(ERP資料!$G:$G, (MATCH(746, 輔助計算!$G$2:$G$801, 0)+1))&lt;=790,3,IF(INDEX(ERP資料!$G:$G, (MATCH(746, 輔助計算!$G$2:$G$801, 0)+1))&lt;=1181,2,1)))=1,TEXT(INDEX(ERP資料!$G:$G, (MATCH(746, 輔助計算!$G$2:$G$801, 0)+1)),"0.##"),IF(IF(INDEX(ERP資料!$G:$G, (MATCH(746, 輔助計算!$G$2:$G$801, 0)+1))&lt;100, IF(INDEX(ERP資料!$G:$G, (MATCH(746, 輔助計算!$G$2:$G$801, 0)+1))&lt;=31,3,IF(INDEX(ERP資料!$G:$G, (MATCH(746, 輔助計算!$G$2:$G$801, 0)+1))&lt;=46.5,2,1)), IF(INDEX(ERP資料!$G:$G, (MATCH(746, 輔助計算!$G$2:$G$801, 0)+1))&lt;=790,3,IF(INDEX(ERP資料!$G:$G, (MATCH(746, 輔助計算!$G$2:$G$801, 0)+1))&lt;=1181,2,1)))=2,TEXT(INDEX(ERP資料!$G:$G, (MATCH(746, 輔助計算!$G$2:$G$801, 0)+1)),"0.##")&amp;"+"&amp;TEXT(INDEX(ERP資料!$G:$G, (MATCH(746, 輔助計算!$G$2:$G$801, 0)+1)),"0.##"),TEXT(INDEX(ERP資料!$G:$G, (MATCH(746, 輔助計算!$G$2:$G$801, 0)+1)),"0.##")&amp;"+"&amp;TEXT(INDEX(ERP資料!$G:$G, (MATCH(746, 輔助計算!$G$2:$G$801, 0)+1)),"0.##")&amp;"+"&amp;TEXT(INDEX(ERP資料!$G:$G, (MATCH(746, 輔助計算!$G$2:$G$801, 0)+1)),"0.##")))&amp;"-"&amp;INT(INDEX(輔助計算!$D:$D, (MATCH(746, 輔助計算!$G$2:$G$801, 0)+1))/IF(INDEX(ERP資料!$G:$G, (MATCH(746, 輔助計算!$G$2:$G$801, 0)+1))&lt;100, IF(INDEX(ERP資料!$G:$G, (MATCH(746, 輔助計算!$G$2:$G$801, 0)+1))&lt;=31,3,IF(INDEX(ERP資料!$G:$G, (MATCH(746, 輔助計算!$G$2:$G$801, 0)+1))&lt;=46.5,2,1)), IF(INDEX(ERP資料!$G:$G, (MATCH(746, 輔助計算!$G$2:$G$801, 0)+1))&lt;=790,3,IF(INDEX(ERP資料!$G:$G, (MATCH(746, 輔助計算!$G$2:$G$801, 0)+1))&lt;=1181,2,1)))), "")&amp;IF(AND(IF(INT(INDEX(輔助計算!$D:$D, (MATCH(746, 輔助計算!$G$2:$G$801, 0)+1))/IF(INDEX(ERP資料!$G:$G, (MATCH(746, 輔助計算!$G$2:$G$801, 0)+1))&lt;100, IF(INDEX(ERP資料!$G:$G, (MATCH(746, 輔助計算!$G$2:$G$801, 0)+1))&lt;=31,3,IF(INDEX(ERP資料!$G:$G, (MATCH(746, 輔助計算!$G$2:$G$801, 0)+1))&lt;=46.5,2,1)), IF(INDEX(ERP資料!$G:$G, (MATCH(746, 輔助計算!$G$2:$G$801, 0)+1))&lt;=790,3,IF(INDEX(ERP資料!$G:$G, (MATCH(746, 輔助計算!$G$2:$G$801, 0)+1))&lt;=1181,2,1))))&gt;0, IF(IF(INDEX(ERP資料!$G:$G, (MATCH(746, 輔助計算!$G$2:$G$801, 0)+1))&lt;100, IF(INDEX(ERP資料!$G:$G, (MATCH(746, 輔助計算!$G$2:$G$801, 0)+1))&lt;=31,3,IF(INDEX(ERP資料!$G:$G, (MATCH(746, 輔助計算!$G$2:$G$801, 0)+1))&lt;=46.5,2,1)), IF(INDEX(ERP資料!$G:$G, (MATCH(746, 輔助計算!$G$2:$G$801, 0)+1))&lt;=790,3,IF(INDEX(ERP資料!$G:$G, (MATCH(746, 輔助計算!$G$2:$G$801, 0)+1))&lt;=1181,2,1)))=1,TEXT(INDEX(ERP資料!$G:$G, (MATCH(746, 輔助計算!$G$2:$G$801, 0)+1)),"0.##"),IF(IF(INDEX(ERP資料!$G:$G, (MATCH(746, 輔助計算!$G$2:$G$801, 0)+1))&lt;100, IF(INDEX(ERP資料!$G:$G, (MATCH(746, 輔助計算!$G$2:$G$801, 0)+1))&lt;=31,3,IF(INDEX(ERP資料!$G:$G, (MATCH(746, 輔助計算!$G$2:$G$801, 0)+1))&lt;=46.5,2,1)), IF(INDEX(ERP資料!$G:$G, (MATCH(746, 輔助計算!$G$2:$G$801, 0)+1))&lt;=790,3,IF(INDEX(ERP資料!$G:$G, (MATCH(746, 輔助計算!$G$2:$G$801, 0)+1))&lt;=1181,2,1)))=2,TEXT(INDEX(ERP資料!$G:$G, (MATCH(746, 輔助計算!$G$2:$G$801, 0)+1)),"0.##")&amp;"+"&amp;TEXT(INDEX(ERP資料!$G:$G, (MATCH(746, 輔助計算!$G$2:$G$801, 0)+1)),"0.##"),TEXT(INDEX(ERP資料!$G:$G, (MATCH(746, 輔助計算!$G$2:$G$801, 0)+1)),"0.##")&amp;"+"&amp;TEXT(INDEX(ERP資料!$G:$G, (MATCH(746, 輔助計算!$G$2:$G$801, 0)+1)),"0.##")&amp;"+"&amp;TEXT(INDEX(ERP資料!$G:$G, (MATCH(746, 輔助計算!$G$2:$G$801, 0)+1)),"0.##")))&amp;"-"&amp;INT(INDEX(輔助計算!$D:$D, (MATCH(746, 輔助計算!$G$2:$G$801, 0)+1))/IF(INDEX(ERP資料!$G:$G, (MATCH(746, 輔助計算!$G$2:$G$801, 0)+1))&lt;100, IF(INDEX(ERP資料!$G:$G, (MATCH(746, 輔助計算!$G$2:$G$801, 0)+1))&lt;=31,3,IF(INDEX(ERP資料!$G:$G, (MATCH(746, 輔助計算!$G$2:$G$801, 0)+1))&lt;=46.5,2,1)), IF(INDEX(ERP資料!$G:$G, (MATCH(746, 輔助計算!$G$2:$G$801, 0)+1))&lt;=790,3,IF(INDEX(ERP資料!$G:$G, (MATCH(746, 輔助計算!$G$2:$G$801, 0)+1))&lt;=1181,2,1)))), "")&lt;&gt;"",IF(MOD(INDEX(輔助計算!$D:$D, (MATCH(746, 輔助計算!$G$2:$G$801, 0)+1)),IF(INDEX(ERP資料!$G:$G, (MATCH(746, 輔助計算!$G$2:$G$801, 0)+1))&lt;100, IF(INDEX(ERP資料!$G:$G, (MATCH(746, 輔助計算!$G$2:$G$801, 0)+1))&lt;=31,3,IF(INDEX(ERP資料!$G:$G, (MATCH(746, 輔助計算!$G$2:$G$801, 0)+1))&lt;=46.5,2,1)), IF(INDEX(ERP資料!$G:$G, (MATCH(746, 輔助計算!$G$2:$G$801, 0)+1))&lt;=790,3,IF(INDEX(ERP資料!$G:$G, (MATCH(746, 輔助計算!$G$2:$G$801, 0)+1))&lt;=1181,2,1))))=0,"",IF(MOD(INDEX(輔助計算!$D:$D, (MATCH(746, 輔助計算!$G$2:$G$801, 0)+1)),IF(INDEX(ERP資料!$G:$G, (MATCH(746, 輔助計算!$G$2:$G$801, 0)+1))&lt;100, IF(INDEX(ERP資料!$G:$G, (MATCH(746, 輔助計算!$G$2:$G$801, 0)+1))&lt;=31,3,IF(INDEX(ERP資料!$G:$G, (MATCH(746, 輔助計算!$G$2:$G$801, 0)+1))&lt;=46.5,2,1)), IF(INDEX(ERP資料!$G:$G, (MATCH(746, 輔助計算!$G$2:$G$801, 0)+1))&lt;=790,3,IF(INDEX(ERP資料!$G:$G, (MATCH(746, 輔助計算!$G$2:$G$801, 0)+1))&lt;=1181,2,1))))=0,"",IF(MOD(INDEX(輔助計算!$D:$D, (MATCH(746, 輔助計算!$G$2:$G$801, 0)+1)),IF(INDEX(ERP資料!$G:$G, (MATCH(746, 輔助計算!$G$2:$G$801, 0)+1))&lt;100, IF(INDEX(ERP資料!$G:$G, (MATCH(746, 輔助計算!$G$2:$G$801, 0)+1))&lt;=31,3,IF(INDEX(ERP資料!$G:$G, (MATCH(746, 輔助計算!$G$2:$G$801, 0)+1))&lt;=46.5,2,1)), IF(INDEX(ERP資料!$G:$G, (MATCH(746, 輔助計算!$G$2:$G$801, 0)+1))&lt;=790,3,IF(INDEX(ERP資料!$G:$G, (MATCH(746, 輔助計算!$G$2:$G$801, 0)+1))&lt;=1181,2,1))))=1,TEXT(INDEX(ERP資料!$G:$G, (MATCH(746, 輔助計算!$G$2:$G$801, 0)+1)),"0.##"),IF(MOD(INDEX(輔助計算!$D:$D, (MATCH(746, 輔助計算!$G$2:$G$801, 0)+1)),IF(INDEX(ERP資料!$G:$G, (MATCH(746, 輔助計算!$G$2:$G$801, 0)+1))&lt;100, IF(INDEX(ERP資料!$G:$G, (MATCH(746, 輔助計算!$G$2:$G$801, 0)+1))&lt;=31,3,IF(INDEX(ERP資料!$G:$G, (MATCH(746, 輔助計算!$G$2:$G$801, 0)+1))&lt;=46.5,2,1)), IF(INDEX(ERP資料!$G:$G, (MATCH(746, 輔助計算!$G$2:$G$801, 0)+1))&lt;=790,3,IF(INDEX(ERP資料!$G:$G, (MATCH(746, 輔助計算!$G$2:$G$801, 0)+1))&lt;=1181,2,1))))=2,TEXT(INDEX(ERP資料!$G:$G, (MATCH(746, 輔助計算!$G$2:$G$801, 0)+1)),"0.##")&amp;"+"&amp;TEXT(INDEX(ERP資料!$G:$G, (MATCH(746, 輔助計算!$G$2:$G$801, 0)+1)),"0.##"),TEXT(INDEX(ERP資料!$G:$G, (MATCH(746, 輔助計算!$G$2:$G$801, 0)+1)),"0.##")&amp;"+"&amp;TEXT(INDEX(ERP資料!$G:$G, (MATCH(746, 輔助計算!$G$2:$G$801, 0)+1)),"0.##")&amp;"+"&amp;TEXT(INDEX(ERP資料!$G:$G, (MATCH(746, 輔助計算!$G$2:$G$801, 0)+1)),"0.##"))))&amp;"-1")&lt;&gt;""),"  ","")&amp;IF(MOD(INDEX(輔助計算!$D:$D, (MATCH(746, 輔助計算!$G$2:$G$801, 0)+1)),IF(INDEX(ERP資料!$G:$G, (MATCH(746, 輔助計算!$G$2:$G$801, 0)+1))&lt;100, IF(INDEX(ERP資料!$G:$G, (MATCH(746, 輔助計算!$G$2:$G$801, 0)+1))&lt;=31,3,IF(INDEX(ERP資料!$G:$G, (MATCH(746, 輔助計算!$G$2:$G$801, 0)+1))&lt;=46.5,2,1)), IF(INDEX(ERP資料!$G:$G, (MATCH(746, 輔助計算!$G$2:$G$801, 0)+1))&lt;=790,3,IF(INDEX(ERP資料!$G:$G, (MATCH(746, 輔助計算!$G$2:$G$801, 0)+1))&lt;=1181,2,1))))=0,"",IF(MOD(INDEX(輔助計算!$D:$D, (MATCH(746, 輔助計算!$G$2:$G$801, 0)+1)),IF(INDEX(ERP資料!$G:$G, (MATCH(746, 輔助計算!$G$2:$G$801, 0)+1))&lt;100, IF(INDEX(ERP資料!$G:$G, (MATCH(746, 輔助計算!$G$2:$G$801, 0)+1))&lt;=31,3,IF(INDEX(ERP資料!$G:$G, (MATCH(746, 輔助計算!$G$2:$G$801, 0)+1))&lt;=46.5,2,1)), IF(INDEX(ERP資料!$G:$G, (MATCH(746, 輔助計算!$G$2:$G$801, 0)+1))&lt;=790,3,IF(INDEX(ERP資料!$G:$G, (MATCH(746, 輔助計算!$G$2:$G$801, 0)+1))&lt;=1181,2,1))))=0,"",IF(MOD(INDEX(輔助計算!$D:$D, (MATCH(746, 輔助計算!$G$2:$G$801, 0)+1)),IF(INDEX(ERP資料!$G:$G, (MATCH(746, 輔助計算!$G$2:$G$801, 0)+1))&lt;100, IF(INDEX(ERP資料!$G:$G, (MATCH(746, 輔助計算!$G$2:$G$801, 0)+1))&lt;=31,3,IF(INDEX(ERP資料!$G:$G, (MATCH(746, 輔助計算!$G$2:$G$801, 0)+1))&lt;=46.5,2,1)), IF(INDEX(ERP資料!$G:$G, (MATCH(746, 輔助計算!$G$2:$G$801, 0)+1))&lt;=790,3,IF(INDEX(ERP資料!$G:$G, (MATCH(746, 輔助計算!$G$2:$G$801, 0)+1))&lt;=1181,2,1))))=1,TEXT(INDEX(ERP資料!$G:$G, (MATCH(746, 輔助計算!$G$2:$G$801, 0)+1)),"0.##"),IF(MOD(INDEX(輔助計算!$D:$D, (MATCH(746, 輔助計算!$G$2:$G$801, 0)+1)),IF(INDEX(ERP資料!$G:$G, (MATCH(746, 輔助計算!$G$2:$G$801, 0)+1))&lt;100, IF(INDEX(ERP資料!$G:$G, (MATCH(746, 輔助計算!$G$2:$G$801, 0)+1))&lt;=31,3,IF(INDEX(ERP資料!$G:$G, (MATCH(746, 輔助計算!$G$2:$G$801, 0)+1))&lt;=46.5,2,1)), IF(INDEX(ERP資料!$G:$G, (MATCH(746, 輔助計算!$G$2:$G$801, 0)+1))&lt;=790,3,IF(INDEX(ERP資料!$G:$G, (MATCH(746, 輔助計算!$G$2:$G$801, 0)+1))&lt;=1181,2,1))))=2,TEXT(INDEX(ERP資料!$G:$G, (MATCH(746, 輔助計算!$G$2:$G$801, 0)+1)),"0.##")&amp;"+"&amp;TEXT(INDEX(ERP資料!$G:$G, (MATCH(746, 輔助計算!$G$2:$G$801, 0)+1)),"0.##"),TEXT(INDEX(ERP資料!$G:$G, (MATCH(746, 輔助計算!$G$2:$G$801, 0)+1)),"0.##")&amp;"+"&amp;TEXT(INDEX(ERP資料!$G:$G, (MATCH(746, 輔助計算!$G$2:$G$801, 0)+1)),"0.##")&amp;"+"&amp;TEXT(INDEX(ERP資料!$G:$G, (MATCH(746, 輔助計算!$G$2:$G$801, 0)+1)),"0.##"))))&amp;"-1")), ""), "")</f>
        <v/>
      </c>
      <c r="K747" s="16" t="n"/>
      <c r="L747" s="14">
        <f>IFERROR(IF(AND(IFERROR(INDEX(ERP資料!$A:$A, (MATCH(746, 輔助計算!$G$2:$G$801, 0)+1)), "")&lt;&gt;"", IFERROR(INDEX(ERP資料!$A:$A, (MATCH(746, 輔助計算!$G$2:$G$801, 0)+1)), "")&lt;&gt;IFERROR(INDEX(ERP資料!$A:$A, MATCH(745, 輔助計算!$G$2:$G$801, 0)+1), "")), INDEX(ERP資料!$B:$B, (MATCH(746, 輔助計算!$G$2:$G$801, 0)+1)), ""), "")</f>
        <v/>
      </c>
      <c r="M747" s="17" t="n"/>
    </row>
    <row r="748">
      <c r="A748" s="10">
        <f>IFERROR(IF(AND(IFERROR(INDEX(ERP資料!$A:$A, (MATCH(747, 輔助計算!$G$2:$G$801, 0)+1)), "")&lt;&gt;"", IFERROR(INDEX(ERP資料!$A:$A, (MATCH(747, 輔助計算!$G$2:$G$801, 0)+1)), "")&lt;&gt;IFERROR(INDEX(ERP資料!$A:$A, MATCH(746, 輔助計算!$G$2:$G$801, 0)+1), "")), IFERROR(INDEX(ERP資料!$A:$A, (MATCH(747, 輔助計算!$G$2:$G$801, 0)+1)), ""), ""), "")</f>
        <v/>
      </c>
      <c r="B748" s="10">
        <f>IFERROR(IF(AND(IFERROR(INDEX(ERP資料!$A:$A, (MATCH(747, 輔助計算!$G$2:$G$801, 0)+1)), "")&lt;&gt;"", IFERROR(INDEX(ERP資料!$A:$A, (MATCH(747, 輔助計算!$G$2:$G$801, 0)+1)), "")&lt;&gt;IFERROR(INDEX(ERP資料!$A:$A, MATCH(746, 輔助計算!$G$2:$G$801, 0)+1), "")), INDEX(ERP資料!$S:$S, (MATCH(747, 輔助計算!$G$2:$G$801, 0)+1)), ""), "")</f>
        <v/>
      </c>
      <c r="C748" s="19">
        <f>IFERROR(IF(AND(IFERROR(INDEX(ERP資料!$A:$A, (MATCH(747, 輔助計算!$G$2:$G$801, 0)+1)), "")&lt;&gt;"", IFERROR(INDEX(ERP資料!$A:$A, (MATCH(747, 輔助計算!$G$2:$G$801, 0)+1)), "")&lt;&gt;IFERROR(INDEX(ERP資料!$A:$A, MATCH(746, 輔助計算!$G$2:$G$801, 0)+1), "")), IFERROR(VLOOKUP(LEFT(INDEX(ERP資料!$S:$S, (MATCH(747, 輔助計算!$G$2:$G$801, 0)+1)), 4), 紙管對照表!$A:$C, 3, FALSE), ""), ""), "")</f>
        <v/>
      </c>
      <c r="D748" s="16" t="n"/>
      <c r="E748" s="10">
        <f>IFERROR(IF(INDEX(ERP資料!$H:$H, (MATCH(747, 輔助計算!$G$2:$G$801, 0)+1))="","",INDEX(ERP資料!$H:$H, (MATCH(747, 輔助計算!$G$2:$G$801, 0)+1))), "")</f>
        <v/>
      </c>
      <c r="F748" s="10">
        <f>IFERROR(IF(INDEX(ERP資料!$E:$E, (MATCH(747, 輔助計算!$G$2:$G$801, 0)+1))="","",TRIM(INDEX(ERP資料!$E:$E, (MATCH(747, 輔助計算!$G$2:$G$801, 0)+1)))), "")</f>
        <v/>
      </c>
      <c r="G748" s="10">
        <f>IFERROR(IF(INDEX(ERP資料!$F:$F, (MATCH(747, 輔助計算!$G$2:$G$801, 0)+1))="","",INDEX(ERP資料!$F:$F, (MATCH(747, 輔助計算!$G$2:$G$801, 0)+1))), "")</f>
        <v/>
      </c>
      <c r="H748" s="10">
        <f>IFERROR(IF(INDEX(ERP資料!$G:$G, (MATCH(747, 輔助計算!$G$2:$G$801, 0)+1))="","",INDEX(ERP資料!$G:$G, (MATCH(747, 輔助計算!$G$2:$G$801, 0)+1))), "")</f>
        <v/>
      </c>
      <c r="I748" s="15">
        <f>IFERROR(INDEX(輔助計算!$D:$D, (MATCH(747, 輔助計算!$G$2:$G$801, 0)+1)), "")</f>
        <v/>
      </c>
      <c r="J748" s="15">
        <f>IFERROR(IF(AND(INDEX(輔助計算!$D:$D, (MATCH(747, 輔助計算!$G$2:$G$801, 0)+1))&lt;&gt;"", INDEX(ERP資料!$G:$G, (MATCH(747, 輔助計算!$G$2:$G$801, 0)+1))&lt;&gt;""), TRIM(IF(INT(INDEX(輔助計算!$D:$D, (MATCH(747, 輔助計算!$G$2:$G$801, 0)+1))/IF(INDEX(ERP資料!$G:$G, (MATCH(747, 輔助計算!$G$2:$G$801, 0)+1))&lt;100, IF(INDEX(ERP資料!$G:$G, (MATCH(747, 輔助計算!$G$2:$G$801, 0)+1))&lt;=31,3,IF(INDEX(ERP資料!$G:$G, (MATCH(747, 輔助計算!$G$2:$G$801, 0)+1))&lt;=46.5,2,1)), IF(INDEX(ERP資料!$G:$G, (MATCH(747, 輔助計算!$G$2:$G$801, 0)+1))&lt;=790,3,IF(INDEX(ERP資料!$G:$G, (MATCH(747, 輔助計算!$G$2:$G$801, 0)+1))&lt;=1181,2,1))))&gt;0, IF(IF(INDEX(ERP資料!$G:$G, (MATCH(747, 輔助計算!$G$2:$G$801, 0)+1))&lt;100, IF(INDEX(ERP資料!$G:$G, (MATCH(747, 輔助計算!$G$2:$G$801, 0)+1))&lt;=31,3,IF(INDEX(ERP資料!$G:$G, (MATCH(747, 輔助計算!$G$2:$G$801, 0)+1))&lt;=46.5,2,1)), IF(INDEX(ERP資料!$G:$G, (MATCH(747, 輔助計算!$G$2:$G$801, 0)+1))&lt;=790,3,IF(INDEX(ERP資料!$G:$G, (MATCH(747, 輔助計算!$G$2:$G$801, 0)+1))&lt;=1181,2,1)))=1,TEXT(INDEX(ERP資料!$G:$G, (MATCH(747, 輔助計算!$G$2:$G$801, 0)+1)),"0.##"),IF(IF(INDEX(ERP資料!$G:$G, (MATCH(747, 輔助計算!$G$2:$G$801, 0)+1))&lt;100, IF(INDEX(ERP資料!$G:$G, (MATCH(747, 輔助計算!$G$2:$G$801, 0)+1))&lt;=31,3,IF(INDEX(ERP資料!$G:$G, (MATCH(747, 輔助計算!$G$2:$G$801, 0)+1))&lt;=46.5,2,1)), IF(INDEX(ERP資料!$G:$G, (MATCH(747, 輔助計算!$G$2:$G$801, 0)+1))&lt;=790,3,IF(INDEX(ERP資料!$G:$G, (MATCH(747, 輔助計算!$G$2:$G$801, 0)+1))&lt;=1181,2,1)))=2,TEXT(INDEX(ERP資料!$G:$G, (MATCH(747, 輔助計算!$G$2:$G$801, 0)+1)),"0.##")&amp;"+"&amp;TEXT(INDEX(ERP資料!$G:$G, (MATCH(747, 輔助計算!$G$2:$G$801, 0)+1)),"0.##"),TEXT(INDEX(ERP資料!$G:$G, (MATCH(747, 輔助計算!$G$2:$G$801, 0)+1)),"0.##")&amp;"+"&amp;TEXT(INDEX(ERP資料!$G:$G, (MATCH(747, 輔助計算!$G$2:$G$801, 0)+1)),"0.##")&amp;"+"&amp;TEXT(INDEX(ERP資料!$G:$G, (MATCH(747, 輔助計算!$G$2:$G$801, 0)+1)),"0.##")))&amp;"-"&amp;INT(INDEX(輔助計算!$D:$D, (MATCH(747, 輔助計算!$G$2:$G$801, 0)+1))/IF(INDEX(ERP資料!$G:$G, (MATCH(747, 輔助計算!$G$2:$G$801, 0)+1))&lt;100, IF(INDEX(ERP資料!$G:$G, (MATCH(747, 輔助計算!$G$2:$G$801, 0)+1))&lt;=31,3,IF(INDEX(ERP資料!$G:$G, (MATCH(747, 輔助計算!$G$2:$G$801, 0)+1))&lt;=46.5,2,1)), IF(INDEX(ERP資料!$G:$G, (MATCH(747, 輔助計算!$G$2:$G$801, 0)+1))&lt;=790,3,IF(INDEX(ERP資料!$G:$G, (MATCH(747, 輔助計算!$G$2:$G$801, 0)+1))&lt;=1181,2,1)))), "")&amp;IF(AND(IF(INT(INDEX(輔助計算!$D:$D, (MATCH(747, 輔助計算!$G$2:$G$801, 0)+1))/IF(INDEX(ERP資料!$G:$G, (MATCH(747, 輔助計算!$G$2:$G$801, 0)+1))&lt;100, IF(INDEX(ERP資料!$G:$G, (MATCH(747, 輔助計算!$G$2:$G$801, 0)+1))&lt;=31,3,IF(INDEX(ERP資料!$G:$G, (MATCH(747, 輔助計算!$G$2:$G$801, 0)+1))&lt;=46.5,2,1)), IF(INDEX(ERP資料!$G:$G, (MATCH(747, 輔助計算!$G$2:$G$801, 0)+1))&lt;=790,3,IF(INDEX(ERP資料!$G:$G, (MATCH(747, 輔助計算!$G$2:$G$801, 0)+1))&lt;=1181,2,1))))&gt;0, IF(IF(INDEX(ERP資料!$G:$G, (MATCH(747, 輔助計算!$G$2:$G$801, 0)+1))&lt;100, IF(INDEX(ERP資料!$G:$G, (MATCH(747, 輔助計算!$G$2:$G$801, 0)+1))&lt;=31,3,IF(INDEX(ERP資料!$G:$G, (MATCH(747, 輔助計算!$G$2:$G$801, 0)+1))&lt;=46.5,2,1)), IF(INDEX(ERP資料!$G:$G, (MATCH(747, 輔助計算!$G$2:$G$801, 0)+1))&lt;=790,3,IF(INDEX(ERP資料!$G:$G, (MATCH(747, 輔助計算!$G$2:$G$801, 0)+1))&lt;=1181,2,1)))=1,TEXT(INDEX(ERP資料!$G:$G, (MATCH(747, 輔助計算!$G$2:$G$801, 0)+1)),"0.##"),IF(IF(INDEX(ERP資料!$G:$G, (MATCH(747, 輔助計算!$G$2:$G$801, 0)+1))&lt;100, IF(INDEX(ERP資料!$G:$G, (MATCH(747, 輔助計算!$G$2:$G$801, 0)+1))&lt;=31,3,IF(INDEX(ERP資料!$G:$G, (MATCH(747, 輔助計算!$G$2:$G$801, 0)+1))&lt;=46.5,2,1)), IF(INDEX(ERP資料!$G:$G, (MATCH(747, 輔助計算!$G$2:$G$801, 0)+1))&lt;=790,3,IF(INDEX(ERP資料!$G:$G, (MATCH(747, 輔助計算!$G$2:$G$801, 0)+1))&lt;=1181,2,1)))=2,TEXT(INDEX(ERP資料!$G:$G, (MATCH(747, 輔助計算!$G$2:$G$801, 0)+1)),"0.##")&amp;"+"&amp;TEXT(INDEX(ERP資料!$G:$G, (MATCH(747, 輔助計算!$G$2:$G$801, 0)+1)),"0.##"),TEXT(INDEX(ERP資料!$G:$G, (MATCH(747, 輔助計算!$G$2:$G$801, 0)+1)),"0.##")&amp;"+"&amp;TEXT(INDEX(ERP資料!$G:$G, (MATCH(747, 輔助計算!$G$2:$G$801, 0)+1)),"0.##")&amp;"+"&amp;TEXT(INDEX(ERP資料!$G:$G, (MATCH(747, 輔助計算!$G$2:$G$801, 0)+1)),"0.##")))&amp;"-"&amp;INT(INDEX(輔助計算!$D:$D, (MATCH(747, 輔助計算!$G$2:$G$801, 0)+1))/IF(INDEX(ERP資料!$G:$G, (MATCH(747, 輔助計算!$G$2:$G$801, 0)+1))&lt;100, IF(INDEX(ERP資料!$G:$G, (MATCH(747, 輔助計算!$G$2:$G$801, 0)+1))&lt;=31,3,IF(INDEX(ERP資料!$G:$G, (MATCH(747, 輔助計算!$G$2:$G$801, 0)+1))&lt;=46.5,2,1)), IF(INDEX(ERP資料!$G:$G, (MATCH(747, 輔助計算!$G$2:$G$801, 0)+1))&lt;=790,3,IF(INDEX(ERP資料!$G:$G, (MATCH(747, 輔助計算!$G$2:$G$801, 0)+1))&lt;=1181,2,1)))), "")&lt;&gt;"",IF(MOD(INDEX(輔助計算!$D:$D, (MATCH(747, 輔助計算!$G$2:$G$801, 0)+1)),IF(INDEX(ERP資料!$G:$G, (MATCH(747, 輔助計算!$G$2:$G$801, 0)+1))&lt;100, IF(INDEX(ERP資料!$G:$G, (MATCH(747, 輔助計算!$G$2:$G$801, 0)+1))&lt;=31,3,IF(INDEX(ERP資料!$G:$G, (MATCH(747, 輔助計算!$G$2:$G$801, 0)+1))&lt;=46.5,2,1)), IF(INDEX(ERP資料!$G:$G, (MATCH(747, 輔助計算!$G$2:$G$801, 0)+1))&lt;=790,3,IF(INDEX(ERP資料!$G:$G, (MATCH(747, 輔助計算!$G$2:$G$801, 0)+1))&lt;=1181,2,1))))=0,"",IF(MOD(INDEX(輔助計算!$D:$D, (MATCH(747, 輔助計算!$G$2:$G$801, 0)+1)),IF(INDEX(ERP資料!$G:$G, (MATCH(747, 輔助計算!$G$2:$G$801, 0)+1))&lt;100, IF(INDEX(ERP資料!$G:$G, (MATCH(747, 輔助計算!$G$2:$G$801, 0)+1))&lt;=31,3,IF(INDEX(ERP資料!$G:$G, (MATCH(747, 輔助計算!$G$2:$G$801, 0)+1))&lt;=46.5,2,1)), IF(INDEX(ERP資料!$G:$G, (MATCH(747, 輔助計算!$G$2:$G$801, 0)+1))&lt;=790,3,IF(INDEX(ERP資料!$G:$G, (MATCH(747, 輔助計算!$G$2:$G$801, 0)+1))&lt;=1181,2,1))))=0,"",IF(MOD(INDEX(輔助計算!$D:$D, (MATCH(747, 輔助計算!$G$2:$G$801, 0)+1)),IF(INDEX(ERP資料!$G:$G, (MATCH(747, 輔助計算!$G$2:$G$801, 0)+1))&lt;100, IF(INDEX(ERP資料!$G:$G, (MATCH(747, 輔助計算!$G$2:$G$801, 0)+1))&lt;=31,3,IF(INDEX(ERP資料!$G:$G, (MATCH(747, 輔助計算!$G$2:$G$801, 0)+1))&lt;=46.5,2,1)), IF(INDEX(ERP資料!$G:$G, (MATCH(747, 輔助計算!$G$2:$G$801, 0)+1))&lt;=790,3,IF(INDEX(ERP資料!$G:$G, (MATCH(747, 輔助計算!$G$2:$G$801, 0)+1))&lt;=1181,2,1))))=1,TEXT(INDEX(ERP資料!$G:$G, (MATCH(747, 輔助計算!$G$2:$G$801, 0)+1)),"0.##"),IF(MOD(INDEX(輔助計算!$D:$D, (MATCH(747, 輔助計算!$G$2:$G$801, 0)+1)),IF(INDEX(ERP資料!$G:$G, (MATCH(747, 輔助計算!$G$2:$G$801, 0)+1))&lt;100, IF(INDEX(ERP資料!$G:$G, (MATCH(747, 輔助計算!$G$2:$G$801, 0)+1))&lt;=31,3,IF(INDEX(ERP資料!$G:$G, (MATCH(747, 輔助計算!$G$2:$G$801, 0)+1))&lt;=46.5,2,1)), IF(INDEX(ERP資料!$G:$G, (MATCH(747, 輔助計算!$G$2:$G$801, 0)+1))&lt;=790,3,IF(INDEX(ERP資料!$G:$G, (MATCH(747, 輔助計算!$G$2:$G$801, 0)+1))&lt;=1181,2,1))))=2,TEXT(INDEX(ERP資料!$G:$G, (MATCH(747, 輔助計算!$G$2:$G$801, 0)+1)),"0.##")&amp;"+"&amp;TEXT(INDEX(ERP資料!$G:$G, (MATCH(747, 輔助計算!$G$2:$G$801, 0)+1)),"0.##"),TEXT(INDEX(ERP資料!$G:$G, (MATCH(747, 輔助計算!$G$2:$G$801, 0)+1)),"0.##")&amp;"+"&amp;TEXT(INDEX(ERP資料!$G:$G, (MATCH(747, 輔助計算!$G$2:$G$801, 0)+1)),"0.##")&amp;"+"&amp;TEXT(INDEX(ERP資料!$G:$G, (MATCH(747, 輔助計算!$G$2:$G$801, 0)+1)),"0.##"))))&amp;"-1")&lt;&gt;""),"  ","")&amp;IF(MOD(INDEX(輔助計算!$D:$D, (MATCH(747, 輔助計算!$G$2:$G$801, 0)+1)),IF(INDEX(ERP資料!$G:$G, (MATCH(747, 輔助計算!$G$2:$G$801, 0)+1))&lt;100, IF(INDEX(ERP資料!$G:$G, (MATCH(747, 輔助計算!$G$2:$G$801, 0)+1))&lt;=31,3,IF(INDEX(ERP資料!$G:$G, (MATCH(747, 輔助計算!$G$2:$G$801, 0)+1))&lt;=46.5,2,1)), IF(INDEX(ERP資料!$G:$G, (MATCH(747, 輔助計算!$G$2:$G$801, 0)+1))&lt;=790,3,IF(INDEX(ERP資料!$G:$G, (MATCH(747, 輔助計算!$G$2:$G$801, 0)+1))&lt;=1181,2,1))))=0,"",IF(MOD(INDEX(輔助計算!$D:$D, (MATCH(747, 輔助計算!$G$2:$G$801, 0)+1)),IF(INDEX(ERP資料!$G:$G, (MATCH(747, 輔助計算!$G$2:$G$801, 0)+1))&lt;100, IF(INDEX(ERP資料!$G:$G, (MATCH(747, 輔助計算!$G$2:$G$801, 0)+1))&lt;=31,3,IF(INDEX(ERP資料!$G:$G, (MATCH(747, 輔助計算!$G$2:$G$801, 0)+1))&lt;=46.5,2,1)), IF(INDEX(ERP資料!$G:$G, (MATCH(747, 輔助計算!$G$2:$G$801, 0)+1))&lt;=790,3,IF(INDEX(ERP資料!$G:$G, (MATCH(747, 輔助計算!$G$2:$G$801, 0)+1))&lt;=1181,2,1))))=0,"",IF(MOD(INDEX(輔助計算!$D:$D, (MATCH(747, 輔助計算!$G$2:$G$801, 0)+1)),IF(INDEX(ERP資料!$G:$G, (MATCH(747, 輔助計算!$G$2:$G$801, 0)+1))&lt;100, IF(INDEX(ERP資料!$G:$G, (MATCH(747, 輔助計算!$G$2:$G$801, 0)+1))&lt;=31,3,IF(INDEX(ERP資料!$G:$G, (MATCH(747, 輔助計算!$G$2:$G$801, 0)+1))&lt;=46.5,2,1)), IF(INDEX(ERP資料!$G:$G, (MATCH(747, 輔助計算!$G$2:$G$801, 0)+1))&lt;=790,3,IF(INDEX(ERP資料!$G:$G, (MATCH(747, 輔助計算!$G$2:$G$801, 0)+1))&lt;=1181,2,1))))=1,TEXT(INDEX(ERP資料!$G:$G, (MATCH(747, 輔助計算!$G$2:$G$801, 0)+1)),"0.##"),IF(MOD(INDEX(輔助計算!$D:$D, (MATCH(747, 輔助計算!$G$2:$G$801, 0)+1)),IF(INDEX(ERP資料!$G:$G, (MATCH(747, 輔助計算!$G$2:$G$801, 0)+1))&lt;100, IF(INDEX(ERP資料!$G:$G, (MATCH(747, 輔助計算!$G$2:$G$801, 0)+1))&lt;=31,3,IF(INDEX(ERP資料!$G:$G, (MATCH(747, 輔助計算!$G$2:$G$801, 0)+1))&lt;=46.5,2,1)), IF(INDEX(ERP資料!$G:$G, (MATCH(747, 輔助計算!$G$2:$G$801, 0)+1))&lt;=790,3,IF(INDEX(ERP資料!$G:$G, (MATCH(747, 輔助計算!$G$2:$G$801, 0)+1))&lt;=1181,2,1))))=2,TEXT(INDEX(ERP資料!$G:$G, (MATCH(747, 輔助計算!$G$2:$G$801, 0)+1)),"0.##")&amp;"+"&amp;TEXT(INDEX(ERP資料!$G:$G, (MATCH(747, 輔助計算!$G$2:$G$801, 0)+1)),"0.##"),TEXT(INDEX(ERP資料!$G:$G, (MATCH(747, 輔助計算!$G$2:$G$801, 0)+1)),"0.##")&amp;"+"&amp;TEXT(INDEX(ERP資料!$G:$G, (MATCH(747, 輔助計算!$G$2:$G$801, 0)+1)),"0.##")&amp;"+"&amp;TEXT(INDEX(ERP資料!$G:$G, (MATCH(747, 輔助計算!$G$2:$G$801, 0)+1)),"0.##"))))&amp;"-1")), ""), "")</f>
        <v/>
      </c>
      <c r="K748" s="16" t="n"/>
      <c r="L748" s="14">
        <f>IFERROR(IF(AND(IFERROR(INDEX(ERP資料!$A:$A, (MATCH(747, 輔助計算!$G$2:$G$801, 0)+1)), "")&lt;&gt;"", IFERROR(INDEX(ERP資料!$A:$A, (MATCH(747, 輔助計算!$G$2:$G$801, 0)+1)), "")&lt;&gt;IFERROR(INDEX(ERP資料!$A:$A, MATCH(746, 輔助計算!$G$2:$G$801, 0)+1), "")), INDEX(ERP資料!$B:$B, (MATCH(747, 輔助計算!$G$2:$G$801, 0)+1)), ""), "")</f>
        <v/>
      </c>
      <c r="M748" s="17" t="n"/>
    </row>
    <row r="749">
      <c r="A749" s="10">
        <f>IFERROR(IF(AND(IFERROR(INDEX(ERP資料!$A:$A, (MATCH(748, 輔助計算!$G$2:$G$801, 0)+1)), "")&lt;&gt;"", IFERROR(INDEX(ERP資料!$A:$A, (MATCH(748, 輔助計算!$G$2:$G$801, 0)+1)), "")&lt;&gt;IFERROR(INDEX(ERP資料!$A:$A, MATCH(747, 輔助計算!$G$2:$G$801, 0)+1), "")), IFERROR(INDEX(ERP資料!$A:$A, (MATCH(748, 輔助計算!$G$2:$G$801, 0)+1)), ""), ""), "")</f>
        <v/>
      </c>
      <c r="B749" s="10">
        <f>IFERROR(IF(AND(IFERROR(INDEX(ERP資料!$A:$A, (MATCH(748, 輔助計算!$G$2:$G$801, 0)+1)), "")&lt;&gt;"", IFERROR(INDEX(ERP資料!$A:$A, (MATCH(748, 輔助計算!$G$2:$G$801, 0)+1)), "")&lt;&gt;IFERROR(INDEX(ERP資料!$A:$A, MATCH(747, 輔助計算!$G$2:$G$801, 0)+1), "")), INDEX(ERP資料!$S:$S, (MATCH(748, 輔助計算!$G$2:$G$801, 0)+1)), ""), "")</f>
        <v/>
      </c>
      <c r="C749" s="19">
        <f>IFERROR(IF(AND(IFERROR(INDEX(ERP資料!$A:$A, (MATCH(748, 輔助計算!$G$2:$G$801, 0)+1)), "")&lt;&gt;"", IFERROR(INDEX(ERP資料!$A:$A, (MATCH(748, 輔助計算!$G$2:$G$801, 0)+1)), "")&lt;&gt;IFERROR(INDEX(ERP資料!$A:$A, MATCH(747, 輔助計算!$G$2:$G$801, 0)+1), "")), IFERROR(VLOOKUP(LEFT(INDEX(ERP資料!$S:$S, (MATCH(748, 輔助計算!$G$2:$G$801, 0)+1)), 4), 紙管對照表!$A:$C, 3, FALSE), ""), ""), "")</f>
        <v/>
      </c>
      <c r="D749" s="16" t="n"/>
      <c r="E749" s="10">
        <f>IFERROR(IF(INDEX(ERP資料!$H:$H, (MATCH(748, 輔助計算!$G$2:$G$801, 0)+1))="","",INDEX(ERP資料!$H:$H, (MATCH(748, 輔助計算!$G$2:$G$801, 0)+1))), "")</f>
        <v/>
      </c>
      <c r="F749" s="10">
        <f>IFERROR(IF(INDEX(ERP資料!$E:$E, (MATCH(748, 輔助計算!$G$2:$G$801, 0)+1))="","",TRIM(INDEX(ERP資料!$E:$E, (MATCH(748, 輔助計算!$G$2:$G$801, 0)+1)))), "")</f>
        <v/>
      </c>
      <c r="G749" s="10">
        <f>IFERROR(IF(INDEX(ERP資料!$F:$F, (MATCH(748, 輔助計算!$G$2:$G$801, 0)+1))="","",INDEX(ERP資料!$F:$F, (MATCH(748, 輔助計算!$G$2:$G$801, 0)+1))), "")</f>
        <v/>
      </c>
      <c r="H749" s="10">
        <f>IFERROR(IF(INDEX(ERP資料!$G:$G, (MATCH(748, 輔助計算!$G$2:$G$801, 0)+1))="","",INDEX(ERP資料!$G:$G, (MATCH(748, 輔助計算!$G$2:$G$801, 0)+1))), "")</f>
        <v/>
      </c>
      <c r="I749" s="15">
        <f>IFERROR(INDEX(輔助計算!$D:$D, (MATCH(748, 輔助計算!$G$2:$G$801, 0)+1)), "")</f>
        <v/>
      </c>
      <c r="J749" s="15">
        <f>IFERROR(IF(AND(INDEX(輔助計算!$D:$D, (MATCH(748, 輔助計算!$G$2:$G$801, 0)+1))&lt;&gt;"", INDEX(ERP資料!$G:$G, (MATCH(748, 輔助計算!$G$2:$G$801, 0)+1))&lt;&gt;""), TRIM(IF(INT(INDEX(輔助計算!$D:$D, (MATCH(748, 輔助計算!$G$2:$G$801, 0)+1))/IF(INDEX(ERP資料!$G:$G, (MATCH(748, 輔助計算!$G$2:$G$801, 0)+1))&lt;100, IF(INDEX(ERP資料!$G:$G, (MATCH(748, 輔助計算!$G$2:$G$801, 0)+1))&lt;=31,3,IF(INDEX(ERP資料!$G:$G, (MATCH(748, 輔助計算!$G$2:$G$801, 0)+1))&lt;=46.5,2,1)), IF(INDEX(ERP資料!$G:$G, (MATCH(748, 輔助計算!$G$2:$G$801, 0)+1))&lt;=790,3,IF(INDEX(ERP資料!$G:$G, (MATCH(748, 輔助計算!$G$2:$G$801, 0)+1))&lt;=1181,2,1))))&gt;0, IF(IF(INDEX(ERP資料!$G:$G, (MATCH(748, 輔助計算!$G$2:$G$801, 0)+1))&lt;100, IF(INDEX(ERP資料!$G:$G, (MATCH(748, 輔助計算!$G$2:$G$801, 0)+1))&lt;=31,3,IF(INDEX(ERP資料!$G:$G, (MATCH(748, 輔助計算!$G$2:$G$801, 0)+1))&lt;=46.5,2,1)), IF(INDEX(ERP資料!$G:$G, (MATCH(748, 輔助計算!$G$2:$G$801, 0)+1))&lt;=790,3,IF(INDEX(ERP資料!$G:$G, (MATCH(748, 輔助計算!$G$2:$G$801, 0)+1))&lt;=1181,2,1)))=1,TEXT(INDEX(ERP資料!$G:$G, (MATCH(748, 輔助計算!$G$2:$G$801, 0)+1)),"0.##"),IF(IF(INDEX(ERP資料!$G:$G, (MATCH(748, 輔助計算!$G$2:$G$801, 0)+1))&lt;100, IF(INDEX(ERP資料!$G:$G, (MATCH(748, 輔助計算!$G$2:$G$801, 0)+1))&lt;=31,3,IF(INDEX(ERP資料!$G:$G, (MATCH(748, 輔助計算!$G$2:$G$801, 0)+1))&lt;=46.5,2,1)), IF(INDEX(ERP資料!$G:$G, (MATCH(748, 輔助計算!$G$2:$G$801, 0)+1))&lt;=790,3,IF(INDEX(ERP資料!$G:$G, (MATCH(748, 輔助計算!$G$2:$G$801, 0)+1))&lt;=1181,2,1)))=2,TEXT(INDEX(ERP資料!$G:$G, (MATCH(748, 輔助計算!$G$2:$G$801, 0)+1)),"0.##")&amp;"+"&amp;TEXT(INDEX(ERP資料!$G:$G, (MATCH(748, 輔助計算!$G$2:$G$801, 0)+1)),"0.##"),TEXT(INDEX(ERP資料!$G:$G, (MATCH(748, 輔助計算!$G$2:$G$801, 0)+1)),"0.##")&amp;"+"&amp;TEXT(INDEX(ERP資料!$G:$G, (MATCH(748, 輔助計算!$G$2:$G$801, 0)+1)),"0.##")&amp;"+"&amp;TEXT(INDEX(ERP資料!$G:$G, (MATCH(748, 輔助計算!$G$2:$G$801, 0)+1)),"0.##")))&amp;"-"&amp;INT(INDEX(輔助計算!$D:$D, (MATCH(748, 輔助計算!$G$2:$G$801, 0)+1))/IF(INDEX(ERP資料!$G:$G, (MATCH(748, 輔助計算!$G$2:$G$801, 0)+1))&lt;100, IF(INDEX(ERP資料!$G:$G, (MATCH(748, 輔助計算!$G$2:$G$801, 0)+1))&lt;=31,3,IF(INDEX(ERP資料!$G:$G, (MATCH(748, 輔助計算!$G$2:$G$801, 0)+1))&lt;=46.5,2,1)), IF(INDEX(ERP資料!$G:$G, (MATCH(748, 輔助計算!$G$2:$G$801, 0)+1))&lt;=790,3,IF(INDEX(ERP資料!$G:$G, (MATCH(748, 輔助計算!$G$2:$G$801, 0)+1))&lt;=1181,2,1)))), "")&amp;IF(AND(IF(INT(INDEX(輔助計算!$D:$D, (MATCH(748, 輔助計算!$G$2:$G$801, 0)+1))/IF(INDEX(ERP資料!$G:$G, (MATCH(748, 輔助計算!$G$2:$G$801, 0)+1))&lt;100, IF(INDEX(ERP資料!$G:$G, (MATCH(748, 輔助計算!$G$2:$G$801, 0)+1))&lt;=31,3,IF(INDEX(ERP資料!$G:$G, (MATCH(748, 輔助計算!$G$2:$G$801, 0)+1))&lt;=46.5,2,1)), IF(INDEX(ERP資料!$G:$G, (MATCH(748, 輔助計算!$G$2:$G$801, 0)+1))&lt;=790,3,IF(INDEX(ERP資料!$G:$G, (MATCH(748, 輔助計算!$G$2:$G$801, 0)+1))&lt;=1181,2,1))))&gt;0, IF(IF(INDEX(ERP資料!$G:$G, (MATCH(748, 輔助計算!$G$2:$G$801, 0)+1))&lt;100, IF(INDEX(ERP資料!$G:$G, (MATCH(748, 輔助計算!$G$2:$G$801, 0)+1))&lt;=31,3,IF(INDEX(ERP資料!$G:$G, (MATCH(748, 輔助計算!$G$2:$G$801, 0)+1))&lt;=46.5,2,1)), IF(INDEX(ERP資料!$G:$G, (MATCH(748, 輔助計算!$G$2:$G$801, 0)+1))&lt;=790,3,IF(INDEX(ERP資料!$G:$G, (MATCH(748, 輔助計算!$G$2:$G$801, 0)+1))&lt;=1181,2,1)))=1,TEXT(INDEX(ERP資料!$G:$G, (MATCH(748, 輔助計算!$G$2:$G$801, 0)+1)),"0.##"),IF(IF(INDEX(ERP資料!$G:$G, (MATCH(748, 輔助計算!$G$2:$G$801, 0)+1))&lt;100, IF(INDEX(ERP資料!$G:$G, (MATCH(748, 輔助計算!$G$2:$G$801, 0)+1))&lt;=31,3,IF(INDEX(ERP資料!$G:$G, (MATCH(748, 輔助計算!$G$2:$G$801, 0)+1))&lt;=46.5,2,1)), IF(INDEX(ERP資料!$G:$G, (MATCH(748, 輔助計算!$G$2:$G$801, 0)+1))&lt;=790,3,IF(INDEX(ERP資料!$G:$G, (MATCH(748, 輔助計算!$G$2:$G$801, 0)+1))&lt;=1181,2,1)))=2,TEXT(INDEX(ERP資料!$G:$G, (MATCH(748, 輔助計算!$G$2:$G$801, 0)+1)),"0.##")&amp;"+"&amp;TEXT(INDEX(ERP資料!$G:$G, (MATCH(748, 輔助計算!$G$2:$G$801, 0)+1)),"0.##"),TEXT(INDEX(ERP資料!$G:$G, (MATCH(748, 輔助計算!$G$2:$G$801, 0)+1)),"0.##")&amp;"+"&amp;TEXT(INDEX(ERP資料!$G:$G, (MATCH(748, 輔助計算!$G$2:$G$801, 0)+1)),"0.##")&amp;"+"&amp;TEXT(INDEX(ERP資料!$G:$G, (MATCH(748, 輔助計算!$G$2:$G$801, 0)+1)),"0.##")))&amp;"-"&amp;INT(INDEX(輔助計算!$D:$D, (MATCH(748, 輔助計算!$G$2:$G$801, 0)+1))/IF(INDEX(ERP資料!$G:$G, (MATCH(748, 輔助計算!$G$2:$G$801, 0)+1))&lt;100, IF(INDEX(ERP資料!$G:$G, (MATCH(748, 輔助計算!$G$2:$G$801, 0)+1))&lt;=31,3,IF(INDEX(ERP資料!$G:$G, (MATCH(748, 輔助計算!$G$2:$G$801, 0)+1))&lt;=46.5,2,1)), IF(INDEX(ERP資料!$G:$G, (MATCH(748, 輔助計算!$G$2:$G$801, 0)+1))&lt;=790,3,IF(INDEX(ERP資料!$G:$G, (MATCH(748, 輔助計算!$G$2:$G$801, 0)+1))&lt;=1181,2,1)))), "")&lt;&gt;"",IF(MOD(INDEX(輔助計算!$D:$D, (MATCH(748, 輔助計算!$G$2:$G$801, 0)+1)),IF(INDEX(ERP資料!$G:$G, (MATCH(748, 輔助計算!$G$2:$G$801, 0)+1))&lt;100, IF(INDEX(ERP資料!$G:$G, (MATCH(748, 輔助計算!$G$2:$G$801, 0)+1))&lt;=31,3,IF(INDEX(ERP資料!$G:$G, (MATCH(748, 輔助計算!$G$2:$G$801, 0)+1))&lt;=46.5,2,1)), IF(INDEX(ERP資料!$G:$G, (MATCH(748, 輔助計算!$G$2:$G$801, 0)+1))&lt;=790,3,IF(INDEX(ERP資料!$G:$G, (MATCH(748, 輔助計算!$G$2:$G$801, 0)+1))&lt;=1181,2,1))))=0,"",IF(MOD(INDEX(輔助計算!$D:$D, (MATCH(748, 輔助計算!$G$2:$G$801, 0)+1)),IF(INDEX(ERP資料!$G:$G, (MATCH(748, 輔助計算!$G$2:$G$801, 0)+1))&lt;100, IF(INDEX(ERP資料!$G:$G, (MATCH(748, 輔助計算!$G$2:$G$801, 0)+1))&lt;=31,3,IF(INDEX(ERP資料!$G:$G, (MATCH(748, 輔助計算!$G$2:$G$801, 0)+1))&lt;=46.5,2,1)), IF(INDEX(ERP資料!$G:$G, (MATCH(748, 輔助計算!$G$2:$G$801, 0)+1))&lt;=790,3,IF(INDEX(ERP資料!$G:$G, (MATCH(748, 輔助計算!$G$2:$G$801, 0)+1))&lt;=1181,2,1))))=0,"",IF(MOD(INDEX(輔助計算!$D:$D, (MATCH(748, 輔助計算!$G$2:$G$801, 0)+1)),IF(INDEX(ERP資料!$G:$G, (MATCH(748, 輔助計算!$G$2:$G$801, 0)+1))&lt;100, IF(INDEX(ERP資料!$G:$G, (MATCH(748, 輔助計算!$G$2:$G$801, 0)+1))&lt;=31,3,IF(INDEX(ERP資料!$G:$G, (MATCH(748, 輔助計算!$G$2:$G$801, 0)+1))&lt;=46.5,2,1)), IF(INDEX(ERP資料!$G:$G, (MATCH(748, 輔助計算!$G$2:$G$801, 0)+1))&lt;=790,3,IF(INDEX(ERP資料!$G:$G, (MATCH(748, 輔助計算!$G$2:$G$801, 0)+1))&lt;=1181,2,1))))=1,TEXT(INDEX(ERP資料!$G:$G, (MATCH(748, 輔助計算!$G$2:$G$801, 0)+1)),"0.##"),IF(MOD(INDEX(輔助計算!$D:$D, (MATCH(748, 輔助計算!$G$2:$G$801, 0)+1)),IF(INDEX(ERP資料!$G:$G, (MATCH(748, 輔助計算!$G$2:$G$801, 0)+1))&lt;100, IF(INDEX(ERP資料!$G:$G, (MATCH(748, 輔助計算!$G$2:$G$801, 0)+1))&lt;=31,3,IF(INDEX(ERP資料!$G:$G, (MATCH(748, 輔助計算!$G$2:$G$801, 0)+1))&lt;=46.5,2,1)), IF(INDEX(ERP資料!$G:$G, (MATCH(748, 輔助計算!$G$2:$G$801, 0)+1))&lt;=790,3,IF(INDEX(ERP資料!$G:$G, (MATCH(748, 輔助計算!$G$2:$G$801, 0)+1))&lt;=1181,2,1))))=2,TEXT(INDEX(ERP資料!$G:$G, (MATCH(748, 輔助計算!$G$2:$G$801, 0)+1)),"0.##")&amp;"+"&amp;TEXT(INDEX(ERP資料!$G:$G, (MATCH(748, 輔助計算!$G$2:$G$801, 0)+1)),"0.##"),TEXT(INDEX(ERP資料!$G:$G, (MATCH(748, 輔助計算!$G$2:$G$801, 0)+1)),"0.##")&amp;"+"&amp;TEXT(INDEX(ERP資料!$G:$G, (MATCH(748, 輔助計算!$G$2:$G$801, 0)+1)),"0.##")&amp;"+"&amp;TEXT(INDEX(ERP資料!$G:$G, (MATCH(748, 輔助計算!$G$2:$G$801, 0)+1)),"0.##"))))&amp;"-1")&lt;&gt;""),"  ","")&amp;IF(MOD(INDEX(輔助計算!$D:$D, (MATCH(748, 輔助計算!$G$2:$G$801, 0)+1)),IF(INDEX(ERP資料!$G:$G, (MATCH(748, 輔助計算!$G$2:$G$801, 0)+1))&lt;100, IF(INDEX(ERP資料!$G:$G, (MATCH(748, 輔助計算!$G$2:$G$801, 0)+1))&lt;=31,3,IF(INDEX(ERP資料!$G:$G, (MATCH(748, 輔助計算!$G$2:$G$801, 0)+1))&lt;=46.5,2,1)), IF(INDEX(ERP資料!$G:$G, (MATCH(748, 輔助計算!$G$2:$G$801, 0)+1))&lt;=790,3,IF(INDEX(ERP資料!$G:$G, (MATCH(748, 輔助計算!$G$2:$G$801, 0)+1))&lt;=1181,2,1))))=0,"",IF(MOD(INDEX(輔助計算!$D:$D, (MATCH(748, 輔助計算!$G$2:$G$801, 0)+1)),IF(INDEX(ERP資料!$G:$G, (MATCH(748, 輔助計算!$G$2:$G$801, 0)+1))&lt;100, IF(INDEX(ERP資料!$G:$G, (MATCH(748, 輔助計算!$G$2:$G$801, 0)+1))&lt;=31,3,IF(INDEX(ERP資料!$G:$G, (MATCH(748, 輔助計算!$G$2:$G$801, 0)+1))&lt;=46.5,2,1)), IF(INDEX(ERP資料!$G:$G, (MATCH(748, 輔助計算!$G$2:$G$801, 0)+1))&lt;=790,3,IF(INDEX(ERP資料!$G:$G, (MATCH(748, 輔助計算!$G$2:$G$801, 0)+1))&lt;=1181,2,1))))=0,"",IF(MOD(INDEX(輔助計算!$D:$D, (MATCH(748, 輔助計算!$G$2:$G$801, 0)+1)),IF(INDEX(ERP資料!$G:$G, (MATCH(748, 輔助計算!$G$2:$G$801, 0)+1))&lt;100, IF(INDEX(ERP資料!$G:$G, (MATCH(748, 輔助計算!$G$2:$G$801, 0)+1))&lt;=31,3,IF(INDEX(ERP資料!$G:$G, (MATCH(748, 輔助計算!$G$2:$G$801, 0)+1))&lt;=46.5,2,1)), IF(INDEX(ERP資料!$G:$G, (MATCH(748, 輔助計算!$G$2:$G$801, 0)+1))&lt;=790,3,IF(INDEX(ERP資料!$G:$G, (MATCH(748, 輔助計算!$G$2:$G$801, 0)+1))&lt;=1181,2,1))))=1,TEXT(INDEX(ERP資料!$G:$G, (MATCH(748, 輔助計算!$G$2:$G$801, 0)+1)),"0.##"),IF(MOD(INDEX(輔助計算!$D:$D, (MATCH(748, 輔助計算!$G$2:$G$801, 0)+1)),IF(INDEX(ERP資料!$G:$G, (MATCH(748, 輔助計算!$G$2:$G$801, 0)+1))&lt;100, IF(INDEX(ERP資料!$G:$G, (MATCH(748, 輔助計算!$G$2:$G$801, 0)+1))&lt;=31,3,IF(INDEX(ERP資料!$G:$G, (MATCH(748, 輔助計算!$G$2:$G$801, 0)+1))&lt;=46.5,2,1)), IF(INDEX(ERP資料!$G:$G, (MATCH(748, 輔助計算!$G$2:$G$801, 0)+1))&lt;=790,3,IF(INDEX(ERP資料!$G:$G, (MATCH(748, 輔助計算!$G$2:$G$801, 0)+1))&lt;=1181,2,1))))=2,TEXT(INDEX(ERP資料!$G:$G, (MATCH(748, 輔助計算!$G$2:$G$801, 0)+1)),"0.##")&amp;"+"&amp;TEXT(INDEX(ERP資料!$G:$G, (MATCH(748, 輔助計算!$G$2:$G$801, 0)+1)),"0.##"),TEXT(INDEX(ERP資料!$G:$G, (MATCH(748, 輔助計算!$G$2:$G$801, 0)+1)),"0.##")&amp;"+"&amp;TEXT(INDEX(ERP資料!$G:$G, (MATCH(748, 輔助計算!$G$2:$G$801, 0)+1)),"0.##")&amp;"+"&amp;TEXT(INDEX(ERP資料!$G:$G, (MATCH(748, 輔助計算!$G$2:$G$801, 0)+1)),"0.##"))))&amp;"-1")), ""), "")</f>
        <v/>
      </c>
      <c r="K749" s="16" t="n"/>
      <c r="L749" s="14">
        <f>IFERROR(IF(AND(IFERROR(INDEX(ERP資料!$A:$A, (MATCH(748, 輔助計算!$G$2:$G$801, 0)+1)), "")&lt;&gt;"", IFERROR(INDEX(ERP資料!$A:$A, (MATCH(748, 輔助計算!$G$2:$G$801, 0)+1)), "")&lt;&gt;IFERROR(INDEX(ERP資料!$A:$A, MATCH(747, 輔助計算!$G$2:$G$801, 0)+1), "")), INDEX(ERP資料!$B:$B, (MATCH(748, 輔助計算!$G$2:$G$801, 0)+1)), ""), "")</f>
        <v/>
      </c>
      <c r="M749" s="17" t="n"/>
    </row>
    <row r="750">
      <c r="A750" s="10">
        <f>IFERROR(IF(AND(IFERROR(INDEX(ERP資料!$A:$A, (MATCH(749, 輔助計算!$G$2:$G$801, 0)+1)), "")&lt;&gt;"", IFERROR(INDEX(ERP資料!$A:$A, (MATCH(749, 輔助計算!$G$2:$G$801, 0)+1)), "")&lt;&gt;IFERROR(INDEX(ERP資料!$A:$A, MATCH(748, 輔助計算!$G$2:$G$801, 0)+1), "")), IFERROR(INDEX(ERP資料!$A:$A, (MATCH(749, 輔助計算!$G$2:$G$801, 0)+1)), ""), ""), "")</f>
        <v/>
      </c>
      <c r="B750" s="10">
        <f>IFERROR(IF(AND(IFERROR(INDEX(ERP資料!$A:$A, (MATCH(749, 輔助計算!$G$2:$G$801, 0)+1)), "")&lt;&gt;"", IFERROR(INDEX(ERP資料!$A:$A, (MATCH(749, 輔助計算!$G$2:$G$801, 0)+1)), "")&lt;&gt;IFERROR(INDEX(ERP資料!$A:$A, MATCH(748, 輔助計算!$G$2:$G$801, 0)+1), "")), INDEX(ERP資料!$S:$S, (MATCH(749, 輔助計算!$G$2:$G$801, 0)+1)), ""), "")</f>
        <v/>
      </c>
      <c r="C750" s="19">
        <f>IFERROR(IF(AND(IFERROR(INDEX(ERP資料!$A:$A, (MATCH(749, 輔助計算!$G$2:$G$801, 0)+1)), "")&lt;&gt;"", IFERROR(INDEX(ERP資料!$A:$A, (MATCH(749, 輔助計算!$G$2:$G$801, 0)+1)), "")&lt;&gt;IFERROR(INDEX(ERP資料!$A:$A, MATCH(748, 輔助計算!$G$2:$G$801, 0)+1), "")), IFERROR(VLOOKUP(LEFT(INDEX(ERP資料!$S:$S, (MATCH(749, 輔助計算!$G$2:$G$801, 0)+1)), 4), 紙管對照表!$A:$C, 3, FALSE), ""), ""), "")</f>
        <v/>
      </c>
      <c r="D750" s="16" t="n"/>
      <c r="E750" s="10">
        <f>IFERROR(IF(INDEX(ERP資料!$H:$H, (MATCH(749, 輔助計算!$G$2:$G$801, 0)+1))="","",INDEX(ERP資料!$H:$H, (MATCH(749, 輔助計算!$G$2:$G$801, 0)+1))), "")</f>
        <v/>
      </c>
      <c r="F750" s="10">
        <f>IFERROR(IF(INDEX(ERP資料!$E:$E, (MATCH(749, 輔助計算!$G$2:$G$801, 0)+1))="","",TRIM(INDEX(ERP資料!$E:$E, (MATCH(749, 輔助計算!$G$2:$G$801, 0)+1)))), "")</f>
        <v/>
      </c>
      <c r="G750" s="10">
        <f>IFERROR(IF(INDEX(ERP資料!$F:$F, (MATCH(749, 輔助計算!$G$2:$G$801, 0)+1))="","",INDEX(ERP資料!$F:$F, (MATCH(749, 輔助計算!$G$2:$G$801, 0)+1))), "")</f>
        <v/>
      </c>
      <c r="H750" s="10">
        <f>IFERROR(IF(INDEX(ERP資料!$G:$G, (MATCH(749, 輔助計算!$G$2:$G$801, 0)+1))="","",INDEX(ERP資料!$G:$G, (MATCH(749, 輔助計算!$G$2:$G$801, 0)+1))), "")</f>
        <v/>
      </c>
      <c r="I750" s="15">
        <f>IFERROR(INDEX(輔助計算!$D:$D, (MATCH(749, 輔助計算!$G$2:$G$801, 0)+1)), "")</f>
        <v/>
      </c>
      <c r="J750" s="15">
        <f>IFERROR(IF(AND(INDEX(輔助計算!$D:$D, (MATCH(749, 輔助計算!$G$2:$G$801, 0)+1))&lt;&gt;"", INDEX(ERP資料!$G:$G, (MATCH(749, 輔助計算!$G$2:$G$801, 0)+1))&lt;&gt;""), TRIM(IF(INT(INDEX(輔助計算!$D:$D, (MATCH(749, 輔助計算!$G$2:$G$801, 0)+1))/IF(INDEX(ERP資料!$G:$G, (MATCH(749, 輔助計算!$G$2:$G$801, 0)+1))&lt;100, IF(INDEX(ERP資料!$G:$G, (MATCH(749, 輔助計算!$G$2:$G$801, 0)+1))&lt;=31,3,IF(INDEX(ERP資料!$G:$G, (MATCH(749, 輔助計算!$G$2:$G$801, 0)+1))&lt;=46.5,2,1)), IF(INDEX(ERP資料!$G:$G, (MATCH(749, 輔助計算!$G$2:$G$801, 0)+1))&lt;=790,3,IF(INDEX(ERP資料!$G:$G, (MATCH(749, 輔助計算!$G$2:$G$801, 0)+1))&lt;=1181,2,1))))&gt;0, IF(IF(INDEX(ERP資料!$G:$G, (MATCH(749, 輔助計算!$G$2:$G$801, 0)+1))&lt;100, IF(INDEX(ERP資料!$G:$G, (MATCH(749, 輔助計算!$G$2:$G$801, 0)+1))&lt;=31,3,IF(INDEX(ERP資料!$G:$G, (MATCH(749, 輔助計算!$G$2:$G$801, 0)+1))&lt;=46.5,2,1)), IF(INDEX(ERP資料!$G:$G, (MATCH(749, 輔助計算!$G$2:$G$801, 0)+1))&lt;=790,3,IF(INDEX(ERP資料!$G:$G, (MATCH(749, 輔助計算!$G$2:$G$801, 0)+1))&lt;=1181,2,1)))=1,TEXT(INDEX(ERP資料!$G:$G, (MATCH(749, 輔助計算!$G$2:$G$801, 0)+1)),"0.##"),IF(IF(INDEX(ERP資料!$G:$G, (MATCH(749, 輔助計算!$G$2:$G$801, 0)+1))&lt;100, IF(INDEX(ERP資料!$G:$G, (MATCH(749, 輔助計算!$G$2:$G$801, 0)+1))&lt;=31,3,IF(INDEX(ERP資料!$G:$G, (MATCH(749, 輔助計算!$G$2:$G$801, 0)+1))&lt;=46.5,2,1)), IF(INDEX(ERP資料!$G:$G, (MATCH(749, 輔助計算!$G$2:$G$801, 0)+1))&lt;=790,3,IF(INDEX(ERP資料!$G:$G, (MATCH(749, 輔助計算!$G$2:$G$801, 0)+1))&lt;=1181,2,1)))=2,TEXT(INDEX(ERP資料!$G:$G, (MATCH(749, 輔助計算!$G$2:$G$801, 0)+1)),"0.##")&amp;"+"&amp;TEXT(INDEX(ERP資料!$G:$G, (MATCH(749, 輔助計算!$G$2:$G$801, 0)+1)),"0.##"),TEXT(INDEX(ERP資料!$G:$G, (MATCH(749, 輔助計算!$G$2:$G$801, 0)+1)),"0.##")&amp;"+"&amp;TEXT(INDEX(ERP資料!$G:$G, (MATCH(749, 輔助計算!$G$2:$G$801, 0)+1)),"0.##")&amp;"+"&amp;TEXT(INDEX(ERP資料!$G:$G, (MATCH(749, 輔助計算!$G$2:$G$801, 0)+1)),"0.##")))&amp;"-"&amp;INT(INDEX(輔助計算!$D:$D, (MATCH(749, 輔助計算!$G$2:$G$801, 0)+1))/IF(INDEX(ERP資料!$G:$G, (MATCH(749, 輔助計算!$G$2:$G$801, 0)+1))&lt;100, IF(INDEX(ERP資料!$G:$G, (MATCH(749, 輔助計算!$G$2:$G$801, 0)+1))&lt;=31,3,IF(INDEX(ERP資料!$G:$G, (MATCH(749, 輔助計算!$G$2:$G$801, 0)+1))&lt;=46.5,2,1)), IF(INDEX(ERP資料!$G:$G, (MATCH(749, 輔助計算!$G$2:$G$801, 0)+1))&lt;=790,3,IF(INDEX(ERP資料!$G:$G, (MATCH(749, 輔助計算!$G$2:$G$801, 0)+1))&lt;=1181,2,1)))), "")&amp;IF(AND(IF(INT(INDEX(輔助計算!$D:$D, (MATCH(749, 輔助計算!$G$2:$G$801, 0)+1))/IF(INDEX(ERP資料!$G:$G, (MATCH(749, 輔助計算!$G$2:$G$801, 0)+1))&lt;100, IF(INDEX(ERP資料!$G:$G, (MATCH(749, 輔助計算!$G$2:$G$801, 0)+1))&lt;=31,3,IF(INDEX(ERP資料!$G:$G, (MATCH(749, 輔助計算!$G$2:$G$801, 0)+1))&lt;=46.5,2,1)), IF(INDEX(ERP資料!$G:$G, (MATCH(749, 輔助計算!$G$2:$G$801, 0)+1))&lt;=790,3,IF(INDEX(ERP資料!$G:$G, (MATCH(749, 輔助計算!$G$2:$G$801, 0)+1))&lt;=1181,2,1))))&gt;0, IF(IF(INDEX(ERP資料!$G:$G, (MATCH(749, 輔助計算!$G$2:$G$801, 0)+1))&lt;100, IF(INDEX(ERP資料!$G:$G, (MATCH(749, 輔助計算!$G$2:$G$801, 0)+1))&lt;=31,3,IF(INDEX(ERP資料!$G:$G, (MATCH(749, 輔助計算!$G$2:$G$801, 0)+1))&lt;=46.5,2,1)), IF(INDEX(ERP資料!$G:$G, (MATCH(749, 輔助計算!$G$2:$G$801, 0)+1))&lt;=790,3,IF(INDEX(ERP資料!$G:$G, (MATCH(749, 輔助計算!$G$2:$G$801, 0)+1))&lt;=1181,2,1)))=1,TEXT(INDEX(ERP資料!$G:$G, (MATCH(749, 輔助計算!$G$2:$G$801, 0)+1)),"0.##"),IF(IF(INDEX(ERP資料!$G:$G, (MATCH(749, 輔助計算!$G$2:$G$801, 0)+1))&lt;100, IF(INDEX(ERP資料!$G:$G, (MATCH(749, 輔助計算!$G$2:$G$801, 0)+1))&lt;=31,3,IF(INDEX(ERP資料!$G:$G, (MATCH(749, 輔助計算!$G$2:$G$801, 0)+1))&lt;=46.5,2,1)), IF(INDEX(ERP資料!$G:$G, (MATCH(749, 輔助計算!$G$2:$G$801, 0)+1))&lt;=790,3,IF(INDEX(ERP資料!$G:$G, (MATCH(749, 輔助計算!$G$2:$G$801, 0)+1))&lt;=1181,2,1)))=2,TEXT(INDEX(ERP資料!$G:$G, (MATCH(749, 輔助計算!$G$2:$G$801, 0)+1)),"0.##")&amp;"+"&amp;TEXT(INDEX(ERP資料!$G:$G, (MATCH(749, 輔助計算!$G$2:$G$801, 0)+1)),"0.##"),TEXT(INDEX(ERP資料!$G:$G, (MATCH(749, 輔助計算!$G$2:$G$801, 0)+1)),"0.##")&amp;"+"&amp;TEXT(INDEX(ERP資料!$G:$G, (MATCH(749, 輔助計算!$G$2:$G$801, 0)+1)),"0.##")&amp;"+"&amp;TEXT(INDEX(ERP資料!$G:$G, (MATCH(749, 輔助計算!$G$2:$G$801, 0)+1)),"0.##")))&amp;"-"&amp;INT(INDEX(輔助計算!$D:$D, (MATCH(749, 輔助計算!$G$2:$G$801, 0)+1))/IF(INDEX(ERP資料!$G:$G, (MATCH(749, 輔助計算!$G$2:$G$801, 0)+1))&lt;100, IF(INDEX(ERP資料!$G:$G, (MATCH(749, 輔助計算!$G$2:$G$801, 0)+1))&lt;=31,3,IF(INDEX(ERP資料!$G:$G, (MATCH(749, 輔助計算!$G$2:$G$801, 0)+1))&lt;=46.5,2,1)), IF(INDEX(ERP資料!$G:$G, (MATCH(749, 輔助計算!$G$2:$G$801, 0)+1))&lt;=790,3,IF(INDEX(ERP資料!$G:$G, (MATCH(749, 輔助計算!$G$2:$G$801, 0)+1))&lt;=1181,2,1)))), "")&lt;&gt;"",IF(MOD(INDEX(輔助計算!$D:$D, (MATCH(749, 輔助計算!$G$2:$G$801, 0)+1)),IF(INDEX(ERP資料!$G:$G, (MATCH(749, 輔助計算!$G$2:$G$801, 0)+1))&lt;100, IF(INDEX(ERP資料!$G:$G, (MATCH(749, 輔助計算!$G$2:$G$801, 0)+1))&lt;=31,3,IF(INDEX(ERP資料!$G:$G, (MATCH(749, 輔助計算!$G$2:$G$801, 0)+1))&lt;=46.5,2,1)), IF(INDEX(ERP資料!$G:$G, (MATCH(749, 輔助計算!$G$2:$G$801, 0)+1))&lt;=790,3,IF(INDEX(ERP資料!$G:$G, (MATCH(749, 輔助計算!$G$2:$G$801, 0)+1))&lt;=1181,2,1))))=0,"",IF(MOD(INDEX(輔助計算!$D:$D, (MATCH(749, 輔助計算!$G$2:$G$801, 0)+1)),IF(INDEX(ERP資料!$G:$G, (MATCH(749, 輔助計算!$G$2:$G$801, 0)+1))&lt;100, IF(INDEX(ERP資料!$G:$G, (MATCH(749, 輔助計算!$G$2:$G$801, 0)+1))&lt;=31,3,IF(INDEX(ERP資料!$G:$G, (MATCH(749, 輔助計算!$G$2:$G$801, 0)+1))&lt;=46.5,2,1)), IF(INDEX(ERP資料!$G:$G, (MATCH(749, 輔助計算!$G$2:$G$801, 0)+1))&lt;=790,3,IF(INDEX(ERP資料!$G:$G, (MATCH(749, 輔助計算!$G$2:$G$801, 0)+1))&lt;=1181,2,1))))=0,"",IF(MOD(INDEX(輔助計算!$D:$D, (MATCH(749, 輔助計算!$G$2:$G$801, 0)+1)),IF(INDEX(ERP資料!$G:$G, (MATCH(749, 輔助計算!$G$2:$G$801, 0)+1))&lt;100, IF(INDEX(ERP資料!$G:$G, (MATCH(749, 輔助計算!$G$2:$G$801, 0)+1))&lt;=31,3,IF(INDEX(ERP資料!$G:$G, (MATCH(749, 輔助計算!$G$2:$G$801, 0)+1))&lt;=46.5,2,1)), IF(INDEX(ERP資料!$G:$G, (MATCH(749, 輔助計算!$G$2:$G$801, 0)+1))&lt;=790,3,IF(INDEX(ERP資料!$G:$G, (MATCH(749, 輔助計算!$G$2:$G$801, 0)+1))&lt;=1181,2,1))))=1,TEXT(INDEX(ERP資料!$G:$G, (MATCH(749, 輔助計算!$G$2:$G$801, 0)+1)),"0.##"),IF(MOD(INDEX(輔助計算!$D:$D, (MATCH(749, 輔助計算!$G$2:$G$801, 0)+1)),IF(INDEX(ERP資料!$G:$G, (MATCH(749, 輔助計算!$G$2:$G$801, 0)+1))&lt;100, IF(INDEX(ERP資料!$G:$G, (MATCH(749, 輔助計算!$G$2:$G$801, 0)+1))&lt;=31,3,IF(INDEX(ERP資料!$G:$G, (MATCH(749, 輔助計算!$G$2:$G$801, 0)+1))&lt;=46.5,2,1)), IF(INDEX(ERP資料!$G:$G, (MATCH(749, 輔助計算!$G$2:$G$801, 0)+1))&lt;=790,3,IF(INDEX(ERP資料!$G:$G, (MATCH(749, 輔助計算!$G$2:$G$801, 0)+1))&lt;=1181,2,1))))=2,TEXT(INDEX(ERP資料!$G:$G, (MATCH(749, 輔助計算!$G$2:$G$801, 0)+1)),"0.##")&amp;"+"&amp;TEXT(INDEX(ERP資料!$G:$G, (MATCH(749, 輔助計算!$G$2:$G$801, 0)+1)),"0.##"),TEXT(INDEX(ERP資料!$G:$G, (MATCH(749, 輔助計算!$G$2:$G$801, 0)+1)),"0.##")&amp;"+"&amp;TEXT(INDEX(ERP資料!$G:$G, (MATCH(749, 輔助計算!$G$2:$G$801, 0)+1)),"0.##")&amp;"+"&amp;TEXT(INDEX(ERP資料!$G:$G, (MATCH(749, 輔助計算!$G$2:$G$801, 0)+1)),"0.##"))))&amp;"-1")&lt;&gt;""),"  ","")&amp;IF(MOD(INDEX(輔助計算!$D:$D, (MATCH(749, 輔助計算!$G$2:$G$801, 0)+1)),IF(INDEX(ERP資料!$G:$G, (MATCH(749, 輔助計算!$G$2:$G$801, 0)+1))&lt;100, IF(INDEX(ERP資料!$G:$G, (MATCH(749, 輔助計算!$G$2:$G$801, 0)+1))&lt;=31,3,IF(INDEX(ERP資料!$G:$G, (MATCH(749, 輔助計算!$G$2:$G$801, 0)+1))&lt;=46.5,2,1)), IF(INDEX(ERP資料!$G:$G, (MATCH(749, 輔助計算!$G$2:$G$801, 0)+1))&lt;=790,3,IF(INDEX(ERP資料!$G:$G, (MATCH(749, 輔助計算!$G$2:$G$801, 0)+1))&lt;=1181,2,1))))=0,"",IF(MOD(INDEX(輔助計算!$D:$D, (MATCH(749, 輔助計算!$G$2:$G$801, 0)+1)),IF(INDEX(ERP資料!$G:$G, (MATCH(749, 輔助計算!$G$2:$G$801, 0)+1))&lt;100, IF(INDEX(ERP資料!$G:$G, (MATCH(749, 輔助計算!$G$2:$G$801, 0)+1))&lt;=31,3,IF(INDEX(ERP資料!$G:$G, (MATCH(749, 輔助計算!$G$2:$G$801, 0)+1))&lt;=46.5,2,1)), IF(INDEX(ERP資料!$G:$G, (MATCH(749, 輔助計算!$G$2:$G$801, 0)+1))&lt;=790,3,IF(INDEX(ERP資料!$G:$G, (MATCH(749, 輔助計算!$G$2:$G$801, 0)+1))&lt;=1181,2,1))))=0,"",IF(MOD(INDEX(輔助計算!$D:$D, (MATCH(749, 輔助計算!$G$2:$G$801, 0)+1)),IF(INDEX(ERP資料!$G:$G, (MATCH(749, 輔助計算!$G$2:$G$801, 0)+1))&lt;100, IF(INDEX(ERP資料!$G:$G, (MATCH(749, 輔助計算!$G$2:$G$801, 0)+1))&lt;=31,3,IF(INDEX(ERP資料!$G:$G, (MATCH(749, 輔助計算!$G$2:$G$801, 0)+1))&lt;=46.5,2,1)), IF(INDEX(ERP資料!$G:$G, (MATCH(749, 輔助計算!$G$2:$G$801, 0)+1))&lt;=790,3,IF(INDEX(ERP資料!$G:$G, (MATCH(749, 輔助計算!$G$2:$G$801, 0)+1))&lt;=1181,2,1))))=1,TEXT(INDEX(ERP資料!$G:$G, (MATCH(749, 輔助計算!$G$2:$G$801, 0)+1)),"0.##"),IF(MOD(INDEX(輔助計算!$D:$D, (MATCH(749, 輔助計算!$G$2:$G$801, 0)+1)),IF(INDEX(ERP資料!$G:$G, (MATCH(749, 輔助計算!$G$2:$G$801, 0)+1))&lt;100, IF(INDEX(ERP資料!$G:$G, (MATCH(749, 輔助計算!$G$2:$G$801, 0)+1))&lt;=31,3,IF(INDEX(ERP資料!$G:$G, (MATCH(749, 輔助計算!$G$2:$G$801, 0)+1))&lt;=46.5,2,1)), IF(INDEX(ERP資料!$G:$G, (MATCH(749, 輔助計算!$G$2:$G$801, 0)+1))&lt;=790,3,IF(INDEX(ERP資料!$G:$G, (MATCH(749, 輔助計算!$G$2:$G$801, 0)+1))&lt;=1181,2,1))))=2,TEXT(INDEX(ERP資料!$G:$G, (MATCH(749, 輔助計算!$G$2:$G$801, 0)+1)),"0.##")&amp;"+"&amp;TEXT(INDEX(ERP資料!$G:$G, (MATCH(749, 輔助計算!$G$2:$G$801, 0)+1)),"0.##"),TEXT(INDEX(ERP資料!$G:$G, (MATCH(749, 輔助計算!$G$2:$G$801, 0)+1)),"0.##")&amp;"+"&amp;TEXT(INDEX(ERP資料!$G:$G, (MATCH(749, 輔助計算!$G$2:$G$801, 0)+1)),"0.##")&amp;"+"&amp;TEXT(INDEX(ERP資料!$G:$G, (MATCH(749, 輔助計算!$G$2:$G$801, 0)+1)),"0.##"))))&amp;"-1")), ""), "")</f>
        <v/>
      </c>
      <c r="K750" s="16" t="n"/>
      <c r="L750" s="14">
        <f>IFERROR(IF(AND(IFERROR(INDEX(ERP資料!$A:$A, (MATCH(749, 輔助計算!$G$2:$G$801, 0)+1)), "")&lt;&gt;"", IFERROR(INDEX(ERP資料!$A:$A, (MATCH(749, 輔助計算!$G$2:$G$801, 0)+1)), "")&lt;&gt;IFERROR(INDEX(ERP資料!$A:$A, MATCH(748, 輔助計算!$G$2:$G$801, 0)+1), "")), INDEX(ERP資料!$B:$B, (MATCH(749, 輔助計算!$G$2:$G$801, 0)+1)), ""), "")</f>
        <v/>
      </c>
      <c r="M750" s="17" t="n"/>
    </row>
    <row r="751">
      <c r="A751" s="10">
        <f>IFERROR(IF(AND(IFERROR(INDEX(ERP資料!$A:$A, (MATCH(750, 輔助計算!$G$2:$G$801, 0)+1)), "")&lt;&gt;"", IFERROR(INDEX(ERP資料!$A:$A, (MATCH(750, 輔助計算!$G$2:$G$801, 0)+1)), "")&lt;&gt;IFERROR(INDEX(ERP資料!$A:$A, MATCH(749, 輔助計算!$G$2:$G$801, 0)+1), "")), IFERROR(INDEX(ERP資料!$A:$A, (MATCH(750, 輔助計算!$G$2:$G$801, 0)+1)), ""), ""), "")</f>
        <v/>
      </c>
      <c r="B751" s="10">
        <f>IFERROR(IF(AND(IFERROR(INDEX(ERP資料!$A:$A, (MATCH(750, 輔助計算!$G$2:$G$801, 0)+1)), "")&lt;&gt;"", IFERROR(INDEX(ERP資料!$A:$A, (MATCH(750, 輔助計算!$G$2:$G$801, 0)+1)), "")&lt;&gt;IFERROR(INDEX(ERP資料!$A:$A, MATCH(749, 輔助計算!$G$2:$G$801, 0)+1), "")), INDEX(ERP資料!$S:$S, (MATCH(750, 輔助計算!$G$2:$G$801, 0)+1)), ""), "")</f>
        <v/>
      </c>
      <c r="C751" s="19">
        <f>IFERROR(IF(AND(IFERROR(INDEX(ERP資料!$A:$A, (MATCH(750, 輔助計算!$G$2:$G$801, 0)+1)), "")&lt;&gt;"", IFERROR(INDEX(ERP資料!$A:$A, (MATCH(750, 輔助計算!$G$2:$G$801, 0)+1)), "")&lt;&gt;IFERROR(INDEX(ERP資料!$A:$A, MATCH(749, 輔助計算!$G$2:$G$801, 0)+1), "")), IFERROR(VLOOKUP(LEFT(INDEX(ERP資料!$S:$S, (MATCH(750, 輔助計算!$G$2:$G$801, 0)+1)), 4), 紙管對照表!$A:$C, 3, FALSE), ""), ""), "")</f>
        <v/>
      </c>
      <c r="D751" s="16" t="n"/>
      <c r="E751" s="10">
        <f>IFERROR(IF(INDEX(ERP資料!$H:$H, (MATCH(750, 輔助計算!$G$2:$G$801, 0)+1))="","",INDEX(ERP資料!$H:$H, (MATCH(750, 輔助計算!$G$2:$G$801, 0)+1))), "")</f>
        <v/>
      </c>
      <c r="F751" s="10">
        <f>IFERROR(IF(INDEX(ERP資料!$E:$E, (MATCH(750, 輔助計算!$G$2:$G$801, 0)+1))="","",TRIM(INDEX(ERP資料!$E:$E, (MATCH(750, 輔助計算!$G$2:$G$801, 0)+1)))), "")</f>
        <v/>
      </c>
      <c r="G751" s="10">
        <f>IFERROR(IF(INDEX(ERP資料!$F:$F, (MATCH(750, 輔助計算!$G$2:$G$801, 0)+1))="","",INDEX(ERP資料!$F:$F, (MATCH(750, 輔助計算!$G$2:$G$801, 0)+1))), "")</f>
        <v/>
      </c>
      <c r="H751" s="10">
        <f>IFERROR(IF(INDEX(ERP資料!$G:$G, (MATCH(750, 輔助計算!$G$2:$G$801, 0)+1))="","",INDEX(ERP資料!$G:$G, (MATCH(750, 輔助計算!$G$2:$G$801, 0)+1))), "")</f>
        <v/>
      </c>
      <c r="I751" s="15">
        <f>IFERROR(INDEX(輔助計算!$D:$D, (MATCH(750, 輔助計算!$G$2:$G$801, 0)+1)), "")</f>
        <v/>
      </c>
      <c r="J751" s="15">
        <f>IFERROR(IF(AND(INDEX(輔助計算!$D:$D, (MATCH(750, 輔助計算!$G$2:$G$801, 0)+1))&lt;&gt;"", INDEX(ERP資料!$G:$G, (MATCH(750, 輔助計算!$G$2:$G$801, 0)+1))&lt;&gt;""), TRIM(IF(INT(INDEX(輔助計算!$D:$D, (MATCH(750, 輔助計算!$G$2:$G$801, 0)+1))/IF(INDEX(ERP資料!$G:$G, (MATCH(750, 輔助計算!$G$2:$G$801, 0)+1))&lt;100, IF(INDEX(ERP資料!$G:$G, (MATCH(750, 輔助計算!$G$2:$G$801, 0)+1))&lt;=31,3,IF(INDEX(ERP資料!$G:$G, (MATCH(750, 輔助計算!$G$2:$G$801, 0)+1))&lt;=46.5,2,1)), IF(INDEX(ERP資料!$G:$G, (MATCH(750, 輔助計算!$G$2:$G$801, 0)+1))&lt;=790,3,IF(INDEX(ERP資料!$G:$G, (MATCH(750, 輔助計算!$G$2:$G$801, 0)+1))&lt;=1181,2,1))))&gt;0, IF(IF(INDEX(ERP資料!$G:$G, (MATCH(750, 輔助計算!$G$2:$G$801, 0)+1))&lt;100, IF(INDEX(ERP資料!$G:$G, (MATCH(750, 輔助計算!$G$2:$G$801, 0)+1))&lt;=31,3,IF(INDEX(ERP資料!$G:$G, (MATCH(750, 輔助計算!$G$2:$G$801, 0)+1))&lt;=46.5,2,1)), IF(INDEX(ERP資料!$G:$G, (MATCH(750, 輔助計算!$G$2:$G$801, 0)+1))&lt;=790,3,IF(INDEX(ERP資料!$G:$G, (MATCH(750, 輔助計算!$G$2:$G$801, 0)+1))&lt;=1181,2,1)))=1,TEXT(INDEX(ERP資料!$G:$G, (MATCH(750, 輔助計算!$G$2:$G$801, 0)+1)),"0.##"),IF(IF(INDEX(ERP資料!$G:$G, (MATCH(750, 輔助計算!$G$2:$G$801, 0)+1))&lt;100, IF(INDEX(ERP資料!$G:$G, (MATCH(750, 輔助計算!$G$2:$G$801, 0)+1))&lt;=31,3,IF(INDEX(ERP資料!$G:$G, (MATCH(750, 輔助計算!$G$2:$G$801, 0)+1))&lt;=46.5,2,1)), IF(INDEX(ERP資料!$G:$G, (MATCH(750, 輔助計算!$G$2:$G$801, 0)+1))&lt;=790,3,IF(INDEX(ERP資料!$G:$G, (MATCH(750, 輔助計算!$G$2:$G$801, 0)+1))&lt;=1181,2,1)))=2,TEXT(INDEX(ERP資料!$G:$G, (MATCH(750, 輔助計算!$G$2:$G$801, 0)+1)),"0.##")&amp;"+"&amp;TEXT(INDEX(ERP資料!$G:$G, (MATCH(750, 輔助計算!$G$2:$G$801, 0)+1)),"0.##"),TEXT(INDEX(ERP資料!$G:$G, (MATCH(750, 輔助計算!$G$2:$G$801, 0)+1)),"0.##")&amp;"+"&amp;TEXT(INDEX(ERP資料!$G:$G, (MATCH(750, 輔助計算!$G$2:$G$801, 0)+1)),"0.##")&amp;"+"&amp;TEXT(INDEX(ERP資料!$G:$G, (MATCH(750, 輔助計算!$G$2:$G$801, 0)+1)),"0.##")))&amp;"-"&amp;INT(INDEX(輔助計算!$D:$D, (MATCH(750, 輔助計算!$G$2:$G$801, 0)+1))/IF(INDEX(ERP資料!$G:$G, (MATCH(750, 輔助計算!$G$2:$G$801, 0)+1))&lt;100, IF(INDEX(ERP資料!$G:$G, (MATCH(750, 輔助計算!$G$2:$G$801, 0)+1))&lt;=31,3,IF(INDEX(ERP資料!$G:$G, (MATCH(750, 輔助計算!$G$2:$G$801, 0)+1))&lt;=46.5,2,1)), IF(INDEX(ERP資料!$G:$G, (MATCH(750, 輔助計算!$G$2:$G$801, 0)+1))&lt;=790,3,IF(INDEX(ERP資料!$G:$G, (MATCH(750, 輔助計算!$G$2:$G$801, 0)+1))&lt;=1181,2,1)))), "")&amp;IF(AND(IF(INT(INDEX(輔助計算!$D:$D, (MATCH(750, 輔助計算!$G$2:$G$801, 0)+1))/IF(INDEX(ERP資料!$G:$G, (MATCH(750, 輔助計算!$G$2:$G$801, 0)+1))&lt;100, IF(INDEX(ERP資料!$G:$G, (MATCH(750, 輔助計算!$G$2:$G$801, 0)+1))&lt;=31,3,IF(INDEX(ERP資料!$G:$G, (MATCH(750, 輔助計算!$G$2:$G$801, 0)+1))&lt;=46.5,2,1)), IF(INDEX(ERP資料!$G:$G, (MATCH(750, 輔助計算!$G$2:$G$801, 0)+1))&lt;=790,3,IF(INDEX(ERP資料!$G:$G, (MATCH(750, 輔助計算!$G$2:$G$801, 0)+1))&lt;=1181,2,1))))&gt;0, IF(IF(INDEX(ERP資料!$G:$G, (MATCH(750, 輔助計算!$G$2:$G$801, 0)+1))&lt;100, IF(INDEX(ERP資料!$G:$G, (MATCH(750, 輔助計算!$G$2:$G$801, 0)+1))&lt;=31,3,IF(INDEX(ERP資料!$G:$G, (MATCH(750, 輔助計算!$G$2:$G$801, 0)+1))&lt;=46.5,2,1)), IF(INDEX(ERP資料!$G:$G, (MATCH(750, 輔助計算!$G$2:$G$801, 0)+1))&lt;=790,3,IF(INDEX(ERP資料!$G:$G, (MATCH(750, 輔助計算!$G$2:$G$801, 0)+1))&lt;=1181,2,1)))=1,TEXT(INDEX(ERP資料!$G:$G, (MATCH(750, 輔助計算!$G$2:$G$801, 0)+1)),"0.##"),IF(IF(INDEX(ERP資料!$G:$G, (MATCH(750, 輔助計算!$G$2:$G$801, 0)+1))&lt;100, IF(INDEX(ERP資料!$G:$G, (MATCH(750, 輔助計算!$G$2:$G$801, 0)+1))&lt;=31,3,IF(INDEX(ERP資料!$G:$G, (MATCH(750, 輔助計算!$G$2:$G$801, 0)+1))&lt;=46.5,2,1)), IF(INDEX(ERP資料!$G:$G, (MATCH(750, 輔助計算!$G$2:$G$801, 0)+1))&lt;=790,3,IF(INDEX(ERP資料!$G:$G, (MATCH(750, 輔助計算!$G$2:$G$801, 0)+1))&lt;=1181,2,1)))=2,TEXT(INDEX(ERP資料!$G:$G, (MATCH(750, 輔助計算!$G$2:$G$801, 0)+1)),"0.##")&amp;"+"&amp;TEXT(INDEX(ERP資料!$G:$G, (MATCH(750, 輔助計算!$G$2:$G$801, 0)+1)),"0.##"),TEXT(INDEX(ERP資料!$G:$G, (MATCH(750, 輔助計算!$G$2:$G$801, 0)+1)),"0.##")&amp;"+"&amp;TEXT(INDEX(ERP資料!$G:$G, (MATCH(750, 輔助計算!$G$2:$G$801, 0)+1)),"0.##")&amp;"+"&amp;TEXT(INDEX(ERP資料!$G:$G, (MATCH(750, 輔助計算!$G$2:$G$801, 0)+1)),"0.##")))&amp;"-"&amp;INT(INDEX(輔助計算!$D:$D, (MATCH(750, 輔助計算!$G$2:$G$801, 0)+1))/IF(INDEX(ERP資料!$G:$G, (MATCH(750, 輔助計算!$G$2:$G$801, 0)+1))&lt;100, IF(INDEX(ERP資料!$G:$G, (MATCH(750, 輔助計算!$G$2:$G$801, 0)+1))&lt;=31,3,IF(INDEX(ERP資料!$G:$G, (MATCH(750, 輔助計算!$G$2:$G$801, 0)+1))&lt;=46.5,2,1)), IF(INDEX(ERP資料!$G:$G, (MATCH(750, 輔助計算!$G$2:$G$801, 0)+1))&lt;=790,3,IF(INDEX(ERP資料!$G:$G, (MATCH(750, 輔助計算!$G$2:$G$801, 0)+1))&lt;=1181,2,1)))), "")&lt;&gt;"",IF(MOD(INDEX(輔助計算!$D:$D, (MATCH(750, 輔助計算!$G$2:$G$801, 0)+1)),IF(INDEX(ERP資料!$G:$G, (MATCH(750, 輔助計算!$G$2:$G$801, 0)+1))&lt;100, IF(INDEX(ERP資料!$G:$G, (MATCH(750, 輔助計算!$G$2:$G$801, 0)+1))&lt;=31,3,IF(INDEX(ERP資料!$G:$G, (MATCH(750, 輔助計算!$G$2:$G$801, 0)+1))&lt;=46.5,2,1)), IF(INDEX(ERP資料!$G:$G, (MATCH(750, 輔助計算!$G$2:$G$801, 0)+1))&lt;=790,3,IF(INDEX(ERP資料!$G:$G, (MATCH(750, 輔助計算!$G$2:$G$801, 0)+1))&lt;=1181,2,1))))=0,"",IF(MOD(INDEX(輔助計算!$D:$D, (MATCH(750, 輔助計算!$G$2:$G$801, 0)+1)),IF(INDEX(ERP資料!$G:$G, (MATCH(750, 輔助計算!$G$2:$G$801, 0)+1))&lt;100, IF(INDEX(ERP資料!$G:$G, (MATCH(750, 輔助計算!$G$2:$G$801, 0)+1))&lt;=31,3,IF(INDEX(ERP資料!$G:$G, (MATCH(750, 輔助計算!$G$2:$G$801, 0)+1))&lt;=46.5,2,1)), IF(INDEX(ERP資料!$G:$G, (MATCH(750, 輔助計算!$G$2:$G$801, 0)+1))&lt;=790,3,IF(INDEX(ERP資料!$G:$G, (MATCH(750, 輔助計算!$G$2:$G$801, 0)+1))&lt;=1181,2,1))))=0,"",IF(MOD(INDEX(輔助計算!$D:$D, (MATCH(750, 輔助計算!$G$2:$G$801, 0)+1)),IF(INDEX(ERP資料!$G:$G, (MATCH(750, 輔助計算!$G$2:$G$801, 0)+1))&lt;100, IF(INDEX(ERP資料!$G:$G, (MATCH(750, 輔助計算!$G$2:$G$801, 0)+1))&lt;=31,3,IF(INDEX(ERP資料!$G:$G, (MATCH(750, 輔助計算!$G$2:$G$801, 0)+1))&lt;=46.5,2,1)), IF(INDEX(ERP資料!$G:$G, (MATCH(750, 輔助計算!$G$2:$G$801, 0)+1))&lt;=790,3,IF(INDEX(ERP資料!$G:$G, (MATCH(750, 輔助計算!$G$2:$G$801, 0)+1))&lt;=1181,2,1))))=1,TEXT(INDEX(ERP資料!$G:$G, (MATCH(750, 輔助計算!$G$2:$G$801, 0)+1)),"0.##"),IF(MOD(INDEX(輔助計算!$D:$D, (MATCH(750, 輔助計算!$G$2:$G$801, 0)+1)),IF(INDEX(ERP資料!$G:$G, (MATCH(750, 輔助計算!$G$2:$G$801, 0)+1))&lt;100, IF(INDEX(ERP資料!$G:$G, (MATCH(750, 輔助計算!$G$2:$G$801, 0)+1))&lt;=31,3,IF(INDEX(ERP資料!$G:$G, (MATCH(750, 輔助計算!$G$2:$G$801, 0)+1))&lt;=46.5,2,1)), IF(INDEX(ERP資料!$G:$G, (MATCH(750, 輔助計算!$G$2:$G$801, 0)+1))&lt;=790,3,IF(INDEX(ERP資料!$G:$G, (MATCH(750, 輔助計算!$G$2:$G$801, 0)+1))&lt;=1181,2,1))))=2,TEXT(INDEX(ERP資料!$G:$G, (MATCH(750, 輔助計算!$G$2:$G$801, 0)+1)),"0.##")&amp;"+"&amp;TEXT(INDEX(ERP資料!$G:$G, (MATCH(750, 輔助計算!$G$2:$G$801, 0)+1)),"0.##"),TEXT(INDEX(ERP資料!$G:$G, (MATCH(750, 輔助計算!$G$2:$G$801, 0)+1)),"0.##")&amp;"+"&amp;TEXT(INDEX(ERP資料!$G:$G, (MATCH(750, 輔助計算!$G$2:$G$801, 0)+1)),"0.##")&amp;"+"&amp;TEXT(INDEX(ERP資料!$G:$G, (MATCH(750, 輔助計算!$G$2:$G$801, 0)+1)),"0.##"))))&amp;"-1")&lt;&gt;""),"  ","")&amp;IF(MOD(INDEX(輔助計算!$D:$D, (MATCH(750, 輔助計算!$G$2:$G$801, 0)+1)),IF(INDEX(ERP資料!$G:$G, (MATCH(750, 輔助計算!$G$2:$G$801, 0)+1))&lt;100, IF(INDEX(ERP資料!$G:$G, (MATCH(750, 輔助計算!$G$2:$G$801, 0)+1))&lt;=31,3,IF(INDEX(ERP資料!$G:$G, (MATCH(750, 輔助計算!$G$2:$G$801, 0)+1))&lt;=46.5,2,1)), IF(INDEX(ERP資料!$G:$G, (MATCH(750, 輔助計算!$G$2:$G$801, 0)+1))&lt;=790,3,IF(INDEX(ERP資料!$G:$G, (MATCH(750, 輔助計算!$G$2:$G$801, 0)+1))&lt;=1181,2,1))))=0,"",IF(MOD(INDEX(輔助計算!$D:$D, (MATCH(750, 輔助計算!$G$2:$G$801, 0)+1)),IF(INDEX(ERP資料!$G:$G, (MATCH(750, 輔助計算!$G$2:$G$801, 0)+1))&lt;100, IF(INDEX(ERP資料!$G:$G, (MATCH(750, 輔助計算!$G$2:$G$801, 0)+1))&lt;=31,3,IF(INDEX(ERP資料!$G:$G, (MATCH(750, 輔助計算!$G$2:$G$801, 0)+1))&lt;=46.5,2,1)), IF(INDEX(ERP資料!$G:$G, (MATCH(750, 輔助計算!$G$2:$G$801, 0)+1))&lt;=790,3,IF(INDEX(ERP資料!$G:$G, (MATCH(750, 輔助計算!$G$2:$G$801, 0)+1))&lt;=1181,2,1))))=0,"",IF(MOD(INDEX(輔助計算!$D:$D, (MATCH(750, 輔助計算!$G$2:$G$801, 0)+1)),IF(INDEX(ERP資料!$G:$G, (MATCH(750, 輔助計算!$G$2:$G$801, 0)+1))&lt;100, IF(INDEX(ERP資料!$G:$G, (MATCH(750, 輔助計算!$G$2:$G$801, 0)+1))&lt;=31,3,IF(INDEX(ERP資料!$G:$G, (MATCH(750, 輔助計算!$G$2:$G$801, 0)+1))&lt;=46.5,2,1)), IF(INDEX(ERP資料!$G:$G, (MATCH(750, 輔助計算!$G$2:$G$801, 0)+1))&lt;=790,3,IF(INDEX(ERP資料!$G:$G, (MATCH(750, 輔助計算!$G$2:$G$801, 0)+1))&lt;=1181,2,1))))=1,TEXT(INDEX(ERP資料!$G:$G, (MATCH(750, 輔助計算!$G$2:$G$801, 0)+1)),"0.##"),IF(MOD(INDEX(輔助計算!$D:$D, (MATCH(750, 輔助計算!$G$2:$G$801, 0)+1)),IF(INDEX(ERP資料!$G:$G, (MATCH(750, 輔助計算!$G$2:$G$801, 0)+1))&lt;100, IF(INDEX(ERP資料!$G:$G, (MATCH(750, 輔助計算!$G$2:$G$801, 0)+1))&lt;=31,3,IF(INDEX(ERP資料!$G:$G, (MATCH(750, 輔助計算!$G$2:$G$801, 0)+1))&lt;=46.5,2,1)), IF(INDEX(ERP資料!$G:$G, (MATCH(750, 輔助計算!$G$2:$G$801, 0)+1))&lt;=790,3,IF(INDEX(ERP資料!$G:$G, (MATCH(750, 輔助計算!$G$2:$G$801, 0)+1))&lt;=1181,2,1))))=2,TEXT(INDEX(ERP資料!$G:$G, (MATCH(750, 輔助計算!$G$2:$G$801, 0)+1)),"0.##")&amp;"+"&amp;TEXT(INDEX(ERP資料!$G:$G, (MATCH(750, 輔助計算!$G$2:$G$801, 0)+1)),"0.##"),TEXT(INDEX(ERP資料!$G:$G, (MATCH(750, 輔助計算!$G$2:$G$801, 0)+1)),"0.##")&amp;"+"&amp;TEXT(INDEX(ERP資料!$G:$G, (MATCH(750, 輔助計算!$G$2:$G$801, 0)+1)),"0.##")&amp;"+"&amp;TEXT(INDEX(ERP資料!$G:$G, (MATCH(750, 輔助計算!$G$2:$G$801, 0)+1)),"0.##"))))&amp;"-1")), ""), "")</f>
        <v/>
      </c>
      <c r="K751" s="16" t="n"/>
      <c r="L751" s="14">
        <f>IFERROR(IF(AND(IFERROR(INDEX(ERP資料!$A:$A, (MATCH(750, 輔助計算!$G$2:$G$801, 0)+1)), "")&lt;&gt;"", IFERROR(INDEX(ERP資料!$A:$A, (MATCH(750, 輔助計算!$G$2:$G$801, 0)+1)), "")&lt;&gt;IFERROR(INDEX(ERP資料!$A:$A, MATCH(749, 輔助計算!$G$2:$G$801, 0)+1), "")), INDEX(ERP資料!$B:$B, (MATCH(750, 輔助計算!$G$2:$G$801, 0)+1)), ""), "")</f>
        <v/>
      </c>
      <c r="M751" s="17" t="n"/>
    </row>
    <row r="752">
      <c r="A752" s="10">
        <f>IFERROR(IF(AND(IFERROR(INDEX(ERP資料!$A:$A, (MATCH(751, 輔助計算!$G$2:$G$801, 0)+1)), "")&lt;&gt;"", IFERROR(INDEX(ERP資料!$A:$A, (MATCH(751, 輔助計算!$G$2:$G$801, 0)+1)), "")&lt;&gt;IFERROR(INDEX(ERP資料!$A:$A, MATCH(750, 輔助計算!$G$2:$G$801, 0)+1), "")), IFERROR(INDEX(ERP資料!$A:$A, (MATCH(751, 輔助計算!$G$2:$G$801, 0)+1)), ""), ""), "")</f>
        <v/>
      </c>
      <c r="B752" s="10">
        <f>IFERROR(IF(AND(IFERROR(INDEX(ERP資料!$A:$A, (MATCH(751, 輔助計算!$G$2:$G$801, 0)+1)), "")&lt;&gt;"", IFERROR(INDEX(ERP資料!$A:$A, (MATCH(751, 輔助計算!$G$2:$G$801, 0)+1)), "")&lt;&gt;IFERROR(INDEX(ERP資料!$A:$A, MATCH(750, 輔助計算!$G$2:$G$801, 0)+1), "")), INDEX(ERP資料!$S:$S, (MATCH(751, 輔助計算!$G$2:$G$801, 0)+1)), ""), "")</f>
        <v/>
      </c>
      <c r="C752" s="19">
        <f>IFERROR(IF(AND(IFERROR(INDEX(ERP資料!$A:$A, (MATCH(751, 輔助計算!$G$2:$G$801, 0)+1)), "")&lt;&gt;"", IFERROR(INDEX(ERP資料!$A:$A, (MATCH(751, 輔助計算!$G$2:$G$801, 0)+1)), "")&lt;&gt;IFERROR(INDEX(ERP資料!$A:$A, MATCH(750, 輔助計算!$G$2:$G$801, 0)+1), "")), IFERROR(VLOOKUP(LEFT(INDEX(ERP資料!$S:$S, (MATCH(751, 輔助計算!$G$2:$G$801, 0)+1)), 4), 紙管對照表!$A:$C, 3, FALSE), ""), ""), "")</f>
        <v/>
      </c>
      <c r="D752" s="16" t="n"/>
      <c r="E752" s="10">
        <f>IFERROR(IF(INDEX(ERP資料!$H:$H, (MATCH(751, 輔助計算!$G$2:$G$801, 0)+1))="","",INDEX(ERP資料!$H:$H, (MATCH(751, 輔助計算!$G$2:$G$801, 0)+1))), "")</f>
        <v/>
      </c>
      <c r="F752" s="10">
        <f>IFERROR(IF(INDEX(ERP資料!$E:$E, (MATCH(751, 輔助計算!$G$2:$G$801, 0)+1))="","",TRIM(INDEX(ERP資料!$E:$E, (MATCH(751, 輔助計算!$G$2:$G$801, 0)+1)))), "")</f>
        <v/>
      </c>
      <c r="G752" s="10">
        <f>IFERROR(IF(INDEX(ERP資料!$F:$F, (MATCH(751, 輔助計算!$G$2:$G$801, 0)+1))="","",INDEX(ERP資料!$F:$F, (MATCH(751, 輔助計算!$G$2:$G$801, 0)+1))), "")</f>
        <v/>
      </c>
      <c r="H752" s="10">
        <f>IFERROR(IF(INDEX(ERP資料!$G:$G, (MATCH(751, 輔助計算!$G$2:$G$801, 0)+1))="","",INDEX(ERP資料!$G:$G, (MATCH(751, 輔助計算!$G$2:$G$801, 0)+1))), "")</f>
        <v/>
      </c>
      <c r="I752" s="15">
        <f>IFERROR(INDEX(輔助計算!$D:$D, (MATCH(751, 輔助計算!$G$2:$G$801, 0)+1)), "")</f>
        <v/>
      </c>
      <c r="J752" s="15">
        <f>IFERROR(IF(AND(INDEX(輔助計算!$D:$D, (MATCH(751, 輔助計算!$G$2:$G$801, 0)+1))&lt;&gt;"", INDEX(ERP資料!$G:$G, (MATCH(751, 輔助計算!$G$2:$G$801, 0)+1))&lt;&gt;""), TRIM(IF(INT(INDEX(輔助計算!$D:$D, (MATCH(751, 輔助計算!$G$2:$G$801, 0)+1))/IF(INDEX(ERP資料!$G:$G, (MATCH(751, 輔助計算!$G$2:$G$801, 0)+1))&lt;100, IF(INDEX(ERP資料!$G:$G, (MATCH(751, 輔助計算!$G$2:$G$801, 0)+1))&lt;=31,3,IF(INDEX(ERP資料!$G:$G, (MATCH(751, 輔助計算!$G$2:$G$801, 0)+1))&lt;=46.5,2,1)), IF(INDEX(ERP資料!$G:$G, (MATCH(751, 輔助計算!$G$2:$G$801, 0)+1))&lt;=790,3,IF(INDEX(ERP資料!$G:$G, (MATCH(751, 輔助計算!$G$2:$G$801, 0)+1))&lt;=1181,2,1))))&gt;0, IF(IF(INDEX(ERP資料!$G:$G, (MATCH(751, 輔助計算!$G$2:$G$801, 0)+1))&lt;100, IF(INDEX(ERP資料!$G:$G, (MATCH(751, 輔助計算!$G$2:$G$801, 0)+1))&lt;=31,3,IF(INDEX(ERP資料!$G:$G, (MATCH(751, 輔助計算!$G$2:$G$801, 0)+1))&lt;=46.5,2,1)), IF(INDEX(ERP資料!$G:$G, (MATCH(751, 輔助計算!$G$2:$G$801, 0)+1))&lt;=790,3,IF(INDEX(ERP資料!$G:$G, (MATCH(751, 輔助計算!$G$2:$G$801, 0)+1))&lt;=1181,2,1)))=1,TEXT(INDEX(ERP資料!$G:$G, (MATCH(751, 輔助計算!$G$2:$G$801, 0)+1)),"0.##"),IF(IF(INDEX(ERP資料!$G:$G, (MATCH(751, 輔助計算!$G$2:$G$801, 0)+1))&lt;100, IF(INDEX(ERP資料!$G:$G, (MATCH(751, 輔助計算!$G$2:$G$801, 0)+1))&lt;=31,3,IF(INDEX(ERP資料!$G:$G, (MATCH(751, 輔助計算!$G$2:$G$801, 0)+1))&lt;=46.5,2,1)), IF(INDEX(ERP資料!$G:$G, (MATCH(751, 輔助計算!$G$2:$G$801, 0)+1))&lt;=790,3,IF(INDEX(ERP資料!$G:$G, (MATCH(751, 輔助計算!$G$2:$G$801, 0)+1))&lt;=1181,2,1)))=2,TEXT(INDEX(ERP資料!$G:$G, (MATCH(751, 輔助計算!$G$2:$G$801, 0)+1)),"0.##")&amp;"+"&amp;TEXT(INDEX(ERP資料!$G:$G, (MATCH(751, 輔助計算!$G$2:$G$801, 0)+1)),"0.##"),TEXT(INDEX(ERP資料!$G:$G, (MATCH(751, 輔助計算!$G$2:$G$801, 0)+1)),"0.##")&amp;"+"&amp;TEXT(INDEX(ERP資料!$G:$G, (MATCH(751, 輔助計算!$G$2:$G$801, 0)+1)),"0.##")&amp;"+"&amp;TEXT(INDEX(ERP資料!$G:$G, (MATCH(751, 輔助計算!$G$2:$G$801, 0)+1)),"0.##")))&amp;"-"&amp;INT(INDEX(輔助計算!$D:$D, (MATCH(751, 輔助計算!$G$2:$G$801, 0)+1))/IF(INDEX(ERP資料!$G:$G, (MATCH(751, 輔助計算!$G$2:$G$801, 0)+1))&lt;100, IF(INDEX(ERP資料!$G:$G, (MATCH(751, 輔助計算!$G$2:$G$801, 0)+1))&lt;=31,3,IF(INDEX(ERP資料!$G:$G, (MATCH(751, 輔助計算!$G$2:$G$801, 0)+1))&lt;=46.5,2,1)), IF(INDEX(ERP資料!$G:$G, (MATCH(751, 輔助計算!$G$2:$G$801, 0)+1))&lt;=790,3,IF(INDEX(ERP資料!$G:$G, (MATCH(751, 輔助計算!$G$2:$G$801, 0)+1))&lt;=1181,2,1)))), "")&amp;IF(AND(IF(INT(INDEX(輔助計算!$D:$D, (MATCH(751, 輔助計算!$G$2:$G$801, 0)+1))/IF(INDEX(ERP資料!$G:$G, (MATCH(751, 輔助計算!$G$2:$G$801, 0)+1))&lt;100, IF(INDEX(ERP資料!$G:$G, (MATCH(751, 輔助計算!$G$2:$G$801, 0)+1))&lt;=31,3,IF(INDEX(ERP資料!$G:$G, (MATCH(751, 輔助計算!$G$2:$G$801, 0)+1))&lt;=46.5,2,1)), IF(INDEX(ERP資料!$G:$G, (MATCH(751, 輔助計算!$G$2:$G$801, 0)+1))&lt;=790,3,IF(INDEX(ERP資料!$G:$G, (MATCH(751, 輔助計算!$G$2:$G$801, 0)+1))&lt;=1181,2,1))))&gt;0, IF(IF(INDEX(ERP資料!$G:$G, (MATCH(751, 輔助計算!$G$2:$G$801, 0)+1))&lt;100, IF(INDEX(ERP資料!$G:$G, (MATCH(751, 輔助計算!$G$2:$G$801, 0)+1))&lt;=31,3,IF(INDEX(ERP資料!$G:$G, (MATCH(751, 輔助計算!$G$2:$G$801, 0)+1))&lt;=46.5,2,1)), IF(INDEX(ERP資料!$G:$G, (MATCH(751, 輔助計算!$G$2:$G$801, 0)+1))&lt;=790,3,IF(INDEX(ERP資料!$G:$G, (MATCH(751, 輔助計算!$G$2:$G$801, 0)+1))&lt;=1181,2,1)))=1,TEXT(INDEX(ERP資料!$G:$G, (MATCH(751, 輔助計算!$G$2:$G$801, 0)+1)),"0.##"),IF(IF(INDEX(ERP資料!$G:$G, (MATCH(751, 輔助計算!$G$2:$G$801, 0)+1))&lt;100, IF(INDEX(ERP資料!$G:$G, (MATCH(751, 輔助計算!$G$2:$G$801, 0)+1))&lt;=31,3,IF(INDEX(ERP資料!$G:$G, (MATCH(751, 輔助計算!$G$2:$G$801, 0)+1))&lt;=46.5,2,1)), IF(INDEX(ERP資料!$G:$G, (MATCH(751, 輔助計算!$G$2:$G$801, 0)+1))&lt;=790,3,IF(INDEX(ERP資料!$G:$G, (MATCH(751, 輔助計算!$G$2:$G$801, 0)+1))&lt;=1181,2,1)))=2,TEXT(INDEX(ERP資料!$G:$G, (MATCH(751, 輔助計算!$G$2:$G$801, 0)+1)),"0.##")&amp;"+"&amp;TEXT(INDEX(ERP資料!$G:$G, (MATCH(751, 輔助計算!$G$2:$G$801, 0)+1)),"0.##"),TEXT(INDEX(ERP資料!$G:$G, (MATCH(751, 輔助計算!$G$2:$G$801, 0)+1)),"0.##")&amp;"+"&amp;TEXT(INDEX(ERP資料!$G:$G, (MATCH(751, 輔助計算!$G$2:$G$801, 0)+1)),"0.##")&amp;"+"&amp;TEXT(INDEX(ERP資料!$G:$G, (MATCH(751, 輔助計算!$G$2:$G$801, 0)+1)),"0.##")))&amp;"-"&amp;INT(INDEX(輔助計算!$D:$D, (MATCH(751, 輔助計算!$G$2:$G$801, 0)+1))/IF(INDEX(ERP資料!$G:$G, (MATCH(751, 輔助計算!$G$2:$G$801, 0)+1))&lt;100, IF(INDEX(ERP資料!$G:$G, (MATCH(751, 輔助計算!$G$2:$G$801, 0)+1))&lt;=31,3,IF(INDEX(ERP資料!$G:$G, (MATCH(751, 輔助計算!$G$2:$G$801, 0)+1))&lt;=46.5,2,1)), IF(INDEX(ERP資料!$G:$G, (MATCH(751, 輔助計算!$G$2:$G$801, 0)+1))&lt;=790,3,IF(INDEX(ERP資料!$G:$G, (MATCH(751, 輔助計算!$G$2:$G$801, 0)+1))&lt;=1181,2,1)))), "")&lt;&gt;"",IF(MOD(INDEX(輔助計算!$D:$D, (MATCH(751, 輔助計算!$G$2:$G$801, 0)+1)),IF(INDEX(ERP資料!$G:$G, (MATCH(751, 輔助計算!$G$2:$G$801, 0)+1))&lt;100, IF(INDEX(ERP資料!$G:$G, (MATCH(751, 輔助計算!$G$2:$G$801, 0)+1))&lt;=31,3,IF(INDEX(ERP資料!$G:$G, (MATCH(751, 輔助計算!$G$2:$G$801, 0)+1))&lt;=46.5,2,1)), IF(INDEX(ERP資料!$G:$G, (MATCH(751, 輔助計算!$G$2:$G$801, 0)+1))&lt;=790,3,IF(INDEX(ERP資料!$G:$G, (MATCH(751, 輔助計算!$G$2:$G$801, 0)+1))&lt;=1181,2,1))))=0,"",IF(MOD(INDEX(輔助計算!$D:$D, (MATCH(751, 輔助計算!$G$2:$G$801, 0)+1)),IF(INDEX(ERP資料!$G:$G, (MATCH(751, 輔助計算!$G$2:$G$801, 0)+1))&lt;100, IF(INDEX(ERP資料!$G:$G, (MATCH(751, 輔助計算!$G$2:$G$801, 0)+1))&lt;=31,3,IF(INDEX(ERP資料!$G:$G, (MATCH(751, 輔助計算!$G$2:$G$801, 0)+1))&lt;=46.5,2,1)), IF(INDEX(ERP資料!$G:$G, (MATCH(751, 輔助計算!$G$2:$G$801, 0)+1))&lt;=790,3,IF(INDEX(ERP資料!$G:$G, (MATCH(751, 輔助計算!$G$2:$G$801, 0)+1))&lt;=1181,2,1))))=0,"",IF(MOD(INDEX(輔助計算!$D:$D, (MATCH(751, 輔助計算!$G$2:$G$801, 0)+1)),IF(INDEX(ERP資料!$G:$G, (MATCH(751, 輔助計算!$G$2:$G$801, 0)+1))&lt;100, IF(INDEX(ERP資料!$G:$G, (MATCH(751, 輔助計算!$G$2:$G$801, 0)+1))&lt;=31,3,IF(INDEX(ERP資料!$G:$G, (MATCH(751, 輔助計算!$G$2:$G$801, 0)+1))&lt;=46.5,2,1)), IF(INDEX(ERP資料!$G:$G, (MATCH(751, 輔助計算!$G$2:$G$801, 0)+1))&lt;=790,3,IF(INDEX(ERP資料!$G:$G, (MATCH(751, 輔助計算!$G$2:$G$801, 0)+1))&lt;=1181,2,1))))=1,TEXT(INDEX(ERP資料!$G:$G, (MATCH(751, 輔助計算!$G$2:$G$801, 0)+1)),"0.##"),IF(MOD(INDEX(輔助計算!$D:$D, (MATCH(751, 輔助計算!$G$2:$G$801, 0)+1)),IF(INDEX(ERP資料!$G:$G, (MATCH(751, 輔助計算!$G$2:$G$801, 0)+1))&lt;100, IF(INDEX(ERP資料!$G:$G, (MATCH(751, 輔助計算!$G$2:$G$801, 0)+1))&lt;=31,3,IF(INDEX(ERP資料!$G:$G, (MATCH(751, 輔助計算!$G$2:$G$801, 0)+1))&lt;=46.5,2,1)), IF(INDEX(ERP資料!$G:$G, (MATCH(751, 輔助計算!$G$2:$G$801, 0)+1))&lt;=790,3,IF(INDEX(ERP資料!$G:$G, (MATCH(751, 輔助計算!$G$2:$G$801, 0)+1))&lt;=1181,2,1))))=2,TEXT(INDEX(ERP資料!$G:$G, (MATCH(751, 輔助計算!$G$2:$G$801, 0)+1)),"0.##")&amp;"+"&amp;TEXT(INDEX(ERP資料!$G:$G, (MATCH(751, 輔助計算!$G$2:$G$801, 0)+1)),"0.##"),TEXT(INDEX(ERP資料!$G:$G, (MATCH(751, 輔助計算!$G$2:$G$801, 0)+1)),"0.##")&amp;"+"&amp;TEXT(INDEX(ERP資料!$G:$G, (MATCH(751, 輔助計算!$G$2:$G$801, 0)+1)),"0.##")&amp;"+"&amp;TEXT(INDEX(ERP資料!$G:$G, (MATCH(751, 輔助計算!$G$2:$G$801, 0)+1)),"0.##"))))&amp;"-1")&lt;&gt;""),"  ","")&amp;IF(MOD(INDEX(輔助計算!$D:$D, (MATCH(751, 輔助計算!$G$2:$G$801, 0)+1)),IF(INDEX(ERP資料!$G:$G, (MATCH(751, 輔助計算!$G$2:$G$801, 0)+1))&lt;100, IF(INDEX(ERP資料!$G:$G, (MATCH(751, 輔助計算!$G$2:$G$801, 0)+1))&lt;=31,3,IF(INDEX(ERP資料!$G:$G, (MATCH(751, 輔助計算!$G$2:$G$801, 0)+1))&lt;=46.5,2,1)), IF(INDEX(ERP資料!$G:$G, (MATCH(751, 輔助計算!$G$2:$G$801, 0)+1))&lt;=790,3,IF(INDEX(ERP資料!$G:$G, (MATCH(751, 輔助計算!$G$2:$G$801, 0)+1))&lt;=1181,2,1))))=0,"",IF(MOD(INDEX(輔助計算!$D:$D, (MATCH(751, 輔助計算!$G$2:$G$801, 0)+1)),IF(INDEX(ERP資料!$G:$G, (MATCH(751, 輔助計算!$G$2:$G$801, 0)+1))&lt;100, IF(INDEX(ERP資料!$G:$G, (MATCH(751, 輔助計算!$G$2:$G$801, 0)+1))&lt;=31,3,IF(INDEX(ERP資料!$G:$G, (MATCH(751, 輔助計算!$G$2:$G$801, 0)+1))&lt;=46.5,2,1)), IF(INDEX(ERP資料!$G:$G, (MATCH(751, 輔助計算!$G$2:$G$801, 0)+1))&lt;=790,3,IF(INDEX(ERP資料!$G:$G, (MATCH(751, 輔助計算!$G$2:$G$801, 0)+1))&lt;=1181,2,1))))=0,"",IF(MOD(INDEX(輔助計算!$D:$D, (MATCH(751, 輔助計算!$G$2:$G$801, 0)+1)),IF(INDEX(ERP資料!$G:$G, (MATCH(751, 輔助計算!$G$2:$G$801, 0)+1))&lt;100, IF(INDEX(ERP資料!$G:$G, (MATCH(751, 輔助計算!$G$2:$G$801, 0)+1))&lt;=31,3,IF(INDEX(ERP資料!$G:$G, (MATCH(751, 輔助計算!$G$2:$G$801, 0)+1))&lt;=46.5,2,1)), IF(INDEX(ERP資料!$G:$G, (MATCH(751, 輔助計算!$G$2:$G$801, 0)+1))&lt;=790,3,IF(INDEX(ERP資料!$G:$G, (MATCH(751, 輔助計算!$G$2:$G$801, 0)+1))&lt;=1181,2,1))))=1,TEXT(INDEX(ERP資料!$G:$G, (MATCH(751, 輔助計算!$G$2:$G$801, 0)+1)),"0.##"),IF(MOD(INDEX(輔助計算!$D:$D, (MATCH(751, 輔助計算!$G$2:$G$801, 0)+1)),IF(INDEX(ERP資料!$G:$G, (MATCH(751, 輔助計算!$G$2:$G$801, 0)+1))&lt;100, IF(INDEX(ERP資料!$G:$G, (MATCH(751, 輔助計算!$G$2:$G$801, 0)+1))&lt;=31,3,IF(INDEX(ERP資料!$G:$G, (MATCH(751, 輔助計算!$G$2:$G$801, 0)+1))&lt;=46.5,2,1)), IF(INDEX(ERP資料!$G:$G, (MATCH(751, 輔助計算!$G$2:$G$801, 0)+1))&lt;=790,3,IF(INDEX(ERP資料!$G:$G, (MATCH(751, 輔助計算!$G$2:$G$801, 0)+1))&lt;=1181,2,1))))=2,TEXT(INDEX(ERP資料!$G:$G, (MATCH(751, 輔助計算!$G$2:$G$801, 0)+1)),"0.##")&amp;"+"&amp;TEXT(INDEX(ERP資料!$G:$G, (MATCH(751, 輔助計算!$G$2:$G$801, 0)+1)),"0.##"),TEXT(INDEX(ERP資料!$G:$G, (MATCH(751, 輔助計算!$G$2:$G$801, 0)+1)),"0.##")&amp;"+"&amp;TEXT(INDEX(ERP資料!$G:$G, (MATCH(751, 輔助計算!$G$2:$G$801, 0)+1)),"0.##")&amp;"+"&amp;TEXT(INDEX(ERP資料!$G:$G, (MATCH(751, 輔助計算!$G$2:$G$801, 0)+1)),"0.##"))))&amp;"-1")), ""), "")</f>
        <v/>
      </c>
      <c r="K752" s="16" t="n"/>
      <c r="L752" s="14">
        <f>IFERROR(IF(AND(IFERROR(INDEX(ERP資料!$A:$A, (MATCH(751, 輔助計算!$G$2:$G$801, 0)+1)), "")&lt;&gt;"", IFERROR(INDEX(ERP資料!$A:$A, (MATCH(751, 輔助計算!$G$2:$G$801, 0)+1)), "")&lt;&gt;IFERROR(INDEX(ERP資料!$A:$A, MATCH(750, 輔助計算!$G$2:$G$801, 0)+1), "")), INDEX(ERP資料!$B:$B, (MATCH(751, 輔助計算!$G$2:$G$801, 0)+1)), ""), "")</f>
        <v/>
      </c>
      <c r="M752" s="17" t="n"/>
    </row>
    <row r="753">
      <c r="A753" s="10">
        <f>IFERROR(IF(AND(IFERROR(INDEX(ERP資料!$A:$A, (MATCH(752, 輔助計算!$G$2:$G$801, 0)+1)), "")&lt;&gt;"", IFERROR(INDEX(ERP資料!$A:$A, (MATCH(752, 輔助計算!$G$2:$G$801, 0)+1)), "")&lt;&gt;IFERROR(INDEX(ERP資料!$A:$A, MATCH(751, 輔助計算!$G$2:$G$801, 0)+1), "")), IFERROR(INDEX(ERP資料!$A:$A, (MATCH(752, 輔助計算!$G$2:$G$801, 0)+1)), ""), ""), "")</f>
        <v/>
      </c>
      <c r="B753" s="10">
        <f>IFERROR(IF(AND(IFERROR(INDEX(ERP資料!$A:$A, (MATCH(752, 輔助計算!$G$2:$G$801, 0)+1)), "")&lt;&gt;"", IFERROR(INDEX(ERP資料!$A:$A, (MATCH(752, 輔助計算!$G$2:$G$801, 0)+1)), "")&lt;&gt;IFERROR(INDEX(ERP資料!$A:$A, MATCH(751, 輔助計算!$G$2:$G$801, 0)+1), "")), INDEX(ERP資料!$S:$S, (MATCH(752, 輔助計算!$G$2:$G$801, 0)+1)), ""), "")</f>
        <v/>
      </c>
      <c r="C753" s="19">
        <f>IFERROR(IF(AND(IFERROR(INDEX(ERP資料!$A:$A, (MATCH(752, 輔助計算!$G$2:$G$801, 0)+1)), "")&lt;&gt;"", IFERROR(INDEX(ERP資料!$A:$A, (MATCH(752, 輔助計算!$G$2:$G$801, 0)+1)), "")&lt;&gt;IFERROR(INDEX(ERP資料!$A:$A, MATCH(751, 輔助計算!$G$2:$G$801, 0)+1), "")), IFERROR(VLOOKUP(LEFT(INDEX(ERP資料!$S:$S, (MATCH(752, 輔助計算!$G$2:$G$801, 0)+1)), 4), 紙管對照表!$A:$C, 3, FALSE), ""), ""), "")</f>
        <v/>
      </c>
      <c r="D753" s="16" t="n"/>
      <c r="E753" s="10">
        <f>IFERROR(IF(INDEX(ERP資料!$H:$H, (MATCH(752, 輔助計算!$G$2:$G$801, 0)+1))="","",INDEX(ERP資料!$H:$H, (MATCH(752, 輔助計算!$G$2:$G$801, 0)+1))), "")</f>
        <v/>
      </c>
      <c r="F753" s="10">
        <f>IFERROR(IF(INDEX(ERP資料!$E:$E, (MATCH(752, 輔助計算!$G$2:$G$801, 0)+1))="","",TRIM(INDEX(ERP資料!$E:$E, (MATCH(752, 輔助計算!$G$2:$G$801, 0)+1)))), "")</f>
        <v/>
      </c>
      <c r="G753" s="10">
        <f>IFERROR(IF(INDEX(ERP資料!$F:$F, (MATCH(752, 輔助計算!$G$2:$G$801, 0)+1))="","",INDEX(ERP資料!$F:$F, (MATCH(752, 輔助計算!$G$2:$G$801, 0)+1))), "")</f>
        <v/>
      </c>
      <c r="H753" s="10">
        <f>IFERROR(IF(INDEX(ERP資料!$G:$G, (MATCH(752, 輔助計算!$G$2:$G$801, 0)+1))="","",INDEX(ERP資料!$G:$G, (MATCH(752, 輔助計算!$G$2:$G$801, 0)+1))), "")</f>
        <v/>
      </c>
      <c r="I753" s="15">
        <f>IFERROR(INDEX(輔助計算!$D:$D, (MATCH(752, 輔助計算!$G$2:$G$801, 0)+1)), "")</f>
        <v/>
      </c>
      <c r="J753" s="15">
        <f>IFERROR(IF(AND(INDEX(輔助計算!$D:$D, (MATCH(752, 輔助計算!$G$2:$G$801, 0)+1))&lt;&gt;"", INDEX(ERP資料!$G:$G, (MATCH(752, 輔助計算!$G$2:$G$801, 0)+1))&lt;&gt;""), TRIM(IF(INT(INDEX(輔助計算!$D:$D, (MATCH(752, 輔助計算!$G$2:$G$801, 0)+1))/IF(INDEX(ERP資料!$G:$G, (MATCH(752, 輔助計算!$G$2:$G$801, 0)+1))&lt;100, IF(INDEX(ERP資料!$G:$G, (MATCH(752, 輔助計算!$G$2:$G$801, 0)+1))&lt;=31,3,IF(INDEX(ERP資料!$G:$G, (MATCH(752, 輔助計算!$G$2:$G$801, 0)+1))&lt;=46.5,2,1)), IF(INDEX(ERP資料!$G:$G, (MATCH(752, 輔助計算!$G$2:$G$801, 0)+1))&lt;=790,3,IF(INDEX(ERP資料!$G:$G, (MATCH(752, 輔助計算!$G$2:$G$801, 0)+1))&lt;=1181,2,1))))&gt;0, IF(IF(INDEX(ERP資料!$G:$G, (MATCH(752, 輔助計算!$G$2:$G$801, 0)+1))&lt;100, IF(INDEX(ERP資料!$G:$G, (MATCH(752, 輔助計算!$G$2:$G$801, 0)+1))&lt;=31,3,IF(INDEX(ERP資料!$G:$G, (MATCH(752, 輔助計算!$G$2:$G$801, 0)+1))&lt;=46.5,2,1)), IF(INDEX(ERP資料!$G:$G, (MATCH(752, 輔助計算!$G$2:$G$801, 0)+1))&lt;=790,3,IF(INDEX(ERP資料!$G:$G, (MATCH(752, 輔助計算!$G$2:$G$801, 0)+1))&lt;=1181,2,1)))=1,TEXT(INDEX(ERP資料!$G:$G, (MATCH(752, 輔助計算!$G$2:$G$801, 0)+1)),"0.##"),IF(IF(INDEX(ERP資料!$G:$G, (MATCH(752, 輔助計算!$G$2:$G$801, 0)+1))&lt;100, IF(INDEX(ERP資料!$G:$G, (MATCH(752, 輔助計算!$G$2:$G$801, 0)+1))&lt;=31,3,IF(INDEX(ERP資料!$G:$G, (MATCH(752, 輔助計算!$G$2:$G$801, 0)+1))&lt;=46.5,2,1)), IF(INDEX(ERP資料!$G:$G, (MATCH(752, 輔助計算!$G$2:$G$801, 0)+1))&lt;=790,3,IF(INDEX(ERP資料!$G:$G, (MATCH(752, 輔助計算!$G$2:$G$801, 0)+1))&lt;=1181,2,1)))=2,TEXT(INDEX(ERP資料!$G:$G, (MATCH(752, 輔助計算!$G$2:$G$801, 0)+1)),"0.##")&amp;"+"&amp;TEXT(INDEX(ERP資料!$G:$G, (MATCH(752, 輔助計算!$G$2:$G$801, 0)+1)),"0.##"),TEXT(INDEX(ERP資料!$G:$G, (MATCH(752, 輔助計算!$G$2:$G$801, 0)+1)),"0.##")&amp;"+"&amp;TEXT(INDEX(ERP資料!$G:$G, (MATCH(752, 輔助計算!$G$2:$G$801, 0)+1)),"0.##")&amp;"+"&amp;TEXT(INDEX(ERP資料!$G:$G, (MATCH(752, 輔助計算!$G$2:$G$801, 0)+1)),"0.##")))&amp;"-"&amp;INT(INDEX(輔助計算!$D:$D, (MATCH(752, 輔助計算!$G$2:$G$801, 0)+1))/IF(INDEX(ERP資料!$G:$G, (MATCH(752, 輔助計算!$G$2:$G$801, 0)+1))&lt;100, IF(INDEX(ERP資料!$G:$G, (MATCH(752, 輔助計算!$G$2:$G$801, 0)+1))&lt;=31,3,IF(INDEX(ERP資料!$G:$G, (MATCH(752, 輔助計算!$G$2:$G$801, 0)+1))&lt;=46.5,2,1)), IF(INDEX(ERP資料!$G:$G, (MATCH(752, 輔助計算!$G$2:$G$801, 0)+1))&lt;=790,3,IF(INDEX(ERP資料!$G:$G, (MATCH(752, 輔助計算!$G$2:$G$801, 0)+1))&lt;=1181,2,1)))), "")&amp;IF(AND(IF(INT(INDEX(輔助計算!$D:$D, (MATCH(752, 輔助計算!$G$2:$G$801, 0)+1))/IF(INDEX(ERP資料!$G:$G, (MATCH(752, 輔助計算!$G$2:$G$801, 0)+1))&lt;100, IF(INDEX(ERP資料!$G:$G, (MATCH(752, 輔助計算!$G$2:$G$801, 0)+1))&lt;=31,3,IF(INDEX(ERP資料!$G:$G, (MATCH(752, 輔助計算!$G$2:$G$801, 0)+1))&lt;=46.5,2,1)), IF(INDEX(ERP資料!$G:$G, (MATCH(752, 輔助計算!$G$2:$G$801, 0)+1))&lt;=790,3,IF(INDEX(ERP資料!$G:$G, (MATCH(752, 輔助計算!$G$2:$G$801, 0)+1))&lt;=1181,2,1))))&gt;0, IF(IF(INDEX(ERP資料!$G:$G, (MATCH(752, 輔助計算!$G$2:$G$801, 0)+1))&lt;100, IF(INDEX(ERP資料!$G:$G, (MATCH(752, 輔助計算!$G$2:$G$801, 0)+1))&lt;=31,3,IF(INDEX(ERP資料!$G:$G, (MATCH(752, 輔助計算!$G$2:$G$801, 0)+1))&lt;=46.5,2,1)), IF(INDEX(ERP資料!$G:$G, (MATCH(752, 輔助計算!$G$2:$G$801, 0)+1))&lt;=790,3,IF(INDEX(ERP資料!$G:$G, (MATCH(752, 輔助計算!$G$2:$G$801, 0)+1))&lt;=1181,2,1)))=1,TEXT(INDEX(ERP資料!$G:$G, (MATCH(752, 輔助計算!$G$2:$G$801, 0)+1)),"0.##"),IF(IF(INDEX(ERP資料!$G:$G, (MATCH(752, 輔助計算!$G$2:$G$801, 0)+1))&lt;100, IF(INDEX(ERP資料!$G:$G, (MATCH(752, 輔助計算!$G$2:$G$801, 0)+1))&lt;=31,3,IF(INDEX(ERP資料!$G:$G, (MATCH(752, 輔助計算!$G$2:$G$801, 0)+1))&lt;=46.5,2,1)), IF(INDEX(ERP資料!$G:$G, (MATCH(752, 輔助計算!$G$2:$G$801, 0)+1))&lt;=790,3,IF(INDEX(ERP資料!$G:$G, (MATCH(752, 輔助計算!$G$2:$G$801, 0)+1))&lt;=1181,2,1)))=2,TEXT(INDEX(ERP資料!$G:$G, (MATCH(752, 輔助計算!$G$2:$G$801, 0)+1)),"0.##")&amp;"+"&amp;TEXT(INDEX(ERP資料!$G:$G, (MATCH(752, 輔助計算!$G$2:$G$801, 0)+1)),"0.##"),TEXT(INDEX(ERP資料!$G:$G, (MATCH(752, 輔助計算!$G$2:$G$801, 0)+1)),"0.##")&amp;"+"&amp;TEXT(INDEX(ERP資料!$G:$G, (MATCH(752, 輔助計算!$G$2:$G$801, 0)+1)),"0.##")&amp;"+"&amp;TEXT(INDEX(ERP資料!$G:$G, (MATCH(752, 輔助計算!$G$2:$G$801, 0)+1)),"0.##")))&amp;"-"&amp;INT(INDEX(輔助計算!$D:$D, (MATCH(752, 輔助計算!$G$2:$G$801, 0)+1))/IF(INDEX(ERP資料!$G:$G, (MATCH(752, 輔助計算!$G$2:$G$801, 0)+1))&lt;100, IF(INDEX(ERP資料!$G:$G, (MATCH(752, 輔助計算!$G$2:$G$801, 0)+1))&lt;=31,3,IF(INDEX(ERP資料!$G:$G, (MATCH(752, 輔助計算!$G$2:$G$801, 0)+1))&lt;=46.5,2,1)), IF(INDEX(ERP資料!$G:$G, (MATCH(752, 輔助計算!$G$2:$G$801, 0)+1))&lt;=790,3,IF(INDEX(ERP資料!$G:$G, (MATCH(752, 輔助計算!$G$2:$G$801, 0)+1))&lt;=1181,2,1)))), "")&lt;&gt;"",IF(MOD(INDEX(輔助計算!$D:$D, (MATCH(752, 輔助計算!$G$2:$G$801, 0)+1)),IF(INDEX(ERP資料!$G:$G, (MATCH(752, 輔助計算!$G$2:$G$801, 0)+1))&lt;100, IF(INDEX(ERP資料!$G:$G, (MATCH(752, 輔助計算!$G$2:$G$801, 0)+1))&lt;=31,3,IF(INDEX(ERP資料!$G:$G, (MATCH(752, 輔助計算!$G$2:$G$801, 0)+1))&lt;=46.5,2,1)), IF(INDEX(ERP資料!$G:$G, (MATCH(752, 輔助計算!$G$2:$G$801, 0)+1))&lt;=790,3,IF(INDEX(ERP資料!$G:$G, (MATCH(752, 輔助計算!$G$2:$G$801, 0)+1))&lt;=1181,2,1))))=0,"",IF(MOD(INDEX(輔助計算!$D:$D, (MATCH(752, 輔助計算!$G$2:$G$801, 0)+1)),IF(INDEX(ERP資料!$G:$G, (MATCH(752, 輔助計算!$G$2:$G$801, 0)+1))&lt;100, IF(INDEX(ERP資料!$G:$G, (MATCH(752, 輔助計算!$G$2:$G$801, 0)+1))&lt;=31,3,IF(INDEX(ERP資料!$G:$G, (MATCH(752, 輔助計算!$G$2:$G$801, 0)+1))&lt;=46.5,2,1)), IF(INDEX(ERP資料!$G:$G, (MATCH(752, 輔助計算!$G$2:$G$801, 0)+1))&lt;=790,3,IF(INDEX(ERP資料!$G:$G, (MATCH(752, 輔助計算!$G$2:$G$801, 0)+1))&lt;=1181,2,1))))=0,"",IF(MOD(INDEX(輔助計算!$D:$D, (MATCH(752, 輔助計算!$G$2:$G$801, 0)+1)),IF(INDEX(ERP資料!$G:$G, (MATCH(752, 輔助計算!$G$2:$G$801, 0)+1))&lt;100, IF(INDEX(ERP資料!$G:$G, (MATCH(752, 輔助計算!$G$2:$G$801, 0)+1))&lt;=31,3,IF(INDEX(ERP資料!$G:$G, (MATCH(752, 輔助計算!$G$2:$G$801, 0)+1))&lt;=46.5,2,1)), IF(INDEX(ERP資料!$G:$G, (MATCH(752, 輔助計算!$G$2:$G$801, 0)+1))&lt;=790,3,IF(INDEX(ERP資料!$G:$G, (MATCH(752, 輔助計算!$G$2:$G$801, 0)+1))&lt;=1181,2,1))))=1,TEXT(INDEX(ERP資料!$G:$G, (MATCH(752, 輔助計算!$G$2:$G$801, 0)+1)),"0.##"),IF(MOD(INDEX(輔助計算!$D:$D, (MATCH(752, 輔助計算!$G$2:$G$801, 0)+1)),IF(INDEX(ERP資料!$G:$G, (MATCH(752, 輔助計算!$G$2:$G$801, 0)+1))&lt;100, IF(INDEX(ERP資料!$G:$G, (MATCH(752, 輔助計算!$G$2:$G$801, 0)+1))&lt;=31,3,IF(INDEX(ERP資料!$G:$G, (MATCH(752, 輔助計算!$G$2:$G$801, 0)+1))&lt;=46.5,2,1)), IF(INDEX(ERP資料!$G:$G, (MATCH(752, 輔助計算!$G$2:$G$801, 0)+1))&lt;=790,3,IF(INDEX(ERP資料!$G:$G, (MATCH(752, 輔助計算!$G$2:$G$801, 0)+1))&lt;=1181,2,1))))=2,TEXT(INDEX(ERP資料!$G:$G, (MATCH(752, 輔助計算!$G$2:$G$801, 0)+1)),"0.##")&amp;"+"&amp;TEXT(INDEX(ERP資料!$G:$G, (MATCH(752, 輔助計算!$G$2:$G$801, 0)+1)),"0.##"),TEXT(INDEX(ERP資料!$G:$G, (MATCH(752, 輔助計算!$G$2:$G$801, 0)+1)),"0.##")&amp;"+"&amp;TEXT(INDEX(ERP資料!$G:$G, (MATCH(752, 輔助計算!$G$2:$G$801, 0)+1)),"0.##")&amp;"+"&amp;TEXT(INDEX(ERP資料!$G:$G, (MATCH(752, 輔助計算!$G$2:$G$801, 0)+1)),"0.##"))))&amp;"-1")&lt;&gt;""),"  ","")&amp;IF(MOD(INDEX(輔助計算!$D:$D, (MATCH(752, 輔助計算!$G$2:$G$801, 0)+1)),IF(INDEX(ERP資料!$G:$G, (MATCH(752, 輔助計算!$G$2:$G$801, 0)+1))&lt;100, IF(INDEX(ERP資料!$G:$G, (MATCH(752, 輔助計算!$G$2:$G$801, 0)+1))&lt;=31,3,IF(INDEX(ERP資料!$G:$G, (MATCH(752, 輔助計算!$G$2:$G$801, 0)+1))&lt;=46.5,2,1)), IF(INDEX(ERP資料!$G:$G, (MATCH(752, 輔助計算!$G$2:$G$801, 0)+1))&lt;=790,3,IF(INDEX(ERP資料!$G:$G, (MATCH(752, 輔助計算!$G$2:$G$801, 0)+1))&lt;=1181,2,1))))=0,"",IF(MOD(INDEX(輔助計算!$D:$D, (MATCH(752, 輔助計算!$G$2:$G$801, 0)+1)),IF(INDEX(ERP資料!$G:$G, (MATCH(752, 輔助計算!$G$2:$G$801, 0)+1))&lt;100, IF(INDEX(ERP資料!$G:$G, (MATCH(752, 輔助計算!$G$2:$G$801, 0)+1))&lt;=31,3,IF(INDEX(ERP資料!$G:$G, (MATCH(752, 輔助計算!$G$2:$G$801, 0)+1))&lt;=46.5,2,1)), IF(INDEX(ERP資料!$G:$G, (MATCH(752, 輔助計算!$G$2:$G$801, 0)+1))&lt;=790,3,IF(INDEX(ERP資料!$G:$G, (MATCH(752, 輔助計算!$G$2:$G$801, 0)+1))&lt;=1181,2,1))))=0,"",IF(MOD(INDEX(輔助計算!$D:$D, (MATCH(752, 輔助計算!$G$2:$G$801, 0)+1)),IF(INDEX(ERP資料!$G:$G, (MATCH(752, 輔助計算!$G$2:$G$801, 0)+1))&lt;100, IF(INDEX(ERP資料!$G:$G, (MATCH(752, 輔助計算!$G$2:$G$801, 0)+1))&lt;=31,3,IF(INDEX(ERP資料!$G:$G, (MATCH(752, 輔助計算!$G$2:$G$801, 0)+1))&lt;=46.5,2,1)), IF(INDEX(ERP資料!$G:$G, (MATCH(752, 輔助計算!$G$2:$G$801, 0)+1))&lt;=790,3,IF(INDEX(ERP資料!$G:$G, (MATCH(752, 輔助計算!$G$2:$G$801, 0)+1))&lt;=1181,2,1))))=1,TEXT(INDEX(ERP資料!$G:$G, (MATCH(752, 輔助計算!$G$2:$G$801, 0)+1)),"0.##"),IF(MOD(INDEX(輔助計算!$D:$D, (MATCH(752, 輔助計算!$G$2:$G$801, 0)+1)),IF(INDEX(ERP資料!$G:$G, (MATCH(752, 輔助計算!$G$2:$G$801, 0)+1))&lt;100, IF(INDEX(ERP資料!$G:$G, (MATCH(752, 輔助計算!$G$2:$G$801, 0)+1))&lt;=31,3,IF(INDEX(ERP資料!$G:$G, (MATCH(752, 輔助計算!$G$2:$G$801, 0)+1))&lt;=46.5,2,1)), IF(INDEX(ERP資料!$G:$G, (MATCH(752, 輔助計算!$G$2:$G$801, 0)+1))&lt;=790,3,IF(INDEX(ERP資料!$G:$G, (MATCH(752, 輔助計算!$G$2:$G$801, 0)+1))&lt;=1181,2,1))))=2,TEXT(INDEX(ERP資料!$G:$G, (MATCH(752, 輔助計算!$G$2:$G$801, 0)+1)),"0.##")&amp;"+"&amp;TEXT(INDEX(ERP資料!$G:$G, (MATCH(752, 輔助計算!$G$2:$G$801, 0)+1)),"0.##"),TEXT(INDEX(ERP資料!$G:$G, (MATCH(752, 輔助計算!$G$2:$G$801, 0)+1)),"0.##")&amp;"+"&amp;TEXT(INDEX(ERP資料!$G:$G, (MATCH(752, 輔助計算!$G$2:$G$801, 0)+1)),"0.##")&amp;"+"&amp;TEXT(INDEX(ERP資料!$G:$G, (MATCH(752, 輔助計算!$G$2:$G$801, 0)+1)),"0.##"))))&amp;"-1")), ""), "")</f>
        <v/>
      </c>
      <c r="K753" s="16" t="n"/>
      <c r="L753" s="14">
        <f>IFERROR(IF(AND(IFERROR(INDEX(ERP資料!$A:$A, (MATCH(752, 輔助計算!$G$2:$G$801, 0)+1)), "")&lt;&gt;"", IFERROR(INDEX(ERP資料!$A:$A, (MATCH(752, 輔助計算!$G$2:$G$801, 0)+1)), "")&lt;&gt;IFERROR(INDEX(ERP資料!$A:$A, MATCH(751, 輔助計算!$G$2:$G$801, 0)+1), "")), INDEX(ERP資料!$B:$B, (MATCH(752, 輔助計算!$G$2:$G$801, 0)+1)), ""), "")</f>
        <v/>
      </c>
      <c r="M753" s="17" t="n"/>
    </row>
    <row r="754">
      <c r="A754" s="10">
        <f>IFERROR(IF(AND(IFERROR(INDEX(ERP資料!$A:$A, (MATCH(753, 輔助計算!$G$2:$G$801, 0)+1)), "")&lt;&gt;"", IFERROR(INDEX(ERP資料!$A:$A, (MATCH(753, 輔助計算!$G$2:$G$801, 0)+1)), "")&lt;&gt;IFERROR(INDEX(ERP資料!$A:$A, MATCH(752, 輔助計算!$G$2:$G$801, 0)+1), "")), IFERROR(INDEX(ERP資料!$A:$A, (MATCH(753, 輔助計算!$G$2:$G$801, 0)+1)), ""), ""), "")</f>
        <v/>
      </c>
      <c r="B754" s="10">
        <f>IFERROR(IF(AND(IFERROR(INDEX(ERP資料!$A:$A, (MATCH(753, 輔助計算!$G$2:$G$801, 0)+1)), "")&lt;&gt;"", IFERROR(INDEX(ERP資料!$A:$A, (MATCH(753, 輔助計算!$G$2:$G$801, 0)+1)), "")&lt;&gt;IFERROR(INDEX(ERP資料!$A:$A, MATCH(752, 輔助計算!$G$2:$G$801, 0)+1), "")), INDEX(ERP資料!$S:$S, (MATCH(753, 輔助計算!$G$2:$G$801, 0)+1)), ""), "")</f>
        <v/>
      </c>
      <c r="C754" s="19">
        <f>IFERROR(IF(AND(IFERROR(INDEX(ERP資料!$A:$A, (MATCH(753, 輔助計算!$G$2:$G$801, 0)+1)), "")&lt;&gt;"", IFERROR(INDEX(ERP資料!$A:$A, (MATCH(753, 輔助計算!$G$2:$G$801, 0)+1)), "")&lt;&gt;IFERROR(INDEX(ERP資料!$A:$A, MATCH(752, 輔助計算!$G$2:$G$801, 0)+1), "")), IFERROR(VLOOKUP(LEFT(INDEX(ERP資料!$S:$S, (MATCH(753, 輔助計算!$G$2:$G$801, 0)+1)), 4), 紙管對照表!$A:$C, 3, FALSE), ""), ""), "")</f>
        <v/>
      </c>
      <c r="D754" s="16" t="n"/>
      <c r="E754" s="10">
        <f>IFERROR(IF(INDEX(ERP資料!$H:$H, (MATCH(753, 輔助計算!$G$2:$G$801, 0)+1))="","",INDEX(ERP資料!$H:$H, (MATCH(753, 輔助計算!$G$2:$G$801, 0)+1))), "")</f>
        <v/>
      </c>
      <c r="F754" s="10">
        <f>IFERROR(IF(INDEX(ERP資料!$E:$E, (MATCH(753, 輔助計算!$G$2:$G$801, 0)+1))="","",TRIM(INDEX(ERP資料!$E:$E, (MATCH(753, 輔助計算!$G$2:$G$801, 0)+1)))), "")</f>
        <v/>
      </c>
      <c r="G754" s="10">
        <f>IFERROR(IF(INDEX(ERP資料!$F:$F, (MATCH(753, 輔助計算!$G$2:$G$801, 0)+1))="","",INDEX(ERP資料!$F:$F, (MATCH(753, 輔助計算!$G$2:$G$801, 0)+1))), "")</f>
        <v/>
      </c>
      <c r="H754" s="10">
        <f>IFERROR(IF(INDEX(ERP資料!$G:$G, (MATCH(753, 輔助計算!$G$2:$G$801, 0)+1))="","",INDEX(ERP資料!$G:$G, (MATCH(753, 輔助計算!$G$2:$G$801, 0)+1))), "")</f>
        <v/>
      </c>
      <c r="I754" s="15">
        <f>IFERROR(INDEX(輔助計算!$D:$D, (MATCH(753, 輔助計算!$G$2:$G$801, 0)+1)), "")</f>
        <v/>
      </c>
      <c r="J754" s="15">
        <f>IFERROR(IF(AND(INDEX(輔助計算!$D:$D, (MATCH(753, 輔助計算!$G$2:$G$801, 0)+1))&lt;&gt;"", INDEX(ERP資料!$G:$G, (MATCH(753, 輔助計算!$G$2:$G$801, 0)+1))&lt;&gt;""), TRIM(IF(INT(INDEX(輔助計算!$D:$D, (MATCH(753, 輔助計算!$G$2:$G$801, 0)+1))/IF(INDEX(ERP資料!$G:$G, (MATCH(753, 輔助計算!$G$2:$G$801, 0)+1))&lt;100, IF(INDEX(ERP資料!$G:$G, (MATCH(753, 輔助計算!$G$2:$G$801, 0)+1))&lt;=31,3,IF(INDEX(ERP資料!$G:$G, (MATCH(753, 輔助計算!$G$2:$G$801, 0)+1))&lt;=46.5,2,1)), IF(INDEX(ERP資料!$G:$G, (MATCH(753, 輔助計算!$G$2:$G$801, 0)+1))&lt;=790,3,IF(INDEX(ERP資料!$G:$G, (MATCH(753, 輔助計算!$G$2:$G$801, 0)+1))&lt;=1181,2,1))))&gt;0, IF(IF(INDEX(ERP資料!$G:$G, (MATCH(753, 輔助計算!$G$2:$G$801, 0)+1))&lt;100, IF(INDEX(ERP資料!$G:$G, (MATCH(753, 輔助計算!$G$2:$G$801, 0)+1))&lt;=31,3,IF(INDEX(ERP資料!$G:$G, (MATCH(753, 輔助計算!$G$2:$G$801, 0)+1))&lt;=46.5,2,1)), IF(INDEX(ERP資料!$G:$G, (MATCH(753, 輔助計算!$G$2:$G$801, 0)+1))&lt;=790,3,IF(INDEX(ERP資料!$G:$G, (MATCH(753, 輔助計算!$G$2:$G$801, 0)+1))&lt;=1181,2,1)))=1,TEXT(INDEX(ERP資料!$G:$G, (MATCH(753, 輔助計算!$G$2:$G$801, 0)+1)),"0.##"),IF(IF(INDEX(ERP資料!$G:$G, (MATCH(753, 輔助計算!$G$2:$G$801, 0)+1))&lt;100, IF(INDEX(ERP資料!$G:$G, (MATCH(753, 輔助計算!$G$2:$G$801, 0)+1))&lt;=31,3,IF(INDEX(ERP資料!$G:$G, (MATCH(753, 輔助計算!$G$2:$G$801, 0)+1))&lt;=46.5,2,1)), IF(INDEX(ERP資料!$G:$G, (MATCH(753, 輔助計算!$G$2:$G$801, 0)+1))&lt;=790,3,IF(INDEX(ERP資料!$G:$G, (MATCH(753, 輔助計算!$G$2:$G$801, 0)+1))&lt;=1181,2,1)))=2,TEXT(INDEX(ERP資料!$G:$G, (MATCH(753, 輔助計算!$G$2:$G$801, 0)+1)),"0.##")&amp;"+"&amp;TEXT(INDEX(ERP資料!$G:$G, (MATCH(753, 輔助計算!$G$2:$G$801, 0)+1)),"0.##"),TEXT(INDEX(ERP資料!$G:$G, (MATCH(753, 輔助計算!$G$2:$G$801, 0)+1)),"0.##")&amp;"+"&amp;TEXT(INDEX(ERP資料!$G:$G, (MATCH(753, 輔助計算!$G$2:$G$801, 0)+1)),"0.##")&amp;"+"&amp;TEXT(INDEX(ERP資料!$G:$G, (MATCH(753, 輔助計算!$G$2:$G$801, 0)+1)),"0.##")))&amp;"-"&amp;INT(INDEX(輔助計算!$D:$D, (MATCH(753, 輔助計算!$G$2:$G$801, 0)+1))/IF(INDEX(ERP資料!$G:$G, (MATCH(753, 輔助計算!$G$2:$G$801, 0)+1))&lt;100, IF(INDEX(ERP資料!$G:$G, (MATCH(753, 輔助計算!$G$2:$G$801, 0)+1))&lt;=31,3,IF(INDEX(ERP資料!$G:$G, (MATCH(753, 輔助計算!$G$2:$G$801, 0)+1))&lt;=46.5,2,1)), IF(INDEX(ERP資料!$G:$G, (MATCH(753, 輔助計算!$G$2:$G$801, 0)+1))&lt;=790,3,IF(INDEX(ERP資料!$G:$G, (MATCH(753, 輔助計算!$G$2:$G$801, 0)+1))&lt;=1181,2,1)))), "")&amp;IF(AND(IF(INT(INDEX(輔助計算!$D:$D, (MATCH(753, 輔助計算!$G$2:$G$801, 0)+1))/IF(INDEX(ERP資料!$G:$G, (MATCH(753, 輔助計算!$G$2:$G$801, 0)+1))&lt;100, IF(INDEX(ERP資料!$G:$G, (MATCH(753, 輔助計算!$G$2:$G$801, 0)+1))&lt;=31,3,IF(INDEX(ERP資料!$G:$G, (MATCH(753, 輔助計算!$G$2:$G$801, 0)+1))&lt;=46.5,2,1)), IF(INDEX(ERP資料!$G:$G, (MATCH(753, 輔助計算!$G$2:$G$801, 0)+1))&lt;=790,3,IF(INDEX(ERP資料!$G:$G, (MATCH(753, 輔助計算!$G$2:$G$801, 0)+1))&lt;=1181,2,1))))&gt;0, IF(IF(INDEX(ERP資料!$G:$G, (MATCH(753, 輔助計算!$G$2:$G$801, 0)+1))&lt;100, IF(INDEX(ERP資料!$G:$G, (MATCH(753, 輔助計算!$G$2:$G$801, 0)+1))&lt;=31,3,IF(INDEX(ERP資料!$G:$G, (MATCH(753, 輔助計算!$G$2:$G$801, 0)+1))&lt;=46.5,2,1)), IF(INDEX(ERP資料!$G:$G, (MATCH(753, 輔助計算!$G$2:$G$801, 0)+1))&lt;=790,3,IF(INDEX(ERP資料!$G:$G, (MATCH(753, 輔助計算!$G$2:$G$801, 0)+1))&lt;=1181,2,1)))=1,TEXT(INDEX(ERP資料!$G:$G, (MATCH(753, 輔助計算!$G$2:$G$801, 0)+1)),"0.##"),IF(IF(INDEX(ERP資料!$G:$G, (MATCH(753, 輔助計算!$G$2:$G$801, 0)+1))&lt;100, IF(INDEX(ERP資料!$G:$G, (MATCH(753, 輔助計算!$G$2:$G$801, 0)+1))&lt;=31,3,IF(INDEX(ERP資料!$G:$G, (MATCH(753, 輔助計算!$G$2:$G$801, 0)+1))&lt;=46.5,2,1)), IF(INDEX(ERP資料!$G:$G, (MATCH(753, 輔助計算!$G$2:$G$801, 0)+1))&lt;=790,3,IF(INDEX(ERP資料!$G:$G, (MATCH(753, 輔助計算!$G$2:$G$801, 0)+1))&lt;=1181,2,1)))=2,TEXT(INDEX(ERP資料!$G:$G, (MATCH(753, 輔助計算!$G$2:$G$801, 0)+1)),"0.##")&amp;"+"&amp;TEXT(INDEX(ERP資料!$G:$G, (MATCH(753, 輔助計算!$G$2:$G$801, 0)+1)),"0.##"),TEXT(INDEX(ERP資料!$G:$G, (MATCH(753, 輔助計算!$G$2:$G$801, 0)+1)),"0.##")&amp;"+"&amp;TEXT(INDEX(ERP資料!$G:$G, (MATCH(753, 輔助計算!$G$2:$G$801, 0)+1)),"0.##")&amp;"+"&amp;TEXT(INDEX(ERP資料!$G:$G, (MATCH(753, 輔助計算!$G$2:$G$801, 0)+1)),"0.##")))&amp;"-"&amp;INT(INDEX(輔助計算!$D:$D, (MATCH(753, 輔助計算!$G$2:$G$801, 0)+1))/IF(INDEX(ERP資料!$G:$G, (MATCH(753, 輔助計算!$G$2:$G$801, 0)+1))&lt;100, IF(INDEX(ERP資料!$G:$G, (MATCH(753, 輔助計算!$G$2:$G$801, 0)+1))&lt;=31,3,IF(INDEX(ERP資料!$G:$G, (MATCH(753, 輔助計算!$G$2:$G$801, 0)+1))&lt;=46.5,2,1)), IF(INDEX(ERP資料!$G:$G, (MATCH(753, 輔助計算!$G$2:$G$801, 0)+1))&lt;=790,3,IF(INDEX(ERP資料!$G:$G, (MATCH(753, 輔助計算!$G$2:$G$801, 0)+1))&lt;=1181,2,1)))), "")&lt;&gt;"",IF(MOD(INDEX(輔助計算!$D:$D, (MATCH(753, 輔助計算!$G$2:$G$801, 0)+1)),IF(INDEX(ERP資料!$G:$G, (MATCH(753, 輔助計算!$G$2:$G$801, 0)+1))&lt;100, IF(INDEX(ERP資料!$G:$G, (MATCH(753, 輔助計算!$G$2:$G$801, 0)+1))&lt;=31,3,IF(INDEX(ERP資料!$G:$G, (MATCH(753, 輔助計算!$G$2:$G$801, 0)+1))&lt;=46.5,2,1)), IF(INDEX(ERP資料!$G:$G, (MATCH(753, 輔助計算!$G$2:$G$801, 0)+1))&lt;=790,3,IF(INDEX(ERP資料!$G:$G, (MATCH(753, 輔助計算!$G$2:$G$801, 0)+1))&lt;=1181,2,1))))=0,"",IF(MOD(INDEX(輔助計算!$D:$D, (MATCH(753, 輔助計算!$G$2:$G$801, 0)+1)),IF(INDEX(ERP資料!$G:$G, (MATCH(753, 輔助計算!$G$2:$G$801, 0)+1))&lt;100, IF(INDEX(ERP資料!$G:$G, (MATCH(753, 輔助計算!$G$2:$G$801, 0)+1))&lt;=31,3,IF(INDEX(ERP資料!$G:$G, (MATCH(753, 輔助計算!$G$2:$G$801, 0)+1))&lt;=46.5,2,1)), IF(INDEX(ERP資料!$G:$G, (MATCH(753, 輔助計算!$G$2:$G$801, 0)+1))&lt;=790,3,IF(INDEX(ERP資料!$G:$G, (MATCH(753, 輔助計算!$G$2:$G$801, 0)+1))&lt;=1181,2,1))))=0,"",IF(MOD(INDEX(輔助計算!$D:$D, (MATCH(753, 輔助計算!$G$2:$G$801, 0)+1)),IF(INDEX(ERP資料!$G:$G, (MATCH(753, 輔助計算!$G$2:$G$801, 0)+1))&lt;100, IF(INDEX(ERP資料!$G:$G, (MATCH(753, 輔助計算!$G$2:$G$801, 0)+1))&lt;=31,3,IF(INDEX(ERP資料!$G:$G, (MATCH(753, 輔助計算!$G$2:$G$801, 0)+1))&lt;=46.5,2,1)), IF(INDEX(ERP資料!$G:$G, (MATCH(753, 輔助計算!$G$2:$G$801, 0)+1))&lt;=790,3,IF(INDEX(ERP資料!$G:$G, (MATCH(753, 輔助計算!$G$2:$G$801, 0)+1))&lt;=1181,2,1))))=1,TEXT(INDEX(ERP資料!$G:$G, (MATCH(753, 輔助計算!$G$2:$G$801, 0)+1)),"0.##"),IF(MOD(INDEX(輔助計算!$D:$D, (MATCH(753, 輔助計算!$G$2:$G$801, 0)+1)),IF(INDEX(ERP資料!$G:$G, (MATCH(753, 輔助計算!$G$2:$G$801, 0)+1))&lt;100, IF(INDEX(ERP資料!$G:$G, (MATCH(753, 輔助計算!$G$2:$G$801, 0)+1))&lt;=31,3,IF(INDEX(ERP資料!$G:$G, (MATCH(753, 輔助計算!$G$2:$G$801, 0)+1))&lt;=46.5,2,1)), IF(INDEX(ERP資料!$G:$G, (MATCH(753, 輔助計算!$G$2:$G$801, 0)+1))&lt;=790,3,IF(INDEX(ERP資料!$G:$G, (MATCH(753, 輔助計算!$G$2:$G$801, 0)+1))&lt;=1181,2,1))))=2,TEXT(INDEX(ERP資料!$G:$G, (MATCH(753, 輔助計算!$G$2:$G$801, 0)+1)),"0.##")&amp;"+"&amp;TEXT(INDEX(ERP資料!$G:$G, (MATCH(753, 輔助計算!$G$2:$G$801, 0)+1)),"0.##"),TEXT(INDEX(ERP資料!$G:$G, (MATCH(753, 輔助計算!$G$2:$G$801, 0)+1)),"0.##")&amp;"+"&amp;TEXT(INDEX(ERP資料!$G:$G, (MATCH(753, 輔助計算!$G$2:$G$801, 0)+1)),"0.##")&amp;"+"&amp;TEXT(INDEX(ERP資料!$G:$G, (MATCH(753, 輔助計算!$G$2:$G$801, 0)+1)),"0.##"))))&amp;"-1")&lt;&gt;""),"  ","")&amp;IF(MOD(INDEX(輔助計算!$D:$D, (MATCH(753, 輔助計算!$G$2:$G$801, 0)+1)),IF(INDEX(ERP資料!$G:$G, (MATCH(753, 輔助計算!$G$2:$G$801, 0)+1))&lt;100, IF(INDEX(ERP資料!$G:$G, (MATCH(753, 輔助計算!$G$2:$G$801, 0)+1))&lt;=31,3,IF(INDEX(ERP資料!$G:$G, (MATCH(753, 輔助計算!$G$2:$G$801, 0)+1))&lt;=46.5,2,1)), IF(INDEX(ERP資料!$G:$G, (MATCH(753, 輔助計算!$G$2:$G$801, 0)+1))&lt;=790,3,IF(INDEX(ERP資料!$G:$G, (MATCH(753, 輔助計算!$G$2:$G$801, 0)+1))&lt;=1181,2,1))))=0,"",IF(MOD(INDEX(輔助計算!$D:$D, (MATCH(753, 輔助計算!$G$2:$G$801, 0)+1)),IF(INDEX(ERP資料!$G:$G, (MATCH(753, 輔助計算!$G$2:$G$801, 0)+1))&lt;100, IF(INDEX(ERP資料!$G:$G, (MATCH(753, 輔助計算!$G$2:$G$801, 0)+1))&lt;=31,3,IF(INDEX(ERP資料!$G:$G, (MATCH(753, 輔助計算!$G$2:$G$801, 0)+1))&lt;=46.5,2,1)), IF(INDEX(ERP資料!$G:$G, (MATCH(753, 輔助計算!$G$2:$G$801, 0)+1))&lt;=790,3,IF(INDEX(ERP資料!$G:$G, (MATCH(753, 輔助計算!$G$2:$G$801, 0)+1))&lt;=1181,2,1))))=0,"",IF(MOD(INDEX(輔助計算!$D:$D, (MATCH(753, 輔助計算!$G$2:$G$801, 0)+1)),IF(INDEX(ERP資料!$G:$G, (MATCH(753, 輔助計算!$G$2:$G$801, 0)+1))&lt;100, IF(INDEX(ERP資料!$G:$G, (MATCH(753, 輔助計算!$G$2:$G$801, 0)+1))&lt;=31,3,IF(INDEX(ERP資料!$G:$G, (MATCH(753, 輔助計算!$G$2:$G$801, 0)+1))&lt;=46.5,2,1)), IF(INDEX(ERP資料!$G:$G, (MATCH(753, 輔助計算!$G$2:$G$801, 0)+1))&lt;=790,3,IF(INDEX(ERP資料!$G:$G, (MATCH(753, 輔助計算!$G$2:$G$801, 0)+1))&lt;=1181,2,1))))=1,TEXT(INDEX(ERP資料!$G:$G, (MATCH(753, 輔助計算!$G$2:$G$801, 0)+1)),"0.##"),IF(MOD(INDEX(輔助計算!$D:$D, (MATCH(753, 輔助計算!$G$2:$G$801, 0)+1)),IF(INDEX(ERP資料!$G:$G, (MATCH(753, 輔助計算!$G$2:$G$801, 0)+1))&lt;100, IF(INDEX(ERP資料!$G:$G, (MATCH(753, 輔助計算!$G$2:$G$801, 0)+1))&lt;=31,3,IF(INDEX(ERP資料!$G:$G, (MATCH(753, 輔助計算!$G$2:$G$801, 0)+1))&lt;=46.5,2,1)), IF(INDEX(ERP資料!$G:$G, (MATCH(753, 輔助計算!$G$2:$G$801, 0)+1))&lt;=790,3,IF(INDEX(ERP資料!$G:$G, (MATCH(753, 輔助計算!$G$2:$G$801, 0)+1))&lt;=1181,2,1))))=2,TEXT(INDEX(ERP資料!$G:$G, (MATCH(753, 輔助計算!$G$2:$G$801, 0)+1)),"0.##")&amp;"+"&amp;TEXT(INDEX(ERP資料!$G:$G, (MATCH(753, 輔助計算!$G$2:$G$801, 0)+1)),"0.##"),TEXT(INDEX(ERP資料!$G:$G, (MATCH(753, 輔助計算!$G$2:$G$801, 0)+1)),"0.##")&amp;"+"&amp;TEXT(INDEX(ERP資料!$G:$G, (MATCH(753, 輔助計算!$G$2:$G$801, 0)+1)),"0.##")&amp;"+"&amp;TEXT(INDEX(ERP資料!$G:$G, (MATCH(753, 輔助計算!$G$2:$G$801, 0)+1)),"0.##"))))&amp;"-1")), ""), "")</f>
        <v/>
      </c>
      <c r="K754" s="16" t="n"/>
      <c r="L754" s="14">
        <f>IFERROR(IF(AND(IFERROR(INDEX(ERP資料!$A:$A, (MATCH(753, 輔助計算!$G$2:$G$801, 0)+1)), "")&lt;&gt;"", IFERROR(INDEX(ERP資料!$A:$A, (MATCH(753, 輔助計算!$G$2:$G$801, 0)+1)), "")&lt;&gt;IFERROR(INDEX(ERP資料!$A:$A, MATCH(752, 輔助計算!$G$2:$G$801, 0)+1), "")), INDEX(ERP資料!$B:$B, (MATCH(753, 輔助計算!$G$2:$G$801, 0)+1)), ""), "")</f>
        <v/>
      </c>
      <c r="M754" s="17" t="n"/>
    </row>
    <row r="755">
      <c r="A755" s="10">
        <f>IFERROR(IF(AND(IFERROR(INDEX(ERP資料!$A:$A, (MATCH(754, 輔助計算!$G$2:$G$801, 0)+1)), "")&lt;&gt;"", IFERROR(INDEX(ERP資料!$A:$A, (MATCH(754, 輔助計算!$G$2:$G$801, 0)+1)), "")&lt;&gt;IFERROR(INDEX(ERP資料!$A:$A, MATCH(753, 輔助計算!$G$2:$G$801, 0)+1), "")), IFERROR(INDEX(ERP資料!$A:$A, (MATCH(754, 輔助計算!$G$2:$G$801, 0)+1)), ""), ""), "")</f>
        <v/>
      </c>
      <c r="B755" s="10">
        <f>IFERROR(IF(AND(IFERROR(INDEX(ERP資料!$A:$A, (MATCH(754, 輔助計算!$G$2:$G$801, 0)+1)), "")&lt;&gt;"", IFERROR(INDEX(ERP資料!$A:$A, (MATCH(754, 輔助計算!$G$2:$G$801, 0)+1)), "")&lt;&gt;IFERROR(INDEX(ERP資料!$A:$A, MATCH(753, 輔助計算!$G$2:$G$801, 0)+1), "")), INDEX(ERP資料!$S:$S, (MATCH(754, 輔助計算!$G$2:$G$801, 0)+1)), ""), "")</f>
        <v/>
      </c>
      <c r="C755" s="19">
        <f>IFERROR(IF(AND(IFERROR(INDEX(ERP資料!$A:$A, (MATCH(754, 輔助計算!$G$2:$G$801, 0)+1)), "")&lt;&gt;"", IFERROR(INDEX(ERP資料!$A:$A, (MATCH(754, 輔助計算!$G$2:$G$801, 0)+1)), "")&lt;&gt;IFERROR(INDEX(ERP資料!$A:$A, MATCH(753, 輔助計算!$G$2:$G$801, 0)+1), "")), IFERROR(VLOOKUP(LEFT(INDEX(ERP資料!$S:$S, (MATCH(754, 輔助計算!$G$2:$G$801, 0)+1)), 4), 紙管對照表!$A:$C, 3, FALSE), ""), ""), "")</f>
        <v/>
      </c>
      <c r="D755" s="16" t="n"/>
      <c r="E755" s="10">
        <f>IFERROR(IF(INDEX(ERP資料!$H:$H, (MATCH(754, 輔助計算!$G$2:$G$801, 0)+1))="","",INDEX(ERP資料!$H:$H, (MATCH(754, 輔助計算!$G$2:$G$801, 0)+1))), "")</f>
        <v/>
      </c>
      <c r="F755" s="10">
        <f>IFERROR(IF(INDEX(ERP資料!$E:$E, (MATCH(754, 輔助計算!$G$2:$G$801, 0)+1))="","",TRIM(INDEX(ERP資料!$E:$E, (MATCH(754, 輔助計算!$G$2:$G$801, 0)+1)))), "")</f>
        <v/>
      </c>
      <c r="G755" s="10">
        <f>IFERROR(IF(INDEX(ERP資料!$F:$F, (MATCH(754, 輔助計算!$G$2:$G$801, 0)+1))="","",INDEX(ERP資料!$F:$F, (MATCH(754, 輔助計算!$G$2:$G$801, 0)+1))), "")</f>
        <v/>
      </c>
      <c r="H755" s="10">
        <f>IFERROR(IF(INDEX(ERP資料!$G:$G, (MATCH(754, 輔助計算!$G$2:$G$801, 0)+1))="","",INDEX(ERP資料!$G:$G, (MATCH(754, 輔助計算!$G$2:$G$801, 0)+1))), "")</f>
        <v/>
      </c>
      <c r="I755" s="15">
        <f>IFERROR(INDEX(輔助計算!$D:$D, (MATCH(754, 輔助計算!$G$2:$G$801, 0)+1)), "")</f>
        <v/>
      </c>
      <c r="J755" s="15">
        <f>IFERROR(IF(AND(INDEX(輔助計算!$D:$D, (MATCH(754, 輔助計算!$G$2:$G$801, 0)+1))&lt;&gt;"", INDEX(ERP資料!$G:$G, (MATCH(754, 輔助計算!$G$2:$G$801, 0)+1))&lt;&gt;""), TRIM(IF(INT(INDEX(輔助計算!$D:$D, (MATCH(754, 輔助計算!$G$2:$G$801, 0)+1))/IF(INDEX(ERP資料!$G:$G, (MATCH(754, 輔助計算!$G$2:$G$801, 0)+1))&lt;100, IF(INDEX(ERP資料!$G:$G, (MATCH(754, 輔助計算!$G$2:$G$801, 0)+1))&lt;=31,3,IF(INDEX(ERP資料!$G:$G, (MATCH(754, 輔助計算!$G$2:$G$801, 0)+1))&lt;=46.5,2,1)), IF(INDEX(ERP資料!$G:$G, (MATCH(754, 輔助計算!$G$2:$G$801, 0)+1))&lt;=790,3,IF(INDEX(ERP資料!$G:$G, (MATCH(754, 輔助計算!$G$2:$G$801, 0)+1))&lt;=1181,2,1))))&gt;0, IF(IF(INDEX(ERP資料!$G:$G, (MATCH(754, 輔助計算!$G$2:$G$801, 0)+1))&lt;100, IF(INDEX(ERP資料!$G:$G, (MATCH(754, 輔助計算!$G$2:$G$801, 0)+1))&lt;=31,3,IF(INDEX(ERP資料!$G:$G, (MATCH(754, 輔助計算!$G$2:$G$801, 0)+1))&lt;=46.5,2,1)), IF(INDEX(ERP資料!$G:$G, (MATCH(754, 輔助計算!$G$2:$G$801, 0)+1))&lt;=790,3,IF(INDEX(ERP資料!$G:$G, (MATCH(754, 輔助計算!$G$2:$G$801, 0)+1))&lt;=1181,2,1)))=1,TEXT(INDEX(ERP資料!$G:$G, (MATCH(754, 輔助計算!$G$2:$G$801, 0)+1)),"0.##"),IF(IF(INDEX(ERP資料!$G:$G, (MATCH(754, 輔助計算!$G$2:$G$801, 0)+1))&lt;100, IF(INDEX(ERP資料!$G:$G, (MATCH(754, 輔助計算!$G$2:$G$801, 0)+1))&lt;=31,3,IF(INDEX(ERP資料!$G:$G, (MATCH(754, 輔助計算!$G$2:$G$801, 0)+1))&lt;=46.5,2,1)), IF(INDEX(ERP資料!$G:$G, (MATCH(754, 輔助計算!$G$2:$G$801, 0)+1))&lt;=790,3,IF(INDEX(ERP資料!$G:$G, (MATCH(754, 輔助計算!$G$2:$G$801, 0)+1))&lt;=1181,2,1)))=2,TEXT(INDEX(ERP資料!$G:$G, (MATCH(754, 輔助計算!$G$2:$G$801, 0)+1)),"0.##")&amp;"+"&amp;TEXT(INDEX(ERP資料!$G:$G, (MATCH(754, 輔助計算!$G$2:$G$801, 0)+1)),"0.##"),TEXT(INDEX(ERP資料!$G:$G, (MATCH(754, 輔助計算!$G$2:$G$801, 0)+1)),"0.##")&amp;"+"&amp;TEXT(INDEX(ERP資料!$G:$G, (MATCH(754, 輔助計算!$G$2:$G$801, 0)+1)),"0.##")&amp;"+"&amp;TEXT(INDEX(ERP資料!$G:$G, (MATCH(754, 輔助計算!$G$2:$G$801, 0)+1)),"0.##")))&amp;"-"&amp;INT(INDEX(輔助計算!$D:$D, (MATCH(754, 輔助計算!$G$2:$G$801, 0)+1))/IF(INDEX(ERP資料!$G:$G, (MATCH(754, 輔助計算!$G$2:$G$801, 0)+1))&lt;100, IF(INDEX(ERP資料!$G:$G, (MATCH(754, 輔助計算!$G$2:$G$801, 0)+1))&lt;=31,3,IF(INDEX(ERP資料!$G:$G, (MATCH(754, 輔助計算!$G$2:$G$801, 0)+1))&lt;=46.5,2,1)), IF(INDEX(ERP資料!$G:$G, (MATCH(754, 輔助計算!$G$2:$G$801, 0)+1))&lt;=790,3,IF(INDEX(ERP資料!$G:$G, (MATCH(754, 輔助計算!$G$2:$G$801, 0)+1))&lt;=1181,2,1)))), "")&amp;IF(AND(IF(INT(INDEX(輔助計算!$D:$D, (MATCH(754, 輔助計算!$G$2:$G$801, 0)+1))/IF(INDEX(ERP資料!$G:$G, (MATCH(754, 輔助計算!$G$2:$G$801, 0)+1))&lt;100, IF(INDEX(ERP資料!$G:$G, (MATCH(754, 輔助計算!$G$2:$G$801, 0)+1))&lt;=31,3,IF(INDEX(ERP資料!$G:$G, (MATCH(754, 輔助計算!$G$2:$G$801, 0)+1))&lt;=46.5,2,1)), IF(INDEX(ERP資料!$G:$G, (MATCH(754, 輔助計算!$G$2:$G$801, 0)+1))&lt;=790,3,IF(INDEX(ERP資料!$G:$G, (MATCH(754, 輔助計算!$G$2:$G$801, 0)+1))&lt;=1181,2,1))))&gt;0, IF(IF(INDEX(ERP資料!$G:$G, (MATCH(754, 輔助計算!$G$2:$G$801, 0)+1))&lt;100, IF(INDEX(ERP資料!$G:$G, (MATCH(754, 輔助計算!$G$2:$G$801, 0)+1))&lt;=31,3,IF(INDEX(ERP資料!$G:$G, (MATCH(754, 輔助計算!$G$2:$G$801, 0)+1))&lt;=46.5,2,1)), IF(INDEX(ERP資料!$G:$G, (MATCH(754, 輔助計算!$G$2:$G$801, 0)+1))&lt;=790,3,IF(INDEX(ERP資料!$G:$G, (MATCH(754, 輔助計算!$G$2:$G$801, 0)+1))&lt;=1181,2,1)))=1,TEXT(INDEX(ERP資料!$G:$G, (MATCH(754, 輔助計算!$G$2:$G$801, 0)+1)),"0.##"),IF(IF(INDEX(ERP資料!$G:$G, (MATCH(754, 輔助計算!$G$2:$G$801, 0)+1))&lt;100, IF(INDEX(ERP資料!$G:$G, (MATCH(754, 輔助計算!$G$2:$G$801, 0)+1))&lt;=31,3,IF(INDEX(ERP資料!$G:$G, (MATCH(754, 輔助計算!$G$2:$G$801, 0)+1))&lt;=46.5,2,1)), IF(INDEX(ERP資料!$G:$G, (MATCH(754, 輔助計算!$G$2:$G$801, 0)+1))&lt;=790,3,IF(INDEX(ERP資料!$G:$G, (MATCH(754, 輔助計算!$G$2:$G$801, 0)+1))&lt;=1181,2,1)))=2,TEXT(INDEX(ERP資料!$G:$G, (MATCH(754, 輔助計算!$G$2:$G$801, 0)+1)),"0.##")&amp;"+"&amp;TEXT(INDEX(ERP資料!$G:$G, (MATCH(754, 輔助計算!$G$2:$G$801, 0)+1)),"0.##"),TEXT(INDEX(ERP資料!$G:$G, (MATCH(754, 輔助計算!$G$2:$G$801, 0)+1)),"0.##")&amp;"+"&amp;TEXT(INDEX(ERP資料!$G:$G, (MATCH(754, 輔助計算!$G$2:$G$801, 0)+1)),"0.##")&amp;"+"&amp;TEXT(INDEX(ERP資料!$G:$G, (MATCH(754, 輔助計算!$G$2:$G$801, 0)+1)),"0.##")))&amp;"-"&amp;INT(INDEX(輔助計算!$D:$D, (MATCH(754, 輔助計算!$G$2:$G$801, 0)+1))/IF(INDEX(ERP資料!$G:$G, (MATCH(754, 輔助計算!$G$2:$G$801, 0)+1))&lt;100, IF(INDEX(ERP資料!$G:$G, (MATCH(754, 輔助計算!$G$2:$G$801, 0)+1))&lt;=31,3,IF(INDEX(ERP資料!$G:$G, (MATCH(754, 輔助計算!$G$2:$G$801, 0)+1))&lt;=46.5,2,1)), IF(INDEX(ERP資料!$G:$G, (MATCH(754, 輔助計算!$G$2:$G$801, 0)+1))&lt;=790,3,IF(INDEX(ERP資料!$G:$G, (MATCH(754, 輔助計算!$G$2:$G$801, 0)+1))&lt;=1181,2,1)))), "")&lt;&gt;"",IF(MOD(INDEX(輔助計算!$D:$D, (MATCH(754, 輔助計算!$G$2:$G$801, 0)+1)),IF(INDEX(ERP資料!$G:$G, (MATCH(754, 輔助計算!$G$2:$G$801, 0)+1))&lt;100, IF(INDEX(ERP資料!$G:$G, (MATCH(754, 輔助計算!$G$2:$G$801, 0)+1))&lt;=31,3,IF(INDEX(ERP資料!$G:$G, (MATCH(754, 輔助計算!$G$2:$G$801, 0)+1))&lt;=46.5,2,1)), IF(INDEX(ERP資料!$G:$G, (MATCH(754, 輔助計算!$G$2:$G$801, 0)+1))&lt;=790,3,IF(INDEX(ERP資料!$G:$G, (MATCH(754, 輔助計算!$G$2:$G$801, 0)+1))&lt;=1181,2,1))))=0,"",IF(MOD(INDEX(輔助計算!$D:$D, (MATCH(754, 輔助計算!$G$2:$G$801, 0)+1)),IF(INDEX(ERP資料!$G:$G, (MATCH(754, 輔助計算!$G$2:$G$801, 0)+1))&lt;100, IF(INDEX(ERP資料!$G:$G, (MATCH(754, 輔助計算!$G$2:$G$801, 0)+1))&lt;=31,3,IF(INDEX(ERP資料!$G:$G, (MATCH(754, 輔助計算!$G$2:$G$801, 0)+1))&lt;=46.5,2,1)), IF(INDEX(ERP資料!$G:$G, (MATCH(754, 輔助計算!$G$2:$G$801, 0)+1))&lt;=790,3,IF(INDEX(ERP資料!$G:$G, (MATCH(754, 輔助計算!$G$2:$G$801, 0)+1))&lt;=1181,2,1))))=0,"",IF(MOD(INDEX(輔助計算!$D:$D, (MATCH(754, 輔助計算!$G$2:$G$801, 0)+1)),IF(INDEX(ERP資料!$G:$G, (MATCH(754, 輔助計算!$G$2:$G$801, 0)+1))&lt;100, IF(INDEX(ERP資料!$G:$G, (MATCH(754, 輔助計算!$G$2:$G$801, 0)+1))&lt;=31,3,IF(INDEX(ERP資料!$G:$G, (MATCH(754, 輔助計算!$G$2:$G$801, 0)+1))&lt;=46.5,2,1)), IF(INDEX(ERP資料!$G:$G, (MATCH(754, 輔助計算!$G$2:$G$801, 0)+1))&lt;=790,3,IF(INDEX(ERP資料!$G:$G, (MATCH(754, 輔助計算!$G$2:$G$801, 0)+1))&lt;=1181,2,1))))=1,TEXT(INDEX(ERP資料!$G:$G, (MATCH(754, 輔助計算!$G$2:$G$801, 0)+1)),"0.##"),IF(MOD(INDEX(輔助計算!$D:$D, (MATCH(754, 輔助計算!$G$2:$G$801, 0)+1)),IF(INDEX(ERP資料!$G:$G, (MATCH(754, 輔助計算!$G$2:$G$801, 0)+1))&lt;100, IF(INDEX(ERP資料!$G:$G, (MATCH(754, 輔助計算!$G$2:$G$801, 0)+1))&lt;=31,3,IF(INDEX(ERP資料!$G:$G, (MATCH(754, 輔助計算!$G$2:$G$801, 0)+1))&lt;=46.5,2,1)), IF(INDEX(ERP資料!$G:$G, (MATCH(754, 輔助計算!$G$2:$G$801, 0)+1))&lt;=790,3,IF(INDEX(ERP資料!$G:$G, (MATCH(754, 輔助計算!$G$2:$G$801, 0)+1))&lt;=1181,2,1))))=2,TEXT(INDEX(ERP資料!$G:$G, (MATCH(754, 輔助計算!$G$2:$G$801, 0)+1)),"0.##")&amp;"+"&amp;TEXT(INDEX(ERP資料!$G:$G, (MATCH(754, 輔助計算!$G$2:$G$801, 0)+1)),"0.##"),TEXT(INDEX(ERP資料!$G:$G, (MATCH(754, 輔助計算!$G$2:$G$801, 0)+1)),"0.##")&amp;"+"&amp;TEXT(INDEX(ERP資料!$G:$G, (MATCH(754, 輔助計算!$G$2:$G$801, 0)+1)),"0.##")&amp;"+"&amp;TEXT(INDEX(ERP資料!$G:$G, (MATCH(754, 輔助計算!$G$2:$G$801, 0)+1)),"0.##"))))&amp;"-1")&lt;&gt;""),"  ","")&amp;IF(MOD(INDEX(輔助計算!$D:$D, (MATCH(754, 輔助計算!$G$2:$G$801, 0)+1)),IF(INDEX(ERP資料!$G:$G, (MATCH(754, 輔助計算!$G$2:$G$801, 0)+1))&lt;100, IF(INDEX(ERP資料!$G:$G, (MATCH(754, 輔助計算!$G$2:$G$801, 0)+1))&lt;=31,3,IF(INDEX(ERP資料!$G:$G, (MATCH(754, 輔助計算!$G$2:$G$801, 0)+1))&lt;=46.5,2,1)), IF(INDEX(ERP資料!$G:$G, (MATCH(754, 輔助計算!$G$2:$G$801, 0)+1))&lt;=790,3,IF(INDEX(ERP資料!$G:$G, (MATCH(754, 輔助計算!$G$2:$G$801, 0)+1))&lt;=1181,2,1))))=0,"",IF(MOD(INDEX(輔助計算!$D:$D, (MATCH(754, 輔助計算!$G$2:$G$801, 0)+1)),IF(INDEX(ERP資料!$G:$G, (MATCH(754, 輔助計算!$G$2:$G$801, 0)+1))&lt;100, IF(INDEX(ERP資料!$G:$G, (MATCH(754, 輔助計算!$G$2:$G$801, 0)+1))&lt;=31,3,IF(INDEX(ERP資料!$G:$G, (MATCH(754, 輔助計算!$G$2:$G$801, 0)+1))&lt;=46.5,2,1)), IF(INDEX(ERP資料!$G:$G, (MATCH(754, 輔助計算!$G$2:$G$801, 0)+1))&lt;=790,3,IF(INDEX(ERP資料!$G:$G, (MATCH(754, 輔助計算!$G$2:$G$801, 0)+1))&lt;=1181,2,1))))=0,"",IF(MOD(INDEX(輔助計算!$D:$D, (MATCH(754, 輔助計算!$G$2:$G$801, 0)+1)),IF(INDEX(ERP資料!$G:$G, (MATCH(754, 輔助計算!$G$2:$G$801, 0)+1))&lt;100, IF(INDEX(ERP資料!$G:$G, (MATCH(754, 輔助計算!$G$2:$G$801, 0)+1))&lt;=31,3,IF(INDEX(ERP資料!$G:$G, (MATCH(754, 輔助計算!$G$2:$G$801, 0)+1))&lt;=46.5,2,1)), IF(INDEX(ERP資料!$G:$G, (MATCH(754, 輔助計算!$G$2:$G$801, 0)+1))&lt;=790,3,IF(INDEX(ERP資料!$G:$G, (MATCH(754, 輔助計算!$G$2:$G$801, 0)+1))&lt;=1181,2,1))))=1,TEXT(INDEX(ERP資料!$G:$G, (MATCH(754, 輔助計算!$G$2:$G$801, 0)+1)),"0.##"),IF(MOD(INDEX(輔助計算!$D:$D, (MATCH(754, 輔助計算!$G$2:$G$801, 0)+1)),IF(INDEX(ERP資料!$G:$G, (MATCH(754, 輔助計算!$G$2:$G$801, 0)+1))&lt;100, IF(INDEX(ERP資料!$G:$G, (MATCH(754, 輔助計算!$G$2:$G$801, 0)+1))&lt;=31,3,IF(INDEX(ERP資料!$G:$G, (MATCH(754, 輔助計算!$G$2:$G$801, 0)+1))&lt;=46.5,2,1)), IF(INDEX(ERP資料!$G:$G, (MATCH(754, 輔助計算!$G$2:$G$801, 0)+1))&lt;=790,3,IF(INDEX(ERP資料!$G:$G, (MATCH(754, 輔助計算!$G$2:$G$801, 0)+1))&lt;=1181,2,1))))=2,TEXT(INDEX(ERP資料!$G:$G, (MATCH(754, 輔助計算!$G$2:$G$801, 0)+1)),"0.##")&amp;"+"&amp;TEXT(INDEX(ERP資料!$G:$G, (MATCH(754, 輔助計算!$G$2:$G$801, 0)+1)),"0.##"),TEXT(INDEX(ERP資料!$G:$G, (MATCH(754, 輔助計算!$G$2:$G$801, 0)+1)),"0.##")&amp;"+"&amp;TEXT(INDEX(ERP資料!$G:$G, (MATCH(754, 輔助計算!$G$2:$G$801, 0)+1)),"0.##")&amp;"+"&amp;TEXT(INDEX(ERP資料!$G:$G, (MATCH(754, 輔助計算!$G$2:$G$801, 0)+1)),"0.##"))))&amp;"-1")), ""), "")</f>
        <v/>
      </c>
      <c r="K755" s="16" t="n"/>
      <c r="L755" s="14">
        <f>IFERROR(IF(AND(IFERROR(INDEX(ERP資料!$A:$A, (MATCH(754, 輔助計算!$G$2:$G$801, 0)+1)), "")&lt;&gt;"", IFERROR(INDEX(ERP資料!$A:$A, (MATCH(754, 輔助計算!$G$2:$G$801, 0)+1)), "")&lt;&gt;IFERROR(INDEX(ERP資料!$A:$A, MATCH(753, 輔助計算!$G$2:$G$801, 0)+1), "")), INDEX(ERP資料!$B:$B, (MATCH(754, 輔助計算!$G$2:$G$801, 0)+1)), ""), "")</f>
        <v/>
      </c>
      <c r="M755" s="17" t="n"/>
    </row>
    <row r="756">
      <c r="A756" s="10">
        <f>IFERROR(IF(AND(IFERROR(INDEX(ERP資料!$A:$A, (MATCH(755, 輔助計算!$G$2:$G$801, 0)+1)), "")&lt;&gt;"", IFERROR(INDEX(ERP資料!$A:$A, (MATCH(755, 輔助計算!$G$2:$G$801, 0)+1)), "")&lt;&gt;IFERROR(INDEX(ERP資料!$A:$A, MATCH(754, 輔助計算!$G$2:$G$801, 0)+1), "")), IFERROR(INDEX(ERP資料!$A:$A, (MATCH(755, 輔助計算!$G$2:$G$801, 0)+1)), ""), ""), "")</f>
        <v/>
      </c>
      <c r="B756" s="10">
        <f>IFERROR(IF(AND(IFERROR(INDEX(ERP資料!$A:$A, (MATCH(755, 輔助計算!$G$2:$G$801, 0)+1)), "")&lt;&gt;"", IFERROR(INDEX(ERP資料!$A:$A, (MATCH(755, 輔助計算!$G$2:$G$801, 0)+1)), "")&lt;&gt;IFERROR(INDEX(ERP資料!$A:$A, MATCH(754, 輔助計算!$G$2:$G$801, 0)+1), "")), INDEX(ERP資料!$S:$S, (MATCH(755, 輔助計算!$G$2:$G$801, 0)+1)), ""), "")</f>
        <v/>
      </c>
      <c r="C756" s="19">
        <f>IFERROR(IF(AND(IFERROR(INDEX(ERP資料!$A:$A, (MATCH(755, 輔助計算!$G$2:$G$801, 0)+1)), "")&lt;&gt;"", IFERROR(INDEX(ERP資料!$A:$A, (MATCH(755, 輔助計算!$G$2:$G$801, 0)+1)), "")&lt;&gt;IFERROR(INDEX(ERP資料!$A:$A, MATCH(754, 輔助計算!$G$2:$G$801, 0)+1), "")), IFERROR(VLOOKUP(LEFT(INDEX(ERP資料!$S:$S, (MATCH(755, 輔助計算!$G$2:$G$801, 0)+1)), 4), 紙管對照表!$A:$C, 3, FALSE), ""), ""), "")</f>
        <v/>
      </c>
      <c r="D756" s="16" t="n"/>
      <c r="E756" s="10">
        <f>IFERROR(IF(INDEX(ERP資料!$H:$H, (MATCH(755, 輔助計算!$G$2:$G$801, 0)+1))="","",INDEX(ERP資料!$H:$H, (MATCH(755, 輔助計算!$G$2:$G$801, 0)+1))), "")</f>
        <v/>
      </c>
      <c r="F756" s="10">
        <f>IFERROR(IF(INDEX(ERP資料!$E:$E, (MATCH(755, 輔助計算!$G$2:$G$801, 0)+1))="","",TRIM(INDEX(ERP資料!$E:$E, (MATCH(755, 輔助計算!$G$2:$G$801, 0)+1)))), "")</f>
        <v/>
      </c>
      <c r="G756" s="10">
        <f>IFERROR(IF(INDEX(ERP資料!$F:$F, (MATCH(755, 輔助計算!$G$2:$G$801, 0)+1))="","",INDEX(ERP資料!$F:$F, (MATCH(755, 輔助計算!$G$2:$G$801, 0)+1))), "")</f>
        <v/>
      </c>
      <c r="H756" s="10">
        <f>IFERROR(IF(INDEX(ERP資料!$G:$G, (MATCH(755, 輔助計算!$G$2:$G$801, 0)+1))="","",INDEX(ERP資料!$G:$G, (MATCH(755, 輔助計算!$G$2:$G$801, 0)+1))), "")</f>
        <v/>
      </c>
      <c r="I756" s="15">
        <f>IFERROR(INDEX(輔助計算!$D:$D, (MATCH(755, 輔助計算!$G$2:$G$801, 0)+1)), "")</f>
        <v/>
      </c>
      <c r="J756" s="15">
        <f>IFERROR(IF(AND(INDEX(輔助計算!$D:$D, (MATCH(755, 輔助計算!$G$2:$G$801, 0)+1))&lt;&gt;"", INDEX(ERP資料!$G:$G, (MATCH(755, 輔助計算!$G$2:$G$801, 0)+1))&lt;&gt;""), TRIM(IF(INT(INDEX(輔助計算!$D:$D, (MATCH(755, 輔助計算!$G$2:$G$801, 0)+1))/IF(INDEX(ERP資料!$G:$G, (MATCH(755, 輔助計算!$G$2:$G$801, 0)+1))&lt;100, IF(INDEX(ERP資料!$G:$G, (MATCH(755, 輔助計算!$G$2:$G$801, 0)+1))&lt;=31,3,IF(INDEX(ERP資料!$G:$G, (MATCH(755, 輔助計算!$G$2:$G$801, 0)+1))&lt;=46.5,2,1)), IF(INDEX(ERP資料!$G:$G, (MATCH(755, 輔助計算!$G$2:$G$801, 0)+1))&lt;=790,3,IF(INDEX(ERP資料!$G:$G, (MATCH(755, 輔助計算!$G$2:$G$801, 0)+1))&lt;=1181,2,1))))&gt;0, IF(IF(INDEX(ERP資料!$G:$G, (MATCH(755, 輔助計算!$G$2:$G$801, 0)+1))&lt;100, IF(INDEX(ERP資料!$G:$G, (MATCH(755, 輔助計算!$G$2:$G$801, 0)+1))&lt;=31,3,IF(INDEX(ERP資料!$G:$G, (MATCH(755, 輔助計算!$G$2:$G$801, 0)+1))&lt;=46.5,2,1)), IF(INDEX(ERP資料!$G:$G, (MATCH(755, 輔助計算!$G$2:$G$801, 0)+1))&lt;=790,3,IF(INDEX(ERP資料!$G:$G, (MATCH(755, 輔助計算!$G$2:$G$801, 0)+1))&lt;=1181,2,1)))=1,TEXT(INDEX(ERP資料!$G:$G, (MATCH(755, 輔助計算!$G$2:$G$801, 0)+1)),"0.##"),IF(IF(INDEX(ERP資料!$G:$G, (MATCH(755, 輔助計算!$G$2:$G$801, 0)+1))&lt;100, IF(INDEX(ERP資料!$G:$G, (MATCH(755, 輔助計算!$G$2:$G$801, 0)+1))&lt;=31,3,IF(INDEX(ERP資料!$G:$G, (MATCH(755, 輔助計算!$G$2:$G$801, 0)+1))&lt;=46.5,2,1)), IF(INDEX(ERP資料!$G:$G, (MATCH(755, 輔助計算!$G$2:$G$801, 0)+1))&lt;=790,3,IF(INDEX(ERP資料!$G:$G, (MATCH(755, 輔助計算!$G$2:$G$801, 0)+1))&lt;=1181,2,1)))=2,TEXT(INDEX(ERP資料!$G:$G, (MATCH(755, 輔助計算!$G$2:$G$801, 0)+1)),"0.##")&amp;"+"&amp;TEXT(INDEX(ERP資料!$G:$G, (MATCH(755, 輔助計算!$G$2:$G$801, 0)+1)),"0.##"),TEXT(INDEX(ERP資料!$G:$G, (MATCH(755, 輔助計算!$G$2:$G$801, 0)+1)),"0.##")&amp;"+"&amp;TEXT(INDEX(ERP資料!$G:$G, (MATCH(755, 輔助計算!$G$2:$G$801, 0)+1)),"0.##")&amp;"+"&amp;TEXT(INDEX(ERP資料!$G:$G, (MATCH(755, 輔助計算!$G$2:$G$801, 0)+1)),"0.##")))&amp;"-"&amp;INT(INDEX(輔助計算!$D:$D, (MATCH(755, 輔助計算!$G$2:$G$801, 0)+1))/IF(INDEX(ERP資料!$G:$G, (MATCH(755, 輔助計算!$G$2:$G$801, 0)+1))&lt;100, IF(INDEX(ERP資料!$G:$G, (MATCH(755, 輔助計算!$G$2:$G$801, 0)+1))&lt;=31,3,IF(INDEX(ERP資料!$G:$G, (MATCH(755, 輔助計算!$G$2:$G$801, 0)+1))&lt;=46.5,2,1)), IF(INDEX(ERP資料!$G:$G, (MATCH(755, 輔助計算!$G$2:$G$801, 0)+1))&lt;=790,3,IF(INDEX(ERP資料!$G:$G, (MATCH(755, 輔助計算!$G$2:$G$801, 0)+1))&lt;=1181,2,1)))), "")&amp;IF(AND(IF(INT(INDEX(輔助計算!$D:$D, (MATCH(755, 輔助計算!$G$2:$G$801, 0)+1))/IF(INDEX(ERP資料!$G:$G, (MATCH(755, 輔助計算!$G$2:$G$801, 0)+1))&lt;100, IF(INDEX(ERP資料!$G:$G, (MATCH(755, 輔助計算!$G$2:$G$801, 0)+1))&lt;=31,3,IF(INDEX(ERP資料!$G:$G, (MATCH(755, 輔助計算!$G$2:$G$801, 0)+1))&lt;=46.5,2,1)), IF(INDEX(ERP資料!$G:$G, (MATCH(755, 輔助計算!$G$2:$G$801, 0)+1))&lt;=790,3,IF(INDEX(ERP資料!$G:$G, (MATCH(755, 輔助計算!$G$2:$G$801, 0)+1))&lt;=1181,2,1))))&gt;0, IF(IF(INDEX(ERP資料!$G:$G, (MATCH(755, 輔助計算!$G$2:$G$801, 0)+1))&lt;100, IF(INDEX(ERP資料!$G:$G, (MATCH(755, 輔助計算!$G$2:$G$801, 0)+1))&lt;=31,3,IF(INDEX(ERP資料!$G:$G, (MATCH(755, 輔助計算!$G$2:$G$801, 0)+1))&lt;=46.5,2,1)), IF(INDEX(ERP資料!$G:$G, (MATCH(755, 輔助計算!$G$2:$G$801, 0)+1))&lt;=790,3,IF(INDEX(ERP資料!$G:$G, (MATCH(755, 輔助計算!$G$2:$G$801, 0)+1))&lt;=1181,2,1)))=1,TEXT(INDEX(ERP資料!$G:$G, (MATCH(755, 輔助計算!$G$2:$G$801, 0)+1)),"0.##"),IF(IF(INDEX(ERP資料!$G:$G, (MATCH(755, 輔助計算!$G$2:$G$801, 0)+1))&lt;100, IF(INDEX(ERP資料!$G:$G, (MATCH(755, 輔助計算!$G$2:$G$801, 0)+1))&lt;=31,3,IF(INDEX(ERP資料!$G:$G, (MATCH(755, 輔助計算!$G$2:$G$801, 0)+1))&lt;=46.5,2,1)), IF(INDEX(ERP資料!$G:$G, (MATCH(755, 輔助計算!$G$2:$G$801, 0)+1))&lt;=790,3,IF(INDEX(ERP資料!$G:$G, (MATCH(755, 輔助計算!$G$2:$G$801, 0)+1))&lt;=1181,2,1)))=2,TEXT(INDEX(ERP資料!$G:$G, (MATCH(755, 輔助計算!$G$2:$G$801, 0)+1)),"0.##")&amp;"+"&amp;TEXT(INDEX(ERP資料!$G:$G, (MATCH(755, 輔助計算!$G$2:$G$801, 0)+1)),"0.##"),TEXT(INDEX(ERP資料!$G:$G, (MATCH(755, 輔助計算!$G$2:$G$801, 0)+1)),"0.##")&amp;"+"&amp;TEXT(INDEX(ERP資料!$G:$G, (MATCH(755, 輔助計算!$G$2:$G$801, 0)+1)),"0.##")&amp;"+"&amp;TEXT(INDEX(ERP資料!$G:$G, (MATCH(755, 輔助計算!$G$2:$G$801, 0)+1)),"0.##")))&amp;"-"&amp;INT(INDEX(輔助計算!$D:$D, (MATCH(755, 輔助計算!$G$2:$G$801, 0)+1))/IF(INDEX(ERP資料!$G:$G, (MATCH(755, 輔助計算!$G$2:$G$801, 0)+1))&lt;100, IF(INDEX(ERP資料!$G:$G, (MATCH(755, 輔助計算!$G$2:$G$801, 0)+1))&lt;=31,3,IF(INDEX(ERP資料!$G:$G, (MATCH(755, 輔助計算!$G$2:$G$801, 0)+1))&lt;=46.5,2,1)), IF(INDEX(ERP資料!$G:$G, (MATCH(755, 輔助計算!$G$2:$G$801, 0)+1))&lt;=790,3,IF(INDEX(ERP資料!$G:$G, (MATCH(755, 輔助計算!$G$2:$G$801, 0)+1))&lt;=1181,2,1)))), "")&lt;&gt;"",IF(MOD(INDEX(輔助計算!$D:$D, (MATCH(755, 輔助計算!$G$2:$G$801, 0)+1)),IF(INDEX(ERP資料!$G:$G, (MATCH(755, 輔助計算!$G$2:$G$801, 0)+1))&lt;100, IF(INDEX(ERP資料!$G:$G, (MATCH(755, 輔助計算!$G$2:$G$801, 0)+1))&lt;=31,3,IF(INDEX(ERP資料!$G:$G, (MATCH(755, 輔助計算!$G$2:$G$801, 0)+1))&lt;=46.5,2,1)), IF(INDEX(ERP資料!$G:$G, (MATCH(755, 輔助計算!$G$2:$G$801, 0)+1))&lt;=790,3,IF(INDEX(ERP資料!$G:$G, (MATCH(755, 輔助計算!$G$2:$G$801, 0)+1))&lt;=1181,2,1))))=0,"",IF(MOD(INDEX(輔助計算!$D:$D, (MATCH(755, 輔助計算!$G$2:$G$801, 0)+1)),IF(INDEX(ERP資料!$G:$G, (MATCH(755, 輔助計算!$G$2:$G$801, 0)+1))&lt;100, IF(INDEX(ERP資料!$G:$G, (MATCH(755, 輔助計算!$G$2:$G$801, 0)+1))&lt;=31,3,IF(INDEX(ERP資料!$G:$G, (MATCH(755, 輔助計算!$G$2:$G$801, 0)+1))&lt;=46.5,2,1)), IF(INDEX(ERP資料!$G:$G, (MATCH(755, 輔助計算!$G$2:$G$801, 0)+1))&lt;=790,3,IF(INDEX(ERP資料!$G:$G, (MATCH(755, 輔助計算!$G$2:$G$801, 0)+1))&lt;=1181,2,1))))=0,"",IF(MOD(INDEX(輔助計算!$D:$D, (MATCH(755, 輔助計算!$G$2:$G$801, 0)+1)),IF(INDEX(ERP資料!$G:$G, (MATCH(755, 輔助計算!$G$2:$G$801, 0)+1))&lt;100, IF(INDEX(ERP資料!$G:$G, (MATCH(755, 輔助計算!$G$2:$G$801, 0)+1))&lt;=31,3,IF(INDEX(ERP資料!$G:$G, (MATCH(755, 輔助計算!$G$2:$G$801, 0)+1))&lt;=46.5,2,1)), IF(INDEX(ERP資料!$G:$G, (MATCH(755, 輔助計算!$G$2:$G$801, 0)+1))&lt;=790,3,IF(INDEX(ERP資料!$G:$G, (MATCH(755, 輔助計算!$G$2:$G$801, 0)+1))&lt;=1181,2,1))))=1,TEXT(INDEX(ERP資料!$G:$G, (MATCH(755, 輔助計算!$G$2:$G$801, 0)+1)),"0.##"),IF(MOD(INDEX(輔助計算!$D:$D, (MATCH(755, 輔助計算!$G$2:$G$801, 0)+1)),IF(INDEX(ERP資料!$G:$G, (MATCH(755, 輔助計算!$G$2:$G$801, 0)+1))&lt;100, IF(INDEX(ERP資料!$G:$G, (MATCH(755, 輔助計算!$G$2:$G$801, 0)+1))&lt;=31,3,IF(INDEX(ERP資料!$G:$G, (MATCH(755, 輔助計算!$G$2:$G$801, 0)+1))&lt;=46.5,2,1)), IF(INDEX(ERP資料!$G:$G, (MATCH(755, 輔助計算!$G$2:$G$801, 0)+1))&lt;=790,3,IF(INDEX(ERP資料!$G:$G, (MATCH(755, 輔助計算!$G$2:$G$801, 0)+1))&lt;=1181,2,1))))=2,TEXT(INDEX(ERP資料!$G:$G, (MATCH(755, 輔助計算!$G$2:$G$801, 0)+1)),"0.##")&amp;"+"&amp;TEXT(INDEX(ERP資料!$G:$G, (MATCH(755, 輔助計算!$G$2:$G$801, 0)+1)),"0.##"),TEXT(INDEX(ERP資料!$G:$G, (MATCH(755, 輔助計算!$G$2:$G$801, 0)+1)),"0.##")&amp;"+"&amp;TEXT(INDEX(ERP資料!$G:$G, (MATCH(755, 輔助計算!$G$2:$G$801, 0)+1)),"0.##")&amp;"+"&amp;TEXT(INDEX(ERP資料!$G:$G, (MATCH(755, 輔助計算!$G$2:$G$801, 0)+1)),"0.##"))))&amp;"-1")&lt;&gt;""),"  ","")&amp;IF(MOD(INDEX(輔助計算!$D:$D, (MATCH(755, 輔助計算!$G$2:$G$801, 0)+1)),IF(INDEX(ERP資料!$G:$G, (MATCH(755, 輔助計算!$G$2:$G$801, 0)+1))&lt;100, IF(INDEX(ERP資料!$G:$G, (MATCH(755, 輔助計算!$G$2:$G$801, 0)+1))&lt;=31,3,IF(INDEX(ERP資料!$G:$G, (MATCH(755, 輔助計算!$G$2:$G$801, 0)+1))&lt;=46.5,2,1)), IF(INDEX(ERP資料!$G:$G, (MATCH(755, 輔助計算!$G$2:$G$801, 0)+1))&lt;=790,3,IF(INDEX(ERP資料!$G:$G, (MATCH(755, 輔助計算!$G$2:$G$801, 0)+1))&lt;=1181,2,1))))=0,"",IF(MOD(INDEX(輔助計算!$D:$D, (MATCH(755, 輔助計算!$G$2:$G$801, 0)+1)),IF(INDEX(ERP資料!$G:$G, (MATCH(755, 輔助計算!$G$2:$G$801, 0)+1))&lt;100, IF(INDEX(ERP資料!$G:$G, (MATCH(755, 輔助計算!$G$2:$G$801, 0)+1))&lt;=31,3,IF(INDEX(ERP資料!$G:$G, (MATCH(755, 輔助計算!$G$2:$G$801, 0)+1))&lt;=46.5,2,1)), IF(INDEX(ERP資料!$G:$G, (MATCH(755, 輔助計算!$G$2:$G$801, 0)+1))&lt;=790,3,IF(INDEX(ERP資料!$G:$G, (MATCH(755, 輔助計算!$G$2:$G$801, 0)+1))&lt;=1181,2,1))))=0,"",IF(MOD(INDEX(輔助計算!$D:$D, (MATCH(755, 輔助計算!$G$2:$G$801, 0)+1)),IF(INDEX(ERP資料!$G:$G, (MATCH(755, 輔助計算!$G$2:$G$801, 0)+1))&lt;100, IF(INDEX(ERP資料!$G:$G, (MATCH(755, 輔助計算!$G$2:$G$801, 0)+1))&lt;=31,3,IF(INDEX(ERP資料!$G:$G, (MATCH(755, 輔助計算!$G$2:$G$801, 0)+1))&lt;=46.5,2,1)), IF(INDEX(ERP資料!$G:$G, (MATCH(755, 輔助計算!$G$2:$G$801, 0)+1))&lt;=790,3,IF(INDEX(ERP資料!$G:$G, (MATCH(755, 輔助計算!$G$2:$G$801, 0)+1))&lt;=1181,2,1))))=1,TEXT(INDEX(ERP資料!$G:$G, (MATCH(755, 輔助計算!$G$2:$G$801, 0)+1)),"0.##"),IF(MOD(INDEX(輔助計算!$D:$D, (MATCH(755, 輔助計算!$G$2:$G$801, 0)+1)),IF(INDEX(ERP資料!$G:$G, (MATCH(755, 輔助計算!$G$2:$G$801, 0)+1))&lt;100, IF(INDEX(ERP資料!$G:$G, (MATCH(755, 輔助計算!$G$2:$G$801, 0)+1))&lt;=31,3,IF(INDEX(ERP資料!$G:$G, (MATCH(755, 輔助計算!$G$2:$G$801, 0)+1))&lt;=46.5,2,1)), IF(INDEX(ERP資料!$G:$G, (MATCH(755, 輔助計算!$G$2:$G$801, 0)+1))&lt;=790,3,IF(INDEX(ERP資料!$G:$G, (MATCH(755, 輔助計算!$G$2:$G$801, 0)+1))&lt;=1181,2,1))))=2,TEXT(INDEX(ERP資料!$G:$G, (MATCH(755, 輔助計算!$G$2:$G$801, 0)+1)),"0.##")&amp;"+"&amp;TEXT(INDEX(ERP資料!$G:$G, (MATCH(755, 輔助計算!$G$2:$G$801, 0)+1)),"0.##"),TEXT(INDEX(ERP資料!$G:$G, (MATCH(755, 輔助計算!$G$2:$G$801, 0)+1)),"0.##")&amp;"+"&amp;TEXT(INDEX(ERP資料!$G:$G, (MATCH(755, 輔助計算!$G$2:$G$801, 0)+1)),"0.##")&amp;"+"&amp;TEXT(INDEX(ERP資料!$G:$G, (MATCH(755, 輔助計算!$G$2:$G$801, 0)+1)),"0.##"))))&amp;"-1")), ""), "")</f>
        <v/>
      </c>
      <c r="K756" s="16" t="n"/>
      <c r="L756" s="14">
        <f>IFERROR(IF(AND(IFERROR(INDEX(ERP資料!$A:$A, (MATCH(755, 輔助計算!$G$2:$G$801, 0)+1)), "")&lt;&gt;"", IFERROR(INDEX(ERP資料!$A:$A, (MATCH(755, 輔助計算!$G$2:$G$801, 0)+1)), "")&lt;&gt;IFERROR(INDEX(ERP資料!$A:$A, MATCH(754, 輔助計算!$G$2:$G$801, 0)+1), "")), INDEX(ERP資料!$B:$B, (MATCH(755, 輔助計算!$G$2:$G$801, 0)+1)), ""), "")</f>
        <v/>
      </c>
      <c r="M756" s="17" t="n"/>
    </row>
    <row r="757">
      <c r="A757" s="10">
        <f>IFERROR(IF(AND(IFERROR(INDEX(ERP資料!$A:$A, (MATCH(756, 輔助計算!$G$2:$G$801, 0)+1)), "")&lt;&gt;"", IFERROR(INDEX(ERP資料!$A:$A, (MATCH(756, 輔助計算!$G$2:$G$801, 0)+1)), "")&lt;&gt;IFERROR(INDEX(ERP資料!$A:$A, MATCH(755, 輔助計算!$G$2:$G$801, 0)+1), "")), IFERROR(INDEX(ERP資料!$A:$A, (MATCH(756, 輔助計算!$G$2:$G$801, 0)+1)), ""), ""), "")</f>
        <v/>
      </c>
      <c r="B757" s="10">
        <f>IFERROR(IF(AND(IFERROR(INDEX(ERP資料!$A:$A, (MATCH(756, 輔助計算!$G$2:$G$801, 0)+1)), "")&lt;&gt;"", IFERROR(INDEX(ERP資料!$A:$A, (MATCH(756, 輔助計算!$G$2:$G$801, 0)+1)), "")&lt;&gt;IFERROR(INDEX(ERP資料!$A:$A, MATCH(755, 輔助計算!$G$2:$G$801, 0)+1), "")), INDEX(ERP資料!$S:$S, (MATCH(756, 輔助計算!$G$2:$G$801, 0)+1)), ""), "")</f>
        <v/>
      </c>
      <c r="C757" s="19">
        <f>IFERROR(IF(AND(IFERROR(INDEX(ERP資料!$A:$A, (MATCH(756, 輔助計算!$G$2:$G$801, 0)+1)), "")&lt;&gt;"", IFERROR(INDEX(ERP資料!$A:$A, (MATCH(756, 輔助計算!$G$2:$G$801, 0)+1)), "")&lt;&gt;IFERROR(INDEX(ERP資料!$A:$A, MATCH(755, 輔助計算!$G$2:$G$801, 0)+1), "")), IFERROR(VLOOKUP(LEFT(INDEX(ERP資料!$S:$S, (MATCH(756, 輔助計算!$G$2:$G$801, 0)+1)), 4), 紙管對照表!$A:$C, 3, FALSE), ""), ""), "")</f>
        <v/>
      </c>
      <c r="D757" s="16" t="n"/>
      <c r="E757" s="10">
        <f>IFERROR(IF(INDEX(ERP資料!$H:$H, (MATCH(756, 輔助計算!$G$2:$G$801, 0)+1))="","",INDEX(ERP資料!$H:$H, (MATCH(756, 輔助計算!$G$2:$G$801, 0)+1))), "")</f>
        <v/>
      </c>
      <c r="F757" s="10">
        <f>IFERROR(IF(INDEX(ERP資料!$E:$E, (MATCH(756, 輔助計算!$G$2:$G$801, 0)+1))="","",TRIM(INDEX(ERP資料!$E:$E, (MATCH(756, 輔助計算!$G$2:$G$801, 0)+1)))), "")</f>
        <v/>
      </c>
      <c r="G757" s="10">
        <f>IFERROR(IF(INDEX(ERP資料!$F:$F, (MATCH(756, 輔助計算!$G$2:$G$801, 0)+1))="","",INDEX(ERP資料!$F:$F, (MATCH(756, 輔助計算!$G$2:$G$801, 0)+1))), "")</f>
        <v/>
      </c>
      <c r="H757" s="10">
        <f>IFERROR(IF(INDEX(ERP資料!$G:$G, (MATCH(756, 輔助計算!$G$2:$G$801, 0)+1))="","",INDEX(ERP資料!$G:$G, (MATCH(756, 輔助計算!$G$2:$G$801, 0)+1))), "")</f>
        <v/>
      </c>
      <c r="I757" s="15">
        <f>IFERROR(INDEX(輔助計算!$D:$D, (MATCH(756, 輔助計算!$G$2:$G$801, 0)+1)), "")</f>
        <v/>
      </c>
      <c r="J757" s="15">
        <f>IFERROR(IF(AND(INDEX(輔助計算!$D:$D, (MATCH(756, 輔助計算!$G$2:$G$801, 0)+1))&lt;&gt;"", INDEX(ERP資料!$G:$G, (MATCH(756, 輔助計算!$G$2:$G$801, 0)+1))&lt;&gt;""), TRIM(IF(INT(INDEX(輔助計算!$D:$D, (MATCH(756, 輔助計算!$G$2:$G$801, 0)+1))/IF(INDEX(ERP資料!$G:$G, (MATCH(756, 輔助計算!$G$2:$G$801, 0)+1))&lt;100, IF(INDEX(ERP資料!$G:$G, (MATCH(756, 輔助計算!$G$2:$G$801, 0)+1))&lt;=31,3,IF(INDEX(ERP資料!$G:$G, (MATCH(756, 輔助計算!$G$2:$G$801, 0)+1))&lt;=46.5,2,1)), IF(INDEX(ERP資料!$G:$G, (MATCH(756, 輔助計算!$G$2:$G$801, 0)+1))&lt;=790,3,IF(INDEX(ERP資料!$G:$G, (MATCH(756, 輔助計算!$G$2:$G$801, 0)+1))&lt;=1181,2,1))))&gt;0, IF(IF(INDEX(ERP資料!$G:$G, (MATCH(756, 輔助計算!$G$2:$G$801, 0)+1))&lt;100, IF(INDEX(ERP資料!$G:$G, (MATCH(756, 輔助計算!$G$2:$G$801, 0)+1))&lt;=31,3,IF(INDEX(ERP資料!$G:$G, (MATCH(756, 輔助計算!$G$2:$G$801, 0)+1))&lt;=46.5,2,1)), IF(INDEX(ERP資料!$G:$G, (MATCH(756, 輔助計算!$G$2:$G$801, 0)+1))&lt;=790,3,IF(INDEX(ERP資料!$G:$G, (MATCH(756, 輔助計算!$G$2:$G$801, 0)+1))&lt;=1181,2,1)))=1,TEXT(INDEX(ERP資料!$G:$G, (MATCH(756, 輔助計算!$G$2:$G$801, 0)+1)),"0.##"),IF(IF(INDEX(ERP資料!$G:$G, (MATCH(756, 輔助計算!$G$2:$G$801, 0)+1))&lt;100, IF(INDEX(ERP資料!$G:$G, (MATCH(756, 輔助計算!$G$2:$G$801, 0)+1))&lt;=31,3,IF(INDEX(ERP資料!$G:$G, (MATCH(756, 輔助計算!$G$2:$G$801, 0)+1))&lt;=46.5,2,1)), IF(INDEX(ERP資料!$G:$G, (MATCH(756, 輔助計算!$G$2:$G$801, 0)+1))&lt;=790,3,IF(INDEX(ERP資料!$G:$G, (MATCH(756, 輔助計算!$G$2:$G$801, 0)+1))&lt;=1181,2,1)))=2,TEXT(INDEX(ERP資料!$G:$G, (MATCH(756, 輔助計算!$G$2:$G$801, 0)+1)),"0.##")&amp;"+"&amp;TEXT(INDEX(ERP資料!$G:$G, (MATCH(756, 輔助計算!$G$2:$G$801, 0)+1)),"0.##"),TEXT(INDEX(ERP資料!$G:$G, (MATCH(756, 輔助計算!$G$2:$G$801, 0)+1)),"0.##")&amp;"+"&amp;TEXT(INDEX(ERP資料!$G:$G, (MATCH(756, 輔助計算!$G$2:$G$801, 0)+1)),"0.##")&amp;"+"&amp;TEXT(INDEX(ERP資料!$G:$G, (MATCH(756, 輔助計算!$G$2:$G$801, 0)+1)),"0.##")))&amp;"-"&amp;INT(INDEX(輔助計算!$D:$D, (MATCH(756, 輔助計算!$G$2:$G$801, 0)+1))/IF(INDEX(ERP資料!$G:$G, (MATCH(756, 輔助計算!$G$2:$G$801, 0)+1))&lt;100, IF(INDEX(ERP資料!$G:$G, (MATCH(756, 輔助計算!$G$2:$G$801, 0)+1))&lt;=31,3,IF(INDEX(ERP資料!$G:$G, (MATCH(756, 輔助計算!$G$2:$G$801, 0)+1))&lt;=46.5,2,1)), IF(INDEX(ERP資料!$G:$G, (MATCH(756, 輔助計算!$G$2:$G$801, 0)+1))&lt;=790,3,IF(INDEX(ERP資料!$G:$G, (MATCH(756, 輔助計算!$G$2:$G$801, 0)+1))&lt;=1181,2,1)))), "")&amp;IF(AND(IF(INT(INDEX(輔助計算!$D:$D, (MATCH(756, 輔助計算!$G$2:$G$801, 0)+1))/IF(INDEX(ERP資料!$G:$G, (MATCH(756, 輔助計算!$G$2:$G$801, 0)+1))&lt;100, IF(INDEX(ERP資料!$G:$G, (MATCH(756, 輔助計算!$G$2:$G$801, 0)+1))&lt;=31,3,IF(INDEX(ERP資料!$G:$G, (MATCH(756, 輔助計算!$G$2:$G$801, 0)+1))&lt;=46.5,2,1)), IF(INDEX(ERP資料!$G:$G, (MATCH(756, 輔助計算!$G$2:$G$801, 0)+1))&lt;=790,3,IF(INDEX(ERP資料!$G:$G, (MATCH(756, 輔助計算!$G$2:$G$801, 0)+1))&lt;=1181,2,1))))&gt;0, IF(IF(INDEX(ERP資料!$G:$G, (MATCH(756, 輔助計算!$G$2:$G$801, 0)+1))&lt;100, IF(INDEX(ERP資料!$G:$G, (MATCH(756, 輔助計算!$G$2:$G$801, 0)+1))&lt;=31,3,IF(INDEX(ERP資料!$G:$G, (MATCH(756, 輔助計算!$G$2:$G$801, 0)+1))&lt;=46.5,2,1)), IF(INDEX(ERP資料!$G:$G, (MATCH(756, 輔助計算!$G$2:$G$801, 0)+1))&lt;=790,3,IF(INDEX(ERP資料!$G:$G, (MATCH(756, 輔助計算!$G$2:$G$801, 0)+1))&lt;=1181,2,1)))=1,TEXT(INDEX(ERP資料!$G:$G, (MATCH(756, 輔助計算!$G$2:$G$801, 0)+1)),"0.##"),IF(IF(INDEX(ERP資料!$G:$G, (MATCH(756, 輔助計算!$G$2:$G$801, 0)+1))&lt;100, IF(INDEX(ERP資料!$G:$G, (MATCH(756, 輔助計算!$G$2:$G$801, 0)+1))&lt;=31,3,IF(INDEX(ERP資料!$G:$G, (MATCH(756, 輔助計算!$G$2:$G$801, 0)+1))&lt;=46.5,2,1)), IF(INDEX(ERP資料!$G:$G, (MATCH(756, 輔助計算!$G$2:$G$801, 0)+1))&lt;=790,3,IF(INDEX(ERP資料!$G:$G, (MATCH(756, 輔助計算!$G$2:$G$801, 0)+1))&lt;=1181,2,1)))=2,TEXT(INDEX(ERP資料!$G:$G, (MATCH(756, 輔助計算!$G$2:$G$801, 0)+1)),"0.##")&amp;"+"&amp;TEXT(INDEX(ERP資料!$G:$G, (MATCH(756, 輔助計算!$G$2:$G$801, 0)+1)),"0.##"),TEXT(INDEX(ERP資料!$G:$G, (MATCH(756, 輔助計算!$G$2:$G$801, 0)+1)),"0.##")&amp;"+"&amp;TEXT(INDEX(ERP資料!$G:$G, (MATCH(756, 輔助計算!$G$2:$G$801, 0)+1)),"0.##")&amp;"+"&amp;TEXT(INDEX(ERP資料!$G:$G, (MATCH(756, 輔助計算!$G$2:$G$801, 0)+1)),"0.##")))&amp;"-"&amp;INT(INDEX(輔助計算!$D:$D, (MATCH(756, 輔助計算!$G$2:$G$801, 0)+1))/IF(INDEX(ERP資料!$G:$G, (MATCH(756, 輔助計算!$G$2:$G$801, 0)+1))&lt;100, IF(INDEX(ERP資料!$G:$G, (MATCH(756, 輔助計算!$G$2:$G$801, 0)+1))&lt;=31,3,IF(INDEX(ERP資料!$G:$G, (MATCH(756, 輔助計算!$G$2:$G$801, 0)+1))&lt;=46.5,2,1)), IF(INDEX(ERP資料!$G:$G, (MATCH(756, 輔助計算!$G$2:$G$801, 0)+1))&lt;=790,3,IF(INDEX(ERP資料!$G:$G, (MATCH(756, 輔助計算!$G$2:$G$801, 0)+1))&lt;=1181,2,1)))), "")&lt;&gt;"",IF(MOD(INDEX(輔助計算!$D:$D, (MATCH(756, 輔助計算!$G$2:$G$801, 0)+1)),IF(INDEX(ERP資料!$G:$G, (MATCH(756, 輔助計算!$G$2:$G$801, 0)+1))&lt;100, IF(INDEX(ERP資料!$G:$G, (MATCH(756, 輔助計算!$G$2:$G$801, 0)+1))&lt;=31,3,IF(INDEX(ERP資料!$G:$G, (MATCH(756, 輔助計算!$G$2:$G$801, 0)+1))&lt;=46.5,2,1)), IF(INDEX(ERP資料!$G:$G, (MATCH(756, 輔助計算!$G$2:$G$801, 0)+1))&lt;=790,3,IF(INDEX(ERP資料!$G:$G, (MATCH(756, 輔助計算!$G$2:$G$801, 0)+1))&lt;=1181,2,1))))=0,"",IF(MOD(INDEX(輔助計算!$D:$D, (MATCH(756, 輔助計算!$G$2:$G$801, 0)+1)),IF(INDEX(ERP資料!$G:$G, (MATCH(756, 輔助計算!$G$2:$G$801, 0)+1))&lt;100, IF(INDEX(ERP資料!$G:$G, (MATCH(756, 輔助計算!$G$2:$G$801, 0)+1))&lt;=31,3,IF(INDEX(ERP資料!$G:$G, (MATCH(756, 輔助計算!$G$2:$G$801, 0)+1))&lt;=46.5,2,1)), IF(INDEX(ERP資料!$G:$G, (MATCH(756, 輔助計算!$G$2:$G$801, 0)+1))&lt;=790,3,IF(INDEX(ERP資料!$G:$G, (MATCH(756, 輔助計算!$G$2:$G$801, 0)+1))&lt;=1181,2,1))))=0,"",IF(MOD(INDEX(輔助計算!$D:$D, (MATCH(756, 輔助計算!$G$2:$G$801, 0)+1)),IF(INDEX(ERP資料!$G:$G, (MATCH(756, 輔助計算!$G$2:$G$801, 0)+1))&lt;100, IF(INDEX(ERP資料!$G:$G, (MATCH(756, 輔助計算!$G$2:$G$801, 0)+1))&lt;=31,3,IF(INDEX(ERP資料!$G:$G, (MATCH(756, 輔助計算!$G$2:$G$801, 0)+1))&lt;=46.5,2,1)), IF(INDEX(ERP資料!$G:$G, (MATCH(756, 輔助計算!$G$2:$G$801, 0)+1))&lt;=790,3,IF(INDEX(ERP資料!$G:$G, (MATCH(756, 輔助計算!$G$2:$G$801, 0)+1))&lt;=1181,2,1))))=1,TEXT(INDEX(ERP資料!$G:$G, (MATCH(756, 輔助計算!$G$2:$G$801, 0)+1)),"0.##"),IF(MOD(INDEX(輔助計算!$D:$D, (MATCH(756, 輔助計算!$G$2:$G$801, 0)+1)),IF(INDEX(ERP資料!$G:$G, (MATCH(756, 輔助計算!$G$2:$G$801, 0)+1))&lt;100, IF(INDEX(ERP資料!$G:$G, (MATCH(756, 輔助計算!$G$2:$G$801, 0)+1))&lt;=31,3,IF(INDEX(ERP資料!$G:$G, (MATCH(756, 輔助計算!$G$2:$G$801, 0)+1))&lt;=46.5,2,1)), IF(INDEX(ERP資料!$G:$G, (MATCH(756, 輔助計算!$G$2:$G$801, 0)+1))&lt;=790,3,IF(INDEX(ERP資料!$G:$G, (MATCH(756, 輔助計算!$G$2:$G$801, 0)+1))&lt;=1181,2,1))))=2,TEXT(INDEX(ERP資料!$G:$G, (MATCH(756, 輔助計算!$G$2:$G$801, 0)+1)),"0.##")&amp;"+"&amp;TEXT(INDEX(ERP資料!$G:$G, (MATCH(756, 輔助計算!$G$2:$G$801, 0)+1)),"0.##"),TEXT(INDEX(ERP資料!$G:$G, (MATCH(756, 輔助計算!$G$2:$G$801, 0)+1)),"0.##")&amp;"+"&amp;TEXT(INDEX(ERP資料!$G:$G, (MATCH(756, 輔助計算!$G$2:$G$801, 0)+1)),"0.##")&amp;"+"&amp;TEXT(INDEX(ERP資料!$G:$G, (MATCH(756, 輔助計算!$G$2:$G$801, 0)+1)),"0.##"))))&amp;"-1")&lt;&gt;""),"  ","")&amp;IF(MOD(INDEX(輔助計算!$D:$D, (MATCH(756, 輔助計算!$G$2:$G$801, 0)+1)),IF(INDEX(ERP資料!$G:$G, (MATCH(756, 輔助計算!$G$2:$G$801, 0)+1))&lt;100, IF(INDEX(ERP資料!$G:$G, (MATCH(756, 輔助計算!$G$2:$G$801, 0)+1))&lt;=31,3,IF(INDEX(ERP資料!$G:$G, (MATCH(756, 輔助計算!$G$2:$G$801, 0)+1))&lt;=46.5,2,1)), IF(INDEX(ERP資料!$G:$G, (MATCH(756, 輔助計算!$G$2:$G$801, 0)+1))&lt;=790,3,IF(INDEX(ERP資料!$G:$G, (MATCH(756, 輔助計算!$G$2:$G$801, 0)+1))&lt;=1181,2,1))))=0,"",IF(MOD(INDEX(輔助計算!$D:$D, (MATCH(756, 輔助計算!$G$2:$G$801, 0)+1)),IF(INDEX(ERP資料!$G:$G, (MATCH(756, 輔助計算!$G$2:$G$801, 0)+1))&lt;100, IF(INDEX(ERP資料!$G:$G, (MATCH(756, 輔助計算!$G$2:$G$801, 0)+1))&lt;=31,3,IF(INDEX(ERP資料!$G:$G, (MATCH(756, 輔助計算!$G$2:$G$801, 0)+1))&lt;=46.5,2,1)), IF(INDEX(ERP資料!$G:$G, (MATCH(756, 輔助計算!$G$2:$G$801, 0)+1))&lt;=790,3,IF(INDEX(ERP資料!$G:$G, (MATCH(756, 輔助計算!$G$2:$G$801, 0)+1))&lt;=1181,2,1))))=0,"",IF(MOD(INDEX(輔助計算!$D:$D, (MATCH(756, 輔助計算!$G$2:$G$801, 0)+1)),IF(INDEX(ERP資料!$G:$G, (MATCH(756, 輔助計算!$G$2:$G$801, 0)+1))&lt;100, IF(INDEX(ERP資料!$G:$G, (MATCH(756, 輔助計算!$G$2:$G$801, 0)+1))&lt;=31,3,IF(INDEX(ERP資料!$G:$G, (MATCH(756, 輔助計算!$G$2:$G$801, 0)+1))&lt;=46.5,2,1)), IF(INDEX(ERP資料!$G:$G, (MATCH(756, 輔助計算!$G$2:$G$801, 0)+1))&lt;=790,3,IF(INDEX(ERP資料!$G:$G, (MATCH(756, 輔助計算!$G$2:$G$801, 0)+1))&lt;=1181,2,1))))=1,TEXT(INDEX(ERP資料!$G:$G, (MATCH(756, 輔助計算!$G$2:$G$801, 0)+1)),"0.##"),IF(MOD(INDEX(輔助計算!$D:$D, (MATCH(756, 輔助計算!$G$2:$G$801, 0)+1)),IF(INDEX(ERP資料!$G:$G, (MATCH(756, 輔助計算!$G$2:$G$801, 0)+1))&lt;100, IF(INDEX(ERP資料!$G:$G, (MATCH(756, 輔助計算!$G$2:$G$801, 0)+1))&lt;=31,3,IF(INDEX(ERP資料!$G:$G, (MATCH(756, 輔助計算!$G$2:$G$801, 0)+1))&lt;=46.5,2,1)), IF(INDEX(ERP資料!$G:$G, (MATCH(756, 輔助計算!$G$2:$G$801, 0)+1))&lt;=790,3,IF(INDEX(ERP資料!$G:$G, (MATCH(756, 輔助計算!$G$2:$G$801, 0)+1))&lt;=1181,2,1))))=2,TEXT(INDEX(ERP資料!$G:$G, (MATCH(756, 輔助計算!$G$2:$G$801, 0)+1)),"0.##")&amp;"+"&amp;TEXT(INDEX(ERP資料!$G:$G, (MATCH(756, 輔助計算!$G$2:$G$801, 0)+1)),"0.##"),TEXT(INDEX(ERP資料!$G:$G, (MATCH(756, 輔助計算!$G$2:$G$801, 0)+1)),"0.##")&amp;"+"&amp;TEXT(INDEX(ERP資料!$G:$G, (MATCH(756, 輔助計算!$G$2:$G$801, 0)+1)),"0.##")&amp;"+"&amp;TEXT(INDEX(ERP資料!$G:$G, (MATCH(756, 輔助計算!$G$2:$G$801, 0)+1)),"0.##"))))&amp;"-1")), ""), "")</f>
        <v/>
      </c>
      <c r="K757" s="16" t="n"/>
      <c r="L757" s="14">
        <f>IFERROR(IF(AND(IFERROR(INDEX(ERP資料!$A:$A, (MATCH(756, 輔助計算!$G$2:$G$801, 0)+1)), "")&lt;&gt;"", IFERROR(INDEX(ERP資料!$A:$A, (MATCH(756, 輔助計算!$G$2:$G$801, 0)+1)), "")&lt;&gt;IFERROR(INDEX(ERP資料!$A:$A, MATCH(755, 輔助計算!$G$2:$G$801, 0)+1), "")), INDEX(ERP資料!$B:$B, (MATCH(756, 輔助計算!$G$2:$G$801, 0)+1)), ""), "")</f>
        <v/>
      </c>
      <c r="M757" s="17" t="n"/>
    </row>
    <row r="758">
      <c r="A758" s="10">
        <f>IFERROR(IF(AND(IFERROR(INDEX(ERP資料!$A:$A, (MATCH(757, 輔助計算!$G$2:$G$801, 0)+1)), "")&lt;&gt;"", IFERROR(INDEX(ERP資料!$A:$A, (MATCH(757, 輔助計算!$G$2:$G$801, 0)+1)), "")&lt;&gt;IFERROR(INDEX(ERP資料!$A:$A, MATCH(756, 輔助計算!$G$2:$G$801, 0)+1), "")), IFERROR(INDEX(ERP資料!$A:$A, (MATCH(757, 輔助計算!$G$2:$G$801, 0)+1)), ""), ""), "")</f>
        <v/>
      </c>
      <c r="B758" s="10">
        <f>IFERROR(IF(AND(IFERROR(INDEX(ERP資料!$A:$A, (MATCH(757, 輔助計算!$G$2:$G$801, 0)+1)), "")&lt;&gt;"", IFERROR(INDEX(ERP資料!$A:$A, (MATCH(757, 輔助計算!$G$2:$G$801, 0)+1)), "")&lt;&gt;IFERROR(INDEX(ERP資料!$A:$A, MATCH(756, 輔助計算!$G$2:$G$801, 0)+1), "")), INDEX(ERP資料!$S:$S, (MATCH(757, 輔助計算!$G$2:$G$801, 0)+1)), ""), "")</f>
        <v/>
      </c>
      <c r="C758" s="19">
        <f>IFERROR(IF(AND(IFERROR(INDEX(ERP資料!$A:$A, (MATCH(757, 輔助計算!$G$2:$G$801, 0)+1)), "")&lt;&gt;"", IFERROR(INDEX(ERP資料!$A:$A, (MATCH(757, 輔助計算!$G$2:$G$801, 0)+1)), "")&lt;&gt;IFERROR(INDEX(ERP資料!$A:$A, MATCH(756, 輔助計算!$G$2:$G$801, 0)+1), "")), IFERROR(VLOOKUP(LEFT(INDEX(ERP資料!$S:$S, (MATCH(757, 輔助計算!$G$2:$G$801, 0)+1)), 4), 紙管對照表!$A:$C, 3, FALSE), ""), ""), "")</f>
        <v/>
      </c>
      <c r="D758" s="16" t="n"/>
      <c r="E758" s="10">
        <f>IFERROR(IF(INDEX(ERP資料!$H:$H, (MATCH(757, 輔助計算!$G$2:$G$801, 0)+1))="","",INDEX(ERP資料!$H:$H, (MATCH(757, 輔助計算!$G$2:$G$801, 0)+1))), "")</f>
        <v/>
      </c>
      <c r="F758" s="10">
        <f>IFERROR(IF(INDEX(ERP資料!$E:$E, (MATCH(757, 輔助計算!$G$2:$G$801, 0)+1))="","",TRIM(INDEX(ERP資料!$E:$E, (MATCH(757, 輔助計算!$G$2:$G$801, 0)+1)))), "")</f>
        <v/>
      </c>
      <c r="G758" s="10">
        <f>IFERROR(IF(INDEX(ERP資料!$F:$F, (MATCH(757, 輔助計算!$G$2:$G$801, 0)+1))="","",INDEX(ERP資料!$F:$F, (MATCH(757, 輔助計算!$G$2:$G$801, 0)+1))), "")</f>
        <v/>
      </c>
      <c r="H758" s="10">
        <f>IFERROR(IF(INDEX(ERP資料!$G:$G, (MATCH(757, 輔助計算!$G$2:$G$801, 0)+1))="","",INDEX(ERP資料!$G:$G, (MATCH(757, 輔助計算!$G$2:$G$801, 0)+1))), "")</f>
        <v/>
      </c>
      <c r="I758" s="15">
        <f>IFERROR(INDEX(輔助計算!$D:$D, (MATCH(757, 輔助計算!$G$2:$G$801, 0)+1)), "")</f>
        <v/>
      </c>
      <c r="J758" s="15">
        <f>IFERROR(IF(AND(INDEX(輔助計算!$D:$D, (MATCH(757, 輔助計算!$G$2:$G$801, 0)+1))&lt;&gt;"", INDEX(ERP資料!$G:$G, (MATCH(757, 輔助計算!$G$2:$G$801, 0)+1))&lt;&gt;""), TRIM(IF(INT(INDEX(輔助計算!$D:$D, (MATCH(757, 輔助計算!$G$2:$G$801, 0)+1))/IF(INDEX(ERP資料!$G:$G, (MATCH(757, 輔助計算!$G$2:$G$801, 0)+1))&lt;100, IF(INDEX(ERP資料!$G:$G, (MATCH(757, 輔助計算!$G$2:$G$801, 0)+1))&lt;=31,3,IF(INDEX(ERP資料!$G:$G, (MATCH(757, 輔助計算!$G$2:$G$801, 0)+1))&lt;=46.5,2,1)), IF(INDEX(ERP資料!$G:$G, (MATCH(757, 輔助計算!$G$2:$G$801, 0)+1))&lt;=790,3,IF(INDEX(ERP資料!$G:$G, (MATCH(757, 輔助計算!$G$2:$G$801, 0)+1))&lt;=1181,2,1))))&gt;0, IF(IF(INDEX(ERP資料!$G:$G, (MATCH(757, 輔助計算!$G$2:$G$801, 0)+1))&lt;100, IF(INDEX(ERP資料!$G:$G, (MATCH(757, 輔助計算!$G$2:$G$801, 0)+1))&lt;=31,3,IF(INDEX(ERP資料!$G:$G, (MATCH(757, 輔助計算!$G$2:$G$801, 0)+1))&lt;=46.5,2,1)), IF(INDEX(ERP資料!$G:$G, (MATCH(757, 輔助計算!$G$2:$G$801, 0)+1))&lt;=790,3,IF(INDEX(ERP資料!$G:$G, (MATCH(757, 輔助計算!$G$2:$G$801, 0)+1))&lt;=1181,2,1)))=1,TEXT(INDEX(ERP資料!$G:$G, (MATCH(757, 輔助計算!$G$2:$G$801, 0)+1)),"0.##"),IF(IF(INDEX(ERP資料!$G:$G, (MATCH(757, 輔助計算!$G$2:$G$801, 0)+1))&lt;100, IF(INDEX(ERP資料!$G:$G, (MATCH(757, 輔助計算!$G$2:$G$801, 0)+1))&lt;=31,3,IF(INDEX(ERP資料!$G:$G, (MATCH(757, 輔助計算!$G$2:$G$801, 0)+1))&lt;=46.5,2,1)), IF(INDEX(ERP資料!$G:$G, (MATCH(757, 輔助計算!$G$2:$G$801, 0)+1))&lt;=790,3,IF(INDEX(ERP資料!$G:$G, (MATCH(757, 輔助計算!$G$2:$G$801, 0)+1))&lt;=1181,2,1)))=2,TEXT(INDEX(ERP資料!$G:$G, (MATCH(757, 輔助計算!$G$2:$G$801, 0)+1)),"0.##")&amp;"+"&amp;TEXT(INDEX(ERP資料!$G:$G, (MATCH(757, 輔助計算!$G$2:$G$801, 0)+1)),"0.##"),TEXT(INDEX(ERP資料!$G:$G, (MATCH(757, 輔助計算!$G$2:$G$801, 0)+1)),"0.##")&amp;"+"&amp;TEXT(INDEX(ERP資料!$G:$G, (MATCH(757, 輔助計算!$G$2:$G$801, 0)+1)),"0.##")&amp;"+"&amp;TEXT(INDEX(ERP資料!$G:$G, (MATCH(757, 輔助計算!$G$2:$G$801, 0)+1)),"0.##")))&amp;"-"&amp;INT(INDEX(輔助計算!$D:$D, (MATCH(757, 輔助計算!$G$2:$G$801, 0)+1))/IF(INDEX(ERP資料!$G:$G, (MATCH(757, 輔助計算!$G$2:$G$801, 0)+1))&lt;100, IF(INDEX(ERP資料!$G:$G, (MATCH(757, 輔助計算!$G$2:$G$801, 0)+1))&lt;=31,3,IF(INDEX(ERP資料!$G:$G, (MATCH(757, 輔助計算!$G$2:$G$801, 0)+1))&lt;=46.5,2,1)), IF(INDEX(ERP資料!$G:$G, (MATCH(757, 輔助計算!$G$2:$G$801, 0)+1))&lt;=790,3,IF(INDEX(ERP資料!$G:$G, (MATCH(757, 輔助計算!$G$2:$G$801, 0)+1))&lt;=1181,2,1)))), "")&amp;IF(AND(IF(INT(INDEX(輔助計算!$D:$D, (MATCH(757, 輔助計算!$G$2:$G$801, 0)+1))/IF(INDEX(ERP資料!$G:$G, (MATCH(757, 輔助計算!$G$2:$G$801, 0)+1))&lt;100, IF(INDEX(ERP資料!$G:$G, (MATCH(757, 輔助計算!$G$2:$G$801, 0)+1))&lt;=31,3,IF(INDEX(ERP資料!$G:$G, (MATCH(757, 輔助計算!$G$2:$G$801, 0)+1))&lt;=46.5,2,1)), IF(INDEX(ERP資料!$G:$G, (MATCH(757, 輔助計算!$G$2:$G$801, 0)+1))&lt;=790,3,IF(INDEX(ERP資料!$G:$G, (MATCH(757, 輔助計算!$G$2:$G$801, 0)+1))&lt;=1181,2,1))))&gt;0, IF(IF(INDEX(ERP資料!$G:$G, (MATCH(757, 輔助計算!$G$2:$G$801, 0)+1))&lt;100, IF(INDEX(ERP資料!$G:$G, (MATCH(757, 輔助計算!$G$2:$G$801, 0)+1))&lt;=31,3,IF(INDEX(ERP資料!$G:$G, (MATCH(757, 輔助計算!$G$2:$G$801, 0)+1))&lt;=46.5,2,1)), IF(INDEX(ERP資料!$G:$G, (MATCH(757, 輔助計算!$G$2:$G$801, 0)+1))&lt;=790,3,IF(INDEX(ERP資料!$G:$G, (MATCH(757, 輔助計算!$G$2:$G$801, 0)+1))&lt;=1181,2,1)))=1,TEXT(INDEX(ERP資料!$G:$G, (MATCH(757, 輔助計算!$G$2:$G$801, 0)+1)),"0.##"),IF(IF(INDEX(ERP資料!$G:$G, (MATCH(757, 輔助計算!$G$2:$G$801, 0)+1))&lt;100, IF(INDEX(ERP資料!$G:$G, (MATCH(757, 輔助計算!$G$2:$G$801, 0)+1))&lt;=31,3,IF(INDEX(ERP資料!$G:$G, (MATCH(757, 輔助計算!$G$2:$G$801, 0)+1))&lt;=46.5,2,1)), IF(INDEX(ERP資料!$G:$G, (MATCH(757, 輔助計算!$G$2:$G$801, 0)+1))&lt;=790,3,IF(INDEX(ERP資料!$G:$G, (MATCH(757, 輔助計算!$G$2:$G$801, 0)+1))&lt;=1181,2,1)))=2,TEXT(INDEX(ERP資料!$G:$G, (MATCH(757, 輔助計算!$G$2:$G$801, 0)+1)),"0.##")&amp;"+"&amp;TEXT(INDEX(ERP資料!$G:$G, (MATCH(757, 輔助計算!$G$2:$G$801, 0)+1)),"0.##"),TEXT(INDEX(ERP資料!$G:$G, (MATCH(757, 輔助計算!$G$2:$G$801, 0)+1)),"0.##")&amp;"+"&amp;TEXT(INDEX(ERP資料!$G:$G, (MATCH(757, 輔助計算!$G$2:$G$801, 0)+1)),"0.##")&amp;"+"&amp;TEXT(INDEX(ERP資料!$G:$G, (MATCH(757, 輔助計算!$G$2:$G$801, 0)+1)),"0.##")))&amp;"-"&amp;INT(INDEX(輔助計算!$D:$D, (MATCH(757, 輔助計算!$G$2:$G$801, 0)+1))/IF(INDEX(ERP資料!$G:$G, (MATCH(757, 輔助計算!$G$2:$G$801, 0)+1))&lt;100, IF(INDEX(ERP資料!$G:$G, (MATCH(757, 輔助計算!$G$2:$G$801, 0)+1))&lt;=31,3,IF(INDEX(ERP資料!$G:$G, (MATCH(757, 輔助計算!$G$2:$G$801, 0)+1))&lt;=46.5,2,1)), IF(INDEX(ERP資料!$G:$G, (MATCH(757, 輔助計算!$G$2:$G$801, 0)+1))&lt;=790,3,IF(INDEX(ERP資料!$G:$G, (MATCH(757, 輔助計算!$G$2:$G$801, 0)+1))&lt;=1181,2,1)))), "")&lt;&gt;"",IF(MOD(INDEX(輔助計算!$D:$D, (MATCH(757, 輔助計算!$G$2:$G$801, 0)+1)),IF(INDEX(ERP資料!$G:$G, (MATCH(757, 輔助計算!$G$2:$G$801, 0)+1))&lt;100, IF(INDEX(ERP資料!$G:$G, (MATCH(757, 輔助計算!$G$2:$G$801, 0)+1))&lt;=31,3,IF(INDEX(ERP資料!$G:$G, (MATCH(757, 輔助計算!$G$2:$G$801, 0)+1))&lt;=46.5,2,1)), IF(INDEX(ERP資料!$G:$G, (MATCH(757, 輔助計算!$G$2:$G$801, 0)+1))&lt;=790,3,IF(INDEX(ERP資料!$G:$G, (MATCH(757, 輔助計算!$G$2:$G$801, 0)+1))&lt;=1181,2,1))))=0,"",IF(MOD(INDEX(輔助計算!$D:$D, (MATCH(757, 輔助計算!$G$2:$G$801, 0)+1)),IF(INDEX(ERP資料!$G:$G, (MATCH(757, 輔助計算!$G$2:$G$801, 0)+1))&lt;100, IF(INDEX(ERP資料!$G:$G, (MATCH(757, 輔助計算!$G$2:$G$801, 0)+1))&lt;=31,3,IF(INDEX(ERP資料!$G:$G, (MATCH(757, 輔助計算!$G$2:$G$801, 0)+1))&lt;=46.5,2,1)), IF(INDEX(ERP資料!$G:$G, (MATCH(757, 輔助計算!$G$2:$G$801, 0)+1))&lt;=790,3,IF(INDEX(ERP資料!$G:$G, (MATCH(757, 輔助計算!$G$2:$G$801, 0)+1))&lt;=1181,2,1))))=0,"",IF(MOD(INDEX(輔助計算!$D:$D, (MATCH(757, 輔助計算!$G$2:$G$801, 0)+1)),IF(INDEX(ERP資料!$G:$G, (MATCH(757, 輔助計算!$G$2:$G$801, 0)+1))&lt;100, IF(INDEX(ERP資料!$G:$G, (MATCH(757, 輔助計算!$G$2:$G$801, 0)+1))&lt;=31,3,IF(INDEX(ERP資料!$G:$G, (MATCH(757, 輔助計算!$G$2:$G$801, 0)+1))&lt;=46.5,2,1)), IF(INDEX(ERP資料!$G:$G, (MATCH(757, 輔助計算!$G$2:$G$801, 0)+1))&lt;=790,3,IF(INDEX(ERP資料!$G:$G, (MATCH(757, 輔助計算!$G$2:$G$801, 0)+1))&lt;=1181,2,1))))=1,TEXT(INDEX(ERP資料!$G:$G, (MATCH(757, 輔助計算!$G$2:$G$801, 0)+1)),"0.##"),IF(MOD(INDEX(輔助計算!$D:$D, (MATCH(757, 輔助計算!$G$2:$G$801, 0)+1)),IF(INDEX(ERP資料!$G:$G, (MATCH(757, 輔助計算!$G$2:$G$801, 0)+1))&lt;100, IF(INDEX(ERP資料!$G:$G, (MATCH(757, 輔助計算!$G$2:$G$801, 0)+1))&lt;=31,3,IF(INDEX(ERP資料!$G:$G, (MATCH(757, 輔助計算!$G$2:$G$801, 0)+1))&lt;=46.5,2,1)), IF(INDEX(ERP資料!$G:$G, (MATCH(757, 輔助計算!$G$2:$G$801, 0)+1))&lt;=790,3,IF(INDEX(ERP資料!$G:$G, (MATCH(757, 輔助計算!$G$2:$G$801, 0)+1))&lt;=1181,2,1))))=2,TEXT(INDEX(ERP資料!$G:$G, (MATCH(757, 輔助計算!$G$2:$G$801, 0)+1)),"0.##")&amp;"+"&amp;TEXT(INDEX(ERP資料!$G:$G, (MATCH(757, 輔助計算!$G$2:$G$801, 0)+1)),"0.##"),TEXT(INDEX(ERP資料!$G:$G, (MATCH(757, 輔助計算!$G$2:$G$801, 0)+1)),"0.##")&amp;"+"&amp;TEXT(INDEX(ERP資料!$G:$G, (MATCH(757, 輔助計算!$G$2:$G$801, 0)+1)),"0.##")&amp;"+"&amp;TEXT(INDEX(ERP資料!$G:$G, (MATCH(757, 輔助計算!$G$2:$G$801, 0)+1)),"0.##"))))&amp;"-1")&lt;&gt;""),"  ","")&amp;IF(MOD(INDEX(輔助計算!$D:$D, (MATCH(757, 輔助計算!$G$2:$G$801, 0)+1)),IF(INDEX(ERP資料!$G:$G, (MATCH(757, 輔助計算!$G$2:$G$801, 0)+1))&lt;100, IF(INDEX(ERP資料!$G:$G, (MATCH(757, 輔助計算!$G$2:$G$801, 0)+1))&lt;=31,3,IF(INDEX(ERP資料!$G:$G, (MATCH(757, 輔助計算!$G$2:$G$801, 0)+1))&lt;=46.5,2,1)), IF(INDEX(ERP資料!$G:$G, (MATCH(757, 輔助計算!$G$2:$G$801, 0)+1))&lt;=790,3,IF(INDEX(ERP資料!$G:$G, (MATCH(757, 輔助計算!$G$2:$G$801, 0)+1))&lt;=1181,2,1))))=0,"",IF(MOD(INDEX(輔助計算!$D:$D, (MATCH(757, 輔助計算!$G$2:$G$801, 0)+1)),IF(INDEX(ERP資料!$G:$G, (MATCH(757, 輔助計算!$G$2:$G$801, 0)+1))&lt;100, IF(INDEX(ERP資料!$G:$G, (MATCH(757, 輔助計算!$G$2:$G$801, 0)+1))&lt;=31,3,IF(INDEX(ERP資料!$G:$G, (MATCH(757, 輔助計算!$G$2:$G$801, 0)+1))&lt;=46.5,2,1)), IF(INDEX(ERP資料!$G:$G, (MATCH(757, 輔助計算!$G$2:$G$801, 0)+1))&lt;=790,3,IF(INDEX(ERP資料!$G:$G, (MATCH(757, 輔助計算!$G$2:$G$801, 0)+1))&lt;=1181,2,1))))=0,"",IF(MOD(INDEX(輔助計算!$D:$D, (MATCH(757, 輔助計算!$G$2:$G$801, 0)+1)),IF(INDEX(ERP資料!$G:$G, (MATCH(757, 輔助計算!$G$2:$G$801, 0)+1))&lt;100, IF(INDEX(ERP資料!$G:$G, (MATCH(757, 輔助計算!$G$2:$G$801, 0)+1))&lt;=31,3,IF(INDEX(ERP資料!$G:$G, (MATCH(757, 輔助計算!$G$2:$G$801, 0)+1))&lt;=46.5,2,1)), IF(INDEX(ERP資料!$G:$G, (MATCH(757, 輔助計算!$G$2:$G$801, 0)+1))&lt;=790,3,IF(INDEX(ERP資料!$G:$G, (MATCH(757, 輔助計算!$G$2:$G$801, 0)+1))&lt;=1181,2,1))))=1,TEXT(INDEX(ERP資料!$G:$G, (MATCH(757, 輔助計算!$G$2:$G$801, 0)+1)),"0.##"),IF(MOD(INDEX(輔助計算!$D:$D, (MATCH(757, 輔助計算!$G$2:$G$801, 0)+1)),IF(INDEX(ERP資料!$G:$G, (MATCH(757, 輔助計算!$G$2:$G$801, 0)+1))&lt;100, IF(INDEX(ERP資料!$G:$G, (MATCH(757, 輔助計算!$G$2:$G$801, 0)+1))&lt;=31,3,IF(INDEX(ERP資料!$G:$G, (MATCH(757, 輔助計算!$G$2:$G$801, 0)+1))&lt;=46.5,2,1)), IF(INDEX(ERP資料!$G:$G, (MATCH(757, 輔助計算!$G$2:$G$801, 0)+1))&lt;=790,3,IF(INDEX(ERP資料!$G:$G, (MATCH(757, 輔助計算!$G$2:$G$801, 0)+1))&lt;=1181,2,1))))=2,TEXT(INDEX(ERP資料!$G:$G, (MATCH(757, 輔助計算!$G$2:$G$801, 0)+1)),"0.##")&amp;"+"&amp;TEXT(INDEX(ERP資料!$G:$G, (MATCH(757, 輔助計算!$G$2:$G$801, 0)+1)),"0.##"),TEXT(INDEX(ERP資料!$G:$G, (MATCH(757, 輔助計算!$G$2:$G$801, 0)+1)),"0.##")&amp;"+"&amp;TEXT(INDEX(ERP資料!$G:$G, (MATCH(757, 輔助計算!$G$2:$G$801, 0)+1)),"0.##")&amp;"+"&amp;TEXT(INDEX(ERP資料!$G:$G, (MATCH(757, 輔助計算!$G$2:$G$801, 0)+1)),"0.##"))))&amp;"-1")), ""), "")</f>
        <v/>
      </c>
      <c r="K758" s="16" t="n"/>
      <c r="L758" s="14">
        <f>IFERROR(IF(AND(IFERROR(INDEX(ERP資料!$A:$A, (MATCH(757, 輔助計算!$G$2:$G$801, 0)+1)), "")&lt;&gt;"", IFERROR(INDEX(ERP資料!$A:$A, (MATCH(757, 輔助計算!$G$2:$G$801, 0)+1)), "")&lt;&gt;IFERROR(INDEX(ERP資料!$A:$A, MATCH(756, 輔助計算!$G$2:$G$801, 0)+1), "")), INDEX(ERP資料!$B:$B, (MATCH(757, 輔助計算!$G$2:$G$801, 0)+1)), ""), "")</f>
        <v/>
      </c>
      <c r="M758" s="17" t="n"/>
    </row>
    <row r="759">
      <c r="A759" s="10">
        <f>IFERROR(IF(AND(IFERROR(INDEX(ERP資料!$A:$A, (MATCH(758, 輔助計算!$G$2:$G$801, 0)+1)), "")&lt;&gt;"", IFERROR(INDEX(ERP資料!$A:$A, (MATCH(758, 輔助計算!$G$2:$G$801, 0)+1)), "")&lt;&gt;IFERROR(INDEX(ERP資料!$A:$A, MATCH(757, 輔助計算!$G$2:$G$801, 0)+1), "")), IFERROR(INDEX(ERP資料!$A:$A, (MATCH(758, 輔助計算!$G$2:$G$801, 0)+1)), ""), ""), "")</f>
        <v/>
      </c>
      <c r="B759" s="10">
        <f>IFERROR(IF(AND(IFERROR(INDEX(ERP資料!$A:$A, (MATCH(758, 輔助計算!$G$2:$G$801, 0)+1)), "")&lt;&gt;"", IFERROR(INDEX(ERP資料!$A:$A, (MATCH(758, 輔助計算!$G$2:$G$801, 0)+1)), "")&lt;&gt;IFERROR(INDEX(ERP資料!$A:$A, MATCH(757, 輔助計算!$G$2:$G$801, 0)+1), "")), INDEX(ERP資料!$S:$S, (MATCH(758, 輔助計算!$G$2:$G$801, 0)+1)), ""), "")</f>
        <v/>
      </c>
      <c r="C759" s="19">
        <f>IFERROR(IF(AND(IFERROR(INDEX(ERP資料!$A:$A, (MATCH(758, 輔助計算!$G$2:$G$801, 0)+1)), "")&lt;&gt;"", IFERROR(INDEX(ERP資料!$A:$A, (MATCH(758, 輔助計算!$G$2:$G$801, 0)+1)), "")&lt;&gt;IFERROR(INDEX(ERP資料!$A:$A, MATCH(757, 輔助計算!$G$2:$G$801, 0)+1), "")), IFERROR(VLOOKUP(LEFT(INDEX(ERP資料!$S:$S, (MATCH(758, 輔助計算!$G$2:$G$801, 0)+1)), 4), 紙管對照表!$A:$C, 3, FALSE), ""), ""), "")</f>
        <v/>
      </c>
      <c r="D759" s="16" t="n"/>
      <c r="E759" s="10">
        <f>IFERROR(IF(INDEX(ERP資料!$H:$H, (MATCH(758, 輔助計算!$G$2:$G$801, 0)+1))="","",INDEX(ERP資料!$H:$H, (MATCH(758, 輔助計算!$G$2:$G$801, 0)+1))), "")</f>
        <v/>
      </c>
      <c r="F759" s="10">
        <f>IFERROR(IF(INDEX(ERP資料!$E:$E, (MATCH(758, 輔助計算!$G$2:$G$801, 0)+1))="","",TRIM(INDEX(ERP資料!$E:$E, (MATCH(758, 輔助計算!$G$2:$G$801, 0)+1)))), "")</f>
        <v/>
      </c>
      <c r="G759" s="10">
        <f>IFERROR(IF(INDEX(ERP資料!$F:$F, (MATCH(758, 輔助計算!$G$2:$G$801, 0)+1))="","",INDEX(ERP資料!$F:$F, (MATCH(758, 輔助計算!$G$2:$G$801, 0)+1))), "")</f>
        <v/>
      </c>
      <c r="H759" s="10">
        <f>IFERROR(IF(INDEX(ERP資料!$G:$G, (MATCH(758, 輔助計算!$G$2:$G$801, 0)+1))="","",INDEX(ERP資料!$G:$G, (MATCH(758, 輔助計算!$G$2:$G$801, 0)+1))), "")</f>
        <v/>
      </c>
      <c r="I759" s="15">
        <f>IFERROR(INDEX(輔助計算!$D:$D, (MATCH(758, 輔助計算!$G$2:$G$801, 0)+1)), "")</f>
        <v/>
      </c>
      <c r="J759" s="15">
        <f>IFERROR(IF(AND(INDEX(輔助計算!$D:$D, (MATCH(758, 輔助計算!$G$2:$G$801, 0)+1))&lt;&gt;"", INDEX(ERP資料!$G:$G, (MATCH(758, 輔助計算!$G$2:$G$801, 0)+1))&lt;&gt;""), TRIM(IF(INT(INDEX(輔助計算!$D:$D, (MATCH(758, 輔助計算!$G$2:$G$801, 0)+1))/IF(INDEX(ERP資料!$G:$G, (MATCH(758, 輔助計算!$G$2:$G$801, 0)+1))&lt;100, IF(INDEX(ERP資料!$G:$G, (MATCH(758, 輔助計算!$G$2:$G$801, 0)+1))&lt;=31,3,IF(INDEX(ERP資料!$G:$G, (MATCH(758, 輔助計算!$G$2:$G$801, 0)+1))&lt;=46.5,2,1)), IF(INDEX(ERP資料!$G:$G, (MATCH(758, 輔助計算!$G$2:$G$801, 0)+1))&lt;=790,3,IF(INDEX(ERP資料!$G:$G, (MATCH(758, 輔助計算!$G$2:$G$801, 0)+1))&lt;=1181,2,1))))&gt;0, IF(IF(INDEX(ERP資料!$G:$G, (MATCH(758, 輔助計算!$G$2:$G$801, 0)+1))&lt;100, IF(INDEX(ERP資料!$G:$G, (MATCH(758, 輔助計算!$G$2:$G$801, 0)+1))&lt;=31,3,IF(INDEX(ERP資料!$G:$G, (MATCH(758, 輔助計算!$G$2:$G$801, 0)+1))&lt;=46.5,2,1)), IF(INDEX(ERP資料!$G:$G, (MATCH(758, 輔助計算!$G$2:$G$801, 0)+1))&lt;=790,3,IF(INDEX(ERP資料!$G:$G, (MATCH(758, 輔助計算!$G$2:$G$801, 0)+1))&lt;=1181,2,1)))=1,TEXT(INDEX(ERP資料!$G:$G, (MATCH(758, 輔助計算!$G$2:$G$801, 0)+1)),"0.##"),IF(IF(INDEX(ERP資料!$G:$G, (MATCH(758, 輔助計算!$G$2:$G$801, 0)+1))&lt;100, IF(INDEX(ERP資料!$G:$G, (MATCH(758, 輔助計算!$G$2:$G$801, 0)+1))&lt;=31,3,IF(INDEX(ERP資料!$G:$G, (MATCH(758, 輔助計算!$G$2:$G$801, 0)+1))&lt;=46.5,2,1)), IF(INDEX(ERP資料!$G:$G, (MATCH(758, 輔助計算!$G$2:$G$801, 0)+1))&lt;=790,3,IF(INDEX(ERP資料!$G:$G, (MATCH(758, 輔助計算!$G$2:$G$801, 0)+1))&lt;=1181,2,1)))=2,TEXT(INDEX(ERP資料!$G:$G, (MATCH(758, 輔助計算!$G$2:$G$801, 0)+1)),"0.##")&amp;"+"&amp;TEXT(INDEX(ERP資料!$G:$G, (MATCH(758, 輔助計算!$G$2:$G$801, 0)+1)),"0.##"),TEXT(INDEX(ERP資料!$G:$G, (MATCH(758, 輔助計算!$G$2:$G$801, 0)+1)),"0.##")&amp;"+"&amp;TEXT(INDEX(ERP資料!$G:$G, (MATCH(758, 輔助計算!$G$2:$G$801, 0)+1)),"0.##")&amp;"+"&amp;TEXT(INDEX(ERP資料!$G:$G, (MATCH(758, 輔助計算!$G$2:$G$801, 0)+1)),"0.##")))&amp;"-"&amp;INT(INDEX(輔助計算!$D:$D, (MATCH(758, 輔助計算!$G$2:$G$801, 0)+1))/IF(INDEX(ERP資料!$G:$G, (MATCH(758, 輔助計算!$G$2:$G$801, 0)+1))&lt;100, IF(INDEX(ERP資料!$G:$G, (MATCH(758, 輔助計算!$G$2:$G$801, 0)+1))&lt;=31,3,IF(INDEX(ERP資料!$G:$G, (MATCH(758, 輔助計算!$G$2:$G$801, 0)+1))&lt;=46.5,2,1)), IF(INDEX(ERP資料!$G:$G, (MATCH(758, 輔助計算!$G$2:$G$801, 0)+1))&lt;=790,3,IF(INDEX(ERP資料!$G:$G, (MATCH(758, 輔助計算!$G$2:$G$801, 0)+1))&lt;=1181,2,1)))), "")&amp;IF(AND(IF(INT(INDEX(輔助計算!$D:$D, (MATCH(758, 輔助計算!$G$2:$G$801, 0)+1))/IF(INDEX(ERP資料!$G:$G, (MATCH(758, 輔助計算!$G$2:$G$801, 0)+1))&lt;100, IF(INDEX(ERP資料!$G:$G, (MATCH(758, 輔助計算!$G$2:$G$801, 0)+1))&lt;=31,3,IF(INDEX(ERP資料!$G:$G, (MATCH(758, 輔助計算!$G$2:$G$801, 0)+1))&lt;=46.5,2,1)), IF(INDEX(ERP資料!$G:$G, (MATCH(758, 輔助計算!$G$2:$G$801, 0)+1))&lt;=790,3,IF(INDEX(ERP資料!$G:$G, (MATCH(758, 輔助計算!$G$2:$G$801, 0)+1))&lt;=1181,2,1))))&gt;0, IF(IF(INDEX(ERP資料!$G:$G, (MATCH(758, 輔助計算!$G$2:$G$801, 0)+1))&lt;100, IF(INDEX(ERP資料!$G:$G, (MATCH(758, 輔助計算!$G$2:$G$801, 0)+1))&lt;=31,3,IF(INDEX(ERP資料!$G:$G, (MATCH(758, 輔助計算!$G$2:$G$801, 0)+1))&lt;=46.5,2,1)), IF(INDEX(ERP資料!$G:$G, (MATCH(758, 輔助計算!$G$2:$G$801, 0)+1))&lt;=790,3,IF(INDEX(ERP資料!$G:$G, (MATCH(758, 輔助計算!$G$2:$G$801, 0)+1))&lt;=1181,2,1)))=1,TEXT(INDEX(ERP資料!$G:$G, (MATCH(758, 輔助計算!$G$2:$G$801, 0)+1)),"0.##"),IF(IF(INDEX(ERP資料!$G:$G, (MATCH(758, 輔助計算!$G$2:$G$801, 0)+1))&lt;100, IF(INDEX(ERP資料!$G:$G, (MATCH(758, 輔助計算!$G$2:$G$801, 0)+1))&lt;=31,3,IF(INDEX(ERP資料!$G:$G, (MATCH(758, 輔助計算!$G$2:$G$801, 0)+1))&lt;=46.5,2,1)), IF(INDEX(ERP資料!$G:$G, (MATCH(758, 輔助計算!$G$2:$G$801, 0)+1))&lt;=790,3,IF(INDEX(ERP資料!$G:$G, (MATCH(758, 輔助計算!$G$2:$G$801, 0)+1))&lt;=1181,2,1)))=2,TEXT(INDEX(ERP資料!$G:$G, (MATCH(758, 輔助計算!$G$2:$G$801, 0)+1)),"0.##")&amp;"+"&amp;TEXT(INDEX(ERP資料!$G:$G, (MATCH(758, 輔助計算!$G$2:$G$801, 0)+1)),"0.##"),TEXT(INDEX(ERP資料!$G:$G, (MATCH(758, 輔助計算!$G$2:$G$801, 0)+1)),"0.##")&amp;"+"&amp;TEXT(INDEX(ERP資料!$G:$G, (MATCH(758, 輔助計算!$G$2:$G$801, 0)+1)),"0.##")&amp;"+"&amp;TEXT(INDEX(ERP資料!$G:$G, (MATCH(758, 輔助計算!$G$2:$G$801, 0)+1)),"0.##")))&amp;"-"&amp;INT(INDEX(輔助計算!$D:$D, (MATCH(758, 輔助計算!$G$2:$G$801, 0)+1))/IF(INDEX(ERP資料!$G:$G, (MATCH(758, 輔助計算!$G$2:$G$801, 0)+1))&lt;100, IF(INDEX(ERP資料!$G:$G, (MATCH(758, 輔助計算!$G$2:$G$801, 0)+1))&lt;=31,3,IF(INDEX(ERP資料!$G:$G, (MATCH(758, 輔助計算!$G$2:$G$801, 0)+1))&lt;=46.5,2,1)), IF(INDEX(ERP資料!$G:$G, (MATCH(758, 輔助計算!$G$2:$G$801, 0)+1))&lt;=790,3,IF(INDEX(ERP資料!$G:$G, (MATCH(758, 輔助計算!$G$2:$G$801, 0)+1))&lt;=1181,2,1)))), "")&lt;&gt;"",IF(MOD(INDEX(輔助計算!$D:$D, (MATCH(758, 輔助計算!$G$2:$G$801, 0)+1)),IF(INDEX(ERP資料!$G:$G, (MATCH(758, 輔助計算!$G$2:$G$801, 0)+1))&lt;100, IF(INDEX(ERP資料!$G:$G, (MATCH(758, 輔助計算!$G$2:$G$801, 0)+1))&lt;=31,3,IF(INDEX(ERP資料!$G:$G, (MATCH(758, 輔助計算!$G$2:$G$801, 0)+1))&lt;=46.5,2,1)), IF(INDEX(ERP資料!$G:$G, (MATCH(758, 輔助計算!$G$2:$G$801, 0)+1))&lt;=790,3,IF(INDEX(ERP資料!$G:$G, (MATCH(758, 輔助計算!$G$2:$G$801, 0)+1))&lt;=1181,2,1))))=0,"",IF(MOD(INDEX(輔助計算!$D:$D, (MATCH(758, 輔助計算!$G$2:$G$801, 0)+1)),IF(INDEX(ERP資料!$G:$G, (MATCH(758, 輔助計算!$G$2:$G$801, 0)+1))&lt;100, IF(INDEX(ERP資料!$G:$G, (MATCH(758, 輔助計算!$G$2:$G$801, 0)+1))&lt;=31,3,IF(INDEX(ERP資料!$G:$G, (MATCH(758, 輔助計算!$G$2:$G$801, 0)+1))&lt;=46.5,2,1)), IF(INDEX(ERP資料!$G:$G, (MATCH(758, 輔助計算!$G$2:$G$801, 0)+1))&lt;=790,3,IF(INDEX(ERP資料!$G:$G, (MATCH(758, 輔助計算!$G$2:$G$801, 0)+1))&lt;=1181,2,1))))=0,"",IF(MOD(INDEX(輔助計算!$D:$D, (MATCH(758, 輔助計算!$G$2:$G$801, 0)+1)),IF(INDEX(ERP資料!$G:$G, (MATCH(758, 輔助計算!$G$2:$G$801, 0)+1))&lt;100, IF(INDEX(ERP資料!$G:$G, (MATCH(758, 輔助計算!$G$2:$G$801, 0)+1))&lt;=31,3,IF(INDEX(ERP資料!$G:$G, (MATCH(758, 輔助計算!$G$2:$G$801, 0)+1))&lt;=46.5,2,1)), IF(INDEX(ERP資料!$G:$G, (MATCH(758, 輔助計算!$G$2:$G$801, 0)+1))&lt;=790,3,IF(INDEX(ERP資料!$G:$G, (MATCH(758, 輔助計算!$G$2:$G$801, 0)+1))&lt;=1181,2,1))))=1,TEXT(INDEX(ERP資料!$G:$G, (MATCH(758, 輔助計算!$G$2:$G$801, 0)+1)),"0.##"),IF(MOD(INDEX(輔助計算!$D:$D, (MATCH(758, 輔助計算!$G$2:$G$801, 0)+1)),IF(INDEX(ERP資料!$G:$G, (MATCH(758, 輔助計算!$G$2:$G$801, 0)+1))&lt;100, IF(INDEX(ERP資料!$G:$G, (MATCH(758, 輔助計算!$G$2:$G$801, 0)+1))&lt;=31,3,IF(INDEX(ERP資料!$G:$G, (MATCH(758, 輔助計算!$G$2:$G$801, 0)+1))&lt;=46.5,2,1)), IF(INDEX(ERP資料!$G:$G, (MATCH(758, 輔助計算!$G$2:$G$801, 0)+1))&lt;=790,3,IF(INDEX(ERP資料!$G:$G, (MATCH(758, 輔助計算!$G$2:$G$801, 0)+1))&lt;=1181,2,1))))=2,TEXT(INDEX(ERP資料!$G:$G, (MATCH(758, 輔助計算!$G$2:$G$801, 0)+1)),"0.##")&amp;"+"&amp;TEXT(INDEX(ERP資料!$G:$G, (MATCH(758, 輔助計算!$G$2:$G$801, 0)+1)),"0.##"),TEXT(INDEX(ERP資料!$G:$G, (MATCH(758, 輔助計算!$G$2:$G$801, 0)+1)),"0.##")&amp;"+"&amp;TEXT(INDEX(ERP資料!$G:$G, (MATCH(758, 輔助計算!$G$2:$G$801, 0)+1)),"0.##")&amp;"+"&amp;TEXT(INDEX(ERP資料!$G:$G, (MATCH(758, 輔助計算!$G$2:$G$801, 0)+1)),"0.##"))))&amp;"-1")&lt;&gt;""),"  ","")&amp;IF(MOD(INDEX(輔助計算!$D:$D, (MATCH(758, 輔助計算!$G$2:$G$801, 0)+1)),IF(INDEX(ERP資料!$G:$G, (MATCH(758, 輔助計算!$G$2:$G$801, 0)+1))&lt;100, IF(INDEX(ERP資料!$G:$G, (MATCH(758, 輔助計算!$G$2:$G$801, 0)+1))&lt;=31,3,IF(INDEX(ERP資料!$G:$G, (MATCH(758, 輔助計算!$G$2:$G$801, 0)+1))&lt;=46.5,2,1)), IF(INDEX(ERP資料!$G:$G, (MATCH(758, 輔助計算!$G$2:$G$801, 0)+1))&lt;=790,3,IF(INDEX(ERP資料!$G:$G, (MATCH(758, 輔助計算!$G$2:$G$801, 0)+1))&lt;=1181,2,1))))=0,"",IF(MOD(INDEX(輔助計算!$D:$D, (MATCH(758, 輔助計算!$G$2:$G$801, 0)+1)),IF(INDEX(ERP資料!$G:$G, (MATCH(758, 輔助計算!$G$2:$G$801, 0)+1))&lt;100, IF(INDEX(ERP資料!$G:$G, (MATCH(758, 輔助計算!$G$2:$G$801, 0)+1))&lt;=31,3,IF(INDEX(ERP資料!$G:$G, (MATCH(758, 輔助計算!$G$2:$G$801, 0)+1))&lt;=46.5,2,1)), IF(INDEX(ERP資料!$G:$G, (MATCH(758, 輔助計算!$G$2:$G$801, 0)+1))&lt;=790,3,IF(INDEX(ERP資料!$G:$G, (MATCH(758, 輔助計算!$G$2:$G$801, 0)+1))&lt;=1181,2,1))))=0,"",IF(MOD(INDEX(輔助計算!$D:$D, (MATCH(758, 輔助計算!$G$2:$G$801, 0)+1)),IF(INDEX(ERP資料!$G:$G, (MATCH(758, 輔助計算!$G$2:$G$801, 0)+1))&lt;100, IF(INDEX(ERP資料!$G:$G, (MATCH(758, 輔助計算!$G$2:$G$801, 0)+1))&lt;=31,3,IF(INDEX(ERP資料!$G:$G, (MATCH(758, 輔助計算!$G$2:$G$801, 0)+1))&lt;=46.5,2,1)), IF(INDEX(ERP資料!$G:$G, (MATCH(758, 輔助計算!$G$2:$G$801, 0)+1))&lt;=790,3,IF(INDEX(ERP資料!$G:$G, (MATCH(758, 輔助計算!$G$2:$G$801, 0)+1))&lt;=1181,2,1))))=1,TEXT(INDEX(ERP資料!$G:$G, (MATCH(758, 輔助計算!$G$2:$G$801, 0)+1)),"0.##"),IF(MOD(INDEX(輔助計算!$D:$D, (MATCH(758, 輔助計算!$G$2:$G$801, 0)+1)),IF(INDEX(ERP資料!$G:$G, (MATCH(758, 輔助計算!$G$2:$G$801, 0)+1))&lt;100, IF(INDEX(ERP資料!$G:$G, (MATCH(758, 輔助計算!$G$2:$G$801, 0)+1))&lt;=31,3,IF(INDEX(ERP資料!$G:$G, (MATCH(758, 輔助計算!$G$2:$G$801, 0)+1))&lt;=46.5,2,1)), IF(INDEX(ERP資料!$G:$G, (MATCH(758, 輔助計算!$G$2:$G$801, 0)+1))&lt;=790,3,IF(INDEX(ERP資料!$G:$G, (MATCH(758, 輔助計算!$G$2:$G$801, 0)+1))&lt;=1181,2,1))))=2,TEXT(INDEX(ERP資料!$G:$G, (MATCH(758, 輔助計算!$G$2:$G$801, 0)+1)),"0.##")&amp;"+"&amp;TEXT(INDEX(ERP資料!$G:$G, (MATCH(758, 輔助計算!$G$2:$G$801, 0)+1)),"0.##"),TEXT(INDEX(ERP資料!$G:$G, (MATCH(758, 輔助計算!$G$2:$G$801, 0)+1)),"0.##")&amp;"+"&amp;TEXT(INDEX(ERP資料!$G:$G, (MATCH(758, 輔助計算!$G$2:$G$801, 0)+1)),"0.##")&amp;"+"&amp;TEXT(INDEX(ERP資料!$G:$G, (MATCH(758, 輔助計算!$G$2:$G$801, 0)+1)),"0.##"))))&amp;"-1")), ""), "")</f>
        <v/>
      </c>
      <c r="K759" s="16" t="n"/>
      <c r="L759" s="14">
        <f>IFERROR(IF(AND(IFERROR(INDEX(ERP資料!$A:$A, (MATCH(758, 輔助計算!$G$2:$G$801, 0)+1)), "")&lt;&gt;"", IFERROR(INDEX(ERP資料!$A:$A, (MATCH(758, 輔助計算!$G$2:$G$801, 0)+1)), "")&lt;&gt;IFERROR(INDEX(ERP資料!$A:$A, MATCH(757, 輔助計算!$G$2:$G$801, 0)+1), "")), INDEX(ERP資料!$B:$B, (MATCH(758, 輔助計算!$G$2:$G$801, 0)+1)), ""), "")</f>
        <v/>
      </c>
      <c r="M759" s="17" t="n"/>
    </row>
    <row r="760">
      <c r="A760" s="10">
        <f>IFERROR(IF(AND(IFERROR(INDEX(ERP資料!$A:$A, (MATCH(759, 輔助計算!$G$2:$G$801, 0)+1)), "")&lt;&gt;"", IFERROR(INDEX(ERP資料!$A:$A, (MATCH(759, 輔助計算!$G$2:$G$801, 0)+1)), "")&lt;&gt;IFERROR(INDEX(ERP資料!$A:$A, MATCH(758, 輔助計算!$G$2:$G$801, 0)+1), "")), IFERROR(INDEX(ERP資料!$A:$A, (MATCH(759, 輔助計算!$G$2:$G$801, 0)+1)), ""), ""), "")</f>
        <v/>
      </c>
      <c r="B760" s="10">
        <f>IFERROR(IF(AND(IFERROR(INDEX(ERP資料!$A:$A, (MATCH(759, 輔助計算!$G$2:$G$801, 0)+1)), "")&lt;&gt;"", IFERROR(INDEX(ERP資料!$A:$A, (MATCH(759, 輔助計算!$G$2:$G$801, 0)+1)), "")&lt;&gt;IFERROR(INDEX(ERP資料!$A:$A, MATCH(758, 輔助計算!$G$2:$G$801, 0)+1), "")), INDEX(ERP資料!$S:$S, (MATCH(759, 輔助計算!$G$2:$G$801, 0)+1)), ""), "")</f>
        <v/>
      </c>
      <c r="C760" s="19">
        <f>IFERROR(IF(AND(IFERROR(INDEX(ERP資料!$A:$A, (MATCH(759, 輔助計算!$G$2:$G$801, 0)+1)), "")&lt;&gt;"", IFERROR(INDEX(ERP資料!$A:$A, (MATCH(759, 輔助計算!$G$2:$G$801, 0)+1)), "")&lt;&gt;IFERROR(INDEX(ERP資料!$A:$A, MATCH(758, 輔助計算!$G$2:$G$801, 0)+1), "")), IFERROR(VLOOKUP(LEFT(INDEX(ERP資料!$S:$S, (MATCH(759, 輔助計算!$G$2:$G$801, 0)+1)), 4), 紙管對照表!$A:$C, 3, FALSE), ""), ""), "")</f>
        <v/>
      </c>
      <c r="D760" s="16" t="n"/>
      <c r="E760" s="10">
        <f>IFERROR(IF(INDEX(ERP資料!$H:$H, (MATCH(759, 輔助計算!$G$2:$G$801, 0)+1))="","",INDEX(ERP資料!$H:$H, (MATCH(759, 輔助計算!$G$2:$G$801, 0)+1))), "")</f>
        <v/>
      </c>
      <c r="F760" s="10">
        <f>IFERROR(IF(INDEX(ERP資料!$E:$E, (MATCH(759, 輔助計算!$G$2:$G$801, 0)+1))="","",TRIM(INDEX(ERP資料!$E:$E, (MATCH(759, 輔助計算!$G$2:$G$801, 0)+1)))), "")</f>
        <v/>
      </c>
      <c r="G760" s="10">
        <f>IFERROR(IF(INDEX(ERP資料!$F:$F, (MATCH(759, 輔助計算!$G$2:$G$801, 0)+1))="","",INDEX(ERP資料!$F:$F, (MATCH(759, 輔助計算!$G$2:$G$801, 0)+1))), "")</f>
        <v/>
      </c>
      <c r="H760" s="10">
        <f>IFERROR(IF(INDEX(ERP資料!$G:$G, (MATCH(759, 輔助計算!$G$2:$G$801, 0)+1))="","",INDEX(ERP資料!$G:$G, (MATCH(759, 輔助計算!$G$2:$G$801, 0)+1))), "")</f>
        <v/>
      </c>
      <c r="I760" s="15">
        <f>IFERROR(INDEX(輔助計算!$D:$D, (MATCH(759, 輔助計算!$G$2:$G$801, 0)+1)), "")</f>
        <v/>
      </c>
      <c r="J760" s="15">
        <f>IFERROR(IF(AND(INDEX(輔助計算!$D:$D, (MATCH(759, 輔助計算!$G$2:$G$801, 0)+1))&lt;&gt;"", INDEX(ERP資料!$G:$G, (MATCH(759, 輔助計算!$G$2:$G$801, 0)+1))&lt;&gt;""), TRIM(IF(INT(INDEX(輔助計算!$D:$D, (MATCH(759, 輔助計算!$G$2:$G$801, 0)+1))/IF(INDEX(ERP資料!$G:$G, (MATCH(759, 輔助計算!$G$2:$G$801, 0)+1))&lt;100, IF(INDEX(ERP資料!$G:$G, (MATCH(759, 輔助計算!$G$2:$G$801, 0)+1))&lt;=31,3,IF(INDEX(ERP資料!$G:$G, (MATCH(759, 輔助計算!$G$2:$G$801, 0)+1))&lt;=46.5,2,1)), IF(INDEX(ERP資料!$G:$G, (MATCH(759, 輔助計算!$G$2:$G$801, 0)+1))&lt;=790,3,IF(INDEX(ERP資料!$G:$G, (MATCH(759, 輔助計算!$G$2:$G$801, 0)+1))&lt;=1181,2,1))))&gt;0, IF(IF(INDEX(ERP資料!$G:$G, (MATCH(759, 輔助計算!$G$2:$G$801, 0)+1))&lt;100, IF(INDEX(ERP資料!$G:$G, (MATCH(759, 輔助計算!$G$2:$G$801, 0)+1))&lt;=31,3,IF(INDEX(ERP資料!$G:$G, (MATCH(759, 輔助計算!$G$2:$G$801, 0)+1))&lt;=46.5,2,1)), IF(INDEX(ERP資料!$G:$G, (MATCH(759, 輔助計算!$G$2:$G$801, 0)+1))&lt;=790,3,IF(INDEX(ERP資料!$G:$G, (MATCH(759, 輔助計算!$G$2:$G$801, 0)+1))&lt;=1181,2,1)))=1,TEXT(INDEX(ERP資料!$G:$G, (MATCH(759, 輔助計算!$G$2:$G$801, 0)+1)),"0.##"),IF(IF(INDEX(ERP資料!$G:$G, (MATCH(759, 輔助計算!$G$2:$G$801, 0)+1))&lt;100, IF(INDEX(ERP資料!$G:$G, (MATCH(759, 輔助計算!$G$2:$G$801, 0)+1))&lt;=31,3,IF(INDEX(ERP資料!$G:$G, (MATCH(759, 輔助計算!$G$2:$G$801, 0)+1))&lt;=46.5,2,1)), IF(INDEX(ERP資料!$G:$G, (MATCH(759, 輔助計算!$G$2:$G$801, 0)+1))&lt;=790,3,IF(INDEX(ERP資料!$G:$G, (MATCH(759, 輔助計算!$G$2:$G$801, 0)+1))&lt;=1181,2,1)))=2,TEXT(INDEX(ERP資料!$G:$G, (MATCH(759, 輔助計算!$G$2:$G$801, 0)+1)),"0.##")&amp;"+"&amp;TEXT(INDEX(ERP資料!$G:$G, (MATCH(759, 輔助計算!$G$2:$G$801, 0)+1)),"0.##"),TEXT(INDEX(ERP資料!$G:$G, (MATCH(759, 輔助計算!$G$2:$G$801, 0)+1)),"0.##")&amp;"+"&amp;TEXT(INDEX(ERP資料!$G:$G, (MATCH(759, 輔助計算!$G$2:$G$801, 0)+1)),"0.##")&amp;"+"&amp;TEXT(INDEX(ERP資料!$G:$G, (MATCH(759, 輔助計算!$G$2:$G$801, 0)+1)),"0.##")))&amp;"-"&amp;INT(INDEX(輔助計算!$D:$D, (MATCH(759, 輔助計算!$G$2:$G$801, 0)+1))/IF(INDEX(ERP資料!$G:$G, (MATCH(759, 輔助計算!$G$2:$G$801, 0)+1))&lt;100, IF(INDEX(ERP資料!$G:$G, (MATCH(759, 輔助計算!$G$2:$G$801, 0)+1))&lt;=31,3,IF(INDEX(ERP資料!$G:$G, (MATCH(759, 輔助計算!$G$2:$G$801, 0)+1))&lt;=46.5,2,1)), IF(INDEX(ERP資料!$G:$G, (MATCH(759, 輔助計算!$G$2:$G$801, 0)+1))&lt;=790,3,IF(INDEX(ERP資料!$G:$G, (MATCH(759, 輔助計算!$G$2:$G$801, 0)+1))&lt;=1181,2,1)))), "")&amp;IF(AND(IF(INT(INDEX(輔助計算!$D:$D, (MATCH(759, 輔助計算!$G$2:$G$801, 0)+1))/IF(INDEX(ERP資料!$G:$G, (MATCH(759, 輔助計算!$G$2:$G$801, 0)+1))&lt;100, IF(INDEX(ERP資料!$G:$G, (MATCH(759, 輔助計算!$G$2:$G$801, 0)+1))&lt;=31,3,IF(INDEX(ERP資料!$G:$G, (MATCH(759, 輔助計算!$G$2:$G$801, 0)+1))&lt;=46.5,2,1)), IF(INDEX(ERP資料!$G:$G, (MATCH(759, 輔助計算!$G$2:$G$801, 0)+1))&lt;=790,3,IF(INDEX(ERP資料!$G:$G, (MATCH(759, 輔助計算!$G$2:$G$801, 0)+1))&lt;=1181,2,1))))&gt;0, IF(IF(INDEX(ERP資料!$G:$G, (MATCH(759, 輔助計算!$G$2:$G$801, 0)+1))&lt;100, IF(INDEX(ERP資料!$G:$G, (MATCH(759, 輔助計算!$G$2:$G$801, 0)+1))&lt;=31,3,IF(INDEX(ERP資料!$G:$G, (MATCH(759, 輔助計算!$G$2:$G$801, 0)+1))&lt;=46.5,2,1)), IF(INDEX(ERP資料!$G:$G, (MATCH(759, 輔助計算!$G$2:$G$801, 0)+1))&lt;=790,3,IF(INDEX(ERP資料!$G:$G, (MATCH(759, 輔助計算!$G$2:$G$801, 0)+1))&lt;=1181,2,1)))=1,TEXT(INDEX(ERP資料!$G:$G, (MATCH(759, 輔助計算!$G$2:$G$801, 0)+1)),"0.##"),IF(IF(INDEX(ERP資料!$G:$G, (MATCH(759, 輔助計算!$G$2:$G$801, 0)+1))&lt;100, IF(INDEX(ERP資料!$G:$G, (MATCH(759, 輔助計算!$G$2:$G$801, 0)+1))&lt;=31,3,IF(INDEX(ERP資料!$G:$G, (MATCH(759, 輔助計算!$G$2:$G$801, 0)+1))&lt;=46.5,2,1)), IF(INDEX(ERP資料!$G:$G, (MATCH(759, 輔助計算!$G$2:$G$801, 0)+1))&lt;=790,3,IF(INDEX(ERP資料!$G:$G, (MATCH(759, 輔助計算!$G$2:$G$801, 0)+1))&lt;=1181,2,1)))=2,TEXT(INDEX(ERP資料!$G:$G, (MATCH(759, 輔助計算!$G$2:$G$801, 0)+1)),"0.##")&amp;"+"&amp;TEXT(INDEX(ERP資料!$G:$G, (MATCH(759, 輔助計算!$G$2:$G$801, 0)+1)),"0.##"),TEXT(INDEX(ERP資料!$G:$G, (MATCH(759, 輔助計算!$G$2:$G$801, 0)+1)),"0.##")&amp;"+"&amp;TEXT(INDEX(ERP資料!$G:$G, (MATCH(759, 輔助計算!$G$2:$G$801, 0)+1)),"0.##")&amp;"+"&amp;TEXT(INDEX(ERP資料!$G:$G, (MATCH(759, 輔助計算!$G$2:$G$801, 0)+1)),"0.##")))&amp;"-"&amp;INT(INDEX(輔助計算!$D:$D, (MATCH(759, 輔助計算!$G$2:$G$801, 0)+1))/IF(INDEX(ERP資料!$G:$G, (MATCH(759, 輔助計算!$G$2:$G$801, 0)+1))&lt;100, IF(INDEX(ERP資料!$G:$G, (MATCH(759, 輔助計算!$G$2:$G$801, 0)+1))&lt;=31,3,IF(INDEX(ERP資料!$G:$G, (MATCH(759, 輔助計算!$G$2:$G$801, 0)+1))&lt;=46.5,2,1)), IF(INDEX(ERP資料!$G:$G, (MATCH(759, 輔助計算!$G$2:$G$801, 0)+1))&lt;=790,3,IF(INDEX(ERP資料!$G:$G, (MATCH(759, 輔助計算!$G$2:$G$801, 0)+1))&lt;=1181,2,1)))), "")&lt;&gt;"",IF(MOD(INDEX(輔助計算!$D:$D, (MATCH(759, 輔助計算!$G$2:$G$801, 0)+1)),IF(INDEX(ERP資料!$G:$G, (MATCH(759, 輔助計算!$G$2:$G$801, 0)+1))&lt;100, IF(INDEX(ERP資料!$G:$G, (MATCH(759, 輔助計算!$G$2:$G$801, 0)+1))&lt;=31,3,IF(INDEX(ERP資料!$G:$G, (MATCH(759, 輔助計算!$G$2:$G$801, 0)+1))&lt;=46.5,2,1)), IF(INDEX(ERP資料!$G:$G, (MATCH(759, 輔助計算!$G$2:$G$801, 0)+1))&lt;=790,3,IF(INDEX(ERP資料!$G:$G, (MATCH(759, 輔助計算!$G$2:$G$801, 0)+1))&lt;=1181,2,1))))=0,"",IF(MOD(INDEX(輔助計算!$D:$D, (MATCH(759, 輔助計算!$G$2:$G$801, 0)+1)),IF(INDEX(ERP資料!$G:$G, (MATCH(759, 輔助計算!$G$2:$G$801, 0)+1))&lt;100, IF(INDEX(ERP資料!$G:$G, (MATCH(759, 輔助計算!$G$2:$G$801, 0)+1))&lt;=31,3,IF(INDEX(ERP資料!$G:$G, (MATCH(759, 輔助計算!$G$2:$G$801, 0)+1))&lt;=46.5,2,1)), IF(INDEX(ERP資料!$G:$G, (MATCH(759, 輔助計算!$G$2:$G$801, 0)+1))&lt;=790,3,IF(INDEX(ERP資料!$G:$G, (MATCH(759, 輔助計算!$G$2:$G$801, 0)+1))&lt;=1181,2,1))))=0,"",IF(MOD(INDEX(輔助計算!$D:$D, (MATCH(759, 輔助計算!$G$2:$G$801, 0)+1)),IF(INDEX(ERP資料!$G:$G, (MATCH(759, 輔助計算!$G$2:$G$801, 0)+1))&lt;100, IF(INDEX(ERP資料!$G:$G, (MATCH(759, 輔助計算!$G$2:$G$801, 0)+1))&lt;=31,3,IF(INDEX(ERP資料!$G:$G, (MATCH(759, 輔助計算!$G$2:$G$801, 0)+1))&lt;=46.5,2,1)), IF(INDEX(ERP資料!$G:$G, (MATCH(759, 輔助計算!$G$2:$G$801, 0)+1))&lt;=790,3,IF(INDEX(ERP資料!$G:$G, (MATCH(759, 輔助計算!$G$2:$G$801, 0)+1))&lt;=1181,2,1))))=1,TEXT(INDEX(ERP資料!$G:$G, (MATCH(759, 輔助計算!$G$2:$G$801, 0)+1)),"0.##"),IF(MOD(INDEX(輔助計算!$D:$D, (MATCH(759, 輔助計算!$G$2:$G$801, 0)+1)),IF(INDEX(ERP資料!$G:$G, (MATCH(759, 輔助計算!$G$2:$G$801, 0)+1))&lt;100, IF(INDEX(ERP資料!$G:$G, (MATCH(759, 輔助計算!$G$2:$G$801, 0)+1))&lt;=31,3,IF(INDEX(ERP資料!$G:$G, (MATCH(759, 輔助計算!$G$2:$G$801, 0)+1))&lt;=46.5,2,1)), IF(INDEX(ERP資料!$G:$G, (MATCH(759, 輔助計算!$G$2:$G$801, 0)+1))&lt;=790,3,IF(INDEX(ERP資料!$G:$G, (MATCH(759, 輔助計算!$G$2:$G$801, 0)+1))&lt;=1181,2,1))))=2,TEXT(INDEX(ERP資料!$G:$G, (MATCH(759, 輔助計算!$G$2:$G$801, 0)+1)),"0.##")&amp;"+"&amp;TEXT(INDEX(ERP資料!$G:$G, (MATCH(759, 輔助計算!$G$2:$G$801, 0)+1)),"0.##"),TEXT(INDEX(ERP資料!$G:$G, (MATCH(759, 輔助計算!$G$2:$G$801, 0)+1)),"0.##")&amp;"+"&amp;TEXT(INDEX(ERP資料!$G:$G, (MATCH(759, 輔助計算!$G$2:$G$801, 0)+1)),"0.##")&amp;"+"&amp;TEXT(INDEX(ERP資料!$G:$G, (MATCH(759, 輔助計算!$G$2:$G$801, 0)+1)),"0.##"))))&amp;"-1")&lt;&gt;""),"  ","")&amp;IF(MOD(INDEX(輔助計算!$D:$D, (MATCH(759, 輔助計算!$G$2:$G$801, 0)+1)),IF(INDEX(ERP資料!$G:$G, (MATCH(759, 輔助計算!$G$2:$G$801, 0)+1))&lt;100, IF(INDEX(ERP資料!$G:$G, (MATCH(759, 輔助計算!$G$2:$G$801, 0)+1))&lt;=31,3,IF(INDEX(ERP資料!$G:$G, (MATCH(759, 輔助計算!$G$2:$G$801, 0)+1))&lt;=46.5,2,1)), IF(INDEX(ERP資料!$G:$G, (MATCH(759, 輔助計算!$G$2:$G$801, 0)+1))&lt;=790,3,IF(INDEX(ERP資料!$G:$G, (MATCH(759, 輔助計算!$G$2:$G$801, 0)+1))&lt;=1181,2,1))))=0,"",IF(MOD(INDEX(輔助計算!$D:$D, (MATCH(759, 輔助計算!$G$2:$G$801, 0)+1)),IF(INDEX(ERP資料!$G:$G, (MATCH(759, 輔助計算!$G$2:$G$801, 0)+1))&lt;100, IF(INDEX(ERP資料!$G:$G, (MATCH(759, 輔助計算!$G$2:$G$801, 0)+1))&lt;=31,3,IF(INDEX(ERP資料!$G:$G, (MATCH(759, 輔助計算!$G$2:$G$801, 0)+1))&lt;=46.5,2,1)), IF(INDEX(ERP資料!$G:$G, (MATCH(759, 輔助計算!$G$2:$G$801, 0)+1))&lt;=790,3,IF(INDEX(ERP資料!$G:$G, (MATCH(759, 輔助計算!$G$2:$G$801, 0)+1))&lt;=1181,2,1))))=0,"",IF(MOD(INDEX(輔助計算!$D:$D, (MATCH(759, 輔助計算!$G$2:$G$801, 0)+1)),IF(INDEX(ERP資料!$G:$G, (MATCH(759, 輔助計算!$G$2:$G$801, 0)+1))&lt;100, IF(INDEX(ERP資料!$G:$G, (MATCH(759, 輔助計算!$G$2:$G$801, 0)+1))&lt;=31,3,IF(INDEX(ERP資料!$G:$G, (MATCH(759, 輔助計算!$G$2:$G$801, 0)+1))&lt;=46.5,2,1)), IF(INDEX(ERP資料!$G:$G, (MATCH(759, 輔助計算!$G$2:$G$801, 0)+1))&lt;=790,3,IF(INDEX(ERP資料!$G:$G, (MATCH(759, 輔助計算!$G$2:$G$801, 0)+1))&lt;=1181,2,1))))=1,TEXT(INDEX(ERP資料!$G:$G, (MATCH(759, 輔助計算!$G$2:$G$801, 0)+1)),"0.##"),IF(MOD(INDEX(輔助計算!$D:$D, (MATCH(759, 輔助計算!$G$2:$G$801, 0)+1)),IF(INDEX(ERP資料!$G:$G, (MATCH(759, 輔助計算!$G$2:$G$801, 0)+1))&lt;100, IF(INDEX(ERP資料!$G:$G, (MATCH(759, 輔助計算!$G$2:$G$801, 0)+1))&lt;=31,3,IF(INDEX(ERP資料!$G:$G, (MATCH(759, 輔助計算!$G$2:$G$801, 0)+1))&lt;=46.5,2,1)), IF(INDEX(ERP資料!$G:$G, (MATCH(759, 輔助計算!$G$2:$G$801, 0)+1))&lt;=790,3,IF(INDEX(ERP資料!$G:$G, (MATCH(759, 輔助計算!$G$2:$G$801, 0)+1))&lt;=1181,2,1))))=2,TEXT(INDEX(ERP資料!$G:$G, (MATCH(759, 輔助計算!$G$2:$G$801, 0)+1)),"0.##")&amp;"+"&amp;TEXT(INDEX(ERP資料!$G:$G, (MATCH(759, 輔助計算!$G$2:$G$801, 0)+1)),"0.##"),TEXT(INDEX(ERP資料!$G:$G, (MATCH(759, 輔助計算!$G$2:$G$801, 0)+1)),"0.##")&amp;"+"&amp;TEXT(INDEX(ERP資料!$G:$G, (MATCH(759, 輔助計算!$G$2:$G$801, 0)+1)),"0.##")&amp;"+"&amp;TEXT(INDEX(ERP資料!$G:$G, (MATCH(759, 輔助計算!$G$2:$G$801, 0)+1)),"0.##"))))&amp;"-1")), ""), "")</f>
        <v/>
      </c>
      <c r="K760" s="16" t="n"/>
      <c r="L760" s="14">
        <f>IFERROR(IF(AND(IFERROR(INDEX(ERP資料!$A:$A, (MATCH(759, 輔助計算!$G$2:$G$801, 0)+1)), "")&lt;&gt;"", IFERROR(INDEX(ERP資料!$A:$A, (MATCH(759, 輔助計算!$G$2:$G$801, 0)+1)), "")&lt;&gt;IFERROR(INDEX(ERP資料!$A:$A, MATCH(758, 輔助計算!$G$2:$G$801, 0)+1), "")), INDEX(ERP資料!$B:$B, (MATCH(759, 輔助計算!$G$2:$G$801, 0)+1)), ""), "")</f>
        <v/>
      </c>
      <c r="M760" s="17" t="n"/>
    </row>
    <row r="761">
      <c r="A761" s="10">
        <f>IFERROR(IF(AND(IFERROR(INDEX(ERP資料!$A:$A, (MATCH(760, 輔助計算!$G$2:$G$801, 0)+1)), "")&lt;&gt;"", IFERROR(INDEX(ERP資料!$A:$A, (MATCH(760, 輔助計算!$G$2:$G$801, 0)+1)), "")&lt;&gt;IFERROR(INDEX(ERP資料!$A:$A, MATCH(759, 輔助計算!$G$2:$G$801, 0)+1), "")), IFERROR(INDEX(ERP資料!$A:$A, (MATCH(760, 輔助計算!$G$2:$G$801, 0)+1)), ""), ""), "")</f>
        <v/>
      </c>
      <c r="B761" s="10">
        <f>IFERROR(IF(AND(IFERROR(INDEX(ERP資料!$A:$A, (MATCH(760, 輔助計算!$G$2:$G$801, 0)+1)), "")&lt;&gt;"", IFERROR(INDEX(ERP資料!$A:$A, (MATCH(760, 輔助計算!$G$2:$G$801, 0)+1)), "")&lt;&gt;IFERROR(INDEX(ERP資料!$A:$A, MATCH(759, 輔助計算!$G$2:$G$801, 0)+1), "")), INDEX(ERP資料!$S:$S, (MATCH(760, 輔助計算!$G$2:$G$801, 0)+1)), ""), "")</f>
        <v/>
      </c>
      <c r="C761" s="19">
        <f>IFERROR(IF(AND(IFERROR(INDEX(ERP資料!$A:$A, (MATCH(760, 輔助計算!$G$2:$G$801, 0)+1)), "")&lt;&gt;"", IFERROR(INDEX(ERP資料!$A:$A, (MATCH(760, 輔助計算!$G$2:$G$801, 0)+1)), "")&lt;&gt;IFERROR(INDEX(ERP資料!$A:$A, MATCH(759, 輔助計算!$G$2:$G$801, 0)+1), "")), IFERROR(VLOOKUP(LEFT(INDEX(ERP資料!$S:$S, (MATCH(760, 輔助計算!$G$2:$G$801, 0)+1)), 4), 紙管對照表!$A:$C, 3, FALSE), ""), ""), "")</f>
        <v/>
      </c>
      <c r="D761" s="16" t="n"/>
      <c r="E761" s="10">
        <f>IFERROR(IF(INDEX(ERP資料!$H:$H, (MATCH(760, 輔助計算!$G$2:$G$801, 0)+1))="","",INDEX(ERP資料!$H:$H, (MATCH(760, 輔助計算!$G$2:$G$801, 0)+1))), "")</f>
        <v/>
      </c>
      <c r="F761" s="10">
        <f>IFERROR(IF(INDEX(ERP資料!$E:$E, (MATCH(760, 輔助計算!$G$2:$G$801, 0)+1))="","",TRIM(INDEX(ERP資料!$E:$E, (MATCH(760, 輔助計算!$G$2:$G$801, 0)+1)))), "")</f>
        <v/>
      </c>
      <c r="G761" s="10">
        <f>IFERROR(IF(INDEX(ERP資料!$F:$F, (MATCH(760, 輔助計算!$G$2:$G$801, 0)+1))="","",INDEX(ERP資料!$F:$F, (MATCH(760, 輔助計算!$G$2:$G$801, 0)+1))), "")</f>
        <v/>
      </c>
      <c r="H761" s="10">
        <f>IFERROR(IF(INDEX(ERP資料!$G:$G, (MATCH(760, 輔助計算!$G$2:$G$801, 0)+1))="","",INDEX(ERP資料!$G:$G, (MATCH(760, 輔助計算!$G$2:$G$801, 0)+1))), "")</f>
        <v/>
      </c>
      <c r="I761" s="15">
        <f>IFERROR(INDEX(輔助計算!$D:$D, (MATCH(760, 輔助計算!$G$2:$G$801, 0)+1)), "")</f>
        <v/>
      </c>
      <c r="J761" s="15">
        <f>IFERROR(IF(AND(INDEX(輔助計算!$D:$D, (MATCH(760, 輔助計算!$G$2:$G$801, 0)+1))&lt;&gt;"", INDEX(ERP資料!$G:$G, (MATCH(760, 輔助計算!$G$2:$G$801, 0)+1))&lt;&gt;""), TRIM(IF(INT(INDEX(輔助計算!$D:$D, (MATCH(760, 輔助計算!$G$2:$G$801, 0)+1))/IF(INDEX(ERP資料!$G:$G, (MATCH(760, 輔助計算!$G$2:$G$801, 0)+1))&lt;100, IF(INDEX(ERP資料!$G:$G, (MATCH(760, 輔助計算!$G$2:$G$801, 0)+1))&lt;=31,3,IF(INDEX(ERP資料!$G:$G, (MATCH(760, 輔助計算!$G$2:$G$801, 0)+1))&lt;=46.5,2,1)), IF(INDEX(ERP資料!$G:$G, (MATCH(760, 輔助計算!$G$2:$G$801, 0)+1))&lt;=790,3,IF(INDEX(ERP資料!$G:$G, (MATCH(760, 輔助計算!$G$2:$G$801, 0)+1))&lt;=1181,2,1))))&gt;0, IF(IF(INDEX(ERP資料!$G:$G, (MATCH(760, 輔助計算!$G$2:$G$801, 0)+1))&lt;100, IF(INDEX(ERP資料!$G:$G, (MATCH(760, 輔助計算!$G$2:$G$801, 0)+1))&lt;=31,3,IF(INDEX(ERP資料!$G:$G, (MATCH(760, 輔助計算!$G$2:$G$801, 0)+1))&lt;=46.5,2,1)), IF(INDEX(ERP資料!$G:$G, (MATCH(760, 輔助計算!$G$2:$G$801, 0)+1))&lt;=790,3,IF(INDEX(ERP資料!$G:$G, (MATCH(760, 輔助計算!$G$2:$G$801, 0)+1))&lt;=1181,2,1)))=1,TEXT(INDEX(ERP資料!$G:$G, (MATCH(760, 輔助計算!$G$2:$G$801, 0)+1)),"0.##"),IF(IF(INDEX(ERP資料!$G:$G, (MATCH(760, 輔助計算!$G$2:$G$801, 0)+1))&lt;100, IF(INDEX(ERP資料!$G:$G, (MATCH(760, 輔助計算!$G$2:$G$801, 0)+1))&lt;=31,3,IF(INDEX(ERP資料!$G:$G, (MATCH(760, 輔助計算!$G$2:$G$801, 0)+1))&lt;=46.5,2,1)), IF(INDEX(ERP資料!$G:$G, (MATCH(760, 輔助計算!$G$2:$G$801, 0)+1))&lt;=790,3,IF(INDEX(ERP資料!$G:$G, (MATCH(760, 輔助計算!$G$2:$G$801, 0)+1))&lt;=1181,2,1)))=2,TEXT(INDEX(ERP資料!$G:$G, (MATCH(760, 輔助計算!$G$2:$G$801, 0)+1)),"0.##")&amp;"+"&amp;TEXT(INDEX(ERP資料!$G:$G, (MATCH(760, 輔助計算!$G$2:$G$801, 0)+1)),"0.##"),TEXT(INDEX(ERP資料!$G:$G, (MATCH(760, 輔助計算!$G$2:$G$801, 0)+1)),"0.##")&amp;"+"&amp;TEXT(INDEX(ERP資料!$G:$G, (MATCH(760, 輔助計算!$G$2:$G$801, 0)+1)),"0.##")&amp;"+"&amp;TEXT(INDEX(ERP資料!$G:$G, (MATCH(760, 輔助計算!$G$2:$G$801, 0)+1)),"0.##")))&amp;"-"&amp;INT(INDEX(輔助計算!$D:$D, (MATCH(760, 輔助計算!$G$2:$G$801, 0)+1))/IF(INDEX(ERP資料!$G:$G, (MATCH(760, 輔助計算!$G$2:$G$801, 0)+1))&lt;100, IF(INDEX(ERP資料!$G:$G, (MATCH(760, 輔助計算!$G$2:$G$801, 0)+1))&lt;=31,3,IF(INDEX(ERP資料!$G:$G, (MATCH(760, 輔助計算!$G$2:$G$801, 0)+1))&lt;=46.5,2,1)), IF(INDEX(ERP資料!$G:$G, (MATCH(760, 輔助計算!$G$2:$G$801, 0)+1))&lt;=790,3,IF(INDEX(ERP資料!$G:$G, (MATCH(760, 輔助計算!$G$2:$G$801, 0)+1))&lt;=1181,2,1)))), "")&amp;IF(AND(IF(INT(INDEX(輔助計算!$D:$D, (MATCH(760, 輔助計算!$G$2:$G$801, 0)+1))/IF(INDEX(ERP資料!$G:$G, (MATCH(760, 輔助計算!$G$2:$G$801, 0)+1))&lt;100, IF(INDEX(ERP資料!$G:$G, (MATCH(760, 輔助計算!$G$2:$G$801, 0)+1))&lt;=31,3,IF(INDEX(ERP資料!$G:$G, (MATCH(760, 輔助計算!$G$2:$G$801, 0)+1))&lt;=46.5,2,1)), IF(INDEX(ERP資料!$G:$G, (MATCH(760, 輔助計算!$G$2:$G$801, 0)+1))&lt;=790,3,IF(INDEX(ERP資料!$G:$G, (MATCH(760, 輔助計算!$G$2:$G$801, 0)+1))&lt;=1181,2,1))))&gt;0, IF(IF(INDEX(ERP資料!$G:$G, (MATCH(760, 輔助計算!$G$2:$G$801, 0)+1))&lt;100, IF(INDEX(ERP資料!$G:$G, (MATCH(760, 輔助計算!$G$2:$G$801, 0)+1))&lt;=31,3,IF(INDEX(ERP資料!$G:$G, (MATCH(760, 輔助計算!$G$2:$G$801, 0)+1))&lt;=46.5,2,1)), IF(INDEX(ERP資料!$G:$G, (MATCH(760, 輔助計算!$G$2:$G$801, 0)+1))&lt;=790,3,IF(INDEX(ERP資料!$G:$G, (MATCH(760, 輔助計算!$G$2:$G$801, 0)+1))&lt;=1181,2,1)))=1,TEXT(INDEX(ERP資料!$G:$G, (MATCH(760, 輔助計算!$G$2:$G$801, 0)+1)),"0.##"),IF(IF(INDEX(ERP資料!$G:$G, (MATCH(760, 輔助計算!$G$2:$G$801, 0)+1))&lt;100, IF(INDEX(ERP資料!$G:$G, (MATCH(760, 輔助計算!$G$2:$G$801, 0)+1))&lt;=31,3,IF(INDEX(ERP資料!$G:$G, (MATCH(760, 輔助計算!$G$2:$G$801, 0)+1))&lt;=46.5,2,1)), IF(INDEX(ERP資料!$G:$G, (MATCH(760, 輔助計算!$G$2:$G$801, 0)+1))&lt;=790,3,IF(INDEX(ERP資料!$G:$G, (MATCH(760, 輔助計算!$G$2:$G$801, 0)+1))&lt;=1181,2,1)))=2,TEXT(INDEX(ERP資料!$G:$G, (MATCH(760, 輔助計算!$G$2:$G$801, 0)+1)),"0.##")&amp;"+"&amp;TEXT(INDEX(ERP資料!$G:$G, (MATCH(760, 輔助計算!$G$2:$G$801, 0)+1)),"0.##"),TEXT(INDEX(ERP資料!$G:$G, (MATCH(760, 輔助計算!$G$2:$G$801, 0)+1)),"0.##")&amp;"+"&amp;TEXT(INDEX(ERP資料!$G:$G, (MATCH(760, 輔助計算!$G$2:$G$801, 0)+1)),"0.##")&amp;"+"&amp;TEXT(INDEX(ERP資料!$G:$G, (MATCH(760, 輔助計算!$G$2:$G$801, 0)+1)),"0.##")))&amp;"-"&amp;INT(INDEX(輔助計算!$D:$D, (MATCH(760, 輔助計算!$G$2:$G$801, 0)+1))/IF(INDEX(ERP資料!$G:$G, (MATCH(760, 輔助計算!$G$2:$G$801, 0)+1))&lt;100, IF(INDEX(ERP資料!$G:$G, (MATCH(760, 輔助計算!$G$2:$G$801, 0)+1))&lt;=31,3,IF(INDEX(ERP資料!$G:$G, (MATCH(760, 輔助計算!$G$2:$G$801, 0)+1))&lt;=46.5,2,1)), IF(INDEX(ERP資料!$G:$G, (MATCH(760, 輔助計算!$G$2:$G$801, 0)+1))&lt;=790,3,IF(INDEX(ERP資料!$G:$G, (MATCH(760, 輔助計算!$G$2:$G$801, 0)+1))&lt;=1181,2,1)))), "")&lt;&gt;"",IF(MOD(INDEX(輔助計算!$D:$D, (MATCH(760, 輔助計算!$G$2:$G$801, 0)+1)),IF(INDEX(ERP資料!$G:$G, (MATCH(760, 輔助計算!$G$2:$G$801, 0)+1))&lt;100, IF(INDEX(ERP資料!$G:$G, (MATCH(760, 輔助計算!$G$2:$G$801, 0)+1))&lt;=31,3,IF(INDEX(ERP資料!$G:$G, (MATCH(760, 輔助計算!$G$2:$G$801, 0)+1))&lt;=46.5,2,1)), IF(INDEX(ERP資料!$G:$G, (MATCH(760, 輔助計算!$G$2:$G$801, 0)+1))&lt;=790,3,IF(INDEX(ERP資料!$G:$G, (MATCH(760, 輔助計算!$G$2:$G$801, 0)+1))&lt;=1181,2,1))))=0,"",IF(MOD(INDEX(輔助計算!$D:$D, (MATCH(760, 輔助計算!$G$2:$G$801, 0)+1)),IF(INDEX(ERP資料!$G:$G, (MATCH(760, 輔助計算!$G$2:$G$801, 0)+1))&lt;100, IF(INDEX(ERP資料!$G:$G, (MATCH(760, 輔助計算!$G$2:$G$801, 0)+1))&lt;=31,3,IF(INDEX(ERP資料!$G:$G, (MATCH(760, 輔助計算!$G$2:$G$801, 0)+1))&lt;=46.5,2,1)), IF(INDEX(ERP資料!$G:$G, (MATCH(760, 輔助計算!$G$2:$G$801, 0)+1))&lt;=790,3,IF(INDEX(ERP資料!$G:$G, (MATCH(760, 輔助計算!$G$2:$G$801, 0)+1))&lt;=1181,2,1))))=0,"",IF(MOD(INDEX(輔助計算!$D:$D, (MATCH(760, 輔助計算!$G$2:$G$801, 0)+1)),IF(INDEX(ERP資料!$G:$G, (MATCH(760, 輔助計算!$G$2:$G$801, 0)+1))&lt;100, IF(INDEX(ERP資料!$G:$G, (MATCH(760, 輔助計算!$G$2:$G$801, 0)+1))&lt;=31,3,IF(INDEX(ERP資料!$G:$G, (MATCH(760, 輔助計算!$G$2:$G$801, 0)+1))&lt;=46.5,2,1)), IF(INDEX(ERP資料!$G:$G, (MATCH(760, 輔助計算!$G$2:$G$801, 0)+1))&lt;=790,3,IF(INDEX(ERP資料!$G:$G, (MATCH(760, 輔助計算!$G$2:$G$801, 0)+1))&lt;=1181,2,1))))=1,TEXT(INDEX(ERP資料!$G:$G, (MATCH(760, 輔助計算!$G$2:$G$801, 0)+1)),"0.##"),IF(MOD(INDEX(輔助計算!$D:$D, (MATCH(760, 輔助計算!$G$2:$G$801, 0)+1)),IF(INDEX(ERP資料!$G:$G, (MATCH(760, 輔助計算!$G$2:$G$801, 0)+1))&lt;100, IF(INDEX(ERP資料!$G:$G, (MATCH(760, 輔助計算!$G$2:$G$801, 0)+1))&lt;=31,3,IF(INDEX(ERP資料!$G:$G, (MATCH(760, 輔助計算!$G$2:$G$801, 0)+1))&lt;=46.5,2,1)), IF(INDEX(ERP資料!$G:$G, (MATCH(760, 輔助計算!$G$2:$G$801, 0)+1))&lt;=790,3,IF(INDEX(ERP資料!$G:$G, (MATCH(760, 輔助計算!$G$2:$G$801, 0)+1))&lt;=1181,2,1))))=2,TEXT(INDEX(ERP資料!$G:$G, (MATCH(760, 輔助計算!$G$2:$G$801, 0)+1)),"0.##")&amp;"+"&amp;TEXT(INDEX(ERP資料!$G:$G, (MATCH(760, 輔助計算!$G$2:$G$801, 0)+1)),"0.##"),TEXT(INDEX(ERP資料!$G:$G, (MATCH(760, 輔助計算!$G$2:$G$801, 0)+1)),"0.##")&amp;"+"&amp;TEXT(INDEX(ERP資料!$G:$G, (MATCH(760, 輔助計算!$G$2:$G$801, 0)+1)),"0.##")&amp;"+"&amp;TEXT(INDEX(ERP資料!$G:$G, (MATCH(760, 輔助計算!$G$2:$G$801, 0)+1)),"0.##"))))&amp;"-1")&lt;&gt;""),"  ","")&amp;IF(MOD(INDEX(輔助計算!$D:$D, (MATCH(760, 輔助計算!$G$2:$G$801, 0)+1)),IF(INDEX(ERP資料!$G:$G, (MATCH(760, 輔助計算!$G$2:$G$801, 0)+1))&lt;100, IF(INDEX(ERP資料!$G:$G, (MATCH(760, 輔助計算!$G$2:$G$801, 0)+1))&lt;=31,3,IF(INDEX(ERP資料!$G:$G, (MATCH(760, 輔助計算!$G$2:$G$801, 0)+1))&lt;=46.5,2,1)), IF(INDEX(ERP資料!$G:$G, (MATCH(760, 輔助計算!$G$2:$G$801, 0)+1))&lt;=790,3,IF(INDEX(ERP資料!$G:$G, (MATCH(760, 輔助計算!$G$2:$G$801, 0)+1))&lt;=1181,2,1))))=0,"",IF(MOD(INDEX(輔助計算!$D:$D, (MATCH(760, 輔助計算!$G$2:$G$801, 0)+1)),IF(INDEX(ERP資料!$G:$G, (MATCH(760, 輔助計算!$G$2:$G$801, 0)+1))&lt;100, IF(INDEX(ERP資料!$G:$G, (MATCH(760, 輔助計算!$G$2:$G$801, 0)+1))&lt;=31,3,IF(INDEX(ERP資料!$G:$G, (MATCH(760, 輔助計算!$G$2:$G$801, 0)+1))&lt;=46.5,2,1)), IF(INDEX(ERP資料!$G:$G, (MATCH(760, 輔助計算!$G$2:$G$801, 0)+1))&lt;=790,3,IF(INDEX(ERP資料!$G:$G, (MATCH(760, 輔助計算!$G$2:$G$801, 0)+1))&lt;=1181,2,1))))=0,"",IF(MOD(INDEX(輔助計算!$D:$D, (MATCH(760, 輔助計算!$G$2:$G$801, 0)+1)),IF(INDEX(ERP資料!$G:$G, (MATCH(760, 輔助計算!$G$2:$G$801, 0)+1))&lt;100, IF(INDEX(ERP資料!$G:$G, (MATCH(760, 輔助計算!$G$2:$G$801, 0)+1))&lt;=31,3,IF(INDEX(ERP資料!$G:$G, (MATCH(760, 輔助計算!$G$2:$G$801, 0)+1))&lt;=46.5,2,1)), IF(INDEX(ERP資料!$G:$G, (MATCH(760, 輔助計算!$G$2:$G$801, 0)+1))&lt;=790,3,IF(INDEX(ERP資料!$G:$G, (MATCH(760, 輔助計算!$G$2:$G$801, 0)+1))&lt;=1181,2,1))))=1,TEXT(INDEX(ERP資料!$G:$G, (MATCH(760, 輔助計算!$G$2:$G$801, 0)+1)),"0.##"),IF(MOD(INDEX(輔助計算!$D:$D, (MATCH(760, 輔助計算!$G$2:$G$801, 0)+1)),IF(INDEX(ERP資料!$G:$G, (MATCH(760, 輔助計算!$G$2:$G$801, 0)+1))&lt;100, IF(INDEX(ERP資料!$G:$G, (MATCH(760, 輔助計算!$G$2:$G$801, 0)+1))&lt;=31,3,IF(INDEX(ERP資料!$G:$G, (MATCH(760, 輔助計算!$G$2:$G$801, 0)+1))&lt;=46.5,2,1)), IF(INDEX(ERP資料!$G:$G, (MATCH(760, 輔助計算!$G$2:$G$801, 0)+1))&lt;=790,3,IF(INDEX(ERP資料!$G:$G, (MATCH(760, 輔助計算!$G$2:$G$801, 0)+1))&lt;=1181,2,1))))=2,TEXT(INDEX(ERP資料!$G:$G, (MATCH(760, 輔助計算!$G$2:$G$801, 0)+1)),"0.##")&amp;"+"&amp;TEXT(INDEX(ERP資料!$G:$G, (MATCH(760, 輔助計算!$G$2:$G$801, 0)+1)),"0.##"),TEXT(INDEX(ERP資料!$G:$G, (MATCH(760, 輔助計算!$G$2:$G$801, 0)+1)),"0.##")&amp;"+"&amp;TEXT(INDEX(ERP資料!$G:$G, (MATCH(760, 輔助計算!$G$2:$G$801, 0)+1)),"0.##")&amp;"+"&amp;TEXT(INDEX(ERP資料!$G:$G, (MATCH(760, 輔助計算!$G$2:$G$801, 0)+1)),"0.##"))))&amp;"-1")), ""), "")</f>
        <v/>
      </c>
      <c r="K761" s="16" t="n"/>
      <c r="L761" s="14">
        <f>IFERROR(IF(AND(IFERROR(INDEX(ERP資料!$A:$A, (MATCH(760, 輔助計算!$G$2:$G$801, 0)+1)), "")&lt;&gt;"", IFERROR(INDEX(ERP資料!$A:$A, (MATCH(760, 輔助計算!$G$2:$G$801, 0)+1)), "")&lt;&gt;IFERROR(INDEX(ERP資料!$A:$A, MATCH(759, 輔助計算!$G$2:$G$801, 0)+1), "")), INDEX(ERP資料!$B:$B, (MATCH(760, 輔助計算!$G$2:$G$801, 0)+1)), ""), "")</f>
        <v/>
      </c>
      <c r="M761" s="17" t="n"/>
    </row>
    <row r="762">
      <c r="A762" s="10">
        <f>IFERROR(IF(AND(IFERROR(INDEX(ERP資料!$A:$A, (MATCH(761, 輔助計算!$G$2:$G$801, 0)+1)), "")&lt;&gt;"", IFERROR(INDEX(ERP資料!$A:$A, (MATCH(761, 輔助計算!$G$2:$G$801, 0)+1)), "")&lt;&gt;IFERROR(INDEX(ERP資料!$A:$A, MATCH(760, 輔助計算!$G$2:$G$801, 0)+1), "")), IFERROR(INDEX(ERP資料!$A:$A, (MATCH(761, 輔助計算!$G$2:$G$801, 0)+1)), ""), ""), "")</f>
        <v/>
      </c>
      <c r="B762" s="10">
        <f>IFERROR(IF(AND(IFERROR(INDEX(ERP資料!$A:$A, (MATCH(761, 輔助計算!$G$2:$G$801, 0)+1)), "")&lt;&gt;"", IFERROR(INDEX(ERP資料!$A:$A, (MATCH(761, 輔助計算!$G$2:$G$801, 0)+1)), "")&lt;&gt;IFERROR(INDEX(ERP資料!$A:$A, MATCH(760, 輔助計算!$G$2:$G$801, 0)+1), "")), INDEX(ERP資料!$S:$S, (MATCH(761, 輔助計算!$G$2:$G$801, 0)+1)), ""), "")</f>
        <v/>
      </c>
      <c r="C762" s="19">
        <f>IFERROR(IF(AND(IFERROR(INDEX(ERP資料!$A:$A, (MATCH(761, 輔助計算!$G$2:$G$801, 0)+1)), "")&lt;&gt;"", IFERROR(INDEX(ERP資料!$A:$A, (MATCH(761, 輔助計算!$G$2:$G$801, 0)+1)), "")&lt;&gt;IFERROR(INDEX(ERP資料!$A:$A, MATCH(760, 輔助計算!$G$2:$G$801, 0)+1), "")), IFERROR(VLOOKUP(LEFT(INDEX(ERP資料!$S:$S, (MATCH(761, 輔助計算!$G$2:$G$801, 0)+1)), 4), 紙管對照表!$A:$C, 3, FALSE), ""), ""), "")</f>
        <v/>
      </c>
      <c r="D762" s="16" t="n"/>
      <c r="E762" s="10">
        <f>IFERROR(IF(INDEX(ERP資料!$H:$H, (MATCH(761, 輔助計算!$G$2:$G$801, 0)+1))="","",INDEX(ERP資料!$H:$H, (MATCH(761, 輔助計算!$G$2:$G$801, 0)+1))), "")</f>
        <v/>
      </c>
      <c r="F762" s="10">
        <f>IFERROR(IF(INDEX(ERP資料!$E:$E, (MATCH(761, 輔助計算!$G$2:$G$801, 0)+1))="","",TRIM(INDEX(ERP資料!$E:$E, (MATCH(761, 輔助計算!$G$2:$G$801, 0)+1)))), "")</f>
        <v/>
      </c>
      <c r="G762" s="10">
        <f>IFERROR(IF(INDEX(ERP資料!$F:$F, (MATCH(761, 輔助計算!$G$2:$G$801, 0)+1))="","",INDEX(ERP資料!$F:$F, (MATCH(761, 輔助計算!$G$2:$G$801, 0)+1))), "")</f>
        <v/>
      </c>
      <c r="H762" s="10">
        <f>IFERROR(IF(INDEX(ERP資料!$G:$G, (MATCH(761, 輔助計算!$G$2:$G$801, 0)+1))="","",INDEX(ERP資料!$G:$G, (MATCH(761, 輔助計算!$G$2:$G$801, 0)+1))), "")</f>
        <v/>
      </c>
      <c r="I762" s="15">
        <f>IFERROR(INDEX(輔助計算!$D:$D, (MATCH(761, 輔助計算!$G$2:$G$801, 0)+1)), "")</f>
        <v/>
      </c>
      <c r="J762" s="15">
        <f>IFERROR(IF(AND(INDEX(輔助計算!$D:$D, (MATCH(761, 輔助計算!$G$2:$G$801, 0)+1))&lt;&gt;"", INDEX(ERP資料!$G:$G, (MATCH(761, 輔助計算!$G$2:$G$801, 0)+1))&lt;&gt;""), TRIM(IF(INT(INDEX(輔助計算!$D:$D, (MATCH(761, 輔助計算!$G$2:$G$801, 0)+1))/IF(INDEX(ERP資料!$G:$G, (MATCH(761, 輔助計算!$G$2:$G$801, 0)+1))&lt;100, IF(INDEX(ERP資料!$G:$G, (MATCH(761, 輔助計算!$G$2:$G$801, 0)+1))&lt;=31,3,IF(INDEX(ERP資料!$G:$G, (MATCH(761, 輔助計算!$G$2:$G$801, 0)+1))&lt;=46.5,2,1)), IF(INDEX(ERP資料!$G:$G, (MATCH(761, 輔助計算!$G$2:$G$801, 0)+1))&lt;=790,3,IF(INDEX(ERP資料!$G:$G, (MATCH(761, 輔助計算!$G$2:$G$801, 0)+1))&lt;=1181,2,1))))&gt;0, IF(IF(INDEX(ERP資料!$G:$G, (MATCH(761, 輔助計算!$G$2:$G$801, 0)+1))&lt;100, IF(INDEX(ERP資料!$G:$G, (MATCH(761, 輔助計算!$G$2:$G$801, 0)+1))&lt;=31,3,IF(INDEX(ERP資料!$G:$G, (MATCH(761, 輔助計算!$G$2:$G$801, 0)+1))&lt;=46.5,2,1)), IF(INDEX(ERP資料!$G:$G, (MATCH(761, 輔助計算!$G$2:$G$801, 0)+1))&lt;=790,3,IF(INDEX(ERP資料!$G:$G, (MATCH(761, 輔助計算!$G$2:$G$801, 0)+1))&lt;=1181,2,1)))=1,TEXT(INDEX(ERP資料!$G:$G, (MATCH(761, 輔助計算!$G$2:$G$801, 0)+1)),"0.##"),IF(IF(INDEX(ERP資料!$G:$G, (MATCH(761, 輔助計算!$G$2:$G$801, 0)+1))&lt;100, IF(INDEX(ERP資料!$G:$G, (MATCH(761, 輔助計算!$G$2:$G$801, 0)+1))&lt;=31,3,IF(INDEX(ERP資料!$G:$G, (MATCH(761, 輔助計算!$G$2:$G$801, 0)+1))&lt;=46.5,2,1)), IF(INDEX(ERP資料!$G:$G, (MATCH(761, 輔助計算!$G$2:$G$801, 0)+1))&lt;=790,3,IF(INDEX(ERP資料!$G:$G, (MATCH(761, 輔助計算!$G$2:$G$801, 0)+1))&lt;=1181,2,1)))=2,TEXT(INDEX(ERP資料!$G:$G, (MATCH(761, 輔助計算!$G$2:$G$801, 0)+1)),"0.##")&amp;"+"&amp;TEXT(INDEX(ERP資料!$G:$G, (MATCH(761, 輔助計算!$G$2:$G$801, 0)+1)),"0.##"),TEXT(INDEX(ERP資料!$G:$G, (MATCH(761, 輔助計算!$G$2:$G$801, 0)+1)),"0.##")&amp;"+"&amp;TEXT(INDEX(ERP資料!$G:$G, (MATCH(761, 輔助計算!$G$2:$G$801, 0)+1)),"0.##")&amp;"+"&amp;TEXT(INDEX(ERP資料!$G:$G, (MATCH(761, 輔助計算!$G$2:$G$801, 0)+1)),"0.##")))&amp;"-"&amp;INT(INDEX(輔助計算!$D:$D, (MATCH(761, 輔助計算!$G$2:$G$801, 0)+1))/IF(INDEX(ERP資料!$G:$G, (MATCH(761, 輔助計算!$G$2:$G$801, 0)+1))&lt;100, IF(INDEX(ERP資料!$G:$G, (MATCH(761, 輔助計算!$G$2:$G$801, 0)+1))&lt;=31,3,IF(INDEX(ERP資料!$G:$G, (MATCH(761, 輔助計算!$G$2:$G$801, 0)+1))&lt;=46.5,2,1)), IF(INDEX(ERP資料!$G:$G, (MATCH(761, 輔助計算!$G$2:$G$801, 0)+1))&lt;=790,3,IF(INDEX(ERP資料!$G:$G, (MATCH(761, 輔助計算!$G$2:$G$801, 0)+1))&lt;=1181,2,1)))), "")&amp;IF(AND(IF(INT(INDEX(輔助計算!$D:$D, (MATCH(761, 輔助計算!$G$2:$G$801, 0)+1))/IF(INDEX(ERP資料!$G:$G, (MATCH(761, 輔助計算!$G$2:$G$801, 0)+1))&lt;100, IF(INDEX(ERP資料!$G:$G, (MATCH(761, 輔助計算!$G$2:$G$801, 0)+1))&lt;=31,3,IF(INDEX(ERP資料!$G:$G, (MATCH(761, 輔助計算!$G$2:$G$801, 0)+1))&lt;=46.5,2,1)), IF(INDEX(ERP資料!$G:$G, (MATCH(761, 輔助計算!$G$2:$G$801, 0)+1))&lt;=790,3,IF(INDEX(ERP資料!$G:$G, (MATCH(761, 輔助計算!$G$2:$G$801, 0)+1))&lt;=1181,2,1))))&gt;0, IF(IF(INDEX(ERP資料!$G:$G, (MATCH(761, 輔助計算!$G$2:$G$801, 0)+1))&lt;100, IF(INDEX(ERP資料!$G:$G, (MATCH(761, 輔助計算!$G$2:$G$801, 0)+1))&lt;=31,3,IF(INDEX(ERP資料!$G:$G, (MATCH(761, 輔助計算!$G$2:$G$801, 0)+1))&lt;=46.5,2,1)), IF(INDEX(ERP資料!$G:$G, (MATCH(761, 輔助計算!$G$2:$G$801, 0)+1))&lt;=790,3,IF(INDEX(ERP資料!$G:$G, (MATCH(761, 輔助計算!$G$2:$G$801, 0)+1))&lt;=1181,2,1)))=1,TEXT(INDEX(ERP資料!$G:$G, (MATCH(761, 輔助計算!$G$2:$G$801, 0)+1)),"0.##"),IF(IF(INDEX(ERP資料!$G:$G, (MATCH(761, 輔助計算!$G$2:$G$801, 0)+1))&lt;100, IF(INDEX(ERP資料!$G:$G, (MATCH(761, 輔助計算!$G$2:$G$801, 0)+1))&lt;=31,3,IF(INDEX(ERP資料!$G:$G, (MATCH(761, 輔助計算!$G$2:$G$801, 0)+1))&lt;=46.5,2,1)), IF(INDEX(ERP資料!$G:$G, (MATCH(761, 輔助計算!$G$2:$G$801, 0)+1))&lt;=790,3,IF(INDEX(ERP資料!$G:$G, (MATCH(761, 輔助計算!$G$2:$G$801, 0)+1))&lt;=1181,2,1)))=2,TEXT(INDEX(ERP資料!$G:$G, (MATCH(761, 輔助計算!$G$2:$G$801, 0)+1)),"0.##")&amp;"+"&amp;TEXT(INDEX(ERP資料!$G:$G, (MATCH(761, 輔助計算!$G$2:$G$801, 0)+1)),"0.##"),TEXT(INDEX(ERP資料!$G:$G, (MATCH(761, 輔助計算!$G$2:$G$801, 0)+1)),"0.##")&amp;"+"&amp;TEXT(INDEX(ERP資料!$G:$G, (MATCH(761, 輔助計算!$G$2:$G$801, 0)+1)),"0.##")&amp;"+"&amp;TEXT(INDEX(ERP資料!$G:$G, (MATCH(761, 輔助計算!$G$2:$G$801, 0)+1)),"0.##")))&amp;"-"&amp;INT(INDEX(輔助計算!$D:$D, (MATCH(761, 輔助計算!$G$2:$G$801, 0)+1))/IF(INDEX(ERP資料!$G:$G, (MATCH(761, 輔助計算!$G$2:$G$801, 0)+1))&lt;100, IF(INDEX(ERP資料!$G:$G, (MATCH(761, 輔助計算!$G$2:$G$801, 0)+1))&lt;=31,3,IF(INDEX(ERP資料!$G:$G, (MATCH(761, 輔助計算!$G$2:$G$801, 0)+1))&lt;=46.5,2,1)), IF(INDEX(ERP資料!$G:$G, (MATCH(761, 輔助計算!$G$2:$G$801, 0)+1))&lt;=790,3,IF(INDEX(ERP資料!$G:$G, (MATCH(761, 輔助計算!$G$2:$G$801, 0)+1))&lt;=1181,2,1)))), "")&lt;&gt;"",IF(MOD(INDEX(輔助計算!$D:$D, (MATCH(761, 輔助計算!$G$2:$G$801, 0)+1)),IF(INDEX(ERP資料!$G:$G, (MATCH(761, 輔助計算!$G$2:$G$801, 0)+1))&lt;100, IF(INDEX(ERP資料!$G:$G, (MATCH(761, 輔助計算!$G$2:$G$801, 0)+1))&lt;=31,3,IF(INDEX(ERP資料!$G:$G, (MATCH(761, 輔助計算!$G$2:$G$801, 0)+1))&lt;=46.5,2,1)), IF(INDEX(ERP資料!$G:$G, (MATCH(761, 輔助計算!$G$2:$G$801, 0)+1))&lt;=790,3,IF(INDEX(ERP資料!$G:$G, (MATCH(761, 輔助計算!$G$2:$G$801, 0)+1))&lt;=1181,2,1))))=0,"",IF(MOD(INDEX(輔助計算!$D:$D, (MATCH(761, 輔助計算!$G$2:$G$801, 0)+1)),IF(INDEX(ERP資料!$G:$G, (MATCH(761, 輔助計算!$G$2:$G$801, 0)+1))&lt;100, IF(INDEX(ERP資料!$G:$G, (MATCH(761, 輔助計算!$G$2:$G$801, 0)+1))&lt;=31,3,IF(INDEX(ERP資料!$G:$G, (MATCH(761, 輔助計算!$G$2:$G$801, 0)+1))&lt;=46.5,2,1)), IF(INDEX(ERP資料!$G:$G, (MATCH(761, 輔助計算!$G$2:$G$801, 0)+1))&lt;=790,3,IF(INDEX(ERP資料!$G:$G, (MATCH(761, 輔助計算!$G$2:$G$801, 0)+1))&lt;=1181,2,1))))=0,"",IF(MOD(INDEX(輔助計算!$D:$D, (MATCH(761, 輔助計算!$G$2:$G$801, 0)+1)),IF(INDEX(ERP資料!$G:$G, (MATCH(761, 輔助計算!$G$2:$G$801, 0)+1))&lt;100, IF(INDEX(ERP資料!$G:$G, (MATCH(761, 輔助計算!$G$2:$G$801, 0)+1))&lt;=31,3,IF(INDEX(ERP資料!$G:$G, (MATCH(761, 輔助計算!$G$2:$G$801, 0)+1))&lt;=46.5,2,1)), IF(INDEX(ERP資料!$G:$G, (MATCH(761, 輔助計算!$G$2:$G$801, 0)+1))&lt;=790,3,IF(INDEX(ERP資料!$G:$G, (MATCH(761, 輔助計算!$G$2:$G$801, 0)+1))&lt;=1181,2,1))))=1,TEXT(INDEX(ERP資料!$G:$G, (MATCH(761, 輔助計算!$G$2:$G$801, 0)+1)),"0.##"),IF(MOD(INDEX(輔助計算!$D:$D, (MATCH(761, 輔助計算!$G$2:$G$801, 0)+1)),IF(INDEX(ERP資料!$G:$G, (MATCH(761, 輔助計算!$G$2:$G$801, 0)+1))&lt;100, IF(INDEX(ERP資料!$G:$G, (MATCH(761, 輔助計算!$G$2:$G$801, 0)+1))&lt;=31,3,IF(INDEX(ERP資料!$G:$G, (MATCH(761, 輔助計算!$G$2:$G$801, 0)+1))&lt;=46.5,2,1)), IF(INDEX(ERP資料!$G:$G, (MATCH(761, 輔助計算!$G$2:$G$801, 0)+1))&lt;=790,3,IF(INDEX(ERP資料!$G:$G, (MATCH(761, 輔助計算!$G$2:$G$801, 0)+1))&lt;=1181,2,1))))=2,TEXT(INDEX(ERP資料!$G:$G, (MATCH(761, 輔助計算!$G$2:$G$801, 0)+1)),"0.##")&amp;"+"&amp;TEXT(INDEX(ERP資料!$G:$G, (MATCH(761, 輔助計算!$G$2:$G$801, 0)+1)),"0.##"),TEXT(INDEX(ERP資料!$G:$G, (MATCH(761, 輔助計算!$G$2:$G$801, 0)+1)),"0.##")&amp;"+"&amp;TEXT(INDEX(ERP資料!$G:$G, (MATCH(761, 輔助計算!$G$2:$G$801, 0)+1)),"0.##")&amp;"+"&amp;TEXT(INDEX(ERP資料!$G:$G, (MATCH(761, 輔助計算!$G$2:$G$801, 0)+1)),"0.##"))))&amp;"-1")&lt;&gt;""),"  ","")&amp;IF(MOD(INDEX(輔助計算!$D:$D, (MATCH(761, 輔助計算!$G$2:$G$801, 0)+1)),IF(INDEX(ERP資料!$G:$G, (MATCH(761, 輔助計算!$G$2:$G$801, 0)+1))&lt;100, IF(INDEX(ERP資料!$G:$G, (MATCH(761, 輔助計算!$G$2:$G$801, 0)+1))&lt;=31,3,IF(INDEX(ERP資料!$G:$G, (MATCH(761, 輔助計算!$G$2:$G$801, 0)+1))&lt;=46.5,2,1)), IF(INDEX(ERP資料!$G:$G, (MATCH(761, 輔助計算!$G$2:$G$801, 0)+1))&lt;=790,3,IF(INDEX(ERP資料!$G:$G, (MATCH(761, 輔助計算!$G$2:$G$801, 0)+1))&lt;=1181,2,1))))=0,"",IF(MOD(INDEX(輔助計算!$D:$D, (MATCH(761, 輔助計算!$G$2:$G$801, 0)+1)),IF(INDEX(ERP資料!$G:$G, (MATCH(761, 輔助計算!$G$2:$G$801, 0)+1))&lt;100, IF(INDEX(ERP資料!$G:$G, (MATCH(761, 輔助計算!$G$2:$G$801, 0)+1))&lt;=31,3,IF(INDEX(ERP資料!$G:$G, (MATCH(761, 輔助計算!$G$2:$G$801, 0)+1))&lt;=46.5,2,1)), IF(INDEX(ERP資料!$G:$G, (MATCH(761, 輔助計算!$G$2:$G$801, 0)+1))&lt;=790,3,IF(INDEX(ERP資料!$G:$G, (MATCH(761, 輔助計算!$G$2:$G$801, 0)+1))&lt;=1181,2,1))))=0,"",IF(MOD(INDEX(輔助計算!$D:$D, (MATCH(761, 輔助計算!$G$2:$G$801, 0)+1)),IF(INDEX(ERP資料!$G:$G, (MATCH(761, 輔助計算!$G$2:$G$801, 0)+1))&lt;100, IF(INDEX(ERP資料!$G:$G, (MATCH(761, 輔助計算!$G$2:$G$801, 0)+1))&lt;=31,3,IF(INDEX(ERP資料!$G:$G, (MATCH(761, 輔助計算!$G$2:$G$801, 0)+1))&lt;=46.5,2,1)), IF(INDEX(ERP資料!$G:$G, (MATCH(761, 輔助計算!$G$2:$G$801, 0)+1))&lt;=790,3,IF(INDEX(ERP資料!$G:$G, (MATCH(761, 輔助計算!$G$2:$G$801, 0)+1))&lt;=1181,2,1))))=1,TEXT(INDEX(ERP資料!$G:$G, (MATCH(761, 輔助計算!$G$2:$G$801, 0)+1)),"0.##"),IF(MOD(INDEX(輔助計算!$D:$D, (MATCH(761, 輔助計算!$G$2:$G$801, 0)+1)),IF(INDEX(ERP資料!$G:$G, (MATCH(761, 輔助計算!$G$2:$G$801, 0)+1))&lt;100, IF(INDEX(ERP資料!$G:$G, (MATCH(761, 輔助計算!$G$2:$G$801, 0)+1))&lt;=31,3,IF(INDEX(ERP資料!$G:$G, (MATCH(761, 輔助計算!$G$2:$G$801, 0)+1))&lt;=46.5,2,1)), IF(INDEX(ERP資料!$G:$G, (MATCH(761, 輔助計算!$G$2:$G$801, 0)+1))&lt;=790,3,IF(INDEX(ERP資料!$G:$G, (MATCH(761, 輔助計算!$G$2:$G$801, 0)+1))&lt;=1181,2,1))))=2,TEXT(INDEX(ERP資料!$G:$G, (MATCH(761, 輔助計算!$G$2:$G$801, 0)+1)),"0.##")&amp;"+"&amp;TEXT(INDEX(ERP資料!$G:$G, (MATCH(761, 輔助計算!$G$2:$G$801, 0)+1)),"0.##"),TEXT(INDEX(ERP資料!$G:$G, (MATCH(761, 輔助計算!$G$2:$G$801, 0)+1)),"0.##")&amp;"+"&amp;TEXT(INDEX(ERP資料!$G:$G, (MATCH(761, 輔助計算!$G$2:$G$801, 0)+1)),"0.##")&amp;"+"&amp;TEXT(INDEX(ERP資料!$G:$G, (MATCH(761, 輔助計算!$G$2:$G$801, 0)+1)),"0.##"))))&amp;"-1")), ""), "")</f>
        <v/>
      </c>
      <c r="K762" s="16" t="n"/>
      <c r="L762" s="14">
        <f>IFERROR(IF(AND(IFERROR(INDEX(ERP資料!$A:$A, (MATCH(761, 輔助計算!$G$2:$G$801, 0)+1)), "")&lt;&gt;"", IFERROR(INDEX(ERP資料!$A:$A, (MATCH(761, 輔助計算!$G$2:$G$801, 0)+1)), "")&lt;&gt;IFERROR(INDEX(ERP資料!$A:$A, MATCH(760, 輔助計算!$G$2:$G$801, 0)+1), "")), INDEX(ERP資料!$B:$B, (MATCH(761, 輔助計算!$G$2:$G$801, 0)+1)), ""), "")</f>
        <v/>
      </c>
      <c r="M762" s="17" t="n"/>
    </row>
    <row r="763">
      <c r="A763" s="10">
        <f>IFERROR(IF(AND(IFERROR(INDEX(ERP資料!$A:$A, (MATCH(762, 輔助計算!$G$2:$G$801, 0)+1)), "")&lt;&gt;"", IFERROR(INDEX(ERP資料!$A:$A, (MATCH(762, 輔助計算!$G$2:$G$801, 0)+1)), "")&lt;&gt;IFERROR(INDEX(ERP資料!$A:$A, MATCH(761, 輔助計算!$G$2:$G$801, 0)+1), "")), IFERROR(INDEX(ERP資料!$A:$A, (MATCH(762, 輔助計算!$G$2:$G$801, 0)+1)), ""), ""), "")</f>
        <v/>
      </c>
      <c r="B763" s="10">
        <f>IFERROR(IF(AND(IFERROR(INDEX(ERP資料!$A:$A, (MATCH(762, 輔助計算!$G$2:$G$801, 0)+1)), "")&lt;&gt;"", IFERROR(INDEX(ERP資料!$A:$A, (MATCH(762, 輔助計算!$G$2:$G$801, 0)+1)), "")&lt;&gt;IFERROR(INDEX(ERP資料!$A:$A, MATCH(761, 輔助計算!$G$2:$G$801, 0)+1), "")), INDEX(ERP資料!$S:$S, (MATCH(762, 輔助計算!$G$2:$G$801, 0)+1)), ""), "")</f>
        <v/>
      </c>
      <c r="C763" s="19">
        <f>IFERROR(IF(AND(IFERROR(INDEX(ERP資料!$A:$A, (MATCH(762, 輔助計算!$G$2:$G$801, 0)+1)), "")&lt;&gt;"", IFERROR(INDEX(ERP資料!$A:$A, (MATCH(762, 輔助計算!$G$2:$G$801, 0)+1)), "")&lt;&gt;IFERROR(INDEX(ERP資料!$A:$A, MATCH(761, 輔助計算!$G$2:$G$801, 0)+1), "")), IFERROR(VLOOKUP(LEFT(INDEX(ERP資料!$S:$S, (MATCH(762, 輔助計算!$G$2:$G$801, 0)+1)), 4), 紙管對照表!$A:$C, 3, FALSE), ""), ""), "")</f>
        <v/>
      </c>
      <c r="D763" s="16" t="n"/>
      <c r="E763" s="10">
        <f>IFERROR(IF(INDEX(ERP資料!$H:$H, (MATCH(762, 輔助計算!$G$2:$G$801, 0)+1))="","",INDEX(ERP資料!$H:$H, (MATCH(762, 輔助計算!$G$2:$G$801, 0)+1))), "")</f>
        <v/>
      </c>
      <c r="F763" s="10">
        <f>IFERROR(IF(INDEX(ERP資料!$E:$E, (MATCH(762, 輔助計算!$G$2:$G$801, 0)+1))="","",TRIM(INDEX(ERP資料!$E:$E, (MATCH(762, 輔助計算!$G$2:$G$801, 0)+1)))), "")</f>
        <v/>
      </c>
      <c r="G763" s="10">
        <f>IFERROR(IF(INDEX(ERP資料!$F:$F, (MATCH(762, 輔助計算!$G$2:$G$801, 0)+1))="","",INDEX(ERP資料!$F:$F, (MATCH(762, 輔助計算!$G$2:$G$801, 0)+1))), "")</f>
        <v/>
      </c>
      <c r="H763" s="10">
        <f>IFERROR(IF(INDEX(ERP資料!$G:$G, (MATCH(762, 輔助計算!$G$2:$G$801, 0)+1))="","",INDEX(ERP資料!$G:$G, (MATCH(762, 輔助計算!$G$2:$G$801, 0)+1))), "")</f>
        <v/>
      </c>
      <c r="I763" s="15">
        <f>IFERROR(INDEX(輔助計算!$D:$D, (MATCH(762, 輔助計算!$G$2:$G$801, 0)+1)), "")</f>
        <v/>
      </c>
      <c r="J763" s="15">
        <f>IFERROR(IF(AND(INDEX(輔助計算!$D:$D, (MATCH(762, 輔助計算!$G$2:$G$801, 0)+1))&lt;&gt;"", INDEX(ERP資料!$G:$G, (MATCH(762, 輔助計算!$G$2:$G$801, 0)+1))&lt;&gt;""), TRIM(IF(INT(INDEX(輔助計算!$D:$D, (MATCH(762, 輔助計算!$G$2:$G$801, 0)+1))/IF(INDEX(ERP資料!$G:$G, (MATCH(762, 輔助計算!$G$2:$G$801, 0)+1))&lt;100, IF(INDEX(ERP資料!$G:$G, (MATCH(762, 輔助計算!$G$2:$G$801, 0)+1))&lt;=31,3,IF(INDEX(ERP資料!$G:$G, (MATCH(762, 輔助計算!$G$2:$G$801, 0)+1))&lt;=46.5,2,1)), IF(INDEX(ERP資料!$G:$G, (MATCH(762, 輔助計算!$G$2:$G$801, 0)+1))&lt;=790,3,IF(INDEX(ERP資料!$G:$G, (MATCH(762, 輔助計算!$G$2:$G$801, 0)+1))&lt;=1181,2,1))))&gt;0, IF(IF(INDEX(ERP資料!$G:$G, (MATCH(762, 輔助計算!$G$2:$G$801, 0)+1))&lt;100, IF(INDEX(ERP資料!$G:$G, (MATCH(762, 輔助計算!$G$2:$G$801, 0)+1))&lt;=31,3,IF(INDEX(ERP資料!$G:$G, (MATCH(762, 輔助計算!$G$2:$G$801, 0)+1))&lt;=46.5,2,1)), IF(INDEX(ERP資料!$G:$G, (MATCH(762, 輔助計算!$G$2:$G$801, 0)+1))&lt;=790,3,IF(INDEX(ERP資料!$G:$G, (MATCH(762, 輔助計算!$G$2:$G$801, 0)+1))&lt;=1181,2,1)))=1,TEXT(INDEX(ERP資料!$G:$G, (MATCH(762, 輔助計算!$G$2:$G$801, 0)+1)),"0.##"),IF(IF(INDEX(ERP資料!$G:$G, (MATCH(762, 輔助計算!$G$2:$G$801, 0)+1))&lt;100, IF(INDEX(ERP資料!$G:$G, (MATCH(762, 輔助計算!$G$2:$G$801, 0)+1))&lt;=31,3,IF(INDEX(ERP資料!$G:$G, (MATCH(762, 輔助計算!$G$2:$G$801, 0)+1))&lt;=46.5,2,1)), IF(INDEX(ERP資料!$G:$G, (MATCH(762, 輔助計算!$G$2:$G$801, 0)+1))&lt;=790,3,IF(INDEX(ERP資料!$G:$G, (MATCH(762, 輔助計算!$G$2:$G$801, 0)+1))&lt;=1181,2,1)))=2,TEXT(INDEX(ERP資料!$G:$G, (MATCH(762, 輔助計算!$G$2:$G$801, 0)+1)),"0.##")&amp;"+"&amp;TEXT(INDEX(ERP資料!$G:$G, (MATCH(762, 輔助計算!$G$2:$G$801, 0)+1)),"0.##"),TEXT(INDEX(ERP資料!$G:$G, (MATCH(762, 輔助計算!$G$2:$G$801, 0)+1)),"0.##")&amp;"+"&amp;TEXT(INDEX(ERP資料!$G:$G, (MATCH(762, 輔助計算!$G$2:$G$801, 0)+1)),"0.##")&amp;"+"&amp;TEXT(INDEX(ERP資料!$G:$G, (MATCH(762, 輔助計算!$G$2:$G$801, 0)+1)),"0.##")))&amp;"-"&amp;INT(INDEX(輔助計算!$D:$D, (MATCH(762, 輔助計算!$G$2:$G$801, 0)+1))/IF(INDEX(ERP資料!$G:$G, (MATCH(762, 輔助計算!$G$2:$G$801, 0)+1))&lt;100, IF(INDEX(ERP資料!$G:$G, (MATCH(762, 輔助計算!$G$2:$G$801, 0)+1))&lt;=31,3,IF(INDEX(ERP資料!$G:$G, (MATCH(762, 輔助計算!$G$2:$G$801, 0)+1))&lt;=46.5,2,1)), IF(INDEX(ERP資料!$G:$G, (MATCH(762, 輔助計算!$G$2:$G$801, 0)+1))&lt;=790,3,IF(INDEX(ERP資料!$G:$G, (MATCH(762, 輔助計算!$G$2:$G$801, 0)+1))&lt;=1181,2,1)))), "")&amp;IF(AND(IF(INT(INDEX(輔助計算!$D:$D, (MATCH(762, 輔助計算!$G$2:$G$801, 0)+1))/IF(INDEX(ERP資料!$G:$G, (MATCH(762, 輔助計算!$G$2:$G$801, 0)+1))&lt;100, IF(INDEX(ERP資料!$G:$G, (MATCH(762, 輔助計算!$G$2:$G$801, 0)+1))&lt;=31,3,IF(INDEX(ERP資料!$G:$G, (MATCH(762, 輔助計算!$G$2:$G$801, 0)+1))&lt;=46.5,2,1)), IF(INDEX(ERP資料!$G:$G, (MATCH(762, 輔助計算!$G$2:$G$801, 0)+1))&lt;=790,3,IF(INDEX(ERP資料!$G:$G, (MATCH(762, 輔助計算!$G$2:$G$801, 0)+1))&lt;=1181,2,1))))&gt;0, IF(IF(INDEX(ERP資料!$G:$G, (MATCH(762, 輔助計算!$G$2:$G$801, 0)+1))&lt;100, IF(INDEX(ERP資料!$G:$G, (MATCH(762, 輔助計算!$G$2:$G$801, 0)+1))&lt;=31,3,IF(INDEX(ERP資料!$G:$G, (MATCH(762, 輔助計算!$G$2:$G$801, 0)+1))&lt;=46.5,2,1)), IF(INDEX(ERP資料!$G:$G, (MATCH(762, 輔助計算!$G$2:$G$801, 0)+1))&lt;=790,3,IF(INDEX(ERP資料!$G:$G, (MATCH(762, 輔助計算!$G$2:$G$801, 0)+1))&lt;=1181,2,1)))=1,TEXT(INDEX(ERP資料!$G:$G, (MATCH(762, 輔助計算!$G$2:$G$801, 0)+1)),"0.##"),IF(IF(INDEX(ERP資料!$G:$G, (MATCH(762, 輔助計算!$G$2:$G$801, 0)+1))&lt;100, IF(INDEX(ERP資料!$G:$G, (MATCH(762, 輔助計算!$G$2:$G$801, 0)+1))&lt;=31,3,IF(INDEX(ERP資料!$G:$G, (MATCH(762, 輔助計算!$G$2:$G$801, 0)+1))&lt;=46.5,2,1)), IF(INDEX(ERP資料!$G:$G, (MATCH(762, 輔助計算!$G$2:$G$801, 0)+1))&lt;=790,3,IF(INDEX(ERP資料!$G:$G, (MATCH(762, 輔助計算!$G$2:$G$801, 0)+1))&lt;=1181,2,1)))=2,TEXT(INDEX(ERP資料!$G:$G, (MATCH(762, 輔助計算!$G$2:$G$801, 0)+1)),"0.##")&amp;"+"&amp;TEXT(INDEX(ERP資料!$G:$G, (MATCH(762, 輔助計算!$G$2:$G$801, 0)+1)),"0.##"),TEXT(INDEX(ERP資料!$G:$G, (MATCH(762, 輔助計算!$G$2:$G$801, 0)+1)),"0.##")&amp;"+"&amp;TEXT(INDEX(ERP資料!$G:$G, (MATCH(762, 輔助計算!$G$2:$G$801, 0)+1)),"0.##")&amp;"+"&amp;TEXT(INDEX(ERP資料!$G:$G, (MATCH(762, 輔助計算!$G$2:$G$801, 0)+1)),"0.##")))&amp;"-"&amp;INT(INDEX(輔助計算!$D:$D, (MATCH(762, 輔助計算!$G$2:$G$801, 0)+1))/IF(INDEX(ERP資料!$G:$G, (MATCH(762, 輔助計算!$G$2:$G$801, 0)+1))&lt;100, IF(INDEX(ERP資料!$G:$G, (MATCH(762, 輔助計算!$G$2:$G$801, 0)+1))&lt;=31,3,IF(INDEX(ERP資料!$G:$G, (MATCH(762, 輔助計算!$G$2:$G$801, 0)+1))&lt;=46.5,2,1)), IF(INDEX(ERP資料!$G:$G, (MATCH(762, 輔助計算!$G$2:$G$801, 0)+1))&lt;=790,3,IF(INDEX(ERP資料!$G:$G, (MATCH(762, 輔助計算!$G$2:$G$801, 0)+1))&lt;=1181,2,1)))), "")&lt;&gt;"",IF(MOD(INDEX(輔助計算!$D:$D, (MATCH(762, 輔助計算!$G$2:$G$801, 0)+1)),IF(INDEX(ERP資料!$G:$G, (MATCH(762, 輔助計算!$G$2:$G$801, 0)+1))&lt;100, IF(INDEX(ERP資料!$G:$G, (MATCH(762, 輔助計算!$G$2:$G$801, 0)+1))&lt;=31,3,IF(INDEX(ERP資料!$G:$G, (MATCH(762, 輔助計算!$G$2:$G$801, 0)+1))&lt;=46.5,2,1)), IF(INDEX(ERP資料!$G:$G, (MATCH(762, 輔助計算!$G$2:$G$801, 0)+1))&lt;=790,3,IF(INDEX(ERP資料!$G:$G, (MATCH(762, 輔助計算!$G$2:$G$801, 0)+1))&lt;=1181,2,1))))=0,"",IF(MOD(INDEX(輔助計算!$D:$D, (MATCH(762, 輔助計算!$G$2:$G$801, 0)+1)),IF(INDEX(ERP資料!$G:$G, (MATCH(762, 輔助計算!$G$2:$G$801, 0)+1))&lt;100, IF(INDEX(ERP資料!$G:$G, (MATCH(762, 輔助計算!$G$2:$G$801, 0)+1))&lt;=31,3,IF(INDEX(ERP資料!$G:$G, (MATCH(762, 輔助計算!$G$2:$G$801, 0)+1))&lt;=46.5,2,1)), IF(INDEX(ERP資料!$G:$G, (MATCH(762, 輔助計算!$G$2:$G$801, 0)+1))&lt;=790,3,IF(INDEX(ERP資料!$G:$G, (MATCH(762, 輔助計算!$G$2:$G$801, 0)+1))&lt;=1181,2,1))))=0,"",IF(MOD(INDEX(輔助計算!$D:$D, (MATCH(762, 輔助計算!$G$2:$G$801, 0)+1)),IF(INDEX(ERP資料!$G:$G, (MATCH(762, 輔助計算!$G$2:$G$801, 0)+1))&lt;100, IF(INDEX(ERP資料!$G:$G, (MATCH(762, 輔助計算!$G$2:$G$801, 0)+1))&lt;=31,3,IF(INDEX(ERP資料!$G:$G, (MATCH(762, 輔助計算!$G$2:$G$801, 0)+1))&lt;=46.5,2,1)), IF(INDEX(ERP資料!$G:$G, (MATCH(762, 輔助計算!$G$2:$G$801, 0)+1))&lt;=790,3,IF(INDEX(ERP資料!$G:$G, (MATCH(762, 輔助計算!$G$2:$G$801, 0)+1))&lt;=1181,2,1))))=1,TEXT(INDEX(ERP資料!$G:$G, (MATCH(762, 輔助計算!$G$2:$G$801, 0)+1)),"0.##"),IF(MOD(INDEX(輔助計算!$D:$D, (MATCH(762, 輔助計算!$G$2:$G$801, 0)+1)),IF(INDEX(ERP資料!$G:$G, (MATCH(762, 輔助計算!$G$2:$G$801, 0)+1))&lt;100, IF(INDEX(ERP資料!$G:$G, (MATCH(762, 輔助計算!$G$2:$G$801, 0)+1))&lt;=31,3,IF(INDEX(ERP資料!$G:$G, (MATCH(762, 輔助計算!$G$2:$G$801, 0)+1))&lt;=46.5,2,1)), IF(INDEX(ERP資料!$G:$G, (MATCH(762, 輔助計算!$G$2:$G$801, 0)+1))&lt;=790,3,IF(INDEX(ERP資料!$G:$G, (MATCH(762, 輔助計算!$G$2:$G$801, 0)+1))&lt;=1181,2,1))))=2,TEXT(INDEX(ERP資料!$G:$G, (MATCH(762, 輔助計算!$G$2:$G$801, 0)+1)),"0.##")&amp;"+"&amp;TEXT(INDEX(ERP資料!$G:$G, (MATCH(762, 輔助計算!$G$2:$G$801, 0)+1)),"0.##"),TEXT(INDEX(ERP資料!$G:$G, (MATCH(762, 輔助計算!$G$2:$G$801, 0)+1)),"0.##")&amp;"+"&amp;TEXT(INDEX(ERP資料!$G:$G, (MATCH(762, 輔助計算!$G$2:$G$801, 0)+1)),"0.##")&amp;"+"&amp;TEXT(INDEX(ERP資料!$G:$G, (MATCH(762, 輔助計算!$G$2:$G$801, 0)+1)),"0.##"))))&amp;"-1")&lt;&gt;""),"  ","")&amp;IF(MOD(INDEX(輔助計算!$D:$D, (MATCH(762, 輔助計算!$G$2:$G$801, 0)+1)),IF(INDEX(ERP資料!$G:$G, (MATCH(762, 輔助計算!$G$2:$G$801, 0)+1))&lt;100, IF(INDEX(ERP資料!$G:$G, (MATCH(762, 輔助計算!$G$2:$G$801, 0)+1))&lt;=31,3,IF(INDEX(ERP資料!$G:$G, (MATCH(762, 輔助計算!$G$2:$G$801, 0)+1))&lt;=46.5,2,1)), IF(INDEX(ERP資料!$G:$G, (MATCH(762, 輔助計算!$G$2:$G$801, 0)+1))&lt;=790,3,IF(INDEX(ERP資料!$G:$G, (MATCH(762, 輔助計算!$G$2:$G$801, 0)+1))&lt;=1181,2,1))))=0,"",IF(MOD(INDEX(輔助計算!$D:$D, (MATCH(762, 輔助計算!$G$2:$G$801, 0)+1)),IF(INDEX(ERP資料!$G:$G, (MATCH(762, 輔助計算!$G$2:$G$801, 0)+1))&lt;100, IF(INDEX(ERP資料!$G:$G, (MATCH(762, 輔助計算!$G$2:$G$801, 0)+1))&lt;=31,3,IF(INDEX(ERP資料!$G:$G, (MATCH(762, 輔助計算!$G$2:$G$801, 0)+1))&lt;=46.5,2,1)), IF(INDEX(ERP資料!$G:$G, (MATCH(762, 輔助計算!$G$2:$G$801, 0)+1))&lt;=790,3,IF(INDEX(ERP資料!$G:$G, (MATCH(762, 輔助計算!$G$2:$G$801, 0)+1))&lt;=1181,2,1))))=0,"",IF(MOD(INDEX(輔助計算!$D:$D, (MATCH(762, 輔助計算!$G$2:$G$801, 0)+1)),IF(INDEX(ERP資料!$G:$G, (MATCH(762, 輔助計算!$G$2:$G$801, 0)+1))&lt;100, IF(INDEX(ERP資料!$G:$G, (MATCH(762, 輔助計算!$G$2:$G$801, 0)+1))&lt;=31,3,IF(INDEX(ERP資料!$G:$G, (MATCH(762, 輔助計算!$G$2:$G$801, 0)+1))&lt;=46.5,2,1)), IF(INDEX(ERP資料!$G:$G, (MATCH(762, 輔助計算!$G$2:$G$801, 0)+1))&lt;=790,3,IF(INDEX(ERP資料!$G:$G, (MATCH(762, 輔助計算!$G$2:$G$801, 0)+1))&lt;=1181,2,1))))=1,TEXT(INDEX(ERP資料!$G:$G, (MATCH(762, 輔助計算!$G$2:$G$801, 0)+1)),"0.##"),IF(MOD(INDEX(輔助計算!$D:$D, (MATCH(762, 輔助計算!$G$2:$G$801, 0)+1)),IF(INDEX(ERP資料!$G:$G, (MATCH(762, 輔助計算!$G$2:$G$801, 0)+1))&lt;100, IF(INDEX(ERP資料!$G:$G, (MATCH(762, 輔助計算!$G$2:$G$801, 0)+1))&lt;=31,3,IF(INDEX(ERP資料!$G:$G, (MATCH(762, 輔助計算!$G$2:$G$801, 0)+1))&lt;=46.5,2,1)), IF(INDEX(ERP資料!$G:$G, (MATCH(762, 輔助計算!$G$2:$G$801, 0)+1))&lt;=790,3,IF(INDEX(ERP資料!$G:$G, (MATCH(762, 輔助計算!$G$2:$G$801, 0)+1))&lt;=1181,2,1))))=2,TEXT(INDEX(ERP資料!$G:$G, (MATCH(762, 輔助計算!$G$2:$G$801, 0)+1)),"0.##")&amp;"+"&amp;TEXT(INDEX(ERP資料!$G:$G, (MATCH(762, 輔助計算!$G$2:$G$801, 0)+1)),"0.##"),TEXT(INDEX(ERP資料!$G:$G, (MATCH(762, 輔助計算!$G$2:$G$801, 0)+1)),"0.##")&amp;"+"&amp;TEXT(INDEX(ERP資料!$G:$G, (MATCH(762, 輔助計算!$G$2:$G$801, 0)+1)),"0.##")&amp;"+"&amp;TEXT(INDEX(ERP資料!$G:$G, (MATCH(762, 輔助計算!$G$2:$G$801, 0)+1)),"0.##"))))&amp;"-1")), ""), "")</f>
        <v/>
      </c>
      <c r="K763" s="16" t="n"/>
      <c r="L763" s="14">
        <f>IFERROR(IF(AND(IFERROR(INDEX(ERP資料!$A:$A, (MATCH(762, 輔助計算!$G$2:$G$801, 0)+1)), "")&lt;&gt;"", IFERROR(INDEX(ERP資料!$A:$A, (MATCH(762, 輔助計算!$G$2:$G$801, 0)+1)), "")&lt;&gt;IFERROR(INDEX(ERP資料!$A:$A, MATCH(761, 輔助計算!$G$2:$G$801, 0)+1), "")), INDEX(ERP資料!$B:$B, (MATCH(762, 輔助計算!$G$2:$G$801, 0)+1)), ""), "")</f>
        <v/>
      </c>
      <c r="M763" s="17" t="n"/>
    </row>
    <row r="764">
      <c r="A764" s="10">
        <f>IFERROR(IF(AND(IFERROR(INDEX(ERP資料!$A:$A, (MATCH(763, 輔助計算!$G$2:$G$801, 0)+1)), "")&lt;&gt;"", IFERROR(INDEX(ERP資料!$A:$A, (MATCH(763, 輔助計算!$G$2:$G$801, 0)+1)), "")&lt;&gt;IFERROR(INDEX(ERP資料!$A:$A, MATCH(762, 輔助計算!$G$2:$G$801, 0)+1), "")), IFERROR(INDEX(ERP資料!$A:$A, (MATCH(763, 輔助計算!$G$2:$G$801, 0)+1)), ""), ""), "")</f>
        <v/>
      </c>
      <c r="B764" s="10">
        <f>IFERROR(IF(AND(IFERROR(INDEX(ERP資料!$A:$A, (MATCH(763, 輔助計算!$G$2:$G$801, 0)+1)), "")&lt;&gt;"", IFERROR(INDEX(ERP資料!$A:$A, (MATCH(763, 輔助計算!$G$2:$G$801, 0)+1)), "")&lt;&gt;IFERROR(INDEX(ERP資料!$A:$A, MATCH(762, 輔助計算!$G$2:$G$801, 0)+1), "")), INDEX(ERP資料!$S:$S, (MATCH(763, 輔助計算!$G$2:$G$801, 0)+1)), ""), "")</f>
        <v/>
      </c>
      <c r="C764" s="19">
        <f>IFERROR(IF(AND(IFERROR(INDEX(ERP資料!$A:$A, (MATCH(763, 輔助計算!$G$2:$G$801, 0)+1)), "")&lt;&gt;"", IFERROR(INDEX(ERP資料!$A:$A, (MATCH(763, 輔助計算!$G$2:$G$801, 0)+1)), "")&lt;&gt;IFERROR(INDEX(ERP資料!$A:$A, MATCH(762, 輔助計算!$G$2:$G$801, 0)+1), "")), IFERROR(VLOOKUP(LEFT(INDEX(ERP資料!$S:$S, (MATCH(763, 輔助計算!$G$2:$G$801, 0)+1)), 4), 紙管對照表!$A:$C, 3, FALSE), ""), ""), "")</f>
        <v/>
      </c>
      <c r="D764" s="16" t="n"/>
      <c r="E764" s="10">
        <f>IFERROR(IF(INDEX(ERP資料!$H:$H, (MATCH(763, 輔助計算!$G$2:$G$801, 0)+1))="","",INDEX(ERP資料!$H:$H, (MATCH(763, 輔助計算!$G$2:$G$801, 0)+1))), "")</f>
        <v/>
      </c>
      <c r="F764" s="10">
        <f>IFERROR(IF(INDEX(ERP資料!$E:$E, (MATCH(763, 輔助計算!$G$2:$G$801, 0)+1))="","",TRIM(INDEX(ERP資料!$E:$E, (MATCH(763, 輔助計算!$G$2:$G$801, 0)+1)))), "")</f>
        <v/>
      </c>
      <c r="G764" s="10">
        <f>IFERROR(IF(INDEX(ERP資料!$F:$F, (MATCH(763, 輔助計算!$G$2:$G$801, 0)+1))="","",INDEX(ERP資料!$F:$F, (MATCH(763, 輔助計算!$G$2:$G$801, 0)+1))), "")</f>
        <v/>
      </c>
      <c r="H764" s="10">
        <f>IFERROR(IF(INDEX(ERP資料!$G:$G, (MATCH(763, 輔助計算!$G$2:$G$801, 0)+1))="","",INDEX(ERP資料!$G:$G, (MATCH(763, 輔助計算!$G$2:$G$801, 0)+1))), "")</f>
        <v/>
      </c>
      <c r="I764" s="15">
        <f>IFERROR(INDEX(輔助計算!$D:$D, (MATCH(763, 輔助計算!$G$2:$G$801, 0)+1)), "")</f>
        <v/>
      </c>
      <c r="J764" s="15">
        <f>IFERROR(IF(AND(INDEX(輔助計算!$D:$D, (MATCH(763, 輔助計算!$G$2:$G$801, 0)+1))&lt;&gt;"", INDEX(ERP資料!$G:$G, (MATCH(763, 輔助計算!$G$2:$G$801, 0)+1))&lt;&gt;""), TRIM(IF(INT(INDEX(輔助計算!$D:$D, (MATCH(763, 輔助計算!$G$2:$G$801, 0)+1))/IF(INDEX(ERP資料!$G:$G, (MATCH(763, 輔助計算!$G$2:$G$801, 0)+1))&lt;100, IF(INDEX(ERP資料!$G:$G, (MATCH(763, 輔助計算!$G$2:$G$801, 0)+1))&lt;=31,3,IF(INDEX(ERP資料!$G:$G, (MATCH(763, 輔助計算!$G$2:$G$801, 0)+1))&lt;=46.5,2,1)), IF(INDEX(ERP資料!$G:$G, (MATCH(763, 輔助計算!$G$2:$G$801, 0)+1))&lt;=790,3,IF(INDEX(ERP資料!$G:$G, (MATCH(763, 輔助計算!$G$2:$G$801, 0)+1))&lt;=1181,2,1))))&gt;0, IF(IF(INDEX(ERP資料!$G:$G, (MATCH(763, 輔助計算!$G$2:$G$801, 0)+1))&lt;100, IF(INDEX(ERP資料!$G:$G, (MATCH(763, 輔助計算!$G$2:$G$801, 0)+1))&lt;=31,3,IF(INDEX(ERP資料!$G:$G, (MATCH(763, 輔助計算!$G$2:$G$801, 0)+1))&lt;=46.5,2,1)), IF(INDEX(ERP資料!$G:$G, (MATCH(763, 輔助計算!$G$2:$G$801, 0)+1))&lt;=790,3,IF(INDEX(ERP資料!$G:$G, (MATCH(763, 輔助計算!$G$2:$G$801, 0)+1))&lt;=1181,2,1)))=1,TEXT(INDEX(ERP資料!$G:$G, (MATCH(763, 輔助計算!$G$2:$G$801, 0)+1)),"0.##"),IF(IF(INDEX(ERP資料!$G:$G, (MATCH(763, 輔助計算!$G$2:$G$801, 0)+1))&lt;100, IF(INDEX(ERP資料!$G:$G, (MATCH(763, 輔助計算!$G$2:$G$801, 0)+1))&lt;=31,3,IF(INDEX(ERP資料!$G:$G, (MATCH(763, 輔助計算!$G$2:$G$801, 0)+1))&lt;=46.5,2,1)), IF(INDEX(ERP資料!$G:$G, (MATCH(763, 輔助計算!$G$2:$G$801, 0)+1))&lt;=790,3,IF(INDEX(ERP資料!$G:$G, (MATCH(763, 輔助計算!$G$2:$G$801, 0)+1))&lt;=1181,2,1)))=2,TEXT(INDEX(ERP資料!$G:$G, (MATCH(763, 輔助計算!$G$2:$G$801, 0)+1)),"0.##")&amp;"+"&amp;TEXT(INDEX(ERP資料!$G:$G, (MATCH(763, 輔助計算!$G$2:$G$801, 0)+1)),"0.##"),TEXT(INDEX(ERP資料!$G:$G, (MATCH(763, 輔助計算!$G$2:$G$801, 0)+1)),"0.##")&amp;"+"&amp;TEXT(INDEX(ERP資料!$G:$G, (MATCH(763, 輔助計算!$G$2:$G$801, 0)+1)),"0.##")&amp;"+"&amp;TEXT(INDEX(ERP資料!$G:$G, (MATCH(763, 輔助計算!$G$2:$G$801, 0)+1)),"0.##")))&amp;"-"&amp;INT(INDEX(輔助計算!$D:$D, (MATCH(763, 輔助計算!$G$2:$G$801, 0)+1))/IF(INDEX(ERP資料!$G:$G, (MATCH(763, 輔助計算!$G$2:$G$801, 0)+1))&lt;100, IF(INDEX(ERP資料!$G:$G, (MATCH(763, 輔助計算!$G$2:$G$801, 0)+1))&lt;=31,3,IF(INDEX(ERP資料!$G:$G, (MATCH(763, 輔助計算!$G$2:$G$801, 0)+1))&lt;=46.5,2,1)), IF(INDEX(ERP資料!$G:$G, (MATCH(763, 輔助計算!$G$2:$G$801, 0)+1))&lt;=790,3,IF(INDEX(ERP資料!$G:$G, (MATCH(763, 輔助計算!$G$2:$G$801, 0)+1))&lt;=1181,2,1)))), "")&amp;IF(AND(IF(INT(INDEX(輔助計算!$D:$D, (MATCH(763, 輔助計算!$G$2:$G$801, 0)+1))/IF(INDEX(ERP資料!$G:$G, (MATCH(763, 輔助計算!$G$2:$G$801, 0)+1))&lt;100, IF(INDEX(ERP資料!$G:$G, (MATCH(763, 輔助計算!$G$2:$G$801, 0)+1))&lt;=31,3,IF(INDEX(ERP資料!$G:$G, (MATCH(763, 輔助計算!$G$2:$G$801, 0)+1))&lt;=46.5,2,1)), IF(INDEX(ERP資料!$G:$G, (MATCH(763, 輔助計算!$G$2:$G$801, 0)+1))&lt;=790,3,IF(INDEX(ERP資料!$G:$G, (MATCH(763, 輔助計算!$G$2:$G$801, 0)+1))&lt;=1181,2,1))))&gt;0, IF(IF(INDEX(ERP資料!$G:$G, (MATCH(763, 輔助計算!$G$2:$G$801, 0)+1))&lt;100, IF(INDEX(ERP資料!$G:$G, (MATCH(763, 輔助計算!$G$2:$G$801, 0)+1))&lt;=31,3,IF(INDEX(ERP資料!$G:$G, (MATCH(763, 輔助計算!$G$2:$G$801, 0)+1))&lt;=46.5,2,1)), IF(INDEX(ERP資料!$G:$G, (MATCH(763, 輔助計算!$G$2:$G$801, 0)+1))&lt;=790,3,IF(INDEX(ERP資料!$G:$G, (MATCH(763, 輔助計算!$G$2:$G$801, 0)+1))&lt;=1181,2,1)))=1,TEXT(INDEX(ERP資料!$G:$G, (MATCH(763, 輔助計算!$G$2:$G$801, 0)+1)),"0.##"),IF(IF(INDEX(ERP資料!$G:$G, (MATCH(763, 輔助計算!$G$2:$G$801, 0)+1))&lt;100, IF(INDEX(ERP資料!$G:$G, (MATCH(763, 輔助計算!$G$2:$G$801, 0)+1))&lt;=31,3,IF(INDEX(ERP資料!$G:$G, (MATCH(763, 輔助計算!$G$2:$G$801, 0)+1))&lt;=46.5,2,1)), IF(INDEX(ERP資料!$G:$G, (MATCH(763, 輔助計算!$G$2:$G$801, 0)+1))&lt;=790,3,IF(INDEX(ERP資料!$G:$G, (MATCH(763, 輔助計算!$G$2:$G$801, 0)+1))&lt;=1181,2,1)))=2,TEXT(INDEX(ERP資料!$G:$G, (MATCH(763, 輔助計算!$G$2:$G$801, 0)+1)),"0.##")&amp;"+"&amp;TEXT(INDEX(ERP資料!$G:$G, (MATCH(763, 輔助計算!$G$2:$G$801, 0)+1)),"0.##"),TEXT(INDEX(ERP資料!$G:$G, (MATCH(763, 輔助計算!$G$2:$G$801, 0)+1)),"0.##")&amp;"+"&amp;TEXT(INDEX(ERP資料!$G:$G, (MATCH(763, 輔助計算!$G$2:$G$801, 0)+1)),"0.##")&amp;"+"&amp;TEXT(INDEX(ERP資料!$G:$G, (MATCH(763, 輔助計算!$G$2:$G$801, 0)+1)),"0.##")))&amp;"-"&amp;INT(INDEX(輔助計算!$D:$D, (MATCH(763, 輔助計算!$G$2:$G$801, 0)+1))/IF(INDEX(ERP資料!$G:$G, (MATCH(763, 輔助計算!$G$2:$G$801, 0)+1))&lt;100, IF(INDEX(ERP資料!$G:$G, (MATCH(763, 輔助計算!$G$2:$G$801, 0)+1))&lt;=31,3,IF(INDEX(ERP資料!$G:$G, (MATCH(763, 輔助計算!$G$2:$G$801, 0)+1))&lt;=46.5,2,1)), IF(INDEX(ERP資料!$G:$G, (MATCH(763, 輔助計算!$G$2:$G$801, 0)+1))&lt;=790,3,IF(INDEX(ERP資料!$G:$G, (MATCH(763, 輔助計算!$G$2:$G$801, 0)+1))&lt;=1181,2,1)))), "")&lt;&gt;"",IF(MOD(INDEX(輔助計算!$D:$D, (MATCH(763, 輔助計算!$G$2:$G$801, 0)+1)),IF(INDEX(ERP資料!$G:$G, (MATCH(763, 輔助計算!$G$2:$G$801, 0)+1))&lt;100, IF(INDEX(ERP資料!$G:$G, (MATCH(763, 輔助計算!$G$2:$G$801, 0)+1))&lt;=31,3,IF(INDEX(ERP資料!$G:$G, (MATCH(763, 輔助計算!$G$2:$G$801, 0)+1))&lt;=46.5,2,1)), IF(INDEX(ERP資料!$G:$G, (MATCH(763, 輔助計算!$G$2:$G$801, 0)+1))&lt;=790,3,IF(INDEX(ERP資料!$G:$G, (MATCH(763, 輔助計算!$G$2:$G$801, 0)+1))&lt;=1181,2,1))))=0,"",IF(MOD(INDEX(輔助計算!$D:$D, (MATCH(763, 輔助計算!$G$2:$G$801, 0)+1)),IF(INDEX(ERP資料!$G:$G, (MATCH(763, 輔助計算!$G$2:$G$801, 0)+1))&lt;100, IF(INDEX(ERP資料!$G:$G, (MATCH(763, 輔助計算!$G$2:$G$801, 0)+1))&lt;=31,3,IF(INDEX(ERP資料!$G:$G, (MATCH(763, 輔助計算!$G$2:$G$801, 0)+1))&lt;=46.5,2,1)), IF(INDEX(ERP資料!$G:$G, (MATCH(763, 輔助計算!$G$2:$G$801, 0)+1))&lt;=790,3,IF(INDEX(ERP資料!$G:$G, (MATCH(763, 輔助計算!$G$2:$G$801, 0)+1))&lt;=1181,2,1))))=0,"",IF(MOD(INDEX(輔助計算!$D:$D, (MATCH(763, 輔助計算!$G$2:$G$801, 0)+1)),IF(INDEX(ERP資料!$G:$G, (MATCH(763, 輔助計算!$G$2:$G$801, 0)+1))&lt;100, IF(INDEX(ERP資料!$G:$G, (MATCH(763, 輔助計算!$G$2:$G$801, 0)+1))&lt;=31,3,IF(INDEX(ERP資料!$G:$G, (MATCH(763, 輔助計算!$G$2:$G$801, 0)+1))&lt;=46.5,2,1)), IF(INDEX(ERP資料!$G:$G, (MATCH(763, 輔助計算!$G$2:$G$801, 0)+1))&lt;=790,3,IF(INDEX(ERP資料!$G:$G, (MATCH(763, 輔助計算!$G$2:$G$801, 0)+1))&lt;=1181,2,1))))=1,TEXT(INDEX(ERP資料!$G:$G, (MATCH(763, 輔助計算!$G$2:$G$801, 0)+1)),"0.##"),IF(MOD(INDEX(輔助計算!$D:$D, (MATCH(763, 輔助計算!$G$2:$G$801, 0)+1)),IF(INDEX(ERP資料!$G:$G, (MATCH(763, 輔助計算!$G$2:$G$801, 0)+1))&lt;100, IF(INDEX(ERP資料!$G:$G, (MATCH(763, 輔助計算!$G$2:$G$801, 0)+1))&lt;=31,3,IF(INDEX(ERP資料!$G:$G, (MATCH(763, 輔助計算!$G$2:$G$801, 0)+1))&lt;=46.5,2,1)), IF(INDEX(ERP資料!$G:$G, (MATCH(763, 輔助計算!$G$2:$G$801, 0)+1))&lt;=790,3,IF(INDEX(ERP資料!$G:$G, (MATCH(763, 輔助計算!$G$2:$G$801, 0)+1))&lt;=1181,2,1))))=2,TEXT(INDEX(ERP資料!$G:$G, (MATCH(763, 輔助計算!$G$2:$G$801, 0)+1)),"0.##")&amp;"+"&amp;TEXT(INDEX(ERP資料!$G:$G, (MATCH(763, 輔助計算!$G$2:$G$801, 0)+1)),"0.##"),TEXT(INDEX(ERP資料!$G:$G, (MATCH(763, 輔助計算!$G$2:$G$801, 0)+1)),"0.##")&amp;"+"&amp;TEXT(INDEX(ERP資料!$G:$G, (MATCH(763, 輔助計算!$G$2:$G$801, 0)+1)),"0.##")&amp;"+"&amp;TEXT(INDEX(ERP資料!$G:$G, (MATCH(763, 輔助計算!$G$2:$G$801, 0)+1)),"0.##"))))&amp;"-1")&lt;&gt;""),"  ","")&amp;IF(MOD(INDEX(輔助計算!$D:$D, (MATCH(763, 輔助計算!$G$2:$G$801, 0)+1)),IF(INDEX(ERP資料!$G:$G, (MATCH(763, 輔助計算!$G$2:$G$801, 0)+1))&lt;100, IF(INDEX(ERP資料!$G:$G, (MATCH(763, 輔助計算!$G$2:$G$801, 0)+1))&lt;=31,3,IF(INDEX(ERP資料!$G:$G, (MATCH(763, 輔助計算!$G$2:$G$801, 0)+1))&lt;=46.5,2,1)), IF(INDEX(ERP資料!$G:$G, (MATCH(763, 輔助計算!$G$2:$G$801, 0)+1))&lt;=790,3,IF(INDEX(ERP資料!$G:$G, (MATCH(763, 輔助計算!$G$2:$G$801, 0)+1))&lt;=1181,2,1))))=0,"",IF(MOD(INDEX(輔助計算!$D:$D, (MATCH(763, 輔助計算!$G$2:$G$801, 0)+1)),IF(INDEX(ERP資料!$G:$G, (MATCH(763, 輔助計算!$G$2:$G$801, 0)+1))&lt;100, IF(INDEX(ERP資料!$G:$G, (MATCH(763, 輔助計算!$G$2:$G$801, 0)+1))&lt;=31,3,IF(INDEX(ERP資料!$G:$G, (MATCH(763, 輔助計算!$G$2:$G$801, 0)+1))&lt;=46.5,2,1)), IF(INDEX(ERP資料!$G:$G, (MATCH(763, 輔助計算!$G$2:$G$801, 0)+1))&lt;=790,3,IF(INDEX(ERP資料!$G:$G, (MATCH(763, 輔助計算!$G$2:$G$801, 0)+1))&lt;=1181,2,1))))=0,"",IF(MOD(INDEX(輔助計算!$D:$D, (MATCH(763, 輔助計算!$G$2:$G$801, 0)+1)),IF(INDEX(ERP資料!$G:$G, (MATCH(763, 輔助計算!$G$2:$G$801, 0)+1))&lt;100, IF(INDEX(ERP資料!$G:$G, (MATCH(763, 輔助計算!$G$2:$G$801, 0)+1))&lt;=31,3,IF(INDEX(ERP資料!$G:$G, (MATCH(763, 輔助計算!$G$2:$G$801, 0)+1))&lt;=46.5,2,1)), IF(INDEX(ERP資料!$G:$G, (MATCH(763, 輔助計算!$G$2:$G$801, 0)+1))&lt;=790,3,IF(INDEX(ERP資料!$G:$G, (MATCH(763, 輔助計算!$G$2:$G$801, 0)+1))&lt;=1181,2,1))))=1,TEXT(INDEX(ERP資料!$G:$G, (MATCH(763, 輔助計算!$G$2:$G$801, 0)+1)),"0.##"),IF(MOD(INDEX(輔助計算!$D:$D, (MATCH(763, 輔助計算!$G$2:$G$801, 0)+1)),IF(INDEX(ERP資料!$G:$G, (MATCH(763, 輔助計算!$G$2:$G$801, 0)+1))&lt;100, IF(INDEX(ERP資料!$G:$G, (MATCH(763, 輔助計算!$G$2:$G$801, 0)+1))&lt;=31,3,IF(INDEX(ERP資料!$G:$G, (MATCH(763, 輔助計算!$G$2:$G$801, 0)+1))&lt;=46.5,2,1)), IF(INDEX(ERP資料!$G:$G, (MATCH(763, 輔助計算!$G$2:$G$801, 0)+1))&lt;=790,3,IF(INDEX(ERP資料!$G:$G, (MATCH(763, 輔助計算!$G$2:$G$801, 0)+1))&lt;=1181,2,1))))=2,TEXT(INDEX(ERP資料!$G:$G, (MATCH(763, 輔助計算!$G$2:$G$801, 0)+1)),"0.##")&amp;"+"&amp;TEXT(INDEX(ERP資料!$G:$G, (MATCH(763, 輔助計算!$G$2:$G$801, 0)+1)),"0.##"),TEXT(INDEX(ERP資料!$G:$G, (MATCH(763, 輔助計算!$G$2:$G$801, 0)+1)),"0.##")&amp;"+"&amp;TEXT(INDEX(ERP資料!$G:$G, (MATCH(763, 輔助計算!$G$2:$G$801, 0)+1)),"0.##")&amp;"+"&amp;TEXT(INDEX(ERP資料!$G:$G, (MATCH(763, 輔助計算!$G$2:$G$801, 0)+1)),"0.##"))))&amp;"-1")), ""), "")</f>
        <v/>
      </c>
      <c r="K764" s="16" t="n"/>
      <c r="L764" s="14">
        <f>IFERROR(IF(AND(IFERROR(INDEX(ERP資料!$A:$A, (MATCH(763, 輔助計算!$G$2:$G$801, 0)+1)), "")&lt;&gt;"", IFERROR(INDEX(ERP資料!$A:$A, (MATCH(763, 輔助計算!$G$2:$G$801, 0)+1)), "")&lt;&gt;IFERROR(INDEX(ERP資料!$A:$A, MATCH(762, 輔助計算!$G$2:$G$801, 0)+1), "")), INDEX(ERP資料!$B:$B, (MATCH(763, 輔助計算!$G$2:$G$801, 0)+1)), ""), "")</f>
        <v/>
      </c>
      <c r="M764" s="17" t="n"/>
    </row>
    <row r="765">
      <c r="A765" s="10">
        <f>IFERROR(IF(AND(IFERROR(INDEX(ERP資料!$A:$A, (MATCH(764, 輔助計算!$G$2:$G$801, 0)+1)), "")&lt;&gt;"", IFERROR(INDEX(ERP資料!$A:$A, (MATCH(764, 輔助計算!$G$2:$G$801, 0)+1)), "")&lt;&gt;IFERROR(INDEX(ERP資料!$A:$A, MATCH(763, 輔助計算!$G$2:$G$801, 0)+1), "")), IFERROR(INDEX(ERP資料!$A:$A, (MATCH(764, 輔助計算!$G$2:$G$801, 0)+1)), ""), ""), "")</f>
        <v/>
      </c>
      <c r="B765" s="10">
        <f>IFERROR(IF(AND(IFERROR(INDEX(ERP資料!$A:$A, (MATCH(764, 輔助計算!$G$2:$G$801, 0)+1)), "")&lt;&gt;"", IFERROR(INDEX(ERP資料!$A:$A, (MATCH(764, 輔助計算!$G$2:$G$801, 0)+1)), "")&lt;&gt;IFERROR(INDEX(ERP資料!$A:$A, MATCH(763, 輔助計算!$G$2:$G$801, 0)+1), "")), INDEX(ERP資料!$S:$S, (MATCH(764, 輔助計算!$G$2:$G$801, 0)+1)), ""), "")</f>
        <v/>
      </c>
      <c r="C765" s="19">
        <f>IFERROR(IF(AND(IFERROR(INDEX(ERP資料!$A:$A, (MATCH(764, 輔助計算!$G$2:$G$801, 0)+1)), "")&lt;&gt;"", IFERROR(INDEX(ERP資料!$A:$A, (MATCH(764, 輔助計算!$G$2:$G$801, 0)+1)), "")&lt;&gt;IFERROR(INDEX(ERP資料!$A:$A, MATCH(763, 輔助計算!$G$2:$G$801, 0)+1), "")), IFERROR(VLOOKUP(LEFT(INDEX(ERP資料!$S:$S, (MATCH(764, 輔助計算!$G$2:$G$801, 0)+1)), 4), 紙管對照表!$A:$C, 3, FALSE), ""), ""), "")</f>
        <v/>
      </c>
      <c r="D765" s="16" t="n"/>
      <c r="E765" s="10">
        <f>IFERROR(IF(INDEX(ERP資料!$H:$H, (MATCH(764, 輔助計算!$G$2:$G$801, 0)+1))="","",INDEX(ERP資料!$H:$H, (MATCH(764, 輔助計算!$G$2:$G$801, 0)+1))), "")</f>
        <v/>
      </c>
      <c r="F765" s="10">
        <f>IFERROR(IF(INDEX(ERP資料!$E:$E, (MATCH(764, 輔助計算!$G$2:$G$801, 0)+1))="","",TRIM(INDEX(ERP資料!$E:$E, (MATCH(764, 輔助計算!$G$2:$G$801, 0)+1)))), "")</f>
        <v/>
      </c>
      <c r="G765" s="10">
        <f>IFERROR(IF(INDEX(ERP資料!$F:$F, (MATCH(764, 輔助計算!$G$2:$G$801, 0)+1))="","",INDEX(ERP資料!$F:$F, (MATCH(764, 輔助計算!$G$2:$G$801, 0)+1))), "")</f>
        <v/>
      </c>
      <c r="H765" s="10">
        <f>IFERROR(IF(INDEX(ERP資料!$G:$G, (MATCH(764, 輔助計算!$G$2:$G$801, 0)+1))="","",INDEX(ERP資料!$G:$G, (MATCH(764, 輔助計算!$G$2:$G$801, 0)+1))), "")</f>
        <v/>
      </c>
      <c r="I765" s="15">
        <f>IFERROR(INDEX(輔助計算!$D:$D, (MATCH(764, 輔助計算!$G$2:$G$801, 0)+1)), "")</f>
        <v/>
      </c>
      <c r="J765" s="15">
        <f>IFERROR(IF(AND(INDEX(輔助計算!$D:$D, (MATCH(764, 輔助計算!$G$2:$G$801, 0)+1))&lt;&gt;"", INDEX(ERP資料!$G:$G, (MATCH(764, 輔助計算!$G$2:$G$801, 0)+1))&lt;&gt;""), TRIM(IF(INT(INDEX(輔助計算!$D:$D, (MATCH(764, 輔助計算!$G$2:$G$801, 0)+1))/IF(INDEX(ERP資料!$G:$G, (MATCH(764, 輔助計算!$G$2:$G$801, 0)+1))&lt;100, IF(INDEX(ERP資料!$G:$G, (MATCH(764, 輔助計算!$G$2:$G$801, 0)+1))&lt;=31,3,IF(INDEX(ERP資料!$G:$G, (MATCH(764, 輔助計算!$G$2:$G$801, 0)+1))&lt;=46.5,2,1)), IF(INDEX(ERP資料!$G:$G, (MATCH(764, 輔助計算!$G$2:$G$801, 0)+1))&lt;=790,3,IF(INDEX(ERP資料!$G:$G, (MATCH(764, 輔助計算!$G$2:$G$801, 0)+1))&lt;=1181,2,1))))&gt;0, IF(IF(INDEX(ERP資料!$G:$G, (MATCH(764, 輔助計算!$G$2:$G$801, 0)+1))&lt;100, IF(INDEX(ERP資料!$G:$G, (MATCH(764, 輔助計算!$G$2:$G$801, 0)+1))&lt;=31,3,IF(INDEX(ERP資料!$G:$G, (MATCH(764, 輔助計算!$G$2:$G$801, 0)+1))&lt;=46.5,2,1)), IF(INDEX(ERP資料!$G:$G, (MATCH(764, 輔助計算!$G$2:$G$801, 0)+1))&lt;=790,3,IF(INDEX(ERP資料!$G:$G, (MATCH(764, 輔助計算!$G$2:$G$801, 0)+1))&lt;=1181,2,1)))=1,TEXT(INDEX(ERP資料!$G:$G, (MATCH(764, 輔助計算!$G$2:$G$801, 0)+1)),"0.##"),IF(IF(INDEX(ERP資料!$G:$G, (MATCH(764, 輔助計算!$G$2:$G$801, 0)+1))&lt;100, IF(INDEX(ERP資料!$G:$G, (MATCH(764, 輔助計算!$G$2:$G$801, 0)+1))&lt;=31,3,IF(INDEX(ERP資料!$G:$G, (MATCH(764, 輔助計算!$G$2:$G$801, 0)+1))&lt;=46.5,2,1)), IF(INDEX(ERP資料!$G:$G, (MATCH(764, 輔助計算!$G$2:$G$801, 0)+1))&lt;=790,3,IF(INDEX(ERP資料!$G:$G, (MATCH(764, 輔助計算!$G$2:$G$801, 0)+1))&lt;=1181,2,1)))=2,TEXT(INDEX(ERP資料!$G:$G, (MATCH(764, 輔助計算!$G$2:$G$801, 0)+1)),"0.##")&amp;"+"&amp;TEXT(INDEX(ERP資料!$G:$G, (MATCH(764, 輔助計算!$G$2:$G$801, 0)+1)),"0.##"),TEXT(INDEX(ERP資料!$G:$G, (MATCH(764, 輔助計算!$G$2:$G$801, 0)+1)),"0.##")&amp;"+"&amp;TEXT(INDEX(ERP資料!$G:$G, (MATCH(764, 輔助計算!$G$2:$G$801, 0)+1)),"0.##")&amp;"+"&amp;TEXT(INDEX(ERP資料!$G:$G, (MATCH(764, 輔助計算!$G$2:$G$801, 0)+1)),"0.##")))&amp;"-"&amp;INT(INDEX(輔助計算!$D:$D, (MATCH(764, 輔助計算!$G$2:$G$801, 0)+1))/IF(INDEX(ERP資料!$G:$G, (MATCH(764, 輔助計算!$G$2:$G$801, 0)+1))&lt;100, IF(INDEX(ERP資料!$G:$G, (MATCH(764, 輔助計算!$G$2:$G$801, 0)+1))&lt;=31,3,IF(INDEX(ERP資料!$G:$G, (MATCH(764, 輔助計算!$G$2:$G$801, 0)+1))&lt;=46.5,2,1)), IF(INDEX(ERP資料!$G:$G, (MATCH(764, 輔助計算!$G$2:$G$801, 0)+1))&lt;=790,3,IF(INDEX(ERP資料!$G:$G, (MATCH(764, 輔助計算!$G$2:$G$801, 0)+1))&lt;=1181,2,1)))), "")&amp;IF(AND(IF(INT(INDEX(輔助計算!$D:$D, (MATCH(764, 輔助計算!$G$2:$G$801, 0)+1))/IF(INDEX(ERP資料!$G:$G, (MATCH(764, 輔助計算!$G$2:$G$801, 0)+1))&lt;100, IF(INDEX(ERP資料!$G:$G, (MATCH(764, 輔助計算!$G$2:$G$801, 0)+1))&lt;=31,3,IF(INDEX(ERP資料!$G:$G, (MATCH(764, 輔助計算!$G$2:$G$801, 0)+1))&lt;=46.5,2,1)), IF(INDEX(ERP資料!$G:$G, (MATCH(764, 輔助計算!$G$2:$G$801, 0)+1))&lt;=790,3,IF(INDEX(ERP資料!$G:$G, (MATCH(764, 輔助計算!$G$2:$G$801, 0)+1))&lt;=1181,2,1))))&gt;0, IF(IF(INDEX(ERP資料!$G:$G, (MATCH(764, 輔助計算!$G$2:$G$801, 0)+1))&lt;100, IF(INDEX(ERP資料!$G:$G, (MATCH(764, 輔助計算!$G$2:$G$801, 0)+1))&lt;=31,3,IF(INDEX(ERP資料!$G:$G, (MATCH(764, 輔助計算!$G$2:$G$801, 0)+1))&lt;=46.5,2,1)), IF(INDEX(ERP資料!$G:$G, (MATCH(764, 輔助計算!$G$2:$G$801, 0)+1))&lt;=790,3,IF(INDEX(ERP資料!$G:$G, (MATCH(764, 輔助計算!$G$2:$G$801, 0)+1))&lt;=1181,2,1)))=1,TEXT(INDEX(ERP資料!$G:$G, (MATCH(764, 輔助計算!$G$2:$G$801, 0)+1)),"0.##"),IF(IF(INDEX(ERP資料!$G:$G, (MATCH(764, 輔助計算!$G$2:$G$801, 0)+1))&lt;100, IF(INDEX(ERP資料!$G:$G, (MATCH(764, 輔助計算!$G$2:$G$801, 0)+1))&lt;=31,3,IF(INDEX(ERP資料!$G:$G, (MATCH(764, 輔助計算!$G$2:$G$801, 0)+1))&lt;=46.5,2,1)), IF(INDEX(ERP資料!$G:$G, (MATCH(764, 輔助計算!$G$2:$G$801, 0)+1))&lt;=790,3,IF(INDEX(ERP資料!$G:$G, (MATCH(764, 輔助計算!$G$2:$G$801, 0)+1))&lt;=1181,2,1)))=2,TEXT(INDEX(ERP資料!$G:$G, (MATCH(764, 輔助計算!$G$2:$G$801, 0)+1)),"0.##")&amp;"+"&amp;TEXT(INDEX(ERP資料!$G:$G, (MATCH(764, 輔助計算!$G$2:$G$801, 0)+1)),"0.##"),TEXT(INDEX(ERP資料!$G:$G, (MATCH(764, 輔助計算!$G$2:$G$801, 0)+1)),"0.##")&amp;"+"&amp;TEXT(INDEX(ERP資料!$G:$G, (MATCH(764, 輔助計算!$G$2:$G$801, 0)+1)),"0.##")&amp;"+"&amp;TEXT(INDEX(ERP資料!$G:$G, (MATCH(764, 輔助計算!$G$2:$G$801, 0)+1)),"0.##")))&amp;"-"&amp;INT(INDEX(輔助計算!$D:$D, (MATCH(764, 輔助計算!$G$2:$G$801, 0)+1))/IF(INDEX(ERP資料!$G:$G, (MATCH(764, 輔助計算!$G$2:$G$801, 0)+1))&lt;100, IF(INDEX(ERP資料!$G:$G, (MATCH(764, 輔助計算!$G$2:$G$801, 0)+1))&lt;=31,3,IF(INDEX(ERP資料!$G:$G, (MATCH(764, 輔助計算!$G$2:$G$801, 0)+1))&lt;=46.5,2,1)), IF(INDEX(ERP資料!$G:$G, (MATCH(764, 輔助計算!$G$2:$G$801, 0)+1))&lt;=790,3,IF(INDEX(ERP資料!$G:$G, (MATCH(764, 輔助計算!$G$2:$G$801, 0)+1))&lt;=1181,2,1)))), "")&lt;&gt;"",IF(MOD(INDEX(輔助計算!$D:$D, (MATCH(764, 輔助計算!$G$2:$G$801, 0)+1)),IF(INDEX(ERP資料!$G:$G, (MATCH(764, 輔助計算!$G$2:$G$801, 0)+1))&lt;100, IF(INDEX(ERP資料!$G:$G, (MATCH(764, 輔助計算!$G$2:$G$801, 0)+1))&lt;=31,3,IF(INDEX(ERP資料!$G:$G, (MATCH(764, 輔助計算!$G$2:$G$801, 0)+1))&lt;=46.5,2,1)), IF(INDEX(ERP資料!$G:$G, (MATCH(764, 輔助計算!$G$2:$G$801, 0)+1))&lt;=790,3,IF(INDEX(ERP資料!$G:$G, (MATCH(764, 輔助計算!$G$2:$G$801, 0)+1))&lt;=1181,2,1))))=0,"",IF(MOD(INDEX(輔助計算!$D:$D, (MATCH(764, 輔助計算!$G$2:$G$801, 0)+1)),IF(INDEX(ERP資料!$G:$G, (MATCH(764, 輔助計算!$G$2:$G$801, 0)+1))&lt;100, IF(INDEX(ERP資料!$G:$G, (MATCH(764, 輔助計算!$G$2:$G$801, 0)+1))&lt;=31,3,IF(INDEX(ERP資料!$G:$G, (MATCH(764, 輔助計算!$G$2:$G$801, 0)+1))&lt;=46.5,2,1)), IF(INDEX(ERP資料!$G:$G, (MATCH(764, 輔助計算!$G$2:$G$801, 0)+1))&lt;=790,3,IF(INDEX(ERP資料!$G:$G, (MATCH(764, 輔助計算!$G$2:$G$801, 0)+1))&lt;=1181,2,1))))=0,"",IF(MOD(INDEX(輔助計算!$D:$D, (MATCH(764, 輔助計算!$G$2:$G$801, 0)+1)),IF(INDEX(ERP資料!$G:$G, (MATCH(764, 輔助計算!$G$2:$G$801, 0)+1))&lt;100, IF(INDEX(ERP資料!$G:$G, (MATCH(764, 輔助計算!$G$2:$G$801, 0)+1))&lt;=31,3,IF(INDEX(ERP資料!$G:$G, (MATCH(764, 輔助計算!$G$2:$G$801, 0)+1))&lt;=46.5,2,1)), IF(INDEX(ERP資料!$G:$G, (MATCH(764, 輔助計算!$G$2:$G$801, 0)+1))&lt;=790,3,IF(INDEX(ERP資料!$G:$G, (MATCH(764, 輔助計算!$G$2:$G$801, 0)+1))&lt;=1181,2,1))))=1,TEXT(INDEX(ERP資料!$G:$G, (MATCH(764, 輔助計算!$G$2:$G$801, 0)+1)),"0.##"),IF(MOD(INDEX(輔助計算!$D:$D, (MATCH(764, 輔助計算!$G$2:$G$801, 0)+1)),IF(INDEX(ERP資料!$G:$G, (MATCH(764, 輔助計算!$G$2:$G$801, 0)+1))&lt;100, IF(INDEX(ERP資料!$G:$G, (MATCH(764, 輔助計算!$G$2:$G$801, 0)+1))&lt;=31,3,IF(INDEX(ERP資料!$G:$G, (MATCH(764, 輔助計算!$G$2:$G$801, 0)+1))&lt;=46.5,2,1)), IF(INDEX(ERP資料!$G:$G, (MATCH(764, 輔助計算!$G$2:$G$801, 0)+1))&lt;=790,3,IF(INDEX(ERP資料!$G:$G, (MATCH(764, 輔助計算!$G$2:$G$801, 0)+1))&lt;=1181,2,1))))=2,TEXT(INDEX(ERP資料!$G:$G, (MATCH(764, 輔助計算!$G$2:$G$801, 0)+1)),"0.##")&amp;"+"&amp;TEXT(INDEX(ERP資料!$G:$G, (MATCH(764, 輔助計算!$G$2:$G$801, 0)+1)),"0.##"),TEXT(INDEX(ERP資料!$G:$G, (MATCH(764, 輔助計算!$G$2:$G$801, 0)+1)),"0.##")&amp;"+"&amp;TEXT(INDEX(ERP資料!$G:$G, (MATCH(764, 輔助計算!$G$2:$G$801, 0)+1)),"0.##")&amp;"+"&amp;TEXT(INDEX(ERP資料!$G:$G, (MATCH(764, 輔助計算!$G$2:$G$801, 0)+1)),"0.##"))))&amp;"-1")&lt;&gt;""),"  ","")&amp;IF(MOD(INDEX(輔助計算!$D:$D, (MATCH(764, 輔助計算!$G$2:$G$801, 0)+1)),IF(INDEX(ERP資料!$G:$G, (MATCH(764, 輔助計算!$G$2:$G$801, 0)+1))&lt;100, IF(INDEX(ERP資料!$G:$G, (MATCH(764, 輔助計算!$G$2:$G$801, 0)+1))&lt;=31,3,IF(INDEX(ERP資料!$G:$G, (MATCH(764, 輔助計算!$G$2:$G$801, 0)+1))&lt;=46.5,2,1)), IF(INDEX(ERP資料!$G:$G, (MATCH(764, 輔助計算!$G$2:$G$801, 0)+1))&lt;=790,3,IF(INDEX(ERP資料!$G:$G, (MATCH(764, 輔助計算!$G$2:$G$801, 0)+1))&lt;=1181,2,1))))=0,"",IF(MOD(INDEX(輔助計算!$D:$D, (MATCH(764, 輔助計算!$G$2:$G$801, 0)+1)),IF(INDEX(ERP資料!$G:$G, (MATCH(764, 輔助計算!$G$2:$G$801, 0)+1))&lt;100, IF(INDEX(ERP資料!$G:$G, (MATCH(764, 輔助計算!$G$2:$G$801, 0)+1))&lt;=31,3,IF(INDEX(ERP資料!$G:$G, (MATCH(764, 輔助計算!$G$2:$G$801, 0)+1))&lt;=46.5,2,1)), IF(INDEX(ERP資料!$G:$G, (MATCH(764, 輔助計算!$G$2:$G$801, 0)+1))&lt;=790,3,IF(INDEX(ERP資料!$G:$G, (MATCH(764, 輔助計算!$G$2:$G$801, 0)+1))&lt;=1181,2,1))))=0,"",IF(MOD(INDEX(輔助計算!$D:$D, (MATCH(764, 輔助計算!$G$2:$G$801, 0)+1)),IF(INDEX(ERP資料!$G:$G, (MATCH(764, 輔助計算!$G$2:$G$801, 0)+1))&lt;100, IF(INDEX(ERP資料!$G:$G, (MATCH(764, 輔助計算!$G$2:$G$801, 0)+1))&lt;=31,3,IF(INDEX(ERP資料!$G:$G, (MATCH(764, 輔助計算!$G$2:$G$801, 0)+1))&lt;=46.5,2,1)), IF(INDEX(ERP資料!$G:$G, (MATCH(764, 輔助計算!$G$2:$G$801, 0)+1))&lt;=790,3,IF(INDEX(ERP資料!$G:$G, (MATCH(764, 輔助計算!$G$2:$G$801, 0)+1))&lt;=1181,2,1))))=1,TEXT(INDEX(ERP資料!$G:$G, (MATCH(764, 輔助計算!$G$2:$G$801, 0)+1)),"0.##"),IF(MOD(INDEX(輔助計算!$D:$D, (MATCH(764, 輔助計算!$G$2:$G$801, 0)+1)),IF(INDEX(ERP資料!$G:$G, (MATCH(764, 輔助計算!$G$2:$G$801, 0)+1))&lt;100, IF(INDEX(ERP資料!$G:$G, (MATCH(764, 輔助計算!$G$2:$G$801, 0)+1))&lt;=31,3,IF(INDEX(ERP資料!$G:$G, (MATCH(764, 輔助計算!$G$2:$G$801, 0)+1))&lt;=46.5,2,1)), IF(INDEX(ERP資料!$G:$G, (MATCH(764, 輔助計算!$G$2:$G$801, 0)+1))&lt;=790,3,IF(INDEX(ERP資料!$G:$G, (MATCH(764, 輔助計算!$G$2:$G$801, 0)+1))&lt;=1181,2,1))))=2,TEXT(INDEX(ERP資料!$G:$G, (MATCH(764, 輔助計算!$G$2:$G$801, 0)+1)),"0.##")&amp;"+"&amp;TEXT(INDEX(ERP資料!$G:$G, (MATCH(764, 輔助計算!$G$2:$G$801, 0)+1)),"0.##"),TEXT(INDEX(ERP資料!$G:$G, (MATCH(764, 輔助計算!$G$2:$G$801, 0)+1)),"0.##")&amp;"+"&amp;TEXT(INDEX(ERP資料!$G:$G, (MATCH(764, 輔助計算!$G$2:$G$801, 0)+1)),"0.##")&amp;"+"&amp;TEXT(INDEX(ERP資料!$G:$G, (MATCH(764, 輔助計算!$G$2:$G$801, 0)+1)),"0.##"))))&amp;"-1")), ""), "")</f>
        <v/>
      </c>
      <c r="K765" s="16" t="n"/>
      <c r="L765" s="14">
        <f>IFERROR(IF(AND(IFERROR(INDEX(ERP資料!$A:$A, (MATCH(764, 輔助計算!$G$2:$G$801, 0)+1)), "")&lt;&gt;"", IFERROR(INDEX(ERP資料!$A:$A, (MATCH(764, 輔助計算!$G$2:$G$801, 0)+1)), "")&lt;&gt;IFERROR(INDEX(ERP資料!$A:$A, MATCH(763, 輔助計算!$G$2:$G$801, 0)+1), "")), INDEX(ERP資料!$B:$B, (MATCH(764, 輔助計算!$G$2:$G$801, 0)+1)), ""), "")</f>
        <v/>
      </c>
      <c r="M765" s="17" t="n"/>
    </row>
    <row r="766">
      <c r="A766" s="10">
        <f>IFERROR(IF(AND(IFERROR(INDEX(ERP資料!$A:$A, (MATCH(765, 輔助計算!$G$2:$G$801, 0)+1)), "")&lt;&gt;"", IFERROR(INDEX(ERP資料!$A:$A, (MATCH(765, 輔助計算!$G$2:$G$801, 0)+1)), "")&lt;&gt;IFERROR(INDEX(ERP資料!$A:$A, MATCH(764, 輔助計算!$G$2:$G$801, 0)+1), "")), IFERROR(INDEX(ERP資料!$A:$A, (MATCH(765, 輔助計算!$G$2:$G$801, 0)+1)), ""), ""), "")</f>
        <v/>
      </c>
      <c r="B766" s="10">
        <f>IFERROR(IF(AND(IFERROR(INDEX(ERP資料!$A:$A, (MATCH(765, 輔助計算!$G$2:$G$801, 0)+1)), "")&lt;&gt;"", IFERROR(INDEX(ERP資料!$A:$A, (MATCH(765, 輔助計算!$G$2:$G$801, 0)+1)), "")&lt;&gt;IFERROR(INDEX(ERP資料!$A:$A, MATCH(764, 輔助計算!$G$2:$G$801, 0)+1), "")), INDEX(ERP資料!$S:$S, (MATCH(765, 輔助計算!$G$2:$G$801, 0)+1)), ""), "")</f>
        <v/>
      </c>
      <c r="C766" s="19">
        <f>IFERROR(IF(AND(IFERROR(INDEX(ERP資料!$A:$A, (MATCH(765, 輔助計算!$G$2:$G$801, 0)+1)), "")&lt;&gt;"", IFERROR(INDEX(ERP資料!$A:$A, (MATCH(765, 輔助計算!$G$2:$G$801, 0)+1)), "")&lt;&gt;IFERROR(INDEX(ERP資料!$A:$A, MATCH(764, 輔助計算!$G$2:$G$801, 0)+1), "")), IFERROR(VLOOKUP(LEFT(INDEX(ERP資料!$S:$S, (MATCH(765, 輔助計算!$G$2:$G$801, 0)+1)), 4), 紙管對照表!$A:$C, 3, FALSE), ""), ""), "")</f>
        <v/>
      </c>
      <c r="D766" s="16" t="n"/>
      <c r="E766" s="10">
        <f>IFERROR(IF(INDEX(ERP資料!$H:$H, (MATCH(765, 輔助計算!$G$2:$G$801, 0)+1))="","",INDEX(ERP資料!$H:$H, (MATCH(765, 輔助計算!$G$2:$G$801, 0)+1))), "")</f>
        <v/>
      </c>
      <c r="F766" s="10">
        <f>IFERROR(IF(INDEX(ERP資料!$E:$E, (MATCH(765, 輔助計算!$G$2:$G$801, 0)+1))="","",TRIM(INDEX(ERP資料!$E:$E, (MATCH(765, 輔助計算!$G$2:$G$801, 0)+1)))), "")</f>
        <v/>
      </c>
      <c r="G766" s="10">
        <f>IFERROR(IF(INDEX(ERP資料!$F:$F, (MATCH(765, 輔助計算!$G$2:$G$801, 0)+1))="","",INDEX(ERP資料!$F:$F, (MATCH(765, 輔助計算!$G$2:$G$801, 0)+1))), "")</f>
        <v/>
      </c>
      <c r="H766" s="10">
        <f>IFERROR(IF(INDEX(ERP資料!$G:$G, (MATCH(765, 輔助計算!$G$2:$G$801, 0)+1))="","",INDEX(ERP資料!$G:$G, (MATCH(765, 輔助計算!$G$2:$G$801, 0)+1))), "")</f>
        <v/>
      </c>
      <c r="I766" s="15">
        <f>IFERROR(INDEX(輔助計算!$D:$D, (MATCH(765, 輔助計算!$G$2:$G$801, 0)+1)), "")</f>
        <v/>
      </c>
      <c r="J766" s="15">
        <f>IFERROR(IF(AND(INDEX(輔助計算!$D:$D, (MATCH(765, 輔助計算!$G$2:$G$801, 0)+1))&lt;&gt;"", INDEX(ERP資料!$G:$G, (MATCH(765, 輔助計算!$G$2:$G$801, 0)+1))&lt;&gt;""), TRIM(IF(INT(INDEX(輔助計算!$D:$D, (MATCH(765, 輔助計算!$G$2:$G$801, 0)+1))/IF(INDEX(ERP資料!$G:$G, (MATCH(765, 輔助計算!$G$2:$G$801, 0)+1))&lt;100, IF(INDEX(ERP資料!$G:$G, (MATCH(765, 輔助計算!$G$2:$G$801, 0)+1))&lt;=31,3,IF(INDEX(ERP資料!$G:$G, (MATCH(765, 輔助計算!$G$2:$G$801, 0)+1))&lt;=46.5,2,1)), IF(INDEX(ERP資料!$G:$G, (MATCH(765, 輔助計算!$G$2:$G$801, 0)+1))&lt;=790,3,IF(INDEX(ERP資料!$G:$G, (MATCH(765, 輔助計算!$G$2:$G$801, 0)+1))&lt;=1181,2,1))))&gt;0, IF(IF(INDEX(ERP資料!$G:$G, (MATCH(765, 輔助計算!$G$2:$G$801, 0)+1))&lt;100, IF(INDEX(ERP資料!$G:$G, (MATCH(765, 輔助計算!$G$2:$G$801, 0)+1))&lt;=31,3,IF(INDEX(ERP資料!$G:$G, (MATCH(765, 輔助計算!$G$2:$G$801, 0)+1))&lt;=46.5,2,1)), IF(INDEX(ERP資料!$G:$G, (MATCH(765, 輔助計算!$G$2:$G$801, 0)+1))&lt;=790,3,IF(INDEX(ERP資料!$G:$G, (MATCH(765, 輔助計算!$G$2:$G$801, 0)+1))&lt;=1181,2,1)))=1,TEXT(INDEX(ERP資料!$G:$G, (MATCH(765, 輔助計算!$G$2:$G$801, 0)+1)),"0.##"),IF(IF(INDEX(ERP資料!$G:$G, (MATCH(765, 輔助計算!$G$2:$G$801, 0)+1))&lt;100, IF(INDEX(ERP資料!$G:$G, (MATCH(765, 輔助計算!$G$2:$G$801, 0)+1))&lt;=31,3,IF(INDEX(ERP資料!$G:$G, (MATCH(765, 輔助計算!$G$2:$G$801, 0)+1))&lt;=46.5,2,1)), IF(INDEX(ERP資料!$G:$G, (MATCH(765, 輔助計算!$G$2:$G$801, 0)+1))&lt;=790,3,IF(INDEX(ERP資料!$G:$G, (MATCH(765, 輔助計算!$G$2:$G$801, 0)+1))&lt;=1181,2,1)))=2,TEXT(INDEX(ERP資料!$G:$G, (MATCH(765, 輔助計算!$G$2:$G$801, 0)+1)),"0.##")&amp;"+"&amp;TEXT(INDEX(ERP資料!$G:$G, (MATCH(765, 輔助計算!$G$2:$G$801, 0)+1)),"0.##"),TEXT(INDEX(ERP資料!$G:$G, (MATCH(765, 輔助計算!$G$2:$G$801, 0)+1)),"0.##")&amp;"+"&amp;TEXT(INDEX(ERP資料!$G:$G, (MATCH(765, 輔助計算!$G$2:$G$801, 0)+1)),"0.##")&amp;"+"&amp;TEXT(INDEX(ERP資料!$G:$G, (MATCH(765, 輔助計算!$G$2:$G$801, 0)+1)),"0.##")))&amp;"-"&amp;INT(INDEX(輔助計算!$D:$D, (MATCH(765, 輔助計算!$G$2:$G$801, 0)+1))/IF(INDEX(ERP資料!$G:$G, (MATCH(765, 輔助計算!$G$2:$G$801, 0)+1))&lt;100, IF(INDEX(ERP資料!$G:$G, (MATCH(765, 輔助計算!$G$2:$G$801, 0)+1))&lt;=31,3,IF(INDEX(ERP資料!$G:$G, (MATCH(765, 輔助計算!$G$2:$G$801, 0)+1))&lt;=46.5,2,1)), IF(INDEX(ERP資料!$G:$G, (MATCH(765, 輔助計算!$G$2:$G$801, 0)+1))&lt;=790,3,IF(INDEX(ERP資料!$G:$G, (MATCH(765, 輔助計算!$G$2:$G$801, 0)+1))&lt;=1181,2,1)))), "")&amp;IF(AND(IF(INT(INDEX(輔助計算!$D:$D, (MATCH(765, 輔助計算!$G$2:$G$801, 0)+1))/IF(INDEX(ERP資料!$G:$G, (MATCH(765, 輔助計算!$G$2:$G$801, 0)+1))&lt;100, IF(INDEX(ERP資料!$G:$G, (MATCH(765, 輔助計算!$G$2:$G$801, 0)+1))&lt;=31,3,IF(INDEX(ERP資料!$G:$G, (MATCH(765, 輔助計算!$G$2:$G$801, 0)+1))&lt;=46.5,2,1)), IF(INDEX(ERP資料!$G:$G, (MATCH(765, 輔助計算!$G$2:$G$801, 0)+1))&lt;=790,3,IF(INDEX(ERP資料!$G:$G, (MATCH(765, 輔助計算!$G$2:$G$801, 0)+1))&lt;=1181,2,1))))&gt;0, IF(IF(INDEX(ERP資料!$G:$G, (MATCH(765, 輔助計算!$G$2:$G$801, 0)+1))&lt;100, IF(INDEX(ERP資料!$G:$G, (MATCH(765, 輔助計算!$G$2:$G$801, 0)+1))&lt;=31,3,IF(INDEX(ERP資料!$G:$G, (MATCH(765, 輔助計算!$G$2:$G$801, 0)+1))&lt;=46.5,2,1)), IF(INDEX(ERP資料!$G:$G, (MATCH(765, 輔助計算!$G$2:$G$801, 0)+1))&lt;=790,3,IF(INDEX(ERP資料!$G:$G, (MATCH(765, 輔助計算!$G$2:$G$801, 0)+1))&lt;=1181,2,1)))=1,TEXT(INDEX(ERP資料!$G:$G, (MATCH(765, 輔助計算!$G$2:$G$801, 0)+1)),"0.##"),IF(IF(INDEX(ERP資料!$G:$G, (MATCH(765, 輔助計算!$G$2:$G$801, 0)+1))&lt;100, IF(INDEX(ERP資料!$G:$G, (MATCH(765, 輔助計算!$G$2:$G$801, 0)+1))&lt;=31,3,IF(INDEX(ERP資料!$G:$G, (MATCH(765, 輔助計算!$G$2:$G$801, 0)+1))&lt;=46.5,2,1)), IF(INDEX(ERP資料!$G:$G, (MATCH(765, 輔助計算!$G$2:$G$801, 0)+1))&lt;=790,3,IF(INDEX(ERP資料!$G:$G, (MATCH(765, 輔助計算!$G$2:$G$801, 0)+1))&lt;=1181,2,1)))=2,TEXT(INDEX(ERP資料!$G:$G, (MATCH(765, 輔助計算!$G$2:$G$801, 0)+1)),"0.##")&amp;"+"&amp;TEXT(INDEX(ERP資料!$G:$G, (MATCH(765, 輔助計算!$G$2:$G$801, 0)+1)),"0.##"),TEXT(INDEX(ERP資料!$G:$G, (MATCH(765, 輔助計算!$G$2:$G$801, 0)+1)),"0.##")&amp;"+"&amp;TEXT(INDEX(ERP資料!$G:$G, (MATCH(765, 輔助計算!$G$2:$G$801, 0)+1)),"0.##")&amp;"+"&amp;TEXT(INDEX(ERP資料!$G:$G, (MATCH(765, 輔助計算!$G$2:$G$801, 0)+1)),"0.##")))&amp;"-"&amp;INT(INDEX(輔助計算!$D:$D, (MATCH(765, 輔助計算!$G$2:$G$801, 0)+1))/IF(INDEX(ERP資料!$G:$G, (MATCH(765, 輔助計算!$G$2:$G$801, 0)+1))&lt;100, IF(INDEX(ERP資料!$G:$G, (MATCH(765, 輔助計算!$G$2:$G$801, 0)+1))&lt;=31,3,IF(INDEX(ERP資料!$G:$G, (MATCH(765, 輔助計算!$G$2:$G$801, 0)+1))&lt;=46.5,2,1)), IF(INDEX(ERP資料!$G:$G, (MATCH(765, 輔助計算!$G$2:$G$801, 0)+1))&lt;=790,3,IF(INDEX(ERP資料!$G:$G, (MATCH(765, 輔助計算!$G$2:$G$801, 0)+1))&lt;=1181,2,1)))), "")&lt;&gt;"",IF(MOD(INDEX(輔助計算!$D:$D, (MATCH(765, 輔助計算!$G$2:$G$801, 0)+1)),IF(INDEX(ERP資料!$G:$G, (MATCH(765, 輔助計算!$G$2:$G$801, 0)+1))&lt;100, IF(INDEX(ERP資料!$G:$G, (MATCH(765, 輔助計算!$G$2:$G$801, 0)+1))&lt;=31,3,IF(INDEX(ERP資料!$G:$G, (MATCH(765, 輔助計算!$G$2:$G$801, 0)+1))&lt;=46.5,2,1)), IF(INDEX(ERP資料!$G:$G, (MATCH(765, 輔助計算!$G$2:$G$801, 0)+1))&lt;=790,3,IF(INDEX(ERP資料!$G:$G, (MATCH(765, 輔助計算!$G$2:$G$801, 0)+1))&lt;=1181,2,1))))=0,"",IF(MOD(INDEX(輔助計算!$D:$D, (MATCH(765, 輔助計算!$G$2:$G$801, 0)+1)),IF(INDEX(ERP資料!$G:$G, (MATCH(765, 輔助計算!$G$2:$G$801, 0)+1))&lt;100, IF(INDEX(ERP資料!$G:$G, (MATCH(765, 輔助計算!$G$2:$G$801, 0)+1))&lt;=31,3,IF(INDEX(ERP資料!$G:$G, (MATCH(765, 輔助計算!$G$2:$G$801, 0)+1))&lt;=46.5,2,1)), IF(INDEX(ERP資料!$G:$G, (MATCH(765, 輔助計算!$G$2:$G$801, 0)+1))&lt;=790,3,IF(INDEX(ERP資料!$G:$G, (MATCH(765, 輔助計算!$G$2:$G$801, 0)+1))&lt;=1181,2,1))))=0,"",IF(MOD(INDEX(輔助計算!$D:$D, (MATCH(765, 輔助計算!$G$2:$G$801, 0)+1)),IF(INDEX(ERP資料!$G:$G, (MATCH(765, 輔助計算!$G$2:$G$801, 0)+1))&lt;100, IF(INDEX(ERP資料!$G:$G, (MATCH(765, 輔助計算!$G$2:$G$801, 0)+1))&lt;=31,3,IF(INDEX(ERP資料!$G:$G, (MATCH(765, 輔助計算!$G$2:$G$801, 0)+1))&lt;=46.5,2,1)), IF(INDEX(ERP資料!$G:$G, (MATCH(765, 輔助計算!$G$2:$G$801, 0)+1))&lt;=790,3,IF(INDEX(ERP資料!$G:$G, (MATCH(765, 輔助計算!$G$2:$G$801, 0)+1))&lt;=1181,2,1))))=1,TEXT(INDEX(ERP資料!$G:$G, (MATCH(765, 輔助計算!$G$2:$G$801, 0)+1)),"0.##"),IF(MOD(INDEX(輔助計算!$D:$D, (MATCH(765, 輔助計算!$G$2:$G$801, 0)+1)),IF(INDEX(ERP資料!$G:$G, (MATCH(765, 輔助計算!$G$2:$G$801, 0)+1))&lt;100, IF(INDEX(ERP資料!$G:$G, (MATCH(765, 輔助計算!$G$2:$G$801, 0)+1))&lt;=31,3,IF(INDEX(ERP資料!$G:$G, (MATCH(765, 輔助計算!$G$2:$G$801, 0)+1))&lt;=46.5,2,1)), IF(INDEX(ERP資料!$G:$G, (MATCH(765, 輔助計算!$G$2:$G$801, 0)+1))&lt;=790,3,IF(INDEX(ERP資料!$G:$G, (MATCH(765, 輔助計算!$G$2:$G$801, 0)+1))&lt;=1181,2,1))))=2,TEXT(INDEX(ERP資料!$G:$G, (MATCH(765, 輔助計算!$G$2:$G$801, 0)+1)),"0.##")&amp;"+"&amp;TEXT(INDEX(ERP資料!$G:$G, (MATCH(765, 輔助計算!$G$2:$G$801, 0)+1)),"0.##"),TEXT(INDEX(ERP資料!$G:$G, (MATCH(765, 輔助計算!$G$2:$G$801, 0)+1)),"0.##")&amp;"+"&amp;TEXT(INDEX(ERP資料!$G:$G, (MATCH(765, 輔助計算!$G$2:$G$801, 0)+1)),"0.##")&amp;"+"&amp;TEXT(INDEX(ERP資料!$G:$G, (MATCH(765, 輔助計算!$G$2:$G$801, 0)+1)),"0.##"))))&amp;"-1")&lt;&gt;""),"  ","")&amp;IF(MOD(INDEX(輔助計算!$D:$D, (MATCH(765, 輔助計算!$G$2:$G$801, 0)+1)),IF(INDEX(ERP資料!$G:$G, (MATCH(765, 輔助計算!$G$2:$G$801, 0)+1))&lt;100, IF(INDEX(ERP資料!$G:$G, (MATCH(765, 輔助計算!$G$2:$G$801, 0)+1))&lt;=31,3,IF(INDEX(ERP資料!$G:$G, (MATCH(765, 輔助計算!$G$2:$G$801, 0)+1))&lt;=46.5,2,1)), IF(INDEX(ERP資料!$G:$G, (MATCH(765, 輔助計算!$G$2:$G$801, 0)+1))&lt;=790,3,IF(INDEX(ERP資料!$G:$G, (MATCH(765, 輔助計算!$G$2:$G$801, 0)+1))&lt;=1181,2,1))))=0,"",IF(MOD(INDEX(輔助計算!$D:$D, (MATCH(765, 輔助計算!$G$2:$G$801, 0)+1)),IF(INDEX(ERP資料!$G:$G, (MATCH(765, 輔助計算!$G$2:$G$801, 0)+1))&lt;100, IF(INDEX(ERP資料!$G:$G, (MATCH(765, 輔助計算!$G$2:$G$801, 0)+1))&lt;=31,3,IF(INDEX(ERP資料!$G:$G, (MATCH(765, 輔助計算!$G$2:$G$801, 0)+1))&lt;=46.5,2,1)), IF(INDEX(ERP資料!$G:$G, (MATCH(765, 輔助計算!$G$2:$G$801, 0)+1))&lt;=790,3,IF(INDEX(ERP資料!$G:$G, (MATCH(765, 輔助計算!$G$2:$G$801, 0)+1))&lt;=1181,2,1))))=0,"",IF(MOD(INDEX(輔助計算!$D:$D, (MATCH(765, 輔助計算!$G$2:$G$801, 0)+1)),IF(INDEX(ERP資料!$G:$G, (MATCH(765, 輔助計算!$G$2:$G$801, 0)+1))&lt;100, IF(INDEX(ERP資料!$G:$G, (MATCH(765, 輔助計算!$G$2:$G$801, 0)+1))&lt;=31,3,IF(INDEX(ERP資料!$G:$G, (MATCH(765, 輔助計算!$G$2:$G$801, 0)+1))&lt;=46.5,2,1)), IF(INDEX(ERP資料!$G:$G, (MATCH(765, 輔助計算!$G$2:$G$801, 0)+1))&lt;=790,3,IF(INDEX(ERP資料!$G:$G, (MATCH(765, 輔助計算!$G$2:$G$801, 0)+1))&lt;=1181,2,1))))=1,TEXT(INDEX(ERP資料!$G:$G, (MATCH(765, 輔助計算!$G$2:$G$801, 0)+1)),"0.##"),IF(MOD(INDEX(輔助計算!$D:$D, (MATCH(765, 輔助計算!$G$2:$G$801, 0)+1)),IF(INDEX(ERP資料!$G:$G, (MATCH(765, 輔助計算!$G$2:$G$801, 0)+1))&lt;100, IF(INDEX(ERP資料!$G:$G, (MATCH(765, 輔助計算!$G$2:$G$801, 0)+1))&lt;=31,3,IF(INDEX(ERP資料!$G:$G, (MATCH(765, 輔助計算!$G$2:$G$801, 0)+1))&lt;=46.5,2,1)), IF(INDEX(ERP資料!$G:$G, (MATCH(765, 輔助計算!$G$2:$G$801, 0)+1))&lt;=790,3,IF(INDEX(ERP資料!$G:$G, (MATCH(765, 輔助計算!$G$2:$G$801, 0)+1))&lt;=1181,2,1))))=2,TEXT(INDEX(ERP資料!$G:$G, (MATCH(765, 輔助計算!$G$2:$G$801, 0)+1)),"0.##")&amp;"+"&amp;TEXT(INDEX(ERP資料!$G:$G, (MATCH(765, 輔助計算!$G$2:$G$801, 0)+1)),"0.##"),TEXT(INDEX(ERP資料!$G:$G, (MATCH(765, 輔助計算!$G$2:$G$801, 0)+1)),"0.##")&amp;"+"&amp;TEXT(INDEX(ERP資料!$G:$G, (MATCH(765, 輔助計算!$G$2:$G$801, 0)+1)),"0.##")&amp;"+"&amp;TEXT(INDEX(ERP資料!$G:$G, (MATCH(765, 輔助計算!$G$2:$G$801, 0)+1)),"0.##"))))&amp;"-1")), ""), "")</f>
        <v/>
      </c>
      <c r="K766" s="16" t="n"/>
      <c r="L766" s="14">
        <f>IFERROR(IF(AND(IFERROR(INDEX(ERP資料!$A:$A, (MATCH(765, 輔助計算!$G$2:$G$801, 0)+1)), "")&lt;&gt;"", IFERROR(INDEX(ERP資料!$A:$A, (MATCH(765, 輔助計算!$G$2:$G$801, 0)+1)), "")&lt;&gt;IFERROR(INDEX(ERP資料!$A:$A, MATCH(764, 輔助計算!$G$2:$G$801, 0)+1), "")), INDEX(ERP資料!$B:$B, (MATCH(765, 輔助計算!$G$2:$G$801, 0)+1)), ""), "")</f>
        <v/>
      </c>
      <c r="M766" s="17" t="n"/>
    </row>
    <row r="767">
      <c r="A767" s="10">
        <f>IFERROR(IF(AND(IFERROR(INDEX(ERP資料!$A:$A, (MATCH(766, 輔助計算!$G$2:$G$801, 0)+1)), "")&lt;&gt;"", IFERROR(INDEX(ERP資料!$A:$A, (MATCH(766, 輔助計算!$G$2:$G$801, 0)+1)), "")&lt;&gt;IFERROR(INDEX(ERP資料!$A:$A, MATCH(765, 輔助計算!$G$2:$G$801, 0)+1), "")), IFERROR(INDEX(ERP資料!$A:$A, (MATCH(766, 輔助計算!$G$2:$G$801, 0)+1)), ""), ""), "")</f>
        <v/>
      </c>
      <c r="B767" s="10">
        <f>IFERROR(IF(AND(IFERROR(INDEX(ERP資料!$A:$A, (MATCH(766, 輔助計算!$G$2:$G$801, 0)+1)), "")&lt;&gt;"", IFERROR(INDEX(ERP資料!$A:$A, (MATCH(766, 輔助計算!$G$2:$G$801, 0)+1)), "")&lt;&gt;IFERROR(INDEX(ERP資料!$A:$A, MATCH(765, 輔助計算!$G$2:$G$801, 0)+1), "")), INDEX(ERP資料!$S:$S, (MATCH(766, 輔助計算!$G$2:$G$801, 0)+1)), ""), "")</f>
        <v/>
      </c>
      <c r="C767" s="19">
        <f>IFERROR(IF(AND(IFERROR(INDEX(ERP資料!$A:$A, (MATCH(766, 輔助計算!$G$2:$G$801, 0)+1)), "")&lt;&gt;"", IFERROR(INDEX(ERP資料!$A:$A, (MATCH(766, 輔助計算!$G$2:$G$801, 0)+1)), "")&lt;&gt;IFERROR(INDEX(ERP資料!$A:$A, MATCH(765, 輔助計算!$G$2:$G$801, 0)+1), "")), IFERROR(VLOOKUP(LEFT(INDEX(ERP資料!$S:$S, (MATCH(766, 輔助計算!$G$2:$G$801, 0)+1)), 4), 紙管對照表!$A:$C, 3, FALSE), ""), ""), "")</f>
        <v/>
      </c>
      <c r="D767" s="16" t="n"/>
      <c r="E767" s="10">
        <f>IFERROR(IF(INDEX(ERP資料!$H:$H, (MATCH(766, 輔助計算!$G$2:$G$801, 0)+1))="","",INDEX(ERP資料!$H:$H, (MATCH(766, 輔助計算!$G$2:$G$801, 0)+1))), "")</f>
        <v/>
      </c>
      <c r="F767" s="10">
        <f>IFERROR(IF(INDEX(ERP資料!$E:$E, (MATCH(766, 輔助計算!$G$2:$G$801, 0)+1))="","",TRIM(INDEX(ERP資料!$E:$E, (MATCH(766, 輔助計算!$G$2:$G$801, 0)+1)))), "")</f>
        <v/>
      </c>
      <c r="G767" s="10">
        <f>IFERROR(IF(INDEX(ERP資料!$F:$F, (MATCH(766, 輔助計算!$G$2:$G$801, 0)+1))="","",INDEX(ERP資料!$F:$F, (MATCH(766, 輔助計算!$G$2:$G$801, 0)+1))), "")</f>
        <v/>
      </c>
      <c r="H767" s="10">
        <f>IFERROR(IF(INDEX(ERP資料!$G:$G, (MATCH(766, 輔助計算!$G$2:$G$801, 0)+1))="","",INDEX(ERP資料!$G:$G, (MATCH(766, 輔助計算!$G$2:$G$801, 0)+1))), "")</f>
        <v/>
      </c>
      <c r="I767" s="15">
        <f>IFERROR(INDEX(輔助計算!$D:$D, (MATCH(766, 輔助計算!$G$2:$G$801, 0)+1)), "")</f>
        <v/>
      </c>
      <c r="J767" s="15">
        <f>IFERROR(IF(AND(INDEX(輔助計算!$D:$D, (MATCH(766, 輔助計算!$G$2:$G$801, 0)+1))&lt;&gt;"", INDEX(ERP資料!$G:$G, (MATCH(766, 輔助計算!$G$2:$G$801, 0)+1))&lt;&gt;""), TRIM(IF(INT(INDEX(輔助計算!$D:$D, (MATCH(766, 輔助計算!$G$2:$G$801, 0)+1))/IF(INDEX(ERP資料!$G:$G, (MATCH(766, 輔助計算!$G$2:$G$801, 0)+1))&lt;100, IF(INDEX(ERP資料!$G:$G, (MATCH(766, 輔助計算!$G$2:$G$801, 0)+1))&lt;=31,3,IF(INDEX(ERP資料!$G:$G, (MATCH(766, 輔助計算!$G$2:$G$801, 0)+1))&lt;=46.5,2,1)), IF(INDEX(ERP資料!$G:$G, (MATCH(766, 輔助計算!$G$2:$G$801, 0)+1))&lt;=790,3,IF(INDEX(ERP資料!$G:$G, (MATCH(766, 輔助計算!$G$2:$G$801, 0)+1))&lt;=1181,2,1))))&gt;0, IF(IF(INDEX(ERP資料!$G:$G, (MATCH(766, 輔助計算!$G$2:$G$801, 0)+1))&lt;100, IF(INDEX(ERP資料!$G:$G, (MATCH(766, 輔助計算!$G$2:$G$801, 0)+1))&lt;=31,3,IF(INDEX(ERP資料!$G:$G, (MATCH(766, 輔助計算!$G$2:$G$801, 0)+1))&lt;=46.5,2,1)), IF(INDEX(ERP資料!$G:$G, (MATCH(766, 輔助計算!$G$2:$G$801, 0)+1))&lt;=790,3,IF(INDEX(ERP資料!$G:$G, (MATCH(766, 輔助計算!$G$2:$G$801, 0)+1))&lt;=1181,2,1)))=1,TEXT(INDEX(ERP資料!$G:$G, (MATCH(766, 輔助計算!$G$2:$G$801, 0)+1)),"0.##"),IF(IF(INDEX(ERP資料!$G:$G, (MATCH(766, 輔助計算!$G$2:$G$801, 0)+1))&lt;100, IF(INDEX(ERP資料!$G:$G, (MATCH(766, 輔助計算!$G$2:$G$801, 0)+1))&lt;=31,3,IF(INDEX(ERP資料!$G:$G, (MATCH(766, 輔助計算!$G$2:$G$801, 0)+1))&lt;=46.5,2,1)), IF(INDEX(ERP資料!$G:$G, (MATCH(766, 輔助計算!$G$2:$G$801, 0)+1))&lt;=790,3,IF(INDEX(ERP資料!$G:$G, (MATCH(766, 輔助計算!$G$2:$G$801, 0)+1))&lt;=1181,2,1)))=2,TEXT(INDEX(ERP資料!$G:$G, (MATCH(766, 輔助計算!$G$2:$G$801, 0)+1)),"0.##")&amp;"+"&amp;TEXT(INDEX(ERP資料!$G:$G, (MATCH(766, 輔助計算!$G$2:$G$801, 0)+1)),"0.##"),TEXT(INDEX(ERP資料!$G:$G, (MATCH(766, 輔助計算!$G$2:$G$801, 0)+1)),"0.##")&amp;"+"&amp;TEXT(INDEX(ERP資料!$G:$G, (MATCH(766, 輔助計算!$G$2:$G$801, 0)+1)),"0.##")&amp;"+"&amp;TEXT(INDEX(ERP資料!$G:$G, (MATCH(766, 輔助計算!$G$2:$G$801, 0)+1)),"0.##")))&amp;"-"&amp;INT(INDEX(輔助計算!$D:$D, (MATCH(766, 輔助計算!$G$2:$G$801, 0)+1))/IF(INDEX(ERP資料!$G:$G, (MATCH(766, 輔助計算!$G$2:$G$801, 0)+1))&lt;100, IF(INDEX(ERP資料!$G:$G, (MATCH(766, 輔助計算!$G$2:$G$801, 0)+1))&lt;=31,3,IF(INDEX(ERP資料!$G:$G, (MATCH(766, 輔助計算!$G$2:$G$801, 0)+1))&lt;=46.5,2,1)), IF(INDEX(ERP資料!$G:$G, (MATCH(766, 輔助計算!$G$2:$G$801, 0)+1))&lt;=790,3,IF(INDEX(ERP資料!$G:$G, (MATCH(766, 輔助計算!$G$2:$G$801, 0)+1))&lt;=1181,2,1)))), "")&amp;IF(AND(IF(INT(INDEX(輔助計算!$D:$D, (MATCH(766, 輔助計算!$G$2:$G$801, 0)+1))/IF(INDEX(ERP資料!$G:$G, (MATCH(766, 輔助計算!$G$2:$G$801, 0)+1))&lt;100, IF(INDEX(ERP資料!$G:$G, (MATCH(766, 輔助計算!$G$2:$G$801, 0)+1))&lt;=31,3,IF(INDEX(ERP資料!$G:$G, (MATCH(766, 輔助計算!$G$2:$G$801, 0)+1))&lt;=46.5,2,1)), IF(INDEX(ERP資料!$G:$G, (MATCH(766, 輔助計算!$G$2:$G$801, 0)+1))&lt;=790,3,IF(INDEX(ERP資料!$G:$G, (MATCH(766, 輔助計算!$G$2:$G$801, 0)+1))&lt;=1181,2,1))))&gt;0, IF(IF(INDEX(ERP資料!$G:$G, (MATCH(766, 輔助計算!$G$2:$G$801, 0)+1))&lt;100, IF(INDEX(ERP資料!$G:$G, (MATCH(766, 輔助計算!$G$2:$G$801, 0)+1))&lt;=31,3,IF(INDEX(ERP資料!$G:$G, (MATCH(766, 輔助計算!$G$2:$G$801, 0)+1))&lt;=46.5,2,1)), IF(INDEX(ERP資料!$G:$G, (MATCH(766, 輔助計算!$G$2:$G$801, 0)+1))&lt;=790,3,IF(INDEX(ERP資料!$G:$G, (MATCH(766, 輔助計算!$G$2:$G$801, 0)+1))&lt;=1181,2,1)))=1,TEXT(INDEX(ERP資料!$G:$G, (MATCH(766, 輔助計算!$G$2:$G$801, 0)+1)),"0.##"),IF(IF(INDEX(ERP資料!$G:$G, (MATCH(766, 輔助計算!$G$2:$G$801, 0)+1))&lt;100, IF(INDEX(ERP資料!$G:$G, (MATCH(766, 輔助計算!$G$2:$G$801, 0)+1))&lt;=31,3,IF(INDEX(ERP資料!$G:$G, (MATCH(766, 輔助計算!$G$2:$G$801, 0)+1))&lt;=46.5,2,1)), IF(INDEX(ERP資料!$G:$G, (MATCH(766, 輔助計算!$G$2:$G$801, 0)+1))&lt;=790,3,IF(INDEX(ERP資料!$G:$G, (MATCH(766, 輔助計算!$G$2:$G$801, 0)+1))&lt;=1181,2,1)))=2,TEXT(INDEX(ERP資料!$G:$G, (MATCH(766, 輔助計算!$G$2:$G$801, 0)+1)),"0.##")&amp;"+"&amp;TEXT(INDEX(ERP資料!$G:$G, (MATCH(766, 輔助計算!$G$2:$G$801, 0)+1)),"0.##"),TEXT(INDEX(ERP資料!$G:$G, (MATCH(766, 輔助計算!$G$2:$G$801, 0)+1)),"0.##")&amp;"+"&amp;TEXT(INDEX(ERP資料!$G:$G, (MATCH(766, 輔助計算!$G$2:$G$801, 0)+1)),"0.##")&amp;"+"&amp;TEXT(INDEX(ERP資料!$G:$G, (MATCH(766, 輔助計算!$G$2:$G$801, 0)+1)),"0.##")))&amp;"-"&amp;INT(INDEX(輔助計算!$D:$D, (MATCH(766, 輔助計算!$G$2:$G$801, 0)+1))/IF(INDEX(ERP資料!$G:$G, (MATCH(766, 輔助計算!$G$2:$G$801, 0)+1))&lt;100, IF(INDEX(ERP資料!$G:$G, (MATCH(766, 輔助計算!$G$2:$G$801, 0)+1))&lt;=31,3,IF(INDEX(ERP資料!$G:$G, (MATCH(766, 輔助計算!$G$2:$G$801, 0)+1))&lt;=46.5,2,1)), IF(INDEX(ERP資料!$G:$G, (MATCH(766, 輔助計算!$G$2:$G$801, 0)+1))&lt;=790,3,IF(INDEX(ERP資料!$G:$G, (MATCH(766, 輔助計算!$G$2:$G$801, 0)+1))&lt;=1181,2,1)))), "")&lt;&gt;"",IF(MOD(INDEX(輔助計算!$D:$D, (MATCH(766, 輔助計算!$G$2:$G$801, 0)+1)),IF(INDEX(ERP資料!$G:$G, (MATCH(766, 輔助計算!$G$2:$G$801, 0)+1))&lt;100, IF(INDEX(ERP資料!$G:$G, (MATCH(766, 輔助計算!$G$2:$G$801, 0)+1))&lt;=31,3,IF(INDEX(ERP資料!$G:$G, (MATCH(766, 輔助計算!$G$2:$G$801, 0)+1))&lt;=46.5,2,1)), IF(INDEX(ERP資料!$G:$G, (MATCH(766, 輔助計算!$G$2:$G$801, 0)+1))&lt;=790,3,IF(INDEX(ERP資料!$G:$G, (MATCH(766, 輔助計算!$G$2:$G$801, 0)+1))&lt;=1181,2,1))))=0,"",IF(MOD(INDEX(輔助計算!$D:$D, (MATCH(766, 輔助計算!$G$2:$G$801, 0)+1)),IF(INDEX(ERP資料!$G:$G, (MATCH(766, 輔助計算!$G$2:$G$801, 0)+1))&lt;100, IF(INDEX(ERP資料!$G:$G, (MATCH(766, 輔助計算!$G$2:$G$801, 0)+1))&lt;=31,3,IF(INDEX(ERP資料!$G:$G, (MATCH(766, 輔助計算!$G$2:$G$801, 0)+1))&lt;=46.5,2,1)), IF(INDEX(ERP資料!$G:$G, (MATCH(766, 輔助計算!$G$2:$G$801, 0)+1))&lt;=790,3,IF(INDEX(ERP資料!$G:$G, (MATCH(766, 輔助計算!$G$2:$G$801, 0)+1))&lt;=1181,2,1))))=0,"",IF(MOD(INDEX(輔助計算!$D:$D, (MATCH(766, 輔助計算!$G$2:$G$801, 0)+1)),IF(INDEX(ERP資料!$G:$G, (MATCH(766, 輔助計算!$G$2:$G$801, 0)+1))&lt;100, IF(INDEX(ERP資料!$G:$G, (MATCH(766, 輔助計算!$G$2:$G$801, 0)+1))&lt;=31,3,IF(INDEX(ERP資料!$G:$G, (MATCH(766, 輔助計算!$G$2:$G$801, 0)+1))&lt;=46.5,2,1)), IF(INDEX(ERP資料!$G:$G, (MATCH(766, 輔助計算!$G$2:$G$801, 0)+1))&lt;=790,3,IF(INDEX(ERP資料!$G:$G, (MATCH(766, 輔助計算!$G$2:$G$801, 0)+1))&lt;=1181,2,1))))=1,TEXT(INDEX(ERP資料!$G:$G, (MATCH(766, 輔助計算!$G$2:$G$801, 0)+1)),"0.##"),IF(MOD(INDEX(輔助計算!$D:$D, (MATCH(766, 輔助計算!$G$2:$G$801, 0)+1)),IF(INDEX(ERP資料!$G:$G, (MATCH(766, 輔助計算!$G$2:$G$801, 0)+1))&lt;100, IF(INDEX(ERP資料!$G:$G, (MATCH(766, 輔助計算!$G$2:$G$801, 0)+1))&lt;=31,3,IF(INDEX(ERP資料!$G:$G, (MATCH(766, 輔助計算!$G$2:$G$801, 0)+1))&lt;=46.5,2,1)), IF(INDEX(ERP資料!$G:$G, (MATCH(766, 輔助計算!$G$2:$G$801, 0)+1))&lt;=790,3,IF(INDEX(ERP資料!$G:$G, (MATCH(766, 輔助計算!$G$2:$G$801, 0)+1))&lt;=1181,2,1))))=2,TEXT(INDEX(ERP資料!$G:$G, (MATCH(766, 輔助計算!$G$2:$G$801, 0)+1)),"0.##")&amp;"+"&amp;TEXT(INDEX(ERP資料!$G:$G, (MATCH(766, 輔助計算!$G$2:$G$801, 0)+1)),"0.##"),TEXT(INDEX(ERP資料!$G:$G, (MATCH(766, 輔助計算!$G$2:$G$801, 0)+1)),"0.##")&amp;"+"&amp;TEXT(INDEX(ERP資料!$G:$G, (MATCH(766, 輔助計算!$G$2:$G$801, 0)+1)),"0.##")&amp;"+"&amp;TEXT(INDEX(ERP資料!$G:$G, (MATCH(766, 輔助計算!$G$2:$G$801, 0)+1)),"0.##"))))&amp;"-1")&lt;&gt;""),"  ","")&amp;IF(MOD(INDEX(輔助計算!$D:$D, (MATCH(766, 輔助計算!$G$2:$G$801, 0)+1)),IF(INDEX(ERP資料!$G:$G, (MATCH(766, 輔助計算!$G$2:$G$801, 0)+1))&lt;100, IF(INDEX(ERP資料!$G:$G, (MATCH(766, 輔助計算!$G$2:$G$801, 0)+1))&lt;=31,3,IF(INDEX(ERP資料!$G:$G, (MATCH(766, 輔助計算!$G$2:$G$801, 0)+1))&lt;=46.5,2,1)), IF(INDEX(ERP資料!$G:$G, (MATCH(766, 輔助計算!$G$2:$G$801, 0)+1))&lt;=790,3,IF(INDEX(ERP資料!$G:$G, (MATCH(766, 輔助計算!$G$2:$G$801, 0)+1))&lt;=1181,2,1))))=0,"",IF(MOD(INDEX(輔助計算!$D:$D, (MATCH(766, 輔助計算!$G$2:$G$801, 0)+1)),IF(INDEX(ERP資料!$G:$G, (MATCH(766, 輔助計算!$G$2:$G$801, 0)+1))&lt;100, IF(INDEX(ERP資料!$G:$G, (MATCH(766, 輔助計算!$G$2:$G$801, 0)+1))&lt;=31,3,IF(INDEX(ERP資料!$G:$G, (MATCH(766, 輔助計算!$G$2:$G$801, 0)+1))&lt;=46.5,2,1)), IF(INDEX(ERP資料!$G:$G, (MATCH(766, 輔助計算!$G$2:$G$801, 0)+1))&lt;=790,3,IF(INDEX(ERP資料!$G:$G, (MATCH(766, 輔助計算!$G$2:$G$801, 0)+1))&lt;=1181,2,1))))=0,"",IF(MOD(INDEX(輔助計算!$D:$D, (MATCH(766, 輔助計算!$G$2:$G$801, 0)+1)),IF(INDEX(ERP資料!$G:$G, (MATCH(766, 輔助計算!$G$2:$G$801, 0)+1))&lt;100, IF(INDEX(ERP資料!$G:$G, (MATCH(766, 輔助計算!$G$2:$G$801, 0)+1))&lt;=31,3,IF(INDEX(ERP資料!$G:$G, (MATCH(766, 輔助計算!$G$2:$G$801, 0)+1))&lt;=46.5,2,1)), IF(INDEX(ERP資料!$G:$G, (MATCH(766, 輔助計算!$G$2:$G$801, 0)+1))&lt;=790,3,IF(INDEX(ERP資料!$G:$G, (MATCH(766, 輔助計算!$G$2:$G$801, 0)+1))&lt;=1181,2,1))))=1,TEXT(INDEX(ERP資料!$G:$G, (MATCH(766, 輔助計算!$G$2:$G$801, 0)+1)),"0.##"),IF(MOD(INDEX(輔助計算!$D:$D, (MATCH(766, 輔助計算!$G$2:$G$801, 0)+1)),IF(INDEX(ERP資料!$G:$G, (MATCH(766, 輔助計算!$G$2:$G$801, 0)+1))&lt;100, IF(INDEX(ERP資料!$G:$G, (MATCH(766, 輔助計算!$G$2:$G$801, 0)+1))&lt;=31,3,IF(INDEX(ERP資料!$G:$G, (MATCH(766, 輔助計算!$G$2:$G$801, 0)+1))&lt;=46.5,2,1)), IF(INDEX(ERP資料!$G:$G, (MATCH(766, 輔助計算!$G$2:$G$801, 0)+1))&lt;=790,3,IF(INDEX(ERP資料!$G:$G, (MATCH(766, 輔助計算!$G$2:$G$801, 0)+1))&lt;=1181,2,1))))=2,TEXT(INDEX(ERP資料!$G:$G, (MATCH(766, 輔助計算!$G$2:$G$801, 0)+1)),"0.##")&amp;"+"&amp;TEXT(INDEX(ERP資料!$G:$G, (MATCH(766, 輔助計算!$G$2:$G$801, 0)+1)),"0.##"),TEXT(INDEX(ERP資料!$G:$G, (MATCH(766, 輔助計算!$G$2:$G$801, 0)+1)),"0.##")&amp;"+"&amp;TEXT(INDEX(ERP資料!$G:$G, (MATCH(766, 輔助計算!$G$2:$G$801, 0)+1)),"0.##")&amp;"+"&amp;TEXT(INDEX(ERP資料!$G:$G, (MATCH(766, 輔助計算!$G$2:$G$801, 0)+1)),"0.##"))))&amp;"-1")), ""), "")</f>
        <v/>
      </c>
      <c r="K767" s="16" t="n"/>
      <c r="L767" s="14">
        <f>IFERROR(IF(AND(IFERROR(INDEX(ERP資料!$A:$A, (MATCH(766, 輔助計算!$G$2:$G$801, 0)+1)), "")&lt;&gt;"", IFERROR(INDEX(ERP資料!$A:$A, (MATCH(766, 輔助計算!$G$2:$G$801, 0)+1)), "")&lt;&gt;IFERROR(INDEX(ERP資料!$A:$A, MATCH(765, 輔助計算!$G$2:$G$801, 0)+1), "")), INDEX(ERP資料!$B:$B, (MATCH(766, 輔助計算!$G$2:$G$801, 0)+1)), ""), "")</f>
        <v/>
      </c>
      <c r="M767" s="17" t="n"/>
    </row>
    <row r="768">
      <c r="A768" s="10">
        <f>IFERROR(IF(AND(IFERROR(INDEX(ERP資料!$A:$A, (MATCH(767, 輔助計算!$G$2:$G$801, 0)+1)), "")&lt;&gt;"", IFERROR(INDEX(ERP資料!$A:$A, (MATCH(767, 輔助計算!$G$2:$G$801, 0)+1)), "")&lt;&gt;IFERROR(INDEX(ERP資料!$A:$A, MATCH(766, 輔助計算!$G$2:$G$801, 0)+1), "")), IFERROR(INDEX(ERP資料!$A:$A, (MATCH(767, 輔助計算!$G$2:$G$801, 0)+1)), ""), ""), "")</f>
        <v/>
      </c>
      <c r="B768" s="10">
        <f>IFERROR(IF(AND(IFERROR(INDEX(ERP資料!$A:$A, (MATCH(767, 輔助計算!$G$2:$G$801, 0)+1)), "")&lt;&gt;"", IFERROR(INDEX(ERP資料!$A:$A, (MATCH(767, 輔助計算!$G$2:$G$801, 0)+1)), "")&lt;&gt;IFERROR(INDEX(ERP資料!$A:$A, MATCH(766, 輔助計算!$G$2:$G$801, 0)+1), "")), INDEX(ERP資料!$S:$S, (MATCH(767, 輔助計算!$G$2:$G$801, 0)+1)), ""), "")</f>
        <v/>
      </c>
      <c r="C768" s="19">
        <f>IFERROR(IF(AND(IFERROR(INDEX(ERP資料!$A:$A, (MATCH(767, 輔助計算!$G$2:$G$801, 0)+1)), "")&lt;&gt;"", IFERROR(INDEX(ERP資料!$A:$A, (MATCH(767, 輔助計算!$G$2:$G$801, 0)+1)), "")&lt;&gt;IFERROR(INDEX(ERP資料!$A:$A, MATCH(766, 輔助計算!$G$2:$G$801, 0)+1), "")), IFERROR(VLOOKUP(LEFT(INDEX(ERP資料!$S:$S, (MATCH(767, 輔助計算!$G$2:$G$801, 0)+1)), 4), 紙管對照表!$A:$C, 3, FALSE), ""), ""), "")</f>
        <v/>
      </c>
      <c r="D768" s="16" t="n"/>
      <c r="E768" s="10">
        <f>IFERROR(IF(INDEX(ERP資料!$H:$H, (MATCH(767, 輔助計算!$G$2:$G$801, 0)+1))="","",INDEX(ERP資料!$H:$H, (MATCH(767, 輔助計算!$G$2:$G$801, 0)+1))), "")</f>
        <v/>
      </c>
      <c r="F768" s="10">
        <f>IFERROR(IF(INDEX(ERP資料!$E:$E, (MATCH(767, 輔助計算!$G$2:$G$801, 0)+1))="","",TRIM(INDEX(ERP資料!$E:$E, (MATCH(767, 輔助計算!$G$2:$G$801, 0)+1)))), "")</f>
        <v/>
      </c>
      <c r="G768" s="10">
        <f>IFERROR(IF(INDEX(ERP資料!$F:$F, (MATCH(767, 輔助計算!$G$2:$G$801, 0)+1))="","",INDEX(ERP資料!$F:$F, (MATCH(767, 輔助計算!$G$2:$G$801, 0)+1))), "")</f>
        <v/>
      </c>
      <c r="H768" s="10">
        <f>IFERROR(IF(INDEX(ERP資料!$G:$G, (MATCH(767, 輔助計算!$G$2:$G$801, 0)+1))="","",INDEX(ERP資料!$G:$G, (MATCH(767, 輔助計算!$G$2:$G$801, 0)+1))), "")</f>
        <v/>
      </c>
      <c r="I768" s="15">
        <f>IFERROR(INDEX(輔助計算!$D:$D, (MATCH(767, 輔助計算!$G$2:$G$801, 0)+1)), "")</f>
        <v/>
      </c>
      <c r="J768" s="15">
        <f>IFERROR(IF(AND(INDEX(輔助計算!$D:$D, (MATCH(767, 輔助計算!$G$2:$G$801, 0)+1))&lt;&gt;"", INDEX(ERP資料!$G:$G, (MATCH(767, 輔助計算!$G$2:$G$801, 0)+1))&lt;&gt;""), TRIM(IF(INT(INDEX(輔助計算!$D:$D, (MATCH(767, 輔助計算!$G$2:$G$801, 0)+1))/IF(INDEX(ERP資料!$G:$G, (MATCH(767, 輔助計算!$G$2:$G$801, 0)+1))&lt;100, IF(INDEX(ERP資料!$G:$G, (MATCH(767, 輔助計算!$G$2:$G$801, 0)+1))&lt;=31,3,IF(INDEX(ERP資料!$G:$G, (MATCH(767, 輔助計算!$G$2:$G$801, 0)+1))&lt;=46.5,2,1)), IF(INDEX(ERP資料!$G:$G, (MATCH(767, 輔助計算!$G$2:$G$801, 0)+1))&lt;=790,3,IF(INDEX(ERP資料!$G:$G, (MATCH(767, 輔助計算!$G$2:$G$801, 0)+1))&lt;=1181,2,1))))&gt;0, IF(IF(INDEX(ERP資料!$G:$G, (MATCH(767, 輔助計算!$G$2:$G$801, 0)+1))&lt;100, IF(INDEX(ERP資料!$G:$G, (MATCH(767, 輔助計算!$G$2:$G$801, 0)+1))&lt;=31,3,IF(INDEX(ERP資料!$G:$G, (MATCH(767, 輔助計算!$G$2:$G$801, 0)+1))&lt;=46.5,2,1)), IF(INDEX(ERP資料!$G:$G, (MATCH(767, 輔助計算!$G$2:$G$801, 0)+1))&lt;=790,3,IF(INDEX(ERP資料!$G:$G, (MATCH(767, 輔助計算!$G$2:$G$801, 0)+1))&lt;=1181,2,1)))=1,TEXT(INDEX(ERP資料!$G:$G, (MATCH(767, 輔助計算!$G$2:$G$801, 0)+1)),"0.##"),IF(IF(INDEX(ERP資料!$G:$G, (MATCH(767, 輔助計算!$G$2:$G$801, 0)+1))&lt;100, IF(INDEX(ERP資料!$G:$G, (MATCH(767, 輔助計算!$G$2:$G$801, 0)+1))&lt;=31,3,IF(INDEX(ERP資料!$G:$G, (MATCH(767, 輔助計算!$G$2:$G$801, 0)+1))&lt;=46.5,2,1)), IF(INDEX(ERP資料!$G:$G, (MATCH(767, 輔助計算!$G$2:$G$801, 0)+1))&lt;=790,3,IF(INDEX(ERP資料!$G:$G, (MATCH(767, 輔助計算!$G$2:$G$801, 0)+1))&lt;=1181,2,1)))=2,TEXT(INDEX(ERP資料!$G:$G, (MATCH(767, 輔助計算!$G$2:$G$801, 0)+1)),"0.##")&amp;"+"&amp;TEXT(INDEX(ERP資料!$G:$G, (MATCH(767, 輔助計算!$G$2:$G$801, 0)+1)),"0.##"),TEXT(INDEX(ERP資料!$G:$G, (MATCH(767, 輔助計算!$G$2:$G$801, 0)+1)),"0.##")&amp;"+"&amp;TEXT(INDEX(ERP資料!$G:$G, (MATCH(767, 輔助計算!$G$2:$G$801, 0)+1)),"0.##")&amp;"+"&amp;TEXT(INDEX(ERP資料!$G:$G, (MATCH(767, 輔助計算!$G$2:$G$801, 0)+1)),"0.##")))&amp;"-"&amp;INT(INDEX(輔助計算!$D:$D, (MATCH(767, 輔助計算!$G$2:$G$801, 0)+1))/IF(INDEX(ERP資料!$G:$G, (MATCH(767, 輔助計算!$G$2:$G$801, 0)+1))&lt;100, IF(INDEX(ERP資料!$G:$G, (MATCH(767, 輔助計算!$G$2:$G$801, 0)+1))&lt;=31,3,IF(INDEX(ERP資料!$G:$G, (MATCH(767, 輔助計算!$G$2:$G$801, 0)+1))&lt;=46.5,2,1)), IF(INDEX(ERP資料!$G:$G, (MATCH(767, 輔助計算!$G$2:$G$801, 0)+1))&lt;=790,3,IF(INDEX(ERP資料!$G:$G, (MATCH(767, 輔助計算!$G$2:$G$801, 0)+1))&lt;=1181,2,1)))), "")&amp;IF(AND(IF(INT(INDEX(輔助計算!$D:$D, (MATCH(767, 輔助計算!$G$2:$G$801, 0)+1))/IF(INDEX(ERP資料!$G:$G, (MATCH(767, 輔助計算!$G$2:$G$801, 0)+1))&lt;100, IF(INDEX(ERP資料!$G:$G, (MATCH(767, 輔助計算!$G$2:$G$801, 0)+1))&lt;=31,3,IF(INDEX(ERP資料!$G:$G, (MATCH(767, 輔助計算!$G$2:$G$801, 0)+1))&lt;=46.5,2,1)), IF(INDEX(ERP資料!$G:$G, (MATCH(767, 輔助計算!$G$2:$G$801, 0)+1))&lt;=790,3,IF(INDEX(ERP資料!$G:$G, (MATCH(767, 輔助計算!$G$2:$G$801, 0)+1))&lt;=1181,2,1))))&gt;0, IF(IF(INDEX(ERP資料!$G:$G, (MATCH(767, 輔助計算!$G$2:$G$801, 0)+1))&lt;100, IF(INDEX(ERP資料!$G:$G, (MATCH(767, 輔助計算!$G$2:$G$801, 0)+1))&lt;=31,3,IF(INDEX(ERP資料!$G:$G, (MATCH(767, 輔助計算!$G$2:$G$801, 0)+1))&lt;=46.5,2,1)), IF(INDEX(ERP資料!$G:$G, (MATCH(767, 輔助計算!$G$2:$G$801, 0)+1))&lt;=790,3,IF(INDEX(ERP資料!$G:$G, (MATCH(767, 輔助計算!$G$2:$G$801, 0)+1))&lt;=1181,2,1)))=1,TEXT(INDEX(ERP資料!$G:$G, (MATCH(767, 輔助計算!$G$2:$G$801, 0)+1)),"0.##"),IF(IF(INDEX(ERP資料!$G:$G, (MATCH(767, 輔助計算!$G$2:$G$801, 0)+1))&lt;100, IF(INDEX(ERP資料!$G:$G, (MATCH(767, 輔助計算!$G$2:$G$801, 0)+1))&lt;=31,3,IF(INDEX(ERP資料!$G:$G, (MATCH(767, 輔助計算!$G$2:$G$801, 0)+1))&lt;=46.5,2,1)), IF(INDEX(ERP資料!$G:$G, (MATCH(767, 輔助計算!$G$2:$G$801, 0)+1))&lt;=790,3,IF(INDEX(ERP資料!$G:$G, (MATCH(767, 輔助計算!$G$2:$G$801, 0)+1))&lt;=1181,2,1)))=2,TEXT(INDEX(ERP資料!$G:$G, (MATCH(767, 輔助計算!$G$2:$G$801, 0)+1)),"0.##")&amp;"+"&amp;TEXT(INDEX(ERP資料!$G:$G, (MATCH(767, 輔助計算!$G$2:$G$801, 0)+1)),"0.##"),TEXT(INDEX(ERP資料!$G:$G, (MATCH(767, 輔助計算!$G$2:$G$801, 0)+1)),"0.##")&amp;"+"&amp;TEXT(INDEX(ERP資料!$G:$G, (MATCH(767, 輔助計算!$G$2:$G$801, 0)+1)),"0.##")&amp;"+"&amp;TEXT(INDEX(ERP資料!$G:$G, (MATCH(767, 輔助計算!$G$2:$G$801, 0)+1)),"0.##")))&amp;"-"&amp;INT(INDEX(輔助計算!$D:$D, (MATCH(767, 輔助計算!$G$2:$G$801, 0)+1))/IF(INDEX(ERP資料!$G:$G, (MATCH(767, 輔助計算!$G$2:$G$801, 0)+1))&lt;100, IF(INDEX(ERP資料!$G:$G, (MATCH(767, 輔助計算!$G$2:$G$801, 0)+1))&lt;=31,3,IF(INDEX(ERP資料!$G:$G, (MATCH(767, 輔助計算!$G$2:$G$801, 0)+1))&lt;=46.5,2,1)), IF(INDEX(ERP資料!$G:$G, (MATCH(767, 輔助計算!$G$2:$G$801, 0)+1))&lt;=790,3,IF(INDEX(ERP資料!$G:$G, (MATCH(767, 輔助計算!$G$2:$G$801, 0)+1))&lt;=1181,2,1)))), "")&lt;&gt;"",IF(MOD(INDEX(輔助計算!$D:$D, (MATCH(767, 輔助計算!$G$2:$G$801, 0)+1)),IF(INDEX(ERP資料!$G:$G, (MATCH(767, 輔助計算!$G$2:$G$801, 0)+1))&lt;100, IF(INDEX(ERP資料!$G:$G, (MATCH(767, 輔助計算!$G$2:$G$801, 0)+1))&lt;=31,3,IF(INDEX(ERP資料!$G:$G, (MATCH(767, 輔助計算!$G$2:$G$801, 0)+1))&lt;=46.5,2,1)), IF(INDEX(ERP資料!$G:$G, (MATCH(767, 輔助計算!$G$2:$G$801, 0)+1))&lt;=790,3,IF(INDEX(ERP資料!$G:$G, (MATCH(767, 輔助計算!$G$2:$G$801, 0)+1))&lt;=1181,2,1))))=0,"",IF(MOD(INDEX(輔助計算!$D:$D, (MATCH(767, 輔助計算!$G$2:$G$801, 0)+1)),IF(INDEX(ERP資料!$G:$G, (MATCH(767, 輔助計算!$G$2:$G$801, 0)+1))&lt;100, IF(INDEX(ERP資料!$G:$G, (MATCH(767, 輔助計算!$G$2:$G$801, 0)+1))&lt;=31,3,IF(INDEX(ERP資料!$G:$G, (MATCH(767, 輔助計算!$G$2:$G$801, 0)+1))&lt;=46.5,2,1)), IF(INDEX(ERP資料!$G:$G, (MATCH(767, 輔助計算!$G$2:$G$801, 0)+1))&lt;=790,3,IF(INDEX(ERP資料!$G:$G, (MATCH(767, 輔助計算!$G$2:$G$801, 0)+1))&lt;=1181,2,1))))=0,"",IF(MOD(INDEX(輔助計算!$D:$D, (MATCH(767, 輔助計算!$G$2:$G$801, 0)+1)),IF(INDEX(ERP資料!$G:$G, (MATCH(767, 輔助計算!$G$2:$G$801, 0)+1))&lt;100, IF(INDEX(ERP資料!$G:$G, (MATCH(767, 輔助計算!$G$2:$G$801, 0)+1))&lt;=31,3,IF(INDEX(ERP資料!$G:$G, (MATCH(767, 輔助計算!$G$2:$G$801, 0)+1))&lt;=46.5,2,1)), IF(INDEX(ERP資料!$G:$G, (MATCH(767, 輔助計算!$G$2:$G$801, 0)+1))&lt;=790,3,IF(INDEX(ERP資料!$G:$G, (MATCH(767, 輔助計算!$G$2:$G$801, 0)+1))&lt;=1181,2,1))))=1,TEXT(INDEX(ERP資料!$G:$G, (MATCH(767, 輔助計算!$G$2:$G$801, 0)+1)),"0.##"),IF(MOD(INDEX(輔助計算!$D:$D, (MATCH(767, 輔助計算!$G$2:$G$801, 0)+1)),IF(INDEX(ERP資料!$G:$G, (MATCH(767, 輔助計算!$G$2:$G$801, 0)+1))&lt;100, IF(INDEX(ERP資料!$G:$G, (MATCH(767, 輔助計算!$G$2:$G$801, 0)+1))&lt;=31,3,IF(INDEX(ERP資料!$G:$G, (MATCH(767, 輔助計算!$G$2:$G$801, 0)+1))&lt;=46.5,2,1)), IF(INDEX(ERP資料!$G:$G, (MATCH(767, 輔助計算!$G$2:$G$801, 0)+1))&lt;=790,3,IF(INDEX(ERP資料!$G:$G, (MATCH(767, 輔助計算!$G$2:$G$801, 0)+1))&lt;=1181,2,1))))=2,TEXT(INDEX(ERP資料!$G:$G, (MATCH(767, 輔助計算!$G$2:$G$801, 0)+1)),"0.##")&amp;"+"&amp;TEXT(INDEX(ERP資料!$G:$G, (MATCH(767, 輔助計算!$G$2:$G$801, 0)+1)),"0.##"),TEXT(INDEX(ERP資料!$G:$G, (MATCH(767, 輔助計算!$G$2:$G$801, 0)+1)),"0.##")&amp;"+"&amp;TEXT(INDEX(ERP資料!$G:$G, (MATCH(767, 輔助計算!$G$2:$G$801, 0)+1)),"0.##")&amp;"+"&amp;TEXT(INDEX(ERP資料!$G:$G, (MATCH(767, 輔助計算!$G$2:$G$801, 0)+1)),"0.##"))))&amp;"-1")&lt;&gt;""),"  ","")&amp;IF(MOD(INDEX(輔助計算!$D:$D, (MATCH(767, 輔助計算!$G$2:$G$801, 0)+1)),IF(INDEX(ERP資料!$G:$G, (MATCH(767, 輔助計算!$G$2:$G$801, 0)+1))&lt;100, IF(INDEX(ERP資料!$G:$G, (MATCH(767, 輔助計算!$G$2:$G$801, 0)+1))&lt;=31,3,IF(INDEX(ERP資料!$G:$G, (MATCH(767, 輔助計算!$G$2:$G$801, 0)+1))&lt;=46.5,2,1)), IF(INDEX(ERP資料!$G:$G, (MATCH(767, 輔助計算!$G$2:$G$801, 0)+1))&lt;=790,3,IF(INDEX(ERP資料!$G:$G, (MATCH(767, 輔助計算!$G$2:$G$801, 0)+1))&lt;=1181,2,1))))=0,"",IF(MOD(INDEX(輔助計算!$D:$D, (MATCH(767, 輔助計算!$G$2:$G$801, 0)+1)),IF(INDEX(ERP資料!$G:$G, (MATCH(767, 輔助計算!$G$2:$G$801, 0)+1))&lt;100, IF(INDEX(ERP資料!$G:$G, (MATCH(767, 輔助計算!$G$2:$G$801, 0)+1))&lt;=31,3,IF(INDEX(ERP資料!$G:$G, (MATCH(767, 輔助計算!$G$2:$G$801, 0)+1))&lt;=46.5,2,1)), IF(INDEX(ERP資料!$G:$G, (MATCH(767, 輔助計算!$G$2:$G$801, 0)+1))&lt;=790,3,IF(INDEX(ERP資料!$G:$G, (MATCH(767, 輔助計算!$G$2:$G$801, 0)+1))&lt;=1181,2,1))))=0,"",IF(MOD(INDEX(輔助計算!$D:$D, (MATCH(767, 輔助計算!$G$2:$G$801, 0)+1)),IF(INDEX(ERP資料!$G:$G, (MATCH(767, 輔助計算!$G$2:$G$801, 0)+1))&lt;100, IF(INDEX(ERP資料!$G:$G, (MATCH(767, 輔助計算!$G$2:$G$801, 0)+1))&lt;=31,3,IF(INDEX(ERP資料!$G:$G, (MATCH(767, 輔助計算!$G$2:$G$801, 0)+1))&lt;=46.5,2,1)), IF(INDEX(ERP資料!$G:$G, (MATCH(767, 輔助計算!$G$2:$G$801, 0)+1))&lt;=790,3,IF(INDEX(ERP資料!$G:$G, (MATCH(767, 輔助計算!$G$2:$G$801, 0)+1))&lt;=1181,2,1))))=1,TEXT(INDEX(ERP資料!$G:$G, (MATCH(767, 輔助計算!$G$2:$G$801, 0)+1)),"0.##"),IF(MOD(INDEX(輔助計算!$D:$D, (MATCH(767, 輔助計算!$G$2:$G$801, 0)+1)),IF(INDEX(ERP資料!$G:$G, (MATCH(767, 輔助計算!$G$2:$G$801, 0)+1))&lt;100, IF(INDEX(ERP資料!$G:$G, (MATCH(767, 輔助計算!$G$2:$G$801, 0)+1))&lt;=31,3,IF(INDEX(ERP資料!$G:$G, (MATCH(767, 輔助計算!$G$2:$G$801, 0)+1))&lt;=46.5,2,1)), IF(INDEX(ERP資料!$G:$G, (MATCH(767, 輔助計算!$G$2:$G$801, 0)+1))&lt;=790,3,IF(INDEX(ERP資料!$G:$G, (MATCH(767, 輔助計算!$G$2:$G$801, 0)+1))&lt;=1181,2,1))))=2,TEXT(INDEX(ERP資料!$G:$G, (MATCH(767, 輔助計算!$G$2:$G$801, 0)+1)),"0.##")&amp;"+"&amp;TEXT(INDEX(ERP資料!$G:$G, (MATCH(767, 輔助計算!$G$2:$G$801, 0)+1)),"0.##"),TEXT(INDEX(ERP資料!$G:$G, (MATCH(767, 輔助計算!$G$2:$G$801, 0)+1)),"0.##")&amp;"+"&amp;TEXT(INDEX(ERP資料!$G:$G, (MATCH(767, 輔助計算!$G$2:$G$801, 0)+1)),"0.##")&amp;"+"&amp;TEXT(INDEX(ERP資料!$G:$G, (MATCH(767, 輔助計算!$G$2:$G$801, 0)+1)),"0.##"))))&amp;"-1")), ""), "")</f>
        <v/>
      </c>
      <c r="K768" s="16" t="n"/>
      <c r="L768" s="14">
        <f>IFERROR(IF(AND(IFERROR(INDEX(ERP資料!$A:$A, (MATCH(767, 輔助計算!$G$2:$G$801, 0)+1)), "")&lt;&gt;"", IFERROR(INDEX(ERP資料!$A:$A, (MATCH(767, 輔助計算!$G$2:$G$801, 0)+1)), "")&lt;&gt;IFERROR(INDEX(ERP資料!$A:$A, MATCH(766, 輔助計算!$G$2:$G$801, 0)+1), "")), INDEX(ERP資料!$B:$B, (MATCH(767, 輔助計算!$G$2:$G$801, 0)+1)), ""), "")</f>
        <v/>
      </c>
      <c r="M768" s="17" t="n"/>
    </row>
    <row r="769">
      <c r="A769" s="10">
        <f>IFERROR(IF(AND(IFERROR(INDEX(ERP資料!$A:$A, (MATCH(768, 輔助計算!$G$2:$G$801, 0)+1)), "")&lt;&gt;"", IFERROR(INDEX(ERP資料!$A:$A, (MATCH(768, 輔助計算!$G$2:$G$801, 0)+1)), "")&lt;&gt;IFERROR(INDEX(ERP資料!$A:$A, MATCH(767, 輔助計算!$G$2:$G$801, 0)+1), "")), IFERROR(INDEX(ERP資料!$A:$A, (MATCH(768, 輔助計算!$G$2:$G$801, 0)+1)), ""), ""), "")</f>
        <v/>
      </c>
      <c r="B769" s="10">
        <f>IFERROR(IF(AND(IFERROR(INDEX(ERP資料!$A:$A, (MATCH(768, 輔助計算!$G$2:$G$801, 0)+1)), "")&lt;&gt;"", IFERROR(INDEX(ERP資料!$A:$A, (MATCH(768, 輔助計算!$G$2:$G$801, 0)+1)), "")&lt;&gt;IFERROR(INDEX(ERP資料!$A:$A, MATCH(767, 輔助計算!$G$2:$G$801, 0)+1), "")), INDEX(ERP資料!$S:$S, (MATCH(768, 輔助計算!$G$2:$G$801, 0)+1)), ""), "")</f>
        <v/>
      </c>
      <c r="C769" s="19">
        <f>IFERROR(IF(AND(IFERROR(INDEX(ERP資料!$A:$A, (MATCH(768, 輔助計算!$G$2:$G$801, 0)+1)), "")&lt;&gt;"", IFERROR(INDEX(ERP資料!$A:$A, (MATCH(768, 輔助計算!$G$2:$G$801, 0)+1)), "")&lt;&gt;IFERROR(INDEX(ERP資料!$A:$A, MATCH(767, 輔助計算!$G$2:$G$801, 0)+1), "")), IFERROR(VLOOKUP(LEFT(INDEX(ERP資料!$S:$S, (MATCH(768, 輔助計算!$G$2:$G$801, 0)+1)), 4), 紙管對照表!$A:$C, 3, FALSE), ""), ""), "")</f>
        <v/>
      </c>
      <c r="D769" s="16" t="n"/>
      <c r="E769" s="10">
        <f>IFERROR(IF(INDEX(ERP資料!$H:$H, (MATCH(768, 輔助計算!$G$2:$G$801, 0)+1))="","",INDEX(ERP資料!$H:$H, (MATCH(768, 輔助計算!$G$2:$G$801, 0)+1))), "")</f>
        <v/>
      </c>
      <c r="F769" s="10">
        <f>IFERROR(IF(INDEX(ERP資料!$E:$E, (MATCH(768, 輔助計算!$G$2:$G$801, 0)+1))="","",TRIM(INDEX(ERP資料!$E:$E, (MATCH(768, 輔助計算!$G$2:$G$801, 0)+1)))), "")</f>
        <v/>
      </c>
      <c r="G769" s="10">
        <f>IFERROR(IF(INDEX(ERP資料!$F:$F, (MATCH(768, 輔助計算!$G$2:$G$801, 0)+1))="","",INDEX(ERP資料!$F:$F, (MATCH(768, 輔助計算!$G$2:$G$801, 0)+1))), "")</f>
        <v/>
      </c>
      <c r="H769" s="10">
        <f>IFERROR(IF(INDEX(ERP資料!$G:$G, (MATCH(768, 輔助計算!$G$2:$G$801, 0)+1))="","",INDEX(ERP資料!$G:$G, (MATCH(768, 輔助計算!$G$2:$G$801, 0)+1))), "")</f>
        <v/>
      </c>
      <c r="I769" s="15">
        <f>IFERROR(INDEX(輔助計算!$D:$D, (MATCH(768, 輔助計算!$G$2:$G$801, 0)+1)), "")</f>
        <v/>
      </c>
      <c r="J769" s="15">
        <f>IFERROR(IF(AND(INDEX(輔助計算!$D:$D, (MATCH(768, 輔助計算!$G$2:$G$801, 0)+1))&lt;&gt;"", INDEX(ERP資料!$G:$G, (MATCH(768, 輔助計算!$G$2:$G$801, 0)+1))&lt;&gt;""), TRIM(IF(INT(INDEX(輔助計算!$D:$D, (MATCH(768, 輔助計算!$G$2:$G$801, 0)+1))/IF(INDEX(ERP資料!$G:$G, (MATCH(768, 輔助計算!$G$2:$G$801, 0)+1))&lt;100, IF(INDEX(ERP資料!$G:$G, (MATCH(768, 輔助計算!$G$2:$G$801, 0)+1))&lt;=31,3,IF(INDEX(ERP資料!$G:$G, (MATCH(768, 輔助計算!$G$2:$G$801, 0)+1))&lt;=46.5,2,1)), IF(INDEX(ERP資料!$G:$G, (MATCH(768, 輔助計算!$G$2:$G$801, 0)+1))&lt;=790,3,IF(INDEX(ERP資料!$G:$G, (MATCH(768, 輔助計算!$G$2:$G$801, 0)+1))&lt;=1181,2,1))))&gt;0, IF(IF(INDEX(ERP資料!$G:$G, (MATCH(768, 輔助計算!$G$2:$G$801, 0)+1))&lt;100, IF(INDEX(ERP資料!$G:$G, (MATCH(768, 輔助計算!$G$2:$G$801, 0)+1))&lt;=31,3,IF(INDEX(ERP資料!$G:$G, (MATCH(768, 輔助計算!$G$2:$G$801, 0)+1))&lt;=46.5,2,1)), IF(INDEX(ERP資料!$G:$G, (MATCH(768, 輔助計算!$G$2:$G$801, 0)+1))&lt;=790,3,IF(INDEX(ERP資料!$G:$G, (MATCH(768, 輔助計算!$G$2:$G$801, 0)+1))&lt;=1181,2,1)))=1,TEXT(INDEX(ERP資料!$G:$G, (MATCH(768, 輔助計算!$G$2:$G$801, 0)+1)),"0.##"),IF(IF(INDEX(ERP資料!$G:$G, (MATCH(768, 輔助計算!$G$2:$G$801, 0)+1))&lt;100, IF(INDEX(ERP資料!$G:$G, (MATCH(768, 輔助計算!$G$2:$G$801, 0)+1))&lt;=31,3,IF(INDEX(ERP資料!$G:$G, (MATCH(768, 輔助計算!$G$2:$G$801, 0)+1))&lt;=46.5,2,1)), IF(INDEX(ERP資料!$G:$G, (MATCH(768, 輔助計算!$G$2:$G$801, 0)+1))&lt;=790,3,IF(INDEX(ERP資料!$G:$G, (MATCH(768, 輔助計算!$G$2:$G$801, 0)+1))&lt;=1181,2,1)))=2,TEXT(INDEX(ERP資料!$G:$G, (MATCH(768, 輔助計算!$G$2:$G$801, 0)+1)),"0.##")&amp;"+"&amp;TEXT(INDEX(ERP資料!$G:$G, (MATCH(768, 輔助計算!$G$2:$G$801, 0)+1)),"0.##"),TEXT(INDEX(ERP資料!$G:$G, (MATCH(768, 輔助計算!$G$2:$G$801, 0)+1)),"0.##")&amp;"+"&amp;TEXT(INDEX(ERP資料!$G:$G, (MATCH(768, 輔助計算!$G$2:$G$801, 0)+1)),"0.##")&amp;"+"&amp;TEXT(INDEX(ERP資料!$G:$G, (MATCH(768, 輔助計算!$G$2:$G$801, 0)+1)),"0.##")))&amp;"-"&amp;INT(INDEX(輔助計算!$D:$D, (MATCH(768, 輔助計算!$G$2:$G$801, 0)+1))/IF(INDEX(ERP資料!$G:$G, (MATCH(768, 輔助計算!$G$2:$G$801, 0)+1))&lt;100, IF(INDEX(ERP資料!$G:$G, (MATCH(768, 輔助計算!$G$2:$G$801, 0)+1))&lt;=31,3,IF(INDEX(ERP資料!$G:$G, (MATCH(768, 輔助計算!$G$2:$G$801, 0)+1))&lt;=46.5,2,1)), IF(INDEX(ERP資料!$G:$G, (MATCH(768, 輔助計算!$G$2:$G$801, 0)+1))&lt;=790,3,IF(INDEX(ERP資料!$G:$G, (MATCH(768, 輔助計算!$G$2:$G$801, 0)+1))&lt;=1181,2,1)))), "")&amp;IF(AND(IF(INT(INDEX(輔助計算!$D:$D, (MATCH(768, 輔助計算!$G$2:$G$801, 0)+1))/IF(INDEX(ERP資料!$G:$G, (MATCH(768, 輔助計算!$G$2:$G$801, 0)+1))&lt;100, IF(INDEX(ERP資料!$G:$G, (MATCH(768, 輔助計算!$G$2:$G$801, 0)+1))&lt;=31,3,IF(INDEX(ERP資料!$G:$G, (MATCH(768, 輔助計算!$G$2:$G$801, 0)+1))&lt;=46.5,2,1)), IF(INDEX(ERP資料!$G:$G, (MATCH(768, 輔助計算!$G$2:$G$801, 0)+1))&lt;=790,3,IF(INDEX(ERP資料!$G:$G, (MATCH(768, 輔助計算!$G$2:$G$801, 0)+1))&lt;=1181,2,1))))&gt;0, IF(IF(INDEX(ERP資料!$G:$G, (MATCH(768, 輔助計算!$G$2:$G$801, 0)+1))&lt;100, IF(INDEX(ERP資料!$G:$G, (MATCH(768, 輔助計算!$G$2:$G$801, 0)+1))&lt;=31,3,IF(INDEX(ERP資料!$G:$G, (MATCH(768, 輔助計算!$G$2:$G$801, 0)+1))&lt;=46.5,2,1)), IF(INDEX(ERP資料!$G:$G, (MATCH(768, 輔助計算!$G$2:$G$801, 0)+1))&lt;=790,3,IF(INDEX(ERP資料!$G:$G, (MATCH(768, 輔助計算!$G$2:$G$801, 0)+1))&lt;=1181,2,1)))=1,TEXT(INDEX(ERP資料!$G:$G, (MATCH(768, 輔助計算!$G$2:$G$801, 0)+1)),"0.##"),IF(IF(INDEX(ERP資料!$G:$G, (MATCH(768, 輔助計算!$G$2:$G$801, 0)+1))&lt;100, IF(INDEX(ERP資料!$G:$G, (MATCH(768, 輔助計算!$G$2:$G$801, 0)+1))&lt;=31,3,IF(INDEX(ERP資料!$G:$G, (MATCH(768, 輔助計算!$G$2:$G$801, 0)+1))&lt;=46.5,2,1)), IF(INDEX(ERP資料!$G:$G, (MATCH(768, 輔助計算!$G$2:$G$801, 0)+1))&lt;=790,3,IF(INDEX(ERP資料!$G:$G, (MATCH(768, 輔助計算!$G$2:$G$801, 0)+1))&lt;=1181,2,1)))=2,TEXT(INDEX(ERP資料!$G:$G, (MATCH(768, 輔助計算!$G$2:$G$801, 0)+1)),"0.##")&amp;"+"&amp;TEXT(INDEX(ERP資料!$G:$G, (MATCH(768, 輔助計算!$G$2:$G$801, 0)+1)),"0.##"),TEXT(INDEX(ERP資料!$G:$G, (MATCH(768, 輔助計算!$G$2:$G$801, 0)+1)),"0.##")&amp;"+"&amp;TEXT(INDEX(ERP資料!$G:$G, (MATCH(768, 輔助計算!$G$2:$G$801, 0)+1)),"0.##")&amp;"+"&amp;TEXT(INDEX(ERP資料!$G:$G, (MATCH(768, 輔助計算!$G$2:$G$801, 0)+1)),"0.##")))&amp;"-"&amp;INT(INDEX(輔助計算!$D:$D, (MATCH(768, 輔助計算!$G$2:$G$801, 0)+1))/IF(INDEX(ERP資料!$G:$G, (MATCH(768, 輔助計算!$G$2:$G$801, 0)+1))&lt;100, IF(INDEX(ERP資料!$G:$G, (MATCH(768, 輔助計算!$G$2:$G$801, 0)+1))&lt;=31,3,IF(INDEX(ERP資料!$G:$G, (MATCH(768, 輔助計算!$G$2:$G$801, 0)+1))&lt;=46.5,2,1)), IF(INDEX(ERP資料!$G:$G, (MATCH(768, 輔助計算!$G$2:$G$801, 0)+1))&lt;=790,3,IF(INDEX(ERP資料!$G:$G, (MATCH(768, 輔助計算!$G$2:$G$801, 0)+1))&lt;=1181,2,1)))), "")&lt;&gt;"",IF(MOD(INDEX(輔助計算!$D:$D, (MATCH(768, 輔助計算!$G$2:$G$801, 0)+1)),IF(INDEX(ERP資料!$G:$G, (MATCH(768, 輔助計算!$G$2:$G$801, 0)+1))&lt;100, IF(INDEX(ERP資料!$G:$G, (MATCH(768, 輔助計算!$G$2:$G$801, 0)+1))&lt;=31,3,IF(INDEX(ERP資料!$G:$G, (MATCH(768, 輔助計算!$G$2:$G$801, 0)+1))&lt;=46.5,2,1)), IF(INDEX(ERP資料!$G:$G, (MATCH(768, 輔助計算!$G$2:$G$801, 0)+1))&lt;=790,3,IF(INDEX(ERP資料!$G:$G, (MATCH(768, 輔助計算!$G$2:$G$801, 0)+1))&lt;=1181,2,1))))=0,"",IF(MOD(INDEX(輔助計算!$D:$D, (MATCH(768, 輔助計算!$G$2:$G$801, 0)+1)),IF(INDEX(ERP資料!$G:$G, (MATCH(768, 輔助計算!$G$2:$G$801, 0)+1))&lt;100, IF(INDEX(ERP資料!$G:$G, (MATCH(768, 輔助計算!$G$2:$G$801, 0)+1))&lt;=31,3,IF(INDEX(ERP資料!$G:$G, (MATCH(768, 輔助計算!$G$2:$G$801, 0)+1))&lt;=46.5,2,1)), IF(INDEX(ERP資料!$G:$G, (MATCH(768, 輔助計算!$G$2:$G$801, 0)+1))&lt;=790,3,IF(INDEX(ERP資料!$G:$G, (MATCH(768, 輔助計算!$G$2:$G$801, 0)+1))&lt;=1181,2,1))))=0,"",IF(MOD(INDEX(輔助計算!$D:$D, (MATCH(768, 輔助計算!$G$2:$G$801, 0)+1)),IF(INDEX(ERP資料!$G:$G, (MATCH(768, 輔助計算!$G$2:$G$801, 0)+1))&lt;100, IF(INDEX(ERP資料!$G:$G, (MATCH(768, 輔助計算!$G$2:$G$801, 0)+1))&lt;=31,3,IF(INDEX(ERP資料!$G:$G, (MATCH(768, 輔助計算!$G$2:$G$801, 0)+1))&lt;=46.5,2,1)), IF(INDEX(ERP資料!$G:$G, (MATCH(768, 輔助計算!$G$2:$G$801, 0)+1))&lt;=790,3,IF(INDEX(ERP資料!$G:$G, (MATCH(768, 輔助計算!$G$2:$G$801, 0)+1))&lt;=1181,2,1))))=1,TEXT(INDEX(ERP資料!$G:$G, (MATCH(768, 輔助計算!$G$2:$G$801, 0)+1)),"0.##"),IF(MOD(INDEX(輔助計算!$D:$D, (MATCH(768, 輔助計算!$G$2:$G$801, 0)+1)),IF(INDEX(ERP資料!$G:$G, (MATCH(768, 輔助計算!$G$2:$G$801, 0)+1))&lt;100, IF(INDEX(ERP資料!$G:$G, (MATCH(768, 輔助計算!$G$2:$G$801, 0)+1))&lt;=31,3,IF(INDEX(ERP資料!$G:$G, (MATCH(768, 輔助計算!$G$2:$G$801, 0)+1))&lt;=46.5,2,1)), IF(INDEX(ERP資料!$G:$G, (MATCH(768, 輔助計算!$G$2:$G$801, 0)+1))&lt;=790,3,IF(INDEX(ERP資料!$G:$G, (MATCH(768, 輔助計算!$G$2:$G$801, 0)+1))&lt;=1181,2,1))))=2,TEXT(INDEX(ERP資料!$G:$G, (MATCH(768, 輔助計算!$G$2:$G$801, 0)+1)),"0.##")&amp;"+"&amp;TEXT(INDEX(ERP資料!$G:$G, (MATCH(768, 輔助計算!$G$2:$G$801, 0)+1)),"0.##"),TEXT(INDEX(ERP資料!$G:$G, (MATCH(768, 輔助計算!$G$2:$G$801, 0)+1)),"0.##")&amp;"+"&amp;TEXT(INDEX(ERP資料!$G:$G, (MATCH(768, 輔助計算!$G$2:$G$801, 0)+1)),"0.##")&amp;"+"&amp;TEXT(INDEX(ERP資料!$G:$G, (MATCH(768, 輔助計算!$G$2:$G$801, 0)+1)),"0.##"))))&amp;"-1")&lt;&gt;""),"  ","")&amp;IF(MOD(INDEX(輔助計算!$D:$D, (MATCH(768, 輔助計算!$G$2:$G$801, 0)+1)),IF(INDEX(ERP資料!$G:$G, (MATCH(768, 輔助計算!$G$2:$G$801, 0)+1))&lt;100, IF(INDEX(ERP資料!$G:$G, (MATCH(768, 輔助計算!$G$2:$G$801, 0)+1))&lt;=31,3,IF(INDEX(ERP資料!$G:$G, (MATCH(768, 輔助計算!$G$2:$G$801, 0)+1))&lt;=46.5,2,1)), IF(INDEX(ERP資料!$G:$G, (MATCH(768, 輔助計算!$G$2:$G$801, 0)+1))&lt;=790,3,IF(INDEX(ERP資料!$G:$G, (MATCH(768, 輔助計算!$G$2:$G$801, 0)+1))&lt;=1181,2,1))))=0,"",IF(MOD(INDEX(輔助計算!$D:$D, (MATCH(768, 輔助計算!$G$2:$G$801, 0)+1)),IF(INDEX(ERP資料!$G:$G, (MATCH(768, 輔助計算!$G$2:$G$801, 0)+1))&lt;100, IF(INDEX(ERP資料!$G:$G, (MATCH(768, 輔助計算!$G$2:$G$801, 0)+1))&lt;=31,3,IF(INDEX(ERP資料!$G:$G, (MATCH(768, 輔助計算!$G$2:$G$801, 0)+1))&lt;=46.5,2,1)), IF(INDEX(ERP資料!$G:$G, (MATCH(768, 輔助計算!$G$2:$G$801, 0)+1))&lt;=790,3,IF(INDEX(ERP資料!$G:$G, (MATCH(768, 輔助計算!$G$2:$G$801, 0)+1))&lt;=1181,2,1))))=0,"",IF(MOD(INDEX(輔助計算!$D:$D, (MATCH(768, 輔助計算!$G$2:$G$801, 0)+1)),IF(INDEX(ERP資料!$G:$G, (MATCH(768, 輔助計算!$G$2:$G$801, 0)+1))&lt;100, IF(INDEX(ERP資料!$G:$G, (MATCH(768, 輔助計算!$G$2:$G$801, 0)+1))&lt;=31,3,IF(INDEX(ERP資料!$G:$G, (MATCH(768, 輔助計算!$G$2:$G$801, 0)+1))&lt;=46.5,2,1)), IF(INDEX(ERP資料!$G:$G, (MATCH(768, 輔助計算!$G$2:$G$801, 0)+1))&lt;=790,3,IF(INDEX(ERP資料!$G:$G, (MATCH(768, 輔助計算!$G$2:$G$801, 0)+1))&lt;=1181,2,1))))=1,TEXT(INDEX(ERP資料!$G:$G, (MATCH(768, 輔助計算!$G$2:$G$801, 0)+1)),"0.##"),IF(MOD(INDEX(輔助計算!$D:$D, (MATCH(768, 輔助計算!$G$2:$G$801, 0)+1)),IF(INDEX(ERP資料!$G:$G, (MATCH(768, 輔助計算!$G$2:$G$801, 0)+1))&lt;100, IF(INDEX(ERP資料!$G:$G, (MATCH(768, 輔助計算!$G$2:$G$801, 0)+1))&lt;=31,3,IF(INDEX(ERP資料!$G:$G, (MATCH(768, 輔助計算!$G$2:$G$801, 0)+1))&lt;=46.5,2,1)), IF(INDEX(ERP資料!$G:$G, (MATCH(768, 輔助計算!$G$2:$G$801, 0)+1))&lt;=790,3,IF(INDEX(ERP資料!$G:$G, (MATCH(768, 輔助計算!$G$2:$G$801, 0)+1))&lt;=1181,2,1))))=2,TEXT(INDEX(ERP資料!$G:$G, (MATCH(768, 輔助計算!$G$2:$G$801, 0)+1)),"0.##")&amp;"+"&amp;TEXT(INDEX(ERP資料!$G:$G, (MATCH(768, 輔助計算!$G$2:$G$801, 0)+1)),"0.##"),TEXT(INDEX(ERP資料!$G:$G, (MATCH(768, 輔助計算!$G$2:$G$801, 0)+1)),"0.##")&amp;"+"&amp;TEXT(INDEX(ERP資料!$G:$G, (MATCH(768, 輔助計算!$G$2:$G$801, 0)+1)),"0.##")&amp;"+"&amp;TEXT(INDEX(ERP資料!$G:$G, (MATCH(768, 輔助計算!$G$2:$G$801, 0)+1)),"0.##"))))&amp;"-1")), ""), "")</f>
        <v/>
      </c>
      <c r="K769" s="16" t="n"/>
      <c r="L769" s="14">
        <f>IFERROR(IF(AND(IFERROR(INDEX(ERP資料!$A:$A, (MATCH(768, 輔助計算!$G$2:$G$801, 0)+1)), "")&lt;&gt;"", IFERROR(INDEX(ERP資料!$A:$A, (MATCH(768, 輔助計算!$G$2:$G$801, 0)+1)), "")&lt;&gt;IFERROR(INDEX(ERP資料!$A:$A, MATCH(767, 輔助計算!$G$2:$G$801, 0)+1), "")), INDEX(ERP資料!$B:$B, (MATCH(768, 輔助計算!$G$2:$G$801, 0)+1)), ""), "")</f>
        <v/>
      </c>
      <c r="M769" s="17" t="n"/>
    </row>
    <row r="770">
      <c r="A770" s="10">
        <f>IFERROR(IF(AND(IFERROR(INDEX(ERP資料!$A:$A, (MATCH(769, 輔助計算!$G$2:$G$801, 0)+1)), "")&lt;&gt;"", IFERROR(INDEX(ERP資料!$A:$A, (MATCH(769, 輔助計算!$G$2:$G$801, 0)+1)), "")&lt;&gt;IFERROR(INDEX(ERP資料!$A:$A, MATCH(768, 輔助計算!$G$2:$G$801, 0)+1), "")), IFERROR(INDEX(ERP資料!$A:$A, (MATCH(769, 輔助計算!$G$2:$G$801, 0)+1)), ""), ""), "")</f>
        <v/>
      </c>
      <c r="B770" s="10">
        <f>IFERROR(IF(AND(IFERROR(INDEX(ERP資料!$A:$A, (MATCH(769, 輔助計算!$G$2:$G$801, 0)+1)), "")&lt;&gt;"", IFERROR(INDEX(ERP資料!$A:$A, (MATCH(769, 輔助計算!$G$2:$G$801, 0)+1)), "")&lt;&gt;IFERROR(INDEX(ERP資料!$A:$A, MATCH(768, 輔助計算!$G$2:$G$801, 0)+1), "")), INDEX(ERP資料!$S:$S, (MATCH(769, 輔助計算!$G$2:$G$801, 0)+1)), ""), "")</f>
        <v/>
      </c>
      <c r="C770" s="19">
        <f>IFERROR(IF(AND(IFERROR(INDEX(ERP資料!$A:$A, (MATCH(769, 輔助計算!$G$2:$G$801, 0)+1)), "")&lt;&gt;"", IFERROR(INDEX(ERP資料!$A:$A, (MATCH(769, 輔助計算!$G$2:$G$801, 0)+1)), "")&lt;&gt;IFERROR(INDEX(ERP資料!$A:$A, MATCH(768, 輔助計算!$G$2:$G$801, 0)+1), "")), IFERROR(VLOOKUP(LEFT(INDEX(ERP資料!$S:$S, (MATCH(769, 輔助計算!$G$2:$G$801, 0)+1)), 4), 紙管對照表!$A:$C, 3, FALSE), ""), ""), "")</f>
        <v/>
      </c>
      <c r="D770" s="16" t="n"/>
      <c r="E770" s="10">
        <f>IFERROR(IF(INDEX(ERP資料!$H:$H, (MATCH(769, 輔助計算!$G$2:$G$801, 0)+1))="","",INDEX(ERP資料!$H:$H, (MATCH(769, 輔助計算!$G$2:$G$801, 0)+1))), "")</f>
        <v/>
      </c>
      <c r="F770" s="10">
        <f>IFERROR(IF(INDEX(ERP資料!$E:$E, (MATCH(769, 輔助計算!$G$2:$G$801, 0)+1))="","",TRIM(INDEX(ERP資料!$E:$E, (MATCH(769, 輔助計算!$G$2:$G$801, 0)+1)))), "")</f>
        <v/>
      </c>
      <c r="G770" s="10">
        <f>IFERROR(IF(INDEX(ERP資料!$F:$F, (MATCH(769, 輔助計算!$G$2:$G$801, 0)+1))="","",INDEX(ERP資料!$F:$F, (MATCH(769, 輔助計算!$G$2:$G$801, 0)+1))), "")</f>
        <v/>
      </c>
      <c r="H770" s="10">
        <f>IFERROR(IF(INDEX(ERP資料!$G:$G, (MATCH(769, 輔助計算!$G$2:$G$801, 0)+1))="","",INDEX(ERP資料!$G:$G, (MATCH(769, 輔助計算!$G$2:$G$801, 0)+1))), "")</f>
        <v/>
      </c>
      <c r="I770" s="15">
        <f>IFERROR(INDEX(輔助計算!$D:$D, (MATCH(769, 輔助計算!$G$2:$G$801, 0)+1)), "")</f>
        <v/>
      </c>
      <c r="J770" s="15">
        <f>IFERROR(IF(AND(INDEX(輔助計算!$D:$D, (MATCH(769, 輔助計算!$G$2:$G$801, 0)+1))&lt;&gt;"", INDEX(ERP資料!$G:$G, (MATCH(769, 輔助計算!$G$2:$G$801, 0)+1))&lt;&gt;""), TRIM(IF(INT(INDEX(輔助計算!$D:$D, (MATCH(769, 輔助計算!$G$2:$G$801, 0)+1))/IF(INDEX(ERP資料!$G:$G, (MATCH(769, 輔助計算!$G$2:$G$801, 0)+1))&lt;100, IF(INDEX(ERP資料!$G:$G, (MATCH(769, 輔助計算!$G$2:$G$801, 0)+1))&lt;=31,3,IF(INDEX(ERP資料!$G:$G, (MATCH(769, 輔助計算!$G$2:$G$801, 0)+1))&lt;=46.5,2,1)), IF(INDEX(ERP資料!$G:$G, (MATCH(769, 輔助計算!$G$2:$G$801, 0)+1))&lt;=790,3,IF(INDEX(ERP資料!$G:$G, (MATCH(769, 輔助計算!$G$2:$G$801, 0)+1))&lt;=1181,2,1))))&gt;0, IF(IF(INDEX(ERP資料!$G:$G, (MATCH(769, 輔助計算!$G$2:$G$801, 0)+1))&lt;100, IF(INDEX(ERP資料!$G:$G, (MATCH(769, 輔助計算!$G$2:$G$801, 0)+1))&lt;=31,3,IF(INDEX(ERP資料!$G:$G, (MATCH(769, 輔助計算!$G$2:$G$801, 0)+1))&lt;=46.5,2,1)), IF(INDEX(ERP資料!$G:$G, (MATCH(769, 輔助計算!$G$2:$G$801, 0)+1))&lt;=790,3,IF(INDEX(ERP資料!$G:$G, (MATCH(769, 輔助計算!$G$2:$G$801, 0)+1))&lt;=1181,2,1)))=1,TEXT(INDEX(ERP資料!$G:$G, (MATCH(769, 輔助計算!$G$2:$G$801, 0)+1)),"0.##"),IF(IF(INDEX(ERP資料!$G:$G, (MATCH(769, 輔助計算!$G$2:$G$801, 0)+1))&lt;100, IF(INDEX(ERP資料!$G:$G, (MATCH(769, 輔助計算!$G$2:$G$801, 0)+1))&lt;=31,3,IF(INDEX(ERP資料!$G:$G, (MATCH(769, 輔助計算!$G$2:$G$801, 0)+1))&lt;=46.5,2,1)), IF(INDEX(ERP資料!$G:$G, (MATCH(769, 輔助計算!$G$2:$G$801, 0)+1))&lt;=790,3,IF(INDEX(ERP資料!$G:$G, (MATCH(769, 輔助計算!$G$2:$G$801, 0)+1))&lt;=1181,2,1)))=2,TEXT(INDEX(ERP資料!$G:$G, (MATCH(769, 輔助計算!$G$2:$G$801, 0)+1)),"0.##")&amp;"+"&amp;TEXT(INDEX(ERP資料!$G:$G, (MATCH(769, 輔助計算!$G$2:$G$801, 0)+1)),"0.##"),TEXT(INDEX(ERP資料!$G:$G, (MATCH(769, 輔助計算!$G$2:$G$801, 0)+1)),"0.##")&amp;"+"&amp;TEXT(INDEX(ERP資料!$G:$G, (MATCH(769, 輔助計算!$G$2:$G$801, 0)+1)),"0.##")&amp;"+"&amp;TEXT(INDEX(ERP資料!$G:$G, (MATCH(769, 輔助計算!$G$2:$G$801, 0)+1)),"0.##")))&amp;"-"&amp;INT(INDEX(輔助計算!$D:$D, (MATCH(769, 輔助計算!$G$2:$G$801, 0)+1))/IF(INDEX(ERP資料!$G:$G, (MATCH(769, 輔助計算!$G$2:$G$801, 0)+1))&lt;100, IF(INDEX(ERP資料!$G:$G, (MATCH(769, 輔助計算!$G$2:$G$801, 0)+1))&lt;=31,3,IF(INDEX(ERP資料!$G:$G, (MATCH(769, 輔助計算!$G$2:$G$801, 0)+1))&lt;=46.5,2,1)), IF(INDEX(ERP資料!$G:$G, (MATCH(769, 輔助計算!$G$2:$G$801, 0)+1))&lt;=790,3,IF(INDEX(ERP資料!$G:$G, (MATCH(769, 輔助計算!$G$2:$G$801, 0)+1))&lt;=1181,2,1)))), "")&amp;IF(AND(IF(INT(INDEX(輔助計算!$D:$D, (MATCH(769, 輔助計算!$G$2:$G$801, 0)+1))/IF(INDEX(ERP資料!$G:$G, (MATCH(769, 輔助計算!$G$2:$G$801, 0)+1))&lt;100, IF(INDEX(ERP資料!$G:$G, (MATCH(769, 輔助計算!$G$2:$G$801, 0)+1))&lt;=31,3,IF(INDEX(ERP資料!$G:$G, (MATCH(769, 輔助計算!$G$2:$G$801, 0)+1))&lt;=46.5,2,1)), IF(INDEX(ERP資料!$G:$G, (MATCH(769, 輔助計算!$G$2:$G$801, 0)+1))&lt;=790,3,IF(INDEX(ERP資料!$G:$G, (MATCH(769, 輔助計算!$G$2:$G$801, 0)+1))&lt;=1181,2,1))))&gt;0, IF(IF(INDEX(ERP資料!$G:$G, (MATCH(769, 輔助計算!$G$2:$G$801, 0)+1))&lt;100, IF(INDEX(ERP資料!$G:$G, (MATCH(769, 輔助計算!$G$2:$G$801, 0)+1))&lt;=31,3,IF(INDEX(ERP資料!$G:$G, (MATCH(769, 輔助計算!$G$2:$G$801, 0)+1))&lt;=46.5,2,1)), IF(INDEX(ERP資料!$G:$G, (MATCH(769, 輔助計算!$G$2:$G$801, 0)+1))&lt;=790,3,IF(INDEX(ERP資料!$G:$G, (MATCH(769, 輔助計算!$G$2:$G$801, 0)+1))&lt;=1181,2,1)))=1,TEXT(INDEX(ERP資料!$G:$G, (MATCH(769, 輔助計算!$G$2:$G$801, 0)+1)),"0.##"),IF(IF(INDEX(ERP資料!$G:$G, (MATCH(769, 輔助計算!$G$2:$G$801, 0)+1))&lt;100, IF(INDEX(ERP資料!$G:$G, (MATCH(769, 輔助計算!$G$2:$G$801, 0)+1))&lt;=31,3,IF(INDEX(ERP資料!$G:$G, (MATCH(769, 輔助計算!$G$2:$G$801, 0)+1))&lt;=46.5,2,1)), IF(INDEX(ERP資料!$G:$G, (MATCH(769, 輔助計算!$G$2:$G$801, 0)+1))&lt;=790,3,IF(INDEX(ERP資料!$G:$G, (MATCH(769, 輔助計算!$G$2:$G$801, 0)+1))&lt;=1181,2,1)))=2,TEXT(INDEX(ERP資料!$G:$G, (MATCH(769, 輔助計算!$G$2:$G$801, 0)+1)),"0.##")&amp;"+"&amp;TEXT(INDEX(ERP資料!$G:$G, (MATCH(769, 輔助計算!$G$2:$G$801, 0)+1)),"0.##"),TEXT(INDEX(ERP資料!$G:$G, (MATCH(769, 輔助計算!$G$2:$G$801, 0)+1)),"0.##")&amp;"+"&amp;TEXT(INDEX(ERP資料!$G:$G, (MATCH(769, 輔助計算!$G$2:$G$801, 0)+1)),"0.##")&amp;"+"&amp;TEXT(INDEX(ERP資料!$G:$G, (MATCH(769, 輔助計算!$G$2:$G$801, 0)+1)),"0.##")))&amp;"-"&amp;INT(INDEX(輔助計算!$D:$D, (MATCH(769, 輔助計算!$G$2:$G$801, 0)+1))/IF(INDEX(ERP資料!$G:$G, (MATCH(769, 輔助計算!$G$2:$G$801, 0)+1))&lt;100, IF(INDEX(ERP資料!$G:$G, (MATCH(769, 輔助計算!$G$2:$G$801, 0)+1))&lt;=31,3,IF(INDEX(ERP資料!$G:$G, (MATCH(769, 輔助計算!$G$2:$G$801, 0)+1))&lt;=46.5,2,1)), IF(INDEX(ERP資料!$G:$G, (MATCH(769, 輔助計算!$G$2:$G$801, 0)+1))&lt;=790,3,IF(INDEX(ERP資料!$G:$G, (MATCH(769, 輔助計算!$G$2:$G$801, 0)+1))&lt;=1181,2,1)))), "")&lt;&gt;"",IF(MOD(INDEX(輔助計算!$D:$D, (MATCH(769, 輔助計算!$G$2:$G$801, 0)+1)),IF(INDEX(ERP資料!$G:$G, (MATCH(769, 輔助計算!$G$2:$G$801, 0)+1))&lt;100, IF(INDEX(ERP資料!$G:$G, (MATCH(769, 輔助計算!$G$2:$G$801, 0)+1))&lt;=31,3,IF(INDEX(ERP資料!$G:$G, (MATCH(769, 輔助計算!$G$2:$G$801, 0)+1))&lt;=46.5,2,1)), IF(INDEX(ERP資料!$G:$G, (MATCH(769, 輔助計算!$G$2:$G$801, 0)+1))&lt;=790,3,IF(INDEX(ERP資料!$G:$G, (MATCH(769, 輔助計算!$G$2:$G$801, 0)+1))&lt;=1181,2,1))))=0,"",IF(MOD(INDEX(輔助計算!$D:$D, (MATCH(769, 輔助計算!$G$2:$G$801, 0)+1)),IF(INDEX(ERP資料!$G:$G, (MATCH(769, 輔助計算!$G$2:$G$801, 0)+1))&lt;100, IF(INDEX(ERP資料!$G:$G, (MATCH(769, 輔助計算!$G$2:$G$801, 0)+1))&lt;=31,3,IF(INDEX(ERP資料!$G:$G, (MATCH(769, 輔助計算!$G$2:$G$801, 0)+1))&lt;=46.5,2,1)), IF(INDEX(ERP資料!$G:$G, (MATCH(769, 輔助計算!$G$2:$G$801, 0)+1))&lt;=790,3,IF(INDEX(ERP資料!$G:$G, (MATCH(769, 輔助計算!$G$2:$G$801, 0)+1))&lt;=1181,2,1))))=0,"",IF(MOD(INDEX(輔助計算!$D:$D, (MATCH(769, 輔助計算!$G$2:$G$801, 0)+1)),IF(INDEX(ERP資料!$G:$G, (MATCH(769, 輔助計算!$G$2:$G$801, 0)+1))&lt;100, IF(INDEX(ERP資料!$G:$G, (MATCH(769, 輔助計算!$G$2:$G$801, 0)+1))&lt;=31,3,IF(INDEX(ERP資料!$G:$G, (MATCH(769, 輔助計算!$G$2:$G$801, 0)+1))&lt;=46.5,2,1)), IF(INDEX(ERP資料!$G:$G, (MATCH(769, 輔助計算!$G$2:$G$801, 0)+1))&lt;=790,3,IF(INDEX(ERP資料!$G:$G, (MATCH(769, 輔助計算!$G$2:$G$801, 0)+1))&lt;=1181,2,1))))=1,TEXT(INDEX(ERP資料!$G:$G, (MATCH(769, 輔助計算!$G$2:$G$801, 0)+1)),"0.##"),IF(MOD(INDEX(輔助計算!$D:$D, (MATCH(769, 輔助計算!$G$2:$G$801, 0)+1)),IF(INDEX(ERP資料!$G:$G, (MATCH(769, 輔助計算!$G$2:$G$801, 0)+1))&lt;100, IF(INDEX(ERP資料!$G:$G, (MATCH(769, 輔助計算!$G$2:$G$801, 0)+1))&lt;=31,3,IF(INDEX(ERP資料!$G:$G, (MATCH(769, 輔助計算!$G$2:$G$801, 0)+1))&lt;=46.5,2,1)), IF(INDEX(ERP資料!$G:$G, (MATCH(769, 輔助計算!$G$2:$G$801, 0)+1))&lt;=790,3,IF(INDEX(ERP資料!$G:$G, (MATCH(769, 輔助計算!$G$2:$G$801, 0)+1))&lt;=1181,2,1))))=2,TEXT(INDEX(ERP資料!$G:$G, (MATCH(769, 輔助計算!$G$2:$G$801, 0)+1)),"0.##")&amp;"+"&amp;TEXT(INDEX(ERP資料!$G:$G, (MATCH(769, 輔助計算!$G$2:$G$801, 0)+1)),"0.##"),TEXT(INDEX(ERP資料!$G:$G, (MATCH(769, 輔助計算!$G$2:$G$801, 0)+1)),"0.##")&amp;"+"&amp;TEXT(INDEX(ERP資料!$G:$G, (MATCH(769, 輔助計算!$G$2:$G$801, 0)+1)),"0.##")&amp;"+"&amp;TEXT(INDEX(ERP資料!$G:$G, (MATCH(769, 輔助計算!$G$2:$G$801, 0)+1)),"0.##"))))&amp;"-1")&lt;&gt;""),"  ","")&amp;IF(MOD(INDEX(輔助計算!$D:$D, (MATCH(769, 輔助計算!$G$2:$G$801, 0)+1)),IF(INDEX(ERP資料!$G:$G, (MATCH(769, 輔助計算!$G$2:$G$801, 0)+1))&lt;100, IF(INDEX(ERP資料!$G:$G, (MATCH(769, 輔助計算!$G$2:$G$801, 0)+1))&lt;=31,3,IF(INDEX(ERP資料!$G:$G, (MATCH(769, 輔助計算!$G$2:$G$801, 0)+1))&lt;=46.5,2,1)), IF(INDEX(ERP資料!$G:$G, (MATCH(769, 輔助計算!$G$2:$G$801, 0)+1))&lt;=790,3,IF(INDEX(ERP資料!$G:$G, (MATCH(769, 輔助計算!$G$2:$G$801, 0)+1))&lt;=1181,2,1))))=0,"",IF(MOD(INDEX(輔助計算!$D:$D, (MATCH(769, 輔助計算!$G$2:$G$801, 0)+1)),IF(INDEX(ERP資料!$G:$G, (MATCH(769, 輔助計算!$G$2:$G$801, 0)+1))&lt;100, IF(INDEX(ERP資料!$G:$G, (MATCH(769, 輔助計算!$G$2:$G$801, 0)+1))&lt;=31,3,IF(INDEX(ERP資料!$G:$G, (MATCH(769, 輔助計算!$G$2:$G$801, 0)+1))&lt;=46.5,2,1)), IF(INDEX(ERP資料!$G:$G, (MATCH(769, 輔助計算!$G$2:$G$801, 0)+1))&lt;=790,3,IF(INDEX(ERP資料!$G:$G, (MATCH(769, 輔助計算!$G$2:$G$801, 0)+1))&lt;=1181,2,1))))=0,"",IF(MOD(INDEX(輔助計算!$D:$D, (MATCH(769, 輔助計算!$G$2:$G$801, 0)+1)),IF(INDEX(ERP資料!$G:$G, (MATCH(769, 輔助計算!$G$2:$G$801, 0)+1))&lt;100, IF(INDEX(ERP資料!$G:$G, (MATCH(769, 輔助計算!$G$2:$G$801, 0)+1))&lt;=31,3,IF(INDEX(ERP資料!$G:$G, (MATCH(769, 輔助計算!$G$2:$G$801, 0)+1))&lt;=46.5,2,1)), IF(INDEX(ERP資料!$G:$G, (MATCH(769, 輔助計算!$G$2:$G$801, 0)+1))&lt;=790,3,IF(INDEX(ERP資料!$G:$G, (MATCH(769, 輔助計算!$G$2:$G$801, 0)+1))&lt;=1181,2,1))))=1,TEXT(INDEX(ERP資料!$G:$G, (MATCH(769, 輔助計算!$G$2:$G$801, 0)+1)),"0.##"),IF(MOD(INDEX(輔助計算!$D:$D, (MATCH(769, 輔助計算!$G$2:$G$801, 0)+1)),IF(INDEX(ERP資料!$G:$G, (MATCH(769, 輔助計算!$G$2:$G$801, 0)+1))&lt;100, IF(INDEX(ERP資料!$G:$G, (MATCH(769, 輔助計算!$G$2:$G$801, 0)+1))&lt;=31,3,IF(INDEX(ERP資料!$G:$G, (MATCH(769, 輔助計算!$G$2:$G$801, 0)+1))&lt;=46.5,2,1)), IF(INDEX(ERP資料!$G:$G, (MATCH(769, 輔助計算!$G$2:$G$801, 0)+1))&lt;=790,3,IF(INDEX(ERP資料!$G:$G, (MATCH(769, 輔助計算!$G$2:$G$801, 0)+1))&lt;=1181,2,1))))=2,TEXT(INDEX(ERP資料!$G:$G, (MATCH(769, 輔助計算!$G$2:$G$801, 0)+1)),"0.##")&amp;"+"&amp;TEXT(INDEX(ERP資料!$G:$G, (MATCH(769, 輔助計算!$G$2:$G$801, 0)+1)),"0.##"),TEXT(INDEX(ERP資料!$G:$G, (MATCH(769, 輔助計算!$G$2:$G$801, 0)+1)),"0.##")&amp;"+"&amp;TEXT(INDEX(ERP資料!$G:$G, (MATCH(769, 輔助計算!$G$2:$G$801, 0)+1)),"0.##")&amp;"+"&amp;TEXT(INDEX(ERP資料!$G:$G, (MATCH(769, 輔助計算!$G$2:$G$801, 0)+1)),"0.##"))))&amp;"-1")), ""), "")</f>
        <v/>
      </c>
      <c r="K770" s="16" t="n"/>
      <c r="L770" s="14">
        <f>IFERROR(IF(AND(IFERROR(INDEX(ERP資料!$A:$A, (MATCH(769, 輔助計算!$G$2:$G$801, 0)+1)), "")&lt;&gt;"", IFERROR(INDEX(ERP資料!$A:$A, (MATCH(769, 輔助計算!$G$2:$G$801, 0)+1)), "")&lt;&gt;IFERROR(INDEX(ERP資料!$A:$A, MATCH(768, 輔助計算!$G$2:$G$801, 0)+1), "")), INDEX(ERP資料!$B:$B, (MATCH(769, 輔助計算!$G$2:$G$801, 0)+1)), ""), "")</f>
        <v/>
      </c>
      <c r="M770" s="17" t="n"/>
    </row>
    <row r="771">
      <c r="A771" s="10">
        <f>IFERROR(IF(AND(IFERROR(INDEX(ERP資料!$A:$A, (MATCH(770, 輔助計算!$G$2:$G$801, 0)+1)), "")&lt;&gt;"", IFERROR(INDEX(ERP資料!$A:$A, (MATCH(770, 輔助計算!$G$2:$G$801, 0)+1)), "")&lt;&gt;IFERROR(INDEX(ERP資料!$A:$A, MATCH(769, 輔助計算!$G$2:$G$801, 0)+1), "")), IFERROR(INDEX(ERP資料!$A:$A, (MATCH(770, 輔助計算!$G$2:$G$801, 0)+1)), ""), ""), "")</f>
        <v/>
      </c>
      <c r="B771" s="10">
        <f>IFERROR(IF(AND(IFERROR(INDEX(ERP資料!$A:$A, (MATCH(770, 輔助計算!$G$2:$G$801, 0)+1)), "")&lt;&gt;"", IFERROR(INDEX(ERP資料!$A:$A, (MATCH(770, 輔助計算!$G$2:$G$801, 0)+1)), "")&lt;&gt;IFERROR(INDEX(ERP資料!$A:$A, MATCH(769, 輔助計算!$G$2:$G$801, 0)+1), "")), INDEX(ERP資料!$S:$S, (MATCH(770, 輔助計算!$G$2:$G$801, 0)+1)), ""), "")</f>
        <v/>
      </c>
      <c r="C771" s="19">
        <f>IFERROR(IF(AND(IFERROR(INDEX(ERP資料!$A:$A, (MATCH(770, 輔助計算!$G$2:$G$801, 0)+1)), "")&lt;&gt;"", IFERROR(INDEX(ERP資料!$A:$A, (MATCH(770, 輔助計算!$G$2:$G$801, 0)+1)), "")&lt;&gt;IFERROR(INDEX(ERP資料!$A:$A, MATCH(769, 輔助計算!$G$2:$G$801, 0)+1), "")), IFERROR(VLOOKUP(LEFT(INDEX(ERP資料!$S:$S, (MATCH(770, 輔助計算!$G$2:$G$801, 0)+1)), 4), 紙管對照表!$A:$C, 3, FALSE), ""), ""), "")</f>
        <v/>
      </c>
      <c r="D771" s="16" t="n"/>
      <c r="E771" s="10">
        <f>IFERROR(IF(INDEX(ERP資料!$H:$H, (MATCH(770, 輔助計算!$G$2:$G$801, 0)+1))="","",INDEX(ERP資料!$H:$H, (MATCH(770, 輔助計算!$G$2:$G$801, 0)+1))), "")</f>
        <v/>
      </c>
      <c r="F771" s="10">
        <f>IFERROR(IF(INDEX(ERP資料!$E:$E, (MATCH(770, 輔助計算!$G$2:$G$801, 0)+1))="","",TRIM(INDEX(ERP資料!$E:$E, (MATCH(770, 輔助計算!$G$2:$G$801, 0)+1)))), "")</f>
        <v/>
      </c>
      <c r="G771" s="10">
        <f>IFERROR(IF(INDEX(ERP資料!$F:$F, (MATCH(770, 輔助計算!$G$2:$G$801, 0)+1))="","",INDEX(ERP資料!$F:$F, (MATCH(770, 輔助計算!$G$2:$G$801, 0)+1))), "")</f>
        <v/>
      </c>
      <c r="H771" s="10">
        <f>IFERROR(IF(INDEX(ERP資料!$G:$G, (MATCH(770, 輔助計算!$G$2:$G$801, 0)+1))="","",INDEX(ERP資料!$G:$G, (MATCH(770, 輔助計算!$G$2:$G$801, 0)+1))), "")</f>
        <v/>
      </c>
      <c r="I771" s="15">
        <f>IFERROR(INDEX(輔助計算!$D:$D, (MATCH(770, 輔助計算!$G$2:$G$801, 0)+1)), "")</f>
        <v/>
      </c>
      <c r="J771" s="15">
        <f>IFERROR(IF(AND(INDEX(輔助計算!$D:$D, (MATCH(770, 輔助計算!$G$2:$G$801, 0)+1))&lt;&gt;"", INDEX(ERP資料!$G:$G, (MATCH(770, 輔助計算!$G$2:$G$801, 0)+1))&lt;&gt;""), TRIM(IF(INT(INDEX(輔助計算!$D:$D, (MATCH(770, 輔助計算!$G$2:$G$801, 0)+1))/IF(INDEX(ERP資料!$G:$G, (MATCH(770, 輔助計算!$G$2:$G$801, 0)+1))&lt;100, IF(INDEX(ERP資料!$G:$G, (MATCH(770, 輔助計算!$G$2:$G$801, 0)+1))&lt;=31,3,IF(INDEX(ERP資料!$G:$G, (MATCH(770, 輔助計算!$G$2:$G$801, 0)+1))&lt;=46.5,2,1)), IF(INDEX(ERP資料!$G:$G, (MATCH(770, 輔助計算!$G$2:$G$801, 0)+1))&lt;=790,3,IF(INDEX(ERP資料!$G:$G, (MATCH(770, 輔助計算!$G$2:$G$801, 0)+1))&lt;=1181,2,1))))&gt;0, IF(IF(INDEX(ERP資料!$G:$G, (MATCH(770, 輔助計算!$G$2:$G$801, 0)+1))&lt;100, IF(INDEX(ERP資料!$G:$G, (MATCH(770, 輔助計算!$G$2:$G$801, 0)+1))&lt;=31,3,IF(INDEX(ERP資料!$G:$G, (MATCH(770, 輔助計算!$G$2:$G$801, 0)+1))&lt;=46.5,2,1)), IF(INDEX(ERP資料!$G:$G, (MATCH(770, 輔助計算!$G$2:$G$801, 0)+1))&lt;=790,3,IF(INDEX(ERP資料!$G:$G, (MATCH(770, 輔助計算!$G$2:$G$801, 0)+1))&lt;=1181,2,1)))=1,TEXT(INDEX(ERP資料!$G:$G, (MATCH(770, 輔助計算!$G$2:$G$801, 0)+1)),"0.##"),IF(IF(INDEX(ERP資料!$G:$G, (MATCH(770, 輔助計算!$G$2:$G$801, 0)+1))&lt;100, IF(INDEX(ERP資料!$G:$G, (MATCH(770, 輔助計算!$G$2:$G$801, 0)+1))&lt;=31,3,IF(INDEX(ERP資料!$G:$G, (MATCH(770, 輔助計算!$G$2:$G$801, 0)+1))&lt;=46.5,2,1)), IF(INDEX(ERP資料!$G:$G, (MATCH(770, 輔助計算!$G$2:$G$801, 0)+1))&lt;=790,3,IF(INDEX(ERP資料!$G:$G, (MATCH(770, 輔助計算!$G$2:$G$801, 0)+1))&lt;=1181,2,1)))=2,TEXT(INDEX(ERP資料!$G:$G, (MATCH(770, 輔助計算!$G$2:$G$801, 0)+1)),"0.##")&amp;"+"&amp;TEXT(INDEX(ERP資料!$G:$G, (MATCH(770, 輔助計算!$G$2:$G$801, 0)+1)),"0.##"),TEXT(INDEX(ERP資料!$G:$G, (MATCH(770, 輔助計算!$G$2:$G$801, 0)+1)),"0.##")&amp;"+"&amp;TEXT(INDEX(ERP資料!$G:$G, (MATCH(770, 輔助計算!$G$2:$G$801, 0)+1)),"0.##")&amp;"+"&amp;TEXT(INDEX(ERP資料!$G:$G, (MATCH(770, 輔助計算!$G$2:$G$801, 0)+1)),"0.##")))&amp;"-"&amp;INT(INDEX(輔助計算!$D:$D, (MATCH(770, 輔助計算!$G$2:$G$801, 0)+1))/IF(INDEX(ERP資料!$G:$G, (MATCH(770, 輔助計算!$G$2:$G$801, 0)+1))&lt;100, IF(INDEX(ERP資料!$G:$G, (MATCH(770, 輔助計算!$G$2:$G$801, 0)+1))&lt;=31,3,IF(INDEX(ERP資料!$G:$G, (MATCH(770, 輔助計算!$G$2:$G$801, 0)+1))&lt;=46.5,2,1)), IF(INDEX(ERP資料!$G:$G, (MATCH(770, 輔助計算!$G$2:$G$801, 0)+1))&lt;=790,3,IF(INDEX(ERP資料!$G:$G, (MATCH(770, 輔助計算!$G$2:$G$801, 0)+1))&lt;=1181,2,1)))), "")&amp;IF(AND(IF(INT(INDEX(輔助計算!$D:$D, (MATCH(770, 輔助計算!$G$2:$G$801, 0)+1))/IF(INDEX(ERP資料!$G:$G, (MATCH(770, 輔助計算!$G$2:$G$801, 0)+1))&lt;100, IF(INDEX(ERP資料!$G:$G, (MATCH(770, 輔助計算!$G$2:$G$801, 0)+1))&lt;=31,3,IF(INDEX(ERP資料!$G:$G, (MATCH(770, 輔助計算!$G$2:$G$801, 0)+1))&lt;=46.5,2,1)), IF(INDEX(ERP資料!$G:$G, (MATCH(770, 輔助計算!$G$2:$G$801, 0)+1))&lt;=790,3,IF(INDEX(ERP資料!$G:$G, (MATCH(770, 輔助計算!$G$2:$G$801, 0)+1))&lt;=1181,2,1))))&gt;0, IF(IF(INDEX(ERP資料!$G:$G, (MATCH(770, 輔助計算!$G$2:$G$801, 0)+1))&lt;100, IF(INDEX(ERP資料!$G:$G, (MATCH(770, 輔助計算!$G$2:$G$801, 0)+1))&lt;=31,3,IF(INDEX(ERP資料!$G:$G, (MATCH(770, 輔助計算!$G$2:$G$801, 0)+1))&lt;=46.5,2,1)), IF(INDEX(ERP資料!$G:$G, (MATCH(770, 輔助計算!$G$2:$G$801, 0)+1))&lt;=790,3,IF(INDEX(ERP資料!$G:$G, (MATCH(770, 輔助計算!$G$2:$G$801, 0)+1))&lt;=1181,2,1)))=1,TEXT(INDEX(ERP資料!$G:$G, (MATCH(770, 輔助計算!$G$2:$G$801, 0)+1)),"0.##"),IF(IF(INDEX(ERP資料!$G:$G, (MATCH(770, 輔助計算!$G$2:$G$801, 0)+1))&lt;100, IF(INDEX(ERP資料!$G:$G, (MATCH(770, 輔助計算!$G$2:$G$801, 0)+1))&lt;=31,3,IF(INDEX(ERP資料!$G:$G, (MATCH(770, 輔助計算!$G$2:$G$801, 0)+1))&lt;=46.5,2,1)), IF(INDEX(ERP資料!$G:$G, (MATCH(770, 輔助計算!$G$2:$G$801, 0)+1))&lt;=790,3,IF(INDEX(ERP資料!$G:$G, (MATCH(770, 輔助計算!$G$2:$G$801, 0)+1))&lt;=1181,2,1)))=2,TEXT(INDEX(ERP資料!$G:$G, (MATCH(770, 輔助計算!$G$2:$G$801, 0)+1)),"0.##")&amp;"+"&amp;TEXT(INDEX(ERP資料!$G:$G, (MATCH(770, 輔助計算!$G$2:$G$801, 0)+1)),"0.##"),TEXT(INDEX(ERP資料!$G:$G, (MATCH(770, 輔助計算!$G$2:$G$801, 0)+1)),"0.##")&amp;"+"&amp;TEXT(INDEX(ERP資料!$G:$G, (MATCH(770, 輔助計算!$G$2:$G$801, 0)+1)),"0.##")&amp;"+"&amp;TEXT(INDEX(ERP資料!$G:$G, (MATCH(770, 輔助計算!$G$2:$G$801, 0)+1)),"0.##")))&amp;"-"&amp;INT(INDEX(輔助計算!$D:$D, (MATCH(770, 輔助計算!$G$2:$G$801, 0)+1))/IF(INDEX(ERP資料!$G:$G, (MATCH(770, 輔助計算!$G$2:$G$801, 0)+1))&lt;100, IF(INDEX(ERP資料!$G:$G, (MATCH(770, 輔助計算!$G$2:$G$801, 0)+1))&lt;=31,3,IF(INDEX(ERP資料!$G:$G, (MATCH(770, 輔助計算!$G$2:$G$801, 0)+1))&lt;=46.5,2,1)), IF(INDEX(ERP資料!$G:$G, (MATCH(770, 輔助計算!$G$2:$G$801, 0)+1))&lt;=790,3,IF(INDEX(ERP資料!$G:$G, (MATCH(770, 輔助計算!$G$2:$G$801, 0)+1))&lt;=1181,2,1)))), "")&lt;&gt;"",IF(MOD(INDEX(輔助計算!$D:$D, (MATCH(770, 輔助計算!$G$2:$G$801, 0)+1)),IF(INDEX(ERP資料!$G:$G, (MATCH(770, 輔助計算!$G$2:$G$801, 0)+1))&lt;100, IF(INDEX(ERP資料!$G:$G, (MATCH(770, 輔助計算!$G$2:$G$801, 0)+1))&lt;=31,3,IF(INDEX(ERP資料!$G:$G, (MATCH(770, 輔助計算!$G$2:$G$801, 0)+1))&lt;=46.5,2,1)), IF(INDEX(ERP資料!$G:$G, (MATCH(770, 輔助計算!$G$2:$G$801, 0)+1))&lt;=790,3,IF(INDEX(ERP資料!$G:$G, (MATCH(770, 輔助計算!$G$2:$G$801, 0)+1))&lt;=1181,2,1))))=0,"",IF(MOD(INDEX(輔助計算!$D:$D, (MATCH(770, 輔助計算!$G$2:$G$801, 0)+1)),IF(INDEX(ERP資料!$G:$G, (MATCH(770, 輔助計算!$G$2:$G$801, 0)+1))&lt;100, IF(INDEX(ERP資料!$G:$G, (MATCH(770, 輔助計算!$G$2:$G$801, 0)+1))&lt;=31,3,IF(INDEX(ERP資料!$G:$G, (MATCH(770, 輔助計算!$G$2:$G$801, 0)+1))&lt;=46.5,2,1)), IF(INDEX(ERP資料!$G:$G, (MATCH(770, 輔助計算!$G$2:$G$801, 0)+1))&lt;=790,3,IF(INDEX(ERP資料!$G:$G, (MATCH(770, 輔助計算!$G$2:$G$801, 0)+1))&lt;=1181,2,1))))=0,"",IF(MOD(INDEX(輔助計算!$D:$D, (MATCH(770, 輔助計算!$G$2:$G$801, 0)+1)),IF(INDEX(ERP資料!$G:$G, (MATCH(770, 輔助計算!$G$2:$G$801, 0)+1))&lt;100, IF(INDEX(ERP資料!$G:$G, (MATCH(770, 輔助計算!$G$2:$G$801, 0)+1))&lt;=31,3,IF(INDEX(ERP資料!$G:$G, (MATCH(770, 輔助計算!$G$2:$G$801, 0)+1))&lt;=46.5,2,1)), IF(INDEX(ERP資料!$G:$G, (MATCH(770, 輔助計算!$G$2:$G$801, 0)+1))&lt;=790,3,IF(INDEX(ERP資料!$G:$G, (MATCH(770, 輔助計算!$G$2:$G$801, 0)+1))&lt;=1181,2,1))))=1,TEXT(INDEX(ERP資料!$G:$G, (MATCH(770, 輔助計算!$G$2:$G$801, 0)+1)),"0.##"),IF(MOD(INDEX(輔助計算!$D:$D, (MATCH(770, 輔助計算!$G$2:$G$801, 0)+1)),IF(INDEX(ERP資料!$G:$G, (MATCH(770, 輔助計算!$G$2:$G$801, 0)+1))&lt;100, IF(INDEX(ERP資料!$G:$G, (MATCH(770, 輔助計算!$G$2:$G$801, 0)+1))&lt;=31,3,IF(INDEX(ERP資料!$G:$G, (MATCH(770, 輔助計算!$G$2:$G$801, 0)+1))&lt;=46.5,2,1)), IF(INDEX(ERP資料!$G:$G, (MATCH(770, 輔助計算!$G$2:$G$801, 0)+1))&lt;=790,3,IF(INDEX(ERP資料!$G:$G, (MATCH(770, 輔助計算!$G$2:$G$801, 0)+1))&lt;=1181,2,1))))=2,TEXT(INDEX(ERP資料!$G:$G, (MATCH(770, 輔助計算!$G$2:$G$801, 0)+1)),"0.##")&amp;"+"&amp;TEXT(INDEX(ERP資料!$G:$G, (MATCH(770, 輔助計算!$G$2:$G$801, 0)+1)),"0.##"),TEXT(INDEX(ERP資料!$G:$G, (MATCH(770, 輔助計算!$G$2:$G$801, 0)+1)),"0.##")&amp;"+"&amp;TEXT(INDEX(ERP資料!$G:$G, (MATCH(770, 輔助計算!$G$2:$G$801, 0)+1)),"0.##")&amp;"+"&amp;TEXT(INDEX(ERP資料!$G:$G, (MATCH(770, 輔助計算!$G$2:$G$801, 0)+1)),"0.##"))))&amp;"-1")&lt;&gt;""),"  ","")&amp;IF(MOD(INDEX(輔助計算!$D:$D, (MATCH(770, 輔助計算!$G$2:$G$801, 0)+1)),IF(INDEX(ERP資料!$G:$G, (MATCH(770, 輔助計算!$G$2:$G$801, 0)+1))&lt;100, IF(INDEX(ERP資料!$G:$G, (MATCH(770, 輔助計算!$G$2:$G$801, 0)+1))&lt;=31,3,IF(INDEX(ERP資料!$G:$G, (MATCH(770, 輔助計算!$G$2:$G$801, 0)+1))&lt;=46.5,2,1)), IF(INDEX(ERP資料!$G:$G, (MATCH(770, 輔助計算!$G$2:$G$801, 0)+1))&lt;=790,3,IF(INDEX(ERP資料!$G:$G, (MATCH(770, 輔助計算!$G$2:$G$801, 0)+1))&lt;=1181,2,1))))=0,"",IF(MOD(INDEX(輔助計算!$D:$D, (MATCH(770, 輔助計算!$G$2:$G$801, 0)+1)),IF(INDEX(ERP資料!$G:$G, (MATCH(770, 輔助計算!$G$2:$G$801, 0)+1))&lt;100, IF(INDEX(ERP資料!$G:$G, (MATCH(770, 輔助計算!$G$2:$G$801, 0)+1))&lt;=31,3,IF(INDEX(ERP資料!$G:$G, (MATCH(770, 輔助計算!$G$2:$G$801, 0)+1))&lt;=46.5,2,1)), IF(INDEX(ERP資料!$G:$G, (MATCH(770, 輔助計算!$G$2:$G$801, 0)+1))&lt;=790,3,IF(INDEX(ERP資料!$G:$G, (MATCH(770, 輔助計算!$G$2:$G$801, 0)+1))&lt;=1181,2,1))))=0,"",IF(MOD(INDEX(輔助計算!$D:$D, (MATCH(770, 輔助計算!$G$2:$G$801, 0)+1)),IF(INDEX(ERP資料!$G:$G, (MATCH(770, 輔助計算!$G$2:$G$801, 0)+1))&lt;100, IF(INDEX(ERP資料!$G:$G, (MATCH(770, 輔助計算!$G$2:$G$801, 0)+1))&lt;=31,3,IF(INDEX(ERP資料!$G:$G, (MATCH(770, 輔助計算!$G$2:$G$801, 0)+1))&lt;=46.5,2,1)), IF(INDEX(ERP資料!$G:$G, (MATCH(770, 輔助計算!$G$2:$G$801, 0)+1))&lt;=790,3,IF(INDEX(ERP資料!$G:$G, (MATCH(770, 輔助計算!$G$2:$G$801, 0)+1))&lt;=1181,2,1))))=1,TEXT(INDEX(ERP資料!$G:$G, (MATCH(770, 輔助計算!$G$2:$G$801, 0)+1)),"0.##"),IF(MOD(INDEX(輔助計算!$D:$D, (MATCH(770, 輔助計算!$G$2:$G$801, 0)+1)),IF(INDEX(ERP資料!$G:$G, (MATCH(770, 輔助計算!$G$2:$G$801, 0)+1))&lt;100, IF(INDEX(ERP資料!$G:$G, (MATCH(770, 輔助計算!$G$2:$G$801, 0)+1))&lt;=31,3,IF(INDEX(ERP資料!$G:$G, (MATCH(770, 輔助計算!$G$2:$G$801, 0)+1))&lt;=46.5,2,1)), IF(INDEX(ERP資料!$G:$G, (MATCH(770, 輔助計算!$G$2:$G$801, 0)+1))&lt;=790,3,IF(INDEX(ERP資料!$G:$G, (MATCH(770, 輔助計算!$G$2:$G$801, 0)+1))&lt;=1181,2,1))))=2,TEXT(INDEX(ERP資料!$G:$G, (MATCH(770, 輔助計算!$G$2:$G$801, 0)+1)),"0.##")&amp;"+"&amp;TEXT(INDEX(ERP資料!$G:$G, (MATCH(770, 輔助計算!$G$2:$G$801, 0)+1)),"0.##"),TEXT(INDEX(ERP資料!$G:$G, (MATCH(770, 輔助計算!$G$2:$G$801, 0)+1)),"0.##")&amp;"+"&amp;TEXT(INDEX(ERP資料!$G:$G, (MATCH(770, 輔助計算!$G$2:$G$801, 0)+1)),"0.##")&amp;"+"&amp;TEXT(INDEX(ERP資料!$G:$G, (MATCH(770, 輔助計算!$G$2:$G$801, 0)+1)),"0.##"))))&amp;"-1")), ""), "")</f>
        <v/>
      </c>
      <c r="K771" s="16" t="n"/>
      <c r="L771" s="14">
        <f>IFERROR(IF(AND(IFERROR(INDEX(ERP資料!$A:$A, (MATCH(770, 輔助計算!$G$2:$G$801, 0)+1)), "")&lt;&gt;"", IFERROR(INDEX(ERP資料!$A:$A, (MATCH(770, 輔助計算!$G$2:$G$801, 0)+1)), "")&lt;&gt;IFERROR(INDEX(ERP資料!$A:$A, MATCH(769, 輔助計算!$G$2:$G$801, 0)+1), "")), INDEX(ERP資料!$B:$B, (MATCH(770, 輔助計算!$G$2:$G$801, 0)+1)), ""), "")</f>
        <v/>
      </c>
      <c r="M771" s="17" t="n"/>
    </row>
    <row r="772">
      <c r="A772" s="10">
        <f>IFERROR(IF(AND(IFERROR(INDEX(ERP資料!$A:$A, (MATCH(771, 輔助計算!$G$2:$G$801, 0)+1)), "")&lt;&gt;"", IFERROR(INDEX(ERP資料!$A:$A, (MATCH(771, 輔助計算!$G$2:$G$801, 0)+1)), "")&lt;&gt;IFERROR(INDEX(ERP資料!$A:$A, MATCH(770, 輔助計算!$G$2:$G$801, 0)+1), "")), IFERROR(INDEX(ERP資料!$A:$A, (MATCH(771, 輔助計算!$G$2:$G$801, 0)+1)), ""), ""), "")</f>
        <v/>
      </c>
      <c r="B772" s="10">
        <f>IFERROR(IF(AND(IFERROR(INDEX(ERP資料!$A:$A, (MATCH(771, 輔助計算!$G$2:$G$801, 0)+1)), "")&lt;&gt;"", IFERROR(INDEX(ERP資料!$A:$A, (MATCH(771, 輔助計算!$G$2:$G$801, 0)+1)), "")&lt;&gt;IFERROR(INDEX(ERP資料!$A:$A, MATCH(770, 輔助計算!$G$2:$G$801, 0)+1), "")), INDEX(ERP資料!$S:$S, (MATCH(771, 輔助計算!$G$2:$G$801, 0)+1)), ""), "")</f>
        <v/>
      </c>
      <c r="C772" s="19">
        <f>IFERROR(IF(AND(IFERROR(INDEX(ERP資料!$A:$A, (MATCH(771, 輔助計算!$G$2:$G$801, 0)+1)), "")&lt;&gt;"", IFERROR(INDEX(ERP資料!$A:$A, (MATCH(771, 輔助計算!$G$2:$G$801, 0)+1)), "")&lt;&gt;IFERROR(INDEX(ERP資料!$A:$A, MATCH(770, 輔助計算!$G$2:$G$801, 0)+1), "")), IFERROR(VLOOKUP(LEFT(INDEX(ERP資料!$S:$S, (MATCH(771, 輔助計算!$G$2:$G$801, 0)+1)), 4), 紙管對照表!$A:$C, 3, FALSE), ""), ""), "")</f>
        <v/>
      </c>
      <c r="D772" s="16" t="n"/>
      <c r="E772" s="10">
        <f>IFERROR(IF(INDEX(ERP資料!$H:$H, (MATCH(771, 輔助計算!$G$2:$G$801, 0)+1))="","",INDEX(ERP資料!$H:$H, (MATCH(771, 輔助計算!$G$2:$G$801, 0)+1))), "")</f>
        <v/>
      </c>
      <c r="F772" s="10">
        <f>IFERROR(IF(INDEX(ERP資料!$E:$E, (MATCH(771, 輔助計算!$G$2:$G$801, 0)+1))="","",TRIM(INDEX(ERP資料!$E:$E, (MATCH(771, 輔助計算!$G$2:$G$801, 0)+1)))), "")</f>
        <v/>
      </c>
      <c r="G772" s="10">
        <f>IFERROR(IF(INDEX(ERP資料!$F:$F, (MATCH(771, 輔助計算!$G$2:$G$801, 0)+1))="","",INDEX(ERP資料!$F:$F, (MATCH(771, 輔助計算!$G$2:$G$801, 0)+1))), "")</f>
        <v/>
      </c>
      <c r="H772" s="10">
        <f>IFERROR(IF(INDEX(ERP資料!$G:$G, (MATCH(771, 輔助計算!$G$2:$G$801, 0)+1))="","",INDEX(ERP資料!$G:$G, (MATCH(771, 輔助計算!$G$2:$G$801, 0)+1))), "")</f>
        <v/>
      </c>
      <c r="I772" s="15">
        <f>IFERROR(INDEX(輔助計算!$D:$D, (MATCH(771, 輔助計算!$G$2:$G$801, 0)+1)), "")</f>
        <v/>
      </c>
      <c r="J772" s="15">
        <f>IFERROR(IF(AND(INDEX(輔助計算!$D:$D, (MATCH(771, 輔助計算!$G$2:$G$801, 0)+1))&lt;&gt;"", INDEX(ERP資料!$G:$G, (MATCH(771, 輔助計算!$G$2:$G$801, 0)+1))&lt;&gt;""), TRIM(IF(INT(INDEX(輔助計算!$D:$D, (MATCH(771, 輔助計算!$G$2:$G$801, 0)+1))/IF(INDEX(ERP資料!$G:$G, (MATCH(771, 輔助計算!$G$2:$G$801, 0)+1))&lt;100, IF(INDEX(ERP資料!$G:$G, (MATCH(771, 輔助計算!$G$2:$G$801, 0)+1))&lt;=31,3,IF(INDEX(ERP資料!$G:$G, (MATCH(771, 輔助計算!$G$2:$G$801, 0)+1))&lt;=46.5,2,1)), IF(INDEX(ERP資料!$G:$G, (MATCH(771, 輔助計算!$G$2:$G$801, 0)+1))&lt;=790,3,IF(INDEX(ERP資料!$G:$G, (MATCH(771, 輔助計算!$G$2:$G$801, 0)+1))&lt;=1181,2,1))))&gt;0, IF(IF(INDEX(ERP資料!$G:$G, (MATCH(771, 輔助計算!$G$2:$G$801, 0)+1))&lt;100, IF(INDEX(ERP資料!$G:$G, (MATCH(771, 輔助計算!$G$2:$G$801, 0)+1))&lt;=31,3,IF(INDEX(ERP資料!$G:$G, (MATCH(771, 輔助計算!$G$2:$G$801, 0)+1))&lt;=46.5,2,1)), IF(INDEX(ERP資料!$G:$G, (MATCH(771, 輔助計算!$G$2:$G$801, 0)+1))&lt;=790,3,IF(INDEX(ERP資料!$G:$G, (MATCH(771, 輔助計算!$G$2:$G$801, 0)+1))&lt;=1181,2,1)))=1,TEXT(INDEX(ERP資料!$G:$G, (MATCH(771, 輔助計算!$G$2:$G$801, 0)+1)),"0.##"),IF(IF(INDEX(ERP資料!$G:$G, (MATCH(771, 輔助計算!$G$2:$G$801, 0)+1))&lt;100, IF(INDEX(ERP資料!$G:$G, (MATCH(771, 輔助計算!$G$2:$G$801, 0)+1))&lt;=31,3,IF(INDEX(ERP資料!$G:$G, (MATCH(771, 輔助計算!$G$2:$G$801, 0)+1))&lt;=46.5,2,1)), IF(INDEX(ERP資料!$G:$G, (MATCH(771, 輔助計算!$G$2:$G$801, 0)+1))&lt;=790,3,IF(INDEX(ERP資料!$G:$G, (MATCH(771, 輔助計算!$G$2:$G$801, 0)+1))&lt;=1181,2,1)))=2,TEXT(INDEX(ERP資料!$G:$G, (MATCH(771, 輔助計算!$G$2:$G$801, 0)+1)),"0.##")&amp;"+"&amp;TEXT(INDEX(ERP資料!$G:$G, (MATCH(771, 輔助計算!$G$2:$G$801, 0)+1)),"0.##"),TEXT(INDEX(ERP資料!$G:$G, (MATCH(771, 輔助計算!$G$2:$G$801, 0)+1)),"0.##")&amp;"+"&amp;TEXT(INDEX(ERP資料!$G:$G, (MATCH(771, 輔助計算!$G$2:$G$801, 0)+1)),"0.##")&amp;"+"&amp;TEXT(INDEX(ERP資料!$G:$G, (MATCH(771, 輔助計算!$G$2:$G$801, 0)+1)),"0.##")))&amp;"-"&amp;INT(INDEX(輔助計算!$D:$D, (MATCH(771, 輔助計算!$G$2:$G$801, 0)+1))/IF(INDEX(ERP資料!$G:$G, (MATCH(771, 輔助計算!$G$2:$G$801, 0)+1))&lt;100, IF(INDEX(ERP資料!$G:$G, (MATCH(771, 輔助計算!$G$2:$G$801, 0)+1))&lt;=31,3,IF(INDEX(ERP資料!$G:$G, (MATCH(771, 輔助計算!$G$2:$G$801, 0)+1))&lt;=46.5,2,1)), IF(INDEX(ERP資料!$G:$G, (MATCH(771, 輔助計算!$G$2:$G$801, 0)+1))&lt;=790,3,IF(INDEX(ERP資料!$G:$G, (MATCH(771, 輔助計算!$G$2:$G$801, 0)+1))&lt;=1181,2,1)))), "")&amp;IF(AND(IF(INT(INDEX(輔助計算!$D:$D, (MATCH(771, 輔助計算!$G$2:$G$801, 0)+1))/IF(INDEX(ERP資料!$G:$G, (MATCH(771, 輔助計算!$G$2:$G$801, 0)+1))&lt;100, IF(INDEX(ERP資料!$G:$G, (MATCH(771, 輔助計算!$G$2:$G$801, 0)+1))&lt;=31,3,IF(INDEX(ERP資料!$G:$G, (MATCH(771, 輔助計算!$G$2:$G$801, 0)+1))&lt;=46.5,2,1)), IF(INDEX(ERP資料!$G:$G, (MATCH(771, 輔助計算!$G$2:$G$801, 0)+1))&lt;=790,3,IF(INDEX(ERP資料!$G:$G, (MATCH(771, 輔助計算!$G$2:$G$801, 0)+1))&lt;=1181,2,1))))&gt;0, IF(IF(INDEX(ERP資料!$G:$G, (MATCH(771, 輔助計算!$G$2:$G$801, 0)+1))&lt;100, IF(INDEX(ERP資料!$G:$G, (MATCH(771, 輔助計算!$G$2:$G$801, 0)+1))&lt;=31,3,IF(INDEX(ERP資料!$G:$G, (MATCH(771, 輔助計算!$G$2:$G$801, 0)+1))&lt;=46.5,2,1)), IF(INDEX(ERP資料!$G:$G, (MATCH(771, 輔助計算!$G$2:$G$801, 0)+1))&lt;=790,3,IF(INDEX(ERP資料!$G:$G, (MATCH(771, 輔助計算!$G$2:$G$801, 0)+1))&lt;=1181,2,1)))=1,TEXT(INDEX(ERP資料!$G:$G, (MATCH(771, 輔助計算!$G$2:$G$801, 0)+1)),"0.##"),IF(IF(INDEX(ERP資料!$G:$G, (MATCH(771, 輔助計算!$G$2:$G$801, 0)+1))&lt;100, IF(INDEX(ERP資料!$G:$G, (MATCH(771, 輔助計算!$G$2:$G$801, 0)+1))&lt;=31,3,IF(INDEX(ERP資料!$G:$G, (MATCH(771, 輔助計算!$G$2:$G$801, 0)+1))&lt;=46.5,2,1)), IF(INDEX(ERP資料!$G:$G, (MATCH(771, 輔助計算!$G$2:$G$801, 0)+1))&lt;=790,3,IF(INDEX(ERP資料!$G:$G, (MATCH(771, 輔助計算!$G$2:$G$801, 0)+1))&lt;=1181,2,1)))=2,TEXT(INDEX(ERP資料!$G:$G, (MATCH(771, 輔助計算!$G$2:$G$801, 0)+1)),"0.##")&amp;"+"&amp;TEXT(INDEX(ERP資料!$G:$G, (MATCH(771, 輔助計算!$G$2:$G$801, 0)+1)),"0.##"),TEXT(INDEX(ERP資料!$G:$G, (MATCH(771, 輔助計算!$G$2:$G$801, 0)+1)),"0.##")&amp;"+"&amp;TEXT(INDEX(ERP資料!$G:$G, (MATCH(771, 輔助計算!$G$2:$G$801, 0)+1)),"0.##")&amp;"+"&amp;TEXT(INDEX(ERP資料!$G:$G, (MATCH(771, 輔助計算!$G$2:$G$801, 0)+1)),"0.##")))&amp;"-"&amp;INT(INDEX(輔助計算!$D:$D, (MATCH(771, 輔助計算!$G$2:$G$801, 0)+1))/IF(INDEX(ERP資料!$G:$G, (MATCH(771, 輔助計算!$G$2:$G$801, 0)+1))&lt;100, IF(INDEX(ERP資料!$G:$G, (MATCH(771, 輔助計算!$G$2:$G$801, 0)+1))&lt;=31,3,IF(INDEX(ERP資料!$G:$G, (MATCH(771, 輔助計算!$G$2:$G$801, 0)+1))&lt;=46.5,2,1)), IF(INDEX(ERP資料!$G:$G, (MATCH(771, 輔助計算!$G$2:$G$801, 0)+1))&lt;=790,3,IF(INDEX(ERP資料!$G:$G, (MATCH(771, 輔助計算!$G$2:$G$801, 0)+1))&lt;=1181,2,1)))), "")&lt;&gt;"",IF(MOD(INDEX(輔助計算!$D:$D, (MATCH(771, 輔助計算!$G$2:$G$801, 0)+1)),IF(INDEX(ERP資料!$G:$G, (MATCH(771, 輔助計算!$G$2:$G$801, 0)+1))&lt;100, IF(INDEX(ERP資料!$G:$G, (MATCH(771, 輔助計算!$G$2:$G$801, 0)+1))&lt;=31,3,IF(INDEX(ERP資料!$G:$G, (MATCH(771, 輔助計算!$G$2:$G$801, 0)+1))&lt;=46.5,2,1)), IF(INDEX(ERP資料!$G:$G, (MATCH(771, 輔助計算!$G$2:$G$801, 0)+1))&lt;=790,3,IF(INDEX(ERP資料!$G:$G, (MATCH(771, 輔助計算!$G$2:$G$801, 0)+1))&lt;=1181,2,1))))=0,"",IF(MOD(INDEX(輔助計算!$D:$D, (MATCH(771, 輔助計算!$G$2:$G$801, 0)+1)),IF(INDEX(ERP資料!$G:$G, (MATCH(771, 輔助計算!$G$2:$G$801, 0)+1))&lt;100, IF(INDEX(ERP資料!$G:$G, (MATCH(771, 輔助計算!$G$2:$G$801, 0)+1))&lt;=31,3,IF(INDEX(ERP資料!$G:$G, (MATCH(771, 輔助計算!$G$2:$G$801, 0)+1))&lt;=46.5,2,1)), IF(INDEX(ERP資料!$G:$G, (MATCH(771, 輔助計算!$G$2:$G$801, 0)+1))&lt;=790,3,IF(INDEX(ERP資料!$G:$G, (MATCH(771, 輔助計算!$G$2:$G$801, 0)+1))&lt;=1181,2,1))))=0,"",IF(MOD(INDEX(輔助計算!$D:$D, (MATCH(771, 輔助計算!$G$2:$G$801, 0)+1)),IF(INDEX(ERP資料!$G:$G, (MATCH(771, 輔助計算!$G$2:$G$801, 0)+1))&lt;100, IF(INDEX(ERP資料!$G:$G, (MATCH(771, 輔助計算!$G$2:$G$801, 0)+1))&lt;=31,3,IF(INDEX(ERP資料!$G:$G, (MATCH(771, 輔助計算!$G$2:$G$801, 0)+1))&lt;=46.5,2,1)), IF(INDEX(ERP資料!$G:$G, (MATCH(771, 輔助計算!$G$2:$G$801, 0)+1))&lt;=790,3,IF(INDEX(ERP資料!$G:$G, (MATCH(771, 輔助計算!$G$2:$G$801, 0)+1))&lt;=1181,2,1))))=1,TEXT(INDEX(ERP資料!$G:$G, (MATCH(771, 輔助計算!$G$2:$G$801, 0)+1)),"0.##"),IF(MOD(INDEX(輔助計算!$D:$D, (MATCH(771, 輔助計算!$G$2:$G$801, 0)+1)),IF(INDEX(ERP資料!$G:$G, (MATCH(771, 輔助計算!$G$2:$G$801, 0)+1))&lt;100, IF(INDEX(ERP資料!$G:$G, (MATCH(771, 輔助計算!$G$2:$G$801, 0)+1))&lt;=31,3,IF(INDEX(ERP資料!$G:$G, (MATCH(771, 輔助計算!$G$2:$G$801, 0)+1))&lt;=46.5,2,1)), IF(INDEX(ERP資料!$G:$G, (MATCH(771, 輔助計算!$G$2:$G$801, 0)+1))&lt;=790,3,IF(INDEX(ERP資料!$G:$G, (MATCH(771, 輔助計算!$G$2:$G$801, 0)+1))&lt;=1181,2,1))))=2,TEXT(INDEX(ERP資料!$G:$G, (MATCH(771, 輔助計算!$G$2:$G$801, 0)+1)),"0.##")&amp;"+"&amp;TEXT(INDEX(ERP資料!$G:$G, (MATCH(771, 輔助計算!$G$2:$G$801, 0)+1)),"0.##"),TEXT(INDEX(ERP資料!$G:$G, (MATCH(771, 輔助計算!$G$2:$G$801, 0)+1)),"0.##")&amp;"+"&amp;TEXT(INDEX(ERP資料!$G:$G, (MATCH(771, 輔助計算!$G$2:$G$801, 0)+1)),"0.##")&amp;"+"&amp;TEXT(INDEX(ERP資料!$G:$G, (MATCH(771, 輔助計算!$G$2:$G$801, 0)+1)),"0.##"))))&amp;"-1")&lt;&gt;""),"  ","")&amp;IF(MOD(INDEX(輔助計算!$D:$D, (MATCH(771, 輔助計算!$G$2:$G$801, 0)+1)),IF(INDEX(ERP資料!$G:$G, (MATCH(771, 輔助計算!$G$2:$G$801, 0)+1))&lt;100, IF(INDEX(ERP資料!$G:$G, (MATCH(771, 輔助計算!$G$2:$G$801, 0)+1))&lt;=31,3,IF(INDEX(ERP資料!$G:$G, (MATCH(771, 輔助計算!$G$2:$G$801, 0)+1))&lt;=46.5,2,1)), IF(INDEX(ERP資料!$G:$G, (MATCH(771, 輔助計算!$G$2:$G$801, 0)+1))&lt;=790,3,IF(INDEX(ERP資料!$G:$G, (MATCH(771, 輔助計算!$G$2:$G$801, 0)+1))&lt;=1181,2,1))))=0,"",IF(MOD(INDEX(輔助計算!$D:$D, (MATCH(771, 輔助計算!$G$2:$G$801, 0)+1)),IF(INDEX(ERP資料!$G:$G, (MATCH(771, 輔助計算!$G$2:$G$801, 0)+1))&lt;100, IF(INDEX(ERP資料!$G:$G, (MATCH(771, 輔助計算!$G$2:$G$801, 0)+1))&lt;=31,3,IF(INDEX(ERP資料!$G:$G, (MATCH(771, 輔助計算!$G$2:$G$801, 0)+1))&lt;=46.5,2,1)), IF(INDEX(ERP資料!$G:$G, (MATCH(771, 輔助計算!$G$2:$G$801, 0)+1))&lt;=790,3,IF(INDEX(ERP資料!$G:$G, (MATCH(771, 輔助計算!$G$2:$G$801, 0)+1))&lt;=1181,2,1))))=0,"",IF(MOD(INDEX(輔助計算!$D:$D, (MATCH(771, 輔助計算!$G$2:$G$801, 0)+1)),IF(INDEX(ERP資料!$G:$G, (MATCH(771, 輔助計算!$G$2:$G$801, 0)+1))&lt;100, IF(INDEX(ERP資料!$G:$G, (MATCH(771, 輔助計算!$G$2:$G$801, 0)+1))&lt;=31,3,IF(INDEX(ERP資料!$G:$G, (MATCH(771, 輔助計算!$G$2:$G$801, 0)+1))&lt;=46.5,2,1)), IF(INDEX(ERP資料!$G:$G, (MATCH(771, 輔助計算!$G$2:$G$801, 0)+1))&lt;=790,3,IF(INDEX(ERP資料!$G:$G, (MATCH(771, 輔助計算!$G$2:$G$801, 0)+1))&lt;=1181,2,1))))=1,TEXT(INDEX(ERP資料!$G:$G, (MATCH(771, 輔助計算!$G$2:$G$801, 0)+1)),"0.##"),IF(MOD(INDEX(輔助計算!$D:$D, (MATCH(771, 輔助計算!$G$2:$G$801, 0)+1)),IF(INDEX(ERP資料!$G:$G, (MATCH(771, 輔助計算!$G$2:$G$801, 0)+1))&lt;100, IF(INDEX(ERP資料!$G:$G, (MATCH(771, 輔助計算!$G$2:$G$801, 0)+1))&lt;=31,3,IF(INDEX(ERP資料!$G:$G, (MATCH(771, 輔助計算!$G$2:$G$801, 0)+1))&lt;=46.5,2,1)), IF(INDEX(ERP資料!$G:$G, (MATCH(771, 輔助計算!$G$2:$G$801, 0)+1))&lt;=790,3,IF(INDEX(ERP資料!$G:$G, (MATCH(771, 輔助計算!$G$2:$G$801, 0)+1))&lt;=1181,2,1))))=2,TEXT(INDEX(ERP資料!$G:$G, (MATCH(771, 輔助計算!$G$2:$G$801, 0)+1)),"0.##")&amp;"+"&amp;TEXT(INDEX(ERP資料!$G:$G, (MATCH(771, 輔助計算!$G$2:$G$801, 0)+1)),"0.##"),TEXT(INDEX(ERP資料!$G:$G, (MATCH(771, 輔助計算!$G$2:$G$801, 0)+1)),"0.##")&amp;"+"&amp;TEXT(INDEX(ERP資料!$G:$G, (MATCH(771, 輔助計算!$G$2:$G$801, 0)+1)),"0.##")&amp;"+"&amp;TEXT(INDEX(ERP資料!$G:$G, (MATCH(771, 輔助計算!$G$2:$G$801, 0)+1)),"0.##"))))&amp;"-1")), ""), "")</f>
        <v/>
      </c>
      <c r="K772" s="16" t="n"/>
      <c r="L772" s="14">
        <f>IFERROR(IF(AND(IFERROR(INDEX(ERP資料!$A:$A, (MATCH(771, 輔助計算!$G$2:$G$801, 0)+1)), "")&lt;&gt;"", IFERROR(INDEX(ERP資料!$A:$A, (MATCH(771, 輔助計算!$G$2:$G$801, 0)+1)), "")&lt;&gt;IFERROR(INDEX(ERP資料!$A:$A, MATCH(770, 輔助計算!$G$2:$G$801, 0)+1), "")), INDEX(ERP資料!$B:$B, (MATCH(771, 輔助計算!$G$2:$G$801, 0)+1)), ""), "")</f>
        <v/>
      </c>
      <c r="M772" s="17" t="n"/>
    </row>
    <row r="773">
      <c r="A773" s="10">
        <f>IFERROR(IF(AND(IFERROR(INDEX(ERP資料!$A:$A, (MATCH(772, 輔助計算!$G$2:$G$801, 0)+1)), "")&lt;&gt;"", IFERROR(INDEX(ERP資料!$A:$A, (MATCH(772, 輔助計算!$G$2:$G$801, 0)+1)), "")&lt;&gt;IFERROR(INDEX(ERP資料!$A:$A, MATCH(771, 輔助計算!$G$2:$G$801, 0)+1), "")), IFERROR(INDEX(ERP資料!$A:$A, (MATCH(772, 輔助計算!$G$2:$G$801, 0)+1)), ""), ""), "")</f>
        <v/>
      </c>
      <c r="B773" s="10">
        <f>IFERROR(IF(AND(IFERROR(INDEX(ERP資料!$A:$A, (MATCH(772, 輔助計算!$G$2:$G$801, 0)+1)), "")&lt;&gt;"", IFERROR(INDEX(ERP資料!$A:$A, (MATCH(772, 輔助計算!$G$2:$G$801, 0)+1)), "")&lt;&gt;IFERROR(INDEX(ERP資料!$A:$A, MATCH(771, 輔助計算!$G$2:$G$801, 0)+1), "")), INDEX(ERP資料!$S:$S, (MATCH(772, 輔助計算!$G$2:$G$801, 0)+1)), ""), "")</f>
        <v/>
      </c>
      <c r="C773" s="19">
        <f>IFERROR(IF(AND(IFERROR(INDEX(ERP資料!$A:$A, (MATCH(772, 輔助計算!$G$2:$G$801, 0)+1)), "")&lt;&gt;"", IFERROR(INDEX(ERP資料!$A:$A, (MATCH(772, 輔助計算!$G$2:$G$801, 0)+1)), "")&lt;&gt;IFERROR(INDEX(ERP資料!$A:$A, MATCH(771, 輔助計算!$G$2:$G$801, 0)+1), "")), IFERROR(VLOOKUP(LEFT(INDEX(ERP資料!$S:$S, (MATCH(772, 輔助計算!$G$2:$G$801, 0)+1)), 4), 紙管對照表!$A:$C, 3, FALSE), ""), ""), "")</f>
        <v/>
      </c>
      <c r="D773" s="16" t="n"/>
      <c r="E773" s="10">
        <f>IFERROR(IF(INDEX(ERP資料!$H:$H, (MATCH(772, 輔助計算!$G$2:$G$801, 0)+1))="","",INDEX(ERP資料!$H:$H, (MATCH(772, 輔助計算!$G$2:$G$801, 0)+1))), "")</f>
        <v/>
      </c>
      <c r="F773" s="10">
        <f>IFERROR(IF(INDEX(ERP資料!$E:$E, (MATCH(772, 輔助計算!$G$2:$G$801, 0)+1))="","",TRIM(INDEX(ERP資料!$E:$E, (MATCH(772, 輔助計算!$G$2:$G$801, 0)+1)))), "")</f>
        <v/>
      </c>
      <c r="G773" s="10">
        <f>IFERROR(IF(INDEX(ERP資料!$F:$F, (MATCH(772, 輔助計算!$G$2:$G$801, 0)+1))="","",INDEX(ERP資料!$F:$F, (MATCH(772, 輔助計算!$G$2:$G$801, 0)+1))), "")</f>
        <v/>
      </c>
      <c r="H773" s="10">
        <f>IFERROR(IF(INDEX(ERP資料!$G:$G, (MATCH(772, 輔助計算!$G$2:$G$801, 0)+1))="","",INDEX(ERP資料!$G:$G, (MATCH(772, 輔助計算!$G$2:$G$801, 0)+1))), "")</f>
        <v/>
      </c>
      <c r="I773" s="15">
        <f>IFERROR(INDEX(輔助計算!$D:$D, (MATCH(772, 輔助計算!$G$2:$G$801, 0)+1)), "")</f>
        <v/>
      </c>
      <c r="J773" s="15">
        <f>IFERROR(IF(AND(INDEX(輔助計算!$D:$D, (MATCH(772, 輔助計算!$G$2:$G$801, 0)+1))&lt;&gt;"", INDEX(ERP資料!$G:$G, (MATCH(772, 輔助計算!$G$2:$G$801, 0)+1))&lt;&gt;""), TRIM(IF(INT(INDEX(輔助計算!$D:$D, (MATCH(772, 輔助計算!$G$2:$G$801, 0)+1))/IF(INDEX(ERP資料!$G:$G, (MATCH(772, 輔助計算!$G$2:$G$801, 0)+1))&lt;100, IF(INDEX(ERP資料!$G:$G, (MATCH(772, 輔助計算!$G$2:$G$801, 0)+1))&lt;=31,3,IF(INDEX(ERP資料!$G:$G, (MATCH(772, 輔助計算!$G$2:$G$801, 0)+1))&lt;=46.5,2,1)), IF(INDEX(ERP資料!$G:$G, (MATCH(772, 輔助計算!$G$2:$G$801, 0)+1))&lt;=790,3,IF(INDEX(ERP資料!$G:$G, (MATCH(772, 輔助計算!$G$2:$G$801, 0)+1))&lt;=1181,2,1))))&gt;0, IF(IF(INDEX(ERP資料!$G:$G, (MATCH(772, 輔助計算!$G$2:$G$801, 0)+1))&lt;100, IF(INDEX(ERP資料!$G:$G, (MATCH(772, 輔助計算!$G$2:$G$801, 0)+1))&lt;=31,3,IF(INDEX(ERP資料!$G:$G, (MATCH(772, 輔助計算!$G$2:$G$801, 0)+1))&lt;=46.5,2,1)), IF(INDEX(ERP資料!$G:$G, (MATCH(772, 輔助計算!$G$2:$G$801, 0)+1))&lt;=790,3,IF(INDEX(ERP資料!$G:$G, (MATCH(772, 輔助計算!$G$2:$G$801, 0)+1))&lt;=1181,2,1)))=1,TEXT(INDEX(ERP資料!$G:$G, (MATCH(772, 輔助計算!$G$2:$G$801, 0)+1)),"0.##"),IF(IF(INDEX(ERP資料!$G:$G, (MATCH(772, 輔助計算!$G$2:$G$801, 0)+1))&lt;100, IF(INDEX(ERP資料!$G:$G, (MATCH(772, 輔助計算!$G$2:$G$801, 0)+1))&lt;=31,3,IF(INDEX(ERP資料!$G:$G, (MATCH(772, 輔助計算!$G$2:$G$801, 0)+1))&lt;=46.5,2,1)), IF(INDEX(ERP資料!$G:$G, (MATCH(772, 輔助計算!$G$2:$G$801, 0)+1))&lt;=790,3,IF(INDEX(ERP資料!$G:$G, (MATCH(772, 輔助計算!$G$2:$G$801, 0)+1))&lt;=1181,2,1)))=2,TEXT(INDEX(ERP資料!$G:$G, (MATCH(772, 輔助計算!$G$2:$G$801, 0)+1)),"0.##")&amp;"+"&amp;TEXT(INDEX(ERP資料!$G:$G, (MATCH(772, 輔助計算!$G$2:$G$801, 0)+1)),"0.##"),TEXT(INDEX(ERP資料!$G:$G, (MATCH(772, 輔助計算!$G$2:$G$801, 0)+1)),"0.##")&amp;"+"&amp;TEXT(INDEX(ERP資料!$G:$G, (MATCH(772, 輔助計算!$G$2:$G$801, 0)+1)),"0.##")&amp;"+"&amp;TEXT(INDEX(ERP資料!$G:$G, (MATCH(772, 輔助計算!$G$2:$G$801, 0)+1)),"0.##")))&amp;"-"&amp;INT(INDEX(輔助計算!$D:$D, (MATCH(772, 輔助計算!$G$2:$G$801, 0)+1))/IF(INDEX(ERP資料!$G:$G, (MATCH(772, 輔助計算!$G$2:$G$801, 0)+1))&lt;100, IF(INDEX(ERP資料!$G:$G, (MATCH(772, 輔助計算!$G$2:$G$801, 0)+1))&lt;=31,3,IF(INDEX(ERP資料!$G:$G, (MATCH(772, 輔助計算!$G$2:$G$801, 0)+1))&lt;=46.5,2,1)), IF(INDEX(ERP資料!$G:$G, (MATCH(772, 輔助計算!$G$2:$G$801, 0)+1))&lt;=790,3,IF(INDEX(ERP資料!$G:$G, (MATCH(772, 輔助計算!$G$2:$G$801, 0)+1))&lt;=1181,2,1)))), "")&amp;IF(AND(IF(INT(INDEX(輔助計算!$D:$D, (MATCH(772, 輔助計算!$G$2:$G$801, 0)+1))/IF(INDEX(ERP資料!$G:$G, (MATCH(772, 輔助計算!$G$2:$G$801, 0)+1))&lt;100, IF(INDEX(ERP資料!$G:$G, (MATCH(772, 輔助計算!$G$2:$G$801, 0)+1))&lt;=31,3,IF(INDEX(ERP資料!$G:$G, (MATCH(772, 輔助計算!$G$2:$G$801, 0)+1))&lt;=46.5,2,1)), IF(INDEX(ERP資料!$G:$G, (MATCH(772, 輔助計算!$G$2:$G$801, 0)+1))&lt;=790,3,IF(INDEX(ERP資料!$G:$G, (MATCH(772, 輔助計算!$G$2:$G$801, 0)+1))&lt;=1181,2,1))))&gt;0, IF(IF(INDEX(ERP資料!$G:$G, (MATCH(772, 輔助計算!$G$2:$G$801, 0)+1))&lt;100, IF(INDEX(ERP資料!$G:$G, (MATCH(772, 輔助計算!$G$2:$G$801, 0)+1))&lt;=31,3,IF(INDEX(ERP資料!$G:$G, (MATCH(772, 輔助計算!$G$2:$G$801, 0)+1))&lt;=46.5,2,1)), IF(INDEX(ERP資料!$G:$G, (MATCH(772, 輔助計算!$G$2:$G$801, 0)+1))&lt;=790,3,IF(INDEX(ERP資料!$G:$G, (MATCH(772, 輔助計算!$G$2:$G$801, 0)+1))&lt;=1181,2,1)))=1,TEXT(INDEX(ERP資料!$G:$G, (MATCH(772, 輔助計算!$G$2:$G$801, 0)+1)),"0.##"),IF(IF(INDEX(ERP資料!$G:$G, (MATCH(772, 輔助計算!$G$2:$G$801, 0)+1))&lt;100, IF(INDEX(ERP資料!$G:$G, (MATCH(772, 輔助計算!$G$2:$G$801, 0)+1))&lt;=31,3,IF(INDEX(ERP資料!$G:$G, (MATCH(772, 輔助計算!$G$2:$G$801, 0)+1))&lt;=46.5,2,1)), IF(INDEX(ERP資料!$G:$G, (MATCH(772, 輔助計算!$G$2:$G$801, 0)+1))&lt;=790,3,IF(INDEX(ERP資料!$G:$G, (MATCH(772, 輔助計算!$G$2:$G$801, 0)+1))&lt;=1181,2,1)))=2,TEXT(INDEX(ERP資料!$G:$G, (MATCH(772, 輔助計算!$G$2:$G$801, 0)+1)),"0.##")&amp;"+"&amp;TEXT(INDEX(ERP資料!$G:$G, (MATCH(772, 輔助計算!$G$2:$G$801, 0)+1)),"0.##"),TEXT(INDEX(ERP資料!$G:$G, (MATCH(772, 輔助計算!$G$2:$G$801, 0)+1)),"0.##")&amp;"+"&amp;TEXT(INDEX(ERP資料!$G:$G, (MATCH(772, 輔助計算!$G$2:$G$801, 0)+1)),"0.##")&amp;"+"&amp;TEXT(INDEX(ERP資料!$G:$G, (MATCH(772, 輔助計算!$G$2:$G$801, 0)+1)),"0.##")))&amp;"-"&amp;INT(INDEX(輔助計算!$D:$D, (MATCH(772, 輔助計算!$G$2:$G$801, 0)+1))/IF(INDEX(ERP資料!$G:$G, (MATCH(772, 輔助計算!$G$2:$G$801, 0)+1))&lt;100, IF(INDEX(ERP資料!$G:$G, (MATCH(772, 輔助計算!$G$2:$G$801, 0)+1))&lt;=31,3,IF(INDEX(ERP資料!$G:$G, (MATCH(772, 輔助計算!$G$2:$G$801, 0)+1))&lt;=46.5,2,1)), IF(INDEX(ERP資料!$G:$G, (MATCH(772, 輔助計算!$G$2:$G$801, 0)+1))&lt;=790,3,IF(INDEX(ERP資料!$G:$G, (MATCH(772, 輔助計算!$G$2:$G$801, 0)+1))&lt;=1181,2,1)))), "")&lt;&gt;"",IF(MOD(INDEX(輔助計算!$D:$D, (MATCH(772, 輔助計算!$G$2:$G$801, 0)+1)),IF(INDEX(ERP資料!$G:$G, (MATCH(772, 輔助計算!$G$2:$G$801, 0)+1))&lt;100, IF(INDEX(ERP資料!$G:$G, (MATCH(772, 輔助計算!$G$2:$G$801, 0)+1))&lt;=31,3,IF(INDEX(ERP資料!$G:$G, (MATCH(772, 輔助計算!$G$2:$G$801, 0)+1))&lt;=46.5,2,1)), IF(INDEX(ERP資料!$G:$G, (MATCH(772, 輔助計算!$G$2:$G$801, 0)+1))&lt;=790,3,IF(INDEX(ERP資料!$G:$G, (MATCH(772, 輔助計算!$G$2:$G$801, 0)+1))&lt;=1181,2,1))))=0,"",IF(MOD(INDEX(輔助計算!$D:$D, (MATCH(772, 輔助計算!$G$2:$G$801, 0)+1)),IF(INDEX(ERP資料!$G:$G, (MATCH(772, 輔助計算!$G$2:$G$801, 0)+1))&lt;100, IF(INDEX(ERP資料!$G:$G, (MATCH(772, 輔助計算!$G$2:$G$801, 0)+1))&lt;=31,3,IF(INDEX(ERP資料!$G:$G, (MATCH(772, 輔助計算!$G$2:$G$801, 0)+1))&lt;=46.5,2,1)), IF(INDEX(ERP資料!$G:$G, (MATCH(772, 輔助計算!$G$2:$G$801, 0)+1))&lt;=790,3,IF(INDEX(ERP資料!$G:$G, (MATCH(772, 輔助計算!$G$2:$G$801, 0)+1))&lt;=1181,2,1))))=0,"",IF(MOD(INDEX(輔助計算!$D:$D, (MATCH(772, 輔助計算!$G$2:$G$801, 0)+1)),IF(INDEX(ERP資料!$G:$G, (MATCH(772, 輔助計算!$G$2:$G$801, 0)+1))&lt;100, IF(INDEX(ERP資料!$G:$G, (MATCH(772, 輔助計算!$G$2:$G$801, 0)+1))&lt;=31,3,IF(INDEX(ERP資料!$G:$G, (MATCH(772, 輔助計算!$G$2:$G$801, 0)+1))&lt;=46.5,2,1)), IF(INDEX(ERP資料!$G:$G, (MATCH(772, 輔助計算!$G$2:$G$801, 0)+1))&lt;=790,3,IF(INDEX(ERP資料!$G:$G, (MATCH(772, 輔助計算!$G$2:$G$801, 0)+1))&lt;=1181,2,1))))=1,TEXT(INDEX(ERP資料!$G:$G, (MATCH(772, 輔助計算!$G$2:$G$801, 0)+1)),"0.##"),IF(MOD(INDEX(輔助計算!$D:$D, (MATCH(772, 輔助計算!$G$2:$G$801, 0)+1)),IF(INDEX(ERP資料!$G:$G, (MATCH(772, 輔助計算!$G$2:$G$801, 0)+1))&lt;100, IF(INDEX(ERP資料!$G:$G, (MATCH(772, 輔助計算!$G$2:$G$801, 0)+1))&lt;=31,3,IF(INDEX(ERP資料!$G:$G, (MATCH(772, 輔助計算!$G$2:$G$801, 0)+1))&lt;=46.5,2,1)), IF(INDEX(ERP資料!$G:$G, (MATCH(772, 輔助計算!$G$2:$G$801, 0)+1))&lt;=790,3,IF(INDEX(ERP資料!$G:$G, (MATCH(772, 輔助計算!$G$2:$G$801, 0)+1))&lt;=1181,2,1))))=2,TEXT(INDEX(ERP資料!$G:$G, (MATCH(772, 輔助計算!$G$2:$G$801, 0)+1)),"0.##")&amp;"+"&amp;TEXT(INDEX(ERP資料!$G:$G, (MATCH(772, 輔助計算!$G$2:$G$801, 0)+1)),"0.##"),TEXT(INDEX(ERP資料!$G:$G, (MATCH(772, 輔助計算!$G$2:$G$801, 0)+1)),"0.##")&amp;"+"&amp;TEXT(INDEX(ERP資料!$G:$G, (MATCH(772, 輔助計算!$G$2:$G$801, 0)+1)),"0.##")&amp;"+"&amp;TEXT(INDEX(ERP資料!$G:$G, (MATCH(772, 輔助計算!$G$2:$G$801, 0)+1)),"0.##"))))&amp;"-1")&lt;&gt;""),"  ","")&amp;IF(MOD(INDEX(輔助計算!$D:$D, (MATCH(772, 輔助計算!$G$2:$G$801, 0)+1)),IF(INDEX(ERP資料!$G:$G, (MATCH(772, 輔助計算!$G$2:$G$801, 0)+1))&lt;100, IF(INDEX(ERP資料!$G:$G, (MATCH(772, 輔助計算!$G$2:$G$801, 0)+1))&lt;=31,3,IF(INDEX(ERP資料!$G:$G, (MATCH(772, 輔助計算!$G$2:$G$801, 0)+1))&lt;=46.5,2,1)), IF(INDEX(ERP資料!$G:$G, (MATCH(772, 輔助計算!$G$2:$G$801, 0)+1))&lt;=790,3,IF(INDEX(ERP資料!$G:$G, (MATCH(772, 輔助計算!$G$2:$G$801, 0)+1))&lt;=1181,2,1))))=0,"",IF(MOD(INDEX(輔助計算!$D:$D, (MATCH(772, 輔助計算!$G$2:$G$801, 0)+1)),IF(INDEX(ERP資料!$G:$G, (MATCH(772, 輔助計算!$G$2:$G$801, 0)+1))&lt;100, IF(INDEX(ERP資料!$G:$G, (MATCH(772, 輔助計算!$G$2:$G$801, 0)+1))&lt;=31,3,IF(INDEX(ERP資料!$G:$G, (MATCH(772, 輔助計算!$G$2:$G$801, 0)+1))&lt;=46.5,2,1)), IF(INDEX(ERP資料!$G:$G, (MATCH(772, 輔助計算!$G$2:$G$801, 0)+1))&lt;=790,3,IF(INDEX(ERP資料!$G:$G, (MATCH(772, 輔助計算!$G$2:$G$801, 0)+1))&lt;=1181,2,1))))=0,"",IF(MOD(INDEX(輔助計算!$D:$D, (MATCH(772, 輔助計算!$G$2:$G$801, 0)+1)),IF(INDEX(ERP資料!$G:$G, (MATCH(772, 輔助計算!$G$2:$G$801, 0)+1))&lt;100, IF(INDEX(ERP資料!$G:$G, (MATCH(772, 輔助計算!$G$2:$G$801, 0)+1))&lt;=31,3,IF(INDEX(ERP資料!$G:$G, (MATCH(772, 輔助計算!$G$2:$G$801, 0)+1))&lt;=46.5,2,1)), IF(INDEX(ERP資料!$G:$G, (MATCH(772, 輔助計算!$G$2:$G$801, 0)+1))&lt;=790,3,IF(INDEX(ERP資料!$G:$G, (MATCH(772, 輔助計算!$G$2:$G$801, 0)+1))&lt;=1181,2,1))))=1,TEXT(INDEX(ERP資料!$G:$G, (MATCH(772, 輔助計算!$G$2:$G$801, 0)+1)),"0.##"),IF(MOD(INDEX(輔助計算!$D:$D, (MATCH(772, 輔助計算!$G$2:$G$801, 0)+1)),IF(INDEX(ERP資料!$G:$G, (MATCH(772, 輔助計算!$G$2:$G$801, 0)+1))&lt;100, IF(INDEX(ERP資料!$G:$G, (MATCH(772, 輔助計算!$G$2:$G$801, 0)+1))&lt;=31,3,IF(INDEX(ERP資料!$G:$G, (MATCH(772, 輔助計算!$G$2:$G$801, 0)+1))&lt;=46.5,2,1)), IF(INDEX(ERP資料!$G:$G, (MATCH(772, 輔助計算!$G$2:$G$801, 0)+1))&lt;=790,3,IF(INDEX(ERP資料!$G:$G, (MATCH(772, 輔助計算!$G$2:$G$801, 0)+1))&lt;=1181,2,1))))=2,TEXT(INDEX(ERP資料!$G:$G, (MATCH(772, 輔助計算!$G$2:$G$801, 0)+1)),"0.##")&amp;"+"&amp;TEXT(INDEX(ERP資料!$G:$G, (MATCH(772, 輔助計算!$G$2:$G$801, 0)+1)),"0.##"),TEXT(INDEX(ERP資料!$G:$G, (MATCH(772, 輔助計算!$G$2:$G$801, 0)+1)),"0.##")&amp;"+"&amp;TEXT(INDEX(ERP資料!$G:$G, (MATCH(772, 輔助計算!$G$2:$G$801, 0)+1)),"0.##")&amp;"+"&amp;TEXT(INDEX(ERP資料!$G:$G, (MATCH(772, 輔助計算!$G$2:$G$801, 0)+1)),"0.##"))))&amp;"-1")), ""), "")</f>
        <v/>
      </c>
      <c r="K773" s="16" t="n"/>
      <c r="L773" s="14">
        <f>IFERROR(IF(AND(IFERROR(INDEX(ERP資料!$A:$A, (MATCH(772, 輔助計算!$G$2:$G$801, 0)+1)), "")&lt;&gt;"", IFERROR(INDEX(ERP資料!$A:$A, (MATCH(772, 輔助計算!$G$2:$G$801, 0)+1)), "")&lt;&gt;IFERROR(INDEX(ERP資料!$A:$A, MATCH(771, 輔助計算!$G$2:$G$801, 0)+1), "")), INDEX(ERP資料!$B:$B, (MATCH(772, 輔助計算!$G$2:$G$801, 0)+1)), ""), "")</f>
        <v/>
      </c>
      <c r="M773" s="17" t="n"/>
    </row>
    <row r="774">
      <c r="A774" s="10">
        <f>IFERROR(IF(AND(IFERROR(INDEX(ERP資料!$A:$A, (MATCH(773, 輔助計算!$G$2:$G$801, 0)+1)), "")&lt;&gt;"", IFERROR(INDEX(ERP資料!$A:$A, (MATCH(773, 輔助計算!$G$2:$G$801, 0)+1)), "")&lt;&gt;IFERROR(INDEX(ERP資料!$A:$A, MATCH(772, 輔助計算!$G$2:$G$801, 0)+1), "")), IFERROR(INDEX(ERP資料!$A:$A, (MATCH(773, 輔助計算!$G$2:$G$801, 0)+1)), ""), ""), "")</f>
        <v/>
      </c>
      <c r="B774" s="10">
        <f>IFERROR(IF(AND(IFERROR(INDEX(ERP資料!$A:$A, (MATCH(773, 輔助計算!$G$2:$G$801, 0)+1)), "")&lt;&gt;"", IFERROR(INDEX(ERP資料!$A:$A, (MATCH(773, 輔助計算!$G$2:$G$801, 0)+1)), "")&lt;&gt;IFERROR(INDEX(ERP資料!$A:$A, MATCH(772, 輔助計算!$G$2:$G$801, 0)+1), "")), INDEX(ERP資料!$S:$S, (MATCH(773, 輔助計算!$G$2:$G$801, 0)+1)), ""), "")</f>
        <v/>
      </c>
      <c r="C774" s="19">
        <f>IFERROR(IF(AND(IFERROR(INDEX(ERP資料!$A:$A, (MATCH(773, 輔助計算!$G$2:$G$801, 0)+1)), "")&lt;&gt;"", IFERROR(INDEX(ERP資料!$A:$A, (MATCH(773, 輔助計算!$G$2:$G$801, 0)+1)), "")&lt;&gt;IFERROR(INDEX(ERP資料!$A:$A, MATCH(772, 輔助計算!$G$2:$G$801, 0)+1), "")), IFERROR(VLOOKUP(LEFT(INDEX(ERP資料!$S:$S, (MATCH(773, 輔助計算!$G$2:$G$801, 0)+1)), 4), 紙管對照表!$A:$C, 3, FALSE), ""), ""), "")</f>
        <v/>
      </c>
      <c r="D774" s="16" t="n"/>
      <c r="E774" s="10">
        <f>IFERROR(IF(INDEX(ERP資料!$H:$H, (MATCH(773, 輔助計算!$G$2:$G$801, 0)+1))="","",INDEX(ERP資料!$H:$H, (MATCH(773, 輔助計算!$G$2:$G$801, 0)+1))), "")</f>
        <v/>
      </c>
      <c r="F774" s="10">
        <f>IFERROR(IF(INDEX(ERP資料!$E:$E, (MATCH(773, 輔助計算!$G$2:$G$801, 0)+1))="","",TRIM(INDEX(ERP資料!$E:$E, (MATCH(773, 輔助計算!$G$2:$G$801, 0)+1)))), "")</f>
        <v/>
      </c>
      <c r="G774" s="10">
        <f>IFERROR(IF(INDEX(ERP資料!$F:$F, (MATCH(773, 輔助計算!$G$2:$G$801, 0)+1))="","",INDEX(ERP資料!$F:$F, (MATCH(773, 輔助計算!$G$2:$G$801, 0)+1))), "")</f>
        <v/>
      </c>
      <c r="H774" s="10">
        <f>IFERROR(IF(INDEX(ERP資料!$G:$G, (MATCH(773, 輔助計算!$G$2:$G$801, 0)+1))="","",INDEX(ERP資料!$G:$G, (MATCH(773, 輔助計算!$G$2:$G$801, 0)+1))), "")</f>
        <v/>
      </c>
      <c r="I774" s="15">
        <f>IFERROR(INDEX(輔助計算!$D:$D, (MATCH(773, 輔助計算!$G$2:$G$801, 0)+1)), "")</f>
        <v/>
      </c>
      <c r="J774" s="15">
        <f>IFERROR(IF(AND(INDEX(輔助計算!$D:$D, (MATCH(773, 輔助計算!$G$2:$G$801, 0)+1))&lt;&gt;"", INDEX(ERP資料!$G:$G, (MATCH(773, 輔助計算!$G$2:$G$801, 0)+1))&lt;&gt;""), TRIM(IF(INT(INDEX(輔助計算!$D:$D, (MATCH(773, 輔助計算!$G$2:$G$801, 0)+1))/IF(INDEX(ERP資料!$G:$G, (MATCH(773, 輔助計算!$G$2:$G$801, 0)+1))&lt;100, IF(INDEX(ERP資料!$G:$G, (MATCH(773, 輔助計算!$G$2:$G$801, 0)+1))&lt;=31,3,IF(INDEX(ERP資料!$G:$G, (MATCH(773, 輔助計算!$G$2:$G$801, 0)+1))&lt;=46.5,2,1)), IF(INDEX(ERP資料!$G:$G, (MATCH(773, 輔助計算!$G$2:$G$801, 0)+1))&lt;=790,3,IF(INDEX(ERP資料!$G:$G, (MATCH(773, 輔助計算!$G$2:$G$801, 0)+1))&lt;=1181,2,1))))&gt;0, IF(IF(INDEX(ERP資料!$G:$G, (MATCH(773, 輔助計算!$G$2:$G$801, 0)+1))&lt;100, IF(INDEX(ERP資料!$G:$G, (MATCH(773, 輔助計算!$G$2:$G$801, 0)+1))&lt;=31,3,IF(INDEX(ERP資料!$G:$G, (MATCH(773, 輔助計算!$G$2:$G$801, 0)+1))&lt;=46.5,2,1)), IF(INDEX(ERP資料!$G:$G, (MATCH(773, 輔助計算!$G$2:$G$801, 0)+1))&lt;=790,3,IF(INDEX(ERP資料!$G:$G, (MATCH(773, 輔助計算!$G$2:$G$801, 0)+1))&lt;=1181,2,1)))=1,TEXT(INDEX(ERP資料!$G:$G, (MATCH(773, 輔助計算!$G$2:$G$801, 0)+1)),"0.##"),IF(IF(INDEX(ERP資料!$G:$G, (MATCH(773, 輔助計算!$G$2:$G$801, 0)+1))&lt;100, IF(INDEX(ERP資料!$G:$G, (MATCH(773, 輔助計算!$G$2:$G$801, 0)+1))&lt;=31,3,IF(INDEX(ERP資料!$G:$G, (MATCH(773, 輔助計算!$G$2:$G$801, 0)+1))&lt;=46.5,2,1)), IF(INDEX(ERP資料!$G:$G, (MATCH(773, 輔助計算!$G$2:$G$801, 0)+1))&lt;=790,3,IF(INDEX(ERP資料!$G:$G, (MATCH(773, 輔助計算!$G$2:$G$801, 0)+1))&lt;=1181,2,1)))=2,TEXT(INDEX(ERP資料!$G:$G, (MATCH(773, 輔助計算!$G$2:$G$801, 0)+1)),"0.##")&amp;"+"&amp;TEXT(INDEX(ERP資料!$G:$G, (MATCH(773, 輔助計算!$G$2:$G$801, 0)+1)),"0.##"),TEXT(INDEX(ERP資料!$G:$G, (MATCH(773, 輔助計算!$G$2:$G$801, 0)+1)),"0.##")&amp;"+"&amp;TEXT(INDEX(ERP資料!$G:$G, (MATCH(773, 輔助計算!$G$2:$G$801, 0)+1)),"0.##")&amp;"+"&amp;TEXT(INDEX(ERP資料!$G:$G, (MATCH(773, 輔助計算!$G$2:$G$801, 0)+1)),"0.##")))&amp;"-"&amp;INT(INDEX(輔助計算!$D:$D, (MATCH(773, 輔助計算!$G$2:$G$801, 0)+1))/IF(INDEX(ERP資料!$G:$G, (MATCH(773, 輔助計算!$G$2:$G$801, 0)+1))&lt;100, IF(INDEX(ERP資料!$G:$G, (MATCH(773, 輔助計算!$G$2:$G$801, 0)+1))&lt;=31,3,IF(INDEX(ERP資料!$G:$G, (MATCH(773, 輔助計算!$G$2:$G$801, 0)+1))&lt;=46.5,2,1)), IF(INDEX(ERP資料!$G:$G, (MATCH(773, 輔助計算!$G$2:$G$801, 0)+1))&lt;=790,3,IF(INDEX(ERP資料!$G:$G, (MATCH(773, 輔助計算!$G$2:$G$801, 0)+1))&lt;=1181,2,1)))), "")&amp;IF(AND(IF(INT(INDEX(輔助計算!$D:$D, (MATCH(773, 輔助計算!$G$2:$G$801, 0)+1))/IF(INDEX(ERP資料!$G:$G, (MATCH(773, 輔助計算!$G$2:$G$801, 0)+1))&lt;100, IF(INDEX(ERP資料!$G:$G, (MATCH(773, 輔助計算!$G$2:$G$801, 0)+1))&lt;=31,3,IF(INDEX(ERP資料!$G:$G, (MATCH(773, 輔助計算!$G$2:$G$801, 0)+1))&lt;=46.5,2,1)), IF(INDEX(ERP資料!$G:$G, (MATCH(773, 輔助計算!$G$2:$G$801, 0)+1))&lt;=790,3,IF(INDEX(ERP資料!$G:$G, (MATCH(773, 輔助計算!$G$2:$G$801, 0)+1))&lt;=1181,2,1))))&gt;0, IF(IF(INDEX(ERP資料!$G:$G, (MATCH(773, 輔助計算!$G$2:$G$801, 0)+1))&lt;100, IF(INDEX(ERP資料!$G:$G, (MATCH(773, 輔助計算!$G$2:$G$801, 0)+1))&lt;=31,3,IF(INDEX(ERP資料!$G:$G, (MATCH(773, 輔助計算!$G$2:$G$801, 0)+1))&lt;=46.5,2,1)), IF(INDEX(ERP資料!$G:$G, (MATCH(773, 輔助計算!$G$2:$G$801, 0)+1))&lt;=790,3,IF(INDEX(ERP資料!$G:$G, (MATCH(773, 輔助計算!$G$2:$G$801, 0)+1))&lt;=1181,2,1)))=1,TEXT(INDEX(ERP資料!$G:$G, (MATCH(773, 輔助計算!$G$2:$G$801, 0)+1)),"0.##"),IF(IF(INDEX(ERP資料!$G:$G, (MATCH(773, 輔助計算!$G$2:$G$801, 0)+1))&lt;100, IF(INDEX(ERP資料!$G:$G, (MATCH(773, 輔助計算!$G$2:$G$801, 0)+1))&lt;=31,3,IF(INDEX(ERP資料!$G:$G, (MATCH(773, 輔助計算!$G$2:$G$801, 0)+1))&lt;=46.5,2,1)), IF(INDEX(ERP資料!$G:$G, (MATCH(773, 輔助計算!$G$2:$G$801, 0)+1))&lt;=790,3,IF(INDEX(ERP資料!$G:$G, (MATCH(773, 輔助計算!$G$2:$G$801, 0)+1))&lt;=1181,2,1)))=2,TEXT(INDEX(ERP資料!$G:$G, (MATCH(773, 輔助計算!$G$2:$G$801, 0)+1)),"0.##")&amp;"+"&amp;TEXT(INDEX(ERP資料!$G:$G, (MATCH(773, 輔助計算!$G$2:$G$801, 0)+1)),"0.##"),TEXT(INDEX(ERP資料!$G:$G, (MATCH(773, 輔助計算!$G$2:$G$801, 0)+1)),"0.##")&amp;"+"&amp;TEXT(INDEX(ERP資料!$G:$G, (MATCH(773, 輔助計算!$G$2:$G$801, 0)+1)),"0.##")&amp;"+"&amp;TEXT(INDEX(ERP資料!$G:$G, (MATCH(773, 輔助計算!$G$2:$G$801, 0)+1)),"0.##")))&amp;"-"&amp;INT(INDEX(輔助計算!$D:$D, (MATCH(773, 輔助計算!$G$2:$G$801, 0)+1))/IF(INDEX(ERP資料!$G:$G, (MATCH(773, 輔助計算!$G$2:$G$801, 0)+1))&lt;100, IF(INDEX(ERP資料!$G:$G, (MATCH(773, 輔助計算!$G$2:$G$801, 0)+1))&lt;=31,3,IF(INDEX(ERP資料!$G:$G, (MATCH(773, 輔助計算!$G$2:$G$801, 0)+1))&lt;=46.5,2,1)), IF(INDEX(ERP資料!$G:$G, (MATCH(773, 輔助計算!$G$2:$G$801, 0)+1))&lt;=790,3,IF(INDEX(ERP資料!$G:$G, (MATCH(773, 輔助計算!$G$2:$G$801, 0)+1))&lt;=1181,2,1)))), "")&lt;&gt;"",IF(MOD(INDEX(輔助計算!$D:$D, (MATCH(773, 輔助計算!$G$2:$G$801, 0)+1)),IF(INDEX(ERP資料!$G:$G, (MATCH(773, 輔助計算!$G$2:$G$801, 0)+1))&lt;100, IF(INDEX(ERP資料!$G:$G, (MATCH(773, 輔助計算!$G$2:$G$801, 0)+1))&lt;=31,3,IF(INDEX(ERP資料!$G:$G, (MATCH(773, 輔助計算!$G$2:$G$801, 0)+1))&lt;=46.5,2,1)), IF(INDEX(ERP資料!$G:$G, (MATCH(773, 輔助計算!$G$2:$G$801, 0)+1))&lt;=790,3,IF(INDEX(ERP資料!$G:$G, (MATCH(773, 輔助計算!$G$2:$G$801, 0)+1))&lt;=1181,2,1))))=0,"",IF(MOD(INDEX(輔助計算!$D:$D, (MATCH(773, 輔助計算!$G$2:$G$801, 0)+1)),IF(INDEX(ERP資料!$G:$G, (MATCH(773, 輔助計算!$G$2:$G$801, 0)+1))&lt;100, IF(INDEX(ERP資料!$G:$G, (MATCH(773, 輔助計算!$G$2:$G$801, 0)+1))&lt;=31,3,IF(INDEX(ERP資料!$G:$G, (MATCH(773, 輔助計算!$G$2:$G$801, 0)+1))&lt;=46.5,2,1)), IF(INDEX(ERP資料!$G:$G, (MATCH(773, 輔助計算!$G$2:$G$801, 0)+1))&lt;=790,3,IF(INDEX(ERP資料!$G:$G, (MATCH(773, 輔助計算!$G$2:$G$801, 0)+1))&lt;=1181,2,1))))=0,"",IF(MOD(INDEX(輔助計算!$D:$D, (MATCH(773, 輔助計算!$G$2:$G$801, 0)+1)),IF(INDEX(ERP資料!$G:$G, (MATCH(773, 輔助計算!$G$2:$G$801, 0)+1))&lt;100, IF(INDEX(ERP資料!$G:$G, (MATCH(773, 輔助計算!$G$2:$G$801, 0)+1))&lt;=31,3,IF(INDEX(ERP資料!$G:$G, (MATCH(773, 輔助計算!$G$2:$G$801, 0)+1))&lt;=46.5,2,1)), IF(INDEX(ERP資料!$G:$G, (MATCH(773, 輔助計算!$G$2:$G$801, 0)+1))&lt;=790,3,IF(INDEX(ERP資料!$G:$G, (MATCH(773, 輔助計算!$G$2:$G$801, 0)+1))&lt;=1181,2,1))))=1,TEXT(INDEX(ERP資料!$G:$G, (MATCH(773, 輔助計算!$G$2:$G$801, 0)+1)),"0.##"),IF(MOD(INDEX(輔助計算!$D:$D, (MATCH(773, 輔助計算!$G$2:$G$801, 0)+1)),IF(INDEX(ERP資料!$G:$G, (MATCH(773, 輔助計算!$G$2:$G$801, 0)+1))&lt;100, IF(INDEX(ERP資料!$G:$G, (MATCH(773, 輔助計算!$G$2:$G$801, 0)+1))&lt;=31,3,IF(INDEX(ERP資料!$G:$G, (MATCH(773, 輔助計算!$G$2:$G$801, 0)+1))&lt;=46.5,2,1)), IF(INDEX(ERP資料!$G:$G, (MATCH(773, 輔助計算!$G$2:$G$801, 0)+1))&lt;=790,3,IF(INDEX(ERP資料!$G:$G, (MATCH(773, 輔助計算!$G$2:$G$801, 0)+1))&lt;=1181,2,1))))=2,TEXT(INDEX(ERP資料!$G:$G, (MATCH(773, 輔助計算!$G$2:$G$801, 0)+1)),"0.##")&amp;"+"&amp;TEXT(INDEX(ERP資料!$G:$G, (MATCH(773, 輔助計算!$G$2:$G$801, 0)+1)),"0.##"),TEXT(INDEX(ERP資料!$G:$G, (MATCH(773, 輔助計算!$G$2:$G$801, 0)+1)),"0.##")&amp;"+"&amp;TEXT(INDEX(ERP資料!$G:$G, (MATCH(773, 輔助計算!$G$2:$G$801, 0)+1)),"0.##")&amp;"+"&amp;TEXT(INDEX(ERP資料!$G:$G, (MATCH(773, 輔助計算!$G$2:$G$801, 0)+1)),"0.##"))))&amp;"-1")&lt;&gt;""),"  ","")&amp;IF(MOD(INDEX(輔助計算!$D:$D, (MATCH(773, 輔助計算!$G$2:$G$801, 0)+1)),IF(INDEX(ERP資料!$G:$G, (MATCH(773, 輔助計算!$G$2:$G$801, 0)+1))&lt;100, IF(INDEX(ERP資料!$G:$G, (MATCH(773, 輔助計算!$G$2:$G$801, 0)+1))&lt;=31,3,IF(INDEX(ERP資料!$G:$G, (MATCH(773, 輔助計算!$G$2:$G$801, 0)+1))&lt;=46.5,2,1)), IF(INDEX(ERP資料!$G:$G, (MATCH(773, 輔助計算!$G$2:$G$801, 0)+1))&lt;=790,3,IF(INDEX(ERP資料!$G:$G, (MATCH(773, 輔助計算!$G$2:$G$801, 0)+1))&lt;=1181,2,1))))=0,"",IF(MOD(INDEX(輔助計算!$D:$D, (MATCH(773, 輔助計算!$G$2:$G$801, 0)+1)),IF(INDEX(ERP資料!$G:$G, (MATCH(773, 輔助計算!$G$2:$G$801, 0)+1))&lt;100, IF(INDEX(ERP資料!$G:$G, (MATCH(773, 輔助計算!$G$2:$G$801, 0)+1))&lt;=31,3,IF(INDEX(ERP資料!$G:$G, (MATCH(773, 輔助計算!$G$2:$G$801, 0)+1))&lt;=46.5,2,1)), IF(INDEX(ERP資料!$G:$G, (MATCH(773, 輔助計算!$G$2:$G$801, 0)+1))&lt;=790,3,IF(INDEX(ERP資料!$G:$G, (MATCH(773, 輔助計算!$G$2:$G$801, 0)+1))&lt;=1181,2,1))))=0,"",IF(MOD(INDEX(輔助計算!$D:$D, (MATCH(773, 輔助計算!$G$2:$G$801, 0)+1)),IF(INDEX(ERP資料!$G:$G, (MATCH(773, 輔助計算!$G$2:$G$801, 0)+1))&lt;100, IF(INDEX(ERP資料!$G:$G, (MATCH(773, 輔助計算!$G$2:$G$801, 0)+1))&lt;=31,3,IF(INDEX(ERP資料!$G:$G, (MATCH(773, 輔助計算!$G$2:$G$801, 0)+1))&lt;=46.5,2,1)), IF(INDEX(ERP資料!$G:$G, (MATCH(773, 輔助計算!$G$2:$G$801, 0)+1))&lt;=790,3,IF(INDEX(ERP資料!$G:$G, (MATCH(773, 輔助計算!$G$2:$G$801, 0)+1))&lt;=1181,2,1))))=1,TEXT(INDEX(ERP資料!$G:$G, (MATCH(773, 輔助計算!$G$2:$G$801, 0)+1)),"0.##"),IF(MOD(INDEX(輔助計算!$D:$D, (MATCH(773, 輔助計算!$G$2:$G$801, 0)+1)),IF(INDEX(ERP資料!$G:$G, (MATCH(773, 輔助計算!$G$2:$G$801, 0)+1))&lt;100, IF(INDEX(ERP資料!$G:$G, (MATCH(773, 輔助計算!$G$2:$G$801, 0)+1))&lt;=31,3,IF(INDEX(ERP資料!$G:$G, (MATCH(773, 輔助計算!$G$2:$G$801, 0)+1))&lt;=46.5,2,1)), IF(INDEX(ERP資料!$G:$G, (MATCH(773, 輔助計算!$G$2:$G$801, 0)+1))&lt;=790,3,IF(INDEX(ERP資料!$G:$G, (MATCH(773, 輔助計算!$G$2:$G$801, 0)+1))&lt;=1181,2,1))))=2,TEXT(INDEX(ERP資料!$G:$G, (MATCH(773, 輔助計算!$G$2:$G$801, 0)+1)),"0.##")&amp;"+"&amp;TEXT(INDEX(ERP資料!$G:$G, (MATCH(773, 輔助計算!$G$2:$G$801, 0)+1)),"0.##"),TEXT(INDEX(ERP資料!$G:$G, (MATCH(773, 輔助計算!$G$2:$G$801, 0)+1)),"0.##")&amp;"+"&amp;TEXT(INDEX(ERP資料!$G:$G, (MATCH(773, 輔助計算!$G$2:$G$801, 0)+1)),"0.##")&amp;"+"&amp;TEXT(INDEX(ERP資料!$G:$G, (MATCH(773, 輔助計算!$G$2:$G$801, 0)+1)),"0.##"))))&amp;"-1")), ""), "")</f>
        <v/>
      </c>
      <c r="K774" s="16" t="n"/>
      <c r="L774" s="14">
        <f>IFERROR(IF(AND(IFERROR(INDEX(ERP資料!$A:$A, (MATCH(773, 輔助計算!$G$2:$G$801, 0)+1)), "")&lt;&gt;"", IFERROR(INDEX(ERP資料!$A:$A, (MATCH(773, 輔助計算!$G$2:$G$801, 0)+1)), "")&lt;&gt;IFERROR(INDEX(ERP資料!$A:$A, MATCH(772, 輔助計算!$G$2:$G$801, 0)+1), "")), INDEX(ERP資料!$B:$B, (MATCH(773, 輔助計算!$G$2:$G$801, 0)+1)), ""), "")</f>
        <v/>
      </c>
      <c r="M774" s="17" t="n"/>
    </row>
    <row r="775">
      <c r="A775" s="10">
        <f>IFERROR(IF(AND(IFERROR(INDEX(ERP資料!$A:$A, (MATCH(774, 輔助計算!$G$2:$G$801, 0)+1)), "")&lt;&gt;"", IFERROR(INDEX(ERP資料!$A:$A, (MATCH(774, 輔助計算!$G$2:$G$801, 0)+1)), "")&lt;&gt;IFERROR(INDEX(ERP資料!$A:$A, MATCH(773, 輔助計算!$G$2:$G$801, 0)+1), "")), IFERROR(INDEX(ERP資料!$A:$A, (MATCH(774, 輔助計算!$G$2:$G$801, 0)+1)), ""), ""), "")</f>
        <v/>
      </c>
      <c r="B775" s="10">
        <f>IFERROR(IF(AND(IFERROR(INDEX(ERP資料!$A:$A, (MATCH(774, 輔助計算!$G$2:$G$801, 0)+1)), "")&lt;&gt;"", IFERROR(INDEX(ERP資料!$A:$A, (MATCH(774, 輔助計算!$G$2:$G$801, 0)+1)), "")&lt;&gt;IFERROR(INDEX(ERP資料!$A:$A, MATCH(773, 輔助計算!$G$2:$G$801, 0)+1), "")), INDEX(ERP資料!$S:$S, (MATCH(774, 輔助計算!$G$2:$G$801, 0)+1)), ""), "")</f>
        <v/>
      </c>
      <c r="C775" s="19">
        <f>IFERROR(IF(AND(IFERROR(INDEX(ERP資料!$A:$A, (MATCH(774, 輔助計算!$G$2:$G$801, 0)+1)), "")&lt;&gt;"", IFERROR(INDEX(ERP資料!$A:$A, (MATCH(774, 輔助計算!$G$2:$G$801, 0)+1)), "")&lt;&gt;IFERROR(INDEX(ERP資料!$A:$A, MATCH(773, 輔助計算!$G$2:$G$801, 0)+1), "")), IFERROR(VLOOKUP(LEFT(INDEX(ERP資料!$S:$S, (MATCH(774, 輔助計算!$G$2:$G$801, 0)+1)), 4), 紙管對照表!$A:$C, 3, FALSE), ""), ""), "")</f>
        <v/>
      </c>
      <c r="D775" s="16" t="n"/>
      <c r="E775" s="10">
        <f>IFERROR(IF(INDEX(ERP資料!$H:$H, (MATCH(774, 輔助計算!$G$2:$G$801, 0)+1))="","",INDEX(ERP資料!$H:$H, (MATCH(774, 輔助計算!$G$2:$G$801, 0)+1))), "")</f>
        <v/>
      </c>
      <c r="F775" s="10">
        <f>IFERROR(IF(INDEX(ERP資料!$E:$E, (MATCH(774, 輔助計算!$G$2:$G$801, 0)+1))="","",TRIM(INDEX(ERP資料!$E:$E, (MATCH(774, 輔助計算!$G$2:$G$801, 0)+1)))), "")</f>
        <v/>
      </c>
      <c r="G775" s="10">
        <f>IFERROR(IF(INDEX(ERP資料!$F:$F, (MATCH(774, 輔助計算!$G$2:$G$801, 0)+1))="","",INDEX(ERP資料!$F:$F, (MATCH(774, 輔助計算!$G$2:$G$801, 0)+1))), "")</f>
        <v/>
      </c>
      <c r="H775" s="10">
        <f>IFERROR(IF(INDEX(ERP資料!$G:$G, (MATCH(774, 輔助計算!$G$2:$G$801, 0)+1))="","",INDEX(ERP資料!$G:$G, (MATCH(774, 輔助計算!$G$2:$G$801, 0)+1))), "")</f>
        <v/>
      </c>
      <c r="I775" s="15">
        <f>IFERROR(INDEX(輔助計算!$D:$D, (MATCH(774, 輔助計算!$G$2:$G$801, 0)+1)), "")</f>
        <v/>
      </c>
      <c r="J775" s="15">
        <f>IFERROR(IF(AND(INDEX(輔助計算!$D:$D, (MATCH(774, 輔助計算!$G$2:$G$801, 0)+1))&lt;&gt;"", INDEX(ERP資料!$G:$G, (MATCH(774, 輔助計算!$G$2:$G$801, 0)+1))&lt;&gt;""), TRIM(IF(INT(INDEX(輔助計算!$D:$D, (MATCH(774, 輔助計算!$G$2:$G$801, 0)+1))/IF(INDEX(ERP資料!$G:$G, (MATCH(774, 輔助計算!$G$2:$G$801, 0)+1))&lt;100, IF(INDEX(ERP資料!$G:$G, (MATCH(774, 輔助計算!$G$2:$G$801, 0)+1))&lt;=31,3,IF(INDEX(ERP資料!$G:$G, (MATCH(774, 輔助計算!$G$2:$G$801, 0)+1))&lt;=46.5,2,1)), IF(INDEX(ERP資料!$G:$G, (MATCH(774, 輔助計算!$G$2:$G$801, 0)+1))&lt;=790,3,IF(INDEX(ERP資料!$G:$G, (MATCH(774, 輔助計算!$G$2:$G$801, 0)+1))&lt;=1181,2,1))))&gt;0, IF(IF(INDEX(ERP資料!$G:$G, (MATCH(774, 輔助計算!$G$2:$G$801, 0)+1))&lt;100, IF(INDEX(ERP資料!$G:$G, (MATCH(774, 輔助計算!$G$2:$G$801, 0)+1))&lt;=31,3,IF(INDEX(ERP資料!$G:$G, (MATCH(774, 輔助計算!$G$2:$G$801, 0)+1))&lt;=46.5,2,1)), IF(INDEX(ERP資料!$G:$G, (MATCH(774, 輔助計算!$G$2:$G$801, 0)+1))&lt;=790,3,IF(INDEX(ERP資料!$G:$G, (MATCH(774, 輔助計算!$G$2:$G$801, 0)+1))&lt;=1181,2,1)))=1,TEXT(INDEX(ERP資料!$G:$G, (MATCH(774, 輔助計算!$G$2:$G$801, 0)+1)),"0.##"),IF(IF(INDEX(ERP資料!$G:$G, (MATCH(774, 輔助計算!$G$2:$G$801, 0)+1))&lt;100, IF(INDEX(ERP資料!$G:$G, (MATCH(774, 輔助計算!$G$2:$G$801, 0)+1))&lt;=31,3,IF(INDEX(ERP資料!$G:$G, (MATCH(774, 輔助計算!$G$2:$G$801, 0)+1))&lt;=46.5,2,1)), IF(INDEX(ERP資料!$G:$G, (MATCH(774, 輔助計算!$G$2:$G$801, 0)+1))&lt;=790,3,IF(INDEX(ERP資料!$G:$G, (MATCH(774, 輔助計算!$G$2:$G$801, 0)+1))&lt;=1181,2,1)))=2,TEXT(INDEX(ERP資料!$G:$G, (MATCH(774, 輔助計算!$G$2:$G$801, 0)+1)),"0.##")&amp;"+"&amp;TEXT(INDEX(ERP資料!$G:$G, (MATCH(774, 輔助計算!$G$2:$G$801, 0)+1)),"0.##"),TEXT(INDEX(ERP資料!$G:$G, (MATCH(774, 輔助計算!$G$2:$G$801, 0)+1)),"0.##")&amp;"+"&amp;TEXT(INDEX(ERP資料!$G:$G, (MATCH(774, 輔助計算!$G$2:$G$801, 0)+1)),"0.##")&amp;"+"&amp;TEXT(INDEX(ERP資料!$G:$G, (MATCH(774, 輔助計算!$G$2:$G$801, 0)+1)),"0.##")))&amp;"-"&amp;INT(INDEX(輔助計算!$D:$D, (MATCH(774, 輔助計算!$G$2:$G$801, 0)+1))/IF(INDEX(ERP資料!$G:$G, (MATCH(774, 輔助計算!$G$2:$G$801, 0)+1))&lt;100, IF(INDEX(ERP資料!$G:$G, (MATCH(774, 輔助計算!$G$2:$G$801, 0)+1))&lt;=31,3,IF(INDEX(ERP資料!$G:$G, (MATCH(774, 輔助計算!$G$2:$G$801, 0)+1))&lt;=46.5,2,1)), IF(INDEX(ERP資料!$G:$G, (MATCH(774, 輔助計算!$G$2:$G$801, 0)+1))&lt;=790,3,IF(INDEX(ERP資料!$G:$G, (MATCH(774, 輔助計算!$G$2:$G$801, 0)+1))&lt;=1181,2,1)))), "")&amp;IF(AND(IF(INT(INDEX(輔助計算!$D:$D, (MATCH(774, 輔助計算!$G$2:$G$801, 0)+1))/IF(INDEX(ERP資料!$G:$G, (MATCH(774, 輔助計算!$G$2:$G$801, 0)+1))&lt;100, IF(INDEX(ERP資料!$G:$G, (MATCH(774, 輔助計算!$G$2:$G$801, 0)+1))&lt;=31,3,IF(INDEX(ERP資料!$G:$G, (MATCH(774, 輔助計算!$G$2:$G$801, 0)+1))&lt;=46.5,2,1)), IF(INDEX(ERP資料!$G:$G, (MATCH(774, 輔助計算!$G$2:$G$801, 0)+1))&lt;=790,3,IF(INDEX(ERP資料!$G:$G, (MATCH(774, 輔助計算!$G$2:$G$801, 0)+1))&lt;=1181,2,1))))&gt;0, IF(IF(INDEX(ERP資料!$G:$G, (MATCH(774, 輔助計算!$G$2:$G$801, 0)+1))&lt;100, IF(INDEX(ERP資料!$G:$G, (MATCH(774, 輔助計算!$G$2:$G$801, 0)+1))&lt;=31,3,IF(INDEX(ERP資料!$G:$G, (MATCH(774, 輔助計算!$G$2:$G$801, 0)+1))&lt;=46.5,2,1)), IF(INDEX(ERP資料!$G:$G, (MATCH(774, 輔助計算!$G$2:$G$801, 0)+1))&lt;=790,3,IF(INDEX(ERP資料!$G:$G, (MATCH(774, 輔助計算!$G$2:$G$801, 0)+1))&lt;=1181,2,1)))=1,TEXT(INDEX(ERP資料!$G:$G, (MATCH(774, 輔助計算!$G$2:$G$801, 0)+1)),"0.##"),IF(IF(INDEX(ERP資料!$G:$G, (MATCH(774, 輔助計算!$G$2:$G$801, 0)+1))&lt;100, IF(INDEX(ERP資料!$G:$G, (MATCH(774, 輔助計算!$G$2:$G$801, 0)+1))&lt;=31,3,IF(INDEX(ERP資料!$G:$G, (MATCH(774, 輔助計算!$G$2:$G$801, 0)+1))&lt;=46.5,2,1)), IF(INDEX(ERP資料!$G:$G, (MATCH(774, 輔助計算!$G$2:$G$801, 0)+1))&lt;=790,3,IF(INDEX(ERP資料!$G:$G, (MATCH(774, 輔助計算!$G$2:$G$801, 0)+1))&lt;=1181,2,1)))=2,TEXT(INDEX(ERP資料!$G:$G, (MATCH(774, 輔助計算!$G$2:$G$801, 0)+1)),"0.##")&amp;"+"&amp;TEXT(INDEX(ERP資料!$G:$G, (MATCH(774, 輔助計算!$G$2:$G$801, 0)+1)),"0.##"),TEXT(INDEX(ERP資料!$G:$G, (MATCH(774, 輔助計算!$G$2:$G$801, 0)+1)),"0.##")&amp;"+"&amp;TEXT(INDEX(ERP資料!$G:$G, (MATCH(774, 輔助計算!$G$2:$G$801, 0)+1)),"0.##")&amp;"+"&amp;TEXT(INDEX(ERP資料!$G:$G, (MATCH(774, 輔助計算!$G$2:$G$801, 0)+1)),"0.##")))&amp;"-"&amp;INT(INDEX(輔助計算!$D:$D, (MATCH(774, 輔助計算!$G$2:$G$801, 0)+1))/IF(INDEX(ERP資料!$G:$G, (MATCH(774, 輔助計算!$G$2:$G$801, 0)+1))&lt;100, IF(INDEX(ERP資料!$G:$G, (MATCH(774, 輔助計算!$G$2:$G$801, 0)+1))&lt;=31,3,IF(INDEX(ERP資料!$G:$G, (MATCH(774, 輔助計算!$G$2:$G$801, 0)+1))&lt;=46.5,2,1)), IF(INDEX(ERP資料!$G:$G, (MATCH(774, 輔助計算!$G$2:$G$801, 0)+1))&lt;=790,3,IF(INDEX(ERP資料!$G:$G, (MATCH(774, 輔助計算!$G$2:$G$801, 0)+1))&lt;=1181,2,1)))), "")&lt;&gt;"",IF(MOD(INDEX(輔助計算!$D:$D, (MATCH(774, 輔助計算!$G$2:$G$801, 0)+1)),IF(INDEX(ERP資料!$G:$G, (MATCH(774, 輔助計算!$G$2:$G$801, 0)+1))&lt;100, IF(INDEX(ERP資料!$G:$G, (MATCH(774, 輔助計算!$G$2:$G$801, 0)+1))&lt;=31,3,IF(INDEX(ERP資料!$G:$G, (MATCH(774, 輔助計算!$G$2:$G$801, 0)+1))&lt;=46.5,2,1)), IF(INDEX(ERP資料!$G:$G, (MATCH(774, 輔助計算!$G$2:$G$801, 0)+1))&lt;=790,3,IF(INDEX(ERP資料!$G:$G, (MATCH(774, 輔助計算!$G$2:$G$801, 0)+1))&lt;=1181,2,1))))=0,"",IF(MOD(INDEX(輔助計算!$D:$D, (MATCH(774, 輔助計算!$G$2:$G$801, 0)+1)),IF(INDEX(ERP資料!$G:$G, (MATCH(774, 輔助計算!$G$2:$G$801, 0)+1))&lt;100, IF(INDEX(ERP資料!$G:$G, (MATCH(774, 輔助計算!$G$2:$G$801, 0)+1))&lt;=31,3,IF(INDEX(ERP資料!$G:$G, (MATCH(774, 輔助計算!$G$2:$G$801, 0)+1))&lt;=46.5,2,1)), IF(INDEX(ERP資料!$G:$G, (MATCH(774, 輔助計算!$G$2:$G$801, 0)+1))&lt;=790,3,IF(INDEX(ERP資料!$G:$G, (MATCH(774, 輔助計算!$G$2:$G$801, 0)+1))&lt;=1181,2,1))))=0,"",IF(MOD(INDEX(輔助計算!$D:$D, (MATCH(774, 輔助計算!$G$2:$G$801, 0)+1)),IF(INDEX(ERP資料!$G:$G, (MATCH(774, 輔助計算!$G$2:$G$801, 0)+1))&lt;100, IF(INDEX(ERP資料!$G:$G, (MATCH(774, 輔助計算!$G$2:$G$801, 0)+1))&lt;=31,3,IF(INDEX(ERP資料!$G:$G, (MATCH(774, 輔助計算!$G$2:$G$801, 0)+1))&lt;=46.5,2,1)), IF(INDEX(ERP資料!$G:$G, (MATCH(774, 輔助計算!$G$2:$G$801, 0)+1))&lt;=790,3,IF(INDEX(ERP資料!$G:$G, (MATCH(774, 輔助計算!$G$2:$G$801, 0)+1))&lt;=1181,2,1))))=1,TEXT(INDEX(ERP資料!$G:$G, (MATCH(774, 輔助計算!$G$2:$G$801, 0)+1)),"0.##"),IF(MOD(INDEX(輔助計算!$D:$D, (MATCH(774, 輔助計算!$G$2:$G$801, 0)+1)),IF(INDEX(ERP資料!$G:$G, (MATCH(774, 輔助計算!$G$2:$G$801, 0)+1))&lt;100, IF(INDEX(ERP資料!$G:$G, (MATCH(774, 輔助計算!$G$2:$G$801, 0)+1))&lt;=31,3,IF(INDEX(ERP資料!$G:$G, (MATCH(774, 輔助計算!$G$2:$G$801, 0)+1))&lt;=46.5,2,1)), IF(INDEX(ERP資料!$G:$G, (MATCH(774, 輔助計算!$G$2:$G$801, 0)+1))&lt;=790,3,IF(INDEX(ERP資料!$G:$G, (MATCH(774, 輔助計算!$G$2:$G$801, 0)+1))&lt;=1181,2,1))))=2,TEXT(INDEX(ERP資料!$G:$G, (MATCH(774, 輔助計算!$G$2:$G$801, 0)+1)),"0.##")&amp;"+"&amp;TEXT(INDEX(ERP資料!$G:$G, (MATCH(774, 輔助計算!$G$2:$G$801, 0)+1)),"0.##"),TEXT(INDEX(ERP資料!$G:$G, (MATCH(774, 輔助計算!$G$2:$G$801, 0)+1)),"0.##")&amp;"+"&amp;TEXT(INDEX(ERP資料!$G:$G, (MATCH(774, 輔助計算!$G$2:$G$801, 0)+1)),"0.##")&amp;"+"&amp;TEXT(INDEX(ERP資料!$G:$G, (MATCH(774, 輔助計算!$G$2:$G$801, 0)+1)),"0.##"))))&amp;"-1")&lt;&gt;""),"  ","")&amp;IF(MOD(INDEX(輔助計算!$D:$D, (MATCH(774, 輔助計算!$G$2:$G$801, 0)+1)),IF(INDEX(ERP資料!$G:$G, (MATCH(774, 輔助計算!$G$2:$G$801, 0)+1))&lt;100, IF(INDEX(ERP資料!$G:$G, (MATCH(774, 輔助計算!$G$2:$G$801, 0)+1))&lt;=31,3,IF(INDEX(ERP資料!$G:$G, (MATCH(774, 輔助計算!$G$2:$G$801, 0)+1))&lt;=46.5,2,1)), IF(INDEX(ERP資料!$G:$G, (MATCH(774, 輔助計算!$G$2:$G$801, 0)+1))&lt;=790,3,IF(INDEX(ERP資料!$G:$G, (MATCH(774, 輔助計算!$G$2:$G$801, 0)+1))&lt;=1181,2,1))))=0,"",IF(MOD(INDEX(輔助計算!$D:$D, (MATCH(774, 輔助計算!$G$2:$G$801, 0)+1)),IF(INDEX(ERP資料!$G:$G, (MATCH(774, 輔助計算!$G$2:$G$801, 0)+1))&lt;100, IF(INDEX(ERP資料!$G:$G, (MATCH(774, 輔助計算!$G$2:$G$801, 0)+1))&lt;=31,3,IF(INDEX(ERP資料!$G:$G, (MATCH(774, 輔助計算!$G$2:$G$801, 0)+1))&lt;=46.5,2,1)), IF(INDEX(ERP資料!$G:$G, (MATCH(774, 輔助計算!$G$2:$G$801, 0)+1))&lt;=790,3,IF(INDEX(ERP資料!$G:$G, (MATCH(774, 輔助計算!$G$2:$G$801, 0)+1))&lt;=1181,2,1))))=0,"",IF(MOD(INDEX(輔助計算!$D:$D, (MATCH(774, 輔助計算!$G$2:$G$801, 0)+1)),IF(INDEX(ERP資料!$G:$G, (MATCH(774, 輔助計算!$G$2:$G$801, 0)+1))&lt;100, IF(INDEX(ERP資料!$G:$G, (MATCH(774, 輔助計算!$G$2:$G$801, 0)+1))&lt;=31,3,IF(INDEX(ERP資料!$G:$G, (MATCH(774, 輔助計算!$G$2:$G$801, 0)+1))&lt;=46.5,2,1)), IF(INDEX(ERP資料!$G:$G, (MATCH(774, 輔助計算!$G$2:$G$801, 0)+1))&lt;=790,3,IF(INDEX(ERP資料!$G:$G, (MATCH(774, 輔助計算!$G$2:$G$801, 0)+1))&lt;=1181,2,1))))=1,TEXT(INDEX(ERP資料!$G:$G, (MATCH(774, 輔助計算!$G$2:$G$801, 0)+1)),"0.##"),IF(MOD(INDEX(輔助計算!$D:$D, (MATCH(774, 輔助計算!$G$2:$G$801, 0)+1)),IF(INDEX(ERP資料!$G:$G, (MATCH(774, 輔助計算!$G$2:$G$801, 0)+1))&lt;100, IF(INDEX(ERP資料!$G:$G, (MATCH(774, 輔助計算!$G$2:$G$801, 0)+1))&lt;=31,3,IF(INDEX(ERP資料!$G:$G, (MATCH(774, 輔助計算!$G$2:$G$801, 0)+1))&lt;=46.5,2,1)), IF(INDEX(ERP資料!$G:$G, (MATCH(774, 輔助計算!$G$2:$G$801, 0)+1))&lt;=790,3,IF(INDEX(ERP資料!$G:$G, (MATCH(774, 輔助計算!$G$2:$G$801, 0)+1))&lt;=1181,2,1))))=2,TEXT(INDEX(ERP資料!$G:$G, (MATCH(774, 輔助計算!$G$2:$G$801, 0)+1)),"0.##")&amp;"+"&amp;TEXT(INDEX(ERP資料!$G:$G, (MATCH(774, 輔助計算!$G$2:$G$801, 0)+1)),"0.##"),TEXT(INDEX(ERP資料!$G:$G, (MATCH(774, 輔助計算!$G$2:$G$801, 0)+1)),"0.##")&amp;"+"&amp;TEXT(INDEX(ERP資料!$G:$G, (MATCH(774, 輔助計算!$G$2:$G$801, 0)+1)),"0.##")&amp;"+"&amp;TEXT(INDEX(ERP資料!$G:$G, (MATCH(774, 輔助計算!$G$2:$G$801, 0)+1)),"0.##"))))&amp;"-1")), ""), "")</f>
        <v/>
      </c>
      <c r="K775" s="16" t="n"/>
      <c r="L775" s="14">
        <f>IFERROR(IF(AND(IFERROR(INDEX(ERP資料!$A:$A, (MATCH(774, 輔助計算!$G$2:$G$801, 0)+1)), "")&lt;&gt;"", IFERROR(INDEX(ERP資料!$A:$A, (MATCH(774, 輔助計算!$G$2:$G$801, 0)+1)), "")&lt;&gt;IFERROR(INDEX(ERP資料!$A:$A, MATCH(773, 輔助計算!$G$2:$G$801, 0)+1), "")), INDEX(ERP資料!$B:$B, (MATCH(774, 輔助計算!$G$2:$G$801, 0)+1)), ""), "")</f>
        <v/>
      </c>
      <c r="M775" s="17" t="n"/>
    </row>
    <row r="776">
      <c r="A776" s="10">
        <f>IFERROR(IF(AND(IFERROR(INDEX(ERP資料!$A:$A, (MATCH(775, 輔助計算!$G$2:$G$801, 0)+1)), "")&lt;&gt;"", IFERROR(INDEX(ERP資料!$A:$A, (MATCH(775, 輔助計算!$G$2:$G$801, 0)+1)), "")&lt;&gt;IFERROR(INDEX(ERP資料!$A:$A, MATCH(774, 輔助計算!$G$2:$G$801, 0)+1), "")), IFERROR(INDEX(ERP資料!$A:$A, (MATCH(775, 輔助計算!$G$2:$G$801, 0)+1)), ""), ""), "")</f>
        <v/>
      </c>
      <c r="B776" s="10">
        <f>IFERROR(IF(AND(IFERROR(INDEX(ERP資料!$A:$A, (MATCH(775, 輔助計算!$G$2:$G$801, 0)+1)), "")&lt;&gt;"", IFERROR(INDEX(ERP資料!$A:$A, (MATCH(775, 輔助計算!$G$2:$G$801, 0)+1)), "")&lt;&gt;IFERROR(INDEX(ERP資料!$A:$A, MATCH(774, 輔助計算!$G$2:$G$801, 0)+1), "")), INDEX(ERP資料!$S:$S, (MATCH(775, 輔助計算!$G$2:$G$801, 0)+1)), ""), "")</f>
        <v/>
      </c>
      <c r="C776" s="19">
        <f>IFERROR(IF(AND(IFERROR(INDEX(ERP資料!$A:$A, (MATCH(775, 輔助計算!$G$2:$G$801, 0)+1)), "")&lt;&gt;"", IFERROR(INDEX(ERP資料!$A:$A, (MATCH(775, 輔助計算!$G$2:$G$801, 0)+1)), "")&lt;&gt;IFERROR(INDEX(ERP資料!$A:$A, MATCH(774, 輔助計算!$G$2:$G$801, 0)+1), "")), IFERROR(VLOOKUP(LEFT(INDEX(ERP資料!$S:$S, (MATCH(775, 輔助計算!$G$2:$G$801, 0)+1)), 4), 紙管對照表!$A:$C, 3, FALSE), ""), ""), "")</f>
        <v/>
      </c>
      <c r="D776" s="16" t="n"/>
      <c r="E776" s="10">
        <f>IFERROR(IF(INDEX(ERP資料!$H:$H, (MATCH(775, 輔助計算!$G$2:$G$801, 0)+1))="","",INDEX(ERP資料!$H:$H, (MATCH(775, 輔助計算!$G$2:$G$801, 0)+1))), "")</f>
        <v/>
      </c>
      <c r="F776" s="10">
        <f>IFERROR(IF(INDEX(ERP資料!$E:$E, (MATCH(775, 輔助計算!$G$2:$G$801, 0)+1))="","",TRIM(INDEX(ERP資料!$E:$E, (MATCH(775, 輔助計算!$G$2:$G$801, 0)+1)))), "")</f>
        <v/>
      </c>
      <c r="G776" s="10">
        <f>IFERROR(IF(INDEX(ERP資料!$F:$F, (MATCH(775, 輔助計算!$G$2:$G$801, 0)+1))="","",INDEX(ERP資料!$F:$F, (MATCH(775, 輔助計算!$G$2:$G$801, 0)+1))), "")</f>
        <v/>
      </c>
      <c r="H776" s="10">
        <f>IFERROR(IF(INDEX(ERP資料!$G:$G, (MATCH(775, 輔助計算!$G$2:$G$801, 0)+1))="","",INDEX(ERP資料!$G:$G, (MATCH(775, 輔助計算!$G$2:$G$801, 0)+1))), "")</f>
        <v/>
      </c>
      <c r="I776" s="15">
        <f>IFERROR(INDEX(輔助計算!$D:$D, (MATCH(775, 輔助計算!$G$2:$G$801, 0)+1)), "")</f>
        <v/>
      </c>
      <c r="J776" s="15">
        <f>IFERROR(IF(AND(INDEX(輔助計算!$D:$D, (MATCH(775, 輔助計算!$G$2:$G$801, 0)+1))&lt;&gt;"", INDEX(ERP資料!$G:$G, (MATCH(775, 輔助計算!$G$2:$G$801, 0)+1))&lt;&gt;""), TRIM(IF(INT(INDEX(輔助計算!$D:$D, (MATCH(775, 輔助計算!$G$2:$G$801, 0)+1))/IF(INDEX(ERP資料!$G:$G, (MATCH(775, 輔助計算!$G$2:$G$801, 0)+1))&lt;100, IF(INDEX(ERP資料!$G:$G, (MATCH(775, 輔助計算!$G$2:$G$801, 0)+1))&lt;=31,3,IF(INDEX(ERP資料!$G:$G, (MATCH(775, 輔助計算!$G$2:$G$801, 0)+1))&lt;=46.5,2,1)), IF(INDEX(ERP資料!$G:$G, (MATCH(775, 輔助計算!$G$2:$G$801, 0)+1))&lt;=790,3,IF(INDEX(ERP資料!$G:$G, (MATCH(775, 輔助計算!$G$2:$G$801, 0)+1))&lt;=1181,2,1))))&gt;0, IF(IF(INDEX(ERP資料!$G:$G, (MATCH(775, 輔助計算!$G$2:$G$801, 0)+1))&lt;100, IF(INDEX(ERP資料!$G:$G, (MATCH(775, 輔助計算!$G$2:$G$801, 0)+1))&lt;=31,3,IF(INDEX(ERP資料!$G:$G, (MATCH(775, 輔助計算!$G$2:$G$801, 0)+1))&lt;=46.5,2,1)), IF(INDEX(ERP資料!$G:$G, (MATCH(775, 輔助計算!$G$2:$G$801, 0)+1))&lt;=790,3,IF(INDEX(ERP資料!$G:$G, (MATCH(775, 輔助計算!$G$2:$G$801, 0)+1))&lt;=1181,2,1)))=1,TEXT(INDEX(ERP資料!$G:$G, (MATCH(775, 輔助計算!$G$2:$G$801, 0)+1)),"0.##"),IF(IF(INDEX(ERP資料!$G:$G, (MATCH(775, 輔助計算!$G$2:$G$801, 0)+1))&lt;100, IF(INDEX(ERP資料!$G:$G, (MATCH(775, 輔助計算!$G$2:$G$801, 0)+1))&lt;=31,3,IF(INDEX(ERP資料!$G:$G, (MATCH(775, 輔助計算!$G$2:$G$801, 0)+1))&lt;=46.5,2,1)), IF(INDEX(ERP資料!$G:$G, (MATCH(775, 輔助計算!$G$2:$G$801, 0)+1))&lt;=790,3,IF(INDEX(ERP資料!$G:$G, (MATCH(775, 輔助計算!$G$2:$G$801, 0)+1))&lt;=1181,2,1)))=2,TEXT(INDEX(ERP資料!$G:$G, (MATCH(775, 輔助計算!$G$2:$G$801, 0)+1)),"0.##")&amp;"+"&amp;TEXT(INDEX(ERP資料!$G:$G, (MATCH(775, 輔助計算!$G$2:$G$801, 0)+1)),"0.##"),TEXT(INDEX(ERP資料!$G:$G, (MATCH(775, 輔助計算!$G$2:$G$801, 0)+1)),"0.##")&amp;"+"&amp;TEXT(INDEX(ERP資料!$G:$G, (MATCH(775, 輔助計算!$G$2:$G$801, 0)+1)),"0.##")&amp;"+"&amp;TEXT(INDEX(ERP資料!$G:$G, (MATCH(775, 輔助計算!$G$2:$G$801, 0)+1)),"0.##")))&amp;"-"&amp;INT(INDEX(輔助計算!$D:$D, (MATCH(775, 輔助計算!$G$2:$G$801, 0)+1))/IF(INDEX(ERP資料!$G:$G, (MATCH(775, 輔助計算!$G$2:$G$801, 0)+1))&lt;100, IF(INDEX(ERP資料!$G:$G, (MATCH(775, 輔助計算!$G$2:$G$801, 0)+1))&lt;=31,3,IF(INDEX(ERP資料!$G:$G, (MATCH(775, 輔助計算!$G$2:$G$801, 0)+1))&lt;=46.5,2,1)), IF(INDEX(ERP資料!$G:$G, (MATCH(775, 輔助計算!$G$2:$G$801, 0)+1))&lt;=790,3,IF(INDEX(ERP資料!$G:$G, (MATCH(775, 輔助計算!$G$2:$G$801, 0)+1))&lt;=1181,2,1)))), "")&amp;IF(AND(IF(INT(INDEX(輔助計算!$D:$D, (MATCH(775, 輔助計算!$G$2:$G$801, 0)+1))/IF(INDEX(ERP資料!$G:$G, (MATCH(775, 輔助計算!$G$2:$G$801, 0)+1))&lt;100, IF(INDEX(ERP資料!$G:$G, (MATCH(775, 輔助計算!$G$2:$G$801, 0)+1))&lt;=31,3,IF(INDEX(ERP資料!$G:$G, (MATCH(775, 輔助計算!$G$2:$G$801, 0)+1))&lt;=46.5,2,1)), IF(INDEX(ERP資料!$G:$G, (MATCH(775, 輔助計算!$G$2:$G$801, 0)+1))&lt;=790,3,IF(INDEX(ERP資料!$G:$G, (MATCH(775, 輔助計算!$G$2:$G$801, 0)+1))&lt;=1181,2,1))))&gt;0, IF(IF(INDEX(ERP資料!$G:$G, (MATCH(775, 輔助計算!$G$2:$G$801, 0)+1))&lt;100, IF(INDEX(ERP資料!$G:$G, (MATCH(775, 輔助計算!$G$2:$G$801, 0)+1))&lt;=31,3,IF(INDEX(ERP資料!$G:$G, (MATCH(775, 輔助計算!$G$2:$G$801, 0)+1))&lt;=46.5,2,1)), IF(INDEX(ERP資料!$G:$G, (MATCH(775, 輔助計算!$G$2:$G$801, 0)+1))&lt;=790,3,IF(INDEX(ERP資料!$G:$G, (MATCH(775, 輔助計算!$G$2:$G$801, 0)+1))&lt;=1181,2,1)))=1,TEXT(INDEX(ERP資料!$G:$G, (MATCH(775, 輔助計算!$G$2:$G$801, 0)+1)),"0.##"),IF(IF(INDEX(ERP資料!$G:$G, (MATCH(775, 輔助計算!$G$2:$G$801, 0)+1))&lt;100, IF(INDEX(ERP資料!$G:$G, (MATCH(775, 輔助計算!$G$2:$G$801, 0)+1))&lt;=31,3,IF(INDEX(ERP資料!$G:$G, (MATCH(775, 輔助計算!$G$2:$G$801, 0)+1))&lt;=46.5,2,1)), IF(INDEX(ERP資料!$G:$G, (MATCH(775, 輔助計算!$G$2:$G$801, 0)+1))&lt;=790,3,IF(INDEX(ERP資料!$G:$G, (MATCH(775, 輔助計算!$G$2:$G$801, 0)+1))&lt;=1181,2,1)))=2,TEXT(INDEX(ERP資料!$G:$G, (MATCH(775, 輔助計算!$G$2:$G$801, 0)+1)),"0.##")&amp;"+"&amp;TEXT(INDEX(ERP資料!$G:$G, (MATCH(775, 輔助計算!$G$2:$G$801, 0)+1)),"0.##"),TEXT(INDEX(ERP資料!$G:$G, (MATCH(775, 輔助計算!$G$2:$G$801, 0)+1)),"0.##")&amp;"+"&amp;TEXT(INDEX(ERP資料!$G:$G, (MATCH(775, 輔助計算!$G$2:$G$801, 0)+1)),"0.##")&amp;"+"&amp;TEXT(INDEX(ERP資料!$G:$G, (MATCH(775, 輔助計算!$G$2:$G$801, 0)+1)),"0.##")))&amp;"-"&amp;INT(INDEX(輔助計算!$D:$D, (MATCH(775, 輔助計算!$G$2:$G$801, 0)+1))/IF(INDEX(ERP資料!$G:$G, (MATCH(775, 輔助計算!$G$2:$G$801, 0)+1))&lt;100, IF(INDEX(ERP資料!$G:$G, (MATCH(775, 輔助計算!$G$2:$G$801, 0)+1))&lt;=31,3,IF(INDEX(ERP資料!$G:$G, (MATCH(775, 輔助計算!$G$2:$G$801, 0)+1))&lt;=46.5,2,1)), IF(INDEX(ERP資料!$G:$G, (MATCH(775, 輔助計算!$G$2:$G$801, 0)+1))&lt;=790,3,IF(INDEX(ERP資料!$G:$G, (MATCH(775, 輔助計算!$G$2:$G$801, 0)+1))&lt;=1181,2,1)))), "")&lt;&gt;"",IF(MOD(INDEX(輔助計算!$D:$D, (MATCH(775, 輔助計算!$G$2:$G$801, 0)+1)),IF(INDEX(ERP資料!$G:$G, (MATCH(775, 輔助計算!$G$2:$G$801, 0)+1))&lt;100, IF(INDEX(ERP資料!$G:$G, (MATCH(775, 輔助計算!$G$2:$G$801, 0)+1))&lt;=31,3,IF(INDEX(ERP資料!$G:$G, (MATCH(775, 輔助計算!$G$2:$G$801, 0)+1))&lt;=46.5,2,1)), IF(INDEX(ERP資料!$G:$G, (MATCH(775, 輔助計算!$G$2:$G$801, 0)+1))&lt;=790,3,IF(INDEX(ERP資料!$G:$G, (MATCH(775, 輔助計算!$G$2:$G$801, 0)+1))&lt;=1181,2,1))))=0,"",IF(MOD(INDEX(輔助計算!$D:$D, (MATCH(775, 輔助計算!$G$2:$G$801, 0)+1)),IF(INDEX(ERP資料!$G:$G, (MATCH(775, 輔助計算!$G$2:$G$801, 0)+1))&lt;100, IF(INDEX(ERP資料!$G:$G, (MATCH(775, 輔助計算!$G$2:$G$801, 0)+1))&lt;=31,3,IF(INDEX(ERP資料!$G:$G, (MATCH(775, 輔助計算!$G$2:$G$801, 0)+1))&lt;=46.5,2,1)), IF(INDEX(ERP資料!$G:$G, (MATCH(775, 輔助計算!$G$2:$G$801, 0)+1))&lt;=790,3,IF(INDEX(ERP資料!$G:$G, (MATCH(775, 輔助計算!$G$2:$G$801, 0)+1))&lt;=1181,2,1))))=0,"",IF(MOD(INDEX(輔助計算!$D:$D, (MATCH(775, 輔助計算!$G$2:$G$801, 0)+1)),IF(INDEX(ERP資料!$G:$G, (MATCH(775, 輔助計算!$G$2:$G$801, 0)+1))&lt;100, IF(INDEX(ERP資料!$G:$G, (MATCH(775, 輔助計算!$G$2:$G$801, 0)+1))&lt;=31,3,IF(INDEX(ERP資料!$G:$G, (MATCH(775, 輔助計算!$G$2:$G$801, 0)+1))&lt;=46.5,2,1)), IF(INDEX(ERP資料!$G:$G, (MATCH(775, 輔助計算!$G$2:$G$801, 0)+1))&lt;=790,3,IF(INDEX(ERP資料!$G:$G, (MATCH(775, 輔助計算!$G$2:$G$801, 0)+1))&lt;=1181,2,1))))=1,TEXT(INDEX(ERP資料!$G:$G, (MATCH(775, 輔助計算!$G$2:$G$801, 0)+1)),"0.##"),IF(MOD(INDEX(輔助計算!$D:$D, (MATCH(775, 輔助計算!$G$2:$G$801, 0)+1)),IF(INDEX(ERP資料!$G:$G, (MATCH(775, 輔助計算!$G$2:$G$801, 0)+1))&lt;100, IF(INDEX(ERP資料!$G:$G, (MATCH(775, 輔助計算!$G$2:$G$801, 0)+1))&lt;=31,3,IF(INDEX(ERP資料!$G:$G, (MATCH(775, 輔助計算!$G$2:$G$801, 0)+1))&lt;=46.5,2,1)), IF(INDEX(ERP資料!$G:$G, (MATCH(775, 輔助計算!$G$2:$G$801, 0)+1))&lt;=790,3,IF(INDEX(ERP資料!$G:$G, (MATCH(775, 輔助計算!$G$2:$G$801, 0)+1))&lt;=1181,2,1))))=2,TEXT(INDEX(ERP資料!$G:$G, (MATCH(775, 輔助計算!$G$2:$G$801, 0)+1)),"0.##")&amp;"+"&amp;TEXT(INDEX(ERP資料!$G:$G, (MATCH(775, 輔助計算!$G$2:$G$801, 0)+1)),"0.##"),TEXT(INDEX(ERP資料!$G:$G, (MATCH(775, 輔助計算!$G$2:$G$801, 0)+1)),"0.##")&amp;"+"&amp;TEXT(INDEX(ERP資料!$G:$G, (MATCH(775, 輔助計算!$G$2:$G$801, 0)+1)),"0.##")&amp;"+"&amp;TEXT(INDEX(ERP資料!$G:$G, (MATCH(775, 輔助計算!$G$2:$G$801, 0)+1)),"0.##"))))&amp;"-1")&lt;&gt;""),"  ","")&amp;IF(MOD(INDEX(輔助計算!$D:$D, (MATCH(775, 輔助計算!$G$2:$G$801, 0)+1)),IF(INDEX(ERP資料!$G:$G, (MATCH(775, 輔助計算!$G$2:$G$801, 0)+1))&lt;100, IF(INDEX(ERP資料!$G:$G, (MATCH(775, 輔助計算!$G$2:$G$801, 0)+1))&lt;=31,3,IF(INDEX(ERP資料!$G:$G, (MATCH(775, 輔助計算!$G$2:$G$801, 0)+1))&lt;=46.5,2,1)), IF(INDEX(ERP資料!$G:$G, (MATCH(775, 輔助計算!$G$2:$G$801, 0)+1))&lt;=790,3,IF(INDEX(ERP資料!$G:$G, (MATCH(775, 輔助計算!$G$2:$G$801, 0)+1))&lt;=1181,2,1))))=0,"",IF(MOD(INDEX(輔助計算!$D:$D, (MATCH(775, 輔助計算!$G$2:$G$801, 0)+1)),IF(INDEX(ERP資料!$G:$G, (MATCH(775, 輔助計算!$G$2:$G$801, 0)+1))&lt;100, IF(INDEX(ERP資料!$G:$G, (MATCH(775, 輔助計算!$G$2:$G$801, 0)+1))&lt;=31,3,IF(INDEX(ERP資料!$G:$G, (MATCH(775, 輔助計算!$G$2:$G$801, 0)+1))&lt;=46.5,2,1)), IF(INDEX(ERP資料!$G:$G, (MATCH(775, 輔助計算!$G$2:$G$801, 0)+1))&lt;=790,3,IF(INDEX(ERP資料!$G:$G, (MATCH(775, 輔助計算!$G$2:$G$801, 0)+1))&lt;=1181,2,1))))=0,"",IF(MOD(INDEX(輔助計算!$D:$D, (MATCH(775, 輔助計算!$G$2:$G$801, 0)+1)),IF(INDEX(ERP資料!$G:$G, (MATCH(775, 輔助計算!$G$2:$G$801, 0)+1))&lt;100, IF(INDEX(ERP資料!$G:$G, (MATCH(775, 輔助計算!$G$2:$G$801, 0)+1))&lt;=31,3,IF(INDEX(ERP資料!$G:$G, (MATCH(775, 輔助計算!$G$2:$G$801, 0)+1))&lt;=46.5,2,1)), IF(INDEX(ERP資料!$G:$G, (MATCH(775, 輔助計算!$G$2:$G$801, 0)+1))&lt;=790,3,IF(INDEX(ERP資料!$G:$G, (MATCH(775, 輔助計算!$G$2:$G$801, 0)+1))&lt;=1181,2,1))))=1,TEXT(INDEX(ERP資料!$G:$G, (MATCH(775, 輔助計算!$G$2:$G$801, 0)+1)),"0.##"),IF(MOD(INDEX(輔助計算!$D:$D, (MATCH(775, 輔助計算!$G$2:$G$801, 0)+1)),IF(INDEX(ERP資料!$G:$G, (MATCH(775, 輔助計算!$G$2:$G$801, 0)+1))&lt;100, IF(INDEX(ERP資料!$G:$G, (MATCH(775, 輔助計算!$G$2:$G$801, 0)+1))&lt;=31,3,IF(INDEX(ERP資料!$G:$G, (MATCH(775, 輔助計算!$G$2:$G$801, 0)+1))&lt;=46.5,2,1)), IF(INDEX(ERP資料!$G:$G, (MATCH(775, 輔助計算!$G$2:$G$801, 0)+1))&lt;=790,3,IF(INDEX(ERP資料!$G:$G, (MATCH(775, 輔助計算!$G$2:$G$801, 0)+1))&lt;=1181,2,1))))=2,TEXT(INDEX(ERP資料!$G:$G, (MATCH(775, 輔助計算!$G$2:$G$801, 0)+1)),"0.##")&amp;"+"&amp;TEXT(INDEX(ERP資料!$G:$G, (MATCH(775, 輔助計算!$G$2:$G$801, 0)+1)),"0.##"),TEXT(INDEX(ERP資料!$G:$G, (MATCH(775, 輔助計算!$G$2:$G$801, 0)+1)),"0.##")&amp;"+"&amp;TEXT(INDEX(ERP資料!$G:$G, (MATCH(775, 輔助計算!$G$2:$G$801, 0)+1)),"0.##")&amp;"+"&amp;TEXT(INDEX(ERP資料!$G:$G, (MATCH(775, 輔助計算!$G$2:$G$801, 0)+1)),"0.##"))))&amp;"-1")), ""), "")</f>
        <v/>
      </c>
      <c r="K776" s="16" t="n"/>
      <c r="L776" s="14">
        <f>IFERROR(IF(AND(IFERROR(INDEX(ERP資料!$A:$A, (MATCH(775, 輔助計算!$G$2:$G$801, 0)+1)), "")&lt;&gt;"", IFERROR(INDEX(ERP資料!$A:$A, (MATCH(775, 輔助計算!$G$2:$G$801, 0)+1)), "")&lt;&gt;IFERROR(INDEX(ERP資料!$A:$A, MATCH(774, 輔助計算!$G$2:$G$801, 0)+1), "")), INDEX(ERP資料!$B:$B, (MATCH(775, 輔助計算!$G$2:$G$801, 0)+1)), ""), "")</f>
        <v/>
      </c>
      <c r="M776" s="17" t="n"/>
    </row>
    <row r="777">
      <c r="A777" s="10">
        <f>IFERROR(IF(AND(IFERROR(INDEX(ERP資料!$A:$A, (MATCH(776, 輔助計算!$G$2:$G$801, 0)+1)), "")&lt;&gt;"", IFERROR(INDEX(ERP資料!$A:$A, (MATCH(776, 輔助計算!$G$2:$G$801, 0)+1)), "")&lt;&gt;IFERROR(INDEX(ERP資料!$A:$A, MATCH(775, 輔助計算!$G$2:$G$801, 0)+1), "")), IFERROR(INDEX(ERP資料!$A:$A, (MATCH(776, 輔助計算!$G$2:$G$801, 0)+1)), ""), ""), "")</f>
        <v/>
      </c>
      <c r="B777" s="10">
        <f>IFERROR(IF(AND(IFERROR(INDEX(ERP資料!$A:$A, (MATCH(776, 輔助計算!$G$2:$G$801, 0)+1)), "")&lt;&gt;"", IFERROR(INDEX(ERP資料!$A:$A, (MATCH(776, 輔助計算!$G$2:$G$801, 0)+1)), "")&lt;&gt;IFERROR(INDEX(ERP資料!$A:$A, MATCH(775, 輔助計算!$G$2:$G$801, 0)+1), "")), INDEX(ERP資料!$S:$S, (MATCH(776, 輔助計算!$G$2:$G$801, 0)+1)), ""), "")</f>
        <v/>
      </c>
      <c r="C777" s="19">
        <f>IFERROR(IF(AND(IFERROR(INDEX(ERP資料!$A:$A, (MATCH(776, 輔助計算!$G$2:$G$801, 0)+1)), "")&lt;&gt;"", IFERROR(INDEX(ERP資料!$A:$A, (MATCH(776, 輔助計算!$G$2:$G$801, 0)+1)), "")&lt;&gt;IFERROR(INDEX(ERP資料!$A:$A, MATCH(775, 輔助計算!$G$2:$G$801, 0)+1), "")), IFERROR(VLOOKUP(LEFT(INDEX(ERP資料!$S:$S, (MATCH(776, 輔助計算!$G$2:$G$801, 0)+1)), 4), 紙管對照表!$A:$C, 3, FALSE), ""), ""), "")</f>
        <v/>
      </c>
      <c r="D777" s="16" t="n"/>
      <c r="E777" s="10">
        <f>IFERROR(IF(INDEX(ERP資料!$H:$H, (MATCH(776, 輔助計算!$G$2:$G$801, 0)+1))="","",INDEX(ERP資料!$H:$H, (MATCH(776, 輔助計算!$G$2:$G$801, 0)+1))), "")</f>
        <v/>
      </c>
      <c r="F777" s="10">
        <f>IFERROR(IF(INDEX(ERP資料!$E:$E, (MATCH(776, 輔助計算!$G$2:$G$801, 0)+1))="","",TRIM(INDEX(ERP資料!$E:$E, (MATCH(776, 輔助計算!$G$2:$G$801, 0)+1)))), "")</f>
        <v/>
      </c>
      <c r="G777" s="10">
        <f>IFERROR(IF(INDEX(ERP資料!$F:$F, (MATCH(776, 輔助計算!$G$2:$G$801, 0)+1))="","",INDEX(ERP資料!$F:$F, (MATCH(776, 輔助計算!$G$2:$G$801, 0)+1))), "")</f>
        <v/>
      </c>
      <c r="H777" s="10">
        <f>IFERROR(IF(INDEX(ERP資料!$G:$G, (MATCH(776, 輔助計算!$G$2:$G$801, 0)+1))="","",INDEX(ERP資料!$G:$G, (MATCH(776, 輔助計算!$G$2:$G$801, 0)+1))), "")</f>
        <v/>
      </c>
      <c r="I777" s="15">
        <f>IFERROR(INDEX(輔助計算!$D:$D, (MATCH(776, 輔助計算!$G$2:$G$801, 0)+1)), "")</f>
        <v/>
      </c>
      <c r="J777" s="15">
        <f>IFERROR(IF(AND(INDEX(輔助計算!$D:$D, (MATCH(776, 輔助計算!$G$2:$G$801, 0)+1))&lt;&gt;"", INDEX(ERP資料!$G:$G, (MATCH(776, 輔助計算!$G$2:$G$801, 0)+1))&lt;&gt;""), TRIM(IF(INT(INDEX(輔助計算!$D:$D, (MATCH(776, 輔助計算!$G$2:$G$801, 0)+1))/IF(INDEX(ERP資料!$G:$G, (MATCH(776, 輔助計算!$G$2:$G$801, 0)+1))&lt;100, IF(INDEX(ERP資料!$G:$G, (MATCH(776, 輔助計算!$G$2:$G$801, 0)+1))&lt;=31,3,IF(INDEX(ERP資料!$G:$G, (MATCH(776, 輔助計算!$G$2:$G$801, 0)+1))&lt;=46.5,2,1)), IF(INDEX(ERP資料!$G:$G, (MATCH(776, 輔助計算!$G$2:$G$801, 0)+1))&lt;=790,3,IF(INDEX(ERP資料!$G:$G, (MATCH(776, 輔助計算!$G$2:$G$801, 0)+1))&lt;=1181,2,1))))&gt;0, IF(IF(INDEX(ERP資料!$G:$G, (MATCH(776, 輔助計算!$G$2:$G$801, 0)+1))&lt;100, IF(INDEX(ERP資料!$G:$G, (MATCH(776, 輔助計算!$G$2:$G$801, 0)+1))&lt;=31,3,IF(INDEX(ERP資料!$G:$G, (MATCH(776, 輔助計算!$G$2:$G$801, 0)+1))&lt;=46.5,2,1)), IF(INDEX(ERP資料!$G:$G, (MATCH(776, 輔助計算!$G$2:$G$801, 0)+1))&lt;=790,3,IF(INDEX(ERP資料!$G:$G, (MATCH(776, 輔助計算!$G$2:$G$801, 0)+1))&lt;=1181,2,1)))=1,TEXT(INDEX(ERP資料!$G:$G, (MATCH(776, 輔助計算!$G$2:$G$801, 0)+1)),"0.##"),IF(IF(INDEX(ERP資料!$G:$G, (MATCH(776, 輔助計算!$G$2:$G$801, 0)+1))&lt;100, IF(INDEX(ERP資料!$G:$G, (MATCH(776, 輔助計算!$G$2:$G$801, 0)+1))&lt;=31,3,IF(INDEX(ERP資料!$G:$G, (MATCH(776, 輔助計算!$G$2:$G$801, 0)+1))&lt;=46.5,2,1)), IF(INDEX(ERP資料!$G:$G, (MATCH(776, 輔助計算!$G$2:$G$801, 0)+1))&lt;=790,3,IF(INDEX(ERP資料!$G:$G, (MATCH(776, 輔助計算!$G$2:$G$801, 0)+1))&lt;=1181,2,1)))=2,TEXT(INDEX(ERP資料!$G:$G, (MATCH(776, 輔助計算!$G$2:$G$801, 0)+1)),"0.##")&amp;"+"&amp;TEXT(INDEX(ERP資料!$G:$G, (MATCH(776, 輔助計算!$G$2:$G$801, 0)+1)),"0.##"),TEXT(INDEX(ERP資料!$G:$G, (MATCH(776, 輔助計算!$G$2:$G$801, 0)+1)),"0.##")&amp;"+"&amp;TEXT(INDEX(ERP資料!$G:$G, (MATCH(776, 輔助計算!$G$2:$G$801, 0)+1)),"0.##")&amp;"+"&amp;TEXT(INDEX(ERP資料!$G:$G, (MATCH(776, 輔助計算!$G$2:$G$801, 0)+1)),"0.##")))&amp;"-"&amp;INT(INDEX(輔助計算!$D:$D, (MATCH(776, 輔助計算!$G$2:$G$801, 0)+1))/IF(INDEX(ERP資料!$G:$G, (MATCH(776, 輔助計算!$G$2:$G$801, 0)+1))&lt;100, IF(INDEX(ERP資料!$G:$G, (MATCH(776, 輔助計算!$G$2:$G$801, 0)+1))&lt;=31,3,IF(INDEX(ERP資料!$G:$G, (MATCH(776, 輔助計算!$G$2:$G$801, 0)+1))&lt;=46.5,2,1)), IF(INDEX(ERP資料!$G:$G, (MATCH(776, 輔助計算!$G$2:$G$801, 0)+1))&lt;=790,3,IF(INDEX(ERP資料!$G:$G, (MATCH(776, 輔助計算!$G$2:$G$801, 0)+1))&lt;=1181,2,1)))), "")&amp;IF(AND(IF(INT(INDEX(輔助計算!$D:$D, (MATCH(776, 輔助計算!$G$2:$G$801, 0)+1))/IF(INDEX(ERP資料!$G:$G, (MATCH(776, 輔助計算!$G$2:$G$801, 0)+1))&lt;100, IF(INDEX(ERP資料!$G:$G, (MATCH(776, 輔助計算!$G$2:$G$801, 0)+1))&lt;=31,3,IF(INDEX(ERP資料!$G:$G, (MATCH(776, 輔助計算!$G$2:$G$801, 0)+1))&lt;=46.5,2,1)), IF(INDEX(ERP資料!$G:$G, (MATCH(776, 輔助計算!$G$2:$G$801, 0)+1))&lt;=790,3,IF(INDEX(ERP資料!$G:$G, (MATCH(776, 輔助計算!$G$2:$G$801, 0)+1))&lt;=1181,2,1))))&gt;0, IF(IF(INDEX(ERP資料!$G:$G, (MATCH(776, 輔助計算!$G$2:$G$801, 0)+1))&lt;100, IF(INDEX(ERP資料!$G:$G, (MATCH(776, 輔助計算!$G$2:$G$801, 0)+1))&lt;=31,3,IF(INDEX(ERP資料!$G:$G, (MATCH(776, 輔助計算!$G$2:$G$801, 0)+1))&lt;=46.5,2,1)), IF(INDEX(ERP資料!$G:$G, (MATCH(776, 輔助計算!$G$2:$G$801, 0)+1))&lt;=790,3,IF(INDEX(ERP資料!$G:$G, (MATCH(776, 輔助計算!$G$2:$G$801, 0)+1))&lt;=1181,2,1)))=1,TEXT(INDEX(ERP資料!$G:$G, (MATCH(776, 輔助計算!$G$2:$G$801, 0)+1)),"0.##"),IF(IF(INDEX(ERP資料!$G:$G, (MATCH(776, 輔助計算!$G$2:$G$801, 0)+1))&lt;100, IF(INDEX(ERP資料!$G:$G, (MATCH(776, 輔助計算!$G$2:$G$801, 0)+1))&lt;=31,3,IF(INDEX(ERP資料!$G:$G, (MATCH(776, 輔助計算!$G$2:$G$801, 0)+1))&lt;=46.5,2,1)), IF(INDEX(ERP資料!$G:$G, (MATCH(776, 輔助計算!$G$2:$G$801, 0)+1))&lt;=790,3,IF(INDEX(ERP資料!$G:$G, (MATCH(776, 輔助計算!$G$2:$G$801, 0)+1))&lt;=1181,2,1)))=2,TEXT(INDEX(ERP資料!$G:$G, (MATCH(776, 輔助計算!$G$2:$G$801, 0)+1)),"0.##")&amp;"+"&amp;TEXT(INDEX(ERP資料!$G:$G, (MATCH(776, 輔助計算!$G$2:$G$801, 0)+1)),"0.##"),TEXT(INDEX(ERP資料!$G:$G, (MATCH(776, 輔助計算!$G$2:$G$801, 0)+1)),"0.##")&amp;"+"&amp;TEXT(INDEX(ERP資料!$G:$G, (MATCH(776, 輔助計算!$G$2:$G$801, 0)+1)),"0.##")&amp;"+"&amp;TEXT(INDEX(ERP資料!$G:$G, (MATCH(776, 輔助計算!$G$2:$G$801, 0)+1)),"0.##")))&amp;"-"&amp;INT(INDEX(輔助計算!$D:$D, (MATCH(776, 輔助計算!$G$2:$G$801, 0)+1))/IF(INDEX(ERP資料!$G:$G, (MATCH(776, 輔助計算!$G$2:$G$801, 0)+1))&lt;100, IF(INDEX(ERP資料!$G:$G, (MATCH(776, 輔助計算!$G$2:$G$801, 0)+1))&lt;=31,3,IF(INDEX(ERP資料!$G:$G, (MATCH(776, 輔助計算!$G$2:$G$801, 0)+1))&lt;=46.5,2,1)), IF(INDEX(ERP資料!$G:$G, (MATCH(776, 輔助計算!$G$2:$G$801, 0)+1))&lt;=790,3,IF(INDEX(ERP資料!$G:$G, (MATCH(776, 輔助計算!$G$2:$G$801, 0)+1))&lt;=1181,2,1)))), "")&lt;&gt;"",IF(MOD(INDEX(輔助計算!$D:$D, (MATCH(776, 輔助計算!$G$2:$G$801, 0)+1)),IF(INDEX(ERP資料!$G:$G, (MATCH(776, 輔助計算!$G$2:$G$801, 0)+1))&lt;100, IF(INDEX(ERP資料!$G:$G, (MATCH(776, 輔助計算!$G$2:$G$801, 0)+1))&lt;=31,3,IF(INDEX(ERP資料!$G:$G, (MATCH(776, 輔助計算!$G$2:$G$801, 0)+1))&lt;=46.5,2,1)), IF(INDEX(ERP資料!$G:$G, (MATCH(776, 輔助計算!$G$2:$G$801, 0)+1))&lt;=790,3,IF(INDEX(ERP資料!$G:$G, (MATCH(776, 輔助計算!$G$2:$G$801, 0)+1))&lt;=1181,2,1))))=0,"",IF(MOD(INDEX(輔助計算!$D:$D, (MATCH(776, 輔助計算!$G$2:$G$801, 0)+1)),IF(INDEX(ERP資料!$G:$G, (MATCH(776, 輔助計算!$G$2:$G$801, 0)+1))&lt;100, IF(INDEX(ERP資料!$G:$G, (MATCH(776, 輔助計算!$G$2:$G$801, 0)+1))&lt;=31,3,IF(INDEX(ERP資料!$G:$G, (MATCH(776, 輔助計算!$G$2:$G$801, 0)+1))&lt;=46.5,2,1)), IF(INDEX(ERP資料!$G:$G, (MATCH(776, 輔助計算!$G$2:$G$801, 0)+1))&lt;=790,3,IF(INDEX(ERP資料!$G:$G, (MATCH(776, 輔助計算!$G$2:$G$801, 0)+1))&lt;=1181,2,1))))=0,"",IF(MOD(INDEX(輔助計算!$D:$D, (MATCH(776, 輔助計算!$G$2:$G$801, 0)+1)),IF(INDEX(ERP資料!$G:$G, (MATCH(776, 輔助計算!$G$2:$G$801, 0)+1))&lt;100, IF(INDEX(ERP資料!$G:$G, (MATCH(776, 輔助計算!$G$2:$G$801, 0)+1))&lt;=31,3,IF(INDEX(ERP資料!$G:$G, (MATCH(776, 輔助計算!$G$2:$G$801, 0)+1))&lt;=46.5,2,1)), IF(INDEX(ERP資料!$G:$G, (MATCH(776, 輔助計算!$G$2:$G$801, 0)+1))&lt;=790,3,IF(INDEX(ERP資料!$G:$G, (MATCH(776, 輔助計算!$G$2:$G$801, 0)+1))&lt;=1181,2,1))))=1,TEXT(INDEX(ERP資料!$G:$G, (MATCH(776, 輔助計算!$G$2:$G$801, 0)+1)),"0.##"),IF(MOD(INDEX(輔助計算!$D:$D, (MATCH(776, 輔助計算!$G$2:$G$801, 0)+1)),IF(INDEX(ERP資料!$G:$G, (MATCH(776, 輔助計算!$G$2:$G$801, 0)+1))&lt;100, IF(INDEX(ERP資料!$G:$G, (MATCH(776, 輔助計算!$G$2:$G$801, 0)+1))&lt;=31,3,IF(INDEX(ERP資料!$G:$G, (MATCH(776, 輔助計算!$G$2:$G$801, 0)+1))&lt;=46.5,2,1)), IF(INDEX(ERP資料!$G:$G, (MATCH(776, 輔助計算!$G$2:$G$801, 0)+1))&lt;=790,3,IF(INDEX(ERP資料!$G:$G, (MATCH(776, 輔助計算!$G$2:$G$801, 0)+1))&lt;=1181,2,1))))=2,TEXT(INDEX(ERP資料!$G:$G, (MATCH(776, 輔助計算!$G$2:$G$801, 0)+1)),"0.##")&amp;"+"&amp;TEXT(INDEX(ERP資料!$G:$G, (MATCH(776, 輔助計算!$G$2:$G$801, 0)+1)),"0.##"),TEXT(INDEX(ERP資料!$G:$G, (MATCH(776, 輔助計算!$G$2:$G$801, 0)+1)),"0.##")&amp;"+"&amp;TEXT(INDEX(ERP資料!$G:$G, (MATCH(776, 輔助計算!$G$2:$G$801, 0)+1)),"0.##")&amp;"+"&amp;TEXT(INDEX(ERP資料!$G:$G, (MATCH(776, 輔助計算!$G$2:$G$801, 0)+1)),"0.##"))))&amp;"-1")&lt;&gt;""),"  ","")&amp;IF(MOD(INDEX(輔助計算!$D:$D, (MATCH(776, 輔助計算!$G$2:$G$801, 0)+1)),IF(INDEX(ERP資料!$G:$G, (MATCH(776, 輔助計算!$G$2:$G$801, 0)+1))&lt;100, IF(INDEX(ERP資料!$G:$G, (MATCH(776, 輔助計算!$G$2:$G$801, 0)+1))&lt;=31,3,IF(INDEX(ERP資料!$G:$G, (MATCH(776, 輔助計算!$G$2:$G$801, 0)+1))&lt;=46.5,2,1)), IF(INDEX(ERP資料!$G:$G, (MATCH(776, 輔助計算!$G$2:$G$801, 0)+1))&lt;=790,3,IF(INDEX(ERP資料!$G:$G, (MATCH(776, 輔助計算!$G$2:$G$801, 0)+1))&lt;=1181,2,1))))=0,"",IF(MOD(INDEX(輔助計算!$D:$D, (MATCH(776, 輔助計算!$G$2:$G$801, 0)+1)),IF(INDEX(ERP資料!$G:$G, (MATCH(776, 輔助計算!$G$2:$G$801, 0)+1))&lt;100, IF(INDEX(ERP資料!$G:$G, (MATCH(776, 輔助計算!$G$2:$G$801, 0)+1))&lt;=31,3,IF(INDEX(ERP資料!$G:$G, (MATCH(776, 輔助計算!$G$2:$G$801, 0)+1))&lt;=46.5,2,1)), IF(INDEX(ERP資料!$G:$G, (MATCH(776, 輔助計算!$G$2:$G$801, 0)+1))&lt;=790,3,IF(INDEX(ERP資料!$G:$G, (MATCH(776, 輔助計算!$G$2:$G$801, 0)+1))&lt;=1181,2,1))))=0,"",IF(MOD(INDEX(輔助計算!$D:$D, (MATCH(776, 輔助計算!$G$2:$G$801, 0)+1)),IF(INDEX(ERP資料!$G:$G, (MATCH(776, 輔助計算!$G$2:$G$801, 0)+1))&lt;100, IF(INDEX(ERP資料!$G:$G, (MATCH(776, 輔助計算!$G$2:$G$801, 0)+1))&lt;=31,3,IF(INDEX(ERP資料!$G:$G, (MATCH(776, 輔助計算!$G$2:$G$801, 0)+1))&lt;=46.5,2,1)), IF(INDEX(ERP資料!$G:$G, (MATCH(776, 輔助計算!$G$2:$G$801, 0)+1))&lt;=790,3,IF(INDEX(ERP資料!$G:$G, (MATCH(776, 輔助計算!$G$2:$G$801, 0)+1))&lt;=1181,2,1))))=1,TEXT(INDEX(ERP資料!$G:$G, (MATCH(776, 輔助計算!$G$2:$G$801, 0)+1)),"0.##"),IF(MOD(INDEX(輔助計算!$D:$D, (MATCH(776, 輔助計算!$G$2:$G$801, 0)+1)),IF(INDEX(ERP資料!$G:$G, (MATCH(776, 輔助計算!$G$2:$G$801, 0)+1))&lt;100, IF(INDEX(ERP資料!$G:$G, (MATCH(776, 輔助計算!$G$2:$G$801, 0)+1))&lt;=31,3,IF(INDEX(ERP資料!$G:$G, (MATCH(776, 輔助計算!$G$2:$G$801, 0)+1))&lt;=46.5,2,1)), IF(INDEX(ERP資料!$G:$G, (MATCH(776, 輔助計算!$G$2:$G$801, 0)+1))&lt;=790,3,IF(INDEX(ERP資料!$G:$G, (MATCH(776, 輔助計算!$G$2:$G$801, 0)+1))&lt;=1181,2,1))))=2,TEXT(INDEX(ERP資料!$G:$G, (MATCH(776, 輔助計算!$G$2:$G$801, 0)+1)),"0.##")&amp;"+"&amp;TEXT(INDEX(ERP資料!$G:$G, (MATCH(776, 輔助計算!$G$2:$G$801, 0)+1)),"0.##"),TEXT(INDEX(ERP資料!$G:$G, (MATCH(776, 輔助計算!$G$2:$G$801, 0)+1)),"0.##")&amp;"+"&amp;TEXT(INDEX(ERP資料!$G:$G, (MATCH(776, 輔助計算!$G$2:$G$801, 0)+1)),"0.##")&amp;"+"&amp;TEXT(INDEX(ERP資料!$G:$G, (MATCH(776, 輔助計算!$G$2:$G$801, 0)+1)),"0.##"))))&amp;"-1")), ""), "")</f>
        <v/>
      </c>
      <c r="K777" s="16" t="n"/>
      <c r="L777" s="14">
        <f>IFERROR(IF(AND(IFERROR(INDEX(ERP資料!$A:$A, (MATCH(776, 輔助計算!$G$2:$G$801, 0)+1)), "")&lt;&gt;"", IFERROR(INDEX(ERP資料!$A:$A, (MATCH(776, 輔助計算!$G$2:$G$801, 0)+1)), "")&lt;&gt;IFERROR(INDEX(ERP資料!$A:$A, MATCH(775, 輔助計算!$G$2:$G$801, 0)+1), "")), INDEX(ERP資料!$B:$B, (MATCH(776, 輔助計算!$G$2:$G$801, 0)+1)), ""), "")</f>
        <v/>
      </c>
      <c r="M777" s="17" t="n"/>
    </row>
    <row r="778">
      <c r="A778" s="10">
        <f>IFERROR(IF(AND(IFERROR(INDEX(ERP資料!$A:$A, (MATCH(777, 輔助計算!$G$2:$G$801, 0)+1)), "")&lt;&gt;"", IFERROR(INDEX(ERP資料!$A:$A, (MATCH(777, 輔助計算!$G$2:$G$801, 0)+1)), "")&lt;&gt;IFERROR(INDEX(ERP資料!$A:$A, MATCH(776, 輔助計算!$G$2:$G$801, 0)+1), "")), IFERROR(INDEX(ERP資料!$A:$A, (MATCH(777, 輔助計算!$G$2:$G$801, 0)+1)), ""), ""), "")</f>
        <v/>
      </c>
      <c r="B778" s="10">
        <f>IFERROR(IF(AND(IFERROR(INDEX(ERP資料!$A:$A, (MATCH(777, 輔助計算!$G$2:$G$801, 0)+1)), "")&lt;&gt;"", IFERROR(INDEX(ERP資料!$A:$A, (MATCH(777, 輔助計算!$G$2:$G$801, 0)+1)), "")&lt;&gt;IFERROR(INDEX(ERP資料!$A:$A, MATCH(776, 輔助計算!$G$2:$G$801, 0)+1), "")), INDEX(ERP資料!$S:$S, (MATCH(777, 輔助計算!$G$2:$G$801, 0)+1)), ""), "")</f>
        <v/>
      </c>
      <c r="C778" s="19">
        <f>IFERROR(IF(AND(IFERROR(INDEX(ERP資料!$A:$A, (MATCH(777, 輔助計算!$G$2:$G$801, 0)+1)), "")&lt;&gt;"", IFERROR(INDEX(ERP資料!$A:$A, (MATCH(777, 輔助計算!$G$2:$G$801, 0)+1)), "")&lt;&gt;IFERROR(INDEX(ERP資料!$A:$A, MATCH(776, 輔助計算!$G$2:$G$801, 0)+1), "")), IFERROR(VLOOKUP(LEFT(INDEX(ERP資料!$S:$S, (MATCH(777, 輔助計算!$G$2:$G$801, 0)+1)), 4), 紙管對照表!$A:$C, 3, FALSE), ""), ""), "")</f>
        <v/>
      </c>
      <c r="D778" s="16" t="n"/>
      <c r="E778" s="10">
        <f>IFERROR(IF(INDEX(ERP資料!$H:$H, (MATCH(777, 輔助計算!$G$2:$G$801, 0)+1))="","",INDEX(ERP資料!$H:$H, (MATCH(777, 輔助計算!$G$2:$G$801, 0)+1))), "")</f>
        <v/>
      </c>
      <c r="F778" s="10">
        <f>IFERROR(IF(INDEX(ERP資料!$E:$E, (MATCH(777, 輔助計算!$G$2:$G$801, 0)+1))="","",TRIM(INDEX(ERP資料!$E:$E, (MATCH(777, 輔助計算!$G$2:$G$801, 0)+1)))), "")</f>
        <v/>
      </c>
      <c r="G778" s="10">
        <f>IFERROR(IF(INDEX(ERP資料!$F:$F, (MATCH(777, 輔助計算!$G$2:$G$801, 0)+1))="","",INDEX(ERP資料!$F:$F, (MATCH(777, 輔助計算!$G$2:$G$801, 0)+1))), "")</f>
        <v/>
      </c>
      <c r="H778" s="10">
        <f>IFERROR(IF(INDEX(ERP資料!$G:$G, (MATCH(777, 輔助計算!$G$2:$G$801, 0)+1))="","",INDEX(ERP資料!$G:$G, (MATCH(777, 輔助計算!$G$2:$G$801, 0)+1))), "")</f>
        <v/>
      </c>
      <c r="I778" s="15">
        <f>IFERROR(INDEX(輔助計算!$D:$D, (MATCH(777, 輔助計算!$G$2:$G$801, 0)+1)), "")</f>
        <v/>
      </c>
      <c r="J778" s="15">
        <f>IFERROR(IF(AND(INDEX(輔助計算!$D:$D, (MATCH(777, 輔助計算!$G$2:$G$801, 0)+1))&lt;&gt;"", INDEX(ERP資料!$G:$G, (MATCH(777, 輔助計算!$G$2:$G$801, 0)+1))&lt;&gt;""), TRIM(IF(INT(INDEX(輔助計算!$D:$D, (MATCH(777, 輔助計算!$G$2:$G$801, 0)+1))/IF(INDEX(ERP資料!$G:$G, (MATCH(777, 輔助計算!$G$2:$G$801, 0)+1))&lt;100, IF(INDEX(ERP資料!$G:$G, (MATCH(777, 輔助計算!$G$2:$G$801, 0)+1))&lt;=31,3,IF(INDEX(ERP資料!$G:$G, (MATCH(777, 輔助計算!$G$2:$G$801, 0)+1))&lt;=46.5,2,1)), IF(INDEX(ERP資料!$G:$G, (MATCH(777, 輔助計算!$G$2:$G$801, 0)+1))&lt;=790,3,IF(INDEX(ERP資料!$G:$G, (MATCH(777, 輔助計算!$G$2:$G$801, 0)+1))&lt;=1181,2,1))))&gt;0, IF(IF(INDEX(ERP資料!$G:$G, (MATCH(777, 輔助計算!$G$2:$G$801, 0)+1))&lt;100, IF(INDEX(ERP資料!$G:$G, (MATCH(777, 輔助計算!$G$2:$G$801, 0)+1))&lt;=31,3,IF(INDEX(ERP資料!$G:$G, (MATCH(777, 輔助計算!$G$2:$G$801, 0)+1))&lt;=46.5,2,1)), IF(INDEX(ERP資料!$G:$G, (MATCH(777, 輔助計算!$G$2:$G$801, 0)+1))&lt;=790,3,IF(INDEX(ERP資料!$G:$G, (MATCH(777, 輔助計算!$G$2:$G$801, 0)+1))&lt;=1181,2,1)))=1,TEXT(INDEX(ERP資料!$G:$G, (MATCH(777, 輔助計算!$G$2:$G$801, 0)+1)),"0.##"),IF(IF(INDEX(ERP資料!$G:$G, (MATCH(777, 輔助計算!$G$2:$G$801, 0)+1))&lt;100, IF(INDEX(ERP資料!$G:$G, (MATCH(777, 輔助計算!$G$2:$G$801, 0)+1))&lt;=31,3,IF(INDEX(ERP資料!$G:$G, (MATCH(777, 輔助計算!$G$2:$G$801, 0)+1))&lt;=46.5,2,1)), IF(INDEX(ERP資料!$G:$G, (MATCH(777, 輔助計算!$G$2:$G$801, 0)+1))&lt;=790,3,IF(INDEX(ERP資料!$G:$G, (MATCH(777, 輔助計算!$G$2:$G$801, 0)+1))&lt;=1181,2,1)))=2,TEXT(INDEX(ERP資料!$G:$G, (MATCH(777, 輔助計算!$G$2:$G$801, 0)+1)),"0.##")&amp;"+"&amp;TEXT(INDEX(ERP資料!$G:$G, (MATCH(777, 輔助計算!$G$2:$G$801, 0)+1)),"0.##"),TEXT(INDEX(ERP資料!$G:$G, (MATCH(777, 輔助計算!$G$2:$G$801, 0)+1)),"0.##")&amp;"+"&amp;TEXT(INDEX(ERP資料!$G:$G, (MATCH(777, 輔助計算!$G$2:$G$801, 0)+1)),"0.##")&amp;"+"&amp;TEXT(INDEX(ERP資料!$G:$G, (MATCH(777, 輔助計算!$G$2:$G$801, 0)+1)),"0.##")))&amp;"-"&amp;INT(INDEX(輔助計算!$D:$D, (MATCH(777, 輔助計算!$G$2:$G$801, 0)+1))/IF(INDEX(ERP資料!$G:$G, (MATCH(777, 輔助計算!$G$2:$G$801, 0)+1))&lt;100, IF(INDEX(ERP資料!$G:$G, (MATCH(777, 輔助計算!$G$2:$G$801, 0)+1))&lt;=31,3,IF(INDEX(ERP資料!$G:$G, (MATCH(777, 輔助計算!$G$2:$G$801, 0)+1))&lt;=46.5,2,1)), IF(INDEX(ERP資料!$G:$G, (MATCH(777, 輔助計算!$G$2:$G$801, 0)+1))&lt;=790,3,IF(INDEX(ERP資料!$G:$G, (MATCH(777, 輔助計算!$G$2:$G$801, 0)+1))&lt;=1181,2,1)))), "")&amp;IF(AND(IF(INT(INDEX(輔助計算!$D:$D, (MATCH(777, 輔助計算!$G$2:$G$801, 0)+1))/IF(INDEX(ERP資料!$G:$G, (MATCH(777, 輔助計算!$G$2:$G$801, 0)+1))&lt;100, IF(INDEX(ERP資料!$G:$G, (MATCH(777, 輔助計算!$G$2:$G$801, 0)+1))&lt;=31,3,IF(INDEX(ERP資料!$G:$G, (MATCH(777, 輔助計算!$G$2:$G$801, 0)+1))&lt;=46.5,2,1)), IF(INDEX(ERP資料!$G:$G, (MATCH(777, 輔助計算!$G$2:$G$801, 0)+1))&lt;=790,3,IF(INDEX(ERP資料!$G:$G, (MATCH(777, 輔助計算!$G$2:$G$801, 0)+1))&lt;=1181,2,1))))&gt;0, IF(IF(INDEX(ERP資料!$G:$G, (MATCH(777, 輔助計算!$G$2:$G$801, 0)+1))&lt;100, IF(INDEX(ERP資料!$G:$G, (MATCH(777, 輔助計算!$G$2:$G$801, 0)+1))&lt;=31,3,IF(INDEX(ERP資料!$G:$G, (MATCH(777, 輔助計算!$G$2:$G$801, 0)+1))&lt;=46.5,2,1)), IF(INDEX(ERP資料!$G:$G, (MATCH(777, 輔助計算!$G$2:$G$801, 0)+1))&lt;=790,3,IF(INDEX(ERP資料!$G:$G, (MATCH(777, 輔助計算!$G$2:$G$801, 0)+1))&lt;=1181,2,1)))=1,TEXT(INDEX(ERP資料!$G:$G, (MATCH(777, 輔助計算!$G$2:$G$801, 0)+1)),"0.##"),IF(IF(INDEX(ERP資料!$G:$G, (MATCH(777, 輔助計算!$G$2:$G$801, 0)+1))&lt;100, IF(INDEX(ERP資料!$G:$G, (MATCH(777, 輔助計算!$G$2:$G$801, 0)+1))&lt;=31,3,IF(INDEX(ERP資料!$G:$G, (MATCH(777, 輔助計算!$G$2:$G$801, 0)+1))&lt;=46.5,2,1)), IF(INDEX(ERP資料!$G:$G, (MATCH(777, 輔助計算!$G$2:$G$801, 0)+1))&lt;=790,3,IF(INDEX(ERP資料!$G:$G, (MATCH(777, 輔助計算!$G$2:$G$801, 0)+1))&lt;=1181,2,1)))=2,TEXT(INDEX(ERP資料!$G:$G, (MATCH(777, 輔助計算!$G$2:$G$801, 0)+1)),"0.##")&amp;"+"&amp;TEXT(INDEX(ERP資料!$G:$G, (MATCH(777, 輔助計算!$G$2:$G$801, 0)+1)),"0.##"),TEXT(INDEX(ERP資料!$G:$G, (MATCH(777, 輔助計算!$G$2:$G$801, 0)+1)),"0.##")&amp;"+"&amp;TEXT(INDEX(ERP資料!$G:$G, (MATCH(777, 輔助計算!$G$2:$G$801, 0)+1)),"0.##")&amp;"+"&amp;TEXT(INDEX(ERP資料!$G:$G, (MATCH(777, 輔助計算!$G$2:$G$801, 0)+1)),"0.##")))&amp;"-"&amp;INT(INDEX(輔助計算!$D:$D, (MATCH(777, 輔助計算!$G$2:$G$801, 0)+1))/IF(INDEX(ERP資料!$G:$G, (MATCH(777, 輔助計算!$G$2:$G$801, 0)+1))&lt;100, IF(INDEX(ERP資料!$G:$G, (MATCH(777, 輔助計算!$G$2:$G$801, 0)+1))&lt;=31,3,IF(INDEX(ERP資料!$G:$G, (MATCH(777, 輔助計算!$G$2:$G$801, 0)+1))&lt;=46.5,2,1)), IF(INDEX(ERP資料!$G:$G, (MATCH(777, 輔助計算!$G$2:$G$801, 0)+1))&lt;=790,3,IF(INDEX(ERP資料!$G:$G, (MATCH(777, 輔助計算!$G$2:$G$801, 0)+1))&lt;=1181,2,1)))), "")&lt;&gt;"",IF(MOD(INDEX(輔助計算!$D:$D, (MATCH(777, 輔助計算!$G$2:$G$801, 0)+1)),IF(INDEX(ERP資料!$G:$G, (MATCH(777, 輔助計算!$G$2:$G$801, 0)+1))&lt;100, IF(INDEX(ERP資料!$G:$G, (MATCH(777, 輔助計算!$G$2:$G$801, 0)+1))&lt;=31,3,IF(INDEX(ERP資料!$G:$G, (MATCH(777, 輔助計算!$G$2:$G$801, 0)+1))&lt;=46.5,2,1)), IF(INDEX(ERP資料!$G:$G, (MATCH(777, 輔助計算!$G$2:$G$801, 0)+1))&lt;=790,3,IF(INDEX(ERP資料!$G:$G, (MATCH(777, 輔助計算!$G$2:$G$801, 0)+1))&lt;=1181,2,1))))=0,"",IF(MOD(INDEX(輔助計算!$D:$D, (MATCH(777, 輔助計算!$G$2:$G$801, 0)+1)),IF(INDEX(ERP資料!$G:$G, (MATCH(777, 輔助計算!$G$2:$G$801, 0)+1))&lt;100, IF(INDEX(ERP資料!$G:$G, (MATCH(777, 輔助計算!$G$2:$G$801, 0)+1))&lt;=31,3,IF(INDEX(ERP資料!$G:$G, (MATCH(777, 輔助計算!$G$2:$G$801, 0)+1))&lt;=46.5,2,1)), IF(INDEX(ERP資料!$G:$G, (MATCH(777, 輔助計算!$G$2:$G$801, 0)+1))&lt;=790,3,IF(INDEX(ERP資料!$G:$G, (MATCH(777, 輔助計算!$G$2:$G$801, 0)+1))&lt;=1181,2,1))))=0,"",IF(MOD(INDEX(輔助計算!$D:$D, (MATCH(777, 輔助計算!$G$2:$G$801, 0)+1)),IF(INDEX(ERP資料!$G:$G, (MATCH(777, 輔助計算!$G$2:$G$801, 0)+1))&lt;100, IF(INDEX(ERP資料!$G:$G, (MATCH(777, 輔助計算!$G$2:$G$801, 0)+1))&lt;=31,3,IF(INDEX(ERP資料!$G:$G, (MATCH(777, 輔助計算!$G$2:$G$801, 0)+1))&lt;=46.5,2,1)), IF(INDEX(ERP資料!$G:$G, (MATCH(777, 輔助計算!$G$2:$G$801, 0)+1))&lt;=790,3,IF(INDEX(ERP資料!$G:$G, (MATCH(777, 輔助計算!$G$2:$G$801, 0)+1))&lt;=1181,2,1))))=1,TEXT(INDEX(ERP資料!$G:$G, (MATCH(777, 輔助計算!$G$2:$G$801, 0)+1)),"0.##"),IF(MOD(INDEX(輔助計算!$D:$D, (MATCH(777, 輔助計算!$G$2:$G$801, 0)+1)),IF(INDEX(ERP資料!$G:$G, (MATCH(777, 輔助計算!$G$2:$G$801, 0)+1))&lt;100, IF(INDEX(ERP資料!$G:$G, (MATCH(777, 輔助計算!$G$2:$G$801, 0)+1))&lt;=31,3,IF(INDEX(ERP資料!$G:$G, (MATCH(777, 輔助計算!$G$2:$G$801, 0)+1))&lt;=46.5,2,1)), IF(INDEX(ERP資料!$G:$G, (MATCH(777, 輔助計算!$G$2:$G$801, 0)+1))&lt;=790,3,IF(INDEX(ERP資料!$G:$G, (MATCH(777, 輔助計算!$G$2:$G$801, 0)+1))&lt;=1181,2,1))))=2,TEXT(INDEX(ERP資料!$G:$G, (MATCH(777, 輔助計算!$G$2:$G$801, 0)+1)),"0.##")&amp;"+"&amp;TEXT(INDEX(ERP資料!$G:$G, (MATCH(777, 輔助計算!$G$2:$G$801, 0)+1)),"0.##"),TEXT(INDEX(ERP資料!$G:$G, (MATCH(777, 輔助計算!$G$2:$G$801, 0)+1)),"0.##")&amp;"+"&amp;TEXT(INDEX(ERP資料!$G:$G, (MATCH(777, 輔助計算!$G$2:$G$801, 0)+1)),"0.##")&amp;"+"&amp;TEXT(INDEX(ERP資料!$G:$G, (MATCH(777, 輔助計算!$G$2:$G$801, 0)+1)),"0.##"))))&amp;"-1")&lt;&gt;""),"  ","")&amp;IF(MOD(INDEX(輔助計算!$D:$D, (MATCH(777, 輔助計算!$G$2:$G$801, 0)+1)),IF(INDEX(ERP資料!$G:$G, (MATCH(777, 輔助計算!$G$2:$G$801, 0)+1))&lt;100, IF(INDEX(ERP資料!$G:$G, (MATCH(777, 輔助計算!$G$2:$G$801, 0)+1))&lt;=31,3,IF(INDEX(ERP資料!$G:$G, (MATCH(777, 輔助計算!$G$2:$G$801, 0)+1))&lt;=46.5,2,1)), IF(INDEX(ERP資料!$G:$G, (MATCH(777, 輔助計算!$G$2:$G$801, 0)+1))&lt;=790,3,IF(INDEX(ERP資料!$G:$G, (MATCH(777, 輔助計算!$G$2:$G$801, 0)+1))&lt;=1181,2,1))))=0,"",IF(MOD(INDEX(輔助計算!$D:$D, (MATCH(777, 輔助計算!$G$2:$G$801, 0)+1)),IF(INDEX(ERP資料!$G:$G, (MATCH(777, 輔助計算!$G$2:$G$801, 0)+1))&lt;100, IF(INDEX(ERP資料!$G:$G, (MATCH(777, 輔助計算!$G$2:$G$801, 0)+1))&lt;=31,3,IF(INDEX(ERP資料!$G:$G, (MATCH(777, 輔助計算!$G$2:$G$801, 0)+1))&lt;=46.5,2,1)), IF(INDEX(ERP資料!$G:$G, (MATCH(777, 輔助計算!$G$2:$G$801, 0)+1))&lt;=790,3,IF(INDEX(ERP資料!$G:$G, (MATCH(777, 輔助計算!$G$2:$G$801, 0)+1))&lt;=1181,2,1))))=0,"",IF(MOD(INDEX(輔助計算!$D:$D, (MATCH(777, 輔助計算!$G$2:$G$801, 0)+1)),IF(INDEX(ERP資料!$G:$G, (MATCH(777, 輔助計算!$G$2:$G$801, 0)+1))&lt;100, IF(INDEX(ERP資料!$G:$G, (MATCH(777, 輔助計算!$G$2:$G$801, 0)+1))&lt;=31,3,IF(INDEX(ERP資料!$G:$G, (MATCH(777, 輔助計算!$G$2:$G$801, 0)+1))&lt;=46.5,2,1)), IF(INDEX(ERP資料!$G:$G, (MATCH(777, 輔助計算!$G$2:$G$801, 0)+1))&lt;=790,3,IF(INDEX(ERP資料!$G:$G, (MATCH(777, 輔助計算!$G$2:$G$801, 0)+1))&lt;=1181,2,1))))=1,TEXT(INDEX(ERP資料!$G:$G, (MATCH(777, 輔助計算!$G$2:$G$801, 0)+1)),"0.##"),IF(MOD(INDEX(輔助計算!$D:$D, (MATCH(777, 輔助計算!$G$2:$G$801, 0)+1)),IF(INDEX(ERP資料!$G:$G, (MATCH(777, 輔助計算!$G$2:$G$801, 0)+1))&lt;100, IF(INDEX(ERP資料!$G:$G, (MATCH(777, 輔助計算!$G$2:$G$801, 0)+1))&lt;=31,3,IF(INDEX(ERP資料!$G:$G, (MATCH(777, 輔助計算!$G$2:$G$801, 0)+1))&lt;=46.5,2,1)), IF(INDEX(ERP資料!$G:$G, (MATCH(777, 輔助計算!$G$2:$G$801, 0)+1))&lt;=790,3,IF(INDEX(ERP資料!$G:$G, (MATCH(777, 輔助計算!$G$2:$G$801, 0)+1))&lt;=1181,2,1))))=2,TEXT(INDEX(ERP資料!$G:$G, (MATCH(777, 輔助計算!$G$2:$G$801, 0)+1)),"0.##")&amp;"+"&amp;TEXT(INDEX(ERP資料!$G:$G, (MATCH(777, 輔助計算!$G$2:$G$801, 0)+1)),"0.##"),TEXT(INDEX(ERP資料!$G:$G, (MATCH(777, 輔助計算!$G$2:$G$801, 0)+1)),"0.##")&amp;"+"&amp;TEXT(INDEX(ERP資料!$G:$G, (MATCH(777, 輔助計算!$G$2:$G$801, 0)+1)),"0.##")&amp;"+"&amp;TEXT(INDEX(ERP資料!$G:$G, (MATCH(777, 輔助計算!$G$2:$G$801, 0)+1)),"0.##"))))&amp;"-1")), ""), "")</f>
        <v/>
      </c>
      <c r="K778" s="16" t="n"/>
      <c r="L778" s="14">
        <f>IFERROR(IF(AND(IFERROR(INDEX(ERP資料!$A:$A, (MATCH(777, 輔助計算!$G$2:$G$801, 0)+1)), "")&lt;&gt;"", IFERROR(INDEX(ERP資料!$A:$A, (MATCH(777, 輔助計算!$G$2:$G$801, 0)+1)), "")&lt;&gt;IFERROR(INDEX(ERP資料!$A:$A, MATCH(776, 輔助計算!$G$2:$G$801, 0)+1), "")), INDEX(ERP資料!$B:$B, (MATCH(777, 輔助計算!$G$2:$G$801, 0)+1)), ""), "")</f>
        <v/>
      </c>
      <c r="M778" s="17" t="n"/>
    </row>
    <row r="779">
      <c r="A779" s="10">
        <f>IFERROR(IF(AND(IFERROR(INDEX(ERP資料!$A:$A, (MATCH(778, 輔助計算!$G$2:$G$801, 0)+1)), "")&lt;&gt;"", IFERROR(INDEX(ERP資料!$A:$A, (MATCH(778, 輔助計算!$G$2:$G$801, 0)+1)), "")&lt;&gt;IFERROR(INDEX(ERP資料!$A:$A, MATCH(777, 輔助計算!$G$2:$G$801, 0)+1), "")), IFERROR(INDEX(ERP資料!$A:$A, (MATCH(778, 輔助計算!$G$2:$G$801, 0)+1)), ""), ""), "")</f>
        <v/>
      </c>
      <c r="B779" s="10">
        <f>IFERROR(IF(AND(IFERROR(INDEX(ERP資料!$A:$A, (MATCH(778, 輔助計算!$G$2:$G$801, 0)+1)), "")&lt;&gt;"", IFERROR(INDEX(ERP資料!$A:$A, (MATCH(778, 輔助計算!$G$2:$G$801, 0)+1)), "")&lt;&gt;IFERROR(INDEX(ERP資料!$A:$A, MATCH(777, 輔助計算!$G$2:$G$801, 0)+1), "")), INDEX(ERP資料!$S:$S, (MATCH(778, 輔助計算!$G$2:$G$801, 0)+1)), ""), "")</f>
        <v/>
      </c>
      <c r="C779" s="19">
        <f>IFERROR(IF(AND(IFERROR(INDEX(ERP資料!$A:$A, (MATCH(778, 輔助計算!$G$2:$G$801, 0)+1)), "")&lt;&gt;"", IFERROR(INDEX(ERP資料!$A:$A, (MATCH(778, 輔助計算!$G$2:$G$801, 0)+1)), "")&lt;&gt;IFERROR(INDEX(ERP資料!$A:$A, MATCH(777, 輔助計算!$G$2:$G$801, 0)+1), "")), IFERROR(VLOOKUP(LEFT(INDEX(ERP資料!$S:$S, (MATCH(778, 輔助計算!$G$2:$G$801, 0)+1)), 4), 紙管對照表!$A:$C, 3, FALSE), ""), ""), "")</f>
        <v/>
      </c>
      <c r="D779" s="16" t="n"/>
      <c r="E779" s="10">
        <f>IFERROR(IF(INDEX(ERP資料!$H:$H, (MATCH(778, 輔助計算!$G$2:$G$801, 0)+1))="","",INDEX(ERP資料!$H:$H, (MATCH(778, 輔助計算!$G$2:$G$801, 0)+1))), "")</f>
        <v/>
      </c>
      <c r="F779" s="10">
        <f>IFERROR(IF(INDEX(ERP資料!$E:$E, (MATCH(778, 輔助計算!$G$2:$G$801, 0)+1))="","",TRIM(INDEX(ERP資料!$E:$E, (MATCH(778, 輔助計算!$G$2:$G$801, 0)+1)))), "")</f>
        <v/>
      </c>
      <c r="G779" s="10">
        <f>IFERROR(IF(INDEX(ERP資料!$F:$F, (MATCH(778, 輔助計算!$G$2:$G$801, 0)+1))="","",INDEX(ERP資料!$F:$F, (MATCH(778, 輔助計算!$G$2:$G$801, 0)+1))), "")</f>
        <v/>
      </c>
      <c r="H779" s="10">
        <f>IFERROR(IF(INDEX(ERP資料!$G:$G, (MATCH(778, 輔助計算!$G$2:$G$801, 0)+1))="","",INDEX(ERP資料!$G:$G, (MATCH(778, 輔助計算!$G$2:$G$801, 0)+1))), "")</f>
        <v/>
      </c>
      <c r="I779" s="15">
        <f>IFERROR(INDEX(輔助計算!$D:$D, (MATCH(778, 輔助計算!$G$2:$G$801, 0)+1)), "")</f>
        <v/>
      </c>
      <c r="J779" s="15">
        <f>IFERROR(IF(AND(INDEX(輔助計算!$D:$D, (MATCH(778, 輔助計算!$G$2:$G$801, 0)+1))&lt;&gt;"", INDEX(ERP資料!$G:$G, (MATCH(778, 輔助計算!$G$2:$G$801, 0)+1))&lt;&gt;""), TRIM(IF(INT(INDEX(輔助計算!$D:$D, (MATCH(778, 輔助計算!$G$2:$G$801, 0)+1))/IF(INDEX(ERP資料!$G:$G, (MATCH(778, 輔助計算!$G$2:$G$801, 0)+1))&lt;100, IF(INDEX(ERP資料!$G:$G, (MATCH(778, 輔助計算!$G$2:$G$801, 0)+1))&lt;=31,3,IF(INDEX(ERP資料!$G:$G, (MATCH(778, 輔助計算!$G$2:$G$801, 0)+1))&lt;=46.5,2,1)), IF(INDEX(ERP資料!$G:$G, (MATCH(778, 輔助計算!$G$2:$G$801, 0)+1))&lt;=790,3,IF(INDEX(ERP資料!$G:$G, (MATCH(778, 輔助計算!$G$2:$G$801, 0)+1))&lt;=1181,2,1))))&gt;0, IF(IF(INDEX(ERP資料!$G:$G, (MATCH(778, 輔助計算!$G$2:$G$801, 0)+1))&lt;100, IF(INDEX(ERP資料!$G:$G, (MATCH(778, 輔助計算!$G$2:$G$801, 0)+1))&lt;=31,3,IF(INDEX(ERP資料!$G:$G, (MATCH(778, 輔助計算!$G$2:$G$801, 0)+1))&lt;=46.5,2,1)), IF(INDEX(ERP資料!$G:$G, (MATCH(778, 輔助計算!$G$2:$G$801, 0)+1))&lt;=790,3,IF(INDEX(ERP資料!$G:$G, (MATCH(778, 輔助計算!$G$2:$G$801, 0)+1))&lt;=1181,2,1)))=1,TEXT(INDEX(ERP資料!$G:$G, (MATCH(778, 輔助計算!$G$2:$G$801, 0)+1)),"0.##"),IF(IF(INDEX(ERP資料!$G:$G, (MATCH(778, 輔助計算!$G$2:$G$801, 0)+1))&lt;100, IF(INDEX(ERP資料!$G:$G, (MATCH(778, 輔助計算!$G$2:$G$801, 0)+1))&lt;=31,3,IF(INDEX(ERP資料!$G:$G, (MATCH(778, 輔助計算!$G$2:$G$801, 0)+1))&lt;=46.5,2,1)), IF(INDEX(ERP資料!$G:$G, (MATCH(778, 輔助計算!$G$2:$G$801, 0)+1))&lt;=790,3,IF(INDEX(ERP資料!$G:$G, (MATCH(778, 輔助計算!$G$2:$G$801, 0)+1))&lt;=1181,2,1)))=2,TEXT(INDEX(ERP資料!$G:$G, (MATCH(778, 輔助計算!$G$2:$G$801, 0)+1)),"0.##")&amp;"+"&amp;TEXT(INDEX(ERP資料!$G:$G, (MATCH(778, 輔助計算!$G$2:$G$801, 0)+1)),"0.##"),TEXT(INDEX(ERP資料!$G:$G, (MATCH(778, 輔助計算!$G$2:$G$801, 0)+1)),"0.##")&amp;"+"&amp;TEXT(INDEX(ERP資料!$G:$G, (MATCH(778, 輔助計算!$G$2:$G$801, 0)+1)),"0.##")&amp;"+"&amp;TEXT(INDEX(ERP資料!$G:$G, (MATCH(778, 輔助計算!$G$2:$G$801, 0)+1)),"0.##")))&amp;"-"&amp;INT(INDEX(輔助計算!$D:$D, (MATCH(778, 輔助計算!$G$2:$G$801, 0)+1))/IF(INDEX(ERP資料!$G:$G, (MATCH(778, 輔助計算!$G$2:$G$801, 0)+1))&lt;100, IF(INDEX(ERP資料!$G:$G, (MATCH(778, 輔助計算!$G$2:$G$801, 0)+1))&lt;=31,3,IF(INDEX(ERP資料!$G:$G, (MATCH(778, 輔助計算!$G$2:$G$801, 0)+1))&lt;=46.5,2,1)), IF(INDEX(ERP資料!$G:$G, (MATCH(778, 輔助計算!$G$2:$G$801, 0)+1))&lt;=790,3,IF(INDEX(ERP資料!$G:$G, (MATCH(778, 輔助計算!$G$2:$G$801, 0)+1))&lt;=1181,2,1)))), "")&amp;IF(AND(IF(INT(INDEX(輔助計算!$D:$D, (MATCH(778, 輔助計算!$G$2:$G$801, 0)+1))/IF(INDEX(ERP資料!$G:$G, (MATCH(778, 輔助計算!$G$2:$G$801, 0)+1))&lt;100, IF(INDEX(ERP資料!$G:$G, (MATCH(778, 輔助計算!$G$2:$G$801, 0)+1))&lt;=31,3,IF(INDEX(ERP資料!$G:$G, (MATCH(778, 輔助計算!$G$2:$G$801, 0)+1))&lt;=46.5,2,1)), IF(INDEX(ERP資料!$G:$G, (MATCH(778, 輔助計算!$G$2:$G$801, 0)+1))&lt;=790,3,IF(INDEX(ERP資料!$G:$G, (MATCH(778, 輔助計算!$G$2:$G$801, 0)+1))&lt;=1181,2,1))))&gt;0, IF(IF(INDEX(ERP資料!$G:$G, (MATCH(778, 輔助計算!$G$2:$G$801, 0)+1))&lt;100, IF(INDEX(ERP資料!$G:$G, (MATCH(778, 輔助計算!$G$2:$G$801, 0)+1))&lt;=31,3,IF(INDEX(ERP資料!$G:$G, (MATCH(778, 輔助計算!$G$2:$G$801, 0)+1))&lt;=46.5,2,1)), IF(INDEX(ERP資料!$G:$G, (MATCH(778, 輔助計算!$G$2:$G$801, 0)+1))&lt;=790,3,IF(INDEX(ERP資料!$G:$G, (MATCH(778, 輔助計算!$G$2:$G$801, 0)+1))&lt;=1181,2,1)))=1,TEXT(INDEX(ERP資料!$G:$G, (MATCH(778, 輔助計算!$G$2:$G$801, 0)+1)),"0.##"),IF(IF(INDEX(ERP資料!$G:$G, (MATCH(778, 輔助計算!$G$2:$G$801, 0)+1))&lt;100, IF(INDEX(ERP資料!$G:$G, (MATCH(778, 輔助計算!$G$2:$G$801, 0)+1))&lt;=31,3,IF(INDEX(ERP資料!$G:$G, (MATCH(778, 輔助計算!$G$2:$G$801, 0)+1))&lt;=46.5,2,1)), IF(INDEX(ERP資料!$G:$G, (MATCH(778, 輔助計算!$G$2:$G$801, 0)+1))&lt;=790,3,IF(INDEX(ERP資料!$G:$G, (MATCH(778, 輔助計算!$G$2:$G$801, 0)+1))&lt;=1181,2,1)))=2,TEXT(INDEX(ERP資料!$G:$G, (MATCH(778, 輔助計算!$G$2:$G$801, 0)+1)),"0.##")&amp;"+"&amp;TEXT(INDEX(ERP資料!$G:$G, (MATCH(778, 輔助計算!$G$2:$G$801, 0)+1)),"0.##"),TEXT(INDEX(ERP資料!$G:$G, (MATCH(778, 輔助計算!$G$2:$G$801, 0)+1)),"0.##")&amp;"+"&amp;TEXT(INDEX(ERP資料!$G:$G, (MATCH(778, 輔助計算!$G$2:$G$801, 0)+1)),"0.##")&amp;"+"&amp;TEXT(INDEX(ERP資料!$G:$G, (MATCH(778, 輔助計算!$G$2:$G$801, 0)+1)),"0.##")))&amp;"-"&amp;INT(INDEX(輔助計算!$D:$D, (MATCH(778, 輔助計算!$G$2:$G$801, 0)+1))/IF(INDEX(ERP資料!$G:$G, (MATCH(778, 輔助計算!$G$2:$G$801, 0)+1))&lt;100, IF(INDEX(ERP資料!$G:$G, (MATCH(778, 輔助計算!$G$2:$G$801, 0)+1))&lt;=31,3,IF(INDEX(ERP資料!$G:$G, (MATCH(778, 輔助計算!$G$2:$G$801, 0)+1))&lt;=46.5,2,1)), IF(INDEX(ERP資料!$G:$G, (MATCH(778, 輔助計算!$G$2:$G$801, 0)+1))&lt;=790,3,IF(INDEX(ERP資料!$G:$G, (MATCH(778, 輔助計算!$G$2:$G$801, 0)+1))&lt;=1181,2,1)))), "")&lt;&gt;"",IF(MOD(INDEX(輔助計算!$D:$D, (MATCH(778, 輔助計算!$G$2:$G$801, 0)+1)),IF(INDEX(ERP資料!$G:$G, (MATCH(778, 輔助計算!$G$2:$G$801, 0)+1))&lt;100, IF(INDEX(ERP資料!$G:$G, (MATCH(778, 輔助計算!$G$2:$G$801, 0)+1))&lt;=31,3,IF(INDEX(ERP資料!$G:$G, (MATCH(778, 輔助計算!$G$2:$G$801, 0)+1))&lt;=46.5,2,1)), IF(INDEX(ERP資料!$G:$G, (MATCH(778, 輔助計算!$G$2:$G$801, 0)+1))&lt;=790,3,IF(INDEX(ERP資料!$G:$G, (MATCH(778, 輔助計算!$G$2:$G$801, 0)+1))&lt;=1181,2,1))))=0,"",IF(MOD(INDEX(輔助計算!$D:$D, (MATCH(778, 輔助計算!$G$2:$G$801, 0)+1)),IF(INDEX(ERP資料!$G:$G, (MATCH(778, 輔助計算!$G$2:$G$801, 0)+1))&lt;100, IF(INDEX(ERP資料!$G:$G, (MATCH(778, 輔助計算!$G$2:$G$801, 0)+1))&lt;=31,3,IF(INDEX(ERP資料!$G:$G, (MATCH(778, 輔助計算!$G$2:$G$801, 0)+1))&lt;=46.5,2,1)), IF(INDEX(ERP資料!$G:$G, (MATCH(778, 輔助計算!$G$2:$G$801, 0)+1))&lt;=790,3,IF(INDEX(ERP資料!$G:$G, (MATCH(778, 輔助計算!$G$2:$G$801, 0)+1))&lt;=1181,2,1))))=0,"",IF(MOD(INDEX(輔助計算!$D:$D, (MATCH(778, 輔助計算!$G$2:$G$801, 0)+1)),IF(INDEX(ERP資料!$G:$G, (MATCH(778, 輔助計算!$G$2:$G$801, 0)+1))&lt;100, IF(INDEX(ERP資料!$G:$G, (MATCH(778, 輔助計算!$G$2:$G$801, 0)+1))&lt;=31,3,IF(INDEX(ERP資料!$G:$G, (MATCH(778, 輔助計算!$G$2:$G$801, 0)+1))&lt;=46.5,2,1)), IF(INDEX(ERP資料!$G:$G, (MATCH(778, 輔助計算!$G$2:$G$801, 0)+1))&lt;=790,3,IF(INDEX(ERP資料!$G:$G, (MATCH(778, 輔助計算!$G$2:$G$801, 0)+1))&lt;=1181,2,1))))=1,TEXT(INDEX(ERP資料!$G:$G, (MATCH(778, 輔助計算!$G$2:$G$801, 0)+1)),"0.##"),IF(MOD(INDEX(輔助計算!$D:$D, (MATCH(778, 輔助計算!$G$2:$G$801, 0)+1)),IF(INDEX(ERP資料!$G:$G, (MATCH(778, 輔助計算!$G$2:$G$801, 0)+1))&lt;100, IF(INDEX(ERP資料!$G:$G, (MATCH(778, 輔助計算!$G$2:$G$801, 0)+1))&lt;=31,3,IF(INDEX(ERP資料!$G:$G, (MATCH(778, 輔助計算!$G$2:$G$801, 0)+1))&lt;=46.5,2,1)), IF(INDEX(ERP資料!$G:$G, (MATCH(778, 輔助計算!$G$2:$G$801, 0)+1))&lt;=790,3,IF(INDEX(ERP資料!$G:$G, (MATCH(778, 輔助計算!$G$2:$G$801, 0)+1))&lt;=1181,2,1))))=2,TEXT(INDEX(ERP資料!$G:$G, (MATCH(778, 輔助計算!$G$2:$G$801, 0)+1)),"0.##")&amp;"+"&amp;TEXT(INDEX(ERP資料!$G:$G, (MATCH(778, 輔助計算!$G$2:$G$801, 0)+1)),"0.##"),TEXT(INDEX(ERP資料!$G:$G, (MATCH(778, 輔助計算!$G$2:$G$801, 0)+1)),"0.##")&amp;"+"&amp;TEXT(INDEX(ERP資料!$G:$G, (MATCH(778, 輔助計算!$G$2:$G$801, 0)+1)),"0.##")&amp;"+"&amp;TEXT(INDEX(ERP資料!$G:$G, (MATCH(778, 輔助計算!$G$2:$G$801, 0)+1)),"0.##"))))&amp;"-1")&lt;&gt;""),"  ","")&amp;IF(MOD(INDEX(輔助計算!$D:$D, (MATCH(778, 輔助計算!$G$2:$G$801, 0)+1)),IF(INDEX(ERP資料!$G:$G, (MATCH(778, 輔助計算!$G$2:$G$801, 0)+1))&lt;100, IF(INDEX(ERP資料!$G:$G, (MATCH(778, 輔助計算!$G$2:$G$801, 0)+1))&lt;=31,3,IF(INDEX(ERP資料!$G:$G, (MATCH(778, 輔助計算!$G$2:$G$801, 0)+1))&lt;=46.5,2,1)), IF(INDEX(ERP資料!$G:$G, (MATCH(778, 輔助計算!$G$2:$G$801, 0)+1))&lt;=790,3,IF(INDEX(ERP資料!$G:$G, (MATCH(778, 輔助計算!$G$2:$G$801, 0)+1))&lt;=1181,2,1))))=0,"",IF(MOD(INDEX(輔助計算!$D:$D, (MATCH(778, 輔助計算!$G$2:$G$801, 0)+1)),IF(INDEX(ERP資料!$G:$G, (MATCH(778, 輔助計算!$G$2:$G$801, 0)+1))&lt;100, IF(INDEX(ERP資料!$G:$G, (MATCH(778, 輔助計算!$G$2:$G$801, 0)+1))&lt;=31,3,IF(INDEX(ERP資料!$G:$G, (MATCH(778, 輔助計算!$G$2:$G$801, 0)+1))&lt;=46.5,2,1)), IF(INDEX(ERP資料!$G:$G, (MATCH(778, 輔助計算!$G$2:$G$801, 0)+1))&lt;=790,3,IF(INDEX(ERP資料!$G:$G, (MATCH(778, 輔助計算!$G$2:$G$801, 0)+1))&lt;=1181,2,1))))=0,"",IF(MOD(INDEX(輔助計算!$D:$D, (MATCH(778, 輔助計算!$G$2:$G$801, 0)+1)),IF(INDEX(ERP資料!$G:$G, (MATCH(778, 輔助計算!$G$2:$G$801, 0)+1))&lt;100, IF(INDEX(ERP資料!$G:$G, (MATCH(778, 輔助計算!$G$2:$G$801, 0)+1))&lt;=31,3,IF(INDEX(ERP資料!$G:$G, (MATCH(778, 輔助計算!$G$2:$G$801, 0)+1))&lt;=46.5,2,1)), IF(INDEX(ERP資料!$G:$G, (MATCH(778, 輔助計算!$G$2:$G$801, 0)+1))&lt;=790,3,IF(INDEX(ERP資料!$G:$G, (MATCH(778, 輔助計算!$G$2:$G$801, 0)+1))&lt;=1181,2,1))))=1,TEXT(INDEX(ERP資料!$G:$G, (MATCH(778, 輔助計算!$G$2:$G$801, 0)+1)),"0.##"),IF(MOD(INDEX(輔助計算!$D:$D, (MATCH(778, 輔助計算!$G$2:$G$801, 0)+1)),IF(INDEX(ERP資料!$G:$G, (MATCH(778, 輔助計算!$G$2:$G$801, 0)+1))&lt;100, IF(INDEX(ERP資料!$G:$G, (MATCH(778, 輔助計算!$G$2:$G$801, 0)+1))&lt;=31,3,IF(INDEX(ERP資料!$G:$G, (MATCH(778, 輔助計算!$G$2:$G$801, 0)+1))&lt;=46.5,2,1)), IF(INDEX(ERP資料!$G:$G, (MATCH(778, 輔助計算!$G$2:$G$801, 0)+1))&lt;=790,3,IF(INDEX(ERP資料!$G:$G, (MATCH(778, 輔助計算!$G$2:$G$801, 0)+1))&lt;=1181,2,1))))=2,TEXT(INDEX(ERP資料!$G:$G, (MATCH(778, 輔助計算!$G$2:$G$801, 0)+1)),"0.##")&amp;"+"&amp;TEXT(INDEX(ERP資料!$G:$G, (MATCH(778, 輔助計算!$G$2:$G$801, 0)+1)),"0.##"),TEXT(INDEX(ERP資料!$G:$G, (MATCH(778, 輔助計算!$G$2:$G$801, 0)+1)),"0.##")&amp;"+"&amp;TEXT(INDEX(ERP資料!$G:$G, (MATCH(778, 輔助計算!$G$2:$G$801, 0)+1)),"0.##")&amp;"+"&amp;TEXT(INDEX(ERP資料!$G:$G, (MATCH(778, 輔助計算!$G$2:$G$801, 0)+1)),"0.##"))))&amp;"-1")), ""), "")</f>
        <v/>
      </c>
      <c r="K779" s="16" t="n"/>
      <c r="L779" s="14">
        <f>IFERROR(IF(AND(IFERROR(INDEX(ERP資料!$A:$A, (MATCH(778, 輔助計算!$G$2:$G$801, 0)+1)), "")&lt;&gt;"", IFERROR(INDEX(ERP資料!$A:$A, (MATCH(778, 輔助計算!$G$2:$G$801, 0)+1)), "")&lt;&gt;IFERROR(INDEX(ERP資料!$A:$A, MATCH(777, 輔助計算!$G$2:$G$801, 0)+1), "")), INDEX(ERP資料!$B:$B, (MATCH(778, 輔助計算!$G$2:$G$801, 0)+1)), ""), "")</f>
        <v/>
      </c>
      <c r="M779" s="17" t="n"/>
    </row>
    <row r="780">
      <c r="A780" s="10">
        <f>IFERROR(IF(AND(IFERROR(INDEX(ERP資料!$A:$A, (MATCH(779, 輔助計算!$G$2:$G$801, 0)+1)), "")&lt;&gt;"", IFERROR(INDEX(ERP資料!$A:$A, (MATCH(779, 輔助計算!$G$2:$G$801, 0)+1)), "")&lt;&gt;IFERROR(INDEX(ERP資料!$A:$A, MATCH(778, 輔助計算!$G$2:$G$801, 0)+1), "")), IFERROR(INDEX(ERP資料!$A:$A, (MATCH(779, 輔助計算!$G$2:$G$801, 0)+1)), ""), ""), "")</f>
        <v/>
      </c>
      <c r="B780" s="10">
        <f>IFERROR(IF(AND(IFERROR(INDEX(ERP資料!$A:$A, (MATCH(779, 輔助計算!$G$2:$G$801, 0)+1)), "")&lt;&gt;"", IFERROR(INDEX(ERP資料!$A:$A, (MATCH(779, 輔助計算!$G$2:$G$801, 0)+1)), "")&lt;&gt;IFERROR(INDEX(ERP資料!$A:$A, MATCH(778, 輔助計算!$G$2:$G$801, 0)+1), "")), INDEX(ERP資料!$S:$S, (MATCH(779, 輔助計算!$G$2:$G$801, 0)+1)), ""), "")</f>
        <v/>
      </c>
      <c r="C780" s="19">
        <f>IFERROR(IF(AND(IFERROR(INDEX(ERP資料!$A:$A, (MATCH(779, 輔助計算!$G$2:$G$801, 0)+1)), "")&lt;&gt;"", IFERROR(INDEX(ERP資料!$A:$A, (MATCH(779, 輔助計算!$G$2:$G$801, 0)+1)), "")&lt;&gt;IFERROR(INDEX(ERP資料!$A:$A, MATCH(778, 輔助計算!$G$2:$G$801, 0)+1), "")), IFERROR(VLOOKUP(LEFT(INDEX(ERP資料!$S:$S, (MATCH(779, 輔助計算!$G$2:$G$801, 0)+1)), 4), 紙管對照表!$A:$C, 3, FALSE), ""), ""), "")</f>
        <v/>
      </c>
      <c r="D780" s="16" t="n"/>
      <c r="E780" s="10">
        <f>IFERROR(IF(INDEX(ERP資料!$H:$H, (MATCH(779, 輔助計算!$G$2:$G$801, 0)+1))="","",INDEX(ERP資料!$H:$H, (MATCH(779, 輔助計算!$G$2:$G$801, 0)+1))), "")</f>
        <v/>
      </c>
      <c r="F780" s="10">
        <f>IFERROR(IF(INDEX(ERP資料!$E:$E, (MATCH(779, 輔助計算!$G$2:$G$801, 0)+1))="","",TRIM(INDEX(ERP資料!$E:$E, (MATCH(779, 輔助計算!$G$2:$G$801, 0)+1)))), "")</f>
        <v/>
      </c>
      <c r="G780" s="10">
        <f>IFERROR(IF(INDEX(ERP資料!$F:$F, (MATCH(779, 輔助計算!$G$2:$G$801, 0)+1))="","",INDEX(ERP資料!$F:$F, (MATCH(779, 輔助計算!$G$2:$G$801, 0)+1))), "")</f>
        <v/>
      </c>
      <c r="H780" s="10">
        <f>IFERROR(IF(INDEX(ERP資料!$G:$G, (MATCH(779, 輔助計算!$G$2:$G$801, 0)+1))="","",INDEX(ERP資料!$G:$G, (MATCH(779, 輔助計算!$G$2:$G$801, 0)+1))), "")</f>
        <v/>
      </c>
      <c r="I780" s="15">
        <f>IFERROR(INDEX(輔助計算!$D:$D, (MATCH(779, 輔助計算!$G$2:$G$801, 0)+1)), "")</f>
        <v/>
      </c>
      <c r="J780" s="15">
        <f>IFERROR(IF(AND(INDEX(輔助計算!$D:$D, (MATCH(779, 輔助計算!$G$2:$G$801, 0)+1))&lt;&gt;"", INDEX(ERP資料!$G:$G, (MATCH(779, 輔助計算!$G$2:$G$801, 0)+1))&lt;&gt;""), TRIM(IF(INT(INDEX(輔助計算!$D:$D, (MATCH(779, 輔助計算!$G$2:$G$801, 0)+1))/IF(INDEX(ERP資料!$G:$G, (MATCH(779, 輔助計算!$G$2:$G$801, 0)+1))&lt;100, IF(INDEX(ERP資料!$G:$G, (MATCH(779, 輔助計算!$G$2:$G$801, 0)+1))&lt;=31,3,IF(INDEX(ERP資料!$G:$G, (MATCH(779, 輔助計算!$G$2:$G$801, 0)+1))&lt;=46.5,2,1)), IF(INDEX(ERP資料!$G:$G, (MATCH(779, 輔助計算!$G$2:$G$801, 0)+1))&lt;=790,3,IF(INDEX(ERP資料!$G:$G, (MATCH(779, 輔助計算!$G$2:$G$801, 0)+1))&lt;=1181,2,1))))&gt;0, IF(IF(INDEX(ERP資料!$G:$G, (MATCH(779, 輔助計算!$G$2:$G$801, 0)+1))&lt;100, IF(INDEX(ERP資料!$G:$G, (MATCH(779, 輔助計算!$G$2:$G$801, 0)+1))&lt;=31,3,IF(INDEX(ERP資料!$G:$G, (MATCH(779, 輔助計算!$G$2:$G$801, 0)+1))&lt;=46.5,2,1)), IF(INDEX(ERP資料!$G:$G, (MATCH(779, 輔助計算!$G$2:$G$801, 0)+1))&lt;=790,3,IF(INDEX(ERP資料!$G:$G, (MATCH(779, 輔助計算!$G$2:$G$801, 0)+1))&lt;=1181,2,1)))=1,TEXT(INDEX(ERP資料!$G:$G, (MATCH(779, 輔助計算!$G$2:$G$801, 0)+1)),"0.##"),IF(IF(INDEX(ERP資料!$G:$G, (MATCH(779, 輔助計算!$G$2:$G$801, 0)+1))&lt;100, IF(INDEX(ERP資料!$G:$G, (MATCH(779, 輔助計算!$G$2:$G$801, 0)+1))&lt;=31,3,IF(INDEX(ERP資料!$G:$G, (MATCH(779, 輔助計算!$G$2:$G$801, 0)+1))&lt;=46.5,2,1)), IF(INDEX(ERP資料!$G:$G, (MATCH(779, 輔助計算!$G$2:$G$801, 0)+1))&lt;=790,3,IF(INDEX(ERP資料!$G:$G, (MATCH(779, 輔助計算!$G$2:$G$801, 0)+1))&lt;=1181,2,1)))=2,TEXT(INDEX(ERP資料!$G:$G, (MATCH(779, 輔助計算!$G$2:$G$801, 0)+1)),"0.##")&amp;"+"&amp;TEXT(INDEX(ERP資料!$G:$G, (MATCH(779, 輔助計算!$G$2:$G$801, 0)+1)),"0.##"),TEXT(INDEX(ERP資料!$G:$G, (MATCH(779, 輔助計算!$G$2:$G$801, 0)+1)),"0.##")&amp;"+"&amp;TEXT(INDEX(ERP資料!$G:$G, (MATCH(779, 輔助計算!$G$2:$G$801, 0)+1)),"0.##")&amp;"+"&amp;TEXT(INDEX(ERP資料!$G:$G, (MATCH(779, 輔助計算!$G$2:$G$801, 0)+1)),"0.##")))&amp;"-"&amp;INT(INDEX(輔助計算!$D:$D, (MATCH(779, 輔助計算!$G$2:$G$801, 0)+1))/IF(INDEX(ERP資料!$G:$G, (MATCH(779, 輔助計算!$G$2:$G$801, 0)+1))&lt;100, IF(INDEX(ERP資料!$G:$G, (MATCH(779, 輔助計算!$G$2:$G$801, 0)+1))&lt;=31,3,IF(INDEX(ERP資料!$G:$G, (MATCH(779, 輔助計算!$G$2:$G$801, 0)+1))&lt;=46.5,2,1)), IF(INDEX(ERP資料!$G:$G, (MATCH(779, 輔助計算!$G$2:$G$801, 0)+1))&lt;=790,3,IF(INDEX(ERP資料!$G:$G, (MATCH(779, 輔助計算!$G$2:$G$801, 0)+1))&lt;=1181,2,1)))), "")&amp;IF(AND(IF(INT(INDEX(輔助計算!$D:$D, (MATCH(779, 輔助計算!$G$2:$G$801, 0)+1))/IF(INDEX(ERP資料!$G:$G, (MATCH(779, 輔助計算!$G$2:$G$801, 0)+1))&lt;100, IF(INDEX(ERP資料!$G:$G, (MATCH(779, 輔助計算!$G$2:$G$801, 0)+1))&lt;=31,3,IF(INDEX(ERP資料!$G:$G, (MATCH(779, 輔助計算!$G$2:$G$801, 0)+1))&lt;=46.5,2,1)), IF(INDEX(ERP資料!$G:$G, (MATCH(779, 輔助計算!$G$2:$G$801, 0)+1))&lt;=790,3,IF(INDEX(ERP資料!$G:$G, (MATCH(779, 輔助計算!$G$2:$G$801, 0)+1))&lt;=1181,2,1))))&gt;0, IF(IF(INDEX(ERP資料!$G:$G, (MATCH(779, 輔助計算!$G$2:$G$801, 0)+1))&lt;100, IF(INDEX(ERP資料!$G:$G, (MATCH(779, 輔助計算!$G$2:$G$801, 0)+1))&lt;=31,3,IF(INDEX(ERP資料!$G:$G, (MATCH(779, 輔助計算!$G$2:$G$801, 0)+1))&lt;=46.5,2,1)), IF(INDEX(ERP資料!$G:$G, (MATCH(779, 輔助計算!$G$2:$G$801, 0)+1))&lt;=790,3,IF(INDEX(ERP資料!$G:$G, (MATCH(779, 輔助計算!$G$2:$G$801, 0)+1))&lt;=1181,2,1)))=1,TEXT(INDEX(ERP資料!$G:$G, (MATCH(779, 輔助計算!$G$2:$G$801, 0)+1)),"0.##"),IF(IF(INDEX(ERP資料!$G:$G, (MATCH(779, 輔助計算!$G$2:$G$801, 0)+1))&lt;100, IF(INDEX(ERP資料!$G:$G, (MATCH(779, 輔助計算!$G$2:$G$801, 0)+1))&lt;=31,3,IF(INDEX(ERP資料!$G:$G, (MATCH(779, 輔助計算!$G$2:$G$801, 0)+1))&lt;=46.5,2,1)), IF(INDEX(ERP資料!$G:$G, (MATCH(779, 輔助計算!$G$2:$G$801, 0)+1))&lt;=790,3,IF(INDEX(ERP資料!$G:$G, (MATCH(779, 輔助計算!$G$2:$G$801, 0)+1))&lt;=1181,2,1)))=2,TEXT(INDEX(ERP資料!$G:$G, (MATCH(779, 輔助計算!$G$2:$G$801, 0)+1)),"0.##")&amp;"+"&amp;TEXT(INDEX(ERP資料!$G:$G, (MATCH(779, 輔助計算!$G$2:$G$801, 0)+1)),"0.##"),TEXT(INDEX(ERP資料!$G:$G, (MATCH(779, 輔助計算!$G$2:$G$801, 0)+1)),"0.##")&amp;"+"&amp;TEXT(INDEX(ERP資料!$G:$G, (MATCH(779, 輔助計算!$G$2:$G$801, 0)+1)),"0.##")&amp;"+"&amp;TEXT(INDEX(ERP資料!$G:$G, (MATCH(779, 輔助計算!$G$2:$G$801, 0)+1)),"0.##")))&amp;"-"&amp;INT(INDEX(輔助計算!$D:$D, (MATCH(779, 輔助計算!$G$2:$G$801, 0)+1))/IF(INDEX(ERP資料!$G:$G, (MATCH(779, 輔助計算!$G$2:$G$801, 0)+1))&lt;100, IF(INDEX(ERP資料!$G:$G, (MATCH(779, 輔助計算!$G$2:$G$801, 0)+1))&lt;=31,3,IF(INDEX(ERP資料!$G:$G, (MATCH(779, 輔助計算!$G$2:$G$801, 0)+1))&lt;=46.5,2,1)), IF(INDEX(ERP資料!$G:$G, (MATCH(779, 輔助計算!$G$2:$G$801, 0)+1))&lt;=790,3,IF(INDEX(ERP資料!$G:$G, (MATCH(779, 輔助計算!$G$2:$G$801, 0)+1))&lt;=1181,2,1)))), "")&lt;&gt;"",IF(MOD(INDEX(輔助計算!$D:$D, (MATCH(779, 輔助計算!$G$2:$G$801, 0)+1)),IF(INDEX(ERP資料!$G:$G, (MATCH(779, 輔助計算!$G$2:$G$801, 0)+1))&lt;100, IF(INDEX(ERP資料!$G:$G, (MATCH(779, 輔助計算!$G$2:$G$801, 0)+1))&lt;=31,3,IF(INDEX(ERP資料!$G:$G, (MATCH(779, 輔助計算!$G$2:$G$801, 0)+1))&lt;=46.5,2,1)), IF(INDEX(ERP資料!$G:$G, (MATCH(779, 輔助計算!$G$2:$G$801, 0)+1))&lt;=790,3,IF(INDEX(ERP資料!$G:$G, (MATCH(779, 輔助計算!$G$2:$G$801, 0)+1))&lt;=1181,2,1))))=0,"",IF(MOD(INDEX(輔助計算!$D:$D, (MATCH(779, 輔助計算!$G$2:$G$801, 0)+1)),IF(INDEX(ERP資料!$G:$G, (MATCH(779, 輔助計算!$G$2:$G$801, 0)+1))&lt;100, IF(INDEX(ERP資料!$G:$G, (MATCH(779, 輔助計算!$G$2:$G$801, 0)+1))&lt;=31,3,IF(INDEX(ERP資料!$G:$G, (MATCH(779, 輔助計算!$G$2:$G$801, 0)+1))&lt;=46.5,2,1)), IF(INDEX(ERP資料!$G:$G, (MATCH(779, 輔助計算!$G$2:$G$801, 0)+1))&lt;=790,3,IF(INDEX(ERP資料!$G:$G, (MATCH(779, 輔助計算!$G$2:$G$801, 0)+1))&lt;=1181,2,1))))=0,"",IF(MOD(INDEX(輔助計算!$D:$D, (MATCH(779, 輔助計算!$G$2:$G$801, 0)+1)),IF(INDEX(ERP資料!$G:$G, (MATCH(779, 輔助計算!$G$2:$G$801, 0)+1))&lt;100, IF(INDEX(ERP資料!$G:$G, (MATCH(779, 輔助計算!$G$2:$G$801, 0)+1))&lt;=31,3,IF(INDEX(ERP資料!$G:$G, (MATCH(779, 輔助計算!$G$2:$G$801, 0)+1))&lt;=46.5,2,1)), IF(INDEX(ERP資料!$G:$G, (MATCH(779, 輔助計算!$G$2:$G$801, 0)+1))&lt;=790,3,IF(INDEX(ERP資料!$G:$G, (MATCH(779, 輔助計算!$G$2:$G$801, 0)+1))&lt;=1181,2,1))))=1,TEXT(INDEX(ERP資料!$G:$G, (MATCH(779, 輔助計算!$G$2:$G$801, 0)+1)),"0.##"),IF(MOD(INDEX(輔助計算!$D:$D, (MATCH(779, 輔助計算!$G$2:$G$801, 0)+1)),IF(INDEX(ERP資料!$G:$G, (MATCH(779, 輔助計算!$G$2:$G$801, 0)+1))&lt;100, IF(INDEX(ERP資料!$G:$G, (MATCH(779, 輔助計算!$G$2:$G$801, 0)+1))&lt;=31,3,IF(INDEX(ERP資料!$G:$G, (MATCH(779, 輔助計算!$G$2:$G$801, 0)+1))&lt;=46.5,2,1)), IF(INDEX(ERP資料!$G:$G, (MATCH(779, 輔助計算!$G$2:$G$801, 0)+1))&lt;=790,3,IF(INDEX(ERP資料!$G:$G, (MATCH(779, 輔助計算!$G$2:$G$801, 0)+1))&lt;=1181,2,1))))=2,TEXT(INDEX(ERP資料!$G:$G, (MATCH(779, 輔助計算!$G$2:$G$801, 0)+1)),"0.##")&amp;"+"&amp;TEXT(INDEX(ERP資料!$G:$G, (MATCH(779, 輔助計算!$G$2:$G$801, 0)+1)),"0.##"),TEXT(INDEX(ERP資料!$G:$G, (MATCH(779, 輔助計算!$G$2:$G$801, 0)+1)),"0.##")&amp;"+"&amp;TEXT(INDEX(ERP資料!$G:$G, (MATCH(779, 輔助計算!$G$2:$G$801, 0)+1)),"0.##")&amp;"+"&amp;TEXT(INDEX(ERP資料!$G:$G, (MATCH(779, 輔助計算!$G$2:$G$801, 0)+1)),"0.##"))))&amp;"-1")&lt;&gt;""),"  ","")&amp;IF(MOD(INDEX(輔助計算!$D:$D, (MATCH(779, 輔助計算!$G$2:$G$801, 0)+1)),IF(INDEX(ERP資料!$G:$G, (MATCH(779, 輔助計算!$G$2:$G$801, 0)+1))&lt;100, IF(INDEX(ERP資料!$G:$G, (MATCH(779, 輔助計算!$G$2:$G$801, 0)+1))&lt;=31,3,IF(INDEX(ERP資料!$G:$G, (MATCH(779, 輔助計算!$G$2:$G$801, 0)+1))&lt;=46.5,2,1)), IF(INDEX(ERP資料!$G:$G, (MATCH(779, 輔助計算!$G$2:$G$801, 0)+1))&lt;=790,3,IF(INDEX(ERP資料!$G:$G, (MATCH(779, 輔助計算!$G$2:$G$801, 0)+1))&lt;=1181,2,1))))=0,"",IF(MOD(INDEX(輔助計算!$D:$D, (MATCH(779, 輔助計算!$G$2:$G$801, 0)+1)),IF(INDEX(ERP資料!$G:$G, (MATCH(779, 輔助計算!$G$2:$G$801, 0)+1))&lt;100, IF(INDEX(ERP資料!$G:$G, (MATCH(779, 輔助計算!$G$2:$G$801, 0)+1))&lt;=31,3,IF(INDEX(ERP資料!$G:$G, (MATCH(779, 輔助計算!$G$2:$G$801, 0)+1))&lt;=46.5,2,1)), IF(INDEX(ERP資料!$G:$G, (MATCH(779, 輔助計算!$G$2:$G$801, 0)+1))&lt;=790,3,IF(INDEX(ERP資料!$G:$G, (MATCH(779, 輔助計算!$G$2:$G$801, 0)+1))&lt;=1181,2,1))))=0,"",IF(MOD(INDEX(輔助計算!$D:$D, (MATCH(779, 輔助計算!$G$2:$G$801, 0)+1)),IF(INDEX(ERP資料!$G:$G, (MATCH(779, 輔助計算!$G$2:$G$801, 0)+1))&lt;100, IF(INDEX(ERP資料!$G:$G, (MATCH(779, 輔助計算!$G$2:$G$801, 0)+1))&lt;=31,3,IF(INDEX(ERP資料!$G:$G, (MATCH(779, 輔助計算!$G$2:$G$801, 0)+1))&lt;=46.5,2,1)), IF(INDEX(ERP資料!$G:$G, (MATCH(779, 輔助計算!$G$2:$G$801, 0)+1))&lt;=790,3,IF(INDEX(ERP資料!$G:$G, (MATCH(779, 輔助計算!$G$2:$G$801, 0)+1))&lt;=1181,2,1))))=1,TEXT(INDEX(ERP資料!$G:$G, (MATCH(779, 輔助計算!$G$2:$G$801, 0)+1)),"0.##"),IF(MOD(INDEX(輔助計算!$D:$D, (MATCH(779, 輔助計算!$G$2:$G$801, 0)+1)),IF(INDEX(ERP資料!$G:$G, (MATCH(779, 輔助計算!$G$2:$G$801, 0)+1))&lt;100, IF(INDEX(ERP資料!$G:$G, (MATCH(779, 輔助計算!$G$2:$G$801, 0)+1))&lt;=31,3,IF(INDEX(ERP資料!$G:$G, (MATCH(779, 輔助計算!$G$2:$G$801, 0)+1))&lt;=46.5,2,1)), IF(INDEX(ERP資料!$G:$G, (MATCH(779, 輔助計算!$G$2:$G$801, 0)+1))&lt;=790,3,IF(INDEX(ERP資料!$G:$G, (MATCH(779, 輔助計算!$G$2:$G$801, 0)+1))&lt;=1181,2,1))))=2,TEXT(INDEX(ERP資料!$G:$G, (MATCH(779, 輔助計算!$G$2:$G$801, 0)+1)),"0.##")&amp;"+"&amp;TEXT(INDEX(ERP資料!$G:$G, (MATCH(779, 輔助計算!$G$2:$G$801, 0)+1)),"0.##"),TEXT(INDEX(ERP資料!$G:$G, (MATCH(779, 輔助計算!$G$2:$G$801, 0)+1)),"0.##")&amp;"+"&amp;TEXT(INDEX(ERP資料!$G:$G, (MATCH(779, 輔助計算!$G$2:$G$801, 0)+1)),"0.##")&amp;"+"&amp;TEXT(INDEX(ERP資料!$G:$G, (MATCH(779, 輔助計算!$G$2:$G$801, 0)+1)),"0.##"))))&amp;"-1")), ""), "")</f>
        <v/>
      </c>
      <c r="K780" s="16" t="n"/>
      <c r="L780" s="14">
        <f>IFERROR(IF(AND(IFERROR(INDEX(ERP資料!$A:$A, (MATCH(779, 輔助計算!$G$2:$G$801, 0)+1)), "")&lt;&gt;"", IFERROR(INDEX(ERP資料!$A:$A, (MATCH(779, 輔助計算!$G$2:$G$801, 0)+1)), "")&lt;&gt;IFERROR(INDEX(ERP資料!$A:$A, MATCH(778, 輔助計算!$G$2:$G$801, 0)+1), "")), INDEX(ERP資料!$B:$B, (MATCH(779, 輔助計算!$G$2:$G$801, 0)+1)), ""), "")</f>
        <v/>
      </c>
      <c r="M780" s="17" t="n"/>
    </row>
    <row r="781">
      <c r="A781" s="10">
        <f>IFERROR(IF(AND(IFERROR(INDEX(ERP資料!$A:$A, (MATCH(780, 輔助計算!$G$2:$G$801, 0)+1)), "")&lt;&gt;"", IFERROR(INDEX(ERP資料!$A:$A, (MATCH(780, 輔助計算!$G$2:$G$801, 0)+1)), "")&lt;&gt;IFERROR(INDEX(ERP資料!$A:$A, MATCH(779, 輔助計算!$G$2:$G$801, 0)+1), "")), IFERROR(INDEX(ERP資料!$A:$A, (MATCH(780, 輔助計算!$G$2:$G$801, 0)+1)), ""), ""), "")</f>
        <v/>
      </c>
      <c r="B781" s="10">
        <f>IFERROR(IF(AND(IFERROR(INDEX(ERP資料!$A:$A, (MATCH(780, 輔助計算!$G$2:$G$801, 0)+1)), "")&lt;&gt;"", IFERROR(INDEX(ERP資料!$A:$A, (MATCH(780, 輔助計算!$G$2:$G$801, 0)+1)), "")&lt;&gt;IFERROR(INDEX(ERP資料!$A:$A, MATCH(779, 輔助計算!$G$2:$G$801, 0)+1), "")), INDEX(ERP資料!$S:$S, (MATCH(780, 輔助計算!$G$2:$G$801, 0)+1)), ""), "")</f>
        <v/>
      </c>
      <c r="C781" s="19">
        <f>IFERROR(IF(AND(IFERROR(INDEX(ERP資料!$A:$A, (MATCH(780, 輔助計算!$G$2:$G$801, 0)+1)), "")&lt;&gt;"", IFERROR(INDEX(ERP資料!$A:$A, (MATCH(780, 輔助計算!$G$2:$G$801, 0)+1)), "")&lt;&gt;IFERROR(INDEX(ERP資料!$A:$A, MATCH(779, 輔助計算!$G$2:$G$801, 0)+1), "")), IFERROR(VLOOKUP(LEFT(INDEX(ERP資料!$S:$S, (MATCH(780, 輔助計算!$G$2:$G$801, 0)+1)), 4), 紙管對照表!$A:$C, 3, FALSE), ""), ""), "")</f>
        <v/>
      </c>
      <c r="D781" s="16" t="n"/>
      <c r="E781" s="10">
        <f>IFERROR(IF(INDEX(ERP資料!$H:$H, (MATCH(780, 輔助計算!$G$2:$G$801, 0)+1))="","",INDEX(ERP資料!$H:$H, (MATCH(780, 輔助計算!$G$2:$G$801, 0)+1))), "")</f>
        <v/>
      </c>
      <c r="F781" s="10">
        <f>IFERROR(IF(INDEX(ERP資料!$E:$E, (MATCH(780, 輔助計算!$G$2:$G$801, 0)+1))="","",TRIM(INDEX(ERP資料!$E:$E, (MATCH(780, 輔助計算!$G$2:$G$801, 0)+1)))), "")</f>
        <v/>
      </c>
      <c r="G781" s="10">
        <f>IFERROR(IF(INDEX(ERP資料!$F:$F, (MATCH(780, 輔助計算!$G$2:$G$801, 0)+1))="","",INDEX(ERP資料!$F:$F, (MATCH(780, 輔助計算!$G$2:$G$801, 0)+1))), "")</f>
        <v/>
      </c>
      <c r="H781" s="10">
        <f>IFERROR(IF(INDEX(ERP資料!$G:$G, (MATCH(780, 輔助計算!$G$2:$G$801, 0)+1))="","",INDEX(ERP資料!$G:$G, (MATCH(780, 輔助計算!$G$2:$G$801, 0)+1))), "")</f>
        <v/>
      </c>
      <c r="I781" s="15">
        <f>IFERROR(INDEX(輔助計算!$D:$D, (MATCH(780, 輔助計算!$G$2:$G$801, 0)+1)), "")</f>
        <v/>
      </c>
      <c r="J781" s="15">
        <f>IFERROR(IF(AND(INDEX(輔助計算!$D:$D, (MATCH(780, 輔助計算!$G$2:$G$801, 0)+1))&lt;&gt;"", INDEX(ERP資料!$G:$G, (MATCH(780, 輔助計算!$G$2:$G$801, 0)+1))&lt;&gt;""), TRIM(IF(INT(INDEX(輔助計算!$D:$D, (MATCH(780, 輔助計算!$G$2:$G$801, 0)+1))/IF(INDEX(ERP資料!$G:$G, (MATCH(780, 輔助計算!$G$2:$G$801, 0)+1))&lt;100, IF(INDEX(ERP資料!$G:$G, (MATCH(780, 輔助計算!$G$2:$G$801, 0)+1))&lt;=31,3,IF(INDEX(ERP資料!$G:$G, (MATCH(780, 輔助計算!$G$2:$G$801, 0)+1))&lt;=46.5,2,1)), IF(INDEX(ERP資料!$G:$G, (MATCH(780, 輔助計算!$G$2:$G$801, 0)+1))&lt;=790,3,IF(INDEX(ERP資料!$G:$G, (MATCH(780, 輔助計算!$G$2:$G$801, 0)+1))&lt;=1181,2,1))))&gt;0, IF(IF(INDEX(ERP資料!$G:$G, (MATCH(780, 輔助計算!$G$2:$G$801, 0)+1))&lt;100, IF(INDEX(ERP資料!$G:$G, (MATCH(780, 輔助計算!$G$2:$G$801, 0)+1))&lt;=31,3,IF(INDEX(ERP資料!$G:$G, (MATCH(780, 輔助計算!$G$2:$G$801, 0)+1))&lt;=46.5,2,1)), IF(INDEX(ERP資料!$G:$G, (MATCH(780, 輔助計算!$G$2:$G$801, 0)+1))&lt;=790,3,IF(INDEX(ERP資料!$G:$G, (MATCH(780, 輔助計算!$G$2:$G$801, 0)+1))&lt;=1181,2,1)))=1,TEXT(INDEX(ERP資料!$G:$G, (MATCH(780, 輔助計算!$G$2:$G$801, 0)+1)),"0.##"),IF(IF(INDEX(ERP資料!$G:$G, (MATCH(780, 輔助計算!$G$2:$G$801, 0)+1))&lt;100, IF(INDEX(ERP資料!$G:$G, (MATCH(780, 輔助計算!$G$2:$G$801, 0)+1))&lt;=31,3,IF(INDEX(ERP資料!$G:$G, (MATCH(780, 輔助計算!$G$2:$G$801, 0)+1))&lt;=46.5,2,1)), IF(INDEX(ERP資料!$G:$G, (MATCH(780, 輔助計算!$G$2:$G$801, 0)+1))&lt;=790,3,IF(INDEX(ERP資料!$G:$G, (MATCH(780, 輔助計算!$G$2:$G$801, 0)+1))&lt;=1181,2,1)))=2,TEXT(INDEX(ERP資料!$G:$G, (MATCH(780, 輔助計算!$G$2:$G$801, 0)+1)),"0.##")&amp;"+"&amp;TEXT(INDEX(ERP資料!$G:$G, (MATCH(780, 輔助計算!$G$2:$G$801, 0)+1)),"0.##"),TEXT(INDEX(ERP資料!$G:$G, (MATCH(780, 輔助計算!$G$2:$G$801, 0)+1)),"0.##")&amp;"+"&amp;TEXT(INDEX(ERP資料!$G:$G, (MATCH(780, 輔助計算!$G$2:$G$801, 0)+1)),"0.##")&amp;"+"&amp;TEXT(INDEX(ERP資料!$G:$G, (MATCH(780, 輔助計算!$G$2:$G$801, 0)+1)),"0.##")))&amp;"-"&amp;INT(INDEX(輔助計算!$D:$D, (MATCH(780, 輔助計算!$G$2:$G$801, 0)+1))/IF(INDEX(ERP資料!$G:$G, (MATCH(780, 輔助計算!$G$2:$G$801, 0)+1))&lt;100, IF(INDEX(ERP資料!$G:$G, (MATCH(780, 輔助計算!$G$2:$G$801, 0)+1))&lt;=31,3,IF(INDEX(ERP資料!$G:$G, (MATCH(780, 輔助計算!$G$2:$G$801, 0)+1))&lt;=46.5,2,1)), IF(INDEX(ERP資料!$G:$G, (MATCH(780, 輔助計算!$G$2:$G$801, 0)+1))&lt;=790,3,IF(INDEX(ERP資料!$G:$G, (MATCH(780, 輔助計算!$G$2:$G$801, 0)+1))&lt;=1181,2,1)))), "")&amp;IF(AND(IF(INT(INDEX(輔助計算!$D:$D, (MATCH(780, 輔助計算!$G$2:$G$801, 0)+1))/IF(INDEX(ERP資料!$G:$G, (MATCH(780, 輔助計算!$G$2:$G$801, 0)+1))&lt;100, IF(INDEX(ERP資料!$G:$G, (MATCH(780, 輔助計算!$G$2:$G$801, 0)+1))&lt;=31,3,IF(INDEX(ERP資料!$G:$G, (MATCH(780, 輔助計算!$G$2:$G$801, 0)+1))&lt;=46.5,2,1)), IF(INDEX(ERP資料!$G:$G, (MATCH(780, 輔助計算!$G$2:$G$801, 0)+1))&lt;=790,3,IF(INDEX(ERP資料!$G:$G, (MATCH(780, 輔助計算!$G$2:$G$801, 0)+1))&lt;=1181,2,1))))&gt;0, IF(IF(INDEX(ERP資料!$G:$G, (MATCH(780, 輔助計算!$G$2:$G$801, 0)+1))&lt;100, IF(INDEX(ERP資料!$G:$G, (MATCH(780, 輔助計算!$G$2:$G$801, 0)+1))&lt;=31,3,IF(INDEX(ERP資料!$G:$G, (MATCH(780, 輔助計算!$G$2:$G$801, 0)+1))&lt;=46.5,2,1)), IF(INDEX(ERP資料!$G:$G, (MATCH(780, 輔助計算!$G$2:$G$801, 0)+1))&lt;=790,3,IF(INDEX(ERP資料!$G:$G, (MATCH(780, 輔助計算!$G$2:$G$801, 0)+1))&lt;=1181,2,1)))=1,TEXT(INDEX(ERP資料!$G:$G, (MATCH(780, 輔助計算!$G$2:$G$801, 0)+1)),"0.##"),IF(IF(INDEX(ERP資料!$G:$G, (MATCH(780, 輔助計算!$G$2:$G$801, 0)+1))&lt;100, IF(INDEX(ERP資料!$G:$G, (MATCH(780, 輔助計算!$G$2:$G$801, 0)+1))&lt;=31,3,IF(INDEX(ERP資料!$G:$G, (MATCH(780, 輔助計算!$G$2:$G$801, 0)+1))&lt;=46.5,2,1)), IF(INDEX(ERP資料!$G:$G, (MATCH(780, 輔助計算!$G$2:$G$801, 0)+1))&lt;=790,3,IF(INDEX(ERP資料!$G:$G, (MATCH(780, 輔助計算!$G$2:$G$801, 0)+1))&lt;=1181,2,1)))=2,TEXT(INDEX(ERP資料!$G:$G, (MATCH(780, 輔助計算!$G$2:$G$801, 0)+1)),"0.##")&amp;"+"&amp;TEXT(INDEX(ERP資料!$G:$G, (MATCH(780, 輔助計算!$G$2:$G$801, 0)+1)),"0.##"),TEXT(INDEX(ERP資料!$G:$G, (MATCH(780, 輔助計算!$G$2:$G$801, 0)+1)),"0.##")&amp;"+"&amp;TEXT(INDEX(ERP資料!$G:$G, (MATCH(780, 輔助計算!$G$2:$G$801, 0)+1)),"0.##")&amp;"+"&amp;TEXT(INDEX(ERP資料!$G:$G, (MATCH(780, 輔助計算!$G$2:$G$801, 0)+1)),"0.##")))&amp;"-"&amp;INT(INDEX(輔助計算!$D:$D, (MATCH(780, 輔助計算!$G$2:$G$801, 0)+1))/IF(INDEX(ERP資料!$G:$G, (MATCH(780, 輔助計算!$G$2:$G$801, 0)+1))&lt;100, IF(INDEX(ERP資料!$G:$G, (MATCH(780, 輔助計算!$G$2:$G$801, 0)+1))&lt;=31,3,IF(INDEX(ERP資料!$G:$G, (MATCH(780, 輔助計算!$G$2:$G$801, 0)+1))&lt;=46.5,2,1)), IF(INDEX(ERP資料!$G:$G, (MATCH(780, 輔助計算!$G$2:$G$801, 0)+1))&lt;=790,3,IF(INDEX(ERP資料!$G:$G, (MATCH(780, 輔助計算!$G$2:$G$801, 0)+1))&lt;=1181,2,1)))), "")&lt;&gt;"",IF(MOD(INDEX(輔助計算!$D:$D, (MATCH(780, 輔助計算!$G$2:$G$801, 0)+1)),IF(INDEX(ERP資料!$G:$G, (MATCH(780, 輔助計算!$G$2:$G$801, 0)+1))&lt;100, IF(INDEX(ERP資料!$G:$G, (MATCH(780, 輔助計算!$G$2:$G$801, 0)+1))&lt;=31,3,IF(INDEX(ERP資料!$G:$G, (MATCH(780, 輔助計算!$G$2:$G$801, 0)+1))&lt;=46.5,2,1)), IF(INDEX(ERP資料!$G:$G, (MATCH(780, 輔助計算!$G$2:$G$801, 0)+1))&lt;=790,3,IF(INDEX(ERP資料!$G:$G, (MATCH(780, 輔助計算!$G$2:$G$801, 0)+1))&lt;=1181,2,1))))=0,"",IF(MOD(INDEX(輔助計算!$D:$D, (MATCH(780, 輔助計算!$G$2:$G$801, 0)+1)),IF(INDEX(ERP資料!$G:$G, (MATCH(780, 輔助計算!$G$2:$G$801, 0)+1))&lt;100, IF(INDEX(ERP資料!$G:$G, (MATCH(780, 輔助計算!$G$2:$G$801, 0)+1))&lt;=31,3,IF(INDEX(ERP資料!$G:$G, (MATCH(780, 輔助計算!$G$2:$G$801, 0)+1))&lt;=46.5,2,1)), IF(INDEX(ERP資料!$G:$G, (MATCH(780, 輔助計算!$G$2:$G$801, 0)+1))&lt;=790,3,IF(INDEX(ERP資料!$G:$G, (MATCH(780, 輔助計算!$G$2:$G$801, 0)+1))&lt;=1181,2,1))))=0,"",IF(MOD(INDEX(輔助計算!$D:$D, (MATCH(780, 輔助計算!$G$2:$G$801, 0)+1)),IF(INDEX(ERP資料!$G:$G, (MATCH(780, 輔助計算!$G$2:$G$801, 0)+1))&lt;100, IF(INDEX(ERP資料!$G:$G, (MATCH(780, 輔助計算!$G$2:$G$801, 0)+1))&lt;=31,3,IF(INDEX(ERP資料!$G:$G, (MATCH(780, 輔助計算!$G$2:$G$801, 0)+1))&lt;=46.5,2,1)), IF(INDEX(ERP資料!$G:$G, (MATCH(780, 輔助計算!$G$2:$G$801, 0)+1))&lt;=790,3,IF(INDEX(ERP資料!$G:$G, (MATCH(780, 輔助計算!$G$2:$G$801, 0)+1))&lt;=1181,2,1))))=1,TEXT(INDEX(ERP資料!$G:$G, (MATCH(780, 輔助計算!$G$2:$G$801, 0)+1)),"0.##"),IF(MOD(INDEX(輔助計算!$D:$D, (MATCH(780, 輔助計算!$G$2:$G$801, 0)+1)),IF(INDEX(ERP資料!$G:$G, (MATCH(780, 輔助計算!$G$2:$G$801, 0)+1))&lt;100, IF(INDEX(ERP資料!$G:$G, (MATCH(780, 輔助計算!$G$2:$G$801, 0)+1))&lt;=31,3,IF(INDEX(ERP資料!$G:$G, (MATCH(780, 輔助計算!$G$2:$G$801, 0)+1))&lt;=46.5,2,1)), IF(INDEX(ERP資料!$G:$G, (MATCH(780, 輔助計算!$G$2:$G$801, 0)+1))&lt;=790,3,IF(INDEX(ERP資料!$G:$G, (MATCH(780, 輔助計算!$G$2:$G$801, 0)+1))&lt;=1181,2,1))))=2,TEXT(INDEX(ERP資料!$G:$G, (MATCH(780, 輔助計算!$G$2:$G$801, 0)+1)),"0.##")&amp;"+"&amp;TEXT(INDEX(ERP資料!$G:$G, (MATCH(780, 輔助計算!$G$2:$G$801, 0)+1)),"0.##"),TEXT(INDEX(ERP資料!$G:$G, (MATCH(780, 輔助計算!$G$2:$G$801, 0)+1)),"0.##")&amp;"+"&amp;TEXT(INDEX(ERP資料!$G:$G, (MATCH(780, 輔助計算!$G$2:$G$801, 0)+1)),"0.##")&amp;"+"&amp;TEXT(INDEX(ERP資料!$G:$G, (MATCH(780, 輔助計算!$G$2:$G$801, 0)+1)),"0.##"))))&amp;"-1")&lt;&gt;""),"  ","")&amp;IF(MOD(INDEX(輔助計算!$D:$D, (MATCH(780, 輔助計算!$G$2:$G$801, 0)+1)),IF(INDEX(ERP資料!$G:$G, (MATCH(780, 輔助計算!$G$2:$G$801, 0)+1))&lt;100, IF(INDEX(ERP資料!$G:$G, (MATCH(780, 輔助計算!$G$2:$G$801, 0)+1))&lt;=31,3,IF(INDEX(ERP資料!$G:$G, (MATCH(780, 輔助計算!$G$2:$G$801, 0)+1))&lt;=46.5,2,1)), IF(INDEX(ERP資料!$G:$G, (MATCH(780, 輔助計算!$G$2:$G$801, 0)+1))&lt;=790,3,IF(INDEX(ERP資料!$G:$G, (MATCH(780, 輔助計算!$G$2:$G$801, 0)+1))&lt;=1181,2,1))))=0,"",IF(MOD(INDEX(輔助計算!$D:$D, (MATCH(780, 輔助計算!$G$2:$G$801, 0)+1)),IF(INDEX(ERP資料!$G:$G, (MATCH(780, 輔助計算!$G$2:$G$801, 0)+1))&lt;100, IF(INDEX(ERP資料!$G:$G, (MATCH(780, 輔助計算!$G$2:$G$801, 0)+1))&lt;=31,3,IF(INDEX(ERP資料!$G:$G, (MATCH(780, 輔助計算!$G$2:$G$801, 0)+1))&lt;=46.5,2,1)), IF(INDEX(ERP資料!$G:$G, (MATCH(780, 輔助計算!$G$2:$G$801, 0)+1))&lt;=790,3,IF(INDEX(ERP資料!$G:$G, (MATCH(780, 輔助計算!$G$2:$G$801, 0)+1))&lt;=1181,2,1))))=0,"",IF(MOD(INDEX(輔助計算!$D:$D, (MATCH(780, 輔助計算!$G$2:$G$801, 0)+1)),IF(INDEX(ERP資料!$G:$G, (MATCH(780, 輔助計算!$G$2:$G$801, 0)+1))&lt;100, IF(INDEX(ERP資料!$G:$G, (MATCH(780, 輔助計算!$G$2:$G$801, 0)+1))&lt;=31,3,IF(INDEX(ERP資料!$G:$G, (MATCH(780, 輔助計算!$G$2:$G$801, 0)+1))&lt;=46.5,2,1)), IF(INDEX(ERP資料!$G:$G, (MATCH(780, 輔助計算!$G$2:$G$801, 0)+1))&lt;=790,3,IF(INDEX(ERP資料!$G:$G, (MATCH(780, 輔助計算!$G$2:$G$801, 0)+1))&lt;=1181,2,1))))=1,TEXT(INDEX(ERP資料!$G:$G, (MATCH(780, 輔助計算!$G$2:$G$801, 0)+1)),"0.##"),IF(MOD(INDEX(輔助計算!$D:$D, (MATCH(780, 輔助計算!$G$2:$G$801, 0)+1)),IF(INDEX(ERP資料!$G:$G, (MATCH(780, 輔助計算!$G$2:$G$801, 0)+1))&lt;100, IF(INDEX(ERP資料!$G:$G, (MATCH(780, 輔助計算!$G$2:$G$801, 0)+1))&lt;=31,3,IF(INDEX(ERP資料!$G:$G, (MATCH(780, 輔助計算!$G$2:$G$801, 0)+1))&lt;=46.5,2,1)), IF(INDEX(ERP資料!$G:$G, (MATCH(780, 輔助計算!$G$2:$G$801, 0)+1))&lt;=790,3,IF(INDEX(ERP資料!$G:$G, (MATCH(780, 輔助計算!$G$2:$G$801, 0)+1))&lt;=1181,2,1))))=2,TEXT(INDEX(ERP資料!$G:$G, (MATCH(780, 輔助計算!$G$2:$G$801, 0)+1)),"0.##")&amp;"+"&amp;TEXT(INDEX(ERP資料!$G:$G, (MATCH(780, 輔助計算!$G$2:$G$801, 0)+1)),"0.##"),TEXT(INDEX(ERP資料!$G:$G, (MATCH(780, 輔助計算!$G$2:$G$801, 0)+1)),"0.##")&amp;"+"&amp;TEXT(INDEX(ERP資料!$G:$G, (MATCH(780, 輔助計算!$G$2:$G$801, 0)+1)),"0.##")&amp;"+"&amp;TEXT(INDEX(ERP資料!$G:$G, (MATCH(780, 輔助計算!$G$2:$G$801, 0)+1)),"0.##"))))&amp;"-1")), ""), "")</f>
        <v/>
      </c>
      <c r="K781" s="16" t="n"/>
      <c r="L781" s="14">
        <f>IFERROR(IF(AND(IFERROR(INDEX(ERP資料!$A:$A, (MATCH(780, 輔助計算!$G$2:$G$801, 0)+1)), "")&lt;&gt;"", IFERROR(INDEX(ERP資料!$A:$A, (MATCH(780, 輔助計算!$G$2:$G$801, 0)+1)), "")&lt;&gt;IFERROR(INDEX(ERP資料!$A:$A, MATCH(779, 輔助計算!$G$2:$G$801, 0)+1), "")), INDEX(ERP資料!$B:$B, (MATCH(780, 輔助計算!$G$2:$G$801, 0)+1)), ""), "")</f>
        <v/>
      </c>
      <c r="M781" s="17" t="n"/>
    </row>
    <row r="782">
      <c r="A782" s="10">
        <f>IFERROR(IF(AND(IFERROR(INDEX(ERP資料!$A:$A, (MATCH(781, 輔助計算!$G$2:$G$801, 0)+1)), "")&lt;&gt;"", IFERROR(INDEX(ERP資料!$A:$A, (MATCH(781, 輔助計算!$G$2:$G$801, 0)+1)), "")&lt;&gt;IFERROR(INDEX(ERP資料!$A:$A, MATCH(780, 輔助計算!$G$2:$G$801, 0)+1), "")), IFERROR(INDEX(ERP資料!$A:$A, (MATCH(781, 輔助計算!$G$2:$G$801, 0)+1)), ""), ""), "")</f>
        <v/>
      </c>
      <c r="B782" s="10">
        <f>IFERROR(IF(AND(IFERROR(INDEX(ERP資料!$A:$A, (MATCH(781, 輔助計算!$G$2:$G$801, 0)+1)), "")&lt;&gt;"", IFERROR(INDEX(ERP資料!$A:$A, (MATCH(781, 輔助計算!$G$2:$G$801, 0)+1)), "")&lt;&gt;IFERROR(INDEX(ERP資料!$A:$A, MATCH(780, 輔助計算!$G$2:$G$801, 0)+1), "")), INDEX(ERP資料!$S:$S, (MATCH(781, 輔助計算!$G$2:$G$801, 0)+1)), ""), "")</f>
        <v/>
      </c>
      <c r="C782" s="19">
        <f>IFERROR(IF(AND(IFERROR(INDEX(ERP資料!$A:$A, (MATCH(781, 輔助計算!$G$2:$G$801, 0)+1)), "")&lt;&gt;"", IFERROR(INDEX(ERP資料!$A:$A, (MATCH(781, 輔助計算!$G$2:$G$801, 0)+1)), "")&lt;&gt;IFERROR(INDEX(ERP資料!$A:$A, MATCH(780, 輔助計算!$G$2:$G$801, 0)+1), "")), IFERROR(VLOOKUP(LEFT(INDEX(ERP資料!$S:$S, (MATCH(781, 輔助計算!$G$2:$G$801, 0)+1)), 4), 紙管對照表!$A:$C, 3, FALSE), ""), ""), "")</f>
        <v/>
      </c>
      <c r="D782" s="16" t="n"/>
      <c r="E782" s="10">
        <f>IFERROR(IF(INDEX(ERP資料!$H:$H, (MATCH(781, 輔助計算!$G$2:$G$801, 0)+1))="","",INDEX(ERP資料!$H:$H, (MATCH(781, 輔助計算!$G$2:$G$801, 0)+1))), "")</f>
        <v/>
      </c>
      <c r="F782" s="10">
        <f>IFERROR(IF(INDEX(ERP資料!$E:$E, (MATCH(781, 輔助計算!$G$2:$G$801, 0)+1))="","",TRIM(INDEX(ERP資料!$E:$E, (MATCH(781, 輔助計算!$G$2:$G$801, 0)+1)))), "")</f>
        <v/>
      </c>
      <c r="G782" s="10">
        <f>IFERROR(IF(INDEX(ERP資料!$F:$F, (MATCH(781, 輔助計算!$G$2:$G$801, 0)+1))="","",INDEX(ERP資料!$F:$F, (MATCH(781, 輔助計算!$G$2:$G$801, 0)+1))), "")</f>
        <v/>
      </c>
      <c r="H782" s="10">
        <f>IFERROR(IF(INDEX(ERP資料!$G:$G, (MATCH(781, 輔助計算!$G$2:$G$801, 0)+1))="","",INDEX(ERP資料!$G:$G, (MATCH(781, 輔助計算!$G$2:$G$801, 0)+1))), "")</f>
        <v/>
      </c>
      <c r="I782" s="15">
        <f>IFERROR(INDEX(輔助計算!$D:$D, (MATCH(781, 輔助計算!$G$2:$G$801, 0)+1)), "")</f>
        <v/>
      </c>
      <c r="J782" s="15">
        <f>IFERROR(IF(AND(INDEX(輔助計算!$D:$D, (MATCH(781, 輔助計算!$G$2:$G$801, 0)+1))&lt;&gt;"", INDEX(ERP資料!$G:$G, (MATCH(781, 輔助計算!$G$2:$G$801, 0)+1))&lt;&gt;""), TRIM(IF(INT(INDEX(輔助計算!$D:$D, (MATCH(781, 輔助計算!$G$2:$G$801, 0)+1))/IF(INDEX(ERP資料!$G:$G, (MATCH(781, 輔助計算!$G$2:$G$801, 0)+1))&lt;100, IF(INDEX(ERP資料!$G:$G, (MATCH(781, 輔助計算!$G$2:$G$801, 0)+1))&lt;=31,3,IF(INDEX(ERP資料!$G:$G, (MATCH(781, 輔助計算!$G$2:$G$801, 0)+1))&lt;=46.5,2,1)), IF(INDEX(ERP資料!$G:$G, (MATCH(781, 輔助計算!$G$2:$G$801, 0)+1))&lt;=790,3,IF(INDEX(ERP資料!$G:$G, (MATCH(781, 輔助計算!$G$2:$G$801, 0)+1))&lt;=1181,2,1))))&gt;0, IF(IF(INDEX(ERP資料!$G:$G, (MATCH(781, 輔助計算!$G$2:$G$801, 0)+1))&lt;100, IF(INDEX(ERP資料!$G:$G, (MATCH(781, 輔助計算!$G$2:$G$801, 0)+1))&lt;=31,3,IF(INDEX(ERP資料!$G:$G, (MATCH(781, 輔助計算!$G$2:$G$801, 0)+1))&lt;=46.5,2,1)), IF(INDEX(ERP資料!$G:$G, (MATCH(781, 輔助計算!$G$2:$G$801, 0)+1))&lt;=790,3,IF(INDEX(ERP資料!$G:$G, (MATCH(781, 輔助計算!$G$2:$G$801, 0)+1))&lt;=1181,2,1)))=1,TEXT(INDEX(ERP資料!$G:$G, (MATCH(781, 輔助計算!$G$2:$G$801, 0)+1)),"0.##"),IF(IF(INDEX(ERP資料!$G:$G, (MATCH(781, 輔助計算!$G$2:$G$801, 0)+1))&lt;100, IF(INDEX(ERP資料!$G:$G, (MATCH(781, 輔助計算!$G$2:$G$801, 0)+1))&lt;=31,3,IF(INDEX(ERP資料!$G:$G, (MATCH(781, 輔助計算!$G$2:$G$801, 0)+1))&lt;=46.5,2,1)), IF(INDEX(ERP資料!$G:$G, (MATCH(781, 輔助計算!$G$2:$G$801, 0)+1))&lt;=790,3,IF(INDEX(ERP資料!$G:$G, (MATCH(781, 輔助計算!$G$2:$G$801, 0)+1))&lt;=1181,2,1)))=2,TEXT(INDEX(ERP資料!$G:$G, (MATCH(781, 輔助計算!$G$2:$G$801, 0)+1)),"0.##")&amp;"+"&amp;TEXT(INDEX(ERP資料!$G:$G, (MATCH(781, 輔助計算!$G$2:$G$801, 0)+1)),"0.##"),TEXT(INDEX(ERP資料!$G:$G, (MATCH(781, 輔助計算!$G$2:$G$801, 0)+1)),"0.##")&amp;"+"&amp;TEXT(INDEX(ERP資料!$G:$G, (MATCH(781, 輔助計算!$G$2:$G$801, 0)+1)),"0.##")&amp;"+"&amp;TEXT(INDEX(ERP資料!$G:$G, (MATCH(781, 輔助計算!$G$2:$G$801, 0)+1)),"0.##")))&amp;"-"&amp;INT(INDEX(輔助計算!$D:$D, (MATCH(781, 輔助計算!$G$2:$G$801, 0)+1))/IF(INDEX(ERP資料!$G:$G, (MATCH(781, 輔助計算!$G$2:$G$801, 0)+1))&lt;100, IF(INDEX(ERP資料!$G:$G, (MATCH(781, 輔助計算!$G$2:$G$801, 0)+1))&lt;=31,3,IF(INDEX(ERP資料!$G:$G, (MATCH(781, 輔助計算!$G$2:$G$801, 0)+1))&lt;=46.5,2,1)), IF(INDEX(ERP資料!$G:$G, (MATCH(781, 輔助計算!$G$2:$G$801, 0)+1))&lt;=790,3,IF(INDEX(ERP資料!$G:$G, (MATCH(781, 輔助計算!$G$2:$G$801, 0)+1))&lt;=1181,2,1)))), "")&amp;IF(AND(IF(INT(INDEX(輔助計算!$D:$D, (MATCH(781, 輔助計算!$G$2:$G$801, 0)+1))/IF(INDEX(ERP資料!$G:$G, (MATCH(781, 輔助計算!$G$2:$G$801, 0)+1))&lt;100, IF(INDEX(ERP資料!$G:$G, (MATCH(781, 輔助計算!$G$2:$G$801, 0)+1))&lt;=31,3,IF(INDEX(ERP資料!$G:$G, (MATCH(781, 輔助計算!$G$2:$G$801, 0)+1))&lt;=46.5,2,1)), IF(INDEX(ERP資料!$G:$G, (MATCH(781, 輔助計算!$G$2:$G$801, 0)+1))&lt;=790,3,IF(INDEX(ERP資料!$G:$G, (MATCH(781, 輔助計算!$G$2:$G$801, 0)+1))&lt;=1181,2,1))))&gt;0, IF(IF(INDEX(ERP資料!$G:$G, (MATCH(781, 輔助計算!$G$2:$G$801, 0)+1))&lt;100, IF(INDEX(ERP資料!$G:$G, (MATCH(781, 輔助計算!$G$2:$G$801, 0)+1))&lt;=31,3,IF(INDEX(ERP資料!$G:$G, (MATCH(781, 輔助計算!$G$2:$G$801, 0)+1))&lt;=46.5,2,1)), IF(INDEX(ERP資料!$G:$G, (MATCH(781, 輔助計算!$G$2:$G$801, 0)+1))&lt;=790,3,IF(INDEX(ERP資料!$G:$G, (MATCH(781, 輔助計算!$G$2:$G$801, 0)+1))&lt;=1181,2,1)))=1,TEXT(INDEX(ERP資料!$G:$G, (MATCH(781, 輔助計算!$G$2:$G$801, 0)+1)),"0.##"),IF(IF(INDEX(ERP資料!$G:$G, (MATCH(781, 輔助計算!$G$2:$G$801, 0)+1))&lt;100, IF(INDEX(ERP資料!$G:$G, (MATCH(781, 輔助計算!$G$2:$G$801, 0)+1))&lt;=31,3,IF(INDEX(ERP資料!$G:$G, (MATCH(781, 輔助計算!$G$2:$G$801, 0)+1))&lt;=46.5,2,1)), IF(INDEX(ERP資料!$G:$G, (MATCH(781, 輔助計算!$G$2:$G$801, 0)+1))&lt;=790,3,IF(INDEX(ERP資料!$G:$G, (MATCH(781, 輔助計算!$G$2:$G$801, 0)+1))&lt;=1181,2,1)))=2,TEXT(INDEX(ERP資料!$G:$G, (MATCH(781, 輔助計算!$G$2:$G$801, 0)+1)),"0.##")&amp;"+"&amp;TEXT(INDEX(ERP資料!$G:$G, (MATCH(781, 輔助計算!$G$2:$G$801, 0)+1)),"0.##"),TEXT(INDEX(ERP資料!$G:$G, (MATCH(781, 輔助計算!$G$2:$G$801, 0)+1)),"0.##")&amp;"+"&amp;TEXT(INDEX(ERP資料!$G:$G, (MATCH(781, 輔助計算!$G$2:$G$801, 0)+1)),"0.##")&amp;"+"&amp;TEXT(INDEX(ERP資料!$G:$G, (MATCH(781, 輔助計算!$G$2:$G$801, 0)+1)),"0.##")))&amp;"-"&amp;INT(INDEX(輔助計算!$D:$D, (MATCH(781, 輔助計算!$G$2:$G$801, 0)+1))/IF(INDEX(ERP資料!$G:$G, (MATCH(781, 輔助計算!$G$2:$G$801, 0)+1))&lt;100, IF(INDEX(ERP資料!$G:$G, (MATCH(781, 輔助計算!$G$2:$G$801, 0)+1))&lt;=31,3,IF(INDEX(ERP資料!$G:$G, (MATCH(781, 輔助計算!$G$2:$G$801, 0)+1))&lt;=46.5,2,1)), IF(INDEX(ERP資料!$G:$G, (MATCH(781, 輔助計算!$G$2:$G$801, 0)+1))&lt;=790,3,IF(INDEX(ERP資料!$G:$G, (MATCH(781, 輔助計算!$G$2:$G$801, 0)+1))&lt;=1181,2,1)))), "")&lt;&gt;"",IF(MOD(INDEX(輔助計算!$D:$D, (MATCH(781, 輔助計算!$G$2:$G$801, 0)+1)),IF(INDEX(ERP資料!$G:$G, (MATCH(781, 輔助計算!$G$2:$G$801, 0)+1))&lt;100, IF(INDEX(ERP資料!$G:$G, (MATCH(781, 輔助計算!$G$2:$G$801, 0)+1))&lt;=31,3,IF(INDEX(ERP資料!$G:$G, (MATCH(781, 輔助計算!$G$2:$G$801, 0)+1))&lt;=46.5,2,1)), IF(INDEX(ERP資料!$G:$G, (MATCH(781, 輔助計算!$G$2:$G$801, 0)+1))&lt;=790,3,IF(INDEX(ERP資料!$G:$G, (MATCH(781, 輔助計算!$G$2:$G$801, 0)+1))&lt;=1181,2,1))))=0,"",IF(MOD(INDEX(輔助計算!$D:$D, (MATCH(781, 輔助計算!$G$2:$G$801, 0)+1)),IF(INDEX(ERP資料!$G:$G, (MATCH(781, 輔助計算!$G$2:$G$801, 0)+1))&lt;100, IF(INDEX(ERP資料!$G:$G, (MATCH(781, 輔助計算!$G$2:$G$801, 0)+1))&lt;=31,3,IF(INDEX(ERP資料!$G:$G, (MATCH(781, 輔助計算!$G$2:$G$801, 0)+1))&lt;=46.5,2,1)), IF(INDEX(ERP資料!$G:$G, (MATCH(781, 輔助計算!$G$2:$G$801, 0)+1))&lt;=790,3,IF(INDEX(ERP資料!$G:$G, (MATCH(781, 輔助計算!$G$2:$G$801, 0)+1))&lt;=1181,2,1))))=0,"",IF(MOD(INDEX(輔助計算!$D:$D, (MATCH(781, 輔助計算!$G$2:$G$801, 0)+1)),IF(INDEX(ERP資料!$G:$G, (MATCH(781, 輔助計算!$G$2:$G$801, 0)+1))&lt;100, IF(INDEX(ERP資料!$G:$G, (MATCH(781, 輔助計算!$G$2:$G$801, 0)+1))&lt;=31,3,IF(INDEX(ERP資料!$G:$G, (MATCH(781, 輔助計算!$G$2:$G$801, 0)+1))&lt;=46.5,2,1)), IF(INDEX(ERP資料!$G:$G, (MATCH(781, 輔助計算!$G$2:$G$801, 0)+1))&lt;=790,3,IF(INDEX(ERP資料!$G:$G, (MATCH(781, 輔助計算!$G$2:$G$801, 0)+1))&lt;=1181,2,1))))=1,TEXT(INDEX(ERP資料!$G:$G, (MATCH(781, 輔助計算!$G$2:$G$801, 0)+1)),"0.##"),IF(MOD(INDEX(輔助計算!$D:$D, (MATCH(781, 輔助計算!$G$2:$G$801, 0)+1)),IF(INDEX(ERP資料!$G:$G, (MATCH(781, 輔助計算!$G$2:$G$801, 0)+1))&lt;100, IF(INDEX(ERP資料!$G:$G, (MATCH(781, 輔助計算!$G$2:$G$801, 0)+1))&lt;=31,3,IF(INDEX(ERP資料!$G:$G, (MATCH(781, 輔助計算!$G$2:$G$801, 0)+1))&lt;=46.5,2,1)), IF(INDEX(ERP資料!$G:$G, (MATCH(781, 輔助計算!$G$2:$G$801, 0)+1))&lt;=790,3,IF(INDEX(ERP資料!$G:$G, (MATCH(781, 輔助計算!$G$2:$G$801, 0)+1))&lt;=1181,2,1))))=2,TEXT(INDEX(ERP資料!$G:$G, (MATCH(781, 輔助計算!$G$2:$G$801, 0)+1)),"0.##")&amp;"+"&amp;TEXT(INDEX(ERP資料!$G:$G, (MATCH(781, 輔助計算!$G$2:$G$801, 0)+1)),"0.##"),TEXT(INDEX(ERP資料!$G:$G, (MATCH(781, 輔助計算!$G$2:$G$801, 0)+1)),"0.##")&amp;"+"&amp;TEXT(INDEX(ERP資料!$G:$G, (MATCH(781, 輔助計算!$G$2:$G$801, 0)+1)),"0.##")&amp;"+"&amp;TEXT(INDEX(ERP資料!$G:$G, (MATCH(781, 輔助計算!$G$2:$G$801, 0)+1)),"0.##"))))&amp;"-1")&lt;&gt;""),"  ","")&amp;IF(MOD(INDEX(輔助計算!$D:$D, (MATCH(781, 輔助計算!$G$2:$G$801, 0)+1)),IF(INDEX(ERP資料!$G:$G, (MATCH(781, 輔助計算!$G$2:$G$801, 0)+1))&lt;100, IF(INDEX(ERP資料!$G:$G, (MATCH(781, 輔助計算!$G$2:$G$801, 0)+1))&lt;=31,3,IF(INDEX(ERP資料!$G:$G, (MATCH(781, 輔助計算!$G$2:$G$801, 0)+1))&lt;=46.5,2,1)), IF(INDEX(ERP資料!$G:$G, (MATCH(781, 輔助計算!$G$2:$G$801, 0)+1))&lt;=790,3,IF(INDEX(ERP資料!$G:$G, (MATCH(781, 輔助計算!$G$2:$G$801, 0)+1))&lt;=1181,2,1))))=0,"",IF(MOD(INDEX(輔助計算!$D:$D, (MATCH(781, 輔助計算!$G$2:$G$801, 0)+1)),IF(INDEX(ERP資料!$G:$G, (MATCH(781, 輔助計算!$G$2:$G$801, 0)+1))&lt;100, IF(INDEX(ERP資料!$G:$G, (MATCH(781, 輔助計算!$G$2:$G$801, 0)+1))&lt;=31,3,IF(INDEX(ERP資料!$G:$G, (MATCH(781, 輔助計算!$G$2:$G$801, 0)+1))&lt;=46.5,2,1)), IF(INDEX(ERP資料!$G:$G, (MATCH(781, 輔助計算!$G$2:$G$801, 0)+1))&lt;=790,3,IF(INDEX(ERP資料!$G:$G, (MATCH(781, 輔助計算!$G$2:$G$801, 0)+1))&lt;=1181,2,1))))=0,"",IF(MOD(INDEX(輔助計算!$D:$D, (MATCH(781, 輔助計算!$G$2:$G$801, 0)+1)),IF(INDEX(ERP資料!$G:$G, (MATCH(781, 輔助計算!$G$2:$G$801, 0)+1))&lt;100, IF(INDEX(ERP資料!$G:$G, (MATCH(781, 輔助計算!$G$2:$G$801, 0)+1))&lt;=31,3,IF(INDEX(ERP資料!$G:$G, (MATCH(781, 輔助計算!$G$2:$G$801, 0)+1))&lt;=46.5,2,1)), IF(INDEX(ERP資料!$G:$G, (MATCH(781, 輔助計算!$G$2:$G$801, 0)+1))&lt;=790,3,IF(INDEX(ERP資料!$G:$G, (MATCH(781, 輔助計算!$G$2:$G$801, 0)+1))&lt;=1181,2,1))))=1,TEXT(INDEX(ERP資料!$G:$G, (MATCH(781, 輔助計算!$G$2:$G$801, 0)+1)),"0.##"),IF(MOD(INDEX(輔助計算!$D:$D, (MATCH(781, 輔助計算!$G$2:$G$801, 0)+1)),IF(INDEX(ERP資料!$G:$G, (MATCH(781, 輔助計算!$G$2:$G$801, 0)+1))&lt;100, IF(INDEX(ERP資料!$G:$G, (MATCH(781, 輔助計算!$G$2:$G$801, 0)+1))&lt;=31,3,IF(INDEX(ERP資料!$G:$G, (MATCH(781, 輔助計算!$G$2:$G$801, 0)+1))&lt;=46.5,2,1)), IF(INDEX(ERP資料!$G:$G, (MATCH(781, 輔助計算!$G$2:$G$801, 0)+1))&lt;=790,3,IF(INDEX(ERP資料!$G:$G, (MATCH(781, 輔助計算!$G$2:$G$801, 0)+1))&lt;=1181,2,1))))=2,TEXT(INDEX(ERP資料!$G:$G, (MATCH(781, 輔助計算!$G$2:$G$801, 0)+1)),"0.##")&amp;"+"&amp;TEXT(INDEX(ERP資料!$G:$G, (MATCH(781, 輔助計算!$G$2:$G$801, 0)+1)),"0.##"),TEXT(INDEX(ERP資料!$G:$G, (MATCH(781, 輔助計算!$G$2:$G$801, 0)+1)),"0.##")&amp;"+"&amp;TEXT(INDEX(ERP資料!$G:$G, (MATCH(781, 輔助計算!$G$2:$G$801, 0)+1)),"0.##")&amp;"+"&amp;TEXT(INDEX(ERP資料!$G:$G, (MATCH(781, 輔助計算!$G$2:$G$801, 0)+1)),"0.##"))))&amp;"-1")), ""), "")</f>
        <v/>
      </c>
      <c r="K782" s="16" t="n"/>
      <c r="L782" s="14">
        <f>IFERROR(IF(AND(IFERROR(INDEX(ERP資料!$A:$A, (MATCH(781, 輔助計算!$G$2:$G$801, 0)+1)), "")&lt;&gt;"", IFERROR(INDEX(ERP資料!$A:$A, (MATCH(781, 輔助計算!$G$2:$G$801, 0)+1)), "")&lt;&gt;IFERROR(INDEX(ERP資料!$A:$A, MATCH(780, 輔助計算!$G$2:$G$801, 0)+1), "")), INDEX(ERP資料!$B:$B, (MATCH(781, 輔助計算!$G$2:$G$801, 0)+1)), ""), "")</f>
        <v/>
      </c>
      <c r="M782" s="17" t="n"/>
    </row>
    <row r="783">
      <c r="A783" s="10">
        <f>IFERROR(IF(AND(IFERROR(INDEX(ERP資料!$A:$A, (MATCH(782, 輔助計算!$G$2:$G$801, 0)+1)), "")&lt;&gt;"", IFERROR(INDEX(ERP資料!$A:$A, (MATCH(782, 輔助計算!$G$2:$G$801, 0)+1)), "")&lt;&gt;IFERROR(INDEX(ERP資料!$A:$A, MATCH(781, 輔助計算!$G$2:$G$801, 0)+1), "")), IFERROR(INDEX(ERP資料!$A:$A, (MATCH(782, 輔助計算!$G$2:$G$801, 0)+1)), ""), ""), "")</f>
        <v/>
      </c>
      <c r="B783" s="10">
        <f>IFERROR(IF(AND(IFERROR(INDEX(ERP資料!$A:$A, (MATCH(782, 輔助計算!$G$2:$G$801, 0)+1)), "")&lt;&gt;"", IFERROR(INDEX(ERP資料!$A:$A, (MATCH(782, 輔助計算!$G$2:$G$801, 0)+1)), "")&lt;&gt;IFERROR(INDEX(ERP資料!$A:$A, MATCH(781, 輔助計算!$G$2:$G$801, 0)+1), "")), INDEX(ERP資料!$S:$S, (MATCH(782, 輔助計算!$G$2:$G$801, 0)+1)), ""), "")</f>
        <v/>
      </c>
      <c r="C783" s="19">
        <f>IFERROR(IF(AND(IFERROR(INDEX(ERP資料!$A:$A, (MATCH(782, 輔助計算!$G$2:$G$801, 0)+1)), "")&lt;&gt;"", IFERROR(INDEX(ERP資料!$A:$A, (MATCH(782, 輔助計算!$G$2:$G$801, 0)+1)), "")&lt;&gt;IFERROR(INDEX(ERP資料!$A:$A, MATCH(781, 輔助計算!$G$2:$G$801, 0)+1), "")), IFERROR(VLOOKUP(LEFT(INDEX(ERP資料!$S:$S, (MATCH(782, 輔助計算!$G$2:$G$801, 0)+1)), 4), 紙管對照表!$A:$C, 3, FALSE), ""), ""), "")</f>
        <v/>
      </c>
      <c r="D783" s="16" t="n"/>
      <c r="E783" s="10">
        <f>IFERROR(IF(INDEX(ERP資料!$H:$H, (MATCH(782, 輔助計算!$G$2:$G$801, 0)+1))="","",INDEX(ERP資料!$H:$H, (MATCH(782, 輔助計算!$G$2:$G$801, 0)+1))), "")</f>
        <v/>
      </c>
      <c r="F783" s="10">
        <f>IFERROR(IF(INDEX(ERP資料!$E:$E, (MATCH(782, 輔助計算!$G$2:$G$801, 0)+1))="","",TRIM(INDEX(ERP資料!$E:$E, (MATCH(782, 輔助計算!$G$2:$G$801, 0)+1)))), "")</f>
        <v/>
      </c>
      <c r="G783" s="10">
        <f>IFERROR(IF(INDEX(ERP資料!$F:$F, (MATCH(782, 輔助計算!$G$2:$G$801, 0)+1))="","",INDEX(ERP資料!$F:$F, (MATCH(782, 輔助計算!$G$2:$G$801, 0)+1))), "")</f>
        <v/>
      </c>
      <c r="H783" s="10">
        <f>IFERROR(IF(INDEX(ERP資料!$G:$G, (MATCH(782, 輔助計算!$G$2:$G$801, 0)+1))="","",INDEX(ERP資料!$G:$G, (MATCH(782, 輔助計算!$G$2:$G$801, 0)+1))), "")</f>
        <v/>
      </c>
      <c r="I783" s="15">
        <f>IFERROR(INDEX(輔助計算!$D:$D, (MATCH(782, 輔助計算!$G$2:$G$801, 0)+1)), "")</f>
        <v/>
      </c>
      <c r="J783" s="15">
        <f>IFERROR(IF(AND(INDEX(輔助計算!$D:$D, (MATCH(782, 輔助計算!$G$2:$G$801, 0)+1))&lt;&gt;"", INDEX(ERP資料!$G:$G, (MATCH(782, 輔助計算!$G$2:$G$801, 0)+1))&lt;&gt;""), TRIM(IF(INT(INDEX(輔助計算!$D:$D, (MATCH(782, 輔助計算!$G$2:$G$801, 0)+1))/IF(INDEX(ERP資料!$G:$G, (MATCH(782, 輔助計算!$G$2:$G$801, 0)+1))&lt;100, IF(INDEX(ERP資料!$G:$G, (MATCH(782, 輔助計算!$G$2:$G$801, 0)+1))&lt;=31,3,IF(INDEX(ERP資料!$G:$G, (MATCH(782, 輔助計算!$G$2:$G$801, 0)+1))&lt;=46.5,2,1)), IF(INDEX(ERP資料!$G:$G, (MATCH(782, 輔助計算!$G$2:$G$801, 0)+1))&lt;=790,3,IF(INDEX(ERP資料!$G:$G, (MATCH(782, 輔助計算!$G$2:$G$801, 0)+1))&lt;=1181,2,1))))&gt;0, IF(IF(INDEX(ERP資料!$G:$G, (MATCH(782, 輔助計算!$G$2:$G$801, 0)+1))&lt;100, IF(INDEX(ERP資料!$G:$G, (MATCH(782, 輔助計算!$G$2:$G$801, 0)+1))&lt;=31,3,IF(INDEX(ERP資料!$G:$G, (MATCH(782, 輔助計算!$G$2:$G$801, 0)+1))&lt;=46.5,2,1)), IF(INDEX(ERP資料!$G:$G, (MATCH(782, 輔助計算!$G$2:$G$801, 0)+1))&lt;=790,3,IF(INDEX(ERP資料!$G:$G, (MATCH(782, 輔助計算!$G$2:$G$801, 0)+1))&lt;=1181,2,1)))=1,TEXT(INDEX(ERP資料!$G:$G, (MATCH(782, 輔助計算!$G$2:$G$801, 0)+1)),"0.##"),IF(IF(INDEX(ERP資料!$G:$G, (MATCH(782, 輔助計算!$G$2:$G$801, 0)+1))&lt;100, IF(INDEX(ERP資料!$G:$G, (MATCH(782, 輔助計算!$G$2:$G$801, 0)+1))&lt;=31,3,IF(INDEX(ERP資料!$G:$G, (MATCH(782, 輔助計算!$G$2:$G$801, 0)+1))&lt;=46.5,2,1)), IF(INDEX(ERP資料!$G:$G, (MATCH(782, 輔助計算!$G$2:$G$801, 0)+1))&lt;=790,3,IF(INDEX(ERP資料!$G:$G, (MATCH(782, 輔助計算!$G$2:$G$801, 0)+1))&lt;=1181,2,1)))=2,TEXT(INDEX(ERP資料!$G:$G, (MATCH(782, 輔助計算!$G$2:$G$801, 0)+1)),"0.##")&amp;"+"&amp;TEXT(INDEX(ERP資料!$G:$G, (MATCH(782, 輔助計算!$G$2:$G$801, 0)+1)),"0.##"),TEXT(INDEX(ERP資料!$G:$G, (MATCH(782, 輔助計算!$G$2:$G$801, 0)+1)),"0.##")&amp;"+"&amp;TEXT(INDEX(ERP資料!$G:$G, (MATCH(782, 輔助計算!$G$2:$G$801, 0)+1)),"0.##")&amp;"+"&amp;TEXT(INDEX(ERP資料!$G:$G, (MATCH(782, 輔助計算!$G$2:$G$801, 0)+1)),"0.##")))&amp;"-"&amp;INT(INDEX(輔助計算!$D:$D, (MATCH(782, 輔助計算!$G$2:$G$801, 0)+1))/IF(INDEX(ERP資料!$G:$G, (MATCH(782, 輔助計算!$G$2:$G$801, 0)+1))&lt;100, IF(INDEX(ERP資料!$G:$G, (MATCH(782, 輔助計算!$G$2:$G$801, 0)+1))&lt;=31,3,IF(INDEX(ERP資料!$G:$G, (MATCH(782, 輔助計算!$G$2:$G$801, 0)+1))&lt;=46.5,2,1)), IF(INDEX(ERP資料!$G:$G, (MATCH(782, 輔助計算!$G$2:$G$801, 0)+1))&lt;=790,3,IF(INDEX(ERP資料!$G:$G, (MATCH(782, 輔助計算!$G$2:$G$801, 0)+1))&lt;=1181,2,1)))), "")&amp;IF(AND(IF(INT(INDEX(輔助計算!$D:$D, (MATCH(782, 輔助計算!$G$2:$G$801, 0)+1))/IF(INDEX(ERP資料!$G:$G, (MATCH(782, 輔助計算!$G$2:$G$801, 0)+1))&lt;100, IF(INDEX(ERP資料!$G:$G, (MATCH(782, 輔助計算!$G$2:$G$801, 0)+1))&lt;=31,3,IF(INDEX(ERP資料!$G:$G, (MATCH(782, 輔助計算!$G$2:$G$801, 0)+1))&lt;=46.5,2,1)), IF(INDEX(ERP資料!$G:$G, (MATCH(782, 輔助計算!$G$2:$G$801, 0)+1))&lt;=790,3,IF(INDEX(ERP資料!$G:$G, (MATCH(782, 輔助計算!$G$2:$G$801, 0)+1))&lt;=1181,2,1))))&gt;0, IF(IF(INDEX(ERP資料!$G:$G, (MATCH(782, 輔助計算!$G$2:$G$801, 0)+1))&lt;100, IF(INDEX(ERP資料!$G:$G, (MATCH(782, 輔助計算!$G$2:$G$801, 0)+1))&lt;=31,3,IF(INDEX(ERP資料!$G:$G, (MATCH(782, 輔助計算!$G$2:$G$801, 0)+1))&lt;=46.5,2,1)), IF(INDEX(ERP資料!$G:$G, (MATCH(782, 輔助計算!$G$2:$G$801, 0)+1))&lt;=790,3,IF(INDEX(ERP資料!$G:$G, (MATCH(782, 輔助計算!$G$2:$G$801, 0)+1))&lt;=1181,2,1)))=1,TEXT(INDEX(ERP資料!$G:$G, (MATCH(782, 輔助計算!$G$2:$G$801, 0)+1)),"0.##"),IF(IF(INDEX(ERP資料!$G:$G, (MATCH(782, 輔助計算!$G$2:$G$801, 0)+1))&lt;100, IF(INDEX(ERP資料!$G:$G, (MATCH(782, 輔助計算!$G$2:$G$801, 0)+1))&lt;=31,3,IF(INDEX(ERP資料!$G:$G, (MATCH(782, 輔助計算!$G$2:$G$801, 0)+1))&lt;=46.5,2,1)), IF(INDEX(ERP資料!$G:$G, (MATCH(782, 輔助計算!$G$2:$G$801, 0)+1))&lt;=790,3,IF(INDEX(ERP資料!$G:$G, (MATCH(782, 輔助計算!$G$2:$G$801, 0)+1))&lt;=1181,2,1)))=2,TEXT(INDEX(ERP資料!$G:$G, (MATCH(782, 輔助計算!$G$2:$G$801, 0)+1)),"0.##")&amp;"+"&amp;TEXT(INDEX(ERP資料!$G:$G, (MATCH(782, 輔助計算!$G$2:$G$801, 0)+1)),"0.##"),TEXT(INDEX(ERP資料!$G:$G, (MATCH(782, 輔助計算!$G$2:$G$801, 0)+1)),"0.##")&amp;"+"&amp;TEXT(INDEX(ERP資料!$G:$G, (MATCH(782, 輔助計算!$G$2:$G$801, 0)+1)),"0.##")&amp;"+"&amp;TEXT(INDEX(ERP資料!$G:$G, (MATCH(782, 輔助計算!$G$2:$G$801, 0)+1)),"0.##")))&amp;"-"&amp;INT(INDEX(輔助計算!$D:$D, (MATCH(782, 輔助計算!$G$2:$G$801, 0)+1))/IF(INDEX(ERP資料!$G:$G, (MATCH(782, 輔助計算!$G$2:$G$801, 0)+1))&lt;100, IF(INDEX(ERP資料!$G:$G, (MATCH(782, 輔助計算!$G$2:$G$801, 0)+1))&lt;=31,3,IF(INDEX(ERP資料!$G:$G, (MATCH(782, 輔助計算!$G$2:$G$801, 0)+1))&lt;=46.5,2,1)), IF(INDEX(ERP資料!$G:$G, (MATCH(782, 輔助計算!$G$2:$G$801, 0)+1))&lt;=790,3,IF(INDEX(ERP資料!$G:$G, (MATCH(782, 輔助計算!$G$2:$G$801, 0)+1))&lt;=1181,2,1)))), "")&lt;&gt;"",IF(MOD(INDEX(輔助計算!$D:$D, (MATCH(782, 輔助計算!$G$2:$G$801, 0)+1)),IF(INDEX(ERP資料!$G:$G, (MATCH(782, 輔助計算!$G$2:$G$801, 0)+1))&lt;100, IF(INDEX(ERP資料!$G:$G, (MATCH(782, 輔助計算!$G$2:$G$801, 0)+1))&lt;=31,3,IF(INDEX(ERP資料!$G:$G, (MATCH(782, 輔助計算!$G$2:$G$801, 0)+1))&lt;=46.5,2,1)), IF(INDEX(ERP資料!$G:$G, (MATCH(782, 輔助計算!$G$2:$G$801, 0)+1))&lt;=790,3,IF(INDEX(ERP資料!$G:$G, (MATCH(782, 輔助計算!$G$2:$G$801, 0)+1))&lt;=1181,2,1))))=0,"",IF(MOD(INDEX(輔助計算!$D:$D, (MATCH(782, 輔助計算!$G$2:$G$801, 0)+1)),IF(INDEX(ERP資料!$G:$G, (MATCH(782, 輔助計算!$G$2:$G$801, 0)+1))&lt;100, IF(INDEX(ERP資料!$G:$G, (MATCH(782, 輔助計算!$G$2:$G$801, 0)+1))&lt;=31,3,IF(INDEX(ERP資料!$G:$G, (MATCH(782, 輔助計算!$G$2:$G$801, 0)+1))&lt;=46.5,2,1)), IF(INDEX(ERP資料!$G:$G, (MATCH(782, 輔助計算!$G$2:$G$801, 0)+1))&lt;=790,3,IF(INDEX(ERP資料!$G:$G, (MATCH(782, 輔助計算!$G$2:$G$801, 0)+1))&lt;=1181,2,1))))=0,"",IF(MOD(INDEX(輔助計算!$D:$D, (MATCH(782, 輔助計算!$G$2:$G$801, 0)+1)),IF(INDEX(ERP資料!$G:$G, (MATCH(782, 輔助計算!$G$2:$G$801, 0)+1))&lt;100, IF(INDEX(ERP資料!$G:$G, (MATCH(782, 輔助計算!$G$2:$G$801, 0)+1))&lt;=31,3,IF(INDEX(ERP資料!$G:$G, (MATCH(782, 輔助計算!$G$2:$G$801, 0)+1))&lt;=46.5,2,1)), IF(INDEX(ERP資料!$G:$G, (MATCH(782, 輔助計算!$G$2:$G$801, 0)+1))&lt;=790,3,IF(INDEX(ERP資料!$G:$G, (MATCH(782, 輔助計算!$G$2:$G$801, 0)+1))&lt;=1181,2,1))))=1,TEXT(INDEX(ERP資料!$G:$G, (MATCH(782, 輔助計算!$G$2:$G$801, 0)+1)),"0.##"),IF(MOD(INDEX(輔助計算!$D:$D, (MATCH(782, 輔助計算!$G$2:$G$801, 0)+1)),IF(INDEX(ERP資料!$G:$G, (MATCH(782, 輔助計算!$G$2:$G$801, 0)+1))&lt;100, IF(INDEX(ERP資料!$G:$G, (MATCH(782, 輔助計算!$G$2:$G$801, 0)+1))&lt;=31,3,IF(INDEX(ERP資料!$G:$G, (MATCH(782, 輔助計算!$G$2:$G$801, 0)+1))&lt;=46.5,2,1)), IF(INDEX(ERP資料!$G:$G, (MATCH(782, 輔助計算!$G$2:$G$801, 0)+1))&lt;=790,3,IF(INDEX(ERP資料!$G:$G, (MATCH(782, 輔助計算!$G$2:$G$801, 0)+1))&lt;=1181,2,1))))=2,TEXT(INDEX(ERP資料!$G:$G, (MATCH(782, 輔助計算!$G$2:$G$801, 0)+1)),"0.##")&amp;"+"&amp;TEXT(INDEX(ERP資料!$G:$G, (MATCH(782, 輔助計算!$G$2:$G$801, 0)+1)),"0.##"),TEXT(INDEX(ERP資料!$G:$G, (MATCH(782, 輔助計算!$G$2:$G$801, 0)+1)),"0.##")&amp;"+"&amp;TEXT(INDEX(ERP資料!$G:$G, (MATCH(782, 輔助計算!$G$2:$G$801, 0)+1)),"0.##")&amp;"+"&amp;TEXT(INDEX(ERP資料!$G:$G, (MATCH(782, 輔助計算!$G$2:$G$801, 0)+1)),"0.##"))))&amp;"-1")&lt;&gt;""),"  ","")&amp;IF(MOD(INDEX(輔助計算!$D:$D, (MATCH(782, 輔助計算!$G$2:$G$801, 0)+1)),IF(INDEX(ERP資料!$G:$G, (MATCH(782, 輔助計算!$G$2:$G$801, 0)+1))&lt;100, IF(INDEX(ERP資料!$G:$G, (MATCH(782, 輔助計算!$G$2:$G$801, 0)+1))&lt;=31,3,IF(INDEX(ERP資料!$G:$G, (MATCH(782, 輔助計算!$G$2:$G$801, 0)+1))&lt;=46.5,2,1)), IF(INDEX(ERP資料!$G:$G, (MATCH(782, 輔助計算!$G$2:$G$801, 0)+1))&lt;=790,3,IF(INDEX(ERP資料!$G:$G, (MATCH(782, 輔助計算!$G$2:$G$801, 0)+1))&lt;=1181,2,1))))=0,"",IF(MOD(INDEX(輔助計算!$D:$D, (MATCH(782, 輔助計算!$G$2:$G$801, 0)+1)),IF(INDEX(ERP資料!$G:$G, (MATCH(782, 輔助計算!$G$2:$G$801, 0)+1))&lt;100, IF(INDEX(ERP資料!$G:$G, (MATCH(782, 輔助計算!$G$2:$G$801, 0)+1))&lt;=31,3,IF(INDEX(ERP資料!$G:$G, (MATCH(782, 輔助計算!$G$2:$G$801, 0)+1))&lt;=46.5,2,1)), IF(INDEX(ERP資料!$G:$G, (MATCH(782, 輔助計算!$G$2:$G$801, 0)+1))&lt;=790,3,IF(INDEX(ERP資料!$G:$G, (MATCH(782, 輔助計算!$G$2:$G$801, 0)+1))&lt;=1181,2,1))))=0,"",IF(MOD(INDEX(輔助計算!$D:$D, (MATCH(782, 輔助計算!$G$2:$G$801, 0)+1)),IF(INDEX(ERP資料!$G:$G, (MATCH(782, 輔助計算!$G$2:$G$801, 0)+1))&lt;100, IF(INDEX(ERP資料!$G:$G, (MATCH(782, 輔助計算!$G$2:$G$801, 0)+1))&lt;=31,3,IF(INDEX(ERP資料!$G:$G, (MATCH(782, 輔助計算!$G$2:$G$801, 0)+1))&lt;=46.5,2,1)), IF(INDEX(ERP資料!$G:$G, (MATCH(782, 輔助計算!$G$2:$G$801, 0)+1))&lt;=790,3,IF(INDEX(ERP資料!$G:$G, (MATCH(782, 輔助計算!$G$2:$G$801, 0)+1))&lt;=1181,2,1))))=1,TEXT(INDEX(ERP資料!$G:$G, (MATCH(782, 輔助計算!$G$2:$G$801, 0)+1)),"0.##"),IF(MOD(INDEX(輔助計算!$D:$D, (MATCH(782, 輔助計算!$G$2:$G$801, 0)+1)),IF(INDEX(ERP資料!$G:$G, (MATCH(782, 輔助計算!$G$2:$G$801, 0)+1))&lt;100, IF(INDEX(ERP資料!$G:$G, (MATCH(782, 輔助計算!$G$2:$G$801, 0)+1))&lt;=31,3,IF(INDEX(ERP資料!$G:$G, (MATCH(782, 輔助計算!$G$2:$G$801, 0)+1))&lt;=46.5,2,1)), IF(INDEX(ERP資料!$G:$G, (MATCH(782, 輔助計算!$G$2:$G$801, 0)+1))&lt;=790,3,IF(INDEX(ERP資料!$G:$G, (MATCH(782, 輔助計算!$G$2:$G$801, 0)+1))&lt;=1181,2,1))))=2,TEXT(INDEX(ERP資料!$G:$G, (MATCH(782, 輔助計算!$G$2:$G$801, 0)+1)),"0.##")&amp;"+"&amp;TEXT(INDEX(ERP資料!$G:$G, (MATCH(782, 輔助計算!$G$2:$G$801, 0)+1)),"0.##"),TEXT(INDEX(ERP資料!$G:$G, (MATCH(782, 輔助計算!$G$2:$G$801, 0)+1)),"0.##")&amp;"+"&amp;TEXT(INDEX(ERP資料!$G:$G, (MATCH(782, 輔助計算!$G$2:$G$801, 0)+1)),"0.##")&amp;"+"&amp;TEXT(INDEX(ERP資料!$G:$G, (MATCH(782, 輔助計算!$G$2:$G$801, 0)+1)),"0.##"))))&amp;"-1")), ""), "")</f>
        <v/>
      </c>
      <c r="K783" s="16" t="n"/>
      <c r="L783" s="14">
        <f>IFERROR(IF(AND(IFERROR(INDEX(ERP資料!$A:$A, (MATCH(782, 輔助計算!$G$2:$G$801, 0)+1)), "")&lt;&gt;"", IFERROR(INDEX(ERP資料!$A:$A, (MATCH(782, 輔助計算!$G$2:$G$801, 0)+1)), "")&lt;&gt;IFERROR(INDEX(ERP資料!$A:$A, MATCH(781, 輔助計算!$G$2:$G$801, 0)+1), "")), INDEX(ERP資料!$B:$B, (MATCH(782, 輔助計算!$G$2:$G$801, 0)+1)), ""), "")</f>
        <v/>
      </c>
      <c r="M783" s="17" t="n"/>
    </row>
    <row r="784">
      <c r="A784" s="10">
        <f>IFERROR(IF(AND(IFERROR(INDEX(ERP資料!$A:$A, (MATCH(783, 輔助計算!$G$2:$G$801, 0)+1)), "")&lt;&gt;"", IFERROR(INDEX(ERP資料!$A:$A, (MATCH(783, 輔助計算!$G$2:$G$801, 0)+1)), "")&lt;&gt;IFERROR(INDEX(ERP資料!$A:$A, MATCH(782, 輔助計算!$G$2:$G$801, 0)+1), "")), IFERROR(INDEX(ERP資料!$A:$A, (MATCH(783, 輔助計算!$G$2:$G$801, 0)+1)), ""), ""), "")</f>
        <v/>
      </c>
      <c r="B784" s="10">
        <f>IFERROR(IF(AND(IFERROR(INDEX(ERP資料!$A:$A, (MATCH(783, 輔助計算!$G$2:$G$801, 0)+1)), "")&lt;&gt;"", IFERROR(INDEX(ERP資料!$A:$A, (MATCH(783, 輔助計算!$G$2:$G$801, 0)+1)), "")&lt;&gt;IFERROR(INDEX(ERP資料!$A:$A, MATCH(782, 輔助計算!$G$2:$G$801, 0)+1), "")), INDEX(ERP資料!$S:$S, (MATCH(783, 輔助計算!$G$2:$G$801, 0)+1)), ""), "")</f>
        <v/>
      </c>
      <c r="C784" s="19">
        <f>IFERROR(IF(AND(IFERROR(INDEX(ERP資料!$A:$A, (MATCH(783, 輔助計算!$G$2:$G$801, 0)+1)), "")&lt;&gt;"", IFERROR(INDEX(ERP資料!$A:$A, (MATCH(783, 輔助計算!$G$2:$G$801, 0)+1)), "")&lt;&gt;IFERROR(INDEX(ERP資料!$A:$A, MATCH(782, 輔助計算!$G$2:$G$801, 0)+1), "")), IFERROR(VLOOKUP(LEFT(INDEX(ERP資料!$S:$S, (MATCH(783, 輔助計算!$G$2:$G$801, 0)+1)), 4), 紙管對照表!$A:$C, 3, FALSE), ""), ""), "")</f>
        <v/>
      </c>
      <c r="D784" s="16" t="n"/>
      <c r="E784" s="10">
        <f>IFERROR(IF(INDEX(ERP資料!$H:$H, (MATCH(783, 輔助計算!$G$2:$G$801, 0)+1))="","",INDEX(ERP資料!$H:$H, (MATCH(783, 輔助計算!$G$2:$G$801, 0)+1))), "")</f>
        <v/>
      </c>
      <c r="F784" s="10">
        <f>IFERROR(IF(INDEX(ERP資料!$E:$E, (MATCH(783, 輔助計算!$G$2:$G$801, 0)+1))="","",TRIM(INDEX(ERP資料!$E:$E, (MATCH(783, 輔助計算!$G$2:$G$801, 0)+1)))), "")</f>
        <v/>
      </c>
      <c r="G784" s="10">
        <f>IFERROR(IF(INDEX(ERP資料!$F:$F, (MATCH(783, 輔助計算!$G$2:$G$801, 0)+1))="","",INDEX(ERP資料!$F:$F, (MATCH(783, 輔助計算!$G$2:$G$801, 0)+1))), "")</f>
        <v/>
      </c>
      <c r="H784" s="10">
        <f>IFERROR(IF(INDEX(ERP資料!$G:$G, (MATCH(783, 輔助計算!$G$2:$G$801, 0)+1))="","",INDEX(ERP資料!$G:$G, (MATCH(783, 輔助計算!$G$2:$G$801, 0)+1))), "")</f>
        <v/>
      </c>
      <c r="I784" s="15">
        <f>IFERROR(INDEX(輔助計算!$D:$D, (MATCH(783, 輔助計算!$G$2:$G$801, 0)+1)), "")</f>
        <v/>
      </c>
      <c r="J784" s="15">
        <f>IFERROR(IF(AND(INDEX(輔助計算!$D:$D, (MATCH(783, 輔助計算!$G$2:$G$801, 0)+1))&lt;&gt;"", INDEX(ERP資料!$G:$G, (MATCH(783, 輔助計算!$G$2:$G$801, 0)+1))&lt;&gt;""), TRIM(IF(INT(INDEX(輔助計算!$D:$D, (MATCH(783, 輔助計算!$G$2:$G$801, 0)+1))/IF(INDEX(ERP資料!$G:$G, (MATCH(783, 輔助計算!$G$2:$G$801, 0)+1))&lt;100, IF(INDEX(ERP資料!$G:$G, (MATCH(783, 輔助計算!$G$2:$G$801, 0)+1))&lt;=31,3,IF(INDEX(ERP資料!$G:$G, (MATCH(783, 輔助計算!$G$2:$G$801, 0)+1))&lt;=46.5,2,1)), IF(INDEX(ERP資料!$G:$G, (MATCH(783, 輔助計算!$G$2:$G$801, 0)+1))&lt;=790,3,IF(INDEX(ERP資料!$G:$G, (MATCH(783, 輔助計算!$G$2:$G$801, 0)+1))&lt;=1181,2,1))))&gt;0, IF(IF(INDEX(ERP資料!$G:$G, (MATCH(783, 輔助計算!$G$2:$G$801, 0)+1))&lt;100, IF(INDEX(ERP資料!$G:$G, (MATCH(783, 輔助計算!$G$2:$G$801, 0)+1))&lt;=31,3,IF(INDEX(ERP資料!$G:$G, (MATCH(783, 輔助計算!$G$2:$G$801, 0)+1))&lt;=46.5,2,1)), IF(INDEX(ERP資料!$G:$G, (MATCH(783, 輔助計算!$G$2:$G$801, 0)+1))&lt;=790,3,IF(INDEX(ERP資料!$G:$G, (MATCH(783, 輔助計算!$G$2:$G$801, 0)+1))&lt;=1181,2,1)))=1,TEXT(INDEX(ERP資料!$G:$G, (MATCH(783, 輔助計算!$G$2:$G$801, 0)+1)),"0.##"),IF(IF(INDEX(ERP資料!$G:$G, (MATCH(783, 輔助計算!$G$2:$G$801, 0)+1))&lt;100, IF(INDEX(ERP資料!$G:$G, (MATCH(783, 輔助計算!$G$2:$G$801, 0)+1))&lt;=31,3,IF(INDEX(ERP資料!$G:$G, (MATCH(783, 輔助計算!$G$2:$G$801, 0)+1))&lt;=46.5,2,1)), IF(INDEX(ERP資料!$G:$G, (MATCH(783, 輔助計算!$G$2:$G$801, 0)+1))&lt;=790,3,IF(INDEX(ERP資料!$G:$G, (MATCH(783, 輔助計算!$G$2:$G$801, 0)+1))&lt;=1181,2,1)))=2,TEXT(INDEX(ERP資料!$G:$G, (MATCH(783, 輔助計算!$G$2:$G$801, 0)+1)),"0.##")&amp;"+"&amp;TEXT(INDEX(ERP資料!$G:$G, (MATCH(783, 輔助計算!$G$2:$G$801, 0)+1)),"0.##"),TEXT(INDEX(ERP資料!$G:$G, (MATCH(783, 輔助計算!$G$2:$G$801, 0)+1)),"0.##")&amp;"+"&amp;TEXT(INDEX(ERP資料!$G:$G, (MATCH(783, 輔助計算!$G$2:$G$801, 0)+1)),"0.##")&amp;"+"&amp;TEXT(INDEX(ERP資料!$G:$G, (MATCH(783, 輔助計算!$G$2:$G$801, 0)+1)),"0.##")))&amp;"-"&amp;INT(INDEX(輔助計算!$D:$D, (MATCH(783, 輔助計算!$G$2:$G$801, 0)+1))/IF(INDEX(ERP資料!$G:$G, (MATCH(783, 輔助計算!$G$2:$G$801, 0)+1))&lt;100, IF(INDEX(ERP資料!$G:$G, (MATCH(783, 輔助計算!$G$2:$G$801, 0)+1))&lt;=31,3,IF(INDEX(ERP資料!$G:$G, (MATCH(783, 輔助計算!$G$2:$G$801, 0)+1))&lt;=46.5,2,1)), IF(INDEX(ERP資料!$G:$G, (MATCH(783, 輔助計算!$G$2:$G$801, 0)+1))&lt;=790,3,IF(INDEX(ERP資料!$G:$G, (MATCH(783, 輔助計算!$G$2:$G$801, 0)+1))&lt;=1181,2,1)))), "")&amp;IF(AND(IF(INT(INDEX(輔助計算!$D:$D, (MATCH(783, 輔助計算!$G$2:$G$801, 0)+1))/IF(INDEX(ERP資料!$G:$G, (MATCH(783, 輔助計算!$G$2:$G$801, 0)+1))&lt;100, IF(INDEX(ERP資料!$G:$G, (MATCH(783, 輔助計算!$G$2:$G$801, 0)+1))&lt;=31,3,IF(INDEX(ERP資料!$G:$G, (MATCH(783, 輔助計算!$G$2:$G$801, 0)+1))&lt;=46.5,2,1)), IF(INDEX(ERP資料!$G:$G, (MATCH(783, 輔助計算!$G$2:$G$801, 0)+1))&lt;=790,3,IF(INDEX(ERP資料!$G:$G, (MATCH(783, 輔助計算!$G$2:$G$801, 0)+1))&lt;=1181,2,1))))&gt;0, IF(IF(INDEX(ERP資料!$G:$G, (MATCH(783, 輔助計算!$G$2:$G$801, 0)+1))&lt;100, IF(INDEX(ERP資料!$G:$G, (MATCH(783, 輔助計算!$G$2:$G$801, 0)+1))&lt;=31,3,IF(INDEX(ERP資料!$G:$G, (MATCH(783, 輔助計算!$G$2:$G$801, 0)+1))&lt;=46.5,2,1)), IF(INDEX(ERP資料!$G:$G, (MATCH(783, 輔助計算!$G$2:$G$801, 0)+1))&lt;=790,3,IF(INDEX(ERP資料!$G:$G, (MATCH(783, 輔助計算!$G$2:$G$801, 0)+1))&lt;=1181,2,1)))=1,TEXT(INDEX(ERP資料!$G:$G, (MATCH(783, 輔助計算!$G$2:$G$801, 0)+1)),"0.##"),IF(IF(INDEX(ERP資料!$G:$G, (MATCH(783, 輔助計算!$G$2:$G$801, 0)+1))&lt;100, IF(INDEX(ERP資料!$G:$G, (MATCH(783, 輔助計算!$G$2:$G$801, 0)+1))&lt;=31,3,IF(INDEX(ERP資料!$G:$G, (MATCH(783, 輔助計算!$G$2:$G$801, 0)+1))&lt;=46.5,2,1)), IF(INDEX(ERP資料!$G:$G, (MATCH(783, 輔助計算!$G$2:$G$801, 0)+1))&lt;=790,3,IF(INDEX(ERP資料!$G:$G, (MATCH(783, 輔助計算!$G$2:$G$801, 0)+1))&lt;=1181,2,1)))=2,TEXT(INDEX(ERP資料!$G:$G, (MATCH(783, 輔助計算!$G$2:$G$801, 0)+1)),"0.##")&amp;"+"&amp;TEXT(INDEX(ERP資料!$G:$G, (MATCH(783, 輔助計算!$G$2:$G$801, 0)+1)),"0.##"),TEXT(INDEX(ERP資料!$G:$G, (MATCH(783, 輔助計算!$G$2:$G$801, 0)+1)),"0.##")&amp;"+"&amp;TEXT(INDEX(ERP資料!$G:$G, (MATCH(783, 輔助計算!$G$2:$G$801, 0)+1)),"0.##")&amp;"+"&amp;TEXT(INDEX(ERP資料!$G:$G, (MATCH(783, 輔助計算!$G$2:$G$801, 0)+1)),"0.##")))&amp;"-"&amp;INT(INDEX(輔助計算!$D:$D, (MATCH(783, 輔助計算!$G$2:$G$801, 0)+1))/IF(INDEX(ERP資料!$G:$G, (MATCH(783, 輔助計算!$G$2:$G$801, 0)+1))&lt;100, IF(INDEX(ERP資料!$G:$G, (MATCH(783, 輔助計算!$G$2:$G$801, 0)+1))&lt;=31,3,IF(INDEX(ERP資料!$G:$G, (MATCH(783, 輔助計算!$G$2:$G$801, 0)+1))&lt;=46.5,2,1)), IF(INDEX(ERP資料!$G:$G, (MATCH(783, 輔助計算!$G$2:$G$801, 0)+1))&lt;=790,3,IF(INDEX(ERP資料!$G:$G, (MATCH(783, 輔助計算!$G$2:$G$801, 0)+1))&lt;=1181,2,1)))), "")&lt;&gt;"",IF(MOD(INDEX(輔助計算!$D:$D, (MATCH(783, 輔助計算!$G$2:$G$801, 0)+1)),IF(INDEX(ERP資料!$G:$G, (MATCH(783, 輔助計算!$G$2:$G$801, 0)+1))&lt;100, IF(INDEX(ERP資料!$G:$G, (MATCH(783, 輔助計算!$G$2:$G$801, 0)+1))&lt;=31,3,IF(INDEX(ERP資料!$G:$G, (MATCH(783, 輔助計算!$G$2:$G$801, 0)+1))&lt;=46.5,2,1)), IF(INDEX(ERP資料!$G:$G, (MATCH(783, 輔助計算!$G$2:$G$801, 0)+1))&lt;=790,3,IF(INDEX(ERP資料!$G:$G, (MATCH(783, 輔助計算!$G$2:$G$801, 0)+1))&lt;=1181,2,1))))=0,"",IF(MOD(INDEX(輔助計算!$D:$D, (MATCH(783, 輔助計算!$G$2:$G$801, 0)+1)),IF(INDEX(ERP資料!$G:$G, (MATCH(783, 輔助計算!$G$2:$G$801, 0)+1))&lt;100, IF(INDEX(ERP資料!$G:$G, (MATCH(783, 輔助計算!$G$2:$G$801, 0)+1))&lt;=31,3,IF(INDEX(ERP資料!$G:$G, (MATCH(783, 輔助計算!$G$2:$G$801, 0)+1))&lt;=46.5,2,1)), IF(INDEX(ERP資料!$G:$G, (MATCH(783, 輔助計算!$G$2:$G$801, 0)+1))&lt;=790,3,IF(INDEX(ERP資料!$G:$G, (MATCH(783, 輔助計算!$G$2:$G$801, 0)+1))&lt;=1181,2,1))))=0,"",IF(MOD(INDEX(輔助計算!$D:$D, (MATCH(783, 輔助計算!$G$2:$G$801, 0)+1)),IF(INDEX(ERP資料!$G:$G, (MATCH(783, 輔助計算!$G$2:$G$801, 0)+1))&lt;100, IF(INDEX(ERP資料!$G:$G, (MATCH(783, 輔助計算!$G$2:$G$801, 0)+1))&lt;=31,3,IF(INDEX(ERP資料!$G:$G, (MATCH(783, 輔助計算!$G$2:$G$801, 0)+1))&lt;=46.5,2,1)), IF(INDEX(ERP資料!$G:$G, (MATCH(783, 輔助計算!$G$2:$G$801, 0)+1))&lt;=790,3,IF(INDEX(ERP資料!$G:$G, (MATCH(783, 輔助計算!$G$2:$G$801, 0)+1))&lt;=1181,2,1))))=1,TEXT(INDEX(ERP資料!$G:$G, (MATCH(783, 輔助計算!$G$2:$G$801, 0)+1)),"0.##"),IF(MOD(INDEX(輔助計算!$D:$D, (MATCH(783, 輔助計算!$G$2:$G$801, 0)+1)),IF(INDEX(ERP資料!$G:$G, (MATCH(783, 輔助計算!$G$2:$G$801, 0)+1))&lt;100, IF(INDEX(ERP資料!$G:$G, (MATCH(783, 輔助計算!$G$2:$G$801, 0)+1))&lt;=31,3,IF(INDEX(ERP資料!$G:$G, (MATCH(783, 輔助計算!$G$2:$G$801, 0)+1))&lt;=46.5,2,1)), IF(INDEX(ERP資料!$G:$G, (MATCH(783, 輔助計算!$G$2:$G$801, 0)+1))&lt;=790,3,IF(INDEX(ERP資料!$G:$G, (MATCH(783, 輔助計算!$G$2:$G$801, 0)+1))&lt;=1181,2,1))))=2,TEXT(INDEX(ERP資料!$G:$G, (MATCH(783, 輔助計算!$G$2:$G$801, 0)+1)),"0.##")&amp;"+"&amp;TEXT(INDEX(ERP資料!$G:$G, (MATCH(783, 輔助計算!$G$2:$G$801, 0)+1)),"0.##"),TEXT(INDEX(ERP資料!$G:$G, (MATCH(783, 輔助計算!$G$2:$G$801, 0)+1)),"0.##")&amp;"+"&amp;TEXT(INDEX(ERP資料!$G:$G, (MATCH(783, 輔助計算!$G$2:$G$801, 0)+1)),"0.##")&amp;"+"&amp;TEXT(INDEX(ERP資料!$G:$G, (MATCH(783, 輔助計算!$G$2:$G$801, 0)+1)),"0.##"))))&amp;"-1")&lt;&gt;""),"  ","")&amp;IF(MOD(INDEX(輔助計算!$D:$D, (MATCH(783, 輔助計算!$G$2:$G$801, 0)+1)),IF(INDEX(ERP資料!$G:$G, (MATCH(783, 輔助計算!$G$2:$G$801, 0)+1))&lt;100, IF(INDEX(ERP資料!$G:$G, (MATCH(783, 輔助計算!$G$2:$G$801, 0)+1))&lt;=31,3,IF(INDEX(ERP資料!$G:$G, (MATCH(783, 輔助計算!$G$2:$G$801, 0)+1))&lt;=46.5,2,1)), IF(INDEX(ERP資料!$G:$G, (MATCH(783, 輔助計算!$G$2:$G$801, 0)+1))&lt;=790,3,IF(INDEX(ERP資料!$G:$G, (MATCH(783, 輔助計算!$G$2:$G$801, 0)+1))&lt;=1181,2,1))))=0,"",IF(MOD(INDEX(輔助計算!$D:$D, (MATCH(783, 輔助計算!$G$2:$G$801, 0)+1)),IF(INDEX(ERP資料!$G:$G, (MATCH(783, 輔助計算!$G$2:$G$801, 0)+1))&lt;100, IF(INDEX(ERP資料!$G:$G, (MATCH(783, 輔助計算!$G$2:$G$801, 0)+1))&lt;=31,3,IF(INDEX(ERP資料!$G:$G, (MATCH(783, 輔助計算!$G$2:$G$801, 0)+1))&lt;=46.5,2,1)), IF(INDEX(ERP資料!$G:$G, (MATCH(783, 輔助計算!$G$2:$G$801, 0)+1))&lt;=790,3,IF(INDEX(ERP資料!$G:$G, (MATCH(783, 輔助計算!$G$2:$G$801, 0)+1))&lt;=1181,2,1))))=0,"",IF(MOD(INDEX(輔助計算!$D:$D, (MATCH(783, 輔助計算!$G$2:$G$801, 0)+1)),IF(INDEX(ERP資料!$G:$G, (MATCH(783, 輔助計算!$G$2:$G$801, 0)+1))&lt;100, IF(INDEX(ERP資料!$G:$G, (MATCH(783, 輔助計算!$G$2:$G$801, 0)+1))&lt;=31,3,IF(INDEX(ERP資料!$G:$G, (MATCH(783, 輔助計算!$G$2:$G$801, 0)+1))&lt;=46.5,2,1)), IF(INDEX(ERP資料!$G:$G, (MATCH(783, 輔助計算!$G$2:$G$801, 0)+1))&lt;=790,3,IF(INDEX(ERP資料!$G:$G, (MATCH(783, 輔助計算!$G$2:$G$801, 0)+1))&lt;=1181,2,1))))=1,TEXT(INDEX(ERP資料!$G:$G, (MATCH(783, 輔助計算!$G$2:$G$801, 0)+1)),"0.##"),IF(MOD(INDEX(輔助計算!$D:$D, (MATCH(783, 輔助計算!$G$2:$G$801, 0)+1)),IF(INDEX(ERP資料!$G:$G, (MATCH(783, 輔助計算!$G$2:$G$801, 0)+1))&lt;100, IF(INDEX(ERP資料!$G:$G, (MATCH(783, 輔助計算!$G$2:$G$801, 0)+1))&lt;=31,3,IF(INDEX(ERP資料!$G:$G, (MATCH(783, 輔助計算!$G$2:$G$801, 0)+1))&lt;=46.5,2,1)), IF(INDEX(ERP資料!$G:$G, (MATCH(783, 輔助計算!$G$2:$G$801, 0)+1))&lt;=790,3,IF(INDEX(ERP資料!$G:$G, (MATCH(783, 輔助計算!$G$2:$G$801, 0)+1))&lt;=1181,2,1))))=2,TEXT(INDEX(ERP資料!$G:$G, (MATCH(783, 輔助計算!$G$2:$G$801, 0)+1)),"0.##")&amp;"+"&amp;TEXT(INDEX(ERP資料!$G:$G, (MATCH(783, 輔助計算!$G$2:$G$801, 0)+1)),"0.##"),TEXT(INDEX(ERP資料!$G:$G, (MATCH(783, 輔助計算!$G$2:$G$801, 0)+1)),"0.##")&amp;"+"&amp;TEXT(INDEX(ERP資料!$G:$G, (MATCH(783, 輔助計算!$G$2:$G$801, 0)+1)),"0.##")&amp;"+"&amp;TEXT(INDEX(ERP資料!$G:$G, (MATCH(783, 輔助計算!$G$2:$G$801, 0)+1)),"0.##"))))&amp;"-1")), ""), "")</f>
        <v/>
      </c>
      <c r="K784" s="16" t="n"/>
      <c r="L784" s="14">
        <f>IFERROR(IF(AND(IFERROR(INDEX(ERP資料!$A:$A, (MATCH(783, 輔助計算!$G$2:$G$801, 0)+1)), "")&lt;&gt;"", IFERROR(INDEX(ERP資料!$A:$A, (MATCH(783, 輔助計算!$G$2:$G$801, 0)+1)), "")&lt;&gt;IFERROR(INDEX(ERP資料!$A:$A, MATCH(782, 輔助計算!$G$2:$G$801, 0)+1), "")), INDEX(ERP資料!$B:$B, (MATCH(783, 輔助計算!$G$2:$G$801, 0)+1)), ""), "")</f>
        <v/>
      </c>
      <c r="M784" s="17" t="n"/>
    </row>
    <row r="785">
      <c r="A785" s="10">
        <f>IFERROR(IF(AND(IFERROR(INDEX(ERP資料!$A:$A, (MATCH(784, 輔助計算!$G$2:$G$801, 0)+1)), "")&lt;&gt;"", IFERROR(INDEX(ERP資料!$A:$A, (MATCH(784, 輔助計算!$G$2:$G$801, 0)+1)), "")&lt;&gt;IFERROR(INDEX(ERP資料!$A:$A, MATCH(783, 輔助計算!$G$2:$G$801, 0)+1), "")), IFERROR(INDEX(ERP資料!$A:$A, (MATCH(784, 輔助計算!$G$2:$G$801, 0)+1)), ""), ""), "")</f>
        <v/>
      </c>
      <c r="B785" s="10">
        <f>IFERROR(IF(AND(IFERROR(INDEX(ERP資料!$A:$A, (MATCH(784, 輔助計算!$G$2:$G$801, 0)+1)), "")&lt;&gt;"", IFERROR(INDEX(ERP資料!$A:$A, (MATCH(784, 輔助計算!$G$2:$G$801, 0)+1)), "")&lt;&gt;IFERROR(INDEX(ERP資料!$A:$A, MATCH(783, 輔助計算!$G$2:$G$801, 0)+1), "")), INDEX(ERP資料!$S:$S, (MATCH(784, 輔助計算!$G$2:$G$801, 0)+1)), ""), "")</f>
        <v/>
      </c>
      <c r="C785" s="19">
        <f>IFERROR(IF(AND(IFERROR(INDEX(ERP資料!$A:$A, (MATCH(784, 輔助計算!$G$2:$G$801, 0)+1)), "")&lt;&gt;"", IFERROR(INDEX(ERP資料!$A:$A, (MATCH(784, 輔助計算!$G$2:$G$801, 0)+1)), "")&lt;&gt;IFERROR(INDEX(ERP資料!$A:$A, MATCH(783, 輔助計算!$G$2:$G$801, 0)+1), "")), IFERROR(VLOOKUP(LEFT(INDEX(ERP資料!$S:$S, (MATCH(784, 輔助計算!$G$2:$G$801, 0)+1)), 4), 紙管對照表!$A:$C, 3, FALSE), ""), ""), "")</f>
        <v/>
      </c>
      <c r="D785" s="16" t="n"/>
      <c r="E785" s="10">
        <f>IFERROR(IF(INDEX(ERP資料!$H:$H, (MATCH(784, 輔助計算!$G$2:$G$801, 0)+1))="","",INDEX(ERP資料!$H:$H, (MATCH(784, 輔助計算!$G$2:$G$801, 0)+1))), "")</f>
        <v/>
      </c>
      <c r="F785" s="10">
        <f>IFERROR(IF(INDEX(ERP資料!$E:$E, (MATCH(784, 輔助計算!$G$2:$G$801, 0)+1))="","",TRIM(INDEX(ERP資料!$E:$E, (MATCH(784, 輔助計算!$G$2:$G$801, 0)+1)))), "")</f>
        <v/>
      </c>
      <c r="G785" s="10">
        <f>IFERROR(IF(INDEX(ERP資料!$F:$F, (MATCH(784, 輔助計算!$G$2:$G$801, 0)+1))="","",INDEX(ERP資料!$F:$F, (MATCH(784, 輔助計算!$G$2:$G$801, 0)+1))), "")</f>
        <v/>
      </c>
      <c r="H785" s="10">
        <f>IFERROR(IF(INDEX(ERP資料!$G:$G, (MATCH(784, 輔助計算!$G$2:$G$801, 0)+1))="","",INDEX(ERP資料!$G:$G, (MATCH(784, 輔助計算!$G$2:$G$801, 0)+1))), "")</f>
        <v/>
      </c>
      <c r="I785" s="15">
        <f>IFERROR(INDEX(輔助計算!$D:$D, (MATCH(784, 輔助計算!$G$2:$G$801, 0)+1)), "")</f>
        <v/>
      </c>
      <c r="J785" s="15">
        <f>IFERROR(IF(AND(INDEX(輔助計算!$D:$D, (MATCH(784, 輔助計算!$G$2:$G$801, 0)+1))&lt;&gt;"", INDEX(ERP資料!$G:$G, (MATCH(784, 輔助計算!$G$2:$G$801, 0)+1))&lt;&gt;""), TRIM(IF(INT(INDEX(輔助計算!$D:$D, (MATCH(784, 輔助計算!$G$2:$G$801, 0)+1))/IF(INDEX(ERP資料!$G:$G, (MATCH(784, 輔助計算!$G$2:$G$801, 0)+1))&lt;100, IF(INDEX(ERP資料!$G:$G, (MATCH(784, 輔助計算!$G$2:$G$801, 0)+1))&lt;=31,3,IF(INDEX(ERP資料!$G:$G, (MATCH(784, 輔助計算!$G$2:$G$801, 0)+1))&lt;=46.5,2,1)), IF(INDEX(ERP資料!$G:$G, (MATCH(784, 輔助計算!$G$2:$G$801, 0)+1))&lt;=790,3,IF(INDEX(ERP資料!$G:$G, (MATCH(784, 輔助計算!$G$2:$G$801, 0)+1))&lt;=1181,2,1))))&gt;0, IF(IF(INDEX(ERP資料!$G:$G, (MATCH(784, 輔助計算!$G$2:$G$801, 0)+1))&lt;100, IF(INDEX(ERP資料!$G:$G, (MATCH(784, 輔助計算!$G$2:$G$801, 0)+1))&lt;=31,3,IF(INDEX(ERP資料!$G:$G, (MATCH(784, 輔助計算!$G$2:$G$801, 0)+1))&lt;=46.5,2,1)), IF(INDEX(ERP資料!$G:$G, (MATCH(784, 輔助計算!$G$2:$G$801, 0)+1))&lt;=790,3,IF(INDEX(ERP資料!$G:$G, (MATCH(784, 輔助計算!$G$2:$G$801, 0)+1))&lt;=1181,2,1)))=1,TEXT(INDEX(ERP資料!$G:$G, (MATCH(784, 輔助計算!$G$2:$G$801, 0)+1)),"0.##"),IF(IF(INDEX(ERP資料!$G:$G, (MATCH(784, 輔助計算!$G$2:$G$801, 0)+1))&lt;100, IF(INDEX(ERP資料!$G:$G, (MATCH(784, 輔助計算!$G$2:$G$801, 0)+1))&lt;=31,3,IF(INDEX(ERP資料!$G:$G, (MATCH(784, 輔助計算!$G$2:$G$801, 0)+1))&lt;=46.5,2,1)), IF(INDEX(ERP資料!$G:$G, (MATCH(784, 輔助計算!$G$2:$G$801, 0)+1))&lt;=790,3,IF(INDEX(ERP資料!$G:$G, (MATCH(784, 輔助計算!$G$2:$G$801, 0)+1))&lt;=1181,2,1)))=2,TEXT(INDEX(ERP資料!$G:$G, (MATCH(784, 輔助計算!$G$2:$G$801, 0)+1)),"0.##")&amp;"+"&amp;TEXT(INDEX(ERP資料!$G:$G, (MATCH(784, 輔助計算!$G$2:$G$801, 0)+1)),"0.##"),TEXT(INDEX(ERP資料!$G:$G, (MATCH(784, 輔助計算!$G$2:$G$801, 0)+1)),"0.##")&amp;"+"&amp;TEXT(INDEX(ERP資料!$G:$G, (MATCH(784, 輔助計算!$G$2:$G$801, 0)+1)),"0.##")&amp;"+"&amp;TEXT(INDEX(ERP資料!$G:$G, (MATCH(784, 輔助計算!$G$2:$G$801, 0)+1)),"0.##")))&amp;"-"&amp;INT(INDEX(輔助計算!$D:$D, (MATCH(784, 輔助計算!$G$2:$G$801, 0)+1))/IF(INDEX(ERP資料!$G:$G, (MATCH(784, 輔助計算!$G$2:$G$801, 0)+1))&lt;100, IF(INDEX(ERP資料!$G:$G, (MATCH(784, 輔助計算!$G$2:$G$801, 0)+1))&lt;=31,3,IF(INDEX(ERP資料!$G:$G, (MATCH(784, 輔助計算!$G$2:$G$801, 0)+1))&lt;=46.5,2,1)), IF(INDEX(ERP資料!$G:$G, (MATCH(784, 輔助計算!$G$2:$G$801, 0)+1))&lt;=790,3,IF(INDEX(ERP資料!$G:$G, (MATCH(784, 輔助計算!$G$2:$G$801, 0)+1))&lt;=1181,2,1)))), "")&amp;IF(AND(IF(INT(INDEX(輔助計算!$D:$D, (MATCH(784, 輔助計算!$G$2:$G$801, 0)+1))/IF(INDEX(ERP資料!$G:$G, (MATCH(784, 輔助計算!$G$2:$G$801, 0)+1))&lt;100, IF(INDEX(ERP資料!$G:$G, (MATCH(784, 輔助計算!$G$2:$G$801, 0)+1))&lt;=31,3,IF(INDEX(ERP資料!$G:$G, (MATCH(784, 輔助計算!$G$2:$G$801, 0)+1))&lt;=46.5,2,1)), IF(INDEX(ERP資料!$G:$G, (MATCH(784, 輔助計算!$G$2:$G$801, 0)+1))&lt;=790,3,IF(INDEX(ERP資料!$G:$G, (MATCH(784, 輔助計算!$G$2:$G$801, 0)+1))&lt;=1181,2,1))))&gt;0, IF(IF(INDEX(ERP資料!$G:$G, (MATCH(784, 輔助計算!$G$2:$G$801, 0)+1))&lt;100, IF(INDEX(ERP資料!$G:$G, (MATCH(784, 輔助計算!$G$2:$G$801, 0)+1))&lt;=31,3,IF(INDEX(ERP資料!$G:$G, (MATCH(784, 輔助計算!$G$2:$G$801, 0)+1))&lt;=46.5,2,1)), IF(INDEX(ERP資料!$G:$G, (MATCH(784, 輔助計算!$G$2:$G$801, 0)+1))&lt;=790,3,IF(INDEX(ERP資料!$G:$G, (MATCH(784, 輔助計算!$G$2:$G$801, 0)+1))&lt;=1181,2,1)))=1,TEXT(INDEX(ERP資料!$G:$G, (MATCH(784, 輔助計算!$G$2:$G$801, 0)+1)),"0.##"),IF(IF(INDEX(ERP資料!$G:$G, (MATCH(784, 輔助計算!$G$2:$G$801, 0)+1))&lt;100, IF(INDEX(ERP資料!$G:$G, (MATCH(784, 輔助計算!$G$2:$G$801, 0)+1))&lt;=31,3,IF(INDEX(ERP資料!$G:$G, (MATCH(784, 輔助計算!$G$2:$G$801, 0)+1))&lt;=46.5,2,1)), IF(INDEX(ERP資料!$G:$G, (MATCH(784, 輔助計算!$G$2:$G$801, 0)+1))&lt;=790,3,IF(INDEX(ERP資料!$G:$G, (MATCH(784, 輔助計算!$G$2:$G$801, 0)+1))&lt;=1181,2,1)))=2,TEXT(INDEX(ERP資料!$G:$G, (MATCH(784, 輔助計算!$G$2:$G$801, 0)+1)),"0.##")&amp;"+"&amp;TEXT(INDEX(ERP資料!$G:$G, (MATCH(784, 輔助計算!$G$2:$G$801, 0)+1)),"0.##"),TEXT(INDEX(ERP資料!$G:$G, (MATCH(784, 輔助計算!$G$2:$G$801, 0)+1)),"0.##")&amp;"+"&amp;TEXT(INDEX(ERP資料!$G:$G, (MATCH(784, 輔助計算!$G$2:$G$801, 0)+1)),"0.##")&amp;"+"&amp;TEXT(INDEX(ERP資料!$G:$G, (MATCH(784, 輔助計算!$G$2:$G$801, 0)+1)),"0.##")))&amp;"-"&amp;INT(INDEX(輔助計算!$D:$D, (MATCH(784, 輔助計算!$G$2:$G$801, 0)+1))/IF(INDEX(ERP資料!$G:$G, (MATCH(784, 輔助計算!$G$2:$G$801, 0)+1))&lt;100, IF(INDEX(ERP資料!$G:$G, (MATCH(784, 輔助計算!$G$2:$G$801, 0)+1))&lt;=31,3,IF(INDEX(ERP資料!$G:$G, (MATCH(784, 輔助計算!$G$2:$G$801, 0)+1))&lt;=46.5,2,1)), IF(INDEX(ERP資料!$G:$G, (MATCH(784, 輔助計算!$G$2:$G$801, 0)+1))&lt;=790,3,IF(INDEX(ERP資料!$G:$G, (MATCH(784, 輔助計算!$G$2:$G$801, 0)+1))&lt;=1181,2,1)))), "")&lt;&gt;"",IF(MOD(INDEX(輔助計算!$D:$D, (MATCH(784, 輔助計算!$G$2:$G$801, 0)+1)),IF(INDEX(ERP資料!$G:$G, (MATCH(784, 輔助計算!$G$2:$G$801, 0)+1))&lt;100, IF(INDEX(ERP資料!$G:$G, (MATCH(784, 輔助計算!$G$2:$G$801, 0)+1))&lt;=31,3,IF(INDEX(ERP資料!$G:$G, (MATCH(784, 輔助計算!$G$2:$G$801, 0)+1))&lt;=46.5,2,1)), IF(INDEX(ERP資料!$G:$G, (MATCH(784, 輔助計算!$G$2:$G$801, 0)+1))&lt;=790,3,IF(INDEX(ERP資料!$G:$G, (MATCH(784, 輔助計算!$G$2:$G$801, 0)+1))&lt;=1181,2,1))))=0,"",IF(MOD(INDEX(輔助計算!$D:$D, (MATCH(784, 輔助計算!$G$2:$G$801, 0)+1)),IF(INDEX(ERP資料!$G:$G, (MATCH(784, 輔助計算!$G$2:$G$801, 0)+1))&lt;100, IF(INDEX(ERP資料!$G:$G, (MATCH(784, 輔助計算!$G$2:$G$801, 0)+1))&lt;=31,3,IF(INDEX(ERP資料!$G:$G, (MATCH(784, 輔助計算!$G$2:$G$801, 0)+1))&lt;=46.5,2,1)), IF(INDEX(ERP資料!$G:$G, (MATCH(784, 輔助計算!$G$2:$G$801, 0)+1))&lt;=790,3,IF(INDEX(ERP資料!$G:$G, (MATCH(784, 輔助計算!$G$2:$G$801, 0)+1))&lt;=1181,2,1))))=0,"",IF(MOD(INDEX(輔助計算!$D:$D, (MATCH(784, 輔助計算!$G$2:$G$801, 0)+1)),IF(INDEX(ERP資料!$G:$G, (MATCH(784, 輔助計算!$G$2:$G$801, 0)+1))&lt;100, IF(INDEX(ERP資料!$G:$G, (MATCH(784, 輔助計算!$G$2:$G$801, 0)+1))&lt;=31,3,IF(INDEX(ERP資料!$G:$G, (MATCH(784, 輔助計算!$G$2:$G$801, 0)+1))&lt;=46.5,2,1)), IF(INDEX(ERP資料!$G:$G, (MATCH(784, 輔助計算!$G$2:$G$801, 0)+1))&lt;=790,3,IF(INDEX(ERP資料!$G:$G, (MATCH(784, 輔助計算!$G$2:$G$801, 0)+1))&lt;=1181,2,1))))=1,TEXT(INDEX(ERP資料!$G:$G, (MATCH(784, 輔助計算!$G$2:$G$801, 0)+1)),"0.##"),IF(MOD(INDEX(輔助計算!$D:$D, (MATCH(784, 輔助計算!$G$2:$G$801, 0)+1)),IF(INDEX(ERP資料!$G:$G, (MATCH(784, 輔助計算!$G$2:$G$801, 0)+1))&lt;100, IF(INDEX(ERP資料!$G:$G, (MATCH(784, 輔助計算!$G$2:$G$801, 0)+1))&lt;=31,3,IF(INDEX(ERP資料!$G:$G, (MATCH(784, 輔助計算!$G$2:$G$801, 0)+1))&lt;=46.5,2,1)), IF(INDEX(ERP資料!$G:$G, (MATCH(784, 輔助計算!$G$2:$G$801, 0)+1))&lt;=790,3,IF(INDEX(ERP資料!$G:$G, (MATCH(784, 輔助計算!$G$2:$G$801, 0)+1))&lt;=1181,2,1))))=2,TEXT(INDEX(ERP資料!$G:$G, (MATCH(784, 輔助計算!$G$2:$G$801, 0)+1)),"0.##")&amp;"+"&amp;TEXT(INDEX(ERP資料!$G:$G, (MATCH(784, 輔助計算!$G$2:$G$801, 0)+1)),"0.##"),TEXT(INDEX(ERP資料!$G:$G, (MATCH(784, 輔助計算!$G$2:$G$801, 0)+1)),"0.##")&amp;"+"&amp;TEXT(INDEX(ERP資料!$G:$G, (MATCH(784, 輔助計算!$G$2:$G$801, 0)+1)),"0.##")&amp;"+"&amp;TEXT(INDEX(ERP資料!$G:$G, (MATCH(784, 輔助計算!$G$2:$G$801, 0)+1)),"0.##"))))&amp;"-1")&lt;&gt;""),"  ","")&amp;IF(MOD(INDEX(輔助計算!$D:$D, (MATCH(784, 輔助計算!$G$2:$G$801, 0)+1)),IF(INDEX(ERP資料!$G:$G, (MATCH(784, 輔助計算!$G$2:$G$801, 0)+1))&lt;100, IF(INDEX(ERP資料!$G:$G, (MATCH(784, 輔助計算!$G$2:$G$801, 0)+1))&lt;=31,3,IF(INDEX(ERP資料!$G:$G, (MATCH(784, 輔助計算!$G$2:$G$801, 0)+1))&lt;=46.5,2,1)), IF(INDEX(ERP資料!$G:$G, (MATCH(784, 輔助計算!$G$2:$G$801, 0)+1))&lt;=790,3,IF(INDEX(ERP資料!$G:$G, (MATCH(784, 輔助計算!$G$2:$G$801, 0)+1))&lt;=1181,2,1))))=0,"",IF(MOD(INDEX(輔助計算!$D:$D, (MATCH(784, 輔助計算!$G$2:$G$801, 0)+1)),IF(INDEX(ERP資料!$G:$G, (MATCH(784, 輔助計算!$G$2:$G$801, 0)+1))&lt;100, IF(INDEX(ERP資料!$G:$G, (MATCH(784, 輔助計算!$G$2:$G$801, 0)+1))&lt;=31,3,IF(INDEX(ERP資料!$G:$G, (MATCH(784, 輔助計算!$G$2:$G$801, 0)+1))&lt;=46.5,2,1)), IF(INDEX(ERP資料!$G:$G, (MATCH(784, 輔助計算!$G$2:$G$801, 0)+1))&lt;=790,3,IF(INDEX(ERP資料!$G:$G, (MATCH(784, 輔助計算!$G$2:$G$801, 0)+1))&lt;=1181,2,1))))=0,"",IF(MOD(INDEX(輔助計算!$D:$D, (MATCH(784, 輔助計算!$G$2:$G$801, 0)+1)),IF(INDEX(ERP資料!$G:$G, (MATCH(784, 輔助計算!$G$2:$G$801, 0)+1))&lt;100, IF(INDEX(ERP資料!$G:$G, (MATCH(784, 輔助計算!$G$2:$G$801, 0)+1))&lt;=31,3,IF(INDEX(ERP資料!$G:$G, (MATCH(784, 輔助計算!$G$2:$G$801, 0)+1))&lt;=46.5,2,1)), IF(INDEX(ERP資料!$G:$G, (MATCH(784, 輔助計算!$G$2:$G$801, 0)+1))&lt;=790,3,IF(INDEX(ERP資料!$G:$G, (MATCH(784, 輔助計算!$G$2:$G$801, 0)+1))&lt;=1181,2,1))))=1,TEXT(INDEX(ERP資料!$G:$G, (MATCH(784, 輔助計算!$G$2:$G$801, 0)+1)),"0.##"),IF(MOD(INDEX(輔助計算!$D:$D, (MATCH(784, 輔助計算!$G$2:$G$801, 0)+1)),IF(INDEX(ERP資料!$G:$G, (MATCH(784, 輔助計算!$G$2:$G$801, 0)+1))&lt;100, IF(INDEX(ERP資料!$G:$G, (MATCH(784, 輔助計算!$G$2:$G$801, 0)+1))&lt;=31,3,IF(INDEX(ERP資料!$G:$G, (MATCH(784, 輔助計算!$G$2:$G$801, 0)+1))&lt;=46.5,2,1)), IF(INDEX(ERP資料!$G:$G, (MATCH(784, 輔助計算!$G$2:$G$801, 0)+1))&lt;=790,3,IF(INDEX(ERP資料!$G:$G, (MATCH(784, 輔助計算!$G$2:$G$801, 0)+1))&lt;=1181,2,1))))=2,TEXT(INDEX(ERP資料!$G:$G, (MATCH(784, 輔助計算!$G$2:$G$801, 0)+1)),"0.##")&amp;"+"&amp;TEXT(INDEX(ERP資料!$G:$G, (MATCH(784, 輔助計算!$G$2:$G$801, 0)+1)),"0.##"),TEXT(INDEX(ERP資料!$G:$G, (MATCH(784, 輔助計算!$G$2:$G$801, 0)+1)),"0.##")&amp;"+"&amp;TEXT(INDEX(ERP資料!$G:$G, (MATCH(784, 輔助計算!$G$2:$G$801, 0)+1)),"0.##")&amp;"+"&amp;TEXT(INDEX(ERP資料!$G:$G, (MATCH(784, 輔助計算!$G$2:$G$801, 0)+1)),"0.##"))))&amp;"-1")), ""), "")</f>
        <v/>
      </c>
      <c r="K785" s="16" t="n"/>
      <c r="L785" s="14">
        <f>IFERROR(IF(AND(IFERROR(INDEX(ERP資料!$A:$A, (MATCH(784, 輔助計算!$G$2:$G$801, 0)+1)), "")&lt;&gt;"", IFERROR(INDEX(ERP資料!$A:$A, (MATCH(784, 輔助計算!$G$2:$G$801, 0)+1)), "")&lt;&gt;IFERROR(INDEX(ERP資料!$A:$A, MATCH(783, 輔助計算!$G$2:$G$801, 0)+1), "")), INDEX(ERP資料!$B:$B, (MATCH(784, 輔助計算!$G$2:$G$801, 0)+1)), ""), "")</f>
        <v/>
      </c>
      <c r="M785" s="17" t="n"/>
    </row>
    <row r="786">
      <c r="A786" s="10">
        <f>IFERROR(IF(AND(IFERROR(INDEX(ERP資料!$A:$A, (MATCH(785, 輔助計算!$G$2:$G$801, 0)+1)), "")&lt;&gt;"", IFERROR(INDEX(ERP資料!$A:$A, (MATCH(785, 輔助計算!$G$2:$G$801, 0)+1)), "")&lt;&gt;IFERROR(INDEX(ERP資料!$A:$A, MATCH(784, 輔助計算!$G$2:$G$801, 0)+1), "")), IFERROR(INDEX(ERP資料!$A:$A, (MATCH(785, 輔助計算!$G$2:$G$801, 0)+1)), ""), ""), "")</f>
        <v/>
      </c>
      <c r="B786" s="10">
        <f>IFERROR(IF(AND(IFERROR(INDEX(ERP資料!$A:$A, (MATCH(785, 輔助計算!$G$2:$G$801, 0)+1)), "")&lt;&gt;"", IFERROR(INDEX(ERP資料!$A:$A, (MATCH(785, 輔助計算!$G$2:$G$801, 0)+1)), "")&lt;&gt;IFERROR(INDEX(ERP資料!$A:$A, MATCH(784, 輔助計算!$G$2:$G$801, 0)+1), "")), INDEX(ERP資料!$S:$S, (MATCH(785, 輔助計算!$G$2:$G$801, 0)+1)), ""), "")</f>
        <v/>
      </c>
      <c r="C786" s="19">
        <f>IFERROR(IF(AND(IFERROR(INDEX(ERP資料!$A:$A, (MATCH(785, 輔助計算!$G$2:$G$801, 0)+1)), "")&lt;&gt;"", IFERROR(INDEX(ERP資料!$A:$A, (MATCH(785, 輔助計算!$G$2:$G$801, 0)+1)), "")&lt;&gt;IFERROR(INDEX(ERP資料!$A:$A, MATCH(784, 輔助計算!$G$2:$G$801, 0)+1), "")), IFERROR(VLOOKUP(LEFT(INDEX(ERP資料!$S:$S, (MATCH(785, 輔助計算!$G$2:$G$801, 0)+1)), 4), 紙管對照表!$A:$C, 3, FALSE), ""), ""), "")</f>
        <v/>
      </c>
      <c r="D786" s="16" t="n"/>
      <c r="E786" s="10">
        <f>IFERROR(IF(INDEX(ERP資料!$H:$H, (MATCH(785, 輔助計算!$G$2:$G$801, 0)+1))="","",INDEX(ERP資料!$H:$H, (MATCH(785, 輔助計算!$G$2:$G$801, 0)+1))), "")</f>
        <v/>
      </c>
      <c r="F786" s="10">
        <f>IFERROR(IF(INDEX(ERP資料!$E:$E, (MATCH(785, 輔助計算!$G$2:$G$801, 0)+1))="","",TRIM(INDEX(ERP資料!$E:$E, (MATCH(785, 輔助計算!$G$2:$G$801, 0)+1)))), "")</f>
        <v/>
      </c>
      <c r="G786" s="10">
        <f>IFERROR(IF(INDEX(ERP資料!$F:$F, (MATCH(785, 輔助計算!$G$2:$G$801, 0)+1))="","",INDEX(ERP資料!$F:$F, (MATCH(785, 輔助計算!$G$2:$G$801, 0)+1))), "")</f>
        <v/>
      </c>
      <c r="H786" s="10">
        <f>IFERROR(IF(INDEX(ERP資料!$G:$G, (MATCH(785, 輔助計算!$G$2:$G$801, 0)+1))="","",INDEX(ERP資料!$G:$G, (MATCH(785, 輔助計算!$G$2:$G$801, 0)+1))), "")</f>
        <v/>
      </c>
      <c r="I786" s="15">
        <f>IFERROR(INDEX(輔助計算!$D:$D, (MATCH(785, 輔助計算!$G$2:$G$801, 0)+1)), "")</f>
        <v/>
      </c>
      <c r="J786" s="15">
        <f>IFERROR(IF(AND(INDEX(輔助計算!$D:$D, (MATCH(785, 輔助計算!$G$2:$G$801, 0)+1))&lt;&gt;"", INDEX(ERP資料!$G:$G, (MATCH(785, 輔助計算!$G$2:$G$801, 0)+1))&lt;&gt;""), TRIM(IF(INT(INDEX(輔助計算!$D:$D, (MATCH(785, 輔助計算!$G$2:$G$801, 0)+1))/IF(INDEX(ERP資料!$G:$G, (MATCH(785, 輔助計算!$G$2:$G$801, 0)+1))&lt;100, IF(INDEX(ERP資料!$G:$G, (MATCH(785, 輔助計算!$G$2:$G$801, 0)+1))&lt;=31,3,IF(INDEX(ERP資料!$G:$G, (MATCH(785, 輔助計算!$G$2:$G$801, 0)+1))&lt;=46.5,2,1)), IF(INDEX(ERP資料!$G:$G, (MATCH(785, 輔助計算!$G$2:$G$801, 0)+1))&lt;=790,3,IF(INDEX(ERP資料!$G:$G, (MATCH(785, 輔助計算!$G$2:$G$801, 0)+1))&lt;=1181,2,1))))&gt;0, IF(IF(INDEX(ERP資料!$G:$G, (MATCH(785, 輔助計算!$G$2:$G$801, 0)+1))&lt;100, IF(INDEX(ERP資料!$G:$G, (MATCH(785, 輔助計算!$G$2:$G$801, 0)+1))&lt;=31,3,IF(INDEX(ERP資料!$G:$G, (MATCH(785, 輔助計算!$G$2:$G$801, 0)+1))&lt;=46.5,2,1)), IF(INDEX(ERP資料!$G:$G, (MATCH(785, 輔助計算!$G$2:$G$801, 0)+1))&lt;=790,3,IF(INDEX(ERP資料!$G:$G, (MATCH(785, 輔助計算!$G$2:$G$801, 0)+1))&lt;=1181,2,1)))=1,TEXT(INDEX(ERP資料!$G:$G, (MATCH(785, 輔助計算!$G$2:$G$801, 0)+1)),"0.##"),IF(IF(INDEX(ERP資料!$G:$G, (MATCH(785, 輔助計算!$G$2:$G$801, 0)+1))&lt;100, IF(INDEX(ERP資料!$G:$G, (MATCH(785, 輔助計算!$G$2:$G$801, 0)+1))&lt;=31,3,IF(INDEX(ERP資料!$G:$G, (MATCH(785, 輔助計算!$G$2:$G$801, 0)+1))&lt;=46.5,2,1)), IF(INDEX(ERP資料!$G:$G, (MATCH(785, 輔助計算!$G$2:$G$801, 0)+1))&lt;=790,3,IF(INDEX(ERP資料!$G:$G, (MATCH(785, 輔助計算!$G$2:$G$801, 0)+1))&lt;=1181,2,1)))=2,TEXT(INDEX(ERP資料!$G:$G, (MATCH(785, 輔助計算!$G$2:$G$801, 0)+1)),"0.##")&amp;"+"&amp;TEXT(INDEX(ERP資料!$G:$G, (MATCH(785, 輔助計算!$G$2:$G$801, 0)+1)),"0.##"),TEXT(INDEX(ERP資料!$G:$G, (MATCH(785, 輔助計算!$G$2:$G$801, 0)+1)),"0.##")&amp;"+"&amp;TEXT(INDEX(ERP資料!$G:$G, (MATCH(785, 輔助計算!$G$2:$G$801, 0)+1)),"0.##")&amp;"+"&amp;TEXT(INDEX(ERP資料!$G:$G, (MATCH(785, 輔助計算!$G$2:$G$801, 0)+1)),"0.##")))&amp;"-"&amp;INT(INDEX(輔助計算!$D:$D, (MATCH(785, 輔助計算!$G$2:$G$801, 0)+1))/IF(INDEX(ERP資料!$G:$G, (MATCH(785, 輔助計算!$G$2:$G$801, 0)+1))&lt;100, IF(INDEX(ERP資料!$G:$G, (MATCH(785, 輔助計算!$G$2:$G$801, 0)+1))&lt;=31,3,IF(INDEX(ERP資料!$G:$G, (MATCH(785, 輔助計算!$G$2:$G$801, 0)+1))&lt;=46.5,2,1)), IF(INDEX(ERP資料!$G:$G, (MATCH(785, 輔助計算!$G$2:$G$801, 0)+1))&lt;=790,3,IF(INDEX(ERP資料!$G:$G, (MATCH(785, 輔助計算!$G$2:$G$801, 0)+1))&lt;=1181,2,1)))), "")&amp;IF(AND(IF(INT(INDEX(輔助計算!$D:$D, (MATCH(785, 輔助計算!$G$2:$G$801, 0)+1))/IF(INDEX(ERP資料!$G:$G, (MATCH(785, 輔助計算!$G$2:$G$801, 0)+1))&lt;100, IF(INDEX(ERP資料!$G:$G, (MATCH(785, 輔助計算!$G$2:$G$801, 0)+1))&lt;=31,3,IF(INDEX(ERP資料!$G:$G, (MATCH(785, 輔助計算!$G$2:$G$801, 0)+1))&lt;=46.5,2,1)), IF(INDEX(ERP資料!$G:$G, (MATCH(785, 輔助計算!$G$2:$G$801, 0)+1))&lt;=790,3,IF(INDEX(ERP資料!$G:$G, (MATCH(785, 輔助計算!$G$2:$G$801, 0)+1))&lt;=1181,2,1))))&gt;0, IF(IF(INDEX(ERP資料!$G:$G, (MATCH(785, 輔助計算!$G$2:$G$801, 0)+1))&lt;100, IF(INDEX(ERP資料!$G:$G, (MATCH(785, 輔助計算!$G$2:$G$801, 0)+1))&lt;=31,3,IF(INDEX(ERP資料!$G:$G, (MATCH(785, 輔助計算!$G$2:$G$801, 0)+1))&lt;=46.5,2,1)), IF(INDEX(ERP資料!$G:$G, (MATCH(785, 輔助計算!$G$2:$G$801, 0)+1))&lt;=790,3,IF(INDEX(ERP資料!$G:$G, (MATCH(785, 輔助計算!$G$2:$G$801, 0)+1))&lt;=1181,2,1)))=1,TEXT(INDEX(ERP資料!$G:$G, (MATCH(785, 輔助計算!$G$2:$G$801, 0)+1)),"0.##"),IF(IF(INDEX(ERP資料!$G:$G, (MATCH(785, 輔助計算!$G$2:$G$801, 0)+1))&lt;100, IF(INDEX(ERP資料!$G:$G, (MATCH(785, 輔助計算!$G$2:$G$801, 0)+1))&lt;=31,3,IF(INDEX(ERP資料!$G:$G, (MATCH(785, 輔助計算!$G$2:$G$801, 0)+1))&lt;=46.5,2,1)), IF(INDEX(ERP資料!$G:$G, (MATCH(785, 輔助計算!$G$2:$G$801, 0)+1))&lt;=790,3,IF(INDEX(ERP資料!$G:$G, (MATCH(785, 輔助計算!$G$2:$G$801, 0)+1))&lt;=1181,2,1)))=2,TEXT(INDEX(ERP資料!$G:$G, (MATCH(785, 輔助計算!$G$2:$G$801, 0)+1)),"0.##")&amp;"+"&amp;TEXT(INDEX(ERP資料!$G:$G, (MATCH(785, 輔助計算!$G$2:$G$801, 0)+1)),"0.##"),TEXT(INDEX(ERP資料!$G:$G, (MATCH(785, 輔助計算!$G$2:$G$801, 0)+1)),"0.##")&amp;"+"&amp;TEXT(INDEX(ERP資料!$G:$G, (MATCH(785, 輔助計算!$G$2:$G$801, 0)+1)),"0.##")&amp;"+"&amp;TEXT(INDEX(ERP資料!$G:$G, (MATCH(785, 輔助計算!$G$2:$G$801, 0)+1)),"0.##")))&amp;"-"&amp;INT(INDEX(輔助計算!$D:$D, (MATCH(785, 輔助計算!$G$2:$G$801, 0)+1))/IF(INDEX(ERP資料!$G:$G, (MATCH(785, 輔助計算!$G$2:$G$801, 0)+1))&lt;100, IF(INDEX(ERP資料!$G:$G, (MATCH(785, 輔助計算!$G$2:$G$801, 0)+1))&lt;=31,3,IF(INDEX(ERP資料!$G:$G, (MATCH(785, 輔助計算!$G$2:$G$801, 0)+1))&lt;=46.5,2,1)), IF(INDEX(ERP資料!$G:$G, (MATCH(785, 輔助計算!$G$2:$G$801, 0)+1))&lt;=790,3,IF(INDEX(ERP資料!$G:$G, (MATCH(785, 輔助計算!$G$2:$G$801, 0)+1))&lt;=1181,2,1)))), "")&lt;&gt;"",IF(MOD(INDEX(輔助計算!$D:$D, (MATCH(785, 輔助計算!$G$2:$G$801, 0)+1)),IF(INDEX(ERP資料!$G:$G, (MATCH(785, 輔助計算!$G$2:$G$801, 0)+1))&lt;100, IF(INDEX(ERP資料!$G:$G, (MATCH(785, 輔助計算!$G$2:$G$801, 0)+1))&lt;=31,3,IF(INDEX(ERP資料!$G:$G, (MATCH(785, 輔助計算!$G$2:$G$801, 0)+1))&lt;=46.5,2,1)), IF(INDEX(ERP資料!$G:$G, (MATCH(785, 輔助計算!$G$2:$G$801, 0)+1))&lt;=790,3,IF(INDEX(ERP資料!$G:$G, (MATCH(785, 輔助計算!$G$2:$G$801, 0)+1))&lt;=1181,2,1))))=0,"",IF(MOD(INDEX(輔助計算!$D:$D, (MATCH(785, 輔助計算!$G$2:$G$801, 0)+1)),IF(INDEX(ERP資料!$G:$G, (MATCH(785, 輔助計算!$G$2:$G$801, 0)+1))&lt;100, IF(INDEX(ERP資料!$G:$G, (MATCH(785, 輔助計算!$G$2:$G$801, 0)+1))&lt;=31,3,IF(INDEX(ERP資料!$G:$G, (MATCH(785, 輔助計算!$G$2:$G$801, 0)+1))&lt;=46.5,2,1)), IF(INDEX(ERP資料!$G:$G, (MATCH(785, 輔助計算!$G$2:$G$801, 0)+1))&lt;=790,3,IF(INDEX(ERP資料!$G:$G, (MATCH(785, 輔助計算!$G$2:$G$801, 0)+1))&lt;=1181,2,1))))=0,"",IF(MOD(INDEX(輔助計算!$D:$D, (MATCH(785, 輔助計算!$G$2:$G$801, 0)+1)),IF(INDEX(ERP資料!$G:$G, (MATCH(785, 輔助計算!$G$2:$G$801, 0)+1))&lt;100, IF(INDEX(ERP資料!$G:$G, (MATCH(785, 輔助計算!$G$2:$G$801, 0)+1))&lt;=31,3,IF(INDEX(ERP資料!$G:$G, (MATCH(785, 輔助計算!$G$2:$G$801, 0)+1))&lt;=46.5,2,1)), IF(INDEX(ERP資料!$G:$G, (MATCH(785, 輔助計算!$G$2:$G$801, 0)+1))&lt;=790,3,IF(INDEX(ERP資料!$G:$G, (MATCH(785, 輔助計算!$G$2:$G$801, 0)+1))&lt;=1181,2,1))))=1,TEXT(INDEX(ERP資料!$G:$G, (MATCH(785, 輔助計算!$G$2:$G$801, 0)+1)),"0.##"),IF(MOD(INDEX(輔助計算!$D:$D, (MATCH(785, 輔助計算!$G$2:$G$801, 0)+1)),IF(INDEX(ERP資料!$G:$G, (MATCH(785, 輔助計算!$G$2:$G$801, 0)+1))&lt;100, IF(INDEX(ERP資料!$G:$G, (MATCH(785, 輔助計算!$G$2:$G$801, 0)+1))&lt;=31,3,IF(INDEX(ERP資料!$G:$G, (MATCH(785, 輔助計算!$G$2:$G$801, 0)+1))&lt;=46.5,2,1)), IF(INDEX(ERP資料!$G:$G, (MATCH(785, 輔助計算!$G$2:$G$801, 0)+1))&lt;=790,3,IF(INDEX(ERP資料!$G:$G, (MATCH(785, 輔助計算!$G$2:$G$801, 0)+1))&lt;=1181,2,1))))=2,TEXT(INDEX(ERP資料!$G:$G, (MATCH(785, 輔助計算!$G$2:$G$801, 0)+1)),"0.##")&amp;"+"&amp;TEXT(INDEX(ERP資料!$G:$G, (MATCH(785, 輔助計算!$G$2:$G$801, 0)+1)),"0.##"),TEXT(INDEX(ERP資料!$G:$G, (MATCH(785, 輔助計算!$G$2:$G$801, 0)+1)),"0.##")&amp;"+"&amp;TEXT(INDEX(ERP資料!$G:$G, (MATCH(785, 輔助計算!$G$2:$G$801, 0)+1)),"0.##")&amp;"+"&amp;TEXT(INDEX(ERP資料!$G:$G, (MATCH(785, 輔助計算!$G$2:$G$801, 0)+1)),"0.##"))))&amp;"-1")&lt;&gt;""),"  ","")&amp;IF(MOD(INDEX(輔助計算!$D:$D, (MATCH(785, 輔助計算!$G$2:$G$801, 0)+1)),IF(INDEX(ERP資料!$G:$G, (MATCH(785, 輔助計算!$G$2:$G$801, 0)+1))&lt;100, IF(INDEX(ERP資料!$G:$G, (MATCH(785, 輔助計算!$G$2:$G$801, 0)+1))&lt;=31,3,IF(INDEX(ERP資料!$G:$G, (MATCH(785, 輔助計算!$G$2:$G$801, 0)+1))&lt;=46.5,2,1)), IF(INDEX(ERP資料!$G:$G, (MATCH(785, 輔助計算!$G$2:$G$801, 0)+1))&lt;=790,3,IF(INDEX(ERP資料!$G:$G, (MATCH(785, 輔助計算!$G$2:$G$801, 0)+1))&lt;=1181,2,1))))=0,"",IF(MOD(INDEX(輔助計算!$D:$D, (MATCH(785, 輔助計算!$G$2:$G$801, 0)+1)),IF(INDEX(ERP資料!$G:$G, (MATCH(785, 輔助計算!$G$2:$G$801, 0)+1))&lt;100, IF(INDEX(ERP資料!$G:$G, (MATCH(785, 輔助計算!$G$2:$G$801, 0)+1))&lt;=31,3,IF(INDEX(ERP資料!$G:$G, (MATCH(785, 輔助計算!$G$2:$G$801, 0)+1))&lt;=46.5,2,1)), IF(INDEX(ERP資料!$G:$G, (MATCH(785, 輔助計算!$G$2:$G$801, 0)+1))&lt;=790,3,IF(INDEX(ERP資料!$G:$G, (MATCH(785, 輔助計算!$G$2:$G$801, 0)+1))&lt;=1181,2,1))))=0,"",IF(MOD(INDEX(輔助計算!$D:$D, (MATCH(785, 輔助計算!$G$2:$G$801, 0)+1)),IF(INDEX(ERP資料!$G:$G, (MATCH(785, 輔助計算!$G$2:$G$801, 0)+1))&lt;100, IF(INDEX(ERP資料!$G:$G, (MATCH(785, 輔助計算!$G$2:$G$801, 0)+1))&lt;=31,3,IF(INDEX(ERP資料!$G:$G, (MATCH(785, 輔助計算!$G$2:$G$801, 0)+1))&lt;=46.5,2,1)), IF(INDEX(ERP資料!$G:$G, (MATCH(785, 輔助計算!$G$2:$G$801, 0)+1))&lt;=790,3,IF(INDEX(ERP資料!$G:$G, (MATCH(785, 輔助計算!$G$2:$G$801, 0)+1))&lt;=1181,2,1))))=1,TEXT(INDEX(ERP資料!$G:$G, (MATCH(785, 輔助計算!$G$2:$G$801, 0)+1)),"0.##"),IF(MOD(INDEX(輔助計算!$D:$D, (MATCH(785, 輔助計算!$G$2:$G$801, 0)+1)),IF(INDEX(ERP資料!$G:$G, (MATCH(785, 輔助計算!$G$2:$G$801, 0)+1))&lt;100, IF(INDEX(ERP資料!$G:$G, (MATCH(785, 輔助計算!$G$2:$G$801, 0)+1))&lt;=31,3,IF(INDEX(ERP資料!$G:$G, (MATCH(785, 輔助計算!$G$2:$G$801, 0)+1))&lt;=46.5,2,1)), IF(INDEX(ERP資料!$G:$G, (MATCH(785, 輔助計算!$G$2:$G$801, 0)+1))&lt;=790,3,IF(INDEX(ERP資料!$G:$G, (MATCH(785, 輔助計算!$G$2:$G$801, 0)+1))&lt;=1181,2,1))))=2,TEXT(INDEX(ERP資料!$G:$G, (MATCH(785, 輔助計算!$G$2:$G$801, 0)+1)),"0.##")&amp;"+"&amp;TEXT(INDEX(ERP資料!$G:$G, (MATCH(785, 輔助計算!$G$2:$G$801, 0)+1)),"0.##"),TEXT(INDEX(ERP資料!$G:$G, (MATCH(785, 輔助計算!$G$2:$G$801, 0)+1)),"0.##")&amp;"+"&amp;TEXT(INDEX(ERP資料!$G:$G, (MATCH(785, 輔助計算!$G$2:$G$801, 0)+1)),"0.##")&amp;"+"&amp;TEXT(INDEX(ERP資料!$G:$G, (MATCH(785, 輔助計算!$G$2:$G$801, 0)+1)),"0.##"))))&amp;"-1")), ""), "")</f>
        <v/>
      </c>
      <c r="K786" s="16" t="n"/>
      <c r="L786" s="14">
        <f>IFERROR(IF(AND(IFERROR(INDEX(ERP資料!$A:$A, (MATCH(785, 輔助計算!$G$2:$G$801, 0)+1)), "")&lt;&gt;"", IFERROR(INDEX(ERP資料!$A:$A, (MATCH(785, 輔助計算!$G$2:$G$801, 0)+1)), "")&lt;&gt;IFERROR(INDEX(ERP資料!$A:$A, MATCH(784, 輔助計算!$G$2:$G$801, 0)+1), "")), INDEX(ERP資料!$B:$B, (MATCH(785, 輔助計算!$G$2:$G$801, 0)+1)), ""), "")</f>
        <v/>
      </c>
      <c r="M786" s="17" t="n"/>
    </row>
    <row r="787">
      <c r="A787" s="10">
        <f>IFERROR(IF(AND(IFERROR(INDEX(ERP資料!$A:$A, (MATCH(786, 輔助計算!$G$2:$G$801, 0)+1)), "")&lt;&gt;"", IFERROR(INDEX(ERP資料!$A:$A, (MATCH(786, 輔助計算!$G$2:$G$801, 0)+1)), "")&lt;&gt;IFERROR(INDEX(ERP資料!$A:$A, MATCH(785, 輔助計算!$G$2:$G$801, 0)+1), "")), IFERROR(INDEX(ERP資料!$A:$A, (MATCH(786, 輔助計算!$G$2:$G$801, 0)+1)), ""), ""), "")</f>
        <v/>
      </c>
      <c r="B787" s="10">
        <f>IFERROR(IF(AND(IFERROR(INDEX(ERP資料!$A:$A, (MATCH(786, 輔助計算!$G$2:$G$801, 0)+1)), "")&lt;&gt;"", IFERROR(INDEX(ERP資料!$A:$A, (MATCH(786, 輔助計算!$G$2:$G$801, 0)+1)), "")&lt;&gt;IFERROR(INDEX(ERP資料!$A:$A, MATCH(785, 輔助計算!$G$2:$G$801, 0)+1), "")), INDEX(ERP資料!$S:$S, (MATCH(786, 輔助計算!$G$2:$G$801, 0)+1)), ""), "")</f>
        <v/>
      </c>
      <c r="C787" s="19">
        <f>IFERROR(IF(AND(IFERROR(INDEX(ERP資料!$A:$A, (MATCH(786, 輔助計算!$G$2:$G$801, 0)+1)), "")&lt;&gt;"", IFERROR(INDEX(ERP資料!$A:$A, (MATCH(786, 輔助計算!$G$2:$G$801, 0)+1)), "")&lt;&gt;IFERROR(INDEX(ERP資料!$A:$A, MATCH(785, 輔助計算!$G$2:$G$801, 0)+1), "")), IFERROR(VLOOKUP(LEFT(INDEX(ERP資料!$S:$S, (MATCH(786, 輔助計算!$G$2:$G$801, 0)+1)), 4), 紙管對照表!$A:$C, 3, FALSE), ""), ""), "")</f>
        <v/>
      </c>
      <c r="D787" s="16" t="n"/>
      <c r="E787" s="10">
        <f>IFERROR(IF(INDEX(ERP資料!$H:$H, (MATCH(786, 輔助計算!$G$2:$G$801, 0)+1))="","",INDEX(ERP資料!$H:$H, (MATCH(786, 輔助計算!$G$2:$G$801, 0)+1))), "")</f>
        <v/>
      </c>
      <c r="F787" s="10">
        <f>IFERROR(IF(INDEX(ERP資料!$E:$E, (MATCH(786, 輔助計算!$G$2:$G$801, 0)+1))="","",TRIM(INDEX(ERP資料!$E:$E, (MATCH(786, 輔助計算!$G$2:$G$801, 0)+1)))), "")</f>
        <v/>
      </c>
      <c r="G787" s="10">
        <f>IFERROR(IF(INDEX(ERP資料!$F:$F, (MATCH(786, 輔助計算!$G$2:$G$801, 0)+1))="","",INDEX(ERP資料!$F:$F, (MATCH(786, 輔助計算!$G$2:$G$801, 0)+1))), "")</f>
        <v/>
      </c>
      <c r="H787" s="10">
        <f>IFERROR(IF(INDEX(ERP資料!$G:$G, (MATCH(786, 輔助計算!$G$2:$G$801, 0)+1))="","",INDEX(ERP資料!$G:$G, (MATCH(786, 輔助計算!$G$2:$G$801, 0)+1))), "")</f>
        <v/>
      </c>
      <c r="I787" s="15">
        <f>IFERROR(INDEX(輔助計算!$D:$D, (MATCH(786, 輔助計算!$G$2:$G$801, 0)+1)), "")</f>
        <v/>
      </c>
      <c r="J787" s="15">
        <f>IFERROR(IF(AND(INDEX(輔助計算!$D:$D, (MATCH(786, 輔助計算!$G$2:$G$801, 0)+1))&lt;&gt;"", INDEX(ERP資料!$G:$G, (MATCH(786, 輔助計算!$G$2:$G$801, 0)+1))&lt;&gt;""), TRIM(IF(INT(INDEX(輔助計算!$D:$D, (MATCH(786, 輔助計算!$G$2:$G$801, 0)+1))/IF(INDEX(ERP資料!$G:$G, (MATCH(786, 輔助計算!$G$2:$G$801, 0)+1))&lt;100, IF(INDEX(ERP資料!$G:$G, (MATCH(786, 輔助計算!$G$2:$G$801, 0)+1))&lt;=31,3,IF(INDEX(ERP資料!$G:$G, (MATCH(786, 輔助計算!$G$2:$G$801, 0)+1))&lt;=46.5,2,1)), IF(INDEX(ERP資料!$G:$G, (MATCH(786, 輔助計算!$G$2:$G$801, 0)+1))&lt;=790,3,IF(INDEX(ERP資料!$G:$G, (MATCH(786, 輔助計算!$G$2:$G$801, 0)+1))&lt;=1181,2,1))))&gt;0, IF(IF(INDEX(ERP資料!$G:$G, (MATCH(786, 輔助計算!$G$2:$G$801, 0)+1))&lt;100, IF(INDEX(ERP資料!$G:$G, (MATCH(786, 輔助計算!$G$2:$G$801, 0)+1))&lt;=31,3,IF(INDEX(ERP資料!$G:$G, (MATCH(786, 輔助計算!$G$2:$G$801, 0)+1))&lt;=46.5,2,1)), IF(INDEX(ERP資料!$G:$G, (MATCH(786, 輔助計算!$G$2:$G$801, 0)+1))&lt;=790,3,IF(INDEX(ERP資料!$G:$G, (MATCH(786, 輔助計算!$G$2:$G$801, 0)+1))&lt;=1181,2,1)))=1,TEXT(INDEX(ERP資料!$G:$G, (MATCH(786, 輔助計算!$G$2:$G$801, 0)+1)),"0.##"),IF(IF(INDEX(ERP資料!$G:$G, (MATCH(786, 輔助計算!$G$2:$G$801, 0)+1))&lt;100, IF(INDEX(ERP資料!$G:$G, (MATCH(786, 輔助計算!$G$2:$G$801, 0)+1))&lt;=31,3,IF(INDEX(ERP資料!$G:$G, (MATCH(786, 輔助計算!$G$2:$G$801, 0)+1))&lt;=46.5,2,1)), IF(INDEX(ERP資料!$G:$G, (MATCH(786, 輔助計算!$G$2:$G$801, 0)+1))&lt;=790,3,IF(INDEX(ERP資料!$G:$G, (MATCH(786, 輔助計算!$G$2:$G$801, 0)+1))&lt;=1181,2,1)))=2,TEXT(INDEX(ERP資料!$G:$G, (MATCH(786, 輔助計算!$G$2:$G$801, 0)+1)),"0.##")&amp;"+"&amp;TEXT(INDEX(ERP資料!$G:$G, (MATCH(786, 輔助計算!$G$2:$G$801, 0)+1)),"0.##"),TEXT(INDEX(ERP資料!$G:$G, (MATCH(786, 輔助計算!$G$2:$G$801, 0)+1)),"0.##")&amp;"+"&amp;TEXT(INDEX(ERP資料!$G:$G, (MATCH(786, 輔助計算!$G$2:$G$801, 0)+1)),"0.##")&amp;"+"&amp;TEXT(INDEX(ERP資料!$G:$G, (MATCH(786, 輔助計算!$G$2:$G$801, 0)+1)),"0.##")))&amp;"-"&amp;INT(INDEX(輔助計算!$D:$D, (MATCH(786, 輔助計算!$G$2:$G$801, 0)+1))/IF(INDEX(ERP資料!$G:$G, (MATCH(786, 輔助計算!$G$2:$G$801, 0)+1))&lt;100, IF(INDEX(ERP資料!$G:$G, (MATCH(786, 輔助計算!$G$2:$G$801, 0)+1))&lt;=31,3,IF(INDEX(ERP資料!$G:$G, (MATCH(786, 輔助計算!$G$2:$G$801, 0)+1))&lt;=46.5,2,1)), IF(INDEX(ERP資料!$G:$G, (MATCH(786, 輔助計算!$G$2:$G$801, 0)+1))&lt;=790,3,IF(INDEX(ERP資料!$G:$G, (MATCH(786, 輔助計算!$G$2:$G$801, 0)+1))&lt;=1181,2,1)))), "")&amp;IF(AND(IF(INT(INDEX(輔助計算!$D:$D, (MATCH(786, 輔助計算!$G$2:$G$801, 0)+1))/IF(INDEX(ERP資料!$G:$G, (MATCH(786, 輔助計算!$G$2:$G$801, 0)+1))&lt;100, IF(INDEX(ERP資料!$G:$G, (MATCH(786, 輔助計算!$G$2:$G$801, 0)+1))&lt;=31,3,IF(INDEX(ERP資料!$G:$G, (MATCH(786, 輔助計算!$G$2:$G$801, 0)+1))&lt;=46.5,2,1)), IF(INDEX(ERP資料!$G:$G, (MATCH(786, 輔助計算!$G$2:$G$801, 0)+1))&lt;=790,3,IF(INDEX(ERP資料!$G:$G, (MATCH(786, 輔助計算!$G$2:$G$801, 0)+1))&lt;=1181,2,1))))&gt;0, IF(IF(INDEX(ERP資料!$G:$G, (MATCH(786, 輔助計算!$G$2:$G$801, 0)+1))&lt;100, IF(INDEX(ERP資料!$G:$G, (MATCH(786, 輔助計算!$G$2:$G$801, 0)+1))&lt;=31,3,IF(INDEX(ERP資料!$G:$G, (MATCH(786, 輔助計算!$G$2:$G$801, 0)+1))&lt;=46.5,2,1)), IF(INDEX(ERP資料!$G:$G, (MATCH(786, 輔助計算!$G$2:$G$801, 0)+1))&lt;=790,3,IF(INDEX(ERP資料!$G:$G, (MATCH(786, 輔助計算!$G$2:$G$801, 0)+1))&lt;=1181,2,1)))=1,TEXT(INDEX(ERP資料!$G:$G, (MATCH(786, 輔助計算!$G$2:$G$801, 0)+1)),"0.##"),IF(IF(INDEX(ERP資料!$G:$G, (MATCH(786, 輔助計算!$G$2:$G$801, 0)+1))&lt;100, IF(INDEX(ERP資料!$G:$G, (MATCH(786, 輔助計算!$G$2:$G$801, 0)+1))&lt;=31,3,IF(INDEX(ERP資料!$G:$G, (MATCH(786, 輔助計算!$G$2:$G$801, 0)+1))&lt;=46.5,2,1)), IF(INDEX(ERP資料!$G:$G, (MATCH(786, 輔助計算!$G$2:$G$801, 0)+1))&lt;=790,3,IF(INDEX(ERP資料!$G:$G, (MATCH(786, 輔助計算!$G$2:$G$801, 0)+1))&lt;=1181,2,1)))=2,TEXT(INDEX(ERP資料!$G:$G, (MATCH(786, 輔助計算!$G$2:$G$801, 0)+1)),"0.##")&amp;"+"&amp;TEXT(INDEX(ERP資料!$G:$G, (MATCH(786, 輔助計算!$G$2:$G$801, 0)+1)),"0.##"),TEXT(INDEX(ERP資料!$G:$G, (MATCH(786, 輔助計算!$G$2:$G$801, 0)+1)),"0.##")&amp;"+"&amp;TEXT(INDEX(ERP資料!$G:$G, (MATCH(786, 輔助計算!$G$2:$G$801, 0)+1)),"0.##")&amp;"+"&amp;TEXT(INDEX(ERP資料!$G:$G, (MATCH(786, 輔助計算!$G$2:$G$801, 0)+1)),"0.##")))&amp;"-"&amp;INT(INDEX(輔助計算!$D:$D, (MATCH(786, 輔助計算!$G$2:$G$801, 0)+1))/IF(INDEX(ERP資料!$G:$G, (MATCH(786, 輔助計算!$G$2:$G$801, 0)+1))&lt;100, IF(INDEX(ERP資料!$G:$G, (MATCH(786, 輔助計算!$G$2:$G$801, 0)+1))&lt;=31,3,IF(INDEX(ERP資料!$G:$G, (MATCH(786, 輔助計算!$G$2:$G$801, 0)+1))&lt;=46.5,2,1)), IF(INDEX(ERP資料!$G:$G, (MATCH(786, 輔助計算!$G$2:$G$801, 0)+1))&lt;=790,3,IF(INDEX(ERP資料!$G:$G, (MATCH(786, 輔助計算!$G$2:$G$801, 0)+1))&lt;=1181,2,1)))), "")&lt;&gt;"",IF(MOD(INDEX(輔助計算!$D:$D, (MATCH(786, 輔助計算!$G$2:$G$801, 0)+1)),IF(INDEX(ERP資料!$G:$G, (MATCH(786, 輔助計算!$G$2:$G$801, 0)+1))&lt;100, IF(INDEX(ERP資料!$G:$G, (MATCH(786, 輔助計算!$G$2:$G$801, 0)+1))&lt;=31,3,IF(INDEX(ERP資料!$G:$G, (MATCH(786, 輔助計算!$G$2:$G$801, 0)+1))&lt;=46.5,2,1)), IF(INDEX(ERP資料!$G:$G, (MATCH(786, 輔助計算!$G$2:$G$801, 0)+1))&lt;=790,3,IF(INDEX(ERP資料!$G:$G, (MATCH(786, 輔助計算!$G$2:$G$801, 0)+1))&lt;=1181,2,1))))=0,"",IF(MOD(INDEX(輔助計算!$D:$D, (MATCH(786, 輔助計算!$G$2:$G$801, 0)+1)),IF(INDEX(ERP資料!$G:$G, (MATCH(786, 輔助計算!$G$2:$G$801, 0)+1))&lt;100, IF(INDEX(ERP資料!$G:$G, (MATCH(786, 輔助計算!$G$2:$G$801, 0)+1))&lt;=31,3,IF(INDEX(ERP資料!$G:$G, (MATCH(786, 輔助計算!$G$2:$G$801, 0)+1))&lt;=46.5,2,1)), IF(INDEX(ERP資料!$G:$G, (MATCH(786, 輔助計算!$G$2:$G$801, 0)+1))&lt;=790,3,IF(INDEX(ERP資料!$G:$G, (MATCH(786, 輔助計算!$G$2:$G$801, 0)+1))&lt;=1181,2,1))))=0,"",IF(MOD(INDEX(輔助計算!$D:$D, (MATCH(786, 輔助計算!$G$2:$G$801, 0)+1)),IF(INDEX(ERP資料!$G:$G, (MATCH(786, 輔助計算!$G$2:$G$801, 0)+1))&lt;100, IF(INDEX(ERP資料!$G:$G, (MATCH(786, 輔助計算!$G$2:$G$801, 0)+1))&lt;=31,3,IF(INDEX(ERP資料!$G:$G, (MATCH(786, 輔助計算!$G$2:$G$801, 0)+1))&lt;=46.5,2,1)), IF(INDEX(ERP資料!$G:$G, (MATCH(786, 輔助計算!$G$2:$G$801, 0)+1))&lt;=790,3,IF(INDEX(ERP資料!$G:$G, (MATCH(786, 輔助計算!$G$2:$G$801, 0)+1))&lt;=1181,2,1))))=1,TEXT(INDEX(ERP資料!$G:$G, (MATCH(786, 輔助計算!$G$2:$G$801, 0)+1)),"0.##"),IF(MOD(INDEX(輔助計算!$D:$D, (MATCH(786, 輔助計算!$G$2:$G$801, 0)+1)),IF(INDEX(ERP資料!$G:$G, (MATCH(786, 輔助計算!$G$2:$G$801, 0)+1))&lt;100, IF(INDEX(ERP資料!$G:$G, (MATCH(786, 輔助計算!$G$2:$G$801, 0)+1))&lt;=31,3,IF(INDEX(ERP資料!$G:$G, (MATCH(786, 輔助計算!$G$2:$G$801, 0)+1))&lt;=46.5,2,1)), IF(INDEX(ERP資料!$G:$G, (MATCH(786, 輔助計算!$G$2:$G$801, 0)+1))&lt;=790,3,IF(INDEX(ERP資料!$G:$G, (MATCH(786, 輔助計算!$G$2:$G$801, 0)+1))&lt;=1181,2,1))))=2,TEXT(INDEX(ERP資料!$G:$G, (MATCH(786, 輔助計算!$G$2:$G$801, 0)+1)),"0.##")&amp;"+"&amp;TEXT(INDEX(ERP資料!$G:$G, (MATCH(786, 輔助計算!$G$2:$G$801, 0)+1)),"0.##"),TEXT(INDEX(ERP資料!$G:$G, (MATCH(786, 輔助計算!$G$2:$G$801, 0)+1)),"0.##")&amp;"+"&amp;TEXT(INDEX(ERP資料!$G:$G, (MATCH(786, 輔助計算!$G$2:$G$801, 0)+1)),"0.##")&amp;"+"&amp;TEXT(INDEX(ERP資料!$G:$G, (MATCH(786, 輔助計算!$G$2:$G$801, 0)+1)),"0.##"))))&amp;"-1")&lt;&gt;""),"  ","")&amp;IF(MOD(INDEX(輔助計算!$D:$D, (MATCH(786, 輔助計算!$G$2:$G$801, 0)+1)),IF(INDEX(ERP資料!$G:$G, (MATCH(786, 輔助計算!$G$2:$G$801, 0)+1))&lt;100, IF(INDEX(ERP資料!$G:$G, (MATCH(786, 輔助計算!$G$2:$G$801, 0)+1))&lt;=31,3,IF(INDEX(ERP資料!$G:$G, (MATCH(786, 輔助計算!$G$2:$G$801, 0)+1))&lt;=46.5,2,1)), IF(INDEX(ERP資料!$G:$G, (MATCH(786, 輔助計算!$G$2:$G$801, 0)+1))&lt;=790,3,IF(INDEX(ERP資料!$G:$G, (MATCH(786, 輔助計算!$G$2:$G$801, 0)+1))&lt;=1181,2,1))))=0,"",IF(MOD(INDEX(輔助計算!$D:$D, (MATCH(786, 輔助計算!$G$2:$G$801, 0)+1)),IF(INDEX(ERP資料!$G:$G, (MATCH(786, 輔助計算!$G$2:$G$801, 0)+1))&lt;100, IF(INDEX(ERP資料!$G:$G, (MATCH(786, 輔助計算!$G$2:$G$801, 0)+1))&lt;=31,3,IF(INDEX(ERP資料!$G:$G, (MATCH(786, 輔助計算!$G$2:$G$801, 0)+1))&lt;=46.5,2,1)), IF(INDEX(ERP資料!$G:$G, (MATCH(786, 輔助計算!$G$2:$G$801, 0)+1))&lt;=790,3,IF(INDEX(ERP資料!$G:$G, (MATCH(786, 輔助計算!$G$2:$G$801, 0)+1))&lt;=1181,2,1))))=0,"",IF(MOD(INDEX(輔助計算!$D:$D, (MATCH(786, 輔助計算!$G$2:$G$801, 0)+1)),IF(INDEX(ERP資料!$G:$G, (MATCH(786, 輔助計算!$G$2:$G$801, 0)+1))&lt;100, IF(INDEX(ERP資料!$G:$G, (MATCH(786, 輔助計算!$G$2:$G$801, 0)+1))&lt;=31,3,IF(INDEX(ERP資料!$G:$G, (MATCH(786, 輔助計算!$G$2:$G$801, 0)+1))&lt;=46.5,2,1)), IF(INDEX(ERP資料!$G:$G, (MATCH(786, 輔助計算!$G$2:$G$801, 0)+1))&lt;=790,3,IF(INDEX(ERP資料!$G:$G, (MATCH(786, 輔助計算!$G$2:$G$801, 0)+1))&lt;=1181,2,1))))=1,TEXT(INDEX(ERP資料!$G:$G, (MATCH(786, 輔助計算!$G$2:$G$801, 0)+1)),"0.##"),IF(MOD(INDEX(輔助計算!$D:$D, (MATCH(786, 輔助計算!$G$2:$G$801, 0)+1)),IF(INDEX(ERP資料!$G:$G, (MATCH(786, 輔助計算!$G$2:$G$801, 0)+1))&lt;100, IF(INDEX(ERP資料!$G:$G, (MATCH(786, 輔助計算!$G$2:$G$801, 0)+1))&lt;=31,3,IF(INDEX(ERP資料!$G:$G, (MATCH(786, 輔助計算!$G$2:$G$801, 0)+1))&lt;=46.5,2,1)), IF(INDEX(ERP資料!$G:$G, (MATCH(786, 輔助計算!$G$2:$G$801, 0)+1))&lt;=790,3,IF(INDEX(ERP資料!$G:$G, (MATCH(786, 輔助計算!$G$2:$G$801, 0)+1))&lt;=1181,2,1))))=2,TEXT(INDEX(ERP資料!$G:$G, (MATCH(786, 輔助計算!$G$2:$G$801, 0)+1)),"0.##")&amp;"+"&amp;TEXT(INDEX(ERP資料!$G:$G, (MATCH(786, 輔助計算!$G$2:$G$801, 0)+1)),"0.##"),TEXT(INDEX(ERP資料!$G:$G, (MATCH(786, 輔助計算!$G$2:$G$801, 0)+1)),"0.##")&amp;"+"&amp;TEXT(INDEX(ERP資料!$G:$G, (MATCH(786, 輔助計算!$G$2:$G$801, 0)+1)),"0.##")&amp;"+"&amp;TEXT(INDEX(ERP資料!$G:$G, (MATCH(786, 輔助計算!$G$2:$G$801, 0)+1)),"0.##"))))&amp;"-1")), ""), "")</f>
        <v/>
      </c>
      <c r="K787" s="16" t="n"/>
      <c r="L787" s="14">
        <f>IFERROR(IF(AND(IFERROR(INDEX(ERP資料!$A:$A, (MATCH(786, 輔助計算!$G$2:$G$801, 0)+1)), "")&lt;&gt;"", IFERROR(INDEX(ERP資料!$A:$A, (MATCH(786, 輔助計算!$G$2:$G$801, 0)+1)), "")&lt;&gt;IFERROR(INDEX(ERP資料!$A:$A, MATCH(785, 輔助計算!$G$2:$G$801, 0)+1), "")), INDEX(ERP資料!$B:$B, (MATCH(786, 輔助計算!$G$2:$G$801, 0)+1)), ""), "")</f>
        <v/>
      </c>
      <c r="M787" s="17" t="n"/>
    </row>
    <row r="788">
      <c r="A788" s="10">
        <f>IFERROR(IF(AND(IFERROR(INDEX(ERP資料!$A:$A, (MATCH(787, 輔助計算!$G$2:$G$801, 0)+1)), "")&lt;&gt;"", IFERROR(INDEX(ERP資料!$A:$A, (MATCH(787, 輔助計算!$G$2:$G$801, 0)+1)), "")&lt;&gt;IFERROR(INDEX(ERP資料!$A:$A, MATCH(786, 輔助計算!$G$2:$G$801, 0)+1), "")), IFERROR(INDEX(ERP資料!$A:$A, (MATCH(787, 輔助計算!$G$2:$G$801, 0)+1)), ""), ""), "")</f>
        <v/>
      </c>
      <c r="B788" s="10">
        <f>IFERROR(IF(AND(IFERROR(INDEX(ERP資料!$A:$A, (MATCH(787, 輔助計算!$G$2:$G$801, 0)+1)), "")&lt;&gt;"", IFERROR(INDEX(ERP資料!$A:$A, (MATCH(787, 輔助計算!$G$2:$G$801, 0)+1)), "")&lt;&gt;IFERROR(INDEX(ERP資料!$A:$A, MATCH(786, 輔助計算!$G$2:$G$801, 0)+1), "")), INDEX(ERP資料!$S:$S, (MATCH(787, 輔助計算!$G$2:$G$801, 0)+1)), ""), "")</f>
        <v/>
      </c>
      <c r="C788" s="19">
        <f>IFERROR(IF(AND(IFERROR(INDEX(ERP資料!$A:$A, (MATCH(787, 輔助計算!$G$2:$G$801, 0)+1)), "")&lt;&gt;"", IFERROR(INDEX(ERP資料!$A:$A, (MATCH(787, 輔助計算!$G$2:$G$801, 0)+1)), "")&lt;&gt;IFERROR(INDEX(ERP資料!$A:$A, MATCH(786, 輔助計算!$G$2:$G$801, 0)+1), "")), IFERROR(VLOOKUP(LEFT(INDEX(ERP資料!$S:$S, (MATCH(787, 輔助計算!$G$2:$G$801, 0)+1)), 4), 紙管對照表!$A:$C, 3, FALSE), ""), ""), "")</f>
        <v/>
      </c>
      <c r="D788" s="16" t="n"/>
      <c r="E788" s="10">
        <f>IFERROR(IF(INDEX(ERP資料!$H:$H, (MATCH(787, 輔助計算!$G$2:$G$801, 0)+1))="","",INDEX(ERP資料!$H:$H, (MATCH(787, 輔助計算!$G$2:$G$801, 0)+1))), "")</f>
        <v/>
      </c>
      <c r="F788" s="10">
        <f>IFERROR(IF(INDEX(ERP資料!$E:$E, (MATCH(787, 輔助計算!$G$2:$G$801, 0)+1))="","",TRIM(INDEX(ERP資料!$E:$E, (MATCH(787, 輔助計算!$G$2:$G$801, 0)+1)))), "")</f>
        <v/>
      </c>
      <c r="G788" s="10">
        <f>IFERROR(IF(INDEX(ERP資料!$F:$F, (MATCH(787, 輔助計算!$G$2:$G$801, 0)+1))="","",INDEX(ERP資料!$F:$F, (MATCH(787, 輔助計算!$G$2:$G$801, 0)+1))), "")</f>
        <v/>
      </c>
      <c r="H788" s="10">
        <f>IFERROR(IF(INDEX(ERP資料!$G:$G, (MATCH(787, 輔助計算!$G$2:$G$801, 0)+1))="","",INDEX(ERP資料!$G:$G, (MATCH(787, 輔助計算!$G$2:$G$801, 0)+1))), "")</f>
        <v/>
      </c>
      <c r="I788" s="15">
        <f>IFERROR(INDEX(輔助計算!$D:$D, (MATCH(787, 輔助計算!$G$2:$G$801, 0)+1)), "")</f>
        <v/>
      </c>
      <c r="J788" s="15">
        <f>IFERROR(IF(AND(INDEX(輔助計算!$D:$D, (MATCH(787, 輔助計算!$G$2:$G$801, 0)+1))&lt;&gt;"", INDEX(ERP資料!$G:$G, (MATCH(787, 輔助計算!$G$2:$G$801, 0)+1))&lt;&gt;""), TRIM(IF(INT(INDEX(輔助計算!$D:$D, (MATCH(787, 輔助計算!$G$2:$G$801, 0)+1))/IF(INDEX(ERP資料!$G:$G, (MATCH(787, 輔助計算!$G$2:$G$801, 0)+1))&lt;100, IF(INDEX(ERP資料!$G:$G, (MATCH(787, 輔助計算!$G$2:$G$801, 0)+1))&lt;=31,3,IF(INDEX(ERP資料!$G:$G, (MATCH(787, 輔助計算!$G$2:$G$801, 0)+1))&lt;=46.5,2,1)), IF(INDEX(ERP資料!$G:$G, (MATCH(787, 輔助計算!$G$2:$G$801, 0)+1))&lt;=790,3,IF(INDEX(ERP資料!$G:$G, (MATCH(787, 輔助計算!$G$2:$G$801, 0)+1))&lt;=1181,2,1))))&gt;0, IF(IF(INDEX(ERP資料!$G:$G, (MATCH(787, 輔助計算!$G$2:$G$801, 0)+1))&lt;100, IF(INDEX(ERP資料!$G:$G, (MATCH(787, 輔助計算!$G$2:$G$801, 0)+1))&lt;=31,3,IF(INDEX(ERP資料!$G:$G, (MATCH(787, 輔助計算!$G$2:$G$801, 0)+1))&lt;=46.5,2,1)), IF(INDEX(ERP資料!$G:$G, (MATCH(787, 輔助計算!$G$2:$G$801, 0)+1))&lt;=790,3,IF(INDEX(ERP資料!$G:$G, (MATCH(787, 輔助計算!$G$2:$G$801, 0)+1))&lt;=1181,2,1)))=1,TEXT(INDEX(ERP資料!$G:$G, (MATCH(787, 輔助計算!$G$2:$G$801, 0)+1)),"0.##"),IF(IF(INDEX(ERP資料!$G:$G, (MATCH(787, 輔助計算!$G$2:$G$801, 0)+1))&lt;100, IF(INDEX(ERP資料!$G:$G, (MATCH(787, 輔助計算!$G$2:$G$801, 0)+1))&lt;=31,3,IF(INDEX(ERP資料!$G:$G, (MATCH(787, 輔助計算!$G$2:$G$801, 0)+1))&lt;=46.5,2,1)), IF(INDEX(ERP資料!$G:$G, (MATCH(787, 輔助計算!$G$2:$G$801, 0)+1))&lt;=790,3,IF(INDEX(ERP資料!$G:$G, (MATCH(787, 輔助計算!$G$2:$G$801, 0)+1))&lt;=1181,2,1)))=2,TEXT(INDEX(ERP資料!$G:$G, (MATCH(787, 輔助計算!$G$2:$G$801, 0)+1)),"0.##")&amp;"+"&amp;TEXT(INDEX(ERP資料!$G:$G, (MATCH(787, 輔助計算!$G$2:$G$801, 0)+1)),"0.##"),TEXT(INDEX(ERP資料!$G:$G, (MATCH(787, 輔助計算!$G$2:$G$801, 0)+1)),"0.##")&amp;"+"&amp;TEXT(INDEX(ERP資料!$G:$G, (MATCH(787, 輔助計算!$G$2:$G$801, 0)+1)),"0.##")&amp;"+"&amp;TEXT(INDEX(ERP資料!$G:$G, (MATCH(787, 輔助計算!$G$2:$G$801, 0)+1)),"0.##")))&amp;"-"&amp;INT(INDEX(輔助計算!$D:$D, (MATCH(787, 輔助計算!$G$2:$G$801, 0)+1))/IF(INDEX(ERP資料!$G:$G, (MATCH(787, 輔助計算!$G$2:$G$801, 0)+1))&lt;100, IF(INDEX(ERP資料!$G:$G, (MATCH(787, 輔助計算!$G$2:$G$801, 0)+1))&lt;=31,3,IF(INDEX(ERP資料!$G:$G, (MATCH(787, 輔助計算!$G$2:$G$801, 0)+1))&lt;=46.5,2,1)), IF(INDEX(ERP資料!$G:$G, (MATCH(787, 輔助計算!$G$2:$G$801, 0)+1))&lt;=790,3,IF(INDEX(ERP資料!$G:$G, (MATCH(787, 輔助計算!$G$2:$G$801, 0)+1))&lt;=1181,2,1)))), "")&amp;IF(AND(IF(INT(INDEX(輔助計算!$D:$D, (MATCH(787, 輔助計算!$G$2:$G$801, 0)+1))/IF(INDEX(ERP資料!$G:$G, (MATCH(787, 輔助計算!$G$2:$G$801, 0)+1))&lt;100, IF(INDEX(ERP資料!$G:$G, (MATCH(787, 輔助計算!$G$2:$G$801, 0)+1))&lt;=31,3,IF(INDEX(ERP資料!$G:$G, (MATCH(787, 輔助計算!$G$2:$G$801, 0)+1))&lt;=46.5,2,1)), IF(INDEX(ERP資料!$G:$G, (MATCH(787, 輔助計算!$G$2:$G$801, 0)+1))&lt;=790,3,IF(INDEX(ERP資料!$G:$G, (MATCH(787, 輔助計算!$G$2:$G$801, 0)+1))&lt;=1181,2,1))))&gt;0, IF(IF(INDEX(ERP資料!$G:$G, (MATCH(787, 輔助計算!$G$2:$G$801, 0)+1))&lt;100, IF(INDEX(ERP資料!$G:$G, (MATCH(787, 輔助計算!$G$2:$G$801, 0)+1))&lt;=31,3,IF(INDEX(ERP資料!$G:$G, (MATCH(787, 輔助計算!$G$2:$G$801, 0)+1))&lt;=46.5,2,1)), IF(INDEX(ERP資料!$G:$G, (MATCH(787, 輔助計算!$G$2:$G$801, 0)+1))&lt;=790,3,IF(INDEX(ERP資料!$G:$G, (MATCH(787, 輔助計算!$G$2:$G$801, 0)+1))&lt;=1181,2,1)))=1,TEXT(INDEX(ERP資料!$G:$G, (MATCH(787, 輔助計算!$G$2:$G$801, 0)+1)),"0.##"),IF(IF(INDEX(ERP資料!$G:$G, (MATCH(787, 輔助計算!$G$2:$G$801, 0)+1))&lt;100, IF(INDEX(ERP資料!$G:$G, (MATCH(787, 輔助計算!$G$2:$G$801, 0)+1))&lt;=31,3,IF(INDEX(ERP資料!$G:$G, (MATCH(787, 輔助計算!$G$2:$G$801, 0)+1))&lt;=46.5,2,1)), IF(INDEX(ERP資料!$G:$G, (MATCH(787, 輔助計算!$G$2:$G$801, 0)+1))&lt;=790,3,IF(INDEX(ERP資料!$G:$G, (MATCH(787, 輔助計算!$G$2:$G$801, 0)+1))&lt;=1181,2,1)))=2,TEXT(INDEX(ERP資料!$G:$G, (MATCH(787, 輔助計算!$G$2:$G$801, 0)+1)),"0.##")&amp;"+"&amp;TEXT(INDEX(ERP資料!$G:$G, (MATCH(787, 輔助計算!$G$2:$G$801, 0)+1)),"0.##"),TEXT(INDEX(ERP資料!$G:$G, (MATCH(787, 輔助計算!$G$2:$G$801, 0)+1)),"0.##")&amp;"+"&amp;TEXT(INDEX(ERP資料!$G:$G, (MATCH(787, 輔助計算!$G$2:$G$801, 0)+1)),"0.##")&amp;"+"&amp;TEXT(INDEX(ERP資料!$G:$G, (MATCH(787, 輔助計算!$G$2:$G$801, 0)+1)),"0.##")))&amp;"-"&amp;INT(INDEX(輔助計算!$D:$D, (MATCH(787, 輔助計算!$G$2:$G$801, 0)+1))/IF(INDEX(ERP資料!$G:$G, (MATCH(787, 輔助計算!$G$2:$G$801, 0)+1))&lt;100, IF(INDEX(ERP資料!$G:$G, (MATCH(787, 輔助計算!$G$2:$G$801, 0)+1))&lt;=31,3,IF(INDEX(ERP資料!$G:$G, (MATCH(787, 輔助計算!$G$2:$G$801, 0)+1))&lt;=46.5,2,1)), IF(INDEX(ERP資料!$G:$G, (MATCH(787, 輔助計算!$G$2:$G$801, 0)+1))&lt;=790,3,IF(INDEX(ERP資料!$G:$G, (MATCH(787, 輔助計算!$G$2:$G$801, 0)+1))&lt;=1181,2,1)))), "")&lt;&gt;"",IF(MOD(INDEX(輔助計算!$D:$D, (MATCH(787, 輔助計算!$G$2:$G$801, 0)+1)),IF(INDEX(ERP資料!$G:$G, (MATCH(787, 輔助計算!$G$2:$G$801, 0)+1))&lt;100, IF(INDEX(ERP資料!$G:$G, (MATCH(787, 輔助計算!$G$2:$G$801, 0)+1))&lt;=31,3,IF(INDEX(ERP資料!$G:$G, (MATCH(787, 輔助計算!$G$2:$G$801, 0)+1))&lt;=46.5,2,1)), IF(INDEX(ERP資料!$G:$G, (MATCH(787, 輔助計算!$G$2:$G$801, 0)+1))&lt;=790,3,IF(INDEX(ERP資料!$G:$G, (MATCH(787, 輔助計算!$G$2:$G$801, 0)+1))&lt;=1181,2,1))))=0,"",IF(MOD(INDEX(輔助計算!$D:$D, (MATCH(787, 輔助計算!$G$2:$G$801, 0)+1)),IF(INDEX(ERP資料!$G:$G, (MATCH(787, 輔助計算!$G$2:$G$801, 0)+1))&lt;100, IF(INDEX(ERP資料!$G:$G, (MATCH(787, 輔助計算!$G$2:$G$801, 0)+1))&lt;=31,3,IF(INDEX(ERP資料!$G:$G, (MATCH(787, 輔助計算!$G$2:$G$801, 0)+1))&lt;=46.5,2,1)), IF(INDEX(ERP資料!$G:$G, (MATCH(787, 輔助計算!$G$2:$G$801, 0)+1))&lt;=790,3,IF(INDEX(ERP資料!$G:$G, (MATCH(787, 輔助計算!$G$2:$G$801, 0)+1))&lt;=1181,2,1))))=0,"",IF(MOD(INDEX(輔助計算!$D:$D, (MATCH(787, 輔助計算!$G$2:$G$801, 0)+1)),IF(INDEX(ERP資料!$G:$G, (MATCH(787, 輔助計算!$G$2:$G$801, 0)+1))&lt;100, IF(INDEX(ERP資料!$G:$G, (MATCH(787, 輔助計算!$G$2:$G$801, 0)+1))&lt;=31,3,IF(INDEX(ERP資料!$G:$G, (MATCH(787, 輔助計算!$G$2:$G$801, 0)+1))&lt;=46.5,2,1)), IF(INDEX(ERP資料!$G:$G, (MATCH(787, 輔助計算!$G$2:$G$801, 0)+1))&lt;=790,3,IF(INDEX(ERP資料!$G:$G, (MATCH(787, 輔助計算!$G$2:$G$801, 0)+1))&lt;=1181,2,1))))=1,TEXT(INDEX(ERP資料!$G:$G, (MATCH(787, 輔助計算!$G$2:$G$801, 0)+1)),"0.##"),IF(MOD(INDEX(輔助計算!$D:$D, (MATCH(787, 輔助計算!$G$2:$G$801, 0)+1)),IF(INDEX(ERP資料!$G:$G, (MATCH(787, 輔助計算!$G$2:$G$801, 0)+1))&lt;100, IF(INDEX(ERP資料!$G:$G, (MATCH(787, 輔助計算!$G$2:$G$801, 0)+1))&lt;=31,3,IF(INDEX(ERP資料!$G:$G, (MATCH(787, 輔助計算!$G$2:$G$801, 0)+1))&lt;=46.5,2,1)), IF(INDEX(ERP資料!$G:$G, (MATCH(787, 輔助計算!$G$2:$G$801, 0)+1))&lt;=790,3,IF(INDEX(ERP資料!$G:$G, (MATCH(787, 輔助計算!$G$2:$G$801, 0)+1))&lt;=1181,2,1))))=2,TEXT(INDEX(ERP資料!$G:$G, (MATCH(787, 輔助計算!$G$2:$G$801, 0)+1)),"0.##")&amp;"+"&amp;TEXT(INDEX(ERP資料!$G:$G, (MATCH(787, 輔助計算!$G$2:$G$801, 0)+1)),"0.##"),TEXT(INDEX(ERP資料!$G:$G, (MATCH(787, 輔助計算!$G$2:$G$801, 0)+1)),"0.##")&amp;"+"&amp;TEXT(INDEX(ERP資料!$G:$G, (MATCH(787, 輔助計算!$G$2:$G$801, 0)+1)),"0.##")&amp;"+"&amp;TEXT(INDEX(ERP資料!$G:$G, (MATCH(787, 輔助計算!$G$2:$G$801, 0)+1)),"0.##"))))&amp;"-1")&lt;&gt;""),"  ","")&amp;IF(MOD(INDEX(輔助計算!$D:$D, (MATCH(787, 輔助計算!$G$2:$G$801, 0)+1)),IF(INDEX(ERP資料!$G:$G, (MATCH(787, 輔助計算!$G$2:$G$801, 0)+1))&lt;100, IF(INDEX(ERP資料!$G:$G, (MATCH(787, 輔助計算!$G$2:$G$801, 0)+1))&lt;=31,3,IF(INDEX(ERP資料!$G:$G, (MATCH(787, 輔助計算!$G$2:$G$801, 0)+1))&lt;=46.5,2,1)), IF(INDEX(ERP資料!$G:$G, (MATCH(787, 輔助計算!$G$2:$G$801, 0)+1))&lt;=790,3,IF(INDEX(ERP資料!$G:$G, (MATCH(787, 輔助計算!$G$2:$G$801, 0)+1))&lt;=1181,2,1))))=0,"",IF(MOD(INDEX(輔助計算!$D:$D, (MATCH(787, 輔助計算!$G$2:$G$801, 0)+1)),IF(INDEX(ERP資料!$G:$G, (MATCH(787, 輔助計算!$G$2:$G$801, 0)+1))&lt;100, IF(INDEX(ERP資料!$G:$G, (MATCH(787, 輔助計算!$G$2:$G$801, 0)+1))&lt;=31,3,IF(INDEX(ERP資料!$G:$G, (MATCH(787, 輔助計算!$G$2:$G$801, 0)+1))&lt;=46.5,2,1)), IF(INDEX(ERP資料!$G:$G, (MATCH(787, 輔助計算!$G$2:$G$801, 0)+1))&lt;=790,3,IF(INDEX(ERP資料!$G:$G, (MATCH(787, 輔助計算!$G$2:$G$801, 0)+1))&lt;=1181,2,1))))=0,"",IF(MOD(INDEX(輔助計算!$D:$D, (MATCH(787, 輔助計算!$G$2:$G$801, 0)+1)),IF(INDEX(ERP資料!$G:$G, (MATCH(787, 輔助計算!$G$2:$G$801, 0)+1))&lt;100, IF(INDEX(ERP資料!$G:$G, (MATCH(787, 輔助計算!$G$2:$G$801, 0)+1))&lt;=31,3,IF(INDEX(ERP資料!$G:$G, (MATCH(787, 輔助計算!$G$2:$G$801, 0)+1))&lt;=46.5,2,1)), IF(INDEX(ERP資料!$G:$G, (MATCH(787, 輔助計算!$G$2:$G$801, 0)+1))&lt;=790,3,IF(INDEX(ERP資料!$G:$G, (MATCH(787, 輔助計算!$G$2:$G$801, 0)+1))&lt;=1181,2,1))))=1,TEXT(INDEX(ERP資料!$G:$G, (MATCH(787, 輔助計算!$G$2:$G$801, 0)+1)),"0.##"),IF(MOD(INDEX(輔助計算!$D:$D, (MATCH(787, 輔助計算!$G$2:$G$801, 0)+1)),IF(INDEX(ERP資料!$G:$G, (MATCH(787, 輔助計算!$G$2:$G$801, 0)+1))&lt;100, IF(INDEX(ERP資料!$G:$G, (MATCH(787, 輔助計算!$G$2:$G$801, 0)+1))&lt;=31,3,IF(INDEX(ERP資料!$G:$G, (MATCH(787, 輔助計算!$G$2:$G$801, 0)+1))&lt;=46.5,2,1)), IF(INDEX(ERP資料!$G:$G, (MATCH(787, 輔助計算!$G$2:$G$801, 0)+1))&lt;=790,3,IF(INDEX(ERP資料!$G:$G, (MATCH(787, 輔助計算!$G$2:$G$801, 0)+1))&lt;=1181,2,1))))=2,TEXT(INDEX(ERP資料!$G:$G, (MATCH(787, 輔助計算!$G$2:$G$801, 0)+1)),"0.##")&amp;"+"&amp;TEXT(INDEX(ERP資料!$G:$G, (MATCH(787, 輔助計算!$G$2:$G$801, 0)+1)),"0.##"),TEXT(INDEX(ERP資料!$G:$G, (MATCH(787, 輔助計算!$G$2:$G$801, 0)+1)),"0.##")&amp;"+"&amp;TEXT(INDEX(ERP資料!$G:$G, (MATCH(787, 輔助計算!$G$2:$G$801, 0)+1)),"0.##")&amp;"+"&amp;TEXT(INDEX(ERP資料!$G:$G, (MATCH(787, 輔助計算!$G$2:$G$801, 0)+1)),"0.##"))))&amp;"-1")), ""), "")</f>
        <v/>
      </c>
      <c r="K788" s="16" t="n"/>
      <c r="L788" s="14">
        <f>IFERROR(IF(AND(IFERROR(INDEX(ERP資料!$A:$A, (MATCH(787, 輔助計算!$G$2:$G$801, 0)+1)), "")&lt;&gt;"", IFERROR(INDEX(ERP資料!$A:$A, (MATCH(787, 輔助計算!$G$2:$G$801, 0)+1)), "")&lt;&gt;IFERROR(INDEX(ERP資料!$A:$A, MATCH(786, 輔助計算!$G$2:$G$801, 0)+1), "")), INDEX(ERP資料!$B:$B, (MATCH(787, 輔助計算!$G$2:$G$801, 0)+1)), ""), "")</f>
        <v/>
      </c>
      <c r="M788" s="17" t="n"/>
    </row>
    <row r="789">
      <c r="A789" s="10">
        <f>IFERROR(IF(AND(IFERROR(INDEX(ERP資料!$A:$A, (MATCH(788, 輔助計算!$G$2:$G$801, 0)+1)), "")&lt;&gt;"", IFERROR(INDEX(ERP資料!$A:$A, (MATCH(788, 輔助計算!$G$2:$G$801, 0)+1)), "")&lt;&gt;IFERROR(INDEX(ERP資料!$A:$A, MATCH(787, 輔助計算!$G$2:$G$801, 0)+1), "")), IFERROR(INDEX(ERP資料!$A:$A, (MATCH(788, 輔助計算!$G$2:$G$801, 0)+1)), ""), ""), "")</f>
        <v/>
      </c>
      <c r="B789" s="10">
        <f>IFERROR(IF(AND(IFERROR(INDEX(ERP資料!$A:$A, (MATCH(788, 輔助計算!$G$2:$G$801, 0)+1)), "")&lt;&gt;"", IFERROR(INDEX(ERP資料!$A:$A, (MATCH(788, 輔助計算!$G$2:$G$801, 0)+1)), "")&lt;&gt;IFERROR(INDEX(ERP資料!$A:$A, MATCH(787, 輔助計算!$G$2:$G$801, 0)+1), "")), INDEX(ERP資料!$S:$S, (MATCH(788, 輔助計算!$G$2:$G$801, 0)+1)), ""), "")</f>
        <v/>
      </c>
      <c r="C789" s="19">
        <f>IFERROR(IF(AND(IFERROR(INDEX(ERP資料!$A:$A, (MATCH(788, 輔助計算!$G$2:$G$801, 0)+1)), "")&lt;&gt;"", IFERROR(INDEX(ERP資料!$A:$A, (MATCH(788, 輔助計算!$G$2:$G$801, 0)+1)), "")&lt;&gt;IFERROR(INDEX(ERP資料!$A:$A, MATCH(787, 輔助計算!$G$2:$G$801, 0)+1), "")), IFERROR(VLOOKUP(LEFT(INDEX(ERP資料!$S:$S, (MATCH(788, 輔助計算!$G$2:$G$801, 0)+1)), 4), 紙管對照表!$A:$C, 3, FALSE), ""), ""), "")</f>
        <v/>
      </c>
      <c r="D789" s="16" t="n"/>
      <c r="E789" s="10">
        <f>IFERROR(IF(INDEX(ERP資料!$H:$H, (MATCH(788, 輔助計算!$G$2:$G$801, 0)+1))="","",INDEX(ERP資料!$H:$H, (MATCH(788, 輔助計算!$G$2:$G$801, 0)+1))), "")</f>
        <v/>
      </c>
      <c r="F789" s="10">
        <f>IFERROR(IF(INDEX(ERP資料!$E:$E, (MATCH(788, 輔助計算!$G$2:$G$801, 0)+1))="","",TRIM(INDEX(ERP資料!$E:$E, (MATCH(788, 輔助計算!$G$2:$G$801, 0)+1)))), "")</f>
        <v/>
      </c>
      <c r="G789" s="10">
        <f>IFERROR(IF(INDEX(ERP資料!$F:$F, (MATCH(788, 輔助計算!$G$2:$G$801, 0)+1))="","",INDEX(ERP資料!$F:$F, (MATCH(788, 輔助計算!$G$2:$G$801, 0)+1))), "")</f>
        <v/>
      </c>
      <c r="H789" s="10">
        <f>IFERROR(IF(INDEX(ERP資料!$G:$G, (MATCH(788, 輔助計算!$G$2:$G$801, 0)+1))="","",INDEX(ERP資料!$G:$G, (MATCH(788, 輔助計算!$G$2:$G$801, 0)+1))), "")</f>
        <v/>
      </c>
      <c r="I789" s="15">
        <f>IFERROR(INDEX(輔助計算!$D:$D, (MATCH(788, 輔助計算!$G$2:$G$801, 0)+1)), "")</f>
        <v/>
      </c>
      <c r="J789" s="15">
        <f>IFERROR(IF(AND(INDEX(輔助計算!$D:$D, (MATCH(788, 輔助計算!$G$2:$G$801, 0)+1))&lt;&gt;"", INDEX(ERP資料!$G:$G, (MATCH(788, 輔助計算!$G$2:$G$801, 0)+1))&lt;&gt;""), TRIM(IF(INT(INDEX(輔助計算!$D:$D, (MATCH(788, 輔助計算!$G$2:$G$801, 0)+1))/IF(INDEX(ERP資料!$G:$G, (MATCH(788, 輔助計算!$G$2:$G$801, 0)+1))&lt;100, IF(INDEX(ERP資料!$G:$G, (MATCH(788, 輔助計算!$G$2:$G$801, 0)+1))&lt;=31,3,IF(INDEX(ERP資料!$G:$G, (MATCH(788, 輔助計算!$G$2:$G$801, 0)+1))&lt;=46.5,2,1)), IF(INDEX(ERP資料!$G:$G, (MATCH(788, 輔助計算!$G$2:$G$801, 0)+1))&lt;=790,3,IF(INDEX(ERP資料!$G:$G, (MATCH(788, 輔助計算!$G$2:$G$801, 0)+1))&lt;=1181,2,1))))&gt;0, IF(IF(INDEX(ERP資料!$G:$G, (MATCH(788, 輔助計算!$G$2:$G$801, 0)+1))&lt;100, IF(INDEX(ERP資料!$G:$G, (MATCH(788, 輔助計算!$G$2:$G$801, 0)+1))&lt;=31,3,IF(INDEX(ERP資料!$G:$G, (MATCH(788, 輔助計算!$G$2:$G$801, 0)+1))&lt;=46.5,2,1)), IF(INDEX(ERP資料!$G:$G, (MATCH(788, 輔助計算!$G$2:$G$801, 0)+1))&lt;=790,3,IF(INDEX(ERP資料!$G:$G, (MATCH(788, 輔助計算!$G$2:$G$801, 0)+1))&lt;=1181,2,1)))=1,TEXT(INDEX(ERP資料!$G:$G, (MATCH(788, 輔助計算!$G$2:$G$801, 0)+1)),"0.##"),IF(IF(INDEX(ERP資料!$G:$G, (MATCH(788, 輔助計算!$G$2:$G$801, 0)+1))&lt;100, IF(INDEX(ERP資料!$G:$G, (MATCH(788, 輔助計算!$G$2:$G$801, 0)+1))&lt;=31,3,IF(INDEX(ERP資料!$G:$G, (MATCH(788, 輔助計算!$G$2:$G$801, 0)+1))&lt;=46.5,2,1)), IF(INDEX(ERP資料!$G:$G, (MATCH(788, 輔助計算!$G$2:$G$801, 0)+1))&lt;=790,3,IF(INDEX(ERP資料!$G:$G, (MATCH(788, 輔助計算!$G$2:$G$801, 0)+1))&lt;=1181,2,1)))=2,TEXT(INDEX(ERP資料!$G:$G, (MATCH(788, 輔助計算!$G$2:$G$801, 0)+1)),"0.##")&amp;"+"&amp;TEXT(INDEX(ERP資料!$G:$G, (MATCH(788, 輔助計算!$G$2:$G$801, 0)+1)),"0.##"),TEXT(INDEX(ERP資料!$G:$G, (MATCH(788, 輔助計算!$G$2:$G$801, 0)+1)),"0.##")&amp;"+"&amp;TEXT(INDEX(ERP資料!$G:$G, (MATCH(788, 輔助計算!$G$2:$G$801, 0)+1)),"0.##")&amp;"+"&amp;TEXT(INDEX(ERP資料!$G:$G, (MATCH(788, 輔助計算!$G$2:$G$801, 0)+1)),"0.##")))&amp;"-"&amp;INT(INDEX(輔助計算!$D:$D, (MATCH(788, 輔助計算!$G$2:$G$801, 0)+1))/IF(INDEX(ERP資料!$G:$G, (MATCH(788, 輔助計算!$G$2:$G$801, 0)+1))&lt;100, IF(INDEX(ERP資料!$G:$G, (MATCH(788, 輔助計算!$G$2:$G$801, 0)+1))&lt;=31,3,IF(INDEX(ERP資料!$G:$G, (MATCH(788, 輔助計算!$G$2:$G$801, 0)+1))&lt;=46.5,2,1)), IF(INDEX(ERP資料!$G:$G, (MATCH(788, 輔助計算!$G$2:$G$801, 0)+1))&lt;=790,3,IF(INDEX(ERP資料!$G:$G, (MATCH(788, 輔助計算!$G$2:$G$801, 0)+1))&lt;=1181,2,1)))), "")&amp;IF(AND(IF(INT(INDEX(輔助計算!$D:$D, (MATCH(788, 輔助計算!$G$2:$G$801, 0)+1))/IF(INDEX(ERP資料!$G:$G, (MATCH(788, 輔助計算!$G$2:$G$801, 0)+1))&lt;100, IF(INDEX(ERP資料!$G:$G, (MATCH(788, 輔助計算!$G$2:$G$801, 0)+1))&lt;=31,3,IF(INDEX(ERP資料!$G:$G, (MATCH(788, 輔助計算!$G$2:$G$801, 0)+1))&lt;=46.5,2,1)), IF(INDEX(ERP資料!$G:$G, (MATCH(788, 輔助計算!$G$2:$G$801, 0)+1))&lt;=790,3,IF(INDEX(ERP資料!$G:$G, (MATCH(788, 輔助計算!$G$2:$G$801, 0)+1))&lt;=1181,2,1))))&gt;0, IF(IF(INDEX(ERP資料!$G:$G, (MATCH(788, 輔助計算!$G$2:$G$801, 0)+1))&lt;100, IF(INDEX(ERP資料!$G:$G, (MATCH(788, 輔助計算!$G$2:$G$801, 0)+1))&lt;=31,3,IF(INDEX(ERP資料!$G:$G, (MATCH(788, 輔助計算!$G$2:$G$801, 0)+1))&lt;=46.5,2,1)), IF(INDEX(ERP資料!$G:$G, (MATCH(788, 輔助計算!$G$2:$G$801, 0)+1))&lt;=790,3,IF(INDEX(ERP資料!$G:$G, (MATCH(788, 輔助計算!$G$2:$G$801, 0)+1))&lt;=1181,2,1)))=1,TEXT(INDEX(ERP資料!$G:$G, (MATCH(788, 輔助計算!$G$2:$G$801, 0)+1)),"0.##"),IF(IF(INDEX(ERP資料!$G:$G, (MATCH(788, 輔助計算!$G$2:$G$801, 0)+1))&lt;100, IF(INDEX(ERP資料!$G:$G, (MATCH(788, 輔助計算!$G$2:$G$801, 0)+1))&lt;=31,3,IF(INDEX(ERP資料!$G:$G, (MATCH(788, 輔助計算!$G$2:$G$801, 0)+1))&lt;=46.5,2,1)), IF(INDEX(ERP資料!$G:$G, (MATCH(788, 輔助計算!$G$2:$G$801, 0)+1))&lt;=790,3,IF(INDEX(ERP資料!$G:$G, (MATCH(788, 輔助計算!$G$2:$G$801, 0)+1))&lt;=1181,2,1)))=2,TEXT(INDEX(ERP資料!$G:$G, (MATCH(788, 輔助計算!$G$2:$G$801, 0)+1)),"0.##")&amp;"+"&amp;TEXT(INDEX(ERP資料!$G:$G, (MATCH(788, 輔助計算!$G$2:$G$801, 0)+1)),"0.##"),TEXT(INDEX(ERP資料!$G:$G, (MATCH(788, 輔助計算!$G$2:$G$801, 0)+1)),"0.##")&amp;"+"&amp;TEXT(INDEX(ERP資料!$G:$G, (MATCH(788, 輔助計算!$G$2:$G$801, 0)+1)),"0.##")&amp;"+"&amp;TEXT(INDEX(ERP資料!$G:$G, (MATCH(788, 輔助計算!$G$2:$G$801, 0)+1)),"0.##")))&amp;"-"&amp;INT(INDEX(輔助計算!$D:$D, (MATCH(788, 輔助計算!$G$2:$G$801, 0)+1))/IF(INDEX(ERP資料!$G:$G, (MATCH(788, 輔助計算!$G$2:$G$801, 0)+1))&lt;100, IF(INDEX(ERP資料!$G:$G, (MATCH(788, 輔助計算!$G$2:$G$801, 0)+1))&lt;=31,3,IF(INDEX(ERP資料!$G:$G, (MATCH(788, 輔助計算!$G$2:$G$801, 0)+1))&lt;=46.5,2,1)), IF(INDEX(ERP資料!$G:$G, (MATCH(788, 輔助計算!$G$2:$G$801, 0)+1))&lt;=790,3,IF(INDEX(ERP資料!$G:$G, (MATCH(788, 輔助計算!$G$2:$G$801, 0)+1))&lt;=1181,2,1)))), "")&lt;&gt;"",IF(MOD(INDEX(輔助計算!$D:$D, (MATCH(788, 輔助計算!$G$2:$G$801, 0)+1)),IF(INDEX(ERP資料!$G:$G, (MATCH(788, 輔助計算!$G$2:$G$801, 0)+1))&lt;100, IF(INDEX(ERP資料!$G:$G, (MATCH(788, 輔助計算!$G$2:$G$801, 0)+1))&lt;=31,3,IF(INDEX(ERP資料!$G:$G, (MATCH(788, 輔助計算!$G$2:$G$801, 0)+1))&lt;=46.5,2,1)), IF(INDEX(ERP資料!$G:$G, (MATCH(788, 輔助計算!$G$2:$G$801, 0)+1))&lt;=790,3,IF(INDEX(ERP資料!$G:$G, (MATCH(788, 輔助計算!$G$2:$G$801, 0)+1))&lt;=1181,2,1))))=0,"",IF(MOD(INDEX(輔助計算!$D:$D, (MATCH(788, 輔助計算!$G$2:$G$801, 0)+1)),IF(INDEX(ERP資料!$G:$G, (MATCH(788, 輔助計算!$G$2:$G$801, 0)+1))&lt;100, IF(INDEX(ERP資料!$G:$G, (MATCH(788, 輔助計算!$G$2:$G$801, 0)+1))&lt;=31,3,IF(INDEX(ERP資料!$G:$G, (MATCH(788, 輔助計算!$G$2:$G$801, 0)+1))&lt;=46.5,2,1)), IF(INDEX(ERP資料!$G:$G, (MATCH(788, 輔助計算!$G$2:$G$801, 0)+1))&lt;=790,3,IF(INDEX(ERP資料!$G:$G, (MATCH(788, 輔助計算!$G$2:$G$801, 0)+1))&lt;=1181,2,1))))=0,"",IF(MOD(INDEX(輔助計算!$D:$D, (MATCH(788, 輔助計算!$G$2:$G$801, 0)+1)),IF(INDEX(ERP資料!$G:$G, (MATCH(788, 輔助計算!$G$2:$G$801, 0)+1))&lt;100, IF(INDEX(ERP資料!$G:$G, (MATCH(788, 輔助計算!$G$2:$G$801, 0)+1))&lt;=31,3,IF(INDEX(ERP資料!$G:$G, (MATCH(788, 輔助計算!$G$2:$G$801, 0)+1))&lt;=46.5,2,1)), IF(INDEX(ERP資料!$G:$G, (MATCH(788, 輔助計算!$G$2:$G$801, 0)+1))&lt;=790,3,IF(INDEX(ERP資料!$G:$G, (MATCH(788, 輔助計算!$G$2:$G$801, 0)+1))&lt;=1181,2,1))))=1,TEXT(INDEX(ERP資料!$G:$G, (MATCH(788, 輔助計算!$G$2:$G$801, 0)+1)),"0.##"),IF(MOD(INDEX(輔助計算!$D:$D, (MATCH(788, 輔助計算!$G$2:$G$801, 0)+1)),IF(INDEX(ERP資料!$G:$G, (MATCH(788, 輔助計算!$G$2:$G$801, 0)+1))&lt;100, IF(INDEX(ERP資料!$G:$G, (MATCH(788, 輔助計算!$G$2:$G$801, 0)+1))&lt;=31,3,IF(INDEX(ERP資料!$G:$G, (MATCH(788, 輔助計算!$G$2:$G$801, 0)+1))&lt;=46.5,2,1)), IF(INDEX(ERP資料!$G:$G, (MATCH(788, 輔助計算!$G$2:$G$801, 0)+1))&lt;=790,3,IF(INDEX(ERP資料!$G:$G, (MATCH(788, 輔助計算!$G$2:$G$801, 0)+1))&lt;=1181,2,1))))=2,TEXT(INDEX(ERP資料!$G:$G, (MATCH(788, 輔助計算!$G$2:$G$801, 0)+1)),"0.##")&amp;"+"&amp;TEXT(INDEX(ERP資料!$G:$G, (MATCH(788, 輔助計算!$G$2:$G$801, 0)+1)),"0.##"),TEXT(INDEX(ERP資料!$G:$G, (MATCH(788, 輔助計算!$G$2:$G$801, 0)+1)),"0.##")&amp;"+"&amp;TEXT(INDEX(ERP資料!$G:$G, (MATCH(788, 輔助計算!$G$2:$G$801, 0)+1)),"0.##")&amp;"+"&amp;TEXT(INDEX(ERP資料!$G:$G, (MATCH(788, 輔助計算!$G$2:$G$801, 0)+1)),"0.##"))))&amp;"-1")&lt;&gt;""),"  ","")&amp;IF(MOD(INDEX(輔助計算!$D:$D, (MATCH(788, 輔助計算!$G$2:$G$801, 0)+1)),IF(INDEX(ERP資料!$G:$G, (MATCH(788, 輔助計算!$G$2:$G$801, 0)+1))&lt;100, IF(INDEX(ERP資料!$G:$G, (MATCH(788, 輔助計算!$G$2:$G$801, 0)+1))&lt;=31,3,IF(INDEX(ERP資料!$G:$G, (MATCH(788, 輔助計算!$G$2:$G$801, 0)+1))&lt;=46.5,2,1)), IF(INDEX(ERP資料!$G:$G, (MATCH(788, 輔助計算!$G$2:$G$801, 0)+1))&lt;=790,3,IF(INDEX(ERP資料!$G:$G, (MATCH(788, 輔助計算!$G$2:$G$801, 0)+1))&lt;=1181,2,1))))=0,"",IF(MOD(INDEX(輔助計算!$D:$D, (MATCH(788, 輔助計算!$G$2:$G$801, 0)+1)),IF(INDEX(ERP資料!$G:$G, (MATCH(788, 輔助計算!$G$2:$G$801, 0)+1))&lt;100, IF(INDEX(ERP資料!$G:$G, (MATCH(788, 輔助計算!$G$2:$G$801, 0)+1))&lt;=31,3,IF(INDEX(ERP資料!$G:$G, (MATCH(788, 輔助計算!$G$2:$G$801, 0)+1))&lt;=46.5,2,1)), IF(INDEX(ERP資料!$G:$G, (MATCH(788, 輔助計算!$G$2:$G$801, 0)+1))&lt;=790,3,IF(INDEX(ERP資料!$G:$G, (MATCH(788, 輔助計算!$G$2:$G$801, 0)+1))&lt;=1181,2,1))))=0,"",IF(MOD(INDEX(輔助計算!$D:$D, (MATCH(788, 輔助計算!$G$2:$G$801, 0)+1)),IF(INDEX(ERP資料!$G:$G, (MATCH(788, 輔助計算!$G$2:$G$801, 0)+1))&lt;100, IF(INDEX(ERP資料!$G:$G, (MATCH(788, 輔助計算!$G$2:$G$801, 0)+1))&lt;=31,3,IF(INDEX(ERP資料!$G:$G, (MATCH(788, 輔助計算!$G$2:$G$801, 0)+1))&lt;=46.5,2,1)), IF(INDEX(ERP資料!$G:$G, (MATCH(788, 輔助計算!$G$2:$G$801, 0)+1))&lt;=790,3,IF(INDEX(ERP資料!$G:$G, (MATCH(788, 輔助計算!$G$2:$G$801, 0)+1))&lt;=1181,2,1))))=1,TEXT(INDEX(ERP資料!$G:$G, (MATCH(788, 輔助計算!$G$2:$G$801, 0)+1)),"0.##"),IF(MOD(INDEX(輔助計算!$D:$D, (MATCH(788, 輔助計算!$G$2:$G$801, 0)+1)),IF(INDEX(ERP資料!$G:$G, (MATCH(788, 輔助計算!$G$2:$G$801, 0)+1))&lt;100, IF(INDEX(ERP資料!$G:$G, (MATCH(788, 輔助計算!$G$2:$G$801, 0)+1))&lt;=31,3,IF(INDEX(ERP資料!$G:$G, (MATCH(788, 輔助計算!$G$2:$G$801, 0)+1))&lt;=46.5,2,1)), IF(INDEX(ERP資料!$G:$G, (MATCH(788, 輔助計算!$G$2:$G$801, 0)+1))&lt;=790,3,IF(INDEX(ERP資料!$G:$G, (MATCH(788, 輔助計算!$G$2:$G$801, 0)+1))&lt;=1181,2,1))))=2,TEXT(INDEX(ERP資料!$G:$G, (MATCH(788, 輔助計算!$G$2:$G$801, 0)+1)),"0.##")&amp;"+"&amp;TEXT(INDEX(ERP資料!$G:$G, (MATCH(788, 輔助計算!$G$2:$G$801, 0)+1)),"0.##"),TEXT(INDEX(ERP資料!$G:$G, (MATCH(788, 輔助計算!$G$2:$G$801, 0)+1)),"0.##")&amp;"+"&amp;TEXT(INDEX(ERP資料!$G:$G, (MATCH(788, 輔助計算!$G$2:$G$801, 0)+1)),"0.##")&amp;"+"&amp;TEXT(INDEX(ERP資料!$G:$G, (MATCH(788, 輔助計算!$G$2:$G$801, 0)+1)),"0.##"))))&amp;"-1")), ""), "")</f>
        <v/>
      </c>
      <c r="K789" s="16" t="n"/>
      <c r="L789" s="14">
        <f>IFERROR(IF(AND(IFERROR(INDEX(ERP資料!$A:$A, (MATCH(788, 輔助計算!$G$2:$G$801, 0)+1)), "")&lt;&gt;"", IFERROR(INDEX(ERP資料!$A:$A, (MATCH(788, 輔助計算!$G$2:$G$801, 0)+1)), "")&lt;&gt;IFERROR(INDEX(ERP資料!$A:$A, MATCH(787, 輔助計算!$G$2:$G$801, 0)+1), "")), INDEX(ERP資料!$B:$B, (MATCH(788, 輔助計算!$G$2:$G$801, 0)+1)), ""), "")</f>
        <v/>
      </c>
      <c r="M789" s="17" t="n"/>
    </row>
    <row r="790">
      <c r="A790" s="10">
        <f>IFERROR(IF(AND(IFERROR(INDEX(ERP資料!$A:$A, (MATCH(789, 輔助計算!$G$2:$G$801, 0)+1)), "")&lt;&gt;"", IFERROR(INDEX(ERP資料!$A:$A, (MATCH(789, 輔助計算!$G$2:$G$801, 0)+1)), "")&lt;&gt;IFERROR(INDEX(ERP資料!$A:$A, MATCH(788, 輔助計算!$G$2:$G$801, 0)+1), "")), IFERROR(INDEX(ERP資料!$A:$A, (MATCH(789, 輔助計算!$G$2:$G$801, 0)+1)), ""), ""), "")</f>
        <v/>
      </c>
      <c r="B790" s="10">
        <f>IFERROR(IF(AND(IFERROR(INDEX(ERP資料!$A:$A, (MATCH(789, 輔助計算!$G$2:$G$801, 0)+1)), "")&lt;&gt;"", IFERROR(INDEX(ERP資料!$A:$A, (MATCH(789, 輔助計算!$G$2:$G$801, 0)+1)), "")&lt;&gt;IFERROR(INDEX(ERP資料!$A:$A, MATCH(788, 輔助計算!$G$2:$G$801, 0)+1), "")), INDEX(ERP資料!$S:$S, (MATCH(789, 輔助計算!$G$2:$G$801, 0)+1)), ""), "")</f>
        <v/>
      </c>
      <c r="C790" s="19">
        <f>IFERROR(IF(AND(IFERROR(INDEX(ERP資料!$A:$A, (MATCH(789, 輔助計算!$G$2:$G$801, 0)+1)), "")&lt;&gt;"", IFERROR(INDEX(ERP資料!$A:$A, (MATCH(789, 輔助計算!$G$2:$G$801, 0)+1)), "")&lt;&gt;IFERROR(INDEX(ERP資料!$A:$A, MATCH(788, 輔助計算!$G$2:$G$801, 0)+1), "")), IFERROR(VLOOKUP(LEFT(INDEX(ERP資料!$S:$S, (MATCH(789, 輔助計算!$G$2:$G$801, 0)+1)), 4), 紙管對照表!$A:$C, 3, FALSE), ""), ""), "")</f>
        <v/>
      </c>
      <c r="D790" s="16" t="n"/>
      <c r="E790" s="10">
        <f>IFERROR(IF(INDEX(ERP資料!$H:$H, (MATCH(789, 輔助計算!$G$2:$G$801, 0)+1))="","",INDEX(ERP資料!$H:$H, (MATCH(789, 輔助計算!$G$2:$G$801, 0)+1))), "")</f>
        <v/>
      </c>
      <c r="F790" s="10">
        <f>IFERROR(IF(INDEX(ERP資料!$E:$E, (MATCH(789, 輔助計算!$G$2:$G$801, 0)+1))="","",TRIM(INDEX(ERP資料!$E:$E, (MATCH(789, 輔助計算!$G$2:$G$801, 0)+1)))), "")</f>
        <v/>
      </c>
      <c r="G790" s="10">
        <f>IFERROR(IF(INDEX(ERP資料!$F:$F, (MATCH(789, 輔助計算!$G$2:$G$801, 0)+1))="","",INDEX(ERP資料!$F:$F, (MATCH(789, 輔助計算!$G$2:$G$801, 0)+1))), "")</f>
        <v/>
      </c>
      <c r="H790" s="10">
        <f>IFERROR(IF(INDEX(ERP資料!$G:$G, (MATCH(789, 輔助計算!$G$2:$G$801, 0)+1))="","",INDEX(ERP資料!$G:$G, (MATCH(789, 輔助計算!$G$2:$G$801, 0)+1))), "")</f>
        <v/>
      </c>
      <c r="I790" s="15">
        <f>IFERROR(INDEX(輔助計算!$D:$D, (MATCH(789, 輔助計算!$G$2:$G$801, 0)+1)), "")</f>
        <v/>
      </c>
      <c r="J790" s="15">
        <f>IFERROR(IF(AND(INDEX(輔助計算!$D:$D, (MATCH(789, 輔助計算!$G$2:$G$801, 0)+1))&lt;&gt;"", INDEX(ERP資料!$G:$G, (MATCH(789, 輔助計算!$G$2:$G$801, 0)+1))&lt;&gt;""), TRIM(IF(INT(INDEX(輔助計算!$D:$D, (MATCH(789, 輔助計算!$G$2:$G$801, 0)+1))/IF(INDEX(ERP資料!$G:$G, (MATCH(789, 輔助計算!$G$2:$G$801, 0)+1))&lt;100, IF(INDEX(ERP資料!$G:$G, (MATCH(789, 輔助計算!$G$2:$G$801, 0)+1))&lt;=31,3,IF(INDEX(ERP資料!$G:$G, (MATCH(789, 輔助計算!$G$2:$G$801, 0)+1))&lt;=46.5,2,1)), IF(INDEX(ERP資料!$G:$G, (MATCH(789, 輔助計算!$G$2:$G$801, 0)+1))&lt;=790,3,IF(INDEX(ERP資料!$G:$G, (MATCH(789, 輔助計算!$G$2:$G$801, 0)+1))&lt;=1181,2,1))))&gt;0, IF(IF(INDEX(ERP資料!$G:$G, (MATCH(789, 輔助計算!$G$2:$G$801, 0)+1))&lt;100, IF(INDEX(ERP資料!$G:$G, (MATCH(789, 輔助計算!$G$2:$G$801, 0)+1))&lt;=31,3,IF(INDEX(ERP資料!$G:$G, (MATCH(789, 輔助計算!$G$2:$G$801, 0)+1))&lt;=46.5,2,1)), IF(INDEX(ERP資料!$G:$G, (MATCH(789, 輔助計算!$G$2:$G$801, 0)+1))&lt;=790,3,IF(INDEX(ERP資料!$G:$G, (MATCH(789, 輔助計算!$G$2:$G$801, 0)+1))&lt;=1181,2,1)))=1,TEXT(INDEX(ERP資料!$G:$G, (MATCH(789, 輔助計算!$G$2:$G$801, 0)+1)),"0.##"),IF(IF(INDEX(ERP資料!$G:$G, (MATCH(789, 輔助計算!$G$2:$G$801, 0)+1))&lt;100, IF(INDEX(ERP資料!$G:$G, (MATCH(789, 輔助計算!$G$2:$G$801, 0)+1))&lt;=31,3,IF(INDEX(ERP資料!$G:$G, (MATCH(789, 輔助計算!$G$2:$G$801, 0)+1))&lt;=46.5,2,1)), IF(INDEX(ERP資料!$G:$G, (MATCH(789, 輔助計算!$G$2:$G$801, 0)+1))&lt;=790,3,IF(INDEX(ERP資料!$G:$G, (MATCH(789, 輔助計算!$G$2:$G$801, 0)+1))&lt;=1181,2,1)))=2,TEXT(INDEX(ERP資料!$G:$G, (MATCH(789, 輔助計算!$G$2:$G$801, 0)+1)),"0.##")&amp;"+"&amp;TEXT(INDEX(ERP資料!$G:$G, (MATCH(789, 輔助計算!$G$2:$G$801, 0)+1)),"0.##"),TEXT(INDEX(ERP資料!$G:$G, (MATCH(789, 輔助計算!$G$2:$G$801, 0)+1)),"0.##")&amp;"+"&amp;TEXT(INDEX(ERP資料!$G:$G, (MATCH(789, 輔助計算!$G$2:$G$801, 0)+1)),"0.##")&amp;"+"&amp;TEXT(INDEX(ERP資料!$G:$G, (MATCH(789, 輔助計算!$G$2:$G$801, 0)+1)),"0.##")))&amp;"-"&amp;INT(INDEX(輔助計算!$D:$D, (MATCH(789, 輔助計算!$G$2:$G$801, 0)+1))/IF(INDEX(ERP資料!$G:$G, (MATCH(789, 輔助計算!$G$2:$G$801, 0)+1))&lt;100, IF(INDEX(ERP資料!$G:$G, (MATCH(789, 輔助計算!$G$2:$G$801, 0)+1))&lt;=31,3,IF(INDEX(ERP資料!$G:$G, (MATCH(789, 輔助計算!$G$2:$G$801, 0)+1))&lt;=46.5,2,1)), IF(INDEX(ERP資料!$G:$G, (MATCH(789, 輔助計算!$G$2:$G$801, 0)+1))&lt;=790,3,IF(INDEX(ERP資料!$G:$G, (MATCH(789, 輔助計算!$G$2:$G$801, 0)+1))&lt;=1181,2,1)))), "")&amp;IF(AND(IF(INT(INDEX(輔助計算!$D:$D, (MATCH(789, 輔助計算!$G$2:$G$801, 0)+1))/IF(INDEX(ERP資料!$G:$G, (MATCH(789, 輔助計算!$G$2:$G$801, 0)+1))&lt;100, IF(INDEX(ERP資料!$G:$G, (MATCH(789, 輔助計算!$G$2:$G$801, 0)+1))&lt;=31,3,IF(INDEX(ERP資料!$G:$G, (MATCH(789, 輔助計算!$G$2:$G$801, 0)+1))&lt;=46.5,2,1)), IF(INDEX(ERP資料!$G:$G, (MATCH(789, 輔助計算!$G$2:$G$801, 0)+1))&lt;=790,3,IF(INDEX(ERP資料!$G:$G, (MATCH(789, 輔助計算!$G$2:$G$801, 0)+1))&lt;=1181,2,1))))&gt;0, IF(IF(INDEX(ERP資料!$G:$G, (MATCH(789, 輔助計算!$G$2:$G$801, 0)+1))&lt;100, IF(INDEX(ERP資料!$G:$G, (MATCH(789, 輔助計算!$G$2:$G$801, 0)+1))&lt;=31,3,IF(INDEX(ERP資料!$G:$G, (MATCH(789, 輔助計算!$G$2:$G$801, 0)+1))&lt;=46.5,2,1)), IF(INDEX(ERP資料!$G:$G, (MATCH(789, 輔助計算!$G$2:$G$801, 0)+1))&lt;=790,3,IF(INDEX(ERP資料!$G:$G, (MATCH(789, 輔助計算!$G$2:$G$801, 0)+1))&lt;=1181,2,1)))=1,TEXT(INDEX(ERP資料!$G:$G, (MATCH(789, 輔助計算!$G$2:$G$801, 0)+1)),"0.##"),IF(IF(INDEX(ERP資料!$G:$G, (MATCH(789, 輔助計算!$G$2:$G$801, 0)+1))&lt;100, IF(INDEX(ERP資料!$G:$G, (MATCH(789, 輔助計算!$G$2:$G$801, 0)+1))&lt;=31,3,IF(INDEX(ERP資料!$G:$G, (MATCH(789, 輔助計算!$G$2:$G$801, 0)+1))&lt;=46.5,2,1)), IF(INDEX(ERP資料!$G:$G, (MATCH(789, 輔助計算!$G$2:$G$801, 0)+1))&lt;=790,3,IF(INDEX(ERP資料!$G:$G, (MATCH(789, 輔助計算!$G$2:$G$801, 0)+1))&lt;=1181,2,1)))=2,TEXT(INDEX(ERP資料!$G:$G, (MATCH(789, 輔助計算!$G$2:$G$801, 0)+1)),"0.##")&amp;"+"&amp;TEXT(INDEX(ERP資料!$G:$G, (MATCH(789, 輔助計算!$G$2:$G$801, 0)+1)),"0.##"),TEXT(INDEX(ERP資料!$G:$G, (MATCH(789, 輔助計算!$G$2:$G$801, 0)+1)),"0.##")&amp;"+"&amp;TEXT(INDEX(ERP資料!$G:$G, (MATCH(789, 輔助計算!$G$2:$G$801, 0)+1)),"0.##")&amp;"+"&amp;TEXT(INDEX(ERP資料!$G:$G, (MATCH(789, 輔助計算!$G$2:$G$801, 0)+1)),"0.##")))&amp;"-"&amp;INT(INDEX(輔助計算!$D:$D, (MATCH(789, 輔助計算!$G$2:$G$801, 0)+1))/IF(INDEX(ERP資料!$G:$G, (MATCH(789, 輔助計算!$G$2:$G$801, 0)+1))&lt;100, IF(INDEX(ERP資料!$G:$G, (MATCH(789, 輔助計算!$G$2:$G$801, 0)+1))&lt;=31,3,IF(INDEX(ERP資料!$G:$G, (MATCH(789, 輔助計算!$G$2:$G$801, 0)+1))&lt;=46.5,2,1)), IF(INDEX(ERP資料!$G:$G, (MATCH(789, 輔助計算!$G$2:$G$801, 0)+1))&lt;=790,3,IF(INDEX(ERP資料!$G:$G, (MATCH(789, 輔助計算!$G$2:$G$801, 0)+1))&lt;=1181,2,1)))), "")&lt;&gt;"",IF(MOD(INDEX(輔助計算!$D:$D, (MATCH(789, 輔助計算!$G$2:$G$801, 0)+1)),IF(INDEX(ERP資料!$G:$G, (MATCH(789, 輔助計算!$G$2:$G$801, 0)+1))&lt;100, IF(INDEX(ERP資料!$G:$G, (MATCH(789, 輔助計算!$G$2:$G$801, 0)+1))&lt;=31,3,IF(INDEX(ERP資料!$G:$G, (MATCH(789, 輔助計算!$G$2:$G$801, 0)+1))&lt;=46.5,2,1)), IF(INDEX(ERP資料!$G:$G, (MATCH(789, 輔助計算!$G$2:$G$801, 0)+1))&lt;=790,3,IF(INDEX(ERP資料!$G:$G, (MATCH(789, 輔助計算!$G$2:$G$801, 0)+1))&lt;=1181,2,1))))=0,"",IF(MOD(INDEX(輔助計算!$D:$D, (MATCH(789, 輔助計算!$G$2:$G$801, 0)+1)),IF(INDEX(ERP資料!$G:$G, (MATCH(789, 輔助計算!$G$2:$G$801, 0)+1))&lt;100, IF(INDEX(ERP資料!$G:$G, (MATCH(789, 輔助計算!$G$2:$G$801, 0)+1))&lt;=31,3,IF(INDEX(ERP資料!$G:$G, (MATCH(789, 輔助計算!$G$2:$G$801, 0)+1))&lt;=46.5,2,1)), IF(INDEX(ERP資料!$G:$G, (MATCH(789, 輔助計算!$G$2:$G$801, 0)+1))&lt;=790,3,IF(INDEX(ERP資料!$G:$G, (MATCH(789, 輔助計算!$G$2:$G$801, 0)+1))&lt;=1181,2,1))))=0,"",IF(MOD(INDEX(輔助計算!$D:$D, (MATCH(789, 輔助計算!$G$2:$G$801, 0)+1)),IF(INDEX(ERP資料!$G:$G, (MATCH(789, 輔助計算!$G$2:$G$801, 0)+1))&lt;100, IF(INDEX(ERP資料!$G:$G, (MATCH(789, 輔助計算!$G$2:$G$801, 0)+1))&lt;=31,3,IF(INDEX(ERP資料!$G:$G, (MATCH(789, 輔助計算!$G$2:$G$801, 0)+1))&lt;=46.5,2,1)), IF(INDEX(ERP資料!$G:$G, (MATCH(789, 輔助計算!$G$2:$G$801, 0)+1))&lt;=790,3,IF(INDEX(ERP資料!$G:$G, (MATCH(789, 輔助計算!$G$2:$G$801, 0)+1))&lt;=1181,2,1))))=1,TEXT(INDEX(ERP資料!$G:$G, (MATCH(789, 輔助計算!$G$2:$G$801, 0)+1)),"0.##"),IF(MOD(INDEX(輔助計算!$D:$D, (MATCH(789, 輔助計算!$G$2:$G$801, 0)+1)),IF(INDEX(ERP資料!$G:$G, (MATCH(789, 輔助計算!$G$2:$G$801, 0)+1))&lt;100, IF(INDEX(ERP資料!$G:$G, (MATCH(789, 輔助計算!$G$2:$G$801, 0)+1))&lt;=31,3,IF(INDEX(ERP資料!$G:$G, (MATCH(789, 輔助計算!$G$2:$G$801, 0)+1))&lt;=46.5,2,1)), IF(INDEX(ERP資料!$G:$G, (MATCH(789, 輔助計算!$G$2:$G$801, 0)+1))&lt;=790,3,IF(INDEX(ERP資料!$G:$G, (MATCH(789, 輔助計算!$G$2:$G$801, 0)+1))&lt;=1181,2,1))))=2,TEXT(INDEX(ERP資料!$G:$G, (MATCH(789, 輔助計算!$G$2:$G$801, 0)+1)),"0.##")&amp;"+"&amp;TEXT(INDEX(ERP資料!$G:$G, (MATCH(789, 輔助計算!$G$2:$G$801, 0)+1)),"0.##"),TEXT(INDEX(ERP資料!$G:$G, (MATCH(789, 輔助計算!$G$2:$G$801, 0)+1)),"0.##")&amp;"+"&amp;TEXT(INDEX(ERP資料!$G:$G, (MATCH(789, 輔助計算!$G$2:$G$801, 0)+1)),"0.##")&amp;"+"&amp;TEXT(INDEX(ERP資料!$G:$G, (MATCH(789, 輔助計算!$G$2:$G$801, 0)+1)),"0.##"))))&amp;"-1")&lt;&gt;""),"  ","")&amp;IF(MOD(INDEX(輔助計算!$D:$D, (MATCH(789, 輔助計算!$G$2:$G$801, 0)+1)),IF(INDEX(ERP資料!$G:$G, (MATCH(789, 輔助計算!$G$2:$G$801, 0)+1))&lt;100, IF(INDEX(ERP資料!$G:$G, (MATCH(789, 輔助計算!$G$2:$G$801, 0)+1))&lt;=31,3,IF(INDEX(ERP資料!$G:$G, (MATCH(789, 輔助計算!$G$2:$G$801, 0)+1))&lt;=46.5,2,1)), IF(INDEX(ERP資料!$G:$G, (MATCH(789, 輔助計算!$G$2:$G$801, 0)+1))&lt;=790,3,IF(INDEX(ERP資料!$G:$G, (MATCH(789, 輔助計算!$G$2:$G$801, 0)+1))&lt;=1181,2,1))))=0,"",IF(MOD(INDEX(輔助計算!$D:$D, (MATCH(789, 輔助計算!$G$2:$G$801, 0)+1)),IF(INDEX(ERP資料!$G:$G, (MATCH(789, 輔助計算!$G$2:$G$801, 0)+1))&lt;100, IF(INDEX(ERP資料!$G:$G, (MATCH(789, 輔助計算!$G$2:$G$801, 0)+1))&lt;=31,3,IF(INDEX(ERP資料!$G:$G, (MATCH(789, 輔助計算!$G$2:$G$801, 0)+1))&lt;=46.5,2,1)), IF(INDEX(ERP資料!$G:$G, (MATCH(789, 輔助計算!$G$2:$G$801, 0)+1))&lt;=790,3,IF(INDEX(ERP資料!$G:$G, (MATCH(789, 輔助計算!$G$2:$G$801, 0)+1))&lt;=1181,2,1))))=0,"",IF(MOD(INDEX(輔助計算!$D:$D, (MATCH(789, 輔助計算!$G$2:$G$801, 0)+1)),IF(INDEX(ERP資料!$G:$G, (MATCH(789, 輔助計算!$G$2:$G$801, 0)+1))&lt;100, IF(INDEX(ERP資料!$G:$G, (MATCH(789, 輔助計算!$G$2:$G$801, 0)+1))&lt;=31,3,IF(INDEX(ERP資料!$G:$G, (MATCH(789, 輔助計算!$G$2:$G$801, 0)+1))&lt;=46.5,2,1)), IF(INDEX(ERP資料!$G:$G, (MATCH(789, 輔助計算!$G$2:$G$801, 0)+1))&lt;=790,3,IF(INDEX(ERP資料!$G:$G, (MATCH(789, 輔助計算!$G$2:$G$801, 0)+1))&lt;=1181,2,1))))=1,TEXT(INDEX(ERP資料!$G:$G, (MATCH(789, 輔助計算!$G$2:$G$801, 0)+1)),"0.##"),IF(MOD(INDEX(輔助計算!$D:$D, (MATCH(789, 輔助計算!$G$2:$G$801, 0)+1)),IF(INDEX(ERP資料!$G:$G, (MATCH(789, 輔助計算!$G$2:$G$801, 0)+1))&lt;100, IF(INDEX(ERP資料!$G:$G, (MATCH(789, 輔助計算!$G$2:$G$801, 0)+1))&lt;=31,3,IF(INDEX(ERP資料!$G:$G, (MATCH(789, 輔助計算!$G$2:$G$801, 0)+1))&lt;=46.5,2,1)), IF(INDEX(ERP資料!$G:$G, (MATCH(789, 輔助計算!$G$2:$G$801, 0)+1))&lt;=790,3,IF(INDEX(ERP資料!$G:$G, (MATCH(789, 輔助計算!$G$2:$G$801, 0)+1))&lt;=1181,2,1))))=2,TEXT(INDEX(ERP資料!$G:$G, (MATCH(789, 輔助計算!$G$2:$G$801, 0)+1)),"0.##")&amp;"+"&amp;TEXT(INDEX(ERP資料!$G:$G, (MATCH(789, 輔助計算!$G$2:$G$801, 0)+1)),"0.##"),TEXT(INDEX(ERP資料!$G:$G, (MATCH(789, 輔助計算!$G$2:$G$801, 0)+1)),"0.##")&amp;"+"&amp;TEXT(INDEX(ERP資料!$G:$G, (MATCH(789, 輔助計算!$G$2:$G$801, 0)+1)),"0.##")&amp;"+"&amp;TEXT(INDEX(ERP資料!$G:$G, (MATCH(789, 輔助計算!$G$2:$G$801, 0)+1)),"0.##"))))&amp;"-1")), ""), "")</f>
        <v/>
      </c>
      <c r="K790" s="16" t="n"/>
      <c r="L790" s="14">
        <f>IFERROR(IF(AND(IFERROR(INDEX(ERP資料!$A:$A, (MATCH(789, 輔助計算!$G$2:$G$801, 0)+1)), "")&lt;&gt;"", IFERROR(INDEX(ERP資料!$A:$A, (MATCH(789, 輔助計算!$G$2:$G$801, 0)+1)), "")&lt;&gt;IFERROR(INDEX(ERP資料!$A:$A, MATCH(788, 輔助計算!$G$2:$G$801, 0)+1), "")), INDEX(ERP資料!$B:$B, (MATCH(789, 輔助計算!$G$2:$G$801, 0)+1)), ""), "")</f>
        <v/>
      </c>
      <c r="M790" s="17" t="n"/>
    </row>
    <row r="791">
      <c r="A791" s="10">
        <f>IFERROR(IF(AND(IFERROR(INDEX(ERP資料!$A:$A, (MATCH(790, 輔助計算!$G$2:$G$801, 0)+1)), "")&lt;&gt;"", IFERROR(INDEX(ERP資料!$A:$A, (MATCH(790, 輔助計算!$G$2:$G$801, 0)+1)), "")&lt;&gt;IFERROR(INDEX(ERP資料!$A:$A, MATCH(789, 輔助計算!$G$2:$G$801, 0)+1), "")), IFERROR(INDEX(ERP資料!$A:$A, (MATCH(790, 輔助計算!$G$2:$G$801, 0)+1)), ""), ""), "")</f>
        <v/>
      </c>
      <c r="B791" s="10">
        <f>IFERROR(IF(AND(IFERROR(INDEX(ERP資料!$A:$A, (MATCH(790, 輔助計算!$G$2:$G$801, 0)+1)), "")&lt;&gt;"", IFERROR(INDEX(ERP資料!$A:$A, (MATCH(790, 輔助計算!$G$2:$G$801, 0)+1)), "")&lt;&gt;IFERROR(INDEX(ERP資料!$A:$A, MATCH(789, 輔助計算!$G$2:$G$801, 0)+1), "")), INDEX(ERP資料!$S:$S, (MATCH(790, 輔助計算!$G$2:$G$801, 0)+1)), ""), "")</f>
        <v/>
      </c>
      <c r="C791" s="19">
        <f>IFERROR(IF(AND(IFERROR(INDEX(ERP資料!$A:$A, (MATCH(790, 輔助計算!$G$2:$G$801, 0)+1)), "")&lt;&gt;"", IFERROR(INDEX(ERP資料!$A:$A, (MATCH(790, 輔助計算!$G$2:$G$801, 0)+1)), "")&lt;&gt;IFERROR(INDEX(ERP資料!$A:$A, MATCH(789, 輔助計算!$G$2:$G$801, 0)+1), "")), IFERROR(VLOOKUP(LEFT(INDEX(ERP資料!$S:$S, (MATCH(790, 輔助計算!$G$2:$G$801, 0)+1)), 4), 紙管對照表!$A:$C, 3, FALSE), ""), ""), "")</f>
        <v/>
      </c>
      <c r="D791" s="16" t="n"/>
      <c r="E791" s="10">
        <f>IFERROR(IF(INDEX(ERP資料!$H:$H, (MATCH(790, 輔助計算!$G$2:$G$801, 0)+1))="","",INDEX(ERP資料!$H:$H, (MATCH(790, 輔助計算!$G$2:$G$801, 0)+1))), "")</f>
        <v/>
      </c>
      <c r="F791" s="10">
        <f>IFERROR(IF(INDEX(ERP資料!$E:$E, (MATCH(790, 輔助計算!$G$2:$G$801, 0)+1))="","",TRIM(INDEX(ERP資料!$E:$E, (MATCH(790, 輔助計算!$G$2:$G$801, 0)+1)))), "")</f>
        <v/>
      </c>
      <c r="G791" s="10">
        <f>IFERROR(IF(INDEX(ERP資料!$F:$F, (MATCH(790, 輔助計算!$G$2:$G$801, 0)+1))="","",INDEX(ERP資料!$F:$F, (MATCH(790, 輔助計算!$G$2:$G$801, 0)+1))), "")</f>
        <v/>
      </c>
      <c r="H791" s="10">
        <f>IFERROR(IF(INDEX(ERP資料!$G:$G, (MATCH(790, 輔助計算!$G$2:$G$801, 0)+1))="","",INDEX(ERP資料!$G:$G, (MATCH(790, 輔助計算!$G$2:$G$801, 0)+1))), "")</f>
        <v/>
      </c>
      <c r="I791" s="15">
        <f>IFERROR(INDEX(輔助計算!$D:$D, (MATCH(790, 輔助計算!$G$2:$G$801, 0)+1)), "")</f>
        <v/>
      </c>
      <c r="J791" s="15">
        <f>IFERROR(IF(AND(INDEX(輔助計算!$D:$D, (MATCH(790, 輔助計算!$G$2:$G$801, 0)+1))&lt;&gt;"", INDEX(ERP資料!$G:$G, (MATCH(790, 輔助計算!$G$2:$G$801, 0)+1))&lt;&gt;""), TRIM(IF(INT(INDEX(輔助計算!$D:$D, (MATCH(790, 輔助計算!$G$2:$G$801, 0)+1))/IF(INDEX(ERP資料!$G:$G, (MATCH(790, 輔助計算!$G$2:$G$801, 0)+1))&lt;100, IF(INDEX(ERP資料!$G:$G, (MATCH(790, 輔助計算!$G$2:$G$801, 0)+1))&lt;=31,3,IF(INDEX(ERP資料!$G:$G, (MATCH(790, 輔助計算!$G$2:$G$801, 0)+1))&lt;=46.5,2,1)), IF(INDEX(ERP資料!$G:$G, (MATCH(790, 輔助計算!$G$2:$G$801, 0)+1))&lt;=790,3,IF(INDEX(ERP資料!$G:$G, (MATCH(790, 輔助計算!$G$2:$G$801, 0)+1))&lt;=1181,2,1))))&gt;0, IF(IF(INDEX(ERP資料!$G:$G, (MATCH(790, 輔助計算!$G$2:$G$801, 0)+1))&lt;100, IF(INDEX(ERP資料!$G:$G, (MATCH(790, 輔助計算!$G$2:$G$801, 0)+1))&lt;=31,3,IF(INDEX(ERP資料!$G:$G, (MATCH(790, 輔助計算!$G$2:$G$801, 0)+1))&lt;=46.5,2,1)), IF(INDEX(ERP資料!$G:$G, (MATCH(790, 輔助計算!$G$2:$G$801, 0)+1))&lt;=790,3,IF(INDEX(ERP資料!$G:$G, (MATCH(790, 輔助計算!$G$2:$G$801, 0)+1))&lt;=1181,2,1)))=1,TEXT(INDEX(ERP資料!$G:$G, (MATCH(790, 輔助計算!$G$2:$G$801, 0)+1)),"0.##"),IF(IF(INDEX(ERP資料!$G:$G, (MATCH(790, 輔助計算!$G$2:$G$801, 0)+1))&lt;100, IF(INDEX(ERP資料!$G:$G, (MATCH(790, 輔助計算!$G$2:$G$801, 0)+1))&lt;=31,3,IF(INDEX(ERP資料!$G:$G, (MATCH(790, 輔助計算!$G$2:$G$801, 0)+1))&lt;=46.5,2,1)), IF(INDEX(ERP資料!$G:$G, (MATCH(790, 輔助計算!$G$2:$G$801, 0)+1))&lt;=790,3,IF(INDEX(ERP資料!$G:$G, (MATCH(790, 輔助計算!$G$2:$G$801, 0)+1))&lt;=1181,2,1)))=2,TEXT(INDEX(ERP資料!$G:$G, (MATCH(790, 輔助計算!$G$2:$G$801, 0)+1)),"0.##")&amp;"+"&amp;TEXT(INDEX(ERP資料!$G:$G, (MATCH(790, 輔助計算!$G$2:$G$801, 0)+1)),"0.##"),TEXT(INDEX(ERP資料!$G:$G, (MATCH(790, 輔助計算!$G$2:$G$801, 0)+1)),"0.##")&amp;"+"&amp;TEXT(INDEX(ERP資料!$G:$G, (MATCH(790, 輔助計算!$G$2:$G$801, 0)+1)),"0.##")&amp;"+"&amp;TEXT(INDEX(ERP資料!$G:$G, (MATCH(790, 輔助計算!$G$2:$G$801, 0)+1)),"0.##")))&amp;"-"&amp;INT(INDEX(輔助計算!$D:$D, (MATCH(790, 輔助計算!$G$2:$G$801, 0)+1))/IF(INDEX(ERP資料!$G:$G, (MATCH(790, 輔助計算!$G$2:$G$801, 0)+1))&lt;100, IF(INDEX(ERP資料!$G:$G, (MATCH(790, 輔助計算!$G$2:$G$801, 0)+1))&lt;=31,3,IF(INDEX(ERP資料!$G:$G, (MATCH(790, 輔助計算!$G$2:$G$801, 0)+1))&lt;=46.5,2,1)), IF(INDEX(ERP資料!$G:$G, (MATCH(790, 輔助計算!$G$2:$G$801, 0)+1))&lt;=790,3,IF(INDEX(ERP資料!$G:$G, (MATCH(790, 輔助計算!$G$2:$G$801, 0)+1))&lt;=1181,2,1)))), "")&amp;IF(AND(IF(INT(INDEX(輔助計算!$D:$D, (MATCH(790, 輔助計算!$G$2:$G$801, 0)+1))/IF(INDEX(ERP資料!$G:$G, (MATCH(790, 輔助計算!$G$2:$G$801, 0)+1))&lt;100, IF(INDEX(ERP資料!$G:$G, (MATCH(790, 輔助計算!$G$2:$G$801, 0)+1))&lt;=31,3,IF(INDEX(ERP資料!$G:$G, (MATCH(790, 輔助計算!$G$2:$G$801, 0)+1))&lt;=46.5,2,1)), IF(INDEX(ERP資料!$G:$G, (MATCH(790, 輔助計算!$G$2:$G$801, 0)+1))&lt;=790,3,IF(INDEX(ERP資料!$G:$G, (MATCH(790, 輔助計算!$G$2:$G$801, 0)+1))&lt;=1181,2,1))))&gt;0, IF(IF(INDEX(ERP資料!$G:$G, (MATCH(790, 輔助計算!$G$2:$G$801, 0)+1))&lt;100, IF(INDEX(ERP資料!$G:$G, (MATCH(790, 輔助計算!$G$2:$G$801, 0)+1))&lt;=31,3,IF(INDEX(ERP資料!$G:$G, (MATCH(790, 輔助計算!$G$2:$G$801, 0)+1))&lt;=46.5,2,1)), IF(INDEX(ERP資料!$G:$G, (MATCH(790, 輔助計算!$G$2:$G$801, 0)+1))&lt;=790,3,IF(INDEX(ERP資料!$G:$G, (MATCH(790, 輔助計算!$G$2:$G$801, 0)+1))&lt;=1181,2,1)))=1,TEXT(INDEX(ERP資料!$G:$G, (MATCH(790, 輔助計算!$G$2:$G$801, 0)+1)),"0.##"),IF(IF(INDEX(ERP資料!$G:$G, (MATCH(790, 輔助計算!$G$2:$G$801, 0)+1))&lt;100, IF(INDEX(ERP資料!$G:$G, (MATCH(790, 輔助計算!$G$2:$G$801, 0)+1))&lt;=31,3,IF(INDEX(ERP資料!$G:$G, (MATCH(790, 輔助計算!$G$2:$G$801, 0)+1))&lt;=46.5,2,1)), IF(INDEX(ERP資料!$G:$G, (MATCH(790, 輔助計算!$G$2:$G$801, 0)+1))&lt;=790,3,IF(INDEX(ERP資料!$G:$G, (MATCH(790, 輔助計算!$G$2:$G$801, 0)+1))&lt;=1181,2,1)))=2,TEXT(INDEX(ERP資料!$G:$G, (MATCH(790, 輔助計算!$G$2:$G$801, 0)+1)),"0.##")&amp;"+"&amp;TEXT(INDEX(ERP資料!$G:$G, (MATCH(790, 輔助計算!$G$2:$G$801, 0)+1)),"0.##"),TEXT(INDEX(ERP資料!$G:$G, (MATCH(790, 輔助計算!$G$2:$G$801, 0)+1)),"0.##")&amp;"+"&amp;TEXT(INDEX(ERP資料!$G:$G, (MATCH(790, 輔助計算!$G$2:$G$801, 0)+1)),"0.##")&amp;"+"&amp;TEXT(INDEX(ERP資料!$G:$G, (MATCH(790, 輔助計算!$G$2:$G$801, 0)+1)),"0.##")))&amp;"-"&amp;INT(INDEX(輔助計算!$D:$D, (MATCH(790, 輔助計算!$G$2:$G$801, 0)+1))/IF(INDEX(ERP資料!$G:$G, (MATCH(790, 輔助計算!$G$2:$G$801, 0)+1))&lt;100, IF(INDEX(ERP資料!$G:$G, (MATCH(790, 輔助計算!$G$2:$G$801, 0)+1))&lt;=31,3,IF(INDEX(ERP資料!$G:$G, (MATCH(790, 輔助計算!$G$2:$G$801, 0)+1))&lt;=46.5,2,1)), IF(INDEX(ERP資料!$G:$G, (MATCH(790, 輔助計算!$G$2:$G$801, 0)+1))&lt;=790,3,IF(INDEX(ERP資料!$G:$G, (MATCH(790, 輔助計算!$G$2:$G$801, 0)+1))&lt;=1181,2,1)))), "")&lt;&gt;"",IF(MOD(INDEX(輔助計算!$D:$D, (MATCH(790, 輔助計算!$G$2:$G$801, 0)+1)),IF(INDEX(ERP資料!$G:$G, (MATCH(790, 輔助計算!$G$2:$G$801, 0)+1))&lt;100, IF(INDEX(ERP資料!$G:$G, (MATCH(790, 輔助計算!$G$2:$G$801, 0)+1))&lt;=31,3,IF(INDEX(ERP資料!$G:$G, (MATCH(790, 輔助計算!$G$2:$G$801, 0)+1))&lt;=46.5,2,1)), IF(INDEX(ERP資料!$G:$G, (MATCH(790, 輔助計算!$G$2:$G$801, 0)+1))&lt;=790,3,IF(INDEX(ERP資料!$G:$G, (MATCH(790, 輔助計算!$G$2:$G$801, 0)+1))&lt;=1181,2,1))))=0,"",IF(MOD(INDEX(輔助計算!$D:$D, (MATCH(790, 輔助計算!$G$2:$G$801, 0)+1)),IF(INDEX(ERP資料!$G:$G, (MATCH(790, 輔助計算!$G$2:$G$801, 0)+1))&lt;100, IF(INDEX(ERP資料!$G:$G, (MATCH(790, 輔助計算!$G$2:$G$801, 0)+1))&lt;=31,3,IF(INDEX(ERP資料!$G:$G, (MATCH(790, 輔助計算!$G$2:$G$801, 0)+1))&lt;=46.5,2,1)), IF(INDEX(ERP資料!$G:$G, (MATCH(790, 輔助計算!$G$2:$G$801, 0)+1))&lt;=790,3,IF(INDEX(ERP資料!$G:$G, (MATCH(790, 輔助計算!$G$2:$G$801, 0)+1))&lt;=1181,2,1))))=0,"",IF(MOD(INDEX(輔助計算!$D:$D, (MATCH(790, 輔助計算!$G$2:$G$801, 0)+1)),IF(INDEX(ERP資料!$G:$G, (MATCH(790, 輔助計算!$G$2:$G$801, 0)+1))&lt;100, IF(INDEX(ERP資料!$G:$G, (MATCH(790, 輔助計算!$G$2:$G$801, 0)+1))&lt;=31,3,IF(INDEX(ERP資料!$G:$G, (MATCH(790, 輔助計算!$G$2:$G$801, 0)+1))&lt;=46.5,2,1)), IF(INDEX(ERP資料!$G:$G, (MATCH(790, 輔助計算!$G$2:$G$801, 0)+1))&lt;=790,3,IF(INDEX(ERP資料!$G:$G, (MATCH(790, 輔助計算!$G$2:$G$801, 0)+1))&lt;=1181,2,1))))=1,TEXT(INDEX(ERP資料!$G:$G, (MATCH(790, 輔助計算!$G$2:$G$801, 0)+1)),"0.##"),IF(MOD(INDEX(輔助計算!$D:$D, (MATCH(790, 輔助計算!$G$2:$G$801, 0)+1)),IF(INDEX(ERP資料!$G:$G, (MATCH(790, 輔助計算!$G$2:$G$801, 0)+1))&lt;100, IF(INDEX(ERP資料!$G:$G, (MATCH(790, 輔助計算!$G$2:$G$801, 0)+1))&lt;=31,3,IF(INDEX(ERP資料!$G:$G, (MATCH(790, 輔助計算!$G$2:$G$801, 0)+1))&lt;=46.5,2,1)), IF(INDEX(ERP資料!$G:$G, (MATCH(790, 輔助計算!$G$2:$G$801, 0)+1))&lt;=790,3,IF(INDEX(ERP資料!$G:$G, (MATCH(790, 輔助計算!$G$2:$G$801, 0)+1))&lt;=1181,2,1))))=2,TEXT(INDEX(ERP資料!$G:$G, (MATCH(790, 輔助計算!$G$2:$G$801, 0)+1)),"0.##")&amp;"+"&amp;TEXT(INDEX(ERP資料!$G:$G, (MATCH(790, 輔助計算!$G$2:$G$801, 0)+1)),"0.##"),TEXT(INDEX(ERP資料!$G:$G, (MATCH(790, 輔助計算!$G$2:$G$801, 0)+1)),"0.##")&amp;"+"&amp;TEXT(INDEX(ERP資料!$G:$G, (MATCH(790, 輔助計算!$G$2:$G$801, 0)+1)),"0.##")&amp;"+"&amp;TEXT(INDEX(ERP資料!$G:$G, (MATCH(790, 輔助計算!$G$2:$G$801, 0)+1)),"0.##"))))&amp;"-1")&lt;&gt;""),"  ","")&amp;IF(MOD(INDEX(輔助計算!$D:$D, (MATCH(790, 輔助計算!$G$2:$G$801, 0)+1)),IF(INDEX(ERP資料!$G:$G, (MATCH(790, 輔助計算!$G$2:$G$801, 0)+1))&lt;100, IF(INDEX(ERP資料!$G:$G, (MATCH(790, 輔助計算!$G$2:$G$801, 0)+1))&lt;=31,3,IF(INDEX(ERP資料!$G:$G, (MATCH(790, 輔助計算!$G$2:$G$801, 0)+1))&lt;=46.5,2,1)), IF(INDEX(ERP資料!$G:$G, (MATCH(790, 輔助計算!$G$2:$G$801, 0)+1))&lt;=790,3,IF(INDEX(ERP資料!$G:$G, (MATCH(790, 輔助計算!$G$2:$G$801, 0)+1))&lt;=1181,2,1))))=0,"",IF(MOD(INDEX(輔助計算!$D:$D, (MATCH(790, 輔助計算!$G$2:$G$801, 0)+1)),IF(INDEX(ERP資料!$G:$G, (MATCH(790, 輔助計算!$G$2:$G$801, 0)+1))&lt;100, IF(INDEX(ERP資料!$G:$G, (MATCH(790, 輔助計算!$G$2:$G$801, 0)+1))&lt;=31,3,IF(INDEX(ERP資料!$G:$G, (MATCH(790, 輔助計算!$G$2:$G$801, 0)+1))&lt;=46.5,2,1)), IF(INDEX(ERP資料!$G:$G, (MATCH(790, 輔助計算!$G$2:$G$801, 0)+1))&lt;=790,3,IF(INDEX(ERP資料!$G:$G, (MATCH(790, 輔助計算!$G$2:$G$801, 0)+1))&lt;=1181,2,1))))=0,"",IF(MOD(INDEX(輔助計算!$D:$D, (MATCH(790, 輔助計算!$G$2:$G$801, 0)+1)),IF(INDEX(ERP資料!$G:$G, (MATCH(790, 輔助計算!$G$2:$G$801, 0)+1))&lt;100, IF(INDEX(ERP資料!$G:$G, (MATCH(790, 輔助計算!$G$2:$G$801, 0)+1))&lt;=31,3,IF(INDEX(ERP資料!$G:$G, (MATCH(790, 輔助計算!$G$2:$G$801, 0)+1))&lt;=46.5,2,1)), IF(INDEX(ERP資料!$G:$G, (MATCH(790, 輔助計算!$G$2:$G$801, 0)+1))&lt;=790,3,IF(INDEX(ERP資料!$G:$G, (MATCH(790, 輔助計算!$G$2:$G$801, 0)+1))&lt;=1181,2,1))))=1,TEXT(INDEX(ERP資料!$G:$G, (MATCH(790, 輔助計算!$G$2:$G$801, 0)+1)),"0.##"),IF(MOD(INDEX(輔助計算!$D:$D, (MATCH(790, 輔助計算!$G$2:$G$801, 0)+1)),IF(INDEX(ERP資料!$G:$G, (MATCH(790, 輔助計算!$G$2:$G$801, 0)+1))&lt;100, IF(INDEX(ERP資料!$G:$G, (MATCH(790, 輔助計算!$G$2:$G$801, 0)+1))&lt;=31,3,IF(INDEX(ERP資料!$G:$G, (MATCH(790, 輔助計算!$G$2:$G$801, 0)+1))&lt;=46.5,2,1)), IF(INDEX(ERP資料!$G:$G, (MATCH(790, 輔助計算!$G$2:$G$801, 0)+1))&lt;=790,3,IF(INDEX(ERP資料!$G:$G, (MATCH(790, 輔助計算!$G$2:$G$801, 0)+1))&lt;=1181,2,1))))=2,TEXT(INDEX(ERP資料!$G:$G, (MATCH(790, 輔助計算!$G$2:$G$801, 0)+1)),"0.##")&amp;"+"&amp;TEXT(INDEX(ERP資料!$G:$G, (MATCH(790, 輔助計算!$G$2:$G$801, 0)+1)),"0.##"),TEXT(INDEX(ERP資料!$G:$G, (MATCH(790, 輔助計算!$G$2:$G$801, 0)+1)),"0.##")&amp;"+"&amp;TEXT(INDEX(ERP資料!$G:$G, (MATCH(790, 輔助計算!$G$2:$G$801, 0)+1)),"0.##")&amp;"+"&amp;TEXT(INDEX(ERP資料!$G:$G, (MATCH(790, 輔助計算!$G$2:$G$801, 0)+1)),"0.##"))))&amp;"-1")), ""), "")</f>
        <v/>
      </c>
      <c r="K791" s="16" t="n"/>
      <c r="L791" s="14">
        <f>IFERROR(IF(AND(IFERROR(INDEX(ERP資料!$A:$A, (MATCH(790, 輔助計算!$G$2:$G$801, 0)+1)), "")&lt;&gt;"", IFERROR(INDEX(ERP資料!$A:$A, (MATCH(790, 輔助計算!$G$2:$G$801, 0)+1)), "")&lt;&gt;IFERROR(INDEX(ERP資料!$A:$A, MATCH(789, 輔助計算!$G$2:$G$801, 0)+1), "")), INDEX(ERP資料!$B:$B, (MATCH(790, 輔助計算!$G$2:$G$801, 0)+1)), ""), "")</f>
        <v/>
      </c>
      <c r="M791" s="17" t="n"/>
    </row>
    <row r="792">
      <c r="A792" s="10">
        <f>IFERROR(IF(AND(IFERROR(INDEX(ERP資料!$A:$A, (MATCH(791, 輔助計算!$G$2:$G$801, 0)+1)), "")&lt;&gt;"", IFERROR(INDEX(ERP資料!$A:$A, (MATCH(791, 輔助計算!$G$2:$G$801, 0)+1)), "")&lt;&gt;IFERROR(INDEX(ERP資料!$A:$A, MATCH(790, 輔助計算!$G$2:$G$801, 0)+1), "")), IFERROR(INDEX(ERP資料!$A:$A, (MATCH(791, 輔助計算!$G$2:$G$801, 0)+1)), ""), ""), "")</f>
        <v/>
      </c>
      <c r="B792" s="10">
        <f>IFERROR(IF(AND(IFERROR(INDEX(ERP資料!$A:$A, (MATCH(791, 輔助計算!$G$2:$G$801, 0)+1)), "")&lt;&gt;"", IFERROR(INDEX(ERP資料!$A:$A, (MATCH(791, 輔助計算!$G$2:$G$801, 0)+1)), "")&lt;&gt;IFERROR(INDEX(ERP資料!$A:$A, MATCH(790, 輔助計算!$G$2:$G$801, 0)+1), "")), INDEX(ERP資料!$S:$S, (MATCH(791, 輔助計算!$G$2:$G$801, 0)+1)), ""), "")</f>
        <v/>
      </c>
      <c r="C792" s="19">
        <f>IFERROR(IF(AND(IFERROR(INDEX(ERP資料!$A:$A, (MATCH(791, 輔助計算!$G$2:$G$801, 0)+1)), "")&lt;&gt;"", IFERROR(INDEX(ERP資料!$A:$A, (MATCH(791, 輔助計算!$G$2:$G$801, 0)+1)), "")&lt;&gt;IFERROR(INDEX(ERP資料!$A:$A, MATCH(790, 輔助計算!$G$2:$G$801, 0)+1), "")), IFERROR(VLOOKUP(LEFT(INDEX(ERP資料!$S:$S, (MATCH(791, 輔助計算!$G$2:$G$801, 0)+1)), 4), 紙管對照表!$A:$C, 3, FALSE), ""), ""), "")</f>
        <v/>
      </c>
      <c r="D792" s="16" t="n"/>
      <c r="E792" s="10">
        <f>IFERROR(IF(INDEX(ERP資料!$H:$H, (MATCH(791, 輔助計算!$G$2:$G$801, 0)+1))="","",INDEX(ERP資料!$H:$H, (MATCH(791, 輔助計算!$G$2:$G$801, 0)+1))), "")</f>
        <v/>
      </c>
      <c r="F792" s="10">
        <f>IFERROR(IF(INDEX(ERP資料!$E:$E, (MATCH(791, 輔助計算!$G$2:$G$801, 0)+1))="","",TRIM(INDEX(ERP資料!$E:$E, (MATCH(791, 輔助計算!$G$2:$G$801, 0)+1)))), "")</f>
        <v/>
      </c>
      <c r="G792" s="10">
        <f>IFERROR(IF(INDEX(ERP資料!$F:$F, (MATCH(791, 輔助計算!$G$2:$G$801, 0)+1))="","",INDEX(ERP資料!$F:$F, (MATCH(791, 輔助計算!$G$2:$G$801, 0)+1))), "")</f>
        <v/>
      </c>
      <c r="H792" s="10">
        <f>IFERROR(IF(INDEX(ERP資料!$G:$G, (MATCH(791, 輔助計算!$G$2:$G$801, 0)+1))="","",INDEX(ERP資料!$G:$G, (MATCH(791, 輔助計算!$G$2:$G$801, 0)+1))), "")</f>
        <v/>
      </c>
      <c r="I792" s="15">
        <f>IFERROR(INDEX(輔助計算!$D:$D, (MATCH(791, 輔助計算!$G$2:$G$801, 0)+1)), "")</f>
        <v/>
      </c>
      <c r="J792" s="15">
        <f>IFERROR(IF(AND(INDEX(輔助計算!$D:$D, (MATCH(791, 輔助計算!$G$2:$G$801, 0)+1))&lt;&gt;"", INDEX(ERP資料!$G:$G, (MATCH(791, 輔助計算!$G$2:$G$801, 0)+1))&lt;&gt;""), TRIM(IF(INT(INDEX(輔助計算!$D:$D, (MATCH(791, 輔助計算!$G$2:$G$801, 0)+1))/IF(INDEX(ERP資料!$G:$G, (MATCH(791, 輔助計算!$G$2:$G$801, 0)+1))&lt;100, IF(INDEX(ERP資料!$G:$G, (MATCH(791, 輔助計算!$G$2:$G$801, 0)+1))&lt;=31,3,IF(INDEX(ERP資料!$G:$G, (MATCH(791, 輔助計算!$G$2:$G$801, 0)+1))&lt;=46.5,2,1)), IF(INDEX(ERP資料!$G:$G, (MATCH(791, 輔助計算!$G$2:$G$801, 0)+1))&lt;=790,3,IF(INDEX(ERP資料!$G:$G, (MATCH(791, 輔助計算!$G$2:$G$801, 0)+1))&lt;=1181,2,1))))&gt;0, IF(IF(INDEX(ERP資料!$G:$G, (MATCH(791, 輔助計算!$G$2:$G$801, 0)+1))&lt;100, IF(INDEX(ERP資料!$G:$G, (MATCH(791, 輔助計算!$G$2:$G$801, 0)+1))&lt;=31,3,IF(INDEX(ERP資料!$G:$G, (MATCH(791, 輔助計算!$G$2:$G$801, 0)+1))&lt;=46.5,2,1)), IF(INDEX(ERP資料!$G:$G, (MATCH(791, 輔助計算!$G$2:$G$801, 0)+1))&lt;=790,3,IF(INDEX(ERP資料!$G:$G, (MATCH(791, 輔助計算!$G$2:$G$801, 0)+1))&lt;=1181,2,1)))=1,TEXT(INDEX(ERP資料!$G:$G, (MATCH(791, 輔助計算!$G$2:$G$801, 0)+1)),"0.##"),IF(IF(INDEX(ERP資料!$G:$G, (MATCH(791, 輔助計算!$G$2:$G$801, 0)+1))&lt;100, IF(INDEX(ERP資料!$G:$G, (MATCH(791, 輔助計算!$G$2:$G$801, 0)+1))&lt;=31,3,IF(INDEX(ERP資料!$G:$G, (MATCH(791, 輔助計算!$G$2:$G$801, 0)+1))&lt;=46.5,2,1)), IF(INDEX(ERP資料!$G:$G, (MATCH(791, 輔助計算!$G$2:$G$801, 0)+1))&lt;=790,3,IF(INDEX(ERP資料!$G:$G, (MATCH(791, 輔助計算!$G$2:$G$801, 0)+1))&lt;=1181,2,1)))=2,TEXT(INDEX(ERP資料!$G:$G, (MATCH(791, 輔助計算!$G$2:$G$801, 0)+1)),"0.##")&amp;"+"&amp;TEXT(INDEX(ERP資料!$G:$G, (MATCH(791, 輔助計算!$G$2:$G$801, 0)+1)),"0.##"),TEXT(INDEX(ERP資料!$G:$G, (MATCH(791, 輔助計算!$G$2:$G$801, 0)+1)),"0.##")&amp;"+"&amp;TEXT(INDEX(ERP資料!$G:$G, (MATCH(791, 輔助計算!$G$2:$G$801, 0)+1)),"0.##")&amp;"+"&amp;TEXT(INDEX(ERP資料!$G:$G, (MATCH(791, 輔助計算!$G$2:$G$801, 0)+1)),"0.##")))&amp;"-"&amp;INT(INDEX(輔助計算!$D:$D, (MATCH(791, 輔助計算!$G$2:$G$801, 0)+1))/IF(INDEX(ERP資料!$G:$G, (MATCH(791, 輔助計算!$G$2:$G$801, 0)+1))&lt;100, IF(INDEX(ERP資料!$G:$G, (MATCH(791, 輔助計算!$G$2:$G$801, 0)+1))&lt;=31,3,IF(INDEX(ERP資料!$G:$G, (MATCH(791, 輔助計算!$G$2:$G$801, 0)+1))&lt;=46.5,2,1)), IF(INDEX(ERP資料!$G:$G, (MATCH(791, 輔助計算!$G$2:$G$801, 0)+1))&lt;=790,3,IF(INDEX(ERP資料!$G:$G, (MATCH(791, 輔助計算!$G$2:$G$801, 0)+1))&lt;=1181,2,1)))), "")&amp;IF(AND(IF(INT(INDEX(輔助計算!$D:$D, (MATCH(791, 輔助計算!$G$2:$G$801, 0)+1))/IF(INDEX(ERP資料!$G:$G, (MATCH(791, 輔助計算!$G$2:$G$801, 0)+1))&lt;100, IF(INDEX(ERP資料!$G:$G, (MATCH(791, 輔助計算!$G$2:$G$801, 0)+1))&lt;=31,3,IF(INDEX(ERP資料!$G:$G, (MATCH(791, 輔助計算!$G$2:$G$801, 0)+1))&lt;=46.5,2,1)), IF(INDEX(ERP資料!$G:$G, (MATCH(791, 輔助計算!$G$2:$G$801, 0)+1))&lt;=790,3,IF(INDEX(ERP資料!$G:$G, (MATCH(791, 輔助計算!$G$2:$G$801, 0)+1))&lt;=1181,2,1))))&gt;0, IF(IF(INDEX(ERP資料!$G:$G, (MATCH(791, 輔助計算!$G$2:$G$801, 0)+1))&lt;100, IF(INDEX(ERP資料!$G:$G, (MATCH(791, 輔助計算!$G$2:$G$801, 0)+1))&lt;=31,3,IF(INDEX(ERP資料!$G:$G, (MATCH(791, 輔助計算!$G$2:$G$801, 0)+1))&lt;=46.5,2,1)), IF(INDEX(ERP資料!$G:$G, (MATCH(791, 輔助計算!$G$2:$G$801, 0)+1))&lt;=790,3,IF(INDEX(ERP資料!$G:$G, (MATCH(791, 輔助計算!$G$2:$G$801, 0)+1))&lt;=1181,2,1)))=1,TEXT(INDEX(ERP資料!$G:$G, (MATCH(791, 輔助計算!$G$2:$G$801, 0)+1)),"0.##"),IF(IF(INDEX(ERP資料!$G:$G, (MATCH(791, 輔助計算!$G$2:$G$801, 0)+1))&lt;100, IF(INDEX(ERP資料!$G:$G, (MATCH(791, 輔助計算!$G$2:$G$801, 0)+1))&lt;=31,3,IF(INDEX(ERP資料!$G:$G, (MATCH(791, 輔助計算!$G$2:$G$801, 0)+1))&lt;=46.5,2,1)), IF(INDEX(ERP資料!$G:$G, (MATCH(791, 輔助計算!$G$2:$G$801, 0)+1))&lt;=790,3,IF(INDEX(ERP資料!$G:$G, (MATCH(791, 輔助計算!$G$2:$G$801, 0)+1))&lt;=1181,2,1)))=2,TEXT(INDEX(ERP資料!$G:$G, (MATCH(791, 輔助計算!$G$2:$G$801, 0)+1)),"0.##")&amp;"+"&amp;TEXT(INDEX(ERP資料!$G:$G, (MATCH(791, 輔助計算!$G$2:$G$801, 0)+1)),"0.##"),TEXT(INDEX(ERP資料!$G:$G, (MATCH(791, 輔助計算!$G$2:$G$801, 0)+1)),"0.##")&amp;"+"&amp;TEXT(INDEX(ERP資料!$G:$G, (MATCH(791, 輔助計算!$G$2:$G$801, 0)+1)),"0.##")&amp;"+"&amp;TEXT(INDEX(ERP資料!$G:$G, (MATCH(791, 輔助計算!$G$2:$G$801, 0)+1)),"0.##")))&amp;"-"&amp;INT(INDEX(輔助計算!$D:$D, (MATCH(791, 輔助計算!$G$2:$G$801, 0)+1))/IF(INDEX(ERP資料!$G:$G, (MATCH(791, 輔助計算!$G$2:$G$801, 0)+1))&lt;100, IF(INDEX(ERP資料!$G:$G, (MATCH(791, 輔助計算!$G$2:$G$801, 0)+1))&lt;=31,3,IF(INDEX(ERP資料!$G:$G, (MATCH(791, 輔助計算!$G$2:$G$801, 0)+1))&lt;=46.5,2,1)), IF(INDEX(ERP資料!$G:$G, (MATCH(791, 輔助計算!$G$2:$G$801, 0)+1))&lt;=790,3,IF(INDEX(ERP資料!$G:$G, (MATCH(791, 輔助計算!$G$2:$G$801, 0)+1))&lt;=1181,2,1)))), "")&lt;&gt;"",IF(MOD(INDEX(輔助計算!$D:$D, (MATCH(791, 輔助計算!$G$2:$G$801, 0)+1)),IF(INDEX(ERP資料!$G:$G, (MATCH(791, 輔助計算!$G$2:$G$801, 0)+1))&lt;100, IF(INDEX(ERP資料!$G:$G, (MATCH(791, 輔助計算!$G$2:$G$801, 0)+1))&lt;=31,3,IF(INDEX(ERP資料!$G:$G, (MATCH(791, 輔助計算!$G$2:$G$801, 0)+1))&lt;=46.5,2,1)), IF(INDEX(ERP資料!$G:$G, (MATCH(791, 輔助計算!$G$2:$G$801, 0)+1))&lt;=790,3,IF(INDEX(ERP資料!$G:$G, (MATCH(791, 輔助計算!$G$2:$G$801, 0)+1))&lt;=1181,2,1))))=0,"",IF(MOD(INDEX(輔助計算!$D:$D, (MATCH(791, 輔助計算!$G$2:$G$801, 0)+1)),IF(INDEX(ERP資料!$G:$G, (MATCH(791, 輔助計算!$G$2:$G$801, 0)+1))&lt;100, IF(INDEX(ERP資料!$G:$G, (MATCH(791, 輔助計算!$G$2:$G$801, 0)+1))&lt;=31,3,IF(INDEX(ERP資料!$G:$G, (MATCH(791, 輔助計算!$G$2:$G$801, 0)+1))&lt;=46.5,2,1)), IF(INDEX(ERP資料!$G:$G, (MATCH(791, 輔助計算!$G$2:$G$801, 0)+1))&lt;=790,3,IF(INDEX(ERP資料!$G:$G, (MATCH(791, 輔助計算!$G$2:$G$801, 0)+1))&lt;=1181,2,1))))=0,"",IF(MOD(INDEX(輔助計算!$D:$D, (MATCH(791, 輔助計算!$G$2:$G$801, 0)+1)),IF(INDEX(ERP資料!$G:$G, (MATCH(791, 輔助計算!$G$2:$G$801, 0)+1))&lt;100, IF(INDEX(ERP資料!$G:$G, (MATCH(791, 輔助計算!$G$2:$G$801, 0)+1))&lt;=31,3,IF(INDEX(ERP資料!$G:$G, (MATCH(791, 輔助計算!$G$2:$G$801, 0)+1))&lt;=46.5,2,1)), IF(INDEX(ERP資料!$G:$G, (MATCH(791, 輔助計算!$G$2:$G$801, 0)+1))&lt;=790,3,IF(INDEX(ERP資料!$G:$G, (MATCH(791, 輔助計算!$G$2:$G$801, 0)+1))&lt;=1181,2,1))))=1,TEXT(INDEX(ERP資料!$G:$G, (MATCH(791, 輔助計算!$G$2:$G$801, 0)+1)),"0.##"),IF(MOD(INDEX(輔助計算!$D:$D, (MATCH(791, 輔助計算!$G$2:$G$801, 0)+1)),IF(INDEX(ERP資料!$G:$G, (MATCH(791, 輔助計算!$G$2:$G$801, 0)+1))&lt;100, IF(INDEX(ERP資料!$G:$G, (MATCH(791, 輔助計算!$G$2:$G$801, 0)+1))&lt;=31,3,IF(INDEX(ERP資料!$G:$G, (MATCH(791, 輔助計算!$G$2:$G$801, 0)+1))&lt;=46.5,2,1)), IF(INDEX(ERP資料!$G:$G, (MATCH(791, 輔助計算!$G$2:$G$801, 0)+1))&lt;=790,3,IF(INDEX(ERP資料!$G:$G, (MATCH(791, 輔助計算!$G$2:$G$801, 0)+1))&lt;=1181,2,1))))=2,TEXT(INDEX(ERP資料!$G:$G, (MATCH(791, 輔助計算!$G$2:$G$801, 0)+1)),"0.##")&amp;"+"&amp;TEXT(INDEX(ERP資料!$G:$G, (MATCH(791, 輔助計算!$G$2:$G$801, 0)+1)),"0.##"),TEXT(INDEX(ERP資料!$G:$G, (MATCH(791, 輔助計算!$G$2:$G$801, 0)+1)),"0.##")&amp;"+"&amp;TEXT(INDEX(ERP資料!$G:$G, (MATCH(791, 輔助計算!$G$2:$G$801, 0)+1)),"0.##")&amp;"+"&amp;TEXT(INDEX(ERP資料!$G:$G, (MATCH(791, 輔助計算!$G$2:$G$801, 0)+1)),"0.##"))))&amp;"-1")&lt;&gt;""),"  ","")&amp;IF(MOD(INDEX(輔助計算!$D:$D, (MATCH(791, 輔助計算!$G$2:$G$801, 0)+1)),IF(INDEX(ERP資料!$G:$G, (MATCH(791, 輔助計算!$G$2:$G$801, 0)+1))&lt;100, IF(INDEX(ERP資料!$G:$G, (MATCH(791, 輔助計算!$G$2:$G$801, 0)+1))&lt;=31,3,IF(INDEX(ERP資料!$G:$G, (MATCH(791, 輔助計算!$G$2:$G$801, 0)+1))&lt;=46.5,2,1)), IF(INDEX(ERP資料!$G:$G, (MATCH(791, 輔助計算!$G$2:$G$801, 0)+1))&lt;=790,3,IF(INDEX(ERP資料!$G:$G, (MATCH(791, 輔助計算!$G$2:$G$801, 0)+1))&lt;=1181,2,1))))=0,"",IF(MOD(INDEX(輔助計算!$D:$D, (MATCH(791, 輔助計算!$G$2:$G$801, 0)+1)),IF(INDEX(ERP資料!$G:$G, (MATCH(791, 輔助計算!$G$2:$G$801, 0)+1))&lt;100, IF(INDEX(ERP資料!$G:$G, (MATCH(791, 輔助計算!$G$2:$G$801, 0)+1))&lt;=31,3,IF(INDEX(ERP資料!$G:$G, (MATCH(791, 輔助計算!$G$2:$G$801, 0)+1))&lt;=46.5,2,1)), IF(INDEX(ERP資料!$G:$G, (MATCH(791, 輔助計算!$G$2:$G$801, 0)+1))&lt;=790,3,IF(INDEX(ERP資料!$G:$G, (MATCH(791, 輔助計算!$G$2:$G$801, 0)+1))&lt;=1181,2,1))))=0,"",IF(MOD(INDEX(輔助計算!$D:$D, (MATCH(791, 輔助計算!$G$2:$G$801, 0)+1)),IF(INDEX(ERP資料!$G:$G, (MATCH(791, 輔助計算!$G$2:$G$801, 0)+1))&lt;100, IF(INDEX(ERP資料!$G:$G, (MATCH(791, 輔助計算!$G$2:$G$801, 0)+1))&lt;=31,3,IF(INDEX(ERP資料!$G:$G, (MATCH(791, 輔助計算!$G$2:$G$801, 0)+1))&lt;=46.5,2,1)), IF(INDEX(ERP資料!$G:$G, (MATCH(791, 輔助計算!$G$2:$G$801, 0)+1))&lt;=790,3,IF(INDEX(ERP資料!$G:$G, (MATCH(791, 輔助計算!$G$2:$G$801, 0)+1))&lt;=1181,2,1))))=1,TEXT(INDEX(ERP資料!$G:$G, (MATCH(791, 輔助計算!$G$2:$G$801, 0)+1)),"0.##"),IF(MOD(INDEX(輔助計算!$D:$D, (MATCH(791, 輔助計算!$G$2:$G$801, 0)+1)),IF(INDEX(ERP資料!$G:$G, (MATCH(791, 輔助計算!$G$2:$G$801, 0)+1))&lt;100, IF(INDEX(ERP資料!$G:$G, (MATCH(791, 輔助計算!$G$2:$G$801, 0)+1))&lt;=31,3,IF(INDEX(ERP資料!$G:$G, (MATCH(791, 輔助計算!$G$2:$G$801, 0)+1))&lt;=46.5,2,1)), IF(INDEX(ERP資料!$G:$G, (MATCH(791, 輔助計算!$G$2:$G$801, 0)+1))&lt;=790,3,IF(INDEX(ERP資料!$G:$G, (MATCH(791, 輔助計算!$G$2:$G$801, 0)+1))&lt;=1181,2,1))))=2,TEXT(INDEX(ERP資料!$G:$G, (MATCH(791, 輔助計算!$G$2:$G$801, 0)+1)),"0.##")&amp;"+"&amp;TEXT(INDEX(ERP資料!$G:$G, (MATCH(791, 輔助計算!$G$2:$G$801, 0)+1)),"0.##"),TEXT(INDEX(ERP資料!$G:$G, (MATCH(791, 輔助計算!$G$2:$G$801, 0)+1)),"0.##")&amp;"+"&amp;TEXT(INDEX(ERP資料!$G:$G, (MATCH(791, 輔助計算!$G$2:$G$801, 0)+1)),"0.##")&amp;"+"&amp;TEXT(INDEX(ERP資料!$G:$G, (MATCH(791, 輔助計算!$G$2:$G$801, 0)+1)),"0.##"))))&amp;"-1")), ""), "")</f>
        <v/>
      </c>
      <c r="K792" s="16" t="n"/>
      <c r="L792" s="14">
        <f>IFERROR(IF(AND(IFERROR(INDEX(ERP資料!$A:$A, (MATCH(791, 輔助計算!$G$2:$G$801, 0)+1)), "")&lt;&gt;"", IFERROR(INDEX(ERP資料!$A:$A, (MATCH(791, 輔助計算!$G$2:$G$801, 0)+1)), "")&lt;&gt;IFERROR(INDEX(ERP資料!$A:$A, MATCH(790, 輔助計算!$G$2:$G$801, 0)+1), "")), INDEX(ERP資料!$B:$B, (MATCH(791, 輔助計算!$G$2:$G$801, 0)+1)), ""), "")</f>
        <v/>
      </c>
      <c r="M792" s="17" t="n"/>
    </row>
    <row r="793">
      <c r="A793" s="10">
        <f>IFERROR(IF(AND(IFERROR(INDEX(ERP資料!$A:$A, (MATCH(792, 輔助計算!$G$2:$G$801, 0)+1)), "")&lt;&gt;"", IFERROR(INDEX(ERP資料!$A:$A, (MATCH(792, 輔助計算!$G$2:$G$801, 0)+1)), "")&lt;&gt;IFERROR(INDEX(ERP資料!$A:$A, MATCH(791, 輔助計算!$G$2:$G$801, 0)+1), "")), IFERROR(INDEX(ERP資料!$A:$A, (MATCH(792, 輔助計算!$G$2:$G$801, 0)+1)), ""), ""), "")</f>
        <v/>
      </c>
      <c r="B793" s="10">
        <f>IFERROR(IF(AND(IFERROR(INDEX(ERP資料!$A:$A, (MATCH(792, 輔助計算!$G$2:$G$801, 0)+1)), "")&lt;&gt;"", IFERROR(INDEX(ERP資料!$A:$A, (MATCH(792, 輔助計算!$G$2:$G$801, 0)+1)), "")&lt;&gt;IFERROR(INDEX(ERP資料!$A:$A, MATCH(791, 輔助計算!$G$2:$G$801, 0)+1), "")), INDEX(ERP資料!$S:$S, (MATCH(792, 輔助計算!$G$2:$G$801, 0)+1)), ""), "")</f>
        <v/>
      </c>
      <c r="C793" s="19">
        <f>IFERROR(IF(AND(IFERROR(INDEX(ERP資料!$A:$A, (MATCH(792, 輔助計算!$G$2:$G$801, 0)+1)), "")&lt;&gt;"", IFERROR(INDEX(ERP資料!$A:$A, (MATCH(792, 輔助計算!$G$2:$G$801, 0)+1)), "")&lt;&gt;IFERROR(INDEX(ERP資料!$A:$A, MATCH(791, 輔助計算!$G$2:$G$801, 0)+1), "")), IFERROR(VLOOKUP(LEFT(INDEX(ERP資料!$S:$S, (MATCH(792, 輔助計算!$G$2:$G$801, 0)+1)), 4), 紙管對照表!$A:$C, 3, FALSE), ""), ""), "")</f>
        <v/>
      </c>
      <c r="D793" s="16" t="n"/>
      <c r="E793" s="10">
        <f>IFERROR(IF(INDEX(ERP資料!$H:$H, (MATCH(792, 輔助計算!$G$2:$G$801, 0)+1))="","",INDEX(ERP資料!$H:$H, (MATCH(792, 輔助計算!$G$2:$G$801, 0)+1))), "")</f>
        <v/>
      </c>
      <c r="F793" s="10">
        <f>IFERROR(IF(INDEX(ERP資料!$E:$E, (MATCH(792, 輔助計算!$G$2:$G$801, 0)+1))="","",TRIM(INDEX(ERP資料!$E:$E, (MATCH(792, 輔助計算!$G$2:$G$801, 0)+1)))), "")</f>
        <v/>
      </c>
      <c r="G793" s="10">
        <f>IFERROR(IF(INDEX(ERP資料!$F:$F, (MATCH(792, 輔助計算!$G$2:$G$801, 0)+1))="","",INDEX(ERP資料!$F:$F, (MATCH(792, 輔助計算!$G$2:$G$801, 0)+1))), "")</f>
        <v/>
      </c>
      <c r="H793" s="10">
        <f>IFERROR(IF(INDEX(ERP資料!$G:$G, (MATCH(792, 輔助計算!$G$2:$G$801, 0)+1))="","",INDEX(ERP資料!$G:$G, (MATCH(792, 輔助計算!$G$2:$G$801, 0)+1))), "")</f>
        <v/>
      </c>
      <c r="I793" s="15">
        <f>IFERROR(INDEX(輔助計算!$D:$D, (MATCH(792, 輔助計算!$G$2:$G$801, 0)+1)), "")</f>
        <v/>
      </c>
      <c r="J793" s="15">
        <f>IFERROR(IF(AND(INDEX(輔助計算!$D:$D, (MATCH(792, 輔助計算!$G$2:$G$801, 0)+1))&lt;&gt;"", INDEX(ERP資料!$G:$G, (MATCH(792, 輔助計算!$G$2:$G$801, 0)+1))&lt;&gt;""), TRIM(IF(INT(INDEX(輔助計算!$D:$D, (MATCH(792, 輔助計算!$G$2:$G$801, 0)+1))/IF(INDEX(ERP資料!$G:$G, (MATCH(792, 輔助計算!$G$2:$G$801, 0)+1))&lt;100, IF(INDEX(ERP資料!$G:$G, (MATCH(792, 輔助計算!$G$2:$G$801, 0)+1))&lt;=31,3,IF(INDEX(ERP資料!$G:$G, (MATCH(792, 輔助計算!$G$2:$G$801, 0)+1))&lt;=46.5,2,1)), IF(INDEX(ERP資料!$G:$G, (MATCH(792, 輔助計算!$G$2:$G$801, 0)+1))&lt;=790,3,IF(INDEX(ERP資料!$G:$G, (MATCH(792, 輔助計算!$G$2:$G$801, 0)+1))&lt;=1181,2,1))))&gt;0, IF(IF(INDEX(ERP資料!$G:$G, (MATCH(792, 輔助計算!$G$2:$G$801, 0)+1))&lt;100, IF(INDEX(ERP資料!$G:$G, (MATCH(792, 輔助計算!$G$2:$G$801, 0)+1))&lt;=31,3,IF(INDEX(ERP資料!$G:$G, (MATCH(792, 輔助計算!$G$2:$G$801, 0)+1))&lt;=46.5,2,1)), IF(INDEX(ERP資料!$G:$G, (MATCH(792, 輔助計算!$G$2:$G$801, 0)+1))&lt;=790,3,IF(INDEX(ERP資料!$G:$G, (MATCH(792, 輔助計算!$G$2:$G$801, 0)+1))&lt;=1181,2,1)))=1,TEXT(INDEX(ERP資料!$G:$G, (MATCH(792, 輔助計算!$G$2:$G$801, 0)+1)),"0.##"),IF(IF(INDEX(ERP資料!$G:$G, (MATCH(792, 輔助計算!$G$2:$G$801, 0)+1))&lt;100, IF(INDEX(ERP資料!$G:$G, (MATCH(792, 輔助計算!$G$2:$G$801, 0)+1))&lt;=31,3,IF(INDEX(ERP資料!$G:$G, (MATCH(792, 輔助計算!$G$2:$G$801, 0)+1))&lt;=46.5,2,1)), IF(INDEX(ERP資料!$G:$G, (MATCH(792, 輔助計算!$G$2:$G$801, 0)+1))&lt;=790,3,IF(INDEX(ERP資料!$G:$G, (MATCH(792, 輔助計算!$G$2:$G$801, 0)+1))&lt;=1181,2,1)))=2,TEXT(INDEX(ERP資料!$G:$G, (MATCH(792, 輔助計算!$G$2:$G$801, 0)+1)),"0.##")&amp;"+"&amp;TEXT(INDEX(ERP資料!$G:$G, (MATCH(792, 輔助計算!$G$2:$G$801, 0)+1)),"0.##"),TEXT(INDEX(ERP資料!$G:$G, (MATCH(792, 輔助計算!$G$2:$G$801, 0)+1)),"0.##")&amp;"+"&amp;TEXT(INDEX(ERP資料!$G:$G, (MATCH(792, 輔助計算!$G$2:$G$801, 0)+1)),"0.##")&amp;"+"&amp;TEXT(INDEX(ERP資料!$G:$G, (MATCH(792, 輔助計算!$G$2:$G$801, 0)+1)),"0.##")))&amp;"-"&amp;INT(INDEX(輔助計算!$D:$D, (MATCH(792, 輔助計算!$G$2:$G$801, 0)+1))/IF(INDEX(ERP資料!$G:$G, (MATCH(792, 輔助計算!$G$2:$G$801, 0)+1))&lt;100, IF(INDEX(ERP資料!$G:$G, (MATCH(792, 輔助計算!$G$2:$G$801, 0)+1))&lt;=31,3,IF(INDEX(ERP資料!$G:$G, (MATCH(792, 輔助計算!$G$2:$G$801, 0)+1))&lt;=46.5,2,1)), IF(INDEX(ERP資料!$G:$G, (MATCH(792, 輔助計算!$G$2:$G$801, 0)+1))&lt;=790,3,IF(INDEX(ERP資料!$G:$G, (MATCH(792, 輔助計算!$G$2:$G$801, 0)+1))&lt;=1181,2,1)))), "")&amp;IF(AND(IF(INT(INDEX(輔助計算!$D:$D, (MATCH(792, 輔助計算!$G$2:$G$801, 0)+1))/IF(INDEX(ERP資料!$G:$G, (MATCH(792, 輔助計算!$G$2:$G$801, 0)+1))&lt;100, IF(INDEX(ERP資料!$G:$G, (MATCH(792, 輔助計算!$G$2:$G$801, 0)+1))&lt;=31,3,IF(INDEX(ERP資料!$G:$G, (MATCH(792, 輔助計算!$G$2:$G$801, 0)+1))&lt;=46.5,2,1)), IF(INDEX(ERP資料!$G:$G, (MATCH(792, 輔助計算!$G$2:$G$801, 0)+1))&lt;=790,3,IF(INDEX(ERP資料!$G:$G, (MATCH(792, 輔助計算!$G$2:$G$801, 0)+1))&lt;=1181,2,1))))&gt;0, IF(IF(INDEX(ERP資料!$G:$G, (MATCH(792, 輔助計算!$G$2:$G$801, 0)+1))&lt;100, IF(INDEX(ERP資料!$G:$G, (MATCH(792, 輔助計算!$G$2:$G$801, 0)+1))&lt;=31,3,IF(INDEX(ERP資料!$G:$G, (MATCH(792, 輔助計算!$G$2:$G$801, 0)+1))&lt;=46.5,2,1)), IF(INDEX(ERP資料!$G:$G, (MATCH(792, 輔助計算!$G$2:$G$801, 0)+1))&lt;=790,3,IF(INDEX(ERP資料!$G:$G, (MATCH(792, 輔助計算!$G$2:$G$801, 0)+1))&lt;=1181,2,1)))=1,TEXT(INDEX(ERP資料!$G:$G, (MATCH(792, 輔助計算!$G$2:$G$801, 0)+1)),"0.##"),IF(IF(INDEX(ERP資料!$G:$G, (MATCH(792, 輔助計算!$G$2:$G$801, 0)+1))&lt;100, IF(INDEX(ERP資料!$G:$G, (MATCH(792, 輔助計算!$G$2:$G$801, 0)+1))&lt;=31,3,IF(INDEX(ERP資料!$G:$G, (MATCH(792, 輔助計算!$G$2:$G$801, 0)+1))&lt;=46.5,2,1)), IF(INDEX(ERP資料!$G:$G, (MATCH(792, 輔助計算!$G$2:$G$801, 0)+1))&lt;=790,3,IF(INDEX(ERP資料!$G:$G, (MATCH(792, 輔助計算!$G$2:$G$801, 0)+1))&lt;=1181,2,1)))=2,TEXT(INDEX(ERP資料!$G:$G, (MATCH(792, 輔助計算!$G$2:$G$801, 0)+1)),"0.##")&amp;"+"&amp;TEXT(INDEX(ERP資料!$G:$G, (MATCH(792, 輔助計算!$G$2:$G$801, 0)+1)),"0.##"),TEXT(INDEX(ERP資料!$G:$G, (MATCH(792, 輔助計算!$G$2:$G$801, 0)+1)),"0.##")&amp;"+"&amp;TEXT(INDEX(ERP資料!$G:$G, (MATCH(792, 輔助計算!$G$2:$G$801, 0)+1)),"0.##")&amp;"+"&amp;TEXT(INDEX(ERP資料!$G:$G, (MATCH(792, 輔助計算!$G$2:$G$801, 0)+1)),"0.##")))&amp;"-"&amp;INT(INDEX(輔助計算!$D:$D, (MATCH(792, 輔助計算!$G$2:$G$801, 0)+1))/IF(INDEX(ERP資料!$G:$G, (MATCH(792, 輔助計算!$G$2:$G$801, 0)+1))&lt;100, IF(INDEX(ERP資料!$G:$G, (MATCH(792, 輔助計算!$G$2:$G$801, 0)+1))&lt;=31,3,IF(INDEX(ERP資料!$G:$G, (MATCH(792, 輔助計算!$G$2:$G$801, 0)+1))&lt;=46.5,2,1)), IF(INDEX(ERP資料!$G:$G, (MATCH(792, 輔助計算!$G$2:$G$801, 0)+1))&lt;=790,3,IF(INDEX(ERP資料!$G:$G, (MATCH(792, 輔助計算!$G$2:$G$801, 0)+1))&lt;=1181,2,1)))), "")&lt;&gt;"",IF(MOD(INDEX(輔助計算!$D:$D, (MATCH(792, 輔助計算!$G$2:$G$801, 0)+1)),IF(INDEX(ERP資料!$G:$G, (MATCH(792, 輔助計算!$G$2:$G$801, 0)+1))&lt;100, IF(INDEX(ERP資料!$G:$G, (MATCH(792, 輔助計算!$G$2:$G$801, 0)+1))&lt;=31,3,IF(INDEX(ERP資料!$G:$G, (MATCH(792, 輔助計算!$G$2:$G$801, 0)+1))&lt;=46.5,2,1)), IF(INDEX(ERP資料!$G:$G, (MATCH(792, 輔助計算!$G$2:$G$801, 0)+1))&lt;=790,3,IF(INDEX(ERP資料!$G:$G, (MATCH(792, 輔助計算!$G$2:$G$801, 0)+1))&lt;=1181,2,1))))=0,"",IF(MOD(INDEX(輔助計算!$D:$D, (MATCH(792, 輔助計算!$G$2:$G$801, 0)+1)),IF(INDEX(ERP資料!$G:$G, (MATCH(792, 輔助計算!$G$2:$G$801, 0)+1))&lt;100, IF(INDEX(ERP資料!$G:$G, (MATCH(792, 輔助計算!$G$2:$G$801, 0)+1))&lt;=31,3,IF(INDEX(ERP資料!$G:$G, (MATCH(792, 輔助計算!$G$2:$G$801, 0)+1))&lt;=46.5,2,1)), IF(INDEX(ERP資料!$G:$G, (MATCH(792, 輔助計算!$G$2:$G$801, 0)+1))&lt;=790,3,IF(INDEX(ERP資料!$G:$G, (MATCH(792, 輔助計算!$G$2:$G$801, 0)+1))&lt;=1181,2,1))))=0,"",IF(MOD(INDEX(輔助計算!$D:$D, (MATCH(792, 輔助計算!$G$2:$G$801, 0)+1)),IF(INDEX(ERP資料!$G:$G, (MATCH(792, 輔助計算!$G$2:$G$801, 0)+1))&lt;100, IF(INDEX(ERP資料!$G:$G, (MATCH(792, 輔助計算!$G$2:$G$801, 0)+1))&lt;=31,3,IF(INDEX(ERP資料!$G:$G, (MATCH(792, 輔助計算!$G$2:$G$801, 0)+1))&lt;=46.5,2,1)), IF(INDEX(ERP資料!$G:$G, (MATCH(792, 輔助計算!$G$2:$G$801, 0)+1))&lt;=790,3,IF(INDEX(ERP資料!$G:$G, (MATCH(792, 輔助計算!$G$2:$G$801, 0)+1))&lt;=1181,2,1))))=1,TEXT(INDEX(ERP資料!$G:$G, (MATCH(792, 輔助計算!$G$2:$G$801, 0)+1)),"0.##"),IF(MOD(INDEX(輔助計算!$D:$D, (MATCH(792, 輔助計算!$G$2:$G$801, 0)+1)),IF(INDEX(ERP資料!$G:$G, (MATCH(792, 輔助計算!$G$2:$G$801, 0)+1))&lt;100, IF(INDEX(ERP資料!$G:$G, (MATCH(792, 輔助計算!$G$2:$G$801, 0)+1))&lt;=31,3,IF(INDEX(ERP資料!$G:$G, (MATCH(792, 輔助計算!$G$2:$G$801, 0)+1))&lt;=46.5,2,1)), IF(INDEX(ERP資料!$G:$G, (MATCH(792, 輔助計算!$G$2:$G$801, 0)+1))&lt;=790,3,IF(INDEX(ERP資料!$G:$G, (MATCH(792, 輔助計算!$G$2:$G$801, 0)+1))&lt;=1181,2,1))))=2,TEXT(INDEX(ERP資料!$G:$G, (MATCH(792, 輔助計算!$G$2:$G$801, 0)+1)),"0.##")&amp;"+"&amp;TEXT(INDEX(ERP資料!$G:$G, (MATCH(792, 輔助計算!$G$2:$G$801, 0)+1)),"0.##"),TEXT(INDEX(ERP資料!$G:$G, (MATCH(792, 輔助計算!$G$2:$G$801, 0)+1)),"0.##")&amp;"+"&amp;TEXT(INDEX(ERP資料!$G:$G, (MATCH(792, 輔助計算!$G$2:$G$801, 0)+1)),"0.##")&amp;"+"&amp;TEXT(INDEX(ERP資料!$G:$G, (MATCH(792, 輔助計算!$G$2:$G$801, 0)+1)),"0.##"))))&amp;"-1")&lt;&gt;""),"  ","")&amp;IF(MOD(INDEX(輔助計算!$D:$D, (MATCH(792, 輔助計算!$G$2:$G$801, 0)+1)),IF(INDEX(ERP資料!$G:$G, (MATCH(792, 輔助計算!$G$2:$G$801, 0)+1))&lt;100, IF(INDEX(ERP資料!$G:$G, (MATCH(792, 輔助計算!$G$2:$G$801, 0)+1))&lt;=31,3,IF(INDEX(ERP資料!$G:$G, (MATCH(792, 輔助計算!$G$2:$G$801, 0)+1))&lt;=46.5,2,1)), IF(INDEX(ERP資料!$G:$G, (MATCH(792, 輔助計算!$G$2:$G$801, 0)+1))&lt;=790,3,IF(INDEX(ERP資料!$G:$G, (MATCH(792, 輔助計算!$G$2:$G$801, 0)+1))&lt;=1181,2,1))))=0,"",IF(MOD(INDEX(輔助計算!$D:$D, (MATCH(792, 輔助計算!$G$2:$G$801, 0)+1)),IF(INDEX(ERP資料!$G:$G, (MATCH(792, 輔助計算!$G$2:$G$801, 0)+1))&lt;100, IF(INDEX(ERP資料!$G:$G, (MATCH(792, 輔助計算!$G$2:$G$801, 0)+1))&lt;=31,3,IF(INDEX(ERP資料!$G:$G, (MATCH(792, 輔助計算!$G$2:$G$801, 0)+1))&lt;=46.5,2,1)), IF(INDEX(ERP資料!$G:$G, (MATCH(792, 輔助計算!$G$2:$G$801, 0)+1))&lt;=790,3,IF(INDEX(ERP資料!$G:$G, (MATCH(792, 輔助計算!$G$2:$G$801, 0)+1))&lt;=1181,2,1))))=0,"",IF(MOD(INDEX(輔助計算!$D:$D, (MATCH(792, 輔助計算!$G$2:$G$801, 0)+1)),IF(INDEX(ERP資料!$G:$G, (MATCH(792, 輔助計算!$G$2:$G$801, 0)+1))&lt;100, IF(INDEX(ERP資料!$G:$G, (MATCH(792, 輔助計算!$G$2:$G$801, 0)+1))&lt;=31,3,IF(INDEX(ERP資料!$G:$G, (MATCH(792, 輔助計算!$G$2:$G$801, 0)+1))&lt;=46.5,2,1)), IF(INDEX(ERP資料!$G:$G, (MATCH(792, 輔助計算!$G$2:$G$801, 0)+1))&lt;=790,3,IF(INDEX(ERP資料!$G:$G, (MATCH(792, 輔助計算!$G$2:$G$801, 0)+1))&lt;=1181,2,1))))=1,TEXT(INDEX(ERP資料!$G:$G, (MATCH(792, 輔助計算!$G$2:$G$801, 0)+1)),"0.##"),IF(MOD(INDEX(輔助計算!$D:$D, (MATCH(792, 輔助計算!$G$2:$G$801, 0)+1)),IF(INDEX(ERP資料!$G:$G, (MATCH(792, 輔助計算!$G$2:$G$801, 0)+1))&lt;100, IF(INDEX(ERP資料!$G:$G, (MATCH(792, 輔助計算!$G$2:$G$801, 0)+1))&lt;=31,3,IF(INDEX(ERP資料!$G:$G, (MATCH(792, 輔助計算!$G$2:$G$801, 0)+1))&lt;=46.5,2,1)), IF(INDEX(ERP資料!$G:$G, (MATCH(792, 輔助計算!$G$2:$G$801, 0)+1))&lt;=790,3,IF(INDEX(ERP資料!$G:$G, (MATCH(792, 輔助計算!$G$2:$G$801, 0)+1))&lt;=1181,2,1))))=2,TEXT(INDEX(ERP資料!$G:$G, (MATCH(792, 輔助計算!$G$2:$G$801, 0)+1)),"0.##")&amp;"+"&amp;TEXT(INDEX(ERP資料!$G:$G, (MATCH(792, 輔助計算!$G$2:$G$801, 0)+1)),"0.##"),TEXT(INDEX(ERP資料!$G:$G, (MATCH(792, 輔助計算!$G$2:$G$801, 0)+1)),"0.##")&amp;"+"&amp;TEXT(INDEX(ERP資料!$G:$G, (MATCH(792, 輔助計算!$G$2:$G$801, 0)+1)),"0.##")&amp;"+"&amp;TEXT(INDEX(ERP資料!$G:$G, (MATCH(792, 輔助計算!$G$2:$G$801, 0)+1)),"0.##"))))&amp;"-1")), ""), "")</f>
        <v/>
      </c>
      <c r="K793" s="16" t="n"/>
      <c r="L793" s="14">
        <f>IFERROR(IF(AND(IFERROR(INDEX(ERP資料!$A:$A, (MATCH(792, 輔助計算!$G$2:$G$801, 0)+1)), "")&lt;&gt;"", IFERROR(INDEX(ERP資料!$A:$A, (MATCH(792, 輔助計算!$G$2:$G$801, 0)+1)), "")&lt;&gt;IFERROR(INDEX(ERP資料!$A:$A, MATCH(791, 輔助計算!$G$2:$G$801, 0)+1), "")), INDEX(ERP資料!$B:$B, (MATCH(792, 輔助計算!$G$2:$G$801, 0)+1)), ""), "")</f>
        <v/>
      </c>
      <c r="M793" s="17" t="n"/>
    </row>
    <row r="794">
      <c r="A794" s="10">
        <f>IFERROR(IF(AND(IFERROR(INDEX(ERP資料!$A:$A, (MATCH(793, 輔助計算!$G$2:$G$801, 0)+1)), "")&lt;&gt;"", IFERROR(INDEX(ERP資料!$A:$A, (MATCH(793, 輔助計算!$G$2:$G$801, 0)+1)), "")&lt;&gt;IFERROR(INDEX(ERP資料!$A:$A, MATCH(792, 輔助計算!$G$2:$G$801, 0)+1), "")), IFERROR(INDEX(ERP資料!$A:$A, (MATCH(793, 輔助計算!$G$2:$G$801, 0)+1)), ""), ""), "")</f>
        <v/>
      </c>
      <c r="B794" s="10">
        <f>IFERROR(IF(AND(IFERROR(INDEX(ERP資料!$A:$A, (MATCH(793, 輔助計算!$G$2:$G$801, 0)+1)), "")&lt;&gt;"", IFERROR(INDEX(ERP資料!$A:$A, (MATCH(793, 輔助計算!$G$2:$G$801, 0)+1)), "")&lt;&gt;IFERROR(INDEX(ERP資料!$A:$A, MATCH(792, 輔助計算!$G$2:$G$801, 0)+1), "")), INDEX(ERP資料!$S:$S, (MATCH(793, 輔助計算!$G$2:$G$801, 0)+1)), ""), "")</f>
        <v/>
      </c>
      <c r="C794" s="19">
        <f>IFERROR(IF(AND(IFERROR(INDEX(ERP資料!$A:$A, (MATCH(793, 輔助計算!$G$2:$G$801, 0)+1)), "")&lt;&gt;"", IFERROR(INDEX(ERP資料!$A:$A, (MATCH(793, 輔助計算!$G$2:$G$801, 0)+1)), "")&lt;&gt;IFERROR(INDEX(ERP資料!$A:$A, MATCH(792, 輔助計算!$G$2:$G$801, 0)+1), "")), IFERROR(VLOOKUP(LEFT(INDEX(ERP資料!$S:$S, (MATCH(793, 輔助計算!$G$2:$G$801, 0)+1)), 4), 紙管對照表!$A:$C, 3, FALSE), ""), ""), "")</f>
        <v/>
      </c>
      <c r="D794" s="16" t="n"/>
      <c r="E794" s="10">
        <f>IFERROR(IF(INDEX(ERP資料!$H:$H, (MATCH(793, 輔助計算!$G$2:$G$801, 0)+1))="","",INDEX(ERP資料!$H:$H, (MATCH(793, 輔助計算!$G$2:$G$801, 0)+1))), "")</f>
        <v/>
      </c>
      <c r="F794" s="10">
        <f>IFERROR(IF(INDEX(ERP資料!$E:$E, (MATCH(793, 輔助計算!$G$2:$G$801, 0)+1))="","",TRIM(INDEX(ERP資料!$E:$E, (MATCH(793, 輔助計算!$G$2:$G$801, 0)+1)))), "")</f>
        <v/>
      </c>
      <c r="G794" s="10">
        <f>IFERROR(IF(INDEX(ERP資料!$F:$F, (MATCH(793, 輔助計算!$G$2:$G$801, 0)+1))="","",INDEX(ERP資料!$F:$F, (MATCH(793, 輔助計算!$G$2:$G$801, 0)+1))), "")</f>
        <v/>
      </c>
      <c r="H794" s="10">
        <f>IFERROR(IF(INDEX(ERP資料!$G:$G, (MATCH(793, 輔助計算!$G$2:$G$801, 0)+1))="","",INDEX(ERP資料!$G:$G, (MATCH(793, 輔助計算!$G$2:$G$801, 0)+1))), "")</f>
        <v/>
      </c>
      <c r="I794" s="15">
        <f>IFERROR(INDEX(輔助計算!$D:$D, (MATCH(793, 輔助計算!$G$2:$G$801, 0)+1)), "")</f>
        <v/>
      </c>
      <c r="J794" s="15">
        <f>IFERROR(IF(AND(INDEX(輔助計算!$D:$D, (MATCH(793, 輔助計算!$G$2:$G$801, 0)+1))&lt;&gt;"", INDEX(ERP資料!$G:$G, (MATCH(793, 輔助計算!$G$2:$G$801, 0)+1))&lt;&gt;""), TRIM(IF(INT(INDEX(輔助計算!$D:$D, (MATCH(793, 輔助計算!$G$2:$G$801, 0)+1))/IF(INDEX(ERP資料!$G:$G, (MATCH(793, 輔助計算!$G$2:$G$801, 0)+1))&lt;100, IF(INDEX(ERP資料!$G:$G, (MATCH(793, 輔助計算!$G$2:$G$801, 0)+1))&lt;=31,3,IF(INDEX(ERP資料!$G:$G, (MATCH(793, 輔助計算!$G$2:$G$801, 0)+1))&lt;=46.5,2,1)), IF(INDEX(ERP資料!$G:$G, (MATCH(793, 輔助計算!$G$2:$G$801, 0)+1))&lt;=790,3,IF(INDEX(ERP資料!$G:$G, (MATCH(793, 輔助計算!$G$2:$G$801, 0)+1))&lt;=1181,2,1))))&gt;0, IF(IF(INDEX(ERP資料!$G:$G, (MATCH(793, 輔助計算!$G$2:$G$801, 0)+1))&lt;100, IF(INDEX(ERP資料!$G:$G, (MATCH(793, 輔助計算!$G$2:$G$801, 0)+1))&lt;=31,3,IF(INDEX(ERP資料!$G:$G, (MATCH(793, 輔助計算!$G$2:$G$801, 0)+1))&lt;=46.5,2,1)), IF(INDEX(ERP資料!$G:$G, (MATCH(793, 輔助計算!$G$2:$G$801, 0)+1))&lt;=790,3,IF(INDEX(ERP資料!$G:$G, (MATCH(793, 輔助計算!$G$2:$G$801, 0)+1))&lt;=1181,2,1)))=1,TEXT(INDEX(ERP資料!$G:$G, (MATCH(793, 輔助計算!$G$2:$G$801, 0)+1)),"0.##"),IF(IF(INDEX(ERP資料!$G:$G, (MATCH(793, 輔助計算!$G$2:$G$801, 0)+1))&lt;100, IF(INDEX(ERP資料!$G:$G, (MATCH(793, 輔助計算!$G$2:$G$801, 0)+1))&lt;=31,3,IF(INDEX(ERP資料!$G:$G, (MATCH(793, 輔助計算!$G$2:$G$801, 0)+1))&lt;=46.5,2,1)), IF(INDEX(ERP資料!$G:$G, (MATCH(793, 輔助計算!$G$2:$G$801, 0)+1))&lt;=790,3,IF(INDEX(ERP資料!$G:$G, (MATCH(793, 輔助計算!$G$2:$G$801, 0)+1))&lt;=1181,2,1)))=2,TEXT(INDEX(ERP資料!$G:$G, (MATCH(793, 輔助計算!$G$2:$G$801, 0)+1)),"0.##")&amp;"+"&amp;TEXT(INDEX(ERP資料!$G:$G, (MATCH(793, 輔助計算!$G$2:$G$801, 0)+1)),"0.##"),TEXT(INDEX(ERP資料!$G:$G, (MATCH(793, 輔助計算!$G$2:$G$801, 0)+1)),"0.##")&amp;"+"&amp;TEXT(INDEX(ERP資料!$G:$G, (MATCH(793, 輔助計算!$G$2:$G$801, 0)+1)),"0.##")&amp;"+"&amp;TEXT(INDEX(ERP資料!$G:$G, (MATCH(793, 輔助計算!$G$2:$G$801, 0)+1)),"0.##")))&amp;"-"&amp;INT(INDEX(輔助計算!$D:$D, (MATCH(793, 輔助計算!$G$2:$G$801, 0)+1))/IF(INDEX(ERP資料!$G:$G, (MATCH(793, 輔助計算!$G$2:$G$801, 0)+1))&lt;100, IF(INDEX(ERP資料!$G:$G, (MATCH(793, 輔助計算!$G$2:$G$801, 0)+1))&lt;=31,3,IF(INDEX(ERP資料!$G:$G, (MATCH(793, 輔助計算!$G$2:$G$801, 0)+1))&lt;=46.5,2,1)), IF(INDEX(ERP資料!$G:$G, (MATCH(793, 輔助計算!$G$2:$G$801, 0)+1))&lt;=790,3,IF(INDEX(ERP資料!$G:$G, (MATCH(793, 輔助計算!$G$2:$G$801, 0)+1))&lt;=1181,2,1)))), "")&amp;IF(AND(IF(INT(INDEX(輔助計算!$D:$D, (MATCH(793, 輔助計算!$G$2:$G$801, 0)+1))/IF(INDEX(ERP資料!$G:$G, (MATCH(793, 輔助計算!$G$2:$G$801, 0)+1))&lt;100, IF(INDEX(ERP資料!$G:$G, (MATCH(793, 輔助計算!$G$2:$G$801, 0)+1))&lt;=31,3,IF(INDEX(ERP資料!$G:$G, (MATCH(793, 輔助計算!$G$2:$G$801, 0)+1))&lt;=46.5,2,1)), IF(INDEX(ERP資料!$G:$G, (MATCH(793, 輔助計算!$G$2:$G$801, 0)+1))&lt;=790,3,IF(INDEX(ERP資料!$G:$G, (MATCH(793, 輔助計算!$G$2:$G$801, 0)+1))&lt;=1181,2,1))))&gt;0, IF(IF(INDEX(ERP資料!$G:$G, (MATCH(793, 輔助計算!$G$2:$G$801, 0)+1))&lt;100, IF(INDEX(ERP資料!$G:$G, (MATCH(793, 輔助計算!$G$2:$G$801, 0)+1))&lt;=31,3,IF(INDEX(ERP資料!$G:$G, (MATCH(793, 輔助計算!$G$2:$G$801, 0)+1))&lt;=46.5,2,1)), IF(INDEX(ERP資料!$G:$G, (MATCH(793, 輔助計算!$G$2:$G$801, 0)+1))&lt;=790,3,IF(INDEX(ERP資料!$G:$G, (MATCH(793, 輔助計算!$G$2:$G$801, 0)+1))&lt;=1181,2,1)))=1,TEXT(INDEX(ERP資料!$G:$G, (MATCH(793, 輔助計算!$G$2:$G$801, 0)+1)),"0.##"),IF(IF(INDEX(ERP資料!$G:$G, (MATCH(793, 輔助計算!$G$2:$G$801, 0)+1))&lt;100, IF(INDEX(ERP資料!$G:$G, (MATCH(793, 輔助計算!$G$2:$G$801, 0)+1))&lt;=31,3,IF(INDEX(ERP資料!$G:$G, (MATCH(793, 輔助計算!$G$2:$G$801, 0)+1))&lt;=46.5,2,1)), IF(INDEX(ERP資料!$G:$G, (MATCH(793, 輔助計算!$G$2:$G$801, 0)+1))&lt;=790,3,IF(INDEX(ERP資料!$G:$G, (MATCH(793, 輔助計算!$G$2:$G$801, 0)+1))&lt;=1181,2,1)))=2,TEXT(INDEX(ERP資料!$G:$G, (MATCH(793, 輔助計算!$G$2:$G$801, 0)+1)),"0.##")&amp;"+"&amp;TEXT(INDEX(ERP資料!$G:$G, (MATCH(793, 輔助計算!$G$2:$G$801, 0)+1)),"0.##"),TEXT(INDEX(ERP資料!$G:$G, (MATCH(793, 輔助計算!$G$2:$G$801, 0)+1)),"0.##")&amp;"+"&amp;TEXT(INDEX(ERP資料!$G:$G, (MATCH(793, 輔助計算!$G$2:$G$801, 0)+1)),"0.##")&amp;"+"&amp;TEXT(INDEX(ERP資料!$G:$G, (MATCH(793, 輔助計算!$G$2:$G$801, 0)+1)),"0.##")))&amp;"-"&amp;INT(INDEX(輔助計算!$D:$D, (MATCH(793, 輔助計算!$G$2:$G$801, 0)+1))/IF(INDEX(ERP資料!$G:$G, (MATCH(793, 輔助計算!$G$2:$G$801, 0)+1))&lt;100, IF(INDEX(ERP資料!$G:$G, (MATCH(793, 輔助計算!$G$2:$G$801, 0)+1))&lt;=31,3,IF(INDEX(ERP資料!$G:$G, (MATCH(793, 輔助計算!$G$2:$G$801, 0)+1))&lt;=46.5,2,1)), IF(INDEX(ERP資料!$G:$G, (MATCH(793, 輔助計算!$G$2:$G$801, 0)+1))&lt;=790,3,IF(INDEX(ERP資料!$G:$G, (MATCH(793, 輔助計算!$G$2:$G$801, 0)+1))&lt;=1181,2,1)))), "")&lt;&gt;"",IF(MOD(INDEX(輔助計算!$D:$D, (MATCH(793, 輔助計算!$G$2:$G$801, 0)+1)),IF(INDEX(ERP資料!$G:$G, (MATCH(793, 輔助計算!$G$2:$G$801, 0)+1))&lt;100, IF(INDEX(ERP資料!$G:$G, (MATCH(793, 輔助計算!$G$2:$G$801, 0)+1))&lt;=31,3,IF(INDEX(ERP資料!$G:$G, (MATCH(793, 輔助計算!$G$2:$G$801, 0)+1))&lt;=46.5,2,1)), IF(INDEX(ERP資料!$G:$G, (MATCH(793, 輔助計算!$G$2:$G$801, 0)+1))&lt;=790,3,IF(INDEX(ERP資料!$G:$G, (MATCH(793, 輔助計算!$G$2:$G$801, 0)+1))&lt;=1181,2,1))))=0,"",IF(MOD(INDEX(輔助計算!$D:$D, (MATCH(793, 輔助計算!$G$2:$G$801, 0)+1)),IF(INDEX(ERP資料!$G:$G, (MATCH(793, 輔助計算!$G$2:$G$801, 0)+1))&lt;100, IF(INDEX(ERP資料!$G:$G, (MATCH(793, 輔助計算!$G$2:$G$801, 0)+1))&lt;=31,3,IF(INDEX(ERP資料!$G:$G, (MATCH(793, 輔助計算!$G$2:$G$801, 0)+1))&lt;=46.5,2,1)), IF(INDEX(ERP資料!$G:$G, (MATCH(793, 輔助計算!$G$2:$G$801, 0)+1))&lt;=790,3,IF(INDEX(ERP資料!$G:$G, (MATCH(793, 輔助計算!$G$2:$G$801, 0)+1))&lt;=1181,2,1))))=0,"",IF(MOD(INDEX(輔助計算!$D:$D, (MATCH(793, 輔助計算!$G$2:$G$801, 0)+1)),IF(INDEX(ERP資料!$G:$G, (MATCH(793, 輔助計算!$G$2:$G$801, 0)+1))&lt;100, IF(INDEX(ERP資料!$G:$G, (MATCH(793, 輔助計算!$G$2:$G$801, 0)+1))&lt;=31,3,IF(INDEX(ERP資料!$G:$G, (MATCH(793, 輔助計算!$G$2:$G$801, 0)+1))&lt;=46.5,2,1)), IF(INDEX(ERP資料!$G:$G, (MATCH(793, 輔助計算!$G$2:$G$801, 0)+1))&lt;=790,3,IF(INDEX(ERP資料!$G:$G, (MATCH(793, 輔助計算!$G$2:$G$801, 0)+1))&lt;=1181,2,1))))=1,TEXT(INDEX(ERP資料!$G:$G, (MATCH(793, 輔助計算!$G$2:$G$801, 0)+1)),"0.##"),IF(MOD(INDEX(輔助計算!$D:$D, (MATCH(793, 輔助計算!$G$2:$G$801, 0)+1)),IF(INDEX(ERP資料!$G:$G, (MATCH(793, 輔助計算!$G$2:$G$801, 0)+1))&lt;100, IF(INDEX(ERP資料!$G:$G, (MATCH(793, 輔助計算!$G$2:$G$801, 0)+1))&lt;=31,3,IF(INDEX(ERP資料!$G:$G, (MATCH(793, 輔助計算!$G$2:$G$801, 0)+1))&lt;=46.5,2,1)), IF(INDEX(ERP資料!$G:$G, (MATCH(793, 輔助計算!$G$2:$G$801, 0)+1))&lt;=790,3,IF(INDEX(ERP資料!$G:$G, (MATCH(793, 輔助計算!$G$2:$G$801, 0)+1))&lt;=1181,2,1))))=2,TEXT(INDEX(ERP資料!$G:$G, (MATCH(793, 輔助計算!$G$2:$G$801, 0)+1)),"0.##")&amp;"+"&amp;TEXT(INDEX(ERP資料!$G:$G, (MATCH(793, 輔助計算!$G$2:$G$801, 0)+1)),"0.##"),TEXT(INDEX(ERP資料!$G:$G, (MATCH(793, 輔助計算!$G$2:$G$801, 0)+1)),"0.##")&amp;"+"&amp;TEXT(INDEX(ERP資料!$G:$G, (MATCH(793, 輔助計算!$G$2:$G$801, 0)+1)),"0.##")&amp;"+"&amp;TEXT(INDEX(ERP資料!$G:$G, (MATCH(793, 輔助計算!$G$2:$G$801, 0)+1)),"0.##"))))&amp;"-1")&lt;&gt;""),"  ","")&amp;IF(MOD(INDEX(輔助計算!$D:$D, (MATCH(793, 輔助計算!$G$2:$G$801, 0)+1)),IF(INDEX(ERP資料!$G:$G, (MATCH(793, 輔助計算!$G$2:$G$801, 0)+1))&lt;100, IF(INDEX(ERP資料!$G:$G, (MATCH(793, 輔助計算!$G$2:$G$801, 0)+1))&lt;=31,3,IF(INDEX(ERP資料!$G:$G, (MATCH(793, 輔助計算!$G$2:$G$801, 0)+1))&lt;=46.5,2,1)), IF(INDEX(ERP資料!$G:$G, (MATCH(793, 輔助計算!$G$2:$G$801, 0)+1))&lt;=790,3,IF(INDEX(ERP資料!$G:$G, (MATCH(793, 輔助計算!$G$2:$G$801, 0)+1))&lt;=1181,2,1))))=0,"",IF(MOD(INDEX(輔助計算!$D:$D, (MATCH(793, 輔助計算!$G$2:$G$801, 0)+1)),IF(INDEX(ERP資料!$G:$G, (MATCH(793, 輔助計算!$G$2:$G$801, 0)+1))&lt;100, IF(INDEX(ERP資料!$G:$G, (MATCH(793, 輔助計算!$G$2:$G$801, 0)+1))&lt;=31,3,IF(INDEX(ERP資料!$G:$G, (MATCH(793, 輔助計算!$G$2:$G$801, 0)+1))&lt;=46.5,2,1)), IF(INDEX(ERP資料!$G:$G, (MATCH(793, 輔助計算!$G$2:$G$801, 0)+1))&lt;=790,3,IF(INDEX(ERP資料!$G:$G, (MATCH(793, 輔助計算!$G$2:$G$801, 0)+1))&lt;=1181,2,1))))=0,"",IF(MOD(INDEX(輔助計算!$D:$D, (MATCH(793, 輔助計算!$G$2:$G$801, 0)+1)),IF(INDEX(ERP資料!$G:$G, (MATCH(793, 輔助計算!$G$2:$G$801, 0)+1))&lt;100, IF(INDEX(ERP資料!$G:$G, (MATCH(793, 輔助計算!$G$2:$G$801, 0)+1))&lt;=31,3,IF(INDEX(ERP資料!$G:$G, (MATCH(793, 輔助計算!$G$2:$G$801, 0)+1))&lt;=46.5,2,1)), IF(INDEX(ERP資料!$G:$G, (MATCH(793, 輔助計算!$G$2:$G$801, 0)+1))&lt;=790,3,IF(INDEX(ERP資料!$G:$G, (MATCH(793, 輔助計算!$G$2:$G$801, 0)+1))&lt;=1181,2,1))))=1,TEXT(INDEX(ERP資料!$G:$G, (MATCH(793, 輔助計算!$G$2:$G$801, 0)+1)),"0.##"),IF(MOD(INDEX(輔助計算!$D:$D, (MATCH(793, 輔助計算!$G$2:$G$801, 0)+1)),IF(INDEX(ERP資料!$G:$G, (MATCH(793, 輔助計算!$G$2:$G$801, 0)+1))&lt;100, IF(INDEX(ERP資料!$G:$G, (MATCH(793, 輔助計算!$G$2:$G$801, 0)+1))&lt;=31,3,IF(INDEX(ERP資料!$G:$G, (MATCH(793, 輔助計算!$G$2:$G$801, 0)+1))&lt;=46.5,2,1)), IF(INDEX(ERP資料!$G:$G, (MATCH(793, 輔助計算!$G$2:$G$801, 0)+1))&lt;=790,3,IF(INDEX(ERP資料!$G:$G, (MATCH(793, 輔助計算!$G$2:$G$801, 0)+1))&lt;=1181,2,1))))=2,TEXT(INDEX(ERP資料!$G:$G, (MATCH(793, 輔助計算!$G$2:$G$801, 0)+1)),"0.##")&amp;"+"&amp;TEXT(INDEX(ERP資料!$G:$G, (MATCH(793, 輔助計算!$G$2:$G$801, 0)+1)),"0.##"),TEXT(INDEX(ERP資料!$G:$G, (MATCH(793, 輔助計算!$G$2:$G$801, 0)+1)),"0.##")&amp;"+"&amp;TEXT(INDEX(ERP資料!$G:$G, (MATCH(793, 輔助計算!$G$2:$G$801, 0)+1)),"0.##")&amp;"+"&amp;TEXT(INDEX(ERP資料!$G:$G, (MATCH(793, 輔助計算!$G$2:$G$801, 0)+1)),"0.##"))))&amp;"-1")), ""), "")</f>
        <v/>
      </c>
      <c r="K794" s="16" t="n"/>
      <c r="L794" s="14">
        <f>IFERROR(IF(AND(IFERROR(INDEX(ERP資料!$A:$A, (MATCH(793, 輔助計算!$G$2:$G$801, 0)+1)), "")&lt;&gt;"", IFERROR(INDEX(ERP資料!$A:$A, (MATCH(793, 輔助計算!$G$2:$G$801, 0)+1)), "")&lt;&gt;IFERROR(INDEX(ERP資料!$A:$A, MATCH(792, 輔助計算!$G$2:$G$801, 0)+1), "")), INDEX(ERP資料!$B:$B, (MATCH(793, 輔助計算!$G$2:$G$801, 0)+1)), ""), "")</f>
        <v/>
      </c>
      <c r="M794" s="17" t="n"/>
    </row>
    <row r="795">
      <c r="A795" s="10">
        <f>IFERROR(IF(AND(IFERROR(INDEX(ERP資料!$A:$A, (MATCH(794, 輔助計算!$G$2:$G$801, 0)+1)), "")&lt;&gt;"", IFERROR(INDEX(ERP資料!$A:$A, (MATCH(794, 輔助計算!$G$2:$G$801, 0)+1)), "")&lt;&gt;IFERROR(INDEX(ERP資料!$A:$A, MATCH(793, 輔助計算!$G$2:$G$801, 0)+1), "")), IFERROR(INDEX(ERP資料!$A:$A, (MATCH(794, 輔助計算!$G$2:$G$801, 0)+1)), ""), ""), "")</f>
        <v/>
      </c>
      <c r="B795" s="10">
        <f>IFERROR(IF(AND(IFERROR(INDEX(ERP資料!$A:$A, (MATCH(794, 輔助計算!$G$2:$G$801, 0)+1)), "")&lt;&gt;"", IFERROR(INDEX(ERP資料!$A:$A, (MATCH(794, 輔助計算!$G$2:$G$801, 0)+1)), "")&lt;&gt;IFERROR(INDEX(ERP資料!$A:$A, MATCH(793, 輔助計算!$G$2:$G$801, 0)+1), "")), INDEX(ERP資料!$S:$S, (MATCH(794, 輔助計算!$G$2:$G$801, 0)+1)), ""), "")</f>
        <v/>
      </c>
      <c r="C795" s="19">
        <f>IFERROR(IF(AND(IFERROR(INDEX(ERP資料!$A:$A, (MATCH(794, 輔助計算!$G$2:$G$801, 0)+1)), "")&lt;&gt;"", IFERROR(INDEX(ERP資料!$A:$A, (MATCH(794, 輔助計算!$G$2:$G$801, 0)+1)), "")&lt;&gt;IFERROR(INDEX(ERP資料!$A:$A, MATCH(793, 輔助計算!$G$2:$G$801, 0)+1), "")), IFERROR(VLOOKUP(LEFT(INDEX(ERP資料!$S:$S, (MATCH(794, 輔助計算!$G$2:$G$801, 0)+1)), 4), 紙管對照表!$A:$C, 3, FALSE), ""), ""), "")</f>
        <v/>
      </c>
      <c r="D795" s="16" t="n"/>
      <c r="E795" s="10">
        <f>IFERROR(IF(INDEX(ERP資料!$H:$H, (MATCH(794, 輔助計算!$G$2:$G$801, 0)+1))="","",INDEX(ERP資料!$H:$H, (MATCH(794, 輔助計算!$G$2:$G$801, 0)+1))), "")</f>
        <v/>
      </c>
      <c r="F795" s="10">
        <f>IFERROR(IF(INDEX(ERP資料!$E:$E, (MATCH(794, 輔助計算!$G$2:$G$801, 0)+1))="","",TRIM(INDEX(ERP資料!$E:$E, (MATCH(794, 輔助計算!$G$2:$G$801, 0)+1)))), "")</f>
        <v/>
      </c>
      <c r="G795" s="10">
        <f>IFERROR(IF(INDEX(ERP資料!$F:$F, (MATCH(794, 輔助計算!$G$2:$G$801, 0)+1))="","",INDEX(ERP資料!$F:$F, (MATCH(794, 輔助計算!$G$2:$G$801, 0)+1))), "")</f>
        <v/>
      </c>
      <c r="H795" s="10">
        <f>IFERROR(IF(INDEX(ERP資料!$G:$G, (MATCH(794, 輔助計算!$G$2:$G$801, 0)+1))="","",INDEX(ERP資料!$G:$G, (MATCH(794, 輔助計算!$G$2:$G$801, 0)+1))), "")</f>
        <v/>
      </c>
      <c r="I795" s="15">
        <f>IFERROR(INDEX(輔助計算!$D:$D, (MATCH(794, 輔助計算!$G$2:$G$801, 0)+1)), "")</f>
        <v/>
      </c>
      <c r="J795" s="15">
        <f>IFERROR(IF(AND(INDEX(輔助計算!$D:$D, (MATCH(794, 輔助計算!$G$2:$G$801, 0)+1))&lt;&gt;"", INDEX(ERP資料!$G:$G, (MATCH(794, 輔助計算!$G$2:$G$801, 0)+1))&lt;&gt;""), TRIM(IF(INT(INDEX(輔助計算!$D:$D, (MATCH(794, 輔助計算!$G$2:$G$801, 0)+1))/IF(INDEX(ERP資料!$G:$G, (MATCH(794, 輔助計算!$G$2:$G$801, 0)+1))&lt;100, IF(INDEX(ERP資料!$G:$G, (MATCH(794, 輔助計算!$G$2:$G$801, 0)+1))&lt;=31,3,IF(INDEX(ERP資料!$G:$G, (MATCH(794, 輔助計算!$G$2:$G$801, 0)+1))&lt;=46.5,2,1)), IF(INDEX(ERP資料!$G:$G, (MATCH(794, 輔助計算!$G$2:$G$801, 0)+1))&lt;=790,3,IF(INDEX(ERP資料!$G:$G, (MATCH(794, 輔助計算!$G$2:$G$801, 0)+1))&lt;=1181,2,1))))&gt;0, IF(IF(INDEX(ERP資料!$G:$G, (MATCH(794, 輔助計算!$G$2:$G$801, 0)+1))&lt;100, IF(INDEX(ERP資料!$G:$G, (MATCH(794, 輔助計算!$G$2:$G$801, 0)+1))&lt;=31,3,IF(INDEX(ERP資料!$G:$G, (MATCH(794, 輔助計算!$G$2:$G$801, 0)+1))&lt;=46.5,2,1)), IF(INDEX(ERP資料!$G:$G, (MATCH(794, 輔助計算!$G$2:$G$801, 0)+1))&lt;=790,3,IF(INDEX(ERP資料!$G:$G, (MATCH(794, 輔助計算!$G$2:$G$801, 0)+1))&lt;=1181,2,1)))=1,TEXT(INDEX(ERP資料!$G:$G, (MATCH(794, 輔助計算!$G$2:$G$801, 0)+1)),"0.##"),IF(IF(INDEX(ERP資料!$G:$G, (MATCH(794, 輔助計算!$G$2:$G$801, 0)+1))&lt;100, IF(INDEX(ERP資料!$G:$G, (MATCH(794, 輔助計算!$G$2:$G$801, 0)+1))&lt;=31,3,IF(INDEX(ERP資料!$G:$G, (MATCH(794, 輔助計算!$G$2:$G$801, 0)+1))&lt;=46.5,2,1)), IF(INDEX(ERP資料!$G:$G, (MATCH(794, 輔助計算!$G$2:$G$801, 0)+1))&lt;=790,3,IF(INDEX(ERP資料!$G:$G, (MATCH(794, 輔助計算!$G$2:$G$801, 0)+1))&lt;=1181,2,1)))=2,TEXT(INDEX(ERP資料!$G:$G, (MATCH(794, 輔助計算!$G$2:$G$801, 0)+1)),"0.##")&amp;"+"&amp;TEXT(INDEX(ERP資料!$G:$G, (MATCH(794, 輔助計算!$G$2:$G$801, 0)+1)),"0.##"),TEXT(INDEX(ERP資料!$G:$G, (MATCH(794, 輔助計算!$G$2:$G$801, 0)+1)),"0.##")&amp;"+"&amp;TEXT(INDEX(ERP資料!$G:$G, (MATCH(794, 輔助計算!$G$2:$G$801, 0)+1)),"0.##")&amp;"+"&amp;TEXT(INDEX(ERP資料!$G:$G, (MATCH(794, 輔助計算!$G$2:$G$801, 0)+1)),"0.##")))&amp;"-"&amp;INT(INDEX(輔助計算!$D:$D, (MATCH(794, 輔助計算!$G$2:$G$801, 0)+1))/IF(INDEX(ERP資料!$G:$G, (MATCH(794, 輔助計算!$G$2:$G$801, 0)+1))&lt;100, IF(INDEX(ERP資料!$G:$G, (MATCH(794, 輔助計算!$G$2:$G$801, 0)+1))&lt;=31,3,IF(INDEX(ERP資料!$G:$G, (MATCH(794, 輔助計算!$G$2:$G$801, 0)+1))&lt;=46.5,2,1)), IF(INDEX(ERP資料!$G:$G, (MATCH(794, 輔助計算!$G$2:$G$801, 0)+1))&lt;=790,3,IF(INDEX(ERP資料!$G:$G, (MATCH(794, 輔助計算!$G$2:$G$801, 0)+1))&lt;=1181,2,1)))), "")&amp;IF(AND(IF(INT(INDEX(輔助計算!$D:$D, (MATCH(794, 輔助計算!$G$2:$G$801, 0)+1))/IF(INDEX(ERP資料!$G:$G, (MATCH(794, 輔助計算!$G$2:$G$801, 0)+1))&lt;100, IF(INDEX(ERP資料!$G:$G, (MATCH(794, 輔助計算!$G$2:$G$801, 0)+1))&lt;=31,3,IF(INDEX(ERP資料!$G:$G, (MATCH(794, 輔助計算!$G$2:$G$801, 0)+1))&lt;=46.5,2,1)), IF(INDEX(ERP資料!$G:$G, (MATCH(794, 輔助計算!$G$2:$G$801, 0)+1))&lt;=790,3,IF(INDEX(ERP資料!$G:$G, (MATCH(794, 輔助計算!$G$2:$G$801, 0)+1))&lt;=1181,2,1))))&gt;0, IF(IF(INDEX(ERP資料!$G:$G, (MATCH(794, 輔助計算!$G$2:$G$801, 0)+1))&lt;100, IF(INDEX(ERP資料!$G:$G, (MATCH(794, 輔助計算!$G$2:$G$801, 0)+1))&lt;=31,3,IF(INDEX(ERP資料!$G:$G, (MATCH(794, 輔助計算!$G$2:$G$801, 0)+1))&lt;=46.5,2,1)), IF(INDEX(ERP資料!$G:$G, (MATCH(794, 輔助計算!$G$2:$G$801, 0)+1))&lt;=790,3,IF(INDEX(ERP資料!$G:$G, (MATCH(794, 輔助計算!$G$2:$G$801, 0)+1))&lt;=1181,2,1)))=1,TEXT(INDEX(ERP資料!$G:$G, (MATCH(794, 輔助計算!$G$2:$G$801, 0)+1)),"0.##"),IF(IF(INDEX(ERP資料!$G:$G, (MATCH(794, 輔助計算!$G$2:$G$801, 0)+1))&lt;100, IF(INDEX(ERP資料!$G:$G, (MATCH(794, 輔助計算!$G$2:$G$801, 0)+1))&lt;=31,3,IF(INDEX(ERP資料!$G:$G, (MATCH(794, 輔助計算!$G$2:$G$801, 0)+1))&lt;=46.5,2,1)), IF(INDEX(ERP資料!$G:$G, (MATCH(794, 輔助計算!$G$2:$G$801, 0)+1))&lt;=790,3,IF(INDEX(ERP資料!$G:$G, (MATCH(794, 輔助計算!$G$2:$G$801, 0)+1))&lt;=1181,2,1)))=2,TEXT(INDEX(ERP資料!$G:$G, (MATCH(794, 輔助計算!$G$2:$G$801, 0)+1)),"0.##")&amp;"+"&amp;TEXT(INDEX(ERP資料!$G:$G, (MATCH(794, 輔助計算!$G$2:$G$801, 0)+1)),"0.##"),TEXT(INDEX(ERP資料!$G:$G, (MATCH(794, 輔助計算!$G$2:$G$801, 0)+1)),"0.##")&amp;"+"&amp;TEXT(INDEX(ERP資料!$G:$G, (MATCH(794, 輔助計算!$G$2:$G$801, 0)+1)),"0.##")&amp;"+"&amp;TEXT(INDEX(ERP資料!$G:$G, (MATCH(794, 輔助計算!$G$2:$G$801, 0)+1)),"0.##")))&amp;"-"&amp;INT(INDEX(輔助計算!$D:$D, (MATCH(794, 輔助計算!$G$2:$G$801, 0)+1))/IF(INDEX(ERP資料!$G:$G, (MATCH(794, 輔助計算!$G$2:$G$801, 0)+1))&lt;100, IF(INDEX(ERP資料!$G:$G, (MATCH(794, 輔助計算!$G$2:$G$801, 0)+1))&lt;=31,3,IF(INDEX(ERP資料!$G:$G, (MATCH(794, 輔助計算!$G$2:$G$801, 0)+1))&lt;=46.5,2,1)), IF(INDEX(ERP資料!$G:$G, (MATCH(794, 輔助計算!$G$2:$G$801, 0)+1))&lt;=790,3,IF(INDEX(ERP資料!$G:$G, (MATCH(794, 輔助計算!$G$2:$G$801, 0)+1))&lt;=1181,2,1)))), "")&lt;&gt;"",IF(MOD(INDEX(輔助計算!$D:$D, (MATCH(794, 輔助計算!$G$2:$G$801, 0)+1)),IF(INDEX(ERP資料!$G:$G, (MATCH(794, 輔助計算!$G$2:$G$801, 0)+1))&lt;100, IF(INDEX(ERP資料!$G:$G, (MATCH(794, 輔助計算!$G$2:$G$801, 0)+1))&lt;=31,3,IF(INDEX(ERP資料!$G:$G, (MATCH(794, 輔助計算!$G$2:$G$801, 0)+1))&lt;=46.5,2,1)), IF(INDEX(ERP資料!$G:$G, (MATCH(794, 輔助計算!$G$2:$G$801, 0)+1))&lt;=790,3,IF(INDEX(ERP資料!$G:$G, (MATCH(794, 輔助計算!$G$2:$G$801, 0)+1))&lt;=1181,2,1))))=0,"",IF(MOD(INDEX(輔助計算!$D:$D, (MATCH(794, 輔助計算!$G$2:$G$801, 0)+1)),IF(INDEX(ERP資料!$G:$G, (MATCH(794, 輔助計算!$G$2:$G$801, 0)+1))&lt;100, IF(INDEX(ERP資料!$G:$G, (MATCH(794, 輔助計算!$G$2:$G$801, 0)+1))&lt;=31,3,IF(INDEX(ERP資料!$G:$G, (MATCH(794, 輔助計算!$G$2:$G$801, 0)+1))&lt;=46.5,2,1)), IF(INDEX(ERP資料!$G:$G, (MATCH(794, 輔助計算!$G$2:$G$801, 0)+1))&lt;=790,3,IF(INDEX(ERP資料!$G:$G, (MATCH(794, 輔助計算!$G$2:$G$801, 0)+1))&lt;=1181,2,1))))=0,"",IF(MOD(INDEX(輔助計算!$D:$D, (MATCH(794, 輔助計算!$G$2:$G$801, 0)+1)),IF(INDEX(ERP資料!$G:$G, (MATCH(794, 輔助計算!$G$2:$G$801, 0)+1))&lt;100, IF(INDEX(ERP資料!$G:$G, (MATCH(794, 輔助計算!$G$2:$G$801, 0)+1))&lt;=31,3,IF(INDEX(ERP資料!$G:$G, (MATCH(794, 輔助計算!$G$2:$G$801, 0)+1))&lt;=46.5,2,1)), IF(INDEX(ERP資料!$G:$G, (MATCH(794, 輔助計算!$G$2:$G$801, 0)+1))&lt;=790,3,IF(INDEX(ERP資料!$G:$G, (MATCH(794, 輔助計算!$G$2:$G$801, 0)+1))&lt;=1181,2,1))))=1,TEXT(INDEX(ERP資料!$G:$G, (MATCH(794, 輔助計算!$G$2:$G$801, 0)+1)),"0.##"),IF(MOD(INDEX(輔助計算!$D:$D, (MATCH(794, 輔助計算!$G$2:$G$801, 0)+1)),IF(INDEX(ERP資料!$G:$G, (MATCH(794, 輔助計算!$G$2:$G$801, 0)+1))&lt;100, IF(INDEX(ERP資料!$G:$G, (MATCH(794, 輔助計算!$G$2:$G$801, 0)+1))&lt;=31,3,IF(INDEX(ERP資料!$G:$G, (MATCH(794, 輔助計算!$G$2:$G$801, 0)+1))&lt;=46.5,2,1)), IF(INDEX(ERP資料!$G:$G, (MATCH(794, 輔助計算!$G$2:$G$801, 0)+1))&lt;=790,3,IF(INDEX(ERP資料!$G:$G, (MATCH(794, 輔助計算!$G$2:$G$801, 0)+1))&lt;=1181,2,1))))=2,TEXT(INDEX(ERP資料!$G:$G, (MATCH(794, 輔助計算!$G$2:$G$801, 0)+1)),"0.##")&amp;"+"&amp;TEXT(INDEX(ERP資料!$G:$G, (MATCH(794, 輔助計算!$G$2:$G$801, 0)+1)),"0.##"),TEXT(INDEX(ERP資料!$G:$G, (MATCH(794, 輔助計算!$G$2:$G$801, 0)+1)),"0.##")&amp;"+"&amp;TEXT(INDEX(ERP資料!$G:$G, (MATCH(794, 輔助計算!$G$2:$G$801, 0)+1)),"0.##")&amp;"+"&amp;TEXT(INDEX(ERP資料!$G:$G, (MATCH(794, 輔助計算!$G$2:$G$801, 0)+1)),"0.##"))))&amp;"-1")&lt;&gt;""),"  ","")&amp;IF(MOD(INDEX(輔助計算!$D:$D, (MATCH(794, 輔助計算!$G$2:$G$801, 0)+1)),IF(INDEX(ERP資料!$G:$G, (MATCH(794, 輔助計算!$G$2:$G$801, 0)+1))&lt;100, IF(INDEX(ERP資料!$G:$G, (MATCH(794, 輔助計算!$G$2:$G$801, 0)+1))&lt;=31,3,IF(INDEX(ERP資料!$G:$G, (MATCH(794, 輔助計算!$G$2:$G$801, 0)+1))&lt;=46.5,2,1)), IF(INDEX(ERP資料!$G:$G, (MATCH(794, 輔助計算!$G$2:$G$801, 0)+1))&lt;=790,3,IF(INDEX(ERP資料!$G:$G, (MATCH(794, 輔助計算!$G$2:$G$801, 0)+1))&lt;=1181,2,1))))=0,"",IF(MOD(INDEX(輔助計算!$D:$D, (MATCH(794, 輔助計算!$G$2:$G$801, 0)+1)),IF(INDEX(ERP資料!$G:$G, (MATCH(794, 輔助計算!$G$2:$G$801, 0)+1))&lt;100, IF(INDEX(ERP資料!$G:$G, (MATCH(794, 輔助計算!$G$2:$G$801, 0)+1))&lt;=31,3,IF(INDEX(ERP資料!$G:$G, (MATCH(794, 輔助計算!$G$2:$G$801, 0)+1))&lt;=46.5,2,1)), IF(INDEX(ERP資料!$G:$G, (MATCH(794, 輔助計算!$G$2:$G$801, 0)+1))&lt;=790,3,IF(INDEX(ERP資料!$G:$G, (MATCH(794, 輔助計算!$G$2:$G$801, 0)+1))&lt;=1181,2,1))))=0,"",IF(MOD(INDEX(輔助計算!$D:$D, (MATCH(794, 輔助計算!$G$2:$G$801, 0)+1)),IF(INDEX(ERP資料!$G:$G, (MATCH(794, 輔助計算!$G$2:$G$801, 0)+1))&lt;100, IF(INDEX(ERP資料!$G:$G, (MATCH(794, 輔助計算!$G$2:$G$801, 0)+1))&lt;=31,3,IF(INDEX(ERP資料!$G:$G, (MATCH(794, 輔助計算!$G$2:$G$801, 0)+1))&lt;=46.5,2,1)), IF(INDEX(ERP資料!$G:$G, (MATCH(794, 輔助計算!$G$2:$G$801, 0)+1))&lt;=790,3,IF(INDEX(ERP資料!$G:$G, (MATCH(794, 輔助計算!$G$2:$G$801, 0)+1))&lt;=1181,2,1))))=1,TEXT(INDEX(ERP資料!$G:$G, (MATCH(794, 輔助計算!$G$2:$G$801, 0)+1)),"0.##"),IF(MOD(INDEX(輔助計算!$D:$D, (MATCH(794, 輔助計算!$G$2:$G$801, 0)+1)),IF(INDEX(ERP資料!$G:$G, (MATCH(794, 輔助計算!$G$2:$G$801, 0)+1))&lt;100, IF(INDEX(ERP資料!$G:$G, (MATCH(794, 輔助計算!$G$2:$G$801, 0)+1))&lt;=31,3,IF(INDEX(ERP資料!$G:$G, (MATCH(794, 輔助計算!$G$2:$G$801, 0)+1))&lt;=46.5,2,1)), IF(INDEX(ERP資料!$G:$G, (MATCH(794, 輔助計算!$G$2:$G$801, 0)+1))&lt;=790,3,IF(INDEX(ERP資料!$G:$G, (MATCH(794, 輔助計算!$G$2:$G$801, 0)+1))&lt;=1181,2,1))))=2,TEXT(INDEX(ERP資料!$G:$G, (MATCH(794, 輔助計算!$G$2:$G$801, 0)+1)),"0.##")&amp;"+"&amp;TEXT(INDEX(ERP資料!$G:$G, (MATCH(794, 輔助計算!$G$2:$G$801, 0)+1)),"0.##"),TEXT(INDEX(ERP資料!$G:$G, (MATCH(794, 輔助計算!$G$2:$G$801, 0)+1)),"0.##")&amp;"+"&amp;TEXT(INDEX(ERP資料!$G:$G, (MATCH(794, 輔助計算!$G$2:$G$801, 0)+1)),"0.##")&amp;"+"&amp;TEXT(INDEX(ERP資料!$G:$G, (MATCH(794, 輔助計算!$G$2:$G$801, 0)+1)),"0.##"))))&amp;"-1")), ""), "")</f>
        <v/>
      </c>
      <c r="K795" s="16" t="n"/>
      <c r="L795" s="14">
        <f>IFERROR(IF(AND(IFERROR(INDEX(ERP資料!$A:$A, (MATCH(794, 輔助計算!$G$2:$G$801, 0)+1)), "")&lt;&gt;"", IFERROR(INDEX(ERP資料!$A:$A, (MATCH(794, 輔助計算!$G$2:$G$801, 0)+1)), "")&lt;&gt;IFERROR(INDEX(ERP資料!$A:$A, MATCH(793, 輔助計算!$G$2:$G$801, 0)+1), "")), INDEX(ERP資料!$B:$B, (MATCH(794, 輔助計算!$G$2:$G$801, 0)+1)), ""), "")</f>
        <v/>
      </c>
      <c r="M795" s="17" t="n"/>
    </row>
    <row r="796">
      <c r="A796" s="10">
        <f>IFERROR(IF(AND(IFERROR(INDEX(ERP資料!$A:$A, (MATCH(795, 輔助計算!$G$2:$G$801, 0)+1)), "")&lt;&gt;"", IFERROR(INDEX(ERP資料!$A:$A, (MATCH(795, 輔助計算!$G$2:$G$801, 0)+1)), "")&lt;&gt;IFERROR(INDEX(ERP資料!$A:$A, MATCH(794, 輔助計算!$G$2:$G$801, 0)+1), "")), IFERROR(INDEX(ERP資料!$A:$A, (MATCH(795, 輔助計算!$G$2:$G$801, 0)+1)), ""), ""), "")</f>
        <v/>
      </c>
      <c r="B796" s="10">
        <f>IFERROR(IF(AND(IFERROR(INDEX(ERP資料!$A:$A, (MATCH(795, 輔助計算!$G$2:$G$801, 0)+1)), "")&lt;&gt;"", IFERROR(INDEX(ERP資料!$A:$A, (MATCH(795, 輔助計算!$G$2:$G$801, 0)+1)), "")&lt;&gt;IFERROR(INDEX(ERP資料!$A:$A, MATCH(794, 輔助計算!$G$2:$G$801, 0)+1), "")), INDEX(ERP資料!$S:$S, (MATCH(795, 輔助計算!$G$2:$G$801, 0)+1)), ""), "")</f>
        <v/>
      </c>
      <c r="C796" s="19">
        <f>IFERROR(IF(AND(IFERROR(INDEX(ERP資料!$A:$A, (MATCH(795, 輔助計算!$G$2:$G$801, 0)+1)), "")&lt;&gt;"", IFERROR(INDEX(ERP資料!$A:$A, (MATCH(795, 輔助計算!$G$2:$G$801, 0)+1)), "")&lt;&gt;IFERROR(INDEX(ERP資料!$A:$A, MATCH(794, 輔助計算!$G$2:$G$801, 0)+1), "")), IFERROR(VLOOKUP(LEFT(INDEX(ERP資料!$S:$S, (MATCH(795, 輔助計算!$G$2:$G$801, 0)+1)), 4), 紙管對照表!$A:$C, 3, FALSE), ""), ""), "")</f>
        <v/>
      </c>
      <c r="D796" s="16" t="n"/>
      <c r="E796" s="10">
        <f>IFERROR(IF(INDEX(ERP資料!$H:$H, (MATCH(795, 輔助計算!$G$2:$G$801, 0)+1))="","",INDEX(ERP資料!$H:$H, (MATCH(795, 輔助計算!$G$2:$G$801, 0)+1))), "")</f>
        <v/>
      </c>
      <c r="F796" s="10">
        <f>IFERROR(IF(INDEX(ERP資料!$E:$E, (MATCH(795, 輔助計算!$G$2:$G$801, 0)+1))="","",TRIM(INDEX(ERP資料!$E:$E, (MATCH(795, 輔助計算!$G$2:$G$801, 0)+1)))), "")</f>
        <v/>
      </c>
      <c r="G796" s="10">
        <f>IFERROR(IF(INDEX(ERP資料!$F:$F, (MATCH(795, 輔助計算!$G$2:$G$801, 0)+1))="","",INDEX(ERP資料!$F:$F, (MATCH(795, 輔助計算!$G$2:$G$801, 0)+1))), "")</f>
        <v/>
      </c>
      <c r="H796" s="10">
        <f>IFERROR(IF(INDEX(ERP資料!$G:$G, (MATCH(795, 輔助計算!$G$2:$G$801, 0)+1))="","",INDEX(ERP資料!$G:$G, (MATCH(795, 輔助計算!$G$2:$G$801, 0)+1))), "")</f>
        <v/>
      </c>
      <c r="I796" s="15">
        <f>IFERROR(INDEX(輔助計算!$D:$D, (MATCH(795, 輔助計算!$G$2:$G$801, 0)+1)), "")</f>
        <v/>
      </c>
      <c r="J796" s="15">
        <f>IFERROR(IF(AND(INDEX(輔助計算!$D:$D, (MATCH(795, 輔助計算!$G$2:$G$801, 0)+1))&lt;&gt;"", INDEX(ERP資料!$G:$G, (MATCH(795, 輔助計算!$G$2:$G$801, 0)+1))&lt;&gt;""), TRIM(IF(INT(INDEX(輔助計算!$D:$D, (MATCH(795, 輔助計算!$G$2:$G$801, 0)+1))/IF(INDEX(ERP資料!$G:$G, (MATCH(795, 輔助計算!$G$2:$G$801, 0)+1))&lt;100, IF(INDEX(ERP資料!$G:$G, (MATCH(795, 輔助計算!$G$2:$G$801, 0)+1))&lt;=31,3,IF(INDEX(ERP資料!$G:$G, (MATCH(795, 輔助計算!$G$2:$G$801, 0)+1))&lt;=46.5,2,1)), IF(INDEX(ERP資料!$G:$G, (MATCH(795, 輔助計算!$G$2:$G$801, 0)+1))&lt;=790,3,IF(INDEX(ERP資料!$G:$G, (MATCH(795, 輔助計算!$G$2:$G$801, 0)+1))&lt;=1181,2,1))))&gt;0, IF(IF(INDEX(ERP資料!$G:$G, (MATCH(795, 輔助計算!$G$2:$G$801, 0)+1))&lt;100, IF(INDEX(ERP資料!$G:$G, (MATCH(795, 輔助計算!$G$2:$G$801, 0)+1))&lt;=31,3,IF(INDEX(ERP資料!$G:$G, (MATCH(795, 輔助計算!$G$2:$G$801, 0)+1))&lt;=46.5,2,1)), IF(INDEX(ERP資料!$G:$G, (MATCH(795, 輔助計算!$G$2:$G$801, 0)+1))&lt;=790,3,IF(INDEX(ERP資料!$G:$G, (MATCH(795, 輔助計算!$G$2:$G$801, 0)+1))&lt;=1181,2,1)))=1,TEXT(INDEX(ERP資料!$G:$G, (MATCH(795, 輔助計算!$G$2:$G$801, 0)+1)),"0.##"),IF(IF(INDEX(ERP資料!$G:$G, (MATCH(795, 輔助計算!$G$2:$G$801, 0)+1))&lt;100, IF(INDEX(ERP資料!$G:$G, (MATCH(795, 輔助計算!$G$2:$G$801, 0)+1))&lt;=31,3,IF(INDEX(ERP資料!$G:$G, (MATCH(795, 輔助計算!$G$2:$G$801, 0)+1))&lt;=46.5,2,1)), IF(INDEX(ERP資料!$G:$G, (MATCH(795, 輔助計算!$G$2:$G$801, 0)+1))&lt;=790,3,IF(INDEX(ERP資料!$G:$G, (MATCH(795, 輔助計算!$G$2:$G$801, 0)+1))&lt;=1181,2,1)))=2,TEXT(INDEX(ERP資料!$G:$G, (MATCH(795, 輔助計算!$G$2:$G$801, 0)+1)),"0.##")&amp;"+"&amp;TEXT(INDEX(ERP資料!$G:$G, (MATCH(795, 輔助計算!$G$2:$G$801, 0)+1)),"0.##"),TEXT(INDEX(ERP資料!$G:$G, (MATCH(795, 輔助計算!$G$2:$G$801, 0)+1)),"0.##")&amp;"+"&amp;TEXT(INDEX(ERP資料!$G:$G, (MATCH(795, 輔助計算!$G$2:$G$801, 0)+1)),"0.##")&amp;"+"&amp;TEXT(INDEX(ERP資料!$G:$G, (MATCH(795, 輔助計算!$G$2:$G$801, 0)+1)),"0.##")))&amp;"-"&amp;INT(INDEX(輔助計算!$D:$D, (MATCH(795, 輔助計算!$G$2:$G$801, 0)+1))/IF(INDEX(ERP資料!$G:$G, (MATCH(795, 輔助計算!$G$2:$G$801, 0)+1))&lt;100, IF(INDEX(ERP資料!$G:$G, (MATCH(795, 輔助計算!$G$2:$G$801, 0)+1))&lt;=31,3,IF(INDEX(ERP資料!$G:$G, (MATCH(795, 輔助計算!$G$2:$G$801, 0)+1))&lt;=46.5,2,1)), IF(INDEX(ERP資料!$G:$G, (MATCH(795, 輔助計算!$G$2:$G$801, 0)+1))&lt;=790,3,IF(INDEX(ERP資料!$G:$G, (MATCH(795, 輔助計算!$G$2:$G$801, 0)+1))&lt;=1181,2,1)))), "")&amp;IF(AND(IF(INT(INDEX(輔助計算!$D:$D, (MATCH(795, 輔助計算!$G$2:$G$801, 0)+1))/IF(INDEX(ERP資料!$G:$G, (MATCH(795, 輔助計算!$G$2:$G$801, 0)+1))&lt;100, IF(INDEX(ERP資料!$G:$G, (MATCH(795, 輔助計算!$G$2:$G$801, 0)+1))&lt;=31,3,IF(INDEX(ERP資料!$G:$G, (MATCH(795, 輔助計算!$G$2:$G$801, 0)+1))&lt;=46.5,2,1)), IF(INDEX(ERP資料!$G:$G, (MATCH(795, 輔助計算!$G$2:$G$801, 0)+1))&lt;=790,3,IF(INDEX(ERP資料!$G:$G, (MATCH(795, 輔助計算!$G$2:$G$801, 0)+1))&lt;=1181,2,1))))&gt;0, IF(IF(INDEX(ERP資料!$G:$G, (MATCH(795, 輔助計算!$G$2:$G$801, 0)+1))&lt;100, IF(INDEX(ERP資料!$G:$G, (MATCH(795, 輔助計算!$G$2:$G$801, 0)+1))&lt;=31,3,IF(INDEX(ERP資料!$G:$G, (MATCH(795, 輔助計算!$G$2:$G$801, 0)+1))&lt;=46.5,2,1)), IF(INDEX(ERP資料!$G:$G, (MATCH(795, 輔助計算!$G$2:$G$801, 0)+1))&lt;=790,3,IF(INDEX(ERP資料!$G:$G, (MATCH(795, 輔助計算!$G$2:$G$801, 0)+1))&lt;=1181,2,1)))=1,TEXT(INDEX(ERP資料!$G:$G, (MATCH(795, 輔助計算!$G$2:$G$801, 0)+1)),"0.##"),IF(IF(INDEX(ERP資料!$G:$G, (MATCH(795, 輔助計算!$G$2:$G$801, 0)+1))&lt;100, IF(INDEX(ERP資料!$G:$G, (MATCH(795, 輔助計算!$G$2:$G$801, 0)+1))&lt;=31,3,IF(INDEX(ERP資料!$G:$G, (MATCH(795, 輔助計算!$G$2:$G$801, 0)+1))&lt;=46.5,2,1)), IF(INDEX(ERP資料!$G:$G, (MATCH(795, 輔助計算!$G$2:$G$801, 0)+1))&lt;=790,3,IF(INDEX(ERP資料!$G:$G, (MATCH(795, 輔助計算!$G$2:$G$801, 0)+1))&lt;=1181,2,1)))=2,TEXT(INDEX(ERP資料!$G:$G, (MATCH(795, 輔助計算!$G$2:$G$801, 0)+1)),"0.##")&amp;"+"&amp;TEXT(INDEX(ERP資料!$G:$G, (MATCH(795, 輔助計算!$G$2:$G$801, 0)+1)),"0.##"),TEXT(INDEX(ERP資料!$G:$G, (MATCH(795, 輔助計算!$G$2:$G$801, 0)+1)),"0.##")&amp;"+"&amp;TEXT(INDEX(ERP資料!$G:$G, (MATCH(795, 輔助計算!$G$2:$G$801, 0)+1)),"0.##")&amp;"+"&amp;TEXT(INDEX(ERP資料!$G:$G, (MATCH(795, 輔助計算!$G$2:$G$801, 0)+1)),"0.##")))&amp;"-"&amp;INT(INDEX(輔助計算!$D:$D, (MATCH(795, 輔助計算!$G$2:$G$801, 0)+1))/IF(INDEX(ERP資料!$G:$G, (MATCH(795, 輔助計算!$G$2:$G$801, 0)+1))&lt;100, IF(INDEX(ERP資料!$G:$G, (MATCH(795, 輔助計算!$G$2:$G$801, 0)+1))&lt;=31,3,IF(INDEX(ERP資料!$G:$G, (MATCH(795, 輔助計算!$G$2:$G$801, 0)+1))&lt;=46.5,2,1)), IF(INDEX(ERP資料!$G:$G, (MATCH(795, 輔助計算!$G$2:$G$801, 0)+1))&lt;=790,3,IF(INDEX(ERP資料!$G:$G, (MATCH(795, 輔助計算!$G$2:$G$801, 0)+1))&lt;=1181,2,1)))), "")&lt;&gt;"",IF(MOD(INDEX(輔助計算!$D:$D, (MATCH(795, 輔助計算!$G$2:$G$801, 0)+1)),IF(INDEX(ERP資料!$G:$G, (MATCH(795, 輔助計算!$G$2:$G$801, 0)+1))&lt;100, IF(INDEX(ERP資料!$G:$G, (MATCH(795, 輔助計算!$G$2:$G$801, 0)+1))&lt;=31,3,IF(INDEX(ERP資料!$G:$G, (MATCH(795, 輔助計算!$G$2:$G$801, 0)+1))&lt;=46.5,2,1)), IF(INDEX(ERP資料!$G:$G, (MATCH(795, 輔助計算!$G$2:$G$801, 0)+1))&lt;=790,3,IF(INDEX(ERP資料!$G:$G, (MATCH(795, 輔助計算!$G$2:$G$801, 0)+1))&lt;=1181,2,1))))=0,"",IF(MOD(INDEX(輔助計算!$D:$D, (MATCH(795, 輔助計算!$G$2:$G$801, 0)+1)),IF(INDEX(ERP資料!$G:$G, (MATCH(795, 輔助計算!$G$2:$G$801, 0)+1))&lt;100, IF(INDEX(ERP資料!$G:$G, (MATCH(795, 輔助計算!$G$2:$G$801, 0)+1))&lt;=31,3,IF(INDEX(ERP資料!$G:$G, (MATCH(795, 輔助計算!$G$2:$G$801, 0)+1))&lt;=46.5,2,1)), IF(INDEX(ERP資料!$G:$G, (MATCH(795, 輔助計算!$G$2:$G$801, 0)+1))&lt;=790,3,IF(INDEX(ERP資料!$G:$G, (MATCH(795, 輔助計算!$G$2:$G$801, 0)+1))&lt;=1181,2,1))))=0,"",IF(MOD(INDEX(輔助計算!$D:$D, (MATCH(795, 輔助計算!$G$2:$G$801, 0)+1)),IF(INDEX(ERP資料!$G:$G, (MATCH(795, 輔助計算!$G$2:$G$801, 0)+1))&lt;100, IF(INDEX(ERP資料!$G:$G, (MATCH(795, 輔助計算!$G$2:$G$801, 0)+1))&lt;=31,3,IF(INDEX(ERP資料!$G:$G, (MATCH(795, 輔助計算!$G$2:$G$801, 0)+1))&lt;=46.5,2,1)), IF(INDEX(ERP資料!$G:$G, (MATCH(795, 輔助計算!$G$2:$G$801, 0)+1))&lt;=790,3,IF(INDEX(ERP資料!$G:$G, (MATCH(795, 輔助計算!$G$2:$G$801, 0)+1))&lt;=1181,2,1))))=1,TEXT(INDEX(ERP資料!$G:$G, (MATCH(795, 輔助計算!$G$2:$G$801, 0)+1)),"0.##"),IF(MOD(INDEX(輔助計算!$D:$D, (MATCH(795, 輔助計算!$G$2:$G$801, 0)+1)),IF(INDEX(ERP資料!$G:$G, (MATCH(795, 輔助計算!$G$2:$G$801, 0)+1))&lt;100, IF(INDEX(ERP資料!$G:$G, (MATCH(795, 輔助計算!$G$2:$G$801, 0)+1))&lt;=31,3,IF(INDEX(ERP資料!$G:$G, (MATCH(795, 輔助計算!$G$2:$G$801, 0)+1))&lt;=46.5,2,1)), IF(INDEX(ERP資料!$G:$G, (MATCH(795, 輔助計算!$G$2:$G$801, 0)+1))&lt;=790,3,IF(INDEX(ERP資料!$G:$G, (MATCH(795, 輔助計算!$G$2:$G$801, 0)+1))&lt;=1181,2,1))))=2,TEXT(INDEX(ERP資料!$G:$G, (MATCH(795, 輔助計算!$G$2:$G$801, 0)+1)),"0.##")&amp;"+"&amp;TEXT(INDEX(ERP資料!$G:$G, (MATCH(795, 輔助計算!$G$2:$G$801, 0)+1)),"0.##"),TEXT(INDEX(ERP資料!$G:$G, (MATCH(795, 輔助計算!$G$2:$G$801, 0)+1)),"0.##")&amp;"+"&amp;TEXT(INDEX(ERP資料!$G:$G, (MATCH(795, 輔助計算!$G$2:$G$801, 0)+1)),"0.##")&amp;"+"&amp;TEXT(INDEX(ERP資料!$G:$G, (MATCH(795, 輔助計算!$G$2:$G$801, 0)+1)),"0.##"))))&amp;"-1")&lt;&gt;""),"  ","")&amp;IF(MOD(INDEX(輔助計算!$D:$D, (MATCH(795, 輔助計算!$G$2:$G$801, 0)+1)),IF(INDEX(ERP資料!$G:$G, (MATCH(795, 輔助計算!$G$2:$G$801, 0)+1))&lt;100, IF(INDEX(ERP資料!$G:$G, (MATCH(795, 輔助計算!$G$2:$G$801, 0)+1))&lt;=31,3,IF(INDEX(ERP資料!$G:$G, (MATCH(795, 輔助計算!$G$2:$G$801, 0)+1))&lt;=46.5,2,1)), IF(INDEX(ERP資料!$G:$G, (MATCH(795, 輔助計算!$G$2:$G$801, 0)+1))&lt;=790,3,IF(INDEX(ERP資料!$G:$G, (MATCH(795, 輔助計算!$G$2:$G$801, 0)+1))&lt;=1181,2,1))))=0,"",IF(MOD(INDEX(輔助計算!$D:$D, (MATCH(795, 輔助計算!$G$2:$G$801, 0)+1)),IF(INDEX(ERP資料!$G:$G, (MATCH(795, 輔助計算!$G$2:$G$801, 0)+1))&lt;100, IF(INDEX(ERP資料!$G:$G, (MATCH(795, 輔助計算!$G$2:$G$801, 0)+1))&lt;=31,3,IF(INDEX(ERP資料!$G:$G, (MATCH(795, 輔助計算!$G$2:$G$801, 0)+1))&lt;=46.5,2,1)), IF(INDEX(ERP資料!$G:$G, (MATCH(795, 輔助計算!$G$2:$G$801, 0)+1))&lt;=790,3,IF(INDEX(ERP資料!$G:$G, (MATCH(795, 輔助計算!$G$2:$G$801, 0)+1))&lt;=1181,2,1))))=0,"",IF(MOD(INDEX(輔助計算!$D:$D, (MATCH(795, 輔助計算!$G$2:$G$801, 0)+1)),IF(INDEX(ERP資料!$G:$G, (MATCH(795, 輔助計算!$G$2:$G$801, 0)+1))&lt;100, IF(INDEX(ERP資料!$G:$G, (MATCH(795, 輔助計算!$G$2:$G$801, 0)+1))&lt;=31,3,IF(INDEX(ERP資料!$G:$G, (MATCH(795, 輔助計算!$G$2:$G$801, 0)+1))&lt;=46.5,2,1)), IF(INDEX(ERP資料!$G:$G, (MATCH(795, 輔助計算!$G$2:$G$801, 0)+1))&lt;=790,3,IF(INDEX(ERP資料!$G:$G, (MATCH(795, 輔助計算!$G$2:$G$801, 0)+1))&lt;=1181,2,1))))=1,TEXT(INDEX(ERP資料!$G:$G, (MATCH(795, 輔助計算!$G$2:$G$801, 0)+1)),"0.##"),IF(MOD(INDEX(輔助計算!$D:$D, (MATCH(795, 輔助計算!$G$2:$G$801, 0)+1)),IF(INDEX(ERP資料!$G:$G, (MATCH(795, 輔助計算!$G$2:$G$801, 0)+1))&lt;100, IF(INDEX(ERP資料!$G:$G, (MATCH(795, 輔助計算!$G$2:$G$801, 0)+1))&lt;=31,3,IF(INDEX(ERP資料!$G:$G, (MATCH(795, 輔助計算!$G$2:$G$801, 0)+1))&lt;=46.5,2,1)), IF(INDEX(ERP資料!$G:$G, (MATCH(795, 輔助計算!$G$2:$G$801, 0)+1))&lt;=790,3,IF(INDEX(ERP資料!$G:$G, (MATCH(795, 輔助計算!$G$2:$G$801, 0)+1))&lt;=1181,2,1))))=2,TEXT(INDEX(ERP資料!$G:$G, (MATCH(795, 輔助計算!$G$2:$G$801, 0)+1)),"0.##")&amp;"+"&amp;TEXT(INDEX(ERP資料!$G:$G, (MATCH(795, 輔助計算!$G$2:$G$801, 0)+1)),"0.##"),TEXT(INDEX(ERP資料!$G:$G, (MATCH(795, 輔助計算!$G$2:$G$801, 0)+1)),"0.##")&amp;"+"&amp;TEXT(INDEX(ERP資料!$G:$G, (MATCH(795, 輔助計算!$G$2:$G$801, 0)+1)),"0.##")&amp;"+"&amp;TEXT(INDEX(ERP資料!$G:$G, (MATCH(795, 輔助計算!$G$2:$G$801, 0)+1)),"0.##"))))&amp;"-1")), ""), "")</f>
        <v/>
      </c>
      <c r="K796" s="16" t="n"/>
      <c r="L796" s="14">
        <f>IFERROR(IF(AND(IFERROR(INDEX(ERP資料!$A:$A, (MATCH(795, 輔助計算!$G$2:$G$801, 0)+1)), "")&lt;&gt;"", IFERROR(INDEX(ERP資料!$A:$A, (MATCH(795, 輔助計算!$G$2:$G$801, 0)+1)), "")&lt;&gt;IFERROR(INDEX(ERP資料!$A:$A, MATCH(794, 輔助計算!$G$2:$G$801, 0)+1), "")), INDEX(ERP資料!$B:$B, (MATCH(795, 輔助計算!$G$2:$G$801, 0)+1)), ""), "")</f>
        <v/>
      </c>
      <c r="M796" s="17" t="n"/>
    </row>
    <row r="797">
      <c r="A797" s="10">
        <f>IFERROR(IF(AND(IFERROR(INDEX(ERP資料!$A:$A, (MATCH(796, 輔助計算!$G$2:$G$801, 0)+1)), "")&lt;&gt;"", IFERROR(INDEX(ERP資料!$A:$A, (MATCH(796, 輔助計算!$G$2:$G$801, 0)+1)), "")&lt;&gt;IFERROR(INDEX(ERP資料!$A:$A, MATCH(795, 輔助計算!$G$2:$G$801, 0)+1), "")), IFERROR(INDEX(ERP資料!$A:$A, (MATCH(796, 輔助計算!$G$2:$G$801, 0)+1)), ""), ""), "")</f>
        <v/>
      </c>
      <c r="B797" s="10">
        <f>IFERROR(IF(AND(IFERROR(INDEX(ERP資料!$A:$A, (MATCH(796, 輔助計算!$G$2:$G$801, 0)+1)), "")&lt;&gt;"", IFERROR(INDEX(ERP資料!$A:$A, (MATCH(796, 輔助計算!$G$2:$G$801, 0)+1)), "")&lt;&gt;IFERROR(INDEX(ERP資料!$A:$A, MATCH(795, 輔助計算!$G$2:$G$801, 0)+1), "")), INDEX(ERP資料!$S:$S, (MATCH(796, 輔助計算!$G$2:$G$801, 0)+1)), ""), "")</f>
        <v/>
      </c>
      <c r="C797" s="19">
        <f>IFERROR(IF(AND(IFERROR(INDEX(ERP資料!$A:$A, (MATCH(796, 輔助計算!$G$2:$G$801, 0)+1)), "")&lt;&gt;"", IFERROR(INDEX(ERP資料!$A:$A, (MATCH(796, 輔助計算!$G$2:$G$801, 0)+1)), "")&lt;&gt;IFERROR(INDEX(ERP資料!$A:$A, MATCH(795, 輔助計算!$G$2:$G$801, 0)+1), "")), IFERROR(VLOOKUP(LEFT(INDEX(ERP資料!$S:$S, (MATCH(796, 輔助計算!$G$2:$G$801, 0)+1)), 4), 紙管對照表!$A:$C, 3, FALSE), ""), ""), "")</f>
        <v/>
      </c>
      <c r="D797" s="16" t="n"/>
      <c r="E797" s="10">
        <f>IFERROR(IF(INDEX(ERP資料!$H:$H, (MATCH(796, 輔助計算!$G$2:$G$801, 0)+1))="","",INDEX(ERP資料!$H:$H, (MATCH(796, 輔助計算!$G$2:$G$801, 0)+1))), "")</f>
        <v/>
      </c>
      <c r="F797" s="10">
        <f>IFERROR(IF(INDEX(ERP資料!$E:$E, (MATCH(796, 輔助計算!$G$2:$G$801, 0)+1))="","",TRIM(INDEX(ERP資料!$E:$E, (MATCH(796, 輔助計算!$G$2:$G$801, 0)+1)))), "")</f>
        <v/>
      </c>
      <c r="G797" s="10">
        <f>IFERROR(IF(INDEX(ERP資料!$F:$F, (MATCH(796, 輔助計算!$G$2:$G$801, 0)+1))="","",INDEX(ERP資料!$F:$F, (MATCH(796, 輔助計算!$G$2:$G$801, 0)+1))), "")</f>
        <v/>
      </c>
      <c r="H797" s="10">
        <f>IFERROR(IF(INDEX(ERP資料!$G:$G, (MATCH(796, 輔助計算!$G$2:$G$801, 0)+1))="","",INDEX(ERP資料!$G:$G, (MATCH(796, 輔助計算!$G$2:$G$801, 0)+1))), "")</f>
        <v/>
      </c>
      <c r="I797" s="15">
        <f>IFERROR(INDEX(輔助計算!$D:$D, (MATCH(796, 輔助計算!$G$2:$G$801, 0)+1)), "")</f>
        <v/>
      </c>
      <c r="J797" s="15">
        <f>IFERROR(IF(AND(INDEX(輔助計算!$D:$D, (MATCH(796, 輔助計算!$G$2:$G$801, 0)+1))&lt;&gt;"", INDEX(ERP資料!$G:$G, (MATCH(796, 輔助計算!$G$2:$G$801, 0)+1))&lt;&gt;""), TRIM(IF(INT(INDEX(輔助計算!$D:$D, (MATCH(796, 輔助計算!$G$2:$G$801, 0)+1))/IF(INDEX(ERP資料!$G:$G, (MATCH(796, 輔助計算!$G$2:$G$801, 0)+1))&lt;100, IF(INDEX(ERP資料!$G:$G, (MATCH(796, 輔助計算!$G$2:$G$801, 0)+1))&lt;=31,3,IF(INDEX(ERP資料!$G:$G, (MATCH(796, 輔助計算!$G$2:$G$801, 0)+1))&lt;=46.5,2,1)), IF(INDEX(ERP資料!$G:$G, (MATCH(796, 輔助計算!$G$2:$G$801, 0)+1))&lt;=790,3,IF(INDEX(ERP資料!$G:$G, (MATCH(796, 輔助計算!$G$2:$G$801, 0)+1))&lt;=1181,2,1))))&gt;0, IF(IF(INDEX(ERP資料!$G:$G, (MATCH(796, 輔助計算!$G$2:$G$801, 0)+1))&lt;100, IF(INDEX(ERP資料!$G:$G, (MATCH(796, 輔助計算!$G$2:$G$801, 0)+1))&lt;=31,3,IF(INDEX(ERP資料!$G:$G, (MATCH(796, 輔助計算!$G$2:$G$801, 0)+1))&lt;=46.5,2,1)), IF(INDEX(ERP資料!$G:$G, (MATCH(796, 輔助計算!$G$2:$G$801, 0)+1))&lt;=790,3,IF(INDEX(ERP資料!$G:$G, (MATCH(796, 輔助計算!$G$2:$G$801, 0)+1))&lt;=1181,2,1)))=1,TEXT(INDEX(ERP資料!$G:$G, (MATCH(796, 輔助計算!$G$2:$G$801, 0)+1)),"0.##"),IF(IF(INDEX(ERP資料!$G:$G, (MATCH(796, 輔助計算!$G$2:$G$801, 0)+1))&lt;100, IF(INDEX(ERP資料!$G:$G, (MATCH(796, 輔助計算!$G$2:$G$801, 0)+1))&lt;=31,3,IF(INDEX(ERP資料!$G:$G, (MATCH(796, 輔助計算!$G$2:$G$801, 0)+1))&lt;=46.5,2,1)), IF(INDEX(ERP資料!$G:$G, (MATCH(796, 輔助計算!$G$2:$G$801, 0)+1))&lt;=790,3,IF(INDEX(ERP資料!$G:$G, (MATCH(796, 輔助計算!$G$2:$G$801, 0)+1))&lt;=1181,2,1)))=2,TEXT(INDEX(ERP資料!$G:$G, (MATCH(796, 輔助計算!$G$2:$G$801, 0)+1)),"0.##")&amp;"+"&amp;TEXT(INDEX(ERP資料!$G:$G, (MATCH(796, 輔助計算!$G$2:$G$801, 0)+1)),"0.##"),TEXT(INDEX(ERP資料!$G:$G, (MATCH(796, 輔助計算!$G$2:$G$801, 0)+1)),"0.##")&amp;"+"&amp;TEXT(INDEX(ERP資料!$G:$G, (MATCH(796, 輔助計算!$G$2:$G$801, 0)+1)),"0.##")&amp;"+"&amp;TEXT(INDEX(ERP資料!$G:$G, (MATCH(796, 輔助計算!$G$2:$G$801, 0)+1)),"0.##")))&amp;"-"&amp;INT(INDEX(輔助計算!$D:$D, (MATCH(796, 輔助計算!$G$2:$G$801, 0)+1))/IF(INDEX(ERP資料!$G:$G, (MATCH(796, 輔助計算!$G$2:$G$801, 0)+1))&lt;100, IF(INDEX(ERP資料!$G:$G, (MATCH(796, 輔助計算!$G$2:$G$801, 0)+1))&lt;=31,3,IF(INDEX(ERP資料!$G:$G, (MATCH(796, 輔助計算!$G$2:$G$801, 0)+1))&lt;=46.5,2,1)), IF(INDEX(ERP資料!$G:$G, (MATCH(796, 輔助計算!$G$2:$G$801, 0)+1))&lt;=790,3,IF(INDEX(ERP資料!$G:$G, (MATCH(796, 輔助計算!$G$2:$G$801, 0)+1))&lt;=1181,2,1)))), "")&amp;IF(AND(IF(INT(INDEX(輔助計算!$D:$D, (MATCH(796, 輔助計算!$G$2:$G$801, 0)+1))/IF(INDEX(ERP資料!$G:$G, (MATCH(796, 輔助計算!$G$2:$G$801, 0)+1))&lt;100, IF(INDEX(ERP資料!$G:$G, (MATCH(796, 輔助計算!$G$2:$G$801, 0)+1))&lt;=31,3,IF(INDEX(ERP資料!$G:$G, (MATCH(796, 輔助計算!$G$2:$G$801, 0)+1))&lt;=46.5,2,1)), IF(INDEX(ERP資料!$G:$G, (MATCH(796, 輔助計算!$G$2:$G$801, 0)+1))&lt;=790,3,IF(INDEX(ERP資料!$G:$G, (MATCH(796, 輔助計算!$G$2:$G$801, 0)+1))&lt;=1181,2,1))))&gt;0, IF(IF(INDEX(ERP資料!$G:$G, (MATCH(796, 輔助計算!$G$2:$G$801, 0)+1))&lt;100, IF(INDEX(ERP資料!$G:$G, (MATCH(796, 輔助計算!$G$2:$G$801, 0)+1))&lt;=31,3,IF(INDEX(ERP資料!$G:$G, (MATCH(796, 輔助計算!$G$2:$G$801, 0)+1))&lt;=46.5,2,1)), IF(INDEX(ERP資料!$G:$G, (MATCH(796, 輔助計算!$G$2:$G$801, 0)+1))&lt;=790,3,IF(INDEX(ERP資料!$G:$G, (MATCH(796, 輔助計算!$G$2:$G$801, 0)+1))&lt;=1181,2,1)))=1,TEXT(INDEX(ERP資料!$G:$G, (MATCH(796, 輔助計算!$G$2:$G$801, 0)+1)),"0.##"),IF(IF(INDEX(ERP資料!$G:$G, (MATCH(796, 輔助計算!$G$2:$G$801, 0)+1))&lt;100, IF(INDEX(ERP資料!$G:$G, (MATCH(796, 輔助計算!$G$2:$G$801, 0)+1))&lt;=31,3,IF(INDEX(ERP資料!$G:$G, (MATCH(796, 輔助計算!$G$2:$G$801, 0)+1))&lt;=46.5,2,1)), IF(INDEX(ERP資料!$G:$G, (MATCH(796, 輔助計算!$G$2:$G$801, 0)+1))&lt;=790,3,IF(INDEX(ERP資料!$G:$G, (MATCH(796, 輔助計算!$G$2:$G$801, 0)+1))&lt;=1181,2,1)))=2,TEXT(INDEX(ERP資料!$G:$G, (MATCH(796, 輔助計算!$G$2:$G$801, 0)+1)),"0.##")&amp;"+"&amp;TEXT(INDEX(ERP資料!$G:$G, (MATCH(796, 輔助計算!$G$2:$G$801, 0)+1)),"0.##"),TEXT(INDEX(ERP資料!$G:$G, (MATCH(796, 輔助計算!$G$2:$G$801, 0)+1)),"0.##")&amp;"+"&amp;TEXT(INDEX(ERP資料!$G:$G, (MATCH(796, 輔助計算!$G$2:$G$801, 0)+1)),"0.##")&amp;"+"&amp;TEXT(INDEX(ERP資料!$G:$G, (MATCH(796, 輔助計算!$G$2:$G$801, 0)+1)),"0.##")))&amp;"-"&amp;INT(INDEX(輔助計算!$D:$D, (MATCH(796, 輔助計算!$G$2:$G$801, 0)+1))/IF(INDEX(ERP資料!$G:$G, (MATCH(796, 輔助計算!$G$2:$G$801, 0)+1))&lt;100, IF(INDEX(ERP資料!$G:$G, (MATCH(796, 輔助計算!$G$2:$G$801, 0)+1))&lt;=31,3,IF(INDEX(ERP資料!$G:$G, (MATCH(796, 輔助計算!$G$2:$G$801, 0)+1))&lt;=46.5,2,1)), IF(INDEX(ERP資料!$G:$G, (MATCH(796, 輔助計算!$G$2:$G$801, 0)+1))&lt;=790,3,IF(INDEX(ERP資料!$G:$G, (MATCH(796, 輔助計算!$G$2:$G$801, 0)+1))&lt;=1181,2,1)))), "")&lt;&gt;"",IF(MOD(INDEX(輔助計算!$D:$D, (MATCH(796, 輔助計算!$G$2:$G$801, 0)+1)),IF(INDEX(ERP資料!$G:$G, (MATCH(796, 輔助計算!$G$2:$G$801, 0)+1))&lt;100, IF(INDEX(ERP資料!$G:$G, (MATCH(796, 輔助計算!$G$2:$G$801, 0)+1))&lt;=31,3,IF(INDEX(ERP資料!$G:$G, (MATCH(796, 輔助計算!$G$2:$G$801, 0)+1))&lt;=46.5,2,1)), IF(INDEX(ERP資料!$G:$G, (MATCH(796, 輔助計算!$G$2:$G$801, 0)+1))&lt;=790,3,IF(INDEX(ERP資料!$G:$G, (MATCH(796, 輔助計算!$G$2:$G$801, 0)+1))&lt;=1181,2,1))))=0,"",IF(MOD(INDEX(輔助計算!$D:$D, (MATCH(796, 輔助計算!$G$2:$G$801, 0)+1)),IF(INDEX(ERP資料!$G:$G, (MATCH(796, 輔助計算!$G$2:$G$801, 0)+1))&lt;100, IF(INDEX(ERP資料!$G:$G, (MATCH(796, 輔助計算!$G$2:$G$801, 0)+1))&lt;=31,3,IF(INDEX(ERP資料!$G:$G, (MATCH(796, 輔助計算!$G$2:$G$801, 0)+1))&lt;=46.5,2,1)), IF(INDEX(ERP資料!$G:$G, (MATCH(796, 輔助計算!$G$2:$G$801, 0)+1))&lt;=790,3,IF(INDEX(ERP資料!$G:$G, (MATCH(796, 輔助計算!$G$2:$G$801, 0)+1))&lt;=1181,2,1))))=0,"",IF(MOD(INDEX(輔助計算!$D:$D, (MATCH(796, 輔助計算!$G$2:$G$801, 0)+1)),IF(INDEX(ERP資料!$G:$G, (MATCH(796, 輔助計算!$G$2:$G$801, 0)+1))&lt;100, IF(INDEX(ERP資料!$G:$G, (MATCH(796, 輔助計算!$G$2:$G$801, 0)+1))&lt;=31,3,IF(INDEX(ERP資料!$G:$G, (MATCH(796, 輔助計算!$G$2:$G$801, 0)+1))&lt;=46.5,2,1)), IF(INDEX(ERP資料!$G:$G, (MATCH(796, 輔助計算!$G$2:$G$801, 0)+1))&lt;=790,3,IF(INDEX(ERP資料!$G:$G, (MATCH(796, 輔助計算!$G$2:$G$801, 0)+1))&lt;=1181,2,1))))=1,TEXT(INDEX(ERP資料!$G:$G, (MATCH(796, 輔助計算!$G$2:$G$801, 0)+1)),"0.##"),IF(MOD(INDEX(輔助計算!$D:$D, (MATCH(796, 輔助計算!$G$2:$G$801, 0)+1)),IF(INDEX(ERP資料!$G:$G, (MATCH(796, 輔助計算!$G$2:$G$801, 0)+1))&lt;100, IF(INDEX(ERP資料!$G:$G, (MATCH(796, 輔助計算!$G$2:$G$801, 0)+1))&lt;=31,3,IF(INDEX(ERP資料!$G:$G, (MATCH(796, 輔助計算!$G$2:$G$801, 0)+1))&lt;=46.5,2,1)), IF(INDEX(ERP資料!$G:$G, (MATCH(796, 輔助計算!$G$2:$G$801, 0)+1))&lt;=790,3,IF(INDEX(ERP資料!$G:$G, (MATCH(796, 輔助計算!$G$2:$G$801, 0)+1))&lt;=1181,2,1))))=2,TEXT(INDEX(ERP資料!$G:$G, (MATCH(796, 輔助計算!$G$2:$G$801, 0)+1)),"0.##")&amp;"+"&amp;TEXT(INDEX(ERP資料!$G:$G, (MATCH(796, 輔助計算!$G$2:$G$801, 0)+1)),"0.##"),TEXT(INDEX(ERP資料!$G:$G, (MATCH(796, 輔助計算!$G$2:$G$801, 0)+1)),"0.##")&amp;"+"&amp;TEXT(INDEX(ERP資料!$G:$G, (MATCH(796, 輔助計算!$G$2:$G$801, 0)+1)),"0.##")&amp;"+"&amp;TEXT(INDEX(ERP資料!$G:$G, (MATCH(796, 輔助計算!$G$2:$G$801, 0)+1)),"0.##"))))&amp;"-1")&lt;&gt;""),"  ","")&amp;IF(MOD(INDEX(輔助計算!$D:$D, (MATCH(796, 輔助計算!$G$2:$G$801, 0)+1)),IF(INDEX(ERP資料!$G:$G, (MATCH(796, 輔助計算!$G$2:$G$801, 0)+1))&lt;100, IF(INDEX(ERP資料!$G:$G, (MATCH(796, 輔助計算!$G$2:$G$801, 0)+1))&lt;=31,3,IF(INDEX(ERP資料!$G:$G, (MATCH(796, 輔助計算!$G$2:$G$801, 0)+1))&lt;=46.5,2,1)), IF(INDEX(ERP資料!$G:$G, (MATCH(796, 輔助計算!$G$2:$G$801, 0)+1))&lt;=790,3,IF(INDEX(ERP資料!$G:$G, (MATCH(796, 輔助計算!$G$2:$G$801, 0)+1))&lt;=1181,2,1))))=0,"",IF(MOD(INDEX(輔助計算!$D:$D, (MATCH(796, 輔助計算!$G$2:$G$801, 0)+1)),IF(INDEX(ERP資料!$G:$G, (MATCH(796, 輔助計算!$G$2:$G$801, 0)+1))&lt;100, IF(INDEX(ERP資料!$G:$G, (MATCH(796, 輔助計算!$G$2:$G$801, 0)+1))&lt;=31,3,IF(INDEX(ERP資料!$G:$G, (MATCH(796, 輔助計算!$G$2:$G$801, 0)+1))&lt;=46.5,2,1)), IF(INDEX(ERP資料!$G:$G, (MATCH(796, 輔助計算!$G$2:$G$801, 0)+1))&lt;=790,3,IF(INDEX(ERP資料!$G:$G, (MATCH(796, 輔助計算!$G$2:$G$801, 0)+1))&lt;=1181,2,1))))=0,"",IF(MOD(INDEX(輔助計算!$D:$D, (MATCH(796, 輔助計算!$G$2:$G$801, 0)+1)),IF(INDEX(ERP資料!$G:$G, (MATCH(796, 輔助計算!$G$2:$G$801, 0)+1))&lt;100, IF(INDEX(ERP資料!$G:$G, (MATCH(796, 輔助計算!$G$2:$G$801, 0)+1))&lt;=31,3,IF(INDEX(ERP資料!$G:$G, (MATCH(796, 輔助計算!$G$2:$G$801, 0)+1))&lt;=46.5,2,1)), IF(INDEX(ERP資料!$G:$G, (MATCH(796, 輔助計算!$G$2:$G$801, 0)+1))&lt;=790,3,IF(INDEX(ERP資料!$G:$G, (MATCH(796, 輔助計算!$G$2:$G$801, 0)+1))&lt;=1181,2,1))))=1,TEXT(INDEX(ERP資料!$G:$G, (MATCH(796, 輔助計算!$G$2:$G$801, 0)+1)),"0.##"),IF(MOD(INDEX(輔助計算!$D:$D, (MATCH(796, 輔助計算!$G$2:$G$801, 0)+1)),IF(INDEX(ERP資料!$G:$G, (MATCH(796, 輔助計算!$G$2:$G$801, 0)+1))&lt;100, IF(INDEX(ERP資料!$G:$G, (MATCH(796, 輔助計算!$G$2:$G$801, 0)+1))&lt;=31,3,IF(INDEX(ERP資料!$G:$G, (MATCH(796, 輔助計算!$G$2:$G$801, 0)+1))&lt;=46.5,2,1)), IF(INDEX(ERP資料!$G:$G, (MATCH(796, 輔助計算!$G$2:$G$801, 0)+1))&lt;=790,3,IF(INDEX(ERP資料!$G:$G, (MATCH(796, 輔助計算!$G$2:$G$801, 0)+1))&lt;=1181,2,1))))=2,TEXT(INDEX(ERP資料!$G:$G, (MATCH(796, 輔助計算!$G$2:$G$801, 0)+1)),"0.##")&amp;"+"&amp;TEXT(INDEX(ERP資料!$G:$G, (MATCH(796, 輔助計算!$G$2:$G$801, 0)+1)),"0.##"),TEXT(INDEX(ERP資料!$G:$G, (MATCH(796, 輔助計算!$G$2:$G$801, 0)+1)),"0.##")&amp;"+"&amp;TEXT(INDEX(ERP資料!$G:$G, (MATCH(796, 輔助計算!$G$2:$G$801, 0)+1)),"0.##")&amp;"+"&amp;TEXT(INDEX(ERP資料!$G:$G, (MATCH(796, 輔助計算!$G$2:$G$801, 0)+1)),"0.##"))))&amp;"-1")), ""), "")</f>
        <v/>
      </c>
      <c r="K797" s="16" t="n"/>
      <c r="L797" s="14">
        <f>IFERROR(IF(AND(IFERROR(INDEX(ERP資料!$A:$A, (MATCH(796, 輔助計算!$G$2:$G$801, 0)+1)), "")&lt;&gt;"", IFERROR(INDEX(ERP資料!$A:$A, (MATCH(796, 輔助計算!$G$2:$G$801, 0)+1)), "")&lt;&gt;IFERROR(INDEX(ERP資料!$A:$A, MATCH(795, 輔助計算!$G$2:$G$801, 0)+1), "")), INDEX(ERP資料!$B:$B, (MATCH(796, 輔助計算!$G$2:$G$801, 0)+1)), ""), "")</f>
        <v/>
      </c>
      <c r="M797" s="17" t="n"/>
    </row>
    <row r="798">
      <c r="A798" s="10">
        <f>IFERROR(IF(AND(IFERROR(INDEX(ERP資料!$A:$A, (MATCH(797, 輔助計算!$G$2:$G$801, 0)+1)), "")&lt;&gt;"", IFERROR(INDEX(ERP資料!$A:$A, (MATCH(797, 輔助計算!$G$2:$G$801, 0)+1)), "")&lt;&gt;IFERROR(INDEX(ERP資料!$A:$A, MATCH(796, 輔助計算!$G$2:$G$801, 0)+1), "")), IFERROR(INDEX(ERP資料!$A:$A, (MATCH(797, 輔助計算!$G$2:$G$801, 0)+1)), ""), ""), "")</f>
        <v/>
      </c>
      <c r="B798" s="10">
        <f>IFERROR(IF(AND(IFERROR(INDEX(ERP資料!$A:$A, (MATCH(797, 輔助計算!$G$2:$G$801, 0)+1)), "")&lt;&gt;"", IFERROR(INDEX(ERP資料!$A:$A, (MATCH(797, 輔助計算!$G$2:$G$801, 0)+1)), "")&lt;&gt;IFERROR(INDEX(ERP資料!$A:$A, MATCH(796, 輔助計算!$G$2:$G$801, 0)+1), "")), INDEX(ERP資料!$S:$S, (MATCH(797, 輔助計算!$G$2:$G$801, 0)+1)), ""), "")</f>
        <v/>
      </c>
      <c r="C798" s="19">
        <f>IFERROR(IF(AND(IFERROR(INDEX(ERP資料!$A:$A, (MATCH(797, 輔助計算!$G$2:$G$801, 0)+1)), "")&lt;&gt;"", IFERROR(INDEX(ERP資料!$A:$A, (MATCH(797, 輔助計算!$G$2:$G$801, 0)+1)), "")&lt;&gt;IFERROR(INDEX(ERP資料!$A:$A, MATCH(796, 輔助計算!$G$2:$G$801, 0)+1), "")), IFERROR(VLOOKUP(LEFT(INDEX(ERP資料!$S:$S, (MATCH(797, 輔助計算!$G$2:$G$801, 0)+1)), 4), 紙管對照表!$A:$C, 3, FALSE), ""), ""), "")</f>
        <v/>
      </c>
      <c r="D798" s="16" t="n"/>
      <c r="E798" s="10">
        <f>IFERROR(IF(INDEX(ERP資料!$H:$H, (MATCH(797, 輔助計算!$G$2:$G$801, 0)+1))="","",INDEX(ERP資料!$H:$H, (MATCH(797, 輔助計算!$G$2:$G$801, 0)+1))), "")</f>
        <v/>
      </c>
      <c r="F798" s="10">
        <f>IFERROR(IF(INDEX(ERP資料!$E:$E, (MATCH(797, 輔助計算!$G$2:$G$801, 0)+1))="","",TRIM(INDEX(ERP資料!$E:$E, (MATCH(797, 輔助計算!$G$2:$G$801, 0)+1)))), "")</f>
        <v/>
      </c>
      <c r="G798" s="10">
        <f>IFERROR(IF(INDEX(ERP資料!$F:$F, (MATCH(797, 輔助計算!$G$2:$G$801, 0)+1))="","",INDEX(ERP資料!$F:$F, (MATCH(797, 輔助計算!$G$2:$G$801, 0)+1))), "")</f>
        <v/>
      </c>
      <c r="H798" s="10">
        <f>IFERROR(IF(INDEX(ERP資料!$G:$G, (MATCH(797, 輔助計算!$G$2:$G$801, 0)+1))="","",INDEX(ERP資料!$G:$G, (MATCH(797, 輔助計算!$G$2:$G$801, 0)+1))), "")</f>
        <v/>
      </c>
      <c r="I798" s="15">
        <f>IFERROR(INDEX(輔助計算!$D:$D, (MATCH(797, 輔助計算!$G$2:$G$801, 0)+1)), "")</f>
        <v/>
      </c>
      <c r="J798" s="15">
        <f>IFERROR(IF(AND(INDEX(輔助計算!$D:$D, (MATCH(797, 輔助計算!$G$2:$G$801, 0)+1))&lt;&gt;"", INDEX(ERP資料!$G:$G, (MATCH(797, 輔助計算!$G$2:$G$801, 0)+1))&lt;&gt;""), TRIM(IF(INT(INDEX(輔助計算!$D:$D, (MATCH(797, 輔助計算!$G$2:$G$801, 0)+1))/IF(INDEX(ERP資料!$G:$G, (MATCH(797, 輔助計算!$G$2:$G$801, 0)+1))&lt;100, IF(INDEX(ERP資料!$G:$G, (MATCH(797, 輔助計算!$G$2:$G$801, 0)+1))&lt;=31,3,IF(INDEX(ERP資料!$G:$G, (MATCH(797, 輔助計算!$G$2:$G$801, 0)+1))&lt;=46.5,2,1)), IF(INDEX(ERP資料!$G:$G, (MATCH(797, 輔助計算!$G$2:$G$801, 0)+1))&lt;=790,3,IF(INDEX(ERP資料!$G:$G, (MATCH(797, 輔助計算!$G$2:$G$801, 0)+1))&lt;=1181,2,1))))&gt;0, IF(IF(INDEX(ERP資料!$G:$G, (MATCH(797, 輔助計算!$G$2:$G$801, 0)+1))&lt;100, IF(INDEX(ERP資料!$G:$G, (MATCH(797, 輔助計算!$G$2:$G$801, 0)+1))&lt;=31,3,IF(INDEX(ERP資料!$G:$G, (MATCH(797, 輔助計算!$G$2:$G$801, 0)+1))&lt;=46.5,2,1)), IF(INDEX(ERP資料!$G:$G, (MATCH(797, 輔助計算!$G$2:$G$801, 0)+1))&lt;=790,3,IF(INDEX(ERP資料!$G:$G, (MATCH(797, 輔助計算!$G$2:$G$801, 0)+1))&lt;=1181,2,1)))=1,TEXT(INDEX(ERP資料!$G:$G, (MATCH(797, 輔助計算!$G$2:$G$801, 0)+1)),"0.##"),IF(IF(INDEX(ERP資料!$G:$G, (MATCH(797, 輔助計算!$G$2:$G$801, 0)+1))&lt;100, IF(INDEX(ERP資料!$G:$G, (MATCH(797, 輔助計算!$G$2:$G$801, 0)+1))&lt;=31,3,IF(INDEX(ERP資料!$G:$G, (MATCH(797, 輔助計算!$G$2:$G$801, 0)+1))&lt;=46.5,2,1)), IF(INDEX(ERP資料!$G:$G, (MATCH(797, 輔助計算!$G$2:$G$801, 0)+1))&lt;=790,3,IF(INDEX(ERP資料!$G:$G, (MATCH(797, 輔助計算!$G$2:$G$801, 0)+1))&lt;=1181,2,1)))=2,TEXT(INDEX(ERP資料!$G:$G, (MATCH(797, 輔助計算!$G$2:$G$801, 0)+1)),"0.##")&amp;"+"&amp;TEXT(INDEX(ERP資料!$G:$G, (MATCH(797, 輔助計算!$G$2:$G$801, 0)+1)),"0.##"),TEXT(INDEX(ERP資料!$G:$G, (MATCH(797, 輔助計算!$G$2:$G$801, 0)+1)),"0.##")&amp;"+"&amp;TEXT(INDEX(ERP資料!$G:$G, (MATCH(797, 輔助計算!$G$2:$G$801, 0)+1)),"0.##")&amp;"+"&amp;TEXT(INDEX(ERP資料!$G:$G, (MATCH(797, 輔助計算!$G$2:$G$801, 0)+1)),"0.##")))&amp;"-"&amp;INT(INDEX(輔助計算!$D:$D, (MATCH(797, 輔助計算!$G$2:$G$801, 0)+1))/IF(INDEX(ERP資料!$G:$G, (MATCH(797, 輔助計算!$G$2:$G$801, 0)+1))&lt;100, IF(INDEX(ERP資料!$G:$G, (MATCH(797, 輔助計算!$G$2:$G$801, 0)+1))&lt;=31,3,IF(INDEX(ERP資料!$G:$G, (MATCH(797, 輔助計算!$G$2:$G$801, 0)+1))&lt;=46.5,2,1)), IF(INDEX(ERP資料!$G:$G, (MATCH(797, 輔助計算!$G$2:$G$801, 0)+1))&lt;=790,3,IF(INDEX(ERP資料!$G:$G, (MATCH(797, 輔助計算!$G$2:$G$801, 0)+1))&lt;=1181,2,1)))), "")&amp;IF(AND(IF(INT(INDEX(輔助計算!$D:$D, (MATCH(797, 輔助計算!$G$2:$G$801, 0)+1))/IF(INDEX(ERP資料!$G:$G, (MATCH(797, 輔助計算!$G$2:$G$801, 0)+1))&lt;100, IF(INDEX(ERP資料!$G:$G, (MATCH(797, 輔助計算!$G$2:$G$801, 0)+1))&lt;=31,3,IF(INDEX(ERP資料!$G:$G, (MATCH(797, 輔助計算!$G$2:$G$801, 0)+1))&lt;=46.5,2,1)), IF(INDEX(ERP資料!$G:$G, (MATCH(797, 輔助計算!$G$2:$G$801, 0)+1))&lt;=790,3,IF(INDEX(ERP資料!$G:$G, (MATCH(797, 輔助計算!$G$2:$G$801, 0)+1))&lt;=1181,2,1))))&gt;0, IF(IF(INDEX(ERP資料!$G:$G, (MATCH(797, 輔助計算!$G$2:$G$801, 0)+1))&lt;100, IF(INDEX(ERP資料!$G:$G, (MATCH(797, 輔助計算!$G$2:$G$801, 0)+1))&lt;=31,3,IF(INDEX(ERP資料!$G:$G, (MATCH(797, 輔助計算!$G$2:$G$801, 0)+1))&lt;=46.5,2,1)), IF(INDEX(ERP資料!$G:$G, (MATCH(797, 輔助計算!$G$2:$G$801, 0)+1))&lt;=790,3,IF(INDEX(ERP資料!$G:$G, (MATCH(797, 輔助計算!$G$2:$G$801, 0)+1))&lt;=1181,2,1)))=1,TEXT(INDEX(ERP資料!$G:$G, (MATCH(797, 輔助計算!$G$2:$G$801, 0)+1)),"0.##"),IF(IF(INDEX(ERP資料!$G:$G, (MATCH(797, 輔助計算!$G$2:$G$801, 0)+1))&lt;100, IF(INDEX(ERP資料!$G:$G, (MATCH(797, 輔助計算!$G$2:$G$801, 0)+1))&lt;=31,3,IF(INDEX(ERP資料!$G:$G, (MATCH(797, 輔助計算!$G$2:$G$801, 0)+1))&lt;=46.5,2,1)), IF(INDEX(ERP資料!$G:$G, (MATCH(797, 輔助計算!$G$2:$G$801, 0)+1))&lt;=790,3,IF(INDEX(ERP資料!$G:$G, (MATCH(797, 輔助計算!$G$2:$G$801, 0)+1))&lt;=1181,2,1)))=2,TEXT(INDEX(ERP資料!$G:$G, (MATCH(797, 輔助計算!$G$2:$G$801, 0)+1)),"0.##")&amp;"+"&amp;TEXT(INDEX(ERP資料!$G:$G, (MATCH(797, 輔助計算!$G$2:$G$801, 0)+1)),"0.##"),TEXT(INDEX(ERP資料!$G:$G, (MATCH(797, 輔助計算!$G$2:$G$801, 0)+1)),"0.##")&amp;"+"&amp;TEXT(INDEX(ERP資料!$G:$G, (MATCH(797, 輔助計算!$G$2:$G$801, 0)+1)),"0.##")&amp;"+"&amp;TEXT(INDEX(ERP資料!$G:$G, (MATCH(797, 輔助計算!$G$2:$G$801, 0)+1)),"0.##")))&amp;"-"&amp;INT(INDEX(輔助計算!$D:$D, (MATCH(797, 輔助計算!$G$2:$G$801, 0)+1))/IF(INDEX(ERP資料!$G:$G, (MATCH(797, 輔助計算!$G$2:$G$801, 0)+1))&lt;100, IF(INDEX(ERP資料!$G:$G, (MATCH(797, 輔助計算!$G$2:$G$801, 0)+1))&lt;=31,3,IF(INDEX(ERP資料!$G:$G, (MATCH(797, 輔助計算!$G$2:$G$801, 0)+1))&lt;=46.5,2,1)), IF(INDEX(ERP資料!$G:$G, (MATCH(797, 輔助計算!$G$2:$G$801, 0)+1))&lt;=790,3,IF(INDEX(ERP資料!$G:$G, (MATCH(797, 輔助計算!$G$2:$G$801, 0)+1))&lt;=1181,2,1)))), "")&lt;&gt;"",IF(MOD(INDEX(輔助計算!$D:$D, (MATCH(797, 輔助計算!$G$2:$G$801, 0)+1)),IF(INDEX(ERP資料!$G:$G, (MATCH(797, 輔助計算!$G$2:$G$801, 0)+1))&lt;100, IF(INDEX(ERP資料!$G:$G, (MATCH(797, 輔助計算!$G$2:$G$801, 0)+1))&lt;=31,3,IF(INDEX(ERP資料!$G:$G, (MATCH(797, 輔助計算!$G$2:$G$801, 0)+1))&lt;=46.5,2,1)), IF(INDEX(ERP資料!$G:$G, (MATCH(797, 輔助計算!$G$2:$G$801, 0)+1))&lt;=790,3,IF(INDEX(ERP資料!$G:$G, (MATCH(797, 輔助計算!$G$2:$G$801, 0)+1))&lt;=1181,2,1))))=0,"",IF(MOD(INDEX(輔助計算!$D:$D, (MATCH(797, 輔助計算!$G$2:$G$801, 0)+1)),IF(INDEX(ERP資料!$G:$G, (MATCH(797, 輔助計算!$G$2:$G$801, 0)+1))&lt;100, IF(INDEX(ERP資料!$G:$G, (MATCH(797, 輔助計算!$G$2:$G$801, 0)+1))&lt;=31,3,IF(INDEX(ERP資料!$G:$G, (MATCH(797, 輔助計算!$G$2:$G$801, 0)+1))&lt;=46.5,2,1)), IF(INDEX(ERP資料!$G:$G, (MATCH(797, 輔助計算!$G$2:$G$801, 0)+1))&lt;=790,3,IF(INDEX(ERP資料!$G:$G, (MATCH(797, 輔助計算!$G$2:$G$801, 0)+1))&lt;=1181,2,1))))=0,"",IF(MOD(INDEX(輔助計算!$D:$D, (MATCH(797, 輔助計算!$G$2:$G$801, 0)+1)),IF(INDEX(ERP資料!$G:$G, (MATCH(797, 輔助計算!$G$2:$G$801, 0)+1))&lt;100, IF(INDEX(ERP資料!$G:$G, (MATCH(797, 輔助計算!$G$2:$G$801, 0)+1))&lt;=31,3,IF(INDEX(ERP資料!$G:$G, (MATCH(797, 輔助計算!$G$2:$G$801, 0)+1))&lt;=46.5,2,1)), IF(INDEX(ERP資料!$G:$G, (MATCH(797, 輔助計算!$G$2:$G$801, 0)+1))&lt;=790,3,IF(INDEX(ERP資料!$G:$G, (MATCH(797, 輔助計算!$G$2:$G$801, 0)+1))&lt;=1181,2,1))))=1,TEXT(INDEX(ERP資料!$G:$G, (MATCH(797, 輔助計算!$G$2:$G$801, 0)+1)),"0.##"),IF(MOD(INDEX(輔助計算!$D:$D, (MATCH(797, 輔助計算!$G$2:$G$801, 0)+1)),IF(INDEX(ERP資料!$G:$G, (MATCH(797, 輔助計算!$G$2:$G$801, 0)+1))&lt;100, IF(INDEX(ERP資料!$G:$G, (MATCH(797, 輔助計算!$G$2:$G$801, 0)+1))&lt;=31,3,IF(INDEX(ERP資料!$G:$G, (MATCH(797, 輔助計算!$G$2:$G$801, 0)+1))&lt;=46.5,2,1)), IF(INDEX(ERP資料!$G:$G, (MATCH(797, 輔助計算!$G$2:$G$801, 0)+1))&lt;=790,3,IF(INDEX(ERP資料!$G:$G, (MATCH(797, 輔助計算!$G$2:$G$801, 0)+1))&lt;=1181,2,1))))=2,TEXT(INDEX(ERP資料!$G:$G, (MATCH(797, 輔助計算!$G$2:$G$801, 0)+1)),"0.##")&amp;"+"&amp;TEXT(INDEX(ERP資料!$G:$G, (MATCH(797, 輔助計算!$G$2:$G$801, 0)+1)),"0.##"),TEXT(INDEX(ERP資料!$G:$G, (MATCH(797, 輔助計算!$G$2:$G$801, 0)+1)),"0.##")&amp;"+"&amp;TEXT(INDEX(ERP資料!$G:$G, (MATCH(797, 輔助計算!$G$2:$G$801, 0)+1)),"0.##")&amp;"+"&amp;TEXT(INDEX(ERP資料!$G:$G, (MATCH(797, 輔助計算!$G$2:$G$801, 0)+1)),"0.##"))))&amp;"-1")&lt;&gt;""),"  ","")&amp;IF(MOD(INDEX(輔助計算!$D:$D, (MATCH(797, 輔助計算!$G$2:$G$801, 0)+1)),IF(INDEX(ERP資料!$G:$G, (MATCH(797, 輔助計算!$G$2:$G$801, 0)+1))&lt;100, IF(INDEX(ERP資料!$G:$G, (MATCH(797, 輔助計算!$G$2:$G$801, 0)+1))&lt;=31,3,IF(INDEX(ERP資料!$G:$G, (MATCH(797, 輔助計算!$G$2:$G$801, 0)+1))&lt;=46.5,2,1)), IF(INDEX(ERP資料!$G:$G, (MATCH(797, 輔助計算!$G$2:$G$801, 0)+1))&lt;=790,3,IF(INDEX(ERP資料!$G:$G, (MATCH(797, 輔助計算!$G$2:$G$801, 0)+1))&lt;=1181,2,1))))=0,"",IF(MOD(INDEX(輔助計算!$D:$D, (MATCH(797, 輔助計算!$G$2:$G$801, 0)+1)),IF(INDEX(ERP資料!$G:$G, (MATCH(797, 輔助計算!$G$2:$G$801, 0)+1))&lt;100, IF(INDEX(ERP資料!$G:$G, (MATCH(797, 輔助計算!$G$2:$G$801, 0)+1))&lt;=31,3,IF(INDEX(ERP資料!$G:$G, (MATCH(797, 輔助計算!$G$2:$G$801, 0)+1))&lt;=46.5,2,1)), IF(INDEX(ERP資料!$G:$G, (MATCH(797, 輔助計算!$G$2:$G$801, 0)+1))&lt;=790,3,IF(INDEX(ERP資料!$G:$G, (MATCH(797, 輔助計算!$G$2:$G$801, 0)+1))&lt;=1181,2,1))))=0,"",IF(MOD(INDEX(輔助計算!$D:$D, (MATCH(797, 輔助計算!$G$2:$G$801, 0)+1)),IF(INDEX(ERP資料!$G:$G, (MATCH(797, 輔助計算!$G$2:$G$801, 0)+1))&lt;100, IF(INDEX(ERP資料!$G:$G, (MATCH(797, 輔助計算!$G$2:$G$801, 0)+1))&lt;=31,3,IF(INDEX(ERP資料!$G:$G, (MATCH(797, 輔助計算!$G$2:$G$801, 0)+1))&lt;=46.5,2,1)), IF(INDEX(ERP資料!$G:$G, (MATCH(797, 輔助計算!$G$2:$G$801, 0)+1))&lt;=790,3,IF(INDEX(ERP資料!$G:$G, (MATCH(797, 輔助計算!$G$2:$G$801, 0)+1))&lt;=1181,2,1))))=1,TEXT(INDEX(ERP資料!$G:$G, (MATCH(797, 輔助計算!$G$2:$G$801, 0)+1)),"0.##"),IF(MOD(INDEX(輔助計算!$D:$D, (MATCH(797, 輔助計算!$G$2:$G$801, 0)+1)),IF(INDEX(ERP資料!$G:$G, (MATCH(797, 輔助計算!$G$2:$G$801, 0)+1))&lt;100, IF(INDEX(ERP資料!$G:$G, (MATCH(797, 輔助計算!$G$2:$G$801, 0)+1))&lt;=31,3,IF(INDEX(ERP資料!$G:$G, (MATCH(797, 輔助計算!$G$2:$G$801, 0)+1))&lt;=46.5,2,1)), IF(INDEX(ERP資料!$G:$G, (MATCH(797, 輔助計算!$G$2:$G$801, 0)+1))&lt;=790,3,IF(INDEX(ERP資料!$G:$G, (MATCH(797, 輔助計算!$G$2:$G$801, 0)+1))&lt;=1181,2,1))))=2,TEXT(INDEX(ERP資料!$G:$G, (MATCH(797, 輔助計算!$G$2:$G$801, 0)+1)),"0.##")&amp;"+"&amp;TEXT(INDEX(ERP資料!$G:$G, (MATCH(797, 輔助計算!$G$2:$G$801, 0)+1)),"0.##"),TEXT(INDEX(ERP資料!$G:$G, (MATCH(797, 輔助計算!$G$2:$G$801, 0)+1)),"0.##")&amp;"+"&amp;TEXT(INDEX(ERP資料!$G:$G, (MATCH(797, 輔助計算!$G$2:$G$801, 0)+1)),"0.##")&amp;"+"&amp;TEXT(INDEX(ERP資料!$G:$G, (MATCH(797, 輔助計算!$G$2:$G$801, 0)+1)),"0.##"))))&amp;"-1")), ""), "")</f>
        <v/>
      </c>
      <c r="K798" s="16" t="n"/>
      <c r="L798" s="14">
        <f>IFERROR(IF(AND(IFERROR(INDEX(ERP資料!$A:$A, (MATCH(797, 輔助計算!$G$2:$G$801, 0)+1)), "")&lt;&gt;"", IFERROR(INDEX(ERP資料!$A:$A, (MATCH(797, 輔助計算!$G$2:$G$801, 0)+1)), "")&lt;&gt;IFERROR(INDEX(ERP資料!$A:$A, MATCH(796, 輔助計算!$G$2:$G$801, 0)+1), "")), INDEX(ERP資料!$B:$B, (MATCH(797, 輔助計算!$G$2:$G$801, 0)+1)), ""), "")</f>
        <v/>
      </c>
      <c r="M798" s="17" t="n"/>
    </row>
    <row r="799">
      <c r="A799" s="10">
        <f>IFERROR(IF(AND(IFERROR(INDEX(ERP資料!$A:$A, (MATCH(798, 輔助計算!$G$2:$G$801, 0)+1)), "")&lt;&gt;"", IFERROR(INDEX(ERP資料!$A:$A, (MATCH(798, 輔助計算!$G$2:$G$801, 0)+1)), "")&lt;&gt;IFERROR(INDEX(ERP資料!$A:$A, MATCH(797, 輔助計算!$G$2:$G$801, 0)+1), "")), IFERROR(INDEX(ERP資料!$A:$A, (MATCH(798, 輔助計算!$G$2:$G$801, 0)+1)), ""), ""), "")</f>
        <v/>
      </c>
      <c r="B799" s="10">
        <f>IFERROR(IF(AND(IFERROR(INDEX(ERP資料!$A:$A, (MATCH(798, 輔助計算!$G$2:$G$801, 0)+1)), "")&lt;&gt;"", IFERROR(INDEX(ERP資料!$A:$A, (MATCH(798, 輔助計算!$G$2:$G$801, 0)+1)), "")&lt;&gt;IFERROR(INDEX(ERP資料!$A:$A, MATCH(797, 輔助計算!$G$2:$G$801, 0)+1), "")), INDEX(ERP資料!$S:$S, (MATCH(798, 輔助計算!$G$2:$G$801, 0)+1)), ""), "")</f>
        <v/>
      </c>
      <c r="C799" s="19">
        <f>IFERROR(IF(AND(IFERROR(INDEX(ERP資料!$A:$A, (MATCH(798, 輔助計算!$G$2:$G$801, 0)+1)), "")&lt;&gt;"", IFERROR(INDEX(ERP資料!$A:$A, (MATCH(798, 輔助計算!$G$2:$G$801, 0)+1)), "")&lt;&gt;IFERROR(INDEX(ERP資料!$A:$A, MATCH(797, 輔助計算!$G$2:$G$801, 0)+1), "")), IFERROR(VLOOKUP(LEFT(INDEX(ERP資料!$S:$S, (MATCH(798, 輔助計算!$G$2:$G$801, 0)+1)), 4), 紙管對照表!$A:$C, 3, FALSE), ""), ""), "")</f>
        <v/>
      </c>
      <c r="D799" s="16" t="n"/>
      <c r="E799" s="10">
        <f>IFERROR(IF(INDEX(ERP資料!$H:$H, (MATCH(798, 輔助計算!$G$2:$G$801, 0)+1))="","",INDEX(ERP資料!$H:$H, (MATCH(798, 輔助計算!$G$2:$G$801, 0)+1))), "")</f>
        <v/>
      </c>
      <c r="F799" s="10">
        <f>IFERROR(IF(INDEX(ERP資料!$E:$E, (MATCH(798, 輔助計算!$G$2:$G$801, 0)+1))="","",TRIM(INDEX(ERP資料!$E:$E, (MATCH(798, 輔助計算!$G$2:$G$801, 0)+1)))), "")</f>
        <v/>
      </c>
      <c r="G799" s="10">
        <f>IFERROR(IF(INDEX(ERP資料!$F:$F, (MATCH(798, 輔助計算!$G$2:$G$801, 0)+1))="","",INDEX(ERP資料!$F:$F, (MATCH(798, 輔助計算!$G$2:$G$801, 0)+1))), "")</f>
        <v/>
      </c>
      <c r="H799" s="10">
        <f>IFERROR(IF(INDEX(ERP資料!$G:$G, (MATCH(798, 輔助計算!$G$2:$G$801, 0)+1))="","",INDEX(ERP資料!$G:$G, (MATCH(798, 輔助計算!$G$2:$G$801, 0)+1))), "")</f>
        <v/>
      </c>
      <c r="I799" s="15">
        <f>IFERROR(INDEX(輔助計算!$D:$D, (MATCH(798, 輔助計算!$G$2:$G$801, 0)+1)), "")</f>
        <v/>
      </c>
      <c r="J799" s="15">
        <f>IFERROR(IF(AND(INDEX(輔助計算!$D:$D, (MATCH(798, 輔助計算!$G$2:$G$801, 0)+1))&lt;&gt;"", INDEX(ERP資料!$G:$G, (MATCH(798, 輔助計算!$G$2:$G$801, 0)+1))&lt;&gt;""), TRIM(IF(INT(INDEX(輔助計算!$D:$D, (MATCH(798, 輔助計算!$G$2:$G$801, 0)+1))/IF(INDEX(ERP資料!$G:$G, (MATCH(798, 輔助計算!$G$2:$G$801, 0)+1))&lt;100, IF(INDEX(ERP資料!$G:$G, (MATCH(798, 輔助計算!$G$2:$G$801, 0)+1))&lt;=31,3,IF(INDEX(ERP資料!$G:$G, (MATCH(798, 輔助計算!$G$2:$G$801, 0)+1))&lt;=46.5,2,1)), IF(INDEX(ERP資料!$G:$G, (MATCH(798, 輔助計算!$G$2:$G$801, 0)+1))&lt;=790,3,IF(INDEX(ERP資料!$G:$G, (MATCH(798, 輔助計算!$G$2:$G$801, 0)+1))&lt;=1181,2,1))))&gt;0, IF(IF(INDEX(ERP資料!$G:$G, (MATCH(798, 輔助計算!$G$2:$G$801, 0)+1))&lt;100, IF(INDEX(ERP資料!$G:$G, (MATCH(798, 輔助計算!$G$2:$G$801, 0)+1))&lt;=31,3,IF(INDEX(ERP資料!$G:$G, (MATCH(798, 輔助計算!$G$2:$G$801, 0)+1))&lt;=46.5,2,1)), IF(INDEX(ERP資料!$G:$G, (MATCH(798, 輔助計算!$G$2:$G$801, 0)+1))&lt;=790,3,IF(INDEX(ERP資料!$G:$G, (MATCH(798, 輔助計算!$G$2:$G$801, 0)+1))&lt;=1181,2,1)))=1,TEXT(INDEX(ERP資料!$G:$G, (MATCH(798, 輔助計算!$G$2:$G$801, 0)+1)),"0.##"),IF(IF(INDEX(ERP資料!$G:$G, (MATCH(798, 輔助計算!$G$2:$G$801, 0)+1))&lt;100, IF(INDEX(ERP資料!$G:$G, (MATCH(798, 輔助計算!$G$2:$G$801, 0)+1))&lt;=31,3,IF(INDEX(ERP資料!$G:$G, (MATCH(798, 輔助計算!$G$2:$G$801, 0)+1))&lt;=46.5,2,1)), IF(INDEX(ERP資料!$G:$G, (MATCH(798, 輔助計算!$G$2:$G$801, 0)+1))&lt;=790,3,IF(INDEX(ERP資料!$G:$G, (MATCH(798, 輔助計算!$G$2:$G$801, 0)+1))&lt;=1181,2,1)))=2,TEXT(INDEX(ERP資料!$G:$G, (MATCH(798, 輔助計算!$G$2:$G$801, 0)+1)),"0.##")&amp;"+"&amp;TEXT(INDEX(ERP資料!$G:$G, (MATCH(798, 輔助計算!$G$2:$G$801, 0)+1)),"0.##"),TEXT(INDEX(ERP資料!$G:$G, (MATCH(798, 輔助計算!$G$2:$G$801, 0)+1)),"0.##")&amp;"+"&amp;TEXT(INDEX(ERP資料!$G:$G, (MATCH(798, 輔助計算!$G$2:$G$801, 0)+1)),"0.##")&amp;"+"&amp;TEXT(INDEX(ERP資料!$G:$G, (MATCH(798, 輔助計算!$G$2:$G$801, 0)+1)),"0.##")))&amp;"-"&amp;INT(INDEX(輔助計算!$D:$D, (MATCH(798, 輔助計算!$G$2:$G$801, 0)+1))/IF(INDEX(ERP資料!$G:$G, (MATCH(798, 輔助計算!$G$2:$G$801, 0)+1))&lt;100, IF(INDEX(ERP資料!$G:$G, (MATCH(798, 輔助計算!$G$2:$G$801, 0)+1))&lt;=31,3,IF(INDEX(ERP資料!$G:$G, (MATCH(798, 輔助計算!$G$2:$G$801, 0)+1))&lt;=46.5,2,1)), IF(INDEX(ERP資料!$G:$G, (MATCH(798, 輔助計算!$G$2:$G$801, 0)+1))&lt;=790,3,IF(INDEX(ERP資料!$G:$G, (MATCH(798, 輔助計算!$G$2:$G$801, 0)+1))&lt;=1181,2,1)))), "")&amp;IF(AND(IF(INT(INDEX(輔助計算!$D:$D, (MATCH(798, 輔助計算!$G$2:$G$801, 0)+1))/IF(INDEX(ERP資料!$G:$G, (MATCH(798, 輔助計算!$G$2:$G$801, 0)+1))&lt;100, IF(INDEX(ERP資料!$G:$G, (MATCH(798, 輔助計算!$G$2:$G$801, 0)+1))&lt;=31,3,IF(INDEX(ERP資料!$G:$G, (MATCH(798, 輔助計算!$G$2:$G$801, 0)+1))&lt;=46.5,2,1)), IF(INDEX(ERP資料!$G:$G, (MATCH(798, 輔助計算!$G$2:$G$801, 0)+1))&lt;=790,3,IF(INDEX(ERP資料!$G:$G, (MATCH(798, 輔助計算!$G$2:$G$801, 0)+1))&lt;=1181,2,1))))&gt;0, IF(IF(INDEX(ERP資料!$G:$G, (MATCH(798, 輔助計算!$G$2:$G$801, 0)+1))&lt;100, IF(INDEX(ERP資料!$G:$G, (MATCH(798, 輔助計算!$G$2:$G$801, 0)+1))&lt;=31,3,IF(INDEX(ERP資料!$G:$G, (MATCH(798, 輔助計算!$G$2:$G$801, 0)+1))&lt;=46.5,2,1)), IF(INDEX(ERP資料!$G:$G, (MATCH(798, 輔助計算!$G$2:$G$801, 0)+1))&lt;=790,3,IF(INDEX(ERP資料!$G:$G, (MATCH(798, 輔助計算!$G$2:$G$801, 0)+1))&lt;=1181,2,1)))=1,TEXT(INDEX(ERP資料!$G:$G, (MATCH(798, 輔助計算!$G$2:$G$801, 0)+1)),"0.##"),IF(IF(INDEX(ERP資料!$G:$G, (MATCH(798, 輔助計算!$G$2:$G$801, 0)+1))&lt;100, IF(INDEX(ERP資料!$G:$G, (MATCH(798, 輔助計算!$G$2:$G$801, 0)+1))&lt;=31,3,IF(INDEX(ERP資料!$G:$G, (MATCH(798, 輔助計算!$G$2:$G$801, 0)+1))&lt;=46.5,2,1)), IF(INDEX(ERP資料!$G:$G, (MATCH(798, 輔助計算!$G$2:$G$801, 0)+1))&lt;=790,3,IF(INDEX(ERP資料!$G:$G, (MATCH(798, 輔助計算!$G$2:$G$801, 0)+1))&lt;=1181,2,1)))=2,TEXT(INDEX(ERP資料!$G:$G, (MATCH(798, 輔助計算!$G$2:$G$801, 0)+1)),"0.##")&amp;"+"&amp;TEXT(INDEX(ERP資料!$G:$G, (MATCH(798, 輔助計算!$G$2:$G$801, 0)+1)),"0.##"),TEXT(INDEX(ERP資料!$G:$G, (MATCH(798, 輔助計算!$G$2:$G$801, 0)+1)),"0.##")&amp;"+"&amp;TEXT(INDEX(ERP資料!$G:$G, (MATCH(798, 輔助計算!$G$2:$G$801, 0)+1)),"0.##")&amp;"+"&amp;TEXT(INDEX(ERP資料!$G:$G, (MATCH(798, 輔助計算!$G$2:$G$801, 0)+1)),"0.##")))&amp;"-"&amp;INT(INDEX(輔助計算!$D:$D, (MATCH(798, 輔助計算!$G$2:$G$801, 0)+1))/IF(INDEX(ERP資料!$G:$G, (MATCH(798, 輔助計算!$G$2:$G$801, 0)+1))&lt;100, IF(INDEX(ERP資料!$G:$G, (MATCH(798, 輔助計算!$G$2:$G$801, 0)+1))&lt;=31,3,IF(INDEX(ERP資料!$G:$G, (MATCH(798, 輔助計算!$G$2:$G$801, 0)+1))&lt;=46.5,2,1)), IF(INDEX(ERP資料!$G:$G, (MATCH(798, 輔助計算!$G$2:$G$801, 0)+1))&lt;=790,3,IF(INDEX(ERP資料!$G:$G, (MATCH(798, 輔助計算!$G$2:$G$801, 0)+1))&lt;=1181,2,1)))), "")&lt;&gt;"",IF(MOD(INDEX(輔助計算!$D:$D, (MATCH(798, 輔助計算!$G$2:$G$801, 0)+1)),IF(INDEX(ERP資料!$G:$G, (MATCH(798, 輔助計算!$G$2:$G$801, 0)+1))&lt;100, IF(INDEX(ERP資料!$G:$G, (MATCH(798, 輔助計算!$G$2:$G$801, 0)+1))&lt;=31,3,IF(INDEX(ERP資料!$G:$G, (MATCH(798, 輔助計算!$G$2:$G$801, 0)+1))&lt;=46.5,2,1)), IF(INDEX(ERP資料!$G:$G, (MATCH(798, 輔助計算!$G$2:$G$801, 0)+1))&lt;=790,3,IF(INDEX(ERP資料!$G:$G, (MATCH(798, 輔助計算!$G$2:$G$801, 0)+1))&lt;=1181,2,1))))=0,"",IF(MOD(INDEX(輔助計算!$D:$D, (MATCH(798, 輔助計算!$G$2:$G$801, 0)+1)),IF(INDEX(ERP資料!$G:$G, (MATCH(798, 輔助計算!$G$2:$G$801, 0)+1))&lt;100, IF(INDEX(ERP資料!$G:$G, (MATCH(798, 輔助計算!$G$2:$G$801, 0)+1))&lt;=31,3,IF(INDEX(ERP資料!$G:$G, (MATCH(798, 輔助計算!$G$2:$G$801, 0)+1))&lt;=46.5,2,1)), IF(INDEX(ERP資料!$G:$G, (MATCH(798, 輔助計算!$G$2:$G$801, 0)+1))&lt;=790,3,IF(INDEX(ERP資料!$G:$G, (MATCH(798, 輔助計算!$G$2:$G$801, 0)+1))&lt;=1181,2,1))))=0,"",IF(MOD(INDEX(輔助計算!$D:$D, (MATCH(798, 輔助計算!$G$2:$G$801, 0)+1)),IF(INDEX(ERP資料!$G:$G, (MATCH(798, 輔助計算!$G$2:$G$801, 0)+1))&lt;100, IF(INDEX(ERP資料!$G:$G, (MATCH(798, 輔助計算!$G$2:$G$801, 0)+1))&lt;=31,3,IF(INDEX(ERP資料!$G:$G, (MATCH(798, 輔助計算!$G$2:$G$801, 0)+1))&lt;=46.5,2,1)), IF(INDEX(ERP資料!$G:$G, (MATCH(798, 輔助計算!$G$2:$G$801, 0)+1))&lt;=790,3,IF(INDEX(ERP資料!$G:$G, (MATCH(798, 輔助計算!$G$2:$G$801, 0)+1))&lt;=1181,2,1))))=1,TEXT(INDEX(ERP資料!$G:$G, (MATCH(798, 輔助計算!$G$2:$G$801, 0)+1)),"0.##"),IF(MOD(INDEX(輔助計算!$D:$D, (MATCH(798, 輔助計算!$G$2:$G$801, 0)+1)),IF(INDEX(ERP資料!$G:$G, (MATCH(798, 輔助計算!$G$2:$G$801, 0)+1))&lt;100, IF(INDEX(ERP資料!$G:$G, (MATCH(798, 輔助計算!$G$2:$G$801, 0)+1))&lt;=31,3,IF(INDEX(ERP資料!$G:$G, (MATCH(798, 輔助計算!$G$2:$G$801, 0)+1))&lt;=46.5,2,1)), IF(INDEX(ERP資料!$G:$G, (MATCH(798, 輔助計算!$G$2:$G$801, 0)+1))&lt;=790,3,IF(INDEX(ERP資料!$G:$G, (MATCH(798, 輔助計算!$G$2:$G$801, 0)+1))&lt;=1181,2,1))))=2,TEXT(INDEX(ERP資料!$G:$G, (MATCH(798, 輔助計算!$G$2:$G$801, 0)+1)),"0.##")&amp;"+"&amp;TEXT(INDEX(ERP資料!$G:$G, (MATCH(798, 輔助計算!$G$2:$G$801, 0)+1)),"0.##"),TEXT(INDEX(ERP資料!$G:$G, (MATCH(798, 輔助計算!$G$2:$G$801, 0)+1)),"0.##")&amp;"+"&amp;TEXT(INDEX(ERP資料!$G:$G, (MATCH(798, 輔助計算!$G$2:$G$801, 0)+1)),"0.##")&amp;"+"&amp;TEXT(INDEX(ERP資料!$G:$G, (MATCH(798, 輔助計算!$G$2:$G$801, 0)+1)),"0.##"))))&amp;"-1")&lt;&gt;""),"  ","")&amp;IF(MOD(INDEX(輔助計算!$D:$D, (MATCH(798, 輔助計算!$G$2:$G$801, 0)+1)),IF(INDEX(ERP資料!$G:$G, (MATCH(798, 輔助計算!$G$2:$G$801, 0)+1))&lt;100, IF(INDEX(ERP資料!$G:$G, (MATCH(798, 輔助計算!$G$2:$G$801, 0)+1))&lt;=31,3,IF(INDEX(ERP資料!$G:$G, (MATCH(798, 輔助計算!$G$2:$G$801, 0)+1))&lt;=46.5,2,1)), IF(INDEX(ERP資料!$G:$G, (MATCH(798, 輔助計算!$G$2:$G$801, 0)+1))&lt;=790,3,IF(INDEX(ERP資料!$G:$G, (MATCH(798, 輔助計算!$G$2:$G$801, 0)+1))&lt;=1181,2,1))))=0,"",IF(MOD(INDEX(輔助計算!$D:$D, (MATCH(798, 輔助計算!$G$2:$G$801, 0)+1)),IF(INDEX(ERP資料!$G:$G, (MATCH(798, 輔助計算!$G$2:$G$801, 0)+1))&lt;100, IF(INDEX(ERP資料!$G:$G, (MATCH(798, 輔助計算!$G$2:$G$801, 0)+1))&lt;=31,3,IF(INDEX(ERP資料!$G:$G, (MATCH(798, 輔助計算!$G$2:$G$801, 0)+1))&lt;=46.5,2,1)), IF(INDEX(ERP資料!$G:$G, (MATCH(798, 輔助計算!$G$2:$G$801, 0)+1))&lt;=790,3,IF(INDEX(ERP資料!$G:$G, (MATCH(798, 輔助計算!$G$2:$G$801, 0)+1))&lt;=1181,2,1))))=0,"",IF(MOD(INDEX(輔助計算!$D:$D, (MATCH(798, 輔助計算!$G$2:$G$801, 0)+1)),IF(INDEX(ERP資料!$G:$G, (MATCH(798, 輔助計算!$G$2:$G$801, 0)+1))&lt;100, IF(INDEX(ERP資料!$G:$G, (MATCH(798, 輔助計算!$G$2:$G$801, 0)+1))&lt;=31,3,IF(INDEX(ERP資料!$G:$G, (MATCH(798, 輔助計算!$G$2:$G$801, 0)+1))&lt;=46.5,2,1)), IF(INDEX(ERP資料!$G:$G, (MATCH(798, 輔助計算!$G$2:$G$801, 0)+1))&lt;=790,3,IF(INDEX(ERP資料!$G:$G, (MATCH(798, 輔助計算!$G$2:$G$801, 0)+1))&lt;=1181,2,1))))=1,TEXT(INDEX(ERP資料!$G:$G, (MATCH(798, 輔助計算!$G$2:$G$801, 0)+1)),"0.##"),IF(MOD(INDEX(輔助計算!$D:$D, (MATCH(798, 輔助計算!$G$2:$G$801, 0)+1)),IF(INDEX(ERP資料!$G:$G, (MATCH(798, 輔助計算!$G$2:$G$801, 0)+1))&lt;100, IF(INDEX(ERP資料!$G:$G, (MATCH(798, 輔助計算!$G$2:$G$801, 0)+1))&lt;=31,3,IF(INDEX(ERP資料!$G:$G, (MATCH(798, 輔助計算!$G$2:$G$801, 0)+1))&lt;=46.5,2,1)), IF(INDEX(ERP資料!$G:$G, (MATCH(798, 輔助計算!$G$2:$G$801, 0)+1))&lt;=790,3,IF(INDEX(ERP資料!$G:$G, (MATCH(798, 輔助計算!$G$2:$G$801, 0)+1))&lt;=1181,2,1))))=2,TEXT(INDEX(ERP資料!$G:$G, (MATCH(798, 輔助計算!$G$2:$G$801, 0)+1)),"0.##")&amp;"+"&amp;TEXT(INDEX(ERP資料!$G:$G, (MATCH(798, 輔助計算!$G$2:$G$801, 0)+1)),"0.##"),TEXT(INDEX(ERP資料!$G:$G, (MATCH(798, 輔助計算!$G$2:$G$801, 0)+1)),"0.##")&amp;"+"&amp;TEXT(INDEX(ERP資料!$G:$G, (MATCH(798, 輔助計算!$G$2:$G$801, 0)+1)),"0.##")&amp;"+"&amp;TEXT(INDEX(ERP資料!$G:$G, (MATCH(798, 輔助計算!$G$2:$G$801, 0)+1)),"0.##"))))&amp;"-1")), ""), "")</f>
        <v/>
      </c>
      <c r="K799" s="16" t="n"/>
      <c r="L799" s="14">
        <f>IFERROR(IF(AND(IFERROR(INDEX(ERP資料!$A:$A, (MATCH(798, 輔助計算!$G$2:$G$801, 0)+1)), "")&lt;&gt;"", IFERROR(INDEX(ERP資料!$A:$A, (MATCH(798, 輔助計算!$G$2:$G$801, 0)+1)), "")&lt;&gt;IFERROR(INDEX(ERP資料!$A:$A, MATCH(797, 輔助計算!$G$2:$G$801, 0)+1), "")), INDEX(ERP資料!$B:$B, (MATCH(798, 輔助計算!$G$2:$G$801, 0)+1)), ""), "")</f>
        <v/>
      </c>
      <c r="M799" s="17" t="n"/>
    </row>
    <row r="800">
      <c r="A800" s="10">
        <f>IFERROR(IF(AND(IFERROR(INDEX(ERP資料!$A:$A, (MATCH(799, 輔助計算!$G$2:$G$801, 0)+1)), "")&lt;&gt;"", IFERROR(INDEX(ERP資料!$A:$A, (MATCH(799, 輔助計算!$G$2:$G$801, 0)+1)), "")&lt;&gt;IFERROR(INDEX(ERP資料!$A:$A, MATCH(798, 輔助計算!$G$2:$G$801, 0)+1), "")), IFERROR(INDEX(ERP資料!$A:$A, (MATCH(799, 輔助計算!$G$2:$G$801, 0)+1)), ""), ""), "")</f>
        <v/>
      </c>
      <c r="B800" s="10">
        <f>IFERROR(IF(AND(IFERROR(INDEX(ERP資料!$A:$A, (MATCH(799, 輔助計算!$G$2:$G$801, 0)+1)), "")&lt;&gt;"", IFERROR(INDEX(ERP資料!$A:$A, (MATCH(799, 輔助計算!$G$2:$G$801, 0)+1)), "")&lt;&gt;IFERROR(INDEX(ERP資料!$A:$A, MATCH(798, 輔助計算!$G$2:$G$801, 0)+1), "")), INDEX(ERP資料!$S:$S, (MATCH(799, 輔助計算!$G$2:$G$801, 0)+1)), ""), "")</f>
        <v/>
      </c>
      <c r="C800" s="19">
        <f>IFERROR(IF(AND(IFERROR(INDEX(ERP資料!$A:$A, (MATCH(799, 輔助計算!$G$2:$G$801, 0)+1)), "")&lt;&gt;"", IFERROR(INDEX(ERP資料!$A:$A, (MATCH(799, 輔助計算!$G$2:$G$801, 0)+1)), "")&lt;&gt;IFERROR(INDEX(ERP資料!$A:$A, MATCH(798, 輔助計算!$G$2:$G$801, 0)+1), "")), IFERROR(VLOOKUP(LEFT(INDEX(ERP資料!$S:$S, (MATCH(799, 輔助計算!$G$2:$G$801, 0)+1)), 4), 紙管對照表!$A:$C, 3, FALSE), ""), ""), "")</f>
        <v/>
      </c>
      <c r="D800" s="16" t="n"/>
      <c r="E800" s="10">
        <f>IFERROR(IF(INDEX(ERP資料!$H:$H, (MATCH(799, 輔助計算!$G$2:$G$801, 0)+1))="","",INDEX(ERP資料!$H:$H, (MATCH(799, 輔助計算!$G$2:$G$801, 0)+1))), "")</f>
        <v/>
      </c>
      <c r="F800" s="10">
        <f>IFERROR(IF(INDEX(ERP資料!$E:$E, (MATCH(799, 輔助計算!$G$2:$G$801, 0)+1))="","",TRIM(INDEX(ERP資料!$E:$E, (MATCH(799, 輔助計算!$G$2:$G$801, 0)+1)))), "")</f>
        <v/>
      </c>
      <c r="G800" s="10">
        <f>IFERROR(IF(INDEX(ERP資料!$F:$F, (MATCH(799, 輔助計算!$G$2:$G$801, 0)+1))="","",INDEX(ERP資料!$F:$F, (MATCH(799, 輔助計算!$G$2:$G$801, 0)+1))), "")</f>
        <v/>
      </c>
      <c r="H800" s="10">
        <f>IFERROR(IF(INDEX(ERP資料!$G:$G, (MATCH(799, 輔助計算!$G$2:$G$801, 0)+1))="","",INDEX(ERP資料!$G:$G, (MATCH(799, 輔助計算!$G$2:$G$801, 0)+1))), "")</f>
        <v/>
      </c>
      <c r="I800" s="15">
        <f>IFERROR(INDEX(輔助計算!$D:$D, (MATCH(799, 輔助計算!$G$2:$G$801, 0)+1)), "")</f>
        <v/>
      </c>
      <c r="J800" s="15">
        <f>IFERROR(IF(AND(INDEX(輔助計算!$D:$D, (MATCH(799, 輔助計算!$G$2:$G$801, 0)+1))&lt;&gt;"", INDEX(ERP資料!$G:$G, (MATCH(799, 輔助計算!$G$2:$G$801, 0)+1))&lt;&gt;""), TRIM(IF(INT(INDEX(輔助計算!$D:$D, (MATCH(799, 輔助計算!$G$2:$G$801, 0)+1))/IF(INDEX(ERP資料!$G:$G, (MATCH(799, 輔助計算!$G$2:$G$801, 0)+1))&lt;100, IF(INDEX(ERP資料!$G:$G, (MATCH(799, 輔助計算!$G$2:$G$801, 0)+1))&lt;=31,3,IF(INDEX(ERP資料!$G:$G, (MATCH(799, 輔助計算!$G$2:$G$801, 0)+1))&lt;=46.5,2,1)), IF(INDEX(ERP資料!$G:$G, (MATCH(799, 輔助計算!$G$2:$G$801, 0)+1))&lt;=790,3,IF(INDEX(ERP資料!$G:$G, (MATCH(799, 輔助計算!$G$2:$G$801, 0)+1))&lt;=1181,2,1))))&gt;0, IF(IF(INDEX(ERP資料!$G:$G, (MATCH(799, 輔助計算!$G$2:$G$801, 0)+1))&lt;100, IF(INDEX(ERP資料!$G:$G, (MATCH(799, 輔助計算!$G$2:$G$801, 0)+1))&lt;=31,3,IF(INDEX(ERP資料!$G:$G, (MATCH(799, 輔助計算!$G$2:$G$801, 0)+1))&lt;=46.5,2,1)), IF(INDEX(ERP資料!$G:$G, (MATCH(799, 輔助計算!$G$2:$G$801, 0)+1))&lt;=790,3,IF(INDEX(ERP資料!$G:$G, (MATCH(799, 輔助計算!$G$2:$G$801, 0)+1))&lt;=1181,2,1)))=1,TEXT(INDEX(ERP資料!$G:$G, (MATCH(799, 輔助計算!$G$2:$G$801, 0)+1)),"0.##"),IF(IF(INDEX(ERP資料!$G:$G, (MATCH(799, 輔助計算!$G$2:$G$801, 0)+1))&lt;100, IF(INDEX(ERP資料!$G:$G, (MATCH(799, 輔助計算!$G$2:$G$801, 0)+1))&lt;=31,3,IF(INDEX(ERP資料!$G:$G, (MATCH(799, 輔助計算!$G$2:$G$801, 0)+1))&lt;=46.5,2,1)), IF(INDEX(ERP資料!$G:$G, (MATCH(799, 輔助計算!$G$2:$G$801, 0)+1))&lt;=790,3,IF(INDEX(ERP資料!$G:$G, (MATCH(799, 輔助計算!$G$2:$G$801, 0)+1))&lt;=1181,2,1)))=2,TEXT(INDEX(ERP資料!$G:$G, (MATCH(799, 輔助計算!$G$2:$G$801, 0)+1)),"0.##")&amp;"+"&amp;TEXT(INDEX(ERP資料!$G:$G, (MATCH(799, 輔助計算!$G$2:$G$801, 0)+1)),"0.##"),TEXT(INDEX(ERP資料!$G:$G, (MATCH(799, 輔助計算!$G$2:$G$801, 0)+1)),"0.##")&amp;"+"&amp;TEXT(INDEX(ERP資料!$G:$G, (MATCH(799, 輔助計算!$G$2:$G$801, 0)+1)),"0.##")&amp;"+"&amp;TEXT(INDEX(ERP資料!$G:$G, (MATCH(799, 輔助計算!$G$2:$G$801, 0)+1)),"0.##")))&amp;"-"&amp;INT(INDEX(輔助計算!$D:$D, (MATCH(799, 輔助計算!$G$2:$G$801, 0)+1))/IF(INDEX(ERP資料!$G:$G, (MATCH(799, 輔助計算!$G$2:$G$801, 0)+1))&lt;100, IF(INDEX(ERP資料!$G:$G, (MATCH(799, 輔助計算!$G$2:$G$801, 0)+1))&lt;=31,3,IF(INDEX(ERP資料!$G:$G, (MATCH(799, 輔助計算!$G$2:$G$801, 0)+1))&lt;=46.5,2,1)), IF(INDEX(ERP資料!$G:$G, (MATCH(799, 輔助計算!$G$2:$G$801, 0)+1))&lt;=790,3,IF(INDEX(ERP資料!$G:$G, (MATCH(799, 輔助計算!$G$2:$G$801, 0)+1))&lt;=1181,2,1)))), "")&amp;IF(AND(IF(INT(INDEX(輔助計算!$D:$D, (MATCH(799, 輔助計算!$G$2:$G$801, 0)+1))/IF(INDEX(ERP資料!$G:$G, (MATCH(799, 輔助計算!$G$2:$G$801, 0)+1))&lt;100, IF(INDEX(ERP資料!$G:$G, (MATCH(799, 輔助計算!$G$2:$G$801, 0)+1))&lt;=31,3,IF(INDEX(ERP資料!$G:$G, (MATCH(799, 輔助計算!$G$2:$G$801, 0)+1))&lt;=46.5,2,1)), IF(INDEX(ERP資料!$G:$G, (MATCH(799, 輔助計算!$G$2:$G$801, 0)+1))&lt;=790,3,IF(INDEX(ERP資料!$G:$G, (MATCH(799, 輔助計算!$G$2:$G$801, 0)+1))&lt;=1181,2,1))))&gt;0, IF(IF(INDEX(ERP資料!$G:$G, (MATCH(799, 輔助計算!$G$2:$G$801, 0)+1))&lt;100, IF(INDEX(ERP資料!$G:$G, (MATCH(799, 輔助計算!$G$2:$G$801, 0)+1))&lt;=31,3,IF(INDEX(ERP資料!$G:$G, (MATCH(799, 輔助計算!$G$2:$G$801, 0)+1))&lt;=46.5,2,1)), IF(INDEX(ERP資料!$G:$G, (MATCH(799, 輔助計算!$G$2:$G$801, 0)+1))&lt;=790,3,IF(INDEX(ERP資料!$G:$G, (MATCH(799, 輔助計算!$G$2:$G$801, 0)+1))&lt;=1181,2,1)))=1,TEXT(INDEX(ERP資料!$G:$G, (MATCH(799, 輔助計算!$G$2:$G$801, 0)+1)),"0.##"),IF(IF(INDEX(ERP資料!$G:$G, (MATCH(799, 輔助計算!$G$2:$G$801, 0)+1))&lt;100, IF(INDEX(ERP資料!$G:$G, (MATCH(799, 輔助計算!$G$2:$G$801, 0)+1))&lt;=31,3,IF(INDEX(ERP資料!$G:$G, (MATCH(799, 輔助計算!$G$2:$G$801, 0)+1))&lt;=46.5,2,1)), IF(INDEX(ERP資料!$G:$G, (MATCH(799, 輔助計算!$G$2:$G$801, 0)+1))&lt;=790,3,IF(INDEX(ERP資料!$G:$G, (MATCH(799, 輔助計算!$G$2:$G$801, 0)+1))&lt;=1181,2,1)))=2,TEXT(INDEX(ERP資料!$G:$G, (MATCH(799, 輔助計算!$G$2:$G$801, 0)+1)),"0.##")&amp;"+"&amp;TEXT(INDEX(ERP資料!$G:$G, (MATCH(799, 輔助計算!$G$2:$G$801, 0)+1)),"0.##"),TEXT(INDEX(ERP資料!$G:$G, (MATCH(799, 輔助計算!$G$2:$G$801, 0)+1)),"0.##")&amp;"+"&amp;TEXT(INDEX(ERP資料!$G:$G, (MATCH(799, 輔助計算!$G$2:$G$801, 0)+1)),"0.##")&amp;"+"&amp;TEXT(INDEX(ERP資料!$G:$G, (MATCH(799, 輔助計算!$G$2:$G$801, 0)+1)),"0.##")))&amp;"-"&amp;INT(INDEX(輔助計算!$D:$D, (MATCH(799, 輔助計算!$G$2:$G$801, 0)+1))/IF(INDEX(ERP資料!$G:$G, (MATCH(799, 輔助計算!$G$2:$G$801, 0)+1))&lt;100, IF(INDEX(ERP資料!$G:$G, (MATCH(799, 輔助計算!$G$2:$G$801, 0)+1))&lt;=31,3,IF(INDEX(ERP資料!$G:$G, (MATCH(799, 輔助計算!$G$2:$G$801, 0)+1))&lt;=46.5,2,1)), IF(INDEX(ERP資料!$G:$G, (MATCH(799, 輔助計算!$G$2:$G$801, 0)+1))&lt;=790,3,IF(INDEX(ERP資料!$G:$G, (MATCH(799, 輔助計算!$G$2:$G$801, 0)+1))&lt;=1181,2,1)))), "")&lt;&gt;"",IF(MOD(INDEX(輔助計算!$D:$D, (MATCH(799, 輔助計算!$G$2:$G$801, 0)+1)),IF(INDEX(ERP資料!$G:$G, (MATCH(799, 輔助計算!$G$2:$G$801, 0)+1))&lt;100, IF(INDEX(ERP資料!$G:$G, (MATCH(799, 輔助計算!$G$2:$G$801, 0)+1))&lt;=31,3,IF(INDEX(ERP資料!$G:$G, (MATCH(799, 輔助計算!$G$2:$G$801, 0)+1))&lt;=46.5,2,1)), IF(INDEX(ERP資料!$G:$G, (MATCH(799, 輔助計算!$G$2:$G$801, 0)+1))&lt;=790,3,IF(INDEX(ERP資料!$G:$G, (MATCH(799, 輔助計算!$G$2:$G$801, 0)+1))&lt;=1181,2,1))))=0,"",IF(MOD(INDEX(輔助計算!$D:$D, (MATCH(799, 輔助計算!$G$2:$G$801, 0)+1)),IF(INDEX(ERP資料!$G:$G, (MATCH(799, 輔助計算!$G$2:$G$801, 0)+1))&lt;100, IF(INDEX(ERP資料!$G:$G, (MATCH(799, 輔助計算!$G$2:$G$801, 0)+1))&lt;=31,3,IF(INDEX(ERP資料!$G:$G, (MATCH(799, 輔助計算!$G$2:$G$801, 0)+1))&lt;=46.5,2,1)), IF(INDEX(ERP資料!$G:$G, (MATCH(799, 輔助計算!$G$2:$G$801, 0)+1))&lt;=790,3,IF(INDEX(ERP資料!$G:$G, (MATCH(799, 輔助計算!$G$2:$G$801, 0)+1))&lt;=1181,2,1))))=0,"",IF(MOD(INDEX(輔助計算!$D:$D, (MATCH(799, 輔助計算!$G$2:$G$801, 0)+1)),IF(INDEX(ERP資料!$G:$G, (MATCH(799, 輔助計算!$G$2:$G$801, 0)+1))&lt;100, IF(INDEX(ERP資料!$G:$G, (MATCH(799, 輔助計算!$G$2:$G$801, 0)+1))&lt;=31,3,IF(INDEX(ERP資料!$G:$G, (MATCH(799, 輔助計算!$G$2:$G$801, 0)+1))&lt;=46.5,2,1)), IF(INDEX(ERP資料!$G:$G, (MATCH(799, 輔助計算!$G$2:$G$801, 0)+1))&lt;=790,3,IF(INDEX(ERP資料!$G:$G, (MATCH(799, 輔助計算!$G$2:$G$801, 0)+1))&lt;=1181,2,1))))=1,TEXT(INDEX(ERP資料!$G:$G, (MATCH(799, 輔助計算!$G$2:$G$801, 0)+1)),"0.##"),IF(MOD(INDEX(輔助計算!$D:$D, (MATCH(799, 輔助計算!$G$2:$G$801, 0)+1)),IF(INDEX(ERP資料!$G:$G, (MATCH(799, 輔助計算!$G$2:$G$801, 0)+1))&lt;100, IF(INDEX(ERP資料!$G:$G, (MATCH(799, 輔助計算!$G$2:$G$801, 0)+1))&lt;=31,3,IF(INDEX(ERP資料!$G:$G, (MATCH(799, 輔助計算!$G$2:$G$801, 0)+1))&lt;=46.5,2,1)), IF(INDEX(ERP資料!$G:$G, (MATCH(799, 輔助計算!$G$2:$G$801, 0)+1))&lt;=790,3,IF(INDEX(ERP資料!$G:$G, (MATCH(799, 輔助計算!$G$2:$G$801, 0)+1))&lt;=1181,2,1))))=2,TEXT(INDEX(ERP資料!$G:$G, (MATCH(799, 輔助計算!$G$2:$G$801, 0)+1)),"0.##")&amp;"+"&amp;TEXT(INDEX(ERP資料!$G:$G, (MATCH(799, 輔助計算!$G$2:$G$801, 0)+1)),"0.##"),TEXT(INDEX(ERP資料!$G:$G, (MATCH(799, 輔助計算!$G$2:$G$801, 0)+1)),"0.##")&amp;"+"&amp;TEXT(INDEX(ERP資料!$G:$G, (MATCH(799, 輔助計算!$G$2:$G$801, 0)+1)),"0.##")&amp;"+"&amp;TEXT(INDEX(ERP資料!$G:$G, (MATCH(799, 輔助計算!$G$2:$G$801, 0)+1)),"0.##"))))&amp;"-1")&lt;&gt;""),"  ","")&amp;IF(MOD(INDEX(輔助計算!$D:$D, (MATCH(799, 輔助計算!$G$2:$G$801, 0)+1)),IF(INDEX(ERP資料!$G:$G, (MATCH(799, 輔助計算!$G$2:$G$801, 0)+1))&lt;100, IF(INDEX(ERP資料!$G:$G, (MATCH(799, 輔助計算!$G$2:$G$801, 0)+1))&lt;=31,3,IF(INDEX(ERP資料!$G:$G, (MATCH(799, 輔助計算!$G$2:$G$801, 0)+1))&lt;=46.5,2,1)), IF(INDEX(ERP資料!$G:$G, (MATCH(799, 輔助計算!$G$2:$G$801, 0)+1))&lt;=790,3,IF(INDEX(ERP資料!$G:$G, (MATCH(799, 輔助計算!$G$2:$G$801, 0)+1))&lt;=1181,2,1))))=0,"",IF(MOD(INDEX(輔助計算!$D:$D, (MATCH(799, 輔助計算!$G$2:$G$801, 0)+1)),IF(INDEX(ERP資料!$G:$G, (MATCH(799, 輔助計算!$G$2:$G$801, 0)+1))&lt;100, IF(INDEX(ERP資料!$G:$G, (MATCH(799, 輔助計算!$G$2:$G$801, 0)+1))&lt;=31,3,IF(INDEX(ERP資料!$G:$G, (MATCH(799, 輔助計算!$G$2:$G$801, 0)+1))&lt;=46.5,2,1)), IF(INDEX(ERP資料!$G:$G, (MATCH(799, 輔助計算!$G$2:$G$801, 0)+1))&lt;=790,3,IF(INDEX(ERP資料!$G:$G, (MATCH(799, 輔助計算!$G$2:$G$801, 0)+1))&lt;=1181,2,1))))=0,"",IF(MOD(INDEX(輔助計算!$D:$D, (MATCH(799, 輔助計算!$G$2:$G$801, 0)+1)),IF(INDEX(ERP資料!$G:$G, (MATCH(799, 輔助計算!$G$2:$G$801, 0)+1))&lt;100, IF(INDEX(ERP資料!$G:$G, (MATCH(799, 輔助計算!$G$2:$G$801, 0)+1))&lt;=31,3,IF(INDEX(ERP資料!$G:$G, (MATCH(799, 輔助計算!$G$2:$G$801, 0)+1))&lt;=46.5,2,1)), IF(INDEX(ERP資料!$G:$G, (MATCH(799, 輔助計算!$G$2:$G$801, 0)+1))&lt;=790,3,IF(INDEX(ERP資料!$G:$G, (MATCH(799, 輔助計算!$G$2:$G$801, 0)+1))&lt;=1181,2,1))))=1,TEXT(INDEX(ERP資料!$G:$G, (MATCH(799, 輔助計算!$G$2:$G$801, 0)+1)),"0.##"),IF(MOD(INDEX(輔助計算!$D:$D, (MATCH(799, 輔助計算!$G$2:$G$801, 0)+1)),IF(INDEX(ERP資料!$G:$G, (MATCH(799, 輔助計算!$G$2:$G$801, 0)+1))&lt;100, IF(INDEX(ERP資料!$G:$G, (MATCH(799, 輔助計算!$G$2:$G$801, 0)+1))&lt;=31,3,IF(INDEX(ERP資料!$G:$G, (MATCH(799, 輔助計算!$G$2:$G$801, 0)+1))&lt;=46.5,2,1)), IF(INDEX(ERP資料!$G:$G, (MATCH(799, 輔助計算!$G$2:$G$801, 0)+1))&lt;=790,3,IF(INDEX(ERP資料!$G:$G, (MATCH(799, 輔助計算!$G$2:$G$801, 0)+1))&lt;=1181,2,1))))=2,TEXT(INDEX(ERP資料!$G:$G, (MATCH(799, 輔助計算!$G$2:$G$801, 0)+1)),"0.##")&amp;"+"&amp;TEXT(INDEX(ERP資料!$G:$G, (MATCH(799, 輔助計算!$G$2:$G$801, 0)+1)),"0.##"),TEXT(INDEX(ERP資料!$G:$G, (MATCH(799, 輔助計算!$G$2:$G$801, 0)+1)),"0.##")&amp;"+"&amp;TEXT(INDEX(ERP資料!$G:$G, (MATCH(799, 輔助計算!$G$2:$G$801, 0)+1)),"0.##")&amp;"+"&amp;TEXT(INDEX(ERP資料!$G:$G, (MATCH(799, 輔助計算!$G$2:$G$801, 0)+1)),"0.##"))))&amp;"-1")), ""), "")</f>
        <v/>
      </c>
      <c r="K800" s="16" t="n"/>
      <c r="L800" s="14">
        <f>IFERROR(IF(AND(IFERROR(INDEX(ERP資料!$A:$A, (MATCH(799, 輔助計算!$G$2:$G$801, 0)+1)), "")&lt;&gt;"", IFERROR(INDEX(ERP資料!$A:$A, (MATCH(799, 輔助計算!$G$2:$G$801, 0)+1)), "")&lt;&gt;IFERROR(INDEX(ERP資料!$A:$A, MATCH(798, 輔助計算!$G$2:$G$801, 0)+1), "")), INDEX(ERP資料!$B:$B, (MATCH(799, 輔助計算!$G$2:$G$801, 0)+1)), ""), "")</f>
        <v/>
      </c>
      <c r="M800" s="17" t="n"/>
    </row>
    <row r="801">
      <c r="A801" s="10">
        <f>IFERROR(IF(AND(IFERROR(INDEX(ERP資料!$A:$A, (MATCH(800, 輔助計算!$G$2:$G$801, 0)+1)), "")&lt;&gt;"", IFERROR(INDEX(ERP資料!$A:$A, (MATCH(800, 輔助計算!$G$2:$G$801, 0)+1)), "")&lt;&gt;IFERROR(INDEX(ERP資料!$A:$A, MATCH(799, 輔助計算!$G$2:$G$801, 0)+1), "")), IFERROR(INDEX(ERP資料!$A:$A, (MATCH(800, 輔助計算!$G$2:$G$801, 0)+1)), ""), ""), "")</f>
        <v/>
      </c>
      <c r="B801" s="10">
        <f>IFERROR(IF(AND(IFERROR(INDEX(ERP資料!$A:$A, (MATCH(800, 輔助計算!$G$2:$G$801, 0)+1)), "")&lt;&gt;"", IFERROR(INDEX(ERP資料!$A:$A, (MATCH(800, 輔助計算!$G$2:$G$801, 0)+1)), "")&lt;&gt;IFERROR(INDEX(ERP資料!$A:$A, MATCH(799, 輔助計算!$G$2:$G$801, 0)+1), "")), INDEX(ERP資料!$S:$S, (MATCH(800, 輔助計算!$G$2:$G$801, 0)+1)), ""), "")</f>
        <v/>
      </c>
      <c r="C801" s="19">
        <f>IFERROR(IF(AND(IFERROR(INDEX(ERP資料!$A:$A, (MATCH(800, 輔助計算!$G$2:$G$801, 0)+1)), "")&lt;&gt;"", IFERROR(INDEX(ERP資料!$A:$A, (MATCH(800, 輔助計算!$G$2:$G$801, 0)+1)), "")&lt;&gt;IFERROR(INDEX(ERP資料!$A:$A, MATCH(799, 輔助計算!$G$2:$G$801, 0)+1), "")), IFERROR(VLOOKUP(LEFT(INDEX(ERP資料!$S:$S, (MATCH(800, 輔助計算!$G$2:$G$801, 0)+1)), 4), 紙管對照表!$A:$C, 3, FALSE), ""), ""), "")</f>
        <v/>
      </c>
      <c r="D801" s="16" t="n"/>
      <c r="E801" s="10">
        <f>IFERROR(IF(INDEX(ERP資料!$H:$H, (MATCH(800, 輔助計算!$G$2:$G$801, 0)+1))="","",INDEX(ERP資料!$H:$H, (MATCH(800, 輔助計算!$G$2:$G$801, 0)+1))), "")</f>
        <v/>
      </c>
      <c r="F801" s="10">
        <f>IFERROR(IF(INDEX(ERP資料!$E:$E, (MATCH(800, 輔助計算!$G$2:$G$801, 0)+1))="","",TRIM(INDEX(ERP資料!$E:$E, (MATCH(800, 輔助計算!$G$2:$G$801, 0)+1)))), "")</f>
        <v/>
      </c>
      <c r="G801" s="10">
        <f>IFERROR(IF(INDEX(ERP資料!$F:$F, (MATCH(800, 輔助計算!$G$2:$G$801, 0)+1))="","",INDEX(ERP資料!$F:$F, (MATCH(800, 輔助計算!$G$2:$G$801, 0)+1))), "")</f>
        <v/>
      </c>
      <c r="H801" s="10">
        <f>IFERROR(IF(INDEX(ERP資料!$G:$G, (MATCH(800, 輔助計算!$G$2:$G$801, 0)+1))="","",INDEX(ERP資料!$G:$G, (MATCH(800, 輔助計算!$G$2:$G$801, 0)+1))), "")</f>
        <v/>
      </c>
      <c r="I801" s="15">
        <f>IFERROR(INDEX(輔助計算!$D:$D, (MATCH(800, 輔助計算!$G$2:$G$801, 0)+1)), "")</f>
        <v/>
      </c>
      <c r="J801" s="15">
        <f>IFERROR(IF(AND(INDEX(輔助計算!$D:$D, (MATCH(800, 輔助計算!$G$2:$G$801, 0)+1))&lt;&gt;"", INDEX(ERP資料!$G:$G, (MATCH(800, 輔助計算!$G$2:$G$801, 0)+1))&lt;&gt;""), TRIM(IF(INT(INDEX(輔助計算!$D:$D, (MATCH(800, 輔助計算!$G$2:$G$801, 0)+1))/IF(INDEX(ERP資料!$G:$G, (MATCH(800, 輔助計算!$G$2:$G$801, 0)+1))&lt;100, IF(INDEX(ERP資料!$G:$G, (MATCH(800, 輔助計算!$G$2:$G$801, 0)+1))&lt;=31,3,IF(INDEX(ERP資料!$G:$G, (MATCH(800, 輔助計算!$G$2:$G$801, 0)+1))&lt;=46.5,2,1)), IF(INDEX(ERP資料!$G:$G, (MATCH(800, 輔助計算!$G$2:$G$801, 0)+1))&lt;=790,3,IF(INDEX(ERP資料!$G:$G, (MATCH(800, 輔助計算!$G$2:$G$801, 0)+1))&lt;=1181,2,1))))&gt;0, IF(IF(INDEX(ERP資料!$G:$G, (MATCH(800, 輔助計算!$G$2:$G$801, 0)+1))&lt;100, IF(INDEX(ERP資料!$G:$G, (MATCH(800, 輔助計算!$G$2:$G$801, 0)+1))&lt;=31,3,IF(INDEX(ERP資料!$G:$G, (MATCH(800, 輔助計算!$G$2:$G$801, 0)+1))&lt;=46.5,2,1)), IF(INDEX(ERP資料!$G:$G, (MATCH(800, 輔助計算!$G$2:$G$801, 0)+1))&lt;=790,3,IF(INDEX(ERP資料!$G:$G, (MATCH(800, 輔助計算!$G$2:$G$801, 0)+1))&lt;=1181,2,1)))=1,TEXT(INDEX(ERP資料!$G:$G, (MATCH(800, 輔助計算!$G$2:$G$801, 0)+1)),"0.##"),IF(IF(INDEX(ERP資料!$G:$G, (MATCH(800, 輔助計算!$G$2:$G$801, 0)+1))&lt;100, IF(INDEX(ERP資料!$G:$G, (MATCH(800, 輔助計算!$G$2:$G$801, 0)+1))&lt;=31,3,IF(INDEX(ERP資料!$G:$G, (MATCH(800, 輔助計算!$G$2:$G$801, 0)+1))&lt;=46.5,2,1)), IF(INDEX(ERP資料!$G:$G, (MATCH(800, 輔助計算!$G$2:$G$801, 0)+1))&lt;=790,3,IF(INDEX(ERP資料!$G:$G, (MATCH(800, 輔助計算!$G$2:$G$801, 0)+1))&lt;=1181,2,1)))=2,TEXT(INDEX(ERP資料!$G:$G, (MATCH(800, 輔助計算!$G$2:$G$801, 0)+1)),"0.##")&amp;"+"&amp;TEXT(INDEX(ERP資料!$G:$G, (MATCH(800, 輔助計算!$G$2:$G$801, 0)+1)),"0.##"),TEXT(INDEX(ERP資料!$G:$G, (MATCH(800, 輔助計算!$G$2:$G$801, 0)+1)),"0.##")&amp;"+"&amp;TEXT(INDEX(ERP資料!$G:$G, (MATCH(800, 輔助計算!$G$2:$G$801, 0)+1)),"0.##")&amp;"+"&amp;TEXT(INDEX(ERP資料!$G:$G, (MATCH(800, 輔助計算!$G$2:$G$801, 0)+1)),"0.##")))&amp;"-"&amp;INT(INDEX(輔助計算!$D:$D, (MATCH(800, 輔助計算!$G$2:$G$801, 0)+1))/IF(INDEX(ERP資料!$G:$G, (MATCH(800, 輔助計算!$G$2:$G$801, 0)+1))&lt;100, IF(INDEX(ERP資料!$G:$G, (MATCH(800, 輔助計算!$G$2:$G$801, 0)+1))&lt;=31,3,IF(INDEX(ERP資料!$G:$G, (MATCH(800, 輔助計算!$G$2:$G$801, 0)+1))&lt;=46.5,2,1)), IF(INDEX(ERP資料!$G:$G, (MATCH(800, 輔助計算!$G$2:$G$801, 0)+1))&lt;=790,3,IF(INDEX(ERP資料!$G:$G, (MATCH(800, 輔助計算!$G$2:$G$801, 0)+1))&lt;=1181,2,1)))), "")&amp;IF(AND(IF(INT(INDEX(輔助計算!$D:$D, (MATCH(800, 輔助計算!$G$2:$G$801, 0)+1))/IF(INDEX(ERP資料!$G:$G, (MATCH(800, 輔助計算!$G$2:$G$801, 0)+1))&lt;100, IF(INDEX(ERP資料!$G:$G, (MATCH(800, 輔助計算!$G$2:$G$801, 0)+1))&lt;=31,3,IF(INDEX(ERP資料!$G:$G, (MATCH(800, 輔助計算!$G$2:$G$801, 0)+1))&lt;=46.5,2,1)), IF(INDEX(ERP資料!$G:$G, (MATCH(800, 輔助計算!$G$2:$G$801, 0)+1))&lt;=790,3,IF(INDEX(ERP資料!$G:$G, (MATCH(800, 輔助計算!$G$2:$G$801, 0)+1))&lt;=1181,2,1))))&gt;0, IF(IF(INDEX(ERP資料!$G:$G, (MATCH(800, 輔助計算!$G$2:$G$801, 0)+1))&lt;100, IF(INDEX(ERP資料!$G:$G, (MATCH(800, 輔助計算!$G$2:$G$801, 0)+1))&lt;=31,3,IF(INDEX(ERP資料!$G:$G, (MATCH(800, 輔助計算!$G$2:$G$801, 0)+1))&lt;=46.5,2,1)), IF(INDEX(ERP資料!$G:$G, (MATCH(800, 輔助計算!$G$2:$G$801, 0)+1))&lt;=790,3,IF(INDEX(ERP資料!$G:$G, (MATCH(800, 輔助計算!$G$2:$G$801, 0)+1))&lt;=1181,2,1)))=1,TEXT(INDEX(ERP資料!$G:$G, (MATCH(800, 輔助計算!$G$2:$G$801, 0)+1)),"0.##"),IF(IF(INDEX(ERP資料!$G:$G, (MATCH(800, 輔助計算!$G$2:$G$801, 0)+1))&lt;100, IF(INDEX(ERP資料!$G:$G, (MATCH(800, 輔助計算!$G$2:$G$801, 0)+1))&lt;=31,3,IF(INDEX(ERP資料!$G:$G, (MATCH(800, 輔助計算!$G$2:$G$801, 0)+1))&lt;=46.5,2,1)), IF(INDEX(ERP資料!$G:$G, (MATCH(800, 輔助計算!$G$2:$G$801, 0)+1))&lt;=790,3,IF(INDEX(ERP資料!$G:$G, (MATCH(800, 輔助計算!$G$2:$G$801, 0)+1))&lt;=1181,2,1)))=2,TEXT(INDEX(ERP資料!$G:$G, (MATCH(800, 輔助計算!$G$2:$G$801, 0)+1)),"0.##")&amp;"+"&amp;TEXT(INDEX(ERP資料!$G:$G, (MATCH(800, 輔助計算!$G$2:$G$801, 0)+1)),"0.##"),TEXT(INDEX(ERP資料!$G:$G, (MATCH(800, 輔助計算!$G$2:$G$801, 0)+1)),"0.##")&amp;"+"&amp;TEXT(INDEX(ERP資料!$G:$G, (MATCH(800, 輔助計算!$G$2:$G$801, 0)+1)),"0.##")&amp;"+"&amp;TEXT(INDEX(ERP資料!$G:$G, (MATCH(800, 輔助計算!$G$2:$G$801, 0)+1)),"0.##")))&amp;"-"&amp;INT(INDEX(輔助計算!$D:$D, (MATCH(800, 輔助計算!$G$2:$G$801, 0)+1))/IF(INDEX(ERP資料!$G:$G, (MATCH(800, 輔助計算!$G$2:$G$801, 0)+1))&lt;100, IF(INDEX(ERP資料!$G:$G, (MATCH(800, 輔助計算!$G$2:$G$801, 0)+1))&lt;=31,3,IF(INDEX(ERP資料!$G:$G, (MATCH(800, 輔助計算!$G$2:$G$801, 0)+1))&lt;=46.5,2,1)), IF(INDEX(ERP資料!$G:$G, (MATCH(800, 輔助計算!$G$2:$G$801, 0)+1))&lt;=790,3,IF(INDEX(ERP資料!$G:$G, (MATCH(800, 輔助計算!$G$2:$G$801, 0)+1))&lt;=1181,2,1)))), "")&lt;&gt;"",IF(MOD(INDEX(輔助計算!$D:$D, (MATCH(800, 輔助計算!$G$2:$G$801, 0)+1)),IF(INDEX(ERP資料!$G:$G, (MATCH(800, 輔助計算!$G$2:$G$801, 0)+1))&lt;100, IF(INDEX(ERP資料!$G:$G, (MATCH(800, 輔助計算!$G$2:$G$801, 0)+1))&lt;=31,3,IF(INDEX(ERP資料!$G:$G, (MATCH(800, 輔助計算!$G$2:$G$801, 0)+1))&lt;=46.5,2,1)), IF(INDEX(ERP資料!$G:$G, (MATCH(800, 輔助計算!$G$2:$G$801, 0)+1))&lt;=790,3,IF(INDEX(ERP資料!$G:$G, (MATCH(800, 輔助計算!$G$2:$G$801, 0)+1))&lt;=1181,2,1))))=0,"",IF(MOD(INDEX(輔助計算!$D:$D, (MATCH(800, 輔助計算!$G$2:$G$801, 0)+1)),IF(INDEX(ERP資料!$G:$G, (MATCH(800, 輔助計算!$G$2:$G$801, 0)+1))&lt;100, IF(INDEX(ERP資料!$G:$G, (MATCH(800, 輔助計算!$G$2:$G$801, 0)+1))&lt;=31,3,IF(INDEX(ERP資料!$G:$G, (MATCH(800, 輔助計算!$G$2:$G$801, 0)+1))&lt;=46.5,2,1)), IF(INDEX(ERP資料!$G:$G, (MATCH(800, 輔助計算!$G$2:$G$801, 0)+1))&lt;=790,3,IF(INDEX(ERP資料!$G:$G, (MATCH(800, 輔助計算!$G$2:$G$801, 0)+1))&lt;=1181,2,1))))=0,"",IF(MOD(INDEX(輔助計算!$D:$D, (MATCH(800, 輔助計算!$G$2:$G$801, 0)+1)),IF(INDEX(ERP資料!$G:$G, (MATCH(800, 輔助計算!$G$2:$G$801, 0)+1))&lt;100, IF(INDEX(ERP資料!$G:$G, (MATCH(800, 輔助計算!$G$2:$G$801, 0)+1))&lt;=31,3,IF(INDEX(ERP資料!$G:$G, (MATCH(800, 輔助計算!$G$2:$G$801, 0)+1))&lt;=46.5,2,1)), IF(INDEX(ERP資料!$G:$G, (MATCH(800, 輔助計算!$G$2:$G$801, 0)+1))&lt;=790,3,IF(INDEX(ERP資料!$G:$G, (MATCH(800, 輔助計算!$G$2:$G$801, 0)+1))&lt;=1181,2,1))))=1,TEXT(INDEX(ERP資料!$G:$G, (MATCH(800, 輔助計算!$G$2:$G$801, 0)+1)),"0.##"),IF(MOD(INDEX(輔助計算!$D:$D, (MATCH(800, 輔助計算!$G$2:$G$801, 0)+1)),IF(INDEX(ERP資料!$G:$G, (MATCH(800, 輔助計算!$G$2:$G$801, 0)+1))&lt;100, IF(INDEX(ERP資料!$G:$G, (MATCH(800, 輔助計算!$G$2:$G$801, 0)+1))&lt;=31,3,IF(INDEX(ERP資料!$G:$G, (MATCH(800, 輔助計算!$G$2:$G$801, 0)+1))&lt;=46.5,2,1)), IF(INDEX(ERP資料!$G:$G, (MATCH(800, 輔助計算!$G$2:$G$801, 0)+1))&lt;=790,3,IF(INDEX(ERP資料!$G:$G, (MATCH(800, 輔助計算!$G$2:$G$801, 0)+1))&lt;=1181,2,1))))=2,TEXT(INDEX(ERP資料!$G:$G, (MATCH(800, 輔助計算!$G$2:$G$801, 0)+1)),"0.##")&amp;"+"&amp;TEXT(INDEX(ERP資料!$G:$G, (MATCH(800, 輔助計算!$G$2:$G$801, 0)+1)),"0.##"),TEXT(INDEX(ERP資料!$G:$G, (MATCH(800, 輔助計算!$G$2:$G$801, 0)+1)),"0.##")&amp;"+"&amp;TEXT(INDEX(ERP資料!$G:$G, (MATCH(800, 輔助計算!$G$2:$G$801, 0)+1)),"0.##")&amp;"+"&amp;TEXT(INDEX(ERP資料!$G:$G, (MATCH(800, 輔助計算!$G$2:$G$801, 0)+1)),"0.##"))))&amp;"-1")&lt;&gt;""),"  ","")&amp;IF(MOD(INDEX(輔助計算!$D:$D, (MATCH(800, 輔助計算!$G$2:$G$801, 0)+1)),IF(INDEX(ERP資料!$G:$G, (MATCH(800, 輔助計算!$G$2:$G$801, 0)+1))&lt;100, IF(INDEX(ERP資料!$G:$G, (MATCH(800, 輔助計算!$G$2:$G$801, 0)+1))&lt;=31,3,IF(INDEX(ERP資料!$G:$G, (MATCH(800, 輔助計算!$G$2:$G$801, 0)+1))&lt;=46.5,2,1)), IF(INDEX(ERP資料!$G:$G, (MATCH(800, 輔助計算!$G$2:$G$801, 0)+1))&lt;=790,3,IF(INDEX(ERP資料!$G:$G, (MATCH(800, 輔助計算!$G$2:$G$801, 0)+1))&lt;=1181,2,1))))=0,"",IF(MOD(INDEX(輔助計算!$D:$D, (MATCH(800, 輔助計算!$G$2:$G$801, 0)+1)),IF(INDEX(ERP資料!$G:$G, (MATCH(800, 輔助計算!$G$2:$G$801, 0)+1))&lt;100, IF(INDEX(ERP資料!$G:$G, (MATCH(800, 輔助計算!$G$2:$G$801, 0)+1))&lt;=31,3,IF(INDEX(ERP資料!$G:$G, (MATCH(800, 輔助計算!$G$2:$G$801, 0)+1))&lt;=46.5,2,1)), IF(INDEX(ERP資料!$G:$G, (MATCH(800, 輔助計算!$G$2:$G$801, 0)+1))&lt;=790,3,IF(INDEX(ERP資料!$G:$G, (MATCH(800, 輔助計算!$G$2:$G$801, 0)+1))&lt;=1181,2,1))))=0,"",IF(MOD(INDEX(輔助計算!$D:$D, (MATCH(800, 輔助計算!$G$2:$G$801, 0)+1)),IF(INDEX(ERP資料!$G:$G, (MATCH(800, 輔助計算!$G$2:$G$801, 0)+1))&lt;100, IF(INDEX(ERP資料!$G:$G, (MATCH(800, 輔助計算!$G$2:$G$801, 0)+1))&lt;=31,3,IF(INDEX(ERP資料!$G:$G, (MATCH(800, 輔助計算!$G$2:$G$801, 0)+1))&lt;=46.5,2,1)), IF(INDEX(ERP資料!$G:$G, (MATCH(800, 輔助計算!$G$2:$G$801, 0)+1))&lt;=790,3,IF(INDEX(ERP資料!$G:$G, (MATCH(800, 輔助計算!$G$2:$G$801, 0)+1))&lt;=1181,2,1))))=1,TEXT(INDEX(ERP資料!$G:$G, (MATCH(800, 輔助計算!$G$2:$G$801, 0)+1)),"0.##"),IF(MOD(INDEX(輔助計算!$D:$D, (MATCH(800, 輔助計算!$G$2:$G$801, 0)+1)),IF(INDEX(ERP資料!$G:$G, (MATCH(800, 輔助計算!$G$2:$G$801, 0)+1))&lt;100, IF(INDEX(ERP資料!$G:$G, (MATCH(800, 輔助計算!$G$2:$G$801, 0)+1))&lt;=31,3,IF(INDEX(ERP資料!$G:$G, (MATCH(800, 輔助計算!$G$2:$G$801, 0)+1))&lt;=46.5,2,1)), IF(INDEX(ERP資料!$G:$G, (MATCH(800, 輔助計算!$G$2:$G$801, 0)+1))&lt;=790,3,IF(INDEX(ERP資料!$G:$G, (MATCH(800, 輔助計算!$G$2:$G$801, 0)+1))&lt;=1181,2,1))))=2,TEXT(INDEX(ERP資料!$G:$G, (MATCH(800, 輔助計算!$G$2:$G$801, 0)+1)),"0.##")&amp;"+"&amp;TEXT(INDEX(ERP資料!$G:$G, (MATCH(800, 輔助計算!$G$2:$G$801, 0)+1)),"0.##"),TEXT(INDEX(ERP資料!$G:$G, (MATCH(800, 輔助計算!$G$2:$G$801, 0)+1)),"0.##")&amp;"+"&amp;TEXT(INDEX(ERP資料!$G:$G, (MATCH(800, 輔助計算!$G$2:$G$801, 0)+1)),"0.##")&amp;"+"&amp;TEXT(INDEX(ERP資料!$G:$G, (MATCH(800, 輔助計算!$G$2:$G$801, 0)+1)),"0.##"))))&amp;"-1")), ""), "")</f>
        <v/>
      </c>
      <c r="K801" s="16" t="n"/>
      <c r="L801" s="14">
        <f>IFERROR(IF(AND(IFERROR(INDEX(ERP資料!$A:$A, (MATCH(800, 輔助計算!$G$2:$G$801, 0)+1)), "")&lt;&gt;"", IFERROR(INDEX(ERP資料!$A:$A, (MATCH(800, 輔助計算!$G$2:$G$801, 0)+1)), "")&lt;&gt;IFERROR(INDEX(ERP資料!$A:$A, MATCH(799, 輔助計算!$G$2:$G$801, 0)+1), "")), INDEX(ERP資料!$B:$B, (MATCH(800, 輔助計算!$G$2:$G$801, 0)+1)), ""), "")</f>
        <v/>
      </c>
      <c r="M801" s="17" t="n"/>
    </row>
    <row r="802">
      <c r="A802" s="10">
        <f>IFERROR(IF(AND(IFERROR(INDEX(ERP資料!$A:$A, (MATCH(801, 輔助計算!$G$2:$G$801, 0)+1)), "")&lt;&gt;"", IFERROR(INDEX(ERP資料!$A:$A, (MATCH(801, 輔助計算!$G$2:$G$801, 0)+1)), "")&lt;&gt;IFERROR(INDEX(ERP資料!$A:$A, MATCH(800, 輔助計算!$G$2:$G$801, 0)+1), "")), IFERROR(INDEX(ERP資料!$A:$A, (MATCH(801, 輔助計算!$G$2:$G$801, 0)+1)), ""), ""), "")</f>
        <v/>
      </c>
      <c r="B802" s="10">
        <f>IFERROR(IF(AND(IFERROR(INDEX(ERP資料!$A:$A, (MATCH(801, 輔助計算!$G$2:$G$801, 0)+1)), "")&lt;&gt;"", IFERROR(INDEX(ERP資料!$A:$A, (MATCH(801, 輔助計算!$G$2:$G$801, 0)+1)), "")&lt;&gt;IFERROR(INDEX(ERP資料!$A:$A, MATCH(800, 輔助計算!$G$2:$G$801, 0)+1), "")), INDEX(ERP資料!$S:$S, (MATCH(801, 輔助計算!$G$2:$G$801, 0)+1)), ""), "")</f>
        <v/>
      </c>
      <c r="C802" s="19">
        <f>IFERROR(IF(AND(IFERROR(INDEX(ERP資料!$A:$A, (MATCH(801, 輔助計算!$G$2:$G$801, 0)+1)), "")&lt;&gt;"", IFERROR(INDEX(ERP資料!$A:$A, (MATCH(801, 輔助計算!$G$2:$G$801, 0)+1)), "")&lt;&gt;IFERROR(INDEX(ERP資料!$A:$A, MATCH(800, 輔助計算!$G$2:$G$801, 0)+1), "")), IFERROR(VLOOKUP(LEFT(INDEX(ERP資料!$S:$S, (MATCH(801, 輔助計算!$G$2:$G$801, 0)+1)), 4), 紙管對照表!$A:$C, 3, FALSE), ""), ""), "")</f>
        <v/>
      </c>
      <c r="D802" s="16" t="n"/>
      <c r="E802" s="10">
        <f>IFERROR(IF(INDEX(ERP資料!$H:$H, (MATCH(801, 輔助計算!$G$2:$G$801, 0)+1))="","",INDEX(ERP資料!$H:$H, (MATCH(801, 輔助計算!$G$2:$G$801, 0)+1))), "")</f>
        <v/>
      </c>
      <c r="F802" s="10">
        <f>IFERROR(IF(INDEX(ERP資料!$E:$E, (MATCH(801, 輔助計算!$G$2:$G$801, 0)+1))="","",TRIM(INDEX(ERP資料!$E:$E, (MATCH(801, 輔助計算!$G$2:$G$801, 0)+1)))), "")</f>
        <v/>
      </c>
      <c r="G802" s="10">
        <f>IFERROR(IF(INDEX(ERP資料!$F:$F, (MATCH(801, 輔助計算!$G$2:$G$801, 0)+1))="","",INDEX(ERP資料!$F:$F, (MATCH(801, 輔助計算!$G$2:$G$801, 0)+1))), "")</f>
        <v/>
      </c>
      <c r="H802" s="10">
        <f>IFERROR(IF(INDEX(ERP資料!$G:$G, (MATCH(801, 輔助計算!$G$2:$G$801, 0)+1))="","",INDEX(ERP資料!$G:$G, (MATCH(801, 輔助計算!$G$2:$G$801, 0)+1))), "")</f>
        <v/>
      </c>
      <c r="I802" s="15">
        <f>IFERROR(INDEX(輔助計算!$D:$D, (MATCH(801, 輔助計算!$G$2:$G$801, 0)+1)), "")</f>
        <v/>
      </c>
      <c r="J802" s="15">
        <f>IFERROR(IF(AND(INDEX(輔助計算!$D:$D, (MATCH(801, 輔助計算!$G$2:$G$801, 0)+1))&lt;&gt;"", INDEX(ERP資料!$G:$G, (MATCH(801, 輔助計算!$G$2:$G$801, 0)+1))&lt;&gt;""), TRIM(IF(INT(INDEX(輔助計算!$D:$D, (MATCH(801, 輔助計算!$G$2:$G$801, 0)+1))/IF(INDEX(ERP資料!$G:$G, (MATCH(801, 輔助計算!$G$2:$G$801, 0)+1))&lt;100, IF(INDEX(ERP資料!$G:$G, (MATCH(801, 輔助計算!$G$2:$G$801, 0)+1))&lt;=31,3,IF(INDEX(ERP資料!$G:$G, (MATCH(801, 輔助計算!$G$2:$G$801, 0)+1))&lt;=46.5,2,1)), IF(INDEX(ERP資料!$G:$G, (MATCH(801, 輔助計算!$G$2:$G$801, 0)+1))&lt;=790,3,IF(INDEX(ERP資料!$G:$G, (MATCH(801, 輔助計算!$G$2:$G$801, 0)+1))&lt;=1181,2,1))))&gt;0, IF(IF(INDEX(ERP資料!$G:$G, (MATCH(801, 輔助計算!$G$2:$G$801, 0)+1))&lt;100, IF(INDEX(ERP資料!$G:$G, (MATCH(801, 輔助計算!$G$2:$G$801, 0)+1))&lt;=31,3,IF(INDEX(ERP資料!$G:$G, (MATCH(801, 輔助計算!$G$2:$G$801, 0)+1))&lt;=46.5,2,1)), IF(INDEX(ERP資料!$G:$G, (MATCH(801, 輔助計算!$G$2:$G$801, 0)+1))&lt;=790,3,IF(INDEX(ERP資料!$G:$G, (MATCH(801, 輔助計算!$G$2:$G$801, 0)+1))&lt;=1181,2,1)))=1,TEXT(INDEX(ERP資料!$G:$G, (MATCH(801, 輔助計算!$G$2:$G$801, 0)+1)),"0.##"),IF(IF(INDEX(ERP資料!$G:$G, (MATCH(801, 輔助計算!$G$2:$G$801, 0)+1))&lt;100, IF(INDEX(ERP資料!$G:$G, (MATCH(801, 輔助計算!$G$2:$G$801, 0)+1))&lt;=31,3,IF(INDEX(ERP資料!$G:$G, (MATCH(801, 輔助計算!$G$2:$G$801, 0)+1))&lt;=46.5,2,1)), IF(INDEX(ERP資料!$G:$G, (MATCH(801, 輔助計算!$G$2:$G$801, 0)+1))&lt;=790,3,IF(INDEX(ERP資料!$G:$G, (MATCH(801, 輔助計算!$G$2:$G$801, 0)+1))&lt;=1181,2,1)))=2,TEXT(INDEX(ERP資料!$G:$G, (MATCH(801, 輔助計算!$G$2:$G$801, 0)+1)),"0.##")&amp;"+"&amp;TEXT(INDEX(ERP資料!$G:$G, (MATCH(801, 輔助計算!$G$2:$G$801, 0)+1)),"0.##"),TEXT(INDEX(ERP資料!$G:$G, (MATCH(801, 輔助計算!$G$2:$G$801, 0)+1)),"0.##")&amp;"+"&amp;TEXT(INDEX(ERP資料!$G:$G, (MATCH(801, 輔助計算!$G$2:$G$801, 0)+1)),"0.##")&amp;"+"&amp;TEXT(INDEX(ERP資料!$G:$G, (MATCH(801, 輔助計算!$G$2:$G$801, 0)+1)),"0.##")))&amp;"-"&amp;INT(INDEX(輔助計算!$D:$D, (MATCH(801, 輔助計算!$G$2:$G$801, 0)+1))/IF(INDEX(ERP資料!$G:$G, (MATCH(801, 輔助計算!$G$2:$G$801, 0)+1))&lt;100, IF(INDEX(ERP資料!$G:$G, (MATCH(801, 輔助計算!$G$2:$G$801, 0)+1))&lt;=31,3,IF(INDEX(ERP資料!$G:$G, (MATCH(801, 輔助計算!$G$2:$G$801, 0)+1))&lt;=46.5,2,1)), IF(INDEX(ERP資料!$G:$G, (MATCH(801, 輔助計算!$G$2:$G$801, 0)+1))&lt;=790,3,IF(INDEX(ERP資料!$G:$G, (MATCH(801, 輔助計算!$G$2:$G$801, 0)+1))&lt;=1181,2,1)))), "")&amp;IF(AND(IF(INT(INDEX(輔助計算!$D:$D, (MATCH(801, 輔助計算!$G$2:$G$801, 0)+1))/IF(INDEX(ERP資料!$G:$G, (MATCH(801, 輔助計算!$G$2:$G$801, 0)+1))&lt;100, IF(INDEX(ERP資料!$G:$G, (MATCH(801, 輔助計算!$G$2:$G$801, 0)+1))&lt;=31,3,IF(INDEX(ERP資料!$G:$G, (MATCH(801, 輔助計算!$G$2:$G$801, 0)+1))&lt;=46.5,2,1)), IF(INDEX(ERP資料!$G:$G, (MATCH(801, 輔助計算!$G$2:$G$801, 0)+1))&lt;=790,3,IF(INDEX(ERP資料!$G:$G, (MATCH(801, 輔助計算!$G$2:$G$801, 0)+1))&lt;=1181,2,1))))&gt;0, IF(IF(INDEX(ERP資料!$G:$G, (MATCH(801, 輔助計算!$G$2:$G$801, 0)+1))&lt;100, IF(INDEX(ERP資料!$G:$G, (MATCH(801, 輔助計算!$G$2:$G$801, 0)+1))&lt;=31,3,IF(INDEX(ERP資料!$G:$G, (MATCH(801, 輔助計算!$G$2:$G$801, 0)+1))&lt;=46.5,2,1)), IF(INDEX(ERP資料!$G:$G, (MATCH(801, 輔助計算!$G$2:$G$801, 0)+1))&lt;=790,3,IF(INDEX(ERP資料!$G:$G, (MATCH(801, 輔助計算!$G$2:$G$801, 0)+1))&lt;=1181,2,1)))=1,TEXT(INDEX(ERP資料!$G:$G, (MATCH(801, 輔助計算!$G$2:$G$801, 0)+1)),"0.##"),IF(IF(INDEX(ERP資料!$G:$G, (MATCH(801, 輔助計算!$G$2:$G$801, 0)+1))&lt;100, IF(INDEX(ERP資料!$G:$G, (MATCH(801, 輔助計算!$G$2:$G$801, 0)+1))&lt;=31,3,IF(INDEX(ERP資料!$G:$G, (MATCH(801, 輔助計算!$G$2:$G$801, 0)+1))&lt;=46.5,2,1)), IF(INDEX(ERP資料!$G:$G, (MATCH(801, 輔助計算!$G$2:$G$801, 0)+1))&lt;=790,3,IF(INDEX(ERP資料!$G:$G, (MATCH(801, 輔助計算!$G$2:$G$801, 0)+1))&lt;=1181,2,1)))=2,TEXT(INDEX(ERP資料!$G:$G, (MATCH(801, 輔助計算!$G$2:$G$801, 0)+1)),"0.##")&amp;"+"&amp;TEXT(INDEX(ERP資料!$G:$G, (MATCH(801, 輔助計算!$G$2:$G$801, 0)+1)),"0.##"),TEXT(INDEX(ERP資料!$G:$G, (MATCH(801, 輔助計算!$G$2:$G$801, 0)+1)),"0.##")&amp;"+"&amp;TEXT(INDEX(ERP資料!$G:$G, (MATCH(801, 輔助計算!$G$2:$G$801, 0)+1)),"0.##")&amp;"+"&amp;TEXT(INDEX(ERP資料!$G:$G, (MATCH(801, 輔助計算!$G$2:$G$801, 0)+1)),"0.##")))&amp;"-"&amp;INT(INDEX(輔助計算!$D:$D, (MATCH(801, 輔助計算!$G$2:$G$801, 0)+1))/IF(INDEX(ERP資料!$G:$G, (MATCH(801, 輔助計算!$G$2:$G$801, 0)+1))&lt;100, IF(INDEX(ERP資料!$G:$G, (MATCH(801, 輔助計算!$G$2:$G$801, 0)+1))&lt;=31,3,IF(INDEX(ERP資料!$G:$G, (MATCH(801, 輔助計算!$G$2:$G$801, 0)+1))&lt;=46.5,2,1)), IF(INDEX(ERP資料!$G:$G, (MATCH(801, 輔助計算!$G$2:$G$801, 0)+1))&lt;=790,3,IF(INDEX(ERP資料!$G:$G, (MATCH(801, 輔助計算!$G$2:$G$801, 0)+1))&lt;=1181,2,1)))), "")&lt;&gt;"",IF(MOD(INDEX(輔助計算!$D:$D, (MATCH(801, 輔助計算!$G$2:$G$801, 0)+1)),IF(INDEX(ERP資料!$G:$G, (MATCH(801, 輔助計算!$G$2:$G$801, 0)+1))&lt;100, IF(INDEX(ERP資料!$G:$G, (MATCH(801, 輔助計算!$G$2:$G$801, 0)+1))&lt;=31,3,IF(INDEX(ERP資料!$G:$G, (MATCH(801, 輔助計算!$G$2:$G$801, 0)+1))&lt;=46.5,2,1)), IF(INDEX(ERP資料!$G:$G, (MATCH(801, 輔助計算!$G$2:$G$801, 0)+1))&lt;=790,3,IF(INDEX(ERP資料!$G:$G, (MATCH(801, 輔助計算!$G$2:$G$801, 0)+1))&lt;=1181,2,1))))=0,"",IF(MOD(INDEX(輔助計算!$D:$D, (MATCH(801, 輔助計算!$G$2:$G$801, 0)+1)),IF(INDEX(ERP資料!$G:$G, (MATCH(801, 輔助計算!$G$2:$G$801, 0)+1))&lt;100, IF(INDEX(ERP資料!$G:$G, (MATCH(801, 輔助計算!$G$2:$G$801, 0)+1))&lt;=31,3,IF(INDEX(ERP資料!$G:$G, (MATCH(801, 輔助計算!$G$2:$G$801, 0)+1))&lt;=46.5,2,1)), IF(INDEX(ERP資料!$G:$G, (MATCH(801, 輔助計算!$G$2:$G$801, 0)+1))&lt;=790,3,IF(INDEX(ERP資料!$G:$G, (MATCH(801, 輔助計算!$G$2:$G$801, 0)+1))&lt;=1181,2,1))))=0,"",IF(MOD(INDEX(輔助計算!$D:$D, (MATCH(801, 輔助計算!$G$2:$G$801, 0)+1)),IF(INDEX(ERP資料!$G:$G, (MATCH(801, 輔助計算!$G$2:$G$801, 0)+1))&lt;100, IF(INDEX(ERP資料!$G:$G, (MATCH(801, 輔助計算!$G$2:$G$801, 0)+1))&lt;=31,3,IF(INDEX(ERP資料!$G:$G, (MATCH(801, 輔助計算!$G$2:$G$801, 0)+1))&lt;=46.5,2,1)), IF(INDEX(ERP資料!$G:$G, (MATCH(801, 輔助計算!$G$2:$G$801, 0)+1))&lt;=790,3,IF(INDEX(ERP資料!$G:$G, (MATCH(801, 輔助計算!$G$2:$G$801, 0)+1))&lt;=1181,2,1))))=1,TEXT(INDEX(ERP資料!$G:$G, (MATCH(801, 輔助計算!$G$2:$G$801, 0)+1)),"0.##"),IF(MOD(INDEX(輔助計算!$D:$D, (MATCH(801, 輔助計算!$G$2:$G$801, 0)+1)),IF(INDEX(ERP資料!$G:$G, (MATCH(801, 輔助計算!$G$2:$G$801, 0)+1))&lt;100, IF(INDEX(ERP資料!$G:$G, (MATCH(801, 輔助計算!$G$2:$G$801, 0)+1))&lt;=31,3,IF(INDEX(ERP資料!$G:$G, (MATCH(801, 輔助計算!$G$2:$G$801, 0)+1))&lt;=46.5,2,1)), IF(INDEX(ERP資料!$G:$G, (MATCH(801, 輔助計算!$G$2:$G$801, 0)+1))&lt;=790,3,IF(INDEX(ERP資料!$G:$G, (MATCH(801, 輔助計算!$G$2:$G$801, 0)+1))&lt;=1181,2,1))))=2,TEXT(INDEX(ERP資料!$G:$G, (MATCH(801, 輔助計算!$G$2:$G$801, 0)+1)),"0.##")&amp;"+"&amp;TEXT(INDEX(ERP資料!$G:$G, (MATCH(801, 輔助計算!$G$2:$G$801, 0)+1)),"0.##"),TEXT(INDEX(ERP資料!$G:$G, (MATCH(801, 輔助計算!$G$2:$G$801, 0)+1)),"0.##")&amp;"+"&amp;TEXT(INDEX(ERP資料!$G:$G, (MATCH(801, 輔助計算!$G$2:$G$801, 0)+1)),"0.##")&amp;"+"&amp;TEXT(INDEX(ERP資料!$G:$G, (MATCH(801, 輔助計算!$G$2:$G$801, 0)+1)),"0.##"))))&amp;"-1")&lt;&gt;""),"  ","")&amp;IF(MOD(INDEX(輔助計算!$D:$D, (MATCH(801, 輔助計算!$G$2:$G$801, 0)+1)),IF(INDEX(ERP資料!$G:$G, (MATCH(801, 輔助計算!$G$2:$G$801, 0)+1))&lt;100, IF(INDEX(ERP資料!$G:$G, (MATCH(801, 輔助計算!$G$2:$G$801, 0)+1))&lt;=31,3,IF(INDEX(ERP資料!$G:$G, (MATCH(801, 輔助計算!$G$2:$G$801, 0)+1))&lt;=46.5,2,1)), IF(INDEX(ERP資料!$G:$G, (MATCH(801, 輔助計算!$G$2:$G$801, 0)+1))&lt;=790,3,IF(INDEX(ERP資料!$G:$G, (MATCH(801, 輔助計算!$G$2:$G$801, 0)+1))&lt;=1181,2,1))))=0,"",IF(MOD(INDEX(輔助計算!$D:$D, (MATCH(801, 輔助計算!$G$2:$G$801, 0)+1)),IF(INDEX(ERP資料!$G:$G, (MATCH(801, 輔助計算!$G$2:$G$801, 0)+1))&lt;100, IF(INDEX(ERP資料!$G:$G, (MATCH(801, 輔助計算!$G$2:$G$801, 0)+1))&lt;=31,3,IF(INDEX(ERP資料!$G:$G, (MATCH(801, 輔助計算!$G$2:$G$801, 0)+1))&lt;=46.5,2,1)), IF(INDEX(ERP資料!$G:$G, (MATCH(801, 輔助計算!$G$2:$G$801, 0)+1))&lt;=790,3,IF(INDEX(ERP資料!$G:$G, (MATCH(801, 輔助計算!$G$2:$G$801, 0)+1))&lt;=1181,2,1))))=0,"",IF(MOD(INDEX(輔助計算!$D:$D, (MATCH(801, 輔助計算!$G$2:$G$801, 0)+1)),IF(INDEX(ERP資料!$G:$G, (MATCH(801, 輔助計算!$G$2:$G$801, 0)+1))&lt;100, IF(INDEX(ERP資料!$G:$G, (MATCH(801, 輔助計算!$G$2:$G$801, 0)+1))&lt;=31,3,IF(INDEX(ERP資料!$G:$G, (MATCH(801, 輔助計算!$G$2:$G$801, 0)+1))&lt;=46.5,2,1)), IF(INDEX(ERP資料!$G:$G, (MATCH(801, 輔助計算!$G$2:$G$801, 0)+1))&lt;=790,3,IF(INDEX(ERP資料!$G:$G, (MATCH(801, 輔助計算!$G$2:$G$801, 0)+1))&lt;=1181,2,1))))=1,TEXT(INDEX(ERP資料!$G:$G, (MATCH(801, 輔助計算!$G$2:$G$801, 0)+1)),"0.##"),IF(MOD(INDEX(輔助計算!$D:$D, (MATCH(801, 輔助計算!$G$2:$G$801, 0)+1)),IF(INDEX(ERP資料!$G:$G, (MATCH(801, 輔助計算!$G$2:$G$801, 0)+1))&lt;100, IF(INDEX(ERP資料!$G:$G, (MATCH(801, 輔助計算!$G$2:$G$801, 0)+1))&lt;=31,3,IF(INDEX(ERP資料!$G:$G, (MATCH(801, 輔助計算!$G$2:$G$801, 0)+1))&lt;=46.5,2,1)), IF(INDEX(ERP資料!$G:$G, (MATCH(801, 輔助計算!$G$2:$G$801, 0)+1))&lt;=790,3,IF(INDEX(ERP資料!$G:$G, (MATCH(801, 輔助計算!$G$2:$G$801, 0)+1))&lt;=1181,2,1))))=2,TEXT(INDEX(ERP資料!$G:$G, (MATCH(801, 輔助計算!$G$2:$G$801, 0)+1)),"0.##")&amp;"+"&amp;TEXT(INDEX(ERP資料!$G:$G, (MATCH(801, 輔助計算!$G$2:$G$801, 0)+1)),"0.##"),TEXT(INDEX(ERP資料!$G:$G, (MATCH(801, 輔助計算!$G$2:$G$801, 0)+1)),"0.##")&amp;"+"&amp;TEXT(INDEX(ERP資料!$G:$G, (MATCH(801, 輔助計算!$G$2:$G$801, 0)+1)),"0.##")&amp;"+"&amp;TEXT(INDEX(ERP資料!$G:$G, (MATCH(801, 輔助計算!$G$2:$G$801, 0)+1)),"0.##"))))&amp;"-1")), ""), "")</f>
        <v/>
      </c>
      <c r="K802" s="16" t="n"/>
      <c r="L802" s="14">
        <f>IFERROR(IF(AND(IFERROR(INDEX(ERP資料!$A:$A, (MATCH(801, 輔助計算!$G$2:$G$801, 0)+1)), "")&lt;&gt;"", IFERROR(INDEX(ERP資料!$A:$A, (MATCH(801, 輔助計算!$G$2:$G$801, 0)+1)), "")&lt;&gt;IFERROR(INDEX(ERP資料!$A:$A, MATCH(800, 輔助計算!$G$2:$G$801, 0)+1), "")), INDEX(ERP資料!$B:$B, (MATCH(801, 輔助計算!$G$2:$G$801, 0)+1)), ""), "")</f>
        <v/>
      </c>
      <c r="M802" s="17" t="n"/>
    </row>
    <row r="803">
      <c r="A803" s="10">
        <f>IFERROR(IF(AND(IFERROR(INDEX(ERP資料!$A:$A, (MATCH(802, 輔助計算!$G$2:$G$801, 0)+1)), "")&lt;&gt;"", IFERROR(INDEX(ERP資料!$A:$A, (MATCH(802, 輔助計算!$G$2:$G$801, 0)+1)), "")&lt;&gt;IFERROR(INDEX(ERP資料!$A:$A, MATCH(801, 輔助計算!$G$2:$G$801, 0)+1), "")), IFERROR(INDEX(ERP資料!$A:$A, (MATCH(802, 輔助計算!$G$2:$G$801, 0)+1)), ""), ""), "")</f>
        <v/>
      </c>
      <c r="B803" s="10">
        <f>IFERROR(IF(AND(IFERROR(INDEX(ERP資料!$A:$A, (MATCH(802, 輔助計算!$G$2:$G$801, 0)+1)), "")&lt;&gt;"", IFERROR(INDEX(ERP資料!$A:$A, (MATCH(802, 輔助計算!$G$2:$G$801, 0)+1)), "")&lt;&gt;IFERROR(INDEX(ERP資料!$A:$A, MATCH(801, 輔助計算!$G$2:$G$801, 0)+1), "")), INDEX(ERP資料!$S:$S, (MATCH(802, 輔助計算!$G$2:$G$801, 0)+1)), ""), "")</f>
        <v/>
      </c>
      <c r="C803" s="19">
        <f>IFERROR(IF(AND(IFERROR(INDEX(ERP資料!$A:$A, (MATCH(802, 輔助計算!$G$2:$G$801, 0)+1)), "")&lt;&gt;"", IFERROR(INDEX(ERP資料!$A:$A, (MATCH(802, 輔助計算!$G$2:$G$801, 0)+1)), "")&lt;&gt;IFERROR(INDEX(ERP資料!$A:$A, MATCH(801, 輔助計算!$G$2:$G$801, 0)+1), "")), IFERROR(VLOOKUP(LEFT(INDEX(ERP資料!$S:$S, (MATCH(802, 輔助計算!$G$2:$G$801, 0)+1)), 4), 紙管對照表!$A:$C, 3, FALSE), ""), ""), "")</f>
        <v/>
      </c>
      <c r="D803" s="16" t="n"/>
      <c r="E803" s="10">
        <f>IFERROR(IF(INDEX(ERP資料!$H:$H, (MATCH(802, 輔助計算!$G$2:$G$801, 0)+1))="","",INDEX(ERP資料!$H:$H, (MATCH(802, 輔助計算!$G$2:$G$801, 0)+1))), "")</f>
        <v/>
      </c>
      <c r="F803" s="10">
        <f>IFERROR(IF(INDEX(ERP資料!$E:$E, (MATCH(802, 輔助計算!$G$2:$G$801, 0)+1))="","",TRIM(INDEX(ERP資料!$E:$E, (MATCH(802, 輔助計算!$G$2:$G$801, 0)+1)))), "")</f>
        <v/>
      </c>
      <c r="G803" s="10">
        <f>IFERROR(IF(INDEX(ERP資料!$F:$F, (MATCH(802, 輔助計算!$G$2:$G$801, 0)+1))="","",INDEX(ERP資料!$F:$F, (MATCH(802, 輔助計算!$G$2:$G$801, 0)+1))), "")</f>
        <v/>
      </c>
      <c r="H803" s="10">
        <f>IFERROR(IF(INDEX(ERP資料!$G:$G, (MATCH(802, 輔助計算!$G$2:$G$801, 0)+1))="","",INDEX(ERP資料!$G:$G, (MATCH(802, 輔助計算!$G$2:$G$801, 0)+1))), "")</f>
        <v/>
      </c>
      <c r="I803" s="15">
        <f>IFERROR(INDEX(輔助計算!$D:$D, (MATCH(802, 輔助計算!$G$2:$G$801, 0)+1)), "")</f>
        <v/>
      </c>
      <c r="J803" s="15">
        <f>IFERROR(IF(AND(INDEX(輔助計算!$D:$D, (MATCH(802, 輔助計算!$G$2:$G$801, 0)+1))&lt;&gt;"", INDEX(ERP資料!$G:$G, (MATCH(802, 輔助計算!$G$2:$G$801, 0)+1))&lt;&gt;""), TRIM(IF(INT(INDEX(輔助計算!$D:$D, (MATCH(802, 輔助計算!$G$2:$G$801, 0)+1))/IF(INDEX(ERP資料!$G:$G, (MATCH(802, 輔助計算!$G$2:$G$801, 0)+1))&lt;100, IF(INDEX(ERP資料!$G:$G, (MATCH(802, 輔助計算!$G$2:$G$801, 0)+1))&lt;=31,3,IF(INDEX(ERP資料!$G:$G, (MATCH(802, 輔助計算!$G$2:$G$801, 0)+1))&lt;=46.5,2,1)), IF(INDEX(ERP資料!$G:$G, (MATCH(802, 輔助計算!$G$2:$G$801, 0)+1))&lt;=790,3,IF(INDEX(ERP資料!$G:$G, (MATCH(802, 輔助計算!$G$2:$G$801, 0)+1))&lt;=1181,2,1))))&gt;0, IF(IF(INDEX(ERP資料!$G:$G, (MATCH(802, 輔助計算!$G$2:$G$801, 0)+1))&lt;100, IF(INDEX(ERP資料!$G:$G, (MATCH(802, 輔助計算!$G$2:$G$801, 0)+1))&lt;=31,3,IF(INDEX(ERP資料!$G:$G, (MATCH(802, 輔助計算!$G$2:$G$801, 0)+1))&lt;=46.5,2,1)), IF(INDEX(ERP資料!$G:$G, (MATCH(802, 輔助計算!$G$2:$G$801, 0)+1))&lt;=790,3,IF(INDEX(ERP資料!$G:$G, (MATCH(802, 輔助計算!$G$2:$G$801, 0)+1))&lt;=1181,2,1)))=1,TEXT(INDEX(ERP資料!$G:$G, (MATCH(802, 輔助計算!$G$2:$G$801, 0)+1)),"0.##"),IF(IF(INDEX(ERP資料!$G:$G, (MATCH(802, 輔助計算!$G$2:$G$801, 0)+1))&lt;100, IF(INDEX(ERP資料!$G:$G, (MATCH(802, 輔助計算!$G$2:$G$801, 0)+1))&lt;=31,3,IF(INDEX(ERP資料!$G:$G, (MATCH(802, 輔助計算!$G$2:$G$801, 0)+1))&lt;=46.5,2,1)), IF(INDEX(ERP資料!$G:$G, (MATCH(802, 輔助計算!$G$2:$G$801, 0)+1))&lt;=790,3,IF(INDEX(ERP資料!$G:$G, (MATCH(802, 輔助計算!$G$2:$G$801, 0)+1))&lt;=1181,2,1)))=2,TEXT(INDEX(ERP資料!$G:$G, (MATCH(802, 輔助計算!$G$2:$G$801, 0)+1)),"0.##")&amp;"+"&amp;TEXT(INDEX(ERP資料!$G:$G, (MATCH(802, 輔助計算!$G$2:$G$801, 0)+1)),"0.##"),TEXT(INDEX(ERP資料!$G:$G, (MATCH(802, 輔助計算!$G$2:$G$801, 0)+1)),"0.##")&amp;"+"&amp;TEXT(INDEX(ERP資料!$G:$G, (MATCH(802, 輔助計算!$G$2:$G$801, 0)+1)),"0.##")&amp;"+"&amp;TEXT(INDEX(ERP資料!$G:$G, (MATCH(802, 輔助計算!$G$2:$G$801, 0)+1)),"0.##")))&amp;"-"&amp;INT(INDEX(輔助計算!$D:$D, (MATCH(802, 輔助計算!$G$2:$G$801, 0)+1))/IF(INDEX(ERP資料!$G:$G, (MATCH(802, 輔助計算!$G$2:$G$801, 0)+1))&lt;100, IF(INDEX(ERP資料!$G:$G, (MATCH(802, 輔助計算!$G$2:$G$801, 0)+1))&lt;=31,3,IF(INDEX(ERP資料!$G:$G, (MATCH(802, 輔助計算!$G$2:$G$801, 0)+1))&lt;=46.5,2,1)), IF(INDEX(ERP資料!$G:$G, (MATCH(802, 輔助計算!$G$2:$G$801, 0)+1))&lt;=790,3,IF(INDEX(ERP資料!$G:$G, (MATCH(802, 輔助計算!$G$2:$G$801, 0)+1))&lt;=1181,2,1)))), "")&amp;IF(AND(IF(INT(INDEX(輔助計算!$D:$D, (MATCH(802, 輔助計算!$G$2:$G$801, 0)+1))/IF(INDEX(ERP資料!$G:$G, (MATCH(802, 輔助計算!$G$2:$G$801, 0)+1))&lt;100, IF(INDEX(ERP資料!$G:$G, (MATCH(802, 輔助計算!$G$2:$G$801, 0)+1))&lt;=31,3,IF(INDEX(ERP資料!$G:$G, (MATCH(802, 輔助計算!$G$2:$G$801, 0)+1))&lt;=46.5,2,1)), IF(INDEX(ERP資料!$G:$G, (MATCH(802, 輔助計算!$G$2:$G$801, 0)+1))&lt;=790,3,IF(INDEX(ERP資料!$G:$G, (MATCH(802, 輔助計算!$G$2:$G$801, 0)+1))&lt;=1181,2,1))))&gt;0, IF(IF(INDEX(ERP資料!$G:$G, (MATCH(802, 輔助計算!$G$2:$G$801, 0)+1))&lt;100, IF(INDEX(ERP資料!$G:$G, (MATCH(802, 輔助計算!$G$2:$G$801, 0)+1))&lt;=31,3,IF(INDEX(ERP資料!$G:$G, (MATCH(802, 輔助計算!$G$2:$G$801, 0)+1))&lt;=46.5,2,1)), IF(INDEX(ERP資料!$G:$G, (MATCH(802, 輔助計算!$G$2:$G$801, 0)+1))&lt;=790,3,IF(INDEX(ERP資料!$G:$G, (MATCH(802, 輔助計算!$G$2:$G$801, 0)+1))&lt;=1181,2,1)))=1,TEXT(INDEX(ERP資料!$G:$G, (MATCH(802, 輔助計算!$G$2:$G$801, 0)+1)),"0.##"),IF(IF(INDEX(ERP資料!$G:$G, (MATCH(802, 輔助計算!$G$2:$G$801, 0)+1))&lt;100, IF(INDEX(ERP資料!$G:$G, (MATCH(802, 輔助計算!$G$2:$G$801, 0)+1))&lt;=31,3,IF(INDEX(ERP資料!$G:$G, (MATCH(802, 輔助計算!$G$2:$G$801, 0)+1))&lt;=46.5,2,1)), IF(INDEX(ERP資料!$G:$G, (MATCH(802, 輔助計算!$G$2:$G$801, 0)+1))&lt;=790,3,IF(INDEX(ERP資料!$G:$G, (MATCH(802, 輔助計算!$G$2:$G$801, 0)+1))&lt;=1181,2,1)))=2,TEXT(INDEX(ERP資料!$G:$G, (MATCH(802, 輔助計算!$G$2:$G$801, 0)+1)),"0.##")&amp;"+"&amp;TEXT(INDEX(ERP資料!$G:$G, (MATCH(802, 輔助計算!$G$2:$G$801, 0)+1)),"0.##"),TEXT(INDEX(ERP資料!$G:$G, (MATCH(802, 輔助計算!$G$2:$G$801, 0)+1)),"0.##")&amp;"+"&amp;TEXT(INDEX(ERP資料!$G:$G, (MATCH(802, 輔助計算!$G$2:$G$801, 0)+1)),"0.##")&amp;"+"&amp;TEXT(INDEX(ERP資料!$G:$G, (MATCH(802, 輔助計算!$G$2:$G$801, 0)+1)),"0.##")))&amp;"-"&amp;INT(INDEX(輔助計算!$D:$D, (MATCH(802, 輔助計算!$G$2:$G$801, 0)+1))/IF(INDEX(ERP資料!$G:$G, (MATCH(802, 輔助計算!$G$2:$G$801, 0)+1))&lt;100, IF(INDEX(ERP資料!$G:$G, (MATCH(802, 輔助計算!$G$2:$G$801, 0)+1))&lt;=31,3,IF(INDEX(ERP資料!$G:$G, (MATCH(802, 輔助計算!$G$2:$G$801, 0)+1))&lt;=46.5,2,1)), IF(INDEX(ERP資料!$G:$G, (MATCH(802, 輔助計算!$G$2:$G$801, 0)+1))&lt;=790,3,IF(INDEX(ERP資料!$G:$G, (MATCH(802, 輔助計算!$G$2:$G$801, 0)+1))&lt;=1181,2,1)))), "")&lt;&gt;"",IF(MOD(INDEX(輔助計算!$D:$D, (MATCH(802, 輔助計算!$G$2:$G$801, 0)+1)),IF(INDEX(ERP資料!$G:$G, (MATCH(802, 輔助計算!$G$2:$G$801, 0)+1))&lt;100, IF(INDEX(ERP資料!$G:$G, (MATCH(802, 輔助計算!$G$2:$G$801, 0)+1))&lt;=31,3,IF(INDEX(ERP資料!$G:$G, (MATCH(802, 輔助計算!$G$2:$G$801, 0)+1))&lt;=46.5,2,1)), IF(INDEX(ERP資料!$G:$G, (MATCH(802, 輔助計算!$G$2:$G$801, 0)+1))&lt;=790,3,IF(INDEX(ERP資料!$G:$G, (MATCH(802, 輔助計算!$G$2:$G$801, 0)+1))&lt;=1181,2,1))))=0,"",IF(MOD(INDEX(輔助計算!$D:$D, (MATCH(802, 輔助計算!$G$2:$G$801, 0)+1)),IF(INDEX(ERP資料!$G:$G, (MATCH(802, 輔助計算!$G$2:$G$801, 0)+1))&lt;100, IF(INDEX(ERP資料!$G:$G, (MATCH(802, 輔助計算!$G$2:$G$801, 0)+1))&lt;=31,3,IF(INDEX(ERP資料!$G:$G, (MATCH(802, 輔助計算!$G$2:$G$801, 0)+1))&lt;=46.5,2,1)), IF(INDEX(ERP資料!$G:$G, (MATCH(802, 輔助計算!$G$2:$G$801, 0)+1))&lt;=790,3,IF(INDEX(ERP資料!$G:$G, (MATCH(802, 輔助計算!$G$2:$G$801, 0)+1))&lt;=1181,2,1))))=0,"",IF(MOD(INDEX(輔助計算!$D:$D, (MATCH(802, 輔助計算!$G$2:$G$801, 0)+1)),IF(INDEX(ERP資料!$G:$G, (MATCH(802, 輔助計算!$G$2:$G$801, 0)+1))&lt;100, IF(INDEX(ERP資料!$G:$G, (MATCH(802, 輔助計算!$G$2:$G$801, 0)+1))&lt;=31,3,IF(INDEX(ERP資料!$G:$G, (MATCH(802, 輔助計算!$G$2:$G$801, 0)+1))&lt;=46.5,2,1)), IF(INDEX(ERP資料!$G:$G, (MATCH(802, 輔助計算!$G$2:$G$801, 0)+1))&lt;=790,3,IF(INDEX(ERP資料!$G:$G, (MATCH(802, 輔助計算!$G$2:$G$801, 0)+1))&lt;=1181,2,1))))=1,TEXT(INDEX(ERP資料!$G:$G, (MATCH(802, 輔助計算!$G$2:$G$801, 0)+1)),"0.##"),IF(MOD(INDEX(輔助計算!$D:$D, (MATCH(802, 輔助計算!$G$2:$G$801, 0)+1)),IF(INDEX(ERP資料!$G:$G, (MATCH(802, 輔助計算!$G$2:$G$801, 0)+1))&lt;100, IF(INDEX(ERP資料!$G:$G, (MATCH(802, 輔助計算!$G$2:$G$801, 0)+1))&lt;=31,3,IF(INDEX(ERP資料!$G:$G, (MATCH(802, 輔助計算!$G$2:$G$801, 0)+1))&lt;=46.5,2,1)), IF(INDEX(ERP資料!$G:$G, (MATCH(802, 輔助計算!$G$2:$G$801, 0)+1))&lt;=790,3,IF(INDEX(ERP資料!$G:$G, (MATCH(802, 輔助計算!$G$2:$G$801, 0)+1))&lt;=1181,2,1))))=2,TEXT(INDEX(ERP資料!$G:$G, (MATCH(802, 輔助計算!$G$2:$G$801, 0)+1)),"0.##")&amp;"+"&amp;TEXT(INDEX(ERP資料!$G:$G, (MATCH(802, 輔助計算!$G$2:$G$801, 0)+1)),"0.##"),TEXT(INDEX(ERP資料!$G:$G, (MATCH(802, 輔助計算!$G$2:$G$801, 0)+1)),"0.##")&amp;"+"&amp;TEXT(INDEX(ERP資料!$G:$G, (MATCH(802, 輔助計算!$G$2:$G$801, 0)+1)),"0.##")&amp;"+"&amp;TEXT(INDEX(ERP資料!$G:$G, (MATCH(802, 輔助計算!$G$2:$G$801, 0)+1)),"0.##"))))&amp;"-1")&lt;&gt;""),"  ","")&amp;IF(MOD(INDEX(輔助計算!$D:$D, (MATCH(802, 輔助計算!$G$2:$G$801, 0)+1)),IF(INDEX(ERP資料!$G:$G, (MATCH(802, 輔助計算!$G$2:$G$801, 0)+1))&lt;100, IF(INDEX(ERP資料!$G:$G, (MATCH(802, 輔助計算!$G$2:$G$801, 0)+1))&lt;=31,3,IF(INDEX(ERP資料!$G:$G, (MATCH(802, 輔助計算!$G$2:$G$801, 0)+1))&lt;=46.5,2,1)), IF(INDEX(ERP資料!$G:$G, (MATCH(802, 輔助計算!$G$2:$G$801, 0)+1))&lt;=790,3,IF(INDEX(ERP資料!$G:$G, (MATCH(802, 輔助計算!$G$2:$G$801, 0)+1))&lt;=1181,2,1))))=0,"",IF(MOD(INDEX(輔助計算!$D:$D, (MATCH(802, 輔助計算!$G$2:$G$801, 0)+1)),IF(INDEX(ERP資料!$G:$G, (MATCH(802, 輔助計算!$G$2:$G$801, 0)+1))&lt;100, IF(INDEX(ERP資料!$G:$G, (MATCH(802, 輔助計算!$G$2:$G$801, 0)+1))&lt;=31,3,IF(INDEX(ERP資料!$G:$G, (MATCH(802, 輔助計算!$G$2:$G$801, 0)+1))&lt;=46.5,2,1)), IF(INDEX(ERP資料!$G:$G, (MATCH(802, 輔助計算!$G$2:$G$801, 0)+1))&lt;=790,3,IF(INDEX(ERP資料!$G:$G, (MATCH(802, 輔助計算!$G$2:$G$801, 0)+1))&lt;=1181,2,1))))=0,"",IF(MOD(INDEX(輔助計算!$D:$D, (MATCH(802, 輔助計算!$G$2:$G$801, 0)+1)),IF(INDEX(ERP資料!$G:$G, (MATCH(802, 輔助計算!$G$2:$G$801, 0)+1))&lt;100, IF(INDEX(ERP資料!$G:$G, (MATCH(802, 輔助計算!$G$2:$G$801, 0)+1))&lt;=31,3,IF(INDEX(ERP資料!$G:$G, (MATCH(802, 輔助計算!$G$2:$G$801, 0)+1))&lt;=46.5,2,1)), IF(INDEX(ERP資料!$G:$G, (MATCH(802, 輔助計算!$G$2:$G$801, 0)+1))&lt;=790,3,IF(INDEX(ERP資料!$G:$G, (MATCH(802, 輔助計算!$G$2:$G$801, 0)+1))&lt;=1181,2,1))))=1,TEXT(INDEX(ERP資料!$G:$G, (MATCH(802, 輔助計算!$G$2:$G$801, 0)+1)),"0.##"),IF(MOD(INDEX(輔助計算!$D:$D, (MATCH(802, 輔助計算!$G$2:$G$801, 0)+1)),IF(INDEX(ERP資料!$G:$G, (MATCH(802, 輔助計算!$G$2:$G$801, 0)+1))&lt;100, IF(INDEX(ERP資料!$G:$G, (MATCH(802, 輔助計算!$G$2:$G$801, 0)+1))&lt;=31,3,IF(INDEX(ERP資料!$G:$G, (MATCH(802, 輔助計算!$G$2:$G$801, 0)+1))&lt;=46.5,2,1)), IF(INDEX(ERP資料!$G:$G, (MATCH(802, 輔助計算!$G$2:$G$801, 0)+1))&lt;=790,3,IF(INDEX(ERP資料!$G:$G, (MATCH(802, 輔助計算!$G$2:$G$801, 0)+1))&lt;=1181,2,1))))=2,TEXT(INDEX(ERP資料!$G:$G, (MATCH(802, 輔助計算!$G$2:$G$801, 0)+1)),"0.##")&amp;"+"&amp;TEXT(INDEX(ERP資料!$G:$G, (MATCH(802, 輔助計算!$G$2:$G$801, 0)+1)),"0.##"),TEXT(INDEX(ERP資料!$G:$G, (MATCH(802, 輔助計算!$G$2:$G$801, 0)+1)),"0.##")&amp;"+"&amp;TEXT(INDEX(ERP資料!$G:$G, (MATCH(802, 輔助計算!$G$2:$G$801, 0)+1)),"0.##")&amp;"+"&amp;TEXT(INDEX(ERP資料!$G:$G, (MATCH(802, 輔助計算!$G$2:$G$801, 0)+1)),"0.##"))))&amp;"-1")), ""), "")</f>
        <v/>
      </c>
      <c r="K803" s="16" t="n"/>
      <c r="L803" s="14">
        <f>IFERROR(IF(AND(IFERROR(INDEX(ERP資料!$A:$A, (MATCH(802, 輔助計算!$G$2:$G$801, 0)+1)), "")&lt;&gt;"", IFERROR(INDEX(ERP資料!$A:$A, (MATCH(802, 輔助計算!$G$2:$G$801, 0)+1)), "")&lt;&gt;IFERROR(INDEX(ERP資料!$A:$A, MATCH(801, 輔助計算!$G$2:$G$801, 0)+1), "")), INDEX(ERP資料!$B:$B, (MATCH(802, 輔助計算!$G$2:$G$801, 0)+1)), ""), "")</f>
        <v/>
      </c>
      <c r="M803" s="17" t="n"/>
    </row>
    <row r="804">
      <c r="A804" s="10">
        <f>IFERROR(IF(AND(IFERROR(INDEX(ERP資料!$A:$A, (MATCH(803, 輔助計算!$G$2:$G$801, 0)+1)), "")&lt;&gt;"", IFERROR(INDEX(ERP資料!$A:$A, (MATCH(803, 輔助計算!$G$2:$G$801, 0)+1)), "")&lt;&gt;IFERROR(INDEX(ERP資料!$A:$A, MATCH(802, 輔助計算!$G$2:$G$801, 0)+1), "")), IFERROR(INDEX(ERP資料!$A:$A, (MATCH(803, 輔助計算!$G$2:$G$801, 0)+1)), ""), ""), "")</f>
        <v/>
      </c>
      <c r="B804" s="10">
        <f>IFERROR(IF(AND(IFERROR(INDEX(ERP資料!$A:$A, (MATCH(803, 輔助計算!$G$2:$G$801, 0)+1)), "")&lt;&gt;"", IFERROR(INDEX(ERP資料!$A:$A, (MATCH(803, 輔助計算!$G$2:$G$801, 0)+1)), "")&lt;&gt;IFERROR(INDEX(ERP資料!$A:$A, MATCH(802, 輔助計算!$G$2:$G$801, 0)+1), "")), INDEX(ERP資料!$S:$S, (MATCH(803, 輔助計算!$G$2:$G$801, 0)+1)), ""), "")</f>
        <v/>
      </c>
      <c r="C804" s="19">
        <f>IFERROR(IF(AND(IFERROR(INDEX(ERP資料!$A:$A, (MATCH(803, 輔助計算!$G$2:$G$801, 0)+1)), "")&lt;&gt;"", IFERROR(INDEX(ERP資料!$A:$A, (MATCH(803, 輔助計算!$G$2:$G$801, 0)+1)), "")&lt;&gt;IFERROR(INDEX(ERP資料!$A:$A, MATCH(802, 輔助計算!$G$2:$G$801, 0)+1), "")), IFERROR(VLOOKUP(LEFT(INDEX(ERP資料!$S:$S, (MATCH(803, 輔助計算!$G$2:$G$801, 0)+1)), 4), 紙管對照表!$A:$C, 3, FALSE), ""), ""), "")</f>
        <v/>
      </c>
      <c r="D804" s="16" t="n"/>
      <c r="E804" s="10">
        <f>IFERROR(IF(INDEX(ERP資料!$H:$H, (MATCH(803, 輔助計算!$G$2:$G$801, 0)+1))="","",INDEX(ERP資料!$H:$H, (MATCH(803, 輔助計算!$G$2:$G$801, 0)+1))), "")</f>
        <v/>
      </c>
      <c r="F804" s="10">
        <f>IFERROR(IF(INDEX(ERP資料!$E:$E, (MATCH(803, 輔助計算!$G$2:$G$801, 0)+1))="","",TRIM(INDEX(ERP資料!$E:$E, (MATCH(803, 輔助計算!$G$2:$G$801, 0)+1)))), "")</f>
        <v/>
      </c>
      <c r="G804" s="10">
        <f>IFERROR(IF(INDEX(ERP資料!$F:$F, (MATCH(803, 輔助計算!$G$2:$G$801, 0)+1))="","",INDEX(ERP資料!$F:$F, (MATCH(803, 輔助計算!$G$2:$G$801, 0)+1))), "")</f>
        <v/>
      </c>
      <c r="H804" s="10">
        <f>IFERROR(IF(INDEX(ERP資料!$G:$G, (MATCH(803, 輔助計算!$G$2:$G$801, 0)+1))="","",INDEX(ERP資料!$G:$G, (MATCH(803, 輔助計算!$G$2:$G$801, 0)+1))), "")</f>
        <v/>
      </c>
      <c r="I804" s="15">
        <f>IFERROR(INDEX(輔助計算!$D:$D, (MATCH(803, 輔助計算!$G$2:$G$801, 0)+1)), "")</f>
        <v/>
      </c>
      <c r="J804" s="15">
        <f>IFERROR(IF(AND(INDEX(輔助計算!$D:$D, (MATCH(803, 輔助計算!$G$2:$G$801, 0)+1))&lt;&gt;"", INDEX(ERP資料!$G:$G, (MATCH(803, 輔助計算!$G$2:$G$801, 0)+1))&lt;&gt;""), TRIM(IF(INT(INDEX(輔助計算!$D:$D, (MATCH(803, 輔助計算!$G$2:$G$801, 0)+1))/IF(INDEX(ERP資料!$G:$G, (MATCH(803, 輔助計算!$G$2:$G$801, 0)+1))&lt;100, IF(INDEX(ERP資料!$G:$G, (MATCH(803, 輔助計算!$G$2:$G$801, 0)+1))&lt;=31,3,IF(INDEX(ERP資料!$G:$G, (MATCH(803, 輔助計算!$G$2:$G$801, 0)+1))&lt;=46.5,2,1)), IF(INDEX(ERP資料!$G:$G, (MATCH(803, 輔助計算!$G$2:$G$801, 0)+1))&lt;=790,3,IF(INDEX(ERP資料!$G:$G, (MATCH(803, 輔助計算!$G$2:$G$801, 0)+1))&lt;=1181,2,1))))&gt;0, IF(IF(INDEX(ERP資料!$G:$G, (MATCH(803, 輔助計算!$G$2:$G$801, 0)+1))&lt;100, IF(INDEX(ERP資料!$G:$G, (MATCH(803, 輔助計算!$G$2:$G$801, 0)+1))&lt;=31,3,IF(INDEX(ERP資料!$G:$G, (MATCH(803, 輔助計算!$G$2:$G$801, 0)+1))&lt;=46.5,2,1)), IF(INDEX(ERP資料!$G:$G, (MATCH(803, 輔助計算!$G$2:$G$801, 0)+1))&lt;=790,3,IF(INDEX(ERP資料!$G:$G, (MATCH(803, 輔助計算!$G$2:$G$801, 0)+1))&lt;=1181,2,1)))=1,TEXT(INDEX(ERP資料!$G:$G, (MATCH(803, 輔助計算!$G$2:$G$801, 0)+1)),"0.##"),IF(IF(INDEX(ERP資料!$G:$G, (MATCH(803, 輔助計算!$G$2:$G$801, 0)+1))&lt;100, IF(INDEX(ERP資料!$G:$G, (MATCH(803, 輔助計算!$G$2:$G$801, 0)+1))&lt;=31,3,IF(INDEX(ERP資料!$G:$G, (MATCH(803, 輔助計算!$G$2:$G$801, 0)+1))&lt;=46.5,2,1)), IF(INDEX(ERP資料!$G:$G, (MATCH(803, 輔助計算!$G$2:$G$801, 0)+1))&lt;=790,3,IF(INDEX(ERP資料!$G:$G, (MATCH(803, 輔助計算!$G$2:$G$801, 0)+1))&lt;=1181,2,1)))=2,TEXT(INDEX(ERP資料!$G:$G, (MATCH(803, 輔助計算!$G$2:$G$801, 0)+1)),"0.##")&amp;"+"&amp;TEXT(INDEX(ERP資料!$G:$G, (MATCH(803, 輔助計算!$G$2:$G$801, 0)+1)),"0.##"),TEXT(INDEX(ERP資料!$G:$G, (MATCH(803, 輔助計算!$G$2:$G$801, 0)+1)),"0.##")&amp;"+"&amp;TEXT(INDEX(ERP資料!$G:$G, (MATCH(803, 輔助計算!$G$2:$G$801, 0)+1)),"0.##")&amp;"+"&amp;TEXT(INDEX(ERP資料!$G:$G, (MATCH(803, 輔助計算!$G$2:$G$801, 0)+1)),"0.##")))&amp;"-"&amp;INT(INDEX(輔助計算!$D:$D, (MATCH(803, 輔助計算!$G$2:$G$801, 0)+1))/IF(INDEX(ERP資料!$G:$G, (MATCH(803, 輔助計算!$G$2:$G$801, 0)+1))&lt;100, IF(INDEX(ERP資料!$G:$G, (MATCH(803, 輔助計算!$G$2:$G$801, 0)+1))&lt;=31,3,IF(INDEX(ERP資料!$G:$G, (MATCH(803, 輔助計算!$G$2:$G$801, 0)+1))&lt;=46.5,2,1)), IF(INDEX(ERP資料!$G:$G, (MATCH(803, 輔助計算!$G$2:$G$801, 0)+1))&lt;=790,3,IF(INDEX(ERP資料!$G:$G, (MATCH(803, 輔助計算!$G$2:$G$801, 0)+1))&lt;=1181,2,1)))), "")&amp;IF(AND(IF(INT(INDEX(輔助計算!$D:$D, (MATCH(803, 輔助計算!$G$2:$G$801, 0)+1))/IF(INDEX(ERP資料!$G:$G, (MATCH(803, 輔助計算!$G$2:$G$801, 0)+1))&lt;100, IF(INDEX(ERP資料!$G:$G, (MATCH(803, 輔助計算!$G$2:$G$801, 0)+1))&lt;=31,3,IF(INDEX(ERP資料!$G:$G, (MATCH(803, 輔助計算!$G$2:$G$801, 0)+1))&lt;=46.5,2,1)), IF(INDEX(ERP資料!$G:$G, (MATCH(803, 輔助計算!$G$2:$G$801, 0)+1))&lt;=790,3,IF(INDEX(ERP資料!$G:$G, (MATCH(803, 輔助計算!$G$2:$G$801, 0)+1))&lt;=1181,2,1))))&gt;0, IF(IF(INDEX(ERP資料!$G:$G, (MATCH(803, 輔助計算!$G$2:$G$801, 0)+1))&lt;100, IF(INDEX(ERP資料!$G:$G, (MATCH(803, 輔助計算!$G$2:$G$801, 0)+1))&lt;=31,3,IF(INDEX(ERP資料!$G:$G, (MATCH(803, 輔助計算!$G$2:$G$801, 0)+1))&lt;=46.5,2,1)), IF(INDEX(ERP資料!$G:$G, (MATCH(803, 輔助計算!$G$2:$G$801, 0)+1))&lt;=790,3,IF(INDEX(ERP資料!$G:$G, (MATCH(803, 輔助計算!$G$2:$G$801, 0)+1))&lt;=1181,2,1)))=1,TEXT(INDEX(ERP資料!$G:$G, (MATCH(803, 輔助計算!$G$2:$G$801, 0)+1)),"0.##"),IF(IF(INDEX(ERP資料!$G:$G, (MATCH(803, 輔助計算!$G$2:$G$801, 0)+1))&lt;100, IF(INDEX(ERP資料!$G:$G, (MATCH(803, 輔助計算!$G$2:$G$801, 0)+1))&lt;=31,3,IF(INDEX(ERP資料!$G:$G, (MATCH(803, 輔助計算!$G$2:$G$801, 0)+1))&lt;=46.5,2,1)), IF(INDEX(ERP資料!$G:$G, (MATCH(803, 輔助計算!$G$2:$G$801, 0)+1))&lt;=790,3,IF(INDEX(ERP資料!$G:$G, (MATCH(803, 輔助計算!$G$2:$G$801, 0)+1))&lt;=1181,2,1)))=2,TEXT(INDEX(ERP資料!$G:$G, (MATCH(803, 輔助計算!$G$2:$G$801, 0)+1)),"0.##")&amp;"+"&amp;TEXT(INDEX(ERP資料!$G:$G, (MATCH(803, 輔助計算!$G$2:$G$801, 0)+1)),"0.##"),TEXT(INDEX(ERP資料!$G:$G, (MATCH(803, 輔助計算!$G$2:$G$801, 0)+1)),"0.##")&amp;"+"&amp;TEXT(INDEX(ERP資料!$G:$G, (MATCH(803, 輔助計算!$G$2:$G$801, 0)+1)),"0.##")&amp;"+"&amp;TEXT(INDEX(ERP資料!$G:$G, (MATCH(803, 輔助計算!$G$2:$G$801, 0)+1)),"0.##")))&amp;"-"&amp;INT(INDEX(輔助計算!$D:$D, (MATCH(803, 輔助計算!$G$2:$G$801, 0)+1))/IF(INDEX(ERP資料!$G:$G, (MATCH(803, 輔助計算!$G$2:$G$801, 0)+1))&lt;100, IF(INDEX(ERP資料!$G:$G, (MATCH(803, 輔助計算!$G$2:$G$801, 0)+1))&lt;=31,3,IF(INDEX(ERP資料!$G:$G, (MATCH(803, 輔助計算!$G$2:$G$801, 0)+1))&lt;=46.5,2,1)), IF(INDEX(ERP資料!$G:$G, (MATCH(803, 輔助計算!$G$2:$G$801, 0)+1))&lt;=790,3,IF(INDEX(ERP資料!$G:$G, (MATCH(803, 輔助計算!$G$2:$G$801, 0)+1))&lt;=1181,2,1)))), "")&lt;&gt;"",IF(MOD(INDEX(輔助計算!$D:$D, (MATCH(803, 輔助計算!$G$2:$G$801, 0)+1)),IF(INDEX(ERP資料!$G:$G, (MATCH(803, 輔助計算!$G$2:$G$801, 0)+1))&lt;100, IF(INDEX(ERP資料!$G:$G, (MATCH(803, 輔助計算!$G$2:$G$801, 0)+1))&lt;=31,3,IF(INDEX(ERP資料!$G:$G, (MATCH(803, 輔助計算!$G$2:$G$801, 0)+1))&lt;=46.5,2,1)), IF(INDEX(ERP資料!$G:$G, (MATCH(803, 輔助計算!$G$2:$G$801, 0)+1))&lt;=790,3,IF(INDEX(ERP資料!$G:$G, (MATCH(803, 輔助計算!$G$2:$G$801, 0)+1))&lt;=1181,2,1))))=0,"",IF(MOD(INDEX(輔助計算!$D:$D, (MATCH(803, 輔助計算!$G$2:$G$801, 0)+1)),IF(INDEX(ERP資料!$G:$G, (MATCH(803, 輔助計算!$G$2:$G$801, 0)+1))&lt;100, IF(INDEX(ERP資料!$G:$G, (MATCH(803, 輔助計算!$G$2:$G$801, 0)+1))&lt;=31,3,IF(INDEX(ERP資料!$G:$G, (MATCH(803, 輔助計算!$G$2:$G$801, 0)+1))&lt;=46.5,2,1)), IF(INDEX(ERP資料!$G:$G, (MATCH(803, 輔助計算!$G$2:$G$801, 0)+1))&lt;=790,3,IF(INDEX(ERP資料!$G:$G, (MATCH(803, 輔助計算!$G$2:$G$801, 0)+1))&lt;=1181,2,1))))=0,"",IF(MOD(INDEX(輔助計算!$D:$D, (MATCH(803, 輔助計算!$G$2:$G$801, 0)+1)),IF(INDEX(ERP資料!$G:$G, (MATCH(803, 輔助計算!$G$2:$G$801, 0)+1))&lt;100, IF(INDEX(ERP資料!$G:$G, (MATCH(803, 輔助計算!$G$2:$G$801, 0)+1))&lt;=31,3,IF(INDEX(ERP資料!$G:$G, (MATCH(803, 輔助計算!$G$2:$G$801, 0)+1))&lt;=46.5,2,1)), IF(INDEX(ERP資料!$G:$G, (MATCH(803, 輔助計算!$G$2:$G$801, 0)+1))&lt;=790,3,IF(INDEX(ERP資料!$G:$G, (MATCH(803, 輔助計算!$G$2:$G$801, 0)+1))&lt;=1181,2,1))))=1,TEXT(INDEX(ERP資料!$G:$G, (MATCH(803, 輔助計算!$G$2:$G$801, 0)+1)),"0.##"),IF(MOD(INDEX(輔助計算!$D:$D, (MATCH(803, 輔助計算!$G$2:$G$801, 0)+1)),IF(INDEX(ERP資料!$G:$G, (MATCH(803, 輔助計算!$G$2:$G$801, 0)+1))&lt;100, IF(INDEX(ERP資料!$G:$G, (MATCH(803, 輔助計算!$G$2:$G$801, 0)+1))&lt;=31,3,IF(INDEX(ERP資料!$G:$G, (MATCH(803, 輔助計算!$G$2:$G$801, 0)+1))&lt;=46.5,2,1)), IF(INDEX(ERP資料!$G:$G, (MATCH(803, 輔助計算!$G$2:$G$801, 0)+1))&lt;=790,3,IF(INDEX(ERP資料!$G:$G, (MATCH(803, 輔助計算!$G$2:$G$801, 0)+1))&lt;=1181,2,1))))=2,TEXT(INDEX(ERP資料!$G:$G, (MATCH(803, 輔助計算!$G$2:$G$801, 0)+1)),"0.##")&amp;"+"&amp;TEXT(INDEX(ERP資料!$G:$G, (MATCH(803, 輔助計算!$G$2:$G$801, 0)+1)),"0.##"),TEXT(INDEX(ERP資料!$G:$G, (MATCH(803, 輔助計算!$G$2:$G$801, 0)+1)),"0.##")&amp;"+"&amp;TEXT(INDEX(ERP資料!$G:$G, (MATCH(803, 輔助計算!$G$2:$G$801, 0)+1)),"0.##")&amp;"+"&amp;TEXT(INDEX(ERP資料!$G:$G, (MATCH(803, 輔助計算!$G$2:$G$801, 0)+1)),"0.##"))))&amp;"-1")&lt;&gt;""),"  ","")&amp;IF(MOD(INDEX(輔助計算!$D:$D, (MATCH(803, 輔助計算!$G$2:$G$801, 0)+1)),IF(INDEX(ERP資料!$G:$G, (MATCH(803, 輔助計算!$G$2:$G$801, 0)+1))&lt;100, IF(INDEX(ERP資料!$G:$G, (MATCH(803, 輔助計算!$G$2:$G$801, 0)+1))&lt;=31,3,IF(INDEX(ERP資料!$G:$G, (MATCH(803, 輔助計算!$G$2:$G$801, 0)+1))&lt;=46.5,2,1)), IF(INDEX(ERP資料!$G:$G, (MATCH(803, 輔助計算!$G$2:$G$801, 0)+1))&lt;=790,3,IF(INDEX(ERP資料!$G:$G, (MATCH(803, 輔助計算!$G$2:$G$801, 0)+1))&lt;=1181,2,1))))=0,"",IF(MOD(INDEX(輔助計算!$D:$D, (MATCH(803, 輔助計算!$G$2:$G$801, 0)+1)),IF(INDEX(ERP資料!$G:$G, (MATCH(803, 輔助計算!$G$2:$G$801, 0)+1))&lt;100, IF(INDEX(ERP資料!$G:$G, (MATCH(803, 輔助計算!$G$2:$G$801, 0)+1))&lt;=31,3,IF(INDEX(ERP資料!$G:$G, (MATCH(803, 輔助計算!$G$2:$G$801, 0)+1))&lt;=46.5,2,1)), IF(INDEX(ERP資料!$G:$G, (MATCH(803, 輔助計算!$G$2:$G$801, 0)+1))&lt;=790,3,IF(INDEX(ERP資料!$G:$G, (MATCH(803, 輔助計算!$G$2:$G$801, 0)+1))&lt;=1181,2,1))))=0,"",IF(MOD(INDEX(輔助計算!$D:$D, (MATCH(803, 輔助計算!$G$2:$G$801, 0)+1)),IF(INDEX(ERP資料!$G:$G, (MATCH(803, 輔助計算!$G$2:$G$801, 0)+1))&lt;100, IF(INDEX(ERP資料!$G:$G, (MATCH(803, 輔助計算!$G$2:$G$801, 0)+1))&lt;=31,3,IF(INDEX(ERP資料!$G:$G, (MATCH(803, 輔助計算!$G$2:$G$801, 0)+1))&lt;=46.5,2,1)), IF(INDEX(ERP資料!$G:$G, (MATCH(803, 輔助計算!$G$2:$G$801, 0)+1))&lt;=790,3,IF(INDEX(ERP資料!$G:$G, (MATCH(803, 輔助計算!$G$2:$G$801, 0)+1))&lt;=1181,2,1))))=1,TEXT(INDEX(ERP資料!$G:$G, (MATCH(803, 輔助計算!$G$2:$G$801, 0)+1)),"0.##"),IF(MOD(INDEX(輔助計算!$D:$D, (MATCH(803, 輔助計算!$G$2:$G$801, 0)+1)),IF(INDEX(ERP資料!$G:$G, (MATCH(803, 輔助計算!$G$2:$G$801, 0)+1))&lt;100, IF(INDEX(ERP資料!$G:$G, (MATCH(803, 輔助計算!$G$2:$G$801, 0)+1))&lt;=31,3,IF(INDEX(ERP資料!$G:$G, (MATCH(803, 輔助計算!$G$2:$G$801, 0)+1))&lt;=46.5,2,1)), IF(INDEX(ERP資料!$G:$G, (MATCH(803, 輔助計算!$G$2:$G$801, 0)+1))&lt;=790,3,IF(INDEX(ERP資料!$G:$G, (MATCH(803, 輔助計算!$G$2:$G$801, 0)+1))&lt;=1181,2,1))))=2,TEXT(INDEX(ERP資料!$G:$G, (MATCH(803, 輔助計算!$G$2:$G$801, 0)+1)),"0.##")&amp;"+"&amp;TEXT(INDEX(ERP資料!$G:$G, (MATCH(803, 輔助計算!$G$2:$G$801, 0)+1)),"0.##"),TEXT(INDEX(ERP資料!$G:$G, (MATCH(803, 輔助計算!$G$2:$G$801, 0)+1)),"0.##")&amp;"+"&amp;TEXT(INDEX(ERP資料!$G:$G, (MATCH(803, 輔助計算!$G$2:$G$801, 0)+1)),"0.##")&amp;"+"&amp;TEXT(INDEX(ERP資料!$G:$G, (MATCH(803, 輔助計算!$G$2:$G$801, 0)+1)),"0.##"))))&amp;"-1")), ""), "")</f>
        <v/>
      </c>
      <c r="K804" s="16" t="n"/>
      <c r="L804" s="14">
        <f>IFERROR(IF(AND(IFERROR(INDEX(ERP資料!$A:$A, (MATCH(803, 輔助計算!$G$2:$G$801, 0)+1)), "")&lt;&gt;"", IFERROR(INDEX(ERP資料!$A:$A, (MATCH(803, 輔助計算!$G$2:$G$801, 0)+1)), "")&lt;&gt;IFERROR(INDEX(ERP資料!$A:$A, MATCH(802, 輔助計算!$G$2:$G$801, 0)+1), "")), INDEX(ERP資料!$B:$B, (MATCH(803, 輔助計算!$G$2:$G$801, 0)+1)), ""), "")</f>
        <v/>
      </c>
      <c r="M804" s="17" t="n"/>
    </row>
    <row r="805">
      <c r="A805" s="10">
        <f>IFERROR(IF(AND(IFERROR(INDEX(ERP資料!$A:$A, (MATCH(804, 輔助計算!$G$2:$G$801, 0)+1)), "")&lt;&gt;"", IFERROR(INDEX(ERP資料!$A:$A, (MATCH(804, 輔助計算!$G$2:$G$801, 0)+1)), "")&lt;&gt;IFERROR(INDEX(ERP資料!$A:$A, MATCH(803, 輔助計算!$G$2:$G$801, 0)+1), "")), IFERROR(INDEX(ERP資料!$A:$A, (MATCH(804, 輔助計算!$G$2:$G$801, 0)+1)), ""), ""), "")</f>
        <v/>
      </c>
      <c r="B805" s="10">
        <f>IFERROR(IF(AND(IFERROR(INDEX(ERP資料!$A:$A, (MATCH(804, 輔助計算!$G$2:$G$801, 0)+1)), "")&lt;&gt;"", IFERROR(INDEX(ERP資料!$A:$A, (MATCH(804, 輔助計算!$G$2:$G$801, 0)+1)), "")&lt;&gt;IFERROR(INDEX(ERP資料!$A:$A, MATCH(803, 輔助計算!$G$2:$G$801, 0)+1), "")), INDEX(ERP資料!$S:$S, (MATCH(804, 輔助計算!$G$2:$G$801, 0)+1)), ""), "")</f>
        <v/>
      </c>
      <c r="C805" s="19">
        <f>IFERROR(IF(AND(IFERROR(INDEX(ERP資料!$A:$A, (MATCH(804, 輔助計算!$G$2:$G$801, 0)+1)), "")&lt;&gt;"", IFERROR(INDEX(ERP資料!$A:$A, (MATCH(804, 輔助計算!$G$2:$G$801, 0)+1)), "")&lt;&gt;IFERROR(INDEX(ERP資料!$A:$A, MATCH(803, 輔助計算!$G$2:$G$801, 0)+1), "")), IFERROR(VLOOKUP(LEFT(INDEX(ERP資料!$S:$S, (MATCH(804, 輔助計算!$G$2:$G$801, 0)+1)), 4), 紙管對照表!$A:$C, 3, FALSE), ""), ""), "")</f>
        <v/>
      </c>
      <c r="D805" s="16" t="n"/>
      <c r="E805" s="10">
        <f>IFERROR(IF(INDEX(ERP資料!$H:$H, (MATCH(804, 輔助計算!$G$2:$G$801, 0)+1))="","",INDEX(ERP資料!$H:$H, (MATCH(804, 輔助計算!$G$2:$G$801, 0)+1))), "")</f>
        <v/>
      </c>
      <c r="F805" s="10">
        <f>IFERROR(IF(INDEX(ERP資料!$E:$E, (MATCH(804, 輔助計算!$G$2:$G$801, 0)+1))="","",TRIM(INDEX(ERP資料!$E:$E, (MATCH(804, 輔助計算!$G$2:$G$801, 0)+1)))), "")</f>
        <v/>
      </c>
      <c r="G805" s="10">
        <f>IFERROR(IF(INDEX(ERP資料!$F:$F, (MATCH(804, 輔助計算!$G$2:$G$801, 0)+1))="","",INDEX(ERP資料!$F:$F, (MATCH(804, 輔助計算!$G$2:$G$801, 0)+1))), "")</f>
        <v/>
      </c>
      <c r="H805" s="10">
        <f>IFERROR(IF(INDEX(ERP資料!$G:$G, (MATCH(804, 輔助計算!$G$2:$G$801, 0)+1))="","",INDEX(ERP資料!$G:$G, (MATCH(804, 輔助計算!$G$2:$G$801, 0)+1))), "")</f>
        <v/>
      </c>
      <c r="I805" s="15">
        <f>IFERROR(INDEX(輔助計算!$D:$D, (MATCH(804, 輔助計算!$G$2:$G$801, 0)+1)), "")</f>
        <v/>
      </c>
      <c r="J805" s="15">
        <f>IFERROR(IF(AND(INDEX(輔助計算!$D:$D, (MATCH(804, 輔助計算!$G$2:$G$801, 0)+1))&lt;&gt;"", INDEX(ERP資料!$G:$G, (MATCH(804, 輔助計算!$G$2:$G$801, 0)+1))&lt;&gt;""), TRIM(IF(INT(INDEX(輔助計算!$D:$D, (MATCH(804, 輔助計算!$G$2:$G$801, 0)+1))/IF(INDEX(ERP資料!$G:$G, (MATCH(804, 輔助計算!$G$2:$G$801, 0)+1))&lt;100, IF(INDEX(ERP資料!$G:$G, (MATCH(804, 輔助計算!$G$2:$G$801, 0)+1))&lt;=31,3,IF(INDEX(ERP資料!$G:$G, (MATCH(804, 輔助計算!$G$2:$G$801, 0)+1))&lt;=46.5,2,1)), IF(INDEX(ERP資料!$G:$G, (MATCH(804, 輔助計算!$G$2:$G$801, 0)+1))&lt;=790,3,IF(INDEX(ERP資料!$G:$G, (MATCH(804, 輔助計算!$G$2:$G$801, 0)+1))&lt;=1181,2,1))))&gt;0, IF(IF(INDEX(ERP資料!$G:$G, (MATCH(804, 輔助計算!$G$2:$G$801, 0)+1))&lt;100, IF(INDEX(ERP資料!$G:$G, (MATCH(804, 輔助計算!$G$2:$G$801, 0)+1))&lt;=31,3,IF(INDEX(ERP資料!$G:$G, (MATCH(804, 輔助計算!$G$2:$G$801, 0)+1))&lt;=46.5,2,1)), IF(INDEX(ERP資料!$G:$G, (MATCH(804, 輔助計算!$G$2:$G$801, 0)+1))&lt;=790,3,IF(INDEX(ERP資料!$G:$G, (MATCH(804, 輔助計算!$G$2:$G$801, 0)+1))&lt;=1181,2,1)))=1,TEXT(INDEX(ERP資料!$G:$G, (MATCH(804, 輔助計算!$G$2:$G$801, 0)+1)),"0.##"),IF(IF(INDEX(ERP資料!$G:$G, (MATCH(804, 輔助計算!$G$2:$G$801, 0)+1))&lt;100, IF(INDEX(ERP資料!$G:$G, (MATCH(804, 輔助計算!$G$2:$G$801, 0)+1))&lt;=31,3,IF(INDEX(ERP資料!$G:$G, (MATCH(804, 輔助計算!$G$2:$G$801, 0)+1))&lt;=46.5,2,1)), IF(INDEX(ERP資料!$G:$G, (MATCH(804, 輔助計算!$G$2:$G$801, 0)+1))&lt;=790,3,IF(INDEX(ERP資料!$G:$G, (MATCH(804, 輔助計算!$G$2:$G$801, 0)+1))&lt;=1181,2,1)))=2,TEXT(INDEX(ERP資料!$G:$G, (MATCH(804, 輔助計算!$G$2:$G$801, 0)+1)),"0.##")&amp;"+"&amp;TEXT(INDEX(ERP資料!$G:$G, (MATCH(804, 輔助計算!$G$2:$G$801, 0)+1)),"0.##"),TEXT(INDEX(ERP資料!$G:$G, (MATCH(804, 輔助計算!$G$2:$G$801, 0)+1)),"0.##")&amp;"+"&amp;TEXT(INDEX(ERP資料!$G:$G, (MATCH(804, 輔助計算!$G$2:$G$801, 0)+1)),"0.##")&amp;"+"&amp;TEXT(INDEX(ERP資料!$G:$G, (MATCH(804, 輔助計算!$G$2:$G$801, 0)+1)),"0.##")))&amp;"-"&amp;INT(INDEX(輔助計算!$D:$D, (MATCH(804, 輔助計算!$G$2:$G$801, 0)+1))/IF(INDEX(ERP資料!$G:$G, (MATCH(804, 輔助計算!$G$2:$G$801, 0)+1))&lt;100, IF(INDEX(ERP資料!$G:$G, (MATCH(804, 輔助計算!$G$2:$G$801, 0)+1))&lt;=31,3,IF(INDEX(ERP資料!$G:$G, (MATCH(804, 輔助計算!$G$2:$G$801, 0)+1))&lt;=46.5,2,1)), IF(INDEX(ERP資料!$G:$G, (MATCH(804, 輔助計算!$G$2:$G$801, 0)+1))&lt;=790,3,IF(INDEX(ERP資料!$G:$G, (MATCH(804, 輔助計算!$G$2:$G$801, 0)+1))&lt;=1181,2,1)))), "")&amp;IF(AND(IF(INT(INDEX(輔助計算!$D:$D, (MATCH(804, 輔助計算!$G$2:$G$801, 0)+1))/IF(INDEX(ERP資料!$G:$G, (MATCH(804, 輔助計算!$G$2:$G$801, 0)+1))&lt;100, IF(INDEX(ERP資料!$G:$G, (MATCH(804, 輔助計算!$G$2:$G$801, 0)+1))&lt;=31,3,IF(INDEX(ERP資料!$G:$G, (MATCH(804, 輔助計算!$G$2:$G$801, 0)+1))&lt;=46.5,2,1)), IF(INDEX(ERP資料!$G:$G, (MATCH(804, 輔助計算!$G$2:$G$801, 0)+1))&lt;=790,3,IF(INDEX(ERP資料!$G:$G, (MATCH(804, 輔助計算!$G$2:$G$801, 0)+1))&lt;=1181,2,1))))&gt;0, IF(IF(INDEX(ERP資料!$G:$G, (MATCH(804, 輔助計算!$G$2:$G$801, 0)+1))&lt;100, IF(INDEX(ERP資料!$G:$G, (MATCH(804, 輔助計算!$G$2:$G$801, 0)+1))&lt;=31,3,IF(INDEX(ERP資料!$G:$G, (MATCH(804, 輔助計算!$G$2:$G$801, 0)+1))&lt;=46.5,2,1)), IF(INDEX(ERP資料!$G:$G, (MATCH(804, 輔助計算!$G$2:$G$801, 0)+1))&lt;=790,3,IF(INDEX(ERP資料!$G:$G, (MATCH(804, 輔助計算!$G$2:$G$801, 0)+1))&lt;=1181,2,1)))=1,TEXT(INDEX(ERP資料!$G:$G, (MATCH(804, 輔助計算!$G$2:$G$801, 0)+1)),"0.##"),IF(IF(INDEX(ERP資料!$G:$G, (MATCH(804, 輔助計算!$G$2:$G$801, 0)+1))&lt;100, IF(INDEX(ERP資料!$G:$G, (MATCH(804, 輔助計算!$G$2:$G$801, 0)+1))&lt;=31,3,IF(INDEX(ERP資料!$G:$G, (MATCH(804, 輔助計算!$G$2:$G$801, 0)+1))&lt;=46.5,2,1)), IF(INDEX(ERP資料!$G:$G, (MATCH(804, 輔助計算!$G$2:$G$801, 0)+1))&lt;=790,3,IF(INDEX(ERP資料!$G:$G, (MATCH(804, 輔助計算!$G$2:$G$801, 0)+1))&lt;=1181,2,1)))=2,TEXT(INDEX(ERP資料!$G:$G, (MATCH(804, 輔助計算!$G$2:$G$801, 0)+1)),"0.##")&amp;"+"&amp;TEXT(INDEX(ERP資料!$G:$G, (MATCH(804, 輔助計算!$G$2:$G$801, 0)+1)),"0.##"),TEXT(INDEX(ERP資料!$G:$G, (MATCH(804, 輔助計算!$G$2:$G$801, 0)+1)),"0.##")&amp;"+"&amp;TEXT(INDEX(ERP資料!$G:$G, (MATCH(804, 輔助計算!$G$2:$G$801, 0)+1)),"0.##")&amp;"+"&amp;TEXT(INDEX(ERP資料!$G:$G, (MATCH(804, 輔助計算!$G$2:$G$801, 0)+1)),"0.##")))&amp;"-"&amp;INT(INDEX(輔助計算!$D:$D, (MATCH(804, 輔助計算!$G$2:$G$801, 0)+1))/IF(INDEX(ERP資料!$G:$G, (MATCH(804, 輔助計算!$G$2:$G$801, 0)+1))&lt;100, IF(INDEX(ERP資料!$G:$G, (MATCH(804, 輔助計算!$G$2:$G$801, 0)+1))&lt;=31,3,IF(INDEX(ERP資料!$G:$G, (MATCH(804, 輔助計算!$G$2:$G$801, 0)+1))&lt;=46.5,2,1)), IF(INDEX(ERP資料!$G:$G, (MATCH(804, 輔助計算!$G$2:$G$801, 0)+1))&lt;=790,3,IF(INDEX(ERP資料!$G:$G, (MATCH(804, 輔助計算!$G$2:$G$801, 0)+1))&lt;=1181,2,1)))), "")&lt;&gt;"",IF(MOD(INDEX(輔助計算!$D:$D, (MATCH(804, 輔助計算!$G$2:$G$801, 0)+1)),IF(INDEX(ERP資料!$G:$G, (MATCH(804, 輔助計算!$G$2:$G$801, 0)+1))&lt;100, IF(INDEX(ERP資料!$G:$G, (MATCH(804, 輔助計算!$G$2:$G$801, 0)+1))&lt;=31,3,IF(INDEX(ERP資料!$G:$G, (MATCH(804, 輔助計算!$G$2:$G$801, 0)+1))&lt;=46.5,2,1)), IF(INDEX(ERP資料!$G:$G, (MATCH(804, 輔助計算!$G$2:$G$801, 0)+1))&lt;=790,3,IF(INDEX(ERP資料!$G:$G, (MATCH(804, 輔助計算!$G$2:$G$801, 0)+1))&lt;=1181,2,1))))=0,"",IF(MOD(INDEX(輔助計算!$D:$D, (MATCH(804, 輔助計算!$G$2:$G$801, 0)+1)),IF(INDEX(ERP資料!$G:$G, (MATCH(804, 輔助計算!$G$2:$G$801, 0)+1))&lt;100, IF(INDEX(ERP資料!$G:$G, (MATCH(804, 輔助計算!$G$2:$G$801, 0)+1))&lt;=31,3,IF(INDEX(ERP資料!$G:$G, (MATCH(804, 輔助計算!$G$2:$G$801, 0)+1))&lt;=46.5,2,1)), IF(INDEX(ERP資料!$G:$G, (MATCH(804, 輔助計算!$G$2:$G$801, 0)+1))&lt;=790,3,IF(INDEX(ERP資料!$G:$G, (MATCH(804, 輔助計算!$G$2:$G$801, 0)+1))&lt;=1181,2,1))))=0,"",IF(MOD(INDEX(輔助計算!$D:$D, (MATCH(804, 輔助計算!$G$2:$G$801, 0)+1)),IF(INDEX(ERP資料!$G:$G, (MATCH(804, 輔助計算!$G$2:$G$801, 0)+1))&lt;100, IF(INDEX(ERP資料!$G:$G, (MATCH(804, 輔助計算!$G$2:$G$801, 0)+1))&lt;=31,3,IF(INDEX(ERP資料!$G:$G, (MATCH(804, 輔助計算!$G$2:$G$801, 0)+1))&lt;=46.5,2,1)), IF(INDEX(ERP資料!$G:$G, (MATCH(804, 輔助計算!$G$2:$G$801, 0)+1))&lt;=790,3,IF(INDEX(ERP資料!$G:$G, (MATCH(804, 輔助計算!$G$2:$G$801, 0)+1))&lt;=1181,2,1))))=1,TEXT(INDEX(ERP資料!$G:$G, (MATCH(804, 輔助計算!$G$2:$G$801, 0)+1)),"0.##"),IF(MOD(INDEX(輔助計算!$D:$D, (MATCH(804, 輔助計算!$G$2:$G$801, 0)+1)),IF(INDEX(ERP資料!$G:$G, (MATCH(804, 輔助計算!$G$2:$G$801, 0)+1))&lt;100, IF(INDEX(ERP資料!$G:$G, (MATCH(804, 輔助計算!$G$2:$G$801, 0)+1))&lt;=31,3,IF(INDEX(ERP資料!$G:$G, (MATCH(804, 輔助計算!$G$2:$G$801, 0)+1))&lt;=46.5,2,1)), IF(INDEX(ERP資料!$G:$G, (MATCH(804, 輔助計算!$G$2:$G$801, 0)+1))&lt;=790,3,IF(INDEX(ERP資料!$G:$G, (MATCH(804, 輔助計算!$G$2:$G$801, 0)+1))&lt;=1181,2,1))))=2,TEXT(INDEX(ERP資料!$G:$G, (MATCH(804, 輔助計算!$G$2:$G$801, 0)+1)),"0.##")&amp;"+"&amp;TEXT(INDEX(ERP資料!$G:$G, (MATCH(804, 輔助計算!$G$2:$G$801, 0)+1)),"0.##"),TEXT(INDEX(ERP資料!$G:$G, (MATCH(804, 輔助計算!$G$2:$G$801, 0)+1)),"0.##")&amp;"+"&amp;TEXT(INDEX(ERP資料!$G:$G, (MATCH(804, 輔助計算!$G$2:$G$801, 0)+1)),"0.##")&amp;"+"&amp;TEXT(INDEX(ERP資料!$G:$G, (MATCH(804, 輔助計算!$G$2:$G$801, 0)+1)),"0.##"))))&amp;"-1")&lt;&gt;""),"  ","")&amp;IF(MOD(INDEX(輔助計算!$D:$D, (MATCH(804, 輔助計算!$G$2:$G$801, 0)+1)),IF(INDEX(ERP資料!$G:$G, (MATCH(804, 輔助計算!$G$2:$G$801, 0)+1))&lt;100, IF(INDEX(ERP資料!$G:$G, (MATCH(804, 輔助計算!$G$2:$G$801, 0)+1))&lt;=31,3,IF(INDEX(ERP資料!$G:$G, (MATCH(804, 輔助計算!$G$2:$G$801, 0)+1))&lt;=46.5,2,1)), IF(INDEX(ERP資料!$G:$G, (MATCH(804, 輔助計算!$G$2:$G$801, 0)+1))&lt;=790,3,IF(INDEX(ERP資料!$G:$G, (MATCH(804, 輔助計算!$G$2:$G$801, 0)+1))&lt;=1181,2,1))))=0,"",IF(MOD(INDEX(輔助計算!$D:$D, (MATCH(804, 輔助計算!$G$2:$G$801, 0)+1)),IF(INDEX(ERP資料!$G:$G, (MATCH(804, 輔助計算!$G$2:$G$801, 0)+1))&lt;100, IF(INDEX(ERP資料!$G:$G, (MATCH(804, 輔助計算!$G$2:$G$801, 0)+1))&lt;=31,3,IF(INDEX(ERP資料!$G:$G, (MATCH(804, 輔助計算!$G$2:$G$801, 0)+1))&lt;=46.5,2,1)), IF(INDEX(ERP資料!$G:$G, (MATCH(804, 輔助計算!$G$2:$G$801, 0)+1))&lt;=790,3,IF(INDEX(ERP資料!$G:$G, (MATCH(804, 輔助計算!$G$2:$G$801, 0)+1))&lt;=1181,2,1))))=0,"",IF(MOD(INDEX(輔助計算!$D:$D, (MATCH(804, 輔助計算!$G$2:$G$801, 0)+1)),IF(INDEX(ERP資料!$G:$G, (MATCH(804, 輔助計算!$G$2:$G$801, 0)+1))&lt;100, IF(INDEX(ERP資料!$G:$G, (MATCH(804, 輔助計算!$G$2:$G$801, 0)+1))&lt;=31,3,IF(INDEX(ERP資料!$G:$G, (MATCH(804, 輔助計算!$G$2:$G$801, 0)+1))&lt;=46.5,2,1)), IF(INDEX(ERP資料!$G:$G, (MATCH(804, 輔助計算!$G$2:$G$801, 0)+1))&lt;=790,3,IF(INDEX(ERP資料!$G:$G, (MATCH(804, 輔助計算!$G$2:$G$801, 0)+1))&lt;=1181,2,1))))=1,TEXT(INDEX(ERP資料!$G:$G, (MATCH(804, 輔助計算!$G$2:$G$801, 0)+1)),"0.##"),IF(MOD(INDEX(輔助計算!$D:$D, (MATCH(804, 輔助計算!$G$2:$G$801, 0)+1)),IF(INDEX(ERP資料!$G:$G, (MATCH(804, 輔助計算!$G$2:$G$801, 0)+1))&lt;100, IF(INDEX(ERP資料!$G:$G, (MATCH(804, 輔助計算!$G$2:$G$801, 0)+1))&lt;=31,3,IF(INDEX(ERP資料!$G:$G, (MATCH(804, 輔助計算!$G$2:$G$801, 0)+1))&lt;=46.5,2,1)), IF(INDEX(ERP資料!$G:$G, (MATCH(804, 輔助計算!$G$2:$G$801, 0)+1))&lt;=790,3,IF(INDEX(ERP資料!$G:$G, (MATCH(804, 輔助計算!$G$2:$G$801, 0)+1))&lt;=1181,2,1))))=2,TEXT(INDEX(ERP資料!$G:$G, (MATCH(804, 輔助計算!$G$2:$G$801, 0)+1)),"0.##")&amp;"+"&amp;TEXT(INDEX(ERP資料!$G:$G, (MATCH(804, 輔助計算!$G$2:$G$801, 0)+1)),"0.##"),TEXT(INDEX(ERP資料!$G:$G, (MATCH(804, 輔助計算!$G$2:$G$801, 0)+1)),"0.##")&amp;"+"&amp;TEXT(INDEX(ERP資料!$G:$G, (MATCH(804, 輔助計算!$G$2:$G$801, 0)+1)),"0.##")&amp;"+"&amp;TEXT(INDEX(ERP資料!$G:$G, (MATCH(804, 輔助計算!$G$2:$G$801, 0)+1)),"0.##"))))&amp;"-1")), ""), "")</f>
        <v/>
      </c>
      <c r="K805" s="16" t="n"/>
      <c r="L805" s="14">
        <f>IFERROR(IF(AND(IFERROR(INDEX(ERP資料!$A:$A, (MATCH(804, 輔助計算!$G$2:$G$801, 0)+1)), "")&lt;&gt;"", IFERROR(INDEX(ERP資料!$A:$A, (MATCH(804, 輔助計算!$G$2:$G$801, 0)+1)), "")&lt;&gt;IFERROR(INDEX(ERP資料!$A:$A, MATCH(803, 輔助計算!$G$2:$G$801, 0)+1), "")), INDEX(ERP資料!$B:$B, (MATCH(804, 輔助計算!$G$2:$G$801, 0)+1)), ""), "")</f>
        <v/>
      </c>
      <c r="M805" s="17" t="n"/>
    </row>
    <row r="806">
      <c r="A806" s="10">
        <f>IFERROR(IF(AND(IFERROR(INDEX(ERP資料!$A:$A, (MATCH(805, 輔助計算!$G$2:$G$801, 0)+1)), "")&lt;&gt;"", IFERROR(INDEX(ERP資料!$A:$A, (MATCH(805, 輔助計算!$G$2:$G$801, 0)+1)), "")&lt;&gt;IFERROR(INDEX(ERP資料!$A:$A, MATCH(804, 輔助計算!$G$2:$G$801, 0)+1), "")), IFERROR(INDEX(ERP資料!$A:$A, (MATCH(805, 輔助計算!$G$2:$G$801, 0)+1)), ""), ""), "")</f>
        <v/>
      </c>
      <c r="B806" s="10">
        <f>IFERROR(IF(AND(IFERROR(INDEX(ERP資料!$A:$A, (MATCH(805, 輔助計算!$G$2:$G$801, 0)+1)), "")&lt;&gt;"", IFERROR(INDEX(ERP資料!$A:$A, (MATCH(805, 輔助計算!$G$2:$G$801, 0)+1)), "")&lt;&gt;IFERROR(INDEX(ERP資料!$A:$A, MATCH(804, 輔助計算!$G$2:$G$801, 0)+1), "")), INDEX(ERP資料!$S:$S, (MATCH(805, 輔助計算!$G$2:$G$801, 0)+1)), ""), "")</f>
        <v/>
      </c>
      <c r="C806" s="19">
        <f>IFERROR(IF(AND(IFERROR(INDEX(ERP資料!$A:$A, (MATCH(805, 輔助計算!$G$2:$G$801, 0)+1)), "")&lt;&gt;"", IFERROR(INDEX(ERP資料!$A:$A, (MATCH(805, 輔助計算!$G$2:$G$801, 0)+1)), "")&lt;&gt;IFERROR(INDEX(ERP資料!$A:$A, MATCH(804, 輔助計算!$G$2:$G$801, 0)+1), "")), IFERROR(VLOOKUP(LEFT(INDEX(ERP資料!$S:$S, (MATCH(805, 輔助計算!$G$2:$G$801, 0)+1)), 4), 紙管對照表!$A:$C, 3, FALSE), ""), ""), "")</f>
        <v/>
      </c>
      <c r="D806" s="16" t="n"/>
      <c r="E806" s="10">
        <f>IFERROR(IF(INDEX(ERP資料!$H:$H, (MATCH(805, 輔助計算!$G$2:$G$801, 0)+1))="","",INDEX(ERP資料!$H:$H, (MATCH(805, 輔助計算!$G$2:$G$801, 0)+1))), "")</f>
        <v/>
      </c>
      <c r="F806" s="10">
        <f>IFERROR(IF(INDEX(ERP資料!$E:$E, (MATCH(805, 輔助計算!$G$2:$G$801, 0)+1))="","",TRIM(INDEX(ERP資料!$E:$E, (MATCH(805, 輔助計算!$G$2:$G$801, 0)+1)))), "")</f>
        <v/>
      </c>
      <c r="G806" s="10">
        <f>IFERROR(IF(INDEX(ERP資料!$F:$F, (MATCH(805, 輔助計算!$G$2:$G$801, 0)+1))="","",INDEX(ERP資料!$F:$F, (MATCH(805, 輔助計算!$G$2:$G$801, 0)+1))), "")</f>
        <v/>
      </c>
      <c r="H806" s="10">
        <f>IFERROR(IF(INDEX(ERP資料!$G:$G, (MATCH(805, 輔助計算!$G$2:$G$801, 0)+1))="","",INDEX(ERP資料!$G:$G, (MATCH(805, 輔助計算!$G$2:$G$801, 0)+1))), "")</f>
        <v/>
      </c>
      <c r="I806" s="15">
        <f>IFERROR(INDEX(輔助計算!$D:$D, (MATCH(805, 輔助計算!$G$2:$G$801, 0)+1)), "")</f>
        <v/>
      </c>
      <c r="J806" s="15">
        <f>IFERROR(IF(AND(INDEX(輔助計算!$D:$D, (MATCH(805, 輔助計算!$G$2:$G$801, 0)+1))&lt;&gt;"", INDEX(ERP資料!$G:$G, (MATCH(805, 輔助計算!$G$2:$G$801, 0)+1))&lt;&gt;""), TRIM(IF(INT(INDEX(輔助計算!$D:$D, (MATCH(805, 輔助計算!$G$2:$G$801, 0)+1))/IF(INDEX(ERP資料!$G:$G, (MATCH(805, 輔助計算!$G$2:$G$801, 0)+1))&lt;100, IF(INDEX(ERP資料!$G:$G, (MATCH(805, 輔助計算!$G$2:$G$801, 0)+1))&lt;=31,3,IF(INDEX(ERP資料!$G:$G, (MATCH(805, 輔助計算!$G$2:$G$801, 0)+1))&lt;=46.5,2,1)), IF(INDEX(ERP資料!$G:$G, (MATCH(805, 輔助計算!$G$2:$G$801, 0)+1))&lt;=790,3,IF(INDEX(ERP資料!$G:$G, (MATCH(805, 輔助計算!$G$2:$G$801, 0)+1))&lt;=1181,2,1))))&gt;0, IF(IF(INDEX(ERP資料!$G:$G, (MATCH(805, 輔助計算!$G$2:$G$801, 0)+1))&lt;100, IF(INDEX(ERP資料!$G:$G, (MATCH(805, 輔助計算!$G$2:$G$801, 0)+1))&lt;=31,3,IF(INDEX(ERP資料!$G:$G, (MATCH(805, 輔助計算!$G$2:$G$801, 0)+1))&lt;=46.5,2,1)), IF(INDEX(ERP資料!$G:$G, (MATCH(805, 輔助計算!$G$2:$G$801, 0)+1))&lt;=790,3,IF(INDEX(ERP資料!$G:$G, (MATCH(805, 輔助計算!$G$2:$G$801, 0)+1))&lt;=1181,2,1)))=1,TEXT(INDEX(ERP資料!$G:$G, (MATCH(805, 輔助計算!$G$2:$G$801, 0)+1)),"0.##"),IF(IF(INDEX(ERP資料!$G:$G, (MATCH(805, 輔助計算!$G$2:$G$801, 0)+1))&lt;100, IF(INDEX(ERP資料!$G:$G, (MATCH(805, 輔助計算!$G$2:$G$801, 0)+1))&lt;=31,3,IF(INDEX(ERP資料!$G:$G, (MATCH(805, 輔助計算!$G$2:$G$801, 0)+1))&lt;=46.5,2,1)), IF(INDEX(ERP資料!$G:$G, (MATCH(805, 輔助計算!$G$2:$G$801, 0)+1))&lt;=790,3,IF(INDEX(ERP資料!$G:$G, (MATCH(805, 輔助計算!$G$2:$G$801, 0)+1))&lt;=1181,2,1)))=2,TEXT(INDEX(ERP資料!$G:$G, (MATCH(805, 輔助計算!$G$2:$G$801, 0)+1)),"0.##")&amp;"+"&amp;TEXT(INDEX(ERP資料!$G:$G, (MATCH(805, 輔助計算!$G$2:$G$801, 0)+1)),"0.##"),TEXT(INDEX(ERP資料!$G:$G, (MATCH(805, 輔助計算!$G$2:$G$801, 0)+1)),"0.##")&amp;"+"&amp;TEXT(INDEX(ERP資料!$G:$G, (MATCH(805, 輔助計算!$G$2:$G$801, 0)+1)),"0.##")&amp;"+"&amp;TEXT(INDEX(ERP資料!$G:$G, (MATCH(805, 輔助計算!$G$2:$G$801, 0)+1)),"0.##")))&amp;"-"&amp;INT(INDEX(輔助計算!$D:$D, (MATCH(805, 輔助計算!$G$2:$G$801, 0)+1))/IF(INDEX(ERP資料!$G:$G, (MATCH(805, 輔助計算!$G$2:$G$801, 0)+1))&lt;100, IF(INDEX(ERP資料!$G:$G, (MATCH(805, 輔助計算!$G$2:$G$801, 0)+1))&lt;=31,3,IF(INDEX(ERP資料!$G:$G, (MATCH(805, 輔助計算!$G$2:$G$801, 0)+1))&lt;=46.5,2,1)), IF(INDEX(ERP資料!$G:$G, (MATCH(805, 輔助計算!$G$2:$G$801, 0)+1))&lt;=790,3,IF(INDEX(ERP資料!$G:$G, (MATCH(805, 輔助計算!$G$2:$G$801, 0)+1))&lt;=1181,2,1)))), "")&amp;IF(AND(IF(INT(INDEX(輔助計算!$D:$D, (MATCH(805, 輔助計算!$G$2:$G$801, 0)+1))/IF(INDEX(ERP資料!$G:$G, (MATCH(805, 輔助計算!$G$2:$G$801, 0)+1))&lt;100, IF(INDEX(ERP資料!$G:$G, (MATCH(805, 輔助計算!$G$2:$G$801, 0)+1))&lt;=31,3,IF(INDEX(ERP資料!$G:$G, (MATCH(805, 輔助計算!$G$2:$G$801, 0)+1))&lt;=46.5,2,1)), IF(INDEX(ERP資料!$G:$G, (MATCH(805, 輔助計算!$G$2:$G$801, 0)+1))&lt;=790,3,IF(INDEX(ERP資料!$G:$G, (MATCH(805, 輔助計算!$G$2:$G$801, 0)+1))&lt;=1181,2,1))))&gt;0, IF(IF(INDEX(ERP資料!$G:$G, (MATCH(805, 輔助計算!$G$2:$G$801, 0)+1))&lt;100, IF(INDEX(ERP資料!$G:$G, (MATCH(805, 輔助計算!$G$2:$G$801, 0)+1))&lt;=31,3,IF(INDEX(ERP資料!$G:$G, (MATCH(805, 輔助計算!$G$2:$G$801, 0)+1))&lt;=46.5,2,1)), IF(INDEX(ERP資料!$G:$G, (MATCH(805, 輔助計算!$G$2:$G$801, 0)+1))&lt;=790,3,IF(INDEX(ERP資料!$G:$G, (MATCH(805, 輔助計算!$G$2:$G$801, 0)+1))&lt;=1181,2,1)))=1,TEXT(INDEX(ERP資料!$G:$G, (MATCH(805, 輔助計算!$G$2:$G$801, 0)+1)),"0.##"),IF(IF(INDEX(ERP資料!$G:$G, (MATCH(805, 輔助計算!$G$2:$G$801, 0)+1))&lt;100, IF(INDEX(ERP資料!$G:$G, (MATCH(805, 輔助計算!$G$2:$G$801, 0)+1))&lt;=31,3,IF(INDEX(ERP資料!$G:$G, (MATCH(805, 輔助計算!$G$2:$G$801, 0)+1))&lt;=46.5,2,1)), IF(INDEX(ERP資料!$G:$G, (MATCH(805, 輔助計算!$G$2:$G$801, 0)+1))&lt;=790,3,IF(INDEX(ERP資料!$G:$G, (MATCH(805, 輔助計算!$G$2:$G$801, 0)+1))&lt;=1181,2,1)))=2,TEXT(INDEX(ERP資料!$G:$G, (MATCH(805, 輔助計算!$G$2:$G$801, 0)+1)),"0.##")&amp;"+"&amp;TEXT(INDEX(ERP資料!$G:$G, (MATCH(805, 輔助計算!$G$2:$G$801, 0)+1)),"0.##"),TEXT(INDEX(ERP資料!$G:$G, (MATCH(805, 輔助計算!$G$2:$G$801, 0)+1)),"0.##")&amp;"+"&amp;TEXT(INDEX(ERP資料!$G:$G, (MATCH(805, 輔助計算!$G$2:$G$801, 0)+1)),"0.##")&amp;"+"&amp;TEXT(INDEX(ERP資料!$G:$G, (MATCH(805, 輔助計算!$G$2:$G$801, 0)+1)),"0.##")))&amp;"-"&amp;INT(INDEX(輔助計算!$D:$D, (MATCH(805, 輔助計算!$G$2:$G$801, 0)+1))/IF(INDEX(ERP資料!$G:$G, (MATCH(805, 輔助計算!$G$2:$G$801, 0)+1))&lt;100, IF(INDEX(ERP資料!$G:$G, (MATCH(805, 輔助計算!$G$2:$G$801, 0)+1))&lt;=31,3,IF(INDEX(ERP資料!$G:$G, (MATCH(805, 輔助計算!$G$2:$G$801, 0)+1))&lt;=46.5,2,1)), IF(INDEX(ERP資料!$G:$G, (MATCH(805, 輔助計算!$G$2:$G$801, 0)+1))&lt;=790,3,IF(INDEX(ERP資料!$G:$G, (MATCH(805, 輔助計算!$G$2:$G$801, 0)+1))&lt;=1181,2,1)))), "")&lt;&gt;"",IF(MOD(INDEX(輔助計算!$D:$D, (MATCH(805, 輔助計算!$G$2:$G$801, 0)+1)),IF(INDEX(ERP資料!$G:$G, (MATCH(805, 輔助計算!$G$2:$G$801, 0)+1))&lt;100, IF(INDEX(ERP資料!$G:$G, (MATCH(805, 輔助計算!$G$2:$G$801, 0)+1))&lt;=31,3,IF(INDEX(ERP資料!$G:$G, (MATCH(805, 輔助計算!$G$2:$G$801, 0)+1))&lt;=46.5,2,1)), IF(INDEX(ERP資料!$G:$G, (MATCH(805, 輔助計算!$G$2:$G$801, 0)+1))&lt;=790,3,IF(INDEX(ERP資料!$G:$G, (MATCH(805, 輔助計算!$G$2:$G$801, 0)+1))&lt;=1181,2,1))))=0,"",IF(MOD(INDEX(輔助計算!$D:$D, (MATCH(805, 輔助計算!$G$2:$G$801, 0)+1)),IF(INDEX(ERP資料!$G:$G, (MATCH(805, 輔助計算!$G$2:$G$801, 0)+1))&lt;100, IF(INDEX(ERP資料!$G:$G, (MATCH(805, 輔助計算!$G$2:$G$801, 0)+1))&lt;=31,3,IF(INDEX(ERP資料!$G:$G, (MATCH(805, 輔助計算!$G$2:$G$801, 0)+1))&lt;=46.5,2,1)), IF(INDEX(ERP資料!$G:$G, (MATCH(805, 輔助計算!$G$2:$G$801, 0)+1))&lt;=790,3,IF(INDEX(ERP資料!$G:$G, (MATCH(805, 輔助計算!$G$2:$G$801, 0)+1))&lt;=1181,2,1))))=0,"",IF(MOD(INDEX(輔助計算!$D:$D, (MATCH(805, 輔助計算!$G$2:$G$801, 0)+1)),IF(INDEX(ERP資料!$G:$G, (MATCH(805, 輔助計算!$G$2:$G$801, 0)+1))&lt;100, IF(INDEX(ERP資料!$G:$G, (MATCH(805, 輔助計算!$G$2:$G$801, 0)+1))&lt;=31,3,IF(INDEX(ERP資料!$G:$G, (MATCH(805, 輔助計算!$G$2:$G$801, 0)+1))&lt;=46.5,2,1)), IF(INDEX(ERP資料!$G:$G, (MATCH(805, 輔助計算!$G$2:$G$801, 0)+1))&lt;=790,3,IF(INDEX(ERP資料!$G:$G, (MATCH(805, 輔助計算!$G$2:$G$801, 0)+1))&lt;=1181,2,1))))=1,TEXT(INDEX(ERP資料!$G:$G, (MATCH(805, 輔助計算!$G$2:$G$801, 0)+1)),"0.##"),IF(MOD(INDEX(輔助計算!$D:$D, (MATCH(805, 輔助計算!$G$2:$G$801, 0)+1)),IF(INDEX(ERP資料!$G:$G, (MATCH(805, 輔助計算!$G$2:$G$801, 0)+1))&lt;100, IF(INDEX(ERP資料!$G:$G, (MATCH(805, 輔助計算!$G$2:$G$801, 0)+1))&lt;=31,3,IF(INDEX(ERP資料!$G:$G, (MATCH(805, 輔助計算!$G$2:$G$801, 0)+1))&lt;=46.5,2,1)), IF(INDEX(ERP資料!$G:$G, (MATCH(805, 輔助計算!$G$2:$G$801, 0)+1))&lt;=790,3,IF(INDEX(ERP資料!$G:$G, (MATCH(805, 輔助計算!$G$2:$G$801, 0)+1))&lt;=1181,2,1))))=2,TEXT(INDEX(ERP資料!$G:$G, (MATCH(805, 輔助計算!$G$2:$G$801, 0)+1)),"0.##")&amp;"+"&amp;TEXT(INDEX(ERP資料!$G:$G, (MATCH(805, 輔助計算!$G$2:$G$801, 0)+1)),"0.##"),TEXT(INDEX(ERP資料!$G:$G, (MATCH(805, 輔助計算!$G$2:$G$801, 0)+1)),"0.##")&amp;"+"&amp;TEXT(INDEX(ERP資料!$G:$G, (MATCH(805, 輔助計算!$G$2:$G$801, 0)+1)),"0.##")&amp;"+"&amp;TEXT(INDEX(ERP資料!$G:$G, (MATCH(805, 輔助計算!$G$2:$G$801, 0)+1)),"0.##"))))&amp;"-1")&lt;&gt;""),"  ","")&amp;IF(MOD(INDEX(輔助計算!$D:$D, (MATCH(805, 輔助計算!$G$2:$G$801, 0)+1)),IF(INDEX(ERP資料!$G:$G, (MATCH(805, 輔助計算!$G$2:$G$801, 0)+1))&lt;100, IF(INDEX(ERP資料!$G:$G, (MATCH(805, 輔助計算!$G$2:$G$801, 0)+1))&lt;=31,3,IF(INDEX(ERP資料!$G:$G, (MATCH(805, 輔助計算!$G$2:$G$801, 0)+1))&lt;=46.5,2,1)), IF(INDEX(ERP資料!$G:$G, (MATCH(805, 輔助計算!$G$2:$G$801, 0)+1))&lt;=790,3,IF(INDEX(ERP資料!$G:$G, (MATCH(805, 輔助計算!$G$2:$G$801, 0)+1))&lt;=1181,2,1))))=0,"",IF(MOD(INDEX(輔助計算!$D:$D, (MATCH(805, 輔助計算!$G$2:$G$801, 0)+1)),IF(INDEX(ERP資料!$G:$G, (MATCH(805, 輔助計算!$G$2:$G$801, 0)+1))&lt;100, IF(INDEX(ERP資料!$G:$G, (MATCH(805, 輔助計算!$G$2:$G$801, 0)+1))&lt;=31,3,IF(INDEX(ERP資料!$G:$G, (MATCH(805, 輔助計算!$G$2:$G$801, 0)+1))&lt;=46.5,2,1)), IF(INDEX(ERP資料!$G:$G, (MATCH(805, 輔助計算!$G$2:$G$801, 0)+1))&lt;=790,3,IF(INDEX(ERP資料!$G:$G, (MATCH(805, 輔助計算!$G$2:$G$801, 0)+1))&lt;=1181,2,1))))=0,"",IF(MOD(INDEX(輔助計算!$D:$D, (MATCH(805, 輔助計算!$G$2:$G$801, 0)+1)),IF(INDEX(ERP資料!$G:$G, (MATCH(805, 輔助計算!$G$2:$G$801, 0)+1))&lt;100, IF(INDEX(ERP資料!$G:$G, (MATCH(805, 輔助計算!$G$2:$G$801, 0)+1))&lt;=31,3,IF(INDEX(ERP資料!$G:$G, (MATCH(805, 輔助計算!$G$2:$G$801, 0)+1))&lt;=46.5,2,1)), IF(INDEX(ERP資料!$G:$G, (MATCH(805, 輔助計算!$G$2:$G$801, 0)+1))&lt;=790,3,IF(INDEX(ERP資料!$G:$G, (MATCH(805, 輔助計算!$G$2:$G$801, 0)+1))&lt;=1181,2,1))))=1,TEXT(INDEX(ERP資料!$G:$G, (MATCH(805, 輔助計算!$G$2:$G$801, 0)+1)),"0.##"),IF(MOD(INDEX(輔助計算!$D:$D, (MATCH(805, 輔助計算!$G$2:$G$801, 0)+1)),IF(INDEX(ERP資料!$G:$G, (MATCH(805, 輔助計算!$G$2:$G$801, 0)+1))&lt;100, IF(INDEX(ERP資料!$G:$G, (MATCH(805, 輔助計算!$G$2:$G$801, 0)+1))&lt;=31,3,IF(INDEX(ERP資料!$G:$G, (MATCH(805, 輔助計算!$G$2:$G$801, 0)+1))&lt;=46.5,2,1)), IF(INDEX(ERP資料!$G:$G, (MATCH(805, 輔助計算!$G$2:$G$801, 0)+1))&lt;=790,3,IF(INDEX(ERP資料!$G:$G, (MATCH(805, 輔助計算!$G$2:$G$801, 0)+1))&lt;=1181,2,1))))=2,TEXT(INDEX(ERP資料!$G:$G, (MATCH(805, 輔助計算!$G$2:$G$801, 0)+1)),"0.##")&amp;"+"&amp;TEXT(INDEX(ERP資料!$G:$G, (MATCH(805, 輔助計算!$G$2:$G$801, 0)+1)),"0.##"),TEXT(INDEX(ERP資料!$G:$G, (MATCH(805, 輔助計算!$G$2:$G$801, 0)+1)),"0.##")&amp;"+"&amp;TEXT(INDEX(ERP資料!$G:$G, (MATCH(805, 輔助計算!$G$2:$G$801, 0)+1)),"0.##")&amp;"+"&amp;TEXT(INDEX(ERP資料!$G:$G, (MATCH(805, 輔助計算!$G$2:$G$801, 0)+1)),"0.##"))))&amp;"-1")), ""), "")</f>
        <v/>
      </c>
      <c r="K806" s="16" t="n"/>
      <c r="L806" s="14">
        <f>IFERROR(IF(AND(IFERROR(INDEX(ERP資料!$A:$A, (MATCH(805, 輔助計算!$G$2:$G$801, 0)+1)), "")&lt;&gt;"", IFERROR(INDEX(ERP資料!$A:$A, (MATCH(805, 輔助計算!$G$2:$G$801, 0)+1)), "")&lt;&gt;IFERROR(INDEX(ERP資料!$A:$A, MATCH(804, 輔助計算!$G$2:$G$801, 0)+1), "")), INDEX(ERP資料!$B:$B, (MATCH(805, 輔助計算!$G$2:$G$801, 0)+1)), ""), "")</f>
        <v/>
      </c>
      <c r="M806" s="17" t="n"/>
    </row>
    <row r="807">
      <c r="A807" s="10">
        <f>IFERROR(IF(AND(IFERROR(INDEX(ERP資料!$A:$A, (MATCH(806, 輔助計算!$G$2:$G$801, 0)+1)), "")&lt;&gt;"", IFERROR(INDEX(ERP資料!$A:$A, (MATCH(806, 輔助計算!$G$2:$G$801, 0)+1)), "")&lt;&gt;IFERROR(INDEX(ERP資料!$A:$A, MATCH(805, 輔助計算!$G$2:$G$801, 0)+1), "")), IFERROR(INDEX(ERP資料!$A:$A, (MATCH(806, 輔助計算!$G$2:$G$801, 0)+1)), ""), ""), "")</f>
        <v/>
      </c>
      <c r="B807" s="10">
        <f>IFERROR(IF(AND(IFERROR(INDEX(ERP資料!$A:$A, (MATCH(806, 輔助計算!$G$2:$G$801, 0)+1)), "")&lt;&gt;"", IFERROR(INDEX(ERP資料!$A:$A, (MATCH(806, 輔助計算!$G$2:$G$801, 0)+1)), "")&lt;&gt;IFERROR(INDEX(ERP資料!$A:$A, MATCH(805, 輔助計算!$G$2:$G$801, 0)+1), "")), INDEX(ERP資料!$S:$S, (MATCH(806, 輔助計算!$G$2:$G$801, 0)+1)), ""), "")</f>
        <v/>
      </c>
      <c r="C807" s="19">
        <f>IFERROR(IF(AND(IFERROR(INDEX(ERP資料!$A:$A, (MATCH(806, 輔助計算!$G$2:$G$801, 0)+1)), "")&lt;&gt;"", IFERROR(INDEX(ERP資料!$A:$A, (MATCH(806, 輔助計算!$G$2:$G$801, 0)+1)), "")&lt;&gt;IFERROR(INDEX(ERP資料!$A:$A, MATCH(805, 輔助計算!$G$2:$G$801, 0)+1), "")), IFERROR(VLOOKUP(LEFT(INDEX(ERP資料!$S:$S, (MATCH(806, 輔助計算!$G$2:$G$801, 0)+1)), 4), 紙管對照表!$A:$C, 3, FALSE), ""), ""), "")</f>
        <v/>
      </c>
      <c r="D807" s="16" t="n"/>
      <c r="E807" s="10">
        <f>IFERROR(IF(INDEX(ERP資料!$H:$H, (MATCH(806, 輔助計算!$G$2:$G$801, 0)+1))="","",INDEX(ERP資料!$H:$H, (MATCH(806, 輔助計算!$G$2:$G$801, 0)+1))), "")</f>
        <v/>
      </c>
      <c r="F807" s="10">
        <f>IFERROR(IF(INDEX(ERP資料!$E:$E, (MATCH(806, 輔助計算!$G$2:$G$801, 0)+1))="","",TRIM(INDEX(ERP資料!$E:$E, (MATCH(806, 輔助計算!$G$2:$G$801, 0)+1)))), "")</f>
        <v/>
      </c>
      <c r="G807" s="10">
        <f>IFERROR(IF(INDEX(ERP資料!$F:$F, (MATCH(806, 輔助計算!$G$2:$G$801, 0)+1))="","",INDEX(ERP資料!$F:$F, (MATCH(806, 輔助計算!$G$2:$G$801, 0)+1))), "")</f>
        <v/>
      </c>
      <c r="H807" s="10">
        <f>IFERROR(IF(INDEX(ERP資料!$G:$G, (MATCH(806, 輔助計算!$G$2:$G$801, 0)+1))="","",INDEX(ERP資料!$G:$G, (MATCH(806, 輔助計算!$G$2:$G$801, 0)+1))), "")</f>
        <v/>
      </c>
      <c r="I807" s="15">
        <f>IFERROR(INDEX(輔助計算!$D:$D, (MATCH(806, 輔助計算!$G$2:$G$801, 0)+1)), "")</f>
        <v/>
      </c>
      <c r="J807" s="15">
        <f>IFERROR(IF(AND(INDEX(輔助計算!$D:$D, (MATCH(806, 輔助計算!$G$2:$G$801, 0)+1))&lt;&gt;"", INDEX(ERP資料!$G:$G, (MATCH(806, 輔助計算!$G$2:$G$801, 0)+1))&lt;&gt;""), TRIM(IF(INT(INDEX(輔助計算!$D:$D, (MATCH(806, 輔助計算!$G$2:$G$801, 0)+1))/IF(INDEX(ERP資料!$G:$G, (MATCH(806, 輔助計算!$G$2:$G$801, 0)+1))&lt;100, IF(INDEX(ERP資料!$G:$G, (MATCH(806, 輔助計算!$G$2:$G$801, 0)+1))&lt;=31,3,IF(INDEX(ERP資料!$G:$G, (MATCH(806, 輔助計算!$G$2:$G$801, 0)+1))&lt;=46.5,2,1)), IF(INDEX(ERP資料!$G:$G, (MATCH(806, 輔助計算!$G$2:$G$801, 0)+1))&lt;=790,3,IF(INDEX(ERP資料!$G:$G, (MATCH(806, 輔助計算!$G$2:$G$801, 0)+1))&lt;=1181,2,1))))&gt;0, IF(IF(INDEX(ERP資料!$G:$G, (MATCH(806, 輔助計算!$G$2:$G$801, 0)+1))&lt;100, IF(INDEX(ERP資料!$G:$G, (MATCH(806, 輔助計算!$G$2:$G$801, 0)+1))&lt;=31,3,IF(INDEX(ERP資料!$G:$G, (MATCH(806, 輔助計算!$G$2:$G$801, 0)+1))&lt;=46.5,2,1)), IF(INDEX(ERP資料!$G:$G, (MATCH(806, 輔助計算!$G$2:$G$801, 0)+1))&lt;=790,3,IF(INDEX(ERP資料!$G:$G, (MATCH(806, 輔助計算!$G$2:$G$801, 0)+1))&lt;=1181,2,1)))=1,TEXT(INDEX(ERP資料!$G:$G, (MATCH(806, 輔助計算!$G$2:$G$801, 0)+1)),"0.##"),IF(IF(INDEX(ERP資料!$G:$G, (MATCH(806, 輔助計算!$G$2:$G$801, 0)+1))&lt;100, IF(INDEX(ERP資料!$G:$G, (MATCH(806, 輔助計算!$G$2:$G$801, 0)+1))&lt;=31,3,IF(INDEX(ERP資料!$G:$G, (MATCH(806, 輔助計算!$G$2:$G$801, 0)+1))&lt;=46.5,2,1)), IF(INDEX(ERP資料!$G:$G, (MATCH(806, 輔助計算!$G$2:$G$801, 0)+1))&lt;=790,3,IF(INDEX(ERP資料!$G:$G, (MATCH(806, 輔助計算!$G$2:$G$801, 0)+1))&lt;=1181,2,1)))=2,TEXT(INDEX(ERP資料!$G:$G, (MATCH(806, 輔助計算!$G$2:$G$801, 0)+1)),"0.##")&amp;"+"&amp;TEXT(INDEX(ERP資料!$G:$G, (MATCH(806, 輔助計算!$G$2:$G$801, 0)+1)),"0.##"),TEXT(INDEX(ERP資料!$G:$G, (MATCH(806, 輔助計算!$G$2:$G$801, 0)+1)),"0.##")&amp;"+"&amp;TEXT(INDEX(ERP資料!$G:$G, (MATCH(806, 輔助計算!$G$2:$G$801, 0)+1)),"0.##")&amp;"+"&amp;TEXT(INDEX(ERP資料!$G:$G, (MATCH(806, 輔助計算!$G$2:$G$801, 0)+1)),"0.##")))&amp;"-"&amp;INT(INDEX(輔助計算!$D:$D, (MATCH(806, 輔助計算!$G$2:$G$801, 0)+1))/IF(INDEX(ERP資料!$G:$G, (MATCH(806, 輔助計算!$G$2:$G$801, 0)+1))&lt;100, IF(INDEX(ERP資料!$G:$G, (MATCH(806, 輔助計算!$G$2:$G$801, 0)+1))&lt;=31,3,IF(INDEX(ERP資料!$G:$G, (MATCH(806, 輔助計算!$G$2:$G$801, 0)+1))&lt;=46.5,2,1)), IF(INDEX(ERP資料!$G:$G, (MATCH(806, 輔助計算!$G$2:$G$801, 0)+1))&lt;=790,3,IF(INDEX(ERP資料!$G:$G, (MATCH(806, 輔助計算!$G$2:$G$801, 0)+1))&lt;=1181,2,1)))), "")&amp;IF(AND(IF(INT(INDEX(輔助計算!$D:$D, (MATCH(806, 輔助計算!$G$2:$G$801, 0)+1))/IF(INDEX(ERP資料!$G:$G, (MATCH(806, 輔助計算!$G$2:$G$801, 0)+1))&lt;100, IF(INDEX(ERP資料!$G:$G, (MATCH(806, 輔助計算!$G$2:$G$801, 0)+1))&lt;=31,3,IF(INDEX(ERP資料!$G:$G, (MATCH(806, 輔助計算!$G$2:$G$801, 0)+1))&lt;=46.5,2,1)), IF(INDEX(ERP資料!$G:$G, (MATCH(806, 輔助計算!$G$2:$G$801, 0)+1))&lt;=790,3,IF(INDEX(ERP資料!$G:$G, (MATCH(806, 輔助計算!$G$2:$G$801, 0)+1))&lt;=1181,2,1))))&gt;0, IF(IF(INDEX(ERP資料!$G:$G, (MATCH(806, 輔助計算!$G$2:$G$801, 0)+1))&lt;100, IF(INDEX(ERP資料!$G:$G, (MATCH(806, 輔助計算!$G$2:$G$801, 0)+1))&lt;=31,3,IF(INDEX(ERP資料!$G:$G, (MATCH(806, 輔助計算!$G$2:$G$801, 0)+1))&lt;=46.5,2,1)), IF(INDEX(ERP資料!$G:$G, (MATCH(806, 輔助計算!$G$2:$G$801, 0)+1))&lt;=790,3,IF(INDEX(ERP資料!$G:$G, (MATCH(806, 輔助計算!$G$2:$G$801, 0)+1))&lt;=1181,2,1)))=1,TEXT(INDEX(ERP資料!$G:$G, (MATCH(806, 輔助計算!$G$2:$G$801, 0)+1)),"0.##"),IF(IF(INDEX(ERP資料!$G:$G, (MATCH(806, 輔助計算!$G$2:$G$801, 0)+1))&lt;100, IF(INDEX(ERP資料!$G:$G, (MATCH(806, 輔助計算!$G$2:$G$801, 0)+1))&lt;=31,3,IF(INDEX(ERP資料!$G:$G, (MATCH(806, 輔助計算!$G$2:$G$801, 0)+1))&lt;=46.5,2,1)), IF(INDEX(ERP資料!$G:$G, (MATCH(806, 輔助計算!$G$2:$G$801, 0)+1))&lt;=790,3,IF(INDEX(ERP資料!$G:$G, (MATCH(806, 輔助計算!$G$2:$G$801, 0)+1))&lt;=1181,2,1)))=2,TEXT(INDEX(ERP資料!$G:$G, (MATCH(806, 輔助計算!$G$2:$G$801, 0)+1)),"0.##")&amp;"+"&amp;TEXT(INDEX(ERP資料!$G:$G, (MATCH(806, 輔助計算!$G$2:$G$801, 0)+1)),"0.##"),TEXT(INDEX(ERP資料!$G:$G, (MATCH(806, 輔助計算!$G$2:$G$801, 0)+1)),"0.##")&amp;"+"&amp;TEXT(INDEX(ERP資料!$G:$G, (MATCH(806, 輔助計算!$G$2:$G$801, 0)+1)),"0.##")&amp;"+"&amp;TEXT(INDEX(ERP資料!$G:$G, (MATCH(806, 輔助計算!$G$2:$G$801, 0)+1)),"0.##")))&amp;"-"&amp;INT(INDEX(輔助計算!$D:$D, (MATCH(806, 輔助計算!$G$2:$G$801, 0)+1))/IF(INDEX(ERP資料!$G:$G, (MATCH(806, 輔助計算!$G$2:$G$801, 0)+1))&lt;100, IF(INDEX(ERP資料!$G:$G, (MATCH(806, 輔助計算!$G$2:$G$801, 0)+1))&lt;=31,3,IF(INDEX(ERP資料!$G:$G, (MATCH(806, 輔助計算!$G$2:$G$801, 0)+1))&lt;=46.5,2,1)), IF(INDEX(ERP資料!$G:$G, (MATCH(806, 輔助計算!$G$2:$G$801, 0)+1))&lt;=790,3,IF(INDEX(ERP資料!$G:$G, (MATCH(806, 輔助計算!$G$2:$G$801, 0)+1))&lt;=1181,2,1)))), "")&lt;&gt;"",IF(MOD(INDEX(輔助計算!$D:$D, (MATCH(806, 輔助計算!$G$2:$G$801, 0)+1)),IF(INDEX(ERP資料!$G:$G, (MATCH(806, 輔助計算!$G$2:$G$801, 0)+1))&lt;100, IF(INDEX(ERP資料!$G:$G, (MATCH(806, 輔助計算!$G$2:$G$801, 0)+1))&lt;=31,3,IF(INDEX(ERP資料!$G:$G, (MATCH(806, 輔助計算!$G$2:$G$801, 0)+1))&lt;=46.5,2,1)), IF(INDEX(ERP資料!$G:$G, (MATCH(806, 輔助計算!$G$2:$G$801, 0)+1))&lt;=790,3,IF(INDEX(ERP資料!$G:$G, (MATCH(806, 輔助計算!$G$2:$G$801, 0)+1))&lt;=1181,2,1))))=0,"",IF(MOD(INDEX(輔助計算!$D:$D, (MATCH(806, 輔助計算!$G$2:$G$801, 0)+1)),IF(INDEX(ERP資料!$G:$G, (MATCH(806, 輔助計算!$G$2:$G$801, 0)+1))&lt;100, IF(INDEX(ERP資料!$G:$G, (MATCH(806, 輔助計算!$G$2:$G$801, 0)+1))&lt;=31,3,IF(INDEX(ERP資料!$G:$G, (MATCH(806, 輔助計算!$G$2:$G$801, 0)+1))&lt;=46.5,2,1)), IF(INDEX(ERP資料!$G:$G, (MATCH(806, 輔助計算!$G$2:$G$801, 0)+1))&lt;=790,3,IF(INDEX(ERP資料!$G:$G, (MATCH(806, 輔助計算!$G$2:$G$801, 0)+1))&lt;=1181,2,1))))=0,"",IF(MOD(INDEX(輔助計算!$D:$D, (MATCH(806, 輔助計算!$G$2:$G$801, 0)+1)),IF(INDEX(ERP資料!$G:$G, (MATCH(806, 輔助計算!$G$2:$G$801, 0)+1))&lt;100, IF(INDEX(ERP資料!$G:$G, (MATCH(806, 輔助計算!$G$2:$G$801, 0)+1))&lt;=31,3,IF(INDEX(ERP資料!$G:$G, (MATCH(806, 輔助計算!$G$2:$G$801, 0)+1))&lt;=46.5,2,1)), IF(INDEX(ERP資料!$G:$G, (MATCH(806, 輔助計算!$G$2:$G$801, 0)+1))&lt;=790,3,IF(INDEX(ERP資料!$G:$G, (MATCH(806, 輔助計算!$G$2:$G$801, 0)+1))&lt;=1181,2,1))))=1,TEXT(INDEX(ERP資料!$G:$G, (MATCH(806, 輔助計算!$G$2:$G$801, 0)+1)),"0.##"),IF(MOD(INDEX(輔助計算!$D:$D, (MATCH(806, 輔助計算!$G$2:$G$801, 0)+1)),IF(INDEX(ERP資料!$G:$G, (MATCH(806, 輔助計算!$G$2:$G$801, 0)+1))&lt;100, IF(INDEX(ERP資料!$G:$G, (MATCH(806, 輔助計算!$G$2:$G$801, 0)+1))&lt;=31,3,IF(INDEX(ERP資料!$G:$G, (MATCH(806, 輔助計算!$G$2:$G$801, 0)+1))&lt;=46.5,2,1)), IF(INDEX(ERP資料!$G:$G, (MATCH(806, 輔助計算!$G$2:$G$801, 0)+1))&lt;=790,3,IF(INDEX(ERP資料!$G:$G, (MATCH(806, 輔助計算!$G$2:$G$801, 0)+1))&lt;=1181,2,1))))=2,TEXT(INDEX(ERP資料!$G:$G, (MATCH(806, 輔助計算!$G$2:$G$801, 0)+1)),"0.##")&amp;"+"&amp;TEXT(INDEX(ERP資料!$G:$G, (MATCH(806, 輔助計算!$G$2:$G$801, 0)+1)),"0.##"),TEXT(INDEX(ERP資料!$G:$G, (MATCH(806, 輔助計算!$G$2:$G$801, 0)+1)),"0.##")&amp;"+"&amp;TEXT(INDEX(ERP資料!$G:$G, (MATCH(806, 輔助計算!$G$2:$G$801, 0)+1)),"0.##")&amp;"+"&amp;TEXT(INDEX(ERP資料!$G:$G, (MATCH(806, 輔助計算!$G$2:$G$801, 0)+1)),"0.##"))))&amp;"-1")&lt;&gt;""),"  ","")&amp;IF(MOD(INDEX(輔助計算!$D:$D, (MATCH(806, 輔助計算!$G$2:$G$801, 0)+1)),IF(INDEX(ERP資料!$G:$G, (MATCH(806, 輔助計算!$G$2:$G$801, 0)+1))&lt;100, IF(INDEX(ERP資料!$G:$G, (MATCH(806, 輔助計算!$G$2:$G$801, 0)+1))&lt;=31,3,IF(INDEX(ERP資料!$G:$G, (MATCH(806, 輔助計算!$G$2:$G$801, 0)+1))&lt;=46.5,2,1)), IF(INDEX(ERP資料!$G:$G, (MATCH(806, 輔助計算!$G$2:$G$801, 0)+1))&lt;=790,3,IF(INDEX(ERP資料!$G:$G, (MATCH(806, 輔助計算!$G$2:$G$801, 0)+1))&lt;=1181,2,1))))=0,"",IF(MOD(INDEX(輔助計算!$D:$D, (MATCH(806, 輔助計算!$G$2:$G$801, 0)+1)),IF(INDEX(ERP資料!$G:$G, (MATCH(806, 輔助計算!$G$2:$G$801, 0)+1))&lt;100, IF(INDEX(ERP資料!$G:$G, (MATCH(806, 輔助計算!$G$2:$G$801, 0)+1))&lt;=31,3,IF(INDEX(ERP資料!$G:$G, (MATCH(806, 輔助計算!$G$2:$G$801, 0)+1))&lt;=46.5,2,1)), IF(INDEX(ERP資料!$G:$G, (MATCH(806, 輔助計算!$G$2:$G$801, 0)+1))&lt;=790,3,IF(INDEX(ERP資料!$G:$G, (MATCH(806, 輔助計算!$G$2:$G$801, 0)+1))&lt;=1181,2,1))))=0,"",IF(MOD(INDEX(輔助計算!$D:$D, (MATCH(806, 輔助計算!$G$2:$G$801, 0)+1)),IF(INDEX(ERP資料!$G:$G, (MATCH(806, 輔助計算!$G$2:$G$801, 0)+1))&lt;100, IF(INDEX(ERP資料!$G:$G, (MATCH(806, 輔助計算!$G$2:$G$801, 0)+1))&lt;=31,3,IF(INDEX(ERP資料!$G:$G, (MATCH(806, 輔助計算!$G$2:$G$801, 0)+1))&lt;=46.5,2,1)), IF(INDEX(ERP資料!$G:$G, (MATCH(806, 輔助計算!$G$2:$G$801, 0)+1))&lt;=790,3,IF(INDEX(ERP資料!$G:$G, (MATCH(806, 輔助計算!$G$2:$G$801, 0)+1))&lt;=1181,2,1))))=1,TEXT(INDEX(ERP資料!$G:$G, (MATCH(806, 輔助計算!$G$2:$G$801, 0)+1)),"0.##"),IF(MOD(INDEX(輔助計算!$D:$D, (MATCH(806, 輔助計算!$G$2:$G$801, 0)+1)),IF(INDEX(ERP資料!$G:$G, (MATCH(806, 輔助計算!$G$2:$G$801, 0)+1))&lt;100, IF(INDEX(ERP資料!$G:$G, (MATCH(806, 輔助計算!$G$2:$G$801, 0)+1))&lt;=31,3,IF(INDEX(ERP資料!$G:$G, (MATCH(806, 輔助計算!$G$2:$G$801, 0)+1))&lt;=46.5,2,1)), IF(INDEX(ERP資料!$G:$G, (MATCH(806, 輔助計算!$G$2:$G$801, 0)+1))&lt;=790,3,IF(INDEX(ERP資料!$G:$G, (MATCH(806, 輔助計算!$G$2:$G$801, 0)+1))&lt;=1181,2,1))))=2,TEXT(INDEX(ERP資料!$G:$G, (MATCH(806, 輔助計算!$G$2:$G$801, 0)+1)),"0.##")&amp;"+"&amp;TEXT(INDEX(ERP資料!$G:$G, (MATCH(806, 輔助計算!$G$2:$G$801, 0)+1)),"0.##"),TEXT(INDEX(ERP資料!$G:$G, (MATCH(806, 輔助計算!$G$2:$G$801, 0)+1)),"0.##")&amp;"+"&amp;TEXT(INDEX(ERP資料!$G:$G, (MATCH(806, 輔助計算!$G$2:$G$801, 0)+1)),"0.##")&amp;"+"&amp;TEXT(INDEX(ERP資料!$G:$G, (MATCH(806, 輔助計算!$G$2:$G$801, 0)+1)),"0.##"))))&amp;"-1")), ""), "")</f>
        <v/>
      </c>
      <c r="K807" s="16" t="n"/>
      <c r="L807" s="14">
        <f>IFERROR(IF(AND(IFERROR(INDEX(ERP資料!$A:$A, (MATCH(806, 輔助計算!$G$2:$G$801, 0)+1)), "")&lt;&gt;"", IFERROR(INDEX(ERP資料!$A:$A, (MATCH(806, 輔助計算!$G$2:$G$801, 0)+1)), "")&lt;&gt;IFERROR(INDEX(ERP資料!$A:$A, MATCH(805, 輔助計算!$G$2:$G$801, 0)+1), "")), INDEX(ERP資料!$B:$B, (MATCH(806, 輔助計算!$G$2:$G$801, 0)+1)), ""), "")</f>
        <v/>
      </c>
      <c r="M807" s="17" t="n"/>
    </row>
    <row r="808">
      <c r="A808" s="10">
        <f>IFERROR(IF(AND(IFERROR(INDEX(ERP資料!$A:$A, (MATCH(807, 輔助計算!$G$2:$G$801, 0)+1)), "")&lt;&gt;"", IFERROR(INDEX(ERP資料!$A:$A, (MATCH(807, 輔助計算!$G$2:$G$801, 0)+1)), "")&lt;&gt;IFERROR(INDEX(ERP資料!$A:$A, MATCH(806, 輔助計算!$G$2:$G$801, 0)+1), "")), IFERROR(INDEX(ERP資料!$A:$A, (MATCH(807, 輔助計算!$G$2:$G$801, 0)+1)), ""), ""), "")</f>
        <v/>
      </c>
      <c r="B808" s="10">
        <f>IFERROR(IF(AND(IFERROR(INDEX(ERP資料!$A:$A, (MATCH(807, 輔助計算!$G$2:$G$801, 0)+1)), "")&lt;&gt;"", IFERROR(INDEX(ERP資料!$A:$A, (MATCH(807, 輔助計算!$G$2:$G$801, 0)+1)), "")&lt;&gt;IFERROR(INDEX(ERP資料!$A:$A, MATCH(806, 輔助計算!$G$2:$G$801, 0)+1), "")), INDEX(ERP資料!$S:$S, (MATCH(807, 輔助計算!$G$2:$G$801, 0)+1)), ""), "")</f>
        <v/>
      </c>
      <c r="C808" s="19">
        <f>IFERROR(IF(AND(IFERROR(INDEX(ERP資料!$A:$A, (MATCH(807, 輔助計算!$G$2:$G$801, 0)+1)), "")&lt;&gt;"", IFERROR(INDEX(ERP資料!$A:$A, (MATCH(807, 輔助計算!$G$2:$G$801, 0)+1)), "")&lt;&gt;IFERROR(INDEX(ERP資料!$A:$A, MATCH(806, 輔助計算!$G$2:$G$801, 0)+1), "")), IFERROR(VLOOKUP(LEFT(INDEX(ERP資料!$S:$S, (MATCH(807, 輔助計算!$G$2:$G$801, 0)+1)), 4), 紙管對照表!$A:$C, 3, FALSE), ""), ""), "")</f>
        <v/>
      </c>
      <c r="D808" s="16" t="n"/>
      <c r="E808" s="10">
        <f>IFERROR(IF(INDEX(ERP資料!$H:$H, (MATCH(807, 輔助計算!$G$2:$G$801, 0)+1))="","",INDEX(ERP資料!$H:$H, (MATCH(807, 輔助計算!$G$2:$G$801, 0)+1))), "")</f>
        <v/>
      </c>
      <c r="F808" s="10">
        <f>IFERROR(IF(INDEX(ERP資料!$E:$E, (MATCH(807, 輔助計算!$G$2:$G$801, 0)+1))="","",TRIM(INDEX(ERP資料!$E:$E, (MATCH(807, 輔助計算!$G$2:$G$801, 0)+1)))), "")</f>
        <v/>
      </c>
      <c r="G808" s="10">
        <f>IFERROR(IF(INDEX(ERP資料!$F:$F, (MATCH(807, 輔助計算!$G$2:$G$801, 0)+1))="","",INDEX(ERP資料!$F:$F, (MATCH(807, 輔助計算!$G$2:$G$801, 0)+1))), "")</f>
        <v/>
      </c>
      <c r="H808" s="10">
        <f>IFERROR(IF(INDEX(ERP資料!$G:$G, (MATCH(807, 輔助計算!$G$2:$G$801, 0)+1))="","",INDEX(ERP資料!$G:$G, (MATCH(807, 輔助計算!$G$2:$G$801, 0)+1))), "")</f>
        <v/>
      </c>
      <c r="I808" s="15">
        <f>IFERROR(INDEX(輔助計算!$D:$D, (MATCH(807, 輔助計算!$G$2:$G$801, 0)+1)), "")</f>
        <v/>
      </c>
      <c r="J808" s="15">
        <f>IFERROR(IF(AND(INDEX(輔助計算!$D:$D, (MATCH(807, 輔助計算!$G$2:$G$801, 0)+1))&lt;&gt;"", INDEX(ERP資料!$G:$G, (MATCH(807, 輔助計算!$G$2:$G$801, 0)+1))&lt;&gt;""), TRIM(IF(INT(INDEX(輔助計算!$D:$D, (MATCH(807, 輔助計算!$G$2:$G$801, 0)+1))/IF(INDEX(ERP資料!$G:$G, (MATCH(807, 輔助計算!$G$2:$G$801, 0)+1))&lt;100, IF(INDEX(ERP資料!$G:$G, (MATCH(807, 輔助計算!$G$2:$G$801, 0)+1))&lt;=31,3,IF(INDEX(ERP資料!$G:$G, (MATCH(807, 輔助計算!$G$2:$G$801, 0)+1))&lt;=46.5,2,1)), IF(INDEX(ERP資料!$G:$G, (MATCH(807, 輔助計算!$G$2:$G$801, 0)+1))&lt;=790,3,IF(INDEX(ERP資料!$G:$G, (MATCH(807, 輔助計算!$G$2:$G$801, 0)+1))&lt;=1181,2,1))))&gt;0, IF(IF(INDEX(ERP資料!$G:$G, (MATCH(807, 輔助計算!$G$2:$G$801, 0)+1))&lt;100, IF(INDEX(ERP資料!$G:$G, (MATCH(807, 輔助計算!$G$2:$G$801, 0)+1))&lt;=31,3,IF(INDEX(ERP資料!$G:$G, (MATCH(807, 輔助計算!$G$2:$G$801, 0)+1))&lt;=46.5,2,1)), IF(INDEX(ERP資料!$G:$G, (MATCH(807, 輔助計算!$G$2:$G$801, 0)+1))&lt;=790,3,IF(INDEX(ERP資料!$G:$G, (MATCH(807, 輔助計算!$G$2:$G$801, 0)+1))&lt;=1181,2,1)))=1,TEXT(INDEX(ERP資料!$G:$G, (MATCH(807, 輔助計算!$G$2:$G$801, 0)+1)),"0.##"),IF(IF(INDEX(ERP資料!$G:$G, (MATCH(807, 輔助計算!$G$2:$G$801, 0)+1))&lt;100, IF(INDEX(ERP資料!$G:$G, (MATCH(807, 輔助計算!$G$2:$G$801, 0)+1))&lt;=31,3,IF(INDEX(ERP資料!$G:$G, (MATCH(807, 輔助計算!$G$2:$G$801, 0)+1))&lt;=46.5,2,1)), IF(INDEX(ERP資料!$G:$G, (MATCH(807, 輔助計算!$G$2:$G$801, 0)+1))&lt;=790,3,IF(INDEX(ERP資料!$G:$G, (MATCH(807, 輔助計算!$G$2:$G$801, 0)+1))&lt;=1181,2,1)))=2,TEXT(INDEX(ERP資料!$G:$G, (MATCH(807, 輔助計算!$G$2:$G$801, 0)+1)),"0.##")&amp;"+"&amp;TEXT(INDEX(ERP資料!$G:$G, (MATCH(807, 輔助計算!$G$2:$G$801, 0)+1)),"0.##"),TEXT(INDEX(ERP資料!$G:$G, (MATCH(807, 輔助計算!$G$2:$G$801, 0)+1)),"0.##")&amp;"+"&amp;TEXT(INDEX(ERP資料!$G:$G, (MATCH(807, 輔助計算!$G$2:$G$801, 0)+1)),"0.##")&amp;"+"&amp;TEXT(INDEX(ERP資料!$G:$G, (MATCH(807, 輔助計算!$G$2:$G$801, 0)+1)),"0.##")))&amp;"-"&amp;INT(INDEX(輔助計算!$D:$D, (MATCH(807, 輔助計算!$G$2:$G$801, 0)+1))/IF(INDEX(ERP資料!$G:$G, (MATCH(807, 輔助計算!$G$2:$G$801, 0)+1))&lt;100, IF(INDEX(ERP資料!$G:$G, (MATCH(807, 輔助計算!$G$2:$G$801, 0)+1))&lt;=31,3,IF(INDEX(ERP資料!$G:$G, (MATCH(807, 輔助計算!$G$2:$G$801, 0)+1))&lt;=46.5,2,1)), IF(INDEX(ERP資料!$G:$G, (MATCH(807, 輔助計算!$G$2:$G$801, 0)+1))&lt;=790,3,IF(INDEX(ERP資料!$G:$G, (MATCH(807, 輔助計算!$G$2:$G$801, 0)+1))&lt;=1181,2,1)))), "")&amp;IF(AND(IF(INT(INDEX(輔助計算!$D:$D, (MATCH(807, 輔助計算!$G$2:$G$801, 0)+1))/IF(INDEX(ERP資料!$G:$G, (MATCH(807, 輔助計算!$G$2:$G$801, 0)+1))&lt;100, IF(INDEX(ERP資料!$G:$G, (MATCH(807, 輔助計算!$G$2:$G$801, 0)+1))&lt;=31,3,IF(INDEX(ERP資料!$G:$G, (MATCH(807, 輔助計算!$G$2:$G$801, 0)+1))&lt;=46.5,2,1)), IF(INDEX(ERP資料!$G:$G, (MATCH(807, 輔助計算!$G$2:$G$801, 0)+1))&lt;=790,3,IF(INDEX(ERP資料!$G:$G, (MATCH(807, 輔助計算!$G$2:$G$801, 0)+1))&lt;=1181,2,1))))&gt;0, IF(IF(INDEX(ERP資料!$G:$G, (MATCH(807, 輔助計算!$G$2:$G$801, 0)+1))&lt;100, IF(INDEX(ERP資料!$G:$G, (MATCH(807, 輔助計算!$G$2:$G$801, 0)+1))&lt;=31,3,IF(INDEX(ERP資料!$G:$G, (MATCH(807, 輔助計算!$G$2:$G$801, 0)+1))&lt;=46.5,2,1)), IF(INDEX(ERP資料!$G:$G, (MATCH(807, 輔助計算!$G$2:$G$801, 0)+1))&lt;=790,3,IF(INDEX(ERP資料!$G:$G, (MATCH(807, 輔助計算!$G$2:$G$801, 0)+1))&lt;=1181,2,1)))=1,TEXT(INDEX(ERP資料!$G:$G, (MATCH(807, 輔助計算!$G$2:$G$801, 0)+1)),"0.##"),IF(IF(INDEX(ERP資料!$G:$G, (MATCH(807, 輔助計算!$G$2:$G$801, 0)+1))&lt;100, IF(INDEX(ERP資料!$G:$G, (MATCH(807, 輔助計算!$G$2:$G$801, 0)+1))&lt;=31,3,IF(INDEX(ERP資料!$G:$G, (MATCH(807, 輔助計算!$G$2:$G$801, 0)+1))&lt;=46.5,2,1)), IF(INDEX(ERP資料!$G:$G, (MATCH(807, 輔助計算!$G$2:$G$801, 0)+1))&lt;=790,3,IF(INDEX(ERP資料!$G:$G, (MATCH(807, 輔助計算!$G$2:$G$801, 0)+1))&lt;=1181,2,1)))=2,TEXT(INDEX(ERP資料!$G:$G, (MATCH(807, 輔助計算!$G$2:$G$801, 0)+1)),"0.##")&amp;"+"&amp;TEXT(INDEX(ERP資料!$G:$G, (MATCH(807, 輔助計算!$G$2:$G$801, 0)+1)),"0.##"),TEXT(INDEX(ERP資料!$G:$G, (MATCH(807, 輔助計算!$G$2:$G$801, 0)+1)),"0.##")&amp;"+"&amp;TEXT(INDEX(ERP資料!$G:$G, (MATCH(807, 輔助計算!$G$2:$G$801, 0)+1)),"0.##")&amp;"+"&amp;TEXT(INDEX(ERP資料!$G:$G, (MATCH(807, 輔助計算!$G$2:$G$801, 0)+1)),"0.##")))&amp;"-"&amp;INT(INDEX(輔助計算!$D:$D, (MATCH(807, 輔助計算!$G$2:$G$801, 0)+1))/IF(INDEX(ERP資料!$G:$G, (MATCH(807, 輔助計算!$G$2:$G$801, 0)+1))&lt;100, IF(INDEX(ERP資料!$G:$G, (MATCH(807, 輔助計算!$G$2:$G$801, 0)+1))&lt;=31,3,IF(INDEX(ERP資料!$G:$G, (MATCH(807, 輔助計算!$G$2:$G$801, 0)+1))&lt;=46.5,2,1)), IF(INDEX(ERP資料!$G:$G, (MATCH(807, 輔助計算!$G$2:$G$801, 0)+1))&lt;=790,3,IF(INDEX(ERP資料!$G:$G, (MATCH(807, 輔助計算!$G$2:$G$801, 0)+1))&lt;=1181,2,1)))), "")&lt;&gt;"",IF(MOD(INDEX(輔助計算!$D:$D, (MATCH(807, 輔助計算!$G$2:$G$801, 0)+1)),IF(INDEX(ERP資料!$G:$G, (MATCH(807, 輔助計算!$G$2:$G$801, 0)+1))&lt;100, IF(INDEX(ERP資料!$G:$G, (MATCH(807, 輔助計算!$G$2:$G$801, 0)+1))&lt;=31,3,IF(INDEX(ERP資料!$G:$G, (MATCH(807, 輔助計算!$G$2:$G$801, 0)+1))&lt;=46.5,2,1)), IF(INDEX(ERP資料!$G:$G, (MATCH(807, 輔助計算!$G$2:$G$801, 0)+1))&lt;=790,3,IF(INDEX(ERP資料!$G:$G, (MATCH(807, 輔助計算!$G$2:$G$801, 0)+1))&lt;=1181,2,1))))=0,"",IF(MOD(INDEX(輔助計算!$D:$D, (MATCH(807, 輔助計算!$G$2:$G$801, 0)+1)),IF(INDEX(ERP資料!$G:$G, (MATCH(807, 輔助計算!$G$2:$G$801, 0)+1))&lt;100, IF(INDEX(ERP資料!$G:$G, (MATCH(807, 輔助計算!$G$2:$G$801, 0)+1))&lt;=31,3,IF(INDEX(ERP資料!$G:$G, (MATCH(807, 輔助計算!$G$2:$G$801, 0)+1))&lt;=46.5,2,1)), IF(INDEX(ERP資料!$G:$G, (MATCH(807, 輔助計算!$G$2:$G$801, 0)+1))&lt;=790,3,IF(INDEX(ERP資料!$G:$G, (MATCH(807, 輔助計算!$G$2:$G$801, 0)+1))&lt;=1181,2,1))))=0,"",IF(MOD(INDEX(輔助計算!$D:$D, (MATCH(807, 輔助計算!$G$2:$G$801, 0)+1)),IF(INDEX(ERP資料!$G:$G, (MATCH(807, 輔助計算!$G$2:$G$801, 0)+1))&lt;100, IF(INDEX(ERP資料!$G:$G, (MATCH(807, 輔助計算!$G$2:$G$801, 0)+1))&lt;=31,3,IF(INDEX(ERP資料!$G:$G, (MATCH(807, 輔助計算!$G$2:$G$801, 0)+1))&lt;=46.5,2,1)), IF(INDEX(ERP資料!$G:$G, (MATCH(807, 輔助計算!$G$2:$G$801, 0)+1))&lt;=790,3,IF(INDEX(ERP資料!$G:$G, (MATCH(807, 輔助計算!$G$2:$G$801, 0)+1))&lt;=1181,2,1))))=1,TEXT(INDEX(ERP資料!$G:$G, (MATCH(807, 輔助計算!$G$2:$G$801, 0)+1)),"0.##"),IF(MOD(INDEX(輔助計算!$D:$D, (MATCH(807, 輔助計算!$G$2:$G$801, 0)+1)),IF(INDEX(ERP資料!$G:$G, (MATCH(807, 輔助計算!$G$2:$G$801, 0)+1))&lt;100, IF(INDEX(ERP資料!$G:$G, (MATCH(807, 輔助計算!$G$2:$G$801, 0)+1))&lt;=31,3,IF(INDEX(ERP資料!$G:$G, (MATCH(807, 輔助計算!$G$2:$G$801, 0)+1))&lt;=46.5,2,1)), IF(INDEX(ERP資料!$G:$G, (MATCH(807, 輔助計算!$G$2:$G$801, 0)+1))&lt;=790,3,IF(INDEX(ERP資料!$G:$G, (MATCH(807, 輔助計算!$G$2:$G$801, 0)+1))&lt;=1181,2,1))))=2,TEXT(INDEX(ERP資料!$G:$G, (MATCH(807, 輔助計算!$G$2:$G$801, 0)+1)),"0.##")&amp;"+"&amp;TEXT(INDEX(ERP資料!$G:$G, (MATCH(807, 輔助計算!$G$2:$G$801, 0)+1)),"0.##"),TEXT(INDEX(ERP資料!$G:$G, (MATCH(807, 輔助計算!$G$2:$G$801, 0)+1)),"0.##")&amp;"+"&amp;TEXT(INDEX(ERP資料!$G:$G, (MATCH(807, 輔助計算!$G$2:$G$801, 0)+1)),"0.##")&amp;"+"&amp;TEXT(INDEX(ERP資料!$G:$G, (MATCH(807, 輔助計算!$G$2:$G$801, 0)+1)),"0.##"))))&amp;"-1")&lt;&gt;""),"  ","")&amp;IF(MOD(INDEX(輔助計算!$D:$D, (MATCH(807, 輔助計算!$G$2:$G$801, 0)+1)),IF(INDEX(ERP資料!$G:$G, (MATCH(807, 輔助計算!$G$2:$G$801, 0)+1))&lt;100, IF(INDEX(ERP資料!$G:$G, (MATCH(807, 輔助計算!$G$2:$G$801, 0)+1))&lt;=31,3,IF(INDEX(ERP資料!$G:$G, (MATCH(807, 輔助計算!$G$2:$G$801, 0)+1))&lt;=46.5,2,1)), IF(INDEX(ERP資料!$G:$G, (MATCH(807, 輔助計算!$G$2:$G$801, 0)+1))&lt;=790,3,IF(INDEX(ERP資料!$G:$G, (MATCH(807, 輔助計算!$G$2:$G$801, 0)+1))&lt;=1181,2,1))))=0,"",IF(MOD(INDEX(輔助計算!$D:$D, (MATCH(807, 輔助計算!$G$2:$G$801, 0)+1)),IF(INDEX(ERP資料!$G:$G, (MATCH(807, 輔助計算!$G$2:$G$801, 0)+1))&lt;100, IF(INDEX(ERP資料!$G:$G, (MATCH(807, 輔助計算!$G$2:$G$801, 0)+1))&lt;=31,3,IF(INDEX(ERP資料!$G:$G, (MATCH(807, 輔助計算!$G$2:$G$801, 0)+1))&lt;=46.5,2,1)), IF(INDEX(ERP資料!$G:$G, (MATCH(807, 輔助計算!$G$2:$G$801, 0)+1))&lt;=790,3,IF(INDEX(ERP資料!$G:$G, (MATCH(807, 輔助計算!$G$2:$G$801, 0)+1))&lt;=1181,2,1))))=0,"",IF(MOD(INDEX(輔助計算!$D:$D, (MATCH(807, 輔助計算!$G$2:$G$801, 0)+1)),IF(INDEX(ERP資料!$G:$G, (MATCH(807, 輔助計算!$G$2:$G$801, 0)+1))&lt;100, IF(INDEX(ERP資料!$G:$G, (MATCH(807, 輔助計算!$G$2:$G$801, 0)+1))&lt;=31,3,IF(INDEX(ERP資料!$G:$G, (MATCH(807, 輔助計算!$G$2:$G$801, 0)+1))&lt;=46.5,2,1)), IF(INDEX(ERP資料!$G:$G, (MATCH(807, 輔助計算!$G$2:$G$801, 0)+1))&lt;=790,3,IF(INDEX(ERP資料!$G:$G, (MATCH(807, 輔助計算!$G$2:$G$801, 0)+1))&lt;=1181,2,1))))=1,TEXT(INDEX(ERP資料!$G:$G, (MATCH(807, 輔助計算!$G$2:$G$801, 0)+1)),"0.##"),IF(MOD(INDEX(輔助計算!$D:$D, (MATCH(807, 輔助計算!$G$2:$G$801, 0)+1)),IF(INDEX(ERP資料!$G:$G, (MATCH(807, 輔助計算!$G$2:$G$801, 0)+1))&lt;100, IF(INDEX(ERP資料!$G:$G, (MATCH(807, 輔助計算!$G$2:$G$801, 0)+1))&lt;=31,3,IF(INDEX(ERP資料!$G:$G, (MATCH(807, 輔助計算!$G$2:$G$801, 0)+1))&lt;=46.5,2,1)), IF(INDEX(ERP資料!$G:$G, (MATCH(807, 輔助計算!$G$2:$G$801, 0)+1))&lt;=790,3,IF(INDEX(ERP資料!$G:$G, (MATCH(807, 輔助計算!$G$2:$G$801, 0)+1))&lt;=1181,2,1))))=2,TEXT(INDEX(ERP資料!$G:$G, (MATCH(807, 輔助計算!$G$2:$G$801, 0)+1)),"0.##")&amp;"+"&amp;TEXT(INDEX(ERP資料!$G:$G, (MATCH(807, 輔助計算!$G$2:$G$801, 0)+1)),"0.##"),TEXT(INDEX(ERP資料!$G:$G, (MATCH(807, 輔助計算!$G$2:$G$801, 0)+1)),"0.##")&amp;"+"&amp;TEXT(INDEX(ERP資料!$G:$G, (MATCH(807, 輔助計算!$G$2:$G$801, 0)+1)),"0.##")&amp;"+"&amp;TEXT(INDEX(ERP資料!$G:$G, (MATCH(807, 輔助計算!$G$2:$G$801, 0)+1)),"0.##"))))&amp;"-1")), ""), "")</f>
        <v/>
      </c>
      <c r="K808" s="16" t="n"/>
      <c r="L808" s="14">
        <f>IFERROR(IF(AND(IFERROR(INDEX(ERP資料!$A:$A, (MATCH(807, 輔助計算!$G$2:$G$801, 0)+1)), "")&lt;&gt;"", IFERROR(INDEX(ERP資料!$A:$A, (MATCH(807, 輔助計算!$G$2:$G$801, 0)+1)), "")&lt;&gt;IFERROR(INDEX(ERP資料!$A:$A, MATCH(806, 輔助計算!$G$2:$G$801, 0)+1), "")), INDEX(ERP資料!$B:$B, (MATCH(807, 輔助計算!$G$2:$G$801, 0)+1)), ""), "")</f>
        <v/>
      </c>
      <c r="M808" s="17" t="n"/>
    </row>
    <row r="809">
      <c r="A809" s="10">
        <f>IFERROR(IF(AND(IFERROR(INDEX(ERP資料!$A:$A, (MATCH(808, 輔助計算!$G$2:$G$801, 0)+1)), "")&lt;&gt;"", IFERROR(INDEX(ERP資料!$A:$A, (MATCH(808, 輔助計算!$G$2:$G$801, 0)+1)), "")&lt;&gt;IFERROR(INDEX(ERP資料!$A:$A, MATCH(807, 輔助計算!$G$2:$G$801, 0)+1), "")), IFERROR(INDEX(ERP資料!$A:$A, (MATCH(808, 輔助計算!$G$2:$G$801, 0)+1)), ""), ""), "")</f>
        <v/>
      </c>
      <c r="B809" s="10">
        <f>IFERROR(IF(AND(IFERROR(INDEX(ERP資料!$A:$A, (MATCH(808, 輔助計算!$G$2:$G$801, 0)+1)), "")&lt;&gt;"", IFERROR(INDEX(ERP資料!$A:$A, (MATCH(808, 輔助計算!$G$2:$G$801, 0)+1)), "")&lt;&gt;IFERROR(INDEX(ERP資料!$A:$A, MATCH(807, 輔助計算!$G$2:$G$801, 0)+1), "")), INDEX(ERP資料!$S:$S, (MATCH(808, 輔助計算!$G$2:$G$801, 0)+1)), ""), "")</f>
        <v/>
      </c>
      <c r="C809" s="19">
        <f>IFERROR(IF(AND(IFERROR(INDEX(ERP資料!$A:$A, (MATCH(808, 輔助計算!$G$2:$G$801, 0)+1)), "")&lt;&gt;"", IFERROR(INDEX(ERP資料!$A:$A, (MATCH(808, 輔助計算!$G$2:$G$801, 0)+1)), "")&lt;&gt;IFERROR(INDEX(ERP資料!$A:$A, MATCH(807, 輔助計算!$G$2:$G$801, 0)+1), "")), IFERROR(VLOOKUP(LEFT(INDEX(ERP資料!$S:$S, (MATCH(808, 輔助計算!$G$2:$G$801, 0)+1)), 4), 紙管對照表!$A:$C, 3, FALSE), ""), ""), "")</f>
        <v/>
      </c>
      <c r="D809" s="16" t="n"/>
      <c r="E809" s="10">
        <f>IFERROR(IF(INDEX(ERP資料!$H:$H, (MATCH(808, 輔助計算!$G$2:$G$801, 0)+1))="","",INDEX(ERP資料!$H:$H, (MATCH(808, 輔助計算!$G$2:$G$801, 0)+1))), "")</f>
        <v/>
      </c>
      <c r="F809" s="10">
        <f>IFERROR(IF(INDEX(ERP資料!$E:$E, (MATCH(808, 輔助計算!$G$2:$G$801, 0)+1))="","",TRIM(INDEX(ERP資料!$E:$E, (MATCH(808, 輔助計算!$G$2:$G$801, 0)+1)))), "")</f>
        <v/>
      </c>
      <c r="G809" s="10">
        <f>IFERROR(IF(INDEX(ERP資料!$F:$F, (MATCH(808, 輔助計算!$G$2:$G$801, 0)+1))="","",INDEX(ERP資料!$F:$F, (MATCH(808, 輔助計算!$G$2:$G$801, 0)+1))), "")</f>
        <v/>
      </c>
      <c r="H809" s="10">
        <f>IFERROR(IF(INDEX(ERP資料!$G:$G, (MATCH(808, 輔助計算!$G$2:$G$801, 0)+1))="","",INDEX(ERP資料!$G:$G, (MATCH(808, 輔助計算!$G$2:$G$801, 0)+1))), "")</f>
        <v/>
      </c>
      <c r="I809" s="15">
        <f>IFERROR(INDEX(輔助計算!$D:$D, (MATCH(808, 輔助計算!$G$2:$G$801, 0)+1)), "")</f>
        <v/>
      </c>
      <c r="J809" s="15">
        <f>IFERROR(IF(AND(INDEX(輔助計算!$D:$D, (MATCH(808, 輔助計算!$G$2:$G$801, 0)+1))&lt;&gt;"", INDEX(ERP資料!$G:$G, (MATCH(808, 輔助計算!$G$2:$G$801, 0)+1))&lt;&gt;""), TRIM(IF(INT(INDEX(輔助計算!$D:$D, (MATCH(808, 輔助計算!$G$2:$G$801, 0)+1))/IF(INDEX(ERP資料!$G:$G, (MATCH(808, 輔助計算!$G$2:$G$801, 0)+1))&lt;100, IF(INDEX(ERP資料!$G:$G, (MATCH(808, 輔助計算!$G$2:$G$801, 0)+1))&lt;=31,3,IF(INDEX(ERP資料!$G:$G, (MATCH(808, 輔助計算!$G$2:$G$801, 0)+1))&lt;=46.5,2,1)), IF(INDEX(ERP資料!$G:$G, (MATCH(808, 輔助計算!$G$2:$G$801, 0)+1))&lt;=790,3,IF(INDEX(ERP資料!$G:$G, (MATCH(808, 輔助計算!$G$2:$G$801, 0)+1))&lt;=1181,2,1))))&gt;0, IF(IF(INDEX(ERP資料!$G:$G, (MATCH(808, 輔助計算!$G$2:$G$801, 0)+1))&lt;100, IF(INDEX(ERP資料!$G:$G, (MATCH(808, 輔助計算!$G$2:$G$801, 0)+1))&lt;=31,3,IF(INDEX(ERP資料!$G:$G, (MATCH(808, 輔助計算!$G$2:$G$801, 0)+1))&lt;=46.5,2,1)), IF(INDEX(ERP資料!$G:$G, (MATCH(808, 輔助計算!$G$2:$G$801, 0)+1))&lt;=790,3,IF(INDEX(ERP資料!$G:$G, (MATCH(808, 輔助計算!$G$2:$G$801, 0)+1))&lt;=1181,2,1)))=1,TEXT(INDEX(ERP資料!$G:$G, (MATCH(808, 輔助計算!$G$2:$G$801, 0)+1)),"0.##"),IF(IF(INDEX(ERP資料!$G:$G, (MATCH(808, 輔助計算!$G$2:$G$801, 0)+1))&lt;100, IF(INDEX(ERP資料!$G:$G, (MATCH(808, 輔助計算!$G$2:$G$801, 0)+1))&lt;=31,3,IF(INDEX(ERP資料!$G:$G, (MATCH(808, 輔助計算!$G$2:$G$801, 0)+1))&lt;=46.5,2,1)), IF(INDEX(ERP資料!$G:$G, (MATCH(808, 輔助計算!$G$2:$G$801, 0)+1))&lt;=790,3,IF(INDEX(ERP資料!$G:$G, (MATCH(808, 輔助計算!$G$2:$G$801, 0)+1))&lt;=1181,2,1)))=2,TEXT(INDEX(ERP資料!$G:$G, (MATCH(808, 輔助計算!$G$2:$G$801, 0)+1)),"0.##")&amp;"+"&amp;TEXT(INDEX(ERP資料!$G:$G, (MATCH(808, 輔助計算!$G$2:$G$801, 0)+1)),"0.##"),TEXT(INDEX(ERP資料!$G:$G, (MATCH(808, 輔助計算!$G$2:$G$801, 0)+1)),"0.##")&amp;"+"&amp;TEXT(INDEX(ERP資料!$G:$G, (MATCH(808, 輔助計算!$G$2:$G$801, 0)+1)),"0.##")&amp;"+"&amp;TEXT(INDEX(ERP資料!$G:$G, (MATCH(808, 輔助計算!$G$2:$G$801, 0)+1)),"0.##")))&amp;"-"&amp;INT(INDEX(輔助計算!$D:$D, (MATCH(808, 輔助計算!$G$2:$G$801, 0)+1))/IF(INDEX(ERP資料!$G:$G, (MATCH(808, 輔助計算!$G$2:$G$801, 0)+1))&lt;100, IF(INDEX(ERP資料!$G:$G, (MATCH(808, 輔助計算!$G$2:$G$801, 0)+1))&lt;=31,3,IF(INDEX(ERP資料!$G:$G, (MATCH(808, 輔助計算!$G$2:$G$801, 0)+1))&lt;=46.5,2,1)), IF(INDEX(ERP資料!$G:$G, (MATCH(808, 輔助計算!$G$2:$G$801, 0)+1))&lt;=790,3,IF(INDEX(ERP資料!$G:$G, (MATCH(808, 輔助計算!$G$2:$G$801, 0)+1))&lt;=1181,2,1)))), "")&amp;IF(AND(IF(INT(INDEX(輔助計算!$D:$D, (MATCH(808, 輔助計算!$G$2:$G$801, 0)+1))/IF(INDEX(ERP資料!$G:$G, (MATCH(808, 輔助計算!$G$2:$G$801, 0)+1))&lt;100, IF(INDEX(ERP資料!$G:$G, (MATCH(808, 輔助計算!$G$2:$G$801, 0)+1))&lt;=31,3,IF(INDEX(ERP資料!$G:$G, (MATCH(808, 輔助計算!$G$2:$G$801, 0)+1))&lt;=46.5,2,1)), IF(INDEX(ERP資料!$G:$G, (MATCH(808, 輔助計算!$G$2:$G$801, 0)+1))&lt;=790,3,IF(INDEX(ERP資料!$G:$G, (MATCH(808, 輔助計算!$G$2:$G$801, 0)+1))&lt;=1181,2,1))))&gt;0, IF(IF(INDEX(ERP資料!$G:$G, (MATCH(808, 輔助計算!$G$2:$G$801, 0)+1))&lt;100, IF(INDEX(ERP資料!$G:$G, (MATCH(808, 輔助計算!$G$2:$G$801, 0)+1))&lt;=31,3,IF(INDEX(ERP資料!$G:$G, (MATCH(808, 輔助計算!$G$2:$G$801, 0)+1))&lt;=46.5,2,1)), IF(INDEX(ERP資料!$G:$G, (MATCH(808, 輔助計算!$G$2:$G$801, 0)+1))&lt;=790,3,IF(INDEX(ERP資料!$G:$G, (MATCH(808, 輔助計算!$G$2:$G$801, 0)+1))&lt;=1181,2,1)))=1,TEXT(INDEX(ERP資料!$G:$G, (MATCH(808, 輔助計算!$G$2:$G$801, 0)+1)),"0.##"),IF(IF(INDEX(ERP資料!$G:$G, (MATCH(808, 輔助計算!$G$2:$G$801, 0)+1))&lt;100, IF(INDEX(ERP資料!$G:$G, (MATCH(808, 輔助計算!$G$2:$G$801, 0)+1))&lt;=31,3,IF(INDEX(ERP資料!$G:$G, (MATCH(808, 輔助計算!$G$2:$G$801, 0)+1))&lt;=46.5,2,1)), IF(INDEX(ERP資料!$G:$G, (MATCH(808, 輔助計算!$G$2:$G$801, 0)+1))&lt;=790,3,IF(INDEX(ERP資料!$G:$G, (MATCH(808, 輔助計算!$G$2:$G$801, 0)+1))&lt;=1181,2,1)))=2,TEXT(INDEX(ERP資料!$G:$G, (MATCH(808, 輔助計算!$G$2:$G$801, 0)+1)),"0.##")&amp;"+"&amp;TEXT(INDEX(ERP資料!$G:$G, (MATCH(808, 輔助計算!$G$2:$G$801, 0)+1)),"0.##"),TEXT(INDEX(ERP資料!$G:$G, (MATCH(808, 輔助計算!$G$2:$G$801, 0)+1)),"0.##")&amp;"+"&amp;TEXT(INDEX(ERP資料!$G:$G, (MATCH(808, 輔助計算!$G$2:$G$801, 0)+1)),"0.##")&amp;"+"&amp;TEXT(INDEX(ERP資料!$G:$G, (MATCH(808, 輔助計算!$G$2:$G$801, 0)+1)),"0.##")))&amp;"-"&amp;INT(INDEX(輔助計算!$D:$D, (MATCH(808, 輔助計算!$G$2:$G$801, 0)+1))/IF(INDEX(ERP資料!$G:$G, (MATCH(808, 輔助計算!$G$2:$G$801, 0)+1))&lt;100, IF(INDEX(ERP資料!$G:$G, (MATCH(808, 輔助計算!$G$2:$G$801, 0)+1))&lt;=31,3,IF(INDEX(ERP資料!$G:$G, (MATCH(808, 輔助計算!$G$2:$G$801, 0)+1))&lt;=46.5,2,1)), IF(INDEX(ERP資料!$G:$G, (MATCH(808, 輔助計算!$G$2:$G$801, 0)+1))&lt;=790,3,IF(INDEX(ERP資料!$G:$G, (MATCH(808, 輔助計算!$G$2:$G$801, 0)+1))&lt;=1181,2,1)))), "")&lt;&gt;"",IF(MOD(INDEX(輔助計算!$D:$D, (MATCH(808, 輔助計算!$G$2:$G$801, 0)+1)),IF(INDEX(ERP資料!$G:$G, (MATCH(808, 輔助計算!$G$2:$G$801, 0)+1))&lt;100, IF(INDEX(ERP資料!$G:$G, (MATCH(808, 輔助計算!$G$2:$G$801, 0)+1))&lt;=31,3,IF(INDEX(ERP資料!$G:$G, (MATCH(808, 輔助計算!$G$2:$G$801, 0)+1))&lt;=46.5,2,1)), IF(INDEX(ERP資料!$G:$G, (MATCH(808, 輔助計算!$G$2:$G$801, 0)+1))&lt;=790,3,IF(INDEX(ERP資料!$G:$G, (MATCH(808, 輔助計算!$G$2:$G$801, 0)+1))&lt;=1181,2,1))))=0,"",IF(MOD(INDEX(輔助計算!$D:$D, (MATCH(808, 輔助計算!$G$2:$G$801, 0)+1)),IF(INDEX(ERP資料!$G:$G, (MATCH(808, 輔助計算!$G$2:$G$801, 0)+1))&lt;100, IF(INDEX(ERP資料!$G:$G, (MATCH(808, 輔助計算!$G$2:$G$801, 0)+1))&lt;=31,3,IF(INDEX(ERP資料!$G:$G, (MATCH(808, 輔助計算!$G$2:$G$801, 0)+1))&lt;=46.5,2,1)), IF(INDEX(ERP資料!$G:$G, (MATCH(808, 輔助計算!$G$2:$G$801, 0)+1))&lt;=790,3,IF(INDEX(ERP資料!$G:$G, (MATCH(808, 輔助計算!$G$2:$G$801, 0)+1))&lt;=1181,2,1))))=0,"",IF(MOD(INDEX(輔助計算!$D:$D, (MATCH(808, 輔助計算!$G$2:$G$801, 0)+1)),IF(INDEX(ERP資料!$G:$G, (MATCH(808, 輔助計算!$G$2:$G$801, 0)+1))&lt;100, IF(INDEX(ERP資料!$G:$G, (MATCH(808, 輔助計算!$G$2:$G$801, 0)+1))&lt;=31,3,IF(INDEX(ERP資料!$G:$G, (MATCH(808, 輔助計算!$G$2:$G$801, 0)+1))&lt;=46.5,2,1)), IF(INDEX(ERP資料!$G:$G, (MATCH(808, 輔助計算!$G$2:$G$801, 0)+1))&lt;=790,3,IF(INDEX(ERP資料!$G:$G, (MATCH(808, 輔助計算!$G$2:$G$801, 0)+1))&lt;=1181,2,1))))=1,TEXT(INDEX(ERP資料!$G:$G, (MATCH(808, 輔助計算!$G$2:$G$801, 0)+1)),"0.##"),IF(MOD(INDEX(輔助計算!$D:$D, (MATCH(808, 輔助計算!$G$2:$G$801, 0)+1)),IF(INDEX(ERP資料!$G:$G, (MATCH(808, 輔助計算!$G$2:$G$801, 0)+1))&lt;100, IF(INDEX(ERP資料!$G:$G, (MATCH(808, 輔助計算!$G$2:$G$801, 0)+1))&lt;=31,3,IF(INDEX(ERP資料!$G:$G, (MATCH(808, 輔助計算!$G$2:$G$801, 0)+1))&lt;=46.5,2,1)), IF(INDEX(ERP資料!$G:$G, (MATCH(808, 輔助計算!$G$2:$G$801, 0)+1))&lt;=790,3,IF(INDEX(ERP資料!$G:$G, (MATCH(808, 輔助計算!$G$2:$G$801, 0)+1))&lt;=1181,2,1))))=2,TEXT(INDEX(ERP資料!$G:$G, (MATCH(808, 輔助計算!$G$2:$G$801, 0)+1)),"0.##")&amp;"+"&amp;TEXT(INDEX(ERP資料!$G:$G, (MATCH(808, 輔助計算!$G$2:$G$801, 0)+1)),"0.##"),TEXT(INDEX(ERP資料!$G:$G, (MATCH(808, 輔助計算!$G$2:$G$801, 0)+1)),"0.##")&amp;"+"&amp;TEXT(INDEX(ERP資料!$G:$G, (MATCH(808, 輔助計算!$G$2:$G$801, 0)+1)),"0.##")&amp;"+"&amp;TEXT(INDEX(ERP資料!$G:$G, (MATCH(808, 輔助計算!$G$2:$G$801, 0)+1)),"0.##"))))&amp;"-1")&lt;&gt;""),"  ","")&amp;IF(MOD(INDEX(輔助計算!$D:$D, (MATCH(808, 輔助計算!$G$2:$G$801, 0)+1)),IF(INDEX(ERP資料!$G:$G, (MATCH(808, 輔助計算!$G$2:$G$801, 0)+1))&lt;100, IF(INDEX(ERP資料!$G:$G, (MATCH(808, 輔助計算!$G$2:$G$801, 0)+1))&lt;=31,3,IF(INDEX(ERP資料!$G:$G, (MATCH(808, 輔助計算!$G$2:$G$801, 0)+1))&lt;=46.5,2,1)), IF(INDEX(ERP資料!$G:$G, (MATCH(808, 輔助計算!$G$2:$G$801, 0)+1))&lt;=790,3,IF(INDEX(ERP資料!$G:$G, (MATCH(808, 輔助計算!$G$2:$G$801, 0)+1))&lt;=1181,2,1))))=0,"",IF(MOD(INDEX(輔助計算!$D:$D, (MATCH(808, 輔助計算!$G$2:$G$801, 0)+1)),IF(INDEX(ERP資料!$G:$G, (MATCH(808, 輔助計算!$G$2:$G$801, 0)+1))&lt;100, IF(INDEX(ERP資料!$G:$G, (MATCH(808, 輔助計算!$G$2:$G$801, 0)+1))&lt;=31,3,IF(INDEX(ERP資料!$G:$G, (MATCH(808, 輔助計算!$G$2:$G$801, 0)+1))&lt;=46.5,2,1)), IF(INDEX(ERP資料!$G:$G, (MATCH(808, 輔助計算!$G$2:$G$801, 0)+1))&lt;=790,3,IF(INDEX(ERP資料!$G:$G, (MATCH(808, 輔助計算!$G$2:$G$801, 0)+1))&lt;=1181,2,1))))=0,"",IF(MOD(INDEX(輔助計算!$D:$D, (MATCH(808, 輔助計算!$G$2:$G$801, 0)+1)),IF(INDEX(ERP資料!$G:$G, (MATCH(808, 輔助計算!$G$2:$G$801, 0)+1))&lt;100, IF(INDEX(ERP資料!$G:$G, (MATCH(808, 輔助計算!$G$2:$G$801, 0)+1))&lt;=31,3,IF(INDEX(ERP資料!$G:$G, (MATCH(808, 輔助計算!$G$2:$G$801, 0)+1))&lt;=46.5,2,1)), IF(INDEX(ERP資料!$G:$G, (MATCH(808, 輔助計算!$G$2:$G$801, 0)+1))&lt;=790,3,IF(INDEX(ERP資料!$G:$G, (MATCH(808, 輔助計算!$G$2:$G$801, 0)+1))&lt;=1181,2,1))))=1,TEXT(INDEX(ERP資料!$G:$G, (MATCH(808, 輔助計算!$G$2:$G$801, 0)+1)),"0.##"),IF(MOD(INDEX(輔助計算!$D:$D, (MATCH(808, 輔助計算!$G$2:$G$801, 0)+1)),IF(INDEX(ERP資料!$G:$G, (MATCH(808, 輔助計算!$G$2:$G$801, 0)+1))&lt;100, IF(INDEX(ERP資料!$G:$G, (MATCH(808, 輔助計算!$G$2:$G$801, 0)+1))&lt;=31,3,IF(INDEX(ERP資料!$G:$G, (MATCH(808, 輔助計算!$G$2:$G$801, 0)+1))&lt;=46.5,2,1)), IF(INDEX(ERP資料!$G:$G, (MATCH(808, 輔助計算!$G$2:$G$801, 0)+1))&lt;=790,3,IF(INDEX(ERP資料!$G:$G, (MATCH(808, 輔助計算!$G$2:$G$801, 0)+1))&lt;=1181,2,1))))=2,TEXT(INDEX(ERP資料!$G:$G, (MATCH(808, 輔助計算!$G$2:$G$801, 0)+1)),"0.##")&amp;"+"&amp;TEXT(INDEX(ERP資料!$G:$G, (MATCH(808, 輔助計算!$G$2:$G$801, 0)+1)),"0.##"),TEXT(INDEX(ERP資料!$G:$G, (MATCH(808, 輔助計算!$G$2:$G$801, 0)+1)),"0.##")&amp;"+"&amp;TEXT(INDEX(ERP資料!$G:$G, (MATCH(808, 輔助計算!$G$2:$G$801, 0)+1)),"0.##")&amp;"+"&amp;TEXT(INDEX(ERP資料!$G:$G, (MATCH(808, 輔助計算!$G$2:$G$801, 0)+1)),"0.##"))))&amp;"-1")), ""), "")</f>
        <v/>
      </c>
      <c r="K809" s="16" t="n"/>
      <c r="L809" s="14">
        <f>IFERROR(IF(AND(IFERROR(INDEX(ERP資料!$A:$A, (MATCH(808, 輔助計算!$G$2:$G$801, 0)+1)), "")&lt;&gt;"", IFERROR(INDEX(ERP資料!$A:$A, (MATCH(808, 輔助計算!$G$2:$G$801, 0)+1)), "")&lt;&gt;IFERROR(INDEX(ERP資料!$A:$A, MATCH(807, 輔助計算!$G$2:$G$801, 0)+1), "")), INDEX(ERP資料!$B:$B, (MATCH(808, 輔助計算!$G$2:$G$801, 0)+1)), ""), "")</f>
        <v/>
      </c>
      <c r="M809" s="17" t="n"/>
    </row>
    <row r="810">
      <c r="A810" s="10">
        <f>IFERROR(IF(AND(IFERROR(INDEX(ERP資料!$A:$A, (MATCH(809, 輔助計算!$G$2:$G$801, 0)+1)), "")&lt;&gt;"", IFERROR(INDEX(ERP資料!$A:$A, (MATCH(809, 輔助計算!$G$2:$G$801, 0)+1)), "")&lt;&gt;IFERROR(INDEX(ERP資料!$A:$A, MATCH(808, 輔助計算!$G$2:$G$801, 0)+1), "")), IFERROR(INDEX(ERP資料!$A:$A, (MATCH(809, 輔助計算!$G$2:$G$801, 0)+1)), ""), ""), "")</f>
        <v/>
      </c>
      <c r="B810" s="10">
        <f>IFERROR(IF(AND(IFERROR(INDEX(ERP資料!$A:$A, (MATCH(809, 輔助計算!$G$2:$G$801, 0)+1)), "")&lt;&gt;"", IFERROR(INDEX(ERP資料!$A:$A, (MATCH(809, 輔助計算!$G$2:$G$801, 0)+1)), "")&lt;&gt;IFERROR(INDEX(ERP資料!$A:$A, MATCH(808, 輔助計算!$G$2:$G$801, 0)+1), "")), INDEX(ERP資料!$S:$S, (MATCH(809, 輔助計算!$G$2:$G$801, 0)+1)), ""), "")</f>
        <v/>
      </c>
      <c r="C810" s="19">
        <f>IFERROR(IF(AND(IFERROR(INDEX(ERP資料!$A:$A, (MATCH(809, 輔助計算!$G$2:$G$801, 0)+1)), "")&lt;&gt;"", IFERROR(INDEX(ERP資料!$A:$A, (MATCH(809, 輔助計算!$G$2:$G$801, 0)+1)), "")&lt;&gt;IFERROR(INDEX(ERP資料!$A:$A, MATCH(808, 輔助計算!$G$2:$G$801, 0)+1), "")), IFERROR(VLOOKUP(LEFT(INDEX(ERP資料!$S:$S, (MATCH(809, 輔助計算!$G$2:$G$801, 0)+1)), 4), 紙管對照表!$A:$C, 3, FALSE), ""), ""), "")</f>
        <v/>
      </c>
      <c r="D810" s="16" t="n"/>
      <c r="E810" s="10">
        <f>IFERROR(IF(INDEX(ERP資料!$H:$H, (MATCH(809, 輔助計算!$G$2:$G$801, 0)+1))="","",INDEX(ERP資料!$H:$H, (MATCH(809, 輔助計算!$G$2:$G$801, 0)+1))), "")</f>
        <v/>
      </c>
      <c r="F810" s="10">
        <f>IFERROR(IF(INDEX(ERP資料!$E:$E, (MATCH(809, 輔助計算!$G$2:$G$801, 0)+1))="","",TRIM(INDEX(ERP資料!$E:$E, (MATCH(809, 輔助計算!$G$2:$G$801, 0)+1)))), "")</f>
        <v/>
      </c>
      <c r="G810" s="10">
        <f>IFERROR(IF(INDEX(ERP資料!$F:$F, (MATCH(809, 輔助計算!$G$2:$G$801, 0)+1))="","",INDEX(ERP資料!$F:$F, (MATCH(809, 輔助計算!$G$2:$G$801, 0)+1))), "")</f>
        <v/>
      </c>
      <c r="H810" s="10">
        <f>IFERROR(IF(INDEX(ERP資料!$G:$G, (MATCH(809, 輔助計算!$G$2:$G$801, 0)+1))="","",INDEX(ERP資料!$G:$G, (MATCH(809, 輔助計算!$G$2:$G$801, 0)+1))), "")</f>
        <v/>
      </c>
      <c r="I810" s="15">
        <f>IFERROR(INDEX(輔助計算!$D:$D, (MATCH(809, 輔助計算!$G$2:$G$801, 0)+1)), "")</f>
        <v/>
      </c>
      <c r="J810" s="15">
        <f>IFERROR(IF(AND(INDEX(輔助計算!$D:$D, (MATCH(809, 輔助計算!$G$2:$G$801, 0)+1))&lt;&gt;"", INDEX(ERP資料!$G:$G, (MATCH(809, 輔助計算!$G$2:$G$801, 0)+1))&lt;&gt;""), TRIM(IF(INT(INDEX(輔助計算!$D:$D, (MATCH(809, 輔助計算!$G$2:$G$801, 0)+1))/IF(INDEX(ERP資料!$G:$G, (MATCH(809, 輔助計算!$G$2:$G$801, 0)+1))&lt;100, IF(INDEX(ERP資料!$G:$G, (MATCH(809, 輔助計算!$G$2:$G$801, 0)+1))&lt;=31,3,IF(INDEX(ERP資料!$G:$G, (MATCH(809, 輔助計算!$G$2:$G$801, 0)+1))&lt;=46.5,2,1)), IF(INDEX(ERP資料!$G:$G, (MATCH(809, 輔助計算!$G$2:$G$801, 0)+1))&lt;=790,3,IF(INDEX(ERP資料!$G:$G, (MATCH(809, 輔助計算!$G$2:$G$801, 0)+1))&lt;=1181,2,1))))&gt;0, IF(IF(INDEX(ERP資料!$G:$G, (MATCH(809, 輔助計算!$G$2:$G$801, 0)+1))&lt;100, IF(INDEX(ERP資料!$G:$G, (MATCH(809, 輔助計算!$G$2:$G$801, 0)+1))&lt;=31,3,IF(INDEX(ERP資料!$G:$G, (MATCH(809, 輔助計算!$G$2:$G$801, 0)+1))&lt;=46.5,2,1)), IF(INDEX(ERP資料!$G:$G, (MATCH(809, 輔助計算!$G$2:$G$801, 0)+1))&lt;=790,3,IF(INDEX(ERP資料!$G:$G, (MATCH(809, 輔助計算!$G$2:$G$801, 0)+1))&lt;=1181,2,1)))=1,TEXT(INDEX(ERP資料!$G:$G, (MATCH(809, 輔助計算!$G$2:$G$801, 0)+1)),"0.##"),IF(IF(INDEX(ERP資料!$G:$G, (MATCH(809, 輔助計算!$G$2:$G$801, 0)+1))&lt;100, IF(INDEX(ERP資料!$G:$G, (MATCH(809, 輔助計算!$G$2:$G$801, 0)+1))&lt;=31,3,IF(INDEX(ERP資料!$G:$G, (MATCH(809, 輔助計算!$G$2:$G$801, 0)+1))&lt;=46.5,2,1)), IF(INDEX(ERP資料!$G:$G, (MATCH(809, 輔助計算!$G$2:$G$801, 0)+1))&lt;=790,3,IF(INDEX(ERP資料!$G:$G, (MATCH(809, 輔助計算!$G$2:$G$801, 0)+1))&lt;=1181,2,1)))=2,TEXT(INDEX(ERP資料!$G:$G, (MATCH(809, 輔助計算!$G$2:$G$801, 0)+1)),"0.##")&amp;"+"&amp;TEXT(INDEX(ERP資料!$G:$G, (MATCH(809, 輔助計算!$G$2:$G$801, 0)+1)),"0.##"),TEXT(INDEX(ERP資料!$G:$G, (MATCH(809, 輔助計算!$G$2:$G$801, 0)+1)),"0.##")&amp;"+"&amp;TEXT(INDEX(ERP資料!$G:$G, (MATCH(809, 輔助計算!$G$2:$G$801, 0)+1)),"0.##")&amp;"+"&amp;TEXT(INDEX(ERP資料!$G:$G, (MATCH(809, 輔助計算!$G$2:$G$801, 0)+1)),"0.##")))&amp;"-"&amp;INT(INDEX(輔助計算!$D:$D, (MATCH(809, 輔助計算!$G$2:$G$801, 0)+1))/IF(INDEX(ERP資料!$G:$G, (MATCH(809, 輔助計算!$G$2:$G$801, 0)+1))&lt;100, IF(INDEX(ERP資料!$G:$G, (MATCH(809, 輔助計算!$G$2:$G$801, 0)+1))&lt;=31,3,IF(INDEX(ERP資料!$G:$G, (MATCH(809, 輔助計算!$G$2:$G$801, 0)+1))&lt;=46.5,2,1)), IF(INDEX(ERP資料!$G:$G, (MATCH(809, 輔助計算!$G$2:$G$801, 0)+1))&lt;=790,3,IF(INDEX(ERP資料!$G:$G, (MATCH(809, 輔助計算!$G$2:$G$801, 0)+1))&lt;=1181,2,1)))), "")&amp;IF(AND(IF(INT(INDEX(輔助計算!$D:$D, (MATCH(809, 輔助計算!$G$2:$G$801, 0)+1))/IF(INDEX(ERP資料!$G:$G, (MATCH(809, 輔助計算!$G$2:$G$801, 0)+1))&lt;100, IF(INDEX(ERP資料!$G:$G, (MATCH(809, 輔助計算!$G$2:$G$801, 0)+1))&lt;=31,3,IF(INDEX(ERP資料!$G:$G, (MATCH(809, 輔助計算!$G$2:$G$801, 0)+1))&lt;=46.5,2,1)), IF(INDEX(ERP資料!$G:$G, (MATCH(809, 輔助計算!$G$2:$G$801, 0)+1))&lt;=790,3,IF(INDEX(ERP資料!$G:$G, (MATCH(809, 輔助計算!$G$2:$G$801, 0)+1))&lt;=1181,2,1))))&gt;0, IF(IF(INDEX(ERP資料!$G:$G, (MATCH(809, 輔助計算!$G$2:$G$801, 0)+1))&lt;100, IF(INDEX(ERP資料!$G:$G, (MATCH(809, 輔助計算!$G$2:$G$801, 0)+1))&lt;=31,3,IF(INDEX(ERP資料!$G:$G, (MATCH(809, 輔助計算!$G$2:$G$801, 0)+1))&lt;=46.5,2,1)), IF(INDEX(ERP資料!$G:$G, (MATCH(809, 輔助計算!$G$2:$G$801, 0)+1))&lt;=790,3,IF(INDEX(ERP資料!$G:$G, (MATCH(809, 輔助計算!$G$2:$G$801, 0)+1))&lt;=1181,2,1)))=1,TEXT(INDEX(ERP資料!$G:$G, (MATCH(809, 輔助計算!$G$2:$G$801, 0)+1)),"0.##"),IF(IF(INDEX(ERP資料!$G:$G, (MATCH(809, 輔助計算!$G$2:$G$801, 0)+1))&lt;100, IF(INDEX(ERP資料!$G:$G, (MATCH(809, 輔助計算!$G$2:$G$801, 0)+1))&lt;=31,3,IF(INDEX(ERP資料!$G:$G, (MATCH(809, 輔助計算!$G$2:$G$801, 0)+1))&lt;=46.5,2,1)), IF(INDEX(ERP資料!$G:$G, (MATCH(809, 輔助計算!$G$2:$G$801, 0)+1))&lt;=790,3,IF(INDEX(ERP資料!$G:$G, (MATCH(809, 輔助計算!$G$2:$G$801, 0)+1))&lt;=1181,2,1)))=2,TEXT(INDEX(ERP資料!$G:$G, (MATCH(809, 輔助計算!$G$2:$G$801, 0)+1)),"0.##")&amp;"+"&amp;TEXT(INDEX(ERP資料!$G:$G, (MATCH(809, 輔助計算!$G$2:$G$801, 0)+1)),"0.##"),TEXT(INDEX(ERP資料!$G:$G, (MATCH(809, 輔助計算!$G$2:$G$801, 0)+1)),"0.##")&amp;"+"&amp;TEXT(INDEX(ERP資料!$G:$G, (MATCH(809, 輔助計算!$G$2:$G$801, 0)+1)),"0.##")&amp;"+"&amp;TEXT(INDEX(ERP資料!$G:$G, (MATCH(809, 輔助計算!$G$2:$G$801, 0)+1)),"0.##")))&amp;"-"&amp;INT(INDEX(輔助計算!$D:$D, (MATCH(809, 輔助計算!$G$2:$G$801, 0)+1))/IF(INDEX(ERP資料!$G:$G, (MATCH(809, 輔助計算!$G$2:$G$801, 0)+1))&lt;100, IF(INDEX(ERP資料!$G:$G, (MATCH(809, 輔助計算!$G$2:$G$801, 0)+1))&lt;=31,3,IF(INDEX(ERP資料!$G:$G, (MATCH(809, 輔助計算!$G$2:$G$801, 0)+1))&lt;=46.5,2,1)), IF(INDEX(ERP資料!$G:$G, (MATCH(809, 輔助計算!$G$2:$G$801, 0)+1))&lt;=790,3,IF(INDEX(ERP資料!$G:$G, (MATCH(809, 輔助計算!$G$2:$G$801, 0)+1))&lt;=1181,2,1)))), "")&lt;&gt;"",IF(MOD(INDEX(輔助計算!$D:$D, (MATCH(809, 輔助計算!$G$2:$G$801, 0)+1)),IF(INDEX(ERP資料!$G:$G, (MATCH(809, 輔助計算!$G$2:$G$801, 0)+1))&lt;100, IF(INDEX(ERP資料!$G:$G, (MATCH(809, 輔助計算!$G$2:$G$801, 0)+1))&lt;=31,3,IF(INDEX(ERP資料!$G:$G, (MATCH(809, 輔助計算!$G$2:$G$801, 0)+1))&lt;=46.5,2,1)), IF(INDEX(ERP資料!$G:$G, (MATCH(809, 輔助計算!$G$2:$G$801, 0)+1))&lt;=790,3,IF(INDEX(ERP資料!$G:$G, (MATCH(809, 輔助計算!$G$2:$G$801, 0)+1))&lt;=1181,2,1))))=0,"",IF(MOD(INDEX(輔助計算!$D:$D, (MATCH(809, 輔助計算!$G$2:$G$801, 0)+1)),IF(INDEX(ERP資料!$G:$G, (MATCH(809, 輔助計算!$G$2:$G$801, 0)+1))&lt;100, IF(INDEX(ERP資料!$G:$G, (MATCH(809, 輔助計算!$G$2:$G$801, 0)+1))&lt;=31,3,IF(INDEX(ERP資料!$G:$G, (MATCH(809, 輔助計算!$G$2:$G$801, 0)+1))&lt;=46.5,2,1)), IF(INDEX(ERP資料!$G:$G, (MATCH(809, 輔助計算!$G$2:$G$801, 0)+1))&lt;=790,3,IF(INDEX(ERP資料!$G:$G, (MATCH(809, 輔助計算!$G$2:$G$801, 0)+1))&lt;=1181,2,1))))=0,"",IF(MOD(INDEX(輔助計算!$D:$D, (MATCH(809, 輔助計算!$G$2:$G$801, 0)+1)),IF(INDEX(ERP資料!$G:$G, (MATCH(809, 輔助計算!$G$2:$G$801, 0)+1))&lt;100, IF(INDEX(ERP資料!$G:$G, (MATCH(809, 輔助計算!$G$2:$G$801, 0)+1))&lt;=31,3,IF(INDEX(ERP資料!$G:$G, (MATCH(809, 輔助計算!$G$2:$G$801, 0)+1))&lt;=46.5,2,1)), IF(INDEX(ERP資料!$G:$G, (MATCH(809, 輔助計算!$G$2:$G$801, 0)+1))&lt;=790,3,IF(INDEX(ERP資料!$G:$G, (MATCH(809, 輔助計算!$G$2:$G$801, 0)+1))&lt;=1181,2,1))))=1,TEXT(INDEX(ERP資料!$G:$G, (MATCH(809, 輔助計算!$G$2:$G$801, 0)+1)),"0.##"),IF(MOD(INDEX(輔助計算!$D:$D, (MATCH(809, 輔助計算!$G$2:$G$801, 0)+1)),IF(INDEX(ERP資料!$G:$G, (MATCH(809, 輔助計算!$G$2:$G$801, 0)+1))&lt;100, IF(INDEX(ERP資料!$G:$G, (MATCH(809, 輔助計算!$G$2:$G$801, 0)+1))&lt;=31,3,IF(INDEX(ERP資料!$G:$G, (MATCH(809, 輔助計算!$G$2:$G$801, 0)+1))&lt;=46.5,2,1)), IF(INDEX(ERP資料!$G:$G, (MATCH(809, 輔助計算!$G$2:$G$801, 0)+1))&lt;=790,3,IF(INDEX(ERP資料!$G:$G, (MATCH(809, 輔助計算!$G$2:$G$801, 0)+1))&lt;=1181,2,1))))=2,TEXT(INDEX(ERP資料!$G:$G, (MATCH(809, 輔助計算!$G$2:$G$801, 0)+1)),"0.##")&amp;"+"&amp;TEXT(INDEX(ERP資料!$G:$G, (MATCH(809, 輔助計算!$G$2:$G$801, 0)+1)),"0.##"),TEXT(INDEX(ERP資料!$G:$G, (MATCH(809, 輔助計算!$G$2:$G$801, 0)+1)),"0.##")&amp;"+"&amp;TEXT(INDEX(ERP資料!$G:$G, (MATCH(809, 輔助計算!$G$2:$G$801, 0)+1)),"0.##")&amp;"+"&amp;TEXT(INDEX(ERP資料!$G:$G, (MATCH(809, 輔助計算!$G$2:$G$801, 0)+1)),"0.##"))))&amp;"-1")&lt;&gt;""),"  ","")&amp;IF(MOD(INDEX(輔助計算!$D:$D, (MATCH(809, 輔助計算!$G$2:$G$801, 0)+1)),IF(INDEX(ERP資料!$G:$G, (MATCH(809, 輔助計算!$G$2:$G$801, 0)+1))&lt;100, IF(INDEX(ERP資料!$G:$G, (MATCH(809, 輔助計算!$G$2:$G$801, 0)+1))&lt;=31,3,IF(INDEX(ERP資料!$G:$G, (MATCH(809, 輔助計算!$G$2:$G$801, 0)+1))&lt;=46.5,2,1)), IF(INDEX(ERP資料!$G:$G, (MATCH(809, 輔助計算!$G$2:$G$801, 0)+1))&lt;=790,3,IF(INDEX(ERP資料!$G:$G, (MATCH(809, 輔助計算!$G$2:$G$801, 0)+1))&lt;=1181,2,1))))=0,"",IF(MOD(INDEX(輔助計算!$D:$D, (MATCH(809, 輔助計算!$G$2:$G$801, 0)+1)),IF(INDEX(ERP資料!$G:$G, (MATCH(809, 輔助計算!$G$2:$G$801, 0)+1))&lt;100, IF(INDEX(ERP資料!$G:$G, (MATCH(809, 輔助計算!$G$2:$G$801, 0)+1))&lt;=31,3,IF(INDEX(ERP資料!$G:$G, (MATCH(809, 輔助計算!$G$2:$G$801, 0)+1))&lt;=46.5,2,1)), IF(INDEX(ERP資料!$G:$G, (MATCH(809, 輔助計算!$G$2:$G$801, 0)+1))&lt;=790,3,IF(INDEX(ERP資料!$G:$G, (MATCH(809, 輔助計算!$G$2:$G$801, 0)+1))&lt;=1181,2,1))))=0,"",IF(MOD(INDEX(輔助計算!$D:$D, (MATCH(809, 輔助計算!$G$2:$G$801, 0)+1)),IF(INDEX(ERP資料!$G:$G, (MATCH(809, 輔助計算!$G$2:$G$801, 0)+1))&lt;100, IF(INDEX(ERP資料!$G:$G, (MATCH(809, 輔助計算!$G$2:$G$801, 0)+1))&lt;=31,3,IF(INDEX(ERP資料!$G:$G, (MATCH(809, 輔助計算!$G$2:$G$801, 0)+1))&lt;=46.5,2,1)), IF(INDEX(ERP資料!$G:$G, (MATCH(809, 輔助計算!$G$2:$G$801, 0)+1))&lt;=790,3,IF(INDEX(ERP資料!$G:$G, (MATCH(809, 輔助計算!$G$2:$G$801, 0)+1))&lt;=1181,2,1))))=1,TEXT(INDEX(ERP資料!$G:$G, (MATCH(809, 輔助計算!$G$2:$G$801, 0)+1)),"0.##"),IF(MOD(INDEX(輔助計算!$D:$D, (MATCH(809, 輔助計算!$G$2:$G$801, 0)+1)),IF(INDEX(ERP資料!$G:$G, (MATCH(809, 輔助計算!$G$2:$G$801, 0)+1))&lt;100, IF(INDEX(ERP資料!$G:$G, (MATCH(809, 輔助計算!$G$2:$G$801, 0)+1))&lt;=31,3,IF(INDEX(ERP資料!$G:$G, (MATCH(809, 輔助計算!$G$2:$G$801, 0)+1))&lt;=46.5,2,1)), IF(INDEX(ERP資料!$G:$G, (MATCH(809, 輔助計算!$G$2:$G$801, 0)+1))&lt;=790,3,IF(INDEX(ERP資料!$G:$G, (MATCH(809, 輔助計算!$G$2:$G$801, 0)+1))&lt;=1181,2,1))))=2,TEXT(INDEX(ERP資料!$G:$G, (MATCH(809, 輔助計算!$G$2:$G$801, 0)+1)),"0.##")&amp;"+"&amp;TEXT(INDEX(ERP資料!$G:$G, (MATCH(809, 輔助計算!$G$2:$G$801, 0)+1)),"0.##"),TEXT(INDEX(ERP資料!$G:$G, (MATCH(809, 輔助計算!$G$2:$G$801, 0)+1)),"0.##")&amp;"+"&amp;TEXT(INDEX(ERP資料!$G:$G, (MATCH(809, 輔助計算!$G$2:$G$801, 0)+1)),"0.##")&amp;"+"&amp;TEXT(INDEX(ERP資料!$G:$G, (MATCH(809, 輔助計算!$G$2:$G$801, 0)+1)),"0.##"))))&amp;"-1")), ""), "")</f>
        <v/>
      </c>
      <c r="K810" s="16" t="n"/>
      <c r="L810" s="14">
        <f>IFERROR(IF(AND(IFERROR(INDEX(ERP資料!$A:$A, (MATCH(809, 輔助計算!$G$2:$G$801, 0)+1)), "")&lt;&gt;"", IFERROR(INDEX(ERP資料!$A:$A, (MATCH(809, 輔助計算!$G$2:$G$801, 0)+1)), "")&lt;&gt;IFERROR(INDEX(ERP資料!$A:$A, MATCH(808, 輔助計算!$G$2:$G$801, 0)+1), "")), INDEX(ERP資料!$B:$B, (MATCH(809, 輔助計算!$G$2:$G$801, 0)+1)), ""), "")</f>
        <v/>
      </c>
      <c r="M810" s="17" t="n"/>
    </row>
    <row r="811">
      <c r="A811" s="10">
        <f>IFERROR(IF(AND(IFERROR(INDEX(ERP資料!$A:$A, (MATCH(810, 輔助計算!$G$2:$G$801, 0)+1)), "")&lt;&gt;"", IFERROR(INDEX(ERP資料!$A:$A, (MATCH(810, 輔助計算!$G$2:$G$801, 0)+1)), "")&lt;&gt;IFERROR(INDEX(ERP資料!$A:$A, MATCH(809, 輔助計算!$G$2:$G$801, 0)+1), "")), IFERROR(INDEX(ERP資料!$A:$A, (MATCH(810, 輔助計算!$G$2:$G$801, 0)+1)), ""), ""), "")</f>
        <v/>
      </c>
      <c r="B811" s="10">
        <f>IFERROR(IF(AND(IFERROR(INDEX(ERP資料!$A:$A, (MATCH(810, 輔助計算!$G$2:$G$801, 0)+1)), "")&lt;&gt;"", IFERROR(INDEX(ERP資料!$A:$A, (MATCH(810, 輔助計算!$G$2:$G$801, 0)+1)), "")&lt;&gt;IFERROR(INDEX(ERP資料!$A:$A, MATCH(809, 輔助計算!$G$2:$G$801, 0)+1), "")), INDEX(ERP資料!$S:$S, (MATCH(810, 輔助計算!$G$2:$G$801, 0)+1)), ""), "")</f>
        <v/>
      </c>
      <c r="C811" s="19">
        <f>IFERROR(IF(AND(IFERROR(INDEX(ERP資料!$A:$A, (MATCH(810, 輔助計算!$G$2:$G$801, 0)+1)), "")&lt;&gt;"", IFERROR(INDEX(ERP資料!$A:$A, (MATCH(810, 輔助計算!$G$2:$G$801, 0)+1)), "")&lt;&gt;IFERROR(INDEX(ERP資料!$A:$A, MATCH(809, 輔助計算!$G$2:$G$801, 0)+1), "")), IFERROR(VLOOKUP(LEFT(INDEX(ERP資料!$S:$S, (MATCH(810, 輔助計算!$G$2:$G$801, 0)+1)), 4), 紙管對照表!$A:$C, 3, FALSE), ""), ""), "")</f>
        <v/>
      </c>
      <c r="D811" s="16" t="n"/>
      <c r="E811" s="10">
        <f>IFERROR(IF(INDEX(ERP資料!$H:$H, (MATCH(810, 輔助計算!$G$2:$G$801, 0)+1))="","",INDEX(ERP資料!$H:$H, (MATCH(810, 輔助計算!$G$2:$G$801, 0)+1))), "")</f>
        <v/>
      </c>
      <c r="F811" s="10">
        <f>IFERROR(IF(INDEX(ERP資料!$E:$E, (MATCH(810, 輔助計算!$G$2:$G$801, 0)+1))="","",TRIM(INDEX(ERP資料!$E:$E, (MATCH(810, 輔助計算!$G$2:$G$801, 0)+1)))), "")</f>
        <v/>
      </c>
      <c r="G811" s="10">
        <f>IFERROR(IF(INDEX(ERP資料!$F:$F, (MATCH(810, 輔助計算!$G$2:$G$801, 0)+1))="","",INDEX(ERP資料!$F:$F, (MATCH(810, 輔助計算!$G$2:$G$801, 0)+1))), "")</f>
        <v/>
      </c>
      <c r="H811" s="10">
        <f>IFERROR(IF(INDEX(ERP資料!$G:$G, (MATCH(810, 輔助計算!$G$2:$G$801, 0)+1))="","",INDEX(ERP資料!$G:$G, (MATCH(810, 輔助計算!$G$2:$G$801, 0)+1))), "")</f>
        <v/>
      </c>
      <c r="I811" s="15">
        <f>IFERROR(INDEX(輔助計算!$D:$D, (MATCH(810, 輔助計算!$G$2:$G$801, 0)+1)), "")</f>
        <v/>
      </c>
      <c r="J811" s="15">
        <f>IFERROR(IF(AND(INDEX(輔助計算!$D:$D, (MATCH(810, 輔助計算!$G$2:$G$801, 0)+1))&lt;&gt;"", INDEX(ERP資料!$G:$G, (MATCH(810, 輔助計算!$G$2:$G$801, 0)+1))&lt;&gt;""), TRIM(IF(INT(INDEX(輔助計算!$D:$D, (MATCH(810, 輔助計算!$G$2:$G$801, 0)+1))/IF(INDEX(ERP資料!$G:$G, (MATCH(810, 輔助計算!$G$2:$G$801, 0)+1))&lt;100, IF(INDEX(ERP資料!$G:$G, (MATCH(810, 輔助計算!$G$2:$G$801, 0)+1))&lt;=31,3,IF(INDEX(ERP資料!$G:$G, (MATCH(810, 輔助計算!$G$2:$G$801, 0)+1))&lt;=46.5,2,1)), IF(INDEX(ERP資料!$G:$G, (MATCH(810, 輔助計算!$G$2:$G$801, 0)+1))&lt;=790,3,IF(INDEX(ERP資料!$G:$G, (MATCH(810, 輔助計算!$G$2:$G$801, 0)+1))&lt;=1181,2,1))))&gt;0, IF(IF(INDEX(ERP資料!$G:$G, (MATCH(810, 輔助計算!$G$2:$G$801, 0)+1))&lt;100, IF(INDEX(ERP資料!$G:$G, (MATCH(810, 輔助計算!$G$2:$G$801, 0)+1))&lt;=31,3,IF(INDEX(ERP資料!$G:$G, (MATCH(810, 輔助計算!$G$2:$G$801, 0)+1))&lt;=46.5,2,1)), IF(INDEX(ERP資料!$G:$G, (MATCH(810, 輔助計算!$G$2:$G$801, 0)+1))&lt;=790,3,IF(INDEX(ERP資料!$G:$G, (MATCH(810, 輔助計算!$G$2:$G$801, 0)+1))&lt;=1181,2,1)))=1,TEXT(INDEX(ERP資料!$G:$G, (MATCH(810, 輔助計算!$G$2:$G$801, 0)+1)),"0.##"),IF(IF(INDEX(ERP資料!$G:$G, (MATCH(810, 輔助計算!$G$2:$G$801, 0)+1))&lt;100, IF(INDEX(ERP資料!$G:$G, (MATCH(810, 輔助計算!$G$2:$G$801, 0)+1))&lt;=31,3,IF(INDEX(ERP資料!$G:$G, (MATCH(810, 輔助計算!$G$2:$G$801, 0)+1))&lt;=46.5,2,1)), IF(INDEX(ERP資料!$G:$G, (MATCH(810, 輔助計算!$G$2:$G$801, 0)+1))&lt;=790,3,IF(INDEX(ERP資料!$G:$G, (MATCH(810, 輔助計算!$G$2:$G$801, 0)+1))&lt;=1181,2,1)))=2,TEXT(INDEX(ERP資料!$G:$G, (MATCH(810, 輔助計算!$G$2:$G$801, 0)+1)),"0.##")&amp;"+"&amp;TEXT(INDEX(ERP資料!$G:$G, (MATCH(810, 輔助計算!$G$2:$G$801, 0)+1)),"0.##"),TEXT(INDEX(ERP資料!$G:$G, (MATCH(810, 輔助計算!$G$2:$G$801, 0)+1)),"0.##")&amp;"+"&amp;TEXT(INDEX(ERP資料!$G:$G, (MATCH(810, 輔助計算!$G$2:$G$801, 0)+1)),"0.##")&amp;"+"&amp;TEXT(INDEX(ERP資料!$G:$G, (MATCH(810, 輔助計算!$G$2:$G$801, 0)+1)),"0.##")))&amp;"-"&amp;INT(INDEX(輔助計算!$D:$D, (MATCH(810, 輔助計算!$G$2:$G$801, 0)+1))/IF(INDEX(ERP資料!$G:$G, (MATCH(810, 輔助計算!$G$2:$G$801, 0)+1))&lt;100, IF(INDEX(ERP資料!$G:$G, (MATCH(810, 輔助計算!$G$2:$G$801, 0)+1))&lt;=31,3,IF(INDEX(ERP資料!$G:$G, (MATCH(810, 輔助計算!$G$2:$G$801, 0)+1))&lt;=46.5,2,1)), IF(INDEX(ERP資料!$G:$G, (MATCH(810, 輔助計算!$G$2:$G$801, 0)+1))&lt;=790,3,IF(INDEX(ERP資料!$G:$G, (MATCH(810, 輔助計算!$G$2:$G$801, 0)+1))&lt;=1181,2,1)))), "")&amp;IF(AND(IF(INT(INDEX(輔助計算!$D:$D, (MATCH(810, 輔助計算!$G$2:$G$801, 0)+1))/IF(INDEX(ERP資料!$G:$G, (MATCH(810, 輔助計算!$G$2:$G$801, 0)+1))&lt;100, IF(INDEX(ERP資料!$G:$G, (MATCH(810, 輔助計算!$G$2:$G$801, 0)+1))&lt;=31,3,IF(INDEX(ERP資料!$G:$G, (MATCH(810, 輔助計算!$G$2:$G$801, 0)+1))&lt;=46.5,2,1)), IF(INDEX(ERP資料!$G:$G, (MATCH(810, 輔助計算!$G$2:$G$801, 0)+1))&lt;=790,3,IF(INDEX(ERP資料!$G:$G, (MATCH(810, 輔助計算!$G$2:$G$801, 0)+1))&lt;=1181,2,1))))&gt;0, IF(IF(INDEX(ERP資料!$G:$G, (MATCH(810, 輔助計算!$G$2:$G$801, 0)+1))&lt;100, IF(INDEX(ERP資料!$G:$G, (MATCH(810, 輔助計算!$G$2:$G$801, 0)+1))&lt;=31,3,IF(INDEX(ERP資料!$G:$G, (MATCH(810, 輔助計算!$G$2:$G$801, 0)+1))&lt;=46.5,2,1)), IF(INDEX(ERP資料!$G:$G, (MATCH(810, 輔助計算!$G$2:$G$801, 0)+1))&lt;=790,3,IF(INDEX(ERP資料!$G:$G, (MATCH(810, 輔助計算!$G$2:$G$801, 0)+1))&lt;=1181,2,1)))=1,TEXT(INDEX(ERP資料!$G:$G, (MATCH(810, 輔助計算!$G$2:$G$801, 0)+1)),"0.##"),IF(IF(INDEX(ERP資料!$G:$G, (MATCH(810, 輔助計算!$G$2:$G$801, 0)+1))&lt;100, IF(INDEX(ERP資料!$G:$G, (MATCH(810, 輔助計算!$G$2:$G$801, 0)+1))&lt;=31,3,IF(INDEX(ERP資料!$G:$G, (MATCH(810, 輔助計算!$G$2:$G$801, 0)+1))&lt;=46.5,2,1)), IF(INDEX(ERP資料!$G:$G, (MATCH(810, 輔助計算!$G$2:$G$801, 0)+1))&lt;=790,3,IF(INDEX(ERP資料!$G:$G, (MATCH(810, 輔助計算!$G$2:$G$801, 0)+1))&lt;=1181,2,1)))=2,TEXT(INDEX(ERP資料!$G:$G, (MATCH(810, 輔助計算!$G$2:$G$801, 0)+1)),"0.##")&amp;"+"&amp;TEXT(INDEX(ERP資料!$G:$G, (MATCH(810, 輔助計算!$G$2:$G$801, 0)+1)),"0.##"),TEXT(INDEX(ERP資料!$G:$G, (MATCH(810, 輔助計算!$G$2:$G$801, 0)+1)),"0.##")&amp;"+"&amp;TEXT(INDEX(ERP資料!$G:$G, (MATCH(810, 輔助計算!$G$2:$G$801, 0)+1)),"0.##")&amp;"+"&amp;TEXT(INDEX(ERP資料!$G:$G, (MATCH(810, 輔助計算!$G$2:$G$801, 0)+1)),"0.##")))&amp;"-"&amp;INT(INDEX(輔助計算!$D:$D, (MATCH(810, 輔助計算!$G$2:$G$801, 0)+1))/IF(INDEX(ERP資料!$G:$G, (MATCH(810, 輔助計算!$G$2:$G$801, 0)+1))&lt;100, IF(INDEX(ERP資料!$G:$G, (MATCH(810, 輔助計算!$G$2:$G$801, 0)+1))&lt;=31,3,IF(INDEX(ERP資料!$G:$G, (MATCH(810, 輔助計算!$G$2:$G$801, 0)+1))&lt;=46.5,2,1)), IF(INDEX(ERP資料!$G:$G, (MATCH(810, 輔助計算!$G$2:$G$801, 0)+1))&lt;=790,3,IF(INDEX(ERP資料!$G:$G, (MATCH(810, 輔助計算!$G$2:$G$801, 0)+1))&lt;=1181,2,1)))), "")&lt;&gt;"",IF(MOD(INDEX(輔助計算!$D:$D, (MATCH(810, 輔助計算!$G$2:$G$801, 0)+1)),IF(INDEX(ERP資料!$G:$G, (MATCH(810, 輔助計算!$G$2:$G$801, 0)+1))&lt;100, IF(INDEX(ERP資料!$G:$G, (MATCH(810, 輔助計算!$G$2:$G$801, 0)+1))&lt;=31,3,IF(INDEX(ERP資料!$G:$G, (MATCH(810, 輔助計算!$G$2:$G$801, 0)+1))&lt;=46.5,2,1)), IF(INDEX(ERP資料!$G:$G, (MATCH(810, 輔助計算!$G$2:$G$801, 0)+1))&lt;=790,3,IF(INDEX(ERP資料!$G:$G, (MATCH(810, 輔助計算!$G$2:$G$801, 0)+1))&lt;=1181,2,1))))=0,"",IF(MOD(INDEX(輔助計算!$D:$D, (MATCH(810, 輔助計算!$G$2:$G$801, 0)+1)),IF(INDEX(ERP資料!$G:$G, (MATCH(810, 輔助計算!$G$2:$G$801, 0)+1))&lt;100, IF(INDEX(ERP資料!$G:$G, (MATCH(810, 輔助計算!$G$2:$G$801, 0)+1))&lt;=31,3,IF(INDEX(ERP資料!$G:$G, (MATCH(810, 輔助計算!$G$2:$G$801, 0)+1))&lt;=46.5,2,1)), IF(INDEX(ERP資料!$G:$G, (MATCH(810, 輔助計算!$G$2:$G$801, 0)+1))&lt;=790,3,IF(INDEX(ERP資料!$G:$G, (MATCH(810, 輔助計算!$G$2:$G$801, 0)+1))&lt;=1181,2,1))))=0,"",IF(MOD(INDEX(輔助計算!$D:$D, (MATCH(810, 輔助計算!$G$2:$G$801, 0)+1)),IF(INDEX(ERP資料!$G:$G, (MATCH(810, 輔助計算!$G$2:$G$801, 0)+1))&lt;100, IF(INDEX(ERP資料!$G:$G, (MATCH(810, 輔助計算!$G$2:$G$801, 0)+1))&lt;=31,3,IF(INDEX(ERP資料!$G:$G, (MATCH(810, 輔助計算!$G$2:$G$801, 0)+1))&lt;=46.5,2,1)), IF(INDEX(ERP資料!$G:$G, (MATCH(810, 輔助計算!$G$2:$G$801, 0)+1))&lt;=790,3,IF(INDEX(ERP資料!$G:$G, (MATCH(810, 輔助計算!$G$2:$G$801, 0)+1))&lt;=1181,2,1))))=1,TEXT(INDEX(ERP資料!$G:$G, (MATCH(810, 輔助計算!$G$2:$G$801, 0)+1)),"0.##"),IF(MOD(INDEX(輔助計算!$D:$D, (MATCH(810, 輔助計算!$G$2:$G$801, 0)+1)),IF(INDEX(ERP資料!$G:$G, (MATCH(810, 輔助計算!$G$2:$G$801, 0)+1))&lt;100, IF(INDEX(ERP資料!$G:$G, (MATCH(810, 輔助計算!$G$2:$G$801, 0)+1))&lt;=31,3,IF(INDEX(ERP資料!$G:$G, (MATCH(810, 輔助計算!$G$2:$G$801, 0)+1))&lt;=46.5,2,1)), IF(INDEX(ERP資料!$G:$G, (MATCH(810, 輔助計算!$G$2:$G$801, 0)+1))&lt;=790,3,IF(INDEX(ERP資料!$G:$G, (MATCH(810, 輔助計算!$G$2:$G$801, 0)+1))&lt;=1181,2,1))))=2,TEXT(INDEX(ERP資料!$G:$G, (MATCH(810, 輔助計算!$G$2:$G$801, 0)+1)),"0.##")&amp;"+"&amp;TEXT(INDEX(ERP資料!$G:$G, (MATCH(810, 輔助計算!$G$2:$G$801, 0)+1)),"0.##"),TEXT(INDEX(ERP資料!$G:$G, (MATCH(810, 輔助計算!$G$2:$G$801, 0)+1)),"0.##")&amp;"+"&amp;TEXT(INDEX(ERP資料!$G:$G, (MATCH(810, 輔助計算!$G$2:$G$801, 0)+1)),"0.##")&amp;"+"&amp;TEXT(INDEX(ERP資料!$G:$G, (MATCH(810, 輔助計算!$G$2:$G$801, 0)+1)),"0.##"))))&amp;"-1")&lt;&gt;""),"  ","")&amp;IF(MOD(INDEX(輔助計算!$D:$D, (MATCH(810, 輔助計算!$G$2:$G$801, 0)+1)),IF(INDEX(ERP資料!$G:$G, (MATCH(810, 輔助計算!$G$2:$G$801, 0)+1))&lt;100, IF(INDEX(ERP資料!$G:$G, (MATCH(810, 輔助計算!$G$2:$G$801, 0)+1))&lt;=31,3,IF(INDEX(ERP資料!$G:$G, (MATCH(810, 輔助計算!$G$2:$G$801, 0)+1))&lt;=46.5,2,1)), IF(INDEX(ERP資料!$G:$G, (MATCH(810, 輔助計算!$G$2:$G$801, 0)+1))&lt;=790,3,IF(INDEX(ERP資料!$G:$G, (MATCH(810, 輔助計算!$G$2:$G$801, 0)+1))&lt;=1181,2,1))))=0,"",IF(MOD(INDEX(輔助計算!$D:$D, (MATCH(810, 輔助計算!$G$2:$G$801, 0)+1)),IF(INDEX(ERP資料!$G:$G, (MATCH(810, 輔助計算!$G$2:$G$801, 0)+1))&lt;100, IF(INDEX(ERP資料!$G:$G, (MATCH(810, 輔助計算!$G$2:$G$801, 0)+1))&lt;=31,3,IF(INDEX(ERP資料!$G:$G, (MATCH(810, 輔助計算!$G$2:$G$801, 0)+1))&lt;=46.5,2,1)), IF(INDEX(ERP資料!$G:$G, (MATCH(810, 輔助計算!$G$2:$G$801, 0)+1))&lt;=790,3,IF(INDEX(ERP資料!$G:$G, (MATCH(810, 輔助計算!$G$2:$G$801, 0)+1))&lt;=1181,2,1))))=0,"",IF(MOD(INDEX(輔助計算!$D:$D, (MATCH(810, 輔助計算!$G$2:$G$801, 0)+1)),IF(INDEX(ERP資料!$G:$G, (MATCH(810, 輔助計算!$G$2:$G$801, 0)+1))&lt;100, IF(INDEX(ERP資料!$G:$G, (MATCH(810, 輔助計算!$G$2:$G$801, 0)+1))&lt;=31,3,IF(INDEX(ERP資料!$G:$G, (MATCH(810, 輔助計算!$G$2:$G$801, 0)+1))&lt;=46.5,2,1)), IF(INDEX(ERP資料!$G:$G, (MATCH(810, 輔助計算!$G$2:$G$801, 0)+1))&lt;=790,3,IF(INDEX(ERP資料!$G:$G, (MATCH(810, 輔助計算!$G$2:$G$801, 0)+1))&lt;=1181,2,1))))=1,TEXT(INDEX(ERP資料!$G:$G, (MATCH(810, 輔助計算!$G$2:$G$801, 0)+1)),"0.##"),IF(MOD(INDEX(輔助計算!$D:$D, (MATCH(810, 輔助計算!$G$2:$G$801, 0)+1)),IF(INDEX(ERP資料!$G:$G, (MATCH(810, 輔助計算!$G$2:$G$801, 0)+1))&lt;100, IF(INDEX(ERP資料!$G:$G, (MATCH(810, 輔助計算!$G$2:$G$801, 0)+1))&lt;=31,3,IF(INDEX(ERP資料!$G:$G, (MATCH(810, 輔助計算!$G$2:$G$801, 0)+1))&lt;=46.5,2,1)), IF(INDEX(ERP資料!$G:$G, (MATCH(810, 輔助計算!$G$2:$G$801, 0)+1))&lt;=790,3,IF(INDEX(ERP資料!$G:$G, (MATCH(810, 輔助計算!$G$2:$G$801, 0)+1))&lt;=1181,2,1))))=2,TEXT(INDEX(ERP資料!$G:$G, (MATCH(810, 輔助計算!$G$2:$G$801, 0)+1)),"0.##")&amp;"+"&amp;TEXT(INDEX(ERP資料!$G:$G, (MATCH(810, 輔助計算!$G$2:$G$801, 0)+1)),"0.##"),TEXT(INDEX(ERP資料!$G:$G, (MATCH(810, 輔助計算!$G$2:$G$801, 0)+1)),"0.##")&amp;"+"&amp;TEXT(INDEX(ERP資料!$G:$G, (MATCH(810, 輔助計算!$G$2:$G$801, 0)+1)),"0.##")&amp;"+"&amp;TEXT(INDEX(ERP資料!$G:$G, (MATCH(810, 輔助計算!$G$2:$G$801, 0)+1)),"0.##"))))&amp;"-1")), ""), "")</f>
        <v/>
      </c>
      <c r="K811" s="16" t="n"/>
      <c r="L811" s="14">
        <f>IFERROR(IF(AND(IFERROR(INDEX(ERP資料!$A:$A, (MATCH(810, 輔助計算!$G$2:$G$801, 0)+1)), "")&lt;&gt;"", IFERROR(INDEX(ERP資料!$A:$A, (MATCH(810, 輔助計算!$G$2:$G$801, 0)+1)), "")&lt;&gt;IFERROR(INDEX(ERP資料!$A:$A, MATCH(809, 輔助計算!$G$2:$G$801, 0)+1), "")), INDEX(ERP資料!$B:$B, (MATCH(810, 輔助計算!$G$2:$G$801, 0)+1)), ""), "")</f>
        <v/>
      </c>
      <c r="M811" s="17" t="n"/>
    </row>
    <row r="812">
      <c r="A812" s="10">
        <f>IFERROR(IF(AND(IFERROR(INDEX(ERP資料!$A:$A, (MATCH(811, 輔助計算!$G$2:$G$801, 0)+1)), "")&lt;&gt;"", IFERROR(INDEX(ERP資料!$A:$A, (MATCH(811, 輔助計算!$G$2:$G$801, 0)+1)), "")&lt;&gt;IFERROR(INDEX(ERP資料!$A:$A, MATCH(810, 輔助計算!$G$2:$G$801, 0)+1), "")), IFERROR(INDEX(ERP資料!$A:$A, (MATCH(811, 輔助計算!$G$2:$G$801, 0)+1)), ""), ""), "")</f>
        <v/>
      </c>
      <c r="B812" s="10">
        <f>IFERROR(IF(AND(IFERROR(INDEX(ERP資料!$A:$A, (MATCH(811, 輔助計算!$G$2:$G$801, 0)+1)), "")&lt;&gt;"", IFERROR(INDEX(ERP資料!$A:$A, (MATCH(811, 輔助計算!$G$2:$G$801, 0)+1)), "")&lt;&gt;IFERROR(INDEX(ERP資料!$A:$A, MATCH(810, 輔助計算!$G$2:$G$801, 0)+1), "")), INDEX(ERP資料!$S:$S, (MATCH(811, 輔助計算!$G$2:$G$801, 0)+1)), ""), "")</f>
        <v/>
      </c>
      <c r="C812" s="19">
        <f>IFERROR(IF(AND(IFERROR(INDEX(ERP資料!$A:$A, (MATCH(811, 輔助計算!$G$2:$G$801, 0)+1)), "")&lt;&gt;"", IFERROR(INDEX(ERP資料!$A:$A, (MATCH(811, 輔助計算!$G$2:$G$801, 0)+1)), "")&lt;&gt;IFERROR(INDEX(ERP資料!$A:$A, MATCH(810, 輔助計算!$G$2:$G$801, 0)+1), "")), IFERROR(VLOOKUP(LEFT(INDEX(ERP資料!$S:$S, (MATCH(811, 輔助計算!$G$2:$G$801, 0)+1)), 4), 紙管對照表!$A:$C, 3, FALSE), ""), ""), "")</f>
        <v/>
      </c>
      <c r="D812" s="16" t="n"/>
      <c r="E812" s="10">
        <f>IFERROR(IF(INDEX(ERP資料!$H:$H, (MATCH(811, 輔助計算!$G$2:$G$801, 0)+1))="","",INDEX(ERP資料!$H:$H, (MATCH(811, 輔助計算!$G$2:$G$801, 0)+1))), "")</f>
        <v/>
      </c>
      <c r="F812" s="10">
        <f>IFERROR(IF(INDEX(ERP資料!$E:$E, (MATCH(811, 輔助計算!$G$2:$G$801, 0)+1))="","",TRIM(INDEX(ERP資料!$E:$E, (MATCH(811, 輔助計算!$G$2:$G$801, 0)+1)))), "")</f>
        <v/>
      </c>
      <c r="G812" s="10">
        <f>IFERROR(IF(INDEX(ERP資料!$F:$F, (MATCH(811, 輔助計算!$G$2:$G$801, 0)+1))="","",INDEX(ERP資料!$F:$F, (MATCH(811, 輔助計算!$G$2:$G$801, 0)+1))), "")</f>
        <v/>
      </c>
      <c r="H812" s="10">
        <f>IFERROR(IF(INDEX(ERP資料!$G:$G, (MATCH(811, 輔助計算!$G$2:$G$801, 0)+1))="","",INDEX(ERP資料!$G:$G, (MATCH(811, 輔助計算!$G$2:$G$801, 0)+1))), "")</f>
        <v/>
      </c>
      <c r="I812" s="15">
        <f>IFERROR(INDEX(輔助計算!$D:$D, (MATCH(811, 輔助計算!$G$2:$G$801, 0)+1)), "")</f>
        <v/>
      </c>
      <c r="J812" s="15">
        <f>IFERROR(IF(AND(INDEX(輔助計算!$D:$D, (MATCH(811, 輔助計算!$G$2:$G$801, 0)+1))&lt;&gt;"", INDEX(ERP資料!$G:$G, (MATCH(811, 輔助計算!$G$2:$G$801, 0)+1))&lt;&gt;""), TRIM(IF(INT(INDEX(輔助計算!$D:$D, (MATCH(811, 輔助計算!$G$2:$G$801, 0)+1))/IF(INDEX(ERP資料!$G:$G, (MATCH(811, 輔助計算!$G$2:$G$801, 0)+1))&lt;100, IF(INDEX(ERP資料!$G:$G, (MATCH(811, 輔助計算!$G$2:$G$801, 0)+1))&lt;=31,3,IF(INDEX(ERP資料!$G:$G, (MATCH(811, 輔助計算!$G$2:$G$801, 0)+1))&lt;=46.5,2,1)), IF(INDEX(ERP資料!$G:$G, (MATCH(811, 輔助計算!$G$2:$G$801, 0)+1))&lt;=790,3,IF(INDEX(ERP資料!$G:$G, (MATCH(811, 輔助計算!$G$2:$G$801, 0)+1))&lt;=1181,2,1))))&gt;0, IF(IF(INDEX(ERP資料!$G:$G, (MATCH(811, 輔助計算!$G$2:$G$801, 0)+1))&lt;100, IF(INDEX(ERP資料!$G:$G, (MATCH(811, 輔助計算!$G$2:$G$801, 0)+1))&lt;=31,3,IF(INDEX(ERP資料!$G:$G, (MATCH(811, 輔助計算!$G$2:$G$801, 0)+1))&lt;=46.5,2,1)), IF(INDEX(ERP資料!$G:$G, (MATCH(811, 輔助計算!$G$2:$G$801, 0)+1))&lt;=790,3,IF(INDEX(ERP資料!$G:$G, (MATCH(811, 輔助計算!$G$2:$G$801, 0)+1))&lt;=1181,2,1)))=1,TEXT(INDEX(ERP資料!$G:$G, (MATCH(811, 輔助計算!$G$2:$G$801, 0)+1)),"0.##"),IF(IF(INDEX(ERP資料!$G:$G, (MATCH(811, 輔助計算!$G$2:$G$801, 0)+1))&lt;100, IF(INDEX(ERP資料!$G:$G, (MATCH(811, 輔助計算!$G$2:$G$801, 0)+1))&lt;=31,3,IF(INDEX(ERP資料!$G:$G, (MATCH(811, 輔助計算!$G$2:$G$801, 0)+1))&lt;=46.5,2,1)), IF(INDEX(ERP資料!$G:$G, (MATCH(811, 輔助計算!$G$2:$G$801, 0)+1))&lt;=790,3,IF(INDEX(ERP資料!$G:$G, (MATCH(811, 輔助計算!$G$2:$G$801, 0)+1))&lt;=1181,2,1)))=2,TEXT(INDEX(ERP資料!$G:$G, (MATCH(811, 輔助計算!$G$2:$G$801, 0)+1)),"0.##")&amp;"+"&amp;TEXT(INDEX(ERP資料!$G:$G, (MATCH(811, 輔助計算!$G$2:$G$801, 0)+1)),"0.##"),TEXT(INDEX(ERP資料!$G:$G, (MATCH(811, 輔助計算!$G$2:$G$801, 0)+1)),"0.##")&amp;"+"&amp;TEXT(INDEX(ERP資料!$G:$G, (MATCH(811, 輔助計算!$G$2:$G$801, 0)+1)),"0.##")&amp;"+"&amp;TEXT(INDEX(ERP資料!$G:$G, (MATCH(811, 輔助計算!$G$2:$G$801, 0)+1)),"0.##")))&amp;"-"&amp;INT(INDEX(輔助計算!$D:$D, (MATCH(811, 輔助計算!$G$2:$G$801, 0)+1))/IF(INDEX(ERP資料!$G:$G, (MATCH(811, 輔助計算!$G$2:$G$801, 0)+1))&lt;100, IF(INDEX(ERP資料!$G:$G, (MATCH(811, 輔助計算!$G$2:$G$801, 0)+1))&lt;=31,3,IF(INDEX(ERP資料!$G:$G, (MATCH(811, 輔助計算!$G$2:$G$801, 0)+1))&lt;=46.5,2,1)), IF(INDEX(ERP資料!$G:$G, (MATCH(811, 輔助計算!$G$2:$G$801, 0)+1))&lt;=790,3,IF(INDEX(ERP資料!$G:$G, (MATCH(811, 輔助計算!$G$2:$G$801, 0)+1))&lt;=1181,2,1)))), "")&amp;IF(AND(IF(INT(INDEX(輔助計算!$D:$D, (MATCH(811, 輔助計算!$G$2:$G$801, 0)+1))/IF(INDEX(ERP資料!$G:$G, (MATCH(811, 輔助計算!$G$2:$G$801, 0)+1))&lt;100, IF(INDEX(ERP資料!$G:$G, (MATCH(811, 輔助計算!$G$2:$G$801, 0)+1))&lt;=31,3,IF(INDEX(ERP資料!$G:$G, (MATCH(811, 輔助計算!$G$2:$G$801, 0)+1))&lt;=46.5,2,1)), IF(INDEX(ERP資料!$G:$G, (MATCH(811, 輔助計算!$G$2:$G$801, 0)+1))&lt;=790,3,IF(INDEX(ERP資料!$G:$G, (MATCH(811, 輔助計算!$G$2:$G$801, 0)+1))&lt;=1181,2,1))))&gt;0, IF(IF(INDEX(ERP資料!$G:$G, (MATCH(811, 輔助計算!$G$2:$G$801, 0)+1))&lt;100, IF(INDEX(ERP資料!$G:$G, (MATCH(811, 輔助計算!$G$2:$G$801, 0)+1))&lt;=31,3,IF(INDEX(ERP資料!$G:$G, (MATCH(811, 輔助計算!$G$2:$G$801, 0)+1))&lt;=46.5,2,1)), IF(INDEX(ERP資料!$G:$G, (MATCH(811, 輔助計算!$G$2:$G$801, 0)+1))&lt;=790,3,IF(INDEX(ERP資料!$G:$G, (MATCH(811, 輔助計算!$G$2:$G$801, 0)+1))&lt;=1181,2,1)))=1,TEXT(INDEX(ERP資料!$G:$G, (MATCH(811, 輔助計算!$G$2:$G$801, 0)+1)),"0.##"),IF(IF(INDEX(ERP資料!$G:$G, (MATCH(811, 輔助計算!$G$2:$G$801, 0)+1))&lt;100, IF(INDEX(ERP資料!$G:$G, (MATCH(811, 輔助計算!$G$2:$G$801, 0)+1))&lt;=31,3,IF(INDEX(ERP資料!$G:$G, (MATCH(811, 輔助計算!$G$2:$G$801, 0)+1))&lt;=46.5,2,1)), IF(INDEX(ERP資料!$G:$G, (MATCH(811, 輔助計算!$G$2:$G$801, 0)+1))&lt;=790,3,IF(INDEX(ERP資料!$G:$G, (MATCH(811, 輔助計算!$G$2:$G$801, 0)+1))&lt;=1181,2,1)))=2,TEXT(INDEX(ERP資料!$G:$G, (MATCH(811, 輔助計算!$G$2:$G$801, 0)+1)),"0.##")&amp;"+"&amp;TEXT(INDEX(ERP資料!$G:$G, (MATCH(811, 輔助計算!$G$2:$G$801, 0)+1)),"0.##"),TEXT(INDEX(ERP資料!$G:$G, (MATCH(811, 輔助計算!$G$2:$G$801, 0)+1)),"0.##")&amp;"+"&amp;TEXT(INDEX(ERP資料!$G:$G, (MATCH(811, 輔助計算!$G$2:$G$801, 0)+1)),"0.##")&amp;"+"&amp;TEXT(INDEX(ERP資料!$G:$G, (MATCH(811, 輔助計算!$G$2:$G$801, 0)+1)),"0.##")))&amp;"-"&amp;INT(INDEX(輔助計算!$D:$D, (MATCH(811, 輔助計算!$G$2:$G$801, 0)+1))/IF(INDEX(ERP資料!$G:$G, (MATCH(811, 輔助計算!$G$2:$G$801, 0)+1))&lt;100, IF(INDEX(ERP資料!$G:$G, (MATCH(811, 輔助計算!$G$2:$G$801, 0)+1))&lt;=31,3,IF(INDEX(ERP資料!$G:$G, (MATCH(811, 輔助計算!$G$2:$G$801, 0)+1))&lt;=46.5,2,1)), IF(INDEX(ERP資料!$G:$G, (MATCH(811, 輔助計算!$G$2:$G$801, 0)+1))&lt;=790,3,IF(INDEX(ERP資料!$G:$G, (MATCH(811, 輔助計算!$G$2:$G$801, 0)+1))&lt;=1181,2,1)))), "")&lt;&gt;"",IF(MOD(INDEX(輔助計算!$D:$D, (MATCH(811, 輔助計算!$G$2:$G$801, 0)+1)),IF(INDEX(ERP資料!$G:$G, (MATCH(811, 輔助計算!$G$2:$G$801, 0)+1))&lt;100, IF(INDEX(ERP資料!$G:$G, (MATCH(811, 輔助計算!$G$2:$G$801, 0)+1))&lt;=31,3,IF(INDEX(ERP資料!$G:$G, (MATCH(811, 輔助計算!$G$2:$G$801, 0)+1))&lt;=46.5,2,1)), IF(INDEX(ERP資料!$G:$G, (MATCH(811, 輔助計算!$G$2:$G$801, 0)+1))&lt;=790,3,IF(INDEX(ERP資料!$G:$G, (MATCH(811, 輔助計算!$G$2:$G$801, 0)+1))&lt;=1181,2,1))))=0,"",IF(MOD(INDEX(輔助計算!$D:$D, (MATCH(811, 輔助計算!$G$2:$G$801, 0)+1)),IF(INDEX(ERP資料!$G:$G, (MATCH(811, 輔助計算!$G$2:$G$801, 0)+1))&lt;100, IF(INDEX(ERP資料!$G:$G, (MATCH(811, 輔助計算!$G$2:$G$801, 0)+1))&lt;=31,3,IF(INDEX(ERP資料!$G:$G, (MATCH(811, 輔助計算!$G$2:$G$801, 0)+1))&lt;=46.5,2,1)), IF(INDEX(ERP資料!$G:$G, (MATCH(811, 輔助計算!$G$2:$G$801, 0)+1))&lt;=790,3,IF(INDEX(ERP資料!$G:$G, (MATCH(811, 輔助計算!$G$2:$G$801, 0)+1))&lt;=1181,2,1))))=0,"",IF(MOD(INDEX(輔助計算!$D:$D, (MATCH(811, 輔助計算!$G$2:$G$801, 0)+1)),IF(INDEX(ERP資料!$G:$G, (MATCH(811, 輔助計算!$G$2:$G$801, 0)+1))&lt;100, IF(INDEX(ERP資料!$G:$G, (MATCH(811, 輔助計算!$G$2:$G$801, 0)+1))&lt;=31,3,IF(INDEX(ERP資料!$G:$G, (MATCH(811, 輔助計算!$G$2:$G$801, 0)+1))&lt;=46.5,2,1)), IF(INDEX(ERP資料!$G:$G, (MATCH(811, 輔助計算!$G$2:$G$801, 0)+1))&lt;=790,3,IF(INDEX(ERP資料!$G:$G, (MATCH(811, 輔助計算!$G$2:$G$801, 0)+1))&lt;=1181,2,1))))=1,TEXT(INDEX(ERP資料!$G:$G, (MATCH(811, 輔助計算!$G$2:$G$801, 0)+1)),"0.##"),IF(MOD(INDEX(輔助計算!$D:$D, (MATCH(811, 輔助計算!$G$2:$G$801, 0)+1)),IF(INDEX(ERP資料!$G:$G, (MATCH(811, 輔助計算!$G$2:$G$801, 0)+1))&lt;100, IF(INDEX(ERP資料!$G:$G, (MATCH(811, 輔助計算!$G$2:$G$801, 0)+1))&lt;=31,3,IF(INDEX(ERP資料!$G:$G, (MATCH(811, 輔助計算!$G$2:$G$801, 0)+1))&lt;=46.5,2,1)), IF(INDEX(ERP資料!$G:$G, (MATCH(811, 輔助計算!$G$2:$G$801, 0)+1))&lt;=790,3,IF(INDEX(ERP資料!$G:$G, (MATCH(811, 輔助計算!$G$2:$G$801, 0)+1))&lt;=1181,2,1))))=2,TEXT(INDEX(ERP資料!$G:$G, (MATCH(811, 輔助計算!$G$2:$G$801, 0)+1)),"0.##")&amp;"+"&amp;TEXT(INDEX(ERP資料!$G:$G, (MATCH(811, 輔助計算!$G$2:$G$801, 0)+1)),"0.##"),TEXT(INDEX(ERP資料!$G:$G, (MATCH(811, 輔助計算!$G$2:$G$801, 0)+1)),"0.##")&amp;"+"&amp;TEXT(INDEX(ERP資料!$G:$G, (MATCH(811, 輔助計算!$G$2:$G$801, 0)+1)),"0.##")&amp;"+"&amp;TEXT(INDEX(ERP資料!$G:$G, (MATCH(811, 輔助計算!$G$2:$G$801, 0)+1)),"0.##"))))&amp;"-1")&lt;&gt;""),"  ","")&amp;IF(MOD(INDEX(輔助計算!$D:$D, (MATCH(811, 輔助計算!$G$2:$G$801, 0)+1)),IF(INDEX(ERP資料!$G:$G, (MATCH(811, 輔助計算!$G$2:$G$801, 0)+1))&lt;100, IF(INDEX(ERP資料!$G:$G, (MATCH(811, 輔助計算!$G$2:$G$801, 0)+1))&lt;=31,3,IF(INDEX(ERP資料!$G:$G, (MATCH(811, 輔助計算!$G$2:$G$801, 0)+1))&lt;=46.5,2,1)), IF(INDEX(ERP資料!$G:$G, (MATCH(811, 輔助計算!$G$2:$G$801, 0)+1))&lt;=790,3,IF(INDEX(ERP資料!$G:$G, (MATCH(811, 輔助計算!$G$2:$G$801, 0)+1))&lt;=1181,2,1))))=0,"",IF(MOD(INDEX(輔助計算!$D:$D, (MATCH(811, 輔助計算!$G$2:$G$801, 0)+1)),IF(INDEX(ERP資料!$G:$G, (MATCH(811, 輔助計算!$G$2:$G$801, 0)+1))&lt;100, IF(INDEX(ERP資料!$G:$G, (MATCH(811, 輔助計算!$G$2:$G$801, 0)+1))&lt;=31,3,IF(INDEX(ERP資料!$G:$G, (MATCH(811, 輔助計算!$G$2:$G$801, 0)+1))&lt;=46.5,2,1)), IF(INDEX(ERP資料!$G:$G, (MATCH(811, 輔助計算!$G$2:$G$801, 0)+1))&lt;=790,3,IF(INDEX(ERP資料!$G:$G, (MATCH(811, 輔助計算!$G$2:$G$801, 0)+1))&lt;=1181,2,1))))=0,"",IF(MOD(INDEX(輔助計算!$D:$D, (MATCH(811, 輔助計算!$G$2:$G$801, 0)+1)),IF(INDEX(ERP資料!$G:$G, (MATCH(811, 輔助計算!$G$2:$G$801, 0)+1))&lt;100, IF(INDEX(ERP資料!$G:$G, (MATCH(811, 輔助計算!$G$2:$G$801, 0)+1))&lt;=31,3,IF(INDEX(ERP資料!$G:$G, (MATCH(811, 輔助計算!$G$2:$G$801, 0)+1))&lt;=46.5,2,1)), IF(INDEX(ERP資料!$G:$G, (MATCH(811, 輔助計算!$G$2:$G$801, 0)+1))&lt;=790,3,IF(INDEX(ERP資料!$G:$G, (MATCH(811, 輔助計算!$G$2:$G$801, 0)+1))&lt;=1181,2,1))))=1,TEXT(INDEX(ERP資料!$G:$G, (MATCH(811, 輔助計算!$G$2:$G$801, 0)+1)),"0.##"),IF(MOD(INDEX(輔助計算!$D:$D, (MATCH(811, 輔助計算!$G$2:$G$801, 0)+1)),IF(INDEX(ERP資料!$G:$G, (MATCH(811, 輔助計算!$G$2:$G$801, 0)+1))&lt;100, IF(INDEX(ERP資料!$G:$G, (MATCH(811, 輔助計算!$G$2:$G$801, 0)+1))&lt;=31,3,IF(INDEX(ERP資料!$G:$G, (MATCH(811, 輔助計算!$G$2:$G$801, 0)+1))&lt;=46.5,2,1)), IF(INDEX(ERP資料!$G:$G, (MATCH(811, 輔助計算!$G$2:$G$801, 0)+1))&lt;=790,3,IF(INDEX(ERP資料!$G:$G, (MATCH(811, 輔助計算!$G$2:$G$801, 0)+1))&lt;=1181,2,1))))=2,TEXT(INDEX(ERP資料!$G:$G, (MATCH(811, 輔助計算!$G$2:$G$801, 0)+1)),"0.##")&amp;"+"&amp;TEXT(INDEX(ERP資料!$G:$G, (MATCH(811, 輔助計算!$G$2:$G$801, 0)+1)),"0.##"),TEXT(INDEX(ERP資料!$G:$G, (MATCH(811, 輔助計算!$G$2:$G$801, 0)+1)),"0.##")&amp;"+"&amp;TEXT(INDEX(ERP資料!$G:$G, (MATCH(811, 輔助計算!$G$2:$G$801, 0)+1)),"0.##")&amp;"+"&amp;TEXT(INDEX(ERP資料!$G:$G, (MATCH(811, 輔助計算!$G$2:$G$801, 0)+1)),"0.##"))))&amp;"-1")), ""), "")</f>
        <v/>
      </c>
      <c r="K812" s="16" t="n"/>
      <c r="L812" s="14">
        <f>IFERROR(IF(AND(IFERROR(INDEX(ERP資料!$A:$A, (MATCH(811, 輔助計算!$G$2:$G$801, 0)+1)), "")&lt;&gt;"", IFERROR(INDEX(ERP資料!$A:$A, (MATCH(811, 輔助計算!$G$2:$G$801, 0)+1)), "")&lt;&gt;IFERROR(INDEX(ERP資料!$A:$A, MATCH(810, 輔助計算!$G$2:$G$801, 0)+1), "")), INDEX(ERP資料!$B:$B, (MATCH(811, 輔助計算!$G$2:$G$801, 0)+1)), ""), "")</f>
        <v/>
      </c>
      <c r="M812" s="17" t="n"/>
    </row>
    <row r="813">
      <c r="A813" s="10">
        <f>IFERROR(IF(AND(IFERROR(INDEX(ERP資料!$A:$A, (MATCH(812, 輔助計算!$G$2:$G$801, 0)+1)), "")&lt;&gt;"", IFERROR(INDEX(ERP資料!$A:$A, (MATCH(812, 輔助計算!$G$2:$G$801, 0)+1)), "")&lt;&gt;IFERROR(INDEX(ERP資料!$A:$A, MATCH(811, 輔助計算!$G$2:$G$801, 0)+1), "")), IFERROR(INDEX(ERP資料!$A:$A, (MATCH(812, 輔助計算!$G$2:$G$801, 0)+1)), ""), ""), "")</f>
        <v/>
      </c>
      <c r="B813" s="10">
        <f>IFERROR(IF(AND(IFERROR(INDEX(ERP資料!$A:$A, (MATCH(812, 輔助計算!$G$2:$G$801, 0)+1)), "")&lt;&gt;"", IFERROR(INDEX(ERP資料!$A:$A, (MATCH(812, 輔助計算!$G$2:$G$801, 0)+1)), "")&lt;&gt;IFERROR(INDEX(ERP資料!$A:$A, MATCH(811, 輔助計算!$G$2:$G$801, 0)+1), "")), INDEX(ERP資料!$S:$S, (MATCH(812, 輔助計算!$G$2:$G$801, 0)+1)), ""), "")</f>
        <v/>
      </c>
      <c r="C813" s="19">
        <f>IFERROR(IF(AND(IFERROR(INDEX(ERP資料!$A:$A, (MATCH(812, 輔助計算!$G$2:$G$801, 0)+1)), "")&lt;&gt;"", IFERROR(INDEX(ERP資料!$A:$A, (MATCH(812, 輔助計算!$G$2:$G$801, 0)+1)), "")&lt;&gt;IFERROR(INDEX(ERP資料!$A:$A, MATCH(811, 輔助計算!$G$2:$G$801, 0)+1), "")), IFERROR(VLOOKUP(LEFT(INDEX(ERP資料!$S:$S, (MATCH(812, 輔助計算!$G$2:$G$801, 0)+1)), 4), 紙管對照表!$A:$C, 3, FALSE), ""), ""), "")</f>
        <v/>
      </c>
      <c r="D813" s="16" t="n"/>
      <c r="E813" s="10">
        <f>IFERROR(IF(INDEX(ERP資料!$H:$H, (MATCH(812, 輔助計算!$G$2:$G$801, 0)+1))="","",INDEX(ERP資料!$H:$H, (MATCH(812, 輔助計算!$G$2:$G$801, 0)+1))), "")</f>
        <v/>
      </c>
      <c r="F813" s="10">
        <f>IFERROR(IF(INDEX(ERP資料!$E:$E, (MATCH(812, 輔助計算!$G$2:$G$801, 0)+1))="","",TRIM(INDEX(ERP資料!$E:$E, (MATCH(812, 輔助計算!$G$2:$G$801, 0)+1)))), "")</f>
        <v/>
      </c>
      <c r="G813" s="10">
        <f>IFERROR(IF(INDEX(ERP資料!$F:$F, (MATCH(812, 輔助計算!$G$2:$G$801, 0)+1))="","",INDEX(ERP資料!$F:$F, (MATCH(812, 輔助計算!$G$2:$G$801, 0)+1))), "")</f>
        <v/>
      </c>
      <c r="H813" s="10">
        <f>IFERROR(IF(INDEX(ERP資料!$G:$G, (MATCH(812, 輔助計算!$G$2:$G$801, 0)+1))="","",INDEX(ERP資料!$G:$G, (MATCH(812, 輔助計算!$G$2:$G$801, 0)+1))), "")</f>
        <v/>
      </c>
      <c r="I813" s="15">
        <f>IFERROR(INDEX(輔助計算!$D:$D, (MATCH(812, 輔助計算!$G$2:$G$801, 0)+1)), "")</f>
        <v/>
      </c>
      <c r="J813" s="15">
        <f>IFERROR(IF(AND(INDEX(輔助計算!$D:$D, (MATCH(812, 輔助計算!$G$2:$G$801, 0)+1))&lt;&gt;"", INDEX(ERP資料!$G:$G, (MATCH(812, 輔助計算!$G$2:$G$801, 0)+1))&lt;&gt;""), TRIM(IF(INT(INDEX(輔助計算!$D:$D, (MATCH(812, 輔助計算!$G$2:$G$801, 0)+1))/IF(INDEX(ERP資料!$G:$G, (MATCH(812, 輔助計算!$G$2:$G$801, 0)+1))&lt;100, IF(INDEX(ERP資料!$G:$G, (MATCH(812, 輔助計算!$G$2:$G$801, 0)+1))&lt;=31,3,IF(INDEX(ERP資料!$G:$G, (MATCH(812, 輔助計算!$G$2:$G$801, 0)+1))&lt;=46.5,2,1)), IF(INDEX(ERP資料!$G:$G, (MATCH(812, 輔助計算!$G$2:$G$801, 0)+1))&lt;=790,3,IF(INDEX(ERP資料!$G:$G, (MATCH(812, 輔助計算!$G$2:$G$801, 0)+1))&lt;=1181,2,1))))&gt;0, IF(IF(INDEX(ERP資料!$G:$G, (MATCH(812, 輔助計算!$G$2:$G$801, 0)+1))&lt;100, IF(INDEX(ERP資料!$G:$G, (MATCH(812, 輔助計算!$G$2:$G$801, 0)+1))&lt;=31,3,IF(INDEX(ERP資料!$G:$G, (MATCH(812, 輔助計算!$G$2:$G$801, 0)+1))&lt;=46.5,2,1)), IF(INDEX(ERP資料!$G:$G, (MATCH(812, 輔助計算!$G$2:$G$801, 0)+1))&lt;=790,3,IF(INDEX(ERP資料!$G:$G, (MATCH(812, 輔助計算!$G$2:$G$801, 0)+1))&lt;=1181,2,1)))=1,TEXT(INDEX(ERP資料!$G:$G, (MATCH(812, 輔助計算!$G$2:$G$801, 0)+1)),"0.##"),IF(IF(INDEX(ERP資料!$G:$G, (MATCH(812, 輔助計算!$G$2:$G$801, 0)+1))&lt;100, IF(INDEX(ERP資料!$G:$G, (MATCH(812, 輔助計算!$G$2:$G$801, 0)+1))&lt;=31,3,IF(INDEX(ERP資料!$G:$G, (MATCH(812, 輔助計算!$G$2:$G$801, 0)+1))&lt;=46.5,2,1)), IF(INDEX(ERP資料!$G:$G, (MATCH(812, 輔助計算!$G$2:$G$801, 0)+1))&lt;=790,3,IF(INDEX(ERP資料!$G:$G, (MATCH(812, 輔助計算!$G$2:$G$801, 0)+1))&lt;=1181,2,1)))=2,TEXT(INDEX(ERP資料!$G:$G, (MATCH(812, 輔助計算!$G$2:$G$801, 0)+1)),"0.##")&amp;"+"&amp;TEXT(INDEX(ERP資料!$G:$G, (MATCH(812, 輔助計算!$G$2:$G$801, 0)+1)),"0.##"),TEXT(INDEX(ERP資料!$G:$G, (MATCH(812, 輔助計算!$G$2:$G$801, 0)+1)),"0.##")&amp;"+"&amp;TEXT(INDEX(ERP資料!$G:$G, (MATCH(812, 輔助計算!$G$2:$G$801, 0)+1)),"0.##")&amp;"+"&amp;TEXT(INDEX(ERP資料!$G:$G, (MATCH(812, 輔助計算!$G$2:$G$801, 0)+1)),"0.##")))&amp;"-"&amp;INT(INDEX(輔助計算!$D:$D, (MATCH(812, 輔助計算!$G$2:$G$801, 0)+1))/IF(INDEX(ERP資料!$G:$G, (MATCH(812, 輔助計算!$G$2:$G$801, 0)+1))&lt;100, IF(INDEX(ERP資料!$G:$G, (MATCH(812, 輔助計算!$G$2:$G$801, 0)+1))&lt;=31,3,IF(INDEX(ERP資料!$G:$G, (MATCH(812, 輔助計算!$G$2:$G$801, 0)+1))&lt;=46.5,2,1)), IF(INDEX(ERP資料!$G:$G, (MATCH(812, 輔助計算!$G$2:$G$801, 0)+1))&lt;=790,3,IF(INDEX(ERP資料!$G:$G, (MATCH(812, 輔助計算!$G$2:$G$801, 0)+1))&lt;=1181,2,1)))), "")&amp;IF(AND(IF(INT(INDEX(輔助計算!$D:$D, (MATCH(812, 輔助計算!$G$2:$G$801, 0)+1))/IF(INDEX(ERP資料!$G:$G, (MATCH(812, 輔助計算!$G$2:$G$801, 0)+1))&lt;100, IF(INDEX(ERP資料!$G:$G, (MATCH(812, 輔助計算!$G$2:$G$801, 0)+1))&lt;=31,3,IF(INDEX(ERP資料!$G:$G, (MATCH(812, 輔助計算!$G$2:$G$801, 0)+1))&lt;=46.5,2,1)), IF(INDEX(ERP資料!$G:$G, (MATCH(812, 輔助計算!$G$2:$G$801, 0)+1))&lt;=790,3,IF(INDEX(ERP資料!$G:$G, (MATCH(812, 輔助計算!$G$2:$G$801, 0)+1))&lt;=1181,2,1))))&gt;0, IF(IF(INDEX(ERP資料!$G:$G, (MATCH(812, 輔助計算!$G$2:$G$801, 0)+1))&lt;100, IF(INDEX(ERP資料!$G:$G, (MATCH(812, 輔助計算!$G$2:$G$801, 0)+1))&lt;=31,3,IF(INDEX(ERP資料!$G:$G, (MATCH(812, 輔助計算!$G$2:$G$801, 0)+1))&lt;=46.5,2,1)), IF(INDEX(ERP資料!$G:$G, (MATCH(812, 輔助計算!$G$2:$G$801, 0)+1))&lt;=790,3,IF(INDEX(ERP資料!$G:$G, (MATCH(812, 輔助計算!$G$2:$G$801, 0)+1))&lt;=1181,2,1)))=1,TEXT(INDEX(ERP資料!$G:$G, (MATCH(812, 輔助計算!$G$2:$G$801, 0)+1)),"0.##"),IF(IF(INDEX(ERP資料!$G:$G, (MATCH(812, 輔助計算!$G$2:$G$801, 0)+1))&lt;100, IF(INDEX(ERP資料!$G:$G, (MATCH(812, 輔助計算!$G$2:$G$801, 0)+1))&lt;=31,3,IF(INDEX(ERP資料!$G:$G, (MATCH(812, 輔助計算!$G$2:$G$801, 0)+1))&lt;=46.5,2,1)), IF(INDEX(ERP資料!$G:$G, (MATCH(812, 輔助計算!$G$2:$G$801, 0)+1))&lt;=790,3,IF(INDEX(ERP資料!$G:$G, (MATCH(812, 輔助計算!$G$2:$G$801, 0)+1))&lt;=1181,2,1)))=2,TEXT(INDEX(ERP資料!$G:$G, (MATCH(812, 輔助計算!$G$2:$G$801, 0)+1)),"0.##")&amp;"+"&amp;TEXT(INDEX(ERP資料!$G:$G, (MATCH(812, 輔助計算!$G$2:$G$801, 0)+1)),"0.##"),TEXT(INDEX(ERP資料!$G:$G, (MATCH(812, 輔助計算!$G$2:$G$801, 0)+1)),"0.##")&amp;"+"&amp;TEXT(INDEX(ERP資料!$G:$G, (MATCH(812, 輔助計算!$G$2:$G$801, 0)+1)),"0.##")&amp;"+"&amp;TEXT(INDEX(ERP資料!$G:$G, (MATCH(812, 輔助計算!$G$2:$G$801, 0)+1)),"0.##")))&amp;"-"&amp;INT(INDEX(輔助計算!$D:$D, (MATCH(812, 輔助計算!$G$2:$G$801, 0)+1))/IF(INDEX(ERP資料!$G:$G, (MATCH(812, 輔助計算!$G$2:$G$801, 0)+1))&lt;100, IF(INDEX(ERP資料!$G:$G, (MATCH(812, 輔助計算!$G$2:$G$801, 0)+1))&lt;=31,3,IF(INDEX(ERP資料!$G:$G, (MATCH(812, 輔助計算!$G$2:$G$801, 0)+1))&lt;=46.5,2,1)), IF(INDEX(ERP資料!$G:$G, (MATCH(812, 輔助計算!$G$2:$G$801, 0)+1))&lt;=790,3,IF(INDEX(ERP資料!$G:$G, (MATCH(812, 輔助計算!$G$2:$G$801, 0)+1))&lt;=1181,2,1)))), "")&lt;&gt;"",IF(MOD(INDEX(輔助計算!$D:$D, (MATCH(812, 輔助計算!$G$2:$G$801, 0)+1)),IF(INDEX(ERP資料!$G:$G, (MATCH(812, 輔助計算!$G$2:$G$801, 0)+1))&lt;100, IF(INDEX(ERP資料!$G:$G, (MATCH(812, 輔助計算!$G$2:$G$801, 0)+1))&lt;=31,3,IF(INDEX(ERP資料!$G:$G, (MATCH(812, 輔助計算!$G$2:$G$801, 0)+1))&lt;=46.5,2,1)), IF(INDEX(ERP資料!$G:$G, (MATCH(812, 輔助計算!$G$2:$G$801, 0)+1))&lt;=790,3,IF(INDEX(ERP資料!$G:$G, (MATCH(812, 輔助計算!$G$2:$G$801, 0)+1))&lt;=1181,2,1))))=0,"",IF(MOD(INDEX(輔助計算!$D:$D, (MATCH(812, 輔助計算!$G$2:$G$801, 0)+1)),IF(INDEX(ERP資料!$G:$G, (MATCH(812, 輔助計算!$G$2:$G$801, 0)+1))&lt;100, IF(INDEX(ERP資料!$G:$G, (MATCH(812, 輔助計算!$G$2:$G$801, 0)+1))&lt;=31,3,IF(INDEX(ERP資料!$G:$G, (MATCH(812, 輔助計算!$G$2:$G$801, 0)+1))&lt;=46.5,2,1)), IF(INDEX(ERP資料!$G:$G, (MATCH(812, 輔助計算!$G$2:$G$801, 0)+1))&lt;=790,3,IF(INDEX(ERP資料!$G:$G, (MATCH(812, 輔助計算!$G$2:$G$801, 0)+1))&lt;=1181,2,1))))=0,"",IF(MOD(INDEX(輔助計算!$D:$D, (MATCH(812, 輔助計算!$G$2:$G$801, 0)+1)),IF(INDEX(ERP資料!$G:$G, (MATCH(812, 輔助計算!$G$2:$G$801, 0)+1))&lt;100, IF(INDEX(ERP資料!$G:$G, (MATCH(812, 輔助計算!$G$2:$G$801, 0)+1))&lt;=31,3,IF(INDEX(ERP資料!$G:$G, (MATCH(812, 輔助計算!$G$2:$G$801, 0)+1))&lt;=46.5,2,1)), IF(INDEX(ERP資料!$G:$G, (MATCH(812, 輔助計算!$G$2:$G$801, 0)+1))&lt;=790,3,IF(INDEX(ERP資料!$G:$G, (MATCH(812, 輔助計算!$G$2:$G$801, 0)+1))&lt;=1181,2,1))))=1,TEXT(INDEX(ERP資料!$G:$G, (MATCH(812, 輔助計算!$G$2:$G$801, 0)+1)),"0.##"),IF(MOD(INDEX(輔助計算!$D:$D, (MATCH(812, 輔助計算!$G$2:$G$801, 0)+1)),IF(INDEX(ERP資料!$G:$G, (MATCH(812, 輔助計算!$G$2:$G$801, 0)+1))&lt;100, IF(INDEX(ERP資料!$G:$G, (MATCH(812, 輔助計算!$G$2:$G$801, 0)+1))&lt;=31,3,IF(INDEX(ERP資料!$G:$G, (MATCH(812, 輔助計算!$G$2:$G$801, 0)+1))&lt;=46.5,2,1)), IF(INDEX(ERP資料!$G:$G, (MATCH(812, 輔助計算!$G$2:$G$801, 0)+1))&lt;=790,3,IF(INDEX(ERP資料!$G:$G, (MATCH(812, 輔助計算!$G$2:$G$801, 0)+1))&lt;=1181,2,1))))=2,TEXT(INDEX(ERP資料!$G:$G, (MATCH(812, 輔助計算!$G$2:$G$801, 0)+1)),"0.##")&amp;"+"&amp;TEXT(INDEX(ERP資料!$G:$G, (MATCH(812, 輔助計算!$G$2:$G$801, 0)+1)),"0.##"),TEXT(INDEX(ERP資料!$G:$G, (MATCH(812, 輔助計算!$G$2:$G$801, 0)+1)),"0.##")&amp;"+"&amp;TEXT(INDEX(ERP資料!$G:$G, (MATCH(812, 輔助計算!$G$2:$G$801, 0)+1)),"0.##")&amp;"+"&amp;TEXT(INDEX(ERP資料!$G:$G, (MATCH(812, 輔助計算!$G$2:$G$801, 0)+1)),"0.##"))))&amp;"-1")&lt;&gt;""),"  ","")&amp;IF(MOD(INDEX(輔助計算!$D:$D, (MATCH(812, 輔助計算!$G$2:$G$801, 0)+1)),IF(INDEX(ERP資料!$G:$G, (MATCH(812, 輔助計算!$G$2:$G$801, 0)+1))&lt;100, IF(INDEX(ERP資料!$G:$G, (MATCH(812, 輔助計算!$G$2:$G$801, 0)+1))&lt;=31,3,IF(INDEX(ERP資料!$G:$G, (MATCH(812, 輔助計算!$G$2:$G$801, 0)+1))&lt;=46.5,2,1)), IF(INDEX(ERP資料!$G:$G, (MATCH(812, 輔助計算!$G$2:$G$801, 0)+1))&lt;=790,3,IF(INDEX(ERP資料!$G:$G, (MATCH(812, 輔助計算!$G$2:$G$801, 0)+1))&lt;=1181,2,1))))=0,"",IF(MOD(INDEX(輔助計算!$D:$D, (MATCH(812, 輔助計算!$G$2:$G$801, 0)+1)),IF(INDEX(ERP資料!$G:$G, (MATCH(812, 輔助計算!$G$2:$G$801, 0)+1))&lt;100, IF(INDEX(ERP資料!$G:$G, (MATCH(812, 輔助計算!$G$2:$G$801, 0)+1))&lt;=31,3,IF(INDEX(ERP資料!$G:$G, (MATCH(812, 輔助計算!$G$2:$G$801, 0)+1))&lt;=46.5,2,1)), IF(INDEX(ERP資料!$G:$G, (MATCH(812, 輔助計算!$G$2:$G$801, 0)+1))&lt;=790,3,IF(INDEX(ERP資料!$G:$G, (MATCH(812, 輔助計算!$G$2:$G$801, 0)+1))&lt;=1181,2,1))))=0,"",IF(MOD(INDEX(輔助計算!$D:$D, (MATCH(812, 輔助計算!$G$2:$G$801, 0)+1)),IF(INDEX(ERP資料!$G:$G, (MATCH(812, 輔助計算!$G$2:$G$801, 0)+1))&lt;100, IF(INDEX(ERP資料!$G:$G, (MATCH(812, 輔助計算!$G$2:$G$801, 0)+1))&lt;=31,3,IF(INDEX(ERP資料!$G:$G, (MATCH(812, 輔助計算!$G$2:$G$801, 0)+1))&lt;=46.5,2,1)), IF(INDEX(ERP資料!$G:$G, (MATCH(812, 輔助計算!$G$2:$G$801, 0)+1))&lt;=790,3,IF(INDEX(ERP資料!$G:$G, (MATCH(812, 輔助計算!$G$2:$G$801, 0)+1))&lt;=1181,2,1))))=1,TEXT(INDEX(ERP資料!$G:$G, (MATCH(812, 輔助計算!$G$2:$G$801, 0)+1)),"0.##"),IF(MOD(INDEX(輔助計算!$D:$D, (MATCH(812, 輔助計算!$G$2:$G$801, 0)+1)),IF(INDEX(ERP資料!$G:$G, (MATCH(812, 輔助計算!$G$2:$G$801, 0)+1))&lt;100, IF(INDEX(ERP資料!$G:$G, (MATCH(812, 輔助計算!$G$2:$G$801, 0)+1))&lt;=31,3,IF(INDEX(ERP資料!$G:$G, (MATCH(812, 輔助計算!$G$2:$G$801, 0)+1))&lt;=46.5,2,1)), IF(INDEX(ERP資料!$G:$G, (MATCH(812, 輔助計算!$G$2:$G$801, 0)+1))&lt;=790,3,IF(INDEX(ERP資料!$G:$G, (MATCH(812, 輔助計算!$G$2:$G$801, 0)+1))&lt;=1181,2,1))))=2,TEXT(INDEX(ERP資料!$G:$G, (MATCH(812, 輔助計算!$G$2:$G$801, 0)+1)),"0.##")&amp;"+"&amp;TEXT(INDEX(ERP資料!$G:$G, (MATCH(812, 輔助計算!$G$2:$G$801, 0)+1)),"0.##"),TEXT(INDEX(ERP資料!$G:$G, (MATCH(812, 輔助計算!$G$2:$G$801, 0)+1)),"0.##")&amp;"+"&amp;TEXT(INDEX(ERP資料!$G:$G, (MATCH(812, 輔助計算!$G$2:$G$801, 0)+1)),"0.##")&amp;"+"&amp;TEXT(INDEX(ERP資料!$G:$G, (MATCH(812, 輔助計算!$G$2:$G$801, 0)+1)),"0.##"))))&amp;"-1")), ""), "")</f>
        <v/>
      </c>
      <c r="K813" s="16" t="n"/>
      <c r="L813" s="14">
        <f>IFERROR(IF(AND(IFERROR(INDEX(ERP資料!$A:$A, (MATCH(812, 輔助計算!$G$2:$G$801, 0)+1)), "")&lt;&gt;"", IFERROR(INDEX(ERP資料!$A:$A, (MATCH(812, 輔助計算!$G$2:$G$801, 0)+1)), "")&lt;&gt;IFERROR(INDEX(ERP資料!$A:$A, MATCH(811, 輔助計算!$G$2:$G$801, 0)+1), "")), INDEX(ERP資料!$B:$B, (MATCH(812, 輔助計算!$G$2:$G$801, 0)+1)), ""), "")</f>
        <v/>
      </c>
      <c r="M813" s="17" t="n"/>
    </row>
    <row r="814">
      <c r="A814" s="10">
        <f>IFERROR(IF(AND(IFERROR(INDEX(ERP資料!$A:$A, (MATCH(813, 輔助計算!$G$2:$G$801, 0)+1)), "")&lt;&gt;"", IFERROR(INDEX(ERP資料!$A:$A, (MATCH(813, 輔助計算!$G$2:$G$801, 0)+1)), "")&lt;&gt;IFERROR(INDEX(ERP資料!$A:$A, MATCH(812, 輔助計算!$G$2:$G$801, 0)+1), "")), IFERROR(INDEX(ERP資料!$A:$A, (MATCH(813, 輔助計算!$G$2:$G$801, 0)+1)), ""), ""), "")</f>
        <v/>
      </c>
      <c r="B814" s="10">
        <f>IFERROR(IF(AND(IFERROR(INDEX(ERP資料!$A:$A, (MATCH(813, 輔助計算!$G$2:$G$801, 0)+1)), "")&lt;&gt;"", IFERROR(INDEX(ERP資料!$A:$A, (MATCH(813, 輔助計算!$G$2:$G$801, 0)+1)), "")&lt;&gt;IFERROR(INDEX(ERP資料!$A:$A, MATCH(812, 輔助計算!$G$2:$G$801, 0)+1), "")), INDEX(ERP資料!$S:$S, (MATCH(813, 輔助計算!$G$2:$G$801, 0)+1)), ""), "")</f>
        <v/>
      </c>
      <c r="C814" s="19">
        <f>IFERROR(IF(AND(IFERROR(INDEX(ERP資料!$A:$A, (MATCH(813, 輔助計算!$G$2:$G$801, 0)+1)), "")&lt;&gt;"", IFERROR(INDEX(ERP資料!$A:$A, (MATCH(813, 輔助計算!$G$2:$G$801, 0)+1)), "")&lt;&gt;IFERROR(INDEX(ERP資料!$A:$A, MATCH(812, 輔助計算!$G$2:$G$801, 0)+1), "")), IFERROR(VLOOKUP(LEFT(INDEX(ERP資料!$S:$S, (MATCH(813, 輔助計算!$G$2:$G$801, 0)+1)), 4), 紙管對照表!$A:$C, 3, FALSE), ""), ""), "")</f>
        <v/>
      </c>
      <c r="D814" s="16" t="n"/>
      <c r="E814" s="10">
        <f>IFERROR(IF(INDEX(ERP資料!$H:$H, (MATCH(813, 輔助計算!$G$2:$G$801, 0)+1))="","",INDEX(ERP資料!$H:$H, (MATCH(813, 輔助計算!$G$2:$G$801, 0)+1))), "")</f>
        <v/>
      </c>
      <c r="F814" s="10">
        <f>IFERROR(IF(INDEX(ERP資料!$E:$E, (MATCH(813, 輔助計算!$G$2:$G$801, 0)+1))="","",TRIM(INDEX(ERP資料!$E:$E, (MATCH(813, 輔助計算!$G$2:$G$801, 0)+1)))), "")</f>
        <v/>
      </c>
      <c r="G814" s="10">
        <f>IFERROR(IF(INDEX(ERP資料!$F:$F, (MATCH(813, 輔助計算!$G$2:$G$801, 0)+1))="","",INDEX(ERP資料!$F:$F, (MATCH(813, 輔助計算!$G$2:$G$801, 0)+1))), "")</f>
        <v/>
      </c>
      <c r="H814" s="10">
        <f>IFERROR(IF(INDEX(ERP資料!$G:$G, (MATCH(813, 輔助計算!$G$2:$G$801, 0)+1))="","",INDEX(ERP資料!$G:$G, (MATCH(813, 輔助計算!$G$2:$G$801, 0)+1))), "")</f>
        <v/>
      </c>
      <c r="I814" s="15">
        <f>IFERROR(INDEX(輔助計算!$D:$D, (MATCH(813, 輔助計算!$G$2:$G$801, 0)+1)), "")</f>
        <v/>
      </c>
      <c r="J814" s="15">
        <f>IFERROR(IF(AND(INDEX(輔助計算!$D:$D, (MATCH(813, 輔助計算!$G$2:$G$801, 0)+1))&lt;&gt;"", INDEX(ERP資料!$G:$G, (MATCH(813, 輔助計算!$G$2:$G$801, 0)+1))&lt;&gt;""), TRIM(IF(INT(INDEX(輔助計算!$D:$D, (MATCH(813, 輔助計算!$G$2:$G$801, 0)+1))/IF(INDEX(ERP資料!$G:$G, (MATCH(813, 輔助計算!$G$2:$G$801, 0)+1))&lt;100, IF(INDEX(ERP資料!$G:$G, (MATCH(813, 輔助計算!$G$2:$G$801, 0)+1))&lt;=31,3,IF(INDEX(ERP資料!$G:$G, (MATCH(813, 輔助計算!$G$2:$G$801, 0)+1))&lt;=46.5,2,1)), IF(INDEX(ERP資料!$G:$G, (MATCH(813, 輔助計算!$G$2:$G$801, 0)+1))&lt;=790,3,IF(INDEX(ERP資料!$G:$G, (MATCH(813, 輔助計算!$G$2:$G$801, 0)+1))&lt;=1181,2,1))))&gt;0, IF(IF(INDEX(ERP資料!$G:$G, (MATCH(813, 輔助計算!$G$2:$G$801, 0)+1))&lt;100, IF(INDEX(ERP資料!$G:$G, (MATCH(813, 輔助計算!$G$2:$G$801, 0)+1))&lt;=31,3,IF(INDEX(ERP資料!$G:$G, (MATCH(813, 輔助計算!$G$2:$G$801, 0)+1))&lt;=46.5,2,1)), IF(INDEX(ERP資料!$G:$G, (MATCH(813, 輔助計算!$G$2:$G$801, 0)+1))&lt;=790,3,IF(INDEX(ERP資料!$G:$G, (MATCH(813, 輔助計算!$G$2:$G$801, 0)+1))&lt;=1181,2,1)))=1,TEXT(INDEX(ERP資料!$G:$G, (MATCH(813, 輔助計算!$G$2:$G$801, 0)+1)),"0.##"),IF(IF(INDEX(ERP資料!$G:$G, (MATCH(813, 輔助計算!$G$2:$G$801, 0)+1))&lt;100, IF(INDEX(ERP資料!$G:$G, (MATCH(813, 輔助計算!$G$2:$G$801, 0)+1))&lt;=31,3,IF(INDEX(ERP資料!$G:$G, (MATCH(813, 輔助計算!$G$2:$G$801, 0)+1))&lt;=46.5,2,1)), IF(INDEX(ERP資料!$G:$G, (MATCH(813, 輔助計算!$G$2:$G$801, 0)+1))&lt;=790,3,IF(INDEX(ERP資料!$G:$G, (MATCH(813, 輔助計算!$G$2:$G$801, 0)+1))&lt;=1181,2,1)))=2,TEXT(INDEX(ERP資料!$G:$G, (MATCH(813, 輔助計算!$G$2:$G$801, 0)+1)),"0.##")&amp;"+"&amp;TEXT(INDEX(ERP資料!$G:$G, (MATCH(813, 輔助計算!$G$2:$G$801, 0)+1)),"0.##"),TEXT(INDEX(ERP資料!$G:$G, (MATCH(813, 輔助計算!$G$2:$G$801, 0)+1)),"0.##")&amp;"+"&amp;TEXT(INDEX(ERP資料!$G:$G, (MATCH(813, 輔助計算!$G$2:$G$801, 0)+1)),"0.##")&amp;"+"&amp;TEXT(INDEX(ERP資料!$G:$G, (MATCH(813, 輔助計算!$G$2:$G$801, 0)+1)),"0.##")))&amp;"-"&amp;INT(INDEX(輔助計算!$D:$D, (MATCH(813, 輔助計算!$G$2:$G$801, 0)+1))/IF(INDEX(ERP資料!$G:$G, (MATCH(813, 輔助計算!$G$2:$G$801, 0)+1))&lt;100, IF(INDEX(ERP資料!$G:$G, (MATCH(813, 輔助計算!$G$2:$G$801, 0)+1))&lt;=31,3,IF(INDEX(ERP資料!$G:$G, (MATCH(813, 輔助計算!$G$2:$G$801, 0)+1))&lt;=46.5,2,1)), IF(INDEX(ERP資料!$G:$G, (MATCH(813, 輔助計算!$G$2:$G$801, 0)+1))&lt;=790,3,IF(INDEX(ERP資料!$G:$G, (MATCH(813, 輔助計算!$G$2:$G$801, 0)+1))&lt;=1181,2,1)))), "")&amp;IF(AND(IF(INT(INDEX(輔助計算!$D:$D, (MATCH(813, 輔助計算!$G$2:$G$801, 0)+1))/IF(INDEX(ERP資料!$G:$G, (MATCH(813, 輔助計算!$G$2:$G$801, 0)+1))&lt;100, IF(INDEX(ERP資料!$G:$G, (MATCH(813, 輔助計算!$G$2:$G$801, 0)+1))&lt;=31,3,IF(INDEX(ERP資料!$G:$G, (MATCH(813, 輔助計算!$G$2:$G$801, 0)+1))&lt;=46.5,2,1)), IF(INDEX(ERP資料!$G:$G, (MATCH(813, 輔助計算!$G$2:$G$801, 0)+1))&lt;=790,3,IF(INDEX(ERP資料!$G:$G, (MATCH(813, 輔助計算!$G$2:$G$801, 0)+1))&lt;=1181,2,1))))&gt;0, IF(IF(INDEX(ERP資料!$G:$G, (MATCH(813, 輔助計算!$G$2:$G$801, 0)+1))&lt;100, IF(INDEX(ERP資料!$G:$G, (MATCH(813, 輔助計算!$G$2:$G$801, 0)+1))&lt;=31,3,IF(INDEX(ERP資料!$G:$G, (MATCH(813, 輔助計算!$G$2:$G$801, 0)+1))&lt;=46.5,2,1)), IF(INDEX(ERP資料!$G:$G, (MATCH(813, 輔助計算!$G$2:$G$801, 0)+1))&lt;=790,3,IF(INDEX(ERP資料!$G:$G, (MATCH(813, 輔助計算!$G$2:$G$801, 0)+1))&lt;=1181,2,1)))=1,TEXT(INDEX(ERP資料!$G:$G, (MATCH(813, 輔助計算!$G$2:$G$801, 0)+1)),"0.##"),IF(IF(INDEX(ERP資料!$G:$G, (MATCH(813, 輔助計算!$G$2:$G$801, 0)+1))&lt;100, IF(INDEX(ERP資料!$G:$G, (MATCH(813, 輔助計算!$G$2:$G$801, 0)+1))&lt;=31,3,IF(INDEX(ERP資料!$G:$G, (MATCH(813, 輔助計算!$G$2:$G$801, 0)+1))&lt;=46.5,2,1)), IF(INDEX(ERP資料!$G:$G, (MATCH(813, 輔助計算!$G$2:$G$801, 0)+1))&lt;=790,3,IF(INDEX(ERP資料!$G:$G, (MATCH(813, 輔助計算!$G$2:$G$801, 0)+1))&lt;=1181,2,1)))=2,TEXT(INDEX(ERP資料!$G:$G, (MATCH(813, 輔助計算!$G$2:$G$801, 0)+1)),"0.##")&amp;"+"&amp;TEXT(INDEX(ERP資料!$G:$G, (MATCH(813, 輔助計算!$G$2:$G$801, 0)+1)),"0.##"),TEXT(INDEX(ERP資料!$G:$G, (MATCH(813, 輔助計算!$G$2:$G$801, 0)+1)),"0.##")&amp;"+"&amp;TEXT(INDEX(ERP資料!$G:$G, (MATCH(813, 輔助計算!$G$2:$G$801, 0)+1)),"0.##")&amp;"+"&amp;TEXT(INDEX(ERP資料!$G:$G, (MATCH(813, 輔助計算!$G$2:$G$801, 0)+1)),"0.##")))&amp;"-"&amp;INT(INDEX(輔助計算!$D:$D, (MATCH(813, 輔助計算!$G$2:$G$801, 0)+1))/IF(INDEX(ERP資料!$G:$G, (MATCH(813, 輔助計算!$G$2:$G$801, 0)+1))&lt;100, IF(INDEX(ERP資料!$G:$G, (MATCH(813, 輔助計算!$G$2:$G$801, 0)+1))&lt;=31,3,IF(INDEX(ERP資料!$G:$G, (MATCH(813, 輔助計算!$G$2:$G$801, 0)+1))&lt;=46.5,2,1)), IF(INDEX(ERP資料!$G:$G, (MATCH(813, 輔助計算!$G$2:$G$801, 0)+1))&lt;=790,3,IF(INDEX(ERP資料!$G:$G, (MATCH(813, 輔助計算!$G$2:$G$801, 0)+1))&lt;=1181,2,1)))), "")&lt;&gt;"",IF(MOD(INDEX(輔助計算!$D:$D, (MATCH(813, 輔助計算!$G$2:$G$801, 0)+1)),IF(INDEX(ERP資料!$G:$G, (MATCH(813, 輔助計算!$G$2:$G$801, 0)+1))&lt;100, IF(INDEX(ERP資料!$G:$G, (MATCH(813, 輔助計算!$G$2:$G$801, 0)+1))&lt;=31,3,IF(INDEX(ERP資料!$G:$G, (MATCH(813, 輔助計算!$G$2:$G$801, 0)+1))&lt;=46.5,2,1)), IF(INDEX(ERP資料!$G:$G, (MATCH(813, 輔助計算!$G$2:$G$801, 0)+1))&lt;=790,3,IF(INDEX(ERP資料!$G:$G, (MATCH(813, 輔助計算!$G$2:$G$801, 0)+1))&lt;=1181,2,1))))=0,"",IF(MOD(INDEX(輔助計算!$D:$D, (MATCH(813, 輔助計算!$G$2:$G$801, 0)+1)),IF(INDEX(ERP資料!$G:$G, (MATCH(813, 輔助計算!$G$2:$G$801, 0)+1))&lt;100, IF(INDEX(ERP資料!$G:$G, (MATCH(813, 輔助計算!$G$2:$G$801, 0)+1))&lt;=31,3,IF(INDEX(ERP資料!$G:$G, (MATCH(813, 輔助計算!$G$2:$G$801, 0)+1))&lt;=46.5,2,1)), IF(INDEX(ERP資料!$G:$G, (MATCH(813, 輔助計算!$G$2:$G$801, 0)+1))&lt;=790,3,IF(INDEX(ERP資料!$G:$G, (MATCH(813, 輔助計算!$G$2:$G$801, 0)+1))&lt;=1181,2,1))))=0,"",IF(MOD(INDEX(輔助計算!$D:$D, (MATCH(813, 輔助計算!$G$2:$G$801, 0)+1)),IF(INDEX(ERP資料!$G:$G, (MATCH(813, 輔助計算!$G$2:$G$801, 0)+1))&lt;100, IF(INDEX(ERP資料!$G:$G, (MATCH(813, 輔助計算!$G$2:$G$801, 0)+1))&lt;=31,3,IF(INDEX(ERP資料!$G:$G, (MATCH(813, 輔助計算!$G$2:$G$801, 0)+1))&lt;=46.5,2,1)), IF(INDEX(ERP資料!$G:$G, (MATCH(813, 輔助計算!$G$2:$G$801, 0)+1))&lt;=790,3,IF(INDEX(ERP資料!$G:$G, (MATCH(813, 輔助計算!$G$2:$G$801, 0)+1))&lt;=1181,2,1))))=1,TEXT(INDEX(ERP資料!$G:$G, (MATCH(813, 輔助計算!$G$2:$G$801, 0)+1)),"0.##"),IF(MOD(INDEX(輔助計算!$D:$D, (MATCH(813, 輔助計算!$G$2:$G$801, 0)+1)),IF(INDEX(ERP資料!$G:$G, (MATCH(813, 輔助計算!$G$2:$G$801, 0)+1))&lt;100, IF(INDEX(ERP資料!$G:$G, (MATCH(813, 輔助計算!$G$2:$G$801, 0)+1))&lt;=31,3,IF(INDEX(ERP資料!$G:$G, (MATCH(813, 輔助計算!$G$2:$G$801, 0)+1))&lt;=46.5,2,1)), IF(INDEX(ERP資料!$G:$G, (MATCH(813, 輔助計算!$G$2:$G$801, 0)+1))&lt;=790,3,IF(INDEX(ERP資料!$G:$G, (MATCH(813, 輔助計算!$G$2:$G$801, 0)+1))&lt;=1181,2,1))))=2,TEXT(INDEX(ERP資料!$G:$G, (MATCH(813, 輔助計算!$G$2:$G$801, 0)+1)),"0.##")&amp;"+"&amp;TEXT(INDEX(ERP資料!$G:$G, (MATCH(813, 輔助計算!$G$2:$G$801, 0)+1)),"0.##"),TEXT(INDEX(ERP資料!$G:$G, (MATCH(813, 輔助計算!$G$2:$G$801, 0)+1)),"0.##")&amp;"+"&amp;TEXT(INDEX(ERP資料!$G:$G, (MATCH(813, 輔助計算!$G$2:$G$801, 0)+1)),"0.##")&amp;"+"&amp;TEXT(INDEX(ERP資料!$G:$G, (MATCH(813, 輔助計算!$G$2:$G$801, 0)+1)),"0.##"))))&amp;"-1")&lt;&gt;""),"  ","")&amp;IF(MOD(INDEX(輔助計算!$D:$D, (MATCH(813, 輔助計算!$G$2:$G$801, 0)+1)),IF(INDEX(ERP資料!$G:$G, (MATCH(813, 輔助計算!$G$2:$G$801, 0)+1))&lt;100, IF(INDEX(ERP資料!$G:$G, (MATCH(813, 輔助計算!$G$2:$G$801, 0)+1))&lt;=31,3,IF(INDEX(ERP資料!$G:$G, (MATCH(813, 輔助計算!$G$2:$G$801, 0)+1))&lt;=46.5,2,1)), IF(INDEX(ERP資料!$G:$G, (MATCH(813, 輔助計算!$G$2:$G$801, 0)+1))&lt;=790,3,IF(INDEX(ERP資料!$G:$G, (MATCH(813, 輔助計算!$G$2:$G$801, 0)+1))&lt;=1181,2,1))))=0,"",IF(MOD(INDEX(輔助計算!$D:$D, (MATCH(813, 輔助計算!$G$2:$G$801, 0)+1)),IF(INDEX(ERP資料!$G:$G, (MATCH(813, 輔助計算!$G$2:$G$801, 0)+1))&lt;100, IF(INDEX(ERP資料!$G:$G, (MATCH(813, 輔助計算!$G$2:$G$801, 0)+1))&lt;=31,3,IF(INDEX(ERP資料!$G:$G, (MATCH(813, 輔助計算!$G$2:$G$801, 0)+1))&lt;=46.5,2,1)), IF(INDEX(ERP資料!$G:$G, (MATCH(813, 輔助計算!$G$2:$G$801, 0)+1))&lt;=790,3,IF(INDEX(ERP資料!$G:$G, (MATCH(813, 輔助計算!$G$2:$G$801, 0)+1))&lt;=1181,2,1))))=0,"",IF(MOD(INDEX(輔助計算!$D:$D, (MATCH(813, 輔助計算!$G$2:$G$801, 0)+1)),IF(INDEX(ERP資料!$G:$G, (MATCH(813, 輔助計算!$G$2:$G$801, 0)+1))&lt;100, IF(INDEX(ERP資料!$G:$G, (MATCH(813, 輔助計算!$G$2:$G$801, 0)+1))&lt;=31,3,IF(INDEX(ERP資料!$G:$G, (MATCH(813, 輔助計算!$G$2:$G$801, 0)+1))&lt;=46.5,2,1)), IF(INDEX(ERP資料!$G:$G, (MATCH(813, 輔助計算!$G$2:$G$801, 0)+1))&lt;=790,3,IF(INDEX(ERP資料!$G:$G, (MATCH(813, 輔助計算!$G$2:$G$801, 0)+1))&lt;=1181,2,1))))=1,TEXT(INDEX(ERP資料!$G:$G, (MATCH(813, 輔助計算!$G$2:$G$801, 0)+1)),"0.##"),IF(MOD(INDEX(輔助計算!$D:$D, (MATCH(813, 輔助計算!$G$2:$G$801, 0)+1)),IF(INDEX(ERP資料!$G:$G, (MATCH(813, 輔助計算!$G$2:$G$801, 0)+1))&lt;100, IF(INDEX(ERP資料!$G:$G, (MATCH(813, 輔助計算!$G$2:$G$801, 0)+1))&lt;=31,3,IF(INDEX(ERP資料!$G:$G, (MATCH(813, 輔助計算!$G$2:$G$801, 0)+1))&lt;=46.5,2,1)), IF(INDEX(ERP資料!$G:$G, (MATCH(813, 輔助計算!$G$2:$G$801, 0)+1))&lt;=790,3,IF(INDEX(ERP資料!$G:$G, (MATCH(813, 輔助計算!$G$2:$G$801, 0)+1))&lt;=1181,2,1))))=2,TEXT(INDEX(ERP資料!$G:$G, (MATCH(813, 輔助計算!$G$2:$G$801, 0)+1)),"0.##")&amp;"+"&amp;TEXT(INDEX(ERP資料!$G:$G, (MATCH(813, 輔助計算!$G$2:$G$801, 0)+1)),"0.##"),TEXT(INDEX(ERP資料!$G:$G, (MATCH(813, 輔助計算!$G$2:$G$801, 0)+1)),"0.##")&amp;"+"&amp;TEXT(INDEX(ERP資料!$G:$G, (MATCH(813, 輔助計算!$G$2:$G$801, 0)+1)),"0.##")&amp;"+"&amp;TEXT(INDEX(ERP資料!$G:$G, (MATCH(813, 輔助計算!$G$2:$G$801, 0)+1)),"0.##"))))&amp;"-1")), ""), "")</f>
        <v/>
      </c>
      <c r="K814" s="16" t="n"/>
      <c r="L814" s="14">
        <f>IFERROR(IF(AND(IFERROR(INDEX(ERP資料!$A:$A, (MATCH(813, 輔助計算!$G$2:$G$801, 0)+1)), "")&lt;&gt;"", IFERROR(INDEX(ERP資料!$A:$A, (MATCH(813, 輔助計算!$G$2:$G$801, 0)+1)), "")&lt;&gt;IFERROR(INDEX(ERP資料!$A:$A, MATCH(812, 輔助計算!$G$2:$G$801, 0)+1), "")), INDEX(ERP資料!$B:$B, (MATCH(813, 輔助計算!$G$2:$G$801, 0)+1)), ""), "")</f>
        <v/>
      </c>
      <c r="M814" s="17" t="n"/>
    </row>
    <row r="815">
      <c r="A815" s="10">
        <f>IFERROR(IF(AND(IFERROR(INDEX(ERP資料!$A:$A, (MATCH(814, 輔助計算!$G$2:$G$801, 0)+1)), "")&lt;&gt;"", IFERROR(INDEX(ERP資料!$A:$A, (MATCH(814, 輔助計算!$G$2:$G$801, 0)+1)), "")&lt;&gt;IFERROR(INDEX(ERP資料!$A:$A, MATCH(813, 輔助計算!$G$2:$G$801, 0)+1), "")), IFERROR(INDEX(ERP資料!$A:$A, (MATCH(814, 輔助計算!$G$2:$G$801, 0)+1)), ""), ""), "")</f>
        <v/>
      </c>
      <c r="B815" s="10">
        <f>IFERROR(IF(AND(IFERROR(INDEX(ERP資料!$A:$A, (MATCH(814, 輔助計算!$G$2:$G$801, 0)+1)), "")&lt;&gt;"", IFERROR(INDEX(ERP資料!$A:$A, (MATCH(814, 輔助計算!$G$2:$G$801, 0)+1)), "")&lt;&gt;IFERROR(INDEX(ERP資料!$A:$A, MATCH(813, 輔助計算!$G$2:$G$801, 0)+1), "")), INDEX(ERP資料!$S:$S, (MATCH(814, 輔助計算!$G$2:$G$801, 0)+1)), ""), "")</f>
        <v/>
      </c>
      <c r="C815" s="19">
        <f>IFERROR(IF(AND(IFERROR(INDEX(ERP資料!$A:$A, (MATCH(814, 輔助計算!$G$2:$G$801, 0)+1)), "")&lt;&gt;"", IFERROR(INDEX(ERP資料!$A:$A, (MATCH(814, 輔助計算!$G$2:$G$801, 0)+1)), "")&lt;&gt;IFERROR(INDEX(ERP資料!$A:$A, MATCH(813, 輔助計算!$G$2:$G$801, 0)+1), "")), IFERROR(VLOOKUP(LEFT(INDEX(ERP資料!$S:$S, (MATCH(814, 輔助計算!$G$2:$G$801, 0)+1)), 4), 紙管對照表!$A:$C, 3, FALSE), ""), ""), "")</f>
        <v/>
      </c>
      <c r="D815" s="16" t="n"/>
      <c r="E815" s="10">
        <f>IFERROR(IF(INDEX(ERP資料!$H:$H, (MATCH(814, 輔助計算!$G$2:$G$801, 0)+1))="","",INDEX(ERP資料!$H:$H, (MATCH(814, 輔助計算!$G$2:$G$801, 0)+1))), "")</f>
        <v/>
      </c>
      <c r="F815" s="10">
        <f>IFERROR(IF(INDEX(ERP資料!$E:$E, (MATCH(814, 輔助計算!$G$2:$G$801, 0)+1))="","",TRIM(INDEX(ERP資料!$E:$E, (MATCH(814, 輔助計算!$G$2:$G$801, 0)+1)))), "")</f>
        <v/>
      </c>
      <c r="G815" s="10">
        <f>IFERROR(IF(INDEX(ERP資料!$F:$F, (MATCH(814, 輔助計算!$G$2:$G$801, 0)+1))="","",INDEX(ERP資料!$F:$F, (MATCH(814, 輔助計算!$G$2:$G$801, 0)+1))), "")</f>
        <v/>
      </c>
      <c r="H815" s="10">
        <f>IFERROR(IF(INDEX(ERP資料!$G:$G, (MATCH(814, 輔助計算!$G$2:$G$801, 0)+1))="","",INDEX(ERP資料!$G:$G, (MATCH(814, 輔助計算!$G$2:$G$801, 0)+1))), "")</f>
        <v/>
      </c>
      <c r="I815" s="15">
        <f>IFERROR(INDEX(輔助計算!$D:$D, (MATCH(814, 輔助計算!$G$2:$G$801, 0)+1)), "")</f>
        <v/>
      </c>
      <c r="J815" s="15">
        <f>IFERROR(IF(AND(INDEX(輔助計算!$D:$D, (MATCH(814, 輔助計算!$G$2:$G$801, 0)+1))&lt;&gt;"", INDEX(ERP資料!$G:$G, (MATCH(814, 輔助計算!$G$2:$G$801, 0)+1))&lt;&gt;""), TRIM(IF(INT(INDEX(輔助計算!$D:$D, (MATCH(814, 輔助計算!$G$2:$G$801, 0)+1))/IF(INDEX(ERP資料!$G:$G, (MATCH(814, 輔助計算!$G$2:$G$801, 0)+1))&lt;100, IF(INDEX(ERP資料!$G:$G, (MATCH(814, 輔助計算!$G$2:$G$801, 0)+1))&lt;=31,3,IF(INDEX(ERP資料!$G:$G, (MATCH(814, 輔助計算!$G$2:$G$801, 0)+1))&lt;=46.5,2,1)), IF(INDEX(ERP資料!$G:$G, (MATCH(814, 輔助計算!$G$2:$G$801, 0)+1))&lt;=790,3,IF(INDEX(ERP資料!$G:$G, (MATCH(814, 輔助計算!$G$2:$G$801, 0)+1))&lt;=1181,2,1))))&gt;0, IF(IF(INDEX(ERP資料!$G:$G, (MATCH(814, 輔助計算!$G$2:$G$801, 0)+1))&lt;100, IF(INDEX(ERP資料!$G:$G, (MATCH(814, 輔助計算!$G$2:$G$801, 0)+1))&lt;=31,3,IF(INDEX(ERP資料!$G:$G, (MATCH(814, 輔助計算!$G$2:$G$801, 0)+1))&lt;=46.5,2,1)), IF(INDEX(ERP資料!$G:$G, (MATCH(814, 輔助計算!$G$2:$G$801, 0)+1))&lt;=790,3,IF(INDEX(ERP資料!$G:$G, (MATCH(814, 輔助計算!$G$2:$G$801, 0)+1))&lt;=1181,2,1)))=1,TEXT(INDEX(ERP資料!$G:$G, (MATCH(814, 輔助計算!$G$2:$G$801, 0)+1)),"0.##"),IF(IF(INDEX(ERP資料!$G:$G, (MATCH(814, 輔助計算!$G$2:$G$801, 0)+1))&lt;100, IF(INDEX(ERP資料!$G:$G, (MATCH(814, 輔助計算!$G$2:$G$801, 0)+1))&lt;=31,3,IF(INDEX(ERP資料!$G:$G, (MATCH(814, 輔助計算!$G$2:$G$801, 0)+1))&lt;=46.5,2,1)), IF(INDEX(ERP資料!$G:$G, (MATCH(814, 輔助計算!$G$2:$G$801, 0)+1))&lt;=790,3,IF(INDEX(ERP資料!$G:$G, (MATCH(814, 輔助計算!$G$2:$G$801, 0)+1))&lt;=1181,2,1)))=2,TEXT(INDEX(ERP資料!$G:$G, (MATCH(814, 輔助計算!$G$2:$G$801, 0)+1)),"0.##")&amp;"+"&amp;TEXT(INDEX(ERP資料!$G:$G, (MATCH(814, 輔助計算!$G$2:$G$801, 0)+1)),"0.##"),TEXT(INDEX(ERP資料!$G:$G, (MATCH(814, 輔助計算!$G$2:$G$801, 0)+1)),"0.##")&amp;"+"&amp;TEXT(INDEX(ERP資料!$G:$G, (MATCH(814, 輔助計算!$G$2:$G$801, 0)+1)),"0.##")&amp;"+"&amp;TEXT(INDEX(ERP資料!$G:$G, (MATCH(814, 輔助計算!$G$2:$G$801, 0)+1)),"0.##")))&amp;"-"&amp;INT(INDEX(輔助計算!$D:$D, (MATCH(814, 輔助計算!$G$2:$G$801, 0)+1))/IF(INDEX(ERP資料!$G:$G, (MATCH(814, 輔助計算!$G$2:$G$801, 0)+1))&lt;100, IF(INDEX(ERP資料!$G:$G, (MATCH(814, 輔助計算!$G$2:$G$801, 0)+1))&lt;=31,3,IF(INDEX(ERP資料!$G:$G, (MATCH(814, 輔助計算!$G$2:$G$801, 0)+1))&lt;=46.5,2,1)), IF(INDEX(ERP資料!$G:$G, (MATCH(814, 輔助計算!$G$2:$G$801, 0)+1))&lt;=790,3,IF(INDEX(ERP資料!$G:$G, (MATCH(814, 輔助計算!$G$2:$G$801, 0)+1))&lt;=1181,2,1)))), "")&amp;IF(AND(IF(INT(INDEX(輔助計算!$D:$D, (MATCH(814, 輔助計算!$G$2:$G$801, 0)+1))/IF(INDEX(ERP資料!$G:$G, (MATCH(814, 輔助計算!$G$2:$G$801, 0)+1))&lt;100, IF(INDEX(ERP資料!$G:$G, (MATCH(814, 輔助計算!$G$2:$G$801, 0)+1))&lt;=31,3,IF(INDEX(ERP資料!$G:$G, (MATCH(814, 輔助計算!$G$2:$G$801, 0)+1))&lt;=46.5,2,1)), IF(INDEX(ERP資料!$G:$G, (MATCH(814, 輔助計算!$G$2:$G$801, 0)+1))&lt;=790,3,IF(INDEX(ERP資料!$G:$G, (MATCH(814, 輔助計算!$G$2:$G$801, 0)+1))&lt;=1181,2,1))))&gt;0, IF(IF(INDEX(ERP資料!$G:$G, (MATCH(814, 輔助計算!$G$2:$G$801, 0)+1))&lt;100, IF(INDEX(ERP資料!$G:$G, (MATCH(814, 輔助計算!$G$2:$G$801, 0)+1))&lt;=31,3,IF(INDEX(ERP資料!$G:$G, (MATCH(814, 輔助計算!$G$2:$G$801, 0)+1))&lt;=46.5,2,1)), IF(INDEX(ERP資料!$G:$G, (MATCH(814, 輔助計算!$G$2:$G$801, 0)+1))&lt;=790,3,IF(INDEX(ERP資料!$G:$G, (MATCH(814, 輔助計算!$G$2:$G$801, 0)+1))&lt;=1181,2,1)))=1,TEXT(INDEX(ERP資料!$G:$G, (MATCH(814, 輔助計算!$G$2:$G$801, 0)+1)),"0.##"),IF(IF(INDEX(ERP資料!$G:$G, (MATCH(814, 輔助計算!$G$2:$G$801, 0)+1))&lt;100, IF(INDEX(ERP資料!$G:$G, (MATCH(814, 輔助計算!$G$2:$G$801, 0)+1))&lt;=31,3,IF(INDEX(ERP資料!$G:$G, (MATCH(814, 輔助計算!$G$2:$G$801, 0)+1))&lt;=46.5,2,1)), IF(INDEX(ERP資料!$G:$G, (MATCH(814, 輔助計算!$G$2:$G$801, 0)+1))&lt;=790,3,IF(INDEX(ERP資料!$G:$G, (MATCH(814, 輔助計算!$G$2:$G$801, 0)+1))&lt;=1181,2,1)))=2,TEXT(INDEX(ERP資料!$G:$G, (MATCH(814, 輔助計算!$G$2:$G$801, 0)+1)),"0.##")&amp;"+"&amp;TEXT(INDEX(ERP資料!$G:$G, (MATCH(814, 輔助計算!$G$2:$G$801, 0)+1)),"0.##"),TEXT(INDEX(ERP資料!$G:$G, (MATCH(814, 輔助計算!$G$2:$G$801, 0)+1)),"0.##")&amp;"+"&amp;TEXT(INDEX(ERP資料!$G:$G, (MATCH(814, 輔助計算!$G$2:$G$801, 0)+1)),"0.##")&amp;"+"&amp;TEXT(INDEX(ERP資料!$G:$G, (MATCH(814, 輔助計算!$G$2:$G$801, 0)+1)),"0.##")))&amp;"-"&amp;INT(INDEX(輔助計算!$D:$D, (MATCH(814, 輔助計算!$G$2:$G$801, 0)+1))/IF(INDEX(ERP資料!$G:$G, (MATCH(814, 輔助計算!$G$2:$G$801, 0)+1))&lt;100, IF(INDEX(ERP資料!$G:$G, (MATCH(814, 輔助計算!$G$2:$G$801, 0)+1))&lt;=31,3,IF(INDEX(ERP資料!$G:$G, (MATCH(814, 輔助計算!$G$2:$G$801, 0)+1))&lt;=46.5,2,1)), IF(INDEX(ERP資料!$G:$G, (MATCH(814, 輔助計算!$G$2:$G$801, 0)+1))&lt;=790,3,IF(INDEX(ERP資料!$G:$G, (MATCH(814, 輔助計算!$G$2:$G$801, 0)+1))&lt;=1181,2,1)))), "")&lt;&gt;"",IF(MOD(INDEX(輔助計算!$D:$D, (MATCH(814, 輔助計算!$G$2:$G$801, 0)+1)),IF(INDEX(ERP資料!$G:$G, (MATCH(814, 輔助計算!$G$2:$G$801, 0)+1))&lt;100, IF(INDEX(ERP資料!$G:$G, (MATCH(814, 輔助計算!$G$2:$G$801, 0)+1))&lt;=31,3,IF(INDEX(ERP資料!$G:$G, (MATCH(814, 輔助計算!$G$2:$G$801, 0)+1))&lt;=46.5,2,1)), IF(INDEX(ERP資料!$G:$G, (MATCH(814, 輔助計算!$G$2:$G$801, 0)+1))&lt;=790,3,IF(INDEX(ERP資料!$G:$G, (MATCH(814, 輔助計算!$G$2:$G$801, 0)+1))&lt;=1181,2,1))))=0,"",IF(MOD(INDEX(輔助計算!$D:$D, (MATCH(814, 輔助計算!$G$2:$G$801, 0)+1)),IF(INDEX(ERP資料!$G:$G, (MATCH(814, 輔助計算!$G$2:$G$801, 0)+1))&lt;100, IF(INDEX(ERP資料!$G:$G, (MATCH(814, 輔助計算!$G$2:$G$801, 0)+1))&lt;=31,3,IF(INDEX(ERP資料!$G:$G, (MATCH(814, 輔助計算!$G$2:$G$801, 0)+1))&lt;=46.5,2,1)), IF(INDEX(ERP資料!$G:$G, (MATCH(814, 輔助計算!$G$2:$G$801, 0)+1))&lt;=790,3,IF(INDEX(ERP資料!$G:$G, (MATCH(814, 輔助計算!$G$2:$G$801, 0)+1))&lt;=1181,2,1))))=0,"",IF(MOD(INDEX(輔助計算!$D:$D, (MATCH(814, 輔助計算!$G$2:$G$801, 0)+1)),IF(INDEX(ERP資料!$G:$G, (MATCH(814, 輔助計算!$G$2:$G$801, 0)+1))&lt;100, IF(INDEX(ERP資料!$G:$G, (MATCH(814, 輔助計算!$G$2:$G$801, 0)+1))&lt;=31,3,IF(INDEX(ERP資料!$G:$G, (MATCH(814, 輔助計算!$G$2:$G$801, 0)+1))&lt;=46.5,2,1)), IF(INDEX(ERP資料!$G:$G, (MATCH(814, 輔助計算!$G$2:$G$801, 0)+1))&lt;=790,3,IF(INDEX(ERP資料!$G:$G, (MATCH(814, 輔助計算!$G$2:$G$801, 0)+1))&lt;=1181,2,1))))=1,TEXT(INDEX(ERP資料!$G:$G, (MATCH(814, 輔助計算!$G$2:$G$801, 0)+1)),"0.##"),IF(MOD(INDEX(輔助計算!$D:$D, (MATCH(814, 輔助計算!$G$2:$G$801, 0)+1)),IF(INDEX(ERP資料!$G:$G, (MATCH(814, 輔助計算!$G$2:$G$801, 0)+1))&lt;100, IF(INDEX(ERP資料!$G:$G, (MATCH(814, 輔助計算!$G$2:$G$801, 0)+1))&lt;=31,3,IF(INDEX(ERP資料!$G:$G, (MATCH(814, 輔助計算!$G$2:$G$801, 0)+1))&lt;=46.5,2,1)), IF(INDEX(ERP資料!$G:$G, (MATCH(814, 輔助計算!$G$2:$G$801, 0)+1))&lt;=790,3,IF(INDEX(ERP資料!$G:$G, (MATCH(814, 輔助計算!$G$2:$G$801, 0)+1))&lt;=1181,2,1))))=2,TEXT(INDEX(ERP資料!$G:$G, (MATCH(814, 輔助計算!$G$2:$G$801, 0)+1)),"0.##")&amp;"+"&amp;TEXT(INDEX(ERP資料!$G:$G, (MATCH(814, 輔助計算!$G$2:$G$801, 0)+1)),"0.##"),TEXT(INDEX(ERP資料!$G:$G, (MATCH(814, 輔助計算!$G$2:$G$801, 0)+1)),"0.##")&amp;"+"&amp;TEXT(INDEX(ERP資料!$G:$G, (MATCH(814, 輔助計算!$G$2:$G$801, 0)+1)),"0.##")&amp;"+"&amp;TEXT(INDEX(ERP資料!$G:$G, (MATCH(814, 輔助計算!$G$2:$G$801, 0)+1)),"0.##"))))&amp;"-1")&lt;&gt;""),"  ","")&amp;IF(MOD(INDEX(輔助計算!$D:$D, (MATCH(814, 輔助計算!$G$2:$G$801, 0)+1)),IF(INDEX(ERP資料!$G:$G, (MATCH(814, 輔助計算!$G$2:$G$801, 0)+1))&lt;100, IF(INDEX(ERP資料!$G:$G, (MATCH(814, 輔助計算!$G$2:$G$801, 0)+1))&lt;=31,3,IF(INDEX(ERP資料!$G:$G, (MATCH(814, 輔助計算!$G$2:$G$801, 0)+1))&lt;=46.5,2,1)), IF(INDEX(ERP資料!$G:$G, (MATCH(814, 輔助計算!$G$2:$G$801, 0)+1))&lt;=790,3,IF(INDEX(ERP資料!$G:$G, (MATCH(814, 輔助計算!$G$2:$G$801, 0)+1))&lt;=1181,2,1))))=0,"",IF(MOD(INDEX(輔助計算!$D:$D, (MATCH(814, 輔助計算!$G$2:$G$801, 0)+1)),IF(INDEX(ERP資料!$G:$G, (MATCH(814, 輔助計算!$G$2:$G$801, 0)+1))&lt;100, IF(INDEX(ERP資料!$G:$G, (MATCH(814, 輔助計算!$G$2:$G$801, 0)+1))&lt;=31,3,IF(INDEX(ERP資料!$G:$G, (MATCH(814, 輔助計算!$G$2:$G$801, 0)+1))&lt;=46.5,2,1)), IF(INDEX(ERP資料!$G:$G, (MATCH(814, 輔助計算!$G$2:$G$801, 0)+1))&lt;=790,3,IF(INDEX(ERP資料!$G:$G, (MATCH(814, 輔助計算!$G$2:$G$801, 0)+1))&lt;=1181,2,1))))=0,"",IF(MOD(INDEX(輔助計算!$D:$D, (MATCH(814, 輔助計算!$G$2:$G$801, 0)+1)),IF(INDEX(ERP資料!$G:$G, (MATCH(814, 輔助計算!$G$2:$G$801, 0)+1))&lt;100, IF(INDEX(ERP資料!$G:$G, (MATCH(814, 輔助計算!$G$2:$G$801, 0)+1))&lt;=31,3,IF(INDEX(ERP資料!$G:$G, (MATCH(814, 輔助計算!$G$2:$G$801, 0)+1))&lt;=46.5,2,1)), IF(INDEX(ERP資料!$G:$G, (MATCH(814, 輔助計算!$G$2:$G$801, 0)+1))&lt;=790,3,IF(INDEX(ERP資料!$G:$G, (MATCH(814, 輔助計算!$G$2:$G$801, 0)+1))&lt;=1181,2,1))))=1,TEXT(INDEX(ERP資料!$G:$G, (MATCH(814, 輔助計算!$G$2:$G$801, 0)+1)),"0.##"),IF(MOD(INDEX(輔助計算!$D:$D, (MATCH(814, 輔助計算!$G$2:$G$801, 0)+1)),IF(INDEX(ERP資料!$G:$G, (MATCH(814, 輔助計算!$G$2:$G$801, 0)+1))&lt;100, IF(INDEX(ERP資料!$G:$G, (MATCH(814, 輔助計算!$G$2:$G$801, 0)+1))&lt;=31,3,IF(INDEX(ERP資料!$G:$G, (MATCH(814, 輔助計算!$G$2:$G$801, 0)+1))&lt;=46.5,2,1)), IF(INDEX(ERP資料!$G:$G, (MATCH(814, 輔助計算!$G$2:$G$801, 0)+1))&lt;=790,3,IF(INDEX(ERP資料!$G:$G, (MATCH(814, 輔助計算!$G$2:$G$801, 0)+1))&lt;=1181,2,1))))=2,TEXT(INDEX(ERP資料!$G:$G, (MATCH(814, 輔助計算!$G$2:$G$801, 0)+1)),"0.##")&amp;"+"&amp;TEXT(INDEX(ERP資料!$G:$G, (MATCH(814, 輔助計算!$G$2:$G$801, 0)+1)),"0.##"),TEXT(INDEX(ERP資料!$G:$G, (MATCH(814, 輔助計算!$G$2:$G$801, 0)+1)),"0.##")&amp;"+"&amp;TEXT(INDEX(ERP資料!$G:$G, (MATCH(814, 輔助計算!$G$2:$G$801, 0)+1)),"0.##")&amp;"+"&amp;TEXT(INDEX(ERP資料!$G:$G, (MATCH(814, 輔助計算!$G$2:$G$801, 0)+1)),"0.##"))))&amp;"-1")), ""), "")</f>
        <v/>
      </c>
      <c r="K815" s="16" t="n"/>
      <c r="L815" s="14">
        <f>IFERROR(IF(AND(IFERROR(INDEX(ERP資料!$A:$A, (MATCH(814, 輔助計算!$G$2:$G$801, 0)+1)), "")&lt;&gt;"", IFERROR(INDEX(ERP資料!$A:$A, (MATCH(814, 輔助計算!$G$2:$G$801, 0)+1)), "")&lt;&gt;IFERROR(INDEX(ERP資料!$A:$A, MATCH(813, 輔助計算!$G$2:$G$801, 0)+1), "")), INDEX(ERP資料!$B:$B, (MATCH(814, 輔助計算!$G$2:$G$801, 0)+1)), ""), "")</f>
        <v/>
      </c>
      <c r="M815" s="17" t="n"/>
    </row>
    <row r="816">
      <c r="A816" s="10">
        <f>IFERROR(IF(AND(IFERROR(INDEX(ERP資料!$A:$A, (MATCH(815, 輔助計算!$G$2:$G$801, 0)+1)), "")&lt;&gt;"", IFERROR(INDEX(ERP資料!$A:$A, (MATCH(815, 輔助計算!$G$2:$G$801, 0)+1)), "")&lt;&gt;IFERROR(INDEX(ERP資料!$A:$A, MATCH(814, 輔助計算!$G$2:$G$801, 0)+1), "")), IFERROR(INDEX(ERP資料!$A:$A, (MATCH(815, 輔助計算!$G$2:$G$801, 0)+1)), ""), ""), "")</f>
        <v/>
      </c>
      <c r="B816" s="10">
        <f>IFERROR(IF(AND(IFERROR(INDEX(ERP資料!$A:$A, (MATCH(815, 輔助計算!$G$2:$G$801, 0)+1)), "")&lt;&gt;"", IFERROR(INDEX(ERP資料!$A:$A, (MATCH(815, 輔助計算!$G$2:$G$801, 0)+1)), "")&lt;&gt;IFERROR(INDEX(ERP資料!$A:$A, MATCH(814, 輔助計算!$G$2:$G$801, 0)+1), "")), INDEX(ERP資料!$S:$S, (MATCH(815, 輔助計算!$G$2:$G$801, 0)+1)), ""), "")</f>
        <v/>
      </c>
      <c r="C816" s="19">
        <f>IFERROR(IF(AND(IFERROR(INDEX(ERP資料!$A:$A, (MATCH(815, 輔助計算!$G$2:$G$801, 0)+1)), "")&lt;&gt;"", IFERROR(INDEX(ERP資料!$A:$A, (MATCH(815, 輔助計算!$G$2:$G$801, 0)+1)), "")&lt;&gt;IFERROR(INDEX(ERP資料!$A:$A, MATCH(814, 輔助計算!$G$2:$G$801, 0)+1), "")), IFERROR(VLOOKUP(LEFT(INDEX(ERP資料!$S:$S, (MATCH(815, 輔助計算!$G$2:$G$801, 0)+1)), 4), 紙管對照表!$A:$C, 3, FALSE), ""), ""), "")</f>
        <v/>
      </c>
      <c r="D816" s="16" t="n"/>
      <c r="E816" s="10">
        <f>IFERROR(IF(INDEX(ERP資料!$H:$H, (MATCH(815, 輔助計算!$G$2:$G$801, 0)+1))="","",INDEX(ERP資料!$H:$H, (MATCH(815, 輔助計算!$G$2:$G$801, 0)+1))), "")</f>
        <v/>
      </c>
      <c r="F816" s="10">
        <f>IFERROR(IF(INDEX(ERP資料!$E:$E, (MATCH(815, 輔助計算!$G$2:$G$801, 0)+1))="","",TRIM(INDEX(ERP資料!$E:$E, (MATCH(815, 輔助計算!$G$2:$G$801, 0)+1)))), "")</f>
        <v/>
      </c>
      <c r="G816" s="10">
        <f>IFERROR(IF(INDEX(ERP資料!$F:$F, (MATCH(815, 輔助計算!$G$2:$G$801, 0)+1))="","",INDEX(ERP資料!$F:$F, (MATCH(815, 輔助計算!$G$2:$G$801, 0)+1))), "")</f>
        <v/>
      </c>
      <c r="H816" s="10">
        <f>IFERROR(IF(INDEX(ERP資料!$G:$G, (MATCH(815, 輔助計算!$G$2:$G$801, 0)+1))="","",INDEX(ERP資料!$G:$G, (MATCH(815, 輔助計算!$G$2:$G$801, 0)+1))), "")</f>
        <v/>
      </c>
      <c r="I816" s="15">
        <f>IFERROR(INDEX(輔助計算!$D:$D, (MATCH(815, 輔助計算!$G$2:$G$801, 0)+1)), "")</f>
        <v/>
      </c>
      <c r="J816" s="15">
        <f>IFERROR(IF(AND(INDEX(輔助計算!$D:$D, (MATCH(815, 輔助計算!$G$2:$G$801, 0)+1))&lt;&gt;"", INDEX(ERP資料!$G:$G, (MATCH(815, 輔助計算!$G$2:$G$801, 0)+1))&lt;&gt;""), TRIM(IF(INT(INDEX(輔助計算!$D:$D, (MATCH(815, 輔助計算!$G$2:$G$801, 0)+1))/IF(INDEX(ERP資料!$G:$G, (MATCH(815, 輔助計算!$G$2:$G$801, 0)+1))&lt;100, IF(INDEX(ERP資料!$G:$G, (MATCH(815, 輔助計算!$G$2:$G$801, 0)+1))&lt;=31,3,IF(INDEX(ERP資料!$G:$G, (MATCH(815, 輔助計算!$G$2:$G$801, 0)+1))&lt;=46.5,2,1)), IF(INDEX(ERP資料!$G:$G, (MATCH(815, 輔助計算!$G$2:$G$801, 0)+1))&lt;=790,3,IF(INDEX(ERP資料!$G:$G, (MATCH(815, 輔助計算!$G$2:$G$801, 0)+1))&lt;=1181,2,1))))&gt;0, IF(IF(INDEX(ERP資料!$G:$G, (MATCH(815, 輔助計算!$G$2:$G$801, 0)+1))&lt;100, IF(INDEX(ERP資料!$G:$G, (MATCH(815, 輔助計算!$G$2:$G$801, 0)+1))&lt;=31,3,IF(INDEX(ERP資料!$G:$G, (MATCH(815, 輔助計算!$G$2:$G$801, 0)+1))&lt;=46.5,2,1)), IF(INDEX(ERP資料!$G:$G, (MATCH(815, 輔助計算!$G$2:$G$801, 0)+1))&lt;=790,3,IF(INDEX(ERP資料!$G:$G, (MATCH(815, 輔助計算!$G$2:$G$801, 0)+1))&lt;=1181,2,1)))=1,TEXT(INDEX(ERP資料!$G:$G, (MATCH(815, 輔助計算!$G$2:$G$801, 0)+1)),"0.##"),IF(IF(INDEX(ERP資料!$G:$G, (MATCH(815, 輔助計算!$G$2:$G$801, 0)+1))&lt;100, IF(INDEX(ERP資料!$G:$G, (MATCH(815, 輔助計算!$G$2:$G$801, 0)+1))&lt;=31,3,IF(INDEX(ERP資料!$G:$G, (MATCH(815, 輔助計算!$G$2:$G$801, 0)+1))&lt;=46.5,2,1)), IF(INDEX(ERP資料!$G:$G, (MATCH(815, 輔助計算!$G$2:$G$801, 0)+1))&lt;=790,3,IF(INDEX(ERP資料!$G:$G, (MATCH(815, 輔助計算!$G$2:$G$801, 0)+1))&lt;=1181,2,1)))=2,TEXT(INDEX(ERP資料!$G:$G, (MATCH(815, 輔助計算!$G$2:$G$801, 0)+1)),"0.##")&amp;"+"&amp;TEXT(INDEX(ERP資料!$G:$G, (MATCH(815, 輔助計算!$G$2:$G$801, 0)+1)),"0.##"),TEXT(INDEX(ERP資料!$G:$G, (MATCH(815, 輔助計算!$G$2:$G$801, 0)+1)),"0.##")&amp;"+"&amp;TEXT(INDEX(ERP資料!$G:$G, (MATCH(815, 輔助計算!$G$2:$G$801, 0)+1)),"0.##")&amp;"+"&amp;TEXT(INDEX(ERP資料!$G:$G, (MATCH(815, 輔助計算!$G$2:$G$801, 0)+1)),"0.##")))&amp;"-"&amp;INT(INDEX(輔助計算!$D:$D, (MATCH(815, 輔助計算!$G$2:$G$801, 0)+1))/IF(INDEX(ERP資料!$G:$G, (MATCH(815, 輔助計算!$G$2:$G$801, 0)+1))&lt;100, IF(INDEX(ERP資料!$G:$G, (MATCH(815, 輔助計算!$G$2:$G$801, 0)+1))&lt;=31,3,IF(INDEX(ERP資料!$G:$G, (MATCH(815, 輔助計算!$G$2:$G$801, 0)+1))&lt;=46.5,2,1)), IF(INDEX(ERP資料!$G:$G, (MATCH(815, 輔助計算!$G$2:$G$801, 0)+1))&lt;=790,3,IF(INDEX(ERP資料!$G:$G, (MATCH(815, 輔助計算!$G$2:$G$801, 0)+1))&lt;=1181,2,1)))), "")&amp;IF(AND(IF(INT(INDEX(輔助計算!$D:$D, (MATCH(815, 輔助計算!$G$2:$G$801, 0)+1))/IF(INDEX(ERP資料!$G:$G, (MATCH(815, 輔助計算!$G$2:$G$801, 0)+1))&lt;100, IF(INDEX(ERP資料!$G:$G, (MATCH(815, 輔助計算!$G$2:$G$801, 0)+1))&lt;=31,3,IF(INDEX(ERP資料!$G:$G, (MATCH(815, 輔助計算!$G$2:$G$801, 0)+1))&lt;=46.5,2,1)), IF(INDEX(ERP資料!$G:$G, (MATCH(815, 輔助計算!$G$2:$G$801, 0)+1))&lt;=790,3,IF(INDEX(ERP資料!$G:$G, (MATCH(815, 輔助計算!$G$2:$G$801, 0)+1))&lt;=1181,2,1))))&gt;0, IF(IF(INDEX(ERP資料!$G:$G, (MATCH(815, 輔助計算!$G$2:$G$801, 0)+1))&lt;100, IF(INDEX(ERP資料!$G:$G, (MATCH(815, 輔助計算!$G$2:$G$801, 0)+1))&lt;=31,3,IF(INDEX(ERP資料!$G:$G, (MATCH(815, 輔助計算!$G$2:$G$801, 0)+1))&lt;=46.5,2,1)), IF(INDEX(ERP資料!$G:$G, (MATCH(815, 輔助計算!$G$2:$G$801, 0)+1))&lt;=790,3,IF(INDEX(ERP資料!$G:$G, (MATCH(815, 輔助計算!$G$2:$G$801, 0)+1))&lt;=1181,2,1)))=1,TEXT(INDEX(ERP資料!$G:$G, (MATCH(815, 輔助計算!$G$2:$G$801, 0)+1)),"0.##"),IF(IF(INDEX(ERP資料!$G:$G, (MATCH(815, 輔助計算!$G$2:$G$801, 0)+1))&lt;100, IF(INDEX(ERP資料!$G:$G, (MATCH(815, 輔助計算!$G$2:$G$801, 0)+1))&lt;=31,3,IF(INDEX(ERP資料!$G:$G, (MATCH(815, 輔助計算!$G$2:$G$801, 0)+1))&lt;=46.5,2,1)), IF(INDEX(ERP資料!$G:$G, (MATCH(815, 輔助計算!$G$2:$G$801, 0)+1))&lt;=790,3,IF(INDEX(ERP資料!$G:$G, (MATCH(815, 輔助計算!$G$2:$G$801, 0)+1))&lt;=1181,2,1)))=2,TEXT(INDEX(ERP資料!$G:$G, (MATCH(815, 輔助計算!$G$2:$G$801, 0)+1)),"0.##")&amp;"+"&amp;TEXT(INDEX(ERP資料!$G:$G, (MATCH(815, 輔助計算!$G$2:$G$801, 0)+1)),"0.##"),TEXT(INDEX(ERP資料!$G:$G, (MATCH(815, 輔助計算!$G$2:$G$801, 0)+1)),"0.##")&amp;"+"&amp;TEXT(INDEX(ERP資料!$G:$G, (MATCH(815, 輔助計算!$G$2:$G$801, 0)+1)),"0.##")&amp;"+"&amp;TEXT(INDEX(ERP資料!$G:$G, (MATCH(815, 輔助計算!$G$2:$G$801, 0)+1)),"0.##")))&amp;"-"&amp;INT(INDEX(輔助計算!$D:$D, (MATCH(815, 輔助計算!$G$2:$G$801, 0)+1))/IF(INDEX(ERP資料!$G:$G, (MATCH(815, 輔助計算!$G$2:$G$801, 0)+1))&lt;100, IF(INDEX(ERP資料!$G:$G, (MATCH(815, 輔助計算!$G$2:$G$801, 0)+1))&lt;=31,3,IF(INDEX(ERP資料!$G:$G, (MATCH(815, 輔助計算!$G$2:$G$801, 0)+1))&lt;=46.5,2,1)), IF(INDEX(ERP資料!$G:$G, (MATCH(815, 輔助計算!$G$2:$G$801, 0)+1))&lt;=790,3,IF(INDEX(ERP資料!$G:$G, (MATCH(815, 輔助計算!$G$2:$G$801, 0)+1))&lt;=1181,2,1)))), "")&lt;&gt;"",IF(MOD(INDEX(輔助計算!$D:$D, (MATCH(815, 輔助計算!$G$2:$G$801, 0)+1)),IF(INDEX(ERP資料!$G:$G, (MATCH(815, 輔助計算!$G$2:$G$801, 0)+1))&lt;100, IF(INDEX(ERP資料!$G:$G, (MATCH(815, 輔助計算!$G$2:$G$801, 0)+1))&lt;=31,3,IF(INDEX(ERP資料!$G:$G, (MATCH(815, 輔助計算!$G$2:$G$801, 0)+1))&lt;=46.5,2,1)), IF(INDEX(ERP資料!$G:$G, (MATCH(815, 輔助計算!$G$2:$G$801, 0)+1))&lt;=790,3,IF(INDEX(ERP資料!$G:$G, (MATCH(815, 輔助計算!$G$2:$G$801, 0)+1))&lt;=1181,2,1))))=0,"",IF(MOD(INDEX(輔助計算!$D:$D, (MATCH(815, 輔助計算!$G$2:$G$801, 0)+1)),IF(INDEX(ERP資料!$G:$G, (MATCH(815, 輔助計算!$G$2:$G$801, 0)+1))&lt;100, IF(INDEX(ERP資料!$G:$G, (MATCH(815, 輔助計算!$G$2:$G$801, 0)+1))&lt;=31,3,IF(INDEX(ERP資料!$G:$G, (MATCH(815, 輔助計算!$G$2:$G$801, 0)+1))&lt;=46.5,2,1)), IF(INDEX(ERP資料!$G:$G, (MATCH(815, 輔助計算!$G$2:$G$801, 0)+1))&lt;=790,3,IF(INDEX(ERP資料!$G:$G, (MATCH(815, 輔助計算!$G$2:$G$801, 0)+1))&lt;=1181,2,1))))=0,"",IF(MOD(INDEX(輔助計算!$D:$D, (MATCH(815, 輔助計算!$G$2:$G$801, 0)+1)),IF(INDEX(ERP資料!$G:$G, (MATCH(815, 輔助計算!$G$2:$G$801, 0)+1))&lt;100, IF(INDEX(ERP資料!$G:$G, (MATCH(815, 輔助計算!$G$2:$G$801, 0)+1))&lt;=31,3,IF(INDEX(ERP資料!$G:$G, (MATCH(815, 輔助計算!$G$2:$G$801, 0)+1))&lt;=46.5,2,1)), IF(INDEX(ERP資料!$G:$G, (MATCH(815, 輔助計算!$G$2:$G$801, 0)+1))&lt;=790,3,IF(INDEX(ERP資料!$G:$G, (MATCH(815, 輔助計算!$G$2:$G$801, 0)+1))&lt;=1181,2,1))))=1,TEXT(INDEX(ERP資料!$G:$G, (MATCH(815, 輔助計算!$G$2:$G$801, 0)+1)),"0.##"),IF(MOD(INDEX(輔助計算!$D:$D, (MATCH(815, 輔助計算!$G$2:$G$801, 0)+1)),IF(INDEX(ERP資料!$G:$G, (MATCH(815, 輔助計算!$G$2:$G$801, 0)+1))&lt;100, IF(INDEX(ERP資料!$G:$G, (MATCH(815, 輔助計算!$G$2:$G$801, 0)+1))&lt;=31,3,IF(INDEX(ERP資料!$G:$G, (MATCH(815, 輔助計算!$G$2:$G$801, 0)+1))&lt;=46.5,2,1)), IF(INDEX(ERP資料!$G:$G, (MATCH(815, 輔助計算!$G$2:$G$801, 0)+1))&lt;=790,3,IF(INDEX(ERP資料!$G:$G, (MATCH(815, 輔助計算!$G$2:$G$801, 0)+1))&lt;=1181,2,1))))=2,TEXT(INDEX(ERP資料!$G:$G, (MATCH(815, 輔助計算!$G$2:$G$801, 0)+1)),"0.##")&amp;"+"&amp;TEXT(INDEX(ERP資料!$G:$G, (MATCH(815, 輔助計算!$G$2:$G$801, 0)+1)),"0.##"),TEXT(INDEX(ERP資料!$G:$G, (MATCH(815, 輔助計算!$G$2:$G$801, 0)+1)),"0.##")&amp;"+"&amp;TEXT(INDEX(ERP資料!$G:$G, (MATCH(815, 輔助計算!$G$2:$G$801, 0)+1)),"0.##")&amp;"+"&amp;TEXT(INDEX(ERP資料!$G:$G, (MATCH(815, 輔助計算!$G$2:$G$801, 0)+1)),"0.##"))))&amp;"-1")&lt;&gt;""),"  ","")&amp;IF(MOD(INDEX(輔助計算!$D:$D, (MATCH(815, 輔助計算!$G$2:$G$801, 0)+1)),IF(INDEX(ERP資料!$G:$G, (MATCH(815, 輔助計算!$G$2:$G$801, 0)+1))&lt;100, IF(INDEX(ERP資料!$G:$G, (MATCH(815, 輔助計算!$G$2:$G$801, 0)+1))&lt;=31,3,IF(INDEX(ERP資料!$G:$G, (MATCH(815, 輔助計算!$G$2:$G$801, 0)+1))&lt;=46.5,2,1)), IF(INDEX(ERP資料!$G:$G, (MATCH(815, 輔助計算!$G$2:$G$801, 0)+1))&lt;=790,3,IF(INDEX(ERP資料!$G:$G, (MATCH(815, 輔助計算!$G$2:$G$801, 0)+1))&lt;=1181,2,1))))=0,"",IF(MOD(INDEX(輔助計算!$D:$D, (MATCH(815, 輔助計算!$G$2:$G$801, 0)+1)),IF(INDEX(ERP資料!$G:$G, (MATCH(815, 輔助計算!$G$2:$G$801, 0)+1))&lt;100, IF(INDEX(ERP資料!$G:$G, (MATCH(815, 輔助計算!$G$2:$G$801, 0)+1))&lt;=31,3,IF(INDEX(ERP資料!$G:$G, (MATCH(815, 輔助計算!$G$2:$G$801, 0)+1))&lt;=46.5,2,1)), IF(INDEX(ERP資料!$G:$G, (MATCH(815, 輔助計算!$G$2:$G$801, 0)+1))&lt;=790,3,IF(INDEX(ERP資料!$G:$G, (MATCH(815, 輔助計算!$G$2:$G$801, 0)+1))&lt;=1181,2,1))))=0,"",IF(MOD(INDEX(輔助計算!$D:$D, (MATCH(815, 輔助計算!$G$2:$G$801, 0)+1)),IF(INDEX(ERP資料!$G:$G, (MATCH(815, 輔助計算!$G$2:$G$801, 0)+1))&lt;100, IF(INDEX(ERP資料!$G:$G, (MATCH(815, 輔助計算!$G$2:$G$801, 0)+1))&lt;=31,3,IF(INDEX(ERP資料!$G:$G, (MATCH(815, 輔助計算!$G$2:$G$801, 0)+1))&lt;=46.5,2,1)), IF(INDEX(ERP資料!$G:$G, (MATCH(815, 輔助計算!$G$2:$G$801, 0)+1))&lt;=790,3,IF(INDEX(ERP資料!$G:$G, (MATCH(815, 輔助計算!$G$2:$G$801, 0)+1))&lt;=1181,2,1))))=1,TEXT(INDEX(ERP資料!$G:$G, (MATCH(815, 輔助計算!$G$2:$G$801, 0)+1)),"0.##"),IF(MOD(INDEX(輔助計算!$D:$D, (MATCH(815, 輔助計算!$G$2:$G$801, 0)+1)),IF(INDEX(ERP資料!$G:$G, (MATCH(815, 輔助計算!$G$2:$G$801, 0)+1))&lt;100, IF(INDEX(ERP資料!$G:$G, (MATCH(815, 輔助計算!$G$2:$G$801, 0)+1))&lt;=31,3,IF(INDEX(ERP資料!$G:$G, (MATCH(815, 輔助計算!$G$2:$G$801, 0)+1))&lt;=46.5,2,1)), IF(INDEX(ERP資料!$G:$G, (MATCH(815, 輔助計算!$G$2:$G$801, 0)+1))&lt;=790,3,IF(INDEX(ERP資料!$G:$G, (MATCH(815, 輔助計算!$G$2:$G$801, 0)+1))&lt;=1181,2,1))))=2,TEXT(INDEX(ERP資料!$G:$G, (MATCH(815, 輔助計算!$G$2:$G$801, 0)+1)),"0.##")&amp;"+"&amp;TEXT(INDEX(ERP資料!$G:$G, (MATCH(815, 輔助計算!$G$2:$G$801, 0)+1)),"0.##"),TEXT(INDEX(ERP資料!$G:$G, (MATCH(815, 輔助計算!$G$2:$G$801, 0)+1)),"0.##")&amp;"+"&amp;TEXT(INDEX(ERP資料!$G:$G, (MATCH(815, 輔助計算!$G$2:$G$801, 0)+1)),"0.##")&amp;"+"&amp;TEXT(INDEX(ERP資料!$G:$G, (MATCH(815, 輔助計算!$G$2:$G$801, 0)+1)),"0.##"))))&amp;"-1")), ""), "")</f>
        <v/>
      </c>
      <c r="K816" s="16" t="n"/>
      <c r="L816" s="14">
        <f>IFERROR(IF(AND(IFERROR(INDEX(ERP資料!$A:$A, (MATCH(815, 輔助計算!$G$2:$G$801, 0)+1)), "")&lt;&gt;"", IFERROR(INDEX(ERP資料!$A:$A, (MATCH(815, 輔助計算!$G$2:$G$801, 0)+1)), "")&lt;&gt;IFERROR(INDEX(ERP資料!$A:$A, MATCH(814, 輔助計算!$G$2:$G$801, 0)+1), "")), INDEX(ERP資料!$B:$B, (MATCH(815, 輔助計算!$G$2:$G$801, 0)+1)), ""), "")</f>
        <v/>
      </c>
      <c r="M816" s="17" t="n"/>
    </row>
    <row r="817">
      <c r="A817" s="10">
        <f>IFERROR(IF(AND(IFERROR(INDEX(ERP資料!$A:$A, (MATCH(816, 輔助計算!$G$2:$G$801, 0)+1)), "")&lt;&gt;"", IFERROR(INDEX(ERP資料!$A:$A, (MATCH(816, 輔助計算!$G$2:$G$801, 0)+1)), "")&lt;&gt;IFERROR(INDEX(ERP資料!$A:$A, MATCH(815, 輔助計算!$G$2:$G$801, 0)+1), "")), IFERROR(INDEX(ERP資料!$A:$A, (MATCH(816, 輔助計算!$G$2:$G$801, 0)+1)), ""), ""), "")</f>
        <v/>
      </c>
      <c r="B817" s="10">
        <f>IFERROR(IF(AND(IFERROR(INDEX(ERP資料!$A:$A, (MATCH(816, 輔助計算!$G$2:$G$801, 0)+1)), "")&lt;&gt;"", IFERROR(INDEX(ERP資料!$A:$A, (MATCH(816, 輔助計算!$G$2:$G$801, 0)+1)), "")&lt;&gt;IFERROR(INDEX(ERP資料!$A:$A, MATCH(815, 輔助計算!$G$2:$G$801, 0)+1), "")), INDEX(ERP資料!$S:$S, (MATCH(816, 輔助計算!$G$2:$G$801, 0)+1)), ""), "")</f>
        <v/>
      </c>
      <c r="C817" s="19">
        <f>IFERROR(IF(AND(IFERROR(INDEX(ERP資料!$A:$A, (MATCH(816, 輔助計算!$G$2:$G$801, 0)+1)), "")&lt;&gt;"", IFERROR(INDEX(ERP資料!$A:$A, (MATCH(816, 輔助計算!$G$2:$G$801, 0)+1)), "")&lt;&gt;IFERROR(INDEX(ERP資料!$A:$A, MATCH(815, 輔助計算!$G$2:$G$801, 0)+1), "")), IFERROR(VLOOKUP(LEFT(INDEX(ERP資料!$S:$S, (MATCH(816, 輔助計算!$G$2:$G$801, 0)+1)), 4), 紙管對照表!$A:$C, 3, FALSE), ""), ""), "")</f>
        <v/>
      </c>
      <c r="D817" s="16" t="n"/>
      <c r="E817" s="10">
        <f>IFERROR(IF(INDEX(ERP資料!$H:$H, (MATCH(816, 輔助計算!$G$2:$G$801, 0)+1))="","",INDEX(ERP資料!$H:$H, (MATCH(816, 輔助計算!$G$2:$G$801, 0)+1))), "")</f>
        <v/>
      </c>
      <c r="F817" s="10">
        <f>IFERROR(IF(INDEX(ERP資料!$E:$E, (MATCH(816, 輔助計算!$G$2:$G$801, 0)+1))="","",TRIM(INDEX(ERP資料!$E:$E, (MATCH(816, 輔助計算!$G$2:$G$801, 0)+1)))), "")</f>
        <v/>
      </c>
      <c r="G817" s="10">
        <f>IFERROR(IF(INDEX(ERP資料!$F:$F, (MATCH(816, 輔助計算!$G$2:$G$801, 0)+1))="","",INDEX(ERP資料!$F:$F, (MATCH(816, 輔助計算!$G$2:$G$801, 0)+1))), "")</f>
        <v/>
      </c>
      <c r="H817" s="10">
        <f>IFERROR(IF(INDEX(ERP資料!$G:$G, (MATCH(816, 輔助計算!$G$2:$G$801, 0)+1))="","",INDEX(ERP資料!$G:$G, (MATCH(816, 輔助計算!$G$2:$G$801, 0)+1))), "")</f>
        <v/>
      </c>
      <c r="I817" s="15">
        <f>IFERROR(INDEX(輔助計算!$D:$D, (MATCH(816, 輔助計算!$G$2:$G$801, 0)+1)), "")</f>
        <v/>
      </c>
      <c r="J817" s="15">
        <f>IFERROR(IF(AND(INDEX(輔助計算!$D:$D, (MATCH(816, 輔助計算!$G$2:$G$801, 0)+1))&lt;&gt;"", INDEX(ERP資料!$G:$G, (MATCH(816, 輔助計算!$G$2:$G$801, 0)+1))&lt;&gt;""), TRIM(IF(INT(INDEX(輔助計算!$D:$D, (MATCH(816, 輔助計算!$G$2:$G$801, 0)+1))/IF(INDEX(ERP資料!$G:$G, (MATCH(816, 輔助計算!$G$2:$G$801, 0)+1))&lt;100, IF(INDEX(ERP資料!$G:$G, (MATCH(816, 輔助計算!$G$2:$G$801, 0)+1))&lt;=31,3,IF(INDEX(ERP資料!$G:$G, (MATCH(816, 輔助計算!$G$2:$G$801, 0)+1))&lt;=46.5,2,1)), IF(INDEX(ERP資料!$G:$G, (MATCH(816, 輔助計算!$G$2:$G$801, 0)+1))&lt;=790,3,IF(INDEX(ERP資料!$G:$G, (MATCH(816, 輔助計算!$G$2:$G$801, 0)+1))&lt;=1181,2,1))))&gt;0, IF(IF(INDEX(ERP資料!$G:$G, (MATCH(816, 輔助計算!$G$2:$G$801, 0)+1))&lt;100, IF(INDEX(ERP資料!$G:$G, (MATCH(816, 輔助計算!$G$2:$G$801, 0)+1))&lt;=31,3,IF(INDEX(ERP資料!$G:$G, (MATCH(816, 輔助計算!$G$2:$G$801, 0)+1))&lt;=46.5,2,1)), IF(INDEX(ERP資料!$G:$G, (MATCH(816, 輔助計算!$G$2:$G$801, 0)+1))&lt;=790,3,IF(INDEX(ERP資料!$G:$G, (MATCH(816, 輔助計算!$G$2:$G$801, 0)+1))&lt;=1181,2,1)))=1,TEXT(INDEX(ERP資料!$G:$G, (MATCH(816, 輔助計算!$G$2:$G$801, 0)+1)),"0.##"),IF(IF(INDEX(ERP資料!$G:$G, (MATCH(816, 輔助計算!$G$2:$G$801, 0)+1))&lt;100, IF(INDEX(ERP資料!$G:$G, (MATCH(816, 輔助計算!$G$2:$G$801, 0)+1))&lt;=31,3,IF(INDEX(ERP資料!$G:$G, (MATCH(816, 輔助計算!$G$2:$G$801, 0)+1))&lt;=46.5,2,1)), IF(INDEX(ERP資料!$G:$G, (MATCH(816, 輔助計算!$G$2:$G$801, 0)+1))&lt;=790,3,IF(INDEX(ERP資料!$G:$G, (MATCH(816, 輔助計算!$G$2:$G$801, 0)+1))&lt;=1181,2,1)))=2,TEXT(INDEX(ERP資料!$G:$G, (MATCH(816, 輔助計算!$G$2:$G$801, 0)+1)),"0.##")&amp;"+"&amp;TEXT(INDEX(ERP資料!$G:$G, (MATCH(816, 輔助計算!$G$2:$G$801, 0)+1)),"0.##"),TEXT(INDEX(ERP資料!$G:$G, (MATCH(816, 輔助計算!$G$2:$G$801, 0)+1)),"0.##")&amp;"+"&amp;TEXT(INDEX(ERP資料!$G:$G, (MATCH(816, 輔助計算!$G$2:$G$801, 0)+1)),"0.##")&amp;"+"&amp;TEXT(INDEX(ERP資料!$G:$G, (MATCH(816, 輔助計算!$G$2:$G$801, 0)+1)),"0.##")))&amp;"-"&amp;INT(INDEX(輔助計算!$D:$D, (MATCH(816, 輔助計算!$G$2:$G$801, 0)+1))/IF(INDEX(ERP資料!$G:$G, (MATCH(816, 輔助計算!$G$2:$G$801, 0)+1))&lt;100, IF(INDEX(ERP資料!$G:$G, (MATCH(816, 輔助計算!$G$2:$G$801, 0)+1))&lt;=31,3,IF(INDEX(ERP資料!$G:$G, (MATCH(816, 輔助計算!$G$2:$G$801, 0)+1))&lt;=46.5,2,1)), IF(INDEX(ERP資料!$G:$G, (MATCH(816, 輔助計算!$G$2:$G$801, 0)+1))&lt;=790,3,IF(INDEX(ERP資料!$G:$G, (MATCH(816, 輔助計算!$G$2:$G$801, 0)+1))&lt;=1181,2,1)))), "")&amp;IF(AND(IF(INT(INDEX(輔助計算!$D:$D, (MATCH(816, 輔助計算!$G$2:$G$801, 0)+1))/IF(INDEX(ERP資料!$G:$G, (MATCH(816, 輔助計算!$G$2:$G$801, 0)+1))&lt;100, IF(INDEX(ERP資料!$G:$G, (MATCH(816, 輔助計算!$G$2:$G$801, 0)+1))&lt;=31,3,IF(INDEX(ERP資料!$G:$G, (MATCH(816, 輔助計算!$G$2:$G$801, 0)+1))&lt;=46.5,2,1)), IF(INDEX(ERP資料!$G:$G, (MATCH(816, 輔助計算!$G$2:$G$801, 0)+1))&lt;=790,3,IF(INDEX(ERP資料!$G:$G, (MATCH(816, 輔助計算!$G$2:$G$801, 0)+1))&lt;=1181,2,1))))&gt;0, IF(IF(INDEX(ERP資料!$G:$G, (MATCH(816, 輔助計算!$G$2:$G$801, 0)+1))&lt;100, IF(INDEX(ERP資料!$G:$G, (MATCH(816, 輔助計算!$G$2:$G$801, 0)+1))&lt;=31,3,IF(INDEX(ERP資料!$G:$G, (MATCH(816, 輔助計算!$G$2:$G$801, 0)+1))&lt;=46.5,2,1)), IF(INDEX(ERP資料!$G:$G, (MATCH(816, 輔助計算!$G$2:$G$801, 0)+1))&lt;=790,3,IF(INDEX(ERP資料!$G:$G, (MATCH(816, 輔助計算!$G$2:$G$801, 0)+1))&lt;=1181,2,1)))=1,TEXT(INDEX(ERP資料!$G:$G, (MATCH(816, 輔助計算!$G$2:$G$801, 0)+1)),"0.##"),IF(IF(INDEX(ERP資料!$G:$G, (MATCH(816, 輔助計算!$G$2:$G$801, 0)+1))&lt;100, IF(INDEX(ERP資料!$G:$G, (MATCH(816, 輔助計算!$G$2:$G$801, 0)+1))&lt;=31,3,IF(INDEX(ERP資料!$G:$G, (MATCH(816, 輔助計算!$G$2:$G$801, 0)+1))&lt;=46.5,2,1)), IF(INDEX(ERP資料!$G:$G, (MATCH(816, 輔助計算!$G$2:$G$801, 0)+1))&lt;=790,3,IF(INDEX(ERP資料!$G:$G, (MATCH(816, 輔助計算!$G$2:$G$801, 0)+1))&lt;=1181,2,1)))=2,TEXT(INDEX(ERP資料!$G:$G, (MATCH(816, 輔助計算!$G$2:$G$801, 0)+1)),"0.##")&amp;"+"&amp;TEXT(INDEX(ERP資料!$G:$G, (MATCH(816, 輔助計算!$G$2:$G$801, 0)+1)),"0.##"),TEXT(INDEX(ERP資料!$G:$G, (MATCH(816, 輔助計算!$G$2:$G$801, 0)+1)),"0.##")&amp;"+"&amp;TEXT(INDEX(ERP資料!$G:$G, (MATCH(816, 輔助計算!$G$2:$G$801, 0)+1)),"0.##")&amp;"+"&amp;TEXT(INDEX(ERP資料!$G:$G, (MATCH(816, 輔助計算!$G$2:$G$801, 0)+1)),"0.##")))&amp;"-"&amp;INT(INDEX(輔助計算!$D:$D, (MATCH(816, 輔助計算!$G$2:$G$801, 0)+1))/IF(INDEX(ERP資料!$G:$G, (MATCH(816, 輔助計算!$G$2:$G$801, 0)+1))&lt;100, IF(INDEX(ERP資料!$G:$G, (MATCH(816, 輔助計算!$G$2:$G$801, 0)+1))&lt;=31,3,IF(INDEX(ERP資料!$G:$G, (MATCH(816, 輔助計算!$G$2:$G$801, 0)+1))&lt;=46.5,2,1)), IF(INDEX(ERP資料!$G:$G, (MATCH(816, 輔助計算!$G$2:$G$801, 0)+1))&lt;=790,3,IF(INDEX(ERP資料!$G:$G, (MATCH(816, 輔助計算!$G$2:$G$801, 0)+1))&lt;=1181,2,1)))), "")&lt;&gt;"",IF(MOD(INDEX(輔助計算!$D:$D, (MATCH(816, 輔助計算!$G$2:$G$801, 0)+1)),IF(INDEX(ERP資料!$G:$G, (MATCH(816, 輔助計算!$G$2:$G$801, 0)+1))&lt;100, IF(INDEX(ERP資料!$G:$G, (MATCH(816, 輔助計算!$G$2:$G$801, 0)+1))&lt;=31,3,IF(INDEX(ERP資料!$G:$G, (MATCH(816, 輔助計算!$G$2:$G$801, 0)+1))&lt;=46.5,2,1)), IF(INDEX(ERP資料!$G:$G, (MATCH(816, 輔助計算!$G$2:$G$801, 0)+1))&lt;=790,3,IF(INDEX(ERP資料!$G:$G, (MATCH(816, 輔助計算!$G$2:$G$801, 0)+1))&lt;=1181,2,1))))=0,"",IF(MOD(INDEX(輔助計算!$D:$D, (MATCH(816, 輔助計算!$G$2:$G$801, 0)+1)),IF(INDEX(ERP資料!$G:$G, (MATCH(816, 輔助計算!$G$2:$G$801, 0)+1))&lt;100, IF(INDEX(ERP資料!$G:$G, (MATCH(816, 輔助計算!$G$2:$G$801, 0)+1))&lt;=31,3,IF(INDEX(ERP資料!$G:$G, (MATCH(816, 輔助計算!$G$2:$G$801, 0)+1))&lt;=46.5,2,1)), IF(INDEX(ERP資料!$G:$G, (MATCH(816, 輔助計算!$G$2:$G$801, 0)+1))&lt;=790,3,IF(INDEX(ERP資料!$G:$G, (MATCH(816, 輔助計算!$G$2:$G$801, 0)+1))&lt;=1181,2,1))))=0,"",IF(MOD(INDEX(輔助計算!$D:$D, (MATCH(816, 輔助計算!$G$2:$G$801, 0)+1)),IF(INDEX(ERP資料!$G:$G, (MATCH(816, 輔助計算!$G$2:$G$801, 0)+1))&lt;100, IF(INDEX(ERP資料!$G:$G, (MATCH(816, 輔助計算!$G$2:$G$801, 0)+1))&lt;=31,3,IF(INDEX(ERP資料!$G:$G, (MATCH(816, 輔助計算!$G$2:$G$801, 0)+1))&lt;=46.5,2,1)), IF(INDEX(ERP資料!$G:$G, (MATCH(816, 輔助計算!$G$2:$G$801, 0)+1))&lt;=790,3,IF(INDEX(ERP資料!$G:$G, (MATCH(816, 輔助計算!$G$2:$G$801, 0)+1))&lt;=1181,2,1))))=1,TEXT(INDEX(ERP資料!$G:$G, (MATCH(816, 輔助計算!$G$2:$G$801, 0)+1)),"0.##"),IF(MOD(INDEX(輔助計算!$D:$D, (MATCH(816, 輔助計算!$G$2:$G$801, 0)+1)),IF(INDEX(ERP資料!$G:$G, (MATCH(816, 輔助計算!$G$2:$G$801, 0)+1))&lt;100, IF(INDEX(ERP資料!$G:$G, (MATCH(816, 輔助計算!$G$2:$G$801, 0)+1))&lt;=31,3,IF(INDEX(ERP資料!$G:$G, (MATCH(816, 輔助計算!$G$2:$G$801, 0)+1))&lt;=46.5,2,1)), IF(INDEX(ERP資料!$G:$G, (MATCH(816, 輔助計算!$G$2:$G$801, 0)+1))&lt;=790,3,IF(INDEX(ERP資料!$G:$G, (MATCH(816, 輔助計算!$G$2:$G$801, 0)+1))&lt;=1181,2,1))))=2,TEXT(INDEX(ERP資料!$G:$G, (MATCH(816, 輔助計算!$G$2:$G$801, 0)+1)),"0.##")&amp;"+"&amp;TEXT(INDEX(ERP資料!$G:$G, (MATCH(816, 輔助計算!$G$2:$G$801, 0)+1)),"0.##"),TEXT(INDEX(ERP資料!$G:$G, (MATCH(816, 輔助計算!$G$2:$G$801, 0)+1)),"0.##")&amp;"+"&amp;TEXT(INDEX(ERP資料!$G:$G, (MATCH(816, 輔助計算!$G$2:$G$801, 0)+1)),"0.##")&amp;"+"&amp;TEXT(INDEX(ERP資料!$G:$G, (MATCH(816, 輔助計算!$G$2:$G$801, 0)+1)),"0.##"))))&amp;"-1")&lt;&gt;""),"  ","")&amp;IF(MOD(INDEX(輔助計算!$D:$D, (MATCH(816, 輔助計算!$G$2:$G$801, 0)+1)),IF(INDEX(ERP資料!$G:$G, (MATCH(816, 輔助計算!$G$2:$G$801, 0)+1))&lt;100, IF(INDEX(ERP資料!$G:$G, (MATCH(816, 輔助計算!$G$2:$G$801, 0)+1))&lt;=31,3,IF(INDEX(ERP資料!$G:$G, (MATCH(816, 輔助計算!$G$2:$G$801, 0)+1))&lt;=46.5,2,1)), IF(INDEX(ERP資料!$G:$G, (MATCH(816, 輔助計算!$G$2:$G$801, 0)+1))&lt;=790,3,IF(INDEX(ERP資料!$G:$G, (MATCH(816, 輔助計算!$G$2:$G$801, 0)+1))&lt;=1181,2,1))))=0,"",IF(MOD(INDEX(輔助計算!$D:$D, (MATCH(816, 輔助計算!$G$2:$G$801, 0)+1)),IF(INDEX(ERP資料!$G:$G, (MATCH(816, 輔助計算!$G$2:$G$801, 0)+1))&lt;100, IF(INDEX(ERP資料!$G:$G, (MATCH(816, 輔助計算!$G$2:$G$801, 0)+1))&lt;=31,3,IF(INDEX(ERP資料!$G:$G, (MATCH(816, 輔助計算!$G$2:$G$801, 0)+1))&lt;=46.5,2,1)), IF(INDEX(ERP資料!$G:$G, (MATCH(816, 輔助計算!$G$2:$G$801, 0)+1))&lt;=790,3,IF(INDEX(ERP資料!$G:$G, (MATCH(816, 輔助計算!$G$2:$G$801, 0)+1))&lt;=1181,2,1))))=0,"",IF(MOD(INDEX(輔助計算!$D:$D, (MATCH(816, 輔助計算!$G$2:$G$801, 0)+1)),IF(INDEX(ERP資料!$G:$G, (MATCH(816, 輔助計算!$G$2:$G$801, 0)+1))&lt;100, IF(INDEX(ERP資料!$G:$G, (MATCH(816, 輔助計算!$G$2:$G$801, 0)+1))&lt;=31,3,IF(INDEX(ERP資料!$G:$G, (MATCH(816, 輔助計算!$G$2:$G$801, 0)+1))&lt;=46.5,2,1)), IF(INDEX(ERP資料!$G:$G, (MATCH(816, 輔助計算!$G$2:$G$801, 0)+1))&lt;=790,3,IF(INDEX(ERP資料!$G:$G, (MATCH(816, 輔助計算!$G$2:$G$801, 0)+1))&lt;=1181,2,1))))=1,TEXT(INDEX(ERP資料!$G:$G, (MATCH(816, 輔助計算!$G$2:$G$801, 0)+1)),"0.##"),IF(MOD(INDEX(輔助計算!$D:$D, (MATCH(816, 輔助計算!$G$2:$G$801, 0)+1)),IF(INDEX(ERP資料!$G:$G, (MATCH(816, 輔助計算!$G$2:$G$801, 0)+1))&lt;100, IF(INDEX(ERP資料!$G:$G, (MATCH(816, 輔助計算!$G$2:$G$801, 0)+1))&lt;=31,3,IF(INDEX(ERP資料!$G:$G, (MATCH(816, 輔助計算!$G$2:$G$801, 0)+1))&lt;=46.5,2,1)), IF(INDEX(ERP資料!$G:$G, (MATCH(816, 輔助計算!$G$2:$G$801, 0)+1))&lt;=790,3,IF(INDEX(ERP資料!$G:$G, (MATCH(816, 輔助計算!$G$2:$G$801, 0)+1))&lt;=1181,2,1))))=2,TEXT(INDEX(ERP資料!$G:$G, (MATCH(816, 輔助計算!$G$2:$G$801, 0)+1)),"0.##")&amp;"+"&amp;TEXT(INDEX(ERP資料!$G:$G, (MATCH(816, 輔助計算!$G$2:$G$801, 0)+1)),"0.##"),TEXT(INDEX(ERP資料!$G:$G, (MATCH(816, 輔助計算!$G$2:$G$801, 0)+1)),"0.##")&amp;"+"&amp;TEXT(INDEX(ERP資料!$G:$G, (MATCH(816, 輔助計算!$G$2:$G$801, 0)+1)),"0.##")&amp;"+"&amp;TEXT(INDEX(ERP資料!$G:$G, (MATCH(816, 輔助計算!$G$2:$G$801, 0)+1)),"0.##"))))&amp;"-1")), ""), "")</f>
        <v/>
      </c>
      <c r="K817" s="16" t="n"/>
      <c r="L817" s="14">
        <f>IFERROR(IF(AND(IFERROR(INDEX(ERP資料!$A:$A, (MATCH(816, 輔助計算!$G$2:$G$801, 0)+1)), "")&lt;&gt;"", IFERROR(INDEX(ERP資料!$A:$A, (MATCH(816, 輔助計算!$G$2:$G$801, 0)+1)), "")&lt;&gt;IFERROR(INDEX(ERP資料!$A:$A, MATCH(815, 輔助計算!$G$2:$G$801, 0)+1), "")), INDEX(ERP資料!$B:$B, (MATCH(816, 輔助計算!$G$2:$G$801, 0)+1)), ""), "")</f>
        <v/>
      </c>
      <c r="M817" s="17" t="n"/>
    </row>
    <row r="818">
      <c r="A818" s="10">
        <f>IFERROR(IF(AND(IFERROR(INDEX(ERP資料!$A:$A, (MATCH(817, 輔助計算!$G$2:$G$801, 0)+1)), "")&lt;&gt;"", IFERROR(INDEX(ERP資料!$A:$A, (MATCH(817, 輔助計算!$G$2:$G$801, 0)+1)), "")&lt;&gt;IFERROR(INDEX(ERP資料!$A:$A, MATCH(816, 輔助計算!$G$2:$G$801, 0)+1), "")), IFERROR(INDEX(ERP資料!$A:$A, (MATCH(817, 輔助計算!$G$2:$G$801, 0)+1)), ""), ""), "")</f>
        <v/>
      </c>
      <c r="B818" s="10">
        <f>IFERROR(IF(AND(IFERROR(INDEX(ERP資料!$A:$A, (MATCH(817, 輔助計算!$G$2:$G$801, 0)+1)), "")&lt;&gt;"", IFERROR(INDEX(ERP資料!$A:$A, (MATCH(817, 輔助計算!$G$2:$G$801, 0)+1)), "")&lt;&gt;IFERROR(INDEX(ERP資料!$A:$A, MATCH(816, 輔助計算!$G$2:$G$801, 0)+1), "")), INDEX(ERP資料!$S:$S, (MATCH(817, 輔助計算!$G$2:$G$801, 0)+1)), ""), "")</f>
        <v/>
      </c>
      <c r="C818" s="19">
        <f>IFERROR(IF(AND(IFERROR(INDEX(ERP資料!$A:$A, (MATCH(817, 輔助計算!$G$2:$G$801, 0)+1)), "")&lt;&gt;"", IFERROR(INDEX(ERP資料!$A:$A, (MATCH(817, 輔助計算!$G$2:$G$801, 0)+1)), "")&lt;&gt;IFERROR(INDEX(ERP資料!$A:$A, MATCH(816, 輔助計算!$G$2:$G$801, 0)+1), "")), IFERROR(VLOOKUP(LEFT(INDEX(ERP資料!$S:$S, (MATCH(817, 輔助計算!$G$2:$G$801, 0)+1)), 4), 紙管對照表!$A:$C, 3, FALSE), ""), ""), "")</f>
        <v/>
      </c>
      <c r="D818" s="16" t="n"/>
      <c r="E818" s="10">
        <f>IFERROR(IF(INDEX(ERP資料!$H:$H, (MATCH(817, 輔助計算!$G$2:$G$801, 0)+1))="","",INDEX(ERP資料!$H:$H, (MATCH(817, 輔助計算!$G$2:$G$801, 0)+1))), "")</f>
        <v/>
      </c>
      <c r="F818" s="10">
        <f>IFERROR(IF(INDEX(ERP資料!$E:$E, (MATCH(817, 輔助計算!$G$2:$G$801, 0)+1))="","",TRIM(INDEX(ERP資料!$E:$E, (MATCH(817, 輔助計算!$G$2:$G$801, 0)+1)))), "")</f>
        <v/>
      </c>
      <c r="G818" s="10">
        <f>IFERROR(IF(INDEX(ERP資料!$F:$F, (MATCH(817, 輔助計算!$G$2:$G$801, 0)+1))="","",INDEX(ERP資料!$F:$F, (MATCH(817, 輔助計算!$G$2:$G$801, 0)+1))), "")</f>
        <v/>
      </c>
      <c r="H818" s="10">
        <f>IFERROR(IF(INDEX(ERP資料!$G:$G, (MATCH(817, 輔助計算!$G$2:$G$801, 0)+1))="","",INDEX(ERP資料!$G:$G, (MATCH(817, 輔助計算!$G$2:$G$801, 0)+1))), "")</f>
        <v/>
      </c>
      <c r="I818" s="15">
        <f>IFERROR(INDEX(輔助計算!$D:$D, (MATCH(817, 輔助計算!$G$2:$G$801, 0)+1)), "")</f>
        <v/>
      </c>
      <c r="J818" s="15">
        <f>IFERROR(IF(AND(INDEX(輔助計算!$D:$D, (MATCH(817, 輔助計算!$G$2:$G$801, 0)+1))&lt;&gt;"", INDEX(ERP資料!$G:$G, (MATCH(817, 輔助計算!$G$2:$G$801, 0)+1))&lt;&gt;""), TRIM(IF(INT(INDEX(輔助計算!$D:$D, (MATCH(817, 輔助計算!$G$2:$G$801, 0)+1))/IF(INDEX(ERP資料!$G:$G, (MATCH(817, 輔助計算!$G$2:$G$801, 0)+1))&lt;100, IF(INDEX(ERP資料!$G:$G, (MATCH(817, 輔助計算!$G$2:$G$801, 0)+1))&lt;=31,3,IF(INDEX(ERP資料!$G:$G, (MATCH(817, 輔助計算!$G$2:$G$801, 0)+1))&lt;=46.5,2,1)), IF(INDEX(ERP資料!$G:$G, (MATCH(817, 輔助計算!$G$2:$G$801, 0)+1))&lt;=790,3,IF(INDEX(ERP資料!$G:$G, (MATCH(817, 輔助計算!$G$2:$G$801, 0)+1))&lt;=1181,2,1))))&gt;0, IF(IF(INDEX(ERP資料!$G:$G, (MATCH(817, 輔助計算!$G$2:$G$801, 0)+1))&lt;100, IF(INDEX(ERP資料!$G:$G, (MATCH(817, 輔助計算!$G$2:$G$801, 0)+1))&lt;=31,3,IF(INDEX(ERP資料!$G:$G, (MATCH(817, 輔助計算!$G$2:$G$801, 0)+1))&lt;=46.5,2,1)), IF(INDEX(ERP資料!$G:$G, (MATCH(817, 輔助計算!$G$2:$G$801, 0)+1))&lt;=790,3,IF(INDEX(ERP資料!$G:$G, (MATCH(817, 輔助計算!$G$2:$G$801, 0)+1))&lt;=1181,2,1)))=1,TEXT(INDEX(ERP資料!$G:$G, (MATCH(817, 輔助計算!$G$2:$G$801, 0)+1)),"0.##"),IF(IF(INDEX(ERP資料!$G:$G, (MATCH(817, 輔助計算!$G$2:$G$801, 0)+1))&lt;100, IF(INDEX(ERP資料!$G:$G, (MATCH(817, 輔助計算!$G$2:$G$801, 0)+1))&lt;=31,3,IF(INDEX(ERP資料!$G:$G, (MATCH(817, 輔助計算!$G$2:$G$801, 0)+1))&lt;=46.5,2,1)), IF(INDEX(ERP資料!$G:$G, (MATCH(817, 輔助計算!$G$2:$G$801, 0)+1))&lt;=790,3,IF(INDEX(ERP資料!$G:$G, (MATCH(817, 輔助計算!$G$2:$G$801, 0)+1))&lt;=1181,2,1)))=2,TEXT(INDEX(ERP資料!$G:$G, (MATCH(817, 輔助計算!$G$2:$G$801, 0)+1)),"0.##")&amp;"+"&amp;TEXT(INDEX(ERP資料!$G:$G, (MATCH(817, 輔助計算!$G$2:$G$801, 0)+1)),"0.##"),TEXT(INDEX(ERP資料!$G:$G, (MATCH(817, 輔助計算!$G$2:$G$801, 0)+1)),"0.##")&amp;"+"&amp;TEXT(INDEX(ERP資料!$G:$G, (MATCH(817, 輔助計算!$G$2:$G$801, 0)+1)),"0.##")&amp;"+"&amp;TEXT(INDEX(ERP資料!$G:$G, (MATCH(817, 輔助計算!$G$2:$G$801, 0)+1)),"0.##")))&amp;"-"&amp;INT(INDEX(輔助計算!$D:$D, (MATCH(817, 輔助計算!$G$2:$G$801, 0)+1))/IF(INDEX(ERP資料!$G:$G, (MATCH(817, 輔助計算!$G$2:$G$801, 0)+1))&lt;100, IF(INDEX(ERP資料!$G:$G, (MATCH(817, 輔助計算!$G$2:$G$801, 0)+1))&lt;=31,3,IF(INDEX(ERP資料!$G:$G, (MATCH(817, 輔助計算!$G$2:$G$801, 0)+1))&lt;=46.5,2,1)), IF(INDEX(ERP資料!$G:$G, (MATCH(817, 輔助計算!$G$2:$G$801, 0)+1))&lt;=790,3,IF(INDEX(ERP資料!$G:$G, (MATCH(817, 輔助計算!$G$2:$G$801, 0)+1))&lt;=1181,2,1)))), "")&amp;IF(AND(IF(INT(INDEX(輔助計算!$D:$D, (MATCH(817, 輔助計算!$G$2:$G$801, 0)+1))/IF(INDEX(ERP資料!$G:$G, (MATCH(817, 輔助計算!$G$2:$G$801, 0)+1))&lt;100, IF(INDEX(ERP資料!$G:$G, (MATCH(817, 輔助計算!$G$2:$G$801, 0)+1))&lt;=31,3,IF(INDEX(ERP資料!$G:$G, (MATCH(817, 輔助計算!$G$2:$G$801, 0)+1))&lt;=46.5,2,1)), IF(INDEX(ERP資料!$G:$G, (MATCH(817, 輔助計算!$G$2:$G$801, 0)+1))&lt;=790,3,IF(INDEX(ERP資料!$G:$G, (MATCH(817, 輔助計算!$G$2:$G$801, 0)+1))&lt;=1181,2,1))))&gt;0, IF(IF(INDEX(ERP資料!$G:$G, (MATCH(817, 輔助計算!$G$2:$G$801, 0)+1))&lt;100, IF(INDEX(ERP資料!$G:$G, (MATCH(817, 輔助計算!$G$2:$G$801, 0)+1))&lt;=31,3,IF(INDEX(ERP資料!$G:$G, (MATCH(817, 輔助計算!$G$2:$G$801, 0)+1))&lt;=46.5,2,1)), IF(INDEX(ERP資料!$G:$G, (MATCH(817, 輔助計算!$G$2:$G$801, 0)+1))&lt;=790,3,IF(INDEX(ERP資料!$G:$G, (MATCH(817, 輔助計算!$G$2:$G$801, 0)+1))&lt;=1181,2,1)))=1,TEXT(INDEX(ERP資料!$G:$G, (MATCH(817, 輔助計算!$G$2:$G$801, 0)+1)),"0.##"),IF(IF(INDEX(ERP資料!$G:$G, (MATCH(817, 輔助計算!$G$2:$G$801, 0)+1))&lt;100, IF(INDEX(ERP資料!$G:$G, (MATCH(817, 輔助計算!$G$2:$G$801, 0)+1))&lt;=31,3,IF(INDEX(ERP資料!$G:$G, (MATCH(817, 輔助計算!$G$2:$G$801, 0)+1))&lt;=46.5,2,1)), IF(INDEX(ERP資料!$G:$G, (MATCH(817, 輔助計算!$G$2:$G$801, 0)+1))&lt;=790,3,IF(INDEX(ERP資料!$G:$G, (MATCH(817, 輔助計算!$G$2:$G$801, 0)+1))&lt;=1181,2,1)))=2,TEXT(INDEX(ERP資料!$G:$G, (MATCH(817, 輔助計算!$G$2:$G$801, 0)+1)),"0.##")&amp;"+"&amp;TEXT(INDEX(ERP資料!$G:$G, (MATCH(817, 輔助計算!$G$2:$G$801, 0)+1)),"0.##"),TEXT(INDEX(ERP資料!$G:$G, (MATCH(817, 輔助計算!$G$2:$G$801, 0)+1)),"0.##")&amp;"+"&amp;TEXT(INDEX(ERP資料!$G:$G, (MATCH(817, 輔助計算!$G$2:$G$801, 0)+1)),"0.##")&amp;"+"&amp;TEXT(INDEX(ERP資料!$G:$G, (MATCH(817, 輔助計算!$G$2:$G$801, 0)+1)),"0.##")))&amp;"-"&amp;INT(INDEX(輔助計算!$D:$D, (MATCH(817, 輔助計算!$G$2:$G$801, 0)+1))/IF(INDEX(ERP資料!$G:$G, (MATCH(817, 輔助計算!$G$2:$G$801, 0)+1))&lt;100, IF(INDEX(ERP資料!$G:$G, (MATCH(817, 輔助計算!$G$2:$G$801, 0)+1))&lt;=31,3,IF(INDEX(ERP資料!$G:$G, (MATCH(817, 輔助計算!$G$2:$G$801, 0)+1))&lt;=46.5,2,1)), IF(INDEX(ERP資料!$G:$G, (MATCH(817, 輔助計算!$G$2:$G$801, 0)+1))&lt;=790,3,IF(INDEX(ERP資料!$G:$G, (MATCH(817, 輔助計算!$G$2:$G$801, 0)+1))&lt;=1181,2,1)))), "")&lt;&gt;"",IF(MOD(INDEX(輔助計算!$D:$D, (MATCH(817, 輔助計算!$G$2:$G$801, 0)+1)),IF(INDEX(ERP資料!$G:$G, (MATCH(817, 輔助計算!$G$2:$G$801, 0)+1))&lt;100, IF(INDEX(ERP資料!$G:$G, (MATCH(817, 輔助計算!$G$2:$G$801, 0)+1))&lt;=31,3,IF(INDEX(ERP資料!$G:$G, (MATCH(817, 輔助計算!$G$2:$G$801, 0)+1))&lt;=46.5,2,1)), IF(INDEX(ERP資料!$G:$G, (MATCH(817, 輔助計算!$G$2:$G$801, 0)+1))&lt;=790,3,IF(INDEX(ERP資料!$G:$G, (MATCH(817, 輔助計算!$G$2:$G$801, 0)+1))&lt;=1181,2,1))))=0,"",IF(MOD(INDEX(輔助計算!$D:$D, (MATCH(817, 輔助計算!$G$2:$G$801, 0)+1)),IF(INDEX(ERP資料!$G:$G, (MATCH(817, 輔助計算!$G$2:$G$801, 0)+1))&lt;100, IF(INDEX(ERP資料!$G:$G, (MATCH(817, 輔助計算!$G$2:$G$801, 0)+1))&lt;=31,3,IF(INDEX(ERP資料!$G:$G, (MATCH(817, 輔助計算!$G$2:$G$801, 0)+1))&lt;=46.5,2,1)), IF(INDEX(ERP資料!$G:$G, (MATCH(817, 輔助計算!$G$2:$G$801, 0)+1))&lt;=790,3,IF(INDEX(ERP資料!$G:$G, (MATCH(817, 輔助計算!$G$2:$G$801, 0)+1))&lt;=1181,2,1))))=0,"",IF(MOD(INDEX(輔助計算!$D:$D, (MATCH(817, 輔助計算!$G$2:$G$801, 0)+1)),IF(INDEX(ERP資料!$G:$G, (MATCH(817, 輔助計算!$G$2:$G$801, 0)+1))&lt;100, IF(INDEX(ERP資料!$G:$G, (MATCH(817, 輔助計算!$G$2:$G$801, 0)+1))&lt;=31,3,IF(INDEX(ERP資料!$G:$G, (MATCH(817, 輔助計算!$G$2:$G$801, 0)+1))&lt;=46.5,2,1)), IF(INDEX(ERP資料!$G:$G, (MATCH(817, 輔助計算!$G$2:$G$801, 0)+1))&lt;=790,3,IF(INDEX(ERP資料!$G:$G, (MATCH(817, 輔助計算!$G$2:$G$801, 0)+1))&lt;=1181,2,1))))=1,TEXT(INDEX(ERP資料!$G:$G, (MATCH(817, 輔助計算!$G$2:$G$801, 0)+1)),"0.##"),IF(MOD(INDEX(輔助計算!$D:$D, (MATCH(817, 輔助計算!$G$2:$G$801, 0)+1)),IF(INDEX(ERP資料!$G:$G, (MATCH(817, 輔助計算!$G$2:$G$801, 0)+1))&lt;100, IF(INDEX(ERP資料!$G:$G, (MATCH(817, 輔助計算!$G$2:$G$801, 0)+1))&lt;=31,3,IF(INDEX(ERP資料!$G:$G, (MATCH(817, 輔助計算!$G$2:$G$801, 0)+1))&lt;=46.5,2,1)), IF(INDEX(ERP資料!$G:$G, (MATCH(817, 輔助計算!$G$2:$G$801, 0)+1))&lt;=790,3,IF(INDEX(ERP資料!$G:$G, (MATCH(817, 輔助計算!$G$2:$G$801, 0)+1))&lt;=1181,2,1))))=2,TEXT(INDEX(ERP資料!$G:$G, (MATCH(817, 輔助計算!$G$2:$G$801, 0)+1)),"0.##")&amp;"+"&amp;TEXT(INDEX(ERP資料!$G:$G, (MATCH(817, 輔助計算!$G$2:$G$801, 0)+1)),"0.##"),TEXT(INDEX(ERP資料!$G:$G, (MATCH(817, 輔助計算!$G$2:$G$801, 0)+1)),"0.##")&amp;"+"&amp;TEXT(INDEX(ERP資料!$G:$G, (MATCH(817, 輔助計算!$G$2:$G$801, 0)+1)),"0.##")&amp;"+"&amp;TEXT(INDEX(ERP資料!$G:$G, (MATCH(817, 輔助計算!$G$2:$G$801, 0)+1)),"0.##"))))&amp;"-1")&lt;&gt;""),"  ","")&amp;IF(MOD(INDEX(輔助計算!$D:$D, (MATCH(817, 輔助計算!$G$2:$G$801, 0)+1)),IF(INDEX(ERP資料!$G:$G, (MATCH(817, 輔助計算!$G$2:$G$801, 0)+1))&lt;100, IF(INDEX(ERP資料!$G:$G, (MATCH(817, 輔助計算!$G$2:$G$801, 0)+1))&lt;=31,3,IF(INDEX(ERP資料!$G:$G, (MATCH(817, 輔助計算!$G$2:$G$801, 0)+1))&lt;=46.5,2,1)), IF(INDEX(ERP資料!$G:$G, (MATCH(817, 輔助計算!$G$2:$G$801, 0)+1))&lt;=790,3,IF(INDEX(ERP資料!$G:$G, (MATCH(817, 輔助計算!$G$2:$G$801, 0)+1))&lt;=1181,2,1))))=0,"",IF(MOD(INDEX(輔助計算!$D:$D, (MATCH(817, 輔助計算!$G$2:$G$801, 0)+1)),IF(INDEX(ERP資料!$G:$G, (MATCH(817, 輔助計算!$G$2:$G$801, 0)+1))&lt;100, IF(INDEX(ERP資料!$G:$G, (MATCH(817, 輔助計算!$G$2:$G$801, 0)+1))&lt;=31,3,IF(INDEX(ERP資料!$G:$G, (MATCH(817, 輔助計算!$G$2:$G$801, 0)+1))&lt;=46.5,2,1)), IF(INDEX(ERP資料!$G:$G, (MATCH(817, 輔助計算!$G$2:$G$801, 0)+1))&lt;=790,3,IF(INDEX(ERP資料!$G:$G, (MATCH(817, 輔助計算!$G$2:$G$801, 0)+1))&lt;=1181,2,1))))=0,"",IF(MOD(INDEX(輔助計算!$D:$D, (MATCH(817, 輔助計算!$G$2:$G$801, 0)+1)),IF(INDEX(ERP資料!$G:$G, (MATCH(817, 輔助計算!$G$2:$G$801, 0)+1))&lt;100, IF(INDEX(ERP資料!$G:$G, (MATCH(817, 輔助計算!$G$2:$G$801, 0)+1))&lt;=31,3,IF(INDEX(ERP資料!$G:$G, (MATCH(817, 輔助計算!$G$2:$G$801, 0)+1))&lt;=46.5,2,1)), IF(INDEX(ERP資料!$G:$G, (MATCH(817, 輔助計算!$G$2:$G$801, 0)+1))&lt;=790,3,IF(INDEX(ERP資料!$G:$G, (MATCH(817, 輔助計算!$G$2:$G$801, 0)+1))&lt;=1181,2,1))))=1,TEXT(INDEX(ERP資料!$G:$G, (MATCH(817, 輔助計算!$G$2:$G$801, 0)+1)),"0.##"),IF(MOD(INDEX(輔助計算!$D:$D, (MATCH(817, 輔助計算!$G$2:$G$801, 0)+1)),IF(INDEX(ERP資料!$G:$G, (MATCH(817, 輔助計算!$G$2:$G$801, 0)+1))&lt;100, IF(INDEX(ERP資料!$G:$G, (MATCH(817, 輔助計算!$G$2:$G$801, 0)+1))&lt;=31,3,IF(INDEX(ERP資料!$G:$G, (MATCH(817, 輔助計算!$G$2:$G$801, 0)+1))&lt;=46.5,2,1)), IF(INDEX(ERP資料!$G:$G, (MATCH(817, 輔助計算!$G$2:$G$801, 0)+1))&lt;=790,3,IF(INDEX(ERP資料!$G:$G, (MATCH(817, 輔助計算!$G$2:$G$801, 0)+1))&lt;=1181,2,1))))=2,TEXT(INDEX(ERP資料!$G:$G, (MATCH(817, 輔助計算!$G$2:$G$801, 0)+1)),"0.##")&amp;"+"&amp;TEXT(INDEX(ERP資料!$G:$G, (MATCH(817, 輔助計算!$G$2:$G$801, 0)+1)),"0.##"),TEXT(INDEX(ERP資料!$G:$G, (MATCH(817, 輔助計算!$G$2:$G$801, 0)+1)),"0.##")&amp;"+"&amp;TEXT(INDEX(ERP資料!$G:$G, (MATCH(817, 輔助計算!$G$2:$G$801, 0)+1)),"0.##")&amp;"+"&amp;TEXT(INDEX(ERP資料!$G:$G, (MATCH(817, 輔助計算!$G$2:$G$801, 0)+1)),"0.##"))))&amp;"-1")), ""), "")</f>
        <v/>
      </c>
      <c r="K818" s="16" t="n"/>
      <c r="L818" s="14">
        <f>IFERROR(IF(AND(IFERROR(INDEX(ERP資料!$A:$A, (MATCH(817, 輔助計算!$G$2:$G$801, 0)+1)), "")&lt;&gt;"", IFERROR(INDEX(ERP資料!$A:$A, (MATCH(817, 輔助計算!$G$2:$G$801, 0)+1)), "")&lt;&gt;IFERROR(INDEX(ERP資料!$A:$A, MATCH(816, 輔助計算!$G$2:$G$801, 0)+1), "")), INDEX(ERP資料!$B:$B, (MATCH(817, 輔助計算!$G$2:$G$801, 0)+1)), ""), "")</f>
        <v/>
      </c>
      <c r="M818" s="17" t="n"/>
    </row>
    <row r="819">
      <c r="A819" s="10">
        <f>IFERROR(IF(AND(IFERROR(INDEX(ERP資料!$A:$A, (MATCH(818, 輔助計算!$G$2:$G$801, 0)+1)), "")&lt;&gt;"", IFERROR(INDEX(ERP資料!$A:$A, (MATCH(818, 輔助計算!$G$2:$G$801, 0)+1)), "")&lt;&gt;IFERROR(INDEX(ERP資料!$A:$A, MATCH(817, 輔助計算!$G$2:$G$801, 0)+1), "")), IFERROR(INDEX(ERP資料!$A:$A, (MATCH(818, 輔助計算!$G$2:$G$801, 0)+1)), ""), ""), "")</f>
        <v/>
      </c>
      <c r="B819" s="10">
        <f>IFERROR(IF(AND(IFERROR(INDEX(ERP資料!$A:$A, (MATCH(818, 輔助計算!$G$2:$G$801, 0)+1)), "")&lt;&gt;"", IFERROR(INDEX(ERP資料!$A:$A, (MATCH(818, 輔助計算!$G$2:$G$801, 0)+1)), "")&lt;&gt;IFERROR(INDEX(ERP資料!$A:$A, MATCH(817, 輔助計算!$G$2:$G$801, 0)+1), "")), INDEX(ERP資料!$S:$S, (MATCH(818, 輔助計算!$G$2:$G$801, 0)+1)), ""), "")</f>
        <v/>
      </c>
      <c r="C819" s="19">
        <f>IFERROR(IF(AND(IFERROR(INDEX(ERP資料!$A:$A, (MATCH(818, 輔助計算!$G$2:$G$801, 0)+1)), "")&lt;&gt;"", IFERROR(INDEX(ERP資料!$A:$A, (MATCH(818, 輔助計算!$G$2:$G$801, 0)+1)), "")&lt;&gt;IFERROR(INDEX(ERP資料!$A:$A, MATCH(817, 輔助計算!$G$2:$G$801, 0)+1), "")), IFERROR(VLOOKUP(LEFT(INDEX(ERP資料!$S:$S, (MATCH(818, 輔助計算!$G$2:$G$801, 0)+1)), 4), 紙管對照表!$A:$C, 3, FALSE), ""), ""), "")</f>
        <v/>
      </c>
      <c r="D819" s="16" t="n"/>
      <c r="E819" s="10">
        <f>IFERROR(IF(INDEX(ERP資料!$H:$H, (MATCH(818, 輔助計算!$G$2:$G$801, 0)+1))="","",INDEX(ERP資料!$H:$H, (MATCH(818, 輔助計算!$G$2:$G$801, 0)+1))), "")</f>
        <v/>
      </c>
      <c r="F819" s="10">
        <f>IFERROR(IF(INDEX(ERP資料!$E:$E, (MATCH(818, 輔助計算!$G$2:$G$801, 0)+1))="","",TRIM(INDEX(ERP資料!$E:$E, (MATCH(818, 輔助計算!$G$2:$G$801, 0)+1)))), "")</f>
        <v/>
      </c>
      <c r="G819" s="10">
        <f>IFERROR(IF(INDEX(ERP資料!$F:$F, (MATCH(818, 輔助計算!$G$2:$G$801, 0)+1))="","",INDEX(ERP資料!$F:$F, (MATCH(818, 輔助計算!$G$2:$G$801, 0)+1))), "")</f>
        <v/>
      </c>
      <c r="H819" s="10">
        <f>IFERROR(IF(INDEX(ERP資料!$G:$G, (MATCH(818, 輔助計算!$G$2:$G$801, 0)+1))="","",INDEX(ERP資料!$G:$G, (MATCH(818, 輔助計算!$G$2:$G$801, 0)+1))), "")</f>
        <v/>
      </c>
      <c r="I819" s="15">
        <f>IFERROR(INDEX(輔助計算!$D:$D, (MATCH(818, 輔助計算!$G$2:$G$801, 0)+1)), "")</f>
        <v/>
      </c>
      <c r="J819" s="15">
        <f>IFERROR(IF(AND(INDEX(輔助計算!$D:$D, (MATCH(818, 輔助計算!$G$2:$G$801, 0)+1))&lt;&gt;"", INDEX(ERP資料!$G:$G, (MATCH(818, 輔助計算!$G$2:$G$801, 0)+1))&lt;&gt;""), TRIM(IF(INT(INDEX(輔助計算!$D:$D, (MATCH(818, 輔助計算!$G$2:$G$801, 0)+1))/IF(INDEX(ERP資料!$G:$G, (MATCH(818, 輔助計算!$G$2:$G$801, 0)+1))&lt;100, IF(INDEX(ERP資料!$G:$G, (MATCH(818, 輔助計算!$G$2:$G$801, 0)+1))&lt;=31,3,IF(INDEX(ERP資料!$G:$G, (MATCH(818, 輔助計算!$G$2:$G$801, 0)+1))&lt;=46.5,2,1)), IF(INDEX(ERP資料!$G:$G, (MATCH(818, 輔助計算!$G$2:$G$801, 0)+1))&lt;=790,3,IF(INDEX(ERP資料!$G:$G, (MATCH(818, 輔助計算!$G$2:$G$801, 0)+1))&lt;=1181,2,1))))&gt;0, IF(IF(INDEX(ERP資料!$G:$G, (MATCH(818, 輔助計算!$G$2:$G$801, 0)+1))&lt;100, IF(INDEX(ERP資料!$G:$G, (MATCH(818, 輔助計算!$G$2:$G$801, 0)+1))&lt;=31,3,IF(INDEX(ERP資料!$G:$G, (MATCH(818, 輔助計算!$G$2:$G$801, 0)+1))&lt;=46.5,2,1)), IF(INDEX(ERP資料!$G:$G, (MATCH(818, 輔助計算!$G$2:$G$801, 0)+1))&lt;=790,3,IF(INDEX(ERP資料!$G:$G, (MATCH(818, 輔助計算!$G$2:$G$801, 0)+1))&lt;=1181,2,1)))=1,TEXT(INDEX(ERP資料!$G:$G, (MATCH(818, 輔助計算!$G$2:$G$801, 0)+1)),"0.##"),IF(IF(INDEX(ERP資料!$G:$G, (MATCH(818, 輔助計算!$G$2:$G$801, 0)+1))&lt;100, IF(INDEX(ERP資料!$G:$G, (MATCH(818, 輔助計算!$G$2:$G$801, 0)+1))&lt;=31,3,IF(INDEX(ERP資料!$G:$G, (MATCH(818, 輔助計算!$G$2:$G$801, 0)+1))&lt;=46.5,2,1)), IF(INDEX(ERP資料!$G:$G, (MATCH(818, 輔助計算!$G$2:$G$801, 0)+1))&lt;=790,3,IF(INDEX(ERP資料!$G:$G, (MATCH(818, 輔助計算!$G$2:$G$801, 0)+1))&lt;=1181,2,1)))=2,TEXT(INDEX(ERP資料!$G:$G, (MATCH(818, 輔助計算!$G$2:$G$801, 0)+1)),"0.##")&amp;"+"&amp;TEXT(INDEX(ERP資料!$G:$G, (MATCH(818, 輔助計算!$G$2:$G$801, 0)+1)),"0.##"),TEXT(INDEX(ERP資料!$G:$G, (MATCH(818, 輔助計算!$G$2:$G$801, 0)+1)),"0.##")&amp;"+"&amp;TEXT(INDEX(ERP資料!$G:$G, (MATCH(818, 輔助計算!$G$2:$G$801, 0)+1)),"0.##")&amp;"+"&amp;TEXT(INDEX(ERP資料!$G:$G, (MATCH(818, 輔助計算!$G$2:$G$801, 0)+1)),"0.##")))&amp;"-"&amp;INT(INDEX(輔助計算!$D:$D, (MATCH(818, 輔助計算!$G$2:$G$801, 0)+1))/IF(INDEX(ERP資料!$G:$G, (MATCH(818, 輔助計算!$G$2:$G$801, 0)+1))&lt;100, IF(INDEX(ERP資料!$G:$G, (MATCH(818, 輔助計算!$G$2:$G$801, 0)+1))&lt;=31,3,IF(INDEX(ERP資料!$G:$G, (MATCH(818, 輔助計算!$G$2:$G$801, 0)+1))&lt;=46.5,2,1)), IF(INDEX(ERP資料!$G:$G, (MATCH(818, 輔助計算!$G$2:$G$801, 0)+1))&lt;=790,3,IF(INDEX(ERP資料!$G:$G, (MATCH(818, 輔助計算!$G$2:$G$801, 0)+1))&lt;=1181,2,1)))), "")&amp;IF(AND(IF(INT(INDEX(輔助計算!$D:$D, (MATCH(818, 輔助計算!$G$2:$G$801, 0)+1))/IF(INDEX(ERP資料!$G:$G, (MATCH(818, 輔助計算!$G$2:$G$801, 0)+1))&lt;100, IF(INDEX(ERP資料!$G:$G, (MATCH(818, 輔助計算!$G$2:$G$801, 0)+1))&lt;=31,3,IF(INDEX(ERP資料!$G:$G, (MATCH(818, 輔助計算!$G$2:$G$801, 0)+1))&lt;=46.5,2,1)), IF(INDEX(ERP資料!$G:$G, (MATCH(818, 輔助計算!$G$2:$G$801, 0)+1))&lt;=790,3,IF(INDEX(ERP資料!$G:$G, (MATCH(818, 輔助計算!$G$2:$G$801, 0)+1))&lt;=1181,2,1))))&gt;0, IF(IF(INDEX(ERP資料!$G:$G, (MATCH(818, 輔助計算!$G$2:$G$801, 0)+1))&lt;100, IF(INDEX(ERP資料!$G:$G, (MATCH(818, 輔助計算!$G$2:$G$801, 0)+1))&lt;=31,3,IF(INDEX(ERP資料!$G:$G, (MATCH(818, 輔助計算!$G$2:$G$801, 0)+1))&lt;=46.5,2,1)), IF(INDEX(ERP資料!$G:$G, (MATCH(818, 輔助計算!$G$2:$G$801, 0)+1))&lt;=790,3,IF(INDEX(ERP資料!$G:$G, (MATCH(818, 輔助計算!$G$2:$G$801, 0)+1))&lt;=1181,2,1)))=1,TEXT(INDEX(ERP資料!$G:$G, (MATCH(818, 輔助計算!$G$2:$G$801, 0)+1)),"0.##"),IF(IF(INDEX(ERP資料!$G:$G, (MATCH(818, 輔助計算!$G$2:$G$801, 0)+1))&lt;100, IF(INDEX(ERP資料!$G:$G, (MATCH(818, 輔助計算!$G$2:$G$801, 0)+1))&lt;=31,3,IF(INDEX(ERP資料!$G:$G, (MATCH(818, 輔助計算!$G$2:$G$801, 0)+1))&lt;=46.5,2,1)), IF(INDEX(ERP資料!$G:$G, (MATCH(818, 輔助計算!$G$2:$G$801, 0)+1))&lt;=790,3,IF(INDEX(ERP資料!$G:$G, (MATCH(818, 輔助計算!$G$2:$G$801, 0)+1))&lt;=1181,2,1)))=2,TEXT(INDEX(ERP資料!$G:$G, (MATCH(818, 輔助計算!$G$2:$G$801, 0)+1)),"0.##")&amp;"+"&amp;TEXT(INDEX(ERP資料!$G:$G, (MATCH(818, 輔助計算!$G$2:$G$801, 0)+1)),"0.##"),TEXT(INDEX(ERP資料!$G:$G, (MATCH(818, 輔助計算!$G$2:$G$801, 0)+1)),"0.##")&amp;"+"&amp;TEXT(INDEX(ERP資料!$G:$G, (MATCH(818, 輔助計算!$G$2:$G$801, 0)+1)),"0.##")&amp;"+"&amp;TEXT(INDEX(ERP資料!$G:$G, (MATCH(818, 輔助計算!$G$2:$G$801, 0)+1)),"0.##")))&amp;"-"&amp;INT(INDEX(輔助計算!$D:$D, (MATCH(818, 輔助計算!$G$2:$G$801, 0)+1))/IF(INDEX(ERP資料!$G:$G, (MATCH(818, 輔助計算!$G$2:$G$801, 0)+1))&lt;100, IF(INDEX(ERP資料!$G:$G, (MATCH(818, 輔助計算!$G$2:$G$801, 0)+1))&lt;=31,3,IF(INDEX(ERP資料!$G:$G, (MATCH(818, 輔助計算!$G$2:$G$801, 0)+1))&lt;=46.5,2,1)), IF(INDEX(ERP資料!$G:$G, (MATCH(818, 輔助計算!$G$2:$G$801, 0)+1))&lt;=790,3,IF(INDEX(ERP資料!$G:$G, (MATCH(818, 輔助計算!$G$2:$G$801, 0)+1))&lt;=1181,2,1)))), "")&lt;&gt;"",IF(MOD(INDEX(輔助計算!$D:$D, (MATCH(818, 輔助計算!$G$2:$G$801, 0)+1)),IF(INDEX(ERP資料!$G:$G, (MATCH(818, 輔助計算!$G$2:$G$801, 0)+1))&lt;100, IF(INDEX(ERP資料!$G:$G, (MATCH(818, 輔助計算!$G$2:$G$801, 0)+1))&lt;=31,3,IF(INDEX(ERP資料!$G:$G, (MATCH(818, 輔助計算!$G$2:$G$801, 0)+1))&lt;=46.5,2,1)), IF(INDEX(ERP資料!$G:$G, (MATCH(818, 輔助計算!$G$2:$G$801, 0)+1))&lt;=790,3,IF(INDEX(ERP資料!$G:$G, (MATCH(818, 輔助計算!$G$2:$G$801, 0)+1))&lt;=1181,2,1))))=0,"",IF(MOD(INDEX(輔助計算!$D:$D, (MATCH(818, 輔助計算!$G$2:$G$801, 0)+1)),IF(INDEX(ERP資料!$G:$G, (MATCH(818, 輔助計算!$G$2:$G$801, 0)+1))&lt;100, IF(INDEX(ERP資料!$G:$G, (MATCH(818, 輔助計算!$G$2:$G$801, 0)+1))&lt;=31,3,IF(INDEX(ERP資料!$G:$G, (MATCH(818, 輔助計算!$G$2:$G$801, 0)+1))&lt;=46.5,2,1)), IF(INDEX(ERP資料!$G:$G, (MATCH(818, 輔助計算!$G$2:$G$801, 0)+1))&lt;=790,3,IF(INDEX(ERP資料!$G:$G, (MATCH(818, 輔助計算!$G$2:$G$801, 0)+1))&lt;=1181,2,1))))=0,"",IF(MOD(INDEX(輔助計算!$D:$D, (MATCH(818, 輔助計算!$G$2:$G$801, 0)+1)),IF(INDEX(ERP資料!$G:$G, (MATCH(818, 輔助計算!$G$2:$G$801, 0)+1))&lt;100, IF(INDEX(ERP資料!$G:$G, (MATCH(818, 輔助計算!$G$2:$G$801, 0)+1))&lt;=31,3,IF(INDEX(ERP資料!$G:$G, (MATCH(818, 輔助計算!$G$2:$G$801, 0)+1))&lt;=46.5,2,1)), IF(INDEX(ERP資料!$G:$G, (MATCH(818, 輔助計算!$G$2:$G$801, 0)+1))&lt;=790,3,IF(INDEX(ERP資料!$G:$G, (MATCH(818, 輔助計算!$G$2:$G$801, 0)+1))&lt;=1181,2,1))))=1,TEXT(INDEX(ERP資料!$G:$G, (MATCH(818, 輔助計算!$G$2:$G$801, 0)+1)),"0.##"),IF(MOD(INDEX(輔助計算!$D:$D, (MATCH(818, 輔助計算!$G$2:$G$801, 0)+1)),IF(INDEX(ERP資料!$G:$G, (MATCH(818, 輔助計算!$G$2:$G$801, 0)+1))&lt;100, IF(INDEX(ERP資料!$G:$G, (MATCH(818, 輔助計算!$G$2:$G$801, 0)+1))&lt;=31,3,IF(INDEX(ERP資料!$G:$G, (MATCH(818, 輔助計算!$G$2:$G$801, 0)+1))&lt;=46.5,2,1)), IF(INDEX(ERP資料!$G:$G, (MATCH(818, 輔助計算!$G$2:$G$801, 0)+1))&lt;=790,3,IF(INDEX(ERP資料!$G:$G, (MATCH(818, 輔助計算!$G$2:$G$801, 0)+1))&lt;=1181,2,1))))=2,TEXT(INDEX(ERP資料!$G:$G, (MATCH(818, 輔助計算!$G$2:$G$801, 0)+1)),"0.##")&amp;"+"&amp;TEXT(INDEX(ERP資料!$G:$G, (MATCH(818, 輔助計算!$G$2:$G$801, 0)+1)),"0.##"),TEXT(INDEX(ERP資料!$G:$G, (MATCH(818, 輔助計算!$G$2:$G$801, 0)+1)),"0.##")&amp;"+"&amp;TEXT(INDEX(ERP資料!$G:$G, (MATCH(818, 輔助計算!$G$2:$G$801, 0)+1)),"0.##")&amp;"+"&amp;TEXT(INDEX(ERP資料!$G:$G, (MATCH(818, 輔助計算!$G$2:$G$801, 0)+1)),"0.##"))))&amp;"-1")&lt;&gt;""),"  ","")&amp;IF(MOD(INDEX(輔助計算!$D:$D, (MATCH(818, 輔助計算!$G$2:$G$801, 0)+1)),IF(INDEX(ERP資料!$G:$G, (MATCH(818, 輔助計算!$G$2:$G$801, 0)+1))&lt;100, IF(INDEX(ERP資料!$G:$G, (MATCH(818, 輔助計算!$G$2:$G$801, 0)+1))&lt;=31,3,IF(INDEX(ERP資料!$G:$G, (MATCH(818, 輔助計算!$G$2:$G$801, 0)+1))&lt;=46.5,2,1)), IF(INDEX(ERP資料!$G:$G, (MATCH(818, 輔助計算!$G$2:$G$801, 0)+1))&lt;=790,3,IF(INDEX(ERP資料!$G:$G, (MATCH(818, 輔助計算!$G$2:$G$801, 0)+1))&lt;=1181,2,1))))=0,"",IF(MOD(INDEX(輔助計算!$D:$D, (MATCH(818, 輔助計算!$G$2:$G$801, 0)+1)),IF(INDEX(ERP資料!$G:$G, (MATCH(818, 輔助計算!$G$2:$G$801, 0)+1))&lt;100, IF(INDEX(ERP資料!$G:$G, (MATCH(818, 輔助計算!$G$2:$G$801, 0)+1))&lt;=31,3,IF(INDEX(ERP資料!$G:$G, (MATCH(818, 輔助計算!$G$2:$G$801, 0)+1))&lt;=46.5,2,1)), IF(INDEX(ERP資料!$G:$G, (MATCH(818, 輔助計算!$G$2:$G$801, 0)+1))&lt;=790,3,IF(INDEX(ERP資料!$G:$G, (MATCH(818, 輔助計算!$G$2:$G$801, 0)+1))&lt;=1181,2,1))))=0,"",IF(MOD(INDEX(輔助計算!$D:$D, (MATCH(818, 輔助計算!$G$2:$G$801, 0)+1)),IF(INDEX(ERP資料!$G:$G, (MATCH(818, 輔助計算!$G$2:$G$801, 0)+1))&lt;100, IF(INDEX(ERP資料!$G:$G, (MATCH(818, 輔助計算!$G$2:$G$801, 0)+1))&lt;=31,3,IF(INDEX(ERP資料!$G:$G, (MATCH(818, 輔助計算!$G$2:$G$801, 0)+1))&lt;=46.5,2,1)), IF(INDEX(ERP資料!$G:$G, (MATCH(818, 輔助計算!$G$2:$G$801, 0)+1))&lt;=790,3,IF(INDEX(ERP資料!$G:$G, (MATCH(818, 輔助計算!$G$2:$G$801, 0)+1))&lt;=1181,2,1))))=1,TEXT(INDEX(ERP資料!$G:$G, (MATCH(818, 輔助計算!$G$2:$G$801, 0)+1)),"0.##"),IF(MOD(INDEX(輔助計算!$D:$D, (MATCH(818, 輔助計算!$G$2:$G$801, 0)+1)),IF(INDEX(ERP資料!$G:$G, (MATCH(818, 輔助計算!$G$2:$G$801, 0)+1))&lt;100, IF(INDEX(ERP資料!$G:$G, (MATCH(818, 輔助計算!$G$2:$G$801, 0)+1))&lt;=31,3,IF(INDEX(ERP資料!$G:$G, (MATCH(818, 輔助計算!$G$2:$G$801, 0)+1))&lt;=46.5,2,1)), IF(INDEX(ERP資料!$G:$G, (MATCH(818, 輔助計算!$G$2:$G$801, 0)+1))&lt;=790,3,IF(INDEX(ERP資料!$G:$G, (MATCH(818, 輔助計算!$G$2:$G$801, 0)+1))&lt;=1181,2,1))))=2,TEXT(INDEX(ERP資料!$G:$G, (MATCH(818, 輔助計算!$G$2:$G$801, 0)+1)),"0.##")&amp;"+"&amp;TEXT(INDEX(ERP資料!$G:$G, (MATCH(818, 輔助計算!$G$2:$G$801, 0)+1)),"0.##"),TEXT(INDEX(ERP資料!$G:$G, (MATCH(818, 輔助計算!$G$2:$G$801, 0)+1)),"0.##")&amp;"+"&amp;TEXT(INDEX(ERP資料!$G:$G, (MATCH(818, 輔助計算!$G$2:$G$801, 0)+1)),"0.##")&amp;"+"&amp;TEXT(INDEX(ERP資料!$G:$G, (MATCH(818, 輔助計算!$G$2:$G$801, 0)+1)),"0.##"))))&amp;"-1")), ""), "")</f>
        <v/>
      </c>
      <c r="K819" s="16" t="n"/>
      <c r="L819" s="14">
        <f>IFERROR(IF(AND(IFERROR(INDEX(ERP資料!$A:$A, (MATCH(818, 輔助計算!$G$2:$G$801, 0)+1)), "")&lt;&gt;"", IFERROR(INDEX(ERP資料!$A:$A, (MATCH(818, 輔助計算!$G$2:$G$801, 0)+1)), "")&lt;&gt;IFERROR(INDEX(ERP資料!$A:$A, MATCH(817, 輔助計算!$G$2:$G$801, 0)+1), "")), INDEX(ERP資料!$B:$B, (MATCH(818, 輔助計算!$G$2:$G$801, 0)+1)), ""), "")</f>
        <v/>
      </c>
      <c r="M819" s="17" t="n"/>
    </row>
    <row r="820">
      <c r="A820" s="10">
        <f>IFERROR(IF(AND(IFERROR(INDEX(ERP資料!$A:$A, (MATCH(819, 輔助計算!$G$2:$G$801, 0)+1)), "")&lt;&gt;"", IFERROR(INDEX(ERP資料!$A:$A, (MATCH(819, 輔助計算!$G$2:$G$801, 0)+1)), "")&lt;&gt;IFERROR(INDEX(ERP資料!$A:$A, MATCH(818, 輔助計算!$G$2:$G$801, 0)+1), "")), IFERROR(INDEX(ERP資料!$A:$A, (MATCH(819, 輔助計算!$G$2:$G$801, 0)+1)), ""), ""), "")</f>
        <v/>
      </c>
      <c r="B820" s="10">
        <f>IFERROR(IF(AND(IFERROR(INDEX(ERP資料!$A:$A, (MATCH(819, 輔助計算!$G$2:$G$801, 0)+1)), "")&lt;&gt;"", IFERROR(INDEX(ERP資料!$A:$A, (MATCH(819, 輔助計算!$G$2:$G$801, 0)+1)), "")&lt;&gt;IFERROR(INDEX(ERP資料!$A:$A, MATCH(818, 輔助計算!$G$2:$G$801, 0)+1), "")), INDEX(ERP資料!$S:$S, (MATCH(819, 輔助計算!$G$2:$G$801, 0)+1)), ""), "")</f>
        <v/>
      </c>
      <c r="C820" s="19">
        <f>IFERROR(IF(AND(IFERROR(INDEX(ERP資料!$A:$A, (MATCH(819, 輔助計算!$G$2:$G$801, 0)+1)), "")&lt;&gt;"", IFERROR(INDEX(ERP資料!$A:$A, (MATCH(819, 輔助計算!$G$2:$G$801, 0)+1)), "")&lt;&gt;IFERROR(INDEX(ERP資料!$A:$A, MATCH(818, 輔助計算!$G$2:$G$801, 0)+1), "")), IFERROR(VLOOKUP(LEFT(INDEX(ERP資料!$S:$S, (MATCH(819, 輔助計算!$G$2:$G$801, 0)+1)), 4), 紙管對照表!$A:$C, 3, FALSE), ""), ""), "")</f>
        <v/>
      </c>
      <c r="D820" s="16" t="n"/>
      <c r="E820" s="10">
        <f>IFERROR(IF(INDEX(ERP資料!$H:$H, (MATCH(819, 輔助計算!$G$2:$G$801, 0)+1))="","",INDEX(ERP資料!$H:$H, (MATCH(819, 輔助計算!$G$2:$G$801, 0)+1))), "")</f>
        <v/>
      </c>
      <c r="F820" s="10">
        <f>IFERROR(IF(INDEX(ERP資料!$E:$E, (MATCH(819, 輔助計算!$G$2:$G$801, 0)+1))="","",TRIM(INDEX(ERP資料!$E:$E, (MATCH(819, 輔助計算!$G$2:$G$801, 0)+1)))), "")</f>
        <v/>
      </c>
      <c r="G820" s="10">
        <f>IFERROR(IF(INDEX(ERP資料!$F:$F, (MATCH(819, 輔助計算!$G$2:$G$801, 0)+1))="","",INDEX(ERP資料!$F:$F, (MATCH(819, 輔助計算!$G$2:$G$801, 0)+1))), "")</f>
        <v/>
      </c>
      <c r="H820" s="10">
        <f>IFERROR(IF(INDEX(ERP資料!$G:$G, (MATCH(819, 輔助計算!$G$2:$G$801, 0)+1))="","",INDEX(ERP資料!$G:$G, (MATCH(819, 輔助計算!$G$2:$G$801, 0)+1))), "")</f>
        <v/>
      </c>
      <c r="I820" s="15">
        <f>IFERROR(INDEX(輔助計算!$D:$D, (MATCH(819, 輔助計算!$G$2:$G$801, 0)+1)), "")</f>
        <v/>
      </c>
      <c r="J820" s="15">
        <f>IFERROR(IF(AND(INDEX(輔助計算!$D:$D, (MATCH(819, 輔助計算!$G$2:$G$801, 0)+1))&lt;&gt;"", INDEX(ERP資料!$G:$G, (MATCH(819, 輔助計算!$G$2:$G$801, 0)+1))&lt;&gt;""), TRIM(IF(INT(INDEX(輔助計算!$D:$D, (MATCH(819, 輔助計算!$G$2:$G$801, 0)+1))/IF(INDEX(ERP資料!$G:$G, (MATCH(819, 輔助計算!$G$2:$G$801, 0)+1))&lt;100, IF(INDEX(ERP資料!$G:$G, (MATCH(819, 輔助計算!$G$2:$G$801, 0)+1))&lt;=31,3,IF(INDEX(ERP資料!$G:$G, (MATCH(819, 輔助計算!$G$2:$G$801, 0)+1))&lt;=46.5,2,1)), IF(INDEX(ERP資料!$G:$G, (MATCH(819, 輔助計算!$G$2:$G$801, 0)+1))&lt;=790,3,IF(INDEX(ERP資料!$G:$G, (MATCH(819, 輔助計算!$G$2:$G$801, 0)+1))&lt;=1181,2,1))))&gt;0, IF(IF(INDEX(ERP資料!$G:$G, (MATCH(819, 輔助計算!$G$2:$G$801, 0)+1))&lt;100, IF(INDEX(ERP資料!$G:$G, (MATCH(819, 輔助計算!$G$2:$G$801, 0)+1))&lt;=31,3,IF(INDEX(ERP資料!$G:$G, (MATCH(819, 輔助計算!$G$2:$G$801, 0)+1))&lt;=46.5,2,1)), IF(INDEX(ERP資料!$G:$G, (MATCH(819, 輔助計算!$G$2:$G$801, 0)+1))&lt;=790,3,IF(INDEX(ERP資料!$G:$G, (MATCH(819, 輔助計算!$G$2:$G$801, 0)+1))&lt;=1181,2,1)))=1,TEXT(INDEX(ERP資料!$G:$G, (MATCH(819, 輔助計算!$G$2:$G$801, 0)+1)),"0.##"),IF(IF(INDEX(ERP資料!$G:$G, (MATCH(819, 輔助計算!$G$2:$G$801, 0)+1))&lt;100, IF(INDEX(ERP資料!$G:$G, (MATCH(819, 輔助計算!$G$2:$G$801, 0)+1))&lt;=31,3,IF(INDEX(ERP資料!$G:$G, (MATCH(819, 輔助計算!$G$2:$G$801, 0)+1))&lt;=46.5,2,1)), IF(INDEX(ERP資料!$G:$G, (MATCH(819, 輔助計算!$G$2:$G$801, 0)+1))&lt;=790,3,IF(INDEX(ERP資料!$G:$G, (MATCH(819, 輔助計算!$G$2:$G$801, 0)+1))&lt;=1181,2,1)))=2,TEXT(INDEX(ERP資料!$G:$G, (MATCH(819, 輔助計算!$G$2:$G$801, 0)+1)),"0.##")&amp;"+"&amp;TEXT(INDEX(ERP資料!$G:$G, (MATCH(819, 輔助計算!$G$2:$G$801, 0)+1)),"0.##"),TEXT(INDEX(ERP資料!$G:$G, (MATCH(819, 輔助計算!$G$2:$G$801, 0)+1)),"0.##")&amp;"+"&amp;TEXT(INDEX(ERP資料!$G:$G, (MATCH(819, 輔助計算!$G$2:$G$801, 0)+1)),"0.##")&amp;"+"&amp;TEXT(INDEX(ERP資料!$G:$G, (MATCH(819, 輔助計算!$G$2:$G$801, 0)+1)),"0.##")))&amp;"-"&amp;INT(INDEX(輔助計算!$D:$D, (MATCH(819, 輔助計算!$G$2:$G$801, 0)+1))/IF(INDEX(ERP資料!$G:$G, (MATCH(819, 輔助計算!$G$2:$G$801, 0)+1))&lt;100, IF(INDEX(ERP資料!$G:$G, (MATCH(819, 輔助計算!$G$2:$G$801, 0)+1))&lt;=31,3,IF(INDEX(ERP資料!$G:$G, (MATCH(819, 輔助計算!$G$2:$G$801, 0)+1))&lt;=46.5,2,1)), IF(INDEX(ERP資料!$G:$G, (MATCH(819, 輔助計算!$G$2:$G$801, 0)+1))&lt;=790,3,IF(INDEX(ERP資料!$G:$G, (MATCH(819, 輔助計算!$G$2:$G$801, 0)+1))&lt;=1181,2,1)))), "")&amp;IF(AND(IF(INT(INDEX(輔助計算!$D:$D, (MATCH(819, 輔助計算!$G$2:$G$801, 0)+1))/IF(INDEX(ERP資料!$G:$G, (MATCH(819, 輔助計算!$G$2:$G$801, 0)+1))&lt;100, IF(INDEX(ERP資料!$G:$G, (MATCH(819, 輔助計算!$G$2:$G$801, 0)+1))&lt;=31,3,IF(INDEX(ERP資料!$G:$G, (MATCH(819, 輔助計算!$G$2:$G$801, 0)+1))&lt;=46.5,2,1)), IF(INDEX(ERP資料!$G:$G, (MATCH(819, 輔助計算!$G$2:$G$801, 0)+1))&lt;=790,3,IF(INDEX(ERP資料!$G:$G, (MATCH(819, 輔助計算!$G$2:$G$801, 0)+1))&lt;=1181,2,1))))&gt;0, IF(IF(INDEX(ERP資料!$G:$G, (MATCH(819, 輔助計算!$G$2:$G$801, 0)+1))&lt;100, IF(INDEX(ERP資料!$G:$G, (MATCH(819, 輔助計算!$G$2:$G$801, 0)+1))&lt;=31,3,IF(INDEX(ERP資料!$G:$G, (MATCH(819, 輔助計算!$G$2:$G$801, 0)+1))&lt;=46.5,2,1)), IF(INDEX(ERP資料!$G:$G, (MATCH(819, 輔助計算!$G$2:$G$801, 0)+1))&lt;=790,3,IF(INDEX(ERP資料!$G:$G, (MATCH(819, 輔助計算!$G$2:$G$801, 0)+1))&lt;=1181,2,1)))=1,TEXT(INDEX(ERP資料!$G:$G, (MATCH(819, 輔助計算!$G$2:$G$801, 0)+1)),"0.##"),IF(IF(INDEX(ERP資料!$G:$G, (MATCH(819, 輔助計算!$G$2:$G$801, 0)+1))&lt;100, IF(INDEX(ERP資料!$G:$G, (MATCH(819, 輔助計算!$G$2:$G$801, 0)+1))&lt;=31,3,IF(INDEX(ERP資料!$G:$G, (MATCH(819, 輔助計算!$G$2:$G$801, 0)+1))&lt;=46.5,2,1)), IF(INDEX(ERP資料!$G:$G, (MATCH(819, 輔助計算!$G$2:$G$801, 0)+1))&lt;=790,3,IF(INDEX(ERP資料!$G:$G, (MATCH(819, 輔助計算!$G$2:$G$801, 0)+1))&lt;=1181,2,1)))=2,TEXT(INDEX(ERP資料!$G:$G, (MATCH(819, 輔助計算!$G$2:$G$801, 0)+1)),"0.##")&amp;"+"&amp;TEXT(INDEX(ERP資料!$G:$G, (MATCH(819, 輔助計算!$G$2:$G$801, 0)+1)),"0.##"),TEXT(INDEX(ERP資料!$G:$G, (MATCH(819, 輔助計算!$G$2:$G$801, 0)+1)),"0.##")&amp;"+"&amp;TEXT(INDEX(ERP資料!$G:$G, (MATCH(819, 輔助計算!$G$2:$G$801, 0)+1)),"0.##")&amp;"+"&amp;TEXT(INDEX(ERP資料!$G:$G, (MATCH(819, 輔助計算!$G$2:$G$801, 0)+1)),"0.##")))&amp;"-"&amp;INT(INDEX(輔助計算!$D:$D, (MATCH(819, 輔助計算!$G$2:$G$801, 0)+1))/IF(INDEX(ERP資料!$G:$G, (MATCH(819, 輔助計算!$G$2:$G$801, 0)+1))&lt;100, IF(INDEX(ERP資料!$G:$G, (MATCH(819, 輔助計算!$G$2:$G$801, 0)+1))&lt;=31,3,IF(INDEX(ERP資料!$G:$G, (MATCH(819, 輔助計算!$G$2:$G$801, 0)+1))&lt;=46.5,2,1)), IF(INDEX(ERP資料!$G:$G, (MATCH(819, 輔助計算!$G$2:$G$801, 0)+1))&lt;=790,3,IF(INDEX(ERP資料!$G:$G, (MATCH(819, 輔助計算!$G$2:$G$801, 0)+1))&lt;=1181,2,1)))), "")&lt;&gt;"",IF(MOD(INDEX(輔助計算!$D:$D, (MATCH(819, 輔助計算!$G$2:$G$801, 0)+1)),IF(INDEX(ERP資料!$G:$G, (MATCH(819, 輔助計算!$G$2:$G$801, 0)+1))&lt;100, IF(INDEX(ERP資料!$G:$G, (MATCH(819, 輔助計算!$G$2:$G$801, 0)+1))&lt;=31,3,IF(INDEX(ERP資料!$G:$G, (MATCH(819, 輔助計算!$G$2:$G$801, 0)+1))&lt;=46.5,2,1)), IF(INDEX(ERP資料!$G:$G, (MATCH(819, 輔助計算!$G$2:$G$801, 0)+1))&lt;=790,3,IF(INDEX(ERP資料!$G:$G, (MATCH(819, 輔助計算!$G$2:$G$801, 0)+1))&lt;=1181,2,1))))=0,"",IF(MOD(INDEX(輔助計算!$D:$D, (MATCH(819, 輔助計算!$G$2:$G$801, 0)+1)),IF(INDEX(ERP資料!$G:$G, (MATCH(819, 輔助計算!$G$2:$G$801, 0)+1))&lt;100, IF(INDEX(ERP資料!$G:$G, (MATCH(819, 輔助計算!$G$2:$G$801, 0)+1))&lt;=31,3,IF(INDEX(ERP資料!$G:$G, (MATCH(819, 輔助計算!$G$2:$G$801, 0)+1))&lt;=46.5,2,1)), IF(INDEX(ERP資料!$G:$G, (MATCH(819, 輔助計算!$G$2:$G$801, 0)+1))&lt;=790,3,IF(INDEX(ERP資料!$G:$G, (MATCH(819, 輔助計算!$G$2:$G$801, 0)+1))&lt;=1181,2,1))))=0,"",IF(MOD(INDEX(輔助計算!$D:$D, (MATCH(819, 輔助計算!$G$2:$G$801, 0)+1)),IF(INDEX(ERP資料!$G:$G, (MATCH(819, 輔助計算!$G$2:$G$801, 0)+1))&lt;100, IF(INDEX(ERP資料!$G:$G, (MATCH(819, 輔助計算!$G$2:$G$801, 0)+1))&lt;=31,3,IF(INDEX(ERP資料!$G:$G, (MATCH(819, 輔助計算!$G$2:$G$801, 0)+1))&lt;=46.5,2,1)), IF(INDEX(ERP資料!$G:$G, (MATCH(819, 輔助計算!$G$2:$G$801, 0)+1))&lt;=790,3,IF(INDEX(ERP資料!$G:$G, (MATCH(819, 輔助計算!$G$2:$G$801, 0)+1))&lt;=1181,2,1))))=1,TEXT(INDEX(ERP資料!$G:$G, (MATCH(819, 輔助計算!$G$2:$G$801, 0)+1)),"0.##"),IF(MOD(INDEX(輔助計算!$D:$D, (MATCH(819, 輔助計算!$G$2:$G$801, 0)+1)),IF(INDEX(ERP資料!$G:$G, (MATCH(819, 輔助計算!$G$2:$G$801, 0)+1))&lt;100, IF(INDEX(ERP資料!$G:$G, (MATCH(819, 輔助計算!$G$2:$G$801, 0)+1))&lt;=31,3,IF(INDEX(ERP資料!$G:$G, (MATCH(819, 輔助計算!$G$2:$G$801, 0)+1))&lt;=46.5,2,1)), IF(INDEX(ERP資料!$G:$G, (MATCH(819, 輔助計算!$G$2:$G$801, 0)+1))&lt;=790,3,IF(INDEX(ERP資料!$G:$G, (MATCH(819, 輔助計算!$G$2:$G$801, 0)+1))&lt;=1181,2,1))))=2,TEXT(INDEX(ERP資料!$G:$G, (MATCH(819, 輔助計算!$G$2:$G$801, 0)+1)),"0.##")&amp;"+"&amp;TEXT(INDEX(ERP資料!$G:$G, (MATCH(819, 輔助計算!$G$2:$G$801, 0)+1)),"0.##"),TEXT(INDEX(ERP資料!$G:$G, (MATCH(819, 輔助計算!$G$2:$G$801, 0)+1)),"0.##")&amp;"+"&amp;TEXT(INDEX(ERP資料!$G:$G, (MATCH(819, 輔助計算!$G$2:$G$801, 0)+1)),"0.##")&amp;"+"&amp;TEXT(INDEX(ERP資料!$G:$G, (MATCH(819, 輔助計算!$G$2:$G$801, 0)+1)),"0.##"))))&amp;"-1")&lt;&gt;""),"  ","")&amp;IF(MOD(INDEX(輔助計算!$D:$D, (MATCH(819, 輔助計算!$G$2:$G$801, 0)+1)),IF(INDEX(ERP資料!$G:$G, (MATCH(819, 輔助計算!$G$2:$G$801, 0)+1))&lt;100, IF(INDEX(ERP資料!$G:$G, (MATCH(819, 輔助計算!$G$2:$G$801, 0)+1))&lt;=31,3,IF(INDEX(ERP資料!$G:$G, (MATCH(819, 輔助計算!$G$2:$G$801, 0)+1))&lt;=46.5,2,1)), IF(INDEX(ERP資料!$G:$G, (MATCH(819, 輔助計算!$G$2:$G$801, 0)+1))&lt;=790,3,IF(INDEX(ERP資料!$G:$G, (MATCH(819, 輔助計算!$G$2:$G$801, 0)+1))&lt;=1181,2,1))))=0,"",IF(MOD(INDEX(輔助計算!$D:$D, (MATCH(819, 輔助計算!$G$2:$G$801, 0)+1)),IF(INDEX(ERP資料!$G:$G, (MATCH(819, 輔助計算!$G$2:$G$801, 0)+1))&lt;100, IF(INDEX(ERP資料!$G:$G, (MATCH(819, 輔助計算!$G$2:$G$801, 0)+1))&lt;=31,3,IF(INDEX(ERP資料!$G:$G, (MATCH(819, 輔助計算!$G$2:$G$801, 0)+1))&lt;=46.5,2,1)), IF(INDEX(ERP資料!$G:$G, (MATCH(819, 輔助計算!$G$2:$G$801, 0)+1))&lt;=790,3,IF(INDEX(ERP資料!$G:$G, (MATCH(819, 輔助計算!$G$2:$G$801, 0)+1))&lt;=1181,2,1))))=0,"",IF(MOD(INDEX(輔助計算!$D:$D, (MATCH(819, 輔助計算!$G$2:$G$801, 0)+1)),IF(INDEX(ERP資料!$G:$G, (MATCH(819, 輔助計算!$G$2:$G$801, 0)+1))&lt;100, IF(INDEX(ERP資料!$G:$G, (MATCH(819, 輔助計算!$G$2:$G$801, 0)+1))&lt;=31,3,IF(INDEX(ERP資料!$G:$G, (MATCH(819, 輔助計算!$G$2:$G$801, 0)+1))&lt;=46.5,2,1)), IF(INDEX(ERP資料!$G:$G, (MATCH(819, 輔助計算!$G$2:$G$801, 0)+1))&lt;=790,3,IF(INDEX(ERP資料!$G:$G, (MATCH(819, 輔助計算!$G$2:$G$801, 0)+1))&lt;=1181,2,1))))=1,TEXT(INDEX(ERP資料!$G:$G, (MATCH(819, 輔助計算!$G$2:$G$801, 0)+1)),"0.##"),IF(MOD(INDEX(輔助計算!$D:$D, (MATCH(819, 輔助計算!$G$2:$G$801, 0)+1)),IF(INDEX(ERP資料!$G:$G, (MATCH(819, 輔助計算!$G$2:$G$801, 0)+1))&lt;100, IF(INDEX(ERP資料!$G:$G, (MATCH(819, 輔助計算!$G$2:$G$801, 0)+1))&lt;=31,3,IF(INDEX(ERP資料!$G:$G, (MATCH(819, 輔助計算!$G$2:$G$801, 0)+1))&lt;=46.5,2,1)), IF(INDEX(ERP資料!$G:$G, (MATCH(819, 輔助計算!$G$2:$G$801, 0)+1))&lt;=790,3,IF(INDEX(ERP資料!$G:$G, (MATCH(819, 輔助計算!$G$2:$G$801, 0)+1))&lt;=1181,2,1))))=2,TEXT(INDEX(ERP資料!$G:$G, (MATCH(819, 輔助計算!$G$2:$G$801, 0)+1)),"0.##")&amp;"+"&amp;TEXT(INDEX(ERP資料!$G:$G, (MATCH(819, 輔助計算!$G$2:$G$801, 0)+1)),"0.##"),TEXT(INDEX(ERP資料!$G:$G, (MATCH(819, 輔助計算!$G$2:$G$801, 0)+1)),"0.##")&amp;"+"&amp;TEXT(INDEX(ERP資料!$G:$G, (MATCH(819, 輔助計算!$G$2:$G$801, 0)+1)),"0.##")&amp;"+"&amp;TEXT(INDEX(ERP資料!$G:$G, (MATCH(819, 輔助計算!$G$2:$G$801, 0)+1)),"0.##"))))&amp;"-1")), ""), "")</f>
        <v/>
      </c>
      <c r="K820" s="16" t="n"/>
      <c r="L820" s="14">
        <f>IFERROR(IF(AND(IFERROR(INDEX(ERP資料!$A:$A, (MATCH(819, 輔助計算!$G$2:$G$801, 0)+1)), "")&lt;&gt;"", IFERROR(INDEX(ERP資料!$A:$A, (MATCH(819, 輔助計算!$G$2:$G$801, 0)+1)), "")&lt;&gt;IFERROR(INDEX(ERP資料!$A:$A, MATCH(818, 輔助計算!$G$2:$G$801, 0)+1), "")), INDEX(ERP資料!$B:$B, (MATCH(819, 輔助計算!$G$2:$G$801, 0)+1)), ""), "")</f>
        <v/>
      </c>
      <c r="M820" s="17" t="n"/>
    </row>
    <row r="821">
      <c r="A821" s="10">
        <f>IFERROR(IF(AND(IFERROR(INDEX(ERP資料!$A:$A, (MATCH(820, 輔助計算!$G$2:$G$801, 0)+1)), "")&lt;&gt;"", IFERROR(INDEX(ERP資料!$A:$A, (MATCH(820, 輔助計算!$G$2:$G$801, 0)+1)), "")&lt;&gt;IFERROR(INDEX(ERP資料!$A:$A, MATCH(819, 輔助計算!$G$2:$G$801, 0)+1), "")), IFERROR(INDEX(ERP資料!$A:$A, (MATCH(820, 輔助計算!$G$2:$G$801, 0)+1)), ""), ""), "")</f>
        <v/>
      </c>
      <c r="B821" s="10">
        <f>IFERROR(IF(AND(IFERROR(INDEX(ERP資料!$A:$A, (MATCH(820, 輔助計算!$G$2:$G$801, 0)+1)), "")&lt;&gt;"", IFERROR(INDEX(ERP資料!$A:$A, (MATCH(820, 輔助計算!$G$2:$G$801, 0)+1)), "")&lt;&gt;IFERROR(INDEX(ERP資料!$A:$A, MATCH(819, 輔助計算!$G$2:$G$801, 0)+1), "")), INDEX(ERP資料!$S:$S, (MATCH(820, 輔助計算!$G$2:$G$801, 0)+1)), ""), "")</f>
        <v/>
      </c>
      <c r="C821" s="19">
        <f>IFERROR(IF(AND(IFERROR(INDEX(ERP資料!$A:$A, (MATCH(820, 輔助計算!$G$2:$G$801, 0)+1)), "")&lt;&gt;"", IFERROR(INDEX(ERP資料!$A:$A, (MATCH(820, 輔助計算!$G$2:$G$801, 0)+1)), "")&lt;&gt;IFERROR(INDEX(ERP資料!$A:$A, MATCH(819, 輔助計算!$G$2:$G$801, 0)+1), "")), IFERROR(VLOOKUP(LEFT(INDEX(ERP資料!$S:$S, (MATCH(820, 輔助計算!$G$2:$G$801, 0)+1)), 4), 紙管對照表!$A:$C, 3, FALSE), ""), ""), "")</f>
        <v/>
      </c>
      <c r="D821" s="16" t="n"/>
      <c r="E821" s="10">
        <f>IFERROR(IF(INDEX(ERP資料!$H:$H, (MATCH(820, 輔助計算!$G$2:$G$801, 0)+1))="","",INDEX(ERP資料!$H:$H, (MATCH(820, 輔助計算!$G$2:$G$801, 0)+1))), "")</f>
        <v/>
      </c>
      <c r="F821" s="10">
        <f>IFERROR(IF(INDEX(ERP資料!$E:$E, (MATCH(820, 輔助計算!$G$2:$G$801, 0)+1))="","",TRIM(INDEX(ERP資料!$E:$E, (MATCH(820, 輔助計算!$G$2:$G$801, 0)+1)))), "")</f>
        <v/>
      </c>
      <c r="G821" s="10">
        <f>IFERROR(IF(INDEX(ERP資料!$F:$F, (MATCH(820, 輔助計算!$G$2:$G$801, 0)+1))="","",INDEX(ERP資料!$F:$F, (MATCH(820, 輔助計算!$G$2:$G$801, 0)+1))), "")</f>
        <v/>
      </c>
      <c r="H821" s="10">
        <f>IFERROR(IF(INDEX(ERP資料!$G:$G, (MATCH(820, 輔助計算!$G$2:$G$801, 0)+1))="","",INDEX(ERP資料!$G:$G, (MATCH(820, 輔助計算!$G$2:$G$801, 0)+1))), "")</f>
        <v/>
      </c>
      <c r="I821" s="15">
        <f>IFERROR(INDEX(輔助計算!$D:$D, (MATCH(820, 輔助計算!$G$2:$G$801, 0)+1)), "")</f>
        <v/>
      </c>
      <c r="J821" s="15">
        <f>IFERROR(IF(AND(INDEX(輔助計算!$D:$D, (MATCH(820, 輔助計算!$G$2:$G$801, 0)+1))&lt;&gt;"", INDEX(ERP資料!$G:$G, (MATCH(820, 輔助計算!$G$2:$G$801, 0)+1))&lt;&gt;""), TRIM(IF(INT(INDEX(輔助計算!$D:$D, (MATCH(820, 輔助計算!$G$2:$G$801, 0)+1))/IF(INDEX(ERP資料!$G:$G, (MATCH(820, 輔助計算!$G$2:$G$801, 0)+1))&lt;100, IF(INDEX(ERP資料!$G:$G, (MATCH(820, 輔助計算!$G$2:$G$801, 0)+1))&lt;=31,3,IF(INDEX(ERP資料!$G:$G, (MATCH(820, 輔助計算!$G$2:$G$801, 0)+1))&lt;=46.5,2,1)), IF(INDEX(ERP資料!$G:$G, (MATCH(820, 輔助計算!$G$2:$G$801, 0)+1))&lt;=790,3,IF(INDEX(ERP資料!$G:$G, (MATCH(820, 輔助計算!$G$2:$G$801, 0)+1))&lt;=1181,2,1))))&gt;0, IF(IF(INDEX(ERP資料!$G:$G, (MATCH(820, 輔助計算!$G$2:$G$801, 0)+1))&lt;100, IF(INDEX(ERP資料!$G:$G, (MATCH(820, 輔助計算!$G$2:$G$801, 0)+1))&lt;=31,3,IF(INDEX(ERP資料!$G:$G, (MATCH(820, 輔助計算!$G$2:$G$801, 0)+1))&lt;=46.5,2,1)), IF(INDEX(ERP資料!$G:$G, (MATCH(820, 輔助計算!$G$2:$G$801, 0)+1))&lt;=790,3,IF(INDEX(ERP資料!$G:$G, (MATCH(820, 輔助計算!$G$2:$G$801, 0)+1))&lt;=1181,2,1)))=1,TEXT(INDEX(ERP資料!$G:$G, (MATCH(820, 輔助計算!$G$2:$G$801, 0)+1)),"0.##"),IF(IF(INDEX(ERP資料!$G:$G, (MATCH(820, 輔助計算!$G$2:$G$801, 0)+1))&lt;100, IF(INDEX(ERP資料!$G:$G, (MATCH(820, 輔助計算!$G$2:$G$801, 0)+1))&lt;=31,3,IF(INDEX(ERP資料!$G:$G, (MATCH(820, 輔助計算!$G$2:$G$801, 0)+1))&lt;=46.5,2,1)), IF(INDEX(ERP資料!$G:$G, (MATCH(820, 輔助計算!$G$2:$G$801, 0)+1))&lt;=790,3,IF(INDEX(ERP資料!$G:$G, (MATCH(820, 輔助計算!$G$2:$G$801, 0)+1))&lt;=1181,2,1)))=2,TEXT(INDEX(ERP資料!$G:$G, (MATCH(820, 輔助計算!$G$2:$G$801, 0)+1)),"0.##")&amp;"+"&amp;TEXT(INDEX(ERP資料!$G:$G, (MATCH(820, 輔助計算!$G$2:$G$801, 0)+1)),"0.##"),TEXT(INDEX(ERP資料!$G:$G, (MATCH(820, 輔助計算!$G$2:$G$801, 0)+1)),"0.##")&amp;"+"&amp;TEXT(INDEX(ERP資料!$G:$G, (MATCH(820, 輔助計算!$G$2:$G$801, 0)+1)),"0.##")&amp;"+"&amp;TEXT(INDEX(ERP資料!$G:$G, (MATCH(820, 輔助計算!$G$2:$G$801, 0)+1)),"0.##")))&amp;"-"&amp;INT(INDEX(輔助計算!$D:$D, (MATCH(820, 輔助計算!$G$2:$G$801, 0)+1))/IF(INDEX(ERP資料!$G:$G, (MATCH(820, 輔助計算!$G$2:$G$801, 0)+1))&lt;100, IF(INDEX(ERP資料!$G:$G, (MATCH(820, 輔助計算!$G$2:$G$801, 0)+1))&lt;=31,3,IF(INDEX(ERP資料!$G:$G, (MATCH(820, 輔助計算!$G$2:$G$801, 0)+1))&lt;=46.5,2,1)), IF(INDEX(ERP資料!$G:$G, (MATCH(820, 輔助計算!$G$2:$G$801, 0)+1))&lt;=790,3,IF(INDEX(ERP資料!$G:$G, (MATCH(820, 輔助計算!$G$2:$G$801, 0)+1))&lt;=1181,2,1)))), "")&amp;IF(AND(IF(INT(INDEX(輔助計算!$D:$D, (MATCH(820, 輔助計算!$G$2:$G$801, 0)+1))/IF(INDEX(ERP資料!$G:$G, (MATCH(820, 輔助計算!$G$2:$G$801, 0)+1))&lt;100, IF(INDEX(ERP資料!$G:$G, (MATCH(820, 輔助計算!$G$2:$G$801, 0)+1))&lt;=31,3,IF(INDEX(ERP資料!$G:$G, (MATCH(820, 輔助計算!$G$2:$G$801, 0)+1))&lt;=46.5,2,1)), IF(INDEX(ERP資料!$G:$G, (MATCH(820, 輔助計算!$G$2:$G$801, 0)+1))&lt;=790,3,IF(INDEX(ERP資料!$G:$G, (MATCH(820, 輔助計算!$G$2:$G$801, 0)+1))&lt;=1181,2,1))))&gt;0, IF(IF(INDEX(ERP資料!$G:$G, (MATCH(820, 輔助計算!$G$2:$G$801, 0)+1))&lt;100, IF(INDEX(ERP資料!$G:$G, (MATCH(820, 輔助計算!$G$2:$G$801, 0)+1))&lt;=31,3,IF(INDEX(ERP資料!$G:$G, (MATCH(820, 輔助計算!$G$2:$G$801, 0)+1))&lt;=46.5,2,1)), IF(INDEX(ERP資料!$G:$G, (MATCH(820, 輔助計算!$G$2:$G$801, 0)+1))&lt;=790,3,IF(INDEX(ERP資料!$G:$G, (MATCH(820, 輔助計算!$G$2:$G$801, 0)+1))&lt;=1181,2,1)))=1,TEXT(INDEX(ERP資料!$G:$G, (MATCH(820, 輔助計算!$G$2:$G$801, 0)+1)),"0.##"),IF(IF(INDEX(ERP資料!$G:$G, (MATCH(820, 輔助計算!$G$2:$G$801, 0)+1))&lt;100, IF(INDEX(ERP資料!$G:$G, (MATCH(820, 輔助計算!$G$2:$G$801, 0)+1))&lt;=31,3,IF(INDEX(ERP資料!$G:$G, (MATCH(820, 輔助計算!$G$2:$G$801, 0)+1))&lt;=46.5,2,1)), IF(INDEX(ERP資料!$G:$G, (MATCH(820, 輔助計算!$G$2:$G$801, 0)+1))&lt;=790,3,IF(INDEX(ERP資料!$G:$G, (MATCH(820, 輔助計算!$G$2:$G$801, 0)+1))&lt;=1181,2,1)))=2,TEXT(INDEX(ERP資料!$G:$G, (MATCH(820, 輔助計算!$G$2:$G$801, 0)+1)),"0.##")&amp;"+"&amp;TEXT(INDEX(ERP資料!$G:$G, (MATCH(820, 輔助計算!$G$2:$G$801, 0)+1)),"0.##"),TEXT(INDEX(ERP資料!$G:$G, (MATCH(820, 輔助計算!$G$2:$G$801, 0)+1)),"0.##")&amp;"+"&amp;TEXT(INDEX(ERP資料!$G:$G, (MATCH(820, 輔助計算!$G$2:$G$801, 0)+1)),"0.##")&amp;"+"&amp;TEXT(INDEX(ERP資料!$G:$G, (MATCH(820, 輔助計算!$G$2:$G$801, 0)+1)),"0.##")))&amp;"-"&amp;INT(INDEX(輔助計算!$D:$D, (MATCH(820, 輔助計算!$G$2:$G$801, 0)+1))/IF(INDEX(ERP資料!$G:$G, (MATCH(820, 輔助計算!$G$2:$G$801, 0)+1))&lt;100, IF(INDEX(ERP資料!$G:$G, (MATCH(820, 輔助計算!$G$2:$G$801, 0)+1))&lt;=31,3,IF(INDEX(ERP資料!$G:$G, (MATCH(820, 輔助計算!$G$2:$G$801, 0)+1))&lt;=46.5,2,1)), IF(INDEX(ERP資料!$G:$G, (MATCH(820, 輔助計算!$G$2:$G$801, 0)+1))&lt;=790,3,IF(INDEX(ERP資料!$G:$G, (MATCH(820, 輔助計算!$G$2:$G$801, 0)+1))&lt;=1181,2,1)))), "")&lt;&gt;"",IF(MOD(INDEX(輔助計算!$D:$D, (MATCH(820, 輔助計算!$G$2:$G$801, 0)+1)),IF(INDEX(ERP資料!$G:$G, (MATCH(820, 輔助計算!$G$2:$G$801, 0)+1))&lt;100, IF(INDEX(ERP資料!$G:$G, (MATCH(820, 輔助計算!$G$2:$G$801, 0)+1))&lt;=31,3,IF(INDEX(ERP資料!$G:$G, (MATCH(820, 輔助計算!$G$2:$G$801, 0)+1))&lt;=46.5,2,1)), IF(INDEX(ERP資料!$G:$G, (MATCH(820, 輔助計算!$G$2:$G$801, 0)+1))&lt;=790,3,IF(INDEX(ERP資料!$G:$G, (MATCH(820, 輔助計算!$G$2:$G$801, 0)+1))&lt;=1181,2,1))))=0,"",IF(MOD(INDEX(輔助計算!$D:$D, (MATCH(820, 輔助計算!$G$2:$G$801, 0)+1)),IF(INDEX(ERP資料!$G:$G, (MATCH(820, 輔助計算!$G$2:$G$801, 0)+1))&lt;100, IF(INDEX(ERP資料!$G:$G, (MATCH(820, 輔助計算!$G$2:$G$801, 0)+1))&lt;=31,3,IF(INDEX(ERP資料!$G:$G, (MATCH(820, 輔助計算!$G$2:$G$801, 0)+1))&lt;=46.5,2,1)), IF(INDEX(ERP資料!$G:$G, (MATCH(820, 輔助計算!$G$2:$G$801, 0)+1))&lt;=790,3,IF(INDEX(ERP資料!$G:$G, (MATCH(820, 輔助計算!$G$2:$G$801, 0)+1))&lt;=1181,2,1))))=0,"",IF(MOD(INDEX(輔助計算!$D:$D, (MATCH(820, 輔助計算!$G$2:$G$801, 0)+1)),IF(INDEX(ERP資料!$G:$G, (MATCH(820, 輔助計算!$G$2:$G$801, 0)+1))&lt;100, IF(INDEX(ERP資料!$G:$G, (MATCH(820, 輔助計算!$G$2:$G$801, 0)+1))&lt;=31,3,IF(INDEX(ERP資料!$G:$G, (MATCH(820, 輔助計算!$G$2:$G$801, 0)+1))&lt;=46.5,2,1)), IF(INDEX(ERP資料!$G:$G, (MATCH(820, 輔助計算!$G$2:$G$801, 0)+1))&lt;=790,3,IF(INDEX(ERP資料!$G:$G, (MATCH(820, 輔助計算!$G$2:$G$801, 0)+1))&lt;=1181,2,1))))=1,TEXT(INDEX(ERP資料!$G:$G, (MATCH(820, 輔助計算!$G$2:$G$801, 0)+1)),"0.##"),IF(MOD(INDEX(輔助計算!$D:$D, (MATCH(820, 輔助計算!$G$2:$G$801, 0)+1)),IF(INDEX(ERP資料!$G:$G, (MATCH(820, 輔助計算!$G$2:$G$801, 0)+1))&lt;100, IF(INDEX(ERP資料!$G:$G, (MATCH(820, 輔助計算!$G$2:$G$801, 0)+1))&lt;=31,3,IF(INDEX(ERP資料!$G:$G, (MATCH(820, 輔助計算!$G$2:$G$801, 0)+1))&lt;=46.5,2,1)), IF(INDEX(ERP資料!$G:$G, (MATCH(820, 輔助計算!$G$2:$G$801, 0)+1))&lt;=790,3,IF(INDEX(ERP資料!$G:$G, (MATCH(820, 輔助計算!$G$2:$G$801, 0)+1))&lt;=1181,2,1))))=2,TEXT(INDEX(ERP資料!$G:$G, (MATCH(820, 輔助計算!$G$2:$G$801, 0)+1)),"0.##")&amp;"+"&amp;TEXT(INDEX(ERP資料!$G:$G, (MATCH(820, 輔助計算!$G$2:$G$801, 0)+1)),"0.##"),TEXT(INDEX(ERP資料!$G:$G, (MATCH(820, 輔助計算!$G$2:$G$801, 0)+1)),"0.##")&amp;"+"&amp;TEXT(INDEX(ERP資料!$G:$G, (MATCH(820, 輔助計算!$G$2:$G$801, 0)+1)),"0.##")&amp;"+"&amp;TEXT(INDEX(ERP資料!$G:$G, (MATCH(820, 輔助計算!$G$2:$G$801, 0)+1)),"0.##"))))&amp;"-1")&lt;&gt;""),"  ","")&amp;IF(MOD(INDEX(輔助計算!$D:$D, (MATCH(820, 輔助計算!$G$2:$G$801, 0)+1)),IF(INDEX(ERP資料!$G:$G, (MATCH(820, 輔助計算!$G$2:$G$801, 0)+1))&lt;100, IF(INDEX(ERP資料!$G:$G, (MATCH(820, 輔助計算!$G$2:$G$801, 0)+1))&lt;=31,3,IF(INDEX(ERP資料!$G:$G, (MATCH(820, 輔助計算!$G$2:$G$801, 0)+1))&lt;=46.5,2,1)), IF(INDEX(ERP資料!$G:$G, (MATCH(820, 輔助計算!$G$2:$G$801, 0)+1))&lt;=790,3,IF(INDEX(ERP資料!$G:$G, (MATCH(820, 輔助計算!$G$2:$G$801, 0)+1))&lt;=1181,2,1))))=0,"",IF(MOD(INDEX(輔助計算!$D:$D, (MATCH(820, 輔助計算!$G$2:$G$801, 0)+1)),IF(INDEX(ERP資料!$G:$G, (MATCH(820, 輔助計算!$G$2:$G$801, 0)+1))&lt;100, IF(INDEX(ERP資料!$G:$G, (MATCH(820, 輔助計算!$G$2:$G$801, 0)+1))&lt;=31,3,IF(INDEX(ERP資料!$G:$G, (MATCH(820, 輔助計算!$G$2:$G$801, 0)+1))&lt;=46.5,2,1)), IF(INDEX(ERP資料!$G:$G, (MATCH(820, 輔助計算!$G$2:$G$801, 0)+1))&lt;=790,3,IF(INDEX(ERP資料!$G:$G, (MATCH(820, 輔助計算!$G$2:$G$801, 0)+1))&lt;=1181,2,1))))=0,"",IF(MOD(INDEX(輔助計算!$D:$D, (MATCH(820, 輔助計算!$G$2:$G$801, 0)+1)),IF(INDEX(ERP資料!$G:$G, (MATCH(820, 輔助計算!$G$2:$G$801, 0)+1))&lt;100, IF(INDEX(ERP資料!$G:$G, (MATCH(820, 輔助計算!$G$2:$G$801, 0)+1))&lt;=31,3,IF(INDEX(ERP資料!$G:$G, (MATCH(820, 輔助計算!$G$2:$G$801, 0)+1))&lt;=46.5,2,1)), IF(INDEX(ERP資料!$G:$G, (MATCH(820, 輔助計算!$G$2:$G$801, 0)+1))&lt;=790,3,IF(INDEX(ERP資料!$G:$G, (MATCH(820, 輔助計算!$G$2:$G$801, 0)+1))&lt;=1181,2,1))))=1,TEXT(INDEX(ERP資料!$G:$G, (MATCH(820, 輔助計算!$G$2:$G$801, 0)+1)),"0.##"),IF(MOD(INDEX(輔助計算!$D:$D, (MATCH(820, 輔助計算!$G$2:$G$801, 0)+1)),IF(INDEX(ERP資料!$G:$G, (MATCH(820, 輔助計算!$G$2:$G$801, 0)+1))&lt;100, IF(INDEX(ERP資料!$G:$G, (MATCH(820, 輔助計算!$G$2:$G$801, 0)+1))&lt;=31,3,IF(INDEX(ERP資料!$G:$G, (MATCH(820, 輔助計算!$G$2:$G$801, 0)+1))&lt;=46.5,2,1)), IF(INDEX(ERP資料!$G:$G, (MATCH(820, 輔助計算!$G$2:$G$801, 0)+1))&lt;=790,3,IF(INDEX(ERP資料!$G:$G, (MATCH(820, 輔助計算!$G$2:$G$801, 0)+1))&lt;=1181,2,1))))=2,TEXT(INDEX(ERP資料!$G:$G, (MATCH(820, 輔助計算!$G$2:$G$801, 0)+1)),"0.##")&amp;"+"&amp;TEXT(INDEX(ERP資料!$G:$G, (MATCH(820, 輔助計算!$G$2:$G$801, 0)+1)),"0.##"),TEXT(INDEX(ERP資料!$G:$G, (MATCH(820, 輔助計算!$G$2:$G$801, 0)+1)),"0.##")&amp;"+"&amp;TEXT(INDEX(ERP資料!$G:$G, (MATCH(820, 輔助計算!$G$2:$G$801, 0)+1)),"0.##")&amp;"+"&amp;TEXT(INDEX(ERP資料!$G:$G, (MATCH(820, 輔助計算!$G$2:$G$801, 0)+1)),"0.##"))))&amp;"-1")), ""), "")</f>
        <v/>
      </c>
      <c r="K821" s="16" t="n"/>
      <c r="L821" s="14">
        <f>IFERROR(IF(AND(IFERROR(INDEX(ERP資料!$A:$A, (MATCH(820, 輔助計算!$G$2:$G$801, 0)+1)), "")&lt;&gt;"", IFERROR(INDEX(ERP資料!$A:$A, (MATCH(820, 輔助計算!$G$2:$G$801, 0)+1)), "")&lt;&gt;IFERROR(INDEX(ERP資料!$A:$A, MATCH(819, 輔助計算!$G$2:$G$801, 0)+1), "")), INDEX(ERP資料!$B:$B, (MATCH(820, 輔助計算!$G$2:$G$801, 0)+1)), ""), "")</f>
        <v/>
      </c>
      <c r="M821" s="17" t="n"/>
    </row>
    <row r="822">
      <c r="A822" s="10">
        <f>IFERROR(IF(AND(IFERROR(INDEX(ERP資料!$A:$A, (MATCH(821, 輔助計算!$G$2:$G$801, 0)+1)), "")&lt;&gt;"", IFERROR(INDEX(ERP資料!$A:$A, (MATCH(821, 輔助計算!$G$2:$G$801, 0)+1)), "")&lt;&gt;IFERROR(INDEX(ERP資料!$A:$A, MATCH(820, 輔助計算!$G$2:$G$801, 0)+1), "")), IFERROR(INDEX(ERP資料!$A:$A, (MATCH(821, 輔助計算!$G$2:$G$801, 0)+1)), ""), ""), "")</f>
        <v/>
      </c>
      <c r="B822" s="10">
        <f>IFERROR(IF(AND(IFERROR(INDEX(ERP資料!$A:$A, (MATCH(821, 輔助計算!$G$2:$G$801, 0)+1)), "")&lt;&gt;"", IFERROR(INDEX(ERP資料!$A:$A, (MATCH(821, 輔助計算!$G$2:$G$801, 0)+1)), "")&lt;&gt;IFERROR(INDEX(ERP資料!$A:$A, MATCH(820, 輔助計算!$G$2:$G$801, 0)+1), "")), INDEX(ERP資料!$S:$S, (MATCH(821, 輔助計算!$G$2:$G$801, 0)+1)), ""), "")</f>
        <v/>
      </c>
      <c r="C822" s="19">
        <f>IFERROR(IF(AND(IFERROR(INDEX(ERP資料!$A:$A, (MATCH(821, 輔助計算!$G$2:$G$801, 0)+1)), "")&lt;&gt;"", IFERROR(INDEX(ERP資料!$A:$A, (MATCH(821, 輔助計算!$G$2:$G$801, 0)+1)), "")&lt;&gt;IFERROR(INDEX(ERP資料!$A:$A, MATCH(820, 輔助計算!$G$2:$G$801, 0)+1), "")), IFERROR(VLOOKUP(LEFT(INDEX(ERP資料!$S:$S, (MATCH(821, 輔助計算!$G$2:$G$801, 0)+1)), 4), 紙管對照表!$A:$C, 3, FALSE), ""), ""), "")</f>
        <v/>
      </c>
      <c r="D822" s="16" t="n"/>
      <c r="E822" s="10">
        <f>IFERROR(IF(INDEX(ERP資料!$H:$H, (MATCH(821, 輔助計算!$G$2:$G$801, 0)+1))="","",INDEX(ERP資料!$H:$H, (MATCH(821, 輔助計算!$G$2:$G$801, 0)+1))), "")</f>
        <v/>
      </c>
      <c r="F822" s="10">
        <f>IFERROR(IF(INDEX(ERP資料!$E:$E, (MATCH(821, 輔助計算!$G$2:$G$801, 0)+1))="","",TRIM(INDEX(ERP資料!$E:$E, (MATCH(821, 輔助計算!$G$2:$G$801, 0)+1)))), "")</f>
        <v/>
      </c>
      <c r="G822" s="10">
        <f>IFERROR(IF(INDEX(ERP資料!$F:$F, (MATCH(821, 輔助計算!$G$2:$G$801, 0)+1))="","",INDEX(ERP資料!$F:$F, (MATCH(821, 輔助計算!$G$2:$G$801, 0)+1))), "")</f>
        <v/>
      </c>
      <c r="H822" s="10">
        <f>IFERROR(IF(INDEX(ERP資料!$G:$G, (MATCH(821, 輔助計算!$G$2:$G$801, 0)+1))="","",INDEX(ERP資料!$G:$G, (MATCH(821, 輔助計算!$G$2:$G$801, 0)+1))), "")</f>
        <v/>
      </c>
      <c r="I822" s="15">
        <f>IFERROR(INDEX(輔助計算!$D:$D, (MATCH(821, 輔助計算!$G$2:$G$801, 0)+1)), "")</f>
        <v/>
      </c>
      <c r="J822" s="15">
        <f>IFERROR(IF(AND(INDEX(輔助計算!$D:$D, (MATCH(821, 輔助計算!$G$2:$G$801, 0)+1))&lt;&gt;"", INDEX(ERP資料!$G:$G, (MATCH(821, 輔助計算!$G$2:$G$801, 0)+1))&lt;&gt;""), TRIM(IF(INT(INDEX(輔助計算!$D:$D, (MATCH(821, 輔助計算!$G$2:$G$801, 0)+1))/IF(INDEX(ERP資料!$G:$G, (MATCH(821, 輔助計算!$G$2:$G$801, 0)+1))&lt;100, IF(INDEX(ERP資料!$G:$G, (MATCH(821, 輔助計算!$G$2:$G$801, 0)+1))&lt;=31,3,IF(INDEX(ERP資料!$G:$G, (MATCH(821, 輔助計算!$G$2:$G$801, 0)+1))&lt;=46.5,2,1)), IF(INDEX(ERP資料!$G:$G, (MATCH(821, 輔助計算!$G$2:$G$801, 0)+1))&lt;=790,3,IF(INDEX(ERP資料!$G:$G, (MATCH(821, 輔助計算!$G$2:$G$801, 0)+1))&lt;=1181,2,1))))&gt;0, IF(IF(INDEX(ERP資料!$G:$G, (MATCH(821, 輔助計算!$G$2:$G$801, 0)+1))&lt;100, IF(INDEX(ERP資料!$G:$G, (MATCH(821, 輔助計算!$G$2:$G$801, 0)+1))&lt;=31,3,IF(INDEX(ERP資料!$G:$G, (MATCH(821, 輔助計算!$G$2:$G$801, 0)+1))&lt;=46.5,2,1)), IF(INDEX(ERP資料!$G:$G, (MATCH(821, 輔助計算!$G$2:$G$801, 0)+1))&lt;=790,3,IF(INDEX(ERP資料!$G:$G, (MATCH(821, 輔助計算!$G$2:$G$801, 0)+1))&lt;=1181,2,1)))=1,TEXT(INDEX(ERP資料!$G:$G, (MATCH(821, 輔助計算!$G$2:$G$801, 0)+1)),"0.##"),IF(IF(INDEX(ERP資料!$G:$G, (MATCH(821, 輔助計算!$G$2:$G$801, 0)+1))&lt;100, IF(INDEX(ERP資料!$G:$G, (MATCH(821, 輔助計算!$G$2:$G$801, 0)+1))&lt;=31,3,IF(INDEX(ERP資料!$G:$G, (MATCH(821, 輔助計算!$G$2:$G$801, 0)+1))&lt;=46.5,2,1)), IF(INDEX(ERP資料!$G:$G, (MATCH(821, 輔助計算!$G$2:$G$801, 0)+1))&lt;=790,3,IF(INDEX(ERP資料!$G:$G, (MATCH(821, 輔助計算!$G$2:$G$801, 0)+1))&lt;=1181,2,1)))=2,TEXT(INDEX(ERP資料!$G:$G, (MATCH(821, 輔助計算!$G$2:$G$801, 0)+1)),"0.##")&amp;"+"&amp;TEXT(INDEX(ERP資料!$G:$G, (MATCH(821, 輔助計算!$G$2:$G$801, 0)+1)),"0.##"),TEXT(INDEX(ERP資料!$G:$G, (MATCH(821, 輔助計算!$G$2:$G$801, 0)+1)),"0.##")&amp;"+"&amp;TEXT(INDEX(ERP資料!$G:$G, (MATCH(821, 輔助計算!$G$2:$G$801, 0)+1)),"0.##")&amp;"+"&amp;TEXT(INDEX(ERP資料!$G:$G, (MATCH(821, 輔助計算!$G$2:$G$801, 0)+1)),"0.##")))&amp;"-"&amp;INT(INDEX(輔助計算!$D:$D, (MATCH(821, 輔助計算!$G$2:$G$801, 0)+1))/IF(INDEX(ERP資料!$G:$G, (MATCH(821, 輔助計算!$G$2:$G$801, 0)+1))&lt;100, IF(INDEX(ERP資料!$G:$G, (MATCH(821, 輔助計算!$G$2:$G$801, 0)+1))&lt;=31,3,IF(INDEX(ERP資料!$G:$G, (MATCH(821, 輔助計算!$G$2:$G$801, 0)+1))&lt;=46.5,2,1)), IF(INDEX(ERP資料!$G:$G, (MATCH(821, 輔助計算!$G$2:$G$801, 0)+1))&lt;=790,3,IF(INDEX(ERP資料!$G:$G, (MATCH(821, 輔助計算!$G$2:$G$801, 0)+1))&lt;=1181,2,1)))), "")&amp;IF(AND(IF(INT(INDEX(輔助計算!$D:$D, (MATCH(821, 輔助計算!$G$2:$G$801, 0)+1))/IF(INDEX(ERP資料!$G:$G, (MATCH(821, 輔助計算!$G$2:$G$801, 0)+1))&lt;100, IF(INDEX(ERP資料!$G:$G, (MATCH(821, 輔助計算!$G$2:$G$801, 0)+1))&lt;=31,3,IF(INDEX(ERP資料!$G:$G, (MATCH(821, 輔助計算!$G$2:$G$801, 0)+1))&lt;=46.5,2,1)), IF(INDEX(ERP資料!$G:$G, (MATCH(821, 輔助計算!$G$2:$G$801, 0)+1))&lt;=790,3,IF(INDEX(ERP資料!$G:$G, (MATCH(821, 輔助計算!$G$2:$G$801, 0)+1))&lt;=1181,2,1))))&gt;0, IF(IF(INDEX(ERP資料!$G:$G, (MATCH(821, 輔助計算!$G$2:$G$801, 0)+1))&lt;100, IF(INDEX(ERP資料!$G:$G, (MATCH(821, 輔助計算!$G$2:$G$801, 0)+1))&lt;=31,3,IF(INDEX(ERP資料!$G:$G, (MATCH(821, 輔助計算!$G$2:$G$801, 0)+1))&lt;=46.5,2,1)), IF(INDEX(ERP資料!$G:$G, (MATCH(821, 輔助計算!$G$2:$G$801, 0)+1))&lt;=790,3,IF(INDEX(ERP資料!$G:$G, (MATCH(821, 輔助計算!$G$2:$G$801, 0)+1))&lt;=1181,2,1)))=1,TEXT(INDEX(ERP資料!$G:$G, (MATCH(821, 輔助計算!$G$2:$G$801, 0)+1)),"0.##"),IF(IF(INDEX(ERP資料!$G:$G, (MATCH(821, 輔助計算!$G$2:$G$801, 0)+1))&lt;100, IF(INDEX(ERP資料!$G:$G, (MATCH(821, 輔助計算!$G$2:$G$801, 0)+1))&lt;=31,3,IF(INDEX(ERP資料!$G:$G, (MATCH(821, 輔助計算!$G$2:$G$801, 0)+1))&lt;=46.5,2,1)), IF(INDEX(ERP資料!$G:$G, (MATCH(821, 輔助計算!$G$2:$G$801, 0)+1))&lt;=790,3,IF(INDEX(ERP資料!$G:$G, (MATCH(821, 輔助計算!$G$2:$G$801, 0)+1))&lt;=1181,2,1)))=2,TEXT(INDEX(ERP資料!$G:$G, (MATCH(821, 輔助計算!$G$2:$G$801, 0)+1)),"0.##")&amp;"+"&amp;TEXT(INDEX(ERP資料!$G:$G, (MATCH(821, 輔助計算!$G$2:$G$801, 0)+1)),"0.##"),TEXT(INDEX(ERP資料!$G:$G, (MATCH(821, 輔助計算!$G$2:$G$801, 0)+1)),"0.##")&amp;"+"&amp;TEXT(INDEX(ERP資料!$G:$G, (MATCH(821, 輔助計算!$G$2:$G$801, 0)+1)),"0.##")&amp;"+"&amp;TEXT(INDEX(ERP資料!$G:$G, (MATCH(821, 輔助計算!$G$2:$G$801, 0)+1)),"0.##")))&amp;"-"&amp;INT(INDEX(輔助計算!$D:$D, (MATCH(821, 輔助計算!$G$2:$G$801, 0)+1))/IF(INDEX(ERP資料!$G:$G, (MATCH(821, 輔助計算!$G$2:$G$801, 0)+1))&lt;100, IF(INDEX(ERP資料!$G:$G, (MATCH(821, 輔助計算!$G$2:$G$801, 0)+1))&lt;=31,3,IF(INDEX(ERP資料!$G:$G, (MATCH(821, 輔助計算!$G$2:$G$801, 0)+1))&lt;=46.5,2,1)), IF(INDEX(ERP資料!$G:$G, (MATCH(821, 輔助計算!$G$2:$G$801, 0)+1))&lt;=790,3,IF(INDEX(ERP資料!$G:$G, (MATCH(821, 輔助計算!$G$2:$G$801, 0)+1))&lt;=1181,2,1)))), "")&lt;&gt;"",IF(MOD(INDEX(輔助計算!$D:$D, (MATCH(821, 輔助計算!$G$2:$G$801, 0)+1)),IF(INDEX(ERP資料!$G:$G, (MATCH(821, 輔助計算!$G$2:$G$801, 0)+1))&lt;100, IF(INDEX(ERP資料!$G:$G, (MATCH(821, 輔助計算!$G$2:$G$801, 0)+1))&lt;=31,3,IF(INDEX(ERP資料!$G:$G, (MATCH(821, 輔助計算!$G$2:$G$801, 0)+1))&lt;=46.5,2,1)), IF(INDEX(ERP資料!$G:$G, (MATCH(821, 輔助計算!$G$2:$G$801, 0)+1))&lt;=790,3,IF(INDEX(ERP資料!$G:$G, (MATCH(821, 輔助計算!$G$2:$G$801, 0)+1))&lt;=1181,2,1))))=0,"",IF(MOD(INDEX(輔助計算!$D:$D, (MATCH(821, 輔助計算!$G$2:$G$801, 0)+1)),IF(INDEX(ERP資料!$G:$G, (MATCH(821, 輔助計算!$G$2:$G$801, 0)+1))&lt;100, IF(INDEX(ERP資料!$G:$G, (MATCH(821, 輔助計算!$G$2:$G$801, 0)+1))&lt;=31,3,IF(INDEX(ERP資料!$G:$G, (MATCH(821, 輔助計算!$G$2:$G$801, 0)+1))&lt;=46.5,2,1)), IF(INDEX(ERP資料!$G:$G, (MATCH(821, 輔助計算!$G$2:$G$801, 0)+1))&lt;=790,3,IF(INDEX(ERP資料!$G:$G, (MATCH(821, 輔助計算!$G$2:$G$801, 0)+1))&lt;=1181,2,1))))=0,"",IF(MOD(INDEX(輔助計算!$D:$D, (MATCH(821, 輔助計算!$G$2:$G$801, 0)+1)),IF(INDEX(ERP資料!$G:$G, (MATCH(821, 輔助計算!$G$2:$G$801, 0)+1))&lt;100, IF(INDEX(ERP資料!$G:$G, (MATCH(821, 輔助計算!$G$2:$G$801, 0)+1))&lt;=31,3,IF(INDEX(ERP資料!$G:$G, (MATCH(821, 輔助計算!$G$2:$G$801, 0)+1))&lt;=46.5,2,1)), IF(INDEX(ERP資料!$G:$G, (MATCH(821, 輔助計算!$G$2:$G$801, 0)+1))&lt;=790,3,IF(INDEX(ERP資料!$G:$G, (MATCH(821, 輔助計算!$G$2:$G$801, 0)+1))&lt;=1181,2,1))))=1,TEXT(INDEX(ERP資料!$G:$G, (MATCH(821, 輔助計算!$G$2:$G$801, 0)+1)),"0.##"),IF(MOD(INDEX(輔助計算!$D:$D, (MATCH(821, 輔助計算!$G$2:$G$801, 0)+1)),IF(INDEX(ERP資料!$G:$G, (MATCH(821, 輔助計算!$G$2:$G$801, 0)+1))&lt;100, IF(INDEX(ERP資料!$G:$G, (MATCH(821, 輔助計算!$G$2:$G$801, 0)+1))&lt;=31,3,IF(INDEX(ERP資料!$G:$G, (MATCH(821, 輔助計算!$G$2:$G$801, 0)+1))&lt;=46.5,2,1)), IF(INDEX(ERP資料!$G:$G, (MATCH(821, 輔助計算!$G$2:$G$801, 0)+1))&lt;=790,3,IF(INDEX(ERP資料!$G:$G, (MATCH(821, 輔助計算!$G$2:$G$801, 0)+1))&lt;=1181,2,1))))=2,TEXT(INDEX(ERP資料!$G:$G, (MATCH(821, 輔助計算!$G$2:$G$801, 0)+1)),"0.##")&amp;"+"&amp;TEXT(INDEX(ERP資料!$G:$G, (MATCH(821, 輔助計算!$G$2:$G$801, 0)+1)),"0.##"),TEXT(INDEX(ERP資料!$G:$G, (MATCH(821, 輔助計算!$G$2:$G$801, 0)+1)),"0.##")&amp;"+"&amp;TEXT(INDEX(ERP資料!$G:$G, (MATCH(821, 輔助計算!$G$2:$G$801, 0)+1)),"0.##")&amp;"+"&amp;TEXT(INDEX(ERP資料!$G:$G, (MATCH(821, 輔助計算!$G$2:$G$801, 0)+1)),"0.##"))))&amp;"-1")&lt;&gt;""),"  ","")&amp;IF(MOD(INDEX(輔助計算!$D:$D, (MATCH(821, 輔助計算!$G$2:$G$801, 0)+1)),IF(INDEX(ERP資料!$G:$G, (MATCH(821, 輔助計算!$G$2:$G$801, 0)+1))&lt;100, IF(INDEX(ERP資料!$G:$G, (MATCH(821, 輔助計算!$G$2:$G$801, 0)+1))&lt;=31,3,IF(INDEX(ERP資料!$G:$G, (MATCH(821, 輔助計算!$G$2:$G$801, 0)+1))&lt;=46.5,2,1)), IF(INDEX(ERP資料!$G:$G, (MATCH(821, 輔助計算!$G$2:$G$801, 0)+1))&lt;=790,3,IF(INDEX(ERP資料!$G:$G, (MATCH(821, 輔助計算!$G$2:$G$801, 0)+1))&lt;=1181,2,1))))=0,"",IF(MOD(INDEX(輔助計算!$D:$D, (MATCH(821, 輔助計算!$G$2:$G$801, 0)+1)),IF(INDEX(ERP資料!$G:$G, (MATCH(821, 輔助計算!$G$2:$G$801, 0)+1))&lt;100, IF(INDEX(ERP資料!$G:$G, (MATCH(821, 輔助計算!$G$2:$G$801, 0)+1))&lt;=31,3,IF(INDEX(ERP資料!$G:$G, (MATCH(821, 輔助計算!$G$2:$G$801, 0)+1))&lt;=46.5,2,1)), IF(INDEX(ERP資料!$G:$G, (MATCH(821, 輔助計算!$G$2:$G$801, 0)+1))&lt;=790,3,IF(INDEX(ERP資料!$G:$G, (MATCH(821, 輔助計算!$G$2:$G$801, 0)+1))&lt;=1181,2,1))))=0,"",IF(MOD(INDEX(輔助計算!$D:$D, (MATCH(821, 輔助計算!$G$2:$G$801, 0)+1)),IF(INDEX(ERP資料!$G:$G, (MATCH(821, 輔助計算!$G$2:$G$801, 0)+1))&lt;100, IF(INDEX(ERP資料!$G:$G, (MATCH(821, 輔助計算!$G$2:$G$801, 0)+1))&lt;=31,3,IF(INDEX(ERP資料!$G:$G, (MATCH(821, 輔助計算!$G$2:$G$801, 0)+1))&lt;=46.5,2,1)), IF(INDEX(ERP資料!$G:$G, (MATCH(821, 輔助計算!$G$2:$G$801, 0)+1))&lt;=790,3,IF(INDEX(ERP資料!$G:$G, (MATCH(821, 輔助計算!$G$2:$G$801, 0)+1))&lt;=1181,2,1))))=1,TEXT(INDEX(ERP資料!$G:$G, (MATCH(821, 輔助計算!$G$2:$G$801, 0)+1)),"0.##"),IF(MOD(INDEX(輔助計算!$D:$D, (MATCH(821, 輔助計算!$G$2:$G$801, 0)+1)),IF(INDEX(ERP資料!$G:$G, (MATCH(821, 輔助計算!$G$2:$G$801, 0)+1))&lt;100, IF(INDEX(ERP資料!$G:$G, (MATCH(821, 輔助計算!$G$2:$G$801, 0)+1))&lt;=31,3,IF(INDEX(ERP資料!$G:$G, (MATCH(821, 輔助計算!$G$2:$G$801, 0)+1))&lt;=46.5,2,1)), IF(INDEX(ERP資料!$G:$G, (MATCH(821, 輔助計算!$G$2:$G$801, 0)+1))&lt;=790,3,IF(INDEX(ERP資料!$G:$G, (MATCH(821, 輔助計算!$G$2:$G$801, 0)+1))&lt;=1181,2,1))))=2,TEXT(INDEX(ERP資料!$G:$G, (MATCH(821, 輔助計算!$G$2:$G$801, 0)+1)),"0.##")&amp;"+"&amp;TEXT(INDEX(ERP資料!$G:$G, (MATCH(821, 輔助計算!$G$2:$G$801, 0)+1)),"0.##"),TEXT(INDEX(ERP資料!$G:$G, (MATCH(821, 輔助計算!$G$2:$G$801, 0)+1)),"0.##")&amp;"+"&amp;TEXT(INDEX(ERP資料!$G:$G, (MATCH(821, 輔助計算!$G$2:$G$801, 0)+1)),"0.##")&amp;"+"&amp;TEXT(INDEX(ERP資料!$G:$G, (MATCH(821, 輔助計算!$G$2:$G$801, 0)+1)),"0.##"))))&amp;"-1")), ""), "")</f>
        <v/>
      </c>
      <c r="K822" s="16" t="n"/>
      <c r="L822" s="14">
        <f>IFERROR(IF(AND(IFERROR(INDEX(ERP資料!$A:$A, (MATCH(821, 輔助計算!$G$2:$G$801, 0)+1)), "")&lt;&gt;"", IFERROR(INDEX(ERP資料!$A:$A, (MATCH(821, 輔助計算!$G$2:$G$801, 0)+1)), "")&lt;&gt;IFERROR(INDEX(ERP資料!$A:$A, MATCH(820, 輔助計算!$G$2:$G$801, 0)+1), "")), INDEX(ERP資料!$B:$B, (MATCH(821, 輔助計算!$G$2:$G$801, 0)+1)), ""), "")</f>
        <v/>
      </c>
      <c r="M822" s="17" t="n"/>
    </row>
    <row r="823">
      <c r="A823" s="10">
        <f>IFERROR(IF(AND(IFERROR(INDEX(ERP資料!$A:$A, (MATCH(822, 輔助計算!$G$2:$G$801, 0)+1)), "")&lt;&gt;"", IFERROR(INDEX(ERP資料!$A:$A, (MATCH(822, 輔助計算!$G$2:$G$801, 0)+1)), "")&lt;&gt;IFERROR(INDEX(ERP資料!$A:$A, MATCH(821, 輔助計算!$G$2:$G$801, 0)+1), "")), IFERROR(INDEX(ERP資料!$A:$A, (MATCH(822, 輔助計算!$G$2:$G$801, 0)+1)), ""), ""), "")</f>
        <v/>
      </c>
      <c r="B823" s="10">
        <f>IFERROR(IF(AND(IFERROR(INDEX(ERP資料!$A:$A, (MATCH(822, 輔助計算!$G$2:$G$801, 0)+1)), "")&lt;&gt;"", IFERROR(INDEX(ERP資料!$A:$A, (MATCH(822, 輔助計算!$G$2:$G$801, 0)+1)), "")&lt;&gt;IFERROR(INDEX(ERP資料!$A:$A, MATCH(821, 輔助計算!$G$2:$G$801, 0)+1), "")), INDEX(ERP資料!$S:$S, (MATCH(822, 輔助計算!$G$2:$G$801, 0)+1)), ""), "")</f>
        <v/>
      </c>
      <c r="C823" s="19">
        <f>IFERROR(IF(AND(IFERROR(INDEX(ERP資料!$A:$A, (MATCH(822, 輔助計算!$G$2:$G$801, 0)+1)), "")&lt;&gt;"", IFERROR(INDEX(ERP資料!$A:$A, (MATCH(822, 輔助計算!$G$2:$G$801, 0)+1)), "")&lt;&gt;IFERROR(INDEX(ERP資料!$A:$A, MATCH(821, 輔助計算!$G$2:$G$801, 0)+1), "")), IFERROR(VLOOKUP(LEFT(INDEX(ERP資料!$S:$S, (MATCH(822, 輔助計算!$G$2:$G$801, 0)+1)), 4), 紙管對照表!$A:$C, 3, FALSE), ""), ""), "")</f>
        <v/>
      </c>
      <c r="D823" s="16" t="n"/>
      <c r="E823" s="10">
        <f>IFERROR(IF(INDEX(ERP資料!$H:$H, (MATCH(822, 輔助計算!$G$2:$G$801, 0)+1))="","",INDEX(ERP資料!$H:$H, (MATCH(822, 輔助計算!$G$2:$G$801, 0)+1))), "")</f>
        <v/>
      </c>
      <c r="F823" s="10">
        <f>IFERROR(IF(INDEX(ERP資料!$E:$E, (MATCH(822, 輔助計算!$G$2:$G$801, 0)+1))="","",TRIM(INDEX(ERP資料!$E:$E, (MATCH(822, 輔助計算!$G$2:$G$801, 0)+1)))), "")</f>
        <v/>
      </c>
      <c r="G823" s="10">
        <f>IFERROR(IF(INDEX(ERP資料!$F:$F, (MATCH(822, 輔助計算!$G$2:$G$801, 0)+1))="","",INDEX(ERP資料!$F:$F, (MATCH(822, 輔助計算!$G$2:$G$801, 0)+1))), "")</f>
        <v/>
      </c>
      <c r="H823" s="10">
        <f>IFERROR(IF(INDEX(ERP資料!$G:$G, (MATCH(822, 輔助計算!$G$2:$G$801, 0)+1))="","",INDEX(ERP資料!$G:$G, (MATCH(822, 輔助計算!$G$2:$G$801, 0)+1))), "")</f>
        <v/>
      </c>
      <c r="I823" s="15">
        <f>IFERROR(INDEX(輔助計算!$D:$D, (MATCH(822, 輔助計算!$G$2:$G$801, 0)+1)), "")</f>
        <v/>
      </c>
      <c r="J823" s="15">
        <f>IFERROR(IF(AND(INDEX(輔助計算!$D:$D, (MATCH(822, 輔助計算!$G$2:$G$801, 0)+1))&lt;&gt;"", INDEX(ERP資料!$G:$G, (MATCH(822, 輔助計算!$G$2:$G$801, 0)+1))&lt;&gt;""), TRIM(IF(INT(INDEX(輔助計算!$D:$D, (MATCH(822, 輔助計算!$G$2:$G$801, 0)+1))/IF(INDEX(ERP資料!$G:$G, (MATCH(822, 輔助計算!$G$2:$G$801, 0)+1))&lt;100, IF(INDEX(ERP資料!$G:$G, (MATCH(822, 輔助計算!$G$2:$G$801, 0)+1))&lt;=31,3,IF(INDEX(ERP資料!$G:$G, (MATCH(822, 輔助計算!$G$2:$G$801, 0)+1))&lt;=46.5,2,1)), IF(INDEX(ERP資料!$G:$G, (MATCH(822, 輔助計算!$G$2:$G$801, 0)+1))&lt;=790,3,IF(INDEX(ERP資料!$G:$G, (MATCH(822, 輔助計算!$G$2:$G$801, 0)+1))&lt;=1181,2,1))))&gt;0, IF(IF(INDEX(ERP資料!$G:$G, (MATCH(822, 輔助計算!$G$2:$G$801, 0)+1))&lt;100, IF(INDEX(ERP資料!$G:$G, (MATCH(822, 輔助計算!$G$2:$G$801, 0)+1))&lt;=31,3,IF(INDEX(ERP資料!$G:$G, (MATCH(822, 輔助計算!$G$2:$G$801, 0)+1))&lt;=46.5,2,1)), IF(INDEX(ERP資料!$G:$G, (MATCH(822, 輔助計算!$G$2:$G$801, 0)+1))&lt;=790,3,IF(INDEX(ERP資料!$G:$G, (MATCH(822, 輔助計算!$G$2:$G$801, 0)+1))&lt;=1181,2,1)))=1,TEXT(INDEX(ERP資料!$G:$G, (MATCH(822, 輔助計算!$G$2:$G$801, 0)+1)),"0.##"),IF(IF(INDEX(ERP資料!$G:$G, (MATCH(822, 輔助計算!$G$2:$G$801, 0)+1))&lt;100, IF(INDEX(ERP資料!$G:$G, (MATCH(822, 輔助計算!$G$2:$G$801, 0)+1))&lt;=31,3,IF(INDEX(ERP資料!$G:$G, (MATCH(822, 輔助計算!$G$2:$G$801, 0)+1))&lt;=46.5,2,1)), IF(INDEX(ERP資料!$G:$G, (MATCH(822, 輔助計算!$G$2:$G$801, 0)+1))&lt;=790,3,IF(INDEX(ERP資料!$G:$G, (MATCH(822, 輔助計算!$G$2:$G$801, 0)+1))&lt;=1181,2,1)))=2,TEXT(INDEX(ERP資料!$G:$G, (MATCH(822, 輔助計算!$G$2:$G$801, 0)+1)),"0.##")&amp;"+"&amp;TEXT(INDEX(ERP資料!$G:$G, (MATCH(822, 輔助計算!$G$2:$G$801, 0)+1)),"0.##"),TEXT(INDEX(ERP資料!$G:$G, (MATCH(822, 輔助計算!$G$2:$G$801, 0)+1)),"0.##")&amp;"+"&amp;TEXT(INDEX(ERP資料!$G:$G, (MATCH(822, 輔助計算!$G$2:$G$801, 0)+1)),"0.##")&amp;"+"&amp;TEXT(INDEX(ERP資料!$G:$G, (MATCH(822, 輔助計算!$G$2:$G$801, 0)+1)),"0.##")))&amp;"-"&amp;INT(INDEX(輔助計算!$D:$D, (MATCH(822, 輔助計算!$G$2:$G$801, 0)+1))/IF(INDEX(ERP資料!$G:$G, (MATCH(822, 輔助計算!$G$2:$G$801, 0)+1))&lt;100, IF(INDEX(ERP資料!$G:$G, (MATCH(822, 輔助計算!$G$2:$G$801, 0)+1))&lt;=31,3,IF(INDEX(ERP資料!$G:$G, (MATCH(822, 輔助計算!$G$2:$G$801, 0)+1))&lt;=46.5,2,1)), IF(INDEX(ERP資料!$G:$G, (MATCH(822, 輔助計算!$G$2:$G$801, 0)+1))&lt;=790,3,IF(INDEX(ERP資料!$G:$G, (MATCH(822, 輔助計算!$G$2:$G$801, 0)+1))&lt;=1181,2,1)))), "")&amp;IF(AND(IF(INT(INDEX(輔助計算!$D:$D, (MATCH(822, 輔助計算!$G$2:$G$801, 0)+1))/IF(INDEX(ERP資料!$G:$G, (MATCH(822, 輔助計算!$G$2:$G$801, 0)+1))&lt;100, IF(INDEX(ERP資料!$G:$G, (MATCH(822, 輔助計算!$G$2:$G$801, 0)+1))&lt;=31,3,IF(INDEX(ERP資料!$G:$G, (MATCH(822, 輔助計算!$G$2:$G$801, 0)+1))&lt;=46.5,2,1)), IF(INDEX(ERP資料!$G:$G, (MATCH(822, 輔助計算!$G$2:$G$801, 0)+1))&lt;=790,3,IF(INDEX(ERP資料!$G:$G, (MATCH(822, 輔助計算!$G$2:$G$801, 0)+1))&lt;=1181,2,1))))&gt;0, IF(IF(INDEX(ERP資料!$G:$G, (MATCH(822, 輔助計算!$G$2:$G$801, 0)+1))&lt;100, IF(INDEX(ERP資料!$G:$G, (MATCH(822, 輔助計算!$G$2:$G$801, 0)+1))&lt;=31,3,IF(INDEX(ERP資料!$G:$G, (MATCH(822, 輔助計算!$G$2:$G$801, 0)+1))&lt;=46.5,2,1)), IF(INDEX(ERP資料!$G:$G, (MATCH(822, 輔助計算!$G$2:$G$801, 0)+1))&lt;=790,3,IF(INDEX(ERP資料!$G:$G, (MATCH(822, 輔助計算!$G$2:$G$801, 0)+1))&lt;=1181,2,1)))=1,TEXT(INDEX(ERP資料!$G:$G, (MATCH(822, 輔助計算!$G$2:$G$801, 0)+1)),"0.##"),IF(IF(INDEX(ERP資料!$G:$G, (MATCH(822, 輔助計算!$G$2:$G$801, 0)+1))&lt;100, IF(INDEX(ERP資料!$G:$G, (MATCH(822, 輔助計算!$G$2:$G$801, 0)+1))&lt;=31,3,IF(INDEX(ERP資料!$G:$G, (MATCH(822, 輔助計算!$G$2:$G$801, 0)+1))&lt;=46.5,2,1)), IF(INDEX(ERP資料!$G:$G, (MATCH(822, 輔助計算!$G$2:$G$801, 0)+1))&lt;=790,3,IF(INDEX(ERP資料!$G:$G, (MATCH(822, 輔助計算!$G$2:$G$801, 0)+1))&lt;=1181,2,1)))=2,TEXT(INDEX(ERP資料!$G:$G, (MATCH(822, 輔助計算!$G$2:$G$801, 0)+1)),"0.##")&amp;"+"&amp;TEXT(INDEX(ERP資料!$G:$G, (MATCH(822, 輔助計算!$G$2:$G$801, 0)+1)),"0.##"),TEXT(INDEX(ERP資料!$G:$G, (MATCH(822, 輔助計算!$G$2:$G$801, 0)+1)),"0.##")&amp;"+"&amp;TEXT(INDEX(ERP資料!$G:$G, (MATCH(822, 輔助計算!$G$2:$G$801, 0)+1)),"0.##")&amp;"+"&amp;TEXT(INDEX(ERP資料!$G:$G, (MATCH(822, 輔助計算!$G$2:$G$801, 0)+1)),"0.##")))&amp;"-"&amp;INT(INDEX(輔助計算!$D:$D, (MATCH(822, 輔助計算!$G$2:$G$801, 0)+1))/IF(INDEX(ERP資料!$G:$G, (MATCH(822, 輔助計算!$G$2:$G$801, 0)+1))&lt;100, IF(INDEX(ERP資料!$G:$G, (MATCH(822, 輔助計算!$G$2:$G$801, 0)+1))&lt;=31,3,IF(INDEX(ERP資料!$G:$G, (MATCH(822, 輔助計算!$G$2:$G$801, 0)+1))&lt;=46.5,2,1)), IF(INDEX(ERP資料!$G:$G, (MATCH(822, 輔助計算!$G$2:$G$801, 0)+1))&lt;=790,3,IF(INDEX(ERP資料!$G:$G, (MATCH(822, 輔助計算!$G$2:$G$801, 0)+1))&lt;=1181,2,1)))), "")&lt;&gt;"",IF(MOD(INDEX(輔助計算!$D:$D, (MATCH(822, 輔助計算!$G$2:$G$801, 0)+1)),IF(INDEX(ERP資料!$G:$G, (MATCH(822, 輔助計算!$G$2:$G$801, 0)+1))&lt;100, IF(INDEX(ERP資料!$G:$G, (MATCH(822, 輔助計算!$G$2:$G$801, 0)+1))&lt;=31,3,IF(INDEX(ERP資料!$G:$G, (MATCH(822, 輔助計算!$G$2:$G$801, 0)+1))&lt;=46.5,2,1)), IF(INDEX(ERP資料!$G:$G, (MATCH(822, 輔助計算!$G$2:$G$801, 0)+1))&lt;=790,3,IF(INDEX(ERP資料!$G:$G, (MATCH(822, 輔助計算!$G$2:$G$801, 0)+1))&lt;=1181,2,1))))=0,"",IF(MOD(INDEX(輔助計算!$D:$D, (MATCH(822, 輔助計算!$G$2:$G$801, 0)+1)),IF(INDEX(ERP資料!$G:$G, (MATCH(822, 輔助計算!$G$2:$G$801, 0)+1))&lt;100, IF(INDEX(ERP資料!$G:$G, (MATCH(822, 輔助計算!$G$2:$G$801, 0)+1))&lt;=31,3,IF(INDEX(ERP資料!$G:$G, (MATCH(822, 輔助計算!$G$2:$G$801, 0)+1))&lt;=46.5,2,1)), IF(INDEX(ERP資料!$G:$G, (MATCH(822, 輔助計算!$G$2:$G$801, 0)+1))&lt;=790,3,IF(INDEX(ERP資料!$G:$G, (MATCH(822, 輔助計算!$G$2:$G$801, 0)+1))&lt;=1181,2,1))))=0,"",IF(MOD(INDEX(輔助計算!$D:$D, (MATCH(822, 輔助計算!$G$2:$G$801, 0)+1)),IF(INDEX(ERP資料!$G:$G, (MATCH(822, 輔助計算!$G$2:$G$801, 0)+1))&lt;100, IF(INDEX(ERP資料!$G:$G, (MATCH(822, 輔助計算!$G$2:$G$801, 0)+1))&lt;=31,3,IF(INDEX(ERP資料!$G:$G, (MATCH(822, 輔助計算!$G$2:$G$801, 0)+1))&lt;=46.5,2,1)), IF(INDEX(ERP資料!$G:$G, (MATCH(822, 輔助計算!$G$2:$G$801, 0)+1))&lt;=790,3,IF(INDEX(ERP資料!$G:$G, (MATCH(822, 輔助計算!$G$2:$G$801, 0)+1))&lt;=1181,2,1))))=1,TEXT(INDEX(ERP資料!$G:$G, (MATCH(822, 輔助計算!$G$2:$G$801, 0)+1)),"0.##"),IF(MOD(INDEX(輔助計算!$D:$D, (MATCH(822, 輔助計算!$G$2:$G$801, 0)+1)),IF(INDEX(ERP資料!$G:$G, (MATCH(822, 輔助計算!$G$2:$G$801, 0)+1))&lt;100, IF(INDEX(ERP資料!$G:$G, (MATCH(822, 輔助計算!$G$2:$G$801, 0)+1))&lt;=31,3,IF(INDEX(ERP資料!$G:$G, (MATCH(822, 輔助計算!$G$2:$G$801, 0)+1))&lt;=46.5,2,1)), IF(INDEX(ERP資料!$G:$G, (MATCH(822, 輔助計算!$G$2:$G$801, 0)+1))&lt;=790,3,IF(INDEX(ERP資料!$G:$G, (MATCH(822, 輔助計算!$G$2:$G$801, 0)+1))&lt;=1181,2,1))))=2,TEXT(INDEX(ERP資料!$G:$G, (MATCH(822, 輔助計算!$G$2:$G$801, 0)+1)),"0.##")&amp;"+"&amp;TEXT(INDEX(ERP資料!$G:$G, (MATCH(822, 輔助計算!$G$2:$G$801, 0)+1)),"0.##"),TEXT(INDEX(ERP資料!$G:$G, (MATCH(822, 輔助計算!$G$2:$G$801, 0)+1)),"0.##")&amp;"+"&amp;TEXT(INDEX(ERP資料!$G:$G, (MATCH(822, 輔助計算!$G$2:$G$801, 0)+1)),"0.##")&amp;"+"&amp;TEXT(INDEX(ERP資料!$G:$G, (MATCH(822, 輔助計算!$G$2:$G$801, 0)+1)),"0.##"))))&amp;"-1")&lt;&gt;""),"  ","")&amp;IF(MOD(INDEX(輔助計算!$D:$D, (MATCH(822, 輔助計算!$G$2:$G$801, 0)+1)),IF(INDEX(ERP資料!$G:$G, (MATCH(822, 輔助計算!$G$2:$G$801, 0)+1))&lt;100, IF(INDEX(ERP資料!$G:$G, (MATCH(822, 輔助計算!$G$2:$G$801, 0)+1))&lt;=31,3,IF(INDEX(ERP資料!$G:$G, (MATCH(822, 輔助計算!$G$2:$G$801, 0)+1))&lt;=46.5,2,1)), IF(INDEX(ERP資料!$G:$G, (MATCH(822, 輔助計算!$G$2:$G$801, 0)+1))&lt;=790,3,IF(INDEX(ERP資料!$G:$G, (MATCH(822, 輔助計算!$G$2:$G$801, 0)+1))&lt;=1181,2,1))))=0,"",IF(MOD(INDEX(輔助計算!$D:$D, (MATCH(822, 輔助計算!$G$2:$G$801, 0)+1)),IF(INDEX(ERP資料!$G:$G, (MATCH(822, 輔助計算!$G$2:$G$801, 0)+1))&lt;100, IF(INDEX(ERP資料!$G:$G, (MATCH(822, 輔助計算!$G$2:$G$801, 0)+1))&lt;=31,3,IF(INDEX(ERP資料!$G:$G, (MATCH(822, 輔助計算!$G$2:$G$801, 0)+1))&lt;=46.5,2,1)), IF(INDEX(ERP資料!$G:$G, (MATCH(822, 輔助計算!$G$2:$G$801, 0)+1))&lt;=790,3,IF(INDEX(ERP資料!$G:$G, (MATCH(822, 輔助計算!$G$2:$G$801, 0)+1))&lt;=1181,2,1))))=0,"",IF(MOD(INDEX(輔助計算!$D:$D, (MATCH(822, 輔助計算!$G$2:$G$801, 0)+1)),IF(INDEX(ERP資料!$G:$G, (MATCH(822, 輔助計算!$G$2:$G$801, 0)+1))&lt;100, IF(INDEX(ERP資料!$G:$G, (MATCH(822, 輔助計算!$G$2:$G$801, 0)+1))&lt;=31,3,IF(INDEX(ERP資料!$G:$G, (MATCH(822, 輔助計算!$G$2:$G$801, 0)+1))&lt;=46.5,2,1)), IF(INDEX(ERP資料!$G:$G, (MATCH(822, 輔助計算!$G$2:$G$801, 0)+1))&lt;=790,3,IF(INDEX(ERP資料!$G:$G, (MATCH(822, 輔助計算!$G$2:$G$801, 0)+1))&lt;=1181,2,1))))=1,TEXT(INDEX(ERP資料!$G:$G, (MATCH(822, 輔助計算!$G$2:$G$801, 0)+1)),"0.##"),IF(MOD(INDEX(輔助計算!$D:$D, (MATCH(822, 輔助計算!$G$2:$G$801, 0)+1)),IF(INDEX(ERP資料!$G:$G, (MATCH(822, 輔助計算!$G$2:$G$801, 0)+1))&lt;100, IF(INDEX(ERP資料!$G:$G, (MATCH(822, 輔助計算!$G$2:$G$801, 0)+1))&lt;=31,3,IF(INDEX(ERP資料!$G:$G, (MATCH(822, 輔助計算!$G$2:$G$801, 0)+1))&lt;=46.5,2,1)), IF(INDEX(ERP資料!$G:$G, (MATCH(822, 輔助計算!$G$2:$G$801, 0)+1))&lt;=790,3,IF(INDEX(ERP資料!$G:$G, (MATCH(822, 輔助計算!$G$2:$G$801, 0)+1))&lt;=1181,2,1))))=2,TEXT(INDEX(ERP資料!$G:$G, (MATCH(822, 輔助計算!$G$2:$G$801, 0)+1)),"0.##")&amp;"+"&amp;TEXT(INDEX(ERP資料!$G:$G, (MATCH(822, 輔助計算!$G$2:$G$801, 0)+1)),"0.##"),TEXT(INDEX(ERP資料!$G:$G, (MATCH(822, 輔助計算!$G$2:$G$801, 0)+1)),"0.##")&amp;"+"&amp;TEXT(INDEX(ERP資料!$G:$G, (MATCH(822, 輔助計算!$G$2:$G$801, 0)+1)),"0.##")&amp;"+"&amp;TEXT(INDEX(ERP資料!$G:$G, (MATCH(822, 輔助計算!$G$2:$G$801, 0)+1)),"0.##"))))&amp;"-1")), ""), "")</f>
        <v/>
      </c>
      <c r="K823" s="16" t="n"/>
      <c r="L823" s="14">
        <f>IFERROR(IF(AND(IFERROR(INDEX(ERP資料!$A:$A, (MATCH(822, 輔助計算!$G$2:$G$801, 0)+1)), "")&lt;&gt;"", IFERROR(INDEX(ERP資料!$A:$A, (MATCH(822, 輔助計算!$G$2:$G$801, 0)+1)), "")&lt;&gt;IFERROR(INDEX(ERP資料!$A:$A, MATCH(821, 輔助計算!$G$2:$G$801, 0)+1), "")), INDEX(ERP資料!$B:$B, (MATCH(822, 輔助計算!$G$2:$G$801, 0)+1)), ""), "")</f>
        <v/>
      </c>
      <c r="M823" s="17" t="n"/>
    </row>
    <row r="824">
      <c r="A824" s="10">
        <f>IFERROR(IF(AND(IFERROR(INDEX(ERP資料!$A:$A, (MATCH(823, 輔助計算!$G$2:$G$801, 0)+1)), "")&lt;&gt;"", IFERROR(INDEX(ERP資料!$A:$A, (MATCH(823, 輔助計算!$G$2:$G$801, 0)+1)), "")&lt;&gt;IFERROR(INDEX(ERP資料!$A:$A, MATCH(822, 輔助計算!$G$2:$G$801, 0)+1), "")), IFERROR(INDEX(ERP資料!$A:$A, (MATCH(823, 輔助計算!$G$2:$G$801, 0)+1)), ""), ""), "")</f>
        <v/>
      </c>
      <c r="B824" s="10">
        <f>IFERROR(IF(AND(IFERROR(INDEX(ERP資料!$A:$A, (MATCH(823, 輔助計算!$G$2:$G$801, 0)+1)), "")&lt;&gt;"", IFERROR(INDEX(ERP資料!$A:$A, (MATCH(823, 輔助計算!$G$2:$G$801, 0)+1)), "")&lt;&gt;IFERROR(INDEX(ERP資料!$A:$A, MATCH(822, 輔助計算!$G$2:$G$801, 0)+1), "")), INDEX(ERP資料!$S:$S, (MATCH(823, 輔助計算!$G$2:$G$801, 0)+1)), ""), "")</f>
        <v/>
      </c>
      <c r="C824" s="19">
        <f>IFERROR(IF(AND(IFERROR(INDEX(ERP資料!$A:$A, (MATCH(823, 輔助計算!$G$2:$G$801, 0)+1)), "")&lt;&gt;"", IFERROR(INDEX(ERP資料!$A:$A, (MATCH(823, 輔助計算!$G$2:$G$801, 0)+1)), "")&lt;&gt;IFERROR(INDEX(ERP資料!$A:$A, MATCH(822, 輔助計算!$G$2:$G$801, 0)+1), "")), IFERROR(VLOOKUP(LEFT(INDEX(ERP資料!$S:$S, (MATCH(823, 輔助計算!$G$2:$G$801, 0)+1)), 4), 紙管對照表!$A:$C, 3, FALSE), ""), ""), "")</f>
        <v/>
      </c>
      <c r="D824" s="16" t="n"/>
      <c r="E824" s="10">
        <f>IFERROR(IF(INDEX(ERP資料!$H:$H, (MATCH(823, 輔助計算!$G$2:$G$801, 0)+1))="","",INDEX(ERP資料!$H:$H, (MATCH(823, 輔助計算!$G$2:$G$801, 0)+1))), "")</f>
        <v/>
      </c>
      <c r="F824" s="10">
        <f>IFERROR(IF(INDEX(ERP資料!$E:$E, (MATCH(823, 輔助計算!$G$2:$G$801, 0)+1))="","",TRIM(INDEX(ERP資料!$E:$E, (MATCH(823, 輔助計算!$G$2:$G$801, 0)+1)))), "")</f>
        <v/>
      </c>
      <c r="G824" s="10">
        <f>IFERROR(IF(INDEX(ERP資料!$F:$F, (MATCH(823, 輔助計算!$G$2:$G$801, 0)+1))="","",INDEX(ERP資料!$F:$F, (MATCH(823, 輔助計算!$G$2:$G$801, 0)+1))), "")</f>
        <v/>
      </c>
      <c r="H824" s="10">
        <f>IFERROR(IF(INDEX(ERP資料!$G:$G, (MATCH(823, 輔助計算!$G$2:$G$801, 0)+1))="","",INDEX(ERP資料!$G:$G, (MATCH(823, 輔助計算!$G$2:$G$801, 0)+1))), "")</f>
        <v/>
      </c>
      <c r="I824" s="15">
        <f>IFERROR(INDEX(輔助計算!$D:$D, (MATCH(823, 輔助計算!$G$2:$G$801, 0)+1)), "")</f>
        <v/>
      </c>
      <c r="J824" s="15">
        <f>IFERROR(IF(AND(INDEX(輔助計算!$D:$D, (MATCH(823, 輔助計算!$G$2:$G$801, 0)+1))&lt;&gt;"", INDEX(ERP資料!$G:$G, (MATCH(823, 輔助計算!$G$2:$G$801, 0)+1))&lt;&gt;""), TRIM(IF(INT(INDEX(輔助計算!$D:$D, (MATCH(823, 輔助計算!$G$2:$G$801, 0)+1))/IF(INDEX(ERP資料!$G:$G, (MATCH(823, 輔助計算!$G$2:$G$801, 0)+1))&lt;100, IF(INDEX(ERP資料!$G:$G, (MATCH(823, 輔助計算!$G$2:$G$801, 0)+1))&lt;=31,3,IF(INDEX(ERP資料!$G:$G, (MATCH(823, 輔助計算!$G$2:$G$801, 0)+1))&lt;=46.5,2,1)), IF(INDEX(ERP資料!$G:$G, (MATCH(823, 輔助計算!$G$2:$G$801, 0)+1))&lt;=790,3,IF(INDEX(ERP資料!$G:$G, (MATCH(823, 輔助計算!$G$2:$G$801, 0)+1))&lt;=1181,2,1))))&gt;0, IF(IF(INDEX(ERP資料!$G:$G, (MATCH(823, 輔助計算!$G$2:$G$801, 0)+1))&lt;100, IF(INDEX(ERP資料!$G:$G, (MATCH(823, 輔助計算!$G$2:$G$801, 0)+1))&lt;=31,3,IF(INDEX(ERP資料!$G:$G, (MATCH(823, 輔助計算!$G$2:$G$801, 0)+1))&lt;=46.5,2,1)), IF(INDEX(ERP資料!$G:$G, (MATCH(823, 輔助計算!$G$2:$G$801, 0)+1))&lt;=790,3,IF(INDEX(ERP資料!$G:$G, (MATCH(823, 輔助計算!$G$2:$G$801, 0)+1))&lt;=1181,2,1)))=1,TEXT(INDEX(ERP資料!$G:$G, (MATCH(823, 輔助計算!$G$2:$G$801, 0)+1)),"0.##"),IF(IF(INDEX(ERP資料!$G:$G, (MATCH(823, 輔助計算!$G$2:$G$801, 0)+1))&lt;100, IF(INDEX(ERP資料!$G:$G, (MATCH(823, 輔助計算!$G$2:$G$801, 0)+1))&lt;=31,3,IF(INDEX(ERP資料!$G:$G, (MATCH(823, 輔助計算!$G$2:$G$801, 0)+1))&lt;=46.5,2,1)), IF(INDEX(ERP資料!$G:$G, (MATCH(823, 輔助計算!$G$2:$G$801, 0)+1))&lt;=790,3,IF(INDEX(ERP資料!$G:$G, (MATCH(823, 輔助計算!$G$2:$G$801, 0)+1))&lt;=1181,2,1)))=2,TEXT(INDEX(ERP資料!$G:$G, (MATCH(823, 輔助計算!$G$2:$G$801, 0)+1)),"0.##")&amp;"+"&amp;TEXT(INDEX(ERP資料!$G:$G, (MATCH(823, 輔助計算!$G$2:$G$801, 0)+1)),"0.##"),TEXT(INDEX(ERP資料!$G:$G, (MATCH(823, 輔助計算!$G$2:$G$801, 0)+1)),"0.##")&amp;"+"&amp;TEXT(INDEX(ERP資料!$G:$G, (MATCH(823, 輔助計算!$G$2:$G$801, 0)+1)),"0.##")&amp;"+"&amp;TEXT(INDEX(ERP資料!$G:$G, (MATCH(823, 輔助計算!$G$2:$G$801, 0)+1)),"0.##")))&amp;"-"&amp;INT(INDEX(輔助計算!$D:$D, (MATCH(823, 輔助計算!$G$2:$G$801, 0)+1))/IF(INDEX(ERP資料!$G:$G, (MATCH(823, 輔助計算!$G$2:$G$801, 0)+1))&lt;100, IF(INDEX(ERP資料!$G:$G, (MATCH(823, 輔助計算!$G$2:$G$801, 0)+1))&lt;=31,3,IF(INDEX(ERP資料!$G:$G, (MATCH(823, 輔助計算!$G$2:$G$801, 0)+1))&lt;=46.5,2,1)), IF(INDEX(ERP資料!$G:$G, (MATCH(823, 輔助計算!$G$2:$G$801, 0)+1))&lt;=790,3,IF(INDEX(ERP資料!$G:$G, (MATCH(823, 輔助計算!$G$2:$G$801, 0)+1))&lt;=1181,2,1)))), "")&amp;IF(AND(IF(INT(INDEX(輔助計算!$D:$D, (MATCH(823, 輔助計算!$G$2:$G$801, 0)+1))/IF(INDEX(ERP資料!$G:$G, (MATCH(823, 輔助計算!$G$2:$G$801, 0)+1))&lt;100, IF(INDEX(ERP資料!$G:$G, (MATCH(823, 輔助計算!$G$2:$G$801, 0)+1))&lt;=31,3,IF(INDEX(ERP資料!$G:$G, (MATCH(823, 輔助計算!$G$2:$G$801, 0)+1))&lt;=46.5,2,1)), IF(INDEX(ERP資料!$G:$G, (MATCH(823, 輔助計算!$G$2:$G$801, 0)+1))&lt;=790,3,IF(INDEX(ERP資料!$G:$G, (MATCH(823, 輔助計算!$G$2:$G$801, 0)+1))&lt;=1181,2,1))))&gt;0, IF(IF(INDEX(ERP資料!$G:$G, (MATCH(823, 輔助計算!$G$2:$G$801, 0)+1))&lt;100, IF(INDEX(ERP資料!$G:$G, (MATCH(823, 輔助計算!$G$2:$G$801, 0)+1))&lt;=31,3,IF(INDEX(ERP資料!$G:$G, (MATCH(823, 輔助計算!$G$2:$G$801, 0)+1))&lt;=46.5,2,1)), IF(INDEX(ERP資料!$G:$G, (MATCH(823, 輔助計算!$G$2:$G$801, 0)+1))&lt;=790,3,IF(INDEX(ERP資料!$G:$G, (MATCH(823, 輔助計算!$G$2:$G$801, 0)+1))&lt;=1181,2,1)))=1,TEXT(INDEX(ERP資料!$G:$G, (MATCH(823, 輔助計算!$G$2:$G$801, 0)+1)),"0.##"),IF(IF(INDEX(ERP資料!$G:$G, (MATCH(823, 輔助計算!$G$2:$G$801, 0)+1))&lt;100, IF(INDEX(ERP資料!$G:$G, (MATCH(823, 輔助計算!$G$2:$G$801, 0)+1))&lt;=31,3,IF(INDEX(ERP資料!$G:$G, (MATCH(823, 輔助計算!$G$2:$G$801, 0)+1))&lt;=46.5,2,1)), IF(INDEX(ERP資料!$G:$G, (MATCH(823, 輔助計算!$G$2:$G$801, 0)+1))&lt;=790,3,IF(INDEX(ERP資料!$G:$G, (MATCH(823, 輔助計算!$G$2:$G$801, 0)+1))&lt;=1181,2,1)))=2,TEXT(INDEX(ERP資料!$G:$G, (MATCH(823, 輔助計算!$G$2:$G$801, 0)+1)),"0.##")&amp;"+"&amp;TEXT(INDEX(ERP資料!$G:$G, (MATCH(823, 輔助計算!$G$2:$G$801, 0)+1)),"0.##"),TEXT(INDEX(ERP資料!$G:$G, (MATCH(823, 輔助計算!$G$2:$G$801, 0)+1)),"0.##")&amp;"+"&amp;TEXT(INDEX(ERP資料!$G:$G, (MATCH(823, 輔助計算!$G$2:$G$801, 0)+1)),"0.##")&amp;"+"&amp;TEXT(INDEX(ERP資料!$G:$G, (MATCH(823, 輔助計算!$G$2:$G$801, 0)+1)),"0.##")))&amp;"-"&amp;INT(INDEX(輔助計算!$D:$D, (MATCH(823, 輔助計算!$G$2:$G$801, 0)+1))/IF(INDEX(ERP資料!$G:$G, (MATCH(823, 輔助計算!$G$2:$G$801, 0)+1))&lt;100, IF(INDEX(ERP資料!$G:$G, (MATCH(823, 輔助計算!$G$2:$G$801, 0)+1))&lt;=31,3,IF(INDEX(ERP資料!$G:$G, (MATCH(823, 輔助計算!$G$2:$G$801, 0)+1))&lt;=46.5,2,1)), IF(INDEX(ERP資料!$G:$G, (MATCH(823, 輔助計算!$G$2:$G$801, 0)+1))&lt;=790,3,IF(INDEX(ERP資料!$G:$G, (MATCH(823, 輔助計算!$G$2:$G$801, 0)+1))&lt;=1181,2,1)))), "")&lt;&gt;"",IF(MOD(INDEX(輔助計算!$D:$D, (MATCH(823, 輔助計算!$G$2:$G$801, 0)+1)),IF(INDEX(ERP資料!$G:$G, (MATCH(823, 輔助計算!$G$2:$G$801, 0)+1))&lt;100, IF(INDEX(ERP資料!$G:$G, (MATCH(823, 輔助計算!$G$2:$G$801, 0)+1))&lt;=31,3,IF(INDEX(ERP資料!$G:$G, (MATCH(823, 輔助計算!$G$2:$G$801, 0)+1))&lt;=46.5,2,1)), IF(INDEX(ERP資料!$G:$G, (MATCH(823, 輔助計算!$G$2:$G$801, 0)+1))&lt;=790,3,IF(INDEX(ERP資料!$G:$G, (MATCH(823, 輔助計算!$G$2:$G$801, 0)+1))&lt;=1181,2,1))))=0,"",IF(MOD(INDEX(輔助計算!$D:$D, (MATCH(823, 輔助計算!$G$2:$G$801, 0)+1)),IF(INDEX(ERP資料!$G:$G, (MATCH(823, 輔助計算!$G$2:$G$801, 0)+1))&lt;100, IF(INDEX(ERP資料!$G:$G, (MATCH(823, 輔助計算!$G$2:$G$801, 0)+1))&lt;=31,3,IF(INDEX(ERP資料!$G:$G, (MATCH(823, 輔助計算!$G$2:$G$801, 0)+1))&lt;=46.5,2,1)), IF(INDEX(ERP資料!$G:$G, (MATCH(823, 輔助計算!$G$2:$G$801, 0)+1))&lt;=790,3,IF(INDEX(ERP資料!$G:$G, (MATCH(823, 輔助計算!$G$2:$G$801, 0)+1))&lt;=1181,2,1))))=0,"",IF(MOD(INDEX(輔助計算!$D:$D, (MATCH(823, 輔助計算!$G$2:$G$801, 0)+1)),IF(INDEX(ERP資料!$G:$G, (MATCH(823, 輔助計算!$G$2:$G$801, 0)+1))&lt;100, IF(INDEX(ERP資料!$G:$G, (MATCH(823, 輔助計算!$G$2:$G$801, 0)+1))&lt;=31,3,IF(INDEX(ERP資料!$G:$G, (MATCH(823, 輔助計算!$G$2:$G$801, 0)+1))&lt;=46.5,2,1)), IF(INDEX(ERP資料!$G:$G, (MATCH(823, 輔助計算!$G$2:$G$801, 0)+1))&lt;=790,3,IF(INDEX(ERP資料!$G:$G, (MATCH(823, 輔助計算!$G$2:$G$801, 0)+1))&lt;=1181,2,1))))=1,TEXT(INDEX(ERP資料!$G:$G, (MATCH(823, 輔助計算!$G$2:$G$801, 0)+1)),"0.##"),IF(MOD(INDEX(輔助計算!$D:$D, (MATCH(823, 輔助計算!$G$2:$G$801, 0)+1)),IF(INDEX(ERP資料!$G:$G, (MATCH(823, 輔助計算!$G$2:$G$801, 0)+1))&lt;100, IF(INDEX(ERP資料!$G:$G, (MATCH(823, 輔助計算!$G$2:$G$801, 0)+1))&lt;=31,3,IF(INDEX(ERP資料!$G:$G, (MATCH(823, 輔助計算!$G$2:$G$801, 0)+1))&lt;=46.5,2,1)), IF(INDEX(ERP資料!$G:$G, (MATCH(823, 輔助計算!$G$2:$G$801, 0)+1))&lt;=790,3,IF(INDEX(ERP資料!$G:$G, (MATCH(823, 輔助計算!$G$2:$G$801, 0)+1))&lt;=1181,2,1))))=2,TEXT(INDEX(ERP資料!$G:$G, (MATCH(823, 輔助計算!$G$2:$G$801, 0)+1)),"0.##")&amp;"+"&amp;TEXT(INDEX(ERP資料!$G:$G, (MATCH(823, 輔助計算!$G$2:$G$801, 0)+1)),"0.##"),TEXT(INDEX(ERP資料!$G:$G, (MATCH(823, 輔助計算!$G$2:$G$801, 0)+1)),"0.##")&amp;"+"&amp;TEXT(INDEX(ERP資料!$G:$G, (MATCH(823, 輔助計算!$G$2:$G$801, 0)+1)),"0.##")&amp;"+"&amp;TEXT(INDEX(ERP資料!$G:$G, (MATCH(823, 輔助計算!$G$2:$G$801, 0)+1)),"0.##"))))&amp;"-1")&lt;&gt;""),"  ","")&amp;IF(MOD(INDEX(輔助計算!$D:$D, (MATCH(823, 輔助計算!$G$2:$G$801, 0)+1)),IF(INDEX(ERP資料!$G:$G, (MATCH(823, 輔助計算!$G$2:$G$801, 0)+1))&lt;100, IF(INDEX(ERP資料!$G:$G, (MATCH(823, 輔助計算!$G$2:$G$801, 0)+1))&lt;=31,3,IF(INDEX(ERP資料!$G:$G, (MATCH(823, 輔助計算!$G$2:$G$801, 0)+1))&lt;=46.5,2,1)), IF(INDEX(ERP資料!$G:$G, (MATCH(823, 輔助計算!$G$2:$G$801, 0)+1))&lt;=790,3,IF(INDEX(ERP資料!$G:$G, (MATCH(823, 輔助計算!$G$2:$G$801, 0)+1))&lt;=1181,2,1))))=0,"",IF(MOD(INDEX(輔助計算!$D:$D, (MATCH(823, 輔助計算!$G$2:$G$801, 0)+1)),IF(INDEX(ERP資料!$G:$G, (MATCH(823, 輔助計算!$G$2:$G$801, 0)+1))&lt;100, IF(INDEX(ERP資料!$G:$G, (MATCH(823, 輔助計算!$G$2:$G$801, 0)+1))&lt;=31,3,IF(INDEX(ERP資料!$G:$G, (MATCH(823, 輔助計算!$G$2:$G$801, 0)+1))&lt;=46.5,2,1)), IF(INDEX(ERP資料!$G:$G, (MATCH(823, 輔助計算!$G$2:$G$801, 0)+1))&lt;=790,3,IF(INDEX(ERP資料!$G:$G, (MATCH(823, 輔助計算!$G$2:$G$801, 0)+1))&lt;=1181,2,1))))=0,"",IF(MOD(INDEX(輔助計算!$D:$D, (MATCH(823, 輔助計算!$G$2:$G$801, 0)+1)),IF(INDEX(ERP資料!$G:$G, (MATCH(823, 輔助計算!$G$2:$G$801, 0)+1))&lt;100, IF(INDEX(ERP資料!$G:$G, (MATCH(823, 輔助計算!$G$2:$G$801, 0)+1))&lt;=31,3,IF(INDEX(ERP資料!$G:$G, (MATCH(823, 輔助計算!$G$2:$G$801, 0)+1))&lt;=46.5,2,1)), IF(INDEX(ERP資料!$G:$G, (MATCH(823, 輔助計算!$G$2:$G$801, 0)+1))&lt;=790,3,IF(INDEX(ERP資料!$G:$G, (MATCH(823, 輔助計算!$G$2:$G$801, 0)+1))&lt;=1181,2,1))))=1,TEXT(INDEX(ERP資料!$G:$G, (MATCH(823, 輔助計算!$G$2:$G$801, 0)+1)),"0.##"),IF(MOD(INDEX(輔助計算!$D:$D, (MATCH(823, 輔助計算!$G$2:$G$801, 0)+1)),IF(INDEX(ERP資料!$G:$G, (MATCH(823, 輔助計算!$G$2:$G$801, 0)+1))&lt;100, IF(INDEX(ERP資料!$G:$G, (MATCH(823, 輔助計算!$G$2:$G$801, 0)+1))&lt;=31,3,IF(INDEX(ERP資料!$G:$G, (MATCH(823, 輔助計算!$G$2:$G$801, 0)+1))&lt;=46.5,2,1)), IF(INDEX(ERP資料!$G:$G, (MATCH(823, 輔助計算!$G$2:$G$801, 0)+1))&lt;=790,3,IF(INDEX(ERP資料!$G:$G, (MATCH(823, 輔助計算!$G$2:$G$801, 0)+1))&lt;=1181,2,1))))=2,TEXT(INDEX(ERP資料!$G:$G, (MATCH(823, 輔助計算!$G$2:$G$801, 0)+1)),"0.##")&amp;"+"&amp;TEXT(INDEX(ERP資料!$G:$G, (MATCH(823, 輔助計算!$G$2:$G$801, 0)+1)),"0.##"),TEXT(INDEX(ERP資料!$G:$G, (MATCH(823, 輔助計算!$G$2:$G$801, 0)+1)),"0.##")&amp;"+"&amp;TEXT(INDEX(ERP資料!$G:$G, (MATCH(823, 輔助計算!$G$2:$G$801, 0)+1)),"0.##")&amp;"+"&amp;TEXT(INDEX(ERP資料!$G:$G, (MATCH(823, 輔助計算!$G$2:$G$801, 0)+1)),"0.##"))))&amp;"-1")), ""), "")</f>
        <v/>
      </c>
      <c r="K824" s="16" t="n"/>
      <c r="L824" s="14">
        <f>IFERROR(IF(AND(IFERROR(INDEX(ERP資料!$A:$A, (MATCH(823, 輔助計算!$G$2:$G$801, 0)+1)), "")&lt;&gt;"", IFERROR(INDEX(ERP資料!$A:$A, (MATCH(823, 輔助計算!$G$2:$G$801, 0)+1)), "")&lt;&gt;IFERROR(INDEX(ERP資料!$A:$A, MATCH(822, 輔助計算!$G$2:$G$801, 0)+1), "")), INDEX(ERP資料!$B:$B, (MATCH(823, 輔助計算!$G$2:$G$801, 0)+1)), ""), "")</f>
        <v/>
      </c>
      <c r="M824" s="17" t="n"/>
    </row>
    <row r="825">
      <c r="A825" s="10">
        <f>IFERROR(IF(AND(IFERROR(INDEX(ERP資料!$A:$A, (MATCH(824, 輔助計算!$G$2:$G$801, 0)+1)), "")&lt;&gt;"", IFERROR(INDEX(ERP資料!$A:$A, (MATCH(824, 輔助計算!$G$2:$G$801, 0)+1)), "")&lt;&gt;IFERROR(INDEX(ERP資料!$A:$A, MATCH(823, 輔助計算!$G$2:$G$801, 0)+1), "")), IFERROR(INDEX(ERP資料!$A:$A, (MATCH(824, 輔助計算!$G$2:$G$801, 0)+1)), ""), ""), "")</f>
        <v/>
      </c>
      <c r="B825" s="10">
        <f>IFERROR(IF(AND(IFERROR(INDEX(ERP資料!$A:$A, (MATCH(824, 輔助計算!$G$2:$G$801, 0)+1)), "")&lt;&gt;"", IFERROR(INDEX(ERP資料!$A:$A, (MATCH(824, 輔助計算!$G$2:$G$801, 0)+1)), "")&lt;&gt;IFERROR(INDEX(ERP資料!$A:$A, MATCH(823, 輔助計算!$G$2:$G$801, 0)+1), "")), INDEX(ERP資料!$S:$S, (MATCH(824, 輔助計算!$G$2:$G$801, 0)+1)), ""), "")</f>
        <v/>
      </c>
      <c r="C825" s="19">
        <f>IFERROR(IF(AND(IFERROR(INDEX(ERP資料!$A:$A, (MATCH(824, 輔助計算!$G$2:$G$801, 0)+1)), "")&lt;&gt;"", IFERROR(INDEX(ERP資料!$A:$A, (MATCH(824, 輔助計算!$G$2:$G$801, 0)+1)), "")&lt;&gt;IFERROR(INDEX(ERP資料!$A:$A, MATCH(823, 輔助計算!$G$2:$G$801, 0)+1), "")), IFERROR(VLOOKUP(LEFT(INDEX(ERP資料!$S:$S, (MATCH(824, 輔助計算!$G$2:$G$801, 0)+1)), 4), 紙管對照表!$A:$C, 3, FALSE), ""), ""), "")</f>
        <v/>
      </c>
      <c r="D825" s="16" t="n"/>
      <c r="E825" s="10">
        <f>IFERROR(IF(INDEX(ERP資料!$H:$H, (MATCH(824, 輔助計算!$G$2:$G$801, 0)+1))="","",INDEX(ERP資料!$H:$H, (MATCH(824, 輔助計算!$G$2:$G$801, 0)+1))), "")</f>
        <v/>
      </c>
      <c r="F825" s="10">
        <f>IFERROR(IF(INDEX(ERP資料!$E:$E, (MATCH(824, 輔助計算!$G$2:$G$801, 0)+1))="","",TRIM(INDEX(ERP資料!$E:$E, (MATCH(824, 輔助計算!$G$2:$G$801, 0)+1)))), "")</f>
        <v/>
      </c>
      <c r="G825" s="10">
        <f>IFERROR(IF(INDEX(ERP資料!$F:$F, (MATCH(824, 輔助計算!$G$2:$G$801, 0)+1))="","",INDEX(ERP資料!$F:$F, (MATCH(824, 輔助計算!$G$2:$G$801, 0)+1))), "")</f>
        <v/>
      </c>
      <c r="H825" s="10">
        <f>IFERROR(IF(INDEX(ERP資料!$G:$G, (MATCH(824, 輔助計算!$G$2:$G$801, 0)+1))="","",INDEX(ERP資料!$G:$G, (MATCH(824, 輔助計算!$G$2:$G$801, 0)+1))), "")</f>
        <v/>
      </c>
      <c r="I825" s="15">
        <f>IFERROR(INDEX(輔助計算!$D:$D, (MATCH(824, 輔助計算!$G$2:$G$801, 0)+1)), "")</f>
        <v/>
      </c>
      <c r="J825" s="15">
        <f>IFERROR(IF(AND(INDEX(輔助計算!$D:$D, (MATCH(824, 輔助計算!$G$2:$G$801, 0)+1))&lt;&gt;"", INDEX(ERP資料!$G:$G, (MATCH(824, 輔助計算!$G$2:$G$801, 0)+1))&lt;&gt;""), TRIM(IF(INT(INDEX(輔助計算!$D:$D, (MATCH(824, 輔助計算!$G$2:$G$801, 0)+1))/IF(INDEX(ERP資料!$G:$G, (MATCH(824, 輔助計算!$G$2:$G$801, 0)+1))&lt;100, IF(INDEX(ERP資料!$G:$G, (MATCH(824, 輔助計算!$G$2:$G$801, 0)+1))&lt;=31,3,IF(INDEX(ERP資料!$G:$G, (MATCH(824, 輔助計算!$G$2:$G$801, 0)+1))&lt;=46.5,2,1)), IF(INDEX(ERP資料!$G:$G, (MATCH(824, 輔助計算!$G$2:$G$801, 0)+1))&lt;=790,3,IF(INDEX(ERP資料!$G:$G, (MATCH(824, 輔助計算!$G$2:$G$801, 0)+1))&lt;=1181,2,1))))&gt;0, IF(IF(INDEX(ERP資料!$G:$G, (MATCH(824, 輔助計算!$G$2:$G$801, 0)+1))&lt;100, IF(INDEX(ERP資料!$G:$G, (MATCH(824, 輔助計算!$G$2:$G$801, 0)+1))&lt;=31,3,IF(INDEX(ERP資料!$G:$G, (MATCH(824, 輔助計算!$G$2:$G$801, 0)+1))&lt;=46.5,2,1)), IF(INDEX(ERP資料!$G:$G, (MATCH(824, 輔助計算!$G$2:$G$801, 0)+1))&lt;=790,3,IF(INDEX(ERP資料!$G:$G, (MATCH(824, 輔助計算!$G$2:$G$801, 0)+1))&lt;=1181,2,1)))=1,TEXT(INDEX(ERP資料!$G:$G, (MATCH(824, 輔助計算!$G$2:$G$801, 0)+1)),"0.##"),IF(IF(INDEX(ERP資料!$G:$G, (MATCH(824, 輔助計算!$G$2:$G$801, 0)+1))&lt;100, IF(INDEX(ERP資料!$G:$G, (MATCH(824, 輔助計算!$G$2:$G$801, 0)+1))&lt;=31,3,IF(INDEX(ERP資料!$G:$G, (MATCH(824, 輔助計算!$G$2:$G$801, 0)+1))&lt;=46.5,2,1)), IF(INDEX(ERP資料!$G:$G, (MATCH(824, 輔助計算!$G$2:$G$801, 0)+1))&lt;=790,3,IF(INDEX(ERP資料!$G:$G, (MATCH(824, 輔助計算!$G$2:$G$801, 0)+1))&lt;=1181,2,1)))=2,TEXT(INDEX(ERP資料!$G:$G, (MATCH(824, 輔助計算!$G$2:$G$801, 0)+1)),"0.##")&amp;"+"&amp;TEXT(INDEX(ERP資料!$G:$G, (MATCH(824, 輔助計算!$G$2:$G$801, 0)+1)),"0.##"),TEXT(INDEX(ERP資料!$G:$G, (MATCH(824, 輔助計算!$G$2:$G$801, 0)+1)),"0.##")&amp;"+"&amp;TEXT(INDEX(ERP資料!$G:$G, (MATCH(824, 輔助計算!$G$2:$G$801, 0)+1)),"0.##")&amp;"+"&amp;TEXT(INDEX(ERP資料!$G:$G, (MATCH(824, 輔助計算!$G$2:$G$801, 0)+1)),"0.##")))&amp;"-"&amp;INT(INDEX(輔助計算!$D:$D, (MATCH(824, 輔助計算!$G$2:$G$801, 0)+1))/IF(INDEX(ERP資料!$G:$G, (MATCH(824, 輔助計算!$G$2:$G$801, 0)+1))&lt;100, IF(INDEX(ERP資料!$G:$G, (MATCH(824, 輔助計算!$G$2:$G$801, 0)+1))&lt;=31,3,IF(INDEX(ERP資料!$G:$G, (MATCH(824, 輔助計算!$G$2:$G$801, 0)+1))&lt;=46.5,2,1)), IF(INDEX(ERP資料!$G:$G, (MATCH(824, 輔助計算!$G$2:$G$801, 0)+1))&lt;=790,3,IF(INDEX(ERP資料!$G:$G, (MATCH(824, 輔助計算!$G$2:$G$801, 0)+1))&lt;=1181,2,1)))), "")&amp;IF(AND(IF(INT(INDEX(輔助計算!$D:$D, (MATCH(824, 輔助計算!$G$2:$G$801, 0)+1))/IF(INDEX(ERP資料!$G:$G, (MATCH(824, 輔助計算!$G$2:$G$801, 0)+1))&lt;100, IF(INDEX(ERP資料!$G:$G, (MATCH(824, 輔助計算!$G$2:$G$801, 0)+1))&lt;=31,3,IF(INDEX(ERP資料!$G:$G, (MATCH(824, 輔助計算!$G$2:$G$801, 0)+1))&lt;=46.5,2,1)), IF(INDEX(ERP資料!$G:$G, (MATCH(824, 輔助計算!$G$2:$G$801, 0)+1))&lt;=790,3,IF(INDEX(ERP資料!$G:$G, (MATCH(824, 輔助計算!$G$2:$G$801, 0)+1))&lt;=1181,2,1))))&gt;0, IF(IF(INDEX(ERP資料!$G:$G, (MATCH(824, 輔助計算!$G$2:$G$801, 0)+1))&lt;100, IF(INDEX(ERP資料!$G:$G, (MATCH(824, 輔助計算!$G$2:$G$801, 0)+1))&lt;=31,3,IF(INDEX(ERP資料!$G:$G, (MATCH(824, 輔助計算!$G$2:$G$801, 0)+1))&lt;=46.5,2,1)), IF(INDEX(ERP資料!$G:$G, (MATCH(824, 輔助計算!$G$2:$G$801, 0)+1))&lt;=790,3,IF(INDEX(ERP資料!$G:$G, (MATCH(824, 輔助計算!$G$2:$G$801, 0)+1))&lt;=1181,2,1)))=1,TEXT(INDEX(ERP資料!$G:$G, (MATCH(824, 輔助計算!$G$2:$G$801, 0)+1)),"0.##"),IF(IF(INDEX(ERP資料!$G:$G, (MATCH(824, 輔助計算!$G$2:$G$801, 0)+1))&lt;100, IF(INDEX(ERP資料!$G:$G, (MATCH(824, 輔助計算!$G$2:$G$801, 0)+1))&lt;=31,3,IF(INDEX(ERP資料!$G:$G, (MATCH(824, 輔助計算!$G$2:$G$801, 0)+1))&lt;=46.5,2,1)), IF(INDEX(ERP資料!$G:$G, (MATCH(824, 輔助計算!$G$2:$G$801, 0)+1))&lt;=790,3,IF(INDEX(ERP資料!$G:$G, (MATCH(824, 輔助計算!$G$2:$G$801, 0)+1))&lt;=1181,2,1)))=2,TEXT(INDEX(ERP資料!$G:$G, (MATCH(824, 輔助計算!$G$2:$G$801, 0)+1)),"0.##")&amp;"+"&amp;TEXT(INDEX(ERP資料!$G:$G, (MATCH(824, 輔助計算!$G$2:$G$801, 0)+1)),"0.##"),TEXT(INDEX(ERP資料!$G:$G, (MATCH(824, 輔助計算!$G$2:$G$801, 0)+1)),"0.##")&amp;"+"&amp;TEXT(INDEX(ERP資料!$G:$G, (MATCH(824, 輔助計算!$G$2:$G$801, 0)+1)),"0.##")&amp;"+"&amp;TEXT(INDEX(ERP資料!$G:$G, (MATCH(824, 輔助計算!$G$2:$G$801, 0)+1)),"0.##")))&amp;"-"&amp;INT(INDEX(輔助計算!$D:$D, (MATCH(824, 輔助計算!$G$2:$G$801, 0)+1))/IF(INDEX(ERP資料!$G:$G, (MATCH(824, 輔助計算!$G$2:$G$801, 0)+1))&lt;100, IF(INDEX(ERP資料!$G:$G, (MATCH(824, 輔助計算!$G$2:$G$801, 0)+1))&lt;=31,3,IF(INDEX(ERP資料!$G:$G, (MATCH(824, 輔助計算!$G$2:$G$801, 0)+1))&lt;=46.5,2,1)), IF(INDEX(ERP資料!$G:$G, (MATCH(824, 輔助計算!$G$2:$G$801, 0)+1))&lt;=790,3,IF(INDEX(ERP資料!$G:$G, (MATCH(824, 輔助計算!$G$2:$G$801, 0)+1))&lt;=1181,2,1)))), "")&lt;&gt;"",IF(MOD(INDEX(輔助計算!$D:$D, (MATCH(824, 輔助計算!$G$2:$G$801, 0)+1)),IF(INDEX(ERP資料!$G:$G, (MATCH(824, 輔助計算!$G$2:$G$801, 0)+1))&lt;100, IF(INDEX(ERP資料!$G:$G, (MATCH(824, 輔助計算!$G$2:$G$801, 0)+1))&lt;=31,3,IF(INDEX(ERP資料!$G:$G, (MATCH(824, 輔助計算!$G$2:$G$801, 0)+1))&lt;=46.5,2,1)), IF(INDEX(ERP資料!$G:$G, (MATCH(824, 輔助計算!$G$2:$G$801, 0)+1))&lt;=790,3,IF(INDEX(ERP資料!$G:$G, (MATCH(824, 輔助計算!$G$2:$G$801, 0)+1))&lt;=1181,2,1))))=0,"",IF(MOD(INDEX(輔助計算!$D:$D, (MATCH(824, 輔助計算!$G$2:$G$801, 0)+1)),IF(INDEX(ERP資料!$G:$G, (MATCH(824, 輔助計算!$G$2:$G$801, 0)+1))&lt;100, IF(INDEX(ERP資料!$G:$G, (MATCH(824, 輔助計算!$G$2:$G$801, 0)+1))&lt;=31,3,IF(INDEX(ERP資料!$G:$G, (MATCH(824, 輔助計算!$G$2:$G$801, 0)+1))&lt;=46.5,2,1)), IF(INDEX(ERP資料!$G:$G, (MATCH(824, 輔助計算!$G$2:$G$801, 0)+1))&lt;=790,3,IF(INDEX(ERP資料!$G:$G, (MATCH(824, 輔助計算!$G$2:$G$801, 0)+1))&lt;=1181,2,1))))=0,"",IF(MOD(INDEX(輔助計算!$D:$D, (MATCH(824, 輔助計算!$G$2:$G$801, 0)+1)),IF(INDEX(ERP資料!$G:$G, (MATCH(824, 輔助計算!$G$2:$G$801, 0)+1))&lt;100, IF(INDEX(ERP資料!$G:$G, (MATCH(824, 輔助計算!$G$2:$G$801, 0)+1))&lt;=31,3,IF(INDEX(ERP資料!$G:$G, (MATCH(824, 輔助計算!$G$2:$G$801, 0)+1))&lt;=46.5,2,1)), IF(INDEX(ERP資料!$G:$G, (MATCH(824, 輔助計算!$G$2:$G$801, 0)+1))&lt;=790,3,IF(INDEX(ERP資料!$G:$G, (MATCH(824, 輔助計算!$G$2:$G$801, 0)+1))&lt;=1181,2,1))))=1,TEXT(INDEX(ERP資料!$G:$G, (MATCH(824, 輔助計算!$G$2:$G$801, 0)+1)),"0.##"),IF(MOD(INDEX(輔助計算!$D:$D, (MATCH(824, 輔助計算!$G$2:$G$801, 0)+1)),IF(INDEX(ERP資料!$G:$G, (MATCH(824, 輔助計算!$G$2:$G$801, 0)+1))&lt;100, IF(INDEX(ERP資料!$G:$G, (MATCH(824, 輔助計算!$G$2:$G$801, 0)+1))&lt;=31,3,IF(INDEX(ERP資料!$G:$G, (MATCH(824, 輔助計算!$G$2:$G$801, 0)+1))&lt;=46.5,2,1)), IF(INDEX(ERP資料!$G:$G, (MATCH(824, 輔助計算!$G$2:$G$801, 0)+1))&lt;=790,3,IF(INDEX(ERP資料!$G:$G, (MATCH(824, 輔助計算!$G$2:$G$801, 0)+1))&lt;=1181,2,1))))=2,TEXT(INDEX(ERP資料!$G:$G, (MATCH(824, 輔助計算!$G$2:$G$801, 0)+1)),"0.##")&amp;"+"&amp;TEXT(INDEX(ERP資料!$G:$G, (MATCH(824, 輔助計算!$G$2:$G$801, 0)+1)),"0.##"),TEXT(INDEX(ERP資料!$G:$G, (MATCH(824, 輔助計算!$G$2:$G$801, 0)+1)),"0.##")&amp;"+"&amp;TEXT(INDEX(ERP資料!$G:$G, (MATCH(824, 輔助計算!$G$2:$G$801, 0)+1)),"0.##")&amp;"+"&amp;TEXT(INDEX(ERP資料!$G:$G, (MATCH(824, 輔助計算!$G$2:$G$801, 0)+1)),"0.##"))))&amp;"-1")&lt;&gt;""),"  ","")&amp;IF(MOD(INDEX(輔助計算!$D:$D, (MATCH(824, 輔助計算!$G$2:$G$801, 0)+1)),IF(INDEX(ERP資料!$G:$G, (MATCH(824, 輔助計算!$G$2:$G$801, 0)+1))&lt;100, IF(INDEX(ERP資料!$G:$G, (MATCH(824, 輔助計算!$G$2:$G$801, 0)+1))&lt;=31,3,IF(INDEX(ERP資料!$G:$G, (MATCH(824, 輔助計算!$G$2:$G$801, 0)+1))&lt;=46.5,2,1)), IF(INDEX(ERP資料!$G:$G, (MATCH(824, 輔助計算!$G$2:$G$801, 0)+1))&lt;=790,3,IF(INDEX(ERP資料!$G:$G, (MATCH(824, 輔助計算!$G$2:$G$801, 0)+1))&lt;=1181,2,1))))=0,"",IF(MOD(INDEX(輔助計算!$D:$D, (MATCH(824, 輔助計算!$G$2:$G$801, 0)+1)),IF(INDEX(ERP資料!$G:$G, (MATCH(824, 輔助計算!$G$2:$G$801, 0)+1))&lt;100, IF(INDEX(ERP資料!$G:$G, (MATCH(824, 輔助計算!$G$2:$G$801, 0)+1))&lt;=31,3,IF(INDEX(ERP資料!$G:$G, (MATCH(824, 輔助計算!$G$2:$G$801, 0)+1))&lt;=46.5,2,1)), IF(INDEX(ERP資料!$G:$G, (MATCH(824, 輔助計算!$G$2:$G$801, 0)+1))&lt;=790,3,IF(INDEX(ERP資料!$G:$G, (MATCH(824, 輔助計算!$G$2:$G$801, 0)+1))&lt;=1181,2,1))))=0,"",IF(MOD(INDEX(輔助計算!$D:$D, (MATCH(824, 輔助計算!$G$2:$G$801, 0)+1)),IF(INDEX(ERP資料!$G:$G, (MATCH(824, 輔助計算!$G$2:$G$801, 0)+1))&lt;100, IF(INDEX(ERP資料!$G:$G, (MATCH(824, 輔助計算!$G$2:$G$801, 0)+1))&lt;=31,3,IF(INDEX(ERP資料!$G:$G, (MATCH(824, 輔助計算!$G$2:$G$801, 0)+1))&lt;=46.5,2,1)), IF(INDEX(ERP資料!$G:$G, (MATCH(824, 輔助計算!$G$2:$G$801, 0)+1))&lt;=790,3,IF(INDEX(ERP資料!$G:$G, (MATCH(824, 輔助計算!$G$2:$G$801, 0)+1))&lt;=1181,2,1))))=1,TEXT(INDEX(ERP資料!$G:$G, (MATCH(824, 輔助計算!$G$2:$G$801, 0)+1)),"0.##"),IF(MOD(INDEX(輔助計算!$D:$D, (MATCH(824, 輔助計算!$G$2:$G$801, 0)+1)),IF(INDEX(ERP資料!$G:$G, (MATCH(824, 輔助計算!$G$2:$G$801, 0)+1))&lt;100, IF(INDEX(ERP資料!$G:$G, (MATCH(824, 輔助計算!$G$2:$G$801, 0)+1))&lt;=31,3,IF(INDEX(ERP資料!$G:$G, (MATCH(824, 輔助計算!$G$2:$G$801, 0)+1))&lt;=46.5,2,1)), IF(INDEX(ERP資料!$G:$G, (MATCH(824, 輔助計算!$G$2:$G$801, 0)+1))&lt;=790,3,IF(INDEX(ERP資料!$G:$G, (MATCH(824, 輔助計算!$G$2:$G$801, 0)+1))&lt;=1181,2,1))))=2,TEXT(INDEX(ERP資料!$G:$G, (MATCH(824, 輔助計算!$G$2:$G$801, 0)+1)),"0.##")&amp;"+"&amp;TEXT(INDEX(ERP資料!$G:$G, (MATCH(824, 輔助計算!$G$2:$G$801, 0)+1)),"0.##"),TEXT(INDEX(ERP資料!$G:$G, (MATCH(824, 輔助計算!$G$2:$G$801, 0)+1)),"0.##")&amp;"+"&amp;TEXT(INDEX(ERP資料!$G:$G, (MATCH(824, 輔助計算!$G$2:$G$801, 0)+1)),"0.##")&amp;"+"&amp;TEXT(INDEX(ERP資料!$G:$G, (MATCH(824, 輔助計算!$G$2:$G$801, 0)+1)),"0.##"))))&amp;"-1")), ""), "")</f>
        <v/>
      </c>
      <c r="K825" s="16" t="n"/>
      <c r="L825" s="14">
        <f>IFERROR(IF(AND(IFERROR(INDEX(ERP資料!$A:$A, (MATCH(824, 輔助計算!$G$2:$G$801, 0)+1)), "")&lt;&gt;"", IFERROR(INDEX(ERP資料!$A:$A, (MATCH(824, 輔助計算!$G$2:$G$801, 0)+1)), "")&lt;&gt;IFERROR(INDEX(ERP資料!$A:$A, MATCH(823, 輔助計算!$G$2:$G$801, 0)+1), "")), INDEX(ERP資料!$B:$B, (MATCH(824, 輔助計算!$G$2:$G$801, 0)+1)), ""), "")</f>
        <v/>
      </c>
      <c r="M825" s="17" t="n"/>
    </row>
    <row r="826">
      <c r="A826" s="10">
        <f>IFERROR(IF(AND(IFERROR(INDEX(ERP資料!$A:$A, (MATCH(825, 輔助計算!$G$2:$G$801, 0)+1)), "")&lt;&gt;"", IFERROR(INDEX(ERP資料!$A:$A, (MATCH(825, 輔助計算!$G$2:$G$801, 0)+1)), "")&lt;&gt;IFERROR(INDEX(ERP資料!$A:$A, MATCH(824, 輔助計算!$G$2:$G$801, 0)+1), "")), IFERROR(INDEX(ERP資料!$A:$A, (MATCH(825, 輔助計算!$G$2:$G$801, 0)+1)), ""), ""), "")</f>
        <v/>
      </c>
      <c r="B826" s="10">
        <f>IFERROR(IF(AND(IFERROR(INDEX(ERP資料!$A:$A, (MATCH(825, 輔助計算!$G$2:$G$801, 0)+1)), "")&lt;&gt;"", IFERROR(INDEX(ERP資料!$A:$A, (MATCH(825, 輔助計算!$G$2:$G$801, 0)+1)), "")&lt;&gt;IFERROR(INDEX(ERP資料!$A:$A, MATCH(824, 輔助計算!$G$2:$G$801, 0)+1), "")), INDEX(ERP資料!$S:$S, (MATCH(825, 輔助計算!$G$2:$G$801, 0)+1)), ""), "")</f>
        <v/>
      </c>
      <c r="C826" s="19">
        <f>IFERROR(IF(AND(IFERROR(INDEX(ERP資料!$A:$A, (MATCH(825, 輔助計算!$G$2:$G$801, 0)+1)), "")&lt;&gt;"", IFERROR(INDEX(ERP資料!$A:$A, (MATCH(825, 輔助計算!$G$2:$G$801, 0)+1)), "")&lt;&gt;IFERROR(INDEX(ERP資料!$A:$A, MATCH(824, 輔助計算!$G$2:$G$801, 0)+1), "")), IFERROR(VLOOKUP(LEFT(INDEX(ERP資料!$S:$S, (MATCH(825, 輔助計算!$G$2:$G$801, 0)+1)), 4), 紙管對照表!$A:$C, 3, FALSE), ""), ""), "")</f>
        <v/>
      </c>
      <c r="D826" s="16" t="n"/>
      <c r="E826" s="10">
        <f>IFERROR(IF(INDEX(ERP資料!$H:$H, (MATCH(825, 輔助計算!$G$2:$G$801, 0)+1))="","",INDEX(ERP資料!$H:$H, (MATCH(825, 輔助計算!$G$2:$G$801, 0)+1))), "")</f>
        <v/>
      </c>
      <c r="F826" s="10">
        <f>IFERROR(IF(INDEX(ERP資料!$E:$E, (MATCH(825, 輔助計算!$G$2:$G$801, 0)+1))="","",TRIM(INDEX(ERP資料!$E:$E, (MATCH(825, 輔助計算!$G$2:$G$801, 0)+1)))), "")</f>
        <v/>
      </c>
      <c r="G826" s="10">
        <f>IFERROR(IF(INDEX(ERP資料!$F:$F, (MATCH(825, 輔助計算!$G$2:$G$801, 0)+1))="","",INDEX(ERP資料!$F:$F, (MATCH(825, 輔助計算!$G$2:$G$801, 0)+1))), "")</f>
        <v/>
      </c>
      <c r="H826" s="10">
        <f>IFERROR(IF(INDEX(ERP資料!$G:$G, (MATCH(825, 輔助計算!$G$2:$G$801, 0)+1))="","",INDEX(ERP資料!$G:$G, (MATCH(825, 輔助計算!$G$2:$G$801, 0)+1))), "")</f>
        <v/>
      </c>
      <c r="I826" s="15">
        <f>IFERROR(INDEX(輔助計算!$D:$D, (MATCH(825, 輔助計算!$G$2:$G$801, 0)+1)), "")</f>
        <v/>
      </c>
      <c r="J826" s="15">
        <f>IFERROR(IF(AND(INDEX(輔助計算!$D:$D, (MATCH(825, 輔助計算!$G$2:$G$801, 0)+1))&lt;&gt;"", INDEX(ERP資料!$G:$G, (MATCH(825, 輔助計算!$G$2:$G$801, 0)+1))&lt;&gt;""), TRIM(IF(INT(INDEX(輔助計算!$D:$D, (MATCH(825, 輔助計算!$G$2:$G$801, 0)+1))/IF(INDEX(ERP資料!$G:$G, (MATCH(825, 輔助計算!$G$2:$G$801, 0)+1))&lt;100, IF(INDEX(ERP資料!$G:$G, (MATCH(825, 輔助計算!$G$2:$G$801, 0)+1))&lt;=31,3,IF(INDEX(ERP資料!$G:$G, (MATCH(825, 輔助計算!$G$2:$G$801, 0)+1))&lt;=46.5,2,1)), IF(INDEX(ERP資料!$G:$G, (MATCH(825, 輔助計算!$G$2:$G$801, 0)+1))&lt;=790,3,IF(INDEX(ERP資料!$G:$G, (MATCH(825, 輔助計算!$G$2:$G$801, 0)+1))&lt;=1181,2,1))))&gt;0, IF(IF(INDEX(ERP資料!$G:$G, (MATCH(825, 輔助計算!$G$2:$G$801, 0)+1))&lt;100, IF(INDEX(ERP資料!$G:$G, (MATCH(825, 輔助計算!$G$2:$G$801, 0)+1))&lt;=31,3,IF(INDEX(ERP資料!$G:$G, (MATCH(825, 輔助計算!$G$2:$G$801, 0)+1))&lt;=46.5,2,1)), IF(INDEX(ERP資料!$G:$G, (MATCH(825, 輔助計算!$G$2:$G$801, 0)+1))&lt;=790,3,IF(INDEX(ERP資料!$G:$G, (MATCH(825, 輔助計算!$G$2:$G$801, 0)+1))&lt;=1181,2,1)))=1,TEXT(INDEX(ERP資料!$G:$G, (MATCH(825, 輔助計算!$G$2:$G$801, 0)+1)),"0.##"),IF(IF(INDEX(ERP資料!$G:$G, (MATCH(825, 輔助計算!$G$2:$G$801, 0)+1))&lt;100, IF(INDEX(ERP資料!$G:$G, (MATCH(825, 輔助計算!$G$2:$G$801, 0)+1))&lt;=31,3,IF(INDEX(ERP資料!$G:$G, (MATCH(825, 輔助計算!$G$2:$G$801, 0)+1))&lt;=46.5,2,1)), IF(INDEX(ERP資料!$G:$G, (MATCH(825, 輔助計算!$G$2:$G$801, 0)+1))&lt;=790,3,IF(INDEX(ERP資料!$G:$G, (MATCH(825, 輔助計算!$G$2:$G$801, 0)+1))&lt;=1181,2,1)))=2,TEXT(INDEX(ERP資料!$G:$G, (MATCH(825, 輔助計算!$G$2:$G$801, 0)+1)),"0.##")&amp;"+"&amp;TEXT(INDEX(ERP資料!$G:$G, (MATCH(825, 輔助計算!$G$2:$G$801, 0)+1)),"0.##"),TEXT(INDEX(ERP資料!$G:$G, (MATCH(825, 輔助計算!$G$2:$G$801, 0)+1)),"0.##")&amp;"+"&amp;TEXT(INDEX(ERP資料!$G:$G, (MATCH(825, 輔助計算!$G$2:$G$801, 0)+1)),"0.##")&amp;"+"&amp;TEXT(INDEX(ERP資料!$G:$G, (MATCH(825, 輔助計算!$G$2:$G$801, 0)+1)),"0.##")))&amp;"-"&amp;INT(INDEX(輔助計算!$D:$D, (MATCH(825, 輔助計算!$G$2:$G$801, 0)+1))/IF(INDEX(ERP資料!$G:$G, (MATCH(825, 輔助計算!$G$2:$G$801, 0)+1))&lt;100, IF(INDEX(ERP資料!$G:$G, (MATCH(825, 輔助計算!$G$2:$G$801, 0)+1))&lt;=31,3,IF(INDEX(ERP資料!$G:$G, (MATCH(825, 輔助計算!$G$2:$G$801, 0)+1))&lt;=46.5,2,1)), IF(INDEX(ERP資料!$G:$G, (MATCH(825, 輔助計算!$G$2:$G$801, 0)+1))&lt;=790,3,IF(INDEX(ERP資料!$G:$G, (MATCH(825, 輔助計算!$G$2:$G$801, 0)+1))&lt;=1181,2,1)))), "")&amp;IF(AND(IF(INT(INDEX(輔助計算!$D:$D, (MATCH(825, 輔助計算!$G$2:$G$801, 0)+1))/IF(INDEX(ERP資料!$G:$G, (MATCH(825, 輔助計算!$G$2:$G$801, 0)+1))&lt;100, IF(INDEX(ERP資料!$G:$G, (MATCH(825, 輔助計算!$G$2:$G$801, 0)+1))&lt;=31,3,IF(INDEX(ERP資料!$G:$G, (MATCH(825, 輔助計算!$G$2:$G$801, 0)+1))&lt;=46.5,2,1)), IF(INDEX(ERP資料!$G:$G, (MATCH(825, 輔助計算!$G$2:$G$801, 0)+1))&lt;=790,3,IF(INDEX(ERP資料!$G:$G, (MATCH(825, 輔助計算!$G$2:$G$801, 0)+1))&lt;=1181,2,1))))&gt;0, IF(IF(INDEX(ERP資料!$G:$G, (MATCH(825, 輔助計算!$G$2:$G$801, 0)+1))&lt;100, IF(INDEX(ERP資料!$G:$G, (MATCH(825, 輔助計算!$G$2:$G$801, 0)+1))&lt;=31,3,IF(INDEX(ERP資料!$G:$G, (MATCH(825, 輔助計算!$G$2:$G$801, 0)+1))&lt;=46.5,2,1)), IF(INDEX(ERP資料!$G:$G, (MATCH(825, 輔助計算!$G$2:$G$801, 0)+1))&lt;=790,3,IF(INDEX(ERP資料!$G:$G, (MATCH(825, 輔助計算!$G$2:$G$801, 0)+1))&lt;=1181,2,1)))=1,TEXT(INDEX(ERP資料!$G:$G, (MATCH(825, 輔助計算!$G$2:$G$801, 0)+1)),"0.##"),IF(IF(INDEX(ERP資料!$G:$G, (MATCH(825, 輔助計算!$G$2:$G$801, 0)+1))&lt;100, IF(INDEX(ERP資料!$G:$G, (MATCH(825, 輔助計算!$G$2:$G$801, 0)+1))&lt;=31,3,IF(INDEX(ERP資料!$G:$G, (MATCH(825, 輔助計算!$G$2:$G$801, 0)+1))&lt;=46.5,2,1)), IF(INDEX(ERP資料!$G:$G, (MATCH(825, 輔助計算!$G$2:$G$801, 0)+1))&lt;=790,3,IF(INDEX(ERP資料!$G:$G, (MATCH(825, 輔助計算!$G$2:$G$801, 0)+1))&lt;=1181,2,1)))=2,TEXT(INDEX(ERP資料!$G:$G, (MATCH(825, 輔助計算!$G$2:$G$801, 0)+1)),"0.##")&amp;"+"&amp;TEXT(INDEX(ERP資料!$G:$G, (MATCH(825, 輔助計算!$G$2:$G$801, 0)+1)),"0.##"),TEXT(INDEX(ERP資料!$G:$G, (MATCH(825, 輔助計算!$G$2:$G$801, 0)+1)),"0.##")&amp;"+"&amp;TEXT(INDEX(ERP資料!$G:$G, (MATCH(825, 輔助計算!$G$2:$G$801, 0)+1)),"0.##")&amp;"+"&amp;TEXT(INDEX(ERP資料!$G:$G, (MATCH(825, 輔助計算!$G$2:$G$801, 0)+1)),"0.##")))&amp;"-"&amp;INT(INDEX(輔助計算!$D:$D, (MATCH(825, 輔助計算!$G$2:$G$801, 0)+1))/IF(INDEX(ERP資料!$G:$G, (MATCH(825, 輔助計算!$G$2:$G$801, 0)+1))&lt;100, IF(INDEX(ERP資料!$G:$G, (MATCH(825, 輔助計算!$G$2:$G$801, 0)+1))&lt;=31,3,IF(INDEX(ERP資料!$G:$G, (MATCH(825, 輔助計算!$G$2:$G$801, 0)+1))&lt;=46.5,2,1)), IF(INDEX(ERP資料!$G:$G, (MATCH(825, 輔助計算!$G$2:$G$801, 0)+1))&lt;=790,3,IF(INDEX(ERP資料!$G:$G, (MATCH(825, 輔助計算!$G$2:$G$801, 0)+1))&lt;=1181,2,1)))), "")&lt;&gt;"",IF(MOD(INDEX(輔助計算!$D:$D, (MATCH(825, 輔助計算!$G$2:$G$801, 0)+1)),IF(INDEX(ERP資料!$G:$G, (MATCH(825, 輔助計算!$G$2:$G$801, 0)+1))&lt;100, IF(INDEX(ERP資料!$G:$G, (MATCH(825, 輔助計算!$G$2:$G$801, 0)+1))&lt;=31,3,IF(INDEX(ERP資料!$G:$G, (MATCH(825, 輔助計算!$G$2:$G$801, 0)+1))&lt;=46.5,2,1)), IF(INDEX(ERP資料!$G:$G, (MATCH(825, 輔助計算!$G$2:$G$801, 0)+1))&lt;=790,3,IF(INDEX(ERP資料!$G:$G, (MATCH(825, 輔助計算!$G$2:$G$801, 0)+1))&lt;=1181,2,1))))=0,"",IF(MOD(INDEX(輔助計算!$D:$D, (MATCH(825, 輔助計算!$G$2:$G$801, 0)+1)),IF(INDEX(ERP資料!$G:$G, (MATCH(825, 輔助計算!$G$2:$G$801, 0)+1))&lt;100, IF(INDEX(ERP資料!$G:$G, (MATCH(825, 輔助計算!$G$2:$G$801, 0)+1))&lt;=31,3,IF(INDEX(ERP資料!$G:$G, (MATCH(825, 輔助計算!$G$2:$G$801, 0)+1))&lt;=46.5,2,1)), IF(INDEX(ERP資料!$G:$G, (MATCH(825, 輔助計算!$G$2:$G$801, 0)+1))&lt;=790,3,IF(INDEX(ERP資料!$G:$G, (MATCH(825, 輔助計算!$G$2:$G$801, 0)+1))&lt;=1181,2,1))))=0,"",IF(MOD(INDEX(輔助計算!$D:$D, (MATCH(825, 輔助計算!$G$2:$G$801, 0)+1)),IF(INDEX(ERP資料!$G:$G, (MATCH(825, 輔助計算!$G$2:$G$801, 0)+1))&lt;100, IF(INDEX(ERP資料!$G:$G, (MATCH(825, 輔助計算!$G$2:$G$801, 0)+1))&lt;=31,3,IF(INDEX(ERP資料!$G:$G, (MATCH(825, 輔助計算!$G$2:$G$801, 0)+1))&lt;=46.5,2,1)), IF(INDEX(ERP資料!$G:$G, (MATCH(825, 輔助計算!$G$2:$G$801, 0)+1))&lt;=790,3,IF(INDEX(ERP資料!$G:$G, (MATCH(825, 輔助計算!$G$2:$G$801, 0)+1))&lt;=1181,2,1))))=1,TEXT(INDEX(ERP資料!$G:$G, (MATCH(825, 輔助計算!$G$2:$G$801, 0)+1)),"0.##"),IF(MOD(INDEX(輔助計算!$D:$D, (MATCH(825, 輔助計算!$G$2:$G$801, 0)+1)),IF(INDEX(ERP資料!$G:$G, (MATCH(825, 輔助計算!$G$2:$G$801, 0)+1))&lt;100, IF(INDEX(ERP資料!$G:$G, (MATCH(825, 輔助計算!$G$2:$G$801, 0)+1))&lt;=31,3,IF(INDEX(ERP資料!$G:$G, (MATCH(825, 輔助計算!$G$2:$G$801, 0)+1))&lt;=46.5,2,1)), IF(INDEX(ERP資料!$G:$G, (MATCH(825, 輔助計算!$G$2:$G$801, 0)+1))&lt;=790,3,IF(INDEX(ERP資料!$G:$G, (MATCH(825, 輔助計算!$G$2:$G$801, 0)+1))&lt;=1181,2,1))))=2,TEXT(INDEX(ERP資料!$G:$G, (MATCH(825, 輔助計算!$G$2:$G$801, 0)+1)),"0.##")&amp;"+"&amp;TEXT(INDEX(ERP資料!$G:$G, (MATCH(825, 輔助計算!$G$2:$G$801, 0)+1)),"0.##"),TEXT(INDEX(ERP資料!$G:$G, (MATCH(825, 輔助計算!$G$2:$G$801, 0)+1)),"0.##")&amp;"+"&amp;TEXT(INDEX(ERP資料!$G:$G, (MATCH(825, 輔助計算!$G$2:$G$801, 0)+1)),"0.##")&amp;"+"&amp;TEXT(INDEX(ERP資料!$G:$G, (MATCH(825, 輔助計算!$G$2:$G$801, 0)+1)),"0.##"))))&amp;"-1")&lt;&gt;""),"  ","")&amp;IF(MOD(INDEX(輔助計算!$D:$D, (MATCH(825, 輔助計算!$G$2:$G$801, 0)+1)),IF(INDEX(ERP資料!$G:$G, (MATCH(825, 輔助計算!$G$2:$G$801, 0)+1))&lt;100, IF(INDEX(ERP資料!$G:$G, (MATCH(825, 輔助計算!$G$2:$G$801, 0)+1))&lt;=31,3,IF(INDEX(ERP資料!$G:$G, (MATCH(825, 輔助計算!$G$2:$G$801, 0)+1))&lt;=46.5,2,1)), IF(INDEX(ERP資料!$G:$G, (MATCH(825, 輔助計算!$G$2:$G$801, 0)+1))&lt;=790,3,IF(INDEX(ERP資料!$G:$G, (MATCH(825, 輔助計算!$G$2:$G$801, 0)+1))&lt;=1181,2,1))))=0,"",IF(MOD(INDEX(輔助計算!$D:$D, (MATCH(825, 輔助計算!$G$2:$G$801, 0)+1)),IF(INDEX(ERP資料!$G:$G, (MATCH(825, 輔助計算!$G$2:$G$801, 0)+1))&lt;100, IF(INDEX(ERP資料!$G:$G, (MATCH(825, 輔助計算!$G$2:$G$801, 0)+1))&lt;=31,3,IF(INDEX(ERP資料!$G:$G, (MATCH(825, 輔助計算!$G$2:$G$801, 0)+1))&lt;=46.5,2,1)), IF(INDEX(ERP資料!$G:$G, (MATCH(825, 輔助計算!$G$2:$G$801, 0)+1))&lt;=790,3,IF(INDEX(ERP資料!$G:$G, (MATCH(825, 輔助計算!$G$2:$G$801, 0)+1))&lt;=1181,2,1))))=0,"",IF(MOD(INDEX(輔助計算!$D:$D, (MATCH(825, 輔助計算!$G$2:$G$801, 0)+1)),IF(INDEX(ERP資料!$G:$G, (MATCH(825, 輔助計算!$G$2:$G$801, 0)+1))&lt;100, IF(INDEX(ERP資料!$G:$G, (MATCH(825, 輔助計算!$G$2:$G$801, 0)+1))&lt;=31,3,IF(INDEX(ERP資料!$G:$G, (MATCH(825, 輔助計算!$G$2:$G$801, 0)+1))&lt;=46.5,2,1)), IF(INDEX(ERP資料!$G:$G, (MATCH(825, 輔助計算!$G$2:$G$801, 0)+1))&lt;=790,3,IF(INDEX(ERP資料!$G:$G, (MATCH(825, 輔助計算!$G$2:$G$801, 0)+1))&lt;=1181,2,1))))=1,TEXT(INDEX(ERP資料!$G:$G, (MATCH(825, 輔助計算!$G$2:$G$801, 0)+1)),"0.##"),IF(MOD(INDEX(輔助計算!$D:$D, (MATCH(825, 輔助計算!$G$2:$G$801, 0)+1)),IF(INDEX(ERP資料!$G:$G, (MATCH(825, 輔助計算!$G$2:$G$801, 0)+1))&lt;100, IF(INDEX(ERP資料!$G:$G, (MATCH(825, 輔助計算!$G$2:$G$801, 0)+1))&lt;=31,3,IF(INDEX(ERP資料!$G:$G, (MATCH(825, 輔助計算!$G$2:$G$801, 0)+1))&lt;=46.5,2,1)), IF(INDEX(ERP資料!$G:$G, (MATCH(825, 輔助計算!$G$2:$G$801, 0)+1))&lt;=790,3,IF(INDEX(ERP資料!$G:$G, (MATCH(825, 輔助計算!$G$2:$G$801, 0)+1))&lt;=1181,2,1))))=2,TEXT(INDEX(ERP資料!$G:$G, (MATCH(825, 輔助計算!$G$2:$G$801, 0)+1)),"0.##")&amp;"+"&amp;TEXT(INDEX(ERP資料!$G:$G, (MATCH(825, 輔助計算!$G$2:$G$801, 0)+1)),"0.##"),TEXT(INDEX(ERP資料!$G:$G, (MATCH(825, 輔助計算!$G$2:$G$801, 0)+1)),"0.##")&amp;"+"&amp;TEXT(INDEX(ERP資料!$G:$G, (MATCH(825, 輔助計算!$G$2:$G$801, 0)+1)),"0.##")&amp;"+"&amp;TEXT(INDEX(ERP資料!$G:$G, (MATCH(825, 輔助計算!$G$2:$G$801, 0)+1)),"0.##"))))&amp;"-1")), ""), "")</f>
        <v/>
      </c>
      <c r="K826" s="16" t="n"/>
      <c r="L826" s="14">
        <f>IFERROR(IF(AND(IFERROR(INDEX(ERP資料!$A:$A, (MATCH(825, 輔助計算!$G$2:$G$801, 0)+1)), "")&lt;&gt;"", IFERROR(INDEX(ERP資料!$A:$A, (MATCH(825, 輔助計算!$G$2:$G$801, 0)+1)), "")&lt;&gt;IFERROR(INDEX(ERP資料!$A:$A, MATCH(824, 輔助計算!$G$2:$G$801, 0)+1), "")), INDEX(ERP資料!$B:$B, (MATCH(825, 輔助計算!$G$2:$G$801, 0)+1)), ""), "")</f>
        <v/>
      </c>
      <c r="M826" s="17" t="n"/>
    </row>
    <row r="827">
      <c r="A827" s="10">
        <f>IFERROR(IF(AND(IFERROR(INDEX(ERP資料!$A:$A, (MATCH(826, 輔助計算!$G$2:$G$801, 0)+1)), "")&lt;&gt;"", IFERROR(INDEX(ERP資料!$A:$A, (MATCH(826, 輔助計算!$G$2:$G$801, 0)+1)), "")&lt;&gt;IFERROR(INDEX(ERP資料!$A:$A, MATCH(825, 輔助計算!$G$2:$G$801, 0)+1), "")), IFERROR(INDEX(ERP資料!$A:$A, (MATCH(826, 輔助計算!$G$2:$G$801, 0)+1)), ""), ""), "")</f>
        <v/>
      </c>
      <c r="B827" s="10">
        <f>IFERROR(IF(AND(IFERROR(INDEX(ERP資料!$A:$A, (MATCH(826, 輔助計算!$G$2:$G$801, 0)+1)), "")&lt;&gt;"", IFERROR(INDEX(ERP資料!$A:$A, (MATCH(826, 輔助計算!$G$2:$G$801, 0)+1)), "")&lt;&gt;IFERROR(INDEX(ERP資料!$A:$A, MATCH(825, 輔助計算!$G$2:$G$801, 0)+1), "")), INDEX(ERP資料!$S:$S, (MATCH(826, 輔助計算!$G$2:$G$801, 0)+1)), ""), "")</f>
        <v/>
      </c>
      <c r="C827" s="19">
        <f>IFERROR(IF(AND(IFERROR(INDEX(ERP資料!$A:$A, (MATCH(826, 輔助計算!$G$2:$G$801, 0)+1)), "")&lt;&gt;"", IFERROR(INDEX(ERP資料!$A:$A, (MATCH(826, 輔助計算!$G$2:$G$801, 0)+1)), "")&lt;&gt;IFERROR(INDEX(ERP資料!$A:$A, MATCH(825, 輔助計算!$G$2:$G$801, 0)+1), "")), IFERROR(VLOOKUP(LEFT(INDEX(ERP資料!$S:$S, (MATCH(826, 輔助計算!$G$2:$G$801, 0)+1)), 4), 紙管對照表!$A:$C, 3, FALSE), ""), ""), "")</f>
        <v/>
      </c>
      <c r="D827" s="16" t="n"/>
      <c r="E827" s="10">
        <f>IFERROR(IF(INDEX(ERP資料!$H:$H, (MATCH(826, 輔助計算!$G$2:$G$801, 0)+1))="","",INDEX(ERP資料!$H:$H, (MATCH(826, 輔助計算!$G$2:$G$801, 0)+1))), "")</f>
        <v/>
      </c>
      <c r="F827" s="10">
        <f>IFERROR(IF(INDEX(ERP資料!$E:$E, (MATCH(826, 輔助計算!$G$2:$G$801, 0)+1))="","",TRIM(INDEX(ERP資料!$E:$E, (MATCH(826, 輔助計算!$G$2:$G$801, 0)+1)))), "")</f>
        <v/>
      </c>
      <c r="G827" s="10">
        <f>IFERROR(IF(INDEX(ERP資料!$F:$F, (MATCH(826, 輔助計算!$G$2:$G$801, 0)+1))="","",INDEX(ERP資料!$F:$F, (MATCH(826, 輔助計算!$G$2:$G$801, 0)+1))), "")</f>
        <v/>
      </c>
      <c r="H827" s="10">
        <f>IFERROR(IF(INDEX(ERP資料!$G:$G, (MATCH(826, 輔助計算!$G$2:$G$801, 0)+1))="","",INDEX(ERP資料!$G:$G, (MATCH(826, 輔助計算!$G$2:$G$801, 0)+1))), "")</f>
        <v/>
      </c>
      <c r="I827" s="15">
        <f>IFERROR(INDEX(輔助計算!$D:$D, (MATCH(826, 輔助計算!$G$2:$G$801, 0)+1)), "")</f>
        <v/>
      </c>
      <c r="J827" s="15">
        <f>IFERROR(IF(AND(INDEX(輔助計算!$D:$D, (MATCH(826, 輔助計算!$G$2:$G$801, 0)+1))&lt;&gt;"", INDEX(ERP資料!$G:$G, (MATCH(826, 輔助計算!$G$2:$G$801, 0)+1))&lt;&gt;""), TRIM(IF(INT(INDEX(輔助計算!$D:$D, (MATCH(826, 輔助計算!$G$2:$G$801, 0)+1))/IF(INDEX(ERP資料!$G:$G, (MATCH(826, 輔助計算!$G$2:$G$801, 0)+1))&lt;100, IF(INDEX(ERP資料!$G:$G, (MATCH(826, 輔助計算!$G$2:$G$801, 0)+1))&lt;=31,3,IF(INDEX(ERP資料!$G:$G, (MATCH(826, 輔助計算!$G$2:$G$801, 0)+1))&lt;=46.5,2,1)), IF(INDEX(ERP資料!$G:$G, (MATCH(826, 輔助計算!$G$2:$G$801, 0)+1))&lt;=790,3,IF(INDEX(ERP資料!$G:$G, (MATCH(826, 輔助計算!$G$2:$G$801, 0)+1))&lt;=1181,2,1))))&gt;0, IF(IF(INDEX(ERP資料!$G:$G, (MATCH(826, 輔助計算!$G$2:$G$801, 0)+1))&lt;100, IF(INDEX(ERP資料!$G:$G, (MATCH(826, 輔助計算!$G$2:$G$801, 0)+1))&lt;=31,3,IF(INDEX(ERP資料!$G:$G, (MATCH(826, 輔助計算!$G$2:$G$801, 0)+1))&lt;=46.5,2,1)), IF(INDEX(ERP資料!$G:$G, (MATCH(826, 輔助計算!$G$2:$G$801, 0)+1))&lt;=790,3,IF(INDEX(ERP資料!$G:$G, (MATCH(826, 輔助計算!$G$2:$G$801, 0)+1))&lt;=1181,2,1)))=1,TEXT(INDEX(ERP資料!$G:$G, (MATCH(826, 輔助計算!$G$2:$G$801, 0)+1)),"0.##"),IF(IF(INDEX(ERP資料!$G:$G, (MATCH(826, 輔助計算!$G$2:$G$801, 0)+1))&lt;100, IF(INDEX(ERP資料!$G:$G, (MATCH(826, 輔助計算!$G$2:$G$801, 0)+1))&lt;=31,3,IF(INDEX(ERP資料!$G:$G, (MATCH(826, 輔助計算!$G$2:$G$801, 0)+1))&lt;=46.5,2,1)), IF(INDEX(ERP資料!$G:$G, (MATCH(826, 輔助計算!$G$2:$G$801, 0)+1))&lt;=790,3,IF(INDEX(ERP資料!$G:$G, (MATCH(826, 輔助計算!$G$2:$G$801, 0)+1))&lt;=1181,2,1)))=2,TEXT(INDEX(ERP資料!$G:$G, (MATCH(826, 輔助計算!$G$2:$G$801, 0)+1)),"0.##")&amp;"+"&amp;TEXT(INDEX(ERP資料!$G:$G, (MATCH(826, 輔助計算!$G$2:$G$801, 0)+1)),"0.##"),TEXT(INDEX(ERP資料!$G:$G, (MATCH(826, 輔助計算!$G$2:$G$801, 0)+1)),"0.##")&amp;"+"&amp;TEXT(INDEX(ERP資料!$G:$G, (MATCH(826, 輔助計算!$G$2:$G$801, 0)+1)),"0.##")&amp;"+"&amp;TEXT(INDEX(ERP資料!$G:$G, (MATCH(826, 輔助計算!$G$2:$G$801, 0)+1)),"0.##")))&amp;"-"&amp;INT(INDEX(輔助計算!$D:$D, (MATCH(826, 輔助計算!$G$2:$G$801, 0)+1))/IF(INDEX(ERP資料!$G:$G, (MATCH(826, 輔助計算!$G$2:$G$801, 0)+1))&lt;100, IF(INDEX(ERP資料!$G:$G, (MATCH(826, 輔助計算!$G$2:$G$801, 0)+1))&lt;=31,3,IF(INDEX(ERP資料!$G:$G, (MATCH(826, 輔助計算!$G$2:$G$801, 0)+1))&lt;=46.5,2,1)), IF(INDEX(ERP資料!$G:$G, (MATCH(826, 輔助計算!$G$2:$G$801, 0)+1))&lt;=790,3,IF(INDEX(ERP資料!$G:$G, (MATCH(826, 輔助計算!$G$2:$G$801, 0)+1))&lt;=1181,2,1)))), "")&amp;IF(AND(IF(INT(INDEX(輔助計算!$D:$D, (MATCH(826, 輔助計算!$G$2:$G$801, 0)+1))/IF(INDEX(ERP資料!$G:$G, (MATCH(826, 輔助計算!$G$2:$G$801, 0)+1))&lt;100, IF(INDEX(ERP資料!$G:$G, (MATCH(826, 輔助計算!$G$2:$G$801, 0)+1))&lt;=31,3,IF(INDEX(ERP資料!$G:$G, (MATCH(826, 輔助計算!$G$2:$G$801, 0)+1))&lt;=46.5,2,1)), IF(INDEX(ERP資料!$G:$G, (MATCH(826, 輔助計算!$G$2:$G$801, 0)+1))&lt;=790,3,IF(INDEX(ERP資料!$G:$G, (MATCH(826, 輔助計算!$G$2:$G$801, 0)+1))&lt;=1181,2,1))))&gt;0, IF(IF(INDEX(ERP資料!$G:$G, (MATCH(826, 輔助計算!$G$2:$G$801, 0)+1))&lt;100, IF(INDEX(ERP資料!$G:$G, (MATCH(826, 輔助計算!$G$2:$G$801, 0)+1))&lt;=31,3,IF(INDEX(ERP資料!$G:$G, (MATCH(826, 輔助計算!$G$2:$G$801, 0)+1))&lt;=46.5,2,1)), IF(INDEX(ERP資料!$G:$G, (MATCH(826, 輔助計算!$G$2:$G$801, 0)+1))&lt;=790,3,IF(INDEX(ERP資料!$G:$G, (MATCH(826, 輔助計算!$G$2:$G$801, 0)+1))&lt;=1181,2,1)))=1,TEXT(INDEX(ERP資料!$G:$G, (MATCH(826, 輔助計算!$G$2:$G$801, 0)+1)),"0.##"),IF(IF(INDEX(ERP資料!$G:$G, (MATCH(826, 輔助計算!$G$2:$G$801, 0)+1))&lt;100, IF(INDEX(ERP資料!$G:$G, (MATCH(826, 輔助計算!$G$2:$G$801, 0)+1))&lt;=31,3,IF(INDEX(ERP資料!$G:$G, (MATCH(826, 輔助計算!$G$2:$G$801, 0)+1))&lt;=46.5,2,1)), IF(INDEX(ERP資料!$G:$G, (MATCH(826, 輔助計算!$G$2:$G$801, 0)+1))&lt;=790,3,IF(INDEX(ERP資料!$G:$G, (MATCH(826, 輔助計算!$G$2:$G$801, 0)+1))&lt;=1181,2,1)))=2,TEXT(INDEX(ERP資料!$G:$G, (MATCH(826, 輔助計算!$G$2:$G$801, 0)+1)),"0.##")&amp;"+"&amp;TEXT(INDEX(ERP資料!$G:$G, (MATCH(826, 輔助計算!$G$2:$G$801, 0)+1)),"0.##"),TEXT(INDEX(ERP資料!$G:$G, (MATCH(826, 輔助計算!$G$2:$G$801, 0)+1)),"0.##")&amp;"+"&amp;TEXT(INDEX(ERP資料!$G:$G, (MATCH(826, 輔助計算!$G$2:$G$801, 0)+1)),"0.##")&amp;"+"&amp;TEXT(INDEX(ERP資料!$G:$G, (MATCH(826, 輔助計算!$G$2:$G$801, 0)+1)),"0.##")))&amp;"-"&amp;INT(INDEX(輔助計算!$D:$D, (MATCH(826, 輔助計算!$G$2:$G$801, 0)+1))/IF(INDEX(ERP資料!$G:$G, (MATCH(826, 輔助計算!$G$2:$G$801, 0)+1))&lt;100, IF(INDEX(ERP資料!$G:$G, (MATCH(826, 輔助計算!$G$2:$G$801, 0)+1))&lt;=31,3,IF(INDEX(ERP資料!$G:$G, (MATCH(826, 輔助計算!$G$2:$G$801, 0)+1))&lt;=46.5,2,1)), IF(INDEX(ERP資料!$G:$G, (MATCH(826, 輔助計算!$G$2:$G$801, 0)+1))&lt;=790,3,IF(INDEX(ERP資料!$G:$G, (MATCH(826, 輔助計算!$G$2:$G$801, 0)+1))&lt;=1181,2,1)))), "")&lt;&gt;"",IF(MOD(INDEX(輔助計算!$D:$D, (MATCH(826, 輔助計算!$G$2:$G$801, 0)+1)),IF(INDEX(ERP資料!$G:$G, (MATCH(826, 輔助計算!$G$2:$G$801, 0)+1))&lt;100, IF(INDEX(ERP資料!$G:$G, (MATCH(826, 輔助計算!$G$2:$G$801, 0)+1))&lt;=31,3,IF(INDEX(ERP資料!$G:$G, (MATCH(826, 輔助計算!$G$2:$G$801, 0)+1))&lt;=46.5,2,1)), IF(INDEX(ERP資料!$G:$G, (MATCH(826, 輔助計算!$G$2:$G$801, 0)+1))&lt;=790,3,IF(INDEX(ERP資料!$G:$G, (MATCH(826, 輔助計算!$G$2:$G$801, 0)+1))&lt;=1181,2,1))))=0,"",IF(MOD(INDEX(輔助計算!$D:$D, (MATCH(826, 輔助計算!$G$2:$G$801, 0)+1)),IF(INDEX(ERP資料!$G:$G, (MATCH(826, 輔助計算!$G$2:$G$801, 0)+1))&lt;100, IF(INDEX(ERP資料!$G:$G, (MATCH(826, 輔助計算!$G$2:$G$801, 0)+1))&lt;=31,3,IF(INDEX(ERP資料!$G:$G, (MATCH(826, 輔助計算!$G$2:$G$801, 0)+1))&lt;=46.5,2,1)), IF(INDEX(ERP資料!$G:$G, (MATCH(826, 輔助計算!$G$2:$G$801, 0)+1))&lt;=790,3,IF(INDEX(ERP資料!$G:$G, (MATCH(826, 輔助計算!$G$2:$G$801, 0)+1))&lt;=1181,2,1))))=0,"",IF(MOD(INDEX(輔助計算!$D:$D, (MATCH(826, 輔助計算!$G$2:$G$801, 0)+1)),IF(INDEX(ERP資料!$G:$G, (MATCH(826, 輔助計算!$G$2:$G$801, 0)+1))&lt;100, IF(INDEX(ERP資料!$G:$G, (MATCH(826, 輔助計算!$G$2:$G$801, 0)+1))&lt;=31,3,IF(INDEX(ERP資料!$G:$G, (MATCH(826, 輔助計算!$G$2:$G$801, 0)+1))&lt;=46.5,2,1)), IF(INDEX(ERP資料!$G:$G, (MATCH(826, 輔助計算!$G$2:$G$801, 0)+1))&lt;=790,3,IF(INDEX(ERP資料!$G:$G, (MATCH(826, 輔助計算!$G$2:$G$801, 0)+1))&lt;=1181,2,1))))=1,TEXT(INDEX(ERP資料!$G:$G, (MATCH(826, 輔助計算!$G$2:$G$801, 0)+1)),"0.##"),IF(MOD(INDEX(輔助計算!$D:$D, (MATCH(826, 輔助計算!$G$2:$G$801, 0)+1)),IF(INDEX(ERP資料!$G:$G, (MATCH(826, 輔助計算!$G$2:$G$801, 0)+1))&lt;100, IF(INDEX(ERP資料!$G:$G, (MATCH(826, 輔助計算!$G$2:$G$801, 0)+1))&lt;=31,3,IF(INDEX(ERP資料!$G:$G, (MATCH(826, 輔助計算!$G$2:$G$801, 0)+1))&lt;=46.5,2,1)), IF(INDEX(ERP資料!$G:$G, (MATCH(826, 輔助計算!$G$2:$G$801, 0)+1))&lt;=790,3,IF(INDEX(ERP資料!$G:$G, (MATCH(826, 輔助計算!$G$2:$G$801, 0)+1))&lt;=1181,2,1))))=2,TEXT(INDEX(ERP資料!$G:$G, (MATCH(826, 輔助計算!$G$2:$G$801, 0)+1)),"0.##")&amp;"+"&amp;TEXT(INDEX(ERP資料!$G:$G, (MATCH(826, 輔助計算!$G$2:$G$801, 0)+1)),"0.##"),TEXT(INDEX(ERP資料!$G:$G, (MATCH(826, 輔助計算!$G$2:$G$801, 0)+1)),"0.##")&amp;"+"&amp;TEXT(INDEX(ERP資料!$G:$G, (MATCH(826, 輔助計算!$G$2:$G$801, 0)+1)),"0.##")&amp;"+"&amp;TEXT(INDEX(ERP資料!$G:$G, (MATCH(826, 輔助計算!$G$2:$G$801, 0)+1)),"0.##"))))&amp;"-1")&lt;&gt;""),"  ","")&amp;IF(MOD(INDEX(輔助計算!$D:$D, (MATCH(826, 輔助計算!$G$2:$G$801, 0)+1)),IF(INDEX(ERP資料!$G:$G, (MATCH(826, 輔助計算!$G$2:$G$801, 0)+1))&lt;100, IF(INDEX(ERP資料!$G:$G, (MATCH(826, 輔助計算!$G$2:$G$801, 0)+1))&lt;=31,3,IF(INDEX(ERP資料!$G:$G, (MATCH(826, 輔助計算!$G$2:$G$801, 0)+1))&lt;=46.5,2,1)), IF(INDEX(ERP資料!$G:$G, (MATCH(826, 輔助計算!$G$2:$G$801, 0)+1))&lt;=790,3,IF(INDEX(ERP資料!$G:$G, (MATCH(826, 輔助計算!$G$2:$G$801, 0)+1))&lt;=1181,2,1))))=0,"",IF(MOD(INDEX(輔助計算!$D:$D, (MATCH(826, 輔助計算!$G$2:$G$801, 0)+1)),IF(INDEX(ERP資料!$G:$G, (MATCH(826, 輔助計算!$G$2:$G$801, 0)+1))&lt;100, IF(INDEX(ERP資料!$G:$G, (MATCH(826, 輔助計算!$G$2:$G$801, 0)+1))&lt;=31,3,IF(INDEX(ERP資料!$G:$G, (MATCH(826, 輔助計算!$G$2:$G$801, 0)+1))&lt;=46.5,2,1)), IF(INDEX(ERP資料!$G:$G, (MATCH(826, 輔助計算!$G$2:$G$801, 0)+1))&lt;=790,3,IF(INDEX(ERP資料!$G:$G, (MATCH(826, 輔助計算!$G$2:$G$801, 0)+1))&lt;=1181,2,1))))=0,"",IF(MOD(INDEX(輔助計算!$D:$D, (MATCH(826, 輔助計算!$G$2:$G$801, 0)+1)),IF(INDEX(ERP資料!$G:$G, (MATCH(826, 輔助計算!$G$2:$G$801, 0)+1))&lt;100, IF(INDEX(ERP資料!$G:$G, (MATCH(826, 輔助計算!$G$2:$G$801, 0)+1))&lt;=31,3,IF(INDEX(ERP資料!$G:$G, (MATCH(826, 輔助計算!$G$2:$G$801, 0)+1))&lt;=46.5,2,1)), IF(INDEX(ERP資料!$G:$G, (MATCH(826, 輔助計算!$G$2:$G$801, 0)+1))&lt;=790,3,IF(INDEX(ERP資料!$G:$G, (MATCH(826, 輔助計算!$G$2:$G$801, 0)+1))&lt;=1181,2,1))))=1,TEXT(INDEX(ERP資料!$G:$G, (MATCH(826, 輔助計算!$G$2:$G$801, 0)+1)),"0.##"),IF(MOD(INDEX(輔助計算!$D:$D, (MATCH(826, 輔助計算!$G$2:$G$801, 0)+1)),IF(INDEX(ERP資料!$G:$G, (MATCH(826, 輔助計算!$G$2:$G$801, 0)+1))&lt;100, IF(INDEX(ERP資料!$G:$G, (MATCH(826, 輔助計算!$G$2:$G$801, 0)+1))&lt;=31,3,IF(INDEX(ERP資料!$G:$G, (MATCH(826, 輔助計算!$G$2:$G$801, 0)+1))&lt;=46.5,2,1)), IF(INDEX(ERP資料!$G:$G, (MATCH(826, 輔助計算!$G$2:$G$801, 0)+1))&lt;=790,3,IF(INDEX(ERP資料!$G:$G, (MATCH(826, 輔助計算!$G$2:$G$801, 0)+1))&lt;=1181,2,1))))=2,TEXT(INDEX(ERP資料!$G:$G, (MATCH(826, 輔助計算!$G$2:$G$801, 0)+1)),"0.##")&amp;"+"&amp;TEXT(INDEX(ERP資料!$G:$G, (MATCH(826, 輔助計算!$G$2:$G$801, 0)+1)),"0.##"),TEXT(INDEX(ERP資料!$G:$G, (MATCH(826, 輔助計算!$G$2:$G$801, 0)+1)),"0.##")&amp;"+"&amp;TEXT(INDEX(ERP資料!$G:$G, (MATCH(826, 輔助計算!$G$2:$G$801, 0)+1)),"0.##")&amp;"+"&amp;TEXT(INDEX(ERP資料!$G:$G, (MATCH(826, 輔助計算!$G$2:$G$801, 0)+1)),"0.##"))))&amp;"-1")), ""), "")</f>
        <v/>
      </c>
      <c r="K827" s="16" t="n"/>
      <c r="L827" s="14">
        <f>IFERROR(IF(AND(IFERROR(INDEX(ERP資料!$A:$A, (MATCH(826, 輔助計算!$G$2:$G$801, 0)+1)), "")&lt;&gt;"", IFERROR(INDEX(ERP資料!$A:$A, (MATCH(826, 輔助計算!$G$2:$G$801, 0)+1)), "")&lt;&gt;IFERROR(INDEX(ERP資料!$A:$A, MATCH(825, 輔助計算!$G$2:$G$801, 0)+1), "")), INDEX(ERP資料!$B:$B, (MATCH(826, 輔助計算!$G$2:$G$801, 0)+1)), ""), "")</f>
        <v/>
      </c>
      <c r="M827" s="17" t="n"/>
    </row>
    <row r="828">
      <c r="A828" s="10">
        <f>IFERROR(IF(AND(IFERROR(INDEX(ERP資料!$A:$A, (MATCH(827, 輔助計算!$G$2:$G$801, 0)+1)), "")&lt;&gt;"", IFERROR(INDEX(ERP資料!$A:$A, (MATCH(827, 輔助計算!$G$2:$G$801, 0)+1)), "")&lt;&gt;IFERROR(INDEX(ERP資料!$A:$A, MATCH(826, 輔助計算!$G$2:$G$801, 0)+1), "")), IFERROR(INDEX(ERP資料!$A:$A, (MATCH(827, 輔助計算!$G$2:$G$801, 0)+1)), ""), ""), "")</f>
        <v/>
      </c>
      <c r="B828" s="10">
        <f>IFERROR(IF(AND(IFERROR(INDEX(ERP資料!$A:$A, (MATCH(827, 輔助計算!$G$2:$G$801, 0)+1)), "")&lt;&gt;"", IFERROR(INDEX(ERP資料!$A:$A, (MATCH(827, 輔助計算!$G$2:$G$801, 0)+1)), "")&lt;&gt;IFERROR(INDEX(ERP資料!$A:$A, MATCH(826, 輔助計算!$G$2:$G$801, 0)+1), "")), INDEX(ERP資料!$S:$S, (MATCH(827, 輔助計算!$G$2:$G$801, 0)+1)), ""), "")</f>
        <v/>
      </c>
      <c r="C828" s="19">
        <f>IFERROR(IF(AND(IFERROR(INDEX(ERP資料!$A:$A, (MATCH(827, 輔助計算!$G$2:$G$801, 0)+1)), "")&lt;&gt;"", IFERROR(INDEX(ERP資料!$A:$A, (MATCH(827, 輔助計算!$G$2:$G$801, 0)+1)), "")&lt;&gt;IFERROR(INDEX(ERP資料!$A:$A, MATCH(826, 輔助計算!$G$2:$G$801, 0)+1), "")), IFERROR(VLOOKUP(LEFT(INDEX(ERP資料!$S:$S, (MATCH(827, 輔助計算!$G$2:$G$801, 0)+1)), 4), 紙管對照表!$A:$C, 3, FALSE), ""), ""), "")</f>
        <v/>
      </c>
      <c r="D828" s="16" t="n"/>
      <c r="E828" s="10">
        <f>IFERROR(IF(INDEX(ERP資料!$H:$H, (MATCH(827, 輔助計算!$G$2:$G$801, 0)+1))="","",INDEX(ERP資料!$H:$H, (MATCH(827, 輔助計算!$G$2:$G$801, 0)+1))), "")</f>
        <v/>
      </c>
      <c r="F828" s="10">
        <f>IFERROR(IF(INDEX(ERP資料!$E:$E, (MATCH(827, 輔助計算!$G$2:$G$801, 0)+1))="","",TRIM(INDEX(ERP資料!$E:$E, (MATCH(827, 輔助計算!$G$2:$G$801, 0)+1)))), "")</f>
        <v/>
      </c>
      <c r="G828" s="10">
        <f>IFERROR(IF(INDEX(ERP資料!$F:$F, (MATCH(827, 輔助計算!$G$2:$G$801, 0)+1))="","",INDEX(ERP資料!$F:$F, (MATCH(827, 輔助計算!$G$2:$G$801, 0)+1))), "")</f>
        <v/>
      </c>
      <c r="H828" s="10">
        <f>IFERROR(IF(INDEX(ERP資料!$G:$G, (MATCH(827, 輔助計算!$G$2:$G$801, 0)+1))="","",INDEX(ERP資料!$G:$G, (MATCH(827, 輔助計算!$G$2:$G$801, 0)+1))), "")</f>
        <v/>
      </c>
      <c r="I828" s="15">
        <f>IFERROR(INDEX(輔助計算!$D:$D, (MATCH(827, 輔助計算!$G$2:$G$801, 0)+1)), "")</f>
        <v/>
      </c>
      <c r="J828" s="15">
        <f>IFERROR(IF(AND(INDEX(輔助計算!$D:$D, (MATCH(827, 輔助計算!$G$2:$G$801, 0)+1))&lt;&gt;"", INDEX(ERP資料!$G:$G, (MATCH(827, 輔助計算!$G$2:$G$801, 0)+1))&lt;&gt;""), TRIM(IF(INT(INDEX(輔助計算!$D:$D, (MATCH(827, 輔助計算!$G$2:$G$801, 0)+1))/IF(INDEX(ERP資料!$G:$G, (MATCH(827, 輔助計算!$G$2:$G$801, 0)+1))&lt;100, IF(INDEX(ERP資料!$G:$G, (MATCH(827, 輔助計算!$G$2:$G$801, 0)+1))&lt;=31,3,IF(INDEX(ERP資料!$G:$G, (MATCH(827, 輔助計算!$G$2:$G$801, 0)+1))&lt;=46.5,2,1)), IF(INDEX(ERP資料!$G:$G, (MATCH(827, 輔助計算!$G$2:$G$801, 0)+1))&lt;=790,3,IF(INDEX(ERP資料!$G:$G, (MATCH(827, 輔助計算!$G$2:$G$801, 0)+1))&lt;=1181,2,1))))&gt;0, IF(IF(INDEX(ERP資料!$G:$G, (MATCH(827, 輔助計算!$G$2:$G$801, 0)+1))&lt;100, IF(INDEX(ERP資料!$G:$G, (MATCH(827, 輔助計算!$G$2:$G$801, 0)+1))&lt;=31,3,IF(INDEX(ERP資料!$G:$G, (MATCH(827, 輔助計算!$G$2:$G$801, 0)+1))&lt;=46.5,2,1)), IF(INDEX(ERP資料!$G:$G, (MATCH(827, 輔助計算!$G$2:$G$801, 0)+1))&lt;=790,3,IF(INDEX(ERP資料!$G:$G, (MATCH(827, 輔助計算!$G$2:$G$801, 0)+1))&lt;=1181,2,1)))=1,TEXT(INDEX(ERP資料!$G:$G, (MATCH(827, 輔助計算!$G$2:$G$801, 0)+1)),"0.##"),IF(IF(INDEX(ERP資料!$G:$G, (MATCH(827, 輔助計算!$G$2:$G$801, 0)+1))&lt;100, IF(INDEX(ERP資料!$G:$G, (MATCH(827, 輔助計算!$G$2:$G$801, 0)+1))&lt;=31,3,IF(INDEX(ERP資料!$G:$G, (MATCH(827, 輔助計算!$G$2:$G$801, 0)+1))&lt;=46.5,2,1)), IF(INDEX(ERP資料!$G:$G, (MATCH(827, 輔助計算!$G$2:$G$801, 0)+1))&lt;=790,3,IF(INDEX(ERP資料!$G:$G, (MATCH(827, 輔助計算!$G$2:$G$801, 0)+1))&lt;=1181,2,1)))=2,TEXT(INDEX(ERP資料!$G:$G, (MATCH(827, 輔助計算!$G$2:$G$801, 0)+1)),"0.##")&amp;"+"&amp;TEXT(INDEX(ERP資料!$G:$G, (MATCH(827, 輔助計算!$G$2:$G$801, 0)+1)),"0.##"),TEXT(INDEX(ERP資料!$G:$G, (MATCH(827, 輔助計算!$G$2:$G$801, 0)+1)),"0.##")&amp;"+"&amp;TEXT(INDEX(ERP資料!$G:$G, (MATCH(827, 輔助計算!$G$2:$G$801, 0)+1)),"0.##")&amp;"+"&amp;TEXT(INDEX(ERP資料!$G:$G, (MATCH(827, 輔助計算!$G$2:$G$801, 0)+1)),"0.##")))&amp;"-"&amp;INT(INDEX(輔助計算!$D:$D, (MATCH(827, 輔助計算!$G$2:$G$801, 0)+1))/IF(INDEX(ERP資料!$G:$G, (MATCH(827, 輔助計算!$G$2:$G$801, 0)+1))&lt;100, IF(INDEX(ERP資料!$G:$G, (MATCH(827, 輔助計算!$G$2:$G$801, 0)+1))&lt;=31,3,IF(INDEX(ERP資料!$G:$G, (MATCH(827, 輔助計算!$G$2:$G$801, 0)+1))&lt;=46.5,2,1)), IF(INDEX(ERP資料!$G:$G, (MATCH(827, 輔助計算!$G$2:$G$801, 0)+1))&lt;=790,3,IF(INDEX(ERP資料!$G:$G, (MATCH(827, 輔助計算!$G$2:$G$801, 0)+1))&lt;=1181,2,1)))), "")&amp;IF(AND(IF(INT(INDEX(輔助計算!$D:$D, (MATCH(827, 輔助計算!$G$2:$G$801, 0)+1))/IF(INDEX(ERP資料!$G:$G, (MATCH(827, 輔助計算!$G$2:$G$801, 0)+1))&lt;100, IF(INDEX(ERP資料!$G:$G, (MATCH(827, 輔助計算!$G$2:$G$801, 0)+1))&lt;=31,3,IF(INDEX(ERP資料!$G:$G, (MATCH(827, 輔助計算!$G$2:$G$801, 0)+1))&lt;=46.5,2,1)), IF(INDEX(ERP資料!$G:$G, (MATCH(827, 輔助計算!$G$2:$G$801, 0)+1))&lt;=790,3,IF(INDEX(ERP資料!$G:$G, (MATCH(827, 輔助計算!$G$2:$G$801, 0)+1))&lt;=1181,2,1))))&gt;0, IF(IF(INDEX(ERP資料!$G:$G, (MATCH(827, 輔助計算!$G$2:$G$801, 0)+1))&lt;100, IF(INDEX(ERP資料!$G:$G, (MATCH(827, 輔助計算!$G$2:$G$801, 0)+1))&lt;=31,3,IF(INDEX(ERP資料!$G:$G, (MATCH(827, 輔助計算!$G$2:$G$801, 0)+1))&lt;=46.5,2,1)), IF(INDEX(ERP資料!$G:$G, (MATCH(827, 輔助計算!$G$2:$G$801, 0)+1))&lt;=790,3,IF(INDEX(ERP資料!$G:$G, (MATCH(827, 輔助計算!$G$2:$G$801, 0)+1))&lt;=1181,2,1)))=1,TEXT(INDEX(ERP資料!$G:$G, (MATCH(827, 輔助計算!$G$2:$G$801, 0)+1)),"0.##"),IF(IF(INDEX(ERP資料!$G:$G, (MATCH(827, 輔助計算!$G$2:$G$801, 0)+1))&lt;100, IF(INDEX(ERP資料!$G:$G, (MATCH(827, 輔助計算!$G$2:$G$801, 0)+1))&lt;=31,3,IF(INDEX(ERP資料!$G:$G, (MATCH(827, 輔助計算!$G$2:$G$801, 0)+1))&lt;=46.5,2,1)), IF(INDEX(ERP資料!$G:$G, (MATCH(827, 輔助計算!$G$2:$G$801, 0)+1))&lt;=790,3,IF(INDEX(ERP資料!$G:$G, (MATCH(827, 輔助計算!$G$2:$G$801, 0)+1))&lt;=1181,2,1)))=2,TEXT(INDEX(ERP資料!$G:$G, (MATCH(827, 輔助計算!$G$2:$G$801, 0)+1)),"0.##")&amp;"+"&amp;TEXT(INDEX(ERP資料!$G:$G, (MATCH(827, 輔助計算!$G$2:$G$801, 0)+1)),"0.##"),TEXT(INDEX(ERP資料!$G:$G, (MATCH(827, 輔助計算!$G$2:$G$801, 0)+1)),"0.##")&amp;"+"&amp;TEXT(INDEX(ERP資料!$G:$G, (MATCH(827, 輔助計算!$G$2:$G$801, 0)+1)),"0.##")&amp;"+"&amp;TEXT(INDEX(ERP資料!$G:$G, (MATCH(827, 輔助計算!$G$2:$G$801, 0)+1)),"0.##")))&amp;"-"&amp;INT(INDEX(輔助計算!$D:$D, (MATCH(827, 輔助計算!$G$2:$G$801, 0)+1))/IF(INDEX(ERP資料!$G:$G, (MATCH(827, 輔助計算!$G$2:$G$801, 0)+1))&lt;100, IF(INDEX(ERP資料!$G:$G, (MATCH(827, 輔助計算!$G$2:$G$801, 0)+1))&lt;=31,3,IF(INDEX(ERP資料!$G:$G, (MATCH(827, 輔助計算!$G$2:$G$801, 0)+1))&lt;=46.5,2,1)), IF(INDEX(ERP資料!$G:$G, (MATCH(827, 輔助計算!$G$2:$G$801, 0)+1))&lt;=790,3,IF(INDEX(ERP資料!$G:$G, (MATCH(827, 輔助計算!$G$2:$G$801, 0)+1))&lt;=1181,2,1)))), "")&lt;&gt;"",IF(MOD(INDEX(輔助計算!$D:$D, (MATCH(827, 輔助計算!$G$2:$G$801, 0)+1)),IF(INDEX(ERP資料!$G:$G, (MATCH(827, 輔助計算!$G$2:$G$801, 0)+1))&lt;100, IF(INDEX(ERP資料!$G:$G, (MATCH(827, 輔助計算!$G$2:$G$801, 0)+1))&lt;=31,3,IF(INDEX(ERP資料!$G:$G, (MATCH(827, 輔助計算!$G$2:$G$801, 0)+1))&lt;=46.5,2,1)), IF(INDEX(ERP資料!$G:$G, (MATCH(827, 輔助計算!$G$2:$G$801, 0)+1))&lt;=790,3,IF(INDEX(ERP資料!$G:$G, (MATCH(827, 輔助計算!$G$2:$G$801, 0)+1))&lt;=1181,2,1))))=0,"",IF(MOD(INDEX(輔助計算!$D:$D, (MATCH(827, 輔助計算!$G$2:$G$801, 0)+1)),IF(INDEX(ERP資料!$G:$G, (MATCH(827, 輔助計算!$G$2:$G$801, 0)+1))&lt;100, IF(INDEX(ERP資料!$G:$G, (MATCH(827, 輔助計算!$G$2:$G$801, 0)+1))&lt;=31,3,IF(INDEX(ERP資料!$G:$G, (MATCH(827, 輔助計算!$G$2:$G$801, 0)+1))&lt;=46.5,2,1)), IF(INDEX(ERP資料!$G:$G, (MATCH(827, 輔助計算!$G$2:$G$801, 0)+1))&lt;=790,3,IF(INDEX(ERP資料!$G:$G, (MATCH(827, 輔助計算!$G$2:$G$801, 0)+1))&lt;=1181,2,1))))=0,"",IF(MOD(INDEX(輔助計算!$D:$D, (MATCH(827, 輔助計算!$G$2:$G$801, 0)+1)),IF(INDEX(ERP資料!$G:$G, (MATCH(827, 輔助計算!$G$2:$G$801, 0)+1))&lt;100, IF(INDEX(ERP資料!$G:$G, (MATCH(827, 輔助計算!$G$2:$G$801, 0)+1))&lt;=31,3,IF(INDEX(ERP資料!$G:$G, (MATCH(827, 輔助計算!$G$2:$G$801, 0)+1))&lt;=46.5,2,1)), IF(INDEX(ERP資料!$G:$G, (MATCH(827, 輔助計算!$G$2:$G$801, 0)+1))&lt;=790,3,IF(INDEX(ERP資料!$G:$G, (MATCH(827, 輔助計算!$G$2:$G$801, 0)+1))&lt;=1181,2,1))))=1,TEXT(INDEX(ERP資料!$G:$G, (MATCH(827, 輔助計算!$G$2:$G$801, 0)+1)),"0.##"),IF(MOD(INDEX(輔助計算!$D:$D, (MATCH(827, 輔助計算!$G$2:$G$801, 0)+1)),IF(INDEX(ERP資料!$G:$G, (MATCH(827, 輔助計算!$G$2:$G$801, 0)+1))&lt;100, IF(INDEX(ERP資料!$G:$G, (MATCH(827, 輔助計算!$G$2:$G$801, 0)+1))&lt;=31,3,IF(INDEX(ERP資料!$G:$G, (MATCH(827, 輔助計算!$G$2:$G$801, 0)+1))&lt;=46.5,2,1)), IF(INDEX(ERP資料!$G:$G, (MATCH(827, 輔助計算!$G$2:$G$801, 0)+1))&lt;=790,3,IF(INDEX(ERP資料!$G:$G, (MATCH(827, 輔助計算!$G$2:$G$801, 0)+1))&lt;=1181,2,1))))=2,TEXT(INDEX(ERP資料!$G:$G, (MATCH(827, 輔助計算!$G$2:$G$801, 0)+1)),"0.##")&amp;"+"&amp;TEXT(INDEX(ERP資料!$G:$G, (MATCH(827, 輔助計算!$G$2:$G$801, 0)+1)),"0.##"),TEXT(INDEX(ERP資料!$G:$G, (MATCH(827, 輔助計算!$G$2:$G$801, 0)+1)),"0.##")&amp;"+"&amp;TEXT(INDEX(ERP資料!$G:$G, (MATCH(827, 輔助計算!$G$2:$G$801, 0)+1)),"0.##")&amp;"+"&amp;TEXT(INDEX(ERP資料!$G:$G, (MATCH(827, 輔助計算!$G$2:$G$801, 0)+1)),"0.##"))))&amp;"-1")&lt;&gt;""),"  ","")&amp;IF(MOD(INDEX(輔助計算!$D:$D, (MATCH(827, 輔助計算!$G$2:$G$801, 0)+1)),IF(INDEX(ERP資料!$G:$G, (MATCH(827, 輔助計算!$G$2:$G$801, 0)+1))&lt;100, IF(INDEX(ERP資料!$G:$G, (MATCH(827, 輔助計算!$G$2:$G$801, 0)+1))&lt;=31,3,IF(INDEX(ERP資料!$G:$G, (MATCH(827, 輔助計算!$G$2:$G$801, 0)+1))&lt;=46.5,2,1)), IF(INDEX(ERP資料!$G:$G, (MATCH(827, 輔助計算!$G$2:$G$801, 0)+1))&lt;=790,3,IF(INDEX(ERP資料!$G:$G, (MATCH(827, 輔助計算!$G$2:$G$801, 0)+1))&lt;=1181,2,1))))=0,"",IF(MOD(INDEX(輔助計算!$D:$D, (MATCH(827, 輔助計算!$G$2:$G$801, 0)+1)),IF(INDEX(ERP資料!$G:$G, (MATCH(827, 輔助計算!$G$2:$G$801, 0)+1))&lt;100, IF(INDEX(ERP資料!$G:$G, (MATCH(827, 輔助計算!$G$2:$G$801, 0)+1))&lt;=31,3,IF(INDEX(ERP資料!$G:$G, (MATCH(827, 輔助計算!$G$2:$G$801, 0)+1))&lt;=46.5,2,1)), IF(INDEX(ERP資料!$G:$G, (MATCH(827, 輔助計算!$G$2:$G$801, 0)+1))&lt;=790,3,IF(INDEX(ERP資料!$G:$G, (MATCH(827, 輔助計算!$G$2:$G$801, 0)+1))&lt;=1181,2,1))))=0,"",IF(MOD(INDEX(輔助計算!$D:$D, (MATCH(827, 輔助計算!$G$2:$G$801, 0)+1)),IF(INDEX(ERP資料!$G:$G, (MATCH(827, 輔助計算!$G$2:$G$801, 0)+1))&lt;100, IF(INDEX(ERP資料!$G:$G, (MATCH(827, 輔助計算!$G$2:$G$801, 0)+1))&lt;=31,3,IF(INDEX(ERP資料!$G:$G, (MATCH(827, 輔助計算!$G$2:$G$801, 0)+1))&lt;=46.5,2,1)), IF(INDEX(ERP資料!$G:$G, (MATCH(827, 輔助計算!$G$2:$G$801, 0)+1))&lt;=790,3,IF(INDEX(ERP資料!$G:$G, (MATCH(827, 輔助計算!$G$2:$G$801, 0)+1))&lt;=1181,2,1))))=1,TEXT(INDEX(ERP資料!$G:$G, (MATCH(827, 輔助計算!$G$2:$G$801, 0)+1)),"0.##"),IF(MOD(INDEX(輔助計算!$D:$D, (MATCH(827, 輔助計算!$G$2:$G$801, 0)+1)),IF(INDEX(ERP資料!$G:$G, (MATCH(827, 輔助計算!$G$2:$G$801, 0)+1))&lt;100, IF(INDEX(ERP資料!$G:$G, (MATCH(827, 輔助計算!$G$2:$G$801, 0)+1))&lt;=31,3,IF(INDEX(ERP資料!$G:$G, (MATCH(827, 輔助計算!$G$2:$G$801, 0)+1))&lt;=46.5,2,1)), IF(INDEX(ERP資料!$G:$G, (MATCH(827, 輔助計算!$G$2:$G$801, 0)+1))&lt;=790,3,IF(INDEX(ERP資料!$G:$G, (MATCH(827, 輔助計算!$G$2:$G$801, 0)+1))&lt;=1181,2,1))))=2,TEXT(INDEX(ERP資料!$G:$G, (MATCH(827, 輔助計算!$G$2:$G$801, 0)+1)),"0.##")&amp;"+"&amp;TEXT(INDEX(ERP資料!$G:$G, (MATCH(827, 輔助計算!$G$2:$G$801, 0)+1)),"0.##"),TEXT(INDEX(ERP資料!$G:$G, (MATCH(827, 輔助計算!$G$2:$G$801, 0)+1)),"0.##")&amp;"+"&amp;TEXT(INDEX(ERP資料!$G:$G, (MATCH(827, 輔助計算!$G$2:$G$801, 0)+1)),"0.##")&amp;"+"&amp;TEXT(INDEX(ERP資料!$G:$G, (MATCH(827, 輔助計算!$G$2:$G$801, 0)+1)),"0.##"))))&amp;"-1")), ""), "")</f>
        <v/>
      </c>
      <c r="K828" s="16" t="n"/>
      <c r="L828" s="14">
        <f>IFERROR(IF(AND(IFERROR(INDEX(ERP資料!$A:$A, (MATCH(827, 輔助計算!$G$2:$G$801, 0)+1)), "")&lt;&gt;"", IFERROR(INDEX(ERP資料!$A:$A, (MATCH(827, 輔助計算!$G$2:$G$801, 0)+1)), "")&lt;&gt;IFERROR(INDEX(ERP資料!$A:$A, MATCH(826, 輔助計算!$G$2:$G$801, 0)+1), "")), INDEX(ERP資料!$B:$B, (MATCH(827, 輔助計算!$G$2:$G$801, 0)+1)), ""), "")</f>
        <v/>
      </c>
      <c r="M828" s="17" t="n"/>
    </row>
    <row r="829">
      <c r="A829" s="10">
        <f>IFERROR(IF(AND(IFERROR(INDEX(ERP資料!$A:$A, (MATCH(828, 輔助計算!$G$2:$G$801, 0)+1)), "")&lt;&gt;"", IFERROR(INDEX(ERP資料!$A:$A, (MATCH(828, 輔助計算!$G$2:$G$801, 0)+1)), "")&lt;&gt;IFERROR(INDEX(ERP資料!$A:$A, MATCH(827, 輔助計算!$G$2:$G$801, 0)+1), "")), IFERROR(INDEX(ERP資料!$A:$A, (MATCH(828, 輔助計算!$G$2:$G$801, 0)+1)), ""), ""), "")</f>
        <v/>
      </c>
      <c r="B829" s="10">
        <f>IFERROR(IF(AND(IFERROR(INDEX(ERP資料!$A:$A, (MATCH(828, 輔助計算!$G$2:$G$801, 0)+1)), "")&lt;&gt;"", IFERROR(INDEX(ERP資料!$A:$A, (MATCH(828, 輔助計算!$G$2:$G$801, 0)+1)), "")&lt;&gt;IFERROR(INDEX(ERP資料!$A:$A, MATCH(827, 輔助計算!$G$2:$G$801, 0)+1), "")), INDEX(ERP資料!$S:$S, (MATCH(828, 輔助計算!$G$2:$G$801, 0)+1)), ""), "")</f>
        <v/>
      </c>
      <c r="C829" s="19">
        <f>IFERROR(IF(AND(IFERROR(INDEX(ERP資料!$A:$A, (MATCH(828, 輔助計算!$G$2:$G$801, 0)+1)), "")&lt;&gt;"", IFERROR(INDEX(ERP資料!$A:$A, (MATCH(828, 輔助計算!$G$2:$G$801, 0)+1)), "")&lt;&gt;IFERROR(INDEX(ERP資料!$A:$A, MATCH(827, 輔助計算!$G$2:$G$801, 0)+1), "")), IFERROR(VLOOKUP(LEFT(INDEX(ERP資料!$S:$S, (MATCH(828, 輔助計算!$G$2:$G$801, 0)+1)), 4), 紙管對照表!$A:$C, 3, FALSE), ""), ""), "")</f>
        <v/>
      </c>
      <c r="D829" s="16" t="n"/>
      <c r="E829" s="10">
        <f>IFERROR(IF(INDEX(ERP資料!$H:$H, (MATCH(828, 輔助計算!$G$2:$G$801, 0)+1))="","",INDEX(ERP資料!$H:$H, (MATCH(828, 輔助計算!$G$2:$G$801, 0)+1))), "")</f>
        <v/>
      </c>
      <c r="F829" s="10">
        <f>IFERROR(IF(INDEX(ERP資料!$E:$E, (MATCH(828, 輔助計算!$G$2:$G$801, 0)+1))="","",TRIM(INDEX(ERP資料!$E:$E, (MATCH(828, 輔助計算!$G$2:$G$801, 0)+1)))), "")</f>
        <v/>
      </c>
      <c r="G829" s="10">
        <f>IFERROR(IF(INDEX(ERP資料!$F:$F, (MATCH(828, 輔助計算!$G$2:$G$801, 0)+1))="","",INDEX(ERP資料!$F:$F, (MATCH(828, 輔助計算!$G$2:$G$801, 0)+1))), "")</f>
        <v/>
      </c>
      <c r="H829" s="10">
        <f>IFERROR(IF(INDEX(ERP資料!$G:$G, (MATCH(828, 輔助計算!$G$2:$G$801, 0)+1))="","",INDEX(ERP資料!$G:$G, (MATCH(828, 輔助計算!$G$2:$G$801, 0)+1))), "")</f>
        <v/>
      </c>
      <c r="I829" s="15">
        <f>IFERROR(INDEX(輔助計算!$D:$D, (MATCH(828, 輔助計算!$G$2:$G$801, 0)+1)), "")</f>
        <v/>
      </c>
      <c r="J829" s="15">
        <f>IFERROR(IF(AND(INDEX(輔助計算!$D:$D, (MATCH(828, 輔助計算!$G$2:$G$801, 0)+1))&lt;&gt;"", INDEX(ERP資料!$G:$G, (MATCH(828, 輔助計算!$G$2:$G$801, 0)+1))&lt;&gt;""), TRIM(IF(INT(INDEX(輔助計算!$D:$D, (MATCH(828, 輔助計算!$G$2:$G$801, 0)+1))/IF(INDEX(ERP資料!$G:$G, (MATCH(828, 輔助計算!$G$2:$G$801, 0)+1))&lt;100, IF(INDEX(ERP資料!$G:$G, (MATCH(828, 輔助計算!$G$2:$G$801, 0)+1))&lt;=31,3,IF(INDEX(ERP資料!$G:$G, (MATCH(828, 輔助計算!$G$2:$G$801, 0)+1))&lt;=46.5,2,1)), IF(INDEX(ERP資料!$G:$G, (MATCH(828, 輔助計算!$G$2:$G$801, 0)+1))&lt;=790,3,IF(INDEX(ERP資料!$G:$G, (MATCH(828, 輔助計算!$G$2:$G$801, 0)+1))&lt;=1181,2,1))))&gt;0, IF(IF(INDEX(ERP資料!$G:$G, (MATCH(828, 輔助計算!$G$2:$G$801, 0)+1))&lt;100, IF(INDEX(ERP資料!$G:$G, (MATCH(828, 輔助計算!$G$2:$G$801, 0)+1))&lt;=31,3,IF(INDEX(ERP資料!$G:$G, (MATCH(828, 輔助計算!$G$2:$G$801, 0)+1))&lt;=46.5,2,1)), IF(INDEX(ERP資料!$G:$G, (MATCH(828, 輔助計算!$G$2:$G$801, 0)+1))&lt;=790,3,IF(INDEX(ERP資料!$G:$G, (MATCH(828, 輔助計算!$G$2:$G$801, 0)+1))&lt;=1181,2,1)))=1,TEXT(INDEX(ERP資料!$G:$G, (MATCH(828, 輔助計算!$G$2:$G$801, 0)+1)),"0.##"),IF(IF(INDEX(ERP資料!$G:$G, (MATCH(828, 輔助計算!$G$2:$G$801, 0)+1))&lt;100, IF(INDEX(ERP資料!$G:$G, (MATCH(828, 輔助計算!$G$2:$G$801, 0)+1))&lt;=31,3,IF(INDEX(ERP資料!$G:$G, (MATCH(828, 輔助計算!$G$2:$G$801, 0)+1))&lt;=46.5,2,1)), IF(INDEX(ERP資料!$G:$G, (MATCH(828, 輔助計算!$G$2:$G$801, 0)+1))&lt;=790,3,IF(INDEX(ERP資料!$G:$G, (MATCH(828, 輔助計算!$G$2:$G$801, 0)+1))&lt;=1181,2,1)))=2,TEXT(INDEX(ERP資料!$G:$G, (MATCH(828, 輔助計算!$G$2:$G$801, 0)+1)),"0.##")&amp;"+"&amp;TEXT(INDEX(ERP資料!$G:$G, (MATCH(828, 輔助計算!$G$2:$G$801, 0)+1)),"0.##"),TEXT(INDEX(ERP資料!$G:$G, (MATCH(828, 輔助計算!$G$2:$G$801, 0)+1)),"0.##")&amp;"+"&amp;TEXT(INDEX(ERP資料!$G:$G, (MATCH(828, 輔助計算!$G$2:$G$801, 0)+1)),"0.##")&amp;"+"&amp;TEXT(INDEX(ERP資料!$G:$G, (MATCH(828, 輔助計算!$G$2:$G$801, 0)+1)),"0.##")))&amp;"-"&amp;INT(INDEX(輔助計算!$D:$D, (MATCH(828, 輔助計算!$G$2:$G$801, 0)+1))/IF(INDEX(ERP資料!$G:$G, (MATCH(828, 輔助計算!$G$2:$G$801, 0)+1))&lt;100, IF(INDEX(ERP資料!$G:$G, (MATCH(828, 輔助計算!$G$2:$G$801, 0)+1))&lt;=31,3,IF(INDEX(ERP資料!$G:$G, (MATCH(828, 輔助計算!$G$2:$G$801, 0)+1))&lt;=46.5,2,1)), IF(INDEX(ERP資料!$G:$G, (MATCH(828, 輔助計算!$G$2:$G$801, 0)+1))&lt;=790,3,IF(INDEX(ERP資料!$G:$G, (MATCH(828, 輔助計算!$G$2:$G$801, 0)+1))&lt;=1181,2,1)))), "")&amp;IF(AND(IF(INT(INDEX(輔助計算!$D:$D, (MATCH(828, 輔助計算!$G$2:$G$801, 0)+1))/IF(INDEX(ERP資料!$G:$G, (MATCH(828, 輔助計算!$G$2:$G$801, 0)+1))&lt;100, IF(INDEX(ERP資料!$G:$G, (MATCH(828, 輔助計算!$G$2:$G$801, 0)+1))&lt;=31,3,IF(INDEX(ERP資料!$G:$G, (MATCH(828, 輔助計算!$G$2:$G$801, 0)+1))&lt;=46.5,2,1)), IF(INDEX(ERP資料!$G:$G, (MATCH(828, 輔助計算!$G$2:$G$801, 0)+1))&lt;=790,3,IF(INDEX(ERP資料!$G:$G, (MATCH(828, 輔助計算!$G$2:$G$801, 0)+1))&lt;=1181,2,1))))&gt;0, IF(IF(INDEX(ERP資料!$G:$G, (MATCH(828, 輔助計算!$G$2:$G$801, 0)+1))&lt;100, IF(INDEX(ERP資料!$G:$G, (MATCH(828, 輔助計算!$G$2:$G$801, 0)+1))&lt;=31,3,IF(INDEX(ERP資料!$G:$G, (MATCH(828, 輔助計算!$G$2:$G$801, 0)+1))&lt;=46.5,2,1)), IF(INDEX(ERP資料!$G:$G, (MATCH(828, 輔助計算!$G$2:$G$801, 0)+1))&lt;=790,3,IF(INDEX(ERP資料!$G:$G, (MATCH(828, 輔助計算!$G$2:$G$801, 0)+1))&lt;=1181,2,1)))=1,TEXT(INDEX(ERP資料!$G:$G, (MATCH(828, 輔助計算!$G$2:$G$801, 0)+1)),"0.##"),IF(IF(INDEX(ERP資料!$G:$G, (MATCH(828, 輔助計算!$G$2:$G$801, 0)+1))&lt;100, IF(INDEX(ERP資料!$G:$G, (MATCH(828, 輔助計算!$G$2:$G$801, 0)+1))&lt;=31,3,IF(INDEX(ERP資料!$G:$G, (MATCH(828, 輔助計算!$G$2:$G$801, 0)+1))&lt;=46.5,2,1)), IF(INDEX(ERP資料!$G:$G, (MATCH(828, 輔助計算!$G$2:$G$801, 0)+1))&lt;=790,3,IF(INDEX(ERP資料!$G:$G, (MATCH(828, 輔助計算!$G$2:$G$801, 0)+1))&lt;=1181,2,1)))=2,TEXT(INDEX(ERP資料!$G:$G, (MATCH(828, 輔助計算!$G$2:$G$801, 0)+1)),"0.##")&amp;"+"&amp;TEXT(INDEX(ERP資料!$G:$G, (MATCH(828, 輔助計算!$G$2:$G$801, 0)+1)),"0.##"),TEXT(INDEX(ERP資料!$G:$G, (MATCH(828, 輔助計算!$G$2:$G$801, 0)+1)),"0.##")&amp;"+"&amp;TEXT(INDEX(ERP資料!$G:$G, (MATCH(828, 輔助計算!$G$2:$G$801, 0)+1)),"0.##")&amp;"+"&amp;TEXT(INDEX(ERP資料!$G:$G, (MATCH(828, 輔助計算!$G$2:$G$801, 0)+1)),"0.##")))&amp;"-"&amp;INT(INDEX(輔助計算!$D:$D, (MATCH(828, 輔助計算!$G$2:$G$801, 0)+1))/IF(INDEX(ERP資料!$G:$G, (MATCH(828, 輔助計算!$G$2:$G$801, 0)+1))&lt;100, IF(INDEX(ERP資料!$G:$G, (MATCH(828, 輔助計算!$G$2:$G$801, 0)+1))&lt;=31,3,IF(INDEX(ERP資料!$G:$G, (MATCH(828, 輔助計算!$G$2:$G$801, 0)+1))&lt;=46.5,2,1)), IF(INDEX(ERP資料!$G:$G, (MATCH(828, 輔助計算!$G$2:$G$801, 0)+1))&lt;=790,3,IF(INDEX(ERP資料!$G:$G, (MATCH(828, 輔助計算!$G$2:$G$801, 0)+1))&lt;=1181,2,1)))), "")&lt;&gt;"",IF(MOD(INDEX(輔助計算!$D:$D, (MATCH(828, 輔助計算!$G$2:$G$801, 0)+1)),IF(INDEX(ERP資料!$G:$G, (MATCH(828, 輔助計算!$G$2:$G$801, 0)+1))&lt;100, IF(INDEX(ERP資料!$G:$G, (MATCH(828, 輔助計算!$G$2:$G$801, 0)+1))&lt;=31,3,IF(INDEX(ERP資料!$G:$G, (MATCH(828, 輔助計算!$G$2:$G$801, 0)+1))&lt;=46.5,2,1)), IF(INDEX(ERP資料!$G:$G, (MATCH(828, 輔助計算!$G$2:$G$801, 0)+1))&lt;=790,3,IF(INDEX(ERP資料!$G:$G, (MATCH(828, 輔助計算!$G$2:$G$801, 0)+1))&lt;=1181,2,1))))=0,"",IF(MOD(INDEX(輔助計算!$D:$D, (MATCH(828, 輔助計算!$G$2:$G$801, 0)+1)),IF(INDEX(ERP資料!$G:$G, (MATCH(828, 輔助計算!$G$2:$G$801, 0)+1))&lt;100, IF(INDEX(ERP資料!$G:$G, (MATCH(828, 輔助計算!$G$2:$G$801, 0)+1))&lt;=31,3,IF(INDEX(ERP資料!$G:$G, (MATCH(828, 輔助計算!$G$2:$G$801, 0)+1))&lt;=46.5,2,1)), IF(INDEX(ERP資料!$G:$G, (MATCH(828, 輔助計算!$G$2:$G$801, 0)+1))&lt;=790,3,IF(INDEX(ERP資料!$G:$G, (MATCH(828, 輔助計算!$G$2:$G$801, 0)+1))&lt;=1181,2,1))))=0,"",IF(MOD(INDEX(輔助計算!$D:$D, (MATCH(828, 輔助計算!$G$2:$G$801, 0)+1)),IF(INDEX(ERP資料!$G:$G, (MATCH(828, 輔助計算!$G$2:$G$801, 0)+1))&lt;100, IF(INDEX(ERP資料!$G:$G, (MATCH(828, 輔助計算!$G$2:$G$801, 0)+1))&lt;=31,3,IF(INDEX(ERP資料!$G:$G, (MATCH(828, 輔助計算!$G$2:$G$801, 0)+1))&lt;=46.5,2,1)), IF(INDEX(ERP資料!$G:$G, (MATCH(828, 輔助計算!$G$2:$G$801, 0)+1))&lt;=790,3,IF(INDEX(ERP資料!$G:$G, (MATCH(828, 輔助計算!$G$2:$G$801, 0)+1))&lt;=1181,2,1))))=1,TEXT(INDEX(ERP資料!$G:$G, (MATCH(828, 輔助計算!$G$2:$G$801, 0)+1)),"0.##"),IF(MOD(INDEX(輔助計算!$D:$D, (MATCH(828, 輔助計算!$G$2:$G$801, 0)+1)),IF(INDEX(ERP資料!$G:$G, (MATCH(828, 輔助計算!$G$2:$G$801, 0)+1))&lt;100, IF(INDEX(ERP資料!$G:$G, (MATCH(828, 輔助計算!$G$2:$G$801, 0)+1))&lt;=31,3,IF(INDEX(ERP資料!$G:$G, (MATCH(828, 輔助計算!$G$2:$G$801, 0)+1))&lt;=46.5,2,1)), IF(INDEX(ERP資料!$G:$G, (MATCH(828, 輔助計算!$G$2:$G$801, 0)+1))&lt;=790,3,IF(INDEX(ERP資料!$G:$G, (MATCH(828, 輔助計算!$G$2:$G$801, 0)+1))&lt;=1181,2,1))))=2,TEXT(INDEX(ERP資料!$G:$G, (MATCH(828, 輔助計算!$G$2:$G$801, 0)+1)),"0.##")&amp;"+"&amp;TEXT(INDEX(ERP資料!$G:$G, (MATCH(828, 輔助計算!$G$2:$G$801, 0)+1)),"0.##"),TEXT(INDEX(ERP資料!$G:$G, (MATCH(828, 輔助計算!$G$2:$G$801, 0)+1)),"0.##")&amp;"+"&amp;TEXT(INDEX(ERP資料!$G:$G, (MATCH(828, 輔助計算!$G$2:$G$801, 0)+1)),"0.##")&amp;"+"&amp;TEXT(INDEX(ERP資料!$G:$G, (MATCH(828, 輔助計算!$G$2:$G$801, 0)+1)),"0.##"))))&amp;"-1")&lt;&gt;""),"  ","")&amp;IF(MOD(INDEX(輔助計算!$D:$D, (MATCH(828, 輔助計算!$G$2:$G$801, 0)+1)),IF(INDEX(ERP資料!$G:$G, (MATCH(828, 輔助計算!$G$2:$G$801, 0)+1))&lt;100, IF(INDEX(ERP資料!$G:$G, (MATCH(828, 輔助計算!$G$2:$G$801, 0)+1))&lt;=31,3,IF(INDEX(ERP資料!$G:$G, (MATCH(828, 輔助計算!$G$2:$G$801, 0)+1))&lt;=46.5,2,1)), IF(INDEX(ERP資料!$G:$G, (MATCH(828, 輔助計算!$G$2:$G$801, 0)+1))&lt;=790,3,IF(INDEX(ERP資料!$G:$G, (MATCH(828, 輔助計算!$G$2:$G$801, 0)+1))&lt;=1181,2,1))))=0,"",IF(MOD(INDEX(輔助計算!$D:$D, (MATCH(828, 輔助計算!$G$2:$G$801, 0)+1)),IF(INDEX(ERP資料!$G:$G, (MATCH(828, 輔助計算!$G$2:$G$801, 0)+1))&lt;100, IF(INDEX(ERP資料!$G:$G, (MATCH(828, 輔助計算!$G$2:$G$801, 0)+1))&lt;=31,3,IF(INDEX(ERP資料!$G:$G, (MATCH(828, 輔助計算!$G$2:$G$801, 0)+1))&lt;=46.5,2,1)), IF(INDEX(ERP資料!$G:$G, (MATCH(828, 輔助計算!$G$2:$G$801, 0)+1))&lt;=790,3,IF(INDEX(ERP資料!$G:$G, (MATCH(828, 輔助計算!$G$2:$G$801, 0)+1))&lt;=1181,2,1))))=0,"",IF(MOD(INDEX(輔助計算!$D:$D, (MATCH(828, 輔助計算!$G$2:$G$801, 0)+1)),IF(INDEX(ERP資料!$G:$G, (MATCH(828, 輔助計算!$G$2:$G$801, 0)+1))&lt;100, IF(INDEX(ERP資料!$G:$G, (MATCH(828, 輔助計算!$G$2:$G$801, 0)+1))&lt;=31,3,IF(INDEX(ERP資料!$G:$G, (MATCH(828, 輔助計算!$G$2:$G$801, 0)+1))&lt;=46.5,2,1)), IF(INDEX(ERP資料!$G:$G, (MATCH(828, 輔助計算!$G$2:$G$801, 0)+1))&lt;=790,3,IF(INDEX(ERP資料!$G:$G, (MATCH(828, 輔助計算!$G$2:$G$801, 0)+1))&lt;=1181,2,1))))=1,TEXT(INDEX(ERP資料!$G:$G, (MATCH(828, 輔助計算!$G$2:$G$801, 0)+1)),"0.##"),IF(MOD(INDEX(輔助計算!$D:$D, (MATCH(828, 輔助計算!$G$2:$G$801, 0)+1)),IF(INDEX(ERP資料!$G:$G, (MATCH(828, 輔助計算!$G$2:$G$801, 0)+1))&lt;100, IF(INDEX(ERP資料!$G:$G, (MATCH(828, 輔助計算!$G$2:$G$801, 0)+1))&lt;=31,3,IF(INDEX(ERP資料!$G:$G, (MATCH(828, 輔助計算!$G$2:$G$801, 0)+1))&lt;=46.5,2,1)), IF(INDEX(ERP資料!$G:$G, (MATCH(828, 輔助計算!$G$2:$G$801, 0)+1))&lt;=790,3,IF(INDEX(ERP資料!$G:$G, (MATCH(828, 輔助計算!$G$2:$G$801, 0)+1))&lt;=1181,2,1))))=2,TEXT(INDEX(ERP資料!$G:$G, (MATCH(828, 輔助計算!$G$2:$G$801, 0)+1)),"0.##")&amp;"+"&amp;TEXT(INDEX(ERP資料!$G:$G, (MATCH(828, 輔助計算!$G$2:$G$801, 0)+1)),"0.##"),TEXT(INDEX(ERP資料!$G:$G, (MATCH(828, 輔助計算!$G$2:$G$801, 0)+1)),"0.##")&amp;"+"&amp;TEXT(INDEX(ERP資料!$G:$G, (MATCH(828, 輔助計算!$G$2:$G$801, 0)+1)),"0.##")&amp;"+"&amp;TEXT(INDEX(ERP資料!$G:$G, (MATCH(828, 輔助計算!$G$2:$G$801, 0)+1)),"0.##"))))&amp;"-1")), ""), "")</f>
        <v/>
      </c>
      <c r="K829" s="16" t="n"/>
      <c r="L829" s="14">
        <f>IFERROR(IF(AND(IFERROR(INDEX(ERP資料!$A:$A, (MATCH(828, 輔助計算!$G$2:$G$801, 0)+1)), "")&lt;&gt;"", IFERROR(INDEX(ERP資料!$A:$A, (MATCH(828, 輔助計算!$G$2:$G$801, 0)+1)), "")&lt;&gt;IFERROR(INDEX(ERP資料!$A:$A, MATCH(827, 輔助計算!$G$2:$G$801, 0)+1), "")), INDEX(ERP資料!$B:$B, (MATCH(828, 輔助計算!$G$2:$G$801, 0)+1)), ""), "")</f>
        <v/>
      </c>
      <c r="M829" s="17" t="n"/>
    </row>
    <row r="830">
      <c r="A830" s="10">
        <f>IFERROR(IF(AND(IFERROR(INDEX(ERP資料!$A:$A, (MATCH(829, 輔助計算!$G$2:$G$801, 0)+1)), "")&lt;&gt;"", IFERROR(INDEX(ERP資料!$A:$A, (MATCH(829, 輔助計算!$G$2:$G$801, 0)+1)), "")&lt;&gt;IFERROR(INDEX(ERP資料!$A:$A, MATCH(828, 輔助計算!$G$2:$G$801, 0)+1), "")), IFERROR(INDEX(ERP資料!$A:$A, (MATCH(829, 輔助計算!$G$2:$G$801, 0)+1)), ""), ""), "")</f>
        <v/>
      </c>
      <c r="B830" s="10">
        <f>IFERROR(IF(AND(IFERROR(INDEX(ERP資料!$A:$A, (MATCH(829, 輔助計算!$G$2:$G$801, 0)+1)), "")&lt;&gt;"", IFERROR(INDEX(ERP資料!$A:$A, (MATCH(829, 輔助計算!$G$2:$G$801, 0)+1)), "")&lt;&gt;IFERROR(INDEX(ERP資料!$A:$A, MATCH(828, 輔助計算!$G$2:$G$801, 0)+1), "")), INDEX(ERP資料!$S:$S, (MATCH(829, 輔助計算!$G$2:$G$801, 0)+1)), ""), "")</f>
        <v/>
      </c>
      <c r="C830" s="19">
        <f>IFERROR(IF(AND(IFERROR(INDEX(ERP資料!$A:$A, (MATCH(829, 輔助計算!$G$2:$G$801, 0)+1)), "")&lt;&gt;"", IFERROR(INDEX(ERP資料!$A:$A, (MATCH(829, 輔助計算!$G$2:$G$801, 0)+1)), "")&lt;&gt;IFERROR(INDEX(ERP資料!$A:$A, MATCH(828, 輔助計算!$G$2:$G$801, 0)+1), "")), IFERROR(VLOOKUP(LEFT(INDEX(ERP資料!$S:$S, (MATCH(829, 輔助計算!$G$2:$G$801, 0)+1)), 4), 紙管對照表!$A:$C, 3, FALSE), ""), ""), "")</f>
        <v/>
      </c>
      <c r="D830" s="16" t="n"/>
      <c r="E830" s="10">
        <f>IFERROR(IF(INDEX(ERP資料!$H:$H, (MATCH(829, 輔助計算!$G$2:$G$801, 0)+1))="","",INDEX(ERP資料!$H:$H, (MATCH(829, 輔助計算!$G$2:$G$801, 0)+1))), "")</f>
        <v/>
      </c>
      <c r="F830" s="10">
        <f>IFERROR(IF(INDEX(ERP資料!$E:$E, (MATCH(829, 輔助計算!$G$2:$G$801, 0)+1))="","",TRIM(INDEX(ERP資料!$E:$E, (MATCH(829, 輔助計算!$G$2:$G$801, 0)+1)))), "")</f>
        <v/>
      </c>
      <c r="G830" s="10">
        <f>IFERROR(IF(INDEX(ERP資料!$F:$F, (MATCH(829, 輔助計算!$G$2:$G$801, 0)+1))="","",INDEX(ERP資料!$F:$F, (MATCH(829, 輔助計算!$G$2:$G$801, 0)+1))), "")</f>
        <v/>
      </c>
      <c r="H830" s="10">
        <f>IFERROR(IF(INDEX(ERP資料!$G:$G, (MATCH(829, 輔助計算!$G$2:$G$801, 0)+1))="","",INDEX(ERP資料!$G:$G, (MATCH(829, 輔助計算!$G$2:$G$801, 0)+1))), "")</f>
        <v/>
      </c>
      <c r="I830" s="15">
        <f>IFERROR(INDEX(輔助計算!$D:$D, (MATCH(829, 輔助計算!$G$2:$G$801, 0)+1)), "")</f>
        <v/>
      </c>
      <c r="J830" s="15">
        <f>IFERROR(IF(AND(INDEX(輔助計算!$D:$D, (MATCH(829, 輔助計算!$G$2:$G$801, 0)+1))&lt;&gt;"", INDEX(ERP資料!$G:$G, (MATCH(829, 輔助計算!$G$2:$G$801, 0)+1))&lt;&gt;""), TRIM(IF(INT(INDEX(輔助計算!$D:$D, (MATCH(829, 輔助計算!$G$2:$G$801, 0)+1))/IF(INDEX(ERP資料!$G:$G, (MATCH(829, 輔助計算!$G$2:$G$801, 0)+1))&lt;100, IF(INDEX(ERP資料!$G:$G, (MATCH(829, 輔助計算!$G$2:$G$801, 0)+1))&lt;=31,3,IF(INDEX(ERP資料!$G:$G, (MATCH(829, 輔助計算!$G$2:$G$801, 0)+1))&lt;=46.5,2,1)), IF(INDEX(ERP資料!$G:$G, (MATCH(829, 輔助計算!$G$2:$G$801, 0)+1))&lt;=790,3,IF(INDEX(ERP資料!$G:$G, (MATCH(829, 輔助計算!$G$2:$G$801, 0)+1))&lt;=1181,2,1))))&gt;0, IF(IF(INDEX(ERP資料!$G:$G, (MATCH(829, 輔助計算!$G$2:$G$801, 0)+1))&lt;100, IF(INDEX(ERP資料!$G:$G, (MATCH(829, 輔助計算!$G$2:$G$801, 0)+1))&lt;=31,3,IF(INDEX(ERP資料!$G:$G, (MATCH(829, 輔助計算!$G$2:$G$801, 0)+1))&lt;=46.5,2,1)), IF(INDEX(ERP資料!$G:$G, (MATCH(829, 輔助計算!$G$2:$G$801, 0)+1))&lt;=790,3,IF(INDEX(ERP資料!$G:$G, (MATCH(829, 輔助計算!$G$2:$G$801, 0)+1))&lt;=1181,2,1)))=1,TEXT(INDEX(ERP資料!$G:$G, (MATCH(829, 輔助計算!$G$2:$G$801, 0)+1)),"0.##"),IF(IF(INDEX(ERP資料!$G:$G, (MATCH(829, 輔助計算!$G$2:$G$801, 0)+1))&lt;100, IF(INDEX(ERP資料!$G:$G, (MATCH(829, 輔助計算!$G$2:$G$801, 0)+1))&lt;=31,3,IF(INDEX(ERP資料!$G:$G, (MATCH(829, 輔助計算!$G$2:$G$801, 0)+1))&lt;=46.5,2,1)), IF(INDEX(ERP資料!$G:$G, (MATCH(829, 輔助計算!$G$2:$G$801, 0)+1))&lt;=790,3,IF(INDEX(ERP資料!$G:$G, (MATCH(829, 輔助計算!$G$2:$G$801, 0)+1))&lt;=1181,2,1)))=2,TEXT(INDEX(ERP資料!$G:$G, (MATCH(829, 輔助計算!$G$2:$G$801, 0)+1)),"0.##")&amp;"+"&amp;TEXT(INDEX(ERP資料!$G:$G, (MATCH(829, 輔助計算!$G$2:$G$801, 0)+1)),"0.##"),TEXT(INDEX(ERP資料!$G:$G, (MATCH(829, 輔助計算!$G$2:$G$801, 0)+1)),"0.##")&amp;"+"&amp;TEXT(INDEX(ERP資料!$G:$G, (MATCH(829, 輔助計算!$G$2:$G$801, 0)+1)),"0.##")&amp;"+"&amp;TEXT(INDEX(ERP資料!$G:$G, (MATCH(829, 輔助計算!$G$2:$G$801, 0)+1)),"0.##")))&amp;"-"&amp;INT(INDEX(輔助計算!$D:$D, (MATCH(829, 輔助計算!$G$2:$G$801, 0)+1))/IF(INDEX(ERP資料!$G:$G, (MATCH(829, 輔助計算!$G$2:$G$801, 0)+1))&lt;100, IF(INDEX(ERP資料!$G:$G, (MATCH(829, 輔助計算!$G$2:$G$801, 0)+1))&lt;=31,3,IF(INDEX(ERP資料!$G:$G, (MATCH(829, 輔助計算!$G$2:$G$801, 0)+1))&lt;=46.5,2,1)), IF(INDEX(ERP資料!$G:$G, (MATCH(829, 輔助計算!$G$2:$G$801, 0)+1))&lt;=790,3,IF(INDEX(ERP資料!$G:$G, (MATCH(829, 輔助計算!$G$2:$G$801, 0)+1))&lt;=1181,2,1)))), "")&amp;IF(AND(IF(INT(INDEX(輔助計算!$D:$D, (MATCH(829, 輔助計算!$G$2:$G$801, 0)+1))/IF(INDEX(ERP資料!$G:$G, (MATCH(829, 輔助計算!$G$2:$G$801, 0)+1))&lt;100, IF(INDEX(ERP資料!$G:$G, (MATCH(829, 輔助計算!$G$2:$G$801, 0)+1))&lt;=31,3,IF(INDEX(ERP資料!$G:$G, (MATCH(829, 輔助計算!$G$2:$G$801, 0)+1))&lt;=46.5,2,1)), IF(INDEX(ERP資料!$G:$G, (MATCH(829, 輔助計算!$G$2:$G$801, 0)+1))&lt;=790,3,IF(INDEX(ERP資料!$G:$G, (MATCH(829, 輔助計算!$G$2:$G$801, 0)+1))&lt;=1181,2,1))))&gt;0, IF(IF(INDEX(ERP資料!$G:$G, (MATCH(829, 輔助計算!$G$2:$G$801, 0)+1))&lt;100, IF(INDEX(ERP資料!$G:$G, (MATCH(829, 輔助計算!$G$2:$G$801, 0)+1))&lt;=31,3,IF(INDEX(ERP資料!$G:$G, (MATCH(829, 輔助計算!$G$2:$G$801, 0)+1))&lt;=46.5,2,1)), IF(INDEX(ERP資料!$G:$G, (MATCH(829, 輔助計算!$G$2:$G$801, 0)+1))&lt;=790,3,IF(INDEX(ERP資料!$G:$G, (MATCH(829, 輔助計算!$G$2:$G$801, 0)+1))&lt;=1181,2,1)))=1,TEXT(INDEX(ERP資料!$G:$G, (MATCH(829, 輔助計算!$G$2:$G$801, 0)+1)),"0.##"),IF(IF(INDEX(ERP資料!$G:$G, (MATCH(829, 輔助計算!$G$2:$G$801, 0)+1))&lt;100, IF(INDEX(ERP資料!$G:$G, (MATCH(829, 輔助計算!$G$2:$G$801, 0)+1))&lt;=31,3,IF(INDEX(ERP資料!$G:$G, (MATCH(829, 輔助計算!$G$2:$G$801, 0)+1))&lt;=46.5,2,1)), IF(INDEX(ERP資料!$G:$G, (MATCH(829, 輔助計算!$G$2:$G$801, 0)+1))&lt;=790,3,IF(INDEX(ERP資料!$G:$G, (MATCH(829, 輔助計算!$G$2:$G$801, 0)+1))&lt;=1181,2,1)))=2,TEXT(INDEX(ERP資料!$G:$G, (MATCH(829, 輔助計算!$G$2:$G$801, 0)+1)),"0.##")&amp;"+"&amp;TEXT(INDEX(ERP資料!$G:$G, (MATCH(829, 輔助計算!$G$2:$G$801, 0)+1)),"0.##"),TEXT(INDEX(ERP資料!$G:$G, (MATCH(829, 輔助計算!$G$2:$G$801, 0)+1)),"0.##")&amp;"+"&amp;TEXT(INDEX(ERP資料!$G:$G, (MATCH(829, 輔助計算!$G$2:$G$801, 0)+1)),"0.##")&amp;"+"&amp;TEXT(INDEX(ERP資料!$G:$G, (MATCH(829, 輔助計算!$G$2:$G$801, 0)+1)),"0.##")))&amp;"-"&amp;INT(INDEX(輔助計算!$D:$D, (MATCH(829, 輔助計算!$G$2:$G$801, 0)+1))/IF(INDEX(ERP資料!$G:$G, (MATCH(829, 輔助計算!$G$2:$G$801, 0)+1))&lt;100, IF(INDEX(ERP資料!$G:$G, (MATCH(829, 輔助計算!$G$2:$G$801, 0)+1))&lt;=31,3,IF(INDEX(ERP資料!$G:$G, (MATCH(829, 輔助計算!$G$2:$G$801, 0)+1))&lt;=46.5,2,1)), IF(INDEX(ERP資料!$G:$G, (MATCH(829, 輔助計算!$G$2:$G$801, 0)+1))&lt;=790,3,IF(INDEX(ERP資料!$G:$G, (MATCH(829, 輔助計算!$G$2:$G$801, 0)+1))&lt;=1181,2,1)))), "")&lt;&gt;"",IF(MOD(INDEX(輔助計算!$D:$D, (MATCH(829, 輔助計算!$G$2:$G$801, 0)+1)),IF(INDEX(ERP資料!$G:$G, (MATCH(829, 輔助計算!$G$2:$G$801, 0)+1))&lt;100, IF(INDEX(ERP資料!$G:$G, (MATCH(829, 輔助計算!$G$2:$G$801, 0)+1))&lt;=31,3,IF(INDEX(ERP資料!$G:$G, (MATCH(829, 輔助計算!$G$2:$G$801, 0)+1))&lt;=46.5,2,1)), IF(INDEX(ERP資料!$G:$G, (MATCH(829, 輔助計算!$G$2:$G$801, 0)+1))&lt;=790,3,IF(INDEX(ERP資料!$G:$G, (MATCH(829, 輔助計算!$G$2:$G$801, 0)+1))&lt;=1181,2,1))))=0,"",IF(MOD(INDEX(輔助計算!$D:$D, (MATCH(829, 輔助計算!$G$2:$G$801, 0)+1)),IF(INDEX(ERP資料!$G:$G, (MATCH(829, 輔助計算!$G$2:$G$801, 0)+1))&lt;100, IF(INDEX(ERP資料!$G:$G, (MATCH(829, 輔助計算!$G$2:$G$801, 0)+1))&lt;=31,3,IF(INDEX(ERP資料!$G:$G, (MATCH(829, 輔助計算!$G$2:$G$801, 0)+1))&lt;=46.5,2,1)), IF(INDEX(ERP資料!$G:$G, (MATCH(829, 輔助計算!$G$2:$G$801, 0)+1))&lt;=790,3,IF(INDEX(ERP資料!$G:$G, (MATCH(829, 輔助計算!$G$2:$G$801, 0)+1))&lt;=1181,2,1))))=0,"",IF(MOD(INDEX(輔助計算!$D:$D, (MATCH(829, 輔助計算!$G$2:$G$801, 0)+1)),IF(INDEX(ERP資料!$G:$G, (MATCH(829, 輔助計算!$G$2:$G$801, 0)+1))&lt;100, IF(INDEX(ERP資料!$G:$G, (MATCH(829, 輔助計算!$G$2:$G$801, 0)+1))&lt;=31,3,IF(INDEX(ERP資料!$G:$G, (MATCH(829, 輔助計算!$G$2:$G$801, 0)+1))&lt;=46.5,2,1)), IF(INDEX(ERP資料!$G:$G, (MATCH(829, 輔助計算!$G$2:$G$801, 0)+1))&lt;=790,3,IF(INDEX(ERP資料!$G:$G, (MATCH(829, 輔助計算!$G$2:$G$801, 0)+1))&lt;=1181,2,1))))=1,TEXT(INDEX(ERP資料!$G:$G, (MATCH(829, 輔助計算!$G$2:$G$801, 0)+1)),"0.##"),IF(MOD(INDEX(輔助計算!$D:$D, (MATCH(829, 輔助計算!$G$2:$G$801, 0)+1)),IF(INDEX(ERP資料!$G:$G, (MATCH(829, 輔助計算!$G$2:$G$801, 0)+1))&lt;100, IF(INDEX(ERP資料!$G:$G, (MATCH(829, 輔助計算!$G$2:$G$801, 0)+1))&lt;=31,3,IF(INDEX(ERP資料!$G:$G, (MATCH(829, 輔助計算!$G$2:$G$801, 0)+1))&lt;=46.5,2,1)), IF(INDEX(ERP資料!$G:$G, (MATCH(829, 輔助計算!$G$2:$G$801, 0)+1))&lt;=790,3,IF(INDEX(ERP資料!$G:$G, (MATCH(829, 輔助計算!$G$2:$G$801, 0)+1))&lt;=1181,2,1))))=2,TEXT(INDEX(ERP資料!$G:$G, (MATCH(829, 輔助計算!$G$2:$G$801, 0)+1)),"0.##")&amp;"+"&amp;TEXT(INDEX(ERP資料!$G:$G, (MATCH(829, 輔助計算!$G$2:$G$801, 0)+1)),"0.##"),TEXT(INDEX(ERP資料!$G:$G, (MATCH(829, 輔助計算!$G$2:$G$801, 0)+1)),"0.##")&amp;"+"&amp;TEXT(INDEX(ERP資料!$G:$G, (MATCH(829, 輔助計算!$G$2:$G$801, 0)+1)),"0.##")&amp;"+"&amp;TEXT(INDEX(ERP資料!$G:$G, (MATCH(829, 輔助計算!$G$2:$G$801, 0)+1)),"0.##"))))&amp;"-1")&lt;&gt;""),"  ","")&amp;IF(MOD(INDEX(輔助計算!$D:$D, (MATCH(829, 輔助計算!$G$2:$G$801, 0)+1)),IF(INDEX(ERP資料!$G:$G, (MATCH(829, 輔助計算!$G$2:$G$801, 0)+1))&lt;100, IF(INDEX(ERP資料!$G:$G, (MATCH(829, 輔助計算!$G$2:$G$801, 0)+1))&lt;=31,3,IF(INDEX(ERP資料!$G:$G, (MATCH(829, 輔助計算!$G$2:$G$801, 0)+1))&lt;=46.5,2,1)), IF(INDEX(ERP資料!$G:$G, (MATCH(829, 輔助計算!$G$2:$G$801, 0)+1))&lt;=790,3,IF(INDEX(ERP資料!$G:$G, (MATCH(829, 輔助計算!$G$2:$G$801, 0)+1))&lt;=1181,2,1))))=0,"",IF(MOD(INDEX(輔助計算!$D:$D, (MATCH(829, 輔助計算!$G$2:$G$801, 0)+1)),IF(INDEX(ERP資料!$G:$G, (MATCH(829, 輔助計算!$G$2:$G$801, 0)+1))&lt;100, IF(INDEX(ERP資料!$G:$G, (MATCH(829, 輔助計算!$G$2:$G$801, 0)+1))&lt;=31,3,IF(INDEX(ERP資料!$G:$G, (MATCH(829, 輔助計算!$G$2:$G$801, 0)+1))&lt;=46.5,2,1)), IF(INDEX(ERP資料!$G:$G, (MATCH(829, 輔助計算!$G$2:$G$801, 0)+1))&lt;=790,3,IF(INDEX(ERP資料!$G:$G, (MATCH(829, 輔助計算!$G$2:$G$801, 0)+1))&lt;=1181,2,1))))=0,"",IF(MOD(INDEX(輔助計算!$D:$D, (MATCH(829, 輔助計算!$G$2:$G$801, 0)+1)),IF(INDEX(ERP資料!$G:$G, (MATCH(829, 輔助計算!$G$2:$G$801, 0)+1))&lt;100, IF(INDEX(ERP資料!$G:$G, (MATCH(829, 輔助計算!$G$2:$G$801, 0)+1))&lt;=31,3,IF(INDEX(ERP資料!$G:$G, (MATCH(829, 輔助計算!$G$2:$G$801, 0)+1))&lt;=46.5,2,1)), IF(INDEX(ERP資料!$G:$G, (MATCH(829, 輔助計算!$G$2:$G$801, 0)+1))&lt;=790,3,IF(INDEX(ERP資料!$G:$G, (MATCH(829, 輔助計算!$G$2:$G$801, 0)+1))&lt;=1181,2,1))))=1,TEXT(INDEX(ERP資料!$G:$G, (MATCH(829, 輔助計算!$G$2:$G$801, 0)+1)),"0.##"),IF(MOD(INDEX(輔助計算!$D:$D, (MATCH(829, 輔助計算!$G$2:$G$801, 0)+1)),IF(INDEX(ERP資料!$G:$G, (MATCH(829, 輔助計算!$G$2:$G$801, 0)+1))&lt;100, IF(INDEX(ERP資料!$G:$G, (MATCH(829, 輔助計算!$G$2:$G$801, 0)+1))&lt;=31,3,IF(INDEX(ERP資料!$G:$G, (MATCH(829, 輔助計算!$G$2:$G$801, 0)+1))&lt;=46.5,2,1)), IF(INDEX(ERP資料!$G:$G, (MATCH(829, 輔助計算!$G$2:$G$801, 0)+1))&lt;=790,3,IF(INDEX(ERP資料!$G:$G, (MATCH(829, 輔助計算!$G$2:$G$801, 0)+1))&lt;=1181,2,1))))=2,TEXT(INDEX(ERP資料!$G:$G, (MATCH(829, 輔助計算!$G$2:$G$801, 0)+1)),"0.##")&amp;"+"&amp;TEXT(INDEX(ERP資料!$G:$G, (MATCH(829, 輔助計算!$G$2:$G$801, 0)+1)),"0.##"),TEXT(INDEX(ERP資料!$G:$G, (MATCH(829, 輔助計算!$G$2:$G$801, 0)+1)),"0.##")&amp;"+"&amp;TEXT(INDEX(ERP資料!$G:$G, (MATCH(829, 輔助計算!$G$2:$G$801, 0)+1)),"0.##")&amp;"+"&amp;TEXT(INDEX(ERP資料!$G:$G, (MATCH(829, 輔助計算!$G$2:$G$801, 0)+1)),"0.##"))))&amp;"-1")), ""), "")</f>
        <v/>
      </c>
      <c r="K830" s="16" t="n"/>
      <c r="L830" s="14">
        <f>IFERROR(IF(AND(IFERROR(INDEX(ERP資料!$A:$A, (MATCH(829, 輔助計算!$G$2:$G$801, 0)+1)), "")&lt;&gt;"", IFERROR(INDEX(ERP資料!$A:$A, (MATCH(829, 輔助計算!$G$2:$G$801, 0)+1)), "")&lt;&gt;IFERROR(INDEX(ERP資料!$A:$A, MATCH(828, 輔助計算!$G$2:$G$801, 0)+1), "")), INDEX(ERP資料!$B:$B, (MATCH(829, 輔助計算!$G$2:$G$801, 0)+1)), ""), "")</f>
        <v/>
      </c>
      <c r="M830" s="17" t="n"/>
    </row>
    <row r="831">
      <c r="A831" s="10">
        <f>IFERROR(IF(AND(IFERROR(INDEX(ERP資料!$A:$A, (MATCH(830, 輔助計算!$G$2:$G$801, 0)+1)), "")&lt;&gt;"", IFERROR(INDEX(ERP資料!$A:$A, (MATCH(830, 輔助計算!$G$2:$G$801, 0)+1)), "")&lt;&gt;IFERROR(INDEX(ERP資料!$A:$A, MATCH(829, 輔助計算!$G$2:$G$801, 0)+1), "")), IFERROR(INDEX(ERP資料!$A:$A, (MATCH(830, 輔助計算!$G$2:$G$801, 0)+1)), ""), ""), "")</f>
        <v/>
      </c>
      <c r="B831" s="10">
        <f>IFERROR(IF(AND(IFERROR(INDEX(ERP資料!$A:$A, (MATCH(830, 輔助計算!$G$2:$G$801, 0)+1)), "")&lt;&gt;"", IFERROR(INDEX(ERP資料!$A:$A, (MATCH(830, 輔助計算!$G$2:$G$801, 0)+1)), "")&lt;&gt;IFERROR(INDEX(ERP資料!$A:$A, MATCH(829, 輔助計算!$G$2:$G$801, 0)+1), "")), INDEX(ERP資料!$S:$S, (MATCH(830, 輔助計算!$G$2:$G$801, 0)+1)), ""), "")</f>
        <v/>
      </c>
      <c r="C831" s="19">
        <f>IFERROR(IF(AND(IFERROR(INDEX(ERP資料!$A:$A, (MATCH(830, 輔助計算!$G$2:$G$801, 0)+1)), "")&lt;&gt;"", IFERROR(INDEX(ERP資料!$A:$A, (MATCH(830, 輔助計算!$G$2:$G$801, 0)+1)), "")&lt;&gt;IFERROR(INDEX(ERP資料!$A:$A, MATCH(829, 輔助計算!$G$2:$G$801, 0)+1), "")), IFERROR(VLOOKUP(LEFT(INDEX(ERP資料!$S:$S, (MATCH(830, 輔助計算!$G$2:$G$801, 0)+1)), 4), 紙管對照表!$A:$C, 3, FALSE), ""), ""), "")</f>
        <v/>
      </c>
      <c r="D831" s="16" t="n"/>
      <c r="E831" s="10">
        <f>IFERROR(IF(INDEX(ERP資料!$H:$H, (MATCH(830, 輔助計算!$G$2:$G$801, 0)+1))="","",INDEX(ERP資料!$H:$H, (MATCH(830, 輔助計算!$G$2:$G$801, 0)+1))), "")</f>
        <v/>
      </c>
      <c r="F831" s="10">
        <f>IFERROR(IF(INDEX(ERP資料!$E:$E, (MATCH(830, 輔助計算!$G$2:$G$801, 0)+1))="","",TRIM(INDEX(ERP資料!$E:$E, (MATCH(830, 輔助計算!$G$2:$G$801, 0)+1)))), "")</f>
        <v/>
      </c>
      <c r="G831" s="10">
        <f>IFERROR(IF(INDEX(ERP資料!$F:$F, (MATCH(830, 輔助計算!$G$2:$G$801, 0)+1))="","",INDEX(ERP資料!$F:$F, (MATCH(830, 輔助計算!$G$2:$G$801, 0)+1))), "")</f>
        <v/>
      </c>
      <c r="H831" s="10">
        <f>IFERROR(IF(INDEX(ERP資料!$G:$G, (MATCH(830, 輔助計算!$G$2:$G$801, 0)+1))="","",INDEX(ERP資料!$G:$G, (MATCH(830, 輔助計算!$G$2:$G$801, 0)+1))), "")</f>
        <v/>
      </c>
      <c r="I831" s="15">
        <f>IFERROR(INDEX(輔助計算!$D:$D, (MATCH(830, 輔助計算!$G$2:$G$801, 0)+1)), "")</f>
        <v/>
      </c>
      <c r="J831" s="15">
        <f>IFERROR(IF(AND(INDEX(輔助計算!$D:$D, (MATCH(830, 輔助計算!$G$2:$G$801, 0)+1))&lt;&gt;"", INDEX(ERP資料!$G:$G, (MATCH(830, 輔助計算!$G$2:$G$801, 0)+1))&lt;&gt;""), TRIM(IF(INT(INDEX(輔助計算!$D:$D, (MATCH(830, 輔助計算!$G$2:$G$801, 0)+1))/IF(INDEX(ERP資料!$G:$G, (MATCH(830, 輔助計算!$G$2:$G$801, 0)+1))&lt;100, IF(INDEX(ERP資料!$G:$G, (MATCH(830, 輔助計算!$G$2:$G$801, 0)+1))&lt;=31,3,IF(INDEX(ERP資料!$G:$G, (MATCH(830, 輔助計算!$G$2:$G$801, 0)+1))&lt;=46.5,2,1)), IF(INDEX(ERP資料!$G:$G, (MATCH(830, 輔助計算!$G$2:$G$801, 0)+1))&lt;=790,3,IF(INDEX(ERP資料!$G:$G, (MATCH(830, 輔助計算!$G$2:$G$801, 0)+1))&lt;=1181,2,1))))&gt;0, IF(IF(INDEX(ERP資料!$G:$G, (MATCH(830, 輔助計算!$G$2:$G$801, 0)+1))&lt;100, IF(INDEX(ERP資料!$G:$G, (MATCH(830, 輔助計算!$G$2:$G$801, 0)+1))&lt;=31,3,IF(INDEX(ERP資料!$G:$G, (MATCH(830, 輔助計算!$G$2:$G$801, 0)+1))&lt;=46.5,2,1)), IF(INDEX(ERP資料!$G:$G, (MATCH(830, 輔助計算!$G$2:$G$801, 0)+1))&lt;=790,3,IF(INDEX(ERP資料!$G:$G, (MATCH(830, 輔助計算!$G$2:$G$801, 0)+1))&lt;=1181,2,1)))=1,TEXT(INDEX(ERP資料!$G:$G, (MATCH(830, 輔助計算!$G$2:$G$801, 0)+1)),"0.##"),IF(IF(INDEX(ERP資料!$G:$G, (MATCH(830, 輔助計算!$G$2:$G$801, 0)+1))&lt;100, IF(INDEX(ERP資料!$G:$G, (MATCH(830, 輔助計算!$G$2:$G$801, 0)+1))&lt;=31,3,IF(INDEX(ERP資料!$G:$G, (MATCH(830, 輔助計算!$G$2:$G$801, 0)+1))&lt;=46.5,2,1)), IF(INDEX(ERP資料!$G:$G, (MATCH(830, 輔助計算!$G$2:$G$801, 0)+1))&lt;=790,3,IF(INDEX(ERP資料!$G:$G, (MATCH(830, 輔助計算!$G$2:$G$801, 0)+1))&lt;=1181,2,1)))=2,TEXT(INDEX(ERP資料!$G:$G, (MATCH(830, 輔助計算!$G$2:$G$801, 0)+1)),"0.##")&amp;"+"&amp;TEXT(INDEX(ERP資料!$G:$G, (MATCH(830, 輔助計算!$G$2:$G$801, 0)+1)),"0.##"),TEXT(INDEX(ERP資料!$G:$G, (MATCH(830, 輔助計算!$G$2:$G$801, 0)+1)),"0.##")&amp;"+"&amp;TEXT(INDEX(ERP資料!$G:$G, (MATCH(830, 輔助計算!$G$2:$G$801, 0)+1)),"0.##")&amp;"+"&amp;TEXT(INDEX(ERP資料!$G:$G, (MATCH(830, 輔助計算!$G$2:$G$801, 0)+1)),"0.##")))&amp;"-"&amp;INT(INDEX(輔助計算!$D:$D, (MATCH(830, 輔助計算!$G$2:$G$801, 0)+1))/IF(INDEX(ERP資料!$G:$G, (MATCH(830, 輔助計算!$G$2:$G$801, 0)+1))&lt;100, IF(INDEX(ERP資料!$G:$G, (MATCH(830, 輔助計算!$G$2:$G$801, 0)+1))&lt;=31,3,IF(INDEX(ERP資料!$G:$G, (MATCH(830, 輔助計算!$G$2:$G$801, 0)+1))&lt;=46.5,2,1)), IF(INDEX(ERP資料!$G:$G, (MATCH(830, 輔助計算!$G$2:$G$801, 0)+1))&lt;=790,3,IF(INDEX(ERP資料!$G:$G, (MATCH(830, 輔助計算!$G$2:$G$801, 0)+1))&lt;=1181,2,1)))), "")&amp;IF(AND(IF(INT(INDEX(輔助計算!$D:$D, (MATCH(830, 輔助計算!$G$2:$G$801, 0)+1))/IF(INDEX(ERP資料!$G:$G, (MATCH(830, 輔助計算!$G$2:$G$801, 0)+1))&lt;100, IF(INDEX(ERP資料!$G:$G, (MATCH(830, 輔助計算!$G$2:$G$801, 0)+1))&lt;=31,3,IF(INDEX(ERP資料!$G:$G, (MATCH(830, 輔助計算!$G$2:$G$801, 0)+1))&lt;=46.5,2,1)), IF(INDEX(ERP資料!$G:$G, (MATCH(830, 輔助計算!$G$2:$G$801, 0)+1))&lt;=790,3,IF(INDEX(ERP資料!$G:$G, (MATCH(830, 輔助計算!$G$2:$G$801, 0)+1))&lt;=1181,2,1))))&gt;0, IF(IF(INDEX(ERP資料!$G:$G, (MATCH(830, 輔助計算!$G$2:$G$801, 0)+1))&lt;100, IF(INDEX(ERP資料!$G:$G, (MATCH(830, 輔助計算!$G$2:$G$801, 0)+1))&lt;=31,3,IF(INDEX(ERP資料!$G:$G, (MATCH(830, 輔助計算!$G$2:$G$801, 0)+1))&lt;=46.5,2,1)), IF(INDEX(ERP資料!$G:$G, (MATCH(830, 輔助計算!$G$2:$G$801, 0)+1))&lt;=790,3,IF(INDEX(ERP資料!$G:$G, (MATCH(830, 輔助計算!$G$2:$G$801, 0)+1))&lt;=1181,2,1)))=1,TEXT(INDEX(ERP資料!$G:$G, (MATCH(830, 輔助計算!$G$2:$G$801, 0)+1)),"0.##"),IF(IF(INDEX(ERP資料!$G:$G, (MATCH(830, 輔助計算!$G$2:$G$801, 0)+1))&lt;100, IF(INDEX(ERP資料!$G:$G, (MATCH(830, 輔助計算!$G$2:$G$801, 0)+1))&lt;=31,3,IF(INDEX(ERP資料!$G:$G, (MATCH(830, 輔助計算!$G$2:$G$801, 0)+1))&lt;=46.5,2,1)), IF(INDEX(ERP資料!$G:$G, (MATCH(830, 輔助計算!$G$2:$G$801, 0)+1))&lt;=790,3,IF(INDEX(ERP資料!$G:$G, (MATCH(830, 輔助計算!$G$2:$G$801, 0)+1))&lt;=1181,2,1)))=2,TEXT(INDEX(ERP資料!$G:$G, (MATCH(830, 輔助計算!$G$2:$G$801, 0)+1)),"0.##")&amp;"+"&amp;TEXT(INDEX(ERP資料!$G:$G, (MATCH(830, 輔助計算!$G$2:$G$801, 0)+1)),"0.##"),TEXT(INDEX(ERP資料!$G:$G, (MATCH(830, 輔助計算!$G$2:$G$801, 0)+1)),"0.##")&amp;"+"&amp;TEXT(INDEX(ERP資料!$G:$G, (MATCH(830, 輔助計算!$G$2:$G$801, 0)+1)),"0.##")&amp;"+"&amp;TEXT(INDEX(ERP資料!$G:$G, (MATCH(830, 輔助計算!$G$2:$G$801, 0)+1)),"0.##")))&amp;"-"&amp;INT(INDEX(輔助計算!$D:$D, (MATCH(830, 輔助計算!$G$2:$G$801, 0)+1))/IF(INDEX(ERP資料!$G:$G, (MATCH(830, 輔助計算!$G$2:$G$801, 0)+1))&lt;100, IF(INDEX(ERP資料!$G:$G, (MATCH(830, 輔助計算!$G$2:$G$801, 0)+1))&lt;=31,3,IF(INDEX(ERP資料!$G:$G, (MATCH(830, 輔助計算!$G$2:$G$801, 0)+1))&lt;=46.5,2,1)), IF(INDEX(ERP資料!$G:$G, (MATCH(830, 輔助計算!$G$2:$G$801, 0)+1))&lt;=790,3,IF(INDEX(ERP資料!$G:$G, (MATCH(830, 輔助計算!$G$2:$G$801, 0)+1))&lt;=1181,2,1)))), "")&lt;&gt;"",IF(MOD(INDEX(輔助計算!$D:$D, (MATCH(830, 輔助計算!$G$2:$G$801, 0)+1)),IF(INDEX(ERP資料!$G:$G, (MATCH(830, 輔助計算!$G$2:$G$801, 0)+1))&lt;100, IF(INDEX(ERP資料!$G:$G, (MATCH(830, 輔助計算!$G$2:$G$801, 0)+1))&lt;=31,3,IF(INDEX(ERP資料!$G:$G, (MATCH(830, 輔助計算!$G$2:$G$801, 0)+1))&lt;=46.5,2,1)), IF(INDEX(ERP資料!$G:$G, (MATCH(830, 輔助計算!$G$2:$G$801, 0)+1))&lt;=790,3,IF(INDEX(ERP資料!$G:$G, (MATCH(830, 輔助計算!$G$2:$G$801, 0)+1))&lt;=1181,2,1))))=0,"",IF(MOD(INDEX(輔助計算!$D:$D, (MATCH(830, 輔助計算!$G$2:$G$801, 0)+1)),IF(INDEX(ERP資料!$G:$G, (MATCH(830, 輔助計算!$G$2:$G$801, 0)+1))&lt;100, IF(INDEX(ERP資料!$G:$G, (MATCH(830, 輔助計算!$G$2:$G$801, 0)+1))&lt;=31,3,IF(INDEX(ERP資料!$G:$G, (MATCH(830, 輔助計算!$G$2:$G$801, 0)+1))&lt;=46.5,2,1)), IF(INDEX(ERP資料!$G:$G, (MATCH(830, 輔助計算!$G$2:$G$801, 0)+1))&lt;=790,3,IF(INDEX(ERP資料!$G:$G, (MATCH(830, 輔助計算!$G$2:$G$801, 0)+1))&lt;=1181,2,1))))=0,"",IF(MOD(INDEX(輔助計算!$D:$D, (MATCH(830, 輔助計算!$G$2:$G$801, 0)+1)),IF(INDEX(ERP資料!$G:$G, (MATCH(830, 輔助計算!$G$2:$G$801, 0)+1))&lt;100, IF(INDEX(ERP資料!$G:$G, (MATCH(830, 輔助計算!$G$2:$G$801, 0)+1))&lt;=31,3,IF(INDEX(ERP資料!$G:$G, (MATCH(830, 輔助計算!$G$2:$G$801, 0)+1))&lt;=46.5,2,1)), IF(INDEX(ERP資料!$G:$G, (MATCH(830, 輔助計算!$G$2:$G$801, 0)+1))&lt;=790,3,IF(INDEX(ERP資料!$G:$G, (MATCH(830, 輔助計算!$G$2:$G$801, 0)+1))&lt;=1181,2,1))))=1,TEXT(INDEX(ERP資料!$G:$G, (MATCH(830, 輔助計算!$G$2:$G$801, 0)+1)),"0.##"),IF(MOD(INDEX(輔助計算!$D:$D, (MATCH(830, 輔助計算!$G$2:$G$801, 0)+1)),IF(INDEX(ERP資料!$G:$G, (MATCH(830, 輔助計算!$G$2:$G$801, 0)+1))&lt;100, IF(INDEX(ERP資料!$G:$G, (MATCH(830, 輔助計算!$G$2:$G$801, 0)+1))&lt;=31,3,IF(INDEX(ERP資料!$G:$G, (MATCH(830, 輔助計算!$G$2:$G$801, 0)+1))&lt;=46.5,2,1)), IF(INDEX(ERP資料!$G:$G, (MATCH(830, 輔助計算!$G$2:$G$801, 0)+1))&lt;=790,3,IF(INDEX(ERP資料!$G:$G, (MATCH(830, 輔助計算!$G$2:$G$801, 0)+1))&lt;=1181,2,1))))=2,TEXT(INDEX(ERP資料!$G:$G, (MATCH(830, 輔助計算!$G$2:$G$801, 0)+1)),"0.##")&amp;"+"&amp;TEXT(INDEX(ERP資料!$G:$G, (MATCH(830, 輔助計算!$G$2:$G$801, 0)+1)),"0.##"),TEXT(INDEX(ERP資料!$G:$G, (MATCH(830, 輔助計算!$G$2:$G$801, 0)+1)),"0.##")&amp;"+"&amp;TEXT(INDEX(ERP資料!$G:$G, (MATCH(830, 輔助計算!$G$2:$G$801, 0)+1)),"0.##")&amp;"+"&amp;TEXT(INDEX(ERP資料!$G:$G, (MATCH(830, 輔助計算!$G$2:$G$801, 0)+1)),"0.##"))))&amp;"-1")&lt;&gt;""),"  ","")&amp;IF(MOD(INDEX(輔助計算!$D:$D, (MATCH(830, 輔助計算!$G$2:$G$801, 0)+1)),IF(INDEX(ERP資料!$G:$G, (MATCH(830, 輔助計算!$G$2:$G$801, 0)+1))&lt;100, IF(INDEX(ERP資料!$G:$G, (MATCH(830, 輔助計算!$G$2:$G$801, 0)+1))&lt;=31,3,IF(INDEX(ERP資料!$G:$G, (MATCH(830, 輔助計算!$G$2:$G$801, 0)+1))&lt;=46.5,2,1)), IF(INDEX(ERP資料!$G:$G, (MATCH(830, 輔助計算!$G$2:$G$801, 0)+1))&lt;=790,3,IF(INDEX(ERP資料!$G:$G, (MATCH(830, 輔助計算!$G$2:$G$801, 0)+1))&lt;=1181,2,1))))=0,"",IF(MOD(INDEX(輔助計算!$D:$D, (MATCH(830, 輔助計算!$G$2:$G$801, 0)+1)),IF(INDEX(ERP資料!$G:$G, (MATCH(830, 輔助計算!$G$2:$G$801, 0)+1))&lt;100, IF(INDEX(ERP資料!$G:$G, (MATCH(830, 輔助計算!$G$2:$G$801, 0)+1))&lt;=31,3,IF(INDEX(ERP資料!$G:$G, (MATCH(830, 輔助計算!$G$2:$G$801, 0)+1))&lt;=46.5,2,1)), IF(INDEX(ERP資料!$G:$G, (MATCH(830, 輔助計算!$G$2:$G$801, 0)+1))&lt;=790,3,IF(INDEX(ERP資料!$G:$G, (MATCH(830, 輔助計算!$G$2:$G$801, 0)+1))&lt;=1181,2,1))))=0,"",IF(MOD(INDEX(輔助計算!$D:$D, (MATCH(830, 輔助計算!$G$2:$G$801, 0)+1)),IF(INDEX(ERP資料!$G:$G, (MATCH(830, 輔助計算!$G$2:$G$801, 0)+1))&lt;100, IF(INDEX(ERP資料!$G:$G, (MATCH(830, 輔助計算!$G$2:$G$801, 0)+1))&lt;=31,3,IF(INDEX(ERP資料!$G:$G, (MATCH(830, 輔助計算!$G$2:$G$801, 0)+1))&lt;=46.5,2,1)), IF(INDEX(ERP資料!$G:$G, (MATCH(830, 輔助計算!$G$2:$G$801, 0)+1))&lt;=790,3,IF(INDEX(ERP資料!$G:$G, (MATCH(830, 輔助計算!$G$2:$G$801, 0)+1))&lt;=1181,2,1))))=1,TEXT(INDEX(ERP資料!$G:$G, (MATCH(830, 輔助計算!$G$2:$G$801, 0)+1)),"0.##"),IF(MOD(INDEX(輔助計算!$D:$D, (MATCH(830, 輔助計算!$G$2:$G$801, 0)+1)),IF(INDEX(ERP資料!$G:$G, (MATCH(830, 輔助計算!$G$2:$G$801, 0)+1))&lt;100, IF(INDEX(ERP資料!$G:$G, (MATCH(830, 輔助計算!$G$2:$G$801, 0)+1))&lt;=31,3,IF(INDEX(ERP資料!$G:$G, (MATCH(830, 輔助計算!$G$2:$G$801, 0)+1))&lt;=46.5,2,1)), IF(INDEX(ERP資料!$G:$G, (MATCH(830, 輔助計算!$G$2:$G$801, 0)+1))&lt;=790,3,IF(INDEX(ERP資料!$G:$G, (MATCH(830, 輔助計算!$G$2:$G$801, 0)+1))&lt;=1181,2,1))))=2,TEXT(INDEX(ERP資料!$G:$G, (MATCH(830, 輔助計算!$G$2:$G$801, 0)+1)),"0.##")&amp;"+"&amp;TEXT(INDEX(ERP資料!$G:$G, (MATCH(830, 輔助計算!$G$2:$G$801, 0)+1)),"0.##"),TEXT(INDEX(ERP資料!$G:$G, (MATCH(830, 輔助計算!$G$2:$G$801, 0)+1)),"0.##")&amp;"+"&amp;TEXT(INDEX(ERP資料!$G:$G, (MATCH(830, 輔助計算!$G$2:$G$801, 0)+1)),"0.##")&amp;"+"&amp;TEXT(INDEX(ERP資料!$G:$G, (MATCH(830, 輔助計算!$G$2:$G$801, 0)+1)),"0.##"))))&amp;"-1")), ""), "")</f>
        <v/>
      </c>
      <c r="K831" s="16" t="n"/>
      <c r="L831" s="14">
        <f>IFERROR(IF(AND(IFERROR(INDEX(ERP資料!$A:$A, (MATCH(830, 輔助計算!$G$2:$G$801, 0)+1)), "")&lt;&gt;"", IFERROR(INDEX(ERP資料!$A:$A, (MATCH(830, 輔助計算!$G$2:$G$801, 0)+1)), "")&lt;&gt;IFERROR(INDEX(ERP資料!$A:$A, MATCH(829, 輔助計算!$G$2:$G$801, 0)+1), "")), INDEX(ERP資料!$B:$B, (MATCH(830, 輔助計算!$G$2:$G$801, 0)+1)), ""), "")</f>
        <v/>
      </c>
      <c r="M831" s="17" t="n"/>
    </row>
    <row r="832">
      <c r="A832" s="10">
        <f>IFERROR(IF(AND(IFERROR(INDEX(ERP資料!$A:$A, (MATCH(831, 輔助計算!$G$2:$G$801, 0)+1)), "")&lt;&gt;"", IFERROR(INDEX(ERP資料!$A:$A, (MATCH(831, 輔助計算!$G$2:$G$801, 0)+1)), "")&lt;&gt;IFERROR(INDEX(ERP資料!$A:$A, MATCH(830, 輔助計算!$G$2:$G$801, 0)+1), "")), IFERROR(INDEX(ERP資料!$A:$A, (MATCH(831, 輔助計算!$G$2:$G$801, 0)+1)), ""), ""), "")</f>
        <v/>
      </c>
      <c r="B832" s="10">
        <f>IFERROR(IF(AND(IFERROR(INDEX(ERP資料!$A:$A, (MATCH(831, 輔助計算!$G$2:$G$801, 0)+1)), "")&lt;&gt;"", IFERROR(INDEX(ERP資料!$A:$A, (MATCH(831, 輔助計算!$G$2:$G$801, 0)+1)), "")&lt;&gt;IFERROR(INDEX(ERP資料!$A:$A, MATCH(830, 輔助計算!$G$2:$G$801, 0)+1), "")), INDEX(ERP資料!$S:$S, (MATCH(831, 輔助計算!$G$2:$G$801, 0)+1)), ""), "")</f>
        <v/>
      </c>
      <c r="C832" s="19">
        <f>IFERROR(IF(AND(IFERROR(INDEX(ERP資料!$A:$A, (MATCH(831, 輔助計算!$G$2:$G$801, 0)+1)), "")&lt;&gt;"", IFERROR(INDEX(ERP資料!$A:$A, (MATCH(831, 輔助計算!$G$2:$G$801, 0)+1)), "")&lt;&gt;IFERROR(INDEX(ERP資料!$A:$A, MATCH(830, 輔助計算!$G$2:$G$801, 0)+1), "")), IFERROR(VLOOKUP(LEFT(INDEX(ERP資料!$S:$S, (MATCH(831, 輔助計算!$G$2:$G$801, 0)+1)), 4), 紙管對照表!$A:$C, 3, FALSE), ""), ""), "")</f>
        <v/>
      </c>
      <c r="D832" s="16" t="n"/>
      <c r="E832" s="10">
        <f>IFERROR(IF(INDEX(ERP資料!$H:$H, (MATCH(831, 輔助計算!$G$2:$G$801, 0)+1))="","",INDEX(ERP資料!$H:$H, (MATCH(831, 輔助計算!$G$2:$G$801, 0)+1))), "")</f>
        <v/>
      </c>
      <c r="F832" s="10">
        <f>IFERROR(IF(INDEX(ERP資料!$E:$E, (MATCH(831, 輔助計算!$G$2:$G$801, 0)+1))="","",TRIM(INDEX(ERP資料!$E:$E, (MATCH(831, 輔助計算!$G$2:$G$801, 0)+1)))), "")</f>
        <v/>
      </c>
      <c r="G832" s="10">
        <f>IFERROR(IF(INDEX(ERP資料!$F:$F, (MATCH(831, 輔助計算!$G$2:$G$801, 0)+1))="","",INDEX(ERP資料!$F:$F, (MATCH(831, 輔助計算!$G$2:$G$801, 0)+1))), "")</f>
        <v/>
      </c>
      <c r="H832" s="10">
        <f>IFERROR(IF(INDEX(ERP資料!$G:$G, (MATCH(831, 輔助計算!$G$2:$G$801, 0)+1))="","",INDEX(ERP資料!$G:$G, (MATCH(831, 輔助計算!$G$2:$G$801, 0)+1))), "")</f>
        <v/>
      </c>
      <c r="I832" s="15">
        <f>IFERROR(INDEX(輔助計算!$D:$D, (MATCH(831, 輔助計算!$G$2:$G$801, 0)+1)), "")</f>
        <v/>
      </c>
      <c r="J832" s="15">
        <f>IFERROR(IF(AND(INDEX(輔助計算!$D:$D, (MATCH(831, 輔助計算!$G$2:$G$801, 0)+1))&lt;&gt;"", INDEX(ERP資料!$G:$G, (MATCH(831, 輔助計算!$G$2:$G$801, 0)+1))&lt;&gt;""), TRIM(IF(INT(INDEX(輔助計算!$D:$D, (MATCH(831, 輔助計算!$G$2:$G$801, 0)+1))/IF(INDEX(ERP資料!$G:$G, (MATCH(831, 輔助計算!$G$2:$G$801, 0)+1))&lt;100, IF(INDEX(ERP資料!$G:$G, (MATCH(831, 輔助計算!$G$2:$G$801, 0)+1))&lt;=31,3,IF(INDEX(ERP資料!$G:$G, (MATCH(831, 輔助計算!$G$2:$G$801, 0)+1))&lt;=46.5,2,1)), IF(INDEX(ERP資料!$G:$G, (MATCH(831, 輔助計算!$G$2:$G$801, 0)+1))&lt;=790,3,IF(INDEX(ERP資料!$G:$G, (MATCH(831, 輔助計算!$G$2:$G$801, 0)+1))&lt;=1181,2,1))))&gt;0, IF(IF(INDEX(ERP資料!$G:$G, (MATCH(831, 輔助計算!$G$2:$G$801, 0)+1))&lt;100, IF(INDEX(ERP資料!$G:$G, (MATCH(831, 輔助計算!$G$2:$G$801, 0)+1))&lt;=31,3,IF(INDEX(ERP資料!$G:$G, (MATCH(831, 輔助計算!$G$2:$G$801, 0)+1))&lt;=46.5,2,1)), IF(INDEX(ERP資料!$G:$G, (MATCH(831, 輔助計算!$G$2:$G$801, 0)+1))&lt;=790,3,IF(INDEX(ERP資料!$G:$G, (MATCH(831, 輔助計算!$G$2:$G$801, 0)+1))&lt;=1181,2,1)))=1,TEXT(INDEX(ERP資料!$G:$G, (MATCH(831, 輔助計算!$G$2:$G$801, 0)+1)),"0.##"),IF(IF(INDEX(ERP資料!$G:$G, (MATCH(831, 輔助計算!$G$2:$G$801, 0)+1))&lt;100, IF(INDEX(ERP資料!$G:$G, (MATCH(831, 輔助計算!$G$2:$G$801, 0)+1))&lt;=31,3,IF(INDEX(ERP資料!$G:$G, (MATCH(831, 輔助計算!$G$2:$G$801, 0)+1))&lt;=46.5,2,1)), IF(INDEX(ERP資料!$G:$G, (MATCH(831, 輔助計算!$G$2:$G$801, 0)+1))&lt;=790,3,IF(INDEX(ERP資料!$G:$G, (MATCH(831, 輔助計算!$G$2:$G$801, 0)+1))&lt;=1181,2,1)))=2,TEXT(INDEX(ERP資料!$G:$G, (MATCH(831, 輔助計算!$G$2:$G$801, 0)+1)),"0.##")&amp;"+"&amp;TEXT(INDEX(ERP資料!$G:$G, (MATCH(831, 輔助計算!$G$2:$G$801, 0)+1)),"0.##"),TEXT(INDEX(ERP資料!$G:$G, (MATCH(831, 輔助計算!$G$2:$G$801, 0)+1)),"0.##")&amp;"+"&amp;TEXT(INDEX(ERP資料!$G:$G, (MATCH(831, 輔助計算!$G$2:$G$801, 0)+1)),"0.##")&amp;"+"&amp;TEXT(INDEX(ERP資料!$G:$G, (MATCH(831, 輔助計算!$G$2:$G$801, 0)+1)),"0.##")))&amp;"-"&amp;INT(INDEX(輔助計算!$D:$D, (MATCH(831, 輔助計算!$G$2:$G$801, 0)+1))/IF(INDEX(ERP資料!$G:$G, (MATCH(831, 輔助計算!$G$2:$G$801, 0)+1))&lt;100, IF(INDEX(ERP資料!$G:$G, (MATCH(831, 輔助計算!$G$2:$G$801, 0)+1))&lt;=31,3,IF(INDEX(ERP資料!$G:$G, (MATCH(831, 輔助計算!$G$2:$G$801, 0)+1))&lt;=46.5,2,1)), IF(INDEX(ERP資料!$G:$G, (MATCH(831, 輔助計算!$G$2:$G$801, 0)+1))&lt;=790,3,IF(INDEX(ERP資料!$G:$G, (MATCH(831, 輔助計算!$G$2:$G$801, 0)+1))&lt;=1181,2,1)))), "")&amp;IF(AND(IF(INT(INDEX(輔助計算!$D:$D, (MATCH(831, 輔助計算!$G$2:$G$801, 0)+1))/IF(INDEX(ERP資料!$G:$G, (MATCH(831, 輔助計算!$G$2:$G$801, 0)+1))&lt;100, IF(INDEX(ERP資料!$G:$G, (MATCH(831, 輔助計算!$G$2:$G$801, 0)+1))&lt;=31,3,IF(INDEX(ERP資料!$G:$G, (MATCH(831, 輔助計算!$G$2:$G$801, 0)+1))&lt;=46.5,2,1)), IF(INDEX(ERP資料!$G:$G, (MATCH(831, 輔助計算!$G$2:$G$801, 0)+1))&lt;=790,3,IF(INDEX(ERP資料!$G:$G, (MATCH(831, 輔助計算!$G$2:$G$801, 0)+1))&lt;=1181,2,1))))&gt;0, IF(IF(INDEX(ERP資料!$G:$G, (MATCH(831, 輔助計算!$G$2:$G$801, 0)+1))&lt;100, IF(INDEX(ERP資料!$G:$G, (MATCH(831, 輔助計算!$G$2:$G$801, 0)+1))&lt;=31,3,IF(INDEX(ERP資料!$G:$G, (MATCH(831, 輔助計算!$G$2:$G$801, 0)+1))&lt;=46.5,2,1)), IF(INDEX(ERP資料!$G:$G, (MATCH(831, 輔助計算!$G$2:$G$801, 0)+1))&lt;=790,3,IF(INDEX(ERP資料!$G:$G, (MATCH(831, 輔助計算!$G$2:$G$801, 0)+1))&lt;=1181,2,1)))=1,TEXT(INDEX(ERP資料!$G:$G, (MATCH(831, 輔助計算!$G$2:$G$801, 0)+1)),"0.##"),IF(IF(INDEX(ERP資料!$G:$G, (MATCH(831, 輔助計算!$G$2:$G$801, 0)+1))&lt;100, IF(INDEX(ERP資料!$G:$G, (MATCH(831, 輔助計算!$G$2:$G$801, 0)+1))&lt;=31,3,IF(INDEX(ERP資料!$G:$G, (MATCH(831, 輔助計算!$G$2:$G$801, 0)+1))&lt;=46.5,2,1)), IF(INDEX(ERP資料!$G:$G, (MATCH(831, 輔助計算!$G$2:$G$801, 0)+1))&lt;=790,3,IF(INDEX(ERP資料!$G:$G, (MATCH(831, 輔助計算!$G$2:$G$801, 0)+1))&lt;=1181,2,1)))=2,TEXT(INDEX(ERP資料!$G:$G, (MATCH(831, 輔助計算!$G$2:$G$801, 0)+1)),"0.##")&amp;"+"&amp;TEXT(INDEX(ERP資料!$G:$G, (MATCH(831, 輔助計算!$G$2:$G$801, 0)+1)),"0.##"),TEXT(INDEX(ERP資料!$G:$G, (MATCH(831, 輔助計算!$G$2:$G$801, 0)+1)),"0.##")&amp;"+"&amp;TEXT(INDEX(ERP資料!$G:$G, (MATCH(831, 輔助計算!$G$2:$G$801, 0)+1)),"0.##")&amp;"+"&amp;TEXT(INDEX(ERP資料!$G:$G, (MATCH(831, 輔助計算!$G$2:$G$801, 0)+1)),"0.##")))&amp;"-"&amp;INT(INDEX(輔助計算!$D:$D, (MATCH(831, 輔助計算!$G$2:$G$801, 0)+1))/IF(INDEX(ERP資料!$G:$G, (MATCH(831, 輔助計算!$G$2:$G$801, 0)+1))&lt;100, IF(INDEX(ERP資料!$G:$G, (MATCH(831, 輔助計算!$G$2:$G$801, 0)+1))&lt;=31,3,IF(INDEX(ERP資料!$G:$G, (MATCH(831, 輔助計算!$G$2:$G$801, 0)+1))&lt;=46.5,2,1)), IF(INDEX(ERP資料!$G:$G, (MATCH(831, 輔助計算!$G$2:$G$801, 0)+1))&lt;=790,3,IF(INDEX(ERP資料!$G:$G, (MATCH(831, 輔助計算!$G$2:$G$801, 0)+1))&lt;=1181,2,1)))), "")&lt;&gt;"",IF(MOD(INDEX(輔助計算!$D:$D, (MATCH(831, 輔助計算!$G$2:$G$801, 0)+1)),IF(INDEX(ERP資料!$G:$G, (MATCH(831, 輔助計算!$G$2:$G$801, 0)+1))&lt;100, IF(INDEX(ERP資料!$G:$G, (MATCH(831, 輔助計算!$G$2:$G$801, 0)+1))&lt;=31,3,IF(INDEX(ERP資料!$G:$G, (MATCH(831, 輔助計算!$G$2:$G$801, 0)+1))&lt;=46.5,2,1)), IF(INDEX(ERP資料!$G:$G, (MATCH(831, 輔助計算!$G$2:$G$801, 0)+1))&lt;=790,3,IF(INDEX(ERP資料!$G:$G, (MATCH(831, 輔助計算!$G$2:$G$801, 0)+1))&lt;=1181,2,1))))=0,"",IF(MOD(INDEX(輔助計算!$D:$D, (MATCH(831, 輔助計算!$G$2:$G$801, 0)+1)),IF(INDEX(ERP資料!$G:$G, (MATCH(831, 輔助計算!$G$2:$G$801, 0)+1))&lt;100, IF(INDEX(ERP資料!$G:$G, (MATCH(831, 輔助計算!$G$2:$G$801, 0)+1))&lt;=31,3,IF(INDEX(ERP資料!$G:$G, (MATCH(831, 輔助計算!$G$2:$G$801, 0)+1))&lt;=46.5,2,1)), IF(INDEX(ERP資料!$G:$G, (MATCH(831, 輔助計算!$G$2:$G$801, 0)+1))&lt;=790,3,IF(INDEX(ERP資料!$G:$G, (MATCH(831, 輔助計算!$G$2:$G$801, 0)+1))&lt;=1181,2,1))))=0,"",IF(MOD(INDEX(輔助計算!$D:$D, (MATCH(831, 輔助計算!$G$2:$G$801, 0)+1)),IF(INDEX(ERP資料!$G:$G, (MATCH(831, 輔助計算!$G$2:$G$801, 0)+1))&lt;100, IF(INDEX(ERP資料!$G:$G, (MATCH(831, 輔助計算!$G$2:$G$801, 0)+1))&lt;=31,3,IF(INDEX(ERP資料!$G:$G, (MATCH(831, 輔助計算!$G$2:$G$801, 0)+1))&lt;=46.5,2,1)), IF(INDEX(ERP資料!$G:$G, (MATCH(831, 輔助計算!$G$2:$G$801, 0)+1))&lt;=790,3,IF(INDEX(ERP資料!$G:$G, (MATCH(831, 輔助計算!$G$2:$G$801, 0)+1))&lt;=1181,2,1))))=1,TEXT(INDEX(ERP資料!$G:$G, (MATCH(831, 輔助計算!$G$2:$G$801, 0)+1)),"0.##"),IF(MOD(INDEX(輔助計算!$D:$D, (MATCH(831, 輔助計算!$G$2:$G$801, 0)+1)),IF(INDEX(ERP資料!$G:$G, (MATCH(831, 輔助計算!$G$2:$G$801, 0)+1))&lt;100, IF(INDEX(ERP資料!$G:$G, (MATCH(831, 輔助計算!$G$2:$G$801, 0)+1))&lt;=31,3,IF(INDEX(ERP資料!$G:$G, (MATCH(831, 輔助計算!$G$2:$G$801, 0)+1))&lt;=46.5,2,1)), IF(INDEX(ERP資料!$G:$G, (MATCH(831, 輔助計算!$G$2:$G$801, 0)+1))&lt;=790,3,IF(INDEX(ERP資料!$G:$G, (MATCH(831, 輔助計算!$G$2:$G$801, 0)+1))&lt;=1181,2,1))))=2,TEXT(INDEX(ERP資料!$G:$G, (MATCH(831, 輔助計算!$G$2:$G$801, 0)+1)),"0.##")&amp;"+"&amp;TEXT(INDEX(ERP資料!$G:$G, (MATCH(831, 輔助計算!$G$2:$G$801, 0)+1)),"0.##"),TEXT(INDEX(ERP資料!$G:$G, (MATCH(831, 輔助計算!$G$2:$G$801, 0)+1)),"0.##")&amp;"+"&amp;TEXT(INDEX(ERP資料!$G:$G, (MATCH(831, 輔助計算!$G$2:$G$801, 0)+1)),"0.##")&amp;"+"&amp;TEXT(INDEX(ERP資料!$G:$G, (MATCH(831, 輔助計算!$G$2:$G$801, 0)+1)),"0.##"))))&amp;"-1")&lt;&gt;""),"  ","")&amp;IF(MOD(INDEX(輔助計算!$D:$D, (MATCH(831, 輔助計算!$G$2:$G$801, 0)+1)),IF(INDEX(ERP資料!$G:$G, (MATCH(831, 輔助計算!$G$2:$G$801, 0)+1))&lt;100, IF(INDEX(ERP資料!$G:$G, (MATCH(831, 輔助計算!$G$2:$G$801, 0)+1))&lt;=31,3,IF(INDEX(ERP資料!$G:$G, (MATCH(831, 輔助計算!$G$2:$G$801, 0)+1))&lt;=46.5,2,1)), IF(INDEX(ERP資料!$G:$G, (MATCH(831, 輔助計算!$G$2:$G$801, 0)+1))&lt;=790,3,IF(INDEX(ERP資料!$G:$G, (MATCH(831, 輔助計算!$G$2:$G$801, 0)+1))&lt;=1181,2,1))))=0,"",IF(MOD(INDEX(輔助計算!$D:$D, (MATCH(831, 輔助計算!$G$2:$G$801, 0)+1)),IF(INDEX(ERP資料!$G:$G, (MATCH(831, 輔助計算!$G$2:$G$801, 0)+1))&lt;100, IF(INDEX(ERP資料!$G:$G, (MATCH(831, 輔助計算!$G$2:$G$801, 0)+1))&lt;=31,3,IF(INDEX(ERP資料!$G:$G, (MATCH(831, 輔助計算!$G$2:$G$801, 0)+1))&lt;=46.5,2,1)), IF(INDEX(ERP資料!$G:$G, (MATCH(831, 輔助計算!$G$2:$G$801, 0)+1))&lt;=790,3,IF(INDEX(ERP資料!$G:$G, (MATCH(831, 輔助計算!$G$2:$G$801, 0)+1))&lt;=1181,2,1))))=0,"",IF(MOD(INDEX(輔助計算!$D:$D, (MATCH(831, 輔助計算!$G$2:$G$801, 0)+1)),IF(INDEX(ERP資料!$G:$G, (MATCH(831, 輔助計算!$G$2:$G$801, 0)+1))&lt;100, IF(INDEX(ERP資料!$G:$G, (MATCH(831, 輔助計算!$G$2:$G$801, 0)+1))&lt;=31,3,IF(INDEX(ERP資料!$G:$G, (MATCH(831, 輔助計算!$G$2:$G$801, 0)+1))&lt;=46.5,2,1)), IF(INDEX(ERP資料!$G:$G, (MATCH(831, 輔助計算!$G$2:$G$801, 0)+1))&lt;=790,3,IF(INDEX(ERP資料!$G:$G, (MATCH(831, 輔助計算!$G$2:$G$801, 0)+1))&lt;=1181,2,1))))=1,TEXT(INDEX(ERP資料!$G:$G, (MATCH(831, 輔助計算!$G$2:$G$801, 0)+1)),"0.##"),IF(MOD(INDEX(輔助計算!$D:$D, (MATCH(831, 輔助計算!$G$2:$G$801, 0)+1)),IF(INDEX(ERP資料!$G:$G, (MATCH(831, 輔助計算!$G$2:$G$801, 0)+1))&lt;100, IF(INDEX(ERP資料!$G:$G, (MATCH(831, 輔助計算!$G$2:$G$801, 0)+1))&lt;=31,3,IF(INDEX(ERP資料!$G:$G, (MATCH(831, 輔助計算!$G$2:$G$801, 0)+1))&lt;=46.5,2,1)), IF(INDEX(ERP資料!$G:$G, (MATCH(831, 輔助計算!$G$2:$G$801, 0)+1))&lt;=790,3,IF(INDEX(ERP資料!$G:$G, (MATCH(831, 輔助計算!$G$2:$G$801, 0)+1))&lt;=1181,2,1))))=2,TEXT(INDEX(ERP資料!$G:$G, (MATCH(831, 輔助計算!$G$2:$G$801, 0)+1)),"0.##")&amp;"+"&amp;TEXT(INDEX(ERP資料!$G:$G, (MATCH(831, 輔助計算!$G$2:$G$801, 0)+1)),"0.##"),TEXT(INDEX(ERP資料!$G:$G, (MATCH(831, 輔助計算!$G$2:$G$801, 0)+1)),"0.##")&amp;"+"&amp;TEXT(INDEX(ERP資料!$G:$G, (MATCH(831, 輔助計算!$G$2:$G$801, 0)+1)),"0.##")&amp;"+"&amp;TEXT(INDEX(ERP資料!$G:$G, (MATCH(831, 輔助計算!$G$2:$G$801, 0)+1)),"0.##"))))&amp;"-1")), ""), "")</f>
        <v/>
      </c>
      <c r="K832" s="16" t="n"/>
      <c r="L832" s="14">
        <f>IFERROR(IF(AND(IFERROR(INDEX(ERP資料!$A:$A, (MATCH(831, 輔助計算!$G$2:$G$801, 0)+1)), "")&lt;&gt;"", IFERROR(INDEX(ERP資料!$A:$A, (MATCH(831, 輔助計算!$G$2:$G$801, 0)+1)), "")&lt;&gt;IFERROR(INDEX(ERP資料!$A:$A, MATCH(830, 輔助計算!$G$2:$G$801, 0)+1), "")), INDEX(ERP資料!$B:$B, (MATCH(831, 輔助計算!$G$2:$G$801, 0)+1)), ""), "")</f>
        <v/>
      </c>
      <c r="M832" s="17" t="n"/>
    </row>
    <row r="833">
      <c r="A833" s="10">
        <f>IFERROR(IF(AND(IFERROR(INDEX(ERP資料!$A:$A, (MATCH(832, 輔助計算!$G$2:$G$801, 0)+1)), "")&lt;&gt;"", IFERROR(INDEX(ERP資料!$A:$A, (MATCH(832, 輔助計算!$G$2:$G$801, 0)+1)), "")&lt;&gt;IFERROR(INDEX(ERP資料!$A:$A, MATCH(831, 輔助計算!$G$2:$G$801, 0)+1), "")), IFERROR(INDEX(ERP資料!$A:$A, (MATCH(832, 輔助計算!$G$2:$G$801, 0)+1)), ""), ""), "")</f>
        <v/>
      </c>
      <c r="B833" s="10">
        <f>IFERROR(IF(AND(IFERROR(INDEX(ERP資料!$A:$A, (MATCH(832, 輔助計算!$G$2:$G$801, 0)+1)), "")&lt;&gt;"", IFERROR(INDEX(ERP資料!$A:$A, (MATCH(832, 輔助計算!$G$2:$G$801, 0)+1)), "")&lt;&gt;IFERROR(INDEX(ERP資料!$A:$A, MATCH(831, 輔助計算!$G$2:$G$801, 0)+1), "")), INDEX(ERP資料!$S:$S, (MATCH(832, 輔助計算!$G$2:$G$801, 0)+1)), ""), "")</f>
        <v/>
      </c>
      <c r="C833" s="19">
        <f>IFERROR(IF(AND(IFERROR(INDEX(ERP資料!$A:$A, (MATCH(832, 輔助計算!$G$2:$G$801, 0)+1)), "")&lt;&gt;"", IFERROR(INDEX(ERP資料!$A:$A, (MATCH(832, 輔助計算!$G$2:$G$801, 0)+1)), "")&lt;&gt;IFERROR(INDEX(ERP資料!$A:$A, MATCH(831, 輔助計算!$G$2:$G$801, 0)+1), "")), IFERROR(VLOOKUP(LEFT(INDEX(ERP資料!$S:$S, (MATCH(832, 輔助計算!$G$2:$G$801, 0)+1)), 4), 紙管對照表!$A:$C, 3, FALSE), ""), ""), "")</f>
        <v/>
      </c>
      <c r="D833" s="16" t="n"/>
      <c r="E833" s="10">
        <f>IFERROR(IF(INDEX(ERP資料!$H:$H, (MATCH(832, 輔助計算!$G$2:$G$801, 0)+1))="","",INDEX(ERP資料!$H:$H, (MATCH(832, 輔助計算!$G$2:$G$801, 0)+1))), "")</f>
        <v/>
      </c>
      <c r="F833" s="10">
        <f>IFERROR(IF(INDEX(ERP資料!$E:$E, (MATCH(832, 輔助計算!$G$2:$G$801, 0)+1))="","",TRIM(INDEX(ERP資料!$E:$E, (MATCH(832, 輔助計算!$G$2:$G$801, 0)+1)))), "")</f>
        <v/>
      </c>
      <c r="G833" s="10">
        <f>IFERROR(IF(INDEX(ERP資料!$F:$F, (MATCH(832, 輔助計算!$G$2:$G$801, 0)+1))="","",INDEX(ERP資料!$F:$F, (MATCH(832, 輔助計算!$G$2:$G$801, 0)+1))), "")</f>
        <v/>
      </c>
      <c r="H833" s="10">
        <f>IFERROR(IF(INDEX(ERP資料!$G:$G, (MATCH(832, 輔助計算!$G$2:$G$801, 0)+1))="","",INDEX(ERP資料!$G:$G, (MATCH(832, 輔助計算!$G$2:$G$801, 0)+1))), "")</f>
        <v/>
      </c>
      <c r="I833" s="15">
        <f>IFERROR(INDEX(輔助計算!$D:$D, (MATCH(832, 輔助計算!$G$2:$G$801, 0)+1)), "")</f>
        <v/>
      </c>
      <c r="J833" s="15">
        <f>IFERROR(IF(AND(INDEX(輔助計算!$D:$D, (MATCH(832, 輔助計算!$G$2:$G$801, 0)+1))&lt;&gt;"", INDEX(ERP資料!$G:$G, (MATCH(832, 輔助計算!$G$2:$G$801, 0)+1))&lt;&gt;""), TRIM(IF(INT(INDEX(輔助計算!$D:$D, (MATCH(832, 輔助計算!$G$2:$G$801, 0)+1))/IF(INDEX(ERP資料!$G:$G, (MATCH(832, 輔助計算!$G$2:$G$801, 0)+1))&lt;100, IF(INDEX(ERP資料!$G:$G, (MATCH(832, 輔助計算!$G$2:$G$801, 0)+1))&lt;=31,3,IF(INDEX(ERP資料!$G:$G, (MATCH(832, 輔助計算!$G$2:$G$801, 0)+1))&lt;=46.5,2,1)), IF(INDEX(ERP資料!$G:$G, (MATCH(832, 輔助計算!$G$2:$G$801, 0)+1))&lt;=790,3,IF(INDEX(ERP資料!$G:$G, (MATCH(832, 輔助計算!$G$2:$G$801, 0)+1))&lt;=1181,2,1))))&gt;0, IF(IF(INDEX(ERP資料!$G:$G, (MATCH(832, 輔助計算!$G$2:$G$801, 0)+1))&lt;100, IF(INDEX(ERP資料!$G:$G, (MATCH(832, 輔助計算!$G$2:$G$801, 0)+1))&lt;=31,3,IF(INDEX(ERP資料!$G:$G, (MATCH(832, 輔助計算!$G$2:$G$801, 0)+1))&lt;=46.5,2,1)), IF(INDEX(ERP資料!$G:$G, (MATCH(832, 輔助計算!$G$2:$G$801, 0)+1))&lt;=790,3,IF(INDEX(ERP資料!$G:$G, (MATCH(832, 輔助計算!$G$2:$G$801, 0)+1))&lt;=1181,2,1)))=1,TEXT(INDEX(ERP資料!$G:$G, (MATCH(832, 輔助計算!$G$2:$G$801, 0)+1)),"0.##"),IF(IF(INDEX(ERP資料!$G:$G, (MATCH(832, 輔助計算!$G$2:$G$801, 0)+1))&lt;100, IF(INDEX(ERP資料!$G:$G, (MATCH(832, 輔助計算!$G$2:$G$801, 0)+1))&lt;=31,3,IF(INDEX(ERP資料!$G:$G, (MATCH(832, 輔助計算!$G$2:$G$801, 0)+1))&lt;=46.5,2,1)), IF(INDEX(ERP資料!$G:$G, (MATCH(832, 輔助計算!$G$2:$G$801, 0)+1))&lt;=790,3,IF(INDEX(ERP資料!$G:$G, (MATCH(832, 輔助計算!$G$2:$G$801, 0)+1))&lt;=1181,2,1)))=2,TEXT(INDEX(ERP資料!$G:$G, (MATCH(832, 輔助計算!$G$2:$G$801, 0)+1)),"0.##")&amp;"+"&amp;TEXT(INDEX(ERP資料!$G:$G, (MATCH(832, 輔助計算!$G$2:$G$801, 0)+1)),"0.##"),TEXT(INDEX(ERP資料!$G:$G, (MATCH(832, 輔助計算!$G$2:$G$801, 0)+1)),"0.##")&amp;"+"&amp;TEXT(INDEX(ERP資料!$G:$G, (MATCH(832, 輔助計算!$G$2:$G$801, 0)+1)),"0.##")&amp;"+"&amp;TEXT(INDEX(ERP資料!$G:$G, (MATCH(832, 輔助計算!$G$2:$G$801, 0)+1)),"0.##")))&amp;"-"&amp;INT(INDEX(輔助計算!$D:$D, (MATCH(832, 輔助計算!$G$2:$G$801, 0)+1))/IF(INDEX(ERP資料!$G:$G, (MATCH(832, 輔助計算!$G$2:$G$801, 0)+1))&lt;100, IF(INDEX(ERP資料!$G:$G, (MATCH(832, 輔助計算!$G$2:$G$801, 0)+1))&lt;=31,3,IF(INDEX(ERP資料!$G:$G, (MATCH(832, 輔助計算!$G$2:$G$801, 0)+1))&lt;=46.5,2,1)), IF(INDEX(ERP資料!$G:$G, (MATCH(832, 輔助計算!$G$2:$G$801, 0)+1))&lt;=790,3,IF(INDEX(ERP資料!$G:$G, (MATCH(832, 輔助計算!$G$2:$G$801, 0)+1))&lt;=1181,2,1)))), "")&amp;IF(AND(IF(INT(INDEX(輔助計算!$D:$D, (MATCH(832, 輔助計算!$G$2:$G$801, 0)+1))/IF(INDEX(ERP資料!$G:$G, (MATCH(832, 輔助計算!$G$2:$G$801, 0)+1))&lt;100, IF(INDEX(ERP資料!$G:$G, (MATCH(832, 輔助計算!$G$2:$G$801, 0)+1))&lt;=31,3,IF(INDEX(ERP資料!$G:$G, (MATCH(832, 輔助計算!$G$2:$G$801, 0)+1))&lt;=46.5,2,1)), IF(INDEX(ERP資料!$G:$G, (MATCH(832, 輔助計算!$G$2:$G$801, 0)+1))&lt;=790,3,IF(INDEX(ERP資料!$G:$G, (MATCH(832, 輔助計算!$G$2:$G$801, 0)+1))&lt;=1181,2,1))))&gt;0, IF(IF(INDEX(ERP資料!$G:$G, (MATCH(832, 輔助計算!$G$2:$G$801, 0)+1))&lt;100, IF(INDEX(ERP資料!$G:$G, (MATCH(832, 輔助計算!$G$2:$G$801, 0)+1))&lt;=31,3,IF(INDEX(ERP資料!$G:$G, (MATCH(832, 輔助計算!$G$2:$G$801, 0)+1))&lt;=46.5,2,1)), IF(INDEX(ERP資料!$G:$G, (MATCH(832, 輔助計算!$G$2:$G$801, 0)+1))&lt;=790,3,IF(INDEX(ERP資料!$G:$G, (MATCH(832, 輔助計算!$G$2:$G$801, 0)+1))&lt;=1181,2,1)))=1,TEXT(INDEX(ERP資料!$G:$G, (MATCH(832, 輔助計算!$G$2:$G$801, 0)+1)),"0.##"),IF(IF(INDEX(ERP資料!$G:$G, (MATCH(832, 輔助計算!$G$2:$G$801, 0)+1))&lt;100, IF(INDEX(ERP資料!$G:$G, (MATCH(832, 輔助計算!$G$2:$G$801, 0)+1))&lt;=31,3,IF(INDEX(ERP資料!$G:$G, (MATCH(832, 輔助計算!$G$2:$G$801, 0)+1))&lt;=46.5,2,1)), IF(INDEX(ERP資料!$G:$G, (MATCH(832, 輔助計算!$G$2:$G$801, 0)+1))&lt;=790,3,IF(INDEX(ERP資料!$G:$G, (MATCH(832, 輔助計算!$G$2:$G$801, 0)+1))&lt;=1181,2,1)))=2,TEXT(INDEX(ERP資料!$G:$G, (MATCH(832, 輔助計算!$G$2:$G$801, 0)+1)),"0.##")&amp;"+"&amp;TEXT(INDEX(ERP資料!$G:$G, (MATCH(832, 輔助計算!$G$2:$G$801, 0)+1)),"0.##"),TEXT(INDEX(ERP資料!$G:$G, (MATCH(832, 輔助計算!$G$2:$G$801, 0)+1)),"0.##")&amp;"+"&amp;TEXT(INDEX(ERP資料!$G:$G, (MATCH(832, 輔助計算!$G$2:$G$801, 0)+1)),"0.##")&amp;"+"&amp;TEXT(INDEX(ERP資料!$G:$G, (MATCH(832, 輔助計算!$G$2:$G$801, 0)+1)),"0.##")))&amp;"-"&amp;INT(INDEX(輔助計算!$D:$D, (MATCH(832, 輔助計算!$G$2:$G$801, 0)+1))/IF(INDEX(ERP資料!$G:$G, (MATCH(832, 輔助計算!$G$2:$G$801, 0)+1))&lt;100, IF(INDEX(ERP資料!$G:$G, (MATCH(832, 輔助計算!$G$2:$G$801, 0)+1))&lt;=31,3,IF(INDEX(ERP資料!$G:$G, (MATCH(832, 輔助計算!$G$2:$G$801, 0)+1))&lt;=46.5,2,1)), IF(INDEX(ERP資料!$G:$G, (MATCH(832, 輔助計算!$G$2:$G$801, 0)+1))&lt;=790,3,IF(INDEX(ERP資料!$G:$G, (MATCH(832, 輔助計算!$G$2:$G$801, 0)+1))&lt;=1181,2,1)))), "")&lt;&gt;"",IF(MOD(INDEX(輔助計算!$D:$D, (MATCH(832, 輔助計算!$G$2:$G$801, 0)+1)),IF(INDEX(ERP資料!$G:$G, (MATCH(832, 輔助計算!$G$2:$G$801, 0)+1))&lt;100, IF(INDEX(ERP資料!$G:$G, (MATCH(832, 輔助計算!$G$2:$G$801, 0)+1))&lt;=31,3,IF(INDEX(ERP資料!$G:$G, (MATCH(832, 輔助計算!$G$2:$G$801, 0)+1))&lt;=46.5,2,1)), IF(INDEX(ERP資料!$G:$G, (MATCH(832, 輔助計算!$G$2:$G$801, 0)+1))&lt;=790,3,IF(INDEX(ERP資料!$G:$G, (MATCH(832, 輔助計算!$G$2:$G$801, 0)+1))&lt;=1181,2,1))))=0,"",IF(MOD(INDEX(輔助計算!$D:$D, (MATCH(832, 輔助計算!$G$2:$G$801, 0)+1)),IF(INDEX(ERP資料!$G:$G, (MATCH(832, 輔助計算!$G$2:$G$801, 0)+1))&lt;100, IF(INDEX(ERP資料!$G:$G, (MATCH(832, 輔助計算!$G$2:$G$801, 0)+1))&lt;=31,3,IF(INDEX(ERP資料!$G:$G, (MATCH(832, 輔助計算!$G$2:$G$801, 0)+1))&lt;=46.5,2,1)), IF(INDEX(ERP資料!$G:$G, (MATCH(832, 輔助計算!$G$2:$G$801, 0)+1))&lt;=790,3,IF(INDEX(ERP資料!$G:$G, (MATCH(832, 輔助計算!$G$2:$G$801, 0)+1))&lt;=1181,2,1))))=0,"",IF(MOD(INDEX(輔助計算!$D:$D, (MATCH(832, 輔助計算!$G$2:$G$801, 0)+1)),IF(INDEX(ERP資料!$G:$G, (MATCH(832, 輔助計算!$G$2:$G$801, 0)+1))&lt;100, IF(INDEX(ERP資料!$G:$G, (MATCH(832, 輔助計算!$G$2:$G$801, 0)+1))&lt;=31,3,IF(INDEX(ERP資料!$G:$G, (MATCH(832, 輔助計算!$G$2:$G$801, 0)+1))&lt;=46.5,2,1)), IF(INDEX(ERP資料!$G:$G, (MATCH(832, 輔助計算!$G$2:$G$801, 0)+1))&lt;=790,3,IF(INDEX(ERP資料!$G:$G, (MATCH(832, 輔助計算!$G$2:$G$801, 0)+1))&lt;=1181,2,1))))=1,TEXT(INDEX(ERP資料!$G:$G, (MATCH(832, 輔助計算!$G$2:$G$801, 0)+1)),"0.##"),IF(MOD(INDEX(輔助計算!$D:$D, (MATCH(832, 輔助計算!$G$2:$G$801, 0)+1)),IF(INDEX(ERP資料!$G:$G, (MATCH(832, 輔助計算!$G$2:$G$801, 0)+1))&lt;100, IF(INDEX(ERP資料!$G:$G, (MATCH(832, 輔助計算!$G$2:$G$801, 0)+1))&lt;=31,3,IF(INDEX(ERP資料!$G:$G, (MATCH(832, 輔助計算!$G$2:$G$801, 0)+1))&lt;=46.5,2,1)), IF(INDEX(ERP資料!$G:$G, (MATCH(832, 輔助計算!$G$2:$G$801, 0)+1))&lt;=790,3,IF(INDEX(ERP資料!$G:$G, (MATCH(832, 輔助計算!$G$2:$G$801, 0)+1))&lt;=1181,2,1))))=2,TEXT(INDEX(ERP資料!$G:$G, (MATCH(832, 輔助計算!$G$2:$G$801, 0)+1)),"0.##")&amp;"+"&amp;TEXT(INDEX(ERP資料!$G:$G, (MATCH(832, 輔助計算!$G$2:$G$801, 0)+1)),"0.##"),TEXT(INDEX(ERP資料!$G:$G, (MATCH(832, 輔助計算!$G$2:$G$801, 0)+1)),"0.##")&amp;"+"&amp;TEXT(INDEX(ERP資料!$G:$G, (MATCH(832, 輔助計算!$G$2:$G$801, 0)+1)),"0.##")&amp;"+"&amp;TEXT(INDEX(ERP資料!$G:$G, (MATCH(832, 輔助計算!$G$2:$G$801, 0)+1)),"0.##"))))&amp;"-1")&lt;&gt;""),"  ","")&amp;IF(MOD(INDEX(輔助計算!$D:$D, (MATCH(832, 輔助計算!$G$2:$G$801, 0)+1)),IF(INDEX(ERP資料!$G:$G, (MATCH(832, 輔助計算!$G$2:$G$801, 0)+1))&lt;100, IF(INDEX(ERP資料!$G:$G, (MATCH(832, 輔助計算!$G$2:$G$801, 0)+1))&lt;=31,3,IF(INDEX(ERP資料!$G:$G, (MATCH(832, 輔助計算!$G$2:$G$801, 0)+1))&lt;=46.5,2,1)), IF(INDEX(ERP資料!$G:$G, (MATCH(832, 輔助計算!$G$2:$G$801, 0)+1))&lt;=790,3,IF(INDEX(ERP資料!$G:$G, (MATCH(832, 輔助計算!$G$2:$G$801, 0)+1))&lt;=1181,2,1))))=0,"",IF(MOD(INDEX(輔助計算!$D:$D, (MATCH(832, 輔助計算!$G$2:$G$801, 0)+1)),IF(INDEX(ERP資料!$G:$G, (MATCH(832, 輔助計算!$G$2:$G$801, 0)+1))&lt;100, IF(INDEX(ERP資料!$G:$G, (MATCH(832, 輔助計算!$G$2:$G$801, 0)+1))&lt;=31,3,IF(INDEX(ERP資料!$G:$G, (MATCH(832, 輔助計算!$G$2:$G$801, 0)+1))&lt;=46.5,2,1)), IF(INDEX(ERP資料!$G:$G, (MATCH(832, 輔助計算!$G$2:$G$801, 0)+1))&lt;=790,3,IF(INDEX(ERP資料!$G:$G, (MATCH(832, 輔助計算!$G$2:$G$801, 0)+1))&lt;=1181,2,1))))=0,"",IF(MOD(INDEX(輔助計算!$D:$D, (MATCH(832, 輔助計算!$G$2:$G$801, 0)+1)),IF(INDEX(ERP資料!$G:$G, (MATCH(832, 輔助計算!$G$2:$G$801, 0)+1))&lt;100, IF(INDEX(ERP資料!$G:$G, (MATCH(832, 輔助計算!$G$2:$G$801, 0)+1))&lt;=31,3,IF(INDEX(ERP資料!$G:$G, (MATCH(832, 輔助計算!$G$2:$G$801, 0)+1))&lt;=46.5,2,1)), IF(INDEX(ERP資料!$G:$G, (MATCH(832, 輔助計算!$G$2:$G$801, 0)+1))&lt;=790,3,IF(INDEX(ERP資料!$G:$G, (MATCH(832, 輔助計算!$G$2:$G$801, 0)+1))&lt;=1181,2,1))))=1,TEXT(INDEX(ERP資料!$G:$G, (MATCH(832, 輔助計算!$G$2:$G$801, 0)+1)),"0.##"),IF(MOD(INDEX(輔助計算!$D:$D, (MATCH(832, 輔助計算!$G$2:$G$801, 0)+1)),IF(INDEX(ERP資料!$G:$G, (MATCH(832, 輔助計算!$G$2:$G$801, 0)+1))&lt;100, IF(INDEX(ERP資料!$G:$G, (MATCH(832, 輔助計算!$G$2:$G$801, 0)+1))&lt;=31,3,IF(INDEX(ERP資料!$G:$G, (MATCH(832, 輔助計算!$G$2:$G$801, 0)+1))&lt;=46.5,2,1)), IF(INDEX(ERP資料!$G:$G, (MATCH(832, 輔助計算!$G$2:$G$801, 0)+1))&lt;=790,3,IF(INDEX(ERP資料!$G:$G, (MATCH(832, 輔助計算!$G$2:$G$801, 0)+1))&lt;=1181,2,1))))=2,TEXT(INDEX(ERP資料!$G:$G, (MATCH(832, 輔助計算!$G$2:$G$801, 0)+1)),"0.##")&amp;"+"&amp;TEXT(INDEX(ERP資料!$G:$G, (MATCH(832, 輔助計算!$G$2:$G$801, 0)+1)),"0.##"),TEXT(INDEX(ERP資料!$G:$G, (MATCH(832, 輔助計算!$G$2:$G$801, 0)+1)),"0.##")&amp;"+"&amp;TEXT(INDEX(ERP資料!$G:$G, (MATCH(832, 輔助計算!$G$2:$G$801, 0)+1)),"0.##")&amp;"+"&amp;TEXT(INDEX(ERP資料!$G:$G, (MATCH(832, 輔助計算!$G$2:$G$801, 0)+1)),"0.##"))))&amp;"-1")), ""), "")</f>
        <v/>
      </c>
      <c r="K833" s="16" t="n"/>
      <c r="L833" s="14">
        <f>IFERROR(IF(AND(IFERROR(INDEX(ERP資料!$A:$A, (MATCH(832, 輔助計算!$G$2:$G$801, 0)+1)), "")&lt;&gt;"", IFERROR(INDEX(ERP資料!$A:$A, (MATCH(832, 輔助計算!$G$2:$G$801, 0)+1)), "")&lt;&gt;IFERROR(INDEX(ERP資料!$A:$A, MATCH(831, 輔助計算!$G$2:$G$801, 0)+1), "")), INDEX(ERP資料!$B:$B, (MATCH(832, 輔助計算!$G$2:$G$801, 0)+1)), ""), "")</f>
        <v/>
      </c>
      <c r="M833" s="17" t="n"/>
    </row>
    <row r="834">
      <c r="A834" s="10">
        <f>IFERROR(IF(AND(IFERROR(INDEX(ERP資料!$A:$A, (MATCH(833, 輔助計算!$G$2:$G$801, 0)+1)), "")&lt;&gt;"", IFERROR(INDEX(ERP資料!$A:$A, (MATCH(833, 輔助計算!$G$2:$G$801, 0)+1)), "")&lt;&gt;IFERROR(INDEX(ERP資料!$A:$A, MATCH(832, 輔助計算!$G$2:$G$801, 0)+1), "")), IFERROR(INDEX(ERP資料!$A:$A, (MATCH(833, 輔助計算!$G$2:$G$801, 0)+1)), ""), ""), "")</f>
        <v/>
      </c>
      <c r="B834" s="10">
        <f>IFERROR(IF(AND(IFERROR(INDEX(ERP資料!$A:$A, (MATCH(833, 輔助計算!$G$2:$G$801, 0)+1)), "")&lt;&gt;"", IFERROR(INDEX(ERP資料!$A:$A, (MATCH(833, 輔助計算!$G$2:$G$801, 0)+1)), "")&lt;&gt;IFERROR(INDEX(ERP資料!$A:$A, MATCH(832, 輔助計算!$G$2:$G$801, 0)+1), "")), INDEX(ERP資料!$S:$S, (MATCH(833, 輔助計算!$G$2:$G$801, 0)+1)), ""), "")</f>
        <v/>
      </c>
      <c r="C834" s="19">
        <f>IFERROR(IF(AND(IFERROR(INDEX(ERP資料!$A:$A, (MATCH(833, 輔助計算!$G$2:$G$801, 0)+1)), "")&lt;&gt;"", IFERROR(INDEX(ERP資料!$A:$A, (MATCH(833, 輔助計算!$G$2:$G$801, 0)+1)), "")&lt;&gt;IFERROR(INDEX(ERP資料!$A:$A, MATCH(832, 輔助計算!$G$2:$G$801, 0)+1), "")), IFERROR(VLOOKUP(LEFT(INDEX(ERP資料!$S:$S, (MATCH(833, 輔助計算!$G$2:$G$801, 0)+1)), 4), 紙管對照表!$A:$C, 3, FALSE), ""), ""), "")</f>
        <v/>
      </c>
      <c r="D834" s="16" t="n"/>
      <c r="E834" s="10">
        <f>IFERROR(IF(INDEX(ERP資料!$H:$H, (MATCH(833, 輔助計算!$G$2:$G$801, 0)+1))="","",INDEX(ERP資料!$H:$H, (MATCH(833, 輔助計算!$G$2:$G$801, 0)+1))), "")</f>
        <v/>
      </c>
      <c r="F834" s="10">
        <f>IFERROR(IF(INDEX(ERP資料!$E:$E, (MATCH(833, 輔助計算!$G$2:$G$801, 0)+1))="","",TRIM(INDEX(ERP資料!$E:$E, (MATCH(833, 輔助計算!$G$2:$G$801, 0)+1)))), "")</f>
        <v/>
      </c>
      <c r="G834" s="10">
        <f>IFERROR(IF(INDEX(ERP資料!$F:$F, (MATCH(833, 輔助計算!$G$2:$G$801, 0)+1))="","",INDEX(ERP資料!$F:$F, (MATCH(833, 輔助計算!$G$2:$G$801, 0)+1))), "")</f>
        <v/>
      </c>
      <c r="H834" s="10">
        <f>IFERROR(IF(INDEX(ERP資料!$G:$G, (MATCH(833, 輔助計算!$G$2:$G$801, 0)+1))="","",INDEX(ERP資料!$G:$G, (MATCH(833, 輔助計算!$G$2:$G$801, 0)+1))), "")</f>
        <v/>
      </c>
      <c r="I834" s="15">
        <f>IFERROR(INDEX(輔助計算!$D:$D, (MATCH(833, 輔助計算!$G$2:$G$801, 0)+1)), "")</f>
        <v/>
      </c>
      <c r="J834" s="15">
        <f>IFERROR(IF(AND(INDEX(輔助計算!$D:$D, (MATCH(833, 輔助計算!$G$2:$G$801, 0)+1))&lt;&gt;"", INDEX(ERP資料!$G:$G, (MATCH(833, 輔助計算!$G$2:$G$801, 0)+1))&lt;&gt;""), TRIM(IF(INT(INDEX(輔助計算!$D:$D, (MATCH(833, 輔助計算!$G$2:$G$801, 0)+1))/IF(INDEX(ERP資料!$G:$G, (MATCH(833, 輔助計算!$G$2:$G$801, 0)+1))&lt;100, IF(INDEX(ERP資料!$G:$G, (MATCH(833, 輔助計算!$G$2:$G$801, 0)+1))&lt;=31,3,IF(INDEX(ERP資料!$G:$G, (MATCH(833, 輔助計算!$G$2:$G$801, 0)+1))&lt;=46.5,2,1)), IF(INDEX(ERP資料!$G:$G, (MATCH(833, 輔助計算!$G$2:$G$801, 0)+1))&lt;=790,3,IF(INDEX(ERP資料!$G:$G, (MATCH(833, 輔助計算!$G$2:$G$801, 0)+1))&lt;=1181,2,1))))&gt;0, IF(IF(INDEX(ERP資料!$G:$G, (MATCH(833, 輔助計算!$G$2:$G$801, 0)+1))&lt;100, IF(INDEX(ERP資料!$G:$G, (MATCH(833, 輔助計算!$G$2:$G$801, 0)+1))&lt;=31,3,IF(INDEX(ERP資料!$G:$G, (MATCH(833, 輔助計算!$G$2:$G$801, 0)+1))&lt;=46.5,2,1)), IF(INDEX(ERP資料!$G:$G, (MATCH(833, 輔助計算!$G$2:$G$801, 0)+1))&lt;=790,3,IF(INDEX(ERP資料!$G:$G, (MATCH(833, 輔助計算!$G$2:$G$801, 0)+1))&lt;=1181,2,1)))=1,TEXT(INDEX(ERP資料!$G:$G, (MATCH(833, 輔助計算!$G$2:$G$801, 0)+1)),"0.##"),IF(IF(INDEX(ERP資料!$G:$G, (MATCH(833, 輔助計算!$G$2:$G$801, 0)+1))&lt;100, IF(INDEX(ERP資料!$G:$G, (MATCH(833, 輔助計算!$G$2:$G$801, 0)+1))&lt;=31,3,IF(INDEX(ERP資料!$G:$G, (MATCH(833, 輔助計算!$G$2:$G$801, 0)+1))&lt;=46.5,2,1)), IF(INDEX(ERP資料!$G:$G, (MATCH(833, 輔助計算!$G$2:$G$801, 0)+1))&lt;=790,3,IF(INDEX(ERP資料!$G:$G, (MATCH(833, 輔助計算!$G$2:$G$801, 0)+1))&lt;=1181,2,1)))=2,TEXT(INDEX(ERP資料!$G:$G, (MATCH(833, 輔助計算!$G$2:$G$801, 0)+1)),"0.##")&amp;"+"&amp;TEXT(INDEX(ERP資料!$G:$G, (MATCH(833, 輔助計算!$G$2:$G$801, 0)+1)),"0.##"),TEXT(INDEX(ERP資料!$G:$G, (MATCH(833, 輔助計算!$G$2:$G$801, 0)+1)),"0.##")&amp;"+"&amp;TEXT(INDEX(ERP資料!$G:$G, (MATCH(833, 輔助計算!$G$2:$G$801, 0)+1)),"0.##")&amp;"+"&amp;TEXT(INDEX(ERP資料!$G:$G, (MATCH(833, 輔助計算!$G$2:$G$801, 0)+1)),"0.##")))&amp;"-"&amp;INT(INDEX(輔助計算!$D:$D, (MATCH(833, 輔助計算!$G$2:$G$801, 0)+1))/IF(INDEX(ERP資料!$G:$G, (MATCH(833, 輔助計算!$G$2:$G$801, 0)+1))&lt;100, IF(INDEX(ERP資料!$G:$G, (MATCH(833, 輔助計算!$G$2:$G$801, 0)+1))&lt;=31,3,IF(INDEX(ERP資料!$G:$G, (MATCH(833, 輔助計算!$G$2:$G$801, 0)+1))&lt;=46.5,2,1)), IF(INDEX(ERP資料!$G:$G, (MATCH(833, 輔助計算!$G$2:$G$801, 0)+1))&lt;=790,3,IF(INDEX(ERP資料!$G:$G, (MATCH(833, 輔助計算!$G$2:$G$801, 0)+1))&lt;=1181,2,1)))), "")&amp;IF(AND(IF(INT(INDEX(輔助計算!$D:$D, (MATCH(833, 輔助計算!$G$2:$G$801, 0)+1))/IF(INDEX(ERP資料!$G:$G, (MATCH(833, 輔助計算!$G$2:$G$801, 0)+1))&lt;100, IF(INDEX(ERP資料!$G:$G, (MATCH(833, 輔助計算!$G$2:$G$801, 0)+1))&lt;=31,3,IF(INDEX(ERP資料!$G:$G, (MATCH(833, 輔助計算!$G$2:$G$801, 0)+1))&lt;=46.5,2,1)), IF(INDEX(ERP資料!$G:$G, (MATCH(833, 輔助計算!$G$2:$G$801, 0)+1))&lt;=790,3,IF(INDEX(ERP資料!$G:$G, (MATCH(833, 輔助計算!$G$2:$G$801, 0)+1))&lt;=1181,2,1))))&gt;0, IF(IF(INDEX(ERP資料!$G:$G, (MATCH(833, 輔助計算!$G$2:$G$801, 0)+1))&lt;100, IF(INDEX(ERP資料!$G:$G, (MATCH(833, 輔助計算!$G$2:$G$801, 0)+1))&lt;=31,3,IF(INDEX(ERP資料!$G:$G, (MATCH(833, 輔助計算!$G$2:$G$801, 0)+1))&lt;=46.5,2,1)), IF(INDEX(ERP資料!$G:$G, (MATCH(833, 輔助計算!$G$2:$G$801, 0)+1))&lt;=790,3,IF(INDEX(ERP資料!$G:$G, (MATCH(833, 輔助計算!$G$2:$G$801, 0)+1))&lt;=1181,2,1)))=1,TEXT(INDEX(ERP資料!$G:$G, (MATCH(833, 輔助計算!$G$2:$G$801, 0)+1)),"0.##"),IF(IF(INDEX(ERP資料!$G:$G, (MATCH(833, 輔助計算!$G$2:$G$801, 0)+1))&lt;100, IF(INDEX(ERP資料!$G:$G, (MATCH(833, 輔助計算!$G$2:$G$801, 0)+1))&lt;=31,3,IF(INDEX(ERP資料!$G:$G, (MATCH(833, 輔助計算!$G$2:$G$801, 0)+1))&lt;=46.5,2,1)), IF(INDEX(ERP資料!$G:$G, (MATCH(833, 輔助計算!$G$2:$G$801, 0)+1))&lt;=790,3,IF(INDEX(ERP資料!$G:$G, (MATCH(833, 輔助計算!$G$2:$G$801, 0)+1))&lt;=1181,2,1)))=2,TEXT(INDEX(ERP資料!$G:$G, (MATCH(833, 輔助計算!$G$2:$G$801, 0)+1)),"0.##")&amp;"+"&amp;TEXT(INDEX(ERP資料!$G:$G, (MATCH(833, 輔助計算!$G$2:$G$801, 0)+1)),"0.##"),TEXT(INDEX(ERP資料!$G:$G, (MATCH(833, 輔助計算!$G$2:$G$801, 0)+1)),"0.##")&amp;"+"&amp;TEXT(INDEX(ERP資料!$G:$G, (MATCH(833, 輔助計算!$G$2:$G$801, 0)+1)),"0.##")&amp;"+"&amp;TEXT(INDEX(ERP資料!$G:$G, (MATCH(833, 輔助計算!$G$2:$G$801, 0)+1)),"0.##")))&amp;"-"&amp;INT(INDEX(輔助計算!$D:$D, (MATCH(833, 輔助計算!$G$2:$G$801, 0)+1))/IF(INDEX(ERP資料!$G:$G, (MATCH(833, 輔助計算!$G$2:$G$801, 0)+1))&lt;100, IF(INDEX(ERP資料!$G:$G, (MATCH(833, 輔助計算!$G$2:$G$801, 0)+1))&lt;=31,3,IF(INDEX(ERP資料!$G:$G, (MATCH(833, 輔助計算!$G$2:$G$801, 0)+1))&lt;=46.5,2,1)), IF(INDEX(ERP資料!$G:$G, (MATCH(833, 輔助計算!$G$2:$G$801, 0)+1))&lt;=790,3,IF(INDEX(ERP資料!$G:$G, (MATCH(833, 輔助計算!$G$2:$G$801, 0)+1))&lt;=1181,2,1)))), "")&lt;&gt;"",IF(MOD(INDEX(輔助計算!$D:$D, (MATCH(833, 輔助計算!$G$2:$G$801, 0)+1)),IF(INDEX(ERP資料!$G:$G, (MATCH(833, 輔助計算!$G$2:$G$801, 0)+1))&lt;100, IF(INDEX(ERP資料!$G:$G, (MATCH(833, 輔助計算!$G$2:$G$801, 0)+1))&lt;=31,3,IF(INDEX(ERP資料!$G:$G, (MATCH(833, 輔助計算!$G$2:$G$801, 0)+1))&lt;=46.5,2,1)), IF(INDEX(ERP資料!$G:$G, (MATCH(833, 輔助計算!$G$2:$G$801, 0)+1))&lt;=790,3,IF(INDEX(ERP資料!$G:$G, (MATCH(833, 輔助計算!$G$2:$G$801, 0)+1))&lt;=1181,2,1))))=0,"",IF(MOD(INDEX(輔助計算!$D:$D, (MATCH(833, 輔助計算!$G$2:$G$801, 0)+1)),IF(INDEX(ERP資料!$G:$G, (MATCH(833, 輔助計算!$G$2:$G$801, 0)+1))&lt;100, IF(INDEX(ERP資料!$G:$G, (MATCH(833, 輔助計算!$G$2:$G$801, 0)+1))&lt;=31,3,IF(INDEX(ERP資料!$G:$G, (MATCH(833, 輔助計算!$G$2:$G$801, 0)+1))&lt;=46.5,2,1)), IF(INDEX(ERP資料!$G:$G, (MATCH(833, 輔助計算!$G$2:$G$801, 0)+1))&lt;=790,3,IF(INDEX(ERP資料!$G:$G, (MATCH(833, 輔助計算!$G$2:$G$801, 0)+1))&lt;=1181,2,1))))=0,"",IF(MOD(INDEX(輔助計算!$D:$D, (MATCH(833, 輔助計算!$G$2:$G$801, 0)+1)),IF(INDEX(ERP資料!$G:$G, (MATCH(833, 輔助計算!$G$2:$G$801, 0)+1))&lt;100, IF(INDEX(ERP資料!$G:$G, (MATCH(833, 輔助計算!$G$2:$G$801, 0)+1))&lt;=31,3,IF(INDEX(ERP資料!$G:$G, (MATCH(833, 輔助計算!$G$2:$G$801, 0)+1))&lt;=46.5,2,1)), IF(INDEX(ERP資料!$G:$G, (MATCH(833, 輔助計算!$G$2:$G$801, 0)+1))&lt;=790,3,IF(INDEX(ERP資料!$G:$G, (MATCH(833, 輔助計算!$G$2:$G$801, 0)+1))&lt;=1181,2,1))))=1,TEXT(INDEX(ERP資料!$G:$G, (MATCH(833, 輔助計算!$G$2:$G$801, 0)+1)),"0.##"),IF(MOD(INDEX(輔助計算!$D:$D, (MATCH(833, 輔助計算!$G$2:$G$801, 0)+1)),IF(INDEX(ERP資料!$G:$G, (MATCH(833, 輔助計算!$G$2:$G$801, 0)+1))&lt;100, IF(INDEX(ERP資料!$G:$G, (MATCH(833, 輔助計算!$G$2:$G$801, 0)+1))&lt;=31,3,IF(INDEX(ERP資料!$G:$G, (MATCH(833, 輔助計算!$G$2:$G$801, 0)+1))&lt;=46.5,2,1)), IF(INDEX(ERP資料!$G:$G, (MATCH(833, 輔助計算!$G$2:$G$801, 0)+1))&lt;=790,3,IF(INDEX(ERP資料!$G:$G, (MATCH(833, 輔助計算!$G$2:$G$801, 0)+1))&lt;=1181,2,1))))=2,TEXT(INDEX(ERP資料!$G:$G, (MATCH(833, 輔助計算!$G$2:$G$801, 0)+1)),"0.##")&amp;"+"&amp;TEXT(INDEX(ERP資料!$G:$G, (MATCH(833, 輔助計算!$G$2:$G$801, 0)+1)),"0.##"),TEXT(INDEX(ERP資料!$G:$G, (MATCH(833, 輔助計算!$G$2:$G$801, 0)+1)),"0.##")&amp;"+"&amp;TEXT(INDEX(ERP資料!$G:$G, (MATCH(833, 輔助計算!$G$2:$G$801, 0)+1)),"0.##")&amp;"+"&amp;TEXT(INDEX(ERP資料!$G:$G, (MATCH(833, 輔助計算!$G$2:$G$801, 0)+1)),"0.##"))))&amp;"-1")&lt;&gt;""),"  ","")&amp;IF(MOD(INDEX(輔助計算!$D:$D, (MATCH(833, 輔助計算!$G$2:$G$801, 0)+1)),IF(INDEX(ERP資料!$G:$G, (MATCH(833, 輔助計算!$G$2:$G$801, 0)+1))&lt;100, IF(INDEX(ERP資料!$G:$G, (MATCH(833, 輔助計算!$G$2:$G$801, 0)+1))&lt;=31,3,IF(INDEX(ERP資料!$G:$G, (MATCH(833, 輔助計算!$G$2:$G$801, 0)+1))&lt;=46.5,2,1)), IF(INDEX(ERP資料!$G:$G, (MATCH(833, 輔助計算!$G$2:$G$801, 0)+1))&lt;=790,3,IF(INDEX(ERP資料!$G:$G, (MATCH(833, 輔助計算!$G$2:$G$801, 0)+1))&lt;=1181,2,1))))=0,"",IF(MOD(INDEX(輔助計算!$D:$D, (MATCH(833, 輔助計算!$G$2:$G$801, 0)+1)),IF(INDEX(ERP資料!$G:$G, (MATCH(833, 輔助計算!$G$2:$G$801, 0)+1))&lt;100, IF(INDEX(ERP資料!$G:$G, (MATCH(833, 輔助計算!$G$2:$G$801, 0)+1))&lt;=31,3,IF(INDEX(ERP資料!$G:$G, (MATCH(833, 輔助計算!$G$2:$G$801, 0)+1))&lt;=46.5,2,1)), IF(INDEX(ERP資料!$G:$G, (MATCH(833, 輔助計算!$G$2:$G$801, 0)+1))&lt;=790,3,IF(INDEX(ERP資料!$G:$G, (MATCH(833, 輔助計算!$G$2:$G$801, 0)+1))&lt;=1181,2,1))))=0,"",IF(MOD(INDEX(輔助計算!$D:$D, (MATCH(833, 輔助計算!$G$2:$G$801, 0)+1)),IF(INDEX(ERP資料!$G:$G, (MATCH(833, 輔助計算!$G$2:$G$801, 0)+1))&lt;100, IF(INDEX(ERP資料!$G:$G, (MATCH(833, 輔助計算!$G$2:$G$801, 0)+1))&lt;=31,3,IF(INDEX(ERP資料!$G:$G, (MATCH(833, 輔助計算!$G$2:$G$801, 0)+1))&lt;=46.5,2,1)), IF(INDEX(ERP資料!$G:$G, (MATCH(833, 輔助計算!$G$2:$G$801, 0)+1))&lt;=790,3,IF(INDEX(ERP資料!$G:$G, (MATCH(833, 輔助計算!$G$2:$G$801, 0)+1))&lt;=1181,2,1))))=1,TEXT(INDEX(ERP資料!$G:$G, (MATCH(833, 輔助計算!$G$2:$G$801, 0)+1)),"0.##"),IF(MOD(INDEX(輔助計算!$D:$D, (MATCH(833, 輔助計算!$G$2:$G$801, 0)+1)),IF(INDEX(ERP資料!$G:$G, (MATCH(833, 輔助計算!$G$2:$G$801, 0)+1))&lt;100, IF(INDEX(ERP資料!$G:$G, (MATCH(833, 輔助計算!$G$2:$G$801, 0)+1))&lt;=31,3,IF(INDEX(ERP資料!$G:$G, (MATCH(833, 輔助計算!$G$2:$G$801, 0)+1))&lt;=46.5,2,1)), IF(INDEX(ERP資料!$G:$G, (MATCH(833, 輔助計算!$G$2:$G$801, 0)+1))&lt;=790,3,IF(INDEX(ERP資料!$G:$G, (MATCH(833, 輔助計算!$G$2:$G$801, 0)+1))&lt;=1181,2,1))))=2,TEXT(INDEX(ERP資料!$G:$G, (MATCH(833, 輔助計算!$G$2:$G$801, 0)+1)),"0.##")&amp;"+"&amp;TEXT(INDEX(ERP資料!$G:$G, (MATCH(833, 輔助計算!$G$2:$G$801, 0)+1)),"0.##"),TEXT(INDEX(ERP資料!$G:$G, (MATCH(833, 輔助計算!$G$2:$G$801, 0)+1)),"0.##")&amp;"+"&amp;TEXT(INDEX(ERP資料!$G:$G, (MATCH(833, 輔助計算!$G$2:$G$801, 0)+1)),"0.##")&amp;"+"&amp;TEXT(INDEX(ERP資料!$G:$G, (MATCH(833, 輔助計算!$G$2:$G$801, 0)+1)),"0.##"))))&amp;"-1")), ""), "")</f>
        <v/>
      </c>
      <c r="K834" s="16" t="n"/>
      <c r="L834" s="14">
        <f>IFERROR(IF(AND(IFERROR(INDEX(ERP資料!$A:$A, (MATCH(833, 輔助計算!$G$2:$G$801, 0)+1)), "")&lt;&gt;"", IFERROR(INDEX(ERP資料!$A:$A, (MATCH(833, 輔助計算!$G$2:$G$801, 0)+1)), "")&lt;&gt;IFERROR(INDEX(ERP資料!$A:$A, MATCH(832, 輔助計算!$G$2:$G$801, 0)+1), "")), INDEX(ERP資料!$B:$B, (MATCH(833, 輔助計算!$G$2:$G$801, 0)+1)), ""), "")</f>
        <v/>
      </c>
      <c r="M834" s="17" t="n"/>
    </row>
    <row r="835">
      <c r="A835" s="10">
        <f>IFERROR(IF(AND(IFERROR(INDEX(ERP資料!$A:$A, (MATCH(834, 輔助計算!$G$2:$G$801, 0)+1)), "")&lt;&gt;"", IFERROR(INDEX(ERP資料!$A:$A, (MATCH(834, 輔助計算!$G$2:$G$801, 0)+1)), "")&lt;&gt;IFERROR(INDEX(ERP資料!$A:$A, MATCH(833, 輔助計算!$G$2:$G$801, 0)+1), "")), IFERROR(INDEX(ERP資料!$A:$A, (MATCH(834, 輔助計算!$G$2:$G$801, 0)+1)), ""), ""), "")</f>
        <v/>
      </c>
      <c r="B835" s="10">
        <f>IFERROR(IF(AND(IFERROR(INDEX(ERP資料!$A:$A, (MATCH(834, 輔助計算!$G$2:$G$801, 0)+1)), "")&lt;&gt;"", IFERROR(INDEX(ERP資料!$A:$A, (MATCH(834, 輔助計算!$G$2:$G$801, 0)+1)), "")&lt;&gt;IFERROR(INDEX(ERP資料!$A:$A, MATCH(833, 輔助計算!$G$2:$G$801, 0)+1), "")), INDEX(ERP資料!$S:$S, (MATCH(834, 輔助計算!$G$2:$G$801, 0)+1)), ""), "")</f>
        <v/>
      </c>
      <c r="C835" s="19">
        <f>IFERROR(IF(AND(IFERROR(INDEX(ERP資料!$A:$A, (MATCH(834, 輔助計算!$G$2:$G$801, 0)+1)), "")&lt;&gt;"", IFERROR(INDEX(ERP資料!$A:$A, (MATCH(834, 輔助計算!$G$2:$G$801, 0)+1)), "")&lt;&gt;IFERROR(INDEX(ERP資料!$A:$A, MATCH(833, 輔助計算!$G$2:$G$801, 0)+1), "")), IFERROR(VLOOKUP(LEFT(INDEX(ERP資料!$S:$S, (MATCH(834, 輔助計算!$G$2:$G$801, 0)+1)), 4), 紙管對照表!$A:$C, 3, FALSE), ""), ""), "")</f>
        <v/>
      </c>
      <c r="D835" s="16" t="n"/>
      <c r="E835" s="10">
        <f>IFERROR(IF(INDEX(ERP資料!$H:$H, (MATCH(834, 輔助計算!$G$2:$G$801, 0)+1))="","",INDEX(ERP資料!$H:$H, (MATCH(834, 輔助計算!$G$2:$G$801, 0)+1))), "")</f>
        <v/>
      </c>
      <c r="F835" s="10">
        <f>IFERROR(IF(INDEX(ERP資料!$E:$E, (MATCH(834, 輔助計算!$G$2:$G$801, 0)+1))="","",TRIM(INDEX(ERP資料!$E:$E, (MATCH(834, 輔助計算!$G$2:$G$801, 0)+1)))), "")</f>
        <v/>
      </c>
      <c r="G835" s="10">
        <f>IFERROR(IF(INDEX(ERP資料!$F:$F, (MATCH(834, 輔助計算!$G$2:$G$801, 0)+1))="","",INDEX(ERP資料!$F:$F, (MATCH(834, 輔助計算!$G$2:$G$801, 0)+1))), "")</f>
        <v/>
      </c>
      <c r="H835" s="10">
        <f>IFERROR(IF(INDEX(ERP資料!$G:$G, (MATCH(834, 輔助計算!$G$2:$G$801, 0)+1))="","",INDEX(ERP資料!$G:$G, (MATCH(834, 輔助計算!$G$2:$G$801, 0)+1))), "")</f>
        <v/>
      </c>
      <c r="I835" s="15">
        <f>IFERROR(INDEX(輔助計算!$D:$D, (MATCH(834, 輔助計算!$G$2:$G$801, 0)+1)), "")</f>
        <v/>
      </c>
      <c r="J835" s="15">
        <f>IFERROR(IF(AND(INDEX(輔助計算!$D:$D, (MATCH(834, 輔助計算!$G$2:$G$801, 0)+1))&lt;&gt;"", INDEX(ERP資料!$G:$G, (MATCH(834, 輔助計算!$G$2:$G$801, 0)+1))&lt;&gt;""), TRIM(IF(INT(INDEX(輔助計算!$D:$D, (MATCH(834, 輔助計算!$G$2:$G$801, 0)+1))/IF(INDEX(ERP資料!$G:$G, (MATCH(834, 輔助計算!$G$2:$G$801, 0)+1))&lt;100, IF(INDEX(ERP資料!$G:$G, (MATCH(834, 輔助計算!$G$2:$G$801, 0)+1))&lt;=31,3,IF(INDEX(ERP資料!$G:$G, (MATCH(834, 輔助計算!$G$2:$G$801, 0)+1))&lt;=46.5,2,1)), IF(INDEX(ERP資料!$G:$G, (MATCH(834, 輔助計算!$G$2:$G$801, 0)+1))&lt;=790,3,IF(INDEX(ERP資料!$G:$G, (MATCH(834, 輔助計算!$G$2:$G$801, 0)+1))&lt;=1181,2,1))))&gt;0, IF(IF(INDEX(ERP資料!$G:$G, (MATCH(834, 輔助計算!$G$2:$G$801, 0)+1))&lt;100, IF(INDEX(ERP資料!$G:$G, (MATCH(834, 輔助計算!$G$2:$G$801, 0)+1))&lt;=31,3,IF(INDEX(ERP資料!$G:$G, (MATCH(834, 輔助計算!$G$2:$G$801, 0)+1))&lt;=46.5,2,1)), IF(INDEX(ERP資料!$G:$G, (MATCH(834, 輔助計算!$G$2:$G$801, 0)+1))&lt;=790,3,IF(INDEX(ERP資料!$G:$G, (MATCH(834, 輔助計算!$G$2:$G$801, 0)+1))&lt;=1181,2,1)))=1,TEXT(INDEX(ERP資料!$G:$G, (MATCH(834, 輔助計算!$G$2:$G$801, 0)+1)),"0.##"),IF(IF(INDEX(ERP資料!$G:$G, (MATCH(834, 輔助計算!$G$2:$G$801, 0)+1))&lt;100, IF(INDEX(ERP資料!$G:$G, (MATCH(834, 輔助計算!$G$2:$G$801, 0)+1))&lt;=31,3,IF(INDEX(ERP資料!$G:$G, (MATCH(834, 輔助計算!$G$2:$G$801, 0)+1))&lt;=46.5,2,1)), IF(INDEX(ERP資料!$G:$G, (MATCH(834, 輔助計算!$G$2:$G$801, 0)+1))&lt;=790,3,IF(INDEX(ERP資料!$G:$G, (MATCH(834, 輔助計算!$G$2:$G$801, 0)+1))&lt;=1181,2,1)))=2,TEXT(INDEX(ERP資料!$G:$G, (MATCH(834, 輔助計算!$G$2:$G$801, 0)+1)),"0.##")&amp;"+"&amp;TEXT(INDEX(ERP資料!$G:$G, (MATCH(834, 輔助計算!$G$2:$G$801, 0)+1)),"0.##"),TEXT(INDEX(ERP資料!$G:$G, (MATCH(834, 輔助計算!$G$2:$G$801, 0)+1)),"0.##")&amp;"+"&amp;TEXT(INDEX(ERP資料!$G:$G, (MATCH(834, 輔助計算!$G$2:$G$801, 0)+1)),"0.##")&amp;"+"&amp;TEXT(INDEX(ERP資料!$G:$G, (MATCH(834, 輔助計算!$G$2:$G$801, 0)+1)),"0.##")))&amp;"-"&amp;INT(INDEX(輔助計算!$D:$D, (MATCH(834, 輔助計算!$G$2:$G$801, 0)+1))/IF(INDEX(ERP資料!$G:$G, (MATCH(834, 輔助計算!$G$2:$G$801, 0)+1))&lt;100, IF(INDEX(ERP資料!$G:$G, (MATCH(834, 輔助計算!$G$2:$G$801, 0)+1))&lt;=31,3,IF(INDEX(ERP資料!$G:$G, (MATCH(834, 輔助計算!$G$2:$G$801, 0)+1))&lt;=46.5,2,1)), IF(INDEX(ERP資料!$G:$G, (MATCH(834, 輔助計算!$G$2:$G$801, 0)+1))&lt;=790,3,IF(INDEX(ERP資料!$G:$G, (MATCH(834, 輔助計算!$G$2:$G$801, 0)+1))&lt;=1181,2,1)))), "")&amp;IF(AND(IF(INT(INDEX(輔助計算!$D:$D, (MATCH(834, 輔助計算!$G$2:$G$801, 0)+1))/IF(INDEX(ERP資料!$G:$G, (MATCH(834, 輔助計算!$G$2:$G$801, 0)+1))&lt;100, IF(INDEX(ERP資料!$G:$G, (MATCH(834, 輔助計算!$G$2:$G$801, 0)+1))&lt;=31,3,IF(INDEX(ERP資料!$G:$G, (MATCH(834, 輔助計算!$G$2:$G$801, 0)+1))&lt;=46.5,2,1)), IF(INDEX(ERP資料!$G:$G, (MATCH(834, 輔助計算!$G$2:$G$801, 0)+1))&lt;=790,3,IF(INDEX(ERP資料!$G:$G, (MATCH(834, 輔助計算!$G$2:$G$801, 0)+1))&lt;=1181,2,1))))&gt;0, IF(IF(INDEX(ERP資料!$G:$G, (MATCH(834, 輔助計算!$G$2:$G$801, 0)+1))&lt;100, IF(INDEX(ERP資料!$G:$G, (MATCH(834, 輔助計算!$G$2:$G$801, 0)+1))&lt;=31,3,IF(INDEX(ERP資料!$G:$G, (MATCH(834, 輔助計算!$G$2:$G$801, 0)+1))&lt;=46.5,2,1)), IF(INDEX(ERP資料!$G:$G, (MATCH(834, 輔助計算!$G$2:$G$801, 0)+1))&lt;=790,3,IF(INDEX(ERP資料!$G:$G, (MATCH(834, 輔助計算!$G$2:$G$801, 0)+1))&lt;=1181,2,1)))=1,TEXT(INDEX(ERP資料!$G:$G, (MATCH(834, 輔助計算!$G$2:$G$801, 0)+1)),"0.##"),IF(IF(INDEX(ERP資料!$G:$G, (MATCH(834, 輔助計算!$G$2:$G$801, 0)+1))&lt;100, IF(INDEX(ERP資料!$G:$G, (MATCH(834, 輔助計算!$G$2:$G$801, 0)+1))&lt;=31,3,IF(INDEX(ERP資料!$G:$G, (MATCH(834, 輔助計算!$G$2:$G$801, 0)+1))&lt;=46.5,2,1)), IF(INDEX(ERP資料!$G:$G, (MATCH(834, 輔助計算!$G$2:$G$801, 0)+1))&lt;=790,3,IF(INDEX(ERP資料!$G:$G, (MATCH(834, 輔助計算!$G$2:$G$801, 0)+1))&lt;=1181,2,1)))=2,TEXT(INDEX(ERP資料!$G:$G, (MATCH(834, 輔助計算!$G$2:$G$801, 0)+1)),"0.##")&amp;"+"&amp;TEXT(INDEX(ERP資料!$G:$G, (MATCH(834, 輔助計算!$G$2:$G$801, 0)+1)),"0.##"),TEXT(INDEX(ERP資料!$G:$G, (MATCH(834, 輔助計算!$G$2:$G$801, 0)+1)),"0.##")&amp;"+"&amp;TEXT(INDEX(ERP資料!$G:$G, (MATCH(834, 輔助計算!$G$2:$G$801, 0)+1)),"0.##")&amp;"+"&amp;TEXT(INDEX(ERP資料!$G:$G, (MATCH(834, 輔助計算!$G$2:$G$801, 0)+1)),"0.##")))&amp;"-"&amp;INT(INDEX(輔助計算!$D:$D, (MATCH(834, 輔助計算!$G$2:$G$801, 0)+1))/IF(INDEX(ERP資料!$G:$G, (MATCH(834, 輔助計算!$G$2:$G$801, 0)+1))&lt;100, IF(INDEX(ERP資料!$G:$G, (MATCH(834, 輔助計算!$G$2:$G$801, 0)+1))&lt;=31,3,IF(INDEX(ERP資料!$G:$G, (MATCH(834, 輔助計算!$G$2:$G$801, 0)+1))&lt;=46.5,2,1)), IF(INDEX(ERP資料!$G:$G, (MATCH(834, 輔助計算!$G$2:$G$801, 0)+1))&lt;=790,3,IF(INDEX(ERP資料!$G:$G, (MATCH(834, 輔助計算!$G$2:$G$801, 0)+1))&lt;=1181,2,1)))), "")&lt;&gt;"",IF(MOD(INDEX(輔助計算!$D:$D, (MATCH(834, 輔助計算!$G$2:$G$801, 0)+1)),IF(INDEX(ERP資料!$G:$G, (MATCH(834, 輔助計算!$G$2:$G$801, 0)+1))&lt;100, IF(INDEX(ERP資料!$G:$G, (MATCH(834, 輔助計算!$G$2:$G$801, 0)+1))&lt;=31,3,IF(INDEX(ERP資料!$G:$G, (MATCH(834, 輔助計算!$G$2:$G$801, 0)+1))&lt;=46.5,2,1)), IF(INDEX(ERP資料!$G:$G, (MATCH(834, 輔助計算!$G$2:$G$801, 0)+1))&lt;=790,3,IF(INDEX(ERP資料!$G:$G, (MATCH(834, 輔助計算!$G$2:$G$801, 0)+1))&lt;=1181,2,1))))=0,"",IF(MOD(INDEX(輔助計算!$D:$D, (MATCH(834, 輔助計算!$G$2:$G$801, 0)+1)),IF(INDEX(ERP資料!$G:$G, (MATCH(834, 輔助計算!$G$2:$G$801, 0)+1))&lt;100, IF(INDEX(ERP資料!$G:$G, (MATCH(834, 輔助計算!$G$2:$G$801, 0)+1))&lt;=31,3,IF(INDEX(ERP資料!$G:$G, (MATCH(834, 輔助計算!$G$2:$G$801, 0)+1))&lt;=46.5,2,1)), IF(INDEX(ERP資料!$G:$G, (MATCH(834, 輔助計算!$G$2:$G$801, 0)+1))&lt;=790,3,IF(INDEX(ERP資料!$G:$G, (MATCH(834, 輔助計算!$G$2:$G$801, 0)+1))&lt;=1181,2,1))))=0,"",IF(MOD(INDEX(輔助計算!$D:$D, (MATCH(834, 輔助計算!$G$2:$G$801, 0)+1)),IF(INDEX(ERP資料!$G:$G, (MATCH(834, 輔助計算!$G$2:$G$801, 0)+1))&lt;100, IF(INDEX(ERP資料!$G:$G, (MATCH(834, 輔助計算!$G$2:$G$801, 0)+1))&lt;=31,3,IF(INDEX(ERP資料!$G:$G, (MATCH(834, 輔助計算!$G$2:$G$801, 0)+1))&lt;=46.5,2,1)), IF(INDEX(ERP資料!$G:$G, (MATCH(834, 輔助計算!$G$2:$G$801, 0)+1))&lt;=790,3,IF(INDEX(ERP資料!$G:$G, (MATCH(834, 輔助計算!$G$2:$G$801, 0)+1))&lt;=1181,2,1))))=1,TEXT(INDEX(ERP資料!$G:$G, (MATCH(834, 輔助計算!$G$2:$G$801, 0)+1)),"0.##"),IF(MOD(INDEX(輔助計算!$D:$D, (MATCH(834, 輔助計算!$G$2:$G$801, 0)+1)),IF(INDEX(ERP資料!$G:$G, (MATCH(834, 輔助計算!$G$2:$G$801, 0)+1))&lt;100, IF(INDEX(ERP資料!$G:$G, (MATCH(834, 輔助計算!$G$2:$G$801, 0)+1))&lt;=31,3,IF(INDEX(ERP資料!$G:$G, (MATCH(834, 輔助計算!$G$2:$G$801, 0)+1))&lt;=46.5,2,1)), IF(INDEX(ERP資料!$G:$G, (MATCH(834, 輔助計算!$G$2:$G$801, 0)+1))&lt;=790,3,IF(INDEX(ERP資料!$G:$G, (MATCH(834, 輔助計算!$G$2:$G$801, 0)+1))&lt;=1181,2,1))))=2,TEXT(INDEX(ERP資料!$G:$G, (MATCH(834, 輔助計算!$G$2:$G$801, 0)+1)),"0.##")&amp;"+"&amp;TEXT(INDEX(ERP資料!$G:$G, (MATCH(834, 輔助計算!$G$2:$G$801, 0)+1)),"0.##"),TEXT(INDEX(ERP資料!$G:$G, (MATCH(834, 輔助計算!$G$2:$G$801, 0)+1)),"0.##")&amp;"+"&amp;TEXT(INDEX(ERP資料!$G:$G, (MATCH(834, 輔助計算!$G$2:$G$801, 0)+1)),"0.##")&amp;"+"&amp;TEXT(INDEX(ERP資料!$G:$G, (MATCH(834, 輔助計算!$G$2:$G$801, 0)+1)),"0.##"))))&amp;"-1")&lt;&gt;""),"  ","")&amp;IF(MOD(INDEX(輔助計算!$D:$D, (MATCH(834, 輔助計算!$G$2:$G$801, 0)+1)),IF(INDEX(ERP資料!$G:$G, (MATCH(834, 輔助計算!$G$2:$G$801, 0)+1))&lt;100, IF(INDEX(ERP資料!$G:$G, (MATCH(834, 輔助計算!$G$2:$G$801, 0)+1))&lt;=31,3,IF(INDEX(ERP資料!$G:$G, (MATCH(834, 輔助計算!$G$2:$G$801, 0)+1))&lt;=46.5,2,1)), IF(INDEX(ERP資料!$G:$G, (MATCH(834, 輔助計算!$G$2:$G$801, 0)+1))&lt;=790,3,IF(INDEX(ERP資料!$G:$G, (MATCH(834, 輔助計算!$G$2:$G$801, 0)+1))&lt;=1181,2,1))))=0,"",IF(MOD(INDEX(輔助計算!$D:$D, (MATCH(834, 輔助計算!$G$2:$G$801, 0)+1)),IF(INDEX(ERP資料!$G:$G, (MATCH(834, 輔助計算!$G$2:$G$801, 0)+1))&lt;100, IF(INDEX(ERP資料!$G:$G, (MATCH(834, 輔助計算!$G$2:$G$801, 0)+1))&lt;=31,3,IF(INDEX(ERP資料!$G:$G, (MATCH(834, 輔助計算!$G$2:$G$801, 0)+1))&lt;=46.5,2,1)), IF(INDEX(ERP資料!$G:$G, (MATCH(834, 輔助計算!$G$2:$G$801, 0)+1))&lt;=790,3,IF(INDEX(ERP資料!$G:$G, (MATCH(834, 輔助計算!$G$2:$G$801, 0)+1))&lt;=1181,2,1))))=0,"",IF(MOD(INDEX(輔助計算!$D:$D, (MATCH(834, 輔助計算!$G$2:$G$801, 0)+1)),IF(INDEX(ERP資料!$G:$G, (MATCH(834, 輔助計算!$G$2:$G$801, 0)+1))&lt;100, IF(INDEX(ERP資料!$G:$G, (MATCH(834, 輔助計算!$G$2:$G$801, 0)+1))&lt;=31,3,IF(INDEX(ERP資料!$G:$G, (MATCH(834, 輔助計算!$G$2:$G$801, 0)+1))&lt;=46.5,2,1)), IF(INDEX(ERP資料!$G:$G, (MATCH(834, 輔助計算!$G$2:$G$801, 0)+1))&lt;=790,3,IF(INDEX(ERP資料!$G:$G, (MATCH(834, 輔助計算!$G$2:$G$801, 0)+1))&lt;=1181,2,1))))=1,TEXT(INDEX(ERP資料!$G:$G, (MATCH(834, 輔助計算!$G$2:$G$801, 0)+1)),"0.##"),IF(MOD(INDEX(輔助計算!$D:$D, (MATCH(834, 輔助計算!$G$2:$G$801, 0)+1)),IF(INDEX(ERP資料!$G:$G, (MATCH(834, 輔助計算!$G$2:$G$801, 0)+1))&lt;100, IF(INDEX(ERP資料!$G:$G, (MATCH(834, 輔助計算!$G$2:$G$801, 0)+1))&lt;=31,3,IF(INDEX(ERP資料!$G:$G, (MATCH(834, 輔助計算!$G$2:$G$801, 0)+1))&lt;=46.5,2,1)), IF(INDEX(ERP資料!$G:$G, (MATCH(834, 輔助計算!$G$2:$G$801, 0)+1))&lt;=790,3,IF(INDEX(ERP資料!$G:$G, (MATCH(834, 輔助計算!$G$2:$G$801, 0)+1))&lt;=1181,2,1))))=2,TEXT(INDEX(ERP資料!$G:$G, (MATCH(834, 輔助計算!$G$2:$G$801, 0)+1)),"0.##")&amp;"+"&amp;TEXT(INDEX(ERP資料!$G:$G, (MATCH(834, 輔助計算!$G$2:$G$801, 0)+1)),"0.##"),TEXT(INDEX(ERP資料!$G:$G, (MATCH(834, 輔助計算!$G$2:$G$801, 0)+1)),"0.##")&amp;"+"&amp;TEXT(INDEX(ERP資料!$G:$G, (MATCH(834, 輔助計算!$G$2:$G$801, 0)+1)),"0.##")&amp;"+"&amp;TEXT(INDEX(ERP資料!$G:$G, (MATCH(834, 輔助計算!$G$2:$G$801, 0)+1)),"0.##"))))&amp;"-1")), ""), "")</f>
        <v/>
      </c>
      <c r="K835" s="16" t="n"/>
      <c r="L835" s="14">
        <f>IFERROR(IF(AND(IFERROR(INDEX(ERP資料!$A:$A, (MATCH(834, 輔助計算!$G$2:$G$801, 0)+1)), "")&lt;&gt;"", IFERROR(INDEX(ERP資料!$A:$A, (MATCH(834, 輔助計算!$G$2:$G$801, 0)+1)), "")&lt;&gt;IFERROR(INDEX(ERP資料!$A:$A, MATCH(833, 輔助計算!$G$2:$G$801, 0)+1), "")), INDEX(ERP資料!$B:$B, (MATCH(834, 輔助計算!$G$2:$G$801, 0)+1)), ""), "")</f>
        <v/>
      </c>
      <c r="M835" s="17" t="n"/>
    </row>
    <row r="836">
      <c r="A836" s="10">
        <f>IFERROR(IF(AND(IFERROR(INDEX(ERP資料!$A:$A, (MATCH(835, 輔助計算!$G$2:$G$801, 0)+1)), "")&lt;&gt;"", IFERROR(INDEX(ERP資料!$A:$A, (MATCH(835, 輔助計算!$G$2:$G$801, 0)+1)), "")&lt;&gt;IFERROR(INDEX(ERP資料!$A:$A, MATCH(834, 輔助計算!$G$2:$G$801, 0)+1), "")), IFERROR(INDEX(ERP資料!$A:$A, (MATCH(835, 輔助計算!$G$2:$G$801, 0)+1)), ""), ""), "")</f>
        <v/>
      </c>
      <c r="B836" s="10">
        <f>IFERROR(IF(AND(IFERROR(INDEX(ERP資料!$A:$A, (MATCH(835, 輔助計算!$G$2:$G$801, 0)+1)), "")&lt;&gt;"", IFERROR(INDEX(ERP資料!$A:$A, (MATCH(835, 輔助計算!$G$2:$G$801, 0)+1)), "")&lt;&gt;IFERROR(INDEX(ERP資料!$A:$A, MATCH(834, 輔助計算!$G$2:$G$801, 0)+1), "")), INDEX(ERP資料!$S:$S, (MATCH(835, 輔助計算!$G$2:$G$801, 0)+1)), ""), "")</f>
        <v/>
      </c>
      <c r="C836" s="19">
        <f>IFERROR(IF(AND(IFERROR(INDEX(ERP資料!$A:$A, (MATCH(835, 輔助計算!$G$2:$G$801, 0)+1)), "")&lt;&gt;"", IFERROR(INDEX(ERP資料!$A:$A, (MATCH(835, 輔助計算!$G$2:$G$801, 0)+1)), "")&lt;&gt;IFERROR(INDEX(ERP資料!$A:$A, MATCH(834, 輔助計算!$G$2:$G$801, 0)+1), "")), IFERROR(VLOOKUP(LEFT(INDEX(ERP資料!$S:$S, (MATCH(835, 輔助計算!$G$2:$G$801, 0)+1)), 4), 紙管對照表!$A:$C, 3, FALSE), ""), ""), "")</f>
        <v/>
      </c>
      <c r="D836" s="16" t="n"/>
      <c r="E836" s="10">
        <f>IFERROR(IF(INDEX(ERP資料!$H:$H, (MATCH(835, 輔助計算!$G$2:$G$801, 0)+1))="","",INDEX(ERP資料!$H:$H, (MATCH(835, 輔助計算!$G$2:$G$801, 0)+1))), "")</f>
        <v/>
      </c>
      <c r="F836" s="10">
        <f>IFERROR(IF(INDEX(ERP資料!$E:$E, (MATCH(835, 輔助計算!$G$2:$G$801, 0)+1))="","",TRIM(INDEX(ERP資料!$E:$E, (MATCH(835, 輔助計算!$G$2:$G$801, 0)+1)))), "")</f>
        <v/>
      </c>
      <c r="G836" s="10">
        <f>IFERROR(IF(INDEX(ERP資料!$F:$F, (MATCH(835, 輔助計算!$G$2:$G$801, 0)+1))="","",INDEX(ERP資料!$F:$F, (MATCH(835, 輔助計算!$G$2:$G$801, 0)+1))), "")</f>
        <v/>
      </c>
      <c r="H836" s="10">
        <f>IFERROR(IF(INDEX(ERP資料!$G:$G, (MATCH(835, 輔助計算!$G$2:$G$801, 0)+1))="","",INDEX(ERP資料!$G:$G, (MATCH(835, 輔助計算!$G$2:$G$801, 0)+1))), "")</f>
        <v/>
      </c>
      <c r="I836" s="15">
        <f>IFERROR(INDEX(輔助計算!$D:$D, (MATCH(835, 輔助計算!$G$2:$G$801, 0)+1)), "")</f>
        <v/>
      </c>
      <c r="J836" s="15">
        <f>IFERROR(IF(AND(INDEX(輔助計算!$D:$D, (MATCH(835, 輔助計算!$G$2:$G$801, 0)+1))&lt;&gt;"", INDEX(ERP資料!$G:$G, (MATCH(835, 輔助計算!$G$2:$G$801, 0)+1))&lt;&gt;""), TRIM(IF(INT(INDEX(輔助計算!$D:$D, (MATCH(835, 輔助計算!$G$2:$G$801, 0)+1))/IF(INDEX(ERP資料!$G:$G, (MATCH(835, 輔助計算!$G$2:$G$801, 0)+1))&lt;100, IF(INDEX(ERP資料!$G:$G, (MATCH(835, 輔助計算!$G$2:$G$801, 0)+1))&lt;=31,3,IF(INDEX(ERP資料!$G:$G, (MATCH(835, 輔助計算!$G$2:$G$801, 0)+1))&lt;=46.5,2,1)), IF(INDEX(ERP資料!$G:$G, (MATCH(835, 輔助計算!$G$2:$G$801, 0)+1))&lt;=790,3,IF(INDEX(ERP資料!$G:$G, (MATCH(835, 輔助計算!$G$2:$G$801, 0)+1))&lt;=1181,2,1))))&gt;0, IF(IF(INDEX(ERP資料!$G:$G, (MATCH(835, 輔助計算!$G$2:$G$801, 0)+1))&lt;100, IF(INDEX(ERP資料!$G:$G, (MATCH(835, 輔助計算!$G$2:$G$801, 0)+1))&lt;=31,3,IF(INDEX(ERP資料!$G:$G, (MATCH(835, 輔助計算!$G$2:$G$801, 0)+1))&lt;=46.5,2,1)), IF(INDEX(ERP資料!$G:$G, (MATCH(835, 輔助計算!$G$2:$G$801, 0)+1))&lt;=790,3,IF(INDEX(ERP資料!$G:$G, (MATCH(835, 輔助計算!$G$2:$G$801, 0)+1))&lt;=1181,2,1)))=1,TEXT(INDEX(ERP資料!$G:$G, (MATCH(835, 輔助計算!$G$2:$G$801, 0)+1)),"0.##"),IF(IF(INDEX(ERP資料!$G:$G, (MATCH(835, 輔助計算!$G$2:$G$801, 0)+1))&lt;100, IF(INDEX(ERP資料!$G:$G, (MATCH(835, 輔助計算!$G$2:$G$801, 0)+1))&lt;=31,3,IF(INDEX(ERP資料!$G:$G, (MATCH(835, 輔助計算!$G$2:$G$801, 0)+1))&lt;=46.5,2,1)), IF(INDEX(ERP資料!$G:$G, (MATCH(835, 輔助計算!$G$2:$G$801, 0)+1))&lt;=790,3,IF(INDEX(ERP資料!$G:$G, (MATCH(835, 輔助計算!$G$2:$G$801, 0)+1))&lt;=1181,2,1)))=2,TEXT(INDEX(ERP資料!$G:$G, (MATCH(835, 輔助計算!$G$2:$G$801, 0)+1)),"0.##")&amp;"+"&amp;TEXT(INDEX(ERP資料!$G:$G, (MATCH(835, 輔助計算!$G$2:$G$801, 0)+1)),"0.##"),TEXT(INDEX(ERP資料!$G:$G, (MATCH(835, 輔助計算!$G$2:$G$801, 0)+1)),"0.##")&amp;"+"&amp;TEXT(INDEX(ERP資料!$G:$G, (MATCH(835, 輔助計算!$G$2:$G$801, 0)+1)),"0.##")&amp;"+"&amp;TEXT(INDEX(ERP資料!$G:$G, (MATCH(835, 輔助計算!$G$2:$G$801, 0)+1)),"0.##")))&amp;"-"&amp;INT(INDEX(輔助計算!$D:$D, (MATCH(835, 輔助計算!$G$2:$G$801, 0)+1))/IF(INDEX(ERP資料!$G:$G, (MATCH(835, 輔助計算!$G$2:$G$801, 0)+1))&lt;100, IF(INDEX(ERP資料!$G:$G, (MATCH(835, 輔助計算!$G$2:$G$801, 0)+1))&lt;=31,3,IF(INDEX(ERP資料!$G:$G, (MATCH(835, 輔助計算!$G$2:$G$801, 0)+1))&lt;=46.5,2,1)), IF(INDEX(ERP資料!$G:$G, (MATCH(835, 輔助計算!$G$2:$G$801, 0)+1))&lt;=790,3,IF(INDEX(ERP資料!$G:$G, (MATCH(835, 輔助計算!$G$2:$G$801, 0)+1))&lt;=1181,2,1)))), "")&amp;IF(AND(IF(INT(INDEX(輔助計算!$D:$D, (MATCH(835, 輔助計算!$G$2:$G$801, 0)+1))/IF(INDEX(ERP資料!$G:$G, (MATCH(835, 輔助計算!$G$2:$G$801, 0)+1))&lt;100, IF(INDEX(ERP資料!$G:$G, (MATCH(835, 輔助計算!$G$2:$G$801, 0)+1))&lt;=31,3,IF(INDEX(ERP資料!$G:$G, (MATCH(835, 輔助計算!$G$2:$G$801, 0)+1))&lt;=46.5,2,1)), IF(INDEX(ERP資料!$G:$G, (MATCH(835, 輔助計算!$G$2:$G$801, 0)+1))&lt;=790,3,IF(INDEX(ERP資料!$G:$G, (MATCH(835, 輔助計算!$G$2:$G$801, 0)+1))&lt;=1181,2,1))))&gt;0, IF(IF(INDEX(ERP資料!$G:$G, (MATCH(835, 輔助計算!$G$2:$G$801, 0)+1))&lt;100, IF(INDEX(ERP資料!$G:$G, (MATCH(835, 輔助計算!$G$2:$G$801, 0)+1))&lt;=31,3,IF(INDEX(ERP資料!$G:$G, (MATCH(835, 輔助計算!$G$2:$G$801, 0)+1))&lt;=46.5,2,1)), IF(INDEX(ERP資料!$G:$G, (MATCH(835, 輔助計算!$G$2:$G$801, 0)+1))&lt;=790,3,IF(INDEX(ERP資料!$G:$G, (MATCH(835, 輔助計算!$G$2:$G$801, 0)+1))&lt;=1181,2,1)))=1,TEXT(INDEX(ERP資料!$G:$G, (MATCH(835, 輔助計算!$G$2:$G$801, 0)+1)),"0.##"),IF(IF(INDEX(ERP資料!$G:$G, (MATCH(835, 輔助計算!$G$2:$G$801, 0)+1))&lt;100, IF(INDEX(ERP資料!$G:$G, (MATCH(835, 輔助計算!$G$2:$G$801, 0)+1))&lt;=31,3,IF(INDEX(ERP資料!$G:$G, (MATCH(835, 輔助計算!$G$2:$G$801, 0)+1))&lt;=46.5,2,1)), IF(INDEX(ERP資料!$G:$G, (MATCH(835, 輔助計算!$G$2:$G$801, 0)+1))&lt;=790,3,IF(INDEX(ERP資料!$G:$G, (MATCH(835, 輔助計算!$G$2:$G$801, 0)+1))&lt;=1181,2,1)))=2,TEXT(INDEX(ERP資料!$G:$G, (MATCH(835, 輔助計算!$G$2:$G$801, 0)+1)),"0.##")&amp;"+"&amp;TEXT(INDEX(ERP資料!$G:$G, (MATCH(835, 輔助計算!$G$2:$G$801, 0)+1)),"0.##"),TEXT(INDEX(ERP資料!$G:$G, (MATCH(835, 輔助計算!$G$2:$G$801, 0)+1)),"0.##")&amp;"+"&amp;TEXT(INDEX(ERP資料!$G:$G, (MATCH(835, 輔助計算!$G$2:$G$801, 0)+1)),"0.##")&amp;"+"&amp;TEXT(INDEX(ERP資料!$G:$G, (MATCH(835, 輔助計算!$G$2:$G$801, 0)+1)),"0.##")))&amp;"-"&amp;INT(INDEX(輔助計算!$D:$D, (MATCH(835, 輔助計算!$G$2:$G$801, 0)+1))/IF(INDEX(ERP資料!$G:$G, (MATCH(835, 輔助計算!$G$2:$G$801, 0)+1))&lt;100, IF(INDEX(ERP資料!$G:$G, (MATCH(835, 輔助計算!$G$2:$G$801, 0)+1))&lt;=31,3,IF(INDEX(ERP資料!$G:$G, (MATCH(835, 輔助計算!$G$2:$G$801, 0)+1))&lt;=46.5,2,1)), IF(INDEX(ERP資料!$G:$G, (MATCH(835, 輔助計算!$G$2:$G$801, 0)+1))&lt;=790,3,IF(INDEX(ERP資料!$G:$G, (MATCH(835, 輔助計算!$G$2:$G$801, 0)+1))&lt;=1181,2,1)))), "")&lt;&gt;"",IF(MOD(INDEX(輔助計算!$D:$D, (MATCH(835, 輔助計算!$G$2:$G$801, 0)+1)),IF(INDEX(ERP資料!$G:$G, (MATCH(835, 輔助計算!$G$2:$G$801, 0)+1))&lt;100, IF(INDEX(ERP資料!$G:$G, (MATCH(835, 輔助計算!$G$2:$G$801, 0)+1))&lt;=31,3,IF(INDEX(ERP資料!$G:$G, (MATCH(835, 輔助計算!$G$2:$G$801, 0)+1))&lt;=46.5,2,1)), IF(INDEX(ERP資料!$G:$G, (MATCH(835, 輔助計算!$G$2:$G$801, 0)+1))&lt;=790,3,IF(INDEX(ERP資料!$G:$G, (MATCH(835, 輔助計算!$G$2:$G$801, 0)+1))&lt;=1181,2,1))))=0,"",IF(MOD(INDEX(輔助計算!$D:$D, (MATCH(835, 輔助計算!$G$2:$G$801, 0)+1)),IF(INDEX(ERP資料!$G:$G, (MATCH(835, 輔助計算!$G$2:$G$801, 0)+1))&lt;100, IF(INDEX(ERP資料!$G:$G, (MATCH(835, 輔助計算!$G$2:$G$801, 0)+1))&lt;=31,3,IF(INDEX(ERP資料!$G:$G, (MATCH(835, 輔助計算!$G$2:$G$801, 0)+1))&lt;=46.5,2,1)), IF(INDEX(ERP資料!$G:$G, (MATCH(835, 輔助計算!$G$2:$G$801, 0)+1))&lt;=790,3,IF(INDEX(ERP資料!$G:$G, (MATCH(835, 輔助計算!$G$2:$G$801, 0)+1))&lt;=1181,2,1))))=0,"",IF(MOD(INDEX(輔助計算!$D:$D, (MATCH(835, 輔助計算!$G$2:$G$801, 0)+1)),IF(INDEX(ERP資料!$G:$G, (MATCH(835, 輔助計算!$G$2:$G$801, 0)+1))&lt;100, IF(INDEX(ERP資料!$G:$G, (MATCH(835, 輔助計算!$G$2:$G$801, 0)+1))&lt;=31,3,IF(INDEX(ERP資料!$G:$G, (MATCH(835, 輔助計算!$G$2:$G$801, 0)+1))&lt;=46.5,2,1)), IF(INDEX(ERP資料!$G:$G, (MATCH(835, 輔助計算!$G$2:$G$801, 0)+1))&lt;=790,3,IF(INDEX(ERP資料!$G:$G, (MATCH(835, 輔助計算!$G$2:$G$801, 0)+1))&lt;=1181,2,1))))=1,TEXT(INDEX(ERP資料!$G:$G, (MATCH(835, 輔助計算!$G$2:$G$801, 0)+1)),"0.##"),IF(MOD(INDEX(輔助計算!$D:$D, (MATCH(835, 輔助計算!$G$2:$G$801, 0)+1)),IF(INDEX(ERP資料!$G:$G, (MATCH(835, 輔助計算!$G$2:$G$801, 0)+1))&lt;100, IF(INDEX(ERP資料!$G:$G, (MATCH(835, 輔助計算!$G$2:$G$801, 0)+1))&lt;=31,3,IF(INDEX(ERP資料!$G:$G, (MATCH(835, 輔助計算!$G$2:$G$801, 0)+1))&lt;=46.5,2,1)), IF(INDEX(ERP資料!$G:$G, (MATCH(835, 輔助計算!$G$2:$G$801, 0)+1))&lt;=790,3,IF(INDEX(ERP資料!$G:$G, (MATCH(835, 輔助計算!$G$2:$G$801, 0)+1))&lt;=1181,2,1))))=2,TEXT(INDEX(ERP資料!$G:$G, (MATCH(835, 輔助計算!$G$2:$G$801, 0)+1)),"0.##")&amp;"+"&amp;TEXT(INDEX(ERP資料!$G:$G, (MATCH(835, 輔助計算!$G$2:$G$801, 0)+1)),"0.##"),TEXT(INDEX(ERP資料!$G:$G, (MATCH(835, 輔助計算!$G$2:$G$801, 0)+1)),"0.##")&amp;"+"&amp;TEXT(INDEX(ERP資料!$G:$G, (MATCH(835, 輔助計算!$G$2:$G$801, 0)+1)),"0.##")&amp;"+"&amp;TEXT(INDEX(ERP資料!$G:$G, (MATCH(835, 輔助計算!$G$2:$G$801, 0)+1)),"0.##"))))&amp;"-1")&lt;&gt;""),"  ","")&amp;IF(MOD(INDEX(輔助計算!$D:$D, (MATCH(835, 輔助計算!$G$2:$G$801, 0)+1)),IF(INDEX(ERP資料!$G:$G, (MATCH(835, 輔助計算!$G$2:$G$801, 0)+1))&lt;100, IF(INDEX(ERP資料!$G:$G, (MATCH(835, 輔助計算!$G$2:$G$801, 0)+1))&lt;=31,3,IF(INDEX(ERP資料!$G:$G, (MATCH(835, 輔助計算!$G$2:$G$801, 0)+1))&lt;=46.5,2,1)), IF(INDEX(ERP資料!$G:$G, (MATCH(835, 輔助計算!$G$2:$G$801, 0)+1))&lt;=790,3,IF(INDEX(ERP資料!$G:$G, (MATCH(835, 輔助計算!$G$2:$G$801, 0)+1))&lt;=1181,2,1))))=0,"",IF(MOD(INDEX(輔助計算!$D:$D, (MATCH(835, 輔助計算!$G$2:$G$801, 0)+1)),IF(INDEX(ERP資料!$G:$G, (MATCH(835, 輔助計算!$G$2:$G$801, 0)+1))&lt;100, IF(INDEX(ERP資料!$G:$G, (MATCH(835, 輔助計算!$G$2:$G$801, 0)+1))&lt;=31,3,IF(INDEX(ERP資料!$G:$G, (MATCH(835, 輔助計算!$G$2:$G$801, 0)+1))&lt;=46.5,2,1)), IF(INDEX(ERP資料!$G:$G, (MATCH(835, 輔助計算!$G$2:$G$801, 0)+1))&lt;=790,3,IF(INDEX(ERP資料!$G:$G, (MATCH(835, 輔助計算!$G$2:$G$801, 0)+1))&lt;=1181,2,1))))=0,"",IF(MOD(INDEX(輔助計算!$D:$D, (MATCH(835, 輔助計算!$G$2:$G$801, 0)+1)),IF(INDEX(ERP資料!$G:$G, (MATCH(835, 輔助計算!$G$2:$G$801, 0)+1))&lt;100, IF(INDEX(ERP資料!$G:$G, (MATCH(835, 輔助計算!$G$2:$G$801, 0)+1))&lt;=31,3,IF(INDEX(ERP資料!$G:$G, (MATCH(835, 輔助計算!$G$2:$G$801, 0)+1))&lt;=46.5,2,1)), IF(INDEX(ERP資料!$G:$G, (MATCH(835, 輔助計算!$G$2:$G$801, 0)+1))&lt;=790,3,IF(INDEX(ERP資料!$G:$G, (MATCH(835, 輔助計算!$G$2:$G$801, 0)+1))&lt;=1181,2,1))))=1,TEXT(INDEX(ERP資料!$G:$G, (MATCH(835, 輔助計算!$G$2:$G$801, 0)+1)),"0.##"),IF(MOD(INDEX(輔助計算!$D:$D, (MATCH(835, 輔助計算!$G$2:$G$801, 0)+1)),IF(INDEX(ERP資料!$G:$G, (MATCH(835, 輔助計算!$G$2:$G$801, 0)+1))&lt;100, IF(INDEX(ERP資料!$G:$G, (MATCH(835, 輔助計算!$G$2:$G$801, 0)+1))&lt;=31,3,IF(INDEX(ERP資料!$G:$G, (MATCH(835, 輔助計算!$G$2:$G$801, 0)+1))&lt;=46.5,2,1)), IF(INDEX(ERP資料!$G:$G, (MATCH(835, 輔助計算!$G$2:$G$801, 0)+1))&lt;=790,3,IF(INDEX(ERP資料!$G:$G, (MATCH(835, 輔助計算!$G$2:$G$801, 0)+1))&lt;=1181,2,1))))=2,TEXT(INDEX(ERP資料!$G:$G, (MATCH(835, 輔助計算!$G$2:$G$801, 0)+1)),"0.##")&amp;"+"&amp;TEXT(INDEX(ERP資料!$G:$G, (MATCH(835, 輔助計算!$G$2:$G$801, 0)+1)),"0.##"),TEXT(INDEX(ERP資料!$G:$G, (MATCH(835, 輔助計算!$G$2:$G$801, 0)+1)),"0.##")&amp;"+"&amp;TEXT(INDEX(ERP資料!$G:$G, (MATCH(835, 輔助計算!$G$2:$G$801, 0)+1)),"0.##")&amp;"+"&amp;TEXT(INDEX(ERP資料!$G:$G, (MATCH(835, 輔助計算!$G$2:$G$801, 0)+1)),"0.##"))))&amp;"-1")), ""), "")</f>
        <v/>
      </c>
      <c r="K836" s="16" t="n"/>
      <c r="L836" s="14">
        <f>IFERROR(IF(AND(IFERROR(INDEX(ERP資料!$A:$A, (MATCH(835, 輔助計算!$G$2:$G$801, 0)+1)), "")&lt;&gt;"", IFERROR(INDEX(ERP資料!$A:$A, (MATCH(835, 輔助計算!$G$2:$G$801, 0)+1)), "")&lt;&gt;IFERROR(INDEX(ERP資料!$A:$A, MATCH(834, 輔助計算!$G$2:$G$801, 0)+1), "")), INDEX(ERP資料!$B:$B, (MATCH(835, 輔助計算!$G$2:$G$801, 0)+1)), ""), "")</f>
        <v/>
      </c>
      <c r="M836" s="17" t="n"/>
    </row>
    <row r="837">
      <c r="A837" s="10">
        <f>IFERROR(IF(AND(IFERROR(INDEX(ERP資料!$A:$A, (MATCH(836, 輔助計算!$G$2:$G$801, 0)+1)), "")&lt;&gt;"", IFERROR(INDEX(ERP資料!$A:$A, (MATCH(836, 輔助計算!$G$2:$G$801, 0)+1)), "")&lt;&gt;IFERROR(INDEX(ERP資料!$A:$A, MATCH(835, 輔助計算!$G$2:$G$801, 0)+1), "")), IFERROR(INDEX(ERP資料!$A:$A, (MATCH(836, 輔助計算!$G$2:$G$801, 0)+1)), ""), ""), "")</f>
        <v/>
      </c>
      <c r="B837" s="10">
        <f>IFERROR(IF(AND(IFERROR(INDEX(ERP資料!$A:$A, (MATCH(836, 輔助計算!$G$2:$G$801, 0)+1)), "")&lt;&gt;"", IFERROR(INDEX(ERP資料!$A:$A, (MATCH(836, 輔助計算!$G$2:$G$801, 0)+1)), "")&lt;&gt;IFERROR(INDEX(ERP資料!$A:$A, MATCH(835, 輔助計算!$G$2:$G$801, 0)+1), "")), INDEX(ERP資料!$S:$S, (MATCH(836, 輔助計算!$G$2:$G$801, 0)+1)), ""), "")</f>
        <v/>
      </c>
      <c r="C837" s="19">
        <f>IFERROR(IF(AND(IFERROR(INDEX(ERP資料!$A:$A, (MATCH(836, 輔助計算!$G$2:$G$801, 0)+1)), "")&lt;&gt;"", IFERROR(INDEX(ERP資料!$A:$A, (MATCH(836, 輔助計算!$G$2:$G$801, 0)+1)), "")&lt;&gt;IFERROR(INDEX(ERP資料!$A:$A, MATCH(835, 輔助計算!$G$2:$G$801, 0)+1), "")), IFERROR(VLOOKUP(LEFT(INDEX(ERP資料!$S:$S, (MATCH(836, 輔助計算!$G$2:$G$801, 0)+1)), 4), 紙管對照表!$A:$C, 3, FALSE), ""), ""), "")</f>
        <v/>
      </c>
      <c r="D837" s="16" t="n"/>
      <c r="E837" s="10">
        <f>IFERROR(IF(INDEX(ERP資料!$H:$H, (MATCH(836, 輔助計算!$G$2:$G$801, 0)+1))="","",INDEX(ERP資料!$H:$H, (MATCH(836, 輔助計算!$G$2:$G$801, 0)+1))), "")</f>
        <v/>
      </c>
      <c r="F837" s="10">
        <f>IFERROR(IF(INDEX(ERP資料!$E:$E, (MATCH(836, 輔助計算!$G$2:$G$801, 0)+1))="","",TRIM(INDEX(ERP資料!$E:$E, (MATCH(836, 輔助計算!$G$2:$G$801, 0)+1)))), "")</f>
        <v/>
      </c>
      <c r="G837" s="10">
        <f>IFERROR(IF(INDEX(ERP資料!$F:$F, (MATCH(836, 輔助計算!$G$2:$G$801, 0)+1))="","",INDEX(ERP資料!$F:$F, (MATCH(836, 輔助計算!$G$2:$G$801, 0)+1))), "")</f>
        <v/>
      </c>
      <c r="H837" s="10">
        <f>IFERROR(IF(INDEX(ERP資料!$G:$G, (MATCH(836, 輔助計算!$G$2:$G$801, 0)+1))="","",INDEX(ERP資料!$G:$G, (MATCH(836, 輔助計算!$G$2:$G$801, 0)+1))), "")</f>
        <v/>
      </c>
      <c r="I837" s="15">
        <f>IFERROR(INDEX(輔助計算!$D:$D, (MATCH(836, 輔助計算!$G$2:$G$801, 0)+1)), "")</f>
        <v/>
      </c>
      <c r="J837" s="15">
        <f>IFERROR(IF(AND(INDEX(輔助計算!$D:$D, (MATCH(836, 輔助計算!$G$2:$G$801, 0)+1))&lt;&gt;"", INDEX(ERP資料!$G:$G, (MATCH(836, 輔助計算!$G$2:$G$801, 0)+1))&lt;&gt;""), TRIM(IF(INT(INDEX(輔助計算!$D:$D, (MATCH(836, 輔助計算!$G$2:$G$801, 0)+1))/IF(INDEX(ERP資料!$G:$G, (MATCH(836, 輔助計算!$G$2:$G$801, 0)+1))&lt;100, IF(INDEX(ERP資料!$G:$G, (MATCH(836, 輔助計算!$G$2:$G$801, 0)+1))&lt;=31,3,IF(INDEX(ERP資料!$G:$G, (MATCH(836, 輔助計算!$G$2:$G$801, 0)+1))&lt;=46.5,2,1)), IF(INDEX(ERP資料!$G:$G, (MATCH(836, 輔助計算!$G$2:$G$801, 0)+1))&lt;=790,3,IF(INDEX(ERP資料!$G:$G, (MATCH(836, 輔助計算!$G$2:$G$801, 0)+1))&lt;=1181,2,1))))&gt;0, IF(IF(INDEX(ERP資料!$G:$G, (MATCH(836, 輔助計算!$G$2:$G$801, 0)+1))&lt;100, IF(INDEX(ERP資料!$G:$G, (MATCH(836, 輔助計算!$G$2:$G$801, 0)+1))&lt;=31,3,IF(INDEX(ERP資料!$G:$G, (MATCH(836, 輔助計算!$G$2:$G$801, 0)+1))&lt;=46.5,2,1)), IF(INDEX(ERP資料!$G:$G, (MATCH(836, 輔助計算!$G$2:$G$801, 0)+1))&lt;=790,3,IF(INDEX(ERP資料!$G:$G, (MATCH(836, 輔助計算!$G$2:$G$801, 0)+1))&lt;=1181,2,1)))=1,TEXT(INDEX(ERP資料!$G:$G, (MATCH(836, 輔助計算!$G$2:$G$801, 0)+1)),"0.##"),IF(IF(INDEX(ERP資料!$G:$G, (MATCH(836, 輔助計算!$G$2:$G$801, 0)+1))&lt;100, IF(INDEX(ERP資料!$G:$G, (MATCH(836, 輔助計算!$G$2:$G$801, 0)+1))&lt;=31,3,IF(INDEX(ERP資料!$G:$G, (MATCH(836, 輔助計算!$G$2:$G$801, 0)+1))&lt;=46.5,2,1)), IF(INDEX(ERP資料!$G:$G, (MATCH(836, 輔助計算!$G$2:$G$801, 0)+1))&lt;=790,3,IF(INDEX(ERP資料!$G:$G, (MATCH(836, 輔助計算!$G$2:$G$801, 0)+1))&lt;=1181,2,1)))=2,TEXT(INDEX(ERP資料!$G:$G, (MATCH(836, 輔助計算!$G$2:$G$801, 0)+1)),"0.##")&amp;"+"&amp;TEXT(INDEX(ERP資料!$G:$G, (MATCH(836, 輔助計算!$G$2:$G$801, 0)+1)),"0.##"),TEXT(INDEX(ERP資料!$G:$G, (MATCH(836, 輔助計算!$G$2:$G$801, 0)+1)),"0.##")&amp;"+"&amp;TEXT(INDEX(ERP資料!$G:$G, (MATCH(836, 輔助計算!$G$2:$G$801, 0)+1)),"0.##")&amp;"+"&amp;TEXT(INDEX(ERP資料!$G:$G, (MATCH(836, 輔助計算!$G$2:$G$801, 0)+1)),"0.##")))&amp;"-"&amp;INT(INDEX(輔助計算!$D:$D, (MATCH(836, 輔助計算!$G$2:$G$801, 0)+1))/IF(INDEX(ERP資料!$G:$G, (MATCH(836, 輔助計算!$G$2:$G$801, 0)+1))&lt;100, IF(INDEX(ERP資料!$G:$G, (MATCH(836, 輔助計算!$G$2:$G$801, 0)+1))&lt;=31,3,IF(INDEX(ERP資料!$G:$G, (MATCH(836, 輔助計算!$G$2:$G$801, 0)+1))&lt;=46.5,2,1)), IF(INDEX(ERP資料!$G:$G, (MATCH(836, 輔助計算!$G$2:$G$801, 0)+1))&lt;=790,3,IF(INDEX(ERP資料!$G:$G, (MATCH(836, 輔助計算!$G$2:$G$801, 0)+1))&lt;=1181,2,1)))), "")&amp;IF(AND(IF(INT(INDEX(輔助計算!$D:$D, (MATCH(836, 輔助計算!$G$2:$G$801, 0)+1))/IF(INDEX(ERP資料!$G:$G, (MATCH(836, 輔助計算!$G$2:$G$801, 0)+1))&lt;100, IF(INDEX(ERP資料!$G:$G, (MATCH(836, 輔助計算!$G$2:$G$801, 0)+1))&lt;=31,3,IF(INDEX(ERP資料!$G:$G, (MATCH(836, 輔助計算!$G$2:$G$801, 0)+1))&lt;=46.5,2,1)), IF(INDEX(ERP資料!$G:$G, (MATCH(836, 輔助計算!$G$2:$G$801, 0)+1))&lt;=790,3,IF(INDEX(ERP資料!$G:$G, (MATCH(836, 輔助計算!$G$2:$G$801, 0)+1))&lt;=1181,2,1))))&gt;0, IF(IF(INDEX(ERP資料!$G:$G, (MATCH(836, 輔助計算!$G$2:$G$801, 0)+1))&lt;100, IF(INDEX(ERP資料!$G:$G, (MATCH(836, 輔助計算!$G$2:$G$801, 0)+1))&lt;=31,3,IF(INDEX(ERP資料!$G:$G, (MATCH(836, 輔助計算!$G$2:$G$801, 0)+1))&lt;=46.5,2,1)), IF(INDEX(ERP資料!$G:$G, (MATCH(836, 輔助計算!$G$2:$G$801, 0)+1))&lt;=790,3,IF(INDEX(ERP資料!$G:$G, (MATCH(836, 輔助計算!$G$2:$G$801, 0)+1))&lt;=1181,2,1)))=1,TEXT(INDEX(ERP資料!$G:$G, (MATCH(836, 輔助計算!$G$2:$G$801, 0)+1)),"0.##"),IF(IF(INDEX(ERP資料!$G:$G, (MATCH(836, 輔助計算!$G$2:$G$801, 0)+1))&lt;100, IF(INDEX(ERP資料!$G:$G, (MATCH(836, 輔助計算!$G$2:$G$801, 0)+1))&lt;=31,3,IF(INDEX(ERP資料!$G:$G, (MATCH(836, 輔助計算!$G$2:$G$801, 0)+1))&lt;=46.5,2,1)), IF(INDEX(ERP資料!$G:$G, (MATCH(836, 輔助計算!$G$2:$G$801, 0)+1))&lt;=790,3,IF(INDEX(ERP資料!$G:$G, (MATCH(836, 輔助計算!$G$2:$G$801, 0)+1))&lt;=1181,2,1)))=2,TEXT(INDEX(ERP資料!$G:$G, (MATCH(836, 輔助計算!$G$2:$G$801, 0)+1)),"0.##")&amp;"+"&amp;TEXT(INDEX(ERP資料!$G:$G, (MATCH(836, 輔助計算!$G$2:$G$801, 0)+1)),"0.##"),TEXT(INDEX(ERP資料!$G:$G, (MATCH(836, 輔助計算!$G$2:$G$801, 0)+1)),"0.##")&amp;"+"&amp;TEXT(INDEX(ERP資料!$G:$G, (MATCH(836, 輔助計算!$G$2:$G$801, 0)+1)),"0.##")&amp;"+"&amp;TEXT(INDEX(ERP資料!$G:$G, (MATCH(836, 輔助計算!$G$2:$G$801, 0)+1)),"0.##")))&amp;"-"&amp;INT(INDEX(輔助計算!$D:$D, (MATCH(836, 輔助計算!$G$2:$G$801, 0)+1))/IF(INDEX(ERP資料!$G:$G, (MATCH(836, 輔助計算!$G$2:$G$801, 0)+1))&lt;100, IF(INDEX(ERP資料!$G:$G, (MATCH(836, 輔助計算!$G$2:$G$801, 0)+1))&lt;=31,3,IF(INDEX(ERP資料!$G:$G, (MATCH(836, 輔助計算!$G$2:$G$801, 0)+1))&lt;=46.5,2,1)), IF(INDEX(ERP資料!$G:$G, (MATCH(836, 輔助計算!$G$2:$G$801, 0)+1))&lt;=790,3,IF(INDEX(ERP資料!$G:$G, (MATCH(836, 輔助計算!$G$2:$G$801, 0)+1))&lt;=1181,2,1)))), "")&lt;&gt;"",IF(MOD(INDEX(輔助計算!$D:$D, (MATCH(836, 輔助計算!$G$2:$G$801, 0)+1)),IF(INDEX(ERP資料!$G:$G, (MATCH(836, 輔助計算!$G$2:$G$801, 0)+1))&lt;100, IF(INDEX(ERP資料!$G:$G, (MATCH(836, 輔助計算!$G$2:$G$801, 0)+1))&lt;=31,3,IF(INDEX(ERP資料!$G:$G, (MATCH(836, 輔助計算!$G$2:$G$801, 0)+1))&lt;=46.5,2,1)), IF(INDEX(ERP資料!$G:$G, (MATCH(836, 輔助計算!$G$2:$G$801, 0)+1))&lt;=790,3,IF(INDEX(ERP資料!$G:$G, (MATCH(836, 輔助計算!$G$2:$G$801, 0)+1))&lt;=1181,2,1))))=0,"",IF(MOD(INDEX(輔助計算!$D:$D, (MATCH(836, 輔助計算!$G$2:$G$801, 0)+1)),IF(INDEX(ERP資料!$G:$G, (MATCH(836, 輔助計算!$G$2:$G$801, 0)+1))&lt;100, IF(INDEX(ERP資料!$G:$G, (MATCH(836, 輔助計算!$G$2:$G$801, 0)+1))&lt;=31,3,IF(INDEX(ERP資料!$G:$G, (MATCH(836, 輔助計算!$G$2:$G$801, 0)+1))&lt;=46.5,2,1)), IF(INDEX(ERP資料!$G:$G, (MATCH(836, 輔助計算!$G$2:$G$801, 0)+1))&lt;=790,3,IF(INDEX(ERP資料!$G:$G, (MATCH(836, 輔助計算!$G$2:$G$801, 0)+1))&lt;=1181,2,1))))=0,"",IF(MOD(INDEX(輔助計算!$D:$D, (MATCH(836, 輔助計算!$G$2:$G$801, 0)+1)),IF(INDEX(ERP資料!$G:$G, (MATCH(836, 輔助計算!$G$2:$G$801, 0)+1))&lt;100, IF(INDEX(ERP資料!$G:$G, (MATCH(836, 輔助計算!$G$2:$G$801, 0)+1))&lt;=31,3,IF(INDEX(ERP資料!$G:$G, (MATCH(836, 輔助計算!$G$2:$G$801, 0)+1))&lt;=46.5,2,1)), IF(INDEX(ERP資料!$G:$G, (MATCH(836, 輔助計算!$G$2:$G$801, 0)+1))&lt;=790,3,IF(INDEX(ERP資料!$G:$G, (MATCH(836, 輔助計算!$G$2:$G$801, 0)+1))&lt;=1181,2,1))))=1,TEXT(INDEX(ERP資料!$G:$G, (MATCH(836, 輔助計算!$G$2:$G$801, 0)+1)),"0.##"),IF(MOD(INDEX(輔助計算!$D:$D, (MATCH(836, 輔助計算!$G$2:$G$801, 0)+1)),IF(INDEX(ERP資料!$G:$G, (MATCH(836, 輔助計算!$G$2:$G$801, 0)+1))&lt;100, IF(INDEX(ERP資料!$G:$G, (MATCH(836, 輔助計算!$G$2:$G$801, 0)+1))&lt;=31,3,IF(INDEX(ERP資料!$G:$G, (MATCH(836, 輔助計算!$G$2:$G$801, 0)+1))&lt;=46.5,2,1)), IF(INDEX(ERP資料!$G:$G, (MATCH(836, 輔助計算!$G$2:$G$801, 0)+1))&lt;=790,3,IF(INDEX(ERP資料!$G:$G, (MATCH(836, 輔助計算!$G$2:$G$801, 0)+1))&lt;=1181,2,1))))=2,TEXT(INDEX(ERP資料!$G:$G, (MATCH(836, 輔助計算!$G$2:$G$801, 0)+1)),"0.##")&amp;"+"&amp;TEXT(INDEX(ERP資料!$G:$G, (MATCH(836, 輔助計算!$G$2:$G$801, 0)+1)),"0.##"),TEXT(INDEX(ERP資料!$G:$G, (MATCH(836, 輔助計算!$G$2:$G$801, 0)+1)),"0.##")&amp;"+"&amp;TEXT(INDEX(ERP資料!$G:$G, (MATCH(836, 輔助計算!$G$2:$G$801, 0)+1)),"0.##")&amp;"+"&amp;TEXT(INDEX(ERP資料!$G:$G, (MATCH(836, 輔助計算!$G$2:$G$801, 0)+1)),"0.##"))))&amp;"-1")&lt;&gt;""),"  ","")&amp;IF(MOD(INDEX(輔助計算!$D:$D, (MATCH(836, 輔助計算!$G$2:$G$801, 0)+1)),IF(INDEX(ERP資料!$G:$G, (MATCH(836, 輔助計算!$G$2:$G$801, 0)+1))&lt;100, IF(INDEX(ERP資料!$G:$G, (MATCH(836, 輔助計算!$G$2:$G$801, 0)+1))&lt;=31,3,IF(INDEX(ERP資料!$G:$G, (MATCH(836, 輔助計算!$G$2:$G$801, 0)+1))&lt;=46.5,2,1)), IF(INDEX(ERP資料!$G:$G, (MATCH(836, 輔助計算!$G$2:$G$801, 0)+1))&lt;=790,3,IF(INDEX(ERP資料!$G:$G, (MATCH(836, 輔助計算!$G$2:$G$801, 0)+1))&lt;=1181,2,1))))=0,"",IF(MOD(INDEX(輔助計算!$D:$D, (MATCH(836, 輔助計算!$G$2:$G$801, 0)+1)),IF(INDEX(ERP資料!$G:$G, (MATCH(836, 輔助計算!$G$2:$G$801, 0)+1))&lt;100, IF(INDEX(ERP資料!$G:$G, (MATCH(836, 輔助計算!$G$2:$G$801, 0)+1))&lt;=31,3,IF(INDEX(ERP資料!$G:$G, (MATCH(836, 輔助計算!$G$2:$G$801, 0)+1))&lt;=46.5,2,1)), IF(INDEX(ERP資料!$G:$G, (MATCH(836, 輔助計算!$G$2:$G$801, 0)+1))&lt;=790,3,IF(INDEX(ERP資料!$G:$G, (MATCH(836, 輔助計算!$G$2:$G$801, 0)+1))&lt;=1181,2,1))))=0,"",IF(MOD(INDEX(輔助計算!$D:$D, (MATCH(836, 輔助計算!$G$2:$G$801, 0)+1)),IF(INDEX(ERP資料!$G:$G, (MATCH(836, 輔助計算!$G$2:$G$801, 0)+1))&lt;100, IF(INDEX(ERP資料!$G:$G, (MATCH(836, 輔助計算!$G$2:$G$801, 0)+1))&lt;=31,3,IF(INDEX(ERP資料!$G:$G, (MATCH(836, 輔助計算!$G$2:$G$801, 0)+1))&lt;=46.5,2,1)), IF(INDEX(ERP資料!$G:$G, (MATCH(836, 輔助計算!$G$2:$G$801, 0)+1))&lt;=790,3,IF(INDEX(ERP資料!$G:$G, (MATCH(836, 輔助計算!$G$2:$G$801, 0)+1))&lt;=1181,2,1))))=1,TEXT(INDEX(ERP資料!$G:$G, (MATCH(836, 輔助計算!$G$2:$G$801, 0)+1)),"0.##"),IF(MOD(INDEX(輔助計算!$D:$D, (MATCH(836, 輔助計算!$G$2:$G$801, 0)+1)),IF(INDEX(ERP資料!$G:$G, (MATCH(836, 輔助計算!$G$2:$G$801, 0)+1))&lt;100, IF(INDEX(ERP資料!$G:$G, (MATCH(836, 輔助計算!$G$2:$G$801, 0)+1))&lt;=31,3,IF(INDEX(ERP資料!$G:$G, (MATCH(836, 輔助計算!$G$2:$G$801, 0)+1))&lt;=46.5,2,1)), IF(INDEX(ERP資料!$G:$G, (MATCH(836, 輔助計算!$G$2:$G$801, 0)+1))&lt;=790,3,IF(INDEX(ERP資料!$G:$G, (MATCH(836, 輔助計算!$G$2:$G$801, 0)+1))&lt;=1181,2,1))))=2,TEXT(INDEX(ERP資料!$G:$G, (MATCH(836, 輔助計算!$G$2:$G$801, 0)+1)),"0.##")&amp;"+"&amp;TEXT(INDEX(ERP資料!$G:$G, (MATCH(836, 輔助計算!$G$2:$G$801, 0)+1)),"0.##"),TEXT(INDEX(ERP資料!$G:$G, (MATCH(836, 輔助計算!$G$2:$G$801, 0)+1)),"0.##")&amp;"+"&amp;TEXT(INDEX(ERP資料!$G:$G, (MATCH(836, 輔助計算!$G$2:$G$801, 0)+1)),"0.##")&amp;"+"&amp;TEXT(INDEX(ERP資料!$G:$G, (MATCH(836, 輔助計算!$G$2:$G$801, 0)+1)),"0.##"))))&amp;"-1")), ""), "")</f>
        <v/>
      </c>
      <c r="K837" s="16" t="n"/>
      <c r="L837" s="14">
        <f>IFERROR(IF(AND(IFERROR(INDEX(ERP資料!$A:$A, (MATCH(836, 輔助計算!$G$2:$G$801, 0)+1)), "")&lt;&gt;"", IFERROR(INDEX(ERP資料!$A:$A, (MATCH(836, 輔助計算!$G$2:$G$801, 0)+1)), "")&lt;&gt;IFERROR(INDEX(ERP資料!$A:$A, MATCH(835, 輔助計算!$G$2:$G$801, 0)+1), "")), INDEX(ERP資料!$B:$B, (MATCH(836, 輔助計算!$G$2:$G$801, 0)+1)), ""), "")</f>
        <v/>
      </c>
      <c r="M837" s="17" t="n"/>
    </row>
    <row r="838">
      <c r="A838" s="10">
        <f>IFERROR(IF(AND(IFERROR(INDEX(ERP資料!$A:$A, (MATCH(837, 輔助計算!$G$2:$G$801, 0)+1)), "")&lt;&gt;"", IFERROR(INDEX(ERP資料!$A:$A, (MATCH(837, 輔助計算!$G$2:$G$801, 0)+1)), "")&lt;&gt;IFERROR(INDEX(ERP資料!$A:$A, MATCH(836, 輔助計算!$G$2:$G$801, 0)+1), "")), IFERROR(INDEX(ERP資料!$A:$A, (MATCH(837, 輔助計算!$G$2:$G$801, 0)+1)), ""), ""), "")</f>
        <v/>
      </c>
      <c r="B838" s="10">
        <f>IFERROR(IF(AND(IFERROR(INDEX(ERP資料!$A:$A, (MATCH(837, 輔助計算!$G$2:$G$801, 0)+1)), "")&lt;&gt;"", IFERROR(INDEX(ERP資料!$A:$A, (MATCH(837, 輔助計算!$G$2:$G$801, 0)+1)), "")&lt;&gt;IFERROR(INDEX(ERP資料!$A:$A, MATCH(836, 輔助計算!$G$2:$G$801, 0)+1), "")), INDEX(ERP資料!$S:$S, (MATCH(837, 輔助計算!$G$2:$G$801, 0)+1)), ""), "")</f>
        <v/>
      </c>
      <c r="C838" s="19">
        <f>IFERROR(IF(AND(IFERROR(INDEX(ERP資料!$A:$A, (MATCH(837, 輔助計算!$G$2:$G$801, 0)+1)), "")&lt;&gt;"", IFERROR(INDEX(ERP資料!$A:$A, (MATCH(837, 輔助計算!$G$2:$G$801, 0)+1)), "")&lt;&gt;IFERROR(INDEX(ERP資料!$A:$A, MATCH(836, 輔助計算!$G$2:$G$801, 0)+1), "")), IFERROR(VLOOKUP(LEFT(INDEX(ERP資料!$S:$S, (MATCH(837, 輔助計算!$G$2:$G$801, 0)+1)), 4), 紙管對照表!$A:$C, 3, FALSE), ""), ""), "")</f>
        <v/>
      </c>
      <c r="D838" s="16" t="n"/>
      <c r="E838" s="10">
        <f>IFERROR(IF(INDEX(ERP資料!$H:$H, (MATCH(837, 輔助計算!$G$2:$G$801, 0)+1))="","",INDEX(ERP資料!$H:$H, (MATCH(837, 輔助計算!$G$2:$G$801, 0)+1))), "")</f>
        <v/>
      </c>
      <c r="F838" s="10">
        <f>IFERROR(IF(INDEX(ERP資料!$E:$E, (MATCH(837, 輔助計算!$G$2:$G$801, 0)+1))="","",TRIM(INDEX(ERP資料!$E:$E, (MATCH(837, 輔助計算!$G$2:$G$801, 0)+1)))), "")</f>
        <v/>
      </c>
      <c r="G838" s="10">
        <f>IFERROR(IF(INDEX(ERP資料!$F:$F, (MATCH(837, 輔助計算!$G$2:$G$801, 0)+1))="","",INDEX(ERP資料!$F:$F, (MATCH(837, 輔助計算!$G$2:$G$801, 0)+1))), "")</f>
        <v/>
      </c>
      <c r="H838" s="10">
        <f>IFERROR(IF(INDEX(ERP資料!$G:$G, (MATCH(837, 輔助計算!$G$2:$G$801, 0)+1))="","",INDEX(ERP資料!$G:$G, (MATCH(837, 輔助計算!$G$2:$G$801, 0)+1))), "")</f>
        <v/>
      </c>
      <c r="I838" s="15">
        <f>IFERROR(INDEX(輔助計算!$D:$D, (MATCH(837, 輔助計算!$G$2:$G$801, 0)+1)), "")</f>
        <v/>
      </c>
      <c r="J838" s="15">
        <f>IFERROR(IF(AND(INDEX(輔助計算!$D:$D, (MATCH(837, 輔助計算!$G$2:$G$801, 0)+1))&lt;&gt;"", INDEX(ERP資料!$G:$G, (MATCH(837, 輔助計算!$G$2:$G$801, 0)+1))&lt;&gt;""), TRIM(IF(INT(INDEX(輔助計算!$D:$D, (MATCH(837, 輔助計算!$G$2:$G$801, 0)+1))/IF(INDEX(ERP資料!$G:$G, (MATCH(837, 輔助計算!$G$2:$G$801, 0)+1))&lt;100, IF(INDEX(ERP資料!$G:$G, (MATCH(837, 輔助計算!$G$2:$G$801, 0)+1))&lt;=31,3,IF(INDEX(ERP資料!$G:$G, (MATCH(837, 輔助計算!$G$2:$G$801, 0)+1))&lt;=46.5,2,1)), IF(INDEX(ERP資料!$G:$G, (MATCH(837, 輔助計算!$G$2:$G$801, 0)+1))&lt;=790,3,IF(INDEX(ERP資料!$G:$G, (MATCH(837, 輔助計算!$G$2:$G$801, 0)+1))&lt;=1181,2,1))))&gt;0, IF(IF(INDEX(ERP資料!$G:$G, (MATCH(837, 輔助計算!$G$2:$G$801, 0)+1))&lt;100, IF(INDEX(ERP資料!$G:$G, (MATCH(837, 輔助計算!$G$2:$G$801, 0)+1))&lt;=31,3,IF(INDEX(ERP資料!$G:$G, (MATCH(837, 輔助計算!$G$2:$G$801, 0)+1))&lt;=46.5,2,1)), IF(INDEX(ERP資料!$G:$G, (MATCH(837, 輔助計算!$G$2:$G$801, 0)+1))&lt;=790,3,IF(INDEX(ERP資料!$G:$G, (MATCH(837, 輔助計算!$G$2:$G$801, 0)+1))&lt;=1181,2,1)))=1,TEXT(INDEX(ERP資料!$G:$G, (MATCH(837, 輔助計算!$G$2:$G$801, 0)+1)),"0.##"),IF(IF(INDEX(ERP資料!$G:$G, (MATCH(837, 輔助計算!$G$2:$G$801, 0)+1))&lt;100, IF(INDEX(ERP資料!$G:$G, (MATCH(837, 輔助計算!$G$2:$G$801, 0)+1))&lt;=31,3,IF(INDEX(ERP資料!$G:$G, (MATCH(837, 輔助計算!$G$2:$G$801, 0)+1))&lt;=46.5,2,1)), IF(INDEX(ERP資料!$G:$G, (MATCH(837, 輔助計算!$G$2:$G$801, 0)+1))&lt;=790,3,IF(INDEX(ERP資料!$G:$G, (MATCH(837, 輔助計算!$G$2:$G$801, 0)+1))&lt;=1181,2,1)))=2,TEXT(INDEX(ERP資料!$G:$G, (MATCH(837, 輔助計算!$G$2:$G$801, 0)+1)),"0.##")&amp;"+"&amp;TEXT(INDEX(ERP資料!$G:$G, (MATCH(837, 輔助計算!$G$2:$G$801, 0)+1)),"0.##"),TEXT(INDEX(ERP資料!$G:$G, (MATCH(837, 輔助計算!$G$2:$G$801, 0)+1)),"0.##")&amp;"+"&amp;TEXT(INDEX(ERP資料!$G:$G, (MATCH(837, 輔助計算!$G$2:$G$801, 0)+1)),"0.##")&amp;"+"&amp;TEXT(INDEX(ERP資料!$G:$G, (MATCH(837, 輔助計算!$G$2:$G$801, 0)+1)),"0.##")))&amp;"-"&amp;INT(INDEX(輔助計算!$D:$D, (MATCH(837, 輔助計算!$G$2:$G$801, 0)+1))/IF(INDEX(ERP資料!$G:$G, (MATCH(837, 輔助計算!$G$2:$G$801, 0)+1))&lt;100, IF(INDEX(ERP資料!$G:$G, (MATCH(837, 輔助計算!$G$2:$G$801, 0)+1))&lt;=31,3,IF(INDEX(ERP資料!$G:$G, (MATCH(837, 輔助計算!$G$2:$G$801, 0)+1))&lt;=46.5,2,1)), IF(INDEX(ERP資料!$G:$G, (MATCH(837, 輔助計算!$G$2:$G$801, 0)+1))&lt;=790,3,IF(INDEX(ERP資料!$G:$G, (MATCH(837, 輔助計算!$G$2:$G$801, 0)+1))&lt;=1181,2,1)))), "")&amp;IF(AND(IF(INT(INDEX(輔助計算!$D:$D, (MATCH(837, 輔助計算!$G$2:$G$801, 0)+1))/IF(INDEX(ERP資料!$G:$G, (MATCH(837, 輔助計算!$G$2:$G$801, 0)+1))&lt;100, IF(INDEX(ERP資料!$G:$G, (MATCH(837, 輔助計算!$G$2:$G$801, 0)+1))&lt;=31,3,IF(INDEX(ERP資料!$G:$G, (MATCH(837, 輔助計算!$G$2:$G$801, 0)+1))&lt;=46.5,2,1)), IF(INDEX(ERP資料!$G:$G, (MATCH(837, 輔助計算!$G$2:$G$801, 0)+1))&lt;=790,3,IF(INDEX(ERP資料!$G:$G, (MATCH(837, 輔助計算!$G$2:$G$801, 0)+1))&lt;=1181,2,1))))&gt;0, IF(IF(INDEX(ERP資料!$G:$G, (MATCH(837, 輔助計算!$G$2:$G$801, 0)+1))&lt;100, IF(INDEX(ERP資料!$G:$G, (MATCH(837, 輔助計算!$G$2:$G$801, 0)+1))&lt;=31,3,IF(INDEX(ERP資料!$G:$G, (MATCH(837, 輔助計算!$G$2:$G$801, 0)+1))&lt;=46.5,2,1)), IF(INDEX(ERP資料!$G:$G, (MATCH(837, 輔助計算!$G$2:$G$801, 0)+1))&lt;=790,3,IF(INDEX(ERP資料!$G:$G, (MATCH(837, 輔助計算!$G$2:$G$801, 0)+1))&lt;=1181,2,1)))=1,TEXT(INDEX(ERP資料!$G:$G, (MATCH(837, 輔助計算!$G$2:$G$801, 0)+1)),"0.##"),IF(IF(INDEX(ERP資料!$G:$G, (MATCH(837, 輔助計算!$G$2:$G$801, 0)+1))&lt;100, IF(INDEX(ERP資料!$G:$G, (MATCH(837, 輔助計算!$G$2:$G$801, 0)+1))&lt;=31,3,IF(INDEX(ERP資料!$G:$G, (MATCH(837, 輔助計算!$G$2:$G$801, 0)+1))&lt;=46.5,2,1)), IF(INDEX(ERP資料!$G:$G, (MATCH(837, 輔助計算!$G$2:$G$801, 0)+1))&lt;=790,3,IF(INDEX(ERP資料!$G:$G, (MATCH(837, 輔助計算!$G$2:$G$801, 0)+1))&lt;=1181,2,1)))=2,TEXT(INDEX(ERP資料!$G:$G, (MATCH(837, 輔助計算!$G$2:$G$801, 0)+1)),"0.##")&amp;"+"&amp;TEXT(INDEX(ERP資料!$G:$G, (MATCH(837, 輔助計算!$G$2:$G$801, 0)+1)),"0.##"),TEXT(INDEX(ERP資料!$G:$G, (MATCH(837, 輔助計算!$G$2:$G$801, 0)+1)),"0.##")&amp;"+"&amp;TEXT(INDEX(ERP資料!$G:$G, (MATCH(837, 輔助計算!$G$2:$G$801, 0)+1)),"0.##")&amp;"+"&amp;TEXT(INDEX(ERP資料!$G:$G, (MATCH(837, 輔助計算!$G$2:$G$801, 0)+1)),"0.##")))&amp;"-"&amp;INT(INDEX(輔助計算!$D:$D, (MATCH(837, 輔助計算!$G$2:$G$801, 0)+1))/IF(INDEX(ERP資料!$G:$G, (MATCH(837, 輔助計算!$G$2:$G$801, 0)+1))&lt;100, IF(INDEX(ERP資料!$G:$G, (MATCH(837, 輔助計算!$G$2:$G$801, 0)+1))&lt;=31,3,IF(INDEX(ERP資料!$G:$G, (MATCH(837, 輔助計算!$G$2:$G$801, 0)+1))&lt;=46.5,2,1)), IF(INDEX(ERP資料!$G:$G, (MATCH(837, 輔助計算!$G$2:$G$801, 0)+1))&lt;=790,3,IF(INDEX(ERP資料!$G:$G, (MATCH(837, 輔助計算!$G$2:$G$801, 0)+1))&lt;=1181,2,1)))), "")&lt;&gt;"",IF(MOD(INDEX(輔助計算!$D:$D, (MATCH(837, 輔助計算!$G$2:$G$801, 0)+1)),IF(INDEX(ERP資料!$G:$G, (MATCH(837, 輔助計算!$G$2:$G$801, 0)+1))&lt;100, IF(INDEX(ERP資料!$G:$G, (MATCH(837, 輔助計算!$G$2:$G$801, 0)+1))&lt;=31,3,IF(INDEX(ERP資料!$G:$G, (MATCH(837, 輔助計算!$G$2:$G$801, 0)+1))&lt;=46.5,2,1)), IF(INDEX(ERP資料!$G:$G, (MATCH(837, 輔助計算!$G$2:$G$801, 0)+1))&lt;=790,3,IF(INDEX(ERP資料!$G:$G, (MATCH(837, 輔助計算!$G$2:$G$801, 0)+1))&lt;=1181,2,1))))=0,"",IF(MOD(INDEX(輔助計算!$D:$D, (MATCH(837, 輔助計算!$G$2:$G$801, 0)+1)),IF(INDEX(ERP資料!$G:$G, (MATCH(837, 輔助計算!$G$2:$G$801, 0)+1))&lt;100, IF(INDEX(ERP資料!$G:$G, (MATCH(837, 輔助計算!$G$2:$G$801, 0)+1))&lt;=31,3,IF(INDEX(ERP資料!$G:$G, (MATCH(837, 輔助計算!$G$2:$G$801, 0)+1))&lt;=46.5,2,1)), IF(INDEX(ERP資料!$G:$G, (MATCH(837, 輔助計算!$G$2:$G$801, 0)+1))&lt;=790,3,IF(INDEX(ERP資料!$G:$G, (MATCH(837, 輔助計算!$G$2:$G$801, 0)+1))&lt;=1181,2,1))))=0,"",IF(MOD(INDEX(輔助計算!$D:$D, (MATCH(837, 輔助計算!$G$2:$G$801, 0)+1)),IF(INDEX(ERP資料!$G:$G, (MATCH(837, 輔助計算!$G$2:$G$801, 0)+1))&lt;100, IF(INDEX(ERP資料!$G:$G, (MATCH(837, 輔助計算!$G$2:$G$801, 0)+1))&lt;=31,3,IF(INDEX(ERP資料!$G:$G, (MATCH(837, 輔助計算!$G$2:$G$801, 0)+1))&lt;=46.5,2,1)), IF(INDEX(ERP資料!$G:$G, (MATCH(837, 輔助計算!$G$2:$G$801, 0)+1))&lt;=790,3,IF(INDEX(ERP資料!$G:$G, (MATCH(837, 輔助計算!$G$2:$G$801, 0)+1))&lt;=1181,2,1))))=1,TEXT(INDEX(ERP資料!$G:$G, (MATCH(837, 輔助計算!$G$2:$G$801, 0)+1)),"0.##"),IF(MOD(INDEX(輔助計算!$D:$D, (MATCH(837, 輔助計算!$G$2:$G$801, 0)+1)),IF(INDEX(ERP資料!$G:$G, (MATCH(837, 輔助計算!$G$2:$G$801, 0)+1))&lt;100, IF(INDEX(ERP資料!$G:$G, (MATCH(837, 輔助計算!$G$2:$G$801, 0)+1))&lt;=31,3,IF(INDEX(ERP資料!$G:$G, (MATCH(837, 輔助計算!$G$2:$G$801, 0)+1))&lt;=46.5,2,1)), IF(INDEX(ERP資料!$G:$G, (MATCH(837, 輔助計算!$G$2:$G$801, 0)+1))&lt;=790,3,IF(INDEX(ERP資料!$G:$G, (MATCH(837, 輔助計算!$G$2:$G$801, 0)+1))&lt;=1181,2,1))))=2,TEXT(INDEX(ERP資料!$G:$G, (MATCH(837, 輔助計算!$G$2:$G$801, 0)+1)),"0.##")&amp;"+"&amp;TEXT(INDEX(ERP資料!$G:$G, (MATCH(837, 輔助計算!$G$2:$G$801, 0)+1)),"0.##"),TEXT(INDEX(ERP資料!$G:$G, (MATCH(837, 輔助計算!$G$2:$G$801, 0)+1)),"0.##")&amp;"+"&amp;TEXT(INDEX(ERP資料!$G:$G, (MATCH(837, 輔助計算!$G$2:$G$801, 0)+1)),"0.##")&amp;"+"&amp;TEXT(INDEX(ERP資料!$G:$G, (MATCH(837, 輔助計算!$G$2:$G$801, 0)+1)),"0.##"))))&amp;"-1")&lt;&gt;""),"  ","")&amp;IF(MOD(INDEX(輔助計算!$D:$D, (MATCH(837, 輔助計算!$G$2:$G$801, 0)+1)),IF(INDEX(ERP資料!$G:$G, (MATCH(837, 輔助計算!$G$2:$G$801, 0)+1))&lt;100, IF(INDEX(ERP資料!$G:$G, (MATCH(837, 輔助計算!$G$2:$G$801, 0)+1))&lt;=31,3,IF(INDEX(ERP資料!$G:$G, (MATCH(837, 輔助計算!$G$2:$G$801, 0)+1))&lt;=46.5,2,1)), IF(INDEX(ERP資料!$G:$G, (MATCH(837, 輔助計算!$G$2:$G$801, 0)+1))&lt;=790,3,IF(INDEX(ERP資料!$G:$G, (MATCH(837, 輔助計算!$G$2:$G$801, 0)+1))&lt;=1181,2,1))))=0,"",IF(MOD(INDEX(輔助計算!$D:$D, (MATCH(837, 輔助計算!$G$2:$G$801, 0)+1)),IF(INDEX(ERP資料!$G:$G, (MATCH(837, 輔助計算!$G$2:$G$801, 0)+1))&lt;100, IF(INDEX(ERP資料!$G:$G, (MATCH(837, 輔助計算!$G$2:$G$801, 0)+1))&lt;=31,3,IF(INDEX(ERP資料!$G:$G, (MATCH(837, 輔助計算!$G$2:$G$801, 0)+1))&lt;=46.5,2,1)), IF(INDEX(ERP資料!$G:$G, (MATCH(837, 輔助計算!$G$2:$G$801, 0)+1))&lt;=790,3,IF(INDEX(ERP資料!$G:$G, (MATCH(837, 輔助計算!$G$2:$G$801, 0)+1))&lt;=1181,2,1))))=0,"",IF(MOD(INDEX(輔助計算!$D:$D, (MATCH(837, 輔助計算!$G$2:$G$801, 0)+1)),IF(INDEX(ERP資料!$G:$G, (MATCH(837, 輔助計算!$G$2:$G$801, 0)+1))&lt;100, IF(INDEX(ERP資料!$G:$G, (MATCH(837, 輔助計算!$G$2:$G$801, 0)+1))&lt;=31,3,IF(INDEX(ERP資料!$G:$G, (MATCH(837, 輔助計算!$G$2:$G$801, 0)+1))&lt;=46.5,2,1)), IF(INDEX(ERP資料!$G:$G, (MATCH(837, 輔助計算!$G$2:$G$801, 0)+1))&lt;=790,3,IF(INDEX(ERP資料!$G:$G, (MATCH(837, 輔助計算!$G$2:$G$801, 0)+1))&lt;=1181,2,1))))=1,TEXT(INDEX(ERP資料!$G:$G, (MATCH(837, 輔助計算!$G$2:$G$801, 0)+1)),"0.##"),IF(MOD(INDEX(輔助計算!$D:$D, (MATCH(837, 輔助計算!$G$2:$G$801, 0)+1)),IF(INDEX(ERP資料!$G:$G, (MATCH(837, 輔助計算!$G$2:$G$801, 0)+1))&lt;100, IF(INDEX(ERP資料!$G:$G, (MATCH(837, 輔助計算!$G$2:$G$801, 0)+1))&lt;=31,3,IF(INDEX(ERP資料!$G:$G, (MATCH(837, 輔助計算!$G$2:$G$801, 0)+1))&lt;=46.5,2,1)), IF(INDEX(ERP資料!$G:$G, (MATCH(837, 輔助計算!$G$2:$G$801, 0)+1))&lt;=790,3,IF(INDEX(ERP資料!$G:$G, (MATCH(837, 輔助計算!$G$2:$G$801, 0)+1))&lt;=1181,2,1))))=2,TEXT(INDEX(ERP資料!$G:$G, (MATCH(837, 輔助計算!$G$2:$G$801, 0)+1)),"0.##")&amp;"+"&amp;TEXT(INDEX(ERP資料!$G:$G, (MATCH(837, 輔助計算!$G$2:$G$801, 0)+1)),"0.##"),TEXT(INDEX(ERP資料!$G:$G, (MATCH(837, 輔助計算!$G$2:$G$801, 0)+1)),"0.##")&amp;"+"&amp;TEXT(INDEX(ERP資料!$G:$G, (MATCH(837, 輔助計算!$G$2:$G$801, 0)+1)),"0.##")&amp;"+"&amp;TEXT(INDEX(ERP資料!$G:$G, (MATCH(837, 輔助計算!$G$2:$G$801, 0)+1)),"0.##"))))&amp;"-1")), ""), "")</f>
        <v/>
      </c>
      <c r="K838" s="16" t="n"/>
      <c r="L838" s="14">
        <f>IFERROR(IF(AND(IFERROR(INDEX(ERP資料!$A:$A, (MATCH(837, 輔助計算!$G$2:$G$801, 0)+1)), "")&lt;&gt;"", IFERROR(INDEX(ERP資料!$A:$A, (MATCH(837, 輔助計算!$G$2:$G$801, 0)+1)), "")&lt;&gt;IFERROR(INDEX(ERP資料!$A:$A, MATCH(836, 輔助計算!$G$2:$G$801, 0)+1), "")), INDEX(ERP資料!$B:$B, (MATCH(837, 輔助計算!$G$2:$G$801, 0)+1)), ""), "")</f>
        <v/>
      </c>
      <c r="M838" s="17" t="n"/>
    </row>
    <row r="839">
      <c r="A839" s="10">
        <f>IFERROR(IF(AND(IFERROR(INDEX(ERP資料!$A:$A, (MATCH(838, 輔助計算!$G$2:$G$801, 0)+1)), "")&lt;&gt;"", IFERROR(INDEX(ERP資料!$A:$A, (MATCH(838, 輔助計算!$G$2:$G$801, 0)+1)), "")&lt;&gt;IFERROR(INDEX(ERP資料!$A:$A, MATCH(837, 輔助計算!$G$2:$G$801, 0)+1), "")), IFERROR(INDEX(ERP資料!$A:$A, (MATCH(838, 輔助計算!$G$2:$G$801, 0)+1)), ""), ""), "")</f>
        <v/>
      </c>
      <c r="B839" s="10">
        <f>IFERROR(IF(AND(IFERROR(INDEX(ERP資料!$A:$A, (MATCH(838, 輔助計算!$G$2:$G$801, 0)+1)), "")&lt;&gt;"", IFERROR(INDEX(ERP資料!$A:$A, (MATCH(838, 輔助計算!$G$2:$G$801, 0)+1)), "")&lt;&gt;IFERROR(INDEX(ERP資料!$A:$A, MATCH(837, 輔助計算!$G$2:$G$801, 0)+1), "")), INDEX(ERP資料!$S:$S, (MATCH(838, 輔助計算!$G$2:$G$801, 0)+1)), ""), "")</f>
        <v/>
      </c>
      <c r="C839" s="19">
        <f>IFERROR(IF(AND(IFERROR(INDEX(ERP資料!$A:$A, (MATCH(838, 輔助計算!$G$2:$G$801, 0)+1)), "")&lt;&gt;"", IFERROR(INDEX(ERP資料!$A:$A, (MATCH(838, 輔助計算!$G$2:$G$801, 0)+1)), "")&lt;&gt;IFERROR(INDEX(ERP資料!$A:$A, MATCH(837, 輔助計算!$G$2:$G$801, 0)+1), "")), IFERROR(VLOOKUP(LEFT(INDEX(ERP資料!$S:$S, (MATCH(838, 輔助計算!$G$2:$G$801, 0)+1)), 4), 紙管對照表!$A:$C, 3, FALSE), ""), ""), "")</f>
        <v/>
      </c>
      <c r="D839" s="16" t="n"/>
      <c r="E839" s="10">
        <f>IFERROR(IF(INDEX(ERP資料!$H:$H, (MATCH(838, 輔助計算!$G$2:$G$801, 0)+1))="","",INDEX(ERP資料!$H:$H, (MATCH(838, 輔助計算!$G$2:$G$801, 0)+1))), "")</f>
        <v/>
      </c>
      <c r="F839" s="10">
        <f>IFERROR(IF(INDEX(ERP資料!$E:$E, (MATCH(838, 輔助計算!$G$2:$G$801, 0)+1))="","",TRIM(INDEX(ERP資料!$E:$E, (MATCH(838, 輔助計算!$G$2:$G$801, 0)+1)))), "")</f>
        <v/>
      </c>
      <c r="G839" s="10">
        <f>IFERROR(IF(INDEX(ERP資料!$F:$F, (MATCH(838, 輔助計算!$G$2:$G$801, 0)+1))="","",INDEX(ERP資料!$F:$F, (MATCH(838, 輔助計算!$G$2:$G$801, 0)+1))), "")</f>
        <v/>
      </c>
      <c r="H839" s="10">
        <f>IFERROR(IF(INDEX(ERP資料!$G:$G, (MATCH(838, 輔助計算!$G$2:$G$801, 0)+1))="","",INDEX(ERP資料!$G:$G, (MATCH(838, 輔助計算!$G$2:$G$801, 0)+1))), "")</f>
        <v/>
      </c>
      <c r="I839" s="15">
        <f>IFERROR(INDEX(輔助計算!$D:$D, (MATCH(838, 輔助計算!$G$2:$G$801, 0)+1)), "")</f>
        <v/>
      </c>
      <c r="J839" s="15">
        <f>IFERROR(IF(AND(INDEX(輔助計算!$D:$D, (MATCH(838, 輔助計算!$G$2:$G$801, 0)+1))&lt;&gt;"", INDEX(ERP資料!$G:$G, (MATCH(838, 輔助計算!$G$2:$G$801, 0)+1))&lt;&gt;""), TRIM(IF(INT(INDEX(輔助計算!$D:$D, (MATCH(838, 輔助計算!$G$2:$G$801, 0)+1))/IF(INDEX(ERP資料!$G:$G, (MATCH(838, 輔助計算!$G$2:$G$801, 0)+1))&lt;100, IF(INDEX(ERP資料!$G:$G, (MATCH(838, 輔助計算!$G$2:$G$801, 0)+1))&lt;=31,3,IF(INDEX(ERP資料!$G:$G, (MATCH(838, 輔助計算!$G$2:$G$801, 0)+1))&lt;=46.5,2,1)), IF(INDEX(ERP資料!$G:$G, (MATCH(838, 輔助計算!$G$2:$G$801, 0)+1))&lt;=790,3,IF(INDEX(ERP資料!$G:$G, (MATCH(838, 輔助計算!$G$2:$G$801, 0)+1))&lt;=1181,2,1))))&gt;0, IF(IF(INDEX(ERP資料!$G:$G, (MATCH(838, 輔助計算!$G$2:$G$801, 0)+1))&lt;100, IF(INDEX(ERP資料!$G:$G, (MATCH(838, 輔助計算!$G$2:$G$801, 0)+1))&lt;=31,3,IF(INDEX(ERP資料!$G:$G, (MATCH(838, 輔助計算!$G$2:$G$801, 0)+1))&lt;=46.5,2,1)), IF(INDEX(ERP資料!$G:$G, (MATCH(838, 輔助計算!$G$2:$G$801, 0)+1))&lt;=790,3,IF(INDEX(ERP資料!$G:$G, (MATCH(838, 輔助計算!$G$2:$G$801, 0)+1))&lt;=1181,2,1)))=1,TEXT(INDEX(ERP資料!$G:$G, (MATCH(838, 輔助計算!$G$2:$G$801, 0)+1)),"0.##"),IF(IF(INDEX(ERP資料!$G:$G, (MATCH(838, 輔助計算!$G$2:$G$801, 0)+1))&lt;100, IF(INDEX(ERP資料!$G:$G, (MATCH(838, 輔助計算!$G$2:$G$801, 0)+1))&lt;=31,3,IF(INDEX(ERP資料!$G:$G, (MATCH(838, 輔助計算!$G$2:$G$801, 0)+1))&lt;=46.5,2,1)), IF(INDEX(ERP資料!$G:$G, (MATCH(838, 輔助計算!$G$2:$G$801, 0)+1))&lt;=790,3,IF(INDEX(ERP資料!$G:$G, (MATCH(838, 輔助計算!$G$2:$G$801, 0)+1))&lt;=1181,2,1)))=2,TEXT(INDEX(ERP資料!$G:$G, (MATCH(838, 輔助計算!$G$2:$G$801, 0)+1)),"0.##")&amp;"+"&amp;TEXT(INDEX(ERP資料!$G:$G, (MATCH(838, 輔助計算!$G$2:$G$801, 0)+1)),"0.##"),TEXT(INDEX(ERP資料!$G:$G, (MATCH(838, 輔助計算!$G$2:$G$801, 0)+1)),"0.##")&amp;"+"&amp;TEXT(INDEX(ERP資料!$G:$G, (MATCH(838, 輔助計算!$G$2:$G$801, 0)+1)),"0.##")&amp;"+"&amp;TEXT(INDEX(ERP資料!$G:$G, (MATCH(838, 輔助計算!$G$2:$G$801, 0)+1)),"0.##")))&amp;"-"&amp;INT(INDEX(輔助計算!$D:$D, (MATCH(838, 輔助計算!$G$2:$G$801, 0)+1))/IF(INDEX(ERP資料!$G:$G, (MATCH(838, 輔助計算!$G$2:$G$801, 0)+1))&lt;100, IF(INDEX(ERP資料!$G:$G, (MATCH(838, 輔助計算!$G$2:$G$801, 0)+1))&lt;=31,3,IF(INDEX(ERP資料!$G:$G, (MATCH(838, 輔助計算!$G$2:$G$801, 0)+1))&lt;=46.5,2,1)), IF(INDEX(ERP資料!$G:$G, (MATCH(838, 輔助計算!$G$2:$G$801, 0)+1))&lt;=790,3,IF(INDEX(ERP資料!$G:$G, (MATCH(838, 輔助計算!$G$2:$G$801, 0)+1))&lt;=1181,2,1)))), "")&amp;IF(AND(IF(INT(INDEX(輔助計算!$D:$D, (MATCH(838, 輔助計算!$G$2:$G$801, 0)+1))/IF(INDEX(ERP資料!$G:$G, (MATCH(838, 輔助計算!$G$2:$G$801, 0)+1))&lt;100, IF(INDEX(ERP資料!$G:$G, (MATCH(838, 輔助計算!$G$2:$G$801, 0)+1))&lt;=31,3,IF(INDEX(ERP資料!$G:$G, (MATCH(838, 輔助計算!$G$2:$G$801, 0)+1))&lt;=46.5,2,1)), IF(INDEX(ERP資料!$G:$G, (MATCH(838, 輔助計算!$G$2:$G$801, 0)+1))&lt;=790,3,IF(INDEX(ERP資料!$G:$G, (MATCH(838, 輔助計算!$G$2:$G$801, 0)+1))&lt;=1181,2,1))))&gt;0, IF(IF(INDEX(ERP資料!$G:$G, (MATCH(838, 輔助計算!$G$2:$G$801, 0)+1))&lt;100, IF(INDEX(ERP資料!$G:$G, (MATCH(838, 輔助計算!$G$2:$G$801, 0)+1))&lt;=31,3,IF(INDEX(ERP資料!$G:$G, (MATCH(838, 輔助計算!$G$2:$G$801, 0)+1))&lt;=46.5,2,1)), IF(INDEX(ERP資料!$G:$G, (MATCH(838, 輔助計算!$G$2:$G$801, 0)+1))&lt;=790,3,IF(INDEX(ERP資料!$G:$G, (MATCH(838, 輔助計算!$G$2:$G$801, 0)+1))&lt;=1181,2,1)))=1,TEXT(INDEX(ERP資料!$G:$G, (MATCH(838, 輔助計算!$G$2:$G$801, 0)+1)),"0.##"),IF(IF(INDEX(ERP資料!$G:$G, (MATCH(838, 輔助計算!$G$2:$G$801, 0)+1))&lt;100, IF(INDEX(ERP資料!$G:$G, (MATCH(838, 輔助計算!$G$2:$G$801, 0)+1))&lt;=31,3,IF(INDEX(ERP資料!$G:$G, (MATCH(838, 輔助計算!$G$2:$G$801, 0)+1))&lt;=46.5,2,1)), IF(INDEX(ERP資料!$G:$G, (MATCH(838, 輔助計算!$G$2:$G$801, 0)+1))&lt;=790,3,IF(INDEX(ERP資料!$G:$G, (MATCH(838, 輔助計算!$G$2:$G$801, 0)+1))&lt;=1181,2,1)))=2,TEXT(INDEX(ERP資料!$G:$G, (MATCH(838, 輔助計算!$G$2:$G$801, 0)+1)),"0.##")&amp;"+"&amp;TEXT(INDEX(ERP資料!$G:$G, (MATCH(838, 輔助計算!$G$2:$G$801, 0)+1)),"0.##"),TEXT(INDEX(ERP資料!$G:$G, (MATCH(838, 輔助計算!$G$2:$G$801, 0)+1)),"0.##")&amp;"+"&amp;TEXT(INDEX(ERP資料!$G:$G, (MATCH(838, 輔助計算!$G$2:$G$801, 0)+1)),"0.##")&amp;"+"&amp;TEXT(INDEX(ERP資料!$G:$G, (MATCH(838, 輔助計算!$G$2:$G$801, 0)+1)),"0.##")))&amp;"-"&amp;INT(INDEX(輔助計算!$D:$D, (MATCH(838, 輔助計算!$G$2:$G$801, 0)+1))/IF(INDEX(ERP資料!$G:$G, (MATCH(838, 輔助計算!$G$2:$G$801, 0)+1))&lt;100, IF(INDEX(ERP資料!$G:$G, (MATCH(838, 輔助計算!$G$2:$G$801, 0)+1))&lt;=31,3,IF(INDEX(ERP資料!$G:$G, (MATCH(838, 輔助計算!$G$2:$G$801, 0)+1))&lt;=46.5,2,1)), IF(INDEX(ERP資料!$G:$G, (MATCH(838, 輔助計算!$G$2:$G$801, 0)+1))&lt;=790,3,IF(INDEX(ERP資料!$G:$G, (MATCH(838, 輔助計算!$G$2:$G$801, 0)+1))&lt;=1181,2,1)))), "")&lt;&gt;"",IF(MOD(INDEX(輔助計算!$D:$D, (MATCH(838, 輔助計算!$G$2:$G$801, 0)+1)),IF(INDEX(ERP資料!$G:$G, (MATCH(838, 輔助計算!$G$2:$G$801, 0)+1))&lt;100, IF(INDEX(ERP資料!$G:$G, (MATCH(838, 輔助計算!$G$2:$G$801, 0)+1))&lt;=31,3,IF(INDEX(ERP資料!$G:$G, (MATCH(838, 輔助計算!$G$2:$G$801, 0)+1))&lt;=46.5,2,1)), IF(INDEX(ERP資料!$G:$G, (MATCH(838, 輔助計算!$G$2:$G$801, 0)+1))&lt;=790,3,IF(INDEX(ERP資料!$G:$G, (MATCH(838, 輔助計算!$G$2:$G$801, 0)+1))&lt;=1181,2,1))))=0,"",IF(MOD(INDEX(輔助計算!$D:$D, (MATCH(838, 輔助計算!$G$2:$G$801, 0)+1)),IF(INDEX(ERP資料!$G:$G, (MATCH(838, 輔助計算!$G$2:$G$801, 0)+1))&lt;100, IF(INDEX(ERP資料!$G:$G, (MATCH(838, 輔助計算!$G$2:$G$801, 0)+1))&lt;=31,3,IF(INDEX(ERP資料!$G:$G, (MATCH(838, 輔助計算!$G$2:$G$801, 0)+1))&lt;=46.5,2,1)), IF(INDEX(ERP資料!$G:$G, (MATCH(838, 輔助計算!$G$2:$G$801, 0)+1))&lt;=790,3,IF(INDEX(ERP資料!$G:$G, (MATCH(838, 輔助計算!$G$2:$G$801, 0)+1))&lt;=1181,2,1))))=0,"",IF(MOD(INDEX(輔助計算!$D:$D, (MATCH(838, 輔助計算!$G$2:$G$801, 0)+1)),IF(INDEX(ERP資料!$G:$G, (MATCH(838, 輔助計算!$G$2:$G$801, 0)+1))&lt;100, IF(INDEX(ERP資料!$G:$G, (MATCH(838, 輔助計算!$G$2:$G$801, 0)+1))&lt;=31,3,IF(INDEX(ERP資料!$G:$G, (MATCH(838, 輔助計算!$G$2:$G$801, 0)+1))&lt;=46.5,2,1)), IF(INDEX(ERP資料!$G:$G, (MATCH(838, 輔助計算!$G$2:$G$801, 0)+1))&lt;=790,3,IF(INDEX(ERP資料!$G:$G, (MATCH(838, 輔助計算!$G$2:$G$801, 0)+1))&lt;=1181,2,1))))=1,TEXT(INDEX(ERP資料!$G:$G, (MATCH(838, 輔助計算!$G$2:$G$801, 0)+1)),"0.##"),IF(MOD(INDEX(輔助計算!$D:$D, (MATCH(838, 輔助計算!$G$2:$G$801, 0)+1)),IF(INDEX(ERP資料!$G:$G, (MATCH(838, 輔助計算!$G$2:$G$801, 0)+1))&lt;100, IF(INDEX(ERP資料!$G:$G, (MATCH(838, 輔助計算!$G$2:$G$801, 0)+1))&lt;=31,3,IF(INDEX(ERP資料!$G:$G, (MATCH(838, 輔助計算!$G$2:$G$801, 0)+1))&lt;=46.5,2,1)), IF(INDEX(ERP資料!$G:$G, (MATCH(838, 輔助計算!$G$2:$G$801, 0)+1))&lt;=790,3,IF(INDEX(ERP資料!$G:$G, (MATCH(838, 輔助計算!$G$2:$G$801, 0)+1))&lt;=1181,2,1))))=2,TEXT(INDEX(ERP資料!$G:$G, (MATCH(838, 輔助計算!$G$2:$G$801, 0)+1)),"0.##")&amp;"+"&amp;TEXT(INDEX(ERP資料!$G:$G, (MATCH(838, 輔助計算!$G$2:$G$801, 0)+1)),"0.##"),TEXT(INDEX(ERP資料!$G:$G, (MATCH(838, 輔助計算!$G$2:$G$801, 0)+1)),"0.##")&amp;"+"&amp;TEXT(INDEX(ERP資料!$G:$G, (MATCH(838, 輔助計算!$G$2:$G$801, 0)+1)),"0.##")&amp;"+"&amp;TEXT(INDEX(ERP資料!$G:$G, (MATCH(838, 輔助計算!$G$2:$G$801, 0)+1)),"0.##"))))&amp;"-1")&lt;&gt;""),"  ","")&amp;IF(MOD(INDEX(輔助計算!$D:$D, (MATCH(838, 輔助計算!$G$2:$G$801, 0)+1)),IF(INDEX(ERP資料!$G:$G, (MATCH(838, 輔助計算!$G$2:$G$801, 0)+1))&lt;100, IF(INDEX(ERP資料!$G:$G, (MATCH(838, 輔助計算!$G$2:$G$801, 0)+1))&lt;=31,3,IF(INDEX(ERP資料!$G:$G, (MATCH(838, 輔助計算!$G$2:$G$801, 0)+1))&lt;=46.5,2,1)), IF(INDEX(ERP資料!$G:$G, (MATCH(838, 輔助計算!$G$2:$G$801, 0)+1))&lt;=790,3,IF(INDEX(ERP資料!$G:$G, (MATCH(838, 輔助計算!$G$2:$G$801, 0)+1))&lt;=1181,2,1))))=0,"",IF(MOD(INDEX(輔助計算!$D:$D, (MATCH(838, 輔助計算!$G$2:$G$801, 0)+1)),IF(INDEX(ERP資料!$G:$G, (MATCH(838, 輔助計算!$G$2:$G$801, 0)+1))&lt;100, IF(INDEX(ERP資料!$G:$G, (MATCH(838, 輔助計算!$G$2:$G$801, 0)+1))&lt;=31,3,IF(INDEX(ERP資料!$G:$G, (MATCH(838, 輔助計算!$G$2:$G$801, 0)+1))&lt;=46.5,2,1)), IF(INDEX(ERP資料!$G:$G, (MATCH(838, 輔助計算!$G$2:$G$801, 0)+1))&lt;=790,3,IF(INDEX(ERP資料!$G:$G, (MATCH(838, 輔助計算!$G$2:$G$801, 0)+1))&lt;=1181,2,1))))=0,"",IF(MOD(INDEX(輔助計算!$D:$D, (MATCH(838, 輔助計算!$G$2:$G$801, 0)+1)),IF(INDEX(ERP資料!$G:$G, (MATCH(838, 輔助計算!$G$2:$G$801, 0)+1))&lt;100, IF(INDEX(ERP資料!$G:$G, (MATCH(838, 輔助計算!$G$2:$G$801, 0)+1))&lt;=31,3,IF(INDEX(ERP資料!$G:$G, (MATCH(838, 輔助計算!$G$2:$G$801, 0)+1))&lt;=46.5,2,1)), IF(INDEX(ERP資料!$G:$G, (MATCH(838, 輔助計算!$G$2:$G$801, 0)+1))&lt;=790,3,IF(INDEX(ERP資料!$G:$G, (MATCH(838, 輔助計算!$G$2:$G$801, 0)+1))&lt;=1181,2,1))))=1,TEXT(INDEX(ERP資料!$G:$G, (MATCH(838, 輔助計算!$G$2:$G$801, 0)+1)),"0.##"),IF(MOD(INDEX(輔助計算!$D:$D, (MATCH(838, 輔助計算!$G$2:$G$801, 0)+1)),IF(INDEX(ERP資料!$G:$G, (MATCH(838, 輔助計算!$G$2:$G$801, 0)+1))&lt;100, IF(INDEX(ERP資料!$G:$G, (MATCH(838, 輔助計算!$G$2:$G$801, 0)+1))&lt;=31,3,IF(INDEX(ERP資料!$G:$G, (MATCH(838, 輔助計算!$G$2:$G$801, 0)+1))&lt;=46.5,2,1)), IF(INDEX(ERP資料!$G:$G, (MATCH(838, 輔助計算!$G$2:$G$801, 0)+1))&lt;=790,3,IF(INDEX(ERP資料!$G:$G, (MATCH(838, 輔助計算!$G$2:$G$801, 0)+1))&lt;=1181,2,1))))=2,TEXT(INDEX(ERP資料!$G:$G, (MATCH(838, 輔助計算!$G$2:$G$801, 0)+1)),"0.##")&amp;"+"&amp;TEXT(INDEX(ERP資料!$G:$G, (MATCH(838, 輔助計算!$G$2:$G$801, 0)+1)),"0.##"),TEXT(INDEX(ERP資料!$G:$G, (MATCH(838, 輔助計算!$G$2:$G$801, 0)+1)),"0.##")&amp;"+"&amp;TEXT(INDEX(ERP資料!$G:$G, (MATCH(838, 輔助計算!$G$2:$G$801, 0)+1)),"0.##")&amp;"+"&amp;TEXT(INDEX(ERP資料!$G:$G, (MATCH(838, 輔助計算!$G$2:$G$801, 0)+1)),"0.##"))))&amp;"-1")), ""), "")</f>
        <v/>
      </c>
      <c r="K839" s="16" t="n"/>
      <c r="L839" s="14">
        <f>IFERROR(IF(AND(IFERROR(INDEX(ERP資料!$A:$A, (MATCH(838, 輔助計算!$G$2:$G$801, 0)+1)), "")&lt;&gt;"", IFERROR(INDEX(ERP資料!$A:$A, (MATCH(838, 輔助計算!$G$2:$G$801, 0)+1)), "")&lt;&gt;IFERROR(INDEX(ERP資料!$A:$A, MATCH(837, 輔助計算!$G$2:$G$801, 0)+1), "")), INDEX(ERP資料!$B:$B, (MATCH(838, 輔助計算!$G$2:$G$801, 0)+1)), ""), "")</f>
        <v/>
      </c>
      <c r="M839" s="17" t="n"/>
    </row>
    <row r="840">
      <c r="A840" s="10">
        <f>IFERROR(IF(AND(IFERROR(INDEX(ERP資料!$A:$A, (MATCH(839, 輔助計算!$G$2:$G$801, 0)+1)), "")&lt;&gt;"", IFERROR(INDEX(ERP資料!$A:$A, (MATCH(839, 輔助計算!$G$2:$G$801, 0)+1)), "")&lt;&gt;IFERROR(INDEX(ERP資料!$A:$A, MATCH(838, 輔助計算!$G$2:$G$801, 0)+1), "")), IFERROR(INDEX(ERP資料!$A:$A, (MATCH(839, 輔助計算!$G$2:$G$801, 0)+1)), ""), ""), "")</f>
        <v/>
      </c>
      <c r="B840" s="10">
        <f>IFERROR(IF(AND(IFERROR(INDEX(ERP資料!$A:$A, (MATCH(839, 輔助計算!$G$2:$G$801, 0)+1)), "")&lt;&gt;"", IFERROR(INDEX(ERP資料!$A:$A, (MATCH(839, 輔助計算!$G$2:$G$801, 0)+1)), "")&lt;&gt;IFERROR(INDEX(ERP資料!$A:$A, MATCH(838, 輔助計算!$G$2:$G$801, 0)+1), "")), INDEX(ERP資料!$S:$S, (MATCH(839, 輔助計算!$G$2:$G$801, 0)+1)), ""), "")</f>
        <v/>
      </c>
      <c r="C840" s="19">
        <f>IFERROR(IF(AND(IFERROR(INDEX(ERP資料!$A:$A, (MATCH(839, 輔助計算!$G$2:$G$801, 0)+1)), "")&lt;&gt;"", IFERROR(INDEX(ERP資料!$A:$A, (MATCH(839, 輔助計算!$G$2:$G$801, 0)+1)), "")&lt;&gt;IFERROR(INDEX(ERP資料!$A:$A, MATCH(838, 輔助計算!$G$2:$G$801, 0)+1), "")), IFERROR(VLOOKUP(LEFT(INDEX(ERP資料!$S:$S, (MATCH(839, 輔助計算!$G$2:$G$801, 0)+1)), 4), 紙管對照表!$A:$C, 3, FALSE), ""), ""), "")</f>
        <v/>
      </c>
      <c r="D840" s="16" t="n"/>
      <c r="E840" s="10">
        <f>IFERROR(IF(INDEX(ERP資料!$H:$H, (MATCH(839, 輔助計算!$G$2:$G$801, 0)+1))="","",INDEX(ERP資料!$H:$H, (MATCH(839, 輔助計算!$G$2:$G$801, 0)+1))), "")</f>
        <v/>
      </c>
      <c r="F840" s="10">
        <f>IFERROR(IF(INDEX(ERP資料!$E:$E, (MATCH(839, 輔助計算!$G$2:$G$801, 0)+1))="","",TRIM(INDEX(ERP資料!$E:$E, (MATCH(839, 輔助計算!$G$2:$G$801, 0)+1)))), "")</f>
        <v/>
      </c>
      <c r="G840" s="10">
        <f>IFERROR(IF(INDEX(ERP資料!$F:$F, (MATCH(839, 輔助計算!$G$2:$G$801, 0)+1))="","",INDEX(ERP資料!$F:$F, (MATCH(839, 輔助計算!$G$2:$G$801, 0)+1))), "")</f>
        <v/>
      </c>
      <c r="H840" s="10">
        <f>IFERROR(IF(INDEX(ERP資料!$G:$G, (MATCH(839, 輔助計算!$G$2:$G$801, 0)+1))="","",INDEX(ERP資料!$G:$G, (MATCH(839, 輔助計算!$G$2:$G$801, 0)+1))), "")</f>
        <v/>
      </c>
      <c r="I840" s="15">
        <f>IFERROR(INDEX(輔助計算!$D:$D, (MATCH(839, 輔助計算!$G$2:$G$801, 0)+1)), "")</f>
        <v/>
      </c>
      <c r="J840" s="15">
        <f>IFERROR(IF(AND(INDEX(輔助計算!$D:$D, (MATCH(839, 輔助計算!$G$2:$G$801, 0)+1))&lt;&gt;"", INDEX(ERP資料!$G:$G, (MATCH(839, 輔助計算!$G$2:$G$801, 0)+1))&lt;&gt;""), TRIM(IF(INT(INDEX(輔助計算!$D:$D, (MATCH(839, 輔助計算!$G$2:$G$801, 0)+1))/IF(INDEX(ERP資料!$G:$G, (MATCH(839, 輔助計算!$G$2:$G$801, 0)+1))&lt;100, IF(INDEX(ERP資料!$G:$G, (MATCH(839, 輔助計算!$G$2:$G$801, 0)+1))&lt;=31,3,IF(INDEX(ERP資料!$G:$G, (MATCH(839, 輔助計算!$G$2:$G$801, 0)+1))&lt;=46.5,2,1)), IF(INDEX(ERP資料!$G:$G, (MATCH(839, 輔助計算!$G$2:$G$801, 0)+1))&lt;=790,3,IF(INDEX(ERP資料!$G:$G, (MATCH(839, 輔助計算!$G$2:$G$801, 0)+1))&lt;=1181,2,1))))&gt;0, IF(IF(INDEX(ERP資料!$G:$G, (MATCH(839, 輔助計算!$G$2:$G$801, 0)+1))&lt;100, IF(INDEX(ERP資料!$G:$G, (MATCH(839, 輔助計算!$G$2:$G$801, 0)+1))&lt;=31,3,IF(INDEX(ERP資料!$G:$G, (MATCH(839, 輔助計算!$G$2:$G$801, 0)+1))&lt;=46.5,2,1)), IF(INDEX(ERP資料!$G:$G, (MATCH(839, 輔助計算!$G$2:$G$801, 0)+1))&lt;=790,3,IF(INDEX(ERP資料!$G:$G, (MATCH(839, 輔助計算!$G$2:$G$801, 0)+1))&lt;=1181,2,1)))=1,TEXT(INDEX(ERP資料!$G:$G, (MATCH(839, 輔助計算!$G$2:$G$801, 0)+1)),"0.##"),IF(IF(INDEX(ERP資料!$G:$G, (MATCH(839, 輔助計算!$G$2:$G$801, 0)+1))&lt;100, IF(INDEX(ERP資料!$G:$G, (MATCH(839, 輔助計算!$G$2:$G$801, 0)+1))&lt;=31,3,IF(INDEX(ERP資料!$G:$G, (MATCH(839, 輔助計算!$G$2:$G$801, 0)+1))&lt;=46.5,2,1)), IF(INDEX(ERP資料!$G:$G, (MATCH(839, 輔助計算!$G$2:$G$801, 0)+1))&lt;=790,3,IF(INDEX(ERP資料!$G:$G, (MATCH(839, 輔助計算!$G$2:$G$801, 0)+1))&lt;=1181,2,1)))=2,TEXT(INDEX(ERP資料!$G:$G, (MATCH(839, 輔助計算!$G$2:$G$801, 0)+1)),"0.##")&amp;"+"&amp;TEXT(INDEX(ERP資料!$G:$G, (MATCH(839, 輔助計算!$G$2:$G$801, 0)+1)),"0.##"),TEXT(INDEX(ERP資料!$G:$G, (MATCH(839, 輔助計算!$G$2:$G$801, 0)+1)),"0.##")&amp;"+"&amp;TEXT(INDEX(ERP資料!$G:$G, (MATCH(839, 輔助計算!$G$2:$G$801, 0)+1)),"0.##")&amp;"+"&amp;TEXT(INDEX(ERP資料!$G:$G, (MATCH(839, 輔助計算!$G$2:$G$801, 0)+1)),"0.##")))&amp;"-"&amp;INT(INDEX(輔助計算!$D:$D, (MATCH(839, 輔助計算!$G$2:$G$801, 0)+1))/IF(INDEX(ERP資料!$G:$G, (MATCH(839, 輔助計算!$G$2:$G$801, 0)+1))&lt;100, IF(INDEX(ERP資料!$G:$G, (MATCH(839, 輔助計算!$G$2:$G$801, 0)+1))&lt;=31,3,IF(INDEX(ERP資料!$G:$G, (MATCH(839, 輔助計算!$G$2:$G$801, 0)+1))&lt;=46.5,2,1)), IF(INDEX(ERP資料!$G:$G, (MATCH(839, 輔助計算!$G$2:$G$801, 0)+1))&lt;=790,3,IF(INDEX(ERP資料!$G:$G, (MATCH(839, 輔助計算!$G$2:$G$801, 0)+1))&lt;=1181,2,1)))), "")&amp;IF(AND(IF(INT(INDEX(輔助計算!$D:$D, (MATCH(839, 輔助計算!$G$2:$G$801, 0)+1))/IF(INDEX(ERP資料!$G:$G, (MATCH(839, 輔助計算!$G$2:$G$801, 0)+1))&lt;100, IF(INDEX(ERP資料!$G:$G, (MATCH(839, 輔助計算!$G$2:$G$801, 0)+1))&lt;=31,3,IF(INDEX(ERP資料!$G:$G, (MATCH(839, 輔助計算!$G$2:$G$801, 0)+1))&lt;=46.5,2,1)), IF(INDEX(ERP資料!$G:$G, (MATCH(839, 輔助計算!$G$2:$G$801, 0)+1))&lt;=790,3,IF(INDEX(ERP資料!$G:$G, (MATCH(839, 輔助計算!$G$2:$G$801, 0)+1))&lt;=1181,2,1))))&gt;0, IF(IF(INDEX(ERP資料!$G:$G, (MATCH(839, 輔助計算!$G$2:$G$801, 0)+1))&lt;100, IF(INDEX(ERP資料!$G:$G, (MATCH(839, 輔助計算!$G$2:$G$801, 0)+1))&lt;=31,3,IF(INDEX(ERP資料!$G:$G, (MATCH(839, 輔助計算!$G$2:$G$801, 0)+1))&lt;=46.5,2,1)), IF(INDEX(ERP資料!$G:$G, (MATCH(839, 輔助計算!$G$2:$G$801, 0)+1))&lt;=790,3,IF(INDEX(ERP資料!$G:$G, (MATCH(839, 輔助計算!$G$2:$G$801, 0)+1))&lt;=1181,2,1)))=1,TEXT(INDEX(ERP資料!$G:$G, (MATCH(839, 輔助計算!$G$2:$G$801, 0)+1)),"0.##"),IF(IF(INDEX(ERP資料!$G:$G, (MATCH(839, 輔助計算!$G$2:$G$801, 0)+1))&lt;100, IF(INDEX(ERP資料!$G:$G, (MATCH(839, 輔助計算!$G$2:$G$801, 0)+1))&lt;=31,3,IF(INDEX(ERP資料!$G:$G, (MATCH(839, 輔助計算!$G$2:$G$801, 0)+1))&lt;=46.5,2,1)), IF(INDEX(ERP資料!$G:$G, (MATCH(839, 輔助計算!$G$2:$G$801, 0)+1))&lt;=790,3,IF(INDEX(ERP資料!$G:$G, (MATCH(839, 輔助計算!$G$2:$G$801, 0)+1))&lt;=1181,2,1)))=2,TEXT(INDEX(ERP資料!$G:$G, (MATCH(839, 輔助計算!$G$2:$G$801, 0)+1)),"0.##")&amp;"+"&amp;TEXT(INDEX(ERP資料!$G:$G, (MATCH(839, 輔助計算!$G$2:$G$801, 0)+1)),"0.##"),TEXT(INDEX(ERP資料!$G:$G, (MATCH(839, 輔助計算!$G$2:$G$801, 0)+1)),"0.##")&amp;"+"&amp;TEXT(INDEX(ERP資料!$G:$G, (MATCH(839, 輔助計算!$G$2:$G$801, 0)+1)),"0.##")&amp;"+"&amp;TEXT(INDEX(ERP資料!$G:$G, (MATCH(839, 輔助計算!$G$2:$G$801, 0)+1)),"0.##")))&amp;"-"&amp;INT(INDEX(輔助計算!$D:$D, (MATCH(839, 輔助計算!$G$2:$G$801, 0)+1))/IF(INDEX(ERP資料!$G:$G, (MATCH(839, 輔助計算!$G$2:$G$801, 0)+1))&lt;100, IF(INDEX(ERP資料!$G:$G, (MATCH(839, 輔助計算!$G$2:$G$801, 0)+1))&lt;=31,3,IF(INDEX(ERP資料!$G:$G, (MATCH(839, 輔助計算!$G$2:$G$801, 0)+1))&lt;=46.5,2,1)), IF(INDEX(ERP資料!$G:$G, (MATCH(839, 輔助計算!$G$2:$G$801, 0)+1))&lt;=790,3,IF(INDEX(ERP資料!$G:$G, (MATCH(839, 輔助計算!$G$2:$G$801, 0)+1))&lt;=1181,2,1)))), "")&lt;&gt;"",IF(MOD(INDEX(輔助計算!$D:$D, (MATCH(839, 輔助計算!$G$2:$G$801, 0)+1)),IF(INDEX(ERP資料!$G:$G, (MATCH(839, 輔助計算!$G$2:$G$801, 0)+1))&lt;100, IF(INDEX(ERP資料!$G:$G, (MATCH(839, 輔助計算!$G$2:$G$801, 0)+1))&lt;=31,3,IF(INDEX(ERP資料!$G:$G, (MATCH(839, 輔助計算!$G$2:$G$801, 0)+1))&lt;=46.5,2,1)), IF(INDEX(ERP資料!$G:$G, (MATCH(839, 輔助計算!$G$2:$G$801, 0)+1))&lt;=790,3,IF(INDEX(ERP資料!$G:$G, (MATCH(839, 輔助計算!$G$2:$G$801, 0)+1))&lt;=1181,2,1))))=0,"",IF(MOD(INDEX(輔助計算!$D:$D, (MATCH(839, 輔助計算!$G$2:$G$801, 0)+1)),IF(INDEX(ERP資料!$G:$G, (MATCH(839, 輔助計算!$G$2:$G$801, 0)+1))&lt;100, IF(INDEX(ERP資料!$G:$G, (MATCH(839, 輔助計算!$G$2:$G$801, 0)+1))&lt;=31,3,IF(INDEX(ERP資料!$G:$G, (MATCH(839, 輔助計算!$G$2:$G$801, 0)+1))&lt;=46.5,2,1)), IF(INDEX(ERP資料!$G:$G, (MATCH(839, 輔助計算!$G$2:$G$801, 0)+1))&lt;=790,3,IF(INDEX(ERP資料!$G:$G, (MATCH(839, 輔助計算!$G$2:$G$801, 0)+1))&lt;=1181,2,1))))=0,"",IF(MOD(INDEX(輔助計算!$D:$D, (MATCH(839, 輔助計算!$G$2:$G$801, 0)+1)),IF(INDEX(ERP資料!$G:$G, (MATCH(839, 輔助計算!$G$2:$G$801, 0)+1))&lt;100, IF(INDEX(ERP資料!$G:$G, (MATCH(839, 輔助計算!$G$2:$G$801, 0)+1))&lt;=31,3,IF(INDEX(ERP資料!$G:$G, (MATCH(839, 輔助計算!$G$2:$G$801, 0)+1))&lt;=46.5,2,1)), IF(INDEX(ERP資料!$G:$G, (MATCH(839, 輔助計算!$G$2:$G$801, 0)+1))&lt;=790,3,IF(INDEX(ERP資料!$G:$G, (MATCH(839, 輔助計算!$G$2:$G$801, 0)+1))&lt;=1181,2,1))))=1,TEXT(INDEX(ERP資料!$G:$G, (MATCH(839, 輔助計算!$G$2:$G$801, 0)+1)),"0.##"),IF(MOD(INDEX(輔助計算!$D:$D, (MATCH(839, 輔助計算!$G$2:$G$801, 0)+1)),IF(INDEX(ERP資料!$G:$G, (MATCH(839, 輔助計算!$G$2:$G$801, 0)+1))&lt;100, IF(INDEX(ERP資料!$G:$G, (MATCH(839, 輔助計算!$G$2:$G$801, 0)+1))&lt;=31,3,IF(INDEX(ERP資料!$G:$G, (MATCH(839, 輔助計算!$G$2:$G$801, 0)+1))&lt;=46.5,2,1)), IF(INDEX(ERP資料!$G:$G, (MATCH(839, 輔助計算!$G$2:$G$801, 0)+1))&lt;=790,3,IF(INDEX(ERP資料!$G:$G, (MATCH(839, 輔助計算!$G$2:$G$801, 0)+1))&lt;=1181,2,1))))=2,TEXT(INDEX(ERP資料!$G:$G, (MATCH(839, 輔助計算!$G$2:$G$801, 0)+1)),"0.##")&amp;"+"&amp;TEXT(INDEX(ERP資料!$G:$G, (MATCH(839, 輔助計算!$G$2:$G$801, 0)+1)),"0.##"),TEXT(INDEX(ERP資料!$G:$G, (MATCH(839, 輔助計算!$G$2:$G$801, 0)+1)),"0.##")&amp;"+"&amp;TEXT(INDEX(ERP資料!$G:$G, (MATCH(839, 輔助計算!$G$2:$G$801, 0)+1)),"0.##")&amp;"+"&amp;TEXT(INDEX(ERP資料!$G:$G, (MATCH(839, 輔助計算!$G$2:$G$801, 0)+1)),"0.##"))))&amp;"-1")&lt;&gt;""),"  ","")&amp;IF(MOD(INDEX(輔助計算!$D:$D, (MATCH(839, 輔助計算!$G$2:$G$801, 0)+1)),IF(INDEX(ERP資料!$G:$G, (MATCH(839, 輔助計算!$G$2:$G$801, 0)+1))&lt;100, IF(INDEX(ERP資料!$G:$G, (MATCH(839, 輔助計算!$G$2:$G$801, 0)+1))&lt;=31,3,IF(INDEX(ERP資料!$G:$G, (MATCH(839, 輔助計算!$G$2:$G$801, 0)+1))&lt;=46.5,2,1)), IF(INDEX(ERP資料!$G:$G, (MATCH(839, 輔助計算!$G$2:$G$801, 0)+1))&lt;=790,3,IF(INDEX(ERP資料!$G:$G, (MATCH(839, 輔助計算!$G$2:$G$801, 0)+1))&lt;=1181,2,1))))=0,"",IF(MOD(INDEX(輔助計算!$D:$D, (MATCH(839, 輔助計算!$G$2:$G$801, 0)+1)),IF(INDEX(ERP資料!$G:$G, (MATCH(839, 輔助計算!$G$2:$G$801, 0)+1))&lt;100, IF(INDEX(ERP資料!$G:$G, (MATCH(839, 輔助計算!$G$2:$G$801, 0)+1))&lt;=31,3,IF(INDEX(ERP資料!$G:$G, (MATCH(839, 輔助計算!$G$2:$G$801, 0)+1))&lt;=46.5,2,1)), IF(INDEX(ERP資料!$G:$G, (MATCH(839, 輔助計算!$G$2:$G$801, 0)+1))&lt;=790,3,IF(INDEX(ERP資料!$G:$G, (MATCH(839, 輔助計算!$G$2:$G$801, 0)+1))&lt;=1181,2,1))))=0,"",IF(MOD(INDEX(輔助計算!$D:$D, (MATCH(839, 輔助計算!$G$2:$G$801, 0)+1)),IF(INDEX(ERP資料!$G:$G, (MATCH(839, 輔助計算!$G$2:$G$801, 0)+1))&lt;100, IF(INDEX(ERP資料!$G:$G, (MATCH(839, 輔助計算!$G$2:$G$801, 0)+1))&lt;=31,3,IF(INDEX(ERP資料!$G:$G, (MATCH(839, 輔助計算!$G$2:$G$801, 0)+1))&lt;=46.5,2,1)), IF(INDEX(ERP資料!$G:$G, (MATCH(839, 輔助計算!$G$2:$G$801, 0)+1))&lt;=790,3,IF(INDEX(ERP資料!$G:$G, (MATCH(839, 輔助計算!$G$2:$G$801, 0)+1))&lt;=1181,2,1))))=1,TEXT(INDEX(ERP資料!$G:$G, (MATCH(839, 輔助計算!$G$2:$G$801, 0)+1)),"0.##"),IF(MOD(INDEX(輔助計算!$D:$D, (MATCH(839, 輔助計算!$G$2:$G$801, 0)+1)),IF(INDEX(ERP資料!$G:$G, (MATCH(839, 輔助計算!$G$2:$G$801, 0)+1))&lt;100, IF(INDEX(ERP資料!$G:$G, (MATCH(839, 輔助計算!$G$2:$G$801, 0)+1))&lt;=31,3,IF(INDEX(ERP資料!$G:$G, (MATCH(839, 輔助計算!$G$2:$G$801, 0)+1))&lt;=46.5,2,1)), IF(INDEX(ERP資料!$G:$G, (MATCH(839, 輔助計算!$G$2:$G$801, 0)+1))&lt;=790,3,IF(INDEX(ERP資料!$G:$G, (MATCH(839, 輔助計算!$G$2:$G$801, 0)+1))&lt;=1181,2,1))))=2,TEXT(INDEX(ERP資料!$G:$G, (MATCH(839, 輔助計算!$G$2:$G$801, 0)+1)),"0.##")&amp;"+"&amp;TEXT(INDEX(ERP資料!$G:$G, (MATCH(839, 輔助計算!$G$2:$G$801, 0)+1)),"0.##"),TEXT(INDEX(ERP資料!$G:$G, (MATCH(839, 輔助計算!$G$2:$G$801, 0)+1)),"0.##")&amp;"+"&amp;TEXT(INDEX(ERP資料!$G:$G, (MATCH(839, 輔助計算!$G$2:$G$801, 0)+1)),"0.##")&amp;"+"&amp;TEXT(INDEX(ERP資料!$G:$G, (MATCH(839, 輔助計算!$G$2:$G$801, 0)+1)),"0.##"))))&amp;"-1")), ""), "")</f>
        <v/>
      </c>
      <c r="K840" s="16" t="n"/>
      <c r="L840" s="14">
        <f>IFERROR(IF(AND(IFERROR(INDEX(ERP資料!$A:$A, (MATCH(839, 輔助計算!$G$2:$G$801, 0)+1)), "")&lt;&gt;"", IFERROR(INDEX(ERP資料!$A:$A, (MATCH(839, 輔助計算!$G$2:$G$801, 0)+1)), "")&lt;&gt;IFERROR(INDEX(ERP資料!$A:$A, MATCH(838, 輔助計算!$G$2:$G$801, 0)+1), "")), INDEX(ERP資料!$B:$B, (MATCH(839, 輔助計算!$G$2:$G$801, 0)+1)), ""), "")</f>
        <v/>
      </c>
      <c r="M840" s="17" t="n"/>
    </row>
    <row r="841">
      <c r="A841" s="10">
        <f>IFERROR(IF(AND(IFERROR(INDEX(ERP資料!$A:$A, (MATCH(840, 輔助計算!$G$2:$G$801, 0)+1)), "")&lt;&gt;"", IFERROR(INDEX(ERP資料!$A:$A, (MATCH(840, 輔助計算!$G$2:$G$801, 0)+1)), "")&lt;&gt;IFERROR(INDEX(ERP資料!$A:$A, MATCH(839, 輔助計算!$G$2:$G$801, 0)+1), "")), IFERROR(INDEX(ERP資料!$A:$A, (MATCH(840, 輔助計算!$G$2:$G$801, 0)+1)), ""), ""), "")</f>
        <v/>
      </c>
      <c r="B841" s="10">
        <f>IFERROR(IF(AND(IFERROR(INDEX(ERP資料!$A:$A, (MATCH(840, 輔助計算!$G$2:$G$801, 0)+1)), "")&lt;&gt;"", IFERROR(INDEX(ERP資料!$A:$A, (MATCH(840, 輔助計算!$G$2:$G$801, 0)+1)), "")&lt;&gt;IFERROR(INDEX(ERP資料!$A:$A, MATCH(839, 輔助計算!$G$2:$G$801, 0)+1), "")), INDEX(ERP資料!$S:$S, (MATCH(840, 輔助計算!$G$2:$G$801, 0)+1)), ""), "")</f>
        <v/>
      </c>
      <c r="C841" s="19">
        <f>IFERROR(IF(AND(IFERROR(INDEX(ERP資料!$A:$A, (MATCH(840, 輔助計算!$G$2:$G$801, 0)+1)), "")&lt;&gt;"", IFERROR(INDEX(ERP資料!$A:$A, (MATCH(840, 輔助計算!$G$2:$G$801, 0)+1)), "")&lt;&gt;IFERROR(INDEX(ERP資料!$A:$A, MATCH(839, 輔助計算!$G$2:$G$801, 0)+1), "")), IFERROR(VLOOKUP(LEFT(INDEX(ERP資料!$S:$S, (MATCH(840, 輔助計算!$G$2:$G$801, 0)+1)), 4), 紙管對照表!$A:$C, 3, FALSE), ""), ""), "")</f>
        <v/>
      </c>
      <c r="D841" s="16" t="n"/>
      <c r="E841" s="10">
        <f>IFERROR(IF(INDEX(ERP資料!$H:$H, (MATCH(840, 輔助計算!$G$2:$G$801, 0)+1))="","",INDEX(ERP資料!$H:$H, (MATCH(840, 輔助計算!$G$2:$G$801, 0)+1))), "")</f>
        <v/>
      </c>
      <c r="F841" s="10">
        <f>IFERROR(IF(INDEX(ERP資料!$E:$E, (MATCH(840, 輔助計算!$G$2:$G$801, 0)+1))="","",TRIM(INDEX(ERP資料!$E:$E, (MATCH(840, 輔助計算!$G$2:$G$801, 0)+1)))), "")</f>
        <v/>
      </c>
      <c r="G841" s="10">
        <f>IFERROR(IF(INDEX(ERP資料!$F:$F, (MATCH(840, 輔助計算!$G$2:$G$801, 0)+1))="","",INDEX(ERP資料!$F:$F, (MATCH(840, 輔助計算!$G$2:$G$801, 0)+1))), "")</f>
        <v/>
      </c>
      <c r="H841" s="10">
        <f>IFERROR(IF(INDEX(ERP資料!$G:$G, (MATCH(840, 輔助計算!$G$2:$G$801, 0)+1))="","",INDEX(ERP資料!$G:$G, (MATCH(840, 輔助計算!$G$2:$G$801, 0)+1))), "")</f>
        <v/>
      </c>
      <c r="I841" s="15">
        <f>IFERROR(INDEX(輔助計算!$D:$D, (MATCH(840, 輔助計算!$G$2:$G$801, 0)+1)), "")</f>
        <v/>
      </c>
      <c r="J841" s="15">
        <f>IFERROR(IF(AND(INDEX(輔助計算!$D:$D, (MATCH(840, 輔助計算!$G$2:$G$801, 0)+1))&lt;&gt;"", INDEX(ERP資料!$G:$G, (MATCH(840, 輔助計算!$G$2:$G$801, 0)+1))&lt;&gt;""), TRIM(IF(INT(INDEX(輔助計算!$D:$D, (MATCH(840, 輔助計算!$G$2:$G$801, 0)+1))/IF(INDEX(ERP資料!$G:$G, (MATCH(840, 輔助計算!$G$2:$G$801, 0)+1))&lt;100, IF(INDEX(ERP資料!$G:$G, (MATCH(840, 輔助計算!$G$2:$G$801, 0)+1))&lt;=31,3,IF(INDEX(ERP資料!$G:$G, (MATCH(840, 輔助計算!$G$2:$G$801, 0)+1))&lt;=46.5,2,1)), IF(INDEX(ERP資料!$G:$G, (MATCH(840, 輔助計算!$G$2:$G$801, 0)+1))&lt;=790,3,IF(INDEX(ERP資料!$G:$G, (MATCH(840, 輔助計算!$G$2:$G$801, 0)+1))&lt;=1181,2,1))))&gt;0, IF(IF(INDEX(ERP資料!$G:$G, (MATCH(840, 輔助計算!$G$2:$G$801, 0)+1))&lt;100, IF(INDEX(ERP資料!$G:$G, (MATCH(840, 輔助計算!$G$2:$G$801, 0)+1))&lt;=31,3,IF(INDEX(ERP資料!$G:$G, (MATCH(840, 輔助計算!$G$2:$G$801, 0)+1))&lt;=46.5,2,1)), IF(INDEX(ERP資料!$G:$G, (MATCH(840, 輔助計算!$G$2:$G$801, 0)+1))&lt;=790,3,IF(INDEX(ERP資料!$G:$G, (MATCH(840, 輔助計算!$G$2:$G$801, 0)+1))&lt;=1181,2,1)))=1,TEXT(INDEX(ERP資料!$G:$G, (MATCH(840, 輔助計算!$G$2:$G$801, 0)+1)),"0.##"),IF(IF(INDEX(ERP資料!$G:$G, (MATCH(840, 輔助計算!$G$2:$G$801, 0)+1))&lt;100, IF(INDEX(ERP資料!$G:$G, (MATCH(840, 輔助計算!$G$2:$G$801, 0)+1))&lt;=31,3,IF(INDEX(ERP資料!$G:$G, (MATCH(840, 輔助計算!$G$2:$G$801, 0)+1))&lt;=46.5,2,1)), IF(INDEX(ERP資料!$G:$G, (MATCH(840, 輔助計算!$G$2:$G$801, 0)+1))&lt;=790,3,IF(INDEX(ERP資料!$G:$G, (MATCH(840, 輔助計算!$G$2:$G$801, 0)+1))&lt;=1181,2,1)))=2,TEXT(INDEX(ERP資料!$G:$G, (MATCH(840, 輔助計算!$G$2:$G$801, 0)+1)),"0.##")&amp;"+"&amp;TEXT(INDEX(ERP資料!$G:$G, (MATCH(840, 輔助計算!$G$2:$G$801, 0)+1)),"0.##"),TEXT(INDEX(ERP資料!$G:$G, (MATCH(840, 輔助計算!$G$2:$G$801, 0)+1)),"0.##")&amp;"+"&amp;TEXT(INDEX(ERP資料!$G:$G, (MATCH(840, 輔助計算!$G$2:$G$801, 0)+1)),"0.##")&amp;"+"&amp;TEXT(INDEX(ERP資料!$G:$G, (MATCH(840, 輔助計算!$G$2:$G$801, 0)+1)),"0.##")))&amp;"-"&amp;INT(INDEX(輔助計算!$D:$D, (MATCH(840, 輔助計算!$G$2:$G$801, 0)+1))/IF(INDEX(ERP資料!$G:$G, (MATCH(840, 輔助計算!$G$2:$G$801, 0)+1))&lt;100, IF(INDEX(ERP資料!$G:$G, (MATCH(840, 輔助計算!$G$2:$G$801, 0)+1))&lt;=31,3,IF(INDEX(ERP資料!$G:$G, (MATCH(840, 輔助計算!$G$2:$G$801, 0)+1))&lt;=46.5,2,1)), IF(INDEX(ERP資料!$G:$G, (MATCH(840, 輔助計算!$G$2:$G$801, 0)+1))&lt;=790,3,IF(INDEX(ERP資料!$G:$G, (MATCH(840, 輔助計算!$G$2:$G$801, 0)+1))&lt;=1181,2,1)))), "")&amp;IF(AND(IF(INT(INDEX(輔助計算!$D:$D, (MATCH(840, 輔助計算!$G$2:$G$801, 0)+1))/IF(INDEX(ERP資料!$G:$G, (MATCH(840, 輔助計算!$G$2:$G$801, 0)+1))&lt;100, IF(INDEX(ERP資料!$G:$G, (MATCH(840, 輔助計算!$G$2:$G$801, 0)+1))&lt;=31,3,IF(INDEX(ERP資料!$G:$G, (MATCH(840, 輔助計算!$G$2:$G$801, 0)+1))&lt;=46.5,2,1)), IF(INDEX(ERP資料!$G:$G, (MATCH(840, 輔助計算!$G$2:$G$801, 0)+1))&lt;=790,3,IF(INDEX(ERP資料!$G:$G, (MATCH(840, 輔助計算!$G$2:$G$801, 0)+1))&lt;=1181,2,1))))&gt;0, IF(IF(INDEX(ERP資料!$G:$G, (MATCH(840, 輔助計算!$G$2:$G$801, 0)+1))&lt;100, IF(INDEX(ERP資料!$G:$G, (MATCH(840, 輔助計算!$G$2:$G$801, 0)+1))&lt;=31,3,IF(INDEX(ERP資料!$G:$G, (MATCH(840, 輔助計算!$G$2:$G$801, 0)+1))&lt;=46.5,2,1)), IF(INDEX(ERP資料!$G:$G, (MATCH(840, 輔助計算!$G$2:$G$801, 0)+1))&lt;=790,3,IF(INDEX(ERP資料!$G:$G, (MATCH(840, 輔助計算!$G$2:$G$801, 0)+1))&lt;=1181,2,1)))=1,TEXT(INDEX(ERP資料!$G:$G, (MATCH(840, 輔助計算!$G$2:$G$801, 0)+1)),"0.##"),IF(IF(INDEX(ERP資料!$G:$G, (MATCH(840, 輔助計算!$G$2:$G$801, 0)+1))&lt;100, IF(INDEX(ERP資料!$G:$G, (MATCH(840, 輔助計算!$G$2:$G$801, 0)+1))&lt;=31,3,IF(INDEX(ERP資料!$G:$G, (MATCH(840, 輔助計算!$G$2:$G$801, 0)+1))&lt;=46.5,2,1)), IF(INDEX(ERP資料!$G:$G, (MATCH(840, 輔助計算!$G$2:$G$801, 0)+1))&lt;=790,3,IF(INDEX(ERP資料!$G:$G, (MATCH(840, 輔助計算!$G$2:$G$801, 0)+1))&lt;=1181,2,1)))=2,TEXT(INDEX(ERP資料!$G:$G, (MATCH(840, 輔助計算!$G$2:$G$801, 0)+1)),"0.##")&amp;"+"&amp;TEXT(INDEX(ERP資料!$G:$G, (MATCH(840, 輔助計算!$G$2:$G$801, 0)+1)),"0.##"),TEXT(INDEX(ERP資料!$G:$G, (MATCH(840, 輔助計算!$G$2:$G$801, 0)+1)),"0.##")&amp;"+"&amp;TEXT(INDEX(ERP資料!$G:$G, (MATCH(840, 輔助計算!$G$2:$G$801, 0)+1)),"0.##")&amp;"+"&amp;TEXT(INDEX(ERP資料!$G:$G, (MATCH(840, 輔助計算!$G$2:$G$801, 0)+1)),"0.##")))&amp;"-"&amp;INT(INDEX(輔助計算!$D:$D, (MATCH(840, 輔助計算!$G$2:$G$801, 0)+1))/IF(INDEX(ERP資料!$G:$G, (MATCH(840, 輔助計算!$G$2:$G$801, 0)+1))&lt;100, IF(INDEX(ERP資料!$G:$G, (MATCH(840, 輔助計算!$G$2:$G$801, 0)+1))&lt;=31,3,IF(INDEX(ERP資料!$G:$G, (MATCH(840, 輔助計算!$G$2:$G$801, 0)+1))&lt;=46.5,2,1)), IF(INDEX(ERP資料!$G:$G, (MATCH(840, 輔助計算!$G$2:$G$801, 0)+1))&lt;=790,3,IF(INDEX(ERP資料!$G:$G, (MATCH(840, 輔助計算!$G$2:$G$801, 0)+1))&lt;=1181,2,1)))), "")&lt;&gt;"",IF(MOD(INDEX(輔助計算!$D:$D, (MATCH(840, 輔助計算!$G$2:$G$801, 0)+1)),IF(INDEX(ERP資料!$G:$G, (MATCH(840, 輔助計算!$G$2:$G$801, 0)+1))&lt;100, IF(INDEX(ERP資料!$G:$G, (MATCH(840, 輔助計算!$G$2:$G$801, 0)+1))&lt;=31,3,IF(INDEX(ERP資料!$G:$G, (MATCH(840, 輔助計算!$G$2:$G$801, 0)+1))&lt;=46.5,2,1)), IF(INDEX(ERP資料!$G:$G, (MATCH(840, 輔助計算!$G$2:$G$801, 0)+1))&lt;=790,3,IF(INDEX(ERP資料!$G:$G, (MATCH(840, 輔助計算!$G$2:$G$801, 0)+1))&lt;=1181,2,1))))=0,"",IF(MOD(INDEX(輔助計算!$D:$D, (MATCH(840, 輔助計算!$G$2:$G$801, 0)+1)),IF(INDEX(ERP資料!$G:$G, (MATCH(840, 輔助計算!$G$2:$G$801, 0)+1))&lt;100, IF(INDEX(ERP資料!$G:$G, (MATCH(840, 輔助計算!$G$2:$G$801, 0)+1))&lt;=31,3,IF(INDEX(ERP資料!$G:$G, (MATCH(840, 輔助計算!$G$2:$G$801, 0)+1))&lt;=46.5,2,1)), IF(INDEX(ERP資料!$G:$G, (MATCH(840, 輔助計算!$G$2:$G$801, 0)+1))&lt;=790,3,IF(INDEX(ERP資料!$G:$G, (MATCH(840, 輔助計算!$G$2:$G$801, 0)+1))&lt;=1181,2,1))))=0,"",IF(MOD(INDEX(輔助計算!$D:$D, (MATCH(840, 輔助計算!$G$2:$G$801, 0)+1)),IF(INDEX(ERP資料!$G:$G, (MATCH(840, 輔助計算!$G$2:$G$801, 0)+1))&lt;100, IF(INDEX(ERP資料!$G:$G, (MATCH(840, 輔助計算!$G$2:$G$801, 0)+1))&lt;=31,3,IF(INDEX(ERP資料!$G:$G, (MATCH(840, 輔助計算!$G$2:$G$801, 0)+1))&lt;=46.5,2,1)), IF(INDEX(ERP資料!$G:$G, (MATCH(840, 輔助計算!$G$2:$G$801, 0)+1))&lt;=790,3,IF(INDEX(ERP資料!$G:$G, (MATCH(840, 輔助計算!$G$2:$G$801, 0)+1))&lt;=1181,2,1))))=1,TEXT(INDEX(ERP資料!$G:$G, (MATCH(840, 輔助計算!$G$2:$G$801, 0)+1)),"0.##"),IF(MOD(INDEX(輔助計算!$D:$D, (MATCH(840, 輔助計算!$G$2:$G$801, 0)+1)),IF(INDEX(ERP資料!$G:$G, (MATCH(840, 輔助計算!$G$2:$G$801, 0)+1))&lt;100, IF(INDEX(ERP資料!$G:$G, (MATCH(840, 輔助計算!$G$2:$G$801, 0)+1))&lt;=31,3,IF(INDEX(ERP資料!$G:$G, (MATCH(840, 輔助計算!$G$2:$G$801, 0)+1))&lt;=46.5,2,1)), IF(INDEX(ERP資料!$G:$G, (MATCH(840, 輔助計算!$G$2:$G$801, 0)+1))&lt;=790,3,IF(INDEX(ERP資料!$G:$G, (MATCH(840, 輔助計算!$G$2:$G$801, 0)+1))&lt;=1181,2,1))))=2,TEXT(INDEX(ERP資料!$G:$G, (MATCH(840, 輔助計算!$G$2:$G$801, 0)+1)),"0.##")&amp;"+"&amp;TEXT(INDEX(ERP資料!$G:$G, (MATCH(840, 輔助計算!$G$2:$G$801, 0)+1)),"0.##"),TEXT(INDEX(ERP資料!$G:$G, (MATCH(840, 輔助計算!$G$2:$G$801, 0)+1)),"0.##")&amp;"+"&amp;TEXT(INDEX(ERP資料!$G:$G, (MATCH(840, 輔助計算!$G$2:$G$801, 0)+1)),"0.##")&amp;"+"&amp;TEXT(INDEX(ERP資料!$G:$G, (MATCH(840, 輔助計算!$G$2:$G$801, 0)+1)),"0.##"))))&amp;"-1")&lt;&gt;""),"  ","")&amp;IF(MOD(INDEX(輔助計算!$D:$D, (MATCH(840, 輔助計算!$G$2:$G$801, 0)+1)),IF(INDEX(ERP資料!$G:$G, (MATCH(840, 輔助計算!$G$2:$G$801, 0)+1))&lt;100, IF(INDEX(ERP資料!$G:$G, (MATCH(840, 輔助計算!$G$2:$G$801, 0)+1))&lt;=31,3,IF(INDEX(ERP資料!$G:$G, (MATCH(840, 輔助計算!$G$2:$G$801, 0)+1))&lt;=46.5,2,1)), IF(INDEX(ERP資料!$G:$G, (MATCH(840, 輔助計算!$G$2:$G$801, 0)+1))&lt;=790,3,IF(INDEX(ERP資料!$G:$G, (MATCH(840, 輔助計算!$G$2:$G$801, 0)+1))&lt;=1181,2,1))))=0,"",IF(MOD(INDEX(輔助計算!$D:$D, (MATCH(840, 輔助計算!$G$2:$G$801, 0)+1)),IF(INDEX(ERP資料!$G:$G, (MATCH(840, 輔助計算!$G$2:$G$801, 0)+1))&lt;100, IF(INDEX(ERP資料!$G:$G, (MATCH(840, 輔助計算!$G$2:$G$801, 0)+1))&lt;=31,3,IF(INDEX(ERP資料!$G:$G, (MATCH(840, 輔助計算!$G$2:$G$801, 0)+1))&lt;=46.5,2,1)), IF(INDEX(ERP資料!$G:$G, (MATCH(840, 輔助計算!$G$2:$G$801, 0)+1))&lt;=790,3,IF(INDEX(ERP資料!$G:$G, (MATCH(840, 輔助計算!$G$2:$G$801, 0)+1))&lt;=1181,2,1))))=0,"",IF(MOD(INDEX(輔助計算!$D:$D, (MATCH(840, 輔助計算!$G$2:$G$801, 0)+1)),IF(INDEX(ERP資料!$G:$G, (MATCH(840, 輔助計算!$G$2:$G$801, 0)+1))&lt;100, IF(INDEX(ERP資料!$G:$G, (MATCH(840, 輔助計算!$G$2:$G$801, 0)+1))&lt;=31,3,IF(INDEX(ERP資料!$G:$G, (MATCH(840, 輔助計算!$G$2:$G$801, 0)+1))&lt;=46.5,2,1)), IF(INDEX(ERP資料!$G:$G, (MATCH(840, 輔助計算!$G$2:$G$801, 0)+1))&lt;=790,3,IF(INDEX(ERP資料!$G:$G, (MATCH(840, 輔助計算!$G$2:$G$801, 0)+1))&lt;=1181,2,1))))=1,TEXT(INDEX(ERP資料!$G:$G, (MATCH(840, 輔助計算!$G$2:$G$801, 0)+1)),"0.##"),IF(MOD(INDEX(輔助計算!$D:$D, (MATCH(840, 輔助計算!$G$2:$G$801, 0)+1)),IF(INDEX(ERP資料!$G:$G, (MATCH(840, 輔助計算!$G$2:$G$801, 0)+1))&lt;100, IF(INDEX(ERP資料!$G:$G, (MATCH(840, 輔助計算!$G$2:$G$801, 0)+1))&lt;=31,3,IF(INDEX(ERP資料!$G:$G, (MATCH(840, 輔助計算!$G$2:$G$801, 0)+1))&lt;=46.5,2,1)), IF(INDEX(ERP資料!$G:$G, (MATCH(840, 輔助計算!$G$2:$G$801, 0)+1))&lt;=790,3,IF(INDEX(ERP資料!$G:$G, (MATCH(840, 輔助計算!$G$2:$G$801, 0)+1))&lt;=1181,2,1))))=2,TEXT(INDEX(ERP資料!$G:$G, (MATCH(840, 輔助計算!$G$2:$G$801, 0)+1)),"0.##")&amp;"+"&amp;TEXT(INDEX(ERP資料!$G:$G, (MATCH(840, 輔助計算!$G$2:$G$801, 0)+1)),"0.##"),TEXT(INDEX(ERP資料!$G:$G, (MATCH(840, 輔助計算!$G$2:$G$801, 0)+1)),"0.##")&amp;"+"&amp;TEXT(INDEX(ERP資料!$G:$G, (MATCH(840, 輔助計算!$G$2:$G$801, 0)+1)),"0.##")&amp;"+"&amp;TEXT(INDEX(ERP資料!$G:$G, (MATCH(840, 輔助計算!$G$2:$G$801, 0)+1)),"0.##"))))&amp;"-1")), ""), "")</f>
        <v/>
      </c>
      <c r="K841" s="16" t="n"/>
      <c r="L841" s="14">
        <f>IFERROR(IF(AND(IFERROR(INDEX(ERP資料!$A:$A, (MATCH(840, 輔助計算!$G$2:$G$801, 0)+1)), "")&lt;&gt;"", IFERROR(INDEX(ERP資料!$A:$A, (MATCH(840, 輔助計算!$G$2:$G$801, 0)+1)), "")&lt;&gt;IFERROR(INDEX(ERP資料!$A:$A, MATCH(839, 輔助計算!$G$2:$G$801, 0)+1), "")), INDEX(ERP資料!$B:$B, (MATCH(840, 輔助計算!$G$2:$G$801, 0)+1)), ""), "")</f>
        <v/>
      </c>
      <c r="M841" s="17" t="n"/>
    </row>
    <row r="842">
      <c r="A842" s="10">
        <f>IFERROR(IF(AND(IFERROR(INDEX(ERP資料!$A:$A, (MATCH(841, 輔助計算!$G$2:$G$801, 0)+1)), "")&lt;&gt;"", IFERROR(INDEX(ERP資料!$A:$A, (MATCH(841, 輔助計算!$G$2:$G$801, 0)+1)), "")&lt;&gt;IFERROR(INDEX(ERP資料!$A:$A, MATCH(840, 輔助計算!$G$2:$G$801, 0)+1), "")), IFERROR(INDEX(ERP資料!$A:$A, (MATCH(841, 輔助計算!$G$2:$G$801, 0)+1)), ""), ""), "")</f>
        <v/>
      </c>
      <c r="B842" s="10">
        <f>IFERROR(IF(AND(IFERROR(INDEX(ERP資料!$A:$A, (MATCH(841, 輔助計算!$G$2:$G$801, 0)+1)), "")&lt;&gt;"", IFERROR(INDEX(ERP資料!$A:$A, (MATCH(841, 輔助計算!$G$2:$G$801, 0)+1)), "")&lt;&gt;IFERROR(INDEX(ERP資料!$A:$A, MATCH(840, 輔助計算!$G$2:$G$801, 0)+1), "")), INDEX(ERP資料!$S:$S, (MATCH(841, 輔助計算!$G$2:$G$801, 0)+1)), ""), "")</f>
        <v/>
      </c>
      <c r="C842" s="19">
        <f>IFERROR(IF(AND(IFERROR(INDEX(ERP資料!$A:$A, (MATCH(841, 輔助計算!$G$2:$G$801, 0)+1)), "")&lt;&gt;"", IFERROR(INDEX(ERP資料!$A:$A, (MATCH(841, 輔助計算!$G$2:$G$801, 0)+1)), "")&lt;&gt;IFERROR(INDEX(ERP資料!$A:$A, MATCH(840, 輔助計算!$G$2:$G$801, 0)+1), "")), IFERROR(VLOOKUP(LEFT(INDEX(ERP資料!$S:$S, (MATCH(841, 輔助計算!$G$2:$G$801, 0)+1)), 4), 紙管對照表!$A:$C, 3, FALSE), ""), ""), "")</f>
        <v/>
      </c>
      <c r="D842" s="16" t="n"/>
      <c r="E842" s="10">
        <f>IFERROR(IF(INDEX(ERP資料!$H:$H, (MATCH(841, 輔助計算!$G$2:$G$801, 0)+1))="","",INDEX(ERP資料!$H:$H, (MATCH(841, 輔助計算!$G$2:$G$801, 0)+1))), "")</f>
        <v/>
      </c>
      <c r="F842" s="10">
        <f>IFERROR(IF(INDEX(ERP資料!$E:$E, (MATCH(841, 輔助計算!$G$2:$G$801, 0)+1))="","",TRIM(INDEX(ERP資料!$E:$E, (MATCH(841, 輔助計算!$G$2:$G$801, 0)+1)))), "")</f>
        <v/>
      </c>
      <c r="G842" s="10">
        <f>IFERROR(IF(INDEX(ERP資料!$F:$F, (MATCH(841, 輔助計算!$G$2:$G$801, 0)+1))="","",INDEX(ERP資料!$F:$F, (MATCH(841, 輔助計算!$G$2:$G$801, 0)+1))), "")</f>
        <v/>
      </c>
      <c r="H842" s="10">
        <f>IFERROR(IF(INDEX(ERP資料!$G:$G, (MATCH(841, 輔助計算!$G$2:$G$801, 0)+1))="","",INDEX(ERP資料!$G:$G, (MATCH(841, 輔助計算!$G$2:$G$801, 0)+1))), "")</f>
        <v/>
      </c>
      <c r="I842" s="15">
        <f>IFERROR(INDEX(輔助計算!$D:$D, (MATCH(841, 輔助計算!$G$2:$G$801, 0)+1)), "")</f>
        <v/>
      </c>
      <c r="J842" s="15">
        <f>IFERROR(IF(AND(INDEX(輔助計算!$D:$D, (MATCH(841, 輔助計算!$G$2:$G$801, 0)+1))&lt;&gt;"", INDEX(ERP資料!$G:$G, (MATCH(841, 輔助計算!$G$2:$G$801, 0)+1))&lt;&gt;""), TRIM(IF(INT(INDEX(輔助計算!$D:$D, (MATCH(841, 輔助計算!$G$2:$G$801, 0)+1))/IF(INDEX(ERP資料!$G:$G, (MATCH(841, 輔助計算!$G$2:$G$801, 0)+1))&lt;100, IF(INDEX(ERP資料!$G:$G, (MATCH(841, 輔助計算!$G$2:$G$801, 0)+1))&lt;=31,3,IF(INDEX(ERP資料!$G:$G, (MATCH(841, 輔助計算!$G$2:$G$801, 0)+1))&lt;=46.5,2,1)), IF(INDEX(ERP資料!$G:$G, (MATCH(841, 輔助計算!$G$2:$G$801, 0)+1))&lt;=790,3,IF(INDEX(ERP資料!$G:$G, (MATCH(841, 輔助計算!$G$2:$G$801, 0)+1))&lt;=1181,2,1))))&gt;0, IF(IF(INDEX(ERP資料!$G:$G, (MATCH(841, 輔助計算!$G$2:$G$801, 0)+1))&lt;100, IF(INDEX(ERP資料!$G:$G, (MATCH(841, 輔助計算!$G$2:$G$801, 0)+1))&lt;=31,3,IF(INDEX(ERP資料!$G:$G, (MATCH(841, 輔助計算!$G$2:$G$801, 0)+1))&lt;=46.5,2,1)), IF(INDEX(ERP資料!$G:$G, (MATCH(841, 輔助計算!$G$2:$G$801, 0)+1))&lt;=790,3,IF(INDEX(ERP資料!$G:$G, (MATCH(841, 輔助計算!$G$2:$G$801, 0)+1))&lt;=1181,2,1)))=1,TEXT(INDEX(ERP資料!$G:$G, (MATCH(841, 輔助計算!$G$2:$G$801, 0)+1)),"0.##"),IF(IF(INDEX(ERP資料!$G:$G, (MATCH(841, 輔助計算!$G$2:$G$801, 0)+1))&lt;100, IF(INDEX(ERP資料!$G:$G, (MATCH(841, 輔助計算!$G$2:$G$801, 0)+1))&lt;=31,3,IF(INDEX(ERP資料!$G:$G, (MATCH(841, 輔助計算!$G$2:$G$801, 0)+1))&lt;=46.5,2,1)), IF(INDEX(ERP資料!$G:$G, (MATCH(841, 輔助計算!$G$2:$G$801, 0)+1))&lt;=790,3,IF(INDEX(ERP資料!$G:$G, (MATCH(841, 輔助計算!$G$2:$G$801, 0)+1))&lt;=1181,2,1)))=2,TEXT(INDEX(ERP資料!$G:$G, (MATCH(841, 輔助計算!$G$2:$G$801, 0)+1)),"0.##")&amp;"+"&amp;TEXT(INDEX(ERP資料!$G:$G, (MATCH(841, 輔助計算!$G$2:$G$801, 0)+1)),"0.##"),TEXT(INDEX(ERP資料!$G:$G, (MATCH(841, 輔助計算!$G$2:$G$801, 0)+1)),"0.##")&amp;"+"&amp;TEXT(INDEX(ERP資料!$G:$G, (MATCH(841, 輔助計算!$G$2:$G$801, 0)+1)),"0.##")&amp;"+"&amp;TEXT(INDEX(ERP資料!$G:$G, (MATCH(841, 輔助計算!$G$2:$G$801, 0)+1)),"0.##")))&amp;"-"&amp;INT(INDEX(輔助計算!$D:$D, (MATCH(841, 輔助計算!$G$2:$G$801, 0)+1))/IF(INDEX(ERP資料!$G:$G, (MATCH(841, 輔助計算!$G$2:$G$801, 0)+1))&lt;100, IF(INDEX(ERP資料!$G:$G, (MATCH(841, 輔助計算!$G$2:$G$801, 0)+1))&lt;=31,3,IF(INDEX(ERP資料!$G:$G, (MATCH(841, 輔助計算!$G$2:$G$801, 0)+1))&lt;=46.5,2,1)), IF(INDEX(ERP資料!$G:$G, (MATCH(841, 輔助計算!$G$2:$G$801, 0)+1))&lt;=790,3,IF(INDEX(ERP資料!$G:$G, (MATCH(841, 輔助計算!$G$2:$G$801, 0)+1))&lt;=1181,2,1)))), "")&amp;IF(AND(IF(INT(INDEX(輔助計算!$D:$D, (MATCH(841, 輔助計算!$G$2:$G$801, 0)+1))/IF(INDEX(ERP資料!$G:$G, (MATCH(841, 輔助計算!$G$2:$G$801, 0)+1))&lt;100, IF(INDEX(ERP資料!$G:$G, (MATCH(841, 輔助計算!$G$2:$G$801, 0)+1))&lt;=31,3,IF(INDEX(ERP資料!$G:$G, (MATCH(841, 輔助計算!$G$2:$G$801, 0)+1))&lt;=46.5,2,1)), IF(INDEX(ERP資料!$G:$G, (MATCH(841, 輔助計算!$G$2:$G$801, 0)+1))&lt;=790,3,IF(INDEX(ERP資料!$G:$G, (MATCH(841, 輔助計算!$G$2:$G$801, 0)+1))&lt;=1181,2,1))))&gt;0, IF(IF(INDEX(ERP資料!$G:$G, (MATCH(841, 輔助計算!$G$2:$G$801, 0)+1))&lt;100, IF(INDEX(ERP資料!$G:$G, (MATCH(841, 輔助計算!$G$2:$G$801, 0)+1))&lt;=31,3,IF(INDEX(ERP資料!$G:$G, (MATCH(841, 輔助計算!$G$2:$G$801, 0)+1))&lt;=46.5,2,1)), IF(INDEX(ERP資料!$G:$G, (MATCH(841, 輔助計算!$G$2:$G$801, 0)+1))&lt;=790,3,IF(INDEX(ERP資料!$G:$G, (MATCH(841, 輔助計算!$G$2:$G$801, 0)+1))&lt;=1181,2,1)))=1,TEXT(INDEX(ERP資料!$G:$G, (MATCH(841, 輔助計算!$G$2:$G$801, 0)+1)),"0.##"),IF(IF(INDEX(ERP資料!$G:$G, (MATCH(841, 輔助計算!$G$2:$G$801, 0)+1))&lt;100, IF(INDEX(ERP資料!$G:$G, (MATCH(841, 輔助計算!$G$2:$G$801, 0)+1))&lt;=31,3,IF(INDEX(ERP資料!$G:$G, (MATCH(841, 輔助計算!$G$2:$G$801, 0)+1))&lt;=46.5,2,1)), IF(INDEX(ERP資料!$G:$G, (MATCH(841, 輔助計算!$G$2:$G$801, 0)+1))&lt;=790,3,IF(INDEX(ERP資料!$G:$G, (MATCH(841, 輔助計算!$G$2:$G$801, 0)+1))&lt;=1181,2,1)))=2,TEXT(INDEX(ERP資料!$G:$G, (MATCH(841, 輔助計算!$G$2:$G$801, 0)+1)),"0.##")&amp;"+"&amp;TEXT(INDEX(ERP資料!$G:$G, (MATCH(841, 輔助計算!$G$2:$G$801, 0)+1)),"0.##"),TEXT(INDEX(ERP資料!$G:$G, (MATCH(841, 輔助計算!$G$2:$G$801, 0)+1)),"0.##")&amp;"+"&amp;TEXT(INDEX(ERP資料!$G:$G, (MATCH(841, 輔助計算!$G$2:$G$801, 0)+1)),"0.##")&amp;"+"&amp;TEXT(INDEX(ERP資料!$G:$G, (MATCH(841, 輔助計算!$G$2:$G$801, 0)+1)),"0.##")))&amp;"-"&amp;INT(INDEX(輔助計算!$D:$D, (MATCH(841, 輔助計算!$G$2:$G$801, 0)+1))/IF(INDEX(ERP資料!$G:$G, (MATCH(841, 輔助計算!$G$2:$G$801, 0)+1))&lt;100, IF(INDEX(ERP資料!$G:$G, (MATCH(841, 輔助計算!$G$2:$G$801, 0)+1))&lt;=31,3,IF(INDEX(ERP資料!$G:$G, (MATCH(841, 輔助計算!$G$2:$G$801, 0)+1))&lt;=46.5,2,1)), IF(INDEX(ERP資料!$G:$G, (MATCH(841, 輔助計算!$G$2:$G$801, 0)+1))&lt;=790,3,IF(INDEX(ERP資料!$G:$G, (MATCH(841, 輔助計算!$G$2:$G$801, 0)+1))&lt;=1181,2,1)))), "")&lt;&gt;"",IF(MOD(INDEX(輔助計算!$D:$D, (MATCH(841, 輔助計算!$G$2:$G$801, 0)+1)),IF(INDEX(ERP資料!$G:$G, (MATCH(841, 輔助計算!$G$2:$G$801, 0)+1))&lt;100, IF(INDEX(ERP資料!$G:$G, (MATCH(841, 輔助計算!$G$2:$G$801, 0)+1))&lt;=31,3,IF(INDEX(ERP資料!$G:$G, (MATCH(841, 輔助計算!$G$2:$G$801, 0)+1))&lt;=46.5,2,1)), IF(INDEX(ERP資料!$G:$G, (MATCH(841, 輔助計算!$G$2:$G$801, 0)+1))&lt;=790,3,IF(INDEX(ERP資料!$G:$G, (MATCH(841, 輔助計算!$G$2:$G$801, 0)+1))&lt;=1181,2,1))))=0,"",IF(MOD(INDEX(輔助計算!$D:$D, (MATCH(841, 輔助計算!$G$2:$G$801, 0)+1)),IF(INDEX(ERP資料!$G:$G, (MATCH(841, 輔助計算!$G$2:$G$801, 0)+1))&lt;100, IF(INDEX(ERP資料!$G:$G, (MATCH(841, 輔助計算!$G$2:$G$801, 0)+1))&lt;=31,3,IF(INDEX(ERP資料!$G:$G, (MATCH(841, 輔助計算!$G$2:$G$801, 0)+1))&lt;=46.5,2,1)), IF(INDEX(ERP資料!$G:$G, (MATCH(841, 輔助計算!$G$2:$G$801, 0)+1))&lt;=790,3,IF(INDEX(ERP資料!$G:$G, (MATCH(841, 輔助計算!$G$2:$G$801, 0)+1))&lt;=1181,2,1))))=0,"",IF(MOD(INDEX(輔助計算!$D:$D, (MATCH(841, 輔助計算!$G$2:$G$801, 0)+1)),IF(INDEX(ERP資料!$G:$G, (MATCH(841, 輔助計算!$G$2:$G$801, 0)+1))&lt;100, IF(INDEX(ERP資料!$G:$G, (MATCH(841, 輔助計算!$G$2:$G$801, 0)+1))&lt;=31,3,IF(INDEX(ERP資料!$G:$G, (MATCH(841, 輔助計算!$G$2:$G$801, 0)+1))&lt;=46.5,2,1)), IF(INDEX(ERP資料!$G:$G, (MATCH(841, 輔助計算!$G$2:$G$801, 0)+1))&lt;=790,3,IF(INDEX(ERP資料!$G:$G, (MATCH(841, 輔助計算!$G$2:$G$801, 0)+1))&lt;=1181,2,1))))=1,TEXT(INDEX(ERP資料!$G:$G, (MATCH(841, 輔助計算!$G$2:$G$801, 0)+1)),"0.##"),IF(MOD(INDEX(輔助計算!$D:$D, (MATCH(841, 輔助計算!$G$2:$G$801, 0)+1)),IF(INDEX(ERP資料!$G:$G, (MATCH(841, 輔助計算!$G$2:$G$801, 0)+1))&lt;100, IF(INDEX(ERP資料!$G:$G, (MATCH(841, 輔助計算!$G$2:$G$801, 0)+1))&lt;=31,3,IF(INDEX(ERP資料!$G:$G, (MATCH(841, 輔助計算!$G$2:$G$801, 0)+1))&lt;=46.5,2,1)), IF(INDEX(ERP資料!$G:$G, (MATCH(841, 輔助計算!$G$2:$G$801, 0)+1))&lt;=790,3,IF(INDEX(ERP資料!$G:$G, (MATCH(841, 輔助計算!$G$2:$G$801, 0)+1))&lt;=1181,2,1))))=2,TEXT(INDEX(ERP資料!$G:$G, (MATCH(841, 輔助計算!$G$2:$G$801, 0)+1)),"0.##")&amp;"+"&amp;TEXT(INDEX(ERP資料!$G:$G, (MATCH(841, 輔助計算!$G$2:$G$801, 0)+1)),"0.##"),TEXT(INDEX(ERP資料!$G:$G, (MATCH(841, 輔助計算!$G$2:$G$801, 0)+1)),"0.##")&amp;"+"&amp;TEXT(INDEX(ERP資料!$G:$G, (MATCH(841, 輔助計算!$G$2:$G$801, 0)+1)),"0.##")&amp;"+"&amp;TEXT(INDEX(ERP資料!$G:$G, (MATCH(841, 輔助計算!$G$2:$G$801, 0)+1)),"0.##"))))&amp;"-1")&lt;&gt;""),"  ","")&amp;IF(MOD(INDEX(輔助計算!$D:$D, (MATCH(841, 輔助計算!$G$2:$G$801, 0)+1)),IF(INDEX(ERP資料!$G:$G, (MATCH(841, 輔助計算!$G$2:$G$801, 0)+1))&lt;100, IF(INDEX(ERP資料!$G:$G, (MATCH(841, 輔助計算!$G$2:$G$801, 0)+1))&lt;=31,3,IF(INDEX(ERP資料!$G:$G, (MATCH(841, 輔助計算!$G$2:$G$801, 0)+1))&lt;=46.5,2,1)), IF(INDEX(ERP資料!$G:$G, (MATCH(841, 輔助計算!$G$2:$G$801, 0)+1))&lt;=790,3,IF(INDEX(ERP資料!$G:$G, (MATCH(841, 輔助計算!$G$2:$G$801, 0)+1))&lt;=1181,2,1))))=0,"",IF(MOD(INDEX(輔助計算!$D:$D, (MATCH(841, 輔助計算!$G$2:$G$801, 0)+1)),IF(INDEX(ERP資料!$G:$G, (MATCH(841, 輔助計算!$G$2:$G$801, 0)+1))&lt;100, IF(INDEX(ERP資料!$G:$G, (MATCH(841, 輔助計算!$G$2:$G$801, 0)+1))&lt;=31,3,IF(INDEX(ERP資料!$G:$G, (MATCH(841, 輔助計算!$G$2:$G$801, 0)+1))&lt;=46.5,2,1)), IF(INDEX(ERP資料!$G:$G, (MATCH(841, 輔助計算!$G$2:$G$801, 0)+1))&lt;=790,3,IF(INDEX(ERP資料!$G:$G, (MATCH(841, 輔助計算!$G$2:$G$801, 0)+1))&lt;=1181,2,1))))=0,"",IF(MOD(INDEX(輔助計算!$D:$D, (MATCH(841, 輔助計算!$G$2:$G$801, 0)+1)),IF(INDEX(ERP資料!$G:$G, (MATCH(841, 輔助計算!$G$2:$G$801, 0)+1))&lt;100, IF(INDEX(ERP資料!$G:$G, (MATCH(841, 輔助計算!$G$2:$G$801, 0)+1))&lt;=31,3,IF(INDEX(ERP資料!$G:$G, (MATCH(841, 輔助計算!$G$2:$G$801, 0)+1))&lt;=46.5,2,1)), IF(INDEX(ERP資料!$G:$G, (MATCH(841, 輔助計算!$G$2:$G$801, 0)+1))&lt;=790,3,IF(INDEX(ERP資料!$G:$G, (MATCH(841, 輔助計算!$G$2:$G$801, 0)+1))&lt;=1181,2,1))))=1,TEXT(INDEX(ERP資料!$G:$G, (MATCH(841, 輔助計算!$G$2:$G$801, 0)+1)),"0.##"),IF(MOD(INDEX(輔助計算!$D:$D, (MATCH(841, 輔助計算!$G$2:$G$801, 0)+1)),IF(INDEX(ERP資料!$G:$G, (MATCH(841, 輔助計算!$G$2:$G$801, 0)+1))&lt;100, IF(INDEX(ERP資料!$G:$G, (MATCH(841, 輔助計算!$G$2:$G$801, 0)+1))&lt;=31,3,IF(INDEX(ERP資料!$G:$G, (MATCH(841, 輔助計算!$G$2:$G$801, 0)+1))&lt;=46.5,2,1)), IF(INDEX(ERP資料!$G:$G, (MATCH(841, 輔助計算!$G$2:$G$801, 0)+1))&lt;=790,3,IF(INDEX(ERP資料!$G:$G, (MATCH(841, 輔助計算!$G$2:$G$801, 0)+1))&lt;=1181,2,1))))=2,TEXT(INDEX(ERP資料!$G:$G, (MATCH(841, 輔助計算!$G$2:$G$801, 0)+1)),"0.##")&amp;"+"&amp;TEXT(INDEX(ERP資料!$G:$G, (MATCH(841, 輔助計算!$G$2:$G$801, 0)+1)),"0.##"),TEXT(INDEX(ERP資料!$G:$G, (MATCH(841, 輔助計算!$G$2:$G$801, 0)+1)),"0.##")&amp;"+"&amp;TEXT(INDEX(ERP資料!$G:$G, (MATCH(841, 輔助計算!$G$2:$G$801, 0)+1)),"0.##")&amp;"+"&amp;TEXT(INDEX(ERP資料!$G:$G, (MATCH(841, 輔助計算!$G$2:$G$801, 0)+1)),"0.##"))))&amp;"-1")), ""), "")</f>
        <v/>
      </c>
      <c r="K842" s="16" t="n"/>
      <c r="L842" s="14">
        <f>IFERROR(IF(AND(IFERROR(INDEX(ERP資料!$A:$A, (MATCH(841, 輔助計算!$G$2:$G$801, 0)+1)), "")&lt;&gt;"", IFERROR(INDEX(ERP資料!$A:$A, (MATCH(841, 輔助計算!$G$2:$G$801, 0)+1)), "")&lt;&gt;IFERROR(INDEX(ERP資料!$A:$A, MATCH(840, 輔助計算!$G$2:$G$801, 0)+1), "")), INDEX(ERP資料!$B:$B, (MATCH(841, 輔助計算!$G$2:$G$801, 0)+1)), ""), "")</f>
        <v/>
      </c>
      <c r="M842" s="17" t="n"/>
    </row>
    <row r="843">
      <c r="A843" s="10">
        <f>IFERROR(IF(AND(IFERROR(INDEX(ERP資料!$A:$A, (MATCH(842, 輔助計算!$G$2:$G$801, 0)+1)), "")&lt;&gt;"", IFERROR(INDEX(ERP資料!$A:$A, (MATCH(842, 輔助計算!$G$2:$G$801, 0)+1)), "")&lt;&gt;IFERROR(INDEX(ERP資料!$A:$A, MATCH(841, 輔助計算!$G$2:$G$801, 0)+1), "")), IFERROR(INDEX(ERP資料!$A:$A, (MATCH(842, 輔助計算!$G$2:$G$801, 0)+1)), ""), ""), "")</f>
        <v/>
      </c>
      <c r="B843" s="10">
        <f>IFERROR(IF(AND(IFERROR(INDEX(ERP資料!$A:$A, (MATCH(842, 輔助計算!$G$2:$G$801, 0)+1)), "")&lt;&gt;"", IFERROR(INDEX(ERP資料!$A:$A, (MATCH(842, 輔助計算!$G$2:$G$801, 0)+1)), "")&lt;&gt;IFERROR(INDEX(ERP資料!$A:$A, MATCH(841, 輔助計算!$G$2:$G$801, 0)+1), "")), INDEX(ERP資料!$S:$S, (MATCH(842, 輔助計算!$G$2:$G$801, 0)+1)), ""), "")</f>
        <v/>
      </c>
      <c r="C843" s="19">
        <f>IFERROR(IF(AND(IFERROR(INDEX(ERP資料!$A:$A, (MATCH(842, 輔助計算!$G$2:$G$801, 0)+1)), "")&lt;&gt;"", IFERROR(INDEX(ERP資料!$A:$A, (MATCH(842, 輔助計算!$G$2:$G$801, 0)+1)), "")&lt;&gt;IFERROR(INDEX(ERP資料!$A:$A, MATCH(841, 輔助計算!$G$2:$G$801, 0)+1), "")), IFERROR(VLOOKUP(LEFT(INDEX(ERP資料!$S:$S, (MATCH(842, 輔助計算!$G$2:$G$801, 0)+1)), 4), 紙管對照表!$A:$C, 3, FALSE), ""), ""), "")</f>
        <v/>
      </c>
      <c r="D843" s="16" t="n"/>
      <c r="E843" s="10">
        <f>IFERROR(IF(INDEX(ERP資料!$H:$H, (MATCH(842, 輔助計算!$G$2:$G$801, 0)+1))="","",INDEX(ERP資料!$H:$H, (MATCH(842, 輔助計算!$G$2:$G$801, 0)+1))), "")</f>
        <v/>
      </c>
      <c r="F843" s="10">
        <f>IFERROR(IF(INDEX(ERP資料!$E:$E, (MATCH(842, 輔助計算!$G$2:$G$801, 0)+1))="","",TRIM(INDEX(ERP資料!$E:$E, (MATCH(842, 輔助計算!$G$2:$G$801, 0)+1)))), "")</f>
        <v/>
      </c>
      <c r="G843" s="10">
        <f>IFERROR(IF(INDEX(ERP資料!$F:$F, (MATCH(842, 輔助計算!$G$2:$G$801, 0)+1))="","",INDEX(ERP資料!$F:$F, (MATCH(842, 輔助計算!$G$2:$G$801, 0)+1))), "")</f>
        <v/>
      </c>
      <c r="H843" s="10">
        <f>IFERROR(IF(INDEX(ERP資料!$G:$G, (MATCH(842, 輔助計算!$G$2:$G$801, 0)+1))="","",INDEX(ERP資料!$G:$G, (MATCH(842, 輔助計算!$G$2:$G$801, 0)+1))), "")</f>
        <v/>
      </c>
      <c r="I843" s="15">
        <f>IFERROR(INDEX(輔助計算!$D:$D, (MATCH(842, 輔助計算!$G$2:$G$801, 0)+1)), "")</f>
        <v/>
      </c>
      <c r="J843" s="15">
        <f>IFERROR(IF(AND(INDEX(輔助計算!$D:$D, (MATCH(842, 輔助計算!$G$2:$G$801, 0)+1))&lt;&gt;"", INDEX(ERP資料!$G:$G, (MATCH(842, 輔助計算!$G$2:$G$801, 0)+1))&lt;&gt;""), TRIM(IF(INT(INDEX(輔助計算!$D:$D, (MATCH(842, 輔助計算!$G$2:$G$801, 0)+1))/IF(INDEX(ERP資料!$G:$G, (MATCH(842, 輔助計算!$G$2:$G$801, 0)+1))&lt;100, IF(INDEX(ERP資料!$G:$G, (MATCH(842, 輔助計算!$G$2:$G$801, 0)+1))&lt;=31,3,IF(INDEX(ERP資料!$G:$G, (MATCH(842, 輔助計算!$G$2:$G$801, 0)+1))&lt;=46.5,2,1)), IF(INDEX(ERP資料!$G:$G, (MATCH(842, 輔助計算!$G$2:$G$801, 0)+1))&lt;=790,3,IF(INDEX(ERP資料!$G:$G, (MATCH(842, 輔助計算!$G$2:$G$801, 0)+1))&lt;=1181,2,1))))&gt;0, IF(IF(INDEX(ERP資料!$G:$G, (MATCH(842, 輔助計算!$G$2:$G$801, 0)+1))&lt;100, IF(INDEX(ERP資料!$G:$G, (MATCH(842, 輔助計算!$G$2:$G$801, 0)+1))&lt;=31,3,IF(INDEX(ERP資料!$G:$G, (MATCH(842, 輔助計算!$G$2:$G$801, 0)+1))&lt;=46.5,2,1)), IF(INDEX(ERP資料!$G:$G, (MATCH(842, 輔助計算!$G$2:$G$801, 0)+1))&lt;=790,3,IF(INDEX(ERP資料!$G:$G, (MATCH(842, 輔助計算!$G$2:$G$801, 0)+1))&lt;=1181,2,1)))=1,TEXT(INDEX(ERP資料!$G:$G, (MATCH(842, 輔助計算!$G$2:$G$801, 0)+1)),"0.##"),IF(IF(INDEX(ERP資料!$G:$G, (MATCH(842, 輔助計算!$G$2:$G$801, 0)+1))&lt;100, IF(INDEX(ERP資料!$G:$G, (MATCH(842, 輔助計算!$G$2:$G$801, 0)+1))&lt;=31,3,IF(INDEX(ERP資料!$G:$G, (MATCH(842, 輔助計算!$G$2:$G$801, 0)+1))&lt;=46.5,2,1)), IF(INDEX(ERP資料!$G:$G, (MATCH(842, 輔助計算!$G$2:$G$801, 0)+1))&lt;=790,3,IF(INDEX(ERP資料!$G:$G, (MATCH(842, 輔助計算!$G$2:$G$801, 0)+1))&lt;=1181,2,1)))=2,TEXT(INDEX(ERP資料!$G:$G, (MATCH(842, 輔助計算!$G$2:$G$801, 0)+1)),"0.##")&amp;"+"&amp;TEXT(INDEX(ERP資料!$G:$G, (MATCH(842, 輔助計算!$G$2:$G$801, 0)+1)),"0.##"),TEXT(INDEX(ERP資料!$G:$G, (MATCH(842, 輔助計算!$G$2:$G$801, 0)+1)),"0.##")&amp;"+"&amp;TEXT(INDEX(ERP資料!$G:$G, (MATCH(842, 輔助計算!$G$2:$G$801, 0)+1)),"0.##")&amp;"+"&amp;TEXT(INDEX(ERP資料!$G:$G, (MATCH(842, 輔助計算!$G$2:$G$801, 0)+1)),"0.##")))&amp;"-"&amp;INT(INDEX(輔助計算!$D:$D, (MATCH(842, 輔助計算!$G$2:$G$801, 0)+1))/IF(INDEX(ERP資料!$G:$G, (MATCH(842, 輔助計算!$G$2:$G$801, 0)+1))&lt;100, IF(INDEX(ERP資料!$G:$G, (MATCH(842, 輔助計算!$G$2:$G$801, 0)+1))&lt;=31,3,IF(INDEX(ERP資料!$G:$G, (MATCH(842, 輔助計算!$G$2:$G$801, 0)+1))&lt;=46.5,2,1)), IF(INDEX(ERP資料!$G:$G, (MATCH(842, 輔助計算!$G$2:$G$801, 0)+1))&lt;=790,3,IF(INDEX(ERP資料!$G:$G, (MATCH(842, 輔助計算!$G$2:$G$801, 0)+1))&lt;=1181,2,1)))), "")&amp;IF(AND(IF(INT(INDEX(輔助計算!$D:$D, (MATCH(842, 輔助計算!$G$2:$G$801, 0)+1))/IF(INDEX(ERP資料!$G:$G, (MATCH(842, 輔助計算!$G$2:$G$801, 0)+1))&lt;100, IF(INDEX(ERP資料!$G:$G, (MATCH(842, 輔助計算!$G$2:$G$801, 0)+1))&lt;=31,3,IF(INDEX(ERP資料!$G:$G, (MATCH(842, 輔助計算!$G$2:$G$801, 0)+1))&lt;=46.5,2,1)), IF(INDEX(ERP資料!$G:$G, (MATCH(842, 輔助計算!$G$2:$G$801, 0)+1))&lt;=790,3,IF(INDEX(ERP資料!$G:$G, (MATCH(842, 輔助計算!$G$2:$G$801, 0)+1))&lt;=1181,2,1))))&gt;0, IF(IF(INDEX(ERP資料!$G:$G, (MATCH(842, 輔助計算!$G$2:$G$801, 0)+1))&lt;100, IF(INDEX(ERP資料!$G:$G, (MATCH(842, 輔助計算!$G$2:$G$801, 0)+1))&lt;=31,3,IF(INDEX(ERP資料!$G:$G, (MATCH(842, 輔助計算!$G$2:$G$801, 0)+1))&lt;=46.5,2,1)), IF(INDEX(ERP資料!$G:$G, (MATCH(842, 輔助計算!$G$2:$G$801, 0)+1))&lt;=790,3,IF(INDEX(ERP資料!$G:$G, (MATCH(842, 輔助計算!$G$2:$G$801, 0)+1))&lt;=1181,2,1)))=1,TEXT(INDEX(ERP資料!$G:$G, (MATCH(842, 輔助計算!$G$2:$G$801, 0)+1)),"0.##"),IF(IF(INDEX(ERP資料!$G:$G, (MATCH(842, 輔助計算!$G$2:$G$801, 0)+1))&lt;100, IF(INDEX(ERP資料!$G:$G, (MATCH(842, 輔助計算!$G$2:$G$801, 0)+1))&lt;=31,3,IF(INDEX(ERP資料!$G:$G, (MATCH(842, 輔助計算!$G$2:$G$801, 0)+1))&lt;=46.5,2,1)), IF(INDEX(ERP資料!$G:$G, (MATCH(842, 輔助計算!$G$2:$G$801, 0)+1))&lt;=790,3,IF(INDEX(ERP資料!$G:$G, (MATCH(842, 輔助計算!$G$2:$G$801, 0)+1))&lt;=1181,2,1)))=2,TEXT(INDEX(ERP資料!$G:$G, (MATCH(842, 輔助計算!$G$2:$G$801, 0)+1)),"0.##")&amp;"+"&amp;TEXT(INDEX(ERP資料!$G:$G, (MATCH(842, 輔助計算!$G$2:$G$801, 0)+1)),"0.##"),TEXT(INDEX(ERP資料!$G:$G, (MATCH(842, 輔助計算!$G$2:$G$801, 0)+1)),"0.##")&amp;"+"&amp;TEXT(INDEX(ERP資料!$G:$G, (MATCH(842, 輔助計算!$G$2:$G$801, 0)+1)),"0.##")&amp;"+"&amp;TEXT(INDEX(ERP資料!$G:$G, (MATCH(842, 輔助計算!$G$2:$G$801, 0)+1)),"0.##")))&amp;"-"&amp;INT(INDEX(輔助計算!$D:$D, (MATCH(842, 輔助計算!$G$2:$G$801, 0)+1))/IF(INDEX(ERP資料!$G:$G, (MATCH(842, 輔助計算!$G$2:$G$801, 0)+1))&lt;100, IF(INDEX(ERP資料!$G:$G, (MATCH(842, 輔助計算!$G$2:$G$801, 0)+1))&lt;=31,3,IF(INDEX(ERP資料!$G:$G, (MATCH(842, 輔助計算!$G$2:$G$801, 0)+1))&lt;=46.5,2,1)), IF(INDEX(ERP資料!$G:$G, (MATCH(842, 輔助計算!$G$2:$G$801, 0)+1))&lt;=790,3,IF(INDEX(ERP資料!$G:$G, (MATCH(842, 輔助計算!$G$2:$G$801, 0)+1))&lt;=1181,2,1)))), "")&lt;&gt;"",IF(MOD(INDEX(輔助計算!$D:$D, (MATCH(842, 輔助計算!$G$2:$G$801, 0)+1)),IF(INDEX(ERP資料!$G:$G, (MATCH(842, 輔助計算!$G$2:$G$801, 0)+1))&lt;100, IF(INDEX(ERP資料!$G:$G, (MATCH(842, 輔助計算!$G$2:$G$801, 0)+1))&lt;=31,3,IF(INDEX(ERP資料!$G:$G, (MATCH(842, 輔助計算!$G$2:$G$801, 0)+1))&lt;=46.5,2,1)), IF(INDEX(ERP資料!$G:$G, (MATCH(842, 輔助計算!$G$2:$G$801, 0)+1))&lt;=790,3,IF(INDEX(ERP資料!$G:$G, (MATCH(842, 輔助計算!$G$2:$G$801, 0)+1))&lt;=1181,2,1))))=0,"",IF(MOD(INDEX(輔助計算!$D:$D, (MATCH(842, 輔助計算!$G$2:$G$801, 0)+1)),IF(INDEX(ERP資料!$G:$G, (MATCH(842, 輔助計算!$G$2:$G$801, 0)+1))&lt;100, IF(INDEX(ERP資料!$G:$G, (MATCH(842, 輔助計算!$G$2:$G$801, 0)+1))&lt;=31,3,IF(INDEX(ERP資料!$G:$G, (MATCH(842, 輔助計算!$G$2:$G$801, 0)+1))&lt;=46.5,2,1)), IF(INDEX(ERP資料!$G:$G, (MATCH(842, 輔助計算!$G$2:$G$801, 0)+1))&lt;=790,3,IF(INDEX(ERP資料!$G:$G, (MATCH(842, 輔助計算!$G$2:$G$801, 0)+1))&lt;=1181,2,1))))=0,"",IF(MOD(INDEX(輔助計算!$D:$D, (MATCH(842, 輔助計算!$G$2:$G$801, 0)+1)),IF(INDEX(ERP資料!$G:$G, (MATCH(842, 輔助計算!$G$2:$G$801, 0)+1))&lt;100, IF(INDEX(ERP資料!$G:$G, (MATCH(842, 輔助計算!$G$2:$G$801, 0)+1))&lt;=31,3,IF(INDEX(ERP資料!$G:$G, (MATCH(842, 輔助計算!$G$2:$G$801, 0)+1))&lt;=46.5,2,1)), IF(INDEX(ERP資料!$G:$G, (MATCH(842, 輔助計算!$G$2:$G$801, 0)+1))&lt;=790,3,IF(INDEX(ERP資料!$G:$G, (MATCH(842, 輔助計算!$G$2:$G$801, 0)+1))&lt;=1181,2,1))))=1,TEXT(INDEX(ERP資料!$G:$G, (MATCH(842, 輔助計算!$G$2:$G$801, 0)+1)),"0.##"),IF(MOD(INDEX(輔助計算!$D:$D, (MATCH(842, 輔助計算!$G$2:$G$801, 0)+1)),IF(INDEX(ERP資料!$G:$G, (MATCH(842, 輔助計算!$G$2:$G$801, 0)+1))&lt;100, IF(INDEX(ERP資料!$G:$G, (MATCH(842, 輔助計算!$G$2:$G$801, 0)+1))&lt;=31,3,IF(INDEX(ERP資料!$G:$G, (MATCH(842, 輔助計算!$G$2:$G$801, 0)+1))&lt;=46.5,2,1)), IF(INDEX(ERP資料!$G:$G, (MATCH(842, 輔助計算!$G$2:$G$801, 0)+1))&lt;=790,3,IF(INDEX(ERP資料!$G:$G, (MATCH(842, 輔助計算!$G$2:$G$801, 0)+1))&lt;=1181,2,1))))=2,TEXT(INDEX(ERP資料!$G:$G, (MATCH(842, 輔助計算!$G$2:$G$801, 0)+1)),"0.##")&amp;"+"&amp;TEXT(INDEX(ERP資料!$G:$G, (MATCH(842, 輔助計算!$G$2:$G$801, 0)+1)),"0.##"),TEXT(INDEX(ERP資料!$G:$G, (MATCH(842, 輔助計算!$G$2:$G$801, 0)+1)),"0.##")&amp;"+"&amp;TEXT(INDEX(ERP資料!$G:$G, (MATCH(842, 輔助計算!$G$2:$G$801, 0)+1)),"0.##")&amp;"+"&amp;TEXT(INDEX(ERP資料!$G:$G, (MATCH(842, 輔助計算!$G$2:$G$801, 0)+1)),"0.##"))))&amp;"-1")&lt;&gt;""),"  ","")&amp;IF(MOD(INDEX(輔助計算!$D:$D, (MATCH(842, 輔助計算!$G$2:$G$801, 0)+1)),IF(INDEX(ERP資料!$G:$G, (MATCH(842, 輔助計算!$G$2:$G$801, 0)+1))&lt;100, IF(INDEX(ERP資料!$G:$G, (MATCH(842, 輔助計算!$G$2:$G$801, 0)+1))&lt;=31,3,IF(INDEX(ERP資料!$G:$G, (MATCH(842, 輔助計算!$G$2:$G$801, 0)+1))&lt;=46.5,2,1)), IF(INDEX(ERP資料!$G:$G, (MATCH(842, 輔助計算!$G$2:$G$801, 0)+1))&lt;=790,3,IF(INDEX(ERP資料!$G:$G, (MATCH(842, 輔助計算!$G$2:$G$801, 0)+1))&lt;=1181,2,1))))=0,"",IF(MOD(INDEX(輔助計算!$D:$D, (MATCH(842, 輔助計算!$G$2:$G$801, 0)+1)),IF(INDEX(ERP資料!$G:$G, (MATCH(842, 輔助計算!$G$2:$G$801, 0)+1))&lt;100, IF(INDEX(ERP資料!$G:$G, (MATCH(842, 輔助計算!$G$2:$G$801, 0)+1))&lt;=31,3,IF(INDEX(ERP資料!$G:$G, (MATCH(842, 輔助計算!$G$2:$G$801, 0)+1))&lt;=46.5,2,1)), IF(INDEX(ERP資料!$G:$G, (MATCH(842, 輔助計算!$G$2:$G$801, 0)+1))&lt;=790,3,IF(INDEX(ERP資料!$G:$G, (MATCH(842, 輔助計算!$G$2:$G$801, 0)+1))&lt;=1181,2,1))))=0,"",IF(MOD(INDEX(輔助計算!$D:$D, (MATCH(842, 輔助計算!$G$2:$G$801, 0)+1)),IF(INDEX(ERP資料!$G:$G, (MATCH(842, 輔助計算!$G$2:$G$801, 0)+1))&lt;100, IF(INDEX(ERP資料!$G:$G, (MATCH(842, 輔助計算!$G$2:$G$801, 0)+1))&lt;=31,3,IF(INDEX(ERP資料!$G:$G, (MATCH(842, 輔助計算!$G$2:$G$801, 0)+1))&lt;=46.5,2,1)), IF(INDEX(ERP資料!$G:$G, (MATCH(842, 輔助計算!$G$2:$G$801, 0)+1))&lt;=790,3,IF(INDEX(ERP資料!$G:$G, (MATCH(842, 輔助計算!$G$2:$G$801, 0)+1))&lt;=1181,2,1))))=1,TEXT(INDEX(ERP資料!$G:$G, (MATCH(842, 輔助計算!$G$2:$G$801, 0)+1)),"0.##"),IF(MOD(INDEX(輔助計算!$D:$D, (MATCH(842, 輔助計算!$G$2:$G$801, 0)+1)),IF(INDEX(ERP資料!$G:$G, (MATCH(842, 輔助計算!$G$2:$G$801, 0)+1))&lt;100, IF(INDEX(ERP資料!$G:$G, (MATCH(842, 輔助計算!$G$2:$G$801, 0)+1))&lt;=31,3,IF(INDEX(ERP資料!$G:$G, (MATCH(842, 輔助計算!$G$2:$G$801, 0)+1))&lt;=46.5,2,1)), IF(INDEX(ERP資料!$G:$G, (MATCH(842, 輔助計算!$G$2:$G$801, 0)+1))&lt;=790,3,IF(INDEX(ERP資料!$G:$G, (MATCH(842, 輔助計算!$G$2:$G$801, 0)+1))&lt;=1181,2,1))))=2,TEXT(INDEX(ERP資料!$G:$G, (MATCH(842, 輔助計算!$G$2:$G$801, 0)+1)),"0.##")&amp;"+"&amp;TEXT(INDEX(ERP資料!$G:$G, (MATCH(842, 輔助計算!$G$2:$G$801, 0)+1)),"0.##"),TEXT(INDEX(ERP資料!$G:$G, (MATCH(842, 輔助計算!$G$2:$G$801, 0)+1)),"0.##")&amp;"+"&amp;TEXT(INDEX(ERP資料!$G:$G, (MATCH(842, 輔助計算!$G$2:$G$801, 0)+1)),"0.##")&amp;"+"&amp;TEXT(INDEX(ERP資料!$G:$G, (MATCH(842, 輔助計算!$G$2:$G$801, 0)+1)),"0.##"))))&amp;"-1")), ""), "")</f>
        <v/>
      </c>
      <c r="K843" s="16" t="n"/>
      <c r="L843" s="14">
        <f>IFERROR(IF(AND(IFERROR(INDEX(ERP資料!$A:$A, (MATCH(842, 輔助計算!$G$2:$G$801, 0)+1)), "")&lt;&gt;"", IFERROR(INDEX(ERP資料!$A:$A, (MATCH(842, 輔助計算!$G$2:$G$801, 0)+1)), "")&lt;&gt;IFERROR(INDEX(ERP資料!$A:$A, MATCH(841, 輔助計算!$G$2:$G$801, 0)+1), "")), INDEX(ERP資料!$B:$B, (MATCH(842, 輔助計算!$G$2:$G$801, 0)+1)), ""), "")</f>
        <v/>
      </c>
      <c r="M843" s="17" t="n"/>
    </row>
    <row r="844">
      <c r="A844" s="10">
        <f>IFERROR(IF(AND(IFERROR(INDEX(ERP資料!$A:$A, (MATCH(843, 輔助計算!$G$2:$G$801, 0)+1)), "")&lt;&gt;"", IFERROR(INDEX(ERP資料!$A:$A, (MATCH(843, 輔助計算!$G$2:$G$801, 0)+1)), "")&lt;&gt;IFERROR(INDEX(ERP資料!$A:$A, MATCH(842, 輔助計算!$G$2:$G$801, 0)+1), "")), IFERROR(INDEX(ERP資料!$A:$A, (MATCH(843, 輔助計算!$G$2:$G$801, 0)+1)), ""), ""), "")</f>
        <v/>
      </c>
      <c r="B844" s="10">
        <f>IFERROR(IF(AND(IFERROR(INDEX(ERP資料!$A:$A, (MATCH(843, 輔助計算!$G$2:$G$801, 0)+1)), "")&lt;&gt;"", IFERROR(INDEX(ERP資料!$A:$A, (MATCH(843, 輔助計算!$G$2:$G$801, 0)+1)), "")&lt;&gt;IFERROR(INDEX(ERP資料!$A:$A, MATCH(842, 輔助計算!$G$2:$G$801, 0)+1), "")), INDEX(ERP資料!$S:$S, (MATCH(843, 輔助計算!$G$2:$G$801, 0)+1)), ""), "")</f>
        <v/>
      </c>
      <c r="C844" s="19">
        <f>IFERROR(IF(AND(IFERROR(INDEX(ERP資料!$A:$A, (MATCH(843, 輔助計算!$G$2:$G$801, 0)+1)), "")&lt;&gt;"", IFERROR(INDEX(ERP資料!$A:$A, (MATCH(843, 輔助計算!$G$2:$G$801, 0)+1)), "")&lt;&gt;IFERROR(INDEX(ERP資料!$A:$A, MATCH(842, 輔助計算!$G$2:$G$801, 0)+1), "")), IFERROR(VLOOKUP(LEFT(INDEX(ERP資料!$S:$S, (MATCH(843, 輔助計算!$G$2:$G$801, 0)+1)), 4), 紙管對照表!$A:$C, 3, FALSE), ""), ""), "")</f>
        <v/>
      </c>
      <c r="D844" s="16" t="n"/>
      <c r="E844" s="10">
        <f>IFERROR(IF(INDEX(ERP資料!$H:$H, (MATCH(843, 輔助計算!$G$2:$G$801, 0)+1))="","",INDEX(ERP資料!$H:$H, (MATCH(843, 輔助計算!$G$2:$G$801, 0)+1))), "")</f>
        <v/>
      </c>
      <c r="F844" s="10">
        <f>IFERROR(IF(INDEX(ERP資料!$E:$E, (MATCH(843, 輔助計算!$G$2:$G$801, 0)+1))="","",TRIM(INDEX(ERP資料!$E:$E, (MATCH(843, 輔助計算!$G$2:$G$801, 0)+1)))), "")</f>
        <v/>
      </c>
      <c r="G844" s="10">
        <f>IFERROR(IF(INDEX(ERP資料!$F:$F, (MATCH(843, 輔助計算!$G$2:$G$801, 0)+1))="","",INDEX(ERP資料!$F:$F, (MATCH(843, 輔助計算!$G$2:$G$801, 0)+1))), "")</f>
        <v/>
      </c>
      <c r="H844" s="10">
        <f>IFERROR(IF(INDEX(ERP資料!$G:$G, (MATCH(843, 輔助計算!$G$2:$G$801, 0)+1))="","",INDEX(ERP資料!$G:$G, (MATCH(843, 輔助計算!$G$2:$G$801, 0)+1))), "")</f>
        <v/>
      </c>
      <c r="I844" s="15">
        <f>IFERROR(INDEX(輔助計算!$D:$D, (MATCH(843, 輔助計算!$G$2:$G$801, 0)+1)), "")</f>
        <v/>
      </c>
      <c r="J844" s="15">
        <f>IFERROR(IF(AND(INDEX(輔助計算!$D:$D, (MATCH(843, 輔助計算!$G$2:$G$801, 0)+1))&lt;&gt;"", INDEX(ERP資料!$G:$G, (MATCH(843, 輔助計算!$G$2:$G$801, 0)+1))&lt;&gt;""), TRIM(IF(INT(INDEX(輔助計算!$D:$D, (MATCH(843, 輔助計算!$G$2:$G$801, 0)+1))/IF(INDEX(ERP資料!$G:$G, (MATCH(843, 輔助計算!$G$2:$G$801, 0)+1))&lt;100, IF(INDEX(ERP資料!$G:$G, (MATCH(843, 輔助計算!$G$2:$G$801, 0)+1))&lt;=31,3,IF(INDEX(ERP資料!$G:$G, (MATCH(843, 輔助計算!$G$2:$G$801, 0)+1))&lt;=46.5,2,1)), IF(INDEX(ERP資料!$G:$G, (MATCH(843, 輔助計算!$G$2:$G$801, 0)+1))&lt;=790,3,IF(INDEX(ERP資料!$G:$G, (MATCH(843, 輔助計算!$G$2:$G$801, 0)+1))&lt;=1181,2,1))))&gt;0, IF(IF(INDEX(ERP資料!$G:$G, (MATCH(843, 輔助計算!$G$2:$G$801, 0)+1))&lt;100, IF(INDEX(ERP資料!$G:$G, (MATCH(843, 輔助計算!$G$2:$G$801, 0)+1))&lt;=31,3,IF(INDEX(ERP資料!$G:$G, (MATCH(843, 輔助計算!$G$2:$G$801, 0)+1))&lt;=46.5,2,1)), IF(INDEX(ERP資料!$G:$G, (MATCH(843, 輔助計算!$G$2:$G$801, 0)+1))&lt;=790,3,IF(INDEX(ERP資料!$G:$G, (MATCH(843, 輔助計算!$G$2:$G$801, 0)+1))&lt;=1181,2,1)))=1,TEXT(INDEX(ERP資料!$G:$G, (MATCH(843, 輔助計算!$G$2:$G$801, 0)+1)),"0.##"),IF(IF(INDEX(ERP資料!$G:$G, (MATCH(843, 輔助計算!$G$2:$G$801, 0)+1))&lt;100, IF(INDEX(ERP資料!$G:$G, (MATCH(843, 輔助計算!$G$2:$G$801, 0)+1))&lt;=31,3,IF(INDEX(ERP資料!$G:$G, (MATCH(843, 輔助計算!$G$2:$G$801, 0)+1))&lt;=46.5,2,1)), IF(INDEX(ERP資料!$G:$G, (MATCH(843, 輔助計算!$G$2:$G$801, 0)+1))&lt;=790,3,IF(INDEX(ERP資料!$G:$G, (MATCH(843, 輔助計算!$G$2:$G$801, 0)+1))&lt;=1181,2,1)))=2,TEXT(INDEX(ERP資料!$G:$G, (MATCH(843, 輔助計算!$G$2:$G$801, 0)+1)),"0.##")&amp;"+"&amp;TEXT(INDEX(ERP資料!$G:$G, (MATCH(843, 輔助計算!$G$2:$G$801, 0)+1)),"0.##"),TEXT(INDEX(ERP資料!$G:$G, (MATCH(843, 輔助計算!$G$2:$G$801, 0)+1)),"0.##")&amp;"+"&amp;TEXT(INDEX(ERP資料!$G:$G, (MATCH(843, 輔助計算!$G$2:$G$801, 0)+1)),"0.##")&amp;"+"&amp;TEXT(INDEX(ERP資料!$G:$G, (MATCH(843, 輔助計算!$G$2:$G$801, 0)+1)),"0.##")))&amp;"-"&amp;INT(INDEX(輔助計算!$D:$D, (MATCH(843, 輔助計算!$G$2:$G$801, 0)+1))/IF(INDEX(ERP資料!$G:$G, (MATCH(843, 輔助計算!$G$2:$G$801, 0)+1))&lt;100, IF(INDEX(ERP資料!$G:$G, (MATCH(843, 輔助計算!$G$2:$G$801, 0)+1))&lt;=31,3,IF(INDEX(ERP資料!$G:$G, (MATCH(843, 輔助計算!$G$2:$G$801, 0)+1))&lt;=46.5,2,1)), IF(INDEX(ERP資料!$G:$G, (MATCH(843, 輔助計算!$G$2:$G$801, 0)+1))&lt;=790,3,IF(INDEX(ERP資料!$G:$G, (MATCH(843, 輔助計算!$G$2:$G$801, 0)+1))&lt;=1181,2,1)))), "")&amp;IF(AND(IF(INT(INDEX(輔助計算!$D:$D, (MATCH(843, 輔助計算!$G$2:$G$801, 0)+1))/IF(INDEX(ERP資料!$G:$G, (MATCH(843, 輔助計算!$G$2:$G$801, 0)+1))&lt;100, IF(INDEX(ERP資料!$G:$G, (MATCH(843, 輔助計算!$G$2:$G$801, 0)+1))&lt;=31,3,IF(INDEX(ERP資料!$G:$G, (MATCH(843, 輔助計算!$G$2:$G$801, 0)+1))&lt;=46.5,2,1)), IF(INDEX(ERP資料!$G:$G, (MATCH(843, 輔助計算!$G$2:$G$801, 0)+1))&lt;=790,3,IF(INDEX(ERP資料!$G:$G, (MATCH(843, 輔助計算!$G$2:$G$801, 0)+1))&lt;=1181,2,1))))&gt;0, IF(IF(INDEX(ERP資料!$G:$G, (MATCH(843, 輔助計算!$G$2:$G$801, 0)+1))&lt;100, IF(INDEX(ERP資料!$G:$G, (MATCH(843, 輔助計算!$G$2:$G$801, 0)+1))&lt;=31,3,IF(INDEX(ERP資料!$G:$G, (MATCH(843, 輔助計算!$G$2:$G$801, 0)+1))&lt;=46.5,2,1)), IF(INDEX(ERP資料!$G:$G, (MATCH(843, 輔助計算!$G$2:$G$801, 0)+1))&lt;=790,3,IF(INDEX(ERP資料!$G:$G, (MATCH(843, 輔助計算!$G$2:$G$801, 0)+1))&lt;=1181,2,1)))=1,TEXT(INDEX(ERP資料!$G:$G, (MATCH(843, 輔助計算!$G$2:$G$801, 0)+1)),"0.##"),IF(IF(INDEX(ERP資料!$G:$G, (MATCH(843, 輔助計算!$G$2:$G$801, 0)+1))&lt;100, IF(INDEX(ERP資料!$G:$G, (MATCH(843, 輔助計算!$G$2:$G$801, 0)+1))&lt;=31,3,IF(INDEX(ERP資料!$G:$G, (MATCH(843, 輔助計算!$G$2:$G$801, 0)+1))&lt;=46.5,2,1)), IF(INDEX(ERP資料!$G:$G, (MATCH(843, 輔助計算!$G$2:$G$801, 0)+1))&lt;=790,3,IF(INDEX(ERP資料!$G:$G, (MATCH(843, 輔助計算!$G$2:$G$801, 0)+1))&lt;=1181,2,1)))=2,TEXT(INDEX(ERP資料!$G:$G, (MATCH(843, 輔助計算!$G$2:$G$801, 0)+1)),"0.##")&amp;"+"&amp;TEXT(INDEX(ERP資料!$G:$G, (MATCH(843, 輔助計算!$G$2:$G$801, 0)+1)),"0.##"),TEXT(INDEX(ERP資料!$G:$G, (MATCH(843, 輔助計算!$G$2:$G$801, 0)+1)),"0.##")&amp;"+"&amp;TEXT(INDEX(ERP資料!$G:$G, (MATCH(843, 輔助計算!$G$2:$G$801, 0)+1)),"0.##")&amp;"+"&amp;TEXT(INDEX(ERP資料!$G:$G, (MATCH(843, 輔助計算!$G$2:$G$801, 0)+1)),"0.##")))&amp;"-"&amp;INT(INDEX(輔助計算!$D:$D, (MATCH(843, 輔助計算!$G$2:$G$801, 0)+1))/IF(INDEX(ERP資料!$G:$G, (MATCH(843, 輔助計算!$G$2:$G$801, 0)+1))&lt;100, IF(INDEX(ERP資料!$G:$G, (MATCH(843, 輔助計算!$G$2:$G$801, 0)+1))&lt;=31,3,IF(INDEX(ERP資料!$G:$G, (MATCH(843, 輔助計算!$G$2:$G$801, 0)+1))&lt;=46.5,2,1)), IF(INDEX(ERP資料!$G:$G, (MATCH(843, 輔助計算!$G$2:$G$801, 0)+1))&lt;=790,3,IF(INDEX(ERP資料!$G:$G, (MATCH(843, 輔助計算!$G$2:$G$801, 0)+1))&lt;=1181,2,1)))), "")&lt;&gt;"",IF(MOD(INDEX(輔助計算!$D:$D, (MATCH(843, 輔助計算!$G$2:$G$801, 0)+1)),IF(INDEX(ERP資料!$G:$G, (MATCH(843, 輔助計算!$G$2:$G$801, 0)+1))&lt;100, IF(INDEX(ERP資料!$G:$G, (MATCH(843, 輔助計算!$G$2:$G$801, 0)+1))&lt;=31,3,IF(INDEX(ERP資料!$G:$G, (MATCH(843, 輔助計算!$G$2:$G$801, 0)+1))&lt;=46.5,2,1)), IF(INDEX(ERP資料!$G:$G, (MATCH(843, 輔助計算!$G$2:$G$801, 0)+1))&lt;=790,3,IF(INDEX(ERP資料!$G:$G, (MATCH(843, 輔助計算!$G$2:$G$801, 0)+1))&lt;=1181,2,1))))=0,"",IF(MOD(INDEX(輔助計算!$D:$D, (MATCH(843, 輔助計算!$G$2:$G$801, 0)+1)),IF(INDEX(ERP資料!$G:$G, (MATCH(843, 輔助計算!$G$2:$G$801, 0)+1))&lt;100, IF(INDEX(ERP資料!$G:$G, (MATCH(843, 輔助計算!$G$2:$G$801, 0)+1))&lt;=31,3,IF(INDEX(ERP資料!$G:$G, (MATCH(843, 輔助計算!$G$2:$G$801, 0)+1))&lt;=46.5,2,1)), IF(INDEX(ERP資料!$G:$G, (MATCH(843, 輔助計算!$G$2:$G$801, 0)+1))&lt;=790,3,IF(INDEX(ERP資料!$G:$G, (MATCH(843, 輔助計算!$G$2:$G$801, 0)+1))&lt;=1181,2,1))))=0,"",IF(MOD(INDEX(輔助計算!$D:$D, (MATCH(843, 輔助計算!$G$2:$G$801, 0)+1)),IF(INDEX(ERP資料!$G:$G, (MATCH(843, 輔助計算!$G$2:$G$801, 0)+1))&lt;100, IF(INDEX(ERP資料!$G:$G, (MATCH(843, 輔助計算!$G$2:$G$801, 0)+1))&lt;=31,3,IF(INDEX(ERP資料!$G:$G, (MATCH(843, 輔助計算!$G$2:$G$801, 0)+1))&lt;=46.5,2,1)), IF(INDEX(ERP資料!$G:$G, (MATCH(843, 輔助計算!$G$2:$G$801, 0)+1))&lt;=790,3,IF(INDEX(ERP資料!$G:$G, (MATCH(843, 輔助計算!$G$2:$G$801, 0)+1))&lt;=1181,2,1))))=1,TEXT(INDEX(ERP資料!$G:$G, (MATCH(843, 輔助計算!$G$2:$G$801, 0)+1)),"0.##"),IF(MOD(INDEX(輔助計算!$D:$D, (MATCH(843, 輔助計算!$G$2:$G$801, 0)+1)),IF(INDEX(ERP資料!$G:$G, (MATCH(843, 輔助計算!$G$2:$G$801, 0)+1))&lt;100, IF(INDEX(ERP資料!$G:$G, (MATCH(843, 輔助計算!$G$2:$G$801, 0)+1))&lt;=31,3,IF(INDEX(ERP資料!$G:$G, (MATCH(843, 輔助計算!$G$2:$G$801, 0)+1))&lt;=46.5,2,1)), IF(INDEX(ERP資料!$G:$G, (MATCH(843, 輔助計算!$G$2:$G$801, 0)+1))&lt;=790,3,IF(INDEX(ERP資料!$G:$G, (MATCH(843, 輔助計算!$G$2:$G$801, 0)+1))&lt;=1181,2,1))))=2,TEXT(INDEX(ERP資料!$G:$G, (MATCH(843, 輔助計算!$G$2:$G$801, 0)+1)),"0.##")&amp;"+"&amp;TEXT(INDEX(ERP資料!$G:$G, (MATCH(843, 輔助計算!$G$2:$G$801, 0)+1)),"0.##"),TEXT(INDEX(ERP資料!$G:$G, (MATCH(843, 輔助計算!$G$2:$G$801, 0)+1)),"0.##")&amp;"+"&amp;TEXT(INDEX(ERP資料!$G:$G, (MATCH(843, 輔助計算!$G$2:$G$801, 0)+1)),"0.##")&amp;"+"&amp;TEXT(INDEX(ERP資料!$G:$G, (MATCH(843, 輔助計算!$G$2:$G$801, 0)+1)),"0.##"))))&amp;"-1")&lt;&gt;""),"  ","")&amp;IF(MOD(INDEX(輔助計算!$D:$D, (MATCH(843, 輔助計算!$G$2:$G$801, 0)+1)),IF(INDEX(ERP資料!$G:$G, (MATCH(843, 輔助計算!$G$2:$G$801, 0)+1))&lt;100, IF(INDEX(ERP資料!$G:$G, (MATCH(843, 輔助計算!$G$2:$G$801, 0)+1))&lt;=31,3,IF(INDEX(ERP資料!$G:$G, (MATCH(843, 輔助計算!$G$2:$G$801, 0)+1))&lt;=46.5,2,1)), IF(INDEX(ERP資料!$G:$G, (MATCH(843, 輔助計算!$G$2:$G$801, 0)+1))&lt;=790,3,IF(INDEX(ERP資料!$G:$G, (MATCH(843, 輔助計算!$G$2:$G$801, 0)+1))&lt;=1181,2,1))))=0,"",IF(MOD(INDEX(輔助計算!$D:$D, (MATCH(843, 輔助計算!$G$2:$G$801, 0)+1)),IF(INDEX(ERP資料!$G:$G, (MATCH(843, 輔助計算!$G$2:$G$801, 0)+1))&lt;100, IF(INDEX(ERP資料!$G:$G, (MATCH(843, 輔助計算!$G$2:$G$801, 0)+1))&lt;=31,3,IF(INDEX(ERP資料!$G:$G, (MATCH(843, 輔助計算!$G$2:$G$801, 0)+1))&lt;=46.5,2,1)), IF(INDEX(ERP資料!$G:$G, (MATCH(843, 輔助計算!$G$2:$G$801, 0)+1))&lt;=790,3,IF(INDEX(ERP資料!$G:$G, (MATCH(843, 輔助計算!$G$2:$G$801, 0)+1))&lt;=1181,2,1))))=0,"",IF(MOD(INDEX(輔助計算!$D:$D, (MATCH(843, 輔助計算!$G$2:$G$801, 0)+1)),IF(INDEX(ERP資料!$G:$G, (MATCH(843, 輔助計算!$G$2:$G$801, 0)+1))&lt;100, IF(INDEX(ERP資料!$G:$G, (MATCH(843, 輔助計算!$G$2:$G$801, 0)+1))&lt;=31,3,IF(INDEX(ERP資料!$G:$G, (MATCH(843, 輔助計算!$G$2:$G$801, 0)+1))&lt;=46.5,2,1)), IF(INDEX(ERP資料!$G:$G, (MATCH(843, 輔助計算!$G$2:$G$801, 0)+1))&lt;=790,3,IF(INDEX(ERP資料!$G:$G, (MATCH(843, 輔助計算!$G$2:$G$801, 0)+1))&lt;=1181,2,1))))=1,TEXT(INDEX(ERP資料!$G:$G, (MATCH(843, 輔助計算!$G$2:$G$801, 0)+1)),"0.##"),IF(MOD(INDEX(輔助計算!$D:$D, (MATCH(843, 輔助計算!$G$2:$G$801, 0)+1)),IF(INDEX(ERP資料!$G:$G, (MATCH(843, 輔助計算!$G$2:$G$801, 0)+1))&lt;100, IF(INDEX(ERP資料!$G:$G, (MATCH(843, 輔助計算!$G$2:$G$801, 0)+1))&lt;=31,3,IF(INDEX(ERP資料!$G:$G, (MATCH(843, 輔助計算!$G$2:$G$801, 0)+1))&lt;=46.5,2,1)), IF(INDEX(ERP資料!$G:$G, (MATCH(843, 輔助計算!$G$2:$G$801, 0)+1))&lt;=790,3,IF(INDEX(ERP資料!$G:$G, (MATCH(843, 輔助計算!$G$2:$G$801, 0)+1))&lt;=1181,2,1))))=2,TEXT(INDEX(ERP資料!$G:$G, (MATCH(843, 輔助計算!$G$2:$G$801, 0)+1)),"0.##")&amp;"+"&amp;TEXT(INDEX(ERP資料!$G:$G, (MATCH(843, 輔助計算!$G$2:$G$801, 0)+1)),"0.##"),TEXT(INDEX(ERP資料!$G:$G, (MATCH(843, 輔助計算!$G$2:$G$801, 0)+1)),"0.##")&amp;"+"&amp;TEXT(INDEX(ERP資料!$G:$G, (MATCH(843, 輔助計算!$G$2:$G$801, 0)+1)),"0.##")&amp;"+"&amp;TEXT(INDEX(ERP資料!$G:$G, (MATCH(843, 輔助計算!$G$2:$G$801, 0)+1)),"0.##"))))&amp;"-1")), ""), "")</f>
        <v/>
      </c>
      <c r="K844" s="16" t="n"/>
      <c r="L844" s="14">
        <f>IFERROR(IF(AND(IFERROR(INDEX(ERP資料!$A:$A, (MATCH(843, 輔助計算!$G$2:$G$801, 0)+1)), "")&lt;&gt;"", IFERROR(INDEX(ERP資料!$A:$A, (MATCH(843, 輔助計算!$G$2:$G$801, 0)+1)), "")&lt;&gt;IFERROR(INDEX(ERP資料!$A:$A, MATCH(842, 輔助計算!$G$2:$G$801, 0)+1), "")), INDEX(ERP資料!$B:$B, (MATCH(843, 輔助計算!$G$2:$G$801, 0)+1)), ""), "")</f>
        <v/>
      </c>
      <c r="M844" s="17" t="n"/>
    </row>
    <row r="845">
      <c r="A845" s="10">
        <f>IFERROR(IF(AND(IFERROR(INDEX(ERP資料!$A:$A, (MATCH(844, 輔助計算!$G$2:$G$801, 0)+1)), "")&lt;&gt;"", IFERROR(INDEX(ERP資料!$A:$A, (MATCH(844, 輔助計算!$G$2:$G$801, 0)+1)), "")&lt;&gt;IFERROR(INDEX(ERP資料!$A:$A, MATCH(843, 輔助計算!$G$2:$G$801, 0)+1), "")), IFERROR(INDEX(ERP資料!$A:$A, (MATCH(844, 輔助計算!$G$2:$G$801, 0)+1)), ""), ""), "")</f>
        <v/>
      </c>
      <c r="B845" s="10">
        <f>IFERROR(IF(AND(IFERROR(INDEX(ERP資料!$A:$A, (MATCH(844, 輔助計算!$G$2:$G$801, 0)+1)), "")&lt;&gt;"", IFERROR(INDEX(ERP資料!$A:$A, (MATCH(844, 輔助計算!$G$2:$G$801, 0)+1)), "")&lt;&gt;IFERROR(INDEX(ERP資料!$A:$A, MATCH(843, 輔助計算!$G$2:$G$801, 0)+1), "")), INDEX(ERP資料!$S:$S, (MATCH(844, 輔助計算!$G$2:$G$801, 0)+1)), ""), "")</f>
        <v/>
      </c>
      <c r="C845" s="19">
        <f>IFERROR(IF(AND(IFERROR(INDEX(ERP資料!$A:$A, (MATCH(844, 輔助計算!$G$2:$G$801, 0)+1)), "")&lt;&gt;"", IFERROR(INDEX(ERP資料!$A:$A, (MATCH(844, 輔助計算!$G$2:$G$801, 0)+1)), "")&lt;&gt;IFERROR(INDEX(ERP資料!$A:$A, MATCH(843, 輔助計算!$G$2:$G$801, 0)+1), "")), IFERROR(VLOOKUP(LEFT(INDEX(ERP資料!$S:$S, (MATCH(844, 輔助計算!$G$2:$G$801, 0)+1)), 4), 紙管對照表!$A:$C, 3, FALSE), ""), ""), "")</f>
        <v/>
      </c>
      <c r="D845" s="16" t="n"/>
      <c r="E845" s="10">
        <f>IFERROR(IF(INDEX(ERP資料!$H:$H, (MATCH(844, 輔助計算!$G$2:$G$801, 0)+1))="","",INDEX(ERP資料!$H:$H, (MATCH(844, 輔助計算!$G$2:$G$801, 0)+1))), "")</f>
        <v/>
      </c>
      <c r="F845" s="10">
        <f>IFERROR(IF(INDEX(ERP資料!$E:$E, (MATCH(844, 輔助計算!$G$2:$G$801, 0)+1))="","",TRIM(INDEX(ERP資料!$E:$E, (MATCH(844, 輔助計算!$G$2:$G$801, 0)+1)))), "")</f>
        <v/>
      </c>
      <c r="G845" s="10">
        <f>IFERROR(IF(INDEX(ERP資料!$F:$F, (MATCH(844, 輔助計算!$G$2:$G$801, 0)+1))="","",INDEX(ERP資料!$F:$F, (MATCH(844, 輔助計算!$G$2:$G$801, 0)+1))), "")</f>
        <v/>
      </c>
      <c r="H845" s="10">
        <f>IFERROR(IF(INDEX(ERP資料!$G:$G, (MATCH(844, 輔助計算!$G$2:$G$801, 0)+1))="","",INDEX(ERP資料!$G:$G, (MATCH(844, 輔助計算!$G$2:$G$801, 0)+1))), "")</f>
        <v/>
      </c>
      <c r="I845" s="15">
        <f>IFERROR(INDEX(輔助計算!$D:$D, (MATCH(844, 輔助計算!$G$2:$G$801, 0)+1)), "")</f>
        <v/>
      </c>
      <c r="J845" s="15">
        <f>IFERROR(IF(AND(INDEX(輔助計算!$D:$D, (MATCH(844, 輔助計算!$G$2:$G$801, 0)+1))&lt;&gt;"", INDEX(ERP資料!$G:$G, (MATCH(844, 輔助計算!$G$2:$G$801, 0)+1))&lt;&gt;""), TRIM(IF(INT(INDEX(輔助計算!$D:$D, (MATCH(844, 輔助計算!$G$2:$G$801, 0)+1))/IF(INDEX(ERP資料!$G:$G, (MATCH(844, 輔助計算!$G$2:$G$801, 0)+1))&lt;100, IF(INDEX(ERP資料!$G:$G, (MATCH(844, 輔助計算!$G$2:$G$801, 0)+1))&lt;=31,3,IF(INDEX(ERP資料!$G:$G, (MATCH(844, 輔助計算!$G$2:$G$801, 0)+1))&lt;=46.5,2,1)), IF(INDEX(ERP資料!$G:$G, (MATCH(844, 輔助計算!$G$2:$G$801, 0)+1))&lt;=790,3,IF(INDEX(ERP資料!$G:$G, (MATCH(844, 輔助計算!$G$2:$G$801, 0)+1))&lt;=1181,2,1))))&gt;0, IF(IF(INDEX(ERP資料!$G:$G, (MATCH(844, 輔助計算!$G$2:$G$801, 0)+1))&lt;100, IF(INDEX(ERP資料!$G:$G, (MATCH(844, 輔助計算!$G$2:$G$801, 0)+1))&lt;=31,3,IF(INDEX(ERP資料!$G:$G, (MATCH(844, 輔助計算!$G$2:$G$801, 0)+1))&lt;=46.5,2,1)), IF(INDEX(ERP資料!$G:$G, (MATCH(844, 輔助計算!$G$2:$G$801, 0)+1))&lt;=790,3,IF(INDEX(ERP資料!$G:$G, (MATCH(844, 輔助計算!$G$2:$G$801, 0)+1))&lt;=1181,2,1)))=1,TEXT(INDEX(ERP資料!$G:$G, (MATCH(844, 輔助計算!$G$2:$G$801, 0)+1)),"0.##"),IF(IF(INDEX(ERP資料!$G:$G, (MATCH(844, 輔助計算!$G$2:$G$801, 0)+1))&lt;100, IF(INDEX(ERP資料!$G:$G, (MATCH(844, 輔助計算!$G$2:$G$801, 0)+1))&lt;=31,3,IF(INDEX(ERP資料!$G:$G, (MATCH(844, 輔助計算!$G$2:$G$801, 0)+1))&lt;=46.5,2,1)), IF(INDEX(ERP資料!$G:$G, (MATCH(844, 輔助計算!$G$2:$G$801, 0)+1))&lt;=790,3,IF(INDEX(ERP資料!$G:$G, (MATCH(844, 輔助計算!$G$2:$G$801, 0)+1))&lt;=1181,2,1)))=2,TEXT(INDEX(ERP資料!$G:$G, (MATCH(844, 輔助計算!$G$2:$G$801, 0)+1)),"0.##")&amp;"+"&amp;TEXT(INDEX(ERP資料!$G:$G, (MATCH(844, 輔助計算!$G$2:$G$801, 0)+1)),"0.##"),TEXT(INDEX(ERP資料!$G:$G, (MATCH(844, 輔助計算!$G$2:$G$801, 0)+1)),"0.##")&amp;"+"&amp;TEXT(INDEX(ERP資料!$G:$G, (MATCH(844, 輔助計算!$G$2:$G$801, 0)+1)),"0.##")&amp;"+"&amp;TEXT(INDEX(ERP資料!$G:$G, (MATCH(844, 輔助計算!$G$2:$G$801, 0)+1)),"0.##")))&amp;"-"&amp;INT(INDEX(輔助計算!$D:$D, (MATCH(844, 輔助計算!$G$2:$G$801, 0)+1))/IF(INDEX(ERP資料!$G:$G, (MATCH(844, 輔助計算!$G$2:$G$801, 0)+1))&lt;100, IF(INDEX(ERP資料!$G:$G, (MATCH(844, 輔助計算!$G$2:$G$801, 0)+1))&lt;=31,3,IF(INDEX(ERP資料!$G:$G, (MATCH(844, 輔助計算!$G$2:$G$801, 0)+1))&lt;=46.5,2,1)), IF(INDEX(ERP資料!$G:$G, (MATCH(844, 輔助計算!$G$2:$G$801, 0)+1))&lt;=790,3,IF(INDEX(ERP資料!$G:$G, (MATCH(844, 輔助計算!$G$2:$G$801, 0)+1))&lt;=1181,2,1)))), "")&amp;IF(AND(IF(INT(INDEX(輔助計算!$D:$D, (MATCH(844, 輔助計算!$G$2:$G$801, 0)+1))/IF(INDEX(ERP資料!$G:$G, (MATCH(844, 輔助計算!$G$2:$G$801, 0)+1))&lt;100, IF(INDEX(ERP資料!$G:$G, (MATCH(844, 輔助計算!$G$2:$G$801, 0)+1))&lt;=31,3,IF(INDEX(ERP資料!$G:$G, (MATCH(844, 輔助計算!$G$2:$G$801, 0)+1))&lt;=46.5,2,1)), IF(INDEX(ERP資料!$G:$G, (MATCH(844, 輔助計算!$G$2:$G$801, 0)+1))&lt;=790,3,IF(INDEX(ERP資料!$G:$G, (MATCH(844, 輔助計算!$G$2:$G$801, 0)+1))&lt;=1181,2,1))))&gt;0, IF(IF(INDEX(ERP資料!$G:$G, (MATCH(844, 輔助計算!$G$2:$G$801, 0)+1))&lt;100, IF(INDEX(ERP資料!$G:$G, (MATCH(844, 輔助計算!$G$2:$G$801, 0)+1))&lt;=31,3,IF(INDEX(ERP資料!$G:$G, (MATCH(844, 輔助計算!$G$2:$G$801, 0)+1))&lt;=46.5,2,1)), IF(INDEX(ERP資料!$G:$G, (MATCH(844, 輔助計算!$G$2:$G$801, 0)+1))&lt;=790,3,IF(INDEX(ERP資料!$G:$G, (MATCH(844, 輔助計算!$G$2:$G$801, 0)+1))&lt;=1181,2,1)))=1,TEXT(INDEX(ERP資料!$G:$G, (MATCH(844, 輔助計算!$G$2:$G$801, 0)+1)),"0.##"),IF(IF(INDEX(ERP資料!$G:$G, (MATCH(844, 輔助計算!$G$2:$G$801, 0)+1))&lt;100, IF(INDEX(ERP資料!$G:$G, (MATCH(844, 輔助計算!$G$2:$G$801, 0)+1))&lt;=31,3,IF(INDEX(ERP資料!$G:$G, (MATCH(844, 輔助計算!$G$2:$G$801, 0)+1))&lt;=46.5,2,1)), IF(INDEX(ERP資料!$G:$G, (MATCH(844, 輔助計算!$G$2:$G$801, 0)+1))&lt;=790,3,IF(INDEX(ERP資料!$G:$G, (MATCH(844, 輔助計算!$G$2:$G$801, 0)+1))&lt;=1181,2,1)))=2,TEXT(INDEX(ERP資料!$G:$G, (MATCH(844, 輔助計算!$G$2:$G$801, 0)+1)),"0.##")&amp;"+"&amp;TEXT(INDEX(ERP資料!$G:$G, (MATCH(844, 輔助計算!$G$2:$G$801, 0)+1)),"0.##"),TEXT(INDEX(ERP資料!$G:$G, (MATCH(844, 輔助計算!$G$2:$G$801, 0)+1)),"0.##")&amp;"+"&amp;TEXT(INDEX(ERP資料!$G:$G, (MATCH(844, 輔助計算!$G$2:$G$801, 0)+1)),"0.##")&amp;"+"&amp;TEXT(INDEX(ERP資料!$G:$G, (MATCH(844, 輔助計算!$G$2:$G$801, 0)+1)),"0.##")))&amp;"-"&amp;INT(INDEX(輔助計算!$D:$D, (MATCH(844, 輔助計算!$G$2:$G$801, 0)+1))/IF(INDEX(ERP資料!$G:$G, (MATCH(844, 輔助計算!$G$2:$G$801, 0)+1))&lt;100, IF(INDEX(ERP資料!$G:$G, (MATCH(844, 輔助計算!$G$2:$G$801, 0)+1))&lt;=31,3,IF(INDEX(ERP資料!$G:$G, (MATCH(844, 輔助計算!$G$2:$G$801, 0)+1))&lt;=46.5,2,1)), IF(INDEX(ERP資料!$G:$G, (MATCH(844, 輔助計算!$G$2:$G$801, 0)+1))&lt;=790,3,IF(INDEX(ERP資料!$G:$G, (MATCH(844, 輔助計算!$G$2:$G$801, 0)+1))&lt;=1181,2,1)))), "")&lt;&gt;"",IF(MOD(INDEX(輔助計算!$D:$D, (MATCH(844, 輔助計算!$G$2:$G$801, 0)+1)),IF(INDEX(ERP資料!$G:$G, (MATCH(844, 輔助計算!$G$2:$G$801, 0)+1))&lt;100, IF(INDEX(ERP資料!$G:$G, (MATCH(844, 輔助計算!$G$2:$G$801, 0)+1))&lt;=31,3,IF(INDEX(ERP資料!$G:$G, (MATCH(844, 輔助計算!$G$2:$G$801, 0)+1))&lt;=46.5,2,1)), IF(INDEX(ERP資料!$G:$G, (MATCH(844, 輔助計算!$G$2:$G$801, 0)+1))&lt;=790,3,IF(INDEX(ERP資料!$G:$G, (MATCH(844, 輔助計算!$G$2:$G$801, 0)+1))&lt;=1181,2,1))))=0,"",IF(MOD(INDEX(輔助計算!$D:$D, (MATCH(844, 輔助計算!$G$2:$G$801, 0)+1)),IF(INDEX(ERP資料!$G:$G, (MATCH(844, 輔助計算!$G$2:$G$801, 0)+1))&lt;100, IF(INDEX(ERP資料!$G:$G, (MATCH(844, 輔助計算!$G$2:$G$801, 0)+1))&lt;=31,3,IF(INDEX(ERP資料!$G:$G, (MATCH(844, 輔助計算!$G$2:$G$801, 0)+1))&lt;=46.5,2,1)), IF(INDEX(ERP資料!$G:$G, (MATCH(844, 輔助計算!$G$2:$G$801, 0)+1))&lt;=790,3,IF(INDEX(ERP資料!$G:$G, (MATCH(844, 輔助計算!$G$2:$G$801, 0)+1))&lt;=1181,2,1))))=0,"",IF(MOD(INDEX(輔助計算!$D:$D, (MATCH(844, 輔助計算!$G$2:$G$801, 0)+1)),IF(INDEX(ERP資料!$G:$G, (MATCH(844, 輔助計算!$G$2:$G$801, 0)+1))&lt;100, IF(INDEX(ERP資料!$G:$G, (MATCH(844, 輔助計算!$G$2:$G$801, 0)+1))&lt;=31,3,IF(INDEX(ERP資料!$G:$G, (MATCH(844, 輔助計算!$G$2:$G$801, 0)+1))&lt;=46.5,2,1)), IF(INDEX(ERP資料!$G:$G, (MATCH(844, 輔助計算!$G$2:$G$801, 0)+1))&lt;=790,3,IF(INDEX(ERP資料!$G:$G, (MATCH(844, 輔助計算!$G$2:$G$801, 0)+1))&lt;=1181,2,1))))=1,TEXT(INDEX(ERP資料!$G:$G, (MATCH(844, 輔助計算!$G$2:$G$801, 0)+1)),"0.##"),IF(MOD(INDEX(輔助計算!$D:$D, (MATCH(844, 輔助計算!$G$2:$G$801, 0)+1)),IF(INDEX(ERP資料!$G:$G, (MATCH(844, 輔助計算!$G$2:$G$801, 0)+1))&lt;100, IF(INDEX(ERP資料!$G:$G, (MATCH(844, 輔助計算!$G$2:$G$801, 0)+1))&lt;=31,3,IF(INDEX(ERP資料!$G:$G, (MATCH(844, 輔助計算!$G$2:$G$801, 0)+1))&lt;=46.5,2,1)), IF(INDEX(ERP資料!$G:$G, (MATCH(844, 輔助計算!$G$2:$G$801, 0)+1))&lt;=790,3,IF(INDEX(ERP資料!$G:$G, (MATCH(844, 輔助計算!$G$2:$G$801, 0)+1))&lt;=1181,2,1))))=2,TEXT(INDEX(ERP資料!$G:$G, (MATCH(844, 輔助計算!$G$2:$G$801, 0)+1)),"0.##")&amp;"+"&amp;TEXT(INDEX(ERP資料!$G:$G, (MATCH(844, 輔助計算!$G$2:$G$801, 0)+1)),"0.##"),TEXT(INDEX(ERP資料!$G:$G, (MATCH(844, 輔助計算!$G$2:$G$801, 0)+1)),"0.##")&amp;"+"&amp;TEXT(INDEX(ERP資料!$G:$G, (MATCH(844, 輔助計算!$G$2:$G$801, 0)+1)),"0.##")&amp;"+"&amp;TEXT(INDEX(ERP資料!$G:$G, (MATCH(844, 輔助計算!$G$2:$G$801, 0)+1)),"0.##"))))&amp;"-1")&lt;&gt;""),"  ","")&amp;IF(MOD(INDEX(輔助計算!$D:$D, (MATCH(844, 輔助計算!$G$2:$G$801, 0)+1)),IF(INDEX(ERP資料!$G:$G, (MATCH(844, 輔助計算!$G$2:$G$801, 0)+1))&lt;100, IF(INDEX(ERP資料!$G:$G, (MATCH(844, 輔助計算!$G$2:$G$801, 0)+1))&lt;=31,3,IF(INDEX(ERP資料!$G:$G, (MATCH(844, 輔助計算!$G$2:$G$801, 0)+1))&lt;=46.5,2,1)), IF(INDEX(ERP資料!$G:$G, (MATCH(844, 輔助計算!$G$2:$G$801, 0)+1))&lt;=790,3,IF(INDEX(ERP資料!$G:$G, (MATCH(844, 輔助計算!$G$2:$G$801, 0)+1))&lt;=1181,2,1))))=0,"",IF(MOD(INDEX(輔助計算!$D:$D, (MATCH(844, 輔助計算!$G$2:$G$801, 0)+1)),IF(INDEX(ERP資料!$G:$G, (MATCH(844, 輔助計算!$G$2:$G$801, 0)+1))&lt;100, IF(INDEX(ERP資料!$G:$G, (MATCH(844, 輔助計算!$G$2:$G$801, 0)+1))&lt;=31,3,IF(INDEX(ERP資料!$G:$G, (MATCH(844, 輔助計算!$G$2:$G$801, 0)+1))&lt;=46.5,2,1)), IF(INDEX(ERP資料!$G:$G, (MATCH(844, 輔助計算!$G$2:$G$801, 0)+1))&lt;=790,3,IF(INDEX(ERP資料!$G:$G, (MATCH(844, 輔助計算!$G$2:$G$801, 0)+1))&lt;=1181,2,1))))=0,"",IF(MOD(INDEX(輔助計算!$D:$D, (MATCH(844, 輔助計算!$G$2:$G$801, 0)+1)),IF(INDEX(ERP資料!$G:$G, (MATCH(844, 輔助計算!$G$2:$G$801, 0)+1))&lt;100, IF(INDEX(ERP資料!$G:$G, (MATCH(844, 輔助計算!$G$2:$G$801, 0)+1))&lt;=31,3,IF(INDEX(ERP資料!$G:$G, (MATCH(844, 輔助計算!$G$2:$G$801, 0)+1))&lt;=46.5,2,1)), IF(INDEX(ERP資料!$G:$G, (MATCH(844, 輔助計算!$G$2:$G$801, 0)+1))&lt;=790,3,IF(INDEX(ERP資料!$G:$G, (MATCH(844, 輔助計算!$G$2:$G$801, 0)+1))&lt;=1181,2,1))))=1,TEXT(INDEX(ERP資料!$G:$G, (MATCH(844, 輔助計算!$G$2:$G$801, 0)+1)),"0.##"),IF(MOD(INDEX(輔助計算!$D:$D, (MATCH(844, 輔助計算!$G$2:$G$801, 0)+1)),IF(INDEX(ERP資料!$G:$G, (MATCH(844, 輔助計算!$G$2:$G$801, 0)+1))&lt;100, IF(INDEX(ERP資料!$G:$G, (MATCH(844, 輔助計算!$G$2:$G$801, 0)+1))&lt;=31,3,IF(INDEX(ERP資料!$G:$G, (MATCH(844, 輔助計算!$G$2:$G$801, 0)+1))&lt;=46.5,2,1)), IF(INDEX(ERP資料!$G:$G, (MATCH(844, 輔助計算!$G$2:$G$801, 0)+1))&lt;=790,3,IF(INDEX(ERP資料!$G:$G, (MATCH(844, 輔助計算!$G$2:$G$801, 0)+1))&lt;=1181,2,1))))=2,TEXT(INDEX(ERP資料!$G:$G, (MATCH(844, 輔助計算!$G$2:$G$801, 0)+1)),"0.##")&amp;"+"&amp;TEXT(INDEX(ERP資料!$G:$G, (MATCH(844, 輔助計算!$G$2:$G$801, 0)+1)),"0.##"),TEXT(INDEX(ERP資料!$G:$G, (MATCH(844, 輔助計算!$G$2:$G$801, 0)+1)),"0.##")&amp;"+"&amp;TEXT(INDEX(ERP資料!$G:$G, (MATCH(844, 輔助計算!$G$2:$G$801, 0)+1)),"0.##")&amp;"+"&amp;TEXT(INDEX(ERP資料!$G:$G, (MATCH(844, 輔助計算!$G$2:$G$801, 0)+1)),"0.##"))))&amp;"-1")), ""), "")</f>
        <v/>
      </c>
      <c r="K845" s="16" t="n"/>
      <c r="L845" s="14">
        <f>IFERROR(IF(AND(IFERROR(INDEX(ERP資料!$A:$A, (MATCH(844, 輔助計算!$G$2:$G$801, 0)+1)), "")&lt;&gt;"", IFERROR(INDEX(ERP資料!$A:$A, (MATCH(844, 輔助計算!$G$2:$G$801, 0)+1)), "")&lt;&gt;IFERROR(INDEX(ERP資料!$A:$A, MATCH(843, 輔助計算!$G$2:$G$801, 0)+1), "")), INDEX(ERP資料!$B:$B, (MATCH(844, 輔助計算!$G$2:$G$801, 0)+1)), ""), "")</f>
        <v/>
      </c>
      <c r="M845" s="17" t="n"/>
    </row>
    <row r="846">
      <c r="A846" s="10">
        <f>IFERROR(IF(AND(IFERROR(INDEX(ERP資料!$A:$A, (MATCH(845, 輔助計算!$G$2:$G$801, 0)+1)), "")&lt;&gt;"", IFERROR(INDEX(ERP資料!$A:$A, (MATCH(845, 輔助計算!$G$2:$G$801, 0)+1)), "")&lt;&gt;IFERROR(INDEX(ERP資料!$A:$A, MATCH(844, 輔助計算!$G$2:$G$801, 0)+1), "")), IFERROR(INDEX(ERP資料!$A:$A, (MATCH(845, 輔助計算!$G$2:$G$801, 0)+1)), ""), ""), "")</f>
        <v/>
      </c>
      <c r="B846" s="10">
        <f>IFERROR(IF(AND(IFERROR(INDEX(ERP資料!$A:$A, (MATCH(845, 輔助計算!$G$2:$G$801, 0)+1)), "")&lt;&gt;"", IFERROR(INDEX(ERP資料!$A:$A, (MATCH(845, 輔助計算!$G$2:$G$801, 0)+1)), "")&lt;&gt;IFERROR(INDEX(ERP資料!$A:$A, MATCH(844, 輔助計算!$G$2:$G$801, 0)+1), "")), INDEX(ERP資料!$S:$S, (MATCH(845, 輔助計算!$G$2:$G$801, 0)+1)), ""), "")</f>
        <v/>
      </c>
      <c r="C846" s="19">
        <f>IFERROR(IF(AND(IFERROR(INDEX(ERP資料!$A:$A, (MATCH(845, 輔助計算!$G$2:$G$801, 0)+1)), "")&lt;&gt;"", IFERROR(INDEX(ERP資料!$A:$A, (MATCH(845, 輔助計算!$G$2:$G$801, 0)+1)), "")&lt;&gt;IFERROR(INDEX(ERP資料!$A:$A, MATCH(844, 輔助計算!$G$2:$G$801, 0)+1), "")), IFERROR(VLOOKUP(LEFT(INDEX(ERP資料!$S:$S, (MATCH(845, 輔助計算!$G$2:$G$801, 0)+1)), 4), 紙管對照表!$A:$C, 3, FALSE), ""), ""), "")</f>
        <v/>
      </c>
      <c r="D846" s="16" t="n"/>
      <c r="E846" s="10">
        <f>IFERROR(IF(INDEX(ERP資料!$H:$H, (MATCH(845, 輔助計算!$G$2:$G$801, 0)+1))="","",INDEX(ERP資料!$H:$H, (MATCH(845, 輔助計算!$G$2:$G$801, 0)+1))), "")</f>
        <v/>
      </c>
      <c r="F846" s="10">
        <f>IFERROR(IF(INDEX(ERP資料!$E:$E, (MATCH(845, 輔助計算!$G$2:$G$801, 0)+1))="","",TRIM(INDEX(ERP資料!$E:$E, (MATCH(845, 輔助計算!$G$2:$G$801, 0)+1)))), "")</f>
        <v/>
      </c>
      <c r="G846" s="10">
        <f>IFERROR(IF(INDEX(ERP資料!$F:$F, (MATCH(845, 輔助計算!$G$2:$G$801, 0)+1))="","",INDEX(ERP資料!$F:$F, (MATCH(845, 輔助計算!$G$2:$G$801, 0)+1))), "")</f>
        <v/>
      </c>
      <c r="H846" s="10">
        <f>IFERROR(IF(INDEX(ERP資料!$G:$G, (MATCH(845, 輔助計算!$G$2:$G$801, 0)+1))="","",INDEX(ERP資料!$G:$G, (MATCH(845, 輔助計算!$G$2:$G$801, 0)+1))), "")</f>
        <v/>
      </c>
      <c r="I846" s="15">
        <f>IFERROR(INDEX(輔助計算!$D:$D, (MATCH(845, 輔助計算!$G$2:$G$801, 0)+1)), "")</f>
        <v/>
      </c>
      <c r="J846" s="15">
        <f>IFERROR(IF(AND(INDEX(輔助計算!$D:$D, (MATCH(845, 輔助計算!$G$2:$G$801, 0)+1))&lt;&gt;"", INDEX(ERP資料!$G:$G, (MATCH(845, 輔助計算!$G$2:$G$801, 0)+1))&lt;&gt;""), TRIM(IF(INT(INDEX(輔助計算!$D:$D, (MATCH(845, 輔助計算!$G$2:$G$801, 0)+1))/IF(INDEX(ERP資料!$G:$G, (MATCH(845, 輔助計算!$G$2:$G$801, 0)+1))&lt;100, IF(INDEX(ERP資料!$G:$G, (MATCH(845, 輔助計算!$G$2:$G$801, 0)+1))&lt;=31,3,IF(INDEX(ERP資料!$G:$G, (MATCH(845, 輔助計算!$G$2:$G$801, 0)+1))&lt;=46.5,2,1)), IF(INDEX(ERP資料!$G:$G, (MATCH(845, 輔助計算!$G$2:$G$801, 0)+1))&lt;=790,3,IF(INDEX(ERP資料!$G:$G, (MATCH(845, 輔助計算!$G$2:$G$801, 0)+1))&lt;=1181,2,1))))&gt;0, IF(IF(INDEX(ERP資料!$G:$G, (MATCH(845, 輔助計算!$G$2:$G$801, 0)+1))&lt;100, IF(INDEX(ERP資料!$G:$G, (MATCH(845, 輔助計算!$G$2:$G$801, 0)+1))&lt;=31,3,IF(INDEX(ERP資料!$G:$G, (MATCH(845, 輔助計算!$G$2:$G$801, 0)+1))&lt;=46.5,2,1)), IF(INDEX(ERP資料!$G:$G, (MATCH(845, 輔助計算!$G$2:$G$801, 0)+1))&lt;=790,3,IF(INDEX(ERP資料!$G:$G, (MATCH(845, 輔助計算!$G$2:$G$801, 0)+1))&lt;=1181,2,1)))=1,TEXT(INDEX(ERP資料!$G:$G, (MATCH(845, 輔助計算!$G$2:$G$801, 0)+1)),"0.##"),IF(IF(INDEX(ERP資料!$G:$G, (MATCH(845, 輔助計算!$G$2:$G$801, 0)+1))&lt;100, IF(INDEX(ERP資料!$G:$G, (MATCH(845, 輔助計算!$G$2:$G$801, 0)+1))&lt;=31,3,IF(INDEX(ERP資料!$G:$G, (MATCH(845, 輔助計算!$G$2:$G$801, 0)+1))&lt;=46.5,2,1)), IF(INDEX(ERP資料!$G:$G, (MATCH(845, 輔助計算!$G$2:$G$801, 0)+1))&lt;=790,3,IF(INDEX(ERP資料!$G:$G, (MATCH(845, 輔助計算!$G$2:$G$801, 0)+1))&lt;=1181,2,1)))=2,TEXT(INDEX(ERP資料!$G:$G, (MATCH(845, 輔助計算!$G$2:$G$801, 0)+1)),"0.##")&amp;"+"&amp;TEXT(INDEX(ERP資料!$G:$G, (MATCH(845, 輔助計算!$G$2:$G$801, 0)+1)),"0.##"),TEXT(INDEX(ERP資料!$G:$G, (MATCH(845, 輔助計算!$G$2:$G$801, 0)+1)),"0.##")&amp;"+"&amp;TEXT(INDEX(ERP資料!$G:$G, (MATCH(845, 輔助計算!$G$2:$G$801, 0)+1)),"0.##")&amp;"+"&amp;TEXT(INDEX(ERP資料!$G:$G, (MATCH(845, 輔助計算!$G$2:$G$801, 0)+1)),"0.##")))&amp;"-"&amp;INT(INDEX(輔助計算!$D:$D, (MATCH(845, 輔助計算!$G$2:$G$801, 0)+1))/IF(INDEX(ERP資料!$G:$G, (MATCH(845, 輔助計算!$G$2:$G$801, 0)+1))&lt;100, IF(INDEX(ERP資料!$G:$G, (MATCH(845, 輔助計算!$G$2:$G$801, 0)+1))&lt;=31,3,IF(INDEX(ERP資料!$G:$G, (MATCH(845, 輔助計算!$G$2:$G$801, 0)+1))&lt;=46.5,2,1)), IF(INDEX(ERP資料!$G:$G, (MATCH(845, 輔助計算!$G$2:$G$801, 0)+1))&lt;=790,3,IF(INDEX(ERP資料!$G:$G, (MATCH(845, 輔助計算!$G$2:$G$801, 0)+1))&lt;=1181,2,1)))), "")&amp;IF(AND(IF(INT(INDEX(輔助計算!$D:$D, (MATCH(845, 輔助計算!$G$2:$G$801, 0)+1))/IF(INDEX(ERP資料!$G:$G, (MATCH(845, 輔助計算!$G$2:$G$801, 0)+1))&lt;100, IF(INDEX(ERP資料!$G:$G, (MATCH(845, 輔助計算!$G$2:$G$801, 0)+1))&lt;=31,3,IF(INDEX(ERP資料!$G:$G, (MATCH(845, 輔助計算!$G$2:$G$801, 0)+1))&lt;=46.5,2,1)), IF(INDEX(ERP資料!$G:$G, (MATCH(845, 輔助計算!$G$2:$G$801, 0)+1))&lt;=790,3,IF(INDEX(ERP資料!$G:$G, (MATCH(845, 輔助計算!$G$2:$G$801, 0)+1))&lt;=1181,2,1))))&gt;0, IF(IF(INDEX(ERP資料!$G:$G, (MATCH(845, 輔助計算!$G$2:$G$801, 0)+1))&lt;100, IF(INDEX(ERP資料!$G:$G, (MATCH(845, 輔助計算!$G$2:$G$801, 0)+1))&lt;=31,3,IF(INDEX(ERP資料!$G:$G, (MATCH(845, 輔助計算!$G$2:$G$801, 0)+1))&lt;=46.5,2,1)), IF(INDEX(ERP資料!$G:$G, (MATCH(845, 輔助計算!$G$2:$G$801, 0)+1))&lt;=790,3,IF(INDEX(ERP資料!$G:$G, (MATCH(845, 輔助計算!$G$2:$G$801, 0)+1))&lt;=1181,2,1)))=1,TEXT(INDEX(ERP資料!$G:$G, (MATCH(845, 輔助計算!$G$2:$G$801, 0)+1)),"0.##"),IF(IF(INDEX(ERP資料!$G:$G, (MATCH(845, 輔助計算!$G$2:$G$801, 0)+1))&lt;100, IF(INDEX(ERP資料!$G:$G, (MATCH(845, 輔助計算!$G$2:$G$801, 0)+1))&lt;=31,3,IF(INDEX(ERP資料!$G:$G, (MATCH(845, 輔助計算!$G$2:$G$801, 0)+1))&lt;=46.5,2,1)), IF(INDEX(ERP資料!$G:$G, (MATCH(845, 輔助計算!$G$2:$G$801, 0)+1))&lt;=790,3,IF(INDEX(ERP資料!$G:$G, (MATCH(845, 輔助計算!$G$2:$G$801, 0)+1))&lt;=1181,2,1)))=2,TEXT(INDEX(ERP資料!$G:$G, (MATCH(845, 輔助計算!$G$2:$G$801, 0)+1)),"0.##")&amp;"+"&amp;TEXT(INDEX(ERP資料!$G:$G, (MATCH(845, 輔助計算!$G$2:$G$801, 0)+1)),"0.##"),TEXT(INDEX(ERP資料!$G:$G, (MATCH(845, 輔助計算!$G$2:$G$801, 0)+1)),"0.##")&amp;"+"&amp;TEXT(INDEX(ERP資料!$G:$G, (MATCH(845, 輔助計算!$G$2:$G$801, 0)+1)),"0.##")&amp;"+"&amp;TEXT(INDEX(ERP資料!$G:$G, (MATCH(845, 輔助計算!$G$2:$G$801, 0)+1)),"0.##")))&amp;"-"&amp;INT(INDEX(輔助計算!$D:$D, (MATCH(845, 輔助計算!$G$2:$G$801, 0)+1))/IF(INDEX(ERP資料!$G:$G, (MATCH(845, 輔助計算!$G$2:$G$801, 0)+1))&lt;100, IF(INDEX(ERP資料!$G:$G, (MATCH(845, 輔助計算!$G$2:$G$801, 0)+1))&lt;=31,3,IF(INDEX(ERP資料!$G:$G, (MATCH(845, 輔助計算!$G$2:$G$801, 0)+1))&lt;=46.5,2,1)), IF(INDEX(ERP資料!$G:$G, (MATCH(845, 輔助計算!$G$2:$G$801, 0)+1))&lt;=790,3,IF(INDEX(ERP資料!$G:$G, (MATCH(845, 輔助計算!$G$2:$G$801, 0)+1))&lt;=1181,2,1)))), "")&lt;&gt;"",IF(MOD(INDEX(輔助計算!$D:$D, (MATCH(845, 輔助計算!$G$2:$G$801, 0)+1)),IF(INDEX(ERP資料!$G:$G, (MATCH(845, 輔助計算!$G$2:$G$801, 0)+1))&lt;100, IF(INDEX(ERP資料!$G:$G, (MATCH(845, 輔助計算!$G$2:$G$801, 0)+1))&lt;=31,3,IF(INDEX(ERP資料!$G:$G, (MATCH(845, 輔助計算!$G$2:$G$801, 0)+1))&lt;=46.5,2,1)), IF(INDEX(ERP資料!$G:$G, (MATCH(845, 輔助計算!$G$2:$G$801, 0)+1))&lt;=790,3,IF(INDEX(ERP資料!$G:$G, (MATCH(845, 輔助計算!$G$2:$G$801, 0)+1))&lt;=1181,2,1))))=0,"",IF(MOD(INDEX(輔助計算!$D:$D, (MATCH(845, 輔助計算!$G$2:$G$801, 0)+1)),IF(INDEX(ERP資料!$G:$G, (MATCH(845, 輔助計算!$G$2:$G$801, 0)+1))&lt;100, IF(INDEX(ERP資料!$G:$G, (MATCH(845, 輔助計算!$G$2:$G$801, 0)+1))&lt;=31,3,IF(INDEX(ERP資料!$G:$G, (MATCH(845, 輔助計算!$G$2:$G$801, 0)+1))&lt;=46.5,2,1)), IF(INDEX(ERP資料!$G:$G, (MATCH(845, 輔助計算!$G$2:$G$801, 0)+1))&lt;=790,3,IF(INDEX(ERP資料!$G:$G, (MATCH(845, 輔助計算!$G$2:$G$801, 0)+1))&lt;=1181,2,1))))=0,"",IF(MOD(INDEX(輔助計算!$D:$D, (MATCH(845, 輔助計算!$G$2:$G$801, 0)+1)),IF(INDEX(ERP資料!$G:$G, (MATCH(845, 輔助計算!$G$2:$G$801, 0)+1))&lt;100, IF(INDEX(ERP資料!$G:$G, (MATCH(845, 輔助計算!$G$2:$G$801, 0)+1))&lt;=31,3,IF(INDEX(ERP資料!$G:$G, (MATCH(845, 輔助計算!$G$2:$G$801, 0)+1))&lt;=46.5,2,1)), IF(INDEX(ERP資料!$G:$G, (MATCH(845, 輔助計算!$G$2:$G$801, 0)+1))&lt;=790,3,IF(INDEX(ERP資料!$G:$G, (MATCH(845, 輔助計算!$G$2:$G$801, 0)+1))&lt;=1181,2,1))))=1,TEXT(INDEX(ERP資料!$G:$G, (MATCH(845, 輔助計算!$G$2:$G$801, 0)+1)),"0.##"),IF(MOD(INDEX(輔助計算!$D:$D, (MATCH(845, 輔助計算!$G$2:$G$801, 0)+1)),IF(INDEX(ERP資料!$G:$G, (MATCH(845, 輔助計算!$G$2:$G$801, 0)+1))&lt;100, IF(INDEX(ERP資料!$G:$G, (MATCH(845, 輔助計算!$G$2:$G$801, 0)+1))&lt;=31,3,IF(INDEX(ERP資料!$G:$G, (MATCH(845, 輔助計算!$G$2:$G$801, 0)+1))&lt;=46.5,2,1)), IF(INDEX(ERP資料!$G:$G, (MATCH(845, 輔助計算!$G$2:$G$801, 0)+1))&lt;=790,3,IF(INDEX(ERP資料!$G:$G, (MATCH(845, 輔助計算!$G$2:$G$801, 0)+1))&lt;=1181,2,1))))=2,TEXT(INDEX(ERP資料!$G:$G, (MATCH(845, 輔助計算!$G$2:$G$801, 0)+1)),"0.##")&amp;"+"&amp;TEXT(INDEX(ERP資料!$G:$G, (MATCH(845, 輔助計算!$G$2:$G$801, 0)+1)),"0.##"),TEXT(INDEX(ERP資料!$G:$G, (MATCH(845, 輔助計算!$G$2:$G$801, 0)+1)),"0.##")&amp;"+"&amp;TEXT(INDEX(ERP資料!$G:$G, (MATCH(845, 輔助計算!$G$2:$G$801, 0)+1)),"0.##")&amp;"+"&amp;TEXT(INDEX(ERP資料!$G:$G, (MATCH(845, 輔助計算!$G$2:$G$801, 0)+1)),"0.##"))))&amp;"-1")&lt;&gt;""),"  ","")&amp;IF(MOD(INDEX(輔助計算!$D:$D, (MATCH(845, 輔助計算!$G$2:$G$801, 0)+1)),IF(INDEX(ERP資料!$G:$G, (MATCH(845, 輔助計算!$G$2:$G$801, 0)+1))&lt;100, IF(INDEX(ERP資料!$G:$G, (MATCH(845, 輔助計算!$G$2:$G$801, 0)+1))&lt;=31,3,IF(INDEX(ERP資料!$G:$G, (MATCH(845, 輔助計算!$G$2:$G$801, 0)+1))&lt;=46.5,2,1)), IF(INDEX(ERP資料!$G:$G, (MATCH(845, 輔助計算!$G$2:$G$801, 0)+1))&lt;=790,3,IF(INDEX(ERP資料!$G:$G, (MATCH(845, 輔助計算!$G$2:$G$801, 0)+1))&lt;=1181,2,1))))=0,"",IF(MOD(INDEX(輔助計算!$D:$D, (MATCH(845, 輔助計算!$G$2:$G$801, 0)+1)),IF(INDEX(ERP資料!$G:$G, (MATCH(845, 輔助計算!$G$2:$G$801, 0)+1))&lt;100, IF(INDEX(ERP資料!$G:$G, (MATCH(845, 輔助計算!$G$2:$G$801, 0)+1))&lt;=31,3,IF(INDEX(ERP資料!$G:$G, (MATCH(845, 輔助計算!$G$2:$G$801, 0)+1))&lt;=46.5,2,1)), IF(INDEX(ERP資料!$G:$G, (MATCH(845, 輔助計算!$G$2:$G$801, 0)+1))&lt;=790,3,IF(INDEX(ERP資料!$G:$G, (MATCH(845, 輔助計算!$G$2:$G$801, 0)+1))&lt;=1181,2,1))))=0,"",IF(MOD(INDEX(輔助計算!$D:$D, (MATCH(845, 輔助計算!$G$2:$G$801, 0)+1)),IF(INDEX(ERP資料!$G:$G, (MATCH(845, 輔助計算!$G$2:$G$801, 0)+1))&lt;100, IF(INDEX(ERP資料!$G:$G, (MATCH(845, 輔助計算!$G$2:$G$801, 0)+1))&lt;=31,3,IF(INDEX(ERP資料!$G:$G, (MATCH(845, 輔助計算!$G$2:$G$801, 0)+1))&lt;=46.5,2,1)), IF(INDEX(ERP資料!$G:$G, (MATCH(845, 輔助計算!$G$2:$G$801, 0)+1))&lt;=790,3,IF(INDEX(ERP資料!$G:$G, (MATCH(845, 輔助計算!$G$2:$G$801, 0)+1))&lt;=1181,2,1))))=1,TEXT(INDEX(ERP資料!$G:$G, (MATCH(845, 輔助計算!$G$2:$G$801, 0)+1)),"0.##"),IF(MOD(INDEX(輔助計算!$D:$D, (MATCH(845, 輔助計算!$G$2:$G$801, 0)+1)),IF(INDEX(ERP資料!$G:$G, (MATCH(845, 輔助計算!$G$2:$G$801, 0)+1))&lt;100, IF(INDEX(ERP資料!$G:$G, (MATCH(845, 輔助計算!$G$2:$G$801, 0)+1))&lt;=31,3,IF(INDEX(ERP資料!$G:$G, (MATCH(845, 輔助計算!$G$2:$G$801, 0)+1))&lt;=46.5,2,1)), IF(INDEX(ERP資料!$G:$G, (MATCH(845, 輔助計算!$G$2:$G$801, 0)+1))&lt;=790,3,IF(INDEX(ERP資料!$G:$G, (MATCH(845, 輔助計算!$G$2:$G$801, 0)+1))&lt;=1181,2,1))))=2,TEXT(INDEX(ERP資料!$G:$G, (MATCH(845, 輔助計算!$G$2:$G$801, 0)+1)),"0.##")&amp;"+"&amp;TEXT(INDEX(ERP資料!$G:$G, (MATCH(845, 輔助計算!$G$2:$G$801, 0)+1)),"0.##"),TEXT(INDEX(ERP資料!$G:$G, (MATCH(845, 輔助計算!$G$2:$G$801, 0)+1)),"0.##")&amp;"+"&amp;TEXT(INDEX(ERP資料!$G:$G, (MATCH(845, 輔助計算!$G$2:$G$801, 0)+1)),"0.##")&amp;"+"&amp;TEXT(INDEX(ERP資料!$G:$G, (MATCH(845, 輔助計算!$G$2:$G$801, 0)+1)),"0.##"))))&amp;"-1")), ""), "")</f>
        <v/>
      </c>
      <c r="K846" s="16" t="n"/>
      <c r="L846" s="14">
        <f>IFERROR(IF(AND(IFERROR(INDEX(ERP資料!$A:$A, (MATCH(845, 輔助計算!$G$2:$G$801, 0)+1)), "")&lt;&gt;"", IFERROR(INDEX(ERP資料!$A:$A, (MATCH(845, 輔助計算!$G$2:$G$801, 0)+1)), "")&lt;&gt;IFERROR(INDEX(ERP資料!$A:$A, MATCH(844, 輔助計算!$G$2:$G$801, 0)+1), "")), INDEX(ERP資料!$B:$B, (MATCH(845, 輔助計算!$G$2:$G$801, 0)+1)), ""), "")</f>
        <v/>
      </c>
      <c r="M846" s="17" t="n"/>
    </row>
    <row r="847">
      <c r="A847" s="10">
        <f>IFERROR(IF(AND(IFERROR(INDEX(ERP資料!$A:$A, (MATCH(846, 輔助計算!$G$2:$G$801, 0)+1)), "")&lt;&gt;"", IFERROR(INDEX(ERP資料!$A:$A, (MATCH(846, 輔助計算!$G$2:$G$801, 0)+1)), "")&lt;&gt;IFERROR(INDEX(ERP資料!$A:$A, MATCH(845, 輔助計算!$G$2:$G$801, 0)+1), "")), IFERROR(INDEX(ERP資料!$A:$A, (MATCH(846, 輔助計算!$G$2:$G$801, 0)+1)), ""), ""), "")</f>
        <v/>
      </c>
      <c r="B847" s="10">
        <f>IFERROR(IF(AND(IFERROR(INDEX(ERP資料!$A:$A, (MATCH(846, 輔助計算!$G$2:$G$801, 0)+1)), "")&lt;&gt;"", IFERROR(INDEX(ERP資料!$A:$A, (MATCH(846, 輔助計算!$G$2:$G$801, 0)+1)), "")&lt;&gt;IFERROR(INDEX(ERP資料!$A:$A, MATCH(845, 輔助計算!$G$2:$G$801, 0)+1), "")), INDEX(ERP資料!$S:$S, (MATCH(846, 輔助計算!$G$2:$G$801, 0)+1)), ""), "")</f>
        <v/>
      </c>
      <c r="C847" s="19">
        <f>IFERROR(IF(AND(IFERROR(INDEX(ERP資料!$A:$A, (MATCH(846, 輔助計算!$G$2:$G$801, 0)+1)), "")&lt;&gt;"", IFERROR(INDEX(ERP資料!$A:$A, (MATCH(846, 輔助計算!$G$2:$G$801, 0)+1)), "")&lt;&gt;IFERROR(INDEX(ERP資料!$A:$A, MATCH(845, 輔助計算!$G$2:$G$801, 0)+1), "")), IFERROR(VLOOKUP(LEFT(INDEX(ERP資料!$S:$S, (MATCH(846, 輔助計算!$G$2:$G$801, 0)+1)), 4), 紙管對照表!$A:$C, 3, FALSE), ""), ""), "")</f>
        <v/>
      </c>
      <c r="D847" s="16" t="n"/>
      <c r="E847" s="10">
        <f>IFERROR(IF(INDEX(ERP資料!$H:$H, (MATCH(846, 輔助計算!$G$2:$G$801, 0)+1))="","",INDEX(ERP資料!$H:$H, (MATCH(846, 輔助計算!$G$2:$G$801, 0)+1))), "")</f>
        <v/>
      </c>
      <c r="F847" s="10">
        <f>IFERROR(IF(INDEX(ERP資料!$E:$E, (MATCH(846, 輔助計算!$G$2:$G$801, 0)+1))="","",TRIM(INDEX(ERP資料!$E:$E, (MATCH(846, 輔助計算!$G$2:$G$801, 0)+1)))), "")</f>
        <v/>
      </c>
      <c r="G847" s="10">
        <f>IFERROR(IF(INDEX(ERP資料!$F:$F, (MATCH(846, 輔助計算!$G$2:$G$801, 0)+1))="","",INDEX(ERP資料!$F:$F, (MATCH(846, 輔助計算!$G$2:$G$801, 0)+1))), "")</f>
        <v/>
      </c>
      <c r="H847" s="10">
        <f>IFERROR(IF(INDEX(ERP資料!$G:$G, (MATCH(846, 輔助計算!$G$2:$G$801, 0)+1))="","",INDEX(ERP資料!$G:$G, (MATCH(846, 輔助計算!$G$2:$G$801, 0)+1))), "")</f>
        <v/>
      </c>
      <c r="I847" s="15">
        <f>IFERROR(INDEX(輔助計算!$D:$D, (MATCH(846, 輔助計算!$G$2:$G$801, 0)+1)), "")</f>
        <v/>
      </c>
      <c r="J847" s="15">
        <f>IFERROR(IF(AND(INDEX(輔助計算!$D:$D, (MATCH(846, 輔助計算!$G$2:$G$801, 0)+1))&lt;&gt;"", INDEX(ERP資料!$G:$G, (MATCH(846, 輔助計算!$G$2:$G$801, 0)+1))&lt;&gt;""), TRIM(IF(INT(INDEX(輔助計算!$D:$D, (MATCH(846, 輔助計算!$G$2:$G$801, 0)+1))/IF(INDEX(ERP資料!$G:$G, (MATCH(846, 輔助計算!$G$2:$G$801, 0)+1))&lt;100, IF(INDEX(ERP資料!$G:$G, (MATCH(846, 輔助計算!$G$2:$G$801, 0)+1))&lt;=31,3,IF(INDEX(ERP資料!$G:$G, (MATCH(846, 輔助計算!$G$2:$G$801, 0)+1))&lt;=46.5,2,1)), IF(INDEX(ERP資料!$G:$G, (MATCH(846, 輔助計算!$G$2:$G$801, 0)+1))&lt;=790,3,IF(INDEX(ERP資料!$G:$G, (MATCH(846, 輔助計算!$G$2:$G$801, 0)+1))&lt;=1181,2,1))))&gt;0, IF(IF(INDEX(ERP資料!$G:$G, (MATCH(846, 輔助計算!$G$2:$G$801, 0)+1))&lt;100, IF(INDEX(ERP資料!$G:$G, (MATCH(846, 輔助計算!$G$2:$G$801, 0)+1))&lt;=31,3,IF(INDEX(ERP資料!$G:$G, (MATCH(846, 輔助計算!$G$2:$G$801, 0)+1))&lt;=46.5,2,1)), IF(INDEX(ERP資料!$G:$G, (MATCH(846, 輔助計算!$G$2:$G$801, 0)+1))&lt;=790,3,IF(INDEX(ERP資料!$G:$G, (MATCH(846, 輔助計算!$G$2:$G$801, 0)+1))&lt;=1181,2,1)))=1,TEXT(INDEX(ERP資料!$G:$G, (MATCH(846, 輔助計算!$G$2:$G$801, 0)+1)),"0.##"),IF(IF(INDEX(ERP資料!$G:$G, (MATCH(846, 輔助計算!$G$2:$G$801, 0)+1))&lt;100, IF(INDEX(ERP資料!$G:$G, (MATCH(846, 輔助計算!$G$2:$G$801, 0)+1))&lt;=31,3,IF(INDEX(ERP資料!$G:$G, (MATCH(846, 輔助計算!$G$2:$G$801, 0)+1))&lt;=46.5,2,1)), IF(INDEX(ERP資料!$G:$G, (MATCH(846, 輔助計算!$G$2:$G$801, 0)+1))&lt;=790,3,IF(INDEX(ERP資料!$G:$G, (MATCH(846, 輔助計算!$G$2:$G$801, 0)+1))&lt;=1181,2,1)))=2,TEXT(INDEX(ERP資料!$G:$G, (MATCH(846, 輔助計算!$G$2:$G$801, 0)+1)),"0.##")&amp;"+"&amp;TEXT(INDEX(ERP資料!$G:$G, (MATCH(846, 輔助計算!$G$2:$G$801, 0)+1)),"0.##"),TEXT(INDEX(ERP資料!$G:$G, (MATCH(846, 輔助計算!$G$2:$G$801, 0)+1)),"0.##")&amp;"+"&amp;TEXT(INDEX(ERP資料!$G:$G, (MATCH(846, 輔助計算!$G$2:$G$801, 0)+1)),"0.##")&amp;"+"&amp;TEXT(INDEX(ERP資料!$G:$G, (MATCH(846, 輔助計算!$G$2:$G$801, 0)+1)),"0.##")))&amp;"-"&amp;INT(INDEX(輔助計算!$D:$D, (MATCH(846, 輔助計算!$G$2:$G$801, 0)+1))/IF(INDEX(ERP資料!$G:$G, (MATCH(846, 輔助計算!$G$2:$G$801, 0)+1))&lt;100, IF(INDEX(ERP資料!$G:$G, (MATCH(846, 輔助計算!$G$2:$G$801, 0)+1))&lt;=31,3,IF(INDEX(ERP資料!$G:$G, (MATCH(846, 輔助計算!$G$2:$G$801, 0)+1))&lt;=46.5,2,1)), IF(INDEX(ERP資料!$G:$G, (MATCH(846, 輔助計算!$G$2:$G$801, 0)+1))&lt;=790,3,IF(INDEX(ERP資料!$G:$G, (MATCH(846, 輔助計算!$G$2:$G$801, 0)+1))&lt;=1181,2,1)))), "")&amp;IF(AND(IF(INT(INDEX(輔助計算!$D:$D, (MATCH(846, 輔助計算!$G$2:$G$801, 0)+1))/IF(INDEX(ERP資料!$G:$G, (MATCH(846, 輔助計算!$G$2:$G$801, 0)+1))&lt;100, IF(INDEX(ERP資料!$G:$G, (MATCH(846, 輔助計算!$G$2:$G$801, 0)+1))&lt;=31,3,IF(INDEX(ERP資料!$G:$G, (MATCH(846, 輔助計算!$G$2:$G$801, 0)+1))&lt;=46.5,2,1)), IF(INDEX(ERP資料!$G:$G, (MATCH(846, 輔助計算!$G$2:$G$801, 0)+1))&lt;=790,3,IF(INDEX(ERP資料!$G:$G, (MATCH(846, 輔助計算!$G$2:$G$801, 0)+1))&lt;=1181,2,1))))&gt;0, IF(IF(INDEX(ERP資料!$G:$G, (MATCH(846, 輔助計算!$G$2:$G$801, 0)+1))&lt;100, IF(INDEX(ERP資料!$G:$G, (MATCH(846, 輔助計算!$G$2:$G$801, 0)+1))&lt;=31,3,IF(INDEX(ERP資料!$G:$G, (MATCH(846, 輔助計算!$G$2:$G$801, 0)+1))&lt;=46.5,2,1)), IF(INDEX(ERP資料!$G:$G, (MATCH(846, 輔助計算!$G$2:$G$801, 0)+1))&lt;=790,3,IF(INDEX(ERP資料!$G:$G, (MATCH(846, 輔助計算!$G$2:$G$801, 0)+1))&lt;=1181,2,1)))=1,TEXT(INDEX(ERP資料!$G:$G, (MATCH(846, 輔助計算!$G$2:$G$801, 0)+1)),"0.##"),IF(IF(INDEX(ERP資料!$G:$G, (MATCH(846, 輔助計算!$G$2:$G$801, 0)+1))&lt;100, IF(INDEX(ERP資料!$G:$G, (MATCH(846, 輔助計算!$G$2:$G$801, 0)+1))&lt;=31,3,IF(INDEX(ERP資料!$G:$G, (MATCH(846, 輔助計算!$G$2:$G$801, 0)+1))&lt;=46.5,2,1)), IF(INDEX(ERP資料!$G:$G, (MATCH(846, 輔助計算!$G$2:$G$801, 0)+1))&lt;=790,3,IF(INDEX(ERP資料!$G:$G, (MATCH(846, 輔助計算!$G$2:$G$801, 0)+1))&lt;=1181,2,1)))=2,TEXT(INDEX(ERP資料!$G:$G, (MATCH(846, 輔助計算!$G$2:$G$801, 0)+1)),"0.##")&amp;"+"&amp;TEXT(INDEX(ERP資料!$G:$G, (MATCH(846, 輔助計算!$G$2:$G$801, 0)+1)),"0.##"),TEXT(INDEX(ERP資料!$G:$G, (MATCH(846, 輔助計算!$G$2:$G$801, 0)+1)),"0.##")&amp;"+"&amp;TEXT(INDEX(ERP資料!$G:$G, (MATCH(846, 輔助計算!$G$2:$G$801, 0)+1)),"0.##")&amp;"+"&amp;TEXT(INDEX(ERP資料!$G:$G, (MATCH(846, 輔助計算!$G$2:$G$801, 0)+1)),"0.##")))&amp;"-"&amp;INT(INDEX(輔助計算!$D:$D, (MATCH(846, 輔助計算!$G$2:$G$801, 0)+1))/IF(INDEX(ERP資料!$G:$G, (MATCH(846, 輔助計算!$G$2:$G$801, 0)+1))&lt;100, IF(INDEX(ERP資料!$G:$G, (MATCH(846, 輔助計算!$G$2:$G$801, 0)+1))&lt;=31,3,IF(INDEX(ERP資料!$G:$G, (MATCH(846, 輔助計算!$G$2:$G$801, 0)+1))&lt;=46.5,2,1)), IF(INDEX(ERP資料!$G:$G, (MATCH(846, 輔助計算!$G$2:$G$801, 0)+1))&lt;=790,3,IF(INDEX(ERP資料!$G:$G, (MATCH(846, 輔助計算!$G$2:$G$801, 0)+1))&lt;=1181,2,1)))), "")&lt;&gt;"",IF(MOD(INDEX(輔助計算!$D:$D, (MATCH(846, 輔助計算!$G$2:$G$801, 0)+1)),IF(INDEX(ERP資料!$G:$G, (MATCH(846, 輔助計算!$G$2:$G$801, 0)+1))&lt;100, IF(INDEX(ERP資料!$G:$G, (MATCH(846, 輔助計算!$G$2:$G$801, 0)+1))&lt;=31,3,IF(INDEX(ERP資料!$G:$G, (MATCH(846, 輔助計算!$G$2:$G$801, 0)+1))&lt;=46.5,2,1)), IF(INDEX(ERP資料!$G:$G, (MATCH(846, 輔助計算!$G$2:$G$801, 0)+1))&lt;=790,3,IF(INDEX(ERP資料!$G:$G, (MATCH(846, 輔助計算!$G$2:$G$801, 0)+1))&lt;=1181,2,1))))=0,"",IF(MOD(INDEX(輔助計算!$D:$D, (MATCH(846, 輔助計算!$G$2:$G$801, 0)+1)),IF(INDEX(ERP資料!$G:$G, (MATCH(846, 輔助計算!$G$2:$G$801, 0)+1))&lt;100, IF(INDEX(ERP資料!$G:$G, (MATCH(846, 輔助計算!$G$2:$G$801, 0)+1))&lt;=31,3,IF(INDEX(ERP資料!$G:$G, (MATCH(846, 輔助計算!$G$2:$G$801, 0)+1))&lt;=46.5,2,1)), IF(INDEX(ERP資料!$G:$G, (MATCH(846, 輔助計算!$G$2:$G$801, 0)+1))&lt;=790,3,IF(INDEX(ERP資料!$G:$G, (MATCH(846, 輔助計算!$G$2:$G$801, 0)+1))&lt;=1181,2,1))))=0,"",IF(MOD(INDEX(輔助計算!$D:$D, (MATCH(846, 輔助計算!$G$2:$G$801, 0)+1)),IF(INDEX(ERP資料!$G:$G, (MATCH(846, 輔助計算!$G$2:$G$801, 0)+1))&lt;100, IF(INDEX(ERP資料!$G:$G, (MATCH(846, 輔助計算!$G$2:$G$801, 0)+1))&lt;=31,3,IF(INDEX(ERP資料!$G:$G, (MATCH(846, 輔助計算!$G$2:$G$801, 0)+1))&lt;=46.5,2,1)), IF(INDEX(ERP資料!$G:$G, (MATCH(846, 輔助計算!$G$2:$G$801, 0)+1))&lt;=790,3,IF(INDEX(ERP資料!$G:$G, (MATCH(846, 輔助計算!$G$2:$G$801, 0)+1))&lt;=1181,2,1))))=1,TEXT(INDEX(ERP資料!$G:$G, (MATCH(846, 輔助計算!$G$2:$G$801, 0)+1)),"0.##"),IF(MOD(INDEX(輔助計算!$D:$D, (MATCH(846, 輔助計算!$G$2:$G$801, 0)+1)),IF(INDEX(ERP資料!$G:$G, (MATCH(846, 輔助計算!$G$2:$G$801, 0)+1))&lt;100, IF(INDEX(ERP資料!$G:$G, (MATCH(846, 輔助計算!$G$2:$G$801, 0)+1))&lt;=31,3,IF(INDEX(ERP資料!$G:$G, (MATCH(846, 輔助計算!$G$2:$G$801, 0)+1))&lt;=46.5,2,1)), IF(INDEX(ERP資料!$G:$G, (MATCH(846, 輔助計算!$G$2:$G$801, 0)+1))&lt;=790,3,IF(INDEX(ERP資料!$G:$G, (MATCH(846, 輔助計算!$G$2:$G$801, 0)+1))&lt;=1181,2,1))))=2,TEXT(INDEX(ERP資料!$G:$G, (MATCH(846, 輔助計算!$G$2:$G$801, 0)+1)),"0.##")&amp;"+"&amp;TEXT(INDEX(ERP資料!$G:$G, (MATCH(846, 輔助計算!$G$2:$G$801, 0)+1)),"0.##"),TEXT(INDEX(ERP資料!$G:$G, (MATCH(846, 輔助計算!$G$2:$G$801, 0)+1)),"0.##")&amp;"+"&amp;TEXT(INDEX(ERP資料!$G:$G, (MATCH(846, 輔助計算!$G$2:$G$801, 0)+1)),"0.##")&amp;"+"&amp;TEXT(INDEX(ERP資料!$G:$G, (MATCH(846, 輔助計算!$G$2:$G$801, 0)+1)),"0.##"))))&amp;"-1")&lt;&gt;""),"  ","")&amp;IF(MOD(INDEX(輔助計算!$D:$D, (MATCH(846, 輔助計算!$G$2:$G$801, 0)+1)),IF(INDEX(ERP資料!$G:$G, (MATCH(846, 輔助計算!$G$2:$G$801, 0)+1))&lt;100, IF(INDEX(ERP資料!$G:$G, (MATCH(846, 輔助計算!$G$2:$G$801, 0)+1))&lt;=31,3,IF(INDEX(ERP資料!$G:$G, (MATCH(846, 輔助計算!$G$2:$G$801, 0)+1))&lt;=46.5,2,1)), IF(INDEX(ERP資料!$G:$G, (MATCH(846, 輔助計算!$G$2:$G$801, 0)+1))&lt;=790,3,IF(INDEX(ERP資料!$G:$G, (MATCH(846, 輔助計算!$G$2:$G$801, 0)+1))&lt;=1181,2,1))))=0,"",IF(MOD(INDEX(輔助計算!$D:$D, (MATCH(846, 輔助計算!$G$2:$G$801, 0)+1)),IF(INDEX(ERP資料!$G:$G, (MATCH(846, 輔助計算!$G$2:$G$801, 0)+1))&lt;100, IF(INDEX(ERP資料!$G:$G, (MATCH(846, 輔助計算!$G$2:$G$801, 0)+1))&lt;=31,3,IF(INDEX(ERP資料!$G:$G, (MATCH(846, 輔助計算!$G$2:$G$801, 0)+1))&lt;=46.5,2,1)), IF(INDEX(ERP資料!$G:$G, (MATCH(846, 輔助計算!$G$2:$G$801, 0)+1))&lt;=790,3,IF(INDEX(ERP資料!$G:$G, (MATCH(846, 輔助計算!$G$2:$G$801, 0)+1))&lt;=1181,2,1))))=0,"",IF(MOD(INDEX(輔助計算!$D:$D, (MATCH(846, 輔助計算!$G$2:$G$801, 0)+1)),IF(INDEX(ERP資料!$G:$G, (MATCH(846, 輔助計算!$G$2:$G$801, 0)+1))&lt;100, IF(INDEX(ERP資料!$G:$G, (MATCH(846, 輔助計算!$G$2:$G$801, 0)+1))&lt;=31,3,IF(INDEX(ERP資料!$G:$G, (MATCH(846, 輔助計算!$G$2:$G$801, 0)+1))&lt;=46.5,2,1)), IF(INDEX(ERP資料!$G:$G, (MATCH(846, 輔助計算!$G$2:$G$801, 0)+1))&lt;=790,3,IF(INDEX(ERP資料!$G:$G, (MATCH(846, 輔助計算!$G$2:$G$801, 0)+1))&lt;=1181,2,1))))=1,TEXT(INDEX(ERP資料!$G:$G, (MATCH(846, 輔助計算!$G$2:$G$801, 0)+1)),"0.##"),IF(MOD(INDEX(輔助計算!$D:$D, (MATCH(846, 輔助計算!$G$2:$G$801, 0)+1)),IF(INDEX(ERP資料!$G:$G, (MATCH(846, 輔助計算!$G$2:$G$801, 0)+1))&lt;100, IF(INDEX(ERP資料!$G:$G, (MATCH(846, 輔助計算!$G$2:$G$801, 0)+1))&lt;=31,3,IF(INDEX(ERP資料!$G:$G, (MATCH(846, 輔助計算!$G$2:$G$801, 0)+1))&lt;=46.5,2,1)), IF(INDEX(ERP資料!$G:$G, (MATCH(846, 輔助計算!$G$2:$G$801, 0)+1))&lt;=790,3,IF(INDEX(ERP資料!$G:$G, (MATCH(846, 輔助計算!$G$2:$G$801, 0)+1))&lt;=1181,2,1))))=2,TEXT(INDEX(ERP資料!$G:$G, (MATCH(846, 輔助計算!$G$2:$G$801, 0)+1)),"0.##")&amp;"+"&amp;TEXT(INDEX(ERP資料!$G:$G, (MATCH(846, 輔助計算!$G$2:$G$801, 0)+1)),"0.##"),TEXT(INDEX(ERP資料!$G:$G, (MATCH(846, 輔助計算!$G$2:$G$801, 0)+1)),"0.##")&amp;"+"&amp;TEXT(INDEX(ERP資料!$G:$G, (MATCH(846, 輔助計算!$G$2:$G$801, 0)+1)),"0.##")&amp;"+"&amp;TEXT(INDEX(ERP資料!$G:$G, (MATCH(846, 輔助計算!$G$2:$G$801, 0)+1)),"0.##"))))&amp;"-1")), ""), "")</f>
        <v/>
      </c>
      <c r="K847" s="16" t="n"/>
      <c r="L847" s="14">
        <f>IFERROR(IF(AND(IFERROR(INDEX(ERP資料!$A:$A, (MATCH(846, 輔助計算!$G$2:$G$801, 0)+1)), "")&lt;&gt;"", IFERROR(INDEX(ERP資料!$A:$A, (MATCH(846, 輔助計算!$G$2:$G$801, 0)+1)), "")&lt;&gt;IFERROR(INDEX(ERP資料!$A:$A, MATCH(845, 輔助計算!$G$2:$G$801, 0)+1), "")), INDEX(ERP資料!$B:$B, (MATCH(846, 輔助計算!$G$2:$G$801, 0)+1)), ""), "")</f>
        <v/>
      </c>
      <c r="M847" s="17" t="n"/>
    </row>
    <row r="848">
      <c r="A848" s="10">
        <f>IFERROR(IF(AND(IFERROR(INDEX(ERP資料!$A:$A, (MATCH(847, 輔助計算!$G$2:$G$801, 0)+1)), "")&lt;&gt;"", IFERROR(INDEX(ERP資料!$A:$A, (MATCH(847, 輔助計算!$G$2:$G$801, 0)+1)), "")&lt;&gt;IFERROR(INDEX(ERP資料!$A:$A, MATCH(846, 輔助計算!$G$2:$G$801, 0)+1), "")), IFERROR(INDEX(ERP資料!$A:$A, (MATCH(847, 輔助計算!$G$2:$G$801, 0)+1)), ""), ""), "")</f>
        <v/>
      </c>
      <c r="B848" s="10">
        <f>IFERROR(IF(AND(IFERROR(INDEX(ERP資料!$A:$A, (MATCH(847, 輔助計算!$G$2:$G$801, 0)+1)), "")&lt;&gt;"", IFERROR(INDEX(ERP資料!$A:$A, (MATCH(847, 輔助計算!$G$2:$G$801, 0)+1)), "")&lt;&gt;IFERROR(INDEX(ERP資料!$A:$A, MATCH(846, 輔助計算!$G$2:$G$801, 0)+1), "")), INDEX(ERP資料!$S:$S, (MATCH(847, 輔助計算!$G$2:$G$801, 0)+1)), ""), "")</f>
        <v/>
      </c>
      <c r="C848" s="19">
        <f>IFERROR(IF(AND(IFERROR(INDEX(ERP資料!$A:$A, (MATCH(847, 輔助計算!$G$2:$G$801, 0)+1)), "")&lt;&gt;"", IFERROR(INDEX(ERP資料!$A:$A, (MATCH(847, 輔助計算!$G$2:$G$801, 0)+1)), "")&lt;&gt;IFERROR(INDEX(ERP資料!$A:$A, MATCH(846, 輔助計算!$G$2:$G$801, 0)+1), "")), IFERROR(VLOOKUP(LEFT(INDEX(ERP資料!$S:$S, (MATCH(847, 輔助計算!$G$2:$G$801, 0)+1)), 4), 紙管對照表!$A:$C, 3, FALSE), ""), ""), "")</f>
        <v/>
      </c>
      <c r="D848" s="16" t="n"/>
      <c r="E848" s="10">
        <f>IFERROR(IF(INDEX(ERP資料!$H:$H, (MATCH(847, 輔助計算!$G$2:$G$801, 0)+1))="","",INDEX(ERP資料!$H:$H, (MATCH(847, 輔助計算!$G$2:$G$801, 0)+1))), "")</f>
        <v/>
      </c>
      <c r="F848" s="10">
        <f>IFERROR(IF(INDEX(ERP資料!$E:$E, (MATCH(847, 輔助計算!$G$2:$G$801, 0)+1))="","",TRIM(INDEX(ERP資料!$E:$E, (MATCH(847, 輔助計算!$G$2:$G$801, 0)+1)))), "")</f>
        <v/>
      </c>
      <c r="G848" s="10">
        <f>IFERROR(IF(INDEX(ERP資料!$F:$F, (MATCH(847, 輔助計算!$G$2:$G$801, 0)+1))="","",INDEX(ERP資料!$F:$F, (MATCH(847, 輔助計算!$G$2:$G$801, 0)+1))), "")</f>
        <v/>
      </c>
      <c r="H848" s="10">
        <f>IFERROR(IF(INDEX(ERP資料!$G:$G, (MATCH(847, 輔助計算!$G$2:$G$801, 0)+1))="","",INDEX(ERP資料!$G:$G, (MATCH(847, 輔助計算!$G$2:$G$801, 0)+1))), "")</f>
        <v/>
      </c>
      <c r="I848" s="15">
        <f>IFERROR(INDEX(輔助計算!$D:$D, (MATCH(847, 輔助計算!$G$2:$G$801, 0)+1)), "")</f>
        <v/>
      </c>
      <c r="J848" s="15">
        <f>IFERROR(IF(AND(INDEX(輔助計算!$D:$D, (MATCH(847, 輔助計算!$G$2:$G$801, 0)+1))&lt;&gt;"", INDEX(ERP資料!$G:$G, (MATCH(847, 輔助計算!$G$2:$G$801, 0)+1))&lt;&gt;""), TRIM(IF(INT(INDEX(輔助計算!$D:$D, (MATCH(847, 輔助計算!$G$2:$G$801, 0)+1))/IF(INDEX(ERP資料!$G:$G, (MATCH(847, 輔助計算!$G$2:$G$801, 0)+1))&lt;100, IF(INDEX(ERP資料!$G:$G, (MATCH(847, 輔助計算!$G$2:$G$801, 0)+1))&lt;=31,3,IF(INDEX(ERP資料!$G:$G, (MATCH(847, 輔助計算!$G$2:$G$801, 0)+1))&lt;=46.5,2,1)), IF(INDEX(ERP資料!$G:$G, (MATCH(847, 輔助計算!$G$2:$G$801, 0)+1))&lt;=790,3,IF(INDEX(ERP資料!$G:$G, (MATCH(847, 輔助計算!$G$2:$G$801, 0)+1))&lt;=1181,2,1))))&gt;0, IF(IF(INDEX(ERP資料!$G:$G, (MATCH(847, 輔助計算!$G$2:$G$801, 0)+1))&lt;100, IF(INDEX(ERP資料!$G:$G, (MATCH(847, 輔助計算!$G$2:$G$801, 0)+1))&lt;=31,3,IF(INDEX(ERP資料!$G:$G, (MATCH(847, 輔助計算!$G$2:$G$801, 0)+1))&lt;=46.5,2,1)), IF(INDEX(ERP資料!$G:$G, (MATCH(847, 輔助計算!$G$2:$G$801, 0)+1))&lt;=790,3,IF(INDEX(ERP資料!$G:$G, (MATCH(847, 輔助計算!$G$2:$G$801, 0)+1))&lt;=1181,2,1)))=1,TEXT(INDEX(ERP資料!$G:$G, (MATCH(847, 輔助計算!$G$2:$G$801, 0)+1)),"0.##"),IF(IF(INDEX(ERP資料!$G:$G, (MATCH(847, 輔助計算!$G$2:$G$801, 0)+1))&lt;100, IF(INDEX(ERP資料!$G:$G, (MATCH(847, 輔助計算!$G$2:$G$801, 0)+1))&lt;=31,3,IF(INDEX(ERP資料!$G:$G, (MATCH(847, 輔助計算!$G$2:$G$801, 0)+1))&lt;=46.5,2,1)), IF(INDEX(ERP資料!$G:$G, (MATCH(847, 輔助計算!$G$2:$G$801, 0)+1))&lt;=790,3,IF(INDEX(ERP資料!$G:$G, (MATCH(847, 輔助計算!$G$2:$G$801, 0)+1))&lt;=1181,2,1)))=2,TEXT(INDEX(ERP資料!$G:$G, (MATCH(847, 輔助計算!$G$2:$G$801, 0)+1)),"0.##")&amp;"+"&amp;TEXT(INDEX(ERP資料!$G:$G, (MATCH(847, 輔助計算!$G$2:$G$801, 0)+1)),"0.##"),TEXT(INDEX(ERP資料!$G:$G, (MATCH(847, 輔助計算!$G$2:$G$801, 0)+1)),"0.##")&amp;"+"&amp;TEXT(INDEX(ERP資料!$G:$G, (MATCH(847, 輔助計算!$G$2:$G$801, 0)+1)),"0.##")&amp;"+"&amp;TEXT(INDEX(ERP資料!$G:$G, (MATCH(847, 輔助計算!$G$2:$G$801, 0)+1)),"0.##")))&amp;"-"&amp;INT(INDEX(輔助計算!$D:$D, (MATCH(847, 輔助計算!$G$2:$G$801, 0)+1))/IF(INDEX(ERP資料!$G:$G, (MATCH(847, 輔助計算!$G$2:$G$801, 0)+1))&lt;100, IF(INDEX(ERP資料!$G:$G, (MATCH(847, 輔助計算!$G$2:$G$801, 0)+1))&lt;=31,3,IF(INDEX(ERP資料!$G:$G, (MATCH(847, 輔助計算!$G$2:$G$801, 0)+1))&lt;=46.5,2,1)), IF(INDEX(ERP資料!$G:$G, (MATCH(847, 輔助計算!$G$2:$G$801, 0)+1))&lt;=790,3,IF(INDEX(ERP資料!$G:$G, (MATCH(847, 輔助計算!$G$2:$G$801, 0)+1))&lt;=1181,2,1)))), "")&amp;IF(AND(IF(INT(INDEX(輔助計算!$D:$D, (MATCH(847, 輔助計算!$G$2:$G$801, 0)+1))/IF(INDEX(ERP資料!$G:$G, (MATCH(847, 輔助計算!$G$2:$G$801, 0)+1))&lt;100, IF(INDEX(ERP資料!$G:$G, (MATCH(847, 輔助計算!$G$2:$G$801, 0)+1))&lt;=31,3,IF(INDEX(ERP資料!$G:$G, (MATCH(847, 輔助計算!$G$2:$G$801, 0)+1))&lt;=46.5,2,1)), IF(INDEX(ERP資料!$G:$G, (MATCH(847, 輔助計算!$G$2:$G$801, 0)+1))&lt;=790,3,IF(INDEX(ERP資料!$G:$G, (MATCH(847, 輔助計算!$G$2:$G$801, 0)+1))&lt;=1181,2,1))))&gt;0, IF(IF(INDEX(ERP資料!$G:$G, (MATCH(847, 輔助計算!$G$2:$G$801, 0)+1))&lt;100, IF(INDEX(ERP資料!$G:$G, (MATCH(847, 輔助計算!$G$2:$G$801, 0)+1))&lt;=31,3,IF(INDEX(ERP資料!$G:$G, (MATCH(847, 輔助計算!$G$2:$G$801, 0)+1))&lt;=46.5,2,1)), IF(INDEX(ERP資料!$G:$G, (MATCH(847, 輔助計算!$G$2:$G$801, 0)+1))&lt;=790,3,IF(INDEX(ERP資料!$G:$G, (MATCH(847, 輔助計算!$G$2:$G$801, 0)+1))&lt;=1181,2,1)))=1,TEXT(INDEX(ERP資料!$G:$G, (MATCH(847, 輔助計算!$G$2:$G$801, 0)+1)),"0.##"),IF(IF(INDEX(ERP資料!$G:$G, (MATCH(847, 輔助計算!$G$2:$G$801, 0)+1))&lt;100, IF(INDEX(ERP資料!$G:$G, (MATCH(847, 輔助計算!$G$2:$G$801, 0)+1))&lt;=31,3,IF(INDEX(ERP資料!$G:$G, (MATCH(847, 輔助計算!$G$2:$G$801, 0)+1))&lt;=46.5,2,1)), IF(INDEX(ERP資料!$G:$G, (MATCH(847, 輔助計算!$G$2:$G$801, 0)+1))&lt;=790,3,IF(INDEX(ERP資料!$G:$G, (MATCH(847, 輔助計算!$G$2:$G$801, 0)+1))&lt;=1181,2,1)))=2,TEXT(INDEX(ERP資料!$G:$G, (MATCH(847, 輔助計算!$G$2:$G$801, 0)+1)),"0.##")&amp;"+"&amp;TEXT(INDEX(ERP資料!$G:$G, (MATCH(847, 輔助計算!$G$2:$G$801, 0)+1)),"0.##"),TEXT(INDEX(ERP資料!$G:$G, (MATCH(847, 輔助計算!$G$2:$G$801, 0)+1)),"0.##")&amp;"+"&amp;TEXT(INDEX(ERP資料!$G:$G, (MATCH(847, 輔助計算!$G$2:$G$801, 0)+1)),"0.##")&amp;"+"&amp;TEXT(INDEX(ERP資料!$G:$G, (MATCH(847, 輔助計算!$G$2:$G$801, 0)+1)),"0.##")))&amp;"-"&amp;INT(INDEX(輔助計算!$D:$D, (MATCH(847, 輔助計算!$G$2:$G$801, 0)+1))/IF(INDEX(ERP資料!$G:$G, (MATCH(847, 輔助計算!$G$2:$G$801, 0)+1))&lt;100, IF(INDEX(ERP資料!$G:$G, (MATCH(847, 輔助計算!$G$2:$G$801, 0)+1))&lt;=31,3,IF(INDEX(ERP資料!$G:$G, (MATCH(847, 輔助計算!$G$2:$G$801, 0)+1))&lt;=46.5,2,1)), IF(INDEX(ERP資料!$G:$G, (MATCH(847, 輔助計算!$G$2:$G$801, 0)+1))&lt;=790,3,IF(INDEX(ERP資料!$G:$G, (MATCH(847, 輔助計算!$G$2:$G$801, 0)+1))&lt;=1181,2,1)))), "")&lt;&gt;"",IF(MOD(INDEX(輔助計算!$D:$D, (MATCH(847, 輔助計算!$G$2:$G$801, 0)+1)),IF(INDEX(ERP資料!$G:$G, (MATCH(847, 輔助計算!$G$2:$G$801, 0)+1))&lt;100, IF(INDEX(ERP資料!$G:$G, (MATCH(847, 輔助計算!$G$2:$G$801, 0)+1))&lt;=31,3,IF(INDEX(ERP資料!$G:$G, (MATCH(847, 輔助計算!$G$2:$G$801, 0)+1))&lt;=46.5,2,1)), IF(INDEX(ERP資料!$G:$G, (MATCH(847, 輔助計算!$G$2:$G$801, 0)+1))&lt;=790,3,IF(INDEX(ERP資料!$G:$G, (MATCH(847, 輔助計算!$G$2:$G$801, 0)+1))&lt;=1181,2,1))))=0,"",IF(MOD(INDEX(輔助計算!$D:$D, (MATCH(847, 輔助計算!$G$2:$G$801, 0)+1)),IF(INDEX(ERP資料!$G:$G, (MATCH(847, 輔助計算!$G$2:$G$801, 0)+1))&lt;100, IF(INDEX(ERP資料!$G:$G, (MATCH(847, 輔助計算!$G$2:$G$801, 0)+1))&lt;=31,3,IF(INDEX(ERP資料!$G:$G, (MATCH(847, 輔助計算!$G$2:$G$801, 0)+1))&lt;=46.5,2,1)), IF(INDEX(ERP資料!$G:$G, (MATCH(847, 輔助計算!$G$2:$G$801, 0)+1))&lt;=790,3,IF(INDEX(ERP資料!$G:$G, (MATCH(847, 輔助計算!$G$2:$G$801, 0)+1))&lt;=1181,2,1))))=0,"",IF(MOD(INDEX(輔助計算!$D:$D, (MATCH(847, 輔助計算!$G$2:$G$801, 0)+1)),IF(INDEX(ERP資料!$G:$G, (MATCH(847, 輔助計算!$G$2:$G$801, 0)+1))&lt;100, IF(INDEX(ERP資料!$G:$G, (MATCH(847, 輔助計算!$G$2:$G$801, 0)+1))&lt;=31,3,IF(INDEX(ERP資料!$G:$G, (MATCH(847, 輔助計算!$G$2:$G$801, 0)+1))&lt;=46.5,2,1)), IF(INDEX(ERP資料!$G:$G, (MATCH(847, 輔助計算!$G$2:$G$801, 0)+1))&lt;=790,3,IF(INDEX(ERP資料!$G:$G, (MATCH(847, 輔助計算!$G$2:$G$801, 0)+1))&lt;=1181,2,1))))=1,TEXT(INDEX(ERP資料!$G:$G, (MATCH(847, 輔助計算!$G$2:$G$801, 0)+1)),"0.##"),IF(MOD(INDEX(輔助計算!$D:$D, (MATCH(847, 輔助計算!$G$2:$G$801, 0)+1)),IF(INDEX(ERP資料!$G:$G, (MATCH(847, 輔助計算!$G$2:$G$801, 0)+1))&lt;100, IF(INDEX(ERP資料!$G:$G, (MATCH(847, 輔助計算!$G$2:$G$801, 0)+1))&lt;=31,3,IF(INDEX(ERP資料!$G:$G, (MATCH(847, 輔助計算!$G$2:$G$801, 0)+1))&lt;=46.5,2,1)), IF(INDEX(ERP資料!$G:$G, (MATCH(847, 輔助計算!$G$2:$G$801, 0)+1))&lt;=790,3,IF(INDEX(ERP資料!$G:$G, (MATCH(847, 輔助計算!$G$2:$G$801, 0)+1))&lt;=1181,2,1))))=2,TEXT(INDEX(ERP資料!$G:$G, (MATCH(847, 輔助計算!$G$2:$G$801, 0)+1)),"0.##")&amp;"+"&amp;TEXT(INDEX(ERP資料!$G:$G, (MATCH(847, 輔助計算!$G$2:$G$801, 0)+1)),"0.##"),TEXT(INDEX(ERP資料!$G:$G, (MATCH(847, 輔助計算!$G$2:$G$801, 0)+1)),"0.##")&amp;"+"&amp;TEXT(INDEX(ERP資料!$G:$G, (MATCH(847, 輔助計算!$G$2:$G$801, 0)+1)),"0.##")&amp;"+"&amp;TEXT(INDEX(ERP資料!$G:$G, (MATCH(847, 輔助計算!$G$2:$G$801, 0)+1)),"0.##"))))&amp;"-1")&lt;&gt;""),"  ","")&amp;IF(MOD(INDEX(輔助計算!$D:$D, (MATCH(847, 輔助計算!$G$2:$G$801, 0)+1)),IF(INDEX(ERP資料!$G:$G, (MATCH(847, 輔助計算!$G$2:$G$801, 0)+1))&lt;100, IF(INDEX(ERP資料!$G:$G, (MATCH(847, 輔助計算!$G$2:$G$801, 0)+1))&lt;=31,3,IF(INDEX(ERP資料!$G:$G, (MATCH(847, 輔助計算!$G$2:$G$801, 0)+1))&lt;=46.5,2,1)), IF(INDEX(ERP資料!$G:$G, (MATCH(847, 輔助計算!$G$2:$G$801, 0)+1))&lt;=790,3,IF(INDEX(ERP資料!$G:$G, (MATCH(847, 輔助計算!$G$2:$G$801, 0)+1))&lt;=1181,2,1))))=0,"",IF(MOD(INDEX(輔助計算!$D:$D, (MATCH(847, 輔助計算!$G$2:$G$801, 0)+1)),IF(INDEX(ERP資料!$G:$G, (MATCH(847, 輔助計算!$G$2:$G$801, 0)+1))&lt;100, IF(INDEX(ERP資料!$G:$G, (MATCH(847, 輔助計算!$G$2:$G$801, 0)+1))&lt;=31,3,IF(INDEX(ERP資料!$G:$G, (MATCH(847, 輔助計算!$G$2:$G$801, 0)+1))&lt;=46.5,2,1)), IF(INDEX(ERP資料!$G:$G, (MATCH(847, 輔助計算!$G$2:$G$801, 0)+1))&lt;=790,3,IF(INDEX(ERP資料!$G:$G, (MATCH(847, 輔助計算!$G$2:$G$801, 0)+1))&lt;=1181,2,1))))=0,"",IF(MOD(INDEX(輔助計算!$D:$D, (MATCH(847, 輔助計算!$G$2:$G$801, 0)+1)),IF(INDEX(ERP資料!$G:$G, (MATCH(847, 輔助計算!$G$2:$G$801, 0)+1))&lt;100, IF(INDEX(ERP資料!$G:$G, (MATCH(847, 輔助計算!$G$2:$G$801, 0)+1))&lt;=31,3,IF(INDEX(ERP資料!$G:$G, (MATCH(847, 輔助計算!$G$2:$G$801, 0)+1))&lt;=46.5,2,1)), IF(INDEX(ERP資料!$G:$G, (MATCH(847, 輔助計算!$G$2:$G$801, 0)+1))&lt;=790,3,IF(INDEX(ERP資料!$G:$G, (MATCH(847, 輔助計算!$G$2:$G$801, 0)+1))&lt;=1181,2,1))))=1,TEXT(INDEX(ERP資料!$G:$G, (MATCH(847, 輔助計算!$G$2:$G$801, 0)+1)),"0.##"),IF(MOD(INDEX(輔助計算!$D:$D, (MATCH(847, 輔助計算!$G$2:$G$801, 0)+1)),IF(INDEX(ERP資料!$G:$G, (MATCH(847, 輔助計算!$G$2:$G$801, 0)+1))&lt;100, IF(INDEX(ERP資料!$G:$G, (MATCH(847, 輔助計算!$G$2:$G$801, 0)+1))&lt;=31,3,IF(INDEX(ERP資料!$G:$G, (MATCH(847, 輔助計算!$G$2:$G$801, 0)+1))&lt;=46.5,2,1)), IF(INDEX(ERP資料!$G:$G, (MATCH(847, 輔助計算!$G$2:$G$801, 0)+1))&lt;=790,3,IF(INDEX(ERP資料!$G:$G, (MATCH(847, 輔助計算!$G$2:$G$801, 0)+1))&lt;=1181,2,1))))=2,TEXT(INDEX(ERP資料!$G:$G, (MATCH(847, 輔助計算!$G$2:$G$801, 0)+1)),"0.##")&amp;"+"&amp;TEXT(INDEX(ERP資料!$G:$G, (MATCH(847, 輔助計算!$G$2:$G$801, 0)+1)),"0.##"),TEXT(INDEX(ERP資料!$G:$G, (MATCH(847, 輔助計算!$G$2:$G$801, 0)+1)),"0.##")&amp;"+"&amp;TEXT(INDEX(ERP資料!$G:$G, (MATCH(847, 輔助計算!$G$2:$G$801, 0)+1)),"0.##")&amp;"+"&amp;TEXT(INDEX(ERP資料!$G:$G, (MATCH(847, 輔助計算!$G$2:$G$801, 0)+1)),"0.##"))))&amp;"-1")), ""), "")</f>
        <v/>
      </c>
      <c r="K848" s="16" t="n"/>
      <c r="L848" s="14">
        <f>IFERROR(IF(AND(IFERROR(INDEX(ERP資料!$A:$A, (MATCH(847, 輔助計算!$G$2:$G$801, 0)+1)), "")&lt;&gt;"", IFERROR(INDEX(ERP資料!$A:$A, (MATCH(847, 輔助計算!$G$2:$G$801, 0)+1)), "")&lt;&gt;IFERROR(INDEX(ERP資料!$A:$A, MATCH(846, 輔助計算!$G$2:$G$801, 0)+1), "")), INDEX(ERP資料!$B:$B, (MATCH(847, 輔助計算!$G$2:$G$801, 0)+1)), ""), "")</f>
        <v/>
      </c>
      <c r="M848" s="17" t="n"/>
    </row>
    <row r="849">
      <c r="A849" s="10">
        <f>IFERROR(IF(AND(IFERROR(INDEX(ERP資料!$A:$A, (MATCH(848, 輔助計算!$G$2:$G$801, 0)+1)), "")&lt;&gt;"", IFERROR(INDEX(ERP資料!$A:$A, (MATCH(848, 輔助計算!$G$2:$G$801, 0)+1)), "")&lt;&gt;IFERROR(INDEX(ERP資料!$A:$A, MATCH(847, 輔助計算!$G$2:$G$801, 0)+1), "")), IFERROR(INDEX(ERP資料!$A:$A, (MATCH(848, 輔助計算!$G$2:$G$801, 0)+1)), ""), ""), "")</f>
        <v/>
      </c>
      <c r="B849" s="10">
        <f>IFERROR(IF(AND(IFERROR(INDEX(ERP資料!$A:$A, (MATCH(848, 輔助計算!$G$2:$G$801, 0)+1)), "")&lt;&gt;"", IFERROR(INDEX(ERP資料!$A:$A, (MATCH(848, 輔助計算!$G$2:$G$801, 0)+1)), "")&lt;&gt;IFERROR(INDEX(ERP資料!$A:$A, MATCH(847, 輔助計算!$G$2:$G$801, 0)+1), "")), INDEX(ERP資料!$S:$S, (MATCH(848, 輔助計算!$G$2:$G$801, 0)+1)), ""), "")</f>
        <v/>
      </c>
      <c r="C849" s="19">
        <f>IFERROR(IF(AND(IFERROR(INDEX(ERP資料!$A:$A, (MATCH(848, 輔助計算!$G$2:$G$801, 0)+1)), "")&lt;&gt;"", IFERROR(INDEX(ERP資料!$A:$A, (MATCH(848, 輔助計算!$G$2:$G$801, 0)+1)), "")&lt;&gt;IFERROR(INDEX(ERP資料!$A:$A, MATCH(847, 輔助計算!$G$2:$G$801, 0)+1), "")), IFERROR(VLOOKUP(LEFT(INDEX(ERP資料!$S:$S, (MATCH(848, 輔助計算!$G$2:$G$801, 0)+1)), 4), 紙管對照表!$A:$C, 3, FALSE), ""), ""), "")</f>
        <v/>
      </c>
      <c r="D849" s="16" t="n"/>
      <c r="E849" s="10">
        <f>IFERROR(IF(INDEX(ERP資料!$H:$H, (MATCH(848, 輔助計算!$G$2:$G$801, 0)+1))="","",INDEX(ERP資料!$H:$H, (MATCH(848, 輔助計算!$G$2:$G$801, 0)+1))), "")</f>
        <v/>
      </c>
      <c r="F849" s="10">
        <f>IFERROR(IF(INDEX(ERP資料!$E:$E, (MATCH(848, 輔助計算!$G$2:$G$801, 0)+1))="","",TRIM(INDEX(ERP資料!$E:$E, (MATCH(848, 輔助計算!$G$2:$G$801, 0)+1)))), "")</f>
        <v/>
      </c>
      <c r="G849" s="10">
        <f>IFERROR(IF(INDEX(ERP資料!$F:$F, (MATCH(848, 輔助計算!$G$2:$G$801, 0)+1))="","",INDEX(ERP資料!$F:$F, (MATCH(848, 輔助計算!$G$2:$G$801, 0)+1))), "")</f>
        <v/>
      </c>
      <c r="H849" s="10">
        <f>IFERROR(IF(INDEX(ERP資料!$G:$G, (MATCH(848, 輔助計算!$G$2:$G$801, 0)+1))="","",INDEX(ERP資料!$G:$G, (MATCH(848, 輔助計算!$G$2:$G$801, 0)+1))), "")</f>
        <v/>
      </c>
      <c r="I849" s="15">
        <f>IFERROR(INDEX(輔助計算!$D:$D, (MATCH(848, 輔助計算!$G$2:$G$801, 0)+1)), "")</f>
        <v/>
      </c>
      <c r="J849" s="15">
        <f>IFERROR(IF(AND(INDEX(輔助計算!$D:$D, (MATCH(848, 輔助計算!$G$2:$G$801, 0)+1))&lt;&gt;"", INDEX(ERP資料!$G:$G, (MATCH(848, 輔助計算!$G$2:$G$801, 0)+1))&lt;&gt;""), TRIM(IF(INT(INDEX(輔助計算!$D:$D, (MATCH(848, 輔助計算!$G$2:$G$801, 0)+1))/IF(INDEX(ERP資料!$G:$G, (MATCH(848, 輔助計算!$G$2:$G$801, 0)+1))&lt;100, IF(INDEX(ERP資料!$G:$G, (MATCH(848, 輔助計算!$G$2:$G$801, 0)+1))&lt;=31,3,IF(INDEX(ERP資料!$G:$G, (MATCH(848, 輔助計算!$G$2:$G$801, 0)+1))&lt;=46.5,2,1)), IF(INDEX(ERP資料!$G:$G, (MATCH(848, 輔助計算!$G$2:$G$801, 0)+1))&lt;=790,3,IF(INDEX(ERP資料!$G:$G, (MATCH(848, 輔助計算!$G$2:$G$801, 0)+1))&lt;=1181,2,1))))&gt;0, IF(IF(INDEX(ERP資料!$G:$G, (MATCH(848, 輔助計算!$G$2:$G$801, 0)+1))&lt;100, IF(INDEX(ERP資料!$G:$G, (MATCH(848, 輔助計算!$G$2:$G$801, 0)+1))&lt;=31,3,IF(INDEX(ERP資料!$G:$G, (MATCH(848, 輔助計算!$G$2:$G$801, 0)+1))&lt;=46.5,2,1)), IF(INDEX(ERP資料!$G:$G, (MATCH(848, 輔助計算!$G$2:$G$801, 0)+1))&lt;=790,3,IF(INDEX(ERP資料!$G:$G, (MATCH(848, 輔助計算!$G$2:$G$801, 0)+1))&lt;=1181,2,1)))=1,TEXT(INDEX(ERP資料!$G:$G, (MATCH(848, 輔助計算!$G$2:$G$801, 0)+1)),"0.##"),IF(IF(INDEX(ERP資料!$G:$G, (MATCH(848, 輔助計算!$G$2:$G$801, 0)+1))&lt;100, IF(INDEX(ERP資料!$G:$G, (MATCH(848, 輔助計算!$G$2:$G$801, 0)+1))&lt;=31,3,IF(INDEX(ERP資料!$G:$G, (MATCH(848, 輔助計算!$G$2:$G$801, 0)+1))&lt;=46.5,2,1)), IF(INDEX(ERP資料!$G:$G, (MATCH(848, 輔助計算!$G$2:$G$801, 0)+1))&lt;=790,3,IF(INDEX(ERP資料!$G:$G, (MATCH(848, 輔助計算!$G$2:$G$801, 0)+1))&lt;=1181,2,1)))=2,TEXT(INDEX(ERP資料!$G:$G, (MATCH(848, 輔助計算!$G$2:$G$801, 0)+1)),"0.##")&amp;"+"&amp;TEXT(INDEX(ERP資料!$G:$G, (MATCH(848, 輔助計算!$G$2:$G$801, 0)+1)),"0.##"),TEXT(INDEX(ERP資料!$G:$G, (MATCH(848, 輔助計算!$G$2:$G$801, 0)+1)),"0.##")&amp;"+"&amp;TEXT(INDEX(ERP資料!$G:$G, (MATCH(848, 輔助計算!$G$2:$G$801, 0)+1)),"0.##")&amp;"+"&amp;TEXT(INDEX(ERP資料!$G:$G, (MATCH(848, 輔助計算!$G$2:$G$801, 0)+1)),"0.##")))&amp;"-"&amp;INT(INDEX(輔助計算!$D:$D, (MATCH(848, 輔助計算!$G$2:$G$801, 0)+1))/IF(INDEX(ERP資料!$G:$G, (MATCH(848, 輔助計算!$G$2:$G$801, 0)+1))&lt;100, IF(INDEX(ERP資料!$G:$G, (MATCH(848, 輔助計算!$G$2:$G$801, 0)+1))&lt;=31,3,IF(INDEX(ERP資料!$G:$G, (MATCH(848, 輔助計算!$G$2:$G$801, 0)+1))&lt;=46.5,2,1)), IF(INDEX(ERP資料!$G:$G, (MATCH(848, 輔助計算!$G$2:$G$801, 0)+1))&lt;=790,3,IF(INDEX(ERP資料!$G:$G, (MATCH(848, 輔助計算!$G$2:$G$801, 0)+1))&lt;=1181,2,1)))), "")&amp;IF(AND(IF(INT(INDEX(輔助計算!$D:$D, (MATCH(848, 輔助計算!$G$2:$G$801, 0)+1))/IF(INDEX(ERP資料!$G:$G, (MATCH(848, 輔助計算!$G$2:$G$801, 0)+1))&lt;100, IF(INDEX(ERP資料!$G:$G, (MATCH(848, 輔助計算!$G$2:$G$801, 0)+1))&lt;=31,3,IF(INDEX(ERP資料!$G:$G, (MATCH(848, 輔助計算!$G$2:$G$801, 0)+1))&lt;=46.5,2,1)), IF(INDEX(ERP資料!$G:$G, (MATCH(848, 輔助計算!$G$2:$G$801, 0)+1))&lt;=790,3,IF(INDEX(ERP資料!$G:$G, (MATCH(848, 輔助計算!$G$2:$G$801, 0)+1))&lt;=1181,2,1))))&gt;0, IF(IF(INDEX(ERP資料!$G:$G, (MATCH(848, 輔助計算!$G$2:$G$801, 0)+1))&lt;100, IF(INDEX(ERP資料!$G:$G, (MATCH(848, 輔助計算!$G$2:$G$801, 0)+1))&lt;=31,3,IF(INDEX(ERP資料!$G:$G, (MATCH(848, 輔助計算!$G$2:$G$801, 0)+1))&lt;=46.5,2,1)), IF(INDEX(ERP資料!$G:$G, (MATCH(848, 輔助計算!$G$2:$G$801, 0)+1))&lt;=790,3,IF(INDEX(ERP資料!$G:$G, (MATCH(848, 輔助計算!$G$2:$G$801, 0)+1))&lt;=1181,2,1)))=1,TEXT(INDEX(ERP資料!$G:$G, (MATCH(848, 輔助計算!$G$2:$G$801, 0)+1)),"0.##"),IF(IF(INDEX(ERP資料!$G:$G, (MATCH(848, 輔助計算!$G$2:$G$801, 0)+1))&lt;100, IF(INDEX(ERP資料!$G:$G, (MATCH(848, 輔助計算!$G$2:$G$801, 0)+1))&lt;=31,3,IF(INDEX(ERP資料!$G:$G, (MATCH(848, 輔助計算!$G$2:$G$801, 0)+1))&lt;=46.5,2,1)), IF(INDEX(ERP資料!$G:$G, (MATCH(848, 輔助計算!$G$2:$G$801, 0)+1))&lt;=790,3,IF(INDEX(ERP資料!$G:$G, (MATCH(848, 輔助計算!$G$2:$G$801, 0)+1))&lt;=1181,2,1)))=2,TEXT(INDEX(ERP資料!$G:$G, (MATCH(848, 輔助計算!$G$2:$G$801, 0)+1)),"0.##")&amp;"+"&amp;TEXT(INDEX(ERP資料!$G:$G, (MATCH(848, 輔助計算!$G$2:$G$801, 0)+1)),"0.##"),TEXT(INDEX(ERP資料!$G:$G, (MATCH(848, 輔助計算!$G$2:$G$801, 0)+1)),"0.##")&amp;"+"&amp;TEXT(INDEX(ERP資料!$G:$G, (MATCH(848, 輔助計算!$G$2:$G$801, 0)+1)),"0.##")&amp;"+"&amp;TEXT(INDEX(ERP資料!$G:$G, (MATCH(848, 輔助計算!$G$2:$G$801, 0)+1)),"0.##")))&amp;"-"&amp;INT(INDEX(輔助計算!$D:$D, (MATCH(848, 輔助計算!$G$2:$G$801, 0)+1))/IF(INDEX(ERP資料!$G:$G, (MATCH(848, 輔助計算!$G$2:$G$801, 0)+1))&lt;100, IF(INDEX(ERP資料!$G:$G, (MATCH(848, 輔助計算!$G$2:$G$801, 0)+1))&lt;=31,3,IF(INDEX(ERP資料!$G:$G, (MATCH(848, 輔助計算!$G$2:$G$801, 0)+1))&lt;=46.5,2,1)), IF(INDEX(ERP資料!$G:$G, (MATCH(848, 輔助計算!$G$2:$G$801, 0)+1))&lt;=790,3,IF(INDEX(ERP資料!$G:$G, (MATCH(848, 輔助計算!$G$2:$G$801, 0)+1))&lt;=1181,2,1)))), "")&lt;&gt;"",IF(MOD(INDEX(輔助計算!$D:$D, (MATCH(848, 輔助計算!$G$2:$G$801, 0)+1)),IF(INDEX(ERP資料!$G:$G, (MATCH(848, 輔助計算!$G$2:$G$801, 0)+1))&lt;100, IF(INDEX(ERP資料!$G:$G, (MATCH(848, 輔助計算!$G$2:$G$801, 0)+1))&lt;=31,3,IF(INDEX(ERP資料!$G:$G, (MATCH(848, 輔助計算!$G$2:$G$801, 0)+1))&lt;=46.5,2,1)), IF(INDEX(ERP資料!$G:$G, (MATCH(848, 輔助計算!$G$2:$G$801, 0)+1))&lt;=790,3,IF(INDEX(ERP資料!$G:$G, (MATCH(848, 輔助計算!$G$2:$G$801, 0)+1))&lt;=1181,2,1))))=0,"",IF(MOD(INDEX(輔助計算!$D:$D, (MATCH(848, 輔助計算!$G$2:$G$801, 0)+1)),IF(INDEX(ERP資料!$G:$G, (MATCH(848, 輔助計算!$G$2:$G$801, 0)+1))&lt;100, IF(INDEX(ERP資料!$G:$G, (MATCH(848, 輔助計算!$G$2:$G$801, 0)+1))&lt;=31,3,IF(INDEX(ERP資料!$G:$G, (MATCH(848, 輔助計算!$G$2:$G$801, 0)+1))&lt;=46.5,2,1)), IF(INDEX(ERP資料!$G:$G, (MATCH(848, 輔助計算!$G$2:$G$801, 0)+1))&lt;=790,3,IF(INDEX(ERP資料!$G:$G, (MATCH(848, 輔助計算!$G$2:$G$801, 0)+1))&lt;=1181,2,1))))=0,"",IF(MOD(INDEX(輔助計算!$D:$D, (MATCH(848, 輔助計算!$G$2:$G$801, 0)+1)),IF(INDEX(ERP資料!$G:$G, (MATCH(848, 輔助計算!$G$2:$G$801, 0)+1))&lt;100, IF(INDEX(ERP資料!$G:$G, (MATCH(848, 輔助計算!$G$2:$G$801, 0)+1))&lt;=31,3,IF(INDEX(ERP資料!$G:$G, (MATCH(848, 輔助計算!$G$2:$G$801, 0)+1))&lt;=46.5,2,1)), IF(INDEX(ERP資料!$G:$G, (MATCH(848, 輔助計算!$G$2:$G$801, 0)+1))&lt;=790,3,IF(INDEX(ERP資料!$G:$G, (MATCH(848, 輔助計算!$G$2:$G$801, 0)+1))&lt;=1181,2,1))))=1,TEXT(INDEX(ERP資料!$G:$G, (MATCH(848, 輔助計算!$G$2:$G$801, 0)+1)),"0.##"),IF(MOD(INDEX(輔助計算!$D:$D, (MATCH(848, 輔助計算!$G$2:$G$801, 0)+1)),IF(INDEX(ERP資料!$G:$G, (MATCH(848, 輔助計算!$G$2:$G$801, 0)+1))&lt;100, IF(INDEX(ERP資料!$G:$G, (MATCH(848, 輔助計算!$G$2:$G$801, 0)+1))&lt;=31,3,IF(INDEX(ERP資料!$G:$G, (MATCH(848, 輔助計算!$G$2:$G$801, 0)+1))&lt;=46.5,2,1)), IF(INDEX(ERP資料!$G:$G, (MATCH(848, 輔助計算!$G$2:$G$801, 0)+1))&lt;=790,3,IF(INDEX(ERP資料!$G:$G, (MATCH(848, 輔助計算!$G$2:$G$801, 0)+1))&lt;=1181,2,1))))=2,TEXT(INDEX(ERP資料!$G:$G, (MATCH(848, 輔助計算!$G$2:$G$801, 0)+1)),"0.##")&amp;"+"&amp;TEXT(INDEX(ERP資料!$G:$G, (MATCH(848, 輔助計算!$G$2:$G$801, 0)+1)),"0.##"),TEXT(INDEX(ERP資料!$G:$G, (MATCH(848, 輔助計算!$G$2:$G$801, 0)+1)),"0.##")&amp;"+"&amp;TEXT(INDEX(ERP資料!$G:$G, (MATCH(848, 輔助計算!$G$2:$G$801, 0)+1)),"0.##")&amp;"+"&amp;TEXT(INDEX(ERP資料!$G:$G, (MATCH(848, 輔助計算!$G$2:$G$801, 0)+1)),"0.##"))))&amp;"-1")&lt;&gt;""),"  ","")&amp;IF(MOD(INDEX(輔助計算!$D:$D, (MATCH(848, 輔助計算!$G$2:$G$801, 0)+1)),IF(INDEX(ERP資料!$G:$G, (MATCH(848, 輔助計算!$G$2:$G$801, 0)+1))&lt;100, IF(INDEX(ERP資料!$G:$G, (MATCH(848, 輔助計算!$G$2:$G$801, 0)+1))&lt;=31,3,IF(INDEX(ERP資料!$G:$G, (MATCH(848, 輔助計算!$G$2:$G$801, 0)+1))&lt;=46.5,2,1)), IF(INDEX(ERP資料!$G:$G, (MATCH(848, 輔助計算!$G$2:$G$801, 0)+1))&lt;=790,3,IF(INDEX(ERP資料!$G:$G, (MATCH(848, 輔助計算!$G$2:$G$801, 0)+1))&lt;=1181,2,1))))=0,"",IF(MOD(INDEX(輔助計算!$D:$D, (MATCH(848, 輔助計算!$G$2:$G$801, 0)+1)),IF(INDEX(ERP資料!$G:$G, (MATCH(848, 輔助計算!$G$2:$G$801, 0)+1))&lt;100, IF(INDEX(ERP資料!$G:$G, (MATCH(848, 輔助計算!$G$2:$G$801, 0)+1))&lt;=31,3,IF(INDEX(ERP資料!$G:$G, (MATCH(848, 輔助計算!$G$2:$G$801, 0)+1))&lt;=46.5,2,1)), IF(INDEX(ERP資料!$G:$G, (MATCH(848, 輔助計算!$G$2:$G$801, 0)+1))&lt;=790,3,IF(INDEX(ERP資料!$G:$G, (MATCH(848, 輔助計算!$G$2:$G$801, 0)+1))&lt;=1181,2,1))))=0,"",IF(MOD(INDEX(輔助計算!$D:$D, (MATCH(848, 輔助計算!$G$2:$G$801, 0)+1)),IF(INDEX(ERP資料!$G:$G, (MATCH(848, 輔助計算!$G$2:$G$801, 0)+1))&lt;100, IF(INDEX(ERP資料!$G:$G, (MATCH(848, 輔助計算!$G$2:$G$801, 0)+1))&lt;=31,3,IF(INDEX(ERP資料!$G:$G, (MATCH(848, 輔助計算!$G$2:$G$801, 0)+1))&lt;=46.5,2,1)), IF(INDEX(ERP資料!$G:$G, (MATCH(848, 輔助計算!$G$2:$G$801, 0)+1))&lt;=790,3,IF(INDEX(ERP資料!$G:$G, (MATCH(848, 輔助計算!$G$2:$G$801, 0)+1))&lt;=1181,2,1))))=1,TEXT(INDEX(ERP資料!$G:$G, (MATCH(848, 輔助計算!$G$2:$G$801, 0)+1)),"0.##"),IF(MOD(INDEX(輔助計算!$D:$D, (MATCH(848, 輔助計算!$G$2:$G$801, 0)+1)),IF(INDEX(ERP資料!$G:$G, (MATCH(848, 輔助計算!$G$2:$G$801, 0)+1))&lt;100, IF(INDEX(ERP資料!$G:$G, (MATCH(848, 輔助計算!$G$2:$G$801, 0)+1))&lt;=31,3,IF(INDEX(ERP資料!$G:$G, (MATCH(848, 輔助計算!$G$2:$G$801, 0)+1))&lt;=46.5,2,1)), IF(INDEX(ERP資料!$G:$G, (MATCH(848, 輔助計算!$G$2:$G$801, 0)+1))&lt;=790,3,IF(INDEX(ERP資料!$G:$G, (MATCH(848, 輔助計算!$G$2:$G$801, 0)+1))&lt;=1181,2,1))))=2,TEXT(INDEX(ERP資料!$G:$G, (MATCH(848, 輔助計算!$G$2:$G$801, 0)+1)),"0.##")&amp;"+"&amp;TEXT(INDEX(ERP資料!$G:$G, (MATCH(848, 輔助計算!$G$2:$G$801, 0)+1)),"0.##"),TEXT(INDEX(ERP資料!$G:$G, (MATCH(848, 輔助計算!$G$2:$G$801, 0)+1)),"0.##")&amp;"+"&amp;TEXT(INDEX(ERP資料!$G:$G, (MATCH(848, 輔助計算!$G$2:$G$801, 0)+1)),"0.##")&amp;"+"&amp;TEXT(INDEX(ERP資料!$G:$G, (MATCH(848, 輔助計算!$G$2:$G$801, 0)+1)),"0.##"))))&amp;"-1")), ""), "")</f>
        <v/>
      </c>
      <c r="K849" s="16" t="n"/>
      <c r="L849" s="14">
        <f>IFERROR(IF(AND(IFERROR(INDEX(ERP資料!$A:$A, (MATCH(848, 輔助計算!$G$2:$G$801, 0)+1)), "")&lt;&gt;"", IFERROR(INDEX(ERP資料!$A:$A, (MATCH(848, 輔助計算!$G$2:$G$801, 0)+1)), "")&lt;&gt;IFERROR(INDEX(ERP資料!$A:$A, MATCH(847, 輔助計算!$G$2:$G$801, 0)+1), "")), INDEX(ERP資料!$B:$B, (MATCH(848, 輔助計算!$G$2:$G$801, 0)+1)), ""), "")</f>
        <v/>
      </c>
      <c r="M849" s="17" t="n"/>
    </row>
    <row r="850">
      <c r="A850" s="10">
        <f>IFERROR(IF(AND(IFERROR(INDEX(ERP資料!$A:$A, (MATCH(849, 輔助計算!$G$2:$G$801, 0)+1)), "")&lt;&gt;"", IFERROR(INDEX(ERP資料!$A:$A, (MATCH(849, 輔助計算!$G$2:$G$801, 0)+1)), "")&lt;&gt;IFERROR(INDEX(ERP資料!$A:$A, MATCH(848, 輔助計算!$G$2:$G$801, 0)+1), "")), IFERROR(INDEX(ERP資料!$A:$A, (MATCH(849, 輔助計算!$G$2:$G$801, 0)+1)), ""), ""), "")</f>
        <v/>
      </c>
      <c r="B850" s="10">
        <f>IFERROR(IF(AND(IFERROR(INDEX(ERP資料!$A:$A, (MATCH(849, 輔助計算!$G$2:$G$801, 0)+1)), "")&lt;&gt;"", IFERROR(INDEX(ERP資料!$A:$A, (MATCH(849, 輔助計算!$G$2:$G$801, 0)+1)), "")&lt;&gt;IFERROR(INDEX(ERP資料!$A:$A, MATCH(848, 輔助計算!$G$2:$G$801, 0)+1), "")), INDEX(ERP資料!$S:$S, (MATCH(849, 輔助計算!$G$2:$G$801, 0)+1)), ""), "")</f>
        <v/>
      </c>
      <c r="C850" s="19">
        <f>IFERROR(IF(AND(IFERROR(INDEX(ERP資料!$A:$A, (MATCH(849, 輔助計算!$G$2:$G$801, 0)+1)), "")&lt;&gt;"", IFERROR(INDEX(ERP資料!$A:$A, (MATCH(849, 輔助計算!$G$2:$G$801, 0)+1)), "")&lt;&gt;IFERROR(INDEX(ERP資料!$A:$A, MATCH(848, 輔助計算!$G$2:$G$801, 0)+1), "")), IFERROR(VLOOKUP(LEFT(INDEX(ERP資料!$S:$S, (MATCH(849, 輔助計算!$G$2:$G$801, 0)+1)), 4), 紙管對照表!$A:$C, 3, FALSE), ""), ""), "")</f>
        <v/>
      </c>
      <c r="D850" s="16" t="n"/>
      <c r="E850" s="10">
        <f>IFERROR(IF(INDEX(ERP資料!$H:$H, (MATCH(849, 輔助計算!$G$2:$G$801, 0)+1))="","",INDEX(ERP資料!$H:$H, (MATCH(849, 輔助計算!$G$2:$G$801, 0)+1))), "")</f>
        <v/>
      </c>
      <c r="F850" s="10">
        <f>IFERROR(IF(INDEX(ERP資料!$E:$E, (MATCH(849, 輔助計算!$G$2:$G$801, 0)+1))="","",TRIM(INDEX(ERP資料!$E:$E, (MATCH(849, 輔助計算!$G$2:$G$801, 0)+1)))), "")</f>
        <v/>
      </c>
      <c r="G850" s="10">
        <f>IFERROR(IF(INDEX(ERP資料!$F:$F, (MATCH(849, 輔助計算!$G$2:$G$801, 0)+1))="","",INDEX(ERP資料!$F:$F, (MATCH(849, 輔助計算!$G$2:$G$801, 0)+1))), "")</f>
        <v/>
      </c>
      <c r="H850" s="10">
        <f>IFERROR(IF(INDEX(ERP資料!$G:$G, (MATCH(849, 輔助計算!$G$2:$G$801, 0)+1))="","",INDEX(ERP資料!$G:$G, (MATCH(849, 輔助計算!$G$2:$G$801, 0)+1))), "")</f>
        <v/>
      </c>
      <c r="I850" s="15">
        <f>IFERROR(INDEX(輔助計算!$D:$D, (MATCH(849, 輔助計算!$G$2:$G$801, 0)+1)), "")</f>
        <v/>
      </c>
      <c r="J850" s="15">
        <f>IFERROR(IF(AND(INDEX(輔助計算!$D:$D, (MATCH(849, 輔助計算!$G$2:$G$801, 0)+1))&lt;&gt;"", INDEX(ERP資料!$G:$G, (MATCH(849, 輔助計算!$G$2:$G$801, 0)+1))&lt;&gt;""), TRIM(IF(INT(INDEX(輔助計算!$D:$D, (MATCH(849, 輔助計算!$G$2:$G$801, 0)+1))/IF(INDEX(ERP資料!$G:$G, (MATCH(849, 輔助計算!$G$2:$G$801, 0)+1))&lt;100, IF(INDEX(ERP資料!$G:$G, (MATCH(849, 輔助計算!$G$2:$G$801, 0)+1))&lt;=31,3,IF(INDEX(ERP資料!$G:$G, (MATCH(849, 輔助計算!$G$2:$G$801, 0)+1))&lt;=46.5,2,1)), IF(INDEX(ERP資料!$G:$G, (MATCH(849, 輔助計算!$G$2:$G$801, 0)+1))&lt;=790,3,IF(INDEX(ERP資料!$G:$G, (MATCH(849, 輔助計算!$G$2:$G$801, 0)+1))&lt;=1181,2,1))))&gt;0, IF(IF(INDEX(ERP資料!$G:$G, (MATCH(849, 輔助計算!$G$2:$G$801, 0)+1))&lt;100, IF(INDEX(ERP資料!$G:$G, (MATCH(849, 輔助計算!$G$2:$G$801, 0)+1))&lt;=31,3,IF(INDEX(ERP資料!$G:$G, (MATCH(849, 輔助計算!$G$2:$G$801, 0)+1))&lt;=46.5,2,1)), IF(INDEX(ERP資料!$G:$G, (MATCH(849, 輔助計算!$G$2:$G$801, 0)+1))&lt;=790,3,IF(INDEX(ERP資料!$G:$G, (MATCH(849, 輔助計算!$G$2:$G$801, 0)+1))&lt;=1181,2,1)))=1,TEXT(INDEX(ERP資料!$G:$G, (MATCH(849, 輔助計算!$G$2:$G$801, 0)+1)),"0.##"),IF(IF(INDEX(ERP資料!$G:$G, (MATCH(849, 輔助計算!$G$2:$G$801, 0)+1))&lt;100, IF(INDEX(ERP資料!$G:$G, (MATCH(849, 輔助計算!$G$2:$G$801, 0)+1))&lt;=31,3,IF(INDEX(ERP資料!$G:$G, (MATCH(849, 輔助計算!$G$2:$G$801, 0)+1))&lt;=46.5,2,1)), IF(INDEX(ERP資料!$G:$G, (MATCH(849, 輔助計算!$G$2:$G$801, 0)+1))&lt;=790,3,IF(INDEX(ERP資料!$G:$G, (MATCH(849, 輔助計算!$G$2:$G$801, 0)+1))&lt;=1181,2,1)))=2,TEXT(INDEX(ERP資料!$G:$G, (MATCH(849, 輔助計算!$G$2:$G$801, 0)+1)),"0.##")&amp;"+"&amp;TEXT(INDEX(ERP資料!$G:$G, (MATCH(849, 輔助計算!$G$2:$G$801, 0)+1)),"0.##"),TEXT(INDEX(ERP資料!$G:$G, (MATCH(849, 輔助計算!$G$2:$G$801, 0)+1)),"0.##")&amp;"+"&amp;TEXT(INDEX(ERP資料!$G:$G, (MATCH(849, 輔助計算!$G$2:$G$801, 0)+1)),"0.##")&amp;"+"&amp;TEXT(INDEX(ERP資料!$G:$G, (MATCH(849, 輔助計算!$G$2:$G$801, 0)+1)),"0.##")))&amp;"-"&amp;INT(INDEX(輔助計算!$D:$D, (MATCH(849, 輔助計算!$G$2:$G$801, 0)+1))/IF(INDEX(ERP資料!$G:$G, (MATCH(849, 輔助計算!$G$2:$G$801, 0)+1))&lt;100, IF(INDEX(ERP資料!$G:$G, (MATCH(849, 輔助計算!$G$2:$G$801, 0)+1))&lt;=31,3,IF(INDEX(ERP資料!$G:$G, (MATCH(849, 輔助計算!$G$2:$G$801, 0)+1))&lt;=46.5,2,1)), IF(INDEX(ERP資料!$G:$G, (MATCH(849, 輔助計算!$G$2:$G$801, 0)+1))&lt;=790,3,IF(INDEX(ERP資料!$G:$G, (MATCH(849, 輔助計算!$G$2:$G$801, 0)+1))&lt;=1181,2,1)))), "")&amp;IF(AND(IF(INT(INDEX(輔助計算!$D:$D, (MATCH(849, 輔助計算!$G$2:$G$801, 0)+1))/IF(INDEX(ERP資料!$G:$G, (MATCH(849, 輔助計算!$G$2:$G$801, 0)+1))&lt;100, IF(INDEX(ERP資料!$G:$G, (MATCH(849, 輔助計算!$G$2:$G$801, 0)+1))&lt;=31,3,IF(INDEX(ERP資料!$G:$G, (MATCH(849, 輔助計算!$G$2:$G$801, 0)+1))&lt;=46.5,2,1)), IF(INDEX(ERP資料!$G:$G, (MATCH(849, 輔助計算!$G$2:$G$801, 0)+1))&lt;=790,3,IF(INDEX(ERP資料!$G:$G, (MATCH(849, 輔助計算!$G$2:$G$801, 0)+1))&lt;=1181,2,1))))&gt;0, IF(IF(INDEX(ERP資料!$G:$G, (MATCH(849, 輔助計算!$G$2:$G$801, 0)+1))&lt;100, IF(INDEX(ERP資料!$G:$G, (MATCH(849, 輔助計算!$G$2:$G$801, 0)+1))&lt;=31,3,IF(INDEX(ERP資料!$G:$G, (MATCH(849, 輔助計算!$G$2:$G$801, 0)+1))&lt;=46.5,2,1)), IF(INDEX(ERP資料!$G:$G, (MATCH(849, 輔助計算!$G$2:$G$801, 0)+1))&lt;=790,3,IF(INDEX(ERP資料!$G:$G, (MATCH(849, 輔助計算!$G$2:$G$801, 0)+1))&lt;=1181,2,1)))=1,TEXT(INDEX(ERP資料!$G:$G, (MATCH(849, 輔助計算!$G$2:$G$801, 0)+1)),"0.##"),IF(IF(INDEX(ERP資料!$G:$G, (MATCH(849, 輔助計算!$G$2:$G$801, 0)+1))&lt;100, IF(INDEX(ERP資料!$G:$G, (MATCH(849, 輔助計算!$G$2:$G$801, 0)+1))&lt;=31,3,IF(INDEX(ERP資料!$G:$G, (MATCH(849, 輔助計算!$G$2:$G$801, 0)+1))&lt;=46.5,2,1)), IF(INDEX(ERP資料!$G:$G, (MATCH(849, 輔助計算!$G$2:$G$801, 0)+1))&lt;=790,3,IF(INDEX(ERP資料!$G:$G, (MATCH(849, 輔助計算!$G$2:$G$801, 0)+1))&lt;=1181,2,1)))=2,TEXT(INDEX(ERP資料!$G:$G, (MATCH(849, 輔助計算!$G$2:$G$801, 0)+1)),"0.##")&amp;"+"&amp;TEXT(INDEX(ERP資料!$G:$G, (MATCH(849, 輔助計算!$G$2:$G$801, 0)+1)),"0.##"),TEXT(INDEX(ERP資料!$G:$G, (MATCH(849, 輔助計算!$G$2:$G$801, 0)+1)),"0.##")&amp;"+"&amp;TEXT(INDEX(ERP資料!$G:$G, (MATCH(849, 輔助計算!$G$2:$G$801, 0)+1)),"0.##")&amp;"+"&amp;TEXT(INDEX(ERP資料!$G:$G, (MATCH(849, 輔助計算!$G$2:$G$801, 0)+1)),"0.##")))&amp;"-"&amp;INT(INDEX(輔助計算!$D:$D, (MATCH(849, 輔助計算!$G$2:$G$801, 0)+1))/IF(INDEX(ERP資料!$G:$G, (MATCH(849, 輔助計算!$G$2:$G$801, 0)+1))&lt;100, IF(INDEX(ERP資料!$G:$G, (MATCH(849, 輔助計算!$G$2:$G$801, 0)+1))&lt;=31,3,IF(INDEX(ERP資料!$G:$G, (MATCH(849, 輔助計算!$G$2:$G$801, 0)+1))&lt;=46.5,2,1)), IF(INDEX(ERP資料!$G:$G, (MATCH(849, 輔助計算!$G$2:$G$801, 0)+1))&lt;=790,3,IF(INDEX(ERP資料!$G:$G, (MATCH(849, 輔助計算!$G$2:$G$801, 0)+1))&lt;=1181,2,1)))), "")&lt;&gt;"",IF(MOD(INDEX(輔助計算!$D:$D, (MATCH(849, 輔助計算!$G$2:$G$801, 0)+1)),IF(INDEX(ERP資料!$G:$G, (MATCH(849, 輔助計算!$G$2:$G$801, 0)+1))&lt;100, IF(INDEX(ERP資料!$G:$G, (MATCH(849, 輔助計算!$G$2:$G$801, 0)+1))&lt;=31,3,IF(INDEX(ERP資料!$G:$G, (MATCH(849, 輔助計算!$G$2:$G$801, 0)+1))&lt;=46.5,2,1)), IF(INDEX(ERP資料!$G:$G, (MATCH(849, 輔助計算!$G$2:$G$801, 0)+1))&lt;=790,3,IF(INDEX(ERP資料!$G:$G, (MATCH(849, 輔助計算!$G$2:$G$801, 0)+1))&lt;=1181,2,1))))=0,"",IF(MOD(INDEX(輔助計算!$D:$D, (MATCH(849, 輔助計算!$G$2:$G$801, 0)+1)),IF(INDEX(ERP資料!$G:$G, (MATCH(849, 輔助計算!$G$2:$G$801, 0)+1))&lt;100, IF(INDEX(ERP資料!$G:$G, (MATCH(849, 輔助計算!$G$2:$G$801, 0)+1))&lt;=31,3,IF(INDEX(ERP資料!$G:$G, (MATCH(849, 輔助計算!$G$2:$G$801, 0)+1))&lt;=46.5,2,1)), IF(INDEX(ERP資料!$G:$G, (MATCH(849, 輔助計算!$G$2:$G$801, 0)+1))&lt;=790,3,IF(INDEX(ERP資料!$G:$G, (MATCH(849, 輔助計算!$G$2:$G$801, 0)+1))&lt;=1181,2,1))))=0,"",IF(MOD(INDEX(輔助計算!$D:$D, (MATCH(849, 輔助計算!$G$2:$G$801, 0)+1)),IF(INDEX(ERP資料!$G:$G, (MATCH(849, 輔助計算!$G$2:$G$801, 0)+1))&lt;100, IF(INDEX(ERP資料!$G:$G, (MATCH(849, 輔助計算!$G$2:$G$801, 0)+1))&lt;=31,3,IF(INDEX(ERP資料!$G:$G, (MATCH(849, 輔助計算!$G$2:$G$801, 0)+1))&lt;=46.5,2,1)), IF(INDEX(ERP資料!$G:$G, (MATCH(849, 輔助計算!$G$2:$G$801, 0)+1))&lt;=790,3,IF(INDEX(ERP資料!$G:$G, (MATCH(849, 輔助計算!$G$2:$G$801, 0)+1))&lt;=1181,2,1))))=1,TEXT(INDEX(ERP資料!$G:$G, (MATCH(849, 輔助計算!$G$2:$G$801, 0)+1)),"0.##"),IF(MOD(INDEX(輔助計算!$D:$D, (MATCH(849, 輔助計算!$G$2:$G$801, 0)+1)),IF(INDEX(ERP資料!$G:$G, (MATCH(849, 輔助計算!$G$2:$G$801, 0)+1))&lt;100, IF(INDEX(ERP資料!$G:$G, (MATCH(849, 輔助計算!$G$2:$G$801, 0)+1))&lt;=31,3,IF(INDEX(ERP資料!$G:$G, (MATCH(849, 輔助計算!$G$2:$G$801, 0)+1))&lt;=46.5,2,1)), IF(INDEX(ERP資料!$G:$G, (MATCH(849, 輔助計算!$G$2:$G$801, 0)+1))&lt;=790,3,IF(INDEX(ERP資料!$G:$G, (MATCH(849, 輔助計算!$G$2:$G$801, 0)+1))&lt;=1181,2,1))))=2,TEXT(INDEX(ERP資料!$G:$G, (MATCH(849, 輔助計算!$G$2:$G$801, 0)+1)),"0.##")&amp;"+"&amp;TEXT(INDEX(ERP資料!$G:$G, (MATCH(849, 輔助計算!$G$2:$G$801, 0)+1)),"0.##"),TEXT(INDEX(ERP資料!$G:$G, (MATCH(849, 輔助計算!$G$2:$G$801, 0)+1)),"0.##")&amp;"+"&amp;TEXT(INDEX(ERP資料!$G:$G, (MATCH(849, 輔助計算!$G$2:$G$801, 0)+1)),"0.##")&amp;"+"&amp;TEXT(INDEX(ERP資料!$G:$G, (MATCH(849, 輔助計算!$G$2:$G$801, 0)+1)),"0.##"))))&amp;"-1")&lt;&gt;""),"  ","")&amp;IF(MOD(INDEX(輔助計算!$D:$D, (MATCH(849, 輔助計算!$G$2:$G$801, 0)+1)),IF(INDEX(ERP資料!$G:$G, (MATCH(849, 輔助計算!$G$2:$G$801, 0)+1))&lt;100, IF(INDEX(ERP資料!$G:$G, (MATCH(849, 輔助計算!$G$2:$G$801, 0)+1))&lt;=31,3,IF(INDEX(ERP資料!$G:$G, (MATCH(849, 輔助計算!$G$2:$G$801, 0)+1))&lt;=46.5,2,1)), IF(INDEX(ERP資料!$G:$G, (MATCH(849, 輔助計算!$G$2:$G$801, 0)+1))&lt;=790,3,IF(INDEX(ERP資料!$G:$G, (MATCH(849, 輔助計算!$G$2:$G$801, 0)+1))&lt;=1181,2,1))))=0,"",IF(MOD(INDEX(輔助計算!$D:$D, (MATCH(849, 輔助計算!$G$2:$G$801, 0)+1)),IF(INDEX(ERP資料!$G:$G, (MATCH(849, 輔助計算!$G$2:$G$801, 0)+1))&lt;100, IF(INDEX(ERP資料!$G:$G, (MATCH(849, 輔助計算!$G$2:$G$801, 0)+1))&lt;=31,3,IF(INDEX(ERP資料!$G:$G, (MATCH(849, 輔助計算!$G$2:$G$801, 0)+1))&lt;=46.5,2,1)), IF(INDEX(ERP資料!$G:$G, (MATCH(849, 輔助計算!$G$2:$G$801, 0)+1))&lt;=790,3,IF(INDEX(ERP資料!$G:$G, (MATCH(849, 輔助計算!$G$2:$G$801, 0)+1))&lt;=1181,2,1))))=0,"",IF(MOD(INDEX(輔助計算!$D:$D, (MATCH(849, 輔助計算!$G$2:$G$801, 0)+1)),IF(INDEX(ERP資料!$G:$G, (MATCH(849, 輔助計算!$G$2:$G$801, 0)+1))&lt;100, IF(INDEX(ERP資料!$G:$G, (MATCH(849, 輔助計算!$G$2:$G$801, 0)+1))&lt;=31,3,IF(INDEX(ERP資料!$G:$G, (MATCH(849, 輔助計算!$G$2:$G$801, 0)+1))&lt;=46.5,2,1)), IF(INDEX(ERP資料!$G:$G, (MATCH(849, 輔助計算!$G$2:$G$801, 0)+1))&lt;=790,3,IF(INDEX(ERP資料!$G:$G, (MATCH(849, 輔助計算!$G$2:$G$801, 0)+1))&lt;=1181,2,1))))=1,TEXT(INDEX(ERP資料!$G:$G, (MATCH(849, 輔助計算!$G$2:$G$801, 0)+1)),"0.##"),IF(MOD(INDEX(輔助計算!$D:$D, (MATCH(849, 輔助計算!$G$2:$G$801, 0)+1)),IF(INDEX(ERP資料!$G:$G, (MATCH(849, 輔助計算!$G$2:$G$801, 0)+1))&lt;100, IF(INDEX(ERP資料!$G:$G, (MATCH(849, 輔助計算!$G$2:$G$801, 0)+1))&lt;=31,3,IF(INDEX(ERP資料!$G:$G, (MATCH(849, 輔助計算!$G$2:$G$801, 0)+1))&lt;=46.5,2,1)), IF(INDEX(ERP資料!$G:$G, (MATCH(849, 輔助計算!$G$2:$G$801, 0)+1))&lt;=790,3,IF(INDEX(ERP資料!$G:$G, (MATCH(849, 輔助計算!$G$2:$G$801, 0)+1))&lt;=1181,2,1))))=2,TEXT(INDEX(ERP資料!$G:$G, (MATCH(849, 輔助計算!$G$2:$G$801, 0)+1)),"0.##")&amp;"+"&amp;TEXT(INDEX(ERP資料!$G:$G, (MATCH(849, 輔助計算!$G$2:$G$801, 0)+1)),"0.##"),TEXT(INDEX(ERP資料!$G:$G, (MATCH(849, 輔助計算!$G$2:$G$801, 0)+1)),"0.##")&amp;"+"&amp;TEXT(INDEX(ERP資料!$G:$G, (MATCH(849, 輔助計算!$G$2:$G$801, 0)+1)),"0.##")&amp;"+"&amp;TEXT(INDEX(ERP資料!$G:$G, (MATCH(849, 輔助計算!$G$2:$G$801, 0)+1)),"0.##"))))&amp;"-1")), ""), "")</f>
        <v/>
      </c>
      <c r="K850" s="16" t="n"/>
      <c r="L850" s="14">
        <f>IFERROR(IF(AND(IFERROR(INDEX(ERP資料!$A:$A, (MATCH(849, 輔助計算!$G$2:$G$801, 0)+1)), "")&lt;&gt;"", IFERROR(INDEX(ERP資料!$A:$A, (MATCH(849, 輔助計算!$G$2:$G$801, 0)+1)), "")&lt;&gt;IFERROR(INDEX(ERP資料!$A:$A, MATCH(848, 輔助計算!$G$2:$G$801, 0)+1), "")), INDEX(ERP資料!$B:$B, (MATCH(849, 輔助計算!$G$2:$G$801, 0)+1)), ""), "")</f>
        <v/>
      </c>
      <c r="M850" s="17" t="n"/>
    </row>
    <row r="851">
      <c r="A851" s="10">
        <f>IFERROR(IF(AND(IFERROR(INDEX(ERP資料!$A:$A, (MATCH(850, 輔助計算!$G$2:$G$801, 0)+1)), "")&lt;&gt;"", IFERROR(INDEX(ERP資料!$A:$A, (MATCH(850, 輔助計算!$G$2:$G$801, 0)+1)), "")&lt;&gt;IFERROR(INDEX(ERP資料!$A:$A, MATCH(849, 輔助計算!$G$2:$G$801, 0)+1), "")), IFERROR(INDEX(ERP資料!$A:$A, (MATCH(850, 輔助計算!$G$2:$G$801, 0)+1)), ""), ""), "")</f>
        <v/>
      </c>
      <c r="B851" s="10">
        <f>IFERROR(IF(AND(IFERROR(INDEX(ERP資料!$A:$A, (MATCH(850, 輔助計算!$G$2:$G$801, 0)+1)), "")&lt;&gt;"", IFERROR(INDEX(ERP資料!$A:$A, (MATCH(850, 輔助計算!$G$2:$G$801, 0)+1)), "")&lt;&gt;IFERROR(INDEX(ERP資料!$A:$A, MATCH(849, 輔助計算!$G$2:$G$801, 0)+1), "")), INDEX(ERP資料!$S:$S, (MATCH(850, 輔助計算!$G$2:$G$801, 0)+1)), ""), "")</f>
        <v/>
      </c>
      <c r="C851" s="19">
        <f>IFERROR(IF(AND(IFERROR(INDEX(ERP資料!$A:$A, (MATCH(850, 輔助計算!$G$2:$G$801, 0)+1)), "")&lt;&gt;"", IFERROR(INDEX(ERP資料!$A:$A, (MATCH(850, 輔助計算!$G$2:$G$801, 0)+1)), "")&lt;&gt;IFERROR(INDEX(ERP資料!$A:$A, MATCH(849, 輔助計算!$G$2:$G$801, 0)+1), "")), IFERROR(VLOOKUP(LEFT(INDEX(ERP資料!$S:$S, (MATCH(850, 輔助計算!$G$2:$G$801, 0)+1)), 4), 紙管對照表!$A:$C, 3, FALSE), ""), ""), "")</f>
        <v/>
      </c>
      <c r="D851" s="16" t="n"/>
      <c r="E851" s="10">
        <f>IFERROR(IF(INDEX(ERP資料!$H:$H, (MATCH(850, 輔助計算!$G$2:$G$801, 0)+1))="","",INDEX(ERP資料!$H:$H, (MATCH(850, 輔助計算!$G$2:$G$801, 0)+1))), "")</f>
        <v/>
      </c>
      <c r="F851" s="10">
        <f>IFERROR(IF(INDEX(ERP資料!$E:$E, (MATCH(850, 輔助計算!$G$2:$G$801, 0)+1))="","",TRIM(INDEX(ERP資料!$E:$E, (MATCH(850, 輔助計算!$G$2:$G$801, 0)+1)))), "")</f>
        <v/>
      </c>
      <c r="G851" s="10">
        <f>IFERROR(IF(INDEX(ERP資料!$F:$F, (MATCH(850, 輔助計算!$G$2:$G$801, 0)+1))="","",INDEX(ERP資料!$F:$F, (MATCH(850, 輔助計算!$G$2:$G$801, 0)+1))), "")</f>
        <v/>
      </c>
      <c r="H851" s="10">
        <f>IFERROR(IF(INDEX(ERP資料!$G:$G, (MATCH(850, 輔助計算!$G$2:$G$801, 0)+1))="","",INDEX(ERP資料!$G:$G, (MATCH(850, 輔助計算!$G$2:$G$801, 0)+1))), "")</f>
        <v/>
      </c>
      <c r="I851" s="15">
        <f>IFERROR(INDEX(輔助計算!$D:$D, (MATCH(850, 輔助計算!$G$2:$G$801, 0)+1)), "")</f>
        <v/>
      </c>
      <c r="J851" s="15">
        <f>IFERROR(IF(AND(INDEX(輔助計算!$D:$D, (MATCH(850, 輔助計算!$G$2:$G$801, 0)+1))&lt;&gt;"", INDEX(ERP資料!$G:$G, (MATCH(850, 輔助計算!$G$2:$G$801, 0)+1))&lt;&gt;""), TRIM(IF(INT(INDEX(輔助計算!$D:$D, (MATCH(850, 輔助計算!$G$2:$G$801, 0)+1))/IF(INDEX(ERP資料!$G:$G, (MATCH(850, 輔助計算!$G$2:$G$801, 0)+1))&lt;100, IF(INDEX(ERP資料!$G:$G, (MATCH(850, 輔助計算!$G$2:$G$801, 0)+1))&lt;=31,3,IF(INDEX(ERP資料!$G:$G, (MATCH(850, 輔助計算!$G$2:$G$801, 0)+1))&lt;=46.5,2,1)), IF(INDEX(ERP資料!$G:$G, (MATCH(850, 輔助計算!$G$2:$G$801, 0)+1))&lt;=790,3,IF(INDEX(ERP資料!$G:$G, (MATCH(850, 輔助計算!$G$2:$G$801, 0)+1))&lt;=1181,2,1))))&gt;0, IF(IF(INDEX(ERP資料!$G:$G, (MATCH(850, 輔助計算!$G$2:$G$801, 0)+1))&lt;100, IF(INDEX(ERP資料!$G:$G, (MATCH(850, 輔助計算!$G$2:$G$801, 0)+1))&lt;=31,3,IF(INDEX(ERP資料!$G:$G, (MATCH(850, 輔助計算!$G$2:$G$801, 0)+1))&lt;=46.5,2,1)), IF(INDEX(ERP資料!$G:$G, (MATCH(850, 輔助計算!$G$2:$G$801, 0)+1))&lt;=790,3,IF(INDEX(ERP資料!$G:$G, (MATCH(850, 輔助計算!$G$2:$G$801, 0)+1))&lt;=1181,2,1)))=1,TEXT(INDEX(ERP資料!$G:$G, (MATCH(850, 輔助計算!$G$2:$G$801, 0)+1)),"0.##"),IF(IF(INDEX(ERP資料!$G:$G, (MATCH(850, 輔助計算!$G$2:$G$801, 0)+1))&lt;100, IF(INDEX(ERP資料!$G:$G, (MATCH(850, 輔助計算!$G$2:$G$801, 0)+1))&lt;=31,3,IF(INDEX(ERP資料!$G:$G, (MATCH(850, 輔助計算!$G$2:$G$801, 0)+1))&lt;=46.5,2,1)), IF(INDEX(ERP資料!$G:$G, (MATCH(850, 輔助計算!$G$2:$G$801, 0)+1))&lt;=790,3,IF(INDEX(ERP資料!$G:$G, (MATCH(850, 輔助計算!$G$2:$G$801, 0)+1))&lt;=1181,2,1)))=2,TEXT(INDEX(ERP資料!$G:$G, (MATCH(850, 輔助計算!$G$2:$G$801, 0)+1)),"0.##")&amp;"+"&amp;TEXT(INDEX(ERP資料!$G:$G, (MATCH(850, 輔助計算!$G$2:$G$801, 0)+1)),"0.##"),TEXT(INDEX(ERP資料!$G:$G, (MATCH(850, 輔助計算!$G$2:$G$801, 0)+1)),"0.##")&amp;"+"&amp;TEXT(INDEX(ERP資料!$G:$G, (MATCH(850, 輔助計算!$G$2:$G$801, 0)+1)),"0.##")&amp;"+"&amp;TEXT(INDEX(ERP資料!$G:$G, (MATCH(850, 輔助計算!$G$2:$G$801, 0)+1)),"0.##")))&amp;"-"&amp;INT(INDEX(輔助計算!$D:$D, (MATCH(850, 輔助計算!$G$2:$G$801, 0)+1))/IF(INDEX(ERP資料!$G:$G, (MATCH(850, 輔助計算!$G$2:$G$801, 0)+1))&lt;100, IF(INDEX(ERP資料!$G:$G, (MATCH(850, 輔助計算!$G$2:$G$801, 0)+1))&lt;=31,3,IF(INDEX(ERP資料!$G:$G, (MATCH(850, 輔助計算!$G$2:$G$801, 0)+1))&lt;=46.5,2,1)), IF(INDEX(ERP資料!$G:$G, (MATCH(850, 輔助計算!$G$2:$G$801, 0)+1))&lt;=790,3,IF(INDEX(ERP資料!$G:$G, (MATCH(850, 輔助計算!$G$2:$G$801, 0)+1))&lt;=1181,2,1)))), "")&amp;IF(AND(IF(INT(INDEX(輔助計算!$D:$D, (MATCH(850, 輔助計算!$G$2:$G$801, 0)+1))/IF(INDEX(ERP資料!$G:$G, (MATCH(850, 輔助計算!$G$2:$G$801, 0)+1))&lt;100, IF(INDEX(ERP資料!$G:$G, (MATCH(850, 輔助計算!$G$2:$G$801, 0)+1))&lt;=31,3,IF(INDEX(ERP資料!$G:$G, (MATCH(850, 輔助計算!$G$2:$G$801, 0)+1))&lt;=46.5,2,1)), IF(INDEX(ERP資料!$G:$G, (MATCH(850, 輔助計算!$G$2:$G$801, 0)+1))&lt;=790,3,IF(INDEX(ERP資料!$G:$G, (MATCH(850, 輔助計算!$G$2:$G$801, 0)+1))&lt;=1181,2,1))))&gt;0, IF(IF(INDEX(ERP資料!$G:$G, (MATCH(850, 輔助計算!$G$2:$G$801, 0)+1))&lt;100, IF(INDEX(ERP資料!$G:$G, (MATCH(850, 輔助計算!$G$2:$G$801, 0)+1))&lt;=31,3,IF(INDEX(ERP資料!$G:$G, (MATCH(850, 輔助計算!$G$2:$G$801, 0)+1))&lt;=46.5,2,1)), IF(INDEX(ERP資料!$G:$G, (MATCH(850, 輔助計算!$G$2:$G$801, 0)+1))&lt;=790,3,IF(INDEX(ERP資料!$G:$G, (MATCH(850, 輔助計算!$G$2:$G$801, 0)+1))&lt;=1181,2,1)))=1,TEXT(INDEX(ERP資料!$G:$G, (MATCH(850, 輔助計算!$G$2:$G$801, 0)+1)),"0.##"),IF(IF(INDEX(ERP資料!$G:$G, (MATCH(850, 輔助計算!$G$2:$G$801, 0)+1))&lt;100, IF(INDEX(ERP資料!$G:$G, (MATCH(850, 輔助計算!$G$2:$G$801, 0)+1))&lt;=31,3,IF(INDEX(ERP資料!$G:$G, (MATCH(850, 輔助計算!$G$2:$G$801, 0)+1))&lt;=46.5,2,1)), IF(INDEX(ERP資料!$G:$G, (MATCH(850, 輔助計算!$G$2:$G$801, 0)+1))&lt;=790,3,IF(INDEX(ERP資料!$G:$G, (MATCH(850, 輔助計算!$G$2:$G$801, 0)+1))&lt;=1181,2,1)))=2,TEXT(INDEX(ERP資料!$G:$G, (MATCH(850, 輔助計算!$G$2:$G$801, 0)+1)),"0.##")&amp;"+"&amp;TEXT(INDEX(ERP資料!$G:$G, (MATCH(850, 輔助計算!$G$2:$G$801, 0)+1)),"0.##"),TEXT(INDEX(ERP資料!$G:$G, (MATCH(850, 輔助計算!$G$2:$G$801, 0)+1)),"0.##")&amp;"+"&amp;TEXT(INDEX(ERP資料!$G:$G, (MATCH(850, 輔助計算!$G$2:$G$801, 0)+1)),"0.##")&amp;"+"&amp;TEXT(INDEX(ERP資料!$G:$G, (MATCH(850, 輔助計算!$G$2:$G$801, 0)+1)),"0.##")))&amp;"-"&amp;INT(INDEX(輔助計算!$D:$D, (MATCH(850, 輔助計算!$G$2:$G$801, 0)+1))/IF(INDEX(ERP資料!$G:$G, (MATCH(850, 輔助計算!$G$2:$G$801, 0)+1))&lt;100, IF(INDEX(ERP資料!$G:$G, (MATCH(850, 輔助計算!$G$2:$G$801, 0)+1))&lt;=31,3,IF(INDEX(ERP資料!$G:$G, (MATCH(850, 輔助計算!$G$2:$G$801, 0)+1))&lt;=46.5,2,1)), IF(INDEX(ERP資料!$G:$G, (MATCH(850, 輔助計算!$G$2:$G$801, 0)+1))&lt;=790,3,IF(INDEX(ERP資料!$G:$G, (MATCH(850, 輔助計算!$G$2:$G$801, 0)+1))&lt;=1181,2,1)))), "")&lt;&gt;"",IF(MOD(INDEX(輔助計算!$D:$D, (MATCH(850, 輔助計算!$G$2:$G$801, 0)+1)),IF(INDEX(ERP資料!$G:$G, (MATCH(850, 輔助計算!$G$2:$G$801, 0)+1))&lt;100, IF(INDEX(ERP資料!$G:$G, (MATCH(850, 輔助計算!$G$2:$G$801, 0)+1))&lt;=31,3,IF(INDEX(ERP資料!$G:$G, (MATCH(850, 輔助計算!$G$2:$G$801, 0)+1))&lt;=46.5,2,1)), IF(INDEX(ERP資料!$G:$G, (MATCH(850, 輔助計算!$G$2:$G$801, 0)+1))&lt;=790,3,IF(INDEX(ERP資料!$G:$G, (MATCH(850, 輔助計算!$G$2:$G$801, 0)+1))&lt;=1181,2,1))))=0,"",IF(MOD(INDEX(輔助計算!$D:$D, (MATCH(850, 輔助計算!$G$2:$G$801, 0)+1)),IF(INDEX(ERP資料!$G:$G, (MATCH(850, 輔助計算!$G$2:$G$801, 0)+1))&lt;100, IF(INDEX(ERP資料!$G:$G, (MATCH(850, 輔助計算!$G$2:$G$801, 0)+1))&lt;=31,3,IF(INDEX(ERP資料!$G:$G, (MATCH(850, 輔助計算!$G$2:$G$801, 0)+1))&lt;=46.5,2,1)), IF(INDEX(ERP資料!$G:$G, (MATCH(850, 輔助計算!$G$2:$G$801, 0)+1))&lt;=790,3,IF(INDEX(ERP資料!$G:$G, (MATCH(850, 輔助計算!$G$2:$G$801, 0)+1))&lt;=1181,2,1))))=0,"",IF(MOD(INDEX(輔助計算!$D:$D, (MATCH(850, 輔助計算!$G$2:$G$801, 0)+1)),IF(INDEX(ERP資料!$G:$G, (MATCH(850, 輔助計算!$G$2:$G$801, 0)+1))&lt;100, IF(INDEX(ERP資料!$G:$G, (MATCH(850, 輔助計算!$G$2:$G$801, 0)+1))&lt;=31,3,IF(INDEX(ERP資料!$G:$G, (MATCH(850, 輔助計算!$G$2:$G$801, 0)+1))&lt;=46.5,2,1)), IF(INDEX(ERP資料!$G:$G, (MATCH(850, 輔助計算!$G$2:$G$801, 0)+1))&lt;=790,3,IF(INDEX(ERP資料!$G:$G, (MATCH(850, 輔助計算!$G$2:$G$801, 0)+1))&lt;=1181,2,1))))=1,TEXT(INDEX(ERP資料!$G:$G, (MATCH(850, 輔助計算!$G$2:$G$801, 0)+1)),"0.##"),IF(MOD(INDEX(輔助計算!$D:$D, (MATCH(850, 輔助計算!$G$2:$G$801, 0)+1)),IF(INDEX(ERP資料!$G:$G, (MATCH(850, 輔助計算!$G$2:$G$801, 0)+1))&lt;100, IF(INDEX(ERP資料!$G:$G, (MATCH(850, 輔助計算!$G$2:$G$801, 0)+1))&lt;=31,3,IF(INDEX(ERP資料!$G:$G, (MATCH(850, 輔助計算!$G$2:$G$801, 0)+1))&lt;=46.5,2,1)), IF(INDEX(ERP資料!$G:$G, (MATCH(850, 輔助計算!$G$2:$G$801, 0)+1))&lt;=790,3,IF(INDEX(ERP資料!$G:$G, (MATCH(850, 輔助計算!$G$2:$G$801, 0)+1))&lt;=1181,2,1))))=2,TEXT(INDEX(ERP資料!$G:$G, (MATCH(850, 輔助計算!$G$2:$G$801, 0)+1)),"0.##")&amp;"+"&amp;TEXT(INDEX(ERP資料!$G:$G, (MATCH(850, 輔助計算!$G$2:$G$801, 0)+1)),"0.##"),TEXT(INDEX(ERP資料!$G:$G, (MATCH(850, 輔助計算!$G$2:$G$801, 0)+1)),"0.##")&amp;"+"&amp;TEXT(INDEX(ERP資料!$G:$G, (MATCH(850, 輔助計算!$G$2:$G$801, 0)+1)),"0.##")&amp;"+"&amp;TEXT(INDEX(ERP資料!$G:$G, (MATCH(850, 輔助計算!$G$2:$G$801, 0)+1)),"0.##"))))&amp;"-1")&lt;&gt;""),"  ","")&amp;IF(MOD(INDEX(輔助計算!$D:$D, (MATCH(850, 輔助計算!$G$2:$G$801, 0)+1)),IF(INDEX(ERP資料!$G:$G, (MATCH(850, 輔助計算!$G$2:$G$801, 0)+1))&lt;100, IF(INDEX(ERP資料!$G:$G, (MATCH(850, 輔助計算!$G$2:$G$801, 0)+1))&lt;=31,3,IF(INDEX(ERP資料!$G:$G, (MATCH(850, 輔助計算!$G$2:$G$801, 0)+1))&lt;=46.5,2,1)), IF(INDEX(ERP資料!$G:$G, (MATCH(850, 輔助計算!$G$2:$G$801, 0)+1))&lt;=790,3,IF(INDEX(ERP資料!$G:$G, (MATCH(850, 輔助計算!$G$2:$G$801, 0)+1))&lt;=1181,2,1))))=0,"",IF(MOD(INDEX(輔助計算!$D:$D, (MATCH(850, 輔助計算!$G$2:$G$801, 0)+1)),IF(INDEX(ERP資料!$G:$G, (MATCH(850, 輔助計算!$G$2:$G$801, 0)+1))&lt;100, IF(INDEX(ERP資料!$G:$G, (MATCH(850, 輔助計算!$G$2:$G$801, 0)+1))&lt;=31,3,IF(INDEX(ERP資料!$G:$G, (MATCH(850, 輔助計算!$G$2:$G$801, 0)+1))&lt;=46.5,2,1)), IF(INDEX(ERP資料!$G:$G, (MATCH(850, 輔助計算!$G$2:$G$801, 0)+1))&lt;=790,3,IF(INDEX(ERP資料!$G:$G, (MATCH(850, 輔助計算!$G$2:$G$801, 0)+1))&lt;=1181,2,1))))=0,"",IF(MOD(INDEX(輔助計算!$D:$D, (MATCH(850, 輔助計算!$G$2:$G$801, 0)+1)),IF(INDEX(ERP資料!$G:$G, (MATCH(850, 輔助計算!$G$2:$G$801, 0)+1))&lt;100, IF(INDEX(ERP資料!$G:$G, (MATCH(850, 輔助計算!$G$2:$G$801, 0)+1))&lt;=31,3,IF(INDEX(ERP資料!$G:$G, (MATCH(850, 輔助計算!$G$2:$G$801, 0)+1))&lt;=46.5,2,1)), IF(INDEX(ERP資料!$G:$G, (MATCH(850, 輔助計算!$G$2:$G$801, 0)+1))&lt;=790,3,IF(INDEX(ERP資料!$G:$G, (MATCH(850, 輔助計算!$G$2:$G$801, 0)+1))&lt;=1181,2,1))))=1,TEXT(INDEX(ERP資料!$G:$G, (MATCH(850, 輔助計算!$G$2:$G$801, 0)+1)),"0.##"),IF(MOD(INDEX(輔助計算!$D:$D, (MATCH(850, 輔助計算!$G$2:$G$801, 0)+1)),IF(INDEX(ERP資料!$G:$G, (MATCH(850, 輔助計算!$G$2:$G$801, 0)+1))&lt;100, IF(INDEX(ERP資料!$G:$G, (MATCH(850, 輔助計算!$G$2:$G$801, 0)+1))&lt;=31,3,IF(INDEX(ERP資料!$G:$G, (MATCH(850, 輔助計算!$G$2:$G$801, 0)+1))&lt;=46.5,2,1)), IF(INDEX(ERP資料!$G:$G, (MATCH(850, 輔助計算!$G$2:$G$801, 0)+1))&lt;=790,3,IF(INDEX(ERP資料!$G:$G, (MATCH(850, 輔助計算!$G$2:$G$801, 0)+1))&lt;=1181,2,1))))=2,TEXT(INDEX(ERP資料!$G:$G, (MATCH(850, 輔助計算!$G$2:$G$801, 0)+1)),"0.##")&amp;"+"&amp;TEXT(INDEX(ERP資料!$G:$G, (MATCH(850, 輔助計算!$G$2:$G$801, 0)+1)),"0.##"),TEXT(INDEX(ERP資料!$G:$G, (MATCH(850, 輔助計算!$G$2:$G$801, 0)+1)),"0.##")&amp;"+"&amp;TEXT(INDEX(ERP資料!$G:$G, (MATCH(850, 輔助計算!$G$2:$G$801, 0)+1)),"0.##")&amp;"+"&amp;TEXT(INDEX(ERP資料!$G:$G, (MATCH(850, 輔助計算!$G$2:$G$801, 0)+1)),"0.##"))))&amp;"-1")), ""), "")</f>
        <v/>
      </c>
      <c r="K851" s="16" t="n"/>
      <c r="L851" s="14">
        <f>IFERROR(IF(AND(IFERROR(INDEX(ERP資料!$A:$A, (MATCH(850, 輔助計算!$G$2:$G$801, 0)+1)), "")&lt;&gt;"", IFERROR(INDEX(ERP資料!$A:$A, (MATCH(850, 輔助計算!$G$2:$G$801, 0)+1)), "")&lt;&gt;IFERROR(INDEX(ERP資料!$A:$A, MATCH(849, 輔助計算!$G$2:$G$801, 0)+1), "")), INDEX(ERP資料!$B:$B, (MATCH(850, 輔助計算!$G$2:$G$801, 0)+1)), ""), "")</f>
        <v/>
      </c>
      <c r="M851" s="17" t="n"/>
    </row>
    <row r="852">
      <c r="A852" s="10">
        <f>IFERROR(IF(AND(IFERROR(INDEX(ERP資料!$A:$A, (MATCH(851, 輔助計算!$G$2:$G$801, 0)+1)), "")&lt;&gt;"", IFERROR(INDEX(ERP資料!$A:$A, (MATCH(851, 輔助計算!$G$2:$G$801, 0)+1)), "")&lt;&gt;IFERROR(INDEX(ERP資料!$A:$A, MATCH(850, 輔助計算!$G$2:$G$801, 0)+1), "")), IFERROR(INDEX(ERP資料!$A:$A, (MATCH(851, 輔助計算!$G$2:$G$801, 0)+1)), ""), ""), "")</f>
        <v/>
      </c>
      <c r="B852" s="10">
        <f>IFERROR(IF(AND(IFERROR(INDEX(ERP資料!$A:$A, (MATCH(851, 輔助計算!$G$2:$G$801, 0)+1)), "")&lt;&gt;"", IFERROR(INDEX(ERP資料!$A:$A, (MATCH(851, 輔助計算!$G$2:$G$801, 0)+1)), "")&lt;&gt;IFERROR(INDEX(ERP資料!$A:$A, MATCH(850, 輔助計算!$G$2:$G$801, 0)+1), "")), INDEX(ERP資料!$S:$S, (MATCH(851, 輔助計算!$G$2:$G$801, 0)+1)), ""), "")</f>
        <v/>
      </c>
      <c r="C852" s="19">
        <f>IFERROR(IF(AND(IFERROR(INDEX(ERP資料!$A:$A, (MATCH(851, 輔助計算!$G$2:$G$801, 0)+1)), "")&lt;&gt;"", IFERROR(INDEX(ERP資料!$A:$A, (MATCH(851, 輔助計算!$G$2:$G$801, 0)+1)), "")&lt;&gt;IFERROR(INDEX(ERP資料!$A:$A, MATCH(850, 輔助計算!$G$2:$G$801, 0)+1), "")), IFERROR(VLOOKUP(LEFT(INDEX(ERP資料!$S:$S, (MATCH(851, 輔助計算!$G$2:$G$801, 0)+1)), 4), 紙管對照表!$A:$C, 3, FALSE), ""), ""), "")</f>
        <v/>
      </c>
      <c r="D852" s="16" t="n"/>
      <c r="E852" s="10">
        <f>IFERROR(IF(INDEX(ERP資料!$H:$H, (MATCH(851, 輔助計算!$G$2:$G$801, 0)+1))="","",INDEX(ERP資料!$H:$H, (MATCH(851, 輔助計算!$G$2:$G$801, 0)+1))), "")</f>
        <v/>
      </c>
      <c r="F852" s="10">
        <f>IFERROR(IF(INDEX(ERP資料!$E:$E, (MATCH(851, 輔助計算!$G$2:$G$801, 0)+1))="","",TRIM(INDEX(ERP資料!$E:$E, (MATCH(851, 輔助計算!$G$2:$G$801, 0)+1)))), "")</f>
        <v/>
      </c>
      <c r="G852" s="10">
        <f>IFERROR(IF(INDEX(ERP資料!$F:$F, (MATCH(851, 輔助計算!$G$2:$G$801, 0)+1))="","",INDEX(ERP資料!$F:$F, (MATCH(851, 輔助計算!$G$2:$G$801, 0)+1))), "")</f>
        <v/>
      </c>
      <c r="H852" s="10">
        <f>IFERROR(IF(INDEX(ERP資料!$G:$G, (MATCH(851, 輔助計算!$G$2:$G$801, 0)+1))="","",INDEX(ERP資料!$G:$G, (MATCH(851, 輔助計算!$G$2:$G$801, 0)+1))), "")</f>
        <v/>
      </c>
      <c r="I852" s="15">
        <f>IFERROR(INDEX(輔助計算!$D:$D, (MATCH(851, 輔助計算!$G$2:$G$801, 0)+1)), "")</f>
        <v/>
      </c>
      <c r="J852" s="15">
        <f>IFERROR(IF(AND(INDEX(輔助計算!$D:$D, (MATCH(851, 輔助計算!$G$2:$G$801, 0)+1))&lt;&gt;"", INDEX(ERP資料!$G:$G, (MATCH(851, 輔助計算!$G$2:$G$801, 0)+1))&lt;&gt;""), TRIM(IF(INT(INDEX(輔助計算!$D:$D, (MATCH(851, 輔助計算!$G$2:$G$801, 0)+1))/IF(INDEX(ERP資料!$G:$G, (MATCH(851, 輔助計算!$G$2:$G$801, 0)+1))&lt;100, IF(INDEX(ERP資料!$G:$G, (MATCH(851, 輔助計算!$G$2:$G$801, 0)+1))&lt;=31,3,IF(INDEX(ERP資料!$G:$G, (MATCH(851, 輔助計算!$G$2:$G$801, 0)+1))&lt;=46.5,2,1)), IF(INDEX(ERP資料!$G:$G, (MATCH(851, 輔助計算!$G$2:$G$801, 0)+1))&lt;=790,3,IF(INDEX(ERP資料!$G:$G, (MATCH(851, 輔助計算!$G$2:$G$801, 0)+1))&lt;=1181,2,1))))&gt;0, IF(IF(INDEX(ERP資料!$G:$G, (MATCH(851, 輔助計算!$G$2:$G$801, 0)+1))&lt;100, IF(INDEX(ERP資料!$G:$G, (MATCH(851, 輔助計算!$G$2:$G$801, 0)+1))&lt;=31,3,IF(INDEX(ERP資料!$G:$G, (MATCH(851, 輔助計算!$G$2:$G$801, 0)+1))&lt;=46.5,2,1)), IF(INDEX(ERP資料!$G:$G, (MATCH(851, 輔助計算!$G$2:$G$801, 0)+1))&lt;=790,3,IF(INDEX(ERP資料!$G:$G, (MATCH(851, 輔助計算!$G$2:$G$801, 0)+1))&lt;=1181,2,1)))=1,TEXT(INDEX(ERP資料!$G:$G, (MATCH(851, 輔助計算!$G$2:$G$801, 0)+1)),"0.##"),IF(IF(INDEX(ERP資料!$G:$G, (MATCH(851, 輔助計算!$G$2:$G$801, 0)+1))&lt;100, IF(INDEX(ERP資料!$G:$G, (MATCH(851, 輔助計算!$G$2:$G$801, 0)+1))&lt;=31,3,IF(INDEX(ERP資料!$G:$G, (MATCH(851, 輔助計算!$G$2:$G$801, 0)+1))&lt;=46.5,2,1)), IF(INDEX(ERP資料!$G:$G, (MATCH(851, 輔助計算!$G$2:$G$801, 0)+1))&lt;=790,3,IF(INDEX(ERP資料!$G:$G, (MATCH(851, 輔助計算!$G$2:$G$801, 0)+1))&lt;=1181,2,1)))=2,TEXT(INDEX(ERP資料!$G:$G, (MATCH(851, 輔助計算!$G$2:$G$801, 0)+1)),"0.##")&amp;"+"&amp;TEXT(INDEX(ERP資料!$G:$G, (MATCH(851, 輔助計算!$G$2:$G$801, 0)+1)),"0.##"),TEXT(INDEX(ERP資料!$G:$G, (MATCH(851, 輔助計算!$G$2:$G$801, 0)+1)),"0.##")&amp;"+"&amp;TEXT(INDEX(ERP資料!$G:$G, (MATCH(851, 輔助計算!$G$2:$G$801, 0)+1)),"0.##")&amp;"+"&amp;TEXT(INDEX(ERP資料!$G:$G, (MATCH(851, 輔助計算!$G$2:$G$801, 0)+1)),"0.##")))&amp;"-"&amp;INT(INDEX(輔助計算!$D:$D, (MATCH(851, 輔助計算!$G$2:$G$801, 0)+1))/IF(INDEX(ERP資料!$G:$G, (MATCH(851, 輔助計算!$G$2:$G$801, 0)+1))&lt;100, IF(INDEX(ERP資料!$G:$G, (MATCH(851, 輔助計算!$G$2:$G$801, 0)+1))&lt;=31,3,IF(INDEX(ERP資料!$G:$G, (MATCH(851, 輔助計算!$G$2:$G$801, 0)+1))&lt;=46.5,2,1)), IF(INDEX(ERP資料!$G:$G, (MATCH(851, 輔助計算!$G$2:$G$801, 0)+1))&lt;=790,3,IF(INDEX(ERP資料!$G:$G, (MATCH(851, 輔助計算!$G$2:$G$801, 0)+1))&lt;=1181,2,1)))), "")&amp;IF(AND(IF(INT(INDEX(輔助計算!$D:$D, (MATCH(851, 輔助計算!$G$2:$G$801, 0)+1))/IF(INDEX(ERP資料!$G:$G, (MATCH(851, 輔助計算!$G$2:$G$801, 0)+1))&lt;100, IF(INDEX(ERP資料!$G:$G, (MATCH(851, 輔助計算!$G$2:$G$801, 0)+1))&lt;=31,3,IF(INDEX(ERP資料!$G:$G, (MATCH(851, 輔助計算!$G$2:$G$801, 0)+1))&lt;=46.5,2,1)), IF(INDEX(ERP資料!$G:$G, (MATCH(851, 輔助計算!$G$2:$G$801, 0)+1))&lt;=790,3,IF(INDEX(ERP資料!$G:$G, (MATCH(851, 輔助計算!$G$2:$G$801, 0)+1))&lt;=1181,2,1))))&gt;0, IF(IF(INDEX(ERP資料!$G:$G, (MATCH(851, 輔助計算!$G$2:$G$801, 0)+1))&lt;100, IF(INDEX(ERP資料!$G:$G, (MATCH(851, 輔助計算!$G$2:$G$801, 0)+1))&lt;=31,3,IF(INDEX(ERP資料!$G:$G, (MATCH(851, 輔助計算!$G$2:$G$801, 0)+1))&lt;=46.5,2,1)), IF(INDEX(ERP資料!$G:$G, (MATCH(851, 輔助計算!$G$2:$G$801, 0)+1))&lt;=790,3,IF(INDEX(ERP資料!$G:$G, (MATCH(851, 輔助計算!$G$2:$G$801, 0)+1))&lt;=1181,2,1)))=1,TEXT(INDEX(ERP資料!$G:$G, (MATCH(851, 輔助計算!$G$2:$G$801, 0)+1)),"0.##"),IF(IF(INDEX(ERP資料!$G:$G, (MATCH(851, 輔助計算!$G$2:$G$801, 0)+1))&lt;100, IF(INDEX(ERP資料!$G:$G, (MATCH(851, 輔助計算!$G$2:$G$801, 0)+1))&lt;=31,3,IF(INDEX(ERP資料!$G:$G, (MATCH(851, 輔助計算!$G$2:$G$801, 0)+1))&lt;=46.5,2,1)), IF(INDEX(ERP資料!$G:$G, (MATCH(851, 輔助計算!$G$2:$G$801, 0)+1))&lt;=790,3,IF(INDEX(ERP資料!$G:$G, (MATCH(851, 輔助計算!$G$2:$G$801, 0)+1))&lt;=1181,2,1)))=2,TEXT(INDEX(ERP資料!$G:$G, (MATCH(851, 輔助計算!$G$2:$G$801, 0)+1)),"0.##")&amp;"+"&amp;TEXT(INDEX(ERP資料!$G:$G, (MATCH(851, 輔助計算!$G$2:$G$801, 0)+1)),"0.##"),TEXT(INDEX(ERP資料!$G:$G, (MATCH(851, 輔助計算!$G$2:$G$801, 0)+1)),"0.##")&amp;"+"&amp;TEXT(INDEX(ERP資料!$G:$G, (MATCH(851, 輔助計算!$G$2:$G$801, 0)+1)),"0.##")&amp;"+"&amp;TEXT(INDEX(ERP資料!$G:$G, (MATCH(851, 輔助計算!$G$2:$G$801, 0)+1)),"0.##")))&amp;"-"&amp;INT(INDEX(輔助計算!$D:$D, (MATCH(851, 輔助計算!$G$2:$G$801, 0)+1))/IF(INDEX(ERP資料!$G:$G, (MATCH(851, 輔助計算!$G$2:$G$801, 0)+1))&lt;100, IF(INDEX(ERP資料!$G:$G, (MATCH(851, 輔助計算!$G$2:$G$801, 0)+1))&lt;=31,3,IF(INDEX(ERP資料!$G:$G, (MATCH(851, 輔助計算!$G$2:$G$801, 0)+1))&lt;=46.5,2,1)), IF(INDEX(ERP資料!$G:$G, (MATCH(851, 輔助計算!$G$2:$G$801, 0)+1))&lt;=790,3,IF(INDEX(ERP資料!$G:$G, (MATCH(851, 輔助計算!$G$2:$G$801, 0)+1))&lt;=1181,2,1)))), "")&lt;&gt;"",IF(MOD(INDEX(輔助計算!$D:$D, (MATCH(851, 輔助計算!$G$2:$G$801, 0)+1)),IF(INDEX(ERP資料!$G:$G, (MATCH(851, 輔助計算!$G$2:$G$801, 0)+1))&lt;100, IF(INDEX(ERP資料!$G:$G, (MATCH(851, 輔助計算!$G$2:$G$801, 0)+1))&lt;=31,3,IF(INDEX(ERP資料!$G:$G, (MATCH(851, 輔助計算!$G$2:$G$801, 0)+1))&lt;=46.5,2,1)), IF(INDEX(ERP資料!$G:$G, (MATCH(851, 輔助計算!$G$2:$G$801, 0)+1))&lt;=790,3,IF(INDEX(ERP資料!$G:$G, (MATCH(851, 輔助計算!$G$2:$G$801, 0)+1))&lt;=1181,2,1))))=0,"",IF(MOD(INDEX(輔助計算!$D:$D, (MATCH(851, 輔助計算!$G$2:$G$801, 0)+1)),IF(INDEX(ERP資料!$G:$G, (MATCH(851, 輔助計算!$G$2:$G$801, 0)+1))&lt;100, IF(INDEX(ERP資料!$G:$G, (MATCH(851, 輔助計算!$G$2:$G$801, 0)+1))&lt;=31,3,IF(INDEX(ERP資料!$G:$G, (MATCH(851, 輔助計算!$G$2:$G$801, 0)+1))&lt;=46.5,2,1)), IF(INDEX(ERP資料!$G:$G, (MATCH(851, 輔助計算!$G$2:$G$801, 0)+1))&lt;=790,3,IF(INDEX(ERP資料!$G:$G, (MATCH(851, 輔助計算!$G$2:$G$801, 0)+1))&lt;=1181,2,1))))=0,"",IF(MOD(INDEX(輔助計算!$D:$D, (MATCH(851, 輔助計算!$G$2:$G$801, 0)+1)),IF(INDEX(ERP資料!$G:$G, (MATCH(851, 輔助計算!$G$2:$G$801, 0)+1))&lt;100, IF(INDEX(ERP資料!$G:$G, (MATCH(851, 輔助計算!$G$2:$G$801, 0)+1))&lt;=31,3,IF(INDEX(ERP資料!$G:$G, (MATCH(851, 輔助計算!$G$2:$G$801, 0)+1))&lt;=46.5,2,1)), IF(INDEX(ERP資料!$G:$G, (MATCH(851, 輔助計算!$G$2:$G$801, 0)+1))&lt;=790,3,IF(INDEX(ERP資料!$G:$G, (MATCH(851, 輔助計算!$G$2:$G$801, 0)+1))&lt;=1181,2,1))))=1,TEXT(INDEX(ERP資料!$G:$G, (MATCH(851, 輔助計算!$G$2:$G$801, 0)+1)),"0.##"),IF(MOD(INDEX(輔助計算!$D:$D, (MATCH(851, 輔助計算!$G$2:$G$801, 0)+1)),IF(INDEX(ERP資料!$G:$G, (MATCH(851, 輔助計算!$G$2:$G$801, 0)+1))&lt;100, IF(INDEX(ERP資料!$G:$G, (MATCH(851, 輔助計算!$G$2:$G$801, 0)+1))&lt;=31,3,IF(INDEX(ERP資料!$G:$G, (MATCH(851, 輔助計算!$G$2:$G$801, 0)+1))&lt;=46.5,2,1)), IF(INDEX(ERP資料!$G:$G, (MATCH(851, 輔助計算!$G$2:$G$801, 0)+1))&lt;=790,3,IF(INDEX(ERP資料!$G:$G, (MATCH(851, 輔助計算!$G$2:$G$801, 0)+1))&lt;=1181,2,1))))=2,TEXT(INDEX(ERP資料!$G:$G, (MATCH(851, 輔助計算!$G$2:$G$801, 0)+1)),"0.##")&amp;"+"&amp;TEXT(INDEX(ERP資料!$G:$G, (MATCH(851, 輔助計算!$G$2:$G$801, 0)+1)),"0.##"),TEXT(INDEX(ERP資料!$G:$G, (MATCH(851, 輔助計算!$G$2:$G$801, 0)+1)),"0.##")&amp;"+"&amp;TEXT(INDEX(ERP資料!$G:$G, (MATCH(851, 輔助計算!$G$2:$G$801, 0)+1)),"0.##")&amp;"+"&amp;TEXT(INDEX(ERP資料!$G:$G, (MATCH(851, 輔助計算!$G$2:$G$801, 0)+1)),"0.##"))))&amp;"-1")&lt;&gt;""),"  ","")&amp;IF(MOD(INDEX(輔助計算!$D:$D, (MATCH(851, 輔助計算!$G$2:$G$801, 0)+1)),IF(INDEX(ERP資料!$G:$G, (MATCH(851, 輔助計算!$G$2:$G$801, 0)+1))&lt;100, IF(INDEX(ERP資料!$G:$G, (MATCH(851, 輔助計算!$G$2:$G$801, 0)+1))&lt;=31,3,IF(INDEX(ERP資料!$G:$G, (MATCH(851, 輔助計算!$G$2:$G$801, 0)+1))&lt;=46.5,2,1)), IF(INDEX(ERP資料!$G:$G, (MATCH(851, 輔助計算!$G$2:$G$801, 0)+1))&lt;=790,3,IF(INDEX(ERP資料!$G:$G, (MATCH(851, 輔助計算!$G$2:$G$801, 0)+1))&lt;=1181,2,1))))=0,"",IF(MOD(INDEX(輔助計算!$D:$D, (MATCH(851, 輔助計算!$G$2:$G$801, 0)+1)),IF(INDEX(ERP資料!$G:$G, (MATCH(851, 輔助計算!$G$2:$G$801, 0)+1))&lt;100, IF(INDEX(ERP資料!$G:$G, (MATCH(851, 輔助計算!$G$2:$G$801, 0)+1))&lt;=31,3,IF(INDEX(ERP資料!$G:$G, (MATCH(851, 輔助計算!$G$2:$G$801, 0)+1))&lt;=46.5,2,1)), IF(INDEX(ERP資料!$G:$G, (MATCH(851, 輔助計算!$G$2:$G$801, 0)+1))&lt;=790,3,IF(INDEX(ERP資料!$G:$G, (MATCH(851, 輔助計算!$G$2:$G$801, 0)+1))&lt;=1181,2,1))))=0,"",IF(MOD(INDEX(輔助計算!$D:$D, (MATCH(851, 輔助計算!$G$2:$G$801, 0)+1)),IF(INDEX(ERP資料!$G:$G, (MATCH(851, 輔助計算!$G$2:$G$801, 0)+1))&lt;100, IF(INDEX(ERP資料!$G:$G, (MATCH(851, 輔助計算!$G$2:$G$801, 0)+1))&lt;=31,3,IF(INDEX(ERP資料!$G:$G, (MATCH(851, 輔助計算!$G$2:$G$801, 0)+1))&lt;=46.5,2,1)), IF(INDEX(ERP資料!$G:$G, (MATCH(851, 輔助計算!$G$2:$G$801, 0)+1))&lt;=790,3,IF(INDEX(ERP資料!$G:$G, (MATCH(851, 輔助計算!$G$2:$G$801, 0)+1))&lt;=1181,2,1))))=1,TEXT(INDEX(ERP資料!$G:$G, (MATCH(851, 輔助計算!$G$2:$G$801, 0)+1)),"0.##"),IF(MOD(INDEX(輔助計算!$D:$D, (MATCH(851, 輔助計算!$G$2:$G$801, 0)+1)),IF(INDEX(ERP資料!$G:$G, (MATCH(851, 輔助計算!$G$2:$G$801, 0)+1))&lt;100, IF(INDEX(ERP資料!$G:$G, (MATCH(851, 輔助計算!$G$2:$G$801, 0)+1))&lt;=31,3,IF(INDEX(ERP資料!$G:$G, (MATCH(851, 輔助計算!$G$2:$G$801, 0)+1))&lt;=46.5,2,1)), IF(INDEX(ERP資料!$G:$G, (MATCH(851, 輔助計算!$G$2:$G$801, 0)+1))&lt;=790,3,IF(INDEX(ERP資料!$G:$G, (MATCH(851, 輔助計算!$G$2:$G$801, 0)+1))&lt;=1181,2,1))))=2,TEXT(INDEX(ERP資料!$G:$G, (MATCH(851, 輔助計算!$G$2:$G$801, 0)+1)),"0.##")&amp;"+"&amp;TEXT(INDEX(ERP資料!$G:$G, (MATCH(851, 輔助計算!$G$2:$G$801, 0)+1)),"0.##"),TEXT(INDEX(ERP資料!$G:$G, (MATCH(851, 輔助計算!$G$2:$G$801, 0)+1)),"0.##")&amp;"+"&amp;TEXT(INDEX(ERP資料!$G:$G, (MATCH(851, 輔助計算!$G$2:$G$801, 0)+1)),"0.##")&amp;"+"&amp;TEXT(INDEX(ERP資料!$G:$G, (MATCH(851, 輔助計算!$G$2:$G$801, 0)+1)),"0.##"))))&amp;"-1")), ""), "")</f>
        <v/>
      </c>
      <c r="K852" s="16" t="n"/>
      <c r="L852" s="14">
        <f>IFERROR(IF(AND(IFERROR(INDEX(ERP資料!$A:$A, (MATCH(851, 輔助計算!$G$2:$G$801, 0)+1)), "")&lt;&gt;"", IFERROR(INDEX(ERP資料!$A:$A, (MATCH(851, 輔助計算!$G$2:$G$801, 0)+1)), "")&lt;&gt;IFERROR(INDEX(ERP資料!$A:$A, MATCH(850, 輔助計算!$G$2:$G$801, 0)+1), "")), INDEX(ERP資料!$B:$B, (MATCH(851, 輔助計算!$G$2:$G$801, 0)+1)), ""), "")</f>
        <v/>
      </c>
      <c r="M852" s="17" t="n"/>
    </row>
    <row r="853">
      <c r="A853" s="10">
        <f>IFERROR(IF(AND(IFERROR(INDEX(ERP資料!$A:$A, (MATCH(852, 輔助計算!$G$2:$G$801, 0)+1)), "")&lt;&gt;"", IFERROR(INDEX(ERP資料!$A:$A, (MATCH(852, 輔助計算!$G$2:$G$801, 0)+1)), "")&lt;&gt;IFERROR(INDEX(ERP資料!$A:$A, MATCH(851, 輔助計算!$G$2:$G$801, 0)+1), "")), IFERROR(INDEX(ERP資料!$A:$A, (MATCH(852, 輔助計算!$G$2:$G$801, 0)+1)), ""), ""), "")</f>
        <v/>
      </c>
      <c r="B853" s="10">
        <f>IFERROR(IF(AND(IFERROR(INDEX(ERP資料!$A:$A, (MATCH(852, 輔助計算!$G$2:$G$801, 0)+1)), "")&lt;&gt;"", IFERROR(INDEX(ERP資料!$A:$A, (MATCH(852, 輔助計算!$G$2:$G$801, 0)+1)), "")&lt;&gt;IFERROR(INDEX(ERP資料!$A:$A, MATCH(851, 輔助計算!$G$2:$G$801, 0)+1), "")), INDEX(ERP資料!$S:$S, (MATCH(852, 輔助計算!$G$2:$G$801, 0)+1)), ""), "")</f>
        <v/>
      </c>
      <c r="C853" s="19">
        <f>IFERROR(IF(AND(IFERROR(INDEX(ERP資料!$A:$A, (MATCH(852, 輔助計算!$G$2:$G$801, 0)+1)), "")&lt;&gt;"", IFERROR(INDEX(ERP資料!$A:$A, (MATCH(852, 輔助計算!$G$2:$G$801, 0)+1)), "")&lt;&gt;IFERROR(INDEX(ERP資料!$A:$A, MATCH(851, 輔助計算!$G$2:$G$801, 0)+1), "")), IFERROR(VLOOKUP(LEFT(INDEX(ERP資料!$S:$S, (MATCH(852, 輔助計算!$G$2:$G$801, 0)+1)), 4), 紙管對照表!$A:$C, 3, FALSE), ""), ""), "")</f>
        <v/>
      </c>
      <c r="D853" s="16" t="n"/>
      <c r="E853" s="10">
        <f>IFERROR(IF(INDEX(ERP資料!$H:$H, (MATCH(852, 輔助計算!$G$2:$G$801, 0)+1))="","",INDEX(ERP資料!$H:$H, (MATCH(852, 輔助計算!$G$2:$G$801, 0)+1))), "")</f>
        <v/>
      </c>
      <c r="F853" s="10">
        <f>IFERROR(IF(INDEX(ERP資料!$E:$E, (MATCH(852, 輔助計算!$G$2:$G$801, 0)+1))="","",TRIM(INDEX(ERP資料!$E:$E, (MATCH(852, 輔助計算!$G$2:$G$801, 0)+1)))), "")</f>
        <v/>
      </c>
      <c r="G853" s="10">
        <f>IFERROR(IF(INDEX(ERP資料!$F:$F, (MATCH(852, 輔助計算!$G$2:$G$801, 0)+1))="","",INDEX(ERP資料!$F:$F, (MATCH(852, 輔助計算!$G$2:$G$801, 0)+1))), "")</f>
        <v/>
      </c>
      <c r="H853" s="10">
        <f>IFERROR(IF(INDEX(ERP資料!$G:$G, (MATCH(852, 輔助計算!$G$2:$G$801, 0)+1))="","",INDEX(ERP資料!$G:$G, (MATCH(852, 輔助計算!$G$2:$G$801, 0)+1))), "")</f>
        <v/>
      </c>
      <c r="I853" s="15">
        <f>IFERROR(INDEX(輔助計算!$D:$D, (MATCH(852, 輔助計算!$G$2:$G$801, 0)+1)), "")</f>
        <v/>
      </c>
      <c r="J853" s="15">
        <f>IFERROR(IF(AND(INDEX(輔助計算!$D:$D, (MATCH(852, 輔助計算!$G$2:$G$801, 0)+1))&lt;&gt;"", INDEX(ERP資料!$G:$G, (MATCH(852, 輔助計算!$G$2:$G$801, 0)+1))&lt;&gt;""), TRIM(IF(INT(INDEX(輔助計算!$D:$D, (MATCH(852, 輔助計算!$G$2:$G$801, 0)+1))/IF(INDEX(ERP資料!$G:$G, (MATCH(852, 輔助計算!$G$2:$G$801, 0)+1))&lt;100, IF(INDEX(ERP資料!$G:$G, (MATCH(852, 輔助計算!$G$2:$G$801, 0)+1))&lt;=31,3,IF(INDEX(ERP資料!$G:$G, (MATCH(852, 輔助計算!$G$2:$G$801, 0)+1))&lt;=46.5,2,1)), IF(INDEX(ERP資料!$G:$G, (MATCH(852, 輔助計算!$G$2:$G$801, 0)+1))&lt;=790,3,IF(INDEX(ERP資料!$G:$G, (MATCH(852, 輔助計算!$G$2:$G$801, 0)+1))&lt;=1181,2,1))))&gt;0, IF(IF(INDEX(ERP資料!$G:$G, (MATCH(852, 輔助計算!$G$2:$G$801, 0)+1))&lt;100, IF(INDEX(ERP資料!$G:$G, (MATCH(852, 輔助計算!$G$2:$G$801, 0)+1))&lt;=31,3,IF(INDEX(ERP資料!$G:$G, (MATCH(852, 輔助計算!$G$2:$G$801, 0)+1))&lt;=46.5,2,1)), IF(INDEX(ERP資料!$G:$G, (MATCH(852, 輔助計算!$G$2:$G$801, 0)+1))&lt;=790,3,IF(INDEX(ERP資料!$G:$G, (MATCH(852, 輔助計算!$G$2:$G$801, 0)+1))&lt;=1181,2,1)))=1,TEXT(INDEX(ERP資料!$G:$G, (MATCH(852, 輔助計算!$G$2:$G$801, 0)+1)),"0.##"),IF(IF(INDEX(ERP資料!$G:$G, (MATCH(852, 輔助計算!$G$2:$G$801, 0)+1))&lt;100, IF(INDEX(ERP資料!$G:$G, (MATCH(852, 輔助計算!$G$2:$G$801, 0)+1))&lt;=31,3,IF(INDEX(ERP資料!$G:$G, (MATCH(852, 輔助計算!$G$2:$G$801, 0)+1))&lt;=46.5,2,1)), IF(INDEX(ERP資料!$G:$G, (MATCH(852, 輔助計算!$G$2:$G$801, 0)+1))&lt;=790,3,IF(INDEX(ERP資料!$G:$G, (MATCH(852, 輔助計算!$G$2:$G$801, 0)+1))&lt;=1181,2,1)))=2,TEXT(INDEX(ERP資料!$G:$G, (MATCH(852, 輔助計算!$G$2:$G$801, 0)+1)),"0.##")&amp;"+"&amp;TEXT(INDEX(ERP資料!$G:$G, (MATCH(852, 輔助計算!$G$2:$G$801, 0)+1)),"0.##"),TEXT(INDEX(ERP資料!$G:$G, (MATCH(852, 輔助計算!$G$2:$G$801, 0)+1)),"0.##")&amp;"+"&amp;TEXT(INDEX(ERP資料!$G:$G, (MATCH(852, 輔助計算!$G$2:$G$801, 0)+1)),"0.##")&amp;"+"&amp;TEXT(INDEX(ERP資料!$G:$G, (MATCH(852, 輔助計算!$G$2:$G$801, 0)+1)),"0.##")))&amp;"-"&amp;INT(INDEX(輔助計算!$D:$D, (MATCH(852, 輔助計算!$G$2:$G$801, 0)+1))/IF(INDEX(ERP資料!$G:$G, (MATCH(852, 輔助計算!$G$2:$G$801, 0)+1))&lt;100, IF(INDEX(ERP資料!$G:$G, (MATCH(852, 輔助計算!$G$2:$G$801, 0)+1))&lt;=31,3,IF(INDEX(ERP資料!$G:$G, (MATCH(852, 輔助計算!$G$2:$G$801, 0)+1))&lt;=46.5,2,1)), IF(INDEX(ERP資料!$G:$G, (MATCH(852, 輔助計算!$G$2:$G$801, 0)+1))&lt;=790,3,IF(INDEX(ERP資料!$G:$G, (MATCH(852, 輔助計算!$G$2:$G$801, 0)+1))&lt;=1181,2,1)))), "")&amp;IF(AND(IF(INT(INDEX(輔助計算!$D:$D, (MATCH(852, 輔助計算!$G$2:$G$801, 0)+1))/IF(INDEX(ERP資料!$G:$G, (MATCH(852, 輔助計算!$G$2:$G$801, 0)+1))&lt;100, IF(INDEX(ERP資料!$G:$G, (MATCH(852, 輔助計算!$G$2:$G$801, 0)+1))&lt;=31,3,IF(INDEX(ERP資料!$G:$G, (MATCH(852, 輔助計算!$G$2:$G$801, 0)+1))&lt;=46.5,2,1)), IF(INDEX(ERP資料!$G:$G, (MATCH(852, 輔助計算!$G$2:$G$801, 0)+1))&lt;=790,3,IF(INDEX(ERP資料!$G:$G, (MATCH(852, 輔助計算!$G$2:$G$801, 0)+1))&lt;=1181,2,1))))&gt;0, IF(IF(INDEX(ERP資料!$G:$G, (MATCH(852, 輔助計算!$G$2:$G$801, 0)+1))&lt;100, IF(INDEX(ERP資料!$G:$G, (MATCH(852, 輔助計算!$G$2:$G$801, 0)+1))&lt;=31,3,IF(INDEX(ERP資料!$G:$G, (MATCH(852, 輔助計算!$G$2:$G$801, 0)+1))&lt;=46.5,2,1)), IF(INDEX(ERP資料!$G:$G, (MATCH(852, 輔助計算!$G$2:$G$801, 0)+1))&lt;=790,3,IF(INDEX(ERP資料!$G:$G, (MATCH(852, 輔助計算!$G$2:$G$801, 0)+1))&lt;=1181,2,1)))=1,TEXT(INDEX(ERP資料!$G:$G, (MATCH(852, 輔助計算!$G$2:$G$801, 0)+1)),"0.##"),IF(IF(INDEX(ERP資料!$G:$G, (MATCH(852, 輔助計算!$G$2:$G$801, 0)+1))&lt;100, IF(INDEX(ERP資料!$G:$G, (MATCH(852, 輔助計算!$G$2:$G$801, 0)+1))&lt;=31,3,IF(INDEX(ERP資料!$G:$G, (MATCH(852, 輔助計算!$G$2:$G$801, 0)+1))&lt;=46.5,2,1)), IF(INDEX(ERP資料!$G:$G, (MATCH(852, 輔助計算!$G$2:$G$801, 0)+1))&lt;=790,3,IF(INDEX(ERP資料!$G:$G, (MATCH(852, 輔助計算!$G$2:$G$801, 0)+1))&lt;=1181,2,1)))=2,TEXT(INDEX(ERP資料!$G:$G, (MATCH(852, 輔助計算!$G$2:$G$801, 0)+1)),"0.##")&amp;"+"&amp;TEXT(INDEX(ERP資料!$G:$G, (MATCH(852, 輔助計算!$G$2:$G$801, 0)+1)),"0.##"),TEXT(INDEX(ERP資料!$G:$G, (MATCH(852, 輔助計算!$G$2:$G$801, 0)+1)),"0.##")&amp;"+"&amp;TEXT(INDEX(ERP資料!$G:$G, (MATCH(852, 輔助計算!$G$2:$G$801, 0)+1)),"0.##")&amp;"+"&amp;TEXT(INDEX(ERP資料!$G:$G, (MATCH(852, 輔助計算!$G$2:$G$801, 0)+1)),"0.##")))&amp;"-"&amp;INT(INDEX(輔助計算!$D:$D, (MATCH(852, 輔助計算!$G$2:$G$801, 0)+1))/IF(INDEX(ERP資料!$G:$G, (MATCH(852, 輔助計算!$G$2:$G$801, 0)+1))&lt;100, IF(INDEX(ERP資料!$G:$G, (MATCH(852, 輔助計算!$G$2:$G$801, 0)+1))&lt;=31,3,IF(INDEX(ERP資料!$G:$G, (MATCH(852, 輔助計算!$G$2:$G$801, 0)+1))&lt;=46.5,2,1)), IF(INDEX(ERP資料!$G:$G, (MATCH(852, 輔助計算!$G$2:$G$801, 0)+1))&lt;=790,3,IF(INDEX(ERP資料!$G:$G, (MATCH(852, 輔助計算!$G$2:$G$801, 0)+1))&lt;=1181,2,1)))), "")&lt;&gt;"",IF(MOD(INDEX(輔助計算!$D:$D, (MATCH(852, 輔助計算!$G$2:$G$801, 0)+1)),IF(INDEX(ERP資料!$G:$G, (MATCH(852, 輔助計算!$G$2:$G$801, 0)+1))&lt;100, IF(INDEX(ERP資料!$G:$G, (MATCH(852, 輔助計算!$G$2:$G$801, 0)+1))&lt;=31,3,IF(INDEX(ERP資料!$G:$G, (MATCH(852, 輔助計算!$G$2:$G$801, 0)+1))&lt;=46.5,2,1)), IF(INDEX(ERP資料!$G:$G, (MATCH(852, 輔助計算!$G$2:$G$801, 0)+1))&lt;=790,3,IF(INDEX(ERP資料!$G:$G, (MATCH(852, 輔助計算!$G$2:$G$801, 0)+1))&lt;=1181,2,1))))=0,"",IF(MOD(INDEX(輔助計算!$D:$D, (MATCH(852, 輔助計算!$G$2:$G$801, 0)+1)),IF(INDEX(ERP資料!$G:$G, (MATCH(852, 輔助計算!$G$2:$G$801, 0)+1))&lt;100, IF(INDEX(ERP資料!$G:$G, (MATCH(852, 輔助計算!$G$2:$G$801, 0)+1))&lt;=31,3,IF(INDEX(ERP資料!$G:$G, (MATCH(852, 輔助計算!$G$2:$G$801, 0)+1))&lt;=46.5,2,1)), IF(INDEX(ERP資料!$G:$G, (MATCH(852, 輔助計算!$G$2:$G$801, 0)+1))&lt;=790,3,IF(INDEX(ERP資料!$G:$G, (MATCH(852, 輔助計算!$G$2:$G$801, 0)+1))&lt;=1181,2,1))))=0,"",IF(MOD(INDEX(輔助計算!$D:$D, (MATCH(852, 輔助計算!$G$2:$G$801, 0)+1)),IF(INDEX(ERP資料!$G:$G, (MATCH(852, 輔助計算!$G$2:$G$801, 0)+1))&lt;100, IF(INDEX(ERP資料!$G:$G, (MATCH(852, 輔助計算!$G$2:$G$801, 0)+1))&lt;=31,3,IF(INDEX(ERP資料!$G:$G, (MATCH(852, 輔助計算!$G$2:$G$801, 0)+1))&lt;=46.5,2,1)), IF(INDEX(ERP資料!$G:$G, (MATCH(852, 輔助計算!$G$2:$G$801, 0)+1))&lt;=790,3,IF(INDEX(ERP資料!$G:$G, (MATCH(852, 輔助計算!$G$2:$G$801, 0)+1))&lt;=1181,2,1))))=1,TEXT(INDEX(ERP資料!$G:$G, (MATCH(852, 輔助計算!$G$2:$G$801, 0)+1)),"0.##"),IF(MOD(INDEX(輔助計算!$D:$D, (MATCH(852, 輔助計算!$G$2:$G$801, 0)+1)),IF(INDEX(ERP資料!$G:$G, (MATCH(852, 輔助計算!$G$2:$G$801, 0)+1))&lt;100, IF(INDEX(ERP資料!$G:$G, (MATCH(852, 輔助計算!$G$2:$G$801, 0)+1))&lt;=31,3,IF(INDEX(ERP資料!$G:$G, (MATCH(852, 輔助計算!$G$2:$G$801, 0)+1))&lt;=46.5,2,1)), IF(INDEX(ERP資料!$G:$G, (MATCH(852, 輔助計算!$G$2:$G$801, 0)+1))&lt;=790,3,IF(INDEX(ERP資料!$G:$G, (MATCH(852, 輔助計算!$G$2:$G$801, 0)+1))&lt;=1181,2,1))))=2,TEXT(INDEX(ERP資料!$G:$G, (MATCH(852, 輔助計算!$G$2:$G$801, 0)+1)),"0.##")&amp;"+"&amp;TEXT(INDEX(ERP資料!$G:$G, (MATCH(852, 輔助計算!$G$2:$G$801, 0)+1)),"0.##"),TEXT(INDEX(ERP資料!$G:$G, (MATCH(852, 輔助計算!$G$2:$G$801, 0)+1)),"0.##")&amp;"+"&amp;TEXT(INDEX(ERP資料!$G:$G, (MATCH(852, 輔助計算!$G$2:$G$801, 0)+1)),"0.##")&amp;"+"&amp;TEXT(INDEX(ERP資料!$G:$G, (MATCH(852, 輔助計算!$G$2:$G$801, 0)+1)),"0.##"))))&amp;"-1")&lt;&gt;""),"  ","")&amp;IF(MOD(INDEX(輔助計算!$D:$D, (MATCH(852, 輔助計算!$G$2:$G$801, 0)+1)),IF(INDEX(ERP資料!$G:$G, (MATCH(852, 輔助計算!$G$2:$G$801, 0)+1))&lt;100, IF(INDEX(ERP資料!$G:$G, (MATCH(852, 輔助計算!$G$2:$G$801, 0)+1))&lt;=31,3,IF(INDEX(ERP資料!$G:$G, (MATCH(852, 輔助計算!$G$2:$G$801, 0)+1))&lt;=46.5,2,1)), IF(INDEX(ERP資料!$G:$G, (MATCH(852, 輔助計算!$G$2:$G$801, 0)+1))&lt;=790,3,IF(INDEX(ERP資料!$G:$G, (MATCH(852, 輔助計算!$G$2:$G$801, 0)+1))&lt;=1181,2,1))))=0,"",IF(MOD(INDEX(輔助計算!$D:$D, (MATCH(852, 輔助計算!$G$2:$G$801, 0)+1)),IF(INDEX(ERP資料!$G:$G, (MATCH(852, 輔助計算!$G$2:$G$801, 0)+1))&lt;100, IF(INDEX(ERP資料!$G:$G, (MATCH(852, 輔助計算!$G$2:$G$801, 0)+1))&lt;=31,3,IF(INDEX(ERP資料!$G:$G, (MATCH(852, 輔助計算!$G$2:$G$801, 0)+1))&lt;=46.5,2,1)), IF(INDEX(ERP資料!$G:$G, (MATCH(852, 輔助計算!$G$2:$G$801, 0)+1))&lt;=790,3,IF(INDEX(ERP資料!$G:$G, (MATCH(852, 輔助計算!$G$2:$G$801, 0)+1))&lt;=1181,2,1))))=0,"",IF(MOD(INDEX(輔助計算!$D:$D, (MATCH(852, 輔助計算!$G$2:$G$801, 0)+1)),IF(INDEX(ERP資料!$G:$G, (MATCH(852, 輔助計算!$G$2:$G$801, 0)+1))&lt;100, IF(INDEX(ERP資料!$G:$G, (MATCH(852, 輔助計算!$G$2:$G$801, 0)+1))&lt;=31,3,IF(INDEX(ERP資料!$G:$G, (MATCH(852, 輔助計算!$G$2:$G$801, 0)+1))&lt;=46.5,2,1)), IF(INDEX(ERP資料!$G:$G, (MATCH(852, 輔助計算!$G$2:$G$801, 0)+1))&lt;=790,3,IF(INDEX(ERP資料!$G:$G, (MATCH(852, 輔助計算!$G$2:$G$801, 0)+1))&lt;=1181,2,1))))=1,TEXT(INDEX(ERP資料!$G:$G, (MATCH(852, 輔助計算!$G$2:$G$801, 0)+1)),"0.##"),IF(MOD(INDEX(輔助計算!$D:$D, (MATCH(852, 輔助計算!$G$2:$G$801, 0)+1)),IF(INDEX(ERP資料!$G:$G, (MATCH(852, 輔助計算!$G$2:$G$801, 0)+1))&lt;100, IF(INDEX(ERP資料!$G:$G, (MATCH(852, 輔助計算!$G$2:$G$801, 0)+1))&lt;=31,3,IF(INDEX(ERP資料!$G:$G, (MATCH(852, 輔助計算!$G$2:$G$801, 0)+1))&lt;=46.5,2,1)), IF(INDEX(ERP資料!$G:$G, (MATCH(852, 輔助計算!$G$2:$G$801, 0)+1))&lt;=790,3,IF(INDEX(ERP資料!$G:$G, (MATCH(852, 輔助計算!$G$2:$G$801, 0)+1))&lt;=1181,2,1))))=2,TEXT(INDEX(ERP資料!$G:$G, (MATCH(852, 輔助計算!$G$2:$G$801, 0)+1)),"0.##")&amp;"+"&amp;TEXT(INDEX(ERP資料!$G:$G, (MATCH(852, 輔助計算!$G$2:$G$801, 0)+1)),"0.##"),TEXT(INDEX(ERP資料!$G:$G, (MATCH(852, 輔助計算!$G$2:$G$801, 0)+1)),"0.##")&amp;"+"&amp;TEXT(INDEX(ERP資料!$G:$G, (MATCH(852, 輔助計算!$G$2:$G$801, 0)+1)),"0.##")&amp;"+"&amp;TEXT(INDEX(ERP資料!$G:$G, (MATCH(852, 輔助計算!$G$2:$G$801, 0)+1)),"0.##"))))&amp;"-1")), ""), "")</f>
        <v/>
      </c>
      <c r="K853" s="16" t="n"/>
      <c r="L853" s="14">
        <f>IFERROR(IF(AND(IFERROR(INDEX(ERP資料!$A:$A, (MATCH(852, 輔助計算!$G$2:$G$801, 0)+1)), "")&lt;&gt;"", IFERROR(INDEX(ERP資料!$A:$A, (MATCH(852, 輔助計算!$G$2:$G$801, 0)+1)), "")&lt;&gt;IFERROR(INDEX(ERP資料!$A:$A, MATCH(851, 輔助計算!$G$2:$G$801, 0)+1), "")), INDEX(ERP資料!$B:$B, (MATCH(852, 輔助計算!$G$2:$G$801, 0)+1)), ""), "")</f>
        <v/>
      </c>
      <c r="M853" s="17" t="n"/>
    </row>
    <row r="854">
      <c r="A854" s="10">
        <f>IFERROR(IF(AND(IFERROR(INDEX(ERP資料!$A:$A, (MATCH(853, 輔助計算!$G$2:$G$801, 0)+1)), "")&lt;&gt;"", IFERROR(INDEX(ERP資料!$A:$A, (MATCH(853, 輔助計算!$G$2:$G$801, 0)+1)), "")&lt;&gt;IFERROR(INDEX(ERP資料!$A:$A, MATCH(852, 輔助計算!$G$2:$G$801, 0)+1), "")), IFERROR(INDEX(ERP資料!$A:$A, (MATCH(853, 輔助計算!$G$2:$G$801, 0)+1)), ""), ""), "")</f>
        <v/>
      </c>
      <c r="B854" s="10">
        <f>IFERROR(IF(AND(IFERROR(INDEX(ERP資料!$A:$A, (MATCH(853, 輔助計算!$G$2:$G$801, 0)+1)), "")&lt;&gt;"", IFERROR(INDEX(ERP資料!$A:$A, (MATCH(853, 輔助計算!$G$2:$G$801, 0)+1)), "")&lt;&gt;IFERROR(INDEX(ERP資料!$A:$A, MATCH(852, 輔助計算!$G$2:$G$801, 0)+1), "")), INDEX(ERP資料!$S:$S, (MATCH(853, 輔助計算!$G$2:$G$801, 0)+1)), ""), "")</f>
        <v/>
      </c>
      <c r="C854" s="19">
        <f>IFERROR(IF(AND(IFERROR(INDEX(ERP資料!$A:$A, (MATCH(853, 輔助計算!$G$2:$G$801, 0)+1)), "")&lt;&gt;"", IFERROR(INDEX(ERP資料!$A:$A, (MATCH(853, 輔助計算!$G$2:$G$801, 0)+1)), "")&lt;&gt;IFERROR(INDEX(ERP資料!$A:$A, MATCH(852, 輔助計算!$G$2:$G$801, 0)+1), "")), IFERROR(VLOOKUP(LEFT(INDEX(ERP資料!$S:$S, (MATCH(853, 輔助計算!$G$2:$G$801, 0)+1)), 4), 紙管對照表!$A:$C, 3, FALSE), ""), ""), "")</f>
        <v/>
      </c>
      <c r="D854" s="16" t="n"/>
      <c r="E854" s="10">
        <f>IFERROR(IF(INDEX(ERP資料!$H:$H, (MATCH(853, 輔助計算!$G$2:$G$801, 0)+1))="","",INDEX(ERP資料!$H:$H, (MATCH(853, 輔助計算!$G$2:$G$801, 0)+1))), "")</f>
        <v/>
      </c>
      <c r="F854" s="10">
        <f>IFERROR(IF(INDEX(ERP資料!$E:$E, (MATCH(853, 輔助計算!$G$2:$G$801, 0)+1))="","",TRIM(INDEX(ERP資料!$E:$E, (MATCH(853, 輔助計算!$G$2:$G$801, 0)+1)))), "")</f>
        <v/>
      </c>
      <c r="G854" s="10">
        <f>IFERROR(IF(INDEX(ERP資料!$F:$F, (MATCH(853, 輔助計算!$G$2:$G$801, 0)+1))="","",INDEX(ERP資料!$F:$F, (MATCH(853, 輔助計算!$G$2:$G$801, 0)+1))), "")</f>
        <v/>
      </c>
      <c r="H854" s="10">
        <f>IFERROR(IF(INDEX(ERP資料!$G:$G, (MATCH(853, 輔助計算!$G$2:$G$801, 0)+1))="","",INDEX(ERP資料!$G:$G, (MATCH(853, 輔助計算!$G$2:$G$801, 0)+1))), "")</f>
        <v/>
      </c>
      <c r="I854" s="15">
        <f>IFERROR(INDEX(輔助計算!$D:$D, (MATCH(853, 輔助計算!$G$2:$G$801, 0)+1)), "")</f>
        <v/>
      </c>
      <c r="J854" s="15">
        <f>IFERROR(IF(AND(INDEX(輔助計算!$D:$D, (MATCH(853, 輔助計算!$G$2:$G$801, 0)+1))&lt;&gt;"", INDEX(ERP資料!$G:$G, (MATCH(853, 輔助計算!$G$2:$G$801, 0)+1))&lt;&gt;""), TRIM(IF(INT(INDEX(輔助計算!$D:$D, (MATCH(853, 輔助計算!$G$2:$G$801, 0)+1))/IF(INDEX(ERP資料!$G:$G, (MATCH(853, 輔助計算!$G$2:$G$801, 0)+1))&lt;100, IF(INDEX(ERP資料!$G:$G, (MATCH(853, 輔助計算!$G$2:$G$801, 0)+1))&lt;=31,3,IF(INDEX(ERP資料!$G:$G, (MATCH(853, 輔助計算!$G$2:$G$801, 0)+1))&lt;=46.5,2,1)), IF(INDEX(ERP資料!$G:$G, (MATCH(853, 輔助計算!$G$2:$G$801, 0)+1))&lt;=790,3,IF(INDEX(ERP資料!$G:$G, (MATCH(853, 輔助計算!$G$2:$G$801, 0)+1))&lt;=1181,2,1))))&gt;0, IF(IF(INDEX(ERP資料!$G:$G, (MATCH(853, 輔助計算!$G$2:$G$801, 0)+1))&lt;100, IF(INDEX(ERP資料!$G:$G, (MATCH(853, 輔助計算!$G$2:$G$801, 0)+1))&lt;=31,3,IF(INDEX(ERP資料!$G:$G, (MATCH(853, 輔助計算!$G$2:$G$801, 0)+1))&lt;=46.5,2,1)), IF(INDEX(ERP資料!$G:$G, (MATCH(853, 輔助計算!$G$2:$G$801, 0)+1))&lt;=790,3,IF(INDEX(ERP資料!$G:$G, (MATCH(853, 輔助計算!$G$2:$G$801, 0)+1))&lt;=1181,2,1)))=1,TEXT(INDEX(ERP資料!$G:$G, (MATCH(853, 輔助計算!$G$2:$G$801, 0)+1)),"0.##"),IF(IF(INDEX(ERP資料!$G:$G, (MATCH(853, 輔助計算!$G$2:$G$801, 0)+1))&lt;100, IF(INDEX(ERP資料!$G:$G, (MATCH(853, 輔助計算!$G$2:$G$801, 0)+1))&lt;=31,3,IF(INDEX(ERP資料!$G:$G, (MATCH(853, 輔助計算!$G$2:$G$801, 0)+1))&lt;=46.5,2,1)), IF(INDEX(ERP資料!$G:$G, (MATCH(853, 輔助計算!$G$2:$G$801, 0)+1))&lt;=790,3,IF(INDEX(ERP資料!$G:$G, (MATCH(853, 輔助計算!$G$2:$G$801, 0)+1))&lt;=1181,2,1)))=2,TEXT(INDEX(ERP資料!$G:$G, (MATCH(853, 輔助計算!$G$2:$G$801, 0)+1)),"0.##")&amp;"+"&amp;TEXT(INDEX(ERP資料!$G:$G, (MATCH(853, 輔助計算!$G$2:$G$801, 0)+1)),"0.##"),TEXT(INDEX(ERP資料!$G:$G, (MATCH(853, 輔助計算!$G$2:$G$801, 0)+1)),"0.##")&amp;"+"&amp;TEXT(INDEX(ERP資料!$G:$G, (MATCH(853, 輔助計算!$G$2:$G$801, 0)+1)),"0.##")&amp;"+"&amp;TEXT(INDEX(ERP資料!$G:$G, (MATCH(853, 輔助計算!$G$2:$G$801, 0)+1)),"0.##")))&amp;"-"&amp;INT(INDEX(輔助計算!$D:$D, (MATCH(853, 輔助計算!$G$2:$G$801, 0)+1))/IF(INDEX(ERP資料!$G:$G, (MATCH(853, 輔助計算!$G$2:$G$801, 0)+1))&lt;100, IF(INDEX(ERP資料!$G:$G, (MATCH(853, 輔助計算!$G$2:$G$801, 0)+1))&lt;=31,3,IF(INDEX(ERP資料!$G:$G, (MATCH(853, 輔助計算!$G$2:$G$801, 0)+1))&lt;=46.5,2,1)), IF(INDEX(ERP資料!$G:$G, (MATCH(853, 輔助計算!$G$2:$G$801, 0)+1))&lt;=790,3,IF(INDEX(ERP資料!$G:$G, (MATCH(853, 輔助計算!$G$2:$G$801, 0)+1))&lt;=1181,2,1)))), "")&amp;IF(AND(IF(INT(INDEX(輔助計算!$D:$D, (MATCH(853, 輔助計算!$G$2:$G$801, 0)+1))/IF(INDEX(ERP資料!$G:$G, (MATCH(853, 輔助計算!$G$2:$G$801, 0)+1))&lt;100, IF(INDEX(ERP資料!$G:$G, (MATCH(853, 輔助計算!$G$2:$G$801, 0)+1))&lt;=31,3,IF(INDEX(ERP資料!$G:$G, (MATCH(853, 輔助計算!$G$2:$G$801, 0)+1))&lt;=46.5,2,1)), IF(INDEX(ERP資料!$G:$G, (MATCH(853, 輔助計算!$G$2:$G$801, 0)+1))&lt;=790,3,IF(INDEX(ERP資料!$G:$G, (MATCH(853, 輔助計算!$G$2:$G$801, 0)+1))&lt;=1181,2,1))))&gt;0, IF(IF(INDEX(ERP資料!$G:$G, (MATCH(853, 輔助計算!$G$2:$G$801, 0)+1))&lt;100, IF(INDEX(ERP資料!$G:$G, (MATCH(853, 輔助計算!$G$2:$G$801, 0)+1))&lt;=31,3,IF(INDEX(ERP資料!$G:$G, (MATCH(853, 輔助計算!$G$2:$G$801, 0)+1))&lt;=46.5,2,1)), IF(INDEX(ERP資料!$G:$G, (MATCH(853, 輔助計算!$G$2:$G$801, 0)+1))&lt;=790,3,IF(INDEX(ERP資料!$G:$G, (MATCH(853, 輔助計算!$G$2:$G$801, 0)+1))&lt;=1181,2,1)))=1,TEXT(INDEX(ERP資料!$G:$G, (MATCH(853, 輔助計算!$G$2:$G$801, 0)+1)),"0.##"),IF(IF(INDEX(ERP資料!$G:$G, (MATCH(853, 輔助計算!$G$2:$G$801, 0)+1))&lt;100, IF(INDEX(ERP資料!$G:$G, (MATCH(853, 輔助計算!$G$2:$G$801, 0)+1))&lt;=31,3,IF(INDEX(ERP資料!$G:$G, (MATCH(853, 輔助計算!$G$2:$G$801, 0)+1))&lt;=46.5,2,1)), IF(INDEX(ERP資料!$G:$G, (MATCH(853, 輔助計算!$G$2:$G$801, 0)+1))&lt;=790,3,IF(INDEX(ERP資料!$G:$G, (MATCH(853, 輔助計算!$G$2:$G$801, 0)+1))&lt;=1181,2,1)))=2,TEXT(INDEX(ERP資料!$G:$G, (MATCH(853, 輔助計算!$G$2:$G$801, 0)+1)),"0.##")&amp;"+"&amp;TEXT(INDEX(ERP資料!$G:$G, (MATCH(853, 輔助計算!$G$2:$G$801, 0)+1)),"0.##"),TEXT(INDEX(ERP資料!$G:$G, (MATCH(853, 輔助計算!$G$2:$G$801, 0)+1)),"0.##")&amp;"+"&amp;TEXT(INDEX(ERP資料!$G:$G, (MATCH(853, 輔助計算!$G$2:$G$801, 0)+1)),"0.##")&amp;"+"&amp;TEXT(INDEX(ERP資料!$G:$G, (MATCH(853, 輔助計算!$G$2:$G$801, 0)+1)),"0.##")))&amp;"-"&amp;INT(INDEX(輔助計算!$D:$D, (MATCH(853, 輔助計算!$G$2:$G$801, 0)+1))/IF(INDEX(ERP資料!$G:$G, (MATCH(853, 輔助計算!$G$2:$G$801, 0)+1))&lt;100, IF(INDEX(ERP資料!$G:$G, (MATCH(853, 輔助計算!$G$2:$G$801, 0)+1))&lt;=31,3,IF(INDEX(ERP資料!$G:$G, (MATCH(853, 輔助計算!$G$2:$G$801, 0)+1))&lt;=46.5,2,1)), IF(INDEX(ERP資料!$G:$G, (MATCH(853, 輔助計算!$G$2:$G$801, 0)+1))&lt;=790,3,IF(INDEX(ERP資料!$G:$G, (MATCH(853, 輔助計算!$G$2:$G$801, 0)+1))&lt;=1181,2,1)))), "")&lt;&gt;"",IF(MOD(INDEX(輔助計算!$D:$D, (MATCH(853, 輔助計算!$G$2:$G$801, 0)+1)),IF(INDEX(ERP資料!$G:$G, (MATCH(853, 輔助計算!$G$2:$G$801, 0)+1))&lt;100, IF(INDEX(ERP資料!$G:$G, (MATCH(853, 輔助計算!$G$2:$G$801, 0)+1))&lt;=31,3,IF(INDEX(ERP資料!$G:$G, (MATCH(853, 輔助計算!$G$2:$G$801, 0)+1))&lt;=46.5,2,1)), IF(INDEX(ERP資料!$G:$G, (MATCH(853, 輔助計算!$G$2:$G$801, 0)+1))&lt;=790,3,IF(INDEX(ERP資料!$G:$G, (MATCH(853, 輔助計算!$G$2:$G$801, 0)+1))&lt;=1181,2,1))))=0,"",IF(MOD(INDEX(輔助計算!$D:$D, (MATCH(853, 輔助計算!$G$2:$G$801, 0)+1)),IF(INDEX(ERP資料!$G:$G, (MATCH(853, 輔助計算!$G$2:$G$801, 0)+1))&lt;100, IF(INDEX(ERP資料!$G:$G, (MATCH(853, 輔助計算!$G$2:$G$801, 0)+1))&lt;=31,3,IF(INDEX(ERP資料!$G:$G, (MATCH(853, 輔助計算!$G$2:$G$801, 0)+1))&lt;=46.5,2,1)), IF(INDEX(ERP資料!$G:$G, (MATCH(853, 輔助計算!$G$2:$G$801, 0)+1))&lt;=790,3,IF(INDEX(ERP資料!$G:$G, (MATCH(853, 輔助計算!$G$2:$G$801, 0)+1))&lt;=1181,2,1))))=0,"",IF(MOD(INDEX(輔助計算!$D:$D, (MATCH(853, 輔助計算!$G$2:$G$801, 0)+1)),IF(INDEX(ERP資料!$G:$G, (MATCH(853, 輔助計算!$G$2:$G$801, 0)+1))&lt;100, IF(INDEX(ERP資料!$G:$G, (MATCH(853, 輔助計算!$G$2:$G$801, 0)+1))&lt;=31,3,IF(INDEX(ERP資料!$G:$G, (MATCH(853, 輔助計算!$G$2:$G$801, 0)+1))&lt;=46.5,2,1)), IF(INDEX(ERP資料!$G:$G, (MATCH(853, 輔助計算!$G$2:$G$801, 0)+1))&lt;=790,3,IF(INDEX(ERP資料!$G:$G, (MATCH(853, 輔助計算!$G$2:$G$801, 0)+1))&lt;=1181,2,1))))=1,TEXT(INDEX(ERP資料!$G:$G, (MATCH(853, 輔助計算!$G$2:$G$801, 0)+1)),"0.##"),IF(MOD(INDEX(輔助計算!$D:$D, (MATCH(853, 輔助計算!$G$2:$G$801, 0)+1)),IF(INDEX(ERP資料!$G:$G, (MATCH(853, 輔助計算!$G$2:$G$801, 0)+1))&lt;100, IF(INDEX(ERP資料!$G:$G, (MATCH(853, 輔助計算!$G$2:$G$801, 0)+1))&lt;=31,3,IF(INDEX(ERP資料!$G:$G, (MATCH(853, 輔助計算!$G$2:$G$801, 0)+1))&lt;=46.5,2,1)), IF(INDEX(ERP資料!$G:$G, (MATCH(853, 輔助計算!$G$2:$G$801, 0)+1))&lt;=790,3,IF(INDEX(ERP資料!$G:$G, (MATCH(853, 輔助計算!$G$2:$G$801, 0)+1))&lt;=1181,2,1))))=2,TEXT(INDEX(ERP資料!$G:$G, (MATCH(853, 輔助計算!$G$2:$G$801, 0)+1)),"0.##")&amp;"+"&amp;TEXT(INDEX(ERP資料!$G:$G, (MATCH(853, 輔助計算!$G$2:$G$801, 0)+1)),"0.##"),TEXT(INDEX(ERP資料!$G:$G, (MATCH(853, 輔助計算!$G$2:$G$801, 0)+1)),"0.##")&amp;"+"&amp;TEXT(INDEX(ERP資料!$G:$G, (MATCH(853, 輔助計算!$G$2:$G$801, 0)+1)),"0.##")&amp;"+"&amp;TEXT(INDEX(ERP資料!$G:$G, (MATCH(853, 輔助計算!$G$2:$G$801, 0)+1)),"0.##"))))&amp;"-1")&lt;&gt;""),"  ","")&amp;IF(MOD(INDEX(輔助計算!$D:$D, (MATCH(853, 輔助計算!$G$2:$G$801, 0)+1)),IF(INDEX(ERP資料!$G:$G, (MATCH(853, 輔助計算!$G$2:$G$801, 0)+1))&lt;100, IF(INDEX(ERP資料!$G:$G, (MATCH(853, 輔助計算!$G$2:$G$801, 0)+1))&lt;=31,3,IF(INDEX(ERP資料!$G:$G, (MATCH(853, 輔助計算!$G$2:$G$801, 0)+1))&lt;=46.5,2,1)), IF(INDEX(ERP資料!$G:$G, (MATCH(853, 輔助計算!$G$2:$G$801, 0)+1))&lt;=790,3,IF(INDEX(ERP資料!$G:$G, (MATCH(853, 輔助計算!$G$2:$G$801, 0)+1))&lt;=1181,2,1))))=0,"",IF(MOD(INDEX(輔助計算!$D:$D, (MATCH(853, 輔助計算!$G$2:$G$801, 0)+1)),IF(INDEX(ERP資料!$G:$G, (MATCH(853, 輔助計算!$G$2:$G$801, 0)+1))&lt;100, IF(INDEX(ERP資料!$G:$G, (MATCH(853, 輔助計算!$G$2:$G$801, 0)+1))&lt;=31,3,IF(INDEX(ERP資料!$G:$G, (MATCH(853, 輔助計算!$G$2:$G$801, 0)+1))&lt;=46.5,2,1)), IF(INDEX(ERP資料!$G:$G, (MATCH(853, 輔助計算!$G$2:$G$801, 0)+1))&lt;=790,3,IF(INDEX(ERP資料!$G:$G, (MATCH(853, 輔助計算!$G$2:$G$801, 0)+1))&lt;=1181,2,1))))=0,"",IF(MOD(INDEX(輔助計算!$D:$D, (MATCH(853, 輔助計算!$G$2:$G$801, 0)+1)),IF(INDEX(ERP資料!$G:$G, (MATCH(853, 輔助計算!$G$2:$G$801, 0)+1))&lt;100, IF(INDEX(ERP資料!$G:$G, (MATCH(853, 輔助計算!$G$2:$G$801, 0)+1))&lt;=31,3,IF(INDEX(ERP資料!$G:$G, (MATCH(853, 輔助計算!$G$2:$G$801, 0)+1))&lt;=46.5,2,1)), IF(INDEX(ERP資料!$G:$G, (MATCH(853, 輔助計算!$G$2:$G$801, 0)+1))&lt;=790,3,IF(INDEX(ERP資料!$G:$G, (MATCH(853, 輔助計算!$G$2:$G$801, 0)+1))&lt;=1181,2,1))))=1,TEXT(INDEX(ERP資料!$G:$G, (MATCH(853, 輔助計算!$G$2:$G$801, 0)+1)),"0.##"),IF(MOD(INDEX(輔助計算!$D:$D, (MATCH(853, 輔助計算!$G$2:$G$801, 0)+1)),IF(INDEX(ERP資料!$G:$G, (MATCH(853, 輔助計算!$G$2:$G$801, 0)+1))&lt;100, IF(INDEX(ERP資料!$G:$G, (MATCH(853, 輔助計算!$G$2:$G$801, 0)+1))&lt;=31,3,IF(INDEX(ERP資料!$G:$G, (MATCH(853, 輔助計算!$G$2:$G$801, 0)+1))&lt;=46.5,2,1)), IF(INDEX(ERP資料!$G:$G, (MATCH(853, 輔助計算!$G$2:$G$801, 0)+1))&lt;=790,3,IF(INDEX(ERP資料!$G:$G, (MATCH(853, 輔助計算!$G$2:$G$801, 0)+1))&lt;=1181,2,1))))=2,TEXT(INDEX(ERP資料!$G:$G, (MATCH(853, 輔助計算!$G$2:$G$801, 0)+1)),"0.##")&amp;"+"&amp;TEXT(INDEX(ERP資料!$G:$G, (MATCH(853, 輔助計算!$G$2:$G$801, 0)+1)),"0.##"),TEXT(INDEX(ERP資料!$G:$G, (MATCH(853, 輔助計算!$G$2:$G$801, 0)+1)),"0.##")&amp;"+"&amp;TEXT(INDEX(ERP資料!$G:$G, (MATCH(853, 輔助計算!$G$2:$G$801, 0)+1)),"0.##")&amp;"+"&amp;TEXT(INDEX(ERP資料!$G:$G, (MATCH(853, 輔助計算!$G$2:$G$801, 0)+1)),"0.##"))))&amp;"-1")), ""), "")</f>
        <v/>
      </c>
      <c r="K854" s="16" t="n"/>
      <c r="L854" s="14">
        <f>IFERROR(IF(AND(IFERROR(INDEX(ERP資料!$A:$A, (MATCH(853, 輔助計算!$G$2:$G$801, 0)+1)), "")&lt;&gt;"", IFERROR(INDEX(ERP資料!$A:$A, (MATCH(853, 輔助計算!$G$2:$G$801, 0)+1)), "")&lt;&gt;IFERROR(INDEX(ERP資料!$A:$A, MATCH(852, 輔助計算!$G$2:$G$801, 0)+1), "")), INDEX(ERP資料!$B:$B, (MATCH(853, 輔助計算!$G$2:$G$801, 0)+1)), ""), "")</f>
        <v/>
      </c>
      <c r="M854" s="17" t="n"/>
    </row>
    <row r="855">
      <c r="A855" s="10">
        <f>IFERROR(IF(AND(IFERROR(INDEX(ERP資料!$A:$A, (MATCH(854, 輔助計算!$G$2:$G$801, 0)+1)), "")&lt;&gt;"", IFERROR(INDEX(ERP資料!$A:$A, (MATCH(854, 輔助計算!$G$2:$G$801, 0)+1)), "")&lt;&gt;IFERROR(INDEX(ERP資料!$A:$A, MATCH(853, 輔助計算!$G$2:$G$801, 0)+1), "")), IFERROR(INDEX(ERP資料!$A:$A, (MATCH(854, 輔助計算!$G$2:$G$801, 0)+1)), ""), ""), "")</f>
        <v/>
      </c>
      <c r="B855" s="10">
        <f>IFERROR(IF(AND(IFERROR(INDEX(ERP資料!$A:$A, (MATCH(854, 輔助計算!$G$2:$G$801, 0)+1)), "")&lt;&gt;"", IFERROR(INDEX(ERP資料!$A:$A, (MATCH(854, 輔助計算!$G$2:$G$801, 0)+1)), "")&lt;&gt;IFERROR(INDEX(ERP資料!$A:$A, MATCH(853, 輔助計算!$G$2:$G$801, 0)+1), "")), INDEX(ERP資料!$S:$S, (MATCH(854, 輔助計算!$G$2:$G$801, 0)+1)), ""), "")</f>
        <v/>
      </c>
      <c r="C855" s="19">
        <f>IFERROR(IF(AND(IFERROR(INDEX(ERP資料!$A:$A, (MATCH(854, 輔助計算!$G$2:$G$801, 0)+1)), "")&lt;&gt;"", IFERROR(INDEX(ERP資料!$A:$A, (MATCH(854, 輔助計算!$G$2:$G$801, 0)+1)), "")&lt;&gt;IFERROR(INDEX(ERP資料!$A:$A, MATCH(853, 輔助計算!$G$2:$G$801, 0)+1), "")), IFERROR(VLOOKUP(LEFT(INDEX(ERP資料!$S:$S, (MATCH(854, 輔助計算!$G$2:$G$801, 0)+1)), 4), 紙管對照表!$A:$C, 3, FALSE), ""), ""), "")</f>
        <v/>
      </c>
      <c r="D855" s="16" t="n"/>
      <c r="E855" s="10">
        <f>IFERROR(IF(INDEX(ERP資料!$H:$H, (MATCH(854, 輔助計算!$G$2:$G$801, 0)+1))="","",INDEX(ERP資料!$H:$H, (MATCH(854, 輔助計算!$G$2:$G$801, 0)+1))), "")</f>
        <v/>
      </c>
      <c r="F855" s="10">
        <f>IFERROR(IF(INDEX(ERP資料!$E:$E, (MATCH(854, 輔助計算!$G$2:$G$801, 0)+1))="","",TRIM(INDEX(ERP資料!$E:$E, (MATCH(854, 輔助計算!$G$2:$G$801, 0)+1)))), "")</f>
        <v/>
      </c>
      <c r="G855" s="10">
        <f>IFERROR(IF(INDEX(ERP資料!$F:$F, (MATCH(854, 輔助計算!$G$2:$G$801, 0)+1))="","",INDEX(ERP資料!$F:$F, (MATCH(854, 輔助計算!$G$2:$G$801, 0)+1))), "")</f>
        <v/>
      </c>
      <c r="H855" s="10">
        <f>IFERROR(IF(INDEX(ERP資料!$G:$G, (MATCH(854, 輔助計算!$G$2:$G$801, 0)+1))="","",INDEX(ERP資料!$G:$G, (MATCH(854, 輔助計算!$G$2:$G$801, 0)+1))), "")</f>
        <v/>
      </c>
      <c r="I855" s="15">
        <f>IFERROR(INDEX(輔助計算!$D:$D, (MATCH(854, 輔助計算!$G$2:$G$801, 0)+1)), "")</f>
        <v/>
      </c>
      <c r="J855" s="15">
        <f>IFERROR(IF(AND(INDEX(輔助計算!$D:$D, (MATCH(854, 輔助計算!$G$2:$G$801, 0)+1))&lt;&gt;"", INDEX(ERP資料!$G:$G, (MATCH(854, 輔助計算!$G$2:$G$801, 0)+1))&lt;&gt;""), TRIM(IF(INT(INDEX(輔助計算!$D:$D, (MATCH(854, 輔助計算!$G$2:$G$801, 0)+1))/IF(INDEX(ERP資料!$G:$G, (MATCH(854, 輔助計算!$G$2:$G$801, 0)+1))&lt;100, IF(INDEX(ERP資料!$G:$G, (MATCH(854, 輔助計算!$G$2:$G$801, 0)+1))&lt;=31,3,IF(INDEX(ERP資料!$G:$G, (MATCH(854, 輔助計算!$G$2:$G$801, 0)+1))&lt;=46.5,2,1)), IF(INDEX(ERP資料!$G:$G, (MATCH(854, 輔助計算!$G$2:$G$801, 0)+1))&lt;=790,3,IF(INDEX(ERP資料!$G:$G, (MATCH(854, 輔助計算!$G$2:$G$801, 0)+1))&lt;=1181,2,1))))&gt;0, IF(IF(INDEX(ERP資料!$G:$G, (MATCH(854, 輔助計算!$G$2:$G$801, 0)+1))&lt;100, IF(INDEX(ERP資料!$G:$G, (MATCH(854, 輔助計算!$G$2:$G$801, 0)+1))&lt;=31,3,IF(INDEX(ERP資料!$G:$G, (MATCH(854, 輔助計算!$G$2:$G$801, 0)+1))&lt;=46.5,2,1)), IF(INDEX(ERP資料!$G:$G, (MATCH(854, 輔助計算!$G$2:$G$801, 0)+1))&lt;=790,3,IF(INDEX(ERP資料!$G:$G, (MATCH(854, 輔助計算!$G$2:$G$801, 0)+1))&lt;=1181,2,1)))=1,TEXT(INDEX(ERP資料!$G:$G, (MATCH(854, 輔助計算!$G$2:$G$801, 0)+1)),"0.##"),IF(IF(INDEX(ERP資料!$G:$G, (MATCH(854, 輔助計算!$G$2:$G$801, 0)+1))&lt;100, IF(INDEX(ERP資料!$G:$G, (MATCH(854, 輔助計算!$G$2:$G$801, 0)+1))&lt;=31,3,IF(INDEX(ERP資料!$G:$G, (MATCH(854, 輔助計算!$G$2:$G$801, 0)+1))&lt;=46.5,2,1)), IF(INDEX(ERP資料!$G:$G, (MATCH(854, 輔助計算!$G$2:$G$801, 0)+1))&lt;=790,3,IF(INDEX(ERP資料!$G:$G, (MATCH(854, 輔助計算!$G$2:$G$801, 0)+1))&lt;=1181,2,1)))=2,TEXT(INDEX(ERP資料!$G:$G, (MATCH(854, 輔助計算!$G$2:$G$801, 0)+1)),"0.##")&amp;"+"&amp;TEXT(INDEX(ERP資料!$G:$G, (MATCH(854, 輔助計算!$G$2:$G$801, 0)+1)),"0.##"),TEXT(INDEX(ERP資料!$G:$G, (MATCH(854, 輔助計算!$G$2:$G$801, 0)+1)),"0.##")&amp;"+"&amp;TEXT(INDEX(ERP資料!$G:$G, (MATCH(854, 輔助計算!$G$2:$G$801, 0)+1)),"0.##")&amp;"+"&amp;TEXT(INDEX(ERP資料!$G:$G, (MATCH(854, 輔助計算!$G$2:$G$801, 0)+1)),"0.##")))&amp;"-"&amp;INT(INDEX(輔助計算!$D:$D, (MATCH(854, 輔助計算!$G$2:$G$801, 0)+1))/IF(INDEX(ERP資料!$G:$G, (MATCH(854, 輔助計算!$G$2:$G$801, 0)+1))&lt;100, IF(INDEX(ERP資料!$G:$G, (MATCH(854, 輔助計算!$G$2:$G$801, 0)+1))&lt;=31,3,IF(INDEX(ERP資料!$G:$G, (MATCH(854, 輔助計算!$G$2:$G$801, 0)+1))&lt;=46.5,2,1)), IF(INDEX(ERP資料!$G:$G, (MATCH(854, 輔助計算!$G$2:$G$801, 0)+1))&lt;=790,3,IF(INDEX(ERP資料!$G:$G, (MATCH(854, 輔助計算!$G$2:$G$801, 0)+1))&lt;=1181,2,1)))), "")&amp;IF(AND(IF(INT(INDEX(輔助計算!$D:$D, (MATCH(854, 輔助計算!$G$2:$G$801, 0)+1))/IF(INDEX(ERP資料!$G:$G, (MATCH(854, 輔助計算!$G$2:$G$801, 0)+1))&lt;100, IF(INDEX(ERP資料!$G:$G, (MATCH(854, 輔助計算!$G$2:$G$801, 0)+1))&lt;=31,3,IF(INDEX(ERP資料!$G:$G, (MATCH(854, 輔助計算!$G$2:$G$801, 0)+1))&lt;=46.5,2,1)), IF(INDEX(ERP資料!$G:$G, (MATCH(854, 輔助計算!$G$2:$G$801, 0)+1))&lt;=790,3,IF(INDEX(ERP資料!$G:$G, (MATCH(854, 輔助計算!$G$2:$G$801, 0)+1))&lt;=1181,2,1))))&gt;0, IF(IF(INDEX(ERP資料!$G:$G, (MATCH(854, 輔助計算!$G$2:$G$801, 0)+1))&lt;100, IF(INDEX(ERP資料!$G:$G, (MATCH(854, 輔助計算!$G$2:$G$801, 0)+1))&lt;=31,3,IF(INDEX(ERP資料!$G:$G, (MATCH(854, 輔助計算!$G$2:$G$801, 0)+1))&lt;=46.5,2,1)), IF(INDEX(ERP資料!$G:$G, (MATCH(854, 輔助計算!$G$2:$G$801, 0)+1))&lt;=790,3,IF(INDEX(ERP資料!$G:$G, (MATCH(854, 輔助計算!$G$2:$G$801, 0)+1))&lt;=1181,2,1)))=1,TEXT(INDEX(ERP資料!$G:$G, (MATCH(854, 輔助計算!$G$2:$G$801, 0)+1)),"0.##"),IF(IF(INDEX(ERP資料!$G:$G, (MATCH(854, 輔助計算!$G$2:$G$801, 0)+1))&lt;100, IF(INDEX(ERP資料!$G:$G, (MATCH(854, 輔助計算!$G$2:$G$801, 0)+1))&lt;=31,3,IF(INDEX(ERP資料!$G:$G, (MATCH(854, 輔助計算!$G$2:$G$801, 0)+1))&lt;=46.5,2,1)), IF(INDEX(ERP資料!$G:$G, (MATCH(854, 輔助計算!$G$2:$G$801, 0)+1))&lt;=790,3,IF(INDEX(ERP資料!$G:$G, (MATCH(854, 輔助計算!$G$2:$G$801, 0)+1))&lt;=1181,2,1)))=2,TEXT(INDEX(ERP資料!$G:$G, (MATCH(854, 輔助計算!$G$2:$G$801, 0)+1)),"0.##")&amp;"+"&amp;TEXT(INDEX(ERP資料!$G:$G, (MATCH(854, 輔助計算!$G$2:$G$801, 0)+1)),"0.##"),TEXT(INDEX(ERP資料!$G:$G, (MATCH(854, 輔助計算!$G$2:$G$801, 0)+1)),"0.##")&amp;"+"&amp;TEXT(INDEX(ERP資料!$G:$G, (MATCH(854, 輔助計算!$G$2:$G$801, 0)+1)),"0.##")&amp;"+"&amp;TEXT(INDEX(ERP資料!$G:$G, (MATCH(854, 輔助計算!$G$2:$G$801, 0)+1)),"0.##")))&amp;"-"&amp;INT(INDEX(輔助計算!$D:$D, (MATCH(854, 輔助計算!$G$2:$G$801, 0)+1))/IF(INDEX(ERP資料!$G:$G, (MATCH(854, 輔助計算!$G$2:$G$801, 0)+1))&lt;100, IF(INDEX(ERP資料!$G:$G, (MATCH(854, 輔助計算!$G$2:$G$801, 0)+1))&lt;=31,3,IF(INDEX(ERP資料!$G:$G, (MATCH(854, 輔助計算!$G$2:$G$801, 0)+1))&lt;=46.5,2,1)), IF(INDEX(ERP資料!$G:$G, (MATCH(854, 輔助計算!$G$2:$G$801, 0)+1))&lt;=790,3,IF(INDEX(ERP資料!$G:$G, (MATCH(854, 輔助計算!$G$2:$G$801, 0)+1))&lt;=1181,2,1)))), "")&lt;&gt;"",IF(MOD(INDEX(輔助計算!$D:$D, (MATCH(854, 輔助計算!$G$2:$G$801, 0)+1)),IF(INDEX(ERP資料!$G:$G, (MATCH(854, 輔助計算!$G$2:$G$801, 0)+1))&lt;100, IF(INDEX(ERP資料!$G:$G, (MATCH(854, 輔助計算!$G$2:$G$801, 0)+1))&lt;=31,3,IF(INDEX(ERP資料!$G:$G, (MATCH(854, 輔助計算!$G$2:$G$801, 0)+1))&lt;=46.5,2,1)), IF(INDEX(ERP資料!$G:$G, (MATCH(854, 輔助計算!$G$2:$G$801, 0)+1))&lt;=790,3,IF(INDEX(ERP資料!$G:$G, (MATCH(854, 輔助計算!$G$2:$G$801, 0)+1))&lt;=1181,2,1))))=0,"",IF(MOD(INDEX(輔助計算!$D:$D, (MATCH(854, 輔助計算!$G$2:$G$801, 0)+1)),IF(INDEX(ERP資料!$G:$G, (MATCH(854, 輔助計算!$G$2:$G$801, 0)+1))&lt;100, IF(INDEX(ERP資料!$G:$G, (MATCH(854, 輔助計算!$G$2:$G$801, 0)+1))&lt;=31,3,IF(INDEX(ERP資料!$G:$G, (MATCH(854, 輔助計算!$G$2:$G$801, 0)+1))&lt;=46.5,2,1)), IF(INDEX(ERP資料!$G:$G, (MATCH(854, 輔助計算!$G$2:$G$801, 0)+1))&lt;=790,3,IF(INDEX(ERP資料!$G:$G, (MATCH(854, 輔助計算!$G$2:$G$801, 0)+1))&lt;=1181,2,1))))=0,"",IF(MOD(INDEX(輔助計算!$D:$D, (MATCH(854, 輔助計算!$G$2:$G$801, 0)+1)),IF(INDEX(ERP資料!$G:$G, (MATCH(854, 輔助計算!$G$2:$G$801, 0)+1))&lt;100, IF(INDEX(ERP資料!$G:$G, (MATCH(854, 輔助計算!$G$2:$G$801, 0)+1))&lt;=31,3,IF(INDEX(ERP資料!$G:$G, (MATCH(854, 輔助計算!$G$2:$G$801, 0)+1))&lt;=46.5,2,1)), IF(INDEX(ERP資料!$G:$G, (MATCH(854, 輔助計算!$G$2:$G$801, 0)+1))&lt;=790,3,IF(INDEX(ERP資料!$G:$G, (MATCH(854, 輔助計算!$G$2:$G$801, 0)+1))&lt;=1181,2,1))))=1,TEXT(INDEX(ERP資料!$G:$G, (MATCH(854, 輔助計算!$G$2:$G$801, 0)+1)),"0.##"),IF(MOD(INDEX(輔助計算!$D:$D, (MATCH(854, 輔助計算!$G$2:$G$801, 0)+1)),IF(INDEX(ERP資料!$G:$G, (MATCH(854, 輔助計算!$G$2:$G$801, 0)+1))&lt;100, IF(INDEX(ERP資料!$G:$G, (MATCH(854, 輔助計算!$G$2:$G$801, 0)+1))&lt;=31,3,IF(INDEX(ERP資料!$G:$G, (MATCH(854, 輔助計算!$G$2:$G$801, 0)+1))&lt;=46.5,2,1)), IF(INDEX(ERP資料!$G:$G, (MATCH(854, 輔助計算!$G$2:$G$801, 0)+1))&lt;=790,3,IF(INDEX(ERP資料!$G:$G, (MATCH(854, 輔助計算!$G$2:$G$801, 0)+1))&lt;=1181,2,1))))=2,TEXT(INDEX(ERP資料!$G:$G, (MATCH(854, 輔助計算!$G$2:$G$801, 0)+1)),"0.##")&amp;"+"&amp;TEXT(INDEX(ERP資料!$G:$G, (MATCH(854, 輔助計算!$G$2:$G$801, 0)+1)),"0.##"),TEXT(INDEX(ERP資料!$G:$G, (MATCH(854, 輔助計算!$G$2:$G$801, 0)+1)),"0.##")&amp;"+"&amp;TEXT(INDEX(ERP資料!$G:$G, (MATCH(854, 輔助計算!$G$2:$G$801, 0)+1)),"0.##")&amp;"+"&amp;TEXT(INDEX(ERP資料!$G:$G, (MATCH(854, 輔助計算!$G$2:$G$801, 0)+1)),"0.##"))))&amp;"-1")&lt;&gt;""),"  ","")&amp;IF(MOD(INDEX(輔助計算!$D:$D, (MATCH(854, 輔助計算!$G$2:$G$801, 0)+1)),IF(INDEX(ERP資料!$G:$G, (MATCH(854, 輔助計算!$G$2:$G$801, 0)+1))&lt;100, IF(INDEX(ERP資料!$G:$G, (MATCH(854, 輔助計算!$G$2:$G$801, 0)+1))&lt;=31,3,IF(INDEX(ERP資料!$G:$G, (MATCH(854, 輔助計算!$G$2:$G$801, 0)+1))&lt;=46.5,2,1)), IF(INDEX(ERP資料!$G:$G, (MATCH(854, 輔助計算!$G$2:$G$801, 0)+1))&lt;=790,3,IF(INDEX(ERP資料!$G:$G, (MATCH(854, 輔助計算!$G$2:$G$801, 0)+1))&lt;=1181,2,1))))=0,"",IF(MOD(INDEX(輔助計算!$D:$D, (MATCH(854, 輔助計算!$G$2:$G$801, 0)+1)),IF(INDEX(ERP資料!$G:$G, (MATCH(854, 輔助計算!$G$2:$G$801, 0)+1))&lt;100, IF(INDEX(ERP資料!$G:$G, (MATCH(854, 輔助計算!$G$2:$G$801, 0)+1))&lt;=31,3,IF(INDEX(ERP資料!$G:$G, (MATCH(854, 輔助計算!$G$2:$G$801, 0)+1))&lt;=46.5,2,1)), IF(INDEX(ERP資料!$G:$G, (MATCH(854, 輔助計算!$G$2:$G$801, 0)+1))&lt;=790,3,IF(INDEX(ERP資料!$G:$G, (MATCH(854, 輔助計算!$G$2:$G$801, 0)+1))&lt;=1181,2,1))))=0,"",IF(MOD(INDEX(輔助計算!$D:$D, (MATCH(854, 輔助計算!$G$2:$G$801, 0)+1)),IF(INDEX(ERP資料!$G:$G, (MATCH(854, 輔助計算!$G$2:$G$801, 0)+1))&lt;100, IF(INDEX(ERP資料!$G:$G, (MATCH(854, 輔助計算!$G$2:$G$801, 0)+1))&lt;=31,3,IF(INDEX(ERP資料!$G:$G, (MATCH(854, 輔助計算!$G$2:$G$801, 0)+1))&lt;=46.5,2,1)), IF(INDEX(ERP資料!$G:$G, (MATCH(854, 輔助計算!$G$2:$G$801, 0)+1))&lt;=790,3,IF(INDEX(ERP資料!$G:$G, (MATCH(854, 輔助計算!$G$2:$G$801, 0)+1))&lt;=1181,2,1))))=1,TEXT(INDEX(ERP資料!$G:$G, (MATCH(854, 輔助計算!$G$2:$G$801, 0)+1)),"0.##"),IF(MOD(INDEX(輔助計算!$D:$D, (MATCH(854, 輔助計算!$G$2:$G$801, 0)+1)),IF(INDEX(ERP資料!$G:$G, (MATCH(854, 輔助計算!$G$2:$G$801, 0)+1))&lt;100, IF(INDEX(ERP資料!$G:$G, (MATCH(854, 輔助計算!$G$2:$G$801, 0)+1))&lt;=31,3,IF(INDEX(ERP資料!$G:$G, (MATCH(854, 輔助計算!$G$2:$G$801, 0)+1))&lt;=46.5,2,1)), IF(INDEX(ERP資料!$G:$G, (MATCH(854, 輔助計算!$G$2:$G$801, 0)+1))&lt;=790,3,IF(INDEX(ERP資料!$G:$G, (MATCH(854, 輔助計算!$G$2:$G$801, 0)+1))&lt;=1181,2,1))))=2,TEXT(INDEX(ERP資料!$G:$G, (MATCH(854, 輔助計算!$G$2:$G$801, 0)+1)),"0.##")&amp;"+"&amp;TEXT(INDEX(ERP資料!$G:$G, (MATCH(854, 輔助計算!$G$2:$G$801, 0)+1)),"0.##"),TEXT(INDEX(ERP資料!$G:$G, (MATCH(854, 輔助計算!$G$2:$G$801, 0)+1)),"0.##")&amp;"+"&amp;TEXT(INDEX(ERP資料!$G:$G, (MATCH(854, 輔助計算!$G$2:$G$801, 0)+1)),"0.##")&amp;"+"&amp;TEXT(INDEX(ERP資料!$G:$G, (MATCH(854, 輔助計算!$G$2:$G$801, 0)+1)),"0.##"))))&amp;"-1")), ""), "")</f>
        <v/>
      </c>
      <c r="K855" s="16" t="n"/>
      <c r="L855" s="14">
        <f>IFERROR(IF(AND(IFERROR(INDEX(ERP資料!$A:$A, (MATCH(854, 輔助計算!$G$2:$G$801, 0)+1)), "")&lt;&gt;"", IFERROR(INDEX(ERP資料!$A:$A, (MATCH(854, 輔助計算!$G$2:$G$801, 0)+1)), "")&lt;&gt;IFERROR(INDEX(ERP資料!$A:$A, MATCH(853, 輔助計算!$G$2:$G$801, 0)+1), "")), INDEX(ERP資料!$B:$B, (MATCH(854, 輔助計算!$G$2:$G$801, 0)+1)), ""), "")</f>
        <v/>
      </c>
      <c r="M855" s="17" t="n"/>
    </row>
    <row r="856">
      <c r="A856" s="10">
        <f>IFERROR(IF(AND(IFERROR(INDEX(ERP資料!$A:$A, (MATCH(855, 輔助計算!$G$2:$G$801, 0)+1)), "")&lt;&gt;"", IFERROR(INDEX(ERP資料!$A:$A, (MATCH(855, 輔助計算!$G$2:$G$801, 0)+1)), "")&lt;&gt;IFERROR(INDEX(ERP資料!$A:$A, MATCH(854, 輔助計算!$G$2:$G$801, 0)+1), "")), IFERROR(INDEX(ERP資料!$A:$A, (MATCH(855, 輔助計算!$G$2:$G$801, 0)+1)), ""), ""), "")</f>
        <v/>
      </c>
      <c r="B856" s="10">
        <f>IFERROR(IF(AND(IFERROR(INDEX(ERP資料!$A:$A, (MATCH(855, 輔助計算!$G$2:$G$801, 0)+1)), "")&lt;&gt;"", IFERROR(INDEX(ERP資料!$A:$A, (MATCH(855, 輔助計算!$G$2:$G$801, 0)+1)), "")&lt;&gt;IFERROR(INDEX(ERP資料!$A:$A, MATCH(854, 輔助計算!$G$2:$G$801, 0)+1), "")), INDEX(ERP資料!$S:$S, (MATCH(855, 輔助計算!$G$2:$G$801, 0)+1)), ""), "")</f>
        <v/>
      </c>
      <c r="C856" s="19">
        <f>IFERROR(IF(AND(IFERROR(INDEX(ERP資料!$A:$A, (MATCH(855, 輔助計算!$G$2:$G$801, 0)+1)), "")&lt;&gt;"", IFERROR(INDEX(ERP資料!$A:$A, (MATCH(855, 輔助計算!$G$2:$G$801, 0)+1)), "")&lt;&gt;IFERROR(INDEX(ERP資料!$A:$A, MATCH(854, 輔助計算!$G$2:$G$801, 0)+1), "")), IFERROR(VLOOKUP(LEFT(INDEX(ERP資料!$S:$S, (MATCH(855, 輔助計算!$G$2:$G$801, 0)+1)), 4), 紙管對照表!$A:$C, 3, FALSE), ""), ""), "")</f>
        <v/>
      </c>
      <c r="D856" s="16" t="n"/>
      <c r="E856" s="10">
        <f>IFERROR(IF(INDEX(ERP資料!$H:$H, (MATCH(855, 輔助計算!$G$2:$G$801, 0)+1))="","",INDEX(ERP資料!$H:$H, (MATCH(855, 輔助計算!$G$2:$G$801, 0)+1))), "")</f>
        <v/>
      </c>
      <c r="F856" s="10">
        <f>IFERROR(IF(INDEX(ERP資料!$E:$E, (MATCH(855, 輔助計算!$G$2:$G$801, 0)+1))="","",TRIM(INDEX(ERP資料!$E:$E, (MATCH(855, 輔助計算!$G$2:$G$801, 0)+1)))), "")</f>
        <v/>
      </c>
      <c r="G856" s="10">
        <f>IFERROR(IF(INDEX(ERP資料!$F:$F, (MATCH(855, 輔助計算!$G$2:$G$801, 0)+1))="","",INDEX(ERP資料!$F:$F, (MATCH(855, 輔助計算!$G$2:$G$801, 0)+1))), "")</f>
        <v/>
      </c>
      <c r="H856" s="10">
        <f>IFERROR(IF(INDEX(ERP資料!$G:$G, (MATCH(855, 輔助計算!$G$2:$G$801, 0)+1))="","",INDEX(ERP資料!$G:$G, (MATCH(855, 輔助計算!$G$2:$G$801, 0)+1))), "")</f>
        <v/>
      </c>
      <c r="I856" s="15">
        <f>IFERROR(INDEX(輔助計算!$D:$D, (MATCH(855, 輔助計算!$G$2:$G$801, 0)+1)), "")</f>
        <v/>
      </c>
      <c r="J856" s="15">
        <f>IFERROR(IF(AND(INDEX(輔助計算!$D:$D, (MATCH(855, 輔助計算!$G$2:$G$801, 0)+1))&lt;&gt;"", INDEX(ERP資料!$G:$G, (MATCH(855, 輔助計算!$G$2:$G$801, 0)+1))&lt;&gt;""), TRIM(IF(INT(INDEX(輔助計算!$D:$D, (MATCH(855, 輔助計算!$G$2:$G$801, 0)+1))/IF(INDEX(ERP資料!$G:$G, (MATCH(855, 輔助計算!$G$2:$G$801, 0)+1))&lt;100, IF(INDEX(ERP資料!$G:$G, (MATCH(855, 輔助計算!$G$2:$G$801, 0)+1))&lt;=31,3,IF(INDEX(ERP資料!$G:$G, (MATCH(855, 輔助計算!$G$2:$G$801, 0)+1))&lt;=46.5,2,1)), IF(INDEX(ERP資料!$G:$G, (MATCH(855, 輔助計算!$G$2:$G$801, 0)+1))&lt;=790,3,IF(INDEX(ERP資料!$G:$G, (MATCH(855, 輔助計算!$G$2:$G$801, 0)+1))&lt;=1181,2,1))))&gt;0, IF(IF(INDEX(ERP資料!$G:$G, (MATCH(855, 輔助計算!$G$2:$G$801, 0)+1))&lt;100, IF(INDEX(ERP資料!$G:$G, (MATCH(855, 輔助計算!$G$2:$G$801, 0)+1))&lt;=31,3,IF(INDEX(ERP資料!$G:$G, (MATCH(855, 輔助計算!$G$2:$G$801, 0)+1))&lt;=46.5,2,1)), IF(INDEX(ERP資料!$G:$G, (MATCH(855, 輔助計算!$G$2:$G$801, 0)+1))&lt;=790,3,IF(INDEX(ERP資料!$G:$G, (MATCH(855, 輔助計算!$G$2:$G$801, 0)+1))&lt;=1181,2,1)))=1,TEXT(INDEX(ERP資料!$G:$G, (MATCH(855, 輔助計算!$G$2:$G$801, 0)+1)),"0.##"),IF(IF(INDEX(ERP資料!$G:$G, (MATCH(855, 輔助計算!$G$2:$G$801, 0)+1))&lt;100, IF(INDEX(ERP資料!$G:$G, (MATCH(855, 輔助計算!$G$2:$G$801, 0)+1))&lt;=31,3,IF(INDEX(ERP資料!$G:$G, (MATCH(855, 輔助計算!$G$2:$G$801, 0)+1))&lt;=46.5,2,1)), IF(INDEX(ERP資料!$G:$G, (MATCH(855, 輔助計算!$G$2:$G$801, 0)+1))&lt;=790,3,IF(INDEX(ERP資料!$G:$G, (MATCH(855, 輔助計算!$G$2:$G$801, 0)+1))&lt;=1181,2,1)))=2,TEXT(INDEX(ERP資料!$G:$G, (MATCH(855, 輔助計算!$G$2:$G$801, 0)+1)),"0.##")&amp;"+"&amp;TEXT(INDEX(ERP資料!$G:$G, (MATCH(855, 輔助計算!$G$2:$G$801, 0)+1)),"0.##"),TEXT(INDEX(ERP資料!$G:$G, (MATCH(855, 輔助計算!$G$2:$G$801, 0)+1)),"0.##")&amp;"+"&amp;TEXT(INDEX(ERP資料!$G:$G, (MATCH(855, 輔助計算!$G$2:$G$801, 0)+1)),"0.##")&amp;"+"&amp;TEXT(INDEX(ERP資料!$G:$G, (MATCH(855, 輔助計算!$G$2:$G$801, 0)+1)),"0.##")))&amp;"-"&amp;INT(INDEX(輔助計算!$D:$D, (MATCH(855, 輔助計算!$G$2:$G$801, 0)+1))/IF(INDEX(ERP資料!$G:$G, (MATCH(855, 輔助計算!$G$2:$G$801, 0)+1))&lt;100, IF(INDEX(ERP資料!$G:$G, (MATCH(855, 輔助計算!$G$2:$G$801, 0)+1))&lt;=31,3,IF(INDEX(ERP資料!$G:$G, (MATCH(855, 輔助計算!$G$2:$G$801, 0)+1))&lt;=46.5,2,1)), IF(INDEX(ERP資料!$G:$G, (MATCH(855, 輔助計算!$G$2:$G$801, 0)+1))&lt;=790,3,IF(INDEX(ERP資料!$G:$G, (MATCH(855, 輔助計算!$G$2:$G$801, 0)+1))&lt;=1181,2,1)))), "")&amp;IF(AND(IF(INT(INDEX(輔助計算!$D:$D, (MATCH(855, 輔助計算!$G$2:$G$801, 0)+1))/IF(INDEX(ERP資料!$G:$G, (MATCH(855, 輔助計算!$G$2:$G$801, 0)+1))&lt;100, IF(INDEX(ERP資料!$G:$G, (MATCH(855, 輔助計算!$G$2:$G$801, 0)+1))&lt;=31,3,IF(INDEX(ERP資料!$G:$G, (MATCH(855, 輔助計算!$G$2:$G$801, 0)+1))&lt;=46.5,2,1)), IF(INDEX(ERP資料!$G:$G, (MATCH(855, 輔助計算!$G$2:$G$801, 0)+1))&lt;=790,3,IF(INDEX(ERP資料!$G:$G, (MATCH(855, 輔助計算!$G$2:$G$801, 0)+1))&lt;=1181,2,1))))&gt;0, IF(IF(INDEX(ERP資料!$G:$G, (MATCH(855, 輔助計算!$G$2:$G$801, 0)+1))&lt;100, IF(INDEX(ERP資料!$G:$G, (MATCH(855, 輔助計算!$G$2:$G$801, 0)+1))&lt;=31,3,IF(INDEX(ERP資料!$G:$G, (MATCH(855, 輔助計算!$G$2:$G$801, 0)+1))&lt;=46.5,2,1)), IF(INDEX(ERP資料!$G:$G, (MATCH(855, 輔助計算!$G$2:$G$801, 0)+1))&lt;=790,3,IF(INDEX(ERP資料!$G:$G, (MATCH(855, 輔助計算!$G$2:$G$801, 0)+1))&lt;=1181,2,1)))=1,TEXT(INDEX(ERP資料!$G:$G, (MATCH(855, 輔助計算!$G$2:$G$801, 0)+1)),"0.##"),IF(IF(INDEX(ERP資料!$G:$G, (MATCH(855, 輔助計算!$G$2:$G$801, 0)+1))&lt;100, IF(INDEX(ERP資料!$G:$G, (MATCH(855, 輔助計算!$G$2:$G$801, 0)+1))&lt;=31,3,IF(INDEX(ERP資料!$G:$G, (MATCH(855, 輔助計算!$G$2:$G$801, 0)+1))&lt;=46.5,2,1)), IF(INDEX(ERP資料!$G:$G, (MATCH(855, 輔助計算!$G$2:$G$801, 0)+1))&lt;=790,3,IF(INDEX(ERP資料!$G:$G, (MATCH(855, 輔助計算!$G$2:$G$801, 0)+1))&lt;=1181,2,1)))=2,TEXT(INDEX(ERP資料!$G:$G, (MATCH(855, 輔助計算!$G$2:$G$801, 0)+1)),"0.##")&amp;"+"&amp;TEXT(INDEX(ERP資料!$G:$G, (MATCH(855, 輔助計算!$G$2:$G$801, 0)+1)),"0.##"),TEXT(INDEX(ERP資料!$G:$G, (MATCH(855, 輔助計算!$G$2:$G$801, 0)+1)),"0.##")&amp;"+"&amp;TEXT(INDEX(ERP資料!$G:$G, (MATCH(855, 輔助計算!$G$2:$G$801, 0)+1)),"0.##")&amp;"+"&amp;TEXT(INDEX(ERP資料!$G:$G, (MATCH(855, 輔助計算!$G$2:$G$801, 0)+1)),"0.##")))&amp;"-"&amp;INT(INDEX(輔助計算!$D:$D, (MATCH(855, 輔助計算!$G$2:$G$801, 0)+1))/IF(INDEX(ERP資料!$G:$G, (MATCH(855, 輔助計算!$G$2:$G$801, 0)+1))&lt;100, IF(INDEX(ERP資料!$G:$G, (MATCH(855, 輔助計算!$G$2:$G$801, 0)+1))&lt;=31,3,IF(INDEX(ERP資料!$G:$G, (MATCH(855, 輔助計算!$G$2:$G$801, 0)+1))&lt;=46.5,2,1)), IF(INDEX(ERP資料!$G:$G, (MATCH(855, 輔助計算!$G$2:$G$801, 0)+1))&lt;=790,3,IF(INDEX(ERP資料!$G:$G, (MATCH(855, 輔助計算!$G$2:$G$801, 0)+1))&lt;=1181,2,1)))), "")&lt;&gt;"",IF(MOD(INDEX(輔助計算!$D:$D, (MATCH(855, 輔助計算!$G$2:$G$801, 0)+1)),IF(INDEX(ERP資料!$G:$G, (MATCH(855, 輔助計算!$G$2:$G$801, 0)+1))&lt;100, IF(INDEX(ERP資料!$G:$G, (MATCH(855, 輔助計算!$G$2:$G$801, 0)+1))&lt;=31,3,IF(INDEX(ERP資料!$G:$G, (MATCH(855, 輔助計算!$G$2:$G$801, 0)+1))&lt;=46.5,2,1)), IF(INDEX(ERP資料!$G:$G, (MATCH(855, 輔助計算!$G$2:$G$801, 0)+1))&lt;=790,3,IF(INDEX(ERP資料!$G:$G, (MATCH(855, 輔助計算!$G$2:$G$801, 0)+1))&lt;=1181,2,1))))=0,"",IF(MOD(INDEX(輔助計算!$D:$D, (MATCH(855, 輔助計算!$G$2:$G$801, 0)+1)),IF(INDEX(ERP資料!$G:$G, (MATCH(855, 輔助計算!$G$2:$G$801, 0)+1))&lt;100, IF(INDEX(ERP資料!$G:$G, (MATCH(855, 輔助計算!$G$2:$G$801, 0)+1))&lt;=31,3,IF(INDEX(ERP資料!$G:$G, (MATCH(855, 輔助計算!$G$2:$G$801, 0)+1))&lt;=46.5,2,1)), IF(INDEX(ERP資料!$G:$G, (MATCH(855, 輔助計算!$G$2:$G$801, 0)+1))&lt;=790,3,IF(INDEX(ERP資料!$G:$G, (MATCH(855, 輔助計算!$G$2:$G$801, 0)+1))&lt;=1181,2,1))))=0,"",IF(MOD(INDEX(輔助計算!$D:$D, (MATCH(855, 輔助計算!$G$2:$G$801, 0)+1)),IF(INDEX(ERP資料!$G:$G, (MATCH(855, 輔助計算!$G$2:$G$801, 0)+1))&lt;100, IF(INDEX(ERP資料!$G:$G, (MATCH(855, 輔助計算!$G$2:$G$801, 0)+1))&lt;=31,3,IF(INDEX(ERP資料!$G:$G, (MATCH(855, 輔助計算!$G$2:$G$801, 0)+1))&lt;=46.5,2,1)), IF(INDEX(ERP資料!$G:$G, (MATCH(855, 輔助計算!$G$2:$G$801, 0)+1))&lt;=790,3,IF(INDEX(ERP資料!$G:$G, (MATCH(855, 輔助計算!$G$2:$G$801, 0)+1))&lt;=1181,2,1))))=1,TEXT(INDEX(ERP資料!$G:$G, (MATCH(855, 輔助計算!$G$2:$G$801, 0)+1)),"0.##"),IF(MOD(INDEX(輔助計算!$D:$D, (MATCH(855, 輔助計算!$G$2:$G$801, 0)+1)),IF(INDEX(ERP資料!$G:$G, (MATCH(855, 輔助計算!$G$2:$G$801, 0)+1))&lt;100, IF(INDEX(ERP資料!$G:$G, (MATCH(855, 輔助計算!$G$2:$G$801, 0)+1))&lt;=31,3,IF(INDEX(ERP資料!$G:$G, (MATCH(855, 輔助計算!$G$2:$G$801, 0)+1))&lt;=46.5,2,1)), IF(INDEX(ERP資料!$G:$G, (MATCH(855, 輔助計算!$G$2:$G$801, 0)+1))&lt;=790,3,IF(INDEX(ERP資料!$G:$G, (MATCH(855, 輔助計算!$G$2:$G$801, 0)+1))&lt;=1181,2,1))))=2,TEXT(INDEX(ERP資料!$G:$G, (MATCH(855, 輔助計算!$G$2:$G$801, 0)+1)),"0.##")&amp;"+"&amp;TEXT(INDEX(ERP資料!$G:$G, (MATCH(855, 輔助計算!$G$2:$G$801, 0)+1)),"0.##"),TEXT(INDEX(ERP資料!$G:$G, (MATCH(855, 輔助計算!$G$2:$G$801, 0)+1)),"0.##")&amp;"+"&amp;TEXT(INDEX(ERP資料!$G:$G, (MATCH(855, 輔助計算!$G$2:$G$801, 0)+1)),"0.##")&amp;"+"&amp;TEXT(INDEX(ERP資料!$G:$G, (MATCH(855, 輔助計算!$G$2:$G$801, 0)+1)),"0.##"))))&amp;"-1")&lt;&gt;""),"  ","")&amp;IF(MOD(INDEX(輔助計算!$D:$D, (MATCH(855, 輔助計算!$G$2:$G$801, 0)+1)),IF(INDEX(ERP資料!$G:$G, (MATCH(855, 輔助計算!$G$2:$G$801, 0)+1))&lt;100, IF(INDEX(ERP資料!$G:$G, (MATCH(855, 輔助計算!$G$2:$G$801, 0)+1))&lt;=31,3,IF(INDEX(ERP資料!$G:$G, (MATCH(855, 輔助計算!$G$2:$G$801, 0)+1))&lt;=46.5,2,1)), IF(INDEX(ERP資料!$G:$G, (MATCH(855, 輔助計算!$G$2:$G$801, 0)+1))&lt;=790,3,IF(INDEX(ERP資料!$G:$G, (MATCH(855, 輔助計算!$G$2:$G$801, 0)+1))&lt;=1181,2,1))))=0,"",IF(MOD(INDEX(輔助計算!$D:$D, (MATCH(855, 輔助計算!$G$2:$G$801, 0)+1)),IF(INDEX(ERP資料!$G:$G, (MATCH(855, 輔助計算!$G$2:$G$801, 0)+1))&lt;100, IF(INDEX(ERP資料!$G:$G, (MATCH(855, 輔助計算!$G$2:$G$801, 0)+1))&lt;=31,3,IF(INDEX(ERP資料!$G:$G, (MATCH(855, 輔助計算!$G$2:$G$801, 0)+1))&lt;=46.5,2,1)), IF(INDEX(ERP資料!$G:$G, (MATCH(855, 輔助計算!$G$2:$G$801, 0)+1))&lt;=790,3,IF(INDEX(ERP資料!$G:$G, (MATCH(855, 輔助計算!$G$2:$G$801, 0)+1))&lt;=1181,2,1))))=0,"",IF(MOD(INDEX(輔助計算!$D:$D, (MATCH(855, 輔助計算!$G$2:$G$801, 0)+1)),IF(INDEX(ERP資料!$G:$G, (MATCH(855, 輔助計算!$G$2:$G$801, 0)+1))&lt;100, IF(INDEX(ERP資料!$G:$G, (MATCH(855, 輔助計算!$G$2:$G$801, 0)+1))&lt;=31,3,IF(INDEX(ERP資料!$G:$G, (MATCH(855, 輔助計算!$G$2:$G$801, 0)+1))&lt;=46.5,2,1)), IF(INDEX(ERP資料!$G:$G, (MATCH(855, 輔助計算!$G$2:$G$801, 0)+1))&lt;=790,3,IF(INDEX(ERP資料!$G:$G, (MATCH(855, 輔助計算!$G$2:$G$801, 0)+1))&lt;=1181,2,1))))=1,TEXT(INDEX(ERP資料!$G:$G, (MATCH(855, 輔助計算!$G$2:$G$801, 0)+1)),"0.##"),IF(MOD(INDEX(輔助計算!$D:$D, (MATCH(855, 輔助計算!$G$2:$G$801, 0)+1)),IF(INDEX(ERP資料!$G:$G, (MATCH(855, 輔助計算!$G$2:$G$801, 0)+1))&lt;100, IF(INDEX(ERP資料!$G:$G, (MATCH(855, 輔助計算!$G$2:$G$801, 0)+1))&lt;=31,3,IF(INDEX(ERP資料!$G:$G, (MATCH(855, 輔助計算!$G$2:$G$801, 0)+1))&lt;=46.5,2,1)), IF(INDEX(ERP資料!$G:$G, (MATCH(855, 輔助計算!$G$2:$G$801, 0)+1))&lt;=790,3,IF(INDEX(ERP資料!$G:$G, (MATCH(855, 輔助計算!$G$2:$G$801, 0)+1))&lt;=1181,2,1))))=2,TEXT(INDEX(ERP資料!$G:$G, (MATCH(855, 輔助計算!$G$2:$G$801, 0)+1)),"0.##")&amp;"+"&amp;TEXT(INDEX(ERP資料!$G:$G, (MATCH(855, 輔助計算!$G$2:$G$801, 0)+1)),"0.##"),TEXT(INDEX(ERP資料!$G:$G, (MATCH(855, 輔助計算!$G$2:$G$801, 0)+1)),"0.##")&amp;"+"&amp;TEXT(INDEX(ERP資料!$G:$G, (MATCH(855, 輔助計算!$G$2:$G$801, 0)+1)),"0.##")&amp;"+"&amp;TEXT(INDEX(ERP資料!$G:$G, (MATCH(855, 輔助計算!$G$2:$G$801, 0)+1)),"0.##"))))&amp;"-1")), ""), "")</f>
        <v/>
      </c>
      <c r="K856" s="16" t="n"/>
      <c r="L856" s="14">
        <f>IFERROR(IF(AND(IFERROR(INDEX(ERP資料!$A:$A, (MATCH(855, 輔助計算!$G$2:$G$801, 0)+1)), "")&lt;&gt;"", IFERROR(INDEX(ERP資料!$A:$A, (MATCH(855, 輔助計算!$G$2:$G$801, 0)+1)), "")&lt;&gt;IFERROR(INDEX(ERP資料!$A:$A, MATCH(854, 輔助計算!$G$2:$G$801, 0)+1), "")), INDEX(ERP資料!$B:$B, (MATCH(855, 輔助計算!$G$2:$G$801, 0)+1)), ""), "")</f>
        <v/>
      </c>
      <c r="M856" s="17" t="n"/>
    </row>
    <row r="857">
      <c r="A857" s="10">
        <f>IFERROR(IF(AND(IFERROR(INDEX(ERP資料!$A:$A, (MATCH(856, 輔助計算!$G$2:$G$801, 0)+1)), "")&lt;&gt;"", IFERROR(INDEX(ERP資料!$A:$A, (MATCH(856, 輔助計算!$G$2:$G$801, 0)+1)), "")&lt;&gt;IFERROR(INDEX(ERP資料!$A:$A, MATCH(855, 輔助計算!$G$2:$G$801, 0)+1), "")), IFERROR(INDEX(ERP資料!$A:$A, (MATCH(856, 輔助計算!$G$2:$G$801, 0)+1)), ""), ""), "")</f>
        <v/>
      </c>
      <c r="B857" s="10">
        <f>IFERROR(IF(AND(IFERROR(INDEX(ERP資料!$A:$A, (MATCH(856, 輔助計算!$G$2:$G$801, 0)+1)), "")&lt;&gt;"", IFERROR(INDEX(ERP資料!$A:$A, (MATCH(856, 輔助計算!$G$2:$G$801, 0)+1)), "")&lt;&gt;IFERROR(INDEX(ERP資料!$A:$A, MATCH(855, 輔助計算!$G$2:$G$801, 0)+1), "")), INDEX(ERP資料!$S:$S, (MATCH(856, 輔助計算!$G$2:$G$801, 0)+1)), ""), "")</f>
        <v/>
      </c>
      <c r="C857" s="19">
        <f>IFERROR(IF(AND(IFERROR(INDEX(ERP資料!$A:$A, (MATCH(856, 輔助計算!$G$2:$G$801, 0)+1)), "")&lt;&gt;"", IFERROR(INDEX(ERP資料!$A:$A, (MATCH(856, 輔助計算!$G$2:$G$801, 0)+1)), "")&lt;&gt;IFERROR(INDEX(ERP資料!$A:$A, MATCH(855, 輔助計算!$G$2:$G$801, 0)+1), "")), IFERROR(VLOOKUP(LEFT(INDEX(ERP資料!$S:$S, (MATCH(856, 輔助計算!$G$2:$G$801, 0)+1)), 4), 紙管對照表!$A:$C, 3, FALSE), ""), ""), "")</f>
        <v/>
      </c>
      <c r="D857" s="16" t="n"/>
      <c r="E857" s="10">
        <f>IFERROR(IF(INDEX(ERP資料!$H:$H, (MATCH(856, 輔助計算!$G$2:$G$801, 0)+1))="","",INDEX(ERP資料!$H:$H, (MATCH(856, 輔助計算!$G$2:$G$801, 0)+1))), "")</f>
        <v/>
      </c>
      <c r="F857" s="10">
        <f>IFERROR(IF(INDEX(ERP資料!$E:$E, (MATCH(856, 輔助計算!$G$2:$G$801, 0)+1))="","",TRIM(INDEX(ERP資料!$E:$E, (MATCH(856, 輔助計算!$G$2:$G$801, 0)+1)))), "")</f>
        <v/>
      </c>
      <c r="G857" s="10">
        <f>IFERROR(IF(INDEX(ERP資料!$F:$F, (MATCH(856, 輔助計算!$G$2:$G$801, 0)+1))="","",INDEX(ERP資料!$F:$F, (MATCH(856, 輔助計算!$G$2:$G$801, 0)+1))), "")</f>
        <v/>
      </c>
      <c r="H857" s="10">
        <f>IFERROR(IF(INDEX(ERP資料!$G:$G, (MATCH(856, 輔助計算!$G$2:$G$801, 0)+1))="","",INDEX(ERP資料!$G:$G, (MATCH(856, 輔助計算!$G$2:$G$801, 0)+1))), "")</f>
        <v/>
      </c>
      <c r="I857" s="15">
        <f>IFERROR(INDEX(輔助計算!$D:$D, (MATCH(856, 輔助計算!$G$2:$G$801, 0)+1)), "")</f>
        <v/>
      </c>
      <c r="J857" s="15">
        <f>IFERROR(IF(AND(INDEX(輔助計算!$D:$D, (MATCH(856, 輔助計算!$G$2:$G$801, 0)+1))&lt;&gt;"", INDEX(ERP資料!$G:$G, (MATCH(856, 輔助計算!$G$2:$G$801, 0)+1))&lt;&gt;""), TRIM(IF(INT(INDEX(輔助計算!$D:$D, (MATCH(856, 輔助計算!$G$2:$G$801, 0)+1))/IF(INDEX(ERP資料!$G:$G, (MATCH(856, 輔助計算!$G$2:$G$801, 0)+1))&lt;100, IF(INDEX(ERP資料!$G:$G, (MATCH(856, 輔助計算!$G$2:$G$801, 0)+1))&lt;=31,3,IF(INDEX(ERP資料!$G:$G, (MATCH(856, 輔助計算!$G$2:$G$801, 0)+1))&lt;=46.5,2,1)), IF(INDEX(ERP資料!$G:$G, (MATCH(856, 輔助計算!$G$2:$G$801, 0)+1))&lt;=790,3,IF(INDEX(ERP資料!$G:$G, (MATCH(856, 輔助計算!$G$2:$G$801, 0)+1))&lt;=1181,2,1))))&gt;0, IF(IF(INDEX(ERP資料!$G:$G, (MATCH(856, 輔助計算!$G$2:$G$801, 0)+1))&lt;100, IF(INDEX(ERP資料!$G:$G, (MATCH(856, 輔助計算!$G$2:$G$801, 0)+1))&lt;=31,3,IF(INDEX(ERP資料!$G:$G, (MATCH(856, 輔助計算!$G$2:$G$801, 0)+1))&lt;=46.5,2,1)), IF(INDEX(ERP資料!$G:$G, (MATCH(856, 輔助計算!$G$2:$G$801, 0)+1))&lt;=790,3,IF(INDEX(ERP資料!$G:$G, (MATCH(856, 輔助計算!$G$2:$G$801, 0)+1))&lt;=1181,2,1)))=1,TEXT(INDEX(ERP資料!$G:$G, (MATCH(856, 輔助計算!$G$2:$G$801, 0)+1)),"0.##"),IF(IF(INDEX(ERP資料!$G:$G, (MATCH(856, 輔助計算!$G$2:$G$801, 0)+1))&lt;100, IF(INDEX(ERP資料!$G:$G, (MATCH(856, 輔助計算!$G$2:$G$801, 0)+1))&lt;=31,3,IF(INDEX(ERP資料!$G:$G, (MATCH(856, 輔助計算!$G$2:$G$801, 0)+1))&lt;=46.5,2,1)), IF(INDEX(ERP資料!$G:$G, (MATCH(856, 輔助計算!$G$2:$G$801, 0)+1))&lt;=790,3,IF(INDEX(ERP資料!$G:$G, (MATCH(856, 輔助計算!$G$2:$G$801, 0)+1))&lt;=1181,2,1)))=2,TEXT(INDEX(ERP資料!$G:$G, (MATCH(856, 輔助計算!$G$2:$G$801, 0)+1)),"0.##")&amp;"+"&amp;TEXT(INDEX(ERP資料!$G:$G, (MATCH(856, 輔助計算!$G$2:$G$801, 0)+1)),"0.##"),TEXT(INDEX(ERP資料!$G:$G, (MATCH(856, 輔助計算!$G$2:$G$801, 0)+1)),"0.##")&amp;"+"&amp;TEXT(INDEX(ERP資料!$G:$G, (MATCH(856, 輔助計算!$G$2:$G$801, 0)+1)),"0.##")&amp;"+"&amp;TEXT(INDEX(ERP資料!$G:$G, (MATCH(856, 輔助計算!$G$2:$G$801, 0)+1)),"0.##")))&amp;"-"&amp;INT(INDEX(輔助計算!$D:$D, (MATCH(856, 輔助計算!$G$2:$G$801, 0)+1))/IF(INDEX(ERP資料!$G:$G, (MATCH(856, 輔助計算!$G$2:$G$801, 0)+1))&lt;100, IF(INDEX(ERP資料!$G:$G, (MATCH(856, 輔助計算!$G$2:$G$801, 0)+1))&lt;=31,3,IF(INDEX(ERP資料!$G:$G, (MATCH(856, 輔助計算!$G$2:$G$801, 0)+1))&lt;=46.5,2,1)), IF(INDEX(ERP資料!$G:$G, (MATCH(856, 輔助計算!$G$2:$G$801, 0)+1))&lt;=790,3,IF(INDEX(ERP資料!$G:$G, (MATCH(856, 輔助計算!$G$2:$G$801, 0)+1))&lt;=1181,2,1)))), "")&amp;IF(AND(IF(INT(INDEX(輔助計算!$D:$D, (MATCH(856, 輔助計算!$G$2:$G$801, 0)+1))/IF(INDEX(ERP資料!$G:$G, (MATCH(856, 輔助計算!$G$2:$G$801, 0)+1))&lt;100, IF(INDEX(ERP資料!$G:$G, (MATCH(856, 輔助計算!$G$2:$G$801, 0)+1))&lt;=31,3,IF(INDEX(ERP資料!$G:$G, (MATCH(856, 輔助計算!$G$2:$G$801, 0)+1))&lt;=46.5,2,1)), IF(INDEX(ERP資料!$G:$G, (MATCH(856, 輔助計算!$G$2:$G$801, 0)+1))&lt;=790,3,IF(INDEX(ERP資料!$G:$G, (MATCH(856, 輔助計算!$G$2:$G$801, 0)+1))&lt;=1181,2,1))))&gt;0, IF(IF(INDEX(ERP資料!$G:$G, (MATCH(856, 輔助計算!$G$2:$G$801, 0)+1))&lt;100, IF(INDEX(ERP資料!$G:$G, (MATCH(856, 輔助計算!$G$2:$G$801, 0)+1))&lt;=31,3,IF(INDEX(ERP資料!$G:$G, (MATCH(856, 輔助計算!$G$2:$G$801, 0)+1))&lt;=46.5,2,1)), IF(INDEX(ERP資料!$G:$G, (MATCH(856, 輔助計算!$G$2:$G$801, 0)+1))&lt;=790,3,IF(INDEX(ERP資料!$G:$G, (MATCH(856, 輔助計算!$G$2:$G$801, 0)+1))&lt;=1181,2,1)))=1,TEXT(INDEX(ERP資料!$G:$G, (MATCH(856, 輔助計算!$G$2:$G$801, 0)+1)),"0.##"),IF(IF(INDEX(ERP資料!$G:$G, (MATCH(856, 輔助計算!$G$2:$G$801, 0)+1))&lt;100, IF(INDEX(ERP資料!$G:$G, (MATCH(856, 輔助計算!$G$2:$G$801, 0)+1))&lt;=31,3,IF(INDEX(ERP資料!$G:$G, (MATCH(856, 輔助計算!$G$2:$G$801, 0)+1))&lt;=46.5,2,1)), IF(INDEX(ERP資料!$G:$G, (MATCH(856, 輔助計算!$G$2:$G$801, 0)+1))&lt;=790,3,IF(INDEX(ERP資料!$G:$G, (MATCH(856, 輔助計算!$G$2:$G$801, 0)+1))&lt;=1181,2,1)))=2,TEXT(INDEX(ERP資料!$G:$G, (MATCH(856, 輔助計算!$G$2:$G$801, 0)+1)),"0.##")&amp;"+"&amp;TEXT(INDEX(ERP資料!$G:$G, (MATCH(856, 輔助計算!$G$2:$G$801, 0)+1)),"0.##"),TEXT(INDEX(ERP資料!$G:$G, (MATCH(856, 輔助計算!$G$2:$G$801, 0)+1)),"0.##")&amp;"+"&amp;TEXT(INDEX(ERP資料!$G:$G, (MATCH(856, 輔助計算!$G$2:$G$801, 0)+1)),"0.##")&amp;"+"&amp;TEXT(INDEX(ERP資料!$G:$G, (MATCH(856, 輔助計算!$G$2:$G$801, 0)+1)),"0.##")))&amp;"-"&amp;INT(INDEX(輔助計算!$D:$D, (MATCH(856, 輔助計算!$G$2:$G$801, 0)+1))/IF(INDEX(ERP資料!$G:$G, (MATCH(856, 輔助計算!$G$2:$G$801, 0)+1))&lt;100, IF(INDEX(ERP資料!$G:$G, (MATCH(856, 輔助計算!$G$2:$G$801, 0)+1))&lt;=31,3,IF(INDEX(ERP資料!$G:$G, (MATCH(856, 輔助計算!$G$2:$G$801, 0)+1))&lt;=46.5,2,1)), IF(INDEX(ERP資料!$G:$G, (MATCH(856, 輔助計算!$G$2:$G$801, 0)+1))&lt;=790,3,IF(INDEX(ERP資料!$G:$G, (MATCH(856, 輔助計算!$G$2:$G$801, 0)+1))&lt;=1181,2,1)))), "")&lt;&gt;"",IF(MOD(INDEX(輔助計算!$D:$D, (MATCH(856, 輔助計算!$G$2:$G$801, 0)+1)),IF(INDEX(ERP資料!$G:$G, (MATCH(856, 輔助計算!$G$2:$G$801, 0)+1))&lt;100, IF(INDEX(ERP資料!$G:$G, (MATCH(856, 輔助計算!$G$2:$G$801, 0)+1))&lt;=31,3,IF(INDEX(ERP資料!$G:$G, (MATCH(856, 輔助計算!$G$2:$G$801, 0)+1))&lt;=46.5,2,1)), IF(INDEX(ERP資料!$G:$G, (MATCH(856, 輔助計算!$G$2:$G$801, 0)+1))&lt;=790,3,IF(INDEX(ERP資料!$G:$G, (MATCH(856, 輔助計算!$G$2:$G$801, 0)+1))&lt;=1181,2,1))))=0,"",IF(MOD(INDEX(輔助計算!$D:$D, (MATCH(856, 輔助計算!$G$2:$G$801, 0)+1)),IF(INDEX(ERP資料!$G:$G, (MATCH(856, 輔助計算!$G$2:$G$801, 0)+1))&lt;100, IF(INDEX(ERP資料!$G:$G, (MATCH(856, 輔助計算!$G$2:$G$801, 0)+1))&lt;=31,3,IF(INDEX(ERP資料!$G:$G, (MATCH(856, 輔助計算!$G$2:$G$801, 0)+1))&lt;=46.5,2,1)), IF(INDEX(ERP資料!$G:$G, (MATCH(856, 輔助計算!$G$2:$G$801, 0)+1))&lt;=790,3,IF(INDEX(ERP資料!$G:$G, (MATCH(856, 輔助計算!$G$2:$G$801, 0)+1))&lt;=1181,2,1))))=0,"",IF(MOD(INDEX(輔助計算!$D:$D, (MATCH(856, 輔助計算!$G$2:$G$801, 0)+1)),IF(INDEX(ERP資料!$G:$G, (MATCH(856, 輔助計算!$G$2:$G$801, 0)+1))&lt;100, IF(INDEX(ERP資料!$G:$G, (MATCH(856, 輔助計算!$G$2:$G$801, 0)+1))&lt;=31,3,IF(INDEX(ERP資料!$G:$G, (MATCH(856, 輔助計算!$G$2:$G$801, 0)+1))&lt;=46.5,2,1)), IF(INDEX(ERP資料!$G:$G, (MATCH(856, 輔助計算!$G$2:$G$801, 0)+1))&lt;=790,3,IF(INDEX(ERP資料!$G:$G, (MATCH(856, 輔助計算!$G$2:$G$801, 0)+1))&lt;=1181,2,1))))=1,TEXT(INDEX(ERP資料!$G:$G, (MATCH(856, 輔助計算!$G$2:$G$801, 0)+1)),"0.##"),IF(MOD(INDEX(輔助計算!$D:$D, (MATCH(856, 輔助計算!$G$2:$G$801, 0)+1)),IF(INDEX(ERP資料!$G:$G, (MATCH(856, 輔助計算!$G$2:$G$801, 0)+1))&lt;100, IF(INDEX(ERP資料!$G:$G, (MATCH(856, 輔助計算!$G$2:$G$801, 0)+1))&lt;=31,3,IF(INDEX(ERP資料!$G:$G, (MATCH(856, 輔助計算!$G$2:$G$801, 0)+1))&lt;=46.5,2,1)), IF(INDEX(ERP資料!$G:$G, (MATCH(856, 輔助計算!$G$2:$G$801, 0)+1))&lt;=790,3,IF(INDEX(ERP資料!$G:$G, (MATCH(856, 輔助計算!$G$2:$G$801, 0)+1))&lt;=1181,2,1))))=2,TEXT(INDEX(ERP資料!$G:$G, (MATCH(856, 輔助計算!$G$2:$G$801, 0)+1)),"0.##")&amp;"+"&amp;TEXT(INDEX(ERP資料!$G:$G, (MATCH(856, 輔助計算!$G$2:$G$801, 0)+1)),"0.##"),TEXT(INDEX(ERP資料!$G:$G, (MATCH(856, 輔助計算!$G$2:$G$801, 0)+1)),"0.##")&amp;"+"&amp;TEXT(INDEX(ERP資料!$G:$G, (MATCH(856, 輔助計算!$G$2:$G$801, 0)+1)),"0.##")&amp;"+"&amp;TEXT(INDEX(ERP資料!$G:$G, (MATCH(856, 輔助計算!$G$2:$G$801, 0)+1)),"0.##"))))&amp;"-1")&lt;&gt;""),"  ","")&amp;IF(MOD(INDEX(輔助計算!$D:$D, (MATCH(856, 輔助計算!$G$2:$G$801, 0)+1)),IF(INDEX(ERP資料!$G:$G, (MATCH(856, 輔助計算!$G$2:$G$801, 0)+1))&lt;100, IF(INDEX(ERP資料!$G:$G, (MATCH(856, 輔助計算!$G$2:$G$801, 0)+1))&lt;=31,3,IF(INDEX(ERP資料!$G:$G, (MATCH(856, 輔助計算!$G$2:$G$801, 0)+1))&lt;=46.5,2,1)), IF(INDEX(ERP資料!$G:$G, (MATCH(856, 輔助計算!$G$2:$G$801, 0)+1))&lt;=790,3,IF(INDEX(ERP資料!$G:$G, (MATCH(856, 輔助計算!$G$2:$G$801, 0)+1))&lt;=1181,2,1))))=0,"",IF(MOD(INDEX(輔助計算!$D:$D, (MATCH(856, 輔助計算!$G$2:$G$801, 0)+1)),IF(INDEX(ERP資料!$G:$G, (MATCH(856, 輔助計算!$G$2:$G$801, 0)+1))&lt;100, IF(INDEX(ERP資料!$G:$G, (MATCH(856, 輔助計算!$G$2:$G$801, 0)+1))&lt;=31,3,IF(INDEX(ERP資料!$G:$G, (MATCH(856, 輔助計算!$G$2:$G$801, 0)+1))&lt;=46.5,2,1)), IF(INDEX(ERP資料!$G:$G, (MATCH(856, 輔助計算!$G$2:$G$801, 0)+1))&lt;=790,3,IF(INDEX(ERP資料!$G:$G, (MATCH(856, 輔助計算!$G$2:$G$801, 0)+1))&lt;=1181,2,1))))=0,"",IF(MOD(INDEX(輔助計算!$D:$D, (MATCH(856, 輔助計算!$G$2:$G$801, 0)+1)),IF(INDEX(ERP資料!$G:$G, (MATCH(856, 輔助計算!$G$2:$G$801, 0)+1))&lt;100, IF(INDEX(ERP資料!$G:$G, (MATCH(856, 輔助計算!$G$2:$G$801, 0)+1))&lt;=31,3,IF(INDEX(ERP資料!$G:$G, (MATCH(856, 輔助計算!$G$2:$G$801, 0)+1))&lt;=46.5,2,1)), IF(INDEX(ERP資料!$G:$G, (MATCH(856, 輔助計算!$G$2:$G$801, 0)+1))&lt;=790,3,IF(INDEX(ERP資料!$G:$G, (MATCH(856, 輔助計算!$G$2:$G$801, 0)+1))&lt;=1181,2,1))))=1,TEXT(INDEX(ERP資料!$G:$G, (MATCH(856, 輔助計算!$G$2:$G$801, 0)+1)),"0.##"),IF(MOD(INDEX(輔助計算!$D:$D, (MATCH(856, 輔助計算!$G$2:$G$801, 0)+1)),IF(INDEX(ERP資料!$G:$G, (MATCH(856, 輔助計算!$G$2:$G$801, 0)+1))&lt;100, IF(INDEX(ERP資料!$G:$G, (MATCH(856, 輔助計算!$G$2:$G$801, 0)+1))&lt;=31,3,IF(INDEX(ERP資料!$G:$G, (MATCH(856, 輔助計算!$G$2:$G$801, 0)+1))&lt;=46.5,2,1)), IF(INDEX(ERP資料!$G:$G, (MATCH(856, 輔助計算!$G$2:$G$801, 0)+1))&lt;=790,3,IF(INDEX(ERP資料!$G:$G, (MATCH(856, 輔助計算!$G$2:$G$801, 0)+1))&lt;=1181,2,1))))=2,TEXT(INDEX(ERP資料!$G:$G, (MATCH(856, 輔助計算!$G$2:$G$801, 0)+1)),"0.##")&amp;"+"&amp;TEXT(INDEX(ERP資料!$G:$G, (MATCH(856, 輔助計算!$G$2:$G$801, 0)+1)),"0.##"),TEXT(INDEX(ERP資料!$G:$G, (MATCH(856, 輔助計算!$G$2:$G$801, 0)+1)),"0.##")&amp;"+"&amp;TEXT(INDEX(ERP資料!$G:$G, (MATCH(856, 輔助計算!$G$2:$G$801, 0)+1)),"0.##")&amp;"+"&amp;TEXT(INDEX(ERP資料!$G:$G, (MATCH(856, 輔助計算!$G$2:$G$801, 0)+1)),"0.##"))))&amp;"-1")), ""), "")</f>
        <v/>
      </c>
      <c r="K857" s="16" t="n"/>
      <c r="L857" s="14">
        <f>IFERROR(IF(AND(IFERROR(INDEX(ERP資料!$A:$A, (MATCH(856, 輔助計算!$G$2:$G$801, 0)+1)), "")&lt;&gt;"", IFERROR(INDEX(ERP資料!$A:$A, (MATCH(856, 輔助計算!$G$2:$G$801, 0)+1)), "")&lt;&gt;IFERROR(INDEX(ERP資料!$A:$A, MATCH(855, 輔助計算!$G$2:$G$801, 0)+1), "")), INDEX(ERP資料!$B:$B, (MATCH(856, 輔助計算!$G$2:$G$801, 0)+1)), ""), "")</f>
        <v/>
      </c>
      <c r="M857" s="17" t="n"/>
    </row>
    <row r="858">
      <c r="A858" s="10">
        <f>IFERROR(IF(AND(IFERROR(INDEX(ERP資料!$A:$A, (MATCH(857, 輔助計算!$G$2:$G$801, 0)+1)), "")&lt;&gt;"", IFERROR(INDEX(ERP資料!$A:$A, (MATCH(857, 輔助計算!$G$2:$G$801, 0)+1)), "")&lt;&gt;IFERROR(INDEX(ERP資料!$A:$A, MATCH(856, 輔助計算!$G$2:$G$801, 0)+1), "")), IFERROR(INDEX(ERP資料!$A:$A, (MATCH(857, 輔助計算!$G$2:$G$801, 0)+1)), ""), ""), "")</f>
        <v/>
      </c>
      <c r="B858" s="10">
        <f>IFERROR(IF(AND(IFERROR(INDEX(ERP資料!$A:$A, (MATCH(857, 輔助計算!$G$2:$G$801, 0)+1)), "")&lt;&gt;"", IFERROR(INDEX(ERP資料!$A:$A, (MATCH(857, 輔助計算!$G$2:$G$801, 0)+1)), "")&lt;&gt;IFERROR(INDEX(ERP資料!$A:$A, MATCH(856, 輔助計算!$G$2:$G$801, 0)+1), "")), INDEX(ERP資料!$S:$S, (MATCH(857, 輔助計算!$G$2:$G$801, 0)+1)), ""), "")</f>
        <v/>
      </c>
      <c r="C858" s="19">
        <f>IFERROR(IF(AND(IFERROR(INDEX(ERP資料!$A:$A, (MATCH(857, 輔助計算!$G$2:$G$801, 0)+1)), "")&lt;&gt;"", IFERROR(INDEX(ERP資料!$A:$A, (MATCH(857, 輔助計算!$G$2:$G$801, 0)+1)), "")&lt;&gt;IFERROR(INDEX(ERP資料!$A:$A, MATCH(856, 輔助計算!$G$2:$G$801, 0)+1), "")), IFERROR(VLOOKUP(LEFT(INDEX(ERP資料!$S:$S, (MATCH(857, 輔助計算!$G$2:$G$801, 0)+1)), 4), 紙管對照表!$A:$C, 3, FALSE), ""), ""), "")</f>
        <v/>
      </c>
      <c r="D858" s="16" t="n"/>
      <c r="E858" s="10">
        <f>IFERROR(IF(INDEX(ERP資料!$H:$H, (MATCH(857, 輔助計算!$G$2:$G$801, 0)+1))="","",INDEX(ERP資料!$H:$H, (MATCH(857, 輔助計算!$G$2:$G$801, 0)+1))), "")</f>
        <v/>
      </c>
      <c r="F858" s="10">
        <f>IFERROR(IF(INDEX(ERP資料!$E:$E, (MATCH(857, 輔助計算!$G$2:$G$801, 0)+1))="","",TRIM(INDEX(ERP資料!$E:$E, (MATCH(857, 輔助計算!$G$2:$G$801, 0)+1)))), "")</f>
        <v/>
      </c>
      <c r="G858" s="10">
        <f>IFERROR(IF(INDEX(ERP資料!$F:$F, (MATCH(857, 輔助計算!$G$2:$G$801, 0)+1))="","",INDEX(ERP資料!$F:$F, (MATCH(857, 輔助計算!$G$2:$G$801, 0)+1))), "")</f>
        <v/>
      </c>
      <c r="H858" s="10">
        <f>IFERROR(IF(INDEX(ERP資料!$G:$G, (MATCH(857, 輔助計算!$G$2:$G$801, 0)+1))="","",INDEX(ERP資料!$G:$G, (MATCH(857, 輔助計算!$G$2:$G$801, 0)+1))), "")</f>
        <v/>
      </c>
      <c r="I858" s="15">
        <f>IFERROR(INDEX(輔助計算!$D:$D, (MATCH(857, 輔助計算!$G$2:$G$801, 0)+1)), "")</f>
        <v/>
      </c>
      <c r="J858" s="15">
        <f>IFERROR(IF(AND(INDEX(輔助計算!$D:$D, (MATCH(857, 輔助計算!$G$2:$G$801, 0)+1))&lt;&gt;"", INDEX(ERP資料!$G:$G, (MATCH(857, 輔助計算!$G$2:$G$801, 0)+1))&lt;&gt;""), TRIM(IF(INT(INDEX(輔助計算!$D:$D, (MATCH(857, 輔助計算!$G$2:$G$801, 0)+1))/IF(INDEX(ERP資料!$G:$G, (MATCH(857, 輔助計算!$G$2:$G$801, 0)+1))&lt;100, IF(INDEX(ERP資料!$G:$G, (MATCH(857, 輔助計算!$G$2:$G$801, 0)+1))&lt;=31,3,IF(INDEX(ERP資料!$G:$G, (MATCH(857, 輔助計算!$G$2:$G$801, 0)+1))&lt;=46.5,2,1)), IF(INDEX(ERP資料!$G:$G, (MATCH(857, 輔助計算!$G$2:$G$801, 0)+1))&lt;=790,3,IF(INDEX(ERP資料!$G:$G, (MATCH(857, 輔助計算!$G$2:$G$801, 0)+1))&lt;=1181,2,1))))&gt;0, IF(IF(INDEX(ERP資料!$G:$G, (MATCH(857, 輔助計算!$G$2:$G$801, 0)+1))&lt;100, IF(INDEX(ERP資料!$G:$G, (MATCH(857, 輔助計算!$G$2:$G$801, 0)+1))&lt;=31,3,IF(INDEX(ERP資料!$G:$G, (MATCH(857, 輔助計算!$G$2:$G$801, 0)+1))&lt;=46.5,2,1)), IF(INDEX(ERP資料!$G:$G, (MATCH(857, 輔助計算!$G$2:$G$801, 0)+1))&lt;=790,3,IF(INDEX(ERP資料!$G:$G, (MATCH(857, 輔助計算!$G$2:$G$801, 0)+1))&lt;=1181,2,1)))=1,TEXT(INDEX(ERP資料!$G:$G, (MATCH(857, 輔助計算!$G$2:$G$801, 0)+1)),"0.##"),IF(IF(INDEX(ERP資料!$G:$G, (MATCH(857, 輔助計算!$G$2:$G$801, 0)+1))&lt;100, IF(INDEX(ERP資料!$G:$G, (MATCH(857, 輔助計算!$G$2:$G$801, 0)+1))&lt;=31,3,IF(INDEX(ERP資料!$G:$G, (MATCH(857, 輔助計算!$G$2:$G$801, 0)+1))&lt;=46.5,2,1)), IF(INDEX(ERP資料!$G:$G, (MATCH(857, 輔助計算!$G$2:$G$801, 0)+1))&lt;=790,3,IF(INDEX(ERP資料!$G:$G, (MATCH(857, 輔助計算!$G$2:$G$801, 0)+1))&lt;=1181,2,1)))=2,TEXT(INDEX(ERP資料!$G:$G, (MATCH(857, 輔助計算!$G$2:$G$801, 0)+1)),"0.##")&amp;"+"&amp;TEXT(INDEX(ERP資料!$G:$G, (MATCH(857, 輔助計算!$G$2:$G$801, 0)+1)),"0.##"),TEXT(INDEX(ERP資料!$G:$G, (MATCH(857, 輔助計算!$G$2:$G$801, 0)+1)),"0.##")&amp;"+"&amp;TEXT(INDEX(ERP資料!$G:$G, (MATCH(857, 輔助計算!$G$2:$G$801, 0)+1)),"0.##")&amp;"+"&amp;TEXT(INDEX(ERP資料!$G:$G, (MATCH(857, 輔助計算!$G$2:$G$801, 0)+1)),"0.##")))&amp;"-"&amp;INT(INDEX(輔助計算!$D:$D, (MATCH(857, 輔助計算!$G$2:$G$801, 0)+1))/IF(INDEX(ERP資料!$G:$G, (MATCH(857, 輔助計算!$G$2:$G$801, 0)+1))&lt;100, IF(INDEX(ERP資料!$G:$G, (MATCH(857, 輔助計算!$G$2:$G$801, 0)+1))&lt;=31,3,IF(INDEX(ERP資料!$G:$G, (MATCH(857, 輔助計算!$G$2:$G$801, 0)+1))&lt;=46.5,2,1)), IF(INDEX(ERP資料!$G:$G, (MATCH(857, 輔助計算!$G$2:$G$801, 0)+1))&lt;=790,3,IF(INDEX(ERP資料!$G:$G, (MATCH(857, 輔助計算!$G$2:$G$801, 0)+1))&lt;=1181,2,1)))), "")&amp;IF(AND(IF(INT(INDEX(輔助計算!$D:$D, (MATCH(857, 輔助計算!$G$2:$G$801, 0)+1))/IF(INDEX(ERP資料!$G:$G, (MATCH(857, 輔助計算!$G$2:$G$801, 0)+1))&lt;100, IF(INDEX(ERP資料!$G:$G, (MATCH(857, 輔助計算!$G$2:$G$801, 0)+1))&lt;=31,3,IF(INDEX(ERP資料!$G:$G, (MATCH(857, 輔助計算!$G$2:$G$801, 0)+1))&lt;=46.5,2,1)), IF(INDEX(ERP資料!$G:$G, (MATCH(857, 輔助計算!$G$2:$G$801, 0)+1))&lt;=790,3,IF(INDEX(ERP資料!$G:$G, (MATCH(857, 輔助計算!$G$2:$G$801, 0)+1))&lt;=1181,2,1))))&gt;0, IF(IF(INDEX(ERP資料!$G:$G, (MATCH(857, 輔助計算!$G$2:$G$801, 0)+1))&lt;100, IF(INDEX(ERP資料!$G:$G, (MATCH(857, 輔助計算!$G$2:$G$801, 0)+1))&lt;=31,3,IF(INDEX(ERP資料!$G:$G, (MATCH(857, 輔助計算!$G$2:$G$801, 0)+1))&lt;=46.5,2,1)), IF(INDEX(ERP資料!$G:$G, (MATCH(857, 輔助計算!$G$2:$G$801, 0)+1))&lt;=790,3,IF(INDEX(ERP資料!$G:$G, (MATCH(857, 輔助計算!$G$2:$G$801, 0)+1))&lt;=1181,2,1)))=1,TEXT(INDEX(ERP資料!$G:$G, (MATCH(857, 輔助計算!$G$2:$G$801, 0)+1)),"0.##"),IF(IF(INDEX(ERP資料!$G:$G, (MATCH(857, 輔助計算!$G$2:$G$801, 0)+1))&lt;100, IF(INDEX(ERP資料!$G:$G, (MATCH(857, 輔助計算!$G$2:$G$801, 0)+1))&lt;=31,3,IF(INDEX(ERP資料!$G:$G, (MATCH(857, 輔助計算!$G$2:$G$801, 0)+1))&lt;=46.5,2,1)), IF(INDEX(ERP資料!$G:$G, (MATCH(857, 輔助計算!$G$2:$G$801, 0)+1))&lt;=790,3,IF(INDEX(ERP資料!$G:$G, (MATCH(857, 輔助計算!$G$2:$G$801, 0)+1))&lt;=1181,2,1)))=2,TEXT(INDEX(ERP資料!$G:$G, (MATCH(857, 輔助計算!$G$2:$G$801, 0)+1)),"0.##")&amp;"+"&amp;TEXT(INDEX(ERP資料!$G:$G, (MATCH(857, 輔助計算!$G$2:$G$801, 0)+1)),"0.##"),TEXT(INDEX(ERP資料!$G:$G, (MATCH(857, 輔助計算!$G$2:$G$801, 0)+1)),"0.##")&amp;"+"&amp;TEXT(INDEX(ERP資料!$G:$G, (MATCH(857, 輔助計算!$G$2:$G$801, 0)+1)),"0.##")&amp;"+"&amp;TEXT(INDEX(ERP資料!$G:$G, (MATCH(857, 輔助計算!$G$2:$G$801, 0)+1)),"0.##")))&amp;"-"&amp;INT(INDEX(輔助計算!$D:$D, (MATCH(857, 輔助計算!$G$2:$G$801, 0)+1))/IF(INDEX(ERP資料!$G:$G, (MATCH(857, 輔助計算!$G$2:$G$801, 0)+1))&lt;100, IF(INDEX(ERP資料!$G:$G, (MATCH(857, 輔助計算!$G$2:$G$801, 0)+1))&lt;=31,3,IF(INDEX(ERP資料!$G:$G, (MATCH(857, 輔助計算!$G$2:$G$801, 0)+1))&lt;=46.5,2,1)), IF(INDEX(ERP資料!$G:$G, (MATCH(857, 輔助計算!$G$2:$G$801, 0)+1))&lt;=790,3,IF(INDEX(ERP資料!$G:$G, (MATCH(857, 輔助計算!$G$2:$G$801, 0)+1))&lt;=1181,2,1)))), "")&lt;&gt;"",IF(MOD(INDEX(輔助計算!$D:$D, (MATCH(857, 輔助計算!$G$2:$G$801, 0)+1)),IF(INDEX(ERP資料!$G:$G, (MATCH(857, 輔助計算!$G$2:$G$801, 0)+1))&lt;100, IF(INDEX(ERP資料!$G:$G, (MATCH(857, 輔助計算!$G$2:$G$801, 0)+1))&lt;=31,3,IF(INDEX(ERP資料!$G:$G, (MATCH(857, 輔助計算!$G$2:$G$801, 0)+1))&lt;=46.5,2,1)), IF(INDEX(ERP資料!$G:$G, (MATCH(857, 輔助計算!$G$2:$G$801, 0)+1))&lt;=790,3,IF(INDEX(ERP資料!$G:$G, (MATCH(857, 輔助計算!$G$2:$G$801, 0)+1))&lt;=1181,2,1))))=0,"",IF(MOD(INDEX(輔助計算!$D:$D, (MATCH(857, 輔助計算!$G$2:$G$801, 0)+1)),IF(INDEX(ERP資料!$G:$G, (MATCH(857, 輔助計算!$G$2:$G$801, 0)+1))&lt;100, IF(INDEX(ERP資料!$G:$G, (MATCH(857, 輔助計算!$G$2:$G$801, 0)+1))&lt;=31,3,IF(INDEX(ERP資料!$G:$G, (MATCH(857, 輔助計算!$G$2:$G$801, 0)+1))&lt;=46.5,2,1)), IF(INDEX(ERP資料!$G:$G, (MATCH(857, 輔助計算!$G$2:$G$801, 0)+1))&lt;=790,3,IF(INDEX(ERP資料!$G:$G, (MATCH(857, 輔助計算!$G$2:$G$801, 0)+1))&lt;=1181,2,1))))=0,"",IF(MOD(INDEX(輔助計算!$D:$D, (MATCH(857, 輔助計算!$G$2:$G$801, 0)+1)),IF(INDEX(ERP資料!$G:$G, (MATCH(857, 輔助計算!$G$2:$G$801, 0)+1))&lt;100, IF(INDEX(ERP資料!$G:$G, (MATCH(857, 輔助計算!$G$2:$G$801, 0)+1))&lt;=31,3,IF(INDEX(ERP資料!$G:$G, (MATCH(857, 輔助計算!$G$2:$G$801, 0)+1))&lt;=46.5,2,1)), IF(INDEX(ERP資料!$G:$G, (MATCH(857, 輔助計算!$G$2:$G$801, 0)+1))&lt;=790,3,IF(INDEX(ERP資料!$G:$G, (MATCH(857, 輔助計算!$G$2:$G$801, 0)+1))&lt;=1181,2,1))))=1,TEXT(INDEX(ERP資料!$G:$G, (MATCH(857, 輔助計算!$G$2:$G$801, 0)+1)),"0.##"),IF(MOD(INDEX(輔助計算!$D:$D, (MATCH(857, 輔助計算!$G$2:$G$801, 0)+1)),IF(INDEX(ERP資料!$G:$G, (MATCH(857, 輔助計算!$G$2:$G$801, 0)+1))&lt;100, IF(INDEX(ERP資料!$G:$G, (MATCH(857, 輔助計算!$G$2:$G$801, 0)+1))&lt;=31,3,IF(INDEX(ERP資料!$G:$G, (MATCH(857, 輔助計算!$G$2:$G$801, 0)+1))&lt;=46.5,2,1)), IF(INDEX(ERP資料!$G:$G, (MATCH(857, 輔助計算!$G$2:$G$801, 0)+1))&lt;=790,3,IF(INDEX(ERP資料!$G:$G, (MATCH(857, 輔助計算!$G$2:$G$801, 0)+1))&lt;=1181,2,1))))=2,TEXT(INDEX(ERP資料!$G:$G, (MATCH(857, 輔助計算!$G$2:$G$801, 0)+1)),"0.##")&amp;"+"&amp;TEXT(INDEX(ERP資料!$G:$G, (MATCH(857, 輔助計算!$G$2:$G$801, 0)+1)),"0.##"),TEXT(INDEX(ERP資料!$G:$G, (MATCH(857, 輔助計算!$G$2:$G$801, 0)+1)),"0.##")&amp;"+"&amp;TEXT(INDEX(ERP資料!$G:$G, (MATCH(857, 輔助計算!$G$2:$G$801, 0)+1)),"0.##")&amp;"+"&amp;TEXT(INDEX(ERP資料!$G:$G, (MATCH(857, 輔助計算!$G$2:$G$801, 0)+1)),"0.##"))))&amp;"-1")&lt;&gt;""),"  ","")&amp;IF(MOD(INDEX(輔助計算!$D:$D, (MATCH(857, 輔助計算!$G$2:$G$801, 0)+1)),IF(INDEX(ERP資料!$G:$G, (MATCH(857, 輔助計算!$G$2:$G$801, 0)+1))&lt;100, IF(INDEX(ERP資料!$G:$G, (MATCH(857, 輔助計算!$G$2:$G$801, 0)+1))&lt;=31,3,IF(INDEX(ERP資料!$G:$G, (MATCH(857, 輔助計算!$G$2:$G$801, 0)+1))&lt;=46.5,2,1)), IF(INDEX(ERP資料!$G:$G, (MATCH(857, 輔助計算!$G$2:$G$801, 0)+1))&lt;=790,3,IF(INDEX(ERP資料!$G:$G, (MATCH(857, 輔助計算!$G$2:$G$801, 0)+1))&lt;=1181,2,1))))=0,"",IF(MOD(INDEX(輔助計算!$D:$D, (MATCH(857, 輔助計算!$G$2:$G$801, 0)+1)),IF(INDEX(ERP資料!$G:$G, (MATCH(857, 輔助計算!$G$2:$G$801, 0)+1))&lt;100, IF(INDEX(ERP資料!$G:$G, (MATCH(857, 輔助計算!$G$2:$G$801, 0)+1))&lt;=31,3,IF(INDEX(ERP資料!$G:$G, (MATCH(857, 輔助計算!$G$2:$G$801, 0)+1))&lt;=46.5,2,1)), IF(INDEX(ERP資料!$G:$G, (MATCH(857, 輔助計算!$G$2:$G$801, 0)+1))&lt;=790,3,IF(INDEX(ERP資料!$G:$G, (MATCH(857, 輔助計算!$G$2:$G$801, 0)+1))&lt;=1181,2,1))))=0,"",IF(MOD(INDEX(輔助計算!$D:$D, (MATCH(857, 輔助計算!$G$2:$G$801, 0)+1)),IF(INDEX(ERP資料!$G:$G, (MATCH(857, 輔助計算!$G$2:$G$801, 0)+1))&lt;100, IF(INDEX(ERP資料!$G:$G, (MATCH(857, 輔助計算!$G$2:$G$801, 0)+1))&lt;=31,3,IF(INDEX(ERP資料!$G:$G, (MATCH(857, 輔助計算!$G$2:$G$801, 0)+1))&lt;=46.5,2,1)), IF(INDEX(ERP資料!$G:$G, (MATCH(857, 輔助計算!$G$2:$G$801, 0)+1))&lt;=790,3,IF(INDEX(ERP資料!$G:$G, (MATCH(857, 輔助計算!$G$2:$G$801, 0)+1))&lt;=1181,2,1))))=1,TEXT(INDEX(ERP資料!$G:$G, (MATCH(857, 輔助計算!$G$2:$G$801, 0)+1)),"0.##"),IF(MOD(INDEX(輔助計算!$D:$D, (MATCH(857, 輔助計算!$G$2:$G$801, 0)+1)),IF(INDEX(ERP資料!$G:$G, (MATCH(857, 輔助計算!$G$2:$G$801, 0)+1))&lt;100, IF(INDEX(ERP資料!$G:$G, (MATCH(857, 輔助計算!$G$2:$G$801, 0)+1))&lt;=31,3,IF(INDEX(ERP資料!$G:$G, (MATCH(857, 輔助計算!$G$2:$G$801, 0)+1))&lt;=46.5,2,1)), IF(INDEX(ERP資料!$G:$G, (MATCH(857, 輔助計算!$G$2:$G$801, 0)+1))&lt;=790,3,IF(INDEX(ERP資料!$G:$G, (MATCH(857, 輔助計算!$G$2:$G$801, 0)+1))&lt;=1181,2,1))))=2,TEXT(INDEX(ERP資料!$G:$G, (MATCH(857, 輔助計算!$G$2:$G$801, 0)+1)),"0.##")&amp;"+"&amp;TEXT(INDEX(ERP資料!$G:$G, (MATCH(857, 輔助計算!$G$2:$G$801, 0)+1)),"0.##"),TEXT(INDEX(ERP資料!$G:$G, (MATCH(857, 輔助計算!$G$2:$G$801, 0)+1)),"0.##")&amp;"+"&amp;TEXT(INDEX(ERP資料!$G:$G, (MATCH(857, 輔助計算!$G$2:$G$801, 0)+1)),"0.##")&amp;"+"&amp;TEXT(INDEX(ERP資料!$G:$G, (MATCH(857, 輔助計算!$G$2:$G$801, 0)+1)),"0.##"))))&amp;"-1")), ""), "")</f>
        <v/>
      </c>
      <c r="K858" s="16" t="n"/>
      <c r="L858" s="14">
        <f>IFERROR(IF(AND(IFERROR(INDEX(ERP資料!$A:$A, (MATCH(857, 輔助計算!$G$2:$G$801, 0)+1)), "")&lt;&gt;"", IFERROR(INDEX(ERP資料!$A:$A, (MATCH(857, 輔助計算!$G$2:$G$801, 0)+1)), "")&lt;&gt;IFERROR(INDEX(ERP資料!$A:$A, MATCH(856, 輔助計算!$G$2:$G$801, 0)+1), "")), INDEX(ERP資料!$B:$B, (MATCH(857, 輔助計算!$G$2:$G$801, 0)+1)), ""), "")</f>
        <v/>
      </c>
      <c r="M858" s="17" t="n"/>
    </row>
    <row r="859">
      <c r="A859" s="10">
        <f>IFERROR(IF(AND(IFERROR(INDEX(ERP資料!$A:$A, (MATCH(858, 輔助計算!$G$2:$G$801, 0)+1)), "")&lt;&gt;"", IFERROR(INDEX(ERP資料!$A:$A, (MATCH(858, 輔助計算!$G$2:$G$801, 0)+1)), "")&lt;&gt;IFERROR(INDEX(ERP資料!$A:$A, MATCH(857, 輔助計算!$G$2:$G$801, 0)+1), "")), IFERROR(INDEX(ERP資料!$A:$A, (MATCH(858, 輔助計算!$G$2:$G$801, 0)+1)), ""), ""), "")</f>
        <v/>
      </c>
      <c r="B859" s="10">
        <f>IFERROR(IF(AND(IFERROR(INDEX(ERP資料!$A:$A, (MATCH(858, 輔助計算!$G$2:$G$801, 0)+1)), "")&lt;&gt;"", IFERROR(INDEX(ERP資料!$A:$A, (MATCH(858, 輔助計算!$G$2:$G$801, 0)+1)), "")&lt;&gt;IFERROR(INDEX(ERP資料!$A:$A, MATCH(857, 輔助計算!$G$2:$G$801, 0)+1), "")), INDEX(ERP資料!$S:$S, (MATCH(858, 輔助計算!$G$2:$G$801, 0)+1)), ""), "")</f>
        <v/>
      </c>
      <c r="C859" s="19">
        <f>IFERROR(IF(AND(IFERROR(INDEX(ERP資料!$A:$A, (MATCH(858, 輔助計算!$G$2:$G$801, 0)+1)), "")&lt;&gt;"", IFERROR(INDEX(ERP資料!$A:$A, (MATCH(858, 輔助計算!$G$2:$G$801, 0)+1)), "")&lt;&gt;IFERROR(INDEX(ERP資料!$A:$A, MATCH(857, 輔助計算!$G$2:$G$801, 0)+1), "")), IFERROR(VLOOKUP(LEFT(INDEX(ERP資料!$S:$S, (MATCH(858, 輔助計算!$G$2:$G$801, 0)+1)), 4), 紙管對照表!$A:$C, 3, FALSE), ""), ""), "")</f>
        <v/>
      </c>
      <c r="D859" s="16" t="n"/>
      <c r="E859" s="10">
        <f>IFERROR(IF(INDEX(ERP資料!$H:$H, (MATCH(858, 輔助計算!$G$2:$G$801, 0)+1))="","",INDEX(ERP資料!$H:$H, (MATCH(858, 輔助計算!$G$2:$G$801, 0)+1))), "")</f>
        <v/>
      </c>
      <c r="F859" s="10">
        <f>IFERROR(IF(INDEX(ERP資料!$E:$E, (MATCH(858, 輔助計算!$G$2:$G$801, 0)+1))="","",TRIM(INDEX(ERP資料!$E:$E, (MATCH(858, 輔助計算!$G$2:$G$801, 0)+1)))), "")</f>
        <v/>
      </c>
      <c r="G859" s="10">
        <f>IFERROR(IF(INDEX(ERP資料!$F:$F, (MATCH(858, 輔助計算!$G$2:$G$801, 0)+1))="","",INDEX(ERP資料!$F:$F, (MATCH(858, 輔助計算!$G$2:$G$801, 0)+1))), "")</f>
        <v/>
      </c>
      <c r="H859" s="10">
        <f>IFERROR(IF(INDEX(ERP資料!$G:$G, (MATCH(858, 輔助計算!$G$2:$G$801, 0)+1))="","",INDEX(ERP資料!$G:$G, (MATCH(858, 輔助計算!$G$2:$G$801, 0)+1))), "")</f>
        <v/>
      </c>
      <c r="I859" s="15">
        <f>IFERROR(INDEX(輔助計算!$D:$D, (MATCH(858, 輔助計算!$G$2:$G$801, 0)+1)), "")</f>
        <v/>
      </c>
      <c r="J859" s="15">
        <f>IFERROR(IF(AND(INDEX(輔助計算!$D:$D, (MATCH(858, 輔助計算!$G$2:$G$801, 0)+1))&lt;&gt;"", INDEX(ERP資料!$G:$G, (MATCH(858, 輔助計算!$G$2:$G$801, 0)+1))&lt;&gt;""), TRIM(IF(INT(INDEX(輔助計算!$D:$D, (MATCH(858, 輔助計算!$G$2:$G$801, 0)+1))/IF(INDEX(ERP資料!$G:$G, (MATCH(858, 輔助計算!$G$2:$G$801, 0)+1))&lt;100, IF(INDEX(ERP資料!$G:$G, (MATCH(858, 輔助計算!$G$2:$G$801, 0)+1))&lt;=31,3,IF(INDEX(ERP資料!$G:$G, (MATCH(858, 輔助計算!$G$2:$G$801, 0)+1))&lt;=46.5,2,1)), IF(INDEX(ERP資料!$G:$G, (MATCH(858, 輔助計算!$G$2:$G$801, 0)+1))&lt;=790,3,IF(INDEX(ERP資料!$G:$G, (MATCH(858, 輔助計算!$G$2:$G$801, 0)+1))&lt;=1181,2,1))))&gt;0, IF(IF(INDEX(ERP資料!$G:$G, (MATCH(858, 輔助計算!$G$2:$G$801, 0)+1))&lt;100, IF(INDEX(ERP資料!$G:$G, (MATCH(858, 輔助計算!$G$2:$G$801, 0)+1))&lt;=31,3,IF(INDEX(ERP資料!$G:$G, (MATCH(858, 輔助計算!$G$2:$G$801, 0)+1))&lt;=46.5,2,1)), IF(INDEX(ERP資料!$G:$G, (MATCH(858, 輔助計算!$G$2:$G$801, 0)+1))&lt;=790,3,IF(INDEX(ERP資料!$G:$G, (MATCH(858, 輔助計算!$G$2:$G$801, 0)+1))&lt;=1181,2,1)))=1,TEXT(INDEX(ERP資料!$G:$G, (MATCH(858, 輔助計算!$G$2:$G$801, 0)+1)),"0.##"),IF(IF(INDEX(ERP資料!$G:$G, (MATCH(858, 輔助計算!$G$2:$G$801, 0)+1))&lt;100, IF(INDEX(ERP資料!$G:$G, (MATCH(858, 輔助計算!$G$2:$G$801, 0)+1))&lt;=31,3,IF(INDEX(ERP資料!$G:$G, (MATCH(858, 輔助計算!$G$2:$G$801, 0)+1))&lt;=46.5,2,1)), IF(INDEX(ERP資料!$G:$G, (MATCH(858, 輔助計算!$G$2:$G$801, 0)+1))&lt;=790,3,IF(INDEX(ERP資料!$G:$G, (MATCH(858, 輔助計算!$G$2:$G$801, 0)+1))&lt;=1181,2,1)))=2,TEXT(INDEX(ERP資料!$G:$G, (MATCH(858, 輔助計算!$G$2:$G$801, 0)+1)),"0.##")&amp;"+"&amp;TEXT(INDEX(ERP資料!$G:$G, (MATCH(858, 輔助計算!$G$2:$G$801, 0)+1)),"0.##"),TEXT(INDEX(ERP資料!$G:$G, (MATCH(858, 輔助計算!$G$2:$G$801, 0)+1)),"0.##")&amp;"+"&amp;TEXT(INDEX(ERP資料!$G:$G, (MATCH(858, 輔助計算!$G$2:$G$801, 0)+1)),"0.##")&amp;"+"&amp;TEXT(INDEX(ERP資料!$G:$G, (MATCH(858, 輔助計算!$G$2:$G$801, 0)+1)),"0.##")))&amp;"-"&amp;INT(INDEX(輔助計算!$D:$D, (MATCH(858, 輔助計算!$G$2:$G$801, 0)+1))/IF(INDEX(ERP資料!$G:$G, (MATCH(858, 輔助計算!$G$2:$G$801, 0)+1))&lt;100, IF(INDEX(ERP資料!$G:$G, (MATCH(858, 輔助計算!$G$2:$G$801, 0)+1))&lt;=31,3,IF(INDEX(ERP資料!$G:$G, (MATCH(858, 輔助計算!$G$2:$G$801, 0)+1))&lt;=46.5,2,1)), IF(INDEX(ERP資料!$G:$G, (MATCH(858, 輔助計算!$G$2:$G$801, 0)+1))&lt;=790,3,IF(INDEX(ERP資料!$G:$G, (MATCH(858, 輔助計算!$G$2:$G$801, 0)+1))&lt;=1181,2,1)))), "")&amp;IF(AND(IF(INT(INDEX(輔助計算!$D:$D, (MATCH(858, 輔助計算!$G$2:$G$801, 0)+1))/IF(INDEX(ERP資料!$G:$G, (MATCH(858, 輔助計算!$G$2:$G$801, 0)+1))&lt;100, IF(INDEX(ERP資料!$G:$G, (MATCH(858, 輔助計算!$G$2:$G$801, 0)+1))&lt;=31,3,IF(INDEX(ERP資料!$G:$G, (MATCH(858, 輔助計算!$G$2:$G$801, 0)+1))&lt;=46.5,2,1)), IF(INDEX(ERP資料!$G:$G, (MATCH(858, 輔助計算!$G$2:$G$801, 0)+1))&lt;=790,3,IF(INDEX(ERP資料!$G:$G, (MATCH(858, 輔助計算!$G$2:$G$801, 0)+1))&lt;=1181,2,1))))&gt;0, IF(IF(INDEX(ERP資料!$G:$G, (MATCH(858, 輔助計算!$G$2:$G$801, 0)+1))&lt;100, IF(INDEX(ERP資料!$G:$G, (MATCH(858, 輔助計算!$G$2:$G$801, 0)+1))&lt;=31,3,IF(INDEX(ERP資料!$G:$G, (MATCH(858, 輔助計算!$G$2:$G$801, 0)+1))&lt;=46.5,2,1)), IF(INDEX(ERP資料!$G:$G, (MATCH(858, 輔助計算!$G$2:$G$801, 0)+1))&lt;=790,3,IF(INDEX(ERP資料!$G:$G, (MATCH(858, 輔助計算!$G$2:$G$801, 0)+1))&lt;=1181,2,1)))=1,TEXT(INDEX(ERP資料!$G:$G, (MATCH(858, 輔助計算!$G$2:$G$801, 0)+1)),"0.##"),IF(IF(INDEX(ERP資料!$G:$G, (MATCH(858, 輔助計算!$G$2:$G$801, 0)+1))&lt;100, IF(INDEX(ERP資料!$G:$G, (MATCH(858, 輔助計算!$G$2:$G$801, 0)+1))&lt;=31,3,IF(INDEX(ERP資料!$G:$G, (MATCH(858, 輔助計算!$G$2:$G$801, 0)+1))&lt;=46.5,2,1)), IF(INDEX(ERP資料!$G:$G, (MATCH(858, 輔助計算!$G$2:$G$801, 0)+1))&lt;=790,3,IF(INDEX(ERP資料!$G:$G, (MATCH(858, 輔助計算!$G$2:$G$801, 0)+1))&lt;=1181,2,1)))=2,TEXT(INDEX(ERP資料!$G:$G, (MATCH(858, 輔助計算!$G$2:$G$801, 0)+1)),"0.##")&amp;"+"&amp;TEXT(INDEX(ERP資料!$G:$G, (MATCH(858, 輔助計算!$G$2:$G$801, 0)+1)),"0.##"),TEXT(INDEX(ERP資料!$G:$G, (MATCH(858, 輔助計算!$G$2:$G$801, 0)+1)),"0.##")&amp;"+"&amp;TEXT(INDEX(ERP資料!$G:$G, (MATCH(858, 輔助計算!$G$2:$G$801, 0)+1)),"0.##")&amp;"+"&amp;TEXT(INDEX(ERP資料!$G:$G, (MATCH(858, 輔助計算!$G$2:$G$801, 0)+1)),"0.##")))&amp;"-"&amp;INT(INDEX(輔助計算!$D:$D, (MATCH(858, 輔助計算!$G$2:$G$801, 0)+1))/IF(INDEX(ERP資料!$G:$G, (MATCH(858, 輔助計算!$G$2:$G$801, 0)+1))&lt;100, IF(INDEX(ERP資料!$G:$G, (MATCH(858, 輔助計算!$G$2:$G$801, 0)+1))&lt;=31,3,IF(INDEX(ERP資料!$G:$G, (MATCH(858, 輔助計算!$G$2:$G$801, 0)+1))&lt;=46.5,2,1)), IF(INDEX(ERP資料!$G:$G, (MATCH(858, 輔助計算!$G$2:$G$801, 0)+1))&lt;=790,3,IF(INDEX(ERP資料!$G:$G, (MATCH(858, 輔助計算!$G$2:$G$801, 0)+1))&lt;=1181,2,1)))), "")&lt;&gt;"",IF(MOD(INDEX(輔助計算!$D:$D, (MATCH(858, 輔助計算!$G$2:$G$801, 0)+1)),IF(INDEX(ERP資料!$G:$G, (MATCH(858, 輔助計算!$G$2:$G$801, 0)+1))&lt;100, IF(INDEX(ERP資料!$G:$G, (MATCH(858, 輔助計算!$G$2:$G$801, 0)+1))&lt;=31,3,IF(INDEX(ERP資料!$G:$G, (MATCH(858, 輔助計算!$G$2:$G$801, 0)+1))&lt;=46.5,2,1)), IF(INDEX(ERP資料!$G:$G, (MATCH(858, 輔助計算!$G$2:$G$801, 0)+1))&lt;=790,3,IF(INDEX(ERP資料!$G:$G, (MATCH(858, 輔助計算!$G$2:$G$801, 0)+1))&lt;=1181,2,1))))=0,"",IF(MOD(INDEX(輔助計算!$D:$D, (MATCH(858, 輔助計算!$G$2:$G$801, 0)+1)),IF(INDEX(ERP資料!$G:$G, (MATCH(858, 輔助計算!$G$2:$G$801, 0)+1))&lt;100, IF(INDEX(ERP資料!$G:$G, (MATCH(858, 輔助計算!$G$2:$G$801, 0)+1))&lt;=31,3,IF(INDEX(ERP資料!$G:$G, (MATCH(858, 輔助計算!$G$2:$G$801, 0)+1))&lt;=46.5,2,1)), IF(INDEX(ERP資料!$G:$G, (MATCH(858, 輔助計算!$G$2:$G$801, 0)+1))&lt;=790,3,IF(INDEX(ERP資料!$G:$G, (MATCH(858, 輔助計算!$G$2:$G$801, 0)+1))&lt;=1181,2,1))))=0,"",IF(MOD(INDEX(輔助計算!$D:$D, (MATCH(858, 輔助計算!$G$2:$G$801, 0)+1)),IF(INDEX(ERP資料!$G:$G, (MATCH(858, 輔助計算!$G$2:$G$801, 0)+1))&lt;100, IF(INDEX(ERP資料!$G:$G, (MATCH(858, 輔助計算!$G$2:$G$801, 0)+1))&lt;=31,3,IF(INDEX(ERP資料!$G:$G, (MATCH(858, 輔助計算!$G$2:$G$801, 0)+1))&lt;=46.5,2,1)), IF(INDEX(ERP資料!$G:$G, (MATCH(858, 輔助計算!$G$2:$G$801, 0)+1))&lt;=790,3,IF(INDEX(ERP資料!$G:$G, (MATCH(858, 輔助計算!$G$2:$G$801, 0)+1))&lt;=1181,2,1))))=1,TEXT(INDEX(ERP資料!$G:$G, (MATCH(858, 輔助計算!$G$2:$G$801, 0)+1)),"0.##"),IF(MOD(INDEX(輔助計算!$D:$D, (MATCH(858, 輔助計算!$G$2:$G$801, 0)+1)),IF(INDEX(ERP資料!$G:$G, (MATCH(858, 輔助計算!$G$2:$G$801, 0)+1))&lt;100, IF(INDEX(ERP資料!$G:$G, (MATCH(858, 輔助計算!$G$2:$G$801, 0)+1))&lt;=31,3,IF(INDEX(ERP資料!$G:$G, (MATCH(858, 輔助計算!$G$2:$G$801, 0)+1))&lt;=46.5,2,1)), IF(INDEX(ERP資料!$G:$G, (MATCH(858, 輔助計算!$G$2:$G$801, 0)+1))&lt;=790,3,IF(INDEX(ERP資料!$G:$G, (MATCH(858, 輔助計算!$G$2:$G$801, 0)+1))&lt;=1181,2,1))))=2,TEXT(INDEX(ERP資料!$G:$G, (MATCH(858, 輔助計算!$G$2:$G$801, 0)+1)),"0.##")&amp;"+"&amp;TEXT(INDEX(ERP資料!$G:$G, (MATCH(858, 輔助計算!$G$2:$G$801, 0)+1)),"0.##"),TEXT(INDEX(ERP資料!$G:$G, (MATCH(858, 輔助計算!$G$2:$G$801, 0)+1)),"0.##")&amp;"+"&amp;TEXT(INDEX(ERP資料!$G:$G, (MATCH(858, 輔助計算!$G$2:$G$801, 0)+1)),"0.##")&amp;"+"&amp;TEXT(INDEX(ERP資料!$G:$G, (MATCH(858, 輔助計算!$G$2:$G$801, 0)+1)),"0.##"))))&amp;"-1")&lt;&gt;""),"  ","")&amp;IF(MOD(INDEX(輔助計算!$D:$D, (MATCH(858, 輔助計算!$G$2:$G$801, 0)+1)),IF(INDEX(ERP資料!$G:$G, (MATCH(858, 輔助計算!$G$2:$G$801, 0)+1))&lt;100, IF(INDEX(ERP資料!$G:$G, (MATCH(858, 輔助計算!$G$2:$G$801, 0)+1))&lt;=31,3,IF(INDEX(ERP資料!$G:$G, (MATCH(858, 輔助計算!$G$2:$G$801, 0)+1))&lt;=46.5,2,1)), IF(INDEX(ERP資料!$G:$G, (MATCH(858, 輔助計算!$G$2:$G$801, 0)+1))&lt;=790,3,IF(INDEX(ERP資料!$G:$G, (MATCH(858, 輔助計算!$G$2:$G$801, 0)+1))&lt;=1181,2,1))))=0,"",IF(MOD(INDEX(輔助計算!$D:$D, (MATCH(858, 輔助計算!$G$2:$G$801, 0)+1)),IF(INDEX(ERP資料!$G:$G, (MATCH(858, 輔助計算!$G$2:$G$801, 0)+1))&lt;100, IF(INDEX(ERP資料!$G:$G, (MATCH(858, 輔助計算!$G$2:$G$801, 0)+1))&lt;=31,3,IF(INDEX(ERP資料!$G:$G, (MATCH(858, 輔助計算!$G$2:$G$801, 0)+1))&lt;=46.5,2,1)), IF(INDEX(ERP資料!$G:$G, (MATCH(858, 輔助計算!$G$2:$G$801, 0)+1))&lt;=790,3,IF(INDEX(ERP資料!$G:$G, (MATCH(858, 輔助計算!$G$2:$G$801, 0)+1))&lt;=1181,2,1))))=0,"",IF(MOD(INDEX(輔助計算!$D:$D, (MATCH(858, 輔助計算!$G$2:$G$801, 0)+1)),IF(INDEX(ERP資料!$G:$G, (MATCH(858, 輔助計算!$G$2:$G$801, 0)+1))&lt;100, IF(INDEX(ERP資料!$G:$G, (MATCH(858, 輔助計算!$G$2:$G$801, 0)+1))&lt;=31,3,IF(INDEX(ERP資料!$G:$G, (MATCH(858, 輔助計算!$G$2:$G$801, 0)+1))&lt;=46.5,2,1)), IF(INDEX(ERP資料!$G:$G, (MATCH(858, 輔助計算!$G$2:$G$801, 0)+1))&lt;=790,3,IF(INDEX(ERP資料!$G:$G, (MATCH(858, 輔助計算!$G$2:$G$801, 0)+1))&lt;=1181,2,1))))=1,TEXT(INDEX(ERP資料!$G:$G, (MATCH(858, 輔助計算!$G$2:$G$801, 0)+1)),"0.##"),IF(MOD(INDEX(輔助計算!$D:$D, (MATCH(858, 輔助計算!$G$2:$G$801, 0)+1)),IF(INDEX(ERP資料!$G:$G, (MATCH(858, 輔助計算!$G$2:$G$801, 0)+1))&lt;100, IF(INDEX(ERP資料!$G:$G, (MATCH(858, 輔助計算!$G$2:$G$801, 0)+1))&lt;=31,3,IF(INDEX(ERP資料!$G:$G, (MATCH(858, 輔助計算!$G$2:$G$801, 0)+1))&lt;=46.5,2,1)), IF(INDEX(ERP資料!$G:$G, (MATCH(858, 輔助計算!$G$2:$G$801, 0)+1))&lt;=790,3,IF(INDEX(ERP資料!$G:$G, (MATCH(858, 輔助計算!$G$2:$G$801, 0)+1))&lt;=1181,2,1))))=2,TEXT(INDEX(ERP資料!$G:$G, (MATCH(858, 輔助計算!$G$2:$G$801, 0)+1)),"0.##")&amp;"+"&amp;TEXT(INDEX(ERP資料!$G:$G, (MATCH(858, 輔助計算!$G$2:$G$801, 0)+1)),"0.##"),TEXT(INDEX(ERP資料!$G:$G, (MATCH(858, 輔助計算!$G$2:$G$801, 0)+1)),"0.##")&amp;"+"&amp;TEXT(INDEX(ERP資料!$G:$G, (MATCH(858, 輔助計算!$G$2:$G$801, 0)+1)),"0.##")&amp;"+"&amp;TEXT(INDEX(ERP資料!$G:$G, (MATCH(858, 輔助計算!$G$2:$G$801, 0)+1)),"0.##"))))&amp;"-1")), ""), "")</f>
        <v/>
      </c>
      <c r="K859" s="16" t="n"/>
      <c r="L859" s="14">
        <f>IFERROR(IF(AND(IFERROR(INDEX(ERP資料!$A:$A, (MATCH(858, 輔助計算!$G$2:$G$801, 0)+1)), "")&lt;&gt;"", IFERROR(INDEX(ERP資料!$A:$A, (MATCH(858, 輔助計算!$G$2:$G$801, 0)+1)), "")&lt;&gt;IFERROR(INDEX(ERP資料!$A:$A, MATCH(857, 輔助計算!$G$2:$G$801, 0)+1), "")), INDEX(ERP資料!$B:$B, (MATCH(858, 輔助計算!$G$2:$G$801, 0)+1)), ""), "")</f>
        <v/>
      </c>
      <c r="M859" s="17" t="n"/>
    </row>
    <row r="860">
      <c r="A860" s="10">
        <f>IFERROR(IF(AND(IFERROR(INDEX(ERP資料!$A:$A, (MATCH(859, 輔助計算!$G$2:$G$801, 0)+1)), "")&lt;&gt;"", IFERROR(INDEX(ERP資料!$A:$A, (MATCH(859, 輔助計算!$G$2:$G$801, 0)+1)), "")&lt;&gt;IFERROR(INDEX(ERP資料!$A:$A, MATCH(858, 輔助計算!$G$2:$G$801, 0)+1), "")), IFERROR(INDEX(ERP資料!$A:$A, (MATCH(859, 輔助計算!$G$2:$G$801, 0)+1)), ""), ""), "")</f>
        <v/>
      </c>
      <c r="B860" s="10">
        <f>IFERROR(IF(AND(IFERROR(INDEX(ERP資料!$A:$A, (MATCH(859, 輔助計算!$G$2:$G$801, 0)+1)), "")&lt;&gt;"", IFERROR(INDEX(ERP資料!$A:$A, (MATCH(859, 輔助計算!$G$2:$G$801, 0)+1)), "")&lt;&gt;IFERROR(INDEX(ERP資料!$A:$A, MATCH(858, 輔助計算!$G$2:$G$801, 0)+1), "")), INDEX(ERP資料!$S:$S, (MATCH(859, 輔助計算!$G$2:$G$801, 0)+1)), ""), "")</f>
        <v/>
      </c>
      <c r="C860" s="19">
        <f>IFERROR(IF(AND(IFERROR(INDEX(ERP資料!$A:$A, (MATCH(859, 輔助計算!$G$2:$G$801, 0)+1)), "")&lt;&gt;"", IFERROR(INDEX(ERP資料!$A:$A, (MATCH(859, 輔助計算!$G$2:$G$801, 0)+1)), "")&lt;&gt;IFERROR(INDEX(ERP資料!$A:$A, MATCH(858, 輔助計算!$G$2:$G$801, 0)+1), "")), IFERROR(VLOOKUP(LEFT(INDEX(ERP資料!$S:$S, (MATCH(859, 輔助計算!$G$2:$G$801, 0)+1)), 4), 紙管對照表!$A:$C, 3, FALSE), ""), ""), "")</f>
        <v/>
      </c>
      <c r="D860" s="16" t="n"/>
      <c r="E860" s="10">
        <f>IFERROR(IF(INDEX(ERP資料!$H:$H, (MATCH(859, 輔助計算!$G$2:$G$801, 0)+1))="","",INDEX(ERP資料!$H:$H, (MATCH(859, 輔助計算!$G$2:$G$801, 0)+1))), "")</f>
        <v/>
      </c>
      <c r="F860" s="10">
        <f>IFERROR(IF(INDEX(ERP資料!$E:$E, (MATCH(859, 輔助計算!$G$2:$G$801, 0)+1))="","",TRIM(INDEX(ERP資料!$E:$E, (MATCH(859, 輔助計算!$G$2:$G$801, 0)+1)))), "")</f>
        <v/>
      </c>
      <c r="G860" s="10">
        <f>IFERROR(IF(INDEX(ERP資料!$F:$F, (MATCH(859, 輔助計算!$G$2:$G$801, 0)+1))="","",INDEX(ERP資料!$F:$F, (MATCH(859, 輔助計算!$G$2:$G$801, 0)+1))), "")</f>
        <v/>
      </c>
      <c r="H860" s="10">
        <f>IFERROR(IF(INDEX(ERP資料!$G:$G, (MATCH(859, 輔助計算!$G$2:$G$801, 0)+1))="","",INDEX(ERP資料!$G:$G, (MATCH(859, 輔助計算!$G$2:$G$801, 0)+1))), "")</f>
        <v/>
      </c>
      <c r="I860" s="15">
        <f>IFERROR(INDEX(輔助計算!$D:$D, (MATCH(859, 輔助計算!$G$2:$G$801, 0)+1)), "")</f>
        <v/>
      </c>
      <c r="J860" s="15">
        <f>IFERROR(IF(AND(INDEX(輔助計算!$D:$D, (MATCH(859, 輔助計算!$G$2:$G$801, 0)+1))&lt;&gt;"", INDEX(ERP資料!$G:$G, (MATCH(859, 輔助計算!$G$2:$G$801, 0)+1))&lt;&gt;""), TRIM(IF(INT(INDEX(輔助計算!$D:$D, (MATCH(859, 輔助計算!$G$2:$G$801, 0)+1))/IF(INDEX(ERP資料!$G:$G, (MATCH(859, 輔助計算!$G$2:$G$801, 0)+1))&lt;100, IF(INDEX(ERP資料!$G:$G, (MATCH(859, 輔助計算!$G$2:$G$801, 0)+1))&lt;=31,3,IF(INDEX(ERP資料!$G:$G, (MATCH(859, 輔助計算!$G$2:$G$801, 0)+1))&lt;=46.5,2,1)), IF(INDEX(ERP資料!$G:$G, (MATCH(859, 輔助計算!$G$2:$G$801, 0)+1))&lt;=790,3,IF(INDEX(ERP資料!$G:$G, (MATCH(859, 輔助計算!$G$2:$G$801, 0)+1))&lt;=1181,2,1))))&gt;0, IF(IF(INDEX(ERP資料!$G:$G, (MATCH(859, 輔助計算!$G$2:$G$801, 0)+1))&lt;100, IF(INDEX(ERP資料!$G:$G, (MATCH(859, 輔助計算!$G$2:$G$801, 0)+1))&lt;=31,3,IF(INDEX(ERP資料!$G:$G, (MATCH(859, 輔助計算!$G$2:$G$801, 0)+1))&lt;=46.5,2,1)), IF(INDEX(ERP資料!$G:$G, (MATCH(859, 輔助計算!$G$2:$G$801, 0)+1))&lt;=790,3,IF(INDEX(ERP資料!$G:$G, (MATCH(859, 輔助計算!$G$2:$G$801, 0)+1))&lt;=1181,2,1)))=1,TEXT(INDEX(ERP資料!$G:$G, (MATCH(859, 輔助計算!$G$2:$G$801, 0)+1)),"0.##"),IF(IF(INDEX(ERP資料!$G:$G, (MATCH(859, 輔助計算!$G$2:$G$801, 0)+1))&lt;100, IF(INDEX(ERP資料!$G:$G, (MATCH(859, 輔助計算!$G$2:$G$801, 0)+1))&lt;=31,3,IF(INDEX(ERP資料!$G:$G, (MATCH(859, 輔助計算!$G$2:$G$801, 0)+1))&lt;=46.5,2,1)), IF(INDEX(ERP資料!$G:$G, (MATCH(859, 輔助計算!$G$2:$G$801, 0)+1))&lt;=790,3,IF(INDEX(ERP資料!$G:$G, (MATCH(859, 輔助計算!$G$2:$G$801, 0)+1))&lt;=1181,2,1)))=2,TEXT(INDEX(ERP資料!$G:$G, (MATCH(859, 輔助計算!$G$2:$G$801, 0)+1)),"0.##")&amp;"+"&amp;TEXT(INDEX(ERP資料!$G:$G, (MATCH(859, 輔助計算!$G$2:$G$801, 0)+1)),"0.##"),TEXT(INDEX(ERP資料!$G:$G, (MATCH(859, 輔助計算!$G$2:$G$801, 0)+1)),"0.##")&amp;"+"&amp;TEXT(INDEX(ERP資料!$G:$G, (MATCH(859, 輔助計算!$G$2:$G$801, 0)+1)),"0.##")&amp;"+"&amp;TEXT(INDEX(ERP資料!$G:$G, (MATCH(859, 輔助計算!$G$2:$G$801, 0)+1)),"0.##")))&amp;"-"&amp;INT(INDEX(輔助計算!$D:$D, (MATCH(859, 輔助計算!$G$2:$G$801, 0)+1))/IF(INDEX(ERP資料!$G:$G, (MATCH(859, 輔助計算!$G$2:$G$801, 0)+1))&lt;100, IF(INDEX(ERP資料!$G:$G, (MATCH(859, 輔助計算!$G$2:$G$801, 0)+1))&lt;=31,3,IF(INDEX(ERP資料!$G:$G, (MATCH(859, 輔助計算!$G$2:$G$801, 0)+1))&lt;=46.5,2,1)), IF(INDEX(ERP資料!$G:$G, (MATCH(859, 輔助計算!$G$2:$G$801, 0)+1))&lt;=790,3,IF(INDEX(ERP資料!$G:$G, (MATCH(859, 輔助計算!$G$2:$G$801, 0)+1))&lt;=1181,2,1)))), "")&amp;IF(AND(IF(INT(INDEX(輔助計算!$D:$D, (MATCH(859, 輔助計算!$G$2:$G$801, 0)+1))/IF(INDEX(ERP資料!$G:$G, (MATCH(859, 輔助計算!$G$2:$G$801, 0)+1))&lt;100, IF(INDEX(ERP資料!$G:$G, (MATCH(859, 輔助計算!$G$2:$G$801, 0)+1))&lt;=31,3,IF(INDEX(ERP資料!$G:$G, (MATCH(859, 輔助計算!$G$2:$G$801, 0)+1))&lt;=46.5,2,1)), IF(INDEX(ERP資料!$G:$G, (MATCH(859, 輔助計算!$G$2:$G$801, 0)+1))&lt;=790,3,IF(INDEX(ERP資料!$G:$G, (MATCH(859, 輔助計算!$G$2:$G$801, 0)+1))&lt;=1181,2,1))))&gt;0, IF(IF(INDEX(ERP資料!$G:$G, (MATCH(859, 輔助計算!$G$2:$G$801, 0)+1))&lt;100, IF(INDEX(ERP資料!$G:$G, (MATCH(859, 輔助計算!$G$2:$G$801, 0)+1))&lt;=31,3,IF(INDEX(ERP資料!$G:$G, (MATCH(859, 輔助計算!$G$2:$G$801, 0)+1))&lt;=46.5,2,1)), IF(INDEX(ERP資料!$G:$G, (MATCH(859, 輔助計算!$G$2:$G$801, 0)+1))&lt;=790,3,IF(INDEX(ERP資料!$G:$G, (MATCH(859, 輔助計算!$G$2:$G$801, 0)+1))&lt;=1181,2,1)))=1,TEXT(INDEX(ERP資料!$G:$G, (MATCH(859, 輔助計算!$G$2:$G$801, 0)+1)),"0.##"),IF(IF(INDEX(ERP資料!$G:$G, (MATCH(859, 輔助計算!$G$2:$G$801, 0)+1))&lt;100, IF(INDEX(ERP資料!$G:$G, (MATCH(859, 輔助計算!$G$2:$G$801, 0)+1))&lt;=31,3,IF(INDEX(ERP資料!$G:$G, (MATCH(859, 輔助計算!$G$2:$G$801, 0)+1))&lt;=46.5,2,1)), IF(INDEX(ERP資料!$G:$G, (MATCH(859, 輔助計算!$G$2:$G$801, 0)+1))&lt;=790,3,IF(INDEX(ERP資料!$G:$G, (MATCH(859, 輔助計算!$G$2:$G$801, 0)+1))&lt;=1181,2,1)))=2,TEXT(INDEX(ERP資料!$G:$G, (MATCH(859, 輔助計算!$G$2:$G$801, 0)+1)),"0.##")&amp;"+"&amp;TEXT(INDEX(ERP資料!$G:$G, (MATCH(859, 輔助計算!$G$2:$G$801, 0)+1)),"0.##"),TEXT(INDEX(ERP資料!$G:$G, (MATCH(859, 輔助計算!$G$2:$G$801, 0)+1)),"0.##")&amp;"+"&amp;TEXT(INDEX(ERP資料!$G:$G, (MATCH(859, 輔助計算!$G$2:$G$801, 0)+1)),"0.##")&amp;"+"&amp;TEXT(INDEX(ERP資料!$G:$G, (MATCH(859, 輔助計算!$G$2:$G$801, 0)+1)),"0.##")))&amp;"-"&amp;INT(INDEX(輔助計算!$D:$D, (MATCH(859, 輔助計算!$G$2:$G$801, 0)+1))/IF(INDEX(ERP資料!$G:$G, (MATCH(859, 輔助計算!$G$2:$G$801, 0)+1))&lt;100, IF(INDEX(ERP資料!$G:$G, (MATCH(859, 輔助計算!$G$2:$G$801, 0)+1))&lt;=31,3,IF(INDEX(ERP資料!$G:$G, (MATCH(859, 輔助計算!$G$2:$G$801, 0)+1))&lt;=46.5,2,1)), IF(INDEX(ERP資料!$G:$G, (MATCH(859, 輔助計算!$G$2:$G$801, 0)+1))&lt;=790,3,IF(INDEX(ERP資料!$G:$G, (MATCH(859, 輔助計算!$G$2:$G$801, 0)+1))&lt;=1181,2,1)))), "")&lt;&gt;"",IF(MOD(INDEX(輔助計算!$D:$D, (MATCH(859, 輔助計算!$G$2:$G$801, 0)+1)),IF(INDEX(ERP資料!$G:$G, (MATCH(859, 輔助計算!$G$2:$G$801, 0)+1))&lt;100, IF(INDEX(ERP資料!$G:$G, (MATCH(859, 輔助計算!$G$2:$G$801, 0)+1))&lt;=31,3,IF(INDEX(ERP資料!$G:$G, (MATCH(859, 輔助計算!$G$2:$G$801, 0)+1))&lt;=46.5,2,1)), IF(INDEX(ERP資料!$G:$G, (MATCH(859, 輔助計算!$G$2:$G$801, 0)+1))&lt;=790,3,IF(INDEX(ERP資料!$G:$G, (MATCH(859, 輔助計算!$G$2:$G$801, 0)+1))&lt;=1181,2,1))))=0,"",IF(MOD(INDEX(輔助計算!$D:$D, (MATCH(859, 輔助計算!$G$2:$G$801, 0)+1)),IF(INDEX(ERP資料!$G:$G, (MATCH(859, 輔助計算!$G$2:$G$801, 0)+1))&lt;100, IF(INDEX(ERP資料!$G:$G, (MATCH(859, 輔助計算!$G$2:$G$801, 0)+1))&lt;=31,3,IF(INDEX(ERP資料!$G:$G, (MATCH(859, 輔助計算!$G$2:$G$801, 0)+1))&lt;=46.5,2,1)), IF(INDEX(ERP資料!$G:$G, (MATCH(859, 輔助計算!$G$2:$G$801, 0)+1))&lt;=790,3,IF(INDEX(ERP資料!$G:$G, (MATCH(859, 輔助計算!$G$2:$G$801, 0)+1))&lt;=1181,2,1))))=0,"",IF(MOD(INDEX(輔助計算!$D:$D, (MATCH(859, 輔助計算!$G$2:$G$801, 0)+1)),IF(INDEX(ERP資料!$G:$G, (MATCH(859, 輔助計算!$G$2:$G$801, 0)+1))&lt;100, IF(INDEX(ERP資料!$G:$G, (MATCH(859, 輔助計算!$G$2:$G$801, 0)+1))&lt;=31,3,IF(INDEX(ERP資料!$G:$G, (MATCH(859, 輔助計算!$G$2:$G$801, 0)+1))&lt;=46.5,2,1)), IF(INDEX(ERP資料!$G:$G, (MATCH(859, 輔助計算!$G$2:$G$801, 0)+1))&lt;=790,3,IF(INDEX(ERP資料!$G:$G, (MATCH(859, 輔助計算!$G$2:$G$801, 0)+1))&lt;=1181,2,1))))=1,TEXT(INDEX(ERP資料!$G:$G, (MATCH(859, 輔助計算!$G$2:$G$801, 0)+1)),"0.##"),IF(MOD(INDEX(輔助計算!$D:$D, (MATCH(859, 輔助計算!$G$2:$G$801, 0)+1)),IF(INDEX(ERP資料!$G:$G, (MATCH(859, 輔助計算!$G$2:$G$801, 0)+1))&lt;100, IF(INDEX(ERP資料!$G:$G, (MATCH(859, 輔助計算!$G$2:$G$801, 0)+1))&lt;=31,3,IF(INDEX(ERP資料!$G:$G, (MATCH(859, 輔助計算!$G$2:$G$801, 0)+1))&lt;=46.5,2,1)), IF(INDEX(ERP資料!$G:$G, (MATCH(859, 輔助計算!$G$2:$G$801, 0)+1))&lt;=790,3,IF(INDEX(ERP資料!$G:$G, (MATCH(859, 輔助計算!$G$2:$G$801, 0)+1))&lt;=1181,2,1))))=2,TEXT(INDEX(ERP資料!$G:$G, (MATCH(859, 輔助計算!$G$2:$G$801, 0)+1)),"0.##")&amp;"+"&amp;TEXT(INDEX(ERP資料!$G:$G, (MATCH(859, 輔助計算!$G$2:$G$801, 0)+1)),"0.##"),TEXT(INDEX(ERP資料!$G:$G, (MATCH(859, 輔助計算!$G$2:$G$801, 0)+1)),"0.##")&amp;"+"&amp;TEXT(INDEX(ERP資料!$G:$G, (MATCH(859, 輔助計算!$G$2:$G$801, 0)+1)),"0.##")&amp;"+"&amp;TEXT(INDEX(ERP資料!$G:$G, (MATCH(859, 輔助計算!$G$2:$G$801, 0)+1)),"0.##"))))&amp;"-1")&lt;&gt;""),"  ","")&amp;IF(MOD(INDEX(輔助計算!$D:$D, (MATCH(859, 輔助計算!$G$2:$G$801, 0)+1)),IF(INDEX(ERP資料!$G:$G, (MATCH(859, 輔助計算!$G$2:$G$801, 0)+1))&lt;100, IF(INDEX(ERP資料!$G:$G, (MATCH(859, 輔助計算!$G$2:$G$801, 0)+1))&lt;=31,3,IF(INDEX(ERP資料!$G:$G, (MATCH(859, 輔助計算!$G$2:$G$801, 0)+1))&lt;=46.5,2,1)), IF(INDEX(ERP資料!$G:$G, (MATCH(859, 輔助計算!$G$2:$G$801, 0)+1))&lt;=790,3,IF(INDEX(ERP資料!$G:$G, (MATCH(859, 輔助計算!$G$2:$G$801, 0)+1))&lt;=1181,2,1))))=0,"",IF(MOD(INDEX(輔助計算!$D:$D, (MATCH(859, 輔助計算!$G$2:$G$801, 0)+1)),IF(INDEX(ERP資料!$G:$G, (MATCH(859, 輔助計算!$G$2:$G$801, 0)+1))&lt;100, IF(INDEX(ERP資料!$G:$G, (MATCH(859, 輔助計算!$G$2:$G$801, 0)+1))&lt;=31,3,IF(INDEX(ERP資料!$G:$G, (MATCH(859, 輔助計算!$G$2:$G$801, 0)+1))&lt;=46.5,2,1)), IF(INDEX(ERP資料!$G:$G, (MATCH(859, 輔助計算!$G$2:$G$801, 0)+1))&lt;=790,3,IF(INDEX(ERP資料!$G:$G, (MATCH(859, 輔助計算!$G$2:$G$801, 0)+1))&lt;=1181,2,1))))=0,"",IF(MOD(INDEX(輔助計算!$D:$D, (MATCH(859, 輔助計算!$G$2:$G$801, 0)+1)),IF(INDEX(ERP資料!$G:$G, (MATCH(859, 輔助計算!$G$2:$G$801, 0)+1))&lt;100, IF(INDEX(ERP資料!$G:$G, (MATCH(859, 輔助計算!$G$2:$G$801, 0)+1))&lt;=31,3,IF(INDEX(ERP資料!$G:$G, (MATCH(859, 輔助計算!$G$2:$G$801, 0)+1))&lt;=46.5,2,1)), IF(INDEX(ERP資料!$G:$G, (MATCH(859, 輔助計算!$G$2:$G$801, 0)+1))&lt;=790,3,IF(INDEX(ERP資料!$G:$G, (MATCH(859, 輔助計算!$G$2:$G$801, 0)+1))&lt;=1181,2,1))))=1,TEXT(INDEX(ERP資料!$G:$G, (MATCH(859, 輔助計算!$G$2:$G$801, 0)+1)),"0.##"),IF(MOD(INDEX(輔助計算!$D:$D, (MATCH(859, 輔助計算!$G$2:$G$801, 0)+1)),IF(INDEX(ERP資料!$G:$G, (MATCH(859, 輔助計算!$G$2:$G$801, 0)+1))&lt;100, IF(INDEX(ERP資料!$G:$G, (MATCH(859, 輔助計算!$G$2:$G$801, 0)+1))&lt;=31,3,IF(INDEX(ERP資料!$G:$G, (MATCH(859, 輔助計算!$G$2:$G$801, 0)+1))&lt;=46.5,2,1)), IF(INDEX(ERP資料!$G:$G, (MATCH(859, 輔助計算!$G$2:$G$801, 0)+1))&lt;=790,3,IF(INDEX(ERP資料!$G:$G, (MATCH(859, 輔助計算!$G$2:$G$801, 0)+1))&lt;=1181,2,1))))=2,TEXT(INDEX(ERP資料!$G:$G, (MATCH(859, 輔助計算!$G$2:$G$801, 0)+1)),"0.##")&amp;"+"&amp;TEXT(INDEX(ERP資料!$G:$G, (MATCH(859, 輔助計算!$G$2:$G$801, 0)+1)),"0.##"),TEXT(INDEX(ERP資料!$G:$G, (MATCH(859, 輔助計算!$G$2:$G$801, 0)+1)),"0.##")&amp;"+"&amp;TEXT(INDEX(ERP資料!$G:$G, (MATCH(859, 輔助計算!$G$2:$G$801, 0)+1)),"0.##")&amp;"+"&amp;TEXT(INDEX(ERP資料!$G:$G, (MATCH(859, 輔助計算!$G$2:$G$801, 0)+1)),"0.##"))))&amp;"-1")), ""), "")</f>
        <v/>
      </c>
      <c r="K860" s="16" t="n"/>
      <c r="L860" s="14">
        <f>IFERROR(IF(AND(IFERROR(INDEX(ERP資料!$A:$A, (MATCH(859, 輔助計算!$G$2:$G$801, 0)+1)), "")&lt;&gt;"", IFERROR(INDEX(ERP資料!$A:$A, (MATCH(859, 輔助計算!$G$2:$G$801, 0)+1)), "")&lt;&gt;IFERROR(INDEX(ERP資料!$A:$A, MATCH(858, 輔助計算!$G$2:$G$801, 0)+1), "")), INDEX(ERP資料!$B:$B, (MATCH(859, 輔助計算!$G$2:$G$801, 0)+1)), ""), "")</f>
        <v/>
      </c>
      <c r="M860" s="17" t="n"/>
    </row>
    <row r="861">
      <c r="A861" s="10">
        <f>IFERROR(IF(AND(IFERROR(INDEX(ERP資料!$A:$A, (MATCH(860, 輔助計算!$G$2:$G$801, 0)+1)), "")&lt;&gt;"", IFERROR(INDEX(ERP資料!$A:$A, (MATCH(860, 輔助計算!$G$2:$G$801, 0)+1)), "")&lt;&gt;IFERROR(INDEX(ERP資料!$A:$A, MATCH(859, 輔助計算!$G$2:$G$801, 0)+1), "")), IFERROR(INDEX(ERP資料!$A:$A, (MATCH(860, 輔助計算!$G$2:$G$801, 0)+1)), ""), ""), "")</f>
        <v/>
      </c>
      <c r="B861" s="10">
        <f>IFERROR(IF(AND(IFERROR(INDEX(ERP資料!$A:$A, (MATCH(860, 輔助計算!$G$2:$G$801, 0)+1)), "")&lt;&gt;"", IFERROR(INDEX(ERP資料!$A:$A, (MATCH(860, 輔助計算!$G$2:$G$801, 0)+1)), "")&lt;&gt;IFERROR(INDEX(ERP資料!$A:$A, MATCH(859, 輔助計算!$G$2:$G$801, 0)+1), "")), INDEX(ERP資料!$S:$S, (MATCH(860, 輔助計算!$G$2:$G$801, 0)+1)), ""), "")</f>
        <v/>
      </c>
      <c r="C861" s="19">
        <f>IFERROR(IF(AND(IFERROR(INDEX(ERP資料!$A:$A, (MATCH(860, 輔助計算!$G$2:$G$801, 0)+1)), "")&lt;&gt;"", IFERROR(INDEX(ERP資料!$A:$A, (MATCH(860, 輔助計算!$G$2:$G$801, 0)+1)), "")&lt;&gt;IFERROR(INDEX(ERP資料!$A:$A, MATCH(859, 輔助計算!$G$2:$G$801, 0)+1), "")), IFERROR(VLOOKUP(LEFT(INDEX(ERP資料!$S:$S, (MATCH(860, 輔助計算!$G$2:$G$801, 0)+1)), 4), 紙管對照表!$A:$C, 3, FALSE), ""), ""), "")</f>
        <v/>
      </c>
      <c r="D861" s="16" t="n"/>
      <c r="E861" s="10">
        <f>IFERROR(IF(INDEX(ERP資料!$H:$H, (MATCH(860, 輔助計算!$G$2:$G$801, 0)+1))="","",INDEX(ERP資料!$H:$H, (MATCH(860, 輔助計算!$G$2:$G$801, 0)+1))), "")</f>
        <v/>
      </c>
      <c r="F861" s="10">
        <f>IFERROR(IF(INDEX(ERP資料!$E:$E, (MATCH(860, 輔助計算!$G$2:$G$801, 0)+1))="","",TRIM(INDEX(ERP資料!$E:$E, (MATCH(860, 輔助計算!$G$2:$G$801, 0)+1)))), "")</f>
        <v/>
      </c>
      <c r="G861" s="10">
        <f>IFERROR(IF(INDEX(ERP資料!$F:$F, (MATCH(860, 輔助計算!$G$2:$G$801, 0)+1))="","",INDEX(ERP資料!$F:$F, (MATCH(860, 輔助計算!$G$2:$G$801, 0)+1))), "")</f>
        <v/>
      </c>
      <c r="H861" s="10">
        <f>IFERROR(IF(INDEX(ERP資料!$G:$G, (MATCH(860, 輔助計算!$G$2:$G$801, 0)+1))="","",INDEX(ERP資料!$G:$G, (MATCH(860, 輔助計算!$G$2:$G$801, 0)+1))), "")</f>
        <v/>
      </c>
      <c r="I861" s="15">
        <f>IFERROR(INDEX(輔助計算!$D:$D, (MATCH(860, 輔助計算!$G$2:$G$801, 0)+1)), "")</f>
        <v/>
      </c>
      <c r="J861" s="15">
        <f>IFERROR(IF(AND(INDEX(輔助計算!$D:$D, (MATCH(860, 輔助計算!$G$2:$G$801, 0)+1))&lt;&gt;"", INDEX(ERP資料!$G:$G, (MATCH(860, 輔助計算!$G$2:$G$801, 0)+1))&lt;&gt;""), TRIM(IF(INT(INDEX(輔助計算!$D:$D, (MATCH(860, 輔助計算!$G$2:$G$801, 0)+1))/IF(INDEX(ERP資料!$G:$G, (MATCH(860, 輔助計算!$G$2:$G$801, 0)+1))&lt;100, IF(INDEX(ERP資料!$G:$G, (MATCH(860, 輔助計算!$G$2:$G$801, 0)+1))&lt;=31,3,IF(INDEX(ERP資料!$G:$G, (MATCH(860, 輔助計算!$G$2:$G$801, 0)+1))&lt;=46.5,2,1)), IF(INDEX(ERP資料!$G:$G, (MATCH(860, 輔助計算!$G$2:$G$801, 0)+1))&lt;=790,3,IF(INDEX(ERP資料!$G:$G, (MATCH(860, 輔助計算!$G$2:$G$801, 0)+1))&lt;=1181,2,1))))&gt;0, IF(IF(INDEX(ERP資料!$G:$G, (MATCH(860, 輔助計算!$G$2:$G$801, 0)+1))&lt;100, IF(INDEX(ERP資料!$G:$G, (MATCH(860, 輔助計算!$G$2:$G$801, 0)+1))&lt;=31,3,IF(INDEX(ERP資料!$G:$G, (MATCH(860, 輔助計算!$G$2:$G$801, 0)+1))&lt;=46.5,2,1)), IF(INDEX(ERP資料!$G:$G, (MATCH(860, 輔助計算!$G$2:$G$801, 0)+1))&lt;=790,3,IF(INDEX(ERP資料!$G:$G, (MATCH(860, 輔助計算!$G$2:$G$801, 0)+1))&lt;=1181,2,1)))=1,TEXT(INDEX(ERP資料!$G:$G, (MATCH(860, 輔助計算!$G$2:$G$801, 0)+1)),"0.##"),IF(IF(INDEX(ERP資料!$G:$G, (MATCH(860, 輔助計算!$G$2:$G$801, 0)+1))&lt;100, IF(INDEX(ERP資料!$G:$G, (MATCH(860, 輔助計算!$G$2:$G$801, 0)+1))&lt;=31,3,IF(INDEX(ERP資料!$G:$G, (MATCH(860, 輔助計算!$G$2:$G$801, 0)+1))&lt;=46.5,2,1)), IF(INDEX(ERP資料!$G:$G, (MATCH(860, 輔助計算!$G$2:$G$801, 0)+1))&lt;=790,3,IF(INDEX(ERP資料!$G:$G, (MATCH(860, 輔助計算!$G$2:$G$801, 0)+1))&lt;=1181,2,1)))=2,TEXT(INDEX(ERP資料!$G:$G, (MATCH(860, 輔助計算!$G$2:$G$801, 0)+1)),"0.##")&amp;"+"&amp;TEXT(INDEX(ERP資料!$G:$G, (MATCH(860, 輔助計算!$G$2:$G$801, 0)+1)),"0.##"),TEXT(INDEX(ERP資料!$G:$G, (MATCH(860, 輔助計算!$G$2:$G$801, 0)+1)),"0.##")&amp;"+"&amp;TEXT(INDEX(ERP資料!$G:$G, (MATCH(860, 輔助計算!$G$2:$G$801, 0)+1)),"0.##")&amp;"+"&amp;TEXT(INDEX(ERP資料!$G:$G, (MATCH(860, 輔助計算!$G$2:$G$801, 0)+1)),"0.##")))&amp;"-"&amp;INT(INDEX(輔助計算!$D:$D, (MATCH(860, 輔助計算!$G$2:$G$801, 0)+1))/IF(INDEX(ERP資料!$G:$G, (MATCH(860, 輔助計算!$G$2:$G$801, 0)+1))&lt;100, IF(INDEX(ERP資料!$G:$G, (MATCH(860, 輔助計算!$G$2:$G$801, 0)+1))&lt;=31,3,IF(INDEX(ERP資料!$G:$G, (MATCH(860, 輔助計算!$G$2:$G$801, 0)+1))&lt;=46.5,2,1)), IF(INDEX(ERP資料!$G:$G, (MATCH(860, 輔助計算!$G$2:$G$801, 0)+1))&lt;=790,3,IF(INDEX(ERP資料!$G:$G, (MATCH(860, 輔助計算!$G$2:$G$801, 0)+1))&lt;=1181,2,1)))), "")&amp;IF(AND(IF(INT(INDEX(輔助計算!$D:$D, (MATCH(860, 輔助計算!$G$2:$G$801, 0)+1))/IF(INDEX(ERP資料!$G:$G, (MATCH(860, 輔助計算!$G$2:$G$801, 0)+1))&lt;100, IF(INDEX(ERP資料!$G:$G, (MATCH(860, 輔助計算!$G$2:$G$801, 0)+1))&lt;=31,3,IF(INDEX(ERP資料!$G:$G, (MATCH(860, 輔助計算!$G$2:$G$801, 0)+1))&lt;=46.5,2,1)), IF(INDEX(ERP資料!$G:$G, (MATCH(860, 輔助計算!$G$2:$G$801, 0)+1))&lt;=790,3,IF(INDEX(ERP資料!$G:$G, (MATCH(860, 輔助計算!$G$2:$G$801, 0)+1))&lt;=1181,2,1))))&gt;0, IF(IF(INDEX(ERP資料!$G:$G, (MATCH(860, 輔助計算!$G$2:$G$801, 0)+1))&lt;100, IF(INDEX(ERP資料!$G:$G, (MATCH(860, 輔助計算!$G$2:$G$801, 0)+1))&lt;=31,3,IF(INDEX(ERP資料!$G:$G, (MATCH(860, 輔助計算!$G$2:$G$801, 0)+1))&lt;=46.5,2,1)), IF(INDEX(ERP資料!$G:$G, (MATCH(860, 輔助計算!$G$2:$G$801, 0)+1))&lt;=790,3,IF(INDEX(ERP資料!$G:$G, (MATCH(860, 輔助計算!$G$2:$G$801, 0)+1))&lt;=1181,2,1)))=1,TEXT(INDEX(ERP資料!$G:$G, (MATCH(860, 輔助計算!$G$2:$G$801, 0)+1)),"0.##"),IF(IF(INDEX(ERP資料!$G:$G, (MATCH(860, 輔助計算!$G$2:$G$801, 0)+1))&lt;100, IF(INDEX(ERP資料!$G:$G, (MATCH(860, 輔助計算!$G$2:$G$801, 0)+1))&lt;=31,3,IF(INDEX(ERP資料!$G:$G, (MATCH(860, 輔助計算!$G$2:$G$801, 0)+1))&lt;=46.5,2,1)), IF(INDEX(ERP資料!$G:$G, (MATCH(860, 輔助計算!$G$2:$G$801, 0)+1))&lt;=790,3,IF(INDEX(ERP資料!$G:$G, (MATCH(860, 輔助計算!$G$2:$G$801, 0)+1))&lt;=1181,2,1)))=2,TEXT(INDEX(ERP資料!$G:$G, (MATCH(860, 輔助計算!$G$2:$G$801, 0)+1)),"0.##")&amp;"+"&amp;TEXT(INDEX(ERP資料!$G:$G, (MATCH(860, 輔助計算!$G$2:$G$801, 0)+1)),"0.##"),TEXT(INDEX(ERP資料!$G:$G, (MATCH(860, 輔助計算!$G$2:$G$801, 0)+1)),"0.##")&amp;"+"&amp;TEXT(INDEX(ERP資料!$G:$G, (MATCH(860, 輔助計算!$G$2:$G$801, 0)+1)),"0.##")&amp;"+"&amp;TEXT(INDEX(ERP資料!$G:$G, (MATCH(860, 輔助計算!$G$2:$G$801, 0)+1)),"0.##")))&amp;"-"&amp;INT(INDEX(輔助計算!$D:$D, (MATCH(860, 輔助計算!$G$2:$G$801, 0)+1))/IF(INDEX(ERP資料!$G:$G, (MATCH(860, 輔助計算!$G$2:$G$801, 0)+1))&lt;100, IF(INDEX(ERP資料!$G:$G, (MATCH(860, 輔助計算!$G$2:$G$801, 0)+1))&lt;=31,3,IF(INDEX(ERP資料!$G:$G, (MATCH(860, 輔助計算!$G$2:$G$801, 0)+1))&lt;=46.5,2,1)), IF(INDEX(ERP資料!$G:$G, (MATCH(860, 輔助計算!$G$2:$G$801, 0)+1))&lt;=790,3,IF(INDEX(ERP資料!$G:$G, (MATCH(860, 輔助計算!$G$2:$G$801, 0)+1))&lt;=1181,2,1)))), "")&lt;&gt;"",IF(MOD(INDEX(輔助計算!$D:$D, (MATCH(860, 輔助計算!$G$2:$G$801, 0)+1)),IF(INDEX(ERP資料!$G:$G, (MATCH(860, 輔助計算!$G$2:$G$801, 0)+1))&lt;100, IF(INDEX(ERP資料!$G:$G, (MATCH(860, 輔助計算!$G$2:$G$801, 0)+1))&lt;=31,3,IF(INDEX(ERP資料!$G:$G, (MATCH(860, 輔助計算!$G$2:$G$801, 0)+1))&lt;=46.5,2,1)), IF(INDEX(ERP資料!$G:$G, (MATCH(860, 輔助計算!$G$2:$G$801, 0)+1))&lt;=790,3,IF(INDEX(ERP資料!$G:$G, (MATCH(860, 輔助計算!$G$2:$G$801, 0)+1))&lt;=1181,2,1))))=0,"",IF(MOD(INDEX(輔助計算!$D:$D, (MATCH(860, 輔助計算!$G$2:$G$801, 0)+1)),IF(INDEX(ERP資料!$G:$G, (MATCH(860, 輔助計算!$G$2:$G$801, 0)+1))&lt;100, IF(INDEX(ERP資料!$G:$G, (MATCH(860, 輔助計算!$G$2:$G$801, 0)+1))&lt;=31,3,IF(INDEX(ERP資料!$G:$G, (MATCH(860, 輔助計算!$G$2:$G$801, 0)+1))&lt;=46.5,2,1)), IF(INDEX(ERP資料!$G:$G, (MATCH(860, 輔助計算!$G$2:$G$801, 0)+1))&lt;=790,3,IF(INDEX(ERP資料!$G:$G, (MATCH(860, 輔助計算!$G$2:$G$801, 0)+1))&lt;=1181,2,1))))=0,"",IF(MOD(INDEX(輔助計算!$D:$D, (MATCH(860, 輔助計算!$G$2:$G$801, 0)+1)),IF(INDEX(ERP資料!$G:$G, (MATCH(860, 輔助計算!$G$2:$G$801, 0)+1))&lt;100, IF(INDEX(ERP資料!$G:$G, (MATCH(860, 輔助計算!$G$2:$G$801, 0)+1))&lt;=31,3,IF(INDEX(ERP資料!$G:$G, (MATCH(860, 輔助計算!$G$2:$G$801, 0)+1))&lt;=46.5,2,1)), IF(INDEX(ERP資料!$G:$G, (MATCH(860, 輔助計算!$G$2:$G$801, 0)+1))&lt;=790,3,IF(INDEX(ERP資料!$G:$G, (MATCH(860, 輔助計算!$G$2:$G$801, 0)+1))&lt;=1181,2,1))))=1,TEXT(INDEX(ERP資料!$G:$G, (MATCH(860, 輔助計算!$G$2:$G$801, 0)+1)),"0.##"),IF(MOD(INDEX(輔助計算!$D:$D, (MATCH(860, 輔助計算!$G$2:$G$801, 0)+1)),IF(INDEX(ERP資料!$G:$G, (MATCH(860, 輔助計算!$G$2:$G$801, 0)+1))&lt;100, IF(INDEX(ERP資料!$G:$G, (MATCH(860, 輔助計算!$G$2:$G$801, 0)+1))&lt;=31,3,IF(INDEX(ERP資料!$G:$G, (MATCH(860, 輔助計算!$G$2:$G$801, 0)+1))&lt;=46.5,2,1)), IF(INDEX(ERP資料!$G:$G, (MATCH(860, 輔助計算!$G$2:$G$801, 0)+1))&lt;=790,3,IF(INDEX(ERP資料!$G:$G, (MATCH(860, 輔助計算!$G$2:$G$801, 0)+1))&lt;=1181,2,1))))=2,TEXT(INDEX(ERP資料!$G:$G, (MATCH(860, 輔助計算!$G$2:$G$801, 0)+1)),"0.##")&amp;"+"&amp;TEXT(INDEX(ERP資料!$G:$G, (MATCH(860, 輔助計算!$G$2:$G$801, 0)+1)),"0.##"),TEXT(INDEX(ERP資料!$G:$G, (MATCH(860, 輔助計算!$G$2:$G$801, 0)+1)),"0.##")&amp;"+"&amp;TEXT(INDEX(ERP資料!$G:$G, (MATCH(860, 輔助計算!$G$2:$G$801, 0)+1)),"0.##")&amp;"+"&amp;TEXT(INDEX(ERP資料!$G:$G, (MATCH(860, 輔助計算!$G$2:$G$801, 0)+1)),"0.##"))))&amp;"-1")&lt;&gt;""),"  ","")&amp;IF(MOD(INDEX(輔助計算!$D:$D, (MATCH(860, 輔助計算!$G$2:$G$801, 0)+1)),IF(INDEX(ERP資料!$G:$G, (MATCH(860, 輔助計算!$G$2:$G$801, 0)+1))&lt;100, IF(INDEX(ERP資料!$G:$G, (MATCH(860, 輔助計算!$G$2:$G$801, 0)+1))&lt;=31,3,IF(INDEX(ERP資料!$G:$G, (MATCH(860, 輔助計算!$G$2:$G$801, 0)+1))&lt;=46.5,2,1)), IF(INDEX(ERP資料!$G:$G, (MATCH(860, 輔助計算!$G$2:$G$801, 0)+1))&lt;=790,3,IF(INDEX(ERP資料!$G:$G, (MATCH(860, 輔助計算!$G$2:$G$801, 0)+1))&lt;=1181,2,1))))=0,"",IF(MOD(INDEX(輔助計算!$D:$D, (MATCH(860, 輔助計算!$G$2:$G$801, 0)+1)),IF(INDEX(ERP資料!$G:$G, (MATCH(860, 輔助計算!$G$2:$G$801, 0)+1))&lt;100, IF(INDEX(ERP資料!$G:$G, (MATCH(860, 輔助計算!$G$2:$G$801, 0)+1))&lt;=31,3,IF(INDEX(ERP資料!$G:$G, (MATCH(860, 輔助計算!$G$2:$G$801, 0)+1))&lt;=46.5,2,1)), IF(INDEX(ERP資料!$G:$G, (MATCH(860, 輔助計算!$G$2:$G$801, 0)+1))&lt;=790,3,IF(INDEX(ERP資料!$G:$G, (MATCH(860, 輔助計算!$G$2:$G$801, 0)+1))&lt;=1181,2,1))))=0,"",IF(MOD(INDEX(輔助計算!$D:$D, (MATCH(860, 輔助計算!$G$2:$G$801, 0)+1)),IF(INDEX(ERP資料!$G:$G, (MATCH(860, 輔助計算!$G$2:$G$801, 0)+1))&lt;100, IF(INDEX(ERP資料!$G:$G, (MATCH(860, 輔助計算!$G$2:$G$801, 0)+1))&lt;=31,3,IF(INDEX(ERP資料!$G:$G, (MATCH(860, 輔助計算!$G$2:$G$801, 0)+1))&lt;=46.5,2,1)), IF(INDEX(ERP資料!$G:$G, (MATCH(860, 輔助計算!$G$2:$G$801, 0)+1))&lt;=790,3,IF(INDEX(ERP資料!$G:$G, (MATCH(860, 輔助計算!$G$2:$G$801, 0)+1))&lt;=1181,2,1))))=1,TEXT(INDEX(ERP資料!$G:$G, (MATCH(860, 輔助計算!$G$2:$G$801, 0)+1)),"0.##"),IF(MOD(INDEX(輔助計算!$D:$D, (MATCH(860, 輔助計算!$G$2:$G$801, 0)+1)),IF(INDEX(ERP資料!$G:$G, (MATCH(860, 輔助計算!$G$2:$G$801, 0)+1))&lt;100, IF(INDEX(ERP資料!$G:$G, (MATCH(860, 輔助計算!$G$2:$G$801, 0)+1))&lt;=31,3,IF(INDEX(ERP資料!$G:$G, (MATCH(860, 輔助計算!$G$2:$G$801, 0)+1))&lt;=46.5,2,1)), IF(INDEX(ERP資料!$G:$G, (MATCH(860, 輔助計算!$G$2:$G$801, 0)+1))&lt;=790,3,IF(INDEX(ERP資料!$G:$G, (MATCH(860, 輔助計算!$G$2:$G$801, 0)+1))&lt;=1181,2,1))))=2,TEXT(INDEX(ERP資料!$G:$G, (MATCH(860, 輔助計算!$G$2:$G$801, 0)+1)),"0.##")&amp;"+"&amp;TEXT(INDEX(ERP資料!$G:$G, (MATCH(860, 輔助計算!$G$2:$G$801, 0)+1)),"0.##"),TEXT(INDEX(ERP資料!$G:$G, (MATCH(860, 輔助計算!$G$2:$G$801, 0)+1)),"0.##")&amp;"+"&amp;TEXT(INDEX(ERP資料!$G:$G, (MATCH(860, 輔助計算!$G$2:$G$801, 0)+1)),"0.##")&amp;"+"&amp;TEXT(INDEX(ERP資料!$G:$G, (MATCH(860, 輔助計算!$G$2:$G$801, 0)+1)),"0.##"))))&amp;"-1")), ""), "")</f>
        <v/>
      </c>
      <c r="K861" s="16" t="n"/>
      <c r="L861" s="14">
        <f>IFERROR(IF(AND(IFERROR(INDEX(ERP資料!$A:$A, (MATCH(860, 輔助計算!$G$2:$G$801, 0)+1)), "")&lt;&gt;"", IFERROR(INDEX(ERP資料!$A:$A, (MATCH(860, 輔助計算!$G$2:$G$801, 0)+1)), "")&lt;&gt;IFERROR(INDEX(ERP資料!$A:$A, MATCH(859, 輔助計算!$G$2:$G$801, 0)+1), "")), INDEX(ERP資料!$B:$B, (MATCH(860, 輔助計算!$G$2:$G$801, 0)+1)), ""), "")</f>
        <v/>
      </c>
      <c r="M861" s="17" t="n"/>
    </row>
    <row r="862">
      <c r="A862" s="10">
        <f>IFERROR(IF(AND(IFERROR(INDEX(ERP資料!$A:$A, (MATCH(861, 輔助計算!$G$2:$G$801, 0)+1)), "")&lt;&gt;"", IFERROR(INDEX(ERP資料!$A:$A, (MATCH(861, 輔助計算!$G$2:$G$801, 0)+1)), "")&lt;&gt;IFERROR(INDEX(ERP資料!$A:$A, MATCH(860, 輔助計算!$G$2:$G$801, 0)+1), "")), IFERROR(INDEX(ERP資料!$A:$A, (MATCH(861, 輔助計算!$G$2:$G$801, 0)+1)), ""), ""), "")</f>
        <v/>
      </c>
      <c r="B862" s="10">
        <f>IFERROR(IF(AND(IFERROR(INDEX(ERP資料!$A:$A, (MATCH(861, 輔助計算!$G$2:$G$801, 0)+1)), "")&lt;&gt;"", IFERROR(INDEX(ERP資料!$A:$A, (MATCH(861, 輔助計算!$G$2:$G$801, 0)+1)), "")&lt;&gt;IFERROR(INDEX(ERP資料!$A:$A, MATCH(860, 輔助計算!$G$2:$G$801, 0)+1), "")), INDEX(ERP資料!$S:$S, (MATCH(861, 輔助計算!$G$2:$G$801, 0)+1)), ""), "")</f>
        <v/>
      </c>
      <c r="C862" s="19">
        <f>IFERROR(IF(AND(IFERROR(INDEX(ERP資料!$A:$A, (MATCH(861, 輔助計算!$G$2:$G$801, 0)+1)), "")&lt;&gt;"", IFERROR(INDEX(ERP資料!$A:$A, (MATCH(861, 輔助計算!$G$2:$G$801, 0)+1)), "")&lt;&gt;IFERROR(INDEX(ERP資料!$A:$A, MATCH(860, 輔助計算!$G$2:$G$801, 0)+1), "")), IFERROR(VLOOKUP(LEFT(INDEX(ERP資料!$S:$S, (MATCH(861, 輔助計算!$G$2:$G$801, 0)+1)), 4), 紙管對照表!$A:$C, 3, FALSE), ""), ""), "")</f>
        <v/>
      </c>
      <c r="D862" s="16" t="n"/>
      <c r="E862" s="10">
        <f>IFERROR(IF(INDEX(ERP資料!$H:$H, (MATCH(861, 輔助計算!$G$2:$G$801, 0)+1))="","",INDEX(ERP資料!$H:$H, (MATCH(861, 輔助計算!$G$2:$G$801, 0)+1))), "")</f>
        <v/>
      </c>
      <c r="F862" s="10">
        <f>IFERROR(IF(INDEX(ERP資料!$E:$E, (MATCH(861, 輔助計算!$G$2:$G$801, 0)+1))="","",TRIM(INDEX(ERP資料!$E:$E, (MATCH(861, 輔助計算!$G$2:$G$801, 0)+1)))), "")</f>
        <v/>
      </c>
      <c r="G862" s="10">
        <f>IFERROR(IF(INDEX(ERP資料!$F:$F, (MATCH(861, 輔助計算!$G$2:$G$801, 0)+1))="","",INDEX(ERP資料!$F:$F, (MATCH(861, 輔助計算!$G$2:$G$801, 0)+1))), "")</f>
        <v/>
      </c>
      <c r="H862" s="10">
        <f>IFERROR(IF(INDEX(ERP資料!$G:$G, (MATCH(861, 輔助計算!$G$2:$G$801, 0)+1))="","",INDEX(ERP資料!$G:$G, (MATCH(861, 輔助計算!$G$2:$G$801, 0)+1))), "")</f>
        <v/>
      </c>
      <c r="I862" s="15">
        <f>IFERROR(INDEX(輔助計算!$D:$D, (MATCH(861, 輔助計算!$G$2:$G$801, 0)+1)), "")</f>
        <v/>
      </c>
      <c r="J862" s="15">
        <f>IFERROR(IF(AND(INDEX(輔助計算!$D:$D, (MATCH(861, 輔助計算!$G$2:$G$801, 0)+1))&lt;&gt;"", INDEX(ERP資料!$G:$G, (MATCH(861, 輔助計算!$G$2:$G$801, 0)+1))&lt;&gt;""), TRIM(IF(INT(INDEX(輔助計算!$D:$D, (MATCH(861, 輔助計算!$G$2:$G$801, 0)+1))/IF(INDEX(ERP資料!$G:$G, (MATCH(861, 輔助計算!$G$2:$G$801, 0)+1))&lt;100, IF(INDEX(ERP資料!$G:$G, (MATCH(861, 輔助計算!$G$2:$G$801, 0)+1))&lt;=31,3,IF(INDEX(ERP資料!$G:$G, (MATCH(861, 輔助計算!$G$2:$G$801, 0)+1))&lt;=46.5,2,1)), IF(INDEX(ERP資料!$G:$G, (MATCH(861, 輔助計算!$G$2:$G$801, 0)+1))&lt;=790,3,IF(INDEX(ERP資料!$G:$G, (MATCH(861, 輔助計算!$G$2:$G$801, 0)+1))&lt;=1181,2,1))))&gt;0, IF(IF(INDEX(ERP資料!$G:$G, (MATCH(861, 輔助計算!$G$2:$G$801, 0)+1))&lt;100, IF(INDEX(ERP資料!$G:$G, (MATCH(861, 輔助計算!$G$2:$G$801, 0)+1))&lt;=31,3,IF(INDEX(ERP資料!$G:$G, (MATCH(861, 輔助計算!$G$2:$G$801, 0)+1))&lt;=46.5,2,1)), IF(INDEX(ERP資料!$G:$G, (MATCH(861, 輔助計算!$G$2:$G$801, 0)+1))&lt;=790,3,IF(INDEX(ERP資料!$G:$G, (MATCH(861, 輔助計算!$G$2:$G$801, 0)+1))&lt;=1181,2,1)))=1,TEXT(INDEX(ERP資料!$G:$G, (MATCH(861, 輔助計算!$G$2:$G$801, 0)+1)),"0.##"),IF(IF(INDEX(ERP資料!$G:$G, (MATCH(861, 輔助計算!$G$2:$G$801, 0)+1))&lt;100, IF(INDEX(ERP資料!$G:$G, (MATCH(861, 輔助計算!$G$2:$G$801, 0)+1))&lt;=31,3,IF(INDEX(ERP資料!$G:$G, (MATCH(861, 輔助計算!$G$2:$G$801, 0)+1))&lt;=46.5,2,1)), IF(INDEX(ERP資料!$G:$G, (MATCH(861, 輔助計算!$G$2:$G$801, 0)+1))&lt;=790,3,IF(INDEX(ERP資料!$G:$G, (MATCH(861, 輔助計算!$G$2:$G$801, 0)+1))&lt;=1181,2,1)))=2,TEXT(INDEX(ERP資料!$G:$G, (MATCH(861, 輔助計算!$G$2:$G$801, 0)+1)),"0.##")&amp;"+"&amp;TEXT(INDEX(ERP資料!$G:$G, (MATCH(861, 輔助計算!$G$2:$G$801, 0)+1)),"0.##"),TEXT(INDEX(ERP資料!$G:$G, (MATCH(861, 輔助計算!$G$2:$G$801, 0)+1)),"0.##")&amp;"+"&amp;TEXT(INDEX(ERP資料!$G:$G, (MATCH(861, 輔助計算!$G$2:$G$801, 0)+1)),"0.##")&amp;"+"&amp;TEXT(INDEX(ERP資料!$G:$G, (MATCH(861, 輔助計算!$G$2:$G$801, 0)+1)),"0.##")))&amp;"-"&amp;INT(INDEX(輔助計算!$D:$D, (MATCH(861, 輔助計算!$G$2:$G$801, 0)+1))/IF(INDEX(ERP資料!$G:$G, (MATCH(861, 輔助計算!$G$2:$G$801, 0)+1))&lt;100, IF(INDEX(ERP資料!$G:$G, (MATCH(861, 輔助計算!$G$2:$G$801, 0)+1))&lt;=31,3,IF(INDEX(ERP資料!$G:$G, (MATCH(861, 輔助計算!$G$2:$G$801, 0)+1))&lt;=46.5,2,1)), IF(INDEX(ERP資料!$G:$G, (MATCH(861, 輔助計算!$G$2:$G$801, 0)+1))&lt;=790,3,IF(INDEX(ERP資料!$G:$G, (MATCH(861, 輔助計算!$G$2:$G$801, 0)+1))&lt;=1181,2,1)))), "")&amp;IF(AND(IF(INT(INDEX(輔助計算!$D:$D, (MATCH(861, 輔助計算!$G$2:$G$801, 0)+1))/IF(INDEX(ERP資料!$G:$G, (MATCH(861, 輔助計算!$G$2:$G$801, 0)+1))&lt;100, IF(INDEX(ERP資料!$G:$G, (MATCH(861, 輔助計算!$G$2:$G$801, 0)+1))&lt;=31,3,IF(INDEX(ERP資料!$G:$G, (MATCH(861, 輔助計算!$G$2:$G$801, 0)+1))&lt;=46.5,2,1)), IF(INDEX(ERP資料!$G:$G, (MATCH(861, 輔助計算!$G$2:$G$801, 0)+1))&lt;=790,3,IF(INDEX(ERP資料!$G:$G, (MATCH(861, 輔助計算!$G$2:$G$801, 0)+1))&lt;=1181,2,1))))&gt;0, IF(IF(INDEX(ERP資料!$G:$G, (MATCH(861, 輔助計算!$G$2:$G$801, 0)+1))&lt;100, IF(INDEX(ERP資料!$G:$G, (MATCH(861, 輔助計算!$G$2:$G$801, 0)+1))&lt;=31,3,IF(INDEX(ERP資料!$G:$G, (MATCH(861, 輔助計算!$G$2:$G$801, 0)+1))&lt;=46.5,2,1)), IF(INDEX(ERP資料!$G:$G, (MATCH(861, 輔助計算!$G$2:$G$801, 0)+1))&lt;=790,3,IF(INDEX(ERP資料!$G:$G, (MATCH(861, 輔助計算!$G$2:$G$801, 0)+1))&lt;=1181,2,1)))=1,TEXT(INDEX(ERP資料!$G:$G, (MATCH(861, 輔助計算!$G$2:$G$801, 0)+1)),"0.##"),IF(IF(INDEX(ERP資料!$G:$G, (MATCH(861, 輔助計算!$G$2:$G$801, 0)+1))&lt;100, IF(INDEX(ERP資料!$G:$G, (MATCH(861, 輔助計算!$G$2:$G$801, 0)+1))&lt;=31,3,IF(INDEX(ERP資料!$G:$G, (MATCH(861, 輔助計算!$G$2:$G$801, 0)+1))&lt;=46.5,2,1)), IF(INDEX(ERP資料!$G:$G, (MATCH(861, 輔助計算!$G$2:$G$801, 0)+1))&lt;=790,3,IF(INDEX(ERP資料!$G:$G, (MATCH(861, 輔助計算!$G$2:$G$801, 0)+1))&lt;=1181,2,1)))=2,TEXT(INDEX(ERP資料!$G:$G, (MATCH(861, 輔助計算!$G$2:$G$801, 0)+1)),"0.##")&amp;"+"&amp;TEXT(INDEX(ERP資料!$G:$G, (MATCH(861, 輔助計算!$G$2:$G$801, 0)+1)),"0.##"),TEXT(INDEX(ERP資料!$G:$G, (MATCH(861, 輔助計算!$G$2:$G$801, 0)+1)),"0.##")&amp;"+"&amp;TEXT(INDEX(ERP資料!$G:$G, (MATCH(861, 輔助計算!$G$2:$G$801, 0)+1)),"0.##")&amp;"+"&amp;TEXT(INDEX(ERP資料!$G:$G, (MATCH(861, 輔助計算!$G$2:$G$801, 0)+1)),"0.##")))&amp;"-"&amp;INT(INDEX(輔助計算!$D:$D, (MATCH(861, 輔助計算!$G$2:$G$801, 0)+1))/IF(INDEX(ERP資料!$G:$G, (MATCH(861, 輔助計算!$G$2:$G$801, 0)+1))&lt;100, IF(INDEX(ERP資料!$G:$G, (MATCH(861, 輔助計算!$G$2:$G$801, 0)+1))&lt;=31,3,IF(INDEX(ERP資料!$G:$G, (MATCH(861, 輔助計算!$G$2:$G$801, 0)+1))&lt;=46.5,2,1)), IF(INDEX(ERP資料!$G:$G, (MATCH(861, 輔助計算!$G$2:$G$801, 0)+1))&lt;=790,3,IF(INDEX(ERP資料!$G:$G, (MATCH(861, 輔助計算!$G$2:$G$801, 0)+1))&lt;=1181,2,1)))), "")&lt;&gt;"",IF(MOD(INDEX(輔助計算!$D:$D, (MATCH(861, 輔助計算!$G$2:$G$801, 0)+1)),IF(INDEX(ERP資料!$G:$G, (MATCH(861, 輔助計算!$G$2:$G$801, 0)+1))&lt;100, IF(INDEX(ERP資料!$G:$G, (MATCH(861, 輔助計算!$G$2:$G$801, 0)+1))&lt;=31,3,IF(INDEX(ERP資料!$G:$G, (MATCH(861, 輔助計算!$G$2:$G$801, 0)+1))&lt;=46.5,2,1)), IF(INDEX(ERP資料!$G:$G, (MATCH(861, 輔助計算!$G$2:$G$801, 0)+1))&lt;=790,3,IF(INDEX(ERP資料!$G:$G, (MATCH(861, 輔助計算!$G$2:$G$801, 0)+1))&lt;=1181,2,1))))=0,"",IF(MOD(INDEX(輔助計算!$D:$D, (MATCH(861, 輔助計算!$G$2:$G$801, 0)+1)),IF(INDEX(ERP資料!$G:$G, (MATCH(861, 輔助計算!$G$2:$G$801, 0)+1))&lt;100, IF(INDEX(ERP資料!$G:$G, (MATCH(861, 輔助計算!$G$2:$G$801, 0)+1))&lt;=31,3,IF(INDEX(ERP資料!$G:$G, (MATCH(861, 輔助計算!$G$2:$G$801, 0)+1))&lt;=46.5,2,1)), IF(INDEX(ERP資料!$G:$G, (MATCH(861, 輔助計算!$G$2:$G$801, 0)+1))&lt;=790,3,IF(INDEX(ERP資料!$G:$G, (MATCH(861, 輔助計算!$G$2:$G$801, 0)+1))&lt;=1181,2,1))))=0,"",IF(MOD(INDEX(輔助計算!$D:$D, (MATCH(861, 輔助計算!$G$2:$G$801, 0)+1)),IF(INDEX(ERP資料!$G:$G, (MATCH(861, 輔助計算!$G$2:$G$801, 0)+1))&lt;100, IF(INDEX(ERP資料!$G:$G, (MATCH(861, 輔助計算!$G$2:$G$801, 0)+1))&lt;=31,3,IF(INDEX(ERP資料!$G:$G, (MATCH(861, 輔助計算!$G$2:$G$801, 0)+1))&lt;=46.5,2,1)), IF(INDEX(ERP資料!$G:$G, (MATCH(861, 輔助計算!$G$2:$G$801, 0)+1))&lt;=790,3,IF(INDEX(ERP資料!$G:$G, (MATCH(861, 輔助計算!$G$2:$G$801, 0)+1))&lt;=1181,2,1))))=1,TEXT(INDEX(ERP資料!$G:$G, (MATCH(861, 輔助計算!$G$2:$G$801, 0)+1)),"0.##"),IF(MOD(INDEX(輔助計算!$D:$D, (MATCH(861, 輔助計算!$G$2:$G$801, 0)+1)),IF(INDEX(ERP資料!$G:$G, (MATCH(861, 輔助計算!$G$2:$G$801, 0)+1))&lt;100, IF(INDEX(ERP資料!$G:$G, (MATCH(861, 輔助計算!$G$2:$G$801, 0)+1))&lt;=31,3,IF(INDEX(ERP資料!$G:$G, (MATCH(861, 輔助計算!$G$2:$G$801, 0)+1))&lt;=46.5,2,1)), IF(INDEX(ERP資料!$G:$G, (MATCH(861, 輔助計算!$G$2:$G$801, 0)+1))&lt;=790,3,IF(INDEX(ERP資料!$G:$G, (MATCH(861, 輔助計算!$G$2:$G$801, 0)+1))&lt;=1181,2,1))))=2,TEXT(INDEX(ERP資料!$G:$G, (MATCH(861, 輔助計算!$G$2:$G$801, 0)+1)),"0.##")&amp;"+"&amp;TEXT(INDEX(ERP資料!$G:$G, (MATCH(861, 輔助計算!$G$2:$G$801, 0)+1)),"0.##"),TEXT(INDEX(ERP資料!$G:$G, (MATCH(861, 輔助計算!$G$2:$G$801, 0)+1)),"0.##")&amp;"+"&amp;TEXT(INDEX(ERP資料!$G:$G, (MATCH(861, 輔助計算!$G$2:$G$801, 0)+1)),"0.##")&amp;"+"&amp;TEXT(INDEX(ERP資料!$G:$G, (MATCH(861, 輔助計算!$G$2:$G$801, 0)+1)),"0.##"))))&amp;"-1")&lt;&gt;""),"  ","")&amp;IF(MOD(INDEX(輔助計算!$D:$D, (MATCH(861, 輔助計算!$G$2:$G$801, 0)+1)),IF(INDEX(ERP資料!$G:$G, (MATCH(861, 輔助計算!$G$2:$G$801, 0)+1))&lt;100, IF(INDEX(ERP資料!$G:$G, (MATCH(861, 輔助計算!$G$2:$G$801, 0)+1))&lt;=31,3,IF(INDEX(ERP資料!$G:$G, (MATCH(861, 輔助計算!$G$2:$G$801, 0)+1))&lt;=46.5,2,1)), IF(INDEX(ERP資料!$G:$G, (MATCH(861, 輔助計算!$G$2:$G$801, 0)+1))&lt;=790,3,IF(INDEX(ERP資料!$G:$G, (MATCH(861, 輔助計算!$G$2:$G$801, 0)+1))&lt;=1181,2,1))))=0,"",IF(MOD(INDEX(輔助計算!$D:$D, (MATCH(861, 輔助計算!$G$2:$G$801, 0)+1)),IF(INDEX(ERP資料!$G:$G, (MATCH(861, 輔助計算!$G$2:$G$801, 0)+1))&lt;100, IF(INDEX(ERP資料!$G:$G, (MATCH(861, 輔助計算!$G$2:$G$801, 0)+1))&lt;=31,3,IF(INDEX(ERP資料!$G:$G, (MATCH(861, 輔助計算!$G$2:$G$801, 0)+1))&lt;=46.5,2,1)), IF(INDEX(ERP資料!$G:$G, (MATCH(861, 輔助計算!$G$2:$G$801, 0)+1))&lt;=790,3,IF(INDEX(ERP資料!$G:$G, (MATCH(861, 輔助計算!$G$2:$G$801, 0)+1))&lt;=1181,2,1))))=0,"",IF(MOD(INDEX(輔助計算!$D:$D, (MATCH(861, 輔助計算!$G$2:$G$801, 0)+1)),IF(INDEX(ERP資料!$G:$G, (MATCH(861, 輔助計算!$G$2:$G$801, 0)+1))&lt;100, IF(INDEX(ERP資料!$G:$G, (MATCH(861, 輔助計算!$G$2:$G$801, 0)+1))&lt;=31,3,IF(INDEX(ERP資料!$G:$G, (MATCH(861, 輔助計算!$G$2:$G$801, 0)+1))&lt;=46.5,2,1)), IF(INDEX(ERP資料!$G:$G, (MATCH(861, 輔助計算!$G$2:$G$801, 0)+1))&lt;=790,3,IF(INDEX(ERP資料!$G:$G, (MATCH(861, 輔助計算!$G$2:$G$801, 0)+1))&lt;=1181,2,1))))=1,TEXT(INDEX(ERP資料!$G:$G, (MATCH(861, 輔助計算!$G$2:$G$801, 0)+1)),"0.##"),IF(MOD(INDEX(輔助計算!$D:$D, (MATCH(861, 輔助計算!$G$2:$G$801, 0)+1)),IF(INDEX(ERP資料!$G:$G, (MATCH(861, 輔助計算!$G$2:$G$801, 0)+1))&lt;100, IF(INDEX(ERP資料!$G:$G, (MATCH(861, 輔助計算!$G$2:$G$801, 0)+1))&lt;=31,3,IF(INDEX(ERP資料!$G:$G, (MATCH(861, 輔助計算!$G$2:$G$801, 0)+1))&lt;=46.5,2,1)), IF(INDEX(ERP資料!$G:$G, (MATCH(861, 輔助計算!$G$2:$G$801, 0)+1))&lt;=790,3,IF(INDEX(ERP資料!$G:$G, (MATCH(861, 輔助計算!$G$2:$G$801, 0)+1))&lt;=1181,2,1))))=2,TEXT(INDEX(ERP資料!$G:$G, (MATCH(861, 輔助計算!$G$2:$G$801, 0)+1)),"0.##")&amp;"+"&amp;TEXT(INDEX(ERP資料!$G:$G, (MATCH(861, 輔助計算!$G$2:$G$801, 0)+1)),"0.##"),TEXT(INDEX(ERP資料!$G:$G, (MATCH(861, 輔助計算!$G$2:$G$801, 0)+1)),"0.##")&amp;"+"&amp;TEXT(INDEX(ERP資料!$G:$G, (MATCH(861, 輔助計算!$G$2:$G$801, 0)+1)),"0.##")&amp;"+"&amp;TEXT(INDEX(ERP資料!$G:$G, (MATCH(861, 輔助計算!$G$2:$G$801, 0)+1)),"0.##"))))&amp;"-1")), ""), "")</f>
        <v/>
      </c>
      <c r="K862" s="16" t="n"/>
      <c r="L862" s="14">
        <f>IFERROR(IF(AND(IFERROR(INDEX(ERP資料!$A:$A, (MATCH(861, 輔助計算!$G$2:$G$801, 0)+1)), "")&lt;&gt;"", IFERROR(INDEX(ERP資料!$A:$A, (MATCH(861, 輔助計算!$G$2:$G$801, 0)+1)), "")&lt;&gt;IFERROR(INDEX(ERP資料!$A:$A, MATCH(860, 輔助計算!$G$2:$G$801, 0)+1), "")), INDEX(ERP資料!$B:$B, (MATCH(861, 輔助計算!$G$2:$G$801, 0)+1)), ""), "")</f>
        <v/>
      </c>
      <c r="M862" s="17" t="n"/>
    </row>
    <row r="863">
      <c r="A863" s="10">
        <f>IFERROR(IF(AND(IFERROR(INDEX(ERP資料!$A:$A, (MATCH(862, 輔助計算!$G$2:$G$801, 0)+1)), "")&lt;&gt;"", IFERROR(INDEX(ERP資料!$A:$A, (MATCH(862, 輔助計算!$G$2:$G$801, 0)+1)), "")&lt;&gt;IFERROR(INDEX(ERP資料!$A:$A, MATCH(861, 輔助計算!$G$2:$G$801, 0)+1), "")), IFERROR(INDEX(ERP資料!$A:$A, (MATCH(862, 輔助計算!$G$2:$G$801, 0)+1)), ""), ""), "")</f>
        <v/>
      </c>
      <c r="B863" s="10">
        <f>IFERROR(IF(AND(IFERROR(INDEX(ERP資料!$A:$A, (MATCH(862, 輔助計算!$G$2:$G$801, 0)+1)), "")&lt;&gt;"", IFERROR(INDEX(ERP資料!$A:$A, (MATCH(862, 輔助計算!$G$2:$G$801, 0)+1)), "")&lt;&gt;IFERROR(INDEX(ERP資料!$A:$A, MATCH(861, 輔助計算!$G$2:$G$801, 0)+1), "")), INDEX(ERP資料!$S:$S, (MATCH(862, 輔助計算!$G$2:$G$801, 0)+1)), ""), "")</f>
        <v/>
      </c>
      <c r="C863" s="19">
        <f>IFERROR(IF(AND(IFERROR(INDEX(ERP資料!$A:$A, (MATCH(862, 輔助計算!$G$2:$G$801, 0)+1)), "")&lt;&gt;"", IFERROR(INDEX(ERP資料!$A:$A, (MATCH(862, 輔助計算!$G$2:$G$801, 0)+1)), "")&lt;&gt;IFERROR(INDEX(ERP資料!$A:$A, MATCH(861, 輔助計算!$G$2:$G$801, 0)+1), "")), IFERROR(VLOOKUP(LEFT(INDEX(ERP資料!$S:$S, (MATCH(862, 輔助計算!$G$2:$G$801, 0)+1)), 4), 紙管對照表!$A:$C, 3, FALSE), ""), ""), "")</f>
        <v/>
      </c>
      <c r="D863" s="16" t="n"/>
      <c r="E863" s="10">
        <f>IFERROR(IF(INDEX(ERP資料!$H:$H, (MATCH(862, 輔助計算!$G$2:$G$801, 0)+1))="","",INDEX(ERP資料!$H:$H, (MATCH(862, 輔助計算!$G$2:$G$801, 0)+1))), "")</f>
        <v/>
      </c>
      <c r="F863" s="10">
        <f>IFERROR(IF(INDEX(ERP資料!$E:$E, (MATCH(862, 輔助計算!$G$2:$G$801, 0)+1))="","",TRIM(INDEX(ERP資料!$E:$E, (MATCH(862, 輔助計算!$G$2:$G$801, 0)+1)))), "")</f>
        <v/>
      </c>
      <c r="G863" s="10">
        <f>IFERROR(IF(INDEX(ERP資料!$F:$F, (MATCH(862, 輔助計算!$G$2:$G$801, 0)+1))="","",INDEX(ERP資料!$F:$F, (MATCH(862, 輔助計算!$G$2:$G$801, 0)+1))), "")</f>
        <v/>
      </c>
      <c r="H863" s="10">
        <f>IFERROR(IF(INDEX(ERP資料!$G:$G, (MATCH(862, 輔助計算!$G$2:$G$801, 0)+1))="","",INDEX(ERP資料!$G:$G, (MATCH(862, 輔助計算!$G$2:$G$801, 0)+1))), "")</f>
        <v/>
      </c>
      <c r="I863" s="15">
        <f>IFERROR(INDEX(輔助計算!$D:$D, (MATCH(862, 輔助計算!$G$2:$G$801, 0)+1)), "")</f>
        <v/>
      </c>
      <c r="J863" s="15">
        <f>IFERROR(IF(AND(INDEX(輔助計算!$D:$D, (MATCH(862, 輔助計算!$G$2:$G$801, 0)+1))&lt;&gt;"", INDEX(ERP資料!$G:$G, (MATCH(862, 輔助計算!$G$2:$G$801, 0)+1))&lt;&gt;""), TRIM(IF(INT(INDEX(輔助計算!$D:$D, (MATCH(862, 輔助計算!$G$2:$G$801, 0)+1))/IF(INDEX(ERP資料!$G:$G, (MATCH(862, 輔助計算!$G$2:$G$801, 0)+1))&lt;100, IF(INDEX(ERP資料!$G:$G, (MATCH(862, 輔助計算!$G$2:$G$801, 0)+1))&lt;=31,3,IF(INDEX(ERP資料!$G:$G, (MATCH(862, 輔助計算!$G$2:$G$801, 0)+1))&lt;=46.5,2,1)), IF(INDEX(ERP資料!$G:$G, (MATCH(862, 輔助計算!$G$2:$G$801, 0)+1))&lt;=790,3,IF(INDEX(ERP資料!$G:$G, (MATCH(862, 輔助計算!$G$2:$G$801, 0)+1))&lt;=1181,2,1))))&gt;0, IF(IF(INDEX(ERP資料!$G:$G, (MATCH(862, 輔助計算!$G$2:$G$801, 0)+1))&lt;100, IF(INDEX(ERP資料!$G:$G, (MATCH(862, 輔助計算!$G$2:$G$801, 0)+1))&lt;=31,3,IF(INDEX(ERP資料!$G:$G, (MATCH(862, 輔助計算!$G$2:$G$801, 0)+1))&lt;=46.5,2,1)), IF(INDEX(ERP資料!$G:$G, (MATCH(862, 輔助計算!$G$2:$G$801, 0)+1))&lt;=790,3,IF(INDEX(ERP資料!$G:$G, (MATCH(862, 輔助計算!$G$2:$G$801, 0)+1))&lt;=1181,2,1)))=1,TEXT(INDEX(ERP資料!$G:$G, (MATCH(862, 輔助計算!$G$2:$G$801, 0)+1)),"0.##"),IF(IF(INDEX(ERP資料!$G:$G, (MATCH(862, 輔助計算!$G$2:$G$801, 0)+1))&lt;100, IF(INDEX(ERP資料!$G:$G, (MATCH(862, 輔助計算!$G$2:$G$801, 0)+1))&lt;=31,3,IF(INDEX(ERP資料!$G:$G, (MATCH(862, 輔助計算!$G$2:$G$801, 0)+1))&lt;=46.5,2,1)), IF(INDEX(ERP資料!$G:$G, (MATCH(862, 輔助計算!$G$2:$G$801, 0)+1))&lt;=790,3,IF(INDEX(ERP資料!$G:$G, (MATCH(862, 輔助計算!$G$2:$G$801, 0)+1))&lt;=1181,2,1)))=2,TEXT(INDEX(ERP資料!$G:$G, (MATCH(862, 輔助計算!$G$2:$G$801, 0)+1)),"0.##")&amp;"+"&amp;TEXT(INDEX(ERP資料!$G:$G, (MATCH(862, 輔助計算!$G$2:$G$801, 0)+1)),"0.##"),TEXT(INDEX(ERP資料!$G:$G, (MATCH(862, 輔助計算!$G$2:$G$801, 0)+1)),"0.##")&amp;"+"&amp;TEXT(INDEX(ERP資料!$G:$G, (MATCH(862, 輔助計算!$G$2:$G$801, 0)+1)),"0.##")&amp;"+"&amp;TEXT(INDEX(ERP資料!$G:$G, (MATCH(862, 輔助計算!$G$2:$G$801, 0)+1)),"0.##")))&amp;"-"&amp;INT(INDEX(輔助計算!$D:$D, (MATCH(862, 輔助計算!$G$2:$G$801, 0)+1))/IF(INDEX(ERP資料!$G:$G, (MATCH(862, 輔助計算!$G$2:$G$801, 0)+1))&lt;100, IF(INDEX(ERP資料!$G:$G, (MATCH(862, 輔助計算!$G$2:$G$801, 0)+1))&lt;=31,3,IF(INDEX(ERP資料!$G:$G, (MATCH(862, 輔助計算!$G$2:$G$801, 0)+1))&lt;=46.5,2,1)), IF(INDEX(ERP資料!$G:$G, (MATCH(862, 輔助計算!$G$2:$G$801, 0)+1))&lt;=790,3,IF(INDEX(ERP資料!$G:$G, (MATCH(862, 輔助計算!$G$2:$G$801, 0)+1))&lt;=1181,2,1)))), "")&amp;IF(AND(IF(INT(INDEX(輔助計算!$D:$D, (MATCH(862, 輔助計算!$G$2:$G$801, 0)+1))/IF(INDEX(ERP資料!$G:$G, (MATCH(862, 輔助計算!$G$2:$G$801, 0)+1))&lt;100, IF(INDEX(ERP資料!$G:$G, (MATCH(862, 輔助計算!$G$2:$G$801, 0)+1))&lt;=31,3,IF(INDEX(ERP資料!$G:$G, (MATCH(862, 輔助計算!$G$2:$G$801, 0)+1))&lt;=46.5,2,1)), IF(INDEX(ERP資料!$G:$G, (MATCH(862, 輔助計算!$G$2:$G$801, 0)+1))&lt;=790,3,IF(INDEX(ERP資料!$G:$G, (MATCH(862, 輔助計算!$G$2:$G$801, 0)+1))&lt;=1181,2,1))))&gt;0, IF(IF(INDEX(ERP資料!$G:$G, (MATCH(862, 輔助計算!$G$2:$G$801, 0)+1))&lt;100, IF(INDEX(ERP資料!$G:$G, (MATCH(862, 輔助計算!$G$2:$G$801, 0)+1))&lt;=31,3,IF(INDEX(ERP資料!$G:$G, (MATCH(862, 輔助計算!$G$2:$G$801, 0)+1))&lt;=46.5,2,1)), IF(INDEX(ERP資料!$G:$G, (MATCH(862, 輔助計算!$G$2:$G$801, 0)+1))&lt;=790,3,IF(INDEX(ERP資料!$G:$G, (MATCH(862, 輔助計算!$G$2:$G$801, 0)+1))&lt;=1181,2,1)))=1,TEXT(INDEX(ERP資料!$G:$G, (MATCH(862, 輔助計算!$G$2:$G$801, 0)+1)),"0.##"),IF(IF(INDEX(ERP資料!$G:$G, (MATCH(862, 輔助計算!$G$2:$G$801, 0)+1))&lt;100, IF(INDEX(ERP資料!$G:$G, (MATCH(862, 輔助計算!$G$2:$G$801, 0)+1))&lt;=31,3,IF(INDEX(ERP資料!$G:$G, (MATCH(862, 輔助計算!$G$2:$G$801, 0)+1))&lt;=46.5,2,1)), IF(INDEX(ERP資料!$G:$G, (MATCH(862, 輔助計算!$G$2:$G$801, 0)+1))&lt;=790,3,IF(INDEX(ERP資料!$G:$G, (MATCH(862, 輔助計算!$G$2:$G$801, 0)+1))&lt;=1181,2,1)))=2,TEXT(INDEX(ERP資料!$G:$G, (MATCH(862, 輔助計算!$G$2:$G$801, 0)+1)),"0.##")&amp;"+"&amp;TEXT(INDEX(ERP資料!$G:$G, (MATCH(862, 輔助計算!$G$2:$G$801, 0)+1)),"0.##"),TEXT(INDEX(ERP資料!$G:$G, (MATCH(862, 輔助計算!$G$2:$G$801, 0)+1)),"0.##")&amp;"+"&amp;TEXT(INDEX(ERP資料!$G:$G, (MATCH(862, 輔助計算!$G$2:$G$801, 0)+1)),"0.##")&amp;"+"&amp;TEXT(INDEX(ERP資料!$G:$G, (MATCH(862, 輔助計算!$G$2:$G$801, 0)+1)),"0.##")))&amp;"-"&amp;INT(INDEX(輔助計算!$D:$D, (MATCH(862, 輔助計算!$G$2:$G$801, 0)+1))/IF(INDEX(ERP資料!$G:$G, (MATCH(862, 輔助計算!$G$2:$G$801, 0)+1))&lt;100, IF(INDEX(ERP資料!$G:$G, (MATCH(862, 輔助計算!$G$2:$G$801, 0)+1))&lt;=31,3,IF(INDEX(ERP資料!$G:$G, (MATCH(862, 輔助計算!$G$2:$G$801, 0)+1))&lt;=46.5,2,1)), IF(INDEX(ERP資料!$G:$G, (MATCH(862, 輔助計算!$G$2:$G$801, 0)+1))&lt;=790,3,IF(INDEX(ERP資料!$G:$G, (MATCH(862, 輔助計算!$G$2:$G$801, 0)+1))&lt;=1181,2,1)))), "")&lt;&gt;"",IF(MOD(INDEX(輔助計算!$D:$D, (MATCH(862, 輔助計算!$G$2:$G$801, 0)+1)),IF(INDEX(ERP資料!$G:$G, (MATCH(862, 輔助計算!$G$2:$G$801, 0)+1))&lt;100, IF(INDEX(ERP資料!$G:$G, (MATCH(862, 輔助計算!$G$2:$G$801, 0)+1))&lt;=31,3,IF(INDEX(ERP資料!$G:$G, (MATCH(862, 輔助計算!$G$2:$G$801, 0)+1))&lt;=46.5,2,1)), IF(INDEX(ERP資料!$G:$G, (MATCH(862, 輔助計算!$G$2:$G$801, 0)+1))&lt;=790,3,IF(INDEX(ERP資料!$G:$G, (MATCH(862, 輔助計算!$G$2:$G$801, 0)+1))&lt;=1181,2,1))))=0,"",IF(MOD(INDEX(輔助計算!$D:$D, (MATCH(862, 輔助計算!$G$2:$G$801, 0)+1)),IF(INDEX(ERP資料!$G:$G, (MATCH(862, 輔助計算!$G$2:$G$801, 0)+1))&lt;100, IF(INDEX(ERP資料!$G:$G, (MATCH(862, 輔助計算!$G$2:$G$801, 0)+1))&lt;=31,3,IF(INDEX(ERP資料!$G:$G, (MATCH(862, 輔助計算!$G$2:$G$801, 0)+1))&lt;=46.5,2,1)), IF(INDEX(ERP資料!$G:$G, (MATCH(862, 輔助計算!$G$2:$G$801, 0)+1))&lt;=790,3,IF(INDEX(ERP資料!$G:$G, (MATCH(862, 輔助計算!$G$2:$G$801, 0)+1))&lt;=1181,2,1))))=0,"",IF(MOD(INDEX(輔助計算!$D:$D, (MATCH(862, 輔助計算!$G$2:$G$801, 0)+1)),IF(INDEX(ERP資料!$G:$G, (MATCH(862, 輔助計算!$G$2:$G$801, 0)+1))&lt;100, IF(INDEX(ERP資料!$G:$G, (MATCH(862, 輔助計算!$G$2:$G$801, 0)+1))&lt;=31,3,IF(INDEX(ERP資料!$G:$G, (MATCH(862, 輔助計算!$G$2:$G$801, 0)+1))&lt;=46.5,2,1)), IF(INDEX(ERP資料!$G:$G, (MATCH(862, 輔助計算!$G$2:$G$801, 0)+1))&lt;=790,3,IF(INDEX(ERP資料!$G:$G, (MATCH(862, 輔助計算!$G$2:$G$801, 0)+1))&lt;=1181,2,1))))=1,TEXT(INDEX(ERP資料!$G:$G, (MATCH(862, 輔助計算!$G$2:$G$801, 0)+1)),"0.##"),IF(MOD(INDEX(輔助計算!$D:$D, (MATCH(862, 輔助計算!$G$2:$G$801, 0)+1)),IF(INDEX(ERP資料!$G:$G, (MATCH(862, 輔助計算!$G$2:$G$801, 0)+1))&lt;100, IF(INDEX(ERP資料!$G:$G, (MATCH(862, 輔助計算!$G$2:$G$801, 0)+1))&lt;=31,3,IF(INDEX(ERP資料!$G:$G, (MATCH(862, 輔助計算!$G$2:$G$801, 0)+1))&lt;=46.5,2,1)), IF(INDEX(ERP資料!$G:$G, (MATCH(862, 輔助計算!$G$2:$G$801, 0)+1))&lt;=790,3,IF(INDEX(ERP資料!$G:$G, (MATCH(862, 輔助計算!$G$2:$G$801, 0)+1))&lt;=1181,2,1))))=2,TEXT(INDEX(ERP資料!$G:$G, (MATCH(862, 輔助計算!$G$2:$G$801, 0)+1)),"0.##")&amp;"+"&amp;TEXT(INDEX(ERP資料!$G:$G, (MATCH(862, 輔助計算!$G$2:$G$801, 0)+1)),"0.##"),TEXT(INDEX(ERP資料!$G:$G, (MATCH(862, 輔助計算!$G$2:$G$801, 0)+1)),"0.##")&amp;"+"&amp;TEXT(INDEX(ERP資料!$G:$G, (MATCH(862, 輔助計算!$G$2:$G$801, 0)+1)),"0.##")&amp;"+"&amp;TEXT(INDEX(ERP資料!$G:$G, (MATCH(862, 輔助計算!$G$2:$G$801, 0)+1)),"0.##"))))&amp;"-1")&lt;&gt;""),"  ","")&amp;IF(MOD(INDEX(輔助計算!$D:$D, (MATCH(862, 輔助計算!$G$2:$G$801, 0)+1)),IF(INDEX(ERP資料!$G:$G, (MATCH(862, 輔助計算!$G$2:$G$801, 0)+1))&lt;100, IF(INDEX(ERP資料!$G:$G, (MATCH(862, 輔助計算!$G$2:$G$801, 0)+1))&lt;=31,3,IF(INDEX(ERP資料!$G:$G, (MATCH(862, 輔助計算!$G$2:$G$801, 0)+1))&lt;=46.5,2,1)), IF(INDEX(ERP資料!$G:$G, (MATCH(862, 輔助計算!$G$2:$G$801, 0)+1))&lt;=790,3,IF(INDEX(ERP資料!$G:$G, (MATCH(862, 輔助計算!$G$2:$G$801, 0)+1))&lt;=1181,2,1))))=0,"",IF(MOD(INDEX(輔助計算!$D:$D, (MATCH(862, 輔助計算!$G$2:$G$801, 0)+1)),IF(INDEX(ERP資料!$G:$G, (MATCH(862, 輔助計算!$G$2:$G$801, 0)+1))&lt;100, IF(INDEX(ERP資料!$G:$G, (MATCH(862, 輔助計算!$G$2:$G$801, 0)+1))&lt;=31,3,IF(INDEX(ERP資料!$G:$G, (MATCH(862, 輔助計算!$G$2:$G$801, 0)+1))&lt;=46.5,2,1)), IF(INDEX(ERP資料!$G:$G, (MATCH(862, 輔助計算!$G$2:$G$801, 0)+1))&lt;=790,3,IF(INDEX(ERP資料!$G:$G, (MATCH(862, 輔助計算!$G$2:$G$801, 0)+1))&lt;=1181,2,1))))=0,"",IF(MOD(INDEX(輔助計算!$D:$D, (MATCH(862, 輔助計算!$G$2:$G$801, 0)+1)),IF(INDEX(ERP資料!$G:$G, (MATCH(862, 輔助計算!$G$2:$G$801, 0)+1))&lt;100, IF(INDEX(ERP資料!$G:$G, (MATCH(862, 輔助計算!$G$2:$G$801, 0)+1))&lt;=31,3,IF(INDEX(ERP資料!$G:$G, (MATCH(862, 輔助計算!$G$2:$G$801, 0)+1))&lt;=46.5,2,1)), IF(INDEX(ERP資料!$G:$G, (MATCH(862, 輔助計算!$G$2:$G$801, 0)+1))&lt;=790,3,IF(INDEX(ERP資料!$G:$G, (MATCH(862, 輔助計算!$G$2:$G$801, 0)+1))&lt;=1181,2,1))))=1,TEXT(INDEX(ERP資料!$G:$G, (MATCH(862, 輔助計算!$G$2:$G$801, 0)+1)),"0.##"),IF(MOD(INDEX(輔助計算!$D:$D, (MATCH(862, 輔助計算!$G$2:$G$801, 0)+1)),IF(INDEX(ERP資料!$G:$G, (MATCH(862, 輔助計算!$G$2:$G$801, 0)+1))&lt;100, IF(INDEX(ERP資料!$G:$G, (MATCH(862, 輔助計算!$G$2:$G$801, 0)+1))&lt;=31,3,IF(INDEX(ERP資料!$G:$G, (MATCH(862, 輔助計算!$G$2:$G$801, 0)+1))&lt;=46.5,2,1)), IF(INDEX(ERP資料!$G:$G, (MATCH(862, 輔助計算!$G$2:$G$801, 0)+1))&lt;=790,3,IF(INDEX(ERP資料!$G:$G, (MATCH(862, 輔助計算!$G$2:$G$801, 0)+1))&lt;=1181,2,1))))=2,TEXT(INDEX(ERP資料!$G:$G, (MATCH(862, 輔助計算!$G$2:$G$801, 0)+1)),"0.##")&amp;"+"&amp;TEXT(INDEX(ERP資料!$G:$G, (MATCH(862, 輔助計算!$G$2:$G$801, 0)+1)),"0.##"),TEXT(INDEX(ERP資料!$G:$G, (MATCH(862, 輔助計算!$G$2:$G$801, 0)+1)),"0.##")&amp;"+"&amp;TEXT(INDEX(ERP資料!$G:$G, (MATCH(862, 輔助計算!$G$2:$G$801, 0)+1)),"0.##")&amp;"+"&amp;TEXT(INDEX(ERP資料!$G:$G, (MATCH(862, 輔助計算!$G$2:$G$801, 0)+1)),"0.##"))))&amp;"-1")), ""), "")</f>
        <v/>
      </c>
      <c r="K863" s="16" t="n"/>
      <c r="L863" s="14">
        <f>IFERROR(IF(AND(IFERROR(INDEX(ERP資料!$A:$A, (MATCH(862, 輔助計算!$G$2:$G$801, 0)+1)), "")&lt;&gt;"", IFERROR(INDEX(ERP資料!$A:$A, (MATCH(862, 輔助計算!$G$2:$G$801, 0)+1)), "")&lt;&gt;IFERROR(INDEX(ERP資料!$A:$A, MATCH(861, 輔助計算!$G$2:$G$801, 0)+1), "")), INDEX(ERP資料!$B:$B, (MATCH(862, 輔助計算!$G$2:$G$801, 0)+1)), ""), "")</f>
        <v/>
      </c>
      <c r="M863" s="17" t="n"/>
    </row>
    <row r="864">
      <c r="A864" s="10">
        <f>IFERROR(IF(AND(IFERROR(INDEX(ERP資料!$A:$A, (MATCH(863, 輔助計算!$G$2:$G$801, 0)+1)), "")&lt;&gt;"", IFERROR(INDEX(ERP資料!$A:$A, (MATCH(863, 輔助計算!$G$2:$G$801, 0)+1)), "")&lt;&gt;IFERROR(INDEX(ERP資料!$A:$A, MATCH(862, 輔助計算!$G$2:$G$801, 0)+1), "")), IFERROR(INDEX(ERP資料!$A:$A, (MATCH(863, 輔助計算!$G$2:$G$801, 0)+1)), ""), ""), "")</f>
        <v/>
      </c>
      <c r="B864" s="10">
        <f>IFERROR(IF(AND(IFERROR(INDEX(ERP資料!$A:$A, (MATCH(863, 輔助計算!$G$2:$G$801, 0)+1)), "")&lt;&gt;"", IFERROR(INDEX(ERP資料!$A:$A, (MATCH(863, 輔助計算!$G$2:$G$801, 0)+1)), "")&lt;&gt;IFERROR(INDEX(ERP資料!$A:$A, MATCH(862, 輔助計算!$G$2:$G$801, 0)+1), "")), INDEX(ERP資料!$S:$S, (MATCH(863, 輔助計算!$G$2:$G$801, 0)+1)), ""), "")</f>
        <v/>
      </c>
      <c r="C864" s="19">
        <f>IFERROR(IF(AND(IFERROR(INDEX(ERP資料!$A:$A, (MATCH(863, 輔助計算!$G$2:$G$801, 0)+1)), "")&lt;&gt;"", IFERROR(INDEX(ERP資料!$A:$A, (MATCH(863, 輔助計算!$G$2:$G$801, 0)+1)), "")&lt;&gt;IFERROR(INDEX(ERP資料!$A:$A, MATCH(862, 輔助計算!$G$2:$G$801, 0)+1), "")), IFERROR(VLOOKUP(LEFT(INDEX(ERP資料!$S:$S, (MATCH(863, 輔助計算!$G$2:$G$801, 0)+1)), 4), 紙管對照表!$A:$C, 3, FALSE), ""), ""), "")</f>
        <v/>
      </c>
      <c r="D864" s="16" t="n"/>
      <c r="E864" s="10">
        <f>IFERROR(IF(INDEX(ERP資料!$H:$H, (MATCH(863, 輔助計算!$G$2:$G$801, 0)+1))="","",INDEX(ERP資料!$H:$H, (MATCH(863, 輔助計算!$G$2:$G$801, 0)+1))), "")</f>
        <v/>
      </c>
      <c r="F864" s="10">
        <f>IFERROR(IF(INDEX(ERP資料!$E:$E, (MATCH(863, 輔助計算!$G$2:$G$801, 0)+1))="","",TRIM(INDEX(ERP資料!$E:$E, (MATCH(863, 輔助計算!$G$2:$G$801, 0)+1)))), "")</f>
        <v/>
      </c>
      <c r="G864" s="10">
        <f>IFERROR(IF(INDEX(ERP資料!$F:$F, (MATCH(863, 輔助計算!$G$2:$G$801, 0)+1))="","",INDEX(ERP資料!$F:$F, (MATCH(863, 輔助計算!$G$2:$G$801, 0)+1))), "")</f>
        <v/>
      </c>
      <c r="H864" s="10">
        <f>IFERROR(IF(INDEX(ERP資料!$G:$G, (MATCH(863, 輔助計算!$G$2:$G$801, 0)+1))="","",INDEX(ERP資料!$G:$G, (MATCH(863, 輔助計算!$G$2:$G$801, 0)+1))), "")</f>
        <v/>
      </c>
      <c r="I864" s="15">
        <f>IFERROR(INDEX(輔助計算!$D:$D, (MATCH(863, 輔助計算!$G$2:$G$801, 0)+1)), "")</f>
        <v/>
      </c>
      <c r="J864" s="15">
        <f>IFERROR(IF(AND(INDEX(輔助計算!$D:$D, (MATCH(863, 輔助計算!$G$2:$G$801, 0)+1))&lt;&gt;"", INDEX(ERP資料!$G:$G, (MATCH(863, 輔助計算!$G$2:$G$801, 0)+1))&lt;&gt;""), TRIM(IF(INT(INDEX(輔助計算!$D:$D, (MATCH(863, 輔助計算!$G$2:$G$801, 0)+1))/IF(INDEX(ERP資料!$G:$G, (MATCH(863, 輔助計算!$G$2:$G$801, 0)+1))&lt;100, IF(INDEX(ERP資料!$G:$G, (MATCH(863, 輔助計算!$G$2:$G$801, 0)+1))&lt;=31,3,IF(INDEX(ERP資料!$G:$G, (MATCH(863, 輔助計算!$G$2:$G$801, 0)+1))&lt;=46.5,2,1)), IF(INDEX(ERP資料!$G:$G, (MATCH(863, 輔助計算!$G$2:$G$801, 0)+1))&lt;=790,3,IF(INDEX(ERP資料!$G:$G, (MATCH(863, 輔助計算!$G$2:$G$801, 0)+1))&lt;=1181,2,1))))&gt;0, IF(IF(INDEX(ERP資料!$G:$G, (MATCH(863, 輔助計算!$G$2:$G$801, 0)+1))&lt;100, IF(INDEX(ERP資料!$G:$G, (MATCH(863, 輔助計算!$G$2:$G$801, 0)+1))&lt;=31,3,IF(INDEX(ERP資料!$G:$G, (MATCH(863, 輔助計算!$G$2:$G$801, 0)+1))&lt;=46.5,2,1)), IF(INDEX(ERP資料!$G:$G, (MATCH(863, 輔助計算!$G$2:$G$801, 0)+1))&lt;=790,3,IF(INDEX(ERP資料!$G:$G, (MATCH(863, 輔助計算!$G$2:$G$801, 0)+1))&lt;=1181,2,1)))=1,TEXT(INDEX(ERP資料!$G:$G, (MATCH(863, 輔助計算!$G$2:$G$801, 0)+1)),"0.##"),IF(IF(INDEX(ERP資料!$G:$G, (MATCH(863, 輔助計算!$G$2:$G$801, 0)+1))&lt;100, IF(INDEX(ERP資料!$G:$G, (MATCH(863, 輔助計算!$G$2:$G$801, 0)+1))&lt;=31,3,IF(INDEX(ERP資料!$G:$G, (MATCH(863, 輔助計算!$G$2:$G$801, 0)+1))&lt;=46.5,2,1)), IF(INDEX(ERP資料!$G:$G, (MATCH(863, 輔助計算!$G$2:$G$801, 0)+1))&lt;=790,3,IF(INDEX(ERP資料!$G:$G, (MATCH(863, 輔助計算!$G$2:$G$801, 0)+1))&lt;=1181,2,1)))=2,TEXT(INDEX(ERP資料!$G:$G, (MATCH(863, 輔助計算!$G$2:$G$801, 0)+1)),"0.##")&amp;"+"&amp;TEXT(INDEX(ERP資料!$G:$G, (MATCH(863, 輔助計算!$G$2:$G$801, 0)+1)),"0.##"),TEXT(INDEX(ERP資料!$G:$G, (MATCH(863, 輔助計算!$G$2:$G$801, 0)+1)),"0.##")&amp;"+"&amp;TEXT(INDEX(ERP資料!$G:$G, (MATCH(863, 輔助計算!$G$2:$G$801, 0)+1)),"0.##")&amp;"+"&amp;TEXT(INDEX(ERP資料!$G:$G, (MATCH(863, 輔助計算!$G$2:$G$801, 0)+1)),"0.##")))&amp;"-"&amp;INT(INDEX(輔助計算!$D:$D, (MATCH(863, 輔助計算!$G$2:$G$801, 0)+1))/IF(INDEX(ERP資料!$G:$G, (MATCH(863, 輔助計算!$G$2:$G$801, 0)+1))&lt;100, IF(INDEX(ERP資料!$G:$G, (MATCH(863, 輔助計算!$G$2:$G$801, 0)+1))&lt;=31,3,IF(INDEX(ERP資料!$G:$G, (MATCH(863, 輔助計算!$G$2:$G$801, 0)+1))&lt;=46.5,2,1)), IF(INDEX(ERP資料!$G:$G, (MATCH(863, 輔助計算!$G$2:$G$801, 0)+1))&lt;=790,3,IF(INDEX(ERP資料!$G:$G, (MATCH(863, 輔助計算!$G$2:$G$801, 0)+1))&lt;=1181,2,1)))), "")&amp;IF(AND(IF(INT(INDEX(輔助計算!$D:$D, (MATCH(863, 輔助計算!$G$2:$G$801, 0)+1))/IF(INDEX(ERP資料!$G:$G, (MATCH(863, 輔助計算!$G$2:$G$801, 0)+1))&lt;100, IF(INDEX(ERP資料!$G:$G, (MATCH(863, 輔助計算!$G$2:$G$801, 0)+1))&lt;=31,3,IF(INDEX(ERP資料!$G:$G, (MATCH(863, 輔助計算!$G$2:$G$801, 0)+1))&lt;=46.5,2,1)), IF(INDEX(ERP資料!$G:$G, (MATCH(863, 輔助計算!$G$2:$G$801, 0)+1))&lt;=790,3,IF(INDEX(ERP資料!$G:$G, (MATCH(863, 輔助計算!$G$2:$G$801, 0)+1))&lt;=1181,2,1))))&gt;0, IF(IF(INDEX(ERP資料!$G:$G, (MATCH(863, 輔助計算!$G$2:$G$801, 0)+1))&lt;100, IF(INDEX(ERP資料!$G:$G, (MATCH(863, 輔助計算!$G$2:$G$801, 0)+1))&lt;=31,3,IF(INDEX(ERP資料!$G:$G, (MATCH(863, 輔助計算!$G$2:$G$801, 0)+1))&lt;=46.5,2,1)), IF(INDEX(ERP資料!$G:$G, (MATCH(863, 輔助計算!$G$2:$G$801, 0)+1))&lt;=790,3,IF(INDEX(ERP資料!$G:$G, (MATCH(863, 輔助計算!$G$2:$G$801, 0)+1))&lt;=1181,2,1)))=1,TEXT(INDEX(ERP資料!$G:$G, (MATCH(863, 輔助計算!$G$2:$G$801, 0)+1)),"0.##"),IF(IF(INDEX(ERP資料!$G:$G, (MATCH(863, 輔助計算!$G$2:$G$801, 0)+1))&lt;100, IF(INDEX(ERP資料!$G:$G, (MATCH(863, 輔助計算!$G$2:$G$801, 0)+1))&lt;=31,3,IF(INDEX(ERP資料!$G:$G, (MATCH(863, 輔助計算!$G$2:$G$801, 0)+1))&lt;=46.5,2,1)), IF(INDEX(ERP資料!$G:$G, (MATCH(863, 輔助計算!$G$2:$G$801, 0)+1))&lt;=790,3,IF(INDEX(ERP資料!$G:$G, (MATCH(863, 輔助計算!$G$2:$G$801, 0)+1))&lt;=1181,2,1)))=2,TEXT(INDEX(ERP資料!$G:$G, (MATCH(863, 輔助計算!$G$2:$G$801, 0)+1)),"0.##")&amp;"+"&amp;TEXT(INDEX(ERP資料!$G:$G, (MATCH(863, 輔助計算!$G$2:$G$801, 0)+1)),"0.##"),TEXT(INDEX(ERP資料!$G:$G, (MATCH(863, 輔助計算!$G$2:$G$801, 0)+1)),"0.##")&amp;"+"&amp;TEXT(INDEX(ERP資料!$G:$G, (MATCH(863, 輔助計算!$G$2:$G$801, 0)+1)),"0.##")&amp;"+"&amp;TEXT(INDEX(ERP資料!$G:$G, (MATCH(863, 輔助計算!$G$2:$G$801, 0)+1)),"0.##")))&amp;"-"&amp;INT(INDEX(輔助計算!$D:$D, (MATCH(863, 輔助計算!$G$2:$G$801, 0)+1))/IF(INDEX(ERP資料!$G:$G, (MATCH(863, 輔助計算!$G$2:$G$801, 0)+1))&lt;100, IF(INDEX(ERP資料!$G:$G, (MATCH(863, 輔助計算!$G$2:$G$801, 0)+1))&lt;=31,3,IF(INDEX(ERP資料!$G:$G, (MATCH(863, 輔助計算!$G$2:$G$801, 0)+1))&lt;=46.5,2,1)), IF(INDEX(ERP資料!$G:$G, (MATCH(863, 輔助計算!$G$2:$G$801, 0)+1))&lt;=790,3,IF(INDEX(ERP資料!$G:$G, (MATCH(863, 輔助計算!$G$2:$G$801, 0)+1))&lt;=1181,2,1)))), "")&lt;&gt;"",IF(MOD(INDEX(輔助計算!$D:$D, (MATCH(863, 輔助計算!$G$2:$G$801, 0)+1)),IF(INDEX(ERP資料!$G:$G, (MATCH(863, 輔助計算!$G$2:$G$801, 0)+1))&lt;100, IF(INDEX(ERP資料!$G:$G, (MATCH(863, 輔助計算!$G$2:$G$801, 0)+1))&lt;=31,3,IF(INDEX(ERP資料!$G:$G, (MATCH(863, 輔助計算!$G$2:$G$801, 0)+1))&lt;=46.5,2,1)), IF(INDEX(ERP資料!$G:$G, (MATCH(863, 輔助計算!$G$2:$G$801, 0)+1))&lt;=790,3,IF(INDEX(ERP資料!$G:$G, (MATCH(863, 輔助計算!$G$2:$G$801, 0)+1))&lt;=1181,2,1))))=0,"",IF(MOD(INDEX(輔助計算!$D:$D, (MATCH(863, 輔助計算!$G$2:$G$801, 0)+1)),IF(INDEX(ERP資料!$G:$G, (MATCH(863, 輔助計算!$G$2:$G$801, 0)+1))&lt;100, IF(INDEX(ERP資料!$G:$G, (MATCH(863, 輔助計算!$G$2:$G$801, 0)+1))&lt;=31,3,IF(INDEX(ERP資料!$G:$G, (MATCH(863, 輔助計算!$G$2:$G$801, 0)+1))&lt;=46.5,2,1)), IF(INDEX(ERP資料!$G:$G, (MATCH(863, 輔助計算!$G$2:$G$801, 0)+1))&lt;=790,3,IF(INDEX(ERP資料!$G:$G, (MATCH(863, 輔助計算!$G$2:$G$801, 0)+1))&lt;=1181,2,1))))=0,"",IF(MOD(INDEX(輔助計算!$D:$D, (MATCH(863, 輔助計算!$G$2:$G$801, 0)+1)),IF(INDEX(ERP資料!$G:$G, (MATCH(863, 輔助計算!$G$2:$G$801, 0)+1))&lt;100, IF(INDEX(ERP資料!$G:$G, (MATCH(863, 輔助計算!$G$2:$G$801, 0)+1))&lt;=31,3,IF(INDEX(ERP資料!$G:$G, (MATCH(863, 輔助計算!$G$2:$G$801, 0)+1))&lt;=46.5,2,1)), IF(INDEX(ERP資料!$G:$G, (MATCH(863, 輔助計算!$G$2:$G$801, 0)+1))&lt;=790,3,IF(INDEX(ERP資料!$G:$G, (MATCH(863, 輔助計算!$G$2:$G$801, 0)+1))&lt;=1181,2,1))))=1,TEXT(INDEX(ERP資料!$G:$G, (MATCH(863, 輔助計算!$G$2:$G$801, 0)+1)),"0.##"),IF(MOD(INDEX(輔助計算!$D:$D, (MATCH(863, 輔助計算!$G$2:$G$801, 0)+1)),IF(INDEX(ERP資料!$G:$G, (MATCH(863, 輔助計算!$G$2:$G$801, 0)+1))&lt;100, IF(INDEX(ERP資料!$G:$G, (MATCH(863, 輔助計算!$G$2:$G$801, 0)+1))&lt;=31,3,IF(INDEX(ERP資料!$G:$G, (MATCH(863, 輔助計算!$G$2:$G$801, 0)+1))&lt;=46.5,2,1)), IF(INDEX(ERP資料!$G:$G, (MATCH(863, 輔助計算!$G$2:$G$801, 0)+1))&lt;=790,3,IF(INDEX(ERP資料!$G:$G, (MATCH(863, 輔助計算!$G$2:$G$801, 0)+1))&lt;=1181,2,1))))=2,TEXT(INDEX(ERP資料!$G:$G, (MATCH(863, 輔助計算!$G$2:$G$801, 0)+1)),"0.##")&amp;"+"&amp;TEXT(INDEX(ERP資料!$G:$G, (MATCH(863, 輔助計算!$G$2:$G$801, 0)+1)),"0.##"),TEXT(INDEX(ERP資料!$G:$G, (MATCH(863, 輔助計算!$G$2:$G$801, 0)+1)),"0.##")&amp;"+"&amp;TEXT(INDEX(ERP資料!$G:$G, (MATCH(863, 輔助計算!$G$2:$G$801, 0)+1)),"0.##")&amp;"+"&amp;TEXT(INDEX(ERP資料!$G:$G, (MATCH(863, 輔助計算!$G$2:$G$801, 0)+1)),"0.##"))))&amp;"-1")&lt;&gt;""),"  ","")&amp;IF(MOD(INDEX(輔助計算!$D:$D, (MATCH(863, 輔助計算!$G$2:$G$801, 0)+1)),IF(INDEX(ERP資料!$G:$G, (MATCH(863, 輔助計算!$G$2:$G$801, 0)+1))&lt;100, IF(INDEX(ERP資料!$G:$G, (MATCH(863, 輔助計算!$G$2:$G$801, 0)+1))&lt;=31,3,IF(INDEX(ERP資料!$G:$G, (MATCH(863, 輔助計算!$G$2:$G$801, 0)+1))&lt;=46.5,2,1)), IF(INDEX(ERP資料!$G:$G, (MATCH(863, 輔助計算!$G$2:$G$801, 0)+1))&lt;=790,3,IF(INDEX(ERP資料!$G:$G, (MATCH(863, 輔助計算!$G$2:$G$801, 0)+1))&lt;=1181,2,1))))=0,"",IF(MOD(INDEX(輔助計算!$D:$D, (MATCH(863, 輔助計算!$G$2:$G$801, 0)+1)),IF(INDEX(ERP資料!$G:$G, (MATCH(863, 輔助計算!$G$2:$G$801, 0)+1))&lt;100, IF(INDEX(ERP資料!$G:$G, (MATCH(863, 輔助計算!$G$2:$G$801, 0)+1))&lt;=31,3,IF(INDEX(ERP資料!$G:$G, (MATCH(863, 輔助計算!$G$2:$G$801, 0)+1))&lt;=46.5,2,1)), IF(INDEX(ERP資料!$G:$G, (MATCH(863, 輔助計算!$G$2:$G$801, 0)+1))&lt;=790,3,IF(INDEX(ERP資料!$G:$G, (MATCH(863, 輔助計算!$G$2:$G$801, 0)+1))&lt;=1181,2,1))))=0,"",IF(MOD(INDEX(輔助計算!$D:$D, (MATCH(863, 輔助計算!$G$2:$G$801, 0)+1)),IF(INDEX(ERP資料!$G:$G, (MATCH(863, 輔助計算!$G$2:$G$801, 0)+1))&lt;100, IF(INDEX(ERP資料!$G:$G, (MATCH(863, 輔助計算!$G$2:$G$801, 0)+1))&lt;=31,3,IF(INDEX(ERP資料!$G:$G, (MATCH(863, 輔助計算!$G$2:$G$801, 0)+1))&lt;=46.5,2,1)), IF(INDEX(ERP資料!$G:$G, (MATCH(863, 輔助計算!$G$2:$G$801, 0)+1))&lt;=790,3,IF(INDEX(ERP資料!$G:$G, (MATCH(863, 輔助計算!$G$2:$G$801, 0)+1))&lt;=1181,2,1))))=1,TEXT(INDEX(ERP資料!$G:$G, (MATCH(863, 輔助計算!$G$2:$G$801, 0)+1)),"0.##"),IF(MOD(INDEX(輔助計算!$D:$D, (MATCH(863, 輔助計算!$G$2:$G$801, 0)+1)),IF(INDEX(ERP資料!$G:$G, (MATCH(863, 輔助計算!$G$2:$G$801, 0)+1))&lt;100, IF(INDEX(ERP資料!$G:$G, (MATCH(863, 輔助計算!$G$2:$G$801, 0)+1))&lt;=31,3,IF(INDEX(ERP資料!$G:$G, (MATCH(863, 輔助計算!$G$2:$G$801, 0)+1))&lt;=46.5,2,1)), IF(INDEX(ERP資料!$G:$G, (MATCH(863, 輔助計算!$G$2:$G$801, 0)+1))&lt;=790,3,IF(INDEX(ERP資料!$G:$G, (MATCH(863, 輔助計算!$G$2:$G$801, 0)+1))&lt;=1181,2,1))))=2,TEXT(INDEX(ERP資料!$G:$G, (MATCH(863, 輔助計算!$G$2:$G$801, 0)+1)),"0.##")&amp;"+"&amp;TEXT(INDEX(ERP資料!$G:$G, (MATCH(863, 輔助計算!$G$2:$G$801, 0)+1)),"0.##"),TEXT(INDEX(ERP資料!$G:$G, (MATCH(863, 輔助計算!$G$2:$G$801, 0)+1)),"0.##")&amp;"+"&amp;TEXT(INDEX(ERP資料!$G:$G, (MATCH(863, 輔助計算!$G$2:$G$801, 0)+1)),"0.##")&amp;"+"&amp;TEXT(INDEX(ERP資料!$G:$G, (MATCH(863, 輔助計算!$G$2:$G$801, 0)+1)),"0.##"))))&amp;"-1")), ""), "")</f>
        <v/>
      </c>
      <c r="K864" s="16" t="n"/>
      <c r="L864" s="14">
        <f>IFERROR(IF(AND(IFERROR(INDEX(ERP資料!$A:$A, (MATCH(863, 輔助計算!$G$2:$G$801, 0)+1)), "")&lt;&gt;"", IFERROR(INDEX(ERP資料!$A:$A, (MATCH(863, 輔助計算!$G$2:$G$801, 0)+1)), "")&lt;&gt;IFERROR(INDEX(ERP資料!$A:$A, MATCH(862, 輔助計算!$G$2:$G$801, 0)+1), "")), INDEX(ERP資料!$B:$B, (MATCH(863, 輔助計算!$G$2:$G$801, 0)+1)), ""), "")</f>
        <v/>
      </c>
      <c r="M864" s="17" t="n"/>
    </row>
    <row r="865">
      <c r="A865" s="10">
        <f>IFERROR(IF(AND(IFERROR(INDEX(ERP資料!$A:$A, (MATCH(864, 輔助計算!$G$2:$G$801, 0)+1)), "")&lt;&gt;"", IFERROR(INDEX(ERP資料!$A:$A, (MATCH(864, 輔助計算!$G$2:$G$801, 0)+1)), "")&lt;&gt;IFERROR(INDEX(ERP資料!$A:$A, MATCH(863, 輔助計算!$G$2:$G$801, 0)+1), "")), IFERROR(INDEX(ERP資料!$A:$A, (MATCH(864, 輔助計算!$G$2:$G$801, 0)+1)), ""), ""), "")</f>
        <v/>
      </c>
      <c r="B865" s="10">
        <f>IFERROR(IF(AND(IFERROR(INDEX(ERP資料!$A:$A, (MATCH(864, 輔助計算!$G$2:$G$801, 0)+1)), "")&lt;&gt;"", IFERROR(INDEX(ERP資料!$A:$A, (MATCH(864, 輔助計算!$G$2:$G$801, 0)+1)), "")&lt;&gt;IFERROR(INDEX(ERP資料!$A:$A, MATCH(863, 輔助計算!$G$2:$G$801, 0)+1), "")), INDEX(ERP資料!$S:$S, (MATCH(864, 輔助計算!$G$2:$G$801, 0)+1)), ""), "")</f>
        <v/>
      </c>
      <c r="C865" s="19">
        <f>IFERROR(IF(AND(IFERROR(INDEX(ERP資料!$A:$A, (MATCH(864, 輔助計算!$G$2:$G$801, 0)+1)), "")&lt;&gt;"", IFERROR(INDEX(ERP資料!$A:$A, (MATCH(864, 輔助計算!$G$2:$G$801, 0)+1)), "")&lt;&gt;IFERROR(INDEX(ERP資料!$A:$A, MATCH(863, 輔助計算!$G$2:$G$801, 0)+1), "")), IFERROR(VLOOKUP(LEFT(INDEX(ERP資料!$S:$S, (MATCH(864, 輔助計算!$G$2:$G$801, 0)+1)), 4), 紙管對照表!$A:$C, 3, FALSE), ""), ""), "")</f>
        <v/>
      </c>
      <c r="D865" s="16" t="n"/>
      <c r="E865" s="10">
        <f>IFERROR(IF(INDEX(ERP資料!$H:$H, (MATCH(864, 輔助計算!$G$2:$G$801, 0)+1))="","",INDEX(ERP資料!$H:$H, (MATCH(864, 輔助計算!$G$2:$G$801, 0)+1))), "")</f>
        <v/>
      </c>
      <c r="F865" s="10">
        <f>IFERROR(IF(INDEX(ERP資料!$E:$E, (MATCH(864, 輔助計算!$G$2:$G$801, 0)+1))="","",TRIM(INDEX(ERP資料!$E:$E, (MATCH(864, 輔助計算!$G$2:$G$801, 0)+1)))), "")</f>
        <v/>
      </c>
      <c r="G865" s="10">
        <f>IFERROR(IF(INDEX(ERP資料!$F:$F, (MATCH(864, 輔助計算!$G$2:$G$801, 0)+1))="","",INDEX(ERP資料!$F:$F, (MATCH(864, 輔助計算!$G$2:$G$801, 0)+1))), "")</f>
        <v/>
      </c>
      <c r="H865" s="10">
        <f>IFERROR(IF(INDEX(ERP資料!$G:$G, (MATCH(864, 輔助計算!$G$2:$G$801, 0)+1))="","",INDEX(ERP資料!$G:$G, (MATCH(864, 輔助計算!$G$2:$G$801, 0)+1))), "")</f>
        <v/>
      </c>
      <c r="I865" s="15">
        <f>IFERROR(INDEX(輔助計算!$D:$D, (MATCH(864, 輔助計算!$G$2:$G$801, 0)+1)), "")</f>
        <v/>
      </c>
      <c r="J865" s="15">
        <f>IFERROR(IF(AND(INDEX(輔助計算!$D:$D, (MATCH(864, 輔助計算!$G$2:$G$801, 0)+1))&lt;&gt;"", INDEX(ERP資料!$G:$G, (MATCH(864, 輔助計算!$G$2:$G$801, 0)+1))&lt;&gt;""), TRIM(IF(INT(INDEX(輔助計算!$D:$D, (MATCH(864, 輔助計算!$G$2:$G$801, 0)+1))/IF(INDEX(ERP資料!$G:$G, (MATCH(864, 輔助計算!$G$2:$G$801, 0)+1))&lt;100, IF(INDEX(ERP資料!$G:$G, (MATCH(864, 輔助計算!$G$2:$G$801, 0)+1))&lt;=31,3,IF(INDEX(ERP資料!$G:$G, (MATCH(864, 輔助計算!$G$2:$G$801, 0)+1))&lt;=46.5,2,1)), IF(INDEX(ERP資料!$G:$G, (MATCH(864, 輔助計算!$G$2:$G$801, 0)+1))&lt;=790,3,IF(INDEX(ERP資料!$G:$G, (MATCH(864, 輔助計算!$G$2:$G$801, 0)+1))&lt;=1181,2,1))))&gt;0, IF(IF(INDEX(ERP資料!$G:$G, (MATCH(864, 輔助計算!$G$2:$G$801, 0)+1))&lt;100, IF(INDEX(ERP資料!$G:$G, (MATCH(864, 輔助計算!$G$2:$G$801, 0)+1))&lt;=31,3,IF(INDEX(ERP資料!$G:$G, (MATCH(864, 輔助計算!$G$2:$G$801, 0)+1))&lt;=46.5,2,1)), IF(INDEX(ERP資料!$G:$G, (MATCH(864, 輔助計算!$G$2:$G$801, 0)+1))&lt;=790,3,IF(INDEX(ERP資料!$G:$G, (MATCH(864, 輔助計算!$G$2:$G$801, 0)+1))&lt;=1181,2,1)))=1,TEXT(INDEX(ERP資料!$G:$G, (MATCH(864, 輔助計算!$G$2:$G$801, 0)+1)),"0.##"),IF(IF(INDEX(ERP資料!$G:$G, (MATCH(864, 輔助計算!$G$2:$G$801, 0)+1))&lt;100, IF(INDEX(ERP資料!$G:$G, (MATCH(864, 輔助計算!$G$2:$G$801, 0)+1))&lt;=31,3,IF(INDEX(ERP資料!$G:$G, (MATCH(864, 輔助計算!$G$2:$G$801, 0)+1))&lt;=46.5,2,1)), IF(INDEX(ERP資料!$G:$G, (MATCH(864, 輔助計算!$G$2:$G$801, 0)+1))&lt;=790,3,IF(INDEX(ERP資料!$G:$G, (MATCH(864, 輔助計算!$G$2:$G$801, 0)+1))&lt;=1181,2,1)))=2,TEXT(INDEX(ERP資料!$G:$G, (MATCH(864, 輔助計算!$G$2:$G$801, 0)+1)),"0.##")&amp;"+"&amp;TEXT(INDEX(ERP資料!$G:$G, (MATCH(864, 輔助計算!$G$2:$G$801, 0)+1)),"0.##"),TEXT(INDEX(ERP資料!$G:$G, (MATCH(864, 輔助計算!$G$2:$G$801, 0)+1)),"0.##")&amp;"+"&amp;TEXT(INDEX(ERP資料!$G:$G, (MATCH(864, 輔助計算!$G$2:$G$801, 0)+1)),"0.##")&amp;"+"&amp;TEXT(INDEX(ERP資料!$G:$G, (MATCH(864, 輔助計算!$G$2:$G$801, 0)+1)),"0.##")))&amp;"-"&amp;INT(INDEX(輔助計算!$D:$D, (MATCH(864, 輔助計算!$G$2:$G$801, 0)+1))/IF(INDEX(ERP資料!$G:$G, (MATCH(864, 輔助計算!$G$2:$G$801, 0)+1))&lt;100, IF(INDEX(ERP資料!$G:$G, (MATCH(864, 輔助計算!$G$2:$G$801, 0)+1))&lt;=31,3,IF(INDEX(ERP資料!$G:$G, (MATCH(864, 輔助計算!$G$2:$G$801, 0)+1))&lt;=46.5,2,1)), IF(INDEX(ERP資料!$G:$G, (MATCH(864, 輔助計算!$G$2:$G$801, 0)+1))&lt;=790,3,IF(INDEX(ERP資料!$G:$G, (MATCH(864, 輔助計算!$G$2:$G$801, 0)+1))&lt;=1181,2,1)))), "")&amp;IF(AND(IF(INT(INDEX(輔助計算!$D:$D, (MATCH(864, 輔助計算!$G$2:$G$801, 0)+1))/IF(INDEX(ERP資料!$G:$G, (MATCH(864, 輔助計算!$G$2:$G$801, 0)+1))&lt;100, IF(INDEX(ERP資料!$G:$G, (MATCH(864, 輔助計算!$G$2:$G$801, 0)+1))&lt;=31,3,IF(INDEX(ERP資料!$G:$G, (MATCH(864, 輔助計算!$G$2:$G$801, 0)+1))&lt;=46.5,2,1)), IF(INDEX(ERP資料!$G:$G, (MATCH(864, 輔助計算!$G$2:$G$801, 0)+1))&lt;=790,3,IF(INDEX(ERP資料!$G:$G, (MATCH(864, 輔助計算!$G$2:$G$801, 0)+1))&lt;=1181,2,1))))&gt;0, IF(IF(INDEX(ERP資料!$G:$G, (MATCH(864, 輔助計算!$G$2:$G$801, 0)+1))&lt;100, IF(INDEX(ERP資料!$G:$G, (MATCH(864, 輔助計算!$G$2:$G$801, 0)+1))&lt;=31,3,IF(INDEX(ERP資料!$G:$G, (MATCH(864, 輔助計算!$G$2:$G$801, 0)+1))&lt;=46.5,2,1)), IF(INDEX(ERP資料!$G:$G, (MATCH(864, 輔助計算!$G$2:$G$801, 0)+1))&lt;=790,3,IF(INDEX(ERP資料!$G:$G, (MATCH(864, 輔助計算!$G$2:$G$801, 0)+1))&lt;=1181,2,1)))=1,TEXT(INDEX(ERP資料!$G:$G, (MATCH(864, 輔助計算!$G$2:$G$801, 0)+1)),"0.##"),IF(IF(INDEX(ERP資料!$G:$G, (MATCH(864, 輔助計算!$G$2:$G$801, 0)+1))&lt;100, IF(INDEX(ERP資料!$G:$G, (MATCH(864, 輔助計算!$G$2:$G$801, 0)+1))&lt;=31,3,IF(INDEX(ERP資料!$G:$G, (MATCH(864, 輔助計算!$G$2:$G$801, 0)+1))&lt;=46.5,2,1)), IF(INDEX(ERP資料!$G:$G, (MATCH(864, 輔助計算!$G$2:$G$801, 0)+1))&lt;=790,3,IF(INDEX(ERP資料!$G:$G, (MATCH(864, 輔助計算!$G$2:$G$801, 0)+1))&lt;=1181,2,1)))=2,TEXT(INDEX(ERP資料!$G:$G, (MATCH(864, 輔助計算!$G$2:$G$801, 0)+1)),"0.##")&amp;"+"&amp;TEXT(INDEX(ERP資料!$G:$G, (MATCH(864, 輔助計算!$G$2:$G$801, 0)+1)),"0.##"),TEXT(INDEX(ERP資料!$G:$G, (MATCH(864, 輔助計算!$G$2:$G$801, 0)+1)),"0.##")&amp;"+"&amp;TEXT(INDEX(ERP資料!$G:$G, (MATCH(864, 輔助計算!$G$2:$G$801, 0)+1)),"0.##")&amp;"+"&amp;TEXT(INDEX(ERP資料!$G:$G, (MATCH(864, 輔助計算!$G$2:$G$801, 0)+1)),"0.##")))&amp;"-"&amp;INT(INDEX(輔助計算!$D:$D, (MATCH(864, 輔助計算!$G$2:$G$801, 0)+1))/IF(INDEX(ERP資料!$G:$G, (MATCH(864, 輔助計算!$G$2:$G$801, 0)+1))&lt;100, IF(INDEX(ERP資料!$G:$G, (MATCH(864, 輔助計算!$G$2:$G$801, 0)+1))&lt;=31,3,IF(INDEX(ERP資料!$G:$G, (MATCH(864, 輔助計算!$G$2:$G$801, 0)+1))&lt;=46.5,2,1)), IF(INDEX(ERP資料!$G:$G, (MATCH(864, 輔助計算!$G$2:$G$801, 0)+1))&lt;=790,3,IF(INDEX(ERP資料!$G:$G, (MATCH(864, 輔助計算!$G$2:$G$801, 0)+1))&lt;=1181,2,1)))), "")&lt;&gt;"",IF(MOD(INDEX(輔助計算!$D:$D, (MATCH(864, 輔助計算!$G$2:$G$801, 0)+1)),IF(INDEX(ERP資料!$G:$G, (MATCH(864, 輔助計算!$G$2:$G$801, 0)+1))&lt;100, IF(INDEX(ERP資料!$G:$G, (MATCH(864, 輔助計算!$G$2:$G$801, 0)+1))&lt;=31,3,IF(INDEX(ERP資料!$G:$G, (MATCH(864, 輔助計算!$G$2:$G$801, 0)+1))&lt;=46.5,2,1)), IF(INDEX(ERP資料!$G:$G, (MATCH(864, 輔助計算!$G$2:$G$801, 0)+1))&lt;=790,3,IF(INDEX(ERP資料!$G:$G, (MATCH(864, 輔助計算!$G$2:$G$801, 0)+1))&lt;=1181,2,1))))=0,"",IF(MOD(INDEX(輔助計算!$D:$D, (MATCH(864, 輔助計算!$G$2:$G$801, 0)+1)),IF(INDEX(ERP資料!$G:$G, (MATCH(864, 輔助計算!$G$2:$G$801, 0)+1))&lt;100, IF(INDEX(ERP資料!$G:$G, (MATCH(864, 輔助計算!$G$2:$G$801, 0)+1))&lt;=31,3,IF(INDEX(ERP資料!$G:$G, (MATCH(864, 輔助計算!$G$2:$G$801, 0)+1))&lt;=46.5,2,1)), IF(INDEX(ERP資料!$G:$G, (MATCH(864, 輔助計算!$G$2:$G$801, 0)+1))&lt;=790,3,IF(INDEX(ERP資料!$G:$G, (MATCH(864, 輔助計算!$G$2:$G$801, 0)+1))&lt;=1181,2,1))))=0,"",IF(MOD(INDEX(輔助計算!$D:$D, (MATCH(864, 輔助計算!$G$2:$G$801, 0)+1)),IF(INDEX(ERP資料!$G:$G, (MATCH(864, 輔助計算!$G$2:$G$801, 0)+1))&lt;100, IF(INDEX(ERP資料!$G:$G, (MATCH(864, 輔助計算!$G$2:$G$801, 0)+1))&lt;=31,3,IF(INDEX(ERP資料!$G:$G, (MATCH(864, 輔助計算!$G$2:$G$801, 0)+1))&lt;=46.5,2,1)), IF(INDEX(ERP資料!$G:$G, (MATCH(864, 輔助計算!$G$2:$G$801, 0)+1))&lt;=790,3,IF(INDEX(ERP資料!$G:$G, (MATCH(864, 輔助計算!$G$2:$G$801, 0)+1))&lt;=1181,2,1))))=1,TEXT(INDEX(ERP資料!$G:$G, (MATCH(864, 輔助計算!$G$2:$G$801, 0)+1)),"0.##"),IF(MOD(INDEX(輔助計算!$D:$D, (MATCH(864, 輔助計算!$G$2:$G$801, 0)+1)),IF(INDEX(ERP資料!$G:$G, (MATCH(864, 輔助計算!$G$2:$G$801, 0)+1))&lt;100, IF(INDEX(ERP資料!$G:$G, (MATCH(864, 輔助計算!$G$2:$G$801, 0)+1))&lt;=31,3,IF(INDEX(ERP資料!$G:$G, (MATCH(864, 輔助計算!$G$2:$G$801, 0)+1))&lt;=46.5,2,1)), IF(INDEX(ERP資料!$G:$G, (MATCH(864, 輔助計算!$G$2:$G$801, 0)+1))&lt;=790,3,IF(INDEX(ERP資料!$G:$G, (MATCH(864, 輔助計算!$G$2:$G$801, 0)+1))&lt;=1181,2,1))))=2,TEXT(INDEX(ERP資料!$G:$G, (MATCH(864, 輔助計算!$G$2:$G$801, 0)+1)),"0.##")&amp;"+"&amp;TEXT(INDEX(ERP資料!$G:$G, (MATCH(864, 輔助計算!$G$2:$G$801, 0)+1)),"0.##"),TEXT(INDEX(ERP資料!$G:$G, (MATCH(864, 輔助計算!$G$2:$G$801, 0)+1)),"0.##")&amp;"+"&amp;TEXT(INDEX(ERP資料!$G:$G, (MATCH(864, 輔助計算!$G$2:$G$801, 0)+1)),"0.##")&amp;"+"&amp;TEXT(INDEX(ERP資料!$G:$G, (MATCH(864, 輔助計算!$G$2:$G$801, 0)+1)),"0.##"))))&amp;"-1")&lt;&gt;""),"  ","")&amp;IF(MOD(INDEX(輔助計算!$D:$D, (MATCH(864, 輔助計算!$G$2:$G$801, 0)+1)),IF(INDEX(ERP資料!$G:$G, (MATCH(864, 輔助計算!$G$2:$G$801, 0)+1))&lt;100, IF(INDEX(ERP資料!$G:$G, (MATCH(864, 輔助計算!$G$2:$G$801, 0)+1))&lt;=31,3,IF(INDEX(ERP資料!$G:$G, (MATCH(864, 輔助計算!$G$2:$G$801, 0)+1))&lt;=46.5,2,1)), IF(INDEX(ERP資料!$G:$G, (MATCH(864, 輔助計算!$G$2:$G$801, 0)+1))&lt;=790,3,IF(INDEX(ERP資料!$G:$G, (MATCH(864, 輔助計算!$G$2:$G$801, 0)+1))&lt;=1181,2,1))))=0,"",IF(MOD(INDEX(輔助計算!$D:$D, (MATCH(864, 輔助計算!$G$2:$G$801, 0)+1)),IF(INDEX(ERP資料!$G:$G, (MATCH(864, 輔助計算!$G$2:$G$801, 0)+1))&lt;100, IF(INDEX(ERP資料!$G:$G, (MATCH(864, 輔助計算!$G$2:$G$801, 0)+1))&lt;=31,3,IF(INDEX(ERP資料!$G:$G, (MATCH(864, 輔助計算!$G$2:$G$801, 0)+1))&lt;=46.5,2,1)), IF(INDEX(ERP資料!$G:$G, (MATCH(864, 輔助計算!$G$2:$G$801, 0)+1))&lt;=790,3,IF(INDEX(ERP資料!$G:$G, (MATCH(864, 輔助計算!$G$2:$G$801, 0)+1))&lt;=1181,2,1))))=0,"",IF(MOD(INDEX(輔助計算!$D:$D, (MATCH(864, 輔助計算!$G$2:$G$801, 0)+1)),IF(INDEX(ERP資料!$G:$G, (MATCH(864, 輔助計算!$G$2:$G$801, 0)+1))&lt;100, IF(INDEX(ERP資料!$G:$G, (MATCH(864, 輔助計算!$G$2:$G$801, 0)+1))&lt;=31,3,IF(INDEX(ERP資料!$G:$G, (MATCH(864, 輔助計算!$G$2:$G$801, 0)+1))&lt;=46.5,2,1)), IF(INDEX(ERP資料!$G:$G, (MATCH(864, 輔助計算!$G$2:$G$801, 0)+1))&lt;=790,3,IF(INDEX(ERP資料!$G:$G, (MATCH(864, 輔助計算!$G$2:$G$801, 0)+1))&lt;=1181,2,1))))=1,TEXT(INDEX(ERP資料!$G:$G, (MATCH(864, 輔助計算!$G$2:$G$801, 0)+1)),"0.##"),IF(MOD(INDEX(輔助計算!$D:$D, (MATCH(864, 輔助計算!$G$2:$G$801, 0)+1)),IF(INDEX(ERP資料!$G:$G, (MATCH(864, 輔助計算!$G$2:$G$801, 0)+1))&lt;100, IF(INDEX(ERP資料!$G:$G, (MATCH(864, 輔助計算!$G$2:$G$801, 0)+1))&lt;=31,3,IF(INDEX(ERP資料!$G:$G, (MATCH(864, 輔助計算!$G$2:$G$801, 0)+1))&lt;=46.5,2,1)), IF(INDEX(ERP資料!$G:$G, (MATCH(864, 輔助計算!$G$2:$G$801, 0)+1))&lt;=790,3,IF(INDEX(ERP資料!$G:$G, (MATCH(864, 輔助計算!$G$2:$G$801, 0)+1))&lt;=1181,2,1))))=2,TEXT(INDEX(ERP資料!$G:$G, (MATCH(864, 輔助計算!$G$2:$G$801, 0)+1)),"0.##")&amp;"+"&amp;TEXT(INDEX(ERP資料!$G:$G, (MATCH(864, 輔助計算!$G$2:$G$801, 0)+1)),"0.##"),TEXT(INDEX(ERP資料!$G:$G, (MATCH(864, 輔助計算!$G$2:$G$801, 0)+1)),"0.##")&amp;"+"&amp;TEXT(INDEX(ERP資料!$G:$G, (MATCH(864, 輔助計算!$G$2:$G$801, 0)+1)),"0.##")&amp;"+"&amp;TEXT(INDEX(ERP資料!$G:$G, (MATCH(864, 輔助計算!$G$2:$G$801, 0)+1)),"0.##"))))&amp;"-1")), ""), "")</f>
        <v/>
      </c>
      <c r="K865" s="16" t="n"/>
      <c r="L865" s="14">
        <f>IFERROR(IF(AND(IFERROR(INDEX(ERP資料!$A:$A, (MATCH(864, 輔助計算!$G$2:$G$801, 0)+1)), "")&lt;&gt;"", IFERROR(INDEX(ERP資料!$A:$A, (MATCH(864, 輔助計算!$G$2:$G$801, 0)+1)), "")&lt;&gt;IFERROR(INDEX(ERP資料!$A:$A, MATCH(863, 輔助計算!$G$2:$G$801, 0)+1), "")), INDEX(ERP資料!$B:$B, (MATCH(864, 輔助計算!$G$2:$G$801, 0)+1)), ""), "")</f>
        <v/>
      </c>
      <c r="M865" s="17" t="n"/>
    </row>
    <row r="866">
      <c r="A866" s="10">
        <f>IFERROR(IF(AND(IFERROR(INDEX(ERP資料!$A:$A, (MATCH(865, 輔助計算!$G$2:$G$801, 0)+1)), "")&lt;&gt;"", IFERROR(INDEX(ERP資料!$A:$A, (MATCH(865, 輔助計算!$G$2:$G$801, 0)+1)), "")&lt;&gt;IFERROR(INDEX(ERP資料!$A:$A, MATCH(864, 輔助計算!$G$2:$G$801, 0)+1), "")), IFERROR(INDEX(ERP資料!$A:$A, (MATCH(865, 輔助計算!$G$2:$G$801, 0)+1)), ""), ""), "")</f>
        <v/>
      </c>
      <c r="B866" s="10">
        <f>IFERROR(IF(AND(IFERROR(INDEX(ERP資料!$A:$A, (MATCH(865, 輔助計算!$G$2:$G$801, 0)+1)), "")&lt;&gt;"", IFERROR(INDEX(ERP資料!$A:$A, (MATCH(865, 輔助計算!$G$2:$G$801, 0)+1)), "")&lt;&gt;IFERROR(INDEX(ERP資料!$A:$A, MATCH(864, 輔助計算!$G$2:$G$801, 0)+1), "")), INDEX(ERP資料!$S:$S, (MATCH(865, 輔助計算!$G$2:$G$801, 0)+1)), ""), "")</f>
        <v/>
      </c>
      <c r="C866" s="19">
        <f>IFERROR(IF(AND(IFERROR(INDEX(ERP資料!$A:$A, (MATCH(865, 輔助計算!$G$2:$G$801, 0)+1)), "")&lt;&gt;"", IFERROR(INDEX(ERP資料!$A:$A, (MATCH(865, 輔助計算!$G$2:$G$801, 0)+1)), "")&lt;&gt;IFERROR(INDEX(ERP資料!$A:$A, MATCH(864, 輔助計算!$G$2:$G$801, 0)+1), "")), IFERROR(VLOOKUP(LEFT(INDEX(ERP資料!$S:$S, (MATCH(865, 輔助計算!$G$2:$G$801, 0)+1)), 4), 紙管對照表!$A:$C, 3, FALSE), ""), ""), "")</f>
        <v/>
      </c>
      <c r="D866" s="16" t="n"/>
      <c r="E866" s="10">
        <f>IFERROR(IF(INDEX(ERP資料!$H:$H, (MATCH(865, 輔助計算!$G$2:$G$801, 0)+1))="","",INDEX(ERP資料!$H:$H, (MATCH(865, 輔助計算!$G$2:$G$801, 0)+1))), "")</f>
        <v/>
      </c>
      <c r="F866" s="10">
        <f>IFERROR(IF(INDEX(ERP資料!$E:$E, (MATCH(865, 輔助計算!$G$2:$G$801, 0)+1))="","",TRIM(INDEX(ERP資料!$E:$E, (MATCH(865, 輔助計算!$G$2:$G$801, 0)+1)))), "")</f>
        <v/>
      </c>
      <c r="G866" s="10">
        <f>IFERROR(IF(INDEX(ERP資料!$F:$F, (MATCH(865, 輔助計算!$G$2:$G$801, 0)+1))="","",INDEX(ERP資料!$F:$F, (MATCH(865, 輔助計算!$G$2:$G$801, 0)+1))), "")</f>
        <v/>
      </c>
      <c r="H866" s="10">
        <f>IFERROR(IF(INDEX(ERP資料!$G:$G, (MATCH(865, 輔助計算!$G$2:$G$801, 0)+1))="","",INDEX(ERP資料!$G:$G, (MATCH(865, 輔助計算!$G$2:$G$801, 0)+1))), "")</f>
        <v/>
      </c>
      <c r="I866" s="15">
        <f>IFERROR(INDEX(輔助計算!$D:$D, (MATCH(865, 輔助計算!$G$2:$G$801, 0)+1)), "")</f>
        <v/>
      </c>
      <c r="J866" s="15">
        <f>IFERROR(IF(AND(INDEX(輔助計算!$D:$D, (MATCH(865, 輔助計算!$G$2:$G$801, 0)+1))&lt;&gt;"", INDEX(ERP資料!$G:$G, (MATCH(865, 輔助計算!$G$2:$G$801, 0)+1))&lt;&gt;""), TRIM(IF(INT(INDEX(輔助計算!$D:$D, (MATCH(865, 輔助計算!$G$2:$G$801, 0)+1))/IF(INDEX(ERP資料!$G:$G, (MATCH(865, 輔助計算!$G$2:$G$801, 0)+1))&lt;100, IF(INDEX(ERP資料!$G:$G, (MATCH(865, 輔助計算!$G$2:$G$801, 0)+1))&lt;=31,3,IF(INDEX(ERP資料!$G:$G, (MATCH(865, 輔助計算!$G$2:$G$801, 0)+1))&lt;=46.5,2,1)), IF(INDEX(ERP資料!$G:$G, (MATCH(865, 輔助計算!$G$2:$G$801, 0)+1))&lt;=790,3,IF(INDEX(ERP資料!$G:$G, (MATCH(865, 輔助計算!$G$2:$G$801, 0)+1))&lt;=1181,2,1))))&gt;0, IF(IF(INDEX(ERP資料!$G:$G, (MATCH(865, 輔助計算!$G$2:$G$801, 0)+1))&lt;100, IF(INDEX(ERP資料!$G:$G, (MATCH(865, 輔助計算!$G$2:$G$801, 0)+1))&lt;=31,3,IF(INDEX(ERP資料!$G:$G, (MATCH(865, 輔助計算!$G$2:$G$801, 0)+1))&lt;=46.5,2,1)), IF(INDEX(ERP資料!$G:$G, (MATCH(865, 輔助計算!$G$2:$G$801, 0)+1))&lt;=790,3,IF(INDEX(ERP資料!$G:$G, (MATCH(865, 輔助計算!$G$2:$G$801, 0)+1))&lt;=1181,2,1)))=1,TEXT(INDEX(ERP資料!$G:$G, (MATCH(865, 輔助計算!$G$2:$G$801, 0)+1)),"0.##"),IF(IF(INDEX(ERP資料!$G:$G, (MATCH(865, 輔助計算!$G$2:$G$801, 0)+1))&lt;100, IF(INDEX(ERP資料!$G:$G, (MATCH(865, 輔助計算!$G$2:$G$801, 0)+1))&lt;=31,3,IF(INDEX(ERP資料!$G:$G, (MATCH(865, 輔助計算!$G$2:$G$801, 0)+1))&lt;=46.5,2,1)), IF(INDEX(ERP資料!$G:$G, (MATCH(865, 輔助計算!$G$2:$G$801, 0)+1))&lt;=790,3,IF(INDEX(ERP資料!$G:$G, (MATCH(865, 輔助計算!$G$2:$G$801, 0)+1))&lt;=1181,2,1)))=2,TEXT(INDEX(ERP資料!$G:$G, (MATCH(865, 輔助計算!$G$2:$G$801, 0)+1)),"0.##")&amp;"+"&amp;TEXT(INDEX(ERP資料!$G:$G, (MATCH(865, 輔助計算!$G$2:$G$801, 0)+1)),"0.##"),TEXT(INDEX(ERP資料!$G:$G, (MATCH(865, 輔助計算!$G$2:$G$801, 0)+1)),"0.##")&amp;"+"&amp;TEXT(INDEX(ERP資料!$G:$G, (MATCH(865, 輔助計算!$G$2:$G$801, 0)+1)),"0.##")&amp;"+"&amp;TEXT(INDEX(ERP資料!$G:$G, (MATCH(865, 輔助計算!$G$2:$G$801, 0)+1)),"0.##")))&amp;"-"&amp;INT(INDEX(輔助計算!$D:$D, (MATCH(865, 輔助計算!$G$2:$G$801, 0)+1))/IF(INDEX(ERP資料!$G:$G, (MATCH(865, 輔助計算!$G$2:$G$801, 0)+1))&lt;100, IF(INDEX(ERP資料!$G:$G, (MATCH(865, 輔助計算!$G$2:$G$801, 0)+1))&lt;=31,3,IF(INDEX(ERP資料!$G:$G, (MATCH(865, 輔助計算!$G$2:$G$801, 0)+1))&lt;=46.5,2,1)), IF(INDEX(ERP資料!$G:$G, (MATCH(865, 輔助計算!$G$2:$G$801, 0)+1))&lt;=790,3,IF(INDEX(ERP資料!$G:$G, (MATCH(865, 輔助計算!$G$2:$G$801, 0)+1))&lt;=1181,2,1)))), "")&amp;IF(AND(IF(INT(INDEX(輔助計算!$D:$D, (MATCH(865, 輔助計算!$G$2:$G$801, 0)+1))/IF(INDEX(ERP資料!$G:$G, (MATCH(865, 輔助計算!$G$2:$G$801, 0)+1))&lt;100, IF(INDEX(ERP資料!$G:$G, (MATCH(865, 輔助計算!$G$2:$G$801, 0)+1))&lt;=31,3,IF(INDEX(ERP資料!$G:$G, (MATCH(865, 輔助計算!$G$2:$G$801, 0)+1))&lt;=46.5,2,1)), IF(INDEX(ERP資料!$G:$G, (MATCH(865, 輔助計算!$G$2:$G$801, 0)+1))&lt;=790,3,IF(INDEX(ERP資料!$G:$G, (MATCH(865, 輔助計算!$G$2:$G$801, 0)+1))&lt;=1181,2,1))))&gt;0, IF(IF(INDEX(ERP資料!$G:$G, (MATCH(865, 輔助計算!$G$2:$G$801, 0)+1))&lt;100, IF(INDEX(ERP資料!$G:$G, (MATCH(865, 輔助計算!$G$2:$G$801, 0)+1))&lt;=31,3,IF(INDEX(ERP資料!$G:$G, (MATCH(865, 輔助計算!$G$2:$G$801, 0)+1))&lt;=46.5,2,1)), IF(INDEX(ERP資料!$G:$G, (MATCH(865, 輔助計算!$G$2:$G$801, 0)+1))&lt;=790,3,IF(INDEX(ERP資料!$G:$G, (MATCH(865, 輔助計算!$G$2:$G$801, 0)+1))&lt;=1181,2,1)))=1,TEXT(INDEX(ERP資料!$G:$G, (MATCH(865, 輔助計算!$G$2:$G$801, 0)+1)),"0.##"),IF(IF(INDEX(ERP資料!$G:$G, (MATCH(865, 輔助計算!$G$2:$G$801, 0)+1))&lt;100, IF(INDEX(ERP資料!$G:$G, (MATCH(865, 輔助計算!$G$2:$G$801, 0)+1))&lt;=31,3,IF(INDEX(ERP資料!$G:$G, (MATCH(865, 輔助計算!$G$2:$G$801, 0)+1))&lt;=46.5,2,1)), IF(INDEX(ERP資料!$G:$G, (MATCH(865, 輔助計算!$G$2:$G$801, 0)+1))&lt;=790,3,IF(INDEX(ERP資料!$G:$G, (MATCH(865, 輔助計算!$G$2:$G$801, 0)+1))&lt;=1181,2,1)))=2,TEXT(INDEX(ERP資料!$G:$G, (MATCH(865, 輔助計算!$G$2:$G$801, 0)+1)),"0.##")&amp;"+"&amp;TEXT(INDEX(ERP資料!$G:$G, (MATCH(865, 輔助計算!$G$2:$G$801, 0)+1)),"0.##"),TEXT(INDEX(ERP資料!$G:$G, (MATCH(865, 輔助計算!$G$2:$G$801, 0)+1)),"0.##")&amp;"+"&amp;TEXT(INDEX(ERP資料!$G:$G, (MATCH(865, 輔助計算!$G$2:$G$801, 0)+1)),"0.##")&amp;"+"&amp;TEXT(INDEX(ERP資料!$G:$G, (MATCH(865, 輔助計算!$G$2:$G$801, 0)+1)),"0.##")))&amp;"-"&amp;INT(INDEX(輔助計算!$D:$D, (MATCH(865, 輔助計算!$G$2:$G$801, 0)+1))/IF(INDEX(ERP資料!$G:$G, (MATCH(865, 輔助計算!$G$2:$G$801, 0)+1))&lt;100, IF(INDEX(ERP資料!$G:$G, (MATCH(865, 輔助計算!$G$2:$G$801, 0)+1))&lt;=31,3,IF(INDEX(ERP資料!$G:$G, (MATCH(865, 輔助計算!$G$2:$G$801, 0)+1))&lt;=46.5,2,1)), IF(INDEX(ERP資料!$G:$G, (MATCH(865, 輔助計算!$G$2:$G$801, 0)+1))&lt;=790,3,IF(INDEX(ERP資料!$G:$G, (MATCH(865, 輔助計算!$G$2:$G$801, 0)+1))&lt;=1181,2,1)))), "")&lt;&gt;"",IF(MOD(INDEX(輔助計算!$D:$D, (MATCH(865, 輔助計算!$G$2:$G$801, 0)+1)),IF(INDEX(ERP資料!$G:$G, (MATCH(865, 輔助計算!$G$2:$G$801, 0)+1))&lt;100, IF(INDEX(ERP資料!$G:$G, (MATCH(865, 輔助計算!$G$2:$G$801, 0)+1))&lt;=31,3,IF(INDEX(ERP資料!$G:$G, (MATCH(865, 輔助計算!$G$2:$G$801, 0)+1))&lt;=46.5,2,1)), IF(INDEX(ERP資料!$G:$G, (MATCH(865, 輔助計算!$G$2:$G$801, 0)+1))&lt;=790,3,IF(INDEX(ERP資料!$G:$G, (MATCH(865, 輔助計算!$G$2:$G$801, 0)+1))&lt;=1181,2,1))))=0,"",IF(MOD(INDEX(輔助計算!$D:$D, (MATCH(865, 輔助計算!$G$2:$G$801, 0)+1)),IF(INDEX(ERP資料!$G:$G, (MATCH(865, 輔助計算!$G$2:$G$801, 0)+1))&lt;100, IF(INDEX(ERP資料!$G:$G, (MATCH(865, 輔助計算!$G$2:$G$801, 0)+1))&lt;=31,3,IF(INDEX(ERP資料!$G:$G, (MATCH(865, 輔助計算!$G$2:$G$801, 0)+1))&lt;=46.5,2,1)), IF(INDEX(ERP資料!$G:$G, (MATCH(865, 輔助計算!$G$2:$G$801, 0)+1))&lt;=790,3,IF(INDEX(ERP資料!$G:$G, (MATCH(865, 輔助計算!$G$2:$G$801, 0)+1))&lt;=1181,2,1))))=0,"",IF(MOD(INDEX(輔助計算!$D:$D, (MATCH(865, 輔助計算!$G$2:$G$801, 0)+1)),IF(INDEX(ERP資料!$G:$G, (MATCH(865, 輔助計算!$G$2:$G$801, 0)+1))&lt;100, IF(INDEX(ERP資料!$G:$G, (MATCH(865, 輔助計算!$G$2:$G$801, 0)+1))&lt;=31,3,IF(INDEX(ERP資料!$G:$G, (MATCH(865, 輔助計算!$G$2:$G$801, 0)+1))&lt;=46.5,2,1)), IF(INDEX(ERP資料!$G:$G, (MATCH(865, 輔助計算!$G$2:$G$801, 0)+1))&lt;=790,3,IF(INDEX(ERP資料!$G:$G, (MATCH(865, 輔助計算!$G$2:$G$801, 0)+1))&lt;=1181,2,1))))=1,TEXT(INDEX(ERP資料!$G:$G, (MATCH(865, 輔助計算!$G$2:$G$801, 0)+1)),"0.##"),IF(MOD(INDEX(輔助計算!$D:$D, (MATCH(865, 輔助計算!$G$2:$G$801, 0)+1)),IF(INDEX(ERP資料!$G:$G, (MATCH(865, 輔助計算!$G$2:$G$801, 0)+1))&lt;100, IF(INDEX(ERP資料!$G:$G, (MATCH(865, 輔助計算!$G$2:$G$801, 0)+1))&lt;=31,3,IF(INDEX(ERP資料!$G:$G, (MATCH(865, 輔助計算!$G$2:$G$801, 0)+1))&lt;=46.5,2,1)), IF(INDEX(ERP資料!$G:$G, (MATCH(865, 輔助計算!$G$2:$G$801, 0)+1))&lt;=790,3,IF(INDEX(ERP資料!$G:$G, (MATCH(865, 輔助計算!$G$2:$G$801, 0)+1))&lt;=1181,2,1))))=2,TEXT(INDEX(ERP資料!$G:$G, (MATCH(865, 輔助計算!$G$2:$G$801, 0)+1)),"0.##")&amp;"+"&amp;TEXT(INDEX(ERP資料!$G:$G, (MATCH(865, 輔助計算!$G$2:$G$801, 0)+1)),"0.##"),TEXT(INDEX(ERP資料!$G:$G, (MATCH(865, 輔助計算!$G$2:$G$801, 0)+1)),"0.##")&amp;"+"&amp;TEXT(INDEX(ERP資料!$G:$G, (MATCH(865, 輔助計算!$G$2:$G$801, 0)+1)),"0.##")&amp;"+"&amp;TEXT(INDEX(ERP資料!$G:$G, (MATCH(865, 輔助計算!$G$2:$G$801, 0)+1)),"0.##"))))&amp;"-1")&lt;&gt;""),"  ","")&amp;IF(MOD(INDEX(輔助計算!$D:$D, (MATCH(865, 輔助計算!$G$2:$G$801, 0)+1)),IF(INDEX(ERP資料!$G:$G, (MATCH(865, 輔助計算!$G$2:$G$801, 0)+1))&lt;100, IF(INDEX(ERP資料!$G:$G, (MATCH(865, 輔助計算!$G$2:$G$801, 0)+1))&lt;=31,3,IF(INDEX(ERP資料!$G:$G, (MATCH(865, 輔助計算!$G$2:$G$801, 0)+1))&lt;=46.5,2,1)), IF(INDEX(ERP資料!$G:$G, (MATCH(865, 輔助計算!$G$2:$G$801, 0)+1))&lt;=790,3,IF(INDEX(ERP資料!$G:$G, (MATCH(865, 輔助計算!$G$2:$G$801, 0)+1))&lt;=1181,2,1))))=0,"",IF(MOD(INDEX(輔助計算!$D:$D, (MATCH(865, 輔助計算!$G$2:$G$801, 0)+1)),IF(INDEX(ERP資料!$G:$G, (MATCH(865, 輔助計算!$G$2:$G$801, 0)+1))&lt;100, IF(INDEX(ERP資料!$G:$G, (MATCH(865, 輔助計算!$G$2:$G$801, 0)+1))&lt;=31,3,IF(INDEX(ERP資料!$G:$G, (MATCH(865, 輔助計算!$G$2:$G$801, 0)+1))&lt;=46.5,2,1)), IF(INDEX(ERP資料!$G:$G, (MATCH(865, 輔助計算!$G$2:$G$801, 0)+1))&lt;=790,3,IF(INDEX(ERP資料!$G:$G, (MATCH(865, 輔助計算!$G$2:$G$801, 0)+1))&lt;=1181,2,1))))=0,"",IF(MOD(INDEX(輔助計算!$D:$D, (MATCH(865, 輔助計算!$G$2:$G$801, 0)+1)),IF(INDEX(ERP資料!$G:$G, (MATCH(865, 輔助計算!$G$2:$G$801, 0)+1))&lt;100, IF(INDEX(ERP資料!$G:$G, (MATCH(865, 輔助計算!$G$2:$G$801, 0)+1))&lt;=31,3,IF(INDEX(ERP資料!$G:$G, (MATCH(865, 輔助計算!$G$2:$G$801, 0)+1))&lt;=46.5,2,1)), IF(INDEX(ERP資料!$G:$G, (MATCH(865, 輔助計算!$G$2:$G$801, 0)+1))&lt;=790,3,IF(INDEX(ERP資料!$G:$G, (MATCH(865, 輔助計算!$G$2:$G$801, 0)+1))&lt;=1181,2,1))))=1,TEXT(INDEX(ERP資料!$G:$G, (MATCH(865, 輔助計算!$G$2:$G$801, 0)+1)),"0.##"),IF(MOD(INDEX(輔助計算!$D:$D, (MATCH(865, 輔助計算!$G$2:$G$801, 0)+1)),IF(INDEX(ERP資料!$G:$G, (MATCH(865, 輔助計算!$G$2:$G$801, 0)+1))&lt;100, IF(INDEX(ERP資料!$G:$G, (MATCH(865, 輔助計算!$G$2:$G$801, 0)+1))&lt;=31,3,IF(INDEX(ERP資料!$G:$G, (MATCH(865, 輔助計算!$G$2:$G$801, 0)+1))&lt;=46.5,2,1)), IF(INDEX(ERP資料!$G:$G, (MATCH(865, 輔助計算!$G$2:$G$801, 0)+1))&lt;=790,3,IF(INDEX(ERP資料!$G:$G, (MATCH(865, 輔助計算!$G$2:$G$801, 0)+1))&lt;=1181,2,1))))=2,TEXT(INDEX(ERP資料!$G:$G, (MATCH(865, 輔助計算!$G$2:$G$801, 0)+1)),"0.##")&amp;"+"&amp;TEXT(INDEX(ERP資料!$G:$G, (MATCH(865, 輔助計算!$G$2:$G$801, 0)+1)),"0.##"),TEXT(INDEX(ERP資料!$G:$G, (MATCH(865, 輔助計算!$G$2:$G$801, 0)+1)),"0.##")&amp;"+"&amp;TEXT(INDEX(ERP資料!$G:$G, (MATCH(865, 輔助計算!$G$2:$G$801, 0)+1)),"0.##")&amp;"+"&amp;TEXT(INDEX(ERP資料!$G:$G, (MATCH(865, 輔助計算!$G$2:$G$801, 0)+1)),"0.##"))))&amp;"-1")), ""), "")</f>
        <v/>
      </c>
      <c r="K866" s="16" t="n"/>
      <c r="L866" s="14">
        <f>IFERROR(IF(AND(IFERROR(INDEX(ERP資料!$A:$A, (MATCH(865, 輔助計算!$G$2:$G$801, 0)+1)), "")&lt;&gt;"", IFERROR(INDEX(ERP資料!$A:$A, (MATCH(865, 輔助計算!$G$2:$G$801, 0)+1)), "")&lt;&gt;IFERROR(INDEX(ERP資料!$A:$A, MATCH(864, 輔助計算!$G$2:$G$801, 0)+1), "")), INDEX(ERP資料!$B:$B, (MATCH(865, 輔助計算!$G$2:$G$801, 0)+1)), ""), "")</f>
        <v/>
      </c>
      <c r="M866" s="17" t="n"/>
    </row>
    <row r="867">
      <c r="A867" s="10">
        <f>IFERROR(IF(AND(IFERROR(INDEX(ERP資料!$A:$A, (MATCH(866, 輔助計算!$G$2:$G$801, 0)+1)), "")&lt;&gt;"", IFERROR(INDEX(ERP資料!$A:$A, (MATCH(866, 輔助計算!$G$2:$G$801, 0)+1)), "")&lt;&gt;IFERROR(INDEX(ERP資料!$A:$A, MATCH(865, 輔助計算!$G$2:$G$801, 0)+1), "")), IFERROR(INDEX(ERP資料!$A:$A, (MATCH(866, 輔助計算!$G$2:$G$801, 0)+1)), ""), ""), "")</f>
        <v/>
      </c>
      <c r="B867" s="10">
        <f>IFERROR(IF(AND(IFERROR(INDEX(ERP資料!$A:$A, (MATCH(866, 輔助計算!$G$2:$G$801, 0)+1)), "")&lt;&gt;"", IFERROR(INDEX(ERP資料!$A:$A, (MATCH(866, 輔助計算!$G$2:$G$801, 0)+1)), "")&lt;&gt;IFERROR(INDEX(ERP資料!$A:$A, MATCH(865, 輔助計算!$G$2:$G$801, 0)+1), "")), INDEX(ERP資料!$S:$S, (MATCH(866, 輔助計算!$G$2:$G$801, 0)+1)), ""), "")</f>
        <v/>
      </c>
      <c r="C867" s="19">
        <f>IFERROR(IF(AND(IFERROR(INDEX(ERP資料!$A:$A, (MATCH(866, 輔助計算!$G$2:$G$801, 0)+1)), "")&lt;&gt;"", IFERROR(INDEX(ERP資料!$A:$A, (MATCH(866, 輔助計算!$G$2:$G$801, 0)+1)), "")&lt;&gt;IFERROR(INDEX(ERP資料!$A:$A, MATCH(865, 輔助計算!$G$2:$G$801, 0)+1), "")), IFERROR(VLOOKUP(LEFT(INDEX(ERP資料!$S:$S, (MATCH(866, 輔助計算!$G$2:$G$801, 0)+1)), 4), 紙管對照表!$A:$C, 3, FALSE), ""), ""), "")</f>
        <v/>
      </c>
      <c r="D867" s="16" t="n"/>
      <c r="E867" s="10">
        <f>IFERROR(IF(INDEX(ERP資料!$H:$H, (MATCH(866, 輔助計算!$G$2:$G$801, 0)+1))="","",INDEX(ERP資料!$H:$H, (MATCH(866, 輔助計算!$G$2:$G$801, 0)+1))), "")</f>
        <v/>
      </c>
      <c r="F867" s="10">
        <f>IFERROR(IF(INDEX(ERP資料!$E:$E, (MATCH(866, 輔助計算!$G$2:$G$801, 0)+1))="","",TRIM(INDEX(ERP資料!$E:$E, (MATCH(866, 輔助計算!$G$2:$G$801, 0)+1)))), "")</f>
        <v/>
      </c>
      <c r="G867" s="10">
        <f>IFERROR(IF(INDEX(ERP資料!$F:$F, (MATCH(866, 輔助計算!$G$2:$G$801, 0)+1))="","",INDEX(ERP資料!$F:$F, (MATCH(866, 輔助計算!$G$2:$G$801, 0)+1))), "")</f>
        <v/>
      </c>
      <c r="H867" s="10">
        <f>IFERROR(IF(INDEX(ERP資料!$G:$G, (MATCH(866, 輔助計算!$G$2:$G$801, 0)+1))="","",INDEX(ERP資料!$G:$G, (MATCH(866, 輔助計算!$G$2:$G$801, 0)+1))), "")</f>
        <v/>
      </c>
      <c r="I867" s="15">
        <f>IFERROR(INDEX(輔助計算!$D:$D, (MATCH(866, 輔助計算!$G$2:$G$801, 0)+1)), "")</f>
        <v/>
      </c>
      <c r="J867" s="15">
        <f>IFERROR(IF(AND(INDEX(輔助計算!$D:$D, (MATCH(866, 輔助計算!$G$2:$G$801, 0)+1))&lt;&gt;"", INDEX(ERP資料!$G:$G, (MATCH(866, 輔助計算!$G$2:$G$801, 0)+1))&lt;&gt;""), TRIM(IF(INT(INDEX(輔助計算!$D:$D, (MATCH(866, 輔助計算!$G$2:$G$801, 0)+1))/IF(INDEX(ERP資料!$G:$G, (MATCH(866, 輔助計算!$G$2:$G$801, 0)+1))&lt;100, IF(INDEX(ERP資料!$G:$G, (MATCH(866, 輔助計算!$G$2:$G$801, 0)+1))&lt;=31,3,IF(INDEX(ERP資料!$G:$G, (MATCH(866, 輔助計算!$G$2:$G$801, 0)+1))&lt;=46.5,2,1)), IF(INDEX(ERP資料!$G:$G, (MATCH(866, 輔助計算!$G$2:$G$801, 0)+1))&lt;=790,3,IF(INDEX(ERP資料!$G:$G, (MATCH(866, 輔助計算!$G$2:$G$801, 0)+1))&lt;=1181,2,1))))&gt;0, IF(IF(INDEX(ERP資料!$G:$G, (MATCH(866, 輔助計算!$G$2:$G$801, 0)+1))&lt;100, IF(INDEX(ERP資料!$G:$G, (MATCH(866, 輔助計算!$G$2:$G$801, 0)+1))&lt;=31,3,IF(INDEX(ERP資料!$G:$G, (MATCH(866, 輔助計算!$G$2:$G$801, 0)+1))&lt;=46.5,2,1)), IF(INDEX(ERP資料!$G:$G, (MATCH(866, 輔助計算!$G$2:$G$801, 0)+1))&lt;=790,3,IF(INDEX(ERP資料!$G:$G, (MATCH(866, 輔助計算!$G$2:$G$801, 0)+1))&lt;=1181,2,1)))=1,TEXT(INDEX(ERP資料!$G:$G, (MATCH(866, 輔助計算!$G$2:$G$801, 0)+1)),"0.##"),IF(IF(INDEX(ERP資料!$G:$G, (MATCH(866, 輔助計算!$G$2:$G$801, 0)+1))&lt;100, IF(INDEX(ERP資料!$G:$G, (MATCH(866, 輔助計算!$G$2:$G$801, 0)+1))&lt;=31,3,IF(INDEX(ERP資料!$G:$G, (MATCH(866, 輔助計算!$G$2:$G$801, 0)+1))&lt;=46.5,2,1)), IF(INDEX(ERP資料!$G:$G, (MATCH(866, 輔助計算!$G$2:$G$801, 0)+1))&lt;=790,3,IF(INDEX(ERP資料!$G:$G, (MATCH(866, 輔助計算!$G$2:$G$801, 0)+1))&lt;=1181,2,1)))=2,TEXT(INDEX(ERP資料!$G:$G, (MATCH(866, 輔助計算!$G$2:$G$801, 0)+1)),"0.##")&amp;"+"&amp;TEXT(INDEX(ERP資料!$G:$G, (MATCH(866, 輔助計算!$G$2:$G$801, 0)+1)),"0.##"),TEXT(INDEX(ERP資料!$G:$G, (MATCH(866, 輔助計算!$G$2:$G$801, 0)+1)),"0.##")&amp;"+"&amp;TEXT(INDEX(ERP資料!$G:$G, (MATCH(866, 輔助計算!$G$2:$G$801, 0)+1)),"0.##")&amp;"+"&amp;TEXT(INDEX(ERP資料!$G:$G, (MATCH(866, 輔助計算!$G$2:$G$801, 0)+1)),"0.##")))&amp;"-"&amp;INT(INDEX(輔助計算!$D:$D, (MATCH(866, 輔助計算!$G$2:$G$801, 0)+1))/IF(INDEX(ERP資料!$G:$G, (MATCH(866, 輔助計算!$G$2:$G$801, 0)+1))&lt;100, IF(INDEX(ERP資料!$G:$G, (MATCH(866, 輔助計算!$G$2:$G$801, 0)+1))&lt;=31,3,IF(INDEX(ERP資料!$G:$G, (MATCH(866, 輔助計算!$G$2:$G$801, 0)+1))&lt;=46.5,2,1)), IF(INDEX(ERP資料!$G:$G, (MATCH(866, 輔助計算!$G$2:$G$801, 0)+1))&lt;=790,3,IF(INDEX(ERP資料!$G:$G, (MATCH(866, 輔助計算!$G$2:$G$801, 0)+1))&lt;=1181,2,1)))), "")&amp;IF(AND(IF(INT(INDEX(輔助計算!$D:$D, (MATCH(866, 輔助計算!$G$2:$G$801, 0)+1))/IF(INDEX(ERP資料!$G:$G, (MATCH(866, 輔助計算!$G$2:$G$801, 0)+1))&lt;100, IF(INDEX(ERP資料!$G:$G, (MATCH(866, 輔助計算!$G$2:$G$801, 0)+1))&lt;=31,3,IF(INDEX(ERP資料!$G:$G, (MATCH(866, 輔助計算!$G$2:$G$801, 0)+1))&lt;=46.5,2,1)), IF(INDEX(ERP資料!$G:$G, (MATCH(866, 輔助計算!$G$2:$G$801, 0)+1))&lt;=790,3,IF(INDEX(ERP資料!$G:$G, (MATCH(866, 輔助計算!$G$2:$G$801, 0)+1))&lt;=1181,2,1))))&gt;0, IF(IF(INDEX(ERP資料!$G:$G, (MATCH(866, 輔助計算!$G$2:$G$801, 0)+1))&lt;100, IF(INDEX(ERP資料!$G:$G, (MATCH(866, 輔助計算!$G$2:$G$801, 0)+1))&lt;=31,3,IF(INDEX(ERP資料!$G:$G, (MATCH(866, 輔助計算!$G$2:$G$801, 0)+1))&lt;=46.5,2,1)), IF(INDEX(ERP資料!$G:$G, (MATCH(866, 輔助計算!$G$2:$G$801, 0)+1))&lt;=790,3,IF(INDEX(ERP資料!$G:$G, (MATCH(866, 輔助計算!$G$2:$G$801, 0)+1))&lt;=1181,2,1)))=1,TEXT(INDEX(ERP資料!$G:$G, (MATCH(866, 輔助計算!$G$2:$G$801, 0)+1)),"0.##"),IF(IF(INDEX(ERP資料!$G:$G, (MATCH(866, 輔助計算!$G$2:$G$801, 0)+1))&lt;100, IF(INDEX(ERP資料!$G:$G, (MATCH(866, 輔助計算!$G$2:$G$801, 0)+1))&lt;=31,3,IF(INDEX(ERP資料!$G:$G, (MATCH(866, 輔助計算!$G$2:$G$801, 0)+1))&lt;=46.5,2,1)), IF(INDEX(ERP資料!$G:$G, (MATCH(866, 輔助計算!$G$2:$G$801, 0)+1))&lt;=790,3,IF(INDEX(ERP資料!$G:$G, (MATCH(866, 輔助計算!$G$2:$G$801, 0)+1))&lt;=1181,2,1)))=2,TEXT(INDEX(ERP資料!$G:$G, (MATCH(866, 輔助計算!$G$2:$G$801, 0)+1)),"0.##")&amp;"+"&amp;TEXT(INDEX(ERP資料!$G:$G, (MATCH(866, 輔助計算!$G$2:$G$801, 0)+1)),"0.##"),TEXT(INDEX(ERP資料!$G:$G, (MATCH(866, 輔助計算!$G$2:$G$801, 0)+1)),"0.##")&amp;"+"&amp;TEXT(INDEX(ERP資料!$G:$G, (MATCH(866, 輔助計算!$G$2:$G$801, 0)+1)),"0.##")&amp;"+"&amp;TEXT(INDEX(ERP資料!$G:$G, (MATCH(866, 輔助計算!$G$2:$G$801, 0)+1)),"0.##")))&amp;"-"&amp;INT(INDEX(輔助計算!$D:$D, (MATCH(866, 輔助計算!$G$2:$G$801, 0)+1))/IF(INDEX(ERP資料!$G:$G, (MATCH(866, 輔助計算!$G$2:$G$801, 0)+1))&lt;100, IF(INDEX(ERP資料!$G:$G, (MATCH(866, 輔助計算!$G$2:$G$801, 0)+1))&lt;=31,3,IF(INDEX(ERP資料!$G:$G, (MATCH(866, 輔助計算!$G$2:$G$801, 0)+1))&lt;=46.5,2,1)), IF(INDEX(ERP資料!$G:$G, (MATCH(866, 輔助計算!$G$2:$G$801, 0)+1))&lt;=790,3,IF(INDEX(ERP資料!$G:$G, (MATCH(866, 輔助計算!$G$2:$G$801, 0)+1))&lt;=1181,2,1)))), "")&lt;&gt;"",IF(MOD(INDEX(輔助計算!$D:$D, (MATCH(866, 輔助計算!$G$2:$G$801, 0)+1)),IF(INDEX(ERP資料!$G:$G, (MATCH(866, 輔助計算!$G$2:$G$801, 0)+1))&lt;100, IF(INDEX(ERP資料!$G:$G, (MATCH(866, 輔助計算!$G$2:$G$801, 0)+1))&lt;=31,3,IF(INDEX(ERP資料!$G:$G, (MATCH(866, 輔助計算!$G$2:$G$801, 0)+1))&lt;=46.5,2,1)), IF(INDEX(ERP資料!$G:$G, (MATCH(866, 輔助計算!$G$2:$G$801, 0)+1))&lt;=790,3,IF(INDEX(ERP資料!$G:$G, (MATCH(866, 輔助計算!$G$2:$G$801, 0)+1))&lt;=1181,2,1))))=0,"",IF(MOD(INDEX(輔助計算!$D:$D, (MATCH(866, 輔助計算!$G$2:$G$801, 0)+1)),IF(INDEX(ERP資料!$G:$G, (MATCH(866, 輔助計算!$G$2:$G$801, 0)+1))&lt;100, IF(INDEX(ERP資料!$G:$G, (MATCH(866, 輔助計算!$G$2:$G$801, 0)+1))&lt;=31,3,IF(INDEX(ERP資料!$G:$G, (MATCH(866, 輔助計算!$G$2:$G$801, 0)+1))&lt;=46.5,2,1)), IF(INDEX(ERP資料!$G:$G, (MATCH(866, 輔助計算!$G$2:$G$801, 0)+1))&lt;=790,3,IF(INDEX(ERP資料!$G:$G, (MATCH(866, 輔助計算!$G$2:$G$801, 0)+1))&lt;=1181,2,1))))=0,"",IF(MOD(INDEX(輔助計算!$D:$D, (MATCH(866, 輔助計算!$G$2:$G$801, 0)+1)),IF(INDEX(ERP資料!$G:$G, (MATCH(866, 輔助計算!$G$2:$G$801, 0)+1))&lt;100, IF(INDEX(ERP資料!$G:$G, (MATCH(866, 輔助計算!$G$2:$G$801, 0)+1))&lt;=31,3,IF(INDEX(ERP資料!$G:$G, (MATCH(866, 輔助計算!$G$2:$G$801, 0)+1))&lt;=46.5,2,1)), IF(INDEX(ERP資料!$G:$G, (MATCH(866, 輔助計算!$G$2:$G$801, 0)+1))&lt;=790,3,IF(INDEX(ERP資料!$G:$G, (MATCH(866, 輔助計算!$G$2:$G$801, 0)+1))&lt;=1181,2,1))))=1,TEXT(INDEX(ERP資料!$G:$G, (MATCH(866, 輔助計算!$G$2:$G$801, 0)+1)),"0.##"),IF(MOD(INDEX(輔助計算!$D:$D, (MATCH(866, 輔助計算!$G$2:$G$801, 0)+1)),IF(INDEX(ERP資料!$G:$G, (MATCH(866, 輔助計算!$G$2:$G$801, 0)+1))&lt;100, IF(INDEX(ERP資料!$G:$G, (MATCH(866, 輔助計算!$G$2:$G$801, 0)+1))&lt;=31,3,IF(INDEX(ERP資料!$G:$G, (MATCH(866, 輔助計算!$G$2:$G$801, 0)+1))&lt;=46.5,2,1)), IF(INDEX(ERP資料!$G:$G, (MATCH(866, 輔助計算!$G$2:$G$801, 0)+1))&lt;=790,3,IF(INDEX(ERP資料!$G:$G, (MATCH(866, 輔助計算!$G$2:$G$801, 0)+1))&lt;=1181,2,1))))=2,TEXT(INDEX(ERP資料!$G:$G, (MATCH(866, 輔助計算!$G$2:$G$801, 0)+1)),"0.##")&amp;"+"&amp;TEXT(INDEX(ERP資料!$G:$G, (MATCH(866, 輔助計算!$G$2:$G$801, 0)+1)),"0.##"),TEXT(INDEX(ERP資料!$G:$G, (MATCH(866, 輔助計算!$G$2:$G$801, 0)+1)),"0.##")&amp;"+"&amp;TEXT(INDEX(ERP資料!$G:$G, (MATCH(866, 輔助計算!$G$2:$G$801, 0)+1)),"0.##")&amp;"+"&amp;TEXT(INDEX(ERP資料!$G:$G, (MATCH(866, 輔助計算!$G$2:$G$801, 0)+1)),"0.##"))))&amp;"-1")&lt;&gt;""),"  ","")&amp;IF(MOD(INDEX(輔助計算!$D:$D, (MATCH(866, 輔助計算!$G$2:$G$801, 0)+1)),IF(INDEX(ERP資料!$G:$G, (MATCH(866, 輔助計算!$G$2:$G$801, 0)+1))&lt;100, IF(INDEX(ERP資料!$G:$G, (MATCH(866, 輔助計算!$G$2:$G$801, 0)+1))&lt;=31,3,IF(INDEX(ERP資料!$G:$G, (MATCH(866, 輔助計算!$G$2:$G$801, 0)+1))&lt;=46.5,2,1)), IF(INDEX(ERP資料!$G:$G, (MATCH(866, 輔助計算!$G$2:$G$801, 0)+1))&lt;=790,3,IF(INDEX(ERP資料!$G:$G, (MATCH(866, 輔助計算!$G$2:$G$801, 0)+1))&lt;=1181,2,1))))=0,"",IF(MOD(INDEX(輔助計算!$D:$D, (MATCH(866, 輔助計算!$G$2:$G$801, 0)+1)),IF(INDEX(ERP資料!$G:$G, (MATCH(866, 輔助計算!$G$2:$G$801, 0)+1))&lt;100, IF(INDEX(ERP資料!$G:$G, (MATCH(866, 輔助計算!$G$2:$G$801, 0)+1))&lt;=31,3,IF(INDEX(ERP資料!$G:$G, (MATCH(866, 輔助計算!$G$2:$G$801, 0)+1))&lt;=46.5,2,1)), IF(INDEX(ERP資料!$G:$G, (MATCH(866, 輔助計算!$G$2:$G$801, 0)+1))&lt;=790,3,IF(INDEX(ERP資料!$G:$G, (MATCH(866, 輔助計算!$G$2:$G$801, 0)+1))&lt;=1181,2,1))))=0,"",IF(MOD(INDEX(輔助計算!$D:$D, (MATCH(866, 輔助計算!$G$2:$G$801, 0)+1)),IF(INDEX(ERP資料!$G:$G, (MATCH(866, 輔助計算!$G$2:$G$801, 0)+1))&lt;100, IF(INDEX(ERP資料!$G:$G, (MATCH(866, 輔助計算!$G$2:$G$801, 0)+1))&lt;=31,3,IF(INDEX(ERP資料!$G:$G, (MATCH(866, 輔助計算!$G$2:$G$801, 0)+1))&lt;=46.5,2,1)), IF(INDEX(ERP資料!$G:$G, (MATCH(866, 輔助計算!$G$2:$G$801, 0)+1))&lt;=790,3,IF(INDEX(ERP資料!$G:$G, (MATCH(866, 輔助計算!$G$2:$G$801, 0)+1))&lt;=1181,2,1))))=1,TEXT(INDEX(ERP資料!$G:$G, (MATCH(866, 輔助計算!$G$2:$G$801, 0)+1)),"0.##"),IF(MOD(INDEX(輔助計算!$D:$D, (MATCH(866, 輔助計算!$G$2:$G$801, 0)+1)),IF(INDEX(ERP資料!$G:$G, (MATCH(866, 輔助計算!$G$2:$G$801, 0)+1))&lt;100, IF(INDEX(ERP資料!$G:$G, (MATCH(866, 輔助計算!$G$2:$G$801, 0)+1))&lt;=31,3,IF(INDEX(ERP資料!$G:$G, (MATCH(866, 輔助計算!$G$2:$G$801, 0)+1))&lt;=46.5,2,1)), IF(INDEX(ERP資料!$G:$G, (MATCH(866, 輔助計算!$G$2:$G$801, 0)+1))&lt;=790,3,IF(INDEX(ERP資料!$G:$G, (MATCH(866, 輔助計算!$G$2:$G$801, 0)+1))&lt;=1181,2,1))))=2,TEXT(INDEX(ERP資料!$G:$G, (MATCH(866, 輔助計算!$G$2:$G$801, 0)+1)),"0.##")&amp;"+"&amp;TEXT(INDEX(ERP資料!$G:$G, (MATCH(866, 輔助計算!$G$2:$G$801, 0)+1)),"0.##"),TEXT(INDEX(ERP資料!$G:$G, (MATCH(866, 輔助計算!$G$2:$G$801, 0)+1)),"0.##")&amp;"+"&amp;TEXT(INDEX(ERP資料!$G:$G, (MATCH(866, 輔助計算!$G$2:$G$801, 0)+1)),"0.##")&amp;"+"&amp;TEXT(INDEX(ERP資料!$G:$G, (MATCH(866, 輔助計算!$G$2:$G$801, 0)+1)),"0.##"))))&amp;"-1")), ""), "")</f>
        <v/>
      </c>
      <c r="K867" s="16" t="n"/>
      <c r="L867" s="14">
        <f>IFERROR(IF(AND(IFERROR(INDEX(ERP資料!$A:$A, (MATCH(866, 輔助計算!$G$2:$G$801, 0)+1)), "")&lt;&gt;"", IFERROR(INDEX(ERP資料!$A:$A, (MATCH(866, 輔助計算!$G$2:$G$801, 0)+1)), "")&lt;&gt;IFERROR(INDEX(ERP資料!$A:$A, MATCH(865, 輔助計算!$G$2:$G$801, 0)+1), "")), INDEX(ERP資料!$B:$B, (MATCH(866, 輔助計算!$G$2:$G$801, 0)+1)), ""), "")</f>
        <v/>
      </c>
      <c r="M867" s="17" t="n"/>
    </row>
    <row r="868">
      <c r="A868" s="10">
        <f>IFERROR(IF(AND(IFERROR(INDEX(ERP資料!$A:$A, (MATCH(867, 輔助計算!$G$2:$G$801, 0)+1)), "")&lt;&gt;"", IFERROR(INDEX(ERP資料!$A:$A, (MATCH(867, 輔助計算!$G$2:$G$801, 0)+1)), "")&lt;&gt;IFERROR(INDEX(ERP資料!$A:$A, MATCH(866, 輔助計算!$G$2:$G$801, 0)+1), "")), IFERROR(INDEX(ERP資料!$A:$A, (MATCH(867, 輔助計算!$G$2:$G$801, 0)+1)), ""), ""), "")</f>
        <v/>
      </c>
      <c r="B868" s="10">
        <f>IFERROR(IF(AND(IFERROR(INDEX(ERP資料!$A:$A, (MATCH(867, 輔助計算!$G$2:$G$801, 0)+1)), "")&lt;&gt;"", IFERROR(INDEX(ERP資料!$A:$A, (MATCH(867, 輔助計算!$G$2:$G$801, 0)+1)), "")&lt;&gt;IFERROR(INDEX(ERP資料!$A:$A, MATCH(866, 輔助計算!$G$2:$G$801, 0)+1), "")), INDEX(ERP資料!$S:$S, (MATCH(867, 輔助計算!$G$2:$G$801, 0)+1)), ""), "")</f>
        <v/>
      </c>
      <c r="C868" s="19">
        <f>IFERROR(IF(AND(IFERROR(INDEX(ERP資料!$A:$A, (MATCH(867, 輔助計算!$G$2:$G$801, 0)+1)), "")&lt;&gt;"", IFERROR(INDEX(ERP資料!$A:$A, (MATCH(867, 輔助計算!$G$2:$G$801, 0)+1)), "")&lt;&gt;IFERROR(INDEX(ERP資料!$A:$A, MATCH(866, 輔助計算!$G$2:$G$801, 0)+1), "")), IFERROR(VLOOKUP(LEFT(INDEX(ERP資料!$S:$S, (MATCH(867, 輔助計算!$G$2:$G$801, 0)+1)), 4), 紙管對照表!$A:$C, 3, FALSE), ""), ""), "")</f>
        <v/>
      </c>
      <c r="D868" s="16" t="n"/>
      <c r="E868" s="10">
        <f>IFERROR(IF(INDEX(ERP資料!$H:$H, (MATCH(867, 輔助計算!$G$2:$G$801, 0)+1))="","",INDEX(ERP資料!$H:$H, (MATCH(867, 輔助計算!$G$2:$G$801, 0)+1))), "")</f>
        <v/>
      </c>
      <c r="F868" s="10">
        <f>IFERROR(IF(INDEX(ERP資料!$E:$E, (MATCH(867, 輔助計算!$G$2:$G$801, 0)+1))="","",TRIM(INDEX(ERP資料!$E:$E, (MATCH(867, 輔助計算!$G$2:$G$801, 0)+1)))), "")</f>
        <v/>
      </c>
      <c r="G868" s="10">
        <f>IFERROR(IF(INDEX(ERP資料!$F:$F, (MATCH(867, 輔助計算!$G$2:$G$801, 0)+1))="","",INDEX(ERP資料!$F:$F, (MATCH(867, 輔助計算!$G$2:$G$801, 0)+1))), "")</f>
        <v/>
      </c>
      <c r="H868" s="10">
        <f>IFERROR(IF(INDEX(ERP資料!$G:$G, (MATCH(867, 輔助計算!$G$2:$G$801, 0)+1))="","",INDEX(ERP資料!$G:$G, (MATCH(867, 輔助計算!$G$2:$G$801, 0)+1))), "")</f>
        <v/>
      </c>
      <c r="I868" s="15">
        <f>IFERROR(INDEX(輔助計算!$D:$D, (MATCH(867, 輔助計算!$G$2:$G$801, 0)+1)), "")</f>
        <v/>
      </c>
      <c r="J868" s="15">
        <f>IFERROR(IF(AND(INDEX(輔助計算!$D:$D, (MATCH(867, 輔助計算!$G$2:$G$801, 0)+1))&lt;&gt;"", INDEX(ERP資料!$G:$G, (MATCH(867, 輔助計算!$G$2:$G$801, 0)+1))&lt;&gt;""), TRIM(IF(INT(INDEX(輔助計算!$D:$D, (MATCH(867, 輔助計算!$G$2:$G$801, 0)+1))/IF(INDEX(ERP資料!$G:$G, (MATCH(867, 輔助計算!$G$2:$G$801, 0)+1))&lt;100, IF(INDEX(ERP資料!$G:$G, (MATCH(867, 輔助計算!$G$2:$G$801, 0)+1))&lt;=31,3,IF(INDEX(ERP資料!$G:$G, (MATCH(867, 輔助計算!$G$2:$G$801, 0)+1))&lt;=46.5,2,1)), IF(INDEX(ERP資料!$G:$G, (MATCH(867, 輔助計算!$G$2:$G$801, 0)+1))&lt;=790,3,IF(INDEX(ERP資料!$G:$G, (MATCH(867, 輔助計算!$G$2:$G$801, 0)+1))&lt;=1181,2,1))))&gt;0, IF(IF(INDEX(ERP資料!$G:$G, (MATCH(867, 輔助計算!$G$2:$G$801, 0)+1))&lt;100, IF(INDEX(ERP資料!$G:$G, (MATCH(867, 輔助計算!$G$2:$G$801, 0)+1))&lt;=31,3,IF(INDEX(ERP資料!$G:$G, (MATCH(867, 輔助計算!$G$2:$G$801, 0)+1))&lt;=46.5,2,1)), IF(INDEX(ERP資料!$G:$G, (MATCH(867, 輔助計算!$G$2:$G$801, 0)+1))&lt;=790,3,IF(INDEX(ERP資料!$G:$G, (MATCH(867, 輔助計算!$G$2:$G$801, 0)+1))&lt;=1181,2,1)))=1,TEXT(INDEX(ERP資料!$G:$G, (MATCH(867, 輔助計算!$G$2:$G$801, 0)+1)),"0.##"),IF(IF(INDEX(ERP資料!$G:$G, (MATCH(867, 輔助計算!$G$2:$G$801, 0)+1))&lt;100, IF(INDEX(ERP資料!$G:$G, (MATCH(867, 輔助計算!$G$2:$G$801, 0)+1))&lt;=31,3,IF(INDEX(ERP資料!$G:$G, (MATCH(867, 輔助計算!$G$2:$G$801, 0)+1))&lt;=46.5,2,1)), IF(INDEX(ERP資料!$G:$G, (MATCH(867, 輔助計算!$G$2:$G$801, 0)+1))&lt;=790,3,IF(INDEX(ERP資料!$G:$G, (MATCH(867, 輔助計算!$G$2:$G$801, 0)+1))&lt;=1181,2,1)))=2,TEXT(INDEX(ERP資料!$G:$G, (MATCH(867, 輔助計算!$G$2:$G$801, 0)+1)),"0.##")&amp;"+"&amp;TEXT(INDEX(ERP資料!$G:$G, (MATCH(867, 輔助計算!$G$2:$G$801, 0)+1)),"0.##"),TEXT(INDEX(ERP資料!$G:$G, (MATCH(867, 輔助計算!$G$2:$G$801, 0)+1)),"0.##")&amp;"+"&amp;TEXT(INDEX(ERP資料!$G:$G, (MATCH(867, 輔助計算!$G$2:$G$801, 0)+1)),"0.##")&amp;"+"&amp;TEXT(INDEX(ERP資料!$G:$G, (MATCH(867, 輔助計算!$G$2:$G$801, 0)+1)),"0.##")))&amp;"-"&amp;INT(INDEX(輔助計算!$D:$D, (MATCH(867, 輔助計算!$G$2:$G$801, 0)+1))/IF(INDEX(ERP資料!$G:$G, (MATCH(867, 輔助計算!$G$2:$G$801, 0)+1))&lt;100, IF(INDEX(ERP資料!$G:$G, (MATCH(867, 輔助計算!$G$2:$G$801, 0)+1))&lt;=31,3,IF(INDEX(ERP資料!$G:$G, (MATCH(867, 輔助計算!$G$2:$G$801, 0)+1))&lt;=46.5,2,1)), IF(INDEX(ERP資料!$G:$G, (MATCH(867, 輔助計算!$G$2:$G$801, 0)+1))&lt;=790,3,IF(INDEX(ERP資料!$G:$G, (MATCH(867, 輔助計算!$G$2:$G$801, 0)+1))&lt;=1181,2,1)))), "")&amp;IF(AND(IF(INT(INDEX(輔助計算!$D:$D, (MATCH(867, 輔助計算!$G$2:$G$801, 0)+1))/IF(INDEX(ERP資料!$G:$G, (MATCH(867, 輔助計算!$G$2:$G$801, 0)+1))&lt;100, IF(INDEX(ERP資料!$G:$G, (MATCH(867, 輔助計算!$G$2:$G$801, 0)+1))&lt;=31,3,IF(INDEX(ERP資料!$G:$G, (MATCH(867, 輔助計算!$G$2:$G$801, 0)+1))&lt;=46.5,2,1)), IF(INDEX(ERP資料!$G:$G, (MATCH(867, 輔助計算!$G$2:$G$801, 0)+1))&lt;=790,3,IF(INDEX(ERP資料!$G:$G, (MATCH(867, 輔助計算!$G$2:$G$801, 0)+1))&lt;=1181,2,1))))&gt;0, IF(IF(INDEX(ERP資料!$G:$G, (MATCH(867, 輔助計算!$G$2:$G$801, 0)+1))&lt;100, IF(INDEX(ERP資料!$G:$G, (MATCH(867, 輔助計算!$G$2:$G$801, 0)+1))&lt;=31,3,IF(INDEX(ERP資料!$G:$G, (MATCH(867, 輔助計算!$G$2:$G$801, 0)+1))&lt;=46.5,2,1)), IF(INDEX(ERP資料!$G:$G, (MATCH(867, 輔助計算!$G$2:$G$801, 0)+1))&lt;=790,3,IF(INDEX(ERP資料!$G:$G, (MATCH(867, 輔助計算!$G$2:$G$801, 0)+1))&lt;=1181,2,1)))=1,TEXT(INDEX(ERP資料!$G:$G, (MATCH(867, 輔助計算!$G$2:$G$801, 0)+1)),"0.##"),IF(IF(INDEX(ERP資料!$G:$G, (MATCH(867, 輔助計算!$G$2:$G$801, 0)+1))&lt;100, IF(INDEX(ERP資料!$G:$G, (MATCH(867, 輔助計算!$G$2:$G$801, 0)+1))&lt;=31,3,IF(INDEX(ERP資料!$G:$G, (MATCH(867, 輔助計算!$G$2:$G$801, 0)+1))&lt;=46.5,2,1)), IF(INDEX(ERP資料!$G:$G, (MATCH(867, 輔助計算!$G$2:$G$801, 0)+1))&lt;=790,3,IF(INDEX(ERP資料!$G:$G, (MATCH(867, 輔助計算!$G$2:$G$801, 0)+1))&lt;=1181,2,1)))=2,TEXT(INDEX(ERP資料!$G:$G, (MATCH(867, 輔助計算!$G$2:$G$801, 0)+1)),"0.##")&amp;"+"&amp;TEXT(INDEX(ERP資料!$G:$G, (MATCH(867, 輔助計算!$G$2:$G$801, 0)+1)),"0.##"),TEXT(INDEX(ERP資料!$G:$G, (MATCH(867, 輔助計算!$G$2:$G$801, 0)+1)),"0.##")&amp;"+"&amp;TEXT(INDEX(ERP資料!$G:$G, (MATCH(867, 輔助計算!$G$2:$G$801, 0)+1)),"0.##")&amp;"+"&amp;TEXT(INDEX(ERP資料!$G:$G, (MATCH(867, 輔助計算!$G$2:$G$801, 0)+1)),"0.##")))&amp;"-"&amp;INT(INDEX(輔助計算!$D:$D, (MATCH(867, 輔助計算!$G$2:$G$801, 0)+1))/IF(INDEX(ERP資料!$G:$G, (MATCH(867, 輔助計算!$G$2:$G$801, 0)+1))&lt;100, IF(INDEX(ERP資料!$G:$G, (MATCH(867, 輔助計算!$G$2:$G$801, 0)+1))&lt;=31,3,IF(INDEX(ERP資料!$G:$G, (MATCH(867, 輔助計算!$G$2:$G$801, 0)+1))&lt;=46.5,2,1)), IF(INDEX(ERP資料!$G:$G, (MATCH(867, 輔助計算!$G$2:$G$801, 0)+1))&lt;=790,3,IF(INDEX(ERP資料!$G:$G, (MATCH(867, 輔助計算!$G$2:$G$801, 0)+1))&lt;=1181,2,1)))), "")&lt;&gt;"",IF(MOD(INDEX(輔助計算!$D:$D, (MATCH(867, 輔助計算!$G$2:$G$801, 0)+1)),IF(INDEX(ERP資料!$G:$G, (MATCH(867, 輔助計算!$G$2:$G$801, 0)+1))&lt;100, IF(INDEX(ERP資料!$G:$G, (MATCH(867, 輔助計算!$G$2:$G$801, 0)+1))&lt;=31,3,IF(INDEX(ERP資料!$G:$G, (MATCH(867, 輔助計算!$G$2:$G$801, 0)+1))&lt;=46.5,2,1)), IF(INDEX(ERP資料!$G:$G, (MATCH(867, 輔助計算!$G$2:$G$801, 0)+1))&lt;=790,3,IF(INDEX(ERP資料!$G:$G, (MATCH(867, 輔助計算!$G$2:$G$801, 0)+1))&lt;=1181,2,1))))=0,"",IF(MOD(INDEX(輔助計算!$D:$D, (MATCH(867, 輔助計算!$G$2:$G$801, 0)+1)),IF(INDEX(ERP資料!$G:$G, (MATCH(867, 輔助計算!$G$2:$G$801, 0)+1))&lt;100, IF(INDEX(ERP資料!$G:$G, (MATCH(867, 輔助計算!$G$2:$G$801, 0)+1))&lt;=31,3,IF(INDEX(ERP資料!$G:$G, (MATCH(867, 輔助計算!$G$2:$G$801, 0)+1))&lt;=46.5,2,1)), IF(INDEX(ERP資料!$G:$G, (MATCH(867, 輔助計算!$G$2:$G$801, 0)+1))&lt;=790,3,IF(INDEX(ERP資料!$G:$G, (MATCH(867, 輔助計算!$G$2:$G$801, 0)+1))&lt;=1181,2,1))))=0,"",IF(MOD(INDEX(輔助計算!$D:$D, (MATCH(867, 輔助計算!$G$2:$G$801, 0)+1)),IF(INDEX(ERP資料!$G:$G, (MATCH(867, 輔助計算!$G$2:$G$801, 0)+1))&lt;100, IF(INDEX(ERP資料!$G:$G, (MATCH(867, 輔助計算!$G$2:$G$801, 0)+1))&lt;=31,3,IF(INDEX(ERP資料!$G:$G, (MATCH(867, 輔助計算!$G$2:$G$801, 0)+1))&lt;=46.5,2,1)), IF(INDEX(ERP資料!$G:$G, (MATCH(867, 輔助計算!$G$2:$G$801, 0)+1))&lt;=790,3,IF(INDEX(ERP資料!$G:$G, (MATCH(867, 輔助計算!$G$2:$G$801, 0)+1))&lt;=1181,2,1))))=1,TEXT(INDEX(ERP資料!$G:$G, (MATCH(867, 輔助計算!$G$2:$G$801, 0)+1)),"0.##"),IF(MOD(INDEX(輔助計算!$D:$D, (MATCH(867, 輔助計算!$G$2:$G$801, 0)+1)),IF(INDEX(ERP資料!$G:$G, (MATCH(867, 輔助計算!$G$2:$G$801, 0)+1))&lt;100, IF(INDEX(ERP資料!$G:$G, (MATCH(867, 輔助計算!$G$2:$G$801, 0)+1))&lt;=31,3,IF(INDEX(ERP資料!$G:$G, (MATCH(867, 輔助計算!$G$2:$G$801, 0)+1))&lt;=46.5,2,1)), IF(INDEX(ERP資料!$G:$G, (MATCH(867, 輔助計算!$G$2:$G$801, 0)+1))&lt;=790,3,IF(INDEX(ERP資料!$G:$G, (MATCH(867, 輔助計算!$G$2:$G$801, 0)+1))&lt;=1181,2,1))))=2,TEXT(INDEX(ERP資料!$G:$G, (MATCH(867, 輔助計算!$G$2:$G$801, 0)+1)),"0.##")&amp;"+"&amp;TEXT(INDEX(ERP資料!$G:$G, (MATCH(867, 輔助計算!$G$2:$G$801, 0)+1)),"0.##"),TEXT(INDEX(ERP資料!$G:$G, (MATCH(867, 輔助計算!$G$2:$G$801, 0)+1)),"0.##")&amp;"+"&amp;TEXT(INDEX(ERP資料!$G:$G, (MATCH(867, 輔助計算!$G$2:$G$801, 0)+1)),"0.##")&amp;"+"&amp;TEXT(INDEX(ERP資料!$G:$G, (MATCH(867, 輔助計算!$G$2:$G$801, 0)+1)),"0.##"))))&amp;"-1")&lt;&gt;""),"  ","")&amp;IF(MOD(INDEX(輔助計算!$D:$D, (MATCH(867, 輔助計算!$G$2:$G$801, 0)+1)),IF(INDEX(ERP資料!$G:$G, (MATCH(867, 輔助計算!$G$2:$G$801, 0)+1))&lt;100, IF(INDEX(ERP資料!$G:$G, (MATCH(867, 輔助計算!$G$2:$G$801, 0)+1))&lt;=31,3,IF(INDEX(ERP資料!$G:$G, (MATCH(867, 輔助計算!$G$2:$G$801, 0)+1))&lt;=46.5,2,1)), IF(INDEX(ERP資料!$G:$G, (MATCH(867, 輔助計算!$G$2:$G$801, 0)+1))&lt;=790,3,IF(INDEX(ERP資料!$G:$G, (MATCH(867, 輔助計算!$G$2:$G$801, 0)+1))&lt;=1181,2,1))))=0,"",IF(MOD(INDEX(輔助計算!$D:$D, (MATCH(867, 輔助計算!$G$2:$G$801, 0)+1)),IF(INDEX(ERP資料!$G:$G, (MATCH(867, 輔助計算!$G$2:$G$801, 0)+1))&lt;100, IF(INDEX(ERP資料!$G:$G, (MATCH(867, 輔助計算!$G$2:$G$801, 0)+1))&lt;=31,3,IF(INDEX(ERP資料!$G:$G, (MATCH(867, 輔助計算!$G$2:$G$801, 0)+1))&lt;=46.5,2,1)), IF(INDEX(ERP資料!$G:$G, (MATCH(867, 輔助計算!$G$2:$G$801, 0)+1))&lt;=790,3,IF(INDEX(ERP資料!$G:$G, (MATCH(867, 輔助計算!$G$2:$G$801, 0)+1))&lt;=1181,2,1))))=0,"",IF(MOD(INDEX(輔助計算!$D:$D, (MATCH(867, 輔助計算!$G$2:$G$801, 0)+1)),IF(INDEX(ERP資料!$G:$G, (MATCH(867, 輔助計算!$G$2:$G$801, 0)+1))&lt;100, IF(INDEX(ERP資料!$G:$G, (MATCH(867, 輔助計算!$G$2:$G$801, 0)+1))&lt;=31,3,IF(INDEX(ERP資料!$G:$G, (MATCH(867, 輔助計算!$G$2:$G$801, 0)+1))&lt;=46.5,2,1)), IF(INDEX(ERP資料!$G:$G, (MATCH(867, 輔助計算!$G$2:$G$801, 0)+1))&lt;=790,3,IF(INDEX(ERP資料!$G:$G, (MATCH(867, 輔助計算!$G$2:$G$801, 0)+1))&lt;=1181,2,1))))=1,TEXT(INDEX(ERP資料!$G:$G, (MATCH(867, 輔助計算!$G$2:$G$801, 0)+1)),"0.##"),IF(MOD(INDEX(輔助計算!$D:$D, (MATCH(867, 輔助計算!$G$2:$G$801, 0)+1)),IF(INDEX(ERP資料!$G:$G, (MATCH(867, 輔助計算!$G$2:$G$801, 0)+1))&lt;100, IF(INDEX(ERP資料!$G:$G, (MATCH(867, 輔助計算!$G$2:$G$801, 0)+1))&lt;=31,3,IF(INDEX(ERP資料!$G:$G, (MATCH(867, 輔助計算!$G$2:$G$801, 0)+1))&lt;=46.5,2,1)), IF(INDEX(ERP資料!$G:$G, (MATCH(867, 輔助計算!$G$2:$G$801, 0)+1))&lt;=790,3,IF(INDEX(ERP資料!$G:$G, (MATCH(867, 輔助計算!$G$2:$G$801, 0)+1))&lt;=1181,2,1))))=2,TEXT(INDEX(ERP資料!$G:$G, (MATCH(867, 輔助計算!$G$2:$G$801, 0)+1)),"0.##")&amp;"+"&amp;TEXT(INDEX(ERP資料!$G:$G, (MATCH(867, 輔助計算!$G$2:$G$801, 0)+1)),"0.##"),TEXT(INDEX(ERP資料!$G:$G, (MATCH(867, 輔助計算!$G$2:$G$801, 0)+1)),"0.##")&amp;"+"&amp;TEXT(INDEX(ERP資料!$G:$G, (MATCH(867, 輔助計算!$G$2:$G$801, 0)+1)),"0.##")&amp;"+"&amp;TEXT(INDEX(ERP資料!$G:$G, (MATCH(867, 輔助計算!$G$2:$G$801, 0)+1)),"0.##"))))&amp;"-1")), ""), "")</f>
        <v/>
      </c>
      <c r="K868" s="16" t="n"/>
      <c r="L868" s="14">
        <f>IFERROR(IF(AND(IFERROR(INDEX(ERP資料!$A:$A, (MATCH(867, 輔助計算!$G$2:$G$801, 0)+1)), "")&lt;&gt;"", IFERROR(INDEX(ERP資料!$A:$A, (MATCH(867, 輔助計算!$G$2:$G$801, 0)+1)), "")&lt;&gt;IFERROR(INDEX(ERP資料!$A:$A, MATCH(866, 輔助計算!$G$2:$G$801, 0)+1), "")), INDEX(ERP資料!$B:$B, (MATCH(867, 輔助計算!$G$2:$G$801, 0)+1)), ""), "")</f>
        <v/>
      </c>
      <c r="M868" s="17" t="n"/>
    </row>
    <row r="869">
      <c r="A869" s="10">
        <f>IFERROR(IF(AND(IFERROR(INDEX(ERP資料!$A:$A, (MATCH(868, 輔助計算!$G$2:$G$801, 0)+1)), "")&lt;&gt;"", IFERROR(INDEX(ERP資料!$A:$A, (MATCH(868, 輔助計算!$G$2:$G$801, 0)+1)), "")&lt;&gt;IFERROR(INDEX(ERP資料!$A:$A, MATCH(867, 輔助計算!$G$2:$G$801, 0)+1), "")), IFERROR(INDEX(ERP資料!$A:$A, (MATCH(868, 輔助計算!$G$2:$G$801, 0)+1)), ""), ""), "")</f>
        <v/>
      </c>
      <c r="B869" s="10">
        <f>IFERROR(IF(AND(IFERROR(INDEX(ERP資料!$A:$A, (MATCH(868, 輔助計算!$G$2:$G$801, 0)+1)), "")&lt;&gt;"", IFERROR(INDEX(ERP資料!$A:$A, (MATCH(868, 輔助計算!$G$2:$G$801, 0)+1)), "")&lt;&gt;IFERROR(INDEX(ERP資料!$A:$A, MATCH(867, 輔助計算!$G$2:$G$801, 0)+1), "")), INDEX(ERP資料!$S:$S, (MATCH(868, 輔助計算!$G$2:$G$801, 0)+1)), ""), "")</f>
        <v/>
      </c>
      <c r="C869" s="19">
        <f>IFERROR(IF(AND(IFERROR(INDEX(ERP資料!$A:$A, (MATCH(868, 輔助計算!$G$2:$G$801, 0)+1)), "")&lt;&gt;"", IFERROR(INDEX(ERP資料!$A:$A, (MATCH(868, 輔助計算!$G$2:$G$801, 0)+1)), "")&lt;&gt;IFERROR(INDEX(ERP資料!$A:$A, MATCH(867, 輔助計算!$G$2:$G$801, 0)+1), "")), IFERROR(VLOOKUP(LEFT(INDEX(ERP資料!$S:$S, (MATCH(868, 輔助計算!$G$2:$G$801, 0)+1)), 4), 紙管對照表!$A:$C, 3, FALSE), ""), ""), "")</f>
        <v/>
      </c>
      <c r="D869" s="16" t="n"/>
      <c r="E869" s="10">
        <f>IFERROR(IF(INDEX(ERP資料!$H:$H, (MATCH(868, 輔助計算!$G$2:$G$801, 0)+1))="","",INDEX(ERP資料!$H:$H, (MATCH(868, 輔助計算!$G$2:$G$801, 0)+1))), "")</f>
        <v/>
      </c>
      <c r="F869" s="10">
        <f>IFERROR(IF(INDEX(ERP資料!$E:$E, (MATCH(868, 輔助計算!$G$2:$G$801, 0)+1))="","",TRIM(INDEX(ERP資料!$E:$E, (MATCH(868, 輔助計算!$G$2:$G$801, 0)+1)))), "")</f>
        <v/>
      </c>
      <c r="G869" s="10">
        <f>IFERROR(IF(INDEX(ERP資料!$F:$F, (MATCH(868, 輔助計算!$G$2:$G$801, 0)+1))="","",INDEX(ERP資料!$F:$F, (MATCH(868, 輔助計算!$G$2:$G$801, 0)+1))), "")</f>
        <v/>
      </c>
      <c r="H869" s="10">
        <f>IFERROR(IF(INDEX(ERP資料!$G:$G, (MATCH(868, 輔助計算!$G$2:$G$801, 0)+1))="","",INDEX(ERP資料!$G:$G, (MATCH(868, 輔助計算!$G$2:$G$801, 0)+1))), "")</f>
        <v/>
      </c>
      <c r="I869" s="15">
        <f>IFERROR(INDEX(輔助計算!$D:$D, (MATCH(868, 輔助計算!$G$2:$G$801, 0)+1)), "")</f>
        <v/>
      </c>
      <c r="J869" s="15">
        <f>IFERROR(IF(AND(INDEX(輔助計算!$D:$D, (MATCH(868, 輔助計算!$G$2:$G$801, 0)+1))&lt;&gt;"", INDEX(ERP資料!$G:$G, (MATCH(868, 輔助計算!$G$2:$G$801, 0)+1))&lt;&gt;""), TRIM(IF(INT(INDEX(輔助計算!$D:$D, (MATCH(868, 輔助計算!$G$2:$G$801, 0)+1))/IF(INDEX(ERP資料!$G:$G, (MATCH(868, 輔助計算!$G$2:$G$801, 0)+1))&lt;100, IF(INDEX(ERP資料!$G:$G, (MATCH(868, 輔助計算!$G$2:$G$801, 0)+1))&lt;=31,3,IF(INDEX(ERP資料!$G:$G, (MATCH(868, 輔助計算!$G$2:$G$801, 0)+1))&lt;=46.5,2,1)), IF(INDEX(ERP資料!$G:$G, (MATCH(868, 輔助計算!$G$2:$G$801, 0)+1))&lt;=790,3,IF(INDEX(ERP資料!$G:$G, (MATCH(868, 輔助計算!$G$2:$G$801, 0)+1))&lt;=1181,2,1))))&gt;0, IF(IF(INDEX(ERP資料!$G:$G, (MATCH(868, 輔助計算!$G$2:$G$801, 0)+1))&lt;100, IF(INDEX(ERP資料!$G:$G, (MATCH(868, 輔助計算!$G$2:$G$801, 0)+1))&lt;=31,3,IF(INDEX(ERP資料!$G:$G, (MATCH(868, 輔助計算!$G$2:$G$801, 0)+1))&lt;=46.5,2,1)), IF(INDEX(ERP資料!$G:$G, (MATCH(868, 輔助計算!$G$2:$G$801, 0)+1))&lt;=790,3,IF(INDEX(ERP資料!$G:$G, (MATCH(868, 輔助計算!$G$2:$G$801, 0)+1))&lt;=1181,2,1)))=1,TEXT(INDEX(ERP資料!$G:$G, (MATCH(868, 輔助計算!$G$2:$G$801, 0)+1)),"0.##"),IF(IF(INDEX(ERP資料!$G:$G, (MATCH(868, 輔助計算!$G$2:$G$801, 0)+1))&lt;100, IF(INDEX(ERP資料!$G:$G, (MATCH(868, 輔助計算!$G$2:$G$801, 0)+1))&lt;=31,3,IF(INDEX(ERP資料!$G:$G, (MATCH(868, 輔助計算!$G$2:$G$801, 0)+1))&lt;=46.5,2,1)), IF(INDEX(ERP資料!$G:$G, (MATCH(868, 輔助計算!$G$2:$G$801, 0)+1))&lt;=790,3,IF(INDEX(ERP資料!$G:$G, (MATCH(868, 輔助計算!$G$2:$G$801, 0)+1))&lt;=1181,2,1)))=2,TEXT(INDEX(ERP資料!$G:$G, (MATCH(868, 輔助計算!$G$2:$G$801, 0)+1)),"0.##")&amp;"+"&amp;TEXT(INDEX(ERP資料!$G:$G, (MATCH(868, 輔助計算!$G$2:$G$801, 0)+1)),"0.##"),TEXT(INDEX(ERP資料!$G:$G, (MATCH(868, 輔助計算!$G$2:$G$801, 0)+1)),"0.##")&amp;"+"&amp;TEXT(INDEX(ERP資料!$G:$G, (MATCH(868, 輔助計算!$G$2:$G$801, 0)+1)),"0.##")&amp;"+"&amp;TEXT(INDEX(ERP資料!$G:$G, (MATCH(868, 輔助計算!$G$2:$G$801, 0)+1)),"0.##")))&amp;"-"&amp;INT(INDEX(輔助計算!$D:$D, (MATCH(868, 輔助計算!$G$2:$G$801, 0)+1))/IF(INDEX(ERP資料!$G:$G, (MATCH(868, 輔助計算!$G$2:$G$801, 0)+1))&lt;100, IF(INDEX(ERP資料!$G:$G, (MATCH(868, 輔助計算!$G$2:$G$801, 0)+1))&lt;=31,3,IF(INDEX(ERP資料!$G:$G, (MATCH(868, 輔助計算!$G$2:$G$801, 0)+1))&lt;=46.5,2,1)), IF(INDEX(ERP資料!$G:$G, (MATCH(868, 輔助計算!$G$2:$G$801, 0)+1))&lt;=790,3,IF(INDEX(ERP資料!$G:$G, (MATCH(868, 輔助計算!$G$2:$G$801, 0)+1))&lt;=1181,2,1)))), "")&amp;IF(AND(IF(INT(INDEX(輔助計算!$D:$D, (MATCH(868, 輔助計算!$G$2:$G$801, 0)+1))/IF(INDEX(ERP資料!$G:$G, (MATCH(868, 輔助計算!$G$2:$G$801, 0)+1))&lt;100, IF(INDEX(ERP資料!$G:$G, (MATCH(868, 輔助計算!$G$2:$G$801, 0)+1))&lt;=31,3,IF(INDEX(ERP資料!$G:$G, (MATCH(868, 輔助計算!$G$2:$G$801, 0)+1))&lt;=46.5,2,1)), IF(INDEX(ERP資料!$G:$G, (MATCH(868, 輔助計算!$G$2:$G$801, 0)+1))&lt;=790,3,IF(INDEX(ERP資料!$G:$G, (MATCH(868, 輔助計算!$G$2:$G$801, 0)+1))&lt;=1181,2,1))))&gt;0, IF(IF(INDEX(ERP資料!$G:$G, (MATCH(868, 輔助計算!$G$2:$G$801, 0)+1))&lt;100, IF(INDEX(ERP資料!$G:$G, (MATCH(868, 輔助計算!$G$2:$G$801, 0)+1))&lt;=31,3,IF(INDEX(ERP資料!$G:$G, (MATCH(868, 輔助計算!$G$2:$G$801, 0)+1))&lt;=46.5,2,1)), IF(INDEX(ERP資料!$G:$G, (MATCH(868, 輔助計算!$G$2:$G$801, 0)+1))&lt;=790,3,IF(INDEX(ERP資料!$G:$G, (MATCH(868, 輔助計算!$G$2:$G$801, 0)+1))&lt;=1181,2,1)))=1,TEXT(INDEX(ERP資料!$G:$G, (MATCH(868, 輔助計算!$G$2:$G$801, 0)+1)),"0.##"),IF(IF(INDEX(ERP資料!$G:$G, (MATCH(868, 輔助計算!$G$2:$G$801, 0)+1))&lt;100, IF(INDEX(ERP資料!$G:$G, (MATCH(868, 輔助計算!$G$2:$G$801, 0)+1))&lt;=31,3,IF(INDEX(ERP資料!$G:$G, (MATCH(868, 輔助計算!$G$2:$G$801, 0)+1))&lt;=46.5,2,1)), IF(INDEX(ERP資料!$G:$G, (MATCH(868, 輔助計算!$G$2:$G$801, 0)+1))&lt;=790,3,IF(INDEX(ERP資料!$G:$G, (MATCH(868, 輔助計算!$G$2:$G$801, 0)+1))&lt;=1181,2,1)))=2,TEXT(INDEX(ERP資料!$G:$G, (MATCH(868, 輔助計算!$G$2:$G$801, 0)+1)),"0.##")&amp;"+"&amp;TEXT(INDEX(ERP資料!$G:$G, (MATCH(868, 輔助計算!$G$2:$G$801, 0)+1)),"0.##"),TEXT(INDEX(ERP資料!$G:$G, (MATCH(868, 輔助計算!$G$2:$G$801, 0)+1)),"0.##")&amp;"+"&amp;TEXT(INDEX(ERP資料!$G:$G, (MATCH(868, 輔助計算!$G$2:$G$801, 0)+1)),"0.##")&amp;"+"&amp;TEXT(INDEX(ERP資料!$G:$G, (MATCH(868, 輔助計算!$G$2:$G$801, 0)+1)),"0.##")))&amp;"-"&amp;INT(INDEX(輔助計算!$D:$D, (MATCH(868, 輔助計算!$G$2:$G$801, 0)+1))/IF(INDEX(ERP資料!$G:$G, (MATCH(868, 輔助計算!$G$2:$G$801, 0)+1))&lt;100, IF(INDEX(ERP資料!$G:$G, (MATCH(868, 輔助計算!$G$2:$G$801, 0)+1))&lt;=31,3,IF(INDEX(ERP資料!$G:$G, (MATCH(868, 輔助計算!$G$2:$G$801, 0)+1))&lt;=46.5,2,1)), IF(INDEX(ERP資料!$G:$G, (MATCH(868, 輔助計算!$G$2:$G$801, 0)+1))&lt;=790,3,IF(INDEX(ERP資料!$G:$G, (MATCH(868, 輔助計算!$G$2:$G$801, 0)+1))&lt;=1181,2,1)))), "")&lt;&gt;"",IF(MOD(INDEX(輔助計算!$D:$D, (MATCH(868, 輔助計算!$G$2:$G$801, 0)+1)),IF(INDEX(ERP資料!$G:$G, (MATCH(868, 輔助計算!$G$2:$G$801, 0)+1))&lt;100, IF(INDEX(ERP資料!$G:$G, (MATCH(868, 輔助計算!$G$2:$G$801, 0)+1))&lt;=31,3,IF(INDEX(ERP資料!$G:$G, (MATCH(868, 輔助計算!$G$2:$G$801, 0)+1))&lt;=46.5,2,1)), IF(INDEX(ERP資料!$G:$G, (MATCH(868, 輔助計算!$G$2:$G$801, 0)+1))&lt;=790,3,IF(INDEX(ERP資料!$G:$G, (MATCH(868, 輔助計算!$G$2:$G$801, 0)+1))&lt;=1181,2,1))))=0,"",IF(MOD(INDEX(輔助計算!$D:$D, (MATCH(868, 輔助計算!$G$2:$G$801, 0)+1)),IF(INDEX(ERP資料!$G:$G, (MATCH(868, 輔助計算!$G$2:$G$801, 0)+1))&lt;100, IF(INDEX(ERP資料!$G:$G, (MATCH(868, 輔助計算!$G$2:$G$801, 0)+1))&lt;=31,3,IF(INDEX(ERP資料!$G:$G, (MATCH(868, 輔助計算!$G$2:$G$801, 0)+1))&lt;=46.5,2,1)), IF(INDEX(ERP資料!$G:$G, (MATCH(868, 輔助計算!$G$2:$G$801, 0)+1))&lt;=790,3,IF(INDEX(ERP資料!$G:$G, (MATCH(868, 輔助計算!$G$2:$G$801, 0)+1))&lt;=1181,2,1))))=0,"",IF(MOD(INDEX(輔助計算!$D:$D, (MATCH(868, 輔助計算!$G$2:$G$801, 0)+1)),IF(INDEX(ERP資料!$G:$G, (MATCH(868, 輔助計算!$G$2:$G$801, 0)+1))&lt;100, IF(INDEX(ERP資料!$G:$G, (MATCH(868, 輔助計算!$G$2:$G$801, 0)+1))&lt;=31,3,IF(INDEX(ERP資料!$G:$G, (MATCH(868, 輔助計算!$G$2:$G$801, 0)+1))&lt;=46.5,2,1)), IF(INDEX(ERP資料!$G:$G, (MATCH(868, 輔助計算!$G$2:$G$801, 0)+1))&lt;=790,3,IF(INDEX(ERP資料!$G:$G, (MATCH(868, 輔助計算!$G$2:$G$801, 0)+1))&lt;=1181,2,1))))=1,TEXT(INDEX(ERP資料!$G:$G, (MATCH(868, 輔助計算!$G$2:$G$801, 0)+1)),"0.##"),IF(MOD(INDEX(輔助計算!$D:$D, (MATCH(868, 輔助計算!$G$2:$G$801, 0)+1)),IF(INDEX(ERP資料!$G:$G, (MATCH(868, 輔助計算!$G$2:$G$801, 0)+1))&lt;100, IF(INDEX(ERP資料!$G:$G, (MATCH(868, 輔助計算!$G$2:$G$801, 0)+1))&lt;=31,3,IF(INDEX(ERP資料!$G:$G, (MATCH(868, 輔助計算!$G$2:$G$801, 0)+1))&lt;=46.5,2,1)), IF(INDEX(ERP資料!$G:$G, (MATCH(868, 輔助計算!$G$2:$G$801, 0)+1))&lt;=790,3,IF(INDEX(ERP資料!$G:$G, (MATCH(868, 輔助計算!$G$2:$G$801, 0)+1))&lt;=1181,2,1))))=2,TEXT(INDEX(ERP資料!$G:$G, (MATCH(868, 輔助計算!$G$2:$G$801, 0)+1)),"0.##")&amp;"+"&amp;TEXT(INDEX(ERP資料!$G:$G, (MATCH(868, 輔助計算!$G$2:$G$801, 0)+1)),"0.##"),TEXT(INDEX(ERP資料!$G:$G, (MATCH(868, 輔助計算!$G$2:$G$801, 0)+1)),"0.##")&amp;"+"&amp;TEXT(INDEX(ERP資料!$G:$G, (MATCH(868, 輔助計算!$G$2:$G$801, 0)+1)),"0.##")&amp;"+"&amp;TEXT(INDEX(ERP資料!$G:$G, (MATCH(868, 輔助計算!$G$2:$G$801, 0)+1)),"0.##"))))&amp;"-1")&lt;&gt;""),"  ","")&amp;IF(MOD(INDEX(輔助計算!$D:$D, (MATCH(868, 輔助計算!$G$2:$G$801, 0)+1)),IF(INDEX(ERP資料!$G:$G, (MATCH(868, 輔助計算!$G$2:$G$801, 0)+1))&lt;100, IF(INDEX(ERP資料!$G:$G, (MATCH(868, 輔助計算!$G$2:$G$801, 0)+1))&lt;=31,3,IF(INDEX(ERP資料!$G:$G, (MATCH(868, 輔助計算!$G$2:$G$801, 0)+1))&lt;=46.5,2,1)), IF(INDEX(ERP資料!$G:$G, (MATCH(868, 輔助計算!$G$2:$G$801, 0)+1))&lt;=790,3,IF(INDEX(ERP資料!$G:$G, (MATCH(868, 輔助計算!$G$2:$G$801, 0)+1))&lt;=1181,2,1))))=0,"",IF(MOD(INDEX(輔助計算!$D:$D, (MATCH(868, 輔助計算!$G$2:$G$801, 0)+1)),IF(INDEX(ERP資料!$G:$G, (MATCH(868, 輔助計算!$G$2:$G$801, 0)+1))&lt;100, IF(INDEX(ERP資料!$G:$G, (MATCH(868, 輔助計算!$G$2:$G$801, 0)+1))&lt;=31,3,IF(INDEX(ERP資料!$G:$G, (MATCH(868, 輔助計算!$G$2:$G$801, 0)+1))&lt;=46.5,2,1)), IF(INDEX(ERP資料!$G:$G, (MATCH(868, 輔助計算!$G$2:$G$801, 0)+1))&lt;=790,3,IF(INDEX(ERP資料!$G:$G, (MATCH(868, 輔助計算!$G$2:$G$801, 0)+1))&lt;=1181,2,1))))=0,"",IF(MOD(INDEX(輔助計算!$D:$D, (MATCH(868, 輔助計算!$G$2:$G$801, 0)+1)),IF(INDEX(ERP資料!$G:$G, (MATCH(868, 輔助計算!$G$2:$G$801, 0)+1))&lt;100, IF(INDEX(ERP資料!$G:$G, (MATCH(868, 輔助計算!$G$2:$G$801, 0)+1))&lt;=31,3,IF(INDEX(ERP資料!$G:$G, (MATCH(868, 輔助計算!$G$2:$G$801, 0)+1))&lt;=46.5,2,1)), IF(INDEX(ERP資料!$G:$G, (MATCH(868, 輔助計算!$G$2:$G$801, 0)+1))&lt;=790,3,IF(INDEX(ERP資料!$G:$G, (MATCH(868, 輔助計算!$G$2:$G$801, 0)+1))&lt;=1181,2,1))))=1,TEXT(INDEX(ERP資料!$G:$G, (MATCH(868, 輔助計算!$G$2:$G$801, 0)+1)),"0.##"),IF(MOD(INDEX(輔助計算!$D:$D, (MATCH(868, 輔助計算!$G$2:$G$801, 0)+1)),IF(INDEX(ERP資料!$G:$G, (MATCH(868, 輔助計算!$G$2:$G$801, 0)+1))&lt;100, IF(INDEX(ERP資料!$G:$G, (MATCH(868, 輔助計算!$G$2:$G$801, 0)+1))&lt;=31,3,IF(INDEX(ERP資料!$G:$G, (MATCH(868, 輔助計算!$G$2:$G$801, 0)+1))&lt;=46.5,2,1)), IF(INDEX(ERP資料!$G:$G, (MATCH(868, 輔助計算!$G$2:$G$801, 0)+1))&lt;=790,3,IF(INDEX(ERP資料!$G:$G, (MATCH(868, 輔助計算!$G$2:$G$801, 0)+1))&lt;=1181,2,1))))=2,TEXT(INDEX(ERP資料!$G:$G, (MATCH(868, 輔助計算!$G$2:$G$801, 0)+1)),"0.##")&amp;"+"&amp;TEXT(INDEX(ERP資料!$G:$G, (MATCH(868, 輔助計算!$G$2:$G$801, 0)+1)),"0.##"),TEXT(INDEX(ERP資料!$G:$G, (MATCH(868, 輔助計算!$G$2:$G$801, 0)+1)),"0.##")&amp;"+"&amp;TEXT(INDEX(ERP資料!$G:$G, (MATCH(868, 輔助計算!$G$2:$G$801, 0)+1)),"0.##")&amp;"+"&amp;TEXT(INDEX(ERP資料!$G:$G, (MATCH(868, 輔助計算!$G$2:$G$801, 0)+1)),"0.##"))))&amp;"-1")), ""), "")</f>
        <v/>
      </c>
      <c r="K869" s="16" t="n"/>
      <c r="L869" s="14">
        <f>IFERROR(IF(AND(IFERROR(INDEX(ERP資料!$A:$A, (MATCH(868, 輔助計算!$G$2:$G$801, 0)+1)), "")&lt;&gt;"", IFERROR(INDEX(ERP資料!$A:$A, (MATCH(868, 輔助計算!$G$2:$G$801, 0)+1)), "")&lt;&gt;IFERROR(INDEX(ERP資料!$A:$A, MATCH(867, 輔助計算!$G$2:$G$801, 0)+1), "")), INDEX(ERP資料!$B:$B, (MATCH(868, 輔助計算!$G$2:$G$801, 0)+1)), ""), "")</f>
        <v/>
      </c>
      <c r="M869" s="17" t="n"/>
    </row>
    <row r="870">
      <c r="A870" s="10">
        <f>IFERROR(IF(AND(IFERROR(INDEX(ERP資料!$A:$A, (MATCH(869, 輔助計算!$G$2:$G$801, 0)+1)), "")&lt;&gt;"", IFERROR(INDEX(ERP資料!$A:$A, (MATCH(869, 輔助計算!$G$2:$G$801, 0)+1)), "")&lt;&gt;IFERROR(INDEX(ERP資料!$A:$A, MATCH(868, 輔助計算!$G$2:$G$801, 0)+1), "")), IFERROR(INDEX(ERP資料!$A:$A, (MATCH(869, 輔助計算!$G$2:$G$801, 0)+1)), ""), ""), "")</f>
        <v/>
      </c>
      <c r="B870" s="10">
        <f>IFERROR(IF(AND(IFERROR(INDEX(ERP資料!$A:$A, (MATCH(869, 輔助計算!$G$2:$G$801, 0)+1)), "")&lt;&gt;"", IFERROR(INDEX(ERP資料!$A:$A, (MATCH(869, 輔助計算!$G$2:$G$801, 0)+1)), "")&lt;&gt;IFERROR(INDEX(ERP資料!$A:$A, MATCH(868, 輔助計算!$G$2:$G$801, 0)+1), "")), INDEX(ERP資料!$S:$S, (MATCH(869, 輔助計算!$G$2:$G$801, 0)+1)), ""), "")</f>
        <v/>
      </c>
      <c r="C870" s="19">
        <f>IFERROR(IF(AND(IFERROR(INDEX(ERP資料!$A:$A, (MATCH(869, 輔助計算!$G$2:$G$801, 0)+1)), "")&lt;&gt;"", IFERROR(INDEX(ERP資料!$A:$A, (MATCH(869, 輔助計算!$G$2:$G$801, 0)+1)), "")&lt;&gt;IFERROR(INDEX(ERP資料!$A:$A, MATCH(868, 輔助計算!$G$2:$G$801, 0)+1), "")), IFERROR(VLOOKUP(LEFT(INDEX(ERP資料!$S:$S, (MATCH(869, 輔助計算!$G$2:$G$801, 0)+1)), 4), 紙管對照表!$A:$C, 3, FALSE), ""), ""), "")</f>
        <v/>
      </c>
      <c r="D870" s="16" t="n"/>
      <c r="E870" s="10">
        <f>IFERROR(IF(INDEX(ERP資料!$H:$H, (MATCH(869, 輔助計算!$G$2:$G$801, 0)+1))="","",INDEX(ERP資料!$H:$H, (MATCH(869, 輔助計算!$G$2:$G$801, 0)+1))), "")</f>
        <v/>
      </c>
      <c r="F870" s="10">
        <f>IFERROR(IF(INDEX(ERP資料!$E:$E, (MATCH(869, 輔助計算!$G$2:$G$801, 0)+1))="","",TRIM(INDEX(ERP資料!$E:$E, (MATCH(869, 輔助計算!$G$2:$G$801, 0)+1)))), "")</f>
        <v/>
      </c>
      <c r="G870" s="10">
        <f>IFERROR(IF(INDEX(ERP資料!$F:$F, (MATCH(869, 輔助計算!$G$2:$G$801, 0)+1))="","",INDEX(ERP資料!$F:$F, (MATCH(869, 輔助計算!$G$2:$G$801, 0)+1))), "")</f>
        <v/>
      </c>
      <c r="H870" s="10">
        <f>IFERROR(IF(INDEX(ERP資料!$G:$G, (MATCH(869, 輔助計算!$G$2:$G$801, 0)+1))="","",INDEX(ERP資料!$G:$G, (MATCH(869, 輔助計算!$G$2:$G$801, 0)+1))), "")</f>
        <v/>
      </c>
      <c r="I870" s="15">
        <f>IFERROR(INDEX(輔助計算!$D:$D, (MATCH(869, 輔助計算!$G$2:$G$801, 0)+1)), "")</f>
        <v/>
      </c>
      <c r="J870" s="15">
        <f>IFERROR(IF(AND(INDEX(輔助計算!$D:$D, (MATCH(869, 輔助計算!$G$2:$G$801, 0)+1))&lt;&gt;"", INDEX(ERP資料!$G:$G, (MATCH(869, 輔助計算!$G$2:$G$801, 0)+1))&lt;&gt;""), TRIM(IF(INT(INDEX(輔助計算!$D:$D, (MATCH(869, 輔助計算!$G$2:$G$801, 0)+1))/IF(INDEX(ERP資料!$G:$G, (MATCH(869, 輔助計算!$G$2:$G$801, 0)+1))&lt;100, IF(INDEX(ERP資料!$G:$G, (MATCH(869, 輔助計算!$G$2:$G$801, 0)+1))&lt;=31,3,IF(INDEX(ERP資料!$G:$G, (MATCH(869, 輔助計算!$G$2:$G$801, 0)+1))&lt;=46.5,2,1)), IF(INDEX(ERP資料!$G:$G, (MATCH(869, 輔助計算!$G$2:$G$801, 0)+1))&lt;=790,3,IF(INDEX(ERP資料!$G:$G, (MATCH(869, 輔助計算!$G$2:$G$801, 0)+1))&lt;=1181,2,1))))&gt;0, IF(IF(INDEX(ERP資料!$G:$G, (MATCH(869, 輔助計算!$G$2:$G$801, 0)+1))&lt;100, IF(INDEX(ERP資料!$G:$G, (MATCH(869, 輔助計算!$G$2:$G$801, 0)+1))&lt;=31,3,IF(INDEX(ERP資料!$G:$G, (MATCH(869, 輔助計算!$G$2:$G$801, 0)+1))&lt;=46.5,2,1)), IF(INDEX(ERP資料!$G:$G, (MATCH(869, 輔助計算!$G$2:$G$801, 0)+1))&lt;=790,3,IF(INDEX(ERP資料!$G:$G, (MATCH(869, 輔助計算!$G$2:$G$801, 0)+1))&lt;=1181,2,1)))=1,TEXT(INDEX(ERP資料!$G:$G, (MATCH(869, 輔助計算!$G$2:$G$801, 0)+1)),"0.##"),IF(IF(INDEX(ERP資料!$G:$G, (MATCH(869, 輔助計算!$G$2:$G$801, 0)+1))&lt;100, IF(INDEX(ERP資料!$G:$G, (MATCH(869, 輔助計算!$G$2:$G$801, 0)+1))&lt;=31,3,IF(INDEX(ERP資料!$G:$G, (MATCH(869, 輔助計算!$G$2:$G$801, 0)+1))&lt;=46.5,2,1)), IF(INDEX(ERP資料!$G:$G, (MATCH(869, 輔助計算!$G$2:$G$801, 0)+1))&lt;=790,3,IF(INDEX(ERP資料!$G:$G, (MATCH(869, 輔助計算!$G$2:$G$801, 0)+1))&lt;=1181,2,1)))=2,TEXT(INDEX(ERP資料!$G:$G, (MATCH(869, 輔助計算!$G$2:$G$801, 0)+1)),"0.##")&amp;"+"&amp;TEXT(INDEX(ERP資料!$G:$G, (MATCH(869, 輔助計算!$G$2:$G$801, 0)+1)),"0.##"),TEXT(INDEX(ERP資料!$G:$G, (MATCH(869, 輔助計算!$G$2:$G$801, 0)+1)),"0.##")&amp;"+"&amp;TEXT(INDEX(ERP資料!$G:$G, (MATCH(869, 輔助計算!$G$2:$G$801, 0)+1)),"0.##")&amp;"+"&amp;TEXT(INDEX(ERP資料!$G:$G, (MATCH(869, 輔助計算!$G$2:$G$801, 0)+1)),"0.##")))&amp;"-"&amp;INT(INDEX(輔助計算!$D:$D, (MATCH(869, 輔助計算!$G$2:$G$801, 0)+1))/IF(INDEX(ERP資料!$G:$G, (MATCH(869, 輔助計算!$G$2:$G$801, 0)+1))&lt;100, IF(INDEX(ERP資料!$G:$G, (MATCH(869, 輔助計算!$G$2:$G$801, 0)+1))&lt;=31,3,IF(INDEX(ERP資料!$G:$G, (MATCH(869, 輔助計算!$G$2:$G$801, 0)+1))&lt;=46.5,2,1)), IF(INDEX(ERP資料!$G:$G, (MATCH(869, 輔助計算!$G$2:$G$801, 0)+1))&lt;=790,3,IF(INDEX(ERP資料!$G:$G, (MATCH(869, 輔助計算!$G$2:$G$801, 0)+1))&lt;=1181,2,1)))), "")&amp;IF(AND(IF(INT(INDEX(輔助計算!$D:$D, (MATCH(869, 輔助計算!$G$2:$G$801, 0)+1))/IF(INDEX(ERP資料!$G:$G, (MATCH(869, 輔助計算!$G$2:$G$801, 0)+1))&lt;100, IF(INDEX(ERP資料!$G:$G, (MATCH(869, 輔助計算!$G$2:$G$801, 0)+1))&lt;=31,3,IF(INDEX(ERP資料!$G:$G, (MATCH(869, 輔助計算!$G$2:$G$801, 0)+1))&lt;=46.5,2,1)), IF(INDEX(ERP資料!$G:$G, (MATCH(869, 輔助計算!$G$2:$G$801, 0)+1))&lt;=790,3,IF(INDEX(ERP資料!$G:$G, (MATCH(869, 輔助計算!$G$2:$G$801, 0)+1))&lt;=1181,2,1))))&gt;0, IF(IF(INDEX(ERP資料!$G:$G, (MATCH(869, 輔助計算!$G$2:$G$801, 0)+1))&lt;100, IF(INDEX(ERP資料!$G:$G, (MATCH(869, 輔助計算!$G$2:$G$801, 0)+1))&lt;=31,3,IF(INDEX(ERP資料!$G:$G, (MATCH(869, 輔助計算!$G$2:$G$801, 0)+1))&lt;=46.5,2,1)), IF(INDEX(ERP資料!$G:$G, (MATCH(869, 輔助計算!$G$2:$G$801, 0)+1))&lt;=790,3,IF(INDEX(ERP資料!$G:$G, (MATCH(869, 輔助計算!$G$2:$G$801, 0)+1))&lt;=1181,2,1)))=1,TEXT(INDEX(ERP資料!$G:$G, (MATCH(869, 輔助計算!$G$2:$G$801, 0)+1)),"0.##"),IF(IF(INDEX(ERP資料!$G:$G, (MATCH(869, 輔助計算!$G$2:$G$801, 0)+1))&lt;100, IF(INDEX(ERP資料!$G:$G, (MATCH(869, 輔助計算!$G$2:$G$801, 0)+1))&lt;=31,3,IF(INDEX(ERP資料!$G:$G, (MATCH(869, 輔助計算!$G$2:$G$801, 0)+1))&lt;=46.5,2,1)), IF(INDEX(ERP資料!$G:$G, (MATCH(869, 輔助計算!$G$2:$G$801, 0)+1))&lt;=790,3,IF(INDEX(ERP資料!$G:$G, (MATCH(869, 輔助計算!$G$2:$G$801, 0)+1))&lt;=1181,2,1)))=2,TEXT(INDEX(ERP資料!$G:$G, (MATCH(869, 輔助計算!$G$2:$G$801, 0)+1)),"0.##")&amp;"+"&amp;TEXT(INDEX(ERP資料!$G:$G, (MATCH(869, 輔助計算!$G$2:$G$801, 0)+1)),"0.##"),TEXT(INDEX(ERP資料!$G:$G, (MATCH(869, 輔助計算!$G$2:$G$801, 0)+1)),"0.##")&amp;"+"&amp;TEXT(INDEX(ERP資料!$G:$G, (MATCH(869, 輔助計算!$G$2:$G$801, 0)+1)),"0.##")&amp;"+"&amp;TEXT(INDEX(ERP資料!$G:$G, (MATCH(869, 輔助計算!$G$2:$G$801, 0)+1)),"0.##")))&amp;"-"&amp;INT(INDEX(輔助計算!$D:$D, (MATCH(869, 輔助計算!$G$2:$G$801, 0)+1))/IF(INDEX(ERP資料!$G:$G, (MATCH(869, 輔助計算!$G$2:$G$801, 0)+1))&lt;100, IF(INDEX(ERP資料!$G:$G, (MATCH(869, 輔助計算!$G$2:$G$801, 0)+1))&lt;=31,3,IF(INDEX(ERP資料!$G:$G, (MATCH(869, 輔助計算!$G$2:$G$801, 0)+1))&lt;=46.5,2,1)), IF(INDEX(ERP資料!$G:$G, (MATCH(869, 輔助計算!$G$2:$G$801, 0)+1))&lt;=790,3,IF(INDEX(ERP資料!$G:$G, (MATCH(869, 輔助計算!$G$2:$G$801, 0)+1))&lt;=1181,2,1)))), "")&lt;&gt;"",IF(MOD(INDEX(輔助計算!$D:$D, (MATCH(869, 輔助計算!$G$2:$G$801, 0)+1)),IF(INDEX(ERP資料!$G:$G, (MATCH(869, 輔助計算!$G$2:$G$801, 0)+1))&lt;100, IF(INDEX(ERP資料!$G:$G, (MATCH(869, 輔助計算!$G$2:$G$801, 0)+1))&lt;=31,3,IF(INDEX(ERP資料!$G:$G, (MATCH(869, 輔助計算!$G$2:$G$801, 0)+1))&lt;=46.5,2,1)), IF(INDEX(ERP資料!$G:$G, (MATCH(869, 輔助計算!$G$2:$G$801, 0)+1))&lt;=790,3,IF(INDEX(ERP資料!$G:$G, (MATCH(869, 輔助計算!$G$2:$G$801, 0)+1))&lt;=1181,2,1))))=0,"",IF(MOD(INDEX(輔助計算!$D:$D, (MATCH(869, 輔助計算!$G$2:$G$801, 0)+1)),IF(INDEX(ERP資料!$G:$G, (MATCH(869, 輔助計算!$G$2:$G$801, 0)+1))&lt;100, IF(INDEX(ERP資料!$G:$G, (MATCH(869, 輔助計算!$G$2:$G$801, 0)+1))&lt;=31,3,IF(INDEX(ERP資料!$G:$G, (MATCH(869, 輔助計算!$G$2:$G$801, 0)+1))&lt;=46.5,2,1)), IF(INDEX(ERP資料!$G:$G, (MATCH(869, 輔助計算!$G$2:$G$801, 0)+1))&lt;=790,3,IF(INDEX(ERP資料!$G:$G, (MATCH(869, 輔助計算!$G$2:$G$801, 0)+1))&lt;=1181,2,1))))=0,"",IF(MOD(INDEX(輔助計算!$D:$D, (MATCH(869, 輔助計算!$G$2:$G$801, 0)+1)),IF(INDEX(ERP資料!$G:$G, (MATCH(869, 輔助計算!$G$2:$G$801, 0)+1))&lt;100, IF(INDEX(ERP資料!$G:$G, (MATCH(869, 輔助計算!$G$2:$G$801, 0)+1))&lt;=31,3,IF(INDEX(ERP資料!$G:$G, (MATCH(869, 輔助計算!$G$2:$G$801, 0)+1))&lt;=46.5,2,1)), IF(INDEX(ERP資料!$G:$G, (MATCH(869, 輔助計算!$G$2:$G$801, 0)+1))&lt;=790,3,IF(INDEX(ERP資料!$G:$G, (MATCH(869, 輔助計算!$G$2:$G$801, 0)+1))&lt;=1181,2,1))))=1,TEXT(INDEX(ERP資料!$G:$G, (MATCH(869, 輔助計算!$G$2:$G$801, 0)+1)),"0.##"),IF(MOD(INDEX(輔助計算!$D:$D, (MATCH(869, 輔助計算!$G$2:$G$801, 0)+1)),IF(INDEX(ERP資料!$G:$G, (MATCH(869, 輔助計算!$G$2:$G$801, 0)+1))&lt;100, IF(INDEX(ERP資料!$G:$G, (MATCH(869, 輔助計算!$G$2:$G$801, 0)+1))&lt;=31,3,IF(INDEX(ERP資料!$G:$G, (MATCH(869, 輔助計算!$G$2:$G$801, 0)+1))&lt;=46.5,2,1)), IF(INDEX(ERP資料!$G:$G, (MATCH(869, 輔助計算!$G$2:$G$801, 0)+1))&lt;=790,3,IF(INDEX(ERP資料!$G:$G, (MATCH(869, 輔助計算!$G$2:$G$801, 0)+1))&lt;=1181,2,1))))=2,TEXT(INDEX(ERP資料!$G:$G, (MATCH(869, 輔助計算!$G$2:$G$801, 0)+1)),"0.##")&amp;"+"&amp;TEXT(INDEX(ERP資料!$G:$G, (MATCH(869, 輔助計算!$G$2:$G$801, 0)+1)),"0.##"),TEXT(INDEX(ERP資料!$G:$G, (MATCH(869, 輔助計算!$G$2:$G$801, 0)+1)),"0.##")&amp;"+"&amp;TEXT(INDEX(ERP資料!$G:$G, (MATCH(869, 輔助計算!$G$2:$G$801, 0)+1)),"0.##")&amp;"+"&amp;TEXT(INDEX(ERP資料!$G:$G, (MATCH(869, 輔助計算!$G$2:$G$801, 0)+1)),"0.##"))))&amp;"-1")&lt;&gt;""),"  ","")&amp;IF(MOD(INDEX(輔助計算!$D:$D, (MATCH(869, 輔助計算!$G$2:$G$801, 0)+1)),IF(INDEX(ERP資料!$G:$G, (MATCH(869, 輔助計算!$G$2:$G$801, 0)+1))&lt;100, IF(INDEX(ERP資料!$G:$G, (MATCH(869, 輔助計算!$G$2:$G$801, 0)+1))&lt;=31,3,IF(INDEX(ERP資料!$G:$G, (MATCH(869, 輔助計算!$G$2:$G$801, 0)+1))&lt;=46.5,2,1)), IF(INDEX(ERP資料!$G:$G, (MATCH(869, 輔助計算!$G$2:$G$801, 0)+1))&lt;=790,3,IF(INDEX(ERP資料!$G:$G, (MATCH(869, 輔助計算!$G$2:$G$801, 0)+1))&lt;=1181,2,1))))=0,"",IF(MOD(INDEX(輔助計算!$D:$D, (MATCH(869, 輔助計算!$G$2:$G$801, 0)+1)),IF(INDEX(ERP資料!$G:$G, (MATCH(869, 輔助計算!$G$2:$G$801, 0)+1))&lt;100, IF(INDEX(ERP資料!$G:$G, (MATCH(869, 輔助計算!$G$2:$G$801, 0)+1))&lt;=31,3,IF(INDEX(ERP資料!$G:$G, (MATCH(869, 輔助計算!$G$2:$G$801, 0)+1))&lt;=46.5,2,1)), IF(INDEX(ERP資料!$G:$G, (MATCH(869, 輔助計算!$G$2:$G$801, 0)+1))&lt;=790,3,IF(INDEX(ERP資料!$G:$G, (MATCH(869, 輔助計算!$G$2:$G$801, 0)+1))&lt;=1181,2,1))))=0,"",IF(MOD(INDEX(輔助計算!$D:$D, (MATCH(869, 輔助計算!$G$2:$G$801, 0)+1)),IF(INDEX(ERP資料!$G:$G, (MATCH(869, 輔助計算!$G$2:$G$801, 0)+1))&lt;100, IF(INDEX(ERP資料!$G:$G, (MATCH(869, 輔助計算!$G$2:$G$801, 0)+1))&lt;=31,3,IF(INDEX(ERP資料!$G:$G, (MATCH(869, 輔助計算!$G$2:$G$801, 0)+1))&lt;=46.5,2,1)), IF(INDEX(ERP資料!$G:$G, (MATCH(869, 輔助計算!$G$2:$G$801, 0)+1))&lt;=790,3,IF(INDEX(ERP資料!$G:$G, (MATCH(869, 輔助計算!$G$2:$G$801, 0)+1))&lt;=1181,2,1))))=1,TEXT(INDEX(ERP資料!$G:$G, (MATCH(869, 輔助計算!$G$2:$G$801, 0)+1)),"0.##"),IF(MOD(INDEX(輔助計算!$D:$D, (MATCH(869, 輔助計算!$G$2:$G$801, 0)+1)),IF(INDEX(ERP資料!$G:$G, (MATCH(869, 輔助計算!$G$2:$G$801, 0)+1))&lt;100, IF(INDEX(ERP資料!$G:$G, (MATCH(869, 輔助計算!$G$2:$G$801, 0)+1))&lt;=31,3,IF(INDEX(ERP資料!$G:$G, (MATCH(869, 輔助計算!$G$2:$G$801, 0)+1))&lt;=46.5,2,1)), IF(INDEX(ERP資料!$G:$G, (MATCH(869, 輔助計算!$G$2:$G$801, 0)+1))&lt;=790,3,IF(INDEX(ERP資料!$G:$G, (MATCH(869, 輔助計算!$G$2:$G$801, 0)+1))&lt;=1181,2,1))))=2,TEXT(INDEX(ERP資料!$G:$G, (MATCH(869, 輔助計算!$G$2:$G$801, 0)+1)),"0.##")&amp;"+"&amp;TEXT(INDEX(ERP資料!$G:$G, (MATCH(869, 輔助計算!$G$2:$G$801, 0)+1)),"0.##"),TEXT(INDEX(ERP資料!$G:$G, (MATCH(869, 輔助計算!$G$2:$G$801, 0)+1)),"0.##")&amp;"+"&amp;TEXT(INDEX(ERP資料!$G:$G, (MATCH(869, 輔助計算!$G$2:$G$801, 0)+1)),"0.##")&amp;"+"&amp;TEXT(INDEX(ERP資料!$G:$G, (MATCH(869, 輔助計算!$G$2:$G$801, 0)+1)),"0.##"))))&amp;"-1")), ""), "")</f>
        <v/>
      </c>
      <c r="K870" s="16" t="n"/>
      <c r="L870" s="14">
        <f>IFERROR(IF(AND(IFERROR(INDEX(ERP資料!$A:$A, (MATCH(869, 輔助計算!$G$2:$G$801, 0)+1)), "")&lt;&gt;"", IFERROR(INDEX(ERP資料!$A:$A, (MATCH(869, 輔助計算!$G$2:$G$801, 0)+1)), "")&lt;&gt;IFERROR(INDEX(ERP資料!$A:$A, MATCH(868, 輔助計算!$G$2:$G$801, 0)+1), "")), INDEX(ERP資料!$B:$B, (MATCH(869, 輔助計算!$G$2:$G$801, 0)+1)), ""), "")</f>
        <v/>
      </c>
      <c r="M870" s="17" t="n"/>
    </row>
    <row r="871">
      <c r="A871" s="10">
        <f>IFERROR(IF(AND(IFERROR(INDEX(ERP資料!$A:$A, (MATCH(870, 輔助計算!$G$2:$G$801, 0)+1)), "")&lt;&gt;"", IFERROR(INDEX(ERP資料!$A:$A, (MATCH(870, 輔助計算!$G$2:$G$801, 0)+1)), "")&lt;&gt;IFERROR(INDEX(ERP資料!$A:$A, MATCH(869, 輔助計算!$G$2:$G$801, 0)+1), "")), IFERROR(INDEX(ERP資料!$A:$A, (MATCH(870, 輔助計算!$G$2:$G$801, 0)+1)), ""), ""), "")</f>
        <v/>
      </c>
      <c r="B871" s="10">
        <f>IFERROR(IF(AND(IFERROR(INDEX(ERP資料!$A:$A, (MATCH(870, 輔助計算!$G$2:$G$801, 0)+1)), "")&lt;&gt;"", IFERROR(INDEX(ERP資料!$A:$A, (MATCH(870, 輔助計算!$G$2:$G$801, 0)+1)), "")&lt;&gt;IFERROR(INDEX(ERP資料!$A:$A, MATCH(869, 輔助計算!$G$2:$G$801, 0)+1), "")), INDEX(ERP資料!$S:$S, (MATCH(870, 輔助計算!$G$2:$G$801, 0)+1)), ""), "")</f>
        <v/>
      </c>
      <c r="C871" s="19">
        <f>IFERROR(IF(AND(IFERROR(INDEX(ERP資料!$A:$A, (MATCH(870, 輔助計算!$G$2:$G$801, 0)+1)), "")&lt;&gt;"", IFERROR(INDEX(ERP資料!$A:$A, (MATCH(870, 輔助計算!$G$2:$G$801, 0)+1)), "")&lt;&gt;IFERROR(INDEX(ERP資料!$A:$A, MATCH(869, 輔助計算!$G$2:$G$801, 0)+1), "")), IFERROR(VLOOKUP(LEFT(INDEX(ERP資料!$S:$S, (MATCH(870, 輔助計算!$G$2:$G$801, 0)+1)), 4), 紙管對照表!$A:$C, 3, FALSE), ""), ""), "")</f>
        <v/>
      </c>
      <c r="D871" s="16" t="n"/>
      <c r="E871" s="10">
        <f>IFERROR(IF(INDEX(ERP資料!$H:$H, (MATCH(870, 輔助計算!$G$2:$G$801, 0)+1))="","",INDEX(ERP資料!$H:$H, (MATCH(870, 輔助計算!$G$2:$G$801, 0)+1))), "")</f>
        <v/>
      </c>
      <c r="F871" s="10">
        <f>IFERROR(IF(INDEX(ERP資料!$E:$E, (MATCH(870, 輔助計算!$G$2:$G$801, 0)+1))="","",TRIM(INDEX(ERP資料!$E:$E, (MATCH(870, 輔助計算!$G$2:$G$801, 0)+1)))), "")</f>
        <v/>
      </c>
      <c r="G871" s="10">
        <f>IFERROR(IF(INDEX(ERP資料!$F:$F, (MATCH(870, 輔助計算!$G$2:$G$801, 0)+1))="","",INDEX(ERP資料!$F:$F, (MATCH(870, 輔助計算!$G$2:$G$801, 0)+1))), "")</f>
        <v/>
      </c>
      <c r="H871" s="10">
        <f>IFERROR(IF(INDEX(ERP資料!$G:$G, (MATCH(870, 輔助計算!$G$2:$G$801, 0)+1))="","",INDEX(ERP資料!$G:$G, (MATCH(870, 輔助計算!$G$2:$G$801, 0)+1))), "")</f>
        <v/>
      </c>
      <c r="I871" s="15">
        <f>IFERROR(INDEX(輔助計算!$D:$D, (MATCH(870, 輔助計算!$G$2:$G$801, 0)+1)), "")</f>
        <v/>
      </c>
      <c r="J871" s="15">
        <f>IFERROR(IF(AND(INDEX(輔助計算!$D:$D, (MATCH(870, 輔助計算!$G$2:$G$801, 0)+1))&lt;&gt;"", INDEX(ERP資料!$G:$G, (MATCH(870, 輔助計算!$G$2:$G$801, 0)+1))&lt;&gt;""), TRIM(IF(INT(INDEX(輔助計算!$D:$D, (MATCH(870, 輔助計算!$G$2:$G$801, 0)+1))/IF(INDEX(ERP資料!$G:$G, (MATCH(870, 輔助計算!$G$2:$G$801, 0)+1))&lt;100, IF(INDEX(ERP資料!$G:$G, (MATCH(870, 輔助計算!$G$2:$G$801, 0)+1))&lt;=31,3,IF(INDEX(ERP資料!$G:$G, (MATCH(870, 輔助計算!$G$2:$G$801, 0)+1))&lt;=46.5,2,1)), IF(INDEX(ERP資料!$G:$G, (MATCH(870, 輔助計算!$G$2:$G$801, 0)+1))&lt;=790,3,IF(INDEX(ERP資料!$G:$G, (MATCH(870, 輔助計算!$G$2:$G$801, 0)+1))&lt;=1181,2,1))))&gt;0, IF(IF(INDEX(ERP資料!$G:$G, (MATCH(870, 輔助計算!$G$2:$G$801, 0)+1))&lt;100, IF(INDEX(ERP資料!$G:$G, (MATCH(870, 輔助計算!$G$2:$G$801, 0)+1))&lt;=31,3,IF(INDEX(ERP資料!$G:$G, (MATCH(870, 輔助計算!$G$2:$G$801, 0)+1))&lt;=46.5,2,1)), IF(INDEX(ERP資料!$G:$G, (MATCH(870, 輔助計算!$G$2:$G$801, 0)+1))&lt;=790,3,IF(INDEX(ERP資料!$G:$G, (MATCH(870, 輔助計算!$G$2:$G$801, 0)+1))&lt;=1181,2,1)))=1,TEXT(INDEX(ERP資料!$G:$G, (MATCH(870, 輔助計算!$G$2:$G$801, 0)+1)),"0.##"),IF(IF(INDEX(ERP資料!$G:$G, (MATCH(870, 輔助計算!$G$2:$G$801, 0)+1))&lt;100, IF(INDEX(ERP資料!$G:$G, (MATCH(870, 輔助計算!$G$2:$G$801, 0)+1))&lt;=31,3,IF(INDEX(ERP資料!$G:$G, (MATCH(870, 輔助計算!$G$2:$G$801, 0)+1))&lt;=46.5,2,1)), IF(INDEX(ERP資料!$G:$G, (MATCH(870, 輔助計算!$G$2:$G$801, 0)+1))&lt;=790,3,IF(INDEX(ERP資料!$G:$G, (MATCH(870, 輔助計算!$G$2:$G$801, 0)+1))&lt;=1181,2,1)))=2,TEXT(INDEX(ERP資料!$G:$G, (MATCH(870, 輔助計算!$G$2:$G$801, 0)+1)),"0.##")&amp;"+"&amp;TEXT(INDEX(ERP資料!$G:$G, (MATCH(870, 輔助計算!$G$2:$G$801, 0)+1)),"0.##"),TEXT(INDEX(ERP資料!$G:$G, (MATCH(870, 輔助計算!$G$2:$G$801, 0)+1)),"0.##")&amp;"+"&amp;TEXT(INDEX(ERP資料!$G:$G, (MATCH(870, 輔助計算!$G$2:$G$801, 0)+1)),"0.##")&amp;"+"&amp;TEXT(INDEX(ERP資料!$G:$G, (MATCH(870, 輔助計算!$G$2:$G$801, 0)+1)),"0.##")))&amp;"-"&amp;INT(INDEX(輔助計算!$D:$D, (MATCH(870, 輔助計算!$G$2:$G$801, 0)+1))/IF(INDEX(ERP資料!$G:$G, (MATCH(870, 輔助計算!$G$2:$G$801, 0)+1))&lt;100, IF(INDEX(ERP資料!$G:$G, (MATCH(870, 輔助計算!$G$2:$G$801, 0)+1))&lt;=31,3,IF(INDEX(ERP資料!$G:$G, (MATCH(870, 輔助計算!$G$2:$G$801, 0)+1))&lt;=46.5,2,1)), IF(INDEX(ERP資料!$G:$G, (MATCH(870, 輔助計算!$G$2:$G$801, 0)+1))&lt;=790,3,IF(INDEX(ERP資料!$G:$G, (MATCH(870, 輔助計算!$G$2:$G$801, 0)+1))&lt;=1181,2,1)))), "")&amp;IF(AND(IF(INT(INDEX(輔助計算!$D:$D, (MATCH(870, 輔助計算!$G$2:$G$801, 0)+1))/IF(INDEX(ERP資料!$G:$G, (MATCH(870, 輔助計算!$G$2:$G$801, 0)+1))&lt;100, IF(INDEX(ERP資料!$G:$G, (MATCH(870, 輔助計算!$G$2:$G$801, 0)+1))&lt;=31,3,IF(INDEX(ERP資料!$G:$G, (MATCH(870, 輔助計算!$G$2:$G$801, 0)+1))&lt;=46.5,2,1)), IF(INDEX(ERP資料!$G:$G, (MATCH(870, 輔助計算!$G$2:$G$801, 0)+1))&lt;=790,3,IF(INDEX(ERP資料!$G:$G, (MATCH(870, 輔助計算!$G$2:$G$801, 0)+1))&lt;=1181,2,1))))&gt;0, IF(IF(INDEX(ERP資料!$G:$G, (MATCH(870, 輔助計算!$G$2:$G$801, 0)+1))&lt;100, IF(INDEX(ERP資料!$G:$G, (MATCH(870, 輔助計算!$G$2:$G$801, 0)+1))&lt;=31,3,IF(INDEX(ERP資料!$G:$G, (MATCH(870, 輔助計算!$G$2:$G$801, 0)+1))&lt;=46.5,2,1)), IF(INDEX(ERP資料!$G:$G, (MATCH(870, 輔助計算!$G$2:$G$801, 0)+1))&lt;=790,3,IF(INDEX(ERP資料!$G:$G, (MATCH(870, 輔助計算!$G$2:$G$801, 0)+1))&lt;=1181,2,1)))=1,TEXT(INDEX(ERP資料!$G:$G, (MATCH(870, 輔助計算!$G$2:$G$801, 0)+1)),"0.##"),IF(IF(INDEX(ERP資料!$G:$G, (MATCH(870, 輔助計算!$G$2:$G$801, 0)+1))&lt;100, IF(INDEX(ERP資料!$G:$G, (MATCH(870, 輔助計算!$G$2:$G$801, 0)+1))&lt;=31,3,IF(INDEX(ERP資料!$G:$G, (MATCH(870, 輔助計算!$G$2:$G$801, 0)+1))&lt;=46.5,2,1)), IF(INDEX(ERP資料!$G:$G, (MATCH(870, 輔助計算!$G$2:$G$801, 0)+1))&lt;=790,3,IF(INDEX(ERP資料!$G:$G, (MATCH(870, 輔助計算!$G$2:$G$801, 0)+1))&lt;=1181,2,1)))=2,TEXT(INDEX(ERP資料!$G:$G, (MATCH(870, 輔助計算!$G$2:$G$801, 0)+1)),"0.##")&amp;"+"&amp;TEXT(INDEX(ERP資料!$G:$G, (MATCH(870, 輔助計算!$G$2:$G$801, 0)+1)),"0.##"),TEXT(INDEX(ERP資料!$G:$G, (MATCH(870, 輔助計算!$G$2:$G$801, 0)+1)),"0.##")&amp;"+"&amp;TEXT(INDEX(ERP資料!$G:$G, (MATCH(870, 輔助計算!$G$2:$G$801, 0)+1)),"0.##")&amp;"+"&amp;TEXT(INDEX(ERP資料!$G:$G, (MATCH(870, 輔助計算!$G$2:$G$801, 0)+1)),"0.##")))&amp;"-"&amp;INT(INDEX(輔助計算!$D:$D, (MATCH(870, 輔助計算!$G$2:$G$801, 0)+1))/IF(INDEX(ERP資料!$G:$G, (MATCH(870, 輔助計算!$G$2:$G$801, 0)+1))&lt;100, IF(INDEX(ERP資料!$G:$G, (MATCH(870, 輔助計算!$G$2:$G$801, 0)+1))&lt;=31,3,IF(INDEX(ERP資料!$G:$G, (MATCH(870, 輔助計算!$G$2:$G$801, 0)+1))&lt;=46.5,2,1)), IF(INDEX(ERP資料!$G:$G, (MATCH(870, 輔助計算!$G$2:$G$801, 0)+1))&lt;=790,3,IF(INDEX(ERP資料!$G:$G, (MATCH(870, 輔助計算!$G$2:$G$801, 0)+1))&lt;=1181,2,1)))), "")&lt;&gt;"",IF(MOD(INDEX(輔助計算!$D:$D, (MATCH(870, 輔助計算!$G$2:$G$801, 0)+1)),IF(INDEX(ERP資料!$G:$G, (MATCH(870, 輔助計算!$G$2:$G$801, 0)+1))&lt;100, IF(INDEX(ERP資料!$G:$G, (MATCH(870, 輔助計算!$G$2:$G$801, 0)+1))&lt;=31,3,IF(INDEX(ERP資料!$G:$G, (MATCH(870, 輔助計算!$G$2:$G$801, 0)+1))&lt;=46.5,2,1)), IF(INDEX(ERP資料!$G:$G, (MATCH(870, 輔助計算!$G$2:$G$801, 0)+1))&lt;=790,3,IF(INDEX(ERP資料!$G:$G, (MATCH(870, 輔助計算!$G$2:$G$801, 0)+1))&lt;=1181,2,1))))=0,"",IF(MOD(INDEX(輔助計算!$D:$D, (MATCH(870, 輔助計算!$G$2:$G$801, 0)+1)),IF(INDEX(ERP資料!$G:$G, (MATCH(870, 輔助計算!$G$2:$G$801, 0)+1))&lt;100, IF(INDEX(ERP資料!$G:$G, (MATCH(870, 輔助計算!$G$2:$G$801, 0)+1))&lt;=31,3,IF(INDEX(ERP資料!$G:$G, (MATCH(870, 輔助計算!$G$2:$G$801, 0)+1))&lt;=46.5,2,1)), IF(INDEX(ERP資料!$G:$G, (MATCH(870, 輔助計算!$G$2:$G$801, 0)+1))&lt;=790,3,IF(INDEX(ERP資料!$G:$G, (MATCH(870, 輔助計算!$G$2:$G$801, 0)+1))&lt;=1181,2,1))))=0,"",IF(MOD(INDEX(輔助計算!$D:$D, (MATCH(870, 輔助計算!$G$2:$G$801, 0)+1)),IF(INDEX(ERP資料!$G:$G, (MATCH(870, 輔助計算!$G$2:$G$801, 0)+1))&lt;100, IF(INDEX(ERP資料!$G:$G, (MATCH(870, 輔助計算!$G$2:$G$801, 0)+1))&lt;=31,3,IF(INDEX(ERP資料!$G:$G, (MATCH(870, 輔助計算!$G$2:$G$801, 0)+1))&lt;=46.5,2,1)), IF(INDEX(ERP資料!$G:$G, (MATCH(870, 輔助計算!$G$2:$G$801, 0)+1))&lt;=790,3,IF(INDEX(ERP資料!$G:$G, (MATCH(870, 輔助計算!$G$2:$G$801, 0)+1))&lt;=1181,2,1))))=1,TEXT(INDEX(ERP資料!$G:$G, (MATCH(870, 輔助計算!$G$2:$G$801, 0)+1)),"0.##"),IF(MOD(INDEX(輔助計算!$D:$D, (MATCH(870, 輔助計算!$G$2:$G$801, 0)+1)),IF(INDEX(ERP資料!$G:$G, (MATCH(870, 輔助計算!$G$2:$G$801, 0)+1))&lt;100, IF(INDEX(ERP資料!$G:$G, (MATCH(870, 輔助計算!$G$2:$G$801, 0)+1))&lt;=31,3,IF(INDEX(ERP資料!$G:$G, (MATCH(870, 輔助計算!$G$2:$G$801, 0)+1))&lt;=46.5,2,1)), IF(INDEX(ERP資料!$G:$G, (MATCH(870, 輔助計算!$G$2:$G$801, 0)+1))&lt;=790,3,IF(INDEX(ERP資料!$G:$G, (MATCH(870, 輔助計算!$G$2:$G$801, 0)+1))&lt;=1181,2,1))))=2,TEXT(INDEX(ERP資料!$G:$G, (MATCH(870, 輔助計算!$G$2:$G$801, 0)+1)),"0.##")&amp;"+"&amp;TEXT(INDEX(ERP資料!$G:$G, (MATCH(870, 輔助計算!$G$2:$G$801, 0)+1)),"0.##"),TEXT(INDEX(ERP資料!$G:$G, (MATCH(870, 輔助計算!$G$2:$G$801, 0)+1)),"0.##")&amp;"+"&amp;TEXT(INDEX(ERP資料!$G:$G, (MATCH(870, 輔助計算!$G$2:$G$801, 0)+1)),"0.##")&amp;"+"&amp;TEXT(INDEX(ERP資料!$G:$G, (MATCH(870, 輔助計算!$G$2:$G$801, 0)+1)),"0.##"))))&amp;"-1")&lt;&gt;""),"  ","")&amp;IF(MOD(INDEX(輔助計算!$D:$D, (MATCH(870, 輔助計算!$G$2:$G$801, 0)+1)),IF(INDEX(ERP資料!$G:$G, (MATCH(870, 輔助計算!$G$2:$G$801, 0)+1))&lt;100, IF(INDEX(ERP資料!$G:$G, (MATCH(870, 輔助計算!$G$2:$G$801, 0)+1))&lt;=31,3,IF(INDEX(ERP資料!$G:$G, (MATCH(870, 輔助計算!$G$2:$G$801, 0)+1))&lt;=46.5,2,1)), IF(INDEX(ERP資料!$G:$G, (MATCH(870, 輔助計算!$G$2:$G$801, 0)+1))&lt;=790,3,IF(INDEX(ERP資料!$G:$G, (MATCH(870, 輔助計算!$G$2:$G$801, 0)+1))&lt;=1181,2,1))))=0,"",IF(MOD(INDEX(輔助計算!$D:$D, (MATCH(870, 輔助計算!$G$2:$G$801, 0)+1)),IF(INDEX(ERP資料!$G:$G, (MATCH(870, 輔助計算!$G$2:$G$801, 0)+1))&lt;100, IF(INDEX(ERP資料!$G:$G, (MATCH(870, 輔助計算!$G$2:$G$801, 0)+1))&lt;=31,3,IF(INDEX(ERP資料!$G:$G, (MATCH(870, 輔助計算!$G$2:$G$801, 0)+1))&lt;=46.5,2,1)), IF(INDEX(ERP資料!$G:$G, (MATCH(870, 輔助計算!$G$2:$G$801, 0)+1))&lt;=790,3,IF(INDEX(ERP資料!$G:$G, (MATCH(870, 輔助計算!$G$2:$G$801, 0)+1))&lt;=1181,2,1))))=0,"",IF(MOD(INDEX(輔助計算!$D:$D, (MATCH(870, 輔助計算!$G$2:$G$801, 0)+1)),IF(INDEX(ERP資料!$G:$G, (MATCH(870, 輔助計算!$G$2:$G$801, 0)+1))&lt;100, IF(INDEX(ERP資料!$G:$G, (MATCH(870, 輔助計算!$G$2:$G$801, 0)+1))&lt;=31,3,IF(INDEX(ERP資料!$G:$G, (MATCH(870, 輔助計算!$G$2:$G$801, 0)+1))&lt;=46.5,2,1)), IF(INDEX(ERP資料!$G:$G, (MATCH(870, 輔助計算!$G$2:$G$801, 0)+1))&lt;=790,3,IF(INDEX(ERP資料!$G:$G, (MATCH(870, 輔助計算!$G$2:$G$801, 0)+1))&lt;=1181,2,1))))=1,TEXT(INDEX(ERP資料!$G:$G, (MATCH(870, 輔助計算!$G$2:$G$801, 0)+1)),"0.##"),IF(MOD(INDEX(輔助計算!$D:$D, (MATCH(870, 輔助計算!$G$2:$G$801, 0)+1)),IF(INDEX(ERP資料!$G:$G, (MATCH(870, 輔助計算!$G$2:$G$801, 0)+1))&lt;100, IF(INDEX(ERP資料!$G:$G, (MATCH(870, 輔助計算!$G$2:$G$801, 0)+1))&lt;=31,3,IF(INDEX(ERP資料!$G:$G, (MATCH(870, 輔助計算!$G$2:$G$801, 0)+1))&lt;=46.5,2,1)), IF(INDEX(ERP資料!$G:$G, (MATCH(870, 輔助計算!$G$2:$G$801, 0)+1))&lt;=790,3,IF(INDEX(ERP資料!$G:$G, (MATCH(870, 輔助計算!$G$2:$G$801, 0)+1))&lt;=1181,2,1))))=2,TEXT(INDEX(ERP資料!$G:$G, (MATCH(870, 輔助計算!$G$2:$G$801, 0)+1)),"0.##")&amp;"+"&amp;TEXT(INDEX(ERP資料!$G:$G, (MATCH(870, 輔助計算!$G$2:$G$801, 0)+1)),"0.##"),TEXT(INDEX(ERP資料!$G:$G, (MATCH(870, 輔助計算!$G$2:$G$801, 0)+1)),"0.##")&amp;"+"&amp;TEXT(INDEX(ERP資料!$G:$G, (MATCH(870, 輔助計算!$G$2:$G$801, 0)+1)),"0.##")&amp;"+"&amp;TEXT(INDEX(ERP資料!$G:$G, (MATCH(870, 輔助計算!$G$2:$G$801, 0)+1)),"0.##"))))&amp;"-1")), ""), "")</f>
        <v/>
      </c>
      <c r="K871" s="16" t="n"/>
      <c r="L871" s="14">
        <f>IFERROR(IF(AND(IFERROR(INDEX(ERP資料!$A:$A, (MATCH(870, 輔助計算!$G$2:$G$801, 0)+1)), "")&lt;&gt;"", IFERROR(INDEX(ERP資料!$A:$A, (MATCH(870, 輔助計算!$G$2:$G$801, 0)+1)), "")&lt;&gt;IFERROR(INDEX(ERP資料!$A:$A, MATCH(869, 輔助計算!$G$2:$G$801, 0)+1), "")), INDEX(ERP資料!$B:$B, (MATCH(870, 輔助計算!$G$2:$G$801, 0)+1)), ""), "")</f>
        <v/>
      </c>
      <c r="M871" s="17" t="n"/>
    </row>
    <row r="872">
      <c r="A872" s="10">
        <f>IFERROR(IF(AND(IFERROR(INDEX(ERP資料!$A:$A, (MATCH(871, 輔助計算!$G$2:$G$801, 0)+1)), "")&lt;&gt;"", IFERROR(INDEX(ERP資料!$A:$A, (MATCH(871, 輔助計算!$G$2:$G$801, 0)+1)), "")&lt;&gt;IFERROR(INDEX(ERP資料!$A:$A, MATCH(870, 輔助計算!$G$2:$G$801, 0)+1), "")), IFERROR(INDEX(ERP資料!$A:$A, (MATCH(871, 輔助計算!$G$2:$G$801, 0)+1)), ""), ""), "")</f>
        <v/>
      </c>
      <c r="B872" s="10">
        <f>IFERROR(IF(AND(IFERROR(INDEX(ERP資料!$A:$A, (MATCH(871, 輔助計算!$G$2:$G$801, 0)+1)), "")&lt;&gt;"", IFERROR(INDEX(ERP資料!$A:$A, (MATCH(871, 輔助計算!$G$2:$G$801, 0)+1)), "")&lt;&gt;IFERROR(INDEX(ERP資料!$A:$A, MATCH(870, 輔助計算!$G$2:$G$801, 0)+1), "")), INDEX(ERP資料!$S:$S, (MATCH(871, 輔助計算!$G$2:$G$801, 0)+1)), ""), "")</f>
        <v/>
      </c>
      <c r="C872" s="19">
        <f>IFERROR(IF(AND(IFERROR(INDEX(ERP資料!$A:$A, (MATCH(871, 輔助計算!$G$2:$G$801, 0)+1)), "")&lt;&gt;"", IFERROR(INDEX(ERP資料!$A:$A, (MATCH(871, 輔助計算!$G$2:$G$801, 0)+1)), "")&lt;&gt;IFERROR(INDEX(ERP資料!$A:$A, MATCH(870, 輔助計算!$G$2:$G$801, 0)+1), "")), IFERROR(VLOOKUP(LEFT(INDEX(ERP資料!$S:$S, (MATCH(871, 輔助計算!$G$2:$G$801, 0)+1)), 4), 紙管對照表!$A:$C, 3, FALSE), ""), ""), "")</f>
        <v/>
      </c>
      <c r="D872" s="16" t="n"/>
      <c r="E872" s="10">
        <f>IFERROR(IF(INDEX(ERP資料!$H:$H, (MATCH(871, 輔助計算!$G$2:$G$801, 0)+1))="","",INDEX(ERP資料!$H:$H, (MATCH(871, 輔助計算!$G$2:$G$801, 0)+1))), "")</f>
        <v/>
      </c>
      <c r="F872" s="10">
        <f>IFERROR(IF(INDEX(ERP資料!$E:$E, (MATCH(871, 輔助計算!$G$2:$G$801, 0)+1))="","",TRIM(INDEX(ERP資料!$E:$E, (MATCH(871, 輔助計算!$G$2:$G$801, 0)+1)))), "")</f>
        <v/>
      </c>
      <c r="G872" s="10">
        <f>IFERROR(IF(INDEX(ERP資料!$F:$F, (MATCH(871, 輔助計算!$G$2:$G$801, 0)+1))="","",INDEX(ERP資料!$F:$F, (MATCH(871, 輔助計算!$G$2:$G$801, 0)+1))), "")</f>
        <v/>
      </c>
      <c r="H872" s="10">
        <f>IFERROR(IF(INDEX(ERP資料!$G:$G, (MATCH(871, 輔助計算!$G$2:$G$801, 0)+1))="","",INDEX(ERP資料!$G:$G, (MATCH(871, 輔助計算!$G$2:$G$801, 0)+1))), "")</f>
        <v/>
      </c>
      <c r="I872" s="15">
        <f>IFERROR(INDEX(輔助計算!$D:$D, (MATCH(871, 輔助計算!$G$2:$G$801, 0)+1)), "")</f>
        <v/>
      </c>
      <c r="J872" s="15">
        <f>IFERROR(IF(AND(INDEX(輔助計算!$D:$D, (MATCH(871, 輔助計算!$G$2:$G$801, 0)+1))&lt;&gt;"", INDEX(ERP資料!$G:$G, (MATCH(871, 輔助計算!$G$2:$G$801, 0)+1))&lt;&gt;""), TRIM(IF(INT(INDEX(輔助計算!$D:$D, (MATCH(871, 輔助計算!$G$2:$G$801, 0)+1))/IF(INDEX(ERP資料!$G:$G, (MATCH(871, 輔助計算!$G$2:$G$801, 0)+1))&lt;100, IF(INDEX(ERP資料!$G:$G, (MATCH(871, 輔助計算!$G$2:$G$801, 0)+1))&lt;=31,3,IF(INDEX(ERP資料!$G:$G, (MATCH(871, 輔助計算!$G$2:$G$801, 0)+1))&lt;=46.5,2,1)), IF(INDEX(ERP資料!$G:$G, (MATCH(871, 輔助計算!$G$2:$G$801, 0)+1))&lt;=790,3,IF(INDEX(ERP資料!$G:$G, (MATCH(871, 輔助計算!$G$2:$G$801, 0)+1))&lt;=1181,2,1))))&gt;0, IF(IF(INDEX(ERP資料!$G:$G, (MATCH(871, 輔助計算!$G$2:$G$801, 0)+1))&lt;100, IF(INDEX(ERP資料!$G:$G, (MATCH(871, 輔助計算!$G$2:$G$801, 0)+1))&lt;=31,3,IF(INDEX(ERP資料!$G:$G, (MATCH(871, 輔助計算!$G$2:$G$801, 0)+1))&lt;=46.5,2,1)), IF(INDEX(ERP資料!$G:$G, (MATCH(871, 輔助計算!$G$2:$G$801, 0)+1))&lt;=790,3,IF(INDEX(ERP資料!$G:$G, (MATCH(871, 輔助計算!$G$2:$G$801, 0)+1))&lt;=1181,2,1)))=1,TEXT(INDEX(ERP資料!$G:$G, (MATCH(871, 輔助計算!$G$2:$G$801, 0)+1)),"0.##"),IF(IF(INDEX(ERP資料!$G:$G, (MATCH(871, 輔助計算!$G$2:$G$801, 0)+1))&lt;100, IF(INDEX(ERP資料!$G:$G, (MATCH(871, 輔助計算!$G$2:$G$801, 0)+1))&lt;=31,3,IF(INDEX(ERP資料!$G:$G, (MATCH(871, 輔助計算!$G$2:$G$801, 0)+1))&lt;=46.5,2,1)), IF(INDEX(ERP資料!$G:$G, (MATCH(871, 輔助計算!$G$2:$G$801, 0)+1))&lt;=790,3,IF(INDEX(ERP資料!$G:$G, (MATCH(871, 輔助計算!$G$2:$G$801, 0)+1))&lt;=1181,2,1)))=2,TEXT(INDEX(ERP資料!$G:$G, (MATCH(871, 輔助計算!$G$2:$G$801, 0)+1)),"0.##")&amp;"+"&amp;TEXT(INDEX(ERP資料!$G:$G, (MATCH(871, 輔助計算!$G$2:$G$801, 0)+1)),"0.##"),TEXT(INDEX(ERP資料!$G:$G, (MATCH(871, 輔助計算!$G$2:$G$801, 0)+1)),"0.##")&amp;"+"&amp;TEXT(INDEX(ERP資料!$G:$G, (MATCH(871, 輔助計算!$G$2:$G$801, 0)+1)),"0.##")&amp;"+"&amp;TEXT(INDEX(ERP資料!$G:$G, (MATCH(871, 輔助計算!$G$2:$G$801, 0)+1)),"0.##")))&amp;"-"&amp;INT(INDEX(輔助計算!$D:$D, (MATCH(871, 輔助計算!$G$2:$G$801, 0)+1))/IF(INDEX(ERP資料!$G:$G, (MATCH(871, 輔助計算!$G$2:$G$801, 0)+1))&lt;100, IF(INDEX(ERP資料!$G:$G, (MATCH(871, 輔助計算!$G$2:$G$801, 0)+1))&lt;=31,3,IF(INDEX(ERP資料!$G:$G, (MATCH(871, 輔助計算!$G$2:$G$801, 0)+1))&lt;=46.5,2,1)), IF(INDEX(ERP資料!$G:$G, (MATCH(871, 輔助計算!$G$2:$G$801, 0)+1))&lt;=790,3,IF(INDEX(ERP資料!$G:$G, (MATCH(871, 輔助計算!$G$2:$G$801, 0)+1))&lt;=1181,2,1)))), "")&amp;IF(AND(IF(INT(INDEX(輔助計算!$D:$D, (MATCH(871, 輔助計算!$G$2:$G$801, 0)+1))/IF(INDEX(ERP資料!$G:$G, (MATCH(871, 輔助計算!$G$2:$G$801, 0)+1))&lt;100, IF(INDEX(ERP資料!$G:$G, (MATCH(871, 輔助計算!$G$2:$G$801, 0)+1))&lt;=31,3,IF(INDEX(ERP資料!$G:$G, (MATCH(871, 輔助計算!$G$2:$G$801, 0)+1))&lt;=46.5,2,1)), IF(INDEX(ERP資料!$G:$G, (MATCH(871, 輔助計算!$G$2:$G$801, 0)+1))&lt;=790,3,IF(INDEX(ERP資料!$G:$G, (MATCH(871, 輔助計算!$G$2:$G$801, 0)+1))&lt;=1181,2,1))))&gt;0, IF(IF(INDEX(ERP資料!$G:$G, (MATCH(871, 輔助計算!$G$2:$G$801, 0)+1))&lt;100, IF(INDEX(ERP資料!$G:$G, (MATCH(871, 輔助計算!$G$2:$G$801, 0)+1))&lt;=31,3,IF(INDEX(ERP資料!$G:$G, (MATCH(871, 輔助計算!$G$2:$G$801, 0)+1))&lt;=46.5,2,1)), IF(INDEX(ERP資料!$G:$G, (MATCH(871, 輔助計算!$G$2:$G$801, 0)+1))&lt;=790,3,IF(INDEX(ERP資料!$G:$G, (MATCH(871, 輔助計算!$G$2:$G$801, 0)+1))&lt;=1181,2,1)))=1,TEXT(INDEX(ERP資料!$G:$G, (MATCH(871, 輔助計算!$G$2:$G$801, 0)+1)),"0.##"),IF(IF(INDEX(ERP資料!$G:$G, (MATCH(871, 輔助計算!$G$2:$G$801, 0)+1))&lt;100, IF(INDEX(ERP資料!$G:$G, (MATCH(871, 輔助計算!$G$2:$G$801, 0)+1))&lt;=31,3,IF(INDEX(ERP資料!$G:$G, (MATCH(871, 輔助計算!$G$2:$G$801, 0)+1))&lt;=46.5,2,1)), IF(INDEX(ERP資料!$G:$G, (MATCH(871, 輔助計算!$G$2:$G$801, 0)+1))&lt;=790,3,IF(INDEX(ERP資料!$G:$G, (MATCH(871, 輔助計算!$G$2:$G$801, 0)+1))&lt;=1181,2,1)))=2,TEXT(INDEX(ERP資料!$G:$G, (MATCH(871, 輔助計算!$G$2:$G$801, 0)+1)),"0.##")&amp;"+"&amp;TEXT(INDEX(ERP資料!$G:$G, (MATCH(871, 輔助計算!$G$2:$G$801, 0)+1)),"0.##"),TEXT(INDEX(ERP資料!$G:$G, (MATCH(871, 輔助計算!$G$2:$G$801, 0)+1)),"0.##")&amp;"+"&amp;TEXT(INDEX(ERP資料!$G:$G, (MATCH(871, 輔助計算!$G$2:$G$801, 0)+1)),"0.##")&amp;"+"&amp;TEXT(INDEX(ERP資料!$G:$G, (MATCH(871, 輔助計算!$G$2:$G$801, 0)+1)),"0.##")))&amp;"-"&amp;INT(INDEX(輔助計算!$D:$D, (MATCH(871, 輔助計算!$G$2:$G$801, 0)+1))/IF(INDEX(ERP資料!$G:$G, (MATCH(871, 輔助計算!$G$2:$G$801, 0)+1))&lt;100, IF(INDEX(ERP資料!$G:$G, (MATCH(871, 輔助計算!$G$2:$G$801, 0)+1))&lt;=31,3,IF(INDEX(ERP資料!$G:$G, (MATCH(871, 輔助計算!$G$2:$G$801, 0)+1))&lt;=46.5,2,1)), IF(INDEX(ERP資料!$G:$G, (MATCH(871, 輔助計算!$G$2:$G$801, 0)+1))&lt;=790,3,IF(INDEX(ERP資料!$G:$G, (MATCH(871, 輔助計算!$G$2:$G$801, 0)+1))&lt;=1181,2,1)))), "")&lt;&gt;"",IF(MOD(INDEX(輔助計算!$D:$D, (MATCH(871, 輔助計算!$G$2:$G$801, 0)+1)),IF(INDEX(ERP資料!$G:$G, (MATCH(871, 輔助計算!$G$2:$G$801, 0)+1))&lt;100, IF(INDEX(ERP資料!$G:$G, (MATCH(871, 輔助計算!$G$2:$G$801, 0)+1))&lt;=31,3,IF(INDEX(ERP資料!$G:$G, (MATCH(871, 輔助計算!$G$2:$G$801, 0)+1))&lt;=46.5,2,1)), IF(INDEX(ERP資料!$G:$G, (MATCH(871, 輔助計算!$G$2:$G$801, 0)+1))&lt;=790,3,IF(INDEX(ERP資料!$G:$G, (MATCH(871, 輔助計算!$G$2:$G$801, 0)+1))&lt;=1181,2,1))))=0,"",IF(MOD(INDEX(輔助計算!$D:$D, (MATCH(871, 輔助計算!$G$2:$G$801, 0)+1)),IF(INDEX(ERP資料!$G:$G, (MATCH(871, 輔助計算!$G$2:$G$801, 0)+1))&lt;100, IF(INDEX(ERP資料!$G:$G, (MATCH(871, 輔助計算!$G$2:$G$801, 0)+1))&lt;=31,3,IF(INDEX(ERP資料!$G:$G, (MATCH(871, 輔助計算!$G$2:$G$801, 0)+1))&lt;=46.5,2,1)), IF(INDEX(ERP資料!$G:$G, (MATCH(871, 輔助計算!$G$2:$G$801, 0)+1))&lt;=790,3,IF(INDEX(ERP資料!$G:$G, (MATCH(871, 輔助計算!$G$2:$G$801, 0)+1))&lt;=1181,2,1))))=0,"",IF(MOD(INDEX(輔助計算!$D:$D, (MATCH(871, 輔助計算!$G$2:$G$801, 0)+1)),IF(INDEX(ERP資料!$G:$G, (MATCH(871, 輔助計算!$G$2:$G$801, 0)+1))&lt;100, IF(INDEX(ERP資料!$G:$G, (MATCH(871, 輔助計算!$G$2:$G$801, 0)+1))&lt;=31,3,IF(INDEX(ERP資料!$G:$G, (MATCH(871, 輔助計算!$G$2:$G$801, 0)+1))&lt;=46.5,2,1)), IF(INDEX(ERP資料!$G:$G, (MATCH(871, 輔助計算!$G$2:$G$801, 0)+1))&lt;=790,3,IF(INDEX(ERP資料!$G:$G, (MATCH(871, 輔助計算!$G$2:$G$801, 0)+1))&lt;=1181,2,1))))=1,TEXT(INDEX(ERP資料!$G:$G, (MATCH(871, 輔助計算!$G$2:$G$801, 0)+1)),"0.##"),IF(MOD(INDEX(輔助計算!$D:$D, (MATCH(871, 輔助計算!$G$2:$G$801, 0)+1)),IF(INDEX(ERP資料!$G:$G, (MATCH(871, 輔助計算!$G$2:$G$801, 0)+1))&lt;100, IF(INDEX(ERP資料!$G:$G, (MATCH(871, 輔助計算!$G$2:$G$801, 0)+1))&lt;=31,3,IF(INDEX(ERP資料!$G:$G, (MATCH(871, 輔助計算!$G$2:$G$801, 0)+1))&lt;=46.5,2,1)), IF(INDEX(ERP資料!$G:$G, (MATCH(871, 輔助計算!$G$2:$G$801, 0)+1))&lt;=790,3,IF(INDEX(ERP資料!$G:$G, (MATCH(871, 輔助計算!$G$2:$G$801, 0)+1))&lt;=1181,2,1))))=2,TEXT(INDEX(ERP資料!$G:$G, (MATCH(871, 輔助計算!$G$2:$G$801, 0)+1)),"0.##")&amp;"+"&amp;TEXT(INDEX(ERP資料!$G:$G, (MATCH(871, 輔助計算!$G$2:$G$801, 0)+1)),"0.##"),TEXT(INDEX(ERP資料!$G:$G, (MATCH(871, 輔助計算!$G$2:$G$801, 0)+1)),"0.##")&amp;"+"&amp;TEXT(INDEX(ERP資料!$G:$G, (MATCH(871, 輔助計算!$G$2:$G$801, 0)+1)),"0.##")&amp;"+"&amp;TEXT(INDEX(ERP資料!$G:$G, (MATCH(871, 輔助計算!$G$2:$G$801, 0)+1)),"0.##"))))&amp;"-1")&lt;&gt;""),"  ","")&amp;IF(MOD(INDEX(輔助計算!$D:$D, (MATCH(871, 輔助計算!$G$2:$G$801, 0)+1)),IF(INDEX(ERP資料!$G:$G, (MATCH(871, 輔助計算!$G$2:$G$801, 0)+1))&lt;100, IF(INDEX(ERP資料!$G:$G, (MATCH(871, 輔助計算!$G$2:$G$801, 0)+1))&lt;=31,3,IF(INDEX(ERP資料!$G:$G, (MATCH(871, 輔助計算!$G$2:$G$801, 0)+1))&lt;=46.5,2,1)), IF(INDEX(ERP資料!$G:$G, (MATCH(871, 輔助計算!$G$2:$G$801, 0)+1))&lt;=790,3,IF(INDEX(ERP資料!$G:$G, (MATCH(871, 輔助計算!$G$2:$G$801, 0)+1))&lt;=1181,2,1))))=0,"",IF(MOD(INDEX(輔助計算!$D:$D, (MATCH(871, 輔助計算!$G$2:$G$801, 0)+1)),IF(INDEX(ERP資料!$G:$G, (MATCH(871, 輔助計算!$G$2:$G$801, 0)+1))&lt;100, IF(INDEX(ERP資料!$G:$G, (MATCH(871, 輔助計算!$G$2:$G$801, 0)+1))&lt;=31,3,IF(INDEX(ERP資料!$G:$G, (MATCH(871, 輔助計算!$G$2:$G$801, 0)+1))&lt;=46.5,2,1)), IF(INDEX(ERP資料!$G:$G, (MATCH(871, 輔助計算!$G$2:$G$801, 0)+1))&lt;=790,3,IF(INDEX(ERP資料!$G:$G, (MATCH(871, 輔助計算!$G$2:$G$801, 0)+1))&lt;=1181,2,1))))=0,"",IF(MOD(INDEX(輔助計算!$D:$D, (MATCH(871, 輔助計算!$G$2:$G$801, 0)+1)),IF(INDEX(ERP資料!$G:$G, (MATCH(871, 輔助計算!$G$2:$G$801, 0)+1))&lt;100, IF(INDEX(ERP資料!$G:$G, (MATCH(871, 輔助計算!$G$2:$G$801, 0)+1))&lt;=31,3,IF(INDEX(ERP資料!$G:$G, (MATCH(871, 輔助計算!$G$2:$G$801, 0)+1))&lt;=46.5,2,1)), IF(INDEX(ERP資料!$G:$G, (MATCH(871, 輔助計算!$G$2:$G$801, 0)+1))&lt;=790,3,IF(INDEX(ERP資料!$G:$G, (MATCH(871, 輔助計算!$G$2:$G$801, 0)+1))&lt;=1181,2,1))))=1,TEXT(INDEX(ERP資料!$G:$G, (MATCH(871, 輔助計算!$G$2:$G$801, 0)+1)),"0.##"),IF(MOD(INDEX(輔助計算!$D:$D, (MATCH(871, 輔助計算!$G$2:$G$801, 0)+1)),IF(INDEX(ERP資料!$G:$G, (MATCH(871, 輔助計算!$G$2:$G$801, 0)+1))&lt;100, IF(INDEX(ERP資料!$G:$G, (MATCH(871, 輔助計算!$G$2:$G$801, 0)+1))&lt;=31,3,IF(INDEX(ERP資料!$G:$G, (MATCH(871, 輔助計算!$G$2:$G$801, 0)+1))&lt;=46.5,2,1)), IF(INDEX(ERP資料!$G:$G, (MATCH(871, 輔助計算!$G$2:$G$801, 0)+1))&lt;=790,3,IF(INDEX(ERP資料!$G:$G, (MATCH(871, 輔助計算!$G$2:$G$801, 0)+1))&lt;=1181,2,1))))=2,TEXT(INDEX(ERP資料!$G:$G, (MATCH(871, 輔助計算!$G$2:$G$801, 0)+1)),"0.##")&amp;"+"&amp;TEXT(INDEX(ERP資料!$G:$G, (MATCH(871, 輔助計算!$G$2:$G$801, 0)+1)),"0.##"),TEXT(INDEX(ERP資料!$G:$G, (MATCH(871, 輔助計算!$G$2:$G$801, 0)+1)),"0.##")&amp;"+"&amp;TEXT(INDEX(ERP資料!$G:$G, (MATCH(871, 輔助計算!$G$2:$G$801, 0)+1)),"0.##")&amp;"+"&amp;TEXT(INDEX(ERP資料!$G:$G, (MATCH(871, 輔助計算!$G$2:$G$801, 0)+1)),"0.##"))))&amp;"-1")), ""), "")</f>
        <v/>
      </c>
      <c r="K872" s="16" t="n"/>
      <c r="L872" s="14">
        <f>IFERROR(IF(AND(IFERROR(INDEX(ERP資料!$A:$A, (MATCH(871, 輔助計算!$G$2:$G$801, 0)+1)), "")&lt;&gt;"", IFERROR(INDEX(ERP資料!$A:$A, (MATCH(871, 輔助計算!$G$2:$G$801, 0)+1)), "")&lt;&gt;IFERROR(INDEX(ERP資料!$A:$A, MATCH(870, 輔助計算!$G$2:$G$801, 0)+1), "")), INDEX(ERP資料!$B:$B, (MATCH(871, 輔助計算!$G$2:$G$801, 0)+1)), ""), "")</f>
        <v/>
      </c>
      <c r="M872" s="17" t="n"/>
    </row>
    <row r="873">
      <c r="A873" s="10">
        <f>IFERROR(IF(AND(IFERROR(INDEX(ERP資料!$A:$A, (MATCH(872, 輔助計算!$G$2:$G$801, 0)+1)), "")&lt;&gt;"", IFERROR(INDEX(ERP資料!$A:$A, (MATCH(872, 輔助計算!$G$2:$G$801, 0)+1)), "")&lt;&gt;IFERROR(INDEX(ERP資料!$A:$A, MATCH(871, 輔助計算!$G$2:$G$801, 0)+1), "")), IFERROR(INDEX(ERP資料!$A:$A, (MATCH(872, 輔助計算!$G$2:$G$801, 0)+1)), ""), ""), "")</f>
        <v/>
      </c>
      <c r="B873" s="10">
        <f>IFERROR(IF(AND(IFERROR(INDEX(ERP資料!$A:$A, (MATCH(872, 輔助計算!$G$2:$G$801, 0)+1)), "")&lt;&gt;"", IFERROR(INDEX(ERP資料!$A:$A, (MATCH(872, 輔助計算!$G$2:$G$801, 0)+1)), "")&lt;&gt;IFERROR(INDEX(ERP資料!$A:$A, MATCH(871, 輔助計算!$G$2:$G$801, 0)+1), "")), INDEX(ERP資料!$S:$S, (MATCH(872, 輔助計算!$G$2:$G$801, 0)+1)), ""), "")</f>
        <v/>
      </c>
      <c r="C873" s="19">
        <f>IFERROR(IF(AND(IFERROR(INDEX(ERP資料!$A:$A, (MATCH(872, 輔助計算!$G$2:$G$801, 0)+1)), "")&lt;&gt;"", IFERROR(INDEX(ERP資料!$A:$A, (MATCH(872, 輔助計算!$G$2:$G$801, 0)+1)), "")&lt;&gt;IFERROR(INDEX(ERP資料!$A:$A, MATCH(871, 輔助計算!$G$2:$G$801, 0)+1), "")), IFERROR(VLOOKUP(LEFT(INDEX(ERP資料!$S:$S, (MATCH(872, 輔助計算!$G$2:$G$801, 0)+1)), 4), 紙管對照表!$A:$C, 3, FALSE), ""), ""), "")</f>
        <v/>
      </c>
      <c r="D873" s="16" t="n"/>
      <c r="E873" s="10">
        <f>IFERROR(IF(INDEX(ERP資料!$H:$H, (MATCH(872, 輔助計算!$G$2:$G$801, 0)+1))="","",INDEX(ERP資料!$H:$H, (MATCH(872, 輔助計算!$G$2:$G$801, 0)+1))), "")</f>
        <v/>
      </c>
      <c r="F873" s="10">
        <f>IFERROR(IF(INDEX(ERP資料!$E:$E, (MATCH(872, 輔助計算!$G$2:$G$801, 0)+1))="","",TRIM(INDEX(ERP資料!$E:$E, (MATCH(872, 輔助計算!$G$2:$G$801, 0)+1)))), "")</f>
        <v/>
      </c>
      <c r="G873" s="10">
        <f>IFERROR(IF(INDEX(ERP資料!$F:$F, (MATCH(872, 輔助計算!$G$2:$G$801, 0)+1))="","",INDEX(ERP資料!$F:$F, (MATCH(872, 輔助計算!$G$2:$G$801, 0)+1))), "")</f>
        <v/>
      </c>
      <c r="H873" s="10">
        <f>IFERROR(IF(INDEX(ERP資料!$G:$G, (MATCH(872, 輔助計算!$G$2:$G$801, 0)+1))="","",INDEX(ERP資料!$G:$G, (MATCH(872, 輔助計算!$G$2:$G$801, 0)+1))), "")</f>
        <v/>
      </c>
      <c r="I873" s="15">
        <f>IFERROR(INDEX(輔助計算!$D:$D, (MATCH(872, 輔助計算!$G$2:$G$801, 0)+1)), "")</f>
        <v/>
      </c>
      <c r="J873" s="15">
        <f>IFERROR(IF(AND(INDEX(輔助計算!$D:$D, (MATCH(872, 輔助計算!$G$2:$G$801, 0)+1))&lt;&gt;"", INDEX(ERP資料!$G:$G, (MATCH(872, 輔助計算!$G$2:$G$801, 0)+1))&lt;&gt;""), TRIM(IF(INT(INDEX(輔助計算!$D:$D, (MATCH(872, 輔助計算!$G$2:$G$801, 0)+1))/IF(INDEX(ERP資料!$G:$G, (MATCH(872, 輔助計算!$G$2:$G$801, 0)+1))&lt;100, IF(INDEX(ERP資料!$G:$G, (MATCH(872, 輔助計算!$G$2:$G$801, 0)+1))&lt;=31,3,IF(INDEX(ERP資料!$G:$G, (MATCH(872, 輔助計算!$G$2:$G$801, 0)+1))&lt;=46.5,2,1)), IF(INDEX(ERP資料!$G:$G, (MATCH(872, 輔助計算!$G$2:$G$801, 0)+1))&lt;=790,3,IF(INDEX(ERP資料!$G:$G, (MATCH(872, 輔助計算!$G$2:$G$801, 0)+1))&lt;=1181,2,1))))&gt;0, IF(IF(INDEX(ERP資料!$G:$G, (MATCH(872, 輔助計算!$G$2:$G$801, 0)+1))&lt;100, IF(INDEX(ERP資料!$G:$G, (MATCH(872, 輔助計算!$G$2:$G$801, 0)+1))&lt;=31,3,IF(INDEX(ERP資料!$G:$G, (MATCH(872, 輔助計算!$G$2:$G$801, 0)+1))&lt;=46.5,2,1)), IF(INDEX(ERP資料!$G:$G, (MATCH(872, 輔助計算!$G$2:$G$801, 0)+1))&lt;=790,3,IF(INDEX(ERP資料!$G:$G, (MATCH(872, 輔助計算!$G$2:$G$801, 0)+1))&lt;=1181,2,1)))=1,TEXT(INDEX(ERP資料!$G:$G, (MATCH(872, 輔助計算!$G$2:$G$801, 0)+1)),"0.##"),IF(IF(INDEX(ERP資料!$G:$G, (MATCH(872, 輔助計算!$G$2:$G$801, 0)+1))&lt;100, IF(INDEX(ERP資料!$G:$G, (MATCH(872, 輔助計算!$G$2:$G$801, 0)+1))&lt;=31,3,IF(INDEX(ERP資料!$G:$G, (MATCH(872, 輔助計算!$G$2:$G$801, 0)+1))&lt;=46.5,2,1)), IF(INDEX(ERP資料!$G:$G, (MATCH(872, 輔助計算!$G$2:$G$801, 0)+1))&lt;=790,3,IF(INDEX(ERP資料!$G:$G, (MATCH(872, 輔助計算!$G$2:$G$801, 0)+1))&lt;=1181,2,1)))=2,TEXT(INDEX(ERP資料!$G:$G, (MATCH(872, 輔助計算!$G$2:$G$801, 0)+1)),"0.##")&amp;"+"&amp;TEXT(INDEX(ERP資料!$G:$G, (MATCH(872, 輔助計算!$G$2:$G$801, 0)+1)),"0.##"),TEXT(INDEX(ERP資料!$G:$G, (MATCH(872, 輔助計算!$G$2:$G$801, 0)+1)),"0.##")&amp;"+"&amp;TEXT(INDEX(ERP資料!$G:$G, (MATCH(872, 輔助計算!$G$2:$G$801, 0)+1)),"0.##")&amp;"+"&amp;TEXT(INDEX(ERP資料!$G:$G, (MATCH(872, 輔助計算!$G$2:$G$801, 0)+1)),"0.##")))&amp;"-"&amp;INT(INDEX(輔助計算!$D:$D, (MATCH(872, 輔助計算!$G$2:$G$801, 0)+1))/IF(INDEX(ERP資料!$G:$G, (MATCH(872, 輔助計算!$G$2:$G$801, 0)+1))&lt;100, IF(INDEX(ERP資料!$G:$G, (MATCH(872, 輔助計算!$G$2:$G$801, 0)+1))&lt;=31,3,IF(INDEX(ERP資料!$G:$G, (MATCH(872, 輔助計算!$G$2:$G$801, 0)+1))&lt;=46.5,2,1)), IF(INDEX(ERP資料!$G:$G, (MATCH(872, 輔助計算!$G$2:$G$801, 0)+1))&lt;=790,3,IF(INDEX(ERP資料!$G:$G, (MATCH(872, 輔助計算!$G$2:$G$801, 0)+1))&lt;=1181,2,1)))), "")&amp;IF(AND(IF(INT(INDEX(輔助計算!$D:$D, (MATCH(872, 輔助計算!$G$2:$G$801, 0)+1))/IF(INDEX(ERP資料!$G:$G, (MATCH(872, 輔助計算!$G$2:$G$801, 0)+1))&lt;100, IF(INDEX(ERP資料!$G:$G, (MATCH(872, 輔助計算!$G$2:$G$801, 0)+1))&lt;=31,3,IF(INDEX(ERP資料!$G:$G, (MATCH(872, 輔助計算!$G$2:$G$801, 0)+1))&lt;=46.5,2,1)), IF(INDEX(ERP資料!$G:$G, (MATCH(872, 輔助計算!$G$2:$G$801, 0)+1))&lt;=790,3,IF(INDEX(ERP資料!$G:$G, (MATCH(872, 輔助計算!$G$2:$G$801, 0)+1))&lt;=1181,2,1))))&gt;0, IF(IF(INDEX(ERP資料!$G:$G, (MATCH(872, 輔助計算!$G$2:$G$801, 0)+1))&lt;100, IF(INDEX(ERP資料!$G:$G, (MATCH(872, 輔助計算!$G$2:$G$801, 0)+1))&lt;=31,3,IF(INDEX(ERP資料!$G:$G, (MATCH(872, 輔助計算!$G$2:$G$801, 0)+1))&lt;=46.5,2,1)), IF(INDEX(ERP資料!$G:$G, (MATCH(872, 輔助計算!$G$2:$G$801, 0)+1))&lt;=790,3,IF(INDEX(ERP資料!$G:$G, (MATCH(872, 輔助計算!$G$2:$G$801, 0)+1))&lt;=1181,2,1)))=1,TEXT(INDEX(ERP資料!$G:$G, (MATCH(872, 輔助計算!$G$2:$G$801, 0)+1)),"0.##"),IF(IF(INDEX(ERP資料!$G:$G, (MATCH(872, 輔助計算!$G$2:$G$801, 0)+1))&lt;100, IF(INDEX(ERP資料!$G:$G, (MATCH(872, 輔助計算!$G$2:$G$801, 0)+1))&lt;=31,3,IF(INDEX(ERP資料!$G:$G, (MATCH(872, 輔助計算!$G$2:$G$801, 0)+1))&lt;=46.5,2,1)), IF(INDEX(ERP資料!$G:$G, (MATCH(872, 輔助計算!$G$2:$G$801, 0)+1))&lt;=790,3,IF(INDEX(ERP資料!$G:$G, (MATCH(872, 輔助計算!$G$2:$G$801, 0)+1))&lt;=1181,2,1)))=2,TEXT(INDEX(ERP資料!$G:$G, (MATCH(872, 輔助計算!$G$2:$G$801, 0)+1)),"0.##")&amp;"+"&amp;TEXT(INDEX(ERP資料!$G:$G, (MATCH(872, 輔助計算!$G$2:$G$801, 0)+1)),"0.##"),TEXT(INDEX(ERP資料!$G:$G, (MATCH(872, 輔助計算!$G$2:$G$801, 0)+1)),"0.##")&amp;"+"&amp;TEXT(INDEX(ERP資料!$G:$G, (MATCH(872, 輔助計算!$G$2:$G$801, 0)+1)),"0.##")&amp;"+"&amp;TEXT(INDEX(ERP資料!$G:$G, (MATCH(872, 輔助計算!$G$2:$G$801, 0)+1)),"0.##")))&amp;"-"&amp;INT(INDEX(輔助計算!$D:$D, (MATCH(872, 輔助計算!$G$2:$G$801, 0)+1))/IF(INDEX(ERP資料!$G:$G, (MATCH(872, 輔助計算!$G$2:$G$801, 0)+1))&lt;100, IF(INDEX(ERP資料!$G:$G, (MATCH(872, 輔助計算!$G$2:$G$801, 0)+1))&lt;=31,3,IF(INDEX(ERP資料!$G:$G, (MATCH(872, 輔助計算!$G$2:$G$801, 0)+1))&lt;=46.5,2,1)), IF(INDEX(ERP資料!$G:$G, (MATCH(872, 輔助計算!$G$2:$G$801, 0)+1))&lt;=790,3,IF(INDEX(ERP資料!$G:$G, (MATCH(872, 輔助計算!$G$2:$G$801, 0)+1))&lt;=1181,2,1)))), "")&lt;&gt;"",IF(MOD(INDEX(輔助計算!$D:$D, (MATCH(872, 輔助計算!$G$2:$G$801, 0)+1)),IF(INDEX(ERP資料!$G:$G, (MATCH(872, 輔助計算!$G$2:$G$801, 0)+1))&lt;100, IF(INDEX(ERP資料!$G:$G, (MATCH(872, 輔助計算!$G$2:$G$801, 0)+1))&lt;=31,3,IF(INDEX(ERP資料!$G:$G, (MATCH(872, 輔助計算!$G$2:$G$801, 0)+1))&lt;=46.5,2,1)), IF(INDEX(ERP資料!$G:$G, (MATCH(872, 輔助計算!$G$2:$G$801, 0)+1))&lt;=790,3,IF(INDEX(ERP資料!$G:$G, (MATCH(872, 輔助計算!$G$2:$G$801, 0)+1))&lt;=1181,2,1))))=0,"",IF(MOD(INDEX(輔助計算!$D:$D, (MATCH(872, 輔助計算!$G$2:$G$801, 0)+1)),IF(INDEX(ERP資料!$G:$G, (MATCH(872, 輔助計算!$G$2:$G$801, 0)+1))&lt;100, IF(INDEX(ERP資料!$G:$G, (MATCH(872, 輔助計算!$G$2:$G$801, 0)+1))&lt;=31,3,IF(INDEX(ERP資料!$G:$G, (MATCH(872, 輔助計算!$G$2:$G$801, 0)+1))&lt;=46.5,2,1)), IF(INDEX(ERP資料!$G:$G, (MATCH(872, 輔助計算!$G$2:$G$801, 0)+1))&lt;=790,3,IF(INDEX(ERP資料!$G:$G, (MATCH(872, 輔助計算!$G$2:$G$801, 0)+1))&lt;=1181,2,1))))=0,"",IF(MOD(INDEX(輔助計算!$D:$D, (MATCH(872, 輔助計算!$G$2:$G$801, 0)+1)),IF(INDEX(ERP資料!$G:$G, (MATCH(872, 輔助計算!$G$2:$G$801, 0)+1))&lt;100, IF(INDEX(ERP資料!$G:$G, (MATCH(872, 輔助計算!$G$2:$G$801, 0)+1))&lt;=31,3,IF(INDEX(ERP資料!$G:$G, (MATCH(872, 輔助計算!$G$2:$G$801, 0)+1))&lt;=46.5,2,1)), IF(INDEX(ERP資料!$G:$G, (MATCH(872, 輔助計算!$G$2:$G$801, 0)+1))&lt;=790,3,IF(INDEX(ERP資料!$G:$G, (MATCH(872, 輔助計算!$G$2:$G$801, 0)+1))&lt;=1181,2,1))))=1,TEXT(INDEX(ERP資料!$G:$G, (MATCH(872, 輔助計算!$G$2:$G$801, 0)+1)),"0.##"),IF(MOD(INDEX(輔助計算!$D:$D, (MATCH(872, 輔助計算!$G$2:$G$801, 0)+1)),IF(INDEX(ERP資料!$G:$G, (MATCH(872, 輔助計算!$G$2:$G$801, 0)+1))&lt;100, IF(INDEX(ERP資料!$G:$G, (MATCH(872, 輔助計算!$G$2:$G$801, 0)+1))&lt;=31,3,IF(INDEX(ERP資料!$G:$G, (MATCH(872, 輔助計算!$G$2:$G$801, 0)+1))&lt;=46.5,2,1)), IF(INDEX(ERP資料!$G:$G, (MATCH(872, 輔助計算!$G$2:$G$801, 0)+1))&lt;=790,3,IF(INDEX(ERP資料!$G:$G, (MATCH(872, 輔助計算!$G$2:$G$801, 0)+1))&lt;=1181,2,1))))=2,TEXT(INDEX(ERP資料!$G:$G, (MATCH(872, 輔助計算!$G$2:$G$801, 0)+1)),"0.##")&amp;"+"&amp;TEXT(INDEX(ERP資料!$G:$G, (MATCH(872, 輔助計算!$G$2:$G$801, 0)+1)),"0.##"),TEXT(INDEX(ERP資料!$G:$G, (MATCH(872, 輔助計算!$G$2:$G$801, 0)+1)),"0.##")&amp;"+"&amp;TEXT(INDEX(ERP資料!$G:$G, (MATCH(872, 輔助計算!$G$2:$G$801, 0)+1)),"0.##")&amp;"+"&amp;TEXT(INDEX(ERP資料!$G:$G, (MATCH(872, 輔助計算!$G$2:$G$801, 0)+1)),"0.##"))))&amp;"-1")&lt;&gt;""),"  ","")&amp;IF(MOD(INDEX(輔助計算!$D:$D, (MATCH(872, 輔助計算!$G$2:$G$801, 0)+1)),IF(INDEX(ERP資料!$G:$G, (MATCH(872, 輔助計算!$G$2:$G$801, 0)+1))&lt;100, IF(INDEX(ERP資料!$G:$G, (MATCH(872, 輔助計算!$G$2:$G$801, 0)+1))&lt;=31,3,IF(INDEX(ERP資料!$G:$G, (MATCH(872, 輔助計算!$G$2:$G$801, 0)+1))&lt;=46.5,2,1)), IF(INDEX(ERP資料!$G:$G, (MATCH(872, 輔助計算!$G$2:$G$801, 0)+1))&lt;=790,3,IF(INDEX(ERP資料!$G:$G, (MATCH(872, 輔助計算!$G$2:$G$801, 0)+1))&lt;=1181,2,1))))=0,"",IF(MOD(INDEX(輔助計算!$D:$D, (MATCH(872, 輔助計算!$G$2:$G$801, 0)+1)),IF(INDEX(ERP資料!$G:$G, (MATCH(872, 輔助計算!$G$2:$G$801, 0)+1))&lt;100, IF(INDEX(ERP資料!$G:$G, (MATCH(872, 輔助計算!$G$2:$G$801, 0)+1))&lt;=31,3,IF(INDEX(ERP資料!$G:$G, (MATCH(872, 輔助計算!$G$2:$G$801, 0)+1))&lt;=46.5,2,1)), IF(INDEX(ERP資料!$G:$G, (MATCH(872, 輔助計算!$G$2:$G$801, 0)+1))&lt;=790,3,IF(INDEX(ERP資料!$G:$G, (MATCH(872, 輔助計算!$G$2:$G$801, 0)+1))&lt;=1181,2,1))))=0,"",IF(MOD(INDEX(輔助計算!$D:$D, (MATCH(872, 輔助計算!$G$2:$G$801, 0)+1)),IF(INDEX(ERP資料!$G:$G, (MATCH(872, 輔助計算!$G$2:$G$801, 0)+1))&lt;100, IF(INDEX(ERP資料!$G:$G, (MATCH(872, 輔助計算!$G$2:$G$801, 0)+1))&lt;=31,3,IF(INDEX(ERP資料!$G:$G, (MATCH(872, 輔助計算!$G$2:$G$801, 0)+1))&lt;=46.5,2,1)), IF(INDEX(ERP資料!$G:$G, (MATCH(872, 輔助計算!$G$2:$G$801, 0)+1))&lt;=790,3,IF(INDEX(ERP資料!$G:$G, (MATCH(872, 輔助計算!$G$2:$G$801, 0)+1))&lt;=1181,2,1))))=1,TEXT(INDEX(ERP資料!$G:$G, (MATCH(872, 輔助計算!$G$2:$G$801, 0)+1)),"0.##"),IF(MOD(INDEX(輔助計算!$D:$D, (MATCH(872, 輔助計算!$G$2:$G$801, 0)+1)),IF(INDEX(ERP資料!$G:$G, (MATCH(872, 輔助計算!$G$2:$G$801, 0)+1))&lt;100, IF(INDEX(ERP資料!$G:$G, (MATCH(872, 輔助計算!$G$2:$G$801, 0)+1))&lt;=31,3,IF(INDEX(ERP資料!$G:$G, (MATCH(872, 輔助計算!$G$2:$G$801, 0)+1))&lt;=46.5,2,1)), IF(INDEX(ERP資料!$G:$G, (MATCH(872, 輔助計算!$G$2:$G$801, 0)+1))&lt;=790,3,IF(INDEX(ERP資料!$G:$G, (MATCH(872, 輔助計算!$G$2:$G$801, 0)+1))&lt;=1181,2,1))))=2,TEXT(INDEX(ERP資料!$G:$G, (MATCH(872, 輔助計算!$G$2:$G$801, 0)+1)),"0.##")&amp;"+"&amp;TEXT(INDEX(ERP資料!$G:$G, (MATCH(872, 輔助計算!$G$2:$G$801, 0)+1)),"0.##"),TEXT(INDEX(ERP資料!$G:$G, (MATCH(872, 輔助計算!$G$2:$G$801, 0)+1)),"0.##")&amp;"+"&amp;TEXT(INDEX(ERP資料!$G:$G, (MATCH(872, 輔助計算!$G$2:$G$801, 0)+1)),"0.##")&amp;"+"&amp;TEXT(INDEX(ERP資料!$G:$G, (MATCH(872, 輔助計算!$G$2:$G$801, 0)+1)),"0.##"))))&amp;"-1")), ""), "")</f>
        <v/>
      </c>
      <c r="K873" s="16" t="n"/>
      <c r="L873" s="14">
        <f>IFERROR(IF(AND(IFERROR(INDEX(ERP資料!$A:$A, (MATCH(872, 輔助計算!$G$2:$G$801, 0)+1)), "")&lt;&gt;"", IFERROR(INDEX(ERP資料!$A:$A, (MATCH(872, 輔助計算!$G$2:$G$801, 0)+1)), "")&lt;&gt;IFERROR(INDEX(ERP資料!$A:$A, MATCH(871, 輔助計算!$G$2:$G$801, 0)+1), "")), INDEX(ERP資料!$B:$B, (MATCH(872, 輔助計算!$G$2:$G$801, 0)+1)), ""), "")</f>
        <v/>
      </c>
      <c r="M873" s="17" t="n"/>
    </row>
    <row r="874">
      <c r="A874" s="10">
        <f>IFERROR(IF(AND(IFERROR(INDEX(ERP資料!$A:$A, (MATCH(873, 輔助計算!$G$2:$G$801, 0)+1)), "")&lt;&gt;"", IFERROR(INDEX(ERP資料!$A:$A, (MATCH(873, 輔助計算!$G$2:$G$801, 0)+1)), "")&lt;&gt;IFERROR(INDEX(ERP資料!$A:$A, MATCH(872, 輔助計算!$G$2:$G$801, 0)+1), "")), IFERROR(INDEX(ERP資料!$A:$A, (MATCH(873, 輔助計算!$G$2:$G$801, 0)+1)), ""), ""), "")</f>
        <v/>
      </c>
      <c r="B874" s="10">
        <f>IFERROR(IF(AND(IFERROR(INDEX(ERP資料!$A:$A, (MATCH(873, 輔助計算!$G$2:$G$801, 0)+1)), "")&lt;&gt;"", IFERROR(INDEX(ERP資料!$A:$A, (MATCH(873, 輔助計算!$G$2:$G$801, 0)+1)), "")&lt;&gt;IFERROR(INDEX(ERP資料!$A:$A, MATCH(872, 輔助計算!$G$2:$G$801, 0)+1), "")), INDEX(ERP資料!$S:$S, (MATCH(873, 輔助計算!$G$2:$G$801, 0)+1)), ""), "")</f>
        <v/>
      </c>
      <c r="C874" s="19">
        <f>IFERROR(IF(AND(IFERROR(INDEX(ERP資料!$A:$A, (MATCH(873, 輔助計算!$G$2:$G$801, 0)+1)), "")&lt;&gt;"", IFERROR(INDEX(ERP資料!$A:$A, (MATCH(873, 輔助計算!$G$2:$G$801, 0)+1)), "")&lt;&gt;IFERROR(INDEX(ERP資料!$A:$A, MATCH(872, 輔助計算!$G$2:$G$801, 0)+1), "")), IFERROR(VLOOKUP(LEFT(INDEX(ERP資料!$S:$S, (MATCH(873, 輔助計算!$G$2:$G$801, 0)+1)), 4), 紙管對照表!$A:$C, 3, FALSE), ""), ""), "")</f>
        <v/>
      </c>
      <c r="D874" s="16" t="n"/>
      <c r="E874" s="10">
        <f>IFERROR(IF(INDEX(ERP資料!$H:$H, (MATCH(873, 輔助計算!$G$2:$G$801, 0)+1))="","",INDEX(ERP資料!$H:$H, (MATCH(873, 輔助計算!$G$2:$G$801, 0)+1))), "")</f>
        <v/>
      </c>
      <c r="F874" s="10">
        <f>IFERROR(IF(INDEX(ERP資料!$E:$E, (MATCH(873, 輔助計算!$G$2:$G$801, 0)+1))="","",TRIM(INDEX(ERP資料!$E:$E, (MATCH(873, 輔助計算!$G$2:$G$801, 0)+1)))), "")</f>
        <v/>
      </c>
      <c r="G874" s="10">
        <f>IFERROR(IF(INDEX(ERP資料!$F:$F, (MATCH(873, 輔助計算!$G$2:$G$801, 0)+1))="","",INDEX(ERP資料!$F:$F, (MATCH(873, 輔助計算!$G$2:$G$801, 0)+1))), "")</f>
        <v/>
      </c>
      <c r="H874" s="10">
        <f>IFERROR(IF(INDEX(ERP資料!$G:$G, (MATCH(873, 輔助計算!$G$2:$G$801, 0)+1))="","",INDEX(ERP資料!$G:$G, (MATCH(873, 輔助計算!$G$2:$G$801, 0)+1))), "")</f>
        <v/>
      </c>
      <c r="I874" s="15">
        <f>IFERROR(INDEX(輔助計算!$D:$D, (MATCH(873, 輔助計算!$G$2:$G$801, 0)+1)), "")</f>
        <v/>
      </c>
      <c r="J874" s="15">
        <f>IFERROR(IF(AND(INDEX(輔助計算!$D:$D, (MATCH(873, 輔助計算!$G$2:$G$801, 0)+1))&lt;&gt;"", INDEX(ERP資料!$G:$G, (MATCH(873, 輔助計算!$G$2:$G$801, 0)+1))&lt;&gt;""), TRIM(IF(INT(INDEX(輔助計算!$D:$D, (MATCH(873, 輔助計算!$G$2:$G$801, 0)+1))/IF(INDEX(ERP資料!$G:$G, (MATCH(873, 輔助計算!$G$2:$G$801, 0)+1))&lt;100, IF(INDEX(ERP資料!$G:$G, (MATCH(873, 輔助計算!$G$2:$G$801, 0)+1))&lt;=31,3,IF(INDEX(ERP資料!$G:$G, (MATCH(873, 輔助計算!$G$2:$G$801, 0)+1))&lt;=46.5,2,1)), IF(INDEX(ERP資料!$G:$G, (MATCH(873, 輔助計算!$G$2:$G$801, 0)+1))&lt;=790,3,IF(INDEX(ERP資料!$G:$G, (MATCH(873, 輔助計算!$G$2:$G$801, 0)+1))&lt;=1181,2,1))))&gt;0, IF(IF(INDEX(ERP資料!$G:$G, (MATCH(873, 輔助計算!$G$2:$G$801, 0)+1))&lt;100, IF(INDEX(ERP資料!$G:$G, (MATCH(873, 輔助計算!$G$2:$G$801, 0)+1))&lt;=31,3,IF(INDEX(ERP資料!$G:$G, (MATCH(873, 輔助計算!$G$2:$G$801, 0)+1))&lt;=46.5,2,1)), IF(INDEX(ERP資料!$G:$G, (MATCH(873, 輔助計算!$G$2:$G$801, 0)+1))&lt;=790,3,IF(INDEX(ERP資料!$G:$G, (MATCH(873, 輔助計算!$G$2:$G$801, 0)+1))&lt;=1181,2,1)))=1,TEXT(INDEX(ERP資料!$G:$G, (MATCH(873, 輔助計算!$G$2:$G$801, 0)+1)),"0.##"),IF(IF(INDEX(ERP資料!$G:$G, (MATCH(873, 輔助計算!$G$2:$G$801, 0)+1))&lt;100, IF(INDEX(ERP資料!$G:$G, (MATCH(873, 輔助計算!$G$2:$G$801, 0)+1))&lt;=31,3,IF(INDEX(ERP資料!$G:$G, (MATCH(873, 輔助計算!$G$2:$G$801, 0)+1))&lt;=46.5,2,1)), IF(INDEX(ERP資料!$G:$G, (MATCH(873, 輔助計算!$G$2:$G$801, 0)+1))&lt;=790,3,IF(INDEX(ERP資料!$G:$G, (MATCH(873, 輔助計算!$G$2:$G$801, 0)+1))&lt;=1181,2,1)))=2,TEXT(INDEX(ERP資料!$G:$G, (MATCH(873, 輔助計算!$G$2:$G$801, 0)+1)),"0.##")&amp;"+"&amp;TEXT(INDEX(ERP資料!$G:$G, (MATCH(873, 輔助計算!$G$2:$G$801, 0)+1)),"0.##"),TEXT(INDEX(ERP資料!$G:$G, (MATCH(873, 輔助計算!$G$2:$G$801, 0)+1)),"0.##")&amp;"+"&amp;TEXT(INDEX(ERP資料!$G:$G, (MATCH(873, 輔助計算!$G$2:$G$801, 0)+1)),"0.##")&amp;"+"&amp;TEXT(INDEX(ERP資料!$G:$G, (MATCH(873, 輔助計算!$G$2:$G$801, 0)+1)),"0.##")))&amp;"-"&amp;INT(INDEX(輔助計算!$D:$D, (MATCH(873, 輔助計算!$G$2:$G$801, 0)+1))/IF(INDEX(ERP資料!$G:$G, (MATCH(873, 輔助計算!$G$2:$G$801, 0)+1))&lt;100, IF(INDEX(ERP資料!$G:$G, (MATCH(873, 輔助計算!$G$2:$G$801, 0)+1))&lt;=31,3,IF(INDEX(ERP資料!$G:$G, (MATCH(873, 輔助計算!$G$2:$G$801, 0)+1))&lt;=46.5,2,1)), IF(INDEX(ERP資料!$G:$G, (MATCH(873, 輔助計算!$G$2:$G$801, 0)+1))&lt;=790,3,IF(INDEX(ERP資料!$G:$G, (MATCH(873, 輔助計算!$G$2:$G$801, 0)+1))&lt;=1181,2,1)))), "")&amp;IF(AND(IF(INT(INDEX(輔助計算!$D:$D, (MATCH(873, 輔助計算!$G$2:$G$801, 0)+1))/IF(INDEX(ERP資料!$G:$G, (MATCH(873, 輔助計算!$G$2:$G$801, 0)+1))&lt;100, IF(INDEX(ERP資料!$G:$G, (MATCH(873, 輔助計算!$G$2:$G$801, 0)+1))&lt;=31,3,IF(INDEX(ERP資料!$G:$G, (MATCH(873, 輔助計算!$G$2:$G$801, 0)+1))&lt;=46.5,2,1)), IF(INDEX(ERP資料!$G:$G, (MATCH(873, 輔助計算!$G$2:$G$801, 0)+1))&lt;=790,3,IF(INDEX(ERP資料!$G:$G, (MATCH(873, 輔助計算!$G$2:$G$801, 0)+1))&lt;=1181,2,1))))&gt;0, IF(IF(INDEX(ERP資料!$G:$G, (MATCH(873, 輔助計算!$G$2:$G$801, 0)+1))&lt;100, IF(INDEX(ERP資料!$G:$G, (MATCH(873, 輔助計算!$G$2:$G$801, 0)+1))&lt;=31,3,IF(INDEX(ERP資料!$G:$G, (MATCH(873, 輔助計算!$G$2:$G$801, 0)+1))&lt;=46.5,2,1)), IF(INDEX(ERP資料!$G:$G, (MATCH(873, 輔助計算!$G$2:$G$801, 0)+1))&lt;=790,3,IF(INDEX(ERP資料!$G:$G, (MATCH(873, 輔助計算!$G$2:$G$801, 0)+1))&lt;=1181,2,1)))=1,TEXT(INDEX(ERP資料!$G:$G, (MATCH(873, 輔助計算!$G$2:$G$801, 0)+1)),"0.##"),IF(IF(INDEX(ERP資料!$G:$G, (MATCH(873, 輔助計算!$G$2:$G$801, 0)+1))&lt;100, IF(INDEX(ERP資料!$G:$G, (MATCH(873, 輔助計算!$G$2:$G$801, 0)+1))&lt;=31,3,IF(INDEX(ERP資料!$G:$G, (MATCH(873, 輔助計算!$G$2:$G$801, 0)+1))&lt;=46.5,2,1)), IF(INDEX(ERP資料!$G:$G, (MATCH(873, 輔助計算!$G$2:$G$801, 0)+1))&lt;=790,3,IF(INDEX(ERP資料!$G:$G, (MATCH(873, 輔助計算!$G$2:$G$801, 0)+1))&lt;=1181,2,1)))=2,TEXT(INDEX(ERP資料!$G:$G, (MATCH(873, 輔助計算!$G$2:$G$801, 0)+1)),"0.##")&amp;"+"&amp;TEXT(INDEX(ERP資料!$G:$G, (MATCH(873, 輔助計算!$G$2:$G$801, 0)+1)),"0.##"),TEXT(INDEX(ERP資料!$G:$G, (MATCH(873, 輔助計算!$G$2:$G$801, 0)+1)),"0.##")&amp;"+"&amp;TEXT(INDEX(ERP資料!$G:$G, (MATCH(873, 輔助計算!$G$2:$G$801, 0)+1)),"0.##")&amp;"+"&amp;TEXT(INDEX(ERP資料!$G:$G, (MATCH(873, 輔助計算!$G$2:$G$801, 0)+1)),"0.##")))&amp;"-"&amp;INT(INDEX(輔助計算!$D:$D, (MATCH(873, 輔助計算!$G$2:$G$801, 0)+1))/IF(INDEX(ERP資料!$G:$G, (MATCH(873, 輔助計算!$G$2:$G$801, 0)+1))&lt;100, IF(INDEX(ERP資料!$G:$G, (MATCH(873, 輔助計算!$G$2:$G$801, 0)+1))&lt;=31,3,IF(INDEX(ERP資料!$G:$G, (MATCH(873, 輔助計算!$G$2:$G$801, 0)+1))&lt;=46.5,2,1)), IF(INDEX(ERP資料!$G:$G, (MATCH(873, 輔助計算!$G$2:$G$801, 0)+1))&lt;=790,3,IF(INDEX(ERP資料!$G:$G, (MATCH(873, 輔助計算!$G$2:$G$801, 0)+1))&lt;=1181,2,1)))), "")&lt;&gt;"",IF(MOD(INDEX(輔助計算!$D:$D, (MATCH(873, 輔助計算!$G$2:$G$801, 0)+1)),IF(INDEX(ERP資料!$G:$G, (MATCH(873, 輔助計算!$G$2:$G$801, 0)+1))&lt;100, IF(INDEX(ERP資料!$G:$G, (MATCH(873, 輔助計算!$G$2:$G$801, 0)+1))&lt;=31,3,IF(INDEX(ERP資料!$G:$G, (MATCH(873, 輔助計算!$G$2:$G$801, 0)+1))&lt;=46.5,2,1)), IF(INDEX(ERP資料!$G:$G, (MATCH(873, 輔助計算!$G$2:$G$801, 0)+1))&lt;=790,3,IF(INDEX(ERP資料!$G:$G, (MATCH(873, 輔助計算!$G$2:$G$801, 0)+1))&lt;=1181,2,1))))=0,"",IF(MOD(INDEX(輔助計算!$D:$D, (MATCH(873, 輔助計算!$G$2:$G$801, 0)+1)),IF(INDEX(ERP資料!$G:$G, (MATCH(873, 輔助計算!$G$2:$G$801, 0)+1))&lt;100, IF(INDEX(ERP資料!$G:$G, (MATCH(873, 輔助計算!$G$2:$G$801, 0)+1))&lt;=31,3,IF(INDEX(ERP資料!$G:$G, (MATCH(873, 輔助計算!$G$2:$G$801, 0)+1))&lt;=46.5,2,1)), IF(INDEX(ERP資料!$G:$G, (MATCH(873, 輔助計算!$G$2:$G$801, 0)+1))&lt;=790,3,IF(INDEX(ERP資料!$G:$G, (MATCH(873, 輔助計算!$G$2:$G$801, 0)+1))&lt;=1181,2,1))))=0,"",IF(MOD(INDEX(輔助計算!$D:$D, (MATCH(873, 輔助計算!$G$2:$G$801, 0)+1)),IF(INDEX(ERP資料!$G:$G, (MATCH(873, 輔助計算!$G$2:$G$801, 0)+1))&lt;100, IF(INDEX(ERP資料!$G:$G, (MATCH(873, 輔助計算!$G$2:$G$801, 0)+1))&lt;=31,3,IF(INDEX(ERP資料!$G:$G, (MATCH(873, 輔助計算!$G$2:$G$801, 0)+1))&lt;=46.5,2,1)), IF(INDEX(ERP資料!$G:$G, (MATCH(873, 輔助計算!$G$2:$G$801, 0)+1))&lt;=790,3,IF(INDEX(ERP資料!$G:$G, (MATCH(873, 輔助計算!$G$2:$G$801, 0)+1))&lt;=1181,2,1))))=1,TEXT(INDEX(ERP資料!$G:$G, (MATCH(873, 輔助計算!$G$2:$G$801, 0)+1)),"0.##"),IF(MOD(INDEX(輔助計算!$D:$D, (MATCH(873, 輔助計算!$G$2:$G$801, 0)+1)),IF(INDEX(ERP資料!$G:$G, (MATCH(873, 輔助計算!$G$2:$G$801, 0)+1))&lt;100, IF(INDEX(ERP資料!$G:$G, (MATCH(873, 輔助計算!$G$2:$G$801, 0)+1))&lt;=31,3,IF(INDEX(ERP資料!$G:$G, (MATCH(873, 輔助計算!$G$2:$G$801, 0)+1))&lt;=46.5,2,1)), IF(INDEX(ERP資料!$G:$G, (MATCH(873, 輔助計算!$G$2:$G$801, 0)+1))&lt;=790,3,IF(INDEX(ERP資料!$G:$G, (MATCH(873, 輔助計算!$G$2:$G$801, 0)+1))&lt;=1181,2,1))))=2,TEXT(INDEX(ERP資料!$G:$G, (MATCH(873, 輔助計算!$G$2:$G$801, 0)+1)),"0.##")&amp;"+"&amp;TEXT(INDEX(ERP資料!$G:$G, (MATCH(873, 輔助計算!$G$2:$G$801, 0)+1)),"0.##"),TEXT(INDEX(ERP資料!$G:$G, (MATCH(873, 輔助計算!$G$2:$G$801, 0)+1)),"0.##")&amp;"+"&amp;TEXT(INDEX(ERP資料!$G:$G, (MATCH(873, 輔助計算!$G$2:$G$801, 0)+1)),"0.##")&amp;"+"&amp;TEXT(INDEX(ERP資料!$G:$G, (MATCH(873, 輔助計算!$G$2:$G$801, 0)+1)),"0.##"))))&amp;"-1")&lt;&gt;""),"  ","")&amp;IF(MOD(INDEX(輔助計算!$D:$D, (MATCH(873, 輔助計算!$G$2:$G$801, 0)+1)),IF(INDEX(ERP資料!$G:$G, (MATCH(873, 輔助計算!$G$2:$G$801, 0)+1))&lt;100, IF(INDEX(ERP資料!$G:$G, (MATCH(873, 輔助計算!$G$2:$G$801, 0)+1))&lt;=31,3,IF(INDEX(ERP資料!$G:$G, (MATCH(873, 輔助計算!$G$2:$G$801, 0)+1))&lt;=46.5,2,1)), IF(INDEX(ERP資料!$G:$G, (MATCH(873, 輔助計算!$G$2:$G$801, 0)+1))&lt;=790,3,IF(INDEX(ERP資料!$G:$G, (MATCH(873, 輔助計算!$G$2:$G$801, 0)+1))&lt;=1181,2,1))))=0,"",IF(MOD(INDEX(輔助計算!$D:$D, (MATCH(873, 輔助計算!$G$2:$G$801, 0)+1)),IF(INDEX(ERP資料!$G:$G, (MATCH(873, 輔助計算!$G$2:$G$801, 0)+1))&lt;100, IF(INDEX(ERP資料!$G:$G, (MATCH(873, 輔助計算!$G$2:$G$801, 0)+1))&lt;=31,3,IF(INDEX(ERP資料!$G:$G, (MATCH(873, 輔助計算!$G$2:$G$801, 0)+1))&lt;=46.5,2,1)), IF(INDEX(ERP資料!$G:$G, (MATCH(873, 輔助計算!$G$2:$G$801, 0)+1))&lt;=790,3,IF(INDEX(ERP資料!$G:$G, (MATCH(873, 輔助計算!$G$2:$G$801, 0)+1))&lt;=1181,2,1))))=0,"",IF(MOD(INDEX(輔助計算!$D:$D, (MATCH(873, 輔助計算!$G$2:$G$801, 0)+1)),IF(INDEX(ERP資料!$G:$G, (MATCH(873, 輔助計算!$G$2:$G$801, 0)+1))&lt;100, IF(INDEX(ERP資料!$G:$G, (MATCH(873, 輔助計算!$G$2:$G$801, 0)+1))&lt;=31,3,IF(INDEX(ERP資料!$G:$G, (MATCH(873, 輔助計算!$G$2:$G$801, 0)+1))&lt;=46.5,2,1)), IF(INDEX(ERP資料!$G:$G, (MATCH(873, 輔助計算!$G$2:$G$801, 0)+1))&lt;=790,3,IF(INDEX(ERP資料!$G:$G, (MATCH(873, 輔助計算!$G$2:$G$801, 0)+1))&lt;=1181,2,1))))=1,TEXT(INDEX(ERP資料!$G:$G, (MATCH(873, 輔助計算!$G$2:$G$801, 0)+1)),"0.##"),IF(MOD(INDEX(輔助計算!$D:$D, (MATCH(873, 輔助計算!$G$2:$G$801, 0)+1)),IF(INDEX(ERP資料!$G:$G, (MATCH(873, 輔助計算!$G$2:$G$801, 0)+1))&lt;100, IF(INDEX(ERP資料!$G:$G, (MATCH(873, 輔助計算!$G$2:$G$801, 0)+1))&lt;=31,3,IF(INDEX(ERP資料!$G:$G, (MATCH(873, 輔助計算!$G$2:$G$801, 0)+1))&lt;=46.5,2,1)), IF(INDEX(ERP資料!$G:$G, (MATCH(873, 輔助計算!$G$2:$G$801, 0)+1))&lt;=790,3,IF(INDEX(ERP資料!$G:$G, (MATCH(873, 輔助計算!$G$2:$G$801, 0)+1))&lt;=1181,2,1))))=2,TEXT(INDEX(ERP資料!$G:$G, (MATCH(873, 輔助計算!$G$2:$G$801, 0)+1)),"0.##")&amp;"+"&amp;TEXT(INDEX(ERP資料!$G:$G, (MATCH(873, 輔助計算!$G$2:$G$801, 0)+1)),"0.##"),TEXT(INDEX(ERP資料!$G:$G, (MATCH(873, 輔助計算!$G$2:$G$801, 0)+1)),"0.##")&amp;"+"&amp;TEXT(INDEX(ERP資料!$G:$G, (MATCH(873, 輔助計算!$G$2:$G$801, 0)+1)),"0.##")&amp;"+"&amp;TEXT(INDEX(ERP資料!$G:$G, (MATCH(873, 輔助計算!$G$2:$G$801, 0)+1)),"0.##"))))&amp;"-1")), ""), "")</f>
        <v/>
      </c>
      <c r="K874" s="16" t="n"/>
      <c r="L874" s="14">
        <f>IFERROR(IF(AND(IFERROR(INDEX(ERP資料!$A:$A, (MATCH(873, 輔助計算!$G$2:$G$801, 0)+1)), "")&lt;&gt;"", IFERROR(INDEX(ERP資料!$A:$A, (MATCH(873, 輔助計算!$G$2:$G$801, 0)+1)), "")&lt;&gt;IFERROR(INDEX(ERP資料!$A:$A, MATCH(872, 輔助計算!$G$2:$G$801, 0)+1), "")), INDEX(ERP資料!$B:$B, (MATCH(873, 輔助計算!$G$2:$G$801, 0)+1)), ""), "")</f>
        <v/>
      </c>
      <c r="M874" s="17" t="n"/>
    </row>
    <row r="875">
      <c r="A875" s="10">
        <f>IFERROR(IF(AND(IFERROR(INDEX(ERP資料!$A:$A, (MATCH(874, 輔助計算!$G$2:$G$801, 0)+1)), "")&lt;&gt;"", IFERROR(INDEX(ERP資料!$A:$A, (MATCH(874, 輔助計算!$G$2:$G$801, 0)+1)), "")&lt;&gt;IFERROR(INDEX(ERP資料!$A:$A, MATCH(873, 輔助計算!$G$2:$G$801, 0)+1), "")), IFERROR(INDEX(ERP資料!$A:$A, (MATCH(874, 輔助計算!$G$2:$G$801, 0)+1)), ""), ""), "")</f>
        <v/>
      </c>
      <c r="B875" s="10">
        <f>IFERROR(IF(AND(IFERROR(INDEX(ERP資料!$A:$A, (MATCH(874, 輔助計算!$G$2:$G$801, 0)+1)), "")&lt;&gt;"", IFERROR(INDEX(ERP資料!$A:$A, (MATCH(874, 輔助計算!$G$2:$G$801, 0)+1)), "")&lt;&gt;IFERROR(INDEX(ERP資料!$A:$A, MATCH(873, 輔助計算!$G$2:$G$801, 0)+1), "")), INDEX(ERP資料!$S:$S, (MATCH(874, 輔助計算!$G$2:$G$801, 0)+1)), ""), "")</f>
        <v/>
      </c>
      <c r="C875" s="19">
        <f>IFERROR(IF(AND(IFERROR(INDEX(ERP資料!$A:$A, (MATCH(874, 輔助計算!$G$2:$G$801, 0)+1)), "")&lt;&gt;"", IFERROR(INDEX(ERP資料!$A:$A, (MATCH(874, 輔助計算!$G$2:$G$801, 0)+1)), "")&lt;&gt;IFERROR(INDEX(ERP資料!$A:$A, MATCH(873, 輔助計算!$G$2:$G$801, 0)+1), "")), IFERROR(VLOOKUP(LEFT(INDEX(ERP資料!$S:$S, (MATCH(874, 輔助計算!$G$2:$G$801, 0)+1)), 4), 紙管對照表!$A:$C, 3, FALSE), ""), ""), "")</f>
        <v/>
      </c>
      <c r="D875" s="16" t="n"/>
      <c r="E875" s="10">
        <f>IFERROR(IF(INDEX(ERP資料!$H:$H, (MATCH(874, 輔助計算!$G$2:$G$801, 0)+1))="","",INDEX(ERP資料!$H:$H, (MATCH(874, 輔助計算!$G$2:$G$801, 0)+1))), "")</f>
        <v/>
      </c>
      <c r="F875" s="10">
        <f>IFERROR(IF(INDEX(ERP資料!$E:$E, (MATCH(874, 輔助計算!$G$2:$G$801, 0)+1))="","",TRIM(INDEX(ERP資料!$E:$E, (MATCH(874, 輔助計算!$G$2:$G$801, 0)+1)))), "")</f>
        <v/>
      </c>
      <c r="G875" s="10">
        <f>IFERROR(IF(INDEX(ERP資料!$F:$F, (MATCH(874, 輔助計算!$G$2:$G$801, 0)+1))="","",INDEX(ERP資料!$F:$F, (MATCH(874, 輔助計算!$G$2:$G$801, 0)+1))), "")</f>
        <v/>
      </c>
      <c r="H875" s="10">
        <f>IFERROR(IF(INDEX(ERP資料!$G:$G, (MATCH(874, 輔助計算!$G$2:$G$801, 0)+1))="","",INDEX(ERP資料!$G:$G, (MATCH(874, 輔助計算!$G$2:$G$801, 0)+1))), "")</f>
        <v/>
      </c>
      <c r="I875" s="15">
        <f>IFERROR(INDEX(輔助計算!$D:$D, (MATCH(874, 輔助計算!$G$2:$G$801, 0)+1)), "")</f>
        <v/>
      </c>
      <c r="J875" s="15">
        <f>IFERROR(IF(AND(INDEX(輔助計算!$D:$D, (MATCH(874, 輔助計算!$G$2:$G$801, 0)+1))&lt;&gt;"", INDEX(ERP資料!$G:$G, (MATCH(874, 輔助計算!$G$2:$G$801, 0)+1))&lt;&gt;""), TRIM(IF(INT(INDEX(輔助計算!$D:$D, (MATCH(874, 輔助計算!$G$2:$G$801, 0)+1))/IF(INDEX(ERP資料!$G:$G, (MATCH(874, 輔助計算!$G$2:$G$801, 0)+1))&lt;100, IF(INDEX(ERP資料!$G:$G, (MATCH(874, 輔助計算!$G$2:$G$801, 0)+1))&lt;=31,3,IF(INDEX(ERP資料!$G:$G, (MATCH(874, 輔助計算!$G$2:$G$801, 0)+1))&lt;=46.5,2,1)), IF(INDEX(ERP資料!$G:$G, (MATCH(874, 輔助計算!$G$2:$G$801, 0)+1))&lt;=790,3,IF(INDEX(ERP資料!$G:$G, (MATCH(874, 輔助計算!$G$2:$G$801, 0)+1))&lt;=1181,2,1))))&gt;0, IF(IF(INDEX(ERP資料!$G:$G, (MATCH(874, 輔助計算!$G$2:$G$801, 0)+1))&lt;100, IF(INDEX(ERP資料!$G:$G, (MATCH(874, 輔助計算!$G$2:$G$801, 0)+1))&lt;=31,3,IF(INDEX(ERP資料!$G:$G, (MATCH(874, 輔助計算!$G$2:$G$801, 0)+1))&lt;=46.5,2,1)), IF(INDEX(ERP資料!$G:$G, (MATCH(874, 輔助計算!$G$2:$G$801, 0)+1))&lt;=790,3,IF(INDEX(ERP資料!$G:$G, (MATCH(874, 輔助計算!$G$2:$G$801, 0)+1))&lt;=1181,2,1)))=1,TEXT(INDEX(ERP資料!$G:$G, (MATCH(874, 輔助計算!$G$2:$G$801, 0)+1)),"0.##"),IF(IF(INDEX(ERP資料!$G:$G, (MATCH(874, 輔助計算!$G$2:$G$801, 0)+1))&lt;100, IF(INDEX(ERP資料!$G:$G, (MATCH(874, 輔助計算!$G$2:$G$801, 0)+1))&lt;=31,3,IF(INDEX(ERP資料!$G:$G, (MATCH(874, 輔助計算!$G$2:$G$801, 0)+1))&lt;=46.5,2,1)), IF(INDEX(ERP資料!$G:$G, (MATCH(874, 輔助計算!$G$2:$G$801, 0)+1))&lt;=790,3,IF(INDEX(ERP資料!$G:$G, (MATCH(874, 輔助計算!$G$2:$G$801, 0)+1))&lt;=1181,2,1)))=2,TEXT(INDEX(ERP資料!$G:$G, (MATCH(874, 輔助計算!$G$2:$G$801, 0)+1)),"0.##")&amp;"+"&amp;TEXT(INDEX(ERP資料!$G:$G, (MATCH(874, 輔助計算!$G$2:$G$801, 0)+1)),"0.##"),TEXT(INDEX(ERP資料!$G:$G, (MATCH(874, 輔助計算!$G$2:$G$801, 0)+1)),"0.##")&amp;"+"&amp;TEXT(INDEX(ERP資料!$G:$G, (MATCH(874, 輔助計算!$G$2:$G$801, 0)+1)),"0.##")&amp;"+"&amp;TEXT(INDEX(ERP資料!$G:$G, (MATCH(874, 輔助計算!$G$2:$G$801, 0)+1)),"0.##")))&amp;"-"&amp;INT(INDEX(輔助計算!$D:$D, (MATCH(874, 輔助計算!$G$2:$G$801, 0)+1))/IF(INDEX(ERP資料!$G:$G, (MATCH(874, 輔助計算!$G$2:$G$801, 0)+1))&lt;100, IF(INDEX(ERP資料!$G:$G, (MATCH(874, 輔助計算!$G$2:$G$801, 0)+1))&lt;=31,3,IF(INDEX(ERP資料!$G:$G, (MATCH(874, 輔助計算!$G$2:$G$801, 0)+1))&lt;=46.5,2,1)), IF(INDEX(ERP資料!$G:$G, (MATCH(874, 輔助計算!$G$2:$G$801, 0)+1))&lt;=790,3,IF(INDEX(ERP資料!$G:$G, (MATCH(874, 輔助計算!$G$2:$G$801, 0)+1))&lt;=1181,2,1)))), "")&amp;IF(AND(IF(INT(INDEX(輔助計算!$D:$D, (MATCH(874, 輔助計算!$G$2:$G$801, 0)+1))/IF(INDEX(ERP資料!$G:$G, (MATCH(874, 輔助計算!$G$2:$G$801, 0)+1))&lt;100, IF(INDEX(ERP資料!$G:$G, (MATCH(874, 輔助計算!$G$2:$G$801, 0)+1))&lt;=31,3,IF(INDEX(ERP資料!$G:$G, (MATCH(874, 輔助計算!$G$2:$G$801, 0)+1))&lt;=46.5,2,1)), IF(INDEX(ERP資料!$G:$G, (MATCH(874, 輔助計算!$G$2:$G$801, 0)+1))&lt;=790,3,IF(INDEX(ERP資料!$G:$G, (MATCH(874, 輔助計算!$G$2:$G$801, 0)+1))&lt;=1181,2,1))))&gt;0, IF(IF(INDEX(ERP資料!$G:$G, (MATCH(874, 輔助計算!$G$2:$G$801, 0)+1))&lt;100, IF(INDEX(ERP資料!$G:$G, (MATCH(874, 輔助計算!$G$2:$G$801, 0)+1))&lt;=31,3,IF(INDEX(ERP資料!$G:$G, (MATCH(874, 輔助計算!$G$2:$G$801, 0)+1))&lt;=46.5,2,1)), IF(INDEX(ERP資料!$G:$G, (MATCH(874, 輔助計算!$G$2:$G$801, 0)+1))&lt;=790,3,IF(INDEX(ERP資料!$G:$G, (MATCH(874, 輔助計算!$G$2:$G$801, 0)+1))&lt;=1181,2,1)))=1,TEXT(INDEX(ERP資料!$G:$G, (MATCH(874, 輔助計算!$G$2:$G$801, 0)+1)),"0.##"),IF(IF(INDEX(ERP資料!$G:$G, (MATCH(874, 輔助計算!$G$2:$G$801, 0)+1))&lt;100, IF(INDEX(ERP資料!$G:$G, (MATCH(874, 輔助計算!$G$2:$G$801, 0)+1))&lt;=31,3,IF(INDEX(ERP資料!$G:$G, (MATCH(874, 輔助計算!$G$2:$G$801, 0)+1))&lt;=46.5,2,1)), IF(INDEX(ERP資料!$G:$G, (MATCH(874, 輔助計算!$G$2:$G$801, 0)+1))&lt;=790,3,IF(INDEX(ERP資料!$G:$G, (MATCH(874, 輔助計算!$G$2:$G$801, 0)+1))&lt;=1181,2,1)))=2,TEXT(INDEX(ERP資料!$G:$G, (MATCH(874, 輔助計算!$G$2:$G$801, 0)+1)),"0.##")&amp;"+"&amp;TEXT(INDEX(ERP資料!$G:$G, (MATCH(874, 輔助計算!$G$2:$G$801, 0)+1)),"0.##"),TEXT(INDEX(ERP資料!$G:$G, (MATCH(874, 輔助計算!$G$2:$G$801, 0)+1)),"0.##")&amp;"+"&amp;TEXT(INDEX(ERP資料!$G:$G, (MATCH(874, 輔助計算!$G$2:$G$801, 0)+1)),"0.##")&amp;"+"&amp;TEXT(INDEX(ERP資料!$G:$G, (MATCH(874, 輔助計算!$G$2:$G$801, 0)+1)),"0.##")))&amp;"-"&amp;INT(INDEX(輔助計算!$D:$D, (MATCH(874, 輔助計算!$G$2:$G$801, 0)+1))/IF(INDEX(ERP資料!$G:$G, (MATCH(874, 輔助計算!$G$2:$G$801, 0)+1))&lt;100, IF(INDEX(ERP資料!$G:$G, (MATCH(874, 輔助計算!$G$2:$G$801, 0)+1))&lt;=31,3,IF(INDEX(ERP資料!$G:$G, (MATCH(874, 輔助計算!$G$2:$G$801, 0)+1))&lt;=46.5,2,1)), IF(INDEX(ERP資料!$G:$G, (MATCH(874, 輔助計算!$G$2:$G$801, 0)+1))&lt;=790,3,IF(INDEX(ERP資料!$G:$G, (MATCH(874, 輔助計算!$G$2:$G$801, 0)+1))&lt;=1181,2,1)))), "")&lt;&gt;"",IF(MOD(INDEX(輔助計算!$D:$D, (MATCH(874, 輔助計算!$G$2:$G$801, 0)+1)),IF(INDEX(ERP資料!$G:$G, (MATCH(874, 輔助計算!$G$2:$G$801, 0)+1))&lt;100, IF(INDEX(ERP資料!$G:$G, (MATCH(874, 輔助計算!$G$2:$G$801, 0)+1))&lt;=31,3,IF(INDEX(ERP資料!$G:$G, (MATCH(874, 輔助計算!$G$2:$G$801, 0)+1))&lt;=46.5,2,1)), IF(INDEX(ERP資料!$G:$G, (MATCH(874, 輔助計算!$G$2:$G$801, 0)+1))&lt;=790,3,IF(INDEX(ERP資料!$G:$G, (MATCH(874, 輔助計算!$G$2:$G$801, 0)+1))&lt;=1181,2,1))))=0,"",IF(MOD(INDEX(輔助計算!$D:$D, (MATCH(874, 輔助計算!$G$2:$G$801, 0)+1)),IF(INDEX(ERP資料!$G:$G, (MATCH(874, 輔助計算!$G$2:$G$801, 0)+1))&lt;100, IF(INDEX(ERP資料!$G:$G, (MATCH(874, 輔助計算!$G$2:$G$801, 0)+1))&lt;=31,3,IF(INDEX(ERP資料!$G:$G, (MATCH(874, 輔助計算!$G$2:$G$801, 0)+1))&lt;=46.5,2,1)), IF(INDEX(ERP資料!$G:$G, (MATCH(874, 輔助計算!$G$2:$G$801, 0)+1))&lt;=790,3,IF(INDEX(ERP資料!$G:$G, (MATCH(874, 輔助計算!$G$2:$G$801, 0)+1))&lt;=1181,2,1))))=0,"",IF(MOD(INDEX(輔助計算!$D:$D, (MATCH(874, 輔助計算!$G$2:$G$801, 0)+1)),IF(INDEX(ERP資料!$G:$G, (MATCH(874, 輔助計算!$G$2:$G$801, 0)+1))&lt;100, IF(INDEX(ERP資料!$G:$G, (MATCH(874, 輔助計算!$G$2:$G$801, 0)+1))&lt;=31,3,IF(INDEX(ERP資料!$G:$G, (MATCH(874, 輔助計算!$G$2:$G$801, 0)+1))&lt;=46.5,2,1)), IF(INDEX(ERP資料!$G:$G, (MATCH(874, 輔助計算!$G$2:$G$801, 0)+1))&lt;=790,3,IF(INDEX(ERP資料!$G:$G, (MATCH(874, 輔助計算!$G$2:$G$801, 0)+1))&lt;=1181,2,1))))=1,TEXT(INDEX(ERP資料!$G:$G, (MATCH(874, 輔助計算!$G$2:$G$801, 0)+1)),"0.##"),IF(MOD(INDEX(輔助計算!$D:$D, (MATCH(874, 輔助計算!$G$2:$G$801, 0)+1)),IF(INDEX(ERP資料!$G:$G, (MATCH(874, 輔助計算!$G$2:$G$801, 0)+1))&lt;100, IF(INDEX(ERP資料!$G:$G, (MATCH(874, 輔助計算!$G$2:$G$801, 0)+1))&lt;=31,3,IF(INDEX(ERP資料!$G:$G, (MATCH(874, 輔助計算!$G$2:$G$801, 0)+1))&lt;=46.5,2,1)), IF(INDEX(ERP資料!$G:$G, (MATCH(874, 輔助計算!$G$2:$G$801, 0)+1))&lt;=790,3,IF(INDEX(ERP資料!$G:$G, (MATCH(874, 輔助計算!$G$2:$G$801, 0)+1))&lt;=1181,2,1))))=2,TEXT(INDEX(ERP資料!$G:$G, (MATCH(874, 輔助計算!$G$2:$G$801, 0)+1)),"0.##")&amp;"+"&amp;TEXT(INDEX(ERP資料!$G:$G, (MATCH(874, 輔助計算!$G$2:$G$801, 0)+1)),"0.##"),TEXT(INDEX(ERP資料!$G:$G, (MATCH(874, 輔助計算!$G$2:$G$801, 0)+1)),"0.##")&amp;"+"&amp;TEXT(INDEX(ERP資料!$G:$G, (MATCH(874, 輔助計算!$G$2:$G$801, 0)+1)),"0.##")&amp;"+"&amp;TEXT(INDEX(ERP資料!$G:$G, (MATCH(874, 輔助計算!$G$2:$G$801, 0)+1)),"0.##"))))&amp;"-1")&lt;&gt;""),"  ","")&amp;IF(MOD(INDEX(輔助計算!$D:$D, (MATCH(874, 輔助計算!$G$2:$G$801, 0)+1)),IF(INDEX(ERP資料!$G:$G, (MATCH(874, 輔助計算!$G$2:$G$801, 0)+1))&lt;100, IF(INDEX(ERP資料!$G:$G, (MATCH(874, 輔助計算!$G$2:$G$801, 0)+1))&lt;=31,3,IF(INDEX(ERP資料!$G:$G, (MATCH(874, 輔助計算!$G$2:$G$801, 0)+1))&lt;=46.5,2,1)), IF(INDEX(ERP資料!$G:$G, (MATCH(874, 輔助計算!$G$2:$G$801, 0)+1))&lt;=790,3,IF(INDEX(ERP資料!$G:$G, (MATCH(874, 輔助計算!$G$2:$G$801, 0)+1))&lt;=1181,2,1))))=0,"",IF(MOD(INDEX(輔助計算!$D:$D, (MATCH(874, 輔助計算!$G$2:$G$801, 0)+1)),IF(INDEX(ERP資料!$G:$G, (MATCH(874, 輔助計算!$G$2:$G$801, 0)+1))&lt;100, IF(INDEX(ERP資料!$G:$G, (MATCH(874, 輔助計算!$G$2:$G$801, 0)+1))&lt;=31,3,IF(INDEX(ERP資料!$G:$G, (MATCH(874, 輔助計算!$G$2:$G$801, 0)+1))&lt;=46.5,2,1)), IF(INDEX(ERP資料!$G:$G, (MATCH(874, 輔助計算!$G$2:$G$801, 0)+1))&lt;=790,3,IF(INDEX(ERP資料!$G:$G, (MATCH(874, 輔助計算!$G$2:$G$801, 0)+1))&lt;=1181,2,1))))=0,"",IF(MOD(INDEX(輔助計算!$D:$D, (MATCH(874, 輔助計算!$G$2:$G$801, 0)+1)),IF(INDEX(ERP資料!$G:$G, (MATCH(874, 輔助計算!$G$2:$G$801, 0)+1))&lt;100, IF(INDEX(ERP資料!$G:$G, (MATCH(874, 輔助計算!$G$2:$G$801, 0)+1))&lt;=31,3,IF(INDEX(ERP資料!$G:$G, (MATCH(874, 輔助計算!$G$2:$G$801, 0)+1))&lt;=46.5,2,1)), IF(INDEX(ERP資料!$G:$G, (MATCH(874, 輔助計算!$G$2:$G$801, 0)+1))&lt;=790,3,IF(INDEX(ERP資料!$G:$G, (MATCH(874, 輔助計算!$G$2:$G$801, 0)+1))&lt;=1181,2,1))))=1,TEXT(INDEX(ERP資料!$G:$G, (MATCH(874, 輔助計算!$G$2:$G$801, 0)+1)),"0.##"),IF(MOD(INDEX(輔助計算!$D:$D, (MATCH(874, 輔助計算!$G$2:$G$801, 0)+1)),IF(INDEX(ERP資料!$G:$G, (MATCH(874, 輔助計算!$G$2:$G$801, 0)+1))&lt;100, IF(INDEX(ERP資料!$G:$G, (MATCH(874, 輔助計算!$G$2:$G$801, 0)+1))&lt;=31,3,IF(INDEX(ERP資料!$G:$G, (MATCH(874, 輔助計算!$G$2:$G$801, 0)+1))&lt;=46.5,2,1)), IF(INDEX(ERP資料!$G:$G, (MATCH(874, 輔助計算!$G$2:$G$801, 0)+1))&lt;=790,3,IF(INDEX(ERP資料!$G:$G, (MATCH(874, 輔助計算!$G$2:$G$801, 0)+1))&lt;=1181,2,1))))=2,TEXT(INDEX(ERP資料!$G:$G, (MATCH(874, 輔助計算!$G$2:$G$801, 0)+1)),"0.##")&amp;"+"&amp;TEXT(INDEX(ERP資料!$G:$G, (MATCH(874, 輔助計算!$G$2:$G$801, 0)+1)),"0.##"),TEXT(INDEX(ERP資料!$G:$G, (MATCH(874, 輔助計算!$G$2:$G$801, 0)+1)),"0.##")&amp;"+"&amp;TEXT(INDEX(ERP資料!$G:$G, (MATCH(874, 輔助計算!$G$2:$G$801, 0)+1)),"0.##")&amp;"+"&amp;TEXT(INDEX(ERP資料!$G:$G, (MATCH(874, 輔助計算!$G$2:$G$801, 0)+1)),"0.##"))))&amp;"-1")), ""), "")</f>
        <v/>
      </c>
      <c r="K875" s="16" t="n"/>
      <c r="L875" s="14">
        <f>IFERROR(IF(AND(IFERROR(INDEX(ERP資料!$A:$A, (MATCH(874, 輔助計算!$G$2:$G$801, 0)+1)), "")&lt;&gt;"", IFERROR(INDEX(ERP資料!$A:$A, (MATCH(874, 輔助計算!$G$2:$G$801, 0)+1)), "")&lt;&gt;IFERROR(INDEX(ERP資料!$A:$A, MATCH(873, 輔助計算!$G$2:$G$801, 0)+1), "")), INDEX(ERP資料!$B:$B, (MATCH(874, 輔助計算!$G$2:$G$801, 0)+1)), ""), "")</f>
        <v/>
      </c>
      <c r="M875" s="17" t="n"/>
    </row>
    <row r="876">
      <c r="A876" s="10">
        <f>IFERROR(IF(AND(IFERROR(INDEX(ERP資料!$A:$A, (MATCH(875, 輔助計算!$G$2:$G$801, 0)+1)), "")&lt;&gt;"", IFERROR(INDEX(ERP資料!$A:$A, (MATCH(875, 輔助計算!$G$2:$G$801, 0)+1)), "")&lt;&gt;IFERROR(INDEX(ERP資料!$A:$A, MATCH(874, 輔助計算!$G$2:$G$801, 0)+1), "")), IFERROR(INDEX(ERP資料!$A:$A, (MATCH(875, 輔助計算!$G$2:$G$801, 0)+1)), ""), ""), "")</f>
        <v/>
      </c>
      <c r="B876" s="10">
        <f>IFERROR(IF(AND(IFERROR(INDEX(ERP資料!$A:$A, (MATCH(875, 輔助計算!$G$2:$G$801, 0)+1)), "")&lt;&gt;"", IFERROR(INDEX(ERP資料!$A:$A, (MATCH(875, 輔助計算!$G$2:$G$801, 0)+1)), "")&lt;&gt;IFERROR(INDEX(ERP資料!$A:$A, MATCH(874, 輔助計算!$G$2:$G$801, 0)+1), "")), INDEX(ERP資料!$S:$S, (MATCH(875, 輔助計算!$G$2:$G$801, 0)+1)), ""), "")</f>
        <v/>
      </c>
      <c r="C876" s="19">
        <f>IFERROR(IF(AND(IFERROR(INDEX(ERP資料!$A:$A, (MATCH(875, 輔助計算!$G$2:$G$801, 0)+1)), "")&lt;&gt;"", IFERROR(INDEX(ERP資料!$A:$A, (MATCH(875, 輔助計算!$G$2:$G$801, 0)+1)), "")&lt;&gt;IFERROR(INDEX(ERP資料!$A:$A, MATCH(874, 輔助計算!$G$2:$G$801, 0)+1), "")), IFERROR(VLOOKUP(LEFT(INDEX(ERP資料!$S:$S, (MATCH(875, 輔助計算!$G$2:$G$801, 0)+1)), 4), 紙管對照表!$A:$C, 3, FALSE), ""), ""), "")</f>
        <v/>
      </c>
      <c r="D876" s="16" t="n"/>
      <c r="E876" s="10">
        <f>IFERROR(IF(INDEX(ERP資料!$H:$H, (MATCH(875, 輔助計算!$G$2:$G$801, 0)+1))="","",INDEX(ERP資料!$H:$H, (MATCH(875, 輔助計算!$G$2:$G$801, 0)+1))), "")</f>
        <v/>
      </c>
      <c r="F876" s="10">
        <f>IFERROR(IF(INDEX(ERP資料!$E:$E, (MATCH(875, 輔助計算!$G$2:$G$801, 0)+1))="","",TRIM(INDEX(ERP資料!$E:$E, (MATCH(875, 輔助計算!$G$2:$G$801, 0)+1)))), "")</f>
        <v/>
      </c>
      <c r="G876" s="10">
        <f>IFERROR(IF(INDEX(ERP資料!$F:$F, (MATCH(875, 輔助計算!$G$2:$G$801, 0)+1))="","",INDEX(ERP資料!$F:$F, (MATCH(875, 輔助計算!$G$2:$G$801, 0)+1))), "")</f>
        <v/>
      </c>
      <c r="H876" s="10">
        <f>IFERROR(IF(INDEX(ERP資料!$G:$G, (MATCH(875, 輔助計算!$G$2:$G$801, 0)+1))="","",INDEX(ERP資料!$G:$G, (MATCH(875, 輔助計算!$G$2:$G$801, 0)+1))), "")</f>
        <v/>
      </c>
      <c r="I876" s="15">
        <f>IFERROR(INDEX(輔助計算!$D:$D, (MATCH(875, 輔助計算!$G$2:$G$801, 0)+1)), "")</f>
        <v/>
      </c>
      <c r="J876" s="15">
        <f>IFERROR(IF(AND(INDEX(輔助計算!$D:$D, (MATCH(875, 輔助計算!$G$2:$G$801, 0)+1))&lt;&gt;"", INDEX(ERP資料!$G:$G, (MATCH(875, 輔助計算!$G$2:$G$801, 0)+1))&lt;&gt;""), TRIM(IF(INT(INDEX(輔助計算!$D:$D, (MATCH(875, 輔助計算!$G$2:$G$801, 0)+1))/IF(INDEX(ERP資料!$G:$G, (MATCH(875, 輔助計算!$G$2:$G$801, 0)+1))&lt;100, IF(INDEX(ERP資料!$G:$G, (MATCH(875, 輔助計算!$G$2:$G$801, 0)+1))&lt;=31,3,IF(INDEX(ERP資料!$G:$G, (MATCH(875, 輔助計算!$G$2:$G$801, 0)+1))&lt;=46.5,2,1)), IF(INDEX(ERP資料!$G:$G, (MATCH(875, 輔助計算!$G$2:$G$801, 0)+1))&lt;=790,3,IF(INDEX(ERP資料!$G:$G, (MATCH(875, 輔助計算!$G$2:$G$801, 0)+1))&lt;=1181,2,1))))&gt;0, IF(IF(INDEX(ERP資料!$G:$G, (MATCH(875, 輔助計算!$G$2:$G$801, 0)+1))&lt;100, IF(INDEX(ERP資料!$G:$G, (MATCH(875, 輔助計算!$G$2:$G$801, 0)+1))&lt;=31,3,IF(INDEX(ERP資料!$G:$G, (MATCH(875, 輔助計算!$G$2:$G$801, 0)+1))&lt;=46.5,2,1)), IF(INDEX(ERP資料!$G:$G, (MATCH(875, 輔助計算!$G$2:$G$801, 0)+1))&lt;=790,3,IF(INDEX(ERP資料!$G:$G, (MATCH(875, 輔助計算!$G$2:$G$801, 0)+1))&lt;=1181,2,1)))=1,TEXT(INDEX(ERP資料!$G:$G, (MATCH(875, 輔助計算!$G$2:$G$801, 0)+1)),"0.##"),IF(IF(INDEX(ERP資料!$G:$G, (MATCH(875, 輔助計算!$G$2:$G$801, 0)+1))&lt;100, IF(INDEX(ERP資料!$G:$G, (MATCH(875, 輔助計算!$G$2:$G$801, 0)+1))&lt;=31,3,IF(INDEX(ERP資料!$G:$G, (MATCH(875, 輔助計算!$G$2:$G$801, 0)+1))&lt;=46.5,2,1)), IF(INDEX(ERP資料!$G:$G, (MATCH(875, 輔助計算!$G$2:$G$801, 0)+1))&lt;=790,3,IF(INDEX(ERP資料!$G:$G, (MATCH(875, 輔助計算!$G$2:$G$801, 0)+1))&lt;=1181,2,1)))=2,TEXT(INDEX(ERP資料!$G:$G, (MATCH(875, 輔助計算!$G$2:$G$801, 0)+1)),"0.##")&amp;"+"&amp;TEXT(INDEX(ERP資料!$G:$G, (MATCH(875, 輔助計算!$G$2:$G$801, 0)+1)),"0.##"),TEXT(INDEX(ERP資料!$G:$G, (MATCH(875, 輔助計算!$G$2:$G$801, 0)+1)),"0.##")&amp;"+"&amp;TEXT(INDEX(ERP資料!$G:$G, (MATCH(875, 輔助計算!$G$2:$G$801, 0)+1)),"0.##")&amp;"+"&amp;TEXT(INDEX(ERP資料!$G:$G, (MATCH(875, 輔助計算!$G$2:$G$801, 0)+1)),"0.##")))&amp;"-"&amp;INT(INDEX(輔助計算!$D:$D, (MATCH(875, 輔助計算!$G$2:$G$801, 0)+1))/IF(INDEX(ERP資料!$G:$G, (MATCH(875, 輔助計算!$G$2:$G$801, 0)+1))&lt;100, IF(INDEX(ERP資料!$G:$G, (MATCH(875, 輔助計算!$G$2:$G$801, 0)+1))&lt;=31,3,IF(INDEX(ERP資料!$G:$G, (MATCH(875, 輔助計算!$G$2:$G$801, 0)+1))&lt;=46.5,2,1)), IF(INDEX(ERP資料!$G:$G, (MATCH(875, 輔助計算!$G$2:$G$801, 0)+1))&lt;=790,3,IF(INDEX(ERP資料!$G:$G, (MATCH(875, 輔助計算!$G$2:$G$801, 0)+1))&lt;=1181,2,1)))), "")&amp;IF(AND(IF(INT(INDEX(輔助計算!$D:$D, (MATCH(875, 輔助計算!$G$2:$G$801, 0)+1))/IF(INDEX(ERP資料!$G:$G, (MATCH(875, 輔助計算!$G$2:$G$801, 0)+1))&lt;100, IF(INDEX(ERP資料!$G:$G, (MATCH(875, 輔助計算!$G$2:$G$801, 0)+1))&lt;=31,3,IF(INDEX(ERP資料!$G:$G, (MATCH(875, 輔助計算!$G$2:$G$801, 0)+1))&lt;=46.5,2,1)), IF(INDEX(ERP資料!$G:$G, (MATCH(875, 輔助計算!$G$2:$G$801, 0)+1))&lt;=790,3,IF(INDEX(ERP資料!$G:$G, (MATCH(875, 輔助計算!$G$2:$G$801, 0)+1))&lt;=1181,2,1))))&gt;0, IF(IF(INDEX(ERP資料!$G:$G, (MATCH(875, 輔助計算!$G$2:$G$801, 0)+1))&lt;100, IF(INDEX(ERP資料!$G:$G, (MATCH(875, 輔助計算!$G$2:$G$801, 0)+1))&lt;=31,3,IF(INDEX(ERP資料!$G:$G, (MATCH(875, 輔助計算!$G$2:$G$801, 0)+1))&lt;=46.5,2,1)), IF(INDEX(ERP資料!$G:$G, (MATCH(875, 輔助計算!$G$2:$G$801, 0)+1))&lt;=790,3,IF(INDEX(ERP資料!$G:$G, (MATCH(875, 輔助計算!$G$2:$G$801, 0)+1))&lt;=1181,2,1)))=1,TEXT(INDEX(ERP資料!$G:$G, (MATCH(875, 輔助計算!$G$2:$G$801, 0)+1)),"0.##"),IF(IF(INDEX(ERP資料!$G:$G, (MATCH(875, 輔助計算!$G$2:$G$801, 0)+1))&lt;100, IF(INDEX(ERP資料!$G:$G, (MATCH(875, 輔助計算!$G$2:$G$801, 0)+1))&lt;=31,3,IF(INDEX(ERP資料!$G:$G, (MATCH(875, 輔助計算!$G$2:$G$801, 0)+1))&lt;=46.5,2,1)), IF(INDEX(ERP資料!$G:$G, (MATCH(875, 輔助計算!$G$2:$G$801, 0)+1))&lt;=790,3,IF(INDEX(ERP資料!$G:$G, (MATCH(875, 輔助計算!$G$2:$G$801, 0)+1))&lt;=1181,2,1)))=2,TEXT(INDEX(ERP資料!$G:$G, (MATCH(875, 輔助計算!$G$2:$G$801, 0)+1)),"0.##")&amp;"+"&amp;TEXT(INDEX(ERP資料!$G:$G, (MATCH(875, 輔助計算!$G$2:$G$801, 0)+1)),"0.##"),TEXT(INDEX(ERP資料!$G:$G, (MATCH(875, 輔助計算!$G$2:$G$801, 0)+1)),"0.##")&amp;"+"&amp;TEXT(INDEX(ERP資料!$G:$G, (MATCH(875, 輔助計算!$G$2:$G$801, 0)+1)),"0.##")&amp;"+"&amp;TEXT(INDEX(ERP資料!$G:$G, (MATCH(875, 輔助計算!$G$2:$G$801, 0)+1)),"0.##")))&amp;"-"&amp;INT(INDEX(輔助計算!$D:$D, (MATCH(875, 輔助計算!$G$2:$G$801, 0)+1))/IF(INDEX(ERP資料!$G:$G, (MATCH(875, 輔助計算!$G$2:$G$801, 0)+1))&lt;100, IF(INDEX(ERP資料!$G:$G, (MATCH(875, 輔助計算!$G$2:$G$801, 0)+1))&lt;=31,3,IF(INDEX(ERP資料!$G:$G, (MATCH(875, 輔助計算!$G$2:$G$801, 0)+1))&lt;=46.5,2,1)), IF(INDEX(ERP資料!$G:$G, (MATCH(875, 輔助計算!$G$2:$G$801, 0)+1))&lt;=790,3,IF(INDEX(ERP資料!$G:$G, (MATCH(875, 輔助計算!$G$2:$G$801, 0)+1))&lt;=1181,2,1)))), "")&lt;&gt;"",IF(MOD(INDEX(輔助計算!$D:$D, (MATCH(875, 輔助計算!$G$2:$G$801, 0)+1)),IF(INDEX(ERP資料!$G:$G, (MATCH(875, 輔助計算!$G$2:$G$801, 0)+1))&lt;100, IF(INDEX(ERP資料!$G:$G, (MATCH(875, 輔助計算!$G$2:$G$801, 0)+1))&lt;=31,3,IF(INDEX(ERP資料!$G:$G, (MATCH(875, 輔助計算!$G$2:$G$801, 0)+1))&lt;=46.5,2,1)), IF(INDEX(ERP資料!$G:$G, (MATCH(875, 輔助計算!$G$2:$G$801, 0)+1))&lt;=790,3,IF(INDEX(ERP資料!$G:$G, (MATCH(875, 輔助計算!$G$2:$G$801, 0)+1))&lt;=1181,2,1))))=0,"",IF(MOD(INDEX(輔助計算!$D:$D, (MATCH(875, 輔助計算!$G$2:$G$801, 0)+1)),IF(INDEX(ERP資料!$G:$G, (MATCH(875, 輔助計算!$G$2:$G$801, 0)+1))&lt;100, IF(INDEX(ERP資料!$G:$G, (MATCH(875, 輔助計算!$G$2:$G$801, 0)+1))&lt;=31,3,IF(INDEX(ERP資料!$G:$G, (MATCH(875, 輔助計算!$G$2:$G$801, 0)+1))&lt;=46.5,2,1)), IF(INDEX(ERP資料!$G:$G, (MATCH(875, 輔助計算!$G$2:$G$801, 0)+1))&lt;=790,3,IF(INDEX(ERP資料!$G:$G, (MATCH(875, 輔助計算!$G$2:$G$801, 0)+1))&lt;=1181,2,1))))=0,"",IF(MOD(INDEX(輔助計算!$D:$D, (MATCH(875, 輔助計算!$G$2:$G$801, 0)+1)),IF(INDEX(ERP資料!$G:$G, (MATCH(875, 輔助計算!$G$2:$G$801, 0)+1))&lt;100, IF(INDEX(ERP資料!$G:$G, (MATCH(875, 輔助計算!$G$2:$G$801, 0)+1))&lt;=31,3,IF(INDEX(ERP資料!$G:$G, (MATCH(875, 輔助計算!$G$2:$G$801, 0)+1))&lt;=46.5,2,1)), IF(INDEX(ERP資料!$G:$G, (MATCH(875, 輔助計算!$G$2:$G$801, 0)+1))&lt;=790,3,IF(INDEX(ERP資料!$G:$G, (MATCH(875, 輔助計算!$G$2:$G$801, 0)+1))&lt;=1181,2,1))))=1,TEXT(INDEX(ERP資料!$G:$G, (MATCH(875, 輔助計算!$G$2:$G$801, 0)+1)),"0.##"),IF(MOD(INDEX(輔助計算!$D:$D, (MATCH(875, 輔助計算!$G$2:$G$801, 0)+1)),IF(INDEX(ERP資料!$G:$G, (MATCH(875, 輔助計算!$G$2:$G$801, 0)+1))&lt;100, IF(INDEX(ERP資料!$G:$G, (MATCH(875, 輔助計算!$G$2:$G$801, 0)+1))&lt;=31,3,IF(INDEX(ERP資料!$G:$G, (MATCH(875, 輔助計算!$G$2:$G$801, 0)+1))&lt;=46.5,2,1)), IF(INDEX(ERP資料!$G:$G, (MATCH(875, 輔助計算!$G$2:$G$801, 0)+1))&lt;=790,3,IF(INDEX(ERP資料!$G:$G, (MATCH(875, 輔助計算!$G$2:$G$801, 0)+1))&lt;=1181,2,1))))=2,TEXT(INDEX(ERP資料!$G:$G, (MATCH(875, 輔助計算!$G$2:$G$801, 0)+1)),"0.##")&amp;"+"&amp;TEXT(INDEX(ERP資料!$G:$G, (MATCH(875, 輔助計算!$G$2:$G$801, 0)+1)),"0.##"),TEXT(INDEX(ERP資料!$G:$G, (MATCH(875, 輔助計算!$G$2:$G$801, 0)+1)),"0.##")&amp;"+"&amp;TEXT(INDEX(ERP資料!$G:$G, (MATCH(875, 輔助計算!$G$2:$G$801, 0)+1)),"0.##")&amp;"+"&amp;TEXT(INDEX(ERP資料!$G:$G, (MATCH(875, 輔助計算!$G$2:$G$801, 0)+1)),"0.##"))))&amp;"-1")&lt;&gt;""),"  ","")&amp;IF(MOD(INDEX(輔助計算!$D:$D, (MATCH(875, 輔助計算!$G$2:$G$801, 0)+1)),IF(INDEX(ERP資料!$G:$G, (MATCH(875, 輔助計算!$G$2:$G$801, 0)+1))&lt;100, IF(INDEX(ERP資料!$G:$G, (MATCH(875, 輔助計算!$G$2:$G$801, 0)+1))&lt;=31,3,IF(INDEX(ERP資料!$G:$G, (MATCH(875, 輔助計算!$G$2:$G$801, 0)+1))&lt;=46.5,2,1)), IF(INDEX(ERP資料!$G:$G, (MATCH(875, 輔助計算!$G$2:$G$801, 0)+1))&lt;=790,3,IF(INDEX(ERP資料!$G:$G, (MATCH(875, 輔助計算!$G$2:$G$801, 0)+1))&lt;=1181,2,1))))=0,"",IF(MOD(INDEX(輔助計算!$D:$D, (MATCH(875, 輔助計算!$G$2:$G$801, 0)+1)),IF(INDEX(ERP資料!$G:$G, (MATCH(875, 輔助計算!$G$2:$G$801, 0)+1))&lt;100, IF(INDEX(ERP資料!$G:$G, (MATCH(875, 輔助計算!$G$2:$G$801, 0)+1))&lt;=31,3,IF(INDEX(ERP資料!$G:$G, (MATCH(875, 輔助計算!$G$2:$G$801, 0)+1))&lt;=46.5,2,1)), IF(INDEX(ERP資料!$G:$G, (MATCH(875, 輔助計算!$G$2:$G$801, 0)+1))&lt;=790,3,IF(INDEX(ERP資料!$G:$G, (MATCH(875, 輔助計算!$G$2:$G$801, 0)+1))&lt;=1181,2,1))))=0,"",IF(MOD(INDEX(輔助計算!$D:$D, (MATCH(875, 輔助計算!$G$2:$G$801, 0)+1)),IF(INDEX(ERP資料!$G:$G, (MATCH(875, 輔助計算!$G$2:$G$801, 0)+1))&lt;100, IF(INDEX(ERP資料!$G:$G, (MATCH(875, 輔助計算!$G$2:$G$801, 0)+1))&lt;=31,3,IF(INDEX(ERP資料!$G:$G, (MATCH(875, 輔助計算!$G$2:$G$801, 0)+1))&lt;=46.5,2,1)), IF(INDEX(ERP資料!$G:$G, (MATCH(875, 輔助計算!$G$2:$G$801, 0)+1))&lt;=790,3,IF(INDEX(ERP資料!$G:$G, (MATCH(875, 輔助計算!$G$2:$G$801, 0)+1))&lt;=1181,2,1))))=1,TEXT(INDEX(ERP資料!$G:$G, (MATCH(875, 輔助計算!$G$2:$G$801, 0)+1)),"0.##"),IF(MOD(INDEX(輔助計算!$D:$D, (MATCH(875, 輔助計算!$G$2:$G$801, 0)+1)),IF(INDEX(ERP資料!$G:$G, (MATCH(875, 輔助計算!$G$2:$G$801, 0)+1))&lt;100, IF(INDEX(ERP資料!$G:$G, (MATCH(875, 輔助計算!$G$2:$G$801, 0)+1))&lt;=31,3,IF(INDEX(ERP資料!$G:$G, (MATCH(875, 輔助計算!$G$2:$G$801, 0)+1))&lt;=46.5,2,1)), IF(INDEX(ERP資料!$G:$G, (MATCH(875, 輔助計算!$G$2:$G$801, 0)+1))&lt;=790,3,IF(INDEX(ERP資料!$G:$G, (MATCH(875, 輔助計算!$G$2:$G$801, 0)+1))&lt;=1181,2,1))))=2,TEXT(INDEX(ERP資料!$G:$G, (MATCH(875, 輔助計算!$G$2:$G$801, 0)+1)),"0.##")&amp;"+"&amp;TEXT(INDEX(ERP資料!$G:$G, (MATCH(875, 輔助計算!$G$2:$G$801, 0)+1)),"0.##"),TEXT(INDEX(ERP資料!$G:$G, (MATCH(875, 輔助計算!$G$2:$G$801, 0)+1)),"0.##")&amp;"+"&amp;TEXT(INDEX(ERP資料!$G:$G, (MATCH(875, 輔助計算!$G$2:$G$801, 0)+1)),"0.##")&amp;"+"&amp;TEXT(INDEX(ERP資料!$G:$G, (MATCH(875, 輔助計算!$G$2:$G$801, 0)+1)),"0.##"))))&amp;"-1")), ""), "")</f>
        <v/>
      </c>
      <c r="K876" s="16" t="n"/>
      <c r="L876" s="14">
        <f>IFERROR(IF(AND(IFERROR(INDEX(ERP資料!$A:$A, (MATCH(875, 輔助計算!$G$2:$G$801, 0)+1)), "")&lt;&gt;"", IFERROR(INDEX(ERP資料!$A:$A, (MATCH(875, 輔助計算!$G$2:$G$801, 0)+1)), "")&lt;&gt;IFERROR(INDEX(ERP資料!$A:$A, MATCH(874, 輔助計算!$G$2:$G$801, 0)+1), "")), INDEX(ERP資料!$B:$B, (MATCH(875, 輔助計算!$G$2:$G$801, 0)+1)), ""), "")</f>
        <v/>
      </c>
      <c r="M876" s="17" t="n"/>
    </row>
    <row r="877">
      <c r="A877" s="10">
        <f>IFERROR(IF(AND(IFERROR(INDEX(ERP資料!$A:$A, (MATCH(876, 輔助計算!$G$2:$G$801, 0)+1)), "")&lt;&gt;"", IFERROR(INDEX(ERP資料!$A:$A, (MATCH(876, 輔助計算!$G$2:$G$801, 0)+1)), "")&lt;&gt;IFERROR(INDEX(ERP資料!$A:$A, MATCH(875, 輔助計算!$G$2:$G$801, 0)+1), "")), IFERROR(INDEX(ERP資料!$A:$A, (MATCH(876, 輔助計算!$G$2:$G$801, 0)+1)), ""), ""), "")</f>
        <v/>
      </c>
      <c r="B877" s="10">
        <f>IFERROR(IF(AND(IFERROR(INDEX(ERP資料!$A:$A, (MATCH(876, 輔助計算!$G$2:$G$801, 0)+1)), "")&lt;&gt;"", IFERROR(INDEX(ERP資料!$A:$A, (MATCH(876, 輔助計算!$G$2:$G$801, 0)+1)), "")&lt;&gt;IFERROR(INDEX(ERP資料!$A:$A, MATCH(875, 輔助計算!$G$2:$G$801, 0)+1), "")), INDEX(ERP資料!$S:$S, (MATCH(876, 輔助計算!$G$2:$G$801, 0)+1)), ""), "")</f>
        <v/>
      </c>
      <c r="C877" s="19">
        <f>IFERROR(IF(AND(IFERROR(INDEX(ERP資料!$A:$A, (MATCH(876, 輔助計算!$G$2:$G$801, 0)+1)), "")&lt;&gt;"", IFERROR(INDEX(ERP資料!$A:$A, (MATCH(876, 輔助計算!$G$2:$G$801, 0)+1)), "")&lt;&gt;IFERROR(INDEX(ERP資料!$A:$A, MATCH(875, 輔助計算!$G$2:$G$801, 0)+1), "")), IFERROR(VLOOKUP(LEFT(INDEX(ERP資料!$S:$S, (MATCH(876, 輔助計算!$G$2:$G$801, 0)+1)), 4), 紙管對照表!$A:$C, 3, FALSE), ""), ""), "")</f>
        <v/>
      </c>
      <c r="D877" s="16" t="n"/>
      <c r="E877" s="10">
        <f>IFERROR(IF(INDEX(ERP資料!$H:$H, (MATCH(876, 輔助計算!$G$2:$G$801, 0)+1))="","",INDEX(ERP資料!$H:$H, (MATCH(876, 輔助計算!$G$2:$G$801, 0)+1))), "")</f>
        <v/>
      </c>
      <c r="F877" s="10">
        <f>IFERROR(IF(INDEX(ERP資料!$E:$E, (MATCH(876, 輔助計算!$G$2:$G$801, 0)+1))="","",TRIM(INDEX(ERP資料!$E:$E, (MATCH(876, 輔助計算!$G$2:$G$801, 0)+1)))), "")</f>
        <v/>
      </c>
      <c r="G877" s="10">
        <f>IFERROR(IF(INDEX(ERP資料!$F:$F, (MATCH(876, 輔助計算!$G$2:$G$801, 0)+1))="","",INDEX(ERP資料!$F:$F, (MATCH(876, 輔助計算!$G$2:$G$801, 0)+1))), "")</f>
        <v/>
      </c>
      <c r="H877" s="10">
        <f>IFERROR(IF(INDEX(ERP資料!$G:$G, (MATCH(876, 輔助計算!$G$2:$G$801, 0)+1))="","",INDEX(ERP資料!$G:$G, (MATCH(876, 輔助計算!$G$2:$G$801, 0)+1))), "")</f>
        <v/>
      </c>
      <c r="I877" s="15">
        <f>IFERROR(INDEX(輔助計算!$D:$D, (MATCH(876, 輔助計算!$G$2:$G$801, 0)+1)), "")</f>
        <v/>
      </c>
      <c r="J877" s="15">
        <f>IFERROR(IF(AND(INDEX(輔助計算!$D:$D, (MATCH(876, 輔助計算!$G$2:$G$801, 0)+1))&lt;&gt;"", INDEX(ERP資料!$G:$G, (MATCH(876, 輔助計算!$G$2:$G$801, 0)+1))&lt;&gt;""), TRIM(IF(INT(INDEX(輔助計算!$D:$D, (MATCH(876, 輔助計算!$G$2:$G$801, 0)+1))/IF(INDEX(ERP資料!$G:$G, (MATCH(876, 輔助計算!$G$2:$G$801, 0)+1))&lt;100, IF(INDEX(ERP資料!$G:$G, (MATCH(876, 輔助計算!$G$2:$G$801, 0)+1))&lt;=31,3,IF(INDEX(ERP資料!$G:$G, (MATCH(876, 輔助計算!$G$2:$G$801, 0)+1))&lt;=46.5,2,1)), IF(INDEX(ERP資料!$G:$G, (MATCH(876, 輔助計算!$G$2:$G$801, 0)+1))&lt;=790,3,IF(INDEX(ERP資料!$G:$G, (MATCH(876, 輔助計算!$G$2:$G$801, 0)+1))&lt;=1181,2,1))))&gt;0, IF(IF(INDEX(ERP資料!$G:$G, (MATCH(876, 輔助計算!$G$2:$G$801, 0)+1))&lt;100, IF(INDEX(ERP資料!$G:$G, (MATCH(876, 輔助計算!$G$2:$G$801, 0)+1))&lt;=31,3,IF(INDEX(ERP資料!$G:$G, (MATCH(876, 輔助計算!$G$2:$G$801, 0)+1))&lt;=46.5,2,1)), IF(INDEX(ERP資料!$G:$G, (MATCH(876, 輔助計算!$G$2:$G$801, 0)+1))&lt;=790,3,IF(INDEX(ERP資料!$G:$G, (MATCH(876, 輔助計算!$G$2:$G$801, 0)+1))&lt;=1181,2,1)))=1,TEXT(INDEX(ERP資料!$G:$G, (MATCH(876, 輔助計算!$G$2:$G$801, 0)+1)),"0.##"),IF(IF(INDEX(ERP資料!$G:$G, (MATCH(876, 輔助計算!$G$2:$G$801, 0)+1))&lt;100, IF(INDEX(ERP資料!$G:$G, (MATCH(876, 輔助計算!$G$2:$G$801, 0)+1))&lt;=31,3,IF(INDEX(ERP資料!$G:$G, (MATCH(876, 輔助計算!$G$2:$G$801, 0)+1))&lt;=46.5,2,1)), IF(INDEX(ERP資料!$G:$G, (MATCH(876, 輔助計算!$G$2:$G$801, 0)+1))&lt;=790,3,IF(INDEX(ERP資料!$G:$G, (MATCH(876, 輔助計算!$G$2:$G$801, 0)+1))&lt;=1181,2,1)))=2,TEXT(INDEX(ERP資料!$G:$G, (MATCH(876, 輔助計算!$G$2:$G$801, 0)+1)),"0.##")&amp;"+"&amp;TEXT(INDEX(ERP資料!$G:$G, (MATCH(876, 輔助計算!$G$2:$G$801, 0)+1)),"0.##"),TEXT(INDEX(ERP資料!$G:$G, (MATCH(876, 輔助計算!$G$2:$G$801, 0)+1)),"0.##")&amp;"+"&amp;TEXT(INDEX(ERP資料!$G:$G, (MATCH(876, 輔助計算!$G$2:$G$801, 0)+1)),"0.##")&amp;"+"&amp;TEXT(INDEX(ERP資料!$G:$G, (MATCH(876, 輔助計算!$G$2:$G$801, 0)+1)),"0.##")))&amp;"-"&amp;INT(INDEX(輔助計算!$D:$D, (MATCH(876, 輔助計算!$G$2:$G$801, 0)+1))/IF(INDEX(ERP資料!$G:$G, (MATCH(876, 輔助計算!$G$2:$G$801, 0)+1))&lt;100, IF(INDEX(ERP資料!$G:$G, (MATCH(876, 輔助計算!$G$2:$G$801, 0)+1))&lt;=31,3,IF(INDEX(ERP資料!$G:$G, (MATCH(876, 輔助計算!$G$2:$G$801, 0)+1))&lt;=46.5,2,1)), IF(INDEX(ERP資料!$G:$G, (MATCH(876, 輔助計算!$G$2:$G$801, 0)+1))&lt;=790,3,IF(INDEX(ERP資料!$G:$G, (MATCH(876, 輔助計算!$G$2:$G$801, 0)+1))&lt;=1181,2,1)))), "")&amp;IF(AND(IF(INT(INDEX(輔助計算!$D:$D, (MATCH(876, 輔助計算!$G$2:$G$801, 0)+1))/IF(INDEX(ERP資料!$G:$G, (MATCH(876, 輔助計算!$G$2:$G$801, 0)+1))&lt;100, IF(INDEX(ERP資料!$G:$G, (MATCH(876, 輔助計算!$G$2:$G$801, 0)+1))&lt;=31,3,IF(INDEX(ERP資料!$G:$G, (MATCH(876, 輔助計算!$G$2:$G$801, 0)+1))&lt;=46.5,2,1)), IF(INDEX(ERP資料!$G:$G, (MATCH(876, 輔助計算!$G$2:$G$801, 0)+1))&lt;=790,3,IF(INDEX(ERP資料!$G:$G, (MATCH(876, 輔助計算!$G$2:$G$801, 0)+1))&lt;=1181,2,1))))&gt;0, IF(IF(INDEX(ERP資料!$G:$G, (MATCH(876, 輔助計算!$G$2:$G$801, 0)+1))&lt;100, IF(INDEX(ERP資料!$G:$G, (MATCH(876, 輔助計算!$G$2:$G$801, 0)+1))&lt;=31,3,IF(INDEX(ERP資料!$G:$G, (MATCH(876, 輔助計算!$G$2:$G$801, 0)+1))&lt;=46.5,2,1)), IF(INDEX(ERP資料!$G:$G, (MATCH(876, 輔助計算!$G$2:$G$801, 0)+1))&lt;=790,3,IF(INDEX(ERP資料!$G:$G, (MATCH(876, 輔助計算!$G$2:$G$801, 0)+1))&lt;=1181,2,1)))=1,TEXT(INDEX(ERP資料!$G:$G, (MATCH(876, 輔助計算!$G$2:$G$801, 0)+1)),"0.##"),IF(IF(INDEX(ERP資料!$G:$G, (MATCH(876, 輔助計算!$G$2:$G$801, 0)+1))&lt;100, IF(INDEX(ERP資料!$G:$G, (MATCH(876, 輔助計算!$G$2:$G$801, 0)+1))&lt;=31,3,IF(INDEX(ERP資料!$G:$G, (MATCH(876, 輔助計算!$G$2:$G$801, 0)+1))&lt;=46.5,2,1)), IF(INDEX(ERP資料!$G:$G, (MATCH(876, 輔助計算!$G$2:$G$801, 0)+1))&lt;=790,3,IF(INDEX(ERP資料!$G:$G, (MATCH(876, 輔助計算!$G$2:$G$801, 0)+1))&lt;=1181,2,1)))=2,TEXT(INDEX(ERP資料!$G:$G, (MATCH(876, 輔助計算!$G$2:$G$801, 0)+1)),"0.##")&amp;"+"&amp;TEXT(INDEX(ERP資料!$G:$G, (MATCH(876, 輔助計算!$G$2:$G$801, 0)+1)),"0.##"),TEXT(INDEX(ERP資料!$G:$G, (MATCH(876, 輔助計算!$G$2:$G$801, 0)+1)),"0.##")&amp;"+"&amp;TEXT(INDEX(ERP資料!$G:$G, (MATCH(876, 輔助計算!$G$2:$G$801, 0)+1)),"0.##")&amp;"+"&amp;TEXT(INDEX(ERP資料!$G:$G, (MATCH(876, 輔助計算!$G$2:$G$801, 0)+1)),"0.##")))&amp;"-"&amp;INT(INDEX(輔助計算!$D:$D, (MATCH(876, 輔助計算!$G$2:$G$801, 0)+1))/IF(INDEX(ERP資料!$G:$G, (MATCH(876, 輔助計算!$G$2:$G$801, 0)+1))&lt;100, IF(INDEX(ERP資料!$G:$G, (MATCH(876, 輔助計算!$G$2:$G$801, 0)+1))&lt;=31,3,IF(INDEX(ERP資料!$G:$G, (MATCH(876, 輔助計算!$G$2:$G$801, 0)+1))&lt;=46.5,2,1)), IF(INDEX(ERP資料!$G:$G, (MATCH(876, 輔助計算!$G$2:$G$801, 0)+1))&lt;=790,3,IF(INDEX(ERP資料!$G:$G, (MATCH(876, 輔助計算!$G$2:$G$801, 0)+1))&lt;=1181,2,1)))), "")&lt;&gt;"",IF(MOD(INDEX(輔助計算!$D:$D, (MATCH(876, 輔助計算!$G$2:$G$801, 0)+1)),IF(INDEX(ERP資料!$G:$G, (MATCH(876, 輔助計算!$G$2:$G$801, 0)+1))&lt;100, IF(INDEX(ERP資料!$G:$G, (MATCH(876, 輔助計算!$G$2:$G$801, 0)+1))&lt;=31,3,IF(INDEX(ERP資料!$G:$G, (MATCH(876, 輔助計算!$G$2:$G$801, 0)+1))&lt;=46.5,2,1)), IF(INDEX(ERP資料!$G:$G, (MATCH(876, 輔助計算!$G$2:$G$801, 0)+1))&lt;=790,3,IF(INDEX(ERP資料!$G:$G, (MATCH(876, 輔助計算!$G$2:$G$801, 0)+1))&lt;=1181,2,1))))=0,"",IF(MOD(INDEX(輔助計算!$D:$D, (MATCH(876, 輔助計算!$G$2:$G$801, 0)+1)),IF(INDEX(ERP資料!$G:$G, (MATCH(876, 輔助計算!$G$2:$G$801, 0)+1))&lt;100, IF(INDEX(ERP資料!$G:$G, (MATCH(876, 輔助計算!$G$2:$G$801, 0)+1))&lt;=31,3,IF(INDEX(ERP資料!$G:$G, (MATCH(876, 輔助計算!$G$2:$G$801, 0)+1))&lt;=46.5,2,1)), IF(INDEX(ERP資料!$G:$G, (MATCH(876, 輔助計算!$G$2:$G$801, 0)+1))&lt;=790,3,IF(INDEX(ERP資料!$G:$G, (MATCH(876, 輔助計算!$G$2:$G$801, 0)+1))&lt;=1181,2,1))))=0,"",IF(MOD(INDEX(輔助計算!$D:$D, (MATCH(876, 輔助計算!$G$2:$G$801, 0)+1)),IF(INDEX(ERP資料!$G:$G, (MATCH(876, 輔助計算!$G$2:$G$801, 0)+1))&lt;100, IF(INDEX(ERP資料!$G:$G, (MATCH(876, 輔助計算!$G$2:$G$801, 0)+1))&lt;=31,3,IF(INDEX(ERP資料!$G:$G, (MATCH(876, 輔助計算!$G$2:$G$801, 0)+1))&lt;=46.5,2,1)), IF(INDEX(ERP資料!$G:$G, (MATCH(876, 輔助計算!$G$2:$G$801, 0)+1))&lt;=790,3,IF(INDEX(ERP資料!$G:$G, (MATCH(876, 輔助計算!$G$2:$G$801, 0)+1))&lt;=1181,2,1))))=1,TEXT(INDEX(ERP資料!$G:$G, (MATCH(876, 輔助計算!$G$2:$G$801, 0)+1)),"0.##"),IF(MOD(INDEX(輔助計算!$D:$D, (MATCH(876, 輔助計算!$G$2:$G$801, 0)+1)),IF(INDEX(ERP資料!$G:$G, (MATCH(876, 輔助計算!$G$2:$G$801, 0)+1))&lt;100, IF(INDEX(ERP資料!$G:$G, (MATCH(876, 輔助計算!$G$2:$G$801, 0)+1))&lt;=31,3,IF(INDEX(ERP資料!$G:$G, (MATCH(876, 輔助計算!$G$2:$G$801, 0)+1))&lt;=46.5,2,1)), IF(INDEX(ERP資料!$G:$G, (MATCH(876, 輔助計算!$G$2:$G$801, 0)+1))&lt;=790,3,IF(INDEX(ERP資料!$G:$G, (MATCH(876, 輔助計算!$G$2:$G$801, 0)+1))&lt;=1181,2,1))))=2,TEXT(INDEX(ERP資料!$G:$G, (MATCH(876, 輔助計算!$G$2:$G$801, 0)+1)),"0.##")&amp;"+"&amp;TEXT(INDEX(ERP資料!$G:$G, (MATCH(876, 輔助計算!$G$2:$G$801, 0)+1)),"0.##"),TEXT(INDEX(ERP資料!$G:$G, (MATCH(876, 輔助計算!$G$2:$G$801, 0)+1)),"0.##")&amp;"+"&amp;TEXT(INDEX(ERP資料!$G:$G, (MATCH(876, 輔助計算!$G$2:$G$801, 0)+1)),"0.##")&amp;"+"&amp;TEXT(INDEX(ERP資料!$G:$G, (MATCH(876, 輔助計算!$G$2:$G$801, 0)+1)),"0.##"))))&amp;"-1")&lt;&gt;""),"  ","")&amp;IF(MOD(INDEX(輔助計算!$D:$D, (MATCH(876, 輔助計算!$G$2:$G$801, 0)+1)),IF(INDEX(ERP資料!$G:$G, (MATCH(876, 輔助計算!$G$2:$G$801, 0)+1))&lt;100, IF(INDEX(ERP資料!$G:$G, (MATCH(876, 輔助計算!$G$2:$G$801, 0)+1))&lt;=31,3,IF(INDEX(ERP資料!$G:$G, (MATCH(876, 輔助計算!$G$2:$G$801, 0)+1))&lt;=46.5,2,1)), IF(INDEX(ERP資料!$G:$G, (MATCH(876, 輔助計算!$G$2:$G$801, 0)+1))&lt;=790,3,IF(INDEX(ERP資料!$G:$G, (MATCH(876, 輔助計算!$G$2:$G$801, 0)+1))&lt;=1181,2,1))))=0,"",IF(MOD(INDEX(輔助計算!$D:$D, (MATCH(876, 輔助計算!$G$2:$G$801, 0)+1)),IF(INDEX(ERP資料!$G:$G, (MATCH(876, 輔助計算!$G$2:$G$801, 0)+1))&lt;100, IF(INDEX(ERP資料!$G:$G, (MATCH(876, 輔助計算!$G$2:$G$801, 0)+1))&lt;=31,3,IF(INDEX(ERP資料!$G:$G, (MATCH(876, 輔助計算!$G$2:$G$801, 0)+1))&lt;=46.5,2,1)), IF(INDEX(ERP資料!$G:$G, (MATCH(876, 輔助計算!$G$2:$G$801, 0)+1))&lt;=790,3,IF(INDEX(ERP資料!$G:$G, (MATCH(876, 輔助計算!$G$2:$G$801, 0)+1))&lt;=1181,2,1))))=0,"",IF(MOD(INDEX(輔助計算!$D:$D, (MATCH(876, 輔助計算!$G$2:$G$801, 0)+1)),IF(INDEX(ERP資料!$G:$G, (MATCH(876, 輔助計算!$G$2:$G$801, 0)+1))&lt;100, IF(INDEX(ERP資料!$G:$G, (MATCH(876, 輔助計算!$G$2:$G$801, 0)+1))&lt;=31,3,IF(INDEX(ERP資料!$G:$G, (MATCH(876, 輔助計算!$G$2:$G$801, 0)+1))&lt;=46.5,2,1)), IF(INDEX(ERP資料!$G:$G, (MATCH(876, 輔助計算!$G$2:$G$801, 0)+1))&lt;=790,3,IF(INDEX(ERP資料!$G:$G, (MATCH(876, 輔助計算!$G$2:$G$801, 0)+1))&lt;=1181,2,1))))=1,TEXT(INDEX(ERP資料!$G:$G, (MATCH(876, 輔助計算!$G$2:$G$801, 0)+1)),"0.##"),IF(MOD(INDEX(輔助計算!$D:$D, (MATCH(876, 輔助計算!$G$2:$G$801, 0)+1)),IF(INDEX(ERP資料!$G:$G, (MATCH(876, 輔助計算!$G$2:$G$801, 0)+1))&lt;100, IF(INDEX(ERP資料!$G:$G, (MATCH(876, 輔助計算!$G$2:$G$801, 0)+1))&lt;=31,3,IF(INDEX(ERP資料!$G:$G, (MATCH(876, 輔助計算!$G$2:$G$801, 0)+1))&lt;=46.5,2,1)), IF(INDEX(ERP資料!$G:$G, (MATCH(876, 輔助計算!$G$2:$G$801, 0)+1))&lt;=790,3,IF(INDEX(ERP資料!$G:$G, (MATCH(876, 輔助計算!$G$2:$G$801, 0)+1))&lt;=1181,2,1))))=2,TEXT(INDEX(ERP資料!$G:$G, (MATCH(876, 輔助計算!$G$2:$G$801, 0)+1)),"0.##")&amp;"+"&amp;TEXT(INDEX(ERP資料!$G:$G, (MATCH(876, 輔助計算!$G$2:$G$801, 0)+1)),"0.##"),TEXT(INDEX(ERP資料!$G:$G, (MATCH(876, 輔助計算!$G$2:$G$801, 0)+1)),"0.##")&amp;"+"&amp;TEXT(INDEX(ERP資料!$G:$G, (MATCH(876, 輔助計算!$G$2:$G$801, 0)+1)),"0.##")&amp;"+"&amp;TEXT(INDEX(ERP資料!$G:$G, (MATCH(876, 輔助計算!$G$2:$G$801, 0)+1)),"0.##"))))&amp;"-1")), ""), "")</f>
        <v/>
      </c>
      <c r="K877" s="16" t="n"/>
      <c r="L877" s="14">
        <f>IFERROR(IF(AND(IFERROR(INDEX(ERP資料!$A:$A, (MATCH(876, 輔助計算!$G$2:$G$801, 0)+1)), "")&lt;&gt;"", IFERROR(INDEX(ERP資料!$A:$A, (MATCH(876, 輔助計算!$G$2:$G$801, 0)+1)), "")&lt;&gt;IFERROR(INDEX(ERP資料!$A:$A, MATCH(875, 輔助計算!$G$2:$G$801, 0)+1), "")), INDEX(ERP資料!$B:$B, (MATCH(876, 輔助計算!$G$2:$G$801, 0)+1)), ""), "")</f>
        <v/>
      </c>
      <c r="M877" s="17" t="n"/>
    </row>
    <row r="878">
      <c r="A878" s="10">
        <f>IFERROR(IF(AND(IFERROR(INDEX(ERP資料!$A:$A, (MATCH(877, 輔助計算!$G$2:$G$801, 0)+1)), "")&lt;&gt;"", IFERROR(INDEX(ERP資料!$A:$A, (MATCH(877, 輔助計算!$G$2:$G$801, 0)+1)), "")&lt;&gt;IFERROR(INDEX(ERP資料!$A:$A, MATCH(876, 輔助計算!$G$2:$G$801, 0)+1), "")), IFERROR(INDEX(ERP資料!$A:$A, (MATCH(877, 輔助計算!$G$2:$G$801, 0)+1)), ""), ""), "")</f>
        <v/>
      </c>
      <c r="B878" s="10">
        <f>IFERROR(IF(AND(IFERROR(INDEX(ERP資料!$A:$A, (MATCH(877, 輔助計算!$G$2:$G$801, 0)+1)), "")&lt;&gt;"", IFERROR(INDEX(ERP資料!$A:$A, (MATCH(877, 輔助計算!$G$2:$G$801, 0)+1)), "")&lt;&gt;IFERROR(INDEX(ERP資料!$A:$A, MATCH(876, 輔助計算!$G$2:$G$801, 0)+1), "")), INDEX(ERP資料!$S:$S, (MATCH(877, 輔助計算!$G$2:$G$801, 0)+1)), ""), "")</f>
        <v/>
      </c>
      <c r="C878" s="19">
        <f>IFERROR(IF(AND(IFERROR(INDEX(ERP資料!$A:$A, (MATCH(877, 輔助計算!$G$2:$G$801, 0)+1)), "")&lt;&gt;"", IFERROR(INDEX(ERP資料!$A:$A, (MATCH(877, 輔助計算!$G$2:$G$801, 0)+1)), "")&lt;&gt;IFERROR(INDEX(ERP資料!$A:$A, MATCH(876, 輔助計算!$G$2:$G$801, 0)+1), "")), IFERROR(VLOOKUP(LEFT(INDEX(ERP資料!$S:$S, (MATCH(877, 輔助計算!$G$2:$G$801, 0)+1)), 4), 紙管對照表!$A:$C, 3, FALSE), ""), ""), "")</f>
        <v/>
      </c>
      <c r="D878" s="16" t="n"/>
      <c r="E878" s="10">
        <f>IFERROR(IF(INDEX(ERP資料!$H:$H, (MATCH(877, 輔助計算!$G$2:$G$801, 0)+1))="","",INDEX(ERP資料!$H:$H, (MATCH(877, 輔助計算!$G$2:$G$801, 0)+1))), "")</f>
        <v/>
      </c>
      <c r="F878" s="10">
        <f>IFERROR(IF(INDEX(ERP資料!$E:$E, (MATCH(877, 輔助計算!$G$2:$G$801, 0)+1))="","",TRIM(INDEX(ERP資料!$E:$E, (MATCH(877, 輔助計算!$G$2:$G$801, 0)+1)))), "")</f>
        <v/>
      </c>
      <c r="G878" s="10">
        <f>IFERROR(IF(INDEX(ERP資料!$F:$F, (MATCH(877, 輔助計算!$G$2:$G$801, 0)+1))="","",INDEX(ERP資料!$F:$F, (MATCH(877, 輔助計算!$G$2:$G$801, 0)+1))), "")</f>
        <v/>
      </c>
      <c r="H878" s="10">
        <f>IFERROR(IF(INDEX(ERP資料!$G:$G, (MATCH(877, 輔助計算!$G$2:$G$801, 0)+1))="","",INDEX(ERP資料!$G:$G, (MATCH(877, 輔助計算!$G$2:$G$801, 0)+1))), "")</f>
        <v/>
      </c>
      <c r="I878" s="15">
        <f>IFERROR(INDEX(輔助計算!$D:$D, (MATCH(877, 輔助計算!$G$2:$G$801, 0)+1)), "")</f>
        <v/>
      </c>
      <c r="J878" s="15">
        <f>IFERROR(IF(AND(INDEX(輔助計算!$D:$D, (MATCH(877, 輔助計算!$G$2:$G$801, 0)+1))&lt;&gt;"", INDEX(ERP資料!$G:$G, (MATCH(877, 輔助計算!$G$2:$G$801, 0)+1))&lt;&gt;""), TRIM(IF(INT(INDEX(輔助計算!$D:$D, (MATCH(877, 輔助計算!$G$2:$G$801, 0)+1))/IF(INDEX(ERP資料!$G:$G, (MATCH(877, 輔助計算!$G$2:$G$801, 0)+1))&lt;100, IF(INDEX(ERP資料!$G:$G, (MATCH(877, 輔助計算!$G$2:$G$801, 0)+1))&lt;=31,3,IF(INDEX(ERP資料!$G:$G, (MATCH(877, 輔助計算!$G$2:$G$801, 0)+1))&lt;=46.5,2,1)), IF(INDEX(ERP資料!$G:$G, (MATCH(877, 輔助計算!$G$2:$G$801, 0)+1))&lt;=790,3,IF(INDEX(ERP資料!$G:$G, (MATCH(877, 輔助計算!$G$2:$G$801, 0)+1))&lt;=1181,2,1))))&gt;0, IF(IF(INDEX(ERP資料!$G:$G, (MATCH(877, 輔助計算!$G$2:$G$801, 0)+1))&lt;100, IF(INDEX(ERP資料!$G:$G, (MATCH(877, 輔助計算!$G$2:$G$801, 0)+1))&lt;=31,3,IF(INDEX(ERP資料!$G:$G, (MATCH(877, 輔助計算!$G$2:$G$801, 0)+1))&lt;=46.5,2,1)), IF(INDEX(ERP資料!$G:$G, (MATCH(877, 輔助計算!$G$2:$G$801, 0)+1))&lt;=790,3,IF(INDEX(ERP資料!$G:$G, (MATCH(877, 輔助計算!$G$2:$G$801, 0)+1))&lt;=1181,2,1)))=1,TEXT(INDEX(ERP資料!$G:$G, (MATCH(877, 輔助計算!$G$2:$G$801, 0)+1)),"0.##"),IF(IF(INDEX(ERP資料!$G:$G, (MATCH(877, 輔助計算!$G$2:$G$801, 0)+1))&lt;100, IF(INDEX(ERP資料!$G:$G, (MATCH(877, 輔助計算!$G$2:$G$801, 0)+1))&lt;=31,3,IF(INDEX(ERP資料!$G:$G, (MATCH(877, 輔助計算!$G$2:$G$801, 0)+1))&lt;=46.5,2,1)), IF(INDEX(ERP資料!$G:$G, (MATCH(877, 輔助計算!$G$2:$G$801, 0)+1))&lt;=790,3,IF(INDEX(ERP資料!$G:$G, (MATCH(877, 輔助計算!$G$2:$G$801, 0)+1))&lt;=1181,2,1)))=2,TEXT(INDEX(ERP資料!$G:$G, (MATCH(877, 輔助計算!$G$2:$G$801, 0)+1)),"0.##")&amp;"+"&amp;TEXT(INDEX(ERP資料!$G:$G, (MATCH(877, 輔助計算!$G$2:$G$801, 0)+1)),"0.##"),TEXT(INDEX(ERP資料!$G:$G, (MATCH(877, 輔助計算!$G$2:$G$801, 0)+1)),"0.##")&amp;"+"&amp;TEXT(INDEX(ERP資料!$G:$G, (MATCH(877, 輔助計算!$G$2:$G$801, 0)+1)),"0.##")&amp;"+"&amp;TEXT(INDEX(ERP資料!$G:$G, (MATCH(877, 輔助計算!$G$2:$G$801, 0)+1)),"0.##")))&amp;"-"&amp;INT(INDEX(輔助計算!$D:$D, (MATCH(877, 輔助計算!$G$2:$G$801, 0)+1))/IF(INDEX(ERP資料!$G:$G, (MATCH(877, 輔助計算!$G$2:$G$801, 0)+1))&lt;100, IF(INDEX(ERP資料!$G:$G, (MATCH(877, 輔助計算!$G$2:$G$801, 0)+1))&lt;=31,3,IF(INDEX(ERP資料!$G:$G, (MATCH(877, 輔助計算!$G$2:$G$801, 0)+1))&lt;=46.5,2,1)), IF(INDEX(ERP資料!$G:$G, (MATCH(877, 輔助計算!$G$2:$G$801, 0)+1))&lt;=790,3,IF(INDEX(ERP資料!$G:$G, (MATCH(877, 輔助計算!$G$2:$G$801, 0)+1))&lt;=1181,2,1)))), "")&amp;IF(AND(IF(INT(INDEX(輔助計算!$D:$D, (MATCH(877, 輔助計算!$G$2:$G$801, 0)+1))/IF(INDEX(ERP資料!$G:$G, (MATCH(877, 輔助計算!$G$2:$G$801, 0)+1))&lt;100, IF(INDEX(ERP資料!$G:$G, (MATCH(877, 輔助計算!$G$2:$G$801, 0)+1))&lt;=31,3,IF(INDEX(ERP資料!$G:$G, (MATCH(877, 輔助計算!$G$2:$G$801, 0)+1))&lt;=46.5,2,1)), IF(INDEX(ERP資料!$G:$G, (MATCH(877, 輔助計算!$G$2:$G$801, 0)+1))&lt;=790,3,IF(INDEX(ERP資料!$G:$G, (MATCH(877, 輔助計算!$G$2:$G$801, 0)+1))&lt;=1181,2,1))))&gt;0, IF(IF(INDEX(ERP資料!$G:$G, (MATCH(877, 輔助計算!$G$2:$G$801, 0)+1))&lt;100, IF(INDEX(ERP資料!$G:$G, (MATCH(877, 輔助計算!$G$2:$G$801, 0)+1))&lt;=31,3,IF(INDEX(ERP資料!$G:$G, (MATCH(877, 輔助計算!$G$2:$G$801, 0)+1))&lt;=46.5,2,1)), IF(INDEX(ERP資料!$G:$G, (MATCH(877, 輔助計算!$G$2:$G$801, 0)+1))&lt;=790,3,IF(INDEX(ERP資料!$G:$G, (MATCH(877, 輔助計算!$G$2:$G$801, 0)+1))&lt;=1181,2,1)))=1,TEXT(INDEX(ERP資料!$G:$G, (MATCH(877, 輔助計算!$G$2:$G$801, 0)+1)),"0.##"),IF(IF(INDEX(ERP資料!$G:$G, (MATCH(877, 輔助計算!$G$2:$G$801, 0)+1))&lt;100, IF(INDEX(ERP資料!$G:$G, (MATCH(877, 輔助計算!$G$2:$G$801, 0)+1))&lt;=31,3,IF(INDEX(ERP資料!$G:$G, (MATCH(877, 輔助計算!$G$2:$G$801, 0)+1))&lt;=46.5,2,1)), IF(INDEX(ERP資料!$G:$G, (MATCH(877, 輔助計算!$G$2:$G$801, 0)+1))&lt;=790,3,IF(INDEX(ERP資料!$G:$G, (MATCH(877, 輔助計算!$G$2:$G$801, 0)+1))&lt;=1181,2,1)))=2,TEXT(INDEX(ERP資料!$G:$G, (MATCH(877, 輔助計算!$G$2:$G$801, 0)+1)),"0.##")&amp;"+"&amp;TEXT(INDEX(ERP資料!$G:$G, (MATCH(877, 輔助計算!$G$2:$G$801, 0)+1)),"0.##"),TEXT(INDEX(ERP資料!$G:$G, (MATCH(877, 輔助計算!$G$2:$G$801, 0)+1)),"0.##")&amp;"+"&amp;TEXT(INDEX(ERP資料!$G:$G, (MATCH(877, 輔助計算!$G$2:$G$801, 0)+1)),"0.##")&amp;"+"&amp;TEXT(INDEX(ERP資料!$G:$G, (MATCH(877, 輔助計算!$G$2:$G$801, 0)+1)),"0.##")))&amp;"-"&amp;INT(INDEX(輔助計算!$D:$D, (MATCH(877, 輔助計算!$G$2:$G$801, 0)+1))/IF(INDEX(ERP資料!$G:$G, (MATCH(877, 輔助計算!$G$2:$G$801, 0)+1))&lt;100, IF(INDEX(ERP資料!$G:$G, (MATCH(877, 輔助計算!$G$2:$G$801, 0)+1))&lt;=31,3,IF(INDEX(ERP資料!$G:$G, (MATCH(877, 輔助計算!$G$2:$G$801, 0)+1))&lt;=46.5,2,1)), IF(INDEX(ERP資料!$G:$G, (MATCH(877, 輔助計算!$G$2:$G$801, 0)+1))&lt;=790,3,IF(INDEX(ERP資料!$G:$G, (MATCH(877, 輔助計算!$G$2:$G$801, 0)+1))&lt;=1181,2,1)))), "")&lt;&gt;"",IF(MOD(INDEX(輔助計算!$D:$D, (MATCH(877, 輔助計算!$G$2:$G$801, 0)+1)),IF(INDEX(ERP資料!$G:$G, (MATCH(877, 輔助計算!$G$2:$G$801, 0)+1))&lt;100, IF(INDEX(ERP資料!$G:$G, (MATCH(877, 輔助計算!$G$2:$G$801, 0)+1))&lt;=31,3,IF(INDEX(ERP資料!$G:$G, (MATCH(877, 輔助計算!$G$2:$G$801, 0)+1))&lt;=46.5,2,1)), IF(INDEX(ERP資料!$G:$G, (MATCH(877, 輔助計算!$G$2:$G$801, 0)+1))&lt;=790,3,IF(INDEX(ERP資料!$G:$G, (MATCH(877, 輔助計算!$G$2:$G$801, 0)+1))&lt;=1181,2,1))))=0,"",IF(MOD(INDEX(輔助計算!$D:$D, (MATCH(877, 輔助計算!$G$2:$G$801, 0)+1)),IF(INDEX(ERP資料!$G:$G, (MATCH(877, 輔助計算!$G$2:$G$801, 0)+1))&lt;100, IF(INDEX(ERP資料!$G:$G, (MATCH(877, 輔助計算!$G$2:$G$801, 0)+1))&lt;=31,3,IF(INDEX(ERP資料!$G:$G, (MATCH(877, 輔助計算!$G$2:$G$801, 0)+1))&lt;=46.5,2,1)), IF(INDEX(ERP資料!$G:$G, (MATCH(877, 輔助計算!$G$2:$G$801, 0)+1))&lt;=790,3,IF(INDEX(ERP資料!$G:$G, (MATCH(877, 輔助計算!$G$2:$G$801, 0)+1))&lt;=1181,2,1))))=0,"",IF(MOD(INDEX(輔助計算!$D:$D, (MATCH(877, 輔助計算!$G$2:$G$801, 0)+1)),IF(INDEX(ERP資料!$G:$G, (MATCH(877, 輔助計算!$G$2:$G$801, 0)+1))&lt;100, IF(INDEX(ERP資料!$G:$G, (MATCH(877, 輔助計算!$G$2:$G$801, 0)+1))&lt;=31,3,IF(INDEX(ERP資料!$G:$G, (MATCH(877, 輔助計算!$G$2:$G$801, 0)+1))&lt;=46.5,2,1)), IF(INDEX(ERP資料!$G:$G, (MATCH(877, 輔助計算!$G$2:$G$801, 0)+1))&lt;=790,3,IF(INDEX(ERP資料!$G:$G, (MATCH(877, 輔助計算!$G$2:$G$801, 0)+1))&lt;=1181,2,1))))=1,TEXT(INDEX(ERP資料!$G:$G, (MATCH(877, 輔助計算!$G$2:$G$801, 0)+1)),"0.##"),IF(MOD(INDEX(輔助計算!$D:$D, (MATCH(877, 輔助計算!$G$2:$G$801, 0)+1)),IF(INDEX(ERP資料!$G:$G, (MATCH(877, 輔助計算!$G$2:$G$801, 0)+1))&lt;100, IF(INDEX(ERP資料!$G:$G, (MATCH(877, 輔助計算!$G$2:$G$801, 0)+1))&lt;=31,3,IF(INDEX(ERP資料!$G:$G, (MATCH(877, 輔助計算!$G$2:$G$801, 0)+1))&lt;=46.5,2,1)), IF(INDEX(ERP資料!$G:$G, (MATCH(877, 輔助計算!$G$2:$G$801, 0)+1))&lt;=790,3,IF(INDEX(ERP資料!$G:$G, (MATCH(877, 輔助計算!$G$2:$G$801, 0)+1))&lt;=1181,2,1))))=2,TEXT(INDEX(ERP資料!$G:$G, (MATCH(877, 輔助計算!$G$2:$G$801, 0)+1)),"0.##")&amp;"+"&amp;TEXT(INDEX(ERP資料!$G:$G, (MATCH(877, 輔助計算!$G$2:$G$801, 0)+1)),"0.##"),TEXT(INDEX(ERP資料!$G:$G, (MATCH(877, 輔助計算!$G$2:$G$801, 0)+1)),"0.##")&amp;"+"&amp;TEXT(INDEX(ERP資料!$G:$G, (MATCH(877, 輔助計算!$G$2:$G$801, 0)+1)),"0.##")&amp;"+"&amp;TEXT(INDEX(ERP資料!$G:$G, (MATCH(877, 輔助計算!$G$2:$G$801, 0)+1)),"0.##"))))&amp;"-1")&lt;&gt;""),"  ","")&amp;IF(MOD(INDEX(輔助計算!$D:$D, (MATCH(877, 輔助計算!$G$2:$G$801, 0)+1)),IF(INDEX(ERP資料!$G:$G, (MATCH(877, 輔助計算!$G$2:$G$801, 0)+1))&lt;100, IF(INDEX(ERP資料!$G:$G, (MATCH(877, 輔助計算!$G$2:$G$801, 0)+1))&lt;=31,3,IF(INDEX(ERP資料!$G:$G, (MATCH(877, 輔助計算!$G$2:$G$801, 0)+1))&lt;=46.5,2,1)), IF(INDEX(ERP資料!$G:$G, (MATCH(877, 輔助計算!$G$2:$G$801, 0)+1))&lt;=790,3,IF(INDEX(ERP資料!$G:$G, (MATCH(877, 輔助計算!$G$2:$G$801, 0)+1))&lt;=1181,2,1))))=0,"",IF(MOD(INDEX(輔助計算!$D:$D, (MATCH(877, 輔助計算!$G$2:$G$801, 0)+1)),IF(INDEX(ERP資料!$G:$G, (MATCH(877, 輔助計算!$G$2:$G$801, 0)+1))&lt;100, IF(INDEX(ERP資料!$G:$G, (MATCH(877, 輔助計算!$G$2:$G$801, 0)+1))&lt;=31,3,IF(INDEX(ERP資料!$G:$G, (MATCH(877, 輔助計算!$G$2:$G$801, 0)+1))&lt;=46.5,2,1)), IF(INDEX(ERP資料!$G:$G, (MATCH(877, 輔助計算!$G$2:$G$801, 0)+1))&lt;=790,3,IF(INDEX(ERP資料!$G:$G, (MATCH(877, 輔助計算!$G$2:$G$801, 0)+1))&lt;=1181,2,1))))=0,"",IF(MOD(INDEX(輔助計算!$D:$D, (MATCH(877, 輔助計算!$G$2:$G$801, 0)+1)),IF(INDEX(ERP資料!$G:$G, (MATCH(877, 輔助計算!$G$2:$G$801, 0)+1))&lt;100, IF(INDEX(ERP資料!$G:$G, (MATCH(877, 輔助計算!$G$2:$G$801, 0)+1))&lt;=31,3,IF(INDEX(ERP資料!$G:$G, (MATCH(877, 輔助計算!$G$2:$G$801, 0)+1))&lt;=46.5,2,1)), IF(INDEX(ERP資料!$G:$G, (MATCH(877, 輔助計算!$G$2:$G$801, 0)+1))&lt;=790,3,IF(INDEX(ERP資料!$G:$G, (MATCH(877, 輔助計算!$G$2:$G$801, 0)+1))&lt;=1181,2,1))))=1,TEXT(INDEX(ERP資料!$G:$G, (MATCH(877, 輔助計算!$G$2:$G$801, 0)+1)),"0.##"),IF(MOD(INDEX(輔助計算!$D:$D, (MATCH(877, 輔助計算!$G$2:$G$801, 0)+1)),IF(INDEX(ERP資料!$G:$G, (MATCH(877, 輔助計算!$G$2:$G$801, 0)+1))&lt;100, IF(INDEX(ERP資料!$G:$G, (MATCH(877, 輔助計算!$G$2:$G$801, 0)+1))&lt;=31,3,IF(INDEX(ERP資料!$G:$G, (MATCH(877, 輔助計算!$G$2:$G$801, 0)+1))&lt;=46.5,2,1)), IF(INDEX(ERP資料!$G:$G, (MATCH(877, 輔助計算!$G$2:$G$801, 0)+1))&lt;=790,3,IF(INDEX(ERP資料!$G:$G, (MATCH(877, 輔助計算!$G$2:$G$801, 0)+1))&lt;=1181,2,1))))=2,TEXT(INDEX(ERP資料!$G:$G, (MATCH(877, 輔助計算!$G$2:$G$801, 0)+1)),"0.##")&amp;"+"&amp;TEXT(INDEX(ERP資料!$G:$G, (MATCH(877, 輔助計算!$G$2:$G$801, 0)+1)),"0.##"),TEXT(INDEX(ERP資料!$G:$G, (MATCH(877, 輔助計算!$G$2:$G$801, 0)+1)),"0.##")&amp;"+"&amp;TEXT(INDEX(ERP資料!$G:$G, (MATCH(877, 輔助計算!$G$2:$G$801, 0)+1)),"0.##")&amp;"+"&amp;TEXT(INDEX(ERP資料!$G:$G, (MATCH(877, 輔助計算!$G$2:$G$801, 0)+1)),"0.##"))))&amp;"-1")), ""), "")</f>
        <v/>
      </c>
      <c r="K878" s="16" t="n"/>
      <c r="L878" s="14">
        <f>IFERROR(IF(AND(IFERROR(INDEX(ERP資料!$A:$A, (MATCH(877, 輔助計算!$G$2:$G$801, 0)+1)), "")&lt;&gt;"", IFERROR(INDEX(ERP資料!$A:$A, (MATCH(877, 輔助計算!$G$2:$G$801, 0)+1)), "")&lt;&gt;IFERROR(INDEX(ERP資料!$A:$A, MATCH(876, 輔助計算!$G$2:$G$801, 0)+1), "")), INDEX(ERP資料!$B:$B, (MATCH(877, 輔助計算!$G$2:$G$801, 0)+1)), ""), "")</f>
        <v/>
      </c>
      <c r="M878" s="17" t="n"/>
    </row>
    <row r="879">
      <c r="A879" s="10">
        <f>IFERROR(IF(AND(IFERROR(INDEX(ERP資料!$A:$A, (MATCH(878, 輔助計算!$G$2:$G$801, 0)+1)), "")&lt;&gt;"", IFERROR(INDEX(ERP資料!$A:$A, (MATCH(878, 輔助計算!$G$2:$G$801, 0)+1)), "")&lt;&gt;IFERROR(INDEX(ERP資料!$A:$A, MATCH(877, 輔助計算!$G$2:$G$801, 0)+1), "")), IFERROR(INDEX(ERP資料!$A:$A, (MATCH(878, 輔助計算!$G$2:$G$801, 0)+1)), ""), ""), "")</f>
        <v/>
      </c>
      <c r="B879" s="10">
        <f>IFERROR(IF(AND(IFERROR(INDEX(ERP資料!$A:$A, (MATCH(878, 輔助計算!$G$2:$G$801, 0)+1)), "")&lt;&gt;"", IFERROR(INDEX(ERP資料!$A:$A, (MATCH(878, 輔助計算!$G$2:$G$801, 0)+1)), "")&lt;&gt;IFERROR(INDEX(ERP資料!$A:$A, MATCH(877, 輔助計算!$G$2:$G$801, 0)+1), "")), INDEX(ERP資料!$S:$S, (MATCH(878, 輔助計算!$G$2:$G$801, 0)+1)), ""), "")</f>
        <v/>
      </c>
      <c r="C879" s="19">
        <f>IFERROR(IF(AND(IFERROR(INDEX(ERP資料!$A:$A, (MATCH(878, 輔助計算!$G$2:$G$801, 0)+1)), "")&lt;&gt;"", IFERROR(INDEX(ERP資料!$A:$A, (MATCH(878, 輔助計算!$G$2:$G$801, 0)+1)), "")&lt;&gt;IFERROR(INDEX(ERP資料!$A:$A, MATCH(877, 輔助計算!$G$2:$G$801, 0)+1), "")), IFERROR(VLOOKUP(LEFT(INDEX(ERP資料!$S:$S, (MATCH(878, 輔助計算!$G$2:$G$801, 0)+1)), 4), 紙管對照表!$A:$C, 3, FALSE), ""), ""), "")</f>
        <v/>
      </c>
      <c r="D879" s="16" t="n"/>
      <c r="E879" s="10">
        <f>IFERROR(IF(INDEX(ERP資料!$H:$H, (MATCH(878, 輔助計算!$G$2:$G$801, 0)+1))="","",INDEX(ERP資料!$H:$H, (MATCH(878, 輔助計算!$G$2:$G$801, 0)+1))), "")</f>
        <v/>
      </c>
      <c r="F879" s="10">
        <f>IFERROR(IF(INDEX(ERP資料!$E:$E, (MATCH(878, 輔助計算!$G$2:$G$801, 0)+1))="","",TRIM(INDEX(ERP資料!$E:$E, (MATCH(878, 輔助計算!$G$2:$G$801, 0)+1)))), "")</f>
        <v/>
      </c>
      <c r="G879" s="10">
        <f>IFERROR(IF(INDEX(ERP資料!$F:$F, (MATCH(878, 輔助計算!$G$2:$G$801, 0)+1))="","",INDEX(ERP資料!$F:$F, (MATCH(878, 輔助計算!$G$2:$G$801, 0)+1))), "")</f>
        <v/>
      </c>
      <c r="H879" s="10">
        <f>IFERROR(IF(INDEX(ERP資料!$G:$G, (MATCH(878, 輔助計算!$G$2:$G$801, 0)+1))="","",INDEX(ERP資料!$G:$G, (MATCH(878, 輔助計算!$G$2:$G$801, 0)+1))), "")</f>
        <v/>
      </c>
      <c r="I879" s="15">
        <f>IFERROR(INDEX(輔助計算!$D:$D, (MATCH(878, 輔助計算!$G$2:$G$801, 0)+1)), "")</f>
        <v/>
      </c>
      <c r="J879" s="15">
        <f>IFERROR(IF(AND(INDEX(輔助計算!$D:$D, (MATCH(878, 輔助計算!$G$2:$G$801, 0)+1))&lt;&gt;"", INDEX(ERP資料!$G:$G, (MATCH(878, 輔助計算!$G$2:$G$801, 0)+1))&lt;&gt;""), TRIM(IF(INT(INDEX(輔助計算!$D:$D, (MATCH(878, 輔助計算!$G$2:$G$801, 0)+1))/IF(INDEX(ERP資料!$G:$G, (MATCH(878, 輔助計算!$G$2:$G$801, 0)+1))&lt;100, IF(INDEX(ERP資料!$G:$G, (MATCH(878, 輔助計算!$G$2:$G$801, 0)+1))&lt;=31,3,IF(INDEX(ERP資料!$G:$G, (MATCH(878, 輔助計算!$G$2:$G$801, 0)+1))&lt;=46.5,2,1)), IF(INDEX(ERP資料!$G:$G, (MATCH(878, 輔助計算!$G$2:$G$801, 0)+1))&lt;=790,3,IF(INDEX(ERP資料!$G:$G, (MATCH(878, 輔助計算!$G$2:$G$801, 0)+1))&lt;=1181,2,1))))&gt;0, IF(IF(INDEX(ERP資料!$G:$G, (MATCH(878, 輔助計算!$G$2:$G$801, 0)+1))&lt;100, IF(INDEX(ERP資料!$G:$G, (MATCH(878, 輔助計算!$G$2:$G$801, 0)+1))&lt;=31,3,IF(INDEX(ERP資料!$G:$G, (MATCH(878, 輔助計算!$G$2:$G$801, 0)+1))&lt;=46.5,2,1)), IF(INDEX(ERP資料!$G:$G, (MATCH(878, 輔助計算!$G$2:$G$801, 0)+1))&lt;=790,3,IF(INDEX(ERP資料!$G:$G, (MATCH(878, 輔助計算!$G$2:$G$801, 0)+1))&lt;=1181,2,1)))=1,TEXT(INDEX(ERP資料!$G:$G, (MATCH(878, 輔助計算!$G$2:$G$801, 0)+1)),"0.##"),IF(IF(INDEX(ERP資料!$G:$G, (MATCH(878, 輔助計算!$G$2:$G$801, 0)+1))&lt;100, IF(INDEX(ERP資料!$G:$G, (MATCH(878, 輔助計算!$G$2:$G$801, 0)+1))&lt;=31,3,IF(INDEX(ERP資料!$G:$G, (MATCH(878, 輔助計算!$G$2:$G$801, 0)+1))&lt;=46.5,2,1)), IF(INDEX(ERP資料!$G:$G, (MATCH(878, 輔助計算!$G$2:$G$801, 0)+1))&lt;=790,3,IF(INDEX(ERP資料!$G:$G, (MATCH(878, 輔助計算!$G$2:$G$801, 0)+1))&lt;=1181,2,1)))=2,TEXT(INDEX(ERP資料!$G:$G, (MATCH(878, 輔助計算!$G$2:$G$801, 0)+1)),"0.##")&amp;"+"&amp;TEXT(INDEX(ERP資料!$G:$G, (MATCH(878, 輔助計算!$G$2:$G$801, 0)+1)),"0.##"),TEXT(INDEX(ERP資料!$G:$G, (MATCH(878, 輔助計算!$G$2:$G$801, 0)+1)),"0.##")&amp;"+"&amp;TEXT(INDEX(ERP資料!$G:$G, (MATCH(878, 輔助計算!$G$2:$G$801, 0)+1)),"0.##")&amp;"+"&amp;TEXT(INDEX(ERP資料!$G:$G, (MATCH(878, 輔助計算!$G$2:$G$801, 0)+1)),"0.##")))&amp;"-"&amp;INT(INDEX(輔助計算!$D:$D, (MATCH(878, 輔助計算!$G$2:$G$801, 0)+1))/IF(INDEX(ERP資料!$G:$G, (MATCH(878, 輔助計算!$G$2:$G$801, 0)+1))&lt;100, IF(INDEX(ERP資料!$G:$G, (MATCH(878, 輔助計算!$G$2:$G$801, 0)+1))&lt;=31,3,IF(INDEX(ERP資料!$G:$G, (MATCH(878, 輔助計算!$G$2:$G$801, 0)+1))&lt;=46.5,2,1)), IF(INDEX(ERP資料!$G:$G, (MATCH(878, 輔助計算!$G$2:$G$801, 0)+1))&lt;=790,3,IF(INDEX(ERP資料!$G:$G, (MATCH(878, 輔助計算!$G$2:$G$801, 0)+1))&lt;=1181,2,1)))), "")&amp;IF(AND(IF(INT(INDEX(輔助計算!$D:$D, (MATCH(878, 輔助計算!$G$2:$G$801, 0)+1))/IF(INDEX(ERP資料!$G:$G, (MATCH(878, 輔助計算!$G$2:$G$801, 0)+1))&lt;100, IF(INDEX(ERP資料!$G:$G, (MATCH(878, 輔助計算!$G$2:$G$801, 0)+1))&lt;=31,3,IF(INDEX(ERP資料!$G:$G, (MATCH(878, 輔助計算!$G$2:$G$801, 0)+1))&lt;=46.5,2,1)), IF(INDEX(ERP資料!$G:$G, (MATCH(878, 輔助計算!$G$2:$G$801, 0)+1))&lt;=790,3,IF(INDEX(ERP資料!$G:$G, (MATCH(878, 輔助計算!$G$2:$G$801, 0)+1))&lt;=1181,2,1))))&gt;0, IF(IF(INDEX(ERP資料!$G:$G, (MATCH(878, 輔助計算!$G$2:$G$801, 0)+1))&lt;100, IF(INDEX(ERP資料!$G:$G, (MATCH(878, 輔助計算!$G$2:$G$801, 0)+1))&lt;=31,3,IF(INDEX(ERP資料!$G:$G, (MATCH(878, 輔助計算!$G$2:$G$801, 0)+1))&lt;=46.5,2,1)), IF(INDEX(ERP資料!$G:$G, (MATCH(878, 輔助計算!$G$2:$G$801, 0)+1))&lt;=790,3,IF(INDEX(ERP資料!$G:$G, (MATCH(878, 輔助計算!$G$2:$G$801, 0)+1))&lt;=1181,2,1)))=1,TEXT(INDEX(ERP資料!$G:$G, (MATCH(878, 輔助計算!$G$2:$G$801, 0)+1)),"0.##"),IF(IF(INDEX(ERP資料!$G:$G, (MATCH(878, 輔助計算!$G$2:$G$801, 0)+1))&lt;100, IF(INDEX(ERP資料!$G:$G, (MATCH(878, 輔助計算!$G$2:$G$801, 0)+1))&lt;=31,3,IF(INDEX(ERP資料!$G:$G, (MATCH(878, 輔助計算!$G$2:$G$801, 0)+1))&lt;=46.5,2,1)), IF(INDEX(ERP資料!$G:$G, (MATCH(878, 輔助計算!$G$2:$G$801, 0)+1))&lt;=790,3,IF(INDEX(ERP資料!$G:$G, (MATCH(878, 輔助計算!$G$2:$G$801, 0)+1))&lt;=1181,2,1)))=2,TEXT(INDEX(ERP資料!$G:$G, (MATCH(878, 輔助計算!$G$2:$G$801, 0)+1)),"0.##")&amp;"+"&amp;TEXT(INDEX(ERP資料!$G:$G, (MATCH(878, 輔助計算!$G$2:$G$801, 0)+1)),"0.##"),TEXT(INDEX(ERP資料!$G:$G, (MATCH(878, 輔助計算!$G$2:$G$801, 0)+1)),"0.##")&amp;"+"&amp;TEXT(INDEX(ERP資料!$G:$G, (MATCH(878, 輔助計算!$G$2:$G$801, 0)+1)),"0.##")&amp;"+"&amp;TEXT(INDEX(ERP資料!$G:$G, (MATCH(878, 輔助計算!$G$2:$G$801, 0)+1)),"0.##")))&amp;"-"&amp;INT(INDEX(輔助計算!$D:$D, (MATCH(878, 輔助計算!$G$2:$G$801, 0)+1))/IF(INDEX(ERP資料!$G:$G, (MATCH(878, 輔助計算!$G$2:$G$801, 0)+1))&lt;100, IF(INDEX(ERP資料!$G:$G, (MATCH(878, 輔助計算!$G$2:$G$801, 0)+1))&lt;=31,3,IF(INDEX(ERP資料!$G:$G, (MATCH(878, 輔助計算!$G$2:$G$801, 0)+1))&lt;=46.5,2,1)), IF(INDEX(ERP資料!$G:$G, (MATCH(878, 輔助計算!$G$2:$G$801, 0)+1))&lt;=790,3,IF(INDEX(ERP資料!$G:$G, (MATCH(878, 輔助計算!$G$2:$G$801, 0)+1))&lt;=1181,2,1)))), "")&lt;&gt;"",IF(MOD(INDEX(輔助計算!$D:$D, (MATCH(878, 輔助計算!$G$2:$G$801, 0)+1)),IF(INDEX(ERP資料!$G:$G, (MATCH(878, 輔助計算!$G$2:$G$801, 0)+1))&lt;100, IF(INDEX(ERP資料!$G:$G, (MATCH(878, 輔助計算!$G$2:$G$801, 0)+1))&lt;=31,3,IF(INDEX(ERP資料!$G:$G, (MATCH(878, 輔助計算!$G$2:$G$801, 0)+1))&lt;=46.5,2,1)), IF(INDEX(ERP資料!$G:$G, (MATCH(878, 輔助計算!$G$2:$G$801, 0)+1))&lt;=790,3,IF(INDEX(ERP資料!$G:$G, (MATCH(878, 輔助計算!$G$2:$G$801, 0)+1))&lt;=1181,2,1))))=0,"",IF(MOD(INDEX(輔助計算!$D:$D, (MATCH(878, 輔助計算!$G$2:$G$801, 0)+1)),IF(INDEX(ERP資料!$G:$G, (MATCH(878, 輔助計算!$G$2:$G$801, 0)+1))&lt;100, IF(INDEX(ERP資料!$G:$G, (MATCH(878, 輔助計算!$G$2:$G$801, 0)+1))&lt;=31,3,IF(INDEX(ERP資料!$G:$G, (MATCH(878, 輔助計算!$G$2:$G$801, 0)+1))&lt;=46.5,2,1)), IF(INDEX(ERP資料!$G:$G, (MATCH(878, 輔助計算!$G$2:$G$801, 0)+1))&lt;=790,3,IF(INDEX(ERP資料!$G:$G, (MATCH(878, 輔助計算!$G$2:$G$801, 0)+1))&lt;=1181,2,1))))=0,"",IF(MOD(INDEX(輔助計算!$D:$D, (MATCH(878, 輔助計算!$G$2:$G$801, 0)+1)),IF(INDEX(ERP資料!$G:$G, (MATCH(878, 輔助計算!$G$2:$G$801, 0)+1))&lt;100, IF(INDEX(ERP資料!$G:$G, (MATCH(878, 輔助計算!$G$2:$G$801, 0)+1))&lt;=31,3,IF(INDEX(ERP資料!$G:$G, (MATCH(878, 輔助計算!$G$2:$G$801, 0)+1))&lt;=46.5,2,1)), IF(INDEX(ERP資料!$G:$G, (MATCH(878, 輔助計算!$G$2:$G$801, 0)+1))&lt;=790,3,IF(INDEX(ERP資料!$G:$G, (MATCH(878, 輔助計算!$G$2:$G$801, 0)+1))&lt;=1181,2,1))))=1,TEXT(INDEX(ERP資料!$G:$G, (MATCH(878, 輔助計算!$G$2:$G$801, 0)+1)),"0.##"),IF(MOD(INDEX(輔助計算!$D:$D, (MATCH(878, 輔助計算!$G$2:$G$801, 0)+1)),IF(INDEX(ERP資料!$G:$G, (MATCH(878, 輔助計算!$G$2:$G$801, 0)+1))&lt;100, IF(INDEX(ERP資料!$G:$G, (MATCH(878, 輔助計算!$G$2:$G$801, 0)+1))&lt;=31,3,IF(INDEX(ERP資料!$G:$G, (MATCH(878, 輔助計算!$G$2:$G$801, 0)+1))&lt;=46.5,2,1)), IF(INDEX(ERP資料!$G:$G, (MATCH(878, 輔助計算!$G$2:$G$801, 0)+1))&lt;=790,3,IF(INDEX(ERP資料!$G:$G, (MATCH(878, 輔助計算!$G$2:$G$801, 0)+1))&lt;=1181,2,1))))=2,TEXT(INDEX(ERP資料!$G:$G, (MATCH(878, 輔助計算!$G$2:$G$801, 0)+1)),"0.##")&amp;"+"&amp;TEXT(INDEX(ERP資料!$G:$G, (MATCH(878, 輔助計算!$G$2:$G$801, 0)+1)),"0.##"),TEXT(INDEX(ERP資料!$G:$G, (MATCH(878, 輔助計算!$G$2:$G$801, 0)+1)),"0.##")&amp;"+"&amp;TEXT(INDEX(ERP資料!$G:$G, (MATCH(878, 輔助計算!$G$2:$G$801, 0)+1)),"0.##")&amp;"+"&amp;TEXT(INDEX(ERP資料!$G:$G, (MATCH(878, 輔助計算!$G$2:$G$801, 0)+1)),"0.##"))))&amp;"-1")&lt;&gt;""),"  ","")&amp;IF(MOD(INDEX(輔助計算!$D:$D, (MATCH(878, 輔助計算!$G$2:$G$801, 0)+1)),IF(INDEX(ERP資料!$G:$G, (MATCH(878, 輔助計算!$G$2:$G$801, 0)+1))&lt;100, IF(INDEX(ERP資料!$G:$G, (MATCH(878, 輔助計算!$G$2:$G$801, 0)+1))&lt;=31,3,IF(INDEX(ERP資料!$G:$G, (MATCH(878, 輔助計算!$G$2:$G$801, 0)+1))&lt;=46.5,2,1)), IF(INDEX(ERP資料!$G:$G, (MATCH(878, 輔助計算!$G$2:$G$801, 0)+1))&lt;=790,3,IF(INDEX(ERP資料!$G:$G, (MATCH(878, 輔助計算!$G$2:$G$801, 0)+1))&lt;=1181,2,1))))=0,"",IF(MOD(INDEX(輔助計算!$D:$D, (MATCH(878, 輔助計算!$G$2:$G$801, 0)+1)),IF(INDEX(ERP資料!$G:$G, (MATCH(878, 輔助計算!$G$2:$G$801, 0)+1))&lt;100, IF(INDEX(ERP資料!$G:$G, (MATCH(878, 輔助計算!$G$2:$G$801, 0)+1))&lt;=31,3,IF(INDEX(ERP資料!$G:$G, (MATCH(878, 輔助計算!$G$2:$G$801, 0)+1))&lt;=46.5,2,1)), IF(INDEX(ERP資料!$G:$G, (MATCH(878, 輔助計算!$G$2:$G$801, 0)+1))&lt;=790,3,IF(INDEX(ERP資料!$G:$G, (MATCH(878, 輔助計算!$G$2:$G$801, 0)+1))&lt;=1181,2,1))))=0,"",IF(MOD(INDEX(輔助計算!$D:$D, (MATCH(878, 輔助計算!$G$2:$G$801, 0)+1)),IF(INDEX(ERP資料!$G:$G, (MATCH(878, 輔助計算!$G$2:$G$801, 0)+1))&lt;100, IF(INDEX(ERP資料!$G:$G, (MATCH(878, 輔助計算!$G$2:$G$801, 0)+1))&lt;=31,3,IF(INDEX(ERP資料!$G:$G, (MATCH(878, 輔助計算!$G$2:$G$801, 0)+1))&lt;=46.5,2,1)), IF(INDEX(ERP資料!$G:$G, (MATCH(878, 輔助計算!$G$2:$G$801, 0)+1))&lt;=790,3,IF(INDEX(ERP資料!$G:$G, (MATCH(878, 輔助計算!$G$2:$G$801, 0)+1))&lt;=1181,2,1))))=1,TEXT(INDEX(ERP資料!$G:$G, (MATCH(878, 輔助計算!$G$2:$G$801, 0)+1)),"0.##"),IF(MOD(INDEX(輔助計算!$D:$D, (MATCH(878, 輔助計算!$G$2:$G$801, 0)+1)),IF(INDEX(ERP資料!$G:$G, (MATCH(878, 輔助計算!$G$2:$G$801, 0)+1))&lt;100, IF(INDEX(ERP資料!$G:$G, (MATCH(878, 輔助計算!$G$2:$G$801, 0)+1))&lt;=31,3,IF(INDEX(ERP資料!$G:$G, (MATCH(878, 輔助計算!$G$2:$G$801, 0)+1))&lt;=46.5,2,1)), IF(INDEX(ERP資料!$G:$G, (MATCH(878, 輔助計算!$G$2:$G$801, 0)+1))&lt;=790,3,IF(INDEX(ERP資料!$G:$G, (MATCH(878, 輔助計算!$G$2:$G$801, 0)+1))&lt;=1181,2,1))))=2,TEXT(INDEX(ERP資料!$G:$G, (MATCH(878, 輔助計算!$G$2:$G$801, 0)+1)),"0.##")&amp;"+"&amp;TEXT(INDEX(ERP資料!$G:$G, (MATCH(878, 輔助計算!$G$2:$G$801, 0)+1)),"0.##"),TEXT(INDEX(ERP資料!$G:$G, (MATCH(878, 輔助計算!$G$2:$G$801, 0)+1)),"0.##")&amp;"+"&amp;TEXT(INDEX(ERP資料!$G:$G, (MATCH(878, 輔助計算!$G$2:$G$801, 0)+1)),"0.##")&amp;"+"&amp;TEXT(INDEX(ERP資料!$G:$G, (MATCH(878, 輔助計算!$G$2:$G$801, 0)+1)),"0.##"))))&amp;"-1")), ""), "")</f>
        <v/>
      </c>
      <c r="K879" s="16" t="n"/>
      <c r="L879" s="14">
        <f>IFERROR(IF(AND(IFERROR(INDEX(ERP資料!$A:$A, (MATCH(878, 輔助計算!$G$2:$G$801, 0)+1)), "")&lt;&gt;"", IFERROR(INDEX(ERP資料!$A:$A, (MATCH(878, 輔助計算!$G$2:$G$801, 0)+1)), "")&lt;&gt;IFERROR(INDEX(ERP資料!$A:$A, MATCH(877, 輔助計算!$G$2:$G$801, 0)+1), "")), INDEX(ERP資料!$B:$B, (MATCH(878, 輔助計算!$G$2:$G$801, 0)+1)), ""), "")</f>
        <v/>
      </c>
      <c r="M879" s="17" t="n"/>
    </row>
    <row r="880">
      <c r="A880" s="10">
        <f>IFERROR(IF(AND(IFERROR(INDEX(ERP資料!$A:$A, (MATCH(879, 輔助計算!$G$2:$G$801, 0)+1)), "")&lt;&gt;"", IFERROR(INDEX(ERP資料!$A:$A, (MATCH(879, 輔助計算!$G$2:$G$801, 0)+1)), "")&lt;&gt;IFERROR(INDEX(ERP資料!$A:$A, MATCH(878, 輔助計算!$G$2:$G$801, 0)+1), "")), IFERROR(INDEX(ERP資料!$A:$A, (MATCH(879, 輔助計算!$G$2:$G$801, 0)+1)), ""), ""), "")</f>
        <v/>
      </c>
      <c r="B880" s="10">
        <f>IFERROR(IF(AND(IFERROR(INDEX(ERP資料!$A:$A, (MATCH(879, 輔助計算!$G$2:$G$801, 0)+1)), "")&lt;&gt;"", IFERROR(INDEX(ERP資料!$A:$A, (MATCH(879, 輔助計算!$G$2:$G$801, 0)+1)), "")&lt;&gt;IFERROR(INDEX(ERP資料!$A:$A, MATCH(878, 輔助計算!$G$2:$G$801, 0)+1), "")), INDEX(ERP資料!$S:$S, (MATCH(879, 輔助計算!$G$2:$G$801, 0)+1)), ""), "")</f>
        <v/>
      </c>
      <c r="C880" s="19">
        <f>IFERROR(IF(AND(IFERROR(INDEX(ERP資料!$A:$A, (MATCH(879, 輔助計算!$G$2:$G$801, 0)+1)), "")&lt;&gt;"", IFERROR(INDEX(ERP資料!$A:$A, (MATCH(879, 輔助計算!$G$2:$G$801, 0)+1)), "")&lt;&gt;IFERROR(INDEX(ERP資料!$A:$A, MATCH(878, 輔助計算!$G$2:$G$801, 0)+1), "")), IFERROR(VLOOKUP(LEFT(INDEX(ERP資料!$S:$S, (MATCH(879, 輔助計算!$G$2:$G$801, 0)+1)), 4), 紙管對照表!$A:$C, 3, FALSE), ""), ""), "")</f>
        <v/>
      </c>
      <c r="D880" s="16" t="n"/>
      <c r="E880" s="10">
        <f>IFERROR(IF(INDEX(ERP資料!$H:$H, (MATCH(879, 輔助計算!$G$2:$G$801, 0)+1))="","",INDEX(ERP資料!$H:$H, (MATCH(879, 輔助計算!$G$2:$G$801, 0)+1))), "")</f>
        <v/>
      </c>
      <c r="F880" s="10">
        <f>IFERROR(IF(INDEX(ERP資料!$E:$E, (MATCH(879, 輔助計算!$G$2:$G$801, 0)+1))="","",TRIM(INDEX(ERP資料!$E:$E, (MATCH(879, 輔助計算!$G$2:$G$801, 0)+1)))), "")</f>
        <v/>
      </c>
      <c r="G880" s="10">
        <f>IFERROR(IF(INDEX(ERP資料!$F:$F, (MATCH(879, 輔助計算!$G$2:$G$801, 0)+1))="","",INDEX(ERP資料!$F:$F, (MATCH(879, 輔助計算!$G$2:$G$801, 0)+1))), "")</f>
        <v/>
      </c>
      <c r="H880" s="10">
        <f>IFERROR(IF(INDEX(ERP資料!$G:$G, (MATCH(879, 輔助計算!$G$2:$G$801, 0)+1))="","",INDEX(ERP資料!$G:$G, (MATCH(879, 輔助計算!$G$2:$G$801, 0)+1))), "")</f>
        <v/>
      </c>
      <c r="I880" s="15">
        <f>IFERROR(INDEX(輔助計算!$D:$D, (MATCH(879, 輔助計算!$G$2:$G$801, 0)+1)), "")</f>
        <v/>
      </c>
      <c r="J880" s="15">
        <f>IFERROR(IF(AND(INDEX(輔助計算!$D:$D, (MATCH(879, 輔助計算!$G$2:$G$801, 0)+1))&lt;&gt;"", INDEX(ERP資料!$G:$G, (MATCH(879, 輔助計算!$G$2:$G$801, 0)+1))&lt;&gt;""), TRIM(IF(INT(INDEX(輔助計算!$D:$D, (MATCH(879, 輔助計算!$G$2:$G$801, 0)+1))/IF(INDEX(ERP資料!$G:$G, (MATCH(879, 輔助計算!$G$2:$G$801, 0)+1))&lt;100, IF(INDEX(ERP資料!$G:$G, (MATCH(879, 輔助計算!$G$2:$G$801, 0)+1))&lt;=31,3,IF(INDEX(ERP資料!$G:$G, (MATCH(879, 輔助計算!$G$2:$G$801, 0)+1))&lt;=46.5,2,1)), IF(INDEX(ERP資料!$G:$G, (MATCH(879, 輔助計算!$G$2:$G$801, 0)+1))&lt;=790,3,IF(INDEX(ERP資料!$G:$G, (MATCH(879, 輔助計算!$G$2:$G$801, 0)+1))&lt;=1181,2,1))))&gt;0, IF(IF(INDEX(ERP資料!$G:$G, (MATCH(879, 輔助計算!$G$2:$G$801, 0)+1))&lt;100, IF(INDEX(ERP資料!$G:$G, (MATCH(879, 輔助計算!$G$2:$G$801, 0)+1))&lt;=31,3,IF(INDEX(ERP資料!$G:$G, (MATCH(879, 輔助計算!$G$2:$G$801, 0)+1))&lt;=46.5,2,1)), IF(INDEX(ERP資料!$G:$G, (MATCH(879, 輔助計算!$G$2:$G$801, 0)+1))&lt;=790,3,IF(INDEX(ERP資料!$G:$G, (MATCH(879, 輔助計算!$G$2:$G$801, 0)+1))&lt;=1181,2,1)))=1,TEXT(INDEX(ERP資料!$G:$G, (MATCH(879, 輔助計算!$G$2:$G$801, 0)+1)),"0.##"),IF(IF(INDEX(ERP資料!$G:$G, (MATCH(879, 輔助計算!$G$2:$G$801, 0)+1))&lt;100, IF(INDEX(ERP資料!$G:$G, (MATCH(879, 輔助計算!$G$2:$G$801, 0)+1))&lt;=31,3,IF(INDEX(ERP資料!$G:$G, (MATCH(879, 輔助計算!$G$2:$G$801, 0)+1))&lt;=46.5,2,1)), IF(INDEX(ERP資料!$G:$G, (MATCH(879, 輔助計算!$G$2:$G$801, 0)+1))&lt;=790,3,IF(INDEX(ERP資料!$G:$G, (MATCH(879, 輔助計算!$G$2:$G$801, 0)+1))&lt;=1181,2,1)))=2,TEXT(INDEX(ERP資料!$G:$G, (MATCH(879, 輔助計算!$G$2:$G$801, 0)+1)),"0.##")&amp;"+"&amp;TEXT(INDEX(ERP資料!$G:$G, (MATCH(879, 輔助計算!$G$2:$G$801, 0)+1)),"0.##"),TEXT(INDEX(ERP資料!$G:$G, (MATCH(879, 輔助計算!$G$2:$G$801, 0)+1)),"0.##")&amp;"+"&amp;TEXT(INDEX(ERP資料!$G:$G, (MATCH(879, 輔助計算!$G$2:$G$801, 0)+1)),"0.##")&amp;"+"&amp;TEXT(INDEX(ERP資料!$G:$G, (MATCH(879, 輔助計算!$G$2:$G$801, 0)+1)),"0.##")))&amp;"-"&amp;INT(INDEX(輔助計算!$D:$D, (MATCH(879, 輔助計算!$G$2:$G$801, 0)+1))/IF(INDEX(ERP資料!$G:$G, (MATCH(879, 輔助計算!$G$2:$G$801, 0)+1))&lt;100, IF(INDEX(ERP資料!$G:$G, (MATCH(879, 輔助計算!$G$2:$G$801, 0)+1))&lt;=31,3,IF(INDEX(ERP資料!$G:$G, (MATCH(879, 輔助計算!$G$2:$G$801, 0)+1))&lt;=46.5,2,1)), IF(INDEX(ERP資料!$G:$G, (MATCH(879, 輔助計算!$G$2:$G$801, 0)+1))&lt;=790,3,IF(INDEX(ERP資料!$G:$G, (MATCH(879, 輔助計算!$G$2:$G$801, 0)+1))&lt;=1181,2,1)))), "")&amp;IF(AND(IF(INT(INDEX(輔助計算!$D:$D, (MATCH(879, 輔助計算!$G$2:$G$801, 0)+1))/IF(INDEX(ERP資料!$G:$G, (MATCH(879, 輔助計算!$G$2:$G$801, 0)+1))&lt;100, IF(INDEX(ERP資料!$G:$G, (MATCH(879, 輔助計算!$G$2:$G$801, 0)+1))&lt;=31,3,IF(INDEX(ERP資料!$G:$G, (MATCH(879, 輔助計算!$G$2:$G$801, 0)+1))&lt;=46.5,2,1)), IF(INDEX(ERP資料!$G:$G, (MATCH(879, 輔助計算!$G$2:$G$801, 0)+1))&lt;=790,3,IF(INDEX(ERP資料!$G:$G, (MATCH(879, 輔助計算!$G$2:$G$801, 0)+1))&lt;=1181,2,1))))&gt;0, IF(IF(INDEX(ERP資料!$G:$G, (MATCH(879, 輔助計算!$G$2:$G$801, 0)+1))&lt;100, IF(INDEX(ERP資料!$G:$G, (MATCH(879, 輔助計算!$G$2:$G$801, 0)+1))&lt;=31,3,IF(INDEX(ERP資料!$G:$G, (MATCH(879, 輔助計算!$G$2:$G$801, 0)+1))&lt;=46.5,2,1)), IF(INDEX(ERP資料!$G:$G, (MATCH(879, 輔助計算!$G$2:$G$801, 0)+1))&lt;=790,3,IF(INDEX(ERP資料!$G:$G, (MATCH(879, 輔助計算!$G$2:$G$801, 0)+1))&lt;=1181,2,1)))=1,TEXT(INDEX(ERP資料!$G:$G, (MATCH(879, 輔助計算!$G$2:$G$801, 0)+1)),"0.##"),IF(IF(INDEX(ERP資料!$G:$G, (MATCH(879, 輔助計算!$G$2:$G$801, 0)+1))&lt;100, IF(INDEX(ERP資料!$G:$G, (MATCH(879, 輔助計算!$G$2:$G$801, 0)+1))&lt;=31,3,IF(INDEX(ERP資料!$G:$G, (MATCH(879, 輔助計算!$G$2:$G$801, 0)+1))&lt;=46.5,2,1)), IF(INDEX(ERP資料!$G:$G, (MATCH(879, 輔助計算!$G$2:$G$801, 0)+1))&lt;=790,3,IF(INDEX(ERP資料!$G:$G, (MATCH(879, 輔助計算!$G$2:$G$801, 0)+1))&lt;=1181,2,1)))=2,TEXT(INDEX(ERP資料!$G:$G, (MATCH(879, 輔助計算!$G$2:$G$801, 0)+1)),"0.##")&amp;"+"&amp;TEXT(INDEX(ERP資料!$G:$G, (MATCH(879, 輔助計算!$G$2:$G$801, 0)+1)),"0.##"),TEXT(INDEX(ERP資料!$G:$G, (MATCH(879, 輔助計算!$G$2:$G$801, 0)+1)),"0.##")&amp;"+"&amp;TEXT(INDEX(ERP資料!$G:$G, (MATCH(879, 輔助計算!$G$2:$G$801, 0)+1)),"0.##")&amp;"+"&amp;TEXT(INDEX(ERP資料!$G:$G, (MATCH(879, 輔助計算!$G$2:$G$801, 0)+1)),"0.##")))&amp;"-"&amp;INT(INDEX(輔助計算!$D:$D, (MATCH(879, 輔助計算!$G$2:$G$801, 0)+1))/IF(INDEX(ERP資料!$G:$G, (MATCH(879, 輔助計算!$G$2:$G$801, 0)+1))&lt;100, IF(INDEX(ERP資料!$G:$G, (MATCH(879, 輔助計算!$G$2:$G$801, 0)+1))&lt;=31,3,IF(INDEX(ERP資料!$G:$G, (MATCH(879, 輔助計算!$G$2:$G$801, 0)+1))&lt;=46.5,2,1)), IF(INDEX(ERP資料!$G:$G, (MATCH(879, 輔助計算!$G$2:$G$801, 0)+1))&lt;=790,3,IF(INDEX(ERP資料!$G:$G, (MATCH(879, 輔助計算!$G$2:$G$801, 0)+1))&lt;=1181,2,1)))), "")&lt;&gt;"",IF(MOD(INDEX(輔助計算!$D:$D, (MATCH(879, 輔助計算!$G$2:$G$801, 0)+1)),IF(INDEX(ERP資料!$G:$G, (MATCH(879, 輔助計算!$G$2:$G$801, 0)+1))&lt;100, IF(INDEX(ERP資料!$G:$G, (MATCH(879, 輔助計算!$G$2:$G$801, 0)+1))&lt;=31,3,IF(INDEX(ERP資料!$G:$G, (MATCH(879, 輔助計算!$G$2:$G$801, 0)+1))&lt;=46.5,2,1)), IF(INDEX(ERP資料!$G:$G, (MATCH(879, 輔助計算!$G$2:$G$801, 0)+1))&lt;=790,3,IF(INDEX(ERP資料!$G:$G, (MATCH(879, 輔助計算!$G$2:$G$801, 0)+1))&lt;=1181,2,1))))=0,"",IF(MOD(INDEX(輔助計算!$D:$D, (MATCH(879, 輔助計算!$G$2:$G$801, 0)+1)),IF(INDEX(ERP資料!$G:$G, (MATCH(879, 輔助計算!$G$2:$G$801, 0)+1))&lt;100, IF(INDEX(ERP資料!$G:$G, (MATCH(879, 輔助計算!$G$2:$G$801, 0)+1))&lt;=31,3,IF(INDEX(ERP資料!$G:$G, (MATCH(879, 輔助計算!$G$2:$G$801, 0)+1))&lt;=46.5,2,1)), IF(INDEX(ERP資料!$G:$G, (MATCH(879, 輔助計算!$G$2:$G$801, 0)+1))&lt;=790,3,IF(INDEX(ERP資料!$G:$G, (MATCH(879, 輔助計算!$G$2:$G$801, 0)+1))&lt;=1181,2,1))))=0,"",IF(MOD(INDEX(輔助計算!$D:$D, (MATCH(879, 輔助計算!$G$2:$G$801, 0)+1)),IF(INDEX(ERP資料!$G:$G, (MATCH(879, 輔助計算!$G$2:$G$801, 0)+1))&lt;100, IF(INDEX(ERP資料!$G:$G, (MATCH(879, 輔助計算!$G$2:$G$801, 0)+1))&lt;=31,3,IF(INDEX(ERP資料!$G:$G, (MATCH(879, 輔助計算!$G$2:$G$801, 0)+1))&lt;=46.5,2,1)), IF(INDEX(ERP資料!$G:$G, (MATCH(879, 輔助計算!$G$2:$G$801, 0)+1))&lt;=790,3,IF(INDEX(ERP資料!$G:$G, (MATCH(879, 輔助計算!$G$2:$G$801, 0)+1))&lt;=1181,2,1))))=1,TEXT(INDEX(ERP資料!$G:$G, (MATCH(879, 輔助計算!$G$2:$G$801, 0)+1)),"0.##"),IF(MOD(INDEX(輔助計算!$D:$D, (MATCH(879, 輔助計算!$G$2:$G$801, 0)+1)),IF(INDEX(ERP資料!$G:$G, (MATCH(879, 輔助計算!$G$2:$G$801, 0)+1))&lt;100, IF(INDEX(ERP資料!$G:$G, (MATCH(879, 輔助計算!$G$2:$G$801, 0)+1))&lt;=31,3,IF(INDEX(ERP資料!$G:$G, (MATCH(879, 輔助計算!$G$2:$G$801, 0)+1))&lt;=46.5,2,1)), IF(INDEX(ERP資料!$G:$G, (MATCH(879, 輔助計算!$G$2:$G$801, 0)+1))&lt;=790,3,IF(INDEX(ERP資料!$G:$G, (MATCH(879, 輔助計算!$G$2:$G$801, 0)+1))&lt;=1181,2,1))))=2,TEXT(INDEX(ERP資料!$G:$G, (MATCH(879, 輔助計算!$G$2:$G$801, 0)+1)),"0.##")&amp;"+"&amp;TEXT(INDEX(ERP資料!$G:$G, (MATCH(879, 輔助計算!$G$2:$G$801, 0)+1)),"0.##"),TEXT(INDEX(ERP資料!$G:$G, (MATCH(879, 輔助計算!$G$2:$G$801, 0)+1)),"0.##")&amp;"+"&amp;TEXT(INDEX(ERP資料!$G:$G, (MATCH(879, 輔助計算!$G$2:$G$801, 0)+1)),"0.##")&amp;"+"&amp;TEXT(INDEX(ERP資料!$G:$G, (MATCH(879, 輔助計算!$G$2:$G$801, 0)+1)),"0.##"))))&amp;"-1")&lt;&gt;""),"  ","")&amp;IF(MOD(INDEX(輔助計算!$D:$D, (MATCH(879, 輔助計算!$G$2:$G$801, 0)+1)),IF(INDEX(ERP資料!$G:$G, (MATCH(879, 輔助計算!$G$2:$G$801, 0)+1))&lt;100, IF(INDEX(ERP資料!$G:$G, (MATCH(879, 輔助計算!$G$2:$G$801, 0)+1))&lt;=31,3,IF(INDEX(ERP資料!$G:$G, (MATCH(879, 輔助計算!$G$2:$G$801, 0)+1))&lt;=46.5,2,1)), IF(INDEX(ERP資料!$G:$G, (MATCH(879, 輔助計算!$G$2:$G$801, 0)+1))&lt;=790,3,IF(INDEX(ERP資料!$G:$G, (MATCH(879, 輔助計算!$G$2:$G$801, 0)+1))&lt;=1181,2,1))))=0,"",IF(MOD(INDEX(輔助計算!$D:$D, (MATCH(879, 輔助計算!$G$2:$G$801, 0)+1)),IF(INDEX(ERP資料!$G:$G, (MATCH(879, 輔助計算!$G$2:$G$801, 0)+1))&lt;100, IF(INDEX(ERP資料!$G:$G, (MATCH(879, 輔助計算!$G$2:$G$801, 0)+1))&lt;=31,3,IF(INDEX(ERP資料!$G:$G, (MATCH(879, 輔助計算!$G$2:$G$801, 0)+1))&lt;=46.5,2,1)), IF(INDEX(ERP資料!$G:$G, (MATCH(879, 輔助計算!$G$2:$G$801, 0)+1))&lt;=790,3,IF(INDEX(ERP資料!$G:$G, (MATCH(879, 輔助計算!$G$2:$G$801, 0)+1))&lt;=1181,2,1))))=0,"",IF(MOD(INDEX(輔助計算!$D:$D, (MATCH(879, 輔助計算!$G$2:$G$801, 0)+1)),IF(INDEX(ERP資料!$G:$G, (MATCH(879, 輔助計算!$G$2:$G$801, 0)+1))&lt;100, IF(INDEX(ERP資料!$G:$G, (MATCH(879, 輔助計算!$G$2:$G$801, 0)+1))&lt;=31,3,IF(INDEX(ERP資料!$G:$G, (MATCH(879, 輔助計算!$G$2:$G$801, 0)+1))&lt;=46.5,2,1)), IF(INDEX(ERP資料!$G:$G, (MATCH(879, 輔助計算!$G$2:$G$801, 0)+1))&lt;=790,3,IF(INDEX(ERP資料!$G:$G, (MATCH(879, 輔助計算!$G$2:$G$801, 0)+1))&lt;=1181,2,1))))=1,TEXT(INDEX(ERP資料!$G:$G, (MATCH(879, 輔助計算!$G$2:$G$801, 0)+1)),"0.##"),IF(MOD(INDEX(輔助計算!$D:$D, (MATCH(879, 輔助計算!$G$2:$G$801, 0)+1)),IF(INDEX(ERP資料!$G:$G, (MATCH(879, 輔助計算!$G$2:$G$801, 0)+1))&lt;100, IF(INDEX(ERP資料!$G:$G, (MATCH(879, 輔助計算!$G$2:$G$801, 0)+1))&lt;=31,3,IF(INDEX(ERP資料!$G:$G, (MATCH(879, 輔助計算!$G$2:$G$801, 0)+1))&lt;=46.5,2,1)), IF(INDEX(ERP資料!$G:$G, (MATCH(879, 輔助計算!$G$2:$G$801, 0)+1))&lt;=790,3,IF(INDEX(ERP資料!$G:$G, (MATCH(879, 輔助計算!$G$2:$G$801, 0)+1))&lt;=1181,2,1))))=2,TEXT(INDEX(ERP資料!$G:$G, (MATCH(879, 輔助計算!$G$2:$G$801, 0)+1)),"0.##")&amp;"+"&amp;TEXT(INDEX(ERP資料!$G:$G, (MATCH(879, 輔助計算!$G$2:$G$801, 0)+1)),"0.##"),TEXT(INDEX(ERP資料!$G:$G, (MATCH(879, 輔助計算!$G$2:$G$801, 0)+1)),"0.##")&amp;"+"&amp;TEXT(INDEX(ERP資料!$G:$G, (MATCH(879, 輔助計算!$G$2:$G$801, 0)+1)),"0.##")&amp;"+"&amp;TEXT(INDEX(ERP資料!$G:$G, (MATCH(879, 輔助計算!$G$2:$G$801, 0)+1)),"0.##"))))&amp;"-1")), ""), "")</f>
        <v/>
      </c>
      <c r="K880" s="16" t="n"/>
      <c r="L880" s="14">
        <f>IFERROR(IF(AND(IFERROR(INDEX(ERP資料!$A:$A, (MATCH(879, 輔助計算!$G$2:$G$801, 0)+1)), "")&lt;&gt;"", IFERROR(INDEX(ERP資料!$A:$A, (MATCH(879, 輔助計算!$G$2:$G$801, 0)+1)), "")&lt;&gt;IFERROR(INDEX(ERP資料!$A:$A, MATCH(878, 輔助計算!$G$2:$G$801, 0)+1), "")), INDEX(ERP資料!$B:$B, (MATCH(879, 輔助計算!$G$2:$G$801, 0)+1)), ""), "")</f>
        <v/>
      </c>
      <c r="M880" s="17" t="n"/>
    </row>
    <row r="881">
      <c r="A881" s="10">
        <f>IFERROR(IF(AND(IFERROR(INDEX(ERP資料!$A:$A, (MATCH(880, 輔助計算!$G$2:$G$801, 0)+1)), "")&lt;&gt;"", IFERROR(INDEX(ERP資料!$A:$A, (MATCH(880, 輔助計算!$G$2:$G$801, 0)+1)), "")&lt;&gt;IFERROR(INDEX(ERP資料!$A:$A, MATCH(879, 輔助計算!$G$2:$G$801, 0)+1), "")), IFERROR(INDEX(ERP資料!$A:$A, (MATCH(880, 輔助計算!$G$2:$G$801, 0)+1)), ""), ""), "")</f>
        <v/>
      </c>
      <c r="B881" s="10">
        <f>IFERROR(IF(AND(IFERROR(INDEX(ERP資料!$A:$A, (MATCH(880, 輔助計算!$G$2:$G$801, 0)+1)), "")&lt;&gt;"", IFERROR(INDEX(ERP資料!$A:$A, (MATCH(880, 輔助計算!$G$2:$G$801, 0)+1)), "")&lt;&gt;IFERROR(INDEX(ERP資料!$A:$A, MATCH(879, 輔助計算!$G$2:$G$801, 0)+1), "")), INDEX(ERP資料!$S:$S, (MATCH(880, 輔助計算!$G$2:$G$801, 0)+1)), ""), "")</f>
        <v/>
      </c>
      <c r="C881" s="19">
        <f>IFERROR(IF(AND(IFERROR(INDEX(ERP資料!$A:$A, (MATCH(880, 輔助計算!$G$2:$G$801, 0)+1)), "")&lt;&gt;"", IFERROR(INDEX(ERP資料!$A:$A, (MATCH(880, 輔助計算!$G$2:$G$801, 0)+1)), "")&lt;&gt;IFERROR(INDEX(ERP資料!$A:$A, MATCH(879, 輔助計算!$G$2:$G$801, 0)+1), "")), IFERROR(VLOOKUP(LEFT(INDEX(ERP資料!$S:$S, (MATCH(880, 輔助計算!$G$2:$G$801, 0)+1)), 4), 紙管對照表!$A:$C, 3, FALSE), ""), ""), "")</f>
        <v/>
      </c>
      <c r="D881" s="16" t="n"/>
      <c r="E881" s="10">
        <f>IFERROR(IF(INDEX(ERP資料!$H:$H, (MATCH(880, 輔助計算!$G$2:$G$801, 0)+1))="","",INDEX(ERP資料!$H:$H, (MATCH(880, 輔助計算!$G$2:$G$801, 0)+1))), "")</f>
        <v/>
      </c>
      <c r="F881" s="10">
        <f>IFERROR(IF(INDEX(ERP資料!$E:$E, (MATCH(880, 輔助計算!$G$2:$G$801, 0)+1))="","",TRIM(INDEX(ERP資料!$E:$E, (MATCH(880, 輔助計算!$G$2:$G$801, 0)+1)))), "")</f>
        <v/>
      </c>
      <c r="G881" s="10">
        <f>IFERROR(IF(INDEX(ERP資料!$F:$F, (MATCH(880, 輔助計算!$G$2:$G$801, 0)+1))="","",INDEX(ERP資料!$F:$F, (MATCH(880, 輔助計算!$G$2:$G$801, 0)+1))), "")</f>
        <v/>
      </c>
      <c r="H881" s="10">
        <f>IFERROR(IF(INDEX(ERP資料!$G:$G, (MATCH(880, 輔助計算!$G$2:$G$801, 0)+1))="","",INDEX(ERP資料!$G:$G, (MATCH(880, 輔助計算!$G$2:$G$801, 0)+1))), "")</f>
        <v/>
      </c>
      <c r="I881" s="15">
        <f>IFERROR(INDEX(輔助計算!$D:$D, (MATCH(880, 輔助計算!$G$2:$G$801, 0)+1)), "")</f>
        <v/>
      </c>
      <c r="J881" s="15">
        <f>IFERROR(IF(AND(INDEX(輔助計算!$D:$D, (MATCH(880, 輔助計算!$G$2:$G$801, 0)+1))&lt;&gt;"", INDEX(ERP資料!$G:$G, (MATCH(880, 輔助計算!$G$2:$G$801, 0)+1))&lt;&gt;""), TRIM(IF(INT(INDEX(輔助計算!$D:$D, (MATCH(880, 輔助計算!$G$2:$G$801, 0)+1))/IF(INDEX(ERP資料!$G:$G, (MATCH(880, 輔助計算!$G$2:$G$801, 0)+1))&lt;100, IF(INDEX(ERP資料!$G:$G, (MATCH(880, 輔助計算!$G$2:$G$801, 0)+1))&lt;=31,3,IF(INDEX(ERP資料!$G:$G, (MATCH(880, 輔助計算!$G$2:$G$801, 0)+1))&lt;=46.5,2,1)), IF(INDEX(ERP資料!$G:$G, (MATCH(880, 輔助計算!$G$2:$G$801, 0)+1))&lt;=790,3,IF(INDEX(ERP資料!$G:$G, (MATCH(880, 輔助計算!$G$2:$G$801, 0)+1))&lt;=1181,2,1))))&gt;0, IF(IF(INDEX(ERP資料!$G:$G, (MATCH(880, 輔助計算!$G$2:$G$801, 0)+1))&lt;100, IF(INDEX(ERP資料!$G:$G, (MATCH(880, 輔助計算!$G$2:$G$801, 0)+1))&lt;=31,3,IF(INDEX(ERP資料!$G:$G, (MATCH(880, 輔助計算!$G$2:$G$801, 0)+1))&lt;=46.5,2,1)), IF(INDEX(ERP資料!$G:$G, (MATCH(880, 輔助計算!$G$2:$G$801, 0)+1))&lt;=790,3,IF(INDEX(ERP資料!$G:$G, (MATCH(880, 輔助計算!$G$2:$G$801, 0)+1))&lt;=1181,2,1)))=1,TEXT(INDEX(ERP資料!$G:$G, (MATCH(880, 輔助計算!$G$2:$G$801, 0)+1)),"0.##"),IF(IF(INDEX(ERP資料!$G:$G, (MATCH(880, 輔助計算!$G$2:$G$801, 0)+1))&lt;100, IF(INDEX(ERP資料!$G:$G, (MATCH(880, 輔助計算!$G$2:$G$801, 0)+1))&lt;=31,3,IF(INDEX(ERP資料!$G:$G, (MATCH(880, 輔助計算!$G$2:$G$801, 0)+1))&lt;=46.5,2,1)), IF(INDEX(ERP資料!$G:$G, (MATCH(880, 輔助計算!$G$2:$G$801, 0)+1))&lt;=790,3,IF(INDEX(ERP資料!$G:$G, (MATCH(880, 輔助計算!$G$2:$G$801, 0)+1))&lt;=1181,2,1)))=2,TEXT(INDEX(ERP資料!$G:$G, (MATCH(880, 輔助計算!$G$2:$G$801, 0)+1)),"0.##")&amp;"+"&amp;TEXT(INDEX(ERP資料!$G:$G, (MATCH(880, 輔助計算!$G$2:$G$801, 0)+1)),"0.##"),TEXT(INDEX(ERP資料!$G:$G, (MATCH(880, 輔助計算!$G$2:$G$801, 0)+1)),"0.##")&amp;"+"&amp;TEXT(INDEX(ERP資料!$G:$G, (MATCH(880, 輔助計算!$G$2:$G$801, 0)+1)),"0.##")&amp;"+"&amp;TEXT(INDEX(ERP資料!$G:$G, (MATCH(880, 輔助計算!$G$2:$G$801, 0)+1)),"0.##")))&amp;"-"&amp;INT(INDEX(輔助計算!$D:$D, (MATCH(880, 輔助計算!$G$2:$G$801, 0)+1))/IF(INDEX(ERP資料!$G:$G, (MATCH(880, 輔助計算!$G$2:$G$801, 0)+1))&lt;100, IF(INDEX(ERP資料!$G:$G, (MATCH(880, 輔助計算!$G$2:$G$801, 0)+1))&lt;=31,3,IF(INDEX(ERP資料!$G:$G, (MATCH(880, 輔助計算!$G$2:$G$801, 0)+1))&lt;=46.5,2,1)), IF(INDEX(ERP資料!$G:$G, (MATCH(880, 輔助計算!$G$2:$G$801, 0)+1))&lt;=790,3,IF(INDEX(ERP資料!$G:$G, (MATCH(880, 輔助計算!$G$2:$G$801, 0)+1))&lt;=1181,2,1)))), "")&amp;IF(AND(IF(INT(INDEX(輔助計算!$D:$D, (MATCH(880, 輔助計算!$G$2:$G$801, 0)+1))/IF(INDEX(ERP資料!$G:$G, (MATCH(880, 輔助計算!$G$2:$G$801, 0)+1))&lt;100, IF(INDEX(ERP資料!$G:$G, (MATCH(880, 輔助計算!$G$2:$G$801, 0)+1))&lt;=31,3,IF(INDEX(ERP資料!$G:$G, (MATCH(880, 輔助計算!$G$2:$G$801, 0)+1))&lt;=46.5,2,1)), IF(INDEX(ERP資料!$G:$G, (MATCH(880, 輔助計算!$G$2:$G$801, 0)+1))&lt;=790,3,IF(INDEX(ERP資料!$G:$G, (MATCH(880, 輔助計算!$G$2:$G$801, 0)+1))&lt;=1181,2,1))))&gt;0, IF(IF(INDEX(ERP資料!$G:$G, (MATCH(880, 輔助計算!$G$2:$G$801, 0)+1))&lt;100, IF(INDEX(ERP資料!$G:$G, (MATCH(880, 輔助計算!$G$2:$G$801, 0)+1))&lt;=31,3,IF(INDEX(ERP資料!$G:$G, (MATCH(880, 輔助計算!$G$2:$G$801, 0)+1))&lt;=46.5,2,1)), IF(INDEX(ERP資料!$G:$G, (MATCH(880, 輔助計算!$G$2:$G$801, 0)+1))&lt;=790,3,IF(INDEX(ERP資料!$G:$G, (MATCH(880, 輔助計算!$G$2:$G$801, 0)+1))&lt;=1181,2,1)))=1,TEXT(INDEX(ERP資料!$G:$G, (MATCH(880, 輔助計算!$G$2:$G$801, 0)+1)),"0.##"),IF(IF(INDEX(ERP資料!$G:$G, (MATCH(880, 輔助計算!$G$2:$G$801, 0)+1))&lt;100, IF(INDEX(ERP資料!$G:$G, (MATCH(880, 輔助計算!$G$2:$G$801, 0)+1))&lt;=31,3,IF(INDEX(ERP資料!$G:$G, (MATCH(880, 輔助計算!$G$2:$G$801, 0)+1))&lt;=46.5,2,1)), IF(INDEX(ERP資料!$G:$G, (MATCH(880, 輔助計算!$G$2:$G$801, 0)+1))&lt;=790,3,IF(INDEX(ERP資料!$G:$G, (MATCH(880, 輔助計算!$G$2:$G$801, 0)+1))&lt;=1181,2,1)))=2,TEXT(INDEX(ERP資料!$G:$G, (MATCH(880, 輔助計算!$G$2:$G$801, 0)+1)),"0.##")&amp;"+"&amp;TEXT(INDEX(ERP資料!$G:$G, (MATCH(880, 輔助計算!$G$2:$G$801, 0)+1)),"0.##"),TEXT(INDEX(ERP資料!$G:$G, (MATCH(880, 輔助計算!$G$2:$G$801, 0)+1)),"0.##")&amp;"+"&amp;TEXT(INDEX(ERP資料!$G:$G, (MATCH(880, 輔助計算!$G$2:$G$801, 0)+1)),"0.##")&amp;"+"&amp;TEXT(INDEX(ERP資料!$G:$G, (MATCH(880, 輔助計算!$G$2:$G$801, 0)+1)),"0.##")))&amp;"-"&amp;INT(INDEX(輔助計算!$D:$D, (MATCH(880, 輔助計算!$G$2:$G$801, 0)+1))/IF(INDEX(ERP資料!$G:$G, (MATCH(880, 輔助計算!$G$2:$G$801, 0)+1))&lt;100, IF(INDEX(ERP資料!$G:$G, (MATCH(880, 輔助計算!$G$2:$G$801, 0)+1))&lt;=31,3,IF(INDEX(ERP資料!$G:$G, (MATCH(880, 輔助計算!$G$2:$G$801, 0)+1))&lt;=46.5,2,1)), IF(INDEX(ERP資料!$G:$G, (MATCH(880, 輔助計算!$G$2:$G$801, 0)+1))&lt;=790,3,IF(INDEX(ERP資料!$G:$G, (MATCH(880, 輔助計算!$G$2:$G$801, 0)+1))&lt;=1181,2,1)))), "")&lt;&gt;"",IF(MOD(INDEX(輔助計算!$D:$D, (MATCH(880, 輔助計算!$G$2:$G$801, 0)+1)),IF(INDEX(ERP資料!$G:$G, (MATCH(880, 輔助計算!$G$2:$G$801, 0)+1))&lt;100, IF(INDEX(ERP資料!$G:$G, (MATCH(880, 輔助計算!$G$2:$G$801, 0)+1))&lt;=31,3,IF(INDEX(ERP資料!$G:$G, (MATCH(880, 輔助計算!$G$2:$G$801, 0)+1))&lt;=46.5,2,1)), IF(INDEX(ERP資料!$G:$G, (MATCH(880, 輔助計算!$G$2:$G$801, 0)+1))&lt;=790,3,IF(INDEX(ERP資料!$G:$G, (MATCH(880, 輔助計算!$G$2:$G$801, 0)+1))&lt;=1181,2,1))))=0,"",IF(MOD(INDEX(輔助計算!$D:$D, (MATCH(880, 輔助計算!$G$2:$G$801, 0)+1)),IF(INDEX(ERP資料!$G:$G, (MATCH(880, 輔助計算!$G$2:$G$801, 0)+1))&lt;100, IF(INDEX(ERP資料!$G:$G, (MATCH(880, 輔助計算!$G$2:$G$801, 0)+1))&lt;=31,3,IF(INDEX(ERP資料!$G:$G, (MATCH(880, 輔助計算!$G$2:$G$801, 0)+1))&lt;=46.5,2,1)), IF(INDEX(ERP資料!$G:$G, (MATCH(880, 輔助計算!$G$2:$G$801, 0)+1))&lt;=790,3,IF(INDEX(ERP資料!$G:$G, (MATCH(880, 輔助計算!$G$2:$G$801, 0)+1))&lt;=1181,2,1))))=0,"",IF(MOD(INDEX(輔助計算!$D:$D, (MATCH(880, 輔助計算!$G$2:$G$801, 0)+1)),IF(INDEX(ERP資料!$G:$G, (MATCH(880, 輔助計算!$G$2:$G$801, 0)+1))&lt;100, IF(INDEX(ERP資料!$G:$G, (MATCH(880, 輔助計算!$G$2:$G$801, 0)+1))&lt;=31,3,IF(INDEX(ERP資料!$G:$G, (MATCH(880, 輔助計算!$G$2:$G$801, 0)+1))&lt;=46.5,2,1)), IF(INDEX(ERP資料!$G:$G, (MATCH(880, 輔助計算!$G$2:$G$801, 0)+1))&lt;=790,3,IF(INDEX(ERP資料!$G:$G, (MATCH(880, 輔助計算!$G$2:$G$801, 0)+1))&lt;=1181,2,1))))=1,TEXT(INDEX(ERP資料!$G:$G, (MATCH(880, 輔助計算!$G$2:$G$801, 0)+1)),"0.##"),IF(MOD(INDEX(輔助計算!$D:$D, (MATCH(880, 輔助計算!$G$2:$G$801, 0)+1)),IF(INDEX(ERP資料!$G:$G, (MATCH(880, 輔助計算!$G$2:$G$801, 0)+1))&lt;100, IF(INDEX(ERP資料!$G:$G, (MATCH(880, 輔助計算!$G$2:$G$801, 0)+1))&lt;=31,3,IF(INDEX(ERP資料!$G:$G, (MATCH(880, 輔助計算!$G$2:$G$801, 0)+1))&lt;=46.5,2,1)), IF(INDEX(ERP資料!$G:$G, (MATCH(880, 輔助計算!$G$2:$G$801, 0)+1))&lt;=790,3,IF(INDEX(ERP資料!$G:$G, (MATCH(880, 輔助計算!$G$2:$G$801, 0)+1))&lt;=1181,2,1))))=2,TEXT(INDEX(ERP資料!$G:$G, (MATCH(880, 輔助計算!$G$2:$G$801, 0)+1)),"0.##")&amp;"+"&amp;TEXT(INDEX(ERP資料!$G:$G, (MATCH(880, 輔助計算!$G$2:$G$801, 0)+1)),"0.##"),TEXT(INDEX(ERP資料!$G:$G, (MATCH(880, 輔助計算!$G$2:$G$801, 0)+1)),"0.##")&amp;"+"&amp;TEXT(INDEX(ERP資料!$G:$G, (MATCH(880, 輔助計算!$G$2:$G$801, 0)+1)),"0.##")&amp;"+"&amp;TEXT(INDEX(ERP資料!$G:$G, (MATCH(880, 輔助計算!$G$2:$G$801, 0)+1)),"0.##"))))&amp;"-1")&lt;&gt;""),"  ","")&amp;IF(MOD(INDEX(輔助計算!$D:$D, (MATCH(880, 輔助計算!$G$2:$G$801, 0)+1)),IF(INDEX(ERP資料!$G:$G, (MATCH(880, 輔助計算!$G$2:$G$801, 0)+1))&lt;100, IF(INDEX(ERP資料!$G:$G, (MATCH(880, 輔助計算!$G$2:$G$801, 0)+1))&lt;=31,3,IF(INDEX(ERP資料!$G:$G, (MATCH(880, 輔助計算!$G$2:$G$801, 0)+1))&lt;=46.5,2,1)), IF(INDEX(ERP資料!$G:$G, (MATCH(880, 輔助計算!$G$2:$G$801, 0)+1))&lt;=790,3,IF(INDEX(ERP資料!$G:$G, (MATCH(880, 輔助計算!$G$2:$G$801, 0)+1))&lt;=1181,2,1))))=0,"",IF(MOD(INDEX(輔助計算!$D:$D, (MATCH(880, 輔助計算!$G$2:$G$801, 0)+1)),IF(INDEX(ERP資料!$G:$G, (MATCH(880, 輔助計算!$G$2:$G$801, 0)+1))&lt;100, IF(INDEX(ERP資料!$G:$G, (MATCH(880, 輔助計算!$G$2:$G$801, 0)+1))&lt;=31,3,IF(INDEX(ERP資料!$G:$G, (MATCH(880, 輔助計算!$G$2:$G$801, 0)+1))&lt;=46.5,2,1)), IF(INDEX(ERP資料!$G:$G, (MATCH(880, 輔助計算!$G$2:$G$801, 0)+1))&lt;=790,3,IF(INDEX(ERP資料!$G:$G, (MATCH(880, 輔助計算!$G$2:$G$801, 0)+1))&lt;=1181,2,1))))=0,"",IF(MOD(INDEX(輔助計算!$D:$D, (MATCH(880, 輔助計算!$G$2:$G$801, 0)+1)),IF(INDEX(ERP資料!$G:$G, (MATCH(880, 輔助計算!$G$2:$G$801, 0)+1))&lt;100, IF(INDEX(ERP資料!$G:$G, (MATCH(880, 輔助計算!$G$2:$G$801, 0)+1))&lt;=31,3,IF(INDEX(ERP資料!$G:$G, (MATCH(880, 輔助計算!$G$2:$G$801, 0)+1))&lt;=46.5,2,1)), IF(INDEX(ERP資料!$G:$G, (MATCH(880, 輔助計算!$G$2:$G$801, 0)+1))&lt;=790,3,IF(INDEX(ERP資料!$G:$G, (MATCH(880, 輔助計算!$G$2:$G$801, 0)+1))&lt;=1181,2,1))))=1,TEXT(INDEX(ERP資料!$G:$G, (MATCH(880, 輔助計算!$G$2:$G$801, 0)+1)),"0.##"),IF(MOD(INDEX(輔助計算!$D:$D, (MATCH(880, 輔助計算!$G$2:$G$801, 0)+1)),IF(INDEX(ERP資料!$G:$G, (MATCH(880, 輔助計算!$G$2:$G$801, 0)+1))&lt;100, IF(INDEX(ERP資料!$G:$G, (MATCH(880, 輔助計算!$G$2:$G$801, 0)+1))&lt;=31,3,IF(INDEX(ERP資料!$G:$G, (MATCH(880, 輔助計算!$G$2:$G$801, 0)+1))&lt;=46.5,2,1)), IF(INDEX(ERP資料!$G:$G, (MATCH(880, 輔助計算!$G$2:$G$801, 0)+1))&lt;=790,3,IF(INDEX(ERP資料!$G:$G, (MATCH(880, 輔助計算!$G$2:$G$801, 0)+1))&lt;=1181,2,1))))=2,TEXT(INDEX(ERP資料!$G:$G, (MATCH(880, 輔助計算!$G$2:$G$801, 0)+1)),"0.##")&amp;"+"&amp;TEXT(INDEX(ERP資料!$G:$G, (MATCH(880, 輔助計算!$G$2:$G$801, 0)+1)),"0.##"),TEXT(INDEX(ERP資料!$G:$G, (MATCH(880, 輔助計算!$G$2:$G$801, 0)+1)),"0.##")&amp;"+"&amp;TEXT(INDEX(ERP資料!$G:$G, (MATCH(880, 輔助計算!$G$2:$G$801, 0)+1)),"0.##")&amp;"+"&amp;TEXT(INDEX(ERP資料!$G:$G, (MATCH(880, 輔助計算!$G$2:$G$801, 0)+1)),"0.##"))))&amp;"-1")), ""), "")</f>
        <v/>
      </c>
      <c r="K881" s="16" t="n"/>
      <c r="L881" s="14">
        <f>IFERROR(IF(AND(IFERROR(INDEX(ERP資料!$A:$A, (MATCH(880, 輔助計算!$G$2:$G$801, 0)+1)), "")&lt;&gt;"", IFERROR(INDEX(ERP資料!$A:$A, (MATCH(880, 輔助計算!$G$2:$G$801, 0)+1)), "")&lt;&gt;IFERROR(INDEX(ERP資料!$A:$A, MATCH(879, 輔助計算!$G$2:$G$801, 0)+1), "")), INDEX(ERP資料!$B:$B, (MATCH(880, 輔助計算!$G$2:$G$801, 0)+1)), ""), "")</f>
        <v/>
      </c>
      <c r="M881" s="17" t="n"/>
    </row>
    <row r="882">
      <c r="A882" s="10">
        <f>IFERROR(IF(AND(IFERROR(INDEX(ERP資料!$A:$A, (MATCH(881, 輔助計算!$G$2:$G$801, 0)+1)), "")&lt;&gt;"", IFERROR(INDEX(ERP資料!$A:$A, (MATCH(881, 輔助計算!$G$2:$G$801, 0)+1)), "")&lt;&gt;IFERROR(INDEX(ERP資料!$A:$A, MATCH(880, 輔助計算!$G$2:$G$801, 0)+1), "")), IFERROR(INDEX(ERP資料!$A:$A, (MATCH(881, 輔助計算!$G$2:$G$801, 0)+1)), ""), ""), "")</f>
        <v/>
      </c>
      <c r="B882" s="10">
        <f>IFERROR(IF(AND(IFERROR(INDEX(ERP資料!$A:$A, (MATCH(881, 輔助計算!$G$2:$G$801, 0)+1)), "")&lt;&gt;"", IFERROR(INDEX(ERP資料!$A:$A, (MATCH(881, 輔助計算!$G$2:$G$801, 0)+1)), "")&lt;&gt;IFERROR(INDEX(ERP資料!$A:$A, MATCH(880, 輔助計算!$G$2:$G$801, 0)+1), "")), INDEX(ERP資料!$S:$S, (MATCH(881, 輔助計算!$G$2:$G$801, 0)+1)), ""), "")</f>
        <v/>
      </c>
      <c r="C882" s="19">
        <f>IFERROR(IF(AND(IFERROR(INDEX(ERP資料!$A:$A, (MATCH(881, 輔助計算!$G$2:$G$801, 0)+1)), "")&lt;&gt;"", IFERROR(INDEX(ERP資料!$A:$A, (MATCH(881, 輔助計算!$G$2:$G$801, 0)+1)), "")&lt;&gt;IFERROR(INDEX(ERP資料!$A:$A, MATCH(880, 輔助計算!$G$2:$G$801, 0)+1), "")), IFERROR(VLOOKUP(LEFT(INDEX(ERP資料!$S:$S, (MATCH(881, 輔助計算!$G$2:$G$801, 0)+1)), 4), 紙管對照表!$A:$C, 3, FALSE), ""), ""), "")</f>
        <v/>
      </c>
      <c r="D882" s="16" t="n"/>
      <c r="E882" s="10">
        <f>IFERROR(IF(INDEX(ERP資料!$H:$H, (MATCH(881, 輔助計算!$G$2:$G$801, 0)+1))="","",INDEX(ERP資料!$H:$H, (MATCH(881, 輔助計算!$G$2:$G$801, 0)+1))), "")</f>
        <v/>
      </c>
      <c r="F882" s="10">
        <f>IFERROR(IF(INDEX(ERP資料!$E:$E, (MATCH(881, 輔助計算!$G$2:$G$801, 0)+1))="","",TRIM(INDEX(ERP資料!$E:$E, (MATCH(881, 輔助計算!$G$2:$G$801, 0)+1)))), "")</f>
        <v/>
      </c>
      <c r="G882" s="10">
        <f>IFERROR(IF(INDEX(ERP資料!$F:$F, (MATCH(881, 輔助計算!$G$2:$G$801, 0)+1))="","",INDEX(ERP資料!$F:$F, (MATCH(881, 輔助計算!$G$2:$G$801, 0)+1))), "")</f>
        <v/>
      </c>
      <c r="H882" s="10">
        <f>IFERROR(IF(INDEX(ERP資料!$G:$G, (MATCH(881, 輔助計算!$G$2:$G$801, 0)+1))="","",INDEX(ERP資料!$G:$G, (MATCH(881, 輔助計算!$G$2:$G$801, 0)+1))), "")</f>
        <v/>
      </c>
      <c r="I882" s="15">
        <f>IFERROR(INDEX(輔助計算!$D:$D, (MATCH(881, 輔助計算!$G$2:$G$801, 0)+1)), "")</f>
        <v/>
      </c>
      <c r="J882" s="15">
        <f>IFERROR(IF(AND(INDEX(輔助計算!$D:$D, (MATCH(881, 輔助計算!$G$2:$G$801, 0)+1))&lt;&gt;"", INDEX(ERP資料!$G:$G, (MATCH(881, 輔助計算!$G$2:$G$801, 0)+1))&lt;&gt;""), TRIM(IF(INT(INDEX(輔助計算!$D:$D, (MATCH(881, 輔助計算!$G$2:$G$801, 0)+1))/IF(INDEX(ERP資料!$G:$G, (MATCH(881, 輔助計算!$G$2:$G$801, 0)+1))&lt;100, IF(INDEX(ERP資料!$G:$G, (MATCH(881, 輔助計算!$G$2:$G$801, 0)+1))&lt;=31,3,IF(INDEX(ERP資料!$G:$G, (MATCH(881, 輔助計算!$G$2:$G$801, 0)+1))&lt;=46.5,2,1)), IF(INDEX(ERP資料!$G:$G, (MATCH(881, 輔助計算!$G$2:$G$801, 0)+1))&lt;=790,3,IF(INDEX(ERP資料!$G:$G, (MATCH(881, 輔助計算!$G$2:$G$801, 0)+1))&lt;=1181,2,1))))&gt;0, IF(IF(INDEX(ERP資料!$G:$G, (MATCH(881, 輔助計算!$G$2:$G$801, 0)+1))&lt;100, IF(INDEX(ERP資料!$G:$G, (MATCH(881, 輔助計算!$G$2:$G$801, 0)+1))&lt;=31,3,IF(INDEX(ERP資料!$G:$G, (MATCH(881, 輔助計算!$G$2:$G$801, 0)+1))&lt;=46.5,2,1)), IF(INDEX(ERP資料!$G:$G, (MATCH(881, 輔助計算!$G$2:$G$801, 0)+1))&lt;=790,3,IF(INDEX(ERP資料!$G:$G, (MATCH(881, 輔助計算!$G$2:$G$801, 0)+1))&lt;=1181,2,1)))=1,TEXT(INDEX(ERP資料!$G:$G, (MATCH(881, 輔助計算!$G$2:$G$801, 0)+1)),"0.##"),IF(IF(INDEX(ERP資料!$G:$G, (MATCH(881, 輔助計算!$G$2:$G$801, 0)+1))&lt;100, IF(INDEX(ERP資料!$G:$G, (MATCH(881, 輔助計算!$G$2:$G$801, 0)+1))&lt;=31,3,IF(INDEX(ERP資料!$G:$G, (MATCH(881, 輔助計算!$G$2:$G$801, 0)+1))&lt;=46.5,2,1)), IF(INDEX(ERP資料!$G:$G, (MATCH(881, 輔助計算!$G$2:$G$801, 0)+1))&lt;=790,3,IF(INDEX(ERP資料!$G:$G, (MATCH(881, 輔助計算!$G$2:$G$801, 0)+1))&lt;=1181,2,1)))=2,TEXT(INDEX(ERP資料!$G:$G, (MATCH(881, 輔助計算!$G$2:$G$801, 0)+1)),"0.##")&amp;"+"&amp;TEXT(INDEX(ERP資料!$G:$G, (MATCH(881, 輔助計算!$G$2:$G$801, 0)+1)),"0.##"),TEXT(INDEX(ERP資料!$G:$G, (MATCH(881, 輔助計算!$G$2:$G$801, 0)+1)),"0.##")&amp;"+"&amp;TEXT(INDEX(ERP資料!$G:$G, (MATCH(881, 輔助計算!$G$2:$G$801, 0)+1)),"0.##")&amp;"+"&amp;TEXT(INDEX(ERP資料!$G:$G, (MATCH(881, 輔助計算!$G$2:$G$801, 0)+1)),"0.##")))&amp;"-"&amp;INT(INDEX(輔助計算!$D:$D, (MATCH(881, 輔助計算!$G$2:$G$801, 0)+1))/IF(INDEX(ERP資料!$G:$G, (MATCH(881, 輔助計算!$G$2:$G$801, 0)+1))&lt;100, IF(INDEX(ERP資料!$G:$G, (MATCH(881, 輔助計算!$G$2:$G$801, 0)+1))&lt;=31,3,IF(INDEX(ERP資料!$G:$G, (MATCH(881, 輔助計算!$G$2:$G$801, 0)+1))&lt;=46.5,2,1)), IF(INDEX(ERP資料!$G:$G, (MATCH(881, 輔助計算!$G$2:$G$801, 0)+1))&lt;=790,3,IF(INDEX(ERP資料!$G:$G, (MATCH(881, 輔助計算!$G$2:$G$801, 0)+1))&lt;=1181,2,1)))), "")&amp;IF(AND(IF(INT(INDEX(輔助計算!$D:$D, (MATCH(881, 輔助計算!$G$2:$G$801, 0)+1))/IF(INDEX(ERP資料!$G:$G, (MATCH(881, 輔助計算!$G$2:$G$801, 0)+1))&lt;100, IF(INDEX(ERP資料!$G:$G, (MATCH(881, 輔助計算!$G$2:$G$801, 0)+1))&lt;=31,3,IF(INDEX(ERP資料!$G:$G, (MATCH(881, 輔助計算!$G$2:$G$801, 0)+1))&lt;=46.5,2,1)), IF(INDEX(ERP資料!$G:$G, (MATCH(881, 輔助計算!$G$2:$G$801, 0)+1))&lt;=790,3,IF(INDEX(ERP資料!$G:$G, (MATCH(881, 輔助計算!$G$2:$G$801, 0)+1))&lt;=1181,2,1))))&gt;0, IF(IF(INDEX(ERP資料!$G:$G, (MATCH(881, 輔助計算!$G$2:$G$801, 0)+1))&lt;100, IF(INDEX(ERP資料!$G:$G, (MATCH(881, 輔助計算!$G$2:$G$801, 0)+1))&lt;=31,3,IF(INDEX(ERP資料!$G:$G, (MATCH(881, 輔助計算!$G$2:$G$801, 0)+1))&lt;=46.5,2,1)), IF(INDEX(ERP資料!$G:$G, (MATCH(881, 輔助計算!$G$2:$G$801, 0)+1))&lt;=790,3,IF(INDEX(ERP資料!$G:$G, (MATCH(881, 輔助計算!$G$2:$G$801, 0)+1))&lt;=1181,2,1)))=1,TEXT(INDEX(ERP資料!$G:$G, (MATCH(881, 輔助計算!$G$2:$G$801, 0)+1)),"0.##"),IF(IF(INDEX(ERP資料!$G:$G, (MATCH(881, 輔助計算!$G$2:$G$801, 0)+1))&lt;100, IF(INDEX(ERP資料!$G:$G, (MATCH(881, 輔助計算!$G$2:$G$801, 0)+1))&lt;=31,3,IF(INDEX(ERP資料!$G:$G, (MATCH(881, 輔助計算!$G$2:$G$801, 0)+1))&lt;=46.5,2,1)), IF(INDEX(ERP資料!$G:$G, (MATCH(881, 輔助計算!$G$2:$G$801, 0)+1))&lt;=790,3,IF(INDEX(ERP資料!$G:$G, (MATCH(881, 輔助計算!$G$2:$G$801, 0)+1))&lt;=1181,2,1)))=2,TEXT(INDEX(ERP資料!$G:$G, (MATCH(881, 輔助計算!$G$2:$G$801, 0)+1)),"0.##")&amp;"+"&amp;TEXT(INDEX(ERP資料!$G:$G, (MATCH(881, 輔助計算!$G$2:$G$801, 0)+1)),"0.##"),TEXT(INDEX(ERP資料!$G:$G, (MATCH(881, 輔助計算!$G$2:$G$801, 0)+1)),"0.##")&amp;"+"&amp;TEXT(INDEX(ERP資料!$G:$G, (MATCH(881, 輔助計算!$G$2:$G$801, 0)+1)),"0.##")&amp;"+"&amp;TEXT(INDEX(ERP資料!$G:$G, (MATCH(881, 輔助計算!$G$2:$G$801, 0)+1)),"0.##")))&amp;"-"&amp;INT(INDEX(輔助計算!$D:$D, (MATCH(881, 輔助計算!$G$2:$G$801, 0)+1))/IF(INDEX(ERP資料!$G:$G, (MATCH(881, 輔助計算!$G$2:$G$801, 0)+1))&lt;100, IF(INDEX(ERP資料!$G:$G, (MATCH(881, 輔助計算!$G$2:$G$801, 0)+1))&lt;=31,3,IF(INDEX(ERP資料!$G:$G, (MATCH(881, 輔助計算!$G$2:$G$801, 0)+1))&lt;=46.5,2,1)), IF(INDEX(ERP資料!$G:$G, (MATCH(881, 輔助計算!$G$2:$G$801, 0)+1))&lt;=790,3,IF(INDEX(ERP資料!$G:$G, (MATCH(881, 輔助計算!$G$2:$G$801, 0)+1))&lt;=1181,2,1)))), "")&lt;&gt;"",IF(MOD(INDEX(輔助計算!$D:$D, (MATCH(881, 輔助計算!$G$2:$G$801, 0)+1)),IF(INDEX(ERP資料!$G:$G, (MATCH(881, 輔助計算!$G$2:$G$801, 0)+1))&lt;100, IF(INDEX(ERP資料!$G:$G, (MATCH(881, 輔助計算!$G$2:$G$801, 0)+1))&lt;=31,3,IF(INDEX(ERP資料!$G:$G, (MATCH(881, 輔助計算!$G$2:$G$801, 0)+1))&lt;=46.5,2,1)), IF(INDEX(ERP資料!$G:$G, (MATCH(881, 輔助計算!$G$2:$G$801, 0)+1))&lt;=790,3,IF(INDEX(ERP資料!$G:$G, (MATCH(881, 輔助計算!$G$2:$G$801, 0)+1))&lt;=1181,2,1))))=0,"",IF(MOD(INDEX(輔助計算!$D:$D, (MATCH(881, 輔助計算!$G$2:$G$801, 0)+1)),IF(INDEX(ERP資料!$G:$G, (MATCH(881, 輔助計算!$G$2:$G$801, 0)+1))&lt;100, IF(INDEX(ERP資料!$G:$G, (MATCH(881, 輔助計算!$G$2:$G$801, 0)+1))&lt;=31,3,IF(INDEX(ERP資料!$G:$G, (MATCH(881, 輔助計算!$G$2:$G$801, 0)+1))&lt;=46.5,2,1)), IF(INDEX(ERP資料!$G:$G, (MATCH(881, 輔助計算!$G$2:$G$801, 0)+1))&lt;=790,3,IF(INDEX(ERP資料!$G:$G, (MATCH(881, 輔助計算!$G$2:$G$801, 0)+1))&lt;=1181,2,1))))=0,"",IF(MOD(INDEX(輔助計算!$D:$D, (MATCH(881, 輔助計算!$G$2:$G$801, 0)+1)),IF(INDEX(ERP資料!$G:$G, (MATCH(881, 輔助計算!$G$2:$G$801, 0)+1))&lt;100, IF(INDEX(ERP資料!$G:$G, (MATCH(881, 輔助計算!$G$2:$G$801, 0)+1))&lt;=31,3,IF(INDEX(ERP資料!$G:$G, (MATCH(881, 輔助計算!$G$2:$G$801, 0)+1))&lt;=46.5,2,1)), IF(INDEX(ERP資料!$G:$G, (MATCH(881, 輔助計算!$G$2:$G$801, 0)+1))&lt;=790,3,IF(INDEX(ERP資料!$G:$G, (MATCH(881, 輔助計算!$G$2:$G$801, 0)+1))&lt;=1181,2,1))))=1,TEXT(INDEX(ERP資料!$G:$G, (MATCH(881, 輔助計算!$G$2:$G$801, 0)+1)),"0.##"),IF(MOD(INDEX(輔助計算!$D:$D, (MATCH(881, 輔助計算!$G$2:$G$801, 0)+1)),IF(INDEX(ERP資料!$G:$G, (MATCH(881, 輔助計算!$G$2:$G$801, 0)+1))&lt;100, IF(INDEX(ERP資料!$G:$G, (MATCH(881, 輔助計算!$G$2:$G$801, 0)+1))&lt;=31,3,IF(INDEX(ERP資料!$G:$G, (MATCH(881, 輔助計算!$G$2:$G$801, 0)+1))&lt;=46.5,2,1)), IF(INDEX(ERP資料!$G:$G, (MATCH(881, 輔助計算!$G$2:$G$801, 0)+1))&lt;=790,3,IF(INDEX(ERP資料!$G:$G, (MATCH(881, 輔助計算!$G$2:$G$801, 0)+1))&lt;=1181,2,1))))=2,TEXT(INDEX(ERP資料!$G:$G, (MATCH(881, 輔助計算!$G$2:$G$801, 0)+1)),"0.##")&amp;"+"&amp;TEXT(INDEX(ERP資料!$G:$G, (MATCH(881, 輔助計算!$G$2:$G$801, 0)+1)),"0.##"),TEXT(INDEX(ERP資料!$G:$G, (MATCH(881, 輔助計算!$G$2:$G$801, 0)+1)),"0.##")&amp;"+"&amp;TEXT(INDEX(ERP資料!$G:$G, (MATCH(881, 輔助計算!$G$2:$G$801, 0)+1)),"0.##")&amp;"+"&amp;TEXT(INDEX(ERP資料!$G:$G, (MATCH(881, 輔助計算!$G$2:$G$801, 0)+1)),"0.##"))))&amp;"-1")&lt;&gt;""),"  ","")&amp;IF(MOD(INDEX(輔助計算!$D:$D, (MATCH(881, 輔助計算!$G$2:$G$801, 0)+1)),IF(INDEX(ERP資料!$G:$G, (MATCH(881, 輔助計算!$G$2:$G$801, 0)+1))&lt;100, IF(INDEX(ERP資料!$G:$G, (MATCH(881, 輔助計算!$G$2:$G$801, 0)+1))&lt;=31,3,IF(INDEX(ERP資料!$G:$G, (MATCH(881, 輔助計算!$G$2:$G$801, 0)+1))&lt;=46.5,2,1)), IF(INDEX(ERP資料!$G:$G, (MATCH(881, 輔助計算!$G$2:$G$801, 0)+1))&lt;=790,3,IF(INDEX(ERP資料!$G:$G, (MATCH(881, 輔助計算!$G$2:$G$801, 0)+1))&lt;=1181,2,1))))=0,"",IF(MOD(INDEX(輔助計算!$D:$D, (MATCH(881, 輔助計算!$G$2:$G$801, 0)+1)),IF(INDEX(ERP資料!$G:$G, (MATCH(881, 輔助計算!$G$2:$G$801, 0)+1))&lt;100, IF(INDEX(ERP資料!$G:$G, (MATCH(881, 輔助計算!$G$2:$G$801, 0)+1))&lt;=31,3,IF(INDEX(ERP資料!$G:$G, (MATCH(881, 輔助計算!$G$2:$G$801, 0)+1))&lt;=46.5,2,1)), IF(INDEX(ERP資料!$G:$G, (MATCH(881, 輔助計算!$G$2:$G$801, 0)+1))&lt;=790,3,IF(INDEX(ERP資料!$G:$G, (MATCH(881, 輔助計算!$G$2:$G$801, 0)+1))&lt;=1181,2,1))))=0,"",IF(MOD(INDEX(輔助計算!$D:$D, (MATCH(881, 輔助計算!$G$2:$G$801, 0)+1)),IF(INDEX(ERP資料!$G:$G, (MATCH(881, 輔助計算!$G$2:$G$801, 0)+1))&lt;100, IF(INDEX(ERP資料!$G:$G, (MATCH(881, 輔助計算!$G$2:$G$801, 0)+1))&lt;=31,3,IF(INDEX(ERP資料!$G:$G, (MATCH(881, 輔助計算!$G$2:$G$801, 0)+1))&lt;=46.5,2,1)), IF(INDEX(ERP資料!$G:$G, (MATCH(881, 輔助計算!$G$2:$G$801, 0)+1))&lt;=790,3,IF(INDEX(ERP資料!$G:$G, (MATCH(881, 輔助計算!$G$2:$G$801, 0)+1))&lt;=1181,2,1))))=1,TEXT(INDEX(ERP資料!$G:$G, (MATCH(881, 輔助計算!$G$2:$G$801, 0)+1)),"0.##"),IF(MOD(INDEX(輔助計算!$D:$D, (MATCH(881, 輔助計算!$G$2:$G$801, 0)+1)),IF(INDEX(ERP資料!$G:$G, (MATCH(881, 輔助計算!$G$2:$G$801, 0)+1))&lt;100, IF(INDEX(ERP資料!$G:$G, (MATCH(881, 輔助計算!$G$2:$G$801, 0)+1))&lt;=31,3,IF(INDEX(ERP資料!$G:$G, (MATCH(881, 輔助計算!$G$2:$G$801, 0)+1))&lt;=46.5,2,1)), IF(INDEX(ERP資料!$G:$G, (MATCH(881, 輔助計算!$G$2:$G$801, 0)+1))&lt;=790,3,IF(INDEX(ERP資料!$G:$G, (MATCH(881, 輔助計算!$G$2:$G$801, 0)+1))&lt;=1181,2,1))))=2,TEXT(INDEX(ERP資料!$G:$G, (MATCH(881, 輔助計算!$G$2:$G$801, 0)+1)),"0.##")&amp;"+"&amp;TEXT(INDEX(ERP資料!$G:$G, (MATCH(881, 輔助計算!$G$2:$G$801, 0)+1)),"0.##"),TEXT(INDEX(ERP資料!$G:$G, (MATCH(881, 輔助計算!$G$2:$G$801, 0)+1)),"0.##")&amp;"+"&amp;TEXT(INDEX(ERP資料!$G:$G, (MATCH(881, 輔助計算!$G$2:$G$801, 0)+1)),"0.##")&amp;"+"&amp;TEXT(INDEX(ERP資料!$G:$G, (MATCH(881, 輔助計算!$G$2:$G$801, 0)+1)),"0.##"))))&amp;"-1")), ""), "")</f>
        <v/>
      </c>
      <c r="K882" s="16" t="n"/>
      <c r="L882" s="14">
        <f>IFERROR(IF(AND(IFERROR(INDEX(ERP資料!$A:$A, (MATCH(881, 輔助計算!$G$2:$G$801, 0)+1)), "")&lt;&gt;"", IFERROR(INDEX(ERP資料!$A:$A, (MATCH(881, 輔助計算!$G$2:$G$801, 0)+1)), "")&lt;&gt;IFERROR(INDEX(ERP資料!$A:$A, MATCH(880, 輔助計算!$G$2:$G$801, 0)+1), "")), INDEX(ERP資料!$B:$B, (MATCH(881, 輔助計算!$G$2:$G$801, 0)+1)), ""), "")</f>
        <v/>
      </c>
      <c r="M882" s="17" t="n"/>
    </row>
    <row r="883">
      <c r="A883" s="10">
        <f>IFERROR(IF(AND(IFERROR(INDEX(ERP資料!$A:$A, (MATCH(882, 輔助計算!$G$2:$G$801, 0)+1)), "")&lt;&gt;"", IFERROR(INDEX(ERP資料!$A:$A, (MATCH(882, 輔助計算!$G$2:$G$801, 0)+1)), "")&lt;&gt;IFERROR(INDEX(ERP資料!$A:$A, MATCH(881, 輔助計算!$G$2:$G$801, 0)+1), "")), IFERROR(INDEX(ERP資料!$A:$A, (MATCH(882, 輔助計算!$G$2:$G$801, 0)+1)), ""), ""), "")</f>
        <v/>
      </c>
      <c r="B883" s="10">
        <f>IFERROR(IF(AND(IFERROR(INDEX(ERP資料!$A:$A, (MATCH(882, 輔助計算!$G$2:$G$801, 0)+1)), "")&lt;&gt;"", IFERROR(INDEX(ERP資料!$A:$A, (MATCH(882, 輔助計算!$G$2:$G$801, 0)+1)), "")&lt;&gt;IFERROR(INDEX(ERP資料!$A:$A, MATCH(881, 輔助計算!$G$2:$G$801, 0)+1), "")), INDEX(ERP資料!$S:$S, (MATCH(882, 輔助計算!$G$2:$G$801, 0)+1)), ""), "")</f>
        <v/>
      </c>
      <c r="C883" s="19">
        <f>IFERROR(IF(AND(IFERROR(INDEX(ERP資料!$A:$A, (MATCH(882, 輔助計算!$G$2:$G$801, 0)+1)), "")&lt;&gt;"", IFERROR(INDEX(ERP資料!$A:$A, (MATCH(882, 輔助計算!$G$2:$G$801, 0)+1)), "")&lt;&gt;IFERROR(INDEX(ERP資料!$A:$A, MATCH(881, 輔助計算!$G$2:$G$801, 0)+1), "")), IFERROR(VLOOKUP(LEFT(INDEX(ERP資料!$S:$S, (MATCH(882, 輔助計算!$G$2:$G$801, 0)+1)), 4), 紙管對照表!$A:$C, 3, FALSE), ""), ""), "")</f>
        <v/>
      </c>
      <c r="D883" s="16" t="n"/>
      <c r="E883" s="10">
        <f>IFERROR(IF(INDEX(ERP資料!$H:$H, (MATCH(882, 輔助計算!$G$2:$G$801, 0)+1))="","",INDEX(ERP資料!$H:$H, (MATCH(882, 輔助計算!$G$2:$G$801, 0)+1))), "")</f>
        <v/>
      </c>
      <c r="F883" s="10">
        <f>IFERROR(IF(INDEX(ERP資料!$E:$E, (MATCH(882, 輔助計算!$G$2:$G$801, 0)+1))="","",TRIM(INDEX(ERP資料!$E:$E, (MATCH(882, 輔助計算!$G$2:$G$801, 0)+1)))), "")</f>
        <v/>
      </c>
      <c r="G883" s="10">
        <f>IFERROR(IF(INDEX(ERP資料!$F:$F, (MATCH(882, 輔助計算!$G$2:$G$801, 0)+1))="","",INDEX(ERP資料!$F:$F, (MATCH(882, 輔助計算!$G$2:$G$801, 0)+1))), "")</f>
        <v/>
      </c>
      <c r="H883" s="10">
        <f>IFERROR(IF(INDEX(ERP資料!$G:$G, (MATCH(882, 輔助計算!$G$2:$G$801, 0)+1))="","",INDEX(ERP資料!$G:$G, (MATCH(882, 輔助計算!$G$2:$G$801, 0)+1))), "")</f>
        <v/>
      </c>
      <c r="I883" s="15">
        <f>IFERROR(INDEX(輔助計算!$D:$D, (MATCH(882, 輔助計算!$G$2:$G$801, 0)+1)), "")</f>
        <v/>
      </c>
      <c r="J883" s="15">
        <f>IFERROR(IF(AND(INDEX(輔助計算!$D:$D, (MATCH(882, 輔助計算!$G$2:$G$801, 0)+1))&lt;&gt;"", INDEX(ERP資料!$G:$G, (MATCH(882, 輔助計算!$G$2:$G$801, 0)+1))&lt;&gt;""), TRIM(IF(INT(INDEX(輔助計算!$D:$D, (MATCH(882, 輔助計算!$G$2:$G$801, 0)+1))/IF(INDEX(ERP資料!$G:$G, (MATCH(882, 輔助計算!$G$2:$G$801, 0)+1))&lt;100, IF(INDEX(ERP資料!$G:$G, (MATCH(882, 輔助計算!$G$2:$G$801, 0)+1))&lt;=31,3,IF(INDEX(ERP資料!$G:$G, (MATCH(882, 輔助計算!$G$2:$G$801, 0)+1))&lt;=46.5,2,1)), IF(INDEX(ERP資料!$G:$G, (MATCH(882, 輔助計算!$G$2:$G$801, 0)+1))&lt;=790,3,IF(INDEX(ERP資料!$G:$G, (MATCH(882, 輔助計算!$G$2:$G$801, 0)+1))&lt;=1181,2,1))))&gt;0, IF(IF(INDEX(ERP資料!$G:$G, (MATCH(882, 輔助計算!$G$2:$G$801, 0)+1))&lt;100, IF(INDEX(ERP資料!$G:$G, (MATCH(882, 輔助計算!$G$2:$G$801, 0)+1))&lt;=31,3,IF(INDEX(ERP資料!$G:$G, (MATCH(882, 輔助計算!$G$2:$G$801, 0)+1))&lt;=46.5,2,1)), IF(INDEX(ERP資料!$G:$G, (MATCH(882, 輔助計算!$G$2:$G$801, 0)+1))&lt;=790,3,IF(INDEX(ERP資料!$G:$G, (MATCH(882, 輔助計算!$G$2:$G$801, 0)+1))&lt;=1181,2,1)))=1,TEXT(INDEX(ERP資料!$G:$G, (MATCH(882, 輔助計算!$G$2:$G$801, 0)+1)),"0.##"),IF(IF(INDEX(ERP資料!$G:$G, (MATCH(882, 輔助計算!$G$2:$G$801, 0)+1))&lt;100, IF(INDEX(ERP資料!$G:$G, (MATCH(882, 輔助計算!$G$2:$G$801, 0)+1))&lt;=31,3,IF(INDEX(ERP資料!$G:$G, (MATCH(882, 輔助計算!$G$2:$G$801, 0)+1))&lt;=46.5,2,1)), IF(INDEX(ERP資料!$G:$G, (MATCH(882, 輔助計算!$G$2:$G$801, 0)+1))&lt;=790,3,IF(INDEX(ERP資料!$G:$G, (MATCH(882, 輔助計算!$G$2:$G$801, 0)+1))&lt;=1181,2,1)))=2,TEXT(INDEX(ERP資料!$G:$G, (MATCH(882, 輔助計算!$G$2:$G$801, 0)+1)),"0.##")&amp;"+"&amp;TEXT(INDEX(ERP資料!$G:$G, (MATCH(882, 輔助計算!$G$2:$G$801, 0)+1)),"0.##"),TEXT(INDEX(ERP資料!$G:$G, (MATCH(882, 輔助計算!$G$2:$G$801, 0)+1)),"0.##")&amp;"+"&amp;TEXT(INDEX(ERP資料!$G:$G, (MATCH(882, 輔助計算!$G$2:$G$801, 0)+1)),"0.##")&amp;"+"&amp;TEXT(INDEX(ERP資料!$G:$G, (MATCH(882, 輔助計算!$G$2:$G$801, 0)+1)),"0.##")))&amp;"-"&amp;INT(INDEX(輔助計算!$D:$D, (MATCH(882, 輔助計算!$G$2:$G$801, 0)+1))/IF(INDEX(ERP資料!$G:$G, (MATCH(882, 輔助計算!$G$2:$G$801, 0)+1))&lt;100, IF(INDEX(ERP資料!$G:$G, (MATCH(882, 輔助計算!$G$2:$G$801, 0)+1))&lt;=31,3,IF(INDEX(ERP資料!$G:$G, (MATCH(882, 輔助計算!$G$2:$G$801, 0)+1))&lt;=46.5,2,1)), IF(INDEX(ERP資料!$G:$G, (MATCH(882, 輔助計算!$G$2:$G$801, 0)+1))&lt;=790,3,IF(INDEX(ERP資料!$G:$G, (MATCH(882, 輔助計算!$G$2:$G$801, 0)+1))&lt;=1181,2,1)))), "")&amp;IF(AND(IF(INT(INDEX(輔助計算!$D:$D, (MATCH(882, 輔助計算!$G$2:$G$801, 0)+1))/IF(INDEX(ERP資料!$G:$G, (MATCH(882, 輔助計算!$G$2:$G$801, 0)+1))&lt;100, IF(INDEX(ERP資料!$G:$G, (MATCH(882, 輔助計算!$G$2:$G$801, 0)+1))&lt;=31,3,IF(INDEX(ERP資料!$G:$G, (MATCH(882, 輔助計算!$G$2:$G$801, 0)+1))&lt;=46.5,2,1)), IF(INDEX(ERP資料!$G:$G, (MATCH(882, 輔助計算!$G$2:$G$801, 0)+1))&lt;=790,3,IF(INDEX(ERP資料!$G:$G, (MATCH(882, 輔助計算!$G$2:$G$801, 0)+1))&lt;=1181,2,1))))&gt;0, IF(IF(INDEX(ERP資料!$G:$G, (MATCH(882, 輔助計算!$G$2:$G$801, 0)+1))&lt;100, IF(INDEX(ERP資料!$G:$G, (MATCH(882, 輔助計算!$G$2:$G$801, 0)+1))&lt;=31,3,IF(INDEX(ERP資料!$G:$G, (MATCH(882, 輔助計算!$G$2:$G$801, 0)+1))&lt;=46.5,2,1)), IF(INDEX(ERP資料!$G:$G, (MATCH(882, 輔助計算!$G$2:$G$801, 0)+1))&lt;=790,3,IF(INDEX(ERP資料!$G:$G, (MATCH(882, 輔助計算!$G$2:$G$801, 0)+1))&lt;=1181,2,1)))=1,TEXT(INDEX(ERP資料!$G:$G, (MATCH(882, 輔助計算!$G$2:$G$801, 0)+1)),"0.##"),IF(IF(INDEX(ERP資料!$G:$G, (MATCH(882, 輔助計算!$G$2:$G$801, 0)+1))&lt;100, IF(INDEX(ERP資料!$G:$G, (MATCH(882, 輔助計算!$G$2:$G$801, 0)+1))&lt;=31,3,IF(INDEX(ERP資料!$G:$G, (MATCH(882, 輔助計算!$G$2:$G$801, 0)+1))&lt;=46.5,2,1)), IF(INDEX(ERP資料!$G:$G, (MATCH(882, 輔助計算!$G$2:$G$801, 0)+1))&lt;=790,3,IF(INDEX(ERP資料!$G:$G, (MATCH(882, 輔助計算!$G$2:$G$801, 0)+1))&lt;=1181,2,1)))=2,TEXT(INDEX(ERP資料!$G:$G, (MATCH(882, 輔助計算!$G$2:$G$801, 0)+1)),"0.##")&amp;"+"&amp;TEXT(INDEX(ERP資料!$G:$G, (MATCH(882, 輔助計算!$G$2:$G$801, 0)+1)),"0.##"),TEXT(INDEX(ERP資料!$G:$G, (MATCH(882, 輔助計算!$G$2:$G$801, 0)+1)),"0.##")&amp;"+"&amp;TEXT(INDEX(ERP資料!$G:$G, (MATCH(882, 輔助計算!$G$2:$G$801, 0)+1)),"0.##")&amp;"+"&amp;TEXT(INDEX(ERP資料!$G:$G, (MATCH(882, 輔助計算!$G$2:$G$801, 0)+1)),"0.##")))&amp;"-"&amp;INT(INDEX(輔助計算!$D:$D, (MATCH(882, 輔助計算!$G$2:$G$801, 0)+1))/IF(INDEX(ERP資料!$G:$G, (MATCH(882, 輔助計算!$G$2:$G$801, 0)+1))&lt;100, IF(INDEX(ERP資料!$G:$G, (MATCH(882, 輔助計算!$G$2:$G$801, 0)+1))&lt;=31,3,IF(INDEX(ERP資料!$G:$G, (MATCH(882, 輔助計算!$G$2:$G$801, 0)+1))&lt;=46.5,2,1)), IF(INDEX(ERP資料!$G:$G, (MATCH(882, 輔助計算!$G$2:$G$801, 0)+1))&lt;=790,3,IF(INDEX(ERP資料!$G:$G, (MATCH(882, 輔助計算!$G$2:$G$801, 0)+1))&lt;=1181,2,1)))), "")&lt;&gt;"",IF(MOD(INDEX(輔助計算!$D:$D, (MATCH(882, 輔助計算!$G$2:$G$801, 0)+1)),IF(INDEX(ERP資料!$G:$G, (MATCH(882, 輔助計算!$G$2:$G$801, 0)+1))&lt;100, IF(INDEX(ERP資料!$G:$G, (MATCH(882, 輔助計算!$G$2:$G$801, 0)+1))&lt;=31,3,IF(INDEX(ERP資料!$G:$G, (MATCH(882, 輔助計算!$G$2:$G$801, 0)+1))&lt;=46.5,2,1)), IF(INDEX(ERP資料!$G:$G, (MATCH(882, 輔助計算!$G$2:$G$801, 0)+1))&lt;=790,3,IF(INDEX(ERP資料!$G:$G, (MATCH(882, 輔助計算!$G$2:$G$801, 0)+1))&lt;=1181,2,1))))=0,"",IF(MOD(INDEX(輔助計算!$D:$D, (MATCH(882, 輔助計算!$G$2:$G$801, 0)+1)),IF(INDEX(ERP資料!$G:$G, (MATCH(882, 輔助計算!$G$2:$G$801, 0)+1))&lt;100, IF(INDEX(ERP資料!$G:$G, (MATCH(882, 輔助計算!$G$2:$G$801, 0)+1))&lt;=31,3,IF(INDEX(ERP資料!$G:$G, (MATCH(882, 輔助計算!$G$2:$G$801, 0)+1))&lt;=46.5,2,1)), IF(INDEX(ERP資料!$G:$G, (MATCH(882, 輔助計算!$G$2:$G$801, 0)+1))&lt;=790,3,IF(INDEX(ERP資料!$G:$G, (MATCH(882, 輔助計算!$G$2:$G$801, 0)+1))&lt;=1181,2,1))))=0,"",IF(MOD(INDEX(輔助計算!$D:$D, (MATCH(882, 輔助計算!$G$2:$G$801, 0)+1)),IF(INDEX(ERP資料!$G:$G, (MATCH(882, 輔助計算!$G$2:$G$801, 0)+1))&lt;100, IF(INDEX(ERP資料!$G:$G, (MATCH(882, 輔助計算!$G$2:$G$801, 0)+1))&lt;=31,3,IF(INDEX(ERP資料!$G:$G, (MATCH(882, 輔助計算!$G$2:$G$801, 0)+1))&lt;=46.5,2,1)), IF(INDEX(ERP資料!$G:$G, (MATCH(882, 輔助計算!$G$2:$G$801, 0)+1))&lt;=790,3,IF(INDEX(ERP資料!$G:$G, (MATCH(882, 輔助計算!$G$2:$G$801, 0)+1))&lt;=1181,2,1))))=1,TEXT(INDEX(ERP資料!$G:$G, (MATCH(882, 輔助計算!$G$2:$G$801, 0)+1)),"0.##"),IF(MOD(INDEX(輔助計算!$D:$D, (MATCH(882, 輔助計算!$G$2:$G$801, 0)+1)),IF(INDEX(ERP資料!$G:$G, (MATCH(882, 輔助計算!$G$2:$G$801, 0)+1))&lt;100, IF(INDEX(ERP資料!$G:$G, (MATCH(882, 輔助計算!$G$2:$G$801, 0)+1))&lt;=31,3,IF(INDEX(ERP資料!$G:$G, (MATCH(882, 輔助計算!$G$2:$G$801, 0)+1))&lt;=46.5,2,1)), IF(INDEX(ERP資料!$G:$G, (MATCH(882, 輔助計算!$G$2:$G$801, 0)+1))&lt;=790,3,IF(INDEX(ERP資料!$G:$G, (MATCH(882, 輔助計算!$G$2:$G$801, 0)+1))&lt;=1181,2,1))))=2,TEXT(INDEX(ERP資料!$G:$G, (MATCH(882, 輔助計算!$G$2:$G$801, 0)+1)),"0.##")&amp;"+"&amp;TEXT(INDEX(ERP資料!$G:$G, (MATCH(882, 輔助計算!$G$2:$G$801, 0)+1)),"0.##"),TEXT(INDEX(ERP資料!$G:$G, (MATCH(882, 輔助計算!$G$2:$G$801, 0)+1)),"0.##")&amp;"+"&amp;TEXT(INDEX(ERP資料!$G:$G, (MATCH(882, 輔助計算!$G$2:$G$801, 0)+1)),"0.##")&amp;"+"&amp;TEXT(INDEX(ERP資料!$G:$G, (MATCH(882, 輔助計算!$G$2:$G$801, 0)+1)),"0.##"))))&amp;"-1")&lt;&gt;""),"  ","")&amp;IF(MOD(INDEX(輔助計算!$D:$D, (MATCH(882, 輔助計算!$G$2:$G$801, 0)+1)),IF(INDEX(ERP資料!$G:$G, (MATCH(882, 輔助計算!$G$2:$G$801, 0)+1))&lt;100, IF(INDEX(ERP資料!$G:$G, (MATCH(882, 輔助計算!$G$2:$G$801, 0)+1))&lt;=31,3,IF(INDEX(ERP資料!$G:$G, (MATCH(882, 輔助計算!$G$2:$G$801, 0)+1))&lt;=46.5,2,1)), IF(INDEX(ERP資料!$G:$G, (MATCH(882, 輔助計算!$G$2:$G$801, 0)+1))&lt;=790,3,IF(INDEX(ERP資料!$G:$G, (MATCH(882, 輔助計算!$G$2:$G$801, 0)+1))&lt;=1181,2,1))))=0,"",IF(MOD(INDEX(輔助計算!$D:$D, (MATCH(882, 輔助計算!$G$2:$G$801, 0)+1)),IF(INDEX(ERP資料!$G:$G, (MATCH(882, 輔助計算!$G$2:$G$801, 0)+1))&lt;100, IF(INDEX(ERP資料!$G:$G, (MATCH(882, 輔助計算!$G$2:$G$801, 0)+1))&lt;=31,3,IF(INDEX(ERP資料!$G:$G, (MATCH(882, 輔助計算!$G$2:$G$801, 0)+1))&lt;=46.5,2,1)), IF(INDEX(ERP資料!$G:$G, (MATCH(882, 輔助計算!$G$2:$G$801, 0)+1))&lt;=790,3,IF(INDEX(ERP資料!$G:$G, (MATCH(882, 輔助計算!$G$2:$G$801, 0)+1))&lt;=1181,2,1))))=0,"",IF(MOD(INDEX(輔助計算!$D:$D, (MATCH(882, 輔助計算!$G$2:$G$801, 0)+1)),IF(INDEX(ERP資料!$G:$G, (MATCH(882, 輔助計算!$G$2:$G$801, 0)+1))&lt;100, IF(INDEX(ERP資料!$G:$G, (MATCH(882, 輔助計算!$G$2:$G$801, 0)+1))&lt;=31,3,IF(INDEX(ERP資料!$G:$G, (MATCH(882, 輔助計算!$G$2:$G$801, 0)+1))&lt;=46.5,2,1)), IF(INDEX(ERP資料!$G:$G, (MATCH(882, 輔助計算!$G$2:$G$801, 0)+1))&lt;=790,3,IF(INDEX(ERP資料!$G:$G, (MATCH(882, 輔助計算!$G$2:$G$801, 0)+1))&lt;=1181,2,1))))=1,TEXT(INDEX(ERP資料!$G:$G, (MATCH(882, 輔助計算!$G$2:$G$801, 0)+1)),"0.##"),IF(MOD(INDEX(輔助計算!$D:$D, (MATCH(882, 輔助計算!$G$2:$G$801, 0)+1)),IF(INDEX(ERP資料!$G:$G, (MATCH(882, 輔助計算!$G$2:$G$801, 0)+1))&lt;100, IF(INDEX(ERP資料!$G:$G, (MATCH(882, 輔助計算!$G$2:$G$801, 0)+1))&lt;=31,3,IF(INDEX(ERP資料!$G:$G, (MATCH(882, 輔助計算!$G$2:$G$801, 0)+1))&lt;=46.5,2,1)), IF(INDEX(ERP資料!$G:$G, (MATCH(882, 輔助計算!$G$2:$G$801, 0)+1))&lt;=790,3,IF(INDEX(ERP資料!$G:$G, (MATCH(882, 輔助計算!$G$2:$G$801, 0)+1))&lt;=1181,2,1))))=2,TEXT(INDEX(ERP資料!$G:$G, (MATCH(882, 輔助計算!$G$2:$G$801, 0)+1)),"0.##")&amp;"+"&amp;TEXT(INDEX(ERP資料!$G:$G, (MATCH(882, 輔助計算!$G$2:$G$801, 0)+1)),"0.##"),TEXT(INDEX(ERP資料!$G:$G, (MATCH(882, 輔助計算!$G$2:$G$801, 0)+1)),"0.##")&amp;"+"&amp;TEXT(INDEX(ERP資料!$G:$G, (MATCH(882, 輔助計算!$G$2:$G$801, 0)+1)),"0.##")&amp;"+"&amp;TEXT(INDEX(ERP資料!$G:$G, (MATCH(882, 輔助計算!$G$2:$G$801, 0)+1)),"0.##"))))&amp;"-1")), ""), "")</f>
        <v/>
      </c>
      <c r="K883" s="16" t="n"/>
      <c r="L883" s="14">
        <f>IFERROR(IF(AND(IFERROR(INDEX(ERP資料!$A:$A, (MATCH(882, 輔助計算!$G$2:$G$801, 0)+1)), "")&lt;&gt;"", IFERROR(INDEX(ERP資料!$A:$A, (MATCH(882, 輔助計算!$G$2:$G$801, 0)+1)), "")&lt;&gt;IFERROR(INDEX(ERP資料!$A:$A, MATCH(881, 輔助計算!$G$2:$G$801, 0)+1), "")), INDEX(ERP資料!$B:$B, (MATCH(882, 輔助計算!$G$2:$G$801, 0)+1)), ""), "")</f>
        <v/>
      </c>
      <c r="M883" s="17" t="n"/>
    </row>
    <row r="884">
      <c r="A884" s="10">
        <f>IFERROR(IF(AND(IFERROR(INDEX(ERP資料!$A:$A, (MATCH(883, 輔助計算!$G$2:$G$801, 0)+1)), "")&lt;&gt;"", IFERROR(INDEX(ERP資料!$A:$A, (MATCH(883, 輔助計算!$G$2:$G$801, 0)+1)), "")&lt;&gt;IFERROR(INDEX(ERP資料!$A:$A, MATCH(882, 輔助計算!$G$2:$G$801, 0)+1), "")), IFERROR(INDEX(ERP資料!$A:$A, (MATCH(883, 輔助計算!$G$2:$G$801, 0)+1)), ""), ""), "")</f>
        <v/>
      </c>
      <c r="B884" s="10">
        <f>IFERROR(IF(AND(IFERROR(INDEX(ERP資料!$A:$A, (MATCH(883, 輔助計算!$G$2:$G$801, 0)+1)), "")&lt;&gt;"", IFERROR(INDEX(ERP資料!$A:$A, (MATCH(883, 輔助計算!$G$2:$G$801, 0)+1)), "")&lt;&gt;IFERROR(INDEX(ERP資料!$A:$A, MATCH(882, 輔助計算!$G$2:$G$801, 0)+1), "")), INDEX(ERP資料!$S:$S, (MATCH(883, 輔助計算!$G$2:$G$801, 0)+1)), ""), "")</f>
        <v/>
      </c>
      <c r="C884" s="19">
        <f>IFERROR(IF(AND(IFERROR(INDEX(ERP資料!$A:$A, (MATCH(883, 輔助計算!$G$2:$G$801, 0)+1)), "")&lt;&gt;"", IFERROR(INDEX(ERP資料!$A:$A, (MATCH(883, 輔助計算!$G$2:$G$801, 0)+1)), "")&lt;&gt;IFERROR(INDEX(ERP資料!$A:$A, MATCH(882, 輔助計算!$G$2:$G$801, 0)+1), "")), IFERROR(VLOOKUP(LEFT(INDEX(ERP資料!$S:$S, (MATCH(883, 輔助計算!$G$2:$G$801, 0)+1)), 4), 紙管對照表!$A:$C, 3, FALSE), ""), ""), "")</f>
        <v/>
      </c>
      <c r="D884" s="16" t="n"/>
      <c r="E884" s="10">
        <f>IFERROR(IF(INDEX(ERP資料!$H:$H, (MATCH(883, 輔助計算!$G$2:$G$801, 0)+1))="","",INDEX(ERP資料!$H:$H, (MATCH(883, 輔助計算!$G$2:$G$801, 0)+1))), "")</f>
        <v/>
      </c>
      <c r="F884" s="10">
        <f>IFERROR(IF(INDEX(ERP資料!$E:$E, (MATCH(883, 輔助計算!$G$2:$G$801, 0)+1))="","",TRIM(INDEX(ERP資料!$E:$E, (MATCH(883, 輔助計算!$G$2:$G$801, 0)+1)))), "")</f>
        <v/>
      </c>
      <c r="G884" s="10">
        <f>IFERROR(IF(INDEX(ERP資料!$F:$F, (MATCH(883, 輔助計算!$G$2:$G$801, 0)+1))="","",INDEX(ERP資料!$F:$F, (MATCH(883, 輔助計算!$G$2:$G$801, 0)+1))), "")</f>
        <v/>
      </c>
      <c r="H884" s="10">
        <f>IFERROR(IF(INDEX(ERP資料!$G:$G, (MATCH(883, 輔助計算!$G$2:$G$801, 0)+1))="","",INDEX(ERP資料!$G:$G, (MATCH(883, 輔助計算!$G$2:$G$801, 0)+1))), "")</f>
        <v/>
      </c>
      <c r="I884" s="15">
        <f>IFERROR(INDEX(輔助計算!$D:$D, (MATCH(883, 輔助計算!$G$2:$G$801, 0)+1)), "")</f>
        <v/>
      </c>
      <c r="J884" s="15">
        <f>IFERROR(IF(AND(INDEX(輔助計算!$D:$D, (MATCH(883, 輔助計算!$G$2:$G$801, 0)+1))&lt;&gt;"", INDEX(ERP資料!$G:$G, (MATCH(883, 輔助計算!$G$2:$G$801, 0)+1))&lt;&gt;""), TRIM(IF(INT(INDEX(輔助計算!$D:$D, (MATCH(883, 輔助計算!$G$2:$G$801, 0)+1))/IF(INDEX(ERP資料!$G:$G, (MATCH(883, 輔助計算!$G$2:$G$801, 0)+1))&lt;100, IF(INDEX(ERP資料!$G:$G, (MATCH(883, 輔助計算!$G$2:$G$801, 0)+1))&lt;=31,3,IF(INDEX(ERP資料!$G:$G, (MATCH(883, 輔助計算!$G$2:$G$801, 0)+1))&lt;=46.5,2,1)), IF(INDEX(ERP資料!$G:$G, (MATCH(883, 輔助計算!$G$2:$G$801, 0)+1))&lt;=790,3,IF(INDEX(ERP資料!$G:$G, (MATCH(883, 輔助計算!$G$2:$G$801, 0)+1))&lt;=1181,2,1))))&gt;0, IF(IF(INDEX(ERP資料!$G:$G, (MATCH(883, 輔助計算!$G$2:$G$801, 0)+1))&lt;100, IF(INDEX(ERP資料!$G:$G, (MATCH(883, 輔助計算!$G$2:$G$801, 0)+1))&lt;=31,3,IF(INDEX(ERP資料!$G:$G, (MATCH(883, 輔助計算!$G$2:$G$801, 0)+1))&lt;=46.5,2,1)), IF(INDEX(ERP資料!$G:$G, (MATCH(883, 輔助計算!$G$2:$G$801, 0)+1))&lt;=790,3,IF(INDEX(ERP資料!$G:$G, (MATCH(883, 輔助計算!$G$2:$G$801, 0)+1))&lt;=1181,2,1)))=1,TEXT(INDEX(ERP資料!$G:$G, (MATCH(883, 輔助計算!$G$2:$G$801, 0)+1)),"0.##"),IF(IF(INDEX(ERP資料!$G:$G, (MATCH(883, 輔助計算!$G$2:$G$801, 0)+1))&lt;100, IF(INDEX(ERP資料!$G:$G, (MATCH(883, 輔助計算!$G$2:$G$801, 0)+1))&lt;=31,3,IF(INDEX(ERP資料!$G:$G, (MATCH(883, 輔助計算!$G$2:$G$801, 0)+1))&lt;=46.5,2,1)), IF(INDEX(ERP資料!$G:$G, (MATCH(883, 輔助計算!$G$2:$G$801, 0)+1))&lt;=790,3,IF(INDEX(ERP資料!$G:$G, (MATCH(883, 輔助計算!$G$2:$G$801, 0)+1))&lt;=1181,2,1)))=2,TEXT(INDEX(ERP資料!$G:$G, (MATCH(883, 輔助計算!$G$2:$G$801, 0)+1)),"0.##")&amp;"+"&amp;TEXT(INDEX(ERP資料!$G:$G, (MATCH(883, 輔助計算!$G$2:$G$801, 0)+1)),"0.##"),TEXT(INDEX(ERP資料!$G:$G, (MATCH(883, 輔助計算!$G$2:$G$801, 0)+1)),"0.##")&amp;"+"&amp;TEXT(INDEX(ERP資料!$G:$G, (MATCH(883, 輔助計算!$G$2:$G$801, 0)+1)),"0.##")&amp;"+"&amp;TEXT(INDEX(ERP資料!$G:$G, (MATCH(883, 輔助計算!$G$2:$G$801, 0)+1)),"0.##")))&amp;"-"&amp;INT(INDEX(輔助計算!$D:$D, (MATCH(883, 輔助計算!$G$2:$G$801, 0)+1))/IF(INDEX(ERP資料!$G:$G, (MATCH(883, 輔助計算!$G$2:$G$801, 0)+1))&lt;100, IF(INDEX(ERP資料!$G:$G, (MATCH(883, 輔助計算!$G$2:$G$801, 0)+1))&lt;=31,3,IF(INDEX(ERP資料!$G:$G, (MATCH(883, 輔助計算!$G$2:$G$801, 0)+1))&lt;=46.5,2,1)), IF(INDEX(ERP資料!$G:$G, (MATCH(883, 輔助計算!$G$2:$G$801, 0)+1))&lt;=790,3,IF(INDEX(ERP資料!$G:$G, (MATCH(883, 輔助計算!$G$2:$G$801, 0)+1))&lt;=1181,2,1)))), "")&amp;IF(AND(IF(INT(INDEX(輔助計算!$D:$D, (MATCH(883, 輔助計算!$G$2:$G$801, 0)+1))/IF(INDEX(ERP資料!$G:$G, (MATCH(883, 輔助計算!$G$2:$G$801, 0)+1))&lt;100, IF(INDEX(ERP資料!$G:$G, (MATCH(883, 輔助計算!$G$2:$G$801, 0)+1))&lt;=31,3,IF(INDEX(ERP資料!$G:$G, (MATCH(883, 輔助計算!$G$2:$G$801, 0)+1))&lt;=46.5,2,1)), IF(INDEX(ERP資料!$G:$G, (MATCH(883, 輔助計算!$G$2:$G$801, 0)+1))&lt;=790,3,IF(INDEX(ERP資料!$G:$G, (MATCH(883, 輔助計算!$G$2:$G$801, 0)+1))&lt;=1181,2,1))))&gt;0, IF(IF(INDEX(ERP資料!$G:$G, (MATCH(883, 輔助計算!$G$2:$G$801, 0)+1))&lt;100, IF(INDEX(ERP資料!$G:$G, (MATCH(883, 輔助計算!$G$2:$G$801, 0)+1))&lt;=31,3,IF(INDEX(ERP資料!$G:$G, (MATCH(883, 輔助計算!$G$2:$G$801, 0)+1))&lt;=46.5,2,1)), IF(INDEX(ERP資料!$G:$G, (MATCH(883, 輔助計算!$G$2:$G$801, 0)+1))&lt;=790,3,IF(INDEX(ERP資料!$G:$G, (MATCH(883, 輔助計算!$G$2:$G$801, 0)+1))&lt;=1181,2,1)))=1,TEXT(INDEX(ERP資料!$G:$G, (MATCH(883, 輔助計算!$G$2:$G$801, 0)+1)),"0.##"),IF(IF(INDEX(ERP資料!$G:$G, (MATCH(883, 輔助計算!$G$2:$G$801, 0)+1))&lt;100, IF(INDEX(ERP資料!$G:$G, (MATCH(883, 輔助計算!$G$2:$G$801, 0)+1))&lt;=31,3,IF(INDEX(ERP資料!$G:$G, (MATCH(883, 輔助計算!$G$2:$G$801, 0)+1))&lt;=46.5,2,1)), IF(INDEX(ERP資料!$G:$G, (MATCH(883, 輔助計算!$G$2:$G$801, 0)+1))&lt;=790,3,IF(INDEX(ERP資料!$G:$G, (MATCH(883, 輔助計算!$G$2:$G$801, 0)+1))&lt;=1181,2,1)))=2,TEXT(INDEX(ERP資料!$G:$G, (MATCH(883, 輔助計算!$G$2:$G$801, 0)+1)),"0.##")&amp;"+"&amp;TEXT(INDEX(ERP資料!$G:$G, (MATCH(883, 輔助計算!$G$2:$G$801, 0)+1)),"0.##"),TEXT(INDEX(ERP資料!$G:$G, (MATCH(883, 輔助計算!$G$2:$G$801, 0)+1)),"0.##")&amp;"+"&amp;TEXT(INDEX(ERP資料!$G:$G, (MATCH(883, 輔助計算!$G$2:$G$801, 0)+1)),"0.##")&amp;"+"&amp;TEXT(INDEX(ERP資料!$G:$G, (MATCH(883, 輔助計算!$G$2:$G$801, 0)+1)),"0.##")))&amp;"-"&amp;INT(INDEX(輔助計算!$D:$D, (MATCH(883, 輔助計算!$G$2:$G$801, 0)+1))/IF(INDEX(ERP資料!$G:$G, (MATCH(883, 輔助計算!$G$2:$G$801, 0)+1))&lt;100, IF(INDEX(ERP資料!$G:$G, (MATCH(883, 輔助計算!$G$2:$G$801, 0)+1))&lt;=31,3,IF(INDEX(ERP資料!$G:$G, (MATCH(883, 輔助計算!$G$2:$G$801, 0)+1))&lt;=46.5,2,1)), IF(INDEX(ERP資料!$G:$G, (MATCH(883, 輔助計算!$G$2:$G$801, 0)+1))&lt;=790,3,IF(INDEX(ERP資料!$G:$G, (MATCH(883, 輔助計算!$G$2:$G$801, 0)+1))&lt;=1181,2,1)))), "")&lt;&gt;"",IF(MOD(INDEX(輔助計算!$D:$D, (MATCH(883, 輔助計算!$G$2:$G$801, 0)+1)),IF(INDEX(ERP資料!$G:$G, (MATCH(883, 輔助計算!$G$2:$G$801, 0)+1))&lt;100, IF(INDEX(ERP資料!$G:$G, (MATCH(883, 輔助計算!$G$2:$G$801, 0)+1))&lt;=31,3,IF(INDEX(ERP資料!$G:$G, (MATCH(883, 輔助計算!$G$2:$G$801, 0)+1))&lt;=46.5,2,1)), IF(INDEX(ERP資料!$G:$G, (MATCH(883, 輔助計算!$G$2:$G$801, 0)+1))&lt;=790,3,IF(INDEX(ERP資料!$G:$G, (MATCH(883, 輔助計算!$G$2:$G$801, 0)+1))&lt;=1181,2,1))))=0,"",IF(MOD(INDEX(輔助計算!$D:$D, (MATCH(883, 輔助計算!$G$2:$G$801, 0)+1)),IF(INDEX(ERP資料!$G:$G, (MATCH(883, 輔助計算!$G$2:$G$801, 0)+1))&lt;100, IF(INDEX(ERP資料!$G:$G, (MATCH(883, 輔助計算!$G$2:$G$801, 0)+1))&lt;=31,3,IF(INDEX(ERP資料!$G:$G, (MATCH(883, 輔助計算!$G$2:$G$801, 0)+1))&lt;=46.5,2,1)), IF(INDEX(ERP資料!$G:$G, (MATCH(883, 輔助計算!$G$2:$G$801, 0)+1))&lt;=790,3,IF(INDEX(ERP資料!$G:$G, (MATCH(883, 輔助計算!$G$2:$G$801, 0)+1))&lt;=1181,2,1))))=0,"",IF(MOD(INDEX(輔助計算!$D:$D, (MATCH(883, 輔助計算!$G$2:$G$801, 0)+1)),IF(INDEX(ERP資料!$G:$G, (MATCH(883, 輔助計算!$G$2:$G$801, 0)+1))&lt;100, IF(INDEX(ERP資料!$G:$G, (MATCH(883, 輔助計算!$G$2:$G$801, 0)+1))&lt;=31,3,IF(INDEX(ERP資料!$G:$G, (MATCH(883, 輔助計算!$G$2:$G$801, 0)+1))&lt;=46.5,2,1)), IF(INDEX(ERP資料!$G:$G, (MATCH(883, 輔助計算!$G$2:$G$801, 0)+1))&lt;=790,3,IF(INDEX(ERP資料!$G:$G, (MATCH(883, 輔助計算!$G$2:$G$801, 0)+1))&lt;=1181,2,1))))=1,TEXT(INDEX(ERP資料!$G:$G, (MATCH(883, 輔助計算!$G$2:$G$801, 0)+1)),"0.##"),IF(MOD(INDEX(輔助計算!$D:$D, (MATCH(883, 輔助計算!$G$2:$G$801, 0)+1)),IF(INDEX(ERP資料!$G:$G, (MATCH(883, 輔助計算!$G$2:$G$801, 0)+1))&lt;100, IF(INDEX(ERP資料!$G:$G, (MATCH(883, 輔助計算!$G$2:$G$801, 0)+1))&lt;=31,3,IF(INDEX(ERP資料!$G:$G, (MATCH(883, 輔助計算!$G$2:$G$801, 0)+1))&lt;=46.5,2,1)), IF(INDEX(ERP資料!$G:$G, (MATCH(883, 輔助計算!$G$2:$G$801, 0)+1))&lt;=790,3,IF(INDEX(ERP資料!$G:$G, (MATCH(883, 輔助計算!$G$2:$G$801, 0)+1))&lt;=1181,2,1))))=2,TEXT(INDEX(ERP資料!$G:$G, (MATCH(883, 輔助計算!$G$2:$G$801, 0)+1)),"0.##")&amp;"+"&amp;TEXT(INDEX(ERP資料!$G:$G, (MATCH(883, 輔助計算!$G$2:$G$801, 0)+1)),"0.##"),TEXT(INDEX(ERP資料!$G:$G, (MATCH(883, 輔助計算!$G$2:$G$801, 0)+1)),"0.##")&amp;"+"&amp;TEXT(INDEX(ERP資料!$G:$G, (MATCH(883, 輔助計算!$G$2:$G$801, 0)+1)),"0.##")&amp;"+"&amp;TEXT(INDEX(ERP資料!$G:$G, (MATCH(883, 輔助計算!$G$2:$G$801, 0)+1)),"0.##"))))&amp;"-1")&lt;&gt;""),"  ","")&amp;IF(MOD(INDEX(輔助計算!$D:$D, (MATCH(883, 輔助計算!$G$2:$G$801, 0)+1)),IF(INDEX(ERP資料!$G:$G, (MATCH(883, 輔助計算!$G$2:$G$801, 0)+1))&lt;100, IF(INDEX(ERP資料!$G:$G, (MATCH(883, 輔助計算!$G$2:$G$801, 0)+1))&lt;=31,3,IF(INDEX(ERP資料!$G:$G, (MATCH(883, 輔助計算!$G$2:$G$801, 0)+1))&lt;=46.5,2,1)), IF(INDEX(ERP資料!$G:$G, (MATCH(883, 輔助計算!$G$2:$G$801, 0)+1))&lt;=790,3,IF(INDEX(ERP資料!$G:$G, (MATCH(883, 輔助計算!$G$2:$G$801, 0)+1))&lt;=1181,2,1))))=0,"",IF(MOD(INDEX(輔助計算!$D:$D, (MATCH(883, 輔助計算!$G$2:$G$801, 0)+1)),IF(INDEX(ERP資料!$G:$G, (MATCH(883, 輔助計算!$G$2:$G$801, 0)+1))&lt;100, IF(INDEX(ERP資料!$G:$G, (MATCH(883, 輔助計算!$G$2:$G$801, 0)+1))&lt;=31,3,IF(INDEX(ERP資料!$G:$G, (MATCH(883, 輔助計算!$G$2:$G$801, 0)+1))&lt;=46.5,2,1)), IF(INDEX(ERP資料!$G:$G, (MATCH(883, 輔助計算!$G$2:$G$801, 0)+1))&lt;=790,3,IF(INDEX(ERP資料!$G:$G, (MATCH(883, 輔助計算!$G$2:$G$801, 0)+1))&lt;=1181,2,1))))=0,"",IF(MOD(INDEX(輔助計算!$D:$D, (MATCH(883, 輔助計算!$G$2:$G$801, 0)+1)),IF(INDEX(ERP資料!$G:$G, (MATCH(883, 輔助計算!$G$2:$G$801, 0)+1))&lt;100, IF(INDEX(ERP資料!$G:$G, (MATCH(883, 輔助計算!$G$2:$G$801, 0)+1))&lt;=31,3,IF(INDEX(ERP資料!$G:$G, (MATCH(883, 輔助計算!$G$2:$G$801, 0)+1))&lt;=46.5,2,1)), IF(INDEX(ERP資料!$G:$G, (MATCH(883, 輔助計算!$G$2:$G$801, 0)+1))&lt;=790,3,IF(INDEX(ERP資料!$G:$G, (MATCH(883, 輔助計算!$G$2:$G$801, 0)+1))&lt;=1181,2,1))))=1,TEXT(INDEX(ERP資料!$G:$G, (MATCH(883, 輔助計算!$G$2:$G$801, 0)+1)),"0.##"),IF(MOD(INDEX(輔助計算!$D:$D, (MATCH(883, 輔助計算!$G$2:$G$801, 0)+1)),IF(INDEX(ERP資料!$G:$G, (MATCH(883, 輔助計算!$G$2:$G$801, 0)+1))&lt;100, IF(INDEX(ERP資料!$G:$G, (MATCH(883, 輔助計算!$G$2:$G$801, 0)+1))&lt;=31,3,IF(INDEX(ERP資料!$G:$G, (MATCH(883, 輔助計算!$G$2:$G$801, 0)+1))&lt;=46.5,2,1)), IF(INDEX(ERP資料!$G:$G, (MATCH(883, 輔助計算!$G$2:$G$801, 0)+1))&lt;=790,3,IF(INDEX(ERP資料!$G:$G, (MATCH(883, 輔助計算!$G$2:$G$801, 0)+1))&lt;=1181,2,1))))=2,TEXT(INDEX(ERP資料!$G:$G, (MATCH(883, 輔助計算!$G$2:$G$801, 0)+1)),"0.##")&amp;"+"&amp;TEXT(INDEX(ERP資料!$G:$G, (MATCH(883, 輔助計算!$G$2:$G$801, 0)+1)),"0.##"),TEXT(INDEX(ERP資料!$G:$G, (MATCH(883, 輔助計算!$G$2:$G$801, 0)+1)),"0.##")&amp;"+"&amp;TEXT(INDEX(ERP資料!$G:$G, (MATCH(883, 輔助計算!$G$2:$G$801, 0)+1)),"0.##")&amp;"+"&amp;TEXT(INDEX(ERP資料!$G:$G, (MATCH(883, 輔助計算!$G$2:$G$801, 0)+1)),"0.##"))))&amp;"-1")), ""), "")</f>
        <v/>
      </c>
      <c r="K884" s="16" t="n"/>
      <c r="L884" s="14">
        <f>IFERROR(IF(AND(IFERROR(INDEX(ERP資料!$A:$A, (MATCH(883, 輔助計算!$G$2:$G$801, 0)+1)), "")&lt;&gt;"", IFERROR(INDEX(ERP資料!$A:$A, (MATCH(883, 輔助計算!$G$2:$G$801, 0)+1)), "")&lt;&gt;IFERROR(INDEX(ERP資料!$A:$A, MATCH(882, 輔助計算!$G$2:$G$801, 0)+1), "")), INDEX(ERP資料!$B:$B, (MATCH(883, 輔助計算!$G$2:$G$801, 0)+1)), ""), "")</f>
        <v/>
      </c>
      <c r="M884" s="17" t="n"/>
    </row>
    <row r="885">
      <c r="A885" s="10">
        <f>IFERROR(IF(AND(IFERROR(INDEX(ERP資料!$A:$A, (MATCH(884, 輔助計算!$G$2:$G$801, 0)+1)), "")&lt;&gt;"", IFERROR(INDEX(ERP資料!$A:$A, (MATCH(884, 輔助計算!$G$2:$G$801, 0)+1)), "")&lt;&gt;IFERROR(INDEX(ERP資料!$A:$A, MATCH(883, 輔助計算!$G$2:$G$801, 0)+1), "")), IFERROR(INDEX(ERP資料!$A:$A, (MATCH(884, 輔助計算!$G$2:$G$801, 0)+1)), ""), ""), "")</f>
        <v/>
      </c>
      <c r="B885" s="10">
        <f>IFERROR(IF(AND(IFERROR(INDEX(ERP資料!$A:$A, (MATCH(884, 輔助計算!$G$2:$G$801, 0)+1)), "")&lt;&gt;"", IFERROR(INDEX(ERP資料!$A:$A, (MATCH(884, 輔助計算!$G$2:$G$801, 0)+1)), "")&lt;&gt;IFERROR(INDEX(ERP資料!$A:$A, MATCH(883, 輔助計算!$G$2:$G$801, 0)+1), "")), INDEX(ERP資料!$S:$S, (MATCH(884, 輔助計算!$G$2:$G$801, 0)+1)), ""), "")</f>
        <v/>
      </c>
      <c r="C885" s="19">
        <f>IFERROR(IF(AND(IFERROR(INDEX(ERP資料!$A:$A, (MATCH(884, 輔助計算!$G$2:$G$801, 0)+1)), "")&lt;&gt;"", IFERROR(INDEX(ERP資料!$A:$A, (MATCH(884, 輔助計算!$G$2:$G$801, 0)+1)), "")&lt;&gt;IFERROR(INDEX(ERP資料!$A:$A, MATCH(883, 輔助計算!$G$2:$G$801, 0)+1), "")), IFERROR(VLOOKUP(LEFT(INDEX(ERP資料!$S:$S, (MATCH(884, 輔助計算!$G$2:$G$801, 0)+1)), 4), 紙管對照表!$A:$C, 3, FALSE), ""), ""), "")</f>
        <v/>
      </c>
      <c r="D885" s="16" t="n"/>
      <c r="E885" s="10">
        <f>IFERROR(IF(INDEX(ERP資料!$H:$H, (MATCH(884, 輔助計算!$G$2:$G$801, 0)+1))="","",INDEX(ERP資料!$H:$H, (MATCH(884, 輔助計算!$G$2:$G$801, 0)+1))), "")</f>
        <v/>
      </c>
      <c r="F885" s="10">
        <f>IFERROR(IF(INDEX(ERP資料!$E:$E, (MATCH(884, 輔助計算!$G$2:$G$801, 0)+1))="","",TRIM(INDEX(ERP資料!$E:$E, (MATCH(884, 輔助計算!$G$2:$G$801, 0)+1)))), "")</f>
        <v/>
      </c>
      <c r="G885" s="10">
        <f>IFERROR(IF(INDEX(ERP資料!$F:$F, (MATCH(884, 輔助計算!$G$2:$G$801, 0)+1))="","",INDEX(ERP資料!$F:$F, (MATCH(884, 輔助計算!$G$2:$G$801, 0)+1))), "")</f>
        <v/>
      </c>
      <c r="H885" s="10">
        <f>IFERROR(IF(INDEX(ERP資料!$G:$G, (MATCH(884, 輔助計算!$G$2:$G$801, 0)+1))="","",INDEX(ERP資料!$G:$G, (MATCH(884, 輔助計算!$G$2:$G$801, 0)+1))), "")</f>
        <v/>
      </c>
      <c r="I885" s="15">
        <f>IFERROR(INDEX(輔助計算!$D:$D, (MATCH(884, 輔助計算!$G$2:$G$801, 0)+1)), "")</f>
        <v/>
      </c>
      <c r="J885" s="15">
        <f>IFERROR(IF(AND(INDEX(輔助計算!$D:$D, (MATCH(884, 輔助計算!$G$2:$G$801, 0)+1))&lt;&gt;"", INDEX(ERP資料!$G:$G, (MATCH(884, 輔助計算!$G$2:$G$801, 0)+1))&lt;&gt;""), TRIM(IF(INT(INDEX(輔助計算!$D:$D, (MATCH(884, 輔助計算!$G$2:$G$801, 0)+1))/IF(INDEX(ERP資料!$G:$G, (MATCH(884, 輔助計算!$G$2:$G$801, 0)+1))&lt;100, IF(INDEX(ERP資料!$G:$G, (MATCH(884, 輔助計算!$G$2:$G$801, 0)+1))&lt;=31,3,IF(INDEX(ERP資料!$G:$G, (MATCH(884, 輔助計算!$G$2:$G$801, 0)+1))&lt;=46.5,2,1)), IF(INDEX(ERP資料!$G:$G, (MATCH(884, 輔助計算!$G$2:$G$801, 0)+1))&lt;=790,3,IF(INDEX(ERP資料!$G:$G, (MATCH(884, 輔助計算!$G$2:$G$801, 0)+1))&lt;=1181,2,1))))&gt;0, IF(IF(INDEX(ERP資料!$G:$G, (MATCH(884, 輔助計算!$G$2:$G$801, 0)+1))&lt;100, IF(INDEX(ERP資料!$G:$G, (MATCH(884, 輔助計算!$G$2:$G$801, 0)+1))&lt;=31,3,IF(INDEX(ERP資料!$G:$G, (MATCH(884, 輔助計算!$G$2:$G$801, 0)+1))&lt;=46.5,2,1)), IF(INDEX(ERP資料!$G:$G, (MATCH(884, 輔助計算!$G$2:$G$801, 0)+1))&lt;=790,3,IF(INDEX(ERP資料!$G:$G, (MATCH(884, 輔助計算!$G$2:$G$801, 0)+1))&lt;=1181,2,1)))=1,TEXT(INDEX(ERP資料!$G:$G, (MATCH(884, 輔助計算!$G$2:$G$801, 0)+1)),"0.##"),IF(IF(INDEX(ERP資料!$G:$G, (MATCH(884, 輔助計算!$G$2:$G$801, 0)+1))&lt;100, IF(INDEX(ERP資料!$G:$G, (MATCH(884, 輔助計算!$G$2:$G$801, 0)+1))&lt;=31,3,IF(INDEX(ERP資料!$G:$G, (MATCH(884, 輔助計算!$G$2:$G$801, 0)+1))&lt;=46.5,2,1)), IF(INDEX(ERP資料!$G:$G, (MATCH(884, 輔助計算!$G$2:$G$801, 0)+1))&lt;=790,3,IF(INDEX(ERP資料!$G:$G, (MATCH(884, 輔助計算!$G$2:$G$801, 0)+1))&lt;=1181,2,1)))=2,TEXT(INDEX(ERP資料!$G:$G, (MATCH(884, 輔助計算!$G$2:$G$801, 0)+1)),"0.##")&amp;"+"&amp;TEXT(INDEX(ERP資料!$G:$G, (MATCH(884, 輔助計算!$G$2:$G$801, 0)+1)),"0.##"),TEXT(INDEX(ERP資料!$G:$G, (MATCH(884, 輔助計算!$G$2:$G$801, 0)+1)),"0.##")&amp;"+"&amp;TEXT(INDEX(ERP資料!$G:$G, (MATCH(884, 輔助計算!$G$2:$G$801, 0)+1)),"0.##")&amp;"+"&amp;TEXT(INDEX(ERP資料!$G:$G, (MATCH(884, 輔助計算!$G$2:$G$801, 0)+1)),"0.##")))&amp;"-"&amp;INT(INDEX(輔助計算!$D:$D, (MATCH(884, 輔助計算!$G$2:$G$801, 0)+1))/IF(INDEX(ERP資料!$G:$G, (MATCH(884, 輔助計算!$G$2:$G$801, 0)+1))&lt;100, IF(INDEX(ERP資料!$G:$G, (MATCH(884, 輔助計算!$G$2:$G$801, 0)+1))&lt;=31,3,IF(INDEX(ERP資料!$G:$G, (MATCH(884, 輔助計算!$G$2:$G$801, 0)+1))&lt;=46.5,2,1)), IF(INDEX(ERP資料!$G:$G, (MATCH(884, 輔助計算!$G$2:$G$801, 0)+1))&lt;=790,3,IF(INDEX(ERP資料!$G:$G, (MATCH(884, 輔助計算!$G$2:$G$801, 0)+1))&lt;=1181,2,1)))), "")&amp;IF(AND(IF(INT(INDEX(輔助計算!$D:$D, (MATCH(884, 輔助計算!$G$2:$G$801, 0)+1))/IF(INDEX(ERP資料!$G:$G, (MATCH(884, 輔助計算!$G$2:$G$801, 0)+1))&lt;100, IF(INDEX(ERP資料!$G:$G, (MATCH(884, 輔助計算!$G$2:$G$801, 0)+1))&lt;=31,3,IF(INDEX(ERP資料!$G:$G, (MATCH(884, 輔助計算!$G$2:$G$801, 0)+1))&lt;=46.5,2,1)), IF(INDEX(ERP資料!$G:$G, (MATCH(884, 輔助計算!$G$2:$G$801, 0)+1))&lt;=790,3,IF(INDEX(ERP資料!$G:$G, (MATCH(884, 輔助計算!$G$2:$G$801, 0)+1))&lt;=1181,2,1))))&gt;0, IF(IF(INDEX(ERP資料!$G:$G, (MATCH(884, 輔助計算!$G$2:$G$801, 0)+1))&lt;100, IF(INDEX(ERP資料!$G:$G, (MATCH(884, 輔助計算!$G$2:$G$801, 0)+1))&lt;=31,3,IF(INDEX(ERP資料!$G:$G, (MATCH(884, 輔助計算!$G$2:$G$801, 0)+1))&lt;=46.5,2,1)), IF(INDEX(ERP資料!$G:$G, (MATCH(884, 輔助計算!$G$2:$G$801, 0)+1))&lt;=790,3,IF(INDEX(ERP資料!$G:$G, (MATCH(884, 輔助計算!$G$2:$G$801, 0)+1))&lt;=1181,2,1)))=1,TEXT(INDEX(ERP資料!$G:$G, (MATCH(884, 輔助計算!$G$2:$G$801, 0)+1)),"0.##"),IF(IF(INDEX(ERP資料!$G:$G, (MATCH(884, 輔助計算!$G$2:$G$801, 0)+1))&lt;100, IF(INDEX(ERP資料!$G:$G, (MATCH(884, 輔助計算!$G$2:$G$801, 0)+1))&lt;=31,3,IF(INDEX(ERP資料!$G:$G, (MATCH(884, 輔助計算!$G$2:$G$801, 0)+1))&lt;=46.5,2,1)), IF(INDEX(ERP資料!$G:$G, (MATCH(884, 輔助計算!$G$2:$G$801, 0)+1))&lt;=790,3,IF(INDEX(ERP資料!$G:$G, (MATCH(884, 輔助計算!$G$2:$G$801, 0)+1))&lt;=1181,2,1)))=2,TEXT(INDEX(ERP資料!$G:$G, (MATCH(884, 輔助計算!$G$2:$G$801, 0)+1)),"0.##")&amp;"+"&amp;TEXT(INDEX(ERP資料!$G:$G, (MATCH(884, 輔助計算!$G$2:$G$801, 0)+1)),"0.##"),TEXT(INDEX(ERP資料!$G:$G, (MATCH(884, 輔助計算!$G$2:$G$801, 0)+1)),"0.##")&amp;"+"&amp;TEXT(INDEX(ERP資料!$G:$G, (MATCH(884, 輔助計算!$G$2:$G$801, 0)+1)),"0.##")&amp;"+"&amp;TEXT(INDEX(ERP資料!$G:$G, (MATCH(884, 輔助計算!$G$2:$G$801, 0)+1)),"0.##")))&amp;"-"&amp;INT(INDEX(輔助計算!$D:$D, (MATCH(884, 輔助計算!$G$2:$G$801, 0)+1))/IF(INDEX(ERP資料!$G:$G, (MATCH(884, 輔助計算!$G$2:$G$801, 0)+1))&lt;100, IF(INDEX(ERP資料!$G:$G, (MATCH(884, 輔助計算!$G$2:$G$801, 0)+1))&lt;=31,3,IF(INDEX(ERP資料!$G:$G, (MATCH(884, 輔助計算!$G$2:$G$801, 0)+1))&lt;=46.5,2,1)), IF(INDEX(ERP資料!$G:$G, (MATCH(884, 輔助計算!$G$2:$G$801, 0)+1))&lt;=790,3,IF(INDEX(ERP資料!$G:$G, (MATCH(884, 輔助計算!$G$2:$G$801, 0)+1))&lt;=1181,2,1)))), "")&lt;&gt;"",IF(MOD(INDEX(輔助計算!$D:$D, (MATCH(884, 輔助計算!$G$2:$G$801, 0)+1)),IF(INDEX(ERP資料!$G:$G, (MATCH(884, 輔助計算!$G$2:$G$801, 0)+1))&lt;100, IF(INDEX(ERP資料!$G:$G, (MATCH(884, 輔助計算!$G$2:$G$801, 0)+1))&lt;=31,3,IF(INDEX(ERP資料!$G:$G, (MATCH(884, 輔助計算!$G$2:$G$801, 0)+1))&lt;=46.5,2,1)), IF(INDEX(ERP資料!$G:$G, (MATCH(884, 輔助計算!$G$2:$G$801, 0)+1))&lt;=790,3,IF(INDEX(ERP資料!$G:$G, (MATCH(884, 輔助計算!$G$2:$G$801, 0)+1))&lt;=1181,2,1))))=0,"",IF(MOD(INDEX(輔助計算!$D:$D, (MATCH(884, 輔助計算!$G$2:$G$801, 0)+1)),IF(INDEX(ERP資料!$G:$G, (MATCH(884, 輔助計算!$G$2:$G$801, 0)+1))&lt;100, IF(INDEX(ERP資料!$G:$G, (MATCH(884, 輔助計算!$G$2:$G$801, 0)+1))&lt;=31,3,IF(INDEX(ERP資料!$G:$G, (MATCH(884, 輔助計算!$G$2:$G$801, 0)+1))&lt;=46.5,2,1)), IF(INDEX(ERP資料!$G:$G, (MATCH(884, 輔助計算!$G$2:$G$801, 0)+1))&lt;=790,3,IF(INDEX(ERP資料!$G:$G, (MATCH(884, 輔助計算!$G$2:$G$801, 0)+1))&lt;=1181,2,1))))=0,"",IF(MOD(INDEX(輔助計算!$D:$D, (MATCH(884, 輔助計算!$G$2:$G$801, 0)+1)),IF(INDEX(ERP資料!$G:$G, (MATCH(884, 輔助計算!$G$2:$G$801, 0)+1))&lt;100, IF(INDEX(ERP資料!$G:$G, (MATCH(884, 輔助計算!$G$2:$G$801, 0)+1))&lt;=31,3,IF(INDEX(ERP資料!$G:$G, (MATCH(884, 輔助計算!$G$2:$G$801, 0)+1))&lt;=46.5,2,1)), IF(INDEX(ERP資料!$G:$G, (MATCH(884, 輔助計算!$G$2:$G$801, 0)+1))&lt;=790,3,IF(INDEX(ERP資料!$G:$G, (MATCH(884, 輔助計算!$G$2:$G$801, 0)+1))&lt;=1181,2,1))))=1,TEXT(INDEX(ERP資料!$G:$G, (MATCH(884, 輔助計算!$G$2:$G$801, 0)+1)),"0.##"),IF(MOD(INDEX(輔助計算!$D:$D, (MATCH(884, 輔助計算!$G$2:$G$801, 0)+1)),IF(INDEX(ERP資料!$G:$G, (MATCH(884, 輔助計算!$G$2:$G$801, 0)+1))&lt;100, IF(INDEX(ERP資料!$G:$G, (MATCH(884, 輔助計算!$G$2:$G$801, 0)+1))&lt;=31,3,IF(INDEX(ERP資料!$G:$G, (MATCH(884, 輔助計算!$G$2:$G$801, 0)+1))&lt;=46.5,2,1)), IF(INDEX(ERP資料!$G:$G, (MATCH(884, 輔助計算!$G$2:$G$801, 0)+1))&lt;=790,3,IF(INDEX(ERP資料!$G:$G, (MATCH(884, 輔助計算!$G$2:$G$801, 0)+1))&lt;=1181,2,1))))=2,TEXT(INDEX(ERP資料!$G:$G, (MATCH(884, 輔助計算!$G$2:$G$801, 0)+1)),"0.##")&amp;"+"&amp;TEXT(INDEX(ERP資料!$G:$G, (MATCH(884, 輔助計算!$G$2:$G$801, 0)+1)),"0.##"),TEXT(INDEX(ERP資料!$G:$G, (MATCH(884, 輔助計算!$G$2:$G$801, 0)+1)),"0.##")&amp;"+"&amp;TEXT(INDEX(ERP資料!$G:$G, (MATCH(884, 輔助計算!$G$2:$G$801, 0)+1)),"0.##")&amp;"+"&amp;TEXT(INDEX(ERP資料!$G:$G, (MATCH(884, 輔助計算!$G$2:$G$801, 0)+1)),"0.##"))))&amp;"-1")&lt;&gt;""),"  ","")&amp;IF(MOD(INDEX(輔助計算!$D:$D, (MATCH(884, 輔助計算!$G$2:$G$801, 0)+1)),IF(INDEX(ERP資料!$G:$G, (MATCH(884, 輔助計算!$G$2:$G$801, 0)+1))&lt;100, IF(INDEX(ERP資料!$G:$G, (MATCH(884, 輔助計算!$G$2:$G$801, 0)+1))&lt;=31,3,IF(INDEX(ERP資料!$G:$G, (MATCH(884, 輔助計算!$G$2:$G$801, 0)+1))&lt;=46.5,2,1)), IF(INDEX(ERP資料!$G:$G, (MATCH(884, 輔助計算!$G$2:$G$801, 0)+1))&lt;=790,3,IF(INDEX(ERP資料!$G:$G, (MATCH(884, 輔助計算!$G$2:$G$801, 0)+1))&lt;=1181,2,1))))=0,"",IF(MOD(INDEX(輔助計算!$D:$D, (MATCH(884, 輔助計算!$G$2:$G$801, 0)+1)),IF(INDEX(ERP資料!$G:$G, (MATCH(884, 輔助計算!$G$2:$G$801, 0)+1))&lt;100, IF(INDEX(ERP資料!$G:$G, (MATCH(884, 輔助計算!$G$2:$G$801, 0)+1))&lt;=31,3,IF(INDEX(ERP資料!$G:$G, (MATCH(884, 輔助計算!$G$2:$G$801, 0)+1))&lt;=46.5,2,1)), IF(INDEX(ERP資料!$G:$G, (MATCH(884, 輔助計算!$G$2:$G$801, 0)+1))&lt;=790,3,IF(INDEX(ERP資料!$G:$G, (MATCH(884, 輔助計算!$G$2:$G$801, 0)+1))&lt;=1181,2,1))))=0,"",IF(MOD(INDEX(輔助計算!$D:$D, (MATCH(884, 輔助計算!$G$2:$G$801, 0)+1)),IF(INDEX(ERP資料!$G:$G, (MATCH(884, 輔助計算!$G$2:$G$801, 0)+1))&lt;100, IF(INDEX(ERP資料!$G:$G, (MATCH(884, 輔助計算!$G$2:$G$801, 0)+1))&lt;=31,3,IF(INDEX(ERP資料!$G:$G, (MATCH(884, 輔助計算!$G$2:$G$801, 0)+1))&lt;=46.5,2,1)), IF(INDEX(ERP資料!$G:$G, (MATCH(884, 輔助計算!$G$2:$G$801, 0)+1))&lt;=790,3,IF(INDEX(ERP資料!$G:$G, (MATCH(884, 輔助計算!$G$2:$G$801, 0)+1))&lt;=1181,2,1))))=1,TEXT(INDEX(ERP資料!$G:$G, (MATCH(884, 輔助計算!$G$2:$G$801, 0)+1)),"0.##"),IF(MOD(INDEX(輔助計算!$D:$D, (MATCH(884, 輔助計算!$G$2:$G$801, 0)+1)),IF(INDEX(ERP資料!$G:$G, (MATCH(884, 輔助計算!$G$2:$G$801, 0)+1))&lt;100, IF(INDEX(ERP資料!$G:$G, (MATCH(884, 輔助計算!$G$2:$G$801, 0)+1))&lt;=31,3,IF(INDEX(ERP資料!$G:$G, (MATCH(884, 輔助計算!$G$2:$G$801, 0)+1))&lt;=46.5,2,1)), IF(INDEX(ERP資料!$G:$G, (MATCH(884, 輔助計算!$G$2:$G$801, 0)+1))&lt;=790,3,IF(INDEX(ERP資料!$G:$G, (MATCH(884, 輔助計算!$G$2:$G$801, 0)+1))&lt;=1181,2,1))))=2,TEXT(INDEX(ERP資料!$G:$G, (MATCH(884, 輔助計算!$G$2:$G$801, 0)+1)),"0.##")&amp;"+"&amp;TEXT(INDEX(ERP資料!$G:$G, (MATCH(884, 輔助計算!$G$2:$G$801, 0)+1)),"0.##"),TEXT(INDEX(ERP資料!$G:$G, (MATCH(884, 輔助計算!$G$2:$G$801, 0)+1)),"0.##")&amp;"+"&amp;TEXT(INDEX(ERP資料!$G:$G, (MATCH(884, 輔助計算!$G$2:$G$801, 0)+1)),"0.##")&amp;"+"&amp;TEXT(INDEX(ERP資料!$G:$G, (MATCH(884, 輔助計算!$G$2:$G$801, 0)+1)),"0.##"))))&amp;"-1")), ""), "")</f>
        <v/>
      </c>
      <c r="K885" s="16" t="n"/>
      <c r="L885" s="14">
        <f>IFERROR(IF(AND(IFERROR(INDEX(ERP資料!$A:$A, (MATCH(884, 輔助計算!$G$2:$G$801, 0)+1)), "")&lt;&gt;"", IFERROR(INDEX(ERP資料!$A:$A, (MATCH(884, 輔助計算!$G$2:$G$801, 0)+1)), "")&lt;&gt;IFERROR(INDEX(ERP資料!$A:$A, MATCH(883, 輔助計算!$G$2:$G$801, 0)+1), "")), INDEX(ERP資料!$B:$B, (MATCH(884, 輔助計算!$G$2:$G$801, 0)+1)), ""), "")</f>
        <v/>
      </c>
      <c r="M885" s="17" t="n"/>
    </row>
    <row r="886">
      <c r="A886" s="10">
        <f>IFERROR(IF(AND(IFERROR(INDEX(ERP資料!$A:$A, (MATCH(885, 輔助計算!$G$2:$G$801, 0)+1)), "")&lt;&gt;"", IFERROR(INDEX(ERP資料!$A:$A, (MATCH(885, 輔助計算!$G$2:$G$801, 0)+1)), "")&lt;&gt;IFERROR(INDEX(ERP資料!$A:$A, MATCH(884, 輔助計算!$G$2:$G$801, 0)+1), "")), IFERROR(INDEX(ERP資料!$A:$A, (MATCH(885, 輔助計算!$G$2:$G$801, 0)+1)), ""), ""), "")</f>
        <v/>
      </c>
      <c r="B886" s="10">
        <f>IFERROR(IF(AND(IFERROR(INDEX(ERP資料!$A:$A, (MATCH(885, 輔助計算!$G$2:$G$801, 0)+1)), "")&lt;&gt;"", IFERROR(INDEX(ERP資料!$A:$A, (MATCH(885, 輔助計算!$G$2:$G$801, 0)+1)), "")&lt;&gt;IFERROR(INDEX(ERP資料!$A:$A, MATCH(884, 輔助計算!$G$2:$G$801, 0)+1), "")), INDEX(ERP資料!$S:$S, (MATCH(885, 輔助計算!$G$2:$G$801, 0)+1)), ""), "")</f>
        <v/>
      </c>
      <c r="C886" s="19">
        <f>IFERROR(IF(AND(IFERROR(INDEX(ERP資料!$A:$A, (MATCH(885, 輔助計算!$G$2:$G$801, 0)+1)), "")&lt;&gt;"", IFERROR(INDEX(ERP資料!$A:$A, (MATCH(885, 輔助計算!$G$2:$G$801, 0)+1)), "")&lt;&gt;IFERROR(INDEX(ERP資料!$A:$A, MATCH(884, 輔助計算!$G$2:$G$801, 0)+1), "")), IFERROR(VLOOKUP(LEFT(INDEX(ERP資料!$S:$S, (MATCH(885, 輔助計算!$G$2:$G$801, 0)+1)), 4), 紙管對照表!$A:$C, 3, FALSE), ""), ""), "")</f>
        <v/>
      </c>
      <c r="D886" s="16" t="n"/>
      <c r="E886" s="10">
        <f>IFERROR(IF(INDEX(ERP資料!$H:$H, (MATCH(885, 輔助計算!$G$2:$G$801, 0)+1))="","",INDEX(ERP資料!$H:$H, (MATCH(885, 輔助計算!$G$2:$G$801, 0)+1))), "")</f>
        <v/>
      </c>
      <c r="F886" s="10">
        <f>IFERROR(IF(INDEX(ERP資料!$E:$E, (MATCH(885, 輔助計算!$G$2:$G$801, 0)+1))="","",TRIM(INDEX(ERP資料!$E:$E, (MATCH(885, 輔助計算!$G$2:$G$801, 0)+1)))), "")</f>
        <v/>
      </c>
      <c r="G886" s="10">
        <f>IFERROR(IF(INDEX(ERP資料!$F:$F, (MATCH(885, 輔助計算!$G$2:$G$801, 0)+1))="","",INDEX(ERP資料!$F:$F, (MATCH(885, 輔助計算!$G$2:$G$801, 0)+1))), "")</f>
        <v/>
      </c>
      <c r="H886" s="10">
        <f>IFERROR(IF(INDEX(ERP資料!$G:$G, (MATCH(885, 輔助計算!$G$2:$G$801, 0)+1))="","",INDEX(ERP資料!$G:$G, (MATCH(885, 輔助計算!$G$2:$G$801, 0)+1))), "")</f>
        <v/>
      </c>
      <c r="I886" s="15">
        <f>IFERROR(INDEX(輔助計算!$D:$D, (MATCH(885, 輔助計算!$G$2:$G$801, 0)+1)), "")</f>
        <v/>
      </c>
      <c r="J886" s="15">
        <f>IFERROR(IF(AND(INDEX(輔助計算!$D:$D, (MATCH(885, 輔助計算!$G$2:$G$801, 0)+1))&lt;&gt;"", INDEX(ERP資料!$G:$G, (MATCH(885, 輔助計算!$G$2:$G$801, 0)+1))&lt;&gt;""), TRIM(IF(INT(INDEX(輔助計算!$D:$D, (MATCH(885, 輔助計算!$G$2:$G$801, 0)+1))/IF(INDEX(ERP資料!$G:$G, (MATCH(885, 輔助計算!$G$2:$G$801, 0)+1))&lt;100, IF(INDEX(ERP資料!$G:$G, (MATCH(885, 輔助計算!$G$2:$G$801, 0)+1))&lt;=31,3,IF(INDEX(ERP資料!$G:$G, (MATCH(885, 輔助計算!$G$2:$G$801, 0)+1))&lt;=46.5,2,1)), IF(INDEX(ERP資料!$G:$G, (MATCH(885, 輔助計算!$G$2:$G$801, 0)+1))&lt;=790,3,IF(INDEX(ERP資料!$G:$G, (MATCH(885, 輔助計算!$G$2:$G$801, 0)+1))&lt;=1181,2,1))))&gt;0, IF(IF(INDEX(ERP資料!$G:$G, (MATCH(885, 輔助計算!$G$2:$G$801, 0)+1))&lt;100, IF(INDEX(ERP資料!$G:$G, (MATCH(885, 輔助計算!$G$2:$G$801, 0)+1))&lt;=31,3,IF(INDEX(ERP資料!$G:$G, (MATCH(885, 輔助計算!$G$2:$G$801, 0)+1))&lt;=46.5,2,1)), IF(INDEX(ERP資料!$G:$G, (MATCH(885, 輔助計算!$G$2:$G$801, 0)+1))&lt;=790,3,IF(INDEX(ERP資料!$G:$G, (MATCH(885, 輔助計算!$G$2:$G$801, 0)+1))&lt;=1181,2,1)))=1,TEXT(INDEX(ERP資料!$G:$G, (MATCH(885, 輔助計算!$G$2:$G$801, 0)+1)),"0.##"),IF(IF(INDEX(ERP資料!$G:$G, (MATCH(885, 輔助計算!$G$2:$G$801, 0)+1))&lt;100, IF(INDEX(ERP資料!$G:$G, (MATCH(885, 輔助計算!$G$2:$G$801, 0)+1))&lt;=31,3,IF(INDEX(ERP資料!$G:$G, (MATCH(885, 輔助計算!$G$2:$G$801, 0)+1))&lt;=46.5,2,1)), IF(INDEX(ERP資料!$G:$G, (MATCH(885, 輔助計算!$G$2:$G$801, 0)+1))&lt;=790,3,IF(INDEX(ERP資料!$G:$G, (MATCH(885, 輔助計算!$G$2:$G$801, 0)+1))&lt;=1181,2,1)))=2,TEXT(INDEX(ERP資料!$G:$G, (MATCH(885, 輔助計算!$G$2:$G$801, 0)+1)),"0.##")&amp;"+"&amp;TEXT(INDEX(ERP資料!$G:$G, (MATCH(885, 輔助計算!$G$2:$G$801, 0)+1)),"0.##"),TEXT(INDEX(ERP資料!$G:$G, (MATCH(885, 輔助計算!$G$2:$G$801, 0)+1)),"0.##")&amp;"+"&amp;TEXT(INDEX(ERP資料!$G:$G, (MATCH(885, 輔助計算!$G$2:$G$801, 0)+1)),"0.##")&amp;"+"&amp;TEXT(INDEX(ERP資料!$G:$G, (MATCH(885, 輔助計算!$G$2:$G$801, 0)+1)),"0.##")))&amp;"-"&amp;INT(INDEX(輔助計算!$D:$D, (MATCH(885, 輔助計算!$G$2:$G$801, 0)+1))/IF(INDEX(ERP資料!$G:$G, (MATCH(885, 輔助計算!$G$2:$G$801, 0)+1))&lt;100, IF(INDEX(ERP資料!$G:$G, (MATCH(885, 輔助計算!$G$2:$G$801, 0)+1))&lt;=31,3,IF(INDEX(ERP資料!$G:$G, (MATCH(885, 輔助計算!$G$2:$G$801, 0)+1))&lt;=46.5,2,1)), IF(INDEX(ERP資料!$G:$G, (MATCH(885, 輔助計算!$G$2:$G$801, 0)+1))&lt;=790,3,IF(INDEX(ERP資料!$G:$G, (MATCH(885, 輔助計算!$G$2:$G$801, 0)+1))&lt;=1181,2,1)))), "")&amp;IF(AND(IF(INT(INDEX(輔助計算!$D:$D, (MATCH(885, 輔助計算!$G$2:$G$801, 0)+1))/IF(INDEX(ERP資料!$G:$G, (MATCH(885, 輔助計算!$G$2:$G$801, 0)+1))&lt;100, IF(INDEX(ERP資料!$G:$G, (MATCH(885, 輔助計算!$G$2:$G$801, 0)+1))&lt;=31,3,IF(INDEX(ERP資料!$G:$G, (MATCH(885, 輔助計算!$G$2:$G$801, 0)+1))&lt;=46.5,2,1)), IF(INDEX(ERP資料!$G:$G, (MATCH(885, 輔助計算!$G$2:$G$801, 0)+1))&lt;=790,3,IF(INDEX(ERP資料!$G:$G, (MATCH(885, 輔助計算!$G$2:$G$801, 0)+1))&lt;=1181,2,1))))&gt;0, IF(IF(INDEX(ERP資料!$G:$G, (MATCH(885, 輔助計算!$G$2:$G$801, 0)+1))&lt;100, IF(INDEX(ERP資料!$G:$G, (MATCH(885, 輔助計算!$G$2:$G$801, 0)+1))&lt;=31,3,IF(INDEX(ERP資料!$G:$G, (MATCH(885, 輔助計算!$G$2:$G$801, 0)+1))&lt;=46.5,2,1)), IF(INDEX(ERP資料!$G:$G, (MATCH(885, 輔助計算!$G$2:$G$801, 0)+1))&lt;=790,3,IF(INDEX(ERP資料!$G:$G, (MATCH(885, 輔助計算!$G$2:$G$801, 0)+1))&lt;=1181,2,1)))=1,TEXT(INDEX(ERP資料!$G:$G, (MATCH(885, 輔助計算!$G$2:$G$801, 0)+1)),"0.##"),IF(IF(INDEX(ERP資料!$G:$G, (MATCH(885, 輔助計算!$G$2:$G$801, 0)+1))&lt;100, IF(INDEX(ERP資料!$G:$G, (MATCH(885, 輔助計算!$G$2:$G$801, 0)+1))&lt;=31,3,IF(INDEX(ERP資料!$G:$G, (MATCH(885, 輔助計算!$G$2:$G$801, 0)+1))&lt;=46.5,2,1)), IF(INDEX(ERP資料!$G:$G, (MATCH(885, 輔助計算!$G$2:$G$801, 0)+1))&lt;=790,3,IF(INDEX(ERP資料!$G:$G, (MATCH(885, 輔助計算!$G$2:$G$801, 0)+1))&lt;=1181,2,1)))=2,TEXT(INDEX(ERP資料!$G:$G, (MATCH(885, 輔助計算!$G$2:$G$801, 0)+1)),"0.##")&amp;"+"&amp;TEXT(INDEX(ERP資料!$G:$G, (MATCH(885, 輔助計算!$G$2:$G$801, 0)+1)),"0.##"),TEXT(INDEX(ERP資料!$G:$G, (MATCH(885, 輔助計算!$G$2:$G$801, 0)+1)),"0.##")&amp;"+"&amp;TEXT(INDEX(ERP資料!$G:$G, (MATCH(885, 輔助計算!$G$2:$G$801, 0)+1)),"0.##")&amp;"+"&amp;TEXT(INDEX(ERP資料!$G:$G, (MATCH(885, 輔助計算!$G$2:$G$801, 0)+1)),"0.##")))&amp;"-"&amp;INT(INDEX(輔助計算!$D:$D, (MATCH(885, 輔助計算!$G$2:$G$801, 0)+1))/IF(INDEX(ERP資料!$G:$G, (MATCH(885, 輔助計算!$G$2:$G$801, 0)+1))&lt;100, IF(INDEX(ERP資料!$G:$G, (MATCH(885, 輔助計算!$G$2:$G$801, 0)+1))&lt;=31,3,IF(INDEX(ERP資料!$G:$G, (MATCH(885, 輔助計算!$G$2:$G$801, 0)+1))&lt;=46.5,2,1)), IF(INDEX(ERP資料!$G:$G, (MATCH(885, 輔助計算!$G$2:$G$801, 0)+1))&lt;=790,3,IF(INDEX(ERP資料!$G:$G, (MATCH(885, 輔助計算!$G$2:$G$801, 0)+1))&lt;=1181,2,1)))), "")&lt;&gt;"",IF(MOD(INDEX(輔助計算!$D:$D, (MATCH(885, 輔助計算!$G$2:$G$801, 0)+1)),IF(INDEX(ERP資料!$G:$G, (MATCH(885, 輔助計算!$G$2:$G$801, 0)+1))&lt;100, IF(INDEX(ERP資料!$G:$G, (MATCH(885, 輔助計算!$G$2:$G$801, 0)+1))&lt;=31,3,IF(INDEX(ERP資料!$G:$G, (MATCH(885, 輔助計算!$G$2:$G$801, 0)+1))&lt;=46.5,2,1)), IF(INDEX(ERP資料!$G:$G, (MATCH(885, 輔助計算!$G$2:$G$801, 0)+1))&lt;=790,3,IF(INDEX(ERP資料!$G:$G, (MATCH(885, 輔助計算!$G$2:$G$801, 0)+1))&lt;=1181,2,1))))=0,"",IF(MOD(INDEX(輔助計算!$D:$D, (MATCH(885, 輔助計算!$G$2:$G$801, 0)+1)),IF(INDEX(ERP資料!$G:$G, (MATCH(885, 輔助計算!$G$2:$G$801, 0)+1))&lt;100, IF(INDEX(ERP資料!$G:$G, (MATCH(885, 輔助計算!$G$2:$G$801, 0)+1))&lt;=31,3,IF(INDEX(ERP資料!$G:$G, (MATCH(885, 輔助計算!$G$2:$G$801, 0)+1))&lt;=46.5,2,1)), IF(INDEX(ERP資料!$G:$G, (MATCH(885, 輔助計算!$G$2:$G$801, 0)+1))&lt;=790,3,IF(INDEX(ERP資料!$G:$G, (MATCH(885, 輔助計算!$G$2:$G$801, 0)+1))&lt;=1181,2,1))))=0,"",IF(MOD(INDEX(輔助計算!$D:$D, (MATCH(885, 輔助計算!$G$2:$G$801, 0)+1)),IF(INDEX(ERP資料!$G:$G, (MATCH(885, 輔助計算!$G$2:$G$801, 0)+1))&lt;100, IF(INDEX(ERP資料!$G:$G, (MATCH(885, 輔助計算!$G$2:$G$801, 0)+1))&lt;=31,3,IF(INDEX(ERP資料!$G:$G, (MATCH(885, 輔助計算!$G$2:$G$801, 0)+1))&lt;=46.5,2,1)), IF(INDEX(ERP資料!$G:$G, (MATCH(885, 輔助計算!$G$2:$G$801, 0)+1))&lt;=790,3,IF(INDEX(ERP資料!$G:$G, (MATCH(885, 輔助計算!$G$2:$G$801, 0)+1))&lt;=1181,2,1))))=1,TEXT(INDEX(ERP資料!$G:$G, (MATCH(885, 輔助計算!$G$2:$G$801, 0)+1)),"0.##"),IF(MOD(INDEX(輔助計算!$D:$D, (MATCH(885, 輔助計算!$G$2:$G$801, 0)+1)),IF(INDEX(ERP資料!$G:$G, (MATCH(885, 輔助計算!$G$2:$G$801, 0)+1))&lt;100, IF(INDEX(ERP資料!$G:$G, (MATCH(885, 輔助計算!$G$2:$G$801, 0)+1))&lt;=31,3,IF(INDEX(ERP資料!$G:$G, (MATCH(885, 輔助計算!$G$2:$G$801, 0)+1))&lt;=46.5,2,1)), IF(INDEX(ERP資料!$G:$G, (MATCH(885, 輔助計算!$G$2:$G$801, 0)+1))&lt;=790,3,IF(INDEX(ERP資料!$G:$G, (MATCH(885, 輔助計算!$G$2:$G$801, 0)+1))&lt;=1181,2,1))))=2,TEXT(INDEX(ERP資料!$G:$G, (MATCH(885, 輔助計算!$G$2:$G$801, 0)+1)),"0.##")&amp;"+"&amp;TEXT(INDEX(ERP資料!$G:$G, (MATCH(885, 輔助計算!$G$2:$G$801, 0)+1)),"0.##"),TEXT(INDEX(ERP資料!$G:$G, (MATCH(885, 輔助計算!$G$2:$G$801, 0)+1)),"0.##")&amp;"+"&amp;TEXT(INDEX(ERP資料!$G:$G, (MATCH(885, 輔助計算!$G$2:$G$801, 0)+1)),"0.##")&amp;"+"&amp;TEXT(INDEX(ERP資料!$G:$G, (MATCH(885, 輔助計算!$G$2:$G$801, 0)+1)),"0.##"))))&amp;"-1")&lt;&gt;""),"  ","")&amp;IF(MOD(INDEX(輔助計算!$D:$D, (MATCH(885, 輔助計算!$G$2:$G$801, 0)+1)),IF(INDEX(ERP資料!$G:$G, (MATCH(885, 輔助計算!$G$2:$G$801, 0)+1))&lt;100, IF(INDEX(ERP資料!$G:$G, (MATCH(885, 輔助計算!$G$2:$G$801, 0)+1))&lt;=31,3,IF(INDEX(ERP資料!$G:$G, (MATCH(885, 輔助計算!$G$2:$G$801, 0)+1))&lt;=46.5,2,1)), IF(INDEX(ERP資料!$G:$G, (MATCH(885, 輔助計算!$G$2:$G$801, 0)+1))&lt;=790,3,IF(INDEX(ERP資料!$G:$G, (MATCH(885, 輔助計算!$G$2:$G$801, 0)+1))&lt;=1181,2,1))))=0,"",IF(MOD(INDEX(輔助計算!$D:$D, (MATCH(885, 輔助計算!$G$2:$G$801, 0)+1)),IF(INDEX(ERP資料!$G:$G, (MATCH(885, 輔助計算!$G$2:$G$801, 0)+1))&lt;100, IF(INDEX(ERP資料!$G:$G, (MATCH(885, 輔助計算!$G$2:$G$801, 0)+1))&lt;=31,3,IF(INDEX(ERP資料!$G:$G, (MATCH(885, 輔助計算!$G$2:$G$801, 0)+1))&lt;=46.5,2,1)), IF(INDEX(ERP資料!$G:$G, (MATCH(885, 輔助計算!$G$2:$G$801, 0)+1))&lt;=790,3,IF(INDEX(ERP資料!$G:$G, (MATCH(885, 輔助計算!$G$2:$G$801, 0)+1))&lt;=1181,2,1))))=0,"",IF(MOD(INDEX(輔助計算!$D:$D, (MATCH(885, 輔助計算!$G$2:$G$801, 0)+1)),IF(INDEX(ERP資料!$G:$G, (MATCH(885, 輔助計算!$G$2:$G$801, 0)+1))&lt;100, IF(INDEX(ERP資料!$G:$G, (MATCH(885, 輔助計算!$G$2:$G$801, 0)+1))&lt;=31,3,IF(INDEX(ERP資料!$G:$G, (MATCH(885, 輔助計算!$G$2:$G$801, 0)+1))&lt;=46.5,2,1)), IF(INDEX(ERP資料!$G:$G, (MATCH(885, 輔助計算!$G$2:$G$801, 0)+1))&lt;=790,3,IF(INDEX(ERP資料!$G:$G, (MATCH(885, 輔助計算!$G$2:$G$801, 0)+1))&lt;=1181,2,1))))=1,TEXT(INDEX(ERP資料!$G:$G, (MATCH(885, 輔助計算!$G$2:$G$801, 0)+1)),"0.##"),IF(MOD(INDEX(輔助計算!$D:$D, (MATCH(885, 輔助計算!$G$2:$G$801, 0)+1)),IF(INDEX(ERP資料!$G:$G, (MATCH(885, 輔助計算!$G$2:$G$801, 0)+1))&lt;100, IF(INDEX(ERP資料!$G:$G, (MATCH(885, 輔助計算!$G$2:$G$801, 0)+1))&lt;=31,3,IF(INDEX(ERP資料!$G:$G, (MATCH(885, 輔助計算!$G$2:$G$801, 0)+1))&lt;=46.5,2,1)), IF(INDEX(ERP資料!$G:$G, (MATCH(885, 輔助計算!$G$2:$G$801, 0)+1))&lt;=790,3,IF(INDEX(ERP資料!$G:$G, (MATCH(885, 輔助計算!$G$2:$G$801, 0)+1))&lt;=1181,2,1))))=2,TEXT(INDEX(ERP資料!$G:$G, (MATCH(885, 輔助計算!$G$2:$G$801, 0)+1)),"0.##")&amp;"+"&amp;TEXT(INDEX(ERP資料!$G:$G, (MATCH(885, 輔助計算!$G$2:$G$801, 0)+1)),"0.##"),TEXT(INDEX(ERP資料!$G:$G, (MATCH(885, 輔助計算!$G$2:$G$801, 0)+1)),"0.##")&amp;"+"&amp;TEXT(INDEX(ERP資料!$G:$G, (MATCH(885, 輔助計算!$G$2:$G$801, 0)+1)),"0.##")&amp;"+"&amp;TEXT(INDEX(ERP資料!$G:$G, (MATCH(885, 輔助計算!$G$2:$G$801, 0)+1)),"0.##"))))&amp;"-1")), ""), "")</f>
        <v/>
      </c>
      <c r="K886" s="16" t="n"/>
      <c r="L886" s="14">
        <f>IFERROR(IF(AND(IFERROR(INDEX(ERP資料!$A:$A, (MATCH(885, 輔助計算!$G$2:$G$801, 0)+1)), "")&lt;&gt;"", IFERROR(INDEX(ERP資料!$A:$A, (MATCH(885, 輔助計算!$G$2:$G$801, 0)+1)), "")&lt;&gt;IFERROR(INDEX(ERP資料!$A:$A, MATCH(884, 輔助計算!$G$2:$G$801, 0)+1), "")), INDEX(ERP資料!$B:$B, (MATCH(885, 輔助計算!$G$2:$G$801, 0)+1)), ""), "")</f>
        <v/>
      </c>
      <c r="M886" s="17" t="n"/>
    </row>
    <row r="887">
      <c r="A887" s="10">
        <f>IFERROR(IF(AND(IFERROR(INDEX(ERP資料!$A:$A, (MATCH(886, 輔助計算!$G$2:$G$801, 0)+1)), "")&lt;&gt;"", IFERROR(INDEX(ERP資料!$A:$A, (MATCH(886, 輔助計算!$G$2:$G$801, 0)+1)), "")&lt;&gt;IFERROR(INDEX(ERP資料!$A:$A, MATCH(885, 輔助計算!$G$2:$G$801, 0)+1), "")), IFERROR(INDEX(ERP資料!$A:$A, (MATCH(886, 輔助計算!$G$2:$G$801, 0)+1)), ""), ""), "")</f>
        <v/>
      </c>
      <c r="B887" s="10">
        <f>IFERROR(IF(AND(IFERROR(INDEX(ERP資料!$A:$A, (MATCH(886, 輔助計算!$G$2:$G$801, 0)+1)), "")&lt;&gt;"", IFERROR(INDEX(ERP資料!$A:$A, (MATCH(886, 輔助計算!$G$2:$G$801, 0)+1)), "")&lt;&gt;IFERROR(INDEX(ERP資料!$A:$A, MATCH(885, 輔助計算!$G$2:$G$801, 0)+1), "")), INDEX(ERP資料!$S:$S, (MATCH(886, 輔助計算!$G$2:$G$801, 0)+1)), ""), "")</f>
        <v/>
      </c>
      <c r="C887" s="19">
        <f>IFERROR(IF(AND(IFERROR(INDEX(ERP資料!$A:$A, (MATCH(886, 輔助計算!$G$2:$G$801, 0)+1)), "")&lt;&gt;"", IFERROR(INDEX(ERP資料!$A:$A, (MATCH(886, 輔助計算!$G$2:$G$801, 0)+1)), "")&lt;&gt;IFERROR(INDEX(ERP資料!$A:$A, MATCH(885, 輔助計算!$G$2:$G$801, 0)+1), "")), IFERROR(VLOOKUP(LEFT(INDEX(ERP資料!$S:$S, (MATCH(886, 輔助計算!$G$2:$G$801, 0)+1)), 4), 紙管對照表!$A:$C, 3, FALSE), ""), ""), "")</f>
        <v/>
      </c>
      <c r="D887" s="16" t="n"/>
      <c r="E887" s="10">
        <f>IFERROR(IF(INDEX(ERP資料!$H:$H, (MATCH(886, 輔助計算!$G$2:$G$801, 0)+1))="","",INDEX(ERP資料!$H:$H, (MATCH(886, 輔助計算!$G$2:$G$801, 0)+1))), "")</f>
        <v/>
      </c>
      <c r="F887" s="10">
        <f>IFERROR(IF(INDEX(ERP資料!$E:$E, (MATCH(886, 輔助計算!$G$2:$G$801, 0)+1))="","",TRIM(INDEX(ERP資料!$E:$E, (MATCH(886, 輔助計算!$G$2:$G$801, 0)+1)))), "")</f>
        <v/>
      </c>
      <c r="G887" s="10">
        <f>IFERROR(IF(INDEX(ERP資料!$F:$F, (MATCH(886, 輔助計算!$G$2:$G$801, 0)+1))="","",INDEX(ERP資料!$F:$F, (MATCH(886, 輔助計算!$G$2:$G$801, 0)+1))), "")</f>
        <v/>
      </c>
      <c r="H887" s="10">
        <f>IFERROR(IF(INDEX(ERP資料!$G:$G, (MATCH(886, 輔助計算!$G$2:$G$801, 0)+1))="","",INDEX(ERP資料!$G:$G, (MATCH(886, 輔助計算!$G$2:$G$801, 0)+1))), "")</f>
        <v/>
      </c>
      <c r="I887" s="15">
        <f>IFERROR(INDEX(輔助計算!$D:$D, (MATCH(886, 輔助計算!$G$2:$G$801, 0)+1)), "")</f>
        <v/>
      </c>
      <c r="J887" s="15">
        <f>IFERROR(IF(AND(INDEX(輔助計算!$D:$D, (MATCH(886, 輔助計算!$G$2:$G$801, 0)+1))&lt;&gt;"", INDEX(ERP資料!$G:$G, (MATCH(886, 輔助計算!$G$2:$G$801, 0)+1))&lt;&gt;""), TRIM(IF(INT(INDEX(輔助計算!$D:$D, (MATCH(886, 輔助計算!$G$2:$G$801, 0)+1))/IF(INDEX(ERP資料!$G:$G, (MATCH(886, 輔助計算!$G$2:$G$801, 0)+1))&lt;100, IF(INDEX(ERP資料!$G:$G, (MATCH(886, 輔助計算!$G$2:$G$801, 0)+1))&lt;=31,3,IF(INDEX(ERP資料!$G:$G, (MATCH(886, 輔助計算!$G$2:$G$801, 0)+1))&lt;=46.5,2,1)), IF(INDEX(ERP資料!$G:$G, (MATCH(886, 輔助計算!$G$2:$G$801, 0)+1))&lt;=790,3,IF(INDEX(ERP資料!$G:$G, (MATCH(886, 輔助計算!$G$2:$G$801, 0)+1))&lt;=1181,2,1))))&gt;0, IF(IF(INDEX(ERP資料!$G:$G, (MATCH(886, 輔助計算!$G$2:$G$801, 0)+1))&lt;100, IF(INDEX(ERP資料!$G:$G, (MATCH(886, 輔助計算!$G$2:$G$801, 0)+1))&lt;=31,3,IF(INDEX(ERP資料!$G:$G, (MATCH(886, 輔助計算!$G$2:$G$801, 0)+1))&lt;=46.5,2,1)), IF(INDEX(ERP資料!$G:$G, (MATCH(886, 輔助計算!$G$2:$G$801, 0)+1))&lt;=790,3,IF(INDEX(ERP資料!$G:$G, (MATCH(886, 輔助計算!$G$2:$G$801, 0)+1))&lt;=1181,2,1)))=1,TEXT(INDEX(ERP資料!$G:$G, (MATCH(886, 輔助計算!$G$2:$G$801, 0)+1)),"0.##"),IF(IF(INDEX(ERP資料!$G:$G, (MATCH(886, 輔助計算!$G$2:$G$801, 0)+1))&lt;100, IF(INDEX(ERP資料!$G:$G, (MATCH(886, 輔助計算!$G$2:$G$801, 0)+1))&lt;=31,3,IF(INDEX(ERP資料!$G:$G, (MATCH(886, 輔助計算!$G$2:$G$801, 0)+1))&lt;=46.5,2,1)), IF(INDEX(ERP資料!$G:$G, (MATCH(886, 輔助計算!$G$2:$G$801, 0)+1))&lt;=790,3,IF(INDEX(ERP資料!$G:$G, (MATCH(886, 輔助計算!$G$2:$G$801, 0)+1))&lt;=1181,2,1)))=2,TEXT(INDEX(ERP資料!$G:$G, (MATCH(886, 輔助計算!$G$2:$G$801, 0)+1)),"0.##")&amp;"+"&amp;TEXT(INDEX(ERP資料!$G:$G, (MATCH(886, 輔助計算!$G$2:$G$801, 0)+1)),"0.##"),TEXT(INDEX(ERP資料!$G:$G, (MATCH(886, 輔助計算!$G$2:$G$801, 0)+1)),"0.##")&amp;"+"&amp;TEXT(INDEX(ERP資料!$G:$G, (MATCH(886, 輔助計算!$G$2:$G$801, 0)+1)),"0.##")&amp;"+"&amp;TEXT(INDEX(ERP資料!$G:$G, (MATCH(886, 輔助計算!$G$2:$G$801, 0)+1)),"0.##")))&amp;"-"&amp;INT(INDEX(輔助計算!$D:$D, (MATCH(886, 輔助計算!$G$2:$G$801, 0)+1))/IF(INDEX(ERP資料!$G:$G, (MATCH(886, 輔助計算!$G$2:$G$801, 0)+1))&lt;100, IF(INDEX(ERP資料!$G:$G, (MATCH(886, 輔助計算!$G$2:$G$801, 0)+1))&lt;=31,3,IF(INDEX(ERP資料!$G:$G, (MATCH(886, 輔助計算!$G$2:$G$801, 0)+1))&lt;=46.5,2,1)), IF(INDEX(ERP資料!$G:$G, (MATCH(886, 輔助計算!$G$2:$G$801, 0)+1))&lt;=790,3,IF(INDEX(ERP資料!$G:$G, (MATCH(886, 輔助計算!$G$2:$G$801, 0)+1))&lt;=1181,2,1)))), "")&amp;IF(AND(IF(INT(INDEX(輔助計算!$D:$D, (MATCH(886, 輔助計算!$G$2:$G$801, 0)+1))/IF(INDEX(ERP資料!$G:$G, (MATCH(886, 輔助計算!$G$2:$G$801, 0)+1))&lt;100, IF(INDEX(ERP資料!$G:$G, (MATCH(886, 輔助計算!$G$2:$G$801, 0)+1))&lt;=31,3,IF(INDEX(ERP資料!$G:$G, (MATCH(886, 輔助計算!$G$2:$G$801, 0)+1))&lt;=46.5,2,1)), IF(INDEX(ERP資料!$G:$G, (MATCH(886, 輔助計算!$G$2:$G$801, 0)+1))&lt;=790,3,IF(INDEX(ERP資料!$G:$G, (MATCH(886, 輔助計算!$G$2:$G$801, 0)+1))&lt;=1181,2,1))))&gt;0, IF(IF(INDEX(ERP資料!$G:$G, (MATCH(886, 輔助計算!$G$2:$G$801, 0)+1))&lt;100, IF(INDEX(ERP資料!$G:$G, (MATCH(886, 輔助計算!$G$2:$G$801, 0)+1))&lt;=31,3,IF(INDEX(ERP資料!$G:$G, (MATCH(886, 輔助計算!$G$2:$G$801, 0)+1))&lt;=46.5,2,1)), IF(INDEX(ERP資料!$G:$G, (MATCH(886, 輔助計算!$G$2:$G$801, 0)+1))&lt;=790,3,IF(INDEX(ERP資料!$G:$G, (MATCH(886, 輔助計算!$G$2:$G$801, 0)+1))&lt;=1181,2,1)))=1,TEXT(INDEX(ERP資料!$G:$G, (MATCH(886, 輔助計算!$G$2:$G$801, 0)+1)),"0.##"),IF(IF(INDEX(ERP資料!$G:$G, (MATCH(886, 輔助計算!$G$2:$G$801, 0)+1))&lt;100, IF(INDEX(ERP資料!$G:$G, (MATCH(886, 輔助計算!$G$2:$G$801, 0)+1))&lt;=31,3,IF(INDEX(ERP資料!$G:$G, (MATCH(886, 輔助計算!$G$2:$G$801, 0)+1))&lt;=46.5,2,1)), IF(INDEX(ERP資料!$G:$G, (MATCH(886, 輔助計算!$G$2:$G$801, 0)+1))&lt;=790,3,IF(INDEX(ERP資料!$G:$G, (MATCH(886, 輔助計算!$G$2:$G$801, 0)+1))&lt;=1181,2,1)))=2,TEXT(INDEX(ERP資料!$G:$G, (MATCH(886, 輔助計算!$G$2:$G$801, 0)+1)),"0.##")&amp;"+"&amp;TEXT(INDEX(ERP資料!$G:$G, (MATCH(886, 輔助計算!$G$2:$G$801, 0)+1)),"0.##"),TEXT(INDEX(ERP資料!$G:$G, (MATCH(886, 輔助計算!$G$2:$G$801, 0)+1)),"0.##")&amp;"+"&amp;TEXT(INDEX(ERP資料!$G:$G, (MATCH(886, 輔助計算!$G$2:$G$801, 0)+1)),"0.##")&amp;"+"&amp;TEXT(INDEX(ERP資料!$G:$G, (MATCH(886, 輔助計算!$G$2:$G$801, 0)+1)),"0.##")))&amp;"-"&amp;INT(INDEX(輔助計算!$D:$D, (MATCH(886, 輔助計算!$G$2:$G$801, 0)+1))/IF(INDEX(ERP資料!$G:$G, (MATCH(886, 輔助計算!$G$2:$G$801, 0)+1))&lt;100, IF(INDEX(ERP資料!$G:$G, (MATCH(886, 輔助計算!$G$2:$G$801, 0)+1))&lt;=31,3,IF(INDEX(ERP資料!$G:$G, (MATCH(886, 輔助計算!$G$2:$G$801, 0)+1))&lt;=46.5,2,1)), IF(INDEX(ERP資料!$G:$G, (MATCH(886, 輔助計算!$G$2:$G$801, 0)+1))&lt;=790,3,IF(INDEX(ERP資料!$G:$G, (MATCH(886, 輔助計算!$G$2:$G$801, 0)+1))&lt;=1181,2,1)))), "")&lt;&gt;"",IF(MOD(INDEX(輔助計算!$D:$D, (MATCH(886, 輔助計算!$G$2:$G$801, 0)+1)),IF(INDEX(ERP資料!$G:$G, (MATCH(886, 輔助計算!$G$2:$G$801, 0)+1))&lt;100, IF(INDEX(ERP資料!$G:$G, (MATCH(886, 輔助計算!$G$2:$G$801, 0)+1))&lt;=31,3,IF(INDEX(ERP資料!$G:$G, (MATCH(886, 輔助計算!$G$2:$G$801, 0)+1))&lt;=46.5,2,1)), IF(INDEX(ERP資料!$G:$G, (MATCH(886, 輔助計算!$G$2:$G$801, 0)+1))&lt;=790,3,IF(INDEX(ERP資料!$G:$G, (MATCH(886, 輔助計算!$G$2:$G$801, 0)+1))&lt;=1181,2,1))))=0,"",IF(MOD(INDEX(輔助計算!$D:$D, (MATCH(886, 輔助計算!$G$2:$G$801, 0)+1)),IF(INDEX(ERP資料!$G:$G, (MATCH(886, 輔助計算!$G$2:$G$801, 0)+1))&lt;100, IF(INDEX(ERP資料!$G:$G, (MATCH(886, 輔助計算!$G$2:$G$801, 0)+1))&lt;=31,3,IF(INDEX(ERP資料!$G:$G, (MATCH(886, 輔助計算!$G$2:$G$801, 0)+1))&lt;=46.5,2,1)), IF(INDEX(ERP資料!$G:$G, (MATCH(886, 輔助計算!$G$2:$G$801, 0)+1))&lt;=790,3,IF(INDEX(ERP資料!$G:$G, (MATCH(886, 輔助計算!$G$2:$G$801, 0)+1))&lt;=1181,2,1))))=0,"",IF(MOD(INDEX(輔助計算!$D:$D, (MATCH(886, 輔助計算!$G$2:$G$801, 0)+1)),IF(INDEX(ERP資料!$G:$G, (MATCH(886, 輔助計算!$G$2:$G$801, 0)+1))&lt;100, IF(INDEX(ERP資料!$G:$G, (MATCH(886, 輔助計算!$G$2:$G$801, 0)+1))&lt;=31,3,IF(INDEX(ERP資料!$G:$G, (MATCH(886, 輔助計算!$G$2:$G$801, 0)+1))&lt;=46.5,2,1)), IF(INDEX(ERP資料!$G:$G, (MATCH(886, 輔助計算!$G$2:$G$801, 0)+1))&lt;=790,3,IF(INDEX(ERP資料!$G:$G, (MATCH(886, 輔助計算!$G$2:$G$801, 0)+1))&lt;=1181,2,1))))=1,TEXT(INDEX(ERP資料!$G:$G, (MATCH(886, 輔助計算!$G$2:$G$801, 0)+1)),"0.##"),IF(MOD(INDEX(輔助計算!$D:$D, (MATCH(886, 輔助計算!$G$2:$G$801, 0)+1)),IF(INDEX(ERP資料!$G:$G, (MATCH(886, 輔助計算!$G$2:$G$801, 0)+1))&lt;100, IF(INDEX(ERP資料!$G:$G, (MATCH(886, 輔助計算!$G$2:$G$801, 0)+1))&lt;=31,3,IF(INDEX(ERP資料!$G:$G, (MATCH(886, 輔助計算!$G$2:$G$801, 0)+1))&lt;=46.5,2,1)), IF(INDEX(ERP資料!$G:$G, (MATCH(886, 輔助計算!$G$2:$G$801, 0)+1))&lt;=790,3,IF(INDEX(ERP資料!$G:$G, (MATCH(886, 輔助計算!$G$2:$G$801, 0)+1))&lt;=1181,2,1))))=2,TEXT(INDEX(ERP資料!$G:$G, (MATCH(886, 輔助計算!$G$2:$G$801, 0)+1)),"0.##")&amp;"+"&amp;TEXT(INDEX(ERP資料!$G:$G, (MATCH(886, 輔助計算!$G$2:$G$801, 0)+1)),"0.##"),TEXT(INDEX(ERP資料!$G:$G, (MATCH(886, 輔助計算!$G$2:$G$801, 0)+1)),"0.##")&amp;"+"&amp;TEXT(INDEX(ERP資料!$G:$G, (MATCH(886, 輔助計算!$G$2:$G$801, 0)+1)),"0.##")&amp;"+"&amp;TEXT(INDEX(ERP資料!$G:$G, (MATCH(886, 輔助計算!$G$2:$G$801, 0)+1)),"0.##"))))&amp;"-1")&lt;&gt;""),"  ","")&amp;IF(MOD(INDEX(輔助計算!$D:$D, (MATCH(886, 輔助計算!$G$2:$G$801, 0)+1)),IF(INDEX(ERP資料!$G:$G, (MATCH(886, 輔助計算!$G$2:$G$801, 0)+1))&lt;100, IF(INDEX(ERP資料!$G:$G, (MATCH(886, 輔助計算!$G$2:$G$801, 0)+1))&lt;=31,3,IF(INDEX(ERP資料!$G:$G, (MATCH(886, 輔助計算!$G$2:$G$801, 0)+1))&lt;=46.5,2,1)), IF(INDEX(ERP資料!$G:$G, (MATCH(886, 輔助計算!$G$2:$G$801, 0)+1))&lt;=790,3,IF(INDEX(ERP資料!$G:$G, (MATCH(886, 輔助計算!$G$2:$G$801, 0)+1))&lt;=1181,2,1))))=0,"",IF(MOD(INDEX(輔助計算!$D:$D, (MATCH(886, 輔助計算!$G$2:$G$801, 0)+1)),IF(INDEX(ERP資料!$G:$G, (MATCH(886, 輔助計算!$G$2:$G$801, 0)+1))&lt;100, IF(INDEX(ERP資料!$G:$G, (MATCH(886, 輔助計算!$G$2:$G$801, 0)+1))&lt;=31,3,IF(INDEX(ERP資料!$G:$G, (MATCH(886, 輔助計算!$G$2:$G$801, 0)+1))&lt;=46.5,2,1)), IF(INDEX(ERP資料!$G:$G, (MATCH(886, 輔助計算!$G$2:$G$801, 0)+1))&lt;=790,3,IF(INDEX(ERP資料!$G:$G, (MATCH(886, 輔助計算!$G$2:$G$801, 0)+1))&lt;=1181,2,1))))=0,"",IF(MOD(INDEX(輔助計算!$D:$D, (MATCH(886, 輔助計算!$G$2:$G$801, 0)+1)),IF(INDEX(ERP資料!$G:$G, (MATCH(886, 輔助計算!$G$2:$G$801, 0)+1))&lt;100, IF(INDEX(ERP資料!$G:$G, (MATCH(886, 輔助計算!$G$2:$G$801, 0)+1))&lt;=31,3,IF(INDEX(ERP資料!$G:$G, (MATCH(886, 輔助計算!$G$2:$G$801, 0)+1))&lt;=46.5,2,1)), IF(INDEX(ERP資料!$G:$G, (MATCH(886, 輔助計算!$G$2:$G$801, 0)+1))&lt;=790,3,IF(INDEX(ERP資料!$G:$G, (MATCH(886, 輔助計算!$G$2:$G$801, 0)+1))&lt;=1181,2,1))))=1,TEXT(INDEX(ERP資料!$G:$G, (MATCH(886, 輔助計算!$G$2:$G$801, 0)+1)),"0.##"),IF(MOD(INDEX(輔助計算!$D:$D, (MATCH(886, 輔助計算!$G$2:$G$801, 0)+1)),IF(INDEX(ERP資料!$G:$G, (MATCH(886, 輔助計算!$G$2:$G$801, 0)+1))&lt;100, IF(INDEX(ERP資料!$G:$G, (MATCH(886, 輔助計算!$G$2:$G$801, 0)+1))&lt;=31,3,IF(INDEX(ERP資料!$G:$G, (MATCH(886, 輔助計算!$G$2:$G$801, 0)+1))&lt;=46.5,2,1)), IF(INDEX(ERP資料!$G:$G, (MATCH(886, 輔助計算!$G$2:$G$801, 0)+1))&lt;=790,3,IF(INDEX(ERP資料!$G:$G, (MATCH(886, 輔助計算!$G$2:$G$801, 0)+1))&lt;=1181,2,1))))=2,TEXT(INDEX(ERP資料!$G:$G, (MATCH(886, 輔助計算!$G$2:$G$801, 0)+1)),"0.##")&amp;"+"&amp;TEXT(INDEX(ERP資料!$G:$G, (MATCH(886, 輔助計算!$G$2:$G$801, 0)+1)),"0.##"),TEXT(INDEX(ERP資料!$G:$G, (MATCH(886, 輔助計算!$G$2:$G$801, 0)+1)),"0.##")&amp;"+"&amp;TEXT(INDEX(ERP資料!$G:$G, (MATCH(886, 輔助計算!$G$2:$G$801, 0)+1)),"0.##")&amp;"+"&amp;TEXT(INDEX(ERP資料!$G:$G, (MATCH(886, 輔助計算!$G$2:$G$801, 0)+1)),"0.##"))))&amp;"-1")), ""), "")</f>
        <v/>
      </c>
      <c r="K887" s="16" t="n"/>
      <c r="L887" s="14">
        <f>IFERROR(IF(AND(IFERROR(INDEX(ERP資料!$A:$A, (MATCH(886, 輔助計算!$G$2:$G$801, 0)+1)), "")&lt;&gt;"", IFERROR(INDEX(ERP資料!$A:$A, (MATCH(886, 輔助計算!$G$2:$G$801, 0)+1)), "")&lt;&gt;IFERROR(INDEX(ERP資料!$A:$A, MATCH(885, 輔助計算!$G$2:$G$801, 0)+1), "")), INDEX(ERP資料!$B:$B, (MATCH(886, 輔助計算!$G$2:$G$801, 0)+1)), ""), "")</f>
        <v/>
      </c>
      <c r="M887" s="17" t="n"/>
    </row>
    <row r="888">
      <c r="A888" s="10">
        <f>IFERROR(IF(AND(IFERROR(INDEX(ERP資料!$A:$A, (MATCH(887, 輔助計算!$G$2:$G$801, 0)+1)), "")&lt;&gt;"", IFERROR(INDEX(ERP資料!$A:$A, (MATCH(887, 輔助計算!$G$2:$G$801, 0)+1)), "")&lt;&gt;IFERROR(INDEX(ERP資料!$A:$A, MATCH(886, 輔助計算!$G$2:$G$801, 0)+1), "")), IFERROR(INDEX(ERP資料!$A:$A, (MATCH(887, 輔助計算!$G$2:$G$801, 0)+1)), ""), ""), "")</f>
        <v/>
      </c>
      <c r="B888" s="10">
        <f>IFERROR(IF(AND(IFERROR(INDEX(ERP資料!$A:$A, (MATCH(887, 輔助計算!$G$2:$G$801, 0)+1)), "")&lt;&gt;"", IFERROR(INDEX(ERP資料!$A:$A, (MATCH(887, 輔助計算!$G$2:$G$801, 0)+1)), "")&lt;&gt;IFERROR(INDEX(ERP資料!$A:$A, MATCH(886, 輔助計算!$G$2:$G$801, 0)+1), "")), INDEX(ERP資料!$S:$S, (MATCH(887, 輔助計算!$G$2:$G$801, 0)+1)), ""), "")</f>
        <v/>
      </c>
      <c r="C888" s="19">
        <f>IFERROR(IF(AND(IFERROR(INDEX(ERP資料!$A:$A, (MATCH(887, 輔助計算!$G$2:$G$801, 0)+1)), "")&lt;&gt;"", IFERROR(INDEX(ERP資料!$A:$A, (MATCH(887, 輔助計算!$G$2:$G$801, 0)+1)), "")&lt;&gt;IFERROR(INDEX(ERP資料!$A:$A, MATCH(886, 輔助計算!$G$2:$G$801, 0)+1), "")), IFERROR(VLOOKUP(LEFT(INDEX(ERP資料!$S:$S, (MATCH(887, 輔助計算!$G$2:$G$801, 0)+1)), 4), 紙管對照表!$A:$C, 3, FALSE), ""), ""), "")</f>
        <v/>
      </c>
      <c r="D888" s="16" t="n"/>
      <c r="E888" s="10">
        <f>IFERROR(IF(INDEX(ERP資料!$H:$H, (MATCH(887, 輔助計算!$G$2:$G$801, 0)+1))="","",INDEX(ERP資料!$H:$H, (MATCH(887, 輔助計算!$G$2:$G$801, 0)+1))), "")</f>
        <v/>
      </c>
      <c r="F888" s="10">
        <f>IFERROR(IF(INDEX(ERP資料!$E:$E, (MATCH(887, 輔助計算!$G$2:$G$801, 0)+1))="","",TRIM(INDEX(ERP資料!$E:$E, (MATCH(887, 輔助計算!$G$2:$G$801, 0)+1)))), "")</f>
        <v/>
      </c>
      <c r="G888" s="10">
        <f>IFERROR(IF(INDEX(ERP資料!$F:$F, (MATCH(887, 輔助計算!$G$2:$G$801, 0)+1))="","",INDEX(ERP資料!$F:$F, (MATCH(887, 輔助計算!$G$2:$G$801, 0)+1))), "")</f>
        <v/>
      </c>
      <c r="H888" s="10">
        <f>IFERROR(IF(INDEX(ERP資料!$G:$G, (MATCH(887, 輔助計算!$G$2:$G$801, 0)+1))="","",INDEX(ERP資料!$G:$G, (MATCH(887, 輔助計算!$G$2:$G$801, 0)+1))), "")</f>
        <v/>
      </c>
      <c r="I888" s="15">
        <f>IFERROR(INDEX(輔助計算!$D:$D, (MATCH(887, 輔助計算!$G$2:$G$801, 0)+1)), "")</f>
        <v/>
      </c>
      <c r="J888" s="15">
        <f>IFERROR(IF(AND(INDEX(輔助計算!$D:$D, (MATCH(887, 輔助計算!$G$2:$G$801, 0)+1))&lt;&gt;"", INDEX(ERP資料!$G:$G, (MATCH(887, 輔助計算!$G$2:$G$801, 0)+1))&lt;&gt;""), TRIM(IF(INT(INDEX(輔助計算!$D:$D, (MATCH(887, 輔助計算!$G$2:$G$801, 0)+1))/IF(INDEX(ERP資料!$G:$G, (MATCH(887, 輔助計算!$G$2:$G$801, 0)+1))&lt;100, IF(INDEX(ERP資料!$G:$G, (MATCH(887, 輔助計算!$G$2:$G$801, 0)+1))&lt;=31,3,IF(INDEX(ERP資料!$G:$G, (MATCH(887, 輔助計算!$G$2:$G$801, 0)+1))&lt;=46.5,2,1)), IF(INDEX(ERP資料!$G:$G, (MATCH(887, 輔助計算!$G$2:$G$801, 0)+1))&lt;=790,3,IF(INDEX(ERP資料!$G:$G, (MATCH(887, 輔助計算!$G$2:$G$801, 0)+1))&lt;=1181,2,1))))&gt;0, IF(IF(INDEX(ERP資料!$G:$G, (MATCH(887, 輔助計算!$G$2:$G$801, 0)+1))&lt;100, IF(INDEX(ERP資料!$G:$G, (MATCH(887, 輔助計算!$G$2:$G$801, 0)+1))&lt;=31,3,IF(INDEX(ERP資料!$G:$G, (MATCH(887, 輔助計算!$G$2:$G$801, 0)+1))&lt;=46.5,2,1)), IF(INDEX(ERP資料!$G:$G, (MATCH(887, 輔助計算!$G$2:$G$801, 0)+1))&lt;=790,3,IF(INDEX(ERP資料!$G:$G, (MATCH(887, 輔助計算!$G$2:$G$801, 0)+1))&lt;=1181,2,1)))=1,TEXT(INDEX(ERP資料!$G:$G, (MATCH(887, 輔助計算!$G$2:$G$801, 0)+1)),"0.##"),IF(IF(INDEX(ERP資料!$G:$G, (MATCH(887, 輔助計算!$G$2:$G$801, 0)+1))&lt;100, IF(INDEX(ERP資料!$G:$G, (MATCH(887, 輔助計算!$G$2:$G$801, 0)+1))&lt;=31,3,IF(INDEX(ERP資料!$G:$G, (MATCH(887, 輔助計算!$G$2:$G$801, 0)+1))&lt;=46.5,2,1)), IF(INDEX(ERP資料!$G:$G, (MATCH(887, 輔助計算!$G$2:$G$801, 0)+1))&lt;=790,3,IF(INDEX(ERP資料!$G:$G, (MATCH(887, 輔助計算!$G$2:$G$801, 0)+1))&lt;=1181,2,1)))=2,TEXT(INDEX(ERP資料!$G:$G, (MATCH(887, 輔助計算!$G$2:$G$801, 0)+1)),"0.##")&amp;"+"&amp;TEXT(INDEX(ERP資料!$G:$G, (MATCH(887, 輔助計算!$G$2:$G$801, 0)+1)),"0.##"),TEXT(INDEX(ERP資料!$G:$G, (MATCH(887, 輔助計算!$G$2:$G$801, 0)+1)),"0.##")&amp;"+"&amp;TEXT(INDEX(ERP資料!$G:$G, (MATCH(887, 輔助計算!$G$2:$G$801, 0)+1)),"0.##")&amp;"+"&amp;TEXT(INDEX(ERP資料!$G:$G, (MATCH(887, 輔助計算!$G$2:$G$801, 0)+1)),"0.##")))&amp;"-"&amp;INT(INDEX(輔助計算!$D:$D, (MATCH(887, 輔助計算!$G$2:$G$801, 0)+1))/IF(INDEX(ERP資料!$G:$G, (MATCH(887, 輔助計算!$G$2:$G$801, 0)+1))&lt;100, IF(INDEX(ERP資料!$G:$G, (MATCH(887, 輔助計算!$G$2:$G$801, 0)+1))&lt;=31,3,IF(INDEX(ERP資料!$G:$G, (MATCH(887, 輔助計算!$G$2:$G$801, 0)+1))&lt;=46.5,2,1)), IF(INDEX(ERP資料!$G:$G, (MATCH(887, 輔助計算!$G$2:$G$801, 0)+1))&lt;=790,3,IF(INDEX(ERP資料!$G:$G, (MATCH(887, 輔助計算!$G$2:$G$801, 0)+1))&lt;=1181,2,1)))), "")&amp;IF(AND(IF(INT(INDEX(輔助計算!$D:$D, (MATCH(887, 輔助計算!$G$2:$G$801, 0)+1))/IF(INDEX(ERP資料!$G:$G, (MATCH(887, 輔助計算!$G$2:$G$801, 0)+1))&lt;100, IF(INDEX(ERP資料!$G:$G, (MATCH(887, 輔助計算!$G$2:$G$801, 0)+1))&lt;=31,3,IF(INDEX(ERP資料!$G:$G, (MATCH(887, 輔助計算!$G$2:$G$801, 0)+1))&lt;=46.5,2,1)), IF(INDEX(ERP資料!$G:$G, (MATCH(887, 輔助計算!$G$2:$G$801, 0)+1))&lt;=790,3,IF(INDEX(ERP資料!$G:$G, (MATCH(887, 輔助計算!$G$2:$G$801, 0)+1))&lt;=1181,2,1))))&gt;0, IF(IF(INDEX(ERP資料!$G:$G, (MATCH(887, 輔助計算!$G$2:$G$801, 0)+1))&lt;100, IF(INDEX(ERP資料!$G:$G, (MATCH(887, 輔助計算!$G$2:$G$801, 0)+1))&lt;=31,3,IF(INDEX(ERP資料!$G:$G, (MATCH(887, 輔助計算!$G$2:$G$801, 0)+1))&lt;=46.5,2,1)), IF(INDEX(ERP資料!$G:$G, (MATCH(887, 輔助計算!$G$2:$G$801, 0)+1))&lt;=790,3,IF(INDEX(ERP資料!$G:$G, (MATCH(887, 輔助計算!$G$2:$G$801, 0)+1))&lt;=1181,2,1)))=1,TEXT(INDEX(ERP資料!$G:$G, (MATCH(887, 輔助計算!$G$2:$G$801, 0)+1)),"0.##"),IF(IF(INDEX(ERP資料!$G:$G, (MATCH(887, 輔助計算!$G$2:$G$801, 0)+1))&lt;100, IF(INDEX(ERP資料!$G:$G, (MATCH(887, 輔助計算!$G$2:$G$801, 0)+1))&lt;=31,3,IF(INDEX(ERP資料!$G:$G, (MATCH(887, 輔助計算!$G$2:$G$801, 0)+1))&lt;=46.5,2,1)), IF(INDEX(ERP資料!$G:$G, (MATCH(887, 輔助計算!$G$2:$G$801, 0)+1))&lt;=790,3,IF(INDEX(ERP資料!$G:$G, (MATCH(887, 輔助計算!$G$2:$G$801, 0)+1))&lt;=1181,2,1)))=2,TEXT(INDEX(ERP資料!$G:$G, (MATCH(887, 輔助計算!$G$2:$G$801, 0)+1)),"0.##")&amp;"+"&amp;TEXT(INDEX(ERP資料!$G:$G, (MATCH(887, 輔助計算!$G$2:$G$801, 0)+1)),"0.##"),TEXT(INDEX(ERP資料!$G:$G, (MATCH(887, 輔助計算!$G$2:$G$801, 0)+1)),"0.##")&amp;"+"&amp;TEXT(INDEX(ERP資料!$G:$G, (MATCH(887, 輔助計算!$G$2:$G$801, 0)+1)),"0.##")&amp;"+"&amp;TEXT(INDEX(ERP資料!$G:$G, (MATCH(887, 輔助計算!$G$2:$G$801, 0)+1)),"0.##")))&amp;"-"&amp;INT(INDEX(輔助計算!$D:$D, (MATCH(887, 輔助計算!$G$2:$G$801, 0)+1))/IF(INDEX(ERP資料!$G:$G, (MATCH(887, 輔助計算!$G$2:$G$801, 0)+1))&lt;100, IF(INDEX(ERP資料!$G:$G, (MATCH(887, 輔助計算!$G$2:$G$801, 0)+1))&lt;=31,3,IF(INDEX(ERP資料!$G:$G, (MATCH(887, 輔助計算!$G$2:$G$801, 0)+1))&lt;=46.5,2,1)), IF(INDEX(ERP資料!$G:$G, (MATCH(887, 輔助計算!$G$2:$G$801, 0)+1))&lt;=790,3,IF(INDEX(ERP資料!$G:$G, (MATCH(887, 輔助計算!$G$2:$G$801, 0)+1))&lt;=1181,2,1)))), "")&lt;&gt;"",IF(MOD(INDEX(輔助計算!$D:$D, (MATCH(887, 輔助計算!$G$2:$G$801, 0)+1)),IF(INDEX(ERP資料!$G:$G, (MATCH(887, 輔助計算!$G$2:$G$801, 0)+1))&lt;100, IF(INDEX(ERP資料!$G:$G, (MATCH(887, 輔助計算!$G$2:$G$801, 0)+1))&lt;=31,3,IF(INDEX(ERP資料!$G:$G, (MATCH(887, 輔助計算!$G$2:$G$801, 0)+1))&lt;=46.5,2,1)), IF(INDEX(ERP資料!$G:$G, (MATCH(887, 輔助計算!$G$2:$G$801, 0)+1))&lt;=790,3,IF(INDEX(ERP資料!$G:$G, (MATCH(887, 輔助計算!$G$2:$G$801, 0)+1))&lt;=1181,2,1))))=0,"",IF(MOD(INDEX(輔助計算!$D:$D, (MATCH(887, 輔助計算!$G$2:$G$801, 0)+1)),IF(INDEX(ERP資料!$G:$G, (MATCH(887, 輔助計算!$G$2:$G$801, 0)+1))&lt;100, IF(INDEX(ERP資料!$G:$G, (MATCH(887, 輔助計算!$G$2:$G$801, 0)+1))&lt;=31,3,IF(INDEX(ERP資料!$G:$G, (MATCH(887, 輔助計算!$G$2:$G$801, 0)+1))&lt;=46.5,2,1)), IF(INDEX(ERP資料!$G:$G, (MATCH(887, 輔助計算!$G$2:$G$801, 0)+1))&lt;=790,3,IF(INDEX(ERP資料!$G:$G, (MATCH(887, 輔助計算!$G$2:$G$801, 0)+1))&lt;=1181,2,1))))=0,"",IF(MOD(INDEX(輔助計算!$D:$D, (MATCH(887, 輔助計算!$G$2:$G$801, 0)+1)),IF(INDEX(ERP資料!$G:$G, (MATCH(887, 輔助計算!$G$2:$G$801, 0)+1))&lt;100, IF(INDEX(ERP資料!$G:$G, (MATCH(887, 輔助計算!$G$2:$G$801, 0)+1))&lt;=31,3,IF(INDEX(ERP資料!$G:$G, (MATCH(887, 輔助計算!$G$2:$G$801, 0)+1))&lt;=46.5,2,1)), IF(INDEX(ERP資料!$G:$G, (MATCH(887, 輔助計算!$G$2:$G$801, 0)+1))&lt;=790,3,IF(INDEX(ERP資料!$G:$G, (MATCH(887, 輔助計算!$G$2:$G$801, 0)+1))&lt;=1181,2,1))))=1,TEXT(INDEX(ERP資料!$G:$G, (MATCH(887, 輔助計算!$G$2:$G$801, 0)+1)),"0.##"),IF(MOD(INDEX(輔助計算!$D:$D, (MATCH(887, 輔助計算!$G$2:$G$801, 0)+1)),IF(INDEX(ERP資料!$G:$G, (MATCH(887, 輔助計算!$G$2:$G$801, 0)+1))&lt;100, IF(INDEX(ERP資料!$G:$G, (MATCH(887, 輔助計算!$G$2:$G$801, 0)+1))&lt;=31,3,IF(INDEX(ERP資料!$G:$G, (MATCH(887, 輔助計算!$G$2:$G$801, 0)+1))&lt;=46.5,2,1)), IF(INDEX(ERP資料!$G:$G, (MATCH(887, 輔助計算!$G$2:$G$801, 0)+1))&lt;=790,3,IF(INDEX(ERP資料!$G:$G, (MATCH(887, 輔助計算!$G$2:$G$801, 0)+1))&lt;=1181,2,1))))=2,TEXT(INDEX(ERP資料!$G:$G, (MATCH(887, 輔助計算!$G$2:$G$801, 0)+1)),"0.##")&amp;"+"&amp;TEXT(INDEX(ERP資料!$G:$G, (MATCH(887, 輔助計算!$G$2:$G$801, 0)+1)),"0.##"),TEXT(INDEX(ERP資料!$G:$G, (MATCH(887, 輔助計算!$G$2:$G$801, 0)+1)),"0.##")&amp;"+"&amp;TEXT(INDEX(ERP資料!$G:$G, (MATCH(887, 輔助計算!$G$2:$G$801, 0)+1)),"0.##")&amp;"+"&amp;TEXT(INDEX(ERP資料!$G:$G, (MATCH(887, 輔助計算!$G$2:$G$801, 0)+1)),"0.##"))))&amp;"-1")&lt;&gt;""),"  ","")&amp;IF(MOD(INDEX(輔助計算!$D:$D, (MATCH(887, 輔助計算!$G$2:$G$801, 0)+1)),IF(INDEX(ERP資料!$G:$G, (MATCH(887, 輔助計算!$G$2:$G$801, 0)+1))&lt;100, IF(INDEX(ERP資料!$G:$G, (MATCH(887, 輔助計算!$G$2:$G$801, 0)+1))&lt;=31,3,IF(INDEX(ERP資料!$G:$G, (MATCH(887, 輔助計算!$G$2:$G$801, 0)+1))&lt;=46.5,2,1)), IF(INDEX(ERP資料!$G:$G, (MATCH(887, 輔助計算!$G$2:$G$801, 0)+1))&lt;=790,3,IF(INDEX(ERP資料!$G:$G, (MATCH(887, 輔助計算!$G$2:$G$801, 0)+1))&lt;=1181,2,1))))=0,"",IF(MOD(INDEX(輔助計算!$D:$D, (MATCH(887, 輔助計算!$G$2:$G$801, 0)+1)),IF(INDEX(ERP資料!$G:$G, (MATCH(887, 輔助計算!$G$2:$G$801, 0)+1))&lt;100, IF(INDEX(ERP資料!$G:$G, (MATCH(887, 輔助計算!$G$2:$G$801, 0)+1))&lt;=31,3,IF(INDEX(ERP資料!$G:$G, (MATCH(887, 輔助計算!$G$2:$G$801, 0)+1))&lt;=46.5,2,1)), IF(INDEX(ERP資料!$G:$G, (MATCH(887, 輔助計算!$G$2:$G$801, 0)+1))&lt;=790,3,IF(INDEX(ERP資料!$G:$G, (MATCH(887, 輔助計算!$G$2:$G$801, 0)+1))&lt;=1181,2,1))))=0,"",IF(MOD(INDEX(輔助計算!$D:$D, (MATCH(887, 輔助計算!$G$2:$G$801, 0)+1)),IF(INDEX(ERP資料!$G:$G, (MATCH(887, 輔助計算!$G$2:$G$801, 0)+1))&lt;100, IF(INDEX(ERP資料!$G:$G, (MATCH(887, 輔助計算!$G$2:$G$801, 0)+1))&lt;=31,3,IF(INDEX(ERP資料!$G:$G, (MATCH(887, 輔助計算!$G$2:$G$801, 0)+1))&lt;=46.5,2,1)), IF(INDEX(ERP資料!$G:$G, (MATCH(887, 輔助計算!$G$2:$G$801, 0)+1))&lt;=790,3,IF(INDEX(ERP資料!$G:$G, (MATCH(887, 輔助計算!$G$2:$G$801, 0)+1))&lt;=1181,2,1))))=1,TEXT(INDEX(ERP資料!$G:$G, (MATCH(887, 輔助計算!$G$2:$G$801, 0)+1)),"0.##"),IF(MOD(INDEX(輔助計算!$D:$D, (MATCH(887, 輔助計算!$G$2:$G$801, 0)+1)),IF(INDEX(ERP資料!$G:$G, (MATCH(887, 輔助計算!$G$2:$G$801, 0)+1))&lt;100, IF(INDEX(ERP資料!$G:$G, (MATCH(887, 輔助計算!$G$2:$G$801, 0)+1))&lt;=31,3,IF(INDEX(ERP資料!$G:$G, (MATCH(887, 輔助計算!$G$2:$G$801, 0)+1))&lt;=46.5,2,1)), IF(INDEX(ERP資料!$G:$G, (MATCH(887, 輔助計算!$G$2:$G$801, 0)+1))&lt;=790,3,IF(INDEX(ERP資料!$G:$G, (MATCH(887, 輔助計算!$G$2:$G$801, 0)+1))&lt;=1181,2,1))))=2,TEXT(INDEX(ERP資料!$G:$G, (MATCH(887, 輔助計算!$G$2:$G$801, 0)+1)),"0.##")&amp;"+"&amp;TEXT(INDEX(ERP資料!$G:$G, (MATCH(887, 輔助計算!$G$2:$G$801, 0)+1)),"0.##"),TEXT(INDEX(ERP資料!$G:$G, (MATCH(887, 輔助計算!$G$2:$G$801, 0)+1)),"0.##")&amp;"+"&amp;TEXT(INDEX(ERP資料!$G:$G, (MATCH(887, 輔助計算!$G$2:$G$801, 0)+1)),"0.##")&amp;"+"&amp;TEXT(INDEX(ERP資料!$G:$G, (MATCH(887, 輔助計算!$G$2:$G$801, 0)+1)),"0.##"))))&amp;"-1")), ""), "")</f>
        <v/>
      </c>
      <c r="K888" s="16" t="n"/>
      <c r="L888" s="14">
        <f>IFERROR(IF(AND(IFERROR(INDEX(ERP資料!$A:$A, (MATCH(887, 輔助計算!$G$2:$G$801, 0)+1)), "")&lt;&gt;"", IFERROR(INDEX(ERP資料!$A:$A, (MATCH(887, 輔助計算!$G$2:$G$801, 0)+1)), "")&lt;&gt;IFERROR(INDEX(ERP資料!$A:$A, MATCH(886, 輔助計算!$G$2:$G$801, 0)+1), "")), INDEX(ERP資料!$B:$B, (MATCH(887, 輔助計算!$G$2:$G$801, 0)+1)), ""), "")</f>
        <v/>
      </c>
      <c r="M888" s="17" t="n"/>
    </row>
    <row r="889">
      <c r="A889" s="10">
        <f>IFERROR(IF(AND(IFERROR(INDEX(ERP資料!$A:$A, (MATCH(888, 輔助計算!$G$2:$G$801, 0)+1)), "")&lt;&gt;"", IFERROR(INDEX(ERP資料!$A:$A, (MATCH(888, 輔助計算!$G$2:$G$801, 0)+1)), "")&lt;&gt;IFERROR(INDEX(ERP資料!$A:$A, MATCH(887, 輔助計算!$G$2:$G$801, 0)+1), "")), IFERROR(INDEX(ERP資料!$A:$A, (MATCH(888, 輔助計算!$G$2:$G$801, 0)+1)), ""), ""), "")</f>
        <v/>
      </c>
      <c r="B889" s="10">
        <f>IFERROR(IF(AND(IFERROR(INDEX(ERP資料!$A:$A, (MATCH(888, 輔助計算!$G$2:$G$801, 0)+1)), "")&lt;&gt;"", IFERROR(INDEX(ERP資料!$A:$A, (MATCH(888, 輔助計算!$G$2:$G$801, 0)+1)), "")&lt;&gt;IFERROR(INDEX(ERP資料!$A:$A, MATCH(887, 輔助計算!$G$2:$G$801, 0)+1), "")), INDEX(ERP資料!$S:$S, (MATCH(888, 輔助計算!$G$2:$G$801, 0)+1)), ""), "")</f>
        <v/>
      </c>
      <c r="C889" s="19">
        <f>IFERROR(IF(AND(IFERROR(INDEX(ERP資料!$A:$A, (MATCH(888, 輔助計算!$G$2:$G$801, 0)+1)), "")&lt;&gt;"", IFERROR(INDEX(ERP資料!$A:$A, (MATCH(888, 輔助計算!$G$2:$G$801, 0)+1)), "")&lt;&gt;IFERROR(INDEX(ERP資料!$A:$A, MATCH(887, 輔助計算!$G$2:$G$801, 0)+1), "")), IFERROR(VLOOKUP(LEFT(INDEX(ERP資料!$S:$S, (MATCH(888, 輔助計算!$G$2:$G$801, 0)+1)), 4), 紙管對照表!$A:$C, 3, FALSE), ""), ""), "")</f>
        <v/>
      </c>
      <c r="D889" s="16" t="n"/>
      <c r="E889" s="10">
        <f>IFERROR(IF(INDEX(ERP資料!$H:$H, (MATCH(888, 輔助計算!$G$2:$G$801, 0)+1))="","",INDEX(ERP資料!$H:$H, (MATCH(888, 輔助計算!$G$2:$G$801, 0)+1))), "")</f>
        <v/>
      </c>
      <c r="F889" s="10">
        <f>IFERROR(IF(INDEX(ERP資料!$E:$E, (MATCH(888, 輔助計算!$G$2:$G$801, 0)+1))="","",TRIM(INDEX(ERP資料!$E:$E, (MATCH(888, 輔助計算!$G$2:$G$801, 0)+1)))), "")</f>
        <v/>
      </c>
      <c r="G889" s="10">
        <f>IFERROR(IF(INDEX(ERP資料!$F:$F, (MATCH(888, 輔助計算!$G$2:$G$801, 0)+1))="","",INDEX(ERP資料!$F:$F, (MATCH(888, 輔助計算!$G$2:$G$801, 0)+1))), "")</f>
        <v/>
      </c>
      <c r="H889" s="10">
        <f>IFERROR(IF(INDEX(ERP資料!$G:$G, (MATCH(888, 輔助計算!$G$2:$G$801, 0)+1))="","",INDEX(ERP資料!$G:$G, (MATCH(888, 輔助計算!$G$2:$G$801, 0)+1))), "")</f>
        <v/>
      </c>
      <c r="I889" s="15">
        <f>IFERROR(INDEX(輔助計算!$D:$D, (MATCH(888, 輔助計算!$G$2:$G$801, 0)+1)), "")</f>
        <v/>
      </c>
      <c r="J889" s="15">
        <f>IFERROR(IF(AND(INDEX(輔助計算!$D:$D, (MATCH(888, 輔助計算!$G$2:$G$801, 0)+1))&lt;&gt;"", INDEX(ERP資料!$G:$G, (MATCH(888, 輔助計算!$G$2:$G$801, 0)+1))&lt;&gt;""), TRIM(IF(INT(INDEX(輔助計算!$D:$D, (MATCH(888, 輔助計算!$G$2:$G$801, 0)+1))/IF(INDEX(ERP資料!$G:$G, (MATCH(888, 輔助計算!$G$2:$G$801, 0)+1))&lt;100, IF(INDEX(ERP資料!$G:$G, (MATCH(888, 輔助計算!$G$2:$G$801, 0)+1))&lt;=31,3,IF(INDEX(ERP資料!$G:$G, (MATCH(888, 輔助計算!$G$2:$G$801, 0)+1))&lt;=46.5,2,1)), IF(INDEX(ERP資料!$G:$G, (MATCH(888, 輔助計算!$G$2:$G$801, 0)+1))&lt;=790,3,IF(INDEX(ERP資料!$G:$G, (MATCH(888, 輔助計算!$G$2:$G$801, 0)+1))&lt;=1181,2,1))))&gt;0, IF(IF(INDEX(ERP資料!$G:$G, (MATCH(888, 輔助計算!$G$2:$G$801, 0)+1))&lt;100, IF(INDEX(ERP資料!$G:$G, (MATCH(888, 輔助計算!$G$2:$G$801, 0)+1))&lt;=31,3,IF(INDEX(ERP資料!$G:$G, (MATCH(888, 輔助計算!$G$2:$G$801, 0)+1))&lt;=46.5,2,1)), IF(INDEX(ERP資料!$G:$G, (MATCH(888, 輔助計算!$G$2:$G$801, 0)+1))&lt;=790,3,IF(INDEX(ERP資料!$G:$G, (MATCH(888, 輔助計算!$G$2:$G$801, 0)+1))&lt;=1181,2,1)))=1,TEXT(INDEX(ERP資料!$G:$G, (MATCH(888, 輔助計算!$G$2:$G$801, 0)+1)),"0.##"),IF(IF(INDEX(ERP資料!$G:$G, (MATCH(888, 輔助計算!$G$2:$G$801, 0)+1))&lt;100, IF(INDEX(ERP資料!$G:$G, (MATCH(888, 輔助計算!$G$2:$G$801, 0)+1))&lt;=31,3,IF(INDEX(ERP資料!$G:$G, (MATCH(888, 輔助計算!$G$2:$G$801, 0)+1))&lt;=46.5,2,1)), IF(INDEX(ERP資料!$G:$G, (MATCH(888, 輔助計算!$G$2:$G$801, 0)+1))&lt;=790,3,IF(INDEX(ERP資料!$G:$G, (MATCH(888, 輔助計算!$G$2:$G$801, 0)+1))&lt;=1181,2,1)))=2,TEXT(INDEX(ERP資料!$G:$G, (MATCH(888, 輔助計算!$G$2:$G$801, 0)+1)),"0.##")&amp;"+"&amp;TEXT(INDEX(ERP資料!$G:$G, (MATCH(888, 輔助計算!$G$2:$G$801, 0)+1)),"0.##"),TEXT(INDEX(ERP資料!$G:$G, (MATCH(888, 輔助計算!$G$2:$G$801, 0)+1)),"0.##")&amp;"+"&amp;TEXT(INDEX(ERP資料!$G:$G, (MATCH(888, 輔助計算!$G$2:$G$801, 0)+1)),"0.##")&amp;"+"&amp;TEXT(INDEX(ERP資料!$G:$G, (MATCH(888, 輔助計算!$G$2:$G$801, 0)+1)),"0.##")))&amp;"-"&amp;INT(INDEX(輔助計算!$D:$D, (MATCH(888, 輔助計算!$G$2:$G$801, 0)+1))/IF(INDEX(ERP資料!$G:$G, (MATCH(888, 輔助計算!$G$2:$G$801, 0)+1))&lt;100, IF(INDEX(ERP資料!$G:$G, (MATCH(888, 輔助計算!$G$2:$G$801, 0)+1))&lt;=31,3,IF(INDEX(ERP資料!$G:$G, (MATCH(888, 輔助計算!$G$2:$G$801, 0)+1))&lt;=46.5,2,1)), IF(INDEX(ERP資料!$G:$G, (MATCH(888, 輔助計算!$G$2:$G$801, 0)+1))&lt;=790,3,IF(INDEX(ERP資料!$G:$G, (MATCH(888, 輔助計算!$G$2:$G$801, 0)+1))&lt;=1181,2,1)))), "")&amp;IF(AND(IF(INT(INDEX(輔助計算!$D:$D, (MATCH(888, 輔助計算!$G$2:$G$801, 0)+1))/IF(INDEX(ERP資料!$G:$G, (MATCH(888, 輔助計算!$G$2:$G$801, 0)+1))&lt;100, IF(INDEX(ERP資料!$G:$G, (MATCH(888, 輔助計算!$G$2:$G$801, 0)+1))&lt;=31,3,IF(INDEX(ERP資料!$G:$G, (MATCH(888, 輔助計算!$G$2:$G$801, 0)+1))&lt;=46.5,2,1)), IF(INDEX(ERP資料!$G:$G, (MATCH(888, 輔助計算!$G$2:$G$801, 0)+1))&lt;=790,3,IF(INDEX(ERP資料!$G:$G, (MATCH(888, 輔助計算!$G$2:$G$801, 0)+1))&lt;=1181,2,1))))&gt;0, IF(IF(INDEX(ERP資料!$G:$G, (MATCH(888, 輔助計算!$G$2:$G$801, 0)+1))&lt;100, IF(INDEX(ERP資料!$G:$G, (MATCH(888, 輔助計算!$G$2:$G$801, 0)+1))&lt;=31,3,IF(INDEX(ERP資料!$G:$G, (MATCH(888, 輔助計算!$G$2:$G$801, 0)+1))&lt;=46.5,2,1)), IF(INDEX(ERP資料!$G:$G, (MATCH(888, 輔助計算!$G$2:$G$801, 0)+1))&lt;=790,3,IF(INDEX(ERP資料!$G:$G, (MATCH(888, 輔助計算!$G$2:$G$801, 0)+1))&lt;=1181,2,1)))=1,TEXT(INDEX(ERP資料!$G:$G, (MATCH(888, 輔助計算!$G$2:$G$801, 0)+1)),"0.##"),IF(IF(INDEX(ERP資料!$G:$G, (MATCH(888, 輔助計算!$G$2:$G$801, 0)+1))&lt;100, IF(INDEX(ERP資料!$G:$G, (MATCH(888, 輔助計算!$G$2:$G$801, 0)+1))&lt;=31,3,IF(INDEX(ERP資料!$G:$G, (MATCH(888, 輔助計算!$G$2:$G$801, 0)+1))&lt;=46.5,2,1)), IF(INDEX(ERP資料!$G:$G, (MATCH(888, 輔助計算!$G$2:$G$801, 0)+1))&lt;=790,3,IF(INDEX(ERP資料!$G:$G, (MATCH(888, 輔助計算!$G$2:$G$801, 0)+1))&lt;=1181,2,1)))=2,TEXT(INDEX(ERP資料!$G:$G, (MATCH(888, 輔助計算!$G$2:$G$801, 0)+1)),"0.##")&amp;"+"&amp;TEXT(INDEX(ERP資料!$G:$G, (MATCH(888, 輔助計算!$G$2:$G$801, 0)+1)),"0.##"),TEXT(INDEX(ERP資料!$G:$G, (MATCH(888, 輔助計算!$G$2:$G$801, 0)+1)),"0.##")&amp;"+"&amp;TEXT(INDEX(ERP資料!$G:$G, (MATCH(888, 輔助計算!$G$2:$G$801, 0)+1)),"0.##")&amp;"+"&amp;TEXT(INDEX(ERP資料!$G:$G, (MATCH(888, 輔助計算!$G$2:$G$801, 0)+1)),"0.##")))&amp;"-"&amp;INT(INDEX(輔助計算!$D:$D, (MATCH(888, 輔助計算!$G$2:$G$801, 0)+1))/IF(INDEX(ERP資料!$G:$G, (MATCH(888, 輔助計算!$G$2:$G$801, 0)+1))&lt;100, IF(INDEX(ERP資料!$G:$G, (MATCH(888, 輔助計算!$G$2:$G$801, 0)+1))&lt;=31,3,IF(INDEX(ERP資料!$G:$G, (MATCH(888, 輔助計算!$G$2:$G$801, 0)+1))&lt;=46.5,2,1)), IF(INDEX(ERP資料!$G:$G, (MATCH(888, 輔助計算!$G$2:$G$801, 0)+1))&lt;=790,3,IF(INDEX(ERP資料!$G:$G, (MATCH(888, 輔助計算!$G$2:$G$801, 0)+1))&lt;=1181,2,1)))), "")&lt;&gt;"",IF(MOD(INDEX(輔助計算!$D:$D, (MATCH(888, 輔助計算!$G$2:$G$801, 0)+1)),IF(INDEX(ERP資料!$G:$G, (MATCH(888, 輔助計算!$G$2:$G$801, 0)+1))&lt;100, IF(INDEX(ERP資料!$G:$G, (MATCH(888, 輔助計算!$G$2:$G$801, 0)+1))&lt;=31,3,IF(INDEX(ERP資料!$G:$G, (MATCH(888, 輔助計算!$G$2:$G$801, 0)+1))&lt;=46.5,2,1)), IF(INDEX(ERP資料!$G:$G, (MATCH(888, 輔助計算!$G$2:$G$801, 0)+1))&lt;=790,3,IF(INDEX(ERP資料!$G:$G, (MATCH(888, 輔助計算!$G$2:$G$801, 0)+1))&lt;=1181,2,1))))=0,"",IF(MOD(INDEX(輔助計算!$D:$D, (MATCH(888, 輔助計算!$G$2:$G$801, 0)+1)),IF(INDEX(ERP資料!$G:$G, (MATCH(888, 輔助計算!$G$2:$G$801, 0)+1))&lt;100, IF(INDEX(ERP資料!$G:$G, (MATCH(888, 輔助計算!$G$2:$G$801, 0)+1))&lt;=31,3,IF(INDEX(ERP資料!$G:$G, (MATCH(888, 輔助計算!$G$2:$G$801, 0)+1))&lt;=46.5,2,1)), IF(INDEX(ERP資料!$G:$G, (MATCH(888, 輔助計算!$G$2:$G$801, 0)+1))&lt;=790,3,IF(INDEX(ERP資料!$G:$G, (MATCH(888, 輔助計算!$G$2:$G$801, 0)+1))&lt;=1181,2,1))))=0,"",IF(MOD(INDEX(輔助計算!$D:$D, (MATCH(888, 輔助計算!$G$2:$G$801, 0)+1)),IF(INDEX(ERP資料!$G:$G, (MATCH(888, 輔助計算!$G$2:$G$801, 0)+1))&lt;100, IF(INDEX(ERP資料!$G:$G, (MATCH(888, 輔助計算!$G$2:$G$801, 0)+1))&lt;=31,3,IF(INDEX(ERP資料!$G:$G, (MATCH(888, 輔助計算!$G$2:$G$801, 0)+1))&lt;=46.5,2,1)), IF(INDEX(ERP資料!$G:$G, (MATCH(888, 輔助計算!$G$2:$G$801, 0)+1))&lt;=790,3,IF(INDEX(ERP資料!$G:$G, (MATCH(888, 輔助計算!$G$2:$G$801, 0)+1))&lt;=1181,2,1))))=1,TEXT(INDEX(ERP資料!$G:$G, (MATCH(888, 輔助計算!$G$2:$G$801, 0)+1)),"0.##"),IF(MOD(INDEX(輔助計算!$D:$D, (MATCH(888, 輔助計算!$G$2:$G$801, 0)+1)),IF(INDEX(ERP資料!$G:$G, (MATCH(888, 輔助計算!$G$2:$G$801, 0)+1))&lt;100, IF(INDEX(ERP資料!$G:$G, (MATCH(888, 輔助計算!$G$2:$G$801, 0)+1))&lt;=31,3,IF(INDEX(ERP資料!$G:$G, (MATCH(888, 輔助計算!$G$2:$G$801, 0)+1))&lt;=46.5,2,1)), IF(INDEX(ERP資料!$G:$G, (MATCH(888, 輔助計算!$G$2:$G$801, 0)+1))&lt;=790,3,IF(INDEX(ERP資料!$G:$G, (MATCH(888, 輔助計算!$G$2:$G$801, 0)+1))&lt;=1181,2,1))))=2,TEXT(INDEX(ERP資料!$G:$G, (MATCH(888, 輔助計算!$G$2:$G$801, 0)+1)),"0.##")&amp;"+"&amp;TEXT(INDEX(ERP資料!$G:$G, (MATCH(888, 輔助計算!$G$2:$G$801, 0)+1)),"0.##"),TEXT(INDEX(ERP資料!$G:$G, (MATCH(888, 輔助計算!$G$2:$G$801, 0)+1)),"0.##")&amp;"+"&amp;TEXT(INDEX(ERP資料!$G:$G, (MATCH(888, 輔助計算!$G$2:$G$801, 0)+1)),"0.##")&amp;"+"&amp;TEXT(INDEX(ERP資料!$G:$G, (MATCH(888, 輔助計算!$G$2:$G$801, 0)+1)),"0.##"))))&amp;"-1")&lt;&gt;""),"  ","")&amp;IF(MOD(INDEX(輔助計算!$D:$D, (MATCH(888, 輔助計算!$G$2:$G$801, 0)+1)),IF(INDEX(ERP資料!$G:$G, (MATCH(888, 輔助計算!$G$2:$G$801, 0)+1))&lt;100, IF(INDEX(ERP資料!$G:$G, (MATCH(888, 輔助計算!$G$2:$G$801, 0)+1))&lt;=31,3,IF(INDEX(ERP資料!$G:$G, (MATCH(888, 輔助計算!$G$2:$G$801, 0)+1))&lt;=46.5,2,1)), IF(INDEX(ERP資料!$G:$G, (MATCH(888, 輔助計算!$G$2:$G$801, 0)+1))&lt;=790,3,IF(INDEX(ERP資料!$G:$G, (MATCH(888, 輔助計算!$G$2:$G$801, 0)+1))&lt;=1181,2,1))))=0,"",IF(MOD(INDEX(輔助計算!$D:$D, (MATCH(888, 輔助計算!$G$2:$G$801, 0)+1)),IF(INDEX(ERP資料!$G:$G, (MATCH(888, 輔助計算!$G$2:$G$801, 0)+1))&lt;100, IF(INDEX(ERP資料!$G:$G, (MATCH(888, 輔助計算!$G$2:$G$801, 0)+1))&lt;=31,3,IF(INDEX(ERP資料!$G:$G, (MATCH(888, 輔助計算!$G$2:$G$801, 0)+1))&lt;=46.5,2,1)), IF(INDEX(ERP資料!$G:$G, (MATCH(888, 輔助計算!$G$2:$G$801, 0)+1))&lt;=790,3,IF(INDEX(ERP資料!$G:$G, (MATCH(888, 輔助計算!$G$2:$G$801, 0)+1))&lt;=1181,2,1))))=0,"",IF(MOD(INDEX(輔助計算!$D:$D, (MATCH(888, 輔助計算!$G$2:$G$801, 0)+1)),IF(INDEX(ERP資料!$G:$G, (MATCH(888, 輔助計算!$G$2:$G$801, 0)+1))&lt;100, IF(INDEX(ERP資料!$G:$G, (MATCH(888, 輔助計算!$G$2:$G$801, 0)+1))&lt;=31,3,IF(INDEX(ERP資料!$G:$G, (MATCH(888, 輔助計算!$G$2:$G$801, 0)+1))&lt;=46.5,2,1)), IF(INDEX(ERP資料!$G:$G, (MATCH(888, 輔助計算!$G$2:$G$801, 0)+1))&lt;=790,3,IF(INDEX(ERP資料!$G:$G, (MATCH(888, 輔助計算!$G$2:$G$801, 0)+1))&lt;=1181,2,1))))=1,TEXT(INDEX(ERP資料!$G:$G, (MATCH(888, 輔助計算!$G$2:$G$801, 0)+1)),"0.##"),IF(MOD(INDEX(輔助計算!$D:$D, (MATCH(888, 輔助計算!$G$2:$G$801, 0)+1)),IF(INDEX(ERP資料!$G:$G, (MATCH(888, 輔助計算!$G$2:$G$801, 0)+1))&lt;100, IF(INDEX(ERP資料!$G:$G, (MATCH(888, 輔助計算!$G$2:$G$801, 0)+1))&lt;=31,3,IF(INDEX(ERP資料!$G:$G, (MATCH(888, 輔助計算!$G$2:$G$801, 0)+1))&lt;=46.5,2,1)), IF(INDEX(ERP資料!$G:$G, (MATCH(888, 輔助計算!$G$2:$G$801, 0)+1))&lt;=790,3,IF(INDEX(ERP資料!$G:$G, (MATCH(888, 輔助計算!$G$2:$G$801, 0)+1))&lt;=1181,2,1))))=2,TEXT(INDEX(ERP資料!$G:$G, (MATCH(888, 輔助計算!$G$2:$G$801, 0)+1)),"0.##")&amp;"+"&amp;TEXT(INDEX(ERP資料!$G:$G, (MATCH(888, 輔助計算!$G$2:$G$801, 0)+1)),"0.##"),TEXT(INDEX(ERP資料!$G:$G, (MATCH(888, 輔助計算!$G$2:$G$801, 0)+1)),"0.##")&amp;"+"&amp;TEXT(INDEX(ERP資料!$G:$G, (MATCH(888, 輔助計算!$G$2:$G$801, 0)+1)),"0.##")&amp;"+"&amp;TEXT(INDEX(ERP資料!$G:$G, (MATCH(888, 輔助計算!$G$2:$G$801, 0)+1)),"0.##"))))&amp;"-1")), ""), "")</f>
        <v/>
      </c>
      <c r="K889" s="16" t="n"/>
      <c r="L889" s="14">
        <f>IFERROR(IF(AND(IFERROR(INDEX(ERP資料!$A:$A, (MATCH(888, 輔助計算!$G$2:$G$801, 0)+1)), "")&lt;&gt;"", IFERROR(INDEX(ERP資料!$A:$A, (MATCH(888, 輔助計算!$G$2:$G$801, 0)+1)), "")&lt;&gt;IFERROR(INDEX(ERP資料!$A:$A, MATCH(887, 輔助計算!$G$2:$G$801, 0)+1), "")), INDEX(ERP資料!$B:$B, (MATCH(888, 輔助計算!$G$2:$G$801, 0)+1)), ""), "")</f>
        <v/>
      </c>
      <c r="M889" s="17" t="n"/>
    </row>
    <row r="890">
      <c r="A890" s="10">
        <f>IFERROR(IF(AND(IFERROR(INDEX(ERP資料!$A:$A, (MATCH(889, 輔助計算!$G$2:$G$801, 0)+1)), "")&lt;&gt;"", IFERROR(INDEX(ERP資料!$A:$A, (MATCH(889, 輔助計算!$G$2:$G$801, 0)+1)), "")&lt;&gt;IFERROR(INDEX(ERP資料!$A:$A, MATCH(888, 輔助計算!$G$2:$G$801, 0)+1), "")), IFERROR(INDEX(ERP資料!$A:$A, (MATCH(889, 輔助計算!$G$2:$G$801, 0)+1)), ""), ""), "")</f>
        <v/>
      </c>
      <c r="B890" s="10">
        <f>IFERROR(IF(AND(IFERROR(INDEX(ERP資料!$A:$A, (MATCH(889, 輔助計算!$G$2:$G$801, 0)+1)), "")&lt;&gt;"", IFERROR(INDEX(ERP資料!$A:$A, (MATCH(889, 輔助計算!$G$2:$G$801, 0)+1)), "")&lt;&gt;IFERROR(INDEX(ERP資料!$A:$A, MATCH(888, 輔助計算!$G$2:$G$801, 0)+1), "")), INDEX(ERP資料!$S:$S, (MATCH(889, 輔助計算!$G$2:$G$801, 0)+1)), ""), "")</f>
        <v/>
      </c>
      <c r="C890" s="19">
        <f>IFERROR(IF(AND(IFERROR(INDEX(ERP資料!$A:$A, (MATCH(889, 輔助計算!$G$2:$G$801, 0)+1)), "")&lt;&gt;"", IFERROR(INDEX(ERP資料!$A:$A, (MATCH(889, 輔助計算!$G$2:$G$801, 0)+1)), "")&lt;&gt;IFERROR(INDEX(ERP資料!$A:$A, MATCH(888, 輔助計算!$G$2:$G$801, 0)+1), "")), IFERROR(VLOOKUP(LEFT(INDEX(ERP資料!$S:$S, (MATCH(889, 輔助計算!$G$2:$G$801, 0)+1)), 4), 紙管對照表!$A:$C, 3, FALSE), ""), ""), "")</f>
        <v/>
      </c>
      <c r="D890" s="16" t="n"/>
      <c r="E890" s="10">
        <f>IFERROR(IF(INDEX(ERP資料!$H:$H, (MATCH(889, 輔助計算!$G$2:$G$801, 0)+1))="","",INDEX(ERP資料!$H:$H, (MATCH(889, 輔助計算!$G$2:$G$801, 0)+1))), "")</f>
        <v/>
      </c>
      <c r="F890" s="10">
        <f>IFERROR(IF(INDEX(ERP資料!$E:$E, (MATCH(889, 輔助計算!$G$2:$G$801, 0)+1))="","",TRIM(INDEX(ERP資料!$E:$E, (MATCH(889, 輔助計算!$G$2:$G$801, 0)+1)))), "")</f>
        <v/>
      </c>
      <c r="G890" s="10">
        <f>IFERROR(IF(INDEX(ERP資料!$F:$F, (MATCH(889, 輔助計算!$G$2:$G$801, 0)+1))="","",INDEX(ERP資料!$F:$F, (MATCH(889, 輔助計算!$G$2:$G$801, 0)+1))), "")</f>
        <v/>
      </c>
      <c r="H890" s="10">
        <f>IFERROR(IF(INDEX(ERP資料!$G:$G, (MATCH(889, 輔助計算!$G$2:$G$801, 0)+1))="","",INDEX(ERP資料!$G:$G, (MATCH(889, 輔助計算!$G$2:$G$801, 0)+1))), "")</f>
        <v/>
      </c>
      <c r="I890" s="15">
        <f>IFERROR(INDEX(輔助計算!$D:$D, (MATCH(889, 輔助計算!$G$2:$G$801, 0)+1)), "")</f>
        <v/>
      </c>
      <c r="J890" s="15">
        <f>IFERROR(IF(AND(INDEX(輔助計算!$D:$D, (MATCH(889, 輔助計算!$G$2:$G$801, 0)+1))&lt;&gt;"", INDEX(ERP資料!$G:$G, (MATCH(889, 輔助計算!$G$2:$G$801, 0)+1))&lt;&gt;""), TRIM(IF(INT(INDEX(輔助計算!$D:$D, (MATCH(889, 輔助計算!$G$2:$G$801, 0)+1))/IF(INDEX(ERP資料!$G:$G, (MATCH(889, 輔助計算!$G$2:$G$801, 0)+1))&lt;100, IF(INDEX(ERP資料!$G:$G, (MATCH(889, 輔助計算!$G$2:$G$801, 0)+1))&lt;=31,3,IF(INDEX(ERP資料!$G:$G, (MATCH(889, 輔助計算!$G$2:$G$801, 0)+1))&lt;=46.5,2,1)), IF(INDEX(ERP資料!$G:$G, (MATCH(889, 輔助計算!$G$2:$G$801, 0)+1))&lt;=790,3,IF(INDEX(ERP資料!$G:$G, (MATCH(889, 輔助計算!$G$2:$G$801, 0)+1))&lt;=1181,2,1))))&gt;0, IF(IF(INDEX(ERP資料!$G:$G, (MATCH(889, 輔助計算!$G$2:$G$801, 0)+1))&lt;100, IF(INDEX(ERP資料!$G:$G, (MATCH(889, 輔助計算!$G$2:$G$801, 0)+1))&lt;=31,3,IF(INDEX(ERP資料!$G:$G, (MATCH(889, 輔助計算!$G$2:$G$801, 0)+1))&lt;=46.5,2,1)), IF(INDEX(ERP資料!$G:$G, (MATCH(889, 輔助計算!$G$2:$G$801, 0)+1))&lt;=790,3,IF(INDEX(ERP資料!$G:$G, (MATCH(889, 輔助計算!$G$2:$G$801, 0)+1))&lt;=1181,2,1)))=1,TEXT(INDEX(ERP資料!$G:$G, (MATCH(889, 輔助計算!$G$2:$G$801, 0)+1)),"0.##"),IF(IF(INDEX(ERP資料!$G:$G, (MATCH(889, 輔助計算!$G$2:$G$801, 0)+1))&lt;100, IF(INDEX(ERP資料!$G:$G, (MATCH(889, 輔助計算!$G$2:$G$801, 0)+1))&lt;=31,3,IF(INDEX(ERP資料!$G:$G, (MATCH(889, 輔助計算!$G$2:$G$801, 0)+1))&lt;=46.5,2,1)), IF(INDEX(ERP資料!$G:$G, (MATCH(889, 輔助計算!$G$2:$G$801, 0)+1))&lt;=790,3,IF(INDEX(ERP資料!$G:$G, (MATCH(889, 輔助計算!$G$2:$G$801, 0)+1))&lt;=1181,2,1)))=2,TEXT(INDEX(ERP資料!$G:$G, (MATCH(889, 輔助計算!$G$2:$G$801, 0)+1)),"0.##")&amp;"+"&amp;TEXT(INDEX(ERP資料!$G:$G, (MATCH(889, 輔助計算!$G$2:$G$801, 0)+1)),"0.##"),TEXT(INDEX(ERP資料!$G:$G, (MATCH(889, 輔助計算!$G$2:$G$801, 0)+1)),"0.##")&amp;"+"&amp;TEXT(INDEX(ERP資料!$G:$G, (MATCH(889, 輔助計算!$G$2:$G$801, 0)+1)),"0.##")&amp;"+"&amp;TEXT(INDEX(ERP資料!$G:$G, (MATCH(889, 輔助計算!$G$2:$G$801, 0)+1)),"0.##")))&amp;"-"&amp;INT(INDEX(輔助計算!$D:$D, (MATCH(889, 輔助計算!$G$2:$G$801, 0)+1))/IF(INDEX(ERP資料!$G:$G, (MATCH(889, 輔助計算!$G$2:$G$801, 0)+1))&lt;100, IF(INDEX(ERP資料!$G:$G, (MATCH(889, 輔助計算!$G$2:$G$801, 0)+1))&lt;=31,3,IF(INDEX(ERP資料!$G:$G, (MATCH(889, 輔助計算!$G$2:$G$801, 0)+1))&lt;=46.5,2,1)), IF(INDEX(ERP資料!$G:$G, (MATCH(889, 輔助計算!$G$2:$G$801, 0)+1))&lt;=790,3,IF(INDEX(ERP資料!$G:$G, (MATCH(889, 輔助計算!$G$2:$G$801, 0)+1))&lt;=1181,2,1)))), "")&amp;IF(AND(IF(INT(INDEX(輔助計算!$D:$D, (MATCH(889, 輔助計算!$G$2:$G$801, 0)+1))/IF(INDEX(ERP資料!$G:$G, (MATCH(889, 輔助計算!$G$2:$G$801, 0)+1))&lt;100, IF(INDEX(ERP資料!$G:$G, (MATCH(889, 輔助計算!$G$2:$G$801, 0)+1))&lt;=31,3,IF(INDEX(ERP資料!$G:$G, (MATCH(889, 輔助計算!$G$2:$G$801, 0)+1))&lt;=46.5,2,1)), IF(INDEX(ERP資料!$G:$G, (MATCH(889, 輔助計算!$G$2:$G$801, 0)+1))&lt;=790,3,IF(INDEX(ERP資料!$G:$G, (MATCH(889, 輔助計算!$G$2:$G$801, 0)+1))&lt;=1181,2,1))))&gt;0, IF(IF(INDEX(ERP資料!$G:$G, (MATCH(889, 輔助計算!$G$2:$G$801, 0)+1))&lt;100, IF(INDEX(ERP資料!$G:$G, (MATCH(889, 輔助計算!$G$2:$G$801, 0)+1))&lt;=31,3,IF(INDEX(ERP資料!$G:$G, (MATCH(889, 輔助計算!$G$2:$G$801, 0)+1))&lt;=46.5,2,1)), IF(INDEX(ERP資料!$G:$G, (MATCH(889, 輔助計算!$G$2:$G$801, 0)+1))&lt;=790,3,IF(INDEX(ERP資料!$G:$G, (MATCH(889, 輔助計算!$G$2:$G$801, 0)+1))&lt;=1181,2,1)))=1,TEXT(INDEX(ERP資料!$G:$G, (MATCH(889, 輔助計算!$G$2:$G$801, 0)+1)),"0.##"),IF(IF(INDEX(ERP資料!$G:$G, (MATCH(889, 輔助計算!$G$2:$G$801, 0)+1))&lt;100, IF(INDEX(ERP資料!$G:$G, (MATCH(889, 輔助計算!$G$2:$G$801, 0)+1))&lt;=31,3,IF(INDEX(ERP資料!$G:$G, (MATCH(889, 輔助計算!$G$2:$G$801, 0)+1))&lt;=46.5,2,1)), IF(INDEX(ERP資料!$G:$G, (MATCH(889, 輔助計算!$G$2:$G$801, 0)+1))&lt;=790,3,IF(INDEX(ERP資料!$G:$G, (MATCH(889, 輔助計算!$G$2:$G$801, 0)+1))&lt;=1181,2,1)))=2,TEXT(INDEX(ERP資料!$G:$G, (MATCH(889, 輔助計算!$G$2:$G$801, 0)+1)),"0.##")&amp;"+"&amp;TEXT(INDEX(ERP資料!$G:$G, (MATCH(889, 輔助計算!$G$2:$G$801, 0)+1)),"0.##"),TEXT(INDEX(ERP資料!$G:$G, (MATCH(889, 輔助計算!$G$2:$G$801, 0)+1)),"0.##")&amp;"+"&amp;TEXT(INDEX(ERP資料!$G:$G, (MATCH(889, 輔助計算!$G$2:$G$801, 0)+1)),"0.##")&amp;"+"&amp;TEXT(INDEX(ERP資料!$G:$G, (MATCH(889, 輔助計算!$G$2:$G$801, 0)+1)),"0.##")))&amp;"-"&amp;INT(INDEX(輔助計算!$D:$D, (MATCH(889, 輔助計算!$G$2:$G$801, 0)+1))/IF(INDEX(ERP資料!$G:$G, (MATCH(889, 輔助計算!$G$2:$G$801, 0)+1))&lt;100, IF(INDEX(ERP資料!$G:$G, (MATCH(889, 輔助計算!$G$2:$G$801, 0)+1))&lt;=31,3,IF(INDEX(ERP資料!$G:$G, (MATCH(889, 輔助計算!$G$2:$G$801, 0)+1))&lt;=46.5,2,1)), IF(INDEX(ERP資料!$G:$G, (MATCH(889, 輔助計算!$G$2:$G$801, 0)+1))&lt;=790,3,IF(INDEX(ERP資料!$G:$G, (MATCH(889, 輔助計算!$G$2:$G$801, 0)+1))&lt;=1181,2,1)))), "")&lt;&gt;"",IF(MOD(INDEX(輔助計算!$D:$D, (MATCH(889, 輔助計算!$G$2:$G$801, 0)+1)),IF(INDEX(ERP資料!$G:$G, (MATCH(889, 輔助計算!$G$2:$G$801, 0)+1))&lt;100, IF(INDEX(ERP資料!$G:$G, (MATCH(889, 輔助計算!$G$2:$G$801, 0)+1))&lt;=31,3,IF(INDEX(ERP資料!$G:$G, (MATCH(889, 輔助計算!$G$2:$G$801, 0)+1))&lt;=46.5,2,1)), IF(INDEX(ERP資料!$G:$G, (MATCH(889, 輔助計算!$G$2:$G$801, 0)+1))&lt;=790,3,IF(INDEX(ERP資料!$G:$G, (MATCH(889, 輔助計算!$G$2:$G$801, 0)+1))&lt;=1181,2,1))))=0,"",IF(MOD(INDEX(輔助計算!$D:$D, (MATCH(889, 輔助計算!$G$2:$G$801, 0)+1)),IF(INDEX(ERP資料!$G:$G, (MATCH(889, 輔助計算!$G$2:$G$801, 0)+1))&lt;100, IF(INDEX(ERP資料!$G:$G, (MATCH(889, 輔助計算!$G$2:$G$801, 0)+1))&lt;=31,3,IF(INDEX(ERP資料!$G:$G, (MATCH(889, 輔助計算!$G$2:$G$801, 0)+1))&lt;=46.5,2,1)), IF(INDEX(ERP資料!$G:$G, (MATCH(889, 輔助計算!$G$2:$G$801, 0)+1))&lt;=790,3,IF(INDEX(ERP資料!$G:$G, (MATCH(889, 輔助計算!$G$2:$G$801, 0)+1))&lt;=1181,2,1))))=0,"",IF(MOD(INDEX(輔助計算!$D:$D, (MATCH(889, 輔助計算!$G$2:$G$801, 0)+1)),IF(INDEX(ERP資料!$G:$G, (MATCH(889, 輔助計算!$G$2:$G$801, 0)+1))&lt;100, IF(INDEX(ERP資料!$G:$G, (MATCH(889, 輔助計算!$G$2:$G$801, 0)+1))&lt;=31,3,IF(INDEX(ERP資料!$G:$G, (MATCH(889, 輔助計算!$G$2:$G$801, 0)+1))&lt;=46.5,2,1)), IF(INDEX(ERP資料!$G:$G, (MATCH(889, 輔助計算!$G$2:$G$801, 0)+1))&lt;=790,3,IF(INDEX(ERP資料!$G:$G, (MATCH(889, 輔助計算!$G$2:$G$801, 0)+1))&lt;=1181,2,1))))=1,TEXT(INDEX(ERP資料!$G:$G, (MATCH(889, 輔助計算!$G$2:$G$801, 0)+1)),"0.##"),IF(MOD(INDEX(輔助計算!$D:$D, (MATCH(889, 輔助計算!$G$2:$G$801, 0)+1)),IF(INDEX(ERP資料!$G:$G, (MATCH(889, 輔助計算!$G$2:$G$801, 0)+1))&lt;100, IF(INDEX(ERP資料!$G:$G, (MATCH(889, 輔助計算!$G$2:$G$801, 0)+1))&lt;=31,3,IF(INDEX(ERP資料!$G:$G, (MATCH(889, 輔助計算!$G$2:$G$801, 0)+1))&lt;=46.5,2,1)), IF(INDEX(ERP資料!$G:$G, (MATCH(889, 輔助計算!$G$2:$G$801, 0)+1))&lt;=790,3,IF(INDEX(ERP資料!$G:$G, (MATCH(889, 輔助計算!$G$2:$G$801, 0)+1))&lt;=1181,2,1))))=2,TEXT(INDEX(ERP資料!$G:$G, (MATCH(889, 輔助計算!$G$2:$G$801, 0)+1)),"0.##")&amp;"+"&amp;TEXT(INDEX(ERP資料!$G:$G, (MATCH(889, 輔助計算!$G$2:$G$801, 0)+1)),"0.##"),TEXT(INDEX(ERP資料!$G:$G, (MATCH(889, 輔助計算!$G$2:$G$801, 0)+1)),"0.##")&amp;"+"&amp;TEXT(INDEX(ERP資料!$G:$G, (MATCH(889, 輔助計算!$G$2:$G$801, 0)+1)),"0.##")&amp;"+"&amp;TEXT(INDEX(ERP資料!$G:$G, (MATCH(889, 輔助計算!$G$2:$G$801, 0)+1)),"0.##"))))&amp;"-1")&lt;&gt;""),"  ","")&amp;IF(MOD(INDEX(輔助計算!$D:$D, (MATCH(889, 輔助計算!$G$2:$G$801, 0)+1)),IF(INDEX(ERP資料!$G:$G, (MATCH(889, 輔助計算!$G$2:$G$801, 0)+1))&lt;100, IF(INDEX(ERP資料!$G:$G, (MATCH(889, 輔助計算!$G$2:$G$801, 0)+1))&lt;=31,3,IF(INDEX(ERP資料!$G:$G, (MATCH(889, 輔助計算!$G$2:$G$801, 0)+1))&lt;=46.5,2,1)), IF(INDEX(ERP資料!$G:$G, (MATCH(889, 輔助計算!$G$2:$G$801, 0)+1))&lt;=790,3,IF(INDEX(ERP資料!$G:$G, (MATCH(889, 輔助計算!$G$2:$G$801, 0)+1))&lt;=1181,2,1))))=0,"",IF(MOD(INDEX(輔助計算!$D:$D, (MATCH(889, 輔助計算!$G$2:$G$801, 0)+1)),IF(INDEX(ERP資料!$G:$G, (MATCH(889, 輔助計算!$G$2:$G$801, 0)+1))&lt;100, IF(INDEX(ERP資料!$G:$G, (MATCH(889, 輔助計算!$G$2:$G$801, 0)+1))&lt;=31,3,IF(INDEX(ERP資料!$G:$G, (MATCH(889, 輔助計算!$G$2:$G$801, 0)+1))&lt;=46.5,2,1)), IF(INDEX(ERP資料!$G:$G, (MATCH(889, 輔助計算!$G$2:$G$801, 0)+1))&lt;=790,3,IF(INDEX(ERP資料!$G:$G, (MATCH(889, 輔助計算!$G$2:$G$801, 0)+1))&lt;=1181,2,1))))=0,"",IF(MOD(INDEX(輔助計算!$D:$D, (MATCH(889, 輔助計算!$G$2:$G$801, 0)+1)),IF(INDEX(ERP資料!$G:$G, (MATCH(889, 輔助計算!$G$2:$G$801, 0)+1))&lt;100, IF(INDEX(ERP資料!$G:$G, (MATCH(889, 輔助計算!$G$2:$G$801, 0)+1))&lt;=31,3,IF(INDEX(ERP資料!$G:$G, (MATCH(889, 輔助計算!$G$2:$G$801, 0)+1))&lt;=46.5,2,1)), IF(INDEX(ERP資料!$G:$G, (MATCH(889, 輔助計算!$G$2:$G$801, 0)+1))&lt;=790,3,IF(INDEX(ERP資料!$G:$G, (MATCH(889, 輔助計算!$G$2:$G$801, 0)+1))&lt;=1181,2,1))))=1,TEXT(INDEX(ERP資料!$G:$G, (MATCH(889, 輔助計算!$G$2:$G$801, 0)+1)),"0.##"),IF(MOD(INDEX(輔助計算!$D:$D, (MATCH(889, 輔助計算!$G$2:$G$801, 0)+1)),IF(INDEX(ERP資料!$G:$G, (MATCH(889, 輔助計算!$G$2:$G$801, 0)+1))&lt;100, IF(INDEX(ERP資料!$G:$G, (MATCH(889, 輔助計算!$G$2:$G$801, 0)+1))&lt;=31,3,IF(INDEX(ERP資料!$G:$G, (MATCH(889, 輔助計算!$G$2:$G$801, 0)+1))&lt;=46.5,2,1)), IF(INDEX(ERP資料!$G:$G, (MATCH(889, 輔助計算!$G$2:$G$801, 0)+1))&lt;=790,3,IF(INDEX(ERP資料!$G:$G, (MATCH(889, 輔助計算!$G$2:$G$801, 0)+1))&lt;=1181,2,1))))=2,TEXT(INDEX(ERP資料!$G:$G, (MATCH(889, 輔助計算!$G$2:$G$801, 0)+1)),"0.##")&amp;"+"&amp;TEXT(INDEX(ERP資料!$G:$G, (MATCH(889, 輔助計算!$G$2:$G$801, 0)+1)),"0.##"),TEXT(INDEX(ERP資料!$G:$G, (MATCH(889, 輔助計算!$G$2:$G$801, 0)+1)),"0.##")&amp;"+"&amp;TEXT(INDEX(ERP資料!$G:$G, (MATCH(889, 輔助計算!$G$2:$G$801, 0)+1)),"0.##")&amp;"+"&amp;TEXT(INDEX(ERP資料!$G:$G, (MATCH(889, 輔助計算!$G$2:$G$801, 0)+1)),"0.##"))))&amp;"-1")), ""), "")</f>
        <v/>
      </c>
      <c r="K890" s="16" t="n"/>
      <c r="L890" s="14">
        <f>IFERROR(IF(AND(IFERROR(INDEX(ERP資料!$A:$A, (MATCH(889, 輔助計算!$G$2:$G$801, 0)+1)), "")&lt;&gt;"", IFERROR(INDEX(ERP資料!$A:$A, (MATCH(889, 輔助計算!$G$2:$G$801, 0)+1)), "")&lt;&gt;IFERROR(INDEX(ERP資料!$A:$A, MATCH(888, 輔助計算!$G$2:$G$801, 0)+1), "")), INDEX(ERP資料!$B:$B, (MATCH(889, 輔助計算!$G$2:$G$801, 0)+1)), ""), "")</f>
        <v/>
      </c>
      <c r="M890" s="17" t="n"/>
    </row>
    <row r="891">
      <c r="A891" s="10">
        <f>IFERROR(IF(AND(IFERROR(INDEX(ERP資料!$A:$A, (MATCH(890, 輔助計算!$G$2:$G$801, 0)+1)), "")&lt;&gt;"", IFERROR(INDEX(ERP資料!$A:$A, (MATCH(890, 輔助計算!$G$2:$G$801, 0)+1)), "")&lt;&gt;IFERROR(INDEX(ERP資料!$A:$A, MATCH(889, 輔助計算!$G$2:$G$801, 0)+1), "")), IFERROR(INDEX(ERP資料!$A:$A, (MATCH(890, 輔助計算!$G$2:$G$801, 0)+1)), ""), ""), "")</f>
        <v/>
      </c>
      <c r="B891" s="10">
        <f>IFERROR(IF(AND(IFERROR(INDEX(ERP資料!$A:$A, (MATCH(890, 輔助計算!$G$2:$G$801, 0)+1)), "")&lt;&gt;"", IFERROR(INDEX(ERP資料!$A:$A, (MATCH(890, 輔助計算!$G$2:$G$801, 0)+1)), "")&lt;&gt;IFERROR(INDEX(ERP資料!$A:$A, MATCH(889, 輔助計算!$G$2:$G$801, 0)+1), "")), INDEX(ERP資料!$S:$S, (MATCH(890, 輔助計算!$G$2:$G$801, 0)+1)), ""), "")</f>
        <v/>
      </c>
      <c r="C891" s="19">
        <f>IFERROR(IF(AND(IFERROR(INDEX(ERP資料!$A:$A, (MATCH(890, 輔助計算!$G$2:$G$801, 0)+1)), "")&lt;&gt;"", IFERROR(INDEX(ERP資料!$A:$A, (MATCH(890, 輔助計算!$G$2:$G$801, 0)+1)), "")&lt;&gt;IFERROR(INDEX(ERP資料!$A:$A, MATCH(889, 輔助計算!$G$2:$G$801, 0)+1), "")), IFERROR(VLOOKUP(LEFT(INDEX(ERP資料!$S:$S, (MATCH(890, 輔助計算!$G$2:$G$801, 0)+1)), 4), 紙管對照表!$A:$C, 3, FALSE), ""), ""), "")</f>
        <v/>
      </c>
      <c r="D891" s="16" t="n"/>
      <c r="E891" s="10">
        <f>IFERROR(IF(INDEX(ERP資料!$H:$H, (MATCH(890, 輔助計算!$G$2:$G$801, 0)+1))="","",INDEX(ERP資料!$H:$H, (MATCH(890, 輔助計算!$G$2:$G$801, 0)+1))), "")</f>
        <v/>
      </c>
      <c r="F891" s="10">
        <f>IFERROR(IF(INDEX(ERP資料!$E:$E, (MATCH(890, 輔助計算!$G$2:$G$801, 0)+1))="","",TRIM(INDEX(ERP資料!$E:$E, (MATCH(890, 輔助計算!$G$2:$G$801, 0)+1)))), "")</f>
        <v/>
      </c>
      <c r="G891" s="10">
        <f>IFERROR(IF(INDEX(ERP資料!$F:$F, (MATCH(890, 輔助計算!$G$2:$G$801, 0)+1))="","",INDEX(ERP資料!$F:$F, (MATCH(890, 輔助計算!$G$2:$G$801, 0)+1))), "")</f>
        <v/>
      </c>
      <c r="H891" s="10">
        <f>IFERROR(IF(INDEX(ERP資料!$G:$G, (MATCH(890, 輔助計算!$G$2:$G$801, 0)+1))="","",INDEX(ERP資料!$G:$G, (MATCH(890, 輔助計算!$G$2:$G$801, 0)+1))), "")</f>
        <v/>
      </c>
      <c r="I891" s="15">
        <f>IFERROR(INDEX(輔助計算!$D:$D, (MATCH(890, 輔助計算!$G$2:$G$801, 0)+1)), "")</f>
        <v/>
      </c>
      <c r="J891" s="15">
        <f>IFERROR(IF(AND(INDEX(輔助計算!$D:$D, (MATCH(890, 輔助計算!$G$2:$G$801, 0)+1))&lt;&gt;"", INDEX(ERP資料!$G:$G, (MATCH(890, 輔助計算!$G$2:$G$801, 0)+1))&lt;&gt;""), TRIM(IF(INT(INDEX(輔助計算!$D:$D, (MATCH(890, 輔助計算!$G$2:$G$801, 0)+1))/IF(INDEX(ERP資料!$G:$G, (MATCH(890, 輔助計算!$G$2:$G$801, 0)+1))&lt;100, IF(INDEX(ERP資料!$G:$G, (MATCH(890, 輔助計算!$G$2:$G$801, 0)+1))&lt;=31,3,IF(INDEX(ERP資料!$G:$G, (MATCH(890, 輔助計算!$G$2:$G$801, 0)+1))&lt;=46.5,2,1)), IF(INDEX(ERP資料!$G:$G, (MATCH(890, 輔助計算!$G$2:$G$801, 0)+1))&lt;=790,3,IF(INDEX(ERP資料!$G:$G, (MATCH(890, 輔助計算!$G$2:$G$801, 0)+1))&lt;=1181,2,1))))&gt;0, IF(IF(INDEX(ERP資料!$G:$G, (MATCH(890, 輔助計算!$G$2:$G$801, 0)+1))&lt;100, IF(INDEX(ERP資料!$G:$G, (MATCH(890, 輔助計算!$G$2:$G$801, 0)+1))&lt;=31,3,IF(INDEX(ERP資料!$G:$G, (MATCH(890, 輔助計算!$G$2:$G$801, 0)+1))&lt;=46.5,2,1)), IF(INDEX(ERP資料!$G:$G, (MATCH(890, 輔助計算!$G$2:$G$801, 0)+1))&lt;=790,3,IF(INDEX(ERP資料!$G:$G, (MATCH(890, 輔助計算!$G$2:$G$801, 0)+1))&lt;=1181,2,1)))=1,TEXT(INDEX(ERP資料!$G:$G, (MATCH(890, 輔助計算!$G$2:$G$801, 0)+1)),"0.##"),IF(IF(INDEX(ERP資料!$G:$G, (MATCH(890, 輔助計算!$G$2:$G$801, 0)+1))&lt;100, IF(INDEX(ERP資料!$G:$G, (MATCH(890, 輔助計算!$G$2:$G$801, 0)+1))&lt;=31,3,IF(INDEX(ERP資料!$G:$G, (MATCH(890, 輔助計算!$G$2:$G$801, 0)+1))&lt;=46.5,2,1)), IF(INDEX(ERP資料!$G:$G, (MATCH(890, 輔助計算!$G$2:$G$801, 0)+1))&lt;=790,3,IF(INDEX(ERP資料!$G:$G, (MATCH(890, 輔助計算!$G$2:$G$801, 0)+1))&lt;=1181,2,1)))=2,TEXT(INDEX(ERP資料!$G:$G, (MATCH(890, 輔助計算!$G$2:$G$801, 0)+1)),"0.##")&amp;"+"&amp;TEXT(INDEX(ERP資料!$G:$G, (MATCH(890, 輔助計算!$G$2:$G$801, 0)+1)),"0.##"),TEXT(INDEX(ERP資料!$G:$G, (MATCH(890, 輔助計算!$G$2:$G$801, 0)+1)),"0.##")&amp;"+"&amp;TEXT(INDEX(ERP資料!$G:$G, (MATCH(890, 輔助計算!$G$2:$G$801, 0)+1)),"0.##")&amp;"+"&amp;TEXT(INDEX(ERP資料!$G:$G, (MATCH(890, 輔助計算!$G$2:$G$801, 0)+1)),"0.##")))&amp;"-"&amp;INT(INDEX(輔助計算!$D:$D, (MATCH(890, 輔助計算!$G$2:$G$801, 0)+1))/IF(INDEX(ERP資料!$G:$G, (MATCH(890, 輔助計算!$G$2:$G$801, 0)+1))&lt;100, IF(INDEX(ERP資料!$G:$G, (MATCH(890, 輔助計算!$G$2:$G$801, 0)+1))&lt;=31,3,IF(INDEX(ERP資料!$G:$G, (MATCH(890, 輔助計算!$G$2:$G$801, 0)+1))&lt;=46.5,2,1)), IF(INDEX(ERP資料!$G:$G, (MATCH(890, 輔助計算!$G$2:$G$801, 0)+1))&lt;=790,3,IF(INDEX(ERP資料!$G:$G, (MATCH(890, 輔助計算!$G$2:$G$801, 0)+1))&lt;=1181,2,1)))), "")&amp;IF(AND(IF(INT(INDEX(輔助計算!$D:$D, (MATCH(890, 輔助計算!$G$2:$G$801, 0)+1))/IF(INDEX(ERP資料!$G:$G, (MATCH(890, 輔助計算!$G$2:$G$801, 0)+1))&lt;100, IF(INDEX(ERP資料!$G:$G, (MATCH(890, 輔助計算!$G$2:$G$801, 0)+1))&lt;=31,3,IF(INDEX(ERP資料!$G:$G, (MATCH(890, 輔助計算!$G$2:$G$801, 0)+1))&lt;=46.5,2,1)), IF(INDEX(ERP資料!$G:$G, (MATCH(890, 輔助計算!$G$2:$G$801, 0)+1))&lt;=790,3,IF(INDEX(ERP資料!$G:$G, (MATCH(890, 輔助計算!$G$2:$G$801, 0)+1))&lt;=1181,2,1))))&gt;0, IF(IF(INDEX(ERP資料!$G:$G, (MATCH(890, 輔助計算!$G$2:$G$801, 0)+1))&lt;100, IF(INDEX(ERP資料!$G:$G, (MATCH(890, 輔助計算!$G$2:$G$801, 0)+1))&lt;=31,3,IF(INDEX(ERP資料!$G:$G, (MATCH(890, 輔助計算!$G$2:$G$801, 0)+1))&lt;=46.5,2,1)), IF(INDEX(ERP資料!$G:$G, (MATCH(890, 輔助計算!$G$2:$G$801, 0)+1))&lt;=790,3,IF(INDEX(ERP資料!$G:$G, (MATCH(890, 輔助計算!$G$2:$G$801, 0)+1))&lt;=1181,2,1)))=1,TEXT(INDEX(ERP資料!$G:$G, (MATCH(890, 輔助計算!$G$2:$G$801, 0)+1)),"0.##"),IF(IF(INDEX(ERP資料!$G:$G, (MATCH(890, 輔助計算!$G$2:$G$801, 0)+1))&lt;100, IF(INDEX(ERP資料!$G:$G, (MATCH(890, 輔助計算!$G$2:$G$801, 0)+1))&lt;=31,3,IF(INDEX(ERP資料!$G:$G, (MATCH(890, 輔助計算!$G$2:$G$801, 0)+1))&lt;=46.5,2,1)), IF(INDEX(ERP資料!$G:$G, (MATCH(890, 輔助計算!$G$2:$G$801, 0)+1))&lt;=790,3,IF(INDEX(ERP資料!$G:$G, (MATCH(890, 輔助計算!$G$2:$G$801, 0)+1))&lt;=1181,2,1)))=2,TEXT(INDEX(ERP資料!$G:$G, (MATCH(890, 輔助計算!$G$2:$G$801, 0)+1)),"0.##")&amp;"+"&amp;TEXT(INDEX(ERP資料!$G:$G, (MATCH(890, 輔助計算!$G$2:$G$801, 0)+1)),"0.##"),TEXT(INDEX(ERP資料!$G:$G, (MATCH(890, 輔助計算!$G$2:$G$801, 0)+1)),"0.##")&amp;"+"&amp;TEXT(INDEX(ERP資料!$G:$G, (MATCH(890, 輔助計算!$G$2:$G$801, 0)+1)),"0.##")&amp;"+"&amp;TEXT(INDEX(ERP資料!$G:$G, (MATCH(890, 輔助計算!$G$2:$G$801, 0)+1)),"0.##")))&amp;"-"&amp;INT(INDEX(輔助計算!$D:$D, (MATCH(890, 輔助計算!$G$2:$G$801, 0)+1))/IF(INDEX(ERP資料!$G:$G, (MATCH(890, 輔助計算!$G$2:$G$801, 0)+1))&lt;100, IF(INDEX(ERP資料!$G:$G, (MATCH(890, 輔助計算!$G$2:$G$801, 0)+1))&lt;=31,3,IF(INDEX(ERP資料!$G:$G, (MATCH(890, 輔助計算!$G$2:$G$801, 0)+1))&lt;=46.5,2,1)), IF(INDEX(ERP資料!$G:$G, (MATCH(890, 輔助計算!$G$2:$G$801, 0)+1))&lt;=790,3,IF(INDEX(ERP資料!$G:$G, (MATCH(890, 輔助計算!$G$2:$G$801, 0)+1))&lt;=1181,2,1)))), "")&lt;&gt;"",IF(MOD(INDEX(輔助計算!$D:$D, (MATCH(890, 輔助計算!$G$2:$G$801, 0)+1)),IF(INDEX(ERP資料!$G:$G, (MATCH(890, 輔助計算!$G$2:$G$801, 0)+1))&lt;100, IF(INDEX(ERP資料!$G:$G, (MATCH(890, 輔助計算!$G$2:$G$801, 0)+1))&lt;=31,3,IF(INDEX(ERP資料!$G:$G, (MATCH(890, 輔助計算!$G$2:$G$801, 0)+1))&lt;=46.5,2,1)), IF(INDEX(ERP資料!$G:$G, (MATCH(890, 輔助計算!$G$2:$G$801, 0)+1))&lt;=790,3,IF(INDEX(ERP資料!$G:$G, (MATCH(890, 輔助計算!$G$2:$G$801, 0)+1))&lt;=1181,2,1))))=0,"",IF(MOD(INDEX(輔助計算!$D:$D, (MATCH(890, 輔助計算!$G$2:$G$801, 0)+1)),IF(INDEX(ERP資料!$G:$G, (MATCH(890, 輔助計算!$G$2:$G$801, 0)+1))&lt;100, IF(INDEX(ERP資料!$G:$G, (MATCH(890, 輔助計算!$G$2:$G$801, 0)+1))&lt;=31,3,IF(INDEX(ERP資料!$G:$G, (MATCH(890, 輔助計算!$G$2:$G$801, 0)+1))&lt;=46.5,2,1)), IF(INDEX(ERP資料!$G:$G, (MATCH(890, 輔助計算!$G$2:$G$801, 0)+1))&lt;=790,3,IF(INDEX(ERP資料!$G:$G, (MATCH(890, 輔助計算!$G$2:$G$801, 0)+1))&lt;=1181,2,1))))=0,"",IF(MOD(INDEX(輔助計算!$D:$D, (MATCH(890, 輔助計算!$G$2:$G$801, 0)+1)),IF(INDEX(ERP資料!$G:$G, (MATCH(890, 輔助計算!$G$2:$G$801, 0)+1))&lt;100, IF(INDEX(ERP資料!$G:$G, (MATCH(890, 輔助計算!$G$2:$G$801, 0)+1))&lt;=31,3,IF(INDEX(ERP資料!$G:$G, (MATCH(890, 輔助計算!$G$2:$G$801, 0)+1))&lt;=46.5,2,1)), IF(INDEX(ERP資料!$G:$G, (MATCH(890, 輔助計算!$G$2:$G$801, 0)+1))&lt;=790,3,IF(INDEX(ERP資料!$G:$G, (MATCH(890, 輔助計算!$G$2:$G$801, 0)+1))&lt;=1181,2,1))))=1,TEXT(INDEX(ERP資料!$G:$G, (MATCH(890, 輔助計算!$G$2:$G$801, 0)+1)),"0.##"),IF(MOD(INDEX(輔助計算!$D:$D, (MATCH(890, 輔助計算!$G$2:$G$801, 0)+1)),IF(INDEX(ERP資料!$G:$G, (MATCH(890, 輔助計算!$G$2:$G$801, 0)+1))&lt;100, IF(INDEX(ERP資料!$G:$G, (MATCH(890, 輔助計算!$G$2:$G$801, 0)+1))&lt;=31,3,IF(INDEX(ERP資料!$G:$G, (MATCH(890, 輔助計算!$G$2:$G$801, 0)+1))&lt;=46.5,2,1)), IF(INDEX(ERP資料!$G:$G, (MATCH(890, 輔助計算!$G$2:$G$801, 0)+1))&lt;=790,3,IF(INDEX(ERP資料!$G:$G, (MATCH(890, 輔助計算!$G$2:$G$801, 0)+1))&lt;=1181,2,1))))=2,TEXT(INDEX(ERP資料!$G:$G, (MATCH(890, 輔助計算!$G$2:$G$801, 0)+1)),"0.##")&amp;"+"&amp;TEXT(INDEX(ERP資料!$G:$G, (MATCH(890, 輔助計算!$G$2:$G$801, 0)+1)),"0.##"),TEXT(INDEX(ERP資料!$G:$G, (MATCH(890, 輔助計算!$G$2:$G$801, 0)+1)),"0.##")&amp;"+"&amp;TEXT(INDEX(ERP資料!$G:$G, (MATCH(890, 輔助計算!$G$2:$G$801, 0)+1)),"0.##")&amp;"+"&amp;TEXT(INDEX(ERP資料!$G:$G, (MATCH(890, 輔助計算!$G$2:$G$801, 0)+1)),"0.##"))))&amp;"-1")&lt;&gt;""),"  ","")&amp;IF(MOD(INDEX(輔助計算!$D:$D, (MATCH(890, 輔助計算!$G$2:$G$801, 0)+1)),IF(INDEX(ERP資料!$G:$G, (MATCH(890, 輔助計算!$G$2:$G$801, 0)+1))&lt;100, IF(INDEX(ERP資料!$G:$G, (MATCH(890, 輔助計算!$G$2:$G$801, 0)+1))&lt;=31,3,IF(INDEX(ERP資料!$G:$G, (MATCH(890, 輔助計算!$G$2:$G$801, 0)+1))&lt;=46.5,2,1)), IF(INDEX(ERP資料!$G:$G, (MATCH(890, 輔助計算!$G$2:$G$801, 0)+1))&lt;=790,3,IF(INDEX(ERP資料!$G:$G, (MATCH(890, 輔助計算!$G$2:$G$801, 0)+1))&lt;=1181,2,1))))=0,"",IF(MOD(INDEX(輔助計算!$D:$D, (MATCH(890, 輔助計算!$G$2:$G$801, 0)+1)),IF(INDEX(ERP資料!$G:$G, (MATCH(890, 輔助計算!$G$2:$G$801, 0)+1))&lt;100, IF(INDEX(ERP資料!$G:$G, (MATCH(890, 輔助計算!$G$2:$G$801, 0)+1))&lt;=31,3,IF(INDEX(ERP資料!$G:$G, (MATCH(890, 輔助計算!$G$2:$G$801, 0)+1))&lt;=46.5,2,1)), IF(INDEX(ERP資料!$G:$G, (MATCH(890, 輔助計算!$G$2:$G$801, 0)+1))&lt;=790,3,IF(INDEX(ERP資料!$G:$G, (MATCH(890, 輔助計算!$G$2:$G$801, 0)+1))&lt;=1181,2,1))))=0,"",IF(MOD(INDEX(輔助計算!$D:$D, (MATCH(890, 輔助計算!$G$2:$G$801, 0)+1)),IF(INDEX(ERP資料!$G:$G, (MATCH(890, 輔助計算!$G$2:$G$801, 0)+1))&lt;100, IF(INDEX(ERP資料!$G:$G, (MATCH(890, 輔助計算!$G$2:$G$801, 0)+1))&lt;=31,3,IF(INDEX(ERP資料!$G:$G, (MATCH(890, 輔助計算!$G$2:$G$801, 0)+1))&lt;=46.5,2,1)), IF(INDEX(ERP資料!$G:$G, (MATCH(890, 輔助計算!$G$2:$G$801, 0)+1))&lt;=790,3,IF(INDEX(ERP資料!$G:$G, (MATCH(890, 輔助計算!$G$2:$G$801, 0)+1))&lt;=1181,2,1))))=1,TEXT(INDEX(ERP資料!$G:$G, (MATCH(890, 輔助計算!$G$2:$G$801, 0)+1)),"0.##"),IF(MOD(INDEX(輔助計算!$D:$D, (MATCH(890, 輔助計算!$G$2:$G$801, 0)+1)),IF(INDEX(ERP資料!$G:$G, (MATCH(890, 輔助計算!$G$2:$G$801, 0)+1))&lt;100, IF(INDEX(ERP資料!$G:$G, (MATCH(890, 輔助計算!$G$2:$G$801, 0)+1))&lt;=31,3,IF(INDEX(ERP資料!$G:$G, (MATCH(890, 輔助計算!$G$2:$G$801, 0)+1))&lt;=46.5,2,1)), IF(INDEX(ERP資料!$G:$G, (MATCH(890, 輔助計算!$G$2:$G$801, 0)+1))&lt;=790,3,IF(INDEX(ERP資料!$G:$G, (MATCH(890, 輔助計算!$G$2:$G$801, 0)+1))&lt;=1181,2,1))))=2,TEXT(INDEX(ERP資料!$G:$G, (MATCH(890, 輔助計算!$G$2:$G$801, 0)+1)),"0.##")&amp;"+"&amp;TEXT(INDEX(ERP資料!$G:$G, (MATCH(890, 輔助計算!$G$2:$G$801, 0)+1)),"0.##"),TEXT(INDEX(ERP資料!$G:$G, (MATCH(890, 輔助計算!$G$2:$G$801, 0)+1)),"0.##")&amp;"+"&amp;TEXT(INDEX(ERP資料!$G:$G, (MATCH(890, 輔助計算!$G$2:$G$801, 0)+1)),"0.##")&amp;"+"&amp;TEXT(INDEX(ERP資料!$G:$G, (MATCH(890, 輔助計算!$G$2:$G$801, 0)+1)),"0.##"))))&amp;"-1")), ""), "")</f>
        <v/>
      </c>
      <c r="K891" s="16" t="n"/>
      <c r="L891" s="14">
        <f>IFERROR(IF(AND(IFERROR(INDEX(ERP資料!$A:$A, (MATCH(890, 輔助計算!$G$2:$G$801, 0)+1)), "")&lt;&gt;"", IFERROR(INDEX(ERP資料!$A:$A, (MATCH(890, 輔助計算!$G$2:$G$801, 0)+1)), "")&lt;&gt;IFERROR(INDEX(ERP資料!$A:$A, MATCH(889, 輔助計算!$G$2:$G$801, 0)+1), "")), INDEX(ERP資料!$B:$B, (MATCH(890, 輔助計算!$G$2:$G$801, 0)+1)), ""), "")</f>
        <v/>
      </c>
      <c r="M891" s="17" t="n"/>
    </row>
    <row r="892">
      <c r="A892" s="10">
        <f>IFERROR(IF(AND(IFERROR(INDEX(ERP資料!$A:$A, (MATCH(891, 輔助計算!$G$2:$G$801, 0)+1)), "")&lt;&gt;"", IFERROR(INDEX(ERP資料!$A:$A, (MATCH(891, 輔助計算!$G$2:$G$801, 0)+1)), "")&lt;&gt;IFERROR(INDEX(ERP資料!$A:$A, MATCH(890, 輔助計算!$G$2:$G$801, 0)+1), "")), IFERROR(INDEX(ERP資料!$A:$A, (MATCH(891, 輔助計算!$G$2:$G$801, 0)+1)), ""), ""), "")</f>
        <v/>
      </c>
      <c r="B892" s="10">
        <f>IFERROR(IF(AND(IFERROR(INDEX(ERP資料!$A:$A, (MATCH(891, 輔助計算!$G$2:$G$801, 0)+1)), "")&lt;&gt;"", IFERROR(INDEX(ERP資料!$A:$A, (MATCH(891, 輔助計算!$G$2:$G$801, 0)+1)), "")&lt;&gt;IFERROR(INDEX(ERP資料!$A:$A, MATCH(890, 輔助計算!$G$2:$G$801, 0)+1), "")), INDEX(ERP資料!$S:$S, (MATCH(891, 輔助計算!$G$2:$G$801, 0)+1)), ""), "")</f>
        <v/>
      </c>
      <c r="C892" s="19">
        <f>IFERROR(IF(AND(IFERROR(INDEX(ERP資料!$A:$A, (MATCH(891, 輔助計算!$G$2:$G$801, 0)+1)), "")&lt;&gt;"", IFERROR(INDEX(ERP資料!$A:$A, (MATCH(891, 輔助計算!$G$2:$G$801, 0)+1)), "")&lt;&gt;IFERROR(INDEX(ERP資料!$A:$A, MATCH(890, 輔助計算!$G$2:$G$801, 0)+1), "")), IFERROR(VLOOKUP(LEFT(INDEX(ERP資料!$S:$S, (MATCH(891, 輔助計算!$G$2:$G$801, 0)+1)), 4), 紙管對照表!$A:$C, 3, FALSE), ""), ""), "")</f>
        <v/>
      </c>
      <c r="D892" s="16" t="n"/>
      <c r="E892" s="10">
        <f>IFERROR(IF(INDEX(ERP資料!$H:$H, (MATCH(891, 輔助計算!$G$2:$G$801, 0)+1))="","",INDEX(ERP資料!$H:$H, (MATCH(891, 輔助計算!$G$2:$G$801, 0)+1))), "")</f>
        <v/>
      </c>
      <c r="F892" s="10">
        <f>IFERROR(IF(INDEX(ERP資料!$E:$E, (MATCH(891, 輔助計算!$G$2:$G$801, 0)+1))="","",TRIM(INDEX(ERP資料!$E:$E, (MATCH(891, 輔助計算!$G$2:$G$801, 0)+1)))), "")</f>
        <v/>
      </c>
      <c r="G892" s="10">
        <f>IFERROR(IF(INDEX(ERP資料!$F:$F, (MATCH(891, 輔助計算!$G$2:$G$801, 0)+1))="","",INDEX(ERP資料!$F:$F, (MATCH(891, 輔助計算!$G$2:$G$801, 0)+1))), "")</f>
        <v/>
      </c>
      <c r="H892" s="10">
        <f>IFERROR(IF(INDEX(ERP資料!$G:$G, (MATCH(891, 輔助計算!$G$2:$G$801, 0)+1))="","",INDEX(ERP資料!$G:$G, (MATCH(891, 輔助計算!$G$2:$G$801, 0)+1))), "")</f>
        <v/>
      </c>
      <c r="I892" s="15">
        <f>IFERROR(INDEX(輔助計算!$D:$D, (MATCH(891, 輔助計算!$G$2:$G$801, 0)+1)), "")</f>
        <v/>
      </c>
      <c r="J892" s="15">
        <f>IFERROR(IF(AND(INDEX(輔助計算!$D:$D, (MATCH(891, 輔助計算!$G$2:$G$801, 0)+1))&lt;&gt;"", INDEX(ERP資料!$G:$G, (MATCH(891, 輔助計算!$G$2:$G$801, 0)+1))&lt;&gt;""), TRIM(IF(INT(INDEX(輔助計算!$D:$D, (MATCH(891, 輔助計算!$G$2:$G$801, 0)+1))/IF(INDEX(ERP資料!$G:$G, (MATCH(891, 輔助計算!$G$2:$G$801, 0)+1))&lt;100, IF(INDEX(ERP資料!$G:$G, (MATCH(891, 輔助計算!$G$2:$G$801, 0)+1))&lt;=31,3,IF(INDEX(ERP資料!$G:$G, (MATCH(891, 輔助計算!$G$2:$G$801, 0)+1))&lt;=46.5,2,1)), IF(INDEX(ERP資料!$G:$G, (MATCH(891, 輔助計算!$G$2:$G$801, 0)+1))&lt;=790,3,IF(INDEX(ERP資料!$G:$G, (MATCH(891, 輔助計算!$G$2:$G$801, 0)+1))&lt;=1181,2,1))))&gt;0, IF(IF(INDEX(ERP資料!$G:$G, (MATCH(891, 輔助計算!$G$2:$G$801, 0)+1))&lt;100, IF(INDEX(ERP資料!$G:$G, (MATCH(891, 輔助計算!$G$2:$G$801, 0)+1))&lt;=31,3,IF(INDEX(ERP資料!$G:$G, (MATCH(891, 輔助計算!$G$2:$G$801, 0)+1))&lt;=46.5,2,1)), IF(INDEX(ERP資料!$G:$G, (MATCH(891, 輔助計算!$G$2:$G$801, 0)+1))&lt;=790,3,IF(INDEX(ERP資料!$G:$G, (MATCH(891, 輔助計算!$G$2:$G$801, 0)+1))&lt;=1181,2,1)))=1,TEXT(INDEX(ERP資料!$G:$G, (MATCH(891, 輔助計算!$G$2:$G$801, 0)+1)),"0.##"),IF(IF(INDEX(ERP資料!$G:$G, (MATCH(891, 輔助計算!$G$2:$G$801, 0)+1))&lt;100, IF(INDEX(ERP資料!$G:$G, (MATCH(891, 輔助計算!$G$2:$G$801, 0)+1))&lt;=31,3,IF(INDEX(ERP資料!$G:$G, (MATCH(891, 輔助計算!$G$2:$G$801, 0)+1))&lt;=46.5,2,1)), IF(INDEX(ERP資料!$G:$G, (MATCH(891, 輔助計算!$G$2:$G$801, 0)+1))&lt;=790,3,IF(INDEX(ERP資料!$G:$G, (MATCH(891, 輔助計算!$G$2:$G$801, 0)+1))&lt;=1181,2,1)))=2,TEXT(INDEX(ERP資料!$G:$G, (MATCH(891, 輔助計算!$G$2:$G$801, 0)+1)),"0.##")&amp;"+"&amp;TEXT(INDEX(ERP資料!$G:$G, (MATCH(891, 輔助計算!$G$2:$G$801, 0)+1)),"0.##"),TEXT(INDEX(ERP資料!$G:$G, (MATCH(891, 輔助計算!$G$2:$G$801, 0)+1)),"0.##")&amp;"+"&amp;TEXT(INDEX(ERP資料!$G:$G, (MATCH(891, 輔助計算!$G$2:$G$801, 0)+1)),"0.##")&amp;"+"&amp;TEXT(INDEX(ERP資料!$G:$G, (MATCH(891, 輔助計算!$G$2:$G$801, 0)+1)),"0.##")))&amp;"-"&amp;INT(INDEX(輔助計算!$D:$D, (MATCH(891, 輔助計算!$G$2:$G$801, 0)+1))/IF(INDEX(ERP資料!$G:$G, (MATCH(891, 輔助計算!$G$2:$G$801, 0)+1))&lt;100, IF(INDEX(ERP資料!$G:$G, (MATCH(891, 輔助計算!$G$2:$G$801, 0)+1))&lt;=31,3,IF(INDEX(ERP資料!$G:$G, (MATCH(891, 輔助計算!$G$2:$G$801, 0)+1))&lt;=46.5,2,1)), IF(INDEX(ERP資料!$G:$G, (MATCH(891, 輔助計算!$G$2:$G$801, 0)+1))&lt;=790,3,IF(INDEX(ERP資料!$G:$G, (MATCH(891, 輔助計算!$G$2:$G$801, 0)+1))&lt;=1181,2,1)))), "")&amp;IF(AND(IF(INT(INDEX(輔助計算!$D:$D, (MATCH(891, 輔助計算!$G$2:$G$801, 0)+1))/IF(INDEX(ERP資料!$G:$G, (MATCH(891, 輔助計算!$G$2:$G$801, 0)+1))&lt;100, IF(INDEX(ERP資料!$G:$G, (MATCH(891, 輔助計算!$G$2:$G$801, 0)+1))&lt;=31,3,IF(INDEX(ERP資料!$G:$G, (MATCH(891, 輔助計算!$G$2:$G$801, 0)+1))&lt;=46.5,2,1)), IF(INDEX(ERP資料!$G:$G, (MATCH(891, 輔助計算!$G$2:$G$801, 0)+1))&lt;=790,3,IF(INDEX(ERP資料!$G:$G, (MATCH(891, 輔助計算!$G$2:$G$801, 0)+1))&lt;=1181,2,1))))&gt;0, IF(IF(INDEX(ERP資料!$G:$G, (MATCH(891, 輔助計算!$G$2:$G$801, 0)+1))&lt;100, IF(INDEX(ERP資料!$G:$G, (MATCH(891, 輔助計算!$G$2:$G$801, 0)+1))&lt;=31,3,IF(INDEX(ERP資料!$G:$G, (MATCH(891, 輔助計算!$G$2:$G$801, 0)+1))&lt;=46.5,2,1)), IF(INDEX(ERP資料!$G:$G, (MATCH(891, 輔助計算!$G$2:$G$801, 0)+1))&lt;=790,3,IF(INDEX(ERP資料!$G:$G, (MATCH(891, 輔助計算!$G$2:$G$801, 0)+1))&lt;=1181,2,1)))=1,TEXT(INDEX(ERP資料!$G:$G, (MATCH(891, 輔助計算!$G$2:$G$801, 0)+1)),"0.##"),IF(IF(INDEX(ERP資料!$G:$G, (MATCH(891, 輔助計算!$G$2:$G$801, 0)+1))&lt;100, IF(INDEX(ERP資料!$G:$G, (MATCH(891, 輔助計算!$G$2:$G$801, 0)+1))&lt;=31,3,IF(INDEX(ERP資料!$G:$G, (MATCH(891, 輔助計算!$G$2:$G$801, 0)+1))&lt;=46.5,2,1)), IF(INDEX(ERP資料!$G:$G, (MATCH(891, 輔助計算!$G$2:$G$801, 0)+1))&lt;=790,3,IF(INDEX(ERP資料!$G:$G, (MATCH(891, 輔助計算!$G$2:$G$801, 0)+1))&lt;=1181,2,1)))=2,TEXT(INDEX(ERP資料!$G:$G, (MATCH(891, 輔助計算!$G$2:$G$801, 0)+1)),"0.##")&amp;"+"&amp;TEXT(INDEX(ERP資料!$G:$G, (MATCH(891, 輔助計算!$G$2:$G$801, 0)+1)),"0.##"),TEXT(INDEX(ERP資料!$G:$G, (MATCH(891, 輔助計算!$G$2:$G$801, 0)+1)),"0.##")&amp;"+"&amp;TEXT(INDEX(ERP資料!$G:$G, (MATCH(891, 輔助計算!$G$2:$G$801, 0)+1)),"0.##")&amp;"+"&amp;TEXT(INDEX(ERP資料!$G:$G, (MATCH(891, 輔助計算!$G$2:$G$801, 0)+1)),"0.##")))&amp;"-"&amp;INT(INDEX(輔助計算!$D:$D, (MATCH(891, 輔助計算!$G$2:$G$801, 0)+1))/IF(INDEX(ERP資料!$G:$G, (MATCH(891, 輔助計算!$G$2:$G$801, 0)+1))&lt;100, IF(INDEX(ERP資料!$G:$G, (MATCH(891, 輔助計算!$G$2:$G$801, 0)+1))&lt;=31,3,IF(INDEX(ERP資料!$G:$G, (MATCH(891, 輔助計算!$G$2:$G$801, 0)+1))&lt;=46.5,2,1)), IF(INDEX(ERP資料!$G:$G, (MATCH(891, 輔助計算!$G$2:$G$801, 0)+1))&lt;=790,3,IF(INDEX(ERP資料!$G:$G, (MATCH(891, 輔助計算!$G$2:$G$801, 0)+1))&lt;=1181,2,1)))), "")&lt;&gt;"",IF(MOD(INDEX(輔助計算!$D:$D, (MATCH(891, 輔助計算!$G$2:$G$801, 0)+1)),IF(INDEX(ERP資料!$G:$G, (MATCH(891, 輔助計算!$G$2:$G$801, 0)+1))&lt;100, IF(INDEX(ERP資料!$G:$G, (MATCH(891, 輔助計算!$G$2:$G$801, 0)+1))&lt;=31,3,IF(INDEX(ERP資料!$G:$G, (MATCH(891, 輔助計算!$G$2:$G$801, 0)+1))&lt;=46.5,2,1)), IF(INDEX(ERP資料!$G:$G, (MATCH(891, 輔助計算!$G$2:$G$801, 0)+1))&lt;=790,3,IF(INDEX(ERP資料!$G:$G, (MATCH(891, 輔助計算!$G$2:$G$801, 0)+1))&lt;=1181,2,1))))=0,"",IF(MOD(INDEX(輔助計算!$D:$D, (MATCH(891, 輔助計算!$G$2:$G$801, 0)+1)),IF(INDEX(ERP資料!$G:$G, (MATCH(891, 輔助計算!$G$2:$G$801, 0)+1))&lt;100, IF(INDEX(ERP資料!$G:$G, (MATCH(891, 輔助計算!$G$2:$G$801, 0)+1))&lt;=31,3,IF(INDEX(ERP資料!$G:$G, (MATCH(891, 輔助計算!$G$2:$G$801, 0)+1))&lt;=46.5,2,1)), IF(INDEX(ERP資料!$G:$G, (MATCH(891, 輔助計算!$G$2:$G$801, 0)+1))&lt;=790,3,IF(INDEX(ERP資料!$G:$G, (MATCH(891, 輔助計算!$G$2:$G$801, 0)+1))&lt;=1181,2,1))))=0,"",IF(MOD(INDEX(輔助計算!$D:$D, (MATCH(891, 輔助計算!$G$2:$G$801, 0)+1)),IF(INDEX(ERP資料!$G:$G, (MATCH(891, 輔助計算!$G$2:$G$801, 0)+1))&lt;100, IF(INDEX(ERP資料!$G:$G, (MATCH(891, 輔助計算!$G$2:$G$801, 0)+1))&lt;=31,3,IF(INDEX(ERP資料!$G:$G, (MATCH(891, 輔助計算!$G$2:$G$801, 0)+1))&lt;=46.5,2,1)), IF(INDEX(ERP資料!$G:$G, (MATCH(891, 輔助計算!$G$2:$G$801, 0)+1))&lt;=790,3,IF(INDEX(ERP資料!$G:$G, (MATCH(891, 輔助計算!$G$2:$G$801, 0)+1))&lt;=1181,2,1))))=1,TEXT(INDEX(ERP資料!$G:$G, (MATCH(891, 輔助計算!$G$2:$G$801, 0)+1)),"0.##"),IF(MOD(INDEX(輔助計算!$D:$D, (MATCH(891, 輔助計算!$G$2:$G$801, 0)+1)),IF(INDEX(ERP資料!$G:$G, (MATCH(891, 輔助計算!$G$2:$G$801, 0)+1))&lt;100, IF(INDEX(ERP資料!$G:$G, (MATCH(891, 輔助計算!$G$2:$G$801, 0)+1))&lt;=31,3,IF(INDEX(ERP資料!$G:$G, (MATCH(891, 輔助計算!$G$2:$G$801, 0)+1))&lt;=46.5,2,1)), IF(INDEX(ERP資料!$G:$G, (MATCH(891, 輔助計算!$G$2:$G$801, 0)+1))&lt;=790,3,IF(INDEX(ERP資料!$G:$G, (MATCH(891, 輔助計算!$G$2:$G$801, 0)+1))&lt;=1181,2,1))))=2,TEXT(INDEX(ERP資料!$G:$G, (MATCH(891, 輔助計算!$G$2:$G$801, 0)+1)),"0.##")&amp;"+"&amp;TEXT(INDEX(ERP資料!$G:$G, (MATCH(891, 輔助計算!$G$2:$G$801, 0)+1)),"0.##"),TEXT(INDEX(ERP資料!$G:$G, (MATCH(891, 輔助計算!$G$2:$G$801, 0)+1)),"0.##")&amp;"+"&amp;TEXT(INDEX(ERP資料!$G:$G, (MATCH(891, 輔助計算!$G$2:$G$801, 0)+1)),"0.##")&amp;"+"&amp;TEXT(INDEX(ERP資料!$G:$G, (MATCH(891, 輔助計算!$G$2:$G$801, 0)+1)),"0.##"))))&amp;"-1")&lt;&gt;""),"  ","")&amp;IF(MOD(INDEX(輔助計算!$D:$D, (MATCH(891, 輔助計算!$G$2:$G$801, 0)+1)),IF(INDEX(ERP資料!$G:$G, (MATCH(891, 輔助計算!$G$2:$G$801, 0)+1))&lt;100, IF(INDEX(ERP資料!$G:$G, (MATCH(891, 輔助計算!$G$2:$G$801, 0)+1))&lt;=31,3,IF(INDEX(ERP資料!$G:$G, (MATCH(891, 輔助計算!$G$2:$G$801, 0)+1))&lt;=46.5,2,1)), IF(INDEX(ERP資料!$G:$G, (MATCH(891, 輔助計算!$G$2:$G$801, 0)+1))&lt;=790,3,IF(INDEX(ERP資料!$G:$G, (MATCH(891, 輔助計算!$G$2:$G$801, 0)+1))&lt;=1181,2,1))))=0,"",IF(MOD(INDEX(輔助計算!$D:$D, (MATCH(891, 輔助計算!$G$2:$G$801, 0)+1)),IF(INDEX(ERP資料!$G:$G, (MATCH(891, 輔助計算!$G$2:$G$801, 0)+1))&lt;100, IF(INDEX(ERP資料!$G:$G, (MATCH(891, 輔助計算!$G$2:$G$801, 0)+1))&lt;=31,3,IF(INDEX(ERP資料!$G:$G, (MATCH(891, 輔助計算!$G$2:$G$801, 0)+1))&lt;=46.5,2,1)), IF(INDEX(ERP資料!$G:$G, (MATCH(891, 輔助計算!$G$2:$G$801, 0)+1))&lt;=790,3,IF(INDEX(ERP資料!$G:$G, (MATCH(891, 輔助計算!$G$2:$G$801, 0)+1))&lt;=1181,2,1))))=0,"",IF(MOD(INDEX(輔助計算!$D:$D, (MATCH(891, 輔助計算!$G$2:$G$801, 0)+1)),IF(INDEX(ERP資料!$G:$G, (MATCH(891, 輔助計算!$G$2:$G$801, 0)+1))&lt;100, IF(INDEX(ERP資料!$G:$G, (MATCH(891, 輔助計算!$G$2:$G$801, 0)+1))&lt;=31,3,IF(INDEX(ERP資料!$G:$G, (MATCH(891, 輔助計算!$G$2:$G$801, 0)+1))&lt;=46.5,2,1)), IF(INDEX(ERP資料!$G:$G, (MATCH(891, 輔助計算!$G$2:$G$801, 0)+1))&lt;=790,3,IF(INDEX(ERP資料!$G:$G, (MATCH(891, 輔助計算!$G$2:$G$801, 0)+1))&lt;=1181,2,1))))=1,TEXT(INDEX(ERP資料!$G:$G, (MATCH(891, 輔助計算!$G$2:$G$801, 0)+1)),"0.##"),IF(MOD(INDEX(輔助計算!$D:$D, (MATCH(891, 輔助計算!$G$2:$G$801, 0)+1)),IF(INDEX(ERP資料!$G:$G, (MATCH(891, 輔助計算!$G$2:$G$801, 0)+1))&lt;100, IF(INDEX(ERP資料!$G:$G, (MATCH(891, 輔助計算!$G$2:$G$801, 0)+1))&lt;=31,3,IF(INDEX(ERP資料!$G:$G, (MATCH(891, 輔助計算!$G$2:$G$801, 0)+1))&lt;=46.5,2,1)), IF(INDEX(ERP資料!$G:$G, (MATCH(891, 輔助計算!$G$2:$G$801, 0)+1))&lt;=790,3,IF(INDEX(ERP資料!$G:$G, (MATCH(891, 輔助計算!$G$2:$G$801, 0)+1))&lt;=1181,2,1))))=2,TEXT(INDEX(ERP資料!$G:$G, (MATCH(891, 輔助計算!$G$2:$G$801, 0)+1)),"0.##")&amp;"+"&amp;TEXT(INDEX(ERP資料!$G:$G, (MATCH(891, 輔助計算!$G$2:$G$801, 0)+1)),"0.##"),TEXT(INDEX(ERP資料!$G:$G, (MATCH(891, 輔助計算!$G$2:$G$801, 0)+1)),"0.##")&amp;"+"&amp;TEXT(INDEX(ERP資料!$G:$G, (MATCH(891, 輔助計算!$G$2:$G$801, 0)+1)),"0.##")&amp;"+"&amp;TEXT(INDEX(ERP資料!$G:$G, (MATCH(891, 輔助計算!$G$2:$G$801, 0)+1)),"0.##"))))&amp;"-1")), ""), "")</f>
        <v/>
      </c>
      <c r="K892" s="16" t="n"/>
      <c r="L892" s="14">
        <f>IFERROR(IF(AND(IFERROR(INDEX(ERP資料!$A:$A, (MATCH(891, 輔助計算!$G$2:$G$801, 0)+1)), "")&lt;&gt;"", IFERROR(INDEX(ERP資料!$A:$A, (MATCH(891, 輔助計算!$G$2:$G$801, 0)+1)), "")&lt;&gt;IFERROR(INDEX(ERP資料!$A:$A, MATCH(890, 輔助計算!$G$2:$G$801, 0)+1), "")), INDEX(ERP資料!$B:$B, (MATCH(891, 輔助計算!$G$2:$G$801, 0)+1)), ""), "")</f>
        <v/>
      </c>
      <c r="M892" s="17" t="n"/>
    </row>
    <row r="893">
      <c r="A893" s="10">
        <f>IFERROR(IF(AND(IFERROR(INDEX(ERP資料!$A:$A, (MATCH(892, 輔助計算!$G$2:$G$801, 0)+1)), "")&lt;&gt;"", IFERROR(INDEX(ERP資料!$A:$A, (MATCH(892, 輔助計算!$G$2:$G$801, 0)+1)), "")&lt;&gt;IFERROR(INDEX(ERP資料!$A:$A, MATCH(891, 輔助計算!$G$2:$G$801, 0)+1), "")), IFERROR(INDEX(ERP資料!$A:$A, (MATCH(892, 輔助計算!$G$2:$G$801, 0)+1)), ""), ""), "")</f>
        <v/>
      </c>
      <c r="B893" s="10">
        <f>IFERROR(IF(AND(IFERROR(INDEX(ERP資料!$A:$A, (MATCH(892, 輔助計算!$G$2:$G$801, 0)+1)), "")&lt;&gt;"", IFERROR(INDEX(ERP資料!$A:$A, (MATCH(892, 輔助計算!$G$2:$G$801, 0)+1)), "")&lt;&gt;IFERROR(INDEX(ERP資料!$A:$A, MATCH(891, 輔助計算!$G$2:$G$801, 0)+1), "")), INDEX(ERP資料!$S:$S, (MATCH(892, 輔助計算!$G$2:$G$801, 0)+1)), ""), "")</f>
        <v/>
      </c>
      <c r="C893" s="19">
        <f>IFERROR(IF(AND(IFERROR(INDEX(ERP資料!$A:$A, (MATCH(892, 輔助計算!$G$2:$G$801, 0)+1)), "")&lt;&gt;"", IFERROR(INDEX(ERP資料!$A:$A, (MATCH(892, 輔助計算!$G$2:$G$801, 0)+1)), "")&lt;&gt;IFERROR(INDEX(ERP資料!$A:$A, MATCH(891, 輔助計算!$G$2:$G$801, 0)+1), "")), IFERROR(VLOOKUP(LEFT(INDEX(ERP資料!$S:$S, (MATCH(892, 輔助計算!$G$2:$G$801, 0)+1)), 4), 紙管對照表!$A:$C, 3, FALSE), ""), ""), "")</f>
        <v/>
      </c>
      <c r="D893" s="16" t="n"/>
      <c r="E893" s="10">
        <f>IFERROR(IF(INDEX(ERP資料!$H:$H, (MATCH(892, 輔助計算!$G$2:$G$801, 0)+1))="","",INDEX(ERP資料!$H:$H, (MATCH(892, 輔助計算!$G$2:$G$801, 0)+1))), "")</f>
        <v/>
      </c>
      <c r="F893" s="10">
        <f>IFERROR(IF(INDEX(ERP資料!$E:$E, (MATCH(892, 輔助計算!$G$2:$G$801, 0)+1))="","",TRIM(INDEX(ERP資料!$E:$E, (MATCH(892, 輔助計算!$G$2:$G$801, 0)+1)))), "")</f>
        <v/>
      </c>
      <c r="G893" s="10">
        <f>IFERROR(IF(INDEX(ERP資料!$F:$F, (MATCH(892, 輔助計算!$G$2:$G$801, 0)+1))="","",INDEX(ERP資料!$F:$F, (MATCH(892, 輔助計算!$G$2:$G$801, 0)+1))), "")</f>
        <v/>
      </c>
      <c r="H893" s="10">
        <f>IFERROR(IF(INDEX(ERP資料!$G:$G, (MATCH(892, 輔助計算!$G$2:$G$801, 0)+1))="","",INDEX(ERP資料!$G:$G, (MATCH(892, 輔助計算!$G$2:$G$801, 0)+1))), "")</f>
        <v/>
      </c>
      <c r="I893" s="15">
        <f>IFERROR(INDEX(輔助計算!$D:$D, (MATCH(892, 輔助計算!$G$2:$G$801, 0)+1)), "")</f>
        <v/>
      </c>
      <c r="J893" s="15">
        <f>IFERROR(IF(AND(INDEX(輔助計算!$D:$D, (MATCH(892, 輔助計算!$G$2:$G$801, 0)+1))&lt;&gt;"", INDEX(ERP資料!$G:$G, (MATCH(892, 輔助計算!$G$2:$G$801, 0)+1))&lt;&gt;""), TRIM(IF(INT(INDEX(輔助計算!$D:$D, (MATCH(892, 輔助計算!$G$2:$G$801, 0)+1))/IF(INDEX(ERP資料!$G:$G, (MATCH(892, 輔助計算!$G$2:$G$801, 0)+1))&lt;100, IF(INDEX(ERP資料!$G:$G, (MATCH(892, 輔助計算!$G$2:$G$801, 0)+1))&lt;=31,3,IF(INDEX(ERP資料!$G:$G, (MATCH(892, 輔助計算!$G$2:$G$801, 0)+1))&lt;=46.5,2,1)), IF(INDEX(ERP資料!$G:$G, (MATCH(892, 輔助計算!$G$2:$G$801, 0)+1))&lt;=790,3,IF(INDEX(ERP資料!$G:$G, (MATCH(892, 輔助計算!$G$2:$G$801, 0)+1))&lt;=1181,2,1))))&gt;0, IF(IF(INDEX(ERP資料!$G:$G, (MATCH(892, 輔助計算!$G$2:$G$801, 0)+1))&lt;100, IF(INDEX(ERP資料!$G:$G, (MATCH(892, 輔助計算!$G$2:$G$801, 0)+1))&lt;=31,3,IF(INDEX(ERP資料!$G:$G, (MATCH(892, 輔助計算!$G$2:$G$801, 0)+1))&lt;=46.5,2,1)), IF(INDEX(ERP資料!$G:$G, (MATCH(892, 輔助計算!$G$2:$G$801, 0)+1))&lt;=790,3,IF(INDEX(ERP資料!$G:$G, (MATCH(892, 輔助計算!$G$2:$G$801, 0)+1))&lt;=1181,2,1)))=1,TEXT(INDEX(ERP資料!$G:$G, (MATCH(892, 輔助計算!$G$2:$G$801, 0)+1)),"0.##"),IF(IF(INDEX(ERP資料!$G:$G, (MATCH(892, 輔助計算!$G$2:$G$801, 0)+1))&lt;100, IF(INDEX(ERP資料!$G:$G, (MATCH(892, 輔助計算!$G$2:$G$801, 0)+1))&lt;=31,3,IF(INDEX(ERP資料!$G:$G, (MATCH(892, 輔助計算!$G$2:$G$801, 0)+1))&lt;=46.5,2,1)), IF(INDEX(ERP資料!$G:$G, (MATCH(892, 輔助計算!$G$2:$G$801, 0)+1))&lt;=790,3,IF(INDEX(ERP資料!$G:$G, (MATCH(892, 輔助計算!$G$2:$G$801, 0)+1))&lt;=1181,2,1)))=2,TEXT(INDEX(ERP資料!$G:$G, (MATCH(892, 輔助計算!$G$2:$G$801, 0)+1)),"0.##")&amp;"+"&amp;TEXT(INDEX(ERP資料!$G:$G, (MATCH(892, 輔助計算!$G$2:$G$801, 0)+1)),"0.##"),TEXT(INDEX(ERP資料!$G:$G, (MATCH(892, 輔助計算!$G$2:$G$801, 0)+1)),"0.##")&amp;"+"&amp;TEXT(INDEX(ERP資料!$G:$G, (MATCH(892, 輔助計算!$G$2:$G$801, 0)+1)),"0.##")&amp;"+"&amp;TEXT(INDEX(ERP資料!$G:$G, (MATCH(892, 輔助計算!$G$2:$G$801, 0)+1)),"0.##")))&amp;"-"&amp;INT(INDEX(輔助計算!$D:$D, (MATCH(892, 輔助計算!$G$2:$G$801, 0)+1))/IF(INDEX(ERP資料!$G:$G, (MATCH(892, 輔助計算!$G$2:$G$801, 0)+1))&lt;100, IF(INDEX(ERP資料!$G:$G, (MATCH(892, 輔助計算!$G$2:$G$801, 0)+1))&lt;=31,3,IF(INDEX(ERP資料!$G:$G, (MATCH(892, 輔助計算!$G$2:$G$801, 0)+1))&lt;=46.5,2,1)), IF(INDEX(ERP資料!$G:$G, (MATCH(892, 輔助計算!$G$2:$G$801, 0)+1))&lt;=790,3,IF(INDEX(ERP資料!$G:$G, (MATCH(892, 輔助計算!$G$2:$G$801, 0)+1))&lt;=1181,2,1)))), "")&amp;IF(AND(IF(INT(INDEX(輔助計算!$D:$D, (MATCH(892, 輔助計算!$G$2:$G$801, 0)+1))/IF(INDEX(ERP資料!$G:$G, (MATCH(892, 輔助計算!$G$2:$G$801, 0)+1))&lt;100, IF(INDEX(ERP資料!$G:$G, (MATCH(892, 輔助計算!$G$2:$G$801, 0)+1))&lt;=31,3,IF(INDEX(ERP資料!$G:$G, (MATCH(892, 輔助計算!$G$2:$G$801, 0)+1))&lt;=46.5,2,1)), IF(INDEX(ERP資料!$G:$G, (MATCH(892, 輔助計算!$G$2:$G$801, 0)+1))&lt;=790,3,IF(INDEX(ERP資料!$G:$G, (MATCH(892, 輔助計算!$G$2:$G$801, 0)+1))&lt;=1181,2,1))))&gt;0, IF(IF(INDEX(ERP資料!$G:$G, (MATCH(892, 輔助計算!$G$2:$G$801, 0)+1))&lt;100, IF(INDEX(ERP資料!$G:$G, (MATCH(892, 輔助計算!$G$2:$G$801, 0)+1))&lt;=31,3,IF(INDEX(ERP資料!$G:$G, (MATCH(892, 輔助計算!$G$2:$G$801, 0)+1))&lt;=46.5,2,1)), IF(INDEX(ERP資料!$G:$G, (MATCH(892, 輔助計算!$G$2:$G$801, 0)+1))&lt;=790,3,IF(INDEX(ERP資料!$G:$G, (MATCH(892, 輔助計算!$G$2:$G$801, 0)+1))&lt;=1181,2,1)))=1,TEXT(INDEX(ERP資料!$G:$G, (MATCH(892, 輔助計算!$G$2:$G$801, 0)+1)),"0.##"),IF(IF(INDEX(ERP資料!$G:$G, (MATCH(892, 輔助計算!$G$2:$G$801, 0)+1))&lt;100, IF(INDEX(ERP資料!$G:$G, (MATCH(892, 輔助計算!$G$2:$G$801, 0)+1))&lt;=31,3,IF(INDEX(ERP資料!$G:$G, (MATCH(892, 輔助計算!$G$2:$G$801, 0)+1))&lt;=46.5,2,1)), IF(INDEX(ERP資料!$G:$G, (MATCH(892, 輔助計算!$G$2:$G$801, 0)+1))&lt;=790,3,IF(INDEX(ERP資料!$G:$G, (MATCH(892, 輔助計算!$G$2:$G$801, 0)+1))&lt;=1181,2,1)))=2,TEXT(INDEX(ERP資料!$G:$G, (MATCH(892, 輔助計算!$G$2:$G$801, 0)+1)),"0.##")&amp;"+"&amp;TEXT(INDEX(ERP資料!$G:$G, (MATCH(892, 輔助計算!$G$2:$G$801, 0)+1)),"0.##"),TEXT(INDEX(ERP資料!$G:$G, (MATCH(892, 輔助計算!$G$2:$G$801, 0)+1)),"0.##")&amp;"+"&amp;TEXT(INDEX(ERP資料!$G:$G, (MATCH(892, 輔助計算!$G$2:$G$801, 0)+1)),"0.##")&amp;"+"&amp;TEXT(INDEX(ERP資料!$G:$G, (MATCH(892, 輔助計算!$G$2:$G$801, 0)+1)),"0.##")))&amp;"-"&amp;INT(INDEX(輔助計算!$D:$D, (MATCH(892, 輔助計算!$G$2:$G$801, 0)+1))/IF(INDEX(ERP資料!$G:$G, (MATCH(892, 輔助計算!$G$2:$G$801, 0)+1))&lt;100, IF(INDEX(ERP資料!$G:$G, (MATCH(892, 輔助計算!$G$2:$G$801, 0)+1))&lt;=31,3,IF(INDEX(ERP資料!$G:$G, (MATCH(892, 輔助計算!$G$2:$G$801, 0)+1))&lt;=46.5,2,1)), IF(INDEX(ERP資料!$G:$G, (MATCH(892, 輔助計算!$G$2:$G$801, 0)+1))&lt;=790,3,IF(INDEX(ERP資料!$G:$G, (MATCH(892, 輔助計算!$G$2:$G$801, 0)+1))&lt;=1181,2,1)))), "")&lt;&gt;"",IF(MOD(INDEX(輔助計算!$D:$D, (MATCH(892, 輔助計算!$G$2:$G$801, 0)+1)),IF(INDEX(ERP資料!$G:$G, (MATCH(892, 輔助計算!$G$2:$G$801, 0)+1))&lt;100, IF(INDEX(ERP資料!$G:$G, (MATCH(892, 輔助計算!$G$2:$G$801, 0)+1))&lt;=31,3,IF(INDEX(ERP資料!$G:$G, (MATCH(892, 輔助計算!$G$2:$G$801, 0)+1))&lt;=46.5,2,1)), IF(INDEX(ERP資料!$G:$G, (MATCH(892, 輔助計算!$G$2:$G$801, 0)+1))&lt;=790,3,IF(INDEX(ERP資料!$G:$G, (MATCH(892, 輔助計算!$G$2:$G$801, 0)+1))&lt;=1181,2,1))))=0,"",IF(MOD(INDEX(輔助計算!$D:$D, (MATCH(892, 輔助計算!$G$2:$G$801, 0)+1)),IF(INDEX(ERP資料!$G:$G, (MATCH(892, 輔助計算!$G$2:$G$801, 0)+1))&lt;100, IF(INDEX(ERP資料!$G:$G, (MATCH(892, 輔助計算!$G$2:$G$801, 0)+1))&lt;=31,3,IF(INDEX(ERP資料!$G:$G, (MATCH(892, 輔助計算!$G$2:$G$801, 0)+1))&lt;=46.5,2,1)), IF(INDEX(ERP資料!$G:$G, (MATCH(892, 輔助計算!$G$2:$G$801, 0)+1))&lt;=790,3,IF(INDEX(ERP資料!$G:$G, (MATCH(892, 輔助計算!$G$2:$G$801, 0)+1))&lt;=1181,2,1))))=0,"",IF(MOD(INDEX(輔助計算!$D:$D, (MATCH(892, 輔助計算!$G$2:$G$801, 0)+1)),IF(INDEX(ERP資料!$G:$G, (MATCH(892, 輔助計算!$G$2:$G$801, 0)+1))&lt;100, IF(INDEX(ERP資料!$G:$G, (MATCH(892, 輔助計算!$G$2:$G$801, 0)+1))&lt;=31,3,IF(INDEX(ERP資料!$G:$G, (MATCH(892, 輔助計算!$G$2:$G$801, 0)+1))&lt;=46.5,2,1)), IF(INDEX(ERP資料!$G:$G, (MATCH(892, 輔助計算!$G$2:$G$801, 0)+1))&lt;=790,3,IF(INDEX(ERP資料!$G:$G, (MATCH(892, 輔助計算!$G$2:$G$801, 0)+1))&lt;=1181,2,1))))=1,TEXT(INDEX(ERP資料!$G:$G, (MATCH(892, 輔助計算!$G$2:$G$801, 0)+1)),"0.##"),IF(MOD(INDEX(輔助計算!$D:$D, (MATCH(892, 輔助計算!$G$2:$G$801, 0)+1)),IF(INDEX(ERP資料!$G:$G, (MATCH(892, 輔助計算!$G$2:$G$801, 0)+1))&lt;100, IF(INDEX(ERP資料!$G:$G, (MATCH(892, 輔助計算!$G$2:$G$801, 0)+1))&lt;=31,3,IF(INDEX(ERP資料!$G:$G, (MATCH(892, 輔助計算!$G$2:$G$801, 0)+1))&lt;=46.5,2,1)), IF(INDEX(ERP資料!$G:$G, (MATCH(892, 輔助計算!$G$2:$G$801, 0)+1))&lt;=790,3,IF(INDEX(ERP資料!$G:$G, (MATCH(892, 輔助計算!$G$2:$G$801, 0)+1))&lt;=1181,2,1))))=2,TEXT(INDEX(ERP資料!$G:$G, (MATCH(892, 輔助計算!$G$2:$G$801, 0)+1)),"0.##")&amp;"+"&amp;TEXT(INDEX(ERP資料!$G:$G, (MATCH(892, 輔助計算!$G$2:$G$801, 0)+1)),"0.##"),TEXT(INDEX(ERP資料!$G:$G, (MATCH(892, 輔助計算!$G$2:$G$801, 0)+1)),"0.##")&amp;"+"&amp;TEXT(INDEX(ERP資料!$G:$G, (MATCH(892, 輔助計算!$G$2:$G$801, 0)+1)),"0.##")&amp;"+"&amp;TEXT(INDEX(ERP資料!$G:$G, (MATCH(892, 輔助計算!$G$2:$G$801, 0)+1)),"0.##"))))&amp;"-1")&lt;&gt;""),"  ","")&amp;IF(MOD(INDEX(輔助計算!$D:$D, (MATCH(892, 輔助計算!$G$2:$G$801, 0)+1)),IF(INDEX(ERP資料!$G:$G, (MATCH(892, 輔助計算!$G$2:$G$801, 0)+1))&lt;100, IF(INDEX(ERP資料!$G:$G, (MATCH(892, 輔助計算!$G$2:$G$801, 0)+1))&lt;=31,3,IF(INDEX(ERP資料!$G:$G, (MATCH(892, 輔助計算!$G$2:$G$801, 0)+1))&lt;=46.5,2,1)), IF(INDEX(ERP資料!$G:$G, (MATCH(892, 輔助計算!$G$2:$G$801, 0)+1))&lt;=790,3,IF(INDEX(ERP資料!$G:$G, (MATCH(892, 輔助計算!$G$2:$G$801, 0)+1))&lt;=1181,2,1))))=0,"",IF(MOD(INDEX(輔助計算!$D:$D, (MATCH(892, 輔助計算!$G$2:$G$801, 0)+1)),IF(INDEX(ERP資料!$G:$G, (MATCH(892, 輔助計算!$G$2:$G$801, 0)+1))&lt;100, IF(INDEX(ERP資料!$G:$G, (MATCH(892, 輔助計算!$G$2:$G$801, 0)+1))&lt;=31,3,IF(INDEX(ERP資料!$G:$G, (MATCH(892, 輔助計算!$G$2:$G$801, 0)+1))&lt;=46.5,2,1)), IF(INDEX(ERP資料!$G:$G, (MATCH(892, 輔助計算!$G$2:$G$801, 0)+1))&lt;=790,3,IF(INDEX(ERP資料!$G:$G, (MATCH(892, 輔助計算!$G$2:$G$801, 0)+1))&lt;=1181,2,1))))=0,"",IF(MOD(INDEX(輔助計算!$D:$D, (MATCH(892, 輔助計算!$G$2:$G$801, 0)+1)),IF(INDEX(ERP資料!$G:$G, (MATCH(892, 輔助計算!$G$2:$G$801, 0)+1))&lt;100, IF(INDEX(ERP資料!$G:$G, (MATCH(892, 輔助計算!$G$2:$G$801, 0)+1))&lt;=31,3,IF(INDEX(ERP資料!$G:$G, (MATCH(892, 輔助計算!$G$2:$G$801, 0)+1))&lt;=46.5,2,1)), IF(INDEX(ERP資料!$G:$G, (MATCH(892, 輔助計算!$G$2:$G$801, 0)+1))&lt;=790,3,IF(INDEX(ERP資料!$G:$G, (MATCH(892, 輔助計算!$G$2:$G$801, 0)+1))&lt;=1181,2,1))))=1,TEXT(INDEX(ERP資料!$G:$G, (MATCH(892, 輔助計算!$G$2:$G$801, 0)+1)),"0.##"),IF(MOD(INDEX(輔助計算!$D:$D, (MATCH(892, 輔助計算!$G$2:$G$801, 0)+1)),IF(INDEX(ERP資料!$G:$G, (MATCH(892, 輔助計算!$G$2:$G$801, 0)+1))&lt;100, IF(INDEX(ERP資料!$G:$G, (MATCH(892, 輔助計算!$G$2:$G$801, 0)+1))&lt;=31,3,IF(INDEX(ERP資料!$G:$G, (MATCH(892, 輔助計算!$G$2:$G$801, 0)+1))&lt;=46.5,2,1)), IF(INDEX(ERP資料!$G:$G, (MATCH(892, 輔助計算!$G$2:$G$801, 0)+1))&lt;=790,3,IF(INDEX(ERP資料!$G:$G, (MATCH(892, 輔助計算!$G$2:$G$801, 0)+1))&lt;=1181,2,1))))=2,TEXT(INDEX(ERP資料!$G:$G, (MATCH(892, 輔助計算!$G$2:$G$801, 0)+1)),"0.##")&amp;"+"&amp;TEXT(INDEX(ERP資料!$G:$G, (MATCH(892, 輔助計算!$G$2:$G$801, 0)+1)),"0.##"),TEXT(INDEX(ERP資料!$G:$G, (MATCH(892, 輔助計算!$G$2:$G$801, 0)+1)),"0.##")&amp;"+"&amp;TEXT(INDEX(ERP資料!$G:$G, (MATCH(892, 輔助計算!$G$2:$G$801, 0)+1)),"0.##")&amp;"+"&amp;TEXT(INDEX(ERP資料!$G:$G, (MATCH(892, 輔助計算!$G$2:$G$801, 0)+1)),"0.##"))))&amp;"-1")), ""), "")</f>
        <v/>
      </c>
      <c r="K893" s="16" t="n"/>
      <c r="L893" s="14">
        <f>IFERROR(IF(AND(IFERROR(INDEX(ERP資料!$A:$A, (MATCH(892, 輔助計算!$G$2:$G$801, 0)+1)), "")&lt;&gt;"", IFERROR(INDEX(ERP資料!$A:$A, (MATCH(892, 輔助計算!$G$2:$G$801, 0)+1)), "")&lt;&gt;IFERROR(INDEX(ERP資料!$A:$A, MATCH(891, 輔助計算!$G$2:$G$801, 0)+1), "")), INDEX(ERP資料!$B:$B, (MATCH(892, 輔助計算!$G$2:$G$801, 0)+1)), ""), "")</f>
        <v/>
      </c>
      <c r="M893" s="17" t="n"/>
    </row>
    <row r="894">
      <c r="A894" s="10">
        <f>IFERROR(IF(AND(IFERROR(INDEX(ERP資料!$A:$A, (MATCH(893, 輔助計算!$G$2:$G$801, 0)+1)), "")&lt;&gt;"", IFERROR(INDEX(ERP資料!$A:$A, (MATCH(893, 輔助計算!$G$2:$G$801, 0)+1)), "")&lt;&gt;IFERROR(INDEX(ERP資料!$A:$A, MATCH(892, 輔助計算!$G$2:$G$801, 0)+1), "")), IFERROR(INDEX(ERP資料!$A:$A, (MATCH(893, 輔助計算!$G$2:$G$801, 0)+1)), ""), ""), "")</f>
        <v/>
      </c>
      <c r="B894" s="10">
        <f>IFERROR(IF(AND(IFERROR(INDEX(ERP資料!$A:$A, (MATCH(893, 輔助計算!$G$2:$G$801, 0)+1)), "")&lt;&gt;"", IFERROR(INDEX(ERP資料!$A:$A, (MATCH(893, 輔助計算!$G$2:$G$801, 0)+1)), "")&lt;&gt;IFERROR(INDEX(ERP資料!$A:$A, MATCH(892, 輔助計算!$G$2:$G$801, 0)+1), "")), INDEX(ERP資料!$S:$S, (MATCH(893, 輔助計算!$G$2:$G$801, 0)+1)), ""), "")</f>
        <v/>
      </c>
      <c r="C894" s="19">
        <f>IFERROR(IF(AND(IFERROR(INDEX(ERP資料!$A:$A, (MATCH(893, 輔助計算!$G$2:$G$801, 0)+1)), "")&lt;&gt;"", IFERROR(INDEX(ERP資料!$A:$A, (MATCH(893, 輔助計算!$G$2:$G$801, 0)+1)), "")&lt;&gt;IFERROR(INDEX(ERP資料!$A:$A, MATCH(892, 輔助計算!$G$2:$G$801, 0)+1), "")), IFERROR(VLOOKUP(LEFT(INDEX(ERP資料!$S:$S, (MATCH(893, 輔助計算!$G$2:$G$801, 0)+1)), 4), 紙管對照表!$A:$C, 3, FALSE), ""), ""), "")</f>
        <v/>
      </c>
      <c r="D894" s="16" t="n"/>
      <c r="E894" s="10">
        <f>IFERROR(IF(INDEX(ERP資料!$H:$H, (MATCH(893, 輔助計算!$G$2:$G$801, 0)+1))="","",INDEX(ERP資料!$H:$H, (MATCH(893, 輔助計算!$G$2:$G$801, 0)+1))), "")</f>
        <v/>
      </c>
      <c r="F894" s="10">
        <f>IFERROR(IF(INDEX(ERP資料!$E:$E, (MATCH(893, 輔助計算!$G$2:$G$801, 0)+1))="","",TRIM(INDEX(ERP資料!$E:$E, (MATCH(893, 輔助計算!$G$2:$G$801, 0)+1)))), "")</f>
        <v/>
      </c>
      <c r="G894" s="10">
        <f>IFERROR(IF(INDEX(ERP資料!$F:$F, (MATCH(893, 輔助計算!$G$2:$G$801, 0)+1))="","",INDEX(ERP資料!$F:$F, (MATCH(893, 輔助計算!$G$2:$G$801, 0)+1))), "")</f>
        <v/>
      </c>
      <c r="H894" s="10">
        <f>IFERROR(IF(INDEX(ERP資料!$G:$G, (MATCH(893, 輔助計算!$G$2:$G$801, 0)+1))="","",INDEX(ERP資料!$G:$G, (MATCH(893, 輔助計算!$G$2:$G$801, 0)+1))), "")</f>
        <v/>
      </c>
      <c r="I894" s="15">
        <f>IFERROR(INDEX(輔助計算!$D:$D, (MATCH(893, 輔助計算!$G$2:$G$801, 0)+1)), "")</f>
        <v/>
      </c>
      <c r="J894" s="15">
        <f>IFERROR(IF(AND(INDEX(輔助計算!$D:$D, (MATCH(893, 輔助計算!$G$2:$G$801, 0)+1))&lt;&gt;"", INDEX(ERP資料!$G:$G, (MATCH(893, 輔助計算!$G$2:$G$801, 0)+1))&lt;&gt;""), TRIM(IF(INT(INDEX(輔助計算!$D:$D, (MATCH(893, 輔助計算!$G$2:$G$801, 0)+1))/IF(INDEX(ERP資料!$G:$G, (MATCH(893, 輔助計算!$G$2:$G$801, 0)+1))&lt;100, IF(INDEX(ERP資料!$G:$G, (MATCH(893, 輔助計算!$G$2:$G$801, 0)+1))&lt;=31,3,IF(INDEX(ERP資料!$G:$G, (MATCH(893, 輔助計算!$G$2:$G$801, 0)+1))&lt;=46.5,2,1)), IF(INDEX(ERP資料!$G:$G, (MATCH(893, 輔助計算!$G$2:$G$801, 0)+1))&lt;=790,3,IF(INDEX(ERP資料!$G:$G, (MATCH(893, 輔助計算!$G$2:$G$801, 0)+1))&lt;=1181,2,1))))&gt;0, IF(IF(INDEX(ERP資料!$G:$G, (MATCH(893, 輔助計算!$G$2:$G$801, 0)+1))&lt;100, IF(INDEX(ERP資料!$G:$G, (MATCH(893, 輔助計算!$G$2:$G$801, 0)+1))&lt;=31,3,IF(INDEX(ERP資料!$G:$G, (MATCH(893, 輔助計算!$G$2:$G$801, 0)+1))&lt;=46.5,2,1)), IF(INDEX(ERP資料!$G:$G, (MATCH(893, 輔助計算!$G$2:$G$801, 0)+1))&lt;=790,3,IF(INDEX(ERP資料!$G:$G, (MATCH(893, 輔助計算!$G$2:$G$801, 0)+1))&lt;=1181,2,1)))=1,TEXT(INDEX(ERP資料!$G:$G, (MATCH(893, 輔助計算!$G$2:$G$801, 0)+1)),"0.##"),IF(IF(INDEX(ERP資料!$G:$G, (MATCH(893, 輔助計算!$G$2:$G$801, 0)+1))&lt;100, IF(INDEX(ERP資料!$G:$G, (MATCH(893, 輔助計算!$G$2:$G$801, 0)+1))&lt;=31,3,IF(INDEX(ERP資料!$G:$G, (MATCH(893, 輔助計算!$G$2:$G$801, 0)+1))&lt;=46.5,2,1)), IF(INDEX(ERP資料!$G:$G, (MATCH(893, 輔助計算!$G$2:$G$801, 0)+1))&lt;=790,3,IF(INDEX(ERP資料!$G:$G, (MATCH(893, 輔助計算!$G$2:$G$801, 0)+1))&lt;=1181,2,1)))=2,TEXT(INDEX(ERP資料!$G:$G, (MATCH(893, 輔助計算!$G$2:$G$801, 0)+1)),"0.##")&amp;"+"&amp;TEXT(INDEX(ERP資料!$G:$G, (MATCH(893, 輔助計算!$G$2:$G$801, 0)+1)),"0.##"),TEXT(INDEX(ERP資料!$G:$G, (MATCH(893, 輔助計算!$G$2:$G$801, 0)+1)),"0.##")&amp;"+"&amp;TEXT(INDEX(ERP資料!$G:$G, (MATCH(893, 輔助計算!$G$2:$G$801, 0)+1)),"0.##")&amp;"+"&amp;TEXT(INDEX(ERP資料!$G:$G, (MATCH(893, 輔助計算!$G$2:$G$801, 0)+1)),"0.##")))&amp;"-"&amp;INT(INDEX(輔助計算!$D:$D, (MATCH(893, 輔助計算!$G$2:$G$801, 0)+1))/IF(INDEX(ERP資料!$G:$G, (MATCH(893, 輔助計算!$G$2:$G$801, 0)+1))&lt;100, IF(INDEX(ERP資料!$G:$G, (MATCH(893, 輔助計算!$G$2:$G$801, 0)+1))&lt;=31,3,IF(INDEX(ERP資料!$G:$G, (MATCH(893, 輔助計算!$G$2:$G$801, 0)+1))&lt;=46.5,2,1)), IF(INDEX(ERP資料!$G:$G, (MATCH(893, 輔助計算!$G$2:$G$801, 0)+1))&lt;=790,3,IF(INDEX(ERP資料!$G:$G, (MATCH(893, 輔助計算!$G$2:$G$801, 0)+1))&lt;=1181,2,1)))), "")&amp;IF(AND(IF(INT(INDEX(輔助計算!$D:$D, (MATCH(893, 輔助計算!$G$2:$G$801, 0)+1))/IF(INDEX(ERP資料!$G:$G, (MATCH(893, 輔助計算!$G$2:$G$801, 0)+1))&lt;100, IF(INDEX(ERP資料!$G:$G, (MATCH(893, 輔助計算!$G$2:$G$801, 0)+1))&lt;=31,3,IF(INDEX(ERP資料!$G:$G, (MATCH(893, 輔助計算!$G$2:$G$801, 0)+1))&lt;=46.5,2,1)), IF(INDEX(ERP資料!$G:$G, (MATCH(893, 輔助計算!$G$2:$G$801, 0)+1))&lt;=790,3,IF(INDEX(ERP資料!$G:$G, (MATCH(893, 輔助計算!$G$2:$G$801, 0)+1))&lt;=1181,2,1))))&gt;0, IF(IF(INDEX(ERP資料!$G:$G, (MATCH(893, 輔助計算!$G$2:$G$801, 0)+1))&lt;100, IF(INDEX(ERP資料!$G:$G, (MATCH(893, 輔助計算!$G$2:$G$801, 0)+1))&lt;=31,3,IF(INDEX(ERP資料!$G:$G, (MATCH(893, 輔助計算!$G$2:$G$801, 0)+1))&lt;=46.5,2,1)), IF(INDEX(ERP資料!$G:$G, (MATCH(893, 輔助計算!$G$2:$G$801, 0)+1))&lt;=790,3,IF(INDEX(ERP資料!$G:$G, (MATCH(893, 輔助計算!$G$2:$G$801, 0)+1))&lt;=1181,2,1)))=1,TEXT(INDEX(ERP資料!$G:$G, (MATCH(893, 輔助計算!$G$2:$G$801, 0)+1)),"0.##"),IF(IF(INDEX(ERP資料!$G:$G, (MATCH(893, 輔助計算!$G$2:$G$801, 0)+1))&lt;100, IF(INDEX(ERP資料!$G:$G, (MATCH(893, 輔助計算!$G$2:$G$801, 0)+1))&lt;=31,3,IF(INDEX(ERP資料!$G:$G, (MATCH(893, 輔助計算!$G$2:$G$801, 0)+1))&lt;=46.5,2,1)), IF(INDEX(ERP資料!$G:$G, (MATCH(893, 輔助計算!$G$2:$G$801, 0)+1))&lt;=790,3,IF(INDEX(ERP資料!$G:$G, (MATCH(893, 輔助計算!$G$2:$G$801, 0)+1))&lt;=1181,2,1)))=2,TEXT(INDEX(ERP資料!$G:$G, (MATCH(893, 輔助計算!$G$2:$G$801, 0)+1)),"0.##")&amp;"+"&amp;TEXT(INDEX(ERP資料!$G:$G, (MATCH(893, 輔助計算!$G$2:$G$801, 0)+1)),"0.##"),TEXT(INDEX(ERP資料!$G:$G, (MATCH(893, 輔助計算!$G$2:$G$801, 0)+1)),"0.##")&amp;"+"&amp;TEXT(INDEX(ERP資料!$G:$G, (MATCH(893, 輔助計算!$G$2:$G$801, 0)+1)),"0.##")&amp;"+"&amp;TEXT(INDEX(ERP資料!$G:$G, (MATCH(893, 輔助計算!$G$2:$G$801, 0)+1)),"0.##")))&amp;"-"&amp;INT(INDEX(輔助計算!$D:$D, (MATCH(893, 輔助計算!$G$2:$G$801, 0)+1))/IF(INDEX(ERP資料!$G:$G, (MATCH(893, 輔助計算!$G$2:$G$801, 0)+1))&lt;100, IF(INDEX(ERP資料!$G:$G, (MATCH(893, 輔助計算!$G$2:$G$801, 0)+1))&lt;=31,3,IF(INDEX(ERP資料!$G:$G, (MATCH(893, 輔助計算!$G$2:$G$801, 0)+1))&lt;=46.5,2,1)), IF(INDEX(ERP資料!$G:$G, (MATCH(893, 輔助計算!$G$2:$G$801, 0)+1))&lt;=790,3,IF(INDEX(ERP資料!$G:$G, (MATCH(893, 輔助計算!$G$2:$G$801, 0)+1))&lt;=1181,2,1)))), "")&lt;&gt;"",IF(MOD(INDEX(輔助計算!$D:$D, (MATCH(893, 輔助計算!$G$2:$G$801, 0)+1)),IF(INDEX(ERP資料!$G:$G, (MATCH(893, 輔助計算!$G$2:$G$801, 0)+1))&lt;100, IF(INDEX(ERP資料!$G:$G, (MATCH(893, 輔助計算!$G$2:$G$801, 0)+1))&lt;=31,3,IF(INDEX(ERP資料!$G:$G, (MATCH(893, 輔助計算!$G$2:$G$801, 0)+1))&lt;=46.5,2,1)), IF(INDEX(ERP資料!$G:$G, (MATCH(893, 輔助計算!$G$2:$G$801, 0)+1))&lt;=790,3,IF(INDEX(ERP資料!$G:$G, (MATCH(893, 輔助計算!$G$2:$G$801, 0)+1))&lt;=1181,2,1))))=0,"",IF(MOD(INDEX(輔助計算!$D:$D, (MATCH(893, 輔助計算!$G$2:$G$801, 0)+1)),IF(INDEX(ERP資料!$G:$G, (MATCH(893, 輔助計算!$G$2:$G$801, 0)+1))&lt;100, IF(INDEX(ERP資料!$G:$G, (MATCH(893, 輔助計算!$G$2:$G$801, 0)+1))&lt;=31,3,IF(INDEX(ERP資料!$G:$G, (MATCH(893, 輔助計算!$G$2:$G$801, 0)+1))&lt;=46.5,2,1)), IF(INDEX(ERP資料!$G:$G, (MATCH(893, 輔助計算!$G$2:$G$801, 0)+1))&lt;=790,3,IF(INDEX(ERP資料!$G:$G, (MATCH(893, 輔助計算!$G$2:$G$801, 0)+1))&lt;=1181,2,1))))=0,"",IF(MOD(INDEX(輔助計算!$D:$D, (MATCH(893, 輔助計算!$G$2:$G$801, 0)+1)),IF(INDEX(ERP資料!$G:$G, (MATCH(893, 輔助計算!$G$2:$G$801, 0)+1))&lt;100, IF(INDEX(ERP資料!$G:$G, (MATCH(893, 輔助計算!$G$2:$G$801, 0)+1))&lt;=31,3,IF(INDEX(ERP資料!$G:$G, (MATCH(893, 輔助計算!$G$2:$G$801, 0)+1))&lt;=46.5,2,1)), IF(INDEX(ERP資料!$G:$G, (MATCH(893, 輔助計算!$G$2:$G$801, 0)+1))&lt;=790,3,IF(INDEX(ERP資料!$G:$G, (MATCH(893, 輔助計算!$G$2:$G$801, 0)+1))&lt;=1181,2,1))))=1,TEXT(INDEX(ERP資料!$G:$G, (MATCH(893, 輔助計算!$G$2:$G$801, 0)+1)),"0.##"),IF(MOD(INDEX(輔助計算!$D:$D, (MATCH(893, 輔助計算!$G$2:$G$801, 0)+1)),IF(INDEX(ERP資料!$G:$G, (MATCH(893, 輔助計算!$G$2:$G$801, 0)+1))&lt;100, IF(INDEX(ERP資料!$G:$G, (MATCH(893, 輔助計算!$G$2:$G$801, 0)+1))&lt;=31,3,IF(INDEX(ERP資料!$G:$G, (MATCH(893, 輔助計算!$G$2:$G$801, 0)+1))&lt;=46.5,2,1)), IF(INDEX(ERP資料!$G:$G, (MATCH(893, 輔助計算!$G$2:$G$801, 0)+1))&lt;=790,3,IF(INDEX(ERP資料!$G:$G, (MATCH(893, 輔助計算!$G$2:$G$801, 0)+1))&lt;=1181,2,1))))=2,TEXT(INDEX(ERP資料!$G:$G, (MATCH(893, 輔助計算!$G$2:$G$801, 0)+1)),"0.##")&amp;"+"&amp;TEXT(INDEX(ERP資料!$G:$G, (MATCH(893, 輔助計算!$G$2:$G$801, 0)+1)),"0.##"),TEXT(INDEX(ERP資料!$G:$G, (MATCH(893, 輔助計算!$G$2:$G$801, 0)+1)),"0.##")&amp;"+"&amp;TEXT(INDEX(ERP資料!$G:$G, (MATCH(893, 輔助計算!$G$2:$G$801, 0)+1)),"0.##")&amp;"+"&amp;TEXT(INDEX(ERP資料!$G:$G, (MATCH(893, 輔助計算!$G$2:$G$801, 0)+1)),"0.##"))))&amp;"-1")&lt;&gt;""),"  ","")&amp;IF(MOD(INDEX(輔助計算!$D:$D, (MATCH(893, 輔助計算!$G$2:$G$801, 0)+1)),IF(INDEX(ERP資料!$G:$G, (MATCH(893, 輔助計算!$G$2:$G$801, 0)+1))&lt;100, IF(INDEX(ERP資料!$G:$G, (MATCH(893, 輔助計算!$G$2:$G$801, 0)+1))&lt;=31,3,IF(INDEX(ERP資料!$G:$G, (MATCH(893, 輔助計算!$G$2:$G$801, 0)+1))&lt;=46.5,2,1)), IF(INDEX(ERP資料!$G:$G, (MATCH(893, 輔助計算!$G$2:$G$801, 0)+1))&lt;=790,3,IF(INDEX(ERP資料!$G:$G, (MATCH(893, 輔助計算!$G$2:$G$801, 0)+1))&lt;=1181,2,1))))=0,"",IF(MOD(INDEX(輔助計算!$D:$D, (MATCH(893, 輔助計算!$G$2:$G$801, 0)+1)),IF(INDEX(ERP資料!$G:$G, (MATCH(893, 輔助計算!$G$2:$G$801, 0)+1))&lt;100, IF(INDEX(ERP資料!$G:$G, (MATCH(893, 輔助計算!$G$2:$G$801, 0)+1))&lt;=31,3,IF(INDEX(ERP資料!$G:$G, (MATCH(893, 輔助計算!$G$2:$G$801, 0)+1))&lt;=46.5,2,1)), IF(INDEX(ERP資料!$G:$G, (MATCH(893, 輔助計算!$G$2:$G$801, 0)+1))&lt;=790,3,IF(INDEX(ERP資料!$G:$G, (MATCH(893, 輔助計算!$G$2:$G$801, 0)+1))&lt;=1181,2,1))))=0,"",IF(MOD(INDEX(輔助計算!$D:$D, (MATCH(893, 輔助計算!$G$2:$G$801, 0)+1)),IF(INDEX(ERP資料!$G:$G, (MATCH(893, 輔助計算!$G$2:$G$801, 0)+1))&lt;100, IF(INDEX(ERP資料!$G:$G, (MATCH(893, 輔助計算!$G$2:$G$801, 0)+1))&lt;=31,3,IF(INDEX(ERP資料!$G:$G, (MATCH(893, 輔助計算!$G$2:$G$801, 0)+1))&lt;=46.5,2,1)), IF(INDEX(ERP資料!$G:$G, (MATCH(893, 輔助計算!$G$2:$G$801, 0)+1))&lt;=790,3,IF(INDEX(ERP資料!$G:$G, (MATCH(893, 輔助計算!$G$2:$G$801, 0)+1))&lt;=1181,2,1))))=1,TEXT(INDEX(ERP資料!$G:$G, (MATCH(893, 輔助計算!$G$2:$G$801, 0)+1)),"0.##"),IF(MOD(INDEX(輔助計算!$D:$D, (MATCH(893, 輔助計算!$G$2:$G$801, 0)+1)),IF(INDEX(ERP資料!$G:$G, (MATCH(893, 輔助計算!$G$2:$G$801, 0)+1))&lt;100, IF(INDEX(ERP資料!$G:$G, (MATCH(893, 輔助計算!$G$2:$G$801, 0)+1))&lt;=31,3,IF(INDEX(ERP資料!$G:$G, (MATCH(893, 輔助計算!$G$2:$G$801, 0)+1))&lt;=46.5,2,1)), IF(INDEX(ERP資料!$G:$G, (MATCH(893, 輔助計算!$G$2:$G$801, 0)+1))&lt;=790,3,IF(INDEX(ERP資料!$G:$G, (MATCH(893, 輔助計算!$G$2:$G$801, 0)+1))&lt;=1181,2,1))))=2,TEXT(INDEX(ERP資料!$G:$G, (MATCH(893, 輔助計算!$G$2:$G$801, 0)+1)),"0.##")&amp;"+"&amp;TEXT(INDEX(ERP資料!$G:$G, (MATCH(893, 輔助計算!$G$2:$G$801, 0)+1)),"0.##"),TEXT(INDEX(ERP資料!$G:$G, (MATCH(893, 輔助計算!$G$2:$G$801, 0)+1)),"0.##")&amp;"+"&amp;TEXT(INDEX(ERP資料!$G:$G, (MATCH(893, 輔助計算!$G$2:$G$801, 0)+1)),"0.##")&amp;"+"&amp;TEXT(INDEX(ERP資料!$G:$G, (MATCH(893, 輔助計算!$G$2:$G$801, 0)+1)),"0.##"))))&amp;"-1")), ""), "")</f>
        <v/>
      </c>
      <c r="K894" s="16" t="n"/>
      <c r="L894" s="14">
        <f>IFERROR(IF(AND(IFERROR(INDEX(ERP資料!$A:$A, (MATCH(893, 輔助計算!$G$2:$G$801, 0)+1)), "")&lt;&gt;"", IFERROR(INDEX(ERP資料!$A:$A, (MATCH(893, 輔助計算!$G$2:$G$801, 0)+1)), "")&lt;&gt;IFERROR(INDEX(ERP資料!$A:$A, MATCH(892, 輔助計算!$G$2:$G$801, 0)+1), "")), INDEX(ERP資料!$B:$B, (MATCH(893, 輔助計算!$G$2:$G$801, 0)+1)), ""), "")</f>
        <v/>
      </c>
      <c r="M894" s="17" t="n"/>
    </row>
    <row r="895">
      <c r="A895" s="10">
        <f>IFERROR(IF(AND(IFERROR(INDEX(ERP資料!$A:$A, (MATCH(894, 輔助計算!$G$2:$G$801, 0)+1)), "")&lt;&gt;"", IFERROR(INDEX(ERP資料!$A:$A, (MATCH(894, 輔助計算!$G$2:$G$801, 0)+1)), "")&lt;&gt;IFERROR(INDEX(ERP資料!$A:$A, MATCH(893, 輔助計算!$G$2:$G$801, 0)+1), "")), IFERROR(INDEX(ERP資料!$A:$A, (MATCH(894, 輔助計算!$G$2:$G$801, 0)+1)), ""), ""), "")</f>
        <v/>
      </c>
      <c r="B895" s="10">
        <f>IFERROR(IF(AND(IFERROR(INDEX(ERP資料!$A:$A, (MATCH(894, 輔助計算!$G$2:$G$801, 0)+1)), "")&lt;&gt;"", IFERROR(INDEX(ERP資料!$A:$A, (MATCH(894, 輔助計算!$G$2:$G$801, 0)+1)), "")&lt;&gt;IFERROR(INDEX(ERP資料!$A:$A, MATCH(893, 輔助計算!$G$2:$G$801, 0)+1), "")), INDEX(ERP資料!$S:$S, (MATCH(894, 輔助計算!$G$2:$G$801, 0)+1)), ""), "")</f>
        <v/>
      </c>
      <c r="C895" s="19">
        <f>IFERROR(IF(AND(IFERROR(INDEX(ERP資料!$A:$A, (MATCH(894, 輔助計算!$G$2:$G$801, 0)+1)), "")&lt;&gt;"", IFERROR(INDEX(ERP資料!$A:$A, (MATCH(894, 輔助計算!$G$2:$G$801, 0)+1)), "")&lt;&gt;IFERROR(INDEX(ERP資料!$A:$A, MATCH(893, 輔助計算!$G$2:$G$801, 0)+1), "")), IFERROR(VLOOKUP(LEFT(INDEX(ERP資料!$S:$S, (MATCH(894, 輔助計算!$G$2:$G$801, 0)+1)), 4), 紙管對照表!$A:$C, 3, FALSE), ""), ""), "")</f>
        <v/>
      </c>
      <c r="D895" s="16" t="n"/>
      <c r="E895" s="10">
        <f>IFERROR(IF(INDEX(ERP資料!$H:$H, (MATCH(894, 輔助計算!$G$2:$G$801, 0)+1))="","",INDEX(ERP資料!$H:$H, (MATCH(894, 輔助計算!$G$2:$G$801, 0)+1))), "")</f>
        <v/>
      </c>
      <c r="F895" s="10">
        <f>IFERROR(IF(INDEX(ERP資料!$E:$E, (MATCH(894, 輔助計算!$G$2:$G$801, 0)+1))="","",TRIM(INDEX(ERP資料!$E:$E, (MATCH(894, 輔助計算!$G$2:$G$801, 0)+1)))), "")</f>
        <v/>
      </c>
      <c r="G895" s="10">
        <f>IFERROR(IF(INDEX(ERP資料!$F:$F, (MATCH(894, 輔助計算!$G$2:$G$801, 0)+1))="","",INDEX(ERP資料!$F:$F, (MATCH(894, 輔助計算!$G$2:$G$801, 0)+1))), "")</f>
        <v/>
      </c>
      <c r="H895" s="10">
        <f>IFERROR(IF(INDEX(ERP資料!$G:$G, (MATCH(894, 輔助計算!$G$2:$G$801, 0)+1))="","",INDEX(ERP資料!$G:$G, (MATCH(894, 輔助計算!$G$2:$G$801, 0)+1))), "")</f>
        <v/>
      </c>
      <c r="I895" s="15">
        <f>IFERROR(INDEX(輔助計算!$D:$D, (MATCH(894, 輔助計算!$G$2:$G$801, 0)+1)), "")</f>
        <v/>
      </c>
      <c r="J895" s="15">
        <f>IFERROR(IF(AND(INDEX(輔助計算!$D:$D, (MATCH(894, 輔助計算!$G$2:$G$801, 0)+1))&lt;&gt;"", INDEX(ERP資料!$G:$G, (MATCH(894, 輔助計算!$G$2:$G$801, 0)+1))&lt;&gt;""), TRIM(IF(INT(INDEX(輔助計算!$D:$D, (MATCH(894, 輔助計算!$G$2:$G$801, 0)+1))/IF(INDEX(ERP資料!$G:$G, (MATCH(894, 輔助計算!$G$2:$G$801, 0)+1))&lt;100, IF(INDEX(ERP資料!$G:$G, (MATCH(894, 輔助計算!$G$2:$G$801, 0)+1))&lt;=31,3,IF(INDEX(ERP資料!$G:$G, (MATCH(894, 輔助計算!$G$2:$G$801, 0)+1))&lt;=46.5,2,1)), IF(INDEX(ERP資料!$G:$G, (MATCH(894, 輔助計算!$G$2:$G$801, 0)+1))&lt;=790,3,IF(INDEX(ERP資料!$G:$G, (MATCH(894, 輔助計算!$G$2:$G$801, 0)+1))&lt;=1181,2,1))))&gt;0, IF(IF(INDEX(ERP資料!$G:$G, (MATCH(894, 輔助計算!$G$2:$G$801, 0)+1))&lt;100, IF(INDEX(ERP資料!$G:$G, (MATCH(894, 輔助計算!$G$2:$G$801, 0)+1))&lt;=31,3,IF(INDEX(ERP資料!$G:$G, (MATCH(894, 輔助計算!$G$2:$G$801, 0)+1))&lt;=46.5,2,1)), IF(INDEX(ERP資料!$G:$G, (MATCH(894, 輔助計算!$G$2:$G$801, 0)+1))&lt;=790,3,IF(INDEX(ERP資料!$G:$G, (MATCH(894, 輔助計算!$G$2:$G$801, 0)+1))&lt;=1181,2,1)))=1,TEXT(INDEX(ERP資料!$G:$G, (MATCH(894, 輔助計算!$G$2:$G$801, 0)+1)),"0.##"),IF(IF(INDEX(ERP資料!$G:$G, (MATCH(894, 輔助計算!$G$2:$G$801, 0)+1))&lt;100, IF(INDEX(ERP資料!$G:$G, (MATCH(894, 輔助計算!$G$2:$G$801, 0)+1))&lt;=31,3,IF(INDEX(ERP資料!$G:$G, (MATCH(894, 輔助計算!$G$2:$G$801, 0)+1))&lt;=46.5,2,1)), IF(INDEX(ERP資料!$G:$G, (MATCH(894, 輔助計算!$G$2:$G$801, 0)+1))&lt;=790,3,IF(INDEX(ERP資料!$G:$G, (MATCH(894, 輔助計算!$G$2:$G$801, 0)+1))&lt;=1181,2,1)))=2,TEXT(INDEX(ERP資料!$G:$G, (MATCH(894, 輔助計算!$G$2:$G$801, 0)+1)),"0.##")&amp;"+"&amp;TEXT(INDEX(ERP資料!$G:$G, (MATCH(894, 輔助計算!$G$2:$G$801, 0)+1)),"0.##"),TEXT(INDEX(ERP資料!$G:$G, (MATCH(894, 輔助計算!$G$2:$G$801, 0)+1)),"0.##")&amp;"+"&amp;TEXT(INDEX(ERP資料!$G:$G, (MATCH(894, 輔助計算!$G$2:$G$801, 0)+1)),"0.##")&amp;"+"&amp;TEXT(INDEX(ERP資料!$G:$G, (MATCH(894, 輔助計算!$G$2:$G$801, 0)+1)),"0.##")))&amp;"-"&amp;INT(INDEX(輔助計算!$D:$D, (MATCH(894, 輔助計算!$G$2:$G$801, 0)+1))/IF(INDEX(ERP資料!$G:$G, (MATCH(894, 輔助計算!$G$2:$G$801, 0)+1))&lt;100, IF(INDEX(ERP資料!$G:$G, (MATCH(894, 輔助計算!$G$2:$G$801, 0)+1))&lt;=31,3,IF(INDEX(ERP資料!$G:$G, (MATCH(894, 輔助計算!$G$2:$G$801, 0)+1))&lt;=46.5,2,1)), IF(INDEX(ERP資料!$G:$G, (MATCH(894, 輔助計算!$G$2:$G$801, 0)+1))&lt;=790,3,IF(INDEX(ERP資料!$G:$G, (MATCH(894, 輔助計算!$G$2:$G$801, 0)+1))&lt;=1181,2,1)))), "")&amp;IF(AND(IF(INT(INDEX(輔助計算!$D:$D, (MATCH(894, 輔助計算!$G$2:$G$801, 0)+1))/IF(INDEX(ERP資料!$G:$G, (MATCH(894, 輔助計算!$G$2:$G$801, 0)+1))&lt;100, IF(INDEX(ERP資料!$G:$G, (MATCH(894, 輔助計算!$G$2:$G$801, 0)+1))&lt;=31,3,IF(INDEX(ERP資料!$G:$G, (MATCH(894, 輔助計算!$G$2:$G$801, 0)+1))&lt;=46.5,2,1)), IF(INDEX(ERP資料!$G:$G, (MATCH(894, 輔助計算!$G$2:$G$801, 0)+1))&lt;=790,3,IF(INDEX(ERP資料!$G:$G, (MATCH(894, 輔助計算!$G$2:$G$801, 0)+1))&lt;=1181,2,1))))&gt;0, IF(IF(INDEX(ERP資料!$G:$G, (MATCH(894, 輔助計算!$G$2:$G$801, 0)+1))&lt;100, IF(INDEX(ERP資料!$G:$G, (MATCH(894, 輔助計算!$G$2:$G$801, 0)+1))&lt;=31,3,IF(INDEX(ERP資料!$G:$G, (MATCH(894, 輔助計算!$G$2:$G$801, 0)+1))&lt;=46.5,2,1)), IF(INDEX(ERP資料!$G:$G, (MATCH(894, 輔助計算!$G$2:$G$801, 0)+1))&lt;=790,3,IF(INDEX(ERP資料!$G:$G, (MATCH(894, 輔助計算!$G$2:$G$801, 0)+1))&lt;=1181,2,1)))=1,TEXT(INDEX(ERP資料!$G:$G, (MATCH(894, 輔助計算!$G$2:$G$801, 0)+1)),"0.##"),IF(IF(INDEX(ERP資料!$G:$G, (MATCH(894, 輔助計算!$G$2:$G$801, 0)+1))&lt;100, IF(INDEX(ERP資料!$G:$G, (MATCH(894, 輔助計算!$G$2:$G$801, 0)+1))&lt;=31,3,IF(INDEX(ERP資料!$G:$G, (MATCH(894, 輔助計算!$G$2:$G$801, 0)+1))&lt;=46.5,2,1)), IF(INDEX(ERP資料!$G:$G, (MATCH(894, 輔助計算!$G$2:$G$801, 0)+1))&lt;=790,3,IF(INDEX(ERP資料!$G:$G, (MATCH(894, 輔助計算!$G$2:$G$801, 0)+1))&lt;=1181,2,1)))=2,TEXT(INDEX(ERP資料!$G:$G, (MATCH(894, 輔助計算!$G$2:$G$801, 0)+1)),"0.##")&amp;"+"&amp;TEXT(INDEX(ERP資料!$G:$G, (MATCH(894, 輔助計算!$G$2:$G$801, 0)+1)),"0.##"),TEXT(INDEX(ERP資料!$G:$G, (MATCH(894, 輔助計算!$G$2:$G$801, 0)+1)),"0.##")&amp;"+"&amp;TEXT(INDEX(ERP資料!$G:$G, (MATCH(894, 輔助計算!$G$2:$G$801, 0)+1)),"0.##")&amp;"+"&amp;TEXT(INDEX(ERP資料!$G:$G, (MATCH(894, 輔助計算!$G$2:$G$801, 0)+1)),"0.##")))&amp;"-"&amp;INT(INDEX(輔助計算!$D:$D, (MATCH(894, 輔助計算!$G$2:$G$801, 0)+1))/IF(INDEX(ERP資料!$G:$G, (MATCH(894, 輔助計算!$G$2:$G$801, 0)+1))&lt;100, IF(INDEX(ERP資料!$G:$G, (MATCH(894, 輔助計算!$G$2:$G$801, 0)+1))&lt;=31,3,IF(INDEX(ERP資料!$G:$G, (MATCH(894, 輔助計算!$G$2:$G$801, 0)+1))&lt;=46.5,2,1)), IF(INDEX(ERP資料!$G:$G, (MATCH(894, 輔助計算!$G$2:$G$801, 0)+1))&lt;=790,3,IF(INDEX(ERP資料!$G:$G, (MATCH(894, 輔助計算!$G$2:$G$801, 0)+1))&lt;=1181,2,1)))), "")&lt;&gt;"",IF(MOD(INDEX(輔助計算!$D:$D, (MATCH(894, 輔助計算!$G$2:$G$801, 0)+1)),IF(INDEX(ERP資料!$G:$G, (MATCH(894, 輔助計算!$G$2:$G$801, 0)+1))&lt;100, IF(INDEX(ERP資料!$G:$G, (MATCH(894, 輔助計算!$G$2:$G$801, 0)+1))&lt;=31,3,IF(INDEX(ERP資料!$G:$G, (MATCH(894, 輔助計算!$G$2:$G$801, 0)+1))&lt;=46.5,2,1)), IF(INDEX(ERP資料!$G:$G, (MATCH(894, 輔助計算!$G$2:$G$801, 0)+1))&lt;=790,3,IF(INDEX(ERP資料!$G:$G, (MATCH(894, 輔助計算!$G$2:$G$801, 0)+1))&lt;=1181,2,1))))=0,"",IF(MOD(INDEX(輔助計算!$D:$D, (MATCH(894, 輔助計算!$G$2:$G$801, 0)+1)),IF(INDEX(ERP資料!$G:$G, (MATCH(894, 輔助計算!$G$2:$G$801, 0)+1))&lt;100, IF(INDEX(ERP資料!$G:$G, (MATCH(894, 輔助計算!$G$2:$G$801, 0)+1))&lt;=31,3,IF(INDEX(ERP資料!$G:$G, (MATCH(894, 輔助計算!$G$2:$G$801, 0)+1))&lt;=46.5,2,1)), IF(INDEX(ERP資料!$G:$G, (MATCH(894, 輔助計算!$G$2:$G$801, 0)+1))&lt;=790,3,IF(INDEX(ERP資料!$G:$G, (MATCH(894, 輔助計算!$G$2:$G$801, 0)+1))&lt;=1181,2,1))))=0,"",IF(MOD(INDEX(輔助計算!$D:$D, (MATCH(894, 輔助計算!$G$2:$G$801, 0)+1)),IF(INDEX(ERP資料!$G:$G, (MATCH(894, 輔助計算!$G$2:$G$801, 0)+1))&lt;100, IF(INDEX(ERP資料!$G:$G, (MATCH(894, 輔助計算!$G$2:$G$801, 0)+1))&lt;=31,3,IF(INDEX(ERP資料!$G:$G, (MATCH(894, 輔助計算!$G$2:$G$801, 0)+1))&lt;=46.5,2,1)), IF(INDEX(ERP資料!$G:$G, (MATCH(894, 輔助計算!$G$2:$G$801, 0)+1))&lt;=790,3,IF(INDEX(ERP資料!$G:$G, (MATCH(894, 輔助計算!$G$2:$G$801, 0)+1))&lt;=1181,2,1))))=1,TEXT(INDEX(ERP資料!$G:$G, (MATCH(894, 輔助計算!$G$2:$G$801, 0)+1)),"0.##"),IF(MOD(INDEX(輔助計算!$D:$D, (MATCH(894, 輔助計算!$G$2:$G$801, 0)+1)),IF(INDEX(ERP資料!$G:$G, (MATCH(894, 輔助計算!$G$2:$G$801, 0)+1))&lt;100, IF(INDEX(ERP資料!$G:$G, (MATCH(894, 輔助計算!$G$2:$G$801, 0)+1))&lt;=31,3,IF(INDEX(ERP資料!$G:$G, (MATCH(894, 輔助計算!$G$2:$G$801, 0)+1))&lt;=46.5,2,1)), IF(INDEX(ERP資料!$G:$G, (MATCH(894, 輔助計算!$G$2:$G$801, 0)+1))&lt;=790,3,IF(INDEX(ERP資料!$G:$G, (MATCH(894, 輔助計算!$G$2:$G$801, 0)+1))&lt;=1181,2,1))))=2,TEXT(INDEX(ERP資料!$G:$G, (MATCH(894, 輔助計算!$G$2:$G$801, 0)+1)),"0.##")&amp;"+"&amp;TEXT(INDEX(ERP資料!$G:$G, (MATCH(894, 輔助計算!$G$2:$G$801, 0)+1)),"0.##"),TEXT(INDEX(ERP資料!$G:$G, (MATCH(894, 輔助計算!$G$2:$G$801, 0)+1)),"0.##")&amp;"+"&amp;TEXT(INDEX(ERP資料!$G:$G, (MATCH(894, 輔助計算!$G$2:$G$801, 0)+1)),"0.##")&amp;"+"&amp;TEXT(INDEX(ERP資料!$G:$G, (MATCH(894, 輔助計算!$G$2:$G$801, 0)+1)),"0.##"))))&amp;"-1")&lt;&gt;""),"  ","")&amp;IF(MOD(INDEX(輔助計算!$D:$D, (MATCH(894, 輔助計算!$G$2:$G$801, 0)+1)),IF(INDEX(ERP資料!$G:$G, (MATCH(894, 輔助計算!$G$2:$G$801, 0)+1))&lt;100, IF(INDEX(ERP資料!$G:$G, (MATCH(894, 輔助計算!$G$2:$G$801, 0)+1))&lt;=31,3,IF(INDEX(ERP資料!$G:$G, (MATCH(894, 輔助計算!$G$2:$G$801, 0)+1))&lt;=46.5,2,1)), IF(INDEX(ERP資料!$G:$G, (MATCH(894, 輔助計算!$G$2:$G$801, 0)+1))&lt;=790,3,IF(INDEX(ERP資料!$G:$G, (MATCH(894, 輔助計算!$G$2:$G$801, 0)+1))&lt;=1181,2,1))))=0,"",IF(MOD(INDEX(輔助計算!$D:$D, (MATCH(894, 輔助計算!$G$2:$G$801, 0)+1)),IF(INDEX(ERP資料!$G:$G, (MATCH(894, 輔助計算!$G$2:$G$801, 0)+1))&lt;100, IF(INDEX(ERP資料!$G:$G, (MATCH(894, 輔助計算!$G$2:$G$801, 0)+1))&lt;=31,3,IF(INDEX(ERP資料!$G:$G, (MATCH(894, 輔助計算!$G$2:$G$801, 0)+1))&lt;=46.5,2,1)), IF(INDEX(ERP資料!$G:$G, (MATCH(894, 輔助計算!$G$2:$G$801, 0)+1))&lt;=790,3,IF(INDEX(ERP資料!$G:$G, (MATCH(894, 輔助計算!$G$2:$G$801, 0)+1))&lt;=1181,2,1))))=0,"",IF(MOD(INDEX(輔助計算!$D:$D, (MATCH(894, 輔助計算!$G$2:$G$801, 0)+1)),IF(INDEX(ERP資料!$G:$G, (MATCH(894, 輔助計算!$G$2:$G$801, 0)+1))&lt;100, IF(INDEX(ERP資料!$G:$G, (MATCH(894, 輔助計算!$G$2:$G$801, 0)+1))&lt;=31,3,IF(INDEX(ERP資料!$G:$G, (MATCH(894, 輔助計算!$G$2:$G$801, 0)+1))&lt;=46.5,2,1)), IF(INDEX(ERP資料!$G:$G, (MATCH(894, 輔助計算!$G$2:$G$801, 0)+1))&lt;=790,3,IF(INDEX(ERP資料!$G:$G, (MATCH(894, 輔助計算!$G$2:$G$801, 0)+1))&lt;=1181,2,1))))=1,TEXT(INDEX(ERP資料!$G:$G, (MATCH(894, 輔助計算!$G$2:$G$801, 0)+1)),"0.##"),IF(MOD(INDEX(輔助計算!$D:$D, (MATCH(894, 輔助計算!$G$2:$G$801, 0)+1)),IF(INDEX(ERP資料!$G:$G, (MATCH(894, 輔助計算!$G$2:$G$801, 0)+1))&lt;100, IF(INDEX(ERP資料!$G:$G, (MATCH(894, 輔助計算!$G$2:$G$801, 0)+1))&lt;=31,3,IF(INDEX(ERP資料!$G:$G, (MATCH(894, 輔助計算!$G$2:$G$801, 0)+1))&lt;=46.5,2,1)), IF(INDEX(ERP資料!$G:$G, (MATCH(894, 輔助計算!$G$2:$G$801, 0)+1))&lt;=790,3,IF(INDEX(ERP資料!$G:$G, (MATCH(894, 輔助計算!$G$2:$G$801, 0)+1))&lt;=1181,2,1))))=2,TEXT(INDEX(ERP資料!$G:$G, (MATCH(894, 輔助計算!$G$2:$G$801, 0)+1)),"0.##")&amp;"+"&amp;TEXT(INDEX(ERP資料!$G:$G, (MATCH(894, 輔助計算!$G$2:$G$801, 0)+1)),"0.##"),TEXT(INDEX(ERP資料!$G:$G, (MATCH(894, 輔助計算!$G$2:$G$801, 0)+1)),"0.##")&amp;"+"&amp;TEXT(INDEX(ERP資料!$G:$G, (MATCH(894, 輔助計算!$G$2:$G$801, 0)+1)),"0.##")&amp;"+"&amp;TEXT(INDEX(ERP資料!$G:$G, (MATCH(894, 輔助計算!$G$2:$G$801, 0)+1)),"0.##"))))&amp;"-1")), ""), "")</f>
        <v/>
      </c>
      <c r="K895" s="16" t="n"/>
      <c r="L895" s="14">
        <f>IFERROR(IF(AND(IFERROR(INDEX(ERP資料!$A:$A, (MATCH(894, 輔助計算!$G$2:$G$801, 0)+1)), "")&lt;&gt;"", IFERROR(INDEX(ERP資料!$A:$A, (MATCH(894, 輔助計算!$G$2:$G$801, 0)+1)), "")&lt;&gt;IFERROR(INDEX(ERP資料!$A:$A, MATCH(893, 輔助計算!$G$2:$G$801, 0)+1), "")), INDEX(ERP資料!$B:$B, (MATCH(894, 輔助計算!$G$2:$G$801, 0)+1)), ""), "")</f>
        <v/>
      </c>
      <c r="M895" s="17" t="n"/>
    </row>
    <row r="896">
      <c r="A896" s="10">
        <f>IFERROR(IF(AND(IFERROR(INDEX(ERP資料!$A:$A, (MATCH(895, 輔助計算!$G$2:$G$801, 0)+1)), "")&lt;&gt;"", IFERROR(INDEX(ERP資料!$A:$A, (MATCH(895, 輔助計算!$G$2:$G$801, 0)+1)), "")&lt;&gt;IFERROR(INDEX(ERP資料!$A:$A, MATCH(894, 輔助計算!$G$2:$G$801, 0)+1), "")), IFERROR(INDEX(ERP資料!$A:$A, (MATCH(895, 輔助計算!$G$2:$G$801, 0)+1)), ""), ""), "")</f>
        <v/>
      </c>
      <c r="B896" s="10">
        <f>IFERROR(IF(AND(IFERROR(INDEX(ERP資料!$A:$A, (MATCH(895, 輔助計算!$G$2:$G$801, 0)+1)), "")&lt;&gt;"", IFERROR(INDEX(ERP資料!$A:$A, (MATCH(895, 輔助計算!$G$2:$G$801, 0)+1)), "")&lt;&gt;IFERROR(INDEX(ERP資料!$A:$A, MATCH(894, 輔助計算!$G$2:$G$801, 0)+1), "")), INDEX(ERP資料!$S:$S, (MATCH(895, 輔助計算!$G$2:$G$801, 0)+1)), ""), "")</f>
        <v/>
      </c>
      <c r="C896" s="19">
        <f>IFERROR(IF(AND(IFERROR(INDEX(ERP資料!$A:$A, (MATCH(895, 輔助計算!$G$2:$G$801, 0)+1)), "")&lt;&gt;"", IFERROR(INDEX(ERP資料!$A:$A, (MATCH(895, 輔助計算!$G$2:$G$801, 0)+1)), "")&lt;&gt;IFERROR(INDEX(ERP資料!$A:$A, MATCH(894, 輔助計算!$G$2:$G$801, 0)+1), "")), IFERROR(VLOOKUP(LEFT(INDEX(ERP資料!$S:$S, (MATCH(895, 輔助計算!$G$2:$G$801, 0)+1)), 4), 紙管對照表!$A:$C, 3, FALSE), ""), ""), "")</f>
        <v/>
      </c>
      <c r="D896" s="16" t="n"/>
      <c r="E896" s="10">
        <f>IFERROR(IF(INDEX(ERP資料!$H:$H, (MATCH(895, 輔助計算!$G$2:$G$801, 0)+1))="","",INDEX(ERP資料!$H:$H, (MATCH(895, 輔助計算!$G$2:$G$801, 0)+1))), "")</f>
        <v/>
      </c>
      <c r="F896" s="10">
        <f>IFERROR(IF(INDEX(ERP資料!$E:$E, (MATCH(895, 輔助計算!$G$2:$G$801, 0)+1))="","",TRIM(INDEX(ERP資料!$E:$E, (MATCH(895, 輔助計算!$G$2:$G$801, 0)+1)))), "")</f>
        <v/>
      </c>
      <c r="G896" s="10">
        <f>IFERROR(IF(INDEX(ERP資料!$F:$F, (MATCH(895, 輔助計算!$G$2:$G$801, 0)+1))="","",INDEX(ERP資料!$F:$F, (MATCH(895, 輔助計算!$G$2:$G$801, 0)+1))), "")</f>
        <v/>
      </c>
      <c r="H896" s="10">
        <f>IFERROR(IF(INDEX(ERP資料!$G:$G, (MATCH(895, 輔助計算!$G$2:$G$801, 0)+1))="","",INDEX(ERP資料!$G:$G, (MATCH(895, 輔助計算!$G$2:$G$801, 0)+1))), "")</f>
        <v/>
      </c>
      <c r="I896" s="15">
        <f>IFERROR(INDEX(輔助計算!$D:$D, (MATCH(895, 輔助計算!$G$2:$G$801, 0)+1)), "")</f>
        <v/>
      </c>
      <c r="J896" s="15">
        <f>IFERROR(IF(AND(INDEX(輔助計算!$D:$D, (MATCH(895, 輔助計算!$G$2:$G$801, 0)+1))&lt;&gt;"", INDEX(ERP資料!$G:$G, (MATCH(895, 輔助計算!$G$2:$G$801, 0)+1))&lt;&gt;""), TRIM(IF(INT(INDEX(輔助計算!$D:$D, (MATCH(895, 輔助計算!$G$2:$G$801, 0)+1))/IF(INDEX(ERP資料!$G:$G, (MATCH(895, 輔助計算!$G$2:$G$801, 0)+1))&lt;100, IF(INDEX(ERP資料!$G:$G, (MATCH(895, 輔助計算!$G$2:$G$801, 0)+1))&lt;=31,3,IF(INDEX(ERP資料!$G:$G, (MATCH(895, 輔助計算!$G$2:$G$801, 0)+1))&lt;=46.5,2,1)), IF(INDEX(ERP資料!$G:$G, (MATCH(895, 輔助計算!$G$2:$G$801, 0)+1))&lt;=790,3,IF(INDEX(ERP資料!$G:$G, (MATCH(895, 輔助計算!$G$2:$G$801, 0)+1))&lt;=1181,2,1))))&gt;0, IF(IF(INDEX(ERP資料!$G:$G, (MATCH(895, 輔助計算!$G$2:$G$801, 0)+1))&lt;100, IF(INDEX(ERP資料!$G:$G, (MATCH(895, 輔助計算!$G$2:$G$801, 0)+1))&lt;=31,3,IF(INDEX(ERP資料!$G:$G, (MATCH(895, 輔助計算!$G$2:$G$801, 0)+1))&lt;=46.5,2,1)), IF(INDEX(ERP資料!$G:$G, (MATCH(895, 輔助計算!$G$2:$G$801, 0)+1))&lt;=790,3,IF(INDEX(ERP資料!$G:$G, (MATCH(895, 輔助計算!$G$2:$G$801, 0)+1))&lt;=1181,2,1)))=1,TEXT(INDEX(ERP資料!$G:$G, (MATCH(895, 輔助計算!$G$2:$G$801, 0)+1)),"0.##"),IF(IF(INDEX(ERP資料!$G:$G, (MATCH(895, 輔助計算!$G$2:$G$801, 0)+1))&lt;100, IF(INDEX(ERP資料!$G:$G, (MATCH(895, 輔助計算!$G$2:$G$801, 0)+1))&lt;=31,3,IF(INDEX(ERP資料!$G:$G, (MATCH(895, 輔助計算!$G$2:$G$801, 0)+1))&lt;=46.5,2,1)), IF(INDEX(ERP資料!$G:$G, (MATCH(895, 輔助計算!$G$2:$G$801, 0)+1))&lt;=790,3,IF(INDEX(ERP資料!$G:$G, (MATCH(895, 輔助計算!$G$2:$G$801, 0)+1))&lt;=1181,2,1)))=2,TEXT(INDEX(ERP資料!$G:$G, (MATCH(895, 輔助計算!$G$2:$G$801, 0)+1)),"0.##")&amp;"+"&amp;TEXT(INDEX(ERP資料!$G:$G, (MATCH(895, 輔助計算!$G$2:$G$801, 0)+1)),"0.##"),TEXT(INDEX(ERP資料!$G:$G, (MATCH(895, 輔助計算!$G$2:$G$801, 0)+1)),"0.##")&amp;"+"&amp;TEXT(INDEX(ERP資料!$G:$G, (MATCH(895, 輔助計算!$G$2:$G$801, 0)+1)),"0.##")&amp;"+"&amp;TEXT(INDEX(ERP資料!$G:$G, (MATCH(895, 輔助計算!$G$2:$G$801, 0)+1)),"0.##")))&amp;"-"&amp;INT(INDEX(輔助計算!$D:$D, (MATCH(895, 輔助計算!$G$2:$G$801, 0)+1))/IF(INDEX(ERP資料!$G:$G, (MATCH(895, 輔助計算!$G$2:$G$801, 0)+1))&lt;100, IF(INDEX(ERP資料!$G:$G, (MATCH(895, 輔助計算!$G$2:$G$801, 0)+1))&lt;=31,3,IF(INDEX(ERP資料!$G:$G, (MATCH(895, 輔助計算!$G$2:$G$801, 0)+1))&lt;=46.5,2,1)), IF(INDEX(ERP資料!$G:$G, (MATCH(895, 輔助計算!$G$2:$G$801, 0)+1))&lt;=790,3,IF(INDEX(ERP資料!$G:$G, (MATCH(895, 輔助計算!$G$2:$G$801, 0)+1))&lt;=1181,2,1)))), "")&amp;IF(AND(IF(INT(INDEX(輔助計算!$D:$D, (MATCH(895, 輔助計算!$G$2:$G$801, 0)+1))/IF(INDEX(ERP資料!$G:$G, (MATCH(895, 輔助計算!$G$2:$G$801, 0)+1))&lt;100, IF(INDEX(ERP資料!$G:$G, (MATCH(895, 輔助計算!$G$2:$G$801, 0)+1))&lt;=31,3,IF(INDEX(ERP資料!$G:$G, (MATCH(895, 輔助計算!$G$2:$G$801, 0)+1))&lt;=46.5,2,1)), IF(INDEX(ERP資料!$G:$G, (MATCH(895, 輔助計算!$G$2:$G$801, 0)+1))&lt;=790,3,IF(INDEX(ERP資料!$G:$G, (MATCH(895, 輔助計算!$G$2:$G$801, 0)+1))&lt;=1181,2,1))))&gt;0, IF(IF(INDEX(ERP資料!$G:$G, (MATCH(895, 輔助計算!$G$2:$G$801, 0)+1))&lt;100, IF(INDEX(ERP資料!$G:$G, (MATCH(895, 輔助計算!$G$2:$G$801, 0)+1))&lt;=31,3,IF(INDEX(ERP資料!$G:$G, (MATCH(895, 輔助計算!$G$2:$G$801, 0)+1))&lt;=46.5,2,1)), IF(INDEX(ERP資料!$G:$G, (MATCH(895, 輔助計算!$G$2:$G$801, 0)+1))&lt;=790,3,IF(INDEX(ERP資料!$G:$G, (MATCH(895, 輔助計算!$G$2:$G$801, 0)+1))&lt;=1181,2,1)))=1,TEXT(INDEX(ERP資料!$G:$G, (MATCH(895, 輔助計算!$G$2:$G$801, 0)+1)),"0.##"),IF(IF(INDEX(ERP資料!$G:$G, (MATCH(895, 輔助計算!$G$2:$G$801, 0)+1))&lt;100, IF(INDEX(ERP資料!$G:$G, (MATCH(895, 輔助計算!$G$2:$G$801, 0)+1))&lt;=31,3,IF(INDEX(ERP資料!$G:$G, (MATCH(895, 輔助計算!$G$2:$G$801, 0)+1))&lt;=46.5,2,1)), IF(INDEX(ERP資料!$G:$G, (MATCH(895, 輔助計算!$G$2:$G$801, 0)+1))&lt;=790,3,IF(INDEX(ERP資料!$G:$G, (MATCH(895, 輔助計算!$G$2:$G$801, 0)+1))&lt;=1181,2,1)))=2,TEXT(INDEX(ERP資料!$G:$G, (MATCH(895, 輔助計算!$G$2:$G$801, 0)+1)),"0.##")&amp;"+"&amp;TEXT(INDEX(ERP資料!$G:$G, (MATCH(895, 輔助計算!$G$2:$G$801, 0)+1)),"0.##"),TEXT(INDEX(ERP資料!$G:$G, (MATCH(895, 輔助計算!$G$2:$G$801, 0)+1)),"0.##")&amp;"+"&amp;TEXT(INDEX(ERP資料!$G:$G, (MATCH(895, 輔助計算!$G$2:$G$801, 0)+1)),"0.##")&amp;"+"&amp;TEXT(INDEX(ERP資料!$G:$G, (MATCH(895, 輔助計算!$G$2:$G$801, 0)+1)),"0.##")))&amp;"-"&amp;INT(INDEX(輔助計算!$D:$D, (MATCH(895, 輔助計算!$G$2:$G$801, 0)+1))/IF(INDEX(ERP資料!$G:$G, (MATCH(895, 輔助計算!$G$2:$G$801, 0)+1))&lt;100, IF(INDEX(ERP資料!$G:$G, (MATCH(895, 輔助計算!$G$2:$G$801, 0)+1))&lt;=31,3,IF(INDEX(ERP資料!$G:$G, (MATCH(895, 輔助計算!$G$2:$G$801, 0)+1))&lt;=46.5,2,1)), IF(INDEX(ERP資料!$G:$G, (MATCH(895, 輔助計算!$G$2:$G$801, 0)+1))&lt;=790,3,IF(INDEX(ERP資料!$G:$G, (MATCH(895, 輔助計算!$G$2:$G$801, 0)+1))&lt;=1181,2,1)))), "")&lt;&gt;"",IF(MOD(INDEX(輔助計算!$D:$D, (MATCH(895, 輔助計算!$G$2:$G$801, 0)+1)),IF(INDEX(ERP資料!$G:$G, (MATCH(895, 輔助計算!$G$2:$G$801, 0)+1))&lt;100, IF(INDEX(ERP資料!$G:$G, (MATCH(895, 輔助計算!$G$2:$G$801, 0)+1))&lt;=31,3,IF(INDEX(ERP資料!$G:$G, (MATCH(895, 輔助計算!$G$2:$G$801, 0)+1))&lt;=46.5,2,1)), IF(INDEX(ERP資料!$G:$G, (MATCH(895, 輔助計算!$G$2:$G$801, 0)+1))&lt;=790,3,IF(INDEX(ERP資料!$G:$G, (MATCH(895, 輔助計算!$G$2:$G$801, 0)+1))&lt;=1181,2,1))))=0,"",IF(MOD(INDEX(輔助計算!$D:$D, (MATCH(895, 輔助計算!$G$2:$G$801, 0)+1)),IF(INDEX(ERP資料!$G:$G, (MATCH(895, 輔助計算!$G$2:$G$801, 0)+1))&lt;100, IF(INDEX(ERP資料!$G:$G, (MATCH(895, 輔助計算!$G$2:$G$801, 0)+1))&lt;=31,3,IF(INDEX(ERP資料!$G:$G, (MATCH(895, 輔助計算!$G$2:$G$801, 0)+1))&lt;=46.5,2,1)), IF(INDEX(ERP資料!$G:$G, (MATCH(895, 輔助計算!$G$2:$G$801, 0)+1))&lt;=790,3,IF(INDEX(ERP資料!$G:$G, (MATCH(895, 輔助計算!$G$2:$G$801, 0)+1))&lt;=1181,2,1))))=0,"",IF(MOD(INDEX(輔助計算!$D:$D, (MATCH(895, 輔助計算!$G$2:$G$801, 0)+1)),IF(INDEX(ERP資料!$G:$G, (MATCH(895, 輔助計算!$G$2:$G$801, 0)+1))&lt;100, IF(INDEX(ERP資料!$G:$G, (MATCH(895, 輔助計算!$G$2:$G$801, 0)+1))&lt;=31,3,IF(INDEX(ERP資料!$G:$G, (MATCH(895, 輔助計算!$G$2:$G$801, 0)+1))&lt;=46.5,2,1)), IF(INDEX(ERP資料!$G:$G, (MATCH(895, 輔助計算!$G$2:$G$801, 0)+1))&lt;=790,3,IF(INDEX(ERP資料!$G:$G, (MATCH(895, 輔助計算!$G$2:$G$801, 0)+1))&lt;=1181,2,1))))=1,TEXT(INDEX(ERP資料!$G:$G, (MATCH(895, 輔助計算!$G$2:$G$801, 0)+1)),"0.##"),IF(MOD(INDEX(輔助計算!$D:$D, (MATCH(895, 輔助計算!$G$2:$G$801, 0)+1)),IF(INDEX(ERP資料!$G:$G, (MATCH(895, 輔助計算!$G$2:$G$801, 0)+1))&lt;100, IF(INDEX(ERP資料!$G:$G, (MATCH(895, 輔助計算!$G$2:$G$801, 0)+1))&lt;=31,3,IF(INDEX(ERP資料!$G:$G, (MATCH(895, 輔助計算!$G$2:$G$801, 0)+1))&lt;=46.5,2,1)), IF(INDEX(ERP資料!$G:$G, (MATCH(895, 輔助計算!$G$2:$G$801, 0)+1))&lt;=790,3,IF(INDEX(ERP資料!$G:$G, (MATCH(895, 輔助計算!$G$2:$G$801, 0)+1))&lt;=1181,2,1))))=2,TEXT(INDEX(ERP資料!$G:$G, (MATCH(895, 輔助計算!$G$2:$G$801, 0)+1)),"0.##")&amp;"+"&amp;TEXT(INDEX(ERP資料!$G:$G, (MATCH(895, 輔助計算!$G$2:$G$801, 0)+1)),"0.##"),TEXT(INDEX(ERP資料!$G:$G, (MATCH(895, 輔助計算!$G$2:$G$801, 0)+1)),"0.##")&amp;"+"&amp;TEXT(INDEX(ERP資料!$G:$G, (MATCH(895, 輔助計算!$G$2:$G$801, 0)+1)),"0.##")&amp;"+"&amp;TEXT(INDEX(ERP資料!$G:$G, (MATCH(895, 輔助計算!$G$2:$G$801, 0)+1)),"0.##"))))&amp;"-1")&lt;&gt;""),"  ","")&amp;IF(MOD(INDEX(輔助計算!$D:$D, (MATCH(895, 輔助計算!$G$2:$G$801, 0)+1)),IF(INDEX(ERP資料!$G:$G, (MATCH(895, 輔助計算!$G$2:$G$801, 0)+1))&lt;100, IF(INDEX(ERP資料!$G:$G, (MATCH(895, 輔助計算!$G$2:$G$801, 0)+1))&lt;=31,3,IF(INDEX(ERP資料!$G:$G, (MATCH(895, 輔助計算!$G$2:$G$801, 0)+1))&lt;=46.5,2,1)), IF(INDEX(ERP資料!$G:$G, (MATCH(895, 輔助計算!$G$2:$G$801, 0)+1))&lt;=790,3,IF(INDEX(ERP資料!$G:$G, (MATCH(895, 輔助計算!$G$2:$G$801, 0)+1))&lt;=1181,2,1))))=0,"",IF(MOD(INDEX(輔助計算!$D:$D, (MATCH(895, 輔助計算!$G$2:$G$801, 0)+1)),IF(INDEX(ERP資料!$G:$G, (MATCH(895, 輔助計算!$G$2:$G$801, 0)+1))&lt;100, IF(INDEX(ERP資料!$G:$G, (MATCH(895, 輔助計算!$G$2:$G$801, 0)+1))&lt;=31,3,IF(INDEX(ERP資料!$G:$G, (MATCH(895, 輔助計算!$G$2:$G$801, 0)+1))&lt;=46.5,2,1)), IF(INDEX(ERP資料!$G:$G, (MATCH(895, 輔助計算!$G$2:$G$801, 0)+1))&lt;=790,3,IF(INDEX(ERP資料!$G:$G, (MATCH(895, 輔助計算!$G$2:$G$801, 0)+1))&lt;=1181,2,1))))=0,"",IF(MOD(INDEX(輔助計算!$D:$D, (MATCH(895, 輔助計算!$G$2:$G$801, 0)+1)),IF(INDEX(ERP資料!$G:$G, (MATCH(895, 輔助計算!$G$2:$G$801, 0)+1))&lt;100, IF(INDEX(ERP資料!$G:$G, (MATCH(895, 輔助計算!$G$2:$G$801, 0)+1))&lt;=31,3,IF(INDEX(ERP資料!$G:$G, (MATCH(895, 輔助計算!$G$2:$G$801, 0)+1))&lt;=46.5,2,1)), IF(INDEX(ERP資料!$G:$G, (MATCH(895, 輔助計算!$G$2:$G$801, 0)+1))&lt;=790,3,IF(INDEX(ERP資料!$G:$G, (MATCH(895, 輔助計算!$G$2:$G$801, 0)+1))&lt;=1181,2,1))))=1,TEXT(INDEX(ERP資料!$G:$G, (MATCH(895, 輔助計算!$G$2:$G$801, 0)+1)),"0.##"),IF(MOD(INDEX(輔助計算!$D:$D, (MATCH(895, 輔助計算!$G$2:$G$801, 0)+1)),IF(INDEX(ERP資料!$G:$G, (MATCH(895, 輔助計算!$G$2:$G$801, 0)+1))&lt;100, IF(INDEX(ERP資料!$G:$G, (MATCH(895, 輔助計算!$G$2:$G$801, 0)+1))&lt;=31,3,IF(INDEX(ERP資料!$G:$G, (MATCH(895, 輔助計算!$G$2:$G$801, 0)+1))&lt;=46.5,2,1)), IF(INDEX(ERP資料!$G:$G, (MATCH(895, 輔助計算!$G$2:$G$801, 0)+1))&lt;=790,3,IF(INDEX(ERP資料!$G:$G, (MATCH(895, 輔助計算!$G$2:$G$801, 0)+1))&lt;=1181,2,1))))=2,TEXT(INDEX(ERP資料!$G:$G, (MATCH(895, 輔助計算!$G$2:$G$801, 0)+1)),"0.##")&amp;"+"&amp;TEXT(INDEX(ERP資料!$G:$G, (MATCH(895, 輔助計算!$G$2:$G$801, 0)+1)),"0.##"),TEXT(INDEX(ERP資料!$G:$G, (MATCH(895, 輔助計算!$G$2:$G$801, 0)+1)),"0.##")&amp;"+"&amp;TEXT(INDEX(ERP資料!$G:$G, (MATCH(895, 輔助計算!$G$2:$G$801, 0)+1)),"0.##")&amp;"+"&amp;TEXT(INDEX(ERP資料!$G:$G, (MATCH(895, 輔助計算!$G$2:$G$801, 0)+1)),"0.##"))))&amp;"-1")), ""), "")</f>
        <v/>
      </c>
      <c r="K896" s="16" t="n"/>
      <c r="L896" s="14">
        <f>IFERROR(IF(AND(IFERROR(INDEX(ERP資料!$A:$A, (MATCH(895, 輔助計算!$G$2:$G$801, 0)+1)), "")&lt;&gt;"", IFERROR(INDEX(ERP資料!$A:$A, (MATCH(895, 輔助計算!$G$2:$G$801, 0)+1)), "")&lt;&gt;IFERROR(INDEX(ERP資料!$A:$A, MATCH(894, 輔助計算!$G$2:$G$801, 0)+1), "")), INDEX(ERP資料!$B:$B, (MATCH(895, 輔助計算!$G$2:$G$801, 0)+1)), ""), "")</f>
        <v/>
      </c>
      <c r="M896" s="17" t="n"/>
    </row>
    <row r="897">
      <c r="A897" s="10">
        <f>IFERROR(IF(AND(IFERROR(INDEX(ERP資料!$A:$A, (MATCH(896, 輔助計算!$G$2:$G$801, 0)+1)), "")&lt;&gt;"", IFERROR(INDEX(ERP資料!$A:$A, (MATCH(896, 輔助計算!$G$2:$G$801, 0)+1)), "")&lt;&gt;IFERROR(INDEX(ERP資料!$A:$A, MATCH(895, 輔助計算!$G$2:$G$801, 0)+1), "")), IFERROR(INDEX(ERP資料!$A:$A, (MATCH(896, 輔助計算!$G$2:$G$801, 0)+1)), ""), ""), "")</f>
        <v/>
      </c>
      <c r="B897" s="10">
        <f>IFERROR(IF(AND(IFERROR(INDEX(ERP資料!$A:$A, (MATCH(896, 輔助計算!$G$2:$G$801, 0)+1)), "")&lt;&gt;"", IFERROR(INDEX(ERP資料!$A:$A, (MATCH(896, 輔助計算!$G$2:$G$801, 0)+1)), "")&lt;&gt;IFERROR(INDEX(ERP資料!$A:$A, MATCH(895, 輔助計算!$G$2:$G$801, 0)+1), "")), INDEX(ERP資料!$S:$S, (MATCH(896, 輔助計算!$G$2:$G$801, 0)+1)), ""), "")</f>
        <v/>
      </c>
      <c r="C897" s="19">
        <f>IFERROR(IF(AND(IFERROR(INDEX(ERP資料!$A:$A, (MATCH(896, 輔助計算!$G$2:$G$801, 0)+1)), "")&lt;&gt;"", IFERROR(INDEX(ERP資料!$A:$A, (MATCH(896, 輔助計算!$G$2:$G$801, 0)+1)), "")&lt;&gt;IFERROR(INDEX(ERP資料!$A:$A, MATCH(895, 輔助計算!$G$2:$G$801, 0)+1), "")), IFERROR(VLOOKUP(LEFT(INDEX(ERP資料!$S:$S, (MATCH(896, 輔助計算!$G$2:$G$801, 0)+1)), 4), 紙管對照表!$A:$C, 3, FALSE), ""), ""), "")</f>
        <v/>
      </c>
      <c r="D897" s="16" t="n"/>
      <c r="E897" s="10">
        <f>IFERROR(IF(INDEX(ERP資料!$H:$H, (MATCH(896, 輔助計算!$G$2:$G$801, 0)+1))="","",INDEX(ERP資料!$H:$H, (MATCH(896, 輔助計算!$G$2:$G$801, 0)+1))), "")</f>
        <v/>
      </c>
      <c r="F897" s="10">
        <f>IFERROR(IF(INDEX(ERP資料!$E:$E, (MATCH(896, 輔助計算!$G$2:$G$801, 0)+1))="","",TRIM(INDEX(ERP資料!$E:$E, (MATCH(896, 輔助計算!$G$2:$G$801, 0)+1)))), "")</f>
        <v/>
      </c>
      <c r="G897" s="10">
        <f>IFERROR(IF(INDEX(ERP資料!$F:$F, (MATCH(896, 輔助計算!$G$2:$G$801, 0)+1))="","",INDEX(ERP資料!$F:$F, (MATCH(896, 輔助計算!$G$2:$G$801, 0)+1))), "")</f>
        <v/>
      </c>
      <c r="H897" s="10">
        <f>IFERROR(IF(INDEX(ERP資料!$G:$G, (MATCH(896, 輔助計算!$G$2:$G$801, 0)+1))="","",INDEX(ERP資料!$G:$G, (MATCH(896, 輔助計算!$G$2:$G$801, 0)+1))), "")</f>
        <v/>
      </c>
      <c r="I897" s="15">
        <f>IFERROR(INDEX(輔助計算!$D:$D, (MATCH(896, 輔助計算!$G$2:$G$801, 0)+1)), "")</f>
        <v/>
      </c>
      <c r="J897" s="15">
        <f>IFERROR(IF(AND(INDEX(輔助計算!$D:$D, (MATCH(896, 輔助計算!$G$2:$G$801, 0)+1))&lt;&gt;"", INDEX(ERP資料!$G:$G, (MATCH(896, 輔助計算!$G$2:$G$801, 0)+1))&lt;&gt;""), TRIM(IF(INT(INDEX(輔助計算!$D:$D, (MATCH(896, 輔助計算!$G$2:$G$801, 0)+1))/IF(INDEX(ERP資料!$G:$G, (MATCH(896, 輔助計算!$G$2:$G$801, 0)+1))&lt;100, IF(INDEX(ERP資料!$G:$G, (MATCH(896, 輔助計算!$G$2:$G$801, 0)+1))&lt;=31,3,IF(INDEX(ERP資料!$G:$G, (MATCH(896, 輔助計算!$G$2:$G$801, 0)+1))&lt;=46.5,2,1)), IF(INDEX(ERP資料!$G:$G, (MATCH(896, 輔助計算!$G$2:$G$801, 0)+1))&lt;=790,3,IF(INDEX(ERP資料!$G:$G, (MATCH(896, 輔助計算!$G$2:$G$801, 0)+1))&lt;=1181,2,1))))&gt;0, IF(IF(INDEX(ERP資料!$G:$G, (MATCH(896, 輔助計算!$G$2:$G$801, 0)+1))&lt;100, IF(INDEX(ERP資料!$G:$G, (MATCH(896, 輔助計算!$G$2:$G$801, 0)+1))&lt;=31,3,IF(INDEX(ERP資料!$G:$G, (MATCH(896, 輔助計算!$G$2:$G$801, 0)+1))&lt;=46.5,2,1)), IF(INDEX(ERP資料!$G:$G, (MATCH(896, 輔助計算!$G$2:$G$801, 0)+1))&lt;=790,3,IF(INDEX(ERP資料!$G:$G, (MATCH(896, 輔助計算!$G$2:$G$801, 0)+1))&lt;=1181,2,1)))=1,TEXT(INDEX(ERP資料!$G:$G, (MATCH(896, 輔助計算!$G$2:$G$801, 0)+1)),"0.##"),IF(IF(INDEX(ERP資料!$G:$G, (MATCH(896, 輔助計算!$G$2:$G$801, 0)+1))&lt;100, IF(INDEX(ERP資料!$G:$G, (MATCH(896, 輔助計算!$G$2:$G$801, 0)+1))&lt;=31,3,IF(INDEX(ERP資料!$G:$G, (MATCH(896, 輔助計算!$G$2:$G$801, 0)+1))&lt;=46.5,2,1)), IF(INDEX(ERP資料!$G:$G, (MATCH(896, 輔助計算!$G$2:$G$801, 0)+1))&lt;=790,3,IF(INDEX(ERP資料!$G:$G, (MATCH(896, 輔助計算!$G$2:$G$801, 0)+1))&lt;=1181,2,1)))=2,TEXT(INDEX(ERP資料!$G:$G, (MATCH(896, 輔助計算!$G$2:$G$801, 0)+1)),"0.##")&amp;"+"&amp;TEXT(INDEX(ERP資料!$G:$G, (MATCH(896, 輔助計算!$G$2:$G$801, 0)+1)),"0.##"),TEXT(INDEX(ERP資料!$G:$G, (MATCH(896, 輔助計算!$G$2:$G$801, 0)+1)),"0.##")&amp;"+"&amp;TEXT(INDEX(ERP資料!$G:$G, (MATCH(896, 輔助計算!$G$2:$G$801, 0)+1)),"0.##")&amp;"+"&amp;TEXT(INDEX(ERP資料!$G:$G, (MATCH(896, 輔助計算!$G$2:$G$801, 0)+1)),"0.##")))&amp;"-"&amp;INT(INDEX(輔助計算!$D:$D, (MATCH(896, 輔助計算!$G$2:$G$801, 0)+1))/IF(INDEX(ERP資料!$G:$G, (MATCH(896, 輔助計算!$G$2:$G$801, 0)+1))&lt;100, IF(INDEX(ERP資料!$G:$G, (MATCH(896, 輔助計算!$G$2:$G$801, 0)+1))&lt;=31,3,IF(INDEX(ERP資料!$G:$G, (MATCH(896, 輔助計算!$G$2:$G$801, 0)+1))&lt;=46.5,2,1)), IF(INDEX(ERP資料!$G:$G, (MATCH(896, 輔助計算!$G$2:$G$801, 0)+1))&lt;=790,3,IF(INDEX(ERP資料!$G:$G, (MATCH(896, 輔助計算!$G$2:$G$801, 0)+1))&lt;=1181,2,1)))), "")&amp;IF(AND(IF(INT(INDEX(輔助計算!$D:$D, (MATCH(896, 輔助計算!$G$2:$G$801, 0)+1))/IF(INDEX(ERP資料!$G:$G, (MATCH(896, 輔助計算!$G$2:$G$801, 0)+1))&lt;100, IF(INDEX(ERP資料!$G:$G, (MATCH(896, 輔助計算!$G$2:$G$801, 0)+1))&lt;=31,3,IF(INDEX(ERP資料!$G:$G, (MATCH(896, 輔助計算!$G$2:$G$801, 0)+1))&lt;=46.5,2,1)), IF(INDEX(ERP資料!$G:$G, (MATCH(896, 輔助計算!$G$2:$G$801, 0)+1))&lt;=790,3,IF(INDEX(ERP資料!$G:$G, (MATCH(896, 輔助計算!$G$2:$G$801, 0)+1))&lt;=1181,2,1))))&gt;0, IF(IF(INDEX(ERP資料!$G:$G, (MATCH(896, 輔助計算!$G$2:$G$801, 0)+1))&lt;100, IF(INDEX(ERP資料!$G:$G, (MATCH(896, 輔助計算!$G$2:$G$801, 0)+1))&lt;=31,3,IF(INDEX(ERP資料!$G:$G, (MATCH(896, 輔助計算!$G$2:$G$801, 0)+1))&lt;=46.5,2,1)), IF(INDEX(ERP資料!$G:$G, (MATCH(896, 輔助計算!$G$2:$G$801, 0)+1))&lt;=790,3,IF(INDEX(ERP資料!$G:$G, (MATCH(896, 輔助計算!$G$2:$G$801, 0)+1))&lt;=1181,2,1)))=1,TEXT(INDEX(ERP資料!$G:$G, (MATCH(896, 輔助計算!$G$2:$G$801, 0)+1)),"0.##"),IF(IF(INDEX(ERP資料!$G:$G, (MATCH(896, 輔助計算!$G$2:$G$801, 0)+1))&lt;100, IF(INDEX(ERP資料!$G:$G, (MATCH(896, 輔助計算!$G$2:$G$801, 0)+1))&lt;=31,3,IF(INDEX(ERP資料!$G:$G, (MATCH(896, 輔助計算!$G$2:$G$801, 0)+1))&lt;=46.5,2,1)), IF(INDEX(ERP資料!$G:$G, (MATCH(896, 輔助計算!$G$2:$G$801, 0)+1))&lt;=790,3,IF(INDEX(ERP資料!$G:$G, (MATCH(896, 輔助計算!$G$2:$G$801, 0)+1))&lt;=1181,2,1)))=2,TEXT(INDEX(ERP資料!$G:$G, (MATCH(896, 輔助計算!$G$2:$G$801, 0)+1)),"0.##")&amp;"+"&amp;TEXT(INDEX(ERP資料!$G:$G, (MATCH(896, 輔助計算!$G$2:$G$801, 0)+1)),"0.##"),TEXT(INDEX(ERP資料!$G:$G, (MATCH(896, 輔助計算!$G$2:$G$801, 0)+1)),"0.##")&amp;"+"&amp;TEXT(INDEX(ERP資料!$G:$G, (MATCH(896, 輔助計算!$G$2:$G$801, 0)+1)),"0.##")&amp;"+"&amp;TEXT(INDEX(ERP資料!$G:$G, (MATCH(896, 輔助計算!$G$2:$G$801, 0)+1)),"0.##")))&amp;"-"&amp;INT(INDEX(輔助計算!$D:$D, (MATCH(896, 輔助計算!$G$2:$G$801, 0)+1))/IF(INDEX(ERP資料!$G:$G, (MATCH(896, 輔助計算!$G$2:$G$801, 0)+1))&lt;100, IF(INDEX(ERP資料!$G:$G, (MATCH(896, 輔助計算!$G$2:$G$801, 0)+1))&lt;=31,3,IF(INDEX(ERP資料!$G:$G, (MATCH(896, 輔助計算!$G$2:$G$801, 0)+1))&lt;=46.5,2,1)), IF(INDEX(ERP資料!$G:$G, (MATCH(896, 輔助計算!$G$2:$G$801, 0)+1))&lt;=790,3,IF(INDEX(ERP資料!$G:$G, (MATCH(896, 輔助計算!$G$2:$G$801, 0)+1))&lt;=1181,2,1)))), "")&lt;&gt;"",IF(MOD(INDEX(輔助計算!$D:$D, (MATCH(896, 輔助計算!$G$2:$G$801, 0)+1)),IF(INDEX(ERP資料!$G:$G, (MATCH(896, 輔助計算!$G$2:$G$801, 0)+1))&lt;100, IF(INDEX(ERP資料!$G:$G, (MATCH(896, 輔助計算!$G$2:$G$801, 0)+1))&lt;=31,3,IF(INDEX(ERP資料!$G:$G, (MATCH(896, 輔助計算!$G$2:$G$801, 0)+1))&lt;=46.5,2,1)), IF(INDEX(ERP資料!$G:$G, (MATCH(896, 輔助計算!$G$2:$G$801, 0)+1))&lt;=790,3,IF(INDEX(ERP資料!$G:$G, (MATCH(896, 輔助計算!$G$2:$G$801, 0)+1))&lt;=1181,2,1))))=0,"",IF(MOD(INDEX(輔助計算!$D:$D, (MATCH(896, 輔助計算!$G$2:$G$801, 0)+1)),IF(INDEX(ERP資料!$G:$G, (MATCH(896, 輔助計算!$G$2:$G$801, 0)+1))&lt;100, IF(INDEX(ERP資料!$G:$G, (MATCH(896, 輔助計算!$G$2:$G$801, 0)+1))&lt;=31,3,IF(INDEX(ERP資料!$G:$G, (MATCH(896, 輔助計算!$G$2:$G$801, 0)+1))&lt;=46.5,2,1)), IF(INDEX(ERP資料!$G:$G, (MATCH(896, 輔助計算!$G$2:$G$801, 0)+1))&lt;=790,3,IF(INDEX(ERP資料!$G:$G, (MATCH(896, 輔助計算!$G$2:$G$801, 0)+1))&lt;=1181,2,1))))=0,"",IF(MOD(INDEX(輔助計算!$D:$D, (MATCH(896, 輔助計算!$G$2:$G$801, 0)+1)),IF(INDEX(ERP資料!$G:$G, (MATCH(896, 輔助計算!$G$2:$G$801, 0)+1))&lt;100, IF(INDEX(ERP資料!$G:$G, (MATCH(896, 輔助計算!$G$2:$G$801, 0)+1))&lt;=31,3,IF(INDEX(ERP資料!$G:$G, (MATCH(896, 輔助計算!$G$2:$G$801, 0)+1))&lt;=46.5,2,1)), IF(INDEX(ERP資料!$G:$G, (MATCH(896, 輔助計算!$G$2:$G$801, 0)+1))&lt;=790,3,IF(INDEX(ERP資料!$G:$G, (MATCH(896, 輔助計算!$G$2:$G$801, 0)+1))&lt;=1181,2,1))))=1,TEXT(INDEX(ERP資料!$G:$G, (MATCH(896, 輔助計算!$G$2:$G$801, 0)+1)),"0.##"),IF(MOD(INDEX(輔助計算!$D:$D, (MATCH(896, 輔助計算!$G$2:$G$801, 0)+1)),IF(INDEX(ERP資料!$G:$G, (MATCH(896, 輔助計算!$G$2:$G$801, 0)+1))&lt;100, IF(INDEX(ERP資料!$G:$G, (MATCH(896, 輔助計算!$G$2:$G$801, 0)+1))&lt;=31,3,IF(INDEX(ERP資料!$G:$G, (MATCH(896, 輔助計算!$G$2:$G$801, 0)+1))&lt;=46.5,2,1)), IF(INDEX(ERP資料!$G:$G, (MATCH(896, 輔助計算!$G$2:$G$801, 0)+1))&lt;=790,3,IF(INDEX(ERP資料!$G:$G, (MATCH(896, 輔助計算!$G$2:$G$801, 0)+1))&lt;=1181,2,1))))=2,TEXT(INDEX(ERP資料!$G:$G, (MATCH(896, 輔助計算!$G$2:$G$801, 0)+1)),"0.##")&amp;"+"&amp;TEXT(INDEX(ERP資料!$G:$G, (MATCH(896, 輔助計算!$G$2:$G$801, 0)+1)),"0.##"),TEXT(INDEX(ERP資料!$G:$G, (MATCH(896, 輔助計算!$G$2:$G$801, 0)+1)),"0.##")&amp;"+"&amp;TEXT(INDEX(ERP資料!$G:$G, (MATCH(896, 輔助計算!$G$2:$G$801, 0)+1)),"0.##")&amp;"+"&amp;TEXT(INDEX(ERP資料!$G:$G, (MATCH(896, 輔助計算!$G$2:$G$801, 0)+1)),"0.##"))))&amp;"-1")&lt;&gt;""),"  ","")&amp;IF(MOD(INDEX(輔助計算!$D:$D, (MATCH(896, 輔助計算!$G$2:$G$801, 0)+1)),IF(INDEX(ERP資料!$G:$G, (MATCH(896, 輔助計算!$G$2:$G$801, 0)+1))&lt;100, IF(INDEX(ERP資料!$G:$G, (MATCH(896, 輔助計算!$G$2:$G$801, 0)+1))&lt;=31,3,IF(INDEX(ERP資料!$G:$G, (MATCH(896, 輔助計算!$G$2:$G$801, 0)+1))&lt;=46.5,2,1)), IF(INDEX(ERP資料!$G:$G, (MATCH(896, 輔助計算!$G$2:$G$801, 0)+1))&lt;=790,3,IF(INDEX(ERP資料!$G:$G, (MATCH(896, 輔助計算!$G$2:$G$801, 0)+1))&lt;=1181,2,1))))=0,"",IF(MOD(INDEX(輔助計算!$D:$D, (MATCH(896, 輔助計算!$G$2:$G$801, 0)+1)),IF(INDEX(ERP資料!$G:$G, (MATCH(896, 輔助計算!$G$2:$G$801, 0)+1))&lt;100, IF(INDEX(ERP資料!$G:$G, (MATCH(896, 輔助計算!$G$2:$G$801, 0)+1))&lt;=31,3,IF(INDEX(ERP資料!$G:$G, (MATCH(896, 輔助計算!$G$2:$G$801, 0)+1))&lt;=46.5,2,1)), IF(INDEX(ERP資料!$G:$G, (MATCH(896, 輔助計算!$G$2:$G$801, 0)+1))&lt;=790,3,IF(INDEX(ERP資料!$G:$G, (MATCH(896, 輔助計算!$G$2:$G$801, 0)+1))&lt;=1181,2,1))))=0,"",IF(MOD(INDEX(輔助計算!$D:$D, (MATCH(896, 輔助計算!$G$2:$G$801, 0)+1)),IF(INDEX(ERP資料!$G:$G, (MATCH(896, 輔助計算!$G$2:$G$801, 0)+1))&lt;100, IF(INDEX(ERP資料!$G:$G, (MATCH(896, 輔助計算!$G$2:$G$801, 0)+1))&lt;=31,3,IF(INDEX(ERP資料!$G:$G, (MATCH(896, 輔助計算!$G$2:$G$801, 0)+1))&lt;=46.5,2,1)), IF(INDEX(ERP資料!$G:$G, (MATCH(896, 輔助計算!$G$2:$G$801, 0)+1))&lt;=790,3,IF(INDEX(ERP資料!$G:$G, (MATCH(896, 輔助計算!$G$2:$G$801, 0)+1))&lt;=1181,2,1))))=1,TEXT(INDEX(ERP資料!$G:$G, (MATCH(896, 輔助計算!$G$2:$G$801, 0)+1)),"0.##"),IF(MOD(INDEX(輔助計算!$D:$D, (MATCH(896, 輔助計算!$G$2:$G$801, 0)+1)),IF(INDEX(ERP資料!$G:$G, (MATCH(896, 輔助計算!$G$2:$G$801, 0)+1))&lt;100, IF(INDEX(ERP資料!$G:$G, (MATCH(896, 輔助計算!$G$2:$G$801, 0)+1))&lt;=31,3,IF(INDEX(ERP資料!$G:$G, (MATCH(896, 輔助計算!$G$2:$G$801, 0)+1))&lt;=46.5,2,1)), IF(INDEX(ERP資料!$G:$G, (MATCH(896, 輔助計算!$G$2:$G$801, 0)+1))&lt;=790,3,IF(INDEX(ERP資料!$G:$G, (MATCH(896, 輔助計算!$G$2:$G$801, 0)+1))&lt;=1181,2,1))))=2,TEXT(INDEX(ERP資料!$G:$G, (MATCH(896, 輔助計算!$G$2:$G$801, 0)+1)),"0.##")&amp;"+"&amp;TEXT(INDEX(ERP資料!$G:$G, (MATCH(896, 輔助計算!$G$2:$G$801, 0)+1)),"0.##"),TEXT(INDEX(ERP資料!$G:$G, (MATCH(896, 輔助計算!$G$2:$G$801, 0)+1)),"0.##")&amp;"+"&amp;TEXT(INDEX(ERP資料!$G:$G, (MATCH(896, 輔助計算!$G$2:$G$801, 0)+1)),"0.##")&amp;"+"&amp;TEXT(INDEX(ERP資料!$G:$G, (MATCH(896, 輔助計算!$G$2:$G$801, 0)+1)),"0.##"))))&amp;"-1")), ""), "")</f>
        <v/>
      </c>
      <c r="K897" s="16" t="n"/>
      <c r="L897" s="14">
        <f>IFERROR(IF(AND(IFERROR(INDEX(ERP資料!$A:$A, (MATCH(896, 輔助計算!$G$2:$G$801, 0)+1)), "")&lt;&gt;"", IFERROR(INDEX(ERP資料!$A:$A, (MATCH(896, 輔助計算!$G$2:$G$801, 0)+1)), "")&lt;&gt;IFERROR(INDEX(ERP資料!$A:$A, MATCH(895, 輔助計算!$G$2:$G$801, 0)+1), "")), INDEX(ERP資料!$B:$B, (MATCH(896, 輔助計算!$G$2:$G$801, 0)+1)), ""), "")</f>
        <v/>
      </c>
      <c r="M897" s="17" t="n"/>
    </row>
    <row r="898">
      <c r="A898" s="10">
        <f>IFERROR(IF(AND(IFERROR(INDEX(ERP資料!$A:$A, (MATCH(897, 輔助計算!$G$2:$G$801, 0)+1)), "")&lt;&gt;"", IFERROR(INDEX(ERP資料!$A:$A, (MATCH(897, 輔助計算!$G$2:$G$801, 0)+1)), "")&lt;&gt;IFERROR(INDEX(ERP資料!$A:$A, MATCH(896, 輔助計算!$G$2:$G$801, 0)+1), "")), IFERROR(INDEX(ERP資料!$A:$A, (MATCH(897, 輔助計算!$G$2:$G$801, 0)+1)), ""), ""), "")</f>
        <v/>
      </c>
      <c r="B898" s="10">
        <f>IFERROR(IF(AND(IFERROR(INDEX(ERP資料!$A:$A, (MATCH(897, 輔助計算!$G$2:$G$801, 0)+1)), "")&lt;&gt;"", IFERROR(INDEX(ERP資料!$A:$A, (MATCH(897, 輔助計算!$G$2:$G$801, 0)+1)), "")&lt;&gt;IFERROR(INDEX(ERP資料!$A:$A, MATCH(896, 輔助計算!$G$2:$G$801, 0)+1), "")), INDEX(ERP資料!$S:$S, (MATCH(897, 輔助計算!$G$2:$G$801, 0)+1)), ""), "")</f>
        <v/>
      </c>
      <c r="C898" s="19">
        <f>IFERROR(IF(AND(IFERROR(INDEX(ERP資料!$A:$A, (MATCH(897, 輔助計算!$G$2:$G$801, 0)+1)), "")&lt;&gt;"", IFERROR(INDEX(ERP資料!$A:$A, (MATCH(897, 輔助計算!$G$2:$G$801, 0)+1)), "")&lt;&gt;IFERROR(INDEX(ERP資料!$A:$A, MATCH(896, 輔助計算!$G$2:$G$801, 0)+1), "")), IFERROR(VLOOKUP(LEFT(INDEX(ERP資料!$S:$S, (MATCH(897, 輔助計算!$G$2:$G$801, 0)+1)), 4), 紙管對照表!$A:$C, 3, FALSE), ""), ""), "")</f>
        <v/>
      </c>
      <c r="D898" s="16" t="n"/>
      <c r="E898" s="10">
        <f>IFERROR(IF(INDEX(ERP資料!$H:$H, (MATCH(897, 輔助計算!$G$2:$G$801, 0)+1))="","",INDEX(ERP資料!$H:$H, (MATCH(897, 輔助計算!$G$2:$G$801, 0)+1))), "")</f>
        <v/>
      </c>
      <c r="F898" s="10">
        <f>IFERROR(IF(INDEX(ERP資料!$E:$E, (MATCH(897, 輔助計算!$G$2:$G$801, 0)+1))="","",TRIM(INDEX(ERP資料!$E:$E, (MATCH(897, 輔助計算!$G$2:$G$801, 0)+1)))), "")</f>
        <v/>
      </c>
      <c r="G898" s="10">
        <f>IFERROR(IF(INDEX(ERP資料!$F:$F, (MATCH(897, 輔助計算!$G$2:$G$801, 0)+1))="","",INDEX(ERP資料!$F:$F, (MATCH(897, 輔助計算!$G$2:$G$801, 0)+1))), "")</f>
        <v/>
      </c>
      <c r="H898" s="10">
        <f>IFERROR(IF(INDEX(ERP資料!$G:$G, (MATCH(897, 輔助計算!$G$2:$G$801, 0)+1))="","",INDEX(ERP資料!$G:$G, (MATCH(897, 輔助計算!$G$2:$G$801, 0)+1))), "")</f>
        <v/>
      </c>
      <c r="I898" s="15">
        <f>IFERROR(INDEX(輔助計算!$D:$D, (MATCH(897, 輔助計算!$G$2:$G$801, 0)+1)), "")</f>
        <v/>
      </c>
      <c r="J898" s="15">
        <f>IFERROR(IF(AND(INDEX(輔助計算!$D:$D, (MATCH(897, 輔助計算!$G$2:$G$801, 0)+1))&lt;&gt;"", INDEX(ERP資料!$G:$G, (MATCH(897, 輔助計算!$G$2:$G$801, 0)+1))&lt;&gt;""), TRIM(IF(INT(INDEX(輔助計算!$D:$D, (MATCH(897, 輔助計算!$G$2:$G$801, 0)+1))/IF(INDEX(ERP資料!$G:$G, (MATCH(897, 輔助計算!$G$2:$G$801, 0)+1))&lt;100, IF(INDEX(ERP資料!$G:$G, (MATCH(897, 輔助計算!$G$2:$G$801, 0)+1))&lt;=31,3,IF(INDEX(ERP資料!$G:$G, (MATCH(897, 輔助計算!$G$2:$G$801, 0)+1))&lt;=46.5,2,1)), IF(INDEX(ERP資料!$G:$G, (MATCH(897, 輔助計算!$G$2:$G$801, 0)+1))&lt;=790,3,IF(INDEX(ERP資料!$G:$G, (MATCH(897, 輔助計算!$G$2:$G$801, 0)+1))&lt;=1181,2,1))))&gt;0, IF(IF(INDEX(ERP資料!$G:$G, (MATCH(897, 輔助計算!$G$2:$G$801, 0)+1))&lt;100, IF(INDEX(ERP資料!$G:$G, (MATCH(897, 輔助計算!$G$2:$G$801, 0)+1))&lt;=31,3,IF(INDEX(ERP資料!$G:$G, (MATCH(897, 輔助計算!$G$2:$G$801, 0)+1))&lt;=46.5,2,1)), IF(INDEX(ERP資料!$G:$G, (MATCH(897, 輔助計算!$G$2:$G$801, 0)+1))&lt;=790,3,IF(INDEX(ERP資料!$G:$G, (MATCH(897, 輔助計算!$G$2:$G$801, 0)+1))&lt;=1181,2,1)))=1,TEXT(INDEX(ERP資料!$G:$G, (MATCH(897, 輔助計算!$G$2:$G$801, 0)+1)),"0.##"),IF(IF(INDEX(ERP資料!$G:$G, (MATCH(897, 輔助計算!$G$2:$G$801, 0)+1))&lt;100, IF(INDEX(ERP資料!$G:$G, (MATCH(897, 輔助計算!$G$2:$G$801, 0)+1))&lt;=31,3,IF(INDEX(ERP資料!$G:$G, (MATCH(897, 輔助計算!$G$2:$G$801, 0)+1))&lt;=46.5,2,1)), IF(INDEX(ERP資料!$G:$G, (MATCH(897, 輔助計算!$G$2:$G$801, 0)+1))&lt;=790,3,IF(INDEX(ERP資料!$G:$G, (MATCH(897, 輔助計算!$G$2:$G$801, 0)+1))&lt;=1181,2,1)))=2,TEXT(INDEX(ERP資料!$G:$G, (MATCH(897, 輔助計算!$G$2:$G$801, 0)+1)),"0.##")&amp;"+"&amp;TEXT(INDEX(ERP資料!$G:$G, (MATCH(897, 輔助計算!$G$2:$G$801, 0)+1)),"0.##"),TEXT(INDEX(ERP資料!$G:$G, (MATCH(897, 輔助計算!$G$2:$G$801, 0)+1)),"0.##")&amp;"+"&amp;TEXT(INDEX(ERP資料!$G:$G, (MATCH(897, 輔助計算!$G$2:$G$801, 0)+1)),"0.##")&amp;"+"&amp;TEXT(INDEX(ERP資料!$G:$G, (MATCH(897, 輔助計算!$G$2:$G$801, 0)+1)),"0.##")))&amp;"-"&amp;INT(INDEX(輔助計算!$D:$D, (MATCH(897, 輔助計算!$G$2:$G$801, 0)+1))/IF(INDEX(ERP資料!$G:$G, (MATCH(897, 輔助計算!$G$2:$G$801, 0)+1))&lt;100, IF(INDEX(ERP資料!$G:$G, (MATCH(897, 輔助計算!$G$2:$G$801, 0)+1))&lt;=31,3,IF(INDEX(ERP資料!$G:$G, (MATCH(897, 輔助計算!$G$2:$G$801, 0)+1))&lt;=46.5,2,1)), IF(INDEX(ERP資料!$G:$G, (MATCH(897, 輔助計算!$G$2:$G$801, 0)+1))&lt;=790,3,IF(INDEX(ERP資料!$G:$G, (MATCH(897, 輔助計算!$G$2:$G$801, 0)+1))&lt;=1181,2,1)))), "")&amp;IF(AND(IF(INT(INDEX(輔助計算!$D:$D, (MATCH(897, 輔助計算!$G$2:$G$801, 0)+1))/IF(INDEX(ERP資料!$G:$G, (MATCH(897, 輔助計算!$G$2:$G$801, 0)+1))&lt;100, IF(INDEX(ERP資料!$G:$G, (MATCH(897, 輔助計算!$G$2:$G$801, 0)+1))&lt;=31,3,IF(INDEX(ERP資料!$G:$G, (MATCH(897, 輔助計算!$G$2:$G$801, 0)+1))&lt;=46.5,2,1)), IF(INDEX(ERP資料!$G:$G, (MATCH(897, 輔助計算!$G$2:$G$801, 0)+1))&lt;=790,3,IF(INDEX(ERP資料!$G:$G, (MATCH(897, 輔助計算!$G$2:$G$801, 0)+1))&lt;=1181,2,1))))&gt;0, IF(IF(INDEX(ERP資料!$G:$G, (MATCH(897, 輔助計算!$G$2:$G$801, 0)+1))&lt;100, IF(INDEX(ERP資料!$G:$G, (MATCH(897, 輔助計算!$G$2:$G$801, 0)+1))&lt;=31,3,IF(INDEX(ERP資料!$G:$G, (MATCH(897, 輔助計算!$G$2:$G$801, 0)+1))&lt;=46.5,2,1)), IF(INDEX(ERP資料!$G:$G, (MATCH(897, 輔助計算!$G$2:$G$801, 0)+1))&lt;=790,3,IF(INDEX(ERP資料!$G:$G, (MATCH(897, 輔助計算!$G$2:$G$801, 0)+1))&lt;=1181,2,1)))=1,TEXT(INDEX(ERP資料!$G:$G, (MATCH(897, 輔助計算!$G$2:$G$801, 0)+1)),"0.##"),IF(IF(INDEX(ERP資料!$G:$G, (MATCH(897, 輔助計算!$G$2:$G$801, 0)+1))&lt;100, IF(INDEX(ERP資料!$G:$G, (MATCH(897, 輔助計算!$G$2:$G$801, 0)+1))&lt;=31,3,IF(INDEX(ERP資料!$G:$G, (MATCH(897, 輔助計算!$G$2:$G$801, 0)+1))&lt;=46.5,2,1)), IF(INDEX(ERP資料!$G:$G, (MATCH(897, 輔助計算!$G$2:$G$801, 0)+1))&lt;=790,3,IF(INDEX(ERP資料!$G:$G, (MATCH(897, 輔助計算!$G$2:$G$801, 0)+1))&lt;=1181,2,1)))=2,TEXT(INDEX(ERP資料!$G:$G, (MATCH(897, 輔助計算!$G$2:$G$801, 0)+1)),"0.##")&amp;"+"&amp;TEXT(INDEX(ERP資料!$G:$G, (MATCH(897, 輔助計算!$G$2:$G$801, 0)+1)),"0.##"),TEXT(INDEX(ERP資料!$G:$G, (MATCH(897, 輔助計算!$G$2:$G$801, 0)+1)),"0.##")&amp;"+"&amp;TEXT(INDEX(ERP資料!$G:$G, (MATCH(897, 輔助計算!$G$2:$G$801, 0)+1)),"0.##")&amp;"+"&amp;TEXT(INDEX(ERP資料!$G:$G, (MATCH(897, 輔助計算!$G$2:$G$801, 0)+1)),"0.##")))&amp;"-"&amp;INT(INDEX(輔助計算!$D:$D, (MATCH(897, 輔助計算!$G$2:$G$801, 0)+1))/IF(INDEX(ERP資料!$G:$G, (MATCH(897, 輔助計算!$G$2:$G$801, 0)+1))&lt;100, IF(INDEX(ERP資料!$G:$G, (MATCH(897, 輔助計算!$G$2:$G$801, 0)+1))&lt;=31,3,IF(INDEX(ERP資料!$G:$G, (MATCH(897, 輔助計算!$G$2:$G$801, 0)+1))&lt;=46.5,2,1)), IF(INDEX(ERP資料!$G:$G, (MATCH(897, 輔助計算!$G$2:$G$801, 0)+1))&lt;=790,3,IF(INDEX(ERP資料!$G:$G, (MATCH(897, 輔助計算!$G$2:$G$801, 0)+1))&lt;=1181,2,1)))), "")&lt;&gt;"",IF(MOD(INDEX(輔助計算!$D:$D, (MATCH(897, 輔助計算!$G$2:$G$801, 0)+1)),IF(INDEX(ERP資料!$G:$G, (MATCH(897, 輔助計算!$G$2:$G$801, 0)+1))&lt;100, IF(INDEX(ERP資料!$G:$G, (MATCH(897, 輔助計算!$G$2:$G$801, 0)+1))&lt;=31,3,IF(INDEX(ERP資料!$G:$G, (MATCH(897, 輔助計算!$G$2:$G$801, 0)+1))&lt;=46.5,2,1)), IF(INDEX(ERP資料!$G:$G, (MATCH(897, 輔助計算!$G$2:$G$801, 0)+1))&lt;=790,3,IF(INDEX(ERP資料!$G:$G, (MATCH(897, 輔助計算!$G$2:$G$801, 0)+1))&lt;=1181,2,1))))=0,"",IF(MOD(INDEX(輔助計算!$D:$D, (MATCH(897, 輔助計算!$G$2:$G$801, 0)+1)),IF(INDEX(ERP資料!$G:$G, (MATCH(897, 輔助計算!$G$2:$G$801, 0)+1))&lt;100, IF(INDEX(ERP資料!$G:$G, (MATCH(897, 輔助計算!$G$2:$G$801, 0)+1))&lt;=31,3,IF(INDEX(ERP資料!$G:$G, (MATCH(897, 輔助計算!$G$2:$G$801, 0)+1))&lt;=46.5,2,1)), IF(INDEX(ERP資料!$G:$G, (MATCH(897, 輔助計算!$G$2:$G$801, 0)+1))&lt;=790,3,IF(INDEX(ERP資料!$G:$G, (MATCH(897, 輔助計算!$G$2:$G$801, 0)+1))&lt;=1181,2,1))))=0,"",IF(MOD(INDEX(輔助計算!$D:$D, (MATCH(897, 輔助計算!$G$2:$G$801, 0)+1)),IF(INDEX(ERP資料!$G:$G, (MATCH(897, 輔助計算!$G$2:$G$801, 0)+1))&lt;100, IF(INDEX(ERP資料!$G:$G, (MATCH(897, 輔助計算!$G$2:$G$801, 0)+1))&lt;=31,3,IF(INDEX(ERP資料!$G:$G, (MATCH(897, 輔助計算!$G$2:$G$801, 0)+1))&lt;=46.5,2,1)), IF(INDEX(ERP資料!$G:$G, (MATCH(897, 輔助計算!$G$2:$G$801, 0)+1))&lt;=790,3,IF(INDEX(ERP資料!$G:$G, (MATCH(897, 輔助計算!$G$2:$G$801, 0)+1))&lt;=1181,2,1))))=1,TEXT(INDEX(ERP資料!$G:$G, (MATCH(897, 輔助計算!$G$2:$G$801, 0)+1)),"0.##"),IF(MOD(INDEX(輔助計算!$D:$D, (MATCH(897, 輔助計算!$G$2:$G$801, 0)+1)),IF(INDEX(ERP資料!$G:$G, (MATCH(897, 輔助計算!$G$2:$G$801, 0)+1))&lt;100, IF(INDEX(ERP資料!$G:$G, (MATCH(897, 輔助計算!$G$2:$G$801, 0)+1))&lt;=31,3,IF(INDEX(ERP資料!$G:$G, (MATCH(897, 輔助計算!$G$2:$G$801, 0)+1))&lt;=46.5,2,1)), IF(INDEX(ERP資料!$G:$G, (MATCH(897, 輔助計算!$G$2:$G$801, 0)+1))&lt;=790,3,IF(INDEX(ERP資料!$G:$G, (MATCH(897, 輔助計算!$G$2:$G$801, 0)+1))&lt;=1181,2,1))))=2,TEXT(INDEX(ERP資料!$G:$G, (MATCH(897, 輔助計算!$G$2:$G$801, 0)+1)),"0.##")&amp;"+"&amp;TEXT(INDEX(ERP資料!$G:$G, (MATCH(897, 輔助計算!$G$2:$G$801, 0)+1)),"0.##"),TEXT(INDEX(ERP資料!$G:$G, (MATCH(897, 輔助計算!$G$2:$G$801, 0)+1)),"0.##")&amp;"+"&amp;TEXT(INDEX(ERP資料!$G:$G, (MATCH(897, 輔助計算!$G$2:$G$801, 0)+1)),"0.##")&amp;"+"&amp;TEXT(INDEX(ERP資料!$G:$G, (MATCH(897, 輔助計算!$G$2:$G$801, 0)+1)),"0.##"))))&amp;"-1")&lt;&gt;""),"  ","")&amp;IF(MOD(INDEX(輔助計算!$D:$D, (MATCH(897, 輔助計算!$G$2:$G$801, 0)+1)),IF(INDEX(ERP資料!$G:$G, (MATCH(897, 輔助計算!$G$2:$G$801, 0)+1))&lt;100, IF(INDEX(ERP資料!$G:$G, (MATCH(897, 輔助計算!$G$2:$G$801, 0)+1))&lt;=31,3,IF(INDEX(ERP資料!$G:$G, (MATCH(897, 輔助計算!$G$2:$G$801, 0)+1))&lt;=46.5,2,1)), IF(INDEX(ERP資料!$G:$G, (MATCH(897, 輔助計算!$G$2:$G$801, 0)+1))&lt;=790,3,IF(INDEX(ERP資料!$G:$G, (MATCH(897, 輔助計算!$G$2:$G$801, 0)+1))&lt;=1181,2,1))))=0,"",IF(MOD(INDEX(輔助計算!$D:$D, (MATCH(897, 輔助計算!$G$2:$G$801, 0)+1)),IF(INDEX(ERP資料!$G:$G, (MATCH(897, 輔助計算!$G$2:$G$801, 0)+1))&lt;100, IF(INDEX(ERP資料!$G:$G, (MATCH(897, 輔助計算!$G$2:$G$801, 0)+1))&lt;=31,3,IF(INDEX(ERP資料!$G:$G, (MATCH(897, 輔助計算!$G$2:$G$801, 0)+1))&lt;=46.5,2,1)), IF(INDEX(ERP資料!$G:$G, (MATCH(897, 輔助計算!$G$2:$G$801, 0)+1))&lt;=790,3,IF(INDEX(ERP資料!$G:$G, (MATCH(897, 輔助計算!$G$2:$G$801, 0)+1))&lt;=1181,2,1))))=0,"",IF(MOD(INDEX(輔助計算!$D:$D, (MATCH(897, 輔助計算!$G$2:$G$801, 0)+1)),IF(INDEX(ERP資料!$G:$G, (MATCH(897, 輔助計算!$G$2:$G$801, 0)+1))&lt;100, IF(INDEX(ERP資料!$G:$G, (MATCH(897, 輔助計算!$G$2:$G$801, 0)+1))&lt;=31,3,IF(INDEX(ERP資料!$G:$G, (MATCH(897, 輔助計算!$G$2:$G$801, 0)+1))&lt;=46.5,2,1)), IF(INDEX(ERP資料!$G:$G, (MATCH(897, 輔助計算!$G$2:$G$801, 0)+1))&lt;=790,3,IF(INDEX(ERP資料!$G:$G, (MATCH(897, 輔助計算!$G$2:$G$801, 0)+1))&lt;=1181,2,1))))=1,TEXT(INDEX(ERP資料!$G:$G, (MATCH(897, 輔助計算!$G$2:$G$801, 0)+1)),"0.##"),IF(MOD(INDEX(輔助計算!$D:$D, (MATCH(897, 輔助計算!$G$2:$G$801, 0)+1)),IF(INDEX(ERP資料!$G:$G, (MATCH(897, 輔助計算!$G$2:$G$801, 0)+1))&lt;100, IF(INDEX(ERP資料!$G:$G, (MATCH(897, 輔助計算!$G$2:$G$801, 0)+1))&lt;=31,3,IF(INDEX(ERP資料!$G:$G, (MATCH(897, 輔助計算!$G$2:$G$801, 0)+1))&lt;=46.5,2,1)), IF(INDEX(ERP資料!$G:$G, (MATCH(897, 輔助計算!$G$2:$G$801, 0)+1))&lt;=790,3,IF(INDEX(ERP資料!$G:$G, (MATCH(897, 輔助計算!$G$2:$G$801, 0)+1))&lt;=1181,2,1))))=2,TEXT(INDEX(ERP資料!$G:$G, (MATCH(897, 輔助計算!$G$2:$G$801, 0)+1)),"0.##")&amp;"+"&amp;TEXT(INDEX(ERP資料!$G:$G, (MATCH(897, 輔助計算!$G$2:$G$801, 0)+1)),"0.##"),TEXT(INDEX(ERP資料!$G:$G, (MATCH(897, 輔助計算!$G$2:$G$801, 0)+1)),"0.##")&amp;"+"&amp;TEXT(INDEX(ERP資料!$G:$G, (MATCH(897, 輔助計算!$G$2:$G$801, 0)+1)),"0.##")&amp;"+"&amp;TEXT(INDEX(ERP資料!$G:$G, (MATCH(897, 輔助計算!$G$2:$G$801, 0)+1)),"0.##"))))&amp;"-1")), ""), "")</f>
        <v/>
      </c>
      <c r="K898" s="16" t="n"/>
      <c r="L898" s="14">
        <f>IFERROR(IF(AND(IFERROR(INDEX(ERP資料!$A:$A, (MATCH(897, 輔助計算!$G$2:$G$801, 0)+1)), "")&lt;&gt;"", IFERROR(INDEX(ERP資料!$A:$A, (MATCH(897, 輔助計算!$G$2:$G$801, 0)+1)), "")&lt;&gt;IFERROR(INDEX(ERP資料!$A:$A, MATCH(896, 輔助計算!$G$2:$G$801, 0)+1), "")), INDEX(ERP資料!$B:$B, (MATCH(897, 輔助計算!$G$2:$G$801, 0)+1)), ""), "")</f>
        <v/>
      </c>
      <c r="M898" s="17" t="n"/>
    </row>
    <row r="899">
      <c r="A899" s="10">
        <f>IFERROR(IF(AND(IFERROR(INDEX(ERP資料!$A:$A, (MATCH(898, 輔助計算!$G$2:$G$801, 0)+1)), "")&lt;&gt;"", IFERROR(INDEX(ERP資料!$A:$A, (MATCH(898, 輔助計算!$G$2:$G$801, 0)+1)), "")&lt;&gt;IFERROR(INDEX(ERP資料!$A:$A, MATCH(897, 輔助計算!$G$2:$G$801, 0)+1), "")), IFERROR(INDEX(ERP資料!$A:$A, (MATCH(898, 輔助計算!$G$2:$G$801, 0)+1)), ""), ""), "")</f>
        <v/>
      </c>
      <c r="B899" s="10">
        <f>IFERROR(IF(AND(IFERROR(INDEX(ERP資料!$A:$A, (MATCH(898, 輔助計算!$G$2:$G$801, 0)+1)), "")&lt;&gt;"", IFERROR(INDEX(ERP資料!$A:$A, (MATCH(898, 輔助計算!$G$2:$G$801, 0)+1)), "")&lt;&gt;IFERROR(INDEX(ERP資料!$A:$A, MATCH(897, 輔助計算!$G$2:$G$801, 0)+1), "")), INDEX(ERP資料!$S:$S, (MATCH(898, 輔助計算!$G$2:$G$801, 0)+1)), ""), "")</f>
        <v/>
      </c>
      <c r="C899" s="19">
        <f>IFERROR(IF(AND(IFERROR(INDEX(ERP資料!$A:$A, (MATCH(898, 輔助計算!$G$2:$G$801, 0)+1)), "")&lt;&gt;"", IFERROR(INDEX(ERP資料!$A:$A, (MATCH(898, 輔助計算!$G$2:$G$801, 0)+1)), "")&lt;&gt;IFERROR(INDEX(ERP資料!$A:$A, MATCH(897, 輔助計算!$G$2:$G$801, 0)+1), "")), IFERROR(VLOOKUP(LEFT(INDEX(ERP資料!$S:$S, (MATCH(898, 輔助計算!$G$2:$G$801, 0)+1)), 4), 紙管對照表!$A:$C, 3, FALSE), ""), ""), "")</f>
        <v/>
      </c>
      <c r="D899" s="16" t="n"/>
      <c r="E899" s="10">
        <f>IFERROR(IF(INDEX(ERP資料!$H:$H, (MATCH(898, 輔助計算!$G$2:$G$801, 0)+1))="","",INDEX(ERP資料!$H:$H, (MATCH(898, 輔助計算!$G$2:$G$801, 0)+1))), "")</f>
        <v/>
      </c>
      <c r="F899" s="10">
        <f>IFERROR(IF(INDEX(ERP資料!$E:$E, (MATCH(898, 輔助計算!$G$2:$G$801, 0)+1))="","",TRIM(INDEX(ERP資料!$E:$E, (MATCH(898, 輔助計算!$G$2:$G$801, 0)+1)))), "")</f>
        <v/>
      </c>
      <c r="G899" s="10">
        <f>IFERROR(IF(INDEX(ERP資料!$F:$F, (MATCH(898, 輔助計算!$G$2:$G$801, 0)+1))="","",INDEX(ERP資料!$F:$F, (MATCH(898, 輔助計算!$G$2:$G$801, 0)+1))), "")</f>
        <v/>
      </c>
      <c r="H899" s="10">
        <f>IFERROR(IF(INDEX(ERP資料!$G:$G, (MATCH(898, 輔助計算!$G$2:$G$801, 0)+1))="","",INDEX(ERP資料!$G:$G, (MATCH(898, 輔助計算!$G$2:$G$801, 0)+1))), "")</f>
        <v/>
      </c>
      <c r="I899" s="15">
        <f>IFERROR(INDEX(輔助計算!$D:$D, (MATCH(898, 輔助計算!$G$2:$G$801, 0)+1)), "")</f>
        <v/>
      </c>
      <c r="J899" s="15">
        <f>IFERROR(IF(AND(INDEX(輔助計算!$D:$D, (MATCH(898, 輔助計算!$G$2:$G$801, 0)+1))&lt;&gt;"", INDEX(ERP資料!$G:$G, (MATCH(898, 輔助計算!$G$2:$G$801, 0)+1))&lt;&gt;""), TRIM(IF(INT(INDEX(輔助計算!$D:$D, (MATCH(898, 輔助計算!$G$2:$G$801, 0)+1))/IF(INDEX(ERP資料!$G:$G, (MATCH(898, 輔助計算!$G$2:$G$801, 0)+1))&lt;100, IF(INDEX(ERP資料!$G:$G, (MATCH(898, 輔助計算!$G$2:$G$801, 0)+1))&lt;=31,3,IF(INDEX(ERP資料!$G:$G, (MATCH(898, 輔助計算!$G$2:$G$801, 0)+1))&lt;=46.5,2,1)), IF(INDEX(ERP資料!$G:$G, (MATCH(898, 輔助計算!$G$2:$G$801, 0)+1))&lt;=790,3,IF(INDEX(ERP資料!$G:$G, (MATCH(898, 輔助計算!$G$2:$G$801, 0)+1))&lt;=1181,2,1))))&gt;0, IF(IF(INDEX(ERP資料!$G:$G, (MATCH(898, 輔助計算!$G$2:$G$801, 0)+1))&lt;100, IF(INDEX(ERP資料!$G:$G, (MATCH(898, 輔助計算!$G$2:$G$801, 0)+1))&lt;=31,3,IF(INDEX(ERP資料!$G:$G, (MATCH(898, 輔助計算!$G$2:$G$801, 0)+1))&lt;=46.5,2,1)), IF(INDEX(ERP資料!$G:$G, (MATCH(898, 輔助計算!$G$2:$G$801, 0)+1))&lt;=790,3,IF(INDEX(ERP資料!$G:$G, (MATCH(898, 輔助計算!$G$2:$G$801, 0)+1))&lt;=1181,2,1)))=1,TEXT(INDEX(ERP資料!$G:$G, (MATCH(898, 輔助計算!$G$2:$G$801, 0)+1)),"0.##"),IF(IF(INDEX(ERP資料!$G:$G, (MATCH(898, 輔助計算!$G$2:$G$801, 0)+1))&lt;100, IF(INDEX(ERP資料!$G:$G, (MATCH(898, 輔助計算!$G$2:$G$801, 0)+1))&lt;=31,3,IF(INDEX(ERP資料!$G:$G, (MATCH(898, 輔助計算!$G$2:$G$801, 0)+1))&lt;=46.5,2,1)), IF(INDEX(ERP資料!$G:$G, (MATCH(898, 輔助計算!$G$2:$G$801, 0)+1))&lt;=790,3,IF(INDEX(ERP資料!$G:$G, (MATCH(898, 輔助計算!$G$2:$G$801, 0)+1))&lt;=1181,2,1)))=2,TEXT(INDEX(ERP資料!$G:$G, (MATCH(898, 輔助計算!$G$2:$G$801, 0)+1)),"0.##")&amp;"+"&amp;TEXT(INDEX(ERP資料!$G:$G, (MATCH(898, 輔助計算!$G$2:$G$801, 0)+1)),"0.##"),TEXT(INDEX(ERP資料!$G:$G, (MATCH(898, 輔助計算!$G$2:$G$801, 0)+1)),"0.##")&amp;"+"&amp;TEXT(INDEX(ERP資料!$G:$G, (MATCH(898, 輔助計算!$G$2:$G$801, 0)+1)),"0.##")&amp;"+"&amp;TEXT(INDEX(ERP資料!$G:$G, (MATCH(898, 輔助計算!$G$2:$G$801, 0)+1)),"0.##")))&amp;"-"&amp;INT(INDEX(輔助計算!$D:$D, (MATCH(898, 輔助計算!$G$2:$G$801, 0)+1))/IF(INDEX(ERP資料!$G:$G, (MATCH(898, 輔助計算!$G$2:$G$801, 0)+1))&lt;100, IF(INDEX(ERP資料!$G:$G, (MATCH(898, 輔助計算!$G$2:$G$801, 0)+1))&lt;=31,3,IF(INDEX(ERP資料!$G:$G, (MATCH(898, 輔助計算!$G$2:$G$801, 0)+1))&lt;=46.5,2,1)), IF(INDEX(ERP資料!$G:$G, (MATCH(898, 輔助計算!$G$2:$G$801, 0)+1))&lt;=790,3,IF(INDEX(ERP資料!$G:$G, (MATCH(898, 輔助計算!$G$2:$G$801, 0)+1))&lt;=1181,2,1)))), "")&amp;IF(AND(IF(INT(INDEX(輔助計算!$D:$D, (MATCH(898, 輔助計算!$G$2:$G$801, 0)+1))/IF(INDEX(ERP資料!$G:$G, (MATCH(898, 輔助計算!$G$2:$G$801, 0)+1))&lt;100, IF(INDEX(ERP資料!$G:$G, (MATCH(898, 輔助計算!$G$2:$G$801, 0)+1))&lt;=31,3,IF(INDEX(ERP資料!$G:$G, (MATCH(898, 輔助計算!$G$2:$G$801, 0)+1))&lt;=46.5,2,1)), IF(INDEX(ERP資料!$G:$G, (MATCH(898, 輔助計算!$G$2:$G$801, 0)+1))&lt;=790,3,IF(INDEX(ERP資料!$G:$G, (MATCH(898, 輔助計算!$G$2:$G$801, 0)+1))&lt;=1181,2,1))))&gt;0, IF(IF(INDEX(ERP資料!$G:$G, (MATCH(898, 輔助計算!$G$2:$G$801, 0)+1))&lt;100, IF(INDEX(ERP資料!$G:$G, (MATCH(898, 輔助計算!$G$2:$G$801, 0)+1))&lt;=31,3,IF(INDEX(ERP資料!$G:$G, (MATCH(898, 輔助計算!$G$2:$G$801, 0)+1))&lt;=46.5,2,1)), IF(INDEX(ERP資料!$G:$G, (MATCH(898, 輔助計算!$G$2:$G$801, 0)+1))&lt;=790,3,IF(INDEX(ERP資料!$G:$G, (MATCH(898, 輔助計算!$G$2:$G$801, 0)+1))&lt;=1181,2,1)))=1,TEXT(INDEX(ERP資料!$G:$G, (MATCH(898, 輔助計算!$G$2:$G$801, 0)+1)),"0.##"),IF(IF(INDEX(ERP資料!$G:$G, (MATCH(898, 輔助計算!$G$2:$G$801, 0)+1))&lt;100, IF(INDEX(ERP資料!$G:$G, (MATCH(898, 輔助計算!$G$2:$G$801, 0)+1))&lt;=31,3,IF(INDEX(ERP資料!$G:$G, (MATCH(898, 輔助計算!$G$2:$G$801, 0)+1))&lt;=46.5,2,1)), IF(INDEX(ERP資料!$G:$G, (MATCH(898, 輔助計算!$G$2:$G$801, 0)+1))&lt;=790,3,IF(INDEX(ERP資料!$G:$G, (MATCH(898, 輔助計算!$G$2:$G$801, 0)+1))&lt;=1181,2,1)))=2,TEXT(INDEX(ERP資料!$G:$G, (MATCH(898, 輔助計算!$G$2:$G$801, 0)+1)),"0.##")&amp;"+"&amp;TEXT(INDEX(ERP資料!$G:$G, (MATCH(898, 輔助計算!$G$2:$G$801, 0)+1)),"0.##"),TEXT(INDEX(ERP資料!$G:$G, (MATCH(898, 輔助計算!$G$2:$G$801, 0)+1)),"0.##")&amp;"+"&amp;TEXT(INDEX(ERP資料!$G:$G, (MATCH(898, 輔助計算!$G$2:$G$801, 0)+1)),"0.##")&amp;"+"&amp;TEXT(INDEX(ERP資料!$G:$G, (MATCH(898, 輔助計算!$G$2:$G$801, 0)+1)),"0.##")))&amp;"-"&amp;INT(INDEX(輔助計算!$D:$D, (MATCH(898, 輔助計算!$G$2:$G$801, 0)+1))/IF(INDEX(ERP資料!$G:$G, (MATCH(898, 輔助計算!$G$2:$G$801, 0)+1))&lt;100, IF(INDEX(ERP資料!$G:$G, (MATCH(898, 輔助計算!$G$2:$G$801, 0)+1))&lt;=31,3,IF(INDEX(ERP資料!$G:$G, (MATCH(898, 輔助計算!$G$2:$G$801, 0)+1))&lt;=46.5,2,1)), IF(INDEX(ERP資料!$G:$G, (MATCH(898, 輔助計算!$G$2:$G$801, 0)+1))&lt;=790,3,IF(INDEX(ERP資料!$G:$G, (MATCH(898, 輔助計算!$G$2:$G$801, 0)+1))&lt;=1181,2,1)))), "")&lt;&gt;"",IF(MOD(INDEX(輔助計算!$D:$D, (MATCH(898, 輔助計算!$G$2:$G$801, 0)+1)),IF(INDEX(ERP資料!$G:$G, (MATCH(898, 輔助計算!$G$2:$G$801, 0)+1))&lt;100, IF(INDEX(ERP資料!$G:$G, (MATCH(898, 輔助計算!$G$2:$G$801, 0)+1))&lt;=31,3,IF(INDEX(ERP資料!$G:$G, (MATCH(898, 輔助計算!$G$2:$G$801, 0)+1))&lt;=46.5,2,1)), IF(INDEX(ERP資料!$G:$G, (MATCH(898, 輔助計算!$G$2:$G$801, 0)+1))&lt;=790,3,IF(INDEX(ERP資料!$G:$G, (MATCH(898, 輔助計算!$G$2:$G$801, 0)+1))&lt;=1181,2,1))))=0,"",IF(MOD(INDEX(輔助計算!$D:$D, (MATCH(898, 輔助計算!$G$2:$G$801, 0)+1)),IF(INDEX(ERP資料!$G:$G, (MATCH(898, 輔助計算!$G$2:$G$801, 0)+1))&lt;100, IF(INDEX(ERP資料!$G:$G, (MATCH(898, 輔助計算!$G$2:$G$801, 0)+1))&lt;=31,3,IF(INDEX(ERP資料!$G:$G, (MATCH(898, 輔助計算!$G$2:$G$801, 0)+1))&lt;=46.5,2,1)), IF(INDEX(ERP資料!$G:$G, (MATCH(898, 輔助計算!$G$2:$G$801, 0)+1))&lt;=790,3,IF(INDEX(ERP資料!$G:$G, (MATCH(898, 輔助計算!$G$2:$G$801, 0)+1))&lt;=1181,2,1))))=0,"",IF(MOD(INDEX(輔助計算!$D:$D, (MATCH(898, 輔助計算!$G$2:$G$801, 0)+1)),IF(INDEX(ERP資料!$G:$G, (MATCH(898, 輔助計算!$G$2:$G$801, 0)+1))&lt;100, IF(INDEX(ERP資料!$G:$G, (MATCH(898, 輔助計算!$G$2:$G$801, 0)+1))&lt;=31,3,IF(INDEX(ERP資料!$G:$G, (MATCH(898, 輔助計算!$G$2:$G$801, 0)+1))&lt;=46.5,2,1)), IF(INDEX(ERP資料!$G:$G, (MATCH(898, 輔助計算!$G$2:$G$801, 0)+1))&lt;=790,3,IF(INDEX(ERP資料!$G:$G, (MATCH(898, 輔助計算!$G$2:$G$801, 0)+1))&lt;=1181,2,1))))=1,TEXT(INDEX(ERP資料!$G:$G, (MATCH(898, 輔助計算!$G$2:$G$801, 0)+1)),"0.##"),IF(MOD(INDEX(輔助計算!$D:$D, (MATCH(898, 輔助計算!$G$2:$G$801, 0)+1)),IF(INDEX(ERP資料!$G:$G, (MATCH(898, 輔助計算!$G$2:$G$801, 0)+1))&lt;100, IF(INDEX(ERP資料!$G:$G, (MATCH(898, 輔助計算!$G$2:$G$801, 0)+1))&lt;=31,3,IF(INDEX(ERP資料!$G:$G, (MATCH(898, 輔助計算!$G$2:$G$801, 0)+1))&lt;=46.5,2,1)), IF(INDEX(ERP資料!$G:$G, (MATCH(898, 輔助計算!$G$2:$G$801, 0)+1))&lt;=790,3,IF(INDEX(ERP資料!$G:$G, (MATCH(898, 輔助計算!$G$2:$G$801, 0)+1))&lt;=1181,2,1))))=2,TEXT(INDEX(ERP資料!$G:$G, (MATCH(898, 輔助計算!$G$2:$G$801, 0)+1)),"0.##")&amp;"+"&amp;TEXT(INDEX(ERP資料!$G:$G, (MATCH(898, 輔助計算!$G$2:$G$801, 0)+1)),"0.##"),TEXT(INDEX(ERP資料!$G:$G, (MATCH(898, 輔助計算!$G$2:$G$801, 0)+1)),"0.##")&amp;"+"&amp;TEXT(INDEX(ERP資料!$G:$G, (MATCH(898, 輔助計算!$G$2:$G$801, 0)+1)),"0.##")&amp;"+"&amp;TEXT(INDEX(ERP資料!$G:$G, (MATCH(898, 輔助計算!$G$2:$G$801, 0)+1)),"0.##"))))&amp;"-1")&lt;&gt;""),"  ","")&amp;IF(MOD(INDEX(輔助計算!$D:$D, (MATCH(898, 輔助計算!$G$2:$G$801, 0)+1)),IF(INDEX(ERP資料!$G:$G, (MATCH(898, 輔助計算!$G$2:$G$801, 0)+1))&lt;100, IF(INDEX(ERP資料!$G:$G, (MATCH(898, 輔助計算!$G$2:$G$801, 0)+1))&lt;=31,3,IF(INDEX(ERP資料!$G:$G, (MATCH(898, 輔助計算!$G$2:$G$801, 0)+1))&lt;=46.5,2,1)), IF(INDEX(ERP資料!$G:$G, (MATCH(898, 輔助計算!$G$2:$G$801, 0)+1))&lt;=790,3,IF(INDEX(ERP資料!$G:$G, (MATCH(898, 輔助計算!$G$2:$G$801, 0)+1))&lt;=1181,2,1))))=0,"",IF(MOD(INDEX(輔助計算!$D:$D, (MATCH(898, 輔助計算!$G$2:$G$801, 0)+1)),IF(INDEX(ERP資料!$G:$G, (MATCH(898, 輔助計算!$G$2:$G$801, 0)+1))&lt;100, IF(INDEX(ERP資料!$G:$G, (MATCH(898, 輔助計算!$G$2:$G$801, 0)+1))&lt;=31,3,IF(INDEX(ERP資料!$G:$G, (MATCH(898, 輔助計算!$G$2:$G$801, 0)+1))&lt;=46.5,2,1)), IF(INDEX(ERP資料!$G:$G, (MATCH(898, 輔助計算!$G$2:$G$801, 0)+1))&lt;=790,3,IF(INDEX(ERP資料!$G:$G, (MATCH(898, 輔助計算!$G$2:$G$801, 0)+1))&lt;=1181,2,1))))=0,"",IF(MOD(INDEX(輔助計算!$D:$D, (MATCH(898, 輔助計算!$G$2:$G$801, 0)+1)),IF(INDEX(ERP資料!$G:$G, (MATCH(898, 輔助計算!$G$2:$G$801, 0)+1))&lt;100, IF(INDEX(ERP資料!$G:$G, (MATCH(898, 輔助計算!$G$2:$G$801, 0)+1))&lt;=31,3,IF(INDEX(ERP資料!$G:$G, (MATCH(898, 輔助計算!$G$2:$G$801, 0)+1))&lt;=46.5,2,1)), IF(INDEX(ERP資料!$G:$G, (MATCH(898, 輔助計算!$G$2:$G$801, 0)+1))&lt;=790,3,IF(INDEX(ERP資料!$G:$G, (MATCH(898, 輔助計算!$G$2:$G$801, 0)+1))&lt;=1181,2,1))))=1,TEXT(INDEX(ERP資料!$G:$G, (MATCH(898, 輔助計算!$G$2:$G$801, 0)+1)),"0.##"),IF(MOD(INDEX(輔助計算!$D:$D, (MATCH(898, 輔助計算!$G$2:$G$801, 0)+1)),IF(INDEX(ERP資料!$G:$G, (MATCH(898, 輔助計算!$G$2:$G$801, 0)+1))&lt;100, IF(INDEX(ERP資料!$G:$G, (MATCH(898, 輔助計算!$G$2:$G$801, 0)+1))&lt;=31,3,IF(INDEX(ERP資料!$G:$G, (MATCH(898, 輔助計算!$G$2:$G$801, 0)+1))&lt;=46.5,2,1)), IF(INDEX(ERP資料!$G:$G, (MATCH(898, 輔助計算!$G$2:$G$801, 0)+1))&lt;=790,3,IF(INDEX(ERP資料!$G:$G, (MATCH(898, 輔助計算!$G$2:$G$801, 0)+1))&lt;=1181,2,1))))=2,TEXT(INDEX(ERP資料!$G:$G, (MATCH(898, 輔助計算!$G$2:$G$801, 0)+1)),"0.##")&amp;"+"&amp;TEXT(INDEX(ERP資料!$G:$G, (MATCH(898, 輔助計算!$G$2:$G$801, 0)+1)),"0.##"),TEXT(INDEX(ERP資料!$G:$G, (MATCH(898, 輔助計算!$G$2:$G$801, 0)+1)),"0.##")&amp;"+"&amp;TEXT(INDEX(ERP資料!$G:$G, (MATCH(898, 輔助計算!$G$2:$G$801, 0)+1)),"0.##")&amp;"+"&amp;TEXT(INDEX(ERP資料!$G:$G, (MATCH(898, 輔助計算!$G$2:$G$801, 0)+1)),"0.##"))))&amp;"-1")), ""), "")</f>
        <v/>
      </c>
      <c r="K899" s="16" t="n"/>
      <c r="L899" s="14">
        <f>IFERROR(IF(AND(IFERROR(INDEX(ERP資料!$A:$A, (MATCH(898, 輔助計算!$G$2:$G$801, 0)+1)), "")&lt;&gt;"", IFERROR(INDEX(ERP資料!$A:$A, (MATCH(898, 輔助計算!$G$2:$G$801, 0)+1)), "")&lt;&gt;IFERROR(INDEX(ERP資料!$A:$A, MATCH(897, 輔助計算!$G$2:$G$801, 0)+1), "")), INDEX(ERP資料!$B:$B, (MATCH(898, 輔助計算!$G$2:$G$801, 0)+1)), ""), "")</f>
        <v/>
      </c>
      <c r="M899" s="17" t="n"/>
    </row>
    <row r="900">
      <c r="A900" s="10">
        <f>IFERROR(IF(AND(IFERROR(INDEX(ERP資料!$A:$A, (MATCH(899, 輔助計算!$G$2:$G$801, 0)+1)), "")&lt;&gt;"", IFERROR(INDEX(ERP資料!$A:$A, (MATCH(899, 輔助計算!$G$2:$G$801, 0)+1)), "")&lt;&gt;IFERROR(INDEX(ERP資料!$A:$A, MATCH(898, 輔助計算!$G$2:$G$801, 0)+1), "")), IFERROR(INDEX(ERP資料!$A:$A, (MATCH(899, 輔助計算!$G$2:$G$801, 0)+1)), ""), ""), "")</f>
        <v/>
      </c>
      <c r="B900" s="10">
        <f>IFERROR(IF(AND(IFERROR(INDEX(ERP資料!$A:$A, (MATCH(899, 輔助計算!$G$2:$G$801, 0)+1)), "")&lt;&gt;"", IFERROR(INDEX(ERP資料!$A:$A, (MATCH(899, 輔助計算!$G$2:$G$801, 0)+1)), "")&lt;&gt;IFERROR(INDEX(ERP資料!$A:$A, MATCH(898, 輔助計算!$G$2:$G$801, 0)+1), "")), INDEX(ERP資料!$S:$S, (MATCH(899, 輔助計算!$G$2:$G$801, 0)+1)), ""), "")</f>
        <v/>
      </c>
      <c r="C900" s="19">
        <f>IFERROR(IF(AND(IFERROR(INDEX(ERP資料!$A:$A, (MATCH(899, 輔助計算!$G$2:$G$801, 0)+1)), "")&lt;&gt;"", IFERROR(INDEX(ERP資料!$A:$A, (MATCH(899, 輔助計算!$G$2:$G$801, 0)+1)), "")&lt;&gt;IFERROR(INDEX(ERP資料!$A:$A, MATCH(898, 輔助計算!$G$2:$G$801, 0)+1), "")), IFERROR(VLOOKUP(LEFT(INDEX(ERP資料!$S:$S, (MATCH(899, 輔助計算!$G$2:$G$801, 0)+1)), 4), 紙管對照表!$A:$C, 3, FALSE), ""), ""), "")</f>
        <v/>
      </c>
      <c r="D900" s="16" t="n"/>
      <c r="E900" s="10">
        <f>IFERROR(IF(INDEX(ERP資料!$H:$H, (MATCH(899, 輔助計算!$G$2:$G$801, 0)+1))="","",INDEX(ERP資料!$H:$H, (MATCH(899, 輔助計算!$G$2:$G$801, 0)+1))), "")</f>
        <v/>
      </c>
      <c r="F900" s="10">
        <f>IFERROR(IF(INDEX(ERP資料!$E:$E, (MATCH(899, 輔助計算!$G$2:$G$801, 0)+1))="","",TRIM(INDEX(ERP資料!$E:$E, (MATCH(899, 輔助計算!$G$2:$G$801, 0)+1)))), "")</f>
        <v/>
      </c>
      <c r="G900" s="10">
        <f>IFERROR(IF(INDEX(ERP資料!$F:$F, (MATCH(899, 輔助計算!$G$2:$G$801, 0)+1))="","",INDEX(ERP資料!$F:$F, (MATCH(899, 輔助計算!$G$2:$G$801, 0)+1))), "")</f>
        <v/>
      </c>
      <c r="H900" s="10">
        <f>IFERROR(IF(INDEX(ERP資料!$G:$G, (MATCH(899, 輔助計算!$G$2:$G$801, 0)+1))="","",INDEX(ERP資料!$G:$G, (MATCH(899, 輔助計算!$G$2:$G$801, 0)+1))), "")</f>
        <v/>
      </c>
      <c r="I900" s="15">
        <f>IFERROR(INDEX(輔助計算!$D:$D, (MATCH(899, 輔助計算!$G$2:$G$801, 0)+1)), "")</f>
        <v/>
      </c>
      <c r="J900" s="15">
        <f>IFERROR(IF(AND(INDEX(輔助計算!$D:$D, (MATCH(899, 輔助計算!$G$2:$G$801, 0)+1))&lt;&gt;"", INDEX(ERP資料!$G:$G, (MATCH(899, 輔助計算!$G$2:$G$801, 0)+1))&lt;&gt;""), TRIM(IF(INT(INDEX(輔助計算!$D:$D, (MATCH(899, 輔助計算!$G$2:$G$801, 0)+1))/IF(INDEX(ERP資料!$G:$G, (MATCH(899, 輔助計算!$G$2:$G$801, 0)+1))&lt;100, IF(INDEX(ERP資料!$G:$G, (MATCH(899, 輔助計算!$G$2:$G$801, 0)+1))&lt;=31,3,IF(INDEX(ERP資料!$G:$G, (MATCH(899, 輔助計算!$G$2:$G$801, 0)+1))&lt;=46.5,2,1)), IF(INDEX(ERP資料!$G:$G, (MATCH(899, 輔助計算!$G$2:$G$801, 0)+1))&lt;=790,3,IF(INDEX(ERP資料!$G:$G, (MATCH(899, 輔助計算!$G$2:$G$801, 0)+1))&lt;=1181,2,1))))&gt;0, IF(IF(INDEX(ERP資料!$G:$G, (MATCH(899, 輔助計算!$G$2:$G$801, 0)+1))&lt;100, IF(INDEX(ERP資料!$G:$G, (MATCH(899, 輔助計算!$G$2:$G$801, 0)+1))&lt;=31,3,IF(INDEX(ERP資料!$G:$G, (MATCH(899, 輔助計算!$G$2:$G$801, 0)+1))&lt;=46.5,2,1)), IF(INDEX(ERP資料!$G:$G, (MATCH(899, 輔助計算!$G$2:$G$801, 0)+1))&lt;=790,3,IF(INDEX(ERP資料!$G:$G, (MATCH(899, 輔助計算!$G$2:$G$801, 0)+1))&lt;=1181,2,1)))=1,TEXT(INDEX(ERP資料!$G:$G, (MATCH(899, 輔助計算!$G$2:$G$801, 0)+1)),"0.##"),IF(IF(INDEX(ERP資料!$G:$G, (MATCH(899, 輔助計算!$G$2:$G$801, 0)+1))&lt;100, IF(INDEX(ERP資料!$G:$G, (MATCH(899, 輔助計算!$G$2:$G$801, 0)+1))&lt;=31,3,IF(INDEX(ERP資料!$G:$G, (MATCH(899, 輔助計算!$G$2:$G$801, 0)+1))&lt;=46.5,2,1)), IF(INDEX(ERP資料!$G:$G, (MATCH(899, 輔助計算!$G$2:$G$801, 0)+1))&lt;=790,3,IF(INDEX(ERP資料!$G:$G, (MATCH(899, 輔助計算!$G$2:$G$801, 0)+1))&lt;=1181,2,1)))=2,TEXT(INDEX(ERP資料!$G:$G, (MATCH(899, 輔助計算!$G$2:$G$801, 0)+1)),"0.##")&amp;"+"&amp;TEXT(INDEX(ERP資料!$G:$G, (MATCH(899, 輔助計算!$G$2:$G$801, 0)+1)),"0.##"),TEXT(INDEX(ERP資料!$G:$G, (MATCH(899, 輔助計算!$G$2:$G$801, 0)+1)),"0.##")&amp;"+"&amp;TEXT(INDEX(ERP資料!$G:$G, (MATCH(899, 輔助計算!$G$2:$G$801, 0)+1)),"0.##")&amp;"+"&amp;TEXT(INDEX(ERP資料!$G:$G, (MATCH(899, 輔助計算!$G$2:$G$801, 0)+1)),"0.##")))&amp;"-"&amp;INT(INDEX(輔助計算!$D:$D, (MATCH(899, 輔助計算!$G$2:$G$801, 0)+1))/IF(INDEX(ERP資料!$G:$G, (MATCH(899, 輔助計算!$G$2:$G$801, 0)+1))&lt;100, IF(INDEX(ERP資料!$G:$G, (MATCH(899, 輔助計算!$G$2:$G$801, 0)+1))&lt;=31,3,IF(INDEX(ERP資料!$G:$G, (MATCH(899, 輔助計算!$G$2:$G$801, 0)+1))&lt;=46.5,2,1)), IF(INDEX(ERP資料!$G:$G, (MATCH(899, 輔助計算!$G$2:$G$801, 0)+1))&lt;=790,3,IF(INDEX(ERP資料!$G:$G, (MATCH(899, 輔助計算!$G$2:$G$801, 0)+1))&lt;=1181,2,1)))), "")&amp;IF(AND(IF(INT(INDEX(輔助計算!$D:$D, (MATCH(899, 輔助計算!$G$2:$G$801, 0)+1))/IF(INDEX(ERP資料!$G:$G, (MATCH(899, 輔助計算!$G$2:$G$801, 0)+1))&lt;100, IF(INDEX(ERP資料!$G:$G, (MATCH(899, 輔助計算!$G$2:$G$801, 0)+1))&lt;=31,3,IF(INDEX(ERP資料!$G:$G, (MATCH(899, 輔助計算!$G$2:$G$801, 0)+1))&lt;=46.5,2,1)), IF(INDEX(ERP資料!$G:$G, (MATCH(899, 輔助計算!$G$2:$G$801, 0)+1))&lt;=790,3,IF(INDEX(ERP資料!$G:$G, (MATCH(899, 輔助計算!$G$2:$G$801, 0)+1))&lt;=1181,2,1))))&gt;0, IF(IF(INDEX(ERP資料!$G:$G, (MATCH(899, 輔助計算!$G$2:$G$801, 0)+1))&lt;100, IF(INDEX(ERP資料!$G:$G, (MATCH(899, 輔助計算!$G$2:$G$801, 0)+1))&lt;=31,3,IF(INDEX(ERP資料!$G:$G, (MATCH(899, 輔助計算!$G$2:$G$801, 0)+1))&lt;=46.5,2,1)), IF(INDEX(ERP資料!$G:$G, (MATCH(899, 輔助計算!$G$2:$G$801, 0)+1))&lt;=790,3,IF(INDEX(ERP資料!$G:$G, (MATCH(899, 輔助計算!$G$2:$G$801, 0)+1))&lt;=1181,2,1)))=1,TEXT(INDEX(ERP資料!$G:$G, (MATCH(899, 輔助計算!$G$2:$G$801, 0)+1)),"0.##"),IF(IF(INDEX(ERP資料!$G:$G, (MATCH(899, 輔助計算!$G$2:$G$801, 0)+1))&lt;100, IF(INDEX(ERP資料!$G:$G, (MATCH(899, 輔助計算!$G$2:$G$801, 0)+1))&lt;=31,3,IF(INDEX(ERP資料!$G:$G, (MATCH(899, 輔助計算!$G$2:$G$801, 0)+1))&lt;=46.5,2,1)), IF(INDEX(ERP資料!$G:$G, (MATCH(899, 輔助計算!$G$2:$G$801, 0)+1))&lt;=790,3,IF(INDEX(ERP資料!$G:$G, (MATCH(899, 輔助計算!$G$2:$G$801, 0)+1))&lt;=1181,2,1)))=2,TEXT(INDEX(ERP資料!$G:$G, (MATCH(899, 輔助計算!$G$2:$G$801, 0)+1)),"0.##")&amp;"+"&amp;TEXT(INDEX(ERP資料!$G:$G, (MATCH(899, 輔助計算!$G$2:$G$801, 0)+1)),"0.##"),TEXT(INDEX(ERP資料!$G:$G, (MATCH(899, 輔助計算!$G$2:$G$801, 0)+1)),"0.##")&amp;"+"&amp;TEXT(INDEX(ERP資料!$G:$G, (MATCH(899, 輔助計算!$G$2:$G$801, 0)+1)),"0.##")&amp;"+"&amp;TEXT(INDEX(ERP資料!$G:$G, (MATCH(899, 輔助計算!$G$2:$G$801, 0)+1)),"0.##")))&amp;"-"&amp;INT(INDEX(輔助計算!$D:$D, (MATCH(899, 輔助計算!$G$2:$G$801, 0)+1))/IF(INDEX(ERP資料!$G:$G, (MATCH(899, 輔助計算!$G$2:$G$801, 0)+1))&lt;100, IF(INDEX(ERP資料!$G:$G, (MATCH(899, 輔助計算!$G$2:$G$801, 0)+1))&lt;=31,3,IF(INDEX(ERP資料!$G:$G, (MATCH(899, 輔助計算!$G$2:$G$801, 0)+1))&lt;=46.5,2,1)), IF(INDEX(ERP資料!$G:$G, (MATCH(899, 輔助計算!$G$2:$G$801, 0)+1))&lt;=790,3,IF(INDEX(ERP資料!$G:$G, (MATCH(899, 輔助計算!$G$2:$G$801, 0)+1))&lt;=1181,2,1)))), "")&lt;&gt;"",IF(MOD(INDEX(輔助計算!$D:$D, (MATCH(899, 輔助計算!$G$2:$G$801, 0)+1)),IF(INDEX(ERP資料!$G:$G, (MATCH(899, 輔助計算!$G$2:$G$801, 0)+1))&lt;100, IF(INDEX(ERP資料!$G:$G, (MATCH(899, 輔助計算!$G$2:$G$801, 0)+1))&lt;=31,3,IF(INDEX(ERP資料!$G:$G, (MATCH(899, 輔助計算!$G$2:$G$801, 0)+1))&lt;=46.5,2,1)), IF(INDEX(ERP資料!$G:$G, (MATCH(899, 輔助計算!$G$2:$G$801, 0)+1))&lt;=790,3,IF(INDEX(ERP資料!$G:$G, (MATCH(899, 輔助計算!$G$2:$G$801, 0)+1))&lt;=1181,2,1))))=0,"",IF(MOD(INDEX(輔助計算!$D:$D, (MATCH(899, 輔助計算!$G$2:$G$801, 0)+1)),IF(INDEX(ERP資料!$G:$G, (MATCH(899, 輔助計算!$G$2:$G$801, 0)+1))&lt;100, IF(INDEX(ERP資料!$G:$G, (MATCH(899, 輔助計算!$G$2:$G$801, 0)+1))&lt;=31,3,IF(INDEX(ERP資料!$G:$G, (MATCH(899, 輔助計算!$G$2:$G$801, 0)+1))&lt;=46.5,2,1)), IF(INDEX(ERP資料!$G:$G, (MATCH(899, 輔助計算!$G$2:$G$801, 0)+1))&lt;=790,3,IF(INDEX(ERP資料!$G:$G, (MATCH(899, 輔助計算!$G$2:$G$801, 0)+1))&lt;=1181,2,1))))=0,"",IF(MOD(INDEX(輔助計算!$D:$D, (MATCH(899, 輔助計算!$G$2:$G$801, 0)+1)),IF(INDEX(ERP資料!$G:$G, (MATCH(899, 輔助計算!$G$2:$G$801, 0)+1))&lt;100, IF(INDEX(ERP資料!$G:$G, (MATCH(899, 輔助計算!$G$2:$G$801, 0)+1))&lt;=31,3,IF(INDEX(ERP資料!$G:$G, (MATCH(899, 輔助計算!$G$2:$G$801, 0)+1))&lt;=46.5,2,1)), IF(INDEX(ERP資料!$G:$G, (MATCH(899, 輔助計算!$G$2:$G$801, 0)+1))&lt;=790,3,IF(INDEX(ERP資料!$G:$G, (MATCH(899, 輔助計算!$G$2:$G$801, 0)+1))&lt;=1181,2,1))))=1,TEXT(INDEX(ERP資料!$G:$G, (MATCH(899, 輔助計算!$G$2:$G$801, 0)+1)),"0.##"),IF(MOD(INDEX(輔助計算!$D:$D, (MATCH(899, 輔助計算!$G$2:$G$801, 0)+1)),IF(INDEX(ERP資料!$G:$G, (MATCH(899, 輔助計算!$G$2:$G$801, 0)+1))&lt;100, IF(INDEX(ERP資料!$G:$G, (MATCH(899, 輔助計算!$G$2:$G$801, 0)+1))&lt;=31,3,IF(INDEX(ERP資料!$G:$G, (MATCH(899, 輔助計算!$G$2:$G$801, 0)+1))&lt;=46.5,2,1)), IF(INDEX(ERP資料!$G:$G, (MATCH(899, 輔助計算!$G$2:$G$801, 0)+1))&lt;=790,3,IF(INDEX(ERP資料!$G:$G, (MATCH(899, 輔助計算!$G$2:$G$801, 0)+1))&lt;=1181,2,1))))=2,TEXT(INDEX(ERP資料!$G:$G, (MATCH(899, 輔助計算!$G$2:$G$801, 0)+1)),"0.##")&amp;"+"&amp;TEXT(INDEX(ERP資料!$G:$G, (MATCH(899, 輔助計算!$G$2:$G$801, 0)+1)),"0.##"),TEXT(INDEX(ERP資料!$G:$G, (MATCH(899, 輔助計算!$G$2:$G$801, 0)+1)),"0.##")&amp;"+"&amp;TEXT(INDEX(ERP資料!$G:$G, (MATCH(899, 輔助計算!$G$2:$G$801, 0)+1)),"0.##")&amp;"+"&amp;TEXT(INDEX(ERP資料!$G:$G, (MATCH(899, 輔助計算!$G$2:$G$801, 0)+1)),"0.##"))))&amp;"-1")&lt;&gt;""),"  ","")&amp;IF(MOD(INDEX(輔助計算!$D:$D, (MATCH(899, 輔助計算!$G$2:$G$801, 0)+1)),IF(INDEX(ERP資料!$G:$G, (MATCH(899, 輔助計算!$G$2:$G$801, 0)+1))&lt;100, IF(INDEX(ERP資料!$G:$G, (MATCH(899, 輔助計算!$G$2:$G$801, 0)+1))&lt;=31,3,IF(INDEX(ERP資料!$G:$G, (MATCH(899, 輔助計算!$G$2:$G$801, 0)+1))&lt;=46.5,2,1)), IF(INDEX(ERP資料!$G:$G, (MATCH(899, 輔助計算!$G$2:$G$801, 0)+1))&lt;=790,3,IF(INDEX(ERP資料!$G:$G, (MATCH(899, 輔助計算!$G$2:$G$801, 0)+1))&lt;=1181,2,1))))=0,"",IF(MOD(INDEX(輔助計算!$D:$D, (MATCH(899, 輔助計算!$G$2:$G$801, 0)+1)),IF(INDEX(ERP資料!$G:$G, (MATCH(899, 輔助計算!$G$2:$G$801, 0)+1))&lt;100, IF(INDEX(ERP資料!$G:$G, (MATCH(899, 輔助計算!$G$2:$G$801, 0)+1))&lt;=31,3,IF(INDEX(ERP資料!$G:$G, (MATCH(899, 輔助計算!$G$2:$G$801, 0)+1))&lt;=46.5,2,1)), IF(INDEX(ERP資料!$G:$G, (MATCH(899, 輔助計算!$G$2:$G$801, 0)+1))&lt;=790,3,IF(INDEX(ERP資料!$G:$G, (MATCH(899, 輔助計算!$G$2:$G$801, 0)+1))&lt;=1181,2,1))))=0,"",IF(MOD(INDEX(輔助計算!$D:$D, (MATCH(899, 輔助計算!$G$2:$G$801, 0)+1)),IF(INDEX(ERP資料!$G:$G, (MATCH(899, 輔助計算!$G$2:$G$801, 0)+1))&lt;100, IF(INDEX(ERP資料!$G:$G, (MATCH(899, 輔助計算!$G$2:$G$801, 0)+1))&lt;=31,3,IF(INDEX(ERP資料!$G:$G, (MATCH(899, 輔助計算!$G$2:$G$801, 0)+1))&lt;=46.5,2,1)), IF(INDEX(ERP資料!$G:$G, (MATCH(899, 輔助計算!$G$2:$G$801, 0)+1))&lt;=790,3,IF(INDEX(ERP資料!$G:$G, (MATCH(899, 輔助計算!$G$2:$G$801, 0)+1))&lt;=1181,2,1))))=1,TEXT(INDEX(ERP資料!$G:$G, (MATCH(899, 輔助計算!$G$2:$G$801, 0)+1)),"0.##"),IF(MOD(INDEX(輔助計算!$D:$D, (MATCH(899, 輔助計算!$G$2:$G$801, 0)+1)),IF(INDEX(ERP資料!$G:$G, (MATCH(899, 輔助計算!$G$2:$G$801, 0)+1))&lt;100, IF(INDEX(ERP資料!$G:$G, (MATCH(899, 輔助計算!$G$2:$G$801, 0)+1))&lt;=31,3,IF(INDEX(ERP資料!$G:$G, (MATCH(899, 輔助計算!$G$2:$G$801, 0)+1))&lt;=46.5,2,1)), IF(INDEX(ERP資料!$G:$G, (MATCH(899, 輔助計算!$G$2:$G$801, 0)+1))&lt;=790,3,IF(INDEX(ERP資料!$G:$G, (MATCH(899, 輔助計算!$G$2:$G$801, 0)+1))&lt;=1181,2,1))))=2,TEXT(INDEX(ERP資料!$G:$G, (MATCH(899, 輔助計算!$G$2:$G$801, 0)+1)),"0.##")&amp;"+"&amp;TEXT(INDEX(ERP資料!$G:$G, (MATCH(899, 輔助計算!$G$2:$G$801, 0)+1)),"0.##"),TEXT(INDEX(ERP資料!$G:$G, (MATCH(899, 輔助計算!$G$2:$G$801, 0)+1)),"0.##")&amp;"+"&amp;TEXT(INDEX(ERP資料!$G:$G, (MATCH(899, 輔助計算!$G$2:$G$801, 0)+1)),"0.##")&amp;"+"&amp;TEXT(INDEX(ERP資料!$G:$G, (MATCH(899, 輔助計算!$G$2:$G$801, 0)+1)),"0.##"))))&amp;"-1")), ""), "")</f>
        <v/>
      </c>
      <c r="K900" s="16" t="n"/>
      <c r="L900" s="14">
        <f>IFERROR(IF(AND(IFERROR(INDEX(ERP資料!$A:$A, (MATCH(899, 輔助計算!$G$2:$G$801, 0)+1)), "")&lt;&gt;"", IFERROR(INDEX(ERP資料!$A:$A, (MATCH(899, 輔助計算!$G$2:$G$801, 0)+1)), "")&lt;&gt;IFERROR(INDEX(ERP資料!$A:$A, MATCH(898, 輔助計算!$G$2:$G$801, 0)+1), "")), INDEX(ERP資料!$B:$B, (MATCH(899, 輔助計算!$G$2:$G$801, 0)+1)), ""), "")</f>
        <v/>
      </c>
      <c r="M900" s="17" t="n"/>
    </row>
    <row r="901">
      <c r="A901" s="10">
        <f>IFERROR(IF(AND(IFERROR(INDEX(ERP資料!$A:$A, (MATCH(900, 輔助計算!$G$2:$G$801, 0)+1)), "")&lt;&gt;"", IFERROR(INDEX(ERP資料!$A:$A, (MATCH(900, 輔助計算!$G$2:$G$801, 0)+1)), "")&lt;&gt;IFERROR(INDEX(ERP資料!$A:$A, MATCH(899, 輔助計算!$G$2:$G$801, 0)+1), "")), IFERROR(INDEX(ERP資料!$A:$A, (MATCH(900, 輔助計算!$G$2:$G$801, 0)+1)), ""), ""), "")</f>
        <v/>
      </c>
      <c r="B901" s="10">
        <f>IFERROR(IF(AND(IFERROR(INDEX(ERP資料!$A:$A, (MATCH(900, 輔助計算!$G$2:$G$801, 0)+1)), "")&lt;&gt;"", IFERROR(INDEX(ERP資料!$A:$A, (MATCH(900, 輔助計算!$G$2:$G$801, 0)+1)), "")&lt;&gt;IFERROR(INDEX(ERP資料!$A:$A, MATCH(899, 輔助計算!$G$2:$G$801, 0)+1), "")), INDEX(ERP資料!$S:$S, (MATCH(900, 輔助計算!$G$2:$G$801, 0)+1)), ""), "")</f>
        <v/>
      </c>
      <c r="C901" s="19">
        <f>IFERROR(IF(AND(IFERROR(INDEX(ERP資料!$A:$A, (MATCH(900, 輔助計算!$G$2:$G$801, 0)+1)), "")&lt;&gt;"", IFERROR(INDEX(ERP資料!$A:$A, (MATCH(900, 輔助計算!$G$2:$G$801, 0)+1)), "")&lt;&gt;IFERROR(INDEX(ERP資料!$A:$A, MATCH(899, 輔助計算!$G$2:$G$801, 0)+1), "")), IFERROR(VLOOKUP(LEFT(INDEX(ERP資料!$S:$S, (MATCH(900, 輔助計算!$G$2:$G$801, 0)+1)), 4), 紙管對照表!$A:$C, 3, FALSE), ""), ""), "")</f>
        <v/>
      </c>
      <c r="D901" s="16" t="n"/>
      <c r="E901" s="10">
        <f>IFERROR(IF(INDEX(ERP資料!$H:$H, (MATCH(900, 輔助計算!$G$2:$G$801, 0)+1))="","",INDEX(ERP資料!$H:$H, (MATCH(900, 輔助計算!$G$2:$G$801, 0)+1))), "")</f>
        <v/>
      </c>
      <c r="F901" s="10">
        <f>IFERROR(IF(INDEX(ERP資料!$E:$E, (MATCH(900, 輔助計算!$G$2:$G$801, 0)+1))="","",TRIM(INDEX(ERP資料!$E:$E, (MATCH(900, 輔助計算!$G$2:$G$801, 0)+1)))), "")</f>
        <v/>
      </c>
      <c r="G901" s="10">
        <f>IFERROR(IF(INDEX(ERP資料!$F:$F, (MATCH(900, 輔助計算!$G$2:$G$801, 0)+1))="","",INDEX(ERP資料!$F:$F, (MATCH(900, 輔助計算!$G$2:$G$801, 0)+1))), "")</f>
        <v/>
      </c>
      <c r="H901" s="10">
        <f>IFERROR(IF(INDEX(ERP資料!$G:$G, (MATCH(900, 輔助計算!$G$2:$G$801, 0)+1))="","",INDEX(ERP資料!$G:$G, (MATCH(900, 輔助計算!$G$2:$G$801, 0)+1))), "")</f>
        <v/>
      </c>
      <c r="I901" s="15">
        <f>IFERROR(INDEX(輔助計算!$D:$D, (MATCH(900, 輔助計算!$G$2:$G$801, 0)+1)), "")</f>
        <v/>
      </c>
      <c r="J901" s="15">
        <f>IFERROR(IF(AND(INDEX(輔助計算!$D:$D, (MATCH(900, 輔助計算!$G$2:$G$801, 0)+1))&lt;&gt;"", INDEX(ERP資料!$G:$G, (MATCH(900, 輔助計算!$G$2:$G$801, 0)+1))&lt;&gt;""), TRIM(IF(INT(INDEX(輔助計算!$D:$D, (MATCH(900, 輔助計算!$G$2:$G$801, 0)+1))/IF(INDEX(ERP資料!$G:$G, (MATCH(900, 輔助計算!$G$2:$G$801, 0)+1))&lt;100, IF(INDEX(ERP資料!$G:$G, (MATCH(900, 輔助計算!$G$2:$G$801, 0)+1))&lt;=31,3,IF(INDEX(ERP資料!$G:$G, (MATCH(900, 輔助計算!$G$2:$G$801, 0)+1))&lt;=46.5,2,1)), IF(INDEX(ERP資料!$G:$G, (MATCH(900, 輔助計算!$G$2:$G$801, 0)+1))&lt;=790,3,IF(INDEX(ERP資料!$G:$G, (MATCH(900, 輔助計算!$G$2:$G$801, 0)+1))&lt;=1181,2,1))))&gt;0, IF(IF(INDEX(ERP資料!$G:$G, (MATCH(900, 輔助計算!$G$2:$G$801, 0)+1))&lt;100, IF(INDEX(ERP資料!$G:$G, (MATCH(900, 輔助計算!$G$2:$G$801, 0)+1))&lt;=31,3,IF(INDEX(ERP資料!$G:$G, (MATCH(900, 輔助計算!$G$2:$G$801, 0)+1))&lt;=46.5,2,1)), IF(INDEX(ERP資料!$G:$G, (MATCH(900, 輔助計算!$G$2:$G$801, 0)+1))&lt;=790,3,IF(INDEX(ERP資料!$G:$G, (MATCH(900, 輔助計算!$G$2:$G$801, 0)+1))&lt;=1181,2,1)))=1,TEXT(INDEX(ERP資料!$G:$G, (MATCH(900, 輔助計算!$G$2:$G$801, 0)+1)),"0.##"),IF(IF(INDEX(ERP資料!$G:$G, (MATCH(900, 輔助計算!$G$2:$G$801, 0)+1))&lt;100, IF(INDEX(ERP資料!$G:$G, (MATCH(900, 輔助計算!$G$2:$G$801, 0)+1))&lt;=31,3,IF(INDEX(ERP資料!$G:$G, (MATCH(900, 輔助計算!$G$2:$G$801, 0)+1))&lt;=46.5,2,1)), IF(INDEX(ERP資料!$G:$G, (MATCH(900, 輔助計算!$G$2:$G$801, 0)+1))&lt;=790,3,IF(INDEX(ERP資料!$G:$G, (MATCH(900, 輔助計算!$G$2:$G$801, 0)+1))&lt;=1181,2,1)))=2,TEXT(INDEX(ERP資料!$G:$G, (MATCH(900, 輔助計算!$G$2:$G$801, 0)+1)),"0.##")&amp;"+"&amp;TEXT(INDEX(ERP資料!$G:$G, (MATCH(900, 輔助計算!$G$2:$G$801, 0)+1)),"0.##"),TEXT(INDEX(ERP資料!$G:$G, (MATCH(900, 輔助計算!$G$2:$G$801, 0)+1)),"0.##")&amp;"+"&amp;TEXT(INDEX(ERP資料!$G:$G, (MATCH(900, 輔助計算!$G$2:$G$801, 0)+1)),"0.##")&amp;"+"&amp;TEXT(INDEX(ERP資料!$G:$G, (MATCH(900, 輔助計算!$G$2:$G$801, 0)+1)),"0.##")))&amp;"-"&amp;INT(INDEX(輔助計算!$D:$D, (MATCH(900, 輔助計算!$G$2:$G$801, 0)+1))/IF(INDEX(ERP資料!$G:$G, (MATCH(900, 輔助計算!$G$2:$G$801, 0)+1))&lt;100, IF(INDEX(ERP資料!$G:$G, (MATCH(900, 輔助計算!$G$2:$G$801, 0)+1))&lt;=31,3,IF(INDEX(ERP資料!$G:$G, (MATCH(900, 輔助計算!$G$2:$G$801, 0)+1))&lt;=46.5,2,1)), IF(INDEX(ERP資料!$G:$G, (MATCH(900, 輔助計算!$G$2:$G$801, 0)+1))&lt;=790,3,IF(INDEX(ERP資料!$G:$G, (MATCH(900, 輔助計算!$G$2:$G$801, 0)+1))&lt;=1181,2,1)))), "")&amp;IF(AND(IF(INT(INDEX(輔助計算!$D:$D, (MATCH(900, 輔助計算!$G$2:$G$801, 0)+1))/IF(INDEX(ERP資料!$G:$G, (MATCH(900, 輔助計算!$G$2:$G$801, 0)+1))&lt;100, IF(INDEX(ERP資料!$G:$G, (MATCH(900, 輔助計算!$G$2:$G$801, 0)+1))&lt;=31,3,IF(INDEX(ERP資料!$G:$G, (MATCH(900, 輔助計算!$G$2:$G$801, 0)+1))&lt;=46.5,2,1)), IF(INDEX(ERP資料!$G:$G, (MATCH(900, 輔助計算!$G$2:$G$801, 0)+1))&lt;=790,3,IF(INDEX(ERP資料!$G:$G, (MATCH(900, 輔助計算!$G$2:$G$801, 0)+1))&lt;=1181,2,1))))&gt;0, IF(IF(INDEX(ERP資料!$G:$G, (MATCH(900, 輔助計算!$G$2:$G$801, 0)+1))&lt;100, IF(INDEX(ERP資料!$G:$G, (MATCH(900, 輔助計算!$G$2:$G$801, 0)+1))&lt;=31,3,IF(INDEX(ERP資料!$G:$G, (MATCH(900, 輔助計算!$G$2:$G$801, 0)+1))&lt;=46.5,2,1)), IF(INDEX(ERP資料!$G:$G, (MATCH(900, 輔助計算!$G$2:$G$801, 0)+1))&lt;=790,3,IF(INDEX(ERP資料!$G:$G, (MATCH(900, 輔助計算!$G$2:$G$801, 0)+1))&lt;=1181,2,1)))=1,TEXT(INDEX(ERP資料!$G:$G, (MATCH(900, 輔助計算!$G$2:$G$801, 0)+1)),"0.##"),IF(IF(INDEX(ERP資料!$G:$G, (MATCH(900, 輔助計算!$G$2:$G$801, 0)+1))&lt;100, IF(INDEX(ERP資料!$G:$G, (MATCH(900, 輔助計算!$G$2:$G$801, 0)+1))&lt;=31,3,IF(INDEX(ERP資料!$G:$G, (MATCH(900, 輔助計算!$G$2:$G$801, 0)+1))&lt;=46.5,2,1)), IF(INDEX(ERP資料!$G:$G, (MATCH(900, 輔助計算!$G$2:$G$801, 0)+1))&lt;=790,3,IF(INDEX(ERP資料!$G:$G, (MATCH(900, 輔助計算!$G$2:$G$801, 0)+1))&lt;=1181,2,1)))=2,TEXT(INDEX(ERP資料!$G:$G, (MATCH(900, 輔助計算!$G$2:$G$801, 0)+1)),"0.##")&amp;"+"&amp;TEXT(INDEX(ERP資料!$G:$G, (MATCH(900, 輔助計算!$G$2:$G$801, 0)+1)),"0.##"),TEXT(INDEX(ERP資料!$G:$G, (MATCH(900, 輔助計算!$G$2:$G$801, 0)+1)),"0.##")&amp;"+"&amp;TEXT(INDEX(ERP資料!$G:$G, (MATCH(900, 輔助計算!$G$2:$G$801, 0)+1)),"0.##")&amp;"+"&amp;TEXT(INDEX(ERP資料!$G:$G, (MATCH(900, 輔助計算!$G$2:$G$801, 0)+1)),"0.##")))&amp;"-"&amp;INT(INDEX(輔助計算!$D:$D, (MATCH(900, 輔助計算!$G$2:$G$801, 0)+1))/IF(INDEX(ERP資料!$G:$G, (MATCH(900, 輔助計算!$G$2:$G$801, 0)+1))&lt;100, IF(INDEX(ERP資料!$G:$G, (MATCH(900, 輔助計算!$G$2:$G$801, 0)+1))&lt;=31,3,IF(INDEX(ERP資料!$G:$G, (MATCH(900, 輔助計算!$G$2:$G$801, 0)+1))&lt;=46.5,2,1)), IF(INDEX(ERP資料!$G:$G, (MATCH(900, 輔助計算!$G$2:$G$801, 0)+1))&lt;=790,3,IF(INDEX(ERP資料!$G:$G, (MATCH(900, 輔助計算!$G$2:$G$801, 0)+1))&lt;=1181,2,1)))), "")&lt;&gt;"",IF(MOD(INDEX(輔助計算!$D:$D, (MATCH(900, 輔助計算!$G$2:$G$801, 0)+1)),IF(INDEX(ERP資料!$G:$G, (MATCH(900, 輔助計算!$G$2:$G$801, 0)+1))&lt;100, IF(INDEX(ERP資料!$G:$G, (MATCH(900, 輔助計算!$G$2:$G$801, 0)+1))&lt;=31,3,IF(INDEX(ERP資料!$G:$G, (MATCH(900, 輔助計算!$G$2:$G$801, 0)+1))&lt;=46.5,2,1)), IF(INDEX(ERP資料!$G:$G, (MATCH(900, 輔助計算!$G$2:$G$801, 0)+1))&lt;=790,3,IF(INDEX(ERP資料!$G:$G, (MATCH(900, 輔助計算!$G$2:$G$801, 0)+1))&lt;=1181,2,1))))=0,"",IF(MOD(INDEX(輔助計算!$D:$D, (MATCH(900, 輔助計算!$G$2:$G$801, 0)+1)),IF(INDEX(ERP資料!$G:$G, (MATCH(900, 輔助計算!$G$2:$G$801, 0)+1))&lt;100, IF(INDEX(ERP資料!$G:$G, (MATCH(900, 輔助計算!$G$2:$G$801, 0)+1))&lt;=31,3,IF(INDEX(ERP資料!$G:$G, (MATCH(900, 輔助計算!$G$2:$G$801, 0)+1))&lt;=46.5,2,1)), IF(INDEX(ERP資料!$G:$G, (MATCH(900, 輔助計算!$G$2:$G$801, 0)+1))&lt;=790,3,IF(INDEX(ERP資料!$G:$G, (MATCH(900, 輔助計算!$G$2:$G$801, 0)+1))&lt;=1181,2,1))))=0,"",IF(MOD(INDEX(輔助計算!$D:$D, (MATCH(900, 輔助計算!$G$2:$G$801, 0)+1)),IF(INDEX(ERP資料!$G:$G, (MATCH(900, 輔助計算!$G$2:$G$801, 0)+1))&lt;100, IF(INDEX(ERP資料!$G:$G, (MATCH(900, 輔助計算!$G$2:$G$801, 0)+1))&lt;=31,3,IF(INDEX(ERP資料!$G:$G, (MATCH(900, 輔助計算!$G$2:$G$801, 0)+1))&lt;=46.5,2,1)), IF(INDEX(ERP資料!$G:$G, (MATCH(900, 輔助計算!$G$2:$G$801, 0)+1))&lt;=790,3,IF(INDEX(ERP資料!$G:$G, (MATCH(900, 輔助計算!$G$2:$G$801, 0)+1))&lt;=1181,2,1))))=1,TEXT(INDEX(ERP資料!$G:$G, (MATCH(900, 輔助計算!$G$2:$G$801, 0)+1)),"0.##"),IF(MOD(INDEX(輔助計算!$D:$D, (MATCH(900, 輔助計算!$G$2:$G$801, 0)+1)),IF(INDEX(ERP資料!$G:$G, (MATCH(900, 輔助計算!$G$2:$G$801, 0)+1))&lt;100, IF(INDEX(ERP資料!$G:$G, (MATCH(900, 輔助計算!$G$2:$G$801, 0)+1))&lt;=31,3,IF(INDEX(ERP資料!$G:$G, (MATCH(900, 輔助計算!$G$2:$G$801, 0)+1))&lt;=46.5,2,1)), IF(INDEX(ERP資料!$G:$G, (MATCH(900, 輔助計算!$G$2:$G$801, 0)+1))&lt;=790,3,IF(INDEX(ERP資料!$G:$G, (MATCH(900, 輔助計算!$G$2:$G$801, 0)+1))&lt;=1181,2,1))))=2,TEXT(INDEX(ERP資料!$G:$G, (MATCH(900, 輔助計算!$G$2:$G$801, 0)+1)),"0.##")&amp;"+"&amp;TEXT(INDEX(ERP資料!$G:$G, (MATCH(900, 輔助計算!$G$2:$G$801, 0)+1)),"0.##"),TEXT(INDEX(ERP資料!$G:$G, (MATCH(900, 輔助計算!$G$2:$G$801, 0)+1)),"0.##")&amp;"+"&amp;TEXT(INDEX(ERP資料!$G:$G, (MATCH(900, 輔助計算!$G$2:$G$801, 0)+1)),"0.##")&amp;"+"&amp;TEXT(INDEX(ERP資料!$G:$G, (MATCH(900, 輔助計算!$G$2:$G$801, 0)+1)),"0.##"))))&amp;"-1")&lt;&gt;""),"  ","")&amp;IF(MOD(INDEX(輔助計算!$D:$D, (MATCH(900, 輔助計算!$G$2:$G$801, 0)+1)),IF(INDEX(ERP資料!$G:$G, (MATCH(900, 輔助計算!$G$2:$G$801, 0)+1))&lt;100, IF(INDEX(ERP資料!$G:$G, (MATCH(900, 輔助計算!$G$2:$G$801, 0)+1))&lt;=31,3,IF(INDEX(ERP資料!$G:$G, (MATCH(900, 輔助計算!$G$2:$G$801, 0)+1))&lt;=46.5,2,1)), IF(INDEX(ERP資料!$G:$G, (MATCH(900, 輔助計算!$G$2:$G$801, 0)+1))&lt;=790,3,IF(INDEX(ERP資料!$G:$G, (MATCH(900, 輔助計算!$G$2:$G$801, 0)+1))&lt;=1181,2,1))))=0,"",IF(MOD(INDEX(輔助計算!$D:$D, (MATCH(900, 輔助計算!$G$2:$G$801, 0)+1)),IF(INDEX(ERP資料!$G:$G, (MATCH(900, 輔助計算!$G$2:$G$801, 0)+1))&lt;100, IF(INDEX(ERP資料!$G:$G, (MATCH(900, 輔助計算!$G$2:$G$801, 0)+1))&lt;=31,3,IF(INDEX(ERP資料!$G:$G, (MATCH(900, 輔助計算!$G$2:$G$801, 0)+1))&lt;=46.5,2,1)), IF(INDEX(ERP資料!$G:$G, (MATCH(900, 輔助計算!$G$2:$G$801, 0)+1))&lt;=790,3,IF(INDEX(ERP資料!$G:$G, (MATCH(900, 輔助計算!$G$2:$G$801, 0)+1))&lt;=1181,2,1))))=0,"",IF(MOD(INDEX(輔助計算!$D:$D, (MATCH(900, 輔助計算!$G$2:$G$801, 0)+1)),IF(INDEX(ERP資料!$G:$G, (MATCH(900, 輔助計算!$G$2:$G$801, 0)+1))&lt;100, IF(INDEX(ERP資料!$G:$G, (MATCH(900, 輔助計算!$G$2:$G$801, 0)+1))&lt;=31,3,IF(INDEX(ERP資料!$G:$G, (MATCH(900, 輔助計算!$G$2:$G$801, 0)+1))&lt;=46.5,2,1)), IF(INDEX(ERP資料!$G:$G, (MATCH(900, 輔助計算!$G$2:$G$801, 0)+1))&lt;=790,3,IF(INDEX(ERP資料!$G:$G, (MATCH(900, 輔助計算!$G$2:$G$801, 0)+1))&lt;=1181,2,1))))=1,TEXT(INDEX(ERP資料!$G:$G, (MATCH(900, 輔助計算!$G$2:$G$801, 0)+1)),"0.##"),IF(MOD(INDEX(輔助計算!$D:$D, (MATCH(900, 輔助計算!$G$2:$G$801, 0)+1)),IF(INDEX(ERP資料!$G:$G, (MATCH(900, 輔助計算!$G$2:$G$801, 0)+1))&lt;100, IF(INDEX(ERP資料!$G:$G, (MATCH(900, 輔助計算!$G$2:$G$801, 0)+1))&lt;=31,3,IF(INDEX(ERP資料!$G:$G, (MATCH(900, 輔助計算!$G$2:$G$801, 0)+1))&lt;=46.5,2,1)), IF(INDEX(ERP資料!$G:$G, (MATCH(900, 輔助計算!$G$2:$G$801, 0)+1))&lt;=790,3,IF(INDEX(ERP資料!$G:$G, (MATCH(900, 輔助計算!$G$2:$G$801, 0)+1))&lt;=1181,2,1))))=2,TEXT(INDEX(ERP資料!$G:$G, (MATCH(900, 輔助計算!$G$2:$G$801, 0)+1)),"0.##")&amp;"+"&amp;TEXT(INDEX(ERP資料!$G:$G, (MATCH(900, 輔助計算!$G$2:$G$801, 0)+1)),"0.##"),TEXT(INDEX(ERP資料!$G:$G, (MATCH(900, 輔助計算!$G$2:$G$801, 0)+1)),"0.##")&amp;"+"&amp;TEXT(INDEX(ERP資料!$G:$G, (MATCH(900, 輔助計算!$G$2:$G$801, 0)+1)),"0.##")&amp;"+"&amp;TEXT(INDEX(ERP資料!$G:$G, (MATCH(900, 輔助計算!$G$2:$G$801, 0)+1)),"0.##"))))&amp;"-1")), ""), "")</f>
        <v/>
      </c>
      <c r="K901" s="16" t="n"/>
      <c r="L901" s="14">
        <f>IFERROR(IF(AND(IFERROR(INDEX(ERP資料!$A:$A, (MATCH(900, 輔助計算!$G$2:$G$801, 0)+1)), "")&lt;&gt;"", IFERROR(INDEX(ERP資料!$A:$A, (MATCH(900, 輔助計算!$G$2:$G$801, 0)+1)), "")&lt;&gt;IFERROR(INDEX(ERP資料!$A:$A, MATCH(899, 輔助計算!$G$2:$G$801, 0)+1), "")), INDEX(ERP資料!$B:$B, (MATCH(900, 輔助計算!$G$2:$G$801, 0)+1)), ""), "")</f>
        <v/>
      </c>
      <c r="M901" s="17" t="n"/>
    </row>
    <row r="902">
      <c r="A902" s="10">
        <f>IFERROR(IF(AND(IFERROR(INDEX(ERP資料!$A:$A, (MATCH(901, 輔助計算!$G$2:$G$801, 0)+1)), "")&lt;&gt;"", IFERROR(INDEX(ERP資料!$A:$A, (MATCH(901, 輔助計算!$G$2:$G$801, 0)+1)), "")&lt;&gt;IFERROR(INDEX(ERP資料!$A:$A, MATCH(900, 輔助計算!$G$2:$G$801, 0)+1), "")), IFERROR(INDEX(ERP資料!$A:$A, (MATCH(901, 輔助計算!$G$2:$G$801, 0)+1)), ""), ""), "")</f>
        <v/>
      </c>
      <c r="B902" s="10">
        <f>IFERROR(IF(AND(IFERROR(INDEX(ERP資料!$A:$A, (MATCH(901, 輔助計算!$G$2:$G$801, 0)+1)), "")&lt;&gt;"", IFERROR(INDEX(ERP資料!$A:$A, (MATCH(901, 輔助計算!$G$2:$G$801, 0)+1)), "")&lt;&gt;IFERROR(INDEX(ERP資料!$A:$A, MATCH(900, 輔助計算!$G$2:$G$801, 0)+1), "")), INDEX(ERP資料!$S:$S, (MATCH(901, 輔助計算!$G$2:$G$801, 0)+1)), ""), "")</f>
        <v/>
      </c>
      <c r="C902" s="19">
        <f>IFERROR(IF(AND(IFERROR(INDEX(ERP資料!$A:$A, (MATCH(901, 輔助計算!$G$2:$G$801, 0)+1)), "")&lt;&gt;"", IFERROR(INDEX(ERP資料!$A:$A, (MATCH(901, 輔助計算!$G$2:$G$801, 0)+1)), "")&lt;&gt;IFERROR(INDEX(ERP資料!$A:$A, MATCH(900, 輔助計算!$G$2:$G$801, 0)+1), "")), IFERROR(VLOOKUP(LEFT(INDEX(ERP資料!$S:$S, (MATCH(901, 輔助計算!$G$2:$G$801, 0)+1)), 4), 紙管對照表!$A:$C, 3, FALSE), ""), ""), "")</f>
        <v/>
      </c>
      <c r="D902" s="16" t="n"/>
      <c r="E902" s="10">
        <f>IFERROR(IF(INDEX(ERP資料!$H:$H, (MATCH(901, 輔助計算!$G$2:$G$801, 0)+1))="","",INDEX(ERP資料!$H:$H, (MATCH(901, 輔助計算!$G$2:$G$801, 0)+1))), "")</f>
        <v/>
      </c>
      <c r="F902" s="10">
        <f>IFERROR(IF(INDEX(ERP資料!$E:$E, (MATCH(901, 輔助計算!$G$2:$G$801, 0)+1))="","",TRIM(INDEX(ERP資料!$E:$E, (MATCH(901, 輔助計算!$G$2:$G$801, 0)+1)))), "")</f>
        <v/>
      </c>
      <c r="G902" s="10">
        <f>IFERROR(IF(INDEX(ERP資料!$F:$F, (MATCH(901, 輔助計算!$G$2:$G$801, 0)+1))="","",INDEX(ERP資料!$F:$F, (MATCH(901, 輔助計算!$G$2:$G$801, 0)+1))), "")</f>
        <v/>
      </c>
      <c r="H902" s="10">
        <f>IFERROR(IF(INDEX(ERP資料!$G:$G, (MATCH(901, 輔助計算!$G$2:$G$801, 0)+1))="","",INDEX(ERP資料!$G:$G, (MATCH(901, 輔助計算!$G$2:$G$801, 0)+1))), "")</f>
        <v/>
      </c>
      <c r="I902" s="15">
        <f>IFERROR(INDEX(輔助計算!$D:$D, (MATCH(901, 輔助計算!$G$2:$G$801, 0)+1)), "")</f>
        <v/>
      </c>
      <c r="J902" s="15">
        <f>IFERROR(IF(AND(INDEX(輔助計算!$D:$D, (MATCH(901, 輔助計算!$G$2:$G$801, 0)+1))&lt;&gt;"", INDEX(ERP資料!$G:$G, (MATCH(901, 輔助計算!$G$2:$G$801, 0)+1))&lt;&gt;""), TRIM(IF(INT(INDEX(輔助計算!$D:$D, (MATCH(901, 輔助計算!$G$2:$G$801, 0)+1))/IF(INDEX(ERP資料!$G:$G, (MATCH(901, 輔助計算!$G$2:$G$801, 0)+1))&lt;100, IF(INDEX(ERP資料!$G:$G, (MATCH(901, 輔助計算!$G$2:$G$801, 0)+1))&lt;=31,3,IF(INDEX(ERP資料!$G:$G, (MATCH(901, 輔助計算!$G$2:$G$801, 0)+1))&lt;=46.5,2,1)), IF(INDEX(ERP資料!$G:$G, (MATCH(901, 輔助計算!$G$2:$G$801, 0)+1))&lt;=790,3,IF(INDEX(ERP資料!$G:$G, (MATCH(901, 輔助計算!$G$2:$G$801, 0)+1))&lt;=1181,2,1))))&gt;0, IF(IF(INDEX(ERP資料!$G:$G, (MATCH(901, 輔助計算!$G$2:$G$801, 0)+1))&lt;100, IF(INDEX(ERP資料!$G:$G, (MATCH(901, 輔助計算!$G$2:$G$801, 0)+1))&lt;=31,3,IF(INDEX(ERP資料!$G:$G, (MATCH(901, 輔助計算!$G$2:$G$801, 0)+1))&lt;=46.5,2,1)), IF(INDEX(ERP資料!$G:$G, (MATCH(901, 輔助計算!$G$2:$G$801, 0)+1))&lt;=790,3,IF(INDEX(ERP資料!$G:$G, (MATCH(901, 輔助計算!$G$2:$G$801, 0)+1))&lt;=1181,2,1)))=1,TEXT(INDEX(ERP資料!$G:$G, (MATCH(901, 輔助計算!$G$2:$G$801, 0)+1)),"0.##"),IF(IF(INDEX(ERP資料!$G:$G, (MATCH(901, 輔助計算!$G$2:$G$801, 0)+1))&lt;100, IF(INDEX(ERP資料!$G:$G, (MATCH(901, 輔助計算!$G$2:$G$801, 0)+1))&lt;=31,3,IF(INDEX(ERP資料!$G:$G, (MATCH(901, 輔助計算!$G$2:$G$801, 0)+1))&lt;=46.5,2,1)), IF(INDEX(ERP資料!$G:$G, (MATCH(901, 輔助計算!$G$2:$G$801, 0)+1))&lt;=790,3,IF(INDEX(ERP資料!$G:$G, (MATCH(901, 輔助計算!$G$2:$G$801, 0)+1))&lt;=1181,2,1)))=2,TEXT(INDEX(ERP資料!$G:$G, (MATCH(901, 輔助計算!$G$2:$G$801, 0)+1)),"0.##")&amp;"+"&amp;TEXT(INDEX(ERP資料!$G:$G, (MATCH(901, 輔助計算!$G$2:$G$801, 0)+1)),"0.##"),TEXT(INDEX(ERP資料!$G:$G, (MATCH(901, 輔助計算!$G$2:$G$801, 0)+1)),"0.##")&amp;"+"&amp;TEXT(INDEX(ERP資料!$G:$G, (MATCH(901, 輔助計算!$G$2:$G$801, 0)+1)),"0.##")&amp;"+"&amp;TEXT(INDEX(ERP資料!$G:$G, (MATCH(901, 輔助計算!$G$2:$G$801, 0)+1)),"0.##")))&amp;"-"&amp;INT(INDEX(輔助計算!$D:$D, (MATCH(901, 輔助計算!$G$2:$G$801, 0)+1))/IF(INDEX(ERP資料!$G:$G, (MATCH(901, 輔助計算!$G$2:$G$801, 0)+1))&lt;100, IF(INDEX(ERP資料!$G:$G, (MATCH(901, 輔助計算!$G$2:$G$801, 0)+1))&lt;=31,3,IF(INDEX(ERP資料!$G:$G, (MATCH(901, 輔助計算!$G$2:$G$801, 0)+1))&lt;=46.5,2,1)), IF(INDEX(ERP資料!$G:$G, (MATCH(901, 輔助計算!$G$2:$G$801, 0)+1))&lt;=790,3,IF(INDEX(ERP資料!$G:$G, (MATCH(901, 輔助計算!$G$2:$G$801, 0)+1))&lt;=1181,2,1)))), "")&amp;IF(AND(IF(INT(INDEX(輔助計算!$D:$D, (MATCH(901, 輔助計算!$G$2:$G$801, 0)+1))/IF(INDEX(ERP資料!$G:$G, (MATCH(901, 輔助計算!$G$2:$G$801, 0)+1))&lt;100, IF(INDEX(ERP資料!$G:$G, (MATCH(901, 輔助計算!$G$2:$G$801, 0)+1))&lt;=31,3,IF(INDEX(ERP資料!$G:$G, (MATCH(901, 輔助計算!$G$2:$G$801, 0)+1))&lt;=46.5,2,1)), IF(INDEX(ERP資料!$G:$G, (MATCH(901, 輔助計算!$G$2:$G$801, 0)+1))&lt;=790,3,IF(INDEX(ERP資料!$G:$G, (MATCH(901, 輔助計算!$G$2:$G$801, 0)+1))&lt;=1181,2,1))))&gt;0, IF(IF(INDEX(ERP資料!$G:$G, (MATCH(901, 輔助計算!$G$2:$G$801, 0)+1))&lt;100, IF(INDEX(ERP資料!$G:$G, (MATCH(901, 輔助計算!$G$2:$G$801, 0)+1))&lt;=31,3,IF(INDEX(ERP資料!$G:$G, (MATCH(901, 輔助計算!$G$2:$G$801, 0)+1))&lt;=46.5,2,1)), IF(INDEX(ERP資料!$G:$G, (MATCH(901, 輔助計算!$G$2:$G$801, 0)+1))&lt;=790,3,IF(INDEX(ERP資料!$G:$G, (MATCH(901, 輔助計算!$G$2:$G$801, 0)+1))&lt;=1181,2,1)))=1,TEXT(INDEX(ERP資料!$G:$G, (MATCH(901, 輔助計算!$G$2:$G$801, 0)+1)),"0.##"),IF(IF(INDEX(ERP資料!$G:$G, (MATCH(901, 輔助計算!$G$2:$G$801, 0)+1))&lt;100, IF(INDEX(ERP資料!$G:$G, (MATCH(901, 輔助計算!$G$2:$G$801, 0)+1))&lt;=31,3,IF(INDEX(ERP資料!$G:$G, (MATCH(901, 輔助計算!$G$2:$G$801, 0)+1))&lt;=46.5,2,1)), IF(INDEX(ERP資料!$G:$G, (MATCH(901, 輔助計算!$G$2:$G$801, 0)+1))&lt;=790,3,IF(INDEX(ERP資料!$G:$G, (MATCH(901, 輔助計算!$G$2:$G$801, 0)+1))&lt;=1181,2,1)))=2,TEXT(INDEX(ERP資料!$G:$G, (MATCH(901, 輔助計算!$G$2:$G$801, 0)+1)),"0.##")&amp;"+"&amp;TEXT(INDEX(ERP資料!$G:$G, (MATCH(901, 輔助計算!$G$2:$G$801, 0)+1)),"0.##"),TEXT(INDEX(ERP資料!$G:$G, (MATCH(901, 輔助計算!$G$2:$G$801, 0)+1)),"0.##")&amp;"+"&amp;TEXT(INDEX(ERP資料!$G:$G, (MATCH(901, 輔助計算!$G$2:$G$801, 0)+1)),"0.##")&amp;"+"&amp;TEXT(INDEX(ERP資料!$G:$G, (MATCH(901, 輔助計算!$G$2:$G$801, 0)+1)),"0.##")))&amp;"-"&amp;INT(INDEX(輔助計算!$D:$D, (MATCH(901, 輔助計算!$G$2:$G$801, 0)+1))/IF(INDEX(ERP資料!$G:$G, (MATCH(901, 輔助計算!$G$2:$G$801, 0)+1))&lt;100, IF(INDEX(ERP資料!$G:$G, (MATCH(901, 輔助計算!$G$2:$G$801, 0)+1))&lt;=31,3,IF(INDEX(ERP資料!$G:$G, (MATCH(901, 輔助計算!$G$2:$G$801, 0)+1))&lt;=46.5,2,1)), IF(INDEX(ERP資料!$G:$G, (MATCH(901, 輔助計算!$G$2:$G$801, 0)+1))&lt;=790,3,IF(INDEX(ERP資料!$G:$G, (MATCH(901, 輔助計算!$G$2:$G$801, 0)+1))&lt;=1181,2,1)))), "")&lt;&gt;"",IF(MOD(INDEX(輔助計算!$D:$D, (MATCH(901, 輔助計算!$G$2:$G$801, 0)+1)),IF(INDEX(ERP資料!$G:$G, (MATCH(901, 輔助計算!$G$2:$G$801, 0)+1))&lt;100, IF(INDEX(ERP資料!$G:$G, (MATCH(901, 輔助計算!$G$2:$G$801, 0)+1))&lt;=31,3,IF(INDEX(ERP資料!$G:$G, (MATCH(901, 輔助計算!$G$2:$G$801, 0)+1))&lt;=46.5,2,1)), IF(INDEX(ERP資料!$G:$G, (MATCH(901, 輔助計算!$G$2:$G$801, 0)+1))&lt;=790,3,IF(INDEX(ERP資料!$G:$G, (MATCH(901, 輔助計算!$G$2:$G$801, 0)+1))&lt;=1181,2,1))))=0,"",IF(MOD(INDEX(輔助計算!$D:$D, (MATCH(901, 輔助計算!$G$2:$G$801, 0)+1)),IF(INDEX(ERP資料!$G:$G, (MATCH(901, 輔助計算!$G$2:$G$801, 0)+1))&lt;100, IF(INDEX(ERP資料!$G:$G, (MATCH(901, 輔助計算!$G$2:$G$801, 0)+1))&lt;=31,3,IF(INDEX(ERP資料!$G:$G, (MATCH(901, 輔助計算!$G$2:$G$801, 0)+1))&lt;=46.5,2,1)), IF(INDEX(ERP資料!$G:$G, (MATCH(901, 輔助計算!$G$2:$G$801, 0)+1))&lt;=790,3,IF(INDEX(ERP資料!$G:$G, (MATCH(901, 輔助計算!$G$2:$G$801, 0)+1))&lt;=1181,2,1))))=0,"",IF(MOD(INDEX(輔助計算!$D:$D, (MATCH(901, 輔助計算!$G$2:$G$801, 0)+1)),IF(INDEX(ERP資料!$G:$G, (MATCH(901, 輔助計算!$G$2:$G$801, 0)+1))&lt;100, IF(INDEX(ERP資料!$G:$G, (MATCH(901, 輔助計算!$G$2:$G$801, 0)+1))&lt;=31,3,IF(INDEX(ERP資料!$G:$G, (MATCH(901, 輔助計算!$G$2:$G$801, 0)+1))&lt;=46.5,2,1)), IF(INDEX(ERP資料!$G:$G, (MATCH(901, 輔助計算!$G$2:$G$801, 0)+1))&lt;=790,3,IF(INDEX(ERP資料!$G:$G, (MATCH(901, 輔助計算!$G$2:$G$801, 0)+1))&lt;=1181,2,1))))=1,TEXT(INDEX(ERP資料!$G:$G, (MATCH(901, 輔助計算!$G$2:$G$801, 0)+1)),"0.##"),IF(MOD(INDEX(輔助計算!$D:$D, (MATCH(901, 輔助計算!$G$2:$G$801, 0)+1)),IF(INDEX(ERP資料!$G:$G, (MATCH(901, 輔助計算!$G$2:$G$801, 0)+1))&lt;100, IF(INDEX(ERP資料!$G:$G, (MATCH(901, 輔助計算!$G$2:$G$801, 0)+1))&lt;=31,3,IF(INDEX(ERP資料!$G:$G, (MATCH(901, 輔助計算!$G$2:$G$801, 0)+1))&lt;=46.5,2,1)), IF(INDEX(ERP資料!$G:$G, (MATCH(901, 輔助計算!$G$2:$G$801, 0)+1))&lt;=790,3,IF(INDEX(ERP資料!$G:$G, (MATCH(901, 輔助計算!$G$2:$G$801, 0)+1))&lt;=1181,2,1))))=2,TEXT(INDEX(ERP資料!$G:$G, (MATCH(901, 輔助計算!$G$2:$G$801, 0)+1)),"0.##")&amp;"+"&amp;TEXT(INDEX(ERP資料!$G:$G, (MATCH(901, 輔助計算!$G$2:$G$801, 0)+1)),"0.##"),TEXT(INDEX(ERP資料!$G:$G, (MATCH(901, 輔助計算!$G$2:$G$801, 0)+1)),"0.##")&amp;"+"&amp;TEXT(INDEX(ERP資料!$G:$G, (MATCH(901, 輔助計算!$G$2:$G$801, 0)+1)),"0.##")&amp;"+"&amp;TEXT(INDEX(ERP資料!$G:$G, (MATCH(901, 輔助計算!$G$2:$G$801, 0)+1)),"0.##"))))&amp;"-1")&lt;&gt;""),"  ","")&amp;IF(MOD(INDEX(輔助計算!$D:$D, (MATCH(901, 輔助計算!$G$2:$G$801, 0)+1)),IF(INDEX(ERP資料!$G:$G, (MATCH(901, 輔助計算!$G$2:$G$801, 0)+1))&lt;100, IF(INDEX(ERP資料!$G:$G, (MATCH(901, 輔助計算!$G$2:$G$801, 0)+1))&lt;=31,3,IF(INDEX(ERP資料!$G:$G, (MATCH(901, 輔助計算!$G$2:$G$801, 0)+1))&lt;=46.5,2,1)), IF(INDEX(ERP資料!$G:$G, (MATCH(901, 輔助計算!$G$2:$G$801, 0)+1))&lt;=790,3,IF(INDEX(ERP資料!$G:$G, (MATCH(901, 輔助計算!$G$2:$G$801, 0)+1))&lt;=1181,2,1))))=0,"",IF(MOD(INDEX(輔助計算!$D:$D, (MATCH(901, 輔助計算!$G$2:$G$801, 0)+1)),IF(INDEX(ERP資料!$G:$G, (MATCH(901, 輔助計算!$G$2:$G$801, 0)+1))&lt;100, IF(INDEX(ERP資料!$G:$G, (MATCH(901, 輔助計算!$G$2:$G$801, 0)+1))&lt;=31,3,IF(INDEX(ERP資料!$G:$G, (MATCH(901, 輔助計算!$G$2:$G$801, 0)+1))&lt;=46.5,2,1)), IF(INDEX(ERP資料!$G:$G, (MATCH(901, 輔助計算!$G$2:$G$801, 0)+1))&lt;=790,3,IF(INDEX(ERP資料!$G:$G, (MATCH(901, 輔助計算!$G$2:$G$801, 0)+1))&lt;=1181,2,1))))=0,"",IF(MOD(INDEX(輔助計算!$D:$D, (MATCH(901, 輔助計算!$G$2:$G$801, 0)+1)),IF(INDEX(ERP資料!$G:$G, (MATCH(901, 輔助計算!$G$2:$G$801, 0)+1))&lt;100, IF(INDEX(ERP資料!$G:$G, (MATCH(901, 輔助計算!$G$2:$G$801, 0)+1))&lt;=31,3,IF(INDEX(ERP資料!$G:$G, (MATCH(901, 輔助計算!$G$2:$G$801, 0)+1))&lt;=46.5,2,1)), IF(INDEX(ERP資料!$G:$G, (MATCH(901, 輔助計算!$G$2:$G$801, 0)+1))&lt;=790,3,IF(INDEX(ERP資料!$G:$G, (MATCH(901, 輔助計算!$G$2:$G$801, 0)+1))&lt;=1181,2,1))))=1,TEXT(INDEX(ERP資料!$G:$G, (MATCH(901, 輔助計算!$G$2:$G$801, 0)+1)),"0.##"),IF(MOD(INDEX(輔助計算!$D:$D, (MATCH(901, 輔助計算!$G$2:$G$801, 0)+1)),IF(INDEX(ERP資料!$G:$G, (MATCH(901, 輔助計算!$G$2:$G$801, 0)+1))&lt;100, IF(INDEX(ERP資料!$G:$G, (MATCH(901, 輔助計算!$G$2:$G$801, 0)+1))&lt;=31,3,IF(INDEX(ERP資料!$G:$G, (MATCH(901, 輔助計算!$G$2:$G$801, 0)+1))&lt;=46.5,2,1)), IF(INDEX(ERP資料!$G:$G, (MATCH(901, 輔助計算!$G$2:$G$801, 0)+1))&lt;=790,3,IF(INDEX(ERP資料!$G:$G, (MATCH(901, 輔助計算!$G$2:$G$801, 0)+1))&lt;=1181,2,1))))=2,TEXT(INDEX(ERP資料!$G:$G, (MATCH(901, 輔助計算!$G$2:$G$801, 0)+1)),"0.##")&amp;"+"&amp;TEXT(INDEX(ERP資料!$G:$G, (MATCH(901, 輔助計算!$G$2:$G$801, 0)+1)),"0.##"),TEXT(INDEX(ERP資料!$G:$G, (MATCH(901, 輔助計算!$G$2:$G$801, 0)+1)),"0.##")&amp;"+"&amp;TEXT(INDEX(ERP資料!$G:$G, (MATCH(901, 輔助計算!$G$2:$G$801, 0)+1)),"0.##")&amp;"+"&amp;TEXT(INDEX(ERP資料!$G:$G, (MATCH(901, 輔助計算!$G$2:$G$801, 0)+1)),"0.##"))))&amp;"-1")), ""), "")</f>
        <v/>
      </c>
      <c r="K902" s="16" t="n"/>
      <c r="L902" s="14">
        <f>IFERROR(IF(AND(IFERROR(INDEX(ERP資料!$A:$A, (MATCH(901, 輔助計算!$G$2:$G$801, 0)+1)), "")&lt;&gt;"", IFERROR(INDEX(ERP資料!$A:$A, (MATCH(901, 輔助計算!$G$2:$G$801, 0)+1)), "")&lt;&gt;IFERROR(INDEX(ERP資料!$A:$A, MATCH(900, 輔助計算!$G$2:$G$801, 0)+1), "")), INDEX(ERP資料!$B:$B, (MATCH(901, 輔助計算!$G$2:$G$801, 0)+1)), ""), "")</f>
        <v/>
      </c>
      <c r="M902" s="17" t="n"/>
    </row>
    <row r="903">
      <c r="A903" s="10">
        <f>IFERROR(IF(AND(IFERROR(INDEX(ERP資料!$A:$A, (MATCH(902, 輔助計算!$G$2:$G$801, 0)+1)), "")&lt;&gt;"", IFERROR(INDEX(ERP資料!$A:$A, (MATCH(902, 輔助計算!$G$2:$G$801, 0)+1)), "")&lt;&gt;IFERROR(INDEX(ERP資料!$A:$A, MATCH(901, 輔助計算!$G$2:$G$801, 0)+1), "")), IFERROR(INDEX(ERP資料!$A:$A, (MATCH(902, 輔助計算!$G$2:$G$801, 0)+1)), ""), ""), "")</f>
        <v/>
      </c>
      <c r="B903" s="10">
        <f>IFERROR(IF(AND(IFERROR(INDEX(ERP資料!$A:$A, (MATCH(902, 輔助計算!$G$2:$G$801, 0)+1)), "")&lt;&gt;"", IFERROR(INDEX(ERP資料!$A:$A, (MATCH(902, 輔助計算!$G$2:$G$801, 0)+1)), "")&lt;&gt;IFERROR(INDEX(ERP資料!$A:$A, MATCH(901, 輔助計算!$G$2:$G$801, 0)+1), "")), INDEX(ERP資料!$S:$S, (MATCH(902, 輔助計算!$G$2:$G$801, 0)+1)), ""), "")</f>
        <v/>
      </c>
      <c r="C903" s="19">
        <f>IFERROR(IF(AND(IFERROR(INDEX(ERP資料!$A:$A, (MATCH(902, 輔助計算!$G$2:$G$801, 0)+1)), "")&lt;&gt;"", IFERROR(INDEX(ERP資料!$A:$A, (MATCH(902, 輔助計算!$G$2:$G$801, 0)+1)), "")&lt;&gt;IFERROR(INDEX(ERP資料!$A:$A, MATCH(901, 輔助計算!$G$2:$G$801, 0)+1), "")), IFERROR(VLOOKUP(LEFT(INDEX(ERP資料!$S:$S, (MATCH(902, 輔助計算!$G$2:$G$801, 0)+1)), 4), 紙管對照表!$A:$C, 3, FALSE), ""), ""), "")</f>
        <v/>
      </c>
      <c r="D903" s="16" t="n"/>
      <c r="E903" s="10">
        <f>IFERROR(IF(INDEX(ERP資料!$H:$H, (MATCH(902, 輔助計算!$G$2:$G$801, 0)+1))="","",INDEX(ERP資料!$H:$H, (MATCH(902, 輔助計算!$G$2:$G$801, 0)+1))), "")</f>
        <v/>
      </c>
      <c r="F903" s="10">
        <f>IFERROR(IF(INDEX(ERP資料!$E:$E, (MATCH(902, 輔助計算!$G$2:$G$801, 0)+1))="","",TRIM(INDEX(ERP資料!$E:$E, (MATCH(902, 輔助計算!$G$2:$G$801, 0)+1)))), "")</f>
        <v/>
      </c>
      <c r="G903" s="10">
        <f>IFERROR(IF(INDEX(ERP資料!$F:$F, (MATCH(902, 輔助計算!$G$2:$G$801, 0)+1))="","",INDEX(ERP資料!$F:$F, (MATCH(902, 輔助計算!$G$2:$G$801, 0)+1))), "")</f>
        <v/>
      </c>
      <c r="H903" s="10">
        <f>IFERROR(IF(INDEX(ERP資料!$G:$G, (MATCH(902, 輔助計算!$G$2:$G$801, 0)+1))="","",INDEX(ERP資料!$G:$G, (MATCH(902, 輔助計算!$G$2:$G$801, 0)+1))), "")</f>
        <v/>
      </c>
      <c r="I903" s="15">
        <f>IFERROR(INDEX(輔助計算!$D:$D, (MATCH(902, 輔助計算!$G$2:$G$801, 0)+1)), "")</f>
        <v/>
      </c>
      <c r="J903" s="15">
        <f>IFERROR(IF(AND(INDEX(輔助計算!$D:$D, (MATCH(902, 輔助計算!$G$2:$G$801, 0)+1))&lt;&gt;"", INDEX(ERP資料!$G:$G, (MATCH(902, 輔助計算!$G$2:$G$801, 0)+1))&lt;&gt;""), TRIM(IF(INT(INDEX(輔助計算!$D:$D, (MATCH(902, 輔助計算!$G$2:$G$801, 0)+1))/IF(INDEX(ERP資料!$G:$G, (MATCH(902, 輔助計算!$G$2:$G$801, 0)+1))&lt;100, IF(INDEX(ERP資料!$G:$G, (MATCH(902, 輔助計算!$G$2:$G$801, 0)+1))&lt;=31,3,IF(INDEX(ERP資料!$G:$G, (MATCH(902, 輔助計算!$G$2:$G$801, 0)+1))&lt;=46.5,2,1)), IF(INDEX(ERP資料!$G:$G, (MATCH(902, 輔助計算!$G$2:$G$801, 0)+1))&lt;=790,3,IF(INDEX(ERP資料!$G:$G, (MATCH(902, 輔助計算!$G$2:$G$801, 0)+1))&lt;=1181,2,1))))&gt;0, IF(IF(INDEX(ERP資料!$G:$G, (MATCH(902, 輔助計算!$G$2:$G$801, 0)+1))&lt;100, IF(INDEX(ERP資料!$G:$G, (MATCH(902, 輔助計算!$G$2:$G$801, 0)+1))&lt;=31,3,IF(INDEX(ERP資料!$G:$G, (MATCH(902, 輔助計算!$G$2:$G$801, 0)+1))&lt;=46.5,2,1)), IF(INDEX(ERP資料!$G:$G, (MATCH(902, 輔助計算!$G$2:$G$801, 0)+1))&lt;=790,3,IF(INDEX(ERP資料!$G:$G, (MATCH(902, 輔助計算!$G$2:$G$801, 0)+1))&lt;=1181,2,1)))=1,TEXT(INDEX(ERP資料!$G:$G, (MATCH(902, 輔助計算!$G$2:$G$801, 0)+1)),"0.##"),IF(IF(INDEX(ERP資料!$G:$G, (MATCH(902, 輔助計算!$G$2:$G$801, 0)+1))&lt;100, IF(INDEX(ERP資料!$G:$G, (MATCH(902, 輔助計算!$G$2:$G$801, 0)+1))&lt;=31,3,IF(INDEX(ERP資料!$G:$G, (MATCH(902, 輔助計算!$G$2:$G$801, 0)+1))&lt;=46.5,2,1)), IF(INDEX(ERP資料!$G:$G, (MATCH(902, 輔助計算!$G$2:$G$801, 0)+1))&lt;=790,3,IF(INDEX(ERP資料!$G:$G, (MATCH(902, 輔助計算!$G$2:$G$801, 0)+1))&lt;=1181,2,1)))=2,TEXT(INDEX(ERP資料!$G:$G, (MATCH(902, 輔助計算!$G$2:$G$801, 0)+1)),"0.##")&amp;"+"&amp;TEXT(INDEX(ERP資料!$G:$G, (MATCH(902, 輔助計算!$G$2:$G$801, 0)+1)),"0.##"),TEXT(INDEX(ERP資料!$G:$G, (MATCH(902, 輔助計算!$G$2:$G$801, 0)+1)),"0.##")&amp;"+"&amp;TEXT(INDEX(ERP資料!$G:$G, (MATCH(902, 輔助計算!$G$2:$G$801, 0)+1)),"0.##")&amp;"+"&amp;TEXT(INDEX(ERP資料!$G:$G, (MATCH(902, 輔助計算!$G$2:$G$801, 0)+1)),"0.##")))&amp;"-"&amp;INT(INDEX(輔助計算!$D:$D, (MATCH(902, 輔助計算!$G$2:$G$801, 0)+1))/IF(INDEX(ERP資料!$G:$G, (MATCH(902, 輔助計算!$G$2:$G$801, 0)+1))&lt;100, IF(INDEX(ERP資料!$G:$G, (MATCH(902, 輔助計算!$G$2:$G$801, 0)+1))&lt;=31,3,IF(INDEX(ERP資料!$G:$G, (MATCH(902, 輔助計算!$G$2:$G$801, 0)+1))&lt;=46.5,2,1)), IF(INDEX(ERP資料!$G:$G, (MATCH(902, 輔助計算!$G$2:$G$801, 0)+1))&lt;=790,3,IF(INDEX(ERP資料!$G:$G, (MATCH(902, 輔助計算!$G$2:$G$801, 0)+1))&lt;=1181,2,1)))), "")&amp;IF(AND(IF(INT(INDEX(輔助計算!$D:$D, (MATCH(902, 輔助計算!$G$2:$G$801, 0)+1))/IF(INDEX(ERP資料!$G:$G, (MATCH(902, 輔助計算!$G$2:$G$801, 0)+1))&lt;100, IF(INDEX(ERP資料!$G:$G, (MATCH(902, 輔助計算!$G$2:$G$801, 0)+1))&lt;=31,3,IF(INDEX(ERP資料!$G:$G, (MATCH(902, 輔助計算!$G$2:$G$801, 0)+1))&lt;=46.5,2,1)), IF(INDEX(ERP資料!$G:$G, (MATCH(902, 輔助計算!$G$2:$G$801, 0)+1))&lt;=790,3,IF(INDEX(ERP資料!$G:$G, (MATCH(902, 輔助計算!$G$2:$G$801, 0)+1))&lt;=1181,2,1))))&gt;0, IF(IF(INDEX(ERP資料!$G:$G, (MATCH(902, 輔助計算!$G$2:$G$801, 0)+1))&lt;100, IF(INDEX(ERP資料!$G:$G, (MATCH(902, 輔助計算!$G$2:$G$801, 0)+1))&lt;=31,3,IF(INDEX(ERP資料!$G:$G, (MATCH(902, 輔助計算!$G$2:$G$801, 0)+1))&lt;=46.5,2,1)), IF(INDEX(ERP資料!$G:$G, (MATCH(902, 輔助計算!$G$2:$G$801, 0)+1))&lt;=790,3,IF(INDEX(ERP資料!$G:$G, (MATCH(902, 輔助計算!$G$2:$G$801, 0)+1))&lt;=1181,2,1)))=1,TEXT(INDEX(ERP資料!$G:$G, (MATCH(902, 輔助計算!$G$2:$G$801, 0)+1)),"0.##"),IF(IF(INDEX(ERP資料!$G:$G, (MATCH(902, 輔助計算!$G$2:$G$801, 0)+1))&lt;100, IF(INDEX(ERP資料!$G:$G, (MATCH(902, 輔助計算!$G$2:$G$801, 0)+1))&lt;=31,3,IF(INDEX(ERP資料!$G:$G, (MATCH(902, 輔助計算!$G$2:$G$801, 0)+1))&lt;=46.5,2,1)), IF(INDEX(ERP資料!$G:$G, (MATCH(902, 輔助計算!$G$2:$G$801, 0)+1))&lt;=790,3,IF(INDEX(ERP資料!$G:$G, (MATCH(902, 輔助計算!$G$2:$G$801, 0)+1))&lt;=1181,2,1)))=2,TEXT(INDEX(ERP資料!$G:$G, (MATCH(902, 輔助計算!$G$2:$G$801, 0)+1)),"0.##")&amp;"+"&amp;TEXT(INDEX(ERP資料!$G:$G, (MATCH(902, 輔助計算!$G$2:$G$801, 0)+1)),"0.##"),TEXT(INDEX(ERP資料!$G:$G, (MATCH(902, 輔助計算!$G$2:$G$801, 0)+1)),"0.##")&amp;"+"&amp;TEXT(INDEX(ERP資料!$G:$G, (MATCH(902, 輔助計算!$G$2:$G$801, 0)+1)),"0.##")&amp;"+"&amp;TEXT(INDEX(ERP資料!$G:$G, (MATCH(902, 輔助計算!$G$2:$G$801, 0)+1)),"0.##")))&amp;"-"&amp;INT(INDEX(輔助計算!$D:$D, (MATCH(902, 輔助計算!$G$2:$G$801, 0)+1))/IF(INDEX(ERP資料!$G:$G, (MATCH(902, 輔助計算!$G$2:$G$801, 0)+1))&lt;100, IF(INDEX(ERP資料!$G:$G, (MATCH(902, 輔助計算!$G$2:$G$801, 0)+1))&lt;=31,3,IF(INDEX(ERP資料!$G:$G, (MATCH(902, 輔助計算!$G$2:$G$801, 0)+1))&lt;=46.5,2,1)), IF(INDEX(ERP資料!$G:$G, (MATCH(902, 輔助計算!$G$2:$G$801, 0)+1))&lt;=790,3,IF(INDEX(ERP資料!$G:$G, (MATCH(902, 輔助計算!$G$2:$G$801, 0)+1))&lt;=1181,2,1)))), "")&lt;&gt;"",IF(MOD(INDEX(輔助計算!$D:$D, (MATCH(902, 輔助計算!$G$2:$G$801, 0)+1)),IF(INDEX(ERP資料!$G:$G, (MATCH(902, 輔助計算!$G$2:$G$801, 0)+1))&lt;100, IF(INDEX(ERP資料!$G:$G, (MATCH(902, 輔助計算!$G$2:$G$801, 0)+1))&lt;=31,3,IF(INDEX(ERP資料!$G:$G, (MATCH(902, 輔助計算!$G$2:$G$801, 0)+1))&lt;=46.5,2,1)), IF(INDEX(ERP資料!$G:$G, (MATCH(902, 輔助計算!$G$2:$G$801, 0)+1))&lt;=790,3,IF(INDEX(ERP資料!$G:$G, (MATCH(902, 輔助計算!$G$2:$G$801, 0)+1))&lt;=1181,2,1))))=0,"",IF(MOD(INDEX(輔助計算!$D:$D, (MATCH(902, 輔助計算!$G$2:$G$801, 0)+1)),IF(INDEX(ERP資料!$G:$G, (MATCH(902, 輔助計算!$G$2:$G$801, 0)+1))&lt;100, IF(INDEX(ERP資料!$G:$G, (MATCH(902, 輔助計算!$G$2:$G$801, 0)+1))&lt;=31,3,IF(INDEX(ERP資料!$G:$G, (MATCH(902, 輔助計算!$G$2:$G$801, 0)+1))&lt;=46.5,2,1)), IF(INDEX(ERP資料!$G:$G, (MATCH(902, 輔助計算!$G$2:$G$801, 0)+1))&lt;=790,3,IF(INDEX(ERP資料!$G:$G, (MATCH(902, 輔助計算!$G$2:$G$801, 0)+1))&lt;=1181,2,1))))=0,"",IF(MOD(INDEX(輔助計算!$D:$D, (MATCH(902, 輔助計算!$G$2:$G$801, 0)+1)),IF(INDEX(ERP資料!$G:$G, (MATCH(902, 輔助計算!$G$2:$G$801, 0)+1))&lt;100, IF(INDEX(ERP資料!$G:$G, (MATCH(902, 輔助計算!$G$2:$G$801, 0)+1))&lt;=31,3,IF(INDEX(ERP資料!$G:$G, (MATCH(902, 輔助計算!$G$2:$G$801, 0)+1))&lt;=46.5,2,1)), IF(INDEX(ERP資料!$G:$G, (MATCH(902, 輔助計算!$G$2:$G$801, 0)+1))&lt;=790,3,IF(INDEX(ERP資料!$G:$G, (MATCH(902, 輔助計算!$G$2:$G$801, 0)+1))&lt;=1181,2,1))))=1,TEXT(INDEX(ERP資料!$G:$G, (MATCH(902, 輔助計算!$G$2:$G$801, 0)+1)),"0.##"),IF(MOD(INDEX(輔助計算!$D:$D, (MATCH(902, 輔助計算!$G$2:$G$801, 0)+1)),IF(INDEX(ERP資料!$G:$G, (MATCH(902, 輔助計算!$G$2:$G$801, 0)+1))&lt;100, IF(INDEX(ERP資料!$G:$G, (MATCH(902, 輔助計算!$G$2:$G$801, 0)+1))&lt;=31,3,IF(INDEX(ERP資料!$G:$G, (MATCH(902, 輔助計算!$G$2:$G$801, 0)+1))&lt;=46.5,2,1)), IF(INDEX(ERP資料!$G:$G, (MATCH(902, 輔助計算!$G$2:$G$801, 0)+1))&lt;=790,3,IF(INDEX(ERP資料!$G:$G, (MATCH(902, 輔助計算!$G$2:$G$801, 0)+1))&lt;=1181,2,1))))=2,TEXT(INDEX(ERP資料!$G:$G, (MATCH(902, 輔助計算!$G$2:$G$801, 0)+1)),"0.##")&amp;"+"&amp;TEXT(INDEX(ERP資料!$G:$G, (MATCH(902, 輔助計算!$G$2:$G$801, 0)+1)),"0.##"),TEXT(INDEX(ERP資料!$G:$G, (MATCH(902, 輔助計算!$G$2:$G$801, 0)+1)),"0.##")&amp;"+"&amp;TEXT(INDEX(ERP資料!$G:$G, (MATCH(902, 輔助計算!$G$2:$G$801, 0)+1)),"0.##")&amp;"+"&amp;TEXT(INDEX(ERP資料!$G:$G, (MATCH(902, 輔助計算!$G$2:$G$801, 0)+1)),"0.##"))))&amp;"-1")&lt;&gt;""),"  ","")&amp;IF(MOD(INDEX(輔助計算!$D:$D, (MATCH(902, 輔助計算!$G$2:$G$801, 0)+1)),IF(INDEX(ERP資料!$G:$G, (MATCH(902, 輔助計算!$G$2:$G$801, 0)+1))&lt;100, IF(INDEX(ERP資料!$G:$G, (MATCH(902, 輔助計算!$G$2:$G$801, 0)+1))&lt;=31,3,IF(INDEX(ERP資料!$G:$G, (MATCH(902, 輔助計算!$G$2:$G$801, 0)+1))&lt;=46.5,2,1)), IF(INDEX(ERP資料!$G:$G, (MATCH(902, 輔助計算!$G$2:$G$801, 0)+1))&lt;=790,3,IF(INDEX(ERP資料!$G:$G, (MATCH(902, 輔助計算!$G$2:$G$801, 0)+1))&lt;=1181,2,1))))=0,"",IF(MOD(INDEX(輔助計算!$D:$D, (MATCH(902, 輔助計算!$G$2:$G$801, 0)+1)),IF(INDEX(ERP資料!$G:$G, (MATCH(902, 輔助計算!$G$2:$G$801, 0)+1))&lt;100, IF(INDEX(ERP資料!$G:$G, (MATCH(902, 輔助計算!$G$2:$G$801, 0)+1))&lt;=31,3,IF(INDEX(ERP資料!$G:$G, (MATCH(902, 輔助計算!$G$2:$G$801, 0)+1))&lt;=46.5,2,1)), IF(INDEX(ERP資料!$G:$G, (MATCH(902, 輔助計算!$G$2:$G$801, 0)+1))&lt;=790,3,IF(INDEX(ERP資料!$G:$G, (MATCH(902, 輔助計算!$G$2:$G$801, 0)+1))&lt;=1181,2,1))))=0,"",IF(MOD(INDEX(輔助計算!$D:$D, (MATCH(902, 輔助計算!$G$2:$G$801, 0)+1)),IF(INDEX(ERP資料!$G:$G, (MATCH(902, 輔助計算!$G$2:$G$801, 0)+1))&lt;100, IF(INDEX(ERP資料!$G:$G, (MATCH(902, 輔助計算!$G$2:$G$801, 0)+1))&lt;=31,3,IF(INDEX(ERP資料!$G:$G, (MATCH(902, 輔助計算!$G$2:$G$801, 0)+1))&lt;=46.5,2,1)), IF(INDEX(ERP資料!$G:$G, (MATCH(902, 輔助計算!$G$2:$G$801, 0)+1))&lt;=790,3,IF(INDEX(ERP資料!$G:$G, (MATCH(902, 輔助計算!$G$2:$G$801, 0)+1))&lt;=1181,2,1))))=1,TEXT(INDEX(ERP資料!$G:$G, (MATCH(902, 輔助計算!$G$2:$G$801, 0)+1)),"0.##"),IF(MOD(INDEX(輔助計算!$D:$D, (MATCH(902, 輔助計算!$G$2:$G$801, 0)+1)),IF(INDEX(ERP資料!$G:$G, (MATCH(902, 輔助計算!$G$2:$G$801, 0)+1))&lt;100, IF(INDEX(ERP資料!$G:$G, (MATCH(902, 輔助計算!$G$2:$G$801, 0)+1))&lt;=31,3,IF(INDEX(ERP資料!$G:$G, (MATCH(902, 輔助計算!$G$2:$G$801, 0)+1))&lt;=46.5,2,1)), IF(INDEX(ERP資料!$G:$G, (MATCH(902, 輔助計算!$G$2:$G$801, 0)+1))&lt;=790,3,IF(INDEX(ERP資料!$G:$G, (MATCH(902, 輔助計算!$G$2:$G$801, 0)+1))&lt;=1181,2,1))))=2,TEXT(INDEX(ERP資料!$G:$G, (MATCH(902, 輔助計算!$G$2:$G$801, 0)+1)),"0.##")&amp;"+"&amp;TEXT(INDEX(ERP資料!$G:$G, (MATCH(902, 輔助計算!$G$2:$G$801, 0)+1)),"0.##"),TEXT(INDEX(ERP資料!$G:$G, (MATCH(902, 輔助計算!$G$2:$G$801, 0)+1)),"0.##")&amp;"+"&amp;TEXT(INDEX(ERP資料!$G:$G, (MATCH(902, 輔助計算!$G$2:$G$801, 0)+1)),"0.##")&amp;"+"&amp;TEXT(INDEX(ERP資料!$G:$G, (MATCH(902, 輔助計算!$G$2:$G$801, 0)+1)),"0.##"))))&amp;"-1")), ""), "")</f>
        <v/>
      </c>
      <c r="K903" s="16" t="n"/>
      <c r="L903" s="14">
        <f>IFERROR(IF(AND(IFERROR(INDEX(ERP資料!$A:$A, (MATCH(902, 輔助計算!$G$2:$G$801, 0)+1)), "")&lt;&gt;"", IFERROR(INDEX(ERP資料!$A:$A, (MATCH(902, 輔助計算!$G$2:$G$801, 0)+1)), "")&lt;&gt;IFERROR(INDEX(ERP資料!$A:$A, MATCH(901, 輔助計算!$G$2:$G$801, 0)+1), "")), INDEX(ERP資料!$B:$B, (MATCH(902, 輔助計算!$G$2:$G$801, 0)+1)), ""), "")</f>
        <v/>
      </c>
      <c r="M903" s="17" t="n"/>
    </row>
    <row r="904">
      <c r="A904" s="10">
        <f>IFERROR(IF(AND(IFERROR(INDEX(ERP資料!$A:$A, (MATCH(903, 輔助計算!$G$2:$G$801, 0)+1)), "")&lt;&gt;"", IFERROR(INDEX(ERP資料!$A:$A, (MATCH(903, 輔助計算!$G$2:$G$801, 0)+1)), "")&lt;&gt;IFERROR(INDEX(ERP資料!$A:$A, MATCH(902, 輔助計算!$G$2:$G$801, 0)+1), "")), IFERROR(INDEX(ERP資料!$A:$A, (MATCH(903, 輔助計算!$G$2:$G$801, 0)+1)), ""), ""), "")</f>
        <v/>
      </c>
      <c r="B904" s="10">
        <f>IFERROR(IF(AND(IFERROR(INDEX(ERP資料!$A:$A, (MATCH(903, 輔助計算!$G$2:$G$801, 0)+1)), "")&lt;&gt;"", IFERROR(INDEX(ERP資料!$A:$A, (MATCH(903, 輔助計算!$G$2:$G$801, 0)+1)), "")&lt;&gt;IFERROR(INDEX(ERP資料!$A:$A, MATCH(902, 輔助計算!$G$2:$G$801, 0)+1), "")), INDEX(ERP資料!$S:$S, (MATCH(903, 輔助計算!$G$2:$G$801, 0)+1)), ""), "")</f>
        <v/>
      </c>
      <c r="C904" s="19">
        <f>IFERROR(IF(AND(IFERROR(INDEX(ERP資料!$A:$A, (MATCH(903, 輔助計算!$G$2:$G$801, 0)+1)), "")&lt;&gt;"", IFERROR(INDEX(ERP資料!$A:$A, (MATCH(903, 輔助計算!$G$2:$G$801, 0)+1)), "")&lt;&gt;IFERROR(INDEX(ERP資料!$A:$A, MATCH(902, 輔助計算!$G$2:$G$801, 0)+1), "")), IFERROR(VLOOKUP(LEFT(INDEX(ERP資料!$S:$S, (MATCH(903, 輔助計算!$G$2:$G$801, 0)+1)), 4), 紙管對照表!$A:$C, 3, FALSE), ""), ""), "")</f>
        <v/>
      </c>
      <c r="D904" s="16" t="n"/>
      <c r="E904" s="10">
        <f>IFERROR(IF(INDEX(ERP資料!$H:$H, (MATCH(903, 輔助計算!$G$2:$G$801, 0)+1))="","",INDEX(ERP資料!$H:$H, (MATCH(903, 輔助計算!$G$2:$G$801, 0)+1))), "")</f>
        <v/>
      </c>
      <c r="F904" s="10">
        <f>IFERROR(IF(INDEX(ERP資料!$E:$E, (MATCH(903, 輔助計算!$G$2:$G$801, 0)+1))="","",TRIM(INDEX(ERP資料!$E:$E, (MATCH(903, 輔助計算!$G$2:$G$801, 0)+1)))), "")</f>
        <v/>
      </c>
      <c r="G904" s="10">
        <f>IFERROR(IF(INDEX(ERP資料!$F:$F, (MATCH(903, 輔助計算!$G$2:$G$801, 0)+1))="","",INDEX(ERP資料!$F:$F, (MATCH(903, 輔助計算!$G$2:$G$801, 0)+1))), "")</f>
        <v/>
      </c>
      <c r="H904" s="10">
        <f>IFERROR(IF(INDEX(ERP資料!$G:$G, (MATCH(903, 輔助計算!$G$2:$G$801, 0)+1))="","",INDEX(ERP資料!$G:$G, (MATCH(903, 輔助計算!$G$2:$G$801, 0)+1))), "")</f>
        <v/>
      </c>
      <c r="I904" s="15">
        <f>IFERROR(INDEX(輔助計算!$D:$D, (MATCH(903, 輔助計算!$G$2:$G$801, 0)+1)), "")</f>
        <v/>
      </c>
      <c r="J904" s="15">
        <f>IFERROR(IF(AND(INDEX(輔助計算!$D:$D, (MATCH(903, 輔助計算!$G$2:$G$801, 0)+1))&lt;&gt;"", INDEX(ERP資料!$G:$G, (MATCH(903, 輔助計算!$G$2:$G$801, 0)+1))&lt;&gt;""), TRIM(IF(INT(INDEX(輔助計算!$D:$D, (MATCH(903, 輔助計算!$G$2:$G$801, 0)+1))/IF(INDEX(ERP資料!$G:$G, (MATCH(903, 輔助計算!$G$2:$G$801, 0)+1))&lt;100, IF(INDEX(ERP資料!$G:$G, (MATCH(903, 輔助計算!$G$2:$G$801, 0)+1))&lt;=31,3,IF(INDEX(ERP資料!$G:$G, (MATCH(903, 輔助計算!$G$2:$G$801, 0)+1))&lt;=46.5,2,1)), IF(INDEX(ERP資料!$G:$G, (MATCH(903, 輔助計算!$G$2:$G$801, 0)+1))&lt;=790,3,IF(INDEX(ERP資料!$G:$G, (MATCH(903, 輔助計算!$G$2:$G$801, 0)+1))&lt;=1181,2,1))))&gt;0, IF(IF(INDEX(ERP資料!$G:$G, (MATCH(903, 輔助計算!$G$2:$G$801, 0)+1))&lt;100, IF(INDEX(ERP資料!$G:$G, (MATCH(903, 輔助計算!$G$2:$G$801, 0)+1))&lt;=31,3,IF(INDEX(ERP資料!$G:$G, (MATCH(903, 輔助計算!$G$2:$G$801, 0)+1))&lt;=46.5,2,1)), IF(INDEX(ERP資料!$G:$G, (MATCH(903, 輔助計算!$G$2:$G$801, 0)+1))&lt;=790,3,IF(INDEX(ERP資料!$G:$G, (MATCH(903, 輔助計算!$G$2:$G$801, 0)+1))&lt;=1181,2,1)))=1,TEXT(INDEX(ERP資料!$G:$G, (MATCH(903, 輔助計算!$G$2:$G$801, 0)+1)),"0.##"),IF(IF(INDEX(ERP資料!$G:$G, (MATCH(903, 輔助計算!$G$2:$G$801, 0)+1))&lt;100, IF(INDEX(ERP資料!$G:$G, (MATCH(903, 輔助計算!$G$2:$G$801, 0)+1))&lt;=31,3,IF(INDEX(ERP資料!$G:$G, (MATCH(903, 輔助計算!$G$2:$G$801, 0)+1))&lt;=46.5,2,1)), IF(INDEX(ERP資料!$G:$G, (MATCH(903, 輔助計算!$G$2:$G$801, 0)+1))&lt;=790,3,IF(INDEX(ERP資料!$G:$G, (MATCH(903, 輔助計算!$G$2:$G$801, 0)+1))&lt;=1181,2,1)))=2,TEXT(INDEX(ERP資料!$G:$G, (MATCH(903, 輔助計算!$G$2:$G$801, 0)+1)),"0.##")&amp;"+"&amp;TEXT(INDEX(ERP資料!$G:$G, (MATCH(903, 輔助計算!$G$2:$G$801, 0)+1)),"0.##"),TEXT(INDEX(ERP資料!$G:$G, (MATCH(903, 輔助計算!$G$2:$G$801, 0)+1)),"0.##")&amp;"+"&amp;TEXT(INDEX(ERP資料!$G:$G, (MATCH(903, 輔助計算!$G$2:$G$801, 0)+1)),"0.##")&amp;"+"&amp;TEXT(INDEX(ERP資料!$G:$G, (MATCH(903, 輔助計算!$G$2:$G$801, 0)+1)),"0.##")))&amp;"-"&amp;INT(INDEX(輔助計算!$D:$D, (MATCH(903, 輔助計算!$G$2:$G$801, 0)+1))/IF(INDEX(ERP資料!$G:$G, (MATCH(903, 輔助計算!$G$2:$G$801, 0)+1))&lt;100, IF(INDEX(ERP資料!$G:$G, (MATCH(903, 輔助計算!$G$2:$G$801, 0)+1))&lt;=31,3,IF(INDEX(ERP資料!$G:$G, (MATCH(903, 輔助計算!$G$2:$G$801, 0)+1))&lt;=46.5,2,1)), IF(INDEX(ERP資料!$G:$G, (MATCH(903, 輔助計算!$G$2:$G$801, 0)+1))&lt;=790,3,IF(INDEX(ERP資料!$G:$G, (MATCH(903, 輔助計算!$G$2:$G$801, 0)+1))&lt;=1181,2,1)))), "")&amp;IF(AND(IF(INT(INDEX(輔助計算!$D:$D, (MATCH(903, 輔助計算!$G$2:$G$801, 0)+1))/IF(INDEX(ERP資料!$G:$G, (MATCH(903, 輔助計算!$G$2:$G$801, 0)+1))&lt;100, IF(INDEX(ERP資料!$G:$G, (MATCH(903, 輔助計算!$G$2:$G$801, 0)+1))&lt;=31,3,IF(INDEX(ERP資料!$G:$G, (MATCH(903, 輔助計算!$G$2:$G$801, 0)+1))&lt;=46.5,2,1)), IF(INDEX(ERP資料!$G:$G, (MATCH(903, 輔助計算!$G$2:$G$801, 0)+1))&lt;=790,3,IF(INDEX(ERP資料!$G:$G, (MATCH(903, 輔助計算!$G$2:$G$801, 0)+1))&lt;=1181,2,1))))&gt;0, IF(IF(INDEX(ERP資料!$G:$G, (MATCH(903, 輔助計算!$G$2:$G$801, 0)+1))&lt;100, IF(INDEX(ERP資料!$G:$G, (MATCH(903, 輔助計算!$G$2:$G$801, 0)+1))&lt;=31,3,IF(INDEX(ERP資料!$G:$G, (MATCH(903, 輔助計算!$G$2:$G$801, 0)+1))&lt;=46.5,2,1)), IF(INDEX(ERP資料!$G:$G, (MATCH(903, 輔助計算!$G$2:$G$801, 0)+1))&lt;=790,3,IF(INDEX(ERP資料!$G:$G, (MATCH(903, 輔助計算!$G$2:$G$801, 0)+1))&lt;=1181,2,1)))=1,TEXT(INDEX(ERP資料!$G:$G, (MATCH(903, 輔助計算!$G$2:$G$801, 0)+1)),"0.##"),IF(IF(INDEX(ERP資料!$G:$G, (MATCH(903, 輔助計算!$G$2:$G$801, 0)+1))&lt;100, IF(INDEX(ERP資料!$G:$G, (MATCH(903, 輔助計算!$G$2:$G$801, 0)+1))&lt;=31,3,IF(INDEX(ERP資料!$G:$G, (MATCH(903, 輔助計算!$G$2:$G$801, 0)+1))&lt;=46.5,2,1)), IF(INDEX(ERP資料!$G:$G, (MATCH(903, 輔助計算!$G$2:$G$801, 0)+1))&lt;=790,3,IF(INDEX(ERP資料!$G:$G, (MATCH(903, 輔助計算!$G$2:$G$801, 0)+1))&lt;=1181,2,1)))=2,TEXT(INDEX(ERP資料!$G:$G, (MATCH(903, 輔助計算!$G$2:$G$801, 0)+1)),"0.##")&amp;"+"&amp;TEXT(INDEX(ERP資料!$G:$G, (MATCH(903, 輔助計算!$G$2:$G$801, 0)+1)),"0.##"),TEXT(INDEX(ERP資料!$G:$G, (MATCH(903, 輔助計算!$G$2:$G$801, 0)+1)),"0.##")&amp;"+"&amp;TEXT(INDEX(ERP資料!$G:$G, (MATCH(903, 輔助計算!$G$2:$G$801, 0)+1)),"0.##")&amp;"+"&amp;TEXT(INDEX(ERP資料!$G:$G, (MATCH(903, 輔助計算!$G$2:$G$801, 0)+1)),"0.##")))&amp;"-"&amp;INT(INDEX(輔助計算!$D:$D, (MATCH(903, 輔助計算!$G$2:$G$801, 0)+1))/IF(INDEX(ERP資料!$G:$G, (MATCH(903, 輔助計算!$G$2:$G$801, 0)+1))&lt;100, IF(INDEX(ERP資料!$G:$G, (MATCH(903, 輔助計算!$G$2:$G$801, 0)+1))&lt;=31,3,IF(INDEX(ERP資料!$G:$G, (MATCH(903, 輔助計算!$G$2:$G$801, 0)+1))&lt;=46.5,2,1)), IF(INDEX(ERP資料!$G:$G, (MATCH(903, 輔助計算!$G$2:$G$801, 0)+1))&lt;=790,3,IF(INDEX(ERP資料!$G:$G, (MATCH(903, 輔助計算!$G$2:$G$801, 0)+1))&lt;=1181,2,1)))), "")&lt;&gt;"",IF(MOD(INDEX(輔助計算!$D:$D, (MATCH(903, 輔助計算!$G$2:$G$801, 0)+1)),IF(INDEX(ERP資料!$G:$G, (MATCH(903, 輔助計算!$G$2:$G$801, 0)+1))&lt;100, IF(INDEX(ERP資料!$G:$G, (MATCH(903, 輔助計算!$G$2:$G$801, 0)+1))&lt;=31,3,IF(INDEX(ERP資料!$G:$G, (MATCH(903, 輔助計算!$G$2:$G$801, 0)+1))&lt;=46.5,2,1)), IF(INDEX(ERP資料!$G:$G, (MATCH(903, 輔助計算!$G$2:$G$801, 0)+1))&lt;=790,3,IF(INDEX(ERP資料!$G:$G, (MATCH(903, 輔助計算!$G$2:$G$801, 0)+1))&lt;=1181,2,1))))=0,"",IF(MOD(INDEX(輔助計算!$D:$D, (MATCH(903, 輔助計算!$G$2:$G$801, 0)+1)),IF(INDEX(ERP資料!$G:$G, (MATCH(903, 輔助計算!$G$2:$G$801, 0)+1))&lt;100, IF(INDEX(ERP資料!$G:$G, (MATCH(903, 輔助計算!$G$2:$G$801, 0)+1))&lt;=31,3,IF(INDEX(ERP資料!$G:$G, (MATCH(903, 輔助計算!$G$2:$G$801, 0)+1))&lt;=46.5,2,1)), IF(INDEX(ERP資料!$G:$G, (MATCH(903, 輔助計算!$G$2:$G$801, 0)+1))&lt;=790,3,IF(INDEX(ERP資料!$G:$G, (MATCH(903, 輔助計算!$G$2:$G$801, 0)+1))&lt;=1181,2,1))))=0,"",IF(MOD(INDEX(輔助計算!$D:$D, (MATCH(903, 輔助計算!$G$2:$G$801, 0)+1)),IF(INDEX(ERP資料!$G:$G, (MATCH(903, 輔助計算!$G$2:$G$801, 0)+1))&lt;100, IF(INDEX(ERP資料!$G:$G, (MATCH(903, 輔助計算!$G$2:$G$801, 0)+1))&lt;=31,3,IF(INDEX(ERP資料!$G:$G, (MATCH(903, 輔助計算!$G$2:$G$801, 0)+1))&lt;=46.5,2,1)), IF(INDEX(ERP資料!$G:$G, (MATCH(903, 輔助計算!$G$2:$G$801, 0)+1))&lt;=790,3,IF(INDEX(ERP資料!$G:$G, (MATCH(903, 輔助計算!$G$2:$G$801, 0)+1))&lt;=1181,2,1))))=1,TEXT(INDEX(ERP資料!$G:$G, (MATCH(903, 輔助計算!$G$2:$G$801, 0)+1)),"0.##"),IF(MOD(INDEX(輔助計算!$D:$D, (MATCH(903, 輔助計算!$G$2:$G$801, 0)+1)),IF(INDEX(ERP資料!$G:$G, (MATCH(903, 輔助計算!$G$2:$G$801, 0)+1))&lt;100, IF(INDEX(ERP資料!$G:$G, (MATCH(903, 輔助計算!$G$2:$G$801, 0)+1))&lt;=31,3,IF(INDEX(ERP資料!$G:$G, (MATCH(903, 輔助計算!$G$2:$G$801, 0)+1))&lt;=46.5,2,1)), IF(INDEX(ERP資料!$G:$G, (MATCH(903, 輔助計算!$G$2:$G$801, 0)+1))&lt;=790,3,IF(INDEX(ERP資料!$G:$G, (MATCH(903, 輔助計算!$G$2:$G$801, 0)+1))&lt;=1181,2,1))))=2,TEXT(INDEX(ERP資料!$G:$G, (MATCH(903, 輔助計算!$G$2:$G$801, 0)+1)),"0.##")&amp;"+"&amp;TEXT(INDEX(ERP資料!$G:$G, (MATCH(903, 輔助計算!$G$2:$G$801, 0)+1)),"0.##"),TEXT(INDEX(ERP資料!$G:$G, (MATCH(903, 輔助計算!$G$2:$G$801, 0)+1)),"0.##")&amp;"+"&amp;TEXT(INDEX(ERP資料!$G:$G, (MATCH(903, 輔助計算!$G$2:$G$801, 0)+1)),"0.##")&amp;"+"&amp;TEXT(INDEX(ERP資料!$G:$G, (MATCH(903, 輔助計算!$G$2:$G$801, 0)+1)),"0.##"))))&amp;"-1")&lt;&gt;""),"  ","")&amp;IF(MOD(INDEX(輔助計算!$D:$D, (MATCH(903, 輔助計算!$G$2:$G$801, 0)+1)),IF(INDEX(ERP資料!$G:$G, (MATCH(903, 輔助計算!$G$2:$G$801, 0)+1))&lt;100, IF(INDEX(ERP資料!$G:$G, (MATCH(903, 輔助計算!$G$2:$G$801, 0)+1))&lt;=31,3,IF(INDEX(ERP資料!$G:$G, (MATCH(903, 輔助計算!$G$2:$G$801, 0)+1))&lt;=46.5,2,1)), IF(INDEX(ERP資料!$G:$G, (MATCH(903, 輔助計算!$G$2:$G$801, 0)+1))&lt;=790,3,IF(INDEX(ERP資料!$G:$G, (MATCH(903, 輔助計算!$G$2:$G$801, 0)+1))&lt;=1181,2,1))))=0,"",IF(MOD(INDEX(輔助計算!$D:$D, (MATCH(903, 輔助計算!$G$2:$G$801, 0)+1)),IF(INDEX(ERP資料!$G:$G, (MATCH(903, 輔助計算!$G$2:$G$801, 0)+1))&lt;100, IF(INDEX(ERP資料!$G:$G, (MATCH(903, 輔助計算!$G$2:$G$801, 0)+1))&lt;=31,3,IF(INDEX(ERP資料!$G:$G, (MATCH(903, 輔助計算!$G$2:$G$801, 0)+1))&lt;=46.5,2,1)), IF(INDEX(ERP資料!$G:$G, (MATCH(903, 輔助計算!$G$2:$G$801, 0)+1))&lt;=790,3,IF(INDEX(ERP資料!$G:$G, (MATCH(903, 輔助計算!$G$2:$G$801, 0)+1))&lt;=1181,2,1))))=0,"",IF(MOD(INDEX(輔助計算!$D:$D, (MATCH(903, 輔助計算!$G$2:$G$801, 0)+1)),IF(INDEX(ERP資料!$G:$G, (MATCH(903, 輔助計算!$G$2:$G$801, 0)+1))&lt;100, IF(INDEX(ERP資料!$G:$G, (MATCH(903, 輔助計算!$G$2:$G$801, 0)+1))&lt;=31,3,IF(INDEX(ERP資料!$G:$G, (MATCH(903, 輔助計算!$G$2:$G$801, 0)+1))&lt;=46.5,2,1)), IF(INDEX(ERP資料!$G:$G, (MATCH(903, 輔助計算!$G$2:$G$801, 0)+1))&lt;=790,3,IF(INDEX(ERP資料!$G:$G, (MATCH(903, 輔助計算!$G$2:$G$801, 0)+1))&lt;=1181,2,1))))=1,TEXT(INDEX(ERP資料!$G:$G, (MATCH(903, 輔助計算!$G$2:$G$801, 0)+1)),"0.##"),IF(MOD(INDEX(輔助計算!$D:$D, (MATCH(903, 輔助計算!$G$2:$G$801, 0)+1)),IF(INDEX(ERP資料!$G:$G, (MATCH(903, 輔助計算!$G$2:$G$801, 0)+1))&lt;100, IF(INDEX(ERP資料!$G:$G, (MATCH(903, 輔助計算!$G$2:$G$801, 0)+1))&lt;=31,3,IF(INDEX(ERP資料!$G:$G, (MATCH(903, 輔助計算!$G$2:$G$801, 0)+1))&lt;=46.5,2,1)), IF(INDEX(ERP資料!$G:$G, (MATCH(903, 輔助計算!$G$2:$G$801, 0)+1))&lt;=790,3,IF(INDEX(ERP資料!$G:$G, (MATCH(903, 輔助計算!$G$2:$G$801, 0)+1))&lt;=1181,2,1))))=2,TEXT(INDEX(ERP資料!$G:$G, (MATCH(903, 輔助計算!$G$2:$G$801, 0)+1)),"0.##")&amp;"+"&amp;TEXT(INDEX(ERP資料!$G:$G, (MATCH(903, 輔助計算!$G$2:$G$801, 0)+1)),"0.##"),TEXT(INDEX(ERP資料!$G:$G, (MATCH(903, 輔助計算!$G$2:$G$801, 0)+1)),"0.##")&amp;"+"&amp;TEXT(INDEX(ERP資料!$G:$G, (MATCH(903, 輔助計算!$G$2:$G$801, 0)+1)),"0.##")&amp;"+"&amp;TEXT(INDEX(ERP資料!$G:$G, (MATCH(903, 輔助計算!$G$2:$G$801, 0)+1)),"0.##"))))&amp;"-1")), ""), "")</f>
        <v/>
      </c>
      <c r="K904" s="16" t="n"/>
      <c r="L904" s="14">
        <f>IFERROR(IF(AND(IFERROR(INDEX(ERP資料!$A:$A, (MATCH(903, 輔助計算!$G$2:$G$801, 0)+1)), "")&lt;&gt;"", IFERROR(INDEX(ERP資料!$A:$A, (MATCH(903, 輔助計算!$G$2:$G$801, 0)+1)), "")&lt;&gt;IFERROR(INDEX(ERP資料!$A:$A, MATCH(902, 輔助計算!$G$2:$G$801, 0)+1), "")), INDEX(ERP資料!$B:$B, (MATCH(903, 輔助計算!$G$2:$G$801, 0)+1)), ""), "")</f>
        <v/>
      </c>
      <c r="M904" s="17" t="n"/>
    </row>
    <row r="905">
      <c r="A905" s="10">
        <f>IFERROR(IF(AND(IFERROR(INDEX(ERP資料!$A:$A, (MATCH(904, 輔助計算!$G$2:$G$801, 0)+1)), "")&lt;&gt;"", IFERROR(INDEX(ERP資料!$A:$A, (MATCH(904, 輔助計算!$G$2:$G$801, 0)+1)), "")&lt;&gt;IFERROR(INDEX(ERP資料!$A:$A, MATCH(903, 輔助計算!$G$2:$G$801, 0)+1), "")), IFERROR(INDEX(ERP資料!$A:$A, (MATCH(904, 輔助計算!$G$2:$G$801, 0)+1)), ""), ""), "")</f>
        <v/>
      </c>
      <c r="B905" s="10">
        <f>IFERROR(IF(AND(IFERROR(INDEX(ERP資料!$A:$A, (MATCH(904, 輔助計算!$G$2:$G$801, 0)+1)), "")&lt;&gt;"", IFERROR(INDEX(ERP資料!$A:$A, (MATCH(904, 輔助計算!$G$2:$G$801, 0)+1)), "")&lt;&gt;IFERROR(INDEX(ERP資料!$A:$A, MATCH(903, 輔助計算!$G$2:$G$801, 0)+1), "")), INDEX(ERP資料!$S:$S, (MATCH(904, 輔助計算!$G$2:$G$801, 0)+1)), ""), "")</f>
        <v/>
      </c>
      <c r="C905" s="19">
        <f>IFERROR(IF(AND(IFERROR(INDEX(ERP資料!$A:$A, (MATCH(904, 輔助計算!$G$2:$G$801, 0)+1)), "")&lt;&gt;"", IFERROR(INDEX(ERP資料!$A:$A, (MATCH(904, 輔助計算!$G$2:$G$801, 0)+1)), "")&lt;&gt;IFERROR(INDEX(ERP資料!$A:$A, MATCH(903, 輔助計算!$G$2:$G$801, 0)+1), "")), IFERROR(VLOOKUP(LEFT(INDEX(ERP資料!$S:$S, (MATCH(904, 輔助計算!$G$2:$G$801, 0)+1)), 4), 紙管對照表!$A:$C, 3, FALSE), ""), ""), "")</f>
        <v/>
      </c>
      <c r="D905" s="16" t="n"/>
      <c r="E905" s="10">
        <f>IFERROR(IF(INDEX(ERP資料!$H:$H, (MATCH(904, 輔助計算!$G$2:$G$801, 0)+1))="","",INDEX(ERP資料!$H:$H, (MATCH(904, 輔助計算!$G$2:$G$801, 0)+1))), "")</f>
        <v/>
      </c>
      <c r="F905" s="10">
        <f>IFERROR(IF(INDEX(ERP資料!$E:$E, (MATCH(904, 輔助計算!$G$2:$G$801, 0)+1))="","",TRIM(INDEX(ERP資料!$E:$E, (MATCH(904, 輔助計算!$G$2:$G$801, 0)+1)))), "")</f>
        <v/>
      </c>
      <c r="G905" s="10">
        <f>IFERROR(IF(INDEX(ERP資料!$F:$F, (MATCH(904, 輔助計算!$G$2:$G$801, 0)+1))="","",INDEX(ERP資料!$F:$F, (MATCH(904, 輔助計算!$G$2:$G$801, 0)+1))), "")</f>
        <v/>
      </c>
      <c r="H905" s="10">
        <f>IFERROR(IF(INDEX(ERP資料!$G:$G, (MATCH(904, 輔助計算!$G$2:$G$801, 0)+1))="","",INDEX(ERP資料!$G:$G, (MATCH(904, 輔助計算!$G$2:$G$801, 0)+1))), "")</f>
        <v/>
      </c>
      <c r="I905" s="15">
        <f>IFERROR(INDEX(輔助計算!$D:$D, (MATCH(904, 輔助計算!$G$2:$G$801, 0)+1)), "")</f>
        <v/>
      </c>
      <c r="J905" s="15">
        <f>IFERROR(IF(AND(INDEX(輔助計算!$D:$D, (MATCH(904, 輔助計算!$G$2:$G$801, 0)+1))&lt;&gt;"", INDEX(ERP資料!$G:$G, (MATCH(904, 輔助計算!$G$2:$G$801, 0)+1))&lt;&gt;""), TRIM(IF(INT(INDEX(輔助計算!$D:$D, (MATCH(904, 輔助計算!$G$2:$G$801, 0)+1))/IF(INDEX(ERP資料!$G:$G, (MATCH(904, 輔助計算!$G$2:$G$801, 0)+1))&lt;100, IF(INDEX(ERP資料!$G:$G, (MATCH(904, 輔助計算!$G$2:$G$801, 0)+1))&lt;=31,3,IF(INDEX(ERP資料!$G:$G, (MATCH(904, 輔助計算!$G$2:$G$801, 0)+1))&lt;=46.5,2,1)), IF(INDEX(ERP資料!$G:$G, (MATCH(904, 輔助計算!$G$2:$G$801, 0)+1))&lt;=790,3,IF(INDEX(ERP資料!$G:$G, (MATCH(904, 輔助計算!$G$2:$G$801, 0)+1))&lt;=1181,2,1))))&gt;0, IF(IF(INDEX(ERP資料!$G:$G, (MATCH(904, 輔助計算!$G$2:$G$801, 0)+1))&lt;100, IF(INDEX(ERP資料!$G:$G, (MATCH(904, 輔助計算!$G$2:$G$801, 0)+1))&lt;=31,3,IF(INDEX(ERP資料!$G:$G, (MATCH(904, 輔助計算!$G$2:$G$801, 0)+1))&lt;=46.5,2,1)), IF(INDEX(ERP資料!$G:$G, (MATCH(904, 輔助計算!$G$2:$G$801, 0)+1))&lt;=790,3,IF(INDEX(ERP資料!$G:$G, (MATCH(904, 輔助計算!$G$2:$G$801, 0)+1))&lt;=1181,2,1)))=1,TEXT(INDEX(ERP資料!$G:$G, (MATCH(904, 輔助計算!$G$2:$G$801, 0)+1)),"0.##"),IF(IF(INDEX(ERP資料!$G:$G, (MATCH(904, 輔助計算!$G$2:$G$801, 0)+1))&lt;100, IF(INDEX(ERP資料!$G:$G, (MATCH(904, 輔助計算!$G$2:$G$801, 0)+1))&lt;=31,3,IF(INDEX(ERP資料!$G:$G, (MATCH(904, 輔助計算!$G$2:$G$801, 0)+1))&lt;=46.5,2,1)), IF(INDEX(ERP資料!$G:$G, (MATCH(904, 輔助計算!$G$2:$G$801, 0)+1))&lt;=790,3,IF(INDEX(ERP資料!$G:$G, (MATCH(904, 輔助計算!$G$2:$G$801, 0)+1))&lt;=1181,2,1)))=2,TEXT(INDEX(ERP資料!$G:$G, (MATCH(904, 輔助計算!$G$2:$G$801, 0)+1)),"0.##")&amp;"+"&amp;TEXT(INDEX(ERP資料!$G:$G, (MATCH(904, 輔助計算!$G$2:$G$801, 0)+1)),"0.##"),TEXT(INDEX(ERP資料!$G:$G, (MATCH(904, 輔助計算!$G$2:$G$801, 0)+1)),"0.##")&amp;"+"&amp;TEXT(INDEX(ERP資料!$G:$G, (MATCH(904, 輔助計算!$G$2:$G$801, 0)+1)),"0.##")&amp;"+"&amp;TEXT(INDEX(ERP資料!$G:$G, (MATCH(904, 輔助計算!$G$2:$G$801, 0)+1)),"0.##")))&amp;"-"&amp;INT(INDEX(輔助計算!$D:$D, (MATCH(904, 輔助計算!$G$2:$G$801, 0)+1))/IF(INDEX(ERP資料!$G:$G, (MATCH(904, 輔助計算!$G$2:$G$801, 0)+1))&lt;100, IF(INDEX(ERP資料!$G:$G, (MATCH(904, 輔助計算!$G$2:$G$801, 0)+1))&lt;=31,3,IF(INDEX(ERP資料!$G:$G, (MATCH(904, 輔助計算!$G$2:$G$801, 0)+1))&lt;=46.5,2,1)), IF(INDEX(ERP資料!$G:$G, (MATCH(904, 輔助計算!$G$2:$G$801, 0)+1))&lt;=790,3,IF(INDEX(ERP資料!$G:$G, (MATCH(904, 輔助計算!$G$2:$G$801, 0)+1))&lt;=1181,2,1)))), "")&amp;IF(AND(IF(INT(INDEX(輔助計算!$D:$D, (MATCH(904, 輔助計算!$G$2:$G$801, 0)+1))/IF(INDEX(ERP資料!$G:$G, (MATCH(904, 輔助計算!$G$2:$G$801, 0)+1))&lt;100, IF(INDEX(ERP資料!$G:$G, (MATCH(904, 輔助計算!$G$2:$G$801, 0)+1))&lt;=31,3,IF(INDEX(ERP資料!$G:$G, (MATCH(904, 輔助計算!$G$2:$G$801, 0)+1))&lt;=46.5,2,1)), IF(INDEX(ERP資料!$G:$G, (MATCH(904, 輔助計算!$G$2:$G$801, 0)+1))&lt;=790,3,IF(INDEX(ERP資料!$G:$G, (MATCH(904, 輔助計算!$G$2:$G$801, 0)+1))&lt;=1181,2,1))))&gt;0, IF(IF(INDEX(ERP資料!$G:$G, (MATCH(904, 輔助計算!$G$2:$G$801, 0)+1))&lt;100, IF(INDEX(ERP資料!$G:$G, (MATCH(904, 輔助計算!$G$2:$G$801, 0)+1))&lt;=31,3,IF(INDEX(ERP資料!$G:$G, (MATCH(904, 輔助計算!$G$2:$G$801, 0)+1))&lt;=46.5,2,1)), IF(INDEX(ERP資料!$G:$G, (MATCH(904, 輔助計算!$G$2:$G$801, 0)+1))&lt;=790,3,IF(INDEX(ERP資料!$G:$G, (MATCH(904, 輔助計算!$G$2:$G$801, 0)+1))&lt;=1181,2,1)))=1,TEXT(INDEX(ERP資料!$G:$G, (MATCH(904, 輔助計算!$G$2:$G$801, 0)+1)),"0.##"),IF(IF(INDEX(ERP資料!$G:$G, (MATCH(904, 輔助計算!$G$2:$G$801, 0)+1))&lt;100, IF(INDEX(ERP資料!$G:$G, (MATCH(904, 輔助計算!$G$2:$G$801, 0)+1))&lt;=31,3,IF(INDEX(ERP資料!$G:$G, (MATCH(904, 輔助計算!$G$2:$G$801, 0)+1))&lt;=46.5,2,1)), IF(INDEX(ERP資料!$G:$G, (MATCH(904, 輔助計算!$G$2:$G$801, 0)+1))&lt;=790,3,IF(INDEX(ERP資料!$G:$G, (MATCH(904, 輔助計算!$G$2:$G$801, 0)+1))&lt;=1181,2,1)))=2,TEXT(INDEX(ERP資料!$G:$G, (MATCH(904, 輔助計算!$G$2:$G$801, 0)+1)),"0.##")&amp;"+"&amp;TEXT(INDEX(ERP資料!$G:$G, (MATCH(904, 輔助計算!$G$2:$G$801, 0)+1)),"0.##"),TEXT(INDEX(ERP資料!$G:$G, (MATCH(904, 輔助計算!$G$2:$G$801, 0)+1)),"0.##")&amp;"+"&amp;TEXT(INDEX(ERP資料!$G:$G, (MATCH(904, 輔助計算!$G$2:$G$801, 0)+1)),"0.##")&amp;"+"&amp;TEXT(INDEX(ERP資料!$G:$G, (MATCH(904, 輔助計算!$G$2:$G$801, 0)+1)),"0.##")))&amp;"-"&amp;INT(INDEX(輔助計算!$D:$D, (MATCH(904, 輔助計算!$G$2:$G$801, 0)+1))/IF(INDEX(ERP資料!$G:$G, (MATCH(904, 輔助計算!$G$2:$G$801, 0)+1))&lt;100, IF(INDEX(ERP資料!$G:$G, (MATCH(904, 輔助計算!$G$2:$G$801, 0)+1))&lt;=31,3,IF(INDEX(ERP資料!$G:$G, (MATCH(904, 輔助計算!$G$2:$G$801, 0)+1))&lt;=46.5,2,1)), IF(INDEX(ERP資料!$G:$G, (MATCH(904, 輔助計算!$G$2:$G$801, 0)+1))&lt;=790,3,IF(INDEX(ERP資料!$G:$G, (MATCH(904, 輔助計算!$G$2:$G$801, 0)+1))&lt;=1181,2,1)))), "")&lt;&gt;"",IF(MOD(INDEX(輔助計算!$D:$D, (MATCH(904, 輔助計算!$G$2:$G$801, 0)+1)),IF(INDEX(ERP資料!$G:$G, (MATCH(904, 輔助計算!$G$2:$G$801, 0)+1))&lt;100, IF(INDEX(ERP資料!$G:$G, (MATCH(904, 輔助計算!$G$2:$G$801, 0)+1))&lt;=31,3,IF(INDEX(ERP資料!$G:$G, (MATCH(904, 輔助計算!$G$2:$G$801, 0)+1))&lt;=46.5,2,1)), IF(INDEX(ERP資料!$G:$G, (MATCH(904, 輔助計算!$G$2:$G$801, 0)+1))&lt;=790,3,IF(INDEX(ERP資料!$G:$G, (MATCH(904, 輔助計算!$G$2:$G$801, 0)+1))&lt;=1181,2,1))))=0,"",IF(MOD(INDEX(輔助計算!$D:$D, (MATCH(904, 輔助計算!$G$2:$G$801, 0)+1)),IF(INDEX(ERP資料!$G:$G, (MATCH(904, 輔助計算!$G$2:$G$801, 0)+1))&lt;100, IF(INDEX(ERP資料!$G:$G, (MATCH(904, 輔助計算!$G$2:$G$801, 0)+1))&lt;=31,3,IF(INDEX(ERP資料!$G:$G, (MATCH(904, 輔助計算!$G$2:$G$801, 0)+1))&lt;=46.5,2,1)), IF(INDEX(ERP資料!$G:$G, (MATCH(904, 輔助計算!$G$2:$G$801, 0)+1))&lt;=790,3,IF(INDEX(ERP資料!$G:$G, (MATCH(904, 輔助計算!$G$2:$G$801, 0)+1))&lt;=1181,2,1))))=0,"",IF(MOD(INDEX(輔助計算!$D:$D, (MATCH(904, 輔助計算!$G$2:$G$801, 0)+1)),IF(INDEX(ERP資料!$G:$G, (MATCH(904, 輔助計算!$G$2:$G$801, 0)+1))&lt;100, IF(INDEX(ERP資料!$G:$G, (MATCH(904, 輔助計算!$G$2:$G$801, 0)+1))&lt;=31,3,IF(INDEX(ERP資料!$G:$G, (MATCH(904, 輔助計算!$G$2:$G$801, 0)+1))&lt;=46.5,2,1)), IF(INDEX(ERP資料!$G:$G, (MATCH(904, 輔助計算!$G$2:$G$801, 0)+1))&lt;=790,3,IF(INDEX(ERP資料!$G:$G, (MATCH(904, 輔助計算!$G$2:$G$801, 0)+1))&lt;=1181,2,1))))=1,TEXT(INDEX(ERP資料!$G:$G, (MATCH(904, 輔助計算!$G$2:$G$801, 0)+1)),"0.##"),IF(MOD(INDEX(輔助計算!$D:$D, (MATCH(904, 輔助計算!$G$2:$G$801, 0)+1)),IF(INDEX(ERP資料!$G:$G, (MATCH(904, 輔助計算!$G$2:$G$801, 0)+1))&lt;100, IF(INDEX(ERP資料!$G:$G, (MATCH(904, 輔助計算!$G$2:$G$801, 0)+1))&lt;=31,3,IF(INDEX(ERP資料!$G:$G, (MATCH(904, 輔助計算!$G$2:$G$801, 0)+1))&lt;=46.5,2,1)), IF(INDEX(ERP資料!$G:$G, (MATCH(904, 輔助計算!$G$2:$G$801, 0)+1))&lt;=790,3,IF(INDEX(ERP資料!$G:$G, (MATCH(904, 輔助計算!$G$2:$G$801, 0)+1))&lt;=1181,2,1))))=2,TEXT(INDEX(ERP資料!$G:$G, (MATCH(904, 輔助計算!$G$2:$G$801, 0)+1)),"0.##")&amp;"+"&amp;TEXT(INDEX(ERP資料!$G:$G, (MATCH(904, 輔助計算!$G$2:$G$801, 0)+1)),"0.##"),TEXT(INDEX(ERP資料!$G:$G, (MATCH(904, 輔助計算!$G$2:$G$801, 0)+1)),"0.##")&amp;"+"&amp;TEXT(INDEX(ERP資料!$G:$G, (MATCH(904, 輔助計算!$G$2:$G$801, 0)+1)),"0.##")&amp;"+"&amp;TEXT(INDEX(ERP資料!$G:$G, (MATCH(904, 輔助計算!$G$2:$G$801, 0)+1)),"0.##"))))&amp;"-1")&lt;&gt;""),"  ","")&amp;IF(MOD(INDEX(輔助計算!$D:$D, (MATCH(904, 輔助計算!$G$2:$G$801, 0)+1)),IF(INDEX(ERP資料!$G:$G, (MATCH(904, 輔助計算!$G$2:$G$801, 0)+1))&lt;100, IF(INDEX(ERP資料!$G:$G, (MATCH(904, 輔助計算!$G$2:$G$801, 0)+1))&lt;=31,3,IF(INDEX(ERP資料!$G:$G, (MATCH(904, 輔助計算!$G$2:$G$801, 0)+1))&lt;=46.5,2,1)), IF(INDEX(ERP資料!$G:$G, (MATCH(904, 輔助計算!$G$2:$G$801, 0)+1))&lt;=790,3,IF(INDEX(ERP資料!$G:$G, (MATCH(904, 輔助計算!$G$2:$G$801, 0)+1))&lt;=1181,2,1))))=0,"",IF(MOD(INDEX(輔助計算!$D:$D, (MATCH(904, 輔助計算!$G$2:$G$801, 0)+1)),IF(INDEX(ERP資料!$G:$G, (MATCH(904, 輔助計算!$G$2:$G$801, 0)+1))&lt;100, IF(INDEX(ERP資料!$G:$G, (MATCH(904, 輔助計算!$G$2:$G$801, 0)+1))&lt;=31,3,IF(INDEX(ERP資料!$G:$G, (MATCH(904, 輔助計算!$G$2:$G$801, 0)+1))&lt;=46.5,2,1)), IF(INDEX(ERP資料!$G:$G, (MATCH(904, 輔助計算!$G$2:$G$801, 0)+1))&lt;=790,3,IF(INDEX(ERP資料!$G:$G, (MATCH(904, 輔助計算!$G$2:$G$801, 0)+1))&lt;=1181,2,1))))=0,"",IF(MOD(INDEX(輔助計算!$D:$D, (MATCH(904, 輔助計算!$G$2:$G$801, 0)+1)),IF(INDEX(ERP資料!$G:$G, (MATCH(904, 輔助計算!$G$2:$G$801, 0)+1))&lt;100, IF(INDEX(ERP資料!$G:$G, (MATCH(904, 輔助計算!$G$2:$G$801, 0)+1))&lt;=31,3,IF(INDEX(ERP資料!$G:$G, (MATCH(904, 輔助計算!$G$2:$G$801, 0)+1))&lt;=46.5,2,1)), IF(INDEX(ERP資料!$G:$G, (MATCH(904, 輔助計算!$G$2:$G$801, 0)+1))&lt;=790,3,IF(INDEX(ERP資料!$G:$G, (MATCH(904, 輔助計算!$G$2:$G$801, 0)+1))&lt;=1181,2,1))))=1,TEXT(INDEX(ERP資料!$G:$G, (MATCH(904, 輔助計算!$G$2:$G$801, 0)+1)),"0.##"),IF(MOD(INDEX(輔助計算!$D:$D, (MATCH(904, 輔助計算!$G$2:$G$801, 0)+1)),IF(INDEX(ERP資料!$G:$G, (MATCH(904, 輔助計算!$G$2:$G$801, 0)+1))&lt;100, IF(INDEX(ERP資料!$G:$G, (MATCH(904, 輔助計算!$G$2:$G$801, 0)+1))&lt;=31,3,IF(INDEX(ERP資料!$G:$G, (MATCH(904, 輔助計算!$G$2:$G$801, 0)+1))&lt;=46.5,2,1)), IF(INDEX(ERP資料!$G:$G, (MATCH(904, 輔助計算!$G$2:$G$801, 0)+1))&lt;=790,3,IF(INDEX(ERP資料!$G:$G, (MATCH(904, 輔助計算!$G$2:$G$801, 0)+1))&lt;=1181,2,1))))=2,TEXT(INDEX(ERP資料!$G:$G, (MATCH(904, 輔助計算!$G$2:$G$801, 0)+1)),"0.##")&amp;"+"&amp;TEXT(INDEX(ERP資料!$G:$G, (MATCH(904, 輔助計算!$G$2:$G$801, 0)+1)),"0.##"),TEXT(INDEX(ERP資料!$G:$G, (MATCH(904, 輔助計算!$G$2:$G$801, 0)+1)),"0.##")&amp;"+"&amp;TEXT(INDEX(ERP資料!$G:$G, (MATCH(904, 輔助計算!$G$2:$G$801, 0)+1)),"0.##")&amp;"+"&amp;TEXT(INDEX(ERP資料!$G:$G, (MATCH(904, 輔助計算!$G$2:$G$801, 0)+1)),"0.##"))))&amp;"-1")), ""), "")</f>
        <v/>
      </c>
      <c r="K905" s="16" t="n"/>
      <c r="L905" s="14">
        <f>IFERROR(IF(AND(IFERROR(INDEX(ERP資料!$A:$A, (MATCH(904, 輔助計算!$G$2:$G$801, 0)+1)), "")&lt;&gt;"", IFERROR(INDEX(ERP資料!$A:$A, (MATCH(904, 輔助計算!$G$2:$G$801, 0)+1)), "")&lt;&gt;IFERROR(INDEX(ERP資料!$A:$A, MATCH(903, 輔助計算!$G$2:$G$801, 0)+1), "")), INDEX(ERP資料!$B:$B, (MATCH(904, 輔助計算!$G$2:$G$801, 0)+1)), ""), "")</f>
        <v/>
      </c>
      <c r="M905" s="17" t="n"/>
    </row>
    <row r="906">
      <c r="A906" s="10">
        <f>IFERROR(IF(AND(IFERROR(INDEX(ERP資料!$A:$A, (MATCH(905, 輔助計算!$G$2:$G$801, 0)+1)), "")&lt;&gt;"", IFERROR(INDEX(ERP資料!$A:$A, (MATCH(905, 輔助計算!$G$2:$G$801, 0)+1)), "")&lt;&gt;IFERROR(INDEX(ERP資料!$A:$A, MATCH(904, 輔助計算!$G$2:$G$801, 0)+1), "")), IFERROR(INDEX(ERP資料!$A:$A, (MATCH(905, 輔助計算!$G$2:$G$801, 0)+1)), ""), ""), "")</f>
        <v/>
      </c>
      <c r="B906" s="10">
        <f>IFERROR(IF(AND(IFERROR(INDEX(ERP資料!$A:$A, (MATCH(905, 輔助計算!$G$2:$G$801, 0)+1)), "")&lt;&gt;"", IFERROR(INDEX(ERP資料!$A:$A, (MATCH(905, 輔助計算!$G$2:$G$801, 0)+1)), "")&lt;&gt;IFERROR(INDEX(ERP資料!$A:$A, MATCH(904, 輔助計算!$G$2:$G$801, 0)+1), "")), INDEX(ERP資料!$S:$S, (MATCH(905, 輔助計算!$G$2:$G$801, 0)+1)), ""), "")</f>
        <v/>
      </c>
      <c r="C906" s="19">
        <f>IFERROR(IF(AND(IFERROR(INDEX(ERP資料!$A:$A, (MATCH(905, 輔助計算!$G$2:$G$801, 0)+1)), "")&lt;&gt;"", IFERROR(INDEX(ERP資料!$A:$A, (MATCH(905, 輔助計算!$G$2:$G$801, 0)+1)), "")&lt;&gt;IFERROR(INDEX(ERP資料!$A:$A, MATCH(904, 輔助計算!$G$2:$G$801, 0)+1), "")), IFERROR(VLOOKUP(LEFT(INDEX(ERP資料!$S:$S, (MATCH(905, 輔助計算!$G$2:$G$801, 0)+1)), 4), 紙管對照表!$A:$C, 3, FALSE), ""), ""), "")</f>
        <v/>
      </c>
      <c r="D906" s="16" t="n"/>
      <c r="E906" s="10">
        <f>IFERROR(IF(INDEX(ERP資料!$H:$H, (MATCH(905, 輔助計算!$G$2:$G$801, 0)+1))="","",INDEX(ERP資料!$H:$H, (MATCH(905, 輔助計算!$G$2:$G$801, 0)+1))), "")</f>
        <v/>
      </c>
      <c r="F906" s="10">
        <f>IFERROR(IF(INDEX(ERP資料!$E:$E, (MATCH(905, 輔助計算!$G$2:$G$801, 0)+1))="","",TRIM(INDEX(ERP資料!$E:$E, (MATCH(905, 輔助計算!$G$2:$G$801, 0)+1)))), "")</f>
        <v/>
      </c>
      <c r="G906" s="10">
        <f>IFERROR(IF(INDEX(ERP資料!$F:$F, (MATCH(905, 輔助計算!$G$2:$G$801, 0)+1))="","",INDEX(ERP資料!$F:$F, (MATCH(905, 輔助計算!$G$2:$G$801, 0)+1))), "")</f>
        <v/>
      </c>
      <c r="H906" s="10">
        <f>IFERROR(IF(INDEX(ERP資料!$G:$G, (MATCH(905, 輔助計算!$G$2:$G$801, 0)+1))="","",INDEX(ERP資料!$G:$G, (MATCH(905, 輔助計算!$G$2:$G$801, 0)+1))), "")</f>
        <v/>
      </c>
      <c r="I906" s="15">
        <f>IFERROR(INDEX(輔助計算!$D:$D, (MATCH(905, 輔助計算!$G$2:$G$801, 0)+1)), "")</f>
        <v/>
      </c>
      <c r="J906" s="15">
        <f>IFERROR(IF(AND(INDEX(輔助計算!$D:$D, (MATCH(905, 輔助計算!$G$2:$G$801, 0)+1))&lt;&gt;"", INDEX(ERP資料!$G:$G, (MATCH(905, 輔助計算!$G$2:$G$801, 0)+1))&lt;&gt;""), TRIM(IF(INT(INDEX(輔助計算!$D:$D, (MATCH(905, 輔助計算!$G$2:$G$801, 0)+1))/IF(INDEX(ERP資料!$G:$G, (MATCH(905, 輔助計算!$G$2:$G$801, 0)+1))&lt;100, IF(INDEX(ERP資料!$G:$G, (MATCH(905, 輔助計算!$G$2:$G$801, 0)+1))&lt;=31,3,IF(INDEX(ERP資料!$G:$G, (MATCH(905, 輔助計算!$G$2:$G$801, 0)+1))&lt;=46.5,2,1)), IF(INDEX(ERP資料!$G:$G, (MATCH(905, 輔助計算!$G$2:$G$801, 0)+1))&lt;=790,3,IF(INDEX(ERP資料!$G:$G, (MATCH(905, 輔助計算!$G$2:$G$801, 0)+1))&lt;=1181,2,1))))&gt;0, IF(IF(INDEX(ERP資料!$G:$G, (MATCH(905, 輔助計算!$G$2:$G$801, 0)+1))&lt;100, IF(INDEX(ERP資料!$G:$G, (MATCH(905, 輔助計算!$G$2:$G$801, 0)+1))&lt;=31,3,IF(INDEX(ERP資料!$G:$G, (MATCH(905, 輔助計算!$G$2:$G$801, 0)+1))&lt;=46.5,2,1)), IF(INDEX(ERP資料!$G:$G, (MATCH(905, 輔助計算!$G$2:$G$801, 0)+1))&lt;=790,3,IF(INDEX(ERP資料!$G:$G, (MATCH(905, 輔助計算!$G$2:$G$801, 0)+1))&lt;=1181,2,1)))=1,TEXT(INDEX(ERP資料!$G:$G, (MATCH(905, 輔助計算!$G$2:$G$801, 0)+1)),"0.##"),IF(IF(INDEX(ERP資料!$G:$G, (MATCH(905, 輔助計算!$G$2:$G$801, 0)+1))&lt;100, IF(INDEX(ERP資料!$G:$G, (MATCH(905, 輔助計算!$G$2:$G$801, 0)+1))&lt;=31,3,IF(INDEX(ERP資料!$G:$G, (MATCH(905, 輔助計算!$G$2:$G$801, 0)+1))&lt;=46.5,2,1)), IF(INDEX(ERP資料!$G:$G, (MATCH(905, 輔助計算!$G$2:$G$801, 0)+1))&lt;=790,3,IF(INDEX(ERP資料!$G:$G, (MATCH(905, 輔助計算!$G$2:$G$801, 0)+1))&lt;=1181,2,1)))=2,TEXT(INDEX(ERP資料!$G:$G, (MATCH(905, 輔助計算!$G$2:$G$801, 0)+1)),"0.##")&amp;"+"&amp;TEXT(INDEX(ERP資料!$G:$G, (MATCH(905, 輔助計算!$G$2:$G$801, 0)+1)),"0.##"),TEXT(INDEX(ERP資料!$G:$G, (MATCH(905, 輔助計算!$G$2:$G$801, 0)+1)),"0.##")&amp;"+"&amp;TEXT(INDEX(ERP資料!$G:$G, (MATCH(905, 輔助計算!$G$2:$G$801, 0)+1)),"0.##")&amp;"+"&amp;TEXT(INDEX(ERP資料!$G:$G, (MATCH(905, 輔助計算!$G$2:$G$801, 0)+1)),"0.##")))&amp;"-"&amp;INT(INDEX(輔助計算!$D:$D, (MATCH(905, 輔助計算!$G$2:$G$801, 0)+1))/IF(INDEX(ERP資料!$G:$G, (MATCH(905, 輔助計算!$G$2:$G$801, 0)+1))&lt;100, IF(INDEX(ERP資料!$G:$G, (MATCH(905, 輔助計算!$G$2:$G$801, 0)+1))&lt;=31,3,IF(INDEX(ERP資料!$G:$G, (MATCH(905, 輔助計算!$G$2:$G$801, 0)+1))&lt;=46.5,2,1)), IF(INDEX(ERP資料!$G:$G, (MATCH(905, 輔助計算!$G$2:$G$801, 0)+1))&lt;=790,3,IF(INDEX(ERP資料!$G:$G, (MATCH(905, 輔助計算!$G$2:$G$801, 0)+1))&lt;=1181,2,1)))), "")&amp;IF(AND(IF(INT(INDEX(輔助計算!$D:$D, (MATCH(905, 輔助計算!$G$2:$G$801, 0)+1))/IF(INDEX(ERP資料!$G:$G, (MATCH(905, 輔助計算!$G$2:$G$801, 0)+1))&lt;100, IF(INDEX(ERP資料!$G:$G, (MATCH(905, 輔助計算!$G$2:$G$801, 0)+1))&lt;=31,3,IF(INDEX(ERP資料!$G:$G, (MATCH(905, 輔助計算!$G$2:$G$801, 0)+1))&lt;=46.5,2,1)), IF(INDEX(ERP資料!$G:$G, (MATCH(905, 輔助計算!$G$2:$G$801, 0)+1))&lt;=790,3,IF(INDEX(ERP資料!$G:$G, (MATCH(905, 輔助計算!$G$2:$G$801, 0)+1))&lt;=1181,2,1))))&gt;0, IF(IF(INDEX(ERP資料!$G:$G, (MATCH(905, 輔助計算!$G$2:$G$801, 0)+1))&lt;100, IF(INDEX(ERP資料!$G:$G, (MATCH(905, 輔助計算!$G$2:$G$801, 0)+1))&lt;=31,3,IF(INDEX(ERP資料!$G:$G, (MATCH(905, 輔助計算!$G$2:$G$801, 0)+1))&lt;=46.5,2,1)), IF(INDEX(ERP資料!$G:$G, (MATCH(905, 輔助計算!$G$2:$G$801, 0)+1))&lt;=790,3,IF(INDEX(ERP資料!$G:$G, (MATCH(905, 輔助計算!$G$2:$G$801, 0)+1))&lt;=1181,2,1)))=1,TEXT(INDEX(ERP資料!$G:$G, (MATCH(905, 輔助計算!$G$2:$G$801, 0)+1)),"0.##"),IF(IF(INDEX(ERP資料!$G:$G, (MATCH(905, 輔助計算!$G$2:$G$801, 0)+1))&lt;100, IF(INDEX(ERP資料!$G:$G, (MATCH(905, 輔助計算!$G$2:$G$801, 0)+1))&lt;=31,3,IF(INDEX(ERP資料!$G:$G, (MATCH(905, 輔助計算!$G$2:$G$801, 0)+1))&lt;=46.5,2,1)), IF(INDEX(ERP資料!$G:$G, (MATCH(905, 輔助計算!$G$2:$G$801, 0)+1))&lt;=790,3,IF(INDEX(ERP資料!$G:$G, (MATCH(905, 輔助計算!$G$2:$G$801, 0)+1))&lt;=1181,2,1)))=2,TEXT(INDEX(ERP資料!$G:$G, (MATCH(905, 輔助計算!$G$2:$G$801, 0)+1)),"0.##")&amp;"+"&amp;TEXT(INDEX(ERP資料!$G:$G, (MATCH(905, 輔助計算!$G$2:$G$801, 0)+1)),"0.##"),TEXT(INDEX(ERP資料!$G:$G, (MATCH(905, 輔助計算!$G$2:$G$801, 0)+1)),"0.##")&amp;"+"&amp;TEXT(INDEX(ERP資料!$G:$G, (MATCH(905, 輔助計算!$G$2:$G$801, 0)+1)),"0.##")&amp;"+"&amp;TEXT(INDEX(ERP資料!$G:$G, (MATCH(905, 輔助計算!$G$2:$G$801, 0)+1)),"0.##")))&amp;"-"&amp;INT(INDEX(輔助計算!$D:$D, (MATCH(905, 輔助計算!$G$2:$G$801, 0)+1))/IF(INDEX(ERP資料!$G:$G, (MATCH(905, 輔助計算!$G$2:$G$801, 0)+1))&lt;100, IF(INDEX(ERP資料!$G:$G, (MATCH(905, 輔助計算!$G$2:$G$801, 0)+1))&lt;=31,3,IF(INDEX(ERP資料!$G:$G, (MATCH(905, 輔助計算!$G$2:$G$801, 0)+1))&lt;=46.5,2,1)), IF(INDEX(ERP資料!$G:$G, (MATCH(905, 輔助計算!$G$2:$G$801, 0)+1))&lt;=790,3,IF(INDEX(ERP資料!$G:$G, (MATCH(905, 輔助計算!$G$2:$G$801, 0)+1))&lt;=1181,2,1)))), "")&lt;&gt;"",IF(MOD(INDEX(輔助計算!$D:$D, (MATCH(905, 輔助計算!$G$2:$G$801, 0)+1)),IF(INDEX(ERP資料!$G:$G, (MATCH(905, 輔助計算!$G$2:$G$801, 0)+1))&lt;100, IF(INDEX(ERP資料!$G:$G, (MATCH(905, 輔助計算!$G$2:$G$801, 0)+1))&lt;=31,3,IF(INDEX(ERP資料!$G:$G, (MATCH(905, 輔助計算!$G$2:$G$801, 0)+1))&lt;=46.5,2,1)), IF(INDEX(ERP資料!$G:$G, (MATCH(905, 輔助計算!$G$2:$G$801, 0)+1))&lt;=790,3,IF(INDEX(ERP資料!$G:$G, (MATCH(905, 輔助計算!$G$2:$G$801, 0)+1))&lt;=1181,2,1))))=0,"",IF(MOD(INDEX(輔助計算!$D:$D, (MATCH(905, 輔助計算!$G$2:$G$801, 0)+1)),IF(INDEX(ERP資料!$G:$G, (MATCH(905, 輔助計算!$G$2:$G$801, 0)+1))&lt;100, IF(INDEX(ERP資料!$G:$G, (MATCH(905, 輔助計算!$G$2:$G$801, 0)+1))&lt;=31,3,IF(INDEX(ERP資料!$G:$G, (MATCH(905, 輔助計算!$G$2:$G$801, 0)+1))&lt;=46.5,2,1)), IF(INDEX(ERP資料!$G:$G, (MATCH(905, 輔助計算!$G$2:$G$801, 0)+1))&lt;=790,3,IF(INDEX(ERP資料!$G:$G, (MATCH(905, 輔助計算!$G$2:$G$801, 0)+1))&lt;=1181,2,1))))=0,"",IF(MOD(INDEX(輔助計算!$D:$D, (MATCH(905, 輔助計算!$G$2:$G$801, 0)+1)),IF(INDEX(ERP資料!$G:$G, (MATCH(905, 輔助計算!$G$2:$G$801, 0)+1))&lt;100, IF(INDEX(ERP資料!$G:$G, (MATCH(905, 輔助計算!$G$2:$G$801, 0)+1))&lt;=31,3,IF(INDEX(ERP資料!$G:$G, (MATCH(905, 輔助計算!$G$2:$G$801, 0)+1))&lt;=46.5,2,1)), IF(INDEX(ERP資料!$G:$G, (MATCH(905, 輔助計算!$G$2:$G$801, 0)+1))&lt;=790,3,IF(INDEX(ERP資料!$G:$G, (MATCH(905, 輔助計算!$G$2:$G$801, 0)+1))&lt;=1181,2,1))))=1,TEXT(INDEX(ERP資料!$G:$G, (MATCH(905, 輔助計算!$G$2:$G$801, 0)+1)),"0.##"),IF(MOD(INDEX(輔助計算!$D:$D, (MATCH(905, 輔助計算!$G$2:$G$801, 0)+1)),IF(INDEX(ERP資料!$G:$G, (MATCH(905, 輔助計算!$G$2:$G$801, 0)+1))&lt;100, IF(INDEX(ERP資料!$G:$G, (MATCH(905, 輔助計算!$G$2:$G$801, 0)+1))&lt;=31,3,IF(INDEX(ERP資料!$G:$G, (MATCH(905, 輔助計算!$G$2:$G$801, 0)+1))&lt;=46.5,2,1)), IF(INDEX(ERP資料!$G:$G, (MATCH(905, 輔助計算!$G$2:$G$801, 0)+1))&lt;=790,3,IF(INDEX(ERP資料!$G:$G, (MATCH(905, 輔助計算!$G$2:$G$801, 0)+1))&lt;=1181,2,1))))=2,TEXT(INDEX(ERP資料!$G:$G, (MATCH(905, 輔助計算!$G$2:$G$801, 0)+1)),"0.##")&amp;"+"&amp;TEXT(INDEX(ERP資料!$G:$G, (MATCH(905, 輔助計算!$G$2:$G$801, 0)+1)),"0.##"),TEXT(INDEX(ERP資料!$G:$G, (MATCH(905, 輔助計算!$G$2:$G$801, 0)+1)),"0.##")&amp;"+"&amp;TEXT(INDEX(ERP資料!$G:$G, (MATCH(905, 輔助計算!$G$2:$G$801, 0)+1)),"0.##")&amp;"+"&amp;TEXT(INDEX(ERP資料!$G:$G, (MATCH(905, 輔助計算!$G$2:$G$801, 0)+1)),"0.##"))))&amp;"-1")&lt;&gt;""),"  ","")&amp;IF(MOD(INDEX(輔助計算!$D:$D, (MATCH(905, 輔助計算!$G$2:$G$801, 0)+1)),IF(INDEX(ERP資料!$G:$G, (MATCH(905, 輔助計算!$G$2:$G$801, 0)+1))&lt;100, IF(INDEX(ERP資料!$G:$G, (MATCH(905, 輔助計算!$G$2:$G$801, 0)+1))&lt;=31,3,IF(INDEX(ERP資料!$G:$G, (MATCH(905, 輔助計算!$G$2:$G$801, 0)+1))&lt;=46.5,2,1)), IF(INDEX(ERP資料!$G:$G, (MATCH(905, 輔助計算!$G$2:$G$801, 0)+1))&lt;=790,3,IF(INDEX(ERP資料!$G:$G, (MATCH(905, 輔助計算!$G$2:$G$801, 0)+1))&lt;=1181,2,1))))=0,"",IF(MOD(INDEX(輔助計算!$D:$D, (MATCH(905, 輔助計算!$G$2:$G$801, 0)+1)),IF(INDEX(ERP資料!$G:$G, (MATCH(905, 輔助計算!$G$2:$G$801, 0)+1))&lt;100, IF(INDEX(ERP資料!$G:$G, (MATCH(905, 輔助計算!$G$2:$G$801, 0)+1))&lt;=31,3,IF(INDEX(ERP資料!$G:$G, (MATCH(905, 輔助計算!$G$2:$G$801, 0)+1))&lt;=46.5,2,1)), IF(INDEX(ERP資料!$G:$G, (MATCH(905, 輔助計算!$G$2:$G$801, 0)+1))&lt;=790,3,IF(INDEX(ERP資料!$G:$G, (MATCH(905, 輔助計算!$G$2:$G$801, 0)+1))&lt;=1181,2,1))))=0,"",IF(MOD(INDEX(輔助計算!$D:$D, (MATCH(905, 輔助計算!$G$2:$G$801, 0)+1)),IF(INDEX(ERP資料!$G:$G, (MATCH(905, 輔助計算!$G$2:$G$801, 0)+1))&lt;100, IF(INDEX(ERP資料!$G:$G, (MATCH(905, 輔助計算!$G$2:$G$801, 0)+1))&lt;=31,3,IF(INDEX(ERP資料!$G:$G, (MATCH(905, 輔助計算!$G$2:$G$801, 0)+1))&lt;=46.5,2,1)), IF(INDEX(ERP資料!$G:$G, (MATCH(905, 輔助計算!$G$2:$G$801, 0)+1))&lt;=790,3,IF(INDEX(ERP資料!$G:$G, (MATCH(905, 輔助計算!$G$2:$G$801, 0)+1))&lt;=1181,2,1))))=1,TEXT(INDEX(ERP資料!$G:$G, (MATCH(905, 輔助計算!$G$2:$G$801, 0)+1)),"0.##"),IF(MOD(INDEX(輔助計算!$D:$D, (MATCH(905, 輔助計算!$G$2:$G$801, 0)+1)),IF(INDEX(ERP資料!$G:$G, (MATCH(905, 輔助計算!$G$2:$G$801, 0)+1))&lt;100, IF(INDEX(ERP資料!$G:$G, (MATCH(905, 輔助計算!$G$2:$G$801, 0)+1))&lt;=31,3,IF(INDEX(ERP資料!$G:$G, (MATCH(905, 輔助計算!$G$2:$G$801, 0)+1))&lt;=46.5,2,1)), IF(INDEX(ERP資料!$G:$G, (MATCH(905, 輔助計算!$G$2:$G$801, 0)+1))&lt;=790,3,IF(INDEX(ERP資料!$G:$G, (MATCH(905, 輔助計算!$G$2:$G$801, 0)+1))&lt;=1181,2,1))))=2,TEXT(INDEX(ERP資料!$G:$G, (MATCH(905, 輔助計算!$G$2:$G$801, 0)+1)),"0.##")&amp;"+"&amp;TEXT(INDEX(ERP資料!$G:$G, (MATCH(905, 輔助計算!$G$2:$G$801, 0)+1)),"0.##"),TEXT(INDEX(ERP資料!$G:$G, (MATCH(905, 輔助計算!$G$2:$G$801, 0)+1)),"0.##")&amp;"+"&amp;TEXT(INDEX(ERP資料!$G:$G, (MATCH(905, 輔助計算!$G$2:$G$801, 0)+1)),"0.##")&amp;"+"&amp;TEXT(INDEX(ERP資料!$G:$G, (MATCH(905, 輔助計算!$G$2:$G$801, 0)+1)),"0.##"))))&amp;"-1")), ""), "")</f>
        <v/>
      </c>
      <c r="K906" s="16" t="n"/>
      <c r="L906" s="14">
        <f>IFERROR(IF(AND(IFERROR(INDEX(ERP資料!$A:$A, (MATCH(905, 輔助計算!$G$2:$G$801, 0)+1)), "")&lt;&gt;"", IFERROR(INDEX(ERP資料!$A:$A, (MATCH(905, 輔助計算!$G$2:$G$801, 0)+1)), "")&lt;&gt;IFERROR(INDEX(ERP資料!$A:$A, MATCH(904, 輔助計算!$G$2:$G$801, 0)+1), "")), INDEX(ERP資料!$B:$B, (MATCH(905, 輔助計算!$G$2:$G$801, 0)+1)), ""), "")</f>
        <v/>
      </c>
      <c r="M906" s="17" t="n"/>
    </row>
    <row r="907">
      <c r="A907" s="10">
        <f>IFERROR(IF(AND(IFERROR(INDEX(ERP資料!$A:$A, (MATCH(906, 輔助計算!$G$2:$G$801, 0)+1)), "")&lt;&gt;"", IFERROR(INDEX(ERP資料!$A:$A, (MATCH(906, 輔助計算!$G$2:$G$801, 0)+1)), "")&lt;&gt;IFERROR(INDEX(ERP資料!$A:$A, MATCH(905, 輔助計算!$G$2:$G$801, 0)+1), "")), IFERROR(INDEX(ERP資料!$A:$A, (MATCH(906, 輔助計算!$G$2:$G$801, 0)+1)), ""), ""), "")</f>
        <v/>
      </c>
      <c r="B907" s="10">
        <f>IFERROR(IF(AND(IFERROR(INDEX(ERP資料!$A:$A, (MATCH(906, 輔助計算!$G$2:$G$801, 0)+1)), "")&lt;&gt;"", IFERROR(INDEX(ERP資料!$A:$A, (MATCH(906, 輔助計算!$G$2:$G$801, 0)+1)), "")&lt;&gt;IFERROR(INDEX(ERP資料!$A:$A, MATCH(905, 輔助計算!$G$2:$G$801, 0)+1), "")), INDEX(ERP資料!$S:$S, (MATCH(906, 輔助計算!$G$2:$G$801, 0)+1)), ""), "")</f>
        <v/>
      </c>
      <c r="C907" s="19">
        <f>IFERROR(IF(AND(IFERROR(INDEX(ERP資料!$A:$A, (MATCH(906, 輔助計算!$G$2:$G$801, 0)+1)), "")&lt;&gt;"", IFERROR(INDEX(ERP資料!$A:$A, (MATCH(906, 輔助計算!$G$2:$G$801, 0)+1)), "")&lt;&gt;IFERROR(INDEX(ERP資料!$A:$A, MATCH(905, 輔助計算!$G$2:$G$801, 0)+1), "")), IFERROR(VLOOKUP(LEFT(INDEX(ERP資料!$S:$S, (MATCH(906, 輔助計算!$G$2:$G$801, 0)+1)), 4), 紙管對照表!$A:$C, 3, FALSE), ""), ""), "")</f>
        <v/>
      </c>
      <c r="D907" s="16" t="n"/>
      <c r="E907" s="10">
        <f>IFERROR(IF(INDEX(ERP資料!$H:$H, (MATCH(906, 輔助計算!$G$2:$G$801, 0)+1))="","",INDEX(ERP資料!$H:$H, (MATCH(906, 輔助計算!$G$2:$G$801, 0)+1))), "")</f>
        <v/>
      </c>
      <c r="F907" s="10">
        <f>IFERROR(IF(INDEX(ERP資料!$E:$E, (MATCH(906, 輔助計算!$G$2:$G$801, 0)+1))="","",TRIM(INDEX(ERP資料!$E:$E, (MATCH(906, 輔助計算!$G$2:$G$801, 0)+1)))), "")</f>
        <v/>
      </c>
      <c r="G907" s="10">
        <f>IFERROR(IF(INDEX(ERP資料!$F:$F, (MATCH(906, 輔助計算!$G$2:$G$801, 0)+1))="","",INDEX(ERP資料!$F:$F, (MATCH(906, 輔助計算!$G$2:$G$801, 0)+1))), "")</f>
        <v/>
      </c>
      <c r="H907" s="10">
        <f>IFERROR(IF(INDEX(ERP資料!$G:$G, (MATCH(906, 輔助計算!$G$2:$G$801, 0)+1))="","",INDEX(ERP資料!$G:$G, (MATCH(906, 輔助計算!$G$2:$G$801, 0)+1))), "")</f>
        <v/>
      </c>
      <c r="I907" s="15">
        <f>IFERROR(INDEX(輔助計算!$D:$D, (MATCH(906, 輔助計算!$G$2:$G$801, 0)+1)), "")</f>
        <v/>
      </c>
      <c r="J907" s="15">
        <f>IFERROR(IF(AND(INDEX(輔助計算!$D:$D, (MATCH(906, 輔助計算!$G$2:$G$801, 0)+1))&lt;&gt;"", INDEX(ERP資料!$G:$G, (MATCH(906, 輔助計算!$G$2:$G$801, 0)+1))&lt;&gt;""), TRIM(IF(INT(INDEX(輔助計算!$D:$D, (MATCH(906, 輔助計算!$G$2:$G$801, 0)+1))/IF(INDEX(ERP資料!$G:$G, (MATCH(906, 輔助計算!$G$2:$G$801, 0)+1))&lt;100, IF(INDEX(ERP資料!$G:$G, (MATCH(906, 輔助計算!$G$2:$G$801, 0)+1))&lt;=31,3,IF(INDEX(ERP資料!$G:$G, (MATCH(906, 輔助計算!$G$2:$G$801, 0)+1))&lt;=46.5,2,1)), IF(INDEX(ERP資料!$G:$G, (MATCH(906, 輔助計算!$G$2:$G$801, 0)+1))&lt;=790,3,IF(INDEX(ERP資料!$G:$G, (MATCH(906, 輔助計算!$G$2:$G$801, 0)+1))&lt;=1181,2,1))))&gt;0, IF(IF(INDEX(ERP資料!$G:$G, (MATCH(906, 輔助計算!$G$2:$G$801, 0)+1))&lt;100, IF(INDEX(ERP資料!$G:$G, (MATCH(906, 輔助計算!$G$2:$G$801, 0)+1))&lt;=31,3,IF(INDEX(ERP資料!$G:$G, (MATCH(906, 輔助計算!$G$2:$G$801, 0)+1))&lt;=46.5,2,1)), IF(INDEX(ERP資料!$G:$G, (MATCH(906, 輔助計算!$G$2:$G$801, 0)+1))&lt;=790,3,IF(INDEX(ERP資料!$G:$G, (MATCH(906, 輔助計算!$G$2:$G$801, 0)+1))&lt;=1181,2,1)))=1,TEXT(INDEX(ERP資料!$G:$G, (MATCH(906, 輔助計算!$G$2:$G$801, 0)+1)),"0.##"),IF(IF(INDEX(ERP資料!$G:$G, (MATCH(906, 輔助計算!$G$2:$G$801, 0)+1))&lt;100, IF(INDEX(ERP資料!$G:$G, (MATCH(906, 輔助計算!$G$2:$G$801, 0)+1))&lt;=31,3,IF(INDEX(ERP資料!$G:$G, (MATCH(906, 輔助計算!$G$2:$G$801, 0)+1))&lt;=46.5,2,1)), IF(INDEX(ERP資料!$G:$G, (MATCH(906, 輔助計算!$G$2:$G$801, 0)+1))&lt;=790,3,IF(INDEX(ERP資料!$G:$G, (MATCH(906, 輔助計算!$G$2:$G$801, 0)+1))&lt;=1181,2,1)))=2,TEXT(INDEX(ERP資料!$G:$G, (MATCH(906, 輔助計算!$G$2:$G$801, 0)+1)),"0.##")&amp;"+"&amp;TEXT(INDEX(ERP資料!$G:$G, (MATCH(906, 輔助計算!$G$2:$G$801, 0)+1)),"0.##"),TEXT(INDEX(ERP資料!$G:$G, (MATCH(906, 輔助計算!$G$2:$G$801, 0)+1)),"0.##")&amp;"+"&amp;TEXT(INDEX(ERP資料!$G:$G, (MATCH(906, 輔助計算!$G$2:$G$801, 0)+1)),"0.##")&amp;"+"&amp;TEXT(INDEX(ERP資料!$G:$G, (MATCH(906, 輔助計算!$G$2:$G$801, 0)+1)),"0.##")))&amp;"-"&amp;INT(INDEX(輔助計算!$D:$D, (MATCH(906, 輔助計算!$G$2:$G$801, 0)+1))/IF(INDEX(ERP資料!$G:$G, (MATCH(906, 輔助計算!$G$2:$G$801, 0)+1))&lt;100, IF(INDEX(ERP資料!$G:$G, (MATCH(906, 輔助計算!$G$2:$G$801, 0)+1))&lt;=31,3,IF(INDEX(ERP資料!$G:$G, (MATCH(906, 輔助計算!$G$2:$G$801, 0)+1))&lt;=46.5,2,1)), IF(INDEX(ERP資料!$G:$G, (MATCH(906, 輔助計算!$G$2:$G$801, 0)+1))&lt;=790,3,IF(INDEX(ERP資料!$G:$G, (MATCH(906, 輔助計算!$G$2:$G$801, 0)+1))&lt;=1181,2,1)))), "")&amp;IF(AND(IF(INT(INDEX(輔助計算!$D:$D, (MATCH(906, 輔助計算!$G$2:$G$801, 0)+1))/IF(INDEX(ERP資料!$G:$G, (MATCH(906, 輔助計算!$G$2:$G$801, 0)+1))&lt;100, IF(INDEX(ERP資料!$G:$G, (MATCH(906, 輔助計算!$G$2:$G$801, 0)+1))&lt;=31,3,IF(INDEX(ERP資料!$G:$G, (MATCH(906, 輔助計算!$G$2:$G$801, 0)+1))&lt;=46.5,2,1)), IF(INDEX(ERP資料!$G:$G, (MATCH(906, 輔助計算!$G$2:$G$801, 0)+1))&lt;=790,3,IF(INDEX(ERP資料!$G:$G, (MATCH(906, 輔助計算!$G$2:$G$801, 0)+1))&lt;=1181,2,1))))&gt;0, IF(IF(INDEX(ERP資料!$G:$G, (MATCH(906, 輔助計算!$G$2:$G$801, 0)+1))&lt;100, IF(INDEX(ERP資料!$G:$G, (MATCH(906, 輔助計算!$G$2:$G$801, 0)+1))&lt;=31,3,IF(INDEX(ERP資料!$G:$G, (MATCH(906, 輔助計算!$G$2:$G$801, 0)+1))&lt;=46.5,2,1)), IF(INDEX(ERP資料!$G:$G, (MATCH(906, 輔助計算!$G$2:$G$801, 0)+1))&lt;=790,3,IF(INDEX(ERP資料!$G:$G, (MATCH(906, 輔助計算!$G$2:$G$801, 0)+1))&lt;=1181,2,1)))=1,TEXT(INDEX(ERP資料!$G:$G, (MATCH(906, 輔助計算!$G$2:$G$801, 0)+1)),"0.##"),IF(IF(INDEX(ERP資料!$G:$G, (MATCH(906, 輔助計算!$G$2:$G$801, 0)+1))&lt;100, IF(INDEX(ERP資料!$G:$G, (MATCH(906, 輔助計算!$G$2:$G$801, 0)+1))&lt;=31,3,IF(INDEX(ERP資料!$G:$G, (MATCH(906, 輔助計算!$G$2:$G$801, 0)+1))&lt;=46.5,2,1)), IF(INDEX(ERP資料!$G:$G, (MATCH(906, 輔助計算!$G$2:$G$801, 0)+1))&lt;=790,3,IF(INDEX(ERP資料!$G:$G, (MATCH(906, 輔助計算!$G$2:$G$801, 0)+1))&lt;=1181,2,1)))=2,TEXT(INDEX(ERP資料!$G:$G, (MATCH(906, 輔助計算!$G$2:$G$801, 0)+1)),"0.##")&amp;"+"&amp;TEXT(INDEX(ERP資料!$G:$G, (MATCH(906, 輔助計算!$G$2:$G$801, 0)+1)),"0.##"),TEXT(INDEX(ERP資料!$G:$G, (MATCH(906, 輔助計算!$G$2:$G$801, 0)+1)),"0.##")&amp;"+"&amp;TEXT(INDEX(ERP資料!$G:$G, (MATCH(906, 輔助計算!$G$2:$G$801, 0)+1)),"0.##")&amp;"+"&amp;TEXT(INDEX(ERP資料!$G:$G, (MATCH(906, 輔助計算!$G$2:$G$801, 0)+1)),"0.##")))&amp;"-"&amp;INT(INDEX(輔助計算!$D:$D, (MATCH(906, 輔助計算!$G$2:$G$801, 0)+1))/IF(INDEX(ERP資料!$G:$G, (MATCH(906, 輔助計算!$G$2:$G$801, 0)+1))&lt;100, IF(INDEX(ERP資料!$G:$G, (MATCH(906, 輔助計算!$G$2:$G$801, 0)+1))&lt;=31,3,IF(INDEX(ERP資料!$G:$G, (MATCH(906, 輔助計算!$G$2:$G$801, 0)+1))&lt;=46.5,2,1)), IF(INDEX(ERP資料!$G:$G, (MATCH(906, 輔助計算!$G$2:$G$801, 0)+1))&lt;=790,3,IF(INDEX(ERP資料!$G:$G, (MATCH(906, 輔助計算!$G$2:$G$801, 0)+1))&lt;=1181,2,1)))), "")&lt;&gt;"",IF(MOD(INDEX(輔助計算!$D:$D, (MATCH(906, 輔助計算!$G$2:$G$801, 0)+1)),IF(INDEX(ERP資料!$G:$G, (MATCH(906, 輔助計算!$G$2:$G$801, 0)+1))&lt;100, IF(INDEX(ERP資料!$G:$G, (MATCH(906, 輔助計算!$G$2:$G$801, 0)+1))&lt;=31,3,IF(INDEX(ERP資料!$G:$G, (MATCH(906, 輔助計算!$G$2:$G$801, 0)+1))&lt;=46.5,2,1)), IF(INDEX(ERP資料!$G:$G, (MATCH(906, 輔助計算!$G$2:$G$801, 0)+1))&lt;=790,3,IF(INDEX(ERP資料!$G:$G, (MATCH(906, 輔助計算!$G$2:$G$801, 0)+1))&lt;=1181,2,1))))=0,"",IF(MOD(INDEX(輔助計算!$D:$D, (MATCH(906, 輔助計算!$G$2:$G$801, 0)+1)),IF(INDEX(ERP資料!$G:$G, (MATCH(906, 輔助計算!$G$2:$G$801, 0)+1))&lt;100, IF(INDEX(ERP資料!$G:$G, (MATCH(906, 輔助計算!$G$2:$G$801, 0)+1))&lt;=31,3,IF(INDEX(ERP資料!$G:$G, (MATCH(906, 輔助計算!$G$2:$G$801, 0)+1))&lt;=46.5,2,1)), IF(INDEX(ERP資料!$G:$G, (MATCH(906, 輔助計算!$G$2:$G$801, 0)+1))&lt;=790,3,IF(INDEX(ERP資料!$G:$G, (MATCH(906, 輔助計算!$G$2:$G$801, 0)+1))&lt;=1181,2,1))))=0,"",IF(MOD(INDEX(輔助計算!$D:$D, (MATCH(906, 輔助計算!$G$2:$G$801, 0)+1)),IF(INDEX(ERP資料!$G:$G, (MATCH(906, 輔助計算!$G$2:$G$801, 0)+1))&lt;100, IF(INDEX(ERP資料!$G:$G, (MATCH(906, 輔助計算!$G$2:$G$801, 0)+1))&lt;=31,3,IF(INDEX(ERP資料!$G:$G, (MATCH(906, 輔助計算!$G$2:$G$801, 0)+1))&lt;=46.5,2,1)), IF(INDEX(ERP資料!$G:$G, (MATCH(906, 輔助計算!$G$2:$G$801, 0)+1))&lt;=790,3,IF(INDEX(ERP資料!$G:$G, (MATCH(906, 輔助計算!$G$2:$G$801, 0)+1))&lt;=1181,2,1))))=1,TEXT(INDEX(ERP資料!$G:$G, (MATCH(906, 輔助計算!$G$2:$G$801, 0)+1)),"0.##"),IF(MOD(INDEX(輔助計算!$D:$D, (MATCH(906, 輔助計算!$G$2:$G$801, 0)+1)),IF(INDEX(ERP資料!$G:$G, (MATCH(906, 輔助計算!$G$2:$G$801, 0)+1))&lt;100, IF(INDEX(ERP資料!$G:$G, (MATCH(906, 輔助計算!$G$2:$G$801, 0)+1))&lt;=31,3,IF(INDEX(ERP資料!$G:$G, (MATCH(906, 輔助計算!$G$2:$G$801, 0)+1))&lt;=46.5,2,1)), IF(INDEX(ERP資料!$G:$G, (MATCH(906, 輔助計算!$G$2:$G$801, 0)+1))&lt;=790,3,IF(INDEX(ERP資料!$G:$G, (MATCH(906, 輔助計算!$G$2:$G$801, 0)+1))&lt;=1181,2,1))))=2,TEXT(INDEX(ERP資料!$G:$G, (MATCH(906, 輔助計算!$G$2:$G$801, 0)+1)),"0.##")&amp;"+"&amp;TEXT(INDEX(ERP資料!$G:$G, (MATCH(906, 輔助計算!$G$2:$G$801, 0)+1)),"0.##"),TEXT(INDEX(ERP資料!$G:$G, (MATCH(906, 輔助計算!$G$2:$G$801, 0)+1)),"0.##")&amp;"+"&amp;TEXT(INDEX(ERP資料!$G:$G, (MATCH(906, 輔助計算!$G$2:$G$801, 0)+1)),"0.##")&amp;"+"&amp;TEXT(INDEX(ERP資料!$G:$G, (MATCH(906, 輔助計算!$G$2:$G$801, 0)+1)),"0.##"))))&amp;"-1")&lt;&gt;""),"  ","")&amp;IF(MOD(INDEX(輔助計算!$D:$D, (MATCH(906, 輔助計算!$G$2:$G$801, 0)+1)),IF(INDEX(ERP資料!$G:$G, (MATCH(906, 輔助計算!$G$2:$G$801, 0)+1))&lt;100, IF(INDEX(ERP資料!$G:$G, (MATCH(906, 輔助計算!$G$2:$G$801, 0)+1))&lt;=31,3,IF(INDEX(ERP資料!$G:$G, (MATCH(906, 輔助計算!$G$2:$G$801, 0)+1))&lt;=46.5,2,1)), IF(INDEX(ERP資料!$G:$G, (MATCH(906, 輔助計算!$G$2:$G$801, 0)+1))&lt;=790,3,IF(INDEX(ERP資料!$G:$G, (MATCH(906, 輔助計算!$G$2:$G$801, 0)+1))&lt;=1181,2,1))))=0,"",IF(MOD(INDEX(輔助計算!$D:$D, (MATCH(906, 輔助計算!$G$2:$G$801, 0)+1)),IF(INDEX(ERP資料!$G:$G, (MATCH(906, 輔助計算!$G$2:$G$801, 0)+1))&lt;100, IF(INDEX(ERP資料!$G:$G, (MATCH(906, 輔助計算!$G$2:$G$801, 0)+1))&lt;=31,3,IF(INDEX(ERP資料!$G:$G, (MATCH(906, 輔助計算!$G$2:$G$801, 0)+1))&lt;=46.5,2,1)), IF(INDEX(ERP資料!$G:$G, (MATCH(906, 輔助計算!$G$2:$G$801, 0)+1))&lt;=790,3,IF(INDEX(ERP資料!$G:$G, (MATCH(906, 輔助計算!$G$2:$G$801, 0)+1))&lt;=1181,2,1))))=0,"",IF(MOD(INDEX(輔助計算!$D:$D, (MATCH(906, 輔助計算!$G$2:$G$801, 0)+1)),IF(INDEX(ERP資料!$G:$G, (MATCH(906, 輔助計算!$G$2:$G$801, 0)+1))&lt;100, IF(INDEX(ERP資料!$G:$G, (MATCH(906, 輔助計算!$G$2:$G$801, 0)+1))&lt;=31,3,IF(INDEX(ERP資料!$G:$G, (MATCH(906, 輔助計算!$G$2:$G$801, 0)+1))&lt;=46.5,2,1)), IF(INDEX(ERP資料!$G:$G, (MATCH(906, 輔助計算!$G$2:$G$801, 0)+1))&lt;=790,3,IF(INDEX(ERP資料!$G:$G, (MATCH(906, 輔助計算!$G$2:$G$801, 0)+1))&lt;=1181,2,1))))=1,TEXT(INDEX(ERP資料!$G:$G, (MATCH(906, 輔助計算!$G$2:$G$801, 0)+1)),"0.##"),IF(MOD(INDEX(輔助計算!$D:$D, (MATCH(906, 輔助計算!$G$2:$G$801, 0)+1)),IF(INDEX(ERP資料!$G:$G, (MATCH(906, 輔助計算!$G$2:$G$801, 0)+1))&lt;100, IF(INDEX(ERP資料!$G:$G, (MATCH(906, 輔助計算!$G$2:$G$801, 0)+1))&lt;=31,3,IF(INDEX(ERP資料!$G:$G, (MATCH(906, 輔助計算!$G$2:$G$801, 0)+1))&lt;=46.5,2,1)), IF(INDEX(ERP資料!$G:$G, (MATCH(906, 輔助計算!$G$2:$G$801, 0)+1))&lt;=790,3,IF(INDEX(ERP資料!$G:$G, (MATCH(906, 輔助計算!$G$2:$G$801, 0)+1))&lt;=1181,2,1))))=2,TEXT(INDEX(ERP資料!$G:$G, (MATCH(906, 輔助計算!$G$2:$G$801, 0)+1)),"0.##")&amp;"+"&amp;TEXT(INDEX(ERP資料!$G:$G, (MATCH(906, 輔助計算!$G$2:$G$801, 0)+1)),"0.##"),TEXT(INDEX(ERP資料!$G:$G, (MATCH(906, 輔助計算!$G$2:$G$801, 0)+1)),"0.##")&amp;"+"&amp;TEXT(INDEX(ERP資料!$G:$G, (MATCH(906, 輔助計算!$G$2:$G$801, 0)+1)),"0.##")&amp;"+"&amp;TEXT(INDEX(ERP資料!$G:$G, (MATCH(906, 輔助計算!$G$2:$G$801, 0)+1)),"0.##"))))&amp;"-1")), ""), "")</f>
        <v/>
      </c>
      <c r="K907" s="16" t="n"/>
      <c r="L907" s="14">
        <f>IFERROR(IF(AND(IFERROR(INDEX(ERP資料!$A:$A, (MATCH(906, 輔助計算!$G$2:$G$801, 0)+1)), "")&lt;&gt;"", IFERROR(INDEX(ERP資料!$A:$A, (MATCH(906, 輔助計算!$G$2:$G$801, 0)+1)), "")&lt;&gt;IFERROR(INDEX(ERP資料!$A:$A, MATCH(905, 輔助計算!$G$2:$G$801, 0)+1), "")), INDEX(ERP資料!$B:$B, (MATCH(906, 輔助計算!$G$2:$G$801, 0)+1)), ""), "")</f>
        <v/>
      </c>
      <c r="M907" s="17" t="n"/>
    </row>
    <row r="908">
      <c r="A908" s="10">
        <f>IFERROR(IF(AND(IFERROR(INDEX(ERP資料!$A:$A, (MATCH(907, 輔助計算!$G$2:$G$801, 0)+1)), "")&lt;&gt;"", IFERROR(INDEX(ERP資料!$A:$A, (MATCH(907, 輔助計算!$G$2:$G$801, 0)+1)), "")&lt;&gt;IFERROR(INDEX(ERP資料!$A:$A, MATCH(906, 輔助計算!$G$2:$G$801, 0)+1), "")), IFERROR(INDEX(ERP資料!$A:$A, (MATCH(907, 輔助計算!$G$2:$G$801, 0)+1)), ""), ""), "")</f>
        <v/>
      </c>
      <c r="B908" s="10">
        <f>IFERROR(IF(AND(IFERROR(INDEX(ERP資料!$A:$A, (MATCH(907, 輔助計算!$G$2:$G$801, 0)+1)), "")&lt;&gt;"", IFERROR(INDEX(ERP資料!$A:$A, (MATCH(907, 輔助計算!$G$2:$G$801, 0)+1)), "")&lt;&gt;IFERROR(INDEX(ERP資料!$A:$A, MATCH(906, 輔助計算!$G$2:$G$801, 0)+1), "")), INDEX(ERP資料!$S:$S, (MATCH(907, 輔助計算!$G$2:$G$801, 0)+1)), ""), "")</f>
        <v/>
      </c>
      <c r="C908" s="19">
        <f>IFERROR(IF(AND(IFERROR(INDEX(ERP資料!$A:$A, (MATCH(907, 輔助計算!$G$2:$G$801, 0)+1)), "")&lt;&gt;"", IFERROR(INDEX(ERP資料!$A:$A, (MATCH(907, 輔助計算!$G$2:$G$801, 0)+1)), "")&lt;&gt;IFERROR(INDEX(ERP資料!$A:$A, MATCH(906, 輔助計算!$G$2:$G$801, 0)+1), "")), IFERROR(VLOOKUP(LEFT(INDEX(ERP資料!$S:$S, (MATCH(907, 輔助計算!$G$2:$G$801, 0)+1)), 4), 紙管對照表!$A:$C, 3, FALSE), ""), ""), "")</f>
        <v/>
      </c>
      <c r="D908" s="16" t="n"/>
      <c r="E908" s="10">
        <f>IFERROR(IF(INDEX(ERP資料!$H:$H, (MATCH(907, 輔助計算!$G$2:$G$801, 0)+1))="","",INDEX(ERP資料!$H:$H, (MATCH(907, 輔助計算!$G$2:$G$801, 0)+1))), "")</f>
        <v/>
      </c>
      <c r="F908" s="10">
        <f>IFERROR(IF(INDEX(ERP資料!$E:$E, (MATCH(907, 輔助計算!$G$2:$G$801, 0)+1))="","",TRIM(INDEX(ERP資料!$E:$E, (MATCH(907, 輔助計算!$G$2:$G$801, 0)+1)))), "")</f>
        <v/>
      </c>
      <c r="G908" s="10">
        <f>IFERROR(IF(INDEX(ERP資料!$F:$F, (MATCH(907, 輔助計算!$G$2:$G$801, 0)+1))="","",INDEX(ERP資料!$F:$F, (MATCH(907, 輔助計算!$G$2:$G$801, 0)+1))), "")</f>
        <v/>
      </c>
      <c r="H908" s="10">
        <f>IFERROR(IF(INDEX(ERP資料!$G:$G, (MATCH(907, 輔助計算!$G$2:$G$801, 0)+1))="","",INDEX(ERP資料!$G:$G, (MATCH(907, 輔助計算!$G$2:$G$801, 0)+1))), "")</f>
        <v/>
      </c>
      <c r="I908" s="15">
        <f>IFERROR(INDEX(輔助計算!$D:$D, (MATCH(907, 輔助計算!$G$2:$G$801, 0)+1)), "")</f>
        <v/>
      </c>
      <c r="J908" s="15">
        <f>IFERROR(IF(AND(INDEX(輔助計算!$D:$D, (MATCH(907, 輔助計算!$G$2:$G$801, 0)+1))&lt;&gt;"", INDEX(ERP資料!$G:$G, (MATCH(907, 輔助計算!$G$2:$G$801, 0)+1))&lt;&gt;""), TRIM(IF(INT(INDEX(輔助計算!$D:$D, (MATCH(907, 輔助計算!$G$2:$G$801, 0)+1))/IF(INDEX(ERP資料!$G:$G, (MATCH(907, 輔助計算!$G$2:$G$801, 0)+1))&lt;100, IF(INDEX(ERP資料!$G:$G, (MATCH(907, 輔助計算!$G$2:$G$801, 0)+1))&lt;=31,3,IF(INDEX(ERP資料!$G:$G, (MATCH(907, 輔助計算!$G$2:$G$801, 0)+1))&lt;=46.5,2,1)), IF(INDEX(ERP資料!$G:$G, (MATCH(907, 輔助計算!$G$2:$G$801, 0)+1))&lt;=790,3,IF(INDEX(ERP資料!$G:$G, (MATCH(907, 輔助計算!$G$2:$G$801, 0)+1))&lt;=1181,2,1))))&gt;0, IF(IF(INDEX(ERP資料!$G:$G, (MATCH(907, 輔助計算!$G$2:$G$801, 0)+1))&lt;100, IF(INDEX(ERP資料!$G:$G, (MATCH(907, 輔助計算!$G$2:$G$801, 0)+1))&lt;=31,3,IF(INDEX(ERP資料!$G:$G, (MATCH(907, 輔助計算!$G$2:$G$801, 0)+1))&lt;=46.5,2,1)), IF(INDEX(ERP資料!$G:$G, (MATCH(907, 輔助計算!$G$2:$G$801, 0)+1))&lt;=790,3,IF(INDEX(ERP資料!$G:$G, (MATCH(907, 輔助計算!$G$2:$G$801, 0)+1))&lt;=1181,2,1)))=1,TEXT(INDEX(ERP資料!$G:$G, (MATCH(907, 輔助計算!$G$2:$G$801, 0)+1)),"0.##"),IF(IF(INDEX(ERP資料!$G:$G, (MATCH(907, 輔助計算!$G$2:$G$801, 0)+1))&lt;100, IF(INDEX(ERP資料!$G:$G, (MATCH(907, 輔助計算!$G$2:$G$801, 0)+1))&lt;=31,3,IF(INDEX(ERP資料!$G:$G, (MATCH(907, 輔助計算!$G$2:$G$801, 0)+1))&lt;=46.5,2,1)), IF(INDEX(ERP資料!$G:$G, (MATCH(907, 輔助計算!$G$2:$G$801, 0)+1))&lt;=790,3,IF(INDEX(ERP資料!$G:$G, (MATCH(907, 輔助計算!$G$2:$G$801, 0)+1))&lt;=1181,2,1)))=2,TEXT(INDEX(ERP資料!$G:$G, (MATCH(907, 輔助計算!$G$2:$G$801, 0)+1)),"0.##")&amp;"+"&amp;TEXT(INDEX(ERP資料!$G:$G, (MATCH(907, 輔助計算!$G$2:$G$801, 0)+1)),"0.##"),TEXT(INDEX(ERP資料!$G:$G, (MATCH(907, 輔助計算!$G$2:$G$801, 0)+1)),"0.##")&amp;"+"&amp;TEXT(INDEX(ERP資料!$G:$G, (MATCH(907, 輔助計算!$G$2:$G$801, 0)+1)),"0.##")&amp;"+"&amp;TEXT(INDEX(ERP資料!$G:$G, (MATCH(907, 輔助計算!$G$2:$G$801, 0)+1)),"0.##")))&amp;"-"&amp;INT(INDEX(輔助計算!$D:$D, (MATCH(907, 輔助計算!$G$2:$G$801, 0)+1))/IF(INDEX(ERP資料!$G:$G, (MATCH(907, 輔助計算!$G$2:$G$801, 0)+1))&lt;100, IF(INDEX(ERP資料!$G:$G, (MATCH(907, 輔助計算!$G$2:$G$801, 0)+1))&lt;=31,3,IF(INDEX(ERP資料!$G:$G, (MATCH(907, 輔助計算!$G$2:$G$801, 0)+1))&lt;=46.5,2,1)), IF(INDEX(ERP資料!$G:$G, (MATCH(907, 輔助計算!$G$2:$G$801, 0)+1))&lt;=790,3,IF(INDEX(ERP資料!$G:$G, (MATCH(907, 輔助計算!$G$2:$G$801, 0)+1))&lt;=1181,2,1)))), "")&amp;IF(AND(IF(INT(INDEX(輔助計算!$D:$D, (MATCH(907, 輔助計算!$G$2:$G$801, 0)+1))/IF(INDEX(ERP資料!$G:$G, (MATCH(907, 輔助計算!$G$2:$G$801, 0)+1))&lt;100, IF(INDEX(ERP資料!$G:$G, (MATCH(907, 輔助計算!$G$2:$G$801, 0)+1))&lt;=31,3,IF(INDEX(ERP資料!$G:$G, (MATCH(907, 輔助計算!$G$2:$G$801, 0)+1))&lt;=46.5,2,1)), IF(INDEX(ERP資料!$G:$G, (MATCH(907, 輔助計算!$G$2:$G$801, 0)+1))&lt;=790,3,IF(INDEX(ERP資料!$G:$G, (MATCH(907, 輔助計算!$G$2:$G$801, 0)+1))&lt;=1181,2,1))))&gt;0, IF(IF(INDEX(ERP資料!$G:$G, (MATCH(907, 輔助計算!$G$2:$G$801, 0)+1))&lt;100, IF(INDEX(ERP資料!$G:$G, (MATCH(907, 輔助計算!$G$2:$G$801, 0)+1))&lt;=31,3,IF(INDEX(ERP資料!$G:$G, (MATCH(907, 輔助計算!$G$2:$G$801, 0)+1))&lt;=46.5,2,1)), IF(INDEX(ERP資料!$G:$G, (MATCH(907, 輔助計算!$G$2:$G$801, 0)+1))&lt;=790,3,IF(INDEX(ERP資料!$G:$G, (MATCH(907, 輔助計算!$G$2:$G$801, 0)+1))&lt;=1181,2,1)))=1,TEXT(INDEX(ERP資料!$G:$G, (MATCH(907, 輔助計算!$G$2:$G$801, 0)+1)),"0.##"),IF(IF(INDEX(ERP資料!$G:$G, (MATCH(907, 輔助計算!$G$2:$G$801, 0)+1))&lt;100, IF(INDEX(ERP資料!$G:$G, (MATCH(907, 輔助計算!$G$2:$G$801, 0)+1))&lt;=31,3,IF(INDEX(ERP資料!$G:$G, (MATCH(907, 輔助計算!$G$2:$G$801, 0)+1))&lt;=46.5,2,1)), IF(INDEX(ERP資料!$G:$G, (MATCH(907, 輔助計算!$G$2:$G$801, 0)+1))&lt;=790,3,IF(INDEX(ERP資料!$G:$G, (MATCH(907, 輔助計算!$G$2:$G$801, 0)+1))&lt;=1181,2,1)))=2,TEXT(INDEX(ERP資料!$G:$G, (MATCH(907, 輔助計算!$G$2:$G$801, 0)+1)),"0.##")&amp;"+"&amp;TEXT(INDEX(ERP資料!$G:$G, (MATCH(907, 輔助計算!$G$2:$G$801, 0)+1)),"0.##"),TEXT(INDEX(ERP資料!$G:$G, (MATCH(907, 輔助計算!$G$2:$G$801, 0)+1)),"0.##")&amp;"+"&amp;TEXT(INDEX(ERP資料!$G:$G, (MATCH(907, 輔助計算!$G$2:$G$801, 0)+1)),"0.##")&amp;"+"&amp;TEXT(INDEX(ERP資料!$G:$G, (MATCH(907, 輔助計算!$G$2:$G$801, 0)+1)),"0.##")))&amp;"-"&amp;INT(INDEX(輔助計算!$D:$D, (MATCH(907, 輔助計算!$G$2:$G$801, 0)+1))/IF(INDEX(ERP資料!$G:$G, (MATCH(907, 輔助計算!$G$2:$G$801, 0)+1))&lt;100, IF(INDEX(ERP資料!$G:$G, (MATCH(907, 輔助計算!$G$2:$G$801, 0)+1))&lt;=31,3,IF(INDEX(ERP資料!$G:$G, (MATCH(907, 輔助計算!$G$2:$G$801, 0)+1))&lt;=46.5,2,1)), IF(INDEX(ERP資料!$G:$G, (MATCH(907, 輔助計算!$G$2:$G$801, 0)+1))&lt;=790,3,IF(INDEX(ERP資料!$G:$G, (MATCH(907, 輔助計算!$G$2:$G$801, 0)+1))&lt;=1181,2,1)))), "")&lt;&gt;"",IF(MOD(INDEX(輔助計算!$D:$D, (MATCH(907, 輔助計算!$G$2:$G$801, 0)+1)),IF(INDEX(ERP資料!$G:$G, (MATCH(907, 輔助計算!$G$2:$G$801, 0)+1))&lt;100, IF(INDEX(ERP資料!$G:$G, (MATCH(907, 輔助計算!$G$2:$G$801, 0)+1))&lt;=31,3,IF(INDEX(ERP資料!$G:$G, (MATCH(907, 輔助計算!$G$2:$G$801, 0)+1))&lt;=46.5,2,1)), IF(INDEX(ERP資料!$G:$G, (MATCH(907, 輔助計算!$G$2:$G$801, 0)+1))&lt;=790,3,IF(INDEX(ERP資料!$G:$G, (MATCH(907, 輔助計算!$G$2:$G$801, 0)+1))&lt;=1181,2,1))))=0,"",IF(MOD(INDEX(輔助計算!$D:$D, (MATCH(907, 輔助計算!$G$2:$G$801, 0)+1)),IF(INDEX(ERP資料!$G:$G, (MATCH(907, 輔助計算!$G$2:$G$801, 0)+1))&lt;100, IF(INDEX(ERP資料!$G:$G, (MATCH(907, 輔助計算!$G$2:$G$801, 0)+1))&lt;=31,3,IF(INDEX(ERP資料!$G:$G, (MATCH(907, 輔助計算!$G$2:$G$801, 0)+1))&lt;=46.5,2,1)), IF(INDEX(ERP資料!$G:$G, (MATCH(907, 輔助計算!$G$2:$G$801, 0)+1))&lt;=790,3,IF(INDEX(ERP資料!$G:$G, (MATCH(907, 輔助計算!$G$2:$G$801, 0)+1))&lt;=1181,2,1))))=0,"",IF(MOD(INDEX(輔助計算!$D:$D, (MATCH(907, 輔助計算!$G$2:$G$801, 0)+1)),IF(INDEX(ERP資料!$G:$G, (MATCH(907, 輔助計算!$G$2:$G$801, 0)+1))&lt;100, IF(INDEX(ERP資料!$G:$G, (MATCH(907, 輔助計算!$G$2:$G$801, 0)+1))&lt;=31,3,IF(INDEX(ERP資料!$G:$G, (MATCH(907, 輔助計算!$G$2:$G$801, 0)+1))&lt;=46.5,2,1)), IF(INDEX(ERP資料!$G:$G, (MATCH(907, 輔助計算!$G$2:$G$801, 0)+1))&lt;=790,3,IF(INDEX(ERP資料!$G:$G, (MATCH(907, 輔助計算!$G$2:$G$801, 0)+1))&lt;=1181,2,1))))=1,TEXT(INDEX(ERP資料!$G:$G, (MATCH(907, 輔助計算!$G$2:$G$801, 0)+1)),"0.##"),IF(MOD(INDEX(輔助計算!$D:$D, (MATCH(907, 輔助計算!$G$2:$G$801, 0)+1)),IF(INDEX(ERP資料!$G:$G, (MATCH(907, 輔助計算!$G$2:$G$801, 0)+1))&lt;100, IF(INDEX(ERP資料!$G:$G, (MATCH(907, 輔助計算!$G$2:$G$801, 0)+1))&lt;=31,3,IF(INDEX(ERP資料!$G:$G, (MATCH(907, 輔助計算!$G$2:$G$801, 0)+1))&lt;=46.5,2,1)), IF(INDEX(ERP資料!$G:$G, (MATCH(907, 輔助計算!$G$2:$G$801, 0)+1))&lt;=790,3,IF(INDEX(ERP資料!$G:$G, (MATCH(907, 輔助計算!$G$2:$G$801, 0)+1))&lt;=1181,2,1))))=2,TEXT(INDEX(ERP資料!$G:$G, (MATCH(907, 輔助計算!$G$2:$G$801, 0)+1)),"0.##")&amp;"+"&amp;TEXT(INDEX(ERP資料!$G:$G, (MATCH(907, 輔助計算!$G$2:$G$801, 0)+1)),"0.##"),TEXT(INDEX(ERP資料!$G:$G, (MATCH(907, 輔助計算!$G$2:$G$801, 0)+1)),"0.##")&amp;"+"&amp;TEXT(INDEX(ERP資料!$G:$G, (MATCH(907, 輔助計算!$G$2:$G$801, 0)+1)),"0.##")&amp;"+"&amp;TEXT(INDEX(ERP資料!$G:$G, (MATCH(907, 輔助計算!$G$2:$G$801, 0)+1)),"0.##"))))&amp;"-1")&lt;&gt;""),"  ","")&amp;IF(MOD(INDEX(輔助計算!$D:$D, (MATCH(907, 輔助計算!$G$2:$G$801, 0)+1)),IF(INDEX(ERP資料!$G:$G, (MATCH(907, 輔助計算!$G$2:$G$801, 0)+1))&lt;100, IF(INDEX(ERP資料!$G:$G, (MATCH(907, 輔助計算!$G$2:$G$801, 0)+1))&lt;=31,3,IF(INDEX(ERP資料!$G:$G, (MATCH(907, 輔助計算!$G$2:$G$801, 0)+1))&lt;=46.5,2,1)), IF(INDEX(ERP資料!$G:$G, (MATCH(907, 輔助計算!$G$2:$G$801, 0)+1))&lt;=790,3,IF(INDEX(ERP資料!$G:$G, (MATCH(907, 輔助計算!$G$2:$G$801, 0)+1))&lt;=1181,2,1))))=0,"",IF(MOD(INDEX(輔助計算!$D:$D, (MATCH(907, 輔助計算!$G$2:$G$801, 0)+1)),IF(INDEX(ERP資料!$G:$G, (MATCH(907, 輔助計算!$G$2:$G$801, 0)+1))&lt;100, IF(INDEX(ERP資料!$G:$G, (MATCH(907, 輔助計算!$G$2:$G$801, 0)+1))&lt;=31,3,IF(INDEX(ERP資料!$G:$G, (MATCH(907, 輔助計算!$G$2:$G$801, 0)+1))&lt;=46.5,2,1)), IF(INDEX(ERP資料!$G:$G, (MATCH(907, 輔助計算!$G$2:$G$801, 0)+1))&lt;=790,3,IF(INDEX(ERP資料!$G:$G, (MATCH(907, 輔助計算!$G$2:$G$801, 0)+1))&lt;=1181,2,1))))=0,"",IF(MOD(INDEX(輔助計算!$D:$D, (MATCH(907, 輔助計算!$G$2:$G$801, 0)+1)),IF(INDEX(ERP資料!$G:$G, (MATCH(907, 輔助計算!$G$2:$G$801, 0)+1))&lt;100, IF(INDEX(ERP資料!$G:$G, (MATCH(907, 輔助計算!$G$2:$G$801, 0)+1))&lt;=31,3,IF(INDEX(ERP資料!$G:$G, (MATCH(907, 輔助計算!$G$2:$G$801, 0)+1))&lt;=46.5,2,1)), IF(INDEX(ERP資料!$G:$G, (MATCH(907, 輔助計算!$G$2:$G$801, 0)+1))&lt;=790,3,IF(INDEX(ERP資料!$G:$G, (MATCH(907, 輔助計算!$G$2:$G$801, 0)+1))&lt;=1181,2,1))))=1,TEXT(INDEX(ERP資料!$G:$G, (MATCH(907, 輔助計算!$G$2:$G$801, 0)+1)),"0.##"),IF(MOD(INDEX(輔助計算!$D:$D, (MATCH(907, 輔助計算!$G$2:$G$801, 0)+1)),IF(INDEX(ERP資料!$G:$G, (MATCH(907, 輔助計算!$G$2:$G$801, 0)+1))&lt;100, IF(INDEX(ERP資料!$G:$G, (MATCH(907, 輔助計算!$G$2:$G$801, 0)+1))&lt;=31,3,IF(INDEX(ERP資料!$G:$G, (MATCH(907, 輔助計算!$G$2:$G$801, 0)+1))&lt;=46.5,2,1)), IF(INDEX(ERP資料!$G:$G, (MATCH(907, 輔助計算!$G$2:$G$801, 0)+1))&lt;=790,3,IF(INDEX(ERP資料!$G:$G, (MATCH(907, 輔助計算!$G$2:$G$801, 0)+1))&lt;=1181,2,1))))=2,TEXT(INDEX(ERP資料!$G:$G, (MATCH(907, 輔助計算!$G$2:$G$801, 0)+1)),"0.##")&amp;"+"&amp;TEXT(INDEX(ERP資料!$G:$G, (MATCH(907, 輔助計算!$G$2:$G$801, 0)+1)),"0.##"),TEXT(INDEX(ERP資料!$G:$G, (MATCH(907, 輔助計算!$G$2:$G$801, 0)+1)),"0.##")&amp;"+"&amp;TEXT(INDEX(ERP資料!$G:$G, (MATCH(907, 輔助計算!$G$2:$G$801, 0)+1)),"0.##")&amp;"+"&amp;TEXT(INDEX(ERP資料!$G:$G, (MATCH(907, 輔助計算!$G$2:$G$801, 0)+1)),"0.##"))))&amp;"-1")), ""), "")</f>
        <v/>
      </c>
      <c r="K908" s="16" t="n"/>
      <c r="L908" s="14">
        <f>IFERROR(IF(AND(IFERROR(INDEX(ERP資料!$A:$A, (MATCH(907, 輔助計算!$G$2:$G$801, 0)+1)), "")&lt;&gt;"", IFERROR(INDEX(ERP資料!$A:$A, (MATCH(907, 輔助計算!$G$2:$G$801, 0)+1)), "")&lt;&gt;IFERROR(INDEX(ERP資料!$A:$A, MATCH(906, 輔助計算!$G$2:$G$801, 0)+1), "")), INDEX(ERP資料!$B:$B, (MATCH(907, 輔助計算!$G$2:$G$801, 0)+1)), ""), "")</f>
        <v/>
      </c>
      <c r="M908" s="17" t="n"/>
    </row>
    <row r="909">
      <c r="A909" s="10">
        <f>IFERROR(IF(AND(IFERROR(INDEX(ERP資料!$A:$A, (MATCH(908, 輔助計算!$G$2:$G$801, 0)+1)), "")&lt;&gt;"", IFERROR(INDEX(ERP資料!$A:$A, (MATCH(908, 輔助計算!$G$2:$G$801, 0)+1)), "")&lt;&gt;IFERROR(INDEX(ERP資料!$A:$A, MATCH(907, 輔助計算!$G$2:$G$801, 0)+1), "")), IFERROR(INDEX(ERP資料!$A:$A, (MATCH(908, 輔助計算!$G$2:$G$801, 0)+1)), ""), ""), "")</f>
        <v/>
      </c>
      <c r="B909" s="10">
        <f>IFERROR(IF(AND(IFERROR(INDEX(ERP資料!$A:$A, (MATCH(908, 輔助計算!$G$2:$G$801, 0)+1)), "")&lt;&gt;"", IFERROR(INDEX(ERP資料!$A:$A, (MATCH(908, 輔助計算!$G$2:$G$801, 0)+1)), "")&lt;&gt;IFERROR(INDEX(ERP資料!$A:$A, MATCH(907, 輔助計算!$G$2:$G$801, 0)+1), "")), INDEX(ERP資料!$S:$S, (MATCH(908, 輔助計算!$G$2:$G$801, 0)+1)), ""), "")</f>
        <v/>
      </c>
      <c r="C909" s="19">
        <f>IFERROR(IF(AND(IFERROR(INDEX(ERP資料!$A:$A, (MATCH(908, 輔助計算!$G$2:$G$801, 0)+1)), "")&lt;&gt;"", IFERROR(INDEX(ERP資料!$A:$A, (MATCH(908, 輔助計算!$G$2:$G$801, 0)+1)), "")&lt;&gt;IFERROR(INDEX(ERP資料!$A:$A, MATCH(907, 輔助計算!$G$2:$G$801, 0)+1), "")), IFERROR(VLOOKUP(LEFT(INDEX(ERP資料!$S:$S, (MATCH(908, 輔助計算!$G$2:$G$801, 0)+1)), 4), 紙管對照表!$A:$C, 3, FALSE), ""), ""), "")</f>
        <v/>
      </c>
      <c r="D909" s="16" t="n"/>
      <c r="E909" s="10">
        <f>IFERROR(IF(INDEX(ERP資料!$H:$H, (MATCH(908, 輔助計算!$G$2:$G$801, 0)+1))="","",INDEX(ERP資料!$H:$H, (MATCH(908, 輔助計算!$G$2:$G$801, 0)+1))), "")</f>
        <v/>
      </c>
      <c r="F909" s="10">
        <f>IFERROR(IF(INDEX(ERP資料!$E:$E, (MATCH(908, 輔助計算!$G$2:$G$801, 0)+1))="","",TRIM(INDEX(ERP資料!$E:$E, (MATCH(908, 輔助計算!$G$2:$G$801, 0)+1)))), "")</f>
        <v/>
      </c>
      <c r="G909" s="10">
        <f>IFERROR(IF(INDEX(ERP資料!$F:$F, (MATCH(908, 輔助計算!$G$2:$G$801, 0)+1))="","",INDEX(ERP資料!$F:$F, (MATCH(908, 輔助計算!$G$2:$G$801, 0)+1))), "")</f>
        <v/>
      </c>
      <c r="H909" s="10">
        <f>IFERROR(IF(INDEX(ERP資料!$G:$G, (MATCH(908, 輔助計算!$G$2:$G$801, 0)+1))="","",INDEX(ERP資料!$G:$G, (MATCH(908, 輔助計算!$G$2:$G$801, 0)+1))), "")</f>
        <v/>
      </c>
      <c r="I909" s="15">
        <f>IFERROR(INDEX(輔助計算!$D:$D, (MATCH(908, 輔助計算!$G$2:$G$801, 0)+1)), "")</f>
        <v/>
      </c>
      <c r="J909" s="15">
        <f>IFERROR(IF(AND(INDEX(輔助計算!$D:$D, (MATCH(908, 輔助計算!$G$2:$G$801, 0)+1))&lt;&gt;"", INDEX(ERP資料!$G:$G, (MATCH(908, 輔助計算!$G$2:$G$801, 0)+1))&lt;&gt;""), TRIM(IF(INT(INDEX(輔助計算!$D:$D, (MATCH(908, 輔助計算!$G$2:$G$801, 0)+1))/IF(INDEX(ERP資料!$G:$G, (MATCH(908, 輔助計算!$G$2:$G$801, 0)+1))&lt;100, IF(INDEX(ERP資料!$G:$G, (MATCH(908, 輔助計算!$G$2:$G$801, 0)+1))&lt;=31,3,IF(INDEX(ERP資料!$G:$G, (MATCH(908, 輔助計算!$G$2:$G$801, 0)+1))&lt;=46.5,2,1)), IF(INDEX(ERP資料!$G:$G, (MATCH(908, 輔助計算!$G$2:$G$801, 0)+1))&lt;=790,3,IF(INDEX(ERP資料!$G:$G, (MATCH(908, 輔助計算!$G$2:$G$801, 0)+1))&lt;=1181,2,1))))&gt;0, IF(IF(INDEX(ERP資料!$G:$G, (MATCH(908, 輔助計算!$G$2:$G$801, 0)+1))&lt;100, IF(INDEX(ERP資料!$G:$G, (MATCH(908, 輔助計算!$G$2:$G$801, 0)+1))&lt;=31,3,IF(INDEX(ERP資料!$G:$G, (MATCH(908, 輔助計算!$G$2:$G$801, 0)+1))&lt;=46.5,2,1)), IF(INDEX(ERP資料!$G:$G, (MATCH(908, 輔助計算!$G$2:$G$801, 0)+1))&lt;=790,3,IF(INDEX(ERP資料!$G:$G, (MATCH(908, 輔助計算!$G$2:$G$801, 0)+1))&lt;=1181,2,1)))=1,TEXT(INDEX(ERP資料!$G:$G, (MATCH(908, 輔助計算!$G$2:$G$801, 0)+1)),"0.##"),IF(IF(INDEX(ERP資料!$G:$G, (MATCH(908, 輔助計算!$G$2:$G$801, 0)+1))&lt;100, IF(INDEX(ERP資料!$G:$G, (MATCH(908, 輔助計算!$G$2:$G$801, 0)+1))&lt;=31,3,IF(INDEX(ERP資料!$G:$G, (MATCH(908, 輔助計算!$G$2:$G$801, 0)+1))&lt;=46.5,2,1)), IF(INDEX(ERP資料!$G:$G, (MATCH(908, 輔助計算!$G$2:$G$801, 0)+1))&lt;=790,3,IF(INDEX(ERP資料!$G:$G, (MATCH(908, 輔助計算!$G$2:$G$801, 0)+1))&lt;=1181,2,1)))=2,TEXT(INDEX(ERP資料!$G:$G, (MATCH(908, 輔助計算!$G$2:$G$801, 0)+1)),"0.##")&amp;"+"&amp;TEXT(INDEX(ERP資料!$G:$G, (MATCH(908, 輔助計算!$G$2:$G$801, 0)+1)),"0.##"),TEXT(INDEX(ERP資料!$G:$G, (MATCH(908, 輔助計算!$G$2:$G$801, 0)+1)),"0.##")&amp;"+"&amp;TEXT(INDEX(ERP資料!$G:$G, (MATCH(908, 輔助計算!$G$2:$G$801, 0)+1)),"0.##")&amp;"+"&amp;TEXT(INDEX(ERP資料!$G:$G, (MATCH(908, 輔助計算!$G$2:$G$801, 0)+1)),"0.##")))&amp;"-"&amp;INT(INDEX(輔助計算!$D:$D, (MATCH(908, 輔助計算!$G$2:$G$801, 0)+1))/IF(INDEX(ERP資料!$G:$G, (MATCH(908, 輔助計算!$G$2:$G$801, 0)+1))&lt;100, IF(INDEX(ERP資料!$G:$G, (MATCH(908, 輔助計算!$G$2:$G$801, 0)+1))&lt;=31,3,IF(INDEX(ERP資料!$G:$G, (MATCH(908, 輔助計算!$G$2:$G$801, 0)+1))&lt;=46.5,2,1)), IF(INDEX(ERP資料!$G:$G, (MATCH(908, 輔助計算!$G$2:$G$801, 0)+1))&lt;=790,3,IF(INDEX(ERP資料!$G:$G, (MATCH(908, 輔助計算!$G$2:$G$801, 0)+1))&lt;=1181,2,1)))), "")&amp;IF(AND(IF(INT(INDEX(輔助計算!$D:$D, (MATCH(908, 輔助計算!$G$2:$G$801, 0)+1))/IF(INDEX(ERP資料!$G:$G, (MATCH(908, 輔助計算!$G$2:$G$801, 0)+1))&lt;100, IF(INDEX(ERP資料!$G:$G, (MATCH(908, 輔助計算!$G$2:$G$801, 0)+1))&lt;=31,3,IF(INDEX(ERP資料!$G:$G, (MATCH(908, 輔助計算!$G$2:$G$801, 0)+1))&lt;=46.5,2,1)), IF(INDEX(ERP資料!$G:$G, (MATCH(908, 輔助計算!$G$2:$G$801, 0)+1))&lt;=790,3,IF(INDEX(ERP資料!$G:$G, (MATCH(908, 輔助計算!$G$2:$G$801, 0)+1))&lt;=1181,2,1))))&gt;0, IF(IF(INDEX(ERP資料!$G:$G, (MATCH(908, 輔助計算!$G$2:$G$801, 0)+1))&lt;100, IF(INDEX(ERP資料!$G:$G, (MATCH(908, 輔助計算!$G$2:$G$801, 0)+1))&lt;=31,3,IF(INDEX(ERP資料!$G:$G, (MATCH(908, 輔助計算!$G$2:$G$801, 0)+1))&lt;=46.5,2,1)), IF(INDEX(ERP資料!$G:$G, (MATCH(908, 輔助計算!$G$2:$G$801, 0)+1))&lt;=790,3,IF(INDEX(ERP資料!$G:$G, (MATCH(908, 輔助計算!$G$2:$G$801, 0)+1))&lt;=1181,2,1)))=1,TEXT(INDEX(ERP資料!$G:$G, (MATCH(908, 輔助計算!$G$2:$G$801, 0)+1)),"0.##"),IF(IF(INDEX(ERP資料!$G:$G, (MATCH(908, 輔助計算!$G$2:$G$801, 0)+1))&lt;100, IF(INDEX(ERP資料!$G:$G, (MATCH(908, 輔助計算!$G$2:$G$801, 0)+1))&lt;=31,3,IF(INDEX(ERP資料!$G:$G, (MATCH(908, 輔助計算!$G$2:$G$801, 0)+1))&lt;=46.5,2,1)), IF(INDEX(ERP資料!$G:$G, (MATCH(908, 輔助計算!$G$2:$G$801, 0)+1))&lt;=790,3,IF(INDEX(ERP資料!$G:$G, (MATCH(908, 輔助計算!$G$2:$G$801, 0)+1))&lt;=1181,2,1)))=2,TEXT(INDEX(ERP資料!$G:$G, (MATCH(908, 輔助計算!$G$2:$G$801, 0)+1)),"0.##")&amp;"+"&amp;TEXT(INDEX(ERP資料!$G:$G, (MATCH(908, 輔助計算!$G$2:$G$801, 0)+1)),"0.##"),TEXT(INDEX(ERP資料!$G:$G, (MATCH(908, 輔助計算!$G$2:$G$801, 0)+1)),"0.##")&amp;"+"&amp;TEXT(INDEX(ERP資料!$G:$G, (MATCH(908, 輔助計算!$G$2:$G$801, 0)+1)),"0.##")&amp;"+"&amp;TEXT(INDEX(ERP資料!$G:$G, (MATCH(908, 輔助計算!$G$2:$G$801, 0)+1)),"0.##")))&amp;"-"&amp;INT(INDEX(輔助計算!$D:$D, (MATCH(908, 輔助計算!$G$2:$G$801, 0)+1))/IF(INDEX(ERP資料!$G:$G, (MATCH(908, 輔助計算!$G$2:$G$801, 0)+1))&lt;100, IF(INDEX(ERP資料!$G:$G, (MATCH(908, 輔助計算!$G$2:$G$801, 0)+1))&lt;=31,3,IF(INDEX(ERP資料!$G:$G, (MATCH(908, 輔助計算!$G$2:$G$801, 0)+1))&lt;=46.5,2,1)), IF(INDEX(ERP資料!$G:$G, (MATCH(908, 輔助計算!$G$2:$G$801, 0)+1))&lt;=790,3,IF(INDEX(ERP資料!$G:$G, (MATCH(908, 輔助計算!$G$2:$G$801, 0)+1))&lt;=1181,2,1)))), "")&lt;&gt;"",IF(MOD(INDEX(輔助計算!$D:$D, (MATCH(908, 輔助計算!$G$2:$G$801, 0)+1)),IF(INDEX(ERP資料!$G:$G, (MATCH(908, 輔助計算!$G$2:$G$801, 0)+1))&lt;100, IF(INDEX(ERP資料!$G:$G, (MATCH(908, 輔助計算!$G$2:$G$801, 0)+1))&lt;=31,3,IF(INDEX(ERP資料!$G:$G, (MATCH(908, 輔助計算!$G$2:$G$801, 0)+1))&lt;=46.5,2,1)), IF(INDEX(ERP資料!$G:$G, (MATCH(908, 輔助計算!$G$2:$G$801, 0)+1))&lt;=790,3,IF(INDEX(ERP資料!$G:$G, (MATCH(908, 輔助計算!$G$2:$G$801, 0)+1))&lt;=1181,2,1))))=0,"",IF(MOD(INDEX(輔助計算!$D:$D, (MATCH(908, 輔助計算!$G$2:$G$801, 0)+1)),IF(INDEX(ERP資料!$G:$G, (MATCH(908, 輔助計算!$G$2:$G$801, 0)+1))&lt;100, IF(INDEX(ERP資料!$G:$G, (MATCH(908, 輔助計算!$G$2:$G$801, 0)+1))&lt;=31,3,IF(INDEX(ERP資料!$G:$G, (MATCH(908, 輔助計算!$G$2:$G$801, 0)+1))&lt;=46.5,2,1)), IF(INDEX(ERP資料!$G:$G, (MATCH(908, 輔助計算!$G$2:$G$801, 0)+1))&lt;=790,3,IF(INDEX(ERP資料!$G:$G, (MATCH(908, 輔助計算!$G$2:$G$801, 0)+1))&lt;=1181,2,1))))=0,"",IF(MOD(INDEX(輔助計算!$D:$D, (MATCH(908, 輔助計算!$G$2:$G$801, 0)+1)),IF(INDEX(ERP資料!$G:$G, (MATCH(908, 輔助計算!$G$2:$G$801, 0)+1))&lt;100, IF(INDEX(ERP資料!$G:$G, (MATCH(908, 輔助計算!$G$2:$G$801, 0)+1))&lt;=31,3,IF(INDEX(ERP資料!$G:$G, (MATCH(908, 輔助計算!$G$2:$G$801, 0)+1))&lt;=46.5,2,1)), IF(INDEX(ERP資料!$G:$G, (MATCH(908, 輔助計算!$G$2:$G$801, 0)+1))&lt;=790,3,IF(INDEX(ERP資料!$G:$G, (MATCH(908, 輔助計算!$G$2:$G$801, 0)+1))&lt;=1181,2,1))))=1,TEXT(INDEX(ERP資料!$G:$G, (MATCH(908, 輔助計算!$G$2:$G$801, 0)+1)),"0.##"),IF(MOD(INDEX(輔助計算!$D:$D, (MATCH(908, 輔助計算!$G$2:$G$801, 0)+1)),IF(INDEX(ERP資料!$G:$G, (MATCH(908, 輔助計算!$G$2:$G$801, 0)+1))&lt;100, IF(INDEX(ERP資料!$G:$G, (MATCH(908, 輔助計算!$G$2:$G$801, 0)+1))&lt;=31,3,IF(INDEX(ERP資料!$G:$G, (MATCH(908, 輔助計算!$G$2:$G$801, 0)+1))&lt;=46.5,2,1)), IF(INDEX(ERP資料!$G:$G, (MATCH(908, 輔助計算!$G$2:$G$801, 0)+1))&lt;=790,3,IF(INDEX(ERP資料!$G:$G, (MATCH(908, 輔助計算!$G$2:$G$801, 0)+1))&lt;=1181,2,1))))=2,TEXT(INDEX(ERP資料!$G:$G, (MATCH(908, 輔助計算!$G$2:$G$801, 0)+1)),"0.##")&amp;"+"&amp;TEXT(INDEX(ERP資料!$G:$G, (MATCH(908, 輔助計算!$G$2:$G$801, 0)+1)),"0.##"),TEXT(INDEX(ERP資料!$G:$G, (MATCH(908, 輔助計算!$G$2:$G$801, 0)+1)),"0.##")&amp;"+"&amp;TEXT(INDEX(ERP資料!$G:$G, (MATCH(908, 輔助計算!$G$2:$G$801, 0)+1)),"0.##")&amp;"+"&amp;TEXT(INDEX(ERP資料!$G:$G, (MATCH(908, 輔助計算!$G$2:$G$801, 0)+1)),"0.##"))))&amp;"-1")&lt;&gt;""),"  ","")&amp;IF(MOD(INDEX(輔助計算!$D:$D, (MATCH(908, 輔助計算!$G$2:$G$801, 0)+1)),IF(INDEX(ERP資料!$G:$G, (MATCH(908, 輔助計算!$G$2:$G$801, 0)+1))&lt;100, IF(INDEX(ERP資料!$G:$G, (MATCH(908, 輔助計算!$G$2:$G$801, 0)+1))&lt;=31,3,IF(INDEX(ERP資料!$G:$G, (MATCH(908, 輔助計算!$G$2:$G$801, 0)+1))&lt;=46.5,2,1)), IF(INDEX(ERP資料!$G:$G, (MATCH(908, 輔助計算!$G$2:$G$801, 0)+1))&lt;=790,3,IF(INDEX(ERP資料!$G:$G, (MATCH(908, 輔助計算!$G$2:$G$801, 0)+1))&lt;=1181,2,1))))=0,"",IF(MOD(INDEX(輔助計算!$D:$D, (MATCH(908, 輔助計算!$G$2:$G$801, 0)+1)),IF(INDEX(ERP資料!$G:$G, (MATCH(908, 輔助計算!$G$2:$G$801, 0)+1))&lt;100, IF(INDEX(ERP資料!$G:$G, (MATCH(908, 輔助計算!$G$2:$G$801, 0)+1))&lt;=31,3,IF(INDEX(ERP資料!$G:$G, (MATCH(908, 輔助計算!$G$2:$G$801, 0)+1))&lt;=46.5,2,1)), IF(INDEX(ERP資料!$G:$G, (MATCH(908, 輔助計算!$G$2:$G$801, 0)+1))&lt;=790,3,IF(INDEX(ERP資料!$G:$G, (MATCH(908, 輔助計算!$G$2:$G$801, 0)+1))&lt;=1181,2,1))))=0,"",IF(MOD(INDEX(輔助計算!$D:$D, (MATCH(908, 輔助計算!$G$2:$G$801, 0)+1)),IF(INDEX(ERP資料!$G:$G, (MATCH(908, 輔助計算!$G$2:$G$801, 0)+1))&lt;100, IF(INDEX(ERP資料!$G:$G, (MATCH(908, 輔助計算!$G$2:$G$801, 0)+1))&lt;=31,3,IF(INDEX(ERP資料!$G:$G, (MATCH(908, 輔助計算!$G$2:$G$801, 0)+1))&lt;=46.5,2,1)), IF(INDEX(ERP資料!$G:$G, (MATCH(908, 輔助計算!$G$2:$G$801, 0)+1))&lt;=790,3,IF(INDEX(ERP資料!$G:$G, (MATCH(908, 輔助計算!$G$2:$G$801, 0)+1))&lt;=1181,2,1))))=1,TEXT(INDEX(ERP資料!$G:$G, (MATCH(908, 輔助計算!$G$2:$G$801, 0)+1)),"0.##"),IF(MOD(INDEX(輔助計算!$D:$D, (MATCH(908, 輔助計算!$G$2:$G$801, 0)+1)),IF(INDEX(ERP資料!$G:$G, (MATCH(908, 輔助計算!$G$2:$G$801, 0)+1))&lt;100, IF(INDEX(ERP資料!$G:$G, (MATCH(908, 輔助計算!$G$2:$G$801, 0)+1))&lt;=31,3,IF(INDEX(ERP資料!$G:$G, (MATCH(908, 輔助計算!$G$2:$G$801, 0)+1))&lt;=46.5,2,1)), IF(INDEX(ERP資料!$G:$G, (MATCH(908, 輔助計算!$G$2:$G$801, 0)+1))&lt;=790,3,IF(INDEX(ERP資料!$G:$G, (MATCH(908, 輔助計算!$G$2:$G$801, 0)+1))&lt;=1181,2,1))))=2,TEXT(INDEX(ERP資料!$G:$G, (MATCH(908, 輔助計算!$G$2:$G$801, 0)+1)),"0.##")&amp;"+"&amp;TEXT(INDEX(ERP資料!$G:$G, (MATCH(908, 輔助計算!$G$2:$G$801, 0)+1)),"0.##"),TEXT(INDEX(ERP資料!$G:$G, (MATCH(908, 輔助計算!$G$2:$G$801, 0)+1)),"0.##")&amp;"+"&amp;TEXT(INDEX(ERP資料!$G:$G, (MATCH(908, 輔助計算!$G$2:$G$801, 0)+1)),"0.##")&amp;"+"&amp;TEXT(INDEX(ERP資料!$G:$G, (MATCH(908, 輔助計算!$G$2:$G$801, 0)+1)),"0.##"))))&amp;"-1")), ""), "")</f>
        <v/>
      </c>
      <c r="K909" s="16" t="n"/>
      <c r="L909" s="14">
        <f>IFERROR(IF(AND(IFERROR(INDEX(ERP資料!$A:$A, (MATCH(908, 輔助計算!$G$2:$G$801, 0)+1)), "")&lt;&gt;"", IFERROR(INDEX(ERP資料!$A:$A, (MATCH(908, 輔助計算!$G$2:$G$801, 0)+1)), "")&lt;&gt;IFERROR(INDEX(ERP資料!$A:$A, MATCH(907, 輔助計算!$G$2:$G$801, 0)+1), "")), INDEX(ERP資料!$B:$B, (MATCH(908, 輔助計算!$G$2:$G$801, 0)+1)), ""), "")</f>
        <v/>
      </c>
      <c r="M909" s="17" t="n"/>
    </row>
    <row r="910">
      <c r="A910" s="10">
        <f>IFERROR(IF(AND(IFERROR(INDEX(ERP資料!$A:$A, (MATCH(909, 輔助計算!$G$2:$G$801, 0)+1)), "")&lt;&gt;"", IFERROR(INDEX(ERP資料!$A:$A, (MATCH(909, 輔助計算!$G$2:$G$801, 0)+1)), "")&lt;&gt;IFERROR(INDEX(ERP資料!$A:$A, MATCH(908, 輔助計算!$G$2:$G$801, 0)+1), "")), IFERROR(INDEX(ERP資料!$A:$A, (MATCH(909, 輔助計算!$G$2:$G$801, 0)+1)), ""), ""), "")</f>
        <v/>
      </c>
      <c r="B910" s="10">
        <f>IFERROR(IF(AND(IFERROR(INDEX(ERP資料!$A:$A, (MATCH(909, 輔助計算!$G$2:$G$801, 0)+1)), "")&lt;&gt;"", IFERROR(INDEX(ERP資料!$A:$A, (MATCH(909, 輔助計算!$G$2:$G$801, 0)+1)), "")&lt;&gt;IFERROR(INDEX(ERP資料!$A:$A, MATCH(908, 輔助計算!$G$2:$G$801, 0)+1), "")), INDEX(ERP資料!$S:$S, (MATCH(909, 輔助計算!$G$2:$G$801, 0)+1)), ""), "")</f>
        <v/>
      </c>
      <c r="C910" s="19">
        <f>IFERROR(IF(AND(IFERROR(INDEX(ERP資料!$A:$A, (MATCH(909, 輔助計算!$G$2:$G$801, 0)+1)), "")&lt;&gt;"", IFERROR(INDEX(ERP資料!$A:$A, (MATCH(909, 輔助計算!$G$2:$G$801, 0)+1)), "")&lt;&gt;IFERROR(INDEX(ERP資料!$A:$A, MATCH(908, 輔助計算!$G$2:$G$801, 0)+1), "")), IFERROR(VLOOKUP(LEFT(INDEX(ERP資料!$S:$S, (MATCH(909, 輔助計算!$G$2:$G$801, 0)+1)), 4), 紙管對照表!$A:$C, 3, FALSE), ""), ""), "")</f>
        <v/>
      </c>
      <c r="D910" s="16" t="n"/>
      <c r="E910" s="10">
        <f>IFERROR(IF(INDEX(ERP資料!$H:$H, (MATCH(909, 輔助計算!$G$2:$G$801, 0)+1))="","",INDEX(ERP資料!$H:$H, (MATCH(909, 輔助計算!$G$2:$G$801, 0)+1))), "")</f>
        <v/>
      </c>
      <c r="F910" s="10">
        <f>IFERROR(IF(INDEX(ERP資料!$E:$E, (MATCH(909, 輔助計算!$G$2:$G$801, 0)+1))="","",TRIM(INDEX(ERP資料!$E:$E, (MATCH(909, 輔助計算!$G$2:$G$801, 0)+1)))), "")</f>
        <v/>
      </c>
      <c r="G910" s="10">
        <f>IFERROR(IF(INDEX(ERP資料!$F:$F, (MATCH(909, 輔助計算!$G$2:$G$801, 0)+1))="","",INDEX(ERP資料!$F:$F, (MATCH(909, 輔助計算!$G$2:$G$801, 0)+1))), "")</f>
        <v/>
      </c>
      <c r="H910" s="10">
        <f>IFERROR(IF(INDEX(ERP資料!$G:$G, (MATCH(909, 輔助計算!$G$2:$G$801, 0)+1))="","",INDEX(ERP資料!$G:$G, (MATCH(909, 輔助計算!$G$2:$G$801, 0)+1))), "")</f>
        <v/>
      </c>
      <c r="I910" s="15">
        <f>IFERROR(INDEX(輔助計算!$D:$D, (MATCH(909, 輔助計算!$G$2:$G$801, 0)+1)), "")</f>
        <v/>
      </c>
      <c r="J910" s="15">
        <f>IFERROR(IF(AND(INDEX(輔助計算!$D:$D, (MATCH(909, 輔助計算!$G$2:$G$801, 0)+1))&lt;&gt;"", INDEX(ERP資料!$G:$G, (MATCH(909, 輔助計算!$G$2:$G$801, 0)+1))&lt;&gt;""), TRIM(IF(INT(INDEX(輔助計算!$D:$D, (MATCH(909, 輔助計算!$G$2:$G$801, 0)+1))/IF(INDEX(ERP資料!$G:$G, (MATCH(909, 輔助計算!$G$2:$G$801, 0)+1))&lt;100, IF(INDEX(ERP資料!$G:$G, (MATCH(909, 輔助計算!$G$2:$G$801, 0)+1))&lt;=31,3,IF(INDEX(ERP資料!$G:$G, (MATCH(909, 輔助計算!$G$2:$G$801, 0)+1))&lt;=46.5,2,1)), IF(INDEX(ERP資料!$G:$G, (MATCH(909, 輔助計算!$G$2:$G$801, 0)+1))&lt;=790,3,IF(INDEX(ERP資料!$G:$G, (MATCH(909, 輔助計算!$G$2:$G$801, 0)+1))&lt;=1181,2,1))))&gt;0, IF(IF(INDEX(ERP資料!$G:$G, (MATCH(909, 輔助計算!$G$2:$G$801, 0)+1))&lt;100, IF(INDEX(ERP資料!$G:$G, (MATCH(909, 輔助計算!$G$2:$G$801, 0)+1))&lt;=31,3,IF(INDEX(ERP資料!$G:$G, (MATCH(909, 輔助計算!$G$2:$G$801, 0)+1))&lt;=46.5,2,1)), IF(INDEX(ERP資料!$G:$G, (MATCH(909, 輔助計算!$G$2:$G$801, 0)+1))&lt;=790,3,IF(INDEX(ERP資料!$G:$G, (MATCH(909, 輔助計算!$G$2:$G$801, 0)+1))&lt;=1181,2,1)))=1,TEXT(INDEX(ERP資料!$G:$G, (MATCH(909, 輔助計算!$G$2:$G$801, 0)+1)),"0.##"),IF(IF(INDEX(ERP資料!$G:$G, (MATCH(909, 輔助計算!$G$2:$G$801, 0)+1))&lt;100, IF(INDEX(ERP資料!$G:$G, (MATCH(909, 輔助計算!$G$2:$G$801, 0)+1))&lt;=31,3,IF(INDEX(ERP資料!$G:$G, (MATCH(909, 輔助計算!$G$2:$G$801, 0)+1))&lt;=46.5,2,1)), IF(INDEX(ERP資料!$G:$G, (MATCH(909, 輔助計算!$G$2:$G$801, 0)+1))&lt;=790,3,IF(INDEX(ERP資料!$G:$G, (MATCH(909, 輔助計算!$G$2:$G$801, 0)+1))&lt;=1181,2,1)))=2,TEXT(INDEX(ERP資料!$G:$G, (MATCH(909, 輔助計算!$G$2:$G$801, 0)+1)),"0.##")&amp;"+"&amp;TEXT(INDEX(ERP資料!$G:$G, (MATCH(909, 輔助計算!$G$2:$G$801, 0)+1)),"0.##"),TEXT(INDEX(ERP資料!$G:$G, (MATCH(909, 輔助計算!$G$2:$G$801, 0)+1)),"0.##")&amp;"+"&amp;TEXT(INDEX(ERP資料!$G:$G, (MATCH(909, 輔助計算!$G$2:$G$801, 0)+1)),"0.##")&amp;"+"&amp;TEXT(INDEX(ERP資料!$G:$G, (MATCH(909, 輔助計算!$G$2:$G$801, 0)+1)),"0.##")))&amp;"-"&amp;INT(INDEX(輔助計算!$D:$D, (MATCH(909, 輔助計算!$G$2:$G$801, 0)+1))/IF(INDEX(ERP資料!$G:$G, (MATCH(909, 輔助計算!$G$2:$G$801, 0)+1))&lt;100, IF(INDEX(ERP資料!$G:$G, (MATCH(909, 輔助計算!$G$2:$G$801, 0)+1))&lt;=31,3,IF(INDEX(ERP資料!$G:$G, (MATCH(909, 輔助計算!$G$2:$G$801, 0)+1))&lt;=46.5,2,1)), IF(INDEX(ERP資料!$G:$G, (MATCH(909, 輔助計算!$G$2:$G$801, 0)+1))&lt;=790,3,IF(INDEX(ERP資料!$G:$G, (MATCH(909, 輔助計算!$G$2:$G$801, 0)+1))&lt;=1181,2,1)))), "")&amp;IF(AND(IF(INT(INDEX(輔助計算!$D:$D, (MATCH(909, 輔助計算!$G$2:$G$801, 0)+1))/IF(INDEX(ERP資料!$G:$G, (MATCH(909, 輔助計算!$G$2:$G$801, 0)+1))&lt;100, IF(INDEX(ERP資料!$G:$G, (MATCH(909, 輔助計算!$G$2:$G$801, 0)+1))&lt;=31,3,IF(INDEX(ERP資料!$G:$G, (MATCH(909, 輔助計算!$G$2:$G$801, 0)+1))&lt;=46.5,2,1)), IF(INDEX(ERP資料!$G:$G, (MATCH(909, 輔助計算!$G$2:$G$801, 0)+1))&lt;=790,3,IF(INDEX(ERP資料!$G:$G, (MATCH(909, 輔助計算!$G$2:$G$801, 0)+1))&lt;=1181,2,1))))&gt;0, IF(IF(INDEX(ERP資料!$G:$G, (MATCH(909, 輔助計算!$G$2:$G$801, 0)+1))&lt;100, IF(INDEX(ERP資料!$G:$G, (MATCH(909, 輔助計算!$G$2:$G$801, 0)+1))&lt;=31,3,IF(INDEX(ERP資料!$G:$G, (MATCH(909, 輔助計算!$G$2:$G$801, 0)+1))&lt;=46.5,2,1)), IF(INDEX(ERP資料!$G:$G, (MATCH(909, 輔助計算!$G$2:$G$801, 0)+1))&lt;=790,3,IF(INDEX(ERP資料!$G:$G, (MATCH(909, 輔助計算!$G$2:$G$801, 0)+1))&lt;=1181,2,1)))=1,TEXT(INDEX(ERP資料!$G:$G, (MATCH(909, 輔助計算!$G$2:$G$801, 0)+1)),"0.##"),IF(IF(INDEX(ERP資料!$G:$G, (MATCH(909, 輔助計算!$G$2:$G$801, 0)+1))&lt;100, IF(INDEX(ERP資料!$G:$G, (MATCH(909, 輔助計算!$G$2:$G$801, 0)+1))&lt;=31,3,IF(INDEX(ERP資料!$G:$G, (MATCH(909, 輔助計算!$G$2:$G$801, 0)+1))&lt;=46.5,2,1)), IF(INDEX(ERP資料!$G:$G, (MATCH(909, 輔助計算!$G$2:$G$801, 0)+1))&lt;=790,3,IF(INDEX(ERP資料!$G:$G, (MATCH(909, 輔助計算!$G$2:$G$801, 0)+1))&lt;=1181,2,1)))=2,TEXT(INDEX(ERP資料!$G:$G, (MATCH(909, 輔助計算!$G$2:$G$801, 0)+1)),"0.##")&amp;"+"&amp;TEXT(INDEX(ERP資料!$G:$G, (MATCH(909, 輔助計算!$G$2:$G$801, 0)+1)),"0.##"),TEXT(INDEX(ERP資料!$G:$G, (MATCH(909, 輔助計算!$G$2:$G$801, 0)+1)),"0.##")&amp;"+"&amp;TEXT(INDEX(ERP資料!$G:$G, (MATCH(909, 輔助計算!$G$2:$G$801, 0)+1)),"0.##")&amp;"+"&amp;TEXT(INDEX(ERP資料!$G:$G, (MATCH(909, 輔助計算!$G$2:$G$801, 0)+1)),"0.##")))&amp;"-"&amp;INT(INDEX(輔助計算!$D:$D, (MATCH(909, 輔助計算!$G$2:$G$801, 0)+1))/IF(INDEX(ERP資料!$G:$G, (MATCH(909, 輔助計算!$G$2:$G$801, 0)+1))&lt;100, IF(INDEX(ERP資料!$G:$G, (MATCH(909, 輔助計算!$G$2:$G$801, 0)+1))&lt;=31,3,IF(INDEX(ERP資料!$G:$G, (MATCH(909, 輔助計算!$G$2:$G$801, 0)+1))&lt;=46.5,2,1)), IF(INDEX(ERP資料!$G:$G, (MATCH(909, 輔助計算!$G$2:$G$801, 0)+1))&lt;=790,3,IF(INDEX(ERP資料!$G:$G, (MATCH(909, 輔助計算!$G$2:$G$801, 0)+1))&lt;=1181,2,1)))), "")&lt;&gt;"",IF(MOD(INDEX(輔助計算!$D:$D, (MATCH(909, 輔助計算!$G$2:$G$801, 0)+1)),IF(INDEX(ERP資料!$G:$G, (MATCH(909, 輔助計算!$G$2:$G$801, 0)+1))&lt;100, IF(INDEX(ERP資料!$G:$G, (MATCH(909, 輔助計算!$G$2:$G$801, 0)+1))&lt;=31,3,IF(INDEX(ERP資料!$G:$G, (MATCH(909, 輔助計算!$G$2:$G$801, 0)+1))&lt;=46.5,2,1)), IF(INDEX(ERP資料!$G:$G, (MATCH(909, 輔助計算!$G$2:$G$801, 0)+1))&lt;=790,3,IF(INDEX(ERP資料!$G:$G, (MATCH(909, 輔助計算!$G$2:$G$801, 0)+1))&lt;=1181,2,1))))=0,"",IF(MOD(INDEX(輔助計算!$D:$D, (MATCH(909, 輔助計算!$G$2:$G$801, 0)+1)),IF(INDEX(ERP資料!$G:$G, (MATCH(909, 輔助計算!$G$2:$G$801, 0)+1))&lt;100, IF(INDEX(ERP資料!$G:$G, (MATCH(909, 輔助計算!$G$2:$G$801, 0)+1))&lt;=31,3,IF(INDEX(ERP資料!$G:$G, (MATCH(909, 輔助計算!$G$2:$G$801, 0)+1))&lt;=46.5,2,1)), IF(INDEX(ERP資料!$G:$G, (MATCH(909, 輔助計算!$G$2:$G$801, 0)+1))&lt;=790,3,IF(INDEX(ERP資料!$G:$G, (MATCH(909, 輔助計算!$G$2:$G$801, 0)+1))&lt;=1181,2,1))))=0,"",IF(MOD(INDEX(輔助計算!$D:$D, (MATCH(909, 輔助計算!$G$2:$G$801, 0)+1)),IF(INDEX(ERP資料!$G:$G, (MATCH(909, 輔助計算!$G$2:$G$801, 0)+1))&lt;100, IF(INDEX(ERP資料!$G:$G, (MATCH(909, 輔助計算!$G$2:$G$801, 0)+1))&lt;=31,3,IF(INDEX(ERP資料!$G:$G, (MATCH(909, 輔助計算!$G$2:$G$801, 0)+1))&lt;=46.5,2,1)), IF(INDEX(ERP資料!$G:$G, (MATCH(909, 輔助計算!$G$2:$G$801, 0)+1))&lt;=790,3,IF(INDEX(ERP資料!$G:$G, (MATCH(909, 輔助計算!$G$2:$G$801, 0)+1))&lt;=1181,2,1))))=1,TEXT(INDEX(ERP資料!$G:$G, (MATCH(909, 輔助計算!$G$2:$G$801, 0)+1)),"0.##"),IF(MOD(INDEX(輔助計算!$D:$D, (MATCH(909, 輔助計算!$G$2:$G$801, 0)+1)),IF(INDEX(ERP資料!$G:$G, (MATCH(909, 輔助計算!$G$2:$G$801, 0)+1))&lt;100, IF(INDEX(ERP資料!$G:$G, (MATCH(909, 輔助計算!$G$2:$G$801, 0)+1))&lt;=31,3,IF(INDEX(ERP資料!$G:$G, (MATCH(909, 輔助計算!$G$2:$G$801, 0)+1))&lt;=46.5,2,1)), IF(INDEX(ERP資料!$G:$G, (MATCH(909, 輔助計算!$G$2:$G$801, 0)+1))&lt;=790,3,IF(INDEX(ERP資料!$G:$G, (MATCH(909, 輔助計算!$G$2:$G$801, 0)+1))&lt;=1181,2,1))))=2,TEXT(INDEX(ERP資料!$G:$G, (MATCH(909, 輔助計算!$G$2:$G$801, 0)+1)),"0.##")&amp;"+"&amp;TEXT(INDEX(ERP資料!$G:$G, (MATCH(909, 輔助計算!$G$2:$G$801, 0)+1)),"0.##"),TEXT(INDEX(ERP資料!$G:$G, (MATCH(909, 輔助計算!$G$2:$G$801, 0)+1)),"0.##")&amp;"+"&amp;TEXT(INDEX(ERP資料!$G:$G, (MATCH(909, 輔助計算!$G$2:$G$801, 0)+1)),"0.##")&amp;"+"&amp;TEXT(INDEX(ERP資料!$G:$G, (MATCH(909, 輔助計算!$G$2:$G$801, 0)+1)),"0.##"))))&amp;"-1")&lt;&gt;""),"  ","")&amp;IF(MOD(INDEX(輔助計算!$D:$D, (MATCH(909, 輔助計算!$G$2:$G$801, 0)+1)),IF(INDEX(ERP資料!$G:$G, (MATCH(909, 輔助計算!$G$2:$G$801, 0)+1))&lt;100, IF(INDEX(ERP資料!$G:$G, (MATCH(909, 輔助計算!$G$2:$G$801, 0)+1))&lt;=31,3,IF(INDEX(ERP資料!$G:$G, (MATCH(909, 輔助計算!$G$2:$G$801, 0)+1))&lt;=46.5,2,1)), IF(INDEX(ERP資料!$G:$G, (MATCH(909, 輔助計算!$G$2:$G$801, 0)+1))&lt;=790,3,IF(INDEX(ERP資料!$G:$G, (MATCH(909, 輔助計算!$G$2:$G$801, 0)+1))&lt;=1181,2,1))))=0,"",IF(MOD(INDEX(輔助計算!$D:$D, (MATCH(909, 輔助計算!$G$2:$G$801, 0)+1)),IF(INDEX(ERP資料!$G:$G, (MATCH(909, 輔助計算!$G$2:$G$801, 0)+1))&lt;100, IF(INDEX(ERP資料!$G:$G, (MATCH(909, 輔助計算!$G$2:$G$801, 0)+1))&lt;=31,3,IF(INDEX(ERP資料!$G:$G, (MATCH(909, 輔助計算!$G$2:$G$801, 0)+1))&lt;=46.5,2,1)), IF(INDEX(ERP資料!$G:$G, (MATCH(909, 輔助計算!$G$2:$G$801, 0)+1))&lt;=790,3,IF(INDEX(ERP資料!$G:$G, (MATCH(909, 輔助計算!$G$2:$G$801, 0)+1))&lt;=1181,2,1))))=0,"",IF(MOD(INDEX(輔助計算!$D:$D, (MATCH(909, 輔助計算!$G$2:$G$801, 0)+1)),IF(INDEX(ERP資料!$G:$G, (MATCH(909, 輔助計算!$G$2:$G$801, 0)+1))&lt;100, IF(INDEX(ERP資料!$G:$G, (MATCH(909, 輔助計算!$G$2:$G$801, 0)+1))&lt;=31,3,IF(INDEX(ERP資料!$G:$G, (MATCH(909, 輔助計算!$G$2:$G$801, 0)+1))&lt;=46.5,2,1)), IF(INDEX(ERP資料!$G:$G, (MATCH(909, 輔助計算!$G$2:$G$801, 0)+1))&lt;=790,3,IF(INDEX(ERP資料!$G:$G, (MATCH(909, 輔助計算!$G$2:$G$801, 0)+1))&lt;=1181,2,1))))=1,TEXT(INDEX(ERP資料!$G:$G, (MATCH(909, 輔助計算!$G$2:$G$801, 0)+1)),"0.##"),IF(MOD(INDEX(輔助計算!$D:$D, (MATCH(909, 輔助計算!$G$2:$G$801, 0)+1)),IF(INDEX(ERP資料!$G:$G, (MATCH(909, 輔助計算!$G$2:$G$801, 0)+1))&lt;100, IF(INDEX(ERP資料!$G:$G, (MATCH(909, 輔助計算!$G$2:$G$801, 0)+1))&lt;=31,3,IF(INDEX(ERP資料!$G:$G, (MATCH(909, 輔助計算!$G$2:$G$801, 0)+1))&lt;=46.5,2,1)), IF(INDEX(ERP資料!$G:$G, (MATCH(909, 輔助計算!$G$2:$G$801, 0)+1))&lt;=790,3,IF(INDEX(ERP資料!$G:$G, (MATCH(909, 輔助計算!$G$2:$G$801, 0)+1))&lt;=1181,2,1))))=2,TEXT(INDEX(ERP資料!$G:$G, (MATCH(909, 輔助計算!$G$2:$G$801, 0)+1)),"0.##")&amp;"+"&amp;TEXT(INDEX(ERP資料!$G:$G, (MATCH(909, 輔助計算!$G$2:$G$801, 0)+1)),"0.##"),TEXT(INDEX(ERP資料!$G:$G, (MATCH(909, 輔助計算!$G$2:$G$801, 0)+1)),"0.##")&amp;"+"&amp;TEXT(INDEX(ERP資料!$G:$G, (MATCH(909, 輔助計算!$G$2:$G$801, 0)+1)),"0.##")&amp;"+"&amp;TEXT(INDEX(ERP資料!$G:$G, (MATCH(909, 輔助計算!$G$2:$G$801, 0)+1)),"0.##"))))&amp;"-1")), ""), "")</f>
        <v/>
      </c>
      <c r="K910" s="16" t="n"/>
      <c r="L910" s="14">
        <f>IFERROR(IF(AND(IFERROR(INDEX(ERP資料!$A:$A, (MATCH(909, 輔助計算!$G$2:$G$801, 0)+1)), "")&lt;&gt;"", IFERROR(INDEX(ERP資料!$A:$A, (MATCH(909, 輔助計算!$G$2:$G$801, 0)+1)), "")&lt;&gt;IFERROR(INDEX(ERP資料!$A:$A, MATCH(908, 輔助計算!$G$2:$G$801, 0)+1), "")), INDEX(ERP資料!$B:$B, (MATCH(909, 輔助計算!$G$2:$G$801, 0)+1)), ""), "")</f>
        <v/>
      </c>
      <c r="M910" s="17" t="n"/>
    </row>
    <row r="911">
      <c r="A911" s="10">
        <f>IFERROR(IF(AND(IFERROR(INDEX(ERP資料!$A:$A, (MATCH(910, 輔助計算!$G$2:$G$801, 0)+1)), "")&lt;&gt;"", IFERROR(INDEX(ERP資料!$A:$A, (MATCH(910, 輔助計算!$G$2:$G$801, 0)+1)), "")&lt;&gt;IFERROR(INDEX(ERP資料!$A:$A, MATCH(909, 輔助計算!$G$2:$G$801, 0)+1), "")), IFERROR(INDEX(ERP資料!$A:$A, (MATCH(910, 輔助計算!$G$2:$G$801, 0)+1)), ""), ""), "")</f>
        <v/>
      </c>
      <c r="B911" s="10">
        <f>IFERROR(IF(AND(IFERROR(INDEX(ERP資料!$A:$A, (MATCH(910, 輔助計算!$G$2:$G$801, 0)+1)), "")&lt;&gt;"", IFERROR(INDEX(ERP資料!$A:$A, (MATCH(910, 輔助計算!$G$2:$G$801, 0)+1)), "")&lt;&gt;IFERROR(INDEX(ERP資料!$A:$A, MATCH(909, 輔助計算!$G$2:$G$801, 0)+1), "")), INDEX(ERP資料!$S:$S, (MATCH(910, 輔助計算!$G$2:$G$801, 0)+1)), ""), "")</f>
        <v/>
      </c>
      <c r="C911" s="19">
        <f>IFERROR(IF(AND(IFERROR(INDEX(ERP資料!$A:$A, (MATCH(910, 輔助計算!$G$2:$G$801, 0)+1)), "")&lt;&gt;"", IFERROR(INDEX(ERP資料!$A:$A, (MATCH(910, 輔助計算!$G$2:$G$801, 0)+1)), "")&lt;&gt;IFERROR(INDEX(ERP資料!$A:$A, MATCH(909, 輔助計算!$G$2:$G$801, 0)+1), "")), IFERROR(VLOOKUP(LEFT(INDEX(ERP資料!$S:$S, (MATCH(910, 輔助計算!$G$2:$G$801, 0)+1)), 4), 紙管對照表!$A:$C, 3, FALSE), ""), ""), "")</f>
        <v/>
      </c>
      <c r="D911" s="16" t="n"/>
      <c r="E911" s="10">
        <f>IFERROR(IF(INDEX(ERP資料!$H:$H, (MATCH(910, 輔助計算!$G$2:$G$801, 0)+1))="","",INDEX(ERP資料!$H:$H, (MATCH(910, 輔助計算!$G$2:$G$801, 0)+1))), "")</f>
        <v/>
      </c>
      <c r="F911" s="10">
        <f>IFERROR(IF(INDEX(ERP資料!$E:$E, (MATCH(910, 輔助計算!$G$2:$G$801, 0)+1))="","",TRIM(INDEX(ERP資料!$E:$E, (MATCH(910, 輔助計算!$G$2:$G$801, 0)+1)))), "")</f>
        <v/>
      </c>
      <c r="G911" s="10">
        <f>IFERROR(IF(INDEX(ERP資料!$F:$F, (MATCH(910, 輔助計算!$G$2:$G$801, 0)+1))="","",INDEX(ERP資料!$F:$F, (MATCH(910, 輔助計算!$G$2:$G$801, 0)+1))), "")</f>
        <v/>
      </c>
      <c r="H911" s="10">
        <f>IFERROR(IF(INDEX(ERP資料!$G:$G, (MATCH(910, 輔助計算!$G$2:$G$801, 0)+1))="","",INDEX(ERP資料!$G:$G, (MATCH(910, 輔助計算!$G$2:$G$801, 0)+1))), "")</f>
        <v/>
      </c>
      <c r="I911" s="15">
        <f>IFERROR(INDEX(輔助計算!$D:$D, (MATCH(910, 輔助計算!$G$2:$G$801, 0)+1)), "")</f>
        <v/>
      </c>
      <c r="J911" s="15">
        <f>IFERROR(IF(AND(INDEX(輔助計算!$D:$D, (MATCH(910, 輔助計算!$G$2:$G$801, 0)+1))&lt;&gt;"", INDEX(ERP資料!$G:$G, (MATCH(910, 輔助計算!$G$2:$G$801, 0)+1))&lt;&gt;""), TRIM(IF(INT(INDEX(輔助計算!$D:$D, (MATCH(910, 輔助計算!$G$2:$G$801, 0)+1))/IF(INDEX(ERP資料!$G:$G, (MATCH(910, 輔助計算!$G$2:$G$801, 0)+1))&lt;100, IF(INDEX(ERP資料!$G:$G, (MATCH(910, 輔助計算!$G$2:$G$801, 0)+1))&lt;=31,3,IF(INDEX(ERP資料!$G:$G, (MATCH(910, 輔助計算!$G$2:$G$801, 0)+1))&lt;=46.5,2,1)), IF(INDEX(ERP資料!$G:$G, (MATCH(910, 輔助計算!$G$2:$G$801, 0)+1))&lt;=790,3,IF(INDEX(ERP資料!$G:$G, (MATCH(910, 輔助計算!$G$2:$G$801, 0)+1))&lt;=1181,2,1))))&gt;0, IF(IF(INDEX(ERP資料!$G:$G, (MATCH(910, 輔助計算!$G$2:$G$801, 0)+1))&lt;100, IF(INDEX(ERP資料!$G:$G, (MATCH(910, 輔助計算!$G$2:$G$801, 0)+1))&lt;=31,3,IF(INDEX(ERP資料!$G:$G, (MATCH(910, 輔助計算!$G$2:$G$801, 0)+1))&lt;=46.5,2,1)), IF(INDEX(ERP資料!$G:$G, (MATCH(910, 輔助計算!$G$2:$G$801, 0)+1))&lt;=790,3,IF(INDEX(ERP資料!$G:$G, (MATCH(910, 輔助計算!$G$2:$G$801, 0)+1))&lt;=1181,2,1)))=1,TEXT(INDEX(ERP資料!$G:$G, (MATCH(910, 輔助計算!$G$2:$G$801, 0)+1)),"0.##"),IF(IF(INDEX(ERP資料!$G:$G, (MATCH(910, 輔助計算!$G$2:$G$801, 0)+1))&lt;100, IF(INDEX(ERP資料!$G:$G, (MATCH(910, 輔助計算!$G$2:$G$801, 0)+1))&lt;=31,3,IF(INDEX(ERP資料!$G:$G, (MATCH(910, 輔助計算!$G$2:$G$801, 0)+1))&lt;=46.5,2,1)), IF(INDEX(ERP資料!$G:$G, (MATCH(910, 輔助計算!$G$2:$G$801, 0)+1))&lt;=790,3,IF(INDEX(ERP資料!$G:$G, (MATCH(910, 輔助計算!$G$2:$G$801, 0)+1))&lt;=1181,2,1)))=2,TEXT(INDEX(ERP資料!$G:$G, (MATCH(910, 輔助計算!$G$2:$G$801, 0)+1)),"0.##")&amp;"+"&amp;TEXT(INDEX(ERP資料!$G:$G, (MATCH(910, 輔助計算!$G$2:$G$801, 0)+1)),"0.##"),TEXT(INDEX(ERP資料!$G:$G, (MATCH(910, 輔助計算!$G$2:$G$801, 0)+1)),"0.##")&amp;"+"&amp;TEXT(INDEX(ERP資料!$G:$G, (MATCH(910, 輔助計算!$G$2:$G$801, 0)+1)),"0.##")&amp;"+"&amp;TEXT(INDEX(ERP資料!$G:$G, (MATCH(910, 輔助計算!$G$2:$G$801, 0)+1)),"0.##")))&amp;"-"&amp;INT(INDEX(輔助計算!$D:$D, (MATCH(910, 輔助計算!$G$2:$G$801, 0)+1))/IF(INDEX(ERP資料!$G:$G, (MATCH(910, 輔助計算!$G$2:$G$801, 0)+1))&lt;100, IF(INDEX(ERP資料!$G:$G, (MATCH(910, 輔助計算!$G$2:$G$801, 0)+1))&lt;=31,3,IF(INDEX(ERP資料!$G:$G, (MATCH(910, 輔助計算!$G$2:$G$801, 0)+1))&lt;=46.5,2,1)), IF(INDEX(ERP資料!$G:$G, (MATCH(910, 輔助計算!$G$2:$G$801, 0)+1))&lt;=790,3,IF(INDEX(ERP資料!$G:$G, (MATCH(910, 輔助計算!$G$2:$G$801, 0)+1))&lt;=1181,2,1)))), "")&amp;IF(AND(IF(INT(INDEX(輔助計算!$D:$D, (MATCH(910, 輔助計算!$G$2:$G$801, 0)+1))/IF(INDEX(ERP資料!$G:$G, (MATCH(910, 輔助計算!$G$2:$G$801, 0)+1))&lt;100, IF(INDEX(ERP資料!$G:$G, (MATCH(910, 輔助計算!$G$2:$G$801, 0)+1))&lt;=31,3,IF(INDEX(ERP資料!$G:$G, (MATCH(910, 輔助計算!$G$2:$G$801, 0)+1))&lt;=46.5,2,1)), IF(INDEX(ERP資料!$G:$G, (MATCH(910, 輔助計算!$G$2:$G$801, 0)+1))&lt;=790,3,IF(INDEX(ERP資料!$G:$G, (MATCH(910, 輔助計算!$G$2:$G$801, 0)+1))&lt;=1181,2,1))))&gt;0, IF(IF(INDEX(ERP資料!$G:$G, (MATCH(910, 輔助計算!$G$2:$G$801, 0)+1))&lt;100, IF(INDEX(ERP資料!$G:$G, (MATCH(910, 輔助計算!$G$2:$G$801, 0)+1))&lt;=31,3,IF(INDEX(ERP資料!$G:$G, (MATCH(910, 輔助計算!$G$2:$G$801, 0)+1))&lt;=46.5,2,1)), IF(INDEX(ERP資料!$G:$G, (MATCH(910, 輔助計算!$G$2:$G$801, 0)+1))&lt;=790,3,IF(INDEX(ERP資料!$G:$G, (MATCH(910, 輔助計算!$G$2:$G$801, 0)+1))&lt;=1181,2,1)))=1,TEXT(INDEX(ERP資料!$G:$G, (MATCH(910, 輔助計算!$G$2:$G$801, 0)+1)),"0.##"),IF(IF(INDEX(ERP資料!$G:$G, (MATCH(910, 輔助計算!$G$2:$G$801, 0)+1))&lt;100, IF(INDEX(ERP資料!$G:$G, (MATCH(910, 輔助計算!$G$2:$G$801, 0)+1))&lt;=31,3,IF(INDEX(ERP資料!$G:$G, (MATCH(910, 輔助計算!$G$2:$G$801, 0)+1))&lt;=46.5,2,1)), IF(INDEX(ERP資料!$G:$G, (MATCH(910, 輔助計算!$G$2:$G$801, 0)+1))&lt;=790,3,IF(INDEX(ERP資料!$G:$G, (MATCH(910, 輔助計算!$G$2:$G$801, 0)+1))&lt;=1181,2,1)))=2,TEXT(INDEX(ERP資料!$G:$G, (MATCH(910, 輔助計算!$G$2:$G$801, 0)+1)),"0.##")&amp;"+"&amp;TEXT(INDEX(ERP資料!$G:$G, (MATCH(910, 輔助計算!$G$2:$G$801, 0)+1)),"0.##"),TEXT(INDEX(ERP資料!$G:$G, (MATCH(910, 輔助計算!$G$2:$G$801, 0)+1)),"0.##")&amp;"+"&amp;TEXT(INDEX(ERP資料!$G:$G, (MATCH(910, 輔助計算!$G$2:$G$801, 0)+1)),"0.##")&amp;"+"&amp;TEXT(INDEX(ERP資料!$G:$G, (MATCH(910, 輔助計算!$G$2:$G$801, 0)+1)),"0.##")))&amp;"-"&amp;INT(INDEX(輔助計算!$D:$D, (MATCH(910, 輔助計算!$G$2:$G$801, 0)+1))/IF(INDEX(ERP資料!$G:$G, (MATCH(910, 輔助計算!$G$2:$G$801, 0)+1))&lt;100, IF(INDEX(ERP資料!$G:$G, (MATCH(910, 輔助計算!$G$2:$G$801, 0)+1))&lt;=31,3,IF(INDEX(ERP資料!$G:$G, (MATCH(910, 輔助計算!$G$2:$G$801, 0)+1))&lt;=46.5,2,1)), IF(INDEX(ERP資料!$G:$G, (MATCH(910, 輔助計算!$G$2:$G$801, 0)+1))&lt;=790,3,IF(INDEX(ERP資料!$G:$G, (MATCH(910, 輔助計算!$G$2:$G$801, 0)+1))&lt;=1181,2,1)))), "")&lt;&gt;"",IF(MOD(INDEX(輔助計算!$D:$D, (MATCH(910, 輔助計算!$G$2:$G$801, 0)+1)),IF(INDEX(ERP資料!$G:$G, (MATCH(910, 輔助計算!$G$2:$G$801, 0)+1))&lt;100, IF(INDEX(ERP資料!$G:$G, (MATCH(910, 輔助計算!$G$2:$G$801, 0)+1))&lt;=31,3,IF(INDEX(ERP資料!$G:$G, (MATCH(910, 輔助計算!$G$2:$G$801, 0)+1))&lt;=46.5,2,1)), IF(INDEX(ERP資料!$G:$G, (MATCH(910, 輔助計算!$G$2:$G$801, 0)+1))&lt;=790,3,IF(INDEX(ERP資料!$G:$G, (MATCH(910, 輔助計算!$G$2:$G$801, 0)+1))&lt;=1181,2,1))))=0,"",IF(MOD(INDEX(輔助計算!$D:$D, (MATCH(910, 輔助計算!$G$2:$G$801, 0)+1)),IF(INDEX(ERP資料!$G:$G, (MATCH(910, 輔助計算!$G$2:$G$801, 0)+1))&lt;100, IF(INDEX(ERP資料!$G:$G, (MATCH(910, 輔助計算!$G$2:$G$801, 0)+1))&lt;=31,3,IF(INDEX(ERP資料!$G:$G, (MATCH(910, 輔助計算!$G$2:$G$801, 0)+1))&lt;=46.5,2,1)), IF(INDEX(ERP資料!$G:$G, (MATCH(910, 輔助計算!$G$2:$G$801, 0)+1))&lt;=790,3,IF(INDEX(ERP資料!$G:$G, (MATCH(910, 輔助計算!$G$2:$G$801, 0)+1))&lt;=1181,2,1))))=0,"",IF(MOD(INDEX(輔助計算!$D:$D, (MATCH(910, 輔助計算!$G$2:$G$801, 0)+1)),IF(INDEX(ERP資料!$G:$G, (MATCH(910, 輔助計算!$G$2:$G$801, 0)+1))&lt;100, IF(INDEX(ERP資料!$G:$G, (MATCH(910, 輔助計算!$G$2:$G$801, 0)+1))&lt;=31,3,IF(INDEX(ERP資料!$G:$G, (MATCH(910, 輔助計算!$G$2:$G$801, 0)+1))&lt;=46.5,2,1)), IF(INDEX(ERP資料!$G:$G, (MATCH(910, 輔助計算!$G$2:$G$801, 0)+1))&lt;=790,3,IF(INDEX(ERP資料!$G:$G, (MATCH(910, 輔助計算!$G$2:$G$801, 0)+1))&lt;=1181,2,1))))=1,TEXT(INDEX(ERP資料!$G:$G, (MATCH(910, 輔助計算!$G$2:$G$801, 0)+1)),"0.##"),IF(MOD(INDEX(輔助計算!$D:$D, (MATCH(910, 輔助計算!$G$2:$G$801, 0)+1)),IF(INDEX(ERP資料!$G:$G, (MATCH(910, 輔助計算!$G$2:$G$801, 0)+1))&lt;100, IF(INDEX(ERP資料!$G:$G, (MATCH(910, 輔助計算!$G$2:$G$801, 0)+1))&lt;=31,3,IF(INDEX(ERP資料!$G:$G, (MATCH(910, 輔助計算!$G$2:$G$801, 0)+1))&lt;=46.5,2,1)), IF(INDEX(ERP資料!$G:$G, (MATCH(910, 輔助計算!$G$2:$G$801, 0)+1))&lt;=790,3,IF(INDEX(ERP資料!$G:$G, (MATCH(910, 輔助計算!$G$2:$G$801, 0)+1))&lt;=1181,2,1))))=2,TEXT(INDEX(ERP資料!$G:$G, (MATCH(910, 輔助計算!$G$2:$G$801, 0)+1)),"0.##")&amp;"+"&amp;TEXT(INDEX(ERP資料!$G:$G, (MATCH(910, 輔助計算!$G$2:$G$801, 0)+1)),"0.##"),TEXT(INDEX(ERP資料!$G:$G, (MATCH(910, 輔助計算!$G$2:$G$801, 0)+1)),"0.##")&amp;"+"&amp;TEXT(INDEX(ERP資料!$G:$G, (MATCH(910, 輔助計算!$G$2:$G$801, 0)+1)),"0.##")&amp;"+"&amp;TEXT(INDEX(ERP資料!$G:$G, (MATCH(910, 輔助計算!$G$2:$G$801, 0)+1)),"0.##"))))&amp;"-1")&lt;&gt;""),"  ","")&amp;IF(MOD(INDEX(輔助計算!$D:$D, (MATCH(910, 輔助計算!$G$2:$G$801, 0)+1)),IF(INDEX(ERP資料!$G:$G, (MATCH(910, 輔助計算!$G$2:$G$801, 0)+1))&lt;100, IF(INDEX(ERP資料!$G:$G, (MATCH(910, 輔助計算!$G$2:$G$801, 0)+1))&lt;=31,3,IF(INDEX(ERP資料!$G:$G, (MATCH(910, 輔助計算!$G$2:$G$801, 0)+1))&lt;=46.5,2,1)), IF(INDEX(ERP資料!$G:$G, (MATCH(910, 輔助計算!$G$2:$G$801, 0)+1))&lt;=790,3,IF(INDEX(ERP資料!$G:$G, (MATCH(910, 輔助計算!$G$2:$G$801, 0)+1))&lt;=1181,2,1))))=0,"",IF(MOD(INDEX(輔助計算!$D:$D, (MATCH(910, 輔助計算!$G$2:$G$801, 0)+1)),IF(INDEX(ERP資料!$G:$G, (MATCH(910, 輔助計算!$G$2:$G$801, 0)+1))&lt;100, IF(INDEX(ERP資料!$G:$G, (MATCH(910, 輔助計算!$G$2:$G$801, 0)+1))&lt;=31,3,IF(INDEX(ERP資料!$G:$G, (MATCH(910, 輔助計算!$G$2:$G$801, 0)+1))&lt;=46.5,2,1)), IF(INDEX(ERP資料!$G:$G, (MATCH(910, 輔助計算!$G$2:$G$801, 0)+1))&lt;=790,3,IF(INDEX(ERP資料!$G:$G, (MATCH(910, 輔助計算!$G$2:$G$801, 0)+1))&lt;=1181,2,1))))=0,"",IF(MOD(INDEX(輔助計算!$D:$D, (MATCH(910, 輔助計算!$G$2:$G$801, 0)+1)),IF(INDEX(ERP資料!$G:$G, (MATCH(910, 輔助計算!$G$2:$G$801, 0)+1))&lt;100, IF(INDEX(ERP資料!$G:$G, (MATCH(910, 輔助計算!$G$2:$G$801, 0)+1))&lt;=31,3,IF(INDEX(ERP資料!$G:$G, (MATCH(910, 輔助計算!$G$2:$G$801, 0)+1))&lt;=46.5,2,1)), IF(INDEX(ERP資料!$G:$G, (MATCH(910, 輔助計算!$G$2:$G$801, 0)+1))&lt;=790,3,IF(INDEX(ERP資料!$G:$G, (MATCH(910, 輔助計算!$G$2:$G$801, 0)+1))&lt;=1181,2,1))))=1,TEXT(INDEX(ERP資料!$G:$G, (MATCH(910, 輔助計算!$G$2:$G$801, 0)+1)),"0.##"),IF(MOD(INDEX(輔助計算!$D:$D, (MATCH(910, 輔助計算!$G$2:$G$801, 0)+1)),IF(INDEX(ERP資料!$G:$G, (MATCH(910, 輔助計算!$G$2:$G$801, 0)+1))&lt;100, IF(INDEX(ERP資料!$G:$G, (MATCH(910, 輔助計算!$G$2:$G$801, 0)+1))&lt;=31,3,IF(INDEX(ERP資料!$G:$G, (MATCH(910, 輔助計算!$G$2:$G$801, 0)+1))&lt;=46.5,2,1)), IF(INDEX(ERP資料!$G:$G, (MATCH(910, 輔助計算!$G$2:$G$801, 0)+1))&lt;=790,3,IF(INDEX(ERP資料!$G:$G, (MATCH(910, 輔助計算!$G$2:$G$801, 0)+1))&lt;=1181,2,1))))=2,TEXT(INDEX(ERP資料!$G:$G, (MATCH(910, 輔助計算!$G$2:$G$801, 0)+1)),"0.##")&amp;"+"&amp;TEXT(INDEX(ERP資料!$G:$G, (MATCH(910, 輔助計算!$G$2:$G$801, 0)+1)),"0.##"),TEXT(INDEX(ERP資料!$G:$G, (MATCH(910, 輔助計算!$G$2:$G$801, 0)+1)),"0.##")&amp;"+"&amp;TEXT(INDEX(ERP資料!$G:$G, (MATCH(910, 輔助計算!$G$2:$G$801, 0)+1)),"0.##")&amp;"+"&amp;TEXT(INDEX(ERP資料!$G:$G, (MATCH(910, 輔助計算!$G$2:$G$801, 0)+1)),"0.##"))))&amp;"-1")), ""), "")</f>
        <v/>
      </c>
      <c r="K911" s="16" t="n"/>
      <c r="L911" s="14">
        <f>IFERROR(IF(AND(IFERROR(INDEX(ERP資料!$A:$A, (MATCH(910, 輔助計算!$G$2:$G$801, 0)+1)), "")&lt;&gt;"", IFERROR(INDEX(ERP資料!$A:$A, (MATCH(910, 輔助計算!$G$2:$G$801, 0)+1)), "")&lt;&gt;IFERROR(INDEX(ERP資料!$A:$A, MATCH(909, 輔助計算!$G$2:$G$801, 0)+1), "")), INDEX(ERP資料!$B:$B, (MATCH(910, 輔助計算!$G$2:$G$801, 0)+1)), ""), "")</f>
        <v/>
      </c>
      <c r="M911" s="17" t="n"/>
    </row>
    <row r="912">
      <c r="A912" s="10">
        <f>IFERROR(IF(AND(IFERROR(INDEX(ERP資料!$A:$A, (MATCH(911, 輔助計算!$G$2:$G$801, 0)+1)), "")&lt;&gt;"", IFERROR(INDEX(ERP資料!$A:$A, (MATCH(911, 輔助計算!$G$2:$G$801, 0)+1)), "")&lt;&gt;IFERROR(INDEX(ERP資料!$A:$A, MATCH(910, 輔助計算!$G$2:$G$801, 0)+1), "")), IFERROR(INDEX(ERP資料!$A:$A, (MATCH(911, 輔助計算!$G$2:$G$801, 0)+1)), ""), ""), "")</f>
        <v/>
      </c>
      <c r="B912" s="10">
        <f>IFERROR(IF(AND(IFERROR(INDEX(ERP資料!$A:$A, (MATCH(911, 輔助計算!$G$2:$G$801, 0)+1)), "")&lt;&gt;"", IFERROR(INDEX(ERP資料!$A:$A, (MATCH(911, 輔助計算!$G$2:$G$801, 0)+1)), "")&lt;&gt;IFERROR(INDEX(ERP資料!$A:$A, MATCH(910, 輔助計算!$G$2:$G$801, 0)+1), "")), INDEX(ERP資料!$S:$S, (MATCH(911, 輔助計算!$G$2:$G$801, 0)+1)), ""), "")</f>
        <v/>
      </c>
      <c r="C912" s="19">
        <f>IFERROR(IF(AND(IFERROR(INDEX(ERP資料!$A:$A, (MATCH(911, 輔助計算!$G$2:$G$801, 0)+1)), "")&lt;&gt;"", IFERROR(INDEX(ERP資料!$A:$A, (MATCH(911, 輔助計算!$G$2:$G$801, 0)+1)), "")&lt;&gt;IFERROR(INDEX(ERP資料!$A:$A, MATCH(910, 輔助計算!$G$2:$G$801, 0)+1), "")), IFERROR(VLOOKUP(LEFT(INDEX(ERP資料!$S:$S, (MATCH(911, 輔助計算!$G$2:$G$801, 0)+1)), 4), 紙管對照表!$A:$C, 3, FALSE), ""), ""), "")</f>
        <v/>
      </c>
      <c r="D912" s="16" t="n"/>
      <c r="E912" s="10">
        <f>IFERROR(IF(INDEX(ERP資料!$H:$H, (MATCH(911, 輔助計算!$G$2:$G$801, 0)+1))="","",INDEX(ERP資料!$H:$H, (MATCH(911, 輔助計算!$G$2:$G$801, 0)+1))), "")</f>
        <v/>
      </c>
      <c r="F912" s="10">
        <f>IFERROR(IF(INDEX(ERP資料!$E:$E, (MATCH(911, 輔助計算!$G$2:$G$801, 0)+1))="","",TRIM(INDEX(ERP資料!$E:$E, (MATCH(911, 輔助計算!$G$2:$G$801, 0)+1)))), "")</f>
        <v/>
      </c>
      <c r="G912" s="10">
        <f>IFERROR(IF(INDEX(ERP資料!$F:$F, (MATCH(911, 輔助計算!$G$2:$G$801, 0)+1))="","",INDEX(ERP資料!$F:$F, (MATCH(911, 輔助計算!$G$2:$G$801, 0)+1))), "")</f>
        <v/>
      </c>
      <c r="H912" s="10">
        <f>IFERROR(IF(INDEX(ERP資料!$G:$G, (MATCH(911, 輔助計算!$G$2:$G$801, 0)+1))="","",INDEX(ERP資料!$G:$G, (MATCH(911, 輔助計算!$G$2:$G$801, 0)+1))), "")</f>
        <v/>
      </c>
      <c r="I912" s="15">
        <f>IFERROR(INDEX(輔助計算!$D:$D, (MATCH(911, 輔助計算!$G$2:$G$801, 0)+1)), "")</f>
        <v/>
      </c>
      <c r="J912" s="15">
        <f>IFERROR(IF(AND(INDEX(輔助計算!$D:$D, (MATCH(911, 輔助計算!$G$2:$G$801, 0)+1))&lt;&gt;"", INDEX(ERP資料!$G:$G, (MATCH(911, 輔助計算!$G$2:$G$801, 0)+1))&lt;&gt;""), TRIM(IF(INT(INDEX(輔助計算!$D:$D, (MATCH(911, 輔助計算!$G$2:$G$801, 0)+1))/IF(INDEX(ERP資料!$G:$G, (MATCH(911, 輔助計算!$G$2:$G$801, 0)+1))&lt;100, IF(INDEX(ERP資料!$G:$G, (MATCH(911, 輔助計算!$G$2:$G$801, 0)+1))&lt;=31,3,IF(INDEX(ERP資料!$G:$G, (MATCH(911, 輔助計算!$G$2:$G$801, 0)+1))&lt;=46.5,2,1)), IF(INDEX(ERP資料!$G:$G, (MATCH(911, 輔助計算!$G$2:$G$801, 0)+1))&lt;=790,3,IF(INDEX(ERP資料!$G:$G, (MATCH(911, 輔助計算!$G$2:$G$801, 0)+1))&lt;=1181,2,1))))&gt;0, IF(IF(INDEX(ERP資料!$G:$G, (MATCH(911, 輔助計算!$G$2:$G$801, 0)+1))&lt;100, IF(INDEX(ERP資料!$G:$G, (MATCH(911, 輔助計算!$G$2:$G$801, 0)+1))&lt;=31,3,IF(INDEX(ERP資料!$G:$G, (MATCH(911, 輔助計算!$G$2:$G$801, 0)+1))&lt;=46.5,2,1)), IF(INDEX(ERP資料!$G:$G, (MATCH(911, 輔助計算!$G$2:$G$801, 0)+1))&lt;=790,3,IF(INDEX(ERP資料!$G:$G, (MATCH(911, 輔助計算!$G$2:$G$801, 0)+1))&lt;=1181,2,1)))=1,TEXT(INDEX(ERP資料!$G:$G, (MATCH(911, 輔助計算!$G$2:$G$801, 0)+1)),"0.##"),IF(IF(INDEX(ERP資料!$G:$G, (MATCH(911, 輔助計算!$G$2:$G$801, 0)+1))&lt;100, IF(INDEX(ERP資料!$G:$G, (MATCH(911, 輔助計算!$G$2:$G$801, 0)+1))&lt;=31,3,IF(INDEX(ERP資料!$G:$G, (MATCH(911, 輔助計算!$G$2:$G$801, 0)+1))&lt;=46.5,2,1)), IF(INDEX(ERP資料!$G:$G, (MATCH(911, 輔助計算!$G$2:$G$801, 0)+1))&lt;=790,3,IF(INDEX(ERP資料!$G:$G, (MATCH(911, 輔助計算!$G$2:$G$801, 0)+1))&lt;=1181,2,1)))=2,TEXT(INDEX(ERP資料!$G:$G, (MATCH(911, 輔助計算!$G$2:$G$801, 0)+1)),"0.##")&amp;"+"&amp;TEXT(INDEX(ERP資料!$G:$G, (MATCH(911, 輔助計算!$G$2:$G$801, 0)+1)),"0.##"),TEXT(INDEX(ERP資料!$G:$G, (MATCH(911, 輔助計算!$G$2:$G$801, 0)+1)),"0.##")&amp;"+"&amp;TEXT(INDEX(ERP資料!$G:$G, (MATCH(911, 輔助計算!$G$2:$G$801, 0)+1)),"0.##")&amp;"+"&amp;TEXT(INDEX(ERP資料!$G:$G, (MATCH(911, 輔助計算!$G$2:$G$801, 0)+1)),"0.##")))&amp;"-"&amp;INT(INDEX(輔助計算!$D:$D, (MATCH(911, 輔助計算!$G$2:$G$801, 0)+1))/IF(INDEX(ERP資料!$G:$G, (MATCH(911, 輔助計算!$G$2:$G$801, 0)+1))&lt;100, IF(INDEX(ERP資料!$G:$G, (MATCH(911, 輔助計算!$G$2:$G$801, 0)+1))&lt;=31,3,IF(INDEX(ERP資料!$G:$G, (MATCH(911, 輔助計算!$G$2:$G$801, 0)+1))&lt;=46.5,2,1)), IF(INDEX(ERP資料!$G:$G, (MATCH(911, 輔助計算!$G$2:$G$801, 0)+1))&lt;=790,3,IF(INDEX(ERP資料!$G:$G, (MATCH(911, 輔助計算!$G$2:$G$801, 0)+1))&lt;=1181,2,1)))), "")&amp;IF(AND(IF(INT(INDEX(輔助計算!$D:$D, (MATCH(911, 輔助計算!$G$2:$G$801, 0)+1))/IF(INDEX(ERP資料!$G:$G, (MATCH(911, 輔助計算!$G$2:$G$801, 0)+1))&lt;100, IF(INDEX(ERP資料!$G:$G, (MATCH(911, 輔助計算!$G$2:$G$801, 0)+1))&lt;=31,3,IF(INDEX(ERP資料!$G:$G, (MATCH(911, 輔助計算!$G$2:$G$801, 0)+1))&lt;=46.5,2,1)), IF(INDEX(ERP資料!$G:$G, (MATCH(911, 輔助計算!$G$2:$G$801, 0)+1))&lt;=790,3,IF(INDEX(ERP資料!$G:$G, (MATCH(911, 輔助計算!$G$2:$G$801, 0)+1))&lt;=1181,2,1))))&gt;0, IF(IF(INDEX(ERP資料!$G:$G, (MATCH(911, 輔助計算!$G$2:$G$801, 0)+1))&lt;100, IF(INDEX(ERP資料!$G:$G, (MATCH(911, 輔助計算!$G$2:$G$801, 0)+1))&lt;=31,3,IF(INDEX(ERP資料!$G:$G, (MATCH(911, 輔助計算!$G$2:$G$801, 0)+1))&lt;=46.5,2,1)), IF(INDEX(ERP資料!$G:$G, (MATCH(911, 輔助計算!$G$2:$G$801, 0)+1))&lt;=790,3,IF(INDEX(ERP資料!$G:$G, (MATCH(911, 輔助計算!$G$2:$G$801, 0)+1))&lt;=1181,2,1)))=1,TEXT(INDEX(ERP資料!$G:$G, (MATCH(911, 輔助計算!$G$2:$G$801, 0)+1)),"0.##"),IF(IF(INDEX(ERP資料!$G:$G, (MATCH(911, 輔助計算!$G$2:$G$801, 0)+1))&lt;100, IF(INDEX(ERP資料!$G:$G, (MATCH(911, 輔助計算!$G$2:$G$801, 0)+1))&lt;=31,3,IF(INDEX(ERP資料!$G:$G, (MATCH(911, 輔助計算!$G$2:$G$801, 0)+1))&lt;=46.5,2,1)), IF(INDEX(ERP資料!$G:$G, (MATCH(911, 輔助計算!$G$2:$G$801, 0)+1))&lt;=790,3,IF(INDEX(ERP資料!$G:$G, (MATCH(911, 輔助計算!$G$2:$G$801, 0)+1))&lt;=1181,2,1)))=2,TEXT(INDEX(ERP資料!$G:$G, (MATCH(911, 輔助計算!$G$2:$G$801, 0)+1)),"0.##")&amp;"+"&amp;TEXT(INDEX(ERP資料!$G:$G, (MATCH(911, 輔助計算!$G$2:$G$801, 0)+1)),"0.##"),TEXT(INDEX(ERP資料!$G:$G, (MATCH(911, 輔助計算!$G$2:$G$801, 0)+1)),"0.##")&amp;"+"&amp;TEXT(INDEX(ERP資料!$G:$G, (MATCH(911, 輔助計算!$G$2:$G$801, 0)+1)),"0.##")&amp;"+"&amp;TEXT(INDEX(ERP資料!$G:$G, (MATCH(911, 輔助計算!$G$2:$G$801, 0)+1)),"0.##")))&amp;"-"&amp;INT(INDEX(輔助計算!$D:$D, (MATCH(911, 輔助計算!$G$2:$G$801, 0)+1))/IF(INDEX(ERP資料!$G:$G, (MATCH(911, 輔助計算!$G$2:$G$801, 0)+1))&lt;100, IF(INDEX(ERP資料!$G:$G, (MATCH(911, 輔助計算!$G$2:$G$801, 0)+1))&lt;=31,3,IF(INDEX(ERP資料!$G:$G, (MATCH(911, 輔助計算!$G$2:$G$801, 0)+1))&lt;=46.5,2,1)), IF(INDEX(ERP資料!$G:$G, (MATCH(911, 輔助計算!$G$2:$G$801, 0)+1))&lt;=790,3,IF(INDEX(ERP資料!$G:$G, (MATCH(911, 輔助計算!$G$2:$G$801, 0)+1))&lt;=1181,2,1)))), "")&lt;&gt;"",IF(MOD(INDEX(輔助計算!$D:$D, (MATCH(911, 輔助計算!$G$2:$G$801, 0)+1)),IF(INDEX(ERP資料!$G:$G, (MATCH(911, 輔助計算!$G$2:$G$801, 0)+1))&lt;100, IF(INDEX(ERP資料!$G:$G, (MATCH(911, 輔助計算!$G$2:$G$801, 0)+1))&lt;=31,3,IF(INDEX(ERP資料!$G:$G, (MATCH(911, 輔助計算!$G$2:$G$801, 0)+1))&lt;=46.5,2,1)), IF(INDEX(ERP資料!$G:$G, (MATCH(911, 輔助計算!$G$2:$G$801, 0)+1))&lt;=790,3,IF(INDEX(ERP資料!$G:$G, (MATCH(911, 輔助計算!$G$2:$G$801, 0)+1))&lt;=1181,2,1))))=0,"",IF(MOD(INDEX(輔助計算!$D:$D, (MATCH(911, 輔助計算!$G$2:$G$801, 0)+1)),IF(INDEX(ERP資料!$G:$G, (MATCH(911, 輔助計算!$G$2:$G$801, 0)+1))&lt;100, IF(INDEX(ERP資料!$G:$G, (MATCH(911, 輔助計算!$G$2:$G$801, 0)+1))&lt;=31,3,IF(INDEX(ERP資料!$G:$G, (MATCH(911, 輔助計算!$G$2:$G$801, 0)+1))&lt;=46.5,2,1)), IF(INDEX(ERP資料!$G:$G, (MATCH(911, 輔助計算!$G$2:$G$801, 0)+1))&lt;=790,3,IF(INDEX(ERP資料!$G:$G, (MATCH(911, 輔助計算!$G$2:$G$801, 0)+1))&lt;=1181,2,1))))=0,"",IF(MOD(INDEX(輔助計算!$D:$D, (MATCH(911, 輔助計算!$G$2:$G$801, 0)+1)),IF(INDEX(ERP資料!$G:$G, (MATCH(911, 輔助計算!$G$2:$G$801, 0)+1))&lt;100, IF(INDEX(ERP資料!$G:$G, (MATCH(911, 輔助計算!$G$2:$G$801, 0)+1))&lt;=31,3,IF(INDEX(ERP資料!$G:$G, (MATCH(911, 輔助計算!$G$2:$G$801, 0)+1))&lt;=46.5,2,1)), IF(INDEX(ERP資料!$G:$G, (MATCH(911, 輔助計算!$G$2:$G$801, 0)+1))&lt;=790,3,IF(INDEX(ERP資料!$G:$G, (MATCH(911, 輔助計算!$G$2:$G$801, 0)+1))&lt;=1181,2,1))))=1,TEXT(INDEX(ERP資料!$G:$G, (MATCH(911, 輔助計算!$G$2:$G$801, 0)+1)),"0.##"),IF(MOD(INDEX(輔助計算!$D:$D, (MATCH(911, 輔助計算!$G$2:$G$801, 0)+1)),IF(INDEX(ERP資料!$G:$G, (MATCH(911, 輔助計算!$G$2:$G$801, 0)+1))&lt;100, IF(INDEX(ERP資料!$G:$G, (MATCH(911, 輔助計算!$G$2:$G$801, 0)+1))&lt;=31,3,IF(INDEX(ERP資料!$G:$G, (MATCH(911, 輔助計算!$G$2:$G$801, 0)+1))&lt;=46.5,2,1)), IF(INDEX(ERP資料!$G:$G, (MATCH(911, 輔助計算!$G$2:$G$801, 0)+1))&lt;=790,3,IF(INDEX(ERP資料!$G:$G, (MATCH(911, 輔助計算!$G$2:$G$801, 0)+1))&lt;=1181,2,1))))=2,TEXT(INDEX(ERP資料!$G:$G, (MATCH(911, 輔助計算!$G$2:$G$801, 0)+1)),"0.##")&amp;"+"&amp;TEXT(INDEX(ERP資料!$G:$G, (MATCH(911, 輔助計算!$G$2:$G$801, 0)+1)),"0.##"),TEXT(INDEX(ERP資料!$G:$G, (MATCH(911, 輔助計算!$G$2:$G$801, 0)+1)),"0.##")&amp;"+"&amp;TEXT(INDEX(ERP資料!$G:$G, (MATCH(911, 輔助計算!$G$2:$G$801, 0)+1)),"0.##")&amp;"+"&amp;TEXT(INDEX(ERP資料!$G:$G, (MATCH(911, 輔助計算!$G$2:$G$801, 0)+1)),"0.##"))))&amp;"-1")&lt;&gt;""),"  ","")&amp;IF(MOD(INDEX(輔助計算!$D:$D, (MATCH(911, 輔助計算!$G$2:$G$801, 0)+1)),IF(INDEX(ERP資料!$G:$G, (MATCH(911, 輔助計算!$G$2:$G$801, 0)+1))&lt;100, IF(INDEX(ERP資料!$G:$G, (MATCH(911, 輔助計算!$G$2:$G$801, 0)+1))&lt;=31,3,IF(INDEX(ERP資料!$G:$G, (MATCH(911, 輔助計算!$G$2:$G$801, 0)+1))&lt;=46.5,2,1)), IF(INDEX(ERP資料!$G:$G, (MATCH(911, 輔助計算!$G$2:$G$801, 0)+1))&lt;=790,3,IF(INDEX(ERP資料!$G:$G, (MATCH(911, 輔助計算!$G$2:$G$801, 0)+1))&lt;=1181,2,1))))=0,"",IF(MOD(INDEX(輔助計算!$D:$D, (MATCH(911, 輔助計算!$G$2:$G$801, 0)+1)),IF(INDEX(ERP資料!$G:$G, (MATCH(911, 輔助計算!$G$2:$G$801, 0)+1))&lt;100, IF(INDEX(ERP資料!$G:$G, (MATCH(911, 輔助計算!$G$2:$G$801, 0)+1))&lt;=31,3,IF(INDEX(ERP資料!$G:$G, (MATCH(911, 輔助計算!$G$2:$G$801, 0)+1))&lt;=46.5,2,1)), IF(INDEX(ERP資料!$G:$G, (MATCH(911, 輔助計算!$G$2:$G$801, 0)+1))&lt;=790,3,IF(INDEX(ERP資料!$G:$G, (MATCH(911, 輔助計算!$G$2:$G$801, 0)+1))&lt;=1181,2,1))))=0,"",IF(MOD(INDEX(輔助計算!$D:$D, (MATCH(911, 輔助計算!$G$2:$G$801, 0)+1)),IF(INDEX(ERP資料!$G:$G, (MATCH(911, 輔助計算!$G$2:$G$801, 0)+1))&lt;100, IF(INDEX(ERP資料!$G:$G, (MATCH(911, 輔助計算!$G$2:$G$801, 0)+1))&lt;=31,3,IF(INDEX(ERP資料!$G:$G, (MATCH(911, 輔助計算!$G$2:$G$801, 0)+1))&lt;=46.5,2,1)), IF(INDEX(ERP資料!$G:$G, (MATCH(911, 輔助計算!$G$2:$G$801, 0)+1))&lt;=790,3,IF(INDEX(ERP資料!$G:$G, (MATCH(911, 輔助計算!$G$2:$G$801, 0)+1))&lt;=1181,2,1))))=1,TEXT(INDEX(ERP資料!$G:$G, (MATCH(911, 輔助計算!$G$2:$G$801, 0)+1)),"0.##"),IF(MOD(INDEX(輔助計算!$D:$D, (MATCH(911, 輔助計算!$G$2:$G$801, 0)+1)),IF(INDEX(ERP資料!$G:$G, (MATCH(911, 輔助計算!$G$2:$G$801, 0)+1))&lt;100, IF(INDEX(ERP資料!$G:$G, (MATCH(911, 輔助計算!$G$2:$G$801, 0)+1))&lt;=31,3,IF(INDEX(ERP資料!$G:$G, (MATCH(911, 輔助計算!$G$2:$G$801, 0)+1))&lt;=46.5,2,1)), IF(INDEX(ERP資料!$G:$G, (MATCH(911, 輔助計算!$G$2:$G$801, 0)+1))&lt;=790,3,IF(INDEX(ERP資料!$G:$G, (MATCH(911, 輔助計算!$G$2:$G$801, 0)+1))&lt;=1181,2,1))))=2,TEXT(INDEX(ERP資料!$G:$G, (MATCH(911, 輔助計算!$G$2:$G$801, 0)+1)),"0.##")&amp;"+"&amp;TEXT(INDEX(ERP資料!$G:$G, (MATCH(911, 輔助計算!$G$2:$G$801, 0)+1)),"0.##"),TEXT(INDEX(ERP資料!$G:$G, (MATCH(911, 輔助計算!$G$2:$G$801, 0)+1)),"0.##")&amp;"+"&amp;TEXT(INDEX(ERP資料!$G:$G, (MATCH(911, 輔助計算!$G$2:$G$801, 0)+1)),"0.##")&amp;"+"&amp;TEXT(INDEX(ERP資料!$G:$G, (MATCH(911, 輔助計算!$G$2:$G$801, 0)+1)),"0.##"))))&amp;"-1")), ""), "")</f>
        <v/>
      </c>
      <c r="K912" s="16" t="n"/>
      <c r="L912" s="14">
        <f>IFERROR(IF(AND(IFERROR(INDEX(ERP資料!$A:$A, (MATCH(911, 輔助計算!$G$2:$G$801, 0)+1)), "")&lt;&gt;"", IFERROR(INDEX(ERP資料!$A:$A, (MATCH(911, 輔助計算!$G$2:$G$801, 0)+1)), "")&lt;&gt;IFERROR(INDEX(ERP資料!$A:$A, MATCH(910, 輔助計算!$G$2:$G$801, 0)+1), "")), INDEX(ERP資料!$B:$B, (MATCH(911, 輔助計算!$G$2:$G$801, 0)+1)), ""), "")</f>
        <v/>
      </c>
      <c r="M912" s="17" t="n"/>
    </row>
    <row r="913">
      <c r="A913" s="10">
        <f>IFERROR(IF(AND(IFERROR(INDEX(ERP資料!$A:$A, (MATCH(912, 輔助計算!$G$2:$G$801, 0)+1)), "")&lt;&gt;"", IFERROR(INDEX(ERP資料!$A:$A, (MATCH(912, 輔助計算!$G$2:$G$801, 0)+1)), "")&lt;&gt;IFERROR(INDEX(ERP資料!$A:$A, MATCH(911, 輔助計算!$G$2:$G$801, 0)+1), "")), IFERROR(INDEX(ERP資料!$A:$A, (MATCH(912, 輔助計算!$G$2:$G$801, 0)+1)), ""), ""), "")</f>
        <v/>
      </c>
      <c r="B913" s="10">
        <f>IFERROR(IF(AND(IFERROR(INDEX(ERP資料!$A:$A, (MATCH(912, 輔助計算!$G$2:$G$801, 0)+1)), "")&lt;&gt;"", IFERROR(INDEX(ERP資料!$A:$A, (MATCH(912, 輔助計算!$G$2:$G$801, 0)+1)), "")&lt;&gt;IFERROR(INDEX(ERP資料!$A:$A, MATCH(911, 輔助計算!$G$2:$G$801, 0)+1), "")), INDEX(ERP資料!$S:$S, (MATCH(912, 輔助計算!$G$2:$G$801, 0)+1)), ""), "")</f>
        <v/>
      </c>
      <c r="C913" s="19">
        <f>IFERROR(IF(AND(IFERROR(INDEX(ERP資料!$A:$A, (MATCH(912, 輔助計算!$G$2:$G$801, 0)+1)), "")&lt;&gt;"", IFERROR(INDEX(ERP資料!$A:$A, (MATCH(912, 輔助計算!$G$2:$G$801, 0)+1)), "")&lt;&gt;IFERROR(INDEX(ERP資料!$A:$A, MATCH(911, 輔助計算!$G$2:$G$801, 0)+1), "")), IFERROR(VLOOKUP(LEFT(INDEX(ERP資料!$S:$S, (MATCH(912, 輔助計算!$G$2:$G$801, 0)+1)), 4), 紙管對照表!$A:$C, 3, FALSE), ""), ""), "")</f>
        <v/>
      </c>
      <c r="D913" s="16" t="n"/>
      <c r="E913" s="10">
        <f>IFERROR(IF(INDEX(ERP資料!$H:$H, (MATCH(912, 輔助計算!$G$2:$G$801, 0)+1))="","",INDEX(ERP資料!$H:$H, (MATCH(912, 輔助計算!$G$2:$G$801, 0)+1))), "")</f>
        <v/>
      </c>
      <c r="F913" s="10">
        <f>IFERROR(IF(INDEX(ERP資料!$E:$E, (MATCH(912, 輔助計算!$G$2:$G$801, 0)+1))="","",TRIM(INDEX(ERP資料!$E:$E, (MATCH(912, 輔助計算!$G$2:$G$801, 0)+1)))), "")</f>
        <v/>
      </c>
      <c r="G913" s="10">
        <f>IFERROR(IF(INDEX(ERP資料!$F:$F, (MATCH(912, 輔助計算!$G$2:$G$801, 0)+1))="","",INDEX(ERP資料!$F:$F, (MATCH(912, 輔助計算!$G$2:$G$801, 0)+1))), "")</f>
        <v/>
      </c>
      <c r="H913" s="10">
        <f>IFERROR(IF(INDEX(ERP資料!$G:$G, (MATCH(912, 輔助計算!$G$2:$G$801, 0)+1))="","",INDEX(ERP資料!$G:$G, (MATCH(912, 輔助計算!$G$2:$G$801, 0)+1))), "")</f>
        <v/>
      </c>
      <c r="I913" s="15">
        <f>IFERROR(INDEX(輔助計算!$D:$D, (MATCH(912, 輔助計算!$G$2:$G$801, 0)+1)), "")</f>
        <v/>
      </c>
      <c r="J913" s="15">
        <f>IFERROR(IF(AND(INDEX(輔助計算!$D:$D, (MATCH(912, 輔助計算!$G$2:$G$801, 0)+1))&lt;&gt;"", INDEX(ERP資料!$G:$G, (MATCH(912, 輔助計算!$G$2:$G$801, 0)+1))&lt;&gt;""), TRIM(IF(INT(INDEX(輔助計算!$D:$D, (MATCH(912, 輔助計算!$G$2:$G$801, 0)+1))/IF(INDEX(ERP資料!$G:$G, (MATCH(912, 輔助計算!$G$2:$G$801, 0)+1))&lt;100, IF(INDEX(ERP資料!$G:$G, (MATCH(912, 輔助計算!$G$2:$G$801, 0)+1))&lt;=31,3,IF(INDEX(ERP資料!$G:$G, (MATCH(912, 輔助計算!$G$2:$G$801, 0)+1))&lt;=46.5,2,1)), IF(INDEX(ERP資料!$G:$G, (MATCH(912, 輔助計算!$G$2:$G$801, 0)+1))&lt;=790,3,IF(INDEX(ERP資料!$G:$G, (MATCH(912, 輔助計算!$G$2:$G$801, 0)+1))&lt;=1181,2,1))))&gt;0, IF(IF(INDEX(ERP資料!$G:$G, (MATCH(912, 輔助計算!$G$2:$G$801, 0)+1))&lt;100, IF(INDEX(ERP資料!$G:$G, (MATCH(912, 輔助計算!$G$2:$G$801, 0)+1))&lt;=31,3,IF(INDEX(ERP資料!$G:$G, (MATCH(912, 輔助計算!$G$2:$G$801, 0)+1))&lt;=46.5,2,1)), IF(INDEX(ERP資料!$G:$G, (MATCH(912, 輔助計算!$G$2:$G$801, 0)+1))&lt;=790,3,IF(INDEX(ERP資料!$G:$G, (MATCH(912, 輔助計算!$G$2:$G$801, 0)+1))&lt;=1181,2,1)))=1,TEXT(INDEX(ERP資料!$G:$G, (MATCH(912, 輔助計算!$G$2:$G$801, 0)+1)),"0.##"),IF(IF(INDEX(ERP資料!$G:$G, (MATCH(912, 輔助計算!$G$2:$G$801, 0)+1))&lt;100, IF(INDEX(ERP資料!$G:$G, (MATCH(912, 輔助計算!$G$2:$G$801, 0)+1))&lt;=31,3,IF(INDEX(ERP資料!$G:$G, (MATCH(912, 輔助計算!$G$2:$G$801, 0)+1))&lt;=46.5,2,1)), IF(INDEX(ERP資料!$G:$G, (MATCH(912, 輔助計算!$G$2:$G$801, 0)+1))&lt;=790,3,IF(INDEX(ERP資料!$G:$G, (MATCH(912, 輔助計算!$G$2:$G$801, 0)+1))&lt;=1181,2,1)))=2,TEXT(INDEX(ERP資料!$G:$G, (MATCH(912, 輔助計算!$G$2:$G$801, 0)+1)),"0.##")&amp;"+"&amp;TEXT(INDEX(ERP資料!$G:$G, (MATCH(912, 輔助計算!$G$2:$G$801, 0)+1)),"0.##"),TEXT(INDEX(ERP資料!$G:$G, (MATCH(912, 輔助計算!$G$2:$G$801, 0)+1)),"0.##")&amp;"+"&amp;TEXT(INDEX(ERP資料!$G:$G, (MATCH(912, 輔助計算!$G$2:$G$801, 0)+1)),"0.##")&amp;"+"&amp;TEXT(INDEX(ERP資料!$G:$G, (MATCH(912, 輔助計算!$G$2:$G$801, 0)+1)),"0.##")))&amp;"-"&amp;INT(INDEX(輔助計算!$D:$D, (MATCH(912, 輔助計算!$G$2:$G$801, 0)+1))/IF(INDEX(ERP資料!$G:$G, (MATCH(912, 輔助計算!$G$2:$G$801, 0)+1))&lt;100, IF(INDEX(ERP資料!$G:$G, (MATCH(912, 輔助計算!$G$2:$G$801, 0)+1))&lt;=31,3,IF(INDEX(ERP資料!$G:$G, (MATCH(912, 輔助計算!$G$2:$G$801, 0)+1))&lt;=46.5,2,1)), IF(INDEX(ERP資料!$G:$G, (MATCH(912, 輔助計算!$G$2:$G$801, 0)+1))&lt;=790,3,IF(INDEX(ERP資料!$G:$G, (MATCH(912, 輔助計算!$G$2:$G$801, 0)+1))&lt;=1181,2,1)))), "")&amp;IF(AND(IF(INT(INDEX(輔助計算!$D:$D, (MATCH(912, 輔助計算!$G$2:$G$801, 0)+1))/IF(INDEX(ERP資料!$G:$G, (MATCH(912, 輔助計算!$G$2:$G$801, 0)+1))&lt;100, IF(INDEX(ERP資料!$G:$G, (MATCH(912, 輔助計算!$G$2:$G$801, 0)+1))&lt;=31,3,IF(INDEX(ERP資料!$G:$G, (MATCH(912, 輔助計算!$G$2:$G$801, 0)+1))&lt;=46.5,2,1)), IF(INDEX(ERP資料!$G:$G, (MATCH(912, 輔助計算!$G$2:$G$801, 0)+1))&lt;=790,3,IF(INDEX(ERP資料!$G:$G, (MATCH(912, 輔助計算!$G$2:$G$801, 0)+1))&lt;=1181,2,1))))&gt;0, IF(IF(INDEX(ERP資料!$G:$G, (MATCH(912, 輔助計算!$G$2:$G$801, 0)+1))&lt;100, IF(INDEX(ERP資料!$G:$G, (MATCH(912, 輔助計算!$G$2:$G$801, 0)+1))&lt;=31,3,IF(INDEX(ERP資料!$G:$G, (MATCH(912, 輔助計算!$G$2:$G$801, 0)+1))&lt;=46.5,2,1)), IF(INDEX(ERP資料!$G:$G, (MATCH(912, 輔助計算!$G$2:$G$801, 0)+1))&lt;=790,3,IF(INDEX(ERP資料!$G:$G, (MATCH(912, 輔助計算!$G$2:$G$801, 0)+1))&lt;=1181,2,1)))=1,TEXT(INDEX(ERP資料!$G:$G, (MATCH(912, 輔助計算!$G$2:$G$801, 0)+1)),"0.##"),IF(IF(INDEX(ERP資料!$G:$G, (MATCH(912, 輔助計算!$G$2:$G$801, 0)+1))&lt;100, IF(INDEX(ERP資料!$G:$G, (MATCH(912, 輔助計算!$G$2:$G$801, 0)+1))&lt;=31,3,IF(INDEX(ERP資料!$G:$G, (MATCH(912, 輔助計算!$G$2:$G$801, 0)+1))&lt;=46.5,2,1)), IF(INDEX(ERP資料!$G:$G, (MATCH(912, 輔助計算!$G$2:$G$801, 0)+1))&lt;=790,3,IF(INDEX(ERP資料!$G:$G, (MATCH(912, 輔助計算!$G$2:$G$801, 0)+1))&lt;=1181,2,1)))=2,TEXT(INDEX(ERP資料!$G:$G, (MATCH(912, 輔助計算!$G$2:$G$801, 0)+1)),"0.##")&amp;"+"&amp;TEXT(INDEX(ERP資料!$G:$G, (MATCH(912, 輔助計算!$G$2:$G$801, 0)+1)),"0.##"),TEXT(INDEX(ERP資料!$G:$G, (MATCH(912, 輔助計算!$G$2:$G$801, 0)+1)),"0.##")&amp;"+"&amp;TEXT(INDEX(ERP資料!$G:$G, (MATCH(912, 輔助計算!$G$2:$G$801, 0)+1)),"0.##")&amp;"+"&amp;TEXT(INDEX(ERP資料!$G:$G, (MATCH(912, 輔助計算!$G$2:$G$801, 0)+1)),"0.##")))&amp;"-"&amp;INT(INDEX(輔助計算!$D:$D, (MATCH(912, 輔助計算!$G$2:$G$801, 0)+1))/IF(INDEX(ERP資料!$G:$G, (MATCH(912, 輔助計算!$G$2:$G$801, 0)+1))&lt;100, IF(INDEX(ERP資料!$G:$G, (MATCH(912, 輔助計算!$G$2:$G$801, 0)+1))&lt;=31,3,IF(INDEX(ERP資料!$G:$G, (MATCH(912, 輔助計算!$G$2:$G$801, 0)+1))&lt;=46.5,2,1)), IF(INDEX(ERP資料!$G:$G, (MATCH(912, 輔助計算!$G$2:$G$801, 0)+1))&lt;=790,3,IF(INDEX(ERP資料!$G:$G, (MATCH(912, 輔助計算!$G$2:$G$801, 0)+1))&lt;=1181,2,1)))), "")&lt;&gt;"",IF(MOD(INDEX(輔助計算!$D:$D, (MATCH(912, 輔助計算!$G$2:$G$801, 0)+1)),IF(INDEX(ERP資料!$G:$G, (MATCH(912, 輔助計算!$G$2:$G$801, 0)+1))&lt;100, IF(INDEX(ERP資料!$G:$G, (MATCH(912, 輔助計算!$G$2:$G$801, 0)+1))&lt;=31,3,IF(INDEX(ERP資料!$G:$G, (MATCH(912, 輔助計算!$G$2:$G$801, 0)+1))&lt;=46.5,2,1)), IF(INDEX(ERP資料!$G:$G, (MATCH(912, 輔助計算!$G$2:$G$801, 0)+1))&lt;=790,3,IF(INDEX(ERP資料!$G:$G, (MATCH(912, 輔助計算!$G$2:$G$801, 0)+1))&lt;=1181,2,1))))=0,"",IF(MOD(INDEX(輔助計算!$D:$D, (MATCH(912, 輔助計算!$G$2:$G$801, 0)+1)),IF(INDEX(ERP資料!$G:$G, (MATCH(912, 輔助計算!$G$2:$G$801, 0)+1))&lt;100, IF(INDEX(ERP資料!$G:$G, (MATCH(912, 輔助計算!$G$2:$G$801, 0)+1))&lt;=31,3,IF(INDEX(ERP資料!$G:$G, (MATCH(912, 輔助計算!$G$2:$G$801, 0)+1))&lt;=46.5,2,1)), IF(INDEX(ERP資料!$G:$G, (MATCH(912, 輔助計算!$G$2:$G$801, 0)+1))&lt;=790,3,IF(INDEX(ERP資料!$G:$G, (MATCH(912, 輔助計算!$G$2:$G$801, 0)+1))&lt;=1181,2,1))))=0,"",IF(MOD(INDEX(輔助計算!$D:$D, (MATCH(912, 輔助計算!$G$2:$G$801, 0)+1)),IF(INDEX(ERP資料!$G:$G, (MATCH(912, 輔助計算!$G$2:$G$801, 0)+1))&lt;100, IF(INDEX(ERP資料!$G:$G, (MATCH(912, 輔助計算!$G$2:$G$801, 0)+1))&lt;=31,3,IF(INDEX(ERP資料!$G:$G, (MATCH(912, 輔助計算!$G$2:$G$801, 0)+1))&lt;=46.5,2,1)), IF(INDEX(ERP資料!$G:$G, (MATCH(912, 輔助計算!$G$2:$G$801, 0)+1))&lt;=790,3,IF(INDEX(ERP資料!$G:$G, (MATCH(912, 輔助計算!$G$2:$G$801, 0)+1))&lt;=1181,2,1))))=1,TEXT(INDEX(ERP資料!$G:$G, (MATCH(912, 輔助計算!$G$2:$G$801, 0)+1)),"0.##"),IF(MOD(INDEX(輔助計算!$D:$D, (MATCH(912, 輔助計算!$G$2:$G$801, 0)+1)),IF(INDEX(ERP資料!$G:$G, (MATCH(912, 輔助計算!$G$2:$G$801, 0)+1))&lt;100, IF(INDEX(ERP資料!$G:$G, (MATCH(912, 輔助計算!$G$2:$G$801, 0)+1))&lt;=31,3,IF(INDEX(ERP資料!$G:$G, (MATCH(912, 輔助計算!$G$2:$G$801, 0)+1))&lt;=46.5,2,1)), IF(INDEX(ERP資料!$G:$G, (MATCH(912, 輔助計算!$G$2:$G$801, 0)+1))&lt;=790,3,IF(INDEX(ERP資料!$G:$G, (MATCH(912, 輔助計算!$G$2:$G$801, 0)+1))&lt;=1181,2,1))))=2,TEXT(INDEX(ERP資料!$G:$G, (MATCH(912, 輔助計算!$G$2:$G$801, 0)+1)),"0.##")&amp;"+"&amp;TEXT(INDEX(ERP資料!$G:$G, (MATCH(912, 輔助計算!$G$2:$G$801, 0)+1)),"0.##"),TEXT(INDEX(ERP資料!$G:$G, (MATCH(912, 輔助計算!$G$2:$G$801, 0)+1)),"0.##")&amp;"+"&amp;TEXT(INDEX(ERP資料!$G:$G, (MATCH(912, 輔助計算!$G$2:$G$801, 0)+1)),"0.##")&amp;"+"&amp;TEXT(INDEX(ERP資料!$G:$G, (MATCH(912, 輔助計算!$G$2:$G$801, 0)+1)),"0.##"))))&amp;"-1")&lt;&gt;""),"  ","")&amp;IF(MOD(INDEX(輔助計算!$D:$D, (MATCH(912, 輔助計算!$G$2:$G$801, 0)+1)),IF(INDEX(ERP資料!$G:$G, (MATCH(912, 輔助計算!$G$2:$G$801, 0)+1))&lt;100, IF(INDEX(ERP資料!$G:$G, (MATCH(912, 輔助計算!$G$2:$G$801, 0)+1))&lt;=31,3,IF(INDEX(ERP資料!$G:$G, (MATCH(912, 輔助計算!$G$2:$G$801, 0)+1))&lt;=46.5,2,1)), IF(INDEX(ERP資料!$G:$G, (MATCH(912, 輔助計算!$G$2:$G$801, 0)+1))&lt;=790,3,IF(INDEX(ERP資料!$G:$G, (MATCH(912, 輔助計算!$G$2:$G$801, 0)+1))&lt;=1181,2,1))))=0,"",IF(MOD(INDEX(輔助計算!$D:$D, (MATCH(912, 輔助計算!$G$2:$G$801, 0)+1)),IF(INDEX(ERP資料!$G:$G, (MATCH(912, 輔助計算!$G$2:$G$801, 0)+1))&lt;100, IF(INDEX(ERP資料!$G:$G, (MATCH(912, 輔助計算!$G$2:$G$801, 0)+1))&lt;=31,3,IF(INDEX(ERP資料!$G:$G, (MATCH(912, 輔助計算!$G$2:$G$801, 0)+1))&lt;=46.5,2,1)), IF(INDEX(ERP資料!$G:$G, (MATCH(912, 輔助計算!$G$2:$G$801, 0)+1))&lt;=790,3,IF(INDEX(ERP資料!$G:$G, (MATCH(912, 輔助計算!$G$2:$G$801, 0)+1))&lt;=1181,2,1))))=0,"",IF(MOD(INDEX(輔助計算!$D:$D, (MATCH(912, 輔助計算!$G$2:$G$801, 0)+1)),IF(INDEX(ERP資料!$G:$G, (MATCH(912, 輔助計算!$G$2:$G$801, 0)+1))&lt;100, IF(INDEX(ERP資料!$G:$G, (MATCH(912, 輔助計算!$G$2:$G$801, 0)+1))&lt;=31,3,IF(INDEX(ERP資料!$G:$G, (MATCH(912, 輔助計算!$G$2:$G$801, 0)+1))&lt;=46.5,2,1)), IF(INDEX(ERP資料!$G:$G, (MATCH(912, 輔助計算!$G$2:$G$801, 0)+1))&lt;=790,3,IF(INDEX(ERP資料!$G:$G, (MATCH(912, 輔助計算!$G$2:$G$801, 0)+1))&lt;=1181,2,1))))=1,TEXT(INDEX(ERP資料!$G:$G, (MATCH(912, 輔助計算!$G$2:$G$801, 0)+1)),"0.##"),IF(MOD(INDEX(輔助計算!$D:$D, (MATCH(912, 輔助計算!$G$2:$G$801, 0)+1)),IF(INDEX(ERP資料!$G:$G, (MATCH(912, 輔助計算!$G$2:$G$801, 0)+1))&lt;100, IF(INDEX(ERP資料!$G:$G, (MATCH(912, 輔助計算!$G$2:$G$801, 0)+1))&lt;=31,3,IF(INDEX(ERP資料!$G:$G, (MATCH(912, 輔助計算!$G$2:$G$801, 0)+1))&lt;=46.5,2,1)), IF(INDEX(ERP資料!$G:$G, (MATCH(912, 輔助計算!$G$2:$G$801, 0)+1))&lt;=790,3,IF(INDEX(ERP資料!$G:$G, (MATCH(912, 輔助計算!$G$2:$G$801, 0)+1))&lt;=1181,2,1))))=2,TEXT(INDEX(ERP資料!$G:$G, (MATCH(912, 輔助計算!$G$2:$G$801, 0)+1)),"0.##")&amp;"+"&amp;TEXT(INDEX(ERP資料!$G:$G, (MATCH(912, 輔助計算!$G$2:$G$801, 0)+1)),"0.##"),TEXT(INDEX(ERP資料!$G:$G, (MATCH(912, 輔助計算!$G$2:$G$801, 0)+1)),"0.##")&amp;"+"&amp;TEXT(INDEX(ERP資料!$G:$G, (MATCH(912, 輔助計算!$G$2:$G$801, 0)+1)),"0.##")&amp;"+"&amp;TEXT(INDEX(ERP資料!$G:$G, (MATCH(912, 輔助計算!$G$2:$G$801, 0)+1)),"0.##"))))&amp;"-1")), ""), "")</f>
        <v/>
      </c>
      <c r="K913" s="16" t="n"/>
      <c r="L913" s="14">
        <f>IFERROR(IF(AND(IFERROR(INDEX(ERP資料!$A:$A, (MATCH(912, 輔助計算!$G$2:$G$801, 0)+1)), "")&lt;&gt;"", IFERROR(INDEX(ERP資料!$A:$A, (MATCH(912, 輔助計算!$G$2:$G$801, 0)+1)), "")&lt;&gt;IFERROR(INDEX(ERP資料!$A:$A, MATCH(911, 輔助計算!$G$2:$G$801, 0)+1), "")), INDEX(ERP資料!$B:$B, (MATCH(912, 輔助計算!$G$2:$G$801, 0)+1)), ""), "")</f>
        <v/>
      </c>
      <c r="M913" s="17" t="n"/>
    </row>
    <row r="914">
      <c r="A914" s="10">
        <f>IFERROR(IF(AND(IFERROR(INDEX(ERP資料!$A:$A, (MATCH(913, 輔助計算!$G$2:$G$801, 0)+1)), "")&lt;&gt;"", IFERROR(INDEX(ERP資料!$A:$A, (MATCH(913, 輔助計算!$G$2:$G$801, 0)+1)), "")&lt;&gt;IFERROR(INDEX(ERP資料!$A:$A, MATCH(912, 輔助計算!$G$2:$G$801, 0)+1), "")), IFERROR(INDEX(ERP資料!$A:$A, (MATCH(913, 輔助計算!$G$2:$G$801, 0)+1)), ""), ""), "")</f>
        <v/>
      </c>
      <c r="B914" s="10">
        <f>IFERROR(IF(AND(IFERROR(INDEX(ERP資料!$A:$A, (MATCH(913, 輔助計算!$G$2:$G$801, 0)+1)), "")&lt;&gt;"", IFERROR(INDEX(ERP資料!$A:$A, (MATCH(913, 輔助計算!$G$2:$G$801, 0)+1)), "")&lt;&gt;IFERROR(INDEX(ERP資料!$A:$A, MATCH(912, 輔助計算!$G$2:$G$801, 0)+1), "")), INDEX(ERP資料!$S:$S, (MATCH(913, 輔助計算!$G$2:$G$801, 0)+1)), ""), "")</f>
        <v/>
      </c>
      <c r="C914" s="19">
        <f>IFERROR(IF(AND(IFERROR(INDEX(ERP資料!$A:$A, (MATCH(913, 輔助計算!$G$2:$G$801, 0)+1)), "")&lt;&gt;"", IFERROR(INDEX(ERP資料!$A:$A, (MATCH(913, 輔助計算!$G$2:$G$801, 0)+1)), "")&lt;&gt;IFERROR(INDEX(ERP資料!$A:$A, MATCH(912, 輔助計算!$G$2:$G$801, 0)+1), "")), IFERROR(VLOOKUP(LEFT(INDEX(ERP資料!$S:$S, (MATCH(913, 輔助計算!$G$2:$G$801, 0)+1)), 4), 紙管對照表!$A:$C, 3, FALSE), ""), ""), "")</f>
        <v/>
      </c>
      <c r="D914" s="16" t="n"/>
      <c r="E914" s="10">
        <f>IFERROR(IF(INDEX(ERP資料!$H:$H, (MATCH(913, 輔助計算!$G$2:$G$801, 0)+1))="","",INDEX(ERP資料!$H:$H, (MATCH(913, 輔助計算!$G$2:$G$801, 0)+1))), "")</f>
        <v/>
      </c>
      <c r="F914" s="10">
        <f>IFERROR(IF(INDEX(ERP資料!$E:$E, (MATCH(913, 輔助計算!$G$2:$G$801, 0)+1))="","",TRIM(INDEX(ERP資料!$E:$E, (MATCH(913, 輔助計算!$G$2:$G$801, 0)+1)))), "")</f>
        <v/>
      </c>
      <c r="G914" s="10">
        <f>IFERROR(IF(INDEX(ERP資料!$F:$F, (MATCH(913, 輔助計算!$G$2:$G$801, 0)+1))="","",INDEX(ERP資料!$F:$F, (MATCH(913, 輔助計算!$G$2:$G$801, 0)+1))), "")</f>
        <v/>
      </c>
      <c r="H914" s="10">
        <f>IFERROR(IF(INDEX(ERP資料!$G:$G, (MATCH(913, 輔助計算!$G$2:$G$801, 0)+1))="","",INDEX(ERP資料!$G:$G, (MATCH(913, 輔助計算!$G$2:$G$801, 0)+1))), "")</f>
        <v/>
      </c>
      <c r="I914" s="15">
        <f>IFERROR(INDEX(輔助計算!$D:$D, (MATCH(913, 輔助計算!$G$2:$G$801, 0)+1)), "")</f>
        <v/>
      </c>
      <c r="J914" s="15">
        <f>IFERROR(IF(AND(INDEX(輔助計算!$D:$D, (MATCH(913, 輔助計算!$G$2:$G$801, 0)+1))&lt;&gt;"", INDEX(ERP資料!$G:$G, (MATCH(913, 輔助計算!$G$2:$G$801, 0)+1))&lt;&gt;""), TRIM(IF(INT(INDEX(輔助計算!$D:$D, (MATCH(913, 輔助計算!$G$2:$G$801, 0)+1))/IF(INDEX(ERP資料!$G:$G, (MATCH(913, 輔助計算!$G$2:$G$801, 0)+1))&lt;100, IF(INDEX(ERP資料!$G:$G, (MATCH(913, 輔助計算!$G$2:$G$801, 0)+1))&lt;=31,3,IF(INDEX(ERP資料!$G:$G, (MATCH(913, 輔助計算!$G$2:$G$801, 0)+1))&lt;=46.5,2,1)), IF(INDEX(ERP資料!$G:$G, (MATCH(913, 輔助計算!$G$2:$G$801, 0)+1))&lt;=790,3,IF(INDEX(ERP資料!$G:$G, (MATCH(913, 輔助計算!$G$2:$G$801, 0)+1))&lt;=1181,2,1))))&gt;0, IF(IF(INDEX(ERP資料!$G:$G, (MATCH(913, 輔助計算!$G$2:$G$801, 0)+1))&lt;100, IF(INDEX(ERP資料!$G:$G, (MATCH(913, 輔助計算!$G$2:$G$801, 0)+1))&lt;=31,3,IF(INDEX(ERP資料!$G:$G, (MATCH(913, 輔助計算!$G$2:$G$801, 0)+1))&lt;=46.5,2,1)), IF(INDEX(ERP資料!$G:$G, (MATCH(913, 輔助計算!$G$2:$G$801, 0)+1))&lt;=790,3,IF(INDEX(ERP資料!$G:$G, (MATCH(913, 輔助計算!$G$2:$G$801, 0)+1))&lt;=1181,2,1)))=1,TEXT(INDEX(ERP資料!$G:$G, (MATCH(913, 輔助計算!$G$2:$G$801, 0)+1)),"0.##"),IF(IF(INDEX(ERP資料!$G:$G, (MATCH(913, 輔助計算!$G$2:$G$801, 0)+1))&lt;100, IF(INDEX(ERP資料!$G:$G, (MATCH(913, 輔助計算!$G$2:$G$801, 0)+1))&lt;=31,3,IF(INDEX(ERP資料!$G:$G, (MATCH(913, 輔助計算!$G$2:$G$801, 0)+1))&lt;=46.5,2,1)), IF(INDEX(ERP資料!$G:$G, (MATCH(913, 輔助計算!$G$2:$G$801, 0)+1))&lt;=790,3,IF(INDEX(ERP資料!$G:$G, (MATCH(913, 輔助計算!$G$2:$G$801, 0)+1))&lt;=1181,2,1)))=2,TEXT(INDEX(ERP資料!$G:$G, (MATCH(913, 輔助計算!$G$2:$G$801, 0)+1)),"0.##")&amp;"+"&amp;TEXT(INDEX(ERP資料!$G:$G, (MATCH(913, 輔助計算!$G$2:$G$801, 0)+1)),"0.##"),TEXT(INDEX(ERP資料!$G:$G, (MATCH(913, 輔助計算!$G$2:$G$801, 0)+1)),"0.##")&amp;"+"&amp;TEXT(INDEX(ERP資料!$G:$G, (MATCH(913, 輔助計算!$G$2:$G$801, 0)+1)),"0.##")&amp;"+"&amp;TEXT(INDEX(ERP資料!$G:$G, (MATCH(913, 輔助計算!$G$2:$G$801, 0)+1)),"0.##")))&amp;"-"&amp;INT(INDEX(輔助計算!$D:$D, (MATCH(913, 輔助計算!$G$2:$G$801, 0)+1))/IF(INDEX(ERP資料!$G:$G, (MATCH(913, 輔助計算!$G$2:$G$801, 0)+1))&lt;100, IF(INDEX(ERP資料!$G:$G, (MATCH(913, 輔助計算!$G$2:$G$801, 0)+1))&lt;=31,3,IF(INDEX(ERP資料!$G:$G, (MATCH(913, 輔助計算!$G$2:$G$801, 0)+1))&lt;=46.5,2,1)), IF(INDEX(ERP資料!$G:$G, (MATCH(913, 輔助計算!$G$2:$G$801, 0)+1))&lt;=790,3,IF(INDEX(ERP資料!$G:$G, (MATCH(913, 輔助計算!$G$2:$G$801, 0)+1))&lt;=1181,2,1)))), "")&amp;IF(AND(IF(INT(INDEX(輔助計算!$D:$D, (MATCH(913, 輔助計算!$G$2:$G$801, 0)+1))/IF(INDEX(ERP資料!$G:$G, (MATCH(913, 輔助計算!$G$2:$G$801, 0)+1))&lt;100, IF(INDEX(ERP資料!$G:$G, (MATCH(913, 輔助計算!$G$2:$G$801, 0)+1))&lt;=31,3,IF(INDEX(ERP資料!$G:$G, (MATCH(913, 輔助計算!$G$2:$G$801, 0)+1))&lt;=46.5,2,1)), IF(INDEX(ERP資料!$G:$G, (MATCH(913, 輔助計算!$G$2:$G$801, 0)+1))&lt;=790,3,IF(INDEX(ERP資料!$G:$G, (MATCH(913, 輔助計算!$G$2:$G$801, 0)+1))&lt;=1181,2,1))))&gt;0, IF(IF(INDEX(ERP資料!$G:$G, (MATCH(913, 輔助計算!$G$2:$G$801, 0)+1))&lt;100, IF(INDEX(ERP資料!$G:$G, (MATCH(913, 輔助計算!$G$2:$G$801, 0)+1))&lt;=31,3,IF(INDEX(ERP資料!$G:$G, (MATCH(913, 輔助計算!$G$2:$G$801, 0)+1))&lt;=46.5,2,1)), IF(INDEX(ERP資料!$G:$G, (MATCH(913, 輔助計算!$G$2:$G$801, 0)+1))&lt;=790,3,IF(INDEX(ERP資料!$G:$G, (MATCH(913, 輔助計算!$G$2:$G$801, 0)+1))&lt;=1181,2,1)))=1,TEXT(INDEX(ERP資料!$G:$G, (MATCH(913, 輔助計算!$G$2:$G$801, 0)+1)),"0.##"),IF(IF(INDEX(ERP資料!$G:$G, (MATCH(913, 輔助計算!$G$2:$G$801, 0)+1))&lt;100, IF(INDEX(ERP資料!$G:$G, (MATCH(913, 輔助計算!$G$2:$G$801, 0)+1))&lt;=31,3,IF(INDEX(ERP資料!$G:$G, (MATCH(913, 輔助計算!$G$2:$G$801, 0)+1))&lt;=46.5,2,1)), IF(INDEX(ERP資料!$G:$G, (MATCH(913, 輔助計算!$G$2:$G$801, 0)+1))&lt;=790,3,IF(INDEX(ERP資料!$G:$G, (MATCH(913, 輔助計算!$G$2:$G$801, 0)+1))&lt;=1181,2,1)))=2,TEXT(INDEX(ERP資料!$G:$G, (MATCH(913, 輔助計算!$G$2:$G$801, 0)+1)),"0.##")&amp;"+"&amp;TEXT(INDEX(ERP資料!$G:$G, (MATCH(913, 輔助計算!$G$2:$G$801, 0)+1)),"0.##"),TEXT(INDEX(ERP資料!$G:$G, (MATCH(913, 輔助計算!$G$2:$G$801, 0)+1)),"0.##")&amp;"+"&amp;TEXT(INDEX(ERP資料!$G:$G, (MATCH(913, 輔助計算!$G$2:$G$801, 0)+1)),"0.##")&amp;"+"&amp;TEXT(INDEX(ERP資料!$G:$G, (MATCH(913, 輔助計算!$G$2:$G$801, 0)+1)),"0.##")))&amp;"-"&amp;INT(INDEX(輔助計算!$D:$D, (MATCH(913, 輔助計算!$G$2:$G$801, 0)+1))/IF(INDEX(ERP資料!$G:$G, (MATCH(913, 輔助計算!$G$2:$G$801, 0)+1))&lt;100, IF(INDEX(ERP資料!$G:$G, (MATCH(913, 輔助計算!$G$2:$G$801, 0)+1))&lt;=31,3,IF(INDEX(ERP資料!$G:$G, (MATCH(913, 輔助計算!$G$2:$G$801, 0)+1))&lt;=46.5,2,1)), IF(INDEX(ERP資料!$G:$G, (MATCH(913, 輔助計算!$G$2:$G$801, 0)+1))&lt;=790,3,IF(INDEX(ERP資料!$G:$G, (MATCH(913, 輔助計算!$G$2:$G$801, 0)+1))&lt;=1181,2,1)))), "")&lt;&gt;"",IF(MOD(INDEX(輔助計算!$D:$D, (MATCH(913, 輔助計算!$G$2:$G$801, 0)+1)),IF(INDEX(ERP資料!$G:$G, (MATCH(913, 輔助計算!$G$2:$G$801, 0)+1))&lt;100, IF(INDEX(ERP資料!$G:$G, (MATCH(913, 輔助計算!$G$2:$G$801, 0)+1))&lt;=31,3,IF(INDEX(ERP資料!$G:$G, (MATCH(913, 輔助計算!$G$2:$G$801, 0)+1))&lt;=46.5,2,1)), IF(INDEX(ERP資料!$G:$G, (MATCH(913, 輔助計算!$G$2:$G$801, 0)+1))&lt;=790,3,IF(INDEX(ERP資料!$G:$G, (MATCH(913, 輔助計算!$G$2:$G$801, 0)+1))&lt;=1181,2,1))))=0,"",IF(MOD(INDEX(輔助計算!$D:$D, (MATCH(913, 輔助計算!$G$2:$G$801, 0)+1)),IF(INDEX(ERP資料!$G:$G, (MATCH(913, 輔助計算!$G$2:$G$801, 0)+1))&lt;100, IF(INDEX(ERP資料!$G:$G, (MATCH(913, 輔助計算!$G$2:$G$801, 0)+1))&lt;=31,3,IF(INDEX(ERP資料!$G:$G, (MATCH(913, 輔助計算!$G$2:$G$801, 0)+1))&lt;=46.5,2,1)), IF(INDEX(ERP資料!$G:$G, (MATCH(913, 輔助計算!$G$2:$G$801, 0)+1))&lt;=790,3,IF(INDEX(ERP資料!$G:$G, (MATCH(913, 輔助計算!$G$2:$G$801, 0)+1))&lt;=1181,2,1))))=0,"",IF(MOD(INDEX(輔助計算!$D:$D, (MATCH(913, 輔助計算!$G$2:$G$801, 0)+1)),IF(INDEX(ERP資料!$G:$G, (MATCH(913, 輔助計算!$G$2:$G$801, 0)+1))&lt;100, IF(INDEX(ERP資料!$G:$G, (MATCH(913, 輔助計算!$G$2:$G$801, 0)+1))&lt;=31,3,IF(INDEX(ERP資料!$G:$G, (MATCH(913, 輔助計算!$G$2:$G$801, 0)+1))&lt;=46.5,2,1)), IF(INDEX(ERP資料!$G:$G, (MATCH(913, 輔助計算!$G$2:$G$801, 0)+1))&lt;=790,3,IF(INDEX(ERP資料!$G:$G, (MATCH(913, 輔助計算!$G$2:$G$801, 0)+1))&lt;=1181,2,1))))=1,TEXT(INDEX(ERP資料!$G:$G, (MATCH(913, 輔助計算!$G$2:$G$801, 0)+1)),"0.##"),IF(MOD(INDEX(輔助計算!$D:$D, (MATCH(913, 輔助計算!$G$2:$G$801, 0)+1)),IF(INDEX(ERP資料!$G:$G, (MATCH(913, 輔助計算!$G$2:$G$801, 0)+1))&lt;100, IF(INDEX(ERP資料!$G:$G, (MATCH(913, 輔助計算!$G$2:$G$801, 0)+1))&lt;=31,3,IF(INDEX(ERP資料!$G:$G, (MATCH(913, 輔助計算!$G$2:$G$801, 0)+1))&lt;=46.5,2,1)), IF(INDEX(ERP資料!$G:$G, (MATCH(913, 輔助計算!$G$2:$G$801, 0)+1))&lt;=790,3,IF(INDEX(ERP資料!$G:$G, (MATCH(913, 輔助計算!$G$2:$G$801, 0)+1))&lt;=1181,2,1))))=2,TEXT(INDEX(ERP資料!$G:$G, (MATCH(913, 輔助計算!$G$2:$G$801, 0)+1)),"0.##")&amp;"+"&amp;TEXT(INDEX(ERP資料!$G:$G, (MATCH(913, 輔助計算!$G$2:$G$801, 0)+1)),"0.##"),TEXT(INDEX(ERP資料!$G:$G, (MATCH(913, 輔助計算!$G$2:$G$801, 0)+1)),"0.##")&amp;"+"&amp;TEXT(INDEX(ERP資料!$G:$G, (MATCH(913, 輔助計算!$G$2:$G$801, 0)+1)),"0.##")&amp;"+"&amp;TEXT(INDEX(ERP資料!$G:$G, (MATCH(913, 輔助計算!$G$2:$G$801, 0)+1)),"0.##"))))&amp;"-1")&lt;&gt;""),"  ","")&amp;IF(MOD(INDEX(輔助計算!$D:$D, (MATCH(913, 輔助計算!$G$2:$G$801, 0)+1)),IF(INDEX(ERP資料!$G:$G, (MATCH(913, 輔助計算!$G$2:$G$801, 0)+1))&lt;100, IF(INDEX(ERP資料!$G:$G, (MATCH(913, 輔助計算!$G$2:$G$801, 0)+1))&lt;=31,3,IF(INDEX(ERP資料!$G:$G, (MATCH(913, 輔助計算!$G$2:$G$801, 0)+1))&lt;=46.5,2,1)), IF(INDEX(ERP資料!$G:$G, (MATCH(913, 輔助計算!$G$2:$G$801, 0)+1))&lt;=790,3,IF(INDEX(ERP資料!$G:$G, (MATCH(913, 輔助計算!$G$2:$G$801, 0)+1))&lt;=1181,2,1))))=0,"",IF(MOD(INDEX(輔助計算!$D:$D, (MATCH(913, 輔助計算!$G$2:$G$801, 0)+1)),IF(INDEX(ERP資料!$G:$G, (MATCH(913, 輔助計算!$G$2:$G$801, 0)+1))&lt;100, IF(INDEX(ERP資料!$G:$G, (MATCH(913, 輔助計算!$G$2:$G$801, 0)+1))&lt;=31,3,IF(INDEX(ERP資料!$G:$G, (MATCH(913, 輔助計算!$G$2:$G$801, 0)+1))&lt;=46.5,2,1)), IF(INDEX(ERP資料!$G:$G, (MATCH(913, 輔助計算!$G$2:$G$801, 0)+1))&lt;=790,3,IF(INDEX(ERP資料!$G:$G, (MATCH(913, 輔助計算!$G$2:$G$801, 0)+1))&lt;=1181,2,1))))=0,"",IF(MOD(INDEX(輔助計算!$D:$D, (MATCH(913, 輔助計算!$G$2:$G$801, 0)+1)),IF(INDEX(ERP資料!$G:$G, (MATCH(913, 輔助計算!$G$2:$G$801, 0)+1))&lt;100, IF(INDEX(ERP資料!$G:$G, (MATCH(913, 輔助計算!$G$2:$G$801, 0)+1))&lt;=31,3,IF(INDEX(ERP資料!$G:$G, (MATCH(913, 輔助計算!$G$2:$G$801, 0)+1))&lt;=46.5,2,1)), IF(INDEX(ERP資料!$G:$G, (MATCH(913, 輔助計算!$G$2:$G$801, 0)+1))&lt;=790,3,IF(INDEX(ERP資料!$G:$G, (MATCH(913, 輔助計算!$G$2:$G$801, 0)+1))&lt;=1181,2,1))))=1,TEXT(INDEX(ERP資料!$G:$G, (MATCH(913, 輔助計算!$G$2:$G$801, 0)+1)),"0.##"),IF(MOD(INDEX(輔助計算!$D:$D, (MATCH(913, 輔助計算!$G$2:$G$801, 0)+1)),IF(INDEX(ERP資料!$G:$G, (MATCH(913, 輔助計算!$G$2:$G$801, 0)+1))&lt;100, IF(INDEX(ERP資料!$G:$G, (MATCH(913, 輔助計算!$G$2:$G$801, 0)+1))&lt;=31,3,IF(INDEX(ERP資料!$G:$G, (MATCH(913, 輔助計算!$G$2:$G$801, 0)+1))&lt;=46.5,2,1)), IF(INDEX(ERP資料!$G:$G, (MATCH(913, 輔助計算!$G$2:$G$801, 0)+1))&lt;=790,3,IF(INDEX(ERP資料!$G:$G, (MATCH(913, 輔助計算!$G$2:$G$801, 0)+1))&lt;=1181,2,1))))=2,TEXT(INDEX(ERP資料!$G:$G, (MATCH(913, 輔助計算!$G$2:$G$801, 0)+1)),"0.##")&amp;"+"&amp;TEXT(INDEX(ERP資料!$G:$G, (MATCH(913, 輔助計算!$G$2:$G$801, 0)+1)),"0.##"),TEXT(INDEX(ERP資料!$G:$G, (MATCH(913, 輔助計算!$G$2:$G$801, 0)+1)),"0.##")&amp;"+"&amp;TEXT(INDEX(ERP資料!$G:$G, (MATCH(913, 輔助計算!$G$2:$G$801, 0)+1)),"0.##")&amp;"+"&amp;TEXT(INDEX(ERP資料!$G:$G, (MATCH(913, 輔助計算!$G$2:$G$801, 0)+1)),"0.##"))))&amp;"-1")), ""), "")</f>
        <v/>
      </c>
      <c r="K914" s="16" t="n"/>
      <c r="L914" s="14">
        <f>IFERROR(IF(AND(IFERROR(INDEX(ERP資料!$A:$A, (MATCH(913, 輔助計算!$G$2:$G$801, 0)+1)), "")&lt;&gt;"", IFERROR(INDEX(ERP資料!$A:$A, (MATCH(913, 輔助計算!$G$2:$G$801, 0)+1)), "")&lt;&gt;IFERROR(INDEX(ERP資料!$A:$A, MATCH(912, 輔助計算!$G$2:$G$801, 0)+1), "")), INDEX(ERP資料!$B:$B, (MATCH(913, 輔助計算!$G$2:$G$801, 0)+1)), ""), "")</f>
        <v/>
      </c>
      <c r="M914" s="17" t="n"/>
    </row>
    <row r="915">
      <c r="A915" s="10">
        <f>IFERROR(IF(AND(IFERROR(INDEX(ERP資料!$A:$A, (MATCH(914, 輔助計算!$G$2:$G$801, 0)+1)), "")&lt;&gt;"", IFERROR(INDEX(ERP資料!$A:$A, (MATCH(914, 輔助計算!$G$2:$G$801, 0)+1)), "")&lt;&gt;IFERROR(INDEX(ERP資料!$A:$A, MATCH(913, 輔助計算!$G$2:$G$801, 0)+1), "")), IFERROR(INDEX(ERP資料!$A:$A, (MATCH(914, 輔助計算!$G$2:$G$801, 0)+1)), ""), ""), "")</f>
        <v/>
      </c>
      <c r="B915" s="10">
        <f>IFERROR(IF(AND(IFERROR(INDEX(ERP資料!$A:$A, (MATCH(914, 輔助計算!$G$2:$G$801, 0)+1)), "")&lt;&gt;"", IFERROR(INDEX(ERP資料!$A:$A, (MATCH(914, 輔助計算!$G$2:$G$801, 0)+1)), "")&lt;&gt;IFERROR(INDEX(ERP資料!$A:$A, MATCH(913, 輔助計算!$G$2:$G$801, 0)+1), "")), INDEX(ERP資料!$S:$S, (MATCH(914, 輔助計算!$G$2:$G$801, 0)+1)), ""), "")</f>
        <v/>
      </c>
      <c r="C915" s="19">
        <f>IFERROR(IF(AND(IFERROR(INDEX(ERP資料!$A:$A, (MATCH(914, 輔助計算!$G$2:$G$801, 0)+1)), "")&lt;&gt;"", IFERROR(INDEX(ERP資料!$A:$A, (MATCH(914, 輔助計算!$G$2:$G$801, 0)+1)), "")&lt;&gt;IFERROR(INDEX(ERP資料!$A:$A, MATCH(913, 輔助計算!$G$2:$G$801, 0)+1), "")), IFERROR(VLOOKUP(LEFT(INDEX(ERP資料!$S:$S, (MATCH(914, 輔助計算!$G$2:$G$801, 0)+1)), 4), 紙管對照表!$A:$C, 3, FALSE), ""), ""), "")</f>
        <v/>
      </c>
      <c r="D915" s="16" t="n"/>
      <c r="E915" s="10">
        <f>IFERROR(IF(INDEX(ERP資料!$H:$H, (MATCH(914, 輔助計算!$G$2:$G$801, 0)+1))="","",INDEX(ERP資料!$H:$H, (MATCH(914, 輔助計算!$G$2:$G$801, 0)+1))), "")</f>
        <v/>
      </c>
      <c r="F915" s="10">
        <f>IFERROR(IF(INDEX(ERP資料!$E:$E, (MATCH(914, 輔助計算!$G$2:$G$801, 0)+1))="","",TRIM(INDEX(ERP資料!$E:$E, (MATCH(914, 輔助計算!$G$2:$G$801, 0)+1)))), "")</f>
        <v/>
      </c>
      <c r="G915" s="10">
        <f>IFERROR(IF(INDEX(ERP資料!$F:$F, (MATCH(914, 輔助計算!$G$2:$G$801, 0)+1))="","",INDEX(ERP資料!$F:$F, (MATCH(914, 輔助計算!$G$2:$G$801, 0)+1))), "")</f>
        <v/>
      </c>
      <c r="H915" s="10">
        <f>IFERROR(IF(INDEX(ERP資料!$G:$G, (MATCH(914, 輔助計算!$G$2:$G$801, 0)+1))="","",INDEX(ERP資料!$G:$G, (MATCH(914, 輔助計算!$G$2:$G$801, 0)+1))), "")</f>
        <v/>
      </c>
      <c r="I915" s="15">
        <f>IFERROR(INDEX(輔助計算!$D:$D, (MATCH(914, 輔助計算!$G$2:$G$801, 0)+1)), "")</f>
        <v/>
      </c>
      <c r="J915" s="15">
        <f>IFERROR(IF(AND(INDEX(輔助計算!$D:$D, (MATCH(914, 輔助計算!$G$2:$G$801, 0)+1))&lt;&gt;"", INDEX(ERP資料!$G:$G, (MATCH(914, 輔助計算!$G$2:$G$801, 0)+1))&lt;&gt;""), TRIM(IF(INT(INDEX(輔助計算!$D:$D, (MATCH(914, 輔助計算!$G$2:$G$801, 0)+1))/IF(INDEX(ERP資料!$G:$G, (MATCH(914, 輔助計算!$G$2:$G$801, 0)+1))&lt;100, IF(INDEX(ERP資料!$G:$G, (MATCH(914, 輔助計算!$G$2:$G$801, 0)+1))&lt;=31,3,IF(INDEX(ERP資料!$G:$G, (MATCH(914, 輔助計算!$G$2:$G$801, 0)+1))&lt;=46.5,2,1)), IF(INDEX(ERP資料!$G:$G, (MATCH(914, 輔助計算!$G$2:$G$801, 0)+1))&lt;=790,3,IF(INDEX(ERP資料!$G:$G, (MATCH(914, 輔助計算!$G$2:$G$801, 0)+1))&lt;=1181,2,1))))&gt;0, IF(IF(INDEX(ERP資料!$G:$G, (MATCH(914, 輔助計算!$G$2:$G$801, 0)+1))&lt;100, IF(INDEX(ERP資料!$G:$G, (MATCH(914, 輔助計算!$G$2:$G$801, 0)+1))&lt;=31,3,IF(INDEX(ERP資料!$G:$G, (MATCH(914, 輔助計算!$G$2:$G$801, 0)+1))&lt;=46.5,2,1)), IF(INDEX(ERP資料!$G:$G, (MATCH(914, 輔助計算!$G$2:$G$801, 0)+1))&lt;=790,3,IF(INDEX(ERP資料!$G:$G, (MATCH(914, 輔助計算!$G$2:$G$801, 0)+1))&lt;=1181,2,1)))=1,TEXT(INDEX(ERP資料!$G:$G, (MATCH(914, 輔助計算!$G$2:$G$801, 0)+1)),"0.##"),IF(IF(INDEX(ERP資料!$G:$G, (MATCH(914, 輔助計算!$G$2:$G$801, 0)+1))&lt;100, IF(INDEX(ERP資料!$G:$G, (MATCH(914, 輔助計算!$G$2:$G$801, 0)+1))&lt;=31,3,IF(INDEX(ERP資料!$G:$G, (MATCH(914, 輔助計算!$G$2:$G$801, 0)+1))&lt;=46.5,2,1)), IF(INDEX(ERP資料!$G:$G, (MATCH(914, 輔助計算!$G$2:$G$801, 0)+1))&lt;=790,3,IF(INDEX(ERP資料!$G:$G, (MATCH(914, 輔助計算!$G$2:$G$801, 0)+1))&lt;=1181,2,1)))=2,TEXT(INDEX(ERP資料!$G:$G, (MATCH(914, 輔助計算!$G$2:$G$801, 0)+1)),"0.##")&amp;"+"&amp;TEXT(INDEX(ERP資料!$G:$G, (MATCH(914, 輔助計算!$G$2:$G$801, 0)+1)),"0.##"),TEXT(INDEX(ERP資料!$G:$G, (MATCH(914, 輔助計算!$G$2:$G$801, 0)+1)),"0.##")&amp;"+"&amp;TEXT(INDEX(ERP資料!$G:$G, (MATCH(914, 輔助計算!$G$2:$G$801, 0)+1)),"0.##")&amp;"+"&amp;TEXT(INDEX(ERP資料!$G:$G, (MATCH(914, 輔助計算!$G$2:$G$801, 0)+1)),"0.##")))&amp;"-"&amp;INT(INDEX(輔助計算!$D:$D, (MATCH(914, 輔助計算!$G$2:$G$801, 0)+1))/IF(INDEX(ERP資料!$G:$G, (MATCH(914, 輔助計算!$G$2:$G$801, 0)+1))&lt;100, IF(INDEX(ERP資料!$G:$G, (MATCH(914, 輔助計算!$G$2:$G$801, 0)+1))&lt;=31,3,IF(INDEX(ERP資料!$G:$G, (MATCH(914, 輔助計算!$G$2:$G$801, 0)+1))&lt;=46.5,2,1)), IF(INDEX(ERP資料!$G:$G, (MATCH(914, 輔助計算!$G$2:$G$801, 0)+1))&lt;=790,3,IF(INDEX(ERP資料!$G:$G, (MATCH(914, 輔助計算!$G$2:$G$801, 0)+1))&lt;=1181,2,1)))), "")&amp;IF(AND(IF(INT(INDEX(輔助計算!$D:$D, (MATCH(914, 輔助計算!$G$2:$G$801, 0)+1))/IF(INDEX(ERP資料!$G:$G, (MATCH(914, 輔助計算!$G$2:$G$801, 0)+1))&lt;100, IF(INDEX(ERP資料!$G:$G, (MATCH(914, 輔助計算!$G$2:$G$801, 0)+1))&lt;=31,3,IF(INDEX(ERP資料!$G:$G, (MATCH(914, 輔助計算!$G$2:$G$801, 0)+1))&lt;=46.5,2,1)), IF(INDEX(ERP資料!$G:$G, (MATCH(914, 輔助計算!$G$2:$G$801, 0)+1))&lt;=790,3,IF(INDEX(ERP資料!$G:$G, (MATCH(914, 輔助計算!$G$2:$G$801, 0)+1))&lt;=1181,2,1))))&gt;0, IF(IF(INDEX(ERP資料!$G:$G, (MATCH(914, 輔助計算!$G$2:$G$801, 0)+1))&lt;100, IF(INDEX(ERP資料!$G:$G, (MATCH(914, 輔助計算!$G$2:$G$801, 0)+1))&lt;=31,3,IF(INDEX(ERP資料!$G:$G, (MATCH(914, 輔助計算!$G$2:$G$801, 0)+1))&lt;=46.5,2,1)), IF(INDEX(ERP資料!$G:$G, (MATCH(914, 輔助計算!$G$2:$G$801, 0)+1))&lt;=790,3,IF(INDEX(ERP資料!$G:$G, (MATCH(914, 輔助計算!$G$2:$G$801, 0)+1))&lt;=1181,2,1)))=1,TEXT(INDEX(ERP資料!$G:$G, (MATCH(914, 輔助計算!$G$2:$G$801, 0)+1)),"0.##"),IF(IF(INDEX(ERP資料!$G:$G, (MATCH(914, 輔助計算!$G$2:$G$801, 0)+1))&lt;100, IF(INDEX(ERP資料!$G:$G, (MATCH(914, 輔助計算!$G$2:$G$801, 0)+1))&lt;=31,3,IF(INDEX(ERP資料!$G:$G, (MATCH(914, 輔助計算!$G$2:$G$801, 0)+1))&lt;=46.5,2,1)), IF(INDEX(ERP資料!$G:$G, (MATCH(914, 輔助計算!$G$2:$G$801, 0)+1))&lt;=790,3,IF(INDEX(ERP資料!$G:$G, (MATCH(914, 輔助計算!$G$2:$G$801, 0)+1))&lt;=1181,2,1)))=2,TEXT(INDEX(ERP資料!$G:$G, (MATCH(914, 輔助計算!$G$2:$G$801, 0)+1)),"0.##")&amp;"+"&amp;TEXT(INDEX(ERP資料!$G:$G, (MATCH(914, 輔助計算!$G$2:$G$801, 0)+1)),"0.##"),TEXT(INDEX(ERP資料!$G:$G, (MATCH(914, 輔助計算!$G$2:$G$801, 0)+1)),"0.##")&amp;"+"&amp;TEXT(INDEX(ERP資料!$G:$G, (MATCH(914, 輔助計算!$G$2:$G$801, 0)+1)),"0.##")&amp;"+"&amp;TEXT(INDEX(ERP資料!$G:$G, (MATCH(914, 輔助計算!$G$2:$G$801, 0)+1)),"0.##")))&amp;"-"&amp;INT(INDEX(輔助計算!$D:$D, (MATCH(914, 輔助計算!$G$2:$G$801, 0)+1))/IF(INDEX(ERP資料!$G:$G, (MATCH(914, 輔助計算!$G$2:$G$801, 0)+1))&lt;100, IF(INDEX(ERP資料!$G:$G, (MATCH(914, 輔助計算!$G$2:$G$801, 0)+1))&lt;=31,3,IF(INDEX(ERP資料!$G:$G, (MATCH(914, 輔助計算!$G$2:$G$801, 0)+1))&lt;=46.5,2,1)), IF(INDEX(ERP資料!$G:$G, (MATCH(914, 輔助計算!$G$2:$G$801, 0)+1))&lt;=790,3,IF(INDEX(ERP資料!$G:$G, (MATCH(914, 輔助計算!$G$2:$G$801, 0)+1))&lt;=1181,2,1)))), "")&lt;&gt;"",IF(MOD(INDEX(輔助計算!$D:$D, (MATCH(914, 輔助計算!$G$2:$G$801, 0)+1)),IF(INDEX(ERP資料!$G:$G, (MATCH(914, 輔助計算!$G$2:$G$801, 0)+1))&lt;100, IF(INDEX(ERP資料!$G:$G, (MATCH(914, 輔助計算!$G$2:$G$801, 0)+1))&lt;=31,3,IF(INDEX(ERP資料!$G:$G, (MATCH(914, 輔助計算!$G$2:$G$801, 0)+1))&lt;=46.5,2,1)), IF(INDEX(ERP資料!$G:$G, (MATCH(914, 輔助計算!$G$2:$G$801, 0)+1))&lt;=790,3,IF(INDEX(ERP資料!$G:$G, (MATCH(914, 輔助計算!$G$2:$G$801, 0)+1))&lt;=1181,2,1))))=0,"",IF(MOD(INDEX(輔助計算!$D:$D, (MATCH(914, 輔助計算!$G$2:$G$801, 0)+1)),IF(INDEX(ERP資料!$G:$G, (MATCH(914, 輔助計算!$G$2:$G$801, 0)+1))&lt;100, IF(INDEX(ERP資料!$G:$G, (MATCH(914, 輔助計算!$G$2:$G$801, 0)+1))&lt;=31,3,IF(INDEX(ERP資料!$G:$G, (MATCH(914, 輔助計算!$G$2:$G$801, 0)+1))&lt;=46.5,2,1)), IF(INDEX(ERP資料!$G:$G, (MATCH(914, 輔助計算!$G$2:$G$801, 0)+1))&lt;=790,3,IF(INDEX(ERP資料!$G:$G, (MATCH(914, 輔助計算!$G$2:$G$801, 0)+1))&lt;=1181,2,1))))=0,"",IF(MOD(INDEX(輔助計算!$D:$D, (MATCH(914, 輔助計算!$G$2:$G$801, 0)+1)),IF(INDEX(ERP資料!$G:$G, (MATCH(914, 輔助計算!$G$2:$G$801, 0)+1))&lt;100, IF(INDEX(ERP資料!$G:$G, (MATCH(914, 輔助計算!$G$2:$G$801, 0)+1))&lt;=31,3,IF(INDEX(ERP資料!$G:$G, (MATCH(914, 輔助計算!$G$2:$G$801, 0)+1))&lt;=46.5,2,1)), IF(INDEX(ERP資料!$G:$G, (MATCH(914, 輔助計算!$G$2:$G$801, 0)+1))&lt;=790,3,IF(INDEX(ERP資料!$G:$G, (MATCH(914, 輔助計算!$G$2:$G$801, 0)+1))&lt;=1181,2,1))))=1,TEXT(INDEX(ERP資料!$G:$G, (MATCH(914, 輔助計算!$G$2:$G$801, 0)+1)),"0.##"),IF(MOD(INDEX(輔助計算!$D:$D, (MATCH(914, 輔助計算!$G$2:$G$801, 0)+1)),IF(INDEX(ERP資料!$G:$G, (MATCH(914, 輔助計算!$G$2:$G$801, 0)+1))&lt;100, IF(INDEX(ERP資料!$G:$G, (MATCH(914, 輔助計算!$G$2:$G$801, 0)+1))&lt;=31,3,IF(INDEX(ERP資料!$G:$G, (MATCH(914, 輔助計算!$G$2:$G$801, 0)+1))&lt;=46.5,2,1)), IF(INDEX(ERP資料!$G:$G, (MATCH(914, 輔助計算!$G$2:$G$801, 0)+1))&lt;=790,3,IF(INDEX(ERP資料!$G:$G, (MATCH(914, 輔助計算!$G$2:$G$801, 0)+1))&lt;=1181,2,1))))=2,TEXT(INDEX(ERP資料!$G:$G, (MATCH(914, 輔助計算!$G$2:$G$801, 0)+1)),"0.##")&amp;"+"&amp;TEXT(INDEX(ERP資料!$G:$G, (MATCH(914, 輔助計算!$G$2:$G$801, 0)+1)),"0.##"),TEXT(INDEX(ERP資料!$G:$G, (MATCH(914, 輔助計算!$G$2:$G$801, 0)+1)),"0.##")&amp;"+"&amp;TEXT(INDEX(ERP資料!$G:$G, (MATCH(914, 輔助計算!$G$2:$G$801, 0)+1)),"0.##")&amp;"+"&amp;TEXT(INDEX(ERP資料!$G:$G, (MATCH(914, 輔助計算!$G$2:$G$801, 0)+1)),"0.##"))))&amp;"-1")&lt;&gt;""),"  ","")&amp;IF(MOD(INDEX(輔助計算!$D:$D, (MATCH(914, 輔助計算!$G$2:$G$801, 0)+1)),IF(INDEX(ERP資料!$G:$G, (MATCH(914, 輔助計算!$G$2:$G$801, 0)+1))&lt;100, IF(INDEX(ERP資料!$G:$G, (MATCH(914, 輔助計算!$G$2:$G$801, 0)+1))&lt;=31,3,IF(INDEX(ERP資料!$G:$G, (MATCH(914, 輔助計算!$G$2:$G$801, 0)+1))&lt;=46.5,2,1)), IF(INDEX(ERP資料!$G:$G, (MATCH(914, 輔助計算!$G$2:$G$801, 0)+1))&lt;=790,3,IF(INDEX(ERP資料!$G:$G, (MATCH(914, 輔助計算!$G$2:$G$801, 0)+1))&lt;=1181,2,1))))=0,"",IF(MOD(INDEX(輔助計算!$D:$D, (MATCH(914, 輔助計算!$G$2:$G$801, 0)+1)),IF(INDEX(ERP資料!$G:$G, (MATCH(914, 輔助計算!$G$2:$G$801, 0)+1))&lt;100, IF(INDEX(ERP資料!$G:$G, (MATCH(914, 輔助計算!$G$2:$G$801, 0)+1))&lt;=31,3,IF(INDEX(ERP資料!$G:$G, (MATCH(914, 輔助計算!$G$2:$G$801, 0)+1))&lt;=46.5,2,1)), IF(INDEX(ERP資料!$G:$G, (MATCH(914, 輔助計算!$G$2:$G$801, 0)+1))&lt;=790,3,IF(INDEX(ERP資料!$G:$G, (MATCH(914, 輔助計算!$G$2:$G$801, 0)+1))&lt;=1181,2,1))))=0,"",IF(MOD(INDEX(輔助計算!$D:$D, (MATCH(914, 輔助計算!$G$2:$G$801, 0)+1)),IF(INDEX(ERP資料!$G:$G, (MATCH(914, 輔助計算!$G$2:$G$801, 0)+1))&lt;100, IF(INDEX(ERP資料!$G:$G, (MATCH(914, 輔助計算!$G$2:$G$801, 0)+1))&lt;=31,3,IF(INDEX(ERP資料!$G:$G, (MATCH(914, 輔助計算!$G$2:$G$801, 0)+1))&lt;=46.5,2,1)), IF(INDEX(ERP資料!$G:$G, (MATCH(914, 輔助計算!$G$2:$G$801, 0)+1))&lt;=790,3,IF(INDEX(ERP資料!$G:$G, (MATCH(914, 輔助計算!$G$2:$G$801, 0)+1))&lt;=1181,2,1))))=1,TEXT(INDEX(ERP資料!$G:$G, (MATCH(914, 輔助計算!$G$2:$G$801, 0)+1)),"0.##"),IF(MOD(INDEX(輔助計算!$D:$D, (MATCH(914, 輔助計算!$G$2:$G$801, 0)+1)),IF(INDEX(ERP資料!$G:$G, (MATCH(914, 輔助計算!$G$2:$G$801, 0)+1))&lt;100, IF(INDEX(ERP資料!$G:$G, (MATCH(914, 輔助計算!$G$2:$G$801, 0)+1))&lt;=31,3,IF(INDEX(ERP資料!$G:$G, (MATCH(914, 輔助計算!$G$2:$G$801, 0)+1))&lt;=46.5,2,1)), IF(INDEX(ERP資料!$G:$G, (MATCH(914, 輔助計算!$G$2:$G$801, 0)+1))&lt;=790,3,IF(INDEX(ERP資料!$G:$G, (MATCH(914, 輔助計算!$G$2:$G$801, 0)+1))&lt;=1181,2,1))))=2,TEXT(INDEX(ERP資料!$G:$G, (MATCH(914, 輔助計算!$G$2:$G$801, 0)+1)),"0.##")&amp;"+"&amp;TEXT(INDEX(ERP資料!$G:$G, (MATCH(914, 輔助計算!$G$2:$G$801, 0)+1)),"0.##"),TEXT(INDEX(ERP資料!$G:$G, (MATCH(914, 輔助計算!$G$2:$G$801, 0)+1)),"0.##")&amp;"+"&amp;TEXT(INDEX(ERP資料!$G:$G, (MATCH(914, 輔助計算!$G$2:$G$801, 0)+1)),"0.##")&amp;"+"&amp;TEXT(INDEX(ERP資料!$G:$G, (MATCH(914, 輔助計算!$G$2:$G$801, 0)+1)),"0.##"))))&amp;"-1")), ""), "")</f>
        <v/>
      </c>
      <c r="K915" s="16" t="n"/>
      <c r="L915" s="14">
        <f>IFERROR(IF(AND(IFERROR(INDEX(ERP資料!$A:$A, (MATCH(914, 輔助計算!$G$2:$G$801, 0)+1)), "")&lt;&gt;"", IFERROR(INDEX(ERP資料!$A:$A, (MATCH(914, 輔助計算!$G$2:$G$801, 0)+1)), "")&lt;&gt;IFERROR(INDEX(ERP資料!$A:$A, MATCH(913, 輔助計算!$G$2:$G$801, 0)+1), "")), INDEX(ERP資料!$B:$B, (MATCH(914, 輔助計算!$G$2:$G$801, 0)+1)), ""), "")</f>
        <v/>
      </c>
      <c r="M915" s="17" t="n"/>
    </row>
    <row r="916">
      <c r="A916" s="10">
        <f>IFERROR(IF(AND(IFERROR(INDEX(ERP資料!$A:$A, (MATCH(915, 輔助計算!$G$2:$G$801, 0)+1)), "")&lt;&gt;"", IFERROR(INDEX(ERP資料!$A:$A, (MATCH(915, 輔助計算!$G$2:$G$801, 0)+1)), "")&lt;&gt;IFERROR(INDEX(ERP資料!$A:$A, MATCH(914, 輔助計算!$G$2:$G$801, 0)+1), "")), IFERROR(INDEX(ERP資料!$A:$A, (MATCH(915, 輔助計算!$G$2:$G$801, 0)+1)), ""), ""), "")</f>
        <v/>
      </c>
      <c r="B916" s="10">
        <f>IFERROR(IF(AND(IFERROR(INDEX(ERP資料!$A:$A, (MATCH(915, 輔助計算!$G$2:$G$801, 0)+1)), "")&lt;&gt;"", IFERROR(INDEX(ERP資料!$A:$A, (MATCH(915, 輔助計算!$G$2:$G$801, 0)+1)), "")&lt;&gt;IFERROR(INDEX(ERP資料!$A:$A, MATCH(914, 輔助計算!$G$2:$G$801, 0)+1), "")), INDEX(ERP資料!$S:$S, (MATCH(915, 輔助計算!$G$2:$G$801, 0)+1)), ""), "")</f>
        <v/>
      </c>
      <c r="C916" s="19">
        <f>IFERROR(IF(AND(IFERROR(INDEX(ERP資料!$A:$A, (MATCH(915, 輔助計算!$G$2:$G$801, 0)+1)), "")&lt;&gt;"", IFERROR(INDEX(ERP資料!$A:$A, (MATCH(915, 輔助計算!$G$2:$G$801, 0)+1)), "")&lt;&gt;IFERROR(INDEX(ERP資料!$A:$A, MATCH(914, 輔助計算!$G$2:$G$801, 0)+1), "")), IFERROR(VLOOKUP(LEFT(INDEX(ERP資料!$S:$S, (MATCH(915, 輔助計算!$G$2:$G$801, 0)+1)), 4), 紙管對照表!$A:$C, 3, FALSE), ""), ""), "")</f>
        <v/>
      </c>
      <c r="D916" s="16" t="n"/>
      <c r="E916" s="10">
        <f>IFERROR(IF(INDEX(ERP資料!$H:$H, (MATCH(915, 輔助計算!$G$2:$G$801, 0)+1))="","",INDEX(ERP資料!$H:$H, (MATCH(915, 輔助計算!$G$2:$G$801, 0)+1))), "")</f>
        <v/>
      </c>
      <c r="F916" s="10">
        <f>IFERROR(IF(INDEX(ERP資料!$E:$E, (MATCH(915, 輔助計算!$G$2:$G$801, 0)+1))="","",TRIM(INDEX(ERP資料!$E:$E, (MATCH(915, 輔助計算!$G$2:$G$801, 0)+1)))), "")</f>
        <v/>
      </c>
      <c r="G916" s="10">
        <f>IFERROR(IF(INDEX(ERP資料!$F:$F, (MATCH(915, 輔助計算!$G$2:$G$801, 0)+1))="","",INDEX(ERP資料!$F:$F, (MATCH(915, 輔助計算!$G$2:$G$801, 0)+1))), "")</f>
        <v/>
      </c>
      <c r="H916" s="10">
        <f>IFERROR(IF(INDEX(ERP資料!$G:$G, (MATCH(915, 輔助計算!$G$2:$G$801, 0)+1))="","",INDEX(ERP資料!$G:$G, (MATCH(915, 輔助計算!$G$2:$G$801, 0)+1))), "")</f>
        <v/>
      </c>
      <c r="I916" s="15">
        <f>IFERROR(INDEX(輔助計算!$D:$D, (MATCH(915, 輔助計算!$G$2:$G$801, 0)+1)), "")</f>
        <v/>
      </c>
      <c r="J916" s="15">
        <f>IFERROR(IF(AND(INDEX(輔助計算!$D:$D, (MATCH(915, 輔助計算!$G$2:$G$801, 0)+1))&lt;&gt;"", INDEX(ERP資料!$G:$G, (MATCH(915, 輔助計算!$G$2:$G$801, 0)+1))&lt;&gt;""), TRIM(IF(INT(INDEX(輔助計算!$D:$D, (MATCH(915, 輔助計算!$G$2:$G$801, 0)+1))/IF(INDEX(ERP資料!$G:$G, (MATCH(915, 輔助計算!$G$2:$G$801, 0)+1))&lt;100, IF(INDEX(ERP資料!$G:$G, (MATCH(915, 輔助計算!$G$2:$G$801, 0)+1))&lt;=31,3,IF(INDEX(ERP資料!$G:$G, (MATCH(915, 輔助計算!$G$2:$G$801, 0)+1))&lt;=46.5,2,1)), IF(INDEX(ERP資料!$G:$G, (MATCH(915, 輔助計算!$G$2:$G$801, 0)+1))&lt;=790,3,IF(INDEX(ERP資料!$G:$G, (MATCH(915, 輔助計算!$G$2:$G$801, 0)+1))&lt;=1181,2,1))))&gt;0, IF(IF(INDEX(ERP資料!$G:$G, (MATCH(915, 輔助計算!$G$2:$G$801, 0)+1))&lt;100, IF(INDEX(ERP資料!$G:$G, (MATCH(915, 輔助計算!$G$2:$G$801, 0)+1))&lt;=31,3,IF(INDEX(ERP資料!$G:$G, (MATCH(915, 輔助計算!$G$2:$G$801, 0)+1))&lt;=46.5,2,1)), IF(INDEX(ERP資料!$G:$G, (MATCH(915, 輔助計算!$G$2:$G$801, 0)+1))&lt;=790,3,IF(INDEX(ERP資料!$G:$G, (MATCH(915, 輔助計算!$G$2:$G$801, 0)+1))&lt;=1181,2,1)))=1,TEXT(INDEX(ERP資料!$G:$G, (MATCH(915, 輔助計算!$G$2:$G$801, 0)+1)),"0.##"),IF(IF(INDEX(ERP資料!$G:$G, (MATCH(915, 輔助計算!$G$2:$G$801, 0)+1))&lt;100, IF(INDEX(ERP資料!$G:$G, (MATCH(915, 輔助計算!$G$2:$G$801, 0)+1))&lt;=31,3,IF(INDEX(ERP資料!$G:$G, (MATCH(915, 輔助計算!$G$2:$G$801, 0)+1))&lt;=46.5,2,1)), IF(INDEX(ERP資料!$G:$G, (MATCH(915, 輔助計算!$G$2:$G$801, 0)+1))&lt;=790,3,IF(INDEX(ERP資料!$G:$G, (MATCH(915, 輔助計算!$G$2:$G$801, 0)+1))&lt;=1181,2,1)))=2,TEXT(INDEX(ERP資料!$G:$G, (MATCH(915, 輔助計算!$G$2:$G$801, 0)+1)),"0.##")&amp;"+"&amp;TEXT(INDEX(ERP資料!$G:$G, (MATCH(915, 輔助計算!$G$2:$G$801, 0)+1)),"0.##"),TEXT(INDEX(ERP資料!$G:$G, (MATCH(915, 輔助計算!$G$2:$G$801, 0)+1)),"0.##")&amp;"+"&amp;TEXT(INDEX(ERP資料!$G:$G, (MATCH(915, 輔助計算!$G$2:$G$801, 0)+1)),"0.##")&amp;"+"&amp;TEXT(INDEX(ERP資料!$G:$G, (MATCH(915, 輔助計算!$G$2:$G$801, 0)+1)),"0.##")))&amp;"-"&amp;INT(INDEX(輔助計算!$D:$D, (MATCH(915, 輔助計算!$G$2:$G$801, 0)+1))/IF(INDEX(ERP資料!$G:$G, (MATCH(915, 輔助計算!$G$2:$G$801, 0)+1))&lt;100, IF(INDEX(ERP資料!$G:$G, (MATCH(915, 輔助計算!$G$2:$G$801, 0)+1))&lt;=31,3,IF(INDEX(ERP資料!$G:$G, (MATCH(915, 輔助計算!$G$2:$G$801, 0)+1))&lt;=46.5,2,1)), IF(INDEX(ERP資料!$G:$G, (MATCH(915, 輔助計算!$G$2:$G$801, 0)+1))&lt;=790,3,IF(INDEX(ERP資料!$G:$G, (MATCH(915, 輔助計算!$G$2:$G$801, 0)+1))&lt;=1181,2,1)))), "")&amp;IF(AND(IF(INT(INDEX(輔助計算!$D:$D, (MATCH(915, 輔助計算!$G$2:$G$801, 0)+1))/IF(INDEX(ERP資料!$G:$G, (MATCH(915, 輔助計算!$G$2:$G$801, 0)+1))&lt;100, IF(INDEX(ERP資料!$G:$G, (MATCH(915, 輔助計算!$G$2:$G$801, 0)+1))&lt;=31,3,IF(INDEX(ERP資料!$G:$G, (MATCH(915, 輔助計算!$G$2:$G$801, 0)+1))&lt;=46.5,2,1)), IF(INDEX(ERP資料!$G:$G, (MATCH(915, 輔助計算!$G$2:$G$801, 0)+1))&lt;=790,3,IF(INDEX(ERP資料!$G:$G, (MATCH(915, 輔助計算!$G$2:$G$801, 0)+1))&lt;=1181,2,1))))&gt;0, IF(IF(INDEX(ERP資料!$G:$G, (MATCH(915, 輔助計算!$G$2:$G$801, 0)+1))&lt;100, IF(INDEX(ERP資料!$G:$G, (MATCH(915, 輔助計算!$G$2:$G$801, 0)+1))&lt;=31,3,IF(INDEX(ERP資料!$G:$G, (MATCH(915, 輔助計算!$G$2:$G$801, 0)+1))&lt;=46.5,2,1)), IF(INDEX(ERP資料!$G:$G, (MATCH(915, 輔助計算!$G$2:$G$801, 0)+1))&lt;=790,3,IF(INDEX(ERP資料!$G:$G, (MATCH(915, 輔助計算!$G$2:$G$801, 0)+1))&lt;=1181,2,1)))=1,TEXT(INDEX(ERP資料!$G:$G, (MATCH(915, 輔助計算!$G$2:$G$801, 0)+1)),"0.##"),IF(IF(INDEX(ERP資料!$G:$G, (MATCH(915, 輔助計算!$G$2:$G$801, 0)+1))&lt;100, IF(INDEX(ERP資料!$G:$G, (MATCH(915, 輔助計算!$G$2:$G$801, 0)+1))&lt;=31,3,IF(INDEX(ERP資料!$G:$G, (MATCH(915, 輔助計算!$G$2:$G$801, 0)+1))&lt;=46.5,2,1)), IF(INDEX(ERP資料!$G:$G, (MATCH(915, 輔助計算!$G$2:$G$801, 0)+1))&lt;=790,3,IF(INDEX(ERP資料!$G:$G, (MATCH(915, 輔助計算!$G$2:$G$801, 0)+1))&lt;=1181,2,1)))=2,TEXT(INDEX(ERP資料!$G:$G, (MATCH(915, 輔助計算!$G$2:$G$801, 0)+1)),"0.##")&amp;"+"&amp;TEXT(INDEX(ERP資料!$G:$G, (MATCH(915, 輔助計算!$G$2:$G$801, 0)+1)),"0.##"),TEXT(INDEX(ERP資料!$G:$G, (MATCH(915, 輔助計算!$G$2:$G$801, 0)+1)),"0.##")&amp;"+"&amp;TEXT(INDEX(ERP資料!$G:$G, (MATCH(915, 輔助計算!$G$2:$G$801, 0)+1)),"0.##")&amp;"+"&amp;TEXT(INDEX(ERP資料!$G:$G, (MATCH(915, 輔助計算!$G$2:$G$801, 0)+1)),"0.##")))&amp;"-"&amp;INT(INDEX(輔助計算!$D:$D, (MATCH(915, 輔助計算!$G$2:$G$801, 0)+1))/IF(INDEX(ERP資料!$G:$G, (MATCH(915, 輔助計算!$G$2:$G$801, 0)+1))&lt;100, IF(INDEX(ERP資料!$G:$G, (MATCH(915, 輔助計算!$G$2:$G$801, 0)+1))&lt;=31,3,IF(INDEX(ERP資料!$G:$G, (MATCH(915, 輔助計算!$G$2:$G$801, 0)+1))&lt;=46.5,2,1)), IF(INDEX(ERP資料!$G:$G, (MATCH(915, 輔助計算!$G$2:$G$801, 0)+1))&lt;=790,3,IF(INDEX(ERP資料!$G:$G, (MATCH(915, 輔助計算!$G$2:$G$801, 0)+1))&lt;=1181,2,1)))), "")&lt;&gt;"",IF(MOD(INDEX(輔助計算!$D:$D, (MATCH(915, 輔助計算!$G$2:$G$801, 0)+1)),IF(INDEX(ERP資料!$G:$G, (MATCH(915, 輔助計算!$G$2:$G$801, 0)+1))&lt;100, IF(INDEX(ERP資料!$G:$G, (MATCH(915, 輔助計算!$G$2:$G$801, 0)+1))&lt;=31,3,IF(INDEX(ERP資料!$G:$G, (MATCH(915, 輔助計算!$G$2:$G$801, 0)+1))&lt;=46.5,2,1)), IF(INDEX(ERP資料!$G:$G, (MATCH(915, 輔助計算!$G$2:$G$801, 0)+1))&lt;=790,3,IF(INDEX(ERP資料!$G:$G, (MATCH(915, 輔助計算!$G$2:$G$801, 0)+1))&lt;=1181,2,1))))=0,"",IF(MOD(INDEX(輔助計算!$D:$D, (MATCH(915, 輔助計算!$G$2:$G$801, 0)+1)),IF(INDEX(ERP資料!$G:$G, (MATCH(915, 輔助計算!$G$2:$G$801, 0)+1))&lt;100, IF(INDEX(ERP資料!$G:$G, (MATCH(915, 輔助計算!$G$2:$G$801, 0)+1))&lt;=31,3,IF(INDEX(ERP資料!$G:$G, (MATCH(915, 輔助計算!$G$2:$G$801, 0)+1))&lt;=46.5,2,1)), IF(INDEX(ERP資料!$G:$G, (MATCH(915, 輔助計算!$G$2:$G$801, 0)+1))&lt;=790,3,IF(INDEX(ERP資料!$G:$G, (MATCH(915, 輔助計算!$G$2:$G$801, 0)+1))&lt;=1181,2,1))))=0,"",IF(MOD(INDEX(輔助計算!$D:$D, (MATCH(915, 輔助計算!$G$2:$G$801, 0)+1)),IF(INDEX(ERP資料!$G:$G, (MATCH(915, 輔助計算!$G$2:$G$801, 0)+1))&lt;100, IF(INDEX(ERP資料!$G:$G, (MATCH(915, 輔助計算!$G$2:$G$801, 0)+1))&lt;=31,3,IF(INDEX(ERP資料!$G:$G, (MATCH(915, 輔助計算!$G$2:$G$801, 0)+1))&lt;=46.5,2,1)), IF(INDEX(ERP資料!$G:$G, (MATCH(915, 輔助計算!$G$2:$G$801, 0)+1))&lt;=790,3,IF(INDEX(ERP資料!$G:$G, (MATCH(915, 輔助計算!$G$2:$G$801, 0)+1))&lt;=1181,2,1))))=1,TEXT(INDEX(ERP資料!$G:$G, (MATCH(915, 輔助計算!$G$2:$G$801, 0)+1)),"0.##"),IF(MOD(INDEX(輔助計算!$D:$D, (MATCH(915, 輔助計算!$G$2:$G$801, 0)+1)),IF(INDEX(ERP資料!$G:$G, (MATCH(915, 輔助計算!$G$2:$G$801, 0)+1))&lt;100, IF(INDEX(ERP資料!$G:$G, (MATCH(915, 輔助計算!$G$2:$G$801, 0)+1))&lt;=31,3,IF(INDEX(ERP資料!$G:$G, (MATCH(915, 輔助計算!$G$2:$G$801, 0)+1))&lt;=46.5,2,1)), IF(INDEX(ERP資料!$G:$G, (MATCH(915, 輔助計算!$G$2:$G$801, 0)+1))&lt;=790,3,IF(INDEX(ERP資料!$G:$G, (MATCH(915, 輔助計算!$G$2:$G$801, 0)+1))&lt;=1181,2,1))))=2,TEXT(INDEX(ERP資料!$G:$G, (MATCH(915, 輔助計算!$G$2:$G$801, 0)+1)),"0.##")&amp;"+"&amp;TEXT(INDEX(ERP資料!$G:$G, (MATCH(915, 輔助計算!$G$2:$G$801, 0)+1)),"0.##"),TEXT(INDEX(ERP資料!$G:$G, (MATCH(915, 輔助計算!$G$2:$G$801, 0)+1)),"0.##")&amp;"+"&amp;TEXT(INDEX(ERP資料!$G:$G, (MATCH(915, 輔助計算!$G$2:$G$801, 0)+1)),"0.##")&amp;"+"&amp;TEXT(INDEX(ERP資料!$G:$G, (MATCH(915, 輔助計算!$G$2:$G$801, 0)+1)),"0.##"))))&amp;"-1")&lt;&gt;""),"  ","")&amp;IF(MOD(INDEX(輔助計算!$D:$D, (MATCH(915, 輔助計算!$G$2:$G$801, 0)+1)),IF(INDEX(ERP資料!$G:$G, (MATCH(915, 輔助計算!$G$2:$G$801, 0)+1))&lt;100, IF(INDEX(ERP資料!$G:$G, (MATCH(915, 輔助計算!$G$2:$G$801, 0)+1))&lt;=31,3,IF(INDEX(ERP資料!$G:$G, (MATCH(915, 輔助計算!$G$2:$G$801, 0)+1))&lt;=46.5,2,1)), IF(INDEX(ERP資料!$G:$G, (MATCH(915, 輔助計算!$G$2:$G$801, 0)+1))&lt;=790,3,IF(INDEX(ERP資料!$G:$G, (MATCH(915, 輔助計算!$G$2:$G$801, 0)+1))&lt;=1181,2,1))))=0,"",IF(MOD(INDEX(輔助計算!$D:$D, (MATCH(915, 輔助計算!$G$2:$G$801, 0)+1)),IF(INDEX(ERP資料!$G:$G, (MATCH(915, 輔助計算!$G$2:$G$801, 0)+1))&lt;100, IF(INDEX(ERP資料!$G:$G, (MATCH(915, 輔助計算!$G$2:$G$801, 0)+1))&lt;=31,3,IF(INDEX(ERP資料!$G:$G, (MATCH(915, 輔助計算!$G$2:$G$801, 0)+1))&lt;=46.5,2,1)), IF(INDEX(ERP資料!$G:$G, (MATCH(915, 輔助計算!$G$2:$G$801, 0)+1))&lt;=790,3,IF(INDEX(ERP資料!$G:$G, (MATCH(915, 輔助計算!$G$2:$G$801, 0)+1))&lt;=1181,2,1))))=0,"",IF(MOD(INDEX(輔助計算!$D:$D, (MATCH(915, 輔助計算!$G$2:$G$801, 0)+1)),IF(INDEX(ERP資料!$G:$G, (MATCH(915, 輔助計算!$G$2:$G$801, 0)+1))&lt;100, IF(INDEX(ERP資料!$G:$G, (MATCH(915, 輔助計算!$G$2:$G$801, 0)+1))&lt;=31,3,IF(INDEX(ERP資料!$G:$G, (MATCH(915, 輔助計算!$G$2:$G$801, 0)+1))&lt;=46.5,2,1)), IF(INDEX(ERP資料!$G:$G, (MATCH(915, 輔助計算!$G$2:$G$801, 0)+1))&lt;=790,3,IF(INDEX(ERP資料!$G:$G, (MATCH(915, 輔助計算!$G$2:$G$801, 0)+1))&lt;=1181,2,1))))=1,TEXT(INDEX(ERP資料!$G:$G, (MATCH(915, 輔助計算!$G$2:$G$801, 0)+1)),"0.##"),IF(MOD(INDEX(輔助計算!$D:$D, (MATCH(915, 輔助計算!$G$2:$G$801, 0)+1)),IF(INDEX(ERP資料!$G:$G, (MATCH(915, 輔助計算!$G$2:$G$801, 0)+1))&lt;100, IF(INDEX(ERP資料!$G:$G, (MATCH(915, 輔助計算!$G$2:$G$801, 0)+1))&lt;=31,3,IF(INDEX(ERP資料!$G:$G, (MATCH(915, 輔助計算!$G$2:$G$801, 0)+1))&lt;=46.5,2,1)), IF(INDEX(ERP資料!$G:$G, (MATCH(915, 輔助計算!$G$2:$G$801, 0)+1))&lt;=790,3,IF(INDEX(ERP資料!$G:$G, (MATCH(915, 輔助計算!$G$2:$G$801, 0)+1))&lt;=1181,2,1))))=2,TEXT(INDEX(ERP資料!$G:$G, (MATCH(915, 輔助計算!$G$2:$G$801, 0)+1)),"0.##")&amp;"+"&amp;TEXT(INDEX(ERP資料!$G:$G, (MATCH(915, 輔助計算!$G$2:$G$801, 0)+1)),"0.##"),TEXT(INDEX(ERP資料!$G:$G, (MATCH(915, 輔助計算!$G$2:$G$801, 0)+1)),"0.##")&amp;"+"&amp;TEXT(INDEX(ERP資料!$G:$G, (MATCH(915, 輔助計算!$G$2:$G$801, 0)+1)),"0.##")&amp;"+"&amp;TEXT(INDEX(ERP資料!$G:$G, (MATCH(915, 輔助計算!$G$2:$G$801, 0)+1)),"0.##"))))&amp;"-1")), ""), "")</f>
        <v/>
      </c>
      <c r="K916" s="16" t="n"/>
      <c r="L916" s="14">
        <f>IFERROR(IF(AND(IFERROR(INDEX(ERP資料!$A:$A, (MATCH(915, 輔助計算!$G$2:$G$801, 0)+1)), "")&lt;&gt;"", IFERROR(INDEX(ERP資料!$A:$A, (MATCH(915, 輔助計算!$G$2:$G$801, 0)+1)), "")&lt;&gt;IFERROR(INDEX(ERP資料!$A:$A, MATCH(914, 輔助計算!$G$2:$G$801, 0)+1), "")), INDEX(ERP資料!$B:$B, (MATCH(915, 輔助計算!$G$2:$G$801, 0)+1)), ""), "")</f>
        <v/>
      </c>
      <c r="M916" s="17" t="n"/>
    </row>
    <row r="917">
      <c r="A917" s="10">
        <f>IFERROR(IF(AND(IFERROR(INDEX(ERP資料!$A:$A, (MATCH(916, 輔助計算!$G$2:$G$801, 0)+1)), "")&lt;&gt;"", IFERROR(INDEX(ERP資料!$A:$A, (MATCH(916, 輔助計算!$G$2:$G$801, 0)+1)), "")&lt;&gt;IFERROR(INDEX(ERP資料!$A:$A, MATCH(915, 輔助計算!$G$2:$G$801, 0)+1), "")), IFERROR(INDEX(ERP資料!$A:$A, (MATCH(916, 輔助計算!$G$2:$G$801, 0)+1)), ""), ""), "")</f>
        <v/>
      </c>
      <c r="B917" s="10">
        <f>IFERROR(IF(AND(IFERROR(INDEX(ERP資料!$A:$A, (MATCH(916, 輔助計算!$G$2:$G$801, 0)+1)), "")&lt;&gt;"", IFERROR(INDEX(ERP資料!$A:$A, (MATCH(916, 輔助計算!$G$2:$G$801, 0)+1)), "")&lt;&gt;IFERROR(INDEX(ERP資料!$A:$A, MATCH(915, 輔助計算!$G$2:$G$801, 0)+1), "")), INDEX(ERP資料!$S:$S, (MATCH(916, 輔助計算!$G$2:$G$801, 0)+1)), ""), "")</f>
        <v/>
      </c>
      <c r="C917" s="19">
        <f>IFERROR(IF(AND(IFERROR(INDEX(ERP資料!$A:$A, (MATCH(916, 輔助計算!$G$2:$G$801, 0)+1)), "")&lt;&gt;"", IFERROR(INDEX(ERP資料!$A:$A, (MATCH(916, 輔助計算!$G$2:$G$801, 0)+1)), "")&lt;&gt;IFERROR(INDEX(ERP資料!$A:$A, MATCH(915, 輔助計算!$G$2:$G$801, 0)+1), "")), IFERROR(VLOOKUP(LEFT(INDEX(ERP資料!$S:$S, (MATCH(916, 輔助計算!$G$2:$G$801, 0)+1)), 4), 紙管對照表!$A:$C, 3, FALSE), ""), ""), "")</f>
        <v/>
      </c>
      <c r="D917" s="16" t="n"/>
      <c r="E917" s="10">
        <f>IFERROR(IF(INDEX(ERP資料!$H:$H, (MATCH(916, 輔助計算!$G$2:$G$801, 0)+1))="","",INDEX(ERP資料!$H:$H, (MATCH(916, 輔助計算!$G$2:$G$801, 0)+1))), "")</f>
        <v/>
      </c>
      <c r="F917" s="10">
        <f>IFERROR(IF(INDEX(ERP資料!$E:$E, (MATCH(916, 輔助計算!$G$2:$G$801, 0)+1))="","",TRIM(INDEX(ERP資料!$E:$E, (MATCH(916, 輔助計算!$G$2:$G$801, 0)+1)))), "")</f>
        <v/>
      </c>
      <c r="G917" s="10">
        <f>IFERROR(IF(INDEX(ERP資料!$F:$F, (MATCH(916, 輔助計算!$G$2:$G$801, 0)+1))="","",INDEX(ERP資料!$F:$F, (MATCH(916, 輔助計算!$G$2:$G$801, 0)+1))), "")</f>
        <v/>
      </c>
      <c r="H917" s="10">
        <f>IFERROR(IF(INDEX(ERP資料!$G:$G, (MATCH(916, 輔助計算!$G$2:$G$801, 0)+1))="","",INDEX(ERP資料!$G:$G, (MATCH(916, 輔助計算!$G$2:$G$801, 0)+1))), "")</f>
        <v/>
      </c>
      <c r="I917" s="15">
        <f>IFERROR(INDEX(輔助計算!$D:$D, (MATCH(916, 輔助計算!$G$2:$G$801, 0)+1)), "")</f>
        <v/>
      </c>
      <c r="J917" s="15">
        <f>IFERROR(IF(AND(INDEX(輔助計算!$D:$D, (MATCH(916, 輔助計算!$G$2:$G$801, 0)+1))&lt;&gt;"", INDEX(ERP資料!$G:$G, (MATCH(916, 輔助計算!$G$2:$G$801, 0)+1))&lt;&gt;""), TRIM(IF(INT(INDEX(輔助計算!$D:$D, (MATCH(916, 輔助計算!$G$2:$G$801, 0)+1))/IF(INDEX(ERP資料!$G:$G, (MATCH(916, 輔助計算!$G$2:$G$801, 0)+1))&lt;100, IF(INDEX(ERP資料!$G:$G, (MATCH(916, 輔助計算!$G$2:$G$801, 0)+1))&lt;=31,3,IF(INDEX(ERP資料!$G:$G, (MATCH(916, 輔助計算!$G$2:$G$801, 0)+1))&lt;=46.5,2,1)), IF(INDEX(ERP資料!$G:$G, (MATCH(916, 輔助計算!$G$2:$G$801, 0)+1))&lt;=790,3,IF(INDEX(ERP資料!$G:$G, (MATCH(916, 輔助計算!$G$2:$G$801, 0)+1))&lt;=1181,2,1))))&gt;0, IF(IF(INDEX(ERP資料!$G:$G, (MATCH(916, 輔助計算!$G$2:$G$801, 0)+1))&lt;100, IF(INDEX(ERP資料!$G:$G, (MATCH(916, 輔助計算!$G$2:$G$801, 0)+1))&lt;=31,3,IF(INDEX(ERP資料!$G:$G, (MATCH(916, 輔助計算!$G$2:$G$801, 0)+1))&lt;=46.5,2,1)), IF(INDEX(ERP資料!$G:$G, (MATCH(916, 輔助計算!$G$2:$G$801, 0)+1))&lt;=790,3,IF(INDEX(ERP資料!$G:$G, (MATCH(916, 輔助計算!$G$2:$G$801, 0)+1))&lt;=1181,2,1)))=1,TEXT(INDEX(ERP資料!$G:$G, (MATCH(916, 輔助計算!$G$2:$G$801, 0)+1)),"0.##"),IF(IF(INDEX(ERP資料!$G:$G, (MATCH(916, 輔助計算!$G$2:$G$801, 0)+1))&lt;100, IF(INDEX(ERP資料!$G:$G, (MATCH(916, 輔助計算!$G$2:$G$801, 0)+1))&lt;=31,3,IF(INDEX(ERP資料!$G:$G, (MATCH(916, 輔助計算!$G$2:$G$801, 0)+1))&lt;=46.5,2,1)), IF(INDEX(ERP資料!$G:$G, (MATCH(916, 輔助計算!$G$2:$G$801, 0)+1))&lt;=790,3,IF(INDEX(ERP資料!$G:$G, (MATCH(916, 輔助計算!$G$2:$G$801, 0)+1))&lt;=1181,2,1)))=2,TEXT(INDEX(ERP資料!$G:$G, (MATCH(916, 輔助計算!$G$2:$G$801, 0)+1)),"0.##")&amp;"+"&amp;TEXT(INDEX(ERP資料!$G:$G, (MATCH(916, 輔助計算!$G$2:$G$801, 0)+1)),"0.##"),TEXT(INDEX(ERP資料!$G:$G, (MATCH(916, 輔助計算!$G$2:$G$801, 0)+1)),"0.##")&amp;"+"&amp;TEXT(INDEX(ERP資料!$G:$G, (MATCH(916, 輔助計算!$G$2:$G$801, 0)+1)),"0.##")&amp;"+"&amp;TEXT(INDEX(ERP資料!$G:$G, (MATCH(916, 輔助計算!$G$2:$G$801, 0)+1)),"0.##")))&amp;"-"&amp;INT(INDEX(輔助計算!$D:$D, (MATCH(916, 輔助計算!$G$2:$G$801, 0)+1))/IF(INDEX(ERP資料!$G:$G, (MATCH(916, 輔助計算!$G$2:$G$801, 0)+1))&lt;100, IF(INDEX(ERP資料!$G:$G, (MATCH(916, 輔助計算!$G$2:$G$801, 0)+1))&lt;=31,3,IF(INDEX(ERP資料!$G:$G, (MATCH(916, 輔助計算!$G$2:$G$801, 0)+1))&lt;=46.5,2,1)), IF(INDEX(ERP資料!$G:$G, (MATCH(916, 輔助計算!$G$2:$G$801, 0)+1))&lt;=790,3,IF(INDEX(ERP資料!$G:$G, (MATCH(916, 輔助計算!$G$2:$G$801, 0)+1))&lt;=1181,2,1)))), "")&amp;IF(AND(IF(INT(INDEX(輔助計算!$D:$D, (MATCH(916, 輔助計算!$G$2:$G$801, 0)+1))/IF(INDEX(ERP資料!$G:$G, (MATCH(916, 輔助計算!$G$2:$G$801, 0)+1))&lt;100, IF(INDEX(ERP資料!$G:$G, (MATCH(916, 輔助計算!$G$2:$G$801, 0)+1))&lt;=31,3,IF(INDEX(ERP資料!$G:$G, (MATCH(916, 輔助計算!$G$2:$G$801, 0)+1))&lt;=46.5,2,1)), IF(INDEX(ERP資料!$G:$G, (MATCH(916, 輔助計算!$G$2:$G$801, 0)+1))&lt;=790,3,IF(INDEX(ERP資料!$G:$G, (MATCH(916, 輔助計算!$G$2:$G$801, 0)+1))&lt;=1181,2,1))))&gt;0, IF(IF(INDEX(ERP資料!$G:$G, (MATCH(916, 輔助計算!$G$2:$G$801, 0)+1))&lt;100, IF(INDEX(ERP資料!$G:$G, (MATCH(916, 輔助計算!$G$2:$G$801, 0)+1))&lt;=31,3,IF(INDEX(ERP資料!$G:$G, (MATCH(916, 輔助計算!$G$2:$G$801, 0)+1))&lt;=46.5,2,1)), IF(INDEX(ERP資料!$G:$G, (MATCH(916, 輔助計算!$G$2:$G$801, 0)+1))&lt;=790,3,IF(INDEX(ERP資料!$G:$G, (MATCH(916, 輔助計算!$G$2:$G$801, 0)+1))&lt;=1181,2,1)))=1,TEXT(INDEX(ERP資料!$G:$G, (MATCH(916, 輔助計算!$G$2:$G$801, 0)+1)),"0.##"),IF(IF(INDEX(ERP資料!$G:$G, (MATCH(916, 輔助計算!$G$2:$G$801, 0)+1))&lt;100, IF(INDEX(ERP資料!$G:$G, (MATCH(916, 輔助計算!$G$2:$G$801, 0)+1))&lt;=31,3,IF(INDEX(ERP資料!$G:$G, (MATCH(916, 輔助計算!$G$2:$G$801, 0)+1))&lt;=46.5,2,1)), IF(INDEX(ERP資料!$G:$G, (MATCH(916, 輔助計算!$G$2:$G$801, 0)+1))&lt;=790,3,IF(INDEX(ERP資料!$G:$G, (MATCH(916, 輔助計算!$G$2:$G$801, 0)+1))&lt;=1181,2,1)))=2,TEXT(INDEX(ERP資料!$G:$G, (MATCH(916, 輔助計算!$G$2:$G$801, 0)+1)),"0.##")&amp;"+"&amp;TEXT(INDEX(ERP資料!$G:$G, (MATCH(916, 輔助計算!$G$2:$G$801, 0)+1)),"0.##"),TEXT(INDEX(ERP資料!$G:$G, (MATCH(916, 輔助計算!$G$2:$G$801, 0)+1)),"0.##")&amp;"+"&amp;TEXT(INDEX(ERP資料!$G:$G, (MATCH(916, 輔助計算!$G$2:$G$801, 0)+1)),"0.##")&amp;"+"&amp;TEXT(INDEX(ERP資料!$G:$G, (MATCH(916, 輔助計算!$G$2:$G$801, 0)+1)),"0.##")))&amp;"-"&amp;INT(INDEX(輔助計算!$D:$D, (MATCH(916, 輔助計算!$G$2:$G$801, 0)+1))/IF(INDEX(ERP資料!$G:$G, (MATCH(916, 輔助計算!$G$2:$G$801, 0)+1))&lt;100, IF(INDEX(ERP資料!$G:$G, (MATCH(916, 輔助計算!$G$2:$G$801, 0)+1))&lt;=31,3,IF(INDEX(ERP資料!$G:$G, (MATCH(916, 輔助計算!$G$2:$G$801, 0)+1))&lt;=46.5,2,1)), IF(INDEX(ERP資料!$G:$G, (MATCH(916, 輔助計算!$G$2:$G$801, 0)+1))&lt;=790,3,IF(INDEX(ERP資料!$G:$G, (MATCH(916, 輔助計算!$G$2:$G$801, 0)+1))&lt;=1181,2,1)))), "")&lt;&gt;"",IF(MOD(INDEX(輔助計算!$D:$D, (MATCH(916, 輔助計算!$G$2:$G$801, 0)+1)),IF(INDEX(ERP資料!$G:$G, (MATCH(916, 輔助計算!$G$2:$G$801, 0)+1))&lt;100, IF(INDEX(ERP資料!$G:$G, (MATCH(916, 輔助計算!$G$2:$G$801, 0)+1))&lt;=31,3,IF(INDEX(ERP資料!$G:$G, (MATCH(916, 輔助計算!$G$2:$G$801, 0)+1))&lt;=46.5,2,1)), IF(INDEX(ERP資料!$G:$G, (MATCH(916, 輔助計算!$G$2:$G$801, 0)+1))&lt;=790,3,IF(INDEX(ERP資料!$G:$G, (MATCH(916, 輔助計算!$G$2:$G$801, 0)+1))&lt;=1181,2,1))))=0,"",IF(MOD(INDEX(輔助計算!$D:$D, (MATCH(916, 輔助計算!$G$2:$G$801, 0)+1)),IF(INDEX(ERP資料!$G:$G, (MATCH(916, 輔助計算!$G$2:$G$801, 0)+1))&lt;100, IF(INDEX(ERP資料!$G:$G, (MATCH(916, 輔助計算!$G$2:$G$801, 0)+1))&lt;=31,3,IF(INDEX(ERP資料!$G:$G, (MATCH(916, 輔助計算!$G$2:$G$801, 0)+1))&lt;=46.5,2,1)), IF(INDEX(ERP資料!$G:$G, (MATCH(916, 輔助計算!$G$2:$G$801, 0)+1))&lt;=790,3,IF(INDEX(ERP資料!$G:$G, (MATCH(916, 輔助計算!$G$2:$G$801, 0)+1))&lt;=1181,2,1))))=0,"",IF(MOD(INDEX(輔助計算!$D:$D, (MATCH(916, 輔助計算!$G$2:$G$801, 0)+1)),IF(INDEX(ERP資料!$G:$G, (MATCH(916, 輔助計算!$G$2:$G$801, 0)+1))&lt;100, IF(INDEX(ERP資料!$G:$G, (MATCH(916, 輔助計算!$G$2:$G$801, 0)+1))&lt;=31,3,IF(INDEX(ERP資料!$G:$G, (MATCH(916, 輔助計算!$G$2:$G$801, 0)+1))&lt;=46.5,2,1)), IF(INDEX(ERP資料!$G:$G, (MATCH(916, 輔助計算!$G$2:$G$801, 0)+1))&lt;=790,3,IF(INDEX(ERP資料!$G:$G, (MATCH(916, 輔助計算!$G$2:$G$801, 0)+1))&lt;=1181,2,1))))=1,TEXT(INDEX(ERP資料!$G:$G, (MATCH(916, 輔助計算!$G$2:$G$801, 0)+1)),"0.##"),IF(MOD(INDEX(輔助計算!$D:$D, (MATCH(916, 輔助計算!$G$2:$G$801, 0)+1)),IF(INDEX(ERP資料!$G:$G, (MATCH(916, 輔助計算!$G$2:$G$801, 0)+1))&lt;100, IF(INDEX(ERP資料!$G:$G, (MATCH(916, 輔助計算!$G$2:$G$801, 0)+1))&lt;=31,3,IF(INDEX(ERP資料!$G:$G, (MATCH(916, 輔助計算!$G$2:$G$801, 0)+1))&lt;=46.5,2,1)), IF(INDEX(ERP資料!$G:$G, (MATCH(916, 輔助計算!$G$2:$G$801, 0)+1))&lt;=790,3,IF(INDEX(ERP資料!$G:$G, (MATCH(916, 輔助計算!$G$2:$G$801, 0)+1))&lt;=1181,2,1))))=2,TEXT(INDEX(ERP資料!$G:$G, (MATCH(916, 輔助計算!$G$2:$G$801, 0)+1)),"0.##")&amp;"+"&amp;TEXT(INDEX(ERP資料!$G:$G, (MATCH(916, 輔助計算!$G$2:$G$801, 0)+1)),"0.##"),TEXT(INDEX(ERP資料!$G:$G, (MATCH(916, 輔助計算!$G$2:$G$801, 0)+1)),"0.##")&amp;"+"&amp;TEXT(INDEX(ERP資料!$G:$G, (MATCH(916, 輔助計算!$G$2:$G$801, 0)+1)),"0.##")&amp;"+"&amp;TEXT(INDEX(ERP資料!$G:$G, (MATCH(916, 輔助計算!$G$2:$G$801, 0)+1)),"0.##"))))&amp;"-1")&lt;&gt;""),"  ","")&amp;IF(MOD(INDEX(輔助計算!$D:$D, (MATCH(916, 輔助計算!$G$2:$G$801, 0)+1)),IF(INDEX(ERP資料!$G:$G, (MATCH(916, 輔助計算!$G$2:$G$801, 0)+1))&lt;100, IF(INDEX(ERP資料!$G:$G, (MATCH(916, 輔助計算!$G$2:$G$801, 0)+1))&lt;=31,3,IF(INDEX(ERP資料!$G:$G, (MATCH(916, 輔助計算!$G$2:$G$801, 0)+1))&lt;=46.5,2,1)), IF(INDEX(ERP資料!$G:$G, (MATCH(916, 輔助計算!$G$2:$G$801, 0)+1))&lt;=790,3,IF(INDEX(ERP資料!$G:$G, (MATCH(916, 輔助計算!$G$2:$G$801, 0)+1))&lt;=1181,2,1))))=0,"",IF(MOD(INDEX(輔助計算!$D:$D, (MATCH(916, 輔助計算!$G$2:$G$801, 0)+1)),IF(INDEX(ERP資料!$G:$G, (MATCH(916, 輔助計算!$G$2:$G$801, 0)+1))&lt;100, IF(INDEX(ERP資料!$G:$G, (MATCH(916, 輔助計算!$G$2:$G$801, 0)+1))&lt;=31,3,IF(INDEX(ERP資料!$G:$G, (MATCH(916, 輔助計算!$G$2:$G$801, 0)+1))&lt;=46.5,2,1)), IF(INDEX(ERP資料!$G:$G, (MATCH(916, 輔助計算!$G$2:$G$801, 0)+1))&lt;=790,3,IF(INDEX(ERP資料!$G:$G, (MATCH(916, 輔助計算!$G$2:$G$801, 0)+1))&lt;=1181,2,1))))=0,"",IF(MOD(INDEX(輔助計算!$D:$D, (MATCH(916, 輔助計算!$G$2:$G$801, 0)+1)),IF(INDEX(ERP資料!$G:$G, (MATCH(916, 輔助計算!$G$2:$G$801, 0)+1))&lt;100, IF(INDEX(ERP資料!$G:$G, (MATCH(916, 輔助計算!$G$2:$G$801, 0)+1))&lt;=31,3,IF(INDEX(ERP資料!$G:$G, (MATCH(916, 輔助計算!$G$2:$G$801, 0)+1))&lt;=46.5,2,1)), IF(INDEX(ERP資料!$G:$G, (MATCH(916, 輔助計算!$G$2:$G$801, 0)+1))&lt;=790,3,IF(INDEX(ERP資料!$G:$G, (MATCH(916, 輔助計算!$G$2:$G$801, 0)+1))&lt;=1181,2,1))))=1,TEXT(INDEX(ERP資料!$G:$G, (MATCH(916, 輔助計算!$G$2:$G$801, 0)+1)),"0.##"),IF(MOD(INDEX(輔助計算!$D:$D, (MATCH(916, 輔助計算!$G$2:$G$801, 0)+1)),IF(INDEX(ERP資料!$G:$G, (MATCH(916, 輔助計算!$G$2:$G$801, 0)+1))&lt;100, IF(INDEX(ERP資料!$G:$G, (MATCH(916, 輔助計算!$G$2:$G$801, 0)+1))&lt;=31,3,IF(INDEX(ERP資料!$G:$G, (MATCH(916, 輔助計算!$G$2:$G$801, 0)+1))&lt;=46.5,2,1)), IF(INDEX(ERP資料!$G:$G, (MATCH(916, 輔助計算!$G$2:$G$801, 0)+1))&lt;=790,3,IF(INDEX(ERP資料!$G:$G, (MATCH(916, 輔助計算!$G$2:$G$801, 0)+1))&lt;=1181,2,1))))=2,TEXT(INDEX(ERP資料!$G:$G, (MATCH(916, 輔助計算!$G$2:$G$801, 0)+1)),"0.##")&amp;"+"&amp;TEXT(INDEX(ERP資料!$G:$G, (MATCH(916, 輔助計算!$G$2:$G$801, 0)+1)),"0.##"),TEXT(INDEX(ERP資料!$G:$G, (MATCH(916, 輔助計算!$G$2:$G$801, 0)+1)),"0.##")&amp;"+"&amp;TEXT(INDEX(ERP資料!$G:$G, (MATCH(916, 輔助計算!$G$2:$G$801, 0)+1)),"0.##")&amp;"+"&amp;TEXT(INDEX(ERP資料!$G:$G, (MATCH(916, 輔助計算!$G$2:$G$801, 0)+1)),"0.##"))))&amp;"-1")), ""), "")</f>
        <v/>
      </c>
      <c r="K917" s="16" t="n"/>
      <c r="L917" s="14">
        <f>IFERROR(IF(AND(IFERROR(INDEX(ERP資料!$A:$A, (MATCH(916, 輔助計算!$G$2:$G$801, 0)+1)), "")&lt;&gt;"", IFERROR(INDEX(ERP資料!$A:$A, (MATCH(916, 輔助計算!$G$2:$G$801, 0)+1)), "")&lt;&gt;IFERROR(INDEX(ERP資料!$A:$A, MATCH(915, 輔助計算!$G$2:$G$801, 0)+1), "")), INDEX(ERP資料!$B:$B, (MATCH(916, 輔助計算!$G$2:$G$801, 0)+1)), ""), "")</f>
        <v/>
      </c>
      <c r="M917" s="17" t="n"/>
    </row>
    <row r="918">
      <c r="A918" s="10">
        <f>IFERROR(IF(AND(IFERROR(INDEX(ERP資料!$A:$A, (MATCH(917, 輔助計算!$G$2:$G$801, 0)+1)), "")&lt;&gt;"", IFERROR(INDEX(ERP資料!$A:$A, (MATCH(917, 輔助計算!$G$2:$G$801, 0)+1)), "")&lt;&gt;IFERROR(INDEX(ERP資料!$A:$A, MATCH(916, 輔助計算!$G$2:$G$801, 0)+1), "")), IFERROR(INDEX(ERP資料!$A:$A, (MATCH(917, 輔助計算!$G$2:$G$801, 0)+1)), ""), ""), "")</f>
        <v/>
      </c>
      <c r="B918" s="10">
        <f>IFERROR(IF(AND(IFERROR(INDEX(ERP資料!$A:$A, (MATCH(917, 輔助計算!$G$2:$G$801, 0)+1)), "")&lt;&gt;"", IFERROR(INDEX(ERP資料!$A:$A, (MATCH(917, 輔助計算!$G$2:$G$801, 0)+1)), "")&lt;&gt;IFERROR(INDEX(ERP資料!$A:$A, MATCH(916, 輔助計算!$G$2:$G$801, 0)+1), "")), INDEX(ERP資料!$S:$S, (MATCH(917, 輔助計算!$G$2:$G$801, 0)+1)), ""), "")</f>
        <v/>
      </c>
      <c r="C918" s="19">
        <f>IFERROR(IF(AND(IFERROR(INDEX(ERP資料!$A:$A, (MATCH(917, 輔助計算!$G$2:$G$801, 0)+1)), "")&lt;&gt;"", IFERROR(INDEX(ERP資料!$A:$A, (MATCH(917, 輔助計算!$G$2:$G$801, 0)+1)), "")&lt;&gt;IFERROR(INDEX(ERP資料!$A:$A, MATCH(916, 輔助計算!$G$2:$G$801, 0)+1), "")), IFERROR(VLOOKUP(LEFT(INDEX(ERP資料!$S:$S, (MATCH(917, 輔助計算!$G$2:$G$801, 0)+1)), 4), 紙管對照表!$A:$C, 3, FALSE), ""), ""), "")</f>
        <v/>
      </c>
      <c r="D918" s="16" t="n"/>
      <c r="E918" s="10">
        <f>IFERROR(IF(INDEX(ERP資料!$H:$H, (MATCH(917, 輔助計算!$G$2:$G$801, 0)+1))="","",INDEX(ERP資料!$H:$H, (MATCH(917, 輔助計算!$G$2:$G$801, 0)+1))), "")</f>
        <v/>
      </c>
      <c r="F918" s="10">
        <f>IFERROR(IF(INDEX(ERP資料!$E:$E, (MATCH(917, 輔助計算!$G$2:$G$801, 0)+1))="","",TRIM(INDEX(ERP資料!$E:$E, (MATCH(917, 輔助計算!$G$2:$G$801, 0)+1)))), "")</f>
        <v/>
      </c>
      <c r="G918" s="10">
        <f>IFERROR(IF(INDEX(ERP資料!$F:$F, (MATCH(917, 輔助計算!$G$2:$G$801, 0)+1))="","",INDEX(ERP資料!$F:$F, (MATCH(917, 輔助計算!$G$2:$G$801, 0)+1))), "")</f>
        <v/>
      </c>
      <c r="H918" s="10">
        <f>IFERROR(IF(INDEX(ERP資料!$G:$G, (MATCH(917, 輔助計算!$G$2:$G$801, 0)+1))="","",INDEX(ERP資料!$G:$G, (MATCH(917, 輔助計算!$G$2:$G$801, 0)+1))), "")</f>
        <v/>
      </c>
      <c r="I918" s="15">
        <f>IFERROR(INDEX(輔助計算!$D:$D, (MATCH(917, 輔助計算!$G$2:$G$801, 0)+1)), "")</f>
        <v/>
      </c>
      <c r="J918" s="15">
        <f>IFERROR(IF(AND(INDEX(輔助計算!$D:$D, (MATCH(917, 輔助計算!$G$2:$G$801, 0)+1))&lt;&gt;"", INDEX(ERP資料!$G:$G, (MATCH(917, 輔助計算!$G$2:$G$801, 0)+1))&lt;&gt;""), TRIM(IF(INT(INDEX(輔助計算!$D:$D, (MATCH(917, 輔助計算!$G$2:$G$801, 0)+1))/IF(INDEX(ERP資料!$G:$G, (MATCH(917, 輔助計算!$G$2:$G$801, 0)+1))&lt;100, IF(INDEX(ERP資料!$G:$G, (MATCH(917, 輔助計算!$G$2:$G$801, 0)+1))&lt;=31,3,IF(INDEX(ERP資料!$G:$G, (MATCH(917, 輔助計算!$G$2:$G$801, 0)+1))&lt;=46.5,2,1)), IF(INDEX(ERP資料!$G:$G, (MATCH(917, 輔助計算!$G$2:$G$801, 0)+1))&lt;=790,3,IF(INDEX(ERP資料!$G:$G, (MATCH(917, 輔助計算!$G$2:$G$801, 0)+1))&lt;=1181,2,1))))&gt;0, IF(IF(INDEX(ERP資料!$G:$G, (MATCH(917, 輔助計算!$G$2:$G$801, 0)+1))&lt;100, IF(INDEX(ERP資料!$G:$G, (MATCH(917, 輔助計算!$G$2:$G$801, 0)+1))&lt;=31,3,IF(INDEX(ERP資料!$G:$G, (MATCH(917, 輔助計算!$G$2:$G$801, 0)+1))&lt;=46.5,2,1)), IF(INDEX(ERP資料!$G:$G, (MATCH(917, 輔助計算!$G$2:$G$801, 0)+1))&lt;=790,3,IF(INDEX(ERP資料!$G:$G, (MATCH(917, 輔助計算!$G$2:$G$801, 0)+1))&lt;=1181,2,1)))=1,TEXT(INDEX(ERP資料!$G:$G, (MATCH(917, 輔助計算!$G$2:$G$801, 0)+1)),"0.##"),IF(IF(INDEX(ERP資料!$G:$G, (MATCH(917, 輔助計算!$G$2:$G$801, 0)+1))&lt;100, IF(INDEX(ERP資料!$G:$G, (MATCH(917, 輔助計算!$G$2:$G$801, 0)+1))&lt;=31,3,IF(INDEX(ERP資料!$G:$G, (MATCH(917, 輔助計算!$G$2:$G$801, 0)+1))&lt;=46.5,2,1)), IF(INDEX(ERP資料!$G:$G, (MATCH(917, 輔助計算!$G$2:$G$801, 0)+1))&lt;=790,3,IF(INDEX(ERP資料!$G:$G, (MATCH(917, 輔助計算!$G$2:$G$801, 0)+1))&lt;=1181,2,1)))=2,TEXT(INDEX(ERP資料!$G:$G, (MATCH(917, 輔助計算!$G$2:$G$801, 0)+1)),"0.##")&amp;"+"&amp;TEXT(INDEX(ERP資料!$G:$G, (MATCH(917, 輔助計算!$G$2:$G$801, 0)+1)),"0.##"),TEXT(INDEX(ERP資料!$G:$G, (MATCH(917, 輔助計算!$G$2:$G$801, 0)+1)),"0.##")&amp;"+"&amp;TEXT(INDEX(ERP資料!$G:$G, (MATCH(917, 輔助計算!$G$2:$G$801, 0)+1)),"0.##")&amp;"+"&amp;TEXT(INDEX(ERP資料!$G:$G, (MATCH(917, 輔助計算!$G$2:$G$801, 0)+1)),"0.##")))&amp;"-"&amp;INT(INDEX(輔助計算!$D:$D, (MATCH(917, 輔助計算!$G$2:$G$801, 0)+1))/IF(INDEX(ERP資料!$G:$G, (MATCH(917, 輔助計算!$G$2:$G$801, 0)+1))&lt;100, IF(INDEX(ERP資料!$G:$G, (MATCH(917, 輔助計算!$G$2:$G$801, 0)+1))&lt;=31,3,IF(INDEX(ERP資料!$G:$G, (MATCH(917, 輔助計算!$G$2:$G$801, 0)+1))&lt;=46.5,2,1)), IF(INDEX(ERP資料!$G:$G, (MATCH(917, 輔助計算!$G$2:$G$801, 0)+1))&lt;=790,3,IF(INDEX(ERP資料!$G:$G, (MATCH(917, 輔助計算!$G$2:$G$801, 0)+1))&lt;=1181,2,1)))), "")&amp;IF(AND(IF(INT(INDEX(輔助計算!$D:$D, (MATCH(917, 輔助計算!$G$2:$G$801, 0)+1))/IF(INDEX(ERP資料!$G:$G, (MATCH(917, 輔助計算!$G$2:$G$801, 0)+1))&lt;100, IF(INDEX(ERP資料!$G:$G, (MATCH(917, 輔助計算!$G$2:$G$801, 0)+1))&lt;=31,3,IF(INDEX(ERP資料!$G:$G, (MATCH(917, 輔助計算!$G$2:$G$801, 0)+1))&lt;=46.5,2,1)), IF(INDEX(ERP資料!$G:$G, (MATCH(917, 輔助計算!$G$2:$G$801, 0)+1))&lt;=790,3,IF(INDEX(ERP資料!$G:$G, (MATCH(917, 輔助計算!$G$2:$G$801, 0)+1))&lt;=1181,2,1))))&gt;0, IF(IF(INDEX(ERP資料!$G:$G, (MATCH(917, 輔助計算!$G$2:$G$801, 0)+1))&lt;100, IF(INDEX(ERP資料!$G:$G, (MATCH(917, 輔助計算!$G$2:$G$801, 0)+1))&lt;=31,3,IF(INDEX(ERP資料!$G:$G, (MATCH(917, 輔助計算!$G$2:$G$801, 0)+1))&lt;=46.5,2,1)), IF(INDEX(ERP資料!$G:$G, (MATCH(917, 輔助計算!$G$2:$G$801, 0)+1))&lt;=790,3,IF(INDEX(ERP資料!$G:$G, (MATCH(917, 輔助計算!$G$2:$G$801, 0)+1))&lt;=1181,2,1)))=1,TEXT(INDEX(ERP資料!$G:$G, (MATCH(917, 輔助計算!$G$2:$G$801, 0)+1)),"0.##"),IF(IF(INDEX(ERP資料!$G:$G, (MATCH(917, 輔助計算!$G$2:$G$801, 0)+1))&lt;100, IF(INDEX(ERP資料!$G:$G, (MATCH(917, 輔助計算!$G$2:$G$801, 0)+1))&lt;=31,3,IF(INDEX(ERP資料!$G:$G, (MATCH(917, 輔助計算!$G$2:$G$801, 0)+1))&lt;=46.5,2,1)), IF(INDEX(ERP資料!$G:$G, (MATCH(917, 輔助計算!$G$2:$G$801, 0)+1))&lt;=790,3,IF(INDEX(ERP資料!$G:$G, (MATCH(917, 輔助計算!$G$2:$G$801, 0)+1))&lt;=1181,2,1)))=2,TEXT(INDEX(ERP資料!$G:$G, (MATCH(917, 輔助計算!$G$2:$G$801, 0)+1)),"0.##")&amp;"+"&amp;TEXT(INDEX(ERP資料!$G:$G, (MATCH(917, 輔助計算!$G$2:$G$801, 0)+1)),"0.##"),TEXT(INDEX(ERP資料!$G:$G, (MATCH(917, 輔助計算!$G$2:$G$801, 0)+1)),"0.##")&amp;"+"&amp;TEXT(INDEX(ERP資料!$G:$G, (MATCH(917, 輔助計算!$G$2:$G$801, 0)+1)),"0.##")&amp;"+"&amp;TEXT(INDEX(ERP資料!$G:$G, (MATCH(917, 輔助計算!$G$2:$G$801, 0)+1)),"0.##")))&amp;"-"&amp;INT(INDEX(輔助計算!$D:$D, (MATCH(917, 輔助計算!$G$2:$G$801, 0)+1))/IF(INDEX(ERP資料!$G:$G, (MATCH(917, 輔助計算!$G$2:$G$801, 0)+1))&lt;100, IF(INDEX(ERP資料!$G:$G, (MATCH(917, 輔助計算!$G$2:$G$801, 0)+1))&lt;=31,3,IF(INDEX(ERP資料!$G:$G, (MATCH(917, 輔助計算!$G$2:$G$801, 0)+1))&lt;=46.5,2,1)), IF(INDEX(ERP資料!$G:$G, (MATCH(917, 輔助計算!$G$2:$G$801, 0)+1))&lt;=790,3,IF(INDEX(ERP資料!$G:$G, (MATCH(917, 輔助計算!$G$2:$G$801, 0)+1))&lt;=1181,2,1)))), "")&lt;&gt;"",IF(MOD(INDEX(輔助計算!$D:$D, (MATCH(917, 輔助計算!$G$2:$G$801, 0)+1)),IF(INDEX(ERP資料!$G:$G, (MATCH(917, 輔助計算!$G$2:$G$801, 0)+1))&lt;100, IF(INDEX(ERP資料!$G:$G, (MATCH(917, 輔助計算!$G$2:$G$801, 0)+1))&lt;=31,3,IF(INDEX(ERP資料!$G:$G, (MATCH(917, 輔助計算!$G$2:$G$801, 0)+1))&lt;=46.5,2,1)), IF(INDEX(ERP資料!$G:$G, (MATCH(917, 輔助計算!$G$2:$G$801, 0)+1))&lt;=790,3,IF(INDEX(ERP資料!$G:$G, (MATCH(917, 輔助計算!$G$2:$G$801, 0)+1))&lt;=1181,2,1))))=0,"",IF(MOD(INDEX(輔助計算!$D:$D, (MATCH(917, 輔助計算!$G$2:$G$801, 0)+1)),IF(INDEX(ERP資料!$G:$G, (MATCH(917, 輔助計算!$G$2:$G$801, 0)+1))&lt;100, IF(INDEX(ERP資料!$G:$G, (MATCH(917, 輔助計算!$G$2:$G$801, 0)+1))&lt;=31,3,IF(INDEX(ERP資料!$G:$G, (MATCH(917, 輔助計算!$G$2:$G$801, 0)+1))&lt;=46.5,2,1)), IF(INDEX(ERP資料!$G:$G, (MATCH(917, 輔助計算!$G$2:$G$801, 0)+1))&lt;=790,3,IF(INDEX(ERP資料!$G:$G, (MATCH(917, 輔助計算!$G$2:$G$801, 0)+1))&lt;=1181,2,1))))=0,"",IF(MOD(INDEX(輔助計算!$D:$D, (MATCH(917, 輔助計算!$G$2:$G$801, 0)+1)),IF(INDEX(ERP資料!$G:$G, (MATCH(917, 輔助計算!$G$2:$G$801, 0)+1))&lt;100, IF(INDEX(ERP資料!$G:$G, (MATCH(917, 輔助計算!$G$2:$G$801, 0)+1))&lt;=31,3,IF(INDEX(ERP資料!$G:$G, (MATCH(917, 輔助計算!$G$2:$G$801, 0)+1))&lt;=46.5,2,1)), IF(INDEX(ERP資料!$G:$G, (MATCH(917, 輔助計算!$G$2:$G$801, 0)+1))&lt;=790,3,IF(INDEX(ERP資料!$G:$G, (MATCH(917, 輔助計算!$G$2:$G$801, 0)+1))&lt;=1181,2,1))))=1,TEXT(INDEX(ERP資料!$G:$G, (MATCH(917, 輔助計算!$G$2:$G$801, 0)+1)),"0.##"),IF(MOD(INDEX(輔助計算!$D:$D, (MATCH(917, 輔助計算!$G$2:$G$801, 0)+1)),IF(INDEX(ERP資料!$G:$G, (MATCH(917, 輔助計算!$G$2:$G$801, 0)+1))&lt;100, IF(INDEX(ERP資料!$G:$G, (MATCH(917, 輔助計算!$G$2:$G$801, 0)+1))&lt;=31,3,IF(INDEX(ERP資料!$G:$G, (MATCH(917, 輔助計算!$G$2:$G$801, 0)+1))&lt;=46.5,2,1)), IF(INDEX(ERP資料!$G:$G, (MATCH(917, 輔助計算!$G$2:$G$801, 0)+1))&lt;=790,3,IF(INDEX(ERP資料!$G:$G, (MATCH(917, 輔助計算!$G$2:$G$801, 0)+1))&lt;=1181,2,1))))=2,TEXT(INDEX(ERP資料!$G:$G, (MATCH(917, 輔助計算!$G$2:$G$801, 0)+1)),"0.##")&amp;"+"&amp;TEXT(INDEX(ERP資料!$G:$G, (MATCH(917, 輔助計算!$G$2:$G$801, 0)+1)),"0.##"),TEXT(INDEX(ERP資料!$G:$G, (MATCH(917, 輔助計算!$G$2:$G$801, 0)+1)),"0.##")&amp;"+"&amp;TEXT(INDEX(ERP資料!$G:$G, (MATCH(917, 輔助計算!$G$2:$G$801, 0)+1)),"0.##")&amp;"+"&amp;TEXT(INDEX(ERP資料!$G:$G, (MATCH(917, 輔助計算!$G$2:$G$801, 0)+1)),"0.##"))))&amp;"-1")&lt;&gt;""),"  ","")&amp;IF(MOD(INDEX(輔助計算!$D:$D, (MATCH(917, 輔助計算!$G$2:$G$801, 0)+1)),IF(INDEX(ERP資料!$G:$G, (MATCH(917, 輔助計算!$G$2:$G$801, 0)+1))&lt;100, IF(INDEX(ERP資料!$G:$G, (MATCH(917, 輔助計算!$G$2:$G$801, 0)+1))&lt;=31,3,IF(INDEX(ERP資料!$G:$G, (MATCH(917, 輔助計算!$G$2:$G$801, 0)+1))&lt;=46.5,2,1)), IF(INDEX(ERP資料!$G:$G, (MATCH(917, 輔助計算!$G$2:$G$801, 0)+1))&lt;=790,3,IF(INDEX(ERP資料!$G:$G, (MATCH(917, 輔助計算!$G$2:$G$801, 0)+1))&lt;=1181,2,1))))=0,"",IF(MOD(INDEX(輔助計算!$D:$D, (MATCH(917, 輔助計算!$G$2:$G$801, 0)+1)),IF(INDEX(ERP資料!$G:$G, (MATCH(917, 輔助計算!$G$2:$G$801, 0)+1))&lt;100, IF(INDEX(ERP資料!$G:$G, (MATCH(917, 輔助計算!$G$2:$G$801, 0)+1))&lt;=31,3,IF(INDEX(ERP資料!$G:$G, (MATCH(917, 輔助計算!$G$2:$G$801, 0)+1))&lt;=46.5,2,1)), IF(INDEX(ERP資料!$G:$G, (MATCH(917, 輔助計算!$G$2:$G$801, 0)+1))&lt;=790,3,IF(INDEX(ERP資料!$G:$G, (MATCH(917, 輔助計算!$G$2:$G$801, 0)+1))&lt;=1181,2,1))))=0,"",IF(MOD(INDEX(輔助計算!$D:$D, (MATCH(917, 輔助計算!$G$2:$G$801, 0)+1)),IF(INDEX(ERP資料!$G:$G, (MATCH(917, 輔助計算!$G$2:$G$801, 0)+1))&lt;100, IF(INDEX(ERP資料!$G:$G, (MATCH(917, 輔助計算!$G$2:$G$801, 0)+1))&lt;=31,3,IF(INDEX(ERP資料!$G:$G, (MATCH(917, 輔助計算!$G$2:$G$801, 0)+1))&lt;=46.5,2,1)), IF(INDEX(ERP資料!$G:$G, (MATCH(917, 輔助計算!$G$2:$G$801, 0)+1))&lt;=790,3,IF(INDEX(ERP資料!$G:$G, (MATCH(917, 輔助計算!$G$2:$G$801, 0)+1))&lt;=1181,2,1))))=1,TEXT(INDEX(ERP資料!$G:$G, (MATCH(917, 輔助計算!$G$2:$G$801, 0)+1)),"0.##"),IF(MOD(INDEX(輔助計算!$D:$D, (MATCH(917, 輔助計算!$G$2:$G$801, 0)+1)),IF(INDEX(ERP資料!$G:$G, (MATCH(917, 輔助計算!$G$2:$G$801, 0)+1))&lt;100, IF(INDEX(ERP資料!$G:$G, (MATCH(917, 輔助計算!$G$2:$G$801, 0)+1))&lt;=31,3,IF(INDEX(ERP資料!$G:$G, (MATCH(917, 輔助計算!$G$2:$G$801, 0)+1))&lt;=46.5,2,1)), IF(INDEX(ERP資料!$G:$G, (MATCH(917, 輔助計算!$G$2:$G$801, 0)+1))&lt;=790,3,IF(INDEX(ERP資料!$G:$G, (MATCH(917, 輔助計算!$G$2:$G$801, 0)+1))&lt;=1181,2,1))))=2,TEXT(INDEX(ERP資料!$G:$G, (MATCH(917, 輔助計算!$G$2:$G$801, 0)+1)),"0.##")&amp;"+"&amp;TEXT(INDEX(ERP資料!$G:$G, (MATCH(917, 輔助計算!$G$2:$G$801, 0)+1)),"0.##"),TEXT(INDEX(ERP資料!$G:$G, (MATCH(917, 輔助計算!$G$2:$G$801, 0)+1)),"0.##")&amp;"+"&amp;TEXT(INDEX(ERP資料!$G:$G, (MATCH(917, 輔助計算!$G$2:$G$801, 0)+1)),"0.##")&amp;"+"&amp;TEXT(INDEX(ERP資料!$G:$G, (MATCH(917, 輔助計算!$G$2:$G$801, 0)+1)),"0.##"))))&amp;"-1")), ""), "")</f>
        <v/>
      </c>
      <c r="K918" s="16" t="n"/>
      <c r="L918" s="14">
        <f>IFERROR(IF(AND(IFERROR(INDEX(ERP資料!$A:$A, (MATCH(917, 輔助計算!$G$2:$G$801, 0)+1)), "")&lt;&gt;"", IFERROR(INDEX(ERP資料!$A:$A, (MATCH(917, 輔助計算!$G$2:$G$801, 0)+1)), "")&lt;&gt;IFERROR(INDEX(ERP資料!$A:$A, MATCH(916, 輔助計算!$G$2:$G$801, 0)+1), "")), INDEX(ERP資料!$B:$B, (MATCH(917, 輔助計算!$G$2:$G$801, 0)+1)), ""), "")</f>
        <v/>
      </c>
      <c r="M918" s="17" t="n"/>
    </row>
    <row r="919">
      <c r="A919" s="10">
        <f>IFERROR(IF(AND(IFERROR(INDEX(ERP資料!$A:$A, (MATCH(918, 輔助計算!$G$2:$G$801, 0)+1)), "")&lt;&gt;"", IFERROR(INDEX(ERP資料!$A:$A, (MATCH(918, 輔助計算!$G$2:$G$801, 0)+1)), "")&lt;&gt;IFERROR(INDEX(ERP資料!$A:$A, MATCH(917, 輔助計算!$G$2:$G$801, 0)+1), "")), IFERROR(INDEX(ERP資料!$A:$A, (MATCH(918, 輔助計算!$G$2:$G$801, 0)+1)), ""), ""), "")</f>
        <v/>
      </c>
      <c r="B919" s="10">
        <f>IFERROR(IF(AND(IFERROR(INDEX(ERP資料!$A:$A, (MATCH(918, 輔助計算!$G$2:$G$801, 0)+1)), "")&lt;&gt;"", IFERROR(INDEX(ERP資料!$A:$A, (MATCH(918, 輔助計算!$G$2:$G$801, 0)+1)), "")&lt;&gt;IFERROR(INDEX(ERP資料!$A:$A, MATCH(917, 輔助計算!$G$2:$G$801, 0)+1), "")), INDEX(ERP資料!$S:$S, (MATCH(918, 輔助計算!$G$2:$G$801, 0)+1)), ""), "")</f>
        <v/>
      </c>
      <c r="C919" s="19">
        <f>IFERROR(IF(AND(IFERROR(INDEX(ERP資料!$A:$A, (MATCH(918, 輔助計算!$G$2:$G$801, 0)+1)), "")&lt;&gt;"", IFERROR(INDEX(ERP資料!$A:$A, (MATCH(918, 輔助計算!$G$2:$G$801, 0)+1)), "")&lt;&gt;IFERROR(INDEX(ERP資料!$A:$A, MATCH(917, 輔助計算!$G$2:$G$801, 0)+1), "")), IFERROR(VLOOKUP(LEFT(INDEX(ERP資料!$S:$S, (MATCH(918, 輔助計算!$G$2:$G$801, 0)+1)), 4), 紙管對照表!$A:$C, 3, FALSE), ""), ""), "")</f>
        <v/>
      </c>
      <c r="D919" s="16" t="n"/>
      <c r="E919" s="10">
        <f>IFERROR(IF(INDEX(ERP資料!$H:$H, (MATCH(918, 輔助計算!$G$2:$G$801, 0)+1))="","",INDEX(ERP資料!$H:$H, (MATCH(918, 輔助計算!$G$2:$G$801, 0)+1))), "")</f>
        <v/>
      </c>
      <c r="F919" s="10">
        <f>IFERROR(IF(INDEX(ERP資料!$E:$E, (MATCH(918, 輔助計算!$G$2:$G$801, 0)+1))="","",TRIM(INDEX(ERP資料!$E:$E, (MATCH(918, 輔助計算!$G$2:$G$801, 0)+1)))), "")</f>
        <v/>
      </c>
      <c r="G919" s="10">
        <f>IFERROR(IF(INDEX(ERP資料!$F:$F, (MATCH(918, 輔助計算!$G$2:$G$801, 0)+1))="","",INDEX(ERP資料!$F:$F, (MATCH(918, 輔助計算!$G$2:$G$801, 0)+1))), "")</f>
        <v/>
      </c>
      <c r="H919" s="10">
        <f>IFERROR(IF(INDEX(ERP資料!$G:$G, (MATCH(918, 輔助計算!$G$2:$G$801, 0)+1))="","",INDEX(ERP資料!$G:$G, (MATCH(918, 輔助計算!$G$2:$G$801, 0)+1))), "")</f>
        <v/>
      </c>
      <c r="I919" s="15">
        <f>IFERROR(INDEX(輔助計算!$D:$D, (MATCH(918, 輔助計算!$G$2:$G$801, 0)+1)), "")</f>
        <v/>
      </c>
      <c r="J919" s="15">
        <f>IFERROR(IF(AND(INDEX(輔助計算!$D:$D, (MATCH(918, 輔助計算!$G$2:$G$801, 0)+1))&lt;&gt;"", INDEX(ERP資料!$G:$G, (MATCH(918, 輔助計算!$G$2:$G$801, 0)+1))&lt;&gt;""), TRIM(IF(INT(INDEX(輔助計算!$D:$D, (MATCH(918, 輔助計算!$G$2:$G$801, 0)+1))/IF(INDEX(ERP資料!$G:$G, (MATCH(918, 輔助計算!$G$2:$G$801, 0)+1))&lt;100, IF(INDEX(ERP資料!$G:$G, (MATCH(918, 輔助計算!$G$2:$G$801, 0)+1))&lt;=31,3,IF(INDEX(ERP資料!$G:$G, (MATCH(918, 輔助計算!$G$2:$G$801, 0)+1))&lt;=46.5,2,1)), IF(INDEX(ERP資料!$G:$G, (MATCH(918, 輔助計算!$G$2:$G$801, 0)+1))&lt;=790,3,IF(INDEX(ERP資料!$G:$G, (MATCH(918, 輔助計算!$G$2:$G$801, 0)+1))&lt;=1181,2,1))))&gt;0, IF(IF(INDEX(ERP資料!$G:$G, (MATCH(918, 輔助計算!$G$2:$G$801, 0)+1))&lt;100, IF(INDEX(ERP資料!$G:$G, (MATCH(918, 輔助計算!$G$2:$G$801, 0)+1))&lt;=31,3,IF(INDEX(ERP資料!$G:$G, (MATCH(918, 輔助計算!$G$2:$G$801, 0)+1))&lt;=46.5,2,1)), IF(INDEX(ERP資料!$G:$G, (MATCH(918, 輔助計算!$G$2:$G$801, 0)+1))&lt;=790,3,IF(INDEX(ERP資料!$G:$G, (MATCH(918, 輔助計算!$G$2:$G$801, 0)+1))&lt;=1181,2,1)))=1,TEXT(INDEX(ERP資料!$G:$G, (MATCH(918, 輔助計算!$G$2:$G$801, 0)+1)),"0.##"),IF(IF(INDEX(ERP資料!$G:$G, (MATCH(918, 輔助計算!$G$2:$G$801, 0)+1))&lt;100, IF(INDEX(ERP資料!$G:$G, (MATCH(918, 輔助計算!$G$2:$G$801, 0)+1))&lt;=31,3,IF(INDEX(ERP資料!$G:$G, (MATCH(918, 輔助計算!$G$2:$G$801, 0)+1))&lt;=46.5,2,1)), IF(INDEX(ERP資料!$G:$G, (MATCH(918, 輔助計算!$G$2:$G$801, 0)+1))&lt;=790,3,IF(INDEX(ERP資料!$G:$G, (MATCH(918, 輔助計算!$G$2:$G$801, 0)+1))&lt;=1181,2,1)))=2,TEXT(INDEX(ERP資料!$G:$G, (MATCH(918, 輔助計算!$G$2:$G$801, 0)+1)),"0.##")&amp;"+"&amp;TEXT(INDEX(ERP資料!$G:$G, (MATCH(918, 輔助計算!$G$2:$G$801, 0)+1)),"0.##"),TEXT(INDEX(ERP資料!$G:$G, (MATCH(918, 輔助計算!$G$2:$G$801, 0)+1)),"0.##")&amp;"+"&amp;TEXT(INDEX(ERP資料!$G:$G, (MATCH(918, 輔助計算!$G$2:$G$801, 0)+1)),"0.##")&amp;"+"&amp;TEXT(INDEX(ERP資料!$G:$G, (MATCH(918, 輔助計算!$G$2:$G$801, 0)+1)),"0.##")))&amp;"-"&amp;INT(INDEX(輔助計算!$D:$D, (MATCH(918, 輔助計算!$G$2:$G$801, 0)+1))/IF(INDEX(ERP資料!$G:$G, (MATCH(918, 輔助計算!$G$2:$G$801, 0)+1))&lt;100, IF(INDEX(ERP資料!$G:$G, (MATCH(918, 輔助計算!$G$2:$G$801, 0)+1))&lt;=31,3,IF(INDEX(ERP資料!$G:$G, (MATCH(918, 輔助計算!$G$2:$G$801, 0)+1))&lt;=46.5,2,1)), IF(INDEX(ERP資料!$G:$G, (MATCH(918, 輔助計算!$G$2:$G$801, 0)+1))&lt;=790,3,IF(INDEX(ERP資料!$G:$G, (MATCH(918, 輔助計算!$G$2:$G$801, 0)+1))&lt;=1181,2,1)))), "")&amp;IF(AND(IF(INT(INDEX(輔助計算!$D:$D, (MATCH(918, 輔助計算!$G$2:$G$801, 0)+1))/IF(INDEX(ERP資料!$G:$G, (MATCH(918, 輔助計算!$G$2:$G$801, 0)+1))&lt;100, IF(INDEX(ERP資料!$G:$G, (MATCH(918, 輔助計算!$G$2:$G$801, 0)+1))&lt;=31,3,IF(INDEX(ERP資料!$G:$G, (MATCH(918, 輔助計算!$G$2:$G$801, 0)+1))&lt;=46.5,2,1)), IF(INDEX(ERP資料!$G:$G, (MATCH(918, 輔助計算!$G$2:$G$801, 0)+1))&lt;=790,3,IF(INDEX(ERP資料!$G:$G, (MATCH(918, 輔助計算!$G$2:$G$801, 0)+1))&lt;=1181,2,1))))&gt;0, IF(IF(INDEX(ERP資料!$G:$G, (MATCH(918, 輔助計算!$G$2:$G$801, 0)+1))&lt;100, IF(INDEX(ERP資料!$G:$G, (MATCH(918, 輔助計算!$G$2:$G$801, 0)+1))&lt;=31,3,IF(INDEX(ERP資料!$G:$G, (MATCH(918, 輔助計算!$G$2:$G$801, 0)+1))&lt;=46.5,2,1)), IF(INDEX(ERP資料!$G:$G, (MATCH(918, 輔助計算!$G$2:$G$801, 0)+1))&lt;=790,3,IF(INDEX(ERP資料!$G:$G, (MATCH(918, 輔助計算!$G$2:$G$801, 0)+1))&lt;=1181,2,1)))=1,TEXT(INDEX(ERP資料!$G:$G, (MATCH(918, 輔助計算!$G$2:$G$801, 0)+1)),"0.##"),IF(IF(INDEX(ERP資料!$G:$G, (MATCH(918, 輔助計算!$G$2:$G$801, 0)+1))&lt;100, IF(INDEX(ERP資料!$G:$G, (MATCH(918, 輔助計算!$G$2:$G$801, 0)+1))&lt;=31,3,IF(INDEX(ERP資料!$G:$G, (MATCH(918, 輔助計算!$G$2:$G$801, 0)+1))&lt;=46.5,2,1)), IF(INDEX(ERP資料!$G:$G, (MATCH(918, 輔助計算!$G$2:$G$801, 0)+1))&lt;=790,3,IF(INDEX(ERP資料!$G:$G, (MATCH(918, 輔助計算!$G$2:$G$801, 0)+1))&lt;=1181,2,1)))=2,TEXT(INDEX(ERP資料!$G:$G, (MATCH(918, 輔助計算!$G$2:$G$801, 0)+1)),"0.##")&amp;"+"&amp;TEXT(INDEX(ERP資料!$G:$G, (MATCH(918, 輔助計算!$G$2:$G$801, 0)+1)),"0.##"),TEXT(INDEX(ERP資料!$G:$G, (MATCH(918, 輔助計算!$G$2:$G$801, 0)+1)),"0.##")&amp;"+"&amp;TEXT(INDEX(ERP資料!$G:$G, (MATCH(918, 輔助計算!$G$2:$G$801, 0)+1)),"0.##")&amp;"+"&amp;TEXT(INDEX(ERP資料!$G:$G, (MATCH(918, 輔助計算!$G$2:$G$801, 0)+1)),"0.##")))&amp;"-"&amp;INT(INDEX(輔助計算!$D:$D, (MATCH(918, 輔助計算!$G$2:$G$801, 0)+1))/IF(INDEX(ERP資料!$G:$G, (MATCH(918, 輔助計算!$G$2:$G$801, 0)+1))&lt;100, IF(INDEX(ERP資料!$G:$G, (MATCH(918, 輔助計算!$G$2:$G$801, 0)+1))&lt;=31,3,IF(INDEX(ERP資料!$G:$G, (MATCH(918, 輔助計算!$G$2:$G$801, 0)+1))&lt;=46.5,2,1)), IF(INDEX(ERP資料!$G:$G, (MATCH(918, 輔助計算!$G$2:$G$801, 0)+1))&lt;=790,3,IF(INDEX(ERP資料!$G:$G, (MATCH(918, 輔助計算!$G$2:$G$801, 0)+1))&lt;=1181,2,1)))), "")&lt;&gt;"",IF(MOD(INDEX(輔助計算!$D:$D, (MATCH(918, 輔助計算!$G$2:$G$801, 0)+1)),IF(INDEX(ERP資料!$G:$G, (MATCH(918, 輔助計算!$G$2:$G$801, 0)+1))&lt;100, IF(INDEX(ERP資料!$G:$G, (MATCH(918, 輔助計算!$G$2:$G$801, 0)+1))&lt;=31,3,IF(INDEX(ERP資料!$G:$G, (MATCH(918, 輔助計算!$G$2:$G$801, 0)+1))&lt;=46.5,2,1)), IF(INDEX(ERP資料!$G:$G, (MATCH(918, 輔助計算!$G$2:$G$801, 0)+1))&lt;=790,3,IF(INDEX(ERP資料!$G:$G, (MATCH(918, 輔助計算!$G$2:$G$801, 0)+1))&lt;=1181,2,1))))=0,"",IF(MOD(INDEX(輔助計算!$D:$D, (MATCH(918, 輔助計算!$G$2:$G$801, 0)+1)),IF(INDEX(ERP資料!$G:$G, (MATCH(918, 輔助計算!$G$2:$G$801, 0)+1))&lt;100, IF(INDEX(ERP資料!$G:$G, (MATCH(918, 輔助計算!$G$2:$G$801, 0)+1))&lt;=31,3,IF(INDEX(ERP資料!$G:$G, (MATCH(918, 輔助計算!$G$2:$G$801, 0)+1))&lt;=46.5,2,1)), IF(INDEX(ERP資料!$G:$G, (MATCH(918, 輔助計算!$G$2:$G$801, 0)+1))&lt;=790,3,IF(INDEX(ERP資料!$G:$G, (MATCH(918, 輔助計算!$G$2:$G$801, 0)+1))&lt;=1181,2,1))))=0,"",IF(MOD(INDEX(輔助計算!$D:$D, (MATCH(918, 輔助計算!$G$2:$G$801, 0)+1)),IF(INDEX(ERP資料!$G:$G, (MATCH(918, 輔助計算!$G$2:$G$801, 0)+1))&lt;100, IF(INDEX(ERP資料!$G:$G, (MATCH(918, 輔助計算!$G$2:$G$801, 0)+1))&lt;=31,3,IF(INDEX(ERP資料!$G:$G, (MATCH(918, 輔助計算!$G$2:$G$801, 0)+1))&lt;=46.5,2,1)), IF(INDEX(ERP資料!$G:$G, (MATCH(918, 輔助計算!$G$2:$G$801, 0)+1))&lt;=790,3,IF(INDEX(ERP資料!$G:$G, (MATCH(918, 輔助計算!$G$2:$G$801, 0)+1))&lt;=1181,2,1))))=1,TEXT(INDEX(ERP資料!$G:$G, (MATCH(918, 輔助計算!$G$2:$G$801, 0)+1)),"0.##"),IF(MOD(INDEX(輔助計算!$D:$D, (MATCH(918, 輔助計算!$G$2:$G$801, 0)+1)),IF(INDEX(ERP資料!$G:$G, (MATCH(918, 輔助計算!$G$2:$G$801, 0)+1))&lt;100, IF(INDEX(ERP資料!$G:$G, (MATCH(918, 輔助計算!$G$2:$G$801, 0)+1))&lt;=31,3,IF(INDEX(ERP資料!$G:$G, (MATCH(918, 輔助計算!$G$2:$G$801, 0)+1))&lt;=46.5,2,1)), IF(INDEX(ERP資料!$G:$G, (MATCH(918, 輔助計算!$G$2:$G$801, 0)+1))&lt;=790,3,IF(INDEX(ERP資料!$G:$G, (MATCH(918, 輔助計算!$G$2:$G$801, 0)+1))&lt;=1181,2,1))))=2,TEXT(INDEX(ERP資料!$G:$G, (MATCH(918, 輔助計算!$G$2:$G$801, 0)+1)),"0.##")&amp;"+"&amp;TEXT(INDEX(ERP資料!$G:$G, (MATCH(918, 輔助計算!$G$2:$G$801, 0)+1)),"0.##"),TEXT(INDEX(ERP資料!$G:$G, (MATCH(918, 輔助計算!$G$2:$G$801, 0)+1)),"0.##")&amp;"+"&amp;TEXT(INDEX(ERP資料!$G:$G, (MATCH(918, 輔助計算!$G$2:$G$801, 0)+1)),"0.##")&amp;"+"&amp;TEXT(INDEX(ERP資料!$G:$G, (MATCH(918, 輔助計算!$G$2:$G$801, 0)+1)),"0.##"))))&amp;"-1")&lt;&gt;""),"  ","")&amp;IF(MOD(INDEX(輔助計算!$D:$D, (MATCH(918, 輔助計算!$G$2:$G$801, 0)+1)),IF(INDEX(ERP資料!$G:$G, (MATCH(918, 輔助計算!$G$2:$G$801, 0)+1))&lt;100, IF(INDEX(ERP資料!$G:$G, (MATCH(918, 輔助計算!$G$2:$G$801, 0)+1))&lt;=31,3,IF(INDEX(ERP資料!$G:$G, (MATCH(918, 輔助計算!$G$2:$G$801, 0)+1))&lt;=46.5,2,1)), IF(INDEX(ERP資料!$G:$G, (MATCH(918, 輔助計算!$G$2:$G$801, 0)+1))&lt;=790,3,IF(INDEX(ERP資料!$G:$G, (MATCH(918, 輔助計算!$G$2:$G$801, 0)+1))&lt;=1181,2,1))))=0,"",IF(MOD(INDEX(輔助計算!$D:$D, (MATCH(918, 輔助計算!$G$2:$G$801, 0)+1)),IF(INDEX(ERP資料!$G:$G, (MATCH(918, 輔助計算!$G$2:$G$801, 0)+1))&lt;100, IF(INDEX(ERP資料!$G:$G, (MATCH(918, 輔助計算!$G$2:$G$801, 0)+1))&lt;=31,3,IF(INDEX(ERP資料!$G:$G, (MATCH(918, 輔助計算!$G$2:$G$801, 0)+1))&lt;=46.5,2,1)), IF(INDEX(ERP資料!$G:$G, (MATCH(918, 輔助計算!$G$2:$G$801, 0)+1))&lt;=790,3,IF(INDEX(ERP資料!$G:$G, (MATCH(918, 輔助計算!$G$2:$G$801, 0)+1))&lt;=1181,2,1))))=0,"",IF(MOD(INDEX(輔助計算!$D:$D, (MATCH(918, 輔助計算!$G$2:$G$801, 0)+1)),IF(INDEX(ERP資料!$G:$G, (MATCH(918, 輔助計算!$G$2:$G$801, 0)+1))&lt;100, IF(INDEX(ERP資料!$G:$G, (MATCH(918, 輔助計算!$G$2:$G$801, 0)+1))&lt;=31,3,IF(INDEX(ERP資料!$G:$G, (MATCH(918, 輔助計算!$G$2:$G$801, 0)+1))&lt;=46.5,2,1)), IF(INDEX(ERP資料!$G:$G, (MATCH(918, 輔助計算!$G$2:$G$801, 0)+1))&lt;=790,3,IF(INDEX(ERP資料!$G:$G, (MATCH(918, 輔助計算!$G$2:$G$801, 0)+1))&lt;=1181,2,1))))=1,TEXT(INDEX(ERP資料!$G:$G, (MATCH(918, 輔助計算!$G$2:$G$801, 0)+1)),"0.##"),IF(MOD(INDEX(輔助計算!$D:$D, (MATCH(918, 輔助計算!$G$2:$G$801, 0)+1)),IF(INDEX(ERP資料!$G:$G, (MATCH(918, 輔助計算!$G$2:$G$801, 0)+1))&lt;100, IF(INDEX(ERP資料!$G:$G, (MATCH(918, 輔助計算!$G$2:$G$801, 0)+1))&lt;=31,3,IF(INDEX(ERP資料!$G:$G, (MATCH(918, 輔助計算!$G$2:$G$801, 0)+1))&lt;=46.5,2,1)), IF(INDEX(ERP資料!$G:$G, (MATCH(918, 輔助計算!$G$2:$G$801, 0)+1))&lt;=790,3,IF(INDEX(ERP資料!$G:$G, (MATCH(918, 輔助計算!$G$2:$G$801, 0)+1))&lt;=1181,2,1))))=2,TEXT(INDEX(ERP資料!$G:$G, (MATCH(918, 輔助計算!$G$2:$G$801, 0)+1)),"0.##")&amp;"+"&amp;TEXT(INDEX(ERP資料!$G:$G, (MATCH(918, 輔助計算!$G$2:$G$801, 0)+1)),"0.##"),TEXT(INDEX(ERP資料!$G:$G, (MATCH(918, 輔助計算!$G$2:$G$801, 0)+1)),"0.##")&amp;"+"&amp;TEXT(INDEX(ERP資料!$G:$G, (MATCH(918, 輔助計算!$G$2:$G$801, 0)+1)),"0.##")&amp;"+"&amp;TEXT(INDEX(ERP資料!$G:$G, (MATCH(918, 輔助計算!$G$2:$G$801, 0)+1)),"0.##"))))&amp;"-1")), ""), "")</f>
        <v/>
      </c>
      <c r="K919" s="16" t="n"/>
      <c r="L919" s="14">
        <f>IFERROR(IF(AND(IFERROR(INDEX(ERP資料!$A:$A, (MATCH(918, 輔助計算!$G$2:$G$801, 0)+1)), "")&lt;&gt;"", IFERROR(INDEX(ERP資料!$A:$A, (MATCH(918, 輔助計算!$G$2:$G$801, 0)+1)), "")&lt;&gt;IFERROR(INDEX(ERP資料!$A:$A, MATCH(917, 輔助計算!$G$2:$G$801, 0)+1), "")), INDEX(ERP資料!$B:$B, (MATCH(918, 輔助計算!$G$2:$G$801, 0)+1)), ""), "")</f>
        <v/>
      </c>
      <c r="M919" s="17" t="n"/>
    </row>
    <row r="920">
      <c r="A920" s="10">
        <f>IFERROR(IF(AND(IFERROR(INDEX(ERP資料!$A:$A, (MATCH(919, 輔助計算!$G$2:$G$801, 0)+1)), "")&lt;&gt;"", IFERROR(INDEX(ERP資料!$A:$A, (MATCH(919, 輔助計算!$G$2:$G$801, 0)+1)), "")&lt;&gt;IFERROR(INDEX(ERP資料!$A:$A, MATCH(918, 輔助計算!$G$2:$G$801, 0)+1), "")), IFERROR(INDEX(ERP資料!$A:$A, (MATCH(919, 輔助計算!$G$2:$G$801, 0)+1)), ""), ""), "")</f>
        <v/>
      </c>
      <c r="B920" s="10">
        <f>IFERROR(IF(AND(IFERROR(INDEX(ERP資料!$A:$A, (MATCH(919, 輔助計算!$G$2:$G$801, 0)+1)), "")&lt;&gt;"", IFERROR(INDEX(ERP資料!$A:$A, (MATCH(919, 輔助計算!$G$2:$G$801, 0)+1)), "")&lt;&gt;IFERROR(INDEX(ERP資料!$A:$A, MATCH(918, 輔助計算!$G$2:$G$801, 0)+1), "")), INDEX(ERP資料!$S:$S, (MATCH(919, 輔助計算!$G$2:$G$801, 0)+1)), ""), "")</f>
        <v/>
      </c>
      <c r="C920" s="19">
        <f>IFERROR(IF(AND(IFERROR(INDEX(ERP資料!$A:$A, (MATCH(919, 輔助計算!$G$2:$G$801, 0)+1)), "")&lt;&gt;"", IFERROR(INDEX(ERP資料!$A:$A, (MATCH(919, 輔助計算!$G$2:$G$801, 0)+1)), "")&lt;&gt;IFERROR(INDEX(ERP資料!$A:$A, MATCH(918, 輔助計算!$G$2:$G$801, 0)+1), "")), IFERROR(VLOOKUP(LEFT(INDEX(ERP資料!$S:$S, (MATCH(919, 輔助計算!$G$2:$G$801, 0)+1)), 4), 紙管對照表!$A:$C, 3, FALSE), ""), ""), "")</f>
        <v/>
      </c>
      <c r="D920" s="16" t="n"/>
      <c r="E920" s="10">
        <f>IFERROR(IF(INDEX(ERP資料!$H:$H, (MATCH(919, 輔助計算!$G$2:$G$801, 0)+1))="","",INDEX(ERP資料!$H:$H, (MATCH(919, 輔助計算!$G$2:$G$801, 0)+1))), "")</f>
        <v/>
      </c>
      <c r="F920" s="10">
        <f>IFERROR(IF(INDEX(ERP資料!$E:$E, (MATCH(919, 輔助計算!$G$2:$G$801, 0)+1))="","",TRIM(INDEX(ERP資料!$E:$E, (MATCH(919, 輔助計算!$G$2:$G$801, 0)+1)))), "")</f>
        <v/>
      </c>
      <c r="G920" s="10">
        <f>IFERROR(IF(INDEX(ERP資料!$F:$F, (MATCH(919, 輔助計算!$G$2:$G$801, 0)+1))="","",INDEX(ERP資料!$F:$F, (MATCH(919, 輔助計算!$G$2:$G$801, 0)+1))), "")</f>
        <v/>
      </c>
      <c r="H920" s="10">
        <f>IFERROR(IF(INDEX(ERP資料!$G:$G, (MATCH(919, 輔助計算!$G$2:$G$801, 0)+1))="","",INDEX(ERP資料!$G:$G, (MATCH(919, 輔助計算!$G$2:$G$801, 0)+1))), "")</f>
        <v/>
      </c>
      <c r="I920" s="15">
        <f>IFERROR(INDEX(輔助計算!$D:$D, (MATCH(919, 輔助計算!$G$2:$G$801, 0)+1)), "")</f>
        <v/>
      </c>
      <c r="J920" s="15">
        <f>IFERROR(IF(AND(INDEX(輔助計算!$D:$D, (MATCH(919, 輔助計算!$G$2:$G$801, 0)+1))&lt;&gt;"", INDEX(ERP資料!$G:$G, (MATCH(919, 輔助計算!$G$2:$G$801, 0)+1))&lt;&gt;""), TRIM(IF(INT(INDEX(輔助計算!$D:$D, (MATCH(919, 輔助計算!$G$2:$G$801, 0)+1))/IF(INDEX(ERP資料!$G:$G, (MATCH(919, 輔助計算!$G$2:$G$801, 0)+1))&lt;100, IF(INDEX(ERP資料!$G:$G, (MATCH(919, 輔助計算!$G$2:$G$801, 0)+1))&lt;=31,3,IF(INDEX(ERP資料!$G:$G, (MATCH(919, 輔助計算!$G$2:$G$801, 0)+1))&lt;=46.5,2,1)), IF(INDEX(ERP資料!$G:$G, (MATCH(919, 輔助計算!$G$2:$G$801, 0)+1))&lt;=790,3,IF(INDEX(ERP資料!$G:$G, (MATCH(919, 輔助計算!$G$2:$G$801, 0)+1))&lt;=1181,2,1))))&gt;0, IF(IF(INDEX(ERP資料!$G:$G, (MATCH(919, 輔助計算!$G$2:$G$801, 0)+1))&lt;100, IF(INDEX(ERP資料!$G:$G, (MATCH(919, 輔助計算!$G$2:$G$801, 0)+1))&lt;=31,3,IF(INDEX(ERP資料!$G:$G, (MATCH(919, 輔助計算!$G$2:$G$801, 0)+1))&lt;=46.5,2,1)), IF(INDEX(ERP資料!$G:$G, (MATCH(919, 輔助計算!$G$2:$G$801, 0)+1))&lt;=790,3,IF(INDEX(ERP資料!$G:$G, (MATCH(919, 輔助計算!$G$2:$G$801, 0)+1))&lt;=1181,2,1)))=1,TEXT(INDEX(ERP資料!$G:$G, (MATCH(919, 輔助計算!$G$2:$G$801, 0)+1)),"0.##"),IF(IF(INDEX(ERP資料!$G:$G, (MATCH(919, 輔助計算!$G$2:$G$801, 0)+1))&lt;100, IF(INDEX(ERP資料!$G:$G, (MATCH(919, 輔助計算!$G$2:$G$801, 0)+1))&lt;=31,3,IF(INDEX(ERP資料!$G:$G, (MATCH(919, 輔助計算!$G$2:$G$801, 0)+1))&lt;=46.5,2,1)), IF(INDEX(ERP資料!$G:$G, (MATCH(919, 輔助計算!$G$2:$G$801, 0)+1))&lt;=790,3,IF(INDEX(ERP資料!$G:$G, (MATCH(919, 輔助計算!$G$2:$G$801, 0)+1))&lt;=1181,2,1)))=2,TEXT(INDEX(ERP資料!$G:$G, (MATCH(919, 輔助計算!$G$2:$G$801, 0)+1)),"0.##")&amp;"+"&amp;TEXT(INDEX(ERP資料!$G:$G, (MATCH(919, 輔助計算!$G$2:$G$801, 0)+1)),"0.##"),TEXT(INDEX(ERP資料!$G:$G, (MATCH(919, 輔助計算!$G$2:$G$801, 0)+1)),"0.##")&amp;"+"&amp;TEXT(INDEX(ERP資料!$G:$G, (MATCH(919, 輔助計算!$G$2:$G$801, 0)+1)),"0.##")&amp;"+"&amp;TEXT(INDEX(ERP資料!$G:$G, (MATCH(919, 輔助計算!$G$2:$G$801, 0)+1)),"0.##")))&amp;"-"&amp;INT(INDEX(輔助計算!$D:$D, (MATCH(919, 輔助計算!$G$2:$G$801, 0)+1))/IF(INDEX(ERP資料!$G:$G, (MATCH(919, 輔助計算!$G$2:$G$801, 0)+1))&lt;100, IF(INDEX(ERP資料!$G:$G, (MATCH(919, 輔助計算!$G$2:$G$801, 0)+1))&lt;=31,3,IF(INDEX(ERP資料!$G:$G, (MATCH(919, 輔助計算!$G$2:$G$801, 0)+1))&lt;=46.5,2,1)), IF(INDEX(ERP資料!$G:$G, (MATCH(919, 輔助計算!$G$2:$G$801, 0)+1))&lt;=790,3,IF(INDEX(ERP資料!$G:$G, (MATCH(919, 輔助計算!$G$2:$G$801, 0)+1))&lt;=1181,2,1)))), "")&amp;IF(AND(IF(INT(INDEX(輔助計算!$D:$D, (MATCH(919, 輔助計算!$G$2:$G$801, 0)+1))/IF(INDEX(ERP資料!$G:$G, (MATCH(919, 輔助計算!$G$2:$G$801, 0)+1))&lt;100, IF(INDEX(ERP資料!$G:$G, (MATCH(919, 輔助計算!$G$2:$G$801, 0)+1))&lt;=31,3,IF(INDEX(ERP資料!$G:$G, (MATCH(919, 輔助計算!$G$2:$G$801, 0)+1))&lt;=46.5,2,1)), IF(INDEX(ERP資料!$G:$G, (MATCH(919, 輔助計算!$G$2:$G$801, 0)+1))&lt;=790,3,IF(INDEX(ERP資料!$G:$G, (MATCH(919, 輔助計算!$G$2:$G$801, 0)+1))&lt;=1181,2,1))))&gt;0, IF(IF(INDEX(ERP資料!$G:$G, (MATCH(919, 輔助計算!$G$2:$G$801, 0)+1))&lt;100, IF(INDEX(ERP資料!$G:$G, (MATCH(919, 輔助計算!$G$2:$G$801, 0)+1))&lt;=31,3,IF(INDEX(ERP資料!$G:$G, (MATCH(919, 輔助計算!$G$2:$G$801, 0)+1))&lt;=46.5,2,1)), IF(INDEX(ERP資料!$G:$G, (MATCH(919, 輔助計算!$G$2:$G$801, 0)+1))&lt;=790,3,IF(INDEX(ERP資料!$G:$G, (MATCH(919, 輔助計算!$G$2:$G$801, 0)+1))&lt;=1181,2,1)))=1,TEXT(INDEX(ERP資料!$G:$G, (MATCH(919, 輔助計算!$G$2:$G$801, 0)+1)),"0.##"),IF(IF(INDEX(ERP資料!$G:$G, (MATCH(919, 輔助計算!$G$2:$G$801, 0)+1))&lt;100, IF(INDEX(ERP資料!$G:$G, (MATCH(919, 輔助計算!$G$2:$G$801, 0)+1))&lt;=31,3,IF(INDEX(ERP資料!$G:$G, (MATCH(919, 輔助計算!$G$2:$G$801, 0)+1))&lt;=46.5,2,1)), IF(INDEX(ERP資料!$G:$G, (MATCH(919, 輔助計算!$G$2:$G$801, 0)+1))&lt;=790,3,IF(INDEX(ERP資料!$G:$G, (MATCH(919, 輔助計算!$G$2:$G$801, 0)+1))&lt;=1181,2,1)))=2,TEXT(INDEX(ERP資料!$G:$G, (MATCH(919, 輔助計算!$G$2:$G$801, 0)+1)),"0.##")&amp;"+"&amp;TEXT(INDEX(ERP資料!$G:$G, (MATCH(919, 輔助計算!$G$2:$G$801, 0)+1)),"0.##"),TEXT(INDEX(ERP資料!$G:$G, (MATCH(919, 輔助計算!$G$2:$G$801, 0)+1)),"0.##")&amp;"+"&amp;TEXT(INDEX(ERP資料!$G:$G, (MATCH(919, 輔助計算!$G$2:$G$801, 0)+1)),"0.##")&amp;"+"&amp;TEXT(INDEX(ERP資料!$G:$G, (MATCH(919, 輔助計算!$G$2:$G$801, 0)+1)),"0.##")))&amp;"-"&amp;INT(INDEX(輔助計算!$D:$D, (MATCH(919, 輔助計算!$G$2:$G$801, 0)+1))/IF(INDEX(ERP資料!$G:$G, (MATCH(919, 輔助計算!$G$2:$G$801, 0)+1))&lt;100, IF(INDEX(ERP資料!$G:$G, (MATCH(919, 輔助計算!$G$2:$G$801, 0)+1))&lt;=31,3,IF(INDEX(ERP資料!$G:$G, (MATCH(919, 輔助計算!$G$2:$G$801, 0)+1))&lt;=46.5,2,1)), IF(INDEX(ERP資料!$G:$G, (MATCH(919, 輔助計算!$G$2:$G$801, 0)+1))&lt;=790,3,IF(INDEX(ERP資料!$G:$G, (MATCH(919, 輔助計算!$G$2:$G$801, 0)+1))&lt;=1181,2,1)))), "")&lt;&gt;"",IF(MOD(INDEX(輔助計算!$D:$D, (MATCH(919, 輔助計算!$G$2:$G$801, 0)+1)),IF(INDEX(ERP資料!$G:$G, (MATCH(919, 輔助計算!$G$2:$G$801, 0)+1))&lt;100, IF(INDEX(ERP資料!$G:$G, (MATCH(919, 輔助計算!$G$2:$G$801, 0)+1))&lt;=31,3,IF(INDEX(ERP資料!$G:$G, (MATCH(919, 輔助計算!$G$2:$G$801, 0)+1))&lt;=46.5,2,1)), IF(INDEX(ERP資料!$G:$G, (MATCH(919, 輔助計算!$G$2:$G$801, 0)+1))&lt;=790,3,IF(INDEX(ERP資料!$G:$G, (MATCH(919, 輔助計算!$G$2:$G$801, 0)+1))&lt;=1181,2,1))))=0,"",IF(MOD(INDEX(輔助計算!$D:$D, (MATCH(919, 輔助計算!$G$2:$G$801, 0)+1)),IF(INDEX(ERP資料!$G:$G, (MATCH(919, 輔助計算!$G$2:$G$801, 0)+1))&lt;100, IF(INDEX(ERP資料!$G:$G, (MATCH(919, 輔助計算!$G$2:$G$801, 0)+1))&lt;=31,3,IF(INDEX(ERP資料!$G:$G, (MATCH(919, 輔助計算!$G$2:$G$801, 0)+1))&lt;=46.5,2,1)), IF(INDEX(ERP資料!$G:$G, (MATCH(919, 輔助計算!$G$2:$G$801, 0)+1))&lt;=790,3,IF(INDEX(ERP資料!$G:$G, (MATCH(919, 輔助計算!$G$2:$G$801, 0)+1))&lt;=1181,2,1))))=0,"",IF(MOD(INDEX(輔助計算!$D:$D, (MATCH(919, 輔助計算!$G$2:$G$801, 0)+1)),IF(INDEX(ERP資料!$G:$G, (MATCH(919, 輔助計算!$G$2:$G$801, 0)+1))&lt;100, IF(INDEX(ERP資料!$G:$G, (MATCH(919, 輔助計算!$G$2:$G$801, 0)+1))&lt;=31,3,IF(INDEX(ERP資料!$G:$G, (MATCH(919, 輔助計算!$G$2:$G$801, 0)+1))&lt;=46.5,2,1)), IF(INDEX(ERP資料!$G:$G, (MATCH(919, 輔助計算!$G$2:$G$801, 0)+1))&lt;=790,3,IF(INDEX(ERP資料!$G:$G, (MATCH(919, 輔助計算!$G$2:$G$801, 0)+1))&lt;=1181,2,1))))=1,TEXT(INDEX(ERP資料!$G:$G, (MATCH(919, 輔助計算!$G$2:$G$801, 0)+1)),"0.##"),IF(MOD(INDEX(輔助計算!$D:$D, (MATCH(919, 輔助計算!$G$2:$G$801, 0)+1)),IF(INDEX(ERP資料!$G:$G, (MATCH(919, 輔助計算!$G$2:$G$801, 0)+1))&lt;100, IF(INDEX(ERP資料!$G:$G, (MATCH(919, 輔助計算!$G$2:$G$801, 0)+1))&lt;=31,3,IF(INDEX(ERP資料!$G:$G, (MATCH(919, 輔助計算!$G$2:$G$801, 0)+1))&lt;=46.5,2,1)), IF(INDEX(ERP資料!$G:$G, (MATCH(919, 輔助計算!$G$2:$G$801, 0)+1))&lt;=790,3,IF(INDEX(ERP資料!$G:$G, (MATCH(919, 輔助計算!$G$2:$G$801, 0)+1))&lt;=1181,2,1))))=2,TEXT(INDEX(ERP資料!$G:$G, (MATCH(919, 輔助計算!$G$2:$G$801, 0)+1)),"0.##")&amp;"+"&amp;TEXT(INDEX(ERP資料!$G:$G, (MATCH(919, 輔助計算!$G$2:$G$801, 0)+1)),"0.##"),TEXT(INDEX(ERP資料!$G:$G, (MATCH(919, 輔助計算!$G$2:$G$801, 0)+1)),"0.##")&amp;"+"&amp;TEXT(INDEX(ERP資料!$G:$G, (MATCH(919, 輔助計算!$G$2:$G$801, 0)+1)),"0.##")&amp;"+"&amp;TEXT(INDEX(ERP資料!$G:$G, (MATCH(919, 輔助計算!$G$2:$G$801, 0)+1)),"0.##"))))&amp;"-1")&lt;&gt;""),"  ","")&amp;IF(MOD(INDEX(輔助計算!$D:$D, (MATCH(919, 輔助計算!$G$2:$G$801, 0)+1)),IF(INDEX(ERP資料!$G:$G, (MATCH(919, 輔助計算!$G$2:$G$801, 0)+1))&lt;100, IF(INDEX(ERP資料!$G:$G, (MATCH(919, 輔助計算!$G$2:$G$801, 0)+1))&lt;=31,3,IF(INDEX(ERP資料!$G:$G, (MATCH(919, 輔助計算!$G$2:$G$801, 0)+1))&lt;=46.5,2,1)), IF(INDEX(ERP資料!$G:$G, (MATCH(919, 輔助計算!$G$2:$G$801, 0)+1))&lt;=790,3,IF(INDEX(ERP資料!$G:$G, (MATCH(919, 輔助計算!$G$2:$G$801, 0)+1))&lt;=1181,2,1))))=0,"",IF(MOD(INDEX(輔助計算!$D:$D, (MATCH(919, 輔助計算!$G$2:$G$801, 0)+1)),IF(INDEX(ERP資料!$G:$G, (MATCH(919, 輔助計算!$G$2:$G$801, 0)+1))&lt;100, IF(INDEX(ERP資料!$G:$G, (MATCH(919, 輔助計算!$G$2:$G$801, 0)+1))&lt;=31,3,IF(INDEX(ERP資料!$G:$G, (MATCH(919, 輔助計算!$G$2:$G$801, 0)+1))&lt;=46.5,2,1)), IF(INDEX(ERP資料!$G:$G, (MATCH(919, 輔助計算!$G$2:$G$801, 0)+1))&lt;=790,3,IF(INDEX(ERP資料!$G:$G, (MATCH(919, 輔助計算!$G$2:$G$801, 0)+1))&lt;=1181,2,1))))=0,"",IF(MOD(INDEX(輔助計算!$D:$D, (MATCH(919, 輔助計算!$G$2:$G$801, 0)+1)),IF(INDEX(ERP資料!$G:$G, (MATCH(919, 輔助計算!$G$2:$G$801, 0)+1))&lt;100, IF(INDEX(ERP資料!$G:$G, (MATCH(919, 輔助計算!$G$2:$G$801, 0)+1))&lt;=31,3,IF(INDEX(ERP資料!$G:$G, (MATCH(919, 輔助計算!$G$2:$G$801, 0)+1))&lt;=46.5,2,1)), IF(INDEX(ERP資料!$G:$G, (MATCH(919, 輔助計算!$G$2:$G$801, 0)+1))&lt;=790,3,IF(INDEX(ERP資料!$G:$G, (MATCH(919, 輔助計算!$G$2:$G$801, 0)+1))&lt;=1181,2,1))))=1,TEXT(INDEX(ERP資料!$G:$G, (MATCH(919, 輔助計算!$G$2:$G$801, 0)+1)),"0.##"),IF(MOD(INDEX(輔助計算!$D:$D, (MATCH(919, 輔助計算!$G$2:$G$801, 0)+1)),IF(INDEX(ERP資料!$G:$G, (MATCH(919, 輔助計算!$G$2:$G$801, 0)+1))&lt;100, IF(INDEX(ERP資料!$G:$G, (MATCH(919, 輔助計算!$G$2:$G$801, 0)+1))&lt;=31,3,IF(INDEX(ERP資料!$G:$G, (MATCH(919, 輔助計算!$G$2:$G$801, 0)+1))&lt;=46.5,2,1)), IF(INDEX(ERP資料!$G:$G, (MATCH(919, 輔助計算!$G$2:$G$801, 0)+1))&lt;=790,3,IF(INDEX(ERP資料!$G:$G, (MATCH(919, 輔助計算!$G$2:$G$801, 0)+1))&lt;=1181,2,1))))=2,TEXT(INDEX(ERP資料!$G:$G, (MATCH(919, 輔助計算!$G$2:$G$801, 0)+1)),"0.##")&amp;"+"&amp;TEXT(INDEX(ERP資料!$G:$G, (MATCH(919, 輔助計算!$G$2:$G$801, 0)+1)),"0.##"),TEXT(INDEX(ERP資料!$G:$G, (MATCH(919, 輔助計算!$G$2:$G$801, 0)+1)),"0.##")&amp;"+"&amp;TEXT(INDEX(ERP資料!$G:$G, (MATCH(919, 輔助計算!$G$2:$G$801, 0)+1)),"0.##")&amp;"+"&amp;TEXT(INDEX(ERP資料!$G:$G, (MATCH(919, 輔助計算!$G$2:$G$801, 0)+1)),"0.##"))))&amp;"-1")), ""), "")</f>
        <v/>
      </c>
      <c r="K920" s="16" t="n"/>
      <c r="L920" s="14">
        <f>IFERROR(IF(AND(IFERROR(INDEX(ERP資料!$A:$A, (MATCH(919, 輔助計算!$G$2:$G$801, 0)+1)), "")&lt;&gt;"", IFERROR(INDEX(ERP資料!$A:$A, (MATCH(919, 輔助計算!$G$2:$G$801, 0)+1)), "")&lt;&gt;IFERROR(INDEX(ERP資料!$A:$A, MATCH(918, 輔助計算!$G$2:$G$801, 0)+1), "")), INDEX(ERP資料!$B:$B, (MATCH(919, 輔助計算!$G$2:$G$801, 0)+1)), ""), "")</f>
        <v/>
      </c>
      <c r="M920" s="17" t="n"/>
    </row>
    <row r="921">
      <c r="A921" s="10">
        <f>IFERROR(IF(AND(IFERROR(INDEX(ERP資料!$A:$A, (MATCH(920, 輔助計算!$G$2:$G$801, 0)+1)), "")&lt;&gt;"", IFERROR(INDEX(ERP資料!$A:$A, (MATCH(920, 輔助計算!$G$2:$G$801, 0)+1)), "")&lt;&gt;IFERROR(INDEX(ERP資料!$A:$A, MATCH(919, 輔助計算!$G$2:$G$801, 0)+1), "")), IFERROR(INDEX(ERP資料!$A:$A, (MATCH(920, 輔助計算!$G$2:$G$801, 0)+1)), ""), ""), "")</f>
        <v/>
      </c>
      <c r="B921" s="10">
        <f>IFERROR(IF(AND(IFERROR(INDEX(ERP資料!$A:$A, (MATCH(920, 輔助計算!$G$2:$G$801, 0)+1)), "")&lt;&gt;"", IFERROR(INDEX(ERP資料!$A:$A, (MATCH(920, 輔助計算!$G$2:$G$801, 0)+1)), "")&lt;&gt;IFERROR(INDEX(ERP資料!$A:$A, MATCH(919, 輔助計算!$G$2:$G$801, 0)+1), "")), INDEX(ERP資料!$S:$S, (MATCH(920, 輔助計算!$G$2:$G$801, 0)+1)), ""), "")</f>
        <v/>
      </c>
      <c r="C921" s="19">
        <f>IFERROR(IF(AND(IFERROR(INDEX(ERP資料!$A:$A, (MATCH(920, 輔助計算!$G$2:$G$801, 0)+1)), "")&lt;&gt;"", IFERROR(INDEX(ERP資料!$A:$A, (MATCH(920, 輔助計算!$G$2:$G$801, 0)+1)), "")&lt;&gt;IFERROR(INDEX(ERP資料!$A:$A, MATCH(919, 輔助計算!$G$2:$G$801, 0)+1), "")), IFERROR(VLOOKUP(LEFT(INDEX(ERP資料!$S:$S, (MATCH(920, 輔助計算!$G$2:$G$801, 0)+1)), 4), 紙管對照表!$A:$C, 3, FALSE), ""), ""), "")</f>
        <v/>
      </c>
      <c r="D921" s="16" t="n"/>
      <c r="E921" s="10">
        <f>IFERROR(IF(INDEX(ERP資料!$H:$H, (MATCH(920, 輔助計算!$G$2:$G$801, 0)+1))="","",INDEX(ERP資料!$H:$H, (MATCH(920, 輔助計算!$G$2:$G$801, 0)+1))), "")</f>
        <v/>
      </c>
      <c r="F921" s="10">
        <f>IFERROR(IF(INDEX(ERP資料!$E:$E, (MATCH(920, 輔助計算!$G$2:$G$801, 0)+1))="","",TRIM(INDEX(ERP資料!$E:$E, (MATCH(920, 輔助計算!$G$2:$G$801, 0)+1)))), "")</f>
        <v/>
      </c>
      <c r="G921" s="10">
        <f>IFERROR(IF(INDEX(ERP資料!$F:$F, (MATCH(920, 輔助計算!$G$2:$G$801, 0)+1))="","",INDEX(ERP資料!$F:$F, (MATCH(920, 輔助計算!$G$2:$G$801, 0)+1))), "")</f>
        <v/>
      </c>
      <c r="H921" s="10">
        <f>IFERROR(IF(INDEX(ERP資料!$G:$G, (MATCH(920, 輔助計算!$G$2:$G$801, 0)+1))="","",INDEX(ERP資料!$G:$G, (MATCH(920, 輔助計算!$G$2:$G$801, 0)+1))), "")</f>
        <v/>
      </c>
      <c r="I921" s="15">
        <f>IFERROR(INDEX(輔助計算!$D:$D, (MATCH(920, 輔助計算!$G$2:$G$801, 0)+1)), "")</f>
        <v/>
      </c>
      <c r="J921" s="15">
        <f>IFERROR(IF(AND(INDEX(輔助計算!$D:$D, (MATCH(920, 輔助計算!$G$2:$G$801, 0)+1))&lt;&gt;"", INDEX(ERP資料!$G:$G, (MATCH(920, 輔助計算!$G$2:$G$801, 0)+1))&lt;&gt;""), TRIM(IF(INT(INDEX(輔助計算!$D:$D, (MATCH(920, 輔助計算!$G$2:$G$801, 0)+1))/IF(INDEX(ERP資料!$G:$G, (MATCH(920, 輔助計算!$G$2:$G$801, 0)+1))&lt;100, IF(INDEX(ERP資料!$G:$G, (MATCH(920, 輔助計算!$G$2:$G$801, 0)+1))&lt;=31,3,IF(INDEX(ERP資料!$G:$G, (MATCH(920, 輔助計算!$G$2:$G$801, 0)+1))&lt;=46.5,2,1)), IF(INDEX(ERP資料!$G:$G, (MATCH(920, 輔助計算!$G$2:$G$801, 0)+1))&lt;=790,3,IF(INDEX(ERP資料!$G:$G, (MATCH(920, 輔助計算!$G$2:$G$801, 0)+1))&lt;=1181,2,1))))&gt;0, IF(IF(INDEX(ERP資料!$G:$G, (MATCH(920, 輔助計算!$G$2:$G$801, 0)+1))&lt;100, IF(INDEX(ERP資料!$G:$G, (MATCH(920, 輔助計算!$G$2:$G$801, 0)+1))&lt;=31,3,IF(INDEX(ERP資料!$G:$G, (MATCH(920, 輔助計算!$G$2:$G$801, 0)+1))&lt;=46.5,2,1)), IF(INDEX(ERP資料!$G:$G, (MATCH(920, 輔助計算!$G$2:$G$801, 0)+1))&lt;=790,3,IF(INDEX(ERP資料!$G:$G, (MATCH(920, 輔助計算!$G$2:$G$801, 0)+1))&lt;=1181,2,1)))=1,TEXT(INDEX(ERP資料!$G:$G, (MATCH(920, 輔助計算!$G$2:$G$801, 0)+1)),"0.##"),IF(IF(INDEX(ERP資料!$G:$G, (MATCH(920, 輔助計算!$G$2:$G$801, 0)+1))&lt;100, IF(INDEX(ERP資料!$G:$G, (MATCH(920, 輔助計算!$G$2:$G$801, 0)+1))&lt;=31,3,IF(INDEX(ERP資料!$G:$G, (MATCH(920, 輔助計算!$G$2:$G$801, 0)+1))&lt;=46.5,2,1)), IF(INDEX(ERP資料!$G:$G, (MATCH(920, 輔助計算!$G$2:$G$801, 0)+1))&lt;=790,3,IF(INDEX(ERP資料!$G:$G, (MATCH(920, 輔助計算!$G$2:$G$801, 0)+1))&lt;=1181,2,1)))=2,TEXT(INDEX(ERP資料!$G:$G, (MATCH(920, 輔助計算!$G$2:$G$801, 0)+1)),"0.##")&amp;"+"&amp;TEXT(INDEX(ERP資料!$G:$G, (MATCH(920, 輔助計算!$G$2:$G$801, 0)+1)),"0.##"),TEXT(INDEX(ERP資料!$G:$G, (MATCH(920, 輔助計算!$G$2:$G$801, 0)+1)),"0.##")&amp;"+"&amp;TEXT(INDEX(ERP資料!$G:$G, (MATCH(920, 輔助計算!$G$2:$G$801, 0)+1)),"0.##")&amp;"+"&amp;TEXT(INDEX(ERP資料!$G:$G, (MATCH(920, 輔助計算!$G$2:$G$801, 0)+1)),"0.##")))&amp;"-"&amp;INT(INDEX(輔助計算!$D:$D, (MATCH(920, 輔助計算!$G$2:$G$801, 0)+1))/IF(INDEX(ERP資料!$G:$G, (MATCH(920, 輔助計算!$G$2:$G$801, 0)+1))&lt;100, IF(INDEX(ERP資料!$G:$G, (MATCH(920, 輔助計算!$G$2:$G$801, 0)+1))&lt;=31,3,IF(INDEX(ERP資料!$G:$G, (MATCH(920, 輔助計算!$G$2:$G$801, 0)+1))&lt;=46.5,2,1)), IF(INDEX(ERP資料!$G:$G, (MATCH(920, 輔助計算!$G$2:$G$801, 0)+1))&lt;=790,3,IF(INDEX(ERP資料!$G:$G, (MATCH(920, 輔助計算!$G$2:$G$801, 0)+1))&lt;=1181,2,1)))), "")&amp;IF(AND(IF(INT(INDEX(輔助計算!$D:$D, (MATCH(920, 輔助計算!$G$2:$G$801, 0)+1))/IF(INDEX(ERP資料!$G:$G, (MATCH(920, 輔助計算!$G$2:$G$801, 0)+1))&lt;100, IF(INDEX(ERP資料!$G:$G, (MATCH(920, 輔助計算!$G$2:$G$801, 0)+1))&lt;=31,3,IF(INDEX(ERP資料!$G:$G, (MATCH(920, 輔助計算!$G$2:$G$801, 0)+1))&lt;=46.5,2,1)), IF(INDEX(ERP資料!$G:$G, (MATCH(920, 輔助計算!$G$2:$G$801, 0)+1))&lt;=790,3,IF(INDEX(ERP資料!$G:$G, (MATCH(920, 輔助計算!$G$2:$G$801, 0)+1))&lt;=1181,2,1))))&gt;0, IF(IF(INDEX(ERP資料!$G:$G, (MATCH(920, 輔助計算!$G$2:$G$801, 0)+1))&lt;100, IF(INDEX(ERP資料!$G:$G, (MATCH(920, 輔助計算!$G$2:$G$801, 0)+1))&lt;=31,3,IF(INDEX(ERP資料!$G:$G, (MATCH(920, 輔助計算!$G$2:$G$801, 0)+1))&lt;=46.5,2,1)), IF(INDEX(ERP資料!$G:$G, (MATCH(920, 輔助計算!$G$2:$G$801, 0)+1))&lt;=790,3,IF(INDEX(ERP資料!$G:$G, (MATCH(920, 輔助計算!$G$2:$G$801, 0)+1))&lt;=1181,2,1)))=1,TEXT(INDEX(ERP資料!$G:$G, (MATCH(920, 輔助計算!$G$2:$G$801, 0)+1)),"0.##"),IF(IF(INDEX(ERP資料!$G:$G, (MATCH(920, 輔助計算!$G$2:$G$801, 0)+1))&lt;100, IF(INDEX(ERP資料!$G:$G, (MATCH(920, 輔助計算!$G$2:$G$801, 0)+1))&lt;=31,3,IF(INDEX(ERP資料!$G:$G, (MATCH(920, 輔助計算!$G$2:$G$801, 0)+1))&lt;=46.5,2,1)), IF(INDEX(ERP資料!$G:$G, (MATCH(920, 輔助計算!$G$2:$G$801, 0)+1))&lt;=790,3,IF(INDEX(ERP資料!$G:$G, (MATCH(920, 輔助計算!$G$2:$G$801, 0)+1))&lt;=1181,2,1)))=2,TEXT(INDEX(ERP資料!$G:$G, (MATCH(920, 輔助計算!$G$2:$G$801, 0)+1)),"0.##")&amp;"+"&amp;TEXT(INDEX(ERP資料!$G:$G, (MATCH(920, 輔助計算!$G$2:$G$801, 0)+1)),"0.##"),TEXT(INDEX(ERP資料!$G:$G, (MATCH(920, 輔助計算!$G$2:$G$801, 0)+1)),"0.##")&amp;"+"&amp;TEXT(INDEX(ERP資料!$G:$G, (MATCH(920, 輔助計算!$G$2:$G$801, 0)+1)),"0.##")&amp;"+"&amp;TEXT(INDEX(ERP資料!$G:$G, (MATCH(920, 輔助計算!$G$2:$G$801, 0)+1)),"0.##")))&amp;"-"&amp;INT(INDEX(輔助計算!$D:$D, (MATCH(920, 輔助計算!$G$2:$G$801, 0)+1))/IF(INDEX(ERP資料!$G:$G, (MATCH(920, 輔助計算!$G$2:$G$801, 0)+1))&lt;100, IF(INDEX(ERP資料!$G:$G, (MATCH(920, 輔助計算!$G$2:$G$801, 0)+1))&lt;=31,3,IF(INDEX(ERP資料!$G:$G, (MATCH(920, 輔助計算!$G$2:$G$801, 0)+1))&lt;=46.5,2,1)), IF(INDEX(ERP資料!$G:$G, (MATCH(920, 輔助計算!$G$2:$G$801, 0)+1))&lt;=790,3,IF(INDEX(ERP資料!$G:$G, (MATCH(920, 輔助計算!$G$2:$G$801, 0)+1))&lt;=1181,2,1)))), "")&lt;&gt;"",IF(MOD(INDEX(輔助計算!$D:$D, (MATCH(920, 輔助計算!$G$2:$G$801, 0)+1)),IF(INDEX(ERP資料!$G:$G, (MATCH(920, 輔助計算!$G$2:$G$801, 0)+1))&lt;100, IF(INDEX(ERP資料!$G:$G, (MATCH(920, 輔助計算!$G$2:$G$801, 0)+1))&lt;=31,3,IF(INDEX(ERP資料!$G:$G, (MATCH(920, 輔助計算!$G$2:$G$801, 0)+1))&lt;=46.5,2,1)), IF(INDEX(ERP資料!$G:$G, (MATCH(920, 輔助計算!$G$2:$G$801, 0)+1))&lt;=790,3,IF(INDEX(ERP資料!$G:$G, (MATCH(920, 輔助計算!$G$2:$G$801, 0)+1))&lt;=1181,2,1))))=0,"",IF(MOD(INDEX(輔助計算!$D:$D, (MATCH(920, 輔助計算!$G$2:$G$801, 0)+1)),IF(INDEX(ERP資料!$G:$G, (MATCH(920, 輔助計算!$G$2:$G$801, 0)+1))&lt;100, IF(INDEX(ERP資料!$G:$G, (MATCH(920, 輔助計算!$G$2:$G$801, 0)+1))&lt;=31,3,IF(INDEX(ERP資料!$G:$G, (MATCH(920, 輔助計算!$G$2:$G$801, 0)+1))&lt;=46.5,2,1)), IF(INDEX(ERP資料!$G:$G, (MATCH(920, 輔助計算!$G$2:$G$801, 0)+1))&lt;=790,3,IF(INDEX(ERP資料!$G:$G, (MATCH(920, 輔助計算!$G$2:$G$801, 0)+1))&lt;=1181,2,1))))=0,"",IF(MOD(INDEX(輔助計算!$D:$D, (MATCH(920, 輔助計算!$G$2:$G$801, 0)+1)),IF(INDEX(ERP資料!$G:$G, (MATCH(920, 輔助計算!$G$2:$G$801, 0)+1))&lt;100, IF(INDEX(ERP資料!$G:$G, (MATCH(920, 輔助計算!$G$2:$G$801, 0)+1))&lt;=31,3,IF(INDEX(ERP資料!$G:$G, (MATCH(920, 輔助計算!$G$2:$G$801, 0)+1))&lt;=46.5,2,1)), IF(INDEX(ERP資料!$G:$G, (MATCH(920, 輔助計算!$G$2:$G$801, 0)+1))&lt;=790,3,IF(INDEX(ERP資料!$G:$G, (MATCH(920, 輔助計算!$G$2:$G$801, 0)+1))&lt;=1181,2,1))))=1,TEXT(INDEX(ERP資料!$G:$G, (MATCH(920, 輔助計算!$G$2:$G$801, 0)+1)),"0.##"),IF(MOD(INDEX(輔助計算!$D:$D, (MATCH(920, 輔助計算!$G$2:$G$801, 0)+1)),IF(INDEX(ERP資料!$G:$G, (MATCH(920, 輔助計算!$G$2:$G$801, 0)+1))&lt;100, IF(INDEX(ERP資料!$G:$G, (MATCH(920, 輔助計算!$G$2:$G$801, 0)+1))&lt;=31,3,IF(INDEX(ERP資料!$G:$G, (MATCH(920, 輔助計算!$G$2:$G$801, 0)+1))&lt;=46.5,2,1)), IF(INDEX(ERP資料!$G:$G, (MATCH(920, 輔助計算!$G$2:$G$801, 0)+1))&lt;=790,3,IF(INDEX(ERP資料!$G:$G, (MATCH(920, 輔助計算!$G$2:$G$801, 0)+1))&lt;=1181,2,1))))=2,TEXT(INDEX(ERP資料!$G:$G, (MATCH(920, 輔助計算!$G$2:$G$801, 0)+1)),"0.##")&amp;"+"&amp;TEXT(INDEX(ERP資料!$G:$G, (MATCH(920, 輔助計算!$G$2:$G$801, 0)+1)),"0.##"),TEXT(INDEX(ERP資料!$G:$G, (MATCH(920, 輔助計算!$G$2:$G$801, 0)+1)),"0.##")&amp;"+"&amp;TEXT(INDEX(ERP資料!$G:$G, (MATCH(920, 輔助計算!$G$2:$G$801, 0)+1)),"0.##")&amp;"+"&amp;TEXT(INDEX(ERP資料!$G:$G, (MATCH(920, 輔助計算!$G$2:$G$801, 0)+1)),"0.##"))))&amp;"-1")&lt;&gt;""),"  ","")&amp;IF(MOD(INDEX(輔助計算!$D:$D, (MATCH(920, 輔助計算!$G$2:$G$801, 0)+1)),IF(INDEX(ERP資料!$G:$G, (MATCH(920, 輔助計算!$G$2:$G$801, 0)+1))&lt;100, IF(INDEX(ERP資料!$G:$G, (MATCH(920, 輔助計算!$G$2:$G$801, 0)+1))&lt;=31,3,IF(INDEX(ERP資料!$G:$G, (MATCH(920, 輔助計算!$G$2:$G$801, 0)+1))&lt;=46.5,2,1)), IF(INDEX(ERP資料!$G:$G, (MATCH(920, 輔助計算!$G$2:$G$801, 0)+1))&lt;=790,3,IF(INDEX(ERP資料!$G:$G, (MATCH(920, 輔助計算!$G$2:$G$801, 0)+1))&lt;=1181,2,1))))=0,"",IF(MOD(INDEX(輔助計算!$D:$D, (MATCH(920, 輔助計算!$G$2:$G$801, 0)+1)),IF(INDEX(ERP資料!$G:$G, (MATCH(920, 輔助計算!$G$2:$G$801, 0)+1))&lt;100, IF(INDEX(ERP資料!$G:$G, (MATCH(920, 輔助計算!$G$2:$G$801, 0)+1))&lt;=31,3,IF(INDEX(ERP資料!$G:$G, (MATCH(920, 輔助計算!$G$2:$G$801, 0)+1))&lt;=46.5,2,1)), IF(INDEX(ERP資料!$G:$G, (MATCH(920, 輔助計算!$G$2:$G$801, 0)+1))&lt;=790,3,IF(INDEX(ERP資料!$G:$G, (MATCH(920, 輔助計算!$G$2:$G$801, 0)+1))&lt;=1181,2,1))))=0,"",IF(MOD(INDEX(輔助計算!$D:$D, (MATCH(920, 輔助計算!$G$2:$G$801, 0)+1)),IF(INDEX(ERP資料!$G:$G, (MATCH(920, 輔助計算!$G$2:$G$801, 0)+1))&lt;100, IF(INDEX(ERP資料!$G:$G, (MATCH(920, 輔助計算!$G$2:$G$801, 0)+1))&lt;=31,3,IF(INDEX(ERP資料!$G:$G, (MATCH(920, 輔助計算!$G$2:$G$801, 0)+1))&lt;=46.5,2,1)), IF(INDEX(ERP資料!$G:$G, (MATCH(920, 輔助計算!$G$2:$G$801, 0)+1))&lt;=790,3,IF(INDEX(ERP資料!$G:$G, (MATCH(920, 輔助計算!$G$2:$G$801, 0)+1))&lt;=1181,2,1))))=1,TEXT(INDEX(ERP資料!$G:$G, (MATCH(920, 輔助計算!$G$2:$G$801, 0)+1)),"0.##"),IF(MOD(INDEX(輔助計算!$D:$D, (MATCH(920, 輔助計算!$G$2:$G$801, 0)+1)),IF(INDEX(ERP資料!$G:$G, (MATCH(920, 輔助計算!$G$2:$G$801, 0)+1))&lt;100, IF(INDEX(ERP資料!$G:$G, (MATCH(920, 輔助計算!$G$2:$G$801, 0)+1))&lt;=31,3,IF(INDEX(ERP資料!$G:$G, (MATCH(920, 輔助計算!$G$2:$G$801, 0)+1))&lt;=46.5,2,1)), IF(INDEX(ERP資料!$G:$G, (MATCH(920, 輔助計算!$G$2:$G$801, 0)+1))&lt;=790,3,IF(INDEX(ERP資料!$G:$G, (MATCH(920, 輔助計算!$G$2:$G$801, 0)+1))&lt;=1181,2,1))))=2,TEXT(INDEX(ERP資料!$G:$G, (MATCH(920, 輔助計算!$G$2:$G$801, 0)+1)),"0.##")&amp;"+"&amp;TEXT(INDEX(ERP資料!$G:$G, (MATCH(920, 輔助計算!$G$2:$G$801, 0)+1)),"0.##"),TEXT(INDEX(ERP資料!$G:$G, (MATCH(920, 輔助計算!$G$2:$G$801, 0)+1)),"0.##")&amp;"+"&amp;TEXT(INDEX(ERP資料!$G:$G, (MATCH(920, 輔助計算!$G$2:$G$801, 0)+1)),"0.##")&amp;"+"&amp;TEXT(INDEX(ERP資料!$G:$G, (MATCH(920, 輔助計算!$G$2:$G$801, 0)+1)),"0.##"))))&amp;"-1")), ""), "")</f>
        <v/>
      </c>
      <c r="K921" s="16" t="n"/>
      <c r="L921" s="14">
        <f>IFERROR(IF(AND(IFERROR(INDEX(ERP資料!$A:$A, (MATCH(920, 輔助計算!$G$2:$G$801, 0)+1)), "")&lt;&gt;"", IFERROR(INDEX(ERP資料!$A:$A, (MATCH(920, 輔助計算!$G$2:$G$801, 0)+1)), "")&lt;&gt;IFERROR(INDEX(ERP資料!$A:$A, MATCH(919, 輔助計算!$G$2:$G$801, 0)+1), "")), INDEX(ERP資料!$B:$B, (MATCH(920, 輔助計算!$G$2:$G$801, 0)+1)), ""), "")</f>
        <v/>
      </c>
      <c r="M921" s="17" t="n"/>
    </row>
    <row r="922">
      <c r="A922" s="10">
        <f>IFERROR(IF(AND(IFERROR(INDEX(ERP資料!$A:$A, (MATCH(921, 輔助計算!$G$2:$G$801, 0)+1)), "")&lt;&gt;"", IFERROR(INDEX(ERP資料!$A:$A, (MATCH(921, 輔助計算!$G$2:$G$801, 0)+1)), "")&lt;&gt;IFERROR(INDEX(ERP資料!$A:$A, MATCH(920, 輔助計算!$G$2:$G$801, 0)+1), "")), IFERROR(INDEX(ERP資料!$A:$A, (MATCH(921, 輔助計算!$G$2:$G$801, 0)+1)), ""), ""), "")</f>
        <v/>
      </c>
      <c r="B922" s="10">
        <f>IFERROR(IF(AND(IFERROR(INDEX(ERP資料!$A:$A, (MATCH(921, 輔助計算!$G$2:$G$801, 0)+1)), "")&lt;&gt;"", IFERROR(INDEX(ERP資料!$A:$A, (MATCH(921, 輔助計算!$G$2:$G$801, 0)+1)), "")&lt;&gt;IFERROR(INDEX(ERP資料!$A:$A, MATCH(920, 輔助計算!$G$2:$G$801, 0)+1), "")), INDEX(ERP資料!$S:$S, (MATCH(921, 輔助計算!$G$2:$G$801, 0)+1)), ""), "")</f>
        <v/>
      </c>
      <c r="C922" s="19">
        <f>IFERROR(IF(AND(IFERROR(INDEX(ERP資料!$A:$A, (MATCH(921, 輔助計算!$G$2:$G$801, 0)+1)), "")&lt;&gt;"", IFERROR(INDEX(ERP資料!$A:$A, (MATCH(921, 輔助計算!$G$2:$G$801, 0)+1)), "")&lt;&gt;IFERROR(INDEX(ERP資料!$A:$A, MATCH(920, 輔助計算!$G$2:$G$801, 0)+1), "")), IFERROR(VLOOKUP(LEFT(INDEX(ERP資料!$S:$S, (MATCH(921, 輔助計算!$G$2:$G$801, 0)+1)), 4), 紙管對照表!$A:$C, 3, FALSE), ""), ""), "")</f>
        <v/>
      </c>
      <c r="D922" s="16" t="n"/>
      <c r="E922" s="10">
        <f>IFERROR(IF(INDEX(ERP資料!$H:$H, (MATCH(921, 輔助計算!$G$2:$G$801, 0)+1))="","",INDEX(ERP資料!$H:$H, (MATCH(921, 輔助計算!$G$2:$G$801, 0)+1))), "")</f>
        <v/>
      </c>
      <c r="F922" s="10">
        <f>IFERROR(IF(INDEX(ERP資料!$E:$E, (MATCH(921, 輔助計算!$G$2:$G$801, 0)+1))="","",TRIM(INDEX(ERP資料!$E:$E, (MATCH(921, 輔助計算!$G$2:$G$801, 0)+1)))), "")</f>
        <v/>
      </c>
      <c r="G922" s="10">
        <f>IFERROR(IF(INDEX(ERP資料!$F:$F, (MATCH(921, 輔助計算!$G$2:$G$801, 0)+1))="","",INDEX(ERP資料!$F:$F, (MATCH(921, 輔助計算!$G$2:$G$801, 0)+1))), "")</f>
        <v/>
      </c>
      <c r="H922" s="10">
        <f>IFERROR(IF(INDEX(ERP資料!$G:$G, (MATCH(921, 輔助計算!$G$2:$G$801, 0)+1))="","",INDEX(ERP資料!$G:$G, (MATCH(921, 輔助計算!$G$2:$G$801, 0)+1))), "")</f>
        <v/>
      </c>
      <c r="I922" s="15">
        <f>IFERROR(INDEX(輔助計算!$D:$D, (MATCH(921, 輔助計算!$G$2:$G$801, 0)+1)), "")</f>
        <v/>
      </c>
      <c r="J922" s="15">
        <f>IFERROR(IF(AND(INDEX(輔助計算!$D:$D, (MATCH(921, 輔助計算!$G$2:$G$801, 0)+1))&lt;&gt;"", INDEX(ERP資料!$G:$G, (MATCH(921, 輔助計算!$G$2:$G$801, 0)+1))&lt;&gt;""), TRIM(IF(INT(INDEX(輔助計算!$D:$D, (MATCH(921, 輔助計算!$G$2:$G$801, 0)+1))/IF(INDEX(ERP資料!$G:$G, (MATCH(921, 輔助計算!$G$2:$G$801, 0)+1))&lt;100, IF(INDEX(ERP資料!$G:$G, (MATCH(921, 輔助計算!$G$2:$G$801, 0)+1))&lt;=31,3,IF(INDEX(ERP資料!$G:$G, (MATCH(921, 輔助計算!$G$2:$G$801, 0)+1))&lt;=46.5,2,1)), IF(INDEX(ERP資料!$G:$G, (MATCH(921, 輔助計算!$G$2:$G$801, 0)+1))&lt;=790,3,IF(INDEX(ERP資料!$G:$G, (MATCH(921, 輔助計算!$G$2:$G$801, 0)+1))&lt;=1181,2,1))))&gt;0, IF(IF(INDEX(ERP資料!$G:$G, (MATCH(921, 輔助計算!$G$2:$G$801, 0)+1))&lt;100, IF(INDEX(ERP資料!$G:$G, (MATCH(921, 輔助計算!$G$2:$G$801, 0)+1))&lt;=31,3,IF(INDEX(ERP資料!$G:$G, (MATCH(921, 輔助計算!$G$2:$G$801, 0)+1))&lt;=46.5,2,1)), IF(INDEX(ERP資料!$G:$G, (MATCH(921, 輔助計算!$G$2:$G$801, 0)+1))&lt;=790,3,IF(INDEX(ERP資料!$G:$G, (MATCH(921, 輔助計算!$G$2:$G$801, 0)+1))&lt;=1181,2,1)))=1,TEXT(INDEX(ERP資料!$G:$G, (MATCH(921, 輔助計算!$G$2:$G$801, 0)+1)),"0.##"),IF(IF(INDEX(ERP資料!$G:$G, (MATCH(921, 輔助計算!$G$2:$G$801, 0)+1))&lt;100, IF(INDEX(ERP資料!$G:$G, (MATCH(921, 輔助計算!$G$2:$G$801, 0)+1))&lt;=31,3,IF(INDEX(ERP資料!$G:$G, (MATCH(921, 輔助計算!$G$2:$G$801, 0)+1))&lt;=46.5,2,1)), IF(INDEX(ERP資料!$G:$G, (MATCH(921, 輔助計算!$G$2:$G$801, 0)+1))&lt;=790,3,IF(INDEX(ERP資料!$G:$G, (MATCH(921, 輔助計算!$G$2:$G$801, 0)+1))&lt;=1181,2,1)))=2,TEXT(INDEX(ERP資料!$G:$G, (MATCH(921, 輔助計算!$G$2:$G$801, 0)+1)),"0.##")&amp;"+"&amp;TEXT(INDEX(ERP資料!$G:$G, (MATCH(921, 輔助計算!$G$2:$G$801, 0)+1)),"0.##"),TEXT(INDEX(ERP資料!$G:$G, (MATCH(921, 輔助計算!$G$2:$G$801, 0)+1)),"0.##")&amp;"+"&amp;TEXT(INDEX(ERP資料!$G:$G, (MATCH(921, 輔助計算!$G$2:$G$801, 0)+1)),"0.##")&amp;"+"&amp;TEXT(INDEX(ERP資料!$G:$G, (MATCH(921, 輔助計算!$G$2:$G$801, 0)+1)),"0.##")))&amp;"-"&amp;INT(INDEX(輔助計算!$D:$D, (MATCH(921, 輔助計算!$G$2:$G$801, 0)+1))/IF(INDEX(ERP資料!$G:$G, (MATCH(921, 輔助計算!$G$2:$G$801, 0)+1))&lt;100, IF(INDEX(ERP資料!$G:$G, (MATCH(921, 輔助計算!$G$2:$G$801, 0)+1))&lt;=31,3,IF(INDEX(ERP資料!$G:$G, (MATCH(921, 輔助計算!$G$2:$G$801, 0)+1))&lt;=46.5,2,1)), IF(INDEX(ERP資料!$G:$G, (MATCH(921, 輔助計算!$G$2:$G$801, 0)+1))&lt;=790,3,IF(INDEX(ERP資料!$G:$G, (MATCH(921, 輔助計算!$G$2:$G$801, 0)+1))&lt;=1181,2,1)))), "")&amp;IF(AND(IF(INT(INDEX(輔助計算!$D:$D, (MATCH(921, 輔助計算!$G$2:$G$801, 0)+1))/IF(INDEX(ERP資料!$G:$G, (MATCH(921, 輔助計算!$G$2:$G$801, 0)+1))&lt;100, IF(INDEX(ERP資料!$G:$G, (MATCH(921, 輔助計算!$G$2:$G$801, 0)+1))&lt;=31,3,IF(INDEX(ERP資料!$G:$G, (MATCH(921, 輔助計算!$G$2:$G$801, 0)+1))&lt;=46.5,2,1)), IF(INDEX(ERP資料!$G:$G, (MATCH(921, 輔助計算!$G$2:$G$801, 0)+1))&lt;=790,3,IF(INDEX(ERP資料!$G:$G, (MATCH(921, 輔助計算!$G$2:$G$801, 0)+1))&lt;=1181,2,1))))&gt;0, IF(IF(INDEX(ERP資料!$G:$G, (MATCH(921, 輔助計算!$G$2:$G$801, 0)+1))&lt;100, IF(INDEX(ERP資料!$G:$G, (MATCH(921, 輔助計算!$G$2:$G$801, 0)+1))&lt;=31,3,IF(INDEX(ERP資料!$G:$G, (MATCH(921, 輔助計算!$G$2:$G$801, 0)+1))&lt;=46.5,2,1)), IF(INDEX(ERP資料!$G:$G, (MATCH(921, 輔助計算!$G$2:$G$801, 0)+1))&lt;=790,3,IF(INDEX(ERP資料!$G:$G, (MATCH(921, 輔助計算!$G$2:$G$801, 0)+1))&lt;=1181,2,1)))=1,TEXT(INDEX(ERP資料!$G:$G, (MATCH(921, 輔助計算!$G$2:$G$801, 0)+1)),"0.##"),IF(IF(INDEX(ERP資料!$G:$G, (MATCH(921, 輔助計算!$G$2:$G$801, 0)+1))&lt;100, IF(INDEX(ERP資料!$G:$G, (MATCH(921, 輔助計算!$G$2:$G$801, 0)+1))&lt;=31,3,IF(INDEX(ERP資料!$G:$G, (MATCH(921, 輔助計算!$G$2:$G$801, 0)+1))&lt;=46.5,2,1)), IF(INDEX(ERP資料!$G:$G, (MATCH(921, 輔助計算!$G$2:$G$801, 0)+1))&lt;=790,3,IF(INDEX(ERP資料!$G:$G, (MATCH(921, 輔助計算!$G$2:$G$801, 0)+1))&lt;=1181,2,1)))=2,TEXT(INDEX(ERP資料!$G:$G, (MATCH(921, 輔助計算!$G$2:$G$801, 0)+1)),"0.##")&amp;"+"&amp;TEXT(INDEX(ERP資料!$G:$G, (MATCH(921, 輔助計算!$G$2:$G$801, 0)+1)),"0.##"),TEXT(INDEX(ERP資料!$G:$G, (MATCH(921, 輔助計算!$G$2:$G$801, 0)+1)),"0.##")&amp;"+"&amp;TEXT(INDEX(ERP資料!$G:$G, (MATCH(921, 輔助計算!$G$2:$G$801, 0)+1)),"0.##")&amp;"+"&amp;TEXT(INDEX(ERP資料!$G:$G, (MATCH(921, 輔助計算!$G$2:$G$801, 0)+1)),"0.##")))&amp;"-"&amp;INT(INDEX(輔助計算!$D:$D, (MATCH(921, 輔助計算!$G$2:$G$801, 0)+1))/IF(INDEX(ERP資料!$G:$G, (MATCH(921, 輔助計算!$G$2:$G$801, 0)+1))&lt;100, IF(INDEX(ERP資料!$G:$G, (MATCH(921, 輔助計算!$G$2:$G$801, 0)+1))&lt;=31,3,IF(INDEX(ERP資料!$G:$G, (MATCH(921, 輔助計算!$G$2:$G$801, 0)+1))&lt;=46.5,2,1)), IF(INDEX(ERP資料!$G:$G, (MATCH(921, 輔助計算!$G$2:$G$801, 0)+1))&lt;=790,3,IF(INDEX(ERP資料!$G:$G, (MATCH(921, 輔助計算!$G$2:$G$801, 0)+1))&lt;=1181,2,1)))), "")&lt;&gt;"",IF(MOD(INDEX(輔助計算!$D:$D, (MATCH(921, 輔助計算!$G$2:$G$801, 0)+1)),IF(INDEX(ERP資料!$G:$G, (MATCH(921, 輔助計算!$G$2:$G$801, 0)+1))&lt;100, IF(INDEX(ERP資料!$G:$G, (MATCH(921, 輔助計算!$G$2:$G$801, 0)+1))&lt;=31,3,IF(INDEX(ERP資料!$G:$G, (MATCH(921, 輔助計算!$G$2:$G$801, 0)+1))&lt;=46.5,2,1)), IF(INDEX(ERP資料!$G:$G, (MATCH(921, 輔助計算!$G$2:$G$801, 0)+1))&lt;=790,3,IF(INDEX(ERP資料!$G:$G, (MATCH(921, 輔助計算!$G$2:$G$801, 0)+1))&lt;=1181,2,1))))=0,"",IF(MOD(INDEX(輔助計算!$D:$D, (MATCH(921, 輔助計算!$G$2:$G$801, 0)+1)),IF(INDEX(ERP資料!$G:$G, (MATCH(921, 輔助計算!$G$2:$G$801, 0)+1))&lt;100, IF(INDEX(ERP資料!$G:$G, (MATCH(921, 輔助計算!$G$2:$G$801, 0)+1))&lt;=31,3,IF(INDEX(ERP資料!$G:$G, (MATCH(921, 輔助計算!$G$2:$G$801, 0)+1))&lt;=46.5,2,1)), IF(INDEX(ERP資料!$G:$G, (MATCH(921, 輔助計算!$G$2:$G$801, 0)+1))&lt;=790,3,IF(INDEX(ERP資料!$G:$G, (MATCH(921, 輔助計算!$G$2:$G$801, 0)+1))&lt;=1181,2,1))))=0,"",IF(MOD(INDEX(輔助計算!$D:$D, (MATCH(921, 輔助計算!$G$2:$G$801, 0)+1)),IF(INDEX(ERP資料!$G:$G, (MATCH(921, 輔助計算!$G$2:$G$801, 0)+1))&lt;100, IF(INDEX(ERP資料!$G:$G, (MATCH(921, 輔助計算!$G$2:$G$801, 0)+1))&lt;=31,3,IF(INDEX(ERP資料!$G:$G, (MATCH(921, 輔助計算!$G$2:$G$801, 0)+1))&lt;=46.5,2,1)), IF(INDEX(ERP資料!$G:$G, (MATCH(921, 輔助計算!$G$2:$G$801, 0)+1))&lt;=790,3,IF(INDEX(ERP資料!$G:$G, (MATCH(921, 輔助計算!$G$2:$G$801, 0)+1))&lt;=1181,2,1))))=1,TEXT(INDEX(ERP資料!$G:$G, (MATCH(921, 輔助計算!$G$2:$G$801, 0)+1)),"0.##"),IF(MOD(INDEX(輔助計算!$D:$D, (MATCH(921, 輔助計算!$G$2:$G$801, 0)+1)),IF(INDEX(ERP資料!$G:$G, (MATCH(921, 輔助計算!$G$2:$G$801, 0)+1))&lt;100, IF(INDEX(ERP資料!$G:$G, (MATCH(921, 輔助計算!$G$2:$G$801, 0)+1))&lt;=31,3,IF(INDEX(ERP資料!$G:$G, (MATCH(921, 輔助計算!$G$2:$G$801, 0)+1))&lt;=46.5,2,1)), IF(INDEX(ERP資料!$G:$G, (MATCH(921, 輔助計算!$G$2:$G$801, 0)+1))&lt;=790,3,IF(INDEX(ERP資料!$G:$G, (MATCH(921, 輔助計算!$G$2:$G$801, 0)+1))&lt;=1181,2,1))))=2,TEXT(INDEX(ERP資料!$G:$G, (MATCH(921, 輔助計算!$G$2:$G$801, 0)+1)),"0.##")&amp;"+"&amp;TEXT(INDEX(ERP資料!$G:$G, (MATCH(921, 輔助計算!$G$2:$G$801, 0)+1)),"0.##"),TEXT(INDEX(ERP資料!$G:$G, (MATCH(921, 輔助計算!$G$2:$G$801, 0)+1)),"0.##")&amp;"+"&amp;TEXT(INDEX(ERP資料!$G:$G, (MATCH(921, 輔助計算!$G$2:$G$801, 0)+1)),"0.##")&amp;"+"&amp;TEXT(INDEX(ERP資料!$G:$G, (MATCH(921, 輔助計算!$G$2:$G$801, 0)+1)),"0.##"))))&amp;"-1")&lt;&gt;""),"  ","")&amp;IF(MOD(INDEX(輔助計算!$D:$D, (MATCH(921, 輔助計算!$G$2:$G$801, 0)+1)),IF(INDEX(ERP資料!$G:$G, (MATCH(921, 輔助計算!$G$2:$G$801, 0)+1))&lt;100, IF(INDEX(ERP資料!$G:$G, (MATCH(921, 輔助計算!$G$2:$G$801, 0)+1))&lt;=31,3,IF(INDEX(ERP資料!$G:$G, (MATCH(921, 輔助計算!$G$2:$G$801, 0)+1))&lt;=46.5,2,1)), IF(INDEX(ERP資料!$G:$G, (MATCH(921, 輔助計算!$G$2:$G$801, 0)+1))&lt;=790,3,IF(INDEX(ERP資料!$G:$G, (MATCH(921, 輔助計算!$G$2:$G$801, 0)+1))&lt;=1181,2,1))))=0,"",IF(MOD(INDEX(輔助計算!$D:$D, (MATCH(921, 輔助計算!$G$2:$G$801, 0)+1)),IF(INDEX(ERP資料!$G:$G, (MATCH(921, 輔助計算!$G$2:$G$801, 0)+1))&lt;100, IF(INDEX(ERP資料!$G:$G, (MATCH(921, 輔助計算!$G$2:$G$801, 0)+1))&lt;=31,3,IF(INDEX(ERP資料!$G:$G, (MATCH(921, 輔助計算!$G$2:$G$801, 0)+1))&lt;=46.5,2,1)), IF(INDEX(ERP資料!$G:$G, (MATCH(921, 輔助計算!$G$2:$G$801, 0)+1))&lt;=790,3,IF(INDEX(ERP資料!$G:$G, (MATCH(921, 輔助計算!$G$2:$G$801, 0)+1))&lt;=1181,2,1))))=0,"",IF(MOD(INDEX(輔助計算!$D:$D, (MATCH(921, 輔助計算!$G$2:$G$801, 0)+1)),IF(INDEX(ERP資料!$G:$G, (MATCH(921, 輔助計算!$G$2:$G$801, 0)+1))&lt;100, IF(INDEX(ERP資料!$G:$G, (MATCH(921, 輔助計算!$G$2:$G$801, 0)+1))&lt;=31,3,IF(INDEX(ERP資料!$G:$G, (MATCH(921, 輔助計算!$G$2:$G$801, 0)+1))&lt;=46.5,2,1)), IF(INDEX(ERP資料!$G:$G, (MATCH(921, 輔助計算!$G$2:$G$801, 0)+1))&lt;=790,3,IF(INDEX(ERP資料!$G:$G, (MATCH(921, 輔助計算!$G$2:$G$801, 0)+1))&lt;=1181,2,1))))=1,TEXT(INDEX(ERP資料!$G:$G, (MATCH(921, 輔助計算!$G$2:$G$801, 0)+1)),"0.##"),IF(MOD(INDEX(輔助計算!$D:$D, (MATCH(921, 輔助計算!$G$2:$G$801, 0)+1)),IF(INDEX(ERP資料!$G:$G, (MATCH(921, 輔助計算!$G$2:$G$801, 0)+1))&lt;100, IF(INDEX(ERP資料!$G:$G, (MATCH(921, 輔助計算!$G$2:$G$801, 0)+1))&lt;=31,3,IF(INDEX(ERP資料!$G:$G, (MATCH(921, 輔助計算!$G$2:$G$801, 0)+1))&lt;=46.5,2,1)), IF(INDEX(ERP資料!$G:$G, (MATCH(921, 輔助計算!$G$2:$G$801, 0)+1))&lt;=790,3,IF(INDEX(ERP資料!$G:$G, (MATCH(921, 輔助計算!$G$2:$G$801, 0)+1))&lt;=1181,2,1))))=2,TEXT(INDEX(ERP資料!$G:$G, (MATCH(921, 輔助計算!$G$2:$G$801, 0)+1)),"0.##")&amp;"+"&amp;TEXT(INDEX(ERP資料!$G:$G, (MATCH(921, 輔助計算!$G$2:$G$801, 0)+1)),"0.##"),TEXT(INDEX(ERP資料!$G:$G, (MATCH(921, 輔助計算!$G$2:$G$801, 0)+1)),"0.##")&amp;"+"&amp;TEXT(INDEX(ERP資料!$G:$G, (MATCH(921, 輔助計算!$G$2:$G$801, 0)+1)),"0.##")&amp;"+"&amp;TEXT(INDEX(ERP資料!$G:$G, (MATCH(921, 輔助計算!$G$2:$G$801, 0)+1)),"0.##"))))&amp;"-1")), ""), "")</f>
        <v/>
      </c>
      <c r="K922" s="16" t="n"/>
      <c r="L922" s="14">
        <f>IFERROR(IF(AND(IFERROR(INDEX(ERP資料!$A:$A, (MATCH(921, 輔助計算!$G$2:$G$801, 0)+1)), "")&lt;&gt;"", IFERROR(INDEX(ERP資料!$A:$A, (MATCH(921, 輔助計算!$G$2:$G$801, 0)+1)), "")&lt;&gt;IFERROR(INDEX(ERP資料!$A:$A, MATCH(920, 輔助計算!$G$2:$G$801, 0)+1), "")), INDEX(ERP資料!$B:$B, (MATCH(921, 輔助計算!$G$2:$G$801, 0)+1)), ""), "")</f>
        <v/>
      </c>
      <c r="M922" s="17" t="n"/>
    </row>
    <row r="923">
      <c r="A923" s="10">
        <f>IFERROR(IF(AND(IFERROR(INDEX(ERP資料!$A:$A, (MATCH(922, 輔助計算!$G$2:$G$801, 0)+1)), "")&lt;&gt;"", IFERROR(INDEX(ERP資料!$A:$A, (MATCH(922, 輔助計算!$G$2:$G$801, 0)+1)), "")&lt;&gt;IFERROR(INDEX(ERP資料!$A:$A, MATCH(921, 輔助計算!$G$2:$G$801, 0)+1), "")), IFERROR(INDEX(ERP資料!$A:$A, (MATCH(922, 輔助計算!$G$2:$G$801, 0)+1)), ""), ""), "")</f>
        <v/>
      </c>
      <c r="B923" s="10">
        <f>IFERROR(IF(AND(IFERROR(INDEX(ERP資料!$A:$A, (MATCH(922, 輔助計算!$G$2:$G$801, 0)+1)), "")&lt;&gt;"", IFERROR(INDEX(ERP資料!$A:$A, (MATCH(922, 輔助計算!$G$2:$G$801, 0)+1)), "")&lt;&gt;IFERROR(INDEX(ERP資料!$A:$A, MATCH(921, 輔助計算!$G$2:$G$801, 0)+1), "")), INDEX(ERP資料!$S:$S, (MATCH(922, 輔助計算!$G$2:$G$801, 0)+1)), ""), "")</f>
        <v/>
      </c>
      <c r="C923" s="19">
        <f>IFERROR(IF(AND(IFERROR(INDEX(ERP資料!$A:$A, (MATCH(922, 輔助計算!$G$2:$G$801, 0)+1)), "")&lt;&gt;"", IFERROR(INDEX(ERP資料!$A:$A, (MATCH(922, 輔助計算!$G$2:$G$801, 0)+1)), "")&lt;&gt;IFERROR(INDEX(ERP資料!$A:$A, MATCH(921, 輔助計算!$G$2:$G$801, 0)+1), "")), IFERROR(VLOOKUP(LEFT(INDEX(ERP資料!$S:$S, (MATCH(922, 輔助計算!$G$2:$G$801, 0)+1)), 4), 紙管對照表!$A:$C, 3, FALSE), ""), ""), "")</f>
        <v/>
      </c>
      <c r="D923" s="16" t="n"/>
      <c r="E923" s="10">
        <f>IFERROR(IF(INDEX(ERP資料!$H:$H, (MATCH(922, 輔助計算!$G$2:$G$801, 0)+1))="","",INDEX(ERP資料!$H:$H, (MATCH(922, 輔助計算!$G$2:$G$801, 0)+1))), "")</f>
        <v/>
      </c>
      <c r="F923" s="10">
        <f>IFERROR(IF(INDEX(ERP資料!$E:$E, (MATCH(922, 輔助計算!$G$2:$G$801, 0)+1))="","",TRIM(INDEX(ERP資料!$E:$E, (MATCH(922, 輔助計算!$G$2:$G$801, 0)+1)))), "")</f>
        <v/>
      </c>
      <c r="G923" s="10">
        <f>IFERROR(IF(INDEX(ERP資料!$F:$F, (MATCH(922, 輔助計算!$G$2:$G$801, 0)+1))="","",INDEX(ERP資料!$F:$F, (MATCH(922, 輔助計算!$G$2:$G$801, 0)+1))), "")</f>
        <v/>
      </c>
      <c r="H923" s="10">
        <f>IFERROR(IF(INDEX(ERP資料!$G:$G, (MATCH(922, 輔助計算!$G$2:$G$801, 0)+1))="","",INDEX(ERP資料!$G:$G, (MATCH(922, 輔助計算!$G$2:$G$801, 0)+1))), "")</f>
        <v/>
      </c>
      <c r="I923" s="15">
        <f>IFERROR(INDEX(輔助計算!$D:$D, (MATCH(922, 輔助計算!$G$2:$G$801, 0)+1)), "")</f>
        <v/>
      </c>
      <c r="J923" s="15">
        <f>IFERROR(IF(AND(INDEX(輔助計算!$D:$D, (MATCH(922, 輔助計算!$G$2:$G$801, 0)+1))&lt;&gt;"", INDEX(ERP資料!$G:$G, (MATCH(922, 輔助計算!$G$2:$G$801, 0)+1))&lt;&gt;""), TRIM(IF(INT(INDEX(輔助計算!$D:$D, (MATCH(922, 輔助計算!$G$2:$G$801, 0)+1))/IF(INDEX(ERP資料!$G:$G, (MATCH(922, 輔助計算!$G$2:$G$801, 0)+1))&lt;100, IF(INDEX(ERP資料!$G:$G, (MATCH(922, 輔助計算!$G$2:$G$801, 0)+1))&lt;=31,3,IF(INDEX(ERP資料!$G:$G, (MATCH(922, 輔助計算!$G$2:$G$801, 0)+1))&lt;=46.5,2,1)), IF(INDEX(ERP資料!$G:$G, (MATCH(922, 輔助計算!$G$2:$G$801, 0)+1))&lt;=790,3,IF(INDEX(ERP資料!$G:$G, (MATCH(922, 輔助計算!$G$2:$G$801, 0)+1))&lt;=1181,2,1))))&gt;0, IF(IF(INDEX(ERP資料!$G:$G, (MATCH(922, 輔助計算!$G$2:$G$801, 0)+1))&lt;100, IF(INDEX(ERP資料!$G:$G, (MATCH(922, 輔助計算!$G$2:$G$801, 0)+1))&lt;=31,3,IF(INDEX(ERP資料!$G:$G, (MATCH(922, 輔助計算!$G$2:$G$801, 0)+1))&lt;=46.5,2,1)), IF(INDEX(ERP資料!$G:$G, (MATCH(922, 輔助計算!$G$2:$G$801, 0)+1))&lt;=790,3,IF(INDEX(ERP資料!$G:$G, (MATCH(922, 輔助計算!$G$2:$G$801, 0)+1))&lt;=1181,2,1)))=1,TEXT(INDEX(ERP資料!$G:$G, (MATCH(922, 輔助計算!$G$2:$G$801, 0)+1)),"0.##"),IF(IF(INDEX(ERP資料!$G:$G, (MATCH(922, 輔助計算!$G$2:$G$801, 0)+1))&lt;100, IF(INDEX(ERP資料!$G:$G, (MATCH(922, 輔助計算!$G$2:$G$801, 0)+1))&lt;=31,3,IF(INDEX(ERP資料!$G:$G, (MATCH(922, 輔助計算!$G$2:$G$801, 0)+1))&lt;=46.5,2,1)), IF(INDEX(ERP資料!$G:$G, (MATCH(922, 輔助計算!$G$2:$G$801, 0)+1))&lt;=790,3,IF(INDEX(ERP資料!$G:$G, (MATCH(922, 輔助計算!$G$2:$G$801, 0)+1))&lt;=1181,2,1)))=2,TEXT(INDEX(ERP資料!$G:$G, (MATCH(922, 輔助計算!$G$2:$G$801, 0)+1)),"0.##")&amp;"+"&amp;TEXT(INDEX(ERP資料!$G:$G, (MATCH(922, 輔助計算!$G$2:$G$801, 0)+1)),"0.##"),TEXT(INDEX(ERP資料!$G:$G, (MATCH(922, 輔助計算!$G$2:$G$801, 0)+1)),"0.##")&amp;"+"&amp;TEXT(INDEX(ERP資料!$G:$G, (MATCH(922, 輔助計算!$G$2:$G$801, 0)+1)),"0.##")&amp;"+"&amp;TEXT(INDEX(ERP資料!$G:$G, (MATCH(922, 輔助計算!$G$2:$G$801, 0)+1)),"0.##")))&amp;"-"&amp;INT(INDEX(輔助計算!$D:$D, (MATCH(922, 輔助計算!$G$2:$G$801, 0)+1))/IF(INDEX(ERP資料!$G:$G, (MATCH(922, 輔助計算!$G$2:$G$801, 0)+1))&lt;100, IF(INDEX(ERP資料!$G:$G, (MATCH(922, 輔助計算!$G$2:$G$801, 0)+1))&lt;=31,3,IF(INDEX(ERP資料!$G:$G, (MATCH(922, 輔助計算!$G$2:$G$801, 0)+1))&lt;=46.5,2,1)), IF(INDEX(ERP資料!$G:$G, (MATCH(922, 輔助計算!$G$2:$G$801, 0)+1))&lt;=790,3,IF(INDEX(ERP資料!$G:$G, (MATCH(922, 輔助計算!$G$2:$G$801, 0)+1))&lt;=1181,2,1)))), "")&amp;IF(AND(IF(INT(INDEX(輔助計算!$D:$D, (MATCH(922, 輔助計算!$G$2:$G$801, 0)+1))/IF(INDEX(ERP資料!$G:$G, (MATCH(922, 輔助計算!$G$2:$G$801, 0)+1))&lt;100, IF(INDEX(ERP資料!$G:$G, (MATCH(922, 輔助計算!$G$2:$G$801, 0)+1))&lt;=31,3,IF(INDEX(ERP資料!$G:$G, (MATCH(922, 輔助計算!$G$2:$G$801, 0)+1))&lt;=46.5,2,1)), IF(INDEX(ERP資料!$G:$G, (MATCH(922, 輔助計算!$G$2:$G$801, 0)+1))&lt;=790,3,IF(INDEX(ERP資料!$G:$G, (MATCH(922, 輔助計算!$G$2:$G$801, 0)+1))&lt;=1181,2,1))))&gt;0, IF(IF(INDEX(ERP資料!$G:$G, (MATCH(922, 輔助計算!$G$2:$G$801, 0)+1))&lt;100, IF(INDEX(ERP資料!$G:$G, (MATCH(922, 輔助計算!$G$2:$G$801, 0)+1))&lt;=31,3,IF(INDEX(ERP資料!$G:$G, (MATCH(922, 輔助計算!$G$2:$G$801, 0)+1))&lt;=46.5,2,1)), IF(INDEX(ERP資料!$G:$G, (MATCH(922, 輔助計算!$G$2:$G$801, 0)+1))&lt;=790,3,IF(INDEX(ERP資料!$G:$G, (MATCH(922, 輔助計算!$G$2:$G$801, 0)+1))&lt;=1181,2,1)))=1,TEXT(INDEX(ERP資料!$G:$G, (MATCH(922, 輔助計算!$G$2:$G$801, 0)+1)),"0.##"),IF(IF(INDEX(ERP資料!$G:$G, (MATCH(922, 輔助計算!$G$2:$G$801, 0)+1))&lt;100, IF(INDEX(ERP資料!$G:$G, (MATCH(922, 輔助計算!$G$2:$G$801, 0)+1))&lt;=31,3,IF(INDEX(ERP資料!$G:$G, (MATCH(922, 輔助計算!$G$2:$G$801, 0)+1))&lt;=46.5,2,1)), IF(INDEX(ERP資料!$G:$G, (MATCH(922, 輔助計算!$G$2:$G$801, 0)+1))&lt;=790,3,IF(INDEX(ERP資料!$G:$G, (MATCH(922, 輔助計算!$G$2:$G$801, 0)+1))&lt;=1181,2,1)))=2,TEXT(INDEX(ERP資料!$G:$G, (MATCH(922, 輔助計算!$G$2:$G$801, 0)+1)),"0.##")&amp;"+"&amp;TEXT(INDEX(ERP資料!$G:$G, (MATCH(922, 輔助計算!$G$2:$G$801, 0)+1)),"0.##"),TEXT(INDEX(ERP資料!$G:$G, (MATCH(922, 輔助計算!$G$2:$G$801, 0)+1)),"0.##")&amp;"+"&amp;TEXT(INDEX(ERP資料!$G:$G, (MATCH(922, 輔助計算!$G$2:$G$801, 0)+1)),"0.##")&amp;"+"&amp;TEXT(INDEX(ERP資料!$G:$G, (MATCH(922, 輔助計算!$G$2:$G$801, 0)+1)),"0.##")))&amp;"-"&amp;INT(INDEX(輔助計算!$D:$D, (MATCH(922, 輔助計算!$G$2:$G$801, 0)+1))/IF(INDEX(ERP資料!$G:$G, (MATCH(922, 輔助計算!$G$2:$G$801, 0)+1))&lt;100, IF(INDEX(ERP資料!$G:$G, (MATCH(922, 輔助計算!$G$2:$G$801, 0)+1))&lt;=31,3,IF(INDEX(ERP資料!$G:$G, (MATCH(922, 輔助計算!$G$2:$G$801, 0)+1))&lt;=46.5,2,1)), IF(INDEX(ERP資料!$G:$G, (MATCH(922, 輔助計算!$G$2:$G$801, 0)+1))&lt;=790,3,IF(INDEX(ERP資料!$G:$G, (MATCH(922, 輔助計算!$G$2:$G$801, 0)+1))&lt;=1181,2,1)))), "")&lt;&gt;"",IF(MOD(INDEX(輔助計算!$D:$D, (MATCH(922, 輔助計算!$G$2:$G$801, 0)+1)),IF(INDEX(ERP資料!$G:$G, (MATCH(922, 輔助計算!$G$2:$G$801, 0)+1))&lt;100, IF(INDEX(ERP資料!$G:$G, (MATCH(922, 輔助計算!$G$2:$G$801, 0)+1))&lt;=31,3,IF(INDEX(ERP資料!$G:$G, (MATCH(922, 輔助計算!$G$2:$G$801, 0)+1))&lt;=46.5,2,1)), IF(INDEX(ERP資料!$G:$G, (MATCH(922, 輔助計算!$G$2:$G$801, 0)+1))&lt;=790,3,IF(INDEX(ERP資料!$G:$G, (MATCH(922, 輔助計算!$G$2:$G$801, 0)+1))&lt;=1181,2,1))))=0,"",IF(MOD(INDEX(輔助計算!$D:$D, (MATCH(922, 輔助計算!$G$2:$G$801, 0)+1)),IF(INDEX(ERP資料!$G:$G, (MATCH(922, 輔助計算!$G$2:$G$801, 0)+1))&lt;100, IF(INDEX(ERP資料!$G:$G, (MATCH(922, 輔助計算!$G$2:$G$801, 0)+1))&lt;=31,3,IF(INDEX(ERP資料!$G:$G, (MATCH(922, 輔助計算!$G$2:$G$801, 0)+1))&lt;=46.5,2,1)), IF(INDEX(ERP資料!$G:$G, (MATCH(922, 輔助計算!$G$2:$G$801, 0)+1))&lt;=790,3,IF(INDEX(ERP資料!$G:$G, (MATCH(922, 輔助計算!$G$2:$G$801, 0)+1))&lt;=1181,2,1))))=0,"",IF(MOD(INDEX(輔助計算!$D:$D, (MATCH(922, 輔助計算!$G$2:$G$801, 0)+1)),IF(INDEX(ERP資料!$G:$G, (MATCH(922, 輔助計算!$G$2:$G$801, 0)+1))&lt;100, IF(INDEX(ERP資料!$G:$G, (MATCH(922, 輔助計算!$G$2:$G$801, 0)+1))&lt;=31,3,IF(INDEX(ERP資料!$G:$G, (MATCH(922, 輔助計算!$G$2:$G$801, 0)+1))&lt;=46.5,2,1)), IF(INDEX(ERP資料!$G:$G, (MATCH(922, 輔助計算!$G$2:$G$801, 0)+1))&lt;=790,3,IF(INDEX(ERP資料!$G:$G, (MATCH(922, 輔助計算!$G$2:$G$801, 0)+1))&lt;=1181,2,1))))=1,TEXT(INDEX(ERP資料!$G:$G, (MATCH(922, 輔助計算!$G$2:$G$801, 0)+1)),"0.##"),IF(MOD(INDEX(輔助計算!$D:$D, (MATCH(922, 輔助計算!$G$2:$G$801, 0)+1)),IF(INDEX(ERP資料!$G:$G, (MATCH(922, 輔助計算!$G$2:$G$801, 0)+1))&lt;100, IF(INDEX(ERP資料!$G:$G, (MATCH(922, 輔助計算!$G$2:$G$801, 0)+1))&lt;=31,3,IF(INDEX(ERP資料!$G:$G, (MATCH(922, 輔助計算!$G$2:$G$801, 0)+1))&lt;=46.5,2,1)), IF(INDEX(ERP資料!$G:$G, (MATCH(922, 輔助計算!$G$2:$G$801, 0)+1))&lt;=790,3,IF(INDEX(ERP資料!$G:$G, (MATCH(922, 輔助計算!$G$2:$G$801, 0)+1))&lt;=1181,2,1))))=2,TEXT(INDEX(ERP資料!$G:$G, (MATCH(922, 輔助計算!$G$2:$G$801, 0)+1)),"0.##")&amp;"+"&amp;TEXT(INDEX(ERP資料!$G:$G, (MATCH(922, 輔助計算!$G$2:$G$801, 0)+1)),"0.##"),TEXT(INDEX(ERP資料!$G:$G, (MATCH(922, 輔助計算!$G$2:$G$801, 0)+1)),"0.##")&amp;"+"&amp;TEXT(INDEX(ERP資料!$G:$G, (MATCH(922, 輔助計算!$G$2:$G$801, 0)+1)),"0.##")&amp;"+"&amp;TEXT(INDEX(ERP資料!$G:$G, (MATCH(922, 輔助計算!$G$2:$G$801, 0)+1)),"0.##"))))&amp;"-1")&lt;&gt;""),"  ","")&amp;IF(MOD(INDEX(輔助計算!$D:$D, (MATCH(922, 輔助計算!$G$2:$G$801, 0)+1)),IF(INDEX(ERP資料!$G:$G, (MATCH(922, 輔助計算!$G$2:$G$801, 0)+1))&lt;100, IF(INDEX(ERP資料!$G:$G, (MATCH(922, 輔助計算!$G$2:$G$801, 0)+1))&lt;=31,3,IF(INDEX(ERP資料!$G:$G, (MATCH(922, 輔助計算!$G$2:$G$801, 0)+1))&lt;=46.5,2,1)), IF(INDEX(ERP資料!$G:$G, (MATCH(922, 輔助計算!$G$2:$G$801, 0)+1))&lt;=790,3,IF(INDEX(ERP資料!$G:$G, (MATCH(922, 輔助計算!$G$2:$G$801, 0)+1))&lt;=1181,2,1))))=0,"",IF(MOD(INDEX(輔助計算!$D:$D, (MATCH(922, 輔助計算!$G$2:$G$801, 0)+1)),IF(INDEX(ERP資料!$G:$G, (MATCH(922, 輔助計算!$G$2:$G$801, 0)+1))&lt;100, IF(INDEX(ERP資料!$G:$G, (MATCH(922, 輔助計算!$G$2:$G$801, 0)+1))&lt;=31,3,IF(INDEX(ERP資料!$G:$G, (MATCH(922, 輔助計算!$G$2:$G$801, 0)+1))&lt;=46.5,2,1)), IF(INDEX(ERP資料!$G:$G, (MATCH(922, 輔助計算!$G$2:$G$801, 0)+1))&lt;=790,3,IF(INDEX(ERP資料!$G:$G, (MATCH(922, 輔助計算!$G$2:$G$801, 0)+1))&lt;=1181,2,1))))=0,"",IF(MOD(INDEX(輔助計算!$D:$D, (MATCH(922, 輔助計算!$G$2:$G$801, 0)+1)),IF(INDEX(ERP資料!$G:$G, (MATCH(922, 輔助計算!$G$2:$G$801, 0)+1))&lt;100, IF(INDEX(ERP資料!$G:$G, (MATCH(922, 輔助計算!$G$2:$G$801, 0)+1))&lt;=31,3,IF(INDEX(ERP資料!$G:$G, (MATCH(922, 輔助計算!$G$2:$G$801, 0)+1))&lt;=46.5,2,1)), IF(INDEX(ERP資料!$G:$G, (MATCH(922, 輔助計算!$G$2:$G$801, 0)+1))&lt;=790,3,IF(INDEX(ERP資料!$G:$G, (MATCH(922, 輔助計算!$G$2:$G$801, 0)+1))&lt;=1181,2,1))))=1,TEXT(INDEX(ERP資料!$G:$G, (MATCH(922, 輔助計算!$G$2:$G$801, 0)+1)),"0.##"),IF(MOD(INDEX(輔助計算!$D:$D, (MATCH(922, 輔助計算!$G$2:$G$801, 0)+1)),IF(INDEX(ERP資料!$G:$G, (MATCH(922, 輔助計算!$G$2:$G$801, 0)+1))&lt;100, IF(INDEX(ERP資料!$G:$G, (MATCH(922, 輔助計算!$G$2:$G$801, 0)+1))&lt;=31,3,IF(INDEX(ERP資料!$G:$G, (MATCH(922, 輔助計算!$G$2:$G$801, 0)+1))&lt;=46.5,2,1)), IF(INDEX(ERP資料!$G:$G, (MATCH(922, 輔助計算!$G$2:$G$801, 0)+1))&lt;=790,3,IF(INDEX(ERP資料!$G:$G, (MATCH(922, 輔助計算!$G$2:$G$801, 0)+1))&lt;=1181,2,1))))=2,TEXT(INDEX(ERP資料!$G:$G, (MATCH(922, 輔助計算!$G$2:$G$801, 0)+1)),"0.##")&amp;"+"&amp;TEXT(INDEX(ERP資料!$G:$G, (MATCH(922, 輔助計算!$G$2:$G$801, 0)+1)),"0.##"),TEXT(INDEX(ERP資料!$G:$G, (MATCH(922, 輔助計算!$G$2:$G$801, 0)+1)),"0.##")&amp;"+"&amp;TEXT(INDEX(ERP資料!$G:$G, (MATCH(922, 輔助計算!$G$2:$G$801, 0)+1)),"0.##")&amp;"+"&amp;TEXT(INDEX(ERP資料!$G:$G, (MATCH(922, 輔助計算!$G$2:$G$801, 0)+1)),"0.##"))))&amp;"-1")), ""), "")</f>
        <v/>
      </c>
      <c r="K923" s="16" t="n"/>
      <c r="L923" s="14">
        <f>IFERROR(IF(AND(IFERROR(INDEX(ERP資料!$A:$A, (MATCH(922, 輔助計算!$G$2:$G$801, 0)+1)), "")&lt;&gt;"", IFERROR(INDEX(ERP資料!$A:$A, (MATCH(922, 輔助計算!$G$2:$G$801, 0)+1)), "")&lt;&gt;IFERROR(INDEX(ERP資料!$A:$A, MATCH(921, 輔助計算!$G$2:$G$801, 0)+1), "")), INDEX(ERP資料!$B:$B, (MATCH(922, 輔助計算!$G$2:$G$801, 0)+1)), ""), "")</f>
        <v/>
      </c>
      <c r="M923" s="17" t="n"/>
    </row>
    <row r="924">
      <c r="A924" s="10">
        <f>IFERROR(IF(AND(IFERROR(INDEX(ERP資料!$A:$A, (MATCH(923, 輔助計算!$G$2:$G$801, 0)+1)), "")&lt;&gt;"", IFERROR(INDEX(ERP資料!$A:$A, (MATCH(923, 輔助計算!$G$2:$G$801, 0)+1)), "")&lt;&gt;IFERROR(INDEX(ERP資料!$A:$A, MATCH(922, 輔助計算!$G$2:$G$801, 0)+1), "")), IFERROR(INDEX(ERP資料!$A:$A, (MATCH(923, 輔助計算!$G$2:$G$801, 0)+1)), ""), ""), "")</f>
        <v/>
      </c>
      <c r="B924" s="10">
        <f>IFERROR(IF(AND(IFERROR(INDEX(ERP資料!$A:$A, (MATCH(923, 輔助計算!$G$2:$G$801, 0)+1)), "")&lt;&gt;"", IFERROR(INDEX(ERP資料!$A:$A, (MATCH(923, 輔助計算!$G$2:$G$801, 0)+1)), "")&lt;&gt;IFERROR(INDEX(ERP資料!$A:$A, MATCH(922, 輔助計算!$G$2:$G$801, 0)+1), "")), INDEX(ERP資料!$S:$S, (MATCH(923, 輔助計算!$G$2:$G$801, 0)+1)), ""), "")</f>
        <v/>
      </c>
      <c r="C924" s="19">
        <f>IFERROR(IF(AND(IFERROR(INDEX(ERP資料!$A:$A, (MATCH(923, 輔助計算!$G$2:$G$801, 0)+1)), "")&lt;&gt;"", IFERROR(INDEX(ERP資料!$A:$A, (MATCH(923, 輔助計算!$G$2:$G$801, 0)+1)), "")&lt;&gt;IFERROR(INDEX(ERP資料!$A:$A, MATCH(922, 輔助計算!$G$2:$G$801, 0)+1), "")), IFERROR(VLOOKUP(LEFT(INDEX(ERP資料!$S:$S, (MATCH(923, 輔助計算!$G$2:$G$801, 0)+1)), 4), 紙管對照表!$A:$C, 3, FALSE), ""), ""), "")</f>
        <v/>
      </c>
      <c r="D924" s="16" t="n"/>
      <c r="E924" s="10">
        <f>IFERROR(IF(INDEX(ERP資料!$H:$H, (MATCH(923, 輔助計算!$G$2:$G$801, 0)+1))="","",INDEX(ERP資料!$H:$H, (MATCH(923, 輔助計算!$G$2:$G$801, 0)+1))), "")</f>
        <v/>
      </c>
      <c r="F924" s="10">
        <f>IFERROR(IF(INDEX(ERP資料!$E:$E, (MATCH(923, 輔助計算!$G$2:$G$801, 0)+1))="","",TRIM(INDEX(ERP資料!$E:$E, (MATCH(923, 輔助計算!$G$2:$G$801, 0)+1)))), "")</f>
        <v/>
      </c>
      <c r="G924" s="10">
        <f>IFERROR(IF(INDEX(ERP資料!$F:$F, (MATCH(923, 輔助計算!$G$2:$G$801, 0)+1))="","",INDEX(ERP資料!$F:$F, (MATCH(923, 輔助計算!$G$2:$G$801, 0)+1))), "")</f>
        <v/>
      </c>
      <c r="H924" s="10">
        <f>IFERROR(IF(INDEX(ERP資料!$G:$G, (MATCH(923, 輔助計算!$G$2:$G$801, 0)+1))="","",INDEX(ERP資料!$G:$G, (MATCH(923, 輔助計算!$G$2:$G$801, 0)+1))), "")</f>
        <v/>
      </c>
      <c r="I924" s="15">
        <f>IFERROR(INDEX(輔助計算!$D:$D, (MATCH(923, 輔助計算!$G$2:$G$801, 0)+1)), "")</f>
        <v/>
      </c>
      <c r="J924" s="15">
        <f>IFERROR(IF(AND(INDEX(輔助計算!$D:$D, (MATCH(923, 輔助計算!$G$2:$G$801, 0)+1))&lt;&gt;"", INDEX(ERP資料!$G:$G, (MATCH(923, 輔助計算!$G$2:$G$801, 0)+1))&lt;&gt;""), TRIM(IF(INT(INDEX(輔助計算!$D:$D, (MATCH(923, 輔助計算!$G$2:$G$801, 0)+1))/IF(INDEX(ERP資料!$G:$G, (MATCH(923, 輔助計算!$G$2:$G$801, 0)+1))&lt;100, IF(INDEX(ERP資料!$G:$G, (MATCH(923, 輔助計算!$G$2:$G$801, 0)+1))&lt;=31,3,IF(INDEX(ERP資料!$G:$G, (MATCH(923, 輔助計算!$G$2:$G$801, 0)+1))&lt;=46.5,2,1)), IF(INDEX(ERP資料!$G:$G, (MATCH(923, 輔助計算!$G$2:$G$801, 0)+1))&lt;=790,3,IF(INDEX(ERP資料!$G:$G, (MATCH(923, 輔助計算!$G$2:$G$801, 0)+1))&lt;=1181,2,1))))&gt;0, IF(IF(INDEX(ERP資料!$G:$G, (MATCH(923, 輔助計算!$G$2:$G$801, 0)+1))&lt;100, IF(INDEX(ERP資料!$G:$G, (MATCH(923, 輔助計算!$G$2:$G$801, 0)+1))&lt;=31,3,IF(INDEX(ERP資料!$G:$G, (MATCH(923, 輔助計算!$G$2:$G$801, 0)+1))&lt;=46.5,2,1)), IF(INDEX(ERP資料!$G:$G, (MATCH(923, 輔助計算!$G$2:$G$801, 0)+1))&lt;=790,3,IF(INDEX(ERP資料!$G:$G, (MATCH(923, 輔助計算!$G$2:$G$801, 0)+1))&lt;=1181,2,1)))=1,TEXT(INDEX(ERP資料!$G:$G, (MATCH(923, 輔助計算!$G$2:$G$801, 0)+1)),"0.##"),IF(IF(INDEX(ERP資料!$G:$G, (MATCH(923, 輔助計算!$G$2:$G$801, 0)+1))&lt;100, IF(INDEX(ERP資料!$G:$G, (MATCH(923, 輔助計算!$G$2:$G$801, 0)+1))&lt;=31,3,IF(INDEX(ERP資料!$G:$G, (MATCH(923, 輔助計算!$G$2:$G$801, 0)+1))&lt;=46.5,2,1)), IF(INDEX(ERP資料!$G:$G, (MATCH(923, 輔助計算!$G$2:$G$801, 0)+1))&lt;=790,3,IF(INDEX(ERP資料!$G:$G, (MATCH(923, 輔助計算!$G$2:$G$801, 0)+1))&lt;=1181,2,1)))=2,TEXT(INDEX(ERP資料!$G:$G, (MATCH(923, 輔助計算!$G$2:$G$801, 0)+1)),"0.##")&amp;"+"&amp;TEXT(INDEX(ERP資料!$G:$G, (MATCH(923, 輔助計算!$G$2:$G$801, 0)+1)),"0.##"),TEXT(INDEX(ERP資料!$G:$G, (MATCH(923, 輔助計算!$G$2:$G$801, 0)+1)),"0.##")&amp;"+"&amp;TEXT(INDEX(ERP資料!$G:$G, (MATCH(923, 輔助計算!$G$2:$G$801, 0)+1)),"0.##")&amp;"+"&amp;TEXT(INDEX(ERP資料!$G:$G, (MATCH(923, 輔助計算!$G$2:$G$801, 0)+1)),"0.##")))&amp;"-"&amp;INT(INDEX(輔助計算!$D:$D, (MATCH(923, 輔助計算!$G$2:$G$801, 0)+1))/IF(INDEX(ERP資料!$G:$G, (MATCH(923, 輔助計算!$G$2:$G$801, 0)+1))&lt;100, IF(INDEX(ERP資料!$G:$G, (MATCH(923, 輔助計算!$G$2:$G$801, 0)+1))&lt;=31,3,IF(INDEX(ERP資料!$G:$G, (MATCH(923, 輔助計算!$G$2:$G$801, 0)+1))&lt;=46.5,2,1)), IF(INDEX(ERP資料!$G:$G, (MATCH(923, 輔助計算!$G$2:$G$801, 0)+1))&lt;=790,3,IF(INDEX(ERP資料!$G:$G, (MATCH(923, 輔助計算!$G$2:$G$801, 0)+1))&lt;=1181,2,1)))), "")&amp;IF(AND(IF(INT(INDEX(輔助計算!$D:$D, (MATCH(923, 輔助計算!$G$2:$G$801, 0)+1))/IF(INDEX(ERP資料!$G:$G, (MATCH(923, 輔助計算!$G$2:$G$801, 0)+1))&lt;100, IF(INDEX(ERP資料!$G:$G, (MATCH(923, 輔助計算!$G$2:$G$801, 0)+1))&lt;=31,3,IF(INDEX(ERP資料!$G:$G, (MATCH(923, 輔助計算!$G$2:$G$801, 0)+1))&lt;=46.5,2,1)), IF(INDEX(ERP資料!$G:$G, (MATCH(923, 輔助計算!$G$2:$G$801, 0)+1))&lt;=790,3,IF(INDEX(ERP資料!$G:$G, (MATCH(923, 輔助計算!$G$2:$G$801, 0)+1))&lt;=1181,2,1))))&gt;0, IF(IF(INDEX(ERP資料!$G:$G, (MATCH(923, 輔助計算!$G$2:$G$801, 0)+1))&lt;100, IF(INDEX(ERP資料!$G:$G, (MATCH(923, 輔助計算!$G$2:$G$801, 0)+1))&lt;=31,3,IF(INDEX(ERP資料!$G:$G, (MATCH(923, 輔助計算!$G$2:$G$801, 0)+1))&lt;=46.5,2,1)), IF(INDEX(ERP資料!$G:$G, (MATCH(923, 輔助計算!$G$2:$G$801, 0)+1))&lt;=790,3,IF(INDEX(ERP資料!$G:$G, (MATCH(923, 輔助計算!$G$2:$G$801, 0)+1))&lt;=1181,2,1)))=1,TEXT(INDEX(ERP資料!$G:$G, (MATCH(923, 輔助計算!$G$2:$G$801, 0)+1)),"0.##"),IF(IF(INDEX(ERP資料!$G:$G, (MATCH(923, 輔助計算!$G$2:$G$801, 0)+1))&lt;100, IF(INDEX(ERP資料!$G:$G, (MATCH(923, 輔助計算!$G$2:$G$801, 0)+1))&lt;=31,3,IF(INDEX(ERP資料!$G:$G, (MATCH(923, 輔助計算!$G$2:$G$801, 0)+1))&lt;=46.5,2,1)), IF(INDEX(ERP資料!$G:$G, (MATCH(923, 輔助計算!$G$2:$G$801, 0)+1))&lt;=790,3,IF(INDEX(ERP資料!$G:$G, (MATCH(923, 輔助計算!$G$2:$G$801, 0)+1))&lt;=1181,2,1)))=2,TEXT(INDEX(ERP資料!$G:$G, (MATCH(923, 輔助計算!$G$2:$G$801, 0)+1)),"0.##")&amp;"+"&amp;TEXT(INDEX(ERP資料!$G:$G, (MATCH(923, 輔助計算!$G$2:$G$801, 0)+1)),"0.##"),TEXT(INDEX(ERP資料!$G:$G, (MATCH(923, 輔助計算!$G$2:$G$801, 0)+1)),"0.##")&amp;"+"&amp;TEXT(INDEX(ERP資料!$G:$G, (MATCH(923, 輔助計算!$G$2:$G$801, 0)+1)),"0.##")&amp;"+"&amp;TEXT(INDEX(ERP資料!$G:$G, (MATCH(923, 輔助計算!$G$2:$G$801, 0)+1)),"0.##")))&amp;"-"&amp;INT(INDEX(輔助計算!$D:$D, (MATCH(923, 輔助計算!$G$2:$G$801, 0)+1))/IF(INDEX(ERP資料!$G:$G, (MATCH(923, 輔助計算!$G$2:$G$801, 0)+1))&lt;100, IF(INDEX(ERP資料!$G:$G, (MATCH(923, 輔助計算!$G$2:$G$801, 0)+1))&lt;=31,3,IF(INDEX(ERP資料!$G:$G, (MATCH(923, 輔助計算!$G$2:$G$801, 0)+1))&lt;=46.5,2,1)), IF(INDEX(ERP資料!$G:$G, (MATCH(923, 輔助計算!$G$2:$G$801, 0)+1))&lt;=790,3,IF(INDEX(ERP資料!$G:$G, (MATCH(923, 輔助計算!$G$2:$G$801, 0)+1))&lt;=1181,2,1)))), "")&lt;&gt;"",IF(MOD(INDEX(輔助計算!$D:$D, (MATCH(923, 輔助計算!$G$2:$G$801, 0)+1)),IF(INDEX(ERP資料!$G:$G, (MATCH(923, 輔助計算!$G$2:$G$801, 0)+1))&lt;100, IF(INDEX(ERP資料!$G:$G, (MATCH(923, 輔助計算!$G$2:$G$801, 0)+1))&lt;=31,3,IF(INDEX(ERP資料!$G:$G, (MATCH(923, 輔助計算!$G$2:$G$801, 0)+1))&lt;=46.5,2,1)), IF(INDEX(ERP資料!$G:$G, (MATCH(923, 輔助計算!$G$2:$G$801, 0)+1))&lt;=790,3,IF(INDEX(ERP資料!$G:$G, (MATCH(923, 輔助計算!$G$2:$G$801, 0)+1))&lt;=1181,2,1))))=0,"",IF(MOD(INDEX(輔助計算!$D:$D, (MATCH(923, 輔助計算!$G$2:$G$801, 0)+1)),IF(INDEX(ERP資料!$G:$G, (MATCH(923, 輔助計算!$G$2:$G$801, 0)+1))&lt;100, IF(INDEX(ERP資料!$G:$G, (MATCH(923, 輔助計算!$G$2:$G$801, 0)+1))&lt;=31,3,IF(INDEX(ERP資料!$G:$G, (MATCH(923, 輔助計算!$G$2:$G$801, 0)+1))&lt;=46.5,2,1)), IF(INDEX(ERP資料!$G:$G, (MATCH(923, 輔助計算!$G$2:$G$801, 0)+1))&lt;=790,3,IF(INDEX(ERP資料!$G:$G, (MATCH(923, 輔助計算!$G$2:$G$801, 0)+1))&lt;=1181,2,1))))=0,"",IF(MOD(INDEX(輔助計算!$D:$D, (MATCH(923, 輔助計算!$G$2:$G$801, 0)+1)),IF(INDEX(ERP資料!$G:$G, (MATCH(923, 輔助計算!$G$2:$G$801, 0)+1))&lt;100, IF(INDEX(ERP資料!$G:$G, (MATCH(923, 輔助計算!$G$2:$G$801, 0)+1))&lt;=31,3,IF(INDEX(ERP資料!$G:$G, (MATCH(923, 輔助計算!$G$2:$G$801, 0)+1))&lt;=46.5,2,1)), IF(INDEX(ERP資料!$G:$G, (MATCH(923, 輔助計算!$G$2:$G$801, 0)+1))&lt;=790,3,IF(INDEX(ERP資料!$G:$G, (MATCH(923, 輔助計算!$G$2:$G$801, 0)+1))&lt;=1181,2,1))))=1,TEXT(INDEX(ERP資料!$G:$G, (MATCH(923, 輔助計算!$G$2:$G$801, 0)+1)),"0.##"),IF(MOD(INDEX(輔助計算!$D:$D, (MATCH(923, 輔助計算!$G$2:$G$801, 0)+1)),IF(INDEX(ERP資料!$G:$G, (MATCH(923, 輔助計算!$G$2:$G$801, 0)+1))&lt;100, IF(INDEX(ERP資料!$G:$G, (MATCH(923, 輔助計算!$G$2:$G$801, 0)+1))&lt;=31,3,IF(INDEX(ERP資料!$G:$G, (MATCH(923, 輔助計算!$G$2:$G$801, 0)+1))&lt;=46.5,2,1)), IF(INDEX(ERP資料!$G:$G, (MATCH(923, 輔助計算!$G$2:$G$801, 0)+1))&lt;=790,3,IF(INDEX(ERP資料!$G:$G, (MATCH(923, 輔助計算!$G$2:$G$801, 0)+1))&lt;=1181,2,1))))=2,TEXT(INDEX(ERP資料!$G:$G, (MATCH(923, 輔助計算!$G$2:$G$801, 0)+1)),"0.##")&amp;"+"&amp;TEXT(INDEX(ERP資料!$G:$G, (MATCH(923, 輔助計算!$G$2:$G$801, 0)+1)),"0.##"),TEXT(INDEX(ERP資料!$G:$G, (MATCH(923, 輔助計算!$G$2:$G$801, 0)+1)),"0.##")&amp;"+"&amp;TEXT(INDEX(ERP資料!$G:$G, (MATCH(923, 輔助計算!$G$2:$G$801, 0)+1)),"0.##")&amp;"+"&amp;TEXT(INDEX(ERP資料!$G:$G, (MATCH(923, 輔助計算!$G$2:$G$801, 0)+1)),"0.##"))))&amp;"-1")&lt;&gt;""),"  ","")&amp;IF(MOD(INDEX(輔助計算!$D:$D, (MATCH(923, 輔助計算!$G$2:$G$801, 0)+1)),IF(INDEX(ERP資料!$G:$G, (MATCH(923, 輔助計算!$G$2:$G$801, 0)+1))&lt;100, IF(INDEX(ERP資料!$G:$G, (MATCH(923, 輔助計算!$G$2:$G$801, 0)+1))&lt;=31,3,IF(INDEX(ERP資料!$G:$G, (MATCH(923, 輔助計算!$G$2:$G$801, 0)+1))&lt;=46.5,2,1)), IF(INDEX(ERP資料!$G:$G, (MATCH(923, 輔助計算!$G$2:$G$801, 0)+1))&lt;=790,3,IF(INDEX(ERP資料!$G:$G, (MATCH(923, 輔助計算!$G$2:$G$801, 0)+1))&lt;=1181,2,1))))=0,"",IF(MOD(INDEX(輔助計算!$D:$D, (MATCH(923, 輔助計算!$G$2:$G$801, 0)+1)),IF(INDEX(ERP資料!$G:$G, (MATCH(923, 輔助計算!$G$2:$G$801, 0)+1))&lt;100, IF(INDEX(ERP資料!$G:$G, (MATCH(923, 輔助計算!$G$2:$G$801, 0)+1))&lt;=31,3,IF(INDEX(ERP資料!$G:$G, (MATCH(923, 輔助計算!$G$2:$G$801, 0)+1))&lt;=46.5,2,1)), IF(INDEX(ERP資料!$G:$G, (MATCH(923, 輔助計算!$G$2:$G$801, 0)+1))&lt;=790,3,IF(INDEX(ERP資料!$G:$G, (MATCH(923, 輔助計算!$G$2:$G$801, 0)+1))&lt;=1181,2,1))))=0,"",IF(MOD(INDEX(輔助計算!$D:$D, (MATCH(923, 輔助計算!$G$2:$G$801, 0)+1)),IF(INDEX(ERP資料!$G:$G, (MATCH(923, 輔助計算!$G$2:$G$801, 0)+1))&lt;100, IF(INDEX(ERP資料!$G:$G, (MATCH(923, 輔助計算!$G$2:$G$801, 0)+1))&lt;=31,3,IF(INDEX(ERP資料!$G:$G, (MATCH(923, 輔助計算!$G$2:$G$801, 0)+1))&lt;=46.5,2,1)), IF(INDEX(ERP資料!$G:$G, (MATCH(923, 輔助計算!$G$2:$G$801, 0)+1))&lt;=790,3,IF(INDEX(ERP資料!$G:$G, (MATCH(923, 輔助計算!$G$2:$G$801, 0)+1))&lt;=1181,2,1))))=1,TEXT(INDEX(ERP資料!$G:$G, (MATCH(923, 輔助計算!$G$2:$G$801, 0)+1)),"0.##"),IF(MOD(INDEX(輔助計算!$D:$D, (MATCH(923, 輔助計算!$G$2:$G$801, 0)+1)),IF(INDEX(ERP資料!$G:$G, (MATCH(923, 輔助計算!$G$2:$G$801, 0)+1))&lt;100, IF(INDEX(ERP資料!$G:$G, (MATCH(923, 輔助計算!$G$2:$G$801, 0)+1))&lt;=31,3,IF(INDEX(ERP資料!$G:$G, (MATCH(923, 輔助計算!$G$2:$G$801, 0)+1))&lt;=46.5,2,1)), IF(INDEX(ERP資料!$G:$G, (MATCH(923, 輔助計算!$G$2:$G$801, 0)+1))&lt;=790,3,IF(INDEX(ERP資料!$G:$G, (MATCH(923, 輔助計算!$G$2:$G$801, 0)+1))&lt;=1181,2,1))))=2,TEXT(INDEX(ERP資料!$G:$G, (MATCH(923, 輔助計算!$G$2:$G$801, 0)+1)),"0.##")&amp;"+"&amp;TEXT(INDEX(ERP資料!$G:$G, (MATCH(923, 輔助計算!$G$2:$G$801, 0)+1)),"0.##"),TEXT(INDEX(ERP資料!$G:$G, (MATCH(923, 輔助計算!$G$2:$G$801, 0)+1)),"0.##")&amp;"+"&amp;TEXT(INDEX(ERP資料!$G:$G, (MATCH(923, 輔助計算!$G$2:$G$801, 0)+1)),"0.##")&amp;"+"&amp;TEXT(INDEX(ERP資料!$G:$G, (MATCH(923, 輔助計算!$G$2:$G$801, 0)+1)),"0.##"))))&amp;"-1")), ""), "")</f>
        <v/>
      </c>
      <c r="K924" s="16" t="n"/>
      <c r="L924" s="14">
        <f>IFERROR(IF(AND(IFERROR(INDEX(ERP資料!$A:$A, (MATCH(923, 輔助計算!$G$2:$G$801, 0)+1)), "")&lt;&gt;"", IFERROR(INDEX(ERP資料!$A:$A, (MATCH(923, 輔助計算!$G$2:$G$801, 0)+1)), "")&lt;&gt;IFERROR(INDEX(ERP資料!$A:$A, MATCH(922, 輔助計算!$G$2:$G$801, 0)+1), "")), INDEX(ERP資料!$B:$B, (MATCH(923, 輔助計算!$G$2:$G$801, 0)+1)), ""), "")</f>
        <v/>
      </c>
      <c r="M924" s="17" t="n"/>
    </row>
    <row r="925">
      <c r="A925" s="10">
        <f>IFERROR(IF(AND(IFERROR(INDEX(ERP資料!$A:$A, (MATCH(924, 輔助計算!$G$2:$G$801, 0)+1)), "")&lt;&gt;"", IFERROR(INDEX(ERP資料!$A:$A, (MATCH(924, 輔助計算!$G$2:$G$801, 0)+1)), "")&lt;&gt;IFERROR(INDEX(ERP資料!$A:$A, MATCH(923, 輔助計算!$G$2:$G$801, 0)+1), "")), IFERROR(INDEX(ERP資料!$A:$A, (MATCH(924, 輔助計算!$G$2:$G$801, 0)+1)), ""), ""), "")</f>
        <v/>
      </c>
      <c r="B925" s="10">
        <f>IFERROR(IF(AND(IFERROR(INDEX(ERP資料!$A:$A, (MATCH(924, 輔助計算!$G$2:$G$801, 0)+1)), "")&lt;&gt;"", IFERROR(INDEX(ERP資料!$A:$A, (MATCH(924, 輔助計算!$G$2:$G$801, 0)+1)), "")&lt;&gt;IFERROR(INDEX(ERP資料!$A:$A, MATCH(923, 輔助計算!$G$2:$G$801, 0)+1), "")), INDEX(ERP資料!$S:$S, (MATCH(924, 輔助計算!$G$2:$G$801, 0)+1)), ""), "")</f>
        <v/>
      </c>
      <c r="C925" s="19">
        <f>IFERROR(IF(AND(IFERROR(INDEX(ERP資料!$A:$A, (MATCH(924, 輔助計算!$G$2:$G$801, 0)+1)), "")&lt;&gt;"", IFERROR(INDEX(ERP資料!$A:$A, (MATCH(924, 輔助計算!$G$2:$G$801, 0)+1)), "")&lt;&gt;IFERROR(INDEX(ERP資料!$A:$A, MATCH(923, 輔助計算!$G$2:$G$801, 0)+1), "")), IFERROR(VLOOKUP(LEFT(INDEX(ERP資料!$S:$S, (MATCH(924, 輔助計算!$G$2:$G$801, 0)+1)), 4), 紙管對照表!$A:$C, 3, FALSE), ""), ""), "")</f>
        <v/>
      </c>
      <c r="D925" s="16" t="n"/>
      <c r="E925" s="10">
        <f>IFERROR(IF(INDEX(ERP資料!$H:$H, (MATCH(924, 輔助計算!$G$2:$G$801, 0)+1))="","",INDEX(ERP資料!$H:$H, (MATCH(924, 輔助計算!$G$2:$G$801, 0)+1))), "")</f>
        <v/>
      </c>
      <c r="F925" s="10">
        <f>IFERROR(IF(INDEX(ERP資料!$E:$E, (MATCH(924, 輔助計算!$G$2:$G$801, 0)+1))="","",TRIM(INDEX(ERP資料!$E:$E, (MATCH(924, 輔助計算!$G$2:$G$801, 0)+1)))), "")</f>
        <v/>
      </c>
      <c r="G925" s="10">
        <f>IFERROR(IF(INDEX(ERP資料!$F:$F, (MATCH(924, 輔助計算!$G$2:$G$801, 0)+1))="","",INDEX(ERP資料!$F:$F, (MATCH(924, 輔助計算!$G$2:$G$801, 0)+1))), "")</f>
        <v/>
      </c>
      <c r="H925" s="10">
        <f>IFERROR(IF(INDEX(ERP資料!$G:$G, (MATCH(924, 輔助計算!$G$2:$G$801, 0)+1))="","",INDEX(ERP資料!$G:$G, (MATCH(924, 輔助計算!$G$2:$G$801, 0)+1))), "")</f>
        <v/>
      </c>
      <c r="I925" s="15">
        <f>IFERROR(INDEX(輔助計算!$D:$D, (MATCH(924, 輔助計算!$G$2:$G$801, 0)+1)), "")</f>
        <v/>
      </c>
      <c r="J925" s="15">
        <f>IFERROR(IF(AND(INDEX(輔助計算!$D:$D, (MATCH(924, 輔助計算!$G$2:$G$801, 0)+1))&lt;&gt;"", INDEX(ERP資料!$G:$G, (MATCH(924, 輔助計算!$G$2:$G$801, 0)+1))&lt;&gt;""), TRIM(IF(INT(INDEX(輔助計算!$D:$D, (MATCH(924, 輔助計算!$G$2:$G$801, 0)+1))/IF(INDEX(ERP資料!$G:$G, (MATCH(924, 輔助計算!$G$2:$G$801, 0)+1))&lt;100, IF(INDEX(ERP資料!$G:$G, (MATCH(924, 輔助計算!$G$2:$G$801, 0)+1))&lt;=31,3,IF(INDEX(ERP資料!$G:$G, (MATCH(924, 輔助計算!$G$2:$G$801, 0)+1))&lt;=46.5,2,1)), IF(INDEX(ERP資料!$G:$G, (MATCH(924, 輔助計算!$G$2:$G$801, 0)+1))&lt;=790,3,IF(INDEX(ERP資料!$G:$G, (MATCH(924, 輔助計算!$G$2:$G$801, 0)+1))&lt;=1181,2,1))))&gt;0, IF(IF(INDEX(ERP資料!$G:$G, (MATCH(924, 輔助計算!$G$2:$G$801, 0)+1))&lt;100, IF(INDEX(ERP資料!$G:$G, (MATCH(924, 輔助計算!$G$2:$G$801, 0)+1))&lt;=31,3,IF(INDEX(ERP資料!$G:$G, (MATCH(924, 輔助計算!$G$2:$G$801, 0)+1))&lt;=46.5,2,1)), IF(INDEX(ERP資料!$G:$G, (MATCH(924, 輔助計算!$G$2:$G$801, 0)+1))&lt;=790,3,IF(INDEX(ERP資料!$G:$G, (MATCH(924, 輔助計算!$G$2:$G$801, 0)+1))&lt;=1181,2,1)))=1,TEXT(INDEX(ERP資料!$G:$G, (MATCH(924, 輔助計算!$G$2:$G$801, 0)+1)),"0.##"),IF(IF(INDEX(ERP資料!$G:$G, (MATCH(924, 輔助計算!$G$2:$G$801, 0)+1))&lt;100, IF(INDEX(ERP資料!$G:$G, (MATCH(924, 輔助計算!$G$2:$G$801, 0)+1))&lt;=31,3,IF(INDEX(ERP資料!$G:$G, (MATCH(924, 輔助計算!$G$2:$G$801, 0)+1))&lt;=46.5,2,1)), IF(INDEX(ERP資料!$G:$G, (MATCH(924, 輔助計算!$G$2:$G$801, 0)+1))&lt;=790,3,IF(INDEX(ERP資料!$G:$G, (MATCH(924, 輔助計算!$G$2:$G$801, 0)+1))&lt;=1181,2,1)))=2,TEXT(INDEX(ERP資料!$G:$G, (MATCH(924, 輔助計算!$G$2:$G$801, 0)+1)),"0.##")&amp;"+"&amp;TEXT(INDEX(ERP資料!$G:$G, (MATCH(924, 輔助計算!$G$2:$G$801, 0)+1)),"0.##"),TEXT(INDEX(ERP資料!$G:$G, (MATCH(924, 輔助計算!$G$2:$G$801, 0)+1)),"0.##")&amp;"+"&amp;TEXT(INDEX(ERP資料!$G:$G, (MATCH(924, 輔助計算!$G$2:$G$801, 0)+1)),"0.##")&amp;"+"&amp;TEXT(INDEX(ERP資料!$G:$G, (MATCH(924, 輔助計算!$G$2:$G$801, 0)+1)),"0.##")))&amp;"-"&amp;INT(INDEX(輔助計算!$D:$D, (MATCH(924, 輔助計算!$G$2:$G$801, 0)+1))/IF(INDEX(ERP資料!$G:$G, (MATCH(924, 輔助計算!$G$2:$G$801, 0)+1))&lt;100, IF(INDEX(ERP資料!$G:$G, (MATCH(924, 輔助計算!$G$2:$G$801, 0)+1))&lt;=31,3,IF(INDEX(ERP資料!$G:$G, (MATCH(924, 輔助計算!$G$2:$G$801, 0)+1))&lt;=46.5,2,1)), IF(INDEX(ERP資料!$G:$G, (MATCH(924, 輔助計算!$G$2:$G$801, 0)+1))&lt;=790,3,IF(INDEX(ERP資料!$G:$G, (MATCH(924, 輔助計算!$G$2:$G$801, 0)+1))&lt;=1181,2,1)))), "")&amp;IF(AND(IF(INT(INDEX(輔助計算!$D:$D, (MATCH(924, 輔助計算!$G$2:$G$801, 0)+1))/IF(INDEX(ERP資料!$G:$G, (MATCH(924, 輔助計算!$G$2:$G$801, 0)+1))&lt;100, IF(INDEX(ERP資料!$G:$G, (MATCH(924, 輔助計算!$G$2:$G$801, 0)+1))&lt;=31,3,IF(INDEX(ERP資料!$G:$G, (MATCH(924, 輔助計算!$G$2:$G$801, 0)+1))&lt;=46.5,2,1)), IF(INDEX(ERP資料!$G:$G, (MATCH(924, 輔助計算!$G$2:$G$801, 0)+1))&lt;=790,3,IF(INDEX(ERP資料!$G:$G, (MATCH(924, 輔助計算!$G$2:$G$801, 0)+1))&lt;=1181,2,1))))&gt;0, IF(IF(INDEX(ERP資料!$G:$G, (MATCH(924, 輔助計算!$G$2:$G$801, 0)+1))&lt;100, IF(INDEX(ERP資料!$G:$G, (MATCH(924, 輔助計算!$G$2:$G$801, 0)+1))&lt;=31,3,IF(INDEX(ERP資料!$G:$G, (MATCH(924, 輔助計算!$G$2:$G$801, 0)+1))&lt;=46.5,2,1)), IF(INDEX(ERP資料!$G:$G, (MATCH(924, 輔助計算!$G$2:$G$801, 0)+1))&lt;=790,3,IF(INDEX(ERP資料!$G:$G, (MATCH(924, 輔助計算!$G$2:$G$801, 0)+1))&lt;=1181,2,1)))=1,TEXT(INDEX(ERP資料!$G:$G, (MATCH(924, 輔助計算!$G$2:$G$801, 0)+1)),"0.##"),IF(IF(INDEX(ERP資料!$G:$G, (MATCH(924, 輔助計算!$G$2:$G$801, 0)+1))&lt;100, IF(INDEX(ERP資料!$G:$G, (MATCH(924, 輔助計算!$G$2:$G$801, 0)+1))&lt;=31,3,IF(INDEX(ERP資料!$G:$G, (MATCH(924, 輔助計算!$G$2:$G$801, 0)+1))&lt;=46.5,2,1)), IF(INDEX(ERP資料!$G:$G, (MATCH(924, 輔助計算!$G$2:$G$801, 0)+1))&lt;=790,3,IF(INDEX(ERP資料!$G:$G, (MATCH(924, 輔助計算!$G$2:$G$801, 0)+1))&lt;=1181,2,1)))=2,TEXT(INDEX(ERP資料!$G:$G, (MATCH(924, 輔助計算!$G$2:$G$801, 0)+1)),"0.##")&amp;"+"&amp;TEXT(INDEX(ERP資料!$G:$G, (MATCH(924, 輔助計算!$G$2:$G$801, 0)+1)),"0.##"),TEXT(INDEX(ERP資料!$G:$G, (MATCH(924, 輔助計算!$G$2:$G$801, 0)+1)),"0.##")&amp;"+"&amp;TEXT(INDEX(ERP資料!$G:$G, (MATCH(924, 輔助計算!$G$2:$G$801, 0)+1)),"0.##")&amp;"+"&amp;TEXT(INDEX(ERP資料!$G:$G, (MATCH(924, 輔助計算!$G$2:$G$801, 0)+1)),"0.##")))&amp;"-"&amp;INT(INDEX(輔助計算!$D:$D, (MATCH(924, 輔助計算!$G$2:$G$801, 0)+1))/IF(INDEX(ERP資料!$G:$G, (MATCH(924, 輔助計算!$G$2:$G$801, 0)+1))&lt;100, IF(INDEX(ERP資料!$G:$G, (MATCH(924, 輔助計算!$G$2:$G$801, 0)+1))&lt;=31,3,IF(INDEX(ERP資料!$G:$G, (MATCH(924, 輔助計算!$G$2:$G$801, 0)+1))&lt;=46.5,2,1)), IF(INDEX(ERP資料!$G:$G, (MATCH(924, 輔助計算!$G$2:$G$801, 0)+1))&lt;=790,3,IF(INDEX(ERP資料!$G:$G, (MATCH(924, 輔助計算!$G$2:$G$801, 0)+1))&lt;=1181,2,1)))), "")&lt;&gt;"",IF(MOD(INDEX(輔助計算!$D:$D, (MATCH(924, 輔助計算!$G$2:$G$801, 0)+1)),IF(INDEX(ERP資料!$G:$G, (MATCH(924, 輔助計算!$G$2:$G$801, 0)+1))&lt;100, IF(INDEX(ERP資料!$G:$G, (MATCH(924, 輔助計算!$G$2:$G$801, 0)+1))&lt;=31,3,IF(INDEX(ERP資料!$G:$G, (MATCH(924, 輔助計算!$G$2:$G$801, 0)+1))&lt;=46.5,2,1)), IF(INDEX(ERP資料!$G:$G, (MATCH(924, 輔助計算!$G$2:$G$801, 0)+1))&lt;=790,3,IF(INDEX(ERP資料!$G:$G, (MATCH(924, 輔助計算!$G$2:$G$801, 0)+1))&lt;=1181,2,1))))=0,"",IF(MOD(INDEX(輔助計算!$D:$D, (MATCH(924, 輔助計算!$G$2:$G$801, 0)+1)),IF(INDEX(ERP資料!$G:$G, (MATCH(924, 輔助計算!$G$2:$G$801, 0)+1))&lt;100, IF(INDEX(ERP資料!$G:$G, (MATCH(924, 輔助計算!$G$2:$G$801, 0)+1))&lt;=31,3,IF(INDEX(ERP資料!$G:$G, (MATCH(924, 輔助計算!$G$2:$G$801, 0)+1))&lt;=46.5,2,1)), IF(INDEX(ERP資料!$G:$G, (MATCH(924, 輔助計算!$G$2:$G$801, 0)+1))&lt;=790,3,IF(INDEX(ERP資料!$G:$G, (MATCH(924, 輔助計算!$G$2:$G$801, 0)+1))&lt;=1181,2,1))))=0,"",IF(MOD(INDEX(輔助計算!$D:$D, (MATCH(924, 輔助計算!$G$2:$G$801, 0)+1)),IF(INDEX(ERP資料!$G:$G, (MATCH(924, 輔助計算!$G$2:$G$801, 0)+1))&lt;100, IF(INDEX(ERP資料!$G:$G, (MATCH(924, 輔助計算!$G$2:$G$801, 0)+1))&lt;=31,3,IF(INDEX(ERP資料!$G:$G, (MATCH(924, 輔助計算!$G$2:$G$801, 0)+1))&lt;=46.5,2,1)), IF(INDEX(ERP資料!$G:$G, (MATCH(924, 輔助計算!$G$2:$G$801, 0)+1))&lt;=790,3,IF(INDEX(ERP資料!$G:$G, (MATCH(924, 輔助計算!$G$2:$G$801, 0)+1))&lt;=1181,2,1))))=1,TEXT(INDEX(ERP資料!$G:$G, (MATCH(924, 輔助計算!$G$2:$G$801, 0)+1)),"0.##"),IF(MOD(INDEX(輔助計算!$D:$D, (MATCH(924, 輔助計算!$G$2:$G$801, 0)+1)),IF(INDEX(ERP資料!$G:$G, (MATCH(924, 輔助計算!$G$2:$G$801, 0)+1))&lt;100, IF(INDEX(ERP資料!$G:$G, (MATCH(924, 輔助計算!$G$2:$G$801, 0)+1))&lt;=31,3,IF(INDEX(ERP資料!$G:$G, (MATCH(924, 輔助計算!$G$2:$G$801, 0)+1))&lt;=46.5,2,1)), IF(INDEX(ERP資料!$G:$G, (MATCH(924, 輔助計算!$G$2:$G$801, 0)+1))&lt;=790,3,IF(INDEX(ERP資料!$G:$G, (MATCH(924, 輔助計算!$G$2:$G$801, 0)+1))&lt;=1181,2,1))))=2,TEXT(INDEX(ERP資料!$G:$G, (MATCH(924, 輔助計算!$G$2:$G$801, 0)+1)),"0.##")&amp;"+"&amp;TEXT(INDEX(ERP資料!$G:$G, (MATCH(924, 輔助計算!$G$2:$G$801, 0)+1)),"0.##"),TEXT(INDEX(ERP資料!$G:$G, (MATCH(924, 輔助計算!$G$2:$G$801, 0)+1)),"0.##")&amp;"+"&amp;TEXT(INDEX(ERP資料!$G:$G, (MATCH(924, 輔助計算!$G$2:$G$801, 0)+1)),"0.##")&amp;"+"&amp;TEXT(INDEX(ERP資料!$G:$G, (MATCH(924, 輔助計算!$G$2:$G$801, 0)+1)),"0.##"))))&amp;"-1")&lt;&gt;""),"  ","")&amp;IF(MOD(INDEX(輔助計算!$D:$D, (MATCH(924, 輔助計算!$G$2:$G$801, 0)+1)),IF(INDEX(ERP資料!$G:$G, (MATCH(924, 輔助計算!$G$2:$G$801, 0)+1))&lt;100, IF(INDEX(ERP資料!$G:$G, (MATCH(924, 輔助計算!$G$2:$G$801, 0)+1))&lt;=31,3,IF(INDEX(ERP資料!$G:$G, (MATCH(924, 輔助計算!$G$2:$G$801, 0)+1))&lt;=46.5,2,1)), IF(INDEX(ERP資料!$G:$G, (MATCH(924, 輔助計算!$G$2:$G$801, 0)+1))&lt;=790,3,IF(INDEX(ERP資料!$G:$G, (MATCH(924, 輔助計算!$G$2:$G$801, 0)+1))&lt;=1181,2,1))))=0,"",IF(MOD(INDEX(輔助計算!$D:$D, (MATCH(924, 輔助計算!$G$2:$G$801, 0)+1)),IF(INDEX(ERP資料!$G:$G, (MATCH(924, 輔助計算!$G$2:$G$801, 0)+1))&lt;100, IF(INDEX(ERP資料!$G:$G, (MATCH(924, 輔助計算!$G$2:$G$801, 0)+1))&lt;=31,3,IF(INDEX(ERP資料!$G:$G, (MATCH(924, 輔助計算!$G$2:$G$801, 0)+1))&lt;=46.5,2,1)), IF(INDEX(ERP資料!$G:$G, (MATCH(924, 輔助計算!$G$2:$G$801, 0)+1))&lt;=790,3,IF(INDEX(ERP資料!$G:$G, (MATCH(924, 輔助計算!$G$2:$G$801, 0)+1))&lt;=1181,2,1))))=0,"",IF(MOD(INDEX(輔助計算!$D:$D, (MATCH(924, 輔助計算!$G$2:$G$801, 0)+1)),IF(INDEX(ERP資料!$G:$G, (MATCH(924, 輔助計算!$G$2:$G$801, 0)+1))&lt;100, IF(INDEX(ERP資料!$G:$G, (MATCH(924, 輔助計算!$G$2:$G$801, 0)+1))&lt;=31,3,IF(INDEX(ERP資料!$G:$G, (MATCH(924, 輔助計算!$G$2:$G$801, 0)+1))&lt;=46.5,2,1)), IF(INDEX(ERP資料!$G:$G, (MATCH(924, 輔助計算!$G$2:$G$801, 0)+1))&lt;=790,3,IF(INDEX(ERP資料!$G:$G, (MATCH(924, 輔助計算!$G$2:$G$801, 0)+1))&lt;=1181,2,1))))=1,TEXT(INDEX(ERP資料!$G:$G, (MATCH(924, 輔助計算!$G$2:$G$801, 0)+1)),"0.##"),IF(MOD(INDEX(輔助計算!$D:$D, (MATCH(924, 輔助計算!$G$2:$G$801, 0)+1)),IF(INDEX(ERP資料!$G:$G, (MATCH(924, 輔助計算!$G$2:$G$801, 0)+1))&lt;100, IF(INDEX(ERP資料!$G:$G, (MATCH(924, 輔助計算!$G$2:$G$801, 0)+1))&lt;=31,3,IF(INDEX(ERP資料!$G:$G, (MATCH(924, 輔助計算!$G$2:$G$801, 0)+1))&lt;=46.5,2,1)), IF(INDEX(ERP資料!$G:$G, (MATCH(924, 輔助計算!$G$2:$G$801, 0)+1))&lt;=790,3,IF(INDEX(ERP資料!$G:$G, (MATCH(924, 輔助計算!$G$2:$G$801, 0)+1))&lt;=1181,2,1))))=2,TEXT(INDEX(ERP資料!$G:$G, (MATCH(924, 輔助計算!$G$2:$G$801, 0)+1)),"0.##")&amp;"+"&amp;TEXT(INDEX(ERP資料!$G:$G, (MATCH(924, 輔助計算!$G$2:$G$801, 0)+1)),"0.##"),TEXT(INDEX(ERP資料!$G:$G, (MATCH(924, 輔助計算!$G$2:$G$801, 0)+1)),"0.##")&amp;"+"&amp;TEXT(INDEX(ERP資料!$G:$G, (MATCH(924, 輔助計算!$G$2:$G$801, 0)+1)),"0.##")&amp;"+"&amp;TEXT(INDEX(ERP資料!$G:$G, (MATCH(924, 輔助計算!$G$2:$G$801, 0)+1)),"0.##"))))&amp;"-1")), ""), "")</f>
        <v/>
      </c>
      <c r="K925" s="16" t="n"/>
      <c r="L925" s="14">
        <f>IFERROR(IF(AND(IFERROR(INDEX(ERP資料!$A:$A, (MATCH(924, 輔助計算!$G$2:$G$801, 0)+1)), "")&lt;&gt;"", IFERROR(INDEX(ERP資料!$A:$A, (MATCH(924, 輔助計算!$G$2:$G$801, 0)+1)), "")&lt;&gt;IFERROR(INDEX(ERP資料!$A:$A, MATCH(923, 輔助計算!$G$2:$G$801, 0)+1), "")), INDEX(ERP資料!$B:$B, (MATCH(924, 輔助計算!$G$2:$G$801, 0)+1)), ""), "")</f>
        <v/>
      </c>
      <c r="M925" s="17" t="n"/>
    </row>
    <row r="926">
      <c r="A926" s="10">
        <f>IFERROR(IF(AND(IFERROR(INDEX(ERP資料!$A:$A, (MATCH(925, 輔助計算!$G$2:$G$801, 0)+1)), "")&lt;&gt;"", IFERROR(INDEX(ERP資料!$A:$A, (MATCH(925, 輔助計算!$G$2:$G$801, 0)+1)), "")&lt;&gt;IFERROR(INDEX(ERP資料!$A:$A, MATCH(924, 輔助計算!$G$2:$G$801, 0)+1), "")), IFERROR(INDEX(ERP資料!$A:$A, (MATCH(925, 輔助計算!$G$2:$G$801, 0)+1)), ""), ""), "")</f>
        <v/>
      </c>
      <c r="B926" s="10">
        <f>IFERROR(IF(AND(IFERROR(INDEX(ERP資料!$A:$A, (MATCH(925, 輔助計算!$G$2:$G$801, 0)+1)), "")&lt;&gt;"", IFERROR(INDEX(ERP資料!$A:$A, (MATCH(925, 輔助計算!$G$2:$G$801, 0)+1)), "")&lt;&gt;IFERROR(INDEX(ERP資料!$A:$A, MATCH(924, 輔助計算!$G$2:$G$801, 0)+1), "")), INDEX(ERP資料!$S:$S, (MATCH(925, 輔助計算!$G$2:$G$801, 0)+1)), ""), "")</f>
        <v/>
      </c>
      <c r="C926" s="19">
        <f>IFERROR(IF(AND(IFERROR(INDEX(ERP資料!$A:$A, (MATCH(925, 輔助計算!$G$2:$G$801, 0)+1)), "")&lt;&gt;"", IFERROR(INDEX(ERP資料!$A:$A, (MATCH(925, 輔助計算!$G$2:$G$801, 0)+1)), "")&lt;&gt;IFERROR(INDEX(ERP資料!$A:$A, MATCH(924, 輔助計算!$G$2:$G$801, 0)+1), "")), IFERROR(VLOOKUP(LEFT(INDEX(ERP資料!$S:$S, (MATCH(925, 輔助計算!$G$2:$G$801, 0)+1)), 4), 紙管對照表!$A:$C, 3, FALSE), ""), ""), "")</f>
        <v/>
      </c>
      <c r="D926" s="16" t="n"/>
      <c r="E926" s="10">
        <f>IFERROR(IF(INDEX(ERP資料!$H:$H, (MATCH(925, 輔助計算!$G$2:$G$801, 0)+1))="","",INDEX(ERP資料!$H:$H, (MATCH(925, 輔助計算!$G$2:$G$801, 0)+1))), "")</f>
        <v/>
      </c>
      <c r="F926" s="10">
        <f>IFERROR(IF(INDEX(ERP資料!$E:$E, (MATCH(925, 輔助計算!$G$2:$G$801, 0)+1))="","",TRIM(INDEX(ERP資料!$E:$E, (MATCH(925, 輔助計算!$G$2:$G$801, 0)+1)))), "")</f>
        <v/>
      </c>
      <c r="G926" s="10">
        <f>IFERROR(IF(INDEX(ERP資料!$F:$F, (MATCH(925, 輔助計算!$G$2:$G$801, 0)+1))="","",INDEX(ERP資料!$F:$F, (MATCH(925, 輔助計算!$G$2:$G$801, 0)+1))), "")</f>
        <v/>
      </c>
      <c r="H926" s="10">
        <f>IFERROR(IF(INDEX(ERP資料!$G:$G, (MATCH(925, 輔助計算!$G$2:$G$801, 0)+1))="","",INDEX(ERP資料!$G:$G, (MATCH(925, 輔助計算!$G$2:$G$801, 0)+1))), "")</f>
        <v/>
      </c>
      <c r="I926" s="15">
        <f>IFERROR(INDEX(輔助計算!$D:$D, (MATCH(925, 輔助計算!$G$2:$G$801, 0)+1)), "")</f>
        <v/>
      </c>
      <c r="J926" s="15">
        <f>IFERROR(IF(AND(INDEX(輔助計算!$D:$D, (MATCH(925, 輔助計算!$G$2:$G$801, 0)+1))&lt;&gt;"", INDEX(ERP資料!$G:$G, (MATCH(925, 輔助計算!$G$2:$G$801, 0)+1))&lt;&gt;""), TRIM(IF(INT(INDEX(輔助計算!$D:$D, (MATCH(925, 輔助計算!$G$2:$G$801, 0)+1))/IF(INDEX(ERP資料!$G:$G, (MATCH(925, 輔助計算!$G$2:$G$801, 0)+1))&lt;100, IF(INDEX(ERP資料!$G:$G, (MATCH(925, 輔助計算!$G$2:$G$801, 0)+1))&lt;=31,3,IF(INDEX(ERP資料!$G:$G, (MATCH(925, 輔助計算!$G$2:$G$801, 0)+1))&lt;=46.5,2,1)), IF(INDEX(ERP資料!$G:$G, (MATCH(925, 輔助計算!$G$2:$G$801, 0)+1))&lt;=790,3,IF(INDEX(ERP資料!$G:$G, (MATCH(925, 輔助計算!$G$2:$G$801, 0)+1))&lt;=1181,2,1))))&gt;0, IF(IF(INDEX(ERP資料!$G:$G, (MATCH(925, 輔助計算!$G$2:$G$801, 0)+1))&lt;100, IF(INDEX(ERP資料!$G:$G, (MATCH(925, 輔助計算!$G$2:$G$801, 0)+1))&lt;=31,3,IF(INDEX(ERP資料!$G:$G, (MATCH(925, 輔助計算!$G$2:$G$801, 0)+1))&lt;=46.5,2,1)), IF(INDEX(ERP資料!$G:$G, (MATCH(925, 輔助計算!$G$2:$G$801, 0)+1))&lt;=790,3,IF(INDEX(ERP資料!$G:$G, (MATCH(925, 輔助計算!$G$2:$G$801, 0)+1))&lt;=1181,2,1)))=1,TEXT(INDEX(ERP資料!$G:$G, (MATCH(925, 輔助計算!$G$2:$G$801, 0)+1)),"0.##"),IF(IF(INDEX(ERP資料!$G:$G, (MATCH(925, 輔助計算!$G$2:$G$801, 0)+1))&lt;100, IF(INDEX(ERP資料!$G:$G, (MATCH(925, 輔助計算!$G$2:$G$801, 0)+1))&lt;=31,3,IF(INDEX(ERP資料!$G:$G, (MATCH(925, 輔助計算!$G$2:$G$801, 0)+1))&lt;=46.5,2,1)), IF(INDEX(ERP資料!$G:$G, (MATCH(925, 輔助計算!$G$2:$G$801, 0)+1))&lt;=790,3,IF(INDEX(ERP資料!$G:$G, (MATCH(925, 輔助計算!$G$2:$G$801, 0)+1))&lt;=1181,2,1)))=2,TEXT(INDEX(ERP資料!$G:$G, (MATCH(925, 輔助計算!$G$2:$G$801, 0)+1)),"0.##")&amp;"+"&amp;TEXT(INDEX(ERP資料!$G:$G, (MATCH(925, 輔助計算!$G$2:$G$801, 0)+1)),"0.##"),TEXT(INDEX(ERP資料!$G:$G, (MATCH(925, 輔助計算!$G$2:$G$801, 0)+1)),"0.##")&amp;"+"&amp;TEXT(INDEX(ERP資料!$G:$G, (MATCH(925, 輔助計算!$G$2:$G$801, 0)+1)),"0.##")&amp;"+"&amp;TEXT(INDEX(ERP資料!$G:$G, (MATCH(925, 輔助計算!$G$2:$G$801, 0)+1)),"0.##")))&amp;"-"&amp;INT(INDEX(輔助計算!$D:$D, (MATCH(925, 輔助計算!$G$2:$G$801, 0)+1))/IF(INDEX(ERP資料!$G:$G, (MATCH(925, 輔助計算!$G$2:$G$801, 0)+1))&lt;100, IF(INDEX(ERP資料!$G:$G, (MATCH(925, 輔助計算!$G$2:$G$801, 0)+1))&lt;=31,3,IF(INDEX(ERP資料!$G:$G, (MATCH(925, 輔助計算!$G$2:$G$801, 0)+1))&lt;=46.5,2,1)), IF(INDEX(ERP資料!$G:$G, (MATCH(925, 輔助計算!$G$2:$G$801, 0)+1))&lt;=790,3,IF(INDEX(ERP資料!$G:$G, (MATCH(925, 輔助計算!$G$2:$G$801, 0)+1))&lt;=1181,2,1)))), "")&amp;IF(AND(IF(INT(INDEX(輔助計算!$D:$D, (MATCH(925, 輔助計算!$G$2:$G$801, 0)+1))/IF(INDEX(ERP資料!$G:$G, (MATCH(925, 輔助計算!$G$2:$G$801, 0)+1))&lt;100, IF(INDEX(ERP資料!$G:$G, (MATCH(925, 輔助計算!$G$2:$G$801, 0)+1))&lt;=31,3,IF(INDEX(ERP資料!$G:$G, (MATCH(925, 輔助計算!$G$2:$G$801, 0)+1))&lt;=46.5,2,1)), IF(INDEX(ERP資料!$G:$G, (MATCH(925, 輔助計算!$G$2:$G$801, 0)+1))&lt;=790,3,IF(INDEX(ERP資料!$G:$G, (MATCH(925, 輔助計算!$G$2:$G$801, 0)+1))&lt;=1181,2,1))))&gt;0, IF(IF(INDEX(ERP資料!$G:$G, (MATCH(925, 輔助計算!$G$2:$G$801, 0)+1))&lt;100, IF(INDEX(ERP資料!$G:$G, (MATCH(925, 輔助計算!$G$2:$G$801, 0)+1))&lt;=31,3,IF(INDEX(ERP資料!$G:$G, (MATCH(925, 輔助計算!$G$2:$G$801, 0)+1))&lt;=46.5,2,1)), IF(INDEX(ERP資料!$G:$G, (MATCH(925, 輔助計算!$G$2:$G$801, 0)+1))&lt;=790,3,IF(INDEX(ERP資料!$G:$G, (MATCH(925, 輔助計算!$G$2:$G$801, 0)+1))&lt;=1181,2,1)))=1,TEXT(INDEX(ERP資料!$G:$G, (MATCH(925, 輔助計算!$G$2:$G$801, 0)+1)),"0.##"),IF(IF(INDEX(ERP資料!$G:$G, (MATCH(925, 輔助計算!$G$2:$G$801, 0)+1))&lt;100, IF(INDEX(ERP資料!$G:$G, (MATCH(925, 輔助計算!$G$2:$G$801, 0)+1))&lt;=31,3,IF(INDEX(ERP資料!$G:$G, (MATCH(925, 輔助計算!$G$2:$G$801, 0)+1))&lt;=46.5,2,1)), IF(INDEX(ERP資料!$G:$G, (MATCH(925, 輔助計算!$G$2:$G$801, 0)+1))&lt;=790,3,IF(INDEX(ERP資料!$G:$G, (MATCH(925, 輔助計算!$G$2:$G$801, 0)+1))&lt;=1181,2,1)))=2,TEXT(INDEX(ERP資料!$G:$G, (MATCH(925, 輔助計算!$G$2:$G$801, 0)+1)),"0.##")&amp;"+"&amp;TEXT(INDEX(ERP資料!$G:$G, (MATCH(925, 輔助計算!$G$2:$G$801, 0)+1)),"0.##"),TEXT(INDEX(ERP資料!$G:$G, (MATCH(925, 輔助計算!$G$2:$G$801, 0)+1)),"0.##")&amp;"+"&amp;TEXT(INDEX(ERP資料!$G:$G, (MATCH(925, 輔助計算!$G$2:$G$801, 0)+1)),"0.##")&amp;"+"&amp;TEXT(INDEX(ERP資料!$G:$G, (MATCH(925, 輔助計算!$G$2:$G$801, 0)+1)),"0.##")))&amp;"-"&amp;INT(INDEX(輔助計算!$D:$D, (MATCH(925, 輔助計算!$G$2:$G$801, 0)+1))/IF(INDEX(ERP資料!$G:$G, (MATCH(925, 輔助計算!$G$2:$G$801, 0)+1))&lt;100, IF(INDEX(ERP資料!$G:$G, (MATCH(925, 輔助計算!$G$2:$G$801, 0)+1))&lt;=31,3,IF(INDEX(ERP資料!$G:$G, (MATCH(925, 輔助計算!$G$2:$G$801, 0)+1))&lt;=46.5,2,1)), IF(INDEX(ERP資料!$G:$G, (MATCH(925, 輔助計算!$G$2:$G$801, 0)+1))&lt;=790,3,IF(INDEX(ERP資料!$G:$G, (MATCH(925, 輔助計算!$G$2:$G$801, 0)+1))&lt;=1181,2,1)))), "")&lt;&gt;"",IF(MOD(INDEX(輔助計算!$D:$D, (MATCH(925, 輔助計算!$G$2:$G$801, 0)+1)),IF(INDEX(ERP資料!$G:$G, (MATCH(925, 輔助計算!$G$2:$G$801, 0)+1))&lt;100, IF(INDEX(ERP資料!$G:$G, (MATCH(925, 輔助計算!$G$2:$G$801, 0)+1))&lt;=31,3,IF(INDEX(ERP資料!$G:$G, (MATCH(925, 輔助計算!$G$2:$G$801, 0)+1))&lt;=46.5,2,1)), IF(INDEX(ERP資料!$G:$G, (MATCH(925, 輔助計算!$G$2:$G$801, 0)+1))&lt;=790,3,IF(INDEX(ERP資料!$G:$G, (MATCH(925, 輔助計算!$G$2:$G$801, 0)+1))&lt;=1181,2,1))))=0,"",IF(MOD(INDEX(輔助計算!$D:$D, (MATCH(925, 輔助計算!$G$2:$G$801, 0)+1)),IF(INDEX(ERP資料!$G:$G, (MATCH(925, 輔助計算!$G$2:$G$801, 0)+1))&lt;100, IF(INDEX(ERP資料!$G:$G, (MATCH(925, 輔助計算!$G$2:$G$801, 0)+1))&lt;=31,3,IF(INDEX(ERP資料!$G:$G, (MATCH(925, 輔助計算!$G$2:$G$801, 0)+1))&lt;=46.5,2,1)), IF(INDEX(ERP資料!$G:$G, (MATCH(925, 輔助計算!$G$2:$G$801, 0)+1))&lt;=790,3,IF(INDEX(ERP資料!$G:$G, (MATCH(925, 輔助計算!$G$2:$G$801, 0)+1))&lt;=1181,2,1))))=0,"",IF(MOD(INDEX(輔助計算!$D:$D, (MATCH(925, 輔助計算!$G$2:$G$801, 0)+1)),IF(INDEX(ERP資料!$G:$G, (MATCH(925, 輔助計算!$G$2:$G$801, 0)+1))&lt;100, IF(INDEX(ERP資料!$G:$G, (MATCH(925, 輔助計算!$G$2:$G$801, 0)+1))&lt;=31,3,IF(INDEX(ERP資料!$G:$G, (MATCH(925, 輔助計算!$G$2:$G$801, 0)+1))&lt;=46.5,2,1)), IF(INDEX(ERP資料!$G:$G, (MATCH(925, 輔助計算!$G$2:$G$801, 0)+1))&lt;=790,3,IF(INDEX(ERP資料!$G:$G, (MATCH(925, 輔助計算!$G$2:$G$801, 0)+1))&lt;=1181,2,1))))=1,TEXT(INDEX(ERP資料!$G:$G, (MATCH(925, 輔助計算!$G$2:$G$801, 0)+1)),"0.##"),IF(MOD(INDEX(輔助計算!$D:$D, (MATCH(925, 輔助計算!$G$2:$G$801, 0)+1)),IF(INDEX(ERP資料!$G:$G, (MATCH(925, 輔助計算!$G$2:$G$801, 0)+1))&lt;100, IF(INDEX(ERP資料!$G:$G, (MATCH(925, 輔助計算!$G$2:$G$801, 0)+1))&lt;=31,3,IF(INDEX(ERP資料!$G:$G, (MATCH(925, 輔助計算!$G$2:$G$801, 0)+1))&lt;=46.5,2,1)), IF(INDEX(ERP資料!$G:$G, (MATCH(925, 輔助計算!$G$2:$G$801, 0)+1))&lt;=790,3,IF(INDEX(ERP資料!$G:$G, (MATCH(925, 輔助計算!$G$2:$G$801, 0)+1))&lt;=1181,2,1))))=2,TEXT(INDEX(ERP資料!$G:$G, (MATCH(925, 輔助計算!$G$2:$G$801, 0)+1)),"0.##")&amp;"+"&amp;TEXT(INDEX(ERP資料!$G:$G, (MATCH(925, 輔助計算!$G$2:$G$801, 0)+1)),"0.##"),TEXT(INDEX(ERP資料!$G:$G, (MATCH(925, 輔助計算!$G$2:$G$801, 0)+1)),"0.##")&amp;"+"&amp;TEXT(INDEX(ERP資料!$G:$G, (MATCH(925, 輔助計算!$G$2:$G$801, 0)+1)),"0.##")&amp;"+"&amp;TEXT(INDEX(ERP資料!$G:$G, (MATCH(925, 輔助計算!$G$2:$G$801, 0)+1)),"0.##"))))&amp;"-1")&lt;&gt;""),"  ","")&amp;IF(MOD(INDEX(輔助計算!$D:$D, (MATCH(925, 輔助計算!$G$2:$G$801, 0)+1)),IF(INDEX(ERP資料!$G:$G, (MATCH(925, 輔助計算!$G$2:$G$801, 0)+1))&lt;100, IF(INDEX(ERP資料!$G:$G, (MATCH(925, 輔助計算!$G$2:$G$801, 0)+1))&lt;=31,3,IF(INDEX(ERP資料!$G:$G, (MATCH(925, 輔助計算!$G$2:$G$801, 0)+1))&lt;=46.5,2,1)), IF(INDEX(ERP資料!$G:$G, (MATCH(925, 輔助計算!$G$2:$G$801, 0)+1))&lt;=790,3,IF(INDEX(ERP資料!$G:$G, (MATCH(925, 輔助計算!$G$2:$G$801, 0)+1))&lt;=1181,2,1))))=0,"",IF(MOD(INDEX(輔助計算!$D:$D, (MATCH(925, 輔助計算!$G$2:$G$801, 0)+1)),IF(INDEX(ERP資料!$G:$G, (MATCH(925, 輔助計算!$G$2:$G$801, 0)+1))&lt;100, IF(INDEX(ERP資料!$G:$G, (MATCH(925, 輔助計算!$G$2:$G$801, 0)+1))&lt;=31,3,IF(INDEX(ERP資料!$G:$G, (MATCH(925, 輔助計算!$G$2:$G$801, 0)+1))&lt;=46.5,2,1)), IF(INDEX(ERP資料!$G:$G, (MATCH(925, 輔助計算!$G$2:$G$801, 0)+1))&lt;=790,3,IF(INDEX(ERP資料!$G:$G, (MATCH(925, 輔助計算!$G$2:$G$801, 0)+1))&lt;=1181,2,1))))=0,"",IF(MOD(INDEX(輔助計算!$D:$D, (MATCH(925, 輔助計算!$G$2:$G$801, 0)+1)),IF(INDEX(ERP資料!$G:$G, (MATCH(925, 輔助計算!$G$2:$G$801, 0)+1))&lt;100, IF(INDEX(ERP資料!$G:$G, (MATCH(925, 輔助計算!$G$2:$G$801, 0)+1))&lt;=31,3,IF(INDEX(ERP資料!$G:$G, (MATCH(925, 輔助計算!$G$2:$G$801, 0)+1))&lt;=46.5,2,1)), IF(INDEX(ERP資料!$G:$G, (MATCH(925, 輔助計算!$G$2:$G$801, 0)+1))&lt;=790,3,IF(INDEX(ERP資料!$G:$G, (MATCH(925, 輔助計算!$G$2:$G$801, 0)+1))&lt;=1181,2,1))))=1,TEXT(INDEX(ERP資料!$G:$G, (MATCH(925, 輔助計算!$G$2:$G$801, 0)+1)),"0.##"),IF(MOD(INDEX(輔助計算!$D:$D, (MATCH(925, 輔助計算!$G$2:$G$801, 0)+1)),IF(INDEX(ERP資料!$G:$G, (MATCH(925, 輔助計算!$G$2:$G$801, 0)+1))&lt;100, IF(INDEX(ERP資料!$G:$G, (MATCH(925, 輔助計算!$G$2:$G$801, 0)+1))&lt;=31,3,IF(INDEX(ERP資料!$G:$G, (MATCH(925, 輔助計算!$G$2:$G$801, 0)+1))&lt;=46.5,2,1)), IF(INDEX(ERP資料!$G:$G, (MATCH(925, 輔助計算!$G$2:$G$801, 0)+1))&lt;=790,3,IF(INDEX(ERP資料!$G:$G, (MATCH(925, 輔助計算!$G$2:$G$801, 0)+1))&lt;=1181,2,1))))=2,TEXT(INDEX(ERP資料!$G:$G, (MATCH(925, 輔助計算!$G$2:$G$801, 0)+1)),"0.##")&amp;"+"&amp;TEXT(INDEX(ERP資料!$G:$G, (MATCH(925, 輔助計算!$G$2:$G$801, 0)+1)),"0.##"),TEXT(INDEX(ERP資料!$G:$G, (MATCH(925, 輔助計算!$G$2:$G$801, 0)+1)),"0.##")&amp;"+"&amp;TEXT(INDEX(ERP資料!$G:$G, (MATCH(925, 輔助計算!$G$2:$G$801, 0)+1)),"0.##")&amp;"+"&amp;TEXT(INDEX(ERP資料!$G:$G, (MATCH(925, 輔助計算!$G$2:$G$801, 0)+1)),"0.##"))))&amp;"-1")), ""), "")</f>
        <v/>
      </c>
      <c r="K926" s="16" t="n"/>
      <c r="L926" s="14">
        <f>IFERROR(IF(AND(IFERROR(INDEX(ERP資料!$A:$A, (MATCH(925, 輔助計算!$G$2:$G$801, 0)+1)), "")&lt;&gt;"", IFERROR(INDEX(ERP資料!$A:$A, (MATCH(925, 輔助計算!$G$2:$G$801, 0)+1)), "")&lt;&gt;IFERROR(INDEX(ERP資料!$A:$A, MATCH(924, 輔助計算!$G$2:$G$801, 0)+1), "")), INDEX(ERP資料!$B:$B, (MATCH(925, 輔助計算!$G$2:$G$801, 0)+1)), ""), "")</f>
        <v/>
      </c>
      <c r="M926" s="17" t="n"/>
    </row>
    <row r="927">
      <c r="A927" s="10">
        <f>IFERROR(IF(AND(IFERROR(INDEX(ERP資料!$A:$A, (MATCH(926, 輔助計算!$G$2:$G$801, 0)+1)), "")&lt;&gt;"", IFERROR(INDEX(ERP資料!$A:$A, (MATCH(926, 輔助計算!$G$2:$G$801, 0)+1)), "")&lt;&gt;IFERROR(INDEX(ERP資料!$A:$A, MATCH(925, 輔助計算!$G$2:$G$801, 0)+1), "")), IFERROR(INDEX(ERP資料!$A:$A, (MATCH(926, 輔助計算!$G$2:$G$801, 0)+1)), ""), ""), "")</f>
        <v/>
      </c>
      <c r="B927" s="10">
        <f>IFERROR(IF(AND(IFERROR(INDEX(ERP資料!$A:$A, (MATCH(926, 輔助計算!$G$2:$G$801, 0)+1)), "")&lt;&gt;"", IFERROR(INDEX(ERP資料!$A:$A, (MATCH(926, 輔助計算!$G$2:$G$801, 0)+1)), "")&lt;&gt;IFERROR(INDEX(ERP資料!$A:$A, MATCH(925, 輔助計算!$G$2:$G$801, 0)+1), "")), INDEX(ERP資料!$S:$S, (MATCH(926, 輔助計算!$G$2:$G$801, 0)+1)), ""), "")</f>
        <v/>
      </c>
      <c r="C927" s="19">
        <f>IFERROR(IF(AND(IFERROR(INDEX(ERP資料!$A:$A, (MATCH(926, 輔助計算!$G$2:$G$801, 0)+1)), "")&lt;&gt;"", IFERROR(INDEX(ERP資料!$A:$A, (MATCH(926, 輔助計算!$G$2:$G$801, 0)+1)), "")&lt;&gt;IFERROR(INDEX(ERP資料!$A:$A, MATCH(925, 輔助計算!$G$2:$G$801, 0)+1), "")), IFERROR(VLOOKUP(LEFT(INDEX(ERP資料!$S:$S, (MATCH(926, 輔助計算!$G$2:$G$801, 0)+1)), 4), 紙管對照表!$A:$C, 3, FALSE), ""), ""), "")</f>
        <v/>
      </c>
      <c r="D927" s="16" t="n"/>
      <c r="E927" s="10">
        <f>IFERROR(IF(INDEX(ERP資料!$H:$H, (MATCH(926, 輔助計算!$G$2:$G$801, 0)+1))="","",INDEX(ERP資料!$H:$H, (MATCH(926, 輔助計算!$G$2:$G$801, 0)+1))), "")</f>
        <v/>
      </c>
      <c r="F927" s="10">
        <f>IFERROR(IF(INDEX(ERP資料!$E:$E, (MATCH(926, 輔助計算!$G$2:$G$801, 0)+1))="","",TRIM(INDEX(ERP資料!$E:$E, (MATCH(926, 輔助計算!$G$2:$G$801, 0)+1)))), "")</f>
        <v/>
      </c>
      <c r="G927" s="10">
        <f>IFERROR(IF(INDEX(ERP資料!$F:$F, (MATCH(926, 輔助計算!$G$2:$G$801, 0)+1))="","",INDEX(ERP資料!$F:$F, (MATCH(926, 輔助計算!$G$2:$G$801, 0)+1))), "")</f>
        <v/>
      </c>
      <c r="H927" s="10">
        <f>IFERROR(IF(INDEX(ERP資料!$G:$G, (MATCH(926, 輔助計算!$G$2:$G$801, 0)+1))="","",INDEX(ERP資料!$G:$G, (MATCH(926, 輔助計算!$G$2:$G$801, 0)+1))), "")</f>
        <v/>
      </c>
      <c r="I927" s="15">
        <f>IFERROR(INDEX(輔助計算!$D:$D, (MATCH(926, 輔助計算!$G$2:$G$801, 0)+1)), "")</f>
        <v/>
      </c>
      <c r="J927" s="15">
        <f>IFERROR(IF(AND(INDEX(輔助計算!$D:$D, (MATCH(926, 輔助計算!$G$2:$G$801, 0)+1))&lt;&gt;"", INDEX(ERP資料!$G:$G, (MATCH(926, 輔助計算!$G$2:$G$801, 0)+1))&lt;&gt;""), TRIM(IF(INT(INDEX(輔助計算!$D:$D, (MATCH(926, 輔助計算!$G$2:$G$801, 0)+1))/IF(INDEX(ERP資料!$G:$G, (MATCH(926, 輔助計算!$G$2:$G$801, 0)+1))&lt;100, IF(INDEX(ERP資料!$G:$G, (MATCH(926, 輔助計算!$G$2:$G$801, 0)+1))&lt;=31,3,IF(INDEX(ERP資料!$G:$G, (MATCH(926, 輔助計算!$G$2:$G$801, 0)+1))&lt;=46.5,2,1)), IF(INDEX(ERP資料!$G:$G, (MATCH(926, 輔助計算!$G$2:$G$801, 0)+1))&lt;=790,3,IF(INDEX(ERP資料!$G:$G, (MATCH(926, 輔助計算!$G$2:$G$801, 0)+1))&lt;=1181,2,1))))&gt;0, IF(IF(INDEX(ERP資料!$G:$G, (MATCH(926, 輔助計算!$G$2:$G$801, 0)+1))&lt;100, IF(INDEX(ERP資料!$G:$G, (MATCH(926, 輔助計算!$G$2:$G$801, 0)+1))&lt;=31,3,IF(INDEX(ERP資料!$G:$G, (MATCH(926, 輔助計算!$G$2:$G$801, 0)+1))&lt;=46.5,2,1)), IF(INDEX(ERP資料!$G:$G, (MATCH(926, 輔助計算!$G$2:$G$801, 0)+1))&lt;=790,3,IF(INDEX(ERP資料!$G:$G, (MATCH(926, 輔助計算!$G$2:$G$801, 0)+1))&lt;=1181,2,1)))=1,TEXT(INDEX(ERP資料!$G:$G, (MATCH(926, 輔助計算!$G$2:$G$801, 0)+1)),"0.##"),IF(IF(INDEX(ERP資料!$G:$G, (MATCH(926, 輔助計算!$G$2:$G$801, 0)+1))&lt;100, IF(INDEX(ERP資料!$G:$G, (MATCH(926, 輔助計算!$G$2:$G$801, 0)+1))&lt;=31,3,IF(INDEX(ERP資料!$G:$G, (MATCH(926, 輔助計算!$G$2:$G$801, 0)+1))&lt;=46.5,2,1)), IF(INDEX(ERP資料!$G:$G, (MATCH(926, 輔助計算!$G$2:$G$801, 0)+1))&lt;=790,3,IF(INDEX(ERP資料!$G:$G, (MATCH(926, 輔助計算!$G$2:$G$801, 0)+1))&lt;=1181,2,1)))=2,TEXT(INDEX(ERP資料!$G:$G, (MATCH(926, 輔助計算!$G$2:$G$801, 0)+1)),"0.##")&amp;"+"&amp;TEXT(INDEX(ERP資料!$G:$G, (MATCH(926, 輔助計算!$G$2:$G$801, 0)+1)),"0.##"),TEXT(INDEX(ERP資料!$G:$G, (MATCH(926, 輔助計算!$G$2:$G$801, 0)+1)),"0.##")&amp;"+"&amp;TEXT(INDEX(ERP資料!$G:$G, (MATCH(926, 輔助計算!$G$2:$G$801, 0)+1)),"0.##")&amp;"+"&amp;TEXT(INDEX(ERP資料!$G:$G, (MATCH(926, 輔助計算!$G$2:$G$801, 0)+1)),"0.##")))&amp;"-"&amp;INT(INDEX(輔助計算!$D:$D, (MATCH(926, 輔助計算!$G$2:$G$801, 0)+1))/IF(INDEX(ERP資料!$G:$G, (MATCH(926, 輔助計算!$G$2:$G$801, 0)+1))&lt;100, IF(INDEX(ERP資料!$G:$G, (MATCH(926, 輔助計算!$G$2:$G$801, 0)+1))&lt;=31,3,IF(INDEX(ERP資料!$G:$G, (MATCH(926, 輔助計算!$G$2:$G$801, 0)+1))&lt;=46.5,2,1)), IF(INDEX(ERP資料!$G:$G, (MATCH(926, 輔助計算!$G$2:$G$801, 0)+1))&lt;=790,3,IF(INDEX(ERP資料!$G:$G, (MATCH(926, 輔助計算!$G$2:$G$801, 0)+1))&lt;=1181,2,1)))), "")&amp;IF(AND(IF(INT(INDEX(輔助計算!$D:$D, (MATCH(926, 輔助計算!$G$2:$G$801, 0)+1))/IF(INDEX(ERP資料!$G:$G, (MATCH(926, 輔助計算!$G$2:$G$801, 0)+1))&lt;100, IF(INDEX(ERP資料!$G:$G, (MATCH(926, 輔助計算!$G$2:$G$801, 0)+1))&lt;=31,3,IF(INDEX(ERP資料!$G:$G, (MATCH(926, 輔助計算!$G$2:$G$801, 0)+1))&lt;=46.5,2,1)), IF(INDEX(ERP資料!$G:$G, (MATCH(926, 輔助計算!$G$2:$G$801, 0)+1))&lt;=790,3,IF(INDEX(ERP資料!$G:$G, (MATCH(926, 輔助計算!$G$2:$G$801, 0)+1))&lt;=1181,2,1))))&gt;0, IF(IF(INDEX(ERP資料!$G:$G, (MATCH(926, 輔助計算!$G$2:$G$801, 0)+1))&lt;100, IF(INDEX(ERP資料!$G:$G, (MATCH(926, 輔助計算!$G$2:$G$801, 0)+1))&lt;=31,3,IF(INDEX(ERP資料!$G:$G, (MATCH(926, 輔助計算!$G$2:$G$801, 0)+1))&lt;=46.5,2,1)), IF(INDEX(ERP資料!$G:$G, (MATCH(926, 輔助計算!$G$2:$G$801, 0)+1))&lt;=790,3,IF(INDEX(ERP資料!$G:$G, (MATCH(926, 輔助計算!$G$2:$G$801, 0)+1))&lt;=1181,2,1)))=1,TEXT(INDEX(ERP資料!$G:$G, (MATCH(926, 輔助計算!$G$2:$G$801, 0)+1)),"0.##"),IF(IF(INDEX(ERP資料!$G:$G, (MATCH(926, 輔助計算!$G$2:$G$801, 0)+1))&lt;100, IF(INDEX(ERP資料!$G:$G, (MATCH(926, 輔助計算!$G$2:$G$801, 0)+1))&lt;=31,3,IF(INDEX(ERP資料!$G:$G, (MATCH(926, 輔助計算!$G$2:$G$801, 0)+1))&lt;=46.5,2,1)), IF(INDEX(ERP資料!$G:$G, (MATCH(926, 輔助計算!$G$2:$G$801, 0)+1))&lt;=790,3,IF(INDEX(ERP資料!$G:$G, (MATCH(926, 輔助計算!$G$2:$G$801, 0)+1))&lt;=1181,2,1)))=2,TEXT(INDEX(ERP資料!$G:$G, (MATCH(926, 輔助計算!$G$2:$G$801, 0)+1)),"0.##")&amp;"+"&amp;TEXT(INDEX(ERP資料!$G:$G, (MATCH(926, 輔助計算!$G$2:$G$801, 0)+1)),"0.##"),TEXT(INDEX(ERP資料!$G:$G, (MATCH(926, 輔助計算!$G$2:$G$801, 0)+1)),"0.##")&amp;"+"&amp;TEXT(INDEX(ERP資料!$G:$G, (MATCH(926, 輔助計算!$G$2:$G$801, 0)+1)),"0.##")&amp;"+"&amp;TEXT(INDEX(ERP資料!$G:$G, (MATCH(926, 輔助計算!$G$2:$G$801, 0)+1)),"0.##")))&amp;"-"&amp;INT(INDEX(輔助計算!$D:$D, (MATCH(926, 輔助計算!$G$2:$G$801, 0)+1))/IF(INDEX(ERP資料!$G:$G, (MATCH(926, 輔助計算!$G$2:$G$801, 0)+1))&lt;100, IF(INDEX(ERP資料!$G:$G, (MATCH(926, 輔助計算!$G$2:$G$801, 0)+1))&lt;=31,3,IF(INDEX(ERP資料!$G:$G, (MATCH(926, 輔助計算!$G$2:$G$801, 0)+1))&lt;=46.5,2,1)), IF(INDEX(ERP資料!$G:$G, (MATCH(926, 輔助計算!$G$2:$G$801, 0)+1))&lt;=790,3,IF(INDEX(ERP資料!$G:$G, (MATCH(926, 輔助計算!$G$2:$G$801, 0)+1))&lt;=1181,2,1)))), "")&lt;&gt;"",IF(MOD(INDEX(輔助計算!$D:$D, (MATCH(926, 輔助計算!$G$2:$G$801, 0)+1)),IF(INDEX(ERP資料!$G:$G, (MATCH(926, 輔助計算!$G$2:$G$801, 0)+1))&lt;100, IF(INDEX(ERP資料!$G:$G, (MATCH(926, 輔助計算!$G$2:$G$801, 0)+1))&lt;=31,3,IF(INDEX(ERP資料!$G:$G, (MATCH(926, 輔助計算!$G$2:$G$801, 0)+1))&lt;=46.5,2,1)), IF(INDEX(ERP資料!$G:$G, (MATCH(926, 輔助計算!$G$2:$G$801, 0)+1))&lt;=790,3,IF(INDEX(ERP資料!$G:$G, (MATCH(926, 輔助計算!$G$2:$G$801, 0)+1))&lt;=1181,2,1))))=0,"",IF(MOD(INDEX(輔助計算!$D:$D, (MATCH(926, 輔助計算!$G$2:$G$801, 0)+1)),IF(INDEX(ERP資料!$G:$G, (MATCH(926, 輔助計算!$G$2:$G$801, 0)+1))&lt;100, IF(INDEX(ERP資料!$G:$G, (MATCH(926, 輔助計算!$G$2:$G$801, 0)+1))&lt;=31,3,IF(INDEX(ERP資料!$G:$G, (MATCH(926, 輔助計算!$G$2:$G$801, 0)+1))&lt;=46.5,2,1)), IF(INDEX(ERP資料!$G:$G, (MATCH(926, 輔助計算!$G$2:$G$801, 0)+1))&lt;=790,3,IF(INDEX(ERP資料!$G:$G, (MATCH(926, 輔助計算!$G$2:$G$801, 0)+1))&lt;=1181,2,1))))=0,"",IF(MOD(INDEX(輔助計算!$D:$D, (MATCH(926, 輔助計算!$G$2:$G$801, 0)+1)),IF(INDEX(ERP資料!$G:$G, (MATCH(926, 輔助計算!$G$2:$G$801, 0)+1))&lt;100, IF(INDEX(ERP資料!$G:$G, (MATCH(926, 輔助計算!$G$2:$G$801, 0)+1))&lt;=31,3,IF(INDEX(ERP資料!$G:$G, (MATCH(926, 輔助計算!$G$2:$G$801, 0)+1))&lt;=46.5,2,1)), IF(INDEX(ERP資料!$G:$G, (MATCH(926, 輔助計算!$G$2:$G$801, 0)+1))&lt;=790,3,IF(INDEX(ERP資料!$G:$G, (MATCH(926, 輔助計算!$G$2:$G$801, 0)+1))&lt;=1181,2,1))))=1,TEXT(INDEX(ERP資料!$G:$G, (MATCH(926, 輔助計算!$G$2:$G$801, 0)+1)),"0.##"),IF(MOD(INDEX(輔助計算!$D:$D, (MATCH(926, 輔助計算!$G$2:$G$801, 0)+1)),IF(INDEX(ERP資料!$G:$G, (MATCH(926, 輔助計算!$G$2:$G$801, 0)+1))&lt;100, IF(INDEX(ERP資料!$G:$G, (MATCH(926, 輔助計算!$G$2:$G$801, 0)+1))&lt;=31,3,IF(INDEX(ERP資料!$G:$G, (MATCH(926, 輔助計算!$G$2:$G$801, 0)+1))&lt;=46.5,2,1)), IF(INDEX(ERP資料!$G:$G, (MATCH(926, 輔助計算!$G$2:$G$801, 0)+1))&lt;=790,3,IF(INDEX(ERP資料!$G:$G, (MATCH(926, 輔助計算!$G$2:$G$801, 0)+1))&lt;=1181,2,1))))=2,TEXT(INDEX(ERP資料!$G:$G, (MATCH(926, 輔助計算!$G$2:$G$801, 0)+1)),"0.##")&amp;"+"&amp;TEXT(INDEX(ERP資料!$G:$G, (MATCH(926, 輔助計算!$G$2:$G$801, 0)+1)),"0.##"),TEXT(INDEX(ERP資料!$G:$G, (MATCH(926, 輔助計算!$G$2:$G$801, 0)+1)),"0.##")&amp;"+"&amp;TEXT(INDEX(ERP資料!$G:$G, (MATCH(926, 輔助計算!$G$2:$G$801, 0)+1)),"0.##")&amp;"+"&amp;TEXT(INDEX(ERP資料!$G:$G, (MATCH(926, 輔助計算!$G$2:$G$801, 0)+1)),"0.##"))))&amp;"-1")&lt;&gt;""),"  ","")&amp;IF(MOD(INDEX(輔助計算!$D:$D, (MATCH(926, 輔助計算!$G$2:$G$801, 0)+1)),IF(INDEX(ERP資料!$G:$G, (MATCH(926, 輔助計算!$G$2:$G$801, 0)+1))&lt;100, IF(INDEX(ERP資料!$G:$G, (MATCH(926, 輔助計算!$G$2:$G$801, 0)+1))&lt;=31,3,IF(INDEX(ERP資料!$G:$G, (MATCH(926, 輔助計算!$G$2:$G$801, 0)+1))&lt;=46.5,2,1)), IF(INDEX(ERP資料!$G:$G, (MATCH(926, 輔助計算!$G$2:$G$801, 0)+1))&lt;=790,3,IF(INDEX(ERP資料!$G:$G, (MATCH(926, 輔助計算!$G$2:$G$801, 0)+1))&lt;=1181,2,1))))=0,"",IF(MOD(INDEX(輔助計算!$D:$D, (MATCH(926, 輔助計算!$G$2:$G$801, 0)+1)),IF(INDEX(ERP資料!$G:$G, (MATCH(926, 輔助計算!$G$2:$G$801, 0)+1))&lt;100, IF(INDEX(ERP資料!$G:$G, (MATCH(926, 輔助計算!$G$2:$G$801, 0)+1))&lt;=31,3,IF(INDEX(ERP資料!$G:$G, (MATCH(926, 輔助計算!$G$2:$G$801, 0)+1))&lt;=46.5,2,1)), IF(INDEX(ERP資料!$G:$G, (MATCH(926, 輔助計算!$G$2:$G$801, 0)+1))&lt;=790,3,IF(INDEX(ERP資料!$G:$G, (MATCH(926, 輔助計算!$G$2:$G$801, 0)+1))&lt;=1181,2,1))))=0,"",IF(MOD(INDEX(輔助計算!$D:$D, (MATCH(926, 輔助計算!$G$2:$G$801, 0)+1)),IF(INDEX(ERP資料!$G:$G, (MATCH(926, 輔助計算!$G$2:$G$801, 0)+1))&lt;100, IF(INDEX(ERP資料!$G:$G, (MATCH(926, 輔助計算!$G$2:$G$801, 0)+1))&lt;=31,3,IF(INDEX(ERP資料!$G:$G, (MATCH(926, 輔助計算!$G$2:$G$801, 0)+1))&lt;=46.5,2,1)), IF(INDEX(ERP資料!$G:$G, (MATCH(926, 輔助計算!$G$2:$G$801, 0)+1))&lt;=790,3,IF(INDEX(ERP資料!$G:$G, (MATCH(926, 輔助計算!$G$2:$G$801, 0)+1))&lt;=1181,2,1))))=1,TEXT(INDEX(ERP資料!$G:$G, (MATCH(926, 輔助計算!$G$2:$G$801, 0)+1)),"0.##"),IF(MOD(INDEX(輔助計算!$D:$D, (MATCH(926, 輔助計算!$G$2:$G$801, 0)+1)),IF(INDEX(ERP資料!$G:$G, (MATCH(926, 輔助計算!$G$2:$G$801, 0)+1))&lt;100, IF(INDEX(ERP資料!$G:$G, (MATCH(926, 輔助計算!$G$2:$G$801, 0)+1))&lt;=31,3,IF(INDEX(ERP資料!$G:$G, (MATCH(926, 輔助計算!$G$2:$G$801, 0)+1))&lt;=46.5,2,1)), IF(INDEX(ERP資料!$G:$G, (MATCH(926, 輔助計算!$G$2:$G$801, 0)+1))&lt;=790,3,IF(INDEX(ERP資料!$G:$G, (MATCH(926, 輔助計算!$G$2:$G$801, 0)+1))&lt;=1181,2,1))))=2,TEXT(INDEX(ERP資料!$G:$G, (MATCH(926, 輔助計算!$G$2:$G$801, 0)+1)),"0.##")&amp;"+"&amp;TEXT(INDEX(ERP資料!$G:$G, (MATCH(926, 輔助計算!$G$2:$G$801, 0)+1)),"0.##"),TEXT(INDEX(ERP資料!$G:$G, (MATCH(926, 輔助計算!$G$2:$G$801, 0)+1)),"0.##")&amp;"+"&amp;TEXT(INDEX(ERP資料!$G:$G, (MATCH(926, 輔助計算!$G$2:$G$801, 0)+1)),"0.##")&amp;"+"&amp;TEXT(INDEX(ERP資料!$G:$G, (MATCH(926, 輔助計算!$G$2:$G$801, 0)+1)),"0.##"))))&amp;"-1")), ""), "")</f>
        <v/>
      </c>
      <c r="K927" s="16" t="n"/>
      <c r="L927" s="14">
        <f>IFERROR(IF(AND(IFERROR(INDEX(ERP資料!$A:$A, (MATCH(926, 輔助計算!$G$2:$G$801, 0)+1)), "")&lt;&gt;"", IFERROR(INDEX(ERP資料!$A:$A, (MATCH(926, 輔助計算!$G$2:$G$801, 0)+1)), "")&lt;&gt;IFERROR(INDEX(ERP資料!$A:$A, MATCH(925, 輔助計算!$G$2:$G$801, 0)+1), "")), INDEX(ERP資料!$B:$B, (MATCH(926, 輔助計算!$G$2:$G$801, 0)+1)), ""), "")</f>
        <v/>
      </c>
      <c r="M927" s="17" t="n"/>
    </row>
    <row r="928">
      <c r="A928" s="10">
        <f>IFERROR(IF(AND(IFERROR(INDEX(ERP資料!$A:$A, (MATCH(927, 輔助計算!$G$2:$G$801, 0)+1)), "")&lt;&gt;"", IFERROR(INDEX(ERP資料!$A:$A, (MATCH(927, 輔助計算!$G$2:$G$801, 0)+1)), "")&lt;&gt;IFERROR(INDEX(ERP資料!$A:$A, MATCH(926, 輔助計算!$G$2:$G$801, 0)+1), "")), IFERROR(INDEX(ERP資料!$A:$A, (MATCH(927, 輔助計算!$G$2:$G$801, 0)+1)), ""), ""), "")</f>
        <v/>
      </c>
      <c r="B928" s="10">
        <f>IFERROR(IF(AND(IFERROR(INDEX(ERP資料!$A:$A, (MATCH(927, 輔助計算!$G$2:$G$801, 0)+1)), "")&lt;&gt;"", IFERROR(INDEX(ERP資料!$A:$A, (MATCH(927, 輔助計算!$G$2:$G$801, 0)+1)), "")&lt;&gt;IFERROR(INDEX(ERP資料!$A:$A, MATCH(926, 輔助計算!$G$2:$G$801, 0)+1), "")), INDEX(ERP資料!$S:$S, (MATCH(927, 輔助計算!$G$2:$G$801, 0)+1)), ""), "")</f>
        <v/>
      </c>
      <c r="C928" s="19">
        <f>IFERROR(IF(AND(IFERROR(INDEX(ERP資料!$A:$A, (MATCH(927, 輔助計算!$G$2:$G$801, 0)+1)), "")&lt;&gt;"", IFERROR(INDEX(ERP資料!$A:$A, (MATCH(927, 輔助計算!$G$2:$G$801, 0)+1)), "")&lt;&gt;IFERROR(INDEX(ERP資料!$A:$A, MATCH(926, 輔助計算!$G$2:$G$801, 0)+1), "")), IFERROR(VLOOKUP(LEFT(INDEX(ERP資料!$S:$S, (MATCH(927, 輔助計算!$G$2:$G$801, 0)+1)), 4), 紙管對照表!$A:$C, 3, FALSE), ""), ""), "")</f>
        <v/>
      </c>
      <c r="D928" s="16" t="n"/>
      <c r="E928" s="10">
        <f>IFERROR(IF(INDEX(ERP資料!$H:$H, (MATCH(927, 輔助計算!$G$2:$G$801, 0)+1))="","",INDEX(ERP資料!$H:$H, (MATCH(927, 輔助計算!$G$2:$G$801, 0)+1))), "")</f>
        <v/>
      </c>
      <c r="F928" s="10">
        <f>IFERROR(IF(INDEX(ERP資料!$E:$E, (MATCH(927, 輔助計算!$G$2:$G$801, 0)+1))="","",TRIM(INDEX(ERP資料!$E:$E, (MATCH(927, 輔助計算!$G$2:$G$801, 0)+1)))), "")</f>
        <v/>
      </c>
      <c r="G928" s="10">
        <f>IFERROR(IF(INDEX(ERP資料!$F:$F, (MATCH(927, 輔助計算!$G$2:$G$801, 0)+1))="","",INDEX(ERP資料!$F:$F, (MATCH(927, 輔助計算!$G$2:$G$801, 0)+1))), "")</f>
        <v/>
      </c>
      <c r="H928" s="10">
        <f>IFERROR(IF(INDEX(ERP資料!$G:$G, (MATCH(927, 輔助計算!$G$2:$G$801, 0)+1))="","",INDEX(ERP資料!$G:$G, (MATCH(927, 輔助計算!$G$2:$G$801, 0)+1))), "")</f>
        <v/>
      </c>
      <c r="I928" s="15">
        <f>IFERROR(INDEX(輔助計算!$D:$D, (MATCH(927, 輔助計算!$G$2:$G$801, 0)+1)), "")</f>
        <v/>
      </c>
      <c r="J928" s="15">
        <f>IFERROR(IF(AND(INDEX(輔助計算!$D:$D, (MATCH(927, 輔助計算!$G$2:$G$801, 0)+1))&lt;&gt;"", INDEX(ERP資料!$G:$G, (MATCH(927, 輔助計算!$G$2:$G$801, 0)+1))&lt;&gt;""), TRIM(IF(INT(INDEX(輔助計算!$D:$D, (MATCH(927, 輔助計算!$G$2:$G$801, 0)+1))/IF(INDEX(ERP資料!$G:$G, (MATCH(927, 輔助計算!$G$2:$G$801, 0)+1))&lt;100, IF(INDEX(ERP資料!$G:$G, (MATCH(927, 輔助計算!$G$2:$G$801, 0)+1))&lt;=31,3,IF(INDEX(ERP資料!$G:$G, (MATCH(927, 輔助計算!$G$2:$G$801, 0)+1))&lt;=46.5,2,1)), IF(INDEX(ERP資料!$G:$G, (MATCH(927, 輔助計算!$G$2:$G$801, 0)+1))&lt;=790,3,IF(INDEX(ERP資料!$G:$G, (MATCH(927, 輔助計算!$G$2:$G$801, 0)+1))&lt;=1181,2,1))))&gt;0, IF(IF(INDEX(ERP資料!$G:$G, (MATCH(927, 輔助計算!$G$2:$G$801, 0)+1))&lt;100, IF(INDEX(ERP資料!$G:$G, (MATCH(927, 輔助計算!$G$2:$G$801, 0)+1))&lt;=31,3,IF(INDEX(ERP資料!$G:$G, (MATCH(927, 輔助計算!$G$2:$G$801, 0)+1))&lt;=46.5,2,1)), IF(INDEX(ERP資料!$G:$G, (MATCH(927, 輔助計算!$G$2:$G$801, 0)+1))&lt;=790,3,IF(INDEX(ERP資料!$G:$G, (MATCH(927, 輔助計算!$G$2:$G$801, 0)+1))&lt;=1181,2,1)))=1,TEXT(INDEX(ERP資料!$G:$G, (MATCH(927, 輔助計算!$G$2:$G$801, 0)+1)),"0.##"),IF(IF(INDEX(ERP資料!$G:$G, (MATCH(927, 輔助計算!$G$2:$G$801, 0)+1))&lt;100, IF(INDEX(ERP資料!$G:$G, (MATCH(927, 輔助計算!$G$2:$G$801, 0)+1))&lt;=31,3,IF(INDEX(ERP資料!$G:$G, (MATCH(927, 輔助計算!$G$2:$G$801, 0)+1))&lt;=46.5,2,1)), IF(INDEX(ERP資料!$G:$G, (MATCH(927, 輔助計算!$G$2:$G$801, 0)+1))&lt;=790,3,IF(INDEX(ERP資料!$G:$G, (MATCH(927, 輔助計算!$G$2:$G$801, 0)+1))&lt;=1181,2,1)))=2,TEXT(INDEX(ERP資料!$G:$G, (MATCH(927, 輔助計算!$G$2:$G$801, 0)+1)),"0.##")&amp;"+"&amp;TEXT(INDEX(ERP資料!$G:$G, (MATCH(927, 輔助計算!$G$2:$G$801, 0)+1)),"0.##"),TEXT(INDEX(ERP資料!$G:$G, (MATCH(927, 輔助計算!$G$2:$G$801, 0)+1)),"0.##")&amp;"+"&amp;TEXT(INDEX(ERP資料!$G:$G, (MATCH(927, 輔助計算!$G$2:$G$801, 0)+1)),"0.##")&amp;"+"&amp;TEXT(INDEX(ERP資料!$G:$G, (MATCH(927, 輔助計算!$G$2:$G$801, 0)+1)),"0.##")))&amp;"-"&amp;INT(INDEX(輔助計算!$D:$D, (MATCH(927, 輔助計算!$G$2:$G$801, 0)+1))/IF(INDEX(ERP資料!$G:$G, (MATCH(927, 輔助計算!$G$2:$G$801, 0)+1))&lt;100, IF(INDEX(ERP資料!$G:$G, (MATCH(927, 輔助計算!$G$2:$G$801, 0)+1))&lt;=31,3,IF(INDEX(ERP資料!$G:$G, (MATCH(927, 輔助計算!$G$2:$G$801, 0)+1))&lt;=46.5,2,1)), IF(INDEX(ERP資料!$G:$G, (MATCH(927, 輔助計算!$G$2:$G$801, 0)+1))&lt;=790,3,IF(INDEX(ERP資料!$G:$G, (MATCH(927, 輔助計算!$G$2:$G$801, 0)+1))&lt;=1181,2,1)))), "")&amp;IF(AND(IF(INT(INDEX(輔助計算!$D:$D, (MATCH(927, 輔助計算!$G$2:$G$801, 0)+1))/IF(INDEX(ERP資料!$G:$G, (MATCH(927, 輔助計算!$G$2:$G$801, 0)+1))&lt;100, IF(INDEX(ERP資料!$G:$G, (MATCH(927, 輔助計算!$G$2:$G$801, 0)+1))&lt;=31,3,IF(INDEX(ERP資料!$G:$G, (MATCH(927, 輔助計算!$G$2:$G$801, 0)+1))&lt;=46.5,2,1)), IF(INDEX(ERP資料!$G:$G, (MATCH(927, 輔助計算!$G$2:$G$801, 0)+1))&lt;=790,3,IF(INDEX(ERP資料!$G:$G, (MATCH(927, 輔助計算!$G$2:$G$801, 0)+1))&lt;=1181,2,1))))&gt;0, IF(IF(INDEX(ERP資料!$G:$G, (MATCH(927, 輔助計算!$G$2:$G$801, 0)+1))&lt;100, IF(INDEX(ERP資料!$G:$G, (MATCH(927, 輔助計算!$G$2:$G$801, 0)+1))&lt;=31,3,IF(INDEX(ERP資料!$G:$G, (MATCH(927, 輔助計算!$G$2:$G$801, 0)+1))&lt;=46.5,2,1)), IF(INDEX(ERP資料!$G:$G, (MATCH(927, 輔助計算!$G$2:$G$801, 0)+1))&lt;=790,3,IF(INDEX(ERP資料!$G:$G, (MATCH(927, 輔助計算!$G$2:$G$801, 0)+1))&lt;=1181,2,1)))=1,TEXT(INDEX(ERP資料!$G:$G, (MATCH(927, 輔助計算!$G$2:$G$801, 0)+1)),"0.##"),IF(IF(INDEX(ERP資料!$G:$G, (MATCH(927, 輔助計算!$G$2:$G$801, 0)+1))&lt;100, IF(INDEX(ERP資料!$G:$G, (MATCH(927, 輔助計算!$G$2:$G$801, 0)+1))&lt;=31,3,IF(INDEX(ERP資料!$G:$G, (MATCH(927, 輔助計算!$G$2:$G$801, 0)+1))&lt;=46.5,2,1)), IF(INDEX(ERP資料!$G:$G, (MATCH(927, 輔助計算!$G$2:$G$801, 0)+1))&lt;=790,3,IF(INDEX(ERP資料!$G:$G, (MATCH(927, 輔助計算!$G$2:$G$801, 0)+1))&lt;=1181,2,1)))=2,TEXT(INDEX(ERP資料!$G:$G, (MATCH(927, 輔助計算!$G$2:$G$801, 0)+1)),"0.##")&amp;"+"&amp;TEXT(INDEX(ERP資料!$G:$G, (MATCH(927, 輔助計算!$G$2:$G$801, 0)+1)),"0.##"),TEXT(INDEX(ERP資料!$G:$G, (MATCH(927, 輔助計算!$G$2:$G$801, 0)+1)),"0.##")&amp;"+"&amp;TEXT(INDEX(ERP資料!$G:$G, (MATCH(927, 輔助計算!$G$2:$G$801, 0)+1)),"0.##")&amp;"+"&amp;TEXT(INDEX(ERP資料!$G:$G, (MATCH(927, 輔助計算!$G$2:$G$801, 0)+1)),"0.##")))&amp;"-"&amp;INT(INDEX(輔助計算!$D:$D, (MATCH(927, 輔助計算!$G$2:$G$801, 0)+1))/IF(INDEX(ERP資料!$G:$G, (MATCH(927, 輔助計算!$G$2:$G$801, 0)+1))&lt;100, IF(INDEX(ERP資料!$G:$G, (MATCH(927, 輔助計算!$G$2:$G$801, 0)+1))&lt;=31,3,IF(INDEX(ERP資料!$G:$G, (MATCH(927, 輔助計算!$G$2:$G$801, 0)+1))&lt;=46.5,2,1)), IF(INDEX(ERP資料!$G:$G, (MATCH(927, 輔助計算!$G$2:$G$801, 0)+1))&lt;=790,3,IF(INDEX(ERP資料!$G:$G, (MATCH(927, 輔助計算!$G$2:$G$801, 0)+1))&lt;=1181,2,1)))), "")&lt;&gt;"",IF(MOD(INDEX(輔助計算!$D:$D, (MATCH(927, 輔助計算!$G$2:$G$801, 0)+1)),IF(INDEX(ERP資料!$G:$G, (MATCH(927, 輔助計算!$G$2:$G$801, 0)+1))&lt;100, IF(INDEX(ERP資料!$G:$G, (MATCH(927, 輔助計算!$G$2:$G$801, 0)+1))&lt;=31,3,IF(INDEX(ERP資料!$G:$G, (MATCH(927, 輔助計算!$G$2:$G$801, 0)+1))&lt;=46.5,2,1)), IF(INDEX(ERP資料!$G:$G, (MATCH(927, 輔助計算!$G$2:$G$801, 0)+1))&lt;=790,3,IF(INDEX(ERP資料!$G:$G, (MATCH(927, 輔助計算!$G$2:$G$801, 0)+1))&lt;=1181,2,1))))=0,"",IF(MOD(INDEX(輔助計算!$D:$D, (MATCH(927, 輔助計算!$G$2:$G$801, 0)+1)),IF(INDEX(ERP資料!$G:$G, (MATCH(927, 輔助計算!$G$2:$G$801, 0)+1))&lt;100, IF(INDEX(ERP資料!$G:$G, (MATCH(927, 輔助計算!$G$2:$G$801, 0)+1))&lt;=31,3,IF(INDEX(ERP資料!$G:$G, (MATCH(927, 輔助計算!$G$2:$G$801, 0)+1))&lt;=46.5,2,1)), IF(INDEX(ERP資料!$G:$G, (MATCH(927, 輔助計算!$G$2:$G$801, 0)+1))&lt;=790,3,IF(INDEX(ERP資料!$G:$G, (MATCH(927, 輔助計算!$G$2:$G$801, 0)+1))&lt;=1181,2,1))))=0,"",IF(MOD(INDEX(輔助計算!$D:$D, (MATCH(927, 輔助計算!$G$2:$G$801, 0)+1)),IF(INDEX(ERP資料!$G:$G, (MATCH(927, 輔助計算!$G$2:$G$801, 0)+1))&lt;100, IF(INDEX(ERP資料!$G:$G, (MATCH(927, 輔助計算!$G$2:$G$801, 0)+1))&lt;=31,3,IF(INDEX(ERP資料!$G:$G, (MATCH(927, 輔助計算!$G$2:$G$801, 0)+1))&lt;=46.5,2,1)), IF(INDEX(ERP資料!$G:$G, (MATCH(927, 輔助計算!$G$2:$G$801, 0)+1))&lt;=790,3,IF(INDEX(ERP資料!$G:$G, (MATCH(927, 輔助計算!$G$2:$G$801, 0)+1))&lt;=1181,2,1))))=1,TEXT(INDEX(ERP資料!$G:$G, (MATCH(927, 輔助計算!$G$2:$G$801, 0)+1)),"0.##"),IF(MOD(INDEX(輔助計算!$D:$D, (MATCH(927, 輔助計算!$G$2:$G$801, 0)+1)),IF(INDEX(ERP資料!$G:$G, (MATCH(927, 輔助計算!$G$2:$G$801, 0)+1))&lt;100, IF(INDEX(ERP資料!$G:$G, (MATCH(927, 輔助計算!$G$2:$G$801, 0)+1))&lt;=31,3,IF(INDEX(ERP資料!$G:$G, (MATCH(927, 輔助計算!$G$2:$G$801, 0)+1))&lt;=46.5,2,1)), IF(INDEX(ERP資料!$G:$G, (MATCH(927, 輔助計算!$G$2:$G$801, 0)+1))&lt;=790,3,IF(INDEX(ERP資料!$G:$G, (MATCH(927, 輔助計算!$G$2:$G$801, 0)+1))&lt;=1181,2,1))))=2,TEXT(INDEX(ERP資料!$G:$G, (MATCH(927, 輔助計算!$G$2:$G$801, 0)+1)),"0.##")&amp;"+"&amp;TEXT(INDEX(ERP資料!$G:$G, (MATCH(927, 輔助計算!$G$2:$G$801, 0)+1)),"0.##"),TEXT(INDEX(ERP資料!$G:$G, (MATCH(927, 輔助計算!$G$2:$G$801, 0)+1)),"0.##")&amp;"+"&amp;TEXT(INDEX(ERP資料!$G:$G, (MATCH(927, 輔助計算!$G$2:$G$801, 0)+1)),"0.##")&amp;"+"&amp;TEXT(INDEX(ERP資料!$G:$G, (MATCH(927, 輔助計算!$G$2:$G$801, 0)+1)),"0.##"))))&amp;"-1")&lt;&gt;""),"  ","")&amp;IF(MOD(INDEX(輔助計算!$D:$D, (MATCH(927, 輔助計算!$G$2:$G$801, 0)+1)),IF(INDEX(ERP資料!$G:$G, (MATCH(927, 輔助計算!$G$2:$G$801, 0)+1))&lt;100, IF(INDEX(ERP資料!$G:$G, (MATCH(927, 輔助計算!$G$2:$G$801, 0)+1))&lt;=31,3,IF(INDEX(ERP資料!$G:$G, (MATCH(927, 輔助計算!$G$2:$G$801, 0)+1))&lt;=46.5,2,1)), IF(INDEX(ERP資料!$G:$G, (MATCH(927, 輔助計算!$G$2:$G$801, 0)+1))&lt;=790,3,IF(INDEX(ERP資料!$G:$G, (MATCH(927, 輔助計算!$G$2:$G$801, 0)+1))&lt;=1181,2,1))))=0,"",IF(MOD(INDEX(輔助計算!$D:$D, (MATCH(927, 輔助計算!$G$2:$G$801, 0)+1)),IF(INDEX(ERP資料!$G:$G, (MATCH(927, 輔助計算!$G$2:$G$801, 0)+1))&lt;100, IF(INDEX(ERP資料!$G:$G, (MATCH(927, 輔助計算!$G$2:$G$801, 0)+1))&lt;=31,3,IF(INDEX(ERP資料!$G:$G, (MATCH(927, 輔助計算!$G$2:$G$801, 0)+1))&lt;=46.5,2,1)), IF(INDEX(ERP資料!$G:$G, (MATCH(927, 輔助計算!$G$2:$G$801, 0)+1))&lt;=790,3,IF(INDEX(ERP資料!$G:$G, (MATCH(927, 輔助計算!$G$2:$G$801, 0)+1))&lt;=1181,2,1))))=0,"",IF(MOD(INDEX(輔助計算!$D:$D, (MATCH(927, 輔助計算!$G$2:$G$801, 0)+1)),IF(INDEX(ERP資料!$G:$G, (MATCH(927, 輔助計算!$G$2:$G$801, 0)+1))&lt;100, IF(INDEX(ERP資料!$G:$G, (MATCH(927, 輔助計算!$G$2:$G$801, 0)+1))&lt;=31,3,IF(INDEX(ERP資料!$G:$G, (MATCH(927, 輔助計算!$G$2:$G$801, 0)+1))&lt;=46.5,2,1)), IF(INDEX(ERP資料!$G:$G, (MATCH(927, 輔助計算!$G$2:$G$801, 0)+1))&lt;=790,3,IF(INDEX(ERP資料!$G:$G, (MATCH(927, 輔助計算!$G$2:$G$801, 0)+1))&lt;=1181,2,1))))=1,TEXT(INDEX(ERP資料!$G:$G, (MATCH(927, 輔助計算!$G$2:$G$801, 0)+1)),"0.##"),IF(MOD(INDEX(輔助計算!$D:$D, (MATCH(927, 輔助計算!$G$2:$G$801, 0)+1)),IF(INDEX(ERP資料!$G:$G, (MATCH(927, 輔助計算!$G$2:$G$801, 0)+1))&lt;100, IF(INDEX(ERP資料!$G:$G, (MATCH(927, 輔助計算!$G$2:$G$801, 0)+1))&lt;=31,3,IF(INDEX(ERP資料!$G:$G, (MATCH(927, 輔助計算!$G$2:$G$801, 0)+1))&lt;=46.5,2,1)), IF(INDEX(ERP資料!$G:$G, (MATCH(927, 輔助計算!$G$2:$G$801, 0)+1))&lt;=790,3,IF(INDEX(ERP資料!$G:$G, (MATCH(927, 輔助計算!$G$2:$G$801, 0)+1))&lt;=1181,2,1))))=2,TEXT(INDEX(ERP資料!$G:$G, (MATCH(927, 輔助計算!$G$2:$G$801, 0)+1)),"0.##")&amp;"+"&amp;TEXT(INDEX(ERP資料!$G:$G, (MATCH(927, 輔助計算!$G$2:$G$801, 0)+1)),"0.##"),TEXT(INDEX(ERP資料!$G:$G, (MATCH(927, 輔助計算!$G$2:$G$801, 0)+1)),"0.##")&amp;"+"&amp;TEXT(INDEX(ERP資料!$G:$G, (MATCH(927, 輔助計算!$G$2:$G$801, 0)+1)),"0.##")&amp;"+"&amp;TEXT(INDEX(ERP資料!$G:$G, (MATCH(927, 輔助計算!$G$2:$G$801, 0)+1)),"0.##"))))&amp;"-1")), ""), "")</f>
        <v/>
      </c>
      <c r="K928" s="16" t="n"/>
      <c r="L928" s="14">
        <f>IFERROR(IF(AND(IFERROR(INDEX(ERP資料!$A:$A, (MATCH(927, 輔助計算!$G$2:$G$801, 0)+1)), "")&lt;&gt;"", IFERROR(INDEX(ERP資料!$A:$A, (MATCH(927, 輔助計算!$G$2:$G$801, 0)+1)), "")&lt;&gt;IFERROR(INDEX(ERP資料!$A:$A, MATCH(926, 輔助計算!$G$2:$G$801, 0)+1), "")), INDEX(ERP資料!$B:$B, (MATCH(927, 輔助計算!$G$2:$G$801, 0)+1)), ""), "")</f>
        <v/>
      </c>
      <c r="M928" s="17" t="n"/>
    </row>
    <row r="929">
      <c r="A929" s="10">
        <f>IFERROR(IF(AND(IFERROR(INDEX(ERP資料!$A:$A, (MATCH(928, 輔助計算!$G$2:$G$801, 0)+1)), "")&lt;&gt;"", IFERROR(INDEX(ERP資料!$A:$A, (MATCH(928, 輔助計算!$G$2:$G$801, 0)+1)), "")&lt;&gt;IFERROR(INDEX(ERP資料!$A:$A, MATCH(927, 輔助計算!$G$2:$G$801, 0)+1), "")), IFERROR(INDEX(ERP資料!$A:$A, (MATCH(928, 輔助計算!$G$2:$G$801, 0)+1)), ""), ""), "")</f>
        <v/>
      </c>
      <c r="B929" s="10">
        <f>IFERROR(IF(AND(IFERROR(INDEX(ERP資料!$A:$A, (MATCH(928, 輔助計算!$G$2:$G$801, 0)+1)), "")&lt;&gt;"", IFERROR(INDEX(ERP資料!$A:$A, (MATCH(928, 輔助計算!$G$2:$G$801, 0)+1)), "")&lt;&gt;IFERROR(INDEX(ERP資料!$A:$A, MATCH(927, 輔助計算!$G$2:$G$801, 0)+1), "")), INDEX(ERP資料!$S:$S, (MATCH(928, 輔助計算!$G$2:$G$801, 0)+1)), ""), "")</f>
        <v/>
      </c>
      <c r="C929" s="19">
        <f>IFERROR(IF(AND(IFERROR(INDEX(ERP資料!$A:$A, (MATCH(928, 輔助計算!$G$2:$G$801, 0)+1)), "")&lt;&gt;"", IFERROR(INDEX(ERP資料!$A:$A, (MATCH(928, 輔助計算!$G$2:$G$801, 0)+1)), "")&lt;&gt;IFERROR(INDEX(ERP資料!$A:$A, MATCH(927, 輔助計算!$G$2:$G$801, 0)+1), "")), IFERROR(VLOOKUP(LEFT(INDEX(ERP資料!$S:$S, (MATCH(928, 輔助計算!$G$2:$G$801, 0)+1)), 4), 紙管對照表!$A:$C, 3, FALSE), ""), ""), "")</f>
        <v/>
      </c>
      <c r="D929" s="16" t="n"/>
      <c r="E929" s="10">
        <f>IFERROR(IF(INDEX(ERP資料!$H:$H, (MATCH(928, 輔助計算!$G$2:$G$801, 0)+1))="","",INDEX(ERP資料!$H:$H, (MATCH(928, 輔助計算!$G$2:$G$801, 0)+1))), "")</f>
        <v/>
      </c>
      <c r="F929" s="10">
        <f>IFERROR(IF(INDEX(ERP資料!$E:$E, (MATCH(928, 輔助計算!$G$2:$G$801, 0)+1))="","",TRIM(INDEX(ERP資料!$E:$E, (MATCH(928, 輔助計算!$G$2:$G$801, 0)+1)))), "")</f>
        <v/>
      </c>
      <c r="G929" s="10">
        <f>IFERROR(IF(INDEX(ERP資料!$F:$F, (MATCH(928, 輔助計算!$G$2:$G$801, 0)+1))="","",INDEX(ERP資料!$F:$F, (MATCH(928, 輔助計算!$G$2:$G$801, 0)+1))), "")</f>
        <v/>
      </c>
      <c r="H929" s="10">
        <f>IFERROR(IF(INDEX(ERP資料!$G:$G, (MATCH(928, 輔助計算!$G$2:$G$801, 0)+1))="","",INDEX(ERP資料!$G:$G, (MATCH(928, 輔助計算!$G$2:$G$801, 0)+1))), "")</f>
        <v/>
      </c>
      <c r="I929" s="15">
        <f>IFERROR(INDEX(輔助計算!$D:$D, (MATCH(928, 輔助計算!$G$2:$G$801, 0)+1)), "")</f>
        <v/>
      </c>
      <c r="J929" s="15">
        <f>IFERROR(IF(AND(INDEX(輔助計算!$D:$D, (MATCH(928, 輔助計算!$G$2:$G$801, 0)+1))&lt;&gt;"", INDEX(ERP資料!$G:$G, (MATCH(928, 輔助計算!$G$2:$G$801, 0)+1))&lt;&gt;""), TRIM(IF(INT(INDEX(輔助計算!$D:$D, (MATCH(928, 輔助計算!$G$2:$G$801, 0)+1))/IF(INDEX(ERP資料!$G:$G, (MATCH(928, 輔助計算!$G$2:$G$801, 0)+1))&lt;100, IF(INDEX(ERP資料!$G:$G, (MATCH(928, 輔助計算!$G$2:$G$801, 0)+1))&lt;=31,3,IF(INDEX(ERP資料!$G:$G, (MATCH(928, 輔助計算!$G$2:$G$801, 0)+1))&lt;=46.5,2,1)), IF(INDEX(ERP資料!$G:$G, (MATCH(928, 輔助計算!$G$2:$G$801, 0)+1))&lt;=790,3,IF(INDEX(ERP資料!$G:$G, (MATCH(928, 輔助計算!$G$2:$G$801, 0)+1))&lt;=1181,2,1))))&gt;0, IF(IF(INDEX(ERP資料!$G:$G, (MATCH(928, 輔助計算!$G$2:$G$801, 0)+1))&lt;100, IF(INDEX(ERP資料!$G:$G, (MATCH(928, 輔助計算!$G$2:$G$801, 0)+1))&lt;=31,3,IF(INDEX(ERP資料!$G:$G, (MATCH(928, 輔助計算!$G$2:$G$801, 0)+1))&lt;=46.5,2,1)), IF(INDEX(ERP資料!$G:$G, (MATCH(928, 輔助計算!$G$2:$G$801, 0)+1))&lt;=790,3,IF(INDEX(ERP資料!$G:$G, (MATCH(928, 輔助計算!$G$2:$G$801, 0)+1))&lt;=1181,2,1)))=1,TEXT(INDEX(ERP資料!$G:$G, (MATCH(928, 輔助計算!$G$2:$G$801, 0)+1)),"0.##"),IF(IF(INDEX(ERP資料!$G:$G, (MATCH(928, 輔助計算!$G$2:$G$801, 0)+1))&lt;100, IF(INDEX(ERP資料!$G:$G, (MATCH(928, 輔助計算!$G$2:$G$801, 0)+1))&lt;=31,3,IF(INDEX(ERP資料!$G:$G, (MATCH(928, 輔助計算!$G$2:$G$801, 0)+1))&lt;=46.5,2,1)), IF(INDEX(ERP資料!$G:$G, (MATCH(928, 輔助計算!$G$2:$G$801, 0)+1))&lt;=790,3,IF(INDEX(ERP資料!$G:$G, (MATCH(928, 輔助計算!$G$2:$G$801, 0)+1))&lt;=1181,2,1)))=2,TEXT(INDEX(ERP資料!$G:$G, (MATCH(928, 輔助計算!$G$2:$G$801, 0)+1)),"0.##")&amp;"+"&amp;TEXT(INDEX(ERP資料!$G:$G, (MATCH(928, 輔助計算!$G$2:$G$801, 0)+1)),"0.##"),TEXT(INDEX(ERP資料!$G:$G, (MATCH(928, 輔助計算!$G$2:$G$801, 0)+1)),"0.##")&amp;"+"&amp;TEXT(INDEX(ERP資料!$G:$G, (MATCH(928, 輔助計算!$G$2:$G$801, 0)+1)),"0.##")&amp;"+"&amp;TEXT(INDEX(ERP資料!$G:$G, (MATCH(928, 輔助計算!$G$2:$G$801, 0)+1)),"0.##")))&amp;"-"&amp;INT(INDEX(輔助計算!$D:$D, (MATCH(928, 輔助計算!$G$2:$G$801, 0)+1))/IF(INDEX(ERP資料!$G:$G, (MATCH(928, 輔助計算!$G$2:$G$801, 0)+1))&lt;100, IF(INDEX(ERP資料!$G:$G, (MATCH(928, 輔助計算!$G$2:$G$801, 0)+1))&lt;=31,3,IF(INDEX(ERP資料!$G:$G, (MATCH(928, 輔助計算!$G$2:$G$801, 0)+1))&lt;=46.5,2,1)), IF(INDEX(ERP資料!$G:$G, (MATCH(928, 輔助計算!$G$2:$G$801, 0)+1))&lt;=790,3,IF(INDEX(ERP資料!$G:$G, (MATCH(928, 輔助計算!$G$2:$G$801, 0)+1))&lt;=1181,2,1)))), "")&amp;IF(AND(IF(INT(INDEX(輔助計算!$D:$D, (MATCH(928, 輔助計算!$G$2:$G$801, 0)+1))/IF(INDEX(ERP資料!$G:$G, (MATCH(928, 輔助計算!$G$2:$G$801, 0)+1))&lt;100, IF(INDEX(ERP資料!$G:$G, (MATCH(928, 輔助計算!$G$2:$G$801, 0)+1))&lt;=31,3,IF(INDEX(ERP資料!$G:$G, (MATCH(928, 輔助計算!$G$2:$G$801, 0)+1))&lt;=46.5,2,1)), IF(INDEX(ERP資料!$G:$G, (MATCH(928, 輔助計算!$G$2:$G$801, 0)+1))&lt;=790,3,IF(INDEX(ERP資料!$G:$G, (MATCH(928, 輔助計算!$G$2:$G$801, 0)+1))&lt;=1181,2,1))))&gt;0, IF(IF(INDEX(ERP資料!$G:$G, (MATCH(928, 輔助計算!$G$2:$G$801, 0)+1))&lt;100, IF(INDEX(ERP資料!$G:$G, (MATCH(928, 輔助計算!$G$2:$G$801, 0)+1))&lt;=31,3,IF(INDEX(ERP資料!$G:$G, (MATCH(928, 輔助計算!$G$2:$G$801, 0)+1))&lt;=46.5,2,1)), IF(INDEX(ERP資料!$G:$G, (MATCH(928, 輔助計算!$G$2:$G$801, 0)+1))&lt;=790,3,IF(INDEX(ERP資料!$G:$G, (MATCH(928, 輔助計算!$G$2:$G$801, 0)+1))&lt;=1181,2,1)))=1,TEXT(INDEX(ERP資料!$G:$G, (MATCH(928, 輔助計算!$G$2:$G$801, 0)+1)),"0.##"),IF(IF(INDEX(ERP資料!$G:$G, (MATCH(928, 輔助計算!$G$2:$G$801, 0)+1))&lt;100, IF(INDEX(ERP資料!$G:$G, (MATCH(928, 輔助計算!$G$2:$G$801, 0)+1))&lt;=31,3,IF(INDEX(ERP資料!$G:$G, (MATCH(928, 輔助計算!$G$2:$G$801, 0)+1))&lt;=46.5,2,1)), IF(INDEX(ERP資料!$G:$G, (MATCH(928, 輔助計算!$G$2:$G$801, 0)+1))&lt;=790,3,IF(INDEX(ERP資料!$G:$G, (MATCH(928, 輔助計算!$G$2:$G$801, 0)+1))&lt;=1181,2,1)))=2,TEXT(INDEX(ERP資料!$G:$G, (MATCH(928, 輔助計算!$G$2:$G$801, 0)+1)),"0.##")&amp;"+"&amp;TEXT(INDEX(ERP資料!$G:$G, (MATCH(928, 輔助計算!$G$2:$G$801, 0)+1)),"0.##"),TEXT(INDEX(ERP資料!$G:$G, (MATCH(928, 輔助計算!$G$2:$G$801, 0)+1)),"0.##")&amp;"+"&amp;TEXT(INDEX(ERP資料!$G:$G, (MATCH(928, 輔助計算!$G$2:$G$801, 0)+1)),"0.##")&amp;"+"&amp;TEXT(INDEX(ERP資料!$G:$G, (MATCH(928, 輔助計算!$G$2:$G$801, 0)+1)),"0.##")))&amp;"-"&amp;INT(INDEX(輔助計算!$D:$D, (MATCH(928, 輔助計算!$G$2:$G$801, 0)+1))/IF(INDEX(ERP資料!$G:$G, (MATCH(928, 輔助計算!$G$2:$G$801, 0)+1))&lt;100, IF(INDEX(ERP資料!$G:$G, (MATCH(928, 輔助計算!$G$2:$G$801, 0)+1))&lt;=31,3,IF(INDEX(ERP資料!$G:$G, (MATCH(928, 輔助計算!$G$2:$G$801, 0)+1))&lt;=46.5,2,1)), IF(INDEX(ERP資料!$G:$G, (MATCH(928, 輔助計算!$G$2:$G$801, 0)+1))&lt;=790,3,IF(INDEX(ERP資料!$G:$G, (MATCH(928, 輔助計算!$G$2:$G$801, 0)+1))&lt;=1181,2,1)))), "")&lt;&gt;"",IF(MOD(INDEX(輔助計算!$D:$D, (MATCH(928, 輔助計算!$G$2:$G$801, 0)+1)),IF(INDEX(ERP資料!$G:$G, (MATCH(928, 輔助計算!$G$2:$G$801, 0)+1))&lt;100, IF(INDEX(ERP資料!$G:$G, (MATCH(928, 輔助計算!$G$2:$G$801, 0)+1))&lt;=31,3,IF(INDEX(ERP資料!$G:$G, (MATCH(928, 輔助計算!$G$2:$G$801, 0)+1))&lt;=46.5,2,1)), IF(INDEX(ERP資料!$G:$G, (MATCH(928, 輔助計算!$G$2:$G$801, 0)+1))&lt;=790,3,IF(INDEX(ERP資料!$G:$G, (MATCH(928, 輔助計算!$G$2:$G$801, 0)+1))&lt;=1181,2,1))))=0,"",IF(MOD(INDEX(輔助計算!$D:$D, (MATCH(928, 輔助計算!$G$2:$G$801, 0)+1)),IF(INDEX(ERP資料!$G:$G, (MATCH(928, 輔助計算!$G$2:$G$801, 0)+1))&lt;100, IF(INDEX(ERP資料!$G:$G, (MATCH(928, 輔助計算!$G$2:$G$801, 0)+1))&lt;=31,3,IF(INDEX(ERP資料!$G:$G, (MATCH(928, 輔助計算!$G$2:$G$801, 0)+1))&lt;=46.5,2,1)), IF(INDEX(ERP資料!$G:$G, (MATCH(928, 輔助計算!$G$2:$G$801, 0)+1))&lt;=790,3,IF(INDEX(ERP資料!$G:$G, (MATCH(928, 輔助計算!$G$2:$G$801, 0)+1))&lt;=1181,2,1))))=0,"",IF(MOD(INDEX(輔助計算!$D:$D, (MATCH(928, 輔助計算!$G$2:$G$801, 0)+1)),IF(INDEX(ERP資料!$G:$G, (MATCH(928, 輔助計算!$G$2:$G$801, 0)+1))&lt;100, IF(INDEX(ERP資料!$G:$G, (MATCH(928, 輔助計算!$G$2:$G$801, 0)+1))&lt;=31,3,IF(INDEX(ERP資料!$G:$G, (MATCH(928, 輔助計算!$G$2:$G$801, 0)+1))&lt;=46.5,2,1)), IF(INDEX(ERP資料!$G:$G, (MATCH(928, 輔助計算!$G$2:$G$801, 0)+1))&lt;=790,3,IF(INDEX(ERP資料!$G:$G, (MATCH(928, 輔助計算!$G$2:$G$801, 0)+1))&lt;=1181,2,1))))=1,TEXT(INDEX(ERP資料!$G:$G, (MATCH(928, 輔助計算!$G$2:$G$801, 0)+1)),"0.##"),IF(MOD(INDEX(輔助計算!$D:$D, (MATCH(928, 輔助計算!$G$2:$G$801, 0)+1)),IF(INDEX(ERP資料!$G:$G, (MATCH(928, 輔助計算!$G$2:$G$801, 0)+1))&lt;100, IF(INDEX(ERP資料!$G:$G, (MATCH(928, 輔助計算!$G$2:$G$801, 0)+1))&lt;=31,3,IF(INDEX(ERP資料!$G:$G, (MATCH(928, 輔助計算!$G$2:$G$801, 0)+1))&lt;=46.5,2,1)), IF(INDEX(ERP資料!$G:$G, (MATCH(928, 輔助計算!$G$2:$G$801, 0)+1))&lt;=790,3,IF(INDEX(ERP資料!$G:$G, (MATCH(928, 輔助計算!$G$2:$G$801, 0)+1))&lt;=1181,2,1))))=2,TEXT(INDEX(ERP資料!$G:$G, (MATCH(928, 輔助計算!$G$2:$G$801, 0)+1)),"0.##")&amp;"+"&amp;TEXT(INDEX(ERP資料!$G:$G, (MATCH(928, 輔助計算!$G$2:$G$801, 0)+1)),"0.##"),TEXT(INDEX(ERP資料!$G:$G, (MATCH(928, 輔助計算!$G$2:$G$801, 0)+1)),"0.##")&amp;"+"&amp;TEXT(INDEX(ERP資料!$G:$G, (MATCH(928, 輔助計算!$G$2:$G$801, 0)+1)),"0.##")&amp;"+"&amp;TEXT(INDEX(ERP資料!$G:$G, (MATCH(928, 輔助計算!$G$2:$G$801, 0)+1)),"0.##"))))&amp;"-1")&lt;&gt;""),"  ","")&amp;IF(MOD(INDEX(輔助計算!$D:$D, (MATCH(928, 輔助計算!$G$2:$G$801, 0)+1)),IF(INDEX(ERP資料!$G:$G, (MATCH(928, 輔助計算!$G$2:$G$801, 0)+1))&lt;100, IF(INDEX(ERP資料!$G:$G, (MATCH(928, 輔助計算!$G$2:$G$801, 0)+1))&lt;=31,3,IF(INDEX(ERP資料!$G:$G, (MATCH(928, 輔助計算!$G$2:$G$801, 0)+1))&lt;=46.5,2,1)), IF(INDEX(ERP資料!$G:$G, (MATCH(928, 輔助計算!$G$2:$G$801, 0)+1))&lt;=790,3,IF(INDEX(ERP資料!$G:$G, (MATCH(928, 輔助計算!$G$2:$G$801, 0)+1))&lt;=1181,2,1))))=0,"",IF(MOD(INDEX(輔助計算!$D:$D, (MATCH(928, 輔助計算!$G$2:$G$801, 0)+1)),IF(INDEX(ERP資料!$G:$G, (MATCH(928, 輔助計算!$G$2:$G$801, 0)+1))&lt;100, IF(INDEX(ERP資料!$G:$G, (MATCH(928, 輔助計算!$G$2:$G$801, 0)+1))&lt;=31,3,IF(INDEX(ERP資料!$G:$G, (MATCH(928, 輔助計算!$G$2:$G$801, 0)+1))&lt;=46.5,2,1)), IF(INDEX(ERP資料!$G:$G, (MATCH(928, 輔助計算!$G$2:$G$801, 0)+1))&lt;=790,3,IF(INDEX(ERP資料!$G:$G, (MATCH(928, 輔助計算!$G$2:$G$801, 0)+1))&lt;=1181,2,1))))=0,"",IF(MOD(INDEX(輔助計算!$D:$D, (MATCH(928, 輔助計算!$G$2:$G$801, 0)+1)),IF(INDEX(ERP資料!$G:$G, (MATCH(928, 輔助計算!$G$2:$G$801, 0)+1))&lt;100, IF(INDEX(ERP資料!$G:$G, (MATCH(928, 輔助計算!$G$2:$G$801, 0)+1))&lt;=31,3,IF(INDEX(ERP資料!$G:$G, (MATCH(928, 輔助計算!$G$2:$G$801, 0)+1))&lt;=46.5,2,1)), IF(INDEX(ERP資料!$G:$G, (MATCH(928, 輔助計算!$G$2:$G$801, 0)+1))&lt;=790,3,IF(INDEX(ERP資料!$G:$G, (MATCH(928, 輔助計算!$G$2:$G$801, 0)+1))&lt;=1181,2,1))))=1,TEXT(INDEX(ERP資料!$G:$G, (MATCH(928, 輔助計算!$G$2:$G$801, 0)+1)),"0.##"),IF(MOD(INDEX(輔助計算!$D:$D, (MATCH(928, 輔助計算!$G$2:$G$801, 0)+1)),IF(INDEX(ERP資料!$G:$G, (MATCH(928, 輔助計算!$G$2:$G$801, 0)+1))&lt;100, IF(INDEX(ERP資料!$G:$G, (MATCH(928, 輔助計算!$G$2:$G$801, 0)+1))&lt;=31,3,IF(INDEX(ERP資料!$G:$G, (MATCH(928, 輔助計算!$G$2:$G$801, 0)+1))&lt;=46.5,2,1)), IF(INDEX(ERP資料!$G:$G, (MATCH(928, 輔助計算!$G$2:$G$801, 0)+1))&lt;=790,3,IF(INDEX(ERP資料!$G:$G, (MATCH(928, 輔助計算!$G$2:$G$801, 0)+1))&lt;=1181,2,1))))=2,TEXT(INDEX(ERP資料!$G:$G, (MATCH(928, 輔助計算!$G$2:$G$801, 0)+1)),"0.##")&amp;"+"&amp;TEXT(INDEX(ERP資料!$G:$G, (MATCH(928, 輔助計算!$G$2:$G$801, 0)+1)),"0.##"),TEXT(INDEX(ERP資料!$G:$G, (MATCH(928, 輔助計算!$G$2:$G$801, 0)+1)),"0.##")&amp;"+"&amp;TEXT(INDEX(ERP資料!$G:$G, (MATCH(928, 輔助計算!$G$2:$G$801, 0)+1)),"0.##")&amp;"+"&amp;TEXT(INDEX(ERP資料!$G:$G, (MATCH(928, 輔助計算!$G$2:$G$801, 0)+1)),"0.##"))))&amp;"-1")), ""), "")</f>
        <v/>
      </c>
      <c r="K929" s="16" t="n"/>
      <c r="L929" s="14">
        <f>IFERROR(IF(AND(IFERROR(INDEX(ERP資料!$A:$A, (MATCH(928, 輔助計算!$G$2:$G$801, 0)+1)), "")&lt;&gt;"", IFERROR(INDEX(ERP資料!$A:$A, (MATCH(928, 輔助計算!$G$2:$G$801, 0)+1)), "")&lt;&gt;IFERROR(INDEX(ERP資料!$A:$A, MATCH(927, 輔助計算!$G$2:$G$801, 0)+1), "")), INDEX(ERP資料!$B:$B, (MATCH(928, 輔助計算!$G$2:$G$801, 0)+1)), ""), "")</f>
        <v/>
      </c>
      <c r="M929" s="17" t="n"/>
    </row>
    <row r="930">
      <c r="A930" s="10">
        <f>IFERROR(IF(AND(IFERROR(INDEX(ERP資料!$A:$A, (MATCH(929, 輔助計算!$G$2:$G$801, 0)+1)), "")&lt;&gt;"", IFERROR(INDEX(ERP資料!$A:$A, (MATCH(929, 輔助計算!$G$2:$G$801, 0)+1)), "")&lt;&gt;IFERROR(INDEX(ERP資料!$A:$A, MATCH(928, 輔助計算!$G$2:$G$801, 0)+1), "")), IFERROR(INDEX(ERP資料!$A:$A, (MATCH(929, 輔助計算!$G$2:$G$801, 0)+1)), ""), ""), "")</f>
        <v/>
      </c>
      <c r="B930" s="10">
        <f>IFERROR(IF(AND(IFERROR(INDEX(ERP資料!$A:$A, (MATCH(929, 輔助計算!$G$2:$G$801, 0)+1)), "")&lt;&gt;"", IFERROR(INDEX(ERP資料!$A:$A, (MATCH(929, 輔助計算!$G$2:$G$801, 0)+1)), "")&lt;&gt;IFERROR(INDEX(ERP資料!$A:$A, MATCH(928, 輔助計算!$G$2:$G$801, 0)+1), "")), INDEX(ERP資料!$S:$S, (MATCH(929, 輔助計算!$G$2:$G$801, 0)+1)), ""), "")</f>
        <v/>
      </c>
      <c r="C930" s="19">
        <f>IFERROR(IF(AND(IFERROR(INDEX(ERP資料!$A:$A, (MATCH(929, 輔助計算!$G$2:$G$801, 0)+1)), "")&lt;&gt;"", IFERROR(INDEX(ERP資料!$A:$A, (MATCH(929, 輔助計算!$G$2:$G$801, 0)+1)), "")&lt;&gt;IFERROR(INDEX(ERP資料!$A:$A, MATCH(928, 輔助計算!$G$2:$G$801, 0)+1), "")), IFERROR(VLOOKUP(LEFT(INDEX(ERP資料!$S:$S, (MATCH(929, 輔助計算!$G$2:$G$801, 0)+1)), 4), 紙管對照表!$A:$C, 3, FALSE), ""), ""), "")</f>
        <v/>
      </c>
      <c r="D930" s="16" t="n"/>
      <c r="E930" s="10">
        <f>IFERROR(IF(INDEX(ERP資料!$H:$H, (MATCH(929, 輔助計算!$G$2:$G$801, 0)+1))="","",INDEX(ERP資料!$H:$H, (MATCH(929, 輔助計算!$G$2:$G$801, 0)+1))), "")</f>
        <v/>
      </c>
      <c r="F930" s="10">
        <f>IFERROR(IF(INDEX(ERP資料!$E:$E, (MATCH(929, 輔助計算!$G$2:$G$801, 0)+1))="","",TRIM(INDEX(ERP資料!$E:$E, (MATCH(929, 輔助計算!$G$2:$G$801, 0)+1)))), "")</f>
        <v/>
      </c>
      <c r="G930" s="10">
        <f>IFERROR(IF(INDEX(ERP資料!$F:$F, (MATCH(929, 輔助計算!$G$2:$G$801, 0)+1))="","",INDEX(ERP資料!$F:$F, (MATCH(929, 輔助計算!$G$2:$G$801, 0)+1))), "")</f>
        <v/>
      </c>
      <c r="H930" s="10">
        <f>IFERROR(IF(INDEX(ERP資料!$G:$G, (MATCH(929, 輔助計算!$G$2:$G$801, 0)+1))="","",INDEX(ERP資料!$G:$G, (MATCH(929, 輔助計算!$G$2:$G$801, 0)+1))), "")</f>
        <v/>
      </c>
      <c r="I930" s="15">
        <f>IFERROR(INDEX(輔助計算!$D:$D, (MATCH(929, 輔助計算!$G$2:$G$801, 0)+1)), "")</f>
        <v/>
      </c>
      <c r="J930" s="15">
        <f>IFERROR(IF(AND(INDEX(輔助計算!$D:$D, (MATCH(929, 輔助計算!$G$2:$G$801, 0)+1))&lt;&gt;"", INDEX(ERP資料!$G:$G, (MATCH(929, 輔助計算!$G$2:$G$801, 0)+1))&lt;&gt;""), TRIM(IF(INT(INDEX(輔助計算!$D:$D, (MATCH(929, 輔助計算!$G$2:$G$801, 0)+1))/IF(INDEX(ERP資料!$G:$G, (MATCH(929, 輔助計算!$G$2:$G$801, 0)+1))&lt;100, IF(INDEX(ERP資料!$G:$G, (MATCH(929, 輔助計算!$G$2:$G$801, 0)+1))&lt;=31,3,IF(INDEX(ERP資料!$G:$G, (MATCH(929, 輔助計算!$G$2:$G$801, 0)+1))&lt;=46.5,2,1)), IF(INDEX(ERP資料!$G:$G, (MATCH(929, 輔助計算!$G$2:$G$801, 0)+1))&lt;=790,3,IF(INDEX(ERP資料!$G:$G, (MATCH(929, 輔助計算!$G$2:$G$801, 0)+1))&lt;=1181,2,1))))&gt;0, IF(IF(INDEX(ERP資料!$G:$G, (MATCH(929, 輔助計算!$G$2:$G$801, 0)+1))&lt;100, IF(INDEX(ERP資料!$G:$G, (MATCH(929, 輔助計算!$G$2:$G$801, 0)+1))&lt;=31,3,IF(INDEX(ERP資料!$G:$G, (MATCH(929, 輔助計算!$G$2:$G$801, 0)+1))&lt;=46.5,2,1)), IF(INDEX(ERP資料!$G:$G, (MATCH(929, 輔助計算!$G$2:$G$801, 0)+1))&lt;=790,3,IF(INDEX(ERP資料!$G:$G, (MATCH(929, 輔助計算!$G$2:$G$801, 0)+1))&lt;=1181,2,1)))=1,TEXT(INDEX(ERP資料!$G:$G, (MATCH(929, 輔助計算!$G$2:$G$801, 0)+1)),"0.##"),IF(IF(INDEX(ERP資料!$G:$G, (MATCH(929, 輔助計算!$G$2:$G$801, 0)+1))&lt;100, IF(INDEX(ERP資料!$G:$G, (MATCH(929, 輔助計算!$G$2:$G$801, 0)+1))&lt;=31,3,IF(INDEX(ERP資料!$G:$G, (MATCH(929, 輔助計算!$G$2:$G$801, 0)+1))&lt;=46.5,2,1)), IF(INDEX(ERP資料!$G:$G, (MATCH(929, 輔助計算!$G$2:$G$801, 0)+1))&lt;=790,3,IF(INDEX(ERP資料!$G:$G, (MATCH(929, 輔助計算!$G$2:$G$801, 0)+1))&lt;=1181,2,1)))=2,TEXT(INDEX(ERP資料!$G:$G, (MATCH(929, 輔助計算!$G$2:$G$801, 0)+1)),"0.##")&amp;"+"&amp;TEXT(INDEX(ERP資料!$G:$G, (MATCH(929, 輔助計算!$G$2:$G$801, 0)+1)),"0.##"),TEXT(INDEX(ERP資料!$G:$G, (MATCH(929, 輔助計算!$G$2:$G$801, 0)+1)),"0.##")&amp;"+"&amp;TEXT(INDEX(ERP資料!$G:$G, (MATCH(929, 輔助計算!$G$2:$G$801, 0)+1)),"0.##")&amp;"+"&amp;TEXT(INDEX(ERP資料!$G:$G, (MATCH(929, 輔助計算!$G$2:$G$801, 0)+1)),"0.##")))&amp;"-"&amp;INT(INDEX(輔助計算!$D:$D, (MATCH(929, 輔助計算!$G$2:$G$801, 0)+1))/IF(INDEX(ERP資料!$G:$G, (MATCH(929, 輔助計算!$G$2:$G$801, 0)+1))&lt;100, IF(INDEX(ERP資料!$G:$G, (MATCH(929, 輔助計算!$G$2:$G$801, 0)+1))&lt;=31,3,IF(INDEX(ERP資料!$G:$G, (MATCH(929, 輔助計算!$G$2:$G$801, 0)+1))&lt;=46.5,2,1)), IF(INDEX(ERP資料!$G:$G, (MATCH(929, 輔助計算!$G$2:$G$801, 0)+1))&lt;=790,3,IF(INDEX(ERP資料!$G:$G, (MATCH(929, 輔助計算!$G$2:$G$801, 0)+1))&lt;=1181,2,1)))), "")&amp;IF(AND(IF(INT(INDEX(輔助計算!$D:$D, (MATCH(929, 輔助計算!$G$2:$G$801, 0)+1))/IF(INDEX(ERP資料!$G:$G, (MATCH(929, 輔助計算!$G$2:$G$801, 0)+1))&lt;100, IF(INDEX(ERP資料!$G:$G, (MATCH(929, 輔助計算!$G$2:$G$801, 0)+1))&lt;=31,3,IF(INDEX(ERP資料!$G:$G, (MATCH(929, 輔助計算!$G$2:$G$801, 0)+1))&lt;=46.5,2,1)), IF(INDEX(ERP資料!$G:$G, (MATCH(929, 輔助計算!$G$2:$G$801, 0)+1))&lt;=790,3,IF(INDEX(ERP資料!$G:$G, (MATCH(929, 輔助計算!$G$2:$G$801, 0)+1))&lt;=1181,2,1))))&gt;0, IF(IF(INDEX(ERP資料!$G:$G, (MATCH(929, 輔助計算!$G$2:$G$801, 0)+1))&lt;100, IF(INDEX(ERP資料!$G:$G, (MATCH(929, 輔助計算!$G$2:$G$801, 0)+1))&lt;=31,3,IF(INDEX(ERP資料!$G:$G, (MATCH(929, 輔助計算!$G$2:$G$801, 0)+1))&lt;=46.5,2,1)), IF(INDEX(ERP資料!$G:$G, (MATCH(929, 輔助計算!$G$2:$G$801, 0)+1))&lt;=790,3,IF(INDEX(ERP資料!$G:$G, (MATCH(929, 輔助計算!$G$2:$G$801, 0)+1))&lt;=1181,2,1)))=1,TEXT(INDEX(ERP資料!$G:$G, (MATCH(929, 輔助計算!$G$2:$G$801, 0)+1)),"0.##"),IF(IF(INDEX(ERP資料!$G:$G, (MATCH(929, 輔助計算!$G$2:$G$801, 0)+1))&lt;100, IF(INDEX(ERP資料!$G:$G, (MATCH(929, 輔助計算!$G$2:$G$801, 0)+1))&lt;=31,3,IF(INDEX(ERP資料!$G:$G, (MATCH(929, 輔助計算!$G$2:$G$801, 0)+1))&lt;=46.5,2,1)), IF(INDEX(ERP資料!$G:$G, (MATCH(929, 輔助計算!$G$2:$G$801, 0)+1))&lt;=790,3,IF(INDEX(ERP資料!$G:$G, (MATCH(929, 輔助計算!$G$2:$G$801, 0)+1))&lt;=1181,2,1)))=2,TEXT(INDEX(ERP資料!$G:$G, (MATCH(929, 輔助計算!$G$2:$G$801, 0)+1)),"0.##")&amp;"+"&amp;TEXT(INDEX(ERP資料!$G:$G, (MATCH(929, 輔助計算!$G$2:$G$801, 0)+1)),"0.##"),TEXT(INDEX(ERP資料!$G:$G, (MATCH(929, 輔助計算!$G$2:$G$801, 0)+1)),"0.##")&amp;"+"&amp;TEXT(INDEX(ERP資料!$G:$G, (MATCH(929, 輔助計算!$G$2:$G$801, 0)+1)),"0.##")&amp;"+"&amp;TEXT(INDEX(ERP資料!$G:$G, (MATCH(929, 輔助計算!$G$2:$G$801, 0)+1)),"0.##")))&amp;"-"&amp;INT(INDEX(輔助計算!$D:$D, (MATCH(929, 輔助計算!$G$2:$G$801, 0)+1))/IF(INDEX(ERP資料!$G:$G, (MATCH(929, 輔助計算!$G$2:$G$801, 0)+1))&lt;100, IF(INDEX(ERP資料!$G:$G, (MATCH(929, 輔助計算!$G$2:$G$801, 0)+1))&lt;=31,3,IF(INDEX(ERP資料!$G:$G, (MATCH(929, 輔助計算!$G$2:$G$801, 0)+1))&lt;=46.5,2,1)), IF(INDEX(ERP資料!$G:$G, (MATCH(929, 輔助計算!$G$2:$G$801, 0)+1))&lt;=790,3,IF(INDEX(ERP資料!$G:$G, (MATCH(929, 輔助計算!$G$2:$G$801, 0)+1))&lt;=1181,2,1)))), "")&lt;&gt;"",IF(MOD(INDEX(輔助計算!$D:$D, (MATCH(929, 輔助計算!$G$2:$G$801, 0)+1)),IF(INDEX(ERP資料!$G:$G, (MATCH(929, 輔助計算!$G$2:$G$801, 0)+1))&lt;100, IF(INDEX(ERP資料!$G:$G, (MATCH(929, 輔助計算!$G$2:$G$801, 0)+1))&lt;=31,3,IF(INDEX(ERP資料!$G:$G, (MATCH(929, 輔助計算!$G$2:$G$801, 0)+1))&lt;=46.5,2,1)), IF(INDEX(ERP資料!$G:$G, (MATCH(929, 輔助計算!$G$2:$G$801, 0)+1))&lt;=790,3,IF(INDEX(ERP資料!$G:$G, (MATCH(929, 輔助計算!$G$2:$G$801, 0)+1))&lt;=1181,2,1))))=0,"",IF(MOD(INDEX(輔助計算!$D:$D, (MATCH(929, 輔助計算!$G$2:$G$801, 0)+1)),IF(INDEX(ERP資料!$G:$G, (MATCH(929, 輔助計算!$G$2:$G$801, 0)+1))&lt;100, IF(INDEX(ERP資料!$G:$G, (MATCH(929, 輔助計算!$G$2:$G$801, 0)+1))&lt;=31,3,IF(INDEX(ERP資料!$G:$G, (MATCH(929, 輔助計算!$G$2:$G$801, 0)+1))&lt;=46.5,2,1)), IF(INDEX(ERP資料!$G:$G, (MATCH(929, 輔助計算!$G$2:$G$801, 0)+1))&lt;=790,3,IF(INDEX(ERP資料!$G:$G, (MATCH(929, 輔助計算!$G$2:$G$801, 0)+1))&lt;=1181,2,1))))=0,"",IF(MOD(INDEX(輔助計算!$D:$D, (MATCH(929, 輔助計算!$G$2:$G$801, 0)+1)),IF(INDEX(ERP資料!$G:$G, (MATCH(929, 輔助計算!$G$2:$G$801, 0)+1))&lt;100, IF(INDEX(ERP資料!$G:$G, (MATCH(929, 輔助計算!$G$2:$G$801, 0)+1))&lt;=31,3,IF(INDEX(ERP資料!$G:$G, (MATCH(929, 輔助計算!$G$2:$G$801, 0)+1))&lt;=46.5,2,1)), IF(INDEX(ERP資料!$G:$G, (MATCH(929, 輔助計算!$G$2:$G$801, 0)+1))&lt;=790,3,IF(INDEX(ERP資料!$G:$G, (MATCH(929, 輔助計算!$G$2:$G$801, 0)+1))&lt;=1181,2,1))))=1,TEXT(INDEX(ERP資料!$G:$G, (MATCH(929, 輔助計算!$G$2:$G$801, 0)+1)),"0.##"),IF(MOD(INDEX(輔助計算!$D:$D, (MATCH(929, 輔助計算!$G$2:$G$801, 0)+1)),IF(INDEX(ERP資料!$G:$G, (MATCH(929, 輔助計算!$G$2:$G$801, 0)+1))&lt;100, IF(INDEX(ERP資料!$G:$G, (MATCH(929, 輔助計算!$G$2:$G$801, 0)+1))&lt;=31,3,IF(INDEX(ERP資料!$G:$G, (MATCH(929, 輔助計算!$G$2:$G$801, 0)+1))&lt;=46.5,2,1)), IF(INDEX(ERP資料!$G:$G, (MATCH(929, 輔助計算!$G$2:$G$801, 0)+1))&lt;=790,3,IF(INDEX(ERP資料!$G:$G, (MATCH(929, 輔助計算!$G$2:$G$801, 0)+1))&lt;=1181,2,1))))=2,TEXT(INDEX(ERP資料!$G:$G, (MATCH(929, 輔助計算!$G$2:$G$801, 0)+1)),"0.##")&amp;"+"&amp;TEXT(INDEX(ERP資料!$G:$G, (MATCH(929, 輔助計算!$G$2:$G$801, 0)+1)),"0.##"),TEXT(INDEX(ERP資料!$G:$G, (MATCH(929, 輔助計算!$G$2:$G$801, 0)+1)),"0.##")&amp;"+"&amp;TEXT(INDEX(ERP資料!$G:$G, (MATCH(929, 輔助計算!$G$2:$G$801, 0)+1)),"0.##")&amp;"+"&amp;TEXT(INDEX(ERP資料!$G:$G, (MATCH(929, 輔助計算!$G$2:$G$801, 0)+1)),"0.##"))))&amp;"-1")&lt;&gt;""),"  ","")&amp;IF(MOD(INDEX(輔助計算!$D:$D, (MATCH(929, 輔助計算!$G$2:$G$801, 0)+1)),IF(INDEX(ERP資料!$G:$G, (MATCH(929, 輔助計算!$G$2:$G$801, 0)+1))&lt;100, IF(INDEX(ERP資料!$G:$G, (MATCH(929, 輔助計算!$G$2:$G$801, 0)+1))&lt;=31,3,IF(INDEX(ERP資料!$G:$G, (MATCH(929, 輔助計算!$G$2:$G$801, 0)+1))&lt;=46.5,2,1)), IF(INDEX(ERP資料!$G:$G, (MATCH(929, 輔助計算!$G$2:$G$801, 0)+1))&lt;=790,3,IF(INDEX(ERP資料!$G:$G, (MATCH(929, 輔助計算!$G$2:$G$801, 0)+1))&lt;=1181,2,1))))=0,"",IF(MOD(INDEX(輔助計算!$D:$D, (MATCH(929, 輔助計算!$G$2:$G$801, 0)+1)),IF(INDEX(ERP資料!$G:$G, (MATCH(929, 輔助計算!$G$2:$G$801, 0)+1))&lt;100, IF(INDEX(ERP資料!$G:$G, (MATCH(929, 輔助計算!$G$2:$G$801, 0)+1))&lt;=31,3,IF(INDEX(ERP資料!$G:$G, (MATCH(929, 輔助計算!$G$2:$G$801, 0)+1))&lt;=46.5,2,1)), IF(INDEX(ERP資料!$G:$G, (MATCH(929, 輔助計算!$G$2:$G$801, 0)+1))&lt;=790,3,IF(INDEX(ERP資料!$G:$G, (MATCH(929, 輔助計算!$G$2:$G$801, 0)+1))&lt;=1181,2,1))))=0,"",IF(MOD(INDEX(輔助計算!$D:$D, (MATCH(929, 輔助計算!$G$2:$G$801, 0)+1)),IF(INDEX(ERP資料!$G:$G, (MATCH(929, 輔助計算!$G$2:$G$801, 0)+1))&lt;100, IF(INDEX(ERP資料!$G:$G, (MATCH(929, 輔助計算!$G$2:$G$801, 0)+1))&lt;=31,3,IF(INDEX(ERP資料!$G:$G, (MATCH(929, 輔助計算!$G$2:$G$801, 0)+1))&lt;=46.5,2,1)), IF(INDEX(ERP資料!$G:$G, (MATCH(929, 輔助計算!$G$2:$G$801, 0)+1))&lt;=790,3,IF(INDEX(ERP資料!$G:$G, (MATCH(929, 輔助計算!$G$2:$G$801, 0)+1))&lt;=1181,2,1))))=1,TEXT(INDEX(ERP資料!$G:$G, (MATCH(929, 輔助計算!$G$2:$G$801, 0)+1)),"0.##"),IF(MOD(INDEX(輔助計算!$D:$D, (MATCH(929, 輔助計算!$G$2:$G$801, 0)+1)),IF(INDEX(ERP資料!$G:$G, (MATCH(929, 輔助計算!$G$2:$G$801, 0)+1))&lt;100, IF(INDEX(ERP資料!$G:$G, (MATCH(929, 輔助計算!$G$2:$G$801, 0)+1))&lt;=31,3,IF(INDEX(ERP資料!$G:$G, (MATCH(929, 輔助計算!$G$2:$G$801, 0)+1))&lt;=46.5,2,1)), IF(INDEX(ERP資料!$G:$G, (MATCH(929, 輔助計算!$G$2:$G$801, 0)+1))&lt;=790,3,IF(INDEX(ERP資料!$G:$G, (MATCH(929, 輔助計算!$G$2:$G$801, 0)+1))&lt;=1181,2,1))))=2,TEXT(INDEX(ERP資料!$G:$G, (MATCH(929, 輔助計算!$G$2:$G$801, 0)+1)),"0.##")&amp;"+"&amp;TEXT(INDEX(ERP資料!$G:$G, (MATCH(929, 輔助計算!$G$2:$G$801, 0)+1)),"0.##"),TEXT(INDEX(ERP資料!$G:$G, (MATCH(929, 輔助計算!$G$2:$G$801, 0)+1)),"0.##")&amp;"+"&amp;TEXT(INDEX(ERP資料!$G:$G, (MATCH(929, 輔助計算!$G$2:$G$801, 0)+1)),"0.##")&amp;"+"&amp;TEXT(INDEX(ERP資料!$G:$G, (MATCH(929, 輔助計算!$G$2:$G$801, 0)+1)),"0.##"))))&amp;"-1")), ""), "")</f>
        <v/>
      </c>
      <c r="K930" s="16" t="n"/>
      <c r="L930" s="14">
        <f>IFERROR(IF(AND(IFERROR(INDEX(ERP資料!$A:$A, (MATCH(929, 輔助計算!$G$2:$G$801, 0)+1)), "")&lt;&gt;"", IFERROR(INDEX(ERP資料!$A:$A, (MATCH(929, 輔助計算!$G$2:$G$801, 0)+1)), "")&lt;&gt;IFERROR(INDEX(ERP資料!$A:$A, MATCH(928, 輔助計算!$G$2:$G$801, 0)+1), "")), INDEX(ERP資料!$B:$B, (MATCH(929, 輔助計算!$G$2:$G$801, 0)+1)), ""), "")</f>
        <v/>
      </c>
      <c r="M930" s="17" t="n"/>
    </row>
    <row r="931">
      <c r="A931" s="10">
        <f>IFERROR(IF(AND(IFERROR(INDEX(ERP資料!$A:$A, (MATCH(930, 輔助計算!$G$2:$G$801, 0)+1)), "")&lt;&gt;"", IFERROR(INDEX(ERP資料!$A:$A, (MATCH(930, 輔助計算!$G$2:$G$801, 0)+1)), "")&lt;&gt;IFERROR(INDEX(ERP資料!$A:$A, MATCH(929, 輔助計算!$G$2:$G$801, 0)+1), "")), IFERROR(INDEX(ERP資料!$A:$A, (MATCH(930, 輔助計算!$G$2:$G$801, 0)+1)), ""), ""), "")</f>
        <v/>
      </c>
      <c r="B931" s="10">
        <f>IFERROR(IF(AND(IFERROR(INDEX(ERP資料!$A:$A, (MATCH(930, 輔助計算!$G$2:$G$801, 0)+1)), "")&lt;&gt;"", IFERROR(INDEX(ERP資料!$A:$A, (MATCH(930, 輔助計算!$G$2:$G$801, 0)+1)), "")&lt;&gt;IFERROR(INDEX(ERP資料!$A:$A, MATCH(929, 輔助計算!$G$2:$G$801, 0)+1), "")), INDEX(ERP資料!$S:$S, (MATCH(930, 輔助計算!$G$2:$G$801, 0)+1)), ""), "")</f>
        <v/>
      </c>
      <c r="C931" s="19">
        <f>IFERROR(IF(AND(IFERROR(INDEX(ERP資料!$A:$A, (MATCH(930, 輔助計算!$G$2:$G$801, 0)+1)), "")&lt;&gt;"", IFERROR(INDEX(ERP資料!$A:$A, (MATCH(930, 輔助計算!$G$2:$G$801, 0)+1)), "")&lt;&gt;IFERROR(INDEX(ERP資料!$A:$A, MATCH(929, 輔助計算!$G$2:$G$801, 0)+1), "")), IFERROR(VLOOKUP(LEFT(INDEX(ERP資料!$S:$S, (MATCH(930, 輔助計算!$G$2:$G$801, 0)+1)), 4), 紙管對照表!$A:$C, 3, FALSE), ""), ""), "")</f>
        <v/>
      </c>
      <c r="D931" s="16" t="n"/>
      <c r="E931" s="10">
        <f>IFERROR(IF(INDEX(ERP資料!$H:$H, (MATCH(930, 輔助計算!$G$2:$G$801, 0)+1))="","",INDEX(ERP資料!$H:$H, (MATCH(930, 輔助計算!$G$2:$G$801, 0)+1))), "")</f>
        <v/>
      </c>
      <c r="F931" s="10">
        <f>IFERROR(IF(INDEX(ERP資料!$E:$E, (MATCH(930, 輔助計算!$G$2:$G$801, 0)+1))="","",TRIM(INDEX(ERP資料!$E:$E, (MATCH(930, 輔助計算!$G$2:$G$801, 0)+1)))), "")</f>
        <v/>
      </c>
      <c r="G931" s="10">
        <f>IFERROR(IF(INDEX(ERP資料!$F:$F, (MATCH(930, 輔助計算!$G$2:$G$801, 0)+1))="","",INDEX(ERP資料!$F:$F, (MATCH(930, 輔助計算!$G$2:$G$801, 0)+1))), "")</f>
        <v/>
      </c>
      <c r="H931" s="10">
        <f>IFERROR(IF(INDEX(ERP資料!$G:$G, (MATCH(930, 輔助計算!$G$2:$G$801, 0)+1))="","",INDEX(ERP資料!$G:$G, (MATCH(930, 輔助計算!$G$2:$G$801, 0)+1))), "")</f>
        <v/>
      </c>
      <c r="I931" s="15">
        <f>IFERROR(INDEX(輔助計算!$D:$D, (MATCH(930, 輔助計算!$G$2:$G$801, 0)+1)), "")</f>
        <v/>
      </c>
      <c r="J931" s="15">
        <f>IFERROR(IF(AND(INDEX(輔助計算!$D:$D, (MATCH(930, 輔助計算!$G$2:$G$801, 0)+1))&lt;&gt;"", INDEX(ERP資料!$G:$G, (MATCH(930, 輔助計算!$G$2:$G$801, 0)+1))&lt;&gt;""), TRIM(IF(INT(INDEX(輔助計算!$D:$D, (MATCH(930, 輔助計算!$G$2:$G$801, 0)+1))/IF(INDEX(ERP資料!$G:$G, (MATCH(930, 輔助計算!$G$2:$G$801, 0)+1))&lt;100, IF(INDEX(ERP資料!$G:$G, (MATCH(930, 輔助計算!$G$2:$G$801, 0)+1))&lt;=31,3,IF(INDEX(ERP資料!$G:$G, (MATCH(930, 輔助計算!$G$2:$G$801, 0)+1))&lt;=46.5,2,1)), IF(INDEX(ERP資料!$G:$G, (MATCH(930, 輔助計算!$G$2:$G$801, 0)+1))&lt;=790,3,IF(INDEX(ERP資料!$G:$G, (MATCH(930, 輔助計算!$G$2:$G$801, 0)+1))&lt;=1181,2,1))))&gt;0, IF(IF(INDEX(ERP資料!$G:$G, (MATCH(930, 輔助計算!$G$2:$G$801, 0)+1))&lt;100, IF(INDEX(ERP資料!$G:$G, (MATCH(930, 輔助計算!$G$2:$G$801, 0)+1))&lt;=31,3,IF(INDEX(ERP資料!$G:$G, (MATCH(930, 輔助計算!$G$2:$G$801, 0)+1))&lt;=46.5,2,1)), IF(INDEX(ERP資料!$G:$G, (MATCH(930, 輔助計算!$G$2:$G$801, 0)+1))&lt;=790,3,IF(INDEX(ERP資料!$G:$G, (MATCH(930, 輔助計算!$G$2:$G$801, 0)+1))&lt;=1181,2,1)))=1,TEXT(INDEX(ERP資料!$G:$G, (MATCH(930, 輔助計算!$G$2:$G$801, 0)+1)),"0.##"),IF(IF(INDEX(ERP資料!$G:$G, (MATCH(930, 輔助計算!$G$2:$G$801, 0)+1))&lt;100, IF(INDEX(ERP資料!$G:$G, (MATCH(930, 輔助計算!$G$2:$G$801, 0)+1))&lt;=31,3,IF(INDEX(ERP資料!$G:$G, (MATCH(930, 輔助計算!$G$2:$G$801, 0)+1))&lt;=46.5,2,1)), IF(INDEX(ERP資料!$G:$G, (MATCH(930, 輔助計算!$G$2:$G$801, 0)+1))&lt;=790,3,IF(INDEX(ERP資料!$G:$G, (MATCH(930, 輔助計算!$G$2:$G$801, 0)+1))&lt;=1181,2,1)))=2,TEXT(INDEX(ERP資料!$G:$G, (MATCH(930, 輔助計算!$G$2:$G$801, 0)+1)),"0.##")&amp;"+"&amp;TEXT(INDEX(ERP資料!$G:$G, (MATCH(930, 輔助計算!$G$2:$G$801, 0)+1)),"0.##"),TEXT(INDEX(ERP資料!$G:$G, (MATCH(930, 輔助計算!$G$2:$G$801, 0)+1)),"0.##")&amp;"+"&amp;TEXT(INDEX(ERP資料!$G:$G, (MATCH(930, 輔助計算!$G$2:$G$801, 0)+1)),"0.##")&amp;"+"&amp;TEXT(INDEX(ERP資料!$G:$G, (MATCH(930, 輔助計算!$G$2:$G$801, 0)+1)),"0.##")))&amp;"-"&amp;INT(INDEX(輔助計算!$D:$D, (MATCH(930, 輔助計算!$G$2:$G$801, 0)+1))/IF(INDEX(ERP資料!$G:$G, (MATCH(930, 輔助計算!$G$2:$G$801, 0)+1))&lt;100, IF(INDEX(ERP資料!$G:$G, (MATCH(930, 輔助計算!$G$2:$G$801, 0)+1))&lt;=31,3,IF(INDEX(ERP資料!$G:$G, (MATCH(930, 輔助計算!$G$2:$G$801, 0)+1))&lt;=46.5,2,1)), IF(INDEX(ERP資料!$G:$G, (MATCH(930, 輔助計算!$G$2:$G$801, 0)+1))&lt;=790,3,IF(INDEX(ERP資料!$G:$G, (MATCH(930, 輔助計算!$G$2:$G$801, 0)+1))&lt;=1181,2,1)))), "")&amp;IF(AND(IF(INT(INDEX(輔助計算!$D:$D, (MATCH(930, 輔助計算!$G$2:$G$801, 0)+1))/IF(INDEX(ERP資料!$G:$G, (MATCH(930, 輔助計算!$G$2:$G$801, 0)+1))&lt;100, IF(INDEX(ERP資料!$G:$G, (MATCH(930, 輔助計算!$G$2:$G$801, 0)+1))&lt;=31,3,IF(INDEX(ERP資料!$G:$G, (MATCH(930, 輔助計算!$G$2:$G$801, 0)+1))&lt;=46.5,2,1)), IF(INDEX(ERP資料!$G:$G, (MATCH(930, 輔助計算!$G$2:$G$801, 0)+1))&lt;=790,3,IF(INDEX(ERP資料!$G:$G, (MATCH(930, 輔助計算!$G$2:$G$801, 0)+1))&lt;=1181,2,1))))&gt;0, IF(IF(INDEX(ERP資料!$G:$G, (MATCH(930, 輔助計算!$G$2:$G$801, 0)+1))&lt;100, IF(INDEX(ERP資料!$G:$G, (MATCH(930, 輔助計算!$G$2:$G$801, 0)+1))&lt;=31,3,IF(INDEX(ERP資料!$G:$G, (MATCH(930, 輔助計算!$G$2:$G$801, 0)+1))&lt;=46.5,2,1)), IF(INDEX(ERP資料!$G:$G, (MATCH(930, 輔助計算!$G$2:$G$801, 0)+1))&lt;=790,3,IF(INDEX(ERP資料!$G:$G, (MATCH(930, 輔助計算!$G$2:$G$801, 0)+1))&lt;=1181,2,1)))=1,TEXT(INDEX(ERP資料!$G:$G, (MATCH(930, 輔助計算!$G$2:$G$801, 0)+1)),"0.##"),IF(IF(INDEX(ERP資料!$G:$G, (MATCH(930, 輔助計算!$G$2:$G$801, 0)+1))&lt;100, IF(INDEX(ERP資料!$G:$G, (MATCH(930, 輔助計算!$G$2:$G$801, 0)+1))&lt;=31,3,IF(INDEX(ERP資料!$G:$G, (MATCH(930, 輔助計算!$G$2:$G$801, 0)+1))&lt;=46.5,2,1)), IF(INDEX(ERP資料!$G:$G, (MATCH(930, 輔助計算!$G$2:$G$801, 0)+1))&lt;=790,3,IF(INDEX(ERP資料!$G:$G, (MATCH(930, 輔助計算!$G$2:$G$801, 0)+1))&lt;=1181,2,1)))=2,TEXT(INDEX(ERP資料!$G:$G, (MATCH(930, 輔助計算!$G$2:$G$801, 0)+1)),"0.##")&amp;"+"&amp;TEXT(INDEX(ERP資料!$G:$G, (MATCH(930, 輔助計算!$G$2:$G$801, 0)+1)),"0.##"),TEXT(INDEX(ERP資料!$G:$G, (MATCH(930, 輔助計算!$G$2:$G$801, 0)+1)),"0.##")&amp;"+"&amp;TEXT(INDEX(ERP資料!$G:$G, (MATCH(930, 輔助計算!$G$2:$G$801, 0)+1)),"0.##")&amp;"+"&amp;TEXT(INDEX(ERP資料!$G:$G, (MATCH(930, 輔助計算!$G$2:$G$801, 0)+1)),"0.##")))&amp;"-"&amp;INT(INDEX(輔助計算!$D:$D, (MATCH(930, 輔助計算!$G$2:$G$801, 0)+1))/IF(INDEX(ERP資料!$G:$G, (MATCH(930, 輔助計算!$G$2:$G$801, 0)+1))&lt;100, IF(INDEX(ERP資料!$G:$G, (MATCH(930, 輔助計算!$G$2:$G$801, 0)+1))&lt;=31,3,IF(INDEX(ERP資料!$G:$G, (MATCH(930, 輔助計算!$G$2:$G$801, 0)+1))&lt;=46.5,2,1)), IF(INDEX(ERP資料!$G:$G, (MATCH(930, 輔助計算!$G$2:$G$801, 0)+1))&lt;=790,3,IF(INDEX(ERP資料!$G:$G, (MATCH(930, 輔助計算!$G$2:$G$801, 0)+1))&lt;=1181,2,1)))), "")&lt;&gt;"",IF(MOD(INDEX(輔助計算!$D:$D, (MATCH(930, 輔助計算!$G$2:$G$801, 0)+1)),IF(INDEX(ERP資料!$G:$G, (MATCH(930, 輔助計算!$G$2:$G$801, 0)+1))&lt;100, IF(INDEX(ERP資料!$G:$G, (MATCH(930, 輔助計算!$G$2:$G$801, 0)+1))&lt;=31,3,IF(INDEX(ERP資料!$G:$G, (MATCH(930, 輔助計算!$G$2:$G$801, 0)+1))&lt;=46.5,2,1)), IF(INDEX(ERP資料!$G:$G, (MATCH(930, 輔助計算!$G$2:$G$801, 0)+1))&lt;=790,3,IF(INDEX(ERP資料!$G:$G, (MATCH(930, 輔助計算!$G$2:$G$801, 0)+1))&lt;=1181,2,1))))=0,"",IF(MOD(INDEX(輔助計算!$D:$D, (MATCH(930, 輔助計算!$G$2:$G$801, 0)+1)),IF(INDEX(ERP資料!$G:$G, (MATCH(930, 輔助計算!$G$2:$G$801, 0)+1))&lt;100, IF(INDEX(ERP資料!$G:$G, (MATCH(930, 輔助計算!$G$2:$G$801, 0)+1))&lt;=31,3,IF(INDEX(ERP資料!$G:$G, (MATCH(930, 輔助計算!$G$2:$G$801, 0)+1))&lt;=46.5,2,1)), IF(INDEX(ERP資料!$G:$G, (MATCH(930, 輔助計算!$G$2:$G$801, 0)+1))&lt;=790,3,IF(INDEX(ERP資料!$G:$G, (MATCH(930, 輔助計算!$G$2:$G$801, 0)+1))&lt;=1181,2,1))))=0,"",IF(MOD(INDEX(輔助計算!$D:$D, (MATCH(930, 輔助計算!$G$2:$G$801, 0)+1)),IF(INDEX(ERP資料!$G:$G, (MATCH(930, 輔助計算!$G$2:$G$801, 0)+1))&lt;100, IF(INDEX(ERP資料!$G:$G, (MATCH(930, 輔助計算!$G$2:$G$801, 0)+1))&lt;=31,3,IF(INDEX(ERP資料!$G:$G, (MATCH(930, 輔助計算!$G$2:$G$801, 0)+1))&lt;=46.5,2,1)), IF(INDEX(ERP資料!$G:$G, (MATCH(930, 輔助計算!$G$2:$G$801, 0)+1))&lt;=790,3,IF(INDEX(ERP資料!$G:$G, (MATCH(930, 輔助計算!$G$2:$G$801, 0)+1))&lt;=1181,2,1))))=1,TEXT(INDEX(ERP資料!$G:$G, (MATCH(930, 輔助計算!$G$2:$G$801, 0)+1)),"0.##"),IF(MOD(INDEX(輔助計算!$D:$D, (MATCH(930, 輔助計算!$G$2:$G$801, 0)+1)),IF(INDEX(ERP資料!$G:$G, (MATCH(930, 輔助計算!$G$2:$G$801, 0)+1))&lt;100, IF(INDEX(ERP資料!$G:$G, (MATCH(930, 輔助計算!$G$2:$G$801, 0)+1))&lt;=31,3,IF(INDEX(ERP資料!$G:$G, (MATCH(930, 輔助計算!$G$2:$G$801, 0)+1))&lt;=46.5,2,1)), IF(INDEX(ERP資料!$G:$G, (MATCH(930, 輔助計算!$G$2:$G$801, 0)+1))&lt;=790,3,IF(INDEX(ERP資料!$G:$G, (MATCH(930, 輔助計算!$G$2:$G$801, 0)+1))&lt;=1181,2,1))))=2,TEXT(INDEX(ERP資料!$G:$G, (MATCH(930, 輔助計算!$G$2:$G$801, 0)+1)),"0.##")&amp;"+"&amp;TEXT(INDEX(ERP資料!$G:$G, (MATCH(930, 輔助計算!$G$2:$G$801, 0)+1)),"0.##"),TEXT(INDEX(ERP資料!$G:$G, (MATCH(930, 輔助計算!$G$2:$G$801, 0)+1)),"0.##")&amp;"+"&amp;TEXT(INDEX(ERP資料!$G:$G, (MATCH(930, 輔助計算!$G$2:$G$801, 0)+1)),"0.##")&amp;"+"&amp;TEXT(INDEX(ERP資料!$G:$G, (MATCH(930, 輔助計算!$G$2:$G$801, 0)+1)),"0.##"))))&amp;"-1")&lt;&gt;""),"  ","")&amp;IF(MOD(INDEX(輔助計算!$D:$D, (MATCH(930, 輔助計算!$G$2:$G$801, 0)+1)),IF(INDEX(ERP資料!$G:$G, (MATCH(930, 輔助計算!$G$2:$G$801, 0)+1))&lt;100, IF(INDEX(ERP資料!$G:$G, (MATCH(930, 輔助計算!$G$2:$G$801, 0)+1))&lt;=31,3,IF(INDEX(ERP資料!$G:$G, (MATCH(930, 輔助計算!$G$2:$G$801, 0)+1))&lt;=46.5,2,1)), IF(INDEX(ERP資料!$G:$G, (MATCH(930, 輔助計算!$G$2:$G$801, 0)+1))&lt;=790,3,IF(INDEX(ERP資料!$G:$G, (MATCH(930, 輔助計算!$G$2:$G$801, 0)+1))&lt;=1181,2,1))))=0,"",IF(MOD(INDEX(輔助計算!$D:$D, (MATCH(930, 輔助計算!$G$2:$G$801, 0)+1)),IF(INDEX(ERP資料!$G:$G, (MATCH(930, 輔助計算!$G$2:$G$801, 0)+1))&lt;100, IF(INDEX(ERP資料!$G:$G, (MATCH(930, 輔助計算!$G$2:$G$801, 0)+1))&lt;=31,3,IF(INDEX(ERP資料!$G:$G, (MATCH(930, 輔助計算!$G$2:$G$801, 0)+1))&lt;=46.5,2,1)), IF(INDEX(ERP資料!$G:$G, (MATCH(930, 輔助計算!$G$2:$G$801, 0)+1))&lt;=790,3,IF(INDEX(ERP資料!$G:$G, (MATCH(930, 輔助計算!$G$2:$G$801, 0)+1))&lt;=1181,2,1))))=0,"",IF(MOD(INDEX(輔助計算!$D:$D, (MATCH(930, 輔助計算!$G$2:$G$801, 0)+1)),IF(INDEX(ERP資料!$G:$G, (MATCH(930, 輔助計算!$G$2:$G$801, 0)+1))&lt;100, IF(INDEX(ERP資料!$G:$G, (MATCH(930, 輔助計算!$G$2:$G$801, 0)+1))&lt;=31,3,IF(INDEX(ERP資料!$G:$G, (MATCH(930, 輔助計算!$G$2:$G$801, 0)+1))&lt;=46.5,2,1)), IF(INDEX(ERP資料!$G:$G, (MATCH(930, 輔助計算!$G$2:$G$801, 0)+1))&lt;=790,3,IF(INDEX(ERP資料!$G:$G, (MATCH(930, 輔助計算!$G$2:$G$801, 0)+1))&lt;=1181,2,1))))=1,TEXT(INDEX(ERP資料!$G:$G, (MATCH(930, 輔助計算!$G$2:$G$801, 0)+1)),"0.##"),IF(MOD(INDEX(輔助計算!$D:$D, (MATCH(930, 輔助計算!$G$2:$G$801, 0)+1)),IF(INDEX(ERP資料!$G:$G, (MATCH(930, 輔助計算!$G$2:$G$801, 0)+1))&lt;100, IF(INDEX(ERP資料!$G:$G, (MATCH(930, 輔助計算!$G$2:$G$801, 0)+1))&lt;=31,3,IF(INDEX(ERP資料!$G:$G, (MATCH(930, 輔助計算!$G$2:$G$801, 0)+1))&lt;=46.5,2,1)), IF(INDEX(ERP資料!$G:$G, (MATCH(930, 輔助計算!$G$2:$G$801, 0)+1))&lt;=790,3,IF(INDEX(ERP資料!$G:$G, (MATCH(930, 輔助計算!$G$2:$G$801, 0)+1))&lt;=1181,2,1))))=2,TEXT(INDEX(ERP資料!$G:$G, (MATCH(930, 輔助計算!$G$2:$G$801, 0)+1)),"0.##")&amp;"+"&amp;TEXT(INDEX(ERP資料!$G:$G, (MATCH(930, 輔助計算!$G$2:$G$801, 0)+1)),"0.##"),TEXT(INDEX(ERP資料!$G:$G, (MATCH(930, 輔助計算!$G$2:$G$801, 0)+1)),"0.##")&amp;"+"&amp;TEXT(INDEX(ERP資料!$G:$G, (MATCH(930, 輔助計算!$G$2:$G$801, 0)+1)),"0.##")&amp;"+"&amp;TEXT(INDEX(ERP資料!$G:$G, (MATCH(930, 輔助計算!$G$2:$G$801, 0)+1)),"0.##"))))&amp;"-1")), ""), "")</f>
        <v/>
      </c>
      <c r="K931" s="16" t="n"/>
      <c r="L931" s="14">
        <f>IFERROR(IF(AND(IFERROR(INDEX(ERP資料!$A:$A, (MATCH(930, 輔助計算!$G$2:$G$801, 0)+1)), "")&lt;&gt;"", IFERROR(INDEX(ERP資料!$A:$A, (MATCH(930, 輔助計算!$G$2:$G$801, 0)+1)), "")&lt;&gt;IFERROR(INDEX(ERP資料!$A:$A, MATCH(929, 輔助計算!$G$2:$G$801, 0)+1), "")), INDEX(ERP資料!$B:$B, (MATCH(930, 輔助計算!$G$2:$G$801, 0)+1)), ""), "")</f>
        <v/>
      </c>
      <c r="M931" s="17" t="n"/>
    </row>
    <row r="932">
      <c r="A932" s="10">
        <f>IFERROR(IF(AND(IFERROR(INDEX(ERP資料!$A:$A, (MATCH(931, 輔助計算!$G$2:$G$801, 0)+1)), "")&lt;&gt;"", IFERROR(INDEX(ERP資料!$A:$A, (MATCH(931, 輔助計算!$G$2:$G$801, 0)+1)), "")&lt;&gt;IFERROR(INDEX(ERP資料!$A:$A, MATCH(930, 輔助計算!$G$2:$G$801, 0)+1), "")), IFERROR(INDEX(ERP資料!$A:$A, (MATCH(931, 輔助計算!$G$2:$G$801, 0)+1)), ""), ""), "")</f>
        <v/>
      </c>
      <c r="B932" s="10">
        <f>IFERROR(IF(AND(IFERROR(INDEX(ERP資料!$A:$A, (MATCH(931, 輔助計算!$G$2:$G$801, 0)+1)), "")&lt;&gt;"", IFERROR(INDEX(ERP資料!$A:$A, (MATCH(931, 輔助計算!$G$2:$G$801, 0)+1)), "")&lt;&gt;IFERROR(INDEX(ERP資料!$A:$A, MATCH(930, 輔助計算!$G$2:$G$801, 0)+1), "")), INDEX(ERP資料!$S:$S, (MATCH(931, 輔助計算!$G$2:$G$801, 0)+1)), ""), "")</f>
        <v/>
      </c>
      <c r="C932" s="19">
        <f>IFERROR(IF(AND(IFERROR(INDEX(ERP資料!$A:$A, (MATCH(931, 輔助計算!$G$2:$G$801, 0)+1)), "")&lt;&gt;"", IFERROR(INDEX(ERP資料!$A:$A, (MATCH(931, 輔助計算!$G$2:$G$801, 0)+1)), "")&lt;&gt;IFERROR(INDEX(ERP資料!$A:$A, MATCH(930, 輔助計算!$G$2:$G$801, 0)+1), "")), IFERROR(VLOOKUP(LEFT(INDEX(ERP資料!$S:$S, (MATCH(931, 輔助計算!$G$2:$G$801, 0)+1)), 4), 紙管對照表!$A:$C, 3, FALSE), ""), ""), "")</f>
        <v/>
      </c>
      <c r="D932" s="16" t="n"/>
      <c r="E932" s="10">
        <f>IFERROR(IF(INDEX(ERP資料!$H:$H, (MATCH(931, 輔助計算!$G$2:$G$801, 0)+1))="","",INDEX(ERP資料!$H:$H, (MATCH(931, 輔助計算!$G$2:$G$801, 0)+1))), "")</f>
        <v/>
      </c>
      <c r="F932" s="10">
        <f>IFERROR(IF(INDEX(ERP資料!$E:$E, (MATCH(931, 輔助計算!$G$2:$G$801, 0)+1))="","",TRIM(INDEX(ERP資料!$E:$E, (MATCH(931, 輔助計算!$G$2:$G$801, 0)+1)))), "")</f>
        <v/>
      </c>
      <c r="G932" s="10">
        <f>IFERROR(IF(INDEX(ERP資料!$F:$F, (MATCH(931, 輔助計算!$G$2:$G$801, 0)+1))="","",INDEX(ERP資料!$F:$F, (MATCH(931, 輔助計算!$G$2:$G$801, 0)+1))), "")</f>
        <v/>
      </c>
      <c r="H932" s="10">
        <f>IFERROR(IF(INDEX(ERP資料!$G:$G, (MATCH(931, 輔助計算!$G$2:$G$801, 0)+1))="","",INDEX(ERP資料!$G:$G, (MATCH(931, 輔助計算!$G$2:$G$801, 0)+1))), "")</f>
        <v/>
      </c>
      <c r="I932" s="15">
        <f>IFERROR(INDEX(輔助計算!$D:$D, (MATCH(931, 輔助計算!$G$2:$G$801, 0)+1)), "")</f>
        <v/>
      </c>
      <c r="J932" s="15">
        <f>IFERROR(IF(AND(INDEX(輔助計算!$D:$D, (MATCH(931, 輔助計算!$G$2:$G$801, 0)+1))&lt;&gt;"", INDEX(ERP資料!$G:$G, (MATCH(931, 輔助計算!$G$2:$G$801, 0)+1))&lt;&gt;""), TRIM(IF(INT(INDEX(輔助計算!$D:$D, (MATCH(931, 輔助計算!$G$2:$G$801, 0)+1))/IF(INDEX(ERP資料!$G:$G, (MATCH(931, 輔助計算!$G$2:$G$801, 0)+1))&lt;100, IF(INDEX(ERP資料!$G:$G, (MATCH(931, 輔助計算!$G$2:$G$801, 0)+1))&lt;=31,3,IF(INDEX(ERP資料!$G:$G, (MATCH(931, 輔助計算!$G$2:$G$801, 0)+1))&lt;=46.5,2,1)), IF(INDEX(ERP資料!$G:$G, (MATCH(931, 輔助計算!$G$2:$G$801, 0)+1))&lt;=790,3,IF(INDEX(ERP資料!$G:$G, (MATCH(931, 輔助計算!$G$2:$G$801, 0)+1))&lt;=1181,2,1))))&gt;0, IF(IF(INDEX(ERP資料!$G:$G, (MATCH(931, 輔助計算!$G$2:$G$801, 0)+1))&lt;100, IF(INDEX(ERP資料!$G:$G, (MATCH(931, 輔助計算!$G$2:$G$801, 0)+1))&lt;=31,3,IF(INDEX(ERP資料!$G:$G, (MATCH(931, 輔助計算!$G$2:$G$801, 0)+1))&lt;=46.5,2,1)), IF(INDEX(ERP資料!$G:$G, (MATCH(931, 輔助計算!$G$2:$G$801, 0)+1))&lt;=790,3,IF(INDEX(ERP資料!$G:$G, (MATCH(931, 輔助計算!$G$2:$G$801, 0)+1))&lt;=1181,2,1)))=1,TEXT(INDEX(ERP資料!$G:$G, (MATCH(931, 輔助計算!$G$2:$G$801, 0)+1)),"0.##"),IF(IF(INDEX(ERP資料!$G:$G, (MATCH(931, 輔助計算!$G$2:$G$801, 0)+1))&lt;100, IF(INDEX(ERP資料!$G:$G, (MATCH(931, 輔助計算!$G$2:$G$801, 0)+1))&lt;=31,3,IF(INDEX(ERP資料!$G:$G, (MATCH(931, 輔助計算!$G$2:$G$801, 0)+1))&lt;=46.5,2,1)), IF(INDEX(ERP資料!$G:$G, (MATCH(931, 輔助計算!$G$2:$G$801, 0)+1))&lt;=790,3,IF(INDEX(ERP資料!$G:$G, (MATCH(931, 輔助計算!$G$2:$G$801, 0)+1))&lt;=1181,2,1)))=2,TEXT(INDEX(ERP資料!$G:$G, (MATCH(931, 輔助計算!$G$2:$G$801, 0)+1)),"0.##")&amp;"+"&amp;TEXT(INDEX(ERP資料!$G:$G, (MATCH(931, 輔助計算!$G$2:$G$801, 0)+1)),"0.##"),TEXT(INDEX(ERP資料!$G:$G, (MATCH(931, 輔助計算!$G$2:$G$801, 0)+1)),"0.##")&amp;"+"&amp;TEXT(INDEX(ERP資料!$G:$G, (MATCH(931, 輔助計算!$G$2:$G$801, 0)+1)),"0.##")&amp;"+"&amp;TEXT(INDEX(ERP資料!$G:$G, (MATCH(931, 輔助計算!$G$2:$G$801, 0)+1)),"0.##")))&amp;"-"&amp;INT(INDEX(輔助計算!$D:$D, (MATCH(931, 輔助計算!$G$2:$G$801, 0)+1))/IF(INDEX(ERP資料!$G:$G, (MATCH(931, 輔助計算!$G$2:$G$801, 0)+1))&lt;100, IF(INDEX(ERP資料!$G:$G, (MATCH(931, 輔助計算!$G$2:$G$801, 0)+1))&lt;=31,3,IF(INDEX(ERP資料!$G:$G, (MATCH(931, 輔助計算!$G$2:$G$801, 0)+1))&lt;=46.5,2,1)), IF(INDEX(ERP資料!$G:$G, (MATCH(931, 輔助計算!$G$2:$G$801, 0)+1))&lt;=790,3,IF(INDEX(ERP資料!$G:$G, (MATCH(931, 輔助計算!$G$2:$G$801, 0)+1))&lt;=1181,2,1)))), "")&amp;IF(AND(IF(INT(INDEX(輔助計算!$D:$D, (MATCH(931, 輔助計算!$G$2:$G$801, 0)+1))/IF(INDEX(ERP資料!$G:$G, (MATCH(931, 輔助計算!$G$2:$G$801, 0)+1))&lt;100, IF(INDEX(ERP資料!$G:$G, (MATCH(931, 輔助計算!$G$2:$G$801, 0)+1))&lt;=31,3,IF(INDEX(ERP資料!$G:$G, (MATCH(931, 輔助計算!$G$2:$G$801, 0)+1))&lt;=46.5,2,1)), IF(INDEX(ERP資料!$G:$G, (MATCH(931, 輔助計算!$G$2:$G$801, 0)+1))&lt;=790,3,IF(INDEX(ERP資料!$G:$G, (MATCH(931, 輔助計算!$G$2:$G$801, 0)+1))&lt;=1181,2,1))))&gt;0, IF(IF(INDEX(ERP資料!$G:$G, (MATCH(931, 輔助計算!$G$2:$G$801, 0)+1))&lt;100, IF(INDEX(ERP資料!$G:$G, (MATCH(931, 輔助計算!$G$2:$G$801, 0)+1))&lt;=31,3,IF(INDEX(ERP資料!$G:$G, (MATCH(931, 輔助計算!$G$2:$G$801, 0)+1))&lt;=46.5,2,1)), IF(INDEX(ERP資料!$G:$G, (MATCH(931, 輔助計算!$G$2:$G$801, 0)+1))&lt;=790,3,IF(INDEX(ERP資料!$G:$G, (MATCH(931, 輔助計算!$G$2:$G$801, 0)+1))&lt;=1181,2,1)))=1,TEXT(INDEX(ERP資料!$G:$G, (MATCH(931, 輔助計算!$G$2:$G$801, 0)+1)),"0.##"),IF(IF(INDEX(ERP資料!$G:$G, (MATCH(931, 輔助計算!$G$2:$G$801, 0)+1))&lt;100, IF(INDEX(ERP資料!$G:$G, (MATCH(931, 輔助計算!$G$2:$G$801, 0)+1))&lt;=31,3,IF(INDEX(ERP資料!$G:$G, (MATCH(931, 輔助計算!$G$2:$G$801, 0)+1))&lt;=46.5,2,1)), IF(INDEX(ERP資料!$G:$G, (MATCH(931, 輔助計算!$G$2:$G$801, 0)+1))&lt;=790,3,IF(INDEX(ERP資料!$G:$G, (MATCH(931, 輔助計算!$G$2:$G$801, 0)+1))&lt;=1181,2,1)))=2,TEXT(INDEX(ERP資料!$G:$G, (MATCH(931, 輔助計算!$G$2:$G$801, 0)+1)),"0.##")&amp;"+"&amp;TEXT(INDEX(ERP資料!$G:$G, (MATCH(931, 輔助計算!$G$2:$G$801, 0)+1)),"0.##"),TEXT(INDEX(ERP資料!$G:$G, (MATCH(931, 輔助計算!$G$2:$G$801, 0)+1)),"0.##")&amp;"+"&amp;TEXT(INDEX(ERP資料!$G:$G, (MATCH(931, 輔助計算!$G$2:$G$801, 0)+1)),"0.##")&amp;"+"&amp;TEXT(INDEX(ERP資料!$G:$G, (MATCH(931, 輔助計算!$G$2:$G$801, 0)+1)),"0.##")))&amp;"-"&amp;INT(INDEX(輔助計算!$D:$D, (MATCH(931, 輔助計算!$G$2:$G$801, 0)+1))/IF(INDEX(ERP資料!$G:$G, (MATCH(931, 輔助計算!$G$2:$G$801, 0)+1))&lt;100, IF(INDEX(ERP資料!$G:$G, (MATCH(931, 輔助計算!$G$2:$G$801, 0)+1))&lt;=31,3,IF(INDEX(ERP資料!$G:$G, (MATCH(931, 輔助計算!$G$2:$G$801, 0)+1))&lt;=46.5,2,1)), IF(INDEX(ERP資料!$G:$G, (MATCH(931, 輔助計算!$G$2:$G$801, 0)+1))&lt;=790,3,IF(INDEX(ERP資料!$G:$G, (MATCH(931, 輔助計算!$G$2:$G$801, 0)+1))&lt;=1181,2,1)))), "")&lt;&gt;"",IF(MOD(INDEX(輔助計算!$D:$D, (MATCH(931, 輔助計算!$G$2:$G$801, 0)+1)),IF(INDEX(ERP資料!$G:$G, (MATCH(931, 輔助計算!$G$2:$G$801, 0)+1))&lt;100, IF(INDEX(ERP資料!$G:$G, (MATCH(931, 輔助計算!$G$2:$G$801, 0)+1))&lt;=31,3,IF(INDEX(ERP資料!$G:$G, (MATCH(931, 輔助計算!$G$2:$G$801, 0)+1))&lt;=46.5,2,1)), IF(INDEX(ERP資料!$G:$G, (MATCH(931, 輔助計算!$G$2:$G$801, 0)+1))&lt;=790,3,IF(INDEX(ERP資料!$G:$G, (MATCH(931, 輔助計算!$G$2:$G$801, 0)+1))&lt;=1181,2,1))))=0,"",IF(MOD(INDEX(輔助計算!$D:$D, (MATCH(931, 輔助計算!$G$2:$G$801, 0)+1)),IF(INDEX(ERP資料!$G:$G, (MATCH(931, 輔助計算!$G$2:$G$801, 0)+1))&lt;100, IF(INDEX(ERP資料!$G:$G, (MATCH(931, 輔助計算!$G$2:$G$801, 0)+1))&lt;=31,3,IF(INDEX(ERP資料!$G:$G, (MATCH(931, 輔助計算!$G$2:$G$801, 0)+1))&lt;=46.5,2,1)), IF(INDEX(ERP資料!$G:$G, (MATCH(931, 輔助計算!$G$2:$G$801, 0)+1))&lt;=790,3,IF(INDEX(ERP資料!$G:$G, (MATCH(931, 輔助計算!$G$2:$G$801, 0)+1))&lt;=1181,2,1))))=0,"",IF(MOD(INDEX(輔助計算!$D:$D, (MATCH(931, 輔助計算!$G$2:$G$801, 0)+1)),IF(INDEX(ERP資料!$G:$G, (MATCH(931, 輔助計算!$G$2:$G$801, 0)+1))&lt;100, IF(INDEX(ERP資料!$G:$G, (MATCH(931, 輔助計算!$G$2:$G$801, 0)+1))&lt;=31,3,IF(INDEX(ERP資料!$G:$G, (MATCH(931, 輔助計算!$G$2:$G$801, 0)+1))&lt;=46.5,2,1)), IF(INDEX(ERP資料!$G:$G, (MATCH(931, 輔助計算!$G$2:$G$801, 0)+1))&lt;=790,3,IF(INDEX(ERP資料!$G:$G, (MATCH(931, 輔助計算!$G$2:$G$801, 0)+1))&lt;=1181,2,1))))=1,TEXT(INDEX(ERP資料!$G:$G, (MATCH(931, 輔助計算!$G$2:$G$801, 0)+1)),"0.##"),IF(MOD(INDEX(輔助計算!$D:$D, (MATCH(931, 輔助計算!$G$2:$G$801, 0)+1)),IF(INDEX(ERP資料!$G:$G, (MATCH(931, 輔助計算!$G$2:$G$801, 0)+1))&lt;100, IF(INDEX(ERP資料!$G:$G, (MATCH(931, 輔助計算!$G$2:$G$801, 0)+1))&lt;=31,3,IF(INDEX(ERP資料!$G:$G, (MATCH(931, 輔助計算!$G$2:$G$801, 0)+1))&lt;=46.5,2,1)), IF(INDEX(ERP資料!$G:$G, (MATCH(931, 輔助計算!$G$2:$G$801, 0)+1))&lt;=790,3,IF(INDEX(ERP資料!$G:$G, (MATCH(931, 輔助計算!$G$2:$G$801, 0)+1))&lt;=1181,2,1))))=2,TEXT(INDEX(ERP資料!$G:$G, (MATCH(931, 輔助計算!$G$2:$G$801, 0)+1)),"0.##")&amp;"+"&amp;TEXT(INDEX(ERP資料!$G:$G, (MATCH(931, 輔助計算!$G$2:$G$801, 0)+1)),"0.##"),TEXT(INDEX(ERP資料!$G:$G, (MATCH(931, 輔助計算!$G$2:$G$801, 0)+1)),"0.##")&amp;"+"&amp;TEXT(INDEX(ERP資料!$G:$G, (MATCH(931, 輔助計算!$G$2:$G$801, 0)+1)),"0.##")&amp;"+"&amp;TEXT(INDEX(ERP資料!$G:$G, (MATCH(931, 輔助計算!$G$2:$G$801, 0)+1)),"0.##"))))&amp;"-1")&lt;&gt;""),"  ","")&amp;IF(MOD(INDEX(輔助計算!$D:$D, (MATCH(931, 輔助計算!$G$2:$G$801, 0)+1)),IF(INDEX(ERP資料!$G:$G, (MATCH(931, 輔助計算!$G$2:$G$801, 0)+1))&lt;100, IF(INDEX(ERP資料!$G:$G, (MATCH(931, 輔助計算!$G$2:$G$801, 0)+1))&lt;=31,3,IF(INDEX(ERP資料!$G:$G, (MATCH(931, 輔助計算!$G$2:$G$801, 0)+1))&lt;=46.5,2,1)), IF(INDEX(ERP資料!$G:$G, (MATCH(931, 輔助計算!$G$2:$G$801, 0)+1))&lt;=790,3,IF(INDEX(ERP資料!$G:$G, (MATCH(931, 輔助計算!$G$2:$G$801, 0)+1))&lt;=1181,2,1))))=0,"",IF(MOD(INDEX(輔助計算!$D:$D, (MATCH(931, 輔助計算!$G$2:$G$801, 0)+1)),IF(INDEX(ERP資料!$G:$G, (MATCH(931, 輔助計算!$G$2:$G$801, 0)+1))&lt;100, IF(INDEX(ERP資料!$G:$G, (MATCH(931, 輔助計算!$G$2:$G$801, 0)+1))&lt;=31,3,IF(INDEX(ERP資料!$G:$G, (MATCH(931, 輔助計算!$G$2:$G$801, 0)+1))&lt;=46.5,2,1)), IF(INDEX(ERP資料!$G:$G, (MATCH(931, 輔助計算!$G$2:$G$801, 0)+1))&lt;=790,3,IF(INDEX(ERP資料!$G:$G, (MATCH(931, 輔助計算!$G$2:$G$801, 0)+1))&lt;=1181,2,1))))=0,"",IF(MOD(INDEX(輔助計算!$D:$D, (MATCH(931, 輔助計算!$G$2:$G$801, 0)+1)),IF(INDEX(ERP資料!$G:$G, (MATCH(931, 輔助計算!$G$2:$G$801, 0)+1))&lt;100, IF(INDEX(ERP資料!$G:$G, (MATCH(931, 輔助計算!$G$2:$G$801, 0)+1))&lt;=31,3,IF(INDEX(ERP資料!$G:$G, (MATCH(931, 輔助計算!$G$2:$G$801, 0)+1))&lt;=46.5,2,1)), IF(INDEX(ERP資料!$G:$G, (MATCH(931, 輔助計算!$G$2:$G$801, 0)+1))&lt;=790,3,IF(INDEX(ERP資料!$G:$G, (MATCH(931, 輔助計算!$G$2:$G$801, 0)+1))&lt;=1181,2,1))))=1,TEXT(INDEX(ERP資料!$G:$G, (MATCH(931, 輔助計算!$G$2:$G$801, 0)+1)),"0.##"),IF(MOD(INDEX(輔助計算!$D:$D, (MATCH(931, 輔助計算!$G$2:$G$801, 0)+1)),IF(INDEX(ERP資料!$G:$G, (MATCH(931, 輔助計算!$G$2:$G$801, 0)+1))&lt;100, IF(INDEX(ERP資料!$G:$G, (MATCH(931, 輔助計算!$G$2:$G$801, 0)+1))&lt;=31,3,IF(INDEX(ERP資料!$G:$G, (MATCH(931, 輔助計算!$G$2:$G$801, 0)+1))&lt;=46.5,2,1)), IF(INDEX(ERP資料!$G:$G, (MATCH(931, 輔助計算!$G$2:$G$801, 0)+1))&lt;=790,3,IF(INDEX(ERP資料!$G:$G, (MATCH(931, 輔助計算!$G$2:$G$801, 0)+1))&lt;=1181,2,1))))=2,TEXT(INDEX(ERP資料!$G:$G, (MATCH(931, 輔助計算!$G$2:$G$801, 0)+1)),"0.##")&amp;"+"&amp;TEXT(INDEX(ERP資料!$G:$G, (MATCH(931, 輔助計算!$G$2:$G$801, 0)+1)),"0.##"),TEXT(INDEX(ERP資料!$G:$G, (MATCH(931, 輔助計算!$G$2:$G$801, 0)+1)),"0.##")&amp;"+"&amp;TEXT(INDEX(ERP資料!$G:$G, (MATCH(931, 輔助計算!$G$2:$G$801, 0)+1)),"0.##")&amp;"+"&amp;TEXT(INDEX(ERP資料!$G:$G, (MATCH(931, 輔助計算!$G$2:$G$801, 0)+1)),"0.##"))))&amp;"-1")), ""), "")</f>
        <v/>
      </c>
      <c r="K932" s="16" t="n"/>
      <c r="L932" s="14">
        <f>IFERROR(IF(AND(IFERROR(INDEX(ERP資料!$A:$A, (MATCH(931, 輔助計算!$G$2:$G$801, 0)+1)), "")&lt;&gt;"", IFERROR(INDEX(ERP資料!$A:$A, (MATCH(931, 輔助計算!$G$2:$G$801, 0)+1)), "")&lt;&gt;IFERROR(INDEX(ERP資料!$A:$A, MATCH(930, 輔助計算!$G$2:$G$801, 0)+1), "")), INDEX(ERP資料!$B:$B, (MATCH(931, 輔助計算!$G$2:$G$801, 0)+1)), ""), "")</f>
        <v/>
      </c>
      <c r="M932" s="17" t="n"/>
    </row>
    <row r="933">
      <c r="A933" s="10">
        <f>IFERROR(IF(AND(IFERROR(INDEX(ERP資料!$A:$A, (MATCH(932, 輔助計算!$G$2:$G$801, 0)+1)), "")&lt;&gt;"", IFERROR(INDEX(ERP資料!$A:$A, (MATCH(932, 輔助計算!$G$2:$G$801, 0)+1)), "")&lt;&gt;IFERROR(INDEX(ERP資料!$A:$A, MATCH(931, 輔助計算!$G$2:$G$801, 0)+1), "")), IFERROR(INDEX(ERP資料!$A:$A, (MATCH(932, 輔助計算!$G$2:$G$801, 0)+1)), ""), ""), "")</f>
        <v/>
      </c>
      <c r="B933" s="10">
        <f>IFERROR(IF(AND(IFERROR(INDEX(ERP資料!$A:$A, (MATCH(932, 輔助計算!$G$2:$G$801, 0)+1)), "")&lt;&gt;"", IFERROR(INDEX(ERP資料!$A:$A, (MATCH(932, 輔助計算!$G$2:$G$801, 0)+1)), "")&lt;&gt;IFERROR(INDEX(ERP資料!$A:$A, MATCH(931, 輔助計算!$G$2:$G$801, 0)+1), "")), INDEX(ERP資料!$S:$S, (MATCH(932, 輔助計算!$G$2:$G$801, 0)+1)), ""), "")</f>
        <v/>
      </c>
      <c r="C933" s="19">
        <f>IFERROR(IF(AND(IFERROR(INDEX(ERP資料!$A:$A, (MATCH(932, 輔助計算!$G$2:$G$801, 0)+1)), "")&lt;&gt;"", IFERROR(INDEX(ERP資料!$A:$A, (MATCH(932, 輔助計算!$G$2:$G$801, 0)+1)), "")&lt;&gt;IFERROR(INDEX(ERP資料!$A:$A, MATCH(931, 輔助計算!$G$2:$G$801, 0)+1), "")), IFERROR(VLOOKUP(LEFT(INDEX(ERP資料!$S:$S, (MATCH(932, 輔助計算!$G$2:$G$801, 0)+1)), 4), 紙管對照表!$A:$C, 3, FALSE), ""), ""), "")</f>
        <v/>
      </c>
      <c r="D933" s="16" t="n"/>
      <c r="E933" s="10">
        <f>IFERROR(IF(INDEX(ERP資料!$H:$H, (MATCH(932, 輔助計算!$G$2:$G$801, 0)+1))="","",INDEX(ERP資料!$H:$H, (MATCH(932, 輔助計算!$G$2:$G$801, 0)+1))), "")</f>
        <v/>
      </c>
      <c r="F933" s="10">
        <f>IFERROR(IF(INDEX(ERP資料!$E:$E, (MATCH(932, 輔助計算!$G$2:$G$801, 0)+1))="","",TRIM(INDEX(ERP資料!$E:$E, (MATCH(932, 輔助計算!$G$2:$G$801, 0)+1)))), "")</f>
        <v/>
      </c>
      <c r="G933" s="10">
        <f>IFERROR(IF(INDEX(ERP資料!$F:$F, (MATCH(932, 輔助計算!$G$2:$G$801, 0)+1))="","",INDEX(ERP資料!$F:$F, (MATCH(932, 輔助計算!$G$2:$G$801, 0)+1))), "")</f>
        <v/>
      </c>
      <c r="H933" s="10">
        <f>IFERROR(IF(INDEX(ERP資料!$G:$G, (MATCH(932, 輔助計算!$G$2:$G$801, 0)+1))="","",INDEX(ERP資料!$G:$G, (MATCH(932, 輔助計算!$G$2:$G$801, 0)+1))), "")</f>
        <v/>
      </c>
      <c r="I933" s="15">
        <f>IFERROR(INDEX(輔助計算!$D:$D, (MATCH(932, 輔助計算!$G$2:$G$801, 0)+1)), "")</f>
        <v/>
      </c>
      <c r="J933" s="15">
        <f>IFERROR(IF(AND(INDEX(輔助計算!$D:$D, (MATCH(932, 輔助計算!$G$2:$G$801, 0)+1))&lt;&gt;"", INDEX(ERP資料!$G:$G, (MATCH(932, 輔助計算!$G$2:$G$801, 0)+1))&lt;&gt;""), TRIM(IF(INT(INDEX(輔助計算!$D:$D, (MATCH(932, 輔助計算!$G$2:$G$801, 0)+1))/IF(INDEX(ERP資料!$G:$G, (MATCH(932, 輔助計算!$G$2:$G$801, 0)+1))&lt;100, IF(INDEX(ERP資料!$G:$G, (MATCH(932, 輔助計算!$G$2:$G$801, 0)+1))&lt;=31,3,IF(INDEX(ERP資料!$G:$G, (MATCH(932, 輔助計算!$G$2:$G$801, 0)+1))&lt;=46.5,2,1)), IF(INDEX(ERP資料!$G:$G, (MATCH(932, 輔助計算!$G$2:$G$801, 0)+1))&lt;=790,3,IF(INDEX(ERP資料!$G:$G, (MATCH(932, 輔助計算!$G$2:$G$801, 0)+1))&lt;=1181,2,1))))&gt;0, IF(IF(INDEX(ERP資料!$G:$G, (MATCH(932, 輔助計算!$G$2:$G$801, 0)+1))&lt;100, IF(INDEX(ERP資料!$G:$G, (MATCH(932, 輔助計算!$G$2:$G$801, 0)+1))&lt;=31,3,IF(INDEX(ERP資料!$G:$G, (MATCH(932, 輔助計算!$G$2:$G$801, 0)+1))&lt;=46.5,2,1)), IF(INDEX(ERP資料!$G:$G, (MATCH(932, 輔助計算!$G$2:$G$801, 0)+1))&lt;=790,3,IF(INDEX(ERP資料!$G:$G, (MATCH(932, 輔助計算!$G$2:$G$801, 0)+1))&lt;=1181,2,1)))=1,TEXT(INDEX(ERP資料!$G:$G, (MATCH(932, 輔助計算!$G$2:$G$801, 0)+1)),"0.##"),IF(IF(INDEX(ERP資料!$G:$G, (MATCH(932, 輔助計算!$G$2:$G$801, 0)+1))&lt;100, IF(INDEX(ERP資料!$G:$G, (MATCH(932, 輔助計算!$G$2:$G$801, 0)+1))&lt;=31,3,IF(INDEX(ERP資料!$G:$G, (MATCH(932, 輔助計算!$G$2:$G$801, 0)+1))&lt;=46.5,2,1)), IF(INDEX(ERP資料!$G:$G, (MATCH(932, 輔助計算!$G$2:$G$801, 0)+1))&lt;=790,3,IF(INDEX(ERP資料!$G:$G, (MATCH(932, 輔助計算!$G$2:$G$801, 0)+1))&lt;=1181,2,1)))=2,TEXT(INDEX(ERP資料!$G:$G, (MATCH(932, 輔助計算!$G$2:$G$801, 0)+1)),"0.##")&amp;"+"&amp;TEXT(INDEX(ERP資料!$G:$G, (MATCH(932, 輔助計算!$G$2:$G$801, 0)+1)),"0.##"),TEXT(INDEX(ERP資料!$G:$G, (MATCH(932, 輔助計算!$G$2:$G$801, 0)+1)),"0.##")&amp;"+"&amp;TEXT(INDEX(ERP資料!$G:$G, (MATCH(932, 輔助計算!$G$2:$G$801, 0)+1)),"0.##")&amp;"+"&amp;TEXT(INDEX(ERP資料!$G:$G, (MATCH(932, 輔助計算!$G$2:$G$801, 0)+1)),"0.##")))&amp;"-"&amp;INT(INDEX(輔助計算!$D:$D, (MATCH(932, 輔助計算!$G$2:$G$801, 0)+1))/IF(INDEX(ERP資料!$G:$G, (MATCH(932, 輔助計算!$G$2:$G$801, 0)+1))&lt;100, IF(INDEX(ERP資料!$G:$G, (MATCH(932, 輔助計算!$G$2:$G$801, 0)+1))&lt;=31,3,IF(INDEX(ERP資料!$G:$G, (MATCH(932, 輔助計算!$G$2:$G$801, 0)+1))&lt;=46.5,2,1)), IF(INDEX(ERP資料!$G:$G, (MATCH(932, 輔助計算!$G$2:$G$801, 0)+1))&lt;=790,3,IF(INDEX(ERP資料!$G:$G, (MATCH(932, 輔助計算!$G$2:$G$801, 0)+1))&lt;=1181,2,1)))), "")&amp;IF(AND(IF(INT(INDEX(輔助計算!$D:$D, (MATCH(932, 輔助計算!$G$2:$G$801, 0)+1))/IF(INDEX(ERP資料!$G:$G, (MATCH(932, 輔助計算!$G$2:$G$801, 0)+1))&lt;100, IF(INDEX(ERP資料!$G:$G, (MATCH(932, 輔助計算!$G$2:$G$801, 0)+1))&lt;=31,3,IF(INDEX(ERP資料!$G:$G, (MATCH(932, 輔助計算!$G$2:$G$801, 0)+1))&lt;=46.5,2,1)), IF(INDEX(ERP資料!$G:$G, (MATCH(932, 輔助計算!$G$2:$G$801, 0)+1))&lt;=790,3,IF(INDEX(ERP資料!$G:$G, (MATCH(932, 輔助計算!$G$2:$G$801, 0)+1))&lt;=1181,2,1))))&gt;0, IF(IF(INDEX(ERP資料!$G:$G, (MATCH(932, 輔助計算!$G$2:$G$801, 0)+1))&lt;100, IF(INDEX(ERP資料!$G:$G, (MATCH(932, 輔助計算!$G$2:$G$801, 0)+1))&lt;=31,3,IF(INDEX(ERP資料!$G:$G, (MATCH(932, 輔助計算!$G$2:$G$801, 0)+1))&lt;=46.5,2,1)), IF(INDEX(ERP資料!$G:$G, (MATCH(932, 輔助計算!$G$2:$G$801, 0)+1))&lt;=790,3,IF(INDEX(ERP資料!$G:$G, (MATCH(932, 輔助計算!$G$2:$G$801, 0)+1))&lt;=1181,2,1)))=1,TEXT(INDEX(ERP資料!$G:$G, (MATCH(932, 輔助計算!$G$2:$G$801, 0)+1)),"0.##"),IF(IF(INDEX(ERP資料!$G:$G, (MATCH(932, 輔助計算!$G$2:$G$801, 0)+1))&lt;100, IF(INDEX(ERP資料!$G:$G, (MATCH(932, 輔助計算!$G$2:$G$801, 0)+1))&lt;=31,3,IF(INDEX(ERP資料!$G:$G, (MATCH(932, 輔助計算!$G$2:$G$801, 0)+1))&lt;=46.5,2,1)), IF(INDEX(ERP資料!$G:$G, (MATCH(932, 輔助計算!$G$2:$G$801, 0)+1))&lt;=790,3,IF(INDEX(ERP資料!$G:$G, (MATCH(932, 輔助計算!$G$2:$G$801, 0)+1))&lt;=1181,2,1)))=2,TEXT(INDEX(ERP資料!$G:$G, (MATCH(932, 輔助計算!$G$2:$G$801, 0)+1)),"0.##")&amp;"+"&amp;TEXT(INDEX(ERP資料!$G:$G, (MATCH(932, 輔助計算!$G$2:$G$801, 0)+1)),"0.##"),TEXT(INDEX(ERP資料!$G:$G, (MATCH(932, 輔助計算!$G$2:$G$801, 0)+1)),"0.##")&amp;"+"&amp;TEXT(INDEX(ERP資料!$G:$G, (MATCH(932, 輔助計算!$G$2:$G$801, 0)+1)),"0.##")&amp;"+"&amp;TEXT(INDEX(ERP資料!$G:$G, (MATCH(932, 輔助計算!$G$2:$G$801, 0)+1)),"0.##")))&amp;"-"&amp;INT(INDEX(輔助計算!$D:$D, (MATCH(932, 輔助計算!$G$2:$G$801, 0)+1))/IF(INDEX(ERP資料!$G:$G, (MATCH(932, 輔助計算!$G$2:$G$801, 0)+1))&lt;100, IF(INDEX(ERP資料!$G:$G, (MATCH(932, 輔助計算!$G$2:$G$801, 0)+1))&lt;=31,3,IF(INDEX(ERP資料!$G:$G, (MATCH(932, 輔助計算!$G$2:$G$801, 0)+1))&lt;=46.5,2,1)), IF(INDEX(ERP資料!$G:$G, (MATCH(932, 輔助計算!$G$2:$G$801, 0)+1))&lt;=790,3,IF(INDEX(ERP資料!$G:$G, (MATCH(932, 輔助計算!$G$2:$G$801, 0)+1))&lt;=1181,2,1)))), "")&lt;&gt;"",IF(MOD(INDEX(輔助計算!$D:$D, (MATCH(932, 輔助計算!$G$2:$G$801, 0)+1)),IF(INDEX(ERP資料!$G:$G, (MATCH(932, 輔助計算!$G$2:$G$801, 0)+1))&lt;100, IF(INDEX(ERP資料!$G:$G, (MATCH(932, 輔助計算!$G$2:$G$801, 0)+1))&lt;=31,3,IF(INDEX(ERP資料!$G:$G, (MATCH(932, 輔助計算!$G$2:$G$801, 0)+1))&lt;=46.5,2,1)), IF(INDEX(ERP資料!$G:$G, (MATCH(932, 輔助計算!$G$2:$G$801, 0)+1))&lt;=790,3,IF(INDEX(ERP資料!$G:$G, (MATCH(932, 輔助計算!$G$2:$G$801, 0)+1))&lt;=1181,2,1))))=0,"",IF(MOD(INDEX(輔助計算!$D:$D, (MATCH(932, 輔助計算!$G$2:$G$801, 0)+1)),IF(INDEX(ERP資料!$G:$G, (MATCH(932, 輔助計算!$G$2:$G$801, 0)+1))&lt;100, IF(INDEX(ERP資料!$G:$G, (MATCH(932, 輔助計算!$G$2:$G$801, 0)+1))&lt;=31,3,IF(INDEX(ERP資料!$G:$G, (MATCH(932, 輔助計算!$G$2:$G$801, 0)+1))&lt;=46.5,2,1)), IF(INDEX(ERP資料!$G:$G, (MATCH(932, 輔助計算!$G$2:$G$801, 0)+1))&lt;=790,3,IF(INDEX(ERP資料!$G:$G, (MATCH(932, 輔助計算!$G$2:$G$801, 0)+1))&lt;=1181,2,1))))=0,"",IF(MOD(INDEX(輔助計算!$D:$D, (MATCH(932, 輔助計算!$G$2:$G$801, 0)+1)),IF(INDEX(ERP資料!$G:$G, (MATCH(932, 輔助計算!$G$2:$G$801, 0)+1))&lt;100, IF(INDEX(ERP資料!$G:$G, (MATCH(932, 輔助計算!$G$2:$G$801, 0)+1))&lt;=31,3,IF(INDEX(ERP資料!$G:$G, (MATCH(932, 輔助計算!$G$2:$G$801, 0)+1))&lt;=46.5,2,1)), IF(INDEX(ERP資料!$G:$G, (MATCH(932, 輔助計算!$G$2:$G$801, 0)+1))&lt;=790,3,IF(INDEX(ERP資料!$G:$G, (MATCH(932, 輔助計算!$G$2:$G$801, 0)+1))&lt;=1181,2,1))))=1,TEXT(INDEX(ERP資料!$G:$G, (MATCH(932, 輔助計算!$G$2:$G$801, 0)+1)),"0.##"),IF(MOD(INDEX(輔助計算!$D:$D, (MATCH(932, 輔助計算!$G$2:$G$801, 0)+1)),IF(INDEX(ERP資料!$G:$G, (MATCH(932, 輔助計算!$G$2:$G$801, 0)+1))&lt;100, IF(INDEX(ERP資料!$G:$G, (MATCH(932, 輔助計算!$G$2:$G$801, 0)+1))&lt;=31,3,IF(INDEX(ERP資料!$G:$G, (MATCH(932, 輔助計算!$G$2:$G$801, 0)+1))&lt;=46.5,2,1)), IF(INDEX(ERP資料!$G:$G, (MATCH(932, 輔助計算!$G$2:$G$801, 0)+1))&lt;=790,3,IF(INDEX(ERP資料!$G:$G, (MATCH(932, 輔助計算!$G$2:$G$801, 0)+1))&lt;=1181,2,1))))=2,TEXT(INDEX(ERP資料!$G:$G, (MATCH(932, 輔助計算!$G$2:$G$801, 0)+1)),"0.##")&amp;"+"&amp;TEXT(INDEX(ERP資料!$G:$G, (MATCH(932, 輔助計算!$G$2:$G$801, 0)+1)),"0.##"),TEXT(INDEX(ERP資料!$G:$G, (MATCH(932, 輔助計算!$G$2:$G$801, 0)+1)),"0.##")&amp;"+"&amp;TEXT(INDEX(ERP資料!$G:$G, (MATCH(932, 輔助計算!$G$2:$G$801, 0)+1)),"0.##")&amp;"+"&amp;TEXT(INDEX(ERP資料!$G:$G, (MATCH(932, 輔助計算!$G$2:$G$801, 0)+1)),"0.##"))))&amp;"-1")&lt;&gt;""),"  ","")&amp;IF(MOD(INDEX(輔助計算!$D:$D, (MATCH(932, 輔助計算!$G$2:$G$801, 0)+1)),IF(INDEX(ERP資料!$G:$G, (MATCH(932, 輔助計算!$G$2:$G$801, 0)+1))&lt;100, IF(INDEX(ERP資料!$G:$G, (MATCH(932, 輔助計算!$G$2:$G$801, 0)+1))&lt;=31,3,IF(INDEX(ERP資料!$G:$G, (MATCH(932, 輔助計算!$G$2:$G$801, 0)+1))&lt;=46.5,2,1)), IF(INDEX(ERP資料!$G:$G, (MATCH(932, 輔助計算!$G$2:$G$801, 0)+1))&lt;=790,3,IF(INDEX(ERP資料!$G:$G, (MATCH(932, 輔助計算!$G$2:$G$801, 0)+1))&lt;=1181,2,1))))=0,"",IF(MOD(INDEX(輔助計算!$D:$D, (MATCH(932, 輔助計算!$G$2:$G$801, 0)+1)),IF(INDEX(ERP資料!$G:$G, (MATCH(932, 輔助計算!$G$2:$G$801, 0)+1))&lt;100, IF(INDEX(ERP資料!$G:$G, (MATCH(932, 輔助計算!$G$2:$G$801, 0)+1))&lt;=31,3,IF(INDEX(ERP資料!$G:$G, (MATCH(932, 輔助計算!$G$2:$G$801, 0)+1))&lt;=46.5,2,1)), IF(INDEX(ERP資料!$G:$G, (MATCH(932, 輔助計算!$G$2:$G$801, 0)+1))&lt;=790,3,IF(INDEX(ERP資料!$G:$G, (MATCH(932, 輔助計算!$G$2:$G$801, 0)+1))&lt;=1181,2,1))))=0,"",IF(MOD(INDEX(輔助計算!$D:$D, (MATCH(932, 輔助計算!$G$2:$G$801, 0)+1)),IF(INDEX(ERP資料!$G:$G, (MATCH(932, 輔助計算!$G$2:$G$801, 0)+1))&lt;100, IF(INDEX(ERP資料!$G:$G, (MATCH(932, 輔助計算!$G$2:$G$801, 0)+1))&lt;=31,3,IF(INDEX(ERP資料!$G:$G, (MATCH(932, 輔助計算!$G$2:$G$801, 0)+1))&lt;=46.5,2,1)), IF(INDEX(ERP資料!$G:$G, (MATCH(932, 輔助計算!$G$2:$G$801, 0)+1))&lt;=790,3,IF(INDEX(ERP資料!$G:$G, (MATCH(932, 輔助計算!$G$2:$G$801, 0)+1))&lt;=1181,2,1))))=1,TEXT(INDEX(ERP資料!$G:$G, (MATCH(932, 輔助計算!$G$2:$G$801, 0)+1)),"0.##"),IF(MOD(INDEX(輔助計算!$D:$D, (MATCH(932, 輔助計算!$G$2:$G$801, 0)+1)),IF(INDEX(ERP資料!$G:$G, (MATCH(932, 輔助計算!$G$2:$G$801, 0)+1))&lt;100, IF(INDEX(ERP資料!$G:$G, (MATCH(932, 輔助計算!$G$2:$G$801, 0)+1))&lt;=31,3,IF(INDEX(ERP資料!$G:$G, (MATCH(932, 輔助計算!$G$2:$G$801, 0)+1))&lt;=46.5,2,1)), IF(INDEX(ERP資料!$G:$G, (MATCH(932, 輔助計算!$G$2:$G$801, 0)+1))&lt;=790,3,IF(INDEX(ERP資料!$G:$G, (MATCH(932, 輔助計算!$G$2:$G$801, 0)+1))&lt;=1181,2,1))))=2,TEXT(INDEX(ERP資料!$G:$G, (MATCH(932, 輔助計算!$G$2:$G$801, 0)+1)),"0.##")&amp;"+"&amp;TEXT(INDEX(ERP資料!$G:$G, (MATCH(932, 輔助計算!$G$2:$G$801, 0)+1)),"0.##"),TEXT(INDEX(ERP資料!$G:$G, (MATCH(932, 輔助計算!$G$2:$G$801, 0)+1)),"0.##")&amp;"+"&amp;TEXT(INDEX(ERP資料!$G:$G, (MATCH(932, 輔助計算!$G$2:$G$801, 0)+1)),"0.##")&amp;"+"&amp;TEXT(INDEX(ERP資料!$G:$G, (MATCH(932, 輔助計算!$G$2:$G$801, 0)+1)),"0.##"))))&amp;"-1")), ""), "")</f>
        <v/>
      </c>
      <c r="K933" s="16" t="n"/>
      <c r="L933" s="14">
        <f>IFERROR(IF(AND(IFERROR(INDEX(ERP資料!$A:$A, (MATCH(932, 輔助計算!$G$2:$G$801, 0)+1)), "")&lt;&gt;"", IFERROR(INDEX(ERP資料!$A:$A, (MATCH(932, 輔助計算!$G$2:$G$801, 0)+1)), "")&lt;&gt;IFERROR(INDEX(ERP資料!$A:$A, MATCH(931, 輔助計算!$G$2:$G$801, 0)+1), "")), INDEX(ERP資料!$B:$B, (MATCH(932, 輔助計算!$G$2:$G$801, 0)+1)), ""), "")</f>
        <v/>
      </c>
      <c r="M933" s="17" t="n"/>
    </row>
    <row r="934">
      <c r="A934" s="10">
        <f>IFERROR(IF(AND(IFERROR(INDEX(ERP資料!$A:$A, (MATCH(933, 輔助計算!$G$2:$G$801, 0)+1)), "")&lt;&gt;"", IFERROR(INDEX(ERP資料!$A:$A, (MATCH(933, 輔助計算!$G$2:$G$801, 0)+1)), "")&lt;&gt;IFERROR(INDEX(ERP資料!$A:$A, MATCH(932, 輔助計算!$G$2:$G$801, 0)+1), "")), IFERROR(INDEX(ERP資料!$A:$A, (MATCH(933, 輔助計算!$G$2:$G$801, 0)+1)), ""), ""), "")</f>
        <v/>
      </c>
      <c r="B934" s="10">
        <f>IFERROR(IF(AND(IFERROR(INDEX(ERP資料!$A:$A, (MATCH(933, 輔助計算!$G$2:$G$801, 0)+1)), "")&lt;&gt;"", IFERROR(INDEX(ERP資料!$A:$A, (MATCH(933, 輔助計算!$G$2:$G$801, 0)+1)), "")&lt;&gt;IFERROR(INDEX(ERP資料!$A:$A, MATCH(932, 輔助計算!$G$2:$G$801, 0)+1), "")), INDEX(ERP資料!$S:$S, (MATCH(933, 輔助計算!$G$2:$G$801, 0)+1)), ""), "")</f>
        <v/>
      </c>
      <c r="C934" s="19">
        <f>IFERROR(IF(AND(IFERROR(INDEX(ERP資料!$A:$A, (MATCH(933, 輔助計算!$G$2:$G$801, 0)+1)), "")&lt;&gt;"", IFERROR(INDEX(ERP資料!$A:$A, (MATCH(933, 輔助計算!$G$2:$G$801, 0)+1)), "")&lt;&gt;IFERROR(INDEX(ERP資料!$A:$A, MATCH(932, 輔助計算!$G$2:$G$801, 0)+1), "")), IFERROR(VLOOKUP(LEFT(INDEX(ERP資料!$S:$S, (MATCH(933, 輔助計算!$G$2:$G$801, 0)+1)), 4), 紙管對照表!$A:$C, 3, FALSE), ""), ""), "")</f>
        <v/>
      </c>
      <c r="D934" s="16" t="n"/>
      <c r="E934" s="10">
        <f>IFERROR(IF(INDEX(ERP資料!$H:$H, (MATCH(933, 輔助計算!$G$2:$G$801, 0)+1))="","",INDEX(ERP資料!$H:$H, (MATCH(933, 輔助計算!$G$2:$G$801, 0)+1))), "")</f>
        <v/>
      </c>
      <c r="F934" s="10">
        <f>IFERROR(IF(INDEX(ERP資料!$E:$E, (MATCH(933, 輔助計算!$G$2:$G$801, 0)+1))="","",TRIM(INDEX(ERP資料!$E:$E, (MATCH(933, 輔助計算!$G$2:$G$801, 0)+1)))), "")</f>
        <v/>
      </c>
      <c r="G934" s="10">
        <f>IFERROR(IF(INDEX(ERP資料!$F:$F, (MATCH(933, 輔助計算!$G$2:$G$801, 0)+1))="","",INDEX(ERP資料!$F:$F, (MATCH(933, 輔助計算!$G$2:$G$801, 0)+1))), "")</f>
        <v/>
      </c>
      <c r="H934" s="10">
        <f>IFERROR(IF(INDEX(ERP資料!$G:$G, (MATCH(933, 輔助計算!$G$2:$G$801, 0)+1))="","",INDEX(ERP資料!$G:$G, (MATCH(933, 輔助計算!$G$2:$G$801, 0)+1))), "")</f>
        <v/>
      </c>
      <c r="I934" s="15">
        <f>IFERROR(INDEX(輔助計算!$D:$D, (MATCH(933, 輔助計算!$G$2:$G$801, 0)+1)), "")</f>
        <v/>
      </c>
      <c r="J934" s="15">
        <f>IFERROR(IF(AND(INDEX(輔助計算!$D:$D, (MATCH(933, 輔助計算!$G$2:$G$801, 0)+1))&lt;&gt;"", INDEX(ERP資料!$G:$G, (MATCH(933, 輔助計算!$G$2:$G$801, 0)+1))&lt;&gt;""), TRIM(IF(INT(INDEX(輔助計算!$D:$D, (MATCH(933, 輔助計算!$G$2:$G$801, 0)+1))/IF(INDEX(ERP資料!$G:$G, (MATCH(933, 輔助計算!$G$2:$G$801, 0)+1))&lt;100, IF(INDEX(ERP資料!$G:$G, (MATCH(933, 輔助計算!$G$2:$G$801, 0)+1))&lt;=31,3,IF(INDEX(ERP資料!$G:$G, (MATCH(933, 輔助計算!$G$2:$G$801, 0)+1))&lt;=46.5,2,1)), IF(INDEX(ERP資料!$G:$G, (MATCH(933, 輔助計算!$G$2:$G$801, 0)+1))&lt;=790,3,IF(INDEX(ERP資料!$G:$G, (MATCH(933, 輔助計算!$G$2:$G$801, 0)+1))&lt;=1181,2,1))))&gt;0, IF(IF(INDEX(ERP資料!$G:$G, (MATCH(933, 輔助計算!$G$2:$G$801, 0)+1))&lt;100, IF(INDEX(ERP資料!$G:$G, (MATCH(933, 輔助計算!$G$2:$G$801, 0)+1))&lt;=31,3,IF(INDEX(ERP資料!$G:$G, (MATCH(933, 輔助計算!$G$2:$G$801, 0)+1))&lt;=46.5,2,1)), IF(INDEX(ERP資料!$G:$G, (MATCH(933, 輔助計算!$G$2:$G$801, 0)+1))&lt;=790,3,IF(INDEX(ERP資料!$G:$G, (MATCH(933, 輔助計算!$G$2:$G$801, 0)+1))&lt;=1181,2,1)))=1,TEXT(INDEX(ERP資料!$G:$G, (MATCH(933, 輔助計算!$G$2:$G$801, 0)+1)),"0.##"),IF(IF(INDEX(ERP資料!$G:$G, (MATCH(933, 輔助計算!$G$2:$G$801, 0)+1))&lt;100, IF(INDEX(ERP資料!$G:$G, (MATCH(933, 輔助計算!$G$2:$G$801, 0)+1))&lt;=31,3,IF(INDEX(ERP資料!$G:$G, (MATCH(933, 輔助計算!$G$2:$G$801, 0)+1))&lt;=46.5,2,1)), IF(INDEX(ERP資料!$G:$G, (MATCH(933, 輔助計算!$G$2:$G$801, 0)+1))&lt;=790,3,IF(INDEX(ERP資料!$G:$G, (MATCH(933, 輔助計算!$G$2:$G$801, 0)+1))&lt;=1181,2,1)))=2,TEXT(INDEX(ERP資料!$G:$G, (MATCH(933, 輔助計算!$G$2:$G$801, 0)+1)),"0.##")&amp;"+"&amp;TEXT(INDEX(ERP資料!$G:$G, (MATCH(933, 輔助計算!$G$2:$G$801, 0)+1)),"0.##"),TEXT(INDEX(ERP資料!$G:$G, (MATCH(933, 輔助計算!$G$2:$G$801, 0)+1)),"0.##")&amp;"+"&amp;TEXT(INDEX(ERP資料!$G:$G, (MATCH(933, 輔助計算!$G$2:$G$801, 0)+1)),"0.##")&amp;"+"&amp;TEXT(INDEX(ERP資料!$G:$G, (MATCH(933, 輔助計算!$G$2:$G$801, 0)+1)),"0.##")))&amp;"-"&amp;INT(INDEX(輔助計算!$D:$D, (MATCH(933, 輔助計算!$G$2:$G$801, 0)+1))/IF(INDEX(ERP資料!$G:$G, (MATCH(933, 輔助計算!$G$2:$G$801, 0)+1))&lt;100, IF(INDEX(ERP資料!$G:$G, (MATCH(933, 輔助計算!$G$2:$G$801, 0)+1))&lt;=31,3,IF(INDEX(ERP資料!$G:$G, (MATCH(933, 輔助計算!$G$2:$G$801, 0)+1))&lt;=46.5,2,1)), IF(INDEX(ERP資料!$G:$G, (MATCH(933, 輔助計算!$G$2:$G$801, 0)+1))&lt;=790,3,IF(INDEX(ERP資料!$G:$G, (MATCH(933, 輔助計算!$G$2:$G$801, 0)+1))&lt;=1181,2,1)))), "")&amp;IF(AND(IF(INT(INDEX(輔助計算!$D:$D, (MATCH(933, 輔助計算!$G$2:$G$801, 0)+1))/IF(INDEX(ERP資料!$G:$G, (MATCH(933, 輔助計算!$G$2:$G$801, 0)+1))&lt;100, IF(INDEX(ERP資料!$G:$G, (MATCH(933, 輔助計算!$G$2:$G$801, 0)+1))&lt;=31,3,IF(INDEX(ERP資料!$G:$G, (MATCH(933, 輔助計算!$G$2:$G$801, 0)+1))&lt;=46.5,2,1)), IF(INDEX(ERP資料!$G:$G, (MATCH(933, 輔助計算!$G$2:$G$801, 0)+1))&lt;=790,3,IF(INDEX(ERP資料!$G:$G, (MATCH(933, 輔助計算!$G$2:$G$801, 0)+1))&lt;=1181,2,1))))&gt;0, IF(IF(INDEX(ERP資料!$G:$G, (MATCH(933, 輔助計算!$G$2:$G$801, 0)+1))&lt;100, IF(INDEX(ERP資料!$G:$G, (MATCH(933, 輔助計算!$G$2:$G$801, 0)+1))&lt;=31,3,IF(INDEX(ERP資料!$G:$G, (MATCH(933, 輔助計算!$G$2:$G$801, 0)+1))&lt;=46.5,2,1)), IF(INDEX(ERP資料!$G:$G, (MATCH(933, 輔助計算!$G$2:$G$801, 0)+1))&lt;=790,3,IF(INDEX(ERP資料!$G:$G, (MATCH(933, 輔助計算!$G$2:$G$801, 0)+1))&lt;=1181,2,1)))=1,TEXT(INDEX(ERP資料!$G:$G, (MATCH(933, 輔助計算!$G$2:$G$801, 0)+1)),"0.##"),IF(IF(INDEX(ERP資料!$G:$G, (MATCH(933, 輔助計算!$G$2:$G$801, 0)+1))&lt;100, IF(INDEX(ERP資料!$G:$G, (MATCH(933, 輔助計算!$G$2:$G$801, 0)+1))&lt;=31,3,IF(INDEX(ERP資料!$G:$G, (MATCH(933, 輔助計算!$G$2:$G$801, 0)+1))&lt;=46.5,2,1)), IF(INDEX(ERP資料!$G:$G, (MATCH(933, 輔助計算!$G$2:$G$801, 0)+1))&lt;=790,3,IF(INDEX(ERP資料!$G:$G, (MATCH(933, 輔助計算!$G$2:$G$801, 0)+1))&lt;=1181,2,1)))=2,TEXT(INDEX(ERP資料!$G:$G, (MATCH(933, 輔助計算!$G$2:$G$801, 0)+1)),"0.##")&amp;"+"&amp;TEXT(INDEX(ERP資料!$G:$G, (MATCH(933, 輔助計算!$G$2:$G$801, 0)+1)),"0.##"),TEXT(INDEX(ERP資料!$G:$G, (MATCH(933, 輔助計算!$G$2:$G$801, 0)+1)),"0.##")&amp;"+"&amp;TEXT(INDEX(ERP資料!$G:$G, (MATCH(933, 輔助計算!$G$2:$G$801, 0)+1)),"0.##")&amp;"+"&amp;TEXT(INDEX(ERP資料!$G:$G, (MATCH(933, 輔助計算!$G$2:$G$801, 0)+1)),"0.##")))&amp;"-"&amp;INT(INDEX(輔助計算!$D:$D, (MATCH(933, 輔助計算!$G$2:$G$801, 0)+1))/IF(INDEX(ERP資料!$G:$G, (MATCH(933, 輔助計算!$G$2:$G$801, 0)+1))&lt;100, IF(INDEX(ERP資料!$G:$G, (MATCH(933, 輔助計算!$G$2:$G$801, 0)+1))&lt;=31,3,IF(INDEX(ERP資料!$G:$G, (MATCH(933, 輔助計算!$G$2:$G$801, 0)+1))&lt;=46.5,2,1)), IF(INDEX(ERP資料!$G:$G, (MATCH(933, 輔助計算!$G$2:$G$801, 0)+1))&lt;=790,3,IF(INDEX(ERP資料!$G:$G, (MATCH(933, 輔助計算!$G$2:$G$801, 0)+1))&lt;=1181,2,1)))), "")&lt;&gt;"",IF(MOD(INDEX(輔助計算!$D:$D, (MATCH(933, 輔助計算!$G$2:$G$801, 0)+1)),IF(INDEX(ERP資料!$G:$G, (MATCH(933, 輔助計算!$G$2:$G$801, 0)+1))&lt;100, IF(INDEX(ERP資料!$G:$G, (MATCH(933, 輔助計算!$G$2:$G$801, 0)+1))&lt;=31,3,IF(INDEX(ERP資料!$G:$G, (MATCH(933, 輔助計算!$G$2:$G$801, 0)+1))&lt;=46.5,2,1)), IF(INDEX(ERP資料!$G:$G, (MATCH(933, 輔助計算!$G$2:$G$801, 0)+1))&lt;=790,3,IF(INDEX(ERP資料!$G:$G, (MATCH(933, 輔助計算!$G$2:$G$801, 0)+1))&lt;=1181,2,1))))=0,"",IF(MOD(INDEX(輔助計算!$D:$D, (MATCH(933, 輔助計算!$G$2:$G$801, 0)+1)),IF(INDEX(ERP資料!$G:$G, (MATCH(933, 輔助計算!$G$2:$G$801, 0)+1))&lt;100, IF(INDEX(ERP資料!$G:$G, (MATCH(933, 輔助計算!$G$2:$G$801, 0)+1))&lt;=31,3,IF(INDEX(ERP資料!$G:$G, (MATCH(933, 輔助計算!$G$2:$G$801, 0)+1))&lt;=46.5,2,1)), IF(INDEX(ERP資料!$G:$G, (MATCH(933, 輔助計算!$G$2:$G$801, 0)+1))&lt;=790,3,IF(INDEX(ERP資料!$G:$G, (MATCH(933, 輔助計算!$G$2:$G$801, 0)+1))&lt;=1181,2,1))))=0,"",IF(MOD(INDEX(輔助計算!$D:$D, (MATCH(933, 輔助計算!$G$2:$G$801, 0)+1)),IF(INDEX(ERP資料!$G:$G, (MATCH(933, 輔助計算!$G$2:$G$801, 0)+1))&lt;100, IF(INDEX(ERP資料!$G:$G, (MATCH(933, 輔助計算!$G$2:$G$801, 0)+1))&lt;=31,3,IF(INDEX(ERP資料!$G:$G, (MATCH(933, 輔助計算!$G$2:$G$801, 0)+1))&lt;=46.5,2,1)), IF(INDEX(ERP資料!$G:$G, (MATCH(933, 輔助計算!$G$2:$G$801, 0)+1))&lt;=790,3,IF(INDEX(ERP資料!$G:$G, (MATCH(933, 輔助計算!$G$2:$G$801, 0)+1))&lt;=1181,2,1))))=1,TEXT(INDEX(ERP資料!$G:$G, (MATCH(933, 輔助計算!$G$2:$G$801, 0)+1)),"0.##"),IF(MOD(INDEX(輔助計算!$D:$D, (MATCH(933, 輔助計算!$G$2:$G$801, 0)+1)),IF(INDEX(ERP資料!$G:$G, (MATCH(933, 輔助計算!$G$2:$G$801, 0)+1))&lt;100, IF(INDEX(ERP資料!$G:$G, (MATCH(933, 輔助計算!$G$2:$G$801, 0)+1))&lt;=31,3,IF(INDEX(ERP資料!$G:$G, (MATCH(933, 輔助計算!$G$2:$G$801, 0)+1))&lt;=46.5,2,1)), IF(INDEX(ERP資料!$G:$G, (MATCH(933, 輔助計算!$G$2:$G$801, 0)+1))&lt;=790,3,IF(INDEX(ERP資料!$G:$G, (MATCH(933, 輔助計算!$G$2:$G$801, 0)+1))&lt;=1181,2,1))))=2,TEXT(INDEX(ERP資料!$G:$G, (MATCH(933, 輔助計算!$G$2:$G$801, 0)+1)),"0.##")&amp;"+"&amp;TEXT(INDEX(ERP資料!$G:$G, (MATCH(933, 輔助計算!$G$2:$G$801, 0)+1)),"0.##"),TEXT(INDEX(ERP資料!$G:$G, (MATCH(933, 輔助計算!$G$2:$G$801, 0)+1)),"0.##")&amp;"+"&amp;TEXT(INDEX(ERP資料!$G:$G, (MATCH(933, 輔助計算!$G$2:$G$801, 0)+1)),"0.##")&amp;"+"&amp;TEXT(INDEX(ERP資料!$G:$G, (MATCH(933, 輔助計算!$G$2:$G$801, 0)+1)),"0.##"))))&amp;"-1")&lt;&gt;""),"  ","")&amp;IF(MOD(INDEX(輔助計算!$D:$D, (MATCH(933, 輔助計算!$G$2:$G$801, 0)+1)),IF(INDEX(ERP資料!$G:$G, (MATCH(933, 輔助計算!$G$2:$G$801, 0)+1))&lt;100, IF(INDEX(ERP資料!$G:$G, (MATCH(933, 輔助計算!$G$2:$G$801, 0)+1))&lt;=31,3,IF(INDEX(ERP資料!$G:$G, (MATCH(933, 輔助計算!$G$2:$G$801, 0)+1))&lt;=46.5,2,1)), IF(INDEX(ERP資料!$G:$G, (MATCH(933, 輔助計算!$G$2:$G$801, 0)+1))&lt;=790,3,IF(INDEX(ERP資料!$G:$G, (MATCH(933, 輔助計算!$G$2:$G$801, 0)+1))&lt;=1181,2,1))))=0,"",IF(MOD(INDEX(輔助計算!$D:$D, (MATCH(933, 輔助計算!$G$2:$G$801, 0)+1)),IF(INDEX(ERP資料!$G:$G, (MATCH(933, 輔助計算!$G$2:$G$801, 0)+1))&lt;100, IF(INDEX(ERP資料!$G:$G, (MATCH(933, 輔助計算!$G$2:$G$801, 0)+1))&lt;=31,3,IF(INDEX(ERP資料!$G:$G, (MATCH(933, 輔助計算!$G$2:$G$801, 0)+1))&lt;=46.5,2,1)), IF(INDEX(ERP資料!$G:$G, (MATCH(933, 輔助計算!$G$2:$G$801, 0)+1))&lt;=790,3,IF(INDEX(ERP資料!$G:$G, (MATCH(933, 輔助計算!$G$2:$G$801, 0)+1))&lt;=1181,2,1))))=0,"",IF(MOD(INDEX(輔助計算!$D:$D, (MATCH(933, 輔助計算!$G$2:$G$801, 0)+1)),IF(INDEX(ERP資料!$G:$G, (MATCH(933, 輔助計算!$G$2:$G$801, 0)+1))&lt;100, IF(INDEX(ERP資料!$G:$G, (MATCH(933, 輔助計算!$G$2:$G$801, 0)+1))&lt;=31,3,IF(INDEX(ERP資料!$G:$G, (MATCH(933, 輔助計算!$G$2:$G$801, 0)+1))&lt;=46.5,2,1)), IF(INDEX(ERP資料!$G:$G, (MATCH(933, 輔助計算!$G$2:$G$801, 0)+1))&lt;=790,3,IF(INDEX(ERP資料!$G:$G, (MATCH(933, 輔助計算!$G$2:$G$801, 0)+1))&lt;=1181,2,1))))=1,TEXT(INDEX(ERP資料!$G:$G, (MATCH(933, 輔助計算!$G$2:$G$801, 0)+1)),"0.##"),IF(MOD(INDEX(輔助計算!$D:$D, (MATCH(933, 輔助計算!$G$2:$G$801, 0)+1)),IF(INDEX(ERP資料!$G:$G, (MATCH(933, 輔助計算!$G$2:$G$801, 0)+1))&lt;100, IF(INDEX(ERP資料!$G:$G, (MATCH(933, 輔助計算!$G$2:$G$801, 0)+1))&lt;=31,3,IF(INDEX(ERP資料!$G:$G, (MATCH(933, 輔助計算!$G$2:$G$801, 0)+1))&lt;=46.5,2,1)), IF(INDEX(ERP資料!$G:$G, (MATCH(933, 輔助計算!$G$2:$G$801, 0)+1))&lt;=790,3,IF(INDEX(ERP資料!$G:$G, (MATCH(933, 輔助計算!$G$2:$G$801, 0)+1))&lt;=1181,2,1))))=2,TEXT(INDEX(ERP資料!$G:$G, (MATCH(933, 輔助計算!$G$2:$G$801, 0)+1)),"0.##")&amp;"+"&amp;TEXT(INDEX(ERP資料!$G:$G, (MATCH(933, 輔助計算!$G$2:$G$801, 0)+1)),"0.##"),TEXT(INDEX(ERP資料!$G:$G, (MATCH(933, 輔助計算!$G$2:$G$801, 0)+1)),"0.##")&amp;"+"&amp;TEXT(INDEX(ERP資料!$G:$G, (MATCH(933, 輔助計算!$G$2:$G$801, 0)+1)),"0.##")&amp;"+"&amp;TEXT(INDEX(ERP資料!$G:$G, (MATCH(933, 輔助計算!$G$2:$G$801, 0)+1)),"0.##"))))&amp;"-1")), ""), "")</f>
        <v/>
      </c>
      <c r="K934" s="16" t="n"/>
      <c r="L934" s="14">
        <f>IFERROR(IF(AND(IFERROR(INDEX(ERP資料!$A:$A, (MATCH(933, 輔助計算!$G$2:$G$801, 0)+1)), "")&lt;&gt;"", IFERROR(INDEX(ERP資料!$A:$A, (MATCH(933, 輔助計算!$G$2:$G$801, 0)+1)), "")&lt;&gt;IFERROR(INDEX(ERP資料!$A:$A, MATCH(932, 輔助計算!$G$2:$G$801, 0)+1), "")), INDEX(ERP資料!$B:$B, (MATCH(933, 輔助計算!$G$2:$G$801, 0)+1)), ""), "")</f>
        <v/>
      </c>
      <c r="M934" s="17" t="n"/>
    </row>
    <row r="935">
      <c r="A935" s="10">
        <f>IFERROR(IF(AND(IFERROR(INDEX(ERP資料!$A:$A, (MATCH(934, 輔助計算!$G$2:$G$801, 0)+1)), "")&lt;&gt;"", IFERROR(INDEX(ERP資料!$A:$A, (MATCH(934, 輔助計算!$G$2:$G$801, 0)+1)), "")&lt;&gt;IFERROR(INDEX(ERP資料!$A:$A, MATCH(933, 輔助計算!$G$2:$G$801, 0)+1), "")), IFERROR(INDEX(ERP資料!$A:$A, (MATCH(934, 輔助計算!$G$2:$G$801, 0)+1)), ""), ""), "")</f>
        <v/>
      </c>
      <c r="B935" s="10">
        <f>IFERROR(IF(AND(IFERROR(INDEX(ERP資料!$A:$A, (MATCH(934, 輔助計算!$G$2:$G$801, 0)+1)), "")&lt;&gt;"", IFERROR(INDEX(ERP資料!$A:$A, (MATCH(934, 輔助計算!$G$2:$G$801, 0)+1)), "")&lt;&gt;IFERROR(INDEX(ERP資料!$A:$A, MATCH(933, 輔助計算!$G$2:$G$801, 0)+1), "")), INDEX(ERP資料!$S:$S, (MATCH(934, 輔助計算!$G$2:$G$801, 0)+1)), ""), "")</f>
        <v/>
      </c>
      <c r="C935" s="19">
        <f>IFERROR(IF(AND(IFERROR(INDEX(ERP資料!$A:$A, (MATCH(934, 輔助計算!$G$2:$G$801, 0)+1)), "")&lt;&gt;"", IFERROR(INDEX(ERP資料!$A:$A, (MATCH(934, 輔助計算!$G$2:$G$801, 0)+1)), "")&lt;&gt;IFERROR(INDEX(ERP資料!$A:$A, MATCH(933, 輔助計算!$G$2:$G$801, 0)+1), "")), IFERROR(VLOOKUP(LEFT(INDEX(ERP資料!$S:$S, (MATCH(934, 輔助計算!$G$2:$G$801, 0)+1)), 4), 紙管對照表!$A:$C, 3, FALSE), ""), ""), "")</f>
        <v/>
      </c>
      <c r="D935" s="16" t="n"/>
      <c r="E935" s="10">
        <f>IFERROR(IF(INDEX(ERP資料!$H:$H, (MATCH(934, 輔助計算!$G$2:$G$801, 0)+1))="","",INDEX(ERP資料!$H:$H, (MATCH(934, 輔助計算!$G$2:$G$801, 0)+1))), "")</f>
        <v/>
      </c>
      <c r="F935" s="10">
        <f>IFERROR(IF(INDEX(ERP資料!$E:$E, (MATCH(934, 輔助計算!$G$2:$G$801, 0)+1))="","",TRIM(INDEX(ERP資料!$E:$E, (MATCH(934, 輔助計算!$G$2:$G$801, 0)+1)))), "")</f>
        <v/>
      </c>
      <c r="G935" s="10">
        <f>IFERROR(IF(INDEX(ERP資料!$F:$F, (MATCH(934, 輔助計算!$G$2:$G$801, 0)+1))="","",INDEX(ERP資料!$F:$F, (MATCH(934, 輔助計算!$G$2:$G$801, 0)+1))), "")</f>
        <v/>
      </c>
      <c r="H935" s="10">
        <f>IFERROR(IF(INDEX(ERP資料!$G:$G, (MATCH(934, 輔助計算!$G$2:$G$801, 0)+1))="","",INDEX(ERP資料!$G:$G, (MATCH(934, 輔助計算!$G$2:$G$801, 0)+1))), "")</f>
        <v/>
      </c>
      <c r="I935" s="15">
        <f>IFERROR(INDEX(輔助計算!$D:$D, (MATCH(934, 輔助計算!$G$2:$G$801, 0)+1)), "")</f>
        <v/>
      </c>
      <c r="J935" s="15">
        <f>IFERROR(IF(AND(INDEX(輔助計算!$D:$D, (MATCH(934, 輔助計算!$G$2:$G$801, 0)+1))&lt;&gt;"", INDEX(ERP資料!$G:$G, (MATCH(934, 輔助計算!$G$2:$G$801, 0)+1))&lt;&gt;""), TRIM(IF(INT(INDEX(輔助計算!$D:$D, (MATCH(934, 輔助計算!$G$2:$G$801, 0)+1))/IF(INDEX(ERP資料!$G:$G, (MATCH(934, 輔助計算!$G$2:$G$801, 0)+1))&lt;100, IF(INDEX(ERP資料!$G:$G, (MATCH(934, 輔助計算!$G$2:$G$801, 0)+1))&lt;=31,3,IF(INDEX(ERP資料!$G:$G, (MATCH(934, 輔助計算!$G$2:$G$801, 0)+1))&lt;=46.5,2,1)), IF(INDEX(ERP資料!$G:$G, (MATCH(934, 輔助計算!$G$2:$G$801, 0)+1))&lt;=790,3,IF(INDEX(ERP資料!$G:$G, (MATCH(934, 輔助計算!$G$2:$G$801, 0)+1))&lt;=1181,2,1))))&gt;0, IF(IF(INDEX(ERP資料!$G:$G, (MATCH(934, 輔助計算!$G$2:$G$801, 0)+1))&lt;100, IF(INDEX(ERP資料!$G:$G, (MATCH(934, 輔助計算!$G$2:$G$801, 0)+1))&lt;=31,3,IF(INDEX(ERP資料!$G:$G, (MATCH(934, 輔助計算!$G$2:$G$801, 0)+1))&lt;=46.5,2,1)), IF(INDEX(ERP資料!$G:$G, (MATCH(934, 輔助計算!$G$2:$G$801, 0)+1))&lt;=790,3,IF(INDEX(ERP資料!$G:$G, (MATCH(934, 輔助計算!$G$2:$G$801, 0)+1))&lt;=1181,2,1)))=1,TEXT(INDEX(ERP資料!$G:$G, (MATCH(934, 輔助計算!$G$2:$G$801, 0)+1)),"0.##"),IF(IF(INDEX(ERP資料!$G:$G, (MATCH(934, 輔助計算!$G$2:$G$801, 0)+1))&lt;100, IF(INDEX(ERP資料!$G:$G, (MATCH(934, 輔助計算!$G$2:$G$801, 0)+1))&lt;=31,3,IF(INDEX(ERP資料!$G:$G, (MATCH(934, 輔助計算!$G$2:$G$801, 0)+1))&lt;=46.5,2,1)), IF(INDEX(ERP資料!$G:$G, (MATCH(934, 輔助計算!$G$2:$G$801, 0)+1))&lt;=790,3,IF(INDEX(ERP資料!$G:$G, (MATCH(934, 輔助計算!$G$2:$G$801, 0)+1))&lt;=1181,2,1)))=2,TEXT(INDEX(ERP資料!$G:$G, (MATCH(934, 輔助計算!$G$2:$G$801, 0)+1)),"0.##")&amp;"+"&amp;TEXT(INDEX(ERP資料!$G:$G, (MATCH(934, 輔助計算!$G$2:$G$801, 0)+1)),"0.##"),TEXT(INDEX(ERP資料!$G:$G, (MATCH(934, 輔助計算!$G$2:$G$801, 0)+1)),"0.##")&amp;"+"&amp;TEXT(INDEX(ERP資料!$G:$G, (MATCH(934, 輔助計算!$G$2:$G$801, 0)+1)),"0.##")&amp;"+"&amp;TEXT(INDEX(ERP資料!$G:$G, (MATCH(934, 輔助計算!$G$2:$G$801, 0)+1)),"0.##")))&amp;"-"&amp;INT(INDEX(輔助計算!$D:$D, (MATCH(934, 輔助計算!$G$2:$G$801, 0)+1))/IF(INDEX(ERP資料!$G:$G, (MATCH(934, 輔助計算!$G$2:$G$801, 0)+1))&lt;100, IF(INDEX(ERP資料!$G:$G, (MATCH(934, 輔助計算!$G$2:$G$801, 0)+1))&lt;=31,3,IF(INDEX(ERP資料!$G:$G, (MATCH(934, 輔助計算!$G$2:$G$801, 0)+1))&lt;=46.5,2,1)), IF(INDEX(ERP資料!$G:$G, (MATCH(934, 輔助計算!$G$2:$G$801, 0)+1))&lt;=790,3,IF(INDEX(ERP資料!$G:$G, (MATCH(934, 輔助計算!$G$2:$G$801, 0)+1))&lt;=1181,2,1)))), "")&amp;IF(AND(IF(INT(INDEX(輔助計算!$D:$D, (MATCH(934, 輔助計算!$G$2:$G$801, 0)+1))/IF(INDEX(ERP資料!$G:$G, (MATCH(934, 輔助計算!$G$2:$G$801, 0)+1))&lt;100, IF(INDEX(ERP資料!$G:$G, (MATCH(934, 輔助計算!$G$2:$G$801, 0)+1))&lt;=31,3,IF(INDEX(ERP資料!$G:$G, (MATCH(934, 輔助計算!$G$2:$G$801, 0)+1))&lt;=46.5,2,1)), IF(INDEX(ERP資料!$G:$G, (MATCH(934, 輔助計算!$G$2:$G$801, 0)+1))&lt;=790,3,IF(INDEX(ERP資料!$G:$G, (MATCH(934, 輔助計算!$G$2:$G$801, 0)+1))&lt;=1181,2,1))))&gt;0, IF(IF(INDEX(ERP資料!$G:$G, (MATCH(934, 輔助計算!$G$2:$G$801, 0)+1))&lt;100, IF(INDEX(ERP資料!$G:$G, (MATCH(934, 輔助計算!$G$2:$G$801, 0)+1))&lt;=31,3,IF(INDEX(ERP資料!$G:$G, (MATCH(934, 輔助計算!$G$2:$G$801, 0)+1))&lt;=46.5,2,1)), IF(INDEX(ERP資料!$G:$G, (MATCH(934, 輔助計算!$G$2:$G$801, 0)+1))&lt;=790,3,IF(INDEX(ERP資料!$G:$G, (MATCH(934, 輔助計算!$G$2:$G$801, 0)+1))&lt;=1181,2,1)))=1,TEXT(INDEX(ERP資料!$G:$G, (MATCH(934, 輔助計算!$G$2:$G$801, 0)+1)),"0.##"),IF(IF(INDEX(ERP資料!$G:$G, (MATCH(934, 輔助計算!$G$2:$G$801, 0)+1))&lt;100, IF(INDEX(ERP資料!$G:$G, (MATCH(934, 輔助計算!$G$2:$G$801, 0)+1))&lt;=31,3,IF(INDEX(ERP資料!$G:$G, (MATCH(934, 輔助計算!$G$2:$G$801, 0)+1))&lt;=46.5,2,1)), IF(INDEX(ERP資料!$G:$G, (MATCH(934, 輔助計算!$G$2:$G$801, 0)+1))&lt;=790,3,IF(INDEX(ERP資料!$G:$G, (MATCH(934, 輔助計算!$G$2:$G$801, 0)+1))&lt;=1181,2,1)))=2,TEXT(INDEX(ERP資料!$G:$G, (MATCH(934, 輔助計算!$G$2:$G$801, 0)+1)),"0.##")&amp;"+"&amp;TEXT(INDEX(ERP資料!$G:$G, (MATCH(934, 輔助計算!$G$2:$G$801, 0)+1)),"0.##"),TEXT(INDEX(ERP資料!$G:$G, (MATCH(934, 輔助計算!$G$2:$G$801, 0)+1)),"0.##")&amp;"+"&amp;TEXT(INDEX(ERP資料!$G:$G, (MATCH(934, 輔助計算!$G$2:$G$801, 0)+1)),"0.##")&amp;"+"&amp;TEXT(INDEX(ERP資料!$G:$G, (MATCH(934, 輔助計算!$G$2:$G$801, 0)+1)),"0.##")))&amp;"-"&amp;INT(INDEX(輔助計算!$D:$D, (MATCH(934, 輔助計算!$G$2:$G$801, 0)+1))/IF(INDEX(ERP資料!$G:$G, (MATCH(934, 輔助計算!$G$2:$G$801, 0)+1))&lt;100, IF(INDEX(ERP資料!$G:$G, (MATCH(934, 輔助計算!$G$2:$G$801, 0)+1))&lt;=31,3,IF(INDEX(ERP資料!$G:$G, (MATCH(934, 輔助計算!$G$2:$G$801, 0)+1))&lt;=46.5,2,1)), IF(INDEX(ERP資料!$G:$G, (MATCH(934, 輔助計算!$G$2:$G$801, 0)+1))&lt;=790,3,IF(INDEX(ERP資料!$G:$G, (MATCH(934, 輔助計算!$G$2:$G$801, 0)+1))&lt;=1181,2,1)))), "")&lt;&gt;"",IF(MOD(INDEX(輔助計算!$D:$D, (MATCH(934, 輔助計算!$G$2:$G$801, 0)+1)),IF(INDEX(ERP資料!$G:$G, (MATCH(934, 輔助計算!$G$2:$G$801, 0)+1))&lt;100, IF(INDEX(ERP資料!$G:$G, (MATCH(934, 輔助計算!$G$2:$G$801, 0)+1))&lt;=31,3,IF(INDEX(ERP資料!$G:$G, (MATCH(934, 輔助計算!$G$2:$G$801, 0)+1))&lt;=46.5,2,1)), IF(INDEX(ERP資料!$G:$G, (MATCH(934, 輔助計算!$G$2:$G$801, 0)+1))&lt;=790,3,IF(INDEX(ERP資料!$G:$G, (MATCH(934, 輔助計算!$G$2:$G$801, 0)+1))&lt;=1181,2,1))))=0,"",IF(MOD(INDEX(輔助計算!$D:$D, (MATCH(934, 輔助計算!$G$2:$G$801, 0)+1)),IF(INDEX(ERP資料!$G:$G, (MATCH(934, 輔助計算!$G$2:$G$801, 0)+1))&lt;100, IF(INDEX(ERP資料!$G:$G, (MATCH(934, 輔助計算!$G$2:$G$801, 0)+1))&lt;=31,3,IF(INDEX(ERP資料!$G:$G, (MATCH(934, 輔助計算!$G$2:$G$801, 0)+1))&lt;=46.5,2,1)), IF(INDEX(ERP資料!$G:$G, (MATCH(934, 輔助計算!$G$2:$G$801, 0)+1))&lt;=790,3,IF(INDEX(ERP資料!$G:$G, (MATCH(934, 輔助計算!$G$2:$G$801, 0)+1))&lt;=1181,2,1))))=0,"",IF(MOD(INDEX(輔助計算!$D:$D, (MATCH(934, 輔助計算!$G$2:$G$801, 0)+1)),IF(INDEX(ERP資料!$G:$G, (MATCH(934, 輔助計算!$G$2:$G$801, 0)+1))&lt;100, IF(INDEX(ERP資料!$G:$G, (MATCH(934, 輔助計算!$G$2:$G$801, 0)+1))&lt;=31,3,IF(INDEX(ERP資料!$G:$G, (MATCH(934, 輔助計算!$G$2:$G$801, 0)+1))&lt;=46.5,2,1)), IF(INDEX(ERP資料!$G:$G, (MATCH(934, 輔助計算!$G$2:$G$801, 0)+1))&lt;=790,3,IF(INDEX(ERP資料!$G:$G, (MATCH(934, 輔助計算!$G$2:$G$801, 0)+1))&lt;=1181,2,1))))=1,TEXT(INDEX(ERP資料!$G:$G, (MATCH(934, 輔助計算!$G$2:$G$801, 0)+1)),"0.##"),IF(MOD(INDEX(輔助計算!$D:$D, (MATCH(934, 輔助計算!$G$2:$G$801, 0)+1)),IF(INDEX(ERP資料!$G:$G, (MATCH(934, 輔助計算!$G$2:$G$801, 0)+1))&lt;100, IF(INDEX(ERP資料!$G:$G, (MATCH(934, 輔助計算!$G$2:$G$801, 0)+1))&lt;=31,3,IF(INDEX(ERP資料!$G:$G, (MATCH(934, 輔助計算!$G$2:$G$801, 0)+1))&lt;=46.5,2,1)), IF(INDEX(ERP資料!$G:$G, (MATCH(934, 輔助計算!$G$2:$G$801, 0)+1))&lt;=790,3,IF(INDEX(ERP資料!$G:$G, (MATCH(934, 輔助計算!$G$2:$G$801, 0)+1))&lt;=1181,2,1))))=2,TEXT(INDEX(ERP資料!$G:$G, (MATCH(934, 輔助計算!$G$2:$G$801, 0)+1)),"0.##")&amp;"+"&amp;TEXT(INDEX(ERP資料!$G:$G, (MATCH(934, 輔助計算!$G$2:$G$801, 0)+1)),"0.##"),TEXT(INDEX(ERP資料!$G:$G, (MATCH(934, 輔助計算!$G$2:$G$801, 0)+1)),"0.##")&amp;"+"&amp;TEXT(INDEX(ERP資料!$G:$G, (MATCH(934, 輔助計算!$G$2:$G$801, 0)+1)),"0.##")&amp;"+"&amp;TEXT(INDEX(ERP資料!$G:$G, (MATCH(934, 輔助計算!$G$2:$G$801, 0)+1)),"0.##"))))&amp;"-1")&lt;&gt;""),"  ","")&amp;IF(MOD(INDEX(輔助計算!$D:$D, (MATCH(934, 輔助計算!$G$2:$G$801, 0)+1)),IF(INDEX(ERP資料!$G:$G, (MATCH(934, 輔助計算!$G$2:$G$801, 0)+1))&lt;100, IF(INDEX(ERP資料!$G:$G, (MATCH(934, 輔助計算!$G$2:$G$801, 0)+1))&lt;=31,3,IF(INDEX(ERP資料!$G:$G, (MATCH(934, 輔助計算!$G$2:$G$801, 0)+1))&lt;=46.5,2,1)), IF(INDEX(ERP資料!$G:$G, (MATCH(934, 輔助計算!$G$2:$G$801, 0)+1))&lt;=790,3,IF(INDEX(ERP資料!$G:$G, (MATCH(934, 輔助計算!$G$2:$G$801, 0)+1))&lt;=1181,2,1))))=0,"",IF(MOD(INDEX(輔助計算!$D:$D, (MATCH(934, 輔助計算!$G$2:$G$801, 0)+1)),IF(INDEX(ERP資料!$G:$G, (MATCH(934, 輔助計算!$G$2:$G$801, 0)+1))&lt;100, IF(INDEX(ERP資料!$G:$G, (MATCH(934, 輔助計算!$G$2:$G$801, 0)+1))&lt;=31,3,IF(INDEX(ERP資料!$G:$G, (MATCH(934, 輔助計算!$G$2:$G$801, 0)+1))&lt;=46.5,2,1)), IF(INDEX(ERP資料!$G:$G, (MATCH(934, 輔助計算!$G$2:$G$801, 0)+1))&lt;=790,3,IF(INDEX(ERP資料!$G:$G, (MATCH(934, 輔助計算!$G$2:$G$801, 0)+1))&lt;=1181,2,1))))=0,"",IF(MOD(INDEX(輔助計算!$D:$D, (MATCH(934, 輔助計算!$G$2:$G$801, 0)+1)),IF(INDEX(ERP資料!$G:$G, (MATCH(934, 輔助計算!$G$2:$G$801, 0)+1))&lt;100, IF(INDEX(ERP資料!$G:$G, (MATCH(934, 輔助計算!$G$2:$G$801, 0)+1))&lt;=31,3,IF(INDEX(ERP資料!$G:$G, (MATCH(934, 輔助計算!$G$2:$G$801, 0)+1))&lt;=46.5,2,1)), IF(INDEX(ERP資料!$G:$G, (MATCH(934, 輔助計算!$G$2:$G$801, 0)+1))&lt;=790,3,IF(INDEX(ERP資料!$G:$G, (MATCH(934, 輔助計算!$G$2:$G$801, 0)+1))&lt;=1181,2,1))))=1,TEXT(INDEX(ERP資料!$G:$G, (MATCH(934, 輔助計算!$G$2:$G$801, 0)+1)),"0.##"),IF(MOD(INDEX(輔助計算!$D:$D, (MATCH(934, 輔助計算!$G$2:$G$801, 0)+1)),IF(INDEX(ERP資料!$G:$G, (MATCH(934, 輔助計算!$G$2:$G$801, 0)+1))&lt;100, IF(INDEX(ERP資料!$G:$G, (MATCH(934, 輔助計算!$G$2:$G$801, 0)+1))&lt;=31,3,IF(INDEX(ERP資料!$G:$G, (MATCH(934, 輔助計算!$G$2:$G$801, 0)+1))&lt;=46.5,2,1)), IF(INDEX(ERP資料!$G:$G, (MATCH(934, 輔助計算!$G$2:$G$801, 0)+1))&lt;=790,3,IF(INDEX(ERP資料!$G:$G, (MATCH(934, 輔助計算!$G$2:$G$801, 0)+1))&lt;=1181,2,1))))=2,TEXT(INDEX(ERP資料!$G:$G, (MATCH(934, 輔助計算!$G$2:$G$801, 0)+1)),"0.##")&amp;"+"&amp;TEXT(INDEX(ERP資料!$G:$G, (MATCH(934, 輔助計算!$G$2:$G$801, 0)+1)),"0.##"),TEXT(INDEX(ERP資料!$G:$G, (MATCH(934, 輔助計算!$G$2:$G$801, 0)+1)),"0.##")&amp;"+"&amp;TEXT(INDEX(ERP資料!$G:$G, (MATCH(934, 輔助計算!$G$2:$G$801, 0)+1)),"0.##")&amp;"+"&amp;TEXT(INDEX(ERP資料!$G:$G, (MATCH(934, 輔助計算!$G$2:$G$801, 0)+1)),"0.##"))))&amp;"-1")), ""), "")</f>
        <v/>
      </c>
      <c r="K935" s="16" t="n"/>
      <c r="L935" s="14">
        <f>IFERROR(IF(AND(IFERROR(INDEX(ERP資料!$A:$A, (MATCH(934, 輔助計算!$G$2:$G$801, 0)+1)), "")&lt;&gt;"", IFERROR(INDEX(ERP資料!$A:$A, (MATCH(934, 輔助計算!$G$2:$G$801, 0)+1)), "")&lt;&gt;IFERROR(INDEX(ERP資料!$A:$A, MATCH(933, 輔助計算!$G$2:$G$801, 0)+1), "")), INDEX(ERP資料!$B:$B, (MATCH(934, 輔助計算!$G$2:$G$801, 0)+1)), ""), "")</f>
        <v/>
      </c>
      <c r="M935" s="17" t="n"/>
    </row>
    <row r="936">
      <c r="A936" s="10">
        <f>IFERROR(IF(AND(IFERROR(INDEX(ERP資料!$A:$A, (MATCH(935, 輔助計算!$G$2:$G$801, 0)+1)), "")&lt;&gt;"", IFERROR(INDEX(ERP資料!$A:$A, (MATCH(935, 輔助計算!$G$2:$G$801, 0)+1)), "")&lt;&gt;IFERROR(INDEX(ERP資料!$A:$A, MATCH(934, 輔助計算!$G$2:$G$801, 0)+1), "")), IFERROR(INDEX(ERP資料!$A:$A, (MATCH(935, 輔助計算!$G$2:$G$801, 0)+1)), ""), ""), "")</f>
        <v/>
      </c>
      <c r="B936" s="10">
        <f>IFERROR(IF(AND(IFERROR(INDEX(ERP資料!$A:$A, (MATCH(935, 輔助計算!$G$2:$G$801, 0)+1)), "")&lt;&gt;"", IFERROR(INDEX(ERP資料!$A:$A, (MATCH(935, 輔助計算!$G$2:$G$801, 0)+1)), "")&lt;&gt;IFERROR(INDEX(ERP資料!$A:$A, MATCH(934, 輔助計算!$G$2:$G$801, 0)+1), "")), INDEX(ERP資料!$S:$S, (MATCH(935, 輔助計算!$G$2:$G$801, 0)+1)), ""), "")</f>
        <v/>
      </c>
      <c r="C936" s="19">
        <f>IFERROR(IF(AND(IFERROR(INDEX(ERP資料!$A:$A, (MATCH(935, 輔助計算!$G$2:$G$801, 0)+1)), "")&lt;&gt;"", IFERROR(INDEX(ERP資料!$A:$A, (MATCH(935, 輔助計算!$G$2:$G$801, 0)+1)), "")&lt;&gt;IFERROR(INDEX(ERP資料!$A:$A, MATCH(934, 輔助計算!$G$2:$G$801, 0)+1), "")), IFERROR(VLOOKUP(LEFT(INDEX(ERP資料!$S:$S, (MATCH(935, 輔助計算!$G$2:$G$801, 0)+1)), 4), 紙管對照表!$A:$C, 3, FALSE), ""), ""), "")</f>
        <v/>
      </c>
      <c r="D936" s="16" t="n"/>
      <c r="E936" s="10">
        <f>IFERROR(IF(INDEX(ERP資料!$H:$H, (MATCH(935, 輔助計算!$G$2:$G$801, 0)+1))="","",INDEX(ERP資料!$H:$H, (MATCH(935, 輔助計算!$G$2:$G$801, 0)+1))), "")</f>
        <v/>
      </c>
      <c r="F936" s="10">
        <f>IFERROR(IF(INDEX(ERP資料!$E:$E, (MATCH(935, 輔助計算!$G$2:$G$801, 0)+1))="","",TRIM(INDEX(ERP資料!$E:$E, (MATCH(935, 輔助計算!$G$2:$G$801, 0)+1)))), "")</f>
        <v/>
      </c>
      <c r="G936" s="10">
        <f>IFERROR(IF(INDEX(ERP資料!$F:$F, (MATCH(935, 輔助計算!$G$2:$G$801, 0)+1))="","",INDEX(ERP資料!$F:$F, (MATCH(935, 輔助計算!$G$2:$G$801, 0)+1))), "")</f>
        <v/>
      </c>
      <c r="H936" s="10">
        <f>IFERROR(IF(INDEX(ERP資料!$G:$G, (MATCH(935, 輔助計算!$G$2:$G$801, 0)+1))="","",INDEX(ERP資料!$G:$G, (MATCH(935, 輔助計算!$G$2:$G$801, 0)+1))), "")</f>
        <v/>
      </c>
      <c r="I936" s="15">
        <f>IFERROR(INDEX(輔助計算!$D:$D, (MATCH(935, 輔助計算!$G$2:$G$801, 0)+1)), "")</f>
        <v/>
      </c>
      <c r="J936" s="15">
        <f>IFERROR(IF(AND(INDEX(輔助計算!$D:$D, (MATCH(935, 輔助計算!$G$2:$G$801, 0)+1))&lt;&gt;"", INDEX(ERP資料!$G:$G, (MATCH(935, 輔助計算!$G$2:$G$801, 0)+1))&lt;&gt;""), TRIM(IF(INT(INDEX(輔助計算!$D:$D, (MATCH(935, 輔助計算!$G$2:$G$801, 0)+1))/IF(INDEX(ERP資料!$G:$G, (MATCH(935, 輔助計算!$G$2:$G$801, 0)+1))&lt;100, IF(INDEX(ERP資料!$G:$G, (MATCH(935, 輔助計算!$G$2:$G$801, 0)+1))&lt;=31,3,IF(INDEX(ERP資料!$G:$G, (MATCH(935, 輔助計算!$G$2:$G$801, 0)+1))&lt;=46.5,2,1)), IF(INDEX(ERP資料!$G:$G, (MATCH(935, 輔助計算!$G$2:$G$801, 0)+1))&lt;=790,3,IF(INDEX(ERP資料!$G:$G, (MATCH(935, 輔助計算!$G$2:$G$801, 0)+1))&lt;=1181,2,1))))&gt;0, IF(IF(INDEX(ERP資料!$G:$G, (MATCH(935, 輔助計算!$G$2:$G$801, 0)+1))&lt;100, IF(INDEX(ERP資料!$G:$G, (MATCH(935, 輔助計算!$G$2:$G$801, 0)+1))&lt;=31,3,IF(INDEX(ERP資料!$G:$G, (MATCH(935, 輔助計算!$G$2:$G$801, 0)+1))&lt;=46.5,2,1)), IF(INDEX(ERP資料!$G:$G, (MATCH(935, 輔助計算!$G$2:$G$801, 0)+1))&lt;=790,3,IF(INDEX(ERP資料!$G:$G, (MATCH(935, 輔助計算!$G$2:$G$801, 0)+1))&lt;=1181,2,1)))=1,TEXT(INDEX(ERP資料!$G:$G, (MATCH(935, 輔助計算!$G$2:$G$801, 0)+1)),"0.##"),IF(IF(INDEX(ERP資料!$G:$G, (MATCH(935, 輔助計算!$G$2:$G$801, 0)+1))&lt;100, IF(INDEX(ERP資料!$G:$G, (MATCH(935, 輔助計算!$G$2:$G$801, 0)+1))&lt;=31,3,IF(INDEX(ERP資料!$G:$G, (MATCH(935, 輔助計算!$G$2:$G$801, 0)+1))&lt;=46.5,2,1)), IF(INDEX(ERP資料!$G:$G, (MATCH(935, 輔助計算!$G$2:$G$801, 0)+1))&lt;=790,3,IF(INDEX(ERP資料!$G:$G, (MATCH(935, 輔助計算!$G$2:$G$801, 0)+1))&lt;=1181,2,1)))=2,TEXT(INDEX(ERP資料!$G:$G, (MATCH(935, 輔助計算!$G$2:$G$801, 0)+1)),"0.##")&amp;"+"&amp;TEXT(INDEX(ERP資料!$G:$G, (MATCH(935, 輔助計算!$G$2:$G$801, 0)+1)),"0.##"),TEXT(INDEX(ERP資料!$G:$G, (MATCH(935, 輔助計算!$G$2:$G$801, 0)+1)),"0.##")&amp;"+"&amp;TEXT(INDEX(ERP資料!$G:$G, (MATCH(935, 輔助計算!$G$2:$G$801, 0)+1)),"0.##")&amp;"+"&amp;TEXT(INDEX(ERP資料!$G:$G, (MATCH(935, 輔助計算!$G$2:$G$801, 0)+1)),"0.##")))&amp;"-"&amp;INT(INDEX(輔助計算!$D:$D, (MATCH(935, 輔助計算!$G$2:$G$801, 0)+1))/IF(INDEX(ERP資料!$G:$G, (MATCH(935, 輔助計算!$G$2:$G$801, 0)+1))&lt;100, IF(INDEX(ERP資料!$G:$G, (MATCH(935, 輔助計算!$G$2:$G$801, 0)+1))&lt;=31,3,IF(INDEX(ERP資料!$G:$G, (MATCH(935, 輔助計算!$G$2:$G$801, 0)+1))&lt;=46.5,2,1)), IF(INDEX(ERP資料!$G:$G, (MATCH(935, 輔助計算!$G$2:$G$801, 0)+1))&lt;=790,3,IF(INDEX(ERP資料!$G:$G, (MATCH(935, 輔助計算!$G$2:$G$801, 0)+1))&lt;=1181,2,1)))), "")&amp;IF(AND(IF(INT(INDEX(輔助計算!$D:$D, (MATCH(935, 輔助計算!$G$2:$G$801, 0)+1))/IF(INDEX(ERP資料!$G:$G, (MATCH(935, 輔助計算!$G$2:$G$801, 0)+1))&lt;100, IF(INDEX(ERP資料!$G:$G, (MATCH(935, 輔助計算!$G$2:$G$801, 0)+1))&lt;=31,3,IF(INDEX(ERP資料!$G:$G, (MATCH(935, 輔助計算!$G$2:$G$801, 0)+1))&lt;=46.5,2,1)), IF(INDEX(ERP資料!$G:$G, (MATCH(935, 輔助計算!$G$2:$G$801, 0)+1))&lt;=790,3,IF(INDEX(ERP資料!$G:$G, (MATCH(935, 輔助計算!$G$2:$G$801, 0)+1))&lt;=1181,2,1))))&gt;0, IF(IF(INDEX(ERP資料!$G:$G, (MATCH(935, 輔助計算!$G$2:$G$801, 0)+1))&lt;100, IF(INDEX(ERP資料!$G:$G, (MATCH(935, 輔助計算!$G$2:$G$801, 0)+1))&lt;=31,3,IF(INDEX(ERP資料!$G:$G, (MATCH(935, 輔助計算!$G$2:$G$801, 0)+1))&lt;=46.5,2,1)), IF(INDEX(ERP資料!$G:$G, (MATCH(935, 輔助計算!$G$2:$G$801, 0)+1))&lt;=790,3,IF(INDEX(ERP資料!$G:$G, (MATCH(935, 輔助計算!$G$2:$G$801, 0)+1))&lt;=1181,2,1)))=1,TEXT(INDEX(ERP資料!$G:$G, (MATCH(935, 輔助計算!$G$2:$G$801, 0)+1)),"0.##"),IF(IF(INDEX(ERP資料!$G:$G, (MATCH(935, 輔助計算!$G$2:$G$801, 0)+1))&lt;100, IF(INDEX(ERP資料!$G:$G, (MATCH(935, 輔助計算!$G$2:$G$801, 0)+1))&lt;=31,3,IF(INDEX(ERP資料!$G:$G, (MATCH(935, 輔助計算!$G$2:$G$801, 0)+1))&lt;=46.5,2,1)), IF(INDEX(ERP資料!$G:$G, (MATCH(935, 輔助計算!$G$2:$G$801, 0)+1))&lt;=790,3,IF(INDEX(ERP資料!$G:$G, (MATCH(935, 輔助計算!$G$2:$G$801, 0)+1))&lt;=1181,2,1)))=2,TEXT(INDEX(ERP資料!$G:$G, (MATCH(935, 輔助計算!$G$2:$G$801, 0)+1)),"0.##")&amp;"+"&amp;TEXT(INDEX(ERP資料!$G:$G, (MATCH(935, 輔助計算!$G$2:$G$801, 0)+1)),"0.##"),TEXT(INDEX(ERP資料!$G:$G, (MATCH(935, 輔助計算!$G$2:$G$801, 0)+1)),"0.##")&amp;"+"&amp;TEXT(INDEX(ERP資料!$G:$G, (MATCH(935, 輔助計算!$G$2:$G$801, 0)+1)),"0.##")&amp;"+"&amp;TEXT(INDEX(ERP資料!$G:$G, (MATCH(935, 輔助計算!$G$2:$G$801, 0)+1)),"0.##")))&amp;"-"&amp;INT(INDEX(輔助計算!$D:$D, (MATCH(935, 輔助計算!$G$2:$G$801, 0)+1))/IF(INDEX(ERP資料!$G:$G, (MATCH(935, 輔助計算!$G$2:$G$801, 0)+1))&lt;100, IF(INDEX(ERP資料!$G:$G, (MATCH(935, 輔助計算!$G$2:$G$801, 0)+1))&lt;=31,3,IF(INDEX(ERP資料!$G:$G, (MATCH(935, 輔助計算!$G$2:$G$801, 0)+1))&lt;=46.5,2,1)), IF(INDEX(ERP資料!$G:$G, (MATCH(935, 輔助計算!$G$2:$G$801, 0)+1))&lt;=790,3,IF(INDEX(ERP資料!$G:$G, (MATCH(935, 輔助計算!$G$2:$G$801, 0)+1))&lt;=1181,2,1)))), "")&lt;&gt;"",IF(MOD(INDEX(輔助計算!$D:$D, (MATCH(935, 輔助計算!$G$2:$G$801, 0)+1)),IF(INDEX(ERP資料!$G:$G, (MATCH(935, 輔助計算!$G$2:$G$801, 0)+1))&lt;100, IF(INDEX(ERP資料!$G:$G, (MATCH(935, 輔助計算!$G$2:$G$801, 0)+1))&lt;=31,3,IF(INDEX(ERP資料!$G:$G, (MATCH(935, 輔助計算!$G$2:$G$801, 0)+1))&lt;=46.5,2,1)), IF(INDEX(ERP資料!$G:$G, (MATCH(935, 輔助計算!$G$2:$G$801, 0)+1))&lt;=790,3,IF(INDEX(ERP資料!$G:$G, (MATCH(935, 輔助計算!$G$2:$G$801, 0)+1))&lt;=1181,2,1))))=0,"",IF(MOD(INDEX(輔助計算!$D:$D, (MATCH(935, 輔助計算!$G$2:$G$801, 0)+1)),IF(INDEX(ERP資料!$G:$G, (MATCH(935, 輔助計算!$G$2:$G$801, 0)+1))&lt;100, IF(INDEX(ERP資料!$G:$G, (MATCH(935, 輔助計算!$G$2:$G$801, 0)+1))&lt;=31,3,IF(INDEX(ERP資料!$G:$G, (MATCH(935, 輔助計算!$G$2:$G$801, 0)+1))&lt;=46.5,2,1)), IF(INDEX(ERP資料!$G:$G, (MATCH(935, 輔助計算!$G$2:$G$801, 0)+1))&lt;=790,3,IF(INDEX(ERP資料!$G:$G, (MATCH(935, 輔助計算!$G$2:$G$801, 0)+1))&lt;=1181,2,1))))=0,"",IF(MOD(INDEX(輔助計算!$D:$D, (MATCH(935, 輔助計算!$G$2:$G$801, 0)+1)),IF(INDEX(ERP資料!$G:$G, (MATCH(935, 輔助計算!$G$2:$G$801, 0)+1))&lt;100, IF(INDEX(ERP資料!$G:$G, (MATCH(935, 輔助計算!$G$2:$G$801, 0)+1))&lt;=31,3,IF(INDEX(ERP資料!$G:$G, (MATCH(935, 輔助計算!$G$2:$G$801, 0)+1))&lt;=46.5,2,1)), IF(INDEX(ERP資料!$G:$G, (MATCH(935, 輔助計算!$G$2:$G$801, 0)+1))&lt;=790,3,IF(INDEX(ERP資料!$G:$G, (MATCH(935, 輔助計算!$G$2:$G$801, 0)+1))&lt;=1181,2,1))))=1,TEXT(INDEX(ERP資料!$G:$G, (MATCH(935, 輔助計算!$G$2:$G$801, 0)+1)),"0.##"),IF(MOD(INDEX(輔助計算!$D:$D, (MATCH(935, 輔助計算!$G$2:$G$801, 0)+1)),IF(INDEX(ERP資料!$G:$G, (MATCH(935, 輔助計算!$G$2:$G$801, 0)+1))&lt;100, IF(INDEX(ERP資料!$G:$G, (MATCH(935, 輔助計算!$G$2:$G$801, 0)+1))&lt;=31,3,IF(INDEX(ERP資料!$G:$G, (MATCH(935, 輔助計算!$G$2:$G$801, 0)+1))&lt;=46.5,2,1)), IF(INDEX(ERP資料!$G:$G, (MATCH(935, 輔助計算!$G$2:$G$801, 0)+1))&lt;=790,3,IF(INDEX(ERP資料!$G:$G, (MATCH(935, 輔助計算!$G$2:$G$801, 0)+1))&lt;=1181,2,1))))=2,TEXT(INDEX(ERP資料!$G:$G, (MATCH(935, 輔助計算!$G$2:$G$801, 0)+1)),"0.##")&amp;"+"&amp;TEXT(INDEX(ERP資料!$G:$G, (MATCH(935, 輔助計算!$G$2:$G$801, 0)+1)),"0.##"),TEXT(INDEX(ERP資料!$G:$G, (MATCH(935, 輔助計算!$G$2:$G$801, 0)+1)),"0.##")&amp;"+"&amp;TEXT(INDEX(ERP資料!$G:$G, (MATCH(935, 輔助計算!$G$2:$G$801, 0)+1)),"0.##")&amp;"+"&amp;TEXT(INDEX(ERP資料!$G:$G, (MATCH(935, 輔助計算!$G$2:$G$801, 0)+1)),"0.##"))))&amp;"-1")&lt;&gt;""),"  ","")&amp;IF(MOD(INDEX(輔助計算!$D:$D, (MATCH(935, 輔助計算!$G$2:$G$801, 0)+1)),IF(INDEX(ERP資料!$G:$G, (MATCH(935, 輔助計算!$G$2:$G$801, 0)+1))&lt;100, IF(INDEX(ERP資料!$G:$G, (MATCH(935, 輔助計算!$G$2:$G$801, 0)+1))&lt;=31,3,IF(INDEX(ERP資料!$G:$G, (MATCH(935, 輔助計算!$G$2:$G$801, 0)+1))&lt;=46.5,2,1)), IF(INDEX(ERP資料!$G:$G, (MATCH(935, 輔助計算!$G$2:$G$801, 0)+1))&lt;=790,3,IF(INDEX(ERP資料!$G:$G, (MATCH(935, 輔助計算!$G$2:$G$801, 0)+1))&lt;=1181,2,1))))=0,"",IF(MOD(INDEX(輔助計算!$D:$D, (MATCH(935, 輔助計算!$G$2:$G$801, 0)+1)),IF(INDEX(ERP資料!$G:$G, (MATCH(935, 輔助計算!$G$2:$G$801, 0)+1))&lt;100, IF(INDEX(ERP資料!$G:$G, (MATCH(935, 輔助計算!$G$2:$G$801, 0)+1))&lt;=31,3,IF(INDEX(ERP資料!$G:$G, (MATCH(935, 輔助計算!$G$2:$G$801, 0)+1))&lt;=46.5,2,1)), IF(INDEX(ERP資料!$G:$G, (MATCH(935, 輔助計算!$G$2:$G$801, 0)+1))&lt;=790,3,IF(INDEX(ERP資料!$G:$G, (MATCH(935, 輔助計算!$G$2:$G$801, 0)+1))&lt;=1181,2,1))))=0,"",IF(MOD(INDEX(輔助計算!$D:$D, (MATCH(935, 輔助計算!$G$2:$G$801, 0)+1)),IF(INDEX(ERP資料!$G:$G, (MATCH(935, 輔助計算!$G$2:$G$801, 0)+1))&lt;100, IF(INDEX(ERP資料!$G:$G, (MATCH(935, 輔助計算!$G$2:$G$801, 0)+1))&lt;=31,3,IF(INDEX(ERP資料!$G:$G, (MATCH(935, 輔助計算!$G$2:$G$801, 0)+1))&lt;=46.5,2,1)), IF(INDEX(ERP資料!$G:$G, (MATCH(935, 輔助計算!$G$2:$G$801, 0)+1))&lt;=790,3,IF(INDEX(ERP資料!$G:$G, (MATCH(935, 輔助計算!$G$2:$G$801, 0)+1))&lt;=1181,2,1))))=1,TEXT(INDEX(ERP資料!$G:$G, (MATCH(935, 輔助計算!$G$2:$G$801, 0)+1)),"0.##"),IF(MOD(INDEX(輔助計算!$D:$D, (MATCH(935, 輔助計算!$G$2:$G$801, 0)+1)),IF(INDEX(ERP資料!$G:$G, (MATCH(935, 輔助計算!$G$2:$G$801, 0)+1))&lt;100, IF(INDEX(ERP資料!$G:$G, (MATCH(935, 輔助計算!$G$2:$G$801, 0)+1))&lt;=31,3,IF(INDEX(ERP資料!$G:$G, (MATCH(935, 輔助計算!$G$2:$G$801, 0)+1))&lt;=46.5,2,1)), IF(INDEX(ERP資料!$G:$G, (MATCH(935, 輔助計算!$G$2:$G$801, 0)+1))&lt;=790,3,IF(INDEX(ERP資料!$G:$G, (MATCH(935, 輔助計算!$G$2:$G$801, 0)+1))&lt;=1181,2,1))))=2,TEXT(INDEX(ERP資料!$G:$G, (MATCH(935, 輔助計算!$G$2:$G$801, 0)+1)),"0.##")&amp;"+"&amp;TEXT(INDEX(ERP資料!$G:$G, (MATCH(935, 輔助計算!$G$2:$G$801, 0)+1)),"0.##"),TEXT(INDEX(ERP資料!$G:$G, (MATCH(935, 輔助計算!$G$2:$G$801, 0)+1)),"0.##")&amp;"+"&amp;TEXT(INDEX(ERP資料!$G:$G, (MATCH(935, 輔助計算!$G$2:$G$801, 0)+1)),"0.##")&amp;"+"&amp;TEXT(INDEX(ERP資料!$G:$G, (MATCH(935, 輔助計算!$G$2:$G$801, 0)+1)),"0.##"))))&amp;"-1")), ""), "")</f>
        <v/>
      </c>
      <c r="K936" s="16" t="n"/>
      <c r="L936" s="14">
        <f>IFERROR(IF(AND(IFERROR(INDEX(ERP資料!$A:$A, (MATCH(935, 輔助計算!$G$2:$G$801, 0)+1)), "")&lt;&gt;"", IFERROR(INDEX(ERP資料!$A:$A, (MATCH(935, 輔助計算!$G$2:$G$801, 0)+1)), "")&lt;&gt;IFERROR(INDEX(ERP資料!$A:$A, MATCH(934, 輔助計算!$G$2:$G$801, 0)+1), "")), INDEX(ERP資料!$B:$B, (MATCH(935, 輔助計算!$G$2:$G$801, 0)+1)), ""), "")</f>
        <v/>
      </c>
      <c r="M936" s="17" t="n"/>
    </row>
    <row r="937">
      <c r="A937" s="10">
        <f>IFERROR(IF(AND(IFERROR(INDEX(ERP資料!$A:$A, (MATCH(936, 輔助計算!$G$2:$G$801, 0)+1)), "")&lt;&gt;"", IFERROR(INDEX(ERP資料!$A:$A, (MATCH(936, 輔助計算!$G$2:$G$801, 0)+1)), "")&lt;&gt;IFERROR(INDEX(ERP資料!$A:$A, MATCH(935, 輔助計算!$G$2:$G$801, 0)+1), "")), IFERROR(INDEX(ERP資料!$A:$A, (MATCH(936, 輔助計算!$G$2:$G$801, 0)+1)), ""), ""), "")</f>
        <v/>
      </c>
      <c r="B937" s="10">
        <f>IFERROR(IF(AND(IFERROR(INDEX(ERP資料!$A:$A, (MATCH(936, 輔助計算!$G$2:$G$801, 0)+1)), "")&lt;&gt;"", IFERROR(INDEX(ERP資料!$A:$A, (MATCH(936, 輔助計算!$G$2:$G$801, 0)+1)), "")&lt;&gt;IFERROR(INDEX(ERP資料!$A:$A, MATCH(935, 輔助計算!$G$2:$G$801, 0)+1), "")), INDEX(ERP資料!$S:$S, (MATCH(936, 輔助計算!$G$2:$G$801, 0)+1)), ""), "")</f>
        <v/>
      </c>
      <c r="C937" s="19">
        <f>IFERROR(IF(AND(IFERROR(INDEX(ERP資料!$A:$A, (MATCH(936, 輔助計算!$G$2:$G$801, 0)+1)), "")&lt;&gt;"", IFERROR(INDEX(ERP資料!$A:$A, (MATCH(936, 輔助計算!$G$2:$G$801, 0)+1)), "")&lt;&gt;IFERROR(INDEX(ERP資料!$A:$A, MATCH(935, 輔助計算!$G$2:$G$801, 0)+1), "")), IFERROR(VLOOKUP(LEFT(INDEX(ERP資料!$S:$S, (MATCH(936, 輔助計算!$G$2:$G$801, 0)+1)), 4), 紙管對照表!$A:$C, 3, FALSE), ""), ""), "")</f>
        <v/>
      </c>
      <c r="D937" s="16" t="n"/>
      <c r="E937" s="10">
        <f>IFERROR(IF(INDEX(ERP資料!$H:$H, (MATCH(936, 輔助計算!$G$2:$G$801, 0)+1))="","",INDEX(ERP資料!$H:$H, (MATCH(936, 輔助計算!$G$2:$G$801, 0)+1))), "")</f>
        <v/>
      </c>
      <c r="F937" s="10">
        <f>IFERROR(IF(INDEX(ERP資料!$E:$E, (MATCH(936, 輔助計算!$G$2:$G$801, 0)+1))="","",TRIM(INDEX(ERP資料!$E:$E, (MATCH(936, 輔助計算!$G$2:$G$801, 0)+1)))), "")</f>
        <v/>
      </c>
      <c r="G937" s="10">
        <f>IFERROR(IF(INDEX(ERP資料!$F:$F, (MATCH(936, 輔助計算!$G$2:$G$801, 0)+1))="","",INDEX(ERP資料!$F:$F, (MATCH(936, 輔助計算!$G$2:$G$801, 0)+1))), "")</f>
        <v/>
      </c>
      <c r="H937" s="10">
        <f>IFERROR(IF(INDEX(ERP資料!$G:$G, (MATCH(936, 輔助計算!$G$2:$G$801, 0)+1))="","",INDEX(ERP資料!$G:$G, (MATCH(936, 輔助計算!$G$2:$G$801, 0)+1))), "")</f>
        <v/>
      </c>
      <c r="I937" s="15">
        <f>IFERROR(INDEX(輔助計算!$D:$D, (MATCH(936, 輔助計算!$G$2:$G$801, 0)+1)), "")</f>
        <v/>
      </c>
      <c r="J937" s="15">
        <f>IFERROR(IF(AND(INDEX(輔助計算!$D:$D, (MATCH(936, 輔助計算!$G$2:$G$801, 0)+1))&lt;&gt;"", INDEX(ERP資料!$G:$G, (MATCH(936, 輔助計算!$G$2:$G$801, 0)+1))&lt;&gt;""), TRIM(IF(INT(INDEX(輔助計算!$D:$D, (MATCH(936, 輔助計算!$G$2:$G$801, 0)+1))/IF(INDEX(ERP資料!$G:$G, (MATCH(936, 輔助計算!$G$2:$G$801, 0)+1))&lt;100, IF(INDEX(ERP資料!$G:$G, (MATCH(936, 輔助計算!$G$2:$G$801, 0)+1))&lt;=31,3,IF(INDEX(ERP資料!$G:$G, (MATCH(936, 輔助計算!$G$2:$G$801, 0)+1))&lt;=46.5,2,1)), IF(INDEX(ERP資料!$G:$G, (MATCH(936, 輔助計算!$G$2:$G$801, 0)+1))&lt;=790,3,IF(INDEX(ERP資料!$G:$G, (MATCH(936, 輔助計算!$G$2:$G$801, 0)+1))&lt;=1181,2,1))))&gt;0, IF(IF(INDEX(ERP資料!$G:$G, (MATCH(936, 輔助計算!$G$2:$G$801, 0)+1))&lt;100, IF(INDEX(ERP資料!$G:$G, (MATCH(936, 輔助計算!$G$2:$G$801, 0)+1))&lt;=31,3,IF(INDEX(ERP資料!$G:$G, (MATCH(936, 輔助計算!$G$2:$G$801, 0)+1))&lt;=46.5,2,1)), IF(INDEX(ERP資料!$G:$G, (MATCH(936, 輔助計算!$G$2:$G$801, 0)+1))&lt;=790,3,IF(INDEX(ERP資料!$G:$G, (MATCH(936, 輔助計算!$G$2:$G$801, 0)+1))&lt;=1181,2,1)))=1,TEXT(INDEX(ERP資料!$G:$G, (MATCH(936, 輔助計算!$G$2:$G$801, 0)+1)),"0.##"),IF(IF(INDEX(ERP資料!$G:$G, (MATCH(936, 輔助計算!$G$2:$G$801, 0)+1))&lt;100, IF(INDEX(ERP資料!$G:$G, (MATCH(936, 輔助計算!$G$2:$G$801, 0)+1))&lt;=31,3,IF(INDEX(ERP資料!$G:$G, (MATCH(936, 輔助計算!$G$2:$G$801, 0)+1))&lt;=46.5,2,1)), IF(INDEX(ERP資料!$G:$G, (MATCH(936, 輔助計算!$G$2:$G$801, 0)+1))&lt;=790,3,IF(INDEX(ERP資料!$G:$G, (MATCH(936, 輔助計算!$G$2:$G$801, 0)+1))&lt;=1181,2,1)))=2,TEXT(INDEX(ERP資料!$G:$G, (MATCH(936, 輔助計算!$G$2:$G$801, 0)+1)),"0.##")&amp;"+"&amp;TEXT(INDEX(ERP資料!$G:$G, (MATCH(936, 輔助計算!$G$2:$G$801, 0)+1)),"0.##"),TEXT(INDEX(ERP資料!$G:$G, (MATCH(936, 輔助計算!$G$2:$G$801, 0)+1)),"0.##")&amp;"+"&amp;TEXT(INDEX(ERP資料!$G:$G, (MATCH(936, 輔助計算!$G$2:$G$801, 0)+1)),"0.##")&amp;"+"&amp;TEXT(INDEX(ERP資料!$G:$G, (MATCH(936, 輔助計算!$G$2:$G$801, 0)+1)),"0.##")))&amp;"-"&amp;INT(INDEX(輔助計算!$D:$D, (MATCH(936, 輔助計算!$G$2:$G$801, 0)+1))/IF(INDEX(ERP資料!$G:$G, (MATCH(936, 輔助計算!$G$2:$G$801, 0)+1))&lt;100, IF(INDEX(ERP資料!$G:$G, (MATCH(936, 輔助計算!$G$2:$G$801, 0)+1))&lt;=31,3,IF(INDEX(ERP資料!$G:$G, (MATCH(936, 輔助計算!$G$2:$G$801, 0)+1))&lt;=46.5,2,1)), IF(INDEX(ERP資料!$G:$G, (MATCH(936, 輔助計算!$G$2:$G$801, 0)+1))&lt;=790,3,IF(INDEX(ERP資料!$G:$G, (MATCH(936, 輔助計算!$G$2:$G$801, 0)+1))&lt;=1181,2,1)))), "")&amp;IF(AND(IF(INT(INDEX(輔助計算!$D:$D, (MATCH(936, 輔助計算!$G$2:$G$801, 0)+1))/IF(INDEX(ERP資料!$G:$G, (MATCH(936, 輔助計算!$G$2:$G$801, 0)+1))&lt;100, IF(INDEX(ERP資料!$G:$G, (MATCH(936, 輔助計算!$G$2:$G$801, 0)+1))&lt;=31,3,IF(INDEX(ERP資料!$G:$G, (MATCH(936, 輔助計算!$G$2:$G$801, 0)+1))&lt;=46.5,2,1)), IF(INDEX(ERP資料!$G:$G, (MATCH(936, 輔助計算!$G$2:$G$801, 0)+1))&lt;=790,3,IF(INDEX(ERP資料!$G:$G, (MATCH(936, 輔助計算!$G$2:$G$801, 0)+1))&lt;=1181,2,1))))&gt;0, IF(IF(INDEX(ERP資料!$G:$G, (MATCH(936, 輔助計算!$G$2:$G$801, 0)+1))&lt;100, IF(INDEX(ERP資料!$G:$G, (MATCH(936, 輔助計算!$G$2:$G$801, 0)+1))&lt;=31,3,IF(INDEX(ERP資料!$G:$G, (MATCH(936, 輔助計算!$G$2:$G$801, 0)+1))&lt;=46.5,2,1)), IF(INDEX(ERP資料!$G:$G, (MATCH(936, 輔助計算!$G$2:$G$801, 0)+1))&lt;=790,3,IF(INDEX(ERP資料!$G:$G, (MATCH(936, 輔助計算!$G$2:$G$801, 0)+1))&lt;=1181,2,1)))=1,TEXT(INDEX(ERP資料!$G:$G, (MATCH(936, 輔助計算!$G$2:$G$801, 0)+1)),"0.##"),IF(IF(INDEX(ERP資料!$G:$G, (MATCH(936, 輔助計算!$G$2:$G$801, 0)+1))&lt;100, IF(INDEX(ERP資料!$G:$G, (MATCH(936, 輔助計算!$G$2:$G$801, 0)+1))&lt;=31,3,IF(INDEX(ERP資料!$G:$G, (MATCH(936, 輔助計算!$G$2:$G$801, 0)+1))&lt;=46.5,2,1)), IF(INDEX(ERP資料!$G:$G, (MATCH(936, 輔助計算!$G$2:$G$801, 0)+1))&lt;=790,3,IF(INDEX(ERP資料!$G:$G, (MATCH(936, 輔助計算!$G$2:$G$801, 0)+1))&lt;=1181,2,1)))=2,TEXT(INDEX(ERP資料!$G:$G, (MATCH(936, 輔助計算!$G$2:$G$801, 0)+1)),"0.##")&amp;"+"&amp;TEXT(INDEX(ERP資料!$G:$G, (MATCH(936, 輔助計算!$G$2:$G$801, 0)+1)),"0.##"),TEXT(INDEX(ERP資料!$G:$G, (MATCH(936, 輔助計算!$G$2:$G$801, 0)+1)),"0.##")&amp;"+"&amp;TEXT(INDEX(ERP資料!$G:$G, (MATCH(936, 輔助計算!$G$2:$G$801, 0)+1)),"0.##")&amp;"+"&amp;TEXT(INDEX(ERP資料!$G:$G, (MATCH(936, 輔助計算!$G$2:$G$801, 0)+1)),"0.##")))&amp;"-"&amp;INT(INDEX(輔助計算!$D:$D, (MATCH(936, 輔助計算!$G$2:$G$801, 0)+1))/IF(INDEX(ERP資料!$G:$G, (MATCH(936, 輔助計算!$G$2:$G$801, 0)+1))&lt;100, IF(INDEX(ERP資料!$G:$G, (MATCH(936, 輔助計算!$G$2:$G$801, 0)+1))&lt;=31,3,IF(INDEX(ERP資料!$G:$G, (MATCH(936, 輔助計算!$G$2:$G$801, 0)+1))&lt;=46.5,2,1)), IF(INDEX(ERP資料!$G:$G, (MATCH(936, 輔助計算!$G$2:$G$801, 0)+1))&lt;=790,3,IF(INDEX(ERP資料!$G:$G, (MATCH(936, 輔助計算!$G$2:$G$801, 0)+1))&lt;=1181,2,1)))), "")&lt;&gt;"",IF(MOD(INDEX(輔助計算!$D:$D, (MATCH(936, 輔助計算!$G$2:$G$801, 0)+1)),IF(INDEX(ERP資料!$G:$G, (MATCH(936, 輔助計算!$G$2:$G$801, 0)+1))&lt;100, IF(INDEX(ERP資料!$G:$G, (MATCH(936, 輔助計算!$G$2:$G$801, 0)+1))&lt;=31,3,IF(INDEX(ERP資料!$G:$G, (MATCH(936, 輔助計算!$G$2:$G$801, 0)+1))&lt;=46.5,2,1)), IF(INDEX(ERP資料!$G:$G, (MATCH(936, 輔助計算!$G$2:$G$801, 0)+1))&lt;=790,3,IF(INDEX(ERP資料!$G:$G, (MATCH(936, 輔助計算!$G$2:$G$801, 0)+1))&lt;=1181,2,1))))=0,"",IF(MOD(INDEX(輔助計算!$D:$D, (MATCH(936, 輔助計算!$G$2:$G$801, 0)+1)),IF(INDEX(ERP資料!$G:$G, (MATCH(936, 輔助計算!$G$2:$G$801, 0)+1))&lt;100, IF(INDEX(ERP資料!$G:$G, (MATCH(936, 輔助計算!$G$2:$G$801, 0)+1))&lt;=31,3,IF(INDEX(ERP資料!$G:$G, (MATCH(936, 輔助計算!$G$2:$G$801, 0)+1))&lt;=46.5,2,1)), IF(INDEX(ERP資料!$G:$G, (MATCH(936, 輔助計算!$G$2:$G$801, 0)+1))&lt;=790,3,IF(INDEX(ERP資料!$G:$G, (MATCH(936, 輔助計算!$G$2:$G$801, 0)+1))&lt;=1181,2,1))))=0,"",IF(MOD(INDEX(輔助計算!$D:$D, (MATCH(936, 輔助計算!$G$2:$G$801, 0)+1)),IF(INDEX(ERP資料!$G:$G, (MATCH(936, 輔助計算!$G$2:$G$801, 0)+1))&lt;100, IF(INDEX(ERP資料!$G:$G, (MATCH(936, 輔助計算!$G$2:$G$801, 0)+1))&lt;=31,3,IF(INDEX(ERP資料!$G:$G, (MATCH(936, 輔助計算!$G$2:$G$801, 0)+1))&lt;=46.5,2,1)), IF(INDEX(ERP資料!$G:$G, (MATCH(936, 輔助計算!$G$2:$G$801, 0)+1))&lt;=790,3,IF(INDEX(ERP資料!$G:$G, (MATCH(936, 輔助計算!$G$2:$G$801, 0)+1))&lt;=1181,2,1))))=1,TEXT(INDEX(ERP資料!$G:$G, (MATCH(936, 輔助計算!$G$2:$G$801, 0)+1)),"0.##"),IF(MOD(INDEX(輔助計算!$D:$D, (MATCH(936, 輔助計算!$G$2:$G$801, 0)+1)),IF(INDEX(ERP資料!$G:$G, (MATCH(936, 輔助計算!$G$2:$G$801, 0)+1))&lt;100, IF(INDEX(ERP資料!$G:$G, (MATCH(936, 輔助計算!$G$2:$G$801, 0)+1))&lt;=31,3,IF(INDEX(ERP資料!$G:$G, (MATCH(936, 輔助計算!$G$2:$G$801, 0)+1))&lt;=46.5,2,1)), IF(INDEX(ERP資料!$G:$G, (MATCH(936, 輔助計算!$G$2:$G$801, 0)+1))&lt;=790,3,IF(INDEX(ERP資料!$G:$G, (MATCH(936, 輔助計算!$G$2:$G$801, 0)+1))&lt;=1181,2,1))))=2,TEXT(INDEX(ERP資料!$G:$G, (MATCH(936, 輔助計算!$G$2:$G$801, 0)+1)),"0.##")&amp;"+"&amp;TEXT(INDEX(ERP資料!$G:$G, (MATCH(936, 輔助計算!$G$2:$G$801, 0)+1)),"0.##"),TEXT(INDEX(ERP資料!$G:$G, (MATCH(936, 輔助計算!$G$2:$G$801, 0)+1)),"0.##")&amp;"+"&amp;TEXT(INDEX(ERP資料!$G:$G, (MATCH(936, 輔助計算!$G$2:$G$801, 0)+1)),"0.##")&amp;"+"&amp;TEXT(INDEX(ERP資料!$G:$G, (MATCH(936, 輔助計算!$G$2:$G$801, 0)+1)),"0.##"))))&amp;"-1")&lt;&gt;""),"  ","")&amp;IF(MOD(INDEX(輔助計算!$D:$D, (MATCH(936, 輔助計算!$G$2:$G$801, 0)+1)),IF(INDEX(ERP資料!$G:$G, (MATCH(936, 輔助計算!$G$2:$G$801, 0)+1))&lt;100, IF(INDEX(ERP資料!$G:$G, (MATCH(936, 輔助計算!$G$2:$G$801, 0)+1))&lt;=31,3,IF(INDEX(ERP資料!$G:$G, (MATCH(936, 輔助計算!$G$2:$G$801, 0)+1))&lt;=46.5,2,1)), IF(INDEX(ERP資料!$G:$G, (MATCH(936, 輔助計算!$G$2:$G$801, 0)+1))&lt;=790,3,IF(INDEX(ERP資料!$G:$G, (MATCH(936, 輔助計算!$G$2:$G$801, 0)+1))&lt;=1181,2,1))))=0,"",IF(MOD(INDEX(輔助計算!$D:$D, (MATCH(936, 輔助計算!$G$2:$G$801, 0)+1)),IF(INDEX(ERP資料!$G:$G, (MATCH(936, 輔助計算!$G$2:$G$801, 0)+1))&lt;100, IF(INDEX(ERP資料!$G:$G, (MATCH(936, 輔助計算!$G$2:$G$801, 0)+1))&lt;=31,3,IF(INDEX(ERP資料!$G:$G, (MATCH(936, 輔助計算!$G$2:$G$801, 0)+1))&lt;=46.5,2,1)), IF(INDEX(ERP資料!$G:$G, (MATCH(936, 輔助計算!$G$2:$G$801, 0)+1))&lt;=790,3,IF(INDEX(ERP資料!$G:$G, (MATCH(936, 輔助計算!$G$2:$G$801, 0)+1))&lt;=1181,2,1))))=0,"",IF(MOD(INDEX(輔助計算!$D:$D, (MATCH(936, 輔助計算!$G$2:$G$801, 0)+1)),IF(INDEX(ERP資料!$G:$G, (MATCH(936, 輔助計算!$G$2:$G$801, 0)+1))&lt;100, IF(INDEX(ERP資料!$G:$G, (MATCH(936, 輔助計算!$G$2:$G$801, 0)+1))&lt;=31,3,IF(INDEX(ERP資料!$G:$G, (MATCH(936, 輔助計算!$G$2:$G$801, 0)+1))&lt;=46.5,2,1)), IF(INDEX(ERP資料!$G:$G, (MATCH(936, 輔助計算!$G$2:$G$801, 0)+1))&lt;=790,3,IF(INDEX(ERP資料!$G:$G, (MATCH(936, 輔助計算!$G$2:$G$801, 0)+1))&lt;=1181,2,1))))=1,TEXT(INDEX(ERP資料!$G:$G, (MATCH(936, 輔助計算!$G$2:$G$801, 0)+1)),"0.##"),IF(MOD(INDEX(輔助計算!$D:$D, (MATCH(936, 輔助計算!$G$2:$G$801, 0)+1)),IF(INDEX(ERP資料!$G:$G, (MATCH(936, 輔助計算!$G$2:$G$801, 0)+1))&lt;100, IF(INDEX(ERP資料!$G:$G, (MATCH(936, 輔助計算!$G$2:$G$801, 0)+1))&lt;=31,3,IF(INDEX(ERP資料!$G:$G, (MATCH(936, 輔助計算!$G$2:$G$801, 0)+1))&lt;=46.5,2,1)), IF(INDEX(ERP資料!$G:$G, (MATCH(936, 輔助計算!$G$2:$G$801, 0)+1))&lt;=790,3,IF(INDEX(ERP資料!$G:$G, (MATCH(936, 輔助計算!$G$2:$G$801, 0)+1))&lt;=1181,2,1))))=2,TEXT(INDEX(ERP資料!$G:$G, (MATCH(936, 輔助計算!$G$2:$G$801, 0)+1)),"0.##")&amp;"+"&amp;TEXT(INDEX(ERP資料!$G:$G, (MATCH(936, 輔助計算!$G$2:$G$801, 0)+1)),"0.##"),TEXT(INDEX(ERP資料!$G:$G, (MATCH(936, 輔助計算!$G$2:$G$801, 0)+1)),"0.##")&amp;"+"&amp;TEXT(INDEX(ERP資料!$G:$G, (MATCH(936, 輔助計算!$G$2:$G$801, 0)+1)),"0.##")&amp;"+"&amp;TEXT(INDEX(ERP資料!$G:$G, (MATCH(936, 輔助計算!$G$2:$G$801, 0)+1)),"0.##"))))&amp;"-1")), ""), "")</f>
        <v/>
      </c>
      <c r="K937" s="16" t="n"/>
      <c r="L937" s="14">
        <f>IFERROR(IF(AND(IFERROR(INDEX(ERP資料!$A:$A, (MATCH(936, 輔助計算!$G$2:$G$801, 0)+1)), "")&lt;&gt;"", IFERROR(INDEX(ERP資料!$A:$A, (MATCH(936, 輔助計算!$G$2:$G$801, 0)+1)), "")&lt;&gt;IFERROR(INDEX(ERP資料!$A:$A, MATCH(935, 輔助計算!$G$2:$G$801, 0)+1), "")), INDEX(ERP資料!$B:$B, (MATCH(936, 輔助計算!$G$2:$G$801, 0)+1)), ""), "")</f>
        <v/>
      </c>
      <c r="M937" s="17" t="n"/>
    </row>
    <row r="938">
      <c r="A938" s="10">
        <f>IFERROR(IF(AND(IFERROR(INDEX(ERP資料!$A:$A, (MATCH(937, 輔助計算!$G$2:$G$801, 0)+1)), "")&lt;&gt;"", IFERROR(INDEX(ERP資料!$A:$A, (MATCH(937, 輔助計算!$G$2:$G$801, 0)+1)), "")&lt;&gt;IFERROR(INDEX(ERP資料!$A:$A, MATCH(936, 輔助計算!$G$2:$G$801, 0)+1), "")), IFERROR(INDEX(ERP資料!$A:$A, (MATCH(937, 輔助計算!$G$2:$G$801, 0)+1)), ""), ""), "")</f>
        <v/>
      </c>
      <c r="B938" s="10">
        <f>IFERROR(IF(AND(IFERROR(INDEX(ERP資料!$A:$A, (MATCH(937, 輔助計算!$G$2:$G$801, 0)+1)), "")&lt;&gt;"", IFERROR(INDEX(ERP資料!$A:$A, (MATCH(937, 輔助計算!$G$2:$G$801, 0)+1)), "")&lt;&gt;IFERROR(INDEX(ERP資料!$A:$A, MATCH(936, 輔助計算!$G$2:$G$801, 0)+1), "")), INDEX(ERP資料!$S:$S, (MATCH(937, 輔助計算!$G$2:$G$801, 0)+1)), ""), "")</f>
        <v/>
      </c>
      <c r="C938" s="19">
        <f>IFERROR(IF(AND(IFERROR(INDEX(ERP資料!$A:$A, (MATCH(937, 輔助計算!$G$2:$G$801, 0)+1)), "")&lt;&gt;"", IFERROR(INDEX(ERP資料!$A:$A, (MATCH(937, 輔助計算!$G$2:$G$801, 0)+1)), "")&lt;&gt;IFERROR(INDEX(ERP資料!$A:$A, MATCH(936, 輔助計算!$G$2:$G$801, 0)+1), "")), IFERROR(VLOOKUP(LEFT(INDEX(ERP資料!$S:$S, (MATCH(937, 輔助計算!$G$2:$G$801, 0)+1)), 4), 紙管對照表!$A:$C, 3, FALSE), ""), ""), "")</f>
        <v/>
      </c>
      <c r="D938" s="16" t="n"/>
      <c r="E938" s="10">
        <f>IFERROR(IF(INDEX(ERP資料!$H:$H, (MATCH(937, 輔助計算!$G$2:$G$801, 0)+1))="","",INDEX(ERP資料!$H:$H, (MATCH(937, 輔助計算!$G$2:$G$801, 0)+1))), "")</f>
        <v/>
      </c>
      <c r="F938" s="10">
        <f>IFERROR(IF(INDEX(ERP資料!$E:$E, (MATCH(937, 輔助計算!$G$2:$G$801, 0)+1))="","",TRIM(INDEX(ERP資料!$E:$E, (MATCH(937, 輔助計算!$G$2:$G$801, 0)+1)))), "")</f>
        <v/>
      </c>
      <c r="G938" s="10">
        <f>IFERROR(IF(INDEX(ERP資料!$F:$F, (MATCH(937, 輔助計算!$G$2:$G$801, 0)+1))="","",INDEX(ERP資料!$F:$F, (MATCH(937, 輔助計算!$G$2:$G$801, 0)+1))), "")</f>
        <v/>
      </c>
      <c r="H938" s="10">
        <f>IFERROR(IF(INDEX(ERP資料!$G:$G, (MATCH(937, 輔助計算!$G$2:$G$801, 0)+1))="","",INDEX(ERP資料!$G:$G, (MATCH(937, 輔助計算!$G$2:$G$801, 0)+1))), "")</f>
        <v/>
      </c>
      <c r="I938" s="15">
        <f>IFERROR(INDEX(輔助計算!$D:$D, (MATCH(937, 輔助計算!$G$2:$G$801, 0)+1)), "")</f>
        <v/>
      </c>
      <c r="J938" s="15">
        <f>IFERROR(IF(AND(INDEX(輔助計算!$D:$D, (MATCH(937, 輔助計算!$G$2:$G$801, 0)+1))&lt;&gt;"", INDEX(ERP資料!$G:$G, (MATCH(937, 輔助計算!$G$2:$G$801, 0)+1))&lt;&gt;""), TRIM(IF(INT(INDEX(輔助計算!$D:$D, (MATCH(937, 輔助計算!$G$2:$G$801, 0)+1))/IF(INDEX(ERP資料!$G:$G, (MATCH(937, 輔助計算!$G$2:$G$801, 0)+1))&lt;100, IF(INDEX(ERP資料!$G:$G, (MATCH(937, 輔助計算!$G$2:$G$801, 0)+1))&lt;=31,3,IF(INDEX(ERP資料!$G:$G, (MATCH(937, 輔助計算!$G$2:$G$801, 0)+1))&lt;=46.5,2,1)), IF(INDEX(ERP資料!$G:$G, (MATCH(937, 輔助計算!$G$2:$G$801, 0)+1))&lt;=790,3,IF(INDEX(ERP資料!$G:$G, (MATCH(937, 輔助計算!$G$2:$G$801, 0)+1))&lt;=1181,2,1))))&gt;0, IF(IF(INDEX(ERP資料!$G:$G, (MATCH(937, 輔助計算!$G$2:$G$801, 0)+1))&lt;100, IF(INDEX(ERP資料!$G:$G, (MATCH(937, 輔助計算!$G$2:$G$801, 0)+1))&lt;=31,3,IF(INDEX(ERP資料!$G:$G, (MATCH(937, 輔助計算!$G$2:$G$801, 0)+1))&lt;=46.5,2,1)), IF(INDEX(ERP資料!$G:$G, (MATCH(937, 輔助計算!$G$2:$G$801, 0)+1))&lt;=790,3,IF(INDEX(ERP資料!$G:$G, (MATCH(937, 輔助計算!$G$2:$G$801, 0)+1))&lt;=1181,2,1)))=1,TEXT(INDEX(ERP資料!$G:$G, (MATCH(937, 輔助計算!$G$2:$G$801, 0)+1)),"0.##"),IF(IF(INDEX(ERP資料!$G:$G, (MATCH(937, 輔助計算!$G$2:$G$801, 0)+1))&lt;100, IF(INDEX(ERP資料!$G:$G, (MATCH(937, 輔助計算!$G$2:$G$801, 0)+1))&lt;=31,3,IF(INDEX(ERP資料!$G:$G, (MATCH(937, 輔助計算!$G$2:$G$801, 0)+1))&lt;=46.5,2,1)), IF(INDEX(ERP資料!$G:$G, (MATCH(937, 輔助計算!$G$2:$G$801, 0)+1))&lt;=790,3,IF(INDEX(ERP資料!$G:$G, (MATCH(937, 輔助計算!$G$2:$G$801, 0)+1))&lt;=1181,2,1)))=2,TEXT(INDEX(ERP資料!$G:$G, (MATCH(937, 輔助計算!$G$2:$G$801, 0)+1)),"0.##")&amp;"+"&amp;TEXT(INDEX(ERP資料!$G:$G, (MATCH(937, 輔助計算!$G$2:$G$801, 0)+1)),"0.##"),TEXT(INDEX(ERP資料!$G:$G, (MATCH(937, 輔助計算!$G$2:$G$801, 0)+1)),"0.##")&amp;"+"&amp;TEXT(INDEX(ERP資料!$G:$G, (MATCH(937, 輔助計算!$G$2:$G$801, 0)+1)),"0.##")&amp;"+"&amp;TEXT(INDEX(ERP資料!$G:$G, (MATCH(937, 輔助計算!$G$2:$G$801, 0)+1)),"0.##")))&amp;"-"&amp;INT(INDEX(輔助計算!$D:$D, (MATCH(937, 輔助計算!$G$2:$G$801, 0)+1))/IF(INDEX(ERP資料!$G:$G, (MATCH(937, 輔助計算!$G$2:$G$801, 0)+1))&lt;100, IF(INDEX(ERP資料!$G:$G, (MATCH(937, 輔助計算!$G$2:$G$801, 0)+1))&lt;=31,3,IF(INDEX(ERP資料!$G:$G, (MATCH(937, 輔助計算!$G$2:$G$801, 0)+1))&lt;=46.5,2,1)), IF(INDEX(ERP資料!$G:$G, (MATCH(937, 輔助計算!$G$2:$G$801, 0)+1))&lt;=790,3,IF(INDEX(ERP資料!$G:$G, (MATCH(937, 輔助計算!$G$2:$G$801, 0)+1))&lt;=1181,2,1)))), "")&amp;IF(AND(IF(INT(INDEX(輔助計算!$D:$D, (MATCH(937, 輔助計算!$G$2:$G$801, 0)+1))/IF(INDEX(ERP資料!$G:$G, (MATCH(937, 輔助計算!$G$2:$G$801, 0)+1))&lt;100, IF(INDEX(ERP資料!$G:$G, (MATCH(937, 輔助計算!$G$2:$G$801, 0)+1))&lt;=31,3,IF(INDEX(ERP資料!$G:$G, (MATCH(937, 輔助計算!$G$2:$G$801, 0)+1))&lt;=46.5,2,1)), IF(INDEX(ERP資料!$G:$G, (MATCH(937, 輔助計算!$G$2:$G$801, 0)+1))&lt;=790,3,IF(INDEX(ERP資料!$G:$G, (MATCH(937, 輔助計算!$G$2:$G$801, 0)+1))&lt;=1181,2,1))))&gt;0, IF(IF(INDEX(ERP資料!$G:$G, (MATCH(937, 輔助計算!$G$2:$G$801, 0)+1))&lt;100, IF(INDEX(ERP資料!$G:$G, (MATCH(937, 輔助計算!$G$2:$G$801, 0)+1))&lt;=31,3,IF(INDEX(ERP資料!$G:$G, (MATCH(937, 輔助計算!$G$2:$G$801, 0)+1))&lt;=46.5,2,1)), IF(INDEX(ERP資料!$G:$G, (MATCH(937, 輔助計算!$G$2:$G$801, 0)+1))&lt;=790,3,IF(INDEX(ERP資料!$G:$G, (MATCH(937, 輔助計算!$G$2:$G$801, 0)+1))&lt;=1181,2,1)))=1,TEXT(INDEX(ERP資料!$G:$G, (MATCH(937, 輔助計算!$G$2:$G$801, 0)+1)),"0.##"),IF(IF(INDEX(ERP資料!$G:$G, (MATCH(937, 輔助計算!$G$2:$G$801, 0)+1))&lt;100, IF(INDEX(ERP資料!$G:$G, (MATCH(937, 輔助計算!$G$2:$G$801, 0)+1))&lt;=31,3,IF(INDEX(ERP資料!$G:$G, (MATCH(937, 輔助計算!$G$2:$G$801, 0)+1))&lt;=46.5,2,1)), IF(INDEX(ERP資料!$G:$G, (MATCH(937, 輔助計算!$G$2:$G$801, 0)+1))&lt;=790,3,IF(INDEX(ERP資料!$G:$G, (MATCH(937, 輔助計算!$G$2:$G$801, 0)+1))&lt;=1181,2,1)))=2,TEXT(INDEX(ERP資料!$G:$G, (MATCH(937, 輔助計算!$G$2:$G$801, 0)+1)),"0.##")&amp;"+"&amp;TEXT(INDEX(ERP資料!$G:$G, (MATCH(937, 輔助計算!$G$2:$G$801, 0)+1)),"0.##"),TEXT(INDEX(ERP資料!$G:$G, (MATCH(937, 輔助計算!$G$2:$G$801, 0)+1)),"0.##")&amp;"+"&amp;TEXT(INDEX(ERP資料!$G:$G, (MATCH(937, 輔助計算!$G$2:$G$801, 0)+1)),"0.##")&amp;"+"&amp;TEXT(INDEX(ERP資料!$G:$G, (MATCH(937, 輔助計算!$G$2:$G$801, 0)+1)),"0.##")))&amp;"-"&amp;INT(INDEX(輔助計算!$D:$D, (MATCH(937, 輔助計算!$G$2:$G$801, 0)+1))/IF(INDEX(ERP資料!$G:$G, (MATCH(937, 輔助計算!$G$2:$G$801, 0)+1))&lt;100, IF(INDEX(ERP資料!$G:$G, (MATCH(937, 輔助計算!$G$2:$G$801, 0)+1))&lt;=31,3,IF(INDEX(ERP資料!$G:$G, (MATCH(937, 輔助計算!$G$2:$G$801, 0)+1))&lt;=46.5,2,1)), IF(INDEX(ERP資料!$G:$G, (MATCH(937, 輔助計算!$G$2:$G$801, 0)+1))&lt;=790,3,IF(INDEX(ERP資料!$G:$G, (MATCH(937, 輔助計算!$G$2:$G$801, 0)+1))&lt;=1181,2,1)))), "")&lt;&gt;"",IF(MOD(INDEX(輔助計算!$D:$D, (MATCH(937, 輔助計算!$G$2:$G$801, 0)+1)),IF(INDEX(ERP資料!$G:$G, (MATCH(937, 輔助計算!$G$2:$G$801, 0)+1))&lt;100, IF(INDEX(ERP資料!$G:$G, (MATCH(937, 輔助計算!$G$2:$G$801, 0)+1))&lt;=31,3,IF(INDEX(ERP資料!$G:$G, (MATCH(937, 輔助計算!$G$2:$G$801, 0)+1))&lt;=46.5,2,1)), IF(INDEX(ERP資料!$G:$G, (MATCH(937, 輔助計算!$G$2:$G$801, 0)+1))&lt;=790,3,IF(INDEX(ERP資料!$G:$G, (MATCH(937, 輔助計算!$G$2:$G$801, 0)+1))&lt;=1181,2,1))))=0,"",IF(MOD(INDEX(輔助計算!$D:$D, (MATCH(937, 輔助計算!$G$2:$G$801, 0)+1)),IF(INDEX(ERP資料!$G:$G, (MATCH(937, 輔助計算!$G$2:$G$801, 0)+1))&lt;100, IF(INDEX(ERP資料!$G:$G, (MATCH(937, 輔助計算!$G$2:$G$801, 0)+1))&lt;=31,3,IF(INDEX(ERP資料!$G:$G, (MATCH(937, 輔助計算!$G$2:$G$801, 0)+1))&lt;=46.5,2,1)), IF(INDEX(ERP資料!$G:$G, (MATCH(937, 輔助計算!$G$2:$G$801, 0)+1))&lt;=790,3,IF(INDEX(ERP資料!$G:$G, (MATCH(937, 輔助計算!$G$2:$G$801, 0)+1))&lt;=1181,2,1))))=0,"",IF(MOD(INDEX(輔助計算!$D:$D, (MATCH(937, 輔助計算!$G$2:$G$801, 0)+1)),IF(INDEX(ERP資料!$G:$G, (MATCH(937, 輔助計算!$G$2:$G$801, 0)+1))&lt;100, IF(INDEX(ERP資料!$G:$G, (MATCH(937, 輔助計算!$G$2:$G$801, 0)+1))&lt;=31,3,IF(INDEX(ERP資料!$G:$G, (MATCH(937, 輔助計算!$G$2:$G$801, 0)+1))&lt;=46.5,2,1)), IF(INDEX(ERP資料!$G:$G, (MATCH(937, 輔助計算!$G$2:$G$801, 0)+1))&lt;=790,3,IF(INDEX(ERP資料!$G:$G, (MATCH(937, 輔助計算!$G$2:$G$801, 0)+1))&lt;=1181,2,1))))=1,TEXT(INDEX(ERP資料!$G:$G, (MATCH(937, 輔助計算!$G$2:$G$801, 0)+1)),"0.##"),IF(MOD(INDEX(輔助計算!$D:$D, (MATCH(937, 輔助計算!$G$2:$G$801, 0)+1)),IF(INDEX(ERP資料!$G:$G, (MATCH(937, 輔助計算!$G$2:$G$801, 0)+1))&lt;100, IF(INDEX(ERP資料!$G:$G, (MATCH(937, 輔助計算!$G$2:$G$801, 0)+1))&lt;=31,3,IF(INDEX(ERP資料!$G:$G, (MATCH(937, 輔助計算!$G$2:$G$801, 0)+1))&lt;=46.5,2,1)), IF(INDEX(ERP資料!$G:$G, (MATCH(937, 輔助計算!$G$2:$G$801, 0)+1))&lt;=790,3,IF(INDEX(ERP資料!$G:$G, (MATCH(937, 輔助計算!$G$2:$G$801, 0)+1))&lt;=1181,2,1))))=2,TEXT(INDEX(ERP資料!$G:$G, (MATCH(937, 輔助計算!$G$2:$G$801, 0)+1)),"0.##")&amp;"+"&amp;TEXT(INDEX(ERP資料!$G:$G, (MATCH(937, 輔助計算!$G$2:$G$801, 0)+1)),"0.##"),TEXT(INDEX(ERP資料!$G:$G, (MATCH(937, 輔助計算!$G$2:$G$801, 0)+1)),"0.##")&amp;"+"&amp;TEXT(INDEX(ERP資料!$G:$G, (MATCH(937, 輔助計算!$G$2:$G$801, 0)+1)),"0.##")&amp;"+"&amp;TEXT(INDEX(ERP資料!$G:$G, (MATCH(937, 輔助計算!$G$2:$G$801, 0)+1)),"0.##"))))&amp;"-1")&lt;&gt;""),"  ","")&amp;IF(MOD(INDEX(輔助計算!$D:$D, (MATCH(937, 輔助計算!$G$2:$G$801, 0)+1)),IF(INDEX(ERP資料!$G:$G, (MATCH(937, 輔助計算!$G$2:$G$801, 0)+1))&lt;100, IF(INDEX(ERP資料!$G:$G, (MATCH(937, 輔助計算!$G$2:$G$801, 0)+1))&lt;=31,3,IF(INDEX(ERP資料!$G:$G, (MATCH(937, 輔助計算!$G$2:$G$801, 0)+1))&lt;=46.5,2,1)), IF(INDEX(ERP資料!$G:$G, (MATCH(937, 輔助計算!$G$2:$G$801, 0)+1))&lt;=790,3,IF(INDEX(ERP資料!$G:$G, (MATCH(937, 輔助計算!$G$2:$G$801, 0)+1))&lt;=1181,2,1))))=0,"",IF(MOD(INDEX(輔助計算!$D:$D, (MATCH(937, 輔助計算!$G$2:$G$801, 0)+1)),IF(INDEX(ERP資料!$G:$G, (MATCH(937, 輔助計算!$G$2:$G$801, 0)+1))&lt;100, IF(INDEX(ERP資料!$G:$G, (MATCH(937, 輔助計算!$G$2:$G$801, 0)+1))&lt;=31,3,IF(INDEX(ERP資料!$G:$G, (MATCH(937, 輔助計算!$G$2:$G$801, 0)+1))&lt;=46.5,2,1)), IF(INDEX(ERP資料!$G:$G, (MATCH(937, 輔助計算!$G$2:$G$801, 0)+1))&lt;=790,3,IF(INDEX(ERP資料!$G:$G, (MATCH(937, 輔助計算!$G$2:$G$801, 0)+1))&lt;=1181,2,1))))=0,"",IF(MOD(INDEX(輔助計算!$D:$D, (MATCH(937, 輔助計算!$G$2:$G$801, 0)+1)),IF(INDEX(ERP資料!$G:$G, (MATCH(937, 輔助計算!$G$2:$G$801, 0)+1))&lt;100, IF(INDEX(ERP資料!$G:$G, (MATCH(937, 輔助計算!$G$2:$G$801, 0)+1))&lt;=31,3,IF(INDEX(ERP資料!$G:$G, (MATCH(937, 輔助計算!$G$2:$G$801, 0)+1))&lt;=46.5,2,1)), IF(INDEX(ERP資料!$G:$G, (MATCH(937, 輔助計算!$G$2:$G$801, 0)+1))&lt;=790,3,IF(INDEX(ERP資料!$G:$G, (MATCH(937, 輔助計算!$G$2:$G$801, 0)+1))&lt;=1181,2,1))))=1,TEXT(INDEX(ERP資料!$G:$G, (MATCH(937, 輔助計算!$G$2:$G$801, 0)+1)),"0.##"),IF(MOD(INDEX(輔助計算!$D:$D, (MATCH(937, 輔助計算!$G$2:$G$801, 0)+1)),IF(INDEX(ERP資料!$G:$G, (MATCH(937, 輔助計算!$G$2:$G$801, 0)+1))&lt;100, IF(INDEX(ERP資料!$G:$G, (MATCH(937, 輔助計算!$G$2:$G$801, 0)+1))&lt;=31,3,IF(INDEX(ERP資料!$G:$G, (MATCH(937, 輔助計算!$G$2:$G$801, 0)+1))&lt;=46.5,2,1)), IF(INDEX(ERP資料!$G:$G, (MATCH(937, 輔助計算!$G$2:$G$801, 0)+1))&lt;=790,3,IF(INDEX(ERP資料!$G:$G, (MATCH(937, 輔助計算!$G$2:$G$801, 0)+1))&lt;=1181,2,1))))=2,TEXT(INDEX(ERP資料!$G:$G, (MATCH(937, 輔助計算!$G$2:$G$801, 0)+1)),"0.##")&amp;"+"&amp;TEXT(INDEX(ERP資料!$G:$G, (MATCH(937, 輔助計算!$G$2:$G$801, 0)+1)),"0.##"),TEXT(INDEX(ERP資料!$G:$G, (MATCH(937, 輔助計算!$G$2:$G$801, 0)+1)),"0.##")&amp;"+"&amp;TEXT(INDEX(ERP資料!$G:$G, (MATCH(937, 輔助計算!$G$2:$G$801, 0)+1)),"0.##")&amp;"+"&amp;TEXT(INDEX(ERP資料!$G:$G, (MATCH(937, 輔助計算!$G$2:$G$801, 0)+1)),"0.##"))))&amp;"-1")), ""), "")</f>
        <v/>
      </c>
      <c r="K938" s="16" t="n"/>
      <c r="L938" s="14">
        <f>IFERROR(IF(AND(IFERROR(INDEX(ERP資料!$A:$A, (MATCH(937, 輔助計算!$G$2:$G$801, 0)+1)), "")&lt;&gt;"", IFERROR(INDEX(ERP資料!$A:$A, (MATCH(937, 輔助計算!$G$2:$G$801, 0)+1)), "")&lt;&gt;IFERROR(INDEX(ERP資料!$A:$A, MATCH(936, 輔助計算!$G$2:$G$801, 0)+1), "")), INDEX(ERP資料!$B:$B, (MATCH(937, 輔助計算!$G$2:$G$801, 0)+1)), ""), "")</f>
        <v/>
      </c>
      <c r="M938" s="17" t="n"/>
    </row>
    <row r="939">
      <c r="A939" s="10">
        <f>IFERROR(IF(AND(IFERROR(INDEX(ERP資料!$A:$A, (MATCH(938, 輔助計算!$G$2:$G$801, 0)+1)), "")&lt;&gt;"", IFERROR(INDEX(ERP資料!$A:$A, (MATCH(938, 輔助計算!$G$2:$G$801, 0)+1)), "")&lt;&gt;IFERROR(INDEX(ERP資料!$A:$A, MATCH(937, 輔助計算!$G$2:$G$801, 0)+1), "")), IFERROR(INDEX(ERP資料!$A:$A, (MATCH(938, 輔助計算!$G$2:$G$801, 0)+1)), ""), ""), "")</f>
        <v/>
      </c>
      <c r="B939" s="10">
        <f>IFERROR(IF(AND(IFERROR(INDEX(ERP資料!$A:$A, (MATCH(938, 輔助計算!$G$2:$G$801, 0)+1)), "")&lt;&gt;"", IFERROR(INDEX(ERP資料!$A:$A, (MATCH(938, 輔助計算!$G$2:$G$801, 0)+1)), "")&lt;&gt;IFERROR(INDEX(ERP資料!$A:$A, MATCH(937, 輔助計算!$G$2:$G$801, 0)+1), "")), INDEX(ERP資料!$S:$S, (MATCH(938, 輔助計算!$G$2:$G$801, 0)+1)), ""), "")</f>
        <v/>
      </c>
      <c r="C939" s="19">
        <f>IFERROR(IF(AND(IFERROR(INDEX(ERP資料!$A:$A, (MATCH(938, 輔助計算!$G$2:$G$801, 0)+1)), "")&lt;&gt;"", IFERROR(INDEX(ERP資料!$A:$A, (MATCH(938, 輔助計算!$G$2:$G$801, 0)+1)), "")&lt;&gt;IFERROR(INDEX(ERP資料!$A:$A, MATCH(937, 輔助計算!$G$2:$G$801, 0)+1), "")), IFERROR(VLOOKUP(LEFT(INDEX(ERP資料!$S:$S, (MATCH(938, 輔助計算!$G$2:$G$801, 0)+1)), 4), 紙管對照表!$A:$C, 3, FALSE), ""), ""), "")</f>
        <v/>
      </c>
      <c r="D939" s="16" t="n"/>
      <c r="E939" s="10">
        <f>IFERROR(IF(INDEX(ERP資料!$H:$H, (MATCH(938, 輔助計算!$G$2:$G$801, 0)+1))="","",INDEX(ERP資料!$H:$H, (MATCH(938, 輔助計算!$G$2:$G$801, 0)+1))), "")</f>
        <v/>
      </c>
      <c r="F939" s="10">
        <f>IFERROR(IF(INDEX(ERP資料!$E:$E, (MATCH(938, 輔助計算!$G$2:$G$801, 0)+1))="","",TRIM(INDEX(ERP資料!$E:$E, (MATCH(938, 輔助計算!$G$2:$G$801, 0)+1)))), "")</f>
        <v/>
      </c>
      <c r="G939" s="10">
        <f>IFERROR(IF(INDEX(ERP資料!$F:$F, (MATCH(938, 輔助計算!$G$2:$G$801, 0)+1))="","",INDEX(ERP資料!$F:$F, (MATCH(938, 輔助計算!$G$2:$G$801, 0)+1))), "")</f>
        <v/>
      </c>
      <c r="H939" s="10">
        <f>IFERROR(IF(INDEX(ERP資料!$G:$G, (MATCH(938, 輔助計算!$G$2:$G$801, 0)+1))="","",INDEX(ERP資料!$G:$G, (MATCH(938, 輔助計算!$G$2:$G$801, 0)+1))), "")</f>
        <v/>
      </c>
      <c r="I939" s="15">
        <f>IFERROR(INDEX(輔助計算!$D:$D, (MATCH(938, 輔助計算!$G$2:$G$801, 0)+1)), "")</f>
        <v/>
      </c>
      <c r="J939" s="15">
        <f>IFERROR(IF(AND(INDEX(輔助計算!$D:$D, (MATCH(938, 輔助計算!$G$2:$G$801, 0)+1))&lt;&gt;"", INDEX(ERP資料!$G:$G, (MATCH(938, 輔助計算!$G$2:$G$801, 0)+1))&lt;&gt;""), TRIM(IF(INT(INDEX(輔助計算!$D:$D, (MATCH(938, 輔助計算!$G$2:$G$801, 0)+1))/IF(INDEX(ERP資料!$G:$G, (MATCH(938, 輔助計算!$G$2:$G$801, 0)+1))&lt;100, IF(INDEX(ERP資料!$G:$G, (MATCH(938, 輔助計算!$G$2:$G$801, 0)+1))&lt;=31,3,IF(INDEX(ERP資料!$G:$G, (MATCH(938, 輔助計算!$G$2:$G$801, 0)+1))&lt;=46.5,2,1)), IF(INDEX(ERP資料!$G:$G, (MATCH(938, 輔助計算!$G$2:$G$801, 0)+1))&lt;=790,3,IF(INDEX(ERP資料!$G:$G, (MATCH(938, 輔助計算!$G$2:$G$801, 0)+1))&lt;=1181,2,1))))&gt;0, IF(IF(INDEX(ERP資料!$G:$G, (MATCH(938, 輔助計算!$G$2:$G$801, 0)+1))&lt;100, IF(INDEX(ERP資料!$G:$G, (MATCH(938, 輔助計算!$G$2:$G$801, 0)+1))&lt;=31,3,IF(INDEX(ERP資料!$G:$G, (MATCH(938, 輔助計算!$G$2:$G$801, 0)+1))&lt;=46.5,2,1)), IF(INDEX(ERP資料!$G:$G, (MATCH(938, 輔助計算!$G$2:$G$801, 0)+1))&lt;=790,3,IF(INDEX(ERP資料!$G:$G, (MATCH(938, 輔助計算!$G$2:$G$801, 0)+1))&lt;=1181,2,1)))=1,TEXT(INDEX(ERP資料!$G:$G, (MATCH(938, 輔助計算!$G$2:$G$801, 0)+1)),"0.##"),IF(IF(INDEX(ERP資料!$G:$G, (MATCH(938, 輔助計算!$G$2:$G$801, 0)+1))&lt;100, IF(INDEX(ERP資料!$G:$G, (MATCH(938, 輔助計算!$G$2:$G$801, 0)+1))&lt;=31,3,IF(INDEX(ERP資料!$G:$G, (MATCH(938, 輔助計算!$G$2:$G$801, 0)+1))&lt;=46.5,2,1)), IF(INDEX(ERP資料!$G:$G, (MATCH(938, 輔助計算!$G$2:$G$801, 0)+1))&lt;=790,3,IF(INDEX(ERP資料!$G:$G, (MATCH(938, 輔助計算!$G$2:$G$801, 0)+1))&lt;=1181,2,1)))=2,TEXT(INDEX(ERP資料!$G:$G, (MATCH(938, 輔助計算!$G$2:$G$801, 0)+1)),"0.##")&amp;"+"&amp;TEXT(INDEX(ERP資料!$G:$G, (MATCH(938, 輔助計算!$G$2:$G$801, 0)+1)),"0.##"),TEXT(INDEX(ERP資料!$G:$G, (MATCH(938, 輔助計算!$G$2:$G$801, 0)+1)),"0.##")&amp;"+"&amp;TEXT(INDEX(ERP資料!$G:$G, (MATCH(938, 輔助計算!$G$2:$G$801, 0)+1)),"0.##")&amp;"+"&amp;TEXT(INDEX(ERP資料!$G:$G, (MATCH(938, 輔助計算!$G$2:$G$801, 0)+1)),"0.##")))&amp;"-"&amp;INT(INDEX(輔助計算!$D:$D, (MATCH(938, 輔助計算!$G$2:$G$801, 0)+1))/IF(INDEX(ERP資料!$G:$G, (MATCH(938, 輔助計算!$G$2:$G$801, 0)+1))&lt;100, IF(INDEX(ERP資料!$G:$G, (MATCH(938, 輔助計算!$G$2:$G$801, 0)+1))&lt;=31,3,IF(INDEX(ERP資料!$G:$G, (MATCH(938, 輔助計算!$G$2:$G$801, 0)+1))&lt;=46.5,2,1)), IF(INDEX(ERP資料!$G:$G, (MATCH(938, 輔助計算!$G$2:$G$801, 0)+1))&lt;=790,3,IF(INDEX(ERP資料!$G:$G, (MATCH(938, 輔助計算!$G$2:$G$801, 0)+1))&lt;=1181,2,1)))), "")&amp;IF(AND(IF(INT(INDEX(輔助計算!$D:$D, (MATCH(938, 輔助計算!$G$2:$G$801, 0)+1))/IF(INDEX(ERP資料!$G:$G, (MATCH(938, 輔助計算!$G$2:$G$801, 0)+1))&lt;100, IF(INDEX(ERP資料!$G:$G, (MATCH(938, 輔助計算!$G$2:$G$801, 0)+1))&lt;=31,3,IF(INDEX(ERP資料!$G:$G, (MATCH(938, 輔助計算!$G$2:$G$801, 0)+1))&lt;=46.5,2,1)), IF(INDEX(ERP資料!$G:$G, (MATCH(938, 輔助計算!$G$2:$G$801, 0)+1))&lt;=790,3,IF(INDEX(ERP資料!$G:$G, (MATCH(938, 輔助計算!$G$2:$G$801, 0)+1))&lt;=1181,2,1))))&gt;0, IF(IF(INDEX(ERP資料!$G:$G, (MATCH(938, 輔助計算!$G$2:$G$801, 0)+1))&lt;100, IF(INDEX(ERP資料!$G:$G, (MATCH(938, 輔助計算!$G$2:$G$801, 0)+1))&lt;=31,3,IF(INDEX(ERP資料!$G:$G, (MATCH(938, 輔助計算!$G$2:$G$801, 0)+1))&lt;=46.5,2,1)), IF(INDEX(ERP資料!$G:$G, (MATCH(938, 輔助計算!$G$2:$G$801, 0)+1))&lt;=790,3,IF(INDEX(ERP資料!$G:$G, (MATCH(938, 輔助計算!$G$2:$G$801, 0)+1))&lt;=1181,2,1)))=1,TEXT(INDEX(ERP資料!$G:$G, (MATCH(938, 輔助計算!$G$2:$G$801, 0)+1)),"0.##"),IF(IF(INDEX(ERP資料!$G:$G, (MATCH(938, 輔助計算!$G$2:$G$801, 0)+1))&lt;100, IF(INDEX(ERP資料!$G:$G, (MATCH(938, 輔助計算!$G$2:$G$801, 0)+1))&lt;=31,3,IF(INDEX(ERP資料!$G:$G, (MATCH(938, 輔助計算!$G$2:$G$801, 0)+1))&lt;=46.5,2,1)), IF(INDEX(ERP資料!$G:$G, (MATCH(938, 輔助計算!$G$2:$G$801, 0)+1))&lt;=790,3,IF(INDEX(ERP資料!$G:$G, (MATCH(938, 輔助計算!$G$2:$G$801, 0)+1))&lt;=1181,2,1)))=2,TEXT(INDEX(ERP資料!$G:$G, (MATCH(938, 輔助計算!$G$2:$G$801, 0)+1)),"0.##")&amp;"+"&amp;TEXT(INDEX(ERP資料!$G:$G, (MATCH(938, 輔助計算!$G$2:$G$801, 0)+1)),"0.##"),TEXT(INDEX(ERP資料!$G:$G, (MATCH(938, 輔助計算!$G$2:$G$801, 0)+1)),"0.##")&amp;"+"&amp;TEXT(INDEX(ERP資料!$G:$G, (MATCH(938, 輔助計算!$G$2:$G$801, 0)+1)),"0.##")&amp;"+"&amp;TEXT(INDEX(ERP資料!$G:$G, (MATCH(938, 輔助計算!$G$2:$G$801, 0)+1)),"0.##")))&amp;"-"&amp;INT(INDEX(輔助計算!$D:$D, (MATCH(938, 輔助計算!$G$2:$G$801, 0)+1))/IF(INDEX(ERP資料!$G:$G, (MATCH(938, 輔助計算!$G$2:$G$801, 0)+1))&lt;100, IF(INDEX(ERP資料!$G:$G, (MATCH(938, 輔助計算!$G$2:$G$801, 0)+1))&lt;=31,3,IF(INDEX(ERP資料!$G:$G, (MATCH(938, 輔助計算!$G$2:$G$801, 0)+1))&lt;=46.5,2,1)), IF(INDEX(ERP資料!$G:$G, (MATCH(938, 輔助計算!$G$2:$G$801, 0)+1))&lt;=790,3,IF(INDEX(ERP資料!$G:$G, (MATCH(938, 輔助計算!$G$2:$G$801, 0)+1))&lt;=1181,2,1)))), "")&lt;&gt;"",IF(MOD(INDEX(輔助計算!$D:$D, (MATCH(938, 輔助計算!$G$2:$G$801, 0)+1)),IF(INDEX(ERP資料!$G:$G, (MATCH(938, 輔助計算!$G$2:$G$801, 0)+1))&lt;100, IF(INDEX(ERP資料!$G:$G, (MATCH(938, 輔助計算!$G$2:$G$801, 0)+1))&lt;=31,3,IF(INDEX(ERP資料!$G:$G, (MATCH(938, 輔助計算!$G$2:$G$801, 0)+1))&lt;=46.5,2,1)), IF(INDEX(ERP資料!$G:$G, (MATCH(938, 輔助計算!$G$2:$G$801, 0)+1))&lt;=790,3,IF(INDEX(ERP資料!$G:$G, (MATCH(938, 輔助計算!$G$2:$G$801, 0)+1))&lt;=1181,2,1))))=0,"",IF(MOD(INDEX(輔助計算!$D:$D, (MATCH(938, 輔助計算!$G$2:$G$801, 0)+1)),IF(INDEX(ERP資料!$G:$G, (MATCH(938, 輔助計算!$G$2:$G$801, 0)+1))&lt;100, IF(INDEX(ERP資料!$G:$G, (MATCH(938, 輔助計算!$G$2:$G$801, 0)+1))&lt;=31,3,IF(INDEX(ERP資料!$G:$G, (MATCH(938, 輔助計算!$G$2:$G$801, 0)+1))&lt;=46.5,2,1)), IF(INDEX(ERP資料!$G:$G, (MATCH(938, 輔助計算!$G$2:$G$801, 0)+1))&lt;=790,3,IF(INDEX(ERP資料!$G:$G, (MATCH(938, 輔助計算!$G$2:$G$801, 0)+1))&lt;=1181,2,1))))=0,"",IF(MOD(INDEX(輔助計算!$D:$D, (MATCH(938, 輔助計算!$G$2:$G$801, 0)+1)),IF(INDEX(ERP資料!$G:$G, (MATCH(938, 輔助計算!$G$2:$G$801, 0)+1))&lt;100, IF(INDEX(ERP資料!$G:$G, (MATCH(938, 輔助計算!$G$2:$G$801, 0)+1))&lt;=31,3,IF(INDEX(ERP資料!$G:$G, (MATCH(938, 輔助計算!$G$2:$G$801, 0)+1))&lt;=46.5,2,1)), IF(INDEX(ERP資料!$G:$G, (MATCH(938, 輔助計算!$G$2:$G$801, 0)+1))&lt;=790,3,IF(INDEX(ERP資料!$G:$G, (MATCH(938, 輔助計算!$G$2:$G$801, 0)+1))&lt;=1181,2,1))))=1,TEXT(INDEX(ERP資料!$G:$G, (MATCH(938, 輔助計算!$G$2:$G$801, 0)+1)),"0.##"),IF(MOD(INDEX(輔助計算!$D:$D, (MATCH(938, 輔助計算!$G$2:$G$801, 0)+1)),IF(INDEX(ERP資料!$G:$G, (MATCH(938, 輔助計算!$G$2:$G$801, 0)+1))&lt;100, IF(INDEX(ERP資料!$G:$G, (MATCH(938, 輔助計算!$G$2:$G$801, 0)+1))&lt;=31,3,IF(INDEX(ERP資料!$G:$G, (MATCH(938, 輔助計算!$G$2:$G$801, 0)+1))&lt;=46.5,2,1)), IF(INDEX(ERP資料!$G:$G, (MATCH(938, 輔助計算!$G$2:$G$801, 0)+1))&lt;=790,3,IF(INDEX(ERP資料!$G:$G, (MATCH(938, 輔助計算!$G$2:$G$801, 0)+1))&lt;=1181,2,1))))=2,TEXT(INDEX(ERP資料!$G:$G, (MATCH(938, 輔助計算!$G$2:$G$801, 0)+1)),"0.##")&amp;"+"&amp;TEXT(INDEX(ERP資料!$G:$G, (MATCH(938, 輔助計算!$G$2:$G$801, 0)+1)),"0.##"),TEXT(INDEX(ERP資料!$G:$G, (MATCH(938, 輔助計算!$G$2:$G$801, 0)+1)),"0.##")&amp;"+"&amp;TEXT(INDEX(ERP資料!$G:$G, (MATCH(938, 輔助計算!$G$2:$G$801, 0)+1)),"0.##")&amp;"+"&amp;TEXT(INDEX(ERP資料!$G:$G, (MATCH(938, 輔助計算!$G$2:$G$801, 0)+1)),"0.##"))))&amp;"-1")&lt;&gt;""),"  ","")&amp;IF(MOD(INDEX(輔助計算!$D:$D, (MATCH(938, 輔助計算!$G$2:$G$801, 0)+1)),IF(INDEX(ERP資料!$G:$G, (MATCH(938, 輔助計算!$G$2:$G$801, 0)+1))&lt;100, IF(INDEX(ERP資料!$G:$G, (MATCH(938, 輔助計算!$G$2:$G$801, 0)+1))&lt;=31,3,IF(INDEX(ERP資料!$G:$G, (MATCH(938, 輔助計算!$G$2:$G$801, 0)+1))&lt;=46.5,2,1)), IF(INDEX(ERP資料!$G:$G, (MATCH(938, 輔助計算!$G$2:$G$801, 0)+1))&lt;=790,3,IF(INDEX(ERP資料!$G:$G, (MATCH(938, 輔助計算!$G$2:$G$801, 0)+1))&lt;=1181,2,1))))=0,"",IF(MOD(INDEX(輔助計算!$D:$D, (MATCH(938, 輔助計算!$G$2:$G$801, 0)+1)),IF(INDEX(ERP資料!$G:$G, (MATCH(938, 輔助計算!$G$2:$G$801, 0)+1))&lt;100, IF(INDEX(ERP資料!$G:$G, (MATCH(938, 輔助計算!$G$2:$G$801, 0)+1))&lt;=31,3,IF(INDEX(ERP資料!$G:$G, (MATCH(938, 輔助計算!$G$2:$G$801, 0)+1))&lt;=46.5,2,1)), IF(INDEX(ERP資料!$G:$G, (MATCH(938, 輔助計算!$G$2:$G$801, 0)+1))&lt;=790,3,IF(INDEX(ERP資料!$G:$G, (MATCH(938, 輔助計算!$G$2:$G$801, 0)+1))&lt;=1181,2,1))))=0,"",IF(MOD(INDEX(輔助計算!$D:$D, (MATCH(938, 輔助計算!$G$2:$G$801, 0)+1)),IF(INDEX(ERP資料!$G:$G, (MATCH(938, 輔助計算!$G$2:$G$801, 0)+1))&lt;100, IF(INDEX(ERP資料!$G:$G, (MATCH(938, 輔助計算!$G$2:$G$801, 0)+1))&lt;=31,3,IF(INDEX(ERP資料!$G:$G, (MATCH(938, 輔助計算!$G$2:$G$801, 0)+1))&lt;=46.5,2,1)), IF(INDEX(ERP資料!$G:$G, (MATCH(938, 輔助計算!$G$2:$G$801, 0)+1))&lt;=790,3,IF(INDEX(ERP資料!$G:$G, (MATCH(938, 輔助計算!$G$2:$G$801, 0)+1))&lt;=1181,2,1))))=1,TEXT(INDEX(ERP資料!$G:$G, (MATCH(938, 輔助計算!$G$2:$G$801, 0)+1)),"0.##"),IF(MOD(INDEX(輔助計算!$D:$D, (MATCH(938, 輔助計算!$G$2:$G$801, 0)+1)),IF(INDEX(ERP資料!$G:$G, (MATCH(938, 輔助計算!$G$2:$G$801, 0)+1))&lt;100, IF(INDEX(ERP資料!$G:$G, (MATCH(938, 輔助計算!$G$2:$G$801, 0)+1))&lt;=31,3,IF(INDEX(ERP資料!$G:$G, (MATCH(938, 輔助計算!$G$2:$G$801, 0)+1))&lt;=46.5,2,1)), IF(INDEX(ERP資料!$G:$G, (MATCH(938, 輔助計算!$G$2:$G$801, 0)+1))&lt;=790,3,IF(INDEX(ERP資料!$G:$G, (MATCH(938, 輔助計算!$G$2:$G$801, 0)+1))&lt;=1181,2,1))))=2,TEXT(INDEX(ERP資料!$G:$G, (MATCH(938, 輔助計算!$G$2:$G$801, 0)+1)),"0.##")&amp;"+"&amp;TEXT(INDEX(ERP資料!$G:$G, (MATCH(938, 輔助計算!$G$2:$G$801, 0)+1)),"0.##"),TEXT(INDEX(ERP資料!$G:$G, (MATCH(938, 輔助計算!$G$2:$G$801, 0)+1)),"0.##")&amp;"+"&amp;TEXT(INDEX(ERP資料!$G:$G, (MATCH(938, 輔助計算!$G$2:$G$801, 0)+1)),"0.##")&amp;"+"&amp;TEXT(INDEX(ERP資料!$G:$G, (MATCH(938, 輔助計算!$G$2:$G$801, 0)+1)),"0.##"))))&amp;"-1")), ""), "")</f>
        <v/>
      </c>
      <c r="K939" s="16" t="n"/>
      <c r="L939" s="14">
        <f>IFERROR(IF(AND(IFERROR(INDEX(ERP資料!$A:$A, (MATCH(938, 輔助計算!$G$2:$G$801, 0)+1)), "")&lt;&gt;"", IFERROR(INDEX(ERP資料!$A:$A, (MATCH(938, 輔助計算!$G$2:$G$801, 0)+1)), "")&lt;&gt;IFERROR(INDEX(ERP資料!$A:$A, MATCH(937, 輔助計算!$G$2:$G$801, 0)+1), "")), INDEX(ERP資料!$B:$B, (MATCH(938, 輔助計算!$G$2:$G$801, 0)+1)), ""), "")</f>
        <v/>
      </c>
      <c r="M939" s="17" t="n"/>
    </row>
    <row r="940">
      <c r="A940" s="10">
        <f>IFERROR(IF(AND(IFERROR(INDEX(ERP資料!$A:$A, (MATCH(939, 輔助計算!$G$2:$G$801, 0)+1)), "")&lt;&gt;"", IFERROR(INDEX(ERP資料!$A:$A, (MATCH(939, 輔助計算!$G$2:$G$801, 0)+1)), "")&lt;&gt;IFERROR(INDEX(ERP資料!$A:$A, MATCH(938, 輔助計算!$G$2:$G$801, 0)+1), "")), IFERROR(INDEX(ERP資料!$A:$A, (MATCH(939, 輔助計算!$G$2:$G$801, 0)+1)), ""), ""), "")</f>
        <v/>
      </c>
      <c r="B940" s="10">
        <f>IFERROR(IF(AND(IFERROR(INDEX(ERP資料!$A:$A, (MATCH(939, 輔助計算!$G$2:$G$801, 0)+1)), "")&lt;&gt;"", IFERROR(INDEX(ERP資料!$A:$A, (MATCH(939, 輔助計算!$G$2:$G$801, 0)+1)), "")&lt;&gt;IFERROR(INDEX(ERP資料!$A:$A, MATCH(938, 輔助計算!$G$2:$G$801, 0)+1), "")), INDEX(ERP資料!$S:$S, (MATCH(939, 輔助計算!$G$2:$G$801, 0)+1)), ""), "")</f>
        <v/>
      </c>
      <c r="C940" s="19">
        <f>IFERROR(IF(AND(IFERROR(INDEX(ERP資料!$A:$A, (MATCH(939, 輔助計算!$G$2:$G$801, 0)+1)), "")&lt;&gt;"", IFERROR(INDEX(ERP資料!$A:$A, (MATCH(939, 輔助計算!$G$2:$G$801, 0)+1)), "")&lt;&gt;IFERROR(INDEX(ERP資料!$A:$A, MATCH(938, 輔助計算!$G$2:$G$801, 0)+1), "")), IFERROR(VLOOKUP(LEFT(INDEX(ERP資料!$S:$S, (MATCH(939, 輔助計算!$G$2:$G$801, 0)+1)), 4), 紙管對照表!$A:$C, 3, FALSE), ""), ""), "")</f>
        <v/>
      </c>
      <c r="D940" s="16" t="n"/>
      <c r="E940" s="10">
        <f>IFERROR(IF(INDEX(ERP資料!$H:$H, (MATCH(939, 輔助計算!$G$2:$G$801, 0)+1))="","",INDEX(ERP資料!$H:$H, (MATCH(939, 輔助計算!$G$2:$G$801, 0)+1))), "")</f>
        <v/>
      </c>
      <c r="F940" s="10">
        <f>IFERROR(IF(INDEX(ERP資料!$E:$E, (MATCH(939, 輔助計算!$G$2:$G$801, 0)+1))="","",TRIM(INDEX(ERP資料!$E:$E, (MATCH(939, 輔助計算!$G$2:$G$801, 0)+1)))), "")</f>
        <v/>
      </c>
      <c r="G940" s="10">
        <f>IFERROR(IF(INDEX(ERP資料!$F:$F, (MATCH(939, 輔助計算!$G$2:$G$801, 0)+1))="","",INDEX(ERP資料!$F:$F, (MATCH(939, 輔助計算!$G$2:$G$801, 0)+1))), "")</f>
        <v/>
      </c>
      <c r="H940" s="10">
        <f>IFERROR(IF(INDEX(ERP資料!$G:$G, (MATCH(939, 輔助計算!$G$2:$G$801, 0)+1))="","",INDEX(ERP資料!$G:$G, (MATCH(939, 輔助計算!$G$2:$G$801, 0)+1))), "")</f>
        <v/>
      </c>
      <c r="I940" s="15">
        <f>IFERROR(INDEX(輔助計算!$D:$D, (MATCH(939, 輔助計算!$G$2:$G$801, 0)+1)), "")</f>
        <v/>
      </c>
      <c r="J940" s="15">
        <f>IFERROR(IF(AND(INDEX(輔助計算!$D:$D, (MATCH(939, 輔助計算!$G$2:$G$801, 0)+1))&lt;&gt;"", INDEX(ERP資料!$G:$G, (MATCH(939, 輔助計算!$G$2:$G$801, 0)+1))&lt;&gt;""), TRIM(IF(INT(INDEX(輔助計算!$D:$D, (MATCH(939, 輔助計算!$G$2:$G$801, 0)+1))/IF(INDEX(ERP資料!$G:$G, (MATCH(939, 輔助計算!$G$2:$G$801, 0)+1))&lt;100, IF(INDEX(ERP資料!$G:$G, (MATCH(939, 輔助計算!$G$2:$G$801, 0)+1))&lt;=31,3,IF(INDEX(ERP資料!$G:$G, (MATCH(939, 輔助計算!$G$2:$G$801, 0)+1))&lt;=46.5,2,1)), IF(INDEX(ERP資料!$G:$G, (MATCH(939, 輔助計算!$G$2:$G$801, 0)+1))&lt;=790,3,IF(INDEX(ERP資料!$G:$G, (MATCH(939, 輔助計算!$G$2:$G$801, 0)+1))&lt;=1181,2,1))))&gt;0, IF(IF(INDEX(ERP資料!$G:$G, (MATCH(939, 輔助計算!$G$2:$G$801, 0)+1))&lt;100, IF(INDEX(ERP資料!$G:$G, (MATCH(939, 輔助計算!$G$2:$G$801, 0)+1))&lt;=31,3,IF(INDEX(ERP資料!$G:$G, (MATCH(939, 輔助計算!$G$2:$G$801, 0)+1))&lt;=46.5,2,1)), IF(INDEX(ERP資料!$G:$G, (MATCH(939, 輔助計算!$G$2:$G$801, 0)+1))&lt;=790,3,IF(INDEX(ERP資料!$G:$G, (MATCH(939, 輔助計算!$G$2:$G$801, 0)+1))&lt;=1181,2,1)))=1,TEXT(INDEX(ERP資料!$G:$G, (MATCH(939, 輔助計算!$G$2:$G$801, 0)+1)),"0.##"),IF(IF(INDEX(ERP資料!$G:$G, (MATCH(939, 輔助計算!$G$2:$G$801, 0)+1))&lt;100, IF(INDEX(ERP資料!$G:$G, (MATCH(939, 輔助計算!$G$2:$G$801, 0)+1))&lt;=31,3,IF(INDEX(ERP資料!$G:$G, (MATCH(939, 輔助計算!$G$2:$G$801, 0)+1))&lt;=46.5,2,1)), IF(INDEX(ERP資料!$G:$G, (MATCH(939, 輔助計算!$G$2:$G$801, 0)+1))&lt;=790,3,IF(INDEX(ERP資料!$G:$G, (MATCH(939, 輔助計算!$G$2:$G$801, 0)+1))&lt;=1181,2,1)))=2,TEXT(INDEX(ERP資料!$G:$G, (MATCH(939, 輔助計算!$G$2:$G$801, 0)+1)),"0.##")&amp;"+"&amp;TEXT(INDEX(ERP資料!$G:$G, (MATCH(939, 輔助計算!$G$2:$G$801, 0)+1)),"0.##"),TEXT(INDEX(ERP資料!$G:$G, (MATCH(939, 輔助計算!$G$2:$G$801, 0)+1)),"0.##")&amp;"+"&amp;TEXT(INDEX(ERP資料!$G:$G, (MATCH(939, 輔助計算!$G$2:$G$801, 0)+1)),"0.##")&amp;"+"&amp;TEXT(INDEX(ERP資料!$G:$G, (MATCH(939, 輔助計算!$G$2:$G$801, 0)+1)),"0.##")))&amp;"-"&amp;INT(INDEX(輔助計算!$D:$D, (MATCH(939, 輔助計算!$G$2:$G$801, 0)+1))/IF(INDEX(ERP資料!$G:$G, (MATCH(939, 輔助計算!$G$2:$G$801, 0)+1))&lt;100, IF(INDEX(ERP資料!$G:$G, (MATCH(939, 輔助計算!$G$2:$G$801, 0)+1))&lt;=31,3,IF(INDEX(ERP資料!$G:$G, (MATCH(939, 輔助計算!$G$2:$G$801, 0)+1))&lt;=46.5,2,1)), IF(INDEX(ERP資料!$G:$G, (MATCH(939, 輔助計算!$G$2:$G$801, 0)+1))&lt;=790,3,IF(INDEX(ERP資料!$G:$G, (MATCH(939, 輔助計算!$G$2:$G$801, 0)+1))&lt;=1181,2,1)))), "")&amp;IF(AND(IF(INT(INDEX(輔助計算!$D:$D, (MATCH(939, 輔助計算!$G$2:$G$801, 0)+1))/IF(INDEX(ERP資料!$G:$G, (MATCH(939, 輔助計算!$G$2:$G$801, 0)+1))&lt;100, IF(INDEX(ERP資料!$G:$G, (MATCH(939, 輔助計算!$G$2:$G$801, 0)+1))&lt;=31,3,IF(INDEX(ERP資料!$G:$G, (MATCH(939, 輔助計算!$G$2:$G$801, 0)+1))&lt;=46.5,2,1)), IF(INDEX(ERP資料!$G:$G, (MATCH(939, 輔助計算!$G$2:$G$801, 0)+1))&lt;=790,3,IF(INDEX(ERP資料!$G:$G, (MATCH(939, 輔助計算!$G$2:$G$801, 0)+1))&lt;=1181,2,1))))&gt;0, IF(IF(INDEX(ERP資料!$G:$G, (MATCH(939, 輔助計算!$G$2:$G$801, 0)+1))&lt;100, IF(INDEX(ERP資料!$G:$G, (MATCH(939, 輔助計算!$G$2:$G$801, 0)+1))&lt;=31,3,IF(INDEX(ERP資料!$G:$G, (MATCH(939, 輔助計算!$G$2:$G$801, 0)+1))&lt;=46.5,2,1)), IF(INDEX(ERP資料!$G:$G, (MATCH(939, 輔助計算!$G$2:$G$801, 0)+1))&lt;=790,3,IF(INDEX(ERP資料!$G:$G, (MATCH(939, 輔助計算!$G$2:$G$801, 0)+1))&lt;=1181,2,1)))=1,TEXT(INDEX(ERP資料!$G:$G, (MATCH(939, 輔助計算!$G$2:$G$801, 0)+1)),"0.##"),IF(IF(INDEX(ERP資料!$G:$G, (MATCH(939, 輔助計算!$G$2:$G$801, 0)+1))&lt;100, IF(INDEX(ERP資料!$G:$G, (MATCH(939, 輔助計算!$G$2:$G$801, 0)+1))&lt;=31,3,IF(INDEX(ERP資料!$G:$G, (MATCH(939, 輔助計算!$G$2:$G$801, 0)+1))&lt;=46.5,2,1)), IF(INDEX(ERP資料!$G:$G, (MATCH(939, 輔助計算!$G$2:$G$801, 0)+1))&lt;=790,3,IF(INDEX(ERP資料!$G:$G, (MATCH(939, 輔助計算!$G$2:$G$801, 0)+1))&lt;=1181,2,1)))=2,TEXT(INDEX(ERP資料!$G:$G, (MATCH(939, 輔助計算!$G$2:$G$801, 0)+1)),"0.##")&amp;"+"&amp;TEXT(INDEX(ERP資料!$G:$G, (MATCH(939, 輔助計算!$G$2:$G$801, 0)+1)),"0.##"),TEXT(INDEX(ERP資料!$G:$G, (MATCH(939, 輔助計算!$G$2:$G$801, 0)+1)),"0.##")&amp;"+"&amp;TEXT(INDEX(ERP資料!$G:$G, (MATCH(939, 輔助計算!$G$2:$G$801, 0)+1)),"0.##")&amp;"+"&amp;TEXT(INDEX(ERP資料!$G:$G, (MATCH(939, 輔助計算!$G$2:$G$801, 0)+1)),"0.##")))&amp;"-"&amp;INT(INDEX(輔助計算!$D:$D, (MATCH(939, 輔助計算!$G$2:$G$801, 0)+1))/IF(INDEX(ERP資料!$G:$G, (MATCH(939, 輔助計算!$G$2:$G$801, 0)+1))&lt;100, IF(INDEX(ERP資料!$G:$G, (MATCH(939, 輔助計算!$G$2:$G$801, 0)+1))&lt;=31,3,IF(INDEX(ERP資料!$G:$G, (MATCH(939, 輔助計算!$G$2:$G$801, 0)+1))&lt;=46.5,2,1)), IF(INDEX(ERP資料!$G:$G, (MATCH(939, 輔助計算!$G$2:$G$801, 0)+1))&lt;=790,3,IF(INDEX(ERP資料!$G:$G, (MATCH(939, 輔助計算!$G$2:$G$801, 0)+1))&lt;=1181,2,1)))), "")&lt;&gt;"",IF(MOD(INDEX(輔助計算!$D:$D, (MATCH(939, 輔助計算!$G$2:$G$801, 0)+1)),IF(INDEX(ERP資料!$G:$G, (MATCH(939, 輔助計算!$G$2:$G$801, 0)+1))&lt;100, IF(INDEX(ERP資料!$G:$G, (MATCH(939, 輔助計算!$G$2:$G$801, 0)+1))&lt;=31,3,IF(INDEX(ERP資料!$G:$G, (MATCH(939, 輔助計算!$G$2:$G$801, 0)+1))&lt;=46.5,2,1)), IF(INDEX(ERP資料!$G:$G, (MATCH(939, 輔助計算!$G$2:$G$801, 0)+1))&lt;=790,3,IF(INDEX(ERP資料!$G:$G, (MATCH(939, 輔助計算!$G$2:$G$801, 0)+1))&lt;=1181,2,1))))=0,"",IF(MOD(INDEX(輔助計算!$D:$D, (MATCH(939, 輔助計算!$G$2:$G$801, 0)+1)),IF(INDEX(ERP資料!$G:$G, (MATCH(939, 輔助計算!$G$2:$G$801, 0)+1))&lt;100, IF(INDEX(ERP資料!$G:$G, (MATCH(939, 輔助計算!$G$2:$G$801, 0)+1))&lt;=31,3,IF(INDEX(ERP資料!$G:$G, (MATCH(939, 輔助計算!$G$2:$G$801, 0)+1))&lt;=46.5,2,1)), IF(INDEX(ERP資料!$G:$G, (MATCH(939, 輔助計算!$G$2:$G$801, 0)+1))&lt;=790,3,IF(INDEX(ERP資料!$G:$G, (MATCH(939, 輔助計算!$G$2:$G$801, 0)+1))&lt;=1181,2,1))))=0,"",IF(MOD(INDEX(輔助計算!$D:$D, (MATCH(939, 輔助計算!$G$2:$G$801, 0)+1)),IF(INDEX(ERP資料!$G:$G, (MATCH(939, 輔助計算!$G$2:$G$801, 0)+1))&lt;100, IF(INDEX(ERP資料!$G:$G, (MATCH(939, 輔助計算!$G$2:$G$801, 0)+1))&lt;=31,3,IF(INDEX(ERP資料!$G:$G, (MATCH(939, 輔助計算!$G$2:$G$801, 0)+1))&lt;=46.5,2,1)), IF(INDEX(ERP資料!$G:$G, (MATCH(939, 輔助計算!$G$2:$G$801, 0)+1))&lt;=790,3,IF(INDEX(ERP資料!$G:$G, (MATCH(939, 輔助計算!$G$2:$G$801, 0)+1))&lt;=1181,2,1))))=1,TEXT(INDEX(ERP資料!$G:$G, (MATCH(939, 輔助計算!$G$2:$G$801, 0)+1)),"0.##"),IF(MOD(INDEX(輔助計算!$D:$D, (MATCH(939, 輔助計算!$G$2:$G$801, 0)+1)),IF(INDEX(ERP資料!$G:$G, (MATCH(939, 輔助計算!$G$2:$G$801, 0)+1))&lt;100, IF(INDEX(ERP資料!$G:$G, (MATCH(939, 輔助計算!$G$2:$G$801, 0)+1))&lt;=31,3,IF(INDEX(ERP資料!$G:$G, (MATCH(939, 輔助計算!$G$2:$G$801, 0)+1))&lt;=46.5,2,1)), IF(INDEX(ERP資料!$G:$G, (MATCH(939, 輔助計算!$G$2:$G$801, 0)+1))&lt;=790,3,IF(INDEX(ERP資料!$G:$G, (MATCH(939, 輔助計算!$G$2:$G$801, 0)+1))&lt;=1181,2,1))))=2,TEXT(INDEX(ERP資料!$G:$G, (MATCH(939, 輔助計算!$G$2:$G$801, 0)+1)),"0.##")&amp;"+"&amp;TEXT(INDEX(ERP資料!$G:$G, (MATCH(939, 輔助計算!$G$2:$G$801, 0)+1)),"0.##"),TEXT(INDEX(ERP資料!$G:$G, (MATCH(939, 輔助計算!$G$2:$G$801, 0)+1)),"0.##")&amp;"+"&amp;TEXT(INDEX(ERP資料!$G:$G, (MATCH(939, 輔助計算!$G$2:$G$801, 0)+1)),"0.##")&amp;"+"&amp;TEXT(INDEX(ERP資料!$G:$G, (MATCH(939, 輔助計算!$G$2:$G$801, 0)+1)),"0.##"))))&amp;"-1")&lt;&gt;""),"  ","")&amp;IF(MOD(INDEX(輔助計算!$D:$D, (MATCH(939, 輔助計算!$G$2:$G$801, 0)+1)),IF(INDEX(ERP資料!$G:$G, (MATCH(939, 輔助計算!$G$2:$G$801, 0)+1))&lt;100, IF(INDEX(ERP資料!$G:$G, (MATCH(939, 輔助計算!$G$2:$G$801, 0)+1))&lt;=31,3,IF(INDEX(ERP資料!$G:$G, (MATCH(939, 輔助計算!$G$2:$G$801, 0)+1))&lt;=46.5,2,1)), IF(INDEX(ERP資料!$G:$G, (MATCH(939, 輔助計算!$G$2:$G$801, 0)+1))&lt;=790,3,IF(INDEX(ERP資料!$G:$G, (MATCH(939, 輔助計算!$G$2:$G$801, 0)+1))&lt;=1181,2,1))))=0,"",IF(MOD(INDEX(輔助計算!$D:$D, (MATCH(939, 輔助計算!$G$2:$G$801, 0)+1)),IF(INDEX(ERP資料!$G:$G, (MATCH(939, 輔助計算!$G$2:$G$801, 0)+1))&lt;100, IF(INDEX(ERP資料!$G:$G, (MATCH(939, 輔助計算!$G$2:$G$801, 0)+1))&lt;=31,3,IF(INDEX(ERP資料!$G:$G, (MATCH(939, 輔助計算!$G$2:$G$801, 0)+1))&lt;=46.5,2,1)), IF(INDEX(ERP資料!$G:$G, (MATCH(939, 輔助計算!$G$2:$G$801, 0)+1))&lt;=790,3,IF(INDEX(ERP資料!$G:$G, (MATCH(939, 輔助計算!$G$2:$G$801, 0)+1))&lt;=1181,2,1))))=0,"",IF(MOD(INDEX(輔助計算!$D:$D, (MATCH(939, 輔助計算!$G$2:$G$801, 0)+1)),IF(INDEX(ERP資料!$G:$G, (MATCH(939, 輔助計算!$G$2:$G$801, 0)+1))&lt;100, IF(INDEX(ERP資料!$G:$G, (MATCH(939, 輔助計算!$G$2:$G$801, 0)+1))&lt;=31,3,IF(INDEX(ERP資料!$G:$G, (MATCH(939, 輔助計算!$G$2:$G$801, 0)+1))&lt;=46.5,2,1)), IF(INDEX(ERP資料!$G:$G, (MATCH(939, 輔助計算!$G$2:$G$801, 0)+1))&lt;=790,3,IF(INDEX(ERP資料!$G:$G, (MATCH(939, 輔助計算!$G$2:$G$801, 0)+1))&lt;=1181,2,1))))=1,TEXT(INDEX(ERP資料!$G:$G, (MATCH(939, 輔助計算!$G$2:$G$801, 0)+1)),"0.##"),IF(MOD(INDEX(輔助計算!$D:$D, (MATCH(939, 輔助計算!$G$2:$G$801, 0)+1)),IF(INDEX(ERP資料!$G:$G, (MATCH(939, 輔助計算!$G$2:$G$801, 0)+1))&lt;100, IF(INDEX(ERP資料!$G:$G, (MATCH(939, 輔助計算!$G$2:$G$801, 0)+1))&lt;=31,3,IF(INDEX(ERP資料!$G:$G, (MATCH(939, 輔助計算!$G$2:$G$801, 0)+1))&lt;=46.5,2,1)), IF(INDEX(ERP資料!$G:$G, (MATCH(939, 輔助計算!$G$2:$G$801, 0)+1))&lt;=790,3,IF(INDEX(ERP資料!$G:$G, (MATCH(939, 輔助計算!$G$2:$G$801, 0)+1))&lt;=1181,2,1))))=2,TEXT(INDEX(ERP資料!$G:$G, (MATCH(939, 輔助計算!$G$2:$G$801, 0)+1)),"0.##")&amp;"+"&amp;TEXT(INDEX(ERP資料!$G:$G, (MATCH(939, 輔助計算!$G$2:$G$801, 0)+1)),"0.##"),TEXT(INDEX(ERP資料!$G:$G, (MATCH(939, 輔助計算!$G$2:$G$801, 0)+1)),"0.##")&amp;"+"&amp;TEXT(INDEX(ERP資料!$G:$G, (MATCH(939, 輔助計算!$G$2:$G$801, 0)+1)),"0.##")&amp;"+"&amp;TEXT(INDEX(ERP資料!$G:$G, (MATCH(939, 輔助計算!$G$2:$G$801, 0)+1)),"0.##"))))&amp;"-1")), ""), "")</f>
        <v/>
      </c>
      <c r="K940" s="16" t="n"/>
      <c r="L940" s="14">
        <f>IFERROR(IF(AND(IFERROR(INDEX(ERP資料!$A:$A, (MATCH(939, 輔助計算!$G$2:$G$801, 0)+1)), "")&lt;&gt;"", IFERROR(INDEX(ERP資料!$A:$A, (MATCH(939, 輔助計算!$G$2:$G$801, 0)+1)), "")&lt;&gt;IFERROR(INDEX(ERP資料!$A:$A, MATCH(938, 輔助計算!$G$2:$G$801, 0)+1), "")), INDEX(ERP資料!$B:$B, (MATCH(939, 輔助計算!$G$2:$G$801, 0)+1)), ""), "")</f>
        <v/>
      </c>
      <c r="M940" s="17" t="n"/>
    </row>
    <row r="941">
      <c r="A941" s="10">
        <f>IFERROR(IF(AND(IFERROR(INDEX(ERP資料!$A:$A, (MATCH(940, 輔助計算!$G$2:$G$801, 0)+1)), "")&lt;&gt;"", IFERROR(INDEX(ERP資料!$A:$A, (MATCH(940, 輔助計算!$G$2:$G$801, 0)+1)), "")&lt;&gt;IFERROR(INDEX(ERP資料!$A:$A, MATCH(939, 輔助計算!$G$2:$G$801, 0)+1), "")), IFERROR(INDEX(ERP資料!$A:$A, (MATCH(940, 輔助計算!$G$2:$G$801, 0)+1)), ""), ""), "")</f>
        <v/>
      </c>
      <c r="B941" s="10">
        <f>IFERROR(IF(AND(IFERROR(INDEX(ERP資料!$A:$A, (MATCH(940, 輔助計算!$G$2:$G$801, 0)+1)), "")&lt;&gt;"", IFERROR(INDEX(ERP資料!$A:$A, (MATCH(940, 輔助計算!$G$2:$G$801, 0)+1)), "")&lt;&gt;IFERROR(INDEX(ERP資料!$A:$A, MATCH(939, 輔助計算!$G$2:$G$801, 0)+1), "")), INDEX(ERP資料!$S:$S, (MATCH(940, 輔助計算!$G$2:$G$801, 0)+1)), ""), "")</f>
        <v/>
      </c>
      <c r="C941" s="19">
        <f>IFERROR(IF(AND(IFERROR(INDEX(ERP資料!$A:$A, (MATCH(940, 輔助計算!$G$2:$G$801, 0)+1)), "")&lt;&gt;"", IFERROR(INDEX(ERP資料!$A:$A, (MATCH(940, 輔助計算!$G$2:$G$801, 0)+1)), "")&lt;&gt;IFERROR(INDEX(ERP資料!$A:$A, MATCH(939, 輔助計算!$G$2:$G$801, 0)+1), "")), IFERROR(VLOOKUP(LEFT(INDEX(ERP資料!$S:$S, (MATCH(940, 輔助計算!$G$2:$G$801, 0)+1)), 4), 紙管對照表!$A:$C, 3, FALSE), ""), ""), "")</f>
        <v/>
      </c>
      <c r="D941" s="16" t="n"/>
      <c r="E941" s="10">
        <f>IFERROR(IF(INDEX(ERP資料!$H:$H, (MATCH(940, 輔助計算!$G$2:$G$801, 0)+1))="","",INDEX(ERP資料!$H:$H, (MATCH(940, 輔助計算!$G$2:$G$801, 0)+1))), "")</f>
        <v/>
      </c>
      <c r="F941" s="10">
        <f>IFERROR(IF(INDEX(ERP資料!$E:$E, (MATCH(940, 輔助計算!$G$2:$G$801, 0)+1))="","",TRIM(INDEX(ERP資料!$E:$E, (MATCH(940, 輔助計算!$G$2:$G$801, 0)+1)))), "")</f>
        <v/>
      </c>
      <c r="G941" s="10">
        <f>IFERROR(IF(INDEX(ERP資料!$F:$F, (MATCH(940, 輔助計算!$G$2:$G$801, 0)+1))="","",INDEX(ERP資料!$F:$F, (MATCH(940, 輔助計算!$G$2:$G$801, 0)+1))), "")</f>
        <v/>
      </c>
      <c r="H941" s="10">
        <f>IFERROR(IF(INDEX(ERP資料!$G:$G, (MATCH(940, 輔助計算!$G$2:$G$801, 0)+1))="","",INDEX(ERP資料!$G:$G, (MATCH(940, 輔助計算!$G$2:$G$801, 0)+1))), "")</f>
        <v/>
      </c>
      <c r="I941" s="15">
        <f>IFERROR(INDEX(輔助計算!$D:$D, (MATCH(940, 輔助計算!$G$2:$G$801, 0)+1)), "")</f>
        <v/>
      </c>
      <c r="J941" s="15">
        <f>IFERROR(IF(AND(INDEX(輔助計算!$D:$D, (MATCH(940, 輔助計算!$G$2:$G$801, 0)+1))&lt;&gt;"", INDEX(ERP資料!$G:$G, (MATCH(940, 輔助計算!$G$2:$G$801, 0)+1))&lt;&gt;""), TRIM(IF(INT(INDEX(輔助計算!$D:$D, (MATCH(940, 輔助計算!$G$2:$G$801, 0)+1))/IF(INDEX(ERP資料!$G:$G, (MATCH(940, 輔助計算!$G$2:$G$801, 0)+1))&lt;100, IF(INDEX(ERP資料!$G:$G, (MATCH(940, 輔助計算!$G$2:$G$801, 0)+1))&lt;=31,3,IF(INDEX(ERP資料!$G:$G, (MATCH(940, 輔助計算!$G$2:$G$801, 0)+1))&lt;=46.5,2,1)), IF(INDEX(ERP資料!$G:$G, (MATCH(940, 輔助計算!$G$2:$G$801, 0)+1))&lt;=790,3,IF(INDEX(ERP資料!$G:$G, (MATCH(940, 輔助計算!$G$2:$G$801, 0)+1))&lt;=1181,2,1))))&gt;0, IF(IF(INDEX(ERP資料!$G:$G, (MATCH(940, 輔助計算!$G$2:$G$801, 0)+1))&lt;100, IF(INDEX(ERP資料!$G:$G, (MATCH(940, 輔助計算!$G$2:$G$801, 0)+1))&lt;=31,3,IF(INDEX(ERP資料!$G:$G, (MATCH(940, 輔助計算!$G$2:$G$801, 0)+1))&lt;=46.5,2,1)), IF(INDEX(ERP資料!$G:$G, (MATCH(940, 輔助計算!$G$2:$G$801, 0)+1))&lt;=790,3,IF(INDEX(ERP資料!$G:$G, (MATCH(940, 輔助計算!$G$2:$G$801, 0)+1))&lt;=1181,2,1)))=1,TEXT(INDEX(ERP資料!$G:$G, (MATCH(940, 輔助計算!$G$2:$G$801, 0)+1)),"0.##"),IF(IF(INDEX(ERP資料!$G:$G, (MATCH(940, 輔助計算!$G$2:$G$801, 0)+1))&lt;100, IF(INDEX(ERP資料!$G:$G, (MATCH(940, 輔助計算!$G$2:$G$801, 0)+1))&lt;=31,3,IF(INDEX(ERP資料!$G:$G, (MATCH(940, 輔助計算!$G$2:$G$801, 0)+1))&lt;=46.5,2,1)), IF(INDEX(ERP資料!$G:$G, (MATCH(940, 輔助計算!$G$2:$G$801, 0)+1))&lt;=790,3,IF(INDEX(ERP資料!$G:$G, (MATCH(940, 輔助計算!$G$2:$G$801, 0)+1))&lt;=1181,2,1)))=2,TEXT(INDEX(ERP資料!$G:$G, (MATCH(940, 輔助計算!$G$2:$G$801, 0)+1)),"0.##")&amp;"+"&amp;TEXT(INDEX(ERP資料!$G:$G, (MATCH(940, 輔助計算!$G$2:$G$801, 0)+1)),"0.##"),TEXT(INDEX(ERP資料!$G:$G, (MATCH(940, 輔助計算!$G$2:$G$801, 0)+1)),"0.##")&amp;"+"&amp;TEXT(INDEX(ERP資料!$G:$G, (MATCH(940, 輔助計算!$G$2:$G$801, 0)+1)),"0.##")&amp;"+"&amp;TEXT(INDEX(ERP資料!$G:$G, (MATCH(940, 輔助計算!$G$2:$G$801, 0)+1)),"0.##")))&amp;"-"&amp;INT(INDEX(輔助計算!$D:$D, (MATCH(940, 輔助計算!$G$2:$G$801, 0)+1))/IF(INDEX(ERP資料!$G:$G, (MATCH(940, 輔助計算!$G$2:$G$801, 0)+1))&lt;100, IF(INDEX(ERP資料!$G:$G, (MATCH(940, 輔助計算!$G$2:$G$801, 0)+1))&lt;=31,3,IF(INDEX(ERP資料!$G:$G, (MATCH(940, 輔助計算!$G$2:$G$801, 0)+1))&lt;=46.5,2,1)), IF(INDEX(ERP資料!$G:$G, (MATCH(940, 輔助計算!$G$2:$G$801, 0)+1))&lt;=790,3,IF(INDEX(ERP資料!$G:$G, (MATCH(940, 輔助計算!$G$2:$G$801, 0)+1))&lt;=1181,2,1)))), "")&amp;IF(AND(IF(INT(INDEX(輔助計算!$D:$D, (MATCH(940, 輔助計算!$G$2:$G$801, 0)+1))/IF(INDEX(ERP資料!$G:$G, (MATCH(940, 輔助計算!$G$2:$G$801, 0)+1))&lt;100, IF(INDEX(ERP資料!$G:$G, (MATCH(940, 輔助計算!$G$2:$G$801, 0)+1))&lt;=31,3,IF(INDEX(ERP資料!$G:$G, (MATCH(940, 輔助計算!$G$2:$G$801, 0)+1))&lt;=46.5,2,1)), IF(INDEX(ERP資料!$G:$G, (MATCH(940, 輔助計算!$G$2:$G$801, 0)+1))&lt;=790,3,IF(INDEX(ERP資料!$G:$G, (MATCH(940, 輔助計算!$G$2:$G$801, 0)+1))&lt;=1181,2,1))))&gt;0, IF(IF(INDEX(ERP資料!$G:$G, (MATCH(940, 輔助計算!$G$2:$G$801, 0)+1))&lt;100, IF(INDEX(ERP資料!$G:$G, (MATCH(940, 輔助計算!$G$2:$G$801, 0)+1))&lt;=31,3,IF(INDEX(ERP資料!$G:$G, (MATCH(940, 輔助計算!$G$2:$G$801, 0)+1))&lt;=46.5,2,1)), IF(INDEX(ERP資料!$G:$G, (MATCH(940, 輔助計算!$G$2:$G$801, 0)+1))&lt;=790,3,IF(INDEX(ERP資料!$G:$G, (MATCH(940, 輔助計算!$G$2:$G$801, 0)+1))&lt;=1181,2,1)))=1,TEXT(INDEX(ERP資料!$G:$G, (MATCH(940, 輔助計算!$G$2:$G$801, 0)+1)),"0.##"),IF(IF(INDEX(ERP資料!$G:$G, (MATCH(940, 輔助計算!$G$2:$G$801, 0)+1))&lt;100, IF(INDEX(ERP資料!$G:$G, (MATCH(940, 輔助計算!$G$2:$G$801, 0)+1))&lt;=31,3,IF(INDEX(ERP資料!$G:$G, (MATCH(940, 輔助計算!$G$2:$G$801, 0)+1))&lt;=46.5,2,1)), IF(INDEX(ERP資料!$G:$G, (MATCH(940, 輔助計算!$G$2:$G$801, 0)+1))&lt;=790,3,IF(INDEX(ERP資料!$G:$G, (MATCH(940, 輔助計算!$G$2:$G$801, 0)+1))&lt;=1181,2,1)))=2,TEXT(INDEX(ERP資料!$G:$G, (MATCH(940, 輔助計算!$G$2:$G$801, 0)+1)),"0.##")&amp;"+"&amp;TEXT(INDEX(ERP資料!$G:$G, (MATCH(940, 輔助計算!$G$2:$G$801, 0)+1)),"0.##"),TEXT(INDEX(ERP資料!$G:$G, (MATCH(940, 輔助計算!$G$2:$G$801, 0)+1)),"0.##")&amp;"+"&amp;TEXT(INDEX(ERP資料!$G:$G, (MATCH(940, 輔助計算!$G$2:$G$801, 0)+1)),"0.##")&amp;"+"&amp;TEXT(INDEX(ERP資料!$G:$G, (MATCH(940, 輔助計算!$G$2:$G$801, 0)+1)),"0.##")))&amp;"-"&amp;INT(INDEX(輔助計算!$D:$D, (MATCH(940, 輔助計算!$G$2:$G$801, 0)+1))/IF(INDEX(ERP資料!$G:$G, (MATCH(940, 輔助計算!$G$2:$G$801, 0)+1))&lt;100, IF(INDEX(ERP資料!$G:$G, (MATCH(940, 輔助計算!$G$2:$G$801, 0)+1))&lt;=31,3,IF(INDEX(ERP資料!$G:$G, (MATCH(940, 輔助計算!$G$2:$G$801, 0)+1))&lt;=46.5,2,1)), IF(INDEX(ERP資料!$G:$G, (MATCH(940, 輔助計算!$G$2:$G$801, 0)+1))&lt;=790,3,IF(INDEX(ERP資料!$G:$G, (MATCH(940, 輔助計算!$G$2:$G$801, 0)+1))&lt;=1181,2,1)))), "")&lt;&gt;"",IF(MOD(INDEX(輔助計算!$D:$D, (MATCH(940, 輔助計算!$G$2:$G$801, 0)+1)),IF(INDEX(ERP資料!$G:$G, (MATCH(940, 輔助計算!$G$2:$G$801, 0)+1))&lt;100, IF(INDEX(ERP資料!$G:$G, (MATCH(940, 輔助計算!$G$2:$G$801, 0)+1))&lt;=31,3,IF(INDEX(ERP資料!$G:$G, (MATCH(940, 輔助計算!$G$2:$G$801, 0)+1))&lt;=46.5,2,1)), IF(INDEX(ERP資料!$G:$G, (MATCH(940, 輔助計算!$G$2:$G$801, 0)+1))&lt;=790,3,IF(INDEX(ERP資料!$G:$G, (MATCH(940, 輔助計算!$G$2:$G$801, 0)+1))&lt;=1181,2,1))))=0,"",IF(MOD(INDEX(輔助計算!$D:$D, (MATCH(940, 輔助計算!$G$2:$G$801, 0)+1)),IF(INDEX(ERP資料!$G:$G, (MATCH(940, 輔助計算!$G$2:$G$801, 0)+1))&lt;100, IF(INDEX(ERP資料!$G:$G, (MATCH(940, 輔助計算!$G$2:$G$801, 0)+1))&lt;=31,3,IF(INDEX(ERP資料!$G:$G, (MATCH(940, 輔助計算!$G$2:$G$801, 0)+1))&lt;=46.5,2,1)), IF(INDEX(ERP資料!$G:$G, (MATCH(940, 輔助計算!$G$2:$G$801, 0)+1))&lt;=790,3,IF(INDEX(ERP資料!$G:$G, (MATCH(940, 輔助計算!$G$2:$G$801, 0)+1))&lt;=1181,2,1))))=0,"",IF(MOD(INDEX(輔助計算!$D:$D, (MATCH(940, 輔助計算!$G$2:$G$801, 0)+1)),IF(INDEX(ERP資料!$G:$G, (MATCH(940, 輔助計算!$G$2:$G$801, 0)+1))&lt;100, IF(INDEX(ERP資料!$G:$G, (MATCH(940, 輔助計算!$G$2:$G$801, 0)+1))&lt;=31,3,IF(INDEX(ERP資料!$G:$G, (MATCH(940, 輔助計算!$G$2:$G$801, 0)+1))&lt;=46.5,2,1)), IF(INDEX(ERP資料!$G:$G, (MATCH(940, 輔助計算!$G$2:$G$801, 0)+1))&lt;=790,3,IF(INDEX(ERP資料!$G:$G, (MATCH(940, 輔助計算!$G$2:$G$801, 0)+1))&lt;=1181,2,1))))=1,TEXT(INDEX(ERP資料!$G:$G, (MATCH(940, 輔助計算!$G$2:$G$801, 0)+1)),"0.##"),IF(MOD(INDEX(輔助計算!$D:$D, (MATCH(940, 輔助計算!$G$2:$G$801, 0)+1)),IF(INDEX(ERP資料!$G:$G, (MATCH(940, 輔助計算!$G$2:$G$801, 0)+1))&lt;100, IF(INDEX(ERP資料!$G:$G, (MATCH(940, 輔助計算!$G$2:$G$801, 0)+1))&lt;=31,3,IF(INDEX(ERP資料!$G:$G, (MATCH(940, 輔助計算!$G$2:$G$801, 0)+1))&lt;=46.5,2,1)), IF(INDEX(ERP資料!$G:$G, (MATCH(940, 輔助計算!$G$2:$G$801, 0)+1))&lt;=790,3,IF(INDEX(ERP資料!$G:$G, (MATCH(940, 輔助計算!$G$2:$G$801, 0)+1))&lt;=1181,2,1))))=2,TEXT(INDEX(ERP資料!$G:$G, (MATCH(940, 輔助計算!$G$2:$G$801, 0)+1)),"0.##")&amp;"+"&amp;TEXT(INDEX(ERP資料!$G:$G, (MATCH(940, 輔助計算!$G$2:$G$801, 0)+1)),"0.##"),TEXT(INDEX(ERP資料!$G:$G, (MATCH(940, 輔助計算!$G$2:$G$801, 0)+1)),"0.##")&amp;"+"&amp;TEXT(INDEX(ERP資料!$G:$G, (MATCH(940, 輔助計算!$G$2:$G$801, 0)+1)),"0.##")&amp;"+"&amp;TEXT(INDEX(ERP資料!$G:$G, (MATCH(940, 輔助計算!$G$2:$G$801, 0)+1)),"0.##"))))&amp;"-1")&lt;&gt;""),"  ","")&amp;IF(MOD(INDEX(輔助計算!$D:$D, (MATCH(940, 輔助計算!$G$2:$G$801, 0)+1)),IF(INDEX(ERP資料!$G:$G, (MATCH(940, 輔助計算!$G$2:$G$801, 0)+1))&lt;100, IF(INDEX(ERP資料!$G:$G, (MATCH(940, 輔助計算!$G$2:$G$801, 0)+1))&lt;=31,3,IF(INDEX(ERP資料!$G:$G, (MATCH(940, 輔助計算!$G$2:$G$801, 0)+1))&lt;=46.5,2,1)), IF(INDEX(ERP資料!$G:$G, (MATCH(940, 輔助計算!$G$2:$G$801, 0)+1))&lt;=790,3,IF(INDEX(ERP資料!$G:$G, (MATCH(940, 輔助計算!$G$2:$G$801, 0)+1))&lt;=1181,2,1))))=0,"",IF(MOD(INDEX(輔助計算!$D:$D, (MATCH(940, 輔助計算!$G$2:$G$801, 0)+1)),IF(INDEX(ERP資料!$G:$G, (MATCH(940, 輔助計算!$G$2:$G$801, 0)+1))&lt;100, IF(INDEX(ERP資料!$G:$G, (MATCH(940, 輔助計算!$G$2:$G$801, 0)+1))&lt;=31,3,IF(INDEX(ERP資料!$G:$G, (MATCH(940, 輔助計算!$G$2:$G$801, 0)+1))&lt;=46.5,2,1)), IF(INDEX(ERP資料!$G:$G, (MATCH(940, 輔助計算!$G$2:$G$801, 0)+1))&lt;=790,3,IF(INDEX(ERP資料!$G:$G, (MATCH(940, 輔助計算!$G$2:$G$801, 0)+1))&lt;=1181,2,1))))=0,"",IF(MOD(INDEX(輔助計算!$D:$D, (MATCH(940, 輔助計算!$G$2:$G$801, 0)+1)),IF(INDEX(ERP資料!$G:$G, (MATCH(940, 輔助計算!$G$2:$G$801, 0)+1))&lt;100, IF(INDEX(ERP資料!$G:$G, (MATCH(940, 輔助計算!$G$2:$G$801, 0)+1))&lt;=31,3,IF(INDEX(ERP資料!$G:$G, (MATCH(940, 輔助計算!$G$2:$G$801, 0)+1))&lt;=46.5,2,1)), IF(INDEX(ERP資料!$G:$G, (MATCH(940, 輔助計算!$G$2:$G$801, 0)+1))&lt;=790,3,IF(INDEX(ERP資料!$G:$G, (MATCH(940, 輔助計算!$G$2:$G$801, 0)+1))&lt;=1181,2,1))))=1,TEXT(INDEX(ERP資料!$G:$G, (MATCH(940, 輔助計算!$G$2:$G$801, 0)+1)),"0.##"),IF(MOD(INDEX(輔助計算!$D:$D, (MATCH(940, 輔助計算!$G$2:$G$801, 0)+1)),IF(INDEX(ERP資料!$G:$G, (MATCH(940, 輔助計算!$G$2:$G$801, 0)+1))&lt;100, IF(INDEX(ERP資料!$G:$G, (MATCH(940, 輔助計算!$G$2:$G$801, 0)+1))&lt;=31,3,IF(INDEX(ERP資料!$G:$G, (MATCH(940, 輔助計算!$G$2:$G$801, 0)+1))&lt;=46.5,2,1)), IF(INDEX(ERP資料!$G:$G, (MATCH(940, 輔助計算!$G$2:$G$801, 0)+1))&lt;=790,3,IF(INDEX(ERP資料!$G:$G, (MATCH(940, 輔助計算!$G$2:$G$801, 0)+1))&lt;=1181,2,1))))=2,TEXT(INDEX(ERP資料!$G:$G, (MATCH(940, 輔助計算!$G$2:$G$801, 0)+1)),"0.##")&amp;"+"&amp;TEXT(INDEX(ERP資料!$G:$G, (MATCH(940, 輔助計算!$G$2:$G$801, 0)+1)),"0.##"),TEXT(INDEX(ERP資料!$G:$G, (MATCH(940, 輔助計算!$G$2:$G$801, 0)+1)),"0.##")&amp;"+"&amp;TEXT(INDEX(ERP資料!$G:$G, (MATCH(940, 輔助計算!$G$2:$G$801, 0)+1)),"0.##")&amp;"+"&amp;TEXT(INDEX(ERP資料!$G:$G, (MATCH(940, 輔助計算!$G$2:$G$801, 0)+1)),"0.##"))))&amp;"-1")), ""), "")</f>
        <v/>
      </c>
      <c r="K941" s="16" t="n"/>
      <c r="L941" s="14">
        <f>IFERROR(IF(AND(IFERROR(INDEX(ERP資料!$A:$A, (MATCH(940, 輔助計算!$G$2:$G$801, 0)+1)), "")&lt;&gt;"", IFERROR(INDEX(ERP資料!$A:$A, (MATCH(940, 輔助計算!$G$2:$G$801, 0)+1)), "")&lt;&gt;IFERROR(INDEX(ERP資料!$A:$A, MATCH(939, 輔助計算!$G$2:$G$801, 0)+1), "")), INDEX(ERP資料!$B:$B, (MATCH(940, 輔助計算!$G$2:$G$801, 0)+1)), ""), "")</f>
        <v/>
      </c>
      <c r="M941" s="17" t="n"/>
    </row>
    <row r="942">
      <c r="A942" s="10">
        <f>IFERROR(IF(AND(IFERROR(INDEX(ERP資料!$A:$A, (MATCH(941, 輔助計算!$G$2:$G$801, 0)+1)), "")&lt;&gt;"", IFERROR(INDEX(ERP資料!$A:$A, (MATCH(941, 輔助計算!$G$2:$G$801, 0)+1)), "")&lt;&gt;IFERROR(INDEX(ERP資料!$A:$A, MATCH(940, 輔助計算!$G$2:$G$801, 0)+1), "")), IFERROR(INDEX(ERP資料!$A:$A, (MATCH(941, 輔助計算!$G$2:$G$801, 0)+1)), ""), ""), "")</f>
        <v/>
      </c>
      <c r="B942" s="10">
        <f>IFERROR(IF(AND(IFERROR(INDEX(ERP資料!$A:$A, (MATCH(941, 輔助計算!$G$2:$G$801, 0)+1)), "")&lt;&gt;"", IFERROR(INDEX(ERP資料!$A:$A, (MATCH(941, 輔助計算!$G$2:$G$801, 0)+1)), "")&lt;&gt;IFERROR(INDEX(ERP資料!$A:$A, MATCH(940, 輔助計算!$G$2:$G$801, 0)+1), "")), INDEX(ERP資料!$S:$S, (MATCH(941, 輔助計算!$G$2:$G$801, 0)+1)), ""), "")</f>
        <v/>
      </c>
      <c r="C942" s="19">
        <f>IFERROR(IF(AND(IFERROR(INDEX(ERP資料!$A:$A, (MATCH(941, 輔助計算!$G$2:$G$801, 0)+1)), "")&lt;&gt;"", IFERROR(INDEX(ERP資料!$A:$A, (MATCH(941, 輔助計算!$G$2:$G$801, 0)+1)), "")&lt;&gt;IFERROR(INDEX(ERP資料!$A:$A, MATCH(940, 輔助計算!$G$2:$G$801, 0)+1), "")), IFERROR(VLOOKUP(LEFT(INDEX(ERP資料!$S:$S, (MATCH(941, 輔助計算!$G$2:$G$801, 0)+1)), 4), 紙管對照表!$A:$C, 3, FALSE), ""), ""), "")</f>
        <v/>
      </c>
      <c r="D942" s="16" t="n"/>
      <c r="E942" s="10">
        <f>IFERROR(IF(INDEX(ERP資料!$H:$H, (MATCH(941, 輔助計算!$G$2:$G$801, 0)+1))="","",INDEX(ERP資料!$H:$H, (MATCH(941, 輔助計算!$G$2:$G$801, 0)+1))), "")</f>
        <v/>
      </c>
      <c r="F942" s="10">
        <f>IFERROR(IF(INDEX(ERP資料!$E:$E, (MATCH(941, 輔助計算!$G$2:$G$801, 0)+1))="","",TRIM(INDEX(ERP資料!$E:$E, (MATCH(941, 輔助計算!$G$2:$G$801, 0)+1)))), "")</f>
        <v/>
      </c>
      <c r="G942" s="10">
        <f>IFERROR(IF(INDEX(ERP資料!$F:$F, (MATCH(941, 輔助計算!$G$2:$G$801, 0)+1))="","",INDEX(ERP資料!$F:$F, (MATCH(941, 輔助計算!$G$2:$G$801, 0)+1))), "")</f>
        <v/>
      </c>
      <c r="H942" s="10">
        <f>IFERROR(IF(INDEX(ERP資料!$G:$G, (MATCH(941, 輔助計算!$G$2:$G$801, 0)+1))="","",INDEX(ERP資料!$G:$G, (MATCH(941, 輔助計算!$G$2:$G$801, 0)+1))), "")</f>
        <v/>
      </c>
      <c r="I942" s="15">
        <f>IFERROR(INDEX(輔助計算!$D:$D, (MATCH(941, 輔助計算!$G$2:$G$801, 0)+1)), "")</f>
        <v/>
      </c>
      <c r="J942" s="15">
        <f>IFERROR(IF(AND(INDEX(輔助計算!$D:$D, (MATCH(941, 輔助計算!$G$2:$G$801, 0)+1))&lt;&gt;"", INDEX(ERP資料!$G:$G, (MATCH(941, 輔助計算!$G$2:$G$801, 0)+1))&lt;&gt;""), TRIM(IF(INT(INDEX(輔助計算!$D:$D, (MATCH(941, 輔助計算!$G$2:$G$801, 0)+1))/IF(INDEX(ERP資料!$G:$G, (MATCH(941, 輔助計算!$G$2:$G$801, 0)+1))&lt;100, IF(INDEX(ERP資料!$G:$G, (MATCH(941, 輔助計算!$G$2:$G$801, 0)+1))&lt;=31,3,IF(INDEX(ERP資料!$G:$G, (MATCH(941, 輔助計算!$G$2:$G$801, 0)+1))&lt;=46.5,2,1)), IF(INDEX(ERP資料!$G:$G, (MATCH(941, 輔助計算!$G$2:$G$801, 0)+1))&lt;=790,3,IF(INDEX(ERP資料!$G:$G, (MATCH(941, 輔助計算!$G$2:$G$801, 0)+1))&lt;=1181,2,1))))&gt;0, IF(IF(INDEX(ERP資料!$G:$G, (MATCH(941, 輔助計算!$G$2:$G$801, 0)+1))&lt;100, IF(INDEX(ERP資料!$G:$G, (MATCH(941, 輔助計算!$G$2:$G$801, 0)+1))&lt;=31,3,IF(INDEX(ERP資料!$G:$G, (MATCH(941, 輔助計算!$G$2:$G$801, 0)+1))&lt;=46.5,2,1)), IF(INDEX(ERP資料!$G:$G, (MATCH(941, 輔助計算!$G$2:$G$801, 0)+1))&lt;=790,3,IF(INDEX(ERP資料!$G:$G, (MATCH(941, 輔助計算!$G$2:$G$801, 0)+1))&lt;=1181,2,1)))=1,TEXT(INDEX(ERP資料!$G:$G, (MATCH(941, 輔助計算!$G$2:$G$801, 0)+1)),"0.##"),IF(IF(INDEX(ERP資料!$G:$G, (MATCH(941, 輔助計算!$G$2:$G$801, 0)+1))&lt;100, IF(INDEX(ERP資料!$G:$G, (MATCH(941, 輔助計算!$G$2:$G$801, 0)+1))&lt;=31,3,IF(INDEX(ERP資料!$G:$G, (MATCH(941, 輔助計算!$G$2:$G$801, 0)+1))&lt;=46.5,2,1)), IF(INDEX(ERP資料!$G:$G, (MATCH(941, 輔助計算!$G$2:$G$801, 0)+1))&lt;=790,3,IF(INDEX(ERP資料!$G:$G, (MATCH(941, 輔助計算!$G$2:$G$801, 0)+1))&lt;=1181,2,1)))=2,TEXT(INDEX(ERP資料!$G:$G, (MATCH(941, 輔助計算!$G$2:$G$801, 0)+1)),"0.##")&amp;"+"&amp;TEXT(INDEX(ERP資料!$G:$G, (MATCH(941, 輔助計算!$G$2:$G$801, 0)+1)),"0.##"),TEXT(INDEX(ERP資料!$G:$G, (MATCH(941, 輔助計算!$G$2:$G$801, 0)+1)),"0.##")&amp;"+"&amp;TEXT(INDEX(ERP資料!$G:$G, (MATCH(941, 輔助計算!$G$2:$G$801, 0)+1)),"0.##")&amp;"+"&amp;TEXT(INDEX(ERP資料!$G:$G, (MATCH(941, 輔助計算!$G$2:$G$801, 0)+1)),"0.##")))&amp;"-"&amp;INT(INDEX(輔助計算!$D:$D, (MATCH(941, 輔助計算!$G$2:$G$801, 0)+1))/IF(INDEX(ERP資料!$G:$G, (MATCH(941, 輔助計算!$G$2:$G$801, 0)+1))&lt;100, IF(INDEX(ERP資料!$G:$G, (MATCH(941, 輔助計算!$G$2:$G$801, 0)+1))&lt;=31,3,IF(INDEX(ERP資料!$G:$G, (MATCH(941, 輔助計算!$G$2:$G$801, 0)+1))&lt;=46.5,2,1)), IF(INDEX(ERP資料!$G:$G, (MATCH(941, 輔助計算!$G$2:$G$801, 0)+1))&lt;=790,3,IF(INDEX(ERP資料!$G:$G, (MATCH(941, 輔助計算!$G$2:$G$801, 0)+1))&lt;=1181,2,1)))), "")&amp;IF(AND(IF(INT(INDEX(輔助計算!$D:$D, (MATCH(941, 輔助計算!$G$2:$G$801, 0)+1))/IF(INDEX(ERP資料!$G:$G, (MATCH(941, 輔助計算!$G$2:$G$801, 0)+1))&lt;100, IF(INDEX(ERP資料!$G:$G, (MATCH(941, 輔助計算!$G$2:$G$801, 0)+1))&lt;=31,3,IF(INDEX(ERP資料!$G:$G, (MATCH(941, 輔助計算!$G$2:$G$801, 0)+1))&lt;=46.5,2,1)), IF(INDEX(ERP資料!$G:$G, (MATCH(941, 輔助計算!$G$2:$G$801, 0)+1))&lt;=790,3,IF(INDEX(ERP資料!$G:$G, (MATCH(941, 輔助計算!$G$2:$G$801, 0)+1))&lt;=1181,2,1))))&gt;0, IF(IF(INDEX(ERP資料!$G:$G, (MATCH(941, 輔助計算!$G$2:$G$801, 0)+1))&lt;100, IF(INDEX(ERP資料!$G:$G, (MATCH(941, 輔助計算!$G$2:$G$801, 0)+1))&lt;=31,3,IF(INDEX(ERP資料!$G:$G, (MATCH(941, 輔助計算!$G$2:$G$801, 0)+1))&lt;=46.5,2,1)), IF(INDEX(ERP資料!$G:$G, (MATCH(941, 輔助計算!$G$2:$G$801, 0)+1))&lt;=790,3,IF(INDEX(ERP資料!$G:$G, (MATCH(941, 輔助計算!$G$2:$G$801, 0)+1))&lt;=1181,2,1)))=1,TEXT(INDEX(ERP資料!$G:$G, (MATCH(941, 輔助計算!$G$2:$G$801, 0)+1)),"0.##"),IF(IF(INDEX(ERP資料!$G:$G, (MATCH(941, 輔助計算!$G$2:$G$801, 0)+1))&lt;100, IF(INDEX(ERP資料!$G:$G, (MATCH(941, 輔助計算!$G$2:$G$801, 0)+1))&lt;=31,3,IF(INDEX(ERP資料!$G:$G, (MATCH(941, 輔助計算!$G$2:$G$801, 0)+1))&lt;=46.5,2,1)), IF(INDEX(ERP資料!$G:$G, (MATCH(941, 輔助計算!$G$2:$G$801, 0)+1))&lt;=790,3,IF(INDEX(ERP資料!$G:$G, (MATCH(941, 輔助計算!$G$2:$G$801, 0)+1))&lt;=1181,2,1)))=2,TEXT(INDEX(ERP資料!$G:$G, (MATCH(941, 輔助計算!$G$2:$G$801, 0)+1)),"0.##")&amp;"+"&amp;TEXT(INDEX(ERP資料!$G:$G, (MATCH(941, 輔助計算!$G$2:$G$801, 0)+1)),"0.##"),TEXT(INDEX(ERP資料!$G:$G, (MATCH(941, 輔助計算!$G$2:$G$801, 0)+1)),"0.##")&amp;"+"&amp;TEXT(INDEX(ERP資料!$G:$G, (MATCH(941, 輔助計算!$G$2:$G$801, 0)+1)),"0.##")&amp;"+"&amp;TEXT(INDEX(ERP資料!$G:$G, (MATCH(941, 輔助計算!$G$2:$G$801, 0)+1)),"0.##")))&amp;"-"&amp;INT(INDEX(輔助計算!$D:$D, (MATCH(941, 輔助計算!$G$2:$G$801, 0)+1))/IF(INDEX(ERP資料!$G:$G, (MATCH(941, 輔助計算!$G$2:$G$801, 0)+1))&lt;100, IF(INDEX(ERP資料!$G:$G, (MATCH(941, 輔助計算!$G$2:$G$801, 0)+1))&lt;=31,3,IF(INDEX(ERP資料!$G:$G, (MATCH(941, 輔助計算!$G$2:$G$801, 0)+1))&lt;=46.5,2,1)), IF(INDEX(ERP資料!$G:$G, (MATCH(941, 輔助計算!$G$2:$G$801, 0)+1))&lt;=790,3,IF(INDEX(ERP資料!$G:$G, (MATCH(941, 輔助計算!$G$2:$G$801, 0)+1))&lt;=1181,2,1)))), "")&lt;&gt;"",IF(MOD(INDEX(輔助計算!$D:$D, (MATCH(941, 輔助計算!$G$2:$G$801, 0)+1)),IF(INDEX(ERP資料!$G:$G, (MATCH(941, 輔助計算!$G$2:$G$801, 0)+1))&lt;100, IF(INDEX(ERP資料!$G:$G, (MATCH(941, 輔助計算!$G$2:$G$801, 0)+1))&lt;=31,3,IF(INDEX(ERP資料!$G:$G, (MATCH(941, 輔助計算!$G$2:$G$801, 0)+1))&lt;=46.5,2,1)), IF(INDEX(ERP資料!$G:$G, (MATCH(941, 輔助計算!$G$2:$G$801, 0)+1))&lt;=790,3,IF(INDEX(ERP資料!$G:$G, (MATCH(941, 輔助計算!$G$2:$G$801, 0)+1))&lt;=1181,2,1))))=0,"",IF(MOD(INDEX(輔助計算!$D:$D, (MATCH(941, 輔助計算!$G$2:$G$801, 0)+1)),IF(INDEX(ERP資料!$G:$G, (MATCH(941, 輔助計算!$G$2:$G$801, 0)+1))&lt;100, IF(INDEX(ERP資料!$G:$G, (MATCH(941, 輔助計算!$G$2:$G$801, 0)+1))&lt;=31,3,IF(INDEX(ERP資料!$G:$G, (MATCH(941, 輔助計算!$G$2:$G$801, 0)+1))&lt;=46.5,2,1)), IF(INDEX(ERP資料!$G:$G, (MATCH(941, 輔助計算!$G$2:$G$801, 0)+1))&lt;=790,3,IF(INDEX(ERP資料!$G:$G, (MATCH(941, 輔助計算!$G$2:$G$801, 0)+1))&lt;=1181,2,1))))=0,"",IF(MOD(INDEX(輔助計算!$D:$D, (MATCH(941, 輔助計算!$G$2:$G$801, 0)+1)),IF(INDEX(ERP資料!$G:$G, (MATCH(941, 輔助計算!$G$2:$G$801, 0)+1))&lt;100, IF(INDEX(ERP資料!$G:$G, (MATCH(941, 輔助計算!$G$2:$G$801, 0)+1))&lt;=31,3,IF(INDEX(ERP資料!$G:$G, (MATCH(941, 輔助計算!$G$2:$G$801, 0)+1))&lt;=46.5,2,1)), IF(INDEX(ERP資料!$G:$G, (MATCH(941, 輔助計算!$G$2:$G$801, 0)+1))&lt;=790,3,IF(INDEX(ERP資料!$G:$G, (MATCH(941, 輔助計算!$G$2:$G$801, 0)+1))&lt;=1181,2,1))))=1,TEXT(INDEX(ERP資料!$G:$G, (MATCH(941, 輔助計算!$G$2:$G$801, 0)+1)),"0.##"),IF(MOD(INDEX(輔助計算!$D:$D, (MATCH(941, 輔助計算!$G$2:$G$801, 0)+1)),IF(INDEX(ERP資料!$G:$G, (MATCH(941, 輔助計算!$G$2:$G$801, 0)+1))&lt;100, IF(INDEX(ERP資料!$G:$G, (MATCH(941, 輔助計算!$G$2:$G$801, 0)+1))&lt;=31,3,IF(INDEX(ERP資料!$G:$G, (MATCH(941, 輔助計算!$G$2:$G$801, 0)+1))&lt;=46.5,2,1)), IF(INDEX(ERP資料!$G:$G, (MATCH(941, 輔助計算!$G$2:$G$801, 0)+1))&lt;=790,3,IF(INDEX(ERP資料!$G:$G, (MATCH(941, 輔助計算!$G$2:$G$801, 0)+1))&lt;=1181,2,1))))=2,TEXT(INDEX(ERP資料!$G:$G, (MATCH(941, 輔助計算!$G$2:$G$801, 0)+1)),"0.##")&amp;"+"&amp;TEXT(INDEX(ERP資料!$G:$G, (MATCH(941, 輔助計算!$G$2:$G$801, 0)+1)),"0.##"),TEXT(INDEX(ERP資料!$G:$G, (MATCH(941, 輔助計算!$G$2:$G$801, 0)+1)),"0.##")&amp;"+"&amp;TEXT(INDEX(ERP資料!$G:$G, (MATCH(941, 輔助計算!$G$2:$G$801, 0)+1)),"0.##")&amp;"+"&amp;TEXT(INDEX(ERP資料!$G:$G, (MATCH(941, 輔助計算!$G$2:$G$801, 0)+1)),"0.##"))))&amp;"-1")&lt;&gt;""),"  ","")&amp;IF(MOD(INDEX(輔助計算!$D:$D, (MATCH(941, 輔助計算!$G$2:$G$801, 0)+1)),IF(INDEX(ERP資料!$G:$G, (MATCH(941, 輔助計算!$G$2:$G$801, 0)+1))&lt;100, IF(INDEX(ERP資料!$G:$G, (MATCH(941, 輔助計算!$G$2:$G$801, 0)+1))&lt;=31,3,IF(INDEX(ERP資料!$G:$G, (MATCH(941, 輔助計算!$G$2:$G$801, 0)+1))&lt;=46.5,2,1)), IF(INDEX(ERP資料!$G:$G, (MATCH(941, 輔助計算!$G$2:$G$801, 0)+1))&lt;=790,3,IF(INDEX(ERP資料!$G:$G, (MATCH(941, 輔助計算!$G$2:$G$801, 0)+1))&lt;=1181,2,1))))=0,"",IF(MOD(INDEX(輔助計算!$D:$D, (MATCH(941, 輔助計算!$G$2:$G$801, 0)+1)),IF(INDEX(ERP資料!$G:$G, (MATCH(941, 輔助計算!$G$2:$G$801, 0)+1))&lt;100, IF(INDEX(ERP資料!$G:$G, (MATCH(941, 輔助計算!$G$2:$G$801, 0)+1))&lt;=31,3,IF(INDEX(ERP資料!$G:$G, (MATCH(941, 輔助計算!$G$2:$G$801, 0)+1))&lt;=46.5,2,1)), IF(INDEX(ERP資料!$G:$G, (MATCH(941, 輔助計算!$G$2:$G$801, 0)+1))&lt;=790,3,IF(INDEX(ERP資料!$G:$G, (MATCH(941, 輔助計算!$G$2:$G$801, 0)+1))&lt;=1181,2,1))))=0,"",IF(MOD(INDEX(輔助計算!$D:$D, (MATCH(941, 輔助計算!$G$2:$G$801, 0)+1)),IF(INDEX(ERP資料!$G:$G, (MATCH(941, 輔助計算!$G$2:$G$801, 0)+1))&lt;100, IF(INDEX(ERP資料!$G:$G, (MATCH(941, 輔助計算!$G$2:$G$801, 0)+1))&lt;=31,3,IF(INDEX(ERP資料!$G:$G, (MATCH(941, 輔助計算!$G$2:$G$801, 0)+1))&lt;=46.5,2,1)), IF(INDEX(ERP資料!$G:$G, (MATCH(941, 輔助計算!$G$2:$G$801, 0)+1))&lt;=790,3,IF(INDEX(ERP資料!$G:$G, (MATCH(941, 輔助計算!$G$2:$G$801, 0)+1))&lt;=1181,2,1))))=1,TEXT(INDEX(ERP資料!$G:$G, (MATCH(941, 輔助計算!$G$2:$G$801, 0)+1)),"0.##"),IF(MOD(INDEX(輔助計算!$D:$D, (MATCH(941, 輔助計算!$G$2:$G$801, 0)+1)),IF(INDEX(ERP資料!$G:$G, (MATCH(941, 輔助計算!$G$2:$G$801, 0)+1))&lt;100, IF(INDEX(ERP資料!$G:$G, (MATCH(941, 輔助計算!$G$2:$G$801, 0)+1))&lt;=31,3,IF(INDEX(ERP資料!$G:$G, (MATCH(941, 輔助計算!$G$2:$G$801, 0)+1))&lt;=46.5,2,1)), IF(INDEX(ERP資料!$G:$G, (MATCH(941, 輔助計算!$G$2:$G$801, 0)+1))&lt;=790,3,IF(INDEX(ERP資料!$G:$G, (MATCH(941, 輔助計算!$G$2:$G$801, 0)+1))&lt;=1181,2,1))))=2,TEXT(INDEX(ERP資料!$G:$G, (MATCH(941, 輔助計算!$G$2:$G$801, 0)+1)),"0.##")&amp;"+"&amp;TEXT(INDEX(ERP資料!$G:$G, (MATCH(941, 輔助計算!$G$2:$G$801, 0)+1)),"0.##"),TEXT(INDEX(ERP資料!$G:$G, (MATCH(941, 輔助計算!$G$2:$G$801, 0)+1)),"0.##")&amp;"+"&amp;TEXT(INDEX(ERP資料!$G:$G, (MATCH(941, 輔助計算!$G$2:$G$801, 0)+1)),"0.##")&amp;"+"&amp;TEXT(INDEX(ERP資料!$G:$G, (MATCH(941, 輔助計算!$G$2:$G$801, 0)+1)),"0.##"))))&amp;"-1")), ""), "")</f>
        <v/>
      </c>
      <c r="K942" s="16" t="n"/>
      <c r="L942" s="14">
        <f>IFERROR(IF(AND(IFERROR(INDEX(ERP資料!$A:$A, (MATCH(941, 輔助計算!$G$2:$G$801, 0)+1)), "")&lt;&gt;"", IFERROR(INDEX(ERP資料!$A:$A, (MATCH(941, 輔助計算!$G$2:$G$801, 0)+1)), "")&lt;&gt;IFERROR(INDEX(ERP資料!$A:$A, MATCH(940, 輔助計算!$G$2:$G$801, 0)+1), "")), INDEX(ERP資料!$B:$B, (MATCH(941, 輔助計算!$G$2:$G$801, 0)+1)), ""), "")</f>
        <v/>
      </c>
      <c r="M942" s="17" t="n"/>
    </row>
    <row r="943">
      <c r="A943" s="10">
        <f>IFERROR(IF(AND(IFERROR(INDEX(ERP資料!$A:$A, (MATCH(942, 輔助計算!$G$2:$G$801, 0)+1)), "")&lt;&gt;"", IFERROR(INDEX(ERP資料!$A:$A, (MATCH(942, 輔助計算!$G$2:$G$801, 0)+1)), "")&lt;&gt;IFERROR(INDEX(ERP資料!$A:$A, MATCH(941, 輔助計算!$G$2:$G$801, 0)+1), "")), IFERROR(INDEX(ERP資料!$A:$A, (MATCH(942, 輔助計算!$G$2:$G$801, 0)+1)), ""), ""), "")</f>
        <v/>
      </c>
      <c r="B943" s="10">
        <f>IFERROR(IF(AND(IFERROR(INDEX(ERP資料!$A:$A, (MATCH(942, 輔助計算!$G$2:$G$801, 0)+1)), "")&lt;&gt;"", IFERROR(INDEX(ERP資料!$A:$A, (MATCH(942, 輔助計算!$G$2:$G$801, 0)+1)), "")&lt;&gt;IFERROR(INDEX(ERP資料!$A:$A, MATCH(941, 輔助計算!$G$2:$G$801, 0)+1), "")), INDEX(ERP資料!$S:$S, (MATCH(942, 輔助計算!$G$2:$G$801, 0)+1)), ""), "")</f>
        <v/>
      </c>
      <c r="C943" s="19">
        <f>IFERROR(IF(AND(IFERROR(INDEX(ERP資料!$A:$A, (MATCH(942, 輔助計算!$G$2:$G$801, 0)+1)), "")&lt;&gt;"", IFERROR(INDEX(ERP資料!$A:$A, (MATCH(942, 輔助計算!$G$2:$G$801, 0)+1)), "")&lt;&gt;IFERROR(INDEX(ERP資料!$A:$A, MATCH(941, 輔助計算!$G$2:$G$801, 0)+1), "")), IFERROR(VLOOKUP(LEFT(INDEX(ERP資料!$S:$S, (MATCH(942, 輔助計算!$G$2:$G$801, 0)+1)), 4), 紙管對照表!$A:$C, 3, FALSE), ""), ""), "")</f>
        <v/>
      </c>
      <c r="D943" s="16" t="n"/>
      <c r="E943" s="10">
        <f>IFERROR(IF(INDEX(ERP資料!$H:$H, (MATCH(942, 輔助計算!$G$2:$G$801, 0)+1))="","",INDEX(ERP資料!$H:$H, (MATCH(942, 輔助計算!$G$2:$G$801, 0)+1))), "")</f>
        <v/>
      </c>
      <c r="F943" s="10">
        <f>IFERROR(IF(INDEX(ERP資料!$E:$E, (MATCH(942, 輔助計算!$G$2:$G$801, 0)+1))="","",TRIM(INDEX(ERP資料!$E:$E, (MATCH(942, 輔助計算!$G$2:$G$801, 0)+1)))), "")</f>
        <v/>
      </c>
      <c r="G943" s="10">
        <f>IFERROR(IF(INDEX(ERP資料!$F:$F, (MATCH(942, 輔助計算!$G$2:$G$801, 0)+1))="","",INDEX(ERP資料!$F:$F, (MATCH(942, 輔助計算!$G$2:$G$801, 0)+1))), "")</f>
        <v/>
      </c>
      <c r="H943" s="10">
        <f>IFERROR(IF(INDEX(ERP資料!$G:$G, (MATCH(942, 輔助計算!$G$2:$G$801, 0)+1))="","",INDEX(ERP資料!$G:$G, (MATCH(942, 輔助計算!$G$2:$G$801, 0)+1))), "")</f>
        <v/>
      </c>
      <c r="I943" s="15">
        <f>IFERROR(INDEX(輔助計算!$D:$D, (MATCH(942, 輔助計算!$G$2:$G$801, 0)+1)), "")</f>
        <v/>
      </c>
      <c r="J943" s="15">
        <f>IFERROR(IF(AND(INDEX(輔助計算!$D:$D, (MATCH(942, 輔助計算!$G$2:$G$801, 0)+1))&lt;&gt;"", INDEX(ERP資料!$G:$G, (MATCH(942, 輔助計算!$G$2:$G$801, 0)+1))&lt;&gt;""), TRIM(IF(INT(INDEX(輔助計算!$D:$D, (MATCH(942, 輔助計算!$G$2:$G$801, 0)+1))/IF(INDEX(ERP資料!$G:$G, (MATCH(942, 輔助計算!$G$2:$G$801, 0)+1))&lt;100, IF(INDEX(ERP資料!$G:$G, (MATCH(942, 輔助計算!$G$2:$G$801, 0)+1))&lt;=31,3,IF(INDEX(ERP資料!$G:$G, (MATCH(942, 輔助計算!$G$2:$G$801, 0)+1))&lt;=46.5,2,1)), IF(INDEX(ERP資料!$G:$G, (MATCH(942, 輔助計算!$G$2:$G$801, 0)+1))&lt;=790,3,IF(INDEX(ERP資料!$G:$G, (MATCH(942, 輔助計算!$G$2:$G$801, 0)+1))&lt;=1181,2,1))))&gt;0, IF(IF(INDEX(ERP資料!$G:$G, (MATCH(942, 輔助計算!$G$2:$G$801, 0)+1))&lt;100, IF(INDEX(ERP資料!$G:$G, (MATCH(942, 輔助計算!$G$2:$G$801, 0)+1))&lt;=31,3,IF(INDEX(ERP資料!$G:$G, (MATCH(942, 輔助計算!$G$2:$G$801, 0)+1))&lt;=46.5,2,1)), IF(INDEX(ERP資料!$G:$G, (MATCH(942, 輔助計算!$G$2:$G$801, 0)+1))&lt;=790,3,IF(INDEX(ERP資料!$G:$G, (MATCH(942, 輔助計算!$G$2:$G$801, 0)+1))&lt;=1181,2,1)))=1,TEXT(INDEX(ERP資料!$G:$G, (MATCH(942, 輔助計算!$G$2:$G$801, 0)+1)),"0.##"),IF(IF(INDEX(ERP資料!$G:$G, (MATCH(942, 輔助計算!$G$2:$G$801, 0)+1))&lt;100, IF(INDEX(ERP資料!$G:$G, (MATCH(942, 輔助計算!$G$2:$G$801, 0)+1))&lt;=31,3,IF(INDEX(ERP資料!$G:$G, (MATCH(942, 輔助計算!$G$2:$G$801, 0)+1))&lt;=46.5,2,1)), IF(INDEX(ERP資料!$G:$G, (MATCH(942, 輔助計算!$G$2:$G$801, 0)+1))&lt;=790,3,IF(INDEX(ERP資料!$G:$G, (MATCH(942, 輔助計算!$G$2:$G$801, 0)+1))&lt;=1181,2,1)))=2,TEXT(INDEX(ERP資料!$G:$G, (MATCH(942, 輔助計算!$G$2:$G$801, 0)+1)),"0.##")&amp;"+"&amp;TEXT(INDEX(ERP資料!$G:$G, (MATCH(942, 輔助計算!$G$2:$G$801, 0)+1)),"0.##"),TEXT(INDEX(ERP資料!$G:$G, (MATCH(942, 輔助計算!$G$2:$G$801, 0)+1)),"0.##")&amp;"+"&amp;TEXT(INDEX(ERP資料!$G:$G, (MATCH(942, 輔助計算!$G$2:$G$801, 0)+1)),"0.##")&amp;"+"&amp;TEXT(INDEX(ERP資料!$G:$G, (MATCH(942, 輔助計算!$G$2:$G$801, 0)+1)),"0.##")))&amp;"-"&amp;INT(INDEX(輔助計算!$D:$D, (MATCH(942, 輔助計算!$G$2:$G$801, 0)+1))/IF(INDEX(ERP資料!$G:$G, (MATCH(942, 輔助計算!$G$2:$G$801, 0)+1))&lt;100, IF(INDEX(ERP資料!$G:$G, (MATCH(942, 輔助計算!$G$2:$G$801, 0)+1))&lt;=31,3,IF(INDEX(ERP資料!$G:$G, (MATCH(942, 輔助計算!$G$2:$G$801, 0)+1))&lt;=46.5,2,1)), IF(INDEX(ERP資料!$G:$G, (MATCH(942, 輔助計算!$G$2:$G$801, 0)+1))&lt;=790,3,IF(INDEX(ERP資料!$G:$G, (MATCH(942, 輔助計算!$G$2:$G$801, 0)+1))&lt;=1181,2,1)))), "")&amp;IF(AND(IF(INT(INDEX(輔助計算!$D:$D, (MATCH(942, 輔助計算!$G$2:$G$801, 0)+1))/IF(INDEX(ERP資料!$G:$G, (MATCH(942, 輔助計算!$G$2:$G$801, 0)+1))&lt;100, IF(INDEX(ERP資料!$G:$G, (MATCH(942, 輔助計算!$G$2:$G$801, 0)+1))&lt;=31,3,IF(INDEX(ERP資料!$G:$G, (MATCH(942, 輔助計算!$G$2:$G$801, 0)+1))&lt;=46.5,2,1)), IF(INDEX(ERP資料!$G:$G, (MATCH(942, 輔助計算!$G$2:$G$801, 0)+1))&lt;=790,3,IF(INDEX(ERP資料!$G:$G, (MATCH(942, 輔助計算!$G$2:$G$801, 0)+1))&lt;=1181,2,1))))&gt;0, IF(IF(INDEX(ERP資料!$G:$G, (MATCH(942, 輔助計算!$G$2:$G$801, 0)+1))&lt;100, IF(INDEX(ERP資料!$G:$G, (MATCH(942, 輔助計算!$G$2:$G$801, 0)+1))&lt;=31,3,IF(INDEX(ERP資料!$G:$G, (MATCH(942, 輔助計算!$G$2:$G$801, 0)+1))&lt;=46.5,2,1)), IF(INDEX(ERP資料!$G:$G, (MATCH(942, 輔助計算!$G$2:$G$801, 0)+1))&lt;=790,3,IF(INDEX(ERP資料!$G:$G, (MATCH(942, 輔助計算!$G$2:$G$801, 0)+1))&lt;=1181,2,1)))=1,TEXT(INDEX(ERP資料!$G:$G, (MATCH(942, 輔助計算!$G$2:$G$801, 0)+1)),"0.##"),IF(IF(INDEX(ERP資料!$G:$G, (MATCH(942, 輔助計算!$G$2:$G$801, 0)+1))&lt;100, IF(INDEX(ERP資料!$G:$G, (MATCH(942, 輔助計算!$G$2:$G$801, 0)+1))&lt;=31,3,IF(INDEX(ERP資料!$G:$G, (MATCH(942, 輔助計算!$G$2:$G$801, 0)+1))&lt;=46.5,2,1)), IF(INDEX(ERP資料!$G:$G, (MATCH(942, 輔助計算!$G$2:$G$801, 0)+1))&lt;=790,3,IF(INDEX(ERP資料!$G:$G, (MATCH(942, 輔助計算!$G$2:$G$801, 0)+1))&lt;=1181,2,1)))=2,TEXT(INDEX(ERP資料!$G:$G, (MATCH(942, 輔助計算!$G$2:$G$801, 0)+1)),"0.##")&amp;"+"&amp;TEXT(INDEX(ERP資料!$G:$G, (MATCH(942, 輔助計算!$G$2:$G$801, 0)+1)),"0.##"),TEXT(INDEX(ERP資料!$G:$G, (MATCH(942, 輔助計算!$G$2:$G$801, 0)+1)),"0.##")&amp;"+"&amp;TEXT(INDEX(ERP資料!$G:$G, (MATCH(942, 輔助計算!$G$2:$G$801, 0)+1)),"0.##")&amp;"+"&amp;TEXT(INDEX(ERP資料!$G:$G, (MATCH(942, 輔助計算!$G$2:$G$801, 0)+1)),"0.##")))&amp;"-"&amp;INT(INDEX(輔助計算!$D:$D, (MATCH(942, 輔助計算!$G$2:$G$801, 0)+1))/IF(INDEX(ERP資料!$G:$G, (MATCH(942, 輔助計算!$G$2:$G$801, 0)+1))&lt;100, IF(INDEX(ERP資料!$G:$G, (MATCH(942, 輔助計算!$G$2:$G$801, 0)+1))&lt;=31,3,IF(INDEX(ERP資料!$G:$G, (MATCH(942, 輔助計算!$G$2:$G$801, 0)+1))&lt;=46.5,2,1)), IF(INDEX(ERP資料!$G:$G, (MATCH(942, 輔助計算!$G$2:$G$801, 0)+1))&lt;=790,3,IF(INDEX(ERP資料!$G:$G, (MATCH(942, 輔助計算!$G$2:$G$801, 0)+1))&lt;=1181,2,1)))), "")&lt;&gt;"",IF(MOD(INDEX(輔助計算!$D:$D, (MATCH(942, 輔助計算!$G$2:$G$801, 0)+1)),IF(INDEX(ERP資料!$G:$G, (MATCH(942, 輔助計算!$G$2:$G$801, 0)+1))&lt;100, IF(INDEX(ERP資料!$G:$G, (MATCH(942, 輔助計算!$G$2:$G$801, 0)+1))&lt;=31,3,IF(INDEX(ERP資料!$G:$G, (MATCH(942, 輔助計算!$G$2:$G$801, 0)+1))&lt;=46.5,2,1)), IF(INDEX(ERP資料!$G:$G, (MATCH(942, 輔助計算!$G$2:$G$801, 0)+1))&lt;=790,3,IF(INDEX(ERP資料!$G:$G, (MATCH(942, 輔助計算!$G$2:$G$801, 0)+1))&lt;=1181,2,1))))=0,"",IF(MOD(INDEX(輔助計算!$D:$D, (MATCH(942, 輔助計算!$G$2:$G$801, 0)+1)),IF(INDEX(ERP資料!$G:$G, (MATCH(942, 輔助計算!$G$2:$G$801, 0)+1))&lt;100, IF(INDEX(ERP資料!$G:$G, (MATCH(942, 輔助計算!$G$2:$G$801, 0)+1))&lt;=31,3,IF(INDEX(ERP資料!$G:$G, (MATCH(942, 輔助計算!$G$2:$G$801, 0)+1))&lt;=46.5,2,1)), IF(INDEX(ERP資料!$G:$G, (MATCH(942, 輔助計算!$G$2:$G$801, 0)+1))&lt;=790,3,IF(INDEX(ERP資料!$G:$G, (MATCH(942, 輔助計算!$G$2:$G$801, 0)+1))&lt;=1181,2,1))))=0,"",IF(MOD(INDEX(輔助計算!$D:$D, (MATCH(942, 輔助計算!$G$2:$G$801, 0)+1)),IF(INDEX(ERP資料!$G:$G, (MATCH(942, 輔助計算!$G$2:$G$801, 0)+1))&lt;100, IF(INDEX(ERP資料!$G:$G, (MATCH(942, 輔助計算!$G$2:$G$801, 0)+1))&lt;=31,3,IF(INDEX(ERP資料!$G:$G, (MATCH(942, 輔助計算!$G$2:$G$801, 0)+1))&lt;=46.5,2,1)), IF(INDEX(ERP資料!$G:$G, (MATCH(942, 輔助計算!$G$2:$G$801, 0)+1))&lt;=790,3,IF(INDEX(ERP資料!$G:$G, (MATCH(942, 輔助計算!$G$2:$G$801, 0)+1))&lt;=1181,2,1))))=1,TEXT(INDEX(ERP資料!$G:$G, (MATCH(942, 輔助計算!$G$2:$G$801, 0)+1)),"0.##"),IF(MOD(INDEX(輔助計算!$D:$D, (MATCH(942, 輔助計算!$G$2:$G$801, 0)+1)),IF(INDEX(ERP資料!$G:$G, (MATCH(942, 輔助計算!$G$2:$G$801, 0)+1))&lt;100, IF(INDEX(ERP資料!$G:$G, (MATCH(942, 輔助計算!$G$2:$G$801, 0)+1))&lt;=31,3,IF(INDEX(ERP資料!$G:$G, (MATCH(942, 輔助計算!$G$2:$G$801, 0)+1))&lt;=46.5,2,1)), IF(INDEX(ERP資料!$G:$G, (MATCH(942, 輔助計算!$G$2:$G$801, 0)+1))&lt;=790,3,IF(INDEX(ERP資料!$G:$G, (MATCH(942, 輔助計算!$G$2:$G$801, 0)+1))&lt;=1181,2,1))))=2,TEXT(INDEX(ERP資料!$G:$G, (MATCH(942, 輔助計算!$G$2:$G$801, 0)+1)),"0.##")&amp;"+"&amp;TEXT(INDEX(ERP資料!$G:$G, (MATCH(942, 輔助計算!$G$2:$G$801, 0)+1)),"0.##"),TEXT(INDEX(ERP資料!$G:$G, (MATCH(942, 輔助計算!$G$2:$G$801, 0)+1)),"0.##")&amp;"+"&amp;TEXT(INDEX(ERP資料!$G:$G, (MATCH(942, 輔助計算!$G$2:$G$801, 0)+1)),"0.##")&amp;"+"&amp;TEXT(INDEX(ERP資料!$G:$G, (MATCH(942, 輔助計算!$G$2:$G$801, 0)+1)),"0.##"))))&amp;"-1")&lt;&gt;""),"  ","")&amp;IF(MOD(INDEX(輔助計算!$D:$D, (MATCH(942, 輔助計算!$G$2:$G$801, 0)+1)),IF(INDEX(ERP資料!$G:$G, (MATCH(942, 輔助計算!$G$2:$G$801, 0)+1))&lt;100, IF(INDEX(ERP資料!$G:$G, (MATCH(942, 輔助計算!$G$2:$G$801, 0)+1))&lt;=31,3,IF(INDEX(ERP資料!$G:$G, (MATCH(942, 輔助計算!$G$2:$G$801, 0)+1))&lt;=46.5,2,1)), IF(INDEX(ERP資料!$G:$G, (MATCH(942, 輔助計算!$G$2:$G$801, 0)+1))&lt;=790,3,IF(INDEX(ERP資料!$G:$G, (MATCH(942, 輔助計算!$G$2:$G$801, 0)+1))&lt;=1181,2,1))))=0,"",IF(MOD(INDEX(輔助計算!$D:$D, (MATCH(942, 輔助計算!$G$2:$G$801, 0)+1)),IF(INDEX(ERP資料!$G:$G, (MATCH(942, 輔助計算!$G$2:$G$801, 0)+1))&lt;100, IF(INDEX(ERP資料!$G:$G, (MATCH(942, 輔助計算!$G$2:$G$801, 0)+1))&lt;=31,3,IF(INDEX(ERP資料!$G:$G, (MATCH(942, 輔助計算!$G$2:$G$801, 0)+1))&lt;=46.5,2,1)), IF(INDEX(ERP資料!$G:$G, (MATCH(942, 輔助計算!$G$2:$G$801, 0)+1))&lt;=790,3,IF(INDEX(ERP資料!$G:$G, (MATCH(942, 輔助計算!$G$2:$G$801, 0)+1))&lt;=1181,2,1))))=0,"",IF(MOD(INDEX(輔助計算!$D:$D, (MATCH(942, 輔助計算!$G$2:$G$801, 0)+1)),IF(INDEX(ERP資料!$G:$G, (MATCH(942, 輔助計算!$G$2:$G$801, 0)+1))&lt;100, IF(INDEX(ERP資料!$G:$G, (MATCH(942, 輔助計算!$G$2:$G$801, 0)+1))&lt;=31,3,IF(INDEX(ERP資料!$G:$G, (MATCH(942, 輔助計算!$G$2:$G$801, 0)+1))&lt;=46.5,2,1)), IF(INDEX(ERP資料!$G:$G, (MATCH(942, 輔助計算!$G$2:$G$801, 0)+1))&lt;=790,3,IF(INDEX(ERP資料!$G:$G, (MATCH(942, 輔助計算!$G$2:$G$801, 0)+1))&lt;=1181,2,1))))=1,TEXT(INDEX(ERP資料!$G:$G, (MATCH(942, 輔助計算!$G$2:$G$801, 0)+1)),"0.##"),IF(MOD(INDEX(輔助計算!$D:$D, (MATCH(942, 輔助計算!$G$2:$G$801, 0)+1)),IF(INDEX(ERP資料!$G:$G, (MATCH(942, 輔助計算!$G$2:$G$801, 0)+1))&lt;100, IF(INDEX(ERP資料!$G:$G, (MATCH(942, 輔助計算!$G$2:$G$801, 0)+1))&lt;=31,3,IF(INDEX(ERP資料!$G:$G, (MATCH(942, 輔助計算!$G$2:$G$801, 0)+1))&lt;=46.5,2,1)), IF(INDEX(ERP資料!$G:$G, (MATCH(942, 輔助計算!$G$2:$G$801, 0)+1))&lt;=790,3,IF(INDEX(ERP資料!$G:$G, (MATCH(942, 輔助計算!$G$2:$G$801, 0)+1))&lt;=1181,2,1))))=2,TEXT(INDEX(ERP資料!$G:$G, (MATCH(942, 輔助計算!$G$2:$G$801, 0)+1)),"0.##")&amp;"+"&amp;TEXT(INDEX(ERP資料!$G:$G, (MATCH(942, 輔助計算!$G$2:$G$801, 0)+1)),"0.##"),TEXT(INDEX(ERP資料!$G:$G, (MATCH(942, 輔助計算!$G$2:$G$801, 0)+1)),"0.##")&amp;"+"&amp;TEXT(INDEX(ERP資料!$G:$G, (MATCH(942, 輔助計算!$G$2:$G$801, 0)+1)),"0.##")&amp;"+"&amp;TEXT(INDEX(ERP資料!$G:$G, (MATCH(942, 輔助計算!$G$2:$G$801, 0)+1)),"0.##"))))&amp;"-1")), ""), "")</f>
        <v/>
      </c>
      <c r="K943" s="16" t="n"/>
      <c r="L943" s="14">
        <f>IFERROR(IF(AND(IFERROR(INDEX(ERP資料!$A:$A, (MATCH(942, 輔助計算!$G$2:$G$801, 0)+1)), "")&lt;&gt;"", IFERROR(INDEX(ERP資料!$A:$A, (MATCH(942, 輔助計算!$G$2:$G$801, 0)+1)), "")&lt;&gt;IFERROR(INDEX(ERP資料!$A:$A, MATCH(941, 輔助計算!$G$2:$G$801, 0)+1), "")), INDEX(ERP資料!$B:$B, (MATCH(942, 輔助計算!$G$2:$G$801, 0)+1)), ""), "")</f>
        <v/>
      </c>
      <c r="M943" s="17" t="n"/>
    </row>
    <row r="944">
      <c r="A944" s="10">
        <f>IFERROR(IF(AND(IFERROR(INDEX(ERP資料!$A:$A, (MATCH(943, 輔助計算!$G$2:$G$801, 0)+1)), "")&lt;&gt;"", IFERROR(INDEX(ERP資料!$A:$A, (MATCH(943, 輔助計算!$G$2:$G$801, 0)+1)), "")&lt;&gt;IFERROR(INDEX(ERP資料!$A:$A, MATCH(942, 輔助計算!$G$2:$G$801, 0)+1), "")), IFERROR(INDEX(ERP資料!$A:$A, (MATCH(943, 輔助計算!$G$2:$G$801, 0)+1)), ""), ""), "")</f>
        <v/>
      </c>
      <c r="B944" s="10">
        <f>IFERROR(IF(AND(IFERROR(INDEX(ERP資料!$A:$A, (MATCH(943, 輔助計算!$G$2:$G$801, 0)+1)), "")&lt;&gt;"", IFERROR(INDEX(ERP資料!$A:$A, (MATCH(943, 輔助計算!$G$2:$G$801, 0)+1)), "")&lt;&gt;IFERROR(INDEX(ERP資料!$A:$A, MATCH(942, 輔助計算!$G$2:$G$801, 0)+1), "")), INDEX(ERP資料!$S:$S, (MATCH(943, 輔助計算!$G$2:$G$801, 0)+1)), ""), "")</f>
        <v/>
      </c>
      <c r="C944" s="19">
        <f>IFERROR(IF(AND(IFERROR(INDEX(ERP資料!$A:$A, (MATCH(943, 輔助計算!$G$2:$G$801, 0)+1)), "")&lt;&gt;"", IFERROR(INDEX(ERP資料!$A:$A, (MATCH(943, 輔助計算!$G$2:$G$801, 0)+1)), "")&lt;&gt;IFERROR(INDEX(ERP資料!$A:$A, MATCH(942, 輔助計算!$G$2:$G$801, 0)+1), "")), IFERROR(VLOOKUP(LEFT(INDEX(ERP資料!$S:$S, (MATCH(943, 輔助計算!$G$2:$G$801, 0)+1)), 4), 紙管對照表!$A:$C, 3, FALSE), ""), ""), "")</f>
        <v/>
      </c>
      <c r="D944" s="16" t="n"/>
      <c r="E944" s="10">
        <f>IFERROR(IF(INDEX(ERP資料!$H:$H, (MATCH(943, 輔助計算!$G$2:$G$801, 0)+1))="","",INDEX(ERP資料!$H:$H, (MATCH(943, 輔助計算!$G$2:$G$801, 0)+1))), "")</f>
        <v/>
      </c>
      <c r="F944" s="10">
        <f>IFERROR(IF(INDEX(ERP資料!$E:$E, (MATCH(943, 輔助計算!$G$2:$G$801, 0)+1))="","",TRIM(INDEX(ERP資料!$E:$E, (MATCH(943, 輔助計算!$G$2:$G$801, 0)+1)))), "")</f>
        <v/>
      </c>
      <c r="G944" s="10">
        <f>IFERROR(IF(INDEX(ERP資料!$F:$F, (MATCH(943, 輔助計算!$G$2:$G$801, 0)+1))="","",INDEX(ERP資料!$F:$F, (MATCH(943, 輔助計算!$G$2:$G$801, 0)+1))), "")</f>
        <v/>
      </c>
      <c r="H944" s="10">
        <f>IFERROR(IF(INDEX(ERP資料!$G:$G, (MATCH(943, 輔助計算!$G$2:$G$801, 0)+1))="","",INDEX(ERP資料!$G:$G, (MATCH(943, 輔助計算!$G$2:$G$801, 0)+1))), "")</f>
        <v/>
      </c>
      <c r="I944" s="15">
        <f>IFERROR(INDEX(輔助計算!$D:$D, (MATCH(943, 輔助計算!$G$2:$G$801, 0)+1)), "")</f>
        <v/>
      </c>
      <c r="J944" s="15">
        <f>IFERROR(IF(AND(INDEX(輔助計算!$D:$D, (MATCH(943, 輔助計算!$G$2:$G$801, 0)+1))&lt;&gt;"", INDEX(ERP資料!$G:$G, (MATCH(943, 輔助計算!$G$2:$G$801, 0)+1))&lt;&gt;""), TRIM(IF(INT(INDEX(輔助計算!$D:$D, (MATCH(943, 輔助計算!$G$2:$G$801, 0)+1))/IF(INDEX(ERP資料!$G:$G, (MATCH(943, 輔助計算!$G$2:$G$801, 0)+1))&lt;100, IF(INDEX(ERP資料!$G:$G, (MATCH(943, 輔助計算!$G$2:$G$801, 0)+1))&lt;=31,3,IF(INDEX(ERP資料!$G:$G, (MATCH(943, 輔助計算!$G$2:$G$801, 0)+1))&lt;=46.5,2,1)), IF(INDEX(ERP資料!$G:$G, (MATCH(943, 輔助計算!$G$2:$G$801, 0)+1))&lt;=790,3,IF(INDEX(ERP資料!$G:$G, (MATCH(943, 輔助計算!$G$2:$G$801, 0)+1))&lt;=1181,2,1))))&gt;0, IF(IF(INDEX(ERP資料!$G:$G, (MATCH(943, 輔助計算!$G$2:$G$801, 0)+1))&lt;100, IF(INDEX(ERP資料!$G:$G, (MATCH(943, 輔助計算!$G$2:$G$801, 0)+1))&lt;=31,3,IF(INDEX(ERP資料!$G:$G, (MATCH(943, 輔助計算!$G$2:$G$801, 0)+1))&lt;=46.5,2,1)), IF(INDEX(ERP資料!$G:$G, (MATCH(943, 輔助計算!$G$2:$G$801, 0)+1))&lt;=790,3,IF(INDEX(ERP資料!$G:$G, (MATCH(943, 輔助計算!$G$2:$G$801, 0)+1))&lt;=1181,2,1)))=1,TEXT(INDEX(ERP資料!$G:$G, (MATCH(943, 輔助計算!$G$2:$G$801, 0)+1)),"0.##"),IF(IF(INDEX(ERP資料!$G:$G, (MATCH(943, 輔助計算!$G$2:$G$801, 0)+1))&lt;100, IF(INDEX(ERP資料!$G:$G, (MATCH(943, 輔助計算!$G$2:$G$801, 0)+1))&lt;=31,3,IF(INDEX(ERP資料!$G:$G, (MATCH(943, 輔助計算!$G$2:$G$801, 0)+1))&lt;=46.5,2,1)), IF(INDEX(ERP資料!$G:$G, (MATCH(943, 輔助計算!$G$2:$G$801, 0)+1))&lt;=790,3,IF(INDEX(ERP資料!$G:$G, (MATCH(943, 輔助計算!$G$2:$G$801, 0)+1))&lt;=1181,2,1)))=2,TEXT(INDEX(ERP資料!$G:$G, (MATCH(943, 輔助計算!$G$2:$G$801, 0)+1)),"0.##")&amp;"+"&amp;TEXT(INDEX(ERP資料!$G:$G, (MATCH(943, 輔助計算!$G$2:$G$801, 0)+1)),"0.##"),TEXT(INDEX(ERP資料!$G:$G, (MATCH(943, 輔助計算!$G$2:$G$801, 0)+1)),"0.##")&amp;"+"&amp;TEXT(INDEX(ERP資料!$G:$G, (MATCH(943, 輔助計算!$G$2:$G$801, 0)+1)),"0.##")&amp;"+"&amp;TEXT(INDEX(ERP資料!$G:$G, (MATCH(943, 輔助計算!$G$2:$G$801, 0)+1)),"0.##")))&amp;"-"&amp;INT(INDEX(輔助計算!$D:$D, (MATCH(943, 輔助計算!$G$2:$G$801, 0)+1))/IF(INDEX(ERP資料!$G:$G, (MATCH(943, 輔助計算!$G$2:$G$801, 0)+1))&lt;100, IF(INDEX(ERP資料!$G:$G, (MATCH(943, 輔助計算!$G$2:$G$801, 0)+1))&lt;=31,3,IF(INDEX(ERP資料!$G:$G, (MATCH(943, 輔助計算!$G$2:$G$801, 0)+1))&lt;=46.5,2,1)), IF(INDEX(ERP資料!$G:$G, (MATCH(943, 輔助計算!$G$2:$G$801, 0)+1))&lt;=790,3,IF(INDEX(ERP資料!$G:$G, (MATCH(943, 輔助計算!$G$2:$G$801, 0)+1))&lt;=1181,2,1)))), "")&amp;IF(AND(IF(INT(INDEX(輔助計算!$D:$D, (MATCH(943, 輔助計算!$G$2:$G$801, 0)+1))/IF(INDEX(ERP資料!$G:$G, (MATCH(943, 輔助計算!$G$2:$G$801, 0)+1))&lt;100, IF(INDEX(ERP資料!$G:$G, (MATCH(943, 輔助計算!$G$2:$G$801, 0)+1))&lt;=31,3,IF(INDEX(ERP資料!$G:$G, (MATCH(943, 輔助計算!$G$2:$G$801, 0)+1))&lt;=46.5,2,1)), IF(INDEX(ERP資料!$G:$G, (MATCH(943, 輔助計算!$G$2:$G$801, 0)+1))&lt;=790,3,IF(INDEX(ERP資料!$G:$G, (MATCH(943, 輔助計算!$G$2:$G$801, 0)+1))&lt;=1181,2,1))))&gt;0, IF(IF(INDEX(ERP資料!$G:$G, (MATCH(943, 輔助計算!$G$2:$G$801, 0)+1))&lt;100, IF(INDEX(ERP資料!$G:$G, (MATCH(943, 輔助計算!$G$2:$G$801, 0)+1))&lt;=31,3,IF(INDEX(ERP資料!$G:$G, (MATCH(943, 輔助計算!$G$2:$G$801, 0)+1))&lt;=46.5,2,1)), IF(INDEX(ERP資料!$G:$G, (MATCH(943, 輔助計算!$G$2:$G$801, 0)+1))&lt;=790,3,IF(INDEX(ERP資料!$G:$G, (MATCH(943, 輔助計算!$G$2:$G$801, 0)+1))&lt;=1181,2,1)))=1,TEXT(INDEX(ERP資料!$G:$G, (MATCH(943, 輔助計算!$G$2:$G$801, 0)+1)),"0.##"),IF(IF(INDEX(ERP資料!$G:$G, (MATCH(943, 輔助計算!$G$2:$G$801, 0)+1))&lt;100, IF(INDEX(ERP資料!$G:$G, (MATCH(943, 輔助計算!$G$2:$G$801, 0)+1))&lt;=31,3,IF(INDEX(ERP資料!$G:$G, (MATCH(943, 輔助計算!$G$2:$G$801, 0)+1))&lt;=46.5,2,1)), IF(INDEX(ERP資料!$G:$G, (MATCH(943, 輔助計算!$G$2:$G$801, 0)+1))&lt;=790,3,IF(INDEX(ERP資料!$G:$G, (MATCH(943, 輔助計算!$G$2:$G$801, 0)+1))&lt;=1181,2,1)))=2,TEXT(INDEX(ERP資料!$G:$G, (MATCH(943, 輔助計算!$G$2:$G$801, 0)+1)),"0.##")&amp;"+"&amp;TEXT(INDEX(ERP資料!$G:$G, (MATCH(943, 輔助計算!$G$2:$G$801, 0)+1)),"0.##"),TEXT(INDEX(ERP資料!$G:$G, (MATCH(943, 輔助計算!$G$2:$G$801, 0)+1)),"0.##")&amp;"+"&amp;TEXT(INDEX(ERP資料!$G:$G, (MATCH(943, 輔助計算!$G$2:$G$801, 0)+1)),"0.##")&amp;"+"&amp;TEXT(INDEX(ERP資料!$G:$G, (MATCH(943, 輔助計算!$G$2:$G$801, 0)+1)),"0.##")))&amp;"-"&amp;INT(INDEX(輔助計算!$D:$D, (MATCH(943, 輔助計算!$G$2:$G$801, 0)+1))/IF(INDEX(ERP資料!$G:$G, (MATCH(943, 輔助計算!$G$2:$G$801, 0)+1))&lt;100, IF(INDEX(ERP資料!$G:$G, (MATCH(943, 輔助計算!$G$2:$G$801, 0)+1))&lt;=31,3,IF(INDEX(ERP資料!$G:$G, (MATCH(943, 輔助計算!$G$2:$G$801, 0)+1))&lt;=46.5,2,1)), IF(INDEX(ERP資料!$G:$G, (MATCH(943, 輔助計算!$G$2:$G$801, 0)+1))&lt;=790,3,IF(INDEX(ERP資料!$G:$G, (MATCH(943, 輔助計算!$G$2:$G$801, 0)+1))&lt;=1181,2,1)))), "")&lt;&gt;"",IF(MOD(INDEX(輔助計算!$D:$D, (MATCH(943, 輔助計算!$G$2:$G$801, 0)+1)),IF(INDEX(ERP資料!$G:$G, (MATCH(943, 輔助計算!$G$2:$G$801, 0)+1))&lt;100, IF(INDEX(ERP資料!$G:$G, (MATCH(943, 輔助計算!$G$2:$G$801, 0)+1))&lt;=31,3,IF(INDEX(ERP資料!$G:$G, (MATCH(943, 輔助計算!$G$2:$G$801, 0)+1))&lt;=46.5,2,1)), IF(INDEX(ERP資料!$G:$G, (MATCH(943, 輔助計算!$G$2:$G$801, 0)+1))&lt;=790,3,IF(INDEX(ERP資料!$G:$G, (MATCH(943, 輔助計算!$G$2:$G$801, 0)+1))&lt;=1181,2,1))))=0,"",IF(MOD(INDEX(輔助計算!$D:$D, (MATCH(943, 輔助計算!$G$2:$G$801, 0)+1)),IF(INDEX(ERP資料!$G:$G, (MATCH(943, 輔助計算!$G$2:$G$801, 0)+1))&lt;100, IF(INDEX(ERP資料!$G:$G, (MATCH(943, 輔助計算!$G$2:$G$801, 0)+1))&lt;=31,3,IF(INDEX(ERP資料!$G:$G, (MATCH(943, 輔助計算!$G$2:$G$801, 0)+1))&lt;=46.5,2,1)), IF(INDEX(ERP資料!$G:$G, (MATCH(943, 輔助計算!$G$2:$G$801, 0)+1))&lt;=790,3,IF(INDEX(ERP資料!$G:$G, (MATCH(943, 輔助計算!$G$2:$G$801, 0)+1))&lt;=1181,2,1))))=0,"",IF(MOD(INDEX(輔助計算!$D:$D, (MATCH(943, 輔助計算!$G$2:$G$801, 0)+1)),IF(INDEX(ERP資料!$G:$G, (MATCH(943, 輔助計算!$G$2:$G$801, 0)+1))&lt;100, IF(INDEX(ERP資料!$G:$G, (MATCH(943, 輔助計算!$G$2:$G$801, 0)+1))&lt;=31,3,IF(INDEX(ERP資料!$G:$G, (MATCH(943, 輔助計算!$G$2:$G$801, 0)+1))&lt;=46.5,2,1)), IF(INDEX(ERP資料!$G:$G, (MATCH(943, 輔助計算!$G$2:$G$801, 0)+1))&lt;=790,3,IF(INDEX(ERP資料!$G:$G, (MATCH(943, 輔助計算!$G$2:$G$801, 0)+1))&lt;=1181,2,1))))=1,TEXT(INDEX(ERP資料!$G:$G, (MATCH(943, 輔助計算!$G$2:$G$801, 0)+1)),"0.##"),IF(MOD(INDEX(輔助計算!$D:$D, (MATCH(943, 輔助計算!$G$2:$G$801, 0)+1)),IF(INDEX(ERP資料!$G:$G, (MATCH(943, 輔助計算!$G$2:$G$801, 0)+1))&lt;100, IF(INDEX(ERP資料!$G:$G, (MATCH(943, 輔助計算!$G$2:$G$801, 0)+1))&lt;=31,3,IF(INDEX(ERP資料!$G:$G, (MATCH(943, 輔助計算!$G$2:$G$801, 0)+1))&lt;=46.5,2,1)), IF(INDEX(ERP資料!$G:$G, (MATCH(943, 輔助計算!$G$2:$G$801, 0)+1))&lt;=790,3,IF(INDEX(ERP資料!$G:$G, (MATCH(943, 輔助計算!$G$2:$G$801, 0)+1))&lt;=1181,2,1))))=2,TEXT(INDEX(ERP資料!$G:$G, (MATCH(943, 輔助計算!$G$2:$G$801, 0)+1)),"0.##")&amp;"+"&amp;TEXT(INDEX(ERP資料!$G:$G, (MATCH(943, 輔助計算!$G$2:$G$801, 0)+1)),"0.##"),TEXT(INDEX(ERP資料!$G:$G, (MATCH(943, 輔助計算!$G$2:$G$801, 0)+1)),"0.##")&amp;"+"&amp;TEXT(INDEX(ERP資料!$G:$G, (MATCH(943, 輔助計算!$G$2:$G$801, 0)+1)),"0.##")&amp;"+"&amp;TEXT(INDEX(ERP資料!$G:$G, (MATCH(943, 輔助計算!$G$2:$G$801, 0)+1)),"0.##"))))&amp;"-1")&lt;&gt;""),"  ","")&amp;IF(MOD(INDEX(輔助計算!$D:$D, (MATCH(943, 輔助計算!$G$2:$G$801, 0)+1)),IF(INDEX(ERP資料!$G:$G, (MATCH(943, 輔助計算!$G$2:$G$801, 0)+1))&lt;100, IF(INDEX(ERP資料!$G:$G, (MATCH(943, 輔助計算!$G$2:$G$801, 0)+1))&lt;=31,3,IF(INDEX(ERP資料!$G:$G, (MATCH(943, 輔助計算!$G$2:$G$801, 0)+1))&lt;=46.5,2,1)), IF(INDEX(ERP資料!$G:$G, (MATCH(943, 輔助計算!$G$2:$G$801, 0)+1))&lt;=790,3,IF(INDEX(ERP資料!$G:$G, (MATCH(943, 輔助計算!$G$2:$G$801, 0)+1))&lt;=1181,2,1))))=0,"",IF(MOD(INDEX(輔助計算!$D:$D, (MATCH(943, 輔助計算!$G$2:$G$801, 0)+1)),IF(INDEX(ERP資料!$G:$G, (MATCH(943, 輔助計算!$G$2:$G$801, 0)+1))&lt;100, IF(INDEX(ERP資料!$G:$G, (MATCH(943, 輔助計算!$G$2:$G$801, 0)+1))&lt;=31,3,IF(INDEX(ERP資料!$G:$G, (MATCH(943, 輔助計算!$G$2:$G$801, 0)+1))&lt;=46.5,2,1)), IF(INDEX(ERP資料!$G:$G, (MATCH(943, 輔助計算!$G$2:$G$801, 0)+1))&lt;=790,3,IF(INDEX(ERP資料!$G:$G, (MATCH(943, 輔助計算!$G$2:$G$801, 0)+1))&lt;=1181,2,1))))=0,"",IF(MOD(INDEX(輔助計算!$D:$D, (MATCH(943, 輔助計算!$G$2:$G$801, 0)+1)),IF(INDEX(ERP資料!$G:$G, (MATCH(943, 輔助計算!$G$2:$G$801, 0)+1))&lt;100, IF(INDEX(ERP資料!$G:$G, (MATCH(943, 輔助計算!$G$2:$G$801, 0)+1))&lt;=31,3,IF(INDEX(ERP資料!$G:$G, (MATCH(943, 輔助計算!$G$2:$G$801, 0)+1))&lt;=46.5,2,1)), IF(INDEX(ERP資料!$G:$G, (MATCH(943, 輔助計算!$G$2:$G$801, 0)+1))&lt;=790,3,IF(INDEX(ERP資料!$G:$G, (MATCH(943, 輔助計算!$G$2:$G$801, 0)+1))&lt;=1181,2,1))))=1,TEXT(INDEX(ERP資料!$G:$G, (MATCH(943, 輔助計算!$G$2:$G$801, 0)+1)),"0.##"),IF(MOD(INDEX(輔助計算!$D:$D, (MATCH(943, 輔助計算!$G$2:$G$801, 0)+1)),IF(INDEX(ERP資料!$G:$G, (MATCH(943, 輔助計算!$G$2:$G$801, 0)+1))&lt;100, IF(INDEX(ERP資料!$G:$G, (MATCH(943, 輔助計算!$G$2:$G$801, 0)+1))&lt;=31,3,IF(INDEX(ERP資料!$G:$G, (MATCH(943, 輔助計算!$G$2:$G$801, 0)+1))&lt;=46.5,2,1)), IF(INDEX(ERP資料!$G:$G, (MATCH(943, 輔助計算!$G$2:$G$801, 0)+1))&lt;=790,3,IF(INDEX(ERP資料!$G:$G, (MATCH(943, 輔助計算!$G$2:$G$801, 0)+1))&lt;=1181,2,1))))=2,TEXT(INDEX(ERP資料!$G:$G, (MATCH(943, 輔助計算!$G$2:$G$801, 0)+1)),"0.##")&amp;"+"&amp;TEXT(INDEX(ERP資料!$G:$G, (MATCH(943, 輔助計算!$G$2:$G$801, 0)+1)),"0.##"),TEXT(INDEX(ERP資料!$G:$G, (MATCH(943, 輔助計算!$G$2:$G$801, 0)+1)),"0.##")&amp;"+"&amp;TEXT(INDEX(ERP資料!$G:$G, (MATCH(943, 輔助計算!$G$2:$G$801, 0)+1)),"0.##")&amp;"+"&amp;TEXT(INDEX(ERP資料!$G:$G, (MATCH(943, 輔助計算!$G$2:$G$801, 0)+1)),"0.##"))))&amp;"-1")), ""), "")</f>
        <v/>
      </c>
      <c r="K944" s="16" t="n"/>
      <c r="L944" s="14">
        <f>IFERROR(IF(AND(IFERROR(INDEX(ERP資料!$A:$A, (MATCH(943, 輔助計算!$G$2:$G$801, 0)+1)), "")&lt;&gt;"", IFERROR(INDEX(ERP資料!$A:$A, (MATCH(943, 輔助計算!$G$2:$G$801, 0)+1)), "")&lt;&gt;IFERROR(INDEX(ERP資料!$A:$A, MATCH(942, 輔助計算!$G$2:$G$801, 0)+1), "")), INDEX(ERP資料!$B:$B, (MATCH(943, 輔助計算!$G$2:$G$801, 0)+1)), ""), "")</f>
        <v/>
      </c>
      <c r="M944" s="17" t="n"/>
    </row>
    <row r="945">
      <c r="A945" s="10">
        <f>IFERROR(IF(AND(IFERROR(INDEX(ERP資料!$A:$A, (MATCH(944, 輔助計算!$G$2:$G$801, 0)+1)), "")&lt;&gt;"", IFERROR(INDEX(ERP資料!$A:$A, (MATCH(944, 輔助計算!$G$2:$G$801, 0)+1)), "")&lt;&gt;IFERROR(INDEX(ERP資料!$A:$A, MATCH(943, 輔助計算!$G$2:$G$801, 0)+1), "")), IFERROR(INDEX(ERP資料!$A:$A, (MATCH(944, 輔助計算!$G$2:$G$801, 0)+1)), ""), ""), "")</f>
        <v/>
      </c>
      <c r="B945" s="10">
        <f>IFERROR(IF(AND(IFERROR(INDEX(ERP資料!$A:$A, (MATCH(944, 輔助計算!$G$2:$G$801, 0)+1)), "")&lt;&gt;"", IFERROR(INDEX(ERP資料!$A:$A, (MATCH(944, 輔助計算!$G$2:$G$801, 0)+1)), "")&lt;&gt;IFERROR(INDEX(ERP資料!$A:$A, MATCH(943, 輔助計算!$G$2:$G$801, 0)+1), "")), INDEX(ERP資料!$S:$S, (MATCH(944, 輔助計算!$G$2:$G$801, 0)+1)), ""), "")</f>
        <v/>
      </c>
      <c r="C945" s="19">
        <f>IFERROR(IF(AND(IFERROR(INDEX(ERP資料!$A:$A, (MATCH(944, 輔助計算!$G$2:$G$801, 0)+1)), "")&lt;&gt;"", IFERROR(INDEX(ERP資料!$A:$A, (MATCH(944, 輔助計算!$G$2:$G$801, 0)+1)), "")&lt;&gt;IFERROR(INDEX(ERP資料!$A:$A, MATCH(943, 輔助計算!$G$2:$G$801, 0)+1), "")), IFERROR(VLOOKUP(LEFT(INDEX(ERP資料!$S:$S, (MATCH(944, 輔助計算!$G$2:$G$801, 0)+1)), 4), 紙管對照表!$A:$C, 3, FALSE), ""), ""), "")</f>
        <v/>
      </c>
      <c r="D945" s="16" t="n"/>
      <c r="E945" s="10">
        <f>IFERROR(IF(INDEX(ERP資料!$H:$H, (MATCH(944, 輔助計算!$G$2:$G$801, 0)+1))="","",INDEX(ERP資料!$H:$H, (MATCH(944, 輔助計算!$G$2:$G$801, 0)+1))), "")</f>
        <v/>
      </c>
      <c r="F945" s="10">
        <f>IFERROR(IF(INDEX(ERP資料!$E:$E, (MATCH(944, 輔助計算!$G$2:$G$801, 0)+1))="","",TRIM(INDEX(ERP資料!$E:$E, (MATCH(944, 輔助計算!$G$2:$G$801, 0)+1)))), "")</f>
        <v/>
      </c>
      <c r="G945" s="10">
        <f>IFERROR(IF(INDEX(ERP資料!$F:$F, (MATCH(944, 輔助計算!$G$2:$G$801, 0)+1))="","",INDEX(ERP資料!$F:$F, (MATCH(944, 輔助計算!$G$2:$G$801, 0)+1))), "")</f>
        <v/>
      </c>
      <c r="H945" s="10">
        <f>IFERROR(IF(INDEX(ERP資料!$G:$G, (MATCH(944, 輔助計算!$G$2:$G$801, 0)+1))="","",INDEX(ERP資料!$G:$G, (MATCH(944, 輔助計算!$G$2:$G$801, 0)+1))), "")</f>
        <v/>
      </c>
      <c r="I945" s="15">
        <f>IFERROR(INDEX(輔助計算!$D:$D, (MATCH(944, 輔助計算!$G$2:$G$801, 0)+1)), "")</f>
        <v/>
      </c>
      <c r="J945" s="15">
        <f>IFERROR(IF(AND(INDEX(輔助計算!$D:$D, (MATCH(944, 輔助計算!$G$2:$G$801, 0)+1))&lt;&gt;"", INDEX(ERP資料!$G:$G, (MATCH(944, 輔助計算!$G$2:$G$801, 0)+1))&lt;&gt;""), TRIM(IF(INT(INDEX(輔助計算!$D:$D, (MATCH(944, 輔助計算!$G$2:$G$801, 0)+1))/IF(INDEX(ERP資料!$G:$G, (MATCH(944, 輔助計算!$G$2:$G$801, 0)+1))&lt;100, IF(INDEX(ERP資料!$G:$G, (MATCH(944, 輔助計算!$G$2:$G$801, 0)+1))&lt;=31,3,IF(INDEX(ERP資料!$G:$G, (MATCH(944, 輔助計算!$G$2:$G$801, 0)+1))&lt;=46.5,2,1)), IF(INDEX(ERP資料!$G:$G, (MATCH(944, 輔助計算!$G$2:$G$801, 0)+1))&lt;=790,3,IF(INDEX(ERP資料!$G:$G, (MATCH(944, 輔助計算!$G$2:$G$801, 0)+1))&lt;=1181,2,1))))&gt;0, IF(IF(INDEX(ERP資料!$G:$G, (MATCH(944, 輔助計算!$G$2:$G$801, 0)+1))&lt;100, IF(INDEX(ERP資料!$G:$G, (MATCH(944, 輔助計算!$G$2:$G$801, 0)+1))&lt;=31,3,IF(INDEX(ERP資料!$G:$G, (MATCH(944, 輔助計算!$G$2:$G$801, 0)+1))&lt;=46.5,2,1)), IF(INDEX(ERP資料!$G:$G, (MATCH(944, 輔助計算!$G$2:$G$801, 0)+1))&lt;=790,3,IF(INDEX(ERP資料!$G:$G, (MATCH(944, 輔助計算!$G$2:$G$801, 0)+1))&lt;=1181,2,1)))=1,TEXT(INDEX(ERP資料!$G:$G, (MATCH(944, 輔助計算!$G$2:$G$801, 0)+1)),"0.##"),IF(IF(INDEX(ERP資料!$G:$G, (MATCH(944, 輔助計算!$G$2:$G$801, 0)+1))&lt;100, IF(INDEX(ERP資料!$G:$G, (MATCH(944, 輔助計算!$G$2:$G$801, 0)+1))&lt;=31,3,IF(INDEX(ERP資料!$G:$G, (MATCH(944, 輔助計算!$G$2:$G$801, 0)+1))&lt;=46.5,2,1)), IF(INDEX(ERP資料!$G:$G, (MATCH(944, 輔助計算!$G$2:$G$801, 0)+1))&lt;=790,3,IF(INDEX(ERP資料!$G:$G, (MATCH(944, 輔助計算!$G$2:$G$801, 0)+1))&lt;=1181,2,1)))=2,TEXT(INDEX(ERP資料!$G:$G, (MATCH(944, 輔助計算!$G$2:$G$801, 0)+1)),"0.##")&amp;"+"&amp;TEXT(INDEX(ERP資料!$G:$G, (MATCH(944, 輔助計算!$G$2:$G$801, 0)+1)),"0.##"),TEXT(INDEX(ERP資料!$G:$G, (MATCH(944, 輔助計算!$G$2:$G$801, 0)+1)),"0.##")&amp;"+"&amp;TEXT(INDEX(ERP資料!$G:$G, (MATCH(944, 輔助計算!$G$2:$G$801, 0)+1)),"0.##")&amp;"+"&amp;TEXT(INDEX(ERP資料!$G:$G, (MATCH(944, 輔助計算!$G$2:$G$801, 0)+1)),"0.##")))&amp;"-"&amp;INT(INDEX(輔助計算!$D:$D, (MATCH(944, 輔助計算!$G$2:$G$801, 0)+1))/IF(INDEX(ERP資料!$G:$G, (MATCH(944, 輔助計算!$G$2:$G$801, 0)+1))&lt;100, IF(INDEX(ERP資料!$G:$G, (MATCH(944, 輔助計算!$G$2:$G$801, 0)+1))&lt;=31,3,IF(INDEX(ERP資料!$G:$G, (MATCH(944, 輔助計算!$G$2:$G$801, 0)+1))&lt;=46.5,2,1)), IF(INDEX(ERP資料!$G:$G, (MATCH(944, 輔助計算!$G$2:$G$801, 0)+1))&lt;=790,3,IF(INDEX(ERP資料!$G:$G, (MATCH(944, 輔助計算!$G$2:$G$801, 0)+1))&lt;=1181,2,1)))), "")&amp;IF(AND(IF(INT(INDEX(輔助計算!$D:$D, (MATCH(944, 輔助計算!$G$2:$G$801, 0)+1))/IF(INDEX(ERP資料!$G:$G, (MATCH(944, 輔助計算!$G$2:$G$801, 0)+1))&lt;100, IF(INDEX(ERP資料!$G:$G, (MATCH(944, 輔助計算!$G$2:$G$801, 0)+1))&lt;=31,3,IF(INDEX(ERP資料!$G:$G, (MATCH(944, 輔助計算!$G$2:$G$801, 0)+1))&lt;=46.5,2,1)), IF(INDEX(ERP資料!$G:$G, (MATCH(944, 輔助計算!$G$2:$G$801, 0)+1))&lt;=790,3,IF(INDEX(ERP資料!$G:$G, (MATCH(944, 輔助計算!$G$2:$G$801, 0)+1))&lt;=1181,2,1))))&gt;0, IF(IF(INDEX(ERP資料!$G:$G, (MATCH(944, 輔助計算!$G$2:$G$801, 0)+1))&lt;100, IF(INDEX(ERP資料!$G:$G, (MATCH(944, 輔助計算!$G$2:$G$801, 0)+1))&lt;=31,3,IF(INDEX(ERP資料!$G:$G, (MATCH(944, 輔助計算!$G$2:$G$801, 0)+1))&lt;=46.5,2,1)), IF(INDEX(ERP資料!$G:$G, (MATCH(944, 輔助計算!$G$2:$G$801, 0)+1))&lt;=790,3,IF(INDEX(ERP資料!$G:$G, (MATCH(944, 輔助計算!$G$2:$G$801, 0)+1))&lt;=1181,2,1)))=1,TEXT(INDEX(ERP資料!$G:$G, (MATCH(944, 輔助計算!$G$2:$G$801, 0)+1)),"0.##"),IF(IF(INDEX(ERP資料!$G:$G, (MATCH(944, 輔助計算!$G$2:$G$801, 0)+1))&lt;100, IF(INDEX(ERP資料!$G:$G, (MATCH(944, 輔助計算!$G$2:$G$801, 0)+1))&lt;=31,3,IF(INDEX(ERP資料!$G:$G, (MATCH(944, 輔助計算!$G$2:$G$801, 0)+1))&lt;=46.5,2,1)), IF(INDEX(ERP資料!$G:$G, (MATCH(944, 輔助計算!$G$2:$G$801, 0)+1))&lt;=790,3,IF(INDEX(ERP資料!$G:$G, (MATCH(944, 輔助計算!$G$2:$G$801, 0)+1))&lt;=1181,2,1)))=2,TEXT(INDEX(ERP資料!$G:$G, (MATCH(944, 輔助計算!$G$2:$G$801, 0)+1)),"0.##")&amp;"+"&amp;TEXT(INDEX(ERP資料!$G:$G, (MATCH(944, 輔助計算!$G$2:$G$801, 0)+1)),"0.##"),TEXT(INDEX(ERP資料!$G:$G, (MATCH(944, 輔助計算!$G$2:$G$801, 0)+1)),"0.##")&amp;"+"&amp;TEXT(INDEX(ERP資料!$G:$G, (MATCH(944, 輔助計算!$G$2:$G$801, 0)+1)),"0.##")&amp;"+"&amp;TEXT(INDEX(ERP資料!$G:$G, (MATCH(944, 輔助計算!$G$2:$G$801, 0)+1)),"0.##")))&amp;"-"&amp;INT(INDEX(輔助計算!$D:$D, (MATCH(944, 輔助計算!$G$2:$G$801, 0)+1))/IF(INDEX(ERP資料!$G:$G, (MATCH(944, 輔助計算!$G$2:$G$801, 0)+1))&lt;100, IF(INDEX(ERP資料!$G:$G, (MATCH(944, 輔助計算!$G$2:$G$801, 0)+1))&lt;=31,3,IF(INDEX(ERP資料!$G:$G, (MATCH(944, 輔助計算!$G$2:$G$801, 0)+1))&lt;=46.5,2,1)), IF(INDEX(ERP資料!$G:$G, (MATCH(944, 輔助計算!$G$2:$G$801, 0)+1))&lt;=790,3,IF(INDEX(ERP資料!$G:$G, (MATCH(944, 輔助計算!$G$2:$G$801, 0)+1))&lt;=1181,2,1)))), "")&lt;&gt;"",IF(MOD(INDEX(輔助計算!$D:$D, (MATCH(944, 輔助計算!$G$2:$G$801, 0)+1)),IF(INDEX(ERP資料!$G:$G, (MATCH(944, 輔助計算!$G$2:$G$801, 0)+1))&lt;100, IF(INDEX(ERP資料!$G:$G, (MATCH(944, 輔助計算!$G$2:$G$801, 0)+1))&lt;=31,3,IF(INDEX(ERP資料!$G:$G, (MATCH(944, 輔助計算!$G$2:$G$801, 0)+1))&lt;=46.5,2,1)), IF(INDEX(ERP資料!$G:$G, (MATCH(944, 輔助計算!$G$2:$G$801, 0)+1))&lt;=790,3,IF(INDEX(ERP資料!$G:$G, (MATCH(944, 輔助計算!$G$2:$G$801, 0)+1))&lt;=1181,2,1))))=0,"",IF(MOD(INDEX(輔助計算!$D:$D, (MATCH(944, 輔助計算!$G$2:$G$801, 0)+1)),IF(INDEX(ERP資料!$G:$G, (MATCH(944, 輔助計算!$G$2:$G$801, 0)+1))&lt;100, IF(INDEX(ERP資料!$G:$G, (MATCH(944, 輔助計算!$G$2:$G$801, 0)+1))&lt;=31,3,IF(INDEX(ERP資料!$G:$G, (MATCH(944, 輔助計算!$G$2:$G$801, 0)+1))&lt;=46.5,2,1)), IF(INDEX(ERP資料!$G:$G, (MATCH(944, 輔助計算!$G$2:$G$801, 0)+1))&lt;=790,3,IF(INDEX(ERP資料!$G:$G, (MATCH(944, 輔助計算!$G$2:$G$801, 0)+1))&lt;=1181,2,1))))=0,"",IF(MOD(INDEX(輔助計算!$D:$D, (MATCH(944, 輔助計算!$G$2:$G$801, 0)+1)),IF(INDEX(ERP資料!$G:$G, (MATCH(944, 輔助計算!$G$2:$G$801, 0)+1))&lt;100, IF(INDEX(ERP資料!$G:$G, (MATCH(944, 輔助計算!$G$2:$G$801, 0)+1))&lt;=31,3,IF(INDEX(ERP資料!$G:$G, (MATCH(944, 輔助計算!$G$2:$G$801, 0)+1))&lt;=46.5,2,1)), IF(INDEX(ERP資料!$G:$G, (MATCH(944, 輔助計算!$G$2:$G$801, 0)+1))&lt;=790,3,IF(INDEX(ERP資料!$G:$G, (MATCH(944, 輔助計算!$G$2:$G$801, 0)+1))&lt;=1181,2,1))))=1,TEXT(INDEX(ERP資料!$G:$G, (MATCH(944, 輔助計算!$G$2:$G$801, 0)+1)),"0.##"),IF(MOD(INDEX(輔助計算!$D:$D, (MATCH(944, 輔助計算!$G$2:$G$801, 0)+1)),IF(INDEX(ERP資料!$G:$G, (MATCH(944, 輔助計算!$G$2:$G$801, 0)+1))&lt;100, IF(INDEX(ERP資料!$G:$G, (MATCH(944, 輔助計算!$G$2:$G$801, 0)+1))&lt;=31,3,IF(INDEX(ERP資料!$G:$G, (MATCH(944, 輔助計算!$G$2:$G$801, 0)+1))&lt;=46.5,2,1)), IF(INDEX(ERP資料!$G:$G, (MATCH(944, 輔助計算!$G$2:$G$801, 0)+1))&lt;=790,3,IF(INDEX(ERP資料!$G:$G, (MATCH(944, 輔助計算!$G$2:$G$801, 0)+1))&lt;=1181,2,1))))=2,TEXT(INDEX(ERP資料!$G:$G, (MATCH(944, 輔助計算!$G$2:$G$801, 0)+1)),"0.##")&amp;"+"&amp;TEXT(INDEX(ERP資料!$G:$G, (MATCH(944, 輔助計算!$G$2:$G$801, 0)+1)),"0.##"),TEXT(INDEX(ERP資料!$G:$G, (MATCH(944, 輔助計算!$G$2:$G$801, 0)+1)),"0.##")&amp;"+"&amp;TEXT(INDEX(ERP資料!$G:$G, (MATCH(944, 輔助計算!$G$2:$G$801, 0)+1)),"0.##")&amp;"+"&amp;TEXT(INDEX(ERP資料!$G:$G, (MATCH(944, 輔助計算!$G$2:$G$801, 0)+1)),"0.##"))))&amp;"-1")&lt;&gt;""),"  ","")&amp;IF(MOD(INDEX(輔助計算!$D:$D, (MATCH(944, 輔助計算!$G$2:$G$801, 0)+1)),IF(INDEX(ERP資料!$G:$G, (MATCH(944, 輔助計算!$G$2:$G$801, 0)+1))&lt;100, IF(INDEX(ERP資料!$G:$G, (MATCH(944, 輔助計算!$G$2:$G$801, 0)+1))&lt;=31,3,IF(INDEX(ERP資料!$G:$G, (MATCH(944, 輔助計算!$G$2:$G$801, 0)+1))&lt;=46.5,2,1)), IF(INDEX(ERP資料!$G:$G, (MATCH(944, 輔助計算!$G$2:$G$801, 0)+1))&lt;=790,3,IF(INDEX(ERP資料!$G:$G, (MATCH(944, 輔助計算!$G$2:$G$801, 0)+1))&lt;=1181,2,1))))=0,"",IF(MOD(INDEX(輔助計算!$D:$D, (MATCH(944, 輔助計算!$G$2:$G$801, 0)+1)),IF(INDEX(ERP資料!$G:$G, (MATCH(944, 輔助計算!$G$2:$G$801, 0)+1))&lt;100, IF(INDEX(ERP資料!$G:$G, (MATCH(944, 輔助計算!$G$2:$G$801, 0)+1))&lt;=31,3,IF(INDEX(ERP資料!$G:$G, (MATCH(944, 輔助計算!$G$2:$G$801, 0)+1))&lt;=46.5,2,1)), IF(INDEX(ERP資料!$G:$G, (MATCH(944, 輔助計算!$G$2:$G$801, 0)+1))&lt;=790,3,IF(INDEX(ERP資料!$G:$G, (MATCH(944, 輔助計算!$G$2:$G$801, 0)+1))&lt;=1181,2,1))))=0,"",IF(MOD(INDEX(輔助計算!$D:$D, (MATCH(944, 輔助計算!$G$2:$G$801, 0)+1)),IF(INDEX(ERP資料!$G:$G, (MATCH(944, 輔助計算!$G$2:$G$801, 0)+1))&lt;100, IF(INDEX(ERP資料!$G:$G, (MATCH(944, 輔助計算!$G$2:$G$801, 0)+1))&lt;=31,3,IF(INDEX(ERP資料!$G:$G, (MATCH(944, 輔助計算!$G$2:$G$801, 0)+1))&lt;=46.5,2,1)), IF(INDEX(ERP資料!$G:$G, (MATCH(944, 輔助計算!$G$2:$G$801, 0)+1))&lt;=790,3,IF(INDEX(ERP資料!$G:$G, (MATCH(944, 輔助計算!$G$2:$G$801, 0)+1))&lt;=1181,2,1))))=1,TEXT(INDEX(ERP資料!$G:$G, (MATCH(944, 輔助計算!$G$2:$G$801, 0)+1)),"0.##"),IF(MOD(INDEX(輔助計算!$D:$D, (MATCH(944, 輔助計算!$G$2:$G$801, 0)+1)),IF(INDEX(ERP資料!$G:$G, (MATCH(944, 輔助計算!$G$2:$G$801, 0)+1))&lt;100, IF(INDEX(ERP資料!$G:$G, (MATCH(944, 輔助計算!$G$2:$G$801, 0)+1))&lt;=31,3,IF(INDEX(ERP資料!$G:$G, (MATCH(944, 輔助計算!$G$2:$G$801, 0)+1))&lt;=46.5,2,1)), IF(INDEX(ERP資料!$G:$G, (MATCH(944, 輔助計算!$G$2:$G$801, 0)+1))&lt;=790,3,IF(INDEX(ERP資料!$G:$G, (MATCH(944, 輔助計算!$G$2:$G$801, 0)+1))&lt;=1181,2,1))))=2,TEXT(INDEX(ERP資料!$G:$G, (MATCH(944, 輔助計算!$G$2:$G$801, 0)+1)),"0.##")&amp;"+"&amp;TEXT(INDEX(ERP資料!$G:$G, (MATCH(944, 輔助計算!$G$2:$G$801, 0)+1)),"0.##"),TEXT(INDEX(ERP資料!$G:$G, (MATCH(944, 輔助計算!$G$2:$G$801, 0)+1)),"0.##")&amp;"+"&amp;TEXT(INDEX(ERP資料!$G:$G, (MATCH(944, 輔助計算!$G$2:$G$801, 0)+1)),"0.##")&amp;"+"&amp;TEXT(INDEX(ERP資料!$G:$G, (MATCH(944, 輔助計算!$G$2:$G$801, 0)+1)),"0.##"))))&amp;"-1")), ""), "")</f>
        <v/>
      </c>
      <c r="K945" s="16" t="n"/>
      <c r="L945" s="14">
        <f>IFERROR(IF(AND(IFERROR(INDEX(ERP資料!$A:$A, (MATCH(944, 輔助計算!$G$2:$G$801, 0)+1)), "")&lt;&gt;"", IFERROR(INDEX(ERP資料!$A:$A, (MATCH(944, 輔助計算!$G$2:$G$801, 0)+1)), "")&lt;&gt;IFERROR(INDEX(ERP資料!$A:$A, MATCH(943, 輔助計算!$G$2:$G$801, 0)+1), "")), INDEX(ERP資料!$B:$B, (MATCH(944, 輔助計算!$G$2:$G$801, 0)+1)), ""), "")</f>
        <v/>
      </c>
      <c r="M945" s="17" t="n"/>
    </row>
    <row r="946">
      <c r="A946" s="10">
        <f>IFERROR(IF(AND(IFERROR(INDEX(ERP資料!$A:$A, (MATCH(945, 輔助計算!$G$2:$G$801, 0)+1)), "")&lt;&gt;"", IFERROR(INDEX(ERP資料!$A:$A, (MATCH(945, 輔助計算!$G$2:$G$801, 0)+1)), "")&lt;&gt;IFERROR(INDEX(ERP資料!$A:$A, MATCH(944, 輔助計算!$G$2:$G$801, 0)+1), "")), IFERROR(INDEX(ERP資料!$A:$A, (MATCH(945, 輔助計算!$G$2:$G$801, 0)+1)), ""), ""), "")</f>
        <v/>
      </c>
      <c r="B946" s="10">
        <f>IFERROR(IF(AND(IFERROR(INDEX(ERP資料!$A:$A, (MATCH(945, 輔助計算!$G$2:$G$801, 0)+1)), "")&lt;&gt;"", IFERROR(INDEX(ERP資料!$A:$A, (MATCH(945, 輔助計算!$G$2:$G$801, 0)+1)), "")&lt;&gt;IFERROR(INDEX(ERP資料!$A:$A, MATCH(944, 輔助計算!$G$2:$G$801, 0)+1), "")), INDEX(ERP資料!$S:$S, (MATCH(945, 輔助計算!$G$2:$G$801, 0)+1)), ""), "")</f>
        <v/>
      </c>
      <c r="C946" s="19">
        <f>IFERROR(IF(AND(IFERROR(INDEX(ERP資料!$A:$A, (MATCH(945, 輔助計算!$G$2:$G$801, 0)+1)), "")&lt;&gt;"", IFERROR(INDEX(ERP資料!$A:$A, (MATCH(945, 輔助計算!$G$2:$G$801, 0)+1)), "")&lt;&gt;IFERROR(INDEX(ERP資料!$A:$A, MATCH(944, 輔助計算!$G$2:$G$801, 0)+1), "")), IFERROR(VLOOKUP(LEFT(INDEX(ERP資料!$S:$S, (MATCH(945, 輔助計算!$G$2:$G$801, 0)+1)), 4), 紙管對照表!$A:$C, 3, FALSE), ""), ""), "")</f>
        <v/>
      </c>
      <c r="D946" s="16" t="n"/>
      <c r="E946" s="10">
        <f>IFERROR(IF(INDEX(ERP資料!$H:$H, (MATCH(945, 輔助計算!$G$2:$G$801, 0)+1))="","",INDEX(ERP資料!$H:$H, (MATCH(945, 輔助計算!$G$2:$G$801, 0)+1))), "")</f>
        <v/>
      </c>
      <c r="F946" s="10">
        <f>IFERROR(IF(INDEX(ERP資料!$E:$E, (MATCH(945, 輔助計算!$G$2:$G$801, 0)+1))="","",TRIM(INDEX(ERP資料!$E:$E, (MATCH(945, 輔助計算!$G$2:$G$801, 0)+1)))), "")</f>
        <v/>
      </c>
      <c r="G946" s="10">
        <f>IFERROR(IF(INDEX(ERP資料!$F:$F, (MATCH(945, 輔助計算!$G$2:$G$801, 0)+1))="","",INDEX(ERP資料!$F:$F, (MATCH(945, 輔助計算!$G$2:$G$801, 0)+1))), "")</f>
        <v/>
      </c>
      <c r="H946" s="10">
        <f>IFERROR(IF(INDEX(ERP資料!$G:$G, (MATCH(945, 輔助計算!$G$2:$G$801, 0)+1))="","",INDEX(ERP資料!$G:$G, (MATCH(945, 輔助計算!$G$2:$G$801, 0)+1))), "")</f>
        <v/>
      </c>
      <c r="I946" s="15">
        <f>IFERROR(INDEX(輔助計算!$D:$D, (MATCH(945, 輔助計算!$G$2:$G$801, 0)+1)), "")</f>
        <v/>
      </c>
      <c r="J946" s="15">
        <f>IFERROR(IF(AND(INDEX(輔助計算!$D:$D, (MATCH(945, 輔助計算!$G$2:$G$801, 0)+1))&lt;&gt;"", INDEX(ERP資料!$G:$G, (MATCH(945, 輔助計算!$G$2:$G$801, 0)+1))&lt;&gt;""), TRIM(IF(INT(INDEX(輔助計算!$D:$D, (MATCH(945, 輔助計算!$G$2:$G$801, 0)+1))/IF(INDEX(ERP資料!$G:$G, (MATCH(945, 輔助計算!$G$2:$G$801, 0)+1))&lt;100, IF(INDEX(ERP資料!$G:$G, (MATCH(945, 輔助計算!$G$2:$G$801, 0)+1))&lt;=31,3,IF(INDEX(ERP資料!$G:$G, (MATCH(945, 輔助計算!$G$2:$G$801, 0)+1))&lt;=46.5,2,1)), IF(INDEX(ERP資料!$G:$G, (MATCH(945, 輔助計算!$G$2:$G$801, 0)+1))&lt;=790,3,IF(INDEX(ERP資料!$G:$G, (MATCH(945, 輔助計算!$G$2:$G$801, 0)+1))&lt;=1181,2,1))))&gt;0, IF(IF(INDEX(ERP資料!$G:$G, (MATCH(945, 輔助計算!$G$2:$G$801, 0)+1))&lt;100, IF(INDEX(ERP資料!$G:$G, (MATCH(945, 輔助計算!$G$2:$G$801, 0)+1))&lt;=31,3,IF(INDEX(ERP資料!$G:$G, (MATCH(945, 輔助計算!$G$2:$G$801, 0)+1))&lt;=46.5,2,1)), IF(INDEX(ERP資料!$G:$G, (MATCH(945, 輔助計算!$G$2:$G$801, 0)+1))&lt;=790,3,IF(INDEX(ERP資料!$G:$G, (MATCH(945, 輔助計算!$G$2:$G$801, 0)+1))&lt;=1181,2,1)))=1,TEXT(INDEX(ERP資料!$G:$G, (MATCH(945, 輔助計算!$G$2:$G$801, 0)+1)),"0.##"),IF(IF(INDEX(ERP資料!$G:$G, (MATCH(945, 輔助計算!$G$2:$G$801, 0)+1))&lt;100, IF(INDEX(ERP資料!$G:$G, (MATCH(945, 輔助計算!$G$2:$G$801, 0)+1))&lt;=31,3,IF(INDEX(ERP資料!$G:$G, (MATCH(945, 輔助計算!$G$2:$G$801, 0)+1))&lt;=46.5,2,1)), IF(INDEX(ERP資料!$G:$G, (MATCH(945, 輔助計算!$G$2:$G$801, 0)+1))&lt;=790,3,IF(INDEX(ERP資料!$G:$G, (MATCH(945, 輔助計算!$G$2:$G$801, 0)+1))&lt;=1181,2,1)))=2,TEXT(INDEX(ERP資料!$G:$G, (MATCH(945, 輔助計算!$G$2:$G$801, 0)+1)),"0.##")&amp;"+"&amp;TEXT(INDEX(ERP資料!$G:$G, (MATCH(945, 輔助計算!$G$2:$G$801, 0)+1)),"0.##"),TEXT(INDEX(ERP資料!$G:$G, (MATCH(945, 輔助計算!$G$2:$G$801, 0)+1)),"0.##")&amp;"+"&amp;TEXT(INDEX(ERP資料!$G:$G, (MATCH(945, 輔助計算!$G$2:$G$801, 0)+1)),"0.##")&amp;"+"&amp;TEXT(INDEX(ERP資料!$G:$G, (MATCH(945, 輔助計算!$G$2:$G$801, 0)+1)),"0.##")))&amp;"-"&amp;INT(INDEX(輔助計算!$D:$D, (MATCH(945, 輔助計算!$G$2:$G$801, 0)+1))/IF(INDEX(ERP資料!$G:$G, (MATCH(945, 輔助計算!$G$2:$G$801, 0)+1))&lt;100, IF(INDEX(ERP資料!$G:$G, (MATCH(945, 輔助計算!$G$2:$G$801, 0)+1))&lt;=31,3,IF(INDEX(ERP資料!$G:$G, (MATCH(945, 輔助計算!$G$2:$G$801, 0)+1))&lt;=46.5,2,1)), IF(INDEX(ERP資料!$G:$G, (MATCH(945, 輔助計算!$G$2:$G$801, 0)+1))&lt;=790,3,IF(INDEX(ERP資料!$G:$G, (MATCH(945, 輔助計算!$G$2:$G$801, 0)+1))&lt;=1181,2,1)))), "")&amp;IF(AND(IF(INT(INDEX(輔助計算!$D:$D, (MATCH(945, 輔助計算!$G$2:$G$801, 0)+1))/IF(INDEX(ERP資料!$G:$G, (MATCH(945, 輔助計算!$G$2:$G$801, 0)+1))&lt;100, IF(INDEX(ERP資料!$G:$G, (MATCH(945, 輔助計算!$G$2:$G$801, 0)+1))&lt;=31,3,IF(INDEX(ERP資料!$G:$G, (MATCH(945, 輔助計算!$G$2:$G$801, 0)+1))&lt;=46.5,2,1)), IF(INDEX(ERP資料!$G:$G, (MATCH(945, 輔助計算!$G$2:$G$801, 0)+1))&lt;=790,3,IF(INDEX(ERP資料!$G:$G, (MATCH(945, 輔助計算!$G$2:$G$801, 0)+1))&lt;=1181,2,1))))&gt;0, IF(IF(INDEX(ERP資料!$G:$G, (MATCH(945, 輔助計算!$G$2:$G$801, 0)+1))&lt;100, IF(INDEX(ERP資料!$G:$G, (MATCH(945, 輔助計算!$G$2:$G$801, 0)+1))&lt;=31,3,IF(INDEX(ERP資料!$G:$G, (MATCH(945, 輔助計算!$G$2:$G$801, 0)+1))&lt;=46.5,2,1)), IF(INDEX(ERP資料!$G:$G, (MATCH(945, 輔助計算!$G$2:$G$801, 0)+1))&lt;=790,3,IF(INDEX(ERP資料!$G:$G, (MATCH(945, 輔助計算!$G$2:$G$801, 0)+1))&lt;=1181,2,1)))=1,TEXT(INDEX(ERP資料!$G:$G, (MATCH(945, 輔助計算!$G$2:$G$801, 0)+1)),"0.##"),IF(IF(INDEX(ERP資料!$G:$G, (MATCH(945, 輔助計算!$G$2:$G$801, 0)+1))&lt;100, IF(INDEX(ERP資料!$G:$G, (MATCH(945, 輔助計算!$G$2:$G$801, 0)+1))&lt;=31,3,IF(INDEX(ERP資料!$G:$G, (MATCH(945, 輔助計算!$G$2:$G$801, 0)+1))&lt;=46.5,2,1)), IF(INDEX(ERP資料!$G:$G, (MATCH(945, 輔助計算!$G$2:$G$801, 0)+1))&lt;=790,3,IF(INDEX(ERP資料!$G:$G, (MATCH(945, 輔助計算!$G$2:$G$801, 0)+1))&lt;=1181,2,1)))=2,TEXT(INDEX(ERP資料!$G:$G, (MATCH(945, 輔助計算!$G$2:$G$801, 0)+1)),"0.##")&amp;"+"&amp;TEXT(INDEX(ERP資料!$G:$G, (MATCH(945, 輔助計算!$G$2:$G$801, 0)+1)),"0.##"),TEXT(INDEX(ERP資料!$G:$G, (MATCH(945, 輔助計算!$G$2:$G$801, 0)+1)),"0.##")&amp;"+"&amp;TEXT(INDEX(ERP資料!$G:$G, (MATCH(945, 輔助計算!$G$2:$G$801, 0)+1)),"0.##")&amp;"+"&amp;TEXT(INDEX(ERP資料!$G:$G, (MATCH(945, 輔助計算!$G$2:$G$801, 0)+1)),"0.##")))&amp;"-"&amp;INT(INDEX(輔助計算!$D:$D, (MATCH(945, 輔助計算!$G$2:$G$801, 0)+1))/IF(INDEX(ERP資料!$G:$G, (MATCH(945, 輔助計算!$G$2:$G$801, 0)+1))&lt;100, IF(INDEX(ERP資料!$G:$G, (MATCH(945, 輔助計算!$G$2:$G$801, 0)+1))&lt;=31,3,IF(INDEX(ERP資料!$G:$G, (MATCH(945, 輔助計算!$G$2:$G$801, 0)+1))&lt;=46.5,2,1)), IF(INDEX(ERP資料!$G:$G, (MATCH(945, 輔助計算!$G$2:$G$801, 0)+1))&lt;=790,3,IF(INDEX(ERP資料!$G:$G, (MATCH(945, 輔助計算!$G$2:$G$801, 0)+1))&lt;=1181,2,1)))), "")&lt;&gt;"",IF(MOD(INDEX(輔助計算!$D:$D, (MATCH(945, 輔助計算!$G$2:$G$801, 0)+1)),IF(INDEX(ERP資料!$G:$G, (MATCH(945, 輔助計算!$G$2:$G$801, 0)+1))&lt;100, IF(INDEX(ERP資料!$G:$G, (MATCH(945, 輔助計算!$G$2:$G$801, 0)+1))&lt;=31,3,IF(INDEX(ERP資料!$G:$G, (MATCH(945, 輔助計算!$G$2:$G$801, 0)+1))&lt;=46.5,2,1)), IF(INDEX(ERP資料!$G:$G, (MATCH(945, 輔助計算!$G$2:$G$801, 0)+1))&lt;=790,3,IF(INDEX(ERP資料!$G:$G, (MATCH(945, 輔助計算!$G$2:$G$801, 0)+1))&lt;=1181,2,1))))=0,"",IF(MOD(INDEX(輔助計算!$D:$D, (MATCH(945, 輔助計算!$G$2:$G$801, 0)+1)),IF(INDEX(ERP資料!$G:$G, (MATCH(945, 輔助計算!$G$2:$G$801, 0)+1))&lt;100, IF(INDEX(ERP資料!$G:$G, (MATCH(945, 輔助計算!$G$2:$G$801, 0)+1))&lt;=31,3,IF(INDEX(ERP資料!$G:$G, (MATCH(945, 輔助計算!$G$2:$G$801, 0)+1))&lt;=46.5,2,1)), IF(INDEX(ERP資料!$G:$G, (MATCH(945, 輔助計算!$G$2:$G$801, 0)+1))&lt;=790,3,IF(INDEX(ERP資料!$G:$G, (MATCH(945, 輔助計算!$G$2:$G$801, 0)+1))&lt;=1181,2,1))))=0,"",IF(MOD(INDEX(輔助計算!$D:$D, (MATCH(945, 輔助計算!$G$2:$G$801, 0)+1)),IF(INDEX(ERP資料!$G:$G, (MATCH(945, 輔助計算!$G$2:$G$801, 0)+1))&lt;100, IF(INDEX(ERP資料!$G:$G, (MATCH(945, 輔助計算!$G$2:$G$801, 0)+1))&lt;=31,3,IF(INDEX(ERP資料!$G:$G, (MATCH(945, 輔助計算!$G$2:$G$801, 0)+1))&lt;=46.5,2,1)), IF(INDEX(ERP資料!$G:$G, (MATCH(945, 輔助計算!$G$2:$G$801, 0)+1))&lt;=790,3,IF(INDEX(ERP資料!$G:$G, (MATCH(945, 輔助計算!$G$2:$G$801, 0)+1))&lt;=1181,2,1))))=1,TEXT(INDEX(ERP資料!$G:$G, (MATCH(945, 輔助計算!$G$2:$G$801, 0)+1)),"0.##"),IF(MOD(INDEX(輔助計算!$D:$D, (MATCH(945, 輔助計算!$G$2:$G$801, 0)+1)),IF(INDEX(ERP資料!$G:$G, (MATCH(945, 輔助計算!$G$2:$G$801, 0)+1))&lt;100, IF(INDEX(ERP資料!$G:$G, (MATCH(945, 輔助計算!$G$2:$G$801, 0)+1))&lt;=31,3,IF(INDEX(ERP資料!$G:$G, (MATCH(945, 輔助計算!$G$2:$G$801, 0)+1))&lt;=46.5,2,1)), IF(INDEX(ERP資料!$G:$G, (MATCH(945, 輔助計算!$G$2:$G$801, 0)+1))&lt;=790,3,IF(INDEX(ERP資料!$G:$G, (MATCH(945, 輔助計算!$G$2:$G$801, 0)+1))&lt;=1181,2,1))))=2,TEXT(INDEX(ERP資料!$G:$G, (MATCH(945, 輔助計算!$G$2:$G$801, 0)+1)),"0.##")&amp;"+"&amp;TEXT(INDEX(ERP資料!$G:$G, (MATCH(945, 輔助計算!$G$2:$G$801, 0)+1)),"0.##"),TEXT(INDEX(ERP資料!$G:$G, (MATCH(945, 輔助計算!$G$2:$G$801, 0)+1)),"0.##")&amp;"+"&amp;TEXT(INDEX(ERP資料!$G:$G, (MATCH(945, 輔助計算!$G$2:$G$801, 0)+1)),"0.##")&amp;"+"&amp;TEXT(INDEX(ERP資料!$G:$G, (MATCH(945, 輔助計算!$G$2:$G$801, 0)+1)),"0.##"))))&amp;"-1")&lt;&gt;""),"  ","")&amp;IF(MOD(INDEX(輔助計算!$D:$D, (MATCH(945, 輔助計算!$G$2:$G$801, 0)+1)),IF(INDEX(ERP資料!$G:$G, (MATCH(945, 輔助計算!$G$2:$G$801, 0)+1))&lt;100, IF(INDEX(ERP資料!$G:$G, (MATCH(945, 輔助計算!$G$2:$G$801, 0)+1))&lt;=31,3,IF(INDEX(ERP資料!$G:$G, (MATCH(945, 輔助計算!$G$2:$G$801, 0)+1))&lt;=46.5,2,1)), IF(INDEX(ERP資料!$G:$G, (MATCH(945, 輔助計算!$G$2:$G$801, 0)+1))&lt;=790,3,IF(INDEX(ERP資料!$G:$G, (MATCH(945, 輔助計算!$G$2:$G$801, 0)+1))&lt;=1181,2,1))))=0,"",IF(MOD(INDEX(輔助計算!$D:$D, (MATCH(945, 輔助計算!$G$2:$G$801, 0)+1)),IF(INDEX(ERP資料!$G:$G, (MATCH(945, 輔助計算!$G$2:$G$801, 0)+1))&lt;100, IF(INDEX(ERP資料!$G:$G, (MATCH(945, 輔助計算!$G$2:$G$801, 0)+1))&lt;=31,3,IF(INDEX(ERP資料!$G:$G, (MATCH(945, 輔助計算!$G$2:$G$801, 0)+1))&lt;=46.5,2,1)), IF(INDEX(ERP資料!$G:$G, (MATCH(945, 輔助計算!$G$2:$G$801, 0)+1))&lt;=790,3,IF(INDEX(ERP資料!$G:$G, (MATCH(945, 輔助計算!$G$2:$G$801, 0)+1))&lt;=1181,2,1))))=0,"",IF(MOD(INDEX(輔助計算!$D:$D, (MATCH(945, 輔助計算!$G$2:$G$801, 0)+1)),IF(INDEX(ERP資料!$G:$G, (MATCH(945, 輔助計算!$G$2:$G$801, 0)+1))&lt;100, IF(INDEX(ERP資料!$G:$G, (MATCH(945, 輔助計算!$G$2:$G$801, 0)+1))&lt;=31,3,IF(INDEX(ERP資料!$G:$G, (MATCH(945, 輔助計算!$G$2:$G$801, 0)+1))&lt;=46.5,2,1)), IF(INDEX(ERP資料!$G:$G, (MATCH(945, 輔助計算!$G$2:$G$801, 0)+1))&lt;=790,3,IF(INDEX(ERP資料!$G:$G, (MATCH(945, 輔助計算!$G$2:$G$801, 0)+1))&lt;=1181,2,1))))=1,TEXT(INDEX(ERP資料!$G:$G, (MATCH(945, 輔助計算!$G$2:$G$801, 0)+1)),"0.##"),IF(MOD(INDEX(輔助計算!$D:$D, (MATCH(945, 輔助計算!$G$2:$G$801, 0)+1)),IF(INDEX(ERP資料!$G:$G, (MATCH(945, 輔助計算!$G$2:$G$801, 0)+1))&lt;100, IF(INDEX(ERP資料!$G:$G, (MATCH(945, 輔助計算!$G$2:$G$801, 0)+1))&lt;=31,3,IF(INDEX(ERP資料!$G:$G, (MATCH(945, 輔助計算!$G$2:$G$801, 0)+1))&lt;=46.5,2,1)), IF(INDEX(ERP資料!$G:$G, (MATCH(945, 輔助計算!$G$2:$G$801, 0)+1))&lt;=790,3,IF(INDEX(ERP資料!$G:$G, (MATCH(945, 輔助計算!$G$2:$G$801, 0)+1))&lt;=1181,2,1))))=2,TEXT(INDEX(ERP資料!$G:$G, (MATCH(945, 輔助計算!$G$2:$G$801, 0)+1)),"0.##")&amp;"+"&amp;TEXT(INDEX(ERP資料!$G:$G, (MATCH(945, 輔助計算!$G$2:$G$801, 0)+1)),"0.##"),TEXT(INDEX(ERP資料!$G:$G, (MATCH(945, 輔助計算!$G$2:$G$801, 0)+1)),"0.##")&amp;"+"&amp;TEXT(INDEX(ERP資料!$G:$G, (MATCH(945, 輔助計算!$G$2:$G$801, 0)+1)),"0.##")&amp;"+"&amp;TEXT(INDEX(ERP資料!$G:$G, (MATCH(945, 輔助計算!$G$2:$G$801, 0)+1)),"0.##"))))&amp;"-1")), ""), "")</f>
        <v/>
      </c>
      <c r="K946" s="16" t="n"/>
      <c r="L946" s="14">
        <f>IFERROR(IF(AND(IFERROR(INDEX(ERP資料!$A:$A, (MATCH(945, 輔助計算!$G$2:$G$801, 0)+1)), "")&lt;&gt;"", IFERROR(INDEX(ERP資料!$A:$A, (MATCH(945, 輔助計算!$G$2:$G$801, 0)+1)), "")&lt;&gt;IFERROR(INDEX(ERP資料!$A:$A, MATCH(944, 輔助計算!$G$2:$G$801, 0)+1), "")), INDEX(ERP資料!$B:$B, (MATCH(945, 輔助計算!$G$2:$G$801, 0)+1)), ""), "")</f>
        <v/>
      </c>
      <c r="M946" s="17" t="n"/>
    </row>
    <row r="947">
      <c r="A947" s="10">
        <f>IFERROR(IF(AND(IFERROR(INDEX(ERP資料!$A:$A, (MATCH(946, 輔助計算!$G$2:$G$801, 0)+1)), "")&lt;&gt;"", IFERROR(INDEX(ERP資料!$A:$A, (MATCH(946, 輔助計算!$G$2:$G$801, 0)+1)), "")&lt;&gt;IFERROR(INDEX(ERP資料!$A:$A, MATCH(945, 輔助計算!$G$2:$G$801, 0)+1), "")), IFERROR(INDEX(ERP資料!$A:$A, (MATCH(946, 輔助計算!$G$2:$G$801, 0)+1)), ""), ""), "")</f>
        <v/>
      </c>
      <c r="B947" s="10">
        <f>IFERROR(IF(AND(IFERROR(INDEX(ERP資料!$A:$A, (MATCH(946, 輔助計算!$G$2:$G$801, 0)+1)), "")&lt;&gt;"", IFERROR(INDEX(ERP資料!$A:$A, (MATCH(946, 輔助計算!$G$2:$G$801, 0)+1)), "")&lt;&gt;IFERROR(INDEX(ERP資料!$A:$A, MATCH(945, 輔助計算!$G$2:$G$801, 0)+1), "")), INDEX(ERP資料!$S:$S, (MATCH(946, 輔助計算!$G$2:$G$801, 0)+1)), ""), "")</f>
        <v/>
      </c>
      <c r="C947" s="19">
        <f>IFERROR(IF(AND(IFERROR(INDEX(ERP資料!$A:$A, (MATCH(946, 輔助計算!$G$2:$G$801, 0)+1)), "")&lt;&gt;"", IFERROR(INDEX(ERP資料!$A:$A, (MATCH(946, 輔助計算!$G$2:$G$801, 0)+1)), "")&lt;&gt;IFERROR(INDEX(ERP資料!$A:$A, MATCH(945, 輔助計算!$G$2:$G$801, 0)+1), "")), IFERROR(VLOOKUP(LEFT(INDEX(ERP資料!$S:$S, (MATCH(946, 輔助計算!$G$2:$G$801, 0)+1)), 4), 紙管對照表!$A:$C, 3, FALSE), ""), ""), "")</f>
        <v/>
      </c>
      <c r="D947" s="16" t="n"/>
      <c r="E947" s="10">
        <f>IFERROR(IF(INDEX(ERP資料!$H:$H, (MATCH(946, 輔助計算!$G$2:$G$801, 0)+1))="","",INDEX(ERP資料!$H:$H, (MATCH(946, 輔助計算!$G$2:$G$801, 0)+1))), "")</f>
        <v/>
      </c>
      <c r="F947" s="10">
        <f>IFERROR(IF(INDEX(ERP資料!$E:$E, (MATCH(946, 輔助計算!$G$2:$G$801, 0)+1))="","",TRIM(INDEX(ERP資料!$E:$E, (MATCH(946, 輔助計算!$G$2:$G$801, 0)+1)))), "")</f>
        <v/>
      </c>
      <c r="G947" s="10">
        <f>IFERROR(IF(INDEX(ERP資料!$F:$F, (MATCH(946, 輔助計算!$G$2:$G$801, 0)+1))="","",INDEX(ERP資料!$F:$F, (MATCH(946, 輔助計算!$G$2:$G$801, 0)+1))), "")</f>
        <v/>
      </c>
      <c r="H947" s="10">
        <f>IFERROR(IF(INDEX(ERP資料!$G:$G, (MATCH(946, 輔助計算!$G$2:$G$801, 0)+1))="","",INDEX(ERP資料!$G:$G, (MATCH(946, 輔助計算!$G$2:$G$801, 0)+1))), "")</f>
        <v/>
      </c>
      <c r="I947" s="15">
        <f>IFERROR(INDEX(輔助計算!$D:$D, (MATCH(946, 輔助計算!$G$2:$G$801, 0)+1)), "")</f>
        <v/>
      </c>
      <c r="J947" s="15">
        <f>IFERROR(IF(AND(INDEX(輔助計算!$D:$D, (MATCH(946, 輔助計算!$G$2:$G$801, 0)+1))&lt;&gt;"", INDEX(ERP資料!$G:$G, (MATCH(946, 輔助計算!$G$2:$G$801, 0)+1))&lt;&gt;""), TRIM(IF(INT(INDEX(輔助計算!$D:$D, (MATCH(946, 輔助計算!$G$2:$G$801, 0)+1))/IF(INDEX(ERP資料!$G:$G, (MATCH(946, 輔助計算!$G$2:$G$801, 0)+1))&lt;100, IF(INDEX(ERP資料!$G:$G, (MATCH(946, 輔助計算!$G$2:$G$801, 0)+1))&lt;=31,3,IF(INDEX(ERP資料!$G:$G, (MATCH(946, 輔助計算!$G$2:$G$801, 0)+1))&lt;=46.5,2,1)), IF(INDEX(ERP資料!$G:$G, (MATCH(946, 輔助計算!$G$2:$G$801, 0)+1))&lt;=790,3,IF(INDEX(ERP資料!$G:$G, (MATCH(946, 輔助計算!$G$2:$G$801, 0)+1))&lt;=1181,2,1))))&gt;0, IF(IF(INDEX(ERP資料!$G:$G, (MATCH(946, 輔助計算!$G$2:$G$801, 0)+1))&lt;100, IF(INDEX(ERP資料!$G:$G, (MATCH(946, 輔助計算!$G$2:$G$801, 0)+1))&lt;=31,3,IF(INDEX(ERP資料!$G:$G, (MATCH(946, 輔助計算!$G$2:$G$801, 0)+1))&lt;=46.5,2,1)), IF(INDEX(ERP資料!$G:$G, (MATCH(946, 輔助計算!$G$2:$G$801, 0)+1))&lt;=790,3,IF(INDEX(ERP資料!$G:$G, (MATCH(946, 輔助計算!$G$2:$G$801, 0)+1))&lt;=1181,2,1)))=1,TEXT(INDEX(ERP資料!$G:$G, (MATCH(946, 輔助計算!$G$2:$G$801, 0)+1)),"0.##"),IF(IF(INDEX(ERP資料!$G:$G, (MATCH(946, 輔助計算!$G$2:$G$801, 0)+1))&lt;100, IF(INDEX(ERP資料!$G:$G, (MATCH(946, 輔助計算!$G$2:$G$801, 0)+1))&lt;=31,3,IF(INDEX(ERP資料!$G:$G, (MATCH(946, 輔助計算!$G$2:$G$801, 0)+1))&lt;=46.5,2,1)), IF(INDEX(ERP資料!$G:$G, (MATCH(946, 輔助計算!$G$2:$G$801, 0)+1))&lt;=790,3,IF(INDEX(ERP資料!$G:$G, (MATCH(946, 輔助計算!$G$2:$G$801, 0)+1))&lt;=1181,2,1)))=2,TEXT(INDEX(ERP資料!$G:$G, (MATCH(946, 輔助計算!$G$2:$G$801, 0)+1)),"0.##")&amp;"+"&amp;TEXT(INDEX(ERP資料!$G:$G, (MATCH(946, 輔助計算!$G$2:$G$801, 0)+1)),"0.##"),TEXT(INDEX(ERP資料!$G:$G, (MATCH(946, 輔助計算!$G$2:$G$801, 0)+1)),"0.##")&amp;"+"&amp;TEXT(INDEX(ERP資料!$G:$G, (MATCH(946, 輔助計算!$G$2:$G$801, 0)+1)),"0.##")&amp;"+"&amp;TEXT(INDEX(ERP資料!$G:$G, (MATCH(946, 輔助計算!$G$2:$G$801, 0)+1)),"0.##")))&amp;"-"&amp;INT(INDEX(輔助計算!$D:$D, (MATCH(946, 輔助計算!$G$2:$G$801, 0)+1))/IF(INDEX(ERP資料!$G:$G, (MATCH(946, 輔助計算!$G$2:$G$801, 0)+1))&lt;100, IF(INDEX(ERP資料!$G:$G, (MATCH(946, 輔助計算!$G$2:$G$801, 0)+1))&lt;=31,3,IF(INDEX(ERP資料!$G:$G, (MATCH(946, 輔助計算!$G$2:$G$801, 0)+1))&lt;=46.5,2,1)), IF(INDEX(ERP資料!$G:$G, (MATCH(946, 輔助計算!$G$2:$G$801, 0)+1))&lt;=790,3,IF(INDEX(ERP資料!$G:$G, (MATCH(946, 輔助計算!$G$2:$G$801, 0)+1))&lt;=1181,2,1)))), "")&amp;IF(AND(IF(INT(INDEX(輔助計算!$D:$D, (MATCH(946, 輔助計算!$G$2:$G$801, 0)+1))/IF(INDEX(ERP資料!$G:$G, (MATCH(946, 輔助計算!$G$2:$G$801, 0)+1))&lt;100, IF(INDEX(ERP資料!$G:$G, (MATCH(946, 輔助計算!$G$2:$G$801, 0)+1))&lt;=31,3,IF(INDEX(ERP資料!$G:$G, (MATCH(946, 輔助計算!$G$2:$G$801, 0)+1))&lt;=46.5,2,1)), IF(INDEX(ERP資料!$G:$G, (MATCH(946, 輔助計算!$G$2:$G$801, 0)+1))&lt;=790,3,IF(INDEX(ERP資料!$G:$G, (MATCH(946, 輔助計算!$G$2:$G$801, 0)+1))&lt;=1181,2,1))))&gt;0, IF(IF(INDEX(ERP資料!$G:$G, (MATCH(946, 輔助計算!$G$2:$G$801, 0)+1))&lt;100, IF(INDEX(ERP資料!$G:$G, (MATCH(946, 輔助計算!$G$2:$G$801, 0)+1))&lt;=31,3,IF(INDEX(ERP資料!$G:$G, (MATCH(946, 輔助計算!$G$2:$G$801, 0)+1))&lt;=46.5,2,1)), IF(INDEX(ERP資料!$G:$G, (MATCH(946, 輔助計算!$G$2:$G$801, 0)+1))&lt;=790,3,IF(INDEX(ERP資料!$G:$G, (MATCH(946, 輔助計算!$G$2:$G$801, 0)+1))&lt;=1181,2,1)))=1,TEXT(INDEX(ERP資料!$G:$G, (MATCH(946, 輔助計算!$G$2:$G$801, 0)+1)),"0.##"),IF(IF(INDEX(ERP資料!$G:$G, (MATCH(946, 輔助計算!$G$2:$G$801, 0)+1))&lt;100, IF(INDEX(ERP資料!$G:$G, (MATCH(946, 輔助計算!$G$2:$G$801, 0)+1))&lt;=31,3,IF(INDEX(ERP資料!$G:$G, (MATCH(946, 輔助計算!$G$2:$G$801, 0)+1))&lt;=46.5,2,1)), IF(INDEX(ERP資料!$G:$G, (MATCH(946, 輔助計算!$G$2:$G$801, 0)+1))&lt;=790,3,IF(INDEX(ERP資料!$G:$G, (MATCH(946, 輔助計算!$G$2:$G$801, 0)+1))&lt;=1181,2,1)))=2,TEXT(INDEX(ERP資料!$G:$G, (MATCH(946, 輔助計算!$G$2:$G$801, 0)+1)),"0.##")&amp;"+"&amp;TEXT(INDEX(ERP資料!$G:$G, (MATCH(946, 輔助計算!$G$2:$G$801, 0)+1)),"0.##"),TEXT(INDEX(ERP資料!$G:$G, (MATCH(946, 輔助計算!$G$2:$G$801, 0)+1)),"0.##")&amp;"+"&amp;TEXT(INDEX(ERP資料!$G:$G, (MATCH(946, 輔助計算!$G$2:$G$801, 0)+1)),"0.##")&amp;"+"&amp;TEXT(INDEX(ERP資料!$G:$G, (MATCH(946, 輔助計算!$G$2:$G$801, 0)+1)),"0.##")))&amp;"-"&amp;INT(INDEX(輔助計算!$D:$D, (MATCH(946, 輔助計算!$G$2:$G$801, 0)+1))/IF(INDEX(ERP資料!$G:$G, (MATCH(946, 輔助計算!$G$2:$G$801, 0)+1))&lt;100, IF(INDEX(ERP資料!$G:$G, (MATCH(946, 輔助計算!$G$2:$G$801, 0)+1))&lt;=31,3,IF(INDEX(ERP資料!$G:$G, (MATCH(946, 輔助計算!$G$2:$G$801, 0)+1))&lt;=46.5,2,1)), IF(INDEX(ERP資料!$G:$G, (MATCH(946, 輔助計算!$G$2:$G$801, 0)+1))&lt;=790,3,IF(INDEX(ERP資料!$G:$G, (MATCH(946, 輔助計算!$G$2:$G$801, 0)+1))&lt;=1181,2,1)))), "")&lt;&gt;"",IF(MOD(INDEX(輔助計算!$D:$D, (MATCH(946, 輔助計算!$G$2:$G$801, 0)+1)),IF(INDEX(ERP資料!$G:$G, (MATCH(946, 輔助計算!$G$2:$G$801, 0)+1))&lt;100, IF(INDEX(ERP資料!$G:$G, (MATCH(946, 輔助計算!$G$2:$G$801, 0)+1))&lt;=31,3,IF(INDEX(ERP資料!$G:$G, (MATCH(946, 輔助計算!$G$2:$G$801, 0)+1))&lt;=46.5,2,1)), IF(INDEX(ERP資料!$G:$G, (MATCH(946, 輔助計算!$G$2:$G$801, 0)+1))&lt;=790,3,IF(INDEX(ERP資料!$G:$G, (MATCH(946, 輔助計算!$G$2:$G$801, 0)+1))&lt;=1181,2,1))))=0,"",IF(MOD(INDEX(輔助計算!$D:$D, (MATCH(946, 輔助計算!$G$2:$G$801, 0)+1)),IF(INDEX(ERP資料!$G:$G, (MATCH(946, 輔助計算!$G$2:$G$801, 0)+1))&lt;100, IF(INDEX(ERP資料!$G:$G, (MATCH(946, 輔助計算!$G$2:$G$801, 0)+1))&lt;=31,3,IF(INDEX(ERP資料!$G:$G, (MATCH(946, 輔助計算!$G$2:$G$801, 0)+1))&lt;=46.5,2,1)), IF(INDEX(ERP資料!$G:$G, (MATCH(946, 輔助計算!$G$2:$G$801, 0)+1))&lt;=790,3,IF(INDEX(ERP資料!$G:$G, (MATCH(946, 輔助計算!$G$2:$G$801, 0)+1))&lt;=1181,2,1))))=0,"",IF(MOD(INDEX(輔助計算!$D:$D, (MATCH(946, 輔助計算!$G$2:$G$801, 0)+1)),IF(INDEX(ERP資料!$G:$G, (MATCH(946, 輔助計算!$G$2:$G$801, 0)+1))&lt;100, IF(INDEX(ERP資料!$G:$G, (MATCH(946, 輔助計算!$G$2:$G$801, 0)+1))&lt;=31,3,IF(INDEX(ERP資料!$G:$G, (MATCH(946, 輔助計算!$G$2:$G$801, 0)+1))&lt;=46.5,2,1)), IF(INDEX(ERP資料!$G:$G, (MATCH(946, 輔助計算!$G$2:$G$801, 0)+1))&lt;=790,3,IF(INDEX(ERP資料!$G:$G, (MATCH(946, 輔助計算!$G$2:$G$801, 0)+1))&lt;=1181,2,1))))=1,TEXT(INDEX(ERP資料!$G:$G, (MATCH(946, 輔助計算!$G$2:$G$801, 0)+1)),"0.##"),IF(MOD(INDEX(輔助計算!$D:$D, (MATCH(946, 輔助計算!$G$2:$G$801, 0)+1)),IF(INDEX(ERP資料!$G:$G, (MATCH(946, 輔助計算!$G$2:$G$801, 0)+1))&lt;100, IF(INDEX(ERP資料!$G:$G, (MATCH(946, 輔助計算!$G$2:$G$801, 0)+1))&lt;=31,3,IF(INDEX(ERP資料!$G:$G, (MATCH(946, 輔助計算!$G$2:$G$801, 0)+1))&lt;=46.5,2,1)), IF(INDEX(ERP資料!$G:$G, (MATCH(946, 輔助計算!$G$2:$G$801, 0)+1))&lt;=790,3,IF(INDEX(ERP資料!$G:$G, (MATCH(946, 輔助計算!$G$2:$G$801, 0)+1))&lt;=1181,2,1))))=2,TEXT(INDEX(ERP資料!$G:$G, (MATCH(946, 輔助計算!$G$2:$G$801, 0)+1)),"0.##")&amp;"+"&amp;TEXT(INDEX(ERP資料!$G:$G, (MATCH(946, 輔助計算!$G$2:$G$801, 0)+1)),"0.##"),TEXT(INDEX(ERP資料!$G:$G, (MATCH(946, 輔助計算!$G$2:$G$801, 0)+1)),"0.##")&amp;"+"&amp;TEXT(INDEX(ERP資料!$G:$G, (MATCH(946, 輔助計算!$G$2:$G$801, 0)+1)),"0.##")&amp;"+"&amp;TEXT(INDEX(ERP資料!$G:$G, (MATCH(946, 輔助計算!$G$2:$G$801, 0)+1)),"0.##"))))&amp;"-1")&lt;&gt;""),"  ","")&amp;IF(MOD(INDEX(輔助計算!$D:$D, (MATCH(946, 輔助計算!$G$2:$G$801, 0)+1)),IF(INDEX(ERP資料!$G:$G, (MATCH(946, 輔助計算!$G$2:$G$801, 0)+1))&lt;100, IF(INDEX(ERP資料!$G:$G, (MATCH(946, 輔助計算!$G$2:$G$801, 0)+1))&lt;=31,3,IF(INDEX(ERP資料!$G:$G, (MATCH(946, 輔助計算!$G$2:$G$801, 0)+1))&lt;=46.5,2,1)), IF(INDEX(ERP資料!$G:$G, (MATCH(946, 輔助計算!$G$2:$G$801, 0)+1))&lt;=790,3,IF(INDEX(ERP資料!$G:$G, (MATCH(946, 輔助計算!$G$2:$G$801, 0)+1))&lt;=1181,2,1))))=0,"",IF(MOD(INDEX(輔助計算!$D:$D, (MATCH(946, 輔助計算!$G$2:$G$801, 0)+1)),IF(INDEX(ERP資料!$G:$G, (MATCH(946, 輔助計算!$G$2:$G$801, 0)+1))&lt;100, IF(INDEX(ERP資料!$G:$G, (MATCH(946, 輔助計算!$G$2:$G$801, 0)+1))&lt;=31,3,IF(INDEX(ERP資料!$G:$G, (MATCH(946, 輔助計算!$G$2:$G$801, 0)+1))&lt;=46.5,2,1)), IF(INDEX(ERP資料!$G:$G, (MATCH(946, 輔助計算!$G$2:$G$801, 0)+1))&lt;=790,3,IF(INDEX(ERP資料!$G:$G, (MATCH(946, 輔助計算!$G$2:$G$801, 0)+1))&lt;=1181,2,1))))=0,"",IF(MOD(INDEX(輔助計算!$D:$D, (MATCH(946, 輔助計算!$G$2:$G$801, 0)+1)),IF(INDEX(ERP資料!$G:$G, (MATCH(946, 輔助計算!$G$2:$G$801, 0)+1))&lt;100, IF(INDEX(ERP資料!$G:$G, (MATCH(946, 輔助計算!$G$2:$G$801, 0)+1))&lt;=31,3,IF(INDEX(ERP資料!$G:$G, (MATCH(946, 輔助計算!$G$2:$G$801, 0)+1))&lt;=46.5,2,1)), IF(INDEX(ERP資料!$G:$G, (MATCH(946, 輔助計算!$G$2:$G$801, 0)+1))&lt;=790,3,IF(INDEX(ERP資料!$G:$G, (MATCH(946, 輔助計算!$G$2:$G$801, 0)+1))&lt;=1181,2,1))))=1,TEXT(INDEX(ERP資料!$G:$G, (MATCH(946, 輔助計算!$G$2:$G$801, 0)+1)),"0.##"),IF(MOD(INDEX(輔助計算!$D:$D, (MATCH(946, 輔助計算!$G$2:$G$801, 0)+1)),IF(INDEX(ERP資料!$G:$G, (MATCH(946, 輔助計算!$G$2:$G$801, 0)+1))&lt;100, IF(INDEX(ERP資料!$G:$G, (MATCH(946, 輔助計算!$G$2:$G$801, 0)+1))&lt;=31,3,IF(INDEX(ERP資料!$G:$G, (MATCH(946, 輔助計算!$G$2:$G$801, 0)+1))&lt;=46.5,2,1)), IF(INDEX(ERP資料!$G:$G, (MATCH(946, 輔助計算!$G$2:$G$801, 0)+1))&lt;=790,3,IF(INDEX(ERP資料!$G:$G, (MATCH(946, 輔助計算!$G$2:$G$801, 0)+1))&lt;=1181,2,1))))=2,TEXT(INDEX(ERP資料!$G:$G, (MATCH(946, 輔助計算!$G$2:$G$801, 0)+1)),"0.##")&amp;"+"&amp;TEXT(INDEX(ERP資料!$G:$G, (MATCH(946, 輔助計算!$G$2:$G$801, 0)+1)),"0.##"),TEXT(INDEX(ERP資料!$G:$G, (MATCH(946, 輔助計算!$G$2:$G$801, 0)+1)),"0.##")&amp;"+"&amp;TEXT(INDEX(ERP資料!$G:$G, (MATCH(946, 輔助計算!$G$2:$G$801, 0)+1)),"0.##")&amp;"+"&amp;TEXT(INDEX(ERP資料!$G:$G, (MATCH(946, 輔助計算!$G$2:$G$801, 0)+1)),"0.##"))))&amp;"-1")), ""), "")</f>
        <v/>
      </c>
      <c r="K947" s="16" t="n"/>
      <c r="L947" s="14">
        <f>IFERROR(IF(AND(IFERROR(INDEX(ERP資料!$A:$A, (MATCH(946, 輔助計算!$G$2:$G$801, 0)+1)), "")&lt;&gt;"", IFERROR(INDEX(ERP資料!$A:$A, (MATCH(946, 輔助計算!$G$2:$G$801, 0)+1)), "")&lt;&gt;IFERROR(INDEX(ERP資料!$A:$A, MATCH(945, 輔助計算!$G$2:$G$801, 0)+1), "")), INDEX(ERP資料!$B:$B, (MATCH(946, 輔助計算!$G$2:$G$801, 0)+1)), ""), "")</f>
        <v/>
      </c>
      <c r="M947" s="17" t="n"/>
    </row>
    <row r="948">
      <c r="A948" s="10">
        <f>IFERROR(IF(AND(IFERROR(INDEX(ERP資料!$A:$A, (MATCH(947, 輔助計算!$G$2:$G$801, 0)+1)), "")&lt;&gt;"", IFERROR(INDEX(ERP資料!$A:$A, (MATCH(947, 輔助計算!$G$2:$G$801, 0)+1)), "")&lt;&gt;IFERROR(INDEX(ERP資料!$A:$A, MATCH(946, 輔助計算!$G$2:$G$801, 0)+1), "")), IFERROR(INDEX(ERP資料!$A:$A, (MATCH(947, 輔助計算!$G$2:$G$801, 0)+1)), ""), ""), "")</f>
        <v/>
      </c>
      <c r="B948" s="10">
        <f>IFERROR(IF(AND(IFERROR(INDEX(ERP資料!$A:$A, (MATCH(947, 輔助計算!$G$2:$G$801, 0)+1)), "")&lt;&gt;"", IFERROR(INDEX(ERP資料!$A:$A, (MATCH(947, 輔助計算!$G$2:$G$801, 0)+1)), "")&lt;&gt;IFERROR(INDEX(ERP資料!$A:$A, MATCH(946, 輔助計算!$G$2:$G$801, 0)+1), "")), INDEX(ERP資料!$S:$S, (MATCH(947, 輔助計算!$G$2:$G$801, 0)+1)), ""), "")</f>
        <v/>
      </c>
      <c r="C948" s="19">
        <f>IFERROR(IF(AND(IFERROR(INDEX(ERP資料!$A:$A, (MATCH(947, 輔助計算!$G$2:$G$801, 0)+1)), "")&lt;&gt;"", IFERROR(INDEX(ERP資料!$A:$A, (MATCH(947, 輔助計算!$G$2:$G$801, 0)+1)), "")&lt;&gt;IFERROR(INDEX(ERP資料!$A:$A, MATCH(946, 輔助計算!$G$2:$G$801, 0)+1), "")), IFERROR(VLOOKUP(LEFT(INDEX(ERP資料!$S:$S, (MATCH(947, 輔助計算!$G$2:$G$801, 0)+1)), 4), 紙管對照表!$A:$C, 3, FALSE), ""), ""), "")</f>
        <v/>
      </c>
      <c r="D948" s="16" t="n"/>
      <c r="E948" s="10">
        <f>IFERROR(IF(INDEX(ERP資料!$H:$H, (MATCH(947, 輔助計算!$G$2:$G$801, 0)+1))="","",INDEX(ERP資料!$H:$H, (MATCH(947, 輔助計算!$G$2:$G$801, 0)+1))), "")</f>
        <v/>
      </c>
      <c r="F948" s="10">
        <f>IFERROR(IF(INDEX(ERP資料!$E:$E, (MATCH(947, 輔助計算!$G$2:$G$801, 0)+1))="","",TRIM(INDEX(ERP資料!$E:$E, (MATCH(947, 輔助計算!$G$2:$G$801, 0)+1)))), "")</f>
        <v/>
      </c>
      <c r="G948" s="10">
        <f>IFERROR(IF(INDEX(ERP資料!$F:$F, (MATCH(947, 輔助計算!$G$2:$G$801, 0)+1))="","",INDEX(ERP資料!$F:$F, (MATCH(947, 輔助計算!$G$2:$G$801, 0)+1))), "")</f>
        <v/>
      </c>
      <c r="H948" s="10">
        <f>IFERROR(IF(INDEX(ERP資料!$G:$G, (MATCH(947, 輔助計算!$G$2:$G$801, 0)+1))="","",INDEX(ERP資料!$G:$G, (MATCH(947, 輔助計算!$G$2:$G$801, 0)+1))), "")</f>
        <v/>
      </c>
      <c r="I948" s="15">
        <f>IFERROR(INDEX(輔助計算!$D:$D, (MATCH(947, 輔助計算!$G$2:$G$801, 0)+1)), "")</f>
        <v/>
      </c>
      <c r="J948" s="15">
        <f>IFERROR(IF(AND(INDEX(輔助計算!$D:$D, (MATCH(947, 輔助計算!$G$2:$G$801, 0)+1))&lt;&gt;"", INDEX(ERP資料!$G:$G, (MATCH(947, 輔助計算!$G$2:$G$801, 0)+1))&lt;&gt;""), TRIM(IF(INT(INDEX(輔助計算!$D:$D, (MATCH(947, 輔助計算!$G$2:$G$801, 0)+1))/IF(INDEX(ERP資料!$G:$G, (MATCH(947, 輔助計算!$G$2:$G$801, 0)+1))&lt;100, IF(INDEX(ERP資料!$G:$G, (MATCH(947, 輔助計算!$G$2:$G$801, 0)+1))&lt;=31,3,IF(INDEX(ERP資料!$G:$G, (MATCH(947, 輔助計算!$G$2:$G$801, 0)+1))&lt;=46.5,2,1)), IF(INDEX(ERP資料!$G:$G, (MATCH(947, 輔助計算!$G$2:$G$801, 0)+1))&lt;=790,3,IF(INDEX(ERP資料!$G:$G, (MATCH(947, 輔助計算!$G$2:$G$801, 0)+1))&lt;=1181,2,1))))&gt;0, IF(IF(INDEX(ERP資料!$G:$G, (MATCH(947, 輔助計算!$G$2:$G$801, 0)+1))&lt;100, IF(INDEX(ERP資料!$G:$G, (MATCH(947, 輔助計算!$G$2:$G$801, 0)+1))&lt;=31,3,IF(INDEX(ERP資料!$G:$G, (MATCH(947, 輔助計算!$G$2:$G$801, 0)+1))&lt;=46.5,2,1)), IF(INDEX(ERP資料!$G:$G, (MATCH(947, 輔助計算!$G$2:$G$801, 0)+1))&lt;=790,3,IF(INDEX(ERP資料!$G:$G, (MATCH(947, 輔助計算!$G$2:$G$801, 0)+1))&lt;=1181,2,1)))=1,TEXT(INDEX(ERP資料!$G:$G, (MATCH(947, 輔助計算!$G$2:$G$801, 0)+1)),"0.##"),IF(IF(INDEX(ERP資料!$G:$G, (MATCH(947, 輔助計算!$G$2:$G$801, 0)+1))&lt;100, IF(INDEX(ERP資料!$G:$G, (MATCH(947, 輔助計算!$G$2:$G$801, 0)+1))&lt;=31,3,IF(INDEX(ERP資料!$G:$G, (MATCH(947, 輔助計算!$G$2:$G$801, 0)+1))&lt;=46.5,2,1)), IF(INDEX(ERP資料!$G:$G, (MATCH(947, 輔助計算!$G$2:$G$801, 0)+1))&lt;=790,3,IF(INDEX(ERP資料!$G:$G, (MATCH(947, 輔助計算!$G$2:$G$801, 0)+1))&lt;=1181,2,1)))=2,TEXT(INDEX(ERP資料!$G:$G, (MATCH(947, 輔助計算!$G$2:$G$801, 0)+1)),"0.##")&amp;"+"&amp;TEXT(INDEX(ERP資料!$G:$G, (MATCH(947, 輔助計算!$G$2:$G$801, 0)+1)),"0.##"),TEXT(INDEX(ERP資料!$G:$G, (MATCH(947, 輔助計算!$G$2:$G$801, 0)+1)),"0.##")&amp;"+"&amp;TEXT(INDEX(ERP資料!$G:$G, (MATCH(947, 輔助計算!$G$2:$G$801, 0)+1)),"0.##")&amp;"+"&amp;TEXT(INDEX(ERP資料!$G:$G, (MATCH(947, 輔助計算!$G$2:$G$801, 0)+1)),"0.##")))&amp;"-"&amp;INT(INDEX(輔助計算!$D:$D, (MATCH(947, 輔助計算!$G$2:$G$801, 0)+1))/IF(INDEX(ERP資料!$G:$G, (MATCH(947, 輔助計算!$G$2:$G$801, 0)+1))&lt;100, IF(INDEX(ERP資料!$G:$G, (MATCH(947, 輔助計算!$G$2:$G$801, 0)+1))&lt;=31,3,IF(INDEX(ERP資料!$G:$G, (MATCH(947, 輔助計算!$G$2:$G$801, 0)+1))&lt;=46.5,2,1)), IF(INDEX(ERP資料!$G:$G, (MATCH(947, 輔助計算!$G$2:$G$801, 0)+1))&lt;=790,3,IF(INDEX(ERP資料!$G:$G, (MATCH(947, 輔助計算!$G$2:$G$801, 0)+1))&lt;=1181,2,1)))), "")&amp;IF(AND(IF(INT(INDEX(輔助計算!$D:$D, (MATCH(947, 輔助計算!$G$2:$G$801, 0)+1))/IF(INDEX(ERP資料!$G:$G, (MATCH(947, 輔助計算!$G$2:$G$801, 0)+1))&lt;100, IF(INDEX(ERP資料!$G:$G, (MATCH(947, 輔助計算!$G$2:$G$801, 0)+1))&lt;=31,3,IF(INDEX(ERP資料!$G:$G, (MATCH(947, 輔助計算!$G$2:$G$801, 0)+1))&lt;=46.5,2,1)), IF(INDEX(ERP資料!$G:$G, (MATCH(947, 輔助計算!$G$2:$G$801, 0)+1))&lt;=790,3,IF(INDEX(ERP資料!$G:$G, (MATCH(947, 輔助計算!$G$2:$G$801, 0)+1))&lt;=1181,2,1))))&gt;0, IF(IF(INDEX(ERP資料!$G:$G, (MATCH(947, 輔助計算!$G$2:$G$801, 0)+1))&lt;100, IF(INDEX(ERP資料!$G:$G, (MATCH(947, 輔助計算!$G$2:$G$801, 0)+1))&lt;=31,3,IF(INDEX(ERP資料!$G:$G, (MATCH(947, 輔助計算!$G$2:$G$801, 0)+1))&lt;=46.5,2,1)), IF(INDEX(ERP資料!$G:$G, (MATCH(947, 輔助計算!$G$2:$G$801, 0)+1))&lt;=790,3,IF(INDEX(ERP資料!$G:$G, (MATCH(947, 輔助計算!$G$2:$G$801, 0)+1))&lt;=1181,2,1)))=1,TEXT(INDEX(ERP資料!$G:$G, (MATCH(947, 輔助計算!$G$2:$G$801, 0)+1)),"0.##"),IF(IF(INDEX(ERP資料!$G:$G, (MATCH(947, 輔助計算!$G$2:$G$801, 0)+1))&lt;100, IF(INDEX(ERP資料!$G:$G, (MATCH(947, 輔助計算!$G$2:$G$801, 0)+1))&lt;=31,3,IF(INDEX(ERP資料!$G:$G, (MATCH(947, 輔助計算!$G$2:$G$801, 0)+1))&lt;=46.5,2,1)), IF(INDEX(ERP資料!$G:$G, (MATCH(947, 輔助計算!$G$2:$G$801, 0)+1))&lt;=790,3,IF(INDEX(ERP資料!$G:$G, (MATCH(947, 輔助計算!$G$2:$G$801, 0)+1))&lt;=1181,2,1)))=2,TEXT(INDEX(ERP資料!$G:$G, (MATCH(947, 輔助計算!$G$2:$G$801, 0)+1)),"0.##")&amp;"+"&amp;TEXT(INDEX(ERP資料!$G:$G, (MATCH(947, 輔助計算!$G$2:$G$801, 0)+1)),"0.##"),TEXT(INDEX(ERP資料!$G:$G, (MATCH(947, 輔助計算!$G$2:$G$801, 0)+1)),"0.##")&amp;"+"&amp;TEXT(INDEX(ERP資料!$G:$G, (MATCH(947, 輔助計算!$G$2:$G$801, 0)+1)),"0.##")&amp;"+"&amp;TEXT(INDEX(ERP資料!$G:$G, (MATCH(947, 輔助計算!$G$2:$G$801, 0)+1)),"0.##")))&amp;"-"&amp;INT(INDEX(輔助計算!$D:$D, (MATCH(947, 輔助計算!$G$2:$G$801, 0)+1))/IF(INDEX(ERP資料!$G:$G, (MATCH(947, 輔助計算!$G$2:$G$801, 0)+1))&lt;100, IF(INDEX(ERP資料!$G:$G, (MATCH(947, 輔助計算!$G$2:$G$801, 0)+1))&lt;=31,3,IF(INDEX(ERP資料!$G:$G, (MATCH(947, 輔助計算!$G$2:$G$801, 0)+1))&lt;=46.5,2,1)), IF(INDEX(ERP資料!$G:$G, (MATCH(947, 輔助計算!$G$2:$G$801, 0)+1))&lt;=790,3,IF(INDEX(ERP資料!$G:$G, (MATCH(947, 輔助計算!$G$2:$G$801, 0)+1))&lt;=1181,2,1)))), "")&lt;&gt;"",IF(MOD(INDEX(輔助計算!$D:$D, (MATCH(947, 輔助計算!$G$2:$G$801, 0)+1)),IF(INDEX(ERP資料!$G:$G, (MATCH(947, 輔助計算!$G$2:$G$801, 0)+1))&lt;100, IF(INDEX(ERP資料!$G:$G, (MATCH(947, 輔助計算!$G$2:$G$801, 0)+1))&lt;=31,3,IF(INDEX(ERP資料!$G:$G, (MATCH(947, 輔助計算!$G$2:$G$801, 0)+1))&lt;=46.5,2,1)), IF(INDEX(ERP資料!$G:$G, (MATCH(947, 輔助計算!$G$2:$G$801, 0)+1))&lt;=790,3,IF(INDEX(ERP資料!$G:$G, (MATCH(947, 輔助計算!$G$2:$G$801, 0)+1))&lt;=1181,2,1))))=0,"",IF(MOD(INDEX(輔助計算!$D:$D, (MATCH(947, 輔助計算!$G$2:$G$801, 0)+1)),IF(INDEX(ERP資料!$G:$G, (MATCH(947, 輔助計算!$G$2:$G$801, 0)+1))&lt;100, IF(INDEX(ERP資料!$G:$G, (MATCH(947, 輔助計算!$G$2:$G$801, 0)+1))&lt;=31,3,IF(INDEX(ERP資料!$G:$G, (MATCH(947, 輔助計算!$G$2:$G$801, 0)+1))&lt;=46.5,2,1)), IF(INDEX(ERP資料!$G:$G, (MATCH(947, 輔助計算!$G$2:$G$801, 0)+1))&lt;=790,3,IF(INDEX(ERP資料!$G:$G, (MATCH(947, 輔助計算!$G$2:$G$801, 0)+1))&lt;=1181,2,1))))=0,"",IF(MOD(INDEX(輔助計算!$D:$D, (MATCH(947, 輔助計算!$G$2:$G$801, 0)+1)),IF(INDEX(ERP資料!$G:$G, (MATCH(947, 輔助計算!$G$2:$G$801, 0)+1))&lt;100, IF(INDEX(ERP資料!$G:$G, (MATCH(947, 輔助計算!$G$2:$G$801, 0)+1))&lt;=31,3,IF(INDEX(ERP資料!$G:$G, (MATCH(947, 輔助計算!$G$2:$G$801, 0)+1))&lt;=46.5,2,1)), IF(INDEX(ERP資料!$G:$G, (MATCH(947, 輔助計算!$G$2:$G$801, 0)+1))&lt;=790,3,IF(INDEX(ERP資料!$G:$G, (MATCH(947, 輔助計算!$G$2:$G$801, 0)+1))&lt;=1181,2,1))))=1,TEXT(INDEX(ERP資料!$G:$G, (MATCH(947, 輔助計算!$G$2:$G$801, 0)+1)),"0.##"),IF(MOD(INDEX(輔助計算!$D:$D, (MATCH(947, 輔助計算!$G$2:$G$801, 0)+1)),IF(INDEX(ERP資料!$G:$G, (MATCH(947, 輔助計算!$G$2:$G$801, 0)+1))&lt;100, IF(INDEX(ERP資料!$G:$G, (MATCH(947, 輔助計算!$G$2:$G$801, 0)+1))&lt;=31,3,IF(INDEX(ERP資料!$G:$G, (MATCH(947, 輔助計算!$G$2:$G$801, 0)+1))&lt;=46.5,2,1)), IF(INDEX(ERP資料!$G:$G, (MATCH(947, 輔助計算!$G$2:$G$801, 0)+1))&lt;=790,3,IF(INDEX(ERP資料!$G:$G, (MATCH(947, 輔助計算!$G$2:$G$801, 0)+1))&lt;=1181,2,1))))=2,TEXT(INDEX(ERP資料!$G:$G, (MATCH(947, 輔助計算!$G$2:$G$801, 0)+1)),"0.##")&amp;"+"&amp;TEXT(INDEX(ERP資料!$G:$G, (MATCH(947, 輔助計算!$G$2:$G$801, 0)+1)),"0.##"),TEXT(INDEX(ERP資料!$G:$G, (MATCH(947, 輔助計算!$G$2:$G$801, 0)+1)),"0.##")&amp;"+"&amp;TEXT(INDEX(ERP資料!$G:$G, (MATCH(947, 輔助計算!$G$2:$G$801, 0)+1)),"0.##")&amp;"+"&amp;TEXT(INDEX(ERP資料!$G:$G, (MATCH(947, 輔助計算!$G$2:$G$801, 0)+1)),"0.##"))))&amp;"-1")&lt;&gt;""),"  ","")&amp;IF(MOD(INDEX(輔助計算!$D:$D, (MATCH(947, 輔助計算!$G$2:$G$801, 0)+1)),IF(INDEX(ERP資料!$G:$G, (MATCH(947, 輔助計算!$G$2:$G$801, 0)+1))&lt;100, IF(INDEX(ERP資料!$G:$G, (MATCH(947, 輔助計算!$G$2:$G$801, 0)+1))&lt;=31,3,IF(INDEX(ERP資料!$G:$G, (MATCH(947, 輔助計算!$G$2:$G$801, 0)+1))&lt;=46.5,2,1)), IF(INDEX(ERP資料!$G:$G, (MATCH(947, 輔助計算!$G$2:$G$801, 0)+1))&lt;=790,3,IF(INDEX(ERP資料!$G:$G, (MATCH(947, 輔助計算!$G$2:$G$801, 0)+1))&lt;=1181,2,1))))=0,"",IF(MOD(INDEX(輔助計算!$D:$D, (MATCH(947, 輔助計算!$G$2:$G$801, 0)+1)),IF(INDEX(ERP資料!$G:$G, (MATCH(947, 輔助計算!$G$2:$G$801, 0)+1))&lt;100, IF(INDEX(ERP資料!$G:$G, (MATCH(947, 輔助計算!$G$2:$G$801, 0)+1))&lt;=31,3,IF(INDEX(ERP資料!$G:$G, (MATCH(947, 輔助計算!$G$2:$G$801, 0)+1))&lt;=46.5,2,1)), IF(INDEX(ERP資料!$G:$G, (MATCH(947, 輔助計算!$G$2:$G$801, 0)+1))&lt;=790,3,IF(INDEX(ERP資料!$G:$G, (MATCH(947, 輔助計算!$G$2:$G$801, 0)+1))&lt;=1181,2,1))))=0,"",IF(MOD(INDEX(輔助計算!$D:$D, (MATCH(947, 輔助計算!$G$2:$G$801, 0)+1)),IF(INDEX(ERP資料!$G:$G, (MATCH(947, 輔助計算!$G$2:$G$801, 0)+1))&lt;100, IF(INDEX(ERP資料!$G:$G, (MATCH(947, 輔助計算!$G$2:$G$801, 0)+1))&lt;=31,3,IF(INDEX(ERP資料!$G:$G, (MATCH(947, 輔助計算!$G$2:$G$801, 0)+1))&lt;=46.5,2,1)), IF(INDEX(ERP資料!$G:$G, (MATCH(947, 輔助計算!$G$2:$G$801, 0)+1))&lt;=790,3,IF(INDEX(ERP資料!$G:$G, (MATCH(947, 輔助計算!$G$2:$G$801, 0)+1))&lt;=1181,2,1))))=1,TEXT(INDEX(ERP資料!$G:$G, (MATCH(947, 輔助計算!$G$2:$G$801, 0)+1)),"0.##"),IF(MOD(INDEX(輔助計算!$D:$D, (MATCH(947, 輔助計算!$G$2:$G$801, 0)+1)),IF(INDEX(ERP資料!$G:$G, (MATCH(947, 輔助計算!$G$2:$G$801, 0)+1))&lt;100, IF(INDEX(ERP資料!$G:$G, (MATCH(947, 輔助計算!$G$2:$G$801, 0)+1))&lt;=31,3,IF(INDEX(ERP資料!$G:$G, (MATCH(947, 輔助計算!$G$2:$G$801, 0)+1))&lt;=46.5,2,1)), IF(INDEX(ERP資料!$G:$G, (MATCH(947, 輔助計算!$G$2:$G$801, 0)+1))&lt;=790,3,IF(INDEX(ERP資料!$G:$G, (MATCH(947, 輔助計算!$G$2:$G$801, 0)+1))&lt;=1181,2,1))))=2,TEXT(INDEX(ERP資料!$G:$G, (MATCH(947, 輔助計算!$G$2:$G$801, 0)+1)),"0.##")&amp;"+"&amp;TEXT(INDEX(ERP資料!$G:$G, (MATCH(947, 輔助計算!$G$2:$G$801, 0)+1)),"0.##"),TEXT(INDEX(ERP資料!$G:$G, (MATCH(947, 輔助計算!$G$2:$G$801, 0)+1)),"0.##")&amp;"+"&amp;TEXT(INDEX(ERP資料!$G:$G, (MATCH(947, 輔助計算!$G$2:$G$801, 0)+1)),"0.##")&amp;"+"&amp;TEXT(INDEX(ERP資料!$G:$G, (MATCH(947, 輔助計算!$G$2:$G$801, 0)+1)),"0.##"))))&amp;"-1")), ""), "")</f>
        <v/>
      </c>
      <c r="K948" s="16" t="n"/>
      <c r="L948" s="14">
        <f>IFERROR(IF(AND(IFERROR(INDEX(ERP資料!$A:$A, (MATCH(947, 輔助計算!$G$2:$G$801, 0)+1)), "")&lt;&gt;"", IFERROR(INDEX(ERP資料!$A:$A, (MATCH(947, 輔助計算!$G$2:$G$801, 0)+1)), "")&lt;&gt;IFERROR(INDEX(ERP資料!$A:$A, MATCH(946, 輔助計算!$G$2:$G$801, 0)+1), "")), INDEX(ERP資料!$B:$B, (MATCH(947, 輔助計算!$G$2:$G$801, 0)+1)), ""), "")</f>
        <v/>
      </c>
      <c r="M948" s="17" t="n"/>
    </row>
    <row r="949">
      <c r="A949" s="10">
        <f>IFERROR(IF(AND(IFERROR(INDEX(ERP資料!$A:$A, (MATCH(948, 輔助計算!$G$2:$G$801, 0)+1)), "")&lt;&gt;"", IFERROR(INDEX(ERP資料!$A:$A, (MATCH(948, 輔助計算!$G$2:$G$801, 0)+1)), "")&lt;&gt;IFERROR(INDEX(ERP資料!$A:$A, MATCH(947, 輔助計算!$G$2:$G$801, 0)+1), "")), IFERROR(INDEX(ERP資料!$A:$A, (MATCH(948, 輔助計算!$G$2:$G$801, 0)+1)), ""), ""), "")</f>
        <v/>
      </c>
      <c r="B949" s="10">
        <f>IFERROR(IF(AND(IFERROR(INDEX(ERP資料!$A:$A, (MATCH(948, 輔助計算!$G$2:$G$801, 0)+1)), "")&lt;&gt;"", IFERROR(INDEX(ERP資料!$A:$A, (MATCH(948, 輔助計算!$G$2:$G$801, 0)+1)), "")&lt;&gt;IFERROR(INDEX(ERP資料!$A:$A, MATCH(947, 輔助計算!$G$2:$G$801, 0)+1), "")), INDEX(ERP資料!$S:$S, (MATCH(948, 輔助計算!$G$2:$G$801, 0)+1)), ""), "")</f>
        <v/>
      </c>
      <c r="C949" s="19">
        <f>IFERROR(IF(AND(IFERROR(INDEX(ERP資料!$A:$A, (MATCH(948, 輔助計算!$G$2:$G$801, 0)+1)), "")&lt;&gt;"", IFERROR(INDEX(ERP資料!$A:$A, (MATCH(948, 輔助計算!$G$2:$G$801, 0)+1)), "")&lt;&gt;IFERROR(INDEX(ERP資料!$A:$A, MATCH(947, 輔助計算!$G$2:$G$801, 0)+1), "")), IFERROR(VLOOKUP(LEFT(INDEX(ERP資料!$S:$S, (MATCH(948, 輔助計算!$G$2:$G$801, 0)+1)), 4), 紙管對照表!$A:$C, 3, FALSE), ""), ""), "")</f>
        <v/>
      </c>
      <c r="D949" s="16" t="n"/>
      <c r="E949" s="10">
        <f>IFERROR(IF(INDEX(ERP資料!$H:$H, (MATCH(948, 輔助計算!$G$2:$G$801, 0)+1))="","",INDEX(ERP資料!$H:$H, (MATCH(948, 輔助計算!$G$2:$G$801, 0)+1))), "")</f>
        <v/>
      </c>
      <c r="F949" s="10">
        <f>IFERROR(IF(INDEX(ERP資料!$E:$E, (MATCH(948, 輔助計算!$G$2:$G$801, 0)+1))="","",TRIM(INDEX(ERP資料!$E:$E, (MATCH(948, 輔助計算!$G$2:$G$801, 0)+1)))), "")</f>
        <v/>
      </c>
      <c r="G949" s="10">
        <f>IFERROR(IF(INDEX(ERP資料!$F:$F, (MATCH(948, 輔助計算!$G$2:$G$801, 0)+1))="","",INDEX(ERP資料!$F:$F, (MATCH(948, 輔助計算!$G$2:$G$801, 0)+1))), "")</f>
        <v/>
      </c>
      <c r="H949" s="10">
        <f>IFERROR(IF(INDEX(ERP資料!$G:$G, (MATCH(948, 輔助計算!$G$2:$G$801, 0)+1))="","",INDEX(ERP資料!$G:$G, (MATCH(948, 輔助計算!$G$2:$G$801, 0)+1))), "")</f>
        <v/>
      </c>
      <c r="I949" s="15">
        <f>IFERROR(INDEX(輔助計算!$D:$D, (MATCH(948, 輔助計算!$G$2:$G$801, 0)+1)), "")</f>
        <v/>
      </c>
      <c r="J949" s="15">
        <f>IFERROR(IF(AND(INDEX(輔助計算!$D:$D, (MATCH(948, 輔助計算!$G$2:$G$801, 0)+1))&lt;&gt;"", INDEX(ERP資料!$G:$G, (MATCH(948, 輔助計算!$G$2:$G$801, 0)+1))&lt;&gt;""), TRIM(IF(INT(INDEX(輔助計算!$D:$D, (MATCH(948, 輔助計算!$G$2:$G$801, 0)+1))/IF(INDEX(ERP資料!$G:$G, (MATCH(948, 輔助計算!$G$2:$G$801, 0)+1))&lt;100, IF(INDEX(ERP資料!$G:$G, (MATCH(948, 輔助計算!$G$2:$G$801, 0)+1))&lt;=31,3,IF(INDEX(ERP資料!$G:$G, (MATCH(948, 輔助計算!$G$2:$G$801, 0)+1))&lt;=46.5,2,1)), IF(INDEX(ERP資料!$G:$G, (MATCH(948, 輔助計算!$G$2:$G$801, 0)+1))&lt;=790,3,IF(INDEX(ERP資料!$G:$G, (MATCH(948, 輔助計算!$G$2:$G$801, 0)+1))&lt;=1181,2,1))))&gt;0, IF(IF(INDEX(ERP資料!$G:$G, (MATCH(948, 輔助計算!$G$2:$G$801, 0)+1))&lt;100, IF(INDEX(ERP資料!$G:$G, (MATCH(948, 輔助計算!$G$2:$G$801, 0)+1))&lt;=31,3,IF(INDEX(ERP資料!$G:$G, (MATCH(948, 輔助計算!$G$2:$G$801, 0)+1))&lt;=46.5,2,1)), IF(INDEX(ERP資料!$G:$G, (MATCH(948, 輔助計算!$G$2:$G$801, 0)+1))&lt;=790,3,IF(INDEX(ERP資料!$G:$G, (MATCH(948, 輔助計算!$G$2:$G$801, 0)+1))&lt;=1181,2,1)))=1,TEXT(INDEX(ERP資料!$G:$G, (MATCH(948, 輔助計算!$G$2:$G$801, 0)+1)),"0.##"),IF(IF(INDEX(ERP資料!$G:$G, (MATCH(948, 輔助計算!$G$2:$G$801, 0)+1))&lt;100, IF(INDEX(ERP資料!$G:$G, (MATCH(948, 輔助計算!$G$2:$G$801, 0)+1))&lt;=31,3,IF(INDEX(ERP資料!$G:$G, (MATCH(948, 輔助計算!$G$2:$G$801, 0)+1))&lt;=46.5,2,1)), IF(INDEX(ERP資料!$G:$G, (MATCH(948, 輔助計算!$G$2:$G$801, 0)+1))&lt;=790,3,IF(INDEX(ERP資料!$G:$G, (MATCH(948, 輔助計算!$G$2:$G$801, 0)+1))&lt;=1181,2,1)))=2,TEXT(INDEX(ERP資料!$G:$G, (MATCH(948, 輔助計算!$G$2:$G$801, 0)+1)),"0.##")&amp;"+"&amp;TEXT(INDEX(ERP資料!$G:$G, (MATCH(948, 輔助計算!$G$2:$G$801, 0)+1)),"0.##"),TEXT(INDEX(ERP資料!$G:$G, (MATCH(948, 輔助計算!$G$2:$G$801, 0)+1)),"0.##")&amp;"+"&amp;TEXT(INDEX(ERP資料!$G:$G, (MATCH(948, 輔助計算!$G$2:$G$801, 0)+1)),"0.##")&amp;"+"&amp;TEXT(INDEX(ERP資料!$G:$G, (MATCH(948, 輔助計算!$G$2:$G$801, 0)+1)),"0.##")))&amp;"-"&amp;INT(INDEX(輔助計算!$D:$D, (MATCH(948, 輔助計算!$G$2:$G$801, 0)+1))/IF(INDEX(ERP資料!$G:$G, (MATCH(948, 輔助計算!$G$2:$G$801, 0)+1))&lt;100, IF(INDEX(ERP資料!$G:$G, (MATCH(948, 輔助計算!$G$2:$G$801, 0)+1))&lt;=31,3,IF(INDEX(ERP資料!$G:$G, (MATCH(948, 輔助計算!$G$2:$G$801, 0)+1))&lt;=46.5,2,1)), IF(INDEX(ERP資料!$G:$G, (MATCH(948, 輔助計算!$G$2:$G$801, 0)+1))&lt;=790,3,IF(INDEX(ERP資料!$G:$G, (MATCH(948, 輔助計算!$G$2:$G$801, 0)+1))&lt;=1181,2,1)))), "")&amp;IF(AND(IF(INT(INDEX(輔助計算!$D:$D, (MATCH(948, 輔助計算!$G$2:$G$801, 0)+1))/IF(INDEX(ERP資料!$G:$G, (MATCH(948, 輔助計算!$G$2:$G$801, 0)+1))&lt;100, IF(INDEX(ERP資料!$G:$G, (MATCH(948, 輔助計算!$G$2:$G$801, 0)+1))&lt;=31,3,IF(INDEX(ERP資料!$G:$G, (MATCH(948, 輔助計算!$G$2:$G$801, 0)+1))&lt;=46.5,2,1)), IF(INDEX(ERP資料!$G:$G, (MATCH(948, 輔助計算!$G$2:$G$801, 0)+1))&lt;=790,3,IF(INDEX(ERP資料!$G:$G, (MATCH(948, 輔助計算!$G$2:$G$801, 0)+1))&lt;=1181,2,1))))&gt;0, IF(IF(INDEX(ERP資料!$G:$G, (MATCH(948, 輔助計算!$G$2:$G$801, 0)+1))&lt;100, IF(INDEX(ERP資料!$G:$G, (MATCH(948, 輔助計算!$G$2:$G$801, 0)+1))&lt;=31,3,IF(INDEX(ERP資料!$G:$G, (MATCH(948, 輔助計算!$G$2:$G$801, 0)+1))&lt;=46.5,2,1)), IF(INDEX(ERP資料!$G:$G, (MATCH(948, 輔助計算!$G$2:$G$801, 0)+1))&lt;=790,3,IF(INDEX(ERP資料!$G:$G, (MATCH(948, 輔助計算!$G$2:$G$801, 0)+1))&lt;=1181,2,1)))=1,TEXT(INDEX(ERP資料!$G:$G, (MATCH(948, 輔助計算!$G$2:$G$801, 0)+1)),"0.##"),IF(IF(INDEX(ERP資料!$G:$G, (MATCH(948, 輔助計算!$G$2:$G$801, 0)+1))&lt;100, IF(INDEX(ERP資料!$G:$G, (MATCH(948, 輔助計算!$G$2:$G$801, 0)+1))&lt;=31,3,IF(INDEX(ERP資料!$G:$G, (MATCH(948, 輔助計算!$G$2:$G$801, 0)+1))&lt;=46.5,2,1)), IF(INDEX(ERP資料!$G:$G, (MATCH(948, 輔助計算!$G$2:$G$801, 0)+1))&lt;=790,3,IF(INDEX(ERP資料!$G:$G, (MATCH(948, 輔助計算!$G$2:$G$801, 0)+1))&lt;=1181,2,1)))=2,TEXT(INDEX(ERP資料!$G:$G, (MATCH(948, 輔助計算!$G$2:$G$801, 0)+1)),"0.##")&amp;"+"&amp;TEXT(INDEX(ERP資料!$G:$G, (MATCH(948, 輔助計算!$G$2:$G$801, 0)+1)),"0.##"),TEXT(INDEX(ERP資料!$G:$G, (MATCH(948, 輔助計算!$G$2:$G$801, 0)+1)),"0.##")&amp;"+"&amp;TEXT(INDEX(ERP資料!$G:$G, (MATCH(948, 輔助計算!$G$2:$G$801, 0)+1)),"0.##")&amp;"+"&amp;TEXT(INDEX(ERP資料!$G:$G, (MATCH(948, 輔助計算!$G$2:$G$801, 0)+1)),"0.##")))&amp;"-"&amp;INT(INDEX(輔助計算!$D:$D, (MATCH(948, 輔助計算!$G$2:$G$801, 0)+1))/IF(INDEX(ERP資料!$G:$G, (MATCH(948, 輔助計算!$G$2:$G$801, 0)+1))&lt;100, IF(INDEX(ERP資料!$G:$G, (MATCH(948, 輔助計算!$G$2:$G$801, 0)+1))&lt;=31,3,IF(INDEX(ERP資料!$G:$G, (MATCH(948, 輔助計算!$G$2:$G$801, 0)+1))&lt;=46.5,2,1)), IF(INDEX(ERP資料!$G:$G, (MATCH(948, 輔助計算!$G$2:$G$801, 0)+1))&lt;=790,3,IF(INDEX(ERP資料!$G:$G, (MATCH(948, 輔助計算!$G$2:$G$801, 0)+1))&lt;=1181,2,1)))), "")&lt;&gt;"",IF(MOD(INDEX(輔助計算!$D:$D, (MATCH(948, 輔助計算!$G$2:$G$801, 0)+1)),IF(INDEX(ERP資料!$G:$G, (MATCH(948, 輔助計算!$G$2:$G$801, 0)+1))&lt;100, IF(INDEX(ERP資料!$G:$G, (MATCH(948, 輔助計算!$G$2:$G$801, 0)+1))&lt;=31,3,IF(INDEX(ERP資料!$G:$G, (MATCH(948, 輔助計算!$G$2:$G$801, 0)+1))&lt;=46.5,2,1)), IF(INDEX(ERP資料!$G:$G, (MATCH(948, 輔助計算!$G$2:$G$801, 0)+1))&lt;=790,3,IF(INDEX(ERP資料!$G:$G, (MATCH(948, 輔助計算!$G$2:$G$801, 0)+1))&lt;=1181,2,1))))=0,"",IF(MOD(INDEX(輔助計算!$D:$D, (MATCH(948, 輔助計算!$G$2:$G$801, 0)+1)),IF(INDEX(ERP資料!$G:$G, (MATCH(948, 輔助計算!$G$2:$G$801, 0)+1))&lt;100, IF(INDEX(ERP資料!$G:$G, (MATCH(948, 輔助計算!$G$2:$G$801, 0)+1))&lt;=31,3,IF(INDEX(ERP資料!$G:$G, (MATCH(948, 輔助計算!$G$2:$G$801, 0)+1))&lt;=46.5,2,1)), IF(INDEX(ERP資料!$G:$G, (MATCH(948, 輔助計算!$G$2:$G$801, 0)+1))&lt;=790,3,IF(INDEX(ERP資料!$G:$G, (MATCH(948, 輔助計算!$G$2:$G$801, 0)+1))&lt;=1181,2,1))))=0,"",IF(MOD(INDEX(輔助計算!$D:$D, (MATCH(948, 輔助計算!$G$2:$G$801, 0)+1)),IF(INDEX(ERP資料!$G:$G, (MATCH(948, 輔助計算!$G$2:$G$801, 0)+1))&lt;100, IF(INDEX(ERP資料!$G:$G, (MATCH(948, 輔助計算!$G$2:$G$801, 0)+1))&lt;=31,3,IF(INDEX(ERP資料!$G:$G, (MATCH(948, 輔助計算!$G$2:$G$801, 0)+1))&lt;=46.5,2,1)), IF(INDEX(ERP資料!$G:$G, (MATCH(948, 輔助計算!$G$2:$G$801, 0)+1))&lt;=790,3,IF(INDEX(ERP資料!$G:$G, (MATCH(948, 輔助計算!$G$2:$G$801, 0)+1))&lt;=1181,2,1))))=1,TEXT(INDEX(ERP資料!$G:$G, (MATCH(948, 輔助計算!$G$2:$G$801, 0)+1)),"0.##"),IF(MOD(INDEX(輔助計算!$D:$D, (MATCH(948, 輔助計算!$G$2:$G$801, 0)+1)),IF(INDEX(ERP資料!$G:$G, (MATCH(948, 輔助計算!$G$2:$G$801, 0)+1))&lt;100, IF(INDEX(ERP資料!$G:$G, (MATCH(948, 輔助計算!$G$2:$G$801, 0)+1))&lt;=31,3,IF(INDEX(ERP資料!$G:$G, (MATCH(948, 輔助計算!$G$2:$G$801, 0)+1))&lt;=46.5,2,1)), IF(INDEX(ERP資料!$G:$G, (MATCH(948, 輔助計算!$G$2:$G$801, 0)+1))&lt;=790,3,IF(INDEX(ERP資料!$G:$G, (MATCH(948, 輔助計算!$G$2:$G$801, 0)+1))&lt;=1181,2,1))))=2,TEXT(INDEX(ERP資料!$G:$G, (MATCH(948, 輔助計算!$G$2:$G$801, 0)+1)),"0.##")&amp;"+"&amp;TEXT(INDEX(ERP資料!$G:$G, (MATCH(948, 輔助計算!$G$2:$G$801, 0)+1)),"0.##"),TEXT(INDEX(ERP資料!$G:$G, (MATCH(948, 輔助計算!$G$2:$G$801, 0)+1)),"0.##")&amp;"+"&amp;TEXT(INDEX(ERP資料!$G:$G, (MATCH(948, 輔助計算!$G$2:$G$801, 0)+1)),"0.##")&amp;"+"&amp;TEXT(INDEX(ERP資料!$G:$G, (MATCH(948, 輔助計算!$G$2:$G$801, 0)+1)),"0.##"))))&amp;"-1")&lt;&gt;""),"  ","")&amp;IF(MOD(INDEX(輔助計算!$D:$D, (MATCH(948, 輔助計算!$G$2:$G$801, 0)+1)),IF(INDEX(ERP資料!$G:$G, (MATCH(948, 輔助計算!$G$2:$G$801, 0)+1))&lt;100, IF(INDEX(ERP資料!$G:$G, (MATCH(948, 輔助計算!$G$2:$G$801, 0)+1))&lt;=31,3,IF(INDEX(ERP資料!$G:$G, (MATCH(948, 輔助計算!$G$2:$G$801, 0)+1))&lt;=46.5,2,1)), IF(INDEX(ERP資料!$G:$G, (MATCH(948, 輔助計算!$G$2:$G$801, 0)+1))&lt;=790,3,IF(INDEX(ERP資料!$G:$G, (MATCH(948, 輔助計算!$G$2:$G$801, 0)+1))&lt;=1181,2,1))))=0,"",IF(MOD(INDEX(輔助計算!$D:$D, (MATCH(948, 輔助計算!$G$2:$G$801, 0)+1)),IF(INDEX(ERP資料!$G:$G, (MATCH(948, 輔助計算!$G$2:$G$801, 0)+1))&lt;100, IF(INDEX(ERP資料!$G:$G, (MATCH(948, 輔助計算!$G$2:$G$801, 0)+1))&lt;=31,3,IF(INDEX(ERP資料!$G:$G, (MATCH(948, 輔助計算!$G$2:$G$801, 0)+1))&lt;=46.5,2,1)), IF(INDEX(ERP資料!$G:$G, (MATCH(948, 輔助計算!$G$2:$G$801, 0)+1))&lt;=790,3,IF(INDEX(ERP資料!$G:$G, (MATCH(948, 輔助計算!$G$2:$G$801, 0)+1))&lt;=1181,2,1))))=0,"",IF(MOD(INDEX(輔助計算!$D:$D, (MATCH(948, 輔助計算!$G$2:$G$801, 0)+1)),IF(INDEX(ERP資料!$G:$G, (MATCH(948, 輔助計算!$G$2:$G$801, 0)+1))&lt;100, IF(INDEX(ERP資料!$G:$G, (MATCH(948, 輔助計算!$G$2:$G$801, 0)+1))&lt;=31,3,IF(INDEX(ERP資料!$G:$G, (MATCH(948, 輔助計算!$G$2:$G$801, 0)+1))&lt;=46.5,2,1)), IF(INDEX(ERP資料!$G:$G, (MATCH(948, 輔助計算!$G$2:$G$801, 0)+1))&lt;=790,3,IF(INDEX(ERP資料!$G:$G, (MATCH(948, 輔助計算!$G$2:$G$801, 0)+1))&lt;=1181,2,1))))=1,TEXT(INDEX(ERP資料!$G:$G, (MATCH(948, 輔助計算!$G$2:$G$801, 0)+1)),"0.##"),IF(MOD(INDEX(輔助計算!$D:$D, (MATCH(948, 輔助計算!$G$2:$G$801, 0)+1)),IF(INDEX(ERP資料!$G:$G, (MATCH(948, 輔助計算!$G$2:$G$801, 0)+1))&lt;100, IF(INDEX(ERP資料!$G:$G, (MATCH(948, 輔助計算!$G$2:$G$801, 0)+1))&lt;=31,3,IF(INDEX(ERP資料!$G:$G, (MATCH(948, 輔助計算!$G$2:$G$801, 0)+1))&lt;=46.5,2,1)), IF(INDEX(ERP資料!$G:$G, (MATCH(948, 輔助計算!$G$2:$G$801, 0)+1))&lt;=790,3,IF(INDEX(ERP資料!$G:$G, (MATCH(948, 輔助計算!$G$2:$G$801, 0)+1))&lt;=1181,2,1))))=2,TEXT(INDEX(ERP資料!$G:$G, (MATCH(948, 輔助計算!$G$2:$G$801, 0)+1)),"0.##")&amp;"+"&amp;TEXT(INDEX(ERP資料!$G:$G, (MATCH(948, 輔助計算!$G$2:$G$801, 0)+1)),"0.##"),TEXT(INDEX(ERP資料!$G:$G, (MATCH(948, 輔助計算!$G$2:$G$801, 0)+1)),"0.##")&amp;"+"&amp;TEXT(INDEX(ERP資料!$G:$G, (MATCH(948, 輔助計算!$G$2:$G$801, 0)+1)),"0.##")&amp;"+"&amp;TEXT(INDEX(ERP資料!$G:$G, (MATCH(948, 輔助計算!$G$2:$G$801, 0)+1)),"0.##"))))&amp;"-1")), ""), "")</f>
        <v/>
      </c>
      <c r="K949" s="16" t="n"/>
      <c r="L949" s="14">
        <f>IFERROR(IF(AND(IFERROR(INDEX(ERP資料!$A:$A, (MATCH(948, 輔助計算!$G$2:$G$801, 0)+1)), "")&lt;&gt;"", IFERROR(INDEX(ERP資料!$A:$A, (MATCH(948, 輔助計算!$G$2:$G$801, 0)+1)), "")&lt;&gt;IFERROR(INDEX(ERP資料!$A:$A, MATCH(947, 輔助計算!$G$2:$G$801, 0)+1), "")), INDEX(ERP資料!$B:$B, (MATCH(948, 輔助計算!$G$2:$G$801, 0)+1)), ""), "")</f>
        <v/>
      </c>
      <c r="M949" s="17" t="n"/>
    </row>
    <row r="950">
      <c r="A950" s="10">
        <f>IFERROR(IF(AND(IFERROR(INDEX(ERP資料!$A:$A, (MATCH(949, 輔助計算!$G$2:$G$801, 0)+1)), "")&lt;&gt;"", IFERROR(INDEX(ERP資料!$A:$A, (MATCH(949, 輔助計算!$G$2:$G$801, 0)+1)), "")&lt;&gt;IFERROR(INDEX(ERP資料!$A:$A, MATCH(948, 輔助計算!$G$2:$G$801, 0)+1), "")), IFERROR(INDEX(ERP資料!$A:$A, (MATCH(949, 輔助計算!$G$2:$G$801, 0)+1)), ""), ""), "")</f>
        <v/>
      </c>
      <c r="B950" s="10">
        <f>IFERROR(IF(AND(IFERROR(INDEX(ERP資料!$A:$A, (MATCH(949, 輔助計算!$G$2:$G$801, 0)+1)), "")&lt;&gt;"", IFERROR(INDEX(ERP資料!$A:$A, (MATCH(949, 輔助計算!$G$2:$G$801, 0)+1)), "")&lt;&gt;IFERROR(INDEX(ERP資料!$A:$A, MATCH(948, 輔助計算!$G$2:$G$801, 0)+1), "")), INDEX(ERP資料!$S:$S, (MATCH(949, 輔助計算!$G$2:$G$801, 0)+1)), ""), "")</f>
        <v/>
      </c>
      <c r="C950" s="19">
        <f>IFERROR(IF(AND(IFERROR(INDEX(ERP資料!$A:$A, (MATCH(949, 輔助計算!$G$2:$G$801, 0)+1)), "")&lt;&gt;"", IFERROR(INDEX(ERP資料!$A:$A, (MATCH(949, 輔助計算!$G$2:$G$801, 0)+1)), "")&lt;&gt;IFERROR(INDEX(ERP資料!$A:$A, MATCH(948, 輔助計算!$G$2:$G$801, 0)+1), "")), IFERROR(VLOOKUP(LEFT(INDEX(ERP資料!$S:$S, (MATCH(949, 輔助計算!$G$2:$G$801, 0)+1)), 4), 紙管對照表!$A:$C, 3, FALSE), ""), ""), "")</f>
        <v/>
      </c>
      <c r="D950" s="16" t="n"/>
      <c r="E950" s="10">
        <f>IFERROR(IF(INDEX(ERP資料!$H:$H, (MATCH(949, 輔助計算!$G$2:$G$801, 0)+1))="","",INDEX(ERP資料!$H:$H, (MATCH(949, 輔助計算!$G$2:$G$801, 0)+1))), "")</f>
        <v/>
      </c>
      <c r="F950" s="10">
        <f>IFERROR(IF(INDEX(ERP資料!$E:$E, (MATCH(949, 輔助計算!$G$2:$G$801, 0)+1))="","",TRIM(INDEX(ERP資料!$E:$E, (MATCH(949, 輔助計算!$G$2:$G$801, 0)+1)))), "")</f>
        <v/>
      </c>
      <c r="G950" s="10">
        <f>IFERROR(IF(INDEX(ERP資料!$F:$F, (MATCH(949, 輔助計算!$G$2:$G$801, 0)+1))="","",INDEX(ERP資料!$F:$F, (MATCH(949, 輔助計算!$G$2:$G$801, 0)+1))), "")</f>
        <v/>
      </c>
      <c r="H950" s="10">
        <f>IFERROR(IF(INDEX(ERP資料!$G:$G, (MATCH(949, 輔助計算!$G$2:$G$801, 0)+1))="","",INDEX(ERP資料!$G:$G, (MATCH(949, 輔助計算!$G$2:$G$801, 0)+1))), "")</f>
        <v/>
      </c>
      <c r="I950" s="15">
        <f>IFERROR(INDEX(輔助計算!$D:$D, (MATCH(949, 輔助計算!$G$2:$G$801, 0)+1)), "")</f>
        <v/>
      </c>
      <c r="J950" s="15">
        <f>IFERROR(IF(AND(INDEX(輔助計算!$D:$D, (MATCH(949, 輔助計算!$G$2:$G$801, 0)+1))&lt;&gt;"", INDEX(ERP資料!$G:$G, (MATCH(949, 輔助計算!$G$2:$G$801, 0)+1))&lt;&gt;""), TRIM(IF(INT(INDEX(輔助計算!$D:$D, (MATCH(949, 輔助計算!$G$2:$G$801, 0)+1))/IF(INDEX(ERP資料!$G:$G, (MATCH(949, 輔助計算!$G$2:$G$801, 0)+1))&lt;100, IF(INDEX(ERP資料!$G:$G, (MATCH(949, 輔助計算!$G$2:$G$801, 0)+1))&lt;=31,3,IF(INDEX(ERP資料!$G:$G, (MATCH(949, 輔助計算!$G$2:$G$801, 0)+1))&lt;=46.5,2,1)), IF(INDEX(ERP資料!$G:$G, (MATCH(949, 輔助計算!$G$2:$G$801, 0)+1))&lt;=790,3,IF(INDEX(ERP資料!$G:$G, (MATCH(949, 輔助計算!$G$2:$G$801, 0)+1))&lt;=1181,2,1))))&gt;0, IF(IF(INDEX(ERP資料!$G:$G, (MATCH(949, 輔助計算!$G$2:$G$801, 0)+1))&lt;100, IF(INDEX(ERP資料!$G:$G, (MATCH(949, 輔助計算!$G$2:$G$801, 0)+1))&lt;=31,3,IF(INDEX(ERP資料!$G:$G, (MATCH(949, 輔助計算!$G$2:$G$801, 0)+1))&lt;=46.5,2,1)), IF(INDEX(ERP資料!$G:$G, (MATCH(949, 輔助計算!$G$2:$G$801, 0)+1))&lt;=790,3,IF(INDEX(ERP資料!$G:$G, (MATCH(949, 輔助計算!$G$2:$G$801, 0)+1))&lt;=1181,2,1)))=1,TEXT(INDEX(ERP資料!$G:$G, (MATCH(949, 輔助計算!$G$2:$G$801, 0)+1)),"0.##"),IF(IF(INDEX(ERP資料!$G:$G, (MATCH(949, 輔助計算!$G$2:$G$801, 0)+1))&lt;100, IF(INDEX(ERP資料!$G:$G, (MATCH(949, 輔助計算!$G$2:$G$801, 0)+1))&lt;=31,3,IF(INDEX(ERP資料!$G:$G, (MATCH(949, 輔助計算!$G$2:$G$801, 0)+1))&lt;=46.5,2,1)), IF(INDEX(ERP資料!$G:$G, (MATCH(949, 輔助計算!$G$2:$G$801, 0)+1))&lt;=790,3,IF(INDEX(ERP資料!$G:$G, (MATCH(949, 輔助計算!$G$2:$G$801, 0)+1))&lt;=1181,2,1)))=2,TEXT(INDEX(ERP資料!$G:$G, (MATCH(949, 輔助計算!$G$2:$G$801, 0)+1)),"0.##")&amp;"+"&amp;TEXT(INDEX(ERP資料!$G:$G, (MATCH(949, 輔助計算!$G$2:$G$801, 0)+1)),"0.##"),TEXT(INDEX(ERP資料!$G:$G, (MATCH(949, 輔助計算!$G$2:$G$801, 0)+1)),"0.##")&amp;"+"&amp;TEXT(INDEX(ERP資料!$G:$G, (MATCH(949, 輔助計算!$G$2:$G$801, 0)+1)),"0.##")&amp;"+"&amp;TEXT(INDEX(ERP資料!$G:$G, (MATCH(949, 輔助計算!$G$2:$G$801, 0)+1)),"0.##")))&amp;"-"&amp;INT(INDEX(輔助計算!$D:$D, (MATCH(949, 輔助計算!$G$2:$G$801, 0)+1))/IF(INDEX(ERP資料!$G:$G, (MATCH(949, 輔助計算!$G$2:$G$801, 0)+1))&lt;100, IF(INDEX(ERP資料!$G:$G, (MATCH(949, 輔助計算!$G$2:$G$801, 0)+1))&lt;=31,3,IF(INDEX(ERP資料!$G:$G, (MATCH(949, 輔助計算!$G$2:$G$801, 0)+1))&lt;=46.5,2,1)), IF(INDEX(ERP資料!$G:$G, (MATCH(949, 輔助計算!$G$2:$G$801, 0)+1))&lt;=790,3,IF(INDEX(ERP資料!$G:$G, (MATCH(949, 輔助計算!$G$2:$G$801, 0)+1))&lt;=1181,2,1)))), "")&amp;IF(AND(IF(INT(INDEX(輔助計算!$D:$D, (MATCH(949, 輔助計算!$G$2:$G$801, 0)+1))/IF(INDEX(ERP資料!$G:$G, (MATCH(949, 輔助計算!$G$2:$G$801, 0)+1))&lt;100, IF(INDEX(ERP資料!$G:$G, (MATCH(949, 輔助計算!$G$2:$G$801, 0)+1))&lt;=31,3,IF(INDEX(ERP資料!$G:$G, (MATCH(949, 輔助計算!$G$2:$G$801, 0)+1))&lt;=46.5,2,1)), IF(INDEX(ERP資料!$G:$G, (MATCH(949, 輔助計算!$G$2:$G$801, 0)+1))&lt;=790,3,IF(INDEX(ERP資料!$G:$G, (MATCH(949, 輔助計算!$G$2:$G$801, 0)+1))&lt;=1181,2,1))))&gt;0, IF(IF(INDEX(ERP資料!$G:$G, (MATCH(949, 輔助計算!$G$2:$G$801, 0)+1))&lt;100, IF(INDEX(ERP資料!$G:$G, (MATCH(949, 輔助計算!$G$2:$G$801, 0)+1))&lt;=31,3,IF(INDEX(ERP資料!$G:$G, (MATCH(949, 輔助計算!$G$2:$G$801, 0)+1))&lt;=46.5,2,1)), IF(INDEX(ERP資料!$G:$G, (MATCH(949, 輔助計算!$G$2:$G$801, 0)+1))&lt;=790,3,IF(INDEX(ERP資料!$G:$G, (MATCH(949, 輔助計算!$G$2:$G$801, 0)+1))&lt;=1181,2,1)))=1,TEXT(INDEX(ERP資料!$G:$G, (MATCH(949, 輔助計算!$G$2:$G$801, 0)+1)),"0.##"),IF(IF(INDEX(ERP資料!$G:$G, (MATCH(949, 輔助計算!$G$2:$G$801, 0)+1))&lt;100, IF(INDEX(ERP資料!$G:$G, (MATCH(949, 輔助計算!$G$2:$G$801, 0)+1))&lt;=31,3,IF(INDEX(ERP資料!$G:$G, (MATCH(949, 輔助計算!$G$2:$G$801, 0)+1))&lt;=46.5,2,1)), IF(INDEX(ERP資料!$G:$G, (MATCH(949, 輔助計算!$G$2:$G$801, 0)+1))&lt;=790,3,IF(INDEX(ERP資料!$G:$G, (MATCH(949, 輔助計算!$G$2:$G$801, 0)+1))&lt;=1181,2,1)))=2,TEXT(INDEX(ERP資料!$G:$G, (MATCH(949, 輔助計算!$G$2:$G$801, 0)+1)),"0.##")&amp;"+"&amp;TEXT(INDEX(ERP資料!$G:$G, (MATCH(949, 輔助計算!$G$2:$G$801, 0)+1)),"0.##"),TEXT(INDEX(ERP資料!$G:$G, (MATCH(949, 輔助計算!$G$2:$G$801, 0)+1)),"0.##")&amp;"+"&amp;TEXT(INDEX(ERP資料!$G:$G, (MATCH(949, 輔助計算!$G$2:$G$801, 0)+1)),"0.##")&amp;"+"&amp;TEXT(INDEX(ERP資料!$G:$G, (MATCH(949, 輔助計算!$G$2:$G$801, 0)+1)),"0.##")))&amp;"-"&amp;INT(INDEX(輔助計算!$D:$D, (MATCH(949, 輔助計算!$G$2:$G$801, 0)+1))/IF(INDEX(ERP資料!$G:$G, (MATCH(949, 輔助計算!$G$2:$G$801, 0)+1))&lt;100, IF(INDEX(ERP資料!$G:$G, (MATCH(949, 輔助計算!$G$2:$G$801, 0)+1))&lt;=31,3,IF(INDEX(ERP資料!$G:$G, (MATCH(949, 輔助計算!$G$2:$G$801, 0)+1))&lt;=46.5,2,1)), IF(INDEX(ERP資料!$G:$G, (MATCH(949, 輔助計算!$G$2:$G$801, 0)+1))&lt;=790,3,IF(INDEX(ERP資料!$G:$G, (MATCH(949, 輔助計算!$G$2:$G$801, 0)+1))&lt;=1181,2,1)))), "")&lt;&gt;"",IF(MOD(INDEX(輔助計算!$D:$D, (MATCH(949, 輔助計算!$G$2:$G$801, 0)+1)),IF(INDEX(ERP資料!$G:$G, (MATCH(949, 輔助計算!$G$2:$G$801, 0)+1))&lt;100, IF(INDEX(ERP資料!$G:$G, (MATCH(949, 輔助計算!$G$2:$G$801, 0)+1))&lt;=31,3,IF(INDEX(ERP資料!$G:$G, (MATCH(949, 輔助計算!$G$2:$G$801, 0)+1))&lt;=46.5,2,1)), IF(INDEX(ERP資料!$G:$G, (MATCH(949, 輔助計算!$G$2:$G$801, 0)+1))&lt;=790,3,IF(INDEX(ERP資料!$G:$G, (MATCH(949, 輔助計算!$G$2:$G$801, 0)+1))&lt;=1181,2,1))))=0,"",IF(MOD(INDEX(輔助計算!$D:$D, (MATCH(949, 輔助計算!$G$2:$G$801, 0)+1)),IF(INDEX(ERP資料!$G:$G, (MATCH(949, 輔助計算!$G$2:$G$801, 0)+1))&lt;100, IF(INDEX(ERP資料!$G:$G, (MATCH(949, 輔助計算!$G$2:$G$801, 0)+1))&lt;=31,3,IF(INDEX(ERP資料!$G:$G, (MATCH(949, 輔助計算!$G$2:$G$801, 0)+1))&lt;=46.5,2,1)), IF(INDEX(ERP資料!$G:$G, (MATCH(949, 輔助計算!$G$2:$G$801, 0)+1))&lt;=790,3,IF(INDEX(ERP資料!$G:$G, (MATCH(949, 輔助計算!$G$2:$G$801, 0)+1))&lt;=1181,2,1))))=0,"",IF(MOD(INDEX(輔助計算!$D:$D, (MATCH(949, 輔助計算!$G$2:$G$801, 0)+1)),IF(INDEX(ERP資料!$G:$G, (MATCH(949, 輔助計算!$G$2:$G$801, 0)+1))&lt;100, IF(INDEX(ERP資料!$G:$G, (MATCH(949, 輔助計算!$G$2:$G$801, 0)+1))&lt;=31,3,IF(INDEX(ERP資料!$G:$G, (MATCH(949, 輔助計算!$G$2:$G$801, 0)+1))&lt;=46.5,2,1)), IF(INDEX(ERP資料!$G:$G, (MATCH(949, 輔助計算!$G$2:$G$801, 0)+1))&lt;=790,3,IF(INDEX(ERP資料!$G:$G, (MATCH(949, 輔助計算!$G$2:$G$801, 0)+1))&lt;=1181,2,1))))=1,TEXT(INDEX(ERP資料!$G:$G, (MATCH(949, 輔助計算!$G$2:$G$801, 0)+1)),"0.##"),IF(MOD(INDEX(輔助計算!$D:$D, (MATCH(949, 輔助計算!$G$2:$G$801, 0)+1)),IF(INDEX(ERP資料!$G:$G, (MATCH(949, 輔助計算!$G$2:$G$801, 0)+1))&lt;100, IF(INDEX(ERP資料!$G:$G, (MATCH(949, 輔助計算!$G$2:$G$801, 0)+1))&lt;=31,3,IF(INDEX(ERP資料!$G:$G, (MATCH(949, 輔助計算!$G$2:$G$801, 0)+1))&lt;=46.5,2,1)), IF(INDEX(ERP資料!$G:$G, (MATCH(949, 輔助計算!$G$2:$G$801, 0)+1))&lt;=790,3,IF(INDEX(ERP資料!$G:$G, (MATCH(949, 輔助計算!$G$2:$G$801, 0)+1))&lt;=1181,2,1))))=2,TEXT(INDEX(ERP資料!$G:$G, (MATCH(949, 輔助計算!$G$2:$G$801, 0)+1)),"0.##")&amp;"+"&amp;TEXT(INDEX(ERP資料!$G:$G, (MATCH(949, 輔助計算!$G$2:$G$801, 0)+1)),"0.##"),TEXT(INDEX(ERP資料!$G:$G, (MATCH(949, 輔助計算!$G$2:$G$801, 0)+1)),"0.##")&amp;"+"&amp;TEXT(INDEX(ERP資料!$G:$G, (MATCH(949, 輔助計算!$G$2:$G$801, 0)+1)),"0.##")&amp;"+"&amp;TEXT(INDEX(ERP資料!$G:$G, (MATCH(949, 輔助計算!$G$2:$G$801, 0)+1)),"0.##"))))&amp;"-1")&lt;&gt;""),"  ","")&amp;IF(MOD(INDEX(輔助計算!$D:$D, (MATCH(949, 輔助計算!$G$2:$G$801, 0)+1)),IF(INDEX(ERP資料!$G:$G, (MATCH(949, 輔助計算!$G$2:$G$801, 0)+1))&lt;100, IF(INDEX(ERP資料!$G:$G, (MATCH(949, 輔助計算!$G$2:$G$801, 0)+1))&lt;=31,3,IF(INDEX(ERP資料!$G:$G, (MATCH(949, 輔助計算!$G$2:$G$801, 0)+1))&lt;=46.5,2,1)), IF(INDEX(ERP資料!$G:$G, (MATCH(949, 輔助計算!$G$2:$G$801, 0)+1))&lt;=790,3,IF(INDEX(ERP資料!$G:$G, (MATCH(949, 輔助計算!$G$2:$G$801, 0)+1))&lt;=1181,2,1))))=0,"",IF(MOD(INDEX(輔助計算!$D:$D, (MATCH(949, 輔助計算!$G$2:$G$801, 0)+1)),IF(INDEX(ERP資料!$G:$G, (MATCH(949, 輔助計算!$G$2:$G$801, 0)+1))&lt;100, IF(INDEX(ERP資料!$G:$G, (MATCH(949, 輔助計算!$G$2:$G$801, 0)+1))&lt;=31,3,IF(INDEX(ERP資料!$G:$G, (MATCH(949, 輔助計算!$G$2:$G$801, 0)+1))&lt;=46.5,2,1)), IF(INDEX(ERP資料!$G:$G, (MATCH(949, 輔助計算!$G$2:$G$801, 0)+1))&lt;=790,3,IF(INDEX(ERP資料!$G:$G, (MATCH(949, 輔助計算!$G$2:$G$801, 0)+1))&lt;=1181,2,1))))=0,"",IF(MOD(INDEX(輔助計算!$D:$D, (MATCH(949, 輔助計算!$G$2:$G$801, 0)+1)),IF(INDEX(ERP資料!$G:$G, (MATCH(949, 輔助計算!$G$2:$G$801, 0)+1))&lt;100, IF(INDEX(ERP資料!$G:$G, (MATCH(949, 輔助計算!$G$2:$G$801, 0)+1))&lt;=31,3,IF(INDEX(ERP資料!$G:$G, (MATCH(949, 輔助計算!$G$2:$G$801, 0)+1))&lt;=46.5,2,1)), IF(INDEX(ERP資料!$G:$G, (MATCH(949, 輔助計算!$G$2:$G$801, 0)+1))&lt;=790,3,IF(INDEX(ERP資料!$G:$G, (MATCH(949, 輔助計算!$G$2:$G$801, 0)+1))&lt;=1181,2,1))))=1,TEXT(INDEX(ERP資料!$G:$G, (MATCH(949, 輔助計算!$G$2:$G$801, 0)+1)),"0.##"),IF(MOD(INDEX(輔助計算!$D:$D, (MATCH(949, 輔助計算!$G$2:$G$801, 0)+1)),IF(INDEX(ERP資料!$G:$G, (MATCH(949, 輔助計算!$G$2:$G$801, 0)+1))&lt;100, IF(INDEX(ERP資料!$G:$G, (MATCH(949, 輔助計算!$G$2:$G$801, 0)+1))&lt;=31,3,IF(INDEX(ERP資料!$G:$G, (MATCH(949, 輔助計算!$G$2:$G$801, 0)+1))&lt;=46.5,2,1)), IF(INDEX(ERP資料!$G:$G, (MATCH(949, 輔助計算!$G$2:$G$801, 0)+1))&lt;=790,3,IF(INDEX(ERP資料!$G:$G, (MATCH(949, 輔助計算!$G$2:$G$801, 0)+1))&lt;=1181,2,1))))=2,TEXT(INDEX(ERP資料!$G:$G, (MATCH(949, 輔助計算!$G$2:$G$801, 0)+1)),"0.##")&amp;"+"&amp;TEXT(INDEX(ERP資料!$G:$G, (MATCH(949, 輔助計算!$G$2:$G$801, 0)+1)),"0.##"),TEXT(INDEX(ERP資料!$G:$G, (MATCH(949, 輔助計算!$G$2:$G$801, 0)+1)),"0.##")&amp;"+"&amp;TEXT(INDEX(ERP資料!$G:$G, (MATCH(949, 輔助計算!$G$2:$G$801, 0)+1)),"0.##")&amp;"+"&amp;TEXT(INDEX(ERP資料!$G:$G, (MATCH(949, 輔助計算!$G$2:$G$801, 0)+1)),"0.##"))))&amp;"-1")), ""), "")</f>
        <v/>
      </c>
      <c r="K950" s="16" t="n"/>
      <c r="L950" s="14">
        <f>IFERROR(IF(AND(IFERROR(INDEX(ERP資料!$A:$A, (MATCH(949, 輔助計算!$G$2:$G$801, 0)+1)), "")&lt;&gt;"", IFERROR(INDEX(ERP資料!$A:$A, (MATCH(949, 輔助計算!$G$2:$G$801, 0)+1)), "")&lt;&gt;IFERROR(INDEX(ERP資料!$A:$A, MATCH(948, 輔助計算!$G$2:$G$801, 0)+1), "")), INDEX(ERP資料!$B:$B, (MATCH(949, 輔助計算!$G$2:$G$801, 0)+1)), ""), "")</f>
        <v/>
      </c>
      <c r="M950" s="17" t="n"/>
    </row>
    <row r="951">
      <c r="A951" s="10">
        <f>IFERROR(IF(AND(IFERROR(INDEX(ERP資料!$A:$A, (MATCH(950, 輔助計算!$G$2:$G$801, 0)+1)), "")&lt;&gt;"", IFERROR(INDEX(ERP資料!$A:$A, (MATCH(950, 輔助計算!$G$2:$G$801, 0)+1)), "")&lt;&gt;IFERROR(INDEX(ERP資料!$A:$A, MATCH(949, 輔助計算!$G$2:$G$801, 0)+1), "")), IFERROR(INDEX(ERP資料!$A:$A, (MATCH(950, 輔助計算!$G$2:$G$801, 0)+1)), ""), ""), "")</f>
        <v/>
      </c>
      <c r="B951" s="10">
        <f>IFERROR(IF(AND(IFERROR(INDEX(ERP資料!$A:$A, (MATCH(950, 輔助計算!$G$2:$G$801, 0)+1)), "")&lt;&gt;"", IFERROR(INDEX(ERP資料!$A:$A, (MATCH(950, 輔助計算!$G$2:$G$801, 0)+1)), "")&lt;&gt;IFERROR(INDEX(ERP資料!$A:$A, MATCH(949, 輔助計算!$G$2:$G$801, 0)+1), "")), INDEX(ERP資料!$S:$S, (MATCH(950, 輔助計算!$G$2:$G$801, 0)+1)), ""), "")</f>
        <v/>
      </c>
      <c r="C951" s="19">
        <f>IFERROR(IF(AND(IFERROR(INDEX(ERP資料!$A:$A, (MATCH(950, 輔助計算!$G$2:$G$801, 0)+1)), "")&lt;&gt;"", IFERROR(INDEX(ERP資料!$A:$A, (MATCH(950, 輔助計算!$G$2:$G$801, 0)+1)), "")&lt;&gt;IFERROR(INDEX(ERP資料!$A:$A, MATCH(949, 輔助計算!$G$2:$G$801, 0)+1), "")), IFERROR(VLOOKUP(LEFT(INDEX(ERP資料!$S:$S, (MATCH(950, 輔助計算!$G$2:$G$801, 0)+1)), 4), 紙管對照表!$A:$C, 3, FALSE), ""), ""), "")</f>
        <v/>
      </c>
      <c r="D951" s="16" t="n"/>
      <c r="E951" s="10">
        <f>IFERROR(IF(INDEX(ERP資料!$H:$H, (MATCH(950, 輔助計算!$G$2:$G$801, 0)+1))="","",INDEX(ERP資料!$H:$H, (MATCH(950, 輔助計算!$G$2:$G$801, 0)+1))), "")</f>
        <v/>
      </c>
      <c r="F951" s="10">
        <f>IFERROR(IF(INDEX(ERP資料!$E:$E, (MATCH(950, 輔助計算!$G$2:$G$801, 0)+1))="","",TRIM(INDEX(ERP資料!$E:$E, (MATCH(950, 輔助計算!$G$2:$G$801, 0)+1)))), "")</f>
        <v/>
      </c>
      <c r="G951" s="10">
        <f>IFERROR(IF(INDEX(ERP資料!$F:$F, (MATCH(950, 輔助計算!$G$2:$G$801, 0)+1))="","",INDEX(ERP資料!$F:$F, (MATCH(950, 輔助計算!$G$2:$G$801, 0)+1))), "")</f>
        <v/>
      </c>
      <c r="H951" s="10">
        <f>IFERROR(IF(INDEX(ERP資料!$G:$G, (MATCH(950, 輔助計算!$G$2:$G$801, 0)+1))="","",INDEX(ERP資料!$G:$G, (MATCH(950, 輔助計算!$G$2:$G$801, 0)+1))), "")</f>
        <v/>
      </c>
      <c r="I951" s="15">
        <f>IFERROR(INDEX(輔助計算!$D:$D, (MATCH(950, 輔助計算!$G$2:$G$801, 0)+1)), "")</f>
        <v/>
      </c>
      <c r="J951" s="15">
        <f>IFERROR(IF(AND(INDEX(輔助計算!$D:$D, (MATCH(950, 輔助計算!$G$2:$G$801, 0)+1))&lt;&gt;"", INDEX(ERP資料!$G:$G, (MATCH(950, 輔助計算!$G$2:$G$801, 0)+1))&lt;&gt;""), TRIM(IF(INT(INDEX(輔助計算!$D:$D, (MATCH(950, 輔助計算!$G$2:$G$801, 0)+1))/IF(INDEX(ERP資料!$G:$G, (MATCH(950, 輔助計算!$G$2:$G$801, 0)+1))&lt;100, IF(INDEX(ERP資料!$G:$G, (MATCH(950, 輔助計算!$G$2:$G$801, 0)+1))&lt;=31,3,IF(INDEX(ERP資料!$G:$G, (MATCH(950, 輔助計算!$G$2:$G$801, 0)+1))&lt;=46.5,2,1)), IF(INDEX(ERP資料!$G:$G, (MATCH(950, 輔助計算!$G$2:$G$801, 0)+1))&lt;=790,3,IF(INDEX(ERP資料!$G:$G, (MATCH(950, 輔助計算!$G$2:$G$801, 0)+1))&lt;=1181,2,1))))&gt;0, IF(IF(INDEX(ERP資料!$G:$G, (MATCH(950, 輔助計算!$G$2:$G$801, 0)+1))&lt;100, IF(INDEX(ERP資料!$G:$G, (MATCH(950, 輔助計算!$G$2:$G$801, 0)+1))&lt;=31,3,IF(INDEX(ERP資料!$G:$G, (MATCH(950, 輔助計算!$G$2:$G$801, 0)+1))&lt;=46.5,2,1)), IF(INDEX(ERP資料!$G:$G, (MATCH(950, 輔助計算!$G$2:$G$801, 0)+1))&lt;=790,3,IF(INDEX(ERP資料!$G:$G, (MATCH(950, 輔助計算!$G$2:$G$801, 0)+1))&lt;=1181,2,1)))=1,TEXT(INDEX(ERP資料!$G:$G, (MATCH(950, 輔助計算!$G$2:$G$801, 0)+1)),"0.##"),IF(IF(INDEX(ERP資料!$G:$G, (MATCH(950, 輔助計算!$G$2:$G$801, 0)+1))&lt;100, IF(INDEX(ERP資料!$G:$G, (MATCH(950, 輔助計算!$G$2:$G$801, 0)+1))&lt;=31,3,IF(INDEX(ERP資料!$G:$G, (MATCH(950, 輔助計算!$G$2:$G$801, 0)+1))&lt;=46.5,2,1)), IF(INDEX(ERP資料!$G:$G, (MATCH(950, 輔助計算!$G$2:$G$801, 0)+1))&lt;=790,3,IF(INDEX(ERP資料!$G:$G, (MATCH(950, 輔助計算!$G$2:$G$801, 0)+1))&lt;=1181,2,1)))=2,TEXT(INDEX(ERP資料!$G:$G, (MATCH(950, 輔助計算!$G$2:$G$801, 0)+1)),"0.##")&amp;"+"&amp;TEXT(INDEX(ERP資料!$G:$G, (MATCH(950, 輔助計算!$G$2:$G$801, 0)+1)),"0.##"),TEXT(INDEX(ERP資料!$G:$G, (MATCH(950, 輔助計算!$G$2:$G$801, 0)+1)),"0.##")&amp;"+"&amp;TEXT(INDEX(ERP資料!$G:$G, (MATCH(950, 輔助計算!$G$2:$G$801, 0)+1)),"0.##")&amp;"+"&amp;TEXT(INDEX(ERP資料!$G:$G, (MATCH(950, 輔助計算!$G$2:$G$801, 0)+1)),"0.##")))&amp;"-"&amp;INT(INDEX(輔助計算!$D:$D, (MATCH(950, 輔助計算!$G$2:$G$801, 0)+1))/IF(INDEX(ERP資料!$G:$G, (MATCH(950, 輔助計算!$G$2:$G$801, 0)+1))&lt;100, IF(INDEX(ERP資料!$G:$G, (MATCH(950, 輔助計算!$G$2:$G$801, 0)+1))&lt;=31,3,IF(INDEX(ERP資料!$G:$G, (MATCH(950, 輔助計算!$G$2:$G$801, 0)+1))&lt;=46.5,2,1)), IF(INDEX(ERP資料!$G:$G, (MATCH(950, 輔助計算!$G$2:$G$801, 0)+1))&lt;=790,3,IF(INDEX(ERP資料!$G:$G, (MATCH(950, 輔助計算!$G$2:$G$801, 0)+1))&lt;=1181,2,1)))), "")&amp;IF(AND(IF(INT(INDEX(輔助計算!$D:$D, (MATCH(950, 輔助計算!$G$2:$G$801, 0)+1))/IF(INDEX(ERP資料!$G:$G, (MATCH(950, 輔助計算!$G$2:$G$801, 0)+1))&lt;100, IF(INDEX(ERP資料!$G:$G, (MATCH(950, 輔助計算!$G$2:$G$801, 0)+1))&lt;=31,3,IF(INDEX(ERP資料!$G:$G, (MATCH(950, 輔助計算!$G$2:$G$801, 0)+1))&lt;=46.5,2,1)), IF(INDEX(ERP資料!$G:$G, (MATCH(950, 輔助計算!$G$2:$G$801, 0)+1))&lt;=790,3,IF(INDEX(ERP資料!$G:$G, (MATCH(950, 輔助計算!$G$2:$G$801, 0)+1))&lt;=1181,2,1))))&gt;0, IF(IF(INDEX(ERP資料!$G:$G, (MATCH(950, 輔助計算!$G$2:$G$801, 0)+1))&lt;100, IF(INDEX(ERP資料!$G:$G, (MATCH(950, 輔助計算!$G$2:$G$801, 0)+1))&lt;=31,3,IF(INDEX(ERP資料!$G:$G, (MATCH(950, 輔助計算!$G$2:$G$801, 0)+1))&lt;=46.5,2,1)), IF(INDEX(ERP資料!$G:$G, (MATCH(950, 輔助計算!$G$2:$G$801, 0)+1))&lt;=790,3,IF(INDEX(ERP資料!$G:$G, (MATCH(950, 輔助計算!$G$2:$G$801, 0)+1))&lt;=1181,2,1)))=1,TEXT(INDEX(ERP資料!$G:$G, (MATCH(950, 輔助計算!$G$2:$G$801, 0)+1)),"0.##"),IF(IF(INDEX(ERP資料!$G:$G, (MATCH(950, 輔助計算!$G$2:$G$801, 0)+1))&lt;100, IF(INDEX(ERP資料!$G:$G, (MATCH(950, 輔助計算!$G$2:$G$801, 0)+1))&lt;=31,3,IF(INDEX(ERP資料!$G:$G, (MATCH(950, 輔助計算!$G$2:$G$801, 0)+1))&lt;=46.5,2,1)), IF(INDEX(ERP資料!$G:$G, (MATCH(950, 輔助計算!$G$2:$G$801, 0)+1))&lt;=790,3,IF(INDEX(ERP資料!$G:$G, (MATCH(950, 輔助計算!$G$2:$G$801, 0)+1))&lt;=1181,2,1)))=2,TEXT(INDEX(ERP資料!$G:$G, (MATCH(950, 輔助計算!$G$2:$G$801, 0)+1)),"0.##")&amp;"+"&amp;TEXT(INDEX(ERP資料!$G:$G, (MATCH(950, 輔助計算!$G$2:$G$801, 0)+1)),"0.##"),TEXT(INDEX(ERP資料!$G:$G, (MATCH(950, 輔助計算!$G$2:$G$801, 0)+1)),"0.##")&amp;"+"&amp;TEXT(INDEX(ERP資料!$G:$G, (MATCH(950, 輔助計算!$G$2:$G$801, 0)+1)),"0.##")&amp;"+"&amp;TEXT(INDEX(ERP資料!$G:$G, (MATCH(950, 輔助計算!$G$2:$G$801, 0)+1)),"0.##")))&amp;"-"&amp;INT(INDEX(輔助計算!$D:$D, (MATCH(950, 輔助計算!$G$2:$G$801, 0)+1))/IF(INDEX(ERP資料!$G:$G, (MATCH(950, 輔助計算!$G$2:$G$801, 0)+1))&lt;100, IF(INDEX(ERP資料!$G:$G, (MATCH(950, 輔助計算!$G$2:$G$801, 0)+1))&lt;=31,3,IF(INDEX(ERP資料!$G:$G, (MATCH(950, 輔助計算!$G$2:$G$801, 0)+1))&lt;=46.5,2,1)), IF(INDEX(ERP資料!$G:$G, (MATCH(950, 輔助計算!$G$2:$G$801, 0)+1))&lt;=790,3,IF(INDEX(ERP資料!$G:$G, (MATCH(950, 輔助計算!$G$2:$G$801, 0)+1))&lt;=1181,2,1)))), "")&lt;&gt;"",IF(MOD(INDEX(輔助計算!$D:$D, (MATCH(950, 輔助計算!$G$2:$G$801, 0)+1)),IF(INDEX(ERP資料!$G:$G, (MATCH(950, 輔助計算!$G$2:$G$801, 0)+1))&lt;100, IF(INDEX(ERP資料!$G:$G, (MATCH(950, 輔助計算!$G$2:$G$801, 0)+1))&lt;=31,3,IF(INDEX(ERP資料!$G:$G, (MATCH(950, 輔助計算!$G$2:$G$801, 0)+1))&lt;=46.5,2,1)), IF(INDEX(ERP資料!$G:$G, (MATCH(950, 輔助計算!$G$2:$G$801, 0)+1))&lt;=790,3,IF(INDEX(ERP資料!$G:$G, (MATCH(950, 輔助計算!$G$2:$G$801, 0)+1))&lt;=1181,2,1))))=0,"",IF(MOD(INDEX(輔助計算!$D:$D, (MATCH(950, 輔助計算!$G$2:$G$801, 0)+1)),IF(INDEX(ERP資料!$G:$G, (MATCH(950, 輔助計算!$G$2:$G$801, 0)+1))&lt;100, IF(INDEX(ERP資料!$G:$G, (MATCH(950, 輔助計算!$G$2:$G$801, 0)+1))&lt;=31,3,IF(INDEX(ERP資料!$G:$G, (MATCH(950, 輔助計算!$G$2:$G$801, 0)+1))&lt;=46.5,2,1)), IF(INDEX(ERP資料!$G:$G, (MATCH(950, 輔助計算!$G$2:$G$801, 0)+1))&lt;=790,3,IF(INDEX(ERP資料!$G:$G, (MATCH(950, 輔助計算!$G$2:$G$801, 0)+1))&lt;=1181,2,1))))=0,"",IF(MOD(INDEX(輔助計算!$D:$D, (MATCH(950, 輔助計算!$G$2:$G$801, 0)+1)),IF(INDEX(ERP資料!$G:$G, (MATCH(950, 輔助計算!$G$2:$G$801, 0)+1))&lt;100, IF(INDEX(ERP資料!$G:$G, (MATCH(950, 輔助計算!$G$2:$G$801, 0)+1))&lt;=31,3,IF(INDEX(ERP資料!$G:$G, (MATCH(950, 輔助計算!$G$2:$G$801, 0)+1))&lt;=46.5,2,1)), IF(INDEX(ERP資料!$G:$G, (MATCH(950, 輔助計算!$G$2:$G$801, 0)+1))&lt;=790,3,IF(INDEX(ERP資料!$G:$G, (MATCH(950, 輔助計算!$G$2:$G$801, 0)+1))&lt;=1181,2,1))))=1,TEXT(INDEX(ERP資料!$G:$G, (MATCH(950, 輔助計算!$G$2:$G$801, 0)+1)),"0.##"),IF(MOD(INDEX(輔助計算!$D:$D, (MATCH(950, 輔助計算!$G$2:$G$801, 0)+1)),IF(INDEX(ERP資料!$G:$G, (MATCH(950, 輔助計算!$G$2:$G$801, 0)+1))&lt;100, IF(INDEX(ERP資料!$G:$G, (MATCH(950, 輔助計算!$G$2:$G$801, 0)+1))&lt;=31,3,IF(INDEX(ERP資料!$G:$G, (MATCH(950, 輔助計算!$G$2:$G$801, 0)+1))&lt;=46.5,2,1)), IF(INDEX(ERP資料!$G:$G, (MATCH(950, 輔助計算!$G$2:$G$801, 0)+1))&lt;=790,3,IF(INDEX(ERP資料!$G:$G, (MATCH(950, 輔助計算!$G$2:$G$801, 0)+1))&lt;=1181,2,1))))=2,TEXT(INDEX(ERP資料!$G:$G, (MATCH(950, 輔助計算!$G$2:$G$801, 0)+1)),"0.##")&amp;"+"&amp;TEXT(INDEX(ERP資料!$G:$G, (MATCH(950, 輔助計算!$G$2:$G$801, 0)+1)),"0.##"),TEXT(INDEX(ERP資料!$G:$G, (MATCH(950, 輔助計算!$G$2:$G$801, 0)+1)),"0.##")&amp;"+"&amp;TEXT(INDEX(ERP資料!$G:$G, (MATCH(950, 輔助計算!$G$2:$G$801, 0)+1)),"0.##")&amp;"+"&amp;TEXT(INDEX(ERP資料!$G:$G, (MATCH(950, 輔助計算!$G$2:$G$801, 0)+1)),"0.##"))))&amp;"-1")&lt;&gt;""),"  ","")&amp;IF(MOD(INDEX(輔助計算!$D:$D, (MATCH(950, 輔助計算!$G$2:$G$801, 0)+1)),IF(INDEX(ERP資料!$G:$G, (MATCH(950, 輔助計算!$G$2:$G$801, 0)+1))&lt;100, IF(INDEX(ERP資料!$G:$G, (MATCH(950, 輔助計算!$G$2:$G$801, 0)+1))&lt;=31,3,IF(INDEX(ERP資料!$G:$G, (MATCH(950, 輔助計算!$G$2:$G$801, 0)+1))&lt;=46.5,2,1)), IF(INDEX(ERP資料!$G:$G, (MATCH(950, 輔助計算!$G$2:$G$801, 0)+1))&lt;=790,3,IF(INDEX(ERP資料!$G:$G, (MATCH(950, 輔助計算!$G$2:$G$801, 0)+1))&lt;=1181,2,1))))=0,"",IF(MOD(INDEX(輔助計算!$D:$D, (MATCH(950, 輔助計算!$G$2:$G$801, 0)+1)),IF(INDEX(ERP資料!$G:$G, (MATCH(950, 輔助計算!$G$2:$G$801, 0)+1))&lt;100, IF(INDEX(ERP資料!$G:$G, (MATCH(950, 輔助計算!$G$2:$G$801, 0)+1))&lt;=31,3,IF(INDEX(ERP資料!$G:$G, (MATCH(950, 輔助計算!$G$2:$G$801, 0)+1))&lt;=46.5,2,1)), IF(INDEX(ERP資料!$G:$G, (MATCH(950, 輔助計算!$G$2:$G$801, 0)+1))&lt;=790,3,IF(INDEX(ERP資料!$G:$G, (MATCH(950, 輔助計算!$G$2:$G$801, 0)+1))&lt;=1181,2,1))))=0,"",IF(MOD(INDEX(輔助計算!$D:$D, (MATCH(950, 輔助計算!$G$2:$G$801, 0)+1)),IF(INDEX(ERP資料!$G:$G, (MATCH(950, 輔助計算!$G$2:$G$801, 0)+1))&lt;100, IF(INDEX(ERP資料!$G:$G, (MATCH(950, 輔助計算!$G$2:$G$801, 0)+1))&lt;=31,3,IF(INDEX(ERP資料!$G:$G, (MATCH(950, 輔助計算!$G$2:$G$801, 0)+1))&lt;=46.5,2,1)), IF(INDEX(ERP資料!$G:$G, (MATCH(950, 輔助計算!$G$2:$G$801, 0)+1))&lt;=790,3,IF(INDEX(ERP資料!$G:$G, (MATCH(950, 輔助計算!$G$2:$G$801, 0)+1))&lt;=1181,2,1))))=1,TEXT(INDEX(ERP資料!$G:$G, (MATCH(950, 輔助計算!$G$2:$G$801, 0)+1)),"0.##"),IF(MOD(INDEX(輔助計算!$D:$D, (MATCH(950, 輔助計算!$G$2:$G$801, 0)+1)),IF(INDEX(ERP資料!$G:$G, (MATCH(950, 輔助計算!$G$2:$G$801, 0)+1))&lt;100, IF(INDEX(ERP資料!$G:$G, (MATCH(950, 輔助計算!$G$2:$G$801, 0)+1))&lt;=31,3,IF(INDEX(ERP資料!$G:$G, (MATCH(950, 輔助計算!$G$2:$G$801, 0)+1))&lt;=46.5,2,1)), IF(INDEX(ERP資料!$G:$G, (MATCH(950, 輔助計算!$G$2:$G$801, 0)+1))&lt;=790,3,IF(INDEX(ERP資料!$G:$G, (MATCH(950, 輔助計算!$G$2:$G$801, 0)+1))&lt;=1181,2,1))))=2,TEXT(INDEX(ERP資料!$G:$G, (MATCH(950, 輔助計算!$G$2:$G$801, 0)+1)),"0.##")&amp;"+"&amp;TEXT(INDEX(ERP資料!$G:$G, (MATCH(950, 輔助計算!$G$2:$G$801, 0)+1)),"0.##"),TEXT(INDEX(ERP資料!$G:$G, (MATCH(950, 輔助計算!$G$2:$G$801, 0)+1)),"0.##")&amp;"+"&amp;TEXT(INDEX(ERP資料!$G:$G, (MATCH(950, 輔助計算!$G$2:$G$801, 0)+1)),"0.##")&amp;"+"&amp;TEXT(INDEX(ERP資料!$G:$G, (MATCH(950, 輔助計算!$G$2:$G$801, 0)+1)),"0.##"))))&amp;"-1")), ""), "")</f>
        <v/>
      </c>
      <c r="K951" s="16" t="n"/>
      <c r="L951" s="14">
        <f>IFERROR(IF(AND(IFERROR(INDEX(ERP資料!$A:$A, (MATCH(950, 輔助計算!$G$2:$G$801, 0)+1)), "")&lt;&gt;"", IFERROR(INDEX(ERP資料!$A:$A, (MATCH(950, 輔助計算!$G$2:$G$801, 0)+1)), "")&lt;&gt;IFERROR(INDEX(ERP資料!$A:$A, MATCH(949, 輔助計算!$G$2:$G$801, 0)+1), "")), INDEX(ERP資料!$B:$B, (MATCH(950, 輔助計算!$G$2:$G$801, 0)+1)), ""), "")</f>
        <v/>
      </c>
      <c r="M951" s="17" t="n"/>
    </row>
    <row r="952">
      <c r="A952" s="10">
        <f>IFERROR(IF(AND(IFERROR(INDEX(ERP資料!$A:$A, (MATCH(951, 輔助計算!$G$2:$G$801, 0)+1)), "")&lt;&gt;"", IFERROR(INDEX(ERP資料!$A:$A, (MATCH(951, 輔助計算!$G$2:$G$801, 0)+1)), "")&lt;&gt;IFERROR(INDEX(ERP資料!$A:$A, MATCH(950, 輔助計算!$G$2:$G$801, 0)+1), "")), IFERROR(INDEX(ERP資料!$A:$A, (MATCH(951, 輔助計算!$G$2:$G$801, 0)+1)), ""), ""), "")</f>
        <v/>
      </c>
      <c r="B952" s="10">
        <f>IFERROR(IF(AND(IFERROR(INDEX(ERP資料!$A:$A, (MATCH(951, 輔助計算!$G$2:$G$801, 0)+1)), "")&lt;&gt;"", IFERROR(INDEX(ERP資料!$A:$A, (MATCH(951, 輔助計算!$G$2:$G$801, 0)+1)), "")&lt;&gt;IFERROR(INDEX(ERP資料!$A:$A, MATCH(950, 輔助計算!$G$2:$G$801, 0)+1), "")), INDEX(ERP資料!$S:$S, (MATCH(951, 輔助計算!$G$2:$G$801, 0)+1)), ""), "")</f>
        <v/>
      </c>
      <c r="C952" s="19">
        <f>IFERROR(IF(AND(IFERROR(INDEX(ERP資料!$A:$A, (MATCH(951, 輔助計算!$G$2:$G$801, 0)+1)), "")&lt;&gt;"", IFERROR(INDEX(ERP資料!$A:$A, (MATCH(951, 輔助計算!$G$2:$G$801, 0)+1)), "")&lt;&gt;IFERROR(INDEX(ERP資料!$A:$A, MATCH(950, 輔助計算!$G$2:$G$801, 0)+1), "")), IFERROR(VLOOKUP(LEFT(INDEX(ERP資料!$S:$S, (MATCH(951, 輔助計算!$G$2:$G$801, 0)+1)), 4), 紙管對照表!$A:$C, 3, FALSE), ""), ""), "")</f>
        <v/>
      </c>
      <c r="D952" s="16" t="n"/>
      <c r="E952" s="10">
        <f>IFERROR(IF(INDEX(ERP資料!$H:$H, (MATCH(951, 輔助計算!$G$2:$G$801, 0)+1))="","",INDEX(ERP資料!$H:$H, (MATCH(951, 輔助計算!$G$2:$G$801, 0)+1))), "")</f>
        <v/>
      </c>
      <c r="F952" s="10">
        <f>IFERROR(IF(INDEX(ERP資料!$E:$E, (MATCH(951, 輔助計算!$G$2:$G$801, 0)+1))="","",TRIM(INDEX(ERP資料!$E:$E, (MATCH(951, 輔助計算!$G$2:$G$801, 0)+1)))), "")</f>
        <v/>
      </c>
      <c r="G952" s="10">
        <f>IFERROR(IF(INDEX(ERP資料!$F:$F, (MATCH(951, 輔助計算!$G$2:$G$801, 0)+1))="","",INDEX(ERP資料!$F:$F, (MATCH(951, 輔助計算!$G$2:$G$801, 0)+1))), "")</f>
        <v/>
      </c>
      <c r="H952" s="10">
        <f>IFERROR(IF(INDEX(ERP資料!$G:$G, (MATCH(951, 輔助計算!$G$2:$G$801, 0)+1))="","",INDEX(ERP資料!$G:$G, (MATCH(951, 輔助計算!$G$2:$G$801, 0)+1))), "")</f>
        <v/>
      </c>
      <c r="I952" s="15">
        <f>IFERROR(INDEX(輔助計算!$D:$D, (MATCH(951, 輔助計算!$G$2:$G$801, 0)+1)), "")</f>
        <v/>
      </c>
      <c r="J952" s="15">
        <f>IFERROR(IF(AND(INDEX(輔助計算!$D:$D, (MATCH(951, 輔助計算!$G$2:$G$801, 0)+1))&lt;&gt;"", INDEX(ERP資料!$G:$G, (MATCH(951, 輔助計算!$G$2:$G$801, 0)+1))&lt;&gt;""), TRIM(IF(INT(INDEX(輔助計算!$D:$D, (MATCH(951, 輔助計算!$G$2:$G$801, 0)+1))/IF(INDEX(ERP資料!$G:$G, (MATCH(951, 輔助計算!$G$2:$G$801, 0)+1))&lt;100, IF(INDEX(ERP資料!$G:$G, (MATCH(951, 輔助計算!$G$2:$G$801, 0)+1))&lt;=31,3,IF(INDEX(ERP資料!$G:$G, (MATCH(951, 輔助計算!$G$2:$G$801, 0)+1))&lt;=46.5,2,1)), IF(INDEX(ERP資料!$G:$G, (MATCH(951, 輔助計算!$G$2:$G$801, 0)+1))&lt;=790,3,IF(INDEX(ERP資料!$G:$G, (MATCH(951, 輔助計算!$G$2:$G$801, 0)+1))&lt;=1181,2,1))))&gt;0, IF(IF(INDEX(ERP資料!$G:$G, (MATCH(951, 輔助計算!$G$2:$G$801, 0)+1))&lt;100, IF(INDEX(ERP資料!$G:$G, (MATCH(951, 輔助計算!$G$2:$G$801, 0)+1))&lt;=31,3,IF(INDEX(ERP資料!$G:$G, (MATCH(951, 輔助計算!$G$2:$G$801, 0)+1))&lt;=46.5,2,1)), IF(INDEX(ERP資料!$G:$G, (MATCH(951, 輔助計算!$G$2:$G$801, 0)+1))&lt;=790,3,IF(INDEX(ERP資料!$G:$G, (MATCH(951, 輔助計算!$G$2:$G$801, 0)+1))&lt;=1181,2,1)))=1,TEXT(INDEX(ERP資料!$G:$G, (MATCH(951, 輔助計算!$G$2:$G$801, 0)+1)),"0.##"),IF(IF(INDEX(ERP資料!$G:$G, (MATCH(951, 輔助計算!$G$2:$G$801, 0)+1))&lt;100, IF(INDEX(ERP資料!$G:$G, (MATCH(951, 輔助計算!$G$2:$G$801, 0)+1))&lt;=31,3,IF(INDEX(ERP資料!$G:$G, (MATCH(951, 輔助計算!$G$2:$G$801, 0)+1))&lt;=46.5,2,1)), IF(INDEX(ERP資料!$G:$G, (MATCH(951, 輔助計算!$G$2:$G$801, 0)+1))&lt;=790,3,IF(INDEX(ERP資料!$G:$G, (MATCH(951, 輔助計算!$G$2:$G$801, 0)+1))&lt;=1181,2,1)))=2,TEXT(INDEX(ERP資料!$G:$G, (MATCH(951, 輔助計算!$G$2:$G$801, 0)+1)),"0.##")&amp;"+"&amp;TEXT(INDEX(ERP資料!$G:$G, (MATCH(951, 輔助計算!$G$2:$G$801, 0)+1)),"0.##"),TEXT(INDEX(ERP資料!$G:$G, (MATCH(951, 輔助計算!$G$2:$G$801, 0)+1)),"0.##")&amp;"+"&amp;TEXT(INDEX(ERP資料!$G:$G, (MATCH(951, 輔助計算!$G$2:$G$801, 0)+1)),"0.##")&amp;"+"&amp;TEXT(INDEX(ERP資料!$G:$G, (MATCH(951, 輔助計算!$G$2:$G$801, 0)+1)),"0.##")))&amp;"-"&amp;INT(INDEX(輔助計算!$D:$D, (MATCH(951, 輔助計算!$G$2:$G$801, 0)+1))/IF(INDEX(ERP資料!$G:$G, (MATCH(951, 輔助計算!$G$2:$G$801, 0)+1))&lt;100, IF(INDEX(ERP資料!$G:$G, (MATCH(951, 輔助計算!$G$2:$G$801, 0)+1))&lt;=31,3,IF(INDEX(ERP資料!$G:$G, (MATCH(951, 輔助計算!$G$2:$G$801, 0)+1))&lt;=46.5,2,1)), IF(INDEX(ERP資料!$G:$G, (MATCH(951, 輔助計算!$G$2:$G$801, 0)+1))&lt;=790,3,IF(INDEX(ERP資料!$G:$G, (MATCH(951, 輔助計算!$G$2:$G$801, 0)+1))&lt;=1181,2,1)))), "")&amp;IF(AND(IF(INT(INDEX(輔助計算!$D:$D, (MATCH(951, 輔助計算!$G$2:$G$801, 0)+1))/IF(INDEX(ERP資料!$G:$G, (MATCH(951, 輔助計算!$G$2:$G$801, 0)+1))&lt;100, IF(INDEX(ERP資料!$G:$G, (MATCH(951, 輔助計算!$G$2:$G$801, 0)+1))&lt;=31,3,IF(INDEX(ERP資料!$G:$G, (MATCH(951, 輔助計算!$G$2:$G$801, 0)+1))&lt;=46.5,2,1)), IF(INDEX(ERP資料!$G:$G, (MATCH(951, 輔助計算!$G$2:$G$801, 0)+1))&lt;=790,3,IF(INDEX(ERP資料!$G:$G, (MATCH(951, 輔助計算!$G$2:$G$801, 0)+1))&lt;=1181,2,1))))&gt;0, IF(IF(INDEX(ERP資料!$G:$G, (MATCH(951, 輔助計算!$G$2:$G$801, 0)+1))&lt;100, IF(INDEX(ERP資料!$G:$G, (MATCH(951, 輔助計算!$G$2:$G$801, 0)+1))&lt;=31,3,IF(INDEX(ERP資料!$G:$G, (MATCH(951, 輔助計算!$G$2:$G$801, 0)+1))&lt;=46.5,2,1)), IF(INDEX(ERP資料!$G:$G, (MATCH(951, 輔助計算!$G$2:$G$801, 0)+1))&lt;=790,3,IF(INDEX(ERP資料!$G:$G, (MATCH(951, 輔助計算!$G$2:$G$801, 0)+1))&lt;=1181,2,1)))=1,TEXT(INDEX(ERP資料!$G:$G, (MATCH(951, 輔助計算!$G$2:$G$801, 0)+1)),"0.##"),IF(IF(INDEX(ERP資料!$G:$G, (MATCH(951, 輔助計算!$G$2:$G$801, 0)+1))&lt;100, IF(INDEX(ERP資料!$G:$G, (MATCH(951, 輔助計算!$G$2:$G$801, 0)+1))&lt;=31,3,IF(INDEX(ERP資料!$G:$G, (MATCH(951, 輔助計算!$G$2:$G$801, 0)+1))&lt;=46.5,2,1)), IF(INDEX(ERP資料!$G:$G, (MATCH(951, 輔助計算!$G$2:$G$801, 0)+1))&lt;=790,3,IF(INDEX(ERP資料!$G:$G, (MATCH(951, 輔助計算!$G$2:$G$801, 0)+1))&lt;=1181,2,1)))=2,TEXT(INDEX(ERP資料!$G:$G, (MATCH(951, 輔助計算!$G$2:$G$801, 0)+1)),"0.##")&amp;"+"&amp;TEXT(INDEX(ERP資料!$G:$G, (MATCH(951, 輔助計算!$G$2:$G$801, 0)+1)),"0.##"),TEXT(INDEX(ERP資料!$G:$G, (MATCH(951, 輔助計算!$G$2:$G$801, 0)+1)),"0.##")&amp;"+"&amp;TEXT(INDEX(ERP資料!$G:$G, (MATCH(951, 輔助計算!$G$2:$G$801, 0)+1)),"0.##")&amp;"+"&amp;TEXT(INDEX(ERP資料!$G:$G, (MATCH(951, 輔助計算!$G$2:$G$801, 0)+1)),"0.##")))&amp;"-"&amp;INT(INDEX(輔助計算!$D:$D, (MATCH(951, 輔助計算!$G$2:$G$801, 0)+1))/IF(INDEX(ERP資料!$G:$G, (MATCH(951, 輔助計算!$G$2:$G$801, 0)+1))&lt;100, IF(INDEX(ERP資料!$G:$G, (MATCH(951, 輔助計算!$G$2:$G$801, 0)+1))&lt;=31,3,IF(INDEX(ERP資料!$G:$G, (MATCH(951, 輔助計算!$G$2:$G$801, 0)+1))&lt;=46.5,2,1)), IF(INDEX(ERP資料!$G:$G, (MATCH(951, 輔助計算!$G$2:$G$801, 0)+1))&lt;=790,3,IF(INDEX(ERP資料!$G:$G, (MATCH(951, 輔助計算!$G$2:$G$801, 0)+1))&lt;=1181,2,1)))), "")&lt;&gt;"",IF(MOD(INDEX(輔助計算!$D:$D, (MATCH(951, 輔助計算!$G$2:$G$801, 0)+1)),IF(INDEX(ERP資料!$G:$G, (MATCH(951, 輔助計算!$G$2:$G$801, 0)+1))&lt;100, IF(INDEX(ERP資料!$G:$G, (MATCH(951, 輔助計算!$G$2:$G$801, 0)+1))&lt;=31,3,IF(INDEX(ERP資料!$G:$G, (MATCH(951, 輔助計算!$G$2:$G$801, 0)+1))&lt;=46.5,2,1)), IF(INDEX(ERP資料!$G:$G, (MATCH(951, 輔助計算!$G$2:$G$801, 0)+1))&lt;=790,3,IF(INDEX(ERP資料!$G:$G, (MATCH(951, 輔助計算!$G$2:$G$801, 0)+1))&lt;=1181,2,1))))=0,"",IF(MOD(INDEX(輔助計算!$D:$D, (MATCH(951, 輔助計算!$G$2:$G$801, 0)+1)),IF(INDEX(ERP資料!$G:$G, (MATCH(951, 輔助計算!$G$2:$G$801, 0)+1))&lt;100, IF(INDEX(ERP資料!$G:$G, (MATCH(951, 輔助計算!$G$2:$G$801, 0)+1))&lt;=31,3,IF(INDEX(ERP資料!$G:$G, (MATCH(951, 輔助計算!$G$2:$G$801, 0)+1))&lt;=46.5,2,1)), IF(INDEX(ERP資料!$G:$G, (MATCH(951, 輔助計算!$G$2:$G$801, 0)+1))&lt;=790,3,IF(INDEX(ERP資料!$G:$G, (MATCH(951, 輔助計算!$G$2:$G$801, 0)+1))&lt;=1181,2,1))))=0,"",IF(MOD(INDEX(輔助計算!$D:$D, (MATCH(951, 輔助計算!$G$2:$G$801, 0)+1)),IF(INDEX(ERP資料!$G:$G, (MATCH(951, 輔助計算!$G$2:$G$801, 0)+1))&lt;100, IF(INDEX(ERP資料!$G:$G, (MATCH(951, 輔助計算!$G$2:$G$801, 0)+1))&lt;=31,3,IF(INDEX(ERP資料!$G:$G, (MATCH(951, 輔助計算!$G$2:$G$801, 0)+1))&lt;=46.5,2,1)), IF(INDEX(ERP資料!$G:$G, (MATCH(951, 輔助計算!$G$2:$G$801, 0)+1))&lt;=790,3,IF(INDEX(ERP資料!$G:$G, (MATCH(951, 輔助計算!$G$2:$G$801, 0)+1))&lt;=1181,2,1))))=1,TEXT(INDEX(ERP資料!$G:$G, (MATCH(951, 輔助計算!$G$2:$G$801, 0)+1)),"0.##"),IF(MOD(INDEX(輔助計算!$D:$D, (MATCH(951, 輔助計算!$G$2:$G$801, 0)+1)),IF(INDEX(ERP資料!$G:$G, (MATCH(951, 輔助計算!$G$2:$G$801, 0)+1))&lt;100, IF(INDEX(ERP資料!$G:$G, (MATCH(951, 輔助計算!$G$2:$G$801, 0)+1))&lt;=31,3,IF(INDEX(ERP資料!$G:$G, (MATCH(951, 輔助計算!$G$2:$G$801, 0)+1))&lt;=46.5,2,1)), IF(INDEX(ERP資料!$G:$G, (MATCH(951, 輔助計算!$G$2:$G$801, 0)+1))&lt;=790,3,IF(INDEX(ERP資料!$G:$G, (MATCH(951, 輔助計算!$G$2:$G$801, 0)+1))&lt;=1181,2,1))))=2,TEXT(INDEX(ERP資料!$G:$G, (MATCH(951, 輔助計算!$G$2:$G$801, 0)+1)),"0.##")&amp;"+"&amp;TEXT(INDEX(ERP資料!$G:$G, (MATCH(951, 輔助計算!$G$2:$G$801, 0)+1)),"0.##"),TEXT(INDEX(ERP資料!$G:$G, (MATCH(951, 輔助計算!$G$2:$G$801, 0)+1)),"0.##")&amp;"+"&amp;TEXT(INDEX(ERP資料!$G:$G, (MATCH(951, 輔助計算!$G$2:$G$801, 0)+1)),"0.##")&amp;"+"&amp;TEXT(INDEX(ERP資料!$G:$G, (MATCH(951, 輔助計算!$G$2:$G$801, 0)+1)),"0.##"))))&amp;"-1")&lt;&gt;""),"  ","")&amp;IF(MOD(INDEX(輔助計算!$D:$D, (MATCH(951, 輔助計算!$G$2:$G$801, 0)+1)),IF(INDEX(ERP資料!$G:$G, (MATCH(951, 輔助計算!$G$2:$G$801, 0)+1))&lt;100, IF(INDEX(ERP資料!$G:$G, (MATCH(951, 輔助計算!$G$2:$G$801, 0)+1))&lt;=31,3,IF(INDEX(ERP資料!$G:$G, (MATCH(951, 輔助計算!$G$2:$G$801, 0)+1))&lt;=46.5,2,1)), IF(INDEX(ERP資料!$G:$G, (MATCH(951, 輔助計算!$G$2:$G$801, 0)+1))&lt;=790,3,IF(INDEX(ERP資料!$G:$G, (MATCH(951, 輔助計算!$G$2:$G$801, 0)+1))&lt;=1181,2,1))))=0,"",IF(MOD(INDEX(輔助計算!$D:$D, (MATCH(951, 輔助計算!$G$2:$G$801, 0)+1)),IF(INDEX(ERP資料!$G:$G, (MATCH(951, 輔助計算!$G$2:$G$801, 0)+1))&lt;100, IF(INDEX(ERP資料!$G:$G, (MATCH(951, 輔助計算!$G$2:$G$801, 0)+1))&lt;=31,3,IF(INDEX(ERP資料!$G:$G, (MATCH(951, 輔助計算!$G$2:$G$801, 0)+1))&lt;=46.5,2,1)), IF(INDEX(ERP資料!$G:$G, (MATCH(951, 輔助計算!$G$2:$G$801, 0)+1))&lt;=790,3,IF(INDEX(ERP資料!$G:$G, (MATCH(951, 輔助計算!$G$2:$G$801, 0)+1))&lt;=1181,2,1))))=0,"",IF(MOD(INDEX(輔助計算!$D:$D, (MATCH(951, 輔助計算!$G$2:$G$801, 0)+1)),IF(INDEX(ERP資料!$G:$G, (MATCH(951, 輔助計算!$G$2:$G$801, 0)+1))&lt;100, IF(INDEX(ERP資料!$G:$G, (MATCH(951, 輔助計算!$G$2:$G$801, 0)+1))&lt;=31,3,IF(INDEX(ERP資料!$G:$G, (MATCH(951, 輔助計算!$G$2:$G$801, 0)+1))&lt;=46.5,2,1)), IF(INDEX(ERP資料!$G:$G, (MATCH(951, 輔助計算!$G$2:$G$801, 0)+1))&lt;=790,3,IF(INDEX(ERP資料!$G:$G, (MATCH(951, 輔助計算!$G$2:$G$801, 0)+1))&lt;=1181,2,1))))=1,TEXT(INDEX(ERP資料!$G:$G, (MATCH(951, 輔助計算!$G$2:$G$801, 0)+1)),"0.##"),IF(MOD(INDEX(輔助計算!$D:$D, (MATCH(951, 輔助計算!$G$2:$G$801, 0)+1)),IF(INDEX(ERP資料!$G:$G, (MATCH(951, 輔助計算!$G$2:$G$801, 0)+1))&lt;100, IF(INDEX(ERP資料!$G:$G, (MATCH(951, 輔助計算!$G$2:$G$801, 0)+1))&lt;=31,3,IF(INDEX(ERP資料!$G:$G, (MATCH(951, 輔助計算!$G$2:$G$801, 0)+1))&lt;=46.5,2,1)), IF(INDEX(ERP資料!$G:$G, (MATCH(951, 輔助計算!$G$2:$G$801, 0)+1))&lt;=790,3,IF(INDEX(ERP資料!$G:$G, (MATCH(951, 輔助計算!$G$2:$G$801, 0)+1))&lt;=1181,2,1))))=2,TEXT(INDEX(ERP資料!$G:$G, (MATCH(951, 輔助計算!$G$2:$G$801, 0)+1)),"0.##")&amp;"+"&amp;TEXT(INDEX(ERP資料!$G:$G, (MATCH(951, 輔助計算!$G$2:$G$801, 0)+1)),"0.##"),TEXT(INDEX(ERP資料!$G:$G, (MATCH(951, 輔助計算!$G$2:$G$801, 0)+1)),"0.##")&amp;"+"&amp;TEXT(INDEX(ERP資料!$G:$G, (MATCH(951, 輔助計算!$G$2:$G$801, 0)+1)),"0.##")&amp;"+"&amp;TEXT(INDEX(ERP資料!$G:$G, (MATCH(951, 輔助計算!$G$2:$G$801, 0)+1)),"0.##"))))&amp;"-1")), ""), "")</f>
        <v/>
      </c>
      <c r="K952" s="16" t="n"/>
      <c r="L952" s="14">
        <f>IFERROR(IF(AND(IFERROR(INDEX(ERP資料!$A:$A, (MATCH(951, 輔助計算!$G$2:$G$801, 0)+1)), "")&lt;&gt;"", IFERROR(INDEX(ERP資料!$A:$A, (MATCH(951, 輔助計算!$G$2:$G$801, 0)+1)), "")&lt;&gt;IFERROR(INDEX(ERP資料!$A:$A, MATCH(950, 輔助計算!$G$2:$G$801, 0)+1), "")), INDEX(ERP資料!$B:$B, (MATCH(951, 輔助計算!$G$2:$G$801, 0)+1)), ""), "")</f>
        <v/>
      </c>
      <c r="M952" s="17" t="n"/>
    </row>
    <row r="953">
      <c r="A953" s="10">
        <f>IFERROR(IF(AND(IFERROR(INDEX(ERP資料!$A:$A, (MATCH(952, 輔助計算!$G$2:$G$801, 0)+1)), "")&lt;&gt;"", IFERROR(INDEX(ERP資料!$A:$A, (MATCH(952, 輔助計算!$G$2:$G$801, 0)+1)), "")&lt;&gt;IFERROR(INDEX(ERP資料!$A:$A, MATCH(951, 輔助計算!$G$2:$G$801, 0)+1), "")), IFERROR(INDEX(ERP資料!$A:$A, (MATCH(952, 輔助計算!$G$2:$G$801, 0)+1)), ""), ""), "")</f>
        <v/>
      </c>
      <c r="B953" s="10">
        <f>IFERROR(IF(AND(IFERROR(INDEX(ERP資料!$A:$A, (MATCH(952, 輔助計算!$G$2:$G$801, 0)+1)), "")&lt;&gt;"", IFERROR(INDEX(ERP資料!$A:$A, (MATCH(952, 輔助計算!$G$2:$G$801, 0)+1)), "")&lt;&gt;IFERROR(INDEX(ERP資料!$A:$A, MATCH(951, 輔助計算!$G$2:$G$801, 0)+1), "")), INDEX(ERP資料!$S:$S, (MATCH(952, 輔助計算!$G$2:$G$801, 0)+1)), ""), "")</f>
        <v/>
      </c>
      <c r="C953" s="19">
        <f>IFERROR(IF(AND(IFERROR(INDEX(ERP資料!$A:$A, (MATCH(952, 輔助計算!$G$2:$G$801, 0)+1)), "")&lt;&gt;"", IFERROR(INDEX(ERP資料!$A:$A, (MATCH(952, 輔助計算!$G$2:$G$801, 0)+1)), "")&lt;&gt;IFERROR(INDEX(ERP資料!$A:$A, MATCH(951, 輔助計算!$G$2:$G$801, 0)+1), "")), IFERROR(VLOOKUP(LEFT(INDEX(ERP資料!$S:$S, (MATCH(952, 輔助計算!$G$2:$G$801, 0)+1)), 4), 紙管對照表!$A:$C, 3, FALSE), ""), ""), "")</f>
        <v/>
      </c>
      <c r="D953" s="16" t="n"/>
      <c r="E953" s="10">
        <f>IFERROR(IF(INDEX(ERP資料!$H:$H, (MATCH(952, 輔助計算!$G$2:$G$801, 0)+1))="","",INDEX(ERP資料!$H:$H, (MATCH(952, 輔助計算!$G$2:$G$801, 0)+1))), "")</f>
        <v/>
      </c>
      <c r="F953" s="10">
        <f>IFERROR(IF(INDEX(ERP資料!$E:$E, (MATCH(952, 輔助計算!$G$2:$G$801, 0)+1))="","",TRIM(INDEX(ERP資料!$E:$E, (MATCH(952, 輔助計算!$G$2:$G$801, 0)+1)))), "")</f>
        <v/>
      </c>
      <c r="G953" s="10">
        <f>IFERROR(IF(INDEX(ERP資料!$F:$F, (MATCH(952, 輔助計算!$G$2:$G$801, 0)+1))="","",INDEX(ERP資料!$F:$F, (MATCH(952, 輔助計算!$G$2:$G$801, 0)+1))), "")</f>
        <v/>
      </c>
      <c r="H953" s="10">
        <f>IFERROR(IF(INDEX(ERP資料!$G:$G, (MATCH(952, 輔助計算!$G$2:$G$801, 0)+1))="","",INDEX(ERP資料!$G:$G, (MATCH(952, 輔助計算!$G$2:$G$801, 0)+1))), "")</f>
        <v/>
      </c>
      <c r="I953" s="15">
        <f>IFERROR(INDEX(輔助計算!$D:$D, (MATCH(952, 輔助計算!$G$2:$G$801, 0)+1)), "")</f>
        <v/>
      </c>
      <c r="J953" s="15">
        <f>IFERROR(IF(AND(INDEX(輔助計算!$D:$D, (MATCH(952, 輔助計算!$G$2:$G$801, 0)+1))&lt;&gt;"", INDEX(ERP資料!$G:$G, (MATCH(952, 輔助計算!$G$2:$G$801, 0)+1))&lt;&gt;""), TRIM(IF(INT(INDEX(輔助計算!$D:$D, (MATCH(952, 輔助計算!$G$2:$G$801, 0)+1))/IF(INDEX(ERP資料!$G:$G, (MATCH(952, 輔助計算!$G$2:$G$801, 0)+1))&lt;100, IF(INDEX(ERP資料!$G:$G, (MATCH(952, 輔助計算!$G$2:$G$801, 0)+1))&lt;=31,3,IF(INDEX(ERP資料!$G:$G, (MATCH(952, 輔助計算!$G$2:$G$801, 0)+1))&lt;=46.5,2,1)), IF(INDEX(ERP資料!$G:$G, (MATCH(952, 輔助計算!$G$2:$G$801, 0)+1))&lt;=790,3,IF(INDEX(ERP資料!$G:$G, (MATCH(952, 輔助計算!$G$2:$G$801, 0)+1))&lt;=1181,2,1))))&gt;0, IF(IF(INDEX(ERP資料!$G:$G, (MATCH(952, 輔助計算!$G$2:$G$801, 0)+1))&lt;100, IF(INDEX(ERP資料!$G:$G, (MATCH(952, 輔助計算!$G$2:$G$801, 0)+1))&lt;=31,3,IF(INDEX(ERP資料!$G:$G, (MATCH(952, 輔助計算!$G$2:$G$801, 0)+1))&lt;=46.5,2,1)), IF(INDEX(ERP資料!$G:$G, (MATCH(952, 輔助計算!$G$2:$G$801, 0)+1))&lt;=790,3,IF(INDEX(ERP資料!$G:$G, (MATCH(952, 輔助計算!$G$2:$G$801, 0)+1))&lt;=1181,2,1)))=1,TEXT(INDEX(ERP資料!$G:$G, (MATCH(952, 輔助計算!$G$2:$G$801, 0)+1)),"0.##"),IF(IF(INDEX(ERP資料!$G:$G, (MATCH(952, 輔助計算!$G$2:$G$801, 0)+1))&lt;100, IF(INDEX(ERP資料!$G:$G, (MATCH(952, 輔助計算!$G$2:$G$801, 0)+1))&lt;=31,3,IF(INDEX(ERP資料!$G:$G, (MATCH(952, 輔助計算!$G$2:$G$801, 0)+1))&lt;=46.5,2,1)), IF(INDEX(ERP資料!$G:$G, (MATCH(952, 輔助計算!$G$2:$G$801, 0)+1))&lt;=790,3,IF(INDEX(ERP資料!$G:$G, (MATCH(952, 輔助計算!$G$2:$G$801, 0)+1))&lt;=1181,2,1)))=2,TEXT(INDEX(ERP資料!$G:$G, (MATCH(952, 輔助計算!$G$2:$G$801, 0)+1)),"0.##")&amp;"+"&amp;TEXT(INDEX(ERP資料!$G:$G, (MATCH(952, 輔助計算!$G$2:$G$801, 0)+1)),"0.##"),TEXT(INDEX(ERP資料!$G:$G, (MATCH(952, 輔助計算!$G$2:$G$801, 0)+1)),"0.##")&amp;"+"&amp;TEXT(INDEX(ERP資料!$G:$G, (MATCH(952, 輔助計算!$G$2:$G$801, 0)+1)),"0.##")&amp;"+"&amp;TEXT(INDEX(ERP資料!$G:$G, (MATCH(952, 輔助計算!$G$2:$G$801, 0)+1)),"0.##")))&amp;"-"&amp;INT(INDEX(輔助計算!$D:$D, (MATCH(952, 輔助計算!$G$2:$G$801, 0)+1))/IF(INDEX(ERP資料!$G:$G, (MATCH(952, 輔助計算!$G$2:$G$801, 0)+1))&lt;100, IF(INDEX(ERP資料!$G:$G, (MATCH(952, 輔助計算!$G$2:$G$801, 0)+1))&lt;=31,3,IF(INDEX(ERP資料!$G:$G, (MATCH(952, 輔助計算!$G$2:$G$801, 0)+1))&lt;=46.5,2,1)), IF(INDEX(ERP資料!$G:$G, (MATCH(952, 輔助計算!$G$2:$G$801, 0)+1))&lt;=790,3,IF(INDEX(ERP資料!$G:$G, (MATCH(952, 輔助計算!$G$2:$G$801, 0)+1))&lt;=1181,2,1)))), "")&amp;IF(AND(IF(INT(INDEX(輔助計算!$D:$D, (MATCH(952, 輔助計算!$G$2:$G$801, 0)+1))/IF(INDEX(ERP資料!$G:$G, (MATCH(952, 輔助計算!$G$2:$G$801, 0)+1))&lt;100, IF(INDEX(ERP資料!$G:$G, (MATCH(952, 輔助計算!$G$2:$G$801, 0)+1))&lt;=31,3,IF(INDEX(ERP資料!$G:$G, (MATCH(952, 輔助計算!$G$2:$G$801, 0)+1))&lt;=46.5,2,1)), IF(INDEX(ERP資料!$G:$G, (MATCH(952, 輔助計算!$G$2:$G$801, 0)+1))&lt;=790,3,IF(INDEX(ERP資料!$G:$G, (MATCH(952, 輔助計算!$G$2:$G$801, 0)+1))&lt;=1181,2,1))))&gt;0, IF(IF(INDEX(ERP資料!$G:$G, (MATCH(952, 輔助計算!$G$2:$G$801, 0)+1))&lt;100, IF(INDEX(ERP資料!$G:$G, (MATCH(952, 輔助計算!$G$2:$G$801, 0)+1))&lt;=31,3,IF(INDEX(ERP資料!$G:$G, (MATCH(952, 輔助計算!$G$2:$G$801, 0)+1))&lt;=46.5,2,1)), IF(INDEX(ERP資料!$G:$G, (MATCH(952, 輔助計算!$G$2:$G$801, 0)+1))&lt;=790,3,IF(INDEX(ERP資料!$G:$G, (MATCH(952, 輔助計算!$G$2:$G$801, 0)+1))&lt;=1181,2,1)))=1,TEXT(INDEX(ERP資料!$G:$G, (MATCH(952, 輔助計算!$G$2:$G$801, 0)+1)),"0.##"),IF(IF(INDEX(ERP資料!$G:$G, (MATCH(952, 輔助計算!$G$2:$G$801, 0)+1))&lt;100, IF(INDEX(ERP資料!$G:$G, (MATCH(952, 輔助計算!$G$2:$G$801, 0)+1))&lt;=31,3,IF(INDEX(ERP資料!$G:$G, (MATCH(952, 輔助計算!$G$2:$G$801, 0)+1))&lt;=46.5,2,1)), IF(INDEX(ERP資料!$G:$G, (MATCH(952, 輔助計算!$G$2:$G$801, 0)+1))&lt;=790,3,IF(INDEX(ERP資料!$G:$G, (MATCH(952, 輔助計算!$G$2:$G$801, 0)+1))&lt;=1181,2,1)))=2,TEXT(INDEX(ERP資料!$G:$G, (MATCH(952, 輔助計算!$G$2:$G$801, 0)+1)),"0.##")&amp;"+"&amp;TEXT(INDEX(ERP資料!$G:$G, (MATCH(952, 輔助計算!$G$2:$G$801, 0)+1)),"0.##"),TEXT(INDEX(ERP資料!$G:$G, (MATCH(952, 輔助計算!$G$2:$G$801, 0)+1)),"0.##")&amp;"+"&amp;TEXT(INDEX(ERP資料!$G:$G, (MATCH(952, 輔助計算!$G$2:$G$801, 0)+1)),"0.##")&amp;"+"&amp;TEXT(INDEX(ERP資料!$G:$G, (MATCH(952, 輔助計算!$G$2:$G$801, 0)+1)),"0.##")))&amp;"-"&amp;INT(INDEX(輔助計算!$D:$D, (MATCH(952, 輔助計算!$G$2:$G$801, 0)+1))/IF(INDEX(ERP資料!$G:$G, (MATCH(952, 輔助計算!$G$2:$G$801, 0)+1))&lt;100, IF(INDEX(ERP資料!$G:$G, (MATCH(952, 輔助計算!$G$2:$G$801, 0)+1))&lt;=31,3,IF(INDEX(ERP資料!$G:$G, (MATCH(952, 輔助計算!$G$2:$G$801, 0)+1))&lt;=46.5,2,1)), IF(INDEX(ERP資料!$G:$G, (MATCH(952, 輔助計算!$G$2:$G$801, 0)+1))&lt;=790,3,IF(INDEX(ERP資料!$G:$G, (MATCH(952, 輔助計算!$G$2:$G$801, 0)+1))&lt;=1181,2,1)))), "")&lt;&gt;"",IF(MOD(INDEX(輔助計算!$D:$D, (MATCH(952, 輔助計算!$G$2:$G$801, 0)+1)),IF(INDEX(ERP資料!$G:$G, (MATCH(952, 輔助計算!$G$2:$G$801, 0)+1))&lt;100, IF(INDEX(ERP資料!$G:$G, (MATCH(952, 輔助計算!$G$2:$G$801, 0)+1))&lt;=31,3,IF(INDEX(ERP資料!$G:$G, (MATCH(952, 輔助計算!$G$2:$G$801, 0)+1))&lt;=46.5,2,1)), IF(INDEX(ERP資料!$G:$G, (MATCH(952, 輔助計算!$G$2:$G$801, 0)+1))&lt;=790,3,IF(INDEX(ERP資料!$G:$G, (MATCH(952, 輔助計算!$G$2:$G$801, 0)+1))&lt;=1181,2,1))))=0,"",IF(MOD(INDEX(輔助計算!$D:$D, (MATCH(952, 輔助計算!$G$2:$G$801, 0)+1)),IF(INDEX(ERP資料!$G:$G, (MATCH(952, 輔助計算!$G$2:$G$801, 0)+1))&lt;100, IF(INDEX(ERP資料!$G:$G, (MATCH(952, 輔助計算!$G$2:$G$801, 0)+1))&lt;=31,3,IF(INDEX(ERP資料!$G:$G, (MATCH(952, 輔助計算!$G$2:$G$801, 0)+1))&lt;=46.5,2,1)), IF(INDEX(ERP資料!$G:$G, (MATCH(952, 輔助計算!$G$2:$G$801, 0)+1))&lt;=790,3,IF(INDEX(ERP資料!$G:$G, (MATCH(952, 輔助計算!$G$2:$G$801, 0)+1))&lt;=1181,2,1))))=0,"",IF(MOD(INDEX(輔助計算!$D:$D, (MATCH(952, 輔助計算!$G$2:$G$801, 0)+1)),IF(INDEX(ERP資料!$G:$G, (MATCH(952, 輔助計算!$G$2:$G$801, 0)+1))&lt;100, IF(INDEX(ERP資料!$G:$G, (MATCH(952, 輔助計算!$G$2:$G$801, 0)+1))&lt;=31,3,IF(INDEX(ERP資料!$G:$G, (MATCH(952, 輔助計算!$G$2:$G$801, 0)+1))&lt;=46.5,2,1)), IF(INDEX(ERP資料!$G:$G, (MATCH(952, 輔助計算!$G$2:$G$801, 0)+1))&lt;=790,3,IF(INDEX(ERP資料!$G:$G, (MATCH(952, 輔助計算!$G$2:$G$801, 0)+1))&lt;=1181,2,1))))=1,TEXT(INDEX(ERP資料!$G:$G, (MATCH(952, 輔助計算!$G$2:$G$801, 0)+1)),"0.##"),IF(MOD(INDEX(輔助計算!$D:$D, (MATCH(952, 輔助計算!$G$2:$G$801, 0)+1)),IF(INDEX(ERP資料!$G:$G, (MATCH(952, 輔助計算!$G$2:$G$801, 0)+1))&lt;100, IF(INDEX(ERP資料!$G:$G, (MATCH(952, 輔助計算!$G$2:$G$801, 0)+1))&lt;=31,3,IF(INDEX(ERP資料!$G:$G, (MATCH(952, 輔助計算!$G$2:$G$801, 0)+1))&lt;=46.5,2,1)), IF(INDEX(ERP資料!$G:$G, (MATCH(952, 輔助計算!$G$2:$G$801, 0)+1))&lt;=790,3,IF(INDEX(ERP資料!$G:$G, (MATCH(952, 輔助計算!$G$2:$G$801, 0)+1))&lt;=1181,2,1))))=2,TEXT(INDEX(ERP資料!$G:$G, (MATCH(952, 輔助計算!$G$2:$G$801, 0)+1)),"0.##")&amp;"+"&amp;TEXT(INDEX(ERP資料!$G:$G, (MATCH(952, 輔助計算!$G$2:$G$801, 0)+1)),"0.##"),TEXT(INDEX(ERP資料!$G:$G, (MATCH(952, 輔助計算!$G$2:$G$801, 0)+1)),"0.##")&amp;"+"&amp;TEXT(INDEX(ERP資料!$G:$G, (MATCH(952, 輔助計算!$G$2:$G$801, 0)+1)),"0.##")&amp;"+"&amp;TEXT(INDEX(ERP資料!$G:$G, (MATCH(952, 輔助計算!$G$2:$G$801, 0)+1)),"0.##"))))&amp;"-1")&lt;&gt;""),"  ","")&amp;IF(MOD(INDEX(輔助計算!$D:$D, (MATCH(952, 輔助計算!$G$2:$G$801, 0)+1)),IF(INDEX(ERP資料!$G:$G, (MATCH(952, 輔助計算!$G$2:$G$801, 0)+1))&lt;100, IF(INDEX(ERP資料!$G:$G, (MATCH(952, 輔助計算!$G$2:$G$801, 0)+1))&lt;=31,3,IF(INDEX(ERP資料!$G:$G, (MATCH(952, 輔助計算!$G$2:$G$801, 0)+1))&lt;=46.5,2,1)), IF(INDEX(ERP資料!$G:$G, (MATCH(952, 輔助計算!$G$2:$G$801, 0)+1))&lt;=790,3,IF(INDEX(ERP資料!$G:$G, (MATCH(952, 輔助計算!$G$2:$G$801, 0)+1))&lt;=1181,2,1))))=0,"",IF(MOD(INDEX(輔助計算!$D:$D, (MATCH(952, 輔助計算!$G$2:$G$801, 0)+1)),IF(INDEX(ERP資料!$G:$G, (MATCH(952, 輔助計算!$G$2:$G$801, 0)+1))&lt;100, IF(INDEX(ERP資料!$G:$G, (MATCH(952, 輔助計算!$G$2:$G$801, 0)+1))&lt;=31,3,IF(INDEX(ERP資料!$G:$G, (MATCH(952, 輔助計算!$G$2:$G$801, 0)+1))&lt;=46.5,2,1)), IF(INDEX(ERP資料!$G:$G, (MATCH(952, 輔助計算!$G$2:$G$801, 0)+1))&lt;=790,3,IF(INDEX(ERP資料!$G:$G, (MATCH(952, 輔助計算!$G$2:$G$801, 0)+1))&lt;=1181,2,1))))=0,"",IF(MOD(INDEX(輔助計算!$D:$D, (MATCH(952, 輔助計算!$G$2:$G$801, 0)+1)),IF(INDEX(ERP資料!$G:$G, (MATCH(952, 輔助計算!$G$2:$G$801, 0)+1))&lt;100, IF(INDEX(ERP資料!$G:$G, (MATCH(952, 輔助計算!$G$2:$G$801, 0)+1))&lt;=31,3,IF(INDEX(ERP資料!$G:$G, (MATCH(952, 輔助計算!$G$2:$G$801, 0)+1))&lt;=46.5,2,1)), IF(INDEX(ERP資料!$G:$G, (MATCH(952, 輔助計算!$G$2:$G$801, 0)+1))&lt;=790,3,IF(INDEX(ERP資料!$G:$G, (MATCH(952, 輔助計算!$G$2:$G$801, 0)+1))&lt;=1181,2,1))))=1,TEXT(INDEX(ERP資料!$G:$G, (MATCH(952, 輔助計算!$G$2:$G$801, 0)+1)),"0.##"),IF(MOD(INDEX(輔助計算!$D:$D, (MATCH(952, 輔助計算!$G$2:$G$801, 0)+1)),IF(INDEX(ERP資料!$G:$G, (MATCH(952, 輔助計算!$G$2:$G$801, 0)+1))&lt;100, IF(INDEX(ERP資料!$G:$G, (MATCH(952, 輔助計算!$G$2:$G$801, 0)+1))&lt;=31,3,IF(INDEX(ERP資料!$G:$G, (MATCH(952, 輔助計算!$G$2:$G$801, 0)+1))&lt;=46.5,2,1)), IF(INDEX(ERP資料!$G:$G, (MATCH(952, 輔助計算!$G$2:$G$801, 0)+1))&lt;=790,3,IF(INDEX(ERP資料!$G:$G, (MATCH(952, 輔助計算!$G$2:$G$801, 0)+1))&lt;=1181,2,1))))=2,TEXT(INDEX(ERP資料!$G:$G, (MATCH(952, 輔助計算!$G$2:$G$801, 0)+1)),"0.##")&amp;"+"&amp;TEXT(INDEX(ERP資料!$G:$G, (MATCH(952, 輔助計算!$G$2:$G$801, 0)+1)),"0.##"),TEXT(INDEX(ERP資料!$G:$G, (MATCH(952, 輔助計算!$G$2:$G$801, 0)+1)),"0.##")&amp;"+"&amp;TEXT(INDEX(ERP資料!$G:$G, (MATCH(952, 輔助計算!$G$2:$G$801, 0)+1)),"0.##")&amp;"+"&amp;TEXT(INDEX(ERP資料!$G:$G, (MATCH(952, 輔助計算!$G$2:$G$801, 0)+1)),"0.##"))))&amp;"-1")), ""), "")</f>
        <v/>
      </c>
      <c r="K953" s="16" t="n"/>
      <c r="L953" s="14">
        <f>IFERROR(IF(AND(IFERROR(INDEX(ERP資料!$A:$A, (MATCH(952, 輔助計算!$G$2:$G$801, 0)+1)), "")&lt;&gt;"", IFERROR(INDEX(ERP資料!$A:$A, (MATCH(952, 輔助計算!$G$2:$G$801, 0)+1)), "")&lt;&gt;IFERROR(INDEX(ERP資料!$A:$A, MATCH(951, 輔助計算!$G$2:$G$801, 0)+1), "")), INDEX(ERP資料!$B:$B, (MATCH(952, 輔助計算!$G$2:$G$801, 0)+1)), ""), "")</f>
        <v/>
      </c>
      <c r="M953" s="17" t="n"/>
    </row>
    <row r="954">
      <c r="A954" s="10">
        <f>IFERROR(IF(AND(IFERROR(INDEX(ERP資料!$A:$A, (MATCH(953, 輔助計算!$G$2:$G$801, 0)+1)), "")&lt;&gt;"", IFERROR(INDEX(ERP資料!$A:$A, (MATCH(953, 輔助計算!$G$2:$G$801, 0)+1)), "")&lt;&gt;IFERROR(INDEX(ERP資料!$A:$A, MATCH(952, 輔助計算!$G$2:$G$801, 0)+1), "")), IFERROR(INDEX(ERP資料!$A:$A, (MATCH(953, 輔助計算!$G$2:$G$801, 0)+1)), ""), ""), "")</f>
        <v/>
      </c>
      <c r="B954" s="10">
        <f>IFERROR(IF(AND(IFERROR(INDEX(ERP資料!$A:$A, (MATCH(953, 輔助計算!$G$2:$G$801, 0)+1)), "")&lt;&gt;"", IFERROR(INDEX(ERP資料!$A:$A, (MATCH(953, 輔助計算!$G$2:$G$801, 0)+1)), "")&lt;&gt;IFERROR(INDEX(ERP資料!$A:$A, MATCH(952, 輔助計算!$G$2:$G$801, 0)+1), "")), INDEX(ERP資料!$S:$S, (MATCH(953, 輔助計算!$G$2:$G$801, 0)+1)), ""), "")</f>
        <v/>
      </c>
      <c r="C954" s="19">
        <f>IFERROR(IF(AND(IFERROR(INDEX(ERP資料!$A:$A, (MATCH(953, 輔助計算!$G$2:$G$801, 0)+1)), "")&lt;&gt;"", IFERROR(INDEX(ERP資料!$A:$A, (MATCH(953, 輔助計算!$G$2:$G$801, 0)+1)), "")&lt;&gt;IFERROR(INDEX(ERP資料!$A:$A, MATCH(952, 輔助計算!$G$2:$G$801, 0)+1), "")), IFERROR(VLOOKUP(LEFT(INDEX(ERP資料!$S:$S, (MATCH(953, 輔助計算!$G$2:$G$801, 0)+1)), 4), 紙管對照表!$A:$C, 3, FALSE), ""), ""), "")</f>
        <v/>
      </c>
      <c r="D954" s="16" t="n"/>
      <c r="E954" s="10">
        <f>IFERROR(IF(INDEX(ERP資料!$H:$H, (MATCH(953, 輔助計算!$G$2:$G$801, 0)+1))="","",INDEX(ERP資料!$H:$H, (MATCH(953, 輔助計算!$G$2:$G$801, 0)+1))), "")</f>
        <v/>
      </c>
      <c r="F954" s="10">
        <f>IFERROR(IF(INDEX(ERP資料!$E:$E, (MATCH(953, 輔助計算!$G$2:$G$801, 0)+1))="","",TRIM(INDEX(ERP資料!$E:$E, (MATCH(953, 輔助計算!$G$2:$G$801, 0)+1)))), "")</f>
        <v/>
      </c>
      <c r="G954" s="10">
        <f>IFERROR(IF(INDEX(ERP資料!$F:$F, (MATCH(953, 輔助計算!$G$2:$G$801, 0)+1))="","",INDEX(ERP資料!$F:$F, (MATCH(953, 輔助計算!$G$2:$G$801, 0)+1))), "")</f>
        <v/>
      </c>
      <c r="H954" s="10">
        <f>IFERROR(IF(INDEX(ERP資料!$G:$G, (MATCH(953, 輔助計算!$G$2:$G$801, 0)+1))="","",INDEX(ERP資料!$G:$G, (MATCH(953, 輔助計算!$G$2:$G$801, 0)+1))), "")</f>
        <v/>
      </c>
      <c r="I954" s="15">
        <f>IFERROR(INDEX(輔助計算!$D:$D, (MATCH(953, 輔助計算!$G$2:$G$801, 0)+1)), "")</f>
        <v/>
      </c>
      <c r="J954" s="15">
        <f>IFERROR(IF(AND(INDEX(輔助計算!$D:$D, (MATCH(953, 輔助計算!$G$2:$G$801, 0)+1))&lt;&gt;"", INDEX(ERP資料!$G:$G, (MATCH(953, 輔助計算!$G$2:$G$801, 0)+1))&lt;&gt;""), TRIM(IF(INT(INDEX(輔助計算!$D:$D, (MATCH(953, 輔助計算!$G$2:$G$801, 0)+1))/IF(INDEX(ERP資料!$G:$G, (MATCH(953, 輔助計算!$G$2:$G$801, 0)+1))&lt;100, IF(INDEX(ERP資料!$G:$G, (MATCH(953, 輔助計算!$G$2:$G$801, 0)+1))&lt;=31,3,IF(INDEX(ERP資料!$G:$G, (MATCH(953, 輔助計算!$G$2:$G$801, 0)+1))&lt;=46.5,2,1)), IF(INDEX(ERP資料!$G:$G, (MATCH(953, 輔助計算!$G$2:$G$801, 0)+1))&lt;=790,3,IF(INDEX(ERP資料!$G:$G, (MATCH(953, 輔助計算!$G$2:$G$801, 0)+1))&lt;=1181,2,1))))&gt;0, IF(IF(INDEX(ERP資料!$G:$G, (MATCH(953, 輔助計算!$G$2:$G$801, 0)+1))&lt;100, IF(INDEX(ERP資料!$G:$G, (MATCH(953, 輔助計算!$G$2:$G$801, 0)+1))&lt;=31,3,IF(INDEX(ERP資料!$G:$G, (MATCH(953, 輔助計算!$G$2:$G$801, 0)+1))&lt;=46.5,2,1)), IF(INDEX(ERP資料!$G:$G, (MATCH(953, 輔助計算!$G$2:$G$801, 0)+1))&lt;=790,3,IF(INDEX(ERP資料!$G:$G, (MATCH(953, 輔助計算!$G$2:$G$801, 0)+1))&lt;=1181,2,1)))=1,TEXT(INDEX(ERP資料!$G:$G, (MATCH(953, 輔助計算!$G$2:$G$801, 0)+1)),"0.##"),IF(IF(INDEX(ERP資料!$G:$G, (MATCH(953, 輔助計算!$G$2:$G$801, 0)+1))&lt;100, IF(INDEX(ERP資料!$G:$G, (MATCH(953, 輔助計算!$G$2:$G$801, 0)+1))&lt;=31,3,IF(INDEX(ERP資料!$G:$G, (MATCH(953, 輔助計算!$G$2:$G$801, 0)+1))&lt;=46.5,2,1)), IF(INDEX(ERP資料!$G:$G, (MATCH(953, 輔助計算!$G$2:$G$801, 0)+1))&lt;=790,3,IF(INDEX(ERP資料!$G:$G, (MATCH(953, 輔助計算!$G$2:$G$801, 0)+1))&lt;=1181,2,1)))=2,TEXT(INDEX(ERP資料!$G:$G, (MATCH(953, 輔助計算!$G$2:$G$801, 0)+1)),"0.##")&amp;"+"&amp;TEXT(INDEX(ERP資料!$G:$G, (MATCH(953, 輔助計算!$G$2:$G$801, 0)+1)),"0.##"),TEXT(INDEX(ERP資料!$G:$G, (MATCH(953, 輔助計算!$G$2:$G$801, 0)+1)),"0.##")&amp;"+"&amp;TEXT(INDEX(ERP資料!$G:$G, (MATCH(953, 輔助計算!$G$2:$G$801, 0)+1)),"0.##")&amp;"+"&amp;TEXT(INDEX(ERP資料!$G:$G, (MATCH(953, 輔助計算!$G$2:$G$801, 0)+1)),"0.##")))&amp;"-"&amp;INT(INDEX(輔助計算!$D:$D, (MATCH(953, 輔助計算!$G$2:$G$801, 0)+1))/IF(INDEX(ERP資料!$G:$G, (MATCH(953, 輔助計算!$G$2:$G$801, 0)+1))&lt;100, IF(INDEX(ERP資料!$G:$G, (MATCH(953, 輔助計算!$G$2:$G$801, 0)+1))&lt;=31,3,IF(INDEX(ERP資料!$G:$G, (MATCH(953, 輔助計算!$G$2:$G$801, 0)+1))&lt;=46.5,2,1)), IF(INDEX(ERP資料!$G:$G, (MATCH(953, 輔助計算!$G$2:$G$801, 0)+1))&lt;=790,3,IF(INDEX(ERP資料!$G:$G, (MATCH(953, 輔助計算!$G$2:$G$801, 0)+1))&lt;=1181,2,1)))), "")&amp;IF(AND(IF(INT(INDEX(輔助計算!$D:$D, (MATCH(953, 輔助計算!$G$2:$G$801, 0)+1))/IF(INDEX(ERP資料!$G:$G, (MATCH(953, 輔助計算!$G$2:$G$801, 0)+1))&lt;100, IF(INDEX(ERP資料!$G:$G, (MATCH(953, 輔助計算!$G$2:$G$801, 0)+1))&lt;=31,3,IF(INDEX(ERP資料!$G:$G, (MATCH(953, 輔助計算!$G$2:$G$801, 0)+1))&lt;=46.5,2,1)), IF(INDEX(ERP資料!$G:$G, (MATCH(953, 輔助計算!$G$2:$G$801, 0)+1))&lt;=790,3,IF(INDEX(ERP資料!$G:$G, (MATCH(953, 輔助計算!$G$2:$G$801, 0)+1))&lt;=1181,2,1))))&gt;0, IF(IF(INDEX(ERP資料!$G:$G, (MATCH(953, 輔助計算!$G$2:$G$801, 0)+1))&lt;100, IF(INDEX(ERP資料!$G:$G, (MATCH(953, 輔助計算!$G$2:$G$801, 0)+1))&lt;=31,3,IF(INDEX(ERP資料!$G:$G, (MATCH(953, 輔助計算!$G$2:$G$801, 0)+1))&lt;=46.5,2,1)), IF(INDEX(ERP資料!$G:$G, (MATCH(953, 輔助計算!$G$2:$G$801, 0)+1))&lt;=790,3,IF(INDEX(ERP資料!$G:$G, (MATCH(953, 輔助計算!$G$2:$G$801, 0)+1))&lt;=1181,2,1)))=1,TEXT(INDEX(ERP資料!$G:$G, (MATCH(953, 輔助計算!$G$2:$G$801, 0)+1)),"0.##"),IF(IF(INDEX(ERP資料!$G:$G, (MATCH(953, 輔助計算!$G$2:$G$801, 0)+1))&lt;100, IF(INDEX(ERP資料!$G:$G, (MATCH(953, 輔助計算!$G$2:$G$801, 0)+1))&lt;=31,3,IF(INDEX(ERP資料!$G:$G, (MATCH(953, 輔助計算!$G$2:$G$801, 0)+1))&lt;=46.5,2,1)), IF(INDEX(ERP資料!$G:$G, (MATCH(953, 輔助計算!$G$2:$G$801, 0)+1))&lt;=790,3,IF(INDEX(ERP資料!$G:$G, (MATCH(953, 輔助計算!$G$2:$G$801, 0)+1))&lt;=1181,2,1)))=2,TEXT(INDEX(ERP資料!$G:$G, (MATCH(953, 輔助計算!$G$2:$G$801, 0)+1)),"0.##")&amp;"+"&amp;TEXT(INDEX(ERP資料!$G:$G, (MATCH(953, 輔助計算!$G$2:$G$801, 0)+1)),"0.##"),TEXT(INDEX(ERP資料!$G:$G, (MATCH(953, 輔助計算!$G$2:$G$801, 0)+1)),"0.##")&amp;"+"&amp;TEXT(INDEX(ERP資料!$G:$G, (MATCH(953, 輔助計算!$G$2:$G$801, 0)+1)),"0.##")&amp;"+"&amp;TEXT(INDEX(ERP資料!$G:$G, (MATCH(953, 輔助計算!$G$2:$G$801, 0)+1)),"0.##")))&amp;"-"&amp;INT(INDEX(輔助計算!$D:$D, (MATCH(953, 輔助計算!$G$2:$G$801, 0)+1))/IF(INDEX(ERP資料!$G:$G, (MATCH(953, 輔助計算!$G$2:$G$801, 0)+1))&lt;100, IF(INDEX(ERP資料!$G:$G, (MATCH(953, 輔助計算!$G$2:$G$801, 0)+1))&lt;=31,3,IF(INDEX(ERP資料!$G:$G, (MATCH(953, 輔助計算!$G$2:$G$801, 0)+1))&lt;=46.5,2,1)), IF(INDEX(ERP資料!$G:$G, (MATCH(953, 輔助計算!$G$2:$G$801, 0)+1))&lt;=790,3,IF(INDEX(ERP資料!$G:$G, (MATCH(953, 輔助計算!$G$2:$G$801, 0)+1))&lt;=1181,2,1)))), "")&lt;&gt;"",IF(MOD(INDEX(輔助計算!$D:$D, (MATCH(953, 輔助計算!$G$2:$G$801, 0)+1)),IF(INDEX(ERP資料!$G:$G, (MATCH(953, 輔助計算!$G$2:$G$801, 0)+1))&lt;100, IF(INDEX(ERP資料!$G:$G, (MATCH(953, 輔助計算!$G$2:$G$801, 0)+1))&lt;=31,3,IF(INDEX(ERP資料!$G:$G, (MATCH(953, 輔助計算!$G$2:$G$801, 0)+1))&lt;=46.5,2,1)), IF(INDEX(ERP資料!$G:$G, (MATCH(953, 輔助計算!$G$2:$G$801, 0)+1))&lt;=790,3,IF(INDEX(ERP資料!$G:$G, (MATCH(953, 輔助計算!$G$2:$G$801, 0)+1))&lt;=1181,2,1))))=0,"",IF(MOD(INDEX(輔助計算!$D:$D, (MATCH(953, 輔助計算!$G$2:$G$801, 0)+1)),IF(INDEX(ERP資料!$G:$G, (MATCH(953, 輔助計算!$G$2:$G$801, 0)+1))&lt;100, IF(INDEX(ERP資料!$G:$G, (MATCH(953, 輔助計算!$G$2:$G$801, 0)+1))&lt;=31,3,IF(INDEX(ERP資料!$G:$G, (MATCH(953, 輔助計算!$G$2:$G$801, 0)+1))&lt;=46.5,2,1)), IF(INDEX(ERP資料!$G:$G, (MATCH(953, 輔助計算!$G$2:$G$801, 0)+1))&lt;=790,3,IF(INDEX(ERP資料!$G:$G, (MATCH(953, 輔助計算!$G$2:$G$801, 0)+1))&lt;=1181,2,1))))=0,"",IF(MOD(INDEX(輔助計算!$D:$D, (MATCH(953, 輔助計算!$G$2:$G$801, 0)+1)),IF(INDEX(ERP資料!$G:$G, (MATCH(953, 輔助計算!$G$2:$G$801, 0)+1))&lt;100, IF(INDEX(ERP資料!$G:$G, (MATCH(953, 輔助計算!$G$2:$G$801, 0)+1))&lt;=31,3,IF(INDEX(ERP資料!$G:$G, (MATCH(953, 輔助計算!$G$2:$G$801, 0)+1))&lt;=46.5,2,1)), IF(INDEX(ERP資料!$G:$G, (MATCH(953, 輔助計算!$G$2:$G$801, 0)+1))&lt;=790,3,IF(INDEX(ERP資料!$G:$G, (MATCH(953, 輔助計算!$G$2:$G$801, 0)+1))&lt;=1181,2,1))))=1,TEXT(INDEX(ERP資料!$G:$G, (MATCH(953, 輔助計算!$G$2:$G$801, 0)+1)),"0.##"),IF(MOD(INDEX(輔助計算!$D:$D, (MATCH(953, 輔助計算!$G$2:$G$801, 0)+1)),IF(INDEX(ERP資料!$G:$G, (MATCH(953, 輔助計算!$G$2:$G$801, 0)+1))&lt;100, IF(INDEX(ERP資料!$G:$G, (MATCH(953, 輔助計算!$G$2:$G$801, 0)+1))&lt;=31,3,IF(INDEX(ERP資料!$G:$G, (MATCH(953, 輔助計算!$G$2:$G$801, 0)+1))&lt;=46.5,2,1)), IF(INDEX(ERP資料!$G:$G, (MATCH(953, 輔助計算!$G$2:$G$801, 0)+1))&lt;=790,3,IF(INDEX(ERP資料!$G:$G, (MATCH(953, 輔助計算!$G$2:$G$801, 0)+1))&lt;=1181,2,1))))=2,TEXT(INDEX(ERP資料!$G:$G, (MATCH(953, 輔助計算!$G$2:$G$801, 0)+1)),"0.##")&amp;"+"&amp;TEXT(INDEX(ERP資料!$G:$G, (MATCH(953, 輔助計算!$G$2:$G$801, 0)+1)),"0.##"),TEXT(INDEX(ERP資料!$G:$G, (MATCH(953, 輔助計算!$G$2:$G$801, 0)+1)),"0.##")&amp;"+"&amp;TEXT(INDEX(ERP資料!$G:$G, (MATCH(953, 輔助計算!$G$2:$G$801, 0)+1)),"0.##")&amp;"+"&amp;TEXT(INDEX(ERP資料!$G:$G, (MATCH(953, 輔助計算!$G$2:$G$801, 0)+1)),"0.##"))))&amp;"-1")&lt;&gt;""),"  ","")&amp;IF(MOD(INDEX(輔助計算!$D:$D, (MATCH(953, 輔助計算!$G$2:$G$801, 0)+1)),IF(INDEX(ERP資料!$G:$G, (MATCH(953, 輔助計算!$G$2:$G$801, 0)+1))&lt;100, IF(INDEX(ERP資料!$G:$G, (MATCH(953, 輔助計算!$G$2:$G$801, 0)+1))&lt;=31,3,IF(INDEX(ERP資料!$G:$G, (MATCH(953, 輔助計算!$G$2:$G$801, 0)+1))&lt;=46.5,2,1)), IF(INDEX(ERP資料!$G:$G, (MATCH(953, 輔助計算!$G$2:$G$801, 0)+1))&lt;=790,3,IF(INDEX(ERP資料!$G:$G, (MATCH(953, 輔助計算!$G$2:$G$801, 0)+1))&lt;=1181,2,1))))=0,"",IF(MOD(INDEX(輔助計算!$D:$D, (MATCH(953, 輔助計算!$G$2:$G$801, 0)+1)),IF(INDEX(ERP資料!$G:$G, (MATCH(953, 輔助計算!$G$2:$G$801, 0)+1))&lt;100, IF(INDEX(ERP資料!$G:$G, (MATCH(953, 輔助計算!$G$2:$G$801, 0)+1))&lt;=31,3,IF(INDEX(ERP資料!$G:$G, (MATCH(953, 輔助計算!$G$2:$G$801, 0)+1))&lt;=46.5,2,1)), IF(INDEX(ERP資料!$G:$G, (MATCH(953, 輔助計算!$G$2:$G$801, 0)+1))&lt;=790,3,IF(INDEX(ERP資料!$G:$G, (MATCH(953, 輔助計算!$G$2:$G$801, 0)+1))&lt;=1181,2,1))))=0,"",IF(MOD(INDEX(輔助計算!$D:$D, (MATCH(953, 輔助計算!$G$2:$G$801, 0)+1)),IF(INDEX(ERP資料!$G:$G, (MATCH(953, 輔助計算!$G$2:$G$801, 0)+1))&lt;100, IF(INDEX(ERP資料!$G:$G, (MATCH(953, 輔助計算!$G$2:$G$801, 0)+1))&lt;=31,3,IF(INDEX(ERP資料!$G:$G, (MATCH(953, 輔助計算!$G$2:$G$801, 0)+1))&lt;=46.5,2,1)), IF(INDEX(ERP資料!$G:$G, (MATCH(953, 輔助計算!$G$2:$G$801, 0)+1))&lt;=790,3,IF(INDEX(ERP資料!$G:$G, (MATCH(953, 輔助計算!$G$2:$G$801, 0)+1))&lt;=1181,2,1))))=1,TEXT(INDEX(ERP資料!$G:$G, (MATCH(953, 輔助計算!$G$2:$G$801, 0)+1)),"0.##"),IF(MOD(INDEX(輔助計算!$D:$D, (MATCH(953, 輔助計算!$G$2:$G$801, 0)+1)),IF(INDEX(ERP資料!$G:$G, (MATCH(953, 輔助計算!$G$2:$G$801, 0)+1))&lt;100, IF(INDEX(ERP資料!$G:$G, (MATCH(953, 輔助計算!$G$2:$G$801, 0)+1))&lt;=31,3,IF(INDEX(ERP資料!$G:$G, (MATCH(953, 輔助計算!$G$2:$G$801, 0)+1))&lt;=46.5,2,1)), IF(INDEX(ERP資料!$G:$G, (MATCH(953, 輔助計算!$G$2:$G$801, 0)+1))&lt;=790,3,IF(INDEX(ERP資料!$G:$G, (MATCH(953, 輔助計算!$G$2:$G$801, 0)+1))&lt;=1181,2,1))))=2,TEXT(INDEX(ERP資料!$G:$G, (MATCH(953, 輔助計算!$G$2:$G$801, 0)+1)),"0.##")&amp;"+"&amp;TEXT(INDEX(ERP資料!$G:$G, (MATCH(953, 輔助計算!$G$2:$G$801, 0)+1)),"0.##"),TEXT(INDEX(ERP資料!$G:$G, (MATCH(953, 輔助計算!$G$2:$G$801, 0)+1)),"0.##")&amp;"+"&amp;TEXT(INDEX(ERP資料!$G:$G, (MATCH(953, 輔助計算!$G$2:$G$801, 0)+1)),"0.##")&amp;"+"&amp;TEXT(INDEX(ERP資料!$G:$G, (MATCH(953, 輔助計算!$G$2:$G$801, 0)+1)),"0.##"))))&amp;"-1")), ""), "")</f>
        <v/>
      </c>
      <c r="K954" s="16" t="n"/>
      <c r="L954" s="14">
        <f>IFERROR(IF(AND(IFERROR(INDEX(ERP資料!$A:$A, (MATCH(953, 輔助計算!$G$2:$G$801, 0)+1)), "")&lt;&gt;"", IFERROR(INDEX(ERP資料!$A:$A, (MATCH(953, 輔助計算!$G$2:$G$801, 0)+1)), "")&lt;&gt;IFERROR(INDEX(ERP資料!$A:$A, MATCH(952, 輔助計算!$G$2:$G$801, 0)+1), "")), INDEX(ERP資料!$B:$B, (MATCH(953, 輔助計算!$G$2:$G$801, 0)+1)), ""), "")</f>
        <v/>
      </c>
      <c r="M954" s="17" t="n"/>
    </row>
    <row r="955">
      <c r="A955" s="10">
        <f>IFERROR(IF(AND(IFERROR(INDEX(ERP資料!$A:$A, (MATCH(954, 輔助計算!$G$2:$G$801, 0)+1)), "")&lt;&gt;"", IFERROR(INDEX(ERP資料!$A:$A, (MATCH(954, 輔助計算!$G$2:$G$801, 0)+1)), "")&lt;&gt;IFERROR(INDEX(ERP資料!$A:$A, MATCH(953, 輔助計算!$G$2:$G$801, 0)+1), "")), IFERROR(INDEX(ERP資料!$A:$A, (MATCH(954, 輔助計算!$G$2:$G$801, 0)+1)), ""), ""), "")</f>
        <v/>
      </c>
      <c r="B955" s="10">
        <f>IFERROR(IF(AND(IFERROR(INDEX(ERP資料!$A:$A, (MATCH(954, 輔助計算!$G$2:$G$801, 0)+1)), "")&lt;&gt;"", IFERROR(INDEX(ERP資料!$A:$A, (MATCH(954, 輔助計算!$G$2:$G$801, 0)+1)), "")&lt;&gt;IFERROR(INDEX(ERP資料!$A:$A, MATCH(953, 輔助計算!$G$2:$G$801, 0)+1), "")), INDEX(ERP資料!$S:$S, (MATCH(954, 輔助計算!$G$2:$G$801, 0)+1)), ""), "")</f>
        <v/>
      </c>
      <c r="C955" s="19">
        <f>IFERROR(IF(AND(IFERROR(INDEX(ERP資料!$A:$A, (MATCH(954, 輔助計算!$G$2:$G$801, 0)+1)), "")&lt;&gt;"", IFERROR(INDEX(ERP資料!$A:$A, (MATCH(954, 輔助計算!$G$2:$G$801, 0)+1)), "")&lt;&gt;IFERROR(INDEX(ERP資料!$A:$A, MATCH(953, 輔助計算!$G$2:$G$801, 0)+1), "")), IFERROR(VLOOKUP(LEFT(INDEX(ERP資料!$S:$S, (MATCH(954, 輔助計算!$G$2:$G$801, 0)+1)), 4), 紙管對照表!$A:$C, 3, FALSE), ""), ""), "")</f>
        <v/>
      </c>
      <c r="D955" s="16" t="n"/>
      <c r="E955" s="10">
        <f>IFERROR(IF(INDEX(ERP資料!$H:$H, (MATCH(954, 輔助計算!$G$2:$G$801, 0)+1))="","",INDEX(ERP資料!$H:$H, (MATCH(954, 輔助計算!$G$2:$G$801, 0)+1))), "")</f>
        <v/>
      </c>
      <c r="F955" s="10">
        <f>IFERROR(IF(INDEX(ERP資料!$E:$E, (MATCH(954, 輔助計算!$G$2:$G$801, 0)+1))="","",TRIM(INDEX(ERP資料!$E:$E, (MATCH(954, 輔助計算!$G$2:$G$801, 0)+1)))), "")</f>
        <v/>
      </c>
      <c r="G955" s="10">
        <f>IFERROR(IF(INDEX(ERP資料!$F:$F, (MATCH(954, 輔助計算!$G$2:$G$801, 0)+1))="","",INDEX(ERP資料!$F:$F, (MATCH(954, 輔助計算!$G$2:$G$801, 0)+1))), "")</f>
        <v/>
      </c>
      <c r="H955" s="10">
        <f>IFERROR(IF(INDEX(ERP資料!$G:$G, (MATCH(954, 輔助計算!$G$2:$G$801, 0)+1))="","",INDEX(ERP資料!$G:$G, (MATCH(954, 輔助計算!$G$2:$G$801, 0)+1))), "")</f>
        <v/>
      </c>
      <c r="I955" s="15">
        <f>IFERROR(INDEX(輔助計算!$D:$D, (MATCH(954, 輔助計算!$G$2:$G$801, 0)+1)), "")</f>
        <v/>
      </c>
      <c r="J955" s="15">
        <f>IFERROR(IF(AND(INDEX(輔助計算!$D:$D, (MATCH(954, 輔助計算!$G$2:$G$801, 0)+1))&lt;&gt;"", INDEX(ERP資料!$G:$G, (MATCH(954, 輔助計算!$G$2:$G$801, 0)+1))&lt;&gt;""), TRIM(IF(INT(INDEX(輔助計算!$D:$D, (MATCH(954, 輔助計算!$G$2:$G$801, 0)+1))/IF(INDEX(ERP資料!$G:$G, (MATCH(954, 輔助計算!$G$2:$G$801, 0)+1))&lt;100, IF(INDEX(ERP資料!$G:$G, (MATCH(954, 輔助計算!$G$2:$G$801, 0)+1))&lt;=31,3,IF(INDEX(ERP資料!$G:$G, (MATCH(954, 輔助計算!$G$2:$G$801, 0)+1))&lt;=46.5,2,1)), IF(INDEX(ERP資料!$G:$G, (MATCH(954, 輔助計算!$G$2:$G$801, 0)+1))&lt;=790,3,IF(INDEX(ERP資料!$G:$G, (MATCH(954, 輔助計算!$G$2:$G$801, 0)+1))&lt;=1181,2,1))))&gt;0, IF(IF(INDEX(ERP資料!$G:$G, (MATCH(954, 輔助計算!$G$2:$G$801, 0)+1))&lt;100, IF(INDEX(ERP資料!$G:$G, (MATCH(954, 輔助計算!$G$2:$G$801, 0)+1))&lt;=31,3,IF(INDEX(ERP資料!$G:$G, (MATCH(954, 輔助計算!$G$2:$G$801, 0)+1))&lt;=46.5,2,1)), IF(INDEX(ERP資料!$G:$G, (MATCH(954, 輔助計算!$G$2:$G$801, 0)+1))&lt;=790,3,IF(INDEX(ERP資料!$G:$G, (MATCH(954, 輔助計算!$G$2:$G$801, 0)+1))&lt;=1181,2,1)))=1,TEXT(INDEX(ERP資料!$G:$G, (MATCH(954, 輔助計算!$G$2:$G$801, 0)+1)),"0.##"),IF(IF(INDEX(ERP資料!$G:$G, (MATCH(954, 輔助計算!$G$2:$G$801, 0)+1))&lt;100, IF(INDEX(ERP資料!$G:$G, (MATCH(954, 輔助計算!$G$2:$G$801, 0)+1))&lt;=31,3,IF(INDEX(ERP資料!$G:$G, (MATCH(954, 輔助計算!$G$2:$G$801, 0)+1))&lt;=46.5,2,1)), IF(INDEX(ERP資料!$G:$G, (MATCH(954, 輔助計算!$G$2:$G$801, 0)+1))&lt;=790,3,IF(INDEX(ERP資料!$G:$G, (MATCH(954, 輔助計算!$G$2:$G$801, 0)+1))&lt;=1181,2,1)))=2,TEXT(INDEX(ERP資料!$G:$G, (MATCH(954, 輔助計算!$G$2:$G$801, 0)+1)),"0.##")&amp;"+"&amp;TEXT(INDEX(ERP資料!$G:$G, (MATCH(954, 輔助計算!$G$2:$G$801, 0)+1)),"0.##"),TEXT(INDEX(ERP資料!$G:$G, (MATCH(954, 輔助計算!$G$2:$G$801, 0)+1)),"0.##")&amp;"+"&amp;TEXT(INDEX(ERP資料!$G:$G, (MATCH(954, 輔助計算!$G$2:$G$801, 0)+1)),"0.##")&amp;"+"&amp;TEXT(INDEX(ERP資料!$G:$G, (MATCH(954, 輔助計算!$G$2:$G$801, 0)+1)),"0.##")))&amp;"-"&amp;INT(INDEX(輔助計算!$D:$D, (MATCH(954, 輔助計算!$G$2:$G$801, 0)+1))/IF(INDEX(ERP資料!$G:$G, (MATCH(954, 輔助計算!$G$2:$G$801, 0)+1))&lt;100, IF(INDEX(ERP資料!$G:$G, (MATCH(954, 輔助計算!$G$2:$G$801, 0)+1))&lt;=31,3,IF(INDEX(ERP資料!$G:$G, (MATCH(954, 輔助計算!$G$2:$G$801, 0)+1))&lt;=46.5,2,1)), IF(INDEX(ERP資料!$G:$G, (MATCH(954, 輔助計算!$G$2:$G$801, 0)+1))&lt;=790,3,IF(INDEX(ERP資料!$G:$G, (MATCH(954, 輔助計算!$G$2:$G$801, 0)+1))&lt;=1181,2,1)))), "")&amp;IF(AND(IF(INT(INDEX(輔助計算!$D:$D, (MATCH(954, 輔助計算!$G$2:$G$801, 0)+1))/IF(INDEX(ERP資料!$G:$G, (MATCH(954, 輔助計算!$G$2:$G$801, 0)+1))&lt;100, IF(INDEX(ERP資料!$G:$G, (MATCH(954, 輔助計算!$G$2:$G$801, 0)+1))&lt;=31,3,IF(INDEX(ERP資料!$G:$G, (MATCH(954, 輔助計算!$G$2:$G$801, 0)+1))&lt;=46.5,2,1)), IF(INDEX(ERP資料!$G:$G, (MATCH(954, 輔助計算!$G$2:$G$801, 0)+1))&lt;=790,3,IF(INDEX(ERP資料!$G:$G, (MATCH(954, 輔助計算!$G$2:$G$801, 0)+1))&lt;=1181,2,1))))&gt;0, IF(IF(INDEX(ERP資料!$G:$G, (MATCH(954, 輔助計算!$G$2:$G$801, 0)+1))&lt;100, IF(INDEX(ERP資料!$G:$G, (MATCH(954, 輔助計算!$G$2:$G$801, 0)+1))&lt;=31,3,IF(INDEX(ERP資料!$G:$G, (MATCH(954, 輔助計算!$G$2:$G$801, 0)+1))&lt;=46.5,2,1)), IF(INDEX(ERP資料!$G:$G, (MATCH(954, 輔助計算!$G$2:$G$801, 0)+1))&lt;=790,3,IF(INDEX(ERP資料!$G:$G, (MATCH(954, 輔助計算!$G$2:$G$801, 0)+1))&lt;=1181,2,1)))=1,TEXT(INDEX(ERP資料!$G:$G, (MATCH(954, 輔助計算!$G$2:$G$801, 0)+1)),"0.##"),IF(IF(INDEX(ERP資料!$G:$G, (MATCH(954, 輔助計算!$G$2:$G$801, 0)+1))&lt;100, IF(INDEX(ERP資料!$G:$G, (MATCH(954, 輔助計算!$G$2:$G$801, 0)+1))&lt;=31,3,IF(INDEX(ERP資料!$G:$G, (MATCH(954, 輔助計算!$G$2:$G$801, 0)+1))&lt;=46.5,2,1)), IF(INDEX(ERP資料!$G:$G, (MATCH(954, 輔助計算!$G$2:$G$801, 0)+1))&lt;=790,3,IF(INDEX(ERP資料!$G:$G, (MATCH(954, 輔助計算!$G$2:$G$801, 0)+1))&lt;=1181,2,1)))=2,TEXT(INDEX(ERP資料!$G:$G, (MATCH(954, 輔助計算!$G$2:$G$801, 0)+1)),"0.##")&amp;"+"&amp;TEXT(INDEX(ERP資料!$G:$G, (MATCH(954, 輔助計算!$G$2:$G$801, 0)+1)),"0.##"),TEXT(INDEX(ERP資料!$G:$G, (MATCH(954, 輔助計算!$G$2:$G$801, 0)+1)),"0.##")&amp;"+"&amp;TEXT(INDEX(ERP資料!$G:$G, (MATCH(954, 輔助計算!$G$2:$G$801, 0)+1)),"0.##")&amp;"+"&amp;TEXT(INDEX(ERP資料!$G:$G, (MATCH(954, 輔助計算!$G$2:$G$801, 0)+1)),"0.##")))&amp;"-"&amp;INT(INDEX(輔助計算!$D:$D, (MATCH(954, 輔助計算!$G$2:$G$801, 0)+1))/IF(INDEX(ERP資料!$G:$G, (MATCH(954, 輔助計算!$G$2:$G$801, 0)+1))&lt;100, IF(INDEX(ERP資料!$G:$G, (MATCH(954, 輔助計算!$G$2:$G$801, 0)+1))&lt;=31,3,IF(INDEX(ERP資料!$G:$G, (MATCH(954, 輔助計算!$G$2:$G$801, 0)+1))&lt;=46.5,2,1)), IF(INDEX(ERP資料!$G:$G, (MATCH(954, 輔助計算!$G$2:$G$801, 0)+1))&lt;=790,3,IF(INDEX(ERP資料!$G:$G, (MATCH(954, 輔助計算!$G$2:$G$801, 0)+1))&lt;=1181,2,1)))), "")&lt;&gt;"",IF(MOD(INDEX(輔助計算!$D:$D, (MATCH(954, 輔助計算!$G$2:$G$801, 0)+1)),IF(INDEX(ERP資料!$G:$G, (MATCH(954, 輔助計算!$G$2:$G$801, 0)+1))&lt;100, IF(INDEX(ERP資料!$G:$G, (MATCH(954, 輔助計算!$G$2:$G$801, 0)+1))&lt;=31,3,IF(INDEX(ERP資料!$G:$G, (MATCH(954, 輔助計算!$G$2:$G$801, 0)+1))&lt;=46.5,2,1)), IF(INDEX(ERP資料!$G:$G, (MATCH(954, 輔助計算!$G$2:$G$801, 0)+1))&lt;=790,3,IF(INDEX(ERP資料!$G:$G, (MATCH(954, 輔助計算!$G$2:$G$801, 0)+1))&lt;=1181,2,1))))=0,"",IF(MOD(INDEX(輔助計算!$D:$D, (MATCH(954, 輔助計算!$G$2:$G$801, 0)+1)),IF(INDEX(ERP資料!$G:$G, (MATCH(954, 輔助計算!$G$2:$G$801, 0)+1))&lt;100, IF(INDEX(ERP資料!$G:$G, (MATCH(954, 輔助計算!$G$2:$G$801, 0)+1))&lt;=31,3,IF(INDEX(ERP資料!$G:$G, (MATCH(954, 輔助計算!$G$2:$G$801, 0)+1))&lt;=46.5,2,1)), IF(INDEX(ERP資料!$G:$G, (MATCH(954, 輔助計算!$G$2:$G$801, 0)+1))&lt;=790,3,IF(INDEX(ERP資料!$G:$G, (MATCH(954, 輔助計算!$G$2:$G$801, 0)+1))&lt;=1181,2,1))))=0,"",IF(MOD(INDEX(輔助計算!$D:$D, (MATCH(954, 輔助計算!$G$2:$G$801, 0)+1)),IF(INDEX(ERP資料!$G:$G, (MATCH(954, 輔助計算!$G$2:$G$801, 0)+1))&lt;100, IF(INDEX(ERP資料!$G:$G, (MATCH(954, 輔助計算!$G$2:$G$801, 0)+1))&lt;=31,3,IF(INDEX(ERP資料!$G:$G, (MATCH(954, 輔助計算!$G$2:$G$801, 0)+1))&lt;=46.5,2,1)), IF(INDEX(ERP資料!$G:$G, (MATCH(954, 輔助計算!$G$2:$G$801, 0)+1))&lt;=790,3,IF(INDEX(ERP資料!$G:$G, (MATCH(954, 輔助計算!$G$2:$G$801, 0)+1))&lt;=1181,2,1))))=1,TEXT(INDEX(ERP資料!$G:$G, (MATCH(954, 輔助計算!$G$2:$G$801, 0)+1)),"0.##"),IF(MOD(INDEX(輔助計算!$D:$D, (MATCH(954, 輔助計算!$G$2:$G$801, 0)+1)),IF(INDEX(ERP資料!$G:$G, (MATCH(954, 輔助計算!$G$2:$G$801, 0)+1))&lt;100, IF(INDEX(ERP資料!$G:$G, (MATCH(954, 輔助計算!$G$2:$G$801, 0)+1))&lt;=31,3,IF(INDEX(ERP資料!$G:$G, (MATCH(954, 輔助計算!$G$2:$G$801, 0)+1))&lt;=46.5,2,1)), IF(INDEX(ERP資料!$G:$G, (MATCH(954, 輔助計算!$G$2:$G$801, 0)+1))&lt;=790,3,IF(INDEX(ERP資料!$G:$G, (MATCH(954, 輔助計算!$G$2:$G$801, 0)+1))&lt;=1181,2,1))))=2,TEXT(INDEX(ERP資料!$G:$G, (MATCH(954, 輔助計算!$G$2:$G$801, 0)+1)),"0.##")&amp;"+"&amp;TEXT(INDEX(ERP資料!$G:$G, (MATCH(954, 輔助計算!$G$2:$G$801, 0)+1)),"0.##"),TEXT(INDEX(ERP資料!$G:$G, (MATCH(954, 輔助計算!$G$2:$G$801, 0)+1)),"0.##")&amp;"+"&amp;TEXT(INDEX(ERP資料!$G:$G, (MATCH(954, 輔助計算!$G$2:$G$801, 0)+1)),"0.##")&amp;"+"&amp;TEXT(INDEX(ERP資料!$G:$G, (MATCH(954, 輔助計算!$G$2:$G$801, 0)+1)),"0.##"))))&amp;"-1")&lt;&gt;""),"  ","")&amp;IF(MOD(INDEX(輔助計算!$D:$D, (MATCH(954, 輔助計算!$G$2:$G$801, 0)+1)),IF(INDEX(ERP資料!$G:$G, (MATCH(954, 輔助計算!$G$2:$G$801, 0)+1))&lt;100, IF(INDEX(ERP資料!$G:$G, (MATCH(954, 輔助計算!$G$2:$G$801, 0)+1))&lt;=31,3,IF(INDEX(ERP資料!$G:$G, (MATCH(954, 輔助計算!$G$2:$G$801, 0)+1))&lt;=46.5,2,1)), IF(INDEX(ERP資料!$G:$G, (MATCH(954, 輔助計算!$G$2:$G$801, 0)+1))&lt;=790,3,IF(INDEX(ERP資料!$G:$G, (MATCH(954, 輔助計算!$G$2:$G$801, 0)+1))&lt;=1181,2,1))))=0,"",IF(MOD(INDEX(輔助計算!$D:$D, (MATCH(954, 輔助計算!$G$2:$G$801, 0)+1)),IF(INDEX(ERP資料!$G:$G, (MATCH(954, 輔助計算!$G$2:$G$801, 0)+1))&lt;100, IF(INDEX(ERP資料!$G:$G, (MATCH(954, 輔助計算!$G$2:$G$801, 0)+1))&lt;=31,3,IF(INDEX(ERP資料!$G:$G, (MATCH(954, 輔助計算!$G$2:$G$801, 0)+1))&lt;=46.5,2,1)), IF(INDEX(ERP資料!$G:$G, (MATCH(954, 輔助計算!$G$2:$G$801, 0)+1))&lt;=790,3,IF(INDEX(ERP資料!$G:$G, (MATCH(954, 輔助計算!$G$2:$G$801, 0)+1))&lt;=1181,2,1))))=0,"",IF(MOD(INDEX(輔助計算!$D:$D, (MATCH(954, 輔助計算!$G$2:$G$801, 0)+1)),IF(INDEX(ERP資料!$G:$G, (MATCH(954, 輔助計算!$G$2:$G$801, 0)+1))&lt;100, IF(INDEX(ERP資料!$G:$G, (MATCH(954, 輔助計算!$G$2:$G$801, 0)+1))&lt;=31,3,IF(INDEX(ERP資料!$G:$G, (MATCH(954, 輔助計算!$G$2:$G$801, 0)+1))&lt;=46.5,2,1)), IF(INDEX(ERP資料!$G:$G, (MATCH(954, 輔助計算!$G$2:$G$801, 0)+1))&lt;=790,3,IF(INDEX(ERP資料!$G:$G, (MATCH(954, 輔助計算!$G$2:$G$801, 0)+1))&lt;=1181,2,1))))=1,TEXT(INDEX(ERP資料!$G:$G, (MATCH(954, 輔助計算!$G$2:$G$801, 0)+1)),"0.##"),IF(MOD(INDEX(輔助計算!$D:$D, (MATCH(954, 輔助計算!$G$2:$G$801, 0)+1)),IF(INDEX(ERP資料!$G:$G, (MATCH(954, 輔助計算!$G$2:$G$801, 0)+1))&lt;100, IF(INDEX(ERP資料!$G:$G, (MATCH(954, 輔助計算!$G$2:$G$801, 0)+1))&lt;=31,3,IF(INDEX(ERP資料!$G:$G, (MATCH(954, 輔助計算!$G$2:$G$801, 0)+1))&lt;=46.5,2,1)), IF(INDEX(ERP資料!$G:$G, (MATCH(954, 輔助計算!$G$2:$G$801, 0)+1))&lt;=790,3,IF(INDEX(ERP資料!$G:$G, (MATCH(954, 輔助計算!$G$2:$G$801, 0)+1))&lt;=1181,2,1))))=2,TEXT(INDEX(ERP資料!$G:$G, (MATCH(954, 輔助計算!$G$2:$G$801, 0)+1)),"0.##")&amp;"+"&amp;TEXT(INDEX(ERP資料!$G:$G, (MATCH(954, 輔助計算!$G$2:$G$801, 0)+1)),"0.##"),TEXT(INDEX(ERP資料!$G:$G, (MATCH(954, 輔助計算!$G$2:$G$801, 0)+1)),"0.##")&amp;"+"&amp;TEXT(INDEX(ERP資料!$G:$G, (MATCH(954, 輔助計算!$G$2:$G$801, 0)+1)),"0.##")&amp;"+"&amp;TEXT(INDEX(ERP資料!$G:$G, (MATCH(954, 輔助計算!$G$2:$G$801, 0)+1)),"0.##"))))&amp;"-1")), ""), "")</f>
        <v/>
      </c>
      <c r="K955" s="16" t="n"/>
      <c r="L955" s="14">
        <f>IFERROR(IF(AND(IFERROR(INDEX(ERP資料!$A:$A, (MATCH(954, 輔助計算!$G$2:$G$801, 0)+1)), "")&lt;&gt;"", IFERROR(INDEX(ERP資料!$A:$A, (MATCH(954, 輔助計算!$G$2:$G$801, 0)+1)), "")&lt;&gt;IFERROR(INDEX(ERP資料!$A:$A, MATCH(953, 輔助計算!$G$2:$G$801, 0)+1), "")), INDEX(ERP資料!$B:$B, (MATCH(954, 輔助計算!$G$2:$G$801, 0)+1)), ""), "")</f>
        <v/>
      </c>
      <c r="M955" s="17" t="n"/>
    </row>
    <row r="956">
      <c r="A956" s="10">
        <f>IFERROR(IF(AND(IFERROR(INDEX(ERP資料!$A:$A, (MATCH(955, 輔助計算!$G$2:$G$801, 0)+1)), "")&lt;&gt;"", IFERROR(INDEX(ERP資料!$A:$A, (MATCH(955, 輔助計算!$G$2:$G$801, 0)+1)), "")&lt;&gt;IFERROR(INDEX(ERP資料!$A:$A, MATCH(954, 輔助計算!$G$2:$G$801, 0)+1), "")), IFERROR(INDEX(ERP資料!$A:$A, (MATCH(955, 輔助計算!$G$2:$G$801, 0)+1)), ""), ""), "")</f>
        <v/>
      </c>
      <c r="B956" s="10">
        <f>IFERROR(IF(AND(IFERROR(INDEX(ERP資料!$A:$A, (MATCH(955, 輔助計算!$G$2:$G$801, 0)+1)), "")&lt;&gt;"", IFERROR(INDEX(ERP資料!$A:$A, (MATCH(955, 輔助計算!$G$2:$G$801, 0)+1)), "")&lt;&gt;IFERROR(INDEX(ERP資料!$A:$A, MATCH(954, 輔助計算!$G$2:$G$801, 0)+1), "")), INDEX(ERP資料!$S:$S, (MATCH(955, 輔助計算!$G$2:$G$801, 0)+1)), ""), "")</f>
        <v/>
      </c>
      <c r="C956" s="19">
        <f>IFERROR(IF(AND(IFERROR(INDEX(ERP資料!$A:$A, (MATCH(955, 輔助計算!$G$2:$G$801, 0)+1)), "")&lt;&gt;"", IFERROR(INDEX(ERP資料!$A:$A, (MATCH(955, 輔助計算!$G$2:$G$801, 0)+1)), "")&lt;&gt;IFERROR(INDEX(ERP資料!$A:$A, MATCH(954, 輔助計算!$G$2:$G$801, 0)+1), "")), IFERROR(VLOOKUP(LEFT(INDEX(ERP資料!$S:$S, (MATCH(955, 輔助計算!$G$2:$G$801, 0)+1)), 4), 紙管對照表!$A:$C, 3, FALSE), ""), ""), "")</f>
        <v/>
      </c>
      <c r="D956" s="16" t="n"/>
      <c r="E956" s="10">
        <f>IFERROR(IF(INDEX(ERP資料!$H:$H, (MATCH(955, 輔助計算!$G$2:$G$801, 0)+1))="","",INDEX(ERP資料!$H:$H, (MATCH(955, 輔助計算!$G$2:$G$801, 0)+1))), "")</f>
        <v/>
      </c>
      <c r="F956" s="10">
        <f>IFERROR(IF(INDEX(ERP資料!$E:$E, (MATCH(955, 輔助計算!$G$2:$G$801, 0)+1))="","",TRIM(INDEX(ERP資料!$E:$E, (MATCH(955, 輔助計算!$G$2:$G$801, 0)+1)))), "")</f>
        <v/>
      </c>
      <c r="G956" s="10">
        <f>IFERROR(IF(INDEX(ERP資料!$F:$F, (MATCH(955, 輔助計算!$G$2:$G$801, 0)+1))="","",INDEX(ERP資料!$F:$F, (MATCH(955, 輔助計算!$G$2:$G$801, 0)+1))), "")</f>
        <v/>
      </c>
      <c r="H956" s="10">
        <f>IFERROR(IF(INDEX(ERP資料!$G:$G, (MATCH(955, 輔助計算!$G$2:$G$801, 0)+1))="","",INDEX(ERP資料!$G:$G, (MATCH(955, 輔助計算!$G$2:$G$801, 0)+1))), "")</f>
        <v/>
      </c>
      <c r="I956" s="15">
        <f>IFERROR(INDEX(輔助計算!$D:$D, (MATCH(955, 輔助計算!$G$2:$G$801, 0)+1)), "")</f>
        <v/>
      </c>
      <c r="J956" s="15">
        <f>IFERROR(IF(AND(INDEX(輔助計算!$D:$D, (MATCH(955, 輔助計算!$G$2:$G$801, 0)+1))&lt;&gt;"", INDEX(ERP資料!$G:$G, (MATCH(955, 輔助計算!$G$2:$G$801, 0)+1))&lt;&gt;""), TRIM(IF(INT(INDEX(輔助計算!$D:$D, (MATCH(955, 輔助計算!$G$2:$G$801, 0)+1))/IF(INDEX(ERP資料!$G:$G, (MATCH(955, 輔助計算!$G$2:$G$801, 0)+1))&lt;100, IF(INDEX(ERP資料!$G:$G, (MATCH(955, 輔助計算!$G$2:$G$801, 0)+1))&lt;=31,3,IF(INDEX(ERP資料!$G:$G, (MATCH(955, 輔助計算!$G$2:$G$801, 0)+1))&lt;=46.5,2,1)), IF(INDEX(ERP資料!$G:$G, (MATCH(955, 輔助計算!$G$2:$G$801, 0)+1))&lt;=790,3,IF(INDEX(ERP資料!$G:$G, (MATCH(955, 輔助計算!$G$2:$G$801, 0)+1))&lt;=1181,2,1))))&gt;0, IF(IF(INDEX(ERP資料!$G:$G, (MATCH(955, 輔助計算!$G$2:$G$801, 0)+1))&lt;100, IF(INDEX(ERP資料!$G:$G, (MATCH(955, 輔助計算!$G$2:$G$801, 0)+1))&lt;=31,3,IF(INDEX(ERP資料!$G:$G, (MATCH(955, 輔助計算!$G$2:$G$801, 0)+1))&lt;=46.5,2,1)), IF(INDEX(ERP資料!$G:$G, (MATCH(955, 輔助計算!$G$2:$G$801, 0)+1))&lt;=790,3,IF(INDEX(ERP資料!$G:$G, (MATCH(955, 輔助計算!$G$2:$G$801, 0)+1))&lt;=1181,2,1)))=1,TEXT(INDEX(ERP資料!$G:$G, (MATCH(955, 輔助計算!$G$2:$G$801, 0)+1)),"0.##"),IF(IF(INDEX(ERP資料!$G:$G, (MATCH(955, 輔助計算!$G$2:$G$801, 0)+1))&lt;100, IF(INDEX(ERP資料!$G:$G, (MATCH(955, 輔助計算!$G$2:$G$801, 0)+1))&lt;=31,3,IF(INDEX(ERP資料!$G:$G, (MATCH(955, 輔助計算!$G$2:$G$801, 0)+1))&lt;=46.5,2,1)), IF(INDEX(ERP資料!$G:$G, (MATCH(955, 輔助計算!$G$2:$G$801, 0)+1))&lt;=790,3,IF(INDEX(ERP資料!$G:$G, (MATCH(955, 輔助計算!$G$2:$G$801, 0)+1))&lt;=1181,2,1)))=2,TEXT(INDEX(ERP資料!$G:$G, (MATCH(955, 輔助計算!$G$2:$G$801, 0)+1)),"0.##")&amp;"+"&amp;TEXT(INDEX(ERP資料!$G:$G, (MATCH(955, 輔助計算!$G$2:$G$801, 0)+1)),"0.##"),TEXT(INDEX(ERP資料!$G:$G, (MATCH(955, 輔助計算!$G$2:$G$801, 0)+1)),"0.##")&amp;"+"&amp;TEXT(INDEX(ERP資料!$G:$G, (MATCH(955, 輔助計算!$G$2:$G$801, 0)+1)),"0.##")&amp;"+"&amp;TEXT(INDEX(ERP資料!$G:$G, (MATCH(955, 輔助計算!$G$2:$G$801, 0)+1)),"0.##")))&amp;"-"&amp;INT(INDEX(輔助計算!$D:$D, (MATCH(955, 輔助計算!$G$2:$G$801, 0)+1))/IF(INDEX(ERP資料!$G:$G, (MATCH(955, 輔助計算!$G$2:$G$801, 0)+1))&lt;100, IF(INDEX(ERP資料!$G:$G, (MATCH(955, 輔助計算!$G$2:$G$801, 0)+1))&lt;=31,3,IF(INDEX(ERP資料!$G:$G, (MATCH(955, 輔助計算!$G$2:$G$801, 0)+1))&lt;=46.5,2,1)), IF(INDEX(ERP資料!$G:$G, (MATCH(955, 輔助計算!$G$2:$G$801, 0)+1))&lt;=790,3,IF(INDEX(ERP資料!$G:$G, (MATCH(955, 輔助計算!$G$2:$G$801, 0)+1))&lt;=1181,2,1)))), "")&amp;IF(AND(IF(INT(INDEX(輔助計算!$D:$D, (MATCH(955, 輔助計算!$G$2:$G$801, 0)+1))/IF(INDEX(ERP資料!$G:$G, (MATCH(955, 輔助計算!$G$2:$G$801, 0)+1))&lt;100, IF(INDEX(ERP資料!$G:$G, (MATCH(955, 輔助計算!$G$2:$G$801, 0)+1))&lt;=31,3,IF(INDEX(ERP資料!$G:$G, (MATCH(955, 輔助計算!$G$2:$G$801, 0)+1))&lt;=46.5,2,1)), IF(INDEX(ERP資料!$G:$G, (MATCH(955, 輔助計算!$G$2:$G$801, 0)+1))&lt;=790,3,IF(INDEX(ERP資料!$G:$G, (MATCH(955, 輔助計算!$G$2:$G$801, 0)+1))&lt;=1181,2,1))))&gt;0, IF(IF(INDEX(ERP資料!$G:$G, (MATCH(955, 輔助計算!$G$2:$G$801, 0)+1))&lt;100, IF(INDEX(ERP資料!$G:$G, (MATCH(955, 輔助計算!$G$2:$G$801, 0)+1))&lt;=31,3,IF(INDEX(ERP資料!$G:$G, (MATCH(955, 輔助計算!$G$2:$G$801, 0)+1))&lt;=46.5,2,1)), IF(INDEX(ERP資料!$G:$G, (MATCH(955, 輔助計算!$G$2:$G$801, 0)+1))&lt;=790,3,IF(INDEX(ERP資料!$G:$G, (MATCH(955, 輔助計算!$G$2:$G$801, 0)+1))&lt;=1181,2,1)))=1,TEXT(INDEX(ERP資料!$G:$G, (MATCH(955, 輔助計算!$G$2:$G$801, 0)+1)),"0.##"),IF(IF(INDEX(ERP資料!$G:$G, (MATCH(955, 輔助計算!$G$2:$G$801, 0)+1))&lt;100, IF(INDEX(ERP資料!$G:$G, (MATCH(955, 輔助計算!$G$2:$G$801, 0)+1))&lt;=31,3,IF(INDEX(ERP資料!$G:$G, (MATCH(955, 輔助計算!$G$2:$G$801, 0)+1))&lt;=46.5,2,1)), IF(INDEX(ERP資料!$G:$G, (MATCH(955, 輔助計算!$G$2:$G$801, 0)+1))&lt;=790,3,IF(INDEX(ERP資料!$G:$G, (MATCH(955, 輔助計算!$G$2:$G$801, 0)+1))&lt;=1181,2,1)))=2,TEXT(INDEX(ERP資料!$G:$G, (MATCH(955, 輔助計算!$G$2:$G$801, 0)+1)),"0.##")&amp;"+"&amp;TEXT(INDEX(ERP資料!$G:$G, (MATCH(955, 輔助計算!$G$2:$G$801, 0)+1)),"0.##"),TEXT(INDEX(ERP資料!$G:$G, (MATCH(955, 輔助計算!$G$2:$G$801, 0)+1)),"0.##")&amp;"+"&amp;TEXT(INDEX(ERP資料!$G:$G, (MATCH(955, 輔助計算!$G$2:$G$801, 0)+1)),"0.##")&amp;"+"&amp;TEXT(INDEX(ERP資料!$G:$G, (MATCH(955, 輔助計算!$G$2:$G$801, 0)+1)),"0.##")))&amp;"-"&amp;INT(INDEX(輔助計算!$D:$D, (MATCH(955, 輔助計算!$G$2:$G$801, 0)+1))/IF(INDEX(ERP資料!$G:$G, (MATCH(955, 輔助計算!$G$2:$G$801, 0)+1))&lt;100, IF(INDEX(ERP資料!$G:$G, (MATCH(955, 輔助計算!$G$2:$G$801, 0)+1))&lt;=31,3,IF(INDEX(ERP資料!$G:$G, (MATCH(955, 輔助計算!$G$2:$G$801, 0)+1))&lt;=46.5,2,1)), IF(INDEX(ERP資料!$G:$G, (MATCH(955, 輔助計算!$G$2:$G$801, 0)+1))&lt;=790,3,IF(INDEX(ERP資料!$G:$G, (MATCH(955, 輔助計算!$G$2:$G$801, 0)+1))&lt;=1181,2,1)))), "")&lt;&gt;"",IF(MOD(INDEX(輔助計算!$D:$D, (MATCH(955, 輔助計算!$G$2:$G$801, 0)+1)),IF(INDEX(ERP資料!$G:$G, (MATCH(955, 輔助計算!$G$2:$G$801, 0)+1))&lt;100, IF(INDEX(ERP資料!$G:$G, (MATCH(955, 輔助計算!$G$2:$G$801, 0)+1))&lt;=31,3,IF(INDEX(ERP資料!$G:$G, (MATCH(955, 輔助計算!$G$2:$G$801, 0)+1))&lt;=46.5,2,1)), IF(INDEX(ERP資料!$G:$G, (MATCH(955, 輔助計算!$G$2:$G$801, 0)+1))&lt;=790,3,IF(INDEX(ERP資料!$G:$G, (MATCH(955, 輔助計算!$G$2:$G$801, 0)+1))&lt;=1181,2,1))))=0,"",IF(MOD(INDEX(輔助計算!$D:$D, (MATCH(955, 輔助計算!$G$2:$G$801, 0)+1)),IF(INDEX(ERP資料!$G:$G, (MATCH(955, 輔助計算!$G$2:$G$801, 0)+1))&lt;100, IF(INDEX(ERP資料!$G:$G, (MATCH(955, 輔助計算!$G$2:$G$801, 0)+1))&lt;=31,3,IF(INDEX(ERP資料!$G:$G, (MATCH(955, 輔助計算!$G$2:$G$801, 0)+1))&lt;=46.5,2,1)), IF(INDEX(ERP資料!$G:$G, (MATCH(955, 輔助計算!$G$2:$G$801, 0)+1))&lt;=790,3,IF(INDEX(ERP資料!$G:$G, (MATCH(955, 輔助計算!$G$2:$G$801, 0)+1))&lt;=1181,2,1))))=0,"",IF(MOD(INDEX(輔助計算!$D:$D, (MATCH(955, 輔助計算!$G$2:$G$801, 0)+1)),IF(INDEX(ERP資料!$G:$G, (MATCH(955, 輔助計算!$G$2:$G$801, 0)+1))&lt;100, IF(INDEX(ERP資料!$G:$G, (MATCH(955, 輔助計算!$G$2:$G$801, 0)+1))&lt;=31,3,IF(INDEX(ERP資料!$G:$G, (MATCH(955, 輔助計算!$G$2:$G$801, 0)+1))&lt;=46.5,2,1)), IF(INDEX(ERP資料!$G:$G, (MATCH(955, 輔助計算!$G$2:$G$801, 0)+1))&lt;=790,3,IF(INDEX(ERP資料!$G:$G, (MATCH(955, 輔助計算!$G$2:$G$801, 0)+1))&lt;=1181,2,1))))=1,TEXT(INDEX(ERP資料!$G:$G, (MATCH(955, 輔助計算!$G$2:$G$801, 0)+1)),"0.##"),IF(MOD(INDEX(輔助計算!$D:$D, (MATCH(955, 輔助計算!$G$2:$G$801, 0)+1)),IF(INDEX(ERP資料!$G:$G, (MATCH(955, 輔助計算!$G$2:$G$801, 0)+1))&lt;100, IF(INDEX(ERP資料!$G:$G, (MATCH(955, 輔助計算!$G$2:$G$801, 0)+1))&lt;=31,3,IF(INDEX(ERP資料!$G:$G, (MATCH(955, 輔助計算!$G$2:$G$801, 0)+1))&lt;=46.5,2,1)), IF(INDEX(ERP資料!$G:$G, (MATCH(955, 輔助計算!$G$2:$G$801, 0)+1))&lt;=790,3,IF(INDEX(ERP資料!$G:$G, (MATCH(955, 輔助計算!$G$2:$G$801, 0)+1))&lt;=1181,2,1))))=2,TEXT(INDEX(ERP資料!$G:$G, (MATCH(955, 輔助計算!$G$2:$G$801, 0)+1)),"0.##")&amp;"+"&amp;TEXT(INDEX(ERP資料!$G:$G, (MATCH(955, 輔助計算!$G$2:$G$801, 0)+1)),"0.##"),TEXT(INDEX(ERP資料!$G:$G, (MATCH(955, 輔助計算!$G$2:$G$801, 0)+1)),"0.##")&amp;"+"&amp;TEXT(INDEX(ERP資料!$G:$G, (MATCH(955, 輔助計算!$G$2:$G$801, 0)+1)),"0.##")&amp;"+"&amp;TEXT(INDEX(ERP資料!$G:$G, (MATCH(955, 輔助計算!$G$2:$G$801, 0)+1)),"0.##"))))&amp;"-1")&lt;&gt;""),"  ","")&amp;IF(MOD(INDEX(輔助計算!$D:$D, (MATCH(955, 輔助計算!$G$2:$G$801, 0)+1)),IF(INDEX(ERP資料!$G:$G, (MATCH(955, 輔助計算!$G$2:$G$801, 0)+1))&lt;100, IF(INDEX(ERP資料!$G:$G, (MATCH(955, 輔助計算!$G$2:$G$801, 0)+1))&lt;=31,3,IF(INDEX(ERP資料!$G:$G, (MATCH(955, 輔助計算!$G$2:$G$801, 0)+1))&lt;=46.5,2,1)), IF(INDEX(ERP資料!$G:$G, (MATCH(955, 輔助計算!$G$2:$G$801, 0)+1))&lt;=790,3,IF(INDEX(ERP資料!$G:$G, (MATCH(955, 輔助計算!$G$2:$G$801, 0)+1))&lt;=1181,2,1))))=0,"",IF(MOD(INDEX(輔助計算!$D:$D, (MATCH(955, 輔助計算!$G$2:$G$801, 0)+1)),IF(INDEX(ERP資料!$G:$G, (MATCH(955, 輔助計算!$G$2:$G$801, 0)+1))&lt;100, IF(INDEX(ERP資料!$G:$G, (MATCH(955, 輔助計算!$G$2:$G$801, 0)+1))&lt;=31,3,IF(INDEX(ERP資料!$G:$G, (MATCH(955, 輔助計算!$G$2:$G$801, 0)+1))&lt;=46.5,2,1)), IF(INDEX(ERP資料!$G:$G, (MATCH(955, 輔助計算!$G$2:$G$801, 0)+1))&lt;=790,3,IF(INDEX(ERP資料!$G:$G, (MATCH(955, 輔助計算!$G$2:$G$801, 0)+1))&lt;=1181,2,1))))=0,"",IF(MOD(INDEX(輔助計算!$D:$D, (MATCH(955, 輔助計算!$G$2:$G$801, 0)+1)),IF(INDEX(ERP資料!$G:$G, (MATCH(955, 輔助計算!$G$2:$G$801, 0)+1))&lt;100, IF(INDEX(ERP資料!$G:$G, (MATCH(955, 輔助計算!$G$2:$G$801, 0)+1))&lt;=31,3,IF(INDEX(ERP資料!$G:$G, (MATCH(955, 輔助計算!$G$2:$G$801, 0)+1))&lt;=46.5,2,1)), IF(INDEX(ERP資料!$G:$G, (MATCH(955, 輔助計算!$G$2:$G$801, 0)+1))&lt;=790,3,IF(INDEX(ERP資料!$G:$G, (MATCH(955, 輔助計算!$G$2:$G$801, 0)+1))&lt;=1181,2,1))))=1,TEXT(INDEX(ERP資料!$G:$G, (MATCH(955, 輔助計算!$G$2:$G$801, 0)+1)),"0.##"),IF(MOD(INDEX(輔助計算!$D:$D, (MATCH(955, 輔助計算!$G$2:$G$801, 0)+1)),IF(INDEX(ERP資料!$G:$G, (MATCH(955, 輔助計算!$G$2:$G$801, 0)+1))&lt;100, IF(INDEX(ERP資料!$G:$G, (MATCH(955, 輔助計算!$G$2:$G$801, 0)+1))&lt;=31,3,IF(INDEX(ERP資料!$G:$G, (MATCH(955, 輔助計算!$G$2:$G$801, 0)+1))&lt;=46.5,2,1)), IF(INDEX(ERP資料!$G:$G, (MATCH(955, 輔助計算!$G$2:$G$801, 0)+1))&lt;=790,3,IF(INDEX(ERP資料!$G:$G, (MATCH(955, 輔助計算!$G$2:$G$801, 0)+1))&lt;=1181,2,1))))=2,TEXT(INDEX(ERP資料!$G:$G, (MATCH(955, 輔助計算!$G$2:$G$801, 0)+1)),"0.##")&amp;"+"&amp;TEXT(INDEX(ERP資料!$G:$G, (MATCH(955, 輔助計算!$G$2:$G$801, 0)+1)),"0.##"),TEXT(INDEX(ERP資料!$G:$G, (MATCH(955, 輔助計算!$G$2:$G$801, 0)+1)),"0.##")&amp;"+"&amp;TEXT(INDEX(ERP資料!$G:$G, (MATCH(955, 輔助計算!$G$2:$G$801, 0)+1)),"0.##")&amp;"+"&amp;TEXT(INDEX(ERP資料!$G:$G, (MATCH(955, 輔助計算!$G$2:$G$801, 0)+1)),"0.##"))))&amp;"-1")), ""), "")</f>
        <v/>
      </c>
      <c r="K956" s="16" t="n"/>
      <c r="L956" s="14">
        <f>IFERROR(IF(AND(IFERROR(INDEX(ERP資料!$A:$A, (MATCH(955, 輔助計算!$G$2:$G$801, 0)+1)), "")&lt;&gt;"", IFERROR(INDEX(ERP資料!$A:$A, (MATCH(955, 輔助計算!$G$2:$G$801, 0)+1)), "")&lt;&gt;IFERROR(INDEX(ERP資料!$A:$A, MATCH(954, 輔助計算!$G$2:$G$801, 0)+1), "")), INDEX(ERP資料!$B:$B, (MATCH(955, 輔助計算!$G$2:$G$801, 0)+1)), ""), "")</f>
        <v/>
      </c>
      <c r="M956" s="17" t="n"/>
    </row>
    <row r="957">
      <c r="A957" s="10">
        <f>IFERROR(IF(AND(IFERROR(INDEX(ERP資料!$A:$A, (MATCH(956, 輔助計算!$G$2:$G$801, 0)+1)), "")&lt;&gt;"", IFERROR(INDEX(ERP資料!$A:$A, (MATCH(956, 輔助計算!$G$2:$G$801, 0)+1)), "")&lt;&gt;IFERROR(INDEX(ERP資料!$A:$A, MATCH(955, 輔助計算!$G$2:$G$801, 0)+1), "")), IFERROR(INDEX(ERP資料!$A:$A, (MATCH(956, 輔助計算!$G$2:$G$801, 0)+1)), ""), ""), "")</f>
        <v/>
      </c>
      <c r="B957" s="10">
        <f>IFERROR(IF(AND(IFERROR(INDEX(ERP資料!$A:$A, (MATCH(956, 輔助計算!$G$2:$G$801, 0)+1)), "")&lt;&gt;"", IFERROR(INDEX(ERP資料!$A:$A, (MATCH(956, 輔助計算!$G$2:$G$801, 0)+1)), "")&lt;&gt;IFERROR(INDEX(ERP資料!$A:$A, MATCH(955, 輔助計算!$G$2:$G$801, 0)+1), "")), INDEX(ERP資料!$S:$S, (MATCH(956, 輔助計算!$G$2:$G$801, 0)+1)), ""), "")</f>
        <v/>
      </c>
      <c r="C957" s="19">
        <f>IFERROR(IF(AND(IFERROR(INDEX(ERP資料!$A:$A, (MATCH(956, 輔助計算!$G$2:$G$801, 0)+1)), "")&lt;&gt;"", IFERROR(INDEX(ERP資料!$A:$A, (MATCH(956, 輔助計算!$G$2:$G$801, 0)+1)), "")&lt;&gt;IFERROR(INDEX(ERP資料!$A:$A, MATCH(955, 輔助計算!$G$2:$G$801, 0)+1), "")), IFERROR(VLOOKUP(LEFT(INDEX(ERP資料!$S:$S, (MATCH(956, 輔助計算!$G$2:$G$801, 0)+1)), 4), 紙管對照表!$A:$C, 3, FALSE), ""), ""), "")</f>
        <v/>
      </c>
      <c r="D957" s="16" t="n"/>
      <c r="E957" s="10">
        <f>IFERROR(IF(INDEX(ERP資料!$H:$H, (MATCH(956, 輔助計算!$G$2:$G$801, 0)+1))="","",INDEX(ERP資料!$H:$H, (MATCH(956, 輔助計算!$G$2:$G$801, 0)+1))), "")</f>
        <v/>
      </c>
      <c r="F957" s="10">
        <f>IFERROR(IF(INDEX(ERP資料!$E:$E, (MATCH(956, 輔助計算!$G$2:$G$801, 0)+1))="","",TRIM(INDEX(ERP資料!$E:$E, (MATCH(956, 輔助計算!$G$2:$G$801, 0)+1)))), "")</f>
        <v/>
      </c>
      <c r="G957" s="10">
        <f>IFERROR(IF(INDEX(ERP資料!$F:$F, (MATCH(956, 輔助計算!$G$2:$G$801, 0)+1))="","",INDEX(ERP資料!$F:$F, (MATCH(956, 輔助計算!$G$2:$G$801, 0)+1))), "")</f>
        <v/>
      </c>
      <c r="H957" s="10">
        <f>IFERROR(IF(INDEX(ERP資料!$G:$G, (MATCH(956, 輔助計算!$G$2:$G$801, 0)+1))="","",INDEX(ERP資料!$G:$G, (MATCH(956, 輔助計算!$G$2:$G$801, 0)+1))), "")</f>
        <v/>
      </c>
      <c r="I957" s="15">
        <f>IFERROR(INDEX(輔助計算!$D:$D, (MATCH(956, 輔助計算!$G$2:$G$801, 0)+1)), "")</f>
        <v/>
      </c>
      <c r="J957" s="15">
        <f>IFERROR(IF(AND(INDEX(輔助計算!$D:$D, (MATCH(956, 輔助計算!$G$2:$G$801, 0)+1))&lt;&gt;"", INDEX(ERP資料!$G:$G, (MATCH(956, 輔助計算!$G$2:$G$801, 0)+1))&lt;&gt;""), TRIM(IF(INT(INDEX(輔助計算!$D:$D, (MATCH(956, 輔助計算!$G$2:$G$801, 0)+1))/IF(INDEX(ERP資料!$G:$G, (MATCH(956, 輔助計算!$G$2:$G$801, 0)+1))&lt;100, IF(INDEX(ERP資料!$G:$G, (MATCH(956, 輔助計算!$G$2:$G$801, 0)+1))&lt;=31,3,IF(INDEX(ERP資料!$G:$G, (MATCH(956, 輔助計算!$G$2:$G$801, 0)+1))&lt;=46.5,2,1)), IF(INDEX(ERP資料!$G:$G, (MATCH(956, 輔助計算!$G$2:$G$801, 0)+1))&lt;=790,3,IF(INDEX(ERP資料!$G:$G, (MATCH(956, 輔助計算!$G$2:$G$801, 0)+1))&lt;=1181,2,1))))&gt;0, IF(IF(INDEX(ERP資料!$G:$G, (MATCH(956, 輔助計算!$G$2:$G$801, 0)+1))&lt;100, IF(INDEX(ERP資料!$G:$G, (MATCH(956, 輔助計算!$G$2:$G$801, 0)+1))&lt;=31,3,IF(INDEX(ERP資料!$G:$G, (MATCH(956, 輔助計算!$G$2:$G$801, 0)+1))&lt;=46.5,2,1)), IF(INDEX(ERP資料!$G:$G, (MATCH(956, 輔助計算!$G$2:$G$801, 0)+1))&lt;=790,3,IF(INDEX(ERP資料!$G:$G, (MATCH(956, 輔助計算!$G$2:$G$801, 0)+1))&lt;=1181,2,1)))=1,TEXT(INDEX(ERP資料!$G:$G, (MATCH(956, 輔助計算!$G$2:$G$801, 0)+1)),"0.##"),IF(IF(INDEX(ERP資料!$G:$G, (MATCH(956, 輔助計算!$G$2:$G$801, 0)+1))&lt;100, IF(INDEX(ERP資料!$G:$G, (MATCH(956, 輔助計算!$G$2:$G$801, 0)+1))&lt;=31,3,IF(INDEX(ERP資料!$G:$G, (MATCH(956, 輔助計算!$G$2:$G$801, 0)+1))&lt;=46.5,2,1)), IF(INDEX(ERP資料!$G:$G, (MATCH(956, 輔助計算!$G$2:$G$801, 0)+1))&lt;=790,3,IF(INDEX(ERP資料!$G:$G, (MATCH(956, 輔助計算!$G$2:$G$801, 0)+1))&lt;=1181,2,1)))=2,TEXT(INDEX(ERP資料!$G:$G, (MATCH(956, 輔助計算!$G$2:$G$801, 0)+1)),"0.##")&amp;"+"&amp;TEXT(INDEX(ERP資料!$G:$G, (MATCH(956, 輔助計算!$G$2:$G$801, 0)+1)),"0.##"),TEXT(INDEX(ERP資料!$G:$G, (MATCH(956, 輔助計算!$G$2:$G$801, 0)+1)),"0.##")&amp;"+"&amp;TEXT(INDEX(ERP資料!$G:$G, (MATCH(956, 輔助計算!$G$2:$G$801, 0)+1)),"0.##")&amp;"+"&amp;TEXT(INDEX(ERP資料!$G:$G, (MATCH(956, 輔助計算!$G$2:$G$801, 0)+1)),"0.##")))&amp;"-"&amp;INT(INDEX(輔助計算!$D:$D, (MATCH(956, 輔助計算!$G$2:$G$801, 0)+1))/IF(INDEX(ERP資料!$G:$G, (MATCH(956, 輔助計算!$G$2:$G$801, 0)+1))&lt;100, IF(INDEX(ERP資料!$G:$G, (MATCH(956, 輔助計算!$G$2:$G$801, 0)+1))&lt;=31,3,IF(INDEX(ERP資料!$G:$G, (MATCH(956, 輔助計算!$G$2:$G$801, 0)+1))&lt;=46.5,2,1)), IF(INDEX(ERP資料!$G:$G, (MATCH(956, 輔助計算!$G$2:$G$801, 0)+1))&lt;=790,3,IF(INDEX(ERP資料!$G:$G, (MATCH(956, 輔助計算!$G$2:$G$801, 0)+1))&lt;=1181,2,1)))), "")&amp;IF(AND(IF(INT(INDEX(輔助計算!$D:$D, (MATCH(956, 輔助計算!$G$2:$G$801, 0)+1))/IF(INDEX(ERP資料!$G:$G, (MATCH(956, 輔助計算!$G$2:$G$801, 0)+1))&lt;100, IF(INDEX(ERP資料!$G:$G, (MATCH(956, 輔助計算!$G$2:$G$801, 0)+1))&lt;=31,3,IF(INDEX(ERP資料!$G:$G, (MATCH(956, 輔助計算!$G$2:$G$801, 0)+1))&lt;=46.5,2,1)), IF(INDEX(ERP資料!$G:$G, (MATCH(956, 輔助計算!$G$2:$G$801, 0)+1))&lt;=790,3,IF(INDEX(ERP資料!$G:$G, (MATCH(956, 輔助計算!$G$2:$G$801, 0)+1))&lt;=1181,2,1))))&gt;0, IF(IF(INDEX(ERP資料!$G:$G, (MATCH(956, 輔助計算!$G$2:$G$801, 0)+1))&lt;100, IF(INDEX(ERP資料!$G:$G, (MATCH(956, 輔助計算!$G$2:$G$801, 0)+1))&lt;=31,3,IF(INDEX(ERP資料!$G:$G, (MATCH(956, 輔助計算!$G$2:$G$801, 0)+1))&lt;=46.5,2,1)), IF(INDEX(ERP資料!$G:$G, (MATCH(956, 輔助計算!$G$2:$G$801, 0)+1))&lt;=790,3,IF(INDEX(ERP資料!$G:$G, (MATCH(956, 輔助計算!$G$2:$G$801, 0)+1))&lt;=1181,2,1)))=1,TEXT(INDEX(ERP資料!$G:$G, (MATCH(956, 輔助計算!$G$2:$G$801, 0)+1)),"0.##"),IF(IF(INDEX(ERP資料!$G:$G, (MATCH(956, 輔助計算!$G$2:$G$801, 0)+1))&lt;100, IF(INDEX(ERP資料!$G:$G, (MATCH(956, 輔助計算!$G$2:$G$801, 0)+1))&lt;=31,3,IF(INDEX(ERP資料!$G:$G, (MATCH(956, 輔助計算!$G$2:$G$801, 0)+1))&lt;=46.5,2,1)), IF(INDEX(ERP資料!$G:$G, (MATCH(956, 輔助計算!$G$2:$G$801, 0)+1))&lt;=790,3,IF(INDEX(ERP資料!$G:$G, (MATCH(956, 輔助計算!$G$2:$G$801, 0)+1))&lt;=1181,2,1)))=2,TEXT(INDEX(ERP資料!$G:$G, (MATCH(956, 輔助計算!$G$2:$G$801, 0)+1)),"0.##")&amp;"+"&amp;TEXT(INDEX(ERP資料!$G:$G, (MATCH(956, 輔助計算!$G$2:$G$801, 0)+1)),"0.##"),TEXT(INDEX(ERP資料!$G:$G, (MATCH(956, 輔助計算!$G$2:$G$801, 0)+1)),"0.##")&amp;"+"&amp;TEXT(INDEX(ERP資料!$G:$G, (MATCH(956, 輔助計算!$G$2:$G$801, 0)+1)),"0.##")&amp;"+"&amp;TEXT(INDEX(ERP資料!$G:$G, (MATCH(956, 輔助計算!$G$2:$G$801, 0)+1)),"0.##")))&amp;"-"&amp;INT(INDEX(輔助計算!$D:$D, (MATCH(956, 輔助計算!$G$2:$G$801, 0)+1))/IF(INDEX(ERP資料!$G:$G, (MATCH(956, 輔助計算!$G$2:$G$801, 0)+1))&lt;100, IF(INDEX(ERP資料!$G:$G, (MATCH(956, 輔助計算!$G$2:$G$801, 0)+1))&lt;=31,3,IF(INDEX(ERP資料!$G:$G, (MATCH(956, 輔助計算!$G$2:$G$801, 0)+1))&lt;=46.5,2,1)), IF(INDEX(ERP資料!$G:$G, (MATCH(956, 輔助計算!$G$2:$G$801, 0)+1))&lt;=790,3,IF(INDEX(ERP資料!$G:$G, (MATCH(956, 輔助計算!$G$2:$G$801, 0)+1))&lt;=1181,2,1)))), "")&lt;&gt;"",IF(MOD(INDEX(輔助計算!$D:$D, (MATCH(956, 輔助計算!$G$2:$G$801, 0)+1)),IF(INDEX(ERP資料!$G:$G, (MATCH(956, 輔助計算!$G$2:$G$801, 0)+1))&lt;100, IF(INDEX(ERP資料!$G:$G, (MATCH(956, 輔助計算!$G$2:$G$801, 0)+1))&lt;=31,3,IF(INDEX(ERP資料!$G:$G, (MATCH(956, 輔助計算!$G$2:$G$801, 0)+1))&lt;=46.5,2,1)), IF(INDEX(ERP資料!$G:$G, (MATCH(956, 輔助計算!$G$2:$G$801, 0)+1))&lt;=790,3,IF(INDEX(ERP資料!$G:$G, (MATCH(956, 輔助計算!$G$2:$G$801, 0)+1))&lt;=1181,2,1))))=0,"",IF(MOD(INDEX(輔助計算!$D:$D, (MATCH(956, 輔助計算!$G$2:$G$801, 0)+1)),IF(INDEX(ERP資料!$G:$G, (MATCH(956, 輔助計算!$G$2:$G$801, 0)+1))&lt;100, IF(INDEX(ERP資料!$G:$G, (MATCH(956, 輔助計算!$G$2:$G$801, 0)+1))&lt;=31,3,IF(INDEX(ERP資料!$G:$G, (MATCH(956, 輔助計算!$G$2:$G$801, 0)+1))&lt;=46.5,2,1)), IF(INDEX(ERP資料!$G:$G, (MATCH(956, 輔助計算!$G$2:$G$801, 0)+1))&lt;=790,3,IF(INDEX(ERP資料!$G:$G, (MATCH(956, 輔助計算!$G$2:$G$801, 0)+1))&lt;=1181,2,1))))=0,"",IF(MOD(INDEX(輔助計算!$D:$D, (MATCH(956, 輔助計算!$G$2:$G$801, 0)+1)),IF(INDEX(ERP資料!$G:$G, (MATCH(956, 輔助計算!$G$2:$G$801, 0)+1))&lt;100, IF(INDEX(ERP資料!$G:$G, (MATCH(956, 輔助計算!$G$2:$G$801, 0)+1))&lt;=31,3,IF(INDEX(ERP資料!$G:$G, (MATCH(956, 輔助計算!$G$2:$G$801, 0)+1))&lt;=46.5,2,1)), IF(INDEX(ERP資料!$G:$G, (MATCH(956, 輔助計算!$G$2:$G$801, 0)+1))&lt;=790,3,IF(INDEX(ERP資料!$G:$G, (MATCH(956, 輔助計算!$G$2:$G$801, 0)+1))&lt;=1181,2,1))))=1,TEXT(INDEX(ERP資料!$G:$G, (MATCH(956, 輔助計算!$G$2:$G$801, 0)+1)),"0.##"),IF(MOD(INDEX(輔助計算!$D:$D, (MATCH(956, 輔助計算!$G$2:$G$801, 0)+1)),IF(INDEX(ERP資料!$G:$G, (MATCH(956, 輔助計算!$G$2:$G$801, 0)+1))&lt;100, IF(INDEX(ERP資料!$G:$G, (MATCH(956, 輔助計算!$G$2:$G$801, 0)+1))&lt;=31,3,IF(INDEX(ERP資料!$G:$G, (MATCH(956, 輔助計算!$G$2:$G$801, 0)+1))&lt;=46.5,2,1)), IF(INDEX(ERP資料!$G:$G, (MATCH(956, 輔助計算!$G$2:$G$801, 0)+1))&lt;=790,3,IF(INDEX(ERP資料!$G:$G, (MATCH(956, 輔助計算!$G$2:$G$801, 0)+1))&lt;=1181,2,1))))=2,TEXT(INDEX(ERP資料!$G:$G, (MATCH(956, 輔助計算!$G$2:$G$801, 0)+1)),"0.##")&amp;"+"&amp;TEXT(INDEX(ERP資料!$G:$G, (MATCH(956, 輔助計算!$G$2:$G$801, 0)+1)),"0.##"),TEXT(INDEX(ERP資料!$G:$G, (MATCH(956, 輔助計算!$G$2:$G$801, 0)+1)),"0.##")&amp;"+"&amp;TEXT(INDEX(ERP資料!$G:$G, (MATCH(956, 輔助計算!$G$2:$G$801, 0)+1)),"0.##")&amp;"+"&amp;TEXT(INDEX(ERP資料!$G:$G, (MATCH(956, 輔助計算!$G$2:$G$801, 0)+1)),"0.##"))))&amp;"-1")&lt;&gt;""),"  ","")&amp;IF(MOD(INDEX(輔助計算!$D:$D, (MATCH(956, 輔助計算!$G$2:$G$801, 0)+1)),IF(INDEX(ERP資料!$G:$G, (MATCH(956, 輔助計算!$G$2:$G$801, 0)+1))&lt;100, IF(INDEX(ERP資料!$G:$G, (MATCH(956, 輔助計算!$G$2:$G$801, 0)+1))&lt;=31,3,IF(INDEX(ERP資料!$G:$G, (MATCH(956, 輔助計算!$G$2:$G$801, 0)+1))&lt;=46.5,2,1)), IF(INDEX(ERP資料!$G:$G, (MATCH(956, 輔助計算!$G$2:$G$801, 0)+1))&lt;=790,3,IF(INDEX(ERP資料!$G:$G, (MATCH(956, 輔助計算!$G$2:$G$801, 0)+1))&lt;=1181,2,1))))=0,"",IF(MOD(INDEX(輔助計算!$D:$D, (MATCH(956, 輔助計算!$G$2:$G$801, 0)+1)),IF(INDEX(ERP資料!$G:$G, (MATCH(956, 輔助計算!$G$2:$G$801, 0)+1))&lt;100, IF(INDEX(ERP資料!$G:$G, (MATCH(956, 輔助計算!$G$2:$G$801, 0)+1))&lt;=31,3,IF(INDEX(ERP資料!$G:$G, (MATCH(956, 輔助計算!$G$2:$G$801, 0)+1))&lt;=46.5,2,1)), IF(INDEX(ERP資料!$G:$G, (MATCH(956, 輔助計算!$G$2:$G$801, 0)+1))&lt;=790,3,IF(INDEX(ERP資料!$G:$G, (MATCH(956, 輔助計算!$G$2:$G$801, 0)+1))&lt;=1181,2,1))))=0,"",IF(MOD(INDEX(輔助計算!$D:$D, (MATCH(956, 輔助計算!$G$2:$G$801, 0)+1)),IF(INDEX(ERP資料!$G:$G, (MATCH(956, 輔助計算!$G$2:$G$801, 0)+1))&lt;100, IF(INDEX(ERP資料!$G:$G, (MATCH(956, 輔助計算!$G$2:$G$801, 0)+1))&lt;=31,3,IF(INDEX(ERP資料!$G:$G, (MATCH(956, 輔助計算!$G$2:$G$801, 0)+1))&lt;=46.5,2,1)), IF(INDEX(ERP資料!$G:$G, (MATCH(956, 輔助計算!$G$2:$G$801, 0)+1))&lt;=790,3,IF(INDEX(ERP資料!$G:$G, (MATCH(956, 輔助計算!$G$2:$G$801, 0)+1))&lt;=1181,2,1))))=1,TEXT(INDEX(ERP資料!$G:$G, (MATCH(956, 輔助計算!$G$2:$G$801, 0)+1)),"0.##"),IF(MOD(INDEX(輔助計算!$D:$D, (MATCH(956, 輔助計算!$G$2:$G$801, 0)+1)),IF(INDEX(ERP資料!$G:$G, (MATCH(956, 輔助計算!$G$2:$G$801, 0)+1))&lt;100, IF(INDEX(ERP資料!$G:$G, (MATCH(956, 輔助計算!$G$2:$G$801, 0)+1))&lt;=31,3,IF(INDEX(ERP資料!$G:$G, (MATCH(956, 輔助計算!$G$2:$G$801, 0)+1))&lt;=46.5,2,1)), IF(INDEX(ERP資料!$G:$G, (MATCH(956, 輔助計算!$G$2:$G$801, 0)+1))&lt;=790,3,IF(INDEX(ERP資料!$G:$G, (MATCH(956, 輔助計算!$G$2:$G$801, 0)+1))&lt;=1181,2,1))))=2,TEXT(INDEX(ERP資料!$G:$G, (MATCH(956, 輔助計算!$G$2:$G$801, 0)+1)),"0.##")&amp;"+"&amp;TEXT(INDEX(ERP資料!$G:$G, (MATCH(956, 輔助計算!$G$2:$G$801, 0)+1)),"0.##"),TEXT(INDEX(ERP資料!$G:$G, (MATCH(956, 輔助計算!$G$2:$G$801, 0)+1)),"0.##")&amp;"+"&amp;TEXT(INDEX(ERP資料!$G:$G, (MATCH(956, 輔助計算!$G$2:$G$801, 0)+1)),"0.##")&amp;"+"&amp;TEXT(INDEX(ERP資料!$G:$G, (MATCH(956, 輔助計算!$G$2:$G$801, 0)+1)),"0.##"))))&amp;"-1")), ""), "")</f>
        <v/>
      </c>
      <c r="K957" s="16" t="n"/>
      <c r="L957" s="14">
        <f>IFERROR(IF(AND(IFERROR(INDEX(ERP資料!$A:$A, (MATCH(956, 輔助計算!$G$2:$G$801, 0)+1)), "")&lt;&gt;"", IFERROR(INDEX(ERP資料!$A:$A, (MATCH(956, 輔助計算!$G$2:$G$801, 0)+1)), "")&lt;&gt;IFERROR(INDEX(ERP資料!$A:$A, MATCH(955, 輔助計算!$G$2:$G$801, 0)+1), "")), INDEX(ERP資料!$B:$B, (MATCH(956, 輔助計算!$G$2:$G$801, 0)+1)), ""), "")</f>
        <v/>
      </c>
      <c r="M957" s="17" t="n"/>
    </row>
    <row r="958">
      <c r="A958" s="10">
        <f>IFERROR(IF(AND(IFERROR(INDEX(ERP資料!$A:$A, (MATCH(957, 輔助計算!$G$2:$G$801, 0)+1)), "")&lt;&gt;"", IFERROR(INDEX(ERP資料!$A:$A, (MATCH(957, 輔助計算!$G$2:$G$801, 0)+1)), "")&lt;&gt;IFERROR(INDEX(ERP資料!$A:$A, MATCH(956, 輔助計算!$G$2:$G$801, 0)+1), "")), IFERROR(INDEX(ERP資料!$A:$A, (MATCH(957, 輔助計算!$G$2:$G$801, 0)+1)), ""), ""), "")</f>
        <v/>
      </c>
      <c r="B958" s="10">
        <f>IFERROR(IF(AND(IFERROR(INDEX(ERP資料!$A:$A, (MATCH(957, 輔助計算!$G$2:$G$801, 0)+1)), "")&lt;&gt;"", IFERROR(INDEX(ERP資料!$A:$A, (MATCH(957, 輔助計算!$G$2:$G$801, 0)+1)), "")&lt;&gt;IFERROR(INDEX(ERP資料!$A:$A, MATCH(956, 輔助計算!$G$2:$G$801, 0)+1), "")), INDEX(ERP資料!$S:$S, (MATCH(957, 輔助計算!$G$2:$G$801, 0)+1)), ""), "")</f>
        <v/>
      </c>
      <c r="C958" s="19">
        <f>IFERROR(IF(AND(IFERROR(INDEX(ERP資料!$A:$A, (MATCH(957, 輔助計算!$G$2:$G$801, 0)+1)), "")&lt;&gt;"", IFERROR(INDEX(ERP資料!$A:$A, (MATCH(957, 輔助計算!$G$2:$G$801, 0)+1)), "")&lt;&gt;IFERROR(INDEX(ERP資料!$A:$A, MATCH(956, 輔助計算!$G$2:$G$801, 0)+1), "")), IFERROR(VLOOKUP(LEFT(INDEX(ERP資料!$S:$S, (MATCH(957, 輔助計算!$G$2:$G$801, 0)+1)), 4), 紙管對照表!$A:$C, 3, FALSE), ""), ""), "")</f>
        <v/>
      </c>
      <c r="D958" s="16" t="n"/>
      <c r="E958" s="10">
        <f>IFERROR(IF(INDEX(ERP資料!$H:$H, (MATCH(957, 輔助計算!$G$2:$G$801, 0)+1))="","",INDEX(ERP資料!$H:$H, (MATCH(957, 輔助計算!$G$2:$G$801, 0)+1))), "")</f>
        <v/>
      </c>
      <c r="F958" s="10">
        <f>IFERROR(IF(INDEX(ERP資料!$E:$E, (MATCH(957, 輔助計算!$G$2:$G$801, 0)+1))="","",TRIM(INDEX(ERP資料!$E:$E, (MATCH(957, 輔助計算!$G$2:$G$801, 0)+1)))), "")</f>
        <v/>
      </c>
      <c r="G958" s="10">
        <f>IFERROR(IF(INDEX(ERP資料!$F:$F, (MATCH(957, 輔助計算!$G$2:$G$801, 0)+1))="","",INDEX(ERP資料!$F:$F, (MATCH(957, 輔助計算!$G$2:$G$801, 0)+1))), "")</f>
        <v/>
      </c>
      <c r="H958" s="10">
        <f>IFERROR(IF(INDEX(ERP資料!$G:$G, (MATCH(957, 輔助計算!$G$2:$G$801, 0)+1))="","",INDEX(ERP資料!$G:$G, (MATCH(957, 輔助計算!$G$2:$G$801, 0)+1))), "")</f>
        <v/>
      </c>
      <c r="I958" s="15">
        <f>IFERROR(INDEX(輔助計算!$D:$D, (MATCH(957, 輔助計算!$G$2:$G$801, 0)+1)), "")</f>
        <v/>
      </c>
      <c r="J958" s="15">
        <f>IFERROR(IF(AND(INDEX(輔助計算!$D:$D, (MATCH(957, 輔助計算!$G$2:$G$801, 0)+1))&lt;&gt;"", INDEX(ERP資料!$G:$G, (MATCH(957, 輔助計算!$G$2:$G$801, 0)+1))&lt;&gt;""), TRIM(IF(INT(INDEX(輔助計算!$D:$D, (MATCH(957, 輔助計算!$G$2:$G$801, 0)+1))/IF(INDEX(ERP資料!$G:$G, (MATCH(957, 輔助計算!$G$2:$G$801, 0)+1))&lt;100, IF(INDEX(ERP資料!$G:$G, (MATCH(957, 輔助計算!$G$2:$G$801, 0)+1))&lt;=31,3,IF(INDEX(ERP資料!$G:$G, (MATCH(957, 輔助計算!$G$2:$G$801, 0)+1))&lt;=46.5,2,1)), IF(INDEX(ERP資料!$G:$G, (MATCH(957, 輔助計算!$G$2:$G$801, 0)+1))&lt;=790,3,IF(INDEX(ERP資料!$G:$G, (MATCH(957, 輔助計算!$G$2:$G$801, 0)+1))&lt;=1181,2,1))))&gt;0, IF(IF(INDEX(ERP資料!$G:$G, (MATCH(957, 輔助計算!$G$2:$G$801, 0)+1))&lt;100, IF(INDEX(ERP資料!$G:$G, (MATCH(957, 輔助計算!$G$2:$G$801, 0)+1))&lt;=31,3,IF(INDEX(ERP資料!$G:$G, (MATCH(957, 輔助計算!$G$2:$G$801, 0)+1))&lt;=46.5,2,1)), IF(INDEX(ERP資料!$G:$G, (MATCH(957, 輔助計算!$G$2:$G$801, 0)+1))&lt;=790,3,IF(INDEX(ERP資料!$G:$G, (MATCH(957, 輔助計算!$G$2:$G$801, 0)+1))&lt;=1181,2,1)))=1,TEXT(INDEX(ERP資料!$G:$G, (MATCH(957, 輔助計算!$G$2:$G$801, 0)+1)),"0.##"),IF(IF(INDEX(ERP資料!$G:$G, (MATCH(957, 輔助計算!$G$2:$G$801, 0)+1))&lt;100, IF(INDEX(ERP資料!$G:$G, (MATCH(957, 輔助計算!$G$2:$G$801, 0)+1))&lt;=31,3,IF(INDEX(ERP資料!$G:$G, (MATCH(957, 輔助計算!$G$2:$G$801, 0)+1))&lt;=46.5,2,1)), IF(INDEX(ERP資料!$G:$G, (MATCH(957, 輔助計算!$G$2:$G$801, 0)+1))&lt;=790,3,IF(INDEX(ERP資料!$G:$G, (MATCH(957, 輔助計算!$G$2:$G$801, 0)+1))&lt;=1181,2,1)))=2,TEXT(INDEX(ERP資料!$G:$G, (MATCH(957, 輔助計算!$G$2:$G$801, 0)+1)),"0.##")&amp;"+"&amp;TEXT(INDEX(ERP資料!$G:$G, (MATCH(957, 輔助計算!$G$2:$G$801, 0)+1)),"0.##"),TEXT(INDEX(ERP資料!$G:$G, (MATCH(957, 輔助計算!$G$2:$G$801, 0)+1)),"0.##")&amp;"+"&amp;TEXT(INDEX(ERP資料!$G:$G, (MATCH(957, 輔助計算!$G$2:$G$801, 0)+1)),"0.##")&amp;"+"&amp;TEXT(INDEX(ERP資料!$G:$G, (MATCH(957, 輔助計算!$G$2:$G$801, 0)+1)),"0.##")))&amp;"-"&amp;INT(INDEX(輔助計算!$D:$D, (MATCH(957, 輔助計算!$G$2:$G$801, 0)+1))/IF(INDEX(ERP資料!$G:$G, (MATCH(957, 輔助計算!$G$2:$G$801, 0)+1))&lt;100, IF(INDEX(ERP資料!$G:$G, (MATCH(957, 輔助計算!$G$2:$G$801, 0)+1))&lt;=31,3,IF(INDEX(ERP資料!$G:$G, (MATCH(957, 輔助計算!$G$2:$G$801, 0)+1))&lt;=46.5,2,1)), IF(INDEX(ERP資料!$G:$G, (MATCH(957, 輔助計算!$G$2:$G$801, 0)+1))&lt;=790,3,IF(INDEX(ERP資料!$G:$G, (MATCH(957, 輔助計算!$G$2:$G$801, 0)+1))&lt;=1181,2,1)))), "")&amp;IF(AND(IF(INT(INDEX(輔助計算!$D:$D, (MATCH(957, 輔助計算!$G$2:$G$801, 0)+1))/IF(INDEX(ERP資料!$G:$G, (MATCH(957, 輔助計算!$G$2:$G$801, 0)+1))&lt;100, IF(INDEX(ERP資料!$G:$G, (MATCH(957, 輔助計算!$G$2:$G$801, 0)+1))&lt;=31,3,IF(INDEX(ERP資料!$G:$G, (MATCH(957, 輔助計算!$G$2:$G$801, 0)+1))&lt;=46.5,2,1)), IF(INDEX(ERP資料!$G:$G, (MATCH(957, 輔助計算!$G$2:$G$801, 0)+1))&lt;=790,3,IF(INDEX(ERP資料!$G:$G, (MATCH(957, 輔助計算!$G$2:$G$801, 0)+1))&lt;=1181,2,1))))&gt;0, IF(IF(INDEX(ERP資料!$G:$G, (MATCH(957, 輔助計算!$G$2:$G$801, 0)+1))&lt;100, IF(INDEX(ERP資料!$G:$G, (MATCH(957, 輔助計算!$G$2:$G$801, 0)+1))&lt;=31,3,IF(INDEX(ERP資料!$G:$G, (MATCH(957, 輔助計算!$G$2:$G$801, 0)+1))&lt;=46.5,2,1)), IF(INDEX(ERP資料!$G:$G, (MATCH(957, 輔助計算!$G$2:$G$801, 0)+1))&lt;=790,3,IF(INDEX(ERP資料!$G:$G, (MATCH(957, 輔助計算!$G$2:$G$801, 0)+1))&lt;=1181,2,1)))=1,TEXT(INDEX(ERP資料!$G:$G, (MATCH(957, 輔助計算!$G$2:$G$801, 0)+1)),"0.##"),IF(IF(INDEX(ERP資料!$G:$G, (MATCH(957, 輔助計算!$G$2:$G$801, 0)+1))&lt;100, IF(INDEX(ERP資料!$G:$G, (MATCH(957, 輔助計算!$G$2:$G$801, 0)+1))&lt;=31,3,IF(INDEX(ERP資料!$G:$G, (MATCH(957, 輔助計算!$G$2:$G$801, 0)+1))&lt;=46.5,2,1)), IF(INDEX(ERP資料!$G:$G, (MATCH(957, 輔助計算!$G$2:$G$801, 0)+1))&lt;=790,3,IF(INDEX(ERP資料!$G:$G, (MATCH(957, 輔助計算!$G$2:$G$801, 0)+1))&lt;=1181,2,1)))=2,TEXT(INDEX(ERP資料!$G:$G, (MATCH(957, 輔助計算!$G$2:$G$801, 0)+1)),"0.##")&amp;"+"&amp;TEXT(INDEX(ERP資料!$G:$G, (MATCH(957, 輔助計算!$G$2:$G$801, 0)+1)),"0.##"),TEXT(INDEX(ERP資料!$G:$G, (MATCH(957, 輔助計算!$G$2:$G$801, 0)+1)),"0.##")&amp;"+"&amp;TEXT(INDEX(ERP資料!$G:$G, (MATCH(957, 輔助計算!$G$2:$G$801, 0)+1)),"0.##")&amp;"+"&amp;TEXT(INDEX(ERP資料!$G:$G, (MATCH(957, 輔助計算!$G$2:$G$801, 0)+1)),"0.##")))&amp;"-"&amp;INT(INDEX(輔助計算!$D:$D, (MATCH(957, 輔助計算!$G$2:$G$801, 0)+1))/IF(INDEX(ERP資料!$G:$G, (MATCH(957, 輔助計算!$G$2:$G$801, 0)+1))&lt;100, IF(INDEX(ERP資料!$G:$G, (MATCH(957, 輔助計算!$G$2:$G$801, 0)+1))&lt;=31,3,IF(INDEX(ERP資料!$G:$G, (MATCH(957, 輔助計算!$G$2:$G$801, 0)+1))&lt;=46.5,2,1)), IF(INDEX(ERP資料!$G:$G, (MATCH(957, 輔助計算!$G$2:$G$801, 0)+1))&lt;=790,3,IF(INDEX(ERP資料!$G:$G, (MATCH(957, 輔助計算!$G$2:$G$801, 0)+1))&lt;=1181,2,1)))), "")&lt;&gt;"",IF(MOD(INDEX(輔助計算!$D:$D, (MATCH(957, 輔助計算!$G$2:$G$801, 0)+1)),IF(INDEX(ERP資料!$G:$G, (MATCH(957, 輔助計算!$G$2:$G$801, 0)+1))&lt;100, IF(INDEX(ERP資料!$G:$G, (MATCH(957, 輔助計算!$G$2:$G$801, 0)+1))&lt;=31,3,IF(INDEX(ERP資料!$G:$G, (MATCH(957, 輔助計算!$G$2:$G$801, 0)+1))&lt;=46.5,2,1)), IF(INDEX(ERP資料!$G:$G, (MATCH(957, 輔助計算!$G$2:$G$801, 0)+1))&lt;=790,3,IF(INDEX(ERP資料!$G:$G, (MATCH(957, 輔助計算!$G$2:$G$801, 0)+1))&lt;=1181,2,1))))=0,"",IF(MOD(INDEX(輔助計算!$D:$D, (MATCH(957, 輔助計算!$G$2:$G$801, 0)+1)),IF(INDEX(ERP資料!$G:$G, (MATCH(957, 輔助計算!$G$2:$G$801, 0)+1))&lt;100, IF(INDEX(ERP資料!$G:$G, (MATCH(957, 輔助計算!$G$2:$G$801, 0)+1))&lt;=31,3,IF(INDEX(ERP資料!$G:$G, (MATCH(957, 輔助計算!$G$2:$G$801, 0)+1))&lt;=46.5,2,1)), IF(INDEX(ERP資料!$G:$G, (MATCH(957, 輔助計算!$G$2:$G$801, 0)+1))&lt;=790,3,IF(INDEX(ERP資料!$G:$G, (MATCH(957, 輔助計算!$G$2:$G$801, 0)+1))&lt;=1181,2,1))))=0,"",IF(MOD(INDEX(輔助計算!$D:$D, (MATCH(957, 輔助計算!$G$2:$G$801, 0)+1)),IF(INDEX(ERP資料!$G:$G, (MATCH(957, 輔助計算!$G$2:$G$801, 0)+1))&lt;100, IF(INDEX(ERP資料!$G:$G, (MATCH(957, 輔助計算!$G$2:$G$801, 0)+1))&lt;=31,3,IF(INDEX(ERP資料!$G:$G, (MATCH(957, 輔助計算!$G$2:$G$801, 0)+1))&lt;=46.5,2,1)), IF(INDEX(ERP資料!$G:$G, (MATCH(957, 輔助計算!$G$2:$G$801, 0)+1))&lt;=790,3,IF(INDEX(ERP資料!$G:$G, (MATCH(957, 輔助計算!$G$2:$G$801, 0)+1))&lt;=1181,2,1))))=1,TEXT(INDEX(ERP資料!$G:$G, (MATCH(957, 輔助計算!$G$2:$G$801, 0)+1)),"0.##"),IF(MOD(INDEX(輔助計算!$D:$D, (MATCH(957, 輔助計算!$G$2:$G$801, 0)+1)),IF(INDEX(ERP資料!$G:$G, (MATCH(957, 輔助計算!$G$2:$G$801, 0)+1))&lt;100, IF(INDEX(ERP資料!$G:$G, (MATCH(957, 輔助計算!$G$2:$G$801, 0)+1))&lt;=31,3,IF(INDEX(ERP資料!$G:$G, (MATCH(957, 輔助計算!$G$2:$G$801, 0)+1))&lt;=46.5,2,1)), IF(INDEX(ERP資料!$G:$G, (MATCH(957, 輔助計算!$G$2:$G$801, 0)+1))&lt;=790,3,IF(INDEX(ERP資料!$G:$G, (MATCH(957, 輔助計算!$G$2:$G$801, 0)+1))&lt;=1181,2,1))))=2,TEXT(INDEX(ERP資料!$G:$G, (MATCH(957, 輔助計算!$G$2:$G$801, 0)+1)),"0.##")&amp;"+"&amp;TEXT(INDEX(ERP資料!$G:$G, (MATCH(957, 輔助計算!$G$2:$G$801, 0)+1)),"0.##"),TEXT(INDEX(ERP資料!$G:$G, (MATCH(957, 輔助計算!$G$2:$G$801, 0)+1)),"0.##")&amp;"+"&amp;TEXT(INDEX(ERP資料!$G:$G, (MATCH(957, 輔助計算!$G$2:$G$801, 0)+1)),"0.##")&amp;"+"&amp;TEXT(INDEX(ERP資料!$G:$G, (MATCH(957, 輔助計算!$G$2:$G$801, 0)+1)),"0.##"))))&amp;"-1")&lt;&gt;""),"  ","")&amp;IF(MOD(INDEX(輔助計算!$D:$D, (MATCH(957, 輔助計算!$G$2:$G$801, 0)+1)),IF(INDEX(ERP資料!$G:$G, (MATCH(957, 輔助計算!$G$2:$G$801, 0)+1))&lt;100, IF(INDEX(ERP資料!$G:$G, (MATCH(957, 輔助計算!$G$2:$G$801, 0)+1))&lt;=31,3,IF(INDEX(ERP資料!$G:$G, (MATCH(957, 輔助計算!$G$2:$G$801, 0)+1))&lt;=46.5,2,1)), IF(INDEX(ERP資料!$G:$G, (MATCH(957, 輔助計算!$G$2:$G$801, 0)+1))&lt;=790,3,IF(INDEX(ERP資料!$G:$G, (MATCH(957, 輔助計算!$G$2:$G$801, 0)+1))&lt;=1181,2,1))))=0,"",IF(MOD(INDEX(輔助計算!$D:$D, (MATCH(957, 輔助計算!$G$2:$G$801, 0)+1)),IF(INDEX(ERP資料!$G:$G, (MATCH(957, 輔助計算!$G$2:$G$801, 0)+1))&lt;100, IF(INDEX(ERP資料!$G:$G, (MATCH(957, 輔助計算!$G$2:$G$801, 0)+1))&lt;=31,3,IF(INDEX(ERP資料!$G:$G, (MATCH(957, 輔助計算!$G$2:$G$801, 0)+1))&lt;=46.5,2,1)), IF(INDEX(ERP資料!$G:$G, (MATCH(957, 輔助計算!$G$2:$G$801, 0)+1))&lt;=790,3,IF(INDEX(ERP資料!$G:$G, (MATCH(957, 輔助計算!$G$2:$G$801, 0)+1))&lt;=1181,2,1))))=0,"",IF(MOD(INDEX(輔助計算!$D:$D, (MATCH(957, 輔助計算!$G$2:$G$801, 0)+1)),IF(INDEX(ERP資料!$G:$G, (MATCH(957, 輔助計算!$G$2:$G$801, 0)+1))&lt;100, IF(INDEX(ERP資料!$G:$G, (MATCH(957, 輔助計算!$G$2:$G$801, 0)+1))&lt;=31,3,IF(INDEX(ERP資料!$G:$G, (MATCH(957, 輔助計算!$G$2:$G$801, 0)+1))&lt;=46.5,2,1)), IF(INDEX(ERP資料!$G:$G, (MATCH(957, 輔助計算!$G$2:$G$801, 0)+1))&lt;=790,3,IF(INDEX(ERP資料!$G:$G, (MATCH(957, 輔助計算!$G$2:$G$801, 0)+1))&lt;=1181,2,1))))=1,TEXT(INDEX(ERP資料!$G:$G, (MATCH(957, 輔助計算!$G$2:$G$801, 0)+1)),"0.##"),IF(MOD(INDEX(輔助計算!$D:$D, (MATCH(957, 輔助計算!$G$2:$G$801, 0)+1)),IF(INDEX(ERP資料!$G:$G, (MATCH(957, 輔助計算!$G$2:$G$801, 0)+1))&lt;100, IF(INDEX(ERP資料!$G:$G, (MATCH(957, 輔助計算!$G$2:$G$801, 0)+1))&lt;=31,3,IF(INDEX(ERP資料!$G:$G, (MATCH(957, 輔助計算!$G$2:$G$801, 0)+1))&lt;=46.5,2,1)), IF(INDEX(ERP資料!$G:$G, (MATCH(957, 輔助計算!$G$2:$G$801, 0)+1))&lt;=790,3,IF(INDEX(ERP資料!$G:$G, (MATCH(957, 輔助計算!$G$2:$G$801, 0)+1))&lt;=1181,2,1))))=2,TEXT(INDEX(ERP資料!$G:$G, (MATCH(957, 輔助計算!$G$2:$G$801, 0)+1)),"0.##")&amp;"+"&amp;TEXT(INDEX(ERP資料!$G:$G, (MATCH(957, 輔助計算!$G$2:$G$801, 0)+1)),"0.##"),TEXT(INDEX(ERP資料!$G:$G, (MATCH(957, 輔助計算!$G$2:$G$801, 0)+1)),"0.##")&amp;"+"&amp;TEXT(INDEX(ERP資料!$G:$G, (MATCH(957, 輔助計算!$G$2:$G$801, 0)+1)),"0.##")&amp;"+"&amp;TEXT(INDEX(ERP資料!$G:$G, (MATCH(957, 輔助計算!$G$2:$G$801, 0)+1)),"0.##"))))&amp;"-1")), ""), "")</f>
        <v/>
      </c>
      <c r="K958" s="16" t="n"/>
      <c r="L958" s="14">
        <f>IFERROR(IF(AND(IFERROR(INDEX(ERP資料!$A:$A, (MATCH(957, 輔助計算!$G$2:$G$801, 0)+1)), "")&lt;&gt;"", IFERROR(INDEX(ERP資料!$A:$A, (MATCH(957, 輔助計算!$G$2:$G$801, 0)+1)), "")&lt;&gt;IFERROR(INDEX(ERP資料!$A:$A, MATCH(956, 輔助計算!$G$2:$G$801, 0)+1), "")), INDEX(ERP資料!$B:$B, (MATCH(957, 輔助計算!$G$2:$G$801, 0)+1)), ""), "")</f>
        <v/>
      </c>
      <c r="M958" s="17" t="n"/>
    </row>
    <row r="959">
      <c r="A959" s="10">
        <f>IFERROR(IF(AND(IFERROR(INDEX(ERP資料!$A:$A, (MATCH(958, 輔助計算!$G$2:$G$801, 0)+1)), "")&lt;&gt;"", IFERROR(INDEX(ERP資料!$A:$A, (MATCH(958, 輔助計算!$G$2:$G$801, 0)+1)), "")&lt;&gt;IFERROR(INDEX(ERP資料!$A:$A, MATCH(957, 輔助計算!$G$2:$G$801, 0)+1), "")), IFERROR(INDEX(ERP資料!$A:$A, (MATCH(958, 輔助計算!$G$2:$G$801, 0)+1)), ""), ""), "")</f>
        <v/>
      </c>
      <c r="B959" s="10">
        <f>IFERROR(IF(AND(IFERROR(INDEX(ERP資料!$A:$A, (MATCH(958, 輔助計算!$G$2:$G$801, 0)+1)), "")&lt;&gt;"", IFERROR(INDEX(ERP資料!$A:$A, (MATCH(958, 輔助計算!$G$2:$G$801, 0)+1)), "")&lt;&gt;IFERROR(INDEX(ERP資料!$A:$A, MATCH(957, 輔助計算!$G$2:$G$801, 0)+1), "")), INDEX(ERP資料!$S:$S, (MATCH(958, 輔助計算!$G$2:$G$801, 0)+1)), ""), "")</f>
        <v/>
      </c>
      <c r="C959" s="19">
        <f>IFERROR(IF(AND(IFERROR(INDEX(ERP資料!$A:$A, (MATCH(958, 輔助計算!$G$2:$G$801, 0)+1)), "")&lt;&gt;"", IFERROR(INDEX(ERP資料!$A:$A, (MATCH(958, 輔助計算!$G$2:$G$801, 0)+1)), "")&lt;&gt;IFERROR(INDEX(ERP資料!$A:$A, MATCH(957, 輔助計算!$G$2:$G$801, 0)+1), "")), IFERROR(VLOOKUP(LEFT(INDEX(ERP資料!$S:$S, (MATCH(958, 輔助計算!$G$2:$G$801, 0)+1)), 4), 紙管對照表!$A:$C, 3, FALSE), ""), ""), "")</f>
        <v/>
      </c>
      <c r="D959" s="16" t="n"/>
      <c r="E959" s="10">
        <f>IFERROR(IF(INDEX(ERP資料!$H:$H, (MATCH(958, 輔助計算!$G$2:$G$801, 0)+1))="","",INDEX(ERP資料!$H:$H, (MATCH(958, 輔助計算!$G$2:$G$801, 0)+1))), "")</f>
        <v/>
      </c>
      <c r="F959" s="10">
        <f>IFERROR(IF(INDEX(ERP資料!$E:$E, (MATCH(958, 輔助計算!$G$2:$G$801, 0)+1))="","",TRIM(INDEX(ERP資料!$E:$E, (MATCH(958, 輔助計算!$G$2:$G$801, 0)+1)))), "")</f>
        <v/>
      </c>
      <c r="G959" s="10">
        <f>IFERROR(IF(INDEX(ERP資料!$F:$F, (MATCH(958, 輔助計算!$G$2:$G$801, 0)+1))="","",INDEX(ERP資料!$F:$F, (MATCH(958, 輔助計算!$G$2:$G$801, 0)+1))), "")</f>
        <v/>
      </c>
      <c r="H959" s="10">
        <f>IFERROR(IF(INDEX(ERP資料!$G:$G, (MATCH(958, 輔助計算!$G$2:$G$801, 0)+1))="","",INDEX(ERP資料!$G:$G, (MATCH(958, 輔助計算!$G$2:$G$801, 0)+1))), "")</f>
        <v/>
      </c>
      <c r="I959" s="15">
        <f>IFERROR(INDEX(輔助計算!$D:$D, (MATCH(958, 輔助計算!$G$2:$G$801, 0)+1)), "")</f>
        <v/>
      </c>
      <c r="J959" s="15">
        <f>IFERROR(IF(AND(INDEX(輔助計算!$D:$D, (MATCH(958, 輔助計算!$G$2:$G$801, 0)+1))&lt;&gt;"", INDEX(ERP資料!$G:$G, (MATCH(958, 輔助計算!$G$2:$G$801, 0)+1))&lt;&gt;""), TRIM(IF(INT(INDEX(輔助計算!$D:$D, (MATCH(958, 輔助計算!$G$2:$G$801, 0)+1))/IF(INDEX(ERP資料!$G:$G, (MATCH(958, 輔助計算!$G$2:$G$801, 0)+1))&lt;100, IF(INDEX(ERP資料!$G:$G, (MATCH(958, 輔助計算!$G$2:$G$801, 0)+1))&lt;=31,3,IF(INDEX(ERP資料!$G:$G, (MATCH(958, 輔助計算!$G$2:$G$801, 0)+1))&lt;=46.5,2,1)), IF(INDEX(ERP資料!$G:$G, (MATCH(958, 輔助計算!$G$2:$G$801, 0)+1))&lt;=790,3,IF(INDEX(ERP資料!$G:$G, (MATCH(958, 輔助計算!$G$2:$G$801, 0)+1))&lt;=1181,2,1))))&gt;0, IF(IF(INDEX(ERP資料!$G:$G, (MATCH(958, 輔助計算!$G$2:$G$801, 0)+1))&lt;100, IF(INDEX(ERP資料!$G:$G, (MATCH(958, 輔助計算!$G$2:$G$801, 0)+1))&lt;=31,3,IF(INDEX(ERP資料!$G:$G, (MATCH(958, 輔助計算!$G$2:$G$801, 0)+1))&lt;=46.5,2,1)), IF(INDEX(ERP資料!$G:$G, (MATCH(958, 輔助計算!$G$2:$G$801, 0)+1))&lt;=790,3,IF(INDEX(ERP資料!$G:$G, (MATCH(958, 輔助計算!$G$2:$G$801, 0)+1))&lt;=1181,2,1)))=1,TEXT(INDEX(ERP資料!$G:$G, (MATCH(958, 輔助計算!$G$2:$G$801, 0)+1)),"0.##"),IF(IF(INDEX(ERP資料!$G:$G, (MATCH(958, 輔助計算!$G$2:$G$801, 0)+1))&lt;100, IF(INDEX(ERP資料!$G:$G, (MATCH(958, 輔助計算!$G$2:$G$801, 0)+1))&lt;=31,3,IF(INDEX(ERP資料!$G:$G, (MATCH(958, 輔助計算!$G$2:$G$801, 0)+1))&lt;=46.5,2,1)), IF(INDEX(ERP資料!$G:$G, (MATCH(958, 輔助計算!$G$2:$G$801, 0)+1))&lt;=790,3,IF(INDEX(ERP資料!$G:$G, (MATCH(958, 輔助計算!$G$2:$G$801, 0)+1))&lt;=1181,2,1)))=2,TEXT(INDEX(ERP資料!$G:$G, (MATCH(958, 輔助計算!$G$2:$G$801, 0)+1)),"0.##")&amp;"+"&amp;TEXT(INDEX(ERP資料!$G:$G, (MATCH(958, 輔助計算!$G$2:$G$801, 0)+1)),"0.##"),TEXT(INDEX(ERP資料!$G:$G, (MATCH(958, 輔助計算!$G$2:$G$801, 0)+1)),"0.##")&amp;"+"&amp;TEXT(INDEX(ERP資料!$G:$G, (MATCH(958, 輔助計算!$G$2:$G$801, 0)+1)),"0.##")&amp;"+"&amp;TEXT(INDEX(ERP資料!$G:$G, (MATCH(958, 輔助計算!$G$2:$G$801, 0)+1)),"0.##")))&amp;"-"&amp;INT(INDEX(輔助計算!$D:$D, (MATCH(958, 輔助計算!$G$2:$G$801, 0)+1))/IF(INDEX(ERP資料!$G:$G, (MATCH(958, 輔助計算!$G$2:$G$801, 0)+1))&lt;100, IF(INDEX(ERP資料!$G:$G, (MATCH(958, 輔助計算!$G$2:$G$801, 0)+1))&lt;=31,3,IF(INDEX(ERP資料!$G:$G, (MATCH(958, 輔助計算!$G$2:$G$801, 0)+1))&lt;=46.5,2,1)), IF(INDEX(ERP資料!$G:$G, (MATCH(958, 輔助計算!$G$2:$G$801, 0)+1))&lt;=790,3,IF(INDEX(ERP資料!$G:$G, (MATCH(958, 輔助計算!$G$2:$G$801, 0)+1))&lt;=1181,2,1)))), "")&amp;IF(AND(IF(INT(INDEX(輔助計算!$D:$D, (MATCH(958, 輔助計算!$G$2:$G$801, 0)+1))/IF(INDEX(ERP資料!$G:$G, (MATCH(958, 輔助計算!$G$2:$G$801, 0)+1))&lt;100, IF(INDEX(ERP資料!$G:$G, (MATCH(958, 輔助計算!$G$2:$G$801, 0)+1))&lt;=31,3,IF(INDEX(ERP資料!$G:$G, (MATCH(958, 輔助計算!$G$2:$G$801, 0)+1))&lt;=46.5,2,1)), IF(INDEX(ERP資料!$G:$G, (MATCH(958, 輔助計算!$G$2:$G$801, 0)+1))&lt;=790,3,IF(INDEX(ERP資料!$G:$G, (MATCH(958, 輔助計算!$G$2:$G$801, 0)+1))&lt;=1181,2,1))))&gt;0, IF(IF(INDEX(ERP資料!$G:$G, (MATCH(958, 輔助計算!$G$2:$G$801, 0)+1))&lt;100, IF(INDEX(ERP資料!$G:$G, (MATCH(958, 輔助計算!$G$2:$G$801, 0)+1))&lt;=31,3,IF(INDEX(ERP資料!$G:$G, (MATCH(958, 輔助計算!$G$2:$G$801, 0)+1))&lt;=46.5,2,1)), IF(INDEX(ERP資料!$G:$G, (MATCH(958, 輔助計算!$G$2:$G$801, 0)+1))&lt;=790,3,IF(INDEX(ERP資料!$G:$G, (MATCH(958, 輔助計算!$G$2:$G$801, 0)+1))&lt;=1181,2,1)))=1,TEXT(INDEX(ERP資料!$G:$G, (MATCH(958, 輔助計算!$G$2:$G$801, 0)+1)),"0.##"),IF(IF(INDEX(ERP資料!$G:$G, (MATCH(958, 輔助計算!$G$2:$G$801, 0)+1))&lt;100, IF(INDEX(ERP資料!$G:$G, (MATCH(958, 輔助計算!$G$2:$G$801, 0)+1))&lt;=31,3,IF(INDEX(ERP資料!$G:$G, (MATCH(958, 輔助計算!$G$2:$G$801, 0)+1))&lt;=46.5,2,1)), IF(INDEX(ERP資料!$G:$G, (MATCH(958, 輔助計算!$G$2:$G$801, 0)+1))&lt;=790,3,IF(INDEX(ERP資料!$G:$G, (MATCH(958, 輔助計算!$G$2:$G$801, 0)+1))&lt;=1181,2,1)))=2,TEXT(INDEX(ERP資料!$G:$G, (MATCH(958, 輔助計算!$G$2:$G$801, 0)+1)),"0.##")&amp;"+"&amp;TEXT(INDEX(ERP資料!$G:$G, (MATCH(958, 輔助計算!$G$2:$G$801, 0)+1)),"0.##"),TEXT(INDEX(ERP資料!$G:$G, (MATCH(958, 輔助計算!$G$2:$G$801, 0)+1)),"0.##")&amp;"+"&amp;TEXT(INDEX(ERP資料!$G:$G, (MATCH(958, 輔助計算!$G$2:$G$801, 0)+1)),"0.##")&amp;"+"&amp;TEXT(INDEX(ERP資料!$G:$G, (MATCH(958, 輔助計算!$G$2:$G$801, 0)+1)),"0.##")))&amp;"-"&amp;INT(INDEX(輔助計算!$D:$D, (MATCH(958, 輔助計算!$G$2:$G$801, 0)+1))/IF(INDEX(ERP資料!$G:$G, (MATCH(958, 輔助計算!$G$2:$G$801, 0)+1))&lt;100, IF(INDEX(ERP資料!$G:$G, (MATCH(958, 輔助計算!$G$2:$G$801, 0)+1))&lt;=31,3,IF(INDEX(ERP資料!$G:$G, (MATCH(958, 輔助計算!$G$2:$G$801, 0)+1))&lt;=46.5,2,1)), IF(INDEX(ERP資料!$G:$G, (MATCH(958, 輔助計算!$G$2:$G$801, 0)+1))&lt;=790,3,IF(INDEX(ERP資料!$G:$G, (MATCH(958, 輔助計算!$G$2:$G$801, 0)+1))&lt;=1181,2,1)))), "")&lt;&gt;"",IF(MOD(INDEX(輔助計算!$D:$D, (MATCH(958, 輔助計算!$G$2:$G$801, 0)+1)),IF(INDEX(ERP資料!$G:$G, (MATCH(958, 輔助計算!$G$2:$G$801, 0)+1))&lt;100, IF(INDEX(ERP資料!$G:$G, (MATCH(958, 輔助計算!$G$2:$G$801, 0)+1))&lt;=31,3,IF(INDEX(ERP資料!$G:$G, (MATCH(958, 輔助計算!$G$2:$G$801, 0)+1))&lt;=46.5,2,1)), IF(INDEX(ERP資料!$G:$G, (MATCH(958, 輔助計算!$G$2:$G$801, 0)+1))&lt;=790,3,IF(INDEX(ERP資料!$G:$G, (MATCH(958, 輔助計算!$G$2:$G$801, 0)+1))&lt;=1181,2,1))))=0,"",IF(MOD(INDEX(輔助計算!$D:$D, (MATCH(958, 輔助計算!$G$2:$G$801, 0)+1)),IF(INDEX(ERP資料!$G:$G, (MATCH(958, 輔助計算!$G$2:$G$801, 0)+1))&lt;100, IF(INDEX(ERP資料!$G:$G, (MATCH(958, 輔助計算!$G$2:$G$801, 0)+1))&lt;=31,3,IF(INDEX(ERP資料!$G:$G, (MATCH(958, 輔助計算!$G$2:$G$801, 0)+1))&lt;=46.5,2,1)), IF(INDEX(ERP資料!$G:$G, (MATCH(958, 輔助計算!$G$2:$G$801, 0)+1))&lt;=790,3,IF(INDEX(ERP資料!$G:$G, (MATCH(958, 輔助計算!$G$2:$G$801, 0)+1))&lt;=1181,2,1))))=0,"",IF(MOD(INDEX(輔助計算!$D:$D, (MATCH(958, 輔助計算!$G$2:$G$801, 0)+1)),IF(INDEX(ERP資料!$G:$G, (MATCH(958, 輔助計算!$G$2:$G$801, 0)+1))&lt;100, IF(INDEX(ERP資料!$G:$G, (MATCH(958, 輔助計算!$G$2:$G$801, 0)+1))&lt;=31,3,IF(INDEX(ERP資料!$G:$G, (MATCH(958, 輔助計算!$G$2:$G$801, 0)+1))&lt;=46.5,2,1)), IF(INDEX(ERP資料!$G:$G, (MATCH(958, 輔助計算!$G$2:$G$801, 0)+1))&lt;=790,3,IF(INDEX(ERP資料!$G:$G, (MATCH(958, 輔助計算!$G$2:$G$801, 0)+1))&lt;=1181,2,1))))=1,TEXT(INDEX(ERP資料!$G:$G, (MATCH(958, 輔助計算!$G$2:$G$801, 0)+1)),"0.##"),IF(MOD(INDEX(輔助計算!$D:$D, (MATCH(958, 輔助計算!$G$2:$G$801, 0)+1)),IF(INDEX(ERP資料!$G:$G, (MATCH(958, 輔助計算!$G$2:$G$801, 0)+1))&lt;100, IF(INDEX(ERP資料!$G:$G, (MATCH(958, 輔助計算!$G$2:$G$801, 0)+1))&lt;=31,3,IF(INDEX(ERP資料!$G:$G, (MATCH(958, 輔助計算!$G$2:$G$801, 0)+1))&lt;=46.5,2,1)), IF(INDEX(ERP資料!$G:$G, (MATCH(958, 輔助計算!$G$2:$G$801, 0)+1))&lt;=790,3,IF(INDEX(ERP資料!$G:$G, (MATCH(958, 輔助計算!$G$2:$G$801, 0)+1))&lt;=1181,2,1))))=2,TEXT(INDEX(ERP資料!$G:$G, (MATCH(958, 輔助計算!$G$2:$G$801, 0)+1)),"0.##")&amp;"+"&amp;TEXT(INDEX(ERP資料!$G:$G, (MATCH(958, 輔助計算!$G$2:$G$801, 0)+1)),"0.##"),TEXT(INDEX(ERP資料!$G:$G, (MATCH(958, 輔助計算!$G$2:$G$801, 0)+1)),"0.##")&amp;"+"&amp;TEXT(INDEX(ERP資料!$G:$G, (MATCH(958, 輔助計算!$G$2:$G$801, 0)+1)),"0.##")&amp;"+"&amp;TEXT(INDEX(ERP資料!$G:$G, (MATCH(958, 輔助計算!$G$2:$G$801, 0)+1)),"0.##"))))&amp;"-1")&lt;&gt;""),"  ","")&amp;IF(MOD(INDEX(輔助計算!$D:$D, (MATCH(958, 輔助計算!$G$2:$G$801, 0)+1)),IF(INDEX(ERP資料!$G:$G, (MATCH(958, 輔助計算!$G$2:$G$801, 0)+1))&lt;100, IF(INDEX(ERP資料!$G:$G, (MATCH(958, 輔助計算!$G$2:$G$801, 0)+1))&lt;=31,3,IF(INDEX(ERP資料!$G:$G, (MATCH(958, 輔助計算!$G$2:$G$801, 0)+1))&lt;=46.5,2,1)), IF(INDEX(ERP資料!$G:$G, (MATCH(958, 輔助計算!$G$2:$G$801, 0)+1))&lt;=790,3,IF(INDEX(ERP資料!$G:$G, (MATCH(958, 輔助計算!$G$2:$G$801, 0)+1))&lt;=1181,2,1))))=0,"",IF(MOD(INDEX(輔助計算!$D:$D, (MATCH(958, 輔助計算!$G$2:$G$801, 0)+1)),IF(INDEX(ERP資料!$G:$G, (MATCH(958, 輔助計算!$G$2:$G$801, 0)+1))&lt;100, IF(INDEX(ERP資料!$G:$G, (MATCH(958, 輔助計算!$G$2:$G$801, 0)+1))&lt;=31,3,IF(INDEX(ERP資料!$G:$G, (MATCH(958, 輔助計算!$G$2:$G$801, 0)+1))&lt;=46.5,2,1)), IF(INDEX(ERP資料!$G:$G, (MATCH(958, 輔助計算!$G$2:$G$801, 0)+1))&lt;=790,3,IF(INDEX(ERP資料!$G:$G, (MATCH(958, 輔助計算!$G$2:$G$801, 0)+1))&lt;=1181,2,1))))=0,"",IF(MOD(INDEX(輔助計算!$D:$D, (MATCH(958, 輔助計算!$G$2:$G$801, 0)+1)),IF(INDEX(ERP資料!$G:$G, (MATCH(958, 輔助計算!$G$2:$G$801, 0)+1))&lt;100, IF(INDEX(ERP資料!$G:$G, (MATCH(958, 輔助計算!$G$2:$G$801, 0)+1))&lt;=31,3,IF(INDEX(ERP資料!$G:$G, (MATCH(958, 輔助計算!$G$2:$G$801, 0)+1))&lt;=46.5,2,1)), IF(INDEX(ERP資料!$G:$G, (MATCH(958, 輔助計算!$G$2:$G$801, 0)+1))&lt;=790,3,IF(INDEX(ERP資料!$G:$G, (MATCH(958, 輔助計算!$G$2:$G$801, 0)+1))&lt;=1181,2,1))))=1,TEXT(INDEX(ERP資料!$G:$G, (MATCH(958, 輔助計算!$G$2:$G$801, 0)+1)),"0.##"),IF(MOD(INDEX(輔助計算!$D:$D, (MATCH(958, 輔助計算!$G$2:$G$801, 0)+1)),IF(INDEX(ERP資料!$G:$G, (MATCH(958, 輔助計算!$G$2:$G$801, 0)+1))&lt;100, IF(INDEX(ERP資料!$G:$G, (MATCH(958, 輔助計算!$G$2:$G$801, 0)+1))&lt;=31,3,IF(INDEX(ERP資料!$G:$G, (MATCH(958, 輔助計算!$G$2:$G$801, 0)+1))&lt;=46.5,2,1)), IF(INDEX(ERP資料!$G:$G, (MATCH(958, 輔助計算!$G$2:$G$801, 0)+1))&lt;=790,3,IF(INDEX(ERP資料!$G:$G, (MATCH(958, 輔助計算!$G$2:$G$801, 0)+1))&lt;=1181,2,1))))=2,TEXT(INDEX(ERP資料!$G:$G, (MATCH(958, 輔助計算!$G$2:$G$801, 0)+1)),"0.##")&amp;"+"&amp;TEXT(INDEX(ERP資料!$G:$G, (MATCH(958, 輔助計算!$G$2:$G$801, 0)+1)),"0.##"),TEXT(INDEX(ERP資料!$G:$G, (MATCH(958, 輔助計算!$G$2:$G$801, 0)+1)),"0.##")&amp;"+"&amp;TEXT(INDEX(ERP資料!$G:$G, (MATCH(958, 輔助計算!$G$2:$G$801, 0)+1)),"0.##")&amp;"+"&amp;TEXT(INDEX(ERP資料!$G:$G, (MATCH(958, 輔助計算!$G$2:$G$801, 0)+1)),"0.##"))))&amp;"-1")), ""), "")</f>
        <v/>
      </c>
      <c r="K959" s="16" t="n"/>
      <c r="L959" s="14">
        <f>IFERROR(IF(AND(IFERROR(INDEX(ERP資料!$A:$A, (MATCH(958, 輔助計算!$G$2:$G$801, 0)+1)), "")&lt;&gt;"", IFERROR(INDEX(ERP資料!$A:$A, (MATCH(958, 輔助計算!$G$2:$G$801, 0)+1)), "")&lt;&gt;IFERROR(INDEX(ERP資料!$A:$A, MATCH(957, 輔助計算!$G$2:$G$801, 0)+1), "")), INDEX(ERP資料!$B:$B, (MATCH(958, 輔助計算!$G$2:$G$801, 0)+1)), ""), "")</f>
        <v/>
      </c>
      <c r="M959" s="17" t="n"/>
    </row>
    <row r="960">
      <c r="A960" s="10">
        <f>IFERROR(IF(AND(IFERROR(INDEX(ERP資料!$A:$A, (MATCH(959, 輔助計算!$G$2:$G$801, 0)+1)), "")&lt;&gt;"", IFERROR(INDEX(ERP資料!$A:$A, (MATCH(959, 輔助計算!$G$2:$G$801, 0)+1)), "")&lt;&gt;IFERROR(INDEX(ERP資料!$A:$A, MATCH(958, 輔助計算!$G$2:$G$801, 0)+1), "")), IFERROR(INDEX(ERP資料!$A:$A, (MATCH(959, 輔助計算!$G$2:$G$801, 0)+1)), ""), ""), "")</f>
        <v/>
      </c>
      <c r="B960" s="10">
        <f>IFERROR(IF(AND(IFERROR(INDEX(ERP資料!$A:$A, (MATCH(959, 輔助計算!$G$2:$G$801, 0)+1)), "")&lt;&gt;"", IFERROR(INDEX(ERP資料!$A:$A, (MATCH(959, 輔助計算!$G$2:$G$801, 0)+1)), "")&lt;&gt;IFERROR(INDEX(ERP資料!$A:$A, MATCH(958, 輔助計算!$G$2:$G$801, 0)+1), "")), INDEX(ERP資料!$S:$S, (MATCH(959, 輔助計算!$G$2:$G$801, 0)+1)), ""), "")</f>
        <v/>
      </c>
      <c r="C960" s="19">
        <f>IFERROR(IF(AND(IFERROR(INDEX(ERP資料!$A:$A, (MATCH(959, 輔助計算!$G$2:$G$801, 0)+1)), "")&lt;&gt;"", IFERROR(INDEX(ERP資料!$A:$A, (MATCH(959, 輔助計算!$G$2:$G$801, 0)+1)), "")&lt;&gt;IFERROR(INDEX(ERP資料!$A:$A, MATCH(958, 輔助計算!$G$2:$G$801, 0)+1), "")), IFERROR(VLOOKUP(LEFT(INDEX(ERP資料!$S:$S, (MATCH(959, 輔助計算!$G$2:$G$801, 0)+1)), 4), 紙管對照表!$A:$C, 3, FALSE), ""), ""), "")</f>
        <v/>
      </c>
      <c r="D960" s="16" t="n"/>
      <c r="E960" s="10">
        <f>IFERROR(IF(INDEX(ERP資料!$H:$H, (MATCH(959, 輔助計算!$G$2:$G$801, 0)+1))="","",INDEX(ERP資料!$H:$H, (MATCH(959, 輔助計算!$G$2:$G$801, 0)+1))), "")</f>
        <v/>
      </c>
      <c r="F960" s="10">
        <f>IFERROR(IF(INDEX(ERP資料!$E:$E, (MATCH(959, 輔助計算!$G$2:$G$801, 0)+1))="","",TRIM(INDEX(ERP資料!$E:$E, (MATCH(959, 輔助計算!$G$2:$G$801, 0)+1)))), "")</f>
        <v/>
      </c>
      <c r="G960" s="10">
        <f>IFERROR(IF(INDEX(ERP資料!$F:$F, (MATCH(959, 輔助計算!$G$2:$G$801, 0)+1))="","",INDEX(ERP資料!$F:$F, (MATCH(959, 輔助計算!$G$2:$G$801, 0)+1))), "")</f>
        <v/>
      </c>
      <c r="H960" s="10">
        <f>IFERROR(IF(INDEX(ERP資料!$G:$G, (MATCH(959, 輔助計算!$G$2:$G$801, 0)+1))="","",INDEX(ERP資料!$G:$G, (MATCH(959, 輔助計算!$G$2:$G$801, 0)+1))), "")</f>
        <v/>
      </c>
      <c r="I960" s="15">
        <f>IFERROR(INDEX(輔助計算!$D:$D, (MATCH(959, 輔助計算!$G$2:$G$801, 0)+1)), "")</f>
        <v/>
      </c>
      <c r="J960" s="15">
        <f>IFERROR(IF(AND(INDEX(輔助計算!$D:$D, (MATCH(959, 輔助計算!$G$2:$G$801, 0)+1))&lt;&gt;"", INDEX(ERP資料!$G:$G, (MATCH(959, 輔助計算!$G$2:$G$801, 0)+1))&lt;&gt;""), TRIM(IF(INT(INDEX(輔助計算!$D:$D, (MATCH(959, 輔助計算!$G$2:$G$801, 0)+1))/IF(INDEX(ERP資料!$G:$G, (MATCH(959, 輔助計算!$G$2:$G$801, 0)+1))&lt;100, IF(INDEX(ERP資料!$G:$G, (MATCH(959, 輔助計算!$G$2:$G$801, 0)+1))&lt;=31,3,IF(INDEX(ERP資料!$G:$G, (MATCH(959, 輔助計算!$G$2:$G$801, 0)+1))&lt;=46.5,2,1)), IF(INDEX(ERP資料!$G:$G, (MATCH(959, 輔助計算!$G$2:$G$801, 0)+1))&lt;=790,3,IF(INDEX(ERP資料!$G:$G, (MATCH(959, 輔助計算!$G$2:$G$801, 0)+1))&lt;=1181,2,1))))&gt;0, IF(IF(INDEX(ERP資料!$G:$G, (MATCH(959, 輔助計算!$G$2:$G$801, 0)+1))&lt;100, IF(INDEX(ERP資料!$G:$G, (MATCH(959, 輔助計算!$G$2:$G$801, 0)+1))&lt;=31,3,IF(INDEX(ERP資料!$G:$G, (MATCH(959, 輔助計算!$G$2:$G$801, 0)+1))&lt;=46.5,2,1)), IF(INDEX(ERP資料!$G:$G, (MATCH(959, 輔助計算!$G$2:$G$801, 0)+1))&lt;=790,3,IF(INDEX(ERP資料!$G:$G, (MATCH(959, 輔助計算!$G$2:$G$801, 0)+1))&lt;=1181,2,1)))=1,TEXT(INDEX(ERP資料!$G:$G, (MATCH(959, 輔助計算!$G$2:$G$801, 0)+1)),"0.##"),IF(IF(INDEX(ERP資料!$G:$G, (MATCH(959, 輔助計算!$G$2:$G$801, 0)+1))&lt;100, IF(INDEX(ERP資料!$G:$G, (MATCH(959, 輔助計算!$G$2:$G$801, 0)+1))&lt;=31,3,IF(INDEX(ERP資料!$G:$G, (MATCH(959, 輔助計算!$G$2:$G$801, 0)+1))&lt;=46.5,2,1)), IF(INDEX(ERP資料!$G:$G, (MATCH(959, 輔助計算!$G$2:$G$801, 0)+1))&lt;=790,3,IF(INDEX(ERP資料!$G:$G, (MATCH(959, 輔助計算!$G$2:$G$801, 0)+1))&lt;=1181,2,1)))=2,TEXT(INDEX(ERP資料!$G:$G, (MATCH(959, 輔助計算!$G$2:$G$801, 0)+1)),"0.##")&amp;"+"&amp;TEXT(INDEX(ERP資料!$G:$G, (MATCH(959, 輔助計算!$G$2:$G$801, 0)+1)),"0.##"),TEXT(INDEX(ERP資料!$G:$G, (MATCH(959, 輔助計算!$G$2:$G$801, 0)+1)),"0.##")&amp;"+"&amp;TEXT(INDEX(ERP資料!$G:$G, (MATCH(959, 輔助計算!$G$2:$G$801, 0)+1)),"0.##")&amp;"+"&amp;TEXT(INDEX(ERP資料!$G:$G, (MATCH(959, 輔助計算!$G$2:$G$801, 0)+1)),"0.##")))&amp;"-"&amp;INT(INDEX(輔助計算!$D:$D, (MATCH(959, 輔助計算!$G$2:$G$801, 0)+1))/IF(INDEX(ERP資料!$G:$G, (MATCH(959, 輔助計算!$G$2:$G$801, 0)+1))&lt;100, IF(INDEX(ERP資料!$G:$G, (MATCH(959, 輔助計算!$G$2:$G$801, 0)+1))&lt;=31,3,IF(INDEX(ERP資料!$G:$G, (MATCH(959, 輔助計算!$G$2:$G$801, 0)+1))&lt;=46.5,2,1)), IF(INDEX(ERP資料!$G:$G, (MATCH(959, 輔助計算!$G$2:$G$801, 0)+1))&lt;=790,3,IF(INDEX(ERP資料!$G:$G, (MATCH(959, 輔助計算!$G$2:$G$801, 0)+1))&lt;=1181,2,1)))), "")&amp;IF(AND(IF(INT(INDEX(輔助計算!$D:$D, (MATCH(959, 輔助計算!$G$2:$G$801, 0)+1))/IF(INDEX(ERP資料!$G:$G, (MATCH(959, 輔助計算!$G$2:$G$801, 0)+1))&lt;100, IF(INDEX(ERP資料!$G:$G, (MATCH(959, 輔助計算!$G$2:$G$801, 0)+1))&lt;=31,3,IF(INDEX(ERP資料!$G:$G, (MATCH(959, 輔助計算!$G$2:$G$801, 0)+1))&lt;=46.5,2,1)), IF(INDEX(ERP資料!$G:$G, (MATCH(959, 輔助計算!$G$2:$G$801, 0)+1))&lt;=790,3,IF(INDEX(ERP資料!$G:$G, (MATCH(959, 輔助計算!$G$2:$G$801, 0)+1))&lt;=1181,2,1))))&gt;0, IF(IF(INDEX(ERP資料!$G:$G, (MATCH(959, 輔助計算!$G$2:$G$801, 0)+1))&lt;100, IF(INDEX(ERP資料!$G:$G, (MATCH(959, 輔助計算!$G$2:$G$801, 0)+1))&lt;=31,3,IF(INDEX(ERP資料!$G:$G, (MATCH(959, 輔助計算!$G$2:$G$801, 0)+1))&lt;=46.5,2,1)), IF(INDEX(ERP資料!$G:$G, (MATCH(959, 輔助計算!$G$2:$G$801, 0)+1))&lt;=790,3,IF(INDEX(ERP資料!$G:$G, (MATCH(959, 輔助計算!$G$2:$G$801, 0)+1))&lt;=1181,2,1)))=1,TEXT(INDEX(ERP資料!$G:$G, (MATCH(959, 輔助計算!$G$2:$G$801, 0)+1)),"0.##"),IF(IF(INDEX(ERP資料!$G:$G, (MATCH(959, 輔助計算!$G$2:$G$801, 0)+1))&lt;100, IF(INDEX(ERP資料!$G:$G, (MATCH(959, 輔助計算!$G$2:$G$801, 0)+1))&lt;=31,3,IF(INDEX(ERP資料!$G:$G, (MATCH(959, 輔助計算!$G$2:$G$801, 0)+1))&lt;=46.5,2,1)), IF(INDEX(ERP資料!$G:$G, (MATCH(959, 輔助計算!$G$2:$G$801, 0)+1))&lt;=790,3,IF(INDEX(ERP資料!$G:$G, (MATCH(959, 輔助計算!$G$2:$G$801, 0)+1))&lt;=1181,2,1)))=2,TEXT(INDEX(ERP資料!$G:$G, (MATCH(959, 輔助計算!$G$2:$G$801, 0)+1)),"0.##")&amp;"+"&amp;TEXT(INDEX(ERP資料!$G:$G, (MATCH(959, 輔助計算!$G$2:$G$801, 0)+1)),"0.##"),TEXT(INDEX(ERP資料!$G:$G, (MATCH(959, 輔助計算!$G$2:$G$801, 0)+1)),"0.##")&amp;"+"&amp;TEXT(INDEX(ERP資料!$G:$G, (MATCH(959, 輔助計算!$G$2:$G$801, 0)+1)),"0.##")&amp;"+"&amp;TEXT(INDEX(ERP資料!$G:$G, (MATCH(959, 輔助計算!$G$2:$G$801, 0)+1)),"0.##")))&amp;"-"&amp;INT(INDEX(輔助計算!$D:$D, (MATCH(959, 輔助計算!$G$2:$G$801, 0)+1))/IF(INDEX(ERP資料!$G:$G, (MATCH(959, 輔助計算!$G$2:$G$801, 0)+1))&lt;100, IF(INDEX(ERP資料!$G:$G, (MATCH(959, 輔助計算!$G$2:$G$801, 0)+1))&lt;=31,3,IF(INDEX(ERP資料!$G:$G, (MATCH(959, 輔助計算!$G$2:$G$801, 0)+1))&lt;=46.5,2,1)), IF(INDEX(ERP資料!$G:$G, (MATCH(959, 輔助計算!$G$2:$G$801, 0)+1))&lt;=790,3,IF(INDEX(ERP資料!$G:$G, (MATCH(959, 輔助計算!$G$2:$G$801, 0)+1))&lt;=1181,2,1)))), "")&lt;&gt;"",IF(MOD(INDEX(輔助計算!$D:$D, (MATCH(959, 輔助計算!$G$2:$G$801, 0)+1)),IF(INDEX(ERP資料!$G:$G, (MATCH(959, 輔助計算!$G$2:$G$801, 0)+1))&lt;100, IF(INDEX(ERP資料!$G:$G, (MATCH(959, 輔助計算!$G$2:$G$801, 0)+1))&lt;=31,3,IF(INDEX(ERP資料!$G:$G, (MATCH(959, 輔助計算!$G$2:$G$801, 0)+1))&lt;=46.5,2,1)), IF(INDEX(ERP資料!$G:$G, (MATCH(959, 輔助計算!$G$2:$G$801, 0)+1))&lt;=790,3,IF(INDEX(ERP資料!$G:$G, (MATCH(959, 輔助計算!$G$2:$G$801, 0)+1))&lt;=1181,2,1))))=0,"",IF(MOD(INDEX(輔助計算!$D:$D, (MATCH(959, 輔助計算!$G$2:$G$801, 0)+1)),IF(INDEX(ERP資料!$G:$G, (MATCH(959, 輔助計算!$G$2:$G$801, 0)+1))&lt;100, IF(INDEX(ERP資料!$G:$G, (MATCH(959, 輔助計算!$G$2:$G$801, 0)+1))&lt;=31,3,IF(INDEX(ERP資料!$G:$G, (MATCH(959, 輔助計算!$G$2:$G$801, 0)+1))&lt;=46.5,2,1)), IF(INDEX(ERP資料!$G:$G, (MATCH(959, 輔助計算!$G$2:$G$801, 0)+1))&lt;=790,3,IF(INDEX(ERP資料!$G:$G, (MATCH(959, 輔助計算!$G$2:$G$801, 0)+1))&lt;=1181,2,1))))=0,"",IF(MOD(INDEX(輔助計算!$D:$D, (MATCH(959, 輔助計算!$G$2:$G$801, 0)+1)),IF(INDEX(ERP資料!$G:$G, (MATCH(959, 輔助計算!$G$2:$G$801, 0)+1))&lt;100, IF(INDEX(ERP資料!$G:$G, (MATCH(959, 輔助計算!$G$2:$G$801, 0)+1))&lt;=31,3,IF(INDEX(ERP資料!$G:$G, (MATCH(959, 輔助計算!$G$2:$G$801, 0)+1))&lt;=46.5,2,1)), IF(INDEX(ERP資料!$G:$G, (MATCH(959, 輔助計算!$G$2:$G$801, 0)+1))&lt;=790,3,IF(INDEX(ERP資料!$G:$G, (MATCH(959, 輔助計算!$G$2:$G$801, 0)+1))&lt;=1181,2,1))))=1,TEXT(INDEX(ERP資料!$G:$G, (MATCH(959, 輔助計算!$G$2:$G$801, 0)+1)),"0.##"),IF(MOD(INDEX(輔助計算!$D:$D, (MATCH(959, 輔助計算!$G$2:$G$801, 0)+1)),IF(INDEX(ERP資料!$G:$G, (MATCH(959, 輔助計算!$G$2:$G$801, 0)+1))&lt;100, IF(INDEX(ERP資料!$G:$G, (MATCH(959, 輔助計算!$G$2:$G$801, 0)+1))&lt;=31,3,IF(INDEX(ERP資料!$G:$G, (MATCH(959, 輔助計算!$G$2:$G$801, 0)+1))&lt;=46.5,2,1)), IF(INDEX(ERP資料!$G:$G, (MATCH(959, 輔助計算!$G$2:$G$801, 0)+1))&lt;=790,3,IF(INDEX(ERP資料!$G:$G, (MATCH(959, 輔助計算!$G$2:$G$801, 0)+1))&lt;=1181,2,1))))=2,TEXT(INDEX(ERP資料!$G:$G, (MATCH(959, 輔助計算!$G$2:$G$801, 0)+1)),"0.##")&amp;"+"&amp;TEXT(INDEX(ERP資料!$G:$G, (MATCH(959, 輔助計算!$G$2:$G$801, 0)+1)),"0.##"),TEXT(INDEX(ERP資料!$G:$G, (MATCH(959, 輔助計算!$G$2:$G$801, 0)+1)),"0.##")&amp;"+"&amp;TEXT(INDEX(ERP資料!$G:$G, (MATCH(959, 輔助計算!$G$2:$G$801, 0)+1)),"0.##")&amp;"+"&amp;TEXT(INDEX(ERP資料!$G:$G, (MATCH(959, 輔助計算!$G$2:$G$801, 0)+1)),"0.##"))))&amp;"-1")&lt;&gt;""),"  ","")&amp;IF(MOD(INDEX(輔助計算!$D:$D, (MATCH(959, 輔助計算!$G$2:$G$801, 0)+1)),IF(INDEX(ERP資料!$G:$G, (MATCH(959, 輔助計算!$G$2:$G$801, 0)+1))&lt;100, IF(INDEX(ERP資料!$G:$G, (MATCH(959, 輔助計算!$G$2:$G$801, 0)+1))&lt;=31,3,IF(INDEX(ERP資料!$G:$G, (MATCH(959, 輔助計算!$G$2:$G$801, 0)+1))&lt;=46.5,2,1)), IF(INDEX(ERP資料!$G:$G, (MATCH(959, 輔助計算!$G$2:$G$801, 0)+1))&lt;=790,3,IF(INDEX(ERP資料!$G:$G, (MATCH(959, 輔助計算!$G$2:$G$801, 0)+1))&lt;=1181,2,1))))=0,"",IF(MOD(INDEX(輔助計算!$D:$D, (MATCH(959, 輔助計算!$G$2:$G$801, 0)+1)),IF(INDEX(ERP資料!$G:$G, (MATCH(959, 輔助計算!$G$2:$G$801, 0)+1))&lt;100, IF(INDEX(ERP資料!$G:$G, (MATCH(959, 輔助計算!$G$2:$G$801, 0)+1))&lt;=31,3,IF(INDEX(ERP資料!$G:$G, (MATCH(959, 輔助計算!$G$2:$G$801, 0)+1))&lt;=46.5,2,1)), IF(INDEX(ERP資料!$G:$G, (MATCH(959, 輔助計算!$G$2:$G$801, 0)+1))&lt;=790,3,IF(INDEX(ERP資料!$G:$G, (MATCH(959, 輔助計算!$G$2:$G$801, 0)+1))&lt;=1181,2,1))))=0,"",IF(MOD(INDEX(輔助計算!$D:$D, (MATCH(959, 輔助計算!$G$2:$G$801, 0)+1)),IF(INDEX(ERP資料!$G:$G, (MATCH(959, 輔助計算!$G$2:$G$801, 0)+1))&lt;100, IF(INDEX(ERP資料!$G:$G, (MATCH(959, 輔助計算!$G$2:$G$801, 0)+1))&lt;=31,3,IF(INDEX(ERP資料!$G:$G, (MATCH(959, 輔助計算!$G$2:$G$801, 0)+1))&lt;=46.5,2,1)), IF(INDEX(ERP資料!$G:$G, (MATCH(959, 輔助計算!$G$2:$G$801, 0)+1))&lt;=790,3,IF(INDEX(ERP資料!$G:$G, (MATCH(959, 輔助計算!$G$2:$G$801, 0)+1))&lt;=1181,2,1))))=1,TEXT(INDEX(ERP資料!$G:$G, (MATCH(959, 輔助計算!$G$2:$G$801, 0)+1)),"0.##"),IF(MOD(INDEX(輔助計算!$D:$D, (MATCH(959, 輔助計算!$G$2:$G$801, 0)+1)),IF(INDEX(ERP資料!$G:$G, (MATCH(959, 輔助計算!$G$2:$G$801, 0)+1))&lt;100, IF(INDEX(ERP資料!$G:$G, (MATCH(959, 輔助計算!$G$2:$G$801, 0)+1))&lt;=31,3,IF(INDEX(ERP資料!$G:$G, (MATCH(959, 輔助計算!$G$2:$G$801, 0)+1))&lt;=46.5,2,1)), IF(INDEX(ERP資料!$G:$G, (MATCH(959, 輔助計算!$G$2:$G$801, 0)+1))&lt;=790,3,IF(INDEX(ERP資料!$G:$G, (MATCH(959, 輔助計算!$G$2:$G$801, 0)+1))&lt;=1181,2,1))))=2,TEXT(INDEX(ERP資料!$G:$G, (MATCH(959, 輔助計算!$G$2:$G$801, 0)+1)),"0.##")&amp;"+"&amp;TEXT(INDEX(ERP資料!$G:$G, (MATCH(959, 輔助計算!$G$2:$G$801, 0)+1)),"0.##"),TEXT(INDEX(ERP資料!$G:$G, (MATCH(959, 輔助計算!$G$2:$G$801, 0)+1)),"0.##")&amp;"+"&amp;TEXT(INDEX(ERP資料!$G:$G, (MATCH(959, 輔助計算!$G$2:$G$801, 0)+1)),"0.##")&amp;"+"&amp;TEXT(INDEX(ERP資料!$G:$G, (MATCH(959, 輔助計算!$G$2:$G$801, 0)+1)),"0.##"))))&amp;"-1")), ""), "")</f>
        <v/>
      </c>
      <c r="K960" s="16" t="n"/>
      <c r="L960" s="14">
        <f>IFERROR(IF(AND(IFERROR(INDEX(ERP資料!$A:$A, (MATCH(959, 輔助計算!$G$2:$G$801, 0)+1)), "")&lt;&gt;"", IFERROR(INDEX(ERP資料!$A:$A, (MATCH(959, 輔助計算!$G$2:$G$801, 0)+1)), "")&lt;&gt;IFERROR(INDEX(ERP資料!$A:$A, MATCH(958, 輔助計算!$G$2:$G$801, 0)+1), "")), INDEX(ERP資料!$B:$B, (MATCH(959, 輔助計算!$G$2:$G$801, 0)+1)), ""), "")</f>
        <v/>
      </c>
      <c r="M960" s="17" t="n"/>
    </row>
    <row r="961">
      <c r="A961" s="10">
        <f>IFERROR(IF(AND(IFERROR(INDEX(ERP資料!$A:$A, (MATCH(960, 輔助計算!$G$2:$G$801, 0)+1)), "")&lt;&gt;"", IFERROR(INDEX(ERP資料!$A:$A, (MATCH(960, 輔助計算!$G$2:$G$801, 0)+1)), "")&lt;&gt;IFERROR(INDEX(ERP資料!$A:$A, MATCH(959, 輔助計算!$G$2:$G$801, 0)+1), "")), IFERROR(INDEX(ERP資料!$A:$A, (MATCH(960, 輔助計算!$G$2:$G$801, 0)+1)), ""), ""), "")</f>
        <v/>
      </c>
      <c r="B961" s="10">
        <f>IFERROR(IF(AND(IFERROR(INDEX(ERP資料!$A:$A, (MATCH(960, 輔助計算!$G$2:$G$801, 0)+1)), "")&lt;&gt;"", IFERROR(INDEX(ERP資料!$A:$A, (MATCH(960, 輔助計算!$G$2:$G$801, 0)+1)), "")&lt;&gt;IFERROR(INDEX(ERP資料!$A:$A, MATCH(959, 輔助計算!$G$2:$G$801, 0)+1), "")), INDEX(ERP資料!$S:$S, (MATCH(960, 輔助計算!$G$2:$G$801, 0)+1)), ""), "")</f>
        <v/>
      </c>
      <c r="C961" s="19">
        <f>IFERROR(IF(AND(IFERROR(INDEX(ERP資料!$A:$A, (MATCH(960, 輔助計算!$G$2:$G$801, 0)+1)), "")&lt;&gt;"", IFERROR(INDEX(ERP資料!$A:$A, (MATCH(960, 輔助計算!$G$2:$G$801, 0)+1)), "")&lt;&gt;IFERROR(INDEX(ERP資料!$A:$A, MATCH(959, 輔助計算!$G$2:$G$801, 0)+1), "")), IFERROR(VLOOKUP(LEFT(INDEX(ERP資料!$S:$S, (MATCH(960, 輔助計算!$G$2:$G$801, 0)+1)), 4), 紙管對照表!$A:$C, 3, FALSE), ""), ""), "")</f>
        <v/>
      </c>
      <c r="D961" s="16" t="n"/>
      <c r="E961" s="10">
        <f>IFERROR(IF(INDEX(ERP資料!$H:$H, (MATCH(960, 輔助計算!$G$2:$G$801, 0)+1))="","",INDEX(ERP資料!$H:$H, (MATCH(960, 輔助計算!$G$2:$G$801, 0)+1))), "")</f>
        <v/>
      </c>
      <c r="F961" s="10">
        <f>IFERROR(IF(INDEX(ERP資料!$E:$E, (MATCH(960, 輔助計算!$G$2:$G$801, 0)+1))="","",TRIM(INDEX(ERP資料!$E:$E, (MATCH(960, 輔助計算!$G$2:$G$801, 0)+1)))), "")</f>
        <v/>
      </c>
      <c r="G961" s="10">
        <f>IFERROR(IF(INDEX(ERP資料!$F:$F, (MATCH(960, 輔助計算!$G$2:$G$801, 0)+1))="","",INDEX(ERP資料!$F:$F, (MATCH(960, 輔助計算!$G$2:$G$801, 0)+1))), "")</f>
        <v/>
      </c>
      <c r="H961" s="10">
        <f>IFERROR(IF(INDEX(ERP資料!$G:$G, (MATCH(960, 輔助計算!$G$2:$G$801, 0)+1))="","",INDEX(ERP資料!$G:$G, (MATCH(960, 輔助計算!$G$2:$G$801, 0)+1))), "")</f>
        <v/>
      </c>
      <c r="I961" s="15">
        <f>IFERROR(INDEX(輔助計算!$D:$D, (MATCH(960, 輔助計算!$G$2:$G$801, 0)+1)), "")</f>
        <v/>
      </c>
      <c r="J961" s="15">
        <f>IFERROR(IF(AND(INDEX(輔助計算!$D:$D, (MATCH(960, 輔助計算!$G$2:$G$801, 0)+1))&lt;&gt;"", INDEX(ERP資料!$G:$G, (MATCH(960, 輔助計算!$G$2:$G$801, 0)+1))&lt;&gt;""), TRIM(IF(INT(INDEX(輔助計算!$D:$D, (MATCH(960, 輔助計算!$G$2:$G$801, 0)+1))/IF(INDEX(ERP資料!$G:$G, (MATCH(960, 輔助計算!$G$2:$G$801, 0)+1))&lt;100, IF(INDEX(ERP資料!$G:$G, (MATCH(960, 輔助計算!$G$2:$G$801, 0)+1))&lt;=31,3,IF(INDEX(ERP資料!$G:$G, (MATCH(960, 輔助計算!$G$2:$G$801, 0)+1))&lt;=46.5,2,1)), IF(INDEX(ERP資料!$G:$G, (MATCH(960, 輔助計算!$G$2:$G$801, 0)+1))&lt;=790,3,IF(INDEX(ERP資料!$G:$G, (MATCH(960, 輔助計算!$G$2:$G$801, 0)+1))&lt;=1181,2,1))))&gt;0, IF(IF(INDEX(ERP資料!$G:$G, (MATCH(960, 輔助計算!$G$2:$G$801, 0)+1))&lt;100, IF(INDEX(ERP資料!$G:$G, (MATCH(960, 輔助計算!$G$2:$G$801, 0)+1))&lt;=31,3,IF(INDEX(ERP資料!$G:$G, (MATCH(960, 輔助計算!$G$2:$G$801, 0)+1))&lt;=46.5,2,1)), IF(INDEX(ERP資料!$G:$G, (MATCH(960, 輔助計算!$G$2:$G$801, 0)+1))&lt;=790,3,IF(INDEX(ERP資料!$G:$G, (MATCH(960, 輔助計算!$G$2:$G$801, 0)+1))&lt;=1181,2,1)))=1,TEXT(INDEX(ERP資料!$G:$G, (MATCH(960, 輔助計算!$G$2:$G$801, 0)+1)),"0.##"),IF(IF(INDEX(ERP資料!$G:$G, (MATCH(960, 輔助計算!$G$2:$G$801, 0)+1))&lt;100, IF(INDEX(ERP資料!$G:$G, (MATCH(960, 輔助計算!$G$2:$G$801, 0)+1))&lt;=31,3,IF(INDEX(ERP資料!$G:$G, (MATCH(960, 輔助計算!$G$2:$G$801, 0)+1))&lt;=46.5,2,1)), IF(INDEX(ERP資料!$G:$G, (MATCH(960, 輔助計算!$G$2:$G$801, 0)+1))&lt;=790,3,IF(INDEX(ERP資料!$G:$G, (MATCH(960, 輔助計算!$G$2:$G$801, 0)+1))&lt;=1181,2,1)))=2,TEXT(INDEX(ERP資料!$G:$G, (MATCH(960, 輔助計算!$G$2:$G$801, 0)+1)),"0.##")&amp;"+"&amp;TEXT(INDEX(ERP資料!$G:$G, (MATCH(960, 輔助計算!$G$2:$G$801, 0)+1)),"0.##"),TEXT(INDEX(ERP資料!$G:$G, (MATCH(960, 輔助計算!$G$2:$G$801, 0)+1)),"0.##")&amp;"+"&amp;TEXT(INDEX(ERP資料!$G:$G, (MATCH(960, 輔助計算!$G$2:$G$801, 0)+1)),"0.##")&amp;"+"&amp;TEXT(INDEX(ERP資料!$G:$G, (MATCH(960, 輔助計算!$G$2:$G$801, 0)+1)),"0.##")))&amp;"-"&amp;INT(INDEX(輔助計算!$D:$D, (MATCH(960, 輔助計算!$G$2:$G$801, 0)+1))/IF(INDEX(ERP資料!$G:$G, (MATCH(960, 輔助計算!$G$2:$G$801, 0)+1))&lt;100, IF(INDEX(ERP資料!$G:$G, (MATCH(960, 輔助計算!$G$2:$G$801, 0)+1))&lt;=31,3,IF(INDEX(ERP資料!$G:$G, (MATCH(960, 輔助計算!$G$2:$G$801, 0)+1))&lt;=46.5,2,1)), IF(INDEX(ERP資料!$G:$G, (MATCH(960, 輔助計算!$G$2:$G$801, 0)+1))&lt;=790,3,IF(INDEX(ERP資料!$G:$G, (MATCH(960, 輔助計算!$G$2:$G$801, 0)+1))&lt;=1181,2,1)))), "")&amp;IF(AND(IF(INT(INDEX(輔助計算!$D:$D, (MATCH(960, 輔助計算!$G$2:$G$801, 0)+1))/IF(INDEX(ERP資料!$G:$G, (MATCH(960, 輔助計算!$G$2:$G$801, 0)+1))&lt;100, IF(INDEX(ERP資料!$G:$G, (MATCH(960, 輔助計算!$G$2:$G$801, 0)+1))&lt;=31,3,IF(INDEX(ERP資料!$G:$G, (MATCH(960, 輔助計算!$G$2:$G$801, 0)+1))&lt;=46.5,2,1)), IF(INDEX(ERP資料!$G:$G, (MATCH(960, 輔助計算!$G$2:$G$801, 0)+1))&lt;=790,3,IF(INDEX(ERP資料!$G:$G, (MATCH(960, 輔助計算!$G$2:$G$801, 0)+1))&lt;=1181,2,1))))&gt;0, IF(IF(INDEX(ERP資料!$G:$G, (MATCH(960, 輔助計算!$G$2:$G$801, 0)+1))&lt;100, IF(INDEX(ERP資料!$G:$G, (MATCH(960, 輔助計算!$G$2:$G$801, 0)+1))&lt;=31,3,IF(INDEX(ERP資料!$G:$G, (MATCH(960, 輔助計算!$G$2:$G$801, 0)+1))&lt;=46.5,2,1)), IF(INDEX(ERP資料!$G:$G, (MATCH(960, 輔助計算!$G$2:$G$801, 0)+1))&lt;=790,3,IF(INDEX(ERP資料!$G:$G, (MATCH(960, 輔助計算!$G$2:$G$801, 0)+1))&lt;=1181,2,1)))=1,TEXT(INDEX(ERP資料!$G:$G, (MATCH(960, 輔助計算!$G$2:$G$801, 0)+1)),"0.##"),IF(IF(INDEX(ERP資料!$G:$G, (MATCH(960, 輔助計算!$G$2:$G$801, 0)+1))&lt;100, IF(INDEX(ERP資料!$G:$G, (MATCH(960, 輔助計算!$G$2:$G$801, 0)+1))&lt;=31,3,IF(INDEX(ERP資料!$G:$G, (MATCH(960, 輔助計算!$G$2:$G$801, 0)+1))&lt;=46.5,2,1)), IF(INDEX(ERP資料!$G:$G, (MATCH(960, 輔助計算!$G$2:$G$801, 0)+1))&lt;=790,3,IF(INDEX(ERP資料!$G:$G, (MATCH(960, 輔助計算!$G$2:$G$801, 0)+1))&lt;=1181,2,1)))=2,TEXT(INDEX(ERP資料!$G:$G, (MATCH(960, 輔助計算!$G$2:$G$801, 0)+1)),"0.##")&amp;"+"&amp;TEXT(INDEX(ERP資料!$G:$G, (MATCH(960, 輔助計算!$G$2:$G$801, 0)+1)),"0.##"),TEXT(INDEX(ERP資料!$G:$G, (MATCH(960, 輔助計算!$G$2:$G$801, 0)+1)),"0.##")&amp;"+"&amp;TEXT(INDEX(ERP資料!$G:$G, (MATCH(960, 輔助計算!$G$2:$G$801, 0)+1)),"0.##")&amp;"+"&amp;TEXT(INDEX(ERP資料!$G:$G, (MATCH(960, 輔助計算!$G$2:$G$801, 0)+1)),"0.##")))&amp;"-"&amp;INT(INDEX(輔助計算!$D:$D, (MATCH(960, 輔助計算!$G$2:$G$801, 0)+1))/IF(INDEX(ERP資料!$G:$G, (MATCH(960, 輔助計算!$G$2:$G$801, 0)+1))&lt;100, IF(INDEX(ERP資料!$G:$G, (MATCH(960, 輔助計算!$G$2:$G$801, 0)+1))&lt;=31,3,IF(INDEX(ERP資料!$G:$G, (MATCH(960, 輔助計算!$G$2:$G$801, 0)+1))&lt;=46.5,2,1)), IF(INDEX(ERP資料!$G:$G, (MATCH(960, 輔助計算!$G$2:$G$801, 0)+1))&lt;=790,3,IF(INDEX(ERP資料!$G:$G, (MATCH(960, 輔助計算!$G$2:$G$801, 0)+1))&lt;=1181,2,1)))), "")&lt;&gt;"",IF(MOD(INDEX(輔助計算!$D:$D, (MATCH(960, 輔助計算!$G$2:$G$801, 0)+1)),IF(INDEX(ERP資料!$G:$G, (MATCH(960, 輔助計算!$G$2:$G$801, 0)+1))&lt;100, IF(INDEX(ERP資料!$G:$G, (MATCH(960, 輔助計算!$G$2:$G$801, 0)+1))&lt;=31,3,IF(INDEX(ERP資料!$G:$G, (MATCH(960, 輔助計算!$G$2:$G$801, 0)+1))&lt;=46.5,2,1)), IF(INDEX(ERP資料!$G:$G, (MATCH(960, 輔助計算!$G$2:$G$801, 0)+1))&lt;=790,3,IF(INDEX(ERP資料!$G:$G, (MATCH(960, 輔助計算!$G$2:$G$801, 0)+1))&lt;=1181,2,1))))=0,"",IF(MOD(INDEX(輔助計算!$D:$D, (MATCH(960, 輔助計算!$G$2:$G$801, 0)+1)),IF(INDEX(ERP資料!$G:$G, (MATCH(960, 輔助計算!$G$2:$G$801, 0)+1))&lt;100, IF(INDEX(ERP資料!$G:$G, (MATCH(960, 輔助計算!$G$2:$G$801, 0)+1))&lt;=31,3,IF(INDEX(ERP資料!$G:$G, (MATCH(960, 輔助計算!$G$2:$G$801, 0)+1))&lt;=46.5,2,1)), IF(INDEX(ERP資料!$G:$G, (MATCH(960, 輔助計算!$G$2:$G$801, 0)+1))&lt;=790,3,IF(INDEX(ERP資料!$G:$G, (MATCH(960, 輔助計算!$G$2:$G$801, 0)+1))&lt;=1181,2,1))))=0,"",IF(MOD(INDEX(輔助計算!$D:$D, (MATCH(960, 輔助計算!$G$2:$G$801, 0)+1)),IF(INDEX(ERP資料!$G:$G, (MATCH(960, 輔助計算!$G$2:$G$801, 0)+1))&lt;100, IF(INDEX(ERP資料!$G:$G, (MATCH(960, 輔助計算!$G$2:$G$801, 0)+1))&lt;=31,3,IF(INDEX(ERP資料!$G:$G, (MATCH(960, 輔助計算!$G$2:$G$801, 0)+1))&lt;=46.5,2,1)), IF(INDEX(ERP資料!$G:$G, (MATCH(960, 輔助計算!$G$2:$G$801, 0)+1))&lt;=790,3,IF(INDEX(ERP資料!$G:$G, (MATCH(960, 輔助計算!$G$2:$G$801, 0)+1))&lt;=1181,2,1))))=1,TEXT(INDEX(ERP資料!$G:$G, (MATCH(960, 輔助計算!$G$2:$G$801, 0)+1)),"0.##"),IF(MOD(INDEX(輔助計算!$D:$D, (MATCH(960, 輔助計算!$G$2:$G$801, 0)+1)),IF(INDEX(ERP資料!$G:$G, (MATCH(960, 輔助計算!$G$2:$G$801, 0)+1))&lt;100, IF(INDEX(ERP資料!$G:$G, (MATCH(960, 輔助計算!$G$2:$G$801, 0)+1))&lt;=31,3,IF(INDEX(ERP資料!$G:$G, (MATCH(960, 輔助計算!$G$2:$G$801, 0)+1))&lt;=46.5,2,1)), IF(INDEX(ERP資料!$G:$G, (MATCH(960, 輔助計算!$G$2:$G$801, 0)+1))&lt;=790,3,IF(INDEX(ERP資料!$G:$G, (MATCH(960, 輔助計算!$G$2:$G$801, 0)+1))&lt;=1181,2,1))))=2,TEXT(INDEX(ERP資料!$G:$G, (MATCH(960, 輔助計算!$G$2:$G$801, 0)+1)),"0.##")&amp;"+"&amp;TEXT(INDEX(ERP資料!$G:$G, (MATCH(960, 輔助計算!$G$2:$G$801, 0)+1)),"0.##"),TEXT(INDEX(ERP資料!$G:$G, (MATCH(960, 輔助計算!$G$2:$G$801, 0)+1)),"0.##")&amp;"+"&amp;TEXT(INDEX(ERP資料!$G:$G, (MATCH(960, 輔助計算!$G$2:$G$801, 0)+1)),"0.##")&amp;"+"&amp;TEXT(INDEX(ERP資料!$G:$G, (MATCH(960, 輔助計算!$G$2:$G$801, 0)+1)),"0.##"))))&amp;"-1")&lt;&gt;""),"  ","")&amp;IF(MOD(INDEX(輔助計算!$D:$D, (MATCH(960, 輔助計算!$G$2:$G$801, 0)+1)),IF(INDEX(ERP資料!$G:$G, (MATCH(960, 輔助計算!$G$2:$G$801, 0)+1))&lt;100, IF(INDEX(ERP資料!$G:$G, (MATCH(960, 輔助計算!$G$2:$G$801, 0)+1))&lt;=31,3,IF(INDEX(ERP資料!$G:$G, (MATCH(960, 輔助計算!$G$2:$G$801, 0)+1))&lt;=46.5,2,1)), IF(INDEX(ERP資料!$G:$G, (MATCH(960, 輔助計算!$G$2:$G$801, 0)+1))&lt;=790,3,IF(INDEX(ERP資料!$G:$G, (MATCH(960, 輔助計算!$G$2:$G$801, 0)+1))&lt;=1181,2,1))))=0,"",IF(MOD(INDEX(輔助計算!$D:$D, (MATCH(960, 輔助計算!$G$2:$G$801, 0)+1)),IF(INDEX(ERP資料!$G:$G, (MATCH(960, 輔助計算!$G$2:$G$801, 0)+1))&lt;100, IF(INDEX(ERP資料!$G:$G, (MATCH(960, 輔助計算!$G$2:$G$801, 0)+1))&lt;=31,3,IF(INDEX(ERP資料!$G:$G, (MATCH(960, 輔助計算!$G$2:$G$801, 0)+1))&lt;=46.5,2,1)), IF(INDEX(ERP資料!$G:$G, (MATCH(960, 輔助計算!$G$2:$G$801, 0)+1))&lt;=790,3,IF(INDEX(ERP資料!$G:$G, (MATCH(960, 輔助計算!$G$2:$G$801, 0)+1))&lt;=1181,2,1))))=0,"",IF(MOD(INDEX(輔助計算!$D:$D, (MATCH(960, 輔助計算!$G$2:$G$801, 0)+1)),IF(INDEX(ERP資料!$G:$G, (MATCH(960, 輔助計算!$G$2:$G$801, 0)+1))&lt;100, IF(INDEX(ERP資料!$G:$G, (MATCH(960, 輔助計算!$G$2:$G$801, 0)+1))&lt;=31,3,IF(INDEX(ERP資料!$G:$G, (MATCH(960, 輔助計算!$G$2:$G$801, 0)+1))&lt;=46.5,2,1)), IF(INDEX(ERP資料!$G:$G, (MATCH(960, 輔助計算!$G$2:$G$801, 0)+1))&lt;=790,3,IF(INDEX(ERP資料!$G:$G, (MATCH(960, 輔助計算!$G$2:$G$801, 0)+1))&lt;=1181,2,1))))=1,TEXT(INDEX(ERP資料!$G:$G, (MATCH(960, 輔助計算!$G$2:$G$801, 0)+1)),"0.##"),IF(MOD(INDEX(輔助計算!$D:$D, (MATCH(960, 輔助計算!$G$2:$G$801, 0)+1)),IF(INDEX(ERP資料!$G:$G, (MATCH(960, 輔助計算!$G$2:$G$801, 0)+1))&lt;100, IF(INDEX(ERP資料!$G:$G, (MATCH(960, 輔助計算!$G$2:$G$801, 0)+1))&lt;=31,3,IF(INDEX(ERP資料!$G:$G, (MATCH(960, 輔助計算!$G$2:$G$801, 0)+1))&lt;=46.5,2,1)), IF(INDEX(ERP資料!$G:$G, (MATCH(960, 輔助計算!$G$2:$G$801, 0)+1))&lt;=790,3,IF(INDEX(ERP資料!$G:$G, (MATCH(960, 輔助計算!$G$2:$G$801, 0)+1))&lt;=1181,2,1))))=2,TEXT(INDEX(ERP資料!$G:$G, (MATCH(960, 輔助計算!$G$2:$G$801, 0)+1)),"0.##")&amp;"+"&amp;TEXT(INDEX(ERP資料!$G:$G, (MATCH(960, 輔助計算!$G$2:$G$801, 0)+1)),"0.##"),TEXT(INDEX(ERP資料!$G:$G, (MATCH(960, 輔助計算!$G$2:$G$801, 0)+1)),"0.##")&amp;"+"&amp;TEXT(INDEX(ERP資料!$G:$G, (MATCH(960, 輔助計算!$G$2:$G$801, 0)+1)),"0.##")&amp;"+"&amp;TEXT(INDEX(ERP資料!$G:$G, (MATCH(960, 輔助計算!$G$2:$G$801, 0)+1)),"0.##"))))&amp;"-1")), ""), "")</f>
        <v/>
      </c>
      <c r="K961" s="16" t="n"/>
      <c r="L961" s="14">
        <f>IFERROR(IF(AND(IFERROR(INDEX(ERP資料!$A:$A, (MATCH(960, 輔助計算!$G$2:$G$801, 0)+1)), "")&lt;&gt;"", IFERROR(INDEX(ERP資料!$A:$A, (MATCH(960, 輔助計算!$G$2:$G$801, 0)+1)), "")&lt;&gt;IFERROR(INDEX(ERP資料!$A:$A, MATCH(959, 輔助計算!$G$2:$G$801, 0)+1), "")), INDEX(ERP資料!$B:$B, (MATCH(960, 輔助計算!$G$2:$G$801, 0)+1)), ""), "")</f>
        <v/>
      </c>
      <c r="M961" s="17" t="n"/>
    </row>
    <row r="962">
      <c r="A962" s="10">
        <f>IFERROR(IF(AND(IFERROR(INDEX(ERP資料!$A:$A, (MATCH(961, 輔助計算!$G$2:$G$801, 0)+1)), "")&lt;&gt;"", IFERROR(INDEX(ERP資料!$A:$A, (MATCH(961, 輔助計算!$G$2:$G$801, 0)+1)), "")&lt;&gt;IFERROR(INDEX(ERP資料!$A:$A, MATCH(960, 輔助計算!$G$2:$G$801, 0)+1), "")), IFERROR(INDEX(ERP資料!$A:$A, (MATCH(961, 輔助計算!$G$2:$G$801, 0)+1)), ""), ""), "")</f>
        <v/>
      </c>
      <c r="B962" s="10">
        <f>IFERROR(IF(AND(IFERROR(INDEX(ERP資料!$A:$A, (MATCH(961, 輔助計算!$G$2:$G$801, 0)+1)), "")&lt;&gt;"", IFERROR(INDEX(ERP資料!$A:$A, (MATCH(961, 輔助計算!$G$2:$G$801, 0)+1)), "")&lt;&gt;IFERROR(INDEX(ERP資料!$A:$A, MATCH(960, 輔助計算!$G$2:$G$801, 0)+1), "")), INDEX(ERP資料!$S:$S, (MATCH(961, 輔助計算!$G$2:$G$801, 0)+1)), ""), "")</f>
        <v/>
      </c>
      <c r="C962" s="19">
        <f>IFERROR(IF(AND(IFERROR(INDEX(ERP資料!$A:$A, (MATCH(961, 輔助計算!$G$2:$G$801, 0)+1)), "")&lt;&gt;"", IFERROR(INDEX(ERP資料!$A:$A, (MATCH(961, 輔助計算!$G$2:$G$801, 0)+1)), "")&lt;&gt;IFERROR(INDEX(ERP資料!$A:$A, MATCH(960, 輔助計算!$G$2:$G$801, 0)+1), "")), IFERROR(VLOOKUP(LEFT(INDEX(ERP資料!$S:$S, (MATCH(961, 輔助計算!$G$2:$G$801, 0)+1)), 4), 紙管對照表!$A:$C, 3, FALSE), ""), ""), "")</f>
        <v/>
      </c>
      <c r="D962" s="16" t="n"/>
      <c r="E962" s="10">
        <f>IFERROR(IF(INDEX(ERP資料!$H:$H, (MATCH(961, 輔助計算!$G$2:$G$801, 0)+1))="","",INDEX(ERP資料!$H:$H, (MATCH(961, 輔助計算!$G$2:$G$801, 0)+1))), "")</f>
        <v/>
      </c>
      <c r="F962" s="10">
        <f>IFERROR(IF(INDEX(ERP資料!$E:$E, (MATCH(961, 輔助計算!$G$2:$G$801, 0)+1))="","",TRIM(INDEX(ERP資料!$E:$E, (MATCH(961, 輔助計算!$G$2:$G$801, 0)+1)))), "")</f>
        <v/>
      </c>
      <c r="G962" s="10">
        <f>IFERROR(IF(INDEX(ERP資料!$F:$F, (MATCH(961, 輔助計算!$G$2:$G$801, 0)+1))="","",INDEX(ERP資料!$F:$F, (MATCH(961, 輔助計算!$G$2:$G$801, 0)+1))), "")</f>
        <v/>
      </c>
      <c r="H962" s="10">
        <f>IFERROR(IF(INDEX(ERP資料!$G:$G, (MATCH(961, 輔助計算!$G$2:$G$801, 0)+1))="","",INDEX(ERP資料!$G:$G, (MATCH(961, 輔助計算!$G$2:$G$801, 0)+1))), "")</f>
        <v/>
      </c>
      <c r="I962" s="15">
        <f>IFERROR(INDEX(輔助計算!$D:$D, (MATCH(961, 輔助計算!$G$2:$G$801, 0)+1)), "")</f>
        <v/>
      </c>
      <c r="J962" s="15">
        <f>IFERROR(IF(AND(INDEX(輔助計算!$D:$D, (MATCH(961, 輔助計算!$G$2:$G$801, 0)+1))&lt;&gt;"", INDEX(ERP資料!$G:$G, (MATCH(961, 輔助計算!$G$2:$G$801, 0)+1))&lt;&gt;""), TRIM(IF(INT(INDEX(輔助計算!$D:$D, (MATCH(961, 輔助計算!$G$2:$G$801, 0)+1))/IF(INDEX(ERP資料!$G:$G, (MATCH(961, 輔助計算!$G$2:$G$801, 0)+1))&lt;100, IF(INDEX(ERP資料!$G:$G, (MATCH(961, 輔助計算!$G$2:$G$801, 0)+1))&lt;=31,3,IF(INDEX(ERP資料!$G:$G, (MATCH(961, 輔助計算!$G$2:$G$801, 0)+1))&lt;=46.5,2,1)), IF(INDEX(ERP資料!$G:$G, (MATCH(961, 輔助計算!$G$2:$G$801, 0)+1))&lt;=790,3,IF(INDEX(ERP資料!$G:$G, (MATCH(961, 輔助計算!$G$2:$G$801, 0)+1))&lt;=1181,2,1))))&gt;0, IF(IF(INDEX(ERP資料!$G:$G, (MATCH(961, 輔助計算!$G$2:$G$801, 0)+1))&lt;100, IF(INDEX(ERP資料!$G:$G, (MATCH(961, 輔助計算!$G$2:$G$801, 0)+1))&lt;=31,3,IF(INDEX(ERP資料!$G:$G, (MATCH(961, 輔助計算!$G$2:$G$801, 0)+1))&lt;=46.5,2,1)), IF(INDEX(ERP資料!$G:$G, (MATCH(961, 輔助計算!$G$2:$G$801, 0)+1))&lt;=790,3,IF(INDEX(ERP資料!$G:$G, (MATCH(961, 輔助計算!$G$2:$G$801, 0)+1))&lt;=1181,2,1)))=1,TEXT(INDEX(ERP資料!$G:$G, (MATCH(961, 輔助計算!$G$2:$G$801, 0)+1)),"0.##"),IF(IF(INDEX(ERP資料!$G:$G, (MATCH(961, 輔助計算!$G$2:$G$801, 0)+1))&lt;100, IF(INDEX(ERP資料!$G:$G, (MATCH(961, 輔助計算!$G$2:$G$801, 0)+1))&lt;=31,3,IF(INDEX(ERP資料!$G:$G, (MATCH(961, 輔助計算!$G$2:$G$801, 0)+1))&lt;=46.5,2,1)), IF(INDEX(ERP資料!$G:$G, (MATCH(961, 輔助計算!$G$2:$G$801, 0)+1))&lt;=790,3,IF(INDEX(ERP資料!$G:$G, (MATCH(961, 輔助計算!$G$2:$G$801, 0)+1))&lt;=1181,2,1)))=2,TEXT(INDEX(ERP資料!$G:$G, (MATCH(961, 輔助計算!$G$2:$G$801, 0)+1)),"0.##")&amp;"+"&amp;TEXT(INDEX(ERP資料!$G:$G, (MATCH(961, 輔助計算!$G$2:$G$801, 0)+1)),"0.##"),TEXT(INDEX(ERP資料!$G:$G, (MATCH(961, 輔助計算!$G$2:$G$801, 0)+1)),"0.##")&amp;"+"&amp;TEXT(INDEX(ERP資料!$G:$G, (MATCH(961, 輔助計算!$G$2:$G$801, 0)+1)),"0.##")&amp;"+"&amp;TEXT(INDEX(ERP資料!$G:$G, (MATCH(961, 輔助計算!$G$2:$G$801, 0)+1)),"0.##")))&amp;"-"&amp;INT(INDEX(輔助計算!$D:$D, (MATCH(961, 輔助計算!$G$2:$G$801, 0)+1))/IF(INDEX(ERP資料!$G:$G, (MATCH(961, 輔助計算!$G$2:$G$801, 0)+1))&lt;100, IF(INDEX(ERP資料!$G:$G, (MATCH(961, 輔助計算!$G$2:$G$801, 0)+1))&lt;=31,3,IF(INDEX(ERP資料!$G:$G, (MATCH(961, 輔助計算!$G$2:$G$801, 0)+1))&lt;=46.5,2,1)), IF(INDEX(ERP資料!$G:$G, (MATCH(961, 輔助計算!$G$2:$G$801, 0)+1))&lt;=790,3,IF(INDEX(ERP資料!$G:$G, (MATCH(961, 輔助計算!$G$2:$G$801, 0)+1))&lt;=1181,2,1)))), "")&amp;IF(AND(IF(INT(INDEX(輔助計算!$D:$D, (MATCH(961, 輔助計算!$G$2:$G$801, 0)+1))/IF(INDEX(ERP資料!$G:$G, (MATCH(961, 輔助計算!$G$2:$G$801, 0)+1))&lt;100, IF(INDEX(ERP資料!$G:$G, (MATCH(961, 輔助計算!$G$2:$G$801, 0)+1))&lt;=31,3,IF(INDEX(ERP資料!$G:$G, (MATCH(961, 輔助計算!$G$2:$G$801, 0)+1))&lt;=46.5,2,1)), IF(INDEX(ERP資料!$G:$G, (MATCH(961, 輔助計算!$G$2:$G$801, 0)+1))&lt;=790,3,IF(INDEX(ERP資料!$G:$G, (MATCH(961, 輔助計算!$G$2:$G$801, 0)+1))&lt;=1181,2,1))))&gt;0, IF(IF(INDEX(ERP資料!$G:$G, (MATCH(961, 輔助計算!$G$2:$G$801, 0)+1))&lt;100, IF(INDEX(ERP資料!$G:$G, (MATCH(961, 輔助計算!$G$2:$G$801, 0)+1))&lt;=31,3,IF(INDEX(ERP資料!$G:$G, (MATCH(961, 輔助計算!$G$2:$G$801, 0)+1))&lt;=46.5,2,1)), IF(INDEX(ERP資料!$G:$G, (MATCH(961, 輔助計算!$G$2:$G$801, 0)+1))&lt;=790,3,IF(INDEX(ERP資料!$G:$G, (MATCH(961, 輔助計算!$G$2:$G$801, 0)+1))&lt;=1181,2,1)))=1,TEXT(INDEX(ERP資料!$G:$G, (MATCH(961, 輔助計算!$G$2:$G$801, 0)+1)),"0.##"),IF(IF(INDEX(ERP資料!$G:$G, (MATCH(961, 輔助計算!$G$2:$G$801, 0)+1))&lt;100, IF(INDEX(ERP資料!$G:$G, (MATCH(961, 輔助計算!$G$2:$G$801, 0)+1))&lt;=31,3,IF(INDEX(ERP資料!$G:$G, (MATCH(961, 輔助計算!$G$2:$G$801, 0)+1))&lt;=46.5,2,1)), IF(INDEX(ERP資料!$G:$G, (MATCH(961, 輔助計算!$G$2:$G$801, 0)+1))&lt;=790,3,IF(INDEX(ERP資料!$G:$G, (MATCH(961, 輔助計算!$G$2:$G$801, 0)+1))&lt;=1181,2,1)))=2,TEXT(INDEX(ERP資料!$G:$G, (MATCH(961, 輔助計算!$G$2:$G$801, 0)+1)),"0.##")&amp;"+"&amp;TEXT(INDEX(ERP資料!$G:$G, (MATCH(961, 輔助計算!$G$2:$G$801, 0)+1)),"0.##"),TEXT(INDEX(ERP資料!$G:$G, (MATCH(961, 輔助計算!$G$2:$G$801, 0)+1)),"0.##")&amp;"+"&amp;TEXT(INDEX(ERP資料!$G:$G, (MATCH(961, 輔助計算!$G$2:$G$801, 0)+1)),"0.##")&amp;"+"&amp;TEXT(INDEX(ERP資料!$G:$G, (MATCH(961, 輔助計算!$G$2:$G$801, 0)+1)),"0.##")))&amp;"-"&amp;INT(INDEX(輔助計算!$D:$D, (MATCH(961, 輔助計算!$G$2:$G$801, 0)+1))/IF(INDEX(ERP資料!$G:$G, (MATCH(961, 輔助計算!$G$2:$G$801, 0)+1))&lt;100, IF(INDEX(ERP資料!$G:$G, (MATCH(961, 輔助計算!$G$2:$G$801, 0)+1))&lt;=31,3,IF(INDEX(ERP資料!$G:$G, (MATCH(961, 輔助計算!$G$2:$G$801, 0)+1))&lt;=46.5,2,1)), IF(INDEX(ERP資料!$G:$G, (MATCH(961, 輔助計算!$G$2:$G$801, 0)+1))&lt;=790,3,IF(INDEX(ERP資料!$G:$G, (MATCH(961, 輔助計算!$G$2:$G$801, 0)+1))&lt;=1181,2,1)))), "")&lt;&gt;"",IF(MOD(INDEX(輔助計算!$D:$D, (MATCH(961, 輔助計算!$G$2:$G$801, 0)+1)),IF(INDEX(ERP資料!$G:$G, (MATCH(961, 輔助計算!$G$2:$G$801, 0)+1))&lt;100, IF(INDEX(ERP資料!$G:$G, (MATCH(961, 輔助計算!$G$2:$G$801, 0)+1))&lt;=31,3,IF(INDEX(ERP資料!$G:$G, (MATCH(961, 輔助計算!$G$2:$G$801, 0)+1))&lt;=46.5,2,1)), IF(INDEX(ERP資料!$G:$G, (MATCH(961, 輔助計算!$G$2:$G$801, 0)+1))&lt;=790,3,IF(INDEX(ERP資料!$G:$G, (MATCH(961, 輔助計算!$G$2:$G$801, 0)+1))&lt;=1181,2,1))))=0,"",IF(MOD(INDEX(輔助計算!$D:$D, (MATCH(961, 輔助計算!$G$2:$G$801, 0)+1)),IF(INDEX(ERP資料!$G:$G, (MATCH(961, 輔助計算!$G$2:$G$801, 0)+1))&lt;100, IF(INDEX(ERP資料!$G:$G, (MATCH(961, 輔助計算!$G$2:$G$801, 0)+1))&lt;=31,3,IF(INDEX(ERP資料!$G:$G, (MATCH(961, 輔助計算!$G$2:$G$801, 0)+1))&lt;=46.5,2,1)), IF(INDEX(ERP資料!$G:$G, (MATCH(961, 輔助計算!$G$2:$G$801, 0)+1))&lt;=790,3,IF(INDEX(ERP資料!$G:$G, (MATCH(961, 輔助計算!$G$2:$G$801, 0)+1))&lt;=1181,2,1))))=0,"",IF(MOD(INDEX(輔助計算!$D:$D, (MATCH(961, 輔助計算!$G$2:$G$801, 0)+1)),IF(INDEX(ERP資料!$G:$G, (MATCH(961, 輔助計算!$G$2:$G$801, 0)+1))&lt;100, IF(INDEX(ERP資料!$G:$G, (MATCH(961, 輔助計算!$G$2:$G$801, 0)+1))&lt;=31,3,IF(INDEX(ERP資料!$G:$G, (MATCH(961, 輔助計算!$G$2:$G$801, 0)+1))&lt;=46.5,2,1)), IF(INDEX(ERP資料!$G:$G, (MATCH(961, 輔助計算!$G$2:$G$801, 0)+1))&lt;=790,3,IF(INDEX(ERP資料!$G:$G, (MATCH(961, 輔助計算!$G$2:$G$801, 0)+1))&lt;=1181,2,1))))=1,TEXT(INDEX(ERP資料!$G:$G, (MATCH(961, 輔助計算!$G$2:$G$801, 0)+1)),"0.##"),IF(MOD(INDEX(輔助計算!$D:$D, (MATCH(961, 輔助計算!$G$2:$G$801, 0)+1)),IF(INDEX(ERP資料!$G:$G, (MATCH(961, 輔助計算!$G$2:$G$801, 0)+1))&lt;100, IF(INDEX(ERP資料!$G:$G, (MATCH(961, 輔助計算!$G$2:$G$801, 0)+1))&lt;=31,3,IF(INDEX(ERP資料!$G:$G, (MATCH(961, 輔助計算!$G$2:$G$801, 0)+1))&lt;=46.5,2,1)), IF(INDEX(ERP資料!$G:$G, (MATCH(961, 輔助計算!$G$2:$G$801, 0)+1))&lt;=790,3,IF(INDEX(ERP資料!$G:$G, (MATCH(961, 輔助計算!$G$2:$G$801, 0)+1))&lt;=1181,2,1))))=2,TEXT(INDEX(ERP資料!$G:$G, (MATCH(961, 輔助計算!$G$2:$G$801, 0)+1)),"0.##")&amp;"+"&amp;TEXT(INDEX(ERP資料!$G:$G, (MATCH(961, 輔助計算!$G$2:$G$801, 0)+1)),"0.##"),TEXT(INDEX(ERP資料!$G:$G, (MATCH(961, 輔助計算!$G$2:$G$801, 0)+1)),"0.##")&amp;"+"&amp;TEXT(INDEX(ERP資料!$G:$G, (MATCH(961, 輔助計算!$G$2:$G$801, 0)+1)),"0.##")&amp;"+"&amp;TEXT(INDEX(ERP資料!$G:$G, (MATCH(961, 輔助計算!$G$2:$G$801, 0)+1)),"0.##"))))&amp;"-1")&lt;&gt;""),"  ","")&amp;IF(MOD(INDEX(輔助計算!$D:$D, (MATCH(961, 輔助計算!$G$2:$G$801, 0)+1)),IF(INDEX(ERP資料!$G:$G, (MATCH(961, 輔助計算!$G$2:$G$801, 0)+1))&lt;100, IF(INDEX(ERP資料!$G:$G, (MATCH(961, 輔助計算!$G$2:$G$801, 0)+1))&lt;=31,3,IF(INDEX(ERP資料!$G:$G, (MATCH(961, 輔助計算!$G$2:$G$801, 0)+1))&lt;=46.5,2,1)), IF(INDEX(ERP資料!$G:$G, (MATCH(961, 輔助計算!$G$2:$G$801, 0)+1))&lt;=790,3,IF(INDEX(ERP資料!$G:$G, (MATCH(961, 輔助計算!$G$2:$G$801, 0)+1))&lt;=1181,2,1))))=0,"",IF(MOD(INDEX(輔助計算!$D:$D, (MATCH(961, 輔助計算!$G$2:$G$801, 0)+1)),IF(INDEX(ERP資料!$G:$G, (MATCH(961, 輔助計算!$G$2:$G$801, 0)+1))&lt;100, IF(INDEX(ERP資料!$G:$G, (MATCH(961, 輔助計算!$G$2:$G$801, 0)+1))&lt;=31,3,IF(INDEX(ERP資料!$G:$G, (MATCH(961, 輔助計算!$G$2:$G$801, 0)+1))&lt;=46.5,2,1)), IF(INDEX(ERP資料!$G:$G, (MATCH(961, 輔助計算!$G$2:$G$801, 0)+1))&lt;=790,3,IF(INDEX(ERP資料!$G:$G, (MATCH(961, 輔助計算!$G$2:$G$801, 0)+1))&lt;=1181,2,1))))=0,"",IF(MOD(INDEX(輔助計算!$D:$D, (MATCH(961, 輔助計算!$G$2:$G$801, 0)+1)),IF(INDEX(ERP資料!$G:$G, (MATCH(961, 輔助計算!$G$2:$G$801, 0)+1))&lt;100, IF(INDEX(ERP資料!$G:$G, (MATCH(961, 輔助計算!$G$2:$G$801, 0)+1))&lt;=31,3,IF(INDEX(ERP資料!$G:$G, (MATCH(961, 輔助計算!$G$2:$G$801, 0)+1))&lt;=46.5,2,1)), IF(INDEX(ERP資料!$G:$G, (MATCH(961, 輔助計算!$G$2:$G$801, 0)+1))&lt;=790,3,IF(INDEX(ERP資料!$G:$G, (MATCH(961, 輔助計算!$G$2:$G$801, 0)+1))&lt;=1181,2,1))))=1,TEXT(INDEX(ERP資料!$G:$G, (MATCH(961, 輔助計算!$G$2:$G$801, 0)+1)),"0.##"),IF(MOD(INDEX(輔助計算!$D:$D, (MATCH(961, 輔助計算!$G$2:$G$801, 0)+1)),IF(INDEX(ERP資料!$G:$G, (MATCH(961, 輔助計算!$G$2:$G$801, 0)+1))&lt;100, IF(INDEX(ERP資料!$G:$G, (MATCH(961, 輔助計算!$G$2:$G$801, 0)+1))&lt;=31,3,IF(INDEX(ERP資料!$G:$G, (MATCH(961, 輔助計算!$G$2:$G$801, 0)+1))&lt;=46.5,2,1)), IF(INDEX(ERP資料!$G:$G, (MATCH(961, 輔助計算!$G$2:$G$801, 0)+1))&lt;=790,3,IF(INDEX(ERP資料!$G:$G, (MATCH(961, 輔助計算!$G$2:$G$801, 0)+1))&lt;=1181,2,1))))=2,TEXT(INDEX(ERP資料!$G:$G, (MATCH(961, 輔助計算!$G$2:$G$801, 0)+1)),"0.##")&amp;"+"&amp;TEXT(INDEX(ERP資料!$G:$G, (MATCH(961, 輔助計算!$G$2:$G$801, 0)+1)),"0.##"),TEXT(INDEX(ERP資料!$G:$G, (MATCH(961, 輔助計算!$G$2:$G$801, 0)+1)),"0.##")&amp;"+"&amp;TEXT(INDEX(ERP資料!$G:$G, (MATCH(961, 輔助計算!$G$2:$G$801, 0)+1)),"0.##")&amp;"+"&amp;TEXT(INDEX(ERP資料!$G:$G, (MATCH(961, 輔助計算!$G$2:$G$801, 0)+1)),"0.##"))))&amp;"-1")), ""), "")</f>
        <v/>
      </c>
      <c r="K962" s="16" t="n"/>
      <c r="L962" s="14">
        <f>IFERROR(IF(AND(IFERROR(INDEX(ERP資料!$A:$A, (MATCH(961, 輔助計算!$G$2:$G$801, 0)+1)), "")&lt;&gt;"", IFERROR(INDEX(ERP資料!$A:$A, (MATCH(961, 輔助計算!$G$2:$G$801, 0)+1)), "")&lt;&gt;IFERROR(INDEX(ERP資料!$A:$A, MATCH(960, 輔助計算!$G$2:$G$801, 0)+1), "")), INDEX(ERP資料!$B:$B, (MATCH(961, 輔助計算!$G$2:$G$801, 0)+1)), ""), "")</f>
        <v/>
      </c>
      <c r="M962" s="17" t="n"/>
    </row>
    <row r="963">
      <c r="A963" s="10">
        <f>IFERROR(IF(AND(IFERROR(INDEX(ERP資料!$A:$A, (MATCH(962, 輔助計算!$G$2:$G$801, 0)+1)), "")&lt;&gt;"", IFERROR(INDEX(ERP資料!$A:$A, (MATCH(962, 輔助計算!$G$2:$G$801, 0)+1)), "")&lt;&gt;IFERROR(INDEX(ERP資料!$A:$A, MATCH(961, 輔助計算!$G$2:$G$801, 0)+1), "")), IFERROR(INDEX(ERP資料!$A:$A, (MATCH(962, 輔助計算!$G$2:$G$801, 0)+1)), ""), ""), "")</f>
        <v/>
      </c>
      <c r="B963" s="10">
        <f>IFERROR(IF(AND(IFERROR(INDEX(ERP資料!$A:$A, (MATCH(962, 輔助計算!$G$2:$G$801, 0)+1)), "")&lt;&gt;"", IFERROR(INDEX(ERP資料!$A:$A, (MATCH(962, 輔助計算!$G$2:$G$801, 0)+1)), "")&lt;&gt;IFERROR(INDEX(ERP資料!$A:$A, MATCH(961, 輔助計算!$G$2:$G$801, 0)+1), "")), INDEX(ERP資料!$S:$S, (MATCH(962, 輔助計算!$G$2:$G$801, 0)+1)), ""), "")</f>
        <v/>
      </c>
      <c r="C963" s="19">
        <f>IFERROR(IF(AND(IFERROR(INDEX(ERP資料!$A:$A, (MATCH(962, 輔助計算!$G$2:$G$801, 0)+1)), "")&lt;&gt;"", IFERROR(INDEX(ERP資料!$A:$A, (MATCH(962, 輔助計算!$G$2:$G$801, 0)+1)), "")&lt;&gt;IFERROR(INDEX(ERP資料!$A:$A, MATCH(961, 輔助計算!$G$2:$G$801, 0)+1), "")), IFERROR(VLOOKUP(LEFT(INDEX(ERP資料!$S:$S, (MATCH(962, 輔助計算!$G$2:$G$801, 0)+1)), 4), 紙管對照表!$A:$C, 3, FALSE), ""), ""), "")</f>
        <v/>
      </c>
      <c r="D963" s="16" t="n"/>
      <c r="E963" s="10">
        <f>IFERROR(IF(INDEX(ERP資料!$H:$H, (MATCH(962, 輔助計算!$G$2:$G$801, 0)+1))="","",INDEX(ERP資料!$H:$H, (MATCH(962, 輔助計算!$G$2:$G$801, 0)+1))), "")</f>
        <v/>
      </c>
      <c r="F963" s="10">
        <f>IFERROR(IF(INDEX(ERP資料!$E:$E, (MATCH(962, 輔助計算!$G$2:$G$801, 0)+1))="","",TRIM(INDEX(ERP資料!$E:$E, (MATCH(962, 輔助計算!$G$2:$G$801, 0)+1)))), "")</f>
        <v/>
      </c>
      <c r="G963" s="10">
        <f>IFERROR(IF(INDEX(ERP資料!$F:$F, (MATCH(962, 輔助計算!$G$2:$G$801, 0)+1))="","",INDEX(ERP資料!$F:$F, (MATCH(962, 輔助計算!$G$2:$G$801, 0)+1))), "")</f>
        <v/>
      </c>
      <c r="H963" s="10">
        <f>IFERROR(IF(INDEX(ERP資料!$G:$G, (MATCH(962, 輔助計算!$G$2:$G$801, 0)+1))="","",INDEX(ERP資料!$G:$G, (MATCH(962, 輔助計算!$G$2:$G$801, 0)+1))), "")</f>
        <v/>
      </c>
      <c r="I963" s="15">
        <f>IFERROR(INDEX(輔助計算!$D:$D, (MATCH(962, 輔助計算!$G$2:$G$801, 0)+1)), "")</f>
        <v/>
      </c>
      <c r="J963" s="15">
        <f>IFERROR(IF(AND(INDEX(輔助計算!$D:$D, (MATCH(962, 輔助計算!$G$2:$G$801, 0)+1))&lt;&gt;"", INDEX(ERP資料!$G:$G, (MATCH(962, 輔助計算!$G$2:$G$801, 0)+1))&lt;&gt;""), TRIM(IF(INT(INDEX(輔助計算!$D:$D, (MATCH(962, 輔助計算!$G$2:$G$801, 0)+1))/IF(INDEX(ERP資料!$G:$G, (MATCH(962, 輔助計算!$G$2:$G$801, 0)+1))&lt;100, IF(INDEX(ERP資料!$G:$G, (MATCH(962, 輔助計算!$G$2:$G$801, 0)+1))&lt;=31,3,IF(INDEX(ERP資料!$G:$G, (MATCH(962, 輔助計算!$G$2:$G$801, 0)+1))&lt;=46.5,2,1)), IF(INDEX(ERP資料!$G:$G, (MATCH(962, 輔助計算!$G$2:$G$801, 0)+1))&lt;=790,3,IF(INDEX(ERP資料!$G:$G, (MATCH(962, 輔助計算!$G$2:$G$801, 0)+1))&lt;=1181,2,1))))&gt;0, IF(IF(INDEX(ERP資料!$G:$G, (MATCH(962, 輔助計算!$G$2:$G$801, 0)+1))&lt;100, IF(INDEX(ERP資料!$G:$G, (MATCH(962, 輔助計算!$G$2:$G$801, 0)+1))&lt;=31,3,IF(INDEX(ERP資料!$G:$G, (MATCH(962, 輔助計算!$G$2:$G$801, 0)+1))&lt;=46.5,2,1)), IF(INDEX(ERP資料!$G:$G, (MATCH(962, 輔助計算!$G$2:$G$801, 0)+1))&lt;=790,3,IF(INDEX(ERP資料!$G:$G, (MATCH(962, 輔助計算!$G$2:$G$801, 0)+1))&lt;=1181,2,1)))=1,TEXT(INDEX(ERP資料!$G:$G, (MATCH(962, 輔助計算!$G$2:$G$801, 0)+1)),"0.##"),IF(IF(INDEX(ERP資料!$G:$G, (MATCH(962, 輔助計算!$G$2:$G$801, 0)+1))&lt;100, IF(INDEX(ERP資料!$G:$G, (MATCH(962, 輔助計算!$G$2:$G$801, 0)+1))&lt;=31,3,IF(INDEX(ERP資料!$G:$G, (MATCH(962, 輔助計算!$G$2:$G$801, 0)+1))&lt;=46.5,2,1)), IF(INDEX(ERP資料!$G:$G, (MATCH(962, 輔助計算!$G$2:$G$801, 0)+1))&lt;=790,3,IF(INDEX(ERP資料!$G:$G, (MATCH(962, 輔助計算!$G$2:$G$801, 0)+1))&lt;=1181,2,1)))=2,TEXT(INDEX(ERP資料!$G:$G, (MATCH(962, 輔助計算!$G$2:$G$801, 0)+1)),"0.##")&amp;"+"&amp;TEXT(INDEX(ERP資料!$G:$G, (MATCH(962, 輔助計算!$G$2:$G$801, 0)+1)),"0.##"),TEXT(INDEX(ERP資料!$G:$G, (MATCH(962, 輔助計算!$G$2:$G$801, 0)+1)),"0.##")&amp;"+"&amp;TEXT(INDEX(ERP資料!$G:$G, (MATCH(962, 輔助計算!$G$2:$G$801, 0)+1)),"0.##")&amp;"+"&amp;TEXT(INDEX(ERP資料!$G:$G, (MATCH(962, 輔助計算!$G$2:$G$801, 0)+1)),"0.##")))&amp;"-"&amp;INT(INDEX(輔助計算!$D:$D, (MATCH(962, 輔助計算!$G$2:$G$801, 0)+1))/IF(INDEX(ERP資料!$G:$G, (MATCH(962, 輔助計算!$G$2:$G$801, 0)+1))&lt;100, IF(INDEX(ERP資料!$G:$G, (MATCH(962, 輔助計算!$G$2:$G$801, 0)+1))&lt;=31,3,IF(INDEX(ERP資料!$G:$G, (MATCH(962, 輔助計算!$G$2:$G$801, 0)+1))&lt;=46.5,2,1)), IF(INDEX(ERP資料!$G:$G, (MATCH(962, 輔助計算!$G$2:$G$801, 0)+1))&lt;=790,3,IF(INDEX(ERP資料!$G:$G, (MATCH(962, 輔助計算!$G$2:$G$801, 0)+1))&lt;=1181,2,1)))), "")&amp;IF(AND(IF(INT(INDEX(輔助計算!$D:$D, (MATCH(962, 輔助計算!$G$2:$G$801, 0)+1))/IF(INDEX(ERP資料!$G:$G, (MATCH(962, 輔助計算!$G$2:$G$801, 0)+1))&lt;100, IF(INDEX(ERP資料!$G:$G, (MATCH(962, 輔助計算!$G$2:$G$801, 0)+1))&lt;=31,3,IF(INDEX(ERP資料!$G:$G, (MATCH(962, 輔助計算!$G$2:$G$801, 0)+1))&lt;=46.5,2,1)), IF(INDEX(ERP資料!$G:$G, (MATCH(962, 輔助計算!$G$2:$G$801, 0)+1))&lt;=790,3,IF(INDEX(ERP資料!$G:$G, (MATCH(962, 輔助計算!$G$2:$G$801, 0)+1))&lt;=1181,2,1))))&gt;0, IF(IF(INDEX(ERP資料!$G:$G, (MATCH(962, 輔助計算!$G$2:$G$801, 0)+1))&lt;100, IF(INDEX(ERP資料!$G:$G, (MATCH(962, 輔助計算!$G$2:$G$801, 0)+1))&lt;=31,3,IF(INDEX(ERP資料!$G:$G, (MATCH(962, 輔助計算!$G$2:$G$801, 0)+1))&lt;=46.5,2,1)), IF(INDEX(ERP資料!$G:$G, (MATCH(962, 輔助計算!$G$2:$G$801, 0)+1))&lt;=790,3,IF(INDEX(ERP資料!$G:$G, (MATCH(962, 輔助計算!$G$2:$G$801, 0)+1))&lt;=1181,2,1)))=1,TEXT(INDEX(ERP資料!$G:$G, (MATCH(962, 輔助計算!$G$2:$G$801, 0)+1)),"0.##"),IF(IF(INDEX(ERP資料!$G:$G, (MATCH(962, 輔助計算!$G$2:$G$801, 0)+1))&lt;100, IF(INDEX(ERP資料!$G:$G, (MATCH(962, 輔助計算!$G$2:$G$801, 0)+1))&lt;=31,3,IF(INDEX(ERP資料!$G:$G, (MATCH(962, 輔助計算!$G$2:$G$801, 0)+1))&lt;=46.5,2,1)), IF(INDEX(ERP資料!$G:$G, (MATCH(962, 輔助計算!$G$2:$G$801, 0)+1))&lt;=790,3,IF(INDEX(ERP資料!$G:$G, (MATCH(962, 輔助計算!$G$2:$G$801, 0)+1))&lt;=1181,2,1)))=2,TEXT(INDEX(ERP資料!$G:$G, (MATCH(962, 輔助計算!$G$2:$G$801, 0)+1)),"0.##")&amp;"+"&amp;TEXT(INDEX(ERP資料!$G:$G, (MATCH(962, 輔助計算!$G$2:$G$801, 0)+1)),"0.##"),TEXT(INDEX(ERP資料!$G:$G, (MATCH(962, 輔助計算!$G$2:$G$801, 0)+1)),"0.##")&amp;"+"&amp;TEXT(INDEX(ERP資料!$G:$G, (MATCH(962, 輔助計算!$G$2:$G$801, 0)+1)),"0.##")&amp;"+"&amp;TEXT(INDEX(ERP資料!$G:$G, (MATCH(962, 輔助計算!$G$2:$G$801, 0)+1)),"0.##")))&amp;"-"&amp;INT(INDEX(輔助計算!$D:$D, (MATCH(962, 輔助計算!$G$2:$G$801, 0)+1))/IF(INDEX(ERP資料!$G:$G, (MATCH(962, 輔助計算!$G$2:$G$801, 0)+1))&lt;100, IF(INDEX(ERP資料!$G:$G, (MATCH(962, 輔助計算!$G$2:$G$801, 0)+1))&lt;=31,3,IF(INDEX(ERP資料!$G:$G, (MATCH(962, 輔助計算!$G$2:$G$801, 0)+1))&lt;=46.5,2,1)), IF(INDEX(ERP資料!$G:$G, (MATCH(962, 輔助計算!$G$2:$G$801, 0)+1))&lt;=790,3,IF(INDEX(ERP資料!$G:$G, (MATCH(962, 輔助計算!$G$2:$G$801, 0)+1))&lt;=1181,2,1)))), "")&lt;&gt;"",IF(MOD(INDEX(輔助計算!$D:$D, (MATCH(962, 輔助計算!$G$2:$G$801, 0)+1)),IF(INDEX(ERP資料!$G:$G, (MATCH(962, 輔助計算!$G$2:$G$801, 0)+1))&lt;100, IF(INDEX(ERP資料!$G:$G, (MATCH(962, 輔助計算!$G$2:$G$801, 0)+1))&lt;=31,3,IF(INDEX(ERP資料!$G:$G, (MATCH(962, 輔助計算!$G$2:$G$801, 0)+1))&lt;=46.5,2,1)), IF(INDEX(ERP資料!$G:$G, (MATCH(962, 輔助計算!$G$2:$G$801, 0)+1))&lt;=790,3,IF(INDEX(ERP資料!$G:$G, (MATCH(962, 輔助計算!$G$2:$G$801, 0)+1))&lt;=1181,2,1))))=0,"",IF(MOD(INDEX(輔助計算!$D:$D, (MATCH(962, 輔助計算!$G$2:$G$801, 0)+1)),IF(INDEX(ERP資料!$G:$G, (MATCH(962, 輔助計算!$G$2:$G$801, 0)+1))&lt;100, IF(INDEX(ERP資料!$G:$G, (MATCH(962, 輔助計算!$G$2:$G$801, 0)+1))&lt;=31,3,IF(INDEX(ERP資料!$G:$G, (MATCH(962, 輔助計算!$G$2:$G$801, 0)+1))&lt;=46.5,2,1)), IF(INDEX(ERP資料!$G:$G, (MATCH(962, 輔助計算!$G$2:$G$801, 0)+1))&lt;=790,3,IF(INDEX(ERP資料!$G:$G, (MATCH(962, 輔助計算!$G$2:$G$801, 0)+1))&lt;=1181,2,1))))=0,"",IF(MOD(INDEX(輔助計算!$D:$D, (MATCH(962, 輔助計算!$G$2:$G$801, 0)+1)),IF(INDEX(ERP資料!$G:$G, (MATCH(962, 輔助計算!$G$2:$G$801, 0)+1))&lt;100, IF(INDEX(ERP資料!$G:$G, (MATCH(962, 輔助計算!$G$2:$G$801, 0)+1))&lt;=31,3,IF(INDEX(ERP資料!$G:$G, (MATCH(962, 輔助計算!$G$2:$G$801, 0)+1))&lt;=46.5,2,1)), IF(INDEX(ERP資料!$G:$G, (MATCH(962, 輔助計算!$G$2:$G$801, 0)+1))&lt;=790,3,IF(INDEX(ERP資料!$G:$G, (MATCH(962, 輔助計算!$G$2:$G$801, 0)+1))&lt;=1181,2,1))))=1,TEXT(INDEX(ERP資料!$G:$G, (MATCH(962, 輔助計算!$G$2:$G$801, 0)+1)),"0.##"),IF(MOD(INDEX(輔助計算!$D:$D, (MATCH(962, 輔助計算!$G$2:$G$801, 0)+1)),IF(INDEX(ERP資料!$G:$G, (MATCH(962, 輔助計算!$G$2:$G$801, 0)+1))&lt;100, IF(INDEX(ERP資料!$G:$G, (MATCH(962, 輔助計算!$G$2:$G$801, 0)+1))&lt;=31,3,IF(INDEX(ERP資料!$G:$G, (MATCH(962, 輔助計算!$G$2:$G$801, 0)+1))&lt;=46.5,2,1)), IF(INDEX(ERP資料!$G:$G, (MATCH(962, 輔助計算!$G$2:$G$801, 0)+1))&lt;=790,3,IF(INDEX(ERP資料!$G:$G, (MATCH(962, 輔助計算!$G$2:$G$801, 0)+1))&lt;=1181,2,1))))=2,TEXT(INDEX(ERP資料!$G:$G, (MATCH(962, 輔助計算!$G$2:$G$801, 0)+1)),"0.##")&amp;"+"&amp;TEXT(INDEX(ERP資料!$G:$G, (MATCH(962, 輔助計算!$G$2:$G$801, 0)+1)),"0.##"),TEXT(INDEX(ERP資料!$G:$G, (MATCH(962, 輔助計算!$G$2:$G$801, 0)+1)),"0.##")&amp;"+"&amp;TEXT(INDEX(ERP資料!$G:$G, (MATCH(962, 輔助計算!$G$2:$G$801, 0)+1)),"0.##")&amp;"+"&amp;TEXT(INDEX(ERP資料!$G:$G, (MATCH(962, 輔助計算!$G$2:$G$801, 0)+1)),"0.##"))))&amp;"-1")&lt;&gt;""),"  ","")&amp;IF(MOD(INDEX(輔助計算!$D:$D, (MATCH(962, 輔助計算!$G$2:$G$801, 0)+1)),IF(INDEX(ERP資料!$G:$G, (MATCH(962, 輔助計算!$G$2:$G$801, 0)+1))&lt;100, IF(INDEX(ERP資料!$G:$G, (MATCH(962, 輔助計算!$G$2:$G$801, 0)+1))&lt;=31,3,IF(INDEX(ERP資料!$G:$G, (MATCH(962, 輔助計算!$G$2:$G$801, 0)+1))&lt;=46.5,2,1)), IF(INDEX(ERP資料!$G:$G, (MATCH(962, 輔助計算!$G$2:$G$801, 0)+1))&lt;=790,3,IF(INDEX(ERP資料!$G:$G, (MATCH(962, 輔助計算!$G$2:$G$801, 0)+1))&lt;=1181,2,1))))=0,"",IF(MOD(INDEX(輔助計算!$D:$D, (MATCH(962, 輔助計算!$G$2:$G$801, 0)+1)),IF(INDEX(ERP資料!$G:$G, (MATCH(962, 輔助計算!$G$2:$G$801, 0)+1))&lt;100, IF(INDEX(ERP資料!$G:$G, (MATCH(962, 輔助計算!$G$2:$G$801, 0)+1))&lt;=31,3,IF(INDEX(ERP資料!$G:$G, (MATCH(962, 輔助計算!$G$2:$G$801, 0)+1))&lt;=46.5,2,1)), IF(INDEX(ERP資料!$G:$G, (MATCH(962, 輔助計算!$G$2:$G$801, 0)+1))&lt;=790,3,IF(INDEX(ERP資料!$G:$G, (MATCH(962, 輔助計算!$G$2:$G$801, 0)+1))&lt;=1181,2,1))))=0,"",IF(MOD(INDEX(輔助計算!$D:$D, (MATCH(962, 輔助計算!$G$2:$G$801, 0)+1)),IF(INDEX(ERP資料!$G:$G, (MATCH(962, 輔助計算!$G$2:$G$801, 0)+1))&lt;100, IF(INDEX(ERP資料!$G:$G, (MATCH(962, 輔助計算!$G$2:$G$801, 0)+1))&lt;=31,3,IF(INDEX(ERP資料!$G:$G, (MATCH(962, 輔助計算!$G$2:$G$801, 0)+1))&lt;=46.5,2,1)), IF(INDEX(ERP資料!$G:$G, (MATCH(962, 輔助計算!$G$2:$G$801, 0)+1))&lt;=790,3,IF(INDEX(ERP資料!$G:$G, (MATCH(962, 輔助計算!$G$2:$G$801, 0)+1))&lt;=1181,2,1))))=1,TEXT(INDEX(ERP資料!$G:$G, (MATCH(962, 輔助計算!$G$2:$G$801, 0)+1)),"0.##"),IF(MOD(INDEX(輔助計算!$D:$D, (MATCH(962, 輔助計算!$G$2:$G$801, 0)+1)),IF(INDEX(ERP資料!$G:$G, (MATCH(962, 輔助計算!$G$2:$G$801, 0)+1))&lt;100, IF(INDEX(ERP資料!$G:$G, (MATCH(962, 輔助計算!$G$2:$G$801, 0)+1))&lt;=31,3,IF(INDEX(ERP資料!$G:$G, (MATCH(962, 輔助計算!$G$2:$G$801, 0)+1))&lt;=46.5,2,1)), IF(INDEX(ERP資料!$G:$G, (MATCH(962, 輔助計算!$G$2:$G$801, 0)+1))&lt;=790,3,IF(INDEX(ERP資料!$G:$G, (MATCH(962, 輔助計算!$G$2:$G$801, 0)+1))&lt;=1181,2,1))))=2,TEXT(INDEX(ERP資料!$G:$G, (MATCH(962, 輔助計算!$G$2:$G$801, 0)+1)),"0.##")&amp;"+"&amp;TEXT(INDEX(ERP資料!$G:$G, (MATCH(962, 輔助計算!$G$2:$G$801, 0)+1)),"0.##"),TEXT(INDEX(ERP資料!$G:$G, (MATCH(962, 輔助計算!$G$2:$G$801, 0)+1)),"0.##")&amp;"+"&amp;TEXT(INDEX(ERP資料!$G:$G, (MATCH(962, 輔助計算!$G$2:$G$801, 0)+1)),"0.##")&amp;"+"&amp;TEXT(INDEX(ERP資料!$G:$G, (MATCH(962, 輔助計算!$G$2:$G$801, 0)+1)),"0.##"))))&amp;"-1")), ""), "")</f>
        <v/>
      </c>
      <c r="K963" s="16" t="n"/>
      <c r="L963" s="14">
        <f>IFERROR(IF(AND(IFERROR(INDEX(ERP資料!$A:$A, (MATCH(962, 輔助計算!$G$2:$G$801, 0)+1)), "")&lt;&gt;"", IFERROR(INDEX(ERP資料!$A:$A, (MATCH(962, 輔助計算!$G$2:$G$801, 0)+1)), "")&lt;&gt;IFERROR(INDEX(ERP資料!$A:$A, MATCH(961, 輔助計算!$G$2:$G$801, 0)+1), "")), INDEX(ERP資料!$B:$B, (MATCH(962, 輔助計算!$G$2:$G$801, 0)+1)), ""), "")</f>
        <v/>
      </c>
      <c r="M963" s="17" t="n"/>
    </row>
    <row r="964">
      <c r="A964" s="10">
        <f>IFERROR(IF(AND(IFERROR(INDEX(ERP資料!$A:$A, (MATCH(963, 輔助計算!$G$2:$G$801, 0)+1)), "")&lt;&gt;"", IFERROR(INDEX(ERP資料!$A:$A, (MATCH(963, 輔助計算!$G$2:$G$801, 0)+1)), "")&lt;&gt;IFERROR(INDEX(ERP資料!$A:$A, MATCH(962, 輔助計算!$G$2:$G$801, 0)+1), "")), IFERROR(INDEX(ERP資料!$A:$A, (MATCH(963, 輔助計算!$G$2:$G$801, 0)+1)), ""), ""), "")</f>
        <v/>
      </c>
      <c r="B964" s="10">
        <f>IFERROR(IF(AND(IFERROR(INDEX(ERP資料!$A:$A, (MATCH(963, 輔助計算!$G$2:$G$801, 0)+1)), "")&lt;&gt;"", IFERROR(INDEX(ERP資料!$A:$A, (MATCH(963, 輔助計算!$G$2:$G$801, 0)+1)), "")&lt;&gt;IFERROR(INDEX(ERP資料!$A:$A, MATCH(962, 輔助計算!$G$2:$G$801, 0)+1), "")), INDEX(ERP資料!$S:$S, (MATCH(963, 輔助計算!$G$2:$G$801, 0)+1)), ""), "")</f>
        <v/>
      </c>
      <c r="C964" s="19">
        <f>IFERROR(IF(AND(IFERROR(INDEX(ERP資料!$A:$A, (MATCH(963, 輔助計算!$G$2:$G$801, 0)+1)), "")&lt;&gt;"", IFERROR(INDEX(ERP資料!$A:$A, (MATCH(963, 輔助計算!$G$2:$G$801, 0)+1)), "")&lt;&gt;IFERROR(INDEX(ERP資料!$A:$A, MATCH(962, 輔助計算!$G$2:$G$801, 0)+1), "")), IFERROR(VLOOKUP(LEFT(INDEX(ERP資料!$S:$S, (MATCH(963, 輔助計算!$G$2:$G$801, 0)+1)), 4), 紙管對照表!$A:$C, 3, FALSE), ""), ""), "")</f>
        <v/>
      </c>
      <c r="D964" s="16" t="n"/>
      <c r="E964" s="10">
        <f>IFERROR(IF(INDEX(ERP資料!$H:$H, (MATCH(963, 輔助計算!$G$2:$G$801, 0)+1))="","",INDEX(ERP資料!$H:$H, (MATCH(963, 輔助計算!$G$2:$G$801, 0)+1))), "")</f>
        <v/>
      </c>
      <c r="F964" s="10">
        <f>IFERROR(IF(INDEX(ERP資料!$E:$E, (MATCH(963, 輔助計算!$G$2:$G$801, 0)+1))="","",TRIM(INDEX(ERP資料!$E:$E, (MATCH(963, 輔助計算!$G$2:$G$801, 0)+1)))), "")</f>
        <v/>
      </c>
      <c r="G964" s="10">
        <f>IFERROR(IF(INDEX(ERP資料!$F:$F, (MATCH(963, 輔助計算!$G$2:$G$801, 0)+1))="","",INDEX(ERP資料!$F:$F, (MATCH(963, 輔助計算!$G$2:$G$801, 0)+1))), "")</f>
        <v/>
      </c>
      <c r="H964" s="10">
        <f>IFERROR(IF(INDEX(ERP資料!$G:$G, (MATCH(963, 輔助計算!$G$2:$G$801, 0)+1))="","",INDEX(ERP資料!$G:$G, (MATCH(963, 輔助計算!$G$2:$G$801, 0)+1))), "")</f>
        <v/>
      </c>
      <c r="I964" s="15">
        <f>IFERROR(INDEX(輔助計算!$D:$D, (MATCH(963, 輔助計算!$G$2:$G$801, 0)+1)), "")</f>
        <v/>
      </c>
      <c r="J964" s="15">
        <f>IFERROR(IF(AND(INDEX(輔助計算!$D:$D, (MATCH(963, 輔助計算!$G$2:$G$801, 0)+1))&lt;&gt;"", INDEX(ERP資料!$G:$G, (MATCH(963, 輔助計算!$G$2:$G$801, 0)+1))&lt;&gt;""), TRIM(IF(INT(INDEX(輔助計算!$D:$D, (MATCH(963, 輔助計算!$G$2:$G$801, 0)+1))/IF(INDEX(ERP資料!$G:$G, (MATCH(963, 輔助計算!$G$2:$G$801, 0)+1))&lt;100, IF(INDEX(ERP資料!$G:$G, (MATCH(963, 輔助計算!$G$2:$G$801, 0)+1))&lt;=31,3,IF(INDEX(ERP資料!$G:$G, (MATCH(963, 輔助計算!$G$2:$G$801, 0)+1))&lt;=46.5,2,1)), IF(INDEX(ERP資料!$G:$G, (MATCH(963, 輔助計算!$G$2:$G$801, 0)+1))&lt;=790,3,IF(INDEX(ERP資料!$G:$G, (MATCH(963, 輔助計算!$G$2:$G$801, 0)+1))&lt;=1181,2,1))))&gt;0, IF(IF(INDEX(ERP資料!$G:$G, (MATCH(963, 輔助計算!$G$2:$G$801, 0)+1))&lt;100, IF(INDEX(ERP資料!$G:$G, (MATCH(963, 輔助計算!$G$2:$G$801, 0)+1))&lt;=31,3,IF(INDEX(ERP資料!$G:$G, (MATCH(963, 輔助計算!$G$2:$G$801, 0)+1))&lt;=46.5,2,1)), IF(INDEX(ERP資料!$G:$G, (MATCH(963, 輔助計算!$G$2:$G$801, 0)+1))&lt;=790,3,IF(INDEX(ERP資料!$G:$G, (MATCH(963, 輔助計算!$G$2:$G$801, 0)+1))&lt;=1181,2,1)))=1,TEXT(INDEX(ERP資料!$G:$G, (MATCH(963, 輔助計算!$G$2:$G$801, 0)+1)),"0.##"),IF(IF(INDEX(ERP資料!$G:$G, (MATCH(963, 輔助計算!$G$2:$G$801, 0)+1))&lt;100, IF(INDEX(ERP資料!$G:$G, (MATCH(963, 輔助計算!$G$2:$G$801, 0)+1))&lt;=31,3,IF(INDEX(ERP資料!$G:$G, (MATCH(963, 輔助計算!$G$2:$G$801, 0)+1))&lt;=46.5,2,1)), IF(INDEX(ERP資料!$G:$G, (MATCH(963, 輔助計算!$G$2:$G$801, 0)+1))&lt;=790,3,IF(INDEX(ERP資料!$G:$G, (MATCH(963, 輔助計算!$G$2:$G$801, 0)+1))&lt;=1181,2,1)))=2,TEXT(INDEX(ERP資料!$G:$G, (MATCH(963, 輔助計算!$G$2:$G$801, 0)+1)),"0.##")&amp;"+"&amp;TEXT(INDEX(ERP資料!$G:$G, (MATCH(963, 輔助計算!$G$2:$G$801, 0)+1)),"0.##"),TEXT(INDEX(ERP資料!$G:$G, (MATCH(963, 輔助計算!$G$2:$G$801, 0)+1)),"0.##")&amp;"+"&amp;TEXT(INDEX(ERP資料!$G:$G, (MATCH(963, 輔助計算!$G$2:$G$801, 0)+1)),"0.##")&amp;"+"&amp;TEXT(INDEX(ERP資料!$G:$G, (MATCH(963, 輔助計算!$G$2:$G$801, 0)+1)),"0.##")))&amp;"-"&amp;INT(INDEX(輔助計算!$D:$D, (MATCH(963, 輔助計算!$G$2:$G$801, 0)+1))/IF(INDEX(ERP資料!$G:$G, (MATCH(963, 輔助計算!$G$2:$G$801, 0)+1))&lt;100, IF(INDEX(ERP資料!$G:$G, (MATCH(963, 輔助計算!$G$2:$G$801, 0)+1))&lt;=31,3,IF(INDEX(ERP資料!$G:$G, (MATCH(963, 輔助計算!$G$2:$G$801, 0)+1))&lt;=46.5,2,1)), IF(INDEX(ERP資料!$G:$G, (MATCH(963, 輔助計算!$G$2:$G$801, 0)+1))&lt;=790,3,IF(INDEX(ERP資料!$G:$G, (MATCH(963, 輔助計算!$G$2:$G$801, 0)+1))&lt;=1181,2,1)))), "")&amp;IF(AND(IF(INT(INDEX(輔助計算!$D:$D, (MATCH(963, 輔助計算!$G$2:$G$801, 0)+1))/IF(INDEX(ERP資料!$G:$G, (MATCH(963, 輔助計算!$G$2:$G$801, 0)+1))&lt;100, IF(INDEX(ERP資料!$G:$G, (MATCH(963, 輔助計算!$G$2:$G$801, 0)+1))&lt;=31,3,IF(INDEX(ERP資料!$G:$G, (MATCH(963, 輔助計算!$G$2:$G$801, 0)+1))&lt;=46.5,2,1)), IF(INDEX(ERP資料!$G:$G, (MATCH(963, 輔助計算!$G$2:$G$801, 0)+1))&lt;=790,3,IF(INDEX(ERP資料!$G:$G, (MATCH(963, 輔助計算!$G$2:$G$801, 0)+1))&lt;=1181,2,1))))&gt;0, IF(IF(INDEX(ERP資料!$G:$G, (MATCH(963, 輔助計算!$G$2:$G$801, 0)+1))&lt;100, IF(INDEX(ERP資料!$G:$G, (MATCH(963, 輔助計算!$G$2:$G$801, 0)+1))&lt;=31,3,IF(INDEX(ERP資料!$G:$G, (MATCH(963, 輔助計算!$G$2:$G$801, 0)+1))&lt;=46.5,2,1)), IF(INDEX(ERP資料!$G:$G, (MATCH(963, 輔助計算!$G$2:$G$801, 0)+1))&lt;=790,3,IF(INDEX(ERP資料!$G:$G, (MATCH(963, 輔助計算!$G$2:$G$801, 0)+1))&lt;=1181,2,1)))=1,TEXT(INDEX(ERP資料!$G:$G, (MATCH(963, 輔助計算!$G$2:$G$801, 0)+1)),"0.##"),IF(IF(INDEX(ERP資料!$G:$G, (MATCH(963, 輔助計算!$G$2:$G$801, 0)+1))&lt;100, IF(INDEX(ERP資料!$G:$G, (MATCH(963, 輔助計算!$G$2:$G$801, 0)+1))&lt;=31,3,IF(INDEX(ERP資料!$G:$G, (MATCH(963, 輔助計算!$G$2:$G$801, 0)+1))&lt;=46.5,2,1)), IF(INDEX(ERP資料!$G:$G, (MATCH(963, 輔助計算!$G$2:$G$801, 0)+1))&lt;=790,3,IF(INDEX(ERP資料!$G:$G, (MATCH(963, 輔助計算!$G$2:$G$801, 0)+1))&lt;=1181,2,1)))=2,TEXT(INDEX(ERP資料!$G:$G, (MATCH(963, 輔助計算!$G$2:$G$801, 0)+1)),"0.##")&amp;"+"&amp;TEXT(INDEX(ERP資料!$G:$G, (MATCH(963, 輔助計算!$G$2:$G$801, 0)+1)),"0.##"),TEXT(INDEX(ERP資料!$G:$G, (MATCH(963, 輔助計算!$G$2:$G$801, 0)+1)),"0.##")&amp;"+"&amp;TEXT(INDEX(ERP資料!$G:$G, (MATCH(963, 輔助計算!$G$2:$G$801, 0)+1)),"0.##")&amp;"+"&amp;TEXT(INDEX(ERP資料!$G:$G, (MATCH(963, 輔助計算!$G$2:$G$801, 0)+1)),"0.##")))&amp;"-"&amp;INT(INDEX(輔助計算!$D:$D, (MATCH(963, 輔助計算!$G$2:$G$801, 0)+1))/IF(INDEX(ERP資料!$G:$G, (MATCH(963, 輔助計算!$G$2:$G$801, 0)+1))&lt;100, IF(INDEX(ERP資料!$G:$G, (MATCH(963, 輔助計算!$G$2:$G$801, 0)+1))&lt;=31,3,IF(INDEX(ERP資料!$G:$G, (MATCH(963, 輔助計算!$G$2:$G$801, 0)+1))&lt;=46.5,2,1)), IF(INDEX(ERP資料!$G:$G, (MATCH(963, 輔助計算!$G$2:$G$801, 0)+1))&lt;=790,3,IF(INDEX(ERP資料!$G:$G, (MATCH(963, 輔助計算!$G$2:$G$801, 0)+1))&lt;=1181,2,1)))), "")&lt;&gt;"",IF(MOD(INDEX(輔助計算!$D:$D, (MATCH(963, 輔助計算!$G$2:$G$801, 0)+1)),IF(INDEX(ERP資料!$G:$G, (MATCH(963, 輔助計算!$G$2:$G$801, 0)+1))&lt;100, IF(INDEX(ERP資料!$G:$G, (MATCH(963, 輔助計算!$G$2:$G$801, 0)+1))&lt;=31,3,IF(INDEX(ERP資料!$G:$G, (MATCH(963, 輔助計算!$G$2:$G$801, 0)+1))&lt;=46.5,2,1)), IF(INDEX(ERP資料!$G:$G, (MATCH(963, 輔助計算!$G$2:$G$801, 0)+1))&lt;=790,3,IF(INDEX(ERP資料!$G:$G, (MATCH(963, 輔助計算!$G$2:$G$801, 0)+1))&lt;=1181,2,1))))=0,"",IF(MOD(INDEX(輔助計算!$D:$D, (MATCH(963, 輔助計算!$G$2:$G$801, 0)+1)),IF(INDEX(ERP資料!$G:$G, (MATCH(963, 輔助計算!$G$2:$G$801, 0)+1))&lt;100, IF(INDEX(ERP資料!$G:$G, (MATCH(963, 輔助計算!$G$2:$G$801, 0)+1))&lt;=31,3,IF(INDEX(ERP資料!$G:$G, (MATCH(963, 輔助計算!$G$2:$G$801, 0)+1))&lt;=46.5,2,1)), IF(INDEX(ERP資料!$G:$G, (MATCH(963, 輔助計算!$G$2:$G$801, 0)+1))&lt;=790,3,IF(INDEX(ERP資料!$G:$G, (MATCH(963, 輔助計算!$G$2:$G$801, 0)+1))&lt;=1181,2,1))))=0,"",IF(MOD(INDEX(輔助計算!$D:$D, (MATCH(963, 輔助計算!$G$2:$G$801, 0)+1)),IF(INDEX(ERP資料!$G:$G, (MATCH(963, 輔助計算!$G$2:$G$801, 0)+1))&lt;100, IF(INDEX(ERP資料!$G:$G, (MATCH(963, 輔助計算!$G$2:$G$801, 0)+1))&lt;=31,3,IF(INDEX(ERP資料!$G:$G, (MATCH(963, 輔助計算!$G$2:$G$801, 0)+1))&lt;=46.5,2,1)), IF(INDEX(ERP資料!$G:$G, (MATCH(963, 輔助計算!$G$2:$G$801, 0)+1))&lt;=790,3,IF(INDEX(ERP資料!$G:$G, (MATCH(963, 輔助計算!$G$2:$G$801, 0)+1))&lt;=1181,2,1))))=1,TEXT(INDEX(ERP資料!$G:$G, (MATCH(963, 輔助計算!$G$2:$G$801, 0)+1)),"0.##"),IF(MOD(INDEX(輔助計算!$D:$D, (MATCH(963, 輔助計算!$G$2:$G$801, 0)+1)),IF(INDEX(ERP資料!$G:$G, (MATCH(963, 輔助計算!$G$2:$G$801, 0)+1))&lt;100, IF(INDEX(ERP資料!$G:$G, (MATCH(963, 輔助計算!$G$2:$G$801, 0)+1))&lt;=31,3,IF(INDEX(ERP資料!$G:$G, (MATCH(963, 輔助計算!$G$2:$G$801, 0)+1))&lt;=46.5,2,1)), IF(INDEX(ERP資料!$G:$G, (MATCH(963, 輔助計算!$G$2:$G$801, 0)+1))&lt;=790,3,IF(INDEX(ERP資料!$G:$G, (MATCH(963, 輔助計算!$G$2:$G$801, 0)+1))&lt;=1181,2,1))))=2,TEXT(INDEX(ERP資料!$G:$G, (MATCH(963, 輔助計算!$G$2:$G$801, 0)+1)),"0.##")&amp;"+"&amp;TEXT(INDEX(ERP資料!$G:$G, (MATCH(963, 輔助計算!$G$2:$G$801, 0)+1)),"0.##"),TEXT(INDEX(ERP資料!$G:$G, (MATCH(963, 輔助計算!$G$2:$G$801, 0)+1)),"0.##")&amp;"+"&amp;TEXT(INDEX(ERP資料!$G:$G, (MATCH(963, 輔助計算!$G$2:$G$801, 0)+1)),"0.##")&amp;"+"&amp;TEXT(INDEX(ERP資料!$G:$G, (MATCH(963, 輔助計算!$G$2:$G$801, 0)+1)),"0.##"))))&amp;"-1")&lt;&gt;""),"  ","")&amp;IF(MOD(INDEX(輔助計算!$D:$D, (MATCH(963, 輔助計算!$G$2:$G$801, 0)+1)),IF(INDEX(ERP資料!$G:$G, (MATCH(963, 輔助計算!$G$2:$G$801, 0)+1))&lt;100, IF(INDEX(ERP資料!$G:$G, (MATCH(963, 輔助計算!$G$2:$G$801, 0)+1))&lt;=31,3,IF(INDEX(ERP資料!$G:$G, (MATCH(963, 輔助計算!$G$2:$G$801, 0)+1))&lt;=46.5,2,1)), IF(INDEX(ERP資料!$G:$G, (MATCH(963, 輔助計算!$G$2:$G$801, 0)+1))&lt;=790,3,IF(INDEX(ERP資料!$G:$G, (MATCH(963, 輔助計算!$G$2:$G$801, 0)+1))&lt;=1181,2,1))))=0,"",IF(MOD(INDEX(輔助計算!$D:$D, (MATCH(963, 輔助計算!$G$2:$G$801, 0)+1)),IF(INDEX(ERP資料!$G:$G, (MATCH(963, 輔助計算!$G$2:$G$801, 0)+1))&lt;100, IF(INDEX(ERP資料!$G:$G, (MATCH(963, 輔助計算!$G$2:$G$801, 0)+1))&lt;=31,3,IF(INDEX(ERP資料!$G:$G, (MATCH(963, 輔助計算!$G$2:$G$801, 0)+1))&lt;=46.5,2,1)), IF(INDEX(ERP資料!$G:$G, (MATCH(963, 輔助計算!$G$2:$G$801, 0)+1))&lt;=790,3,IF(INDEX(ERP資料!$G:$G, (MATCH(963, 輔助計算!$G$2:$G$801, 0)+1))&lt;=1181,2,1))))=0,"",IF(MOD(INDEX(輔助計算!$D:$D, (MATCH(963, 輔助計算!$G$2:$G$801, 0)+1)),IF(INDEX(ERP資料!$G:$G, (MATCH(963, 輔助計算!$G$2:$G$801, 0)+1))&lt;100, IF(INDEX(ERP資料!$G:$G, (MATCH(963, 輔助計算!$G$2:$G$801, 0)+1))&lt;=31,3,IF(INDEX(ERP資料!$G:$G, (MATCH(963, 輔助計算!$G$2:$G$801, 0)+1))&lt;=46.5,2,1)), IF(INDEX(ERP資料!$G:$G, (MATCH(963, 輔助計算!$G$2:$G$801, 0)+1))&lt;=790,3,IF(INDEX(ERP資料!$G:$G, (MATCH(963, 輔助計算!$G$2:$G$801, 0)+1))&lt;=1181,2,1))))=1,TEXT(INDEX(ERP資料!$G:$G, (MATCH(963, 輔助計算!$G$2:$G$801, 0)+1)),"0.##"),IF(MOD(INDEX(輔助計算!$D:$D, (MATCH(963, 輔助計算!$G$2:$G$801, 0)+1)),IF(INDEX(ERP資料!$G:$G, (MATCH(963, 輔助計算!$G$2:$G$801, 0)+1))&lt;100, IF(INDEX(ERP資料!$G:$G, (MATCH(963, 輔助計算!$G$2:$G$801, 0)+1))&lt;=31,3,IF(INDEX(ERP資料!$G:$G, (MATCH(963, 輔助計算!$G$2:$G$801, 0)+1))&lt;=46.5,2,1)), IF(INDEX(ERP資料!$G:$G, (MATCH(963, 輔助計算!$G$2:$G$801, 0)+1))&lt;=790,3,IF(INDEX(ERP資料!$G:$G, (MATCH(963, 輔助計算!$G$2:$G$801, 0)+1))&lt;=1181,2,1))))=2,TEXT(INDEX(ERP資料!$G:$G, (MATCH(963, 輔助計算!$G$2:$G$801, 0)+1)),"0.##")&amp;"+"&amp;TEXT(INDEX(ERP資料!$G:$G, (MATCH(963, 輔助計算!$G$2:$G$801, 0)+1)),"0.##"),TEXT(INDEX(ERP資料!$G:$G, (MATCH(963, 輔助計算!$G$2:$G$801, 0)+1)),"0.##")&amp;"+"&amp;TEXT(INDEX(ERP資料!$G:$G, (MATCH(963, 輔助計算!$G$2:$G$801, 0)+1)),"0.##")&amp;"+"&amp;TEXT(INDEX(ERP資料!$G:$G, (MATCH(963, 輔助計算!$G$2:$G$801, 0)+1)),"0.##"))))&amp;"-1")), ""), "")</f>
        <v/>
      </c>
      <c r="K964" s="16" t="n"/>
      <c r="L964" s="14">
        <f>IFERROR(IF(AND(IFERROR(INDEX(ERP資料!$A:$A, (MATCH(963, 輔助計算!$G$2:$G$801, 0)+1)), "")&lt;&gt;"", IFERROR(INDEX(ERP資料!$A:$A, (MATCH(963, 輔助計算!$G$2:$G$801, 0)+1)), "")&lt;&gt;IFERROR(INDEX(ERP資料!$A:$A, MATCH(962, 輔助計算!$G$2:$G$801, 0)+1), "")), INDEX(ERP資料!$B:$B, (MATCH(963, 輔助計算!$G$2:$G$801, 0)+1)), ""), "")</f>
        <v/>
      </c>
      <c r="M964" s="17" t="n"/>
    </row>
    <row r="965">
      <c r="A965" s="10">
        <f>IFERROR(IF(AND(IFERROR(INDEX(ERP資料!$A:$A, (MATCH(964, 輔助計算!$G$2:$G$801, 0)+1)), "")&lt;&gt;"", IFERROR(INDEX(ERP資料!$A:$A, (MATCH(964, 輔助計算!$G$2:$G$801, 0)+1)), "")&lt;&gt;IFERROR(INDEX(ERP資料!$A:$A, MATCH(963, 輔助計算!$G$2:$G$801, 0)+1), "")), IFERROR(INDEX(ERP資料!$A:$A, (MATCH(964, 輔助計算!$G$2:$G$801, 0)+1)), ""), ""), "")</f>
        <v/>
      </c>
      <c r="B965" s="10">
        <f>IFERROR(IF(AND(IFERROR(INDEX(ERP資料!$A:$A, (MATCH(964, 輔助計算!$G$2:$G$801, 0)+1)), "")&lt;&gt;"", IFERROR(INDEX(ERP資料!$A:$A, (MATCH(964, 輔助計算!$G$2:$G$801, 0)+1)), "")&lt;&gt;IFERROR(INDEX(ERP資料!$A:$A, MATCH(963, 輔助計算!$G$2:$G$801, 0)+1), "")), INDEX(ERP資料!$S:$S, (MATCH(964, 輔助計算!$G$2:$G$801, 0)+1)), ""), "")</f>
        <v/>
      </c>
      <c r="C965" s="19">
        <f>IFERROR(IF(AND(IFERROR(INDEX(ERP資料!$A:$A, (MATCH(964, 輔助計算!$G$2:$G$801, 0)+1)), "")&lt;&gt;"", IFERROR(INDEX(ERP資料!$A:$A, (MATCH(964, 輔助計算!$G$2:$G$801, 0)+1)), "")&lt;&gt;IFERROR(INDEX(ERP資料!$A:$A, MATCH(963, 輔助計算!$G$2:$G$801, 0)+1), "")), IFERROR(VLOOKUP(LEFT(INDEX(ERP資料!$S:$S, (MATCH(964, 輔助計算!$G$2:$G$801, 0)+1)), 4), 紙管對照表!$A:$C, 3, FALSE), ""), ""), "")</f>
        <v/>
      </c>
      <c r="D965" s="16" t="n"/>
      <c r="E965" s="10">
        <f>IFERROR(IF(INDEX(ERP資料!$H:$H, (MATCH(964, 輔助計算!$G$2:$G$801, 0)+1))="","",INDEX(ERP資料!$H:$H, (MATCH(964, 輔助計算!$G$2:$G$801, 0)+1))), "")</f>
        <v/>
      </c>
      <c r="F965" s="10">
        <f>IFERROR(IF(INDEX(ERP資料!$E:$E, (MATCH(964, 輔助計算!$G$2:$G$801, 0)+1))="","",TRIM(INDEX(ERP資料!$E:$E, (MATCH(964, 輔助計算!$G$2:$G$801, 0)+1)))), "")</f>
        <v/>
      </c>
      <c r="G965" s="10">
        <f>IFERROR(IF(INDEX(ERP資料!$F:$F, (MATCH(964, 輔助計算!$G$2:$G$801, 0)+1))="","",INDEX(ERP資料!$F:$F, (MATCH(964, 輔助計算!$G$2:$G$801, 0)+1))), "")</f>
        <v/>
      </c>
      <c r="H965" s="10">
        <f>IFERROR(IF(INDEX(ERP資料!$G:$G, (MATCH(964, 輔助計算!$G$2:$G$801, 0)+1))="","",INDEX(ERP資料!$G:$G, (MATCH(964, 輔助計算!$G$2:$G$801, 0)+1))), "")</f>
        <v/>
      </c>
      <c r="I965" s="15">
        <f>IFERROR(INDEX(輔助計算!$D:$D, (MATCH(964, 輔助計算!$G$2:$G$801, 0)+1)), "")</f>
        <v/>
      </c>
      <c r="J965" s="15">
        <f>IFERROR(IF(AND(INDEX(輔助計算!$D:$D, (MATCH(964, 輔助計算!$G$2:$G$801, 0)+1))&lt;&gt;"", INDEX(ERP資料!$G:$G, (MATCH(964, 輔助計算!$G$2:$G$801, 0)+1))&lt;&gt;""), TRIM(IF(INT(INDEX(輔助計算!$D:$D, (MATCH(964, 輔助計算!$G$2:$G$801, 0)+1))/IF(INDEX(ERP資料!$G:$G, (MATCH(964, 輔助計算!$G$2:$G$801, 0)+1))&lt;100, IF(INDEX(ERP資料!$G:$G, (MATCH(964, 輔助計算!$G$2:$G$801, 0)+1))&lt;=31,3,IF(INDEX(ERP資料!$G:$G, (MATCH(964, 輔助計算!$G$2:$G$801, 0)+1))&lt;=46.5,2,1)), IF(INDEX(ERP資料!$G:$G, (MATCH(964, 輔助計算!$G$2:$G$801, 0)+1))&lt;=790,3,IF(INDEX(ERP資料!$G:$G, (MATCH(964, 輔助計算!$G$2:$G$801, 0)+1))&lt;=1181,2,1))))&gt;0, IF(IF(INDEX(ERP資料!$G:$G, (MATCH(964, 輔助計算!$G$2:$G$801, 0)+1))&lt;100, IF(INDEX(ERP資料!$G:$G, (MATCH(964, 輔助計算!$G$2:$G$801, 0)+1))&lt;=31,3,IF(INDEX(ERP資料!$G:$G, (MATCH(964, 輔助計算!$G$2:$G$801, 0)+1))&lt;=46.5,2,1)), IF(INDEX(ERP資料!$G:$G, (MATCH(964, 輔助計算!$G$2:$G$801, 0)+1))&lt;=790,3,IF(INDEX(ERP資料!$G:$G, (MATCH(964, 輔助計算!$G$2:$G$801, 0)+1))&lt;=1181,2,1)))=1,TEXT(INDEX(ERP資料!$G:$G, (MATCH(964, 輔助計算!$G$2:$G$801, 0)+1)),"0.##"),IF(IF(INDEX(ERP資料!$G:$G, (MATCH(964, 輔助計算!$G$2:$G$801, 0)+1))&lt;100, IF(INDEX(ERP資料!$G:$G, (MATCH(964, 輔助計算!$G$2:$G$801, 0)+1))&lt;=31,3,IF(INDEX(ERP資料!$G:$G, (MATCH(964, 輔助計算!$G$2:$G$801, 0)+1))&lt;=46.5,2,1)), IF(INDEX(ERP資料!$G:$G, (MATCH(964, 輔助計算!$G$2:$G$801, 0)+1))&lt;=790,3,IF(INDEX(ERP資料!$G:$G, (MATCH(964, 輔助計算!$G$2:$G$801, 0)+1))&lt;=1181,2,1)))=2,TEXT(INDEX(ERP資料!$G:$G, (MATCH(964, 輔助計算!$G$2:$G$801, 0)+1)),"0.##")&amp;"+"&amp;TEXT(INDEX(ERP資料!$G:$G, (MATCH(964, 輔助計算!$G$2:$G$801, 0)+1)),"0.##"),TEXT(INDEX(ERP資料!$G:$G, (MATCH(964, 輔助計算!$G$2:$G$801, 0)+1)),"0.##")&amp;"+"&amp;TEXT(INDEX(ERP資料!$G:$G, (MATCH(964, 輔助計算!$G$2:$G$801, 0)+1)),"0.##")&amp;"+"&amp;TEXT(INDEX(ERP資料!$G:$G, (MATCH(964, 輔助計算!$G$2:$G$801, 0)+1)),"0.##")))&amp;"-"&amp;INT(INDEX(輔助計算!$D:$D, (MATCH(964, 輔助計算!$G$2:$G$801, 0)+1))/IF(INDEX(ERP資料!$G:$G, (MATCH(964, 輔助計算!$G$2:$G$801, 0)+1))&lt;100, IF(INDEX(ERP資料!$G:$G, (MATCH(964, 輔助計算!$G$2:$G$801, 0)+1))&lt;=31,3,IF(INDEX(ERP資料!$G:$G, (MATCH(964, 輔助計算!$G$2:$G$801, 0)+1))&lt;=46.5,2,1)), IF(INDEX(ERP資料!$G:$G, (MATCH(964, 輔助計算!$G$2:$G$801, 0)+1))&lt;=790,3,IF(INDEX(ERP資料!$G:$G, (MATCH(964, 輔助計算!$G$2:$G$801, 0)+1))&lt;=1181,2,1)))), "")&amp;IF(AND(IF(INT(INDEX(輔助計算!$D:$D, (MATCH(964, 輔助計算!$G$2:$G$801, 0)+1))/IF(INDEX(ERP資料!$G:$G, (MATCH(964, 輔助計算!$G$2:$G$801, 0)+1))&lt;100, IF(INDEX(ERP資料!$G:$G, (MATCH(964, 輔助計算!$G$2:$G$801, 0)+1))&lt;=31,3,IF(INDEX(ERP資料!$G:$G, (MATCH(964, 輔助計算!$G$2:$G$801, 0)+1))&lt;=46.5,2,1)), IF(INDEX(ERP資料!$G:$G, (MATCH(964, 輔助計算!$G$2:$G$801, 0)+1))&lt;=790,3,IF(INDEX(ERP資料!$G:$G, (MATCH(964, 輔助計算!$G$2:$G$801, 0)+1))&lt;=1181,2,1))))&gt;0, IF(IF(INDEX(ERP資料!$G:$G, (MATCH(964, 輔助計算!$G$2:$G$801, 0)+1))&lt;100, IF(INDEX(ERP資料!$G:$G, (MATCH(964, 輔助計算!$G$2:$G$801, 0)+1))&lt;=31,3,IF(INDEX(ERP資料!$G:$G, (MATCH(964, 輔助計算!$G$2:$G$801, 0)+1))&lt;=46.5,2,1)), IF(INDEX(ERP資料!$G:$G, (MATCH(964, 輔助計算!$G$2:$G$801, 0)+1))&lt;=790,3,IF(INDEX(ERP資料!$G:$G, (MATCH(964, 輔助計算!$G$2:$G$801, 0)+1))&lt;=1181,2,1)))=1,TEXT(INDEX(ERP資料!$G:$G, (MATCH(964, 輔助計算!$G$2:$G$801, 0)+1)),"0.##"),IF(IF(INDEX(ERP資料!$G:$G, (MATCH(964, 輔助計算!$G$2:$G$801, 0)+1))&lt;100, IF(INDEX(ERP資料!$G:$G, (MATCH(964, 輔助計算!$G$2:$G$801, 0)+1))&lt;=31,3,IF(INDEX(ERP資料!$G:$G, (MATCH(964, 輔助計算!$G$2:$G$801, 0)+1))&lt;=46.5,2,1)), IF(INDEX(ERP資料!$G:$G, (MATCH(964, 輔助計算!$G$2:$G$801, 0)+1))&lt;=790,3,IF(INDEX(ERP資料!$G:$G, (MATCH(964, 輔助計算!$G$2:$G$801, 0)+1))&lt;=1181,2,1)))=2,TEXT(INDEX(ERP資料!$G:$G, (MATCH(964, 輔助計算!$G$2:$G$801, 0)+1)),"0.##")&amp;"+"&amp;TEXT(INDEX(ERP資料!$G:$G, (MATCH(964, 輔助計算!$G$2:$G$801, 0)+1)),"0.##"),TEXT(INDEX(ERP資料!$G:$G, (MATCH(964, 輔助計算!$G$2:$G$801, 0)+1)),"0.##")&amp;"+"&amp;TEXT(INDEX(ERP資料!$G:$G, (MATCH(964, 輔助計算!$G$2:$G$801, 0)+1)),"0.##")&amp;"+"&amp;TEXT(INDEX(ERP資料!$G:$G, (MATCH(964, 輔助計算!$G$2:$G$801, 0)+1)),"0.##")))&amp;"-"&amp;INT(INDEX(輔助計算!$D:$D, (MATCH(964, 輔助計算!$G$2:$G$801, 0)+1))/IF(INDEX(ERP資料!$G:$G, (MATCH(964, 輔助計算!$G$2:$G$801, 0)+1))&lt;100, IF(INDEX(ERP資料!$G:$G, (MATCH(964, 輔助計算!$G$2:$G$801, 0)+1))&lt;=31,3,IF(INDEX(ERP資料!$G:$G, (MATCH(964, 輔助計算!$G$2:$G$801, 0)+1))&lt;=46.5,2,1)), IF(INDEX(ERP資料!$G:$G, (MATCH(964, 輔助計算!$G$2:$G$801, 0)+1))&lt;=790,3,IF(INDEX(ERP資料!$G:$G, (MATCH(964, 輔助計算!$G$2:$G$801, 0)+1))&lt;=1181,2,1)))), "")&lt;&gt;"",IF(MOD(INDEX(輔助計算!$D:$D, (MATCH(964, 輔助計算!$G$2:$G$801, 0)+1)),IF(INDEX(ERP資料!$G:$G, (MATCH(964, 輔助計算!$G$2:$G$801, 0)+1))&lt;100, IF(INDEX(ERP資料!$G:$G, (MATCH(964, 輔助計算!$G$2:$G$801, 0)+1))&lt;=31,3,IF(INDEX(ERP資料!$G:$G, (MATCH(964, 輔助計算!$G$2:$G$801, 0)+1))&lt;=46.5,2,1)), IF(INDEX(ERP資料!$G:$G, (MATCH(964, 輔助計算!$G$2:$G$801, 0)+1))&lt;=790,3,IF(INDEX(ERP資料!$G:$G, (MATCH(964, 輔助計算!$G$2:$G$801, 0)+1))&lt;=1181,2,1))))=0,"",IF(MOD(INDEX(輔助計算!$D:$D, (MATCH(964, 輔助計算!$G$2:$G$801, 0)+1)),IF(INDEX(ERP資料!$G:$G, (MATCH(964, 輔助計算!$G$2:$G$801, 0)+1))&lt;100, IF(INDEX(ERP資料!$G:$G, (MATCH(964, 輔助計算!$G$2:$G$801, 0)+1))&lt;=31,3,IF(INDEX(ERP資料!$G:$G, (MATCH(964, 輔助計算!$G$2:$G$801, 0)+1))&lt;=46.5,2,1)), IF(INDEX(ERP資料!$G:$G, (MATCH(964, 輔助計算!$G$2:$G$801, 0)+1))&lt;=790,3,IF(INDEX(ERP資料!$G:$G, (MATCH(964, 輔助計算!$G$2:$G$801, 0)+1))&lt;=1181,2,1))))=0,"",IF(MOD(INDEX(輔助計算!$D:$D, (MATCH(964, 輔助計算!$G$2:$G$801, 0)+1)),IF(INDEX(ERP資料!$G:$G, (MATCH(964, 輔助計算!$G$2:$G$801, 0)+1))&lt;100, IF(INDEX(ERP資料!$G:$G, (MATCH(964, 輔助計算!$G$2:$G$801, 0)+1))&lt;=31,3,IF(INDEX(ERP資料!$G:$G, (MATCH(964, 輔助計算!$G$2:$G$801, 0)+1))&lt;=46.5,2,1)), IF(INDEX(ERP資料!$G:$G, (MATCH(964, 輔助計算!$G$2:$G$801, 0)+1))&lt;=790,3,IF(INDEX(ERP資料!$G:$G, (MATCH(964, 輔助計算!$G$2:$G$801, 0)+1))&lt;=1181,2,1))))=1,TEXT(INDEX(ERP資料!$G:$G, (MATCH(964, 輔助計算!$G$2:$G$801, 0)+1)),"0.##"),IF(MOD(INDEX(輔助計算!$D:$D, (MATCH(964, 輔助計算!$G$2:$G$801, 0)+1)),IF(INDEX(ERP資料!$G:$G, (MATCH(964, 輔助計算!$G$2:$G$801, 0)+1))&lt;100, IF(INDEX(ERP資料!$G:$G, (MATCH(964, 輔助計算!$G$2:$G$801, 0)+1))&lt;=31,3,IF(INDEX(ERP資料!$G:$G, (MATCH(964, 輔助計算!$G$2:$G$801, 0)+1))&lt;=46.5,2,1)), IF(INDEX(ERP資料!$G:$G, (MATCH(964, 輔助計算!$G$2:$G$801, 0)+1))&lt;=790,3,IF(INDEX(ERP資料!$G:$G, (MATCH(964, 輔助計算!$G$2:$G$801, 0)+1))&lt;=1181,2,1))))=2,TEXT(INDEX(ERP資料!$G:$G, (MATCH(964, 輔助計算!$G$2:$G$801, 0)+1)),"0.##")&amp;"+"&amp;TEXT(INDEX(ERP資料!$G:$G, (MATCH(964, 輔助計算!$G$2:$G$801, 0)+1)),"0.##"),TEXT(INDEX(ERP資料!$G:$G, (MATCH(964, 輔助計算!$G$2:$G$801, 0)+1)),"0.##")&amp;"+"&amp;TEXT(INDEX(ERP資料!$G:$G, (MATCH(964, 輔助計算!$G$2:$G$801, 0)+1)),"0.##")&amp;"+"&amp;TEXT(INDEX(ERP資料!$G:$G, (MATCH(964, 輔助計算!$G$2:$G$801, 0)+1)),"0.##"))))&amp;"-1")&lt;&gt;""),"  ","")&amp;IF(MOD(INDEX(輔助計算!$D:$D, (MATCH(964, 輔助計算!$G$2:$G$801, 0)+1)),IF(INDEX(ERP資料!$G:$G, (MATCH(964, 輔助計算!$G$2:$G$801, 0)+1))&lt;100, IF(INDEX(ERP資料!$G:$G, (MATCH(964, 輔助計算!$G$2:$G$801, 0)+1))&lt;=31,3,IF(INDEX(ERP資料!$G:$G, (MATCH(964, 輔助計算!$G$2:$G$801, 0)+1))&lt;=46.5,2,1)), IF(INDEX(ERP資料!$G:$G, (MATCH(964, 輔助計算!$G$2:$G$801, 0)+1))&lt;=790,3,IF(INDEX(ERP資料!$G:$G, (MATCH(964, 輔助計算!$G$2:$G$801, 0)+1))&lt;=1181,2,1))))=0,"",IF(MOD(INDEX(輔助計算!$D:$D, (MATCH(964, 輔助計算!$G$2:$G$801, 0)+1)),IF(INDEX(ERP資料!$G:$G, (MATCH(964, 輔助計算!$G$2:$G$801, 0)+1))&lt;100, IF(INDEX(ERP資料!$G:$G, (MATCH(964, 輔助計算!$G$2:$G$801, 0)+1))&lt;=31,3,IF(INDEX(ERP資料!$G:$G, (MATCH(964, 輔助計算!$G$2:$G$801, 0)+1))&lt;=46.5,2,1)), IF(INDEX(ERP資料!$G:$G, (MATCH(964, 輔助計算!$G$2:$G$801, 0)+1))&lt;=790,3,IF(INDEX(ERP資料!$G:$G, (MATCH(964, 輔助計算!$G$2:$G$801, 0)+1))&lt;=1181,2,1))))=0,"",IF(MOD(INDEX(輔助計算!$D:$D, (MATCH(964, 輔助計算!$G$2:$G$801, 0)+1)),IF(INDEX(ERP資料!$G:$G, (MATCH(964, 輔助計算!$G$2:$G$801, 0)+1))&lt;100, IF(INDEX(ERP資料!$G:$G, (MATCH(964, 輔助計算!$G$2:$G$801, 0)+1))&lt;=31,3,IF(INDEX(ERP資料!$G:$G, (MATCH(964, 輔助計算!$G$2:$G$801, 0)+1))&lt;=46.5,2,1)), IF(INDEX(ERP資料!$G:$G, (MATCH(964, 輔助計算!$G$2:$G$801, 0)+1))&lt;=790,3,IF(INDEX(ERP資料!$G:$G, (MATCH(964, 輔助計算!$G$2:$G$801, 0)+1))&lt;=1181,2,1))))=1,TEXT(INDEX(ERP資料!$G:$G, (MATCH(964, 輔助計算!$G$2:$G$801, 0)+1)),"0.##"),IF(MOD(INDEX(輔助計算!$D:$D, (MATCH(964, 輔助計算!$G$2:$G$801, 0)+1)),IF(INDEX(ERP資料!$G:$G, (MATCH(964, 輔助計算!$G$2:$G$801, 0)+1))&lt;100, IF(INDEX(ERP資料!$G:$G, (MATCH(964, 輔助計算!$G$2:$G$801, 0)+1))&lt;=31,3,IF(INDEX(ERP資料!$G:$G, (MATCH(964, 輔助計算!$G$2:$G$801, 0)+1))&lt;=46.5,2,1)), IF(INDEX(ERP資料!$G:$G, (MATCH(964, 輔助計算!$G$2:$G$801, 0)+1))&lt;=790,3,IF(INDEX(ERP資料!$G:$G, (MATCH(964, 輔助計算!$G$2:$G$801, 0)+1))&lt;=1181,2,1))))=2,TEXT(INDEX(ERP資料!$G:$G, (MATCH(964, 輔助計算!$G$2:$G$801, 0)+1)),"0.##")&amp;"+"&amp;TEXT(INDEX(ERP資料!$G:$G, (MATCH(964, 輔助計算!$G$2:$G$801, 0)+1)),"0.##"),TEXT(INDEX(ERP資料!$G:$G, (MATCH(964, 輔助計算!$G$2:$G$801, 0)+1)),"0.##")&amp;"+"&amp;TEXT(INDEX(ERP資料!$G:$G, (MATCH(964, 輔助計算!$G$2:$G$801, 0)+1)),"0.##")&amp;"+"&amp;TEXT(INDEX(ERP資料!$G:$G, (MATCH(964, 輔助計算!$G$2:$G$801, 0)+1)),"0.##"))))&amp;"-1")), ""), "")</f>
        <v/>
      </c>
      <c r="K965" s="16" t="n"/>
      <c r="L965" s="14">
        <f>IFERROR(IF(AND(IFERROR(INDEX(ERP資料!$A:$A, (MATCH(964, 輔助計算!$G$2:$G$801, 0)+1)), "")&lt;&gt;"", IFERROR(INDEX(ERP資料!$A:$A, (MATCH(964, 輔助計算!$G$2:$G$801, 0)+1)), "")&lt;&gt;IFERROR(INDEX(ERP資料!$A:$A, MATCH(963, 輔助計算!$G$2:$G$801, 0)+1), "")), INDEX(ERP資料!$B:$B, (MATCH(964, 輔助計算!$G$2:$G$801, 0)+1)), ""), "")</f>
        <v/>
      </c>
      <c r="M965" s="17" t="n"/>
    </row>
    <row r="966">
      <c r="A966" s="10">
        <f>IFERROR(IF(AND(IFERROR(INDEX(ERP資料!$A:$A, (MATCH(965, 輔助計算!$G$2:$G$801, 0)+1)), "")&lt;&gt;"", IFERROR(INDEX(ERP資料!$A:$A, (MATCH(965, 輔助計算!$G$2:$G$801, 0)+1)), "")&lt;&gt;IFERROR(INDEX(ERP資料!$A:$A, MATCH(964, 輔助計算!$G$2:$G$801, 0)+1), "")), IFERROR(INDEX(ERP資料!$A:$A, (MATCH(965, 輔助計算!$G$2:$G$801, 0)+1)), ""), ""), "")</f>
        <v/>
      </c>
      <c r="B966" s="10">
        <f>IFERROR(IF(AND(IFERROR(INDEX(ERP資料!$A:$A, (MATCH(965, 輔助計算!$G$2:$G$801, 0)+1)), "")&lt;&gt;"", IFERROR(INDEX(ERP資料!$A:$A, (MATCH(965, 輔助計算!$G$2:$G$801, 0)+1)), "")&lt;&gt;IFERROR(INDEX(ERP資料!$A:$A, MATCH(964, 輔助計算!$G$2:$G$801, 0)+1), "")), INDEX(ERP資料!$S:$S, (MATCH(965, 輔助計算!$G$2:$G$801, 0)+1)), ""), "")</f>
        <v/>
      </c>
      <c r="C966" s="19">
        <f>IFERROR(IF(AND(IFERROR(INDEX(ERP資料!$A:$A, (MATCH(965, 輔助計算!$G$2:$G$801, 0)+1)), "")&lt;&gt;"", IFERROR(INDEX(ERP資料!$A:$A, (MATCH(965, 輔助計算!$G$2:$G$801, 0)+1)), "")&lt;&gt;IFERROR(INDEX(ERP資料!$A:$A, MATCH(964, 輔助計算!$G$2:$G$801, 0)+1), "")), IFERROR(VLOOKUP(LEFT(INDEX(ERP資料!$S:$S, (MATCH(965, 輔助計算!$G$2:$G$801, 0)+1)), 4), 紙管對照表!$A:$C, 3, FALSE), ""), ""), "")</f>
        <v/>
      </c>
      <c r="D966" s="16" t="n"/>
      <c r="E966" s="10">
        <f>IFERROR(IF(INDEX(ERP資料!$H:$H, (MATCH(965, 輔助計算!$G$2:$G$801, 0)+1))="","",INDEX(ERP資料!$H:$H, (MATCH(965, 輔助計算!$G$2:$G$801, 0)+1))), "")</f>
        <v/>
      </c>
      <c r="F966" s="10">
        <f>IFERROR(IF(INDEX(ERP資料!$E:$E, (MATCH(965, 輔助計算!$G$2:$G$801, 0)+1))="","",TRIM(INDEX(ERP資料!$E:$E, (MATCH(965, 輔助計算!$G$2:$G$801, 0)+1)))), "")</f>
        <v/>
      </c>
      <c r="G966" s="10">
        <f>IFERROR(IF(INDEX(ERP資料!$F:$F, (MATCH(965, 輔助計算!$G$2:$G$801, 0)+1))="","",INDEX(ERP資料!$F:$F, (MATCH(965, 輔助計算!$G$2:$G$801, 0)+1))), "")</f>
        <v/>
      </c>
      <c r="H966" s="10">
        <f>IFERROR(IF(INDEX(ERP資料!$G:$G, (MATCH(965, 輔助計算!$G$2:$G$801, 0)+1))="","",INDEX(ERP資料!$G:$G, (MATCH(965, 輔助計算!$G$2:$G$801, 0)+1))), "")</f>
        <v/>
      </c>
      <c r="I966" s="15">
        <f>IFERROR(INDEX(輔助計算!$D:$D, (MATCH(965, 輔助計算!$G$2:$G$801, 0)+1)), "")</f>
        <v/>
      </c>
      <c r="J966" s="15">
        <f>IFERROR(IF(AND(INDEX(輔助計算!$D:$D, (MATCH(965, 輔助計算!$G$2:$G$801, 0)+1))&lt;&gt;"", INDEX(ERP資料!$G:$G, (MATCH(965, 輔助計算!$G$2:$G$801, 0)+1))&lt;&gt;""), TRIM(IF(INT(INDEX(輔助計算!$D:$D, (MATCH(965, 輔助計算!$G$2:$G$801, 0)+1))/IF(INDEX(ERP資料!$G:$G, (MATCH(965, 輔助計算!$G$2:$G$801, 0)+1))&lt;100, IF(INDEX(ERP資料!$G:$G, (MATCH(965, 輔助計算!$G$2:$G$801, 0)+1))&lt;=31,3,IF(INDEX(ERP資料!$G:$G, (MATCH(965, 輔助計算!$G$2:$G$801, 0)+1))&lt;=46.5,2,1)), IF(INDEX(ERP資料!$G:$G, (MATCH(965, 輔助計算!$G$2:$G$801, 0)+1))&lt;=790,3,IF(INDEX(ERP資料!$G:$G, (MATCH(965, 輔助計算!$G$2:$G$801, 0)+1))&lt;=1181,2,1))))&gt;0, IF(IF(INDEX(ERP資料!$G:$G, (MATCH(965, 輔助計算!$G$2:$G$801, 0)+1))&lt;100, IF(INDEX(ERP資料!$G:$G, (MATCH(965, 輔助計算!$G$2:$G$801, 0)+1))&lt;=31,3,IF(INDEX(ERP資料!$G:$G, (MATCH(965, 輔助計算!$G$2:$G$801, 0)+1))&lt;=46.5,2,1)), IF(INDEX(ERP資料!$G:$G, (MATCH(965, 輔助計算!$G$2:$G$801, 0)+1))&lt;=790,3,IF(INDEX(ERP資料!$G:$G, (MATCH(965, 輔助計算!$G$2:$G$801, 0)+1))&lt;=1181,2,1)))=1,TEXT(INDEX(ERP資料!$G:$G, (MATCH(965, 輔助計算!$G$2:$G$801, 0)+1)),"0.##"),IF(IF(INDEX(ERP資料!$G:$G, (MATCH(965, 輔助計算!$G$2:$G$801, 0)+1))&lt;100, IF(INDEX(ERP資料!$G:$G, (MATCH(965, 輔助計算!$G$2:$G$801, 0)+1))&lt;=31,3,IF(INDEX(ERP資料!$G:$G, (MATCH(965, 輔助計算!$G$2:$G$801, 0)+1))&lt;=46.5,2,1)), IF(INDEX(ERP資料!$G:$G, (MATCH(965, 輔助計算!$G$2:$G$801, 0)+1))&lt;=790,3,IF(INDEX(ERP資料!$G:$G, (MATCH(965, 輔助計算!$G$2:$G$801, 0)+1))&lt;=1181,2,1)))=2,TEXT(INDEX(ERP資料!$G:$G, (MATCH(965, 輔助計算!$G$2:$G$801, 0)+1)),"0.##")&amp;"+"&amp;TEXT(INDEX(ERP資料!$G:$G, (MATCH(965, 輔助計算!$G$2:$G$801, 0)+1)),"0.##"),TEXT(INDEX(ERP資料!$G:$G, (MATCH(965, 輔助計算!$G$2:$G$801, 0)+1)),"0.##")&amp;"+"&amp;TEXT(INDEX(ERP資料!$G:$G, (MATCH(965, 輔助計算!$G$2:$G$801, 0)+1)),"0.##")&amp;"+"&amp;TEXT(INDEX(ERP資料!$G:$G, (MATCH(965, 輔助計算!$G$2:$G$801, 0)+1)),"0.##")))&amp;"-"&amp;INT(INDEX(輔助計算!$D:$D, (MATCH(965, 輔助計算!$G$2:$G$801, 0)+1))/IF(INDEX(ERP資料!$G:$G, (MATCH(965, 輔助計算!$G$2:$G$801, 0)+1))&lt;100, IF(INDEX(ERP資料!$G:$G, (MATCH(965, 輔助計算!$G$2:$G$801, 0)+1))&lt;=31,3,IF(INDEX(ERP資料!$G:$G, (MATCH(965, 輔助計算!$G$2:$G$801, 0)+1))&lt;=46.5,2,1)), IF(INDEX(ERP資料!$G:$G, (MATCH(965, 輔助計算!$G$2:$G$801, 0)+1))&lt;=790,3,IF(INDEX(ERP資料!$G:$G, (MATCH(965, 輔助計算!$G$2:$G$801, 0)+1))&lt;=1181,2,1)))), "")&amp;IF(AND(IF(INT(INDEX(輔助計算!$D:$D, (MATCH(965, 輔助計算!$G$2:$G$801, 0)+1))/IF(INDEX(ERP資料!$G:$G, (MATCH(965, 輔助計算!$G$2:$G$801, 0)+1))&lt;100, IF(INDEX(ERP資料!$G:$G, (MATCH(965, 輔助計算!$G$2:$G$801, 0)+1))&lt;=31,3,IF(INDEX(ERP資料!$G:$G, (MATCH(965, 輔助計算!$G$2:$G$801, 0)+1))&lt;=46.5,2,1)), IF(INDEX(ERP資料!$G:$G, (MATCH(965, 輔助計算!$G$2:$G$801, 0)+1))&lt;=790,3,IF(INDEX(ERP資料!$G:$G, (MATCH(965, 輔助計算!$G$2:$G$801, 0)+1))&lt;=1181,2,1))))&gt;0, IF(IF(INDEX(ERP資料!$G:$G, (MATCH(965, 輔助計算!$G$2:$G$801, 0)+1))&lt;100, IF(INDEX(ERP資料!$G:$G, (MATCH(965, 輔助計算!$G$2:$G$801, 0)+1))&lt;=31,3,IF(INDEX(ERP資料!$G:$G, (MATCH(965, 輔助計算!$G$2:$G$801, 0)+1))&lt;=46.5,2,1)), IF(INDEX(ERP資料!$G:$G, (MATCH(965, 輔助計算!$G$2:$G$801, 0)+1))&lt;=790,3,IF(INDEX(ERP資料!$G:$G, (MATCH(965, 輔助計算!$G$2:$G$801, 0)+1))&lt;=1181,2,1)))=1,TEXT(INDEX(ERP資料!$G:$G, (MATCH(965, 輔助計算!$G$2:$G$801, 0)+1)),"0.##"),IF(IF(INDEX(ERP資料!$G:$G, (MATCH(965, 輔助計算!$G$2:$G$801, 0)+1))&lt;100, IF(INDEX(ERP資料!$G:$G, (MATCH(965, 輔助計算!$G$2:$G$801, 0)+1))&lt;=31,3,IF(INDEX(ERP資料!$G:$G, (MATCH(965, 輔助計算!$G$2:$G$801, 0)+1))&lt;=46.5,2,1)), IF(INDEX(ERP資料!$G:$G, (MATCH(965, 輔助計算!$G$2:$G$801, 0)+1))&lt;=790,3,IF(INDEX(ERP資料!$G:$G, (MATCH(965, 輔助計算!$G$2:$G$801, 0)+1))&lt;=1181,2,1)))=2,TEXT(INDEX(ERP資料!$G:$G, (MATCH(965, 輔助計算!$G$2:$G$801, 0)+1)),"0.##")&amp;"+"&amp;TEXT(INDEX(ERP資料!$G:$G, (MATCH(965, 輔助計算!$G$2:$G$801, 0)+1)),"0.##"),TEXT(INDEX(ERP資料!$G:$G, (MATCH(965, 輔助計算!$G$2:$G$801, 0)+1)),"0.##")&amp;"+"&amp;TEXT(INDEX(ERP資料!$G:$G, (MATCH(965, 輔助計算!$G$2:$G$801, 0)+1)),"0.##")&amp;"+"&amp;TEXT(INDEX(ERP資料!$G:$G, (MATCH(965, 輔助計算!$G$2:$G$801, 0)+1)),"0.##")))&amp;"-"&amp;INT(INDEX(輔助計算!$D:$D, (MATCH(965, 輔助計算!$G$2:$G$801, 0)+1))/IF(INDEX(ERP資料!$G:$G, (MATCH(965, 輔助計算!$G$2:$G$801, 0)+1))&lt;100, IF(INDEX(ERP資料!$G:$G, (MATCH(965, 輔助計算!$G$2:$G$801, 0)+1))&lt;=31,3,IF(INDEX(ERP資料!$G:$G, (MATCH(965, 輔助計算!$G$2:$G$801, 0)+1))&lt;=46.5,2,1)), IF(INDEX(ERP資料!$G:$G, (MATCH(965, 輔助計算!$G$2:$G$801, 0)+1))&lt;=790,3,IF(INDEX(ERP資料!$G:$G, (MATCH(965, 輔助計算!$G$2:$G$801, 0)+1))&lt;=1181,2,1)))), "")&lt;&gt;"",IF(MOD(INDEX(輔助計算!$D:$D, (MATCH(965, 輔助計算!$G$2:$G$801, 0)+1)),IF(INDEX(ERP資料!$G:$G, (MATCH(965, 輔助計算!$G$2:$G$801, 0)+1))&lt;100, IF(INDEX(ERP資料!$G:$G, (MATCH(965, 輔助計算!$G$2:$G$801, 0)+1))&lt;=31,3,IF(INDEX(ERP資料!$G:$G, (MATCH(965, 輔助計算!$G$2:$G$801, 0)+1))&lt;=46.5,2,1)), IF(INDEX(ERP資料!$G:$G, (MATCH(965, 輔助計算!$G$2:$G$801, 0)+1))&lt;=790,3,IF(INDEX(ERP資料!$G:$G, (MATCH(965, 輔助計算!$G$2:$G$801, 0)+1))&lt;=1181,2,1))))=0,"",IF(MOD(INDEX(輔助計算!$D:$D, (MATCH(965, 輔助計算!$G$2:$G$801, 0)+1)),IF(INDEX(ERP資料!$G:$G, (MATCH(965, 輔助計算!$G$2:$G$801, 0)+1))&lt;100, IF(INDEX(ERP資料!$G:$G, (MATCH(965, 輔助計算!$G$2:$G$801, 0)+1))&lt;=31,3,IF(INDEX(ERP資料!$G:$G, (MATCH(965, 輔助計算!$G$2:$G$801, 0)+1))&lt;=46.5,2,1)), IF(INDEX(ERP資料!$G:$G, (MATCH(965, 輔助計算!$G$2:$G$801, 0)+1))&lt;=790,3,IF(INDEX(ERP資料!$G:$G, (MATCH(965, 輔助計算!$G$2:$G$801, 0)+1))&lt;=1181,2,1))))=0,"",IF(MOD(INDEX(輔助計算!$D:$D, (MATCH(965, 輔助計算!$G$2:$G$801, 0)+1)),IF(INDEX(ERP資料!$G:$G, (MATCH(965, 輔助計算!$G$2:$G$801, 0)+1))&lt;100, IF(INDEX(ERP資料!$G:$G, (MATCH(965, 輔助計算!$G$2:$G$801, 0)+1))&lt;=31,3,IF(INDEX(ERP資料!$G:$G, (MATCH(965, 輔助計算!$G$2:$G$801, 0)+1))&lt;=46.5,2,1)), IF(INDEX(ERP資料!$G:$G, (MATCH(965, 輔助計算!$G$2:$G$801, 0)+1))&lt;=790,3,IF(INDEX(ERP資料!$G:$G, (MATCH(965, 輔助計算!$G$2:$G$801, 0)+1))&lt;=1181,2,1))))=1,TEXT(INDEX(ERP資料!$G:$G, (MATCH(965, 輔助計算!$G$2:$G$801, 0)+1)),"0.##"),IF(MOD(INDEX(輔助計算!$D:$D, (MATCH(965, 輔助計算!$G$2:$G$801, 0)+1)),IF(INDEX(ERP資料!$G:$G, (MATCH(965, 輔助計算!$G$2:$G$801, 0)+1))&lt;100, IF(INDEX(ERP資料!$G:$G, (MATCH(965, 輔助計算!$G$2:$G$801, 0)+1))&lt;=31,3,IF(INDEX(ERP資料!$G:$G, (MATCH(965, 輔助計算!$G$2:$G$801, 0)+1))&lt;=46.5,2,1)), IF(INDEX(ERP資料!$G:$G, (MATCH(965, 輔助計算!$G$2:$G$801, 0)+1))&lt;=790,3,IF(INDEX(ERP資料!$G:$G, (MATCH(965, 輔助計算!$G$2:$G$801, 0)+1))&lt;=1181,2,1))))=2,TEXT(INDEX(ERP資料!$G:$G, (MATCH(965, 輔助計算!$G$2:$G$801, 0)+1)),"0.##")&amp;"+"&amp;TEXT(INDEX(ERP資料!$G:$G, (MATCH(965, 輔助計算!$G$2:$G$801, 0)+1)),"0.##"),TEXT(INDEX(ERP資料!$G:$G, (MATCH(965, 輔助計算!$G$2:$G$801, 0)+1)),"0.##")&amp;"+"&amp;TEXT(INDEX(ERP資料!$G:$G, (MATCH(965, 輔助計算!$G$2:$G$801, 0)+1)),"0.##")&amp;"+"&amp;TEXT(INDEX(ERP資料!$G:$G, (MATCH(965, 輔助計算!$G$2:$G$801, 0)+1)),"0.##"))))&amp;"-1")&lt;&gt;""),"  ","")&amp;IF(MOD(INDEX(輔助計算!$D:$D, (MATCH(965, 輔助計算!$G$2:$G$801, 0)+1)),IF(INDEX(ERP資料!$G:$G, (MATCH(965, 輔助計算!$G$2:$G$801, 0)+1))&lt;100, IF(INDEX(ERP資料!$G:$G, (MATCH(965, 輔助計算!$G$2:$G$801, 0)+1))&lt;=31,3,IF(INDEX(ERP資料!$G:$G, (MATCH(965, 輔助計算!$G$2:$G$801, 0)+1))&lt;=46.5,2,1)), IF(INDEX(ERP資料!$G:$G, (MATCH(965, 輔助計算!$G$2:$G$801, 0)+1))&lt;=790,3,IF(INDEX(ERP資料!$G:$G, (MATCH(965, 輔助計算!$G$2:$G$801, 0)+1))&lt;=1181,2,1))))=0,"",IF(MOD(INDEX(輔助計算!$D:$D, (MATCH(965, 輔助計算!$G$2:$G$801, 0)+1)),IF(INDEX(ERP資料!$G:$G, (MATCH(965, 輔助計算!$G$2:$G$801, 0)+1))&lt;100, IF(INDEX(ERP資料!$G:$G, (MATCH(965, 輔助計算!$G$2:$G$801, 0)+1))&lt;=31,3,IF(INDEX(ERP資料!$G:$G, (MATCH(965, 輔助計算!$G$2:$G$801, 0)+1))&lt;=46.5,2,1)), IF(INDEX(ERP資料!$G:$G, (MATCH(965, 輔助計算!$G$2:$G$801, 0)+1))&lt;=790,3,IF(INDEX(ERP資料!$G:$G, (MATCH(965, 輔助計算!$G$2:$G$801, 0)+1))&lt;=1181,2,1))))=0,"",IF(MOD(INDEX(輔助計算!$D:$D, (MATCH(965, 輔助計算!$G$2:$G$801, 0)+1)),IF(INDEX(ERP資料!$G:$G, (MATCH(965, 輔助計算!$G$2:$G$801, 0)+1))&lt;100, IF(INDEX(ERP資料!$G:$G, (MATCH(965, 輔助計算!$G$2:$G$801, 0)+1))&lt;=31,3,IF(INDEX(ERP資料!$G:$G, (MATCH(965, 輔助計算!$G$2:$G$801, 0)+1))&lt;=46.5,2,1)), IF(INDEX(ERP資料!$G:$G, (MATCH(965, 輔助計算!$G$2:$G$801, 0)+1))&lt;=790,3,IF(INDEX(ERP資料!$G:$G, (MATCH(965, 輔助計算!$G$2:$G$801, 0)+1))&lt;=1181,2,1))))=1,TEXT(INDEX(ERP資料!$G:$G, (MATCH(965, 輔助計算!$G$2:$G$801, 0)+1)),"0.##"),IF(MOD(INDEX(輔助計算!$D:$D, (MATCH(965, 輔助計算!$G$2:$G$801, 0)+1)),IF(INDEX(ERP資料!$G:$G, (MATCH(965, 輔助計算!$G$2:$G$801, 0)+1))&lt;100, IF(INDEX(ERP資料!$G:$G, (MATCH(965, 輔助計算!$G$2:$G$801, 0)+1))&lt;=31,3,IF(INDEX(ERP資料!$G:$G, (MATCH(965, 輔助計算!$G$2:$G$801, 0)+1))&lt;=46.5,2,1)), IF(INDEX(ERP資料!$G:$G, (MATCH(965, 輔助計算!$G$2:$G$801, 0)+1))&lt;=790,3,IF(INDEX(ERP資料!$G:$G, (MATCH(965, 輔助計算!$G$2:$G$801, 0)+1))&lt;=1181,2,1))))=2,TEXT(INDEX(ERP資料!$G:$G, (MATCH(965, 輔助計算!$G$2:$G$801, 0)+1)),"0.##")&amp;"+"&amp;TEXT(INDEX(ERP資料!$G:$G, (MATCH(965, 輔助計算!$G$2:$G$801, 0)+1)),"0.##"),TEXT(INDEX(ERP資料!$G:$G, (MATCH(965, 輔助計算!$G$2:$G$801, 0)+1)),"0.##")&amp;"+"&amp;TEXT(INDEX(ERP資料!$G:$G, (MATCH(965, 輔助計算!$G$2:$G$801, 0)+1)),"0.##")&amp;"+"&amp;TEXT(INDEX(ERP資料!$G:$G, (MATCH(965, 輔助計算!$G$2:$G$801, 0)+1)),"0.##"))))&amp;"-1")), ""), "")</f>
        <v/>
      </c>
      <c r="K966" s="16" t="n"/>
      <c r="L966" s="14">
        <f>IFERROR(IF(AND(IFERROR(INDEX(ERP資料!$A:$A, (MATCH(965, 輔助計算!$G$2:$G$801, 0)+1)), "")&lt;&gt;"", IFERROR(INDEX(ERP資料!$A:$A, (MATCH(965, 輔助計算!$G$2:$G$801, 0)+1)), "")&lt;&gt;IFERROR(INDEX(ERP資料!$A:$A, MATCH(964, 輔助計算!$G$2:$G$801, 0)+1), "")), INDEX(ERP資料!$B:$B, (MATCH(965, 輔助計算!$G$2:$G$801, 0)+1)), ""), "")</f>
        <v/>
      </c>
      <c r="M966" s="17" t="n"/>
    </row>
    <row r="967">
      <c r="A967" s="10">
        <f>IFERROR(IF(AND(IFERROR(INDEX(ERP資料!$A:$A, (MATCH(966, 輔助計算!$G$2:$G$801, 0)+1)), "")&lt;&gt;"", IFERROR(INDEX(ERP資料!$A:$A, (MATCH(966, 輔助計算!$G$2:$G$801, 0)+1)), "")&lt;&gt;IFERROR(INDEX(ERP資料!$A:$A, MATCH(965, 輔助計算!$G$2:$G$801, 0)+1), "")), IFERROR(INDEX(ERP資料!$A:$A, (MATCH(966, 輔助計算!$G$2:$G$801, 0)+1)), ""), ""), "")</f>
        <v/>
      </c>
      <c r="B967" s="10">
        <f>IFERROR(IF(AND(IFERROR(INDEX(ERP資料!$A:$A, (MATCH(966, 輔助計算!$G$2:$G$801, 0)+1)), "")&lt;&gt;"", IFERROR(INDEX(ERP資料!$A:$A, (MATCH(966, 輔助計算!$G$2:$G$801, 0)+1)), "")&lt;&gt;IFERROR(INDEX(ERP資料!$A:$A, MATCH(965, 輔助計算!$G$2:$G$801, 0)+1), "")), INDEX(ERP資料!$S:$S, (MATCH(966, 輔助計算!$G$2:$G$801, 0)+1)), ""), "")</f>
        <v/>
      </c>
      <c r="C967" s="19">
        <f>IFERROR(IF(AND(IFERROR(INDEX(ERP資料!$A:$A, (MATCH(966, 輔助計算!$G$2:$G$801, 0)+1)), "")&lt;&gt;"", IFERROR(INDEX(ERP資料!$A:$A, (MATCH(966, 輔助計算!$G$2:$G$801, 0)+1)), "")&lt;&gt;IFERROR(INDEX(ERP資料!$A:$A, MATCH(965, 輔助計算!$G$2:$G$801, 0)+1), "")), IFERROR(VLOOKUP(LEFT(INDEX(ERP資料!$S:$S, (MATCH(966, 輔助計算!$G$2:$G$801, 0)+1)), 4), 紙管對照表!$A:$C, 3, FALSE), ""), ""), "")</f>
        <v/>
      </c>
      <c r="D967" s="16" t="n"/>
      <c r="E967" s="10">
        <f>IFERROR(IF(INDEX(ERP資料!$H:$H, (MATCH(966, 輔助計算!$G$2:$G$801, 0)+1))="","",INDEX(ERP資料!$H:$H, (MATCH(966, 輔助計算!$G$2:$G$801, 0)+1))), "")</f>
        <v/>
      </c>
      <c r="F967" s="10">
        <f>IFERROR(IF(INDEX(ERP資料!$E:$E, (MATCH(966, 輔助計算!$G$2:$G$801, 0)+1))="","",TRIM(INDEX(ERP資料!$E:$E, (MATCH(966, 輔助計算!$G$2:$G$801, 0)+1)))), "")</f>
        <v/>
      </c>
      <c r="G967" s="10">
        <f>IFERROR(IF(INDEX(ERP資料!$F:$F, (MATCH(966, 輔助計算!$G$2:$G$801, 0)+1))="","",INDEX(ERP資料!$F:$F, (MATCH(966, 輔助計算!$G$2:$G$801, 0)+1))), "")</f>
        <v/>
      </c>
      <c r="H967" s="10">
        <f>IFERROR(IF(INDEX(ERP資料!$G:$G, (MATCH(966, 輔助計算!$G$2:$G$801, 0)+1))="","",INDEX(ERP資料!$G:$G, (MATCH(966, 輔助計算!$G$2:$G$801, 0)+1))), "")</f>
        <v/>
      </c>
      <c r="I967" s="15">
        <f>IFERROR(INDEX(輔助計算!$D:$D, (MATCH(966, 輔助計算!$G$2:$G$801, 0)+1)), "")</f>
        <v/>
      </c>
      <c r="J967" s="15">
        <f>IFERROR(IF(AND(INDEX(輔助計算!$D:$D, (MATCH(966, 輔助計算!$G$2:$G$801, 0)+1))&lt;&gt;"", INDEX(ERP資料!$G:$G, (MATCH(966, 輔助計算!$G$2:$G$801, 0)+1))&lt;&gt;""), TRIM(IF(INT(INDEX(輔助計算!$D:$D, (MATCH(966, 輔助計算!$G$2:$G$801, 0)+1))/IF(INDEX(ERP資料!$G:$G, (MATCH(966, 輔助計算!$G$2:$G$801, 0)+1))&lt;100, IF(INDEX(ERP資料!$G:$G, (MATCH(966, 輔助計算!$G$2:$G$801, 0)+1))&lt;=31,3,IF(INDEX(ERP資料!$G:$G, (MATCH(966, 輔助計算!$G$2:$G$801, 0)+1))&lt;=46.5,2,1)), IF(INDEX(ERP資料!$G:$G, (MATCH(966, 輔助計算!$G$2:$G$801, 0)+1))&lt;=790,3,IF(INDEX(ERP資料!$G:$G, (MATCH(966, 輔助計算!$G$2:$G$801, 0)+1))&lt;=1181,2,1))))&gt;0, IF(IF(INDEX(ERP資料!$G:$G, (MATCH(966, 輔助計算!$G$2:$G$801, 0)+1))&lt;100, IF(INDEX(ERP資料!$G:$G, (MATCH(966, 輔助計算!$G$2:$G$801, 0)+1))&lt;=31,3,IF(INDEX(ERP資料!$G:$G, (MATCH(966, 輔助計算!$G$2:$G$801, 0)+1))&lt;=46.5,2,1)), IF(INDEX(ERP資料!$G:$G, (MATCH(966, 輔助計算!$G$2:$G$801, 0)+1))&lt;=790,3,IF(INDEX(ERP資料!$G:$G, (MATCH(966, 輔助計算!$G$2:$G$801, 0)+1))&lt;=1181,2,1)))=1,TEXT(INDEX(ERP資料!$G:$G, (MATCH(966, 輔助計算!$G$2:$G$801, 0)+1)),"0.##"),IF(IF(INDEX(ERP資料!$G:$G, (MATCH(966, 輔助計算!$G$2:$G$801, 0)+1))&lt;100, IF(INDEX(ERP資料!$G:$G, (MATCH(966, 輔助計算!$G$2:$G$801, 0)+1))&lt;=31,3,IF(INDEX(ERP資料!$G:$G, (MATCH(966, 輔助計算!$G$2:$G$801, 0)+1))&lt;=46.5,2,1)), IF(INDEX(ERP資料!$G:$G, (MATCH(966, 輔助計算!$G$2:$G$801, 0)+1))&lt;=790,3,IF(INDEX(ERP資料!$G:$G, (MATCH(966, 輔助計算!$G$2:$G$801, 0)+1))&lt;=1181,2,1)))=2,TEXT(INDEX(ERP資料!$G:$G, (MATCH(966, 輔助計算!$G$2:$G$801, 0)+1)),"0.##")&amp;"+"&amp;TEXT(INDEX(ERP資料!$G:$G, (MATCH(966, 輔助計算!$G$2:$G$801, 0)+1)),"0.##"),TEXT(INDEX(ERP資料!$G:$G, (MATCH(966, 輔助計算!$G$2:$G$801, 0)+1)),"0.##")&amp;"+"&amp;TEXT(INDEX(ERP資料!$G:$G, (MATCH(966, 輔助計算!$G$2:$G$801, 0)+1)),"0.##")&amp;"+"&amp;TEXT(INDEX(ERP資料!$G:$G, (MATCH(966, 輔助計算!$G$2:$G$801, 0)+1)),"0.##")))&amp;"-"&amp;INT(INDEX(輔助計算!$D:$D, (MATCH(966, 輔助計算!$G$2:$G$801, 0)+1))/IF(INDEX(ERP資料!$G:$G, (MATCH(966, 輔助計算!$G$2:$G$801, 0)+1))&lt;100, IF(INDEX(ERP資料!$G:$G, (MATCH(966, 輔助計算!$G$2:$G$801, 0)+1))&lt;=31,3,IF(INDEX(ERP資料!$G:$G, (MATCH(966, 輔助計算!$G$2:$G$801, 0)+1))&lt;=46.5,2,1)), IF(INDEX(ERP資料!$G:$G, (MATCH(966, 輔助計算!$G$2:$G$801, 0)+1))&lt;=790,3,IF(INDEX(ERP資料!$G:$G, (MATCH(966, 輔助計算!$G$2:$G$801, 0)+1))&lt;=1181,2,1)))), "")&amp;IF(AND(IF(INT(INDEX(輔助計算!$D:$D, (MATCH(966, 輔助計算!$G$2:$G$801, 0)+1))/IF(INDEX(ERP資料!$G:$G, (MATCH(966, 輔助計算!$G$2:$G$801, 0)+1))&lt;100, IF(INDEX(ERP資料!$G:$G, (MATCH(966, 輔助計算!$G$2:$G$801, 0)+1))&lt;=31,3,IF(INDEX(ERP資料!$G:$G, (MATCH(966, 輔助計算!$G$2:$G$801, 0)+1))&lt;=46.5,2,1)), IF(INDEX(ERP資料!$G:$G, (MATCH(966, 輔助計算!$G$2:$G$801, 0)+1))&lt;=790,3,IF(INDEX(ERP資料!$G:$G, (MATCH(966, 輔助計算!$G$2:$G$801, 0)+1))&lt;=1181,2,1))))&gt;0, IF(IF(INDEX(ERP資料!$G:$G, (MATCH(966, 輔助計算!$G$2:$G$801, 0)+1))&lt;100, IF(INDEX(ERP資料!$G:$G, (MATCH(966, 輔助計算!$G$2:$G$801, 0)+1))&lt;=31,3,IF(INDEX(ERP資料!$G:$G, (MATCH(966, 輔助計算!$G$2:$G$801, 0)+1))&lt;=46.5,2,1)), IF(INDEX(ERP資料!$G:$G, (MATCH(966, 輔助計算!$G$2:$G$801, 0)+1))&lt;=790,3,IF(INDEX(ERP資料!$G:$G, (MATCH(966, 輔助計算!$G$2:$G$801, 0)+1))&lt;=1181,2,1)))=1,TEXT(INDEX(ERP資料!$G:$G, (MATCH(966, 輔助計算!$G$2:$G$801, 0)+1)),"0.##"),IF(IF(INDEX(ERP資料!$G:$G, (MATCH(966, 輔助計算!$G$2:$G$801, 0)+1))&lt;100, IF(INDEX(ERP資料!$G:$G, (MATCH(966, 輔助計算!$G$2:$G$801, 0)+1))&lt;=31,3,IF(INDEX(ERP資料!$G:$G, (MATCH(966, 輔助計算!$G$2:$G$801, 0)+1))&lt;=46.5,2,1)), IF(INDEX(ERP資料!$G:$G, (MATCH(966, 輔助計算!$G$2:$G$801, 0)+1))&lt;=790,3,IF(INDEX(ERP資料!$G:$G, (MATCH(966, 輔助計算!$G$2:$G$801, 0)+1))&lt;=1181,2,1)))=2,TEXT(INDEX(ERP資料!$G:$G, (MATCH(966, 輔助計算!$G$2:$G$801, 0)+1)),"0.##")&amp;"+"&amp;TEXT(INDEX(ERP資料!$G:$G, (MATCH(966, 輔助計算!$G$2:$G$801, 0)+1)),"0.##"),TEXT(INDEX(ERP資料!$G:$G, (MATCH(966, 輔助計算!$G$2:$G$801, 0)+1)),"0.##")&amp;"+"&amp;TEXT(INDEX(ERP資料!$G:$G, (MATCH(966, 輔助計算!$G$2:$G$801, 0)+1)),"0.##")&amp;"+"&amp;TEXT(INDEX(ERP資料!$G:$G, (MATCH(966, 輔助計算!$G$2:$G$801, 0)+1)),"0.##")))&amp;"-"&amp;INT(INDEX(輔助計算!$D:$D, (MATCH(966, 輔助計算!$G$2:$G$801, 0)+1))/IF(INDEX(ERP資料!$G:$G, (MATCH(966, 輔助計算!$G$2:$G$801, 0)+1))&lt;100, IF(INDEX(ERP資料!$G:$G, (MATCH(966, 輔助計算!$G$2:$G$801, 0)+1))&lt;=31,3,IF(INDEX(ERP資料!$G:$G, (MATCH(966, 輔助計算!$G$2:$G$801, 0)+1))&lt;=46.5,2,1)), IF(INDEX(ERP資料!$G:$G, (MATCH(966, 輔助計算!$G$2:$G$801, 0)+1))&lt;=790,3,IF(INDEX(ERP資料!$G:$G, (MATCH(966, 輔助計算!$G$2:$G$801, 0)+1))&lt;=1181,2,1)))), "")&lt;&gt;"",IF(MOD(INDEX(輔助計算!$D:$D, (MATCH(966, 輔助計算!$G$2:$G$801, 0)+1)),IF(INDEX(ERP資料!$G:$G, (MATCH(966, 輔助計算!$G$2:$G$801, 0)+1))&lt;100, IF(INDEX(ERP資料!$G:$G, (MATCH(966, 輔助計算!$G$2:$G$801, 0)+1))&lt;=31,3,IF(INDEX(ERP資料!$G:$G, (MATCH(966, 輔助計算!$G$2:$G$801, 0)+1))&lt;=46.5,2,1)), IF(INDEX(ERP資料!$G:$G, (MATCH(966, 輔助計算!$G$2:$G$801, 0)+1))&lt;=790,3,IF(INDEX(ERP資料!$G:$G, (MATCH(966, 輔助計算!$G$2:$G$801, 0)+1))&lt;=1181,2,1))))=0,"",IF(MOD(INDEX(輔助計算!$D:$D, (MATCH(966, 輔助計算!$G$2:$G$801, 0)+1)),IF(INDEX(ERP資料!$G:$G, (MATCH(966, 輔助計算!$G$2:$G$801, 0)+1))&lt;100, IF(INDEX(ERP資料!$G:$G, (MATCH(966, 輔助計算!$G$2:$G$801, 0)+1))&lt;=31,3,IF(INDEX(ERP資料!$G:$G, (MATCH(966, 輔助計算!$G$2:$G$801, 0)+1))&lt;=46.5,2,1)), IF(INDEX(ERP資料!$G:$G, (MATCH(966, 輔助計算!$G$2:$G$801, 0)+1))&lt;=790,3,IF(INDEX(ERP資料!$G:$G, (MATCH(966, 輔助計算!$G$2:$G$801, 0)+1))&lt;=1181,2,1))))=0,"",IF(MOD(INDEX(輔助計算!$D:$D, (MATCH(966, 輔助計算!$G$2:$G$801, 0)+1)),IF(INDEX(ERP資料!$G:$G, (MATCH(966, 輔助計算!$G$2:$G$801, 0)+1))&lt;100, IF(INDEX(ERP資料!$G:$G, (MATCH(966, 輔助計算!$G$2:$G$801, 0)+1))&lt;=31,3,IF(INDEX(ERP資料!$G:$G, (MATCH(966, 輔助計算!$G$2:$G$801, 0)+1))&lt;=46.5,2,1)), IF(INDEX(ERP資料!$G:$G, (MATCH(966, 輔助計算!$G$2:$G$801, 0)+1))&lt;=790,3,IF(INDEX(ERP資料!$G:$G, (MATCH(966, 輔助計算!$G$2:$G$801, 0)+1))&lt;=1181,2,1))))=1,TEXT(INDEX(ERP資料!$G:$G, (MATCH(966, 輔助計算!$G$2:$G$801, 0)+1)),"0.##"),IF(MOD(INDEX(輔助計算!$D:$D, (MATCH(966, 輔助計算!$G$2:$G$801, 0)+1)),IF(INDEX(ERP資料!$G:$G, (MATCH(966, 輔助計算!$G$2:$G$801, 0)+1))&lt;100, IF(INDEX(ERP資料!$G:$G, (MATCH(966, 輔助計算!$G$2:$G$801, 0)+1))&lt;=31,3,IF(INDEX(ERP資料!$G:$G, (MATCH(966, 輔助計算!$G$2:$G$801, 0)+1))&lt;=46.5,2,1)), IF(INDEX(ERP資料!$G:$G, (MATCH(966, 輔助計算!$G$2:$G$801, 0)+1))&lt;=790,3,IF(INDEX(ERP資料!$G:$G, (MATCH(966, 輔助計算!$G$2:$G$801, 0)+1))&lt;=1181,2,1))))=2,TEXT(INDEX(ERP資料!$G:$G, (MATCH(966, 輔助計算!$G$2:$G$801, 0)+1)),"0.##")&amp;"+"&amp;TEXT(INDEX(ERP資料!$G:$G, (MATCH(966, 輔助計算!$G$2:$G$801, 0)+1)),"0.##"),TEXT(INDEX(ERP資料!$G:$G, (MATCH(966, 輔助計算!$G$2:$G$801, 0)+1)),"0.##")&amp;"+"&amp;TEXT(INDEX(ERP資料!$G:$G, (MATCH(966, 輔助計算!$G$2:$G$801, 0)+1)),"0.##")&amp;"+"&amp;TEXT(INDEX(ERP資料!$G:$G, (MATCH(966, 輔助計算!$G$2:$G$801, 0)+1)),"0.##"))))&amp;"-1")&lt;&gt;""),"  ","")&amp;IF(MOD(INDEX(輔助計算!$D:$D, (MATCH(966, 輔助計算!$G$2:$G$801, 0)+1)),IF(INDEX(ERP資料!$G:$G, (MATCH(966, 輔助計算!$G$2:$G$801, 0)+1))&lt;100, IF(INDEX(ERP資料!$G:$G, (MATCH(966, 輔助計算!$G$2:$G$801, 0)+1))&lt;=31,3,IF(INDEX(ERP資料!$G:$G, (MATCH(966, 輔助計算!$G$2:$G$801, 0)+1))&lt;=46.5,2,1)), IF(INDEX(ERP資料!$G:$G, (MATCH(966, 輔助計算!$G$2:$G$801, 0)+1))&lt;=790,3,IF(INDEX(ERP資料!$G:$G, (MATCH(966, 輔助計算!$G$2:$G$801, 0)+1))&lt;=1181,2,1))))=0,"",IF(MOD(INDEX(輔助計算!$D:$D, (MATCH(966, 輔助計算!$G$2:$G$801, 0)+1)),IF(INDEX(ERP資料!$G:$G, (MATCH(966, 輔助計算!$G$2:$G$801, 0)+1))&lt;100, IF(INDEX(ERP資料!$G:$G, (MATCH(966, 輔助計算!$G$2:$G$801, 0)+1))&lt;=31,3,IF(INDEX(ERP資料!$G:$G, (MATCH(966, 輔助計算!$G$2:$G$801, 0)+1))&lt;=46.5,2,1)), IF(INDEX(ERP資料!$G:$G, (MATCH(966, 輔助計算!$G$2:$G$801, 0)+1))&lt;=790,3,IF(INDEX(ERP資料!$G:$G, (MATCH(966, 輔助計算!$G$2:$G$801, 0)+1))&lt;=1181,2,1))))=0,"",IF(MOD(INDEX(輔助計算!$D:$D, (MATCH(966, 輔助計算!$G$2:$G$801, 0)+1)),IF(INDEX(ERP資料!$G:$G, (MATCH(966, 輔助計算!$G$2:$G$801, 0)+1))&lt;100, IF(INDEX(ERP資料!$G:$G, (MATCH(966, 輔助計算!$G$2:$G$801, 0)+1))&lt;=31,3,IF(INDEX(ERP資料!$G:$G, (MATCH(966, 輔助計算!$G$2:$G$801, 0)+1))&lt;=46.5,2,1)), IF(INDEX(ERP資料!$G:$G, (MATCH(966, 輔助計算!$G$2:$G$801, 0)+1))&lt;=790,3,IF(INDEX(ERP資料!$G:$G, (MATCH(966, 輔助計算!$G$2:$G$801, 0)+1))&lt;=1181,2,1))))=1,TEXT(INDEX(ERP資料!$G:$G, (MATCH(966, 輔助計算!$G$2:$G$801, 0)+1)),"0.##"),IF(MOD(INDEX(輔助計算!$D:$D, (MATCH(966, 輔助計算!$G$2:$G$801, 0)+1)),IF(INDEX(ERP資料!$G:$G, (MATCH(966, 輔助計算!$G$2:$G$801, 0)+1))&lt;100, IF(INDEX(ERP資料!$G:$G, (MATCH(966, 輔助計算!$G$2:$G$801, 0)+1))&lt;=31,3,IF(INDEX(ERP資料!$G:$G, (MATCH(966, 輔助計算!$G$2:$G$801, 0)+1))&lt;=46.5,2,1)), IF(INDEX(ERP資料!$G:$G, (MATCH(966, 輔助計算!$G$2:$G$801, 0)+1))&lt;=790,3,IF(INDEX(ERP資料!$G:$G, (MATCH(966, 輔助計算!$G$2:$G$801, 0)+1))&lt;=1181,2,1))))=2,TEXT(INDEX(ERP資料!$G:$G, (MATCH(966, 輔助計算!$G$2:$G$801, 0)+1)),"0.##")&amp;"+"&amp;TEXT(INDEX(ERP資料!$G:$G, (MATCH(966, 輔助計算!$G$2:$G$801, 0)+1)),"0.##"),TEXT(INDEX(ERP資料!$G:$G, (MATCH(966, 輔助計算!$G$2:$G$801, 0)+1)),"0.##")&amp;"+"&amp;TEXT(INDEX(ERP資料!$G:$G, (MATCH(966, 輔助計算!$G$2:$G$801, 0)+1)),"0.##")&amp;"+"&amp;TEXT(INDEX(ERP資料!$G:$G, (MATCH(966, 輔助計算!$G$2:$G$801, 0)+1)),"0.##"))))&amp;"-1")), ""), "")</f>
        <v/>
      </c>
      <c r="K967" s="16" t="n"/>
      <c r="L967" s="14">
        <f>IFERROR(IF(AND(IFERROR(INDEX(ERP資料!$A:$A, (MATCH(966, 輔助計算!$G$2:$G$801, 0)+1)), "")&lt;&gt;"", IFERROR(INDEX(ERP資料!$A:$A, (MATCH(966, 輔助計算!$G$2:$G$801, 0)+1)), "")&lt;&gt;IFERROR(INDEX(ERP資料!$A:$A, MATCH(965, 輔助計算!$G$2:$G$801, 0)+1), "")), INDEX(ERP資料!$B:$B, (MATCH(966, 輔助計算!$G$2:$G$801, 0)+1)), ""), "")</f>
        <v/>
      </c>
      <c r="M967" s="17" t="n"/>
    </row>
    <row r="968">
      <c r="A968" s="10">
        <f>IFERROR(IF(AND(IFERROR(INDEX(ERP資料!$A:$A, (MATCH(967, 輔助計算!$G$2:$G$801, 0)+1)), "")&lt;&gt;"", IFERROR(INDEX(ERP資料!$A:$A, (MATCH(967, 輔助計算!$G$2:$G$801, 0)+1)), "")&lt;&gt;IFERROR(INDEX(ERP資料!$A:$A, MATCH(966, 輔助計算!$G$2:$G$801, 0)+1), "")), IFERROR(INDEX(ERP資料!$A:$A, (MATCH(967, 輔助計算!$G$2:$G$801, 0)+1)), ""), ""), "")</f>
        <v/>
      </c>
      <c r="B968" s="10">
        <f>IFERROR(IF(AND(IFERROR(INDEX(ERP資料!$A:$A, (MATCH(967, 輔助計算!$G$2:$G$801, 0)+1)), "")&lt;&gt;"", IFERROR(INDEX(ERP資料!$A:$A, (MATCH(967, 輔助計算!$G$2:$G$801, 0)+1)), "")&lt;&gt;IFERROR(INDEX(ERP資料!$A:$A, MATCH(966, 輔助計算!$G$2:$G$801, 0)+1), "")), INDEX(ERP資料!$S:$S, (MATCH(967, 輔助計算!$G$2:$G$801, 0)+1)), ""), "")</f>
        <v/>
      </c>
      <c r="C968" s="19">
        <f>IFERROR(IF(AND(IFERROR(INDEX(ERP資料!$A:$A, (MATCH(967, 輔助計算!$G$2:$G$801, 0)+1)), "")&lt;&gt;"", IFERROR(INDEX(ERP資料!$A:$A, (MATCH(967, 輔助計算!$G$2:$G$801, 0)+1)), "")&lt;&gt;IFERROR(INDEX(ERP資料!$A:$A, MATCH(966, 輔助計算!$G$2:$G$801, 0)+1), "")), IFERROR(VLOOKUP(LEFT(INDEX(ERP資料!$S:$S, (MATCH(967, 輔助計算!$G$2:$G$801, 0)+1)), 4), 紙管對照表!$A:$C, 3, FALSE), ""), ""), "")</f>
        <v/>
      </c>
      <c r="D968" s="16" t="n"/>
      <c r="E968" s="10">
        <f>IFERROR(IF(INDEX(ERP資料!$H:$H, (MATCH(967, 輔助計算!$G$2:$G$801, 0)+1))="","",INDEX(ERP資料!$H:$H, (MATCH(967, 輔助計算!$G$2:$G$801, 0)+1))), "")</f>
        <v/>
      </c>
      <c r="F968" s="10">
        <f>IFERROR(IF(INDEX(ERP資料!$E:$E, (MATCH(967, 輔助計算!$G$2:$G$801, 0)+1))="","",TRIM(INDEX(ERP資料!$E:$E, (MATCH(967, 輔助計算!$G$2:$G$801, 0)+1)))), "")</f>
        <v/>
      </c>
      <c r="G968" s="10">
        <f>IFERROR(IF(INDEX(ERP資料!$F:$F, (MATCH(967, 輔助計算!$G$2:$G$801, 0)+1))="","",INDEX(ERP資料!$F:$F, (MATCH(967, 輔助計算!$G$2:$G$801, 0)+1))), "")</f>
        <v/>
      </c>
      <c r="H968" s="10">
        <f>IFERROR(IF(INDEX(ERP資料!$G:$G, (MATCH(967, 輔助計算!$G$2:$G$801, 0)+1))="","",INDEX(ERP資料!$G:$G, (MATCH(967, 輔助計算!$G$2:$G$801, 0)+1))), "")</f>
        <v/>
      </c>
      <c r="I968" s="15">
        <f>IFERROR(INDEX(輔助計算!$D:$D, (MATCH(967, 輔助計算!$G$2:$G$801, 0)+1)), "")</f>
        <v/>
      </c>
      <c r="J968" s="15">
        <f>IFERROR(IF(AND(INDEX(輔助計算!$D:$D, (MATCH(967, 輔助計算!$G$2:$G$801, 0)+1))&lt;&gt;"", INDEX(ERP資料!$G:$G, (MATCH(967, 輔助計算!$G$2:$G$801, 0)+1))&lt;&gt;""), TRIM(IF(INT(INDEX(輔助計算!$D:$D, (MATCH(967, 輔助計算!$G$2:$G$801, 0)+1))/IF(INDEX(ERP資料!$G:$G, (MATCH(967, 輔助計算!$G$2:$G$801, 0)+1))&lt;100, IF(INDEX(ERP資料!$G:$G, (MATCH(967, 輔助計算!$G$2:$G$801, 0)+1))&lt;=31,3,IF(INDEX(ERP資料!$G:$G, (MATCH(967, 輔助計算!$G$2:$G$801, 0)+1))&lt;=46.5,2,1)), IF(INDEX(ERP資料!$G:$G, (MATCH(967, 輔助計算!$G$2:$G$801, 0)+1))&lt;=790,3,IF(INDEX(ERP資料!$G:$G, (MATCH(967, 輔助計算!$G$2:$G$801, 0)+1))&lt;=1181,2,1))))&gt;0, IF(IF(INDEX(ERP資料!$G:$G, (MATCH(967, 輔助計算!$G$2:$G$801, 0)+1))&lt;100, IF(INDEX(ERP資料!$G:$G, (MATCH(967, 輔助計算!$G$2:$G$801, 0)+1))&lt;=31,3,IF(INDEX(ERP資料!$G:$G, (MATCH(967, 輔助計算!$G$2:$G$801, 0)+1))&lt;=46.5,2,1)), IF(INDEX(ERP資料!$G:$G, (MATCH(967, 輔助計算!$G$2:$G$801, 0)+1))&lt;=790,3,IF(INDEX(ERP資料!$G:$G, (MATCH(967, 輔助計算!$G$2:$G$801, 0)+1))&lt;=1181,2,1)))=1,TEXT(INDEX(ERP資料!$G:$G, (MATCH(967, 輔助計算!$G$2:$G$801, 0)+1)),"0.##"),IF(IF(INDEX(ERP資料!$G:$G, (MATCH(967, 輔助計算!$G$2:$G$801, 0)+1))&lt;100, IF(INDEX(ERP資料!$G:$G, (MATCH(967, 輔助計算!$G$2:$G$801, 0)+1))&lt;=31,3,IF(INDEX(ERP資料!$G:$G, (MATCH(967, 輔助計算!$G$2:$G$801, 0)+1))&lt;=46.5,2,1)), IF(INDEX(ERP資料!$G:$G, (MATCH(967, 輔助計算!$G$2:$G$801, 0)+1))&lt;=790,3,IF(INDEX(ERP資料!$G:$G, (MATCH(967, 輔助計算!$G$2:$G$801, 0)+1))&lt;=1181,2,1)))=2,TEXT(INDEX(ERP資料!$G:$G, (MATCH(967, 輔助計算!$G$2:$G$801, 0)+1)),"0.##")&amp;"+"&amp;TEXT(INDEX(ERP資料!$G:$G, (MATCH(967, 輔助計算!$G$2:$G$801, 0)+1)),"0.##"),TEXT(INDEX(ERP資料!$G:$G, (MATCH(967, 輔助計算!$G$2:$G$801, 0)+1)),"0.##")&amp;"+"&amp;TEXT(INDEX(ERP資料!$G:$G, (MATCH(967, 輔助計算!$G$2:$G$801, 0)+1)),"0.##")&amp;"+"&amp;TEXT(INDEX(ERP資料!$G:$G, (MATCH(967, 輔助計算!$G$2:$G$801, 0)+1)),"0.##")))&amp;"-"&amp;INT(INDEX(輔助計算!$D:$D, (MATCH(967, 輔助計算!$G$2:$G$801, 0)+1))/IF(INDEX(ERP資料!$G:$G, (MATCH(967, 輔助計算!$G$2:$G$801, 0)+1))&lt;100, IF(INDEX(ERP資料!$G:$G, (MATCH(967, 輔助計算!$G$2:$G$801, 0)+1))&lt;=31,3,IF(INDEX(ERP資料!$G:$G, (MATCH(967, 輔助計算!$G$2:$G$801, 0)+1))&lt;=46.5,2,1)), IF(INDEX(ERP資料!$G:$G, (MATCH(967, 輔助計算!$G$2:$G$801, 0)+1))&lt;=790,3,IF(INDEX(ERP資料!$G:$G, (MATCH(967, 輔助計算!$G$2:$G$801, 0)+1))&lt;=1181,2,1)))), "")&amp;IF(AND(IF(INT(INDEX(輔助計算!$D:$D, (MATCH(967, 輔助計算!$G$2:$G$801, 0)+1))/IF(INDEX(ERP資料!$G:$G, (MATCH(967, 輔助計算!$G$2:$G$801, 0)+1))&lt;100, IF(INDEX(ERP資料!$G:$G, (MATCH(967, 輔助計算!$G$2:$G$801, 0)+1))&lt;=31,3,IF(INDEX(ERP資料!$G:$G, (MATCH(967, 輔助計算!$G$2:$G$801, 0)+1))&lt;=46.5,2,1)), IF(INDEX(ERP資料!$G:$G, (MATCH(967, 輔助計算!$G$2:$G$801, 0)+1))&lt;=790,3,IF(INDEX(ERP資料!$G:$G, (MATCH(967, 輔助計算!$G$2:$G$801, 0)+1))&lt;=1181,2,1))))&gt;0, IF(IF(INDEX(ERP資料!$G:$G, (MATCH(967, 輔助計算!$G$2:$G$801, 0)+1))&lt;100, IF(INDEX(ERP資料!$G:$G, (MATCH(967, 輔助計算!$G$2:$G$801, 0)+1))&lt;=31,3,IF(INDEX(ERP資料!$G:$G, (MATCH(967, 輔助計算!$G$2:$G$801, 0)+1))&lt;=46.5,2,1)), IF(INDEX(ERP資料!$G:$G, (MATCH(967, 輔助計算!$G$2:$G$801, 0)+1))&lt;=790,3,IF(INDEX(ERP資料!$G:$G, (MATCH(967, 輔助計算!$G$2:$G$801, 0)+1))&lt;=1181,2,1)))=1,TEXT(INDEX(ERP資料!$G:$G, (MATCH(967, 輔助計算!$G$2:$G$801, 0)+1)),"0.##"),IF(IF(INDEX(ERP資料!$G:$G, (MATCH(967, 輔助計算!$G$2:$G$801, 0)+1))&lt;100, IF(INDEX(ERP資料!$G:$G, (MATCH(967, 輔助計算!$G$2:$G$801, 0)+1))&lt;=31,3,IF(INDEX(ERP資料!$G:$G, (MATCH(967, 輔助計算!$G$2:$G$801, 0)+1))&lt;=46.5,2,1)), IF(INDEX(ERP資料!$G:$G, (MATCH(967, 輔助計算!$G$2:$G$801, 0)+1))&lt;=790,3,IF(INDEX(ERP資料!$G:$G, (MATCH(967, 輔助計算!$G$2:$G$801, 0)+1))&lt;=1181,2,1)))=2,TEXT(INDEX(ERP資料!$G:$G, (MATCH(967, 輔助計算!$G$2:$G$801, 0)+1)),"0.##")&amp;"+"&amp;TEXT(INDEX(ERP資料!$G:$G, (MATCH(967, 輔助計算!$G$2:$G$801, 0)+1)),"0.##"),TEXT(INDEX(ERP資料!$G:$G, (MATCH(967, 輔助計算!$G$2:$G$801, 0)+1)),"0.##")&amp;"+"&amp;TEXT(INDEX(ERP資料!$G:$G, (MATCH(967, 輔助計算!$G$2:$G$801, 0)+1)),"0.##")&amp;"+"&amp;TEXT(INDEX(ERP資料!$G:$G, (MATCH(967, 輔助計算!$G$2:$G$801, 0)+1)),"0.##")))&amp;"-"&amp;INT(INDEX(輔助計算!$D:$D, (MATCH(967, 輔助計算!$G$2:$G$801, 0)+1))/IF(INDEX(ERP資料!$G:$G, (MATCH(967, 輔助計算!$G$2:$G$801, 0)+1))&lt;100, IF(INDEX(ERP資料!$G:$G, (MATCH(967, 輔助計算!$G$2:$G$801, 0)+1))&lt;=31,3,IF(INDEX(ERP資料!$G:$G, (MATCH(967, 輔助計算!$G$2:$G$801, 0)+1))&lt;=46.5,2,1)), IF(INDEX(ERP資料!$G:$G, (MATCH(967, 輔助計算!$G$2:$G$801, 0)+1))&lt;=790,3,IF(INDEX(ERP資料!$G:$G, (MATCH(967, 輔助計算!$G$2:$G$801, 0)+1))&lt;=1181,2,1)))), "")&lt;&gt;"",IF(MOD(INDEX(輔助計算!$D:$D, (MATCH(967, 輔助計算!$G$2:$G$801, 0)+1)),IF(INDEX(ERP資料!$G:$G, (MATCH(967, 輔助計算!$G$2:$G$801, 0)+1))&lt;100, IF(INDEX(ERP資料!$G:$G, (MATCH(967, 輔助計算!$G$2:$G$801, 0)+1))&lt;=31,3,IF(INDEX(ERP資料!$G:$G, (MATCH(967, 輔助計算!$G$2:$G$801, 0)+1))&lt;=46.5,2,1)), IF(INDEX(ERP資料!$G:$G, (MATCH(967, 輔助計算!$G$2:$G$801, 0)+1))&lt;=790,3,IF(INDEX(ERP資料!$G:$G, (MATCH(967, 輔助計算!$G$2:$G$801, 0)+1))&lt;=1181,2,1))))=0,"",IF(MOD(INDEX(輔助計算!$D:$D, (MATCH(967, 輔助計算!$G$2:$G$801, 0)+1)),IF(INDEX(ERP資料!$G:$G, (MATCH(967, 輔助計算!$G$2:$G$801, 0)+1))&lt;100, IF(INDEX(ERP資料!$G:$G, (MATCH(967, 輔助計算!$G$2:$G$801, 0)+1))&lt;=31,3,IF(INDEX(ERP資料!$G:$G, (MATCH(967, 輔助計算!$G$2:$G$801, 0)+1))&lt;=46.5,2,1)), IF(INDEX(ERP資料!$G:$G, (MATCH(967, 輔助計算!$G$2:$G$801, 0)+1))&lt;=790,3,IF(INDEX(ERP資料!$G:$G, (MATCH(967, 輔助計算!$G$2:$G$801, 0)+1))&lt;=1181,2,1))))=0,"",IF(MOD(INDEX(輔助計算!$D:$D, (MATCH(967, 輔助計算!$G$2:$G$801, 0)+1)),IF(INDEX(ERP資料!$G:$G, (MATCH(967, 輔助計算!$G$2:$G$801, 0)+1))&lt;100, IF(INDEX(ERP資料!$G:$G, (MATCH(967, 輔助計算!$G$2:$G$801, 0)+1))&lt;=31,3,IF(INDEX(ERP資料!$G:$G, (MATCH(967, 輔助計算!$G$2:$G$801, 0)+1))&lt;=46.5,2,1)), IF(INDEX(ERP資料!$G:$G, (MATCH(967, 輔助計算!$G$2:$G$801, 0)+1))&lt;=790,3,IF(INDEX(ERP資料!$G:$G, (MATCH(967, 輔助計算!$G$2:$G$801, 0)+1))&lt;=1181,2,1))))=1,TEXT(INDEX(ERP資料!$G:$G, (MATCH(967, 輔助計算!$G$2:$G$801, 0)+1)),"0.##"),IF(MOD(INDEX(輔助計算!$D:$D, (MATCH(967, 輔助計算!$G$2:$G$801, 0)+1)),IF(INDEX(ERP資料!$G:$G, (MATCH(967, 輔助計算!$G$2:$G$801, 0)+1))&lt;100, IF(INDEX(ERP資料!$G:$G, (MATCH(967, 輔助計算!$G$2:$G$801, 0)+1))&lt;=31,3,IF(INDEX(ERP資料!$G:$G, (MATCH(967, 輔助計算!$G$2:$G$801, 0)+1))&lt;=46.5,2,1)), IF(INDEX(ERP資料!$G:$G, (MATCH(967, 輔助計算!$G$2:$G$801, 0)+1))&lt;=790,3,IF(INDEX(ERP資料!$G:$G, (MATCH(967, 輔助計算!$G$2:$G$801, 0)+1))&lt;=1181,2,1))))=2,TEXT(INDEX(ERP資料!$G:$G, (MATCH(967, 輔助計算!$G$2:$G$801, 0)+1)),"0.##")&amp;"+"&amp;TEXT(INDEX(ERP資料!$G:$G, (MATCH(967, 輔助計算!$G$2:$G$801, 0)+1)),"0.##"),TEXT(INDEX(ERP資料!$G:$G, (MATCH(967, 輔助計算!$G$2:$G$801, 0)+1)),"0.##")&amp;"+"&amp;TEXT(INDEX(ERP資料!$G:$G, (MATCH(967, 輔助計算!$G$2:$G$801, 0)+1)),"0.##")&amp;"+"&amp;TEXT(INDEX(ERP資料!$G:$G, (MATCH(967, 輔助計算!$G$2:$G$801, 0)+1)),"0.##"))))&amp;"-1")&lt;&gt;""),"  ","")&amp;IF(MOD(INDEX(輔助計算!$D:$D, (MATCH(967, 輔助計算!$G$2:$G$801, 0)+1)),IF(INDEX(ERP資料!$G:$G, (MATCH(967, 輔助計算!$G$2:$G$801, 0)+1))&lt;100, IF(INDEX(ERP資料!$G:$G, (MATCH(967, 輔助計算!$G$2:$G$801, 0)+1))&lt;=31,3,IF(INDEX(ERP資料!$G:$G, (MATCH(967, 輔助計算!$G$2:$G$801, 0)+1))&lt;=46.5,2,1)), IF(INDEX(ERP資料!$G:$G, (MATCH(967, 輔助計算!$G$2:$G$801, 0)+1))&lt;=790,3,IF(INDEX(ERP資料!$G:$G, (MATCH(967, 輔助計算!$G$2:$G$801, 0)+1))&lt;=1181,2,1))))=0,"",IF(MOD(INDEX(輔助計算!$D:$D, (MATCH(967, 輔助計算!$G$2:$G$801, 0)+1)),IF(INDEX(ERP資料!$G:$G, (MATCH(967, 輔助計算!$G$2:$G$801, 0)+1))&lt;100, IF(INDEX(ERP資料!$G:$G, (MATCH(967, 輔助計算!$G$2:$G$801, 0)+1))&lt;=31,3,IF(INDEX(ERP資料!$G:$G, (MATCH(967, 輔助計算!$G$2:$G$801, 0)+1))&lt;=46.5,2,1)), IF(INDEX(ERP資料!$G:$G, (MATCH(967, 輔助計算!$G$2:$G$801, 0)+1))&lt;=790,3,IF(INDEX(ERP資料!$G:$G, (MATCH(967, 輔助計算!$G$2:$G$801, 0)+1))&lt;=1181,2,1))))=0,"",IF(MOD(INDEX(輔助計算!$D:$D, (MATCH(967, 輔助計算!$G$2:$G$801, 0)+1)),IF(INDEX(ERP資料!$G:$G, (MATCH(967, 輔助計算!$G$2:$G$801, 0)+1))&lt;100, IF(INDEX(ERP資料!$G:$G, (MATCH(967, 輔助計算!$G$2:$G$801, 0)+1))&lt;=31,3,IF(INDEX(ERP資料!$G:$G, (MATCH(967, 輔助計算!$G$2:$G$801, 0)+1))&lt;=46.5,2,1)), IF(INDEX(ERP資料!$G:$G, (MATCH(967, 輔助計算!$G$2:$G$801, 0)+1))&lt;=790,3,IF(INDEX(ERP資料!$G:$G, (MATCH(967, 輔助計算!$G$2:$G$801, 0)+1))&lt;=1181,2,1))))=1,TEXT(INDEX(ERP資料!$G:$G, (MATCH(967, 輔助計算!$G$2:$G$801, 0)+1)),"0.##"),IF(MOD(INDEX(輔助計算!$D:$D, (MATCH(967, 輔助計算!$G$2:$G$801, 0)+1)),IF(INDEX(ERP資料!$G:$G, (MATCH(967, 輔助計算!$G$2:$G$801, 0)+1))&lt;100, IF(INDEX(ERP資料!$G:$G, (MATCH(967, 輔助計算!$G$2:$G$801, 0)+1))&lt;=31,3,IF(INDEX(ERP資料!$G:$G, (MATCH(967, 輔助計算!$G$2:$G$801, 0)+1))&lt;=46.5,2,1)), IF(INDEX(ERP資料!$G:$G, (MATCH(967, 輔助計算!$G$2:$G$801, 0)+1))&lt;=790,3,IF(INDEX(ERP資料!$G:$G, (MATCH(967, 輔助計算!$G$2:$G$801, 0)+1))&lt;=1181,2,1))))=2,TEXT(INDEX(ERP資料!$G:$G, (MATCH(967, 輔助計算!$G$2:$G$801, 0)+1)),"0.##")&amp;"+"&amp;TEXT(INDEX(ERP資料!$G:$G, (MATCH(967, 輔助計算!$G$2:$G$801, 0)+1)),"0.##"),TEXT(INDEX(ERP資料!$G:$G, (MATCH(967, 輔助計算!$G$2:$G$801, 0)+1)),"0.##")&amp;"+"&amp;TEXT(INDEX(ERP資料!$G:$G, (MATCH(967, 輔助計算!$G$2:$G$801, 0)+1)),"0.##")&amp;"+"&amp;TEXT(INDEX(ERP資料!$G:$G, (MATCH(967, 輔助計算!$G$2:$G$801, 0)+1)),"0.##"))))&amp;"-1")), ""), "")</f>
        <v/>
      </c>
      <c r="K968" s="16" t="n"/>
      <c r="L968" s="14">
        <f>IFERROR(IF(AND(IFERROR(INDEX(ERP資料!$A:$A, (MATCH(967, 輔助計算!$G$2:$G$801, 0)+1)), "")&lt;&gt;"", IFERROR(INDEX(ERP資料!$A:$A, (MATCH(967, 輔助計算!$G$2:$G$801, 0)+1)), "")&lt;&gt;IFERROR(INDEX(ERP資料!$A:$A, MATCH(966, 輔助計算!$G$2:$G$801, 0)+1), "")), INDEX(ERP資料!$B:$B, (MATCH(967, 輔助計算!$G$2:$G$801, 0)+1)), ""), "")</f>
        <v/>
      </c>
      <c r="M968" s="17" t="n"/>
    </row>
    <row r="969">
      <c r="A969" s="10">
        <f>IFERROR(IF(AND(IFERROR(INDEX(ERP資料!$A:$A, (MATCH(968, 輔助計算!$G$2:$G$801, 0)+1)), "")&lt;&gt;"", IFERROR(INDEX(ERP資料!$A:$A, (MATCH(968, 輔助計算!$G$2:$G$801, 0)+1)), "")&lt;&gt;IFERROR(INDEX(ERP資料!$A:$A, MATCH(967, 輔助計算!$G$2:$G$801, 0)+1), "")), IFERROR(INDEX(ERP資料!$A:$A, (MATCH(968, 輔助計算!$G$2:$G$801, 0)+1)), ""), ""), "")</f>
        <v/>
      </c>
      <c r="B969" s="10">
        <f>IFERROR(IF(AND(IFERROR(INDEX(ERP資料!$A:$A, (MATCH(968, 輔助計算!$G$2:$G$801, 0)+1)), "")&lt;&gt;"", IFERROR(INDEX(ERP資料!$A:$A, (MATCH(968, 輔助計算!$G$2:$G$801, 0)+1)), "")&lt;&gt;IFERROR(INDEX(ERP資料!$A:$A, MATCH(967, 輔助計算!$G$2:$G$801, 0)+1), "")), INDEX(ERP資料!$S:$S, (MATCH(968, 輔助計算!$G$2:$G$801, 0)+1)), ""), "")</f>
        <v/>
      </c>
      <c r="C969" s="19">
        <f>IFERROR(IF(AND(IFERROR(INDEX(ERP資料!$A:$A, (MATCH(968, 輔助計算!$G$2:$G$801, 0)+1)), "")&lt;&gt;"", IFERROR(INDEX(ERP資料!$A:$A, (MATCH(968, 輔助計算!$G$2:$G$801, 0)+1)), "")&lt;&gt;IFERROR(INDEX(ERP資料!$A:$A, MATCH(967, 輔助計算!$G$2:$G$801, 0)+1), "")), IFERROR(VLOOKUP(LEFT(INDEX(ERP資料!$S:$S, (MATCH(968, 輔助計算!$G$2:$G$801, 0)+1)), 4), 紙管對照表!$A:$C, 3, FALSE), ""), ""), "")</f>
        <v/>
      </c>
      <c r="D969" s="16" t="n"/>
      <c r="E969" s="10">
        <f>IFERROR(IF(INDEX(ERP資料!$H:$H, (MATCH(968, 輔助計算!$G$2:$G$801, 0)+1))="","",INDEX(ERP資料!$H:$H, (MATCH(968, 輔助計算!$G$2:$G$801, 0)+1))), "")</f>
        <v/>
      </c>
      <c r="F969" s="10">
        <f>IFERROR(IF(INDEX(ERP資料!$E:$E, (MATCH(968, 輔助計算!$G$2:$G$801, 0)+1))="","",TRIM(INDEX(ERP資料!$E:$E, (MATCH(968, 輔助計算!$G$2:$G$801, 0)+1)))), "")</f>
        <v/>
      </c>
      <c r="G969" s="10">
        <f>IFERROR(IF(INDEX(ERP資料!$F:$F, (MATCH(968, 輔助計算!$G$2:$G$801, 0)+1))="","",INDEX(ERP資料!$F:$F, (MATCH(968, 輔助計算!$G$2:$G$801, 0)+1))), "")</f>
        <v/>
      </c>
      <c r="H969" s="10">
        <f>IFERROR(IF(INDEX(ERP資料!$G:$G, (MATCH(968, 輔助計算!$G$2:$G$801, 0)+1))="","",INDEX(ERP資料!$G:$G, (MATCH(968, 輔助計算!$G$2:$G$801, 0)+1))), "")</f>
        <v/>
      </c>
      <c r="I969" s="15">
        <f>IFERROR(INDEX(輔助計算!$D:$D, (MATCH(968, 輔助計算!$G$2:$G$801, 0)+1)), "")</f>
        <v/>
      </c>
      <c r="J969" s="15">
        <f>IFERROR(IF(AND(INDEX(輔助計算!$D:$D, (MATCH(968, 輔助計算!$G$2:$G$801, 0)+1))&lt;&gt;"", INDEX(ERP資料!$G:$G, (MATCH(968, 輔助計算!$G$2:$G$801, 0)+1))&lt;&gt;""), TRIM(IF(INT(INDEX(輔助計算!$D:$D, (MATCH(968, 輔助計算!$G$2:$G$801, 0)+1))/IF(INDEX(ERP資料!$G:$G, (MATCH(968, 輔助計算!$G$2:$G$801, 0)+1))&lt;100, IF(INDEX(ERP資料!$G:$G, (MATCH(968, 輔助計算!$G$2:$G$801, 0)+1))&lt;=31,3,IF(INDEX(ERP資料!$G:$G, (MATCH(968, 輔助計算!$G$2:$G$801, 0)+1))&lt;=46.5,2,1)), IF(INDEX(ERP資料!$G:$G, (MATCH(968, 輔助計算!$G$2:$G$801, 0)+1))&lt;=790,3,IF(INDEX(ERP資料!$G:$G, (MATCH(968, 輔助計算!$G$2:$G$801, 0)+1))&lt;=1181,2,1))))&gt;0, IF(IF(INDEX(ERP資料!$G:$G, (MATCH(968, 輔助計算!$G$2:$G$801, 0)+1))&lt;100, IF(INDEX(ERP資料!$G:$G, (MATCH(968, 輔助計算!$G$2:$G$801, 0)+1))&lt;=31,3,IF(INDEX(ERP資料!$G:$G, (MATCH(968, 輔助計算!$G$2:$G$801, 0)+1))&lt;=46.5,2,1)), IF(INDEX(ERP資料!$G:$G, (MATCH(968, 輔助計算!$G$2:$G$801, 0)+1))&lt;=790,3,IF(INDEX(ERP資料!$G:$G, (MATCH(968, 輔助計算!$G$2:$G$801, 0)+1))&lt;=1181,2,1)))=1,TEXT(INDEX(ERP資料!$G:$G, (MATCH(968, 輔助計算!$G$2:$G$801, 0)+1)),"0.##"),IF(IF(INDEX(ERP資料!$G:$G, (MATCH(968, 輔助計算!$G$2:$G$801, 0)+1))&lt;100, IF(INDEX(ERP資料!$G:$G, (MATCH(968, 輔助計算!$G$2:$G$801, 0)+1))&lt;=31,3,IF(INDEX(ERP資料!$G:$G, (MATCH(968, 輔助計算!$G$2:$G$801, 0)+1))&lt;=46.5,2,1)), IF(INDEX(ERP資料!$G:$G, (MATCH(968, 輔助計算!$G$2:$G$801, 0)+1))&lt;=790,3,IF(INDEX(ERP資料!$G:$G, (MATCH(968, 輔助計算!$G$2:$G$801, 0)+1))&lt;=1181,2,1)))=2,TEXT(INDEX(ERP資料!$G:$G, (MATCH(968, 輔助計算!$G$2:$G$801, 0)+1)),"0.##")&amp;"+"&amp;TEXT(INDEX(ERP資料!$G:$G, (MATCH(968, 輔助計算!$G$2:$G$801, 0)+1)),"0.##"),TEXT(INDEX(ERP資料!$G:$G, (MATCH(968, 輔助計算!$G$2:$G$801, 0)+1)),"0.##")&amp;"+"&amp;TEXT(INDEX(ERP資料!$G:$G, (MATCH(968, 輔助計算!$G$2:$G$801, 0)+1)),"0.##")&amp;"+"&amp;TEXT(INDEX(ERP資料!$G:$G, (MATCH(968, 輔助計算!$G$2:$G$801, 0)+1)),"0.##")))&amp;"-"&amp;INT(INDEX(輔助計算!$D:$D, (MATCH(968, 輔助計算!$G$2:$G$801, 0)+1))/IF(INDEX(ERP資料!$G:$G, (MATCH(968, 輔助計算!$G$2:$G$801, 0)+1))&lt;100, IF(INDEX(ERP資料!$G:$G, (MATCH(968, 輔助計算!$G$2:$G$801, 0)+1))&lt;=31,3,IF(INDEX(ERP資料!$G:$G, (MATCH(968, 輔助計算!$G$2:$G$801, 0)+1))&lt;=46.5,2,1)), IF(INDEX(ERP資料!$G:$G, (MATCH(968, 輔助計算!$G$2:$G$801, 0)+1))&lt;=790,3,IF(INDEX(ERP資料!$G:$G, (MATCH(968, 輔助計算!$G$2:$G$801, 0)+1))&lt;=1181,2,1)))), "")&amp;IF(AND(IF(INT(INDEX(輔助計算!$D:$D, (MATCH(968, 輔助計算!$G$2:$G$801, 0)+1))/IF(INDEX(ERP資料!$G:$G, (MATCH(968, 輔助計算!$G$2:$G$801, 0)+1))&lt;100, IF(INDEX(ERP資料!$G:$G, (MATCH(968, 輔助計算!$G$2:$G$801, 0)+1))&lt;=31,3,IF(INDEX(ERP資料!$G:$G, (MATCH(968, 輔助計算!$G$2:$G$801, 0)+1))&lt;=46.5,2,1)), IF(INDEX(ERP資料!$G:$G, (MATCH(968, 輔助計算!$G$2:$G$801, 0)+1))&lt;=790,3,IF(INDEX(ERP資料!$G:$G, (MATCH(968, 輔助計算!$G$2:$G$801, 0)+1))&lt;=1181,2,1))))&gt;0, IF(IF(INDEX(ERP資料!$G:$G, (MATCH(968, 輔助計算!$G$2:$G$801, 0)+1))&lt;100, IF(INDEX(ERP資料!$G:$G, (MATCH(968, 輔助計算!$G$2:$G$801, 0)+1))&lt;=31,3,IF(INDEX(ERP資料!$G:$G, (MATCH(968, 輔助計算!$G$2:$G$801, 0)+1))&lt;=46.5,2,1)), IF(INDEX(ERP資料!$G:$G, (MATCH(968, 輔助計算!$G$2:$G$801, 0)+1))&lt;=790,3,IF(INDEX(ERP資料!$G:$G, (MATCH(968, 輔助計算!$G$2:$G$801, 0)+1))&lt;=1181,2,1)))=1,TEXT(INDEX(ERP資料!$G:$G, (MATCH(968, 輔助計算!$G$2:$G$801, 0)+1)),"0.##"),IF(IF(INDEX(ERP資料!$G:$G, (MATCH(968, 輔助計算!$G$2:$G$801, 0)+1))&lt;100, IF(INDEX(ERP資料!$G:$G, (MATCH(968, 輔助計算!$G$2:$G$801, 0)+1))&lt;=31,3,IF(INDEX(ERP資料!$G:$G, (MATCH(968, 輔助計算!$G$2:$G$801, 0)+1))&lt;=46.5,2,1)), IF(INDEX(ERP資料!$G:$G, (MATCH(968, 輔助計算!$G$2:$G$801, 0)+1))&lt;=790,3,IF(INDEX(ERP資料!$G:$G, (MATCH(968, 輔助計算!$G$2:$G$801, 0)+1))&lt;=1181,2,1)))=2,TEXT(INDEX(ERP資料!$G:$G, (MATCH(968, 輔助計算!$G$2:$G$801, 0)+1)),"0.##")&amp;"+"&amp;TEXT(INDEX(ERP資料!$G:$G, (MATCH(968, 輔助計算!$G$2:$G$801, 0)+1)),"0.##"),TEXT(INDEX(ERP資料!$G:$G, (MATCH(968, 輔助計算!$G$2:$G$801, 0)+1)),"0.##")&amp;"+"&amp;TEXT(INDEX(ERP資料!$G:$G, (MATCH(968, 輔助計算!$G$2:$G$801, 0)+1)),"0.##")&amp;"+"&amp;TEXT(INDEX(ERP資料!$G:$G, (MATCH(968, 輔助計算!$G$2:$G$801, 0)+1)),"0.##")))&amp;"-"&amp;INT(INDEX(輔助計算!$D:$D, (MATCH(968, 輔助計算!$G$2:$G$801, 0)+1))/IF(INDEX(ERP資料!$G:$G, (MATCH(968, 輔助計算!$G$2:$G$801, 0)+1))&lt;100, IF(INDEX(ERP資料!$G:$G, (MATCH(968, 輔助計算!$G$2:$G$801, 0)+1))&lt;=31,3,IF(INDEX(ERP資料!$G:$G, (MATCH(968, 輔助計算!$G$2:$G$801, 0)+1))&lt;=46.5,2,1)), IF(INDEX(ERP資料!$G:$G, (MATCH(968, 輔助計算!$G$2:$G$801, 0)+1))&lt;=790,3,IF(INDEX(ERP資料!$G:$G, (MATCH(968, 輔助計算!$G$2:$G$801, 0)+1))&lt;=1181,2,1)))), "")&lt;&gt;"",IF(MOD(INDEX(輔助計算!$D:$D, (MATCH(968, 輔助計算!$G$2:$G$801, 0)+1)),IF(INDEX(ERP資料!$G:$G, (MATCH(968, 輔助計算!$G$2:$G$801, 0)+1))&lt;100, IF(INDEX(ERP資料!$G:$G, (MATCH(968, 輔助計算!$G$2:$G$801, 0)+1))&lt;=31,3,IF(INDEX(ERP資料!$G:$G, (MATCH(968, 輔助計算!$G$2:$G$801, 0)+1))&lt;=46.5,2,1)), IF(INDEX(ERP資料!$G:$G, (MATCH(968, 輔助計算!$G$2:$G$801, 0)+1))&lt;=790,3,IF(INDEX(ERP資料!$G:$G, (MATCH(968, 輔助計算!$G$2:$G$801, 0)+1))&lt;=1181,2,1))))=0,"",IF(MOD(INDEX(輔助計算!$D:$D, (MATCH(968, 輔助計算!$G$2:$G$801, 0)+1)),IF(INDEX(ERP資料!$G:$G, (MATCH(968, 輔助計算!$G$2:$G$801, 0)+1))&lt;100, IF(INDEX(ERP資料!$G:$G, (MATCH(968, 輔助計算!$G$2:$G$801, 0)+1))&lt;=31,3,IF(INDEX(ERP資料!$G:$G, (MATCH(968, 輔助計算!$G$2:$G$801, 0)+1))&lt;=46.5,2,1)), IF(INDEX(ERP資料!$G:$G, (MATCH(968, 輔助計算!$G$2:$G$801, 0)+1))&lt;=790,3,IF(INDEX(ERP資料!$G:$G, (MATCH(968, 輔助計算!$G$2:$G$801, 0)+1))&lt;=1181,2,1))))=0,"",IF(MOD(INDEX(輔助計算!$D:$D, (MATCH(968, 輔助計算!$G$2:$G$801, 0)+1)),IF(INDEX(ERP資料!$G:$G, (MATCH(968, 輔助計算!$G$2:$G$801, 0)+1))&lt;100, IF(INDEX(ERP資料!$G:$G, (MATCH(968, 輔助計算!$G$2:$G$801, 0)+1))&lt;=31,3,IF(INDEX(ERP資料!$G:$G, (MATCH(968, 輔助計算!$G$2:$G$801, 0)+1))&lt;=46.5,2,1)), IF(INDEX(ERP資料!$G:$G, (MATCH(968, 輔助計算!$G$2:$G$801, 0)+1))&lt;=790,3,IF(INDEX(ERP資料!$G:$G, (MATCH(968, 輔助計算!$G$2:$G$801, 0)+1))&lt;=1181,2,1))))=1,TEXT(INDEX(ERP資料!$G:$G, (MATCH(968, 輔助計算!$G$2:$G$801, 0)+1)),"0.##"),IF(MOD(INDEX(輔助計算!$D:$D, (MATCH(968, 輔助計算!$G$2:$G$801, 0)+1)),IF(INDEX(ERP資料!$G:$G, (MATCH(968, 輔助計算!$G$2:$G$801, 0)+1))&lt;100, IF(INDEX(ERP資料!$G:$G, (MATCH(968, 輔助計算!$G$2:$G$801, 0)+1))&lt;=31,3,IF(INDEX(ERP資料!$G:$G, (MATCH(968, 輔助計算!$G$2:$G$801, 0)+1))&lt;=46.5,2,1)), IF(INDEX(ERP資料!$G:$G, (MATCH(968, 輔助計算!$G$2:$G$801, 0)+1))&lt;=790,3,IF(INDEX(ERP資料!$G:$G, (MATCH(968, 輔助計算!$G$2:$G$801, 0)+1))&lt;=1181,2,1))))=2,TEXT(INDEX(ERP資料!$G:$G, (MATCH(968, 輔助計算!$G$2:$G$801, 0)+1)),"0.##")&amp;"+"&amp;TEXT(INDEX(ERP資料!$G:$G, (MATCH(968, 輔助計算!$G$2:$G$801, 0)+1)),"0.##"),TEXT(INDEX(ERP資料!$G:$G, (MATCH(968, 輔助計算!$G$2:$G$801, 0)+1)),"0.##")&amp;"+"&amp;TEXT(INDEX(ERP資料!$G:$G, (MATCH(968, 輔助計算!$G$2:$G$801, 0)+1)),"0.##")&amp;"+"&amp;TEXT(INDEX(ERP資料!$G:$G, (MATCH(968, 輔助計算!$G$2:$G$801, 0)+1)),"0.##"))))&amp;"-1")&lt;&gt;""),"  ","")&amp;IF(MOD(INDEX(輔助計算!$D:$D, (MATCH(968, 輔助計算!$G$2:$G$801, 0)+1)),IF(INDEX(ERP資料!$G:$G, (MATCH(968, 輔助計算!$G$2:$G$801, 0)+1))&lt;100, IF(INDEX(ERP資料!$G:$G, (MATCH(968, 輔助計算!$G$2:$G$801, 0)+1))&lt;=31,3,IF(INDEX(ERP資料!$G:$G, (MATCH(968, 輔助計算!$G$2:$G$801, 0)+1))&lt;=46.5,2,1)), IF(INDEX(ERP資料!$G:$G, (MATCH(968, 輔助計算!$G$2:$G$801, 0)+1))&lt;=790,3,IF(INDEX(ERP資料!$G:$G, (MATCH(968, 輔助計算!$G$2:$G$801, 0)+1))&lt;=1181,2,1))))=0,"",IF(MOD(INDEX(輔助計算!$D:$D, (MATCH(968, 輔助計算!$G$2:$G$801, 0)+1)),IF(INDEX(ERP資料!$G:$G, (MATCH(968, 輔助計算!$G$2:$G$801, 0)+1))&lt;100, IF(INDEX(ERP資料!$G:$G, (MATCH(968, 輔助計算!$G$2:$G$801, 0)+1))&lt;=31,3,IF(INDEX(ERP資料!$G:$G, (MATCH(968, 輔助計算!$G$2:$G$801, 0)+1))&lt;=46.5,2,1)), IF(INDEX(ERP資料!$G:$G, (MATCH(968, 輔助計算!$G$2:$G$801, 0)+1))&lt;=790,3,IF(INDEX(ERP資料!$G:$G, (MATCH(968, 輔助計算!$G$2:$G$801, 0)+1))&lt;=1181,2,1))))=0,"",IF(MOD(INDEX(輔助計算!$D:$D, (MATCH(968, 輔助計算!$G$2:$G$801, 0)+1)),IF(INDEX(ERP資料!$G:$G, (MATCH(968, 輔助計算!$G$2:$G$801, 0)+1))&lt;100, IF(INDEX(ERP資料!$G:$G, (MATCH(968, 輔助計算!$G$2:$G$801, 0)+1))&lt;=31,3,IF(INDEX(ERP資料!$G:$G, (MATCH(968, 輔助計算!$G$2:$G$801, 0)+1))&lt;=46.5,2,1)), IF(INDEX(ERP資料!$G:$G, (MATCH(968, 輔助計算!$G$2:$G$801, 0)+1))&lt;=790,3,IF(INDEX(ERP資料!$G:$G, (MATCH(968, 輔助計算!$G$2:$G$801, 0)+1))&lt;=1181,2,1))))=1,TEXT(INDEX(ERP資料!$G:$G, (MATCH(968, 輔助計算!$G$2:$G$801, 0)+1)),"0.##"),IF(MOD(INDEX(輔助計算!$D:$D, (MATCH(968, 輔助計算!$G$2:$G$801, 0)+1)),IF(INDEX(ERP資料!$G:$G, (MATCH(968, 輔助計算!$G$2:$G$801, 0)+1))&lt;100, IF(INDEX(ERP資料!$G:$G, (MATCH(968, 輔助計算!$G$2:$G$801, 0)+1))&lt;=31,3,IF(INDEX(ERP資料!$G:$G, (MATCH(968, 輔助計算!$G$2:$G$801, 0)+1))&lt;=46.5,2,1)), IF(INDEX(ERP資料!$G:$G, (MATCH(968, 輔助計算!$G$2:$G$801, 0)+1))&lt;=790,3,IF(INDEX(ERP資料!$G:$G, (MATCH(968, 輔助計算!$G$2:$G$801, 0)+1))&lt;=1181,2,1))))=2,TEXT(INDEX(ERP資料!$G:$G, (MATCH(968, 輔助計算!$G$2:$G$801, 0)+1)),"0.##")&amp;"+"&amp;TEXT(INDEX(ERP資料!$G:$G, (MATCH(968, 輔助計算!$G$2:$G$801, 0)+1)),"0.##"),TEXT(INDEX(ERP資料!$G:$G, (MATCH(968, 輔助計算!$G$2:$G$801, 0)+1)),"0.##")&amp;"+"&amp;TEXT(INDEX(ERP資料!$G:$G, (MATCH(968, 輔助計算!$G$2:$G$801, 0)+1)),"0.##")&amp;"+"&amp;TEXT(INDEX(ERP資料!$G:$G, (MATCH(968, 輔助計算!$G$2:$G$801, 0)+1)),"0.##"))))&amp;"-1")), ""), "")</f>
        <v/>
      </c>
      <c r="K969" s="16" t="n"/>
      <c r="L969" s="14">
        <f>IFERROR(IF(AND(IFERROR(INDEX(ERP資料!$A:$A, (MATCH(968, 輔助計算!$G$2:$G$801, 0)+1)), "")&lt;&gt;"", IFERROR(INDEX(ERP資料!$A:$A, (MATCH(968, 輔助計算!$G$2:$G$801, 0)+1)), "")&lt;&gt;IFERROR(INDEX(ERP資料!$A:$A, MATCH(967, 輔助計算!$G$2:$G$801, 0)+1), "")), INDEX(ERP資料!$B:$B, (MATCH(968, 輔助計算!$G$2:$G$801, 0)+1)), ""), "")</f>
        <v/>
      </c>
      <c r="M969" s="17" t="n"/>
    </row>
    <row r="970">
      <c r="A970" s="10">
        <f>IFERROR(IF(AND(IFERROR(INDEX(ERP資料!$A:$A, (MATCH(969, 輔助計算!$G$2:$G$801, 0)+1)), "")&lt;&gt;"", IFERROR(INDEX(ERP資料!$A:$A, (MATCH(969, 輔助計算!$G$2:$G$801, 0)+1)), "")&lt;&gt;IFERROR(INDEX(ERP資料!$A:$A, MATCH(968, 輔助計算!$G$2:$G$801, 0)+1), "")), IFERROR(INDEX(ERP資料!$A:$A, (MATCH(969, 輔助計算!$G$2:$G$801, 0)+1)), ""), ""), "")</f>
        <v/>
      </c>
      <c r="B970" s="10">
        <f>IFERROR(IF(AND(IFERROR(INDEX(ERP資料!$A:$A, (MATCH(969, 輔助計算!$G$2:$G$801, 0)+1)), "")&lt;&gt;"", IFERROR(INDEX(ERP資料!$A:$A, (MATCH(969, 輔助計算!$G$2:$G$801, 0)+1)), "")&lt;&gt;IFERROR(INDEX(ERP資料!$A:$A, MATCH(968, 輔助計算!$G$2:$G$801, 0)+1), "")), INDEX(ERP資料!$S:$S, (MATCH(969, 輔助計算!$G$2:$G$801, 0)+1)), ""), "")</f>
        <v/>
      </c>
      <c r="C970" s="19">
        <f>IFERROR(IF(AND(IFERROR(INDEX(ERP資料!$A:$A, (MATCH(969, 輔助計算!$G$2:$G$801, 0)+1)), "")&lt;&gt;"", IFERROR(INDEX(ERP資料!$A:$A, (MATCH(969, 輔助計算!$G$2:$G$801, 0)+1)), "")&lt;&gt;IFERROR(INDEX(ERP資料!$A:$A, MATCH(968, 輔助計算!$G$2:$G$801, 0)+1), "")), IFERROR(VLOOKUP(LEFT(INDEX(ERP資料!$S:$S, (MATCH(969, 輔助計算!$G$2:$G$801, 0)+1)), 4), 紙管對照表!$A:$C, 3, FALSE), ""), ""), "")</f>
        <v/>
      </c>
      <c r="D970" s="16" t="n"/>
      <c r="E970" s="10">
        <f>IFERROR(IF(INDEX(ERP資料!$H:$H, (MATCH(969, 輔助計算!$G$2:$G$801, 0)+1))="","",INDEX(ERP資料!$H:$H, (MATCH(969, 輔助計算!$G$2:$G$801, 0)+1))), "")</f>
        <v/>
      </c>
      <c r="F970" s="10">
        <f>IFERROR(IF(INDEX(ERP資料!$E:$E, (MATCH(969, 輔助計算!$G$2:$G$801, 0)+1))="","",TRIM(INDEX(ERP資料!$E:$E, (MATCH(969, 輔助計算!$G$2:$G$801, 0)+1)))), "")</f>
        <v/>
      </c>
      <c r="G970" s="10">
        <f>IFERROR(IF(INDEX(ERP資料!$F:$F, (MATCH(969, 輔助計算!$G$2:$G$801, 0)+1))="","",INDEX(ERP資料!$F:$F, (MATCH(969, 輔助計算!$G$2:$G$801, 0)+1))), "")</f>
        <v/>
      </c>
      <c r="H970" s="10">
        <f>IFERROR(IF(INDEX(ERP資料!$G:$G, (MATCH(969, 輔助計算!$G$2:$G$801, 0)+1))="","",INDEX(ERP資料!$G:$G, (MATCH(969, 輔助計算!$G$2:$G$801, 0)+1))), "")</f>
        <v/>
      </c>
      <c r="I970" s="15">
        <f>IFERROR(INDEX(輔助計算!$D:$D, (MATCH(969, 輔助計算!$G$2:$G$801, 0)+1)), "")</f>
        <v/>
      </c>
      <c r="J970" s="15">
        <f>IFERROR(IF(AND(INDEX(輔助計算!$D:$D, (MATCH(969, 輔助計算!$G$2:$G$801, 0)+1))&lt;&gt;"", INDEX(ERP資料!$G:$G, (MATCH(969, 輔助計算!$G$2:$G$801, 0)+1))&lt;&gt;""), TRIM(IF(INT(INDEX(輔助計算!$D:$D, (MATCH(969, 輔助計算!$G$2:$G$801, 0)+1))/IF(INDEX(ERP資料!$G:$G, (MATCH(969, 輔助計算!$G$2:$G$801, 0)+1))&lt;100, IF(INDEX(ERP資料!$G:$G, (MATCH(969, 輔助計算!$G$2:$G$801, 0)+1))&lt;=31,3,IF(INDEX(ERP資料!$G:$G, (MATCH(969, 輔助計算!$G$2:$G$801, 0)+1))&lt;=46.5,2,1)), IF(INDEX(ERP資料!$G:$G, (MATCH(969, 輔助計算!$G$2:$G$801, 0)+1))&lt;=790,3,IF(INDEX(ERP資料!$G:$G, (MATCH(969, 輔助計算!$G$2:$G$801, 0)+1))&lt;=1181,2,1))))&gt;0, IF(IF(INDEX(ERP資料!$G:$G, (MATCH(969, 輔助計算!$G$2:$G$801, 0)+1))&lt;100, IF(INDEX(ERP資料!$G:$G, (MATCH(969, 輔助計算!$G$2:$G$801, 0)+1))&lt;=31,3,IF(INDEX(ERP資料!$G:$G, (MATCH(969, 輔助計算!$G$2:$G$801, 0)+1))&lt;=46.5,2,1)), IF(INDEX(ERP資料!$G:$G, (MATCH(969, 輔助計算!$G$2:$G$801, 0)+1))&lt;=790,3,IF(INDEX(ERP資料!$G:$G, (MATCH(969, 輔助計算!$G$2:$G$801, 0)+1))&lt;=1181,2,1)))=1,TEXT(INDEX(ERP資料!$G:$G, (MATCH(969, 輔助計算!$G$2:$G$801, 0)+1)),"0.##"),IF(IF(INDEX(ERP資料!$G:$G, (MATCH(969, 輔助計算!$G$2:$G$801, 0)+1))&lt;100, IF(INDEX(ERP資料!$G:$G, (MATCH(969, 輔助計算!$G$2:$G$801, 0)+1))&lt;=31,3,IF(INDEX(ERP資料!$G:$G, (MATCH(969, 輔助計算!$G$2:$G$801, 0)+1))&lt;=46.5,2,1)), IF(INDEX(ERP資料!$G:$G, (MATCH(969, 輔助計算!$G$2:$G$801, 0)+1))&lt;=790,3,IF(INDEX(ERP資料!$G:$G, (MATCH(969, 輔助計算!$G$2:$G$801, 0)+1))&lt;=1181,2,1)))=2,TEXT(INDEX(ERP資料!$G:$G, (MATCH(969, 輔助計算!$G$2:$G$801, 0)+1)),"0.##")&amp;"+"&amp;TEXT(INDEX(ERP資料!$G:$G, (MATCH(969, 輔助計算!$G$2:$G$801, 0)+1)),"0.##"),TEXT(INDEX(ERP資料!$G:$G, (MATCH(969, 輔助計算!$G$2:$G$801, 0)+1)),"0.##")&amp;"+"&amp;TEXT(INDEX(ERP資料!$G:$G, (MATCH(969, 輔助計算!$G$2:$G$801, 0)+1)),"0.##")&amp;"+"&amp;TEXT(INDEX(ERP資料!$G:$G, (MATCH(969, 輔助計算!$G$2:$G$801, 0)+1)),"0.##")))&amp;"-"&amp;INT(INDEX(輔助計算!$D:$D, (MATCH(969, 輔助計算!$G$2:$G$801, 0)+1))/IF(INDEX(ERP資料!$G:$G, (MATCH(969, 輔助計算!$G$2:$G$801, 0)+1))&lt;100, IF(INDEX(ERP資料!$G:$G, (MATCH(969, 輔助計算!$G$2:$G$801, 0)+1))&lt;=31,3,IF(INDEX(ERP資料!$G:$G, (MATCH(969, 輔助計算!$G$2:$G$801, 0)+1))&lt;=46.5,2,1)), IF(INDEX(ERP資料!$G:$G, (MATCH(969, 輔助計算!$G$2:$G$801, 0)+1))&lt;=790,3,IF(INDEX(ERP資料!$G:$G, (MATCH(969, 輔助計算!$G$2:$G$801, 0)+1))&lt;=1181,2,1)))), "")&amp;IF(AND(IF(INT(INDEX(輔助計算!$D:$D, (MATCH(969, 輔助計算!$G$2:$G$801, 0)+1))/IF(INDEX(ERP資料!$G:$G, (MATCH(969, 輔助計算!$G$2:$G$801, 0)+1))&lt;100, IF(INDEX(ERP資料!$G:$G, (MATCH(969, 輔助計算!$G$2:$G$801, 0)+1))&lt;=31,3,IF(INDEX(ERP資料!$G:$G, (MATCH(969, 輔助計算!$G$2:$G$801, 0)+1))&lt;=46.5,2,1)), IF(INDEX(ERP資料!$G:$G, (MATCH(969, 輔助計算!$G$2:$G$801, 0)+1))&lt;=790,3,IF(INDEX(ERP資料!$G:$G, (MATCH(969, 輔助計算!$G$2:$G$801, 0)+1))&lt;=1181,2,1))))&gt;0, IF(IF(INDEX(ERP資料!$G:$G, (MATCH(969, 輔助計算!$G$2:$G$801, 0)+1))&lt;100, IF(INDEX(ERP資料!$G:$G, (MATCH(969, 輔助計算!$G$2:$G$801, 0)+1))&lt;=31,3,IF(INDEX(ERP資料!$G:$G, (MATCH(969, 輔助計算!$G$2:$G$801, 0)+1))&lt;=46.5,2,1)), IF(INDEX(ERP資料!$G:$G, (MATCH(969, 輔助計算!$G$2:$G$801, 0)+1))&lt;=790,3,IF(INDEX(ERP資料!$G:$G, (MATCH(969, 輔助計算!$G$2:$G$801, 0)+1))&lt;=1181,2,1)))=1,TEXT(INDEX(ERP資料!$G:$G, (MATCH(969, 輔助計算!$G$2:$G$801, 0)+1)),"0.##"),IF(IF(INDEX(ERP資料!$G:$G, (MATCH(969, 輔助計算!$G$2:$G$801, 0)+1))&lt;100, IF(INDEX(ERP資料!$G:$G, (MATCH(969, 輔助計算!$G$2:$G$801, 0)+1))&lt;=31,3,IF(INDEX(ERP資料!$G:$G, (MATCH(969, 輔助計算!$G$2:$G$801, 0)+1))&lt;=46.5,2,1)), IF(INDEX(ERP資料!$G:$G, (MATCH(969, 輔助計算!$G$2:$G$801, 0)+1))&lt;=790,3,IF(INDEX(ERP資料!$G:$G, (MATCH(969, 輔助計算!$G$2:$G$801, 0)+1))&lt;=1181,2,1)))=2,TEXT(INDEX(ERP資料!$G:$G, (MATCH(969, 輔助計算!$G$2:$G$801, 0)+1)),"0.##")&amp;"+"&amp;TEXT(INDEX(ERP資料!$G:$G, (MATCH(969, 輔助計算!$G$2:$G$801, 0)+1)),"0.##"),TEXT(INDEX(ERP資料!$G:$G, (MATCH(969, 輔助計算!$G$2:$G$801, 0)+1)),"0.##")&amp;"+"&amp;TEXT(INDEX(ERP資料!$G:$G, (MATCH(969, 輔助計算!$G$2:$G$801, 0)+1)),"0.##")&amp;"+"&amp;TEXT(INDEX(ERP資料!$G:$G, (MATCH(969, 輔助計算!$G$2:$G$801, 0)+1)),"0.##")))&amp;"-"&amp;INT(INDEX(輔助計算!$D:$D, (MATCH(969, 輔助計算!$G$2:$G$801, 0)+1))/IF(INDEX(ERP資料!$G:$G, (MATCH(969, 輔助計算!$G$2:$G$801, 0)+1))&lt;100, IF(INDEX(ERP資料!$G:$G, (MATCH(969, 輔助計算!$G$2:$G$801, 0)+1))&lt;=31,3,IF(INDEX(ERP資料!$G:$G, (MATCH(969, 輔助計算!$G$2:$G$801, 0)+1))&lt;=46.5,2,1)), IF(INDEX(ERP資料!$G:$G, (MATCH(969, 輔助計算!$G$2:$G$801, 0)+1))&lt;=790,3,IF(INDEX(ERP資料!$G:$G, (MATCH(969, 輔助計算!$G$2:$G$801, 0)+1))&lt;=1181,2,1)))), "")&lt;&gt;"",IF(MOD(INDEX(輔助計算!$D:$D, (MATCH(969, 輔助計算!$G$2:$G$801, 0)+1)),IF(INDEX(ERP資料!$G:$G, (MATCH(969, 輔助計算!$G$2:$G$801, 0)+1))&lt;100, IF(INDEX(ERP資料!$G:$G, (MATCH(969, 輔助計算!$G$2:$G$801, 0)+1))&lt;=31,3,IF(INDEX(ERP資料!$G:$G, (MATCH(969, 輔助計算!$G$2:$G$801, 0)+1))&lt;=46.5,2,1)), IF(INDEX(ERP資料!$G:$G, (MATCH(969, 輔助計算!$G$2:$G$801, 0)+1))&lt;=790,3,IF(INDEX(ERP資料!$G:$G, (MATCH(969, 輔助計算!$G$2:$G$801, 0)+1))&lt;=1181,2,1))))=0,"",IF(MOD(INDEX(輔助計算!$D:$D, (MATCH(969, 輔助計算!$G$2:$G$801, 0)+1)),IF(INDEX(ERP資料!$G:$G, (MATCH(969, 輔助計算!$G$2:$G$801, 0)+1))&lt;100, IF(INDEX(ERP資料!$G:$G, (MATCH(969, 輔助計算!$G$2:$G$801, 0)+1))&lt;=31,3,IF(INDEX(ERP資料!$G:$G, (MATCH(969, 輔助計算!$G$2:$G$801, 0)+1))&lt;=46.5,2,1)), IF(INDEX(ERP資料!$G:$G, (MATCH(969, 輔助計算!$G$2:$G$801, 0)+1))&lt;=790,3,IF(INDEX(ERP資料!$G:$G, (MATCH(969, 輔助計算!$G$2:$G$801, 0)+1))&lt;=1181,2,1))))=0,"",IF(MOD(INDEX(輔助計算!$D:$D, (MATCH(969, 輔助計算!$G$2:$G$801, 0)+1)),IF(INDEX(ERP資料!$G:$G, (MATCH(969, 輔助計算!$G$2:$G$801, 0)+1))&lt;100, IF(INDEX(ERP資料!$G:$G, (MATCH(969, 輔助計算!$G$2:$G$801, 0)+1))&lt;=31,3,IF(INDEX(ERP資料!$G:$G, (MATCH(969, 輔助計算!$G$2:$G$801, 0)+1))&lt;=46.5,2,1)), IF(INDEX(ERP資料!$G:$G, (MATCH(969, 輔助計算!$G$2:$G$801, 0)+1))&lt;=790,3,IF(INDEX(ERP資料!$G:$G, (MATCH(969, 輔助計算!$G$2:$G$801, 0)+1))&lt;=1181,2,1))))=1,TEXT(INDEX(ERP資料!$G:$G, (MATCH(969, 輔助計算!$G$2:$G$801, 0)+1)),"0.##"),IF(MOD(INDEX(輔助計算!$D:$D, (MATCH(969, 輔助計算!$G$2:$G$801, 0)+1)),IF(INDEX(ERP資料!$G:$G, (MATCH(969, 輔助計算!$G$2:$G$801, 0)+1))&lt;100, IF(INDEX(ERP資料!$G:$G, (MATCH(969, 輔助計算!$G$2:$G$801, 0)+1))&lt;=31,3,IF(INDEX(ERP資料!$G:$G, (MATCH(969, 輔助計算!$G$2:$G$801, 0)+1))&lt;=46.5,2,1)), IF(INDEX(ERP資料!$G:$G, (MATCH(969, 輔助計算!$G$2:$G$801, 0)+1))&lt;=790,3,IF(INDEX(ERP資料!$G:$G, (MATCH(969, 輔助計算!$G$2:$G$801, 0)+1))&lt;=1181,2,1))))=2,TEXT(INDEX(ERP資料!$G:$G, (MATCH(969, 輔助計算!$G$2:$G$801, 0)+1)),"0.##")&amp;"+"&amp;TEXT(INDEX(ERP資料!$G:$G, (MATCH(969, 輔助計算!$G$2:$G$801, 0)+1)),"0.##"),TEXT(INDEX(ERP資料!$G:$G, (MATCH(969, 輔助計算!$G$2:$G$801, 0)+1)),"0.##")&amp;"+"&amp;TEXT(INDEX(ERP資料!$G:$G, (MATCH(969, 輔助計算!$G$2:$G$801, 0)+1)),"0.##")&amp;"+"&amp;TEXT(INDEX(ERP資料!$G:$G, (MATCH(969, 輔助計算!$G$2:$G$801, 0)+1)),"0.##"))))&amp;"-1")&lt;&gt;""),"  ","")&amp;IF(MOD(INDEX(輔助計算!$D:$D, (MATCH(969, 輔助計算!$G$2:$G$801, 0)+1)),IF(INDEX(ERP資料!$G:$G, (MATCH(969, 輔助計算!$G$2:$G$801, 0)+1))&lt;100, IF(INDEX(ERP資料!$G:$G, (MATCH(969, 輔助計算!$G$2:$G$801, 0)+1))&lt;=31,3,IF(INDEX(ERP資料!$G:$G, (MATCH(969, 輔助計算!$G$2:$G$801, 0)+1))&lt;=46.5,2,1)), IF(INDEX(ERP資料!$G:$G, (MATCH(969, 輔助計算!$G$2:$G$801, 0)+1))&lt;=790,3,IF(INDEX(ERP資料!$G:$G, (MATCH(969, 輔助計算!$G$2:$G$801, 0)+1))&lt;=1181,2,1))))=0,"",IF(MOD(INDEX(輔助計算!$D:$D, (MATCH(969, 輔助計算!$G$2:$G$801, 0)+1)),IF(INDEX(ERP資料!$G:$G, (MATCH(969, 輔助計算!$G$2:$G$801, 0)+1))&lt;100, IF(INDEX(ERP資料!$G:$G, (MATCH(969, 輔助計算!$G$2:$G$801, 0)+1))&lt;=31,3,IF(INDEX(ERP資料!$G:$G, (MATCH(969, 輔助計算!$G$2:$G$801, 0)+1))&lt;=46.5,2,1)), IF(INDEX(ERP資料!$G:$G, (MATCH(969, 輔助計算!$G$2:$G$801, 0)+1))&lt;=790,3,IF(INDEX(ERP資料!$G:$G, (MATCH(969, 輔助計算!$G$2:$G$801, 0)+1))&lt;=1181,2,1))))=0,"",IF(MOD(INDEX(輔助計算!$D:$D, (MATCH(969, 輔助計算!$G$2:$G$801, 0)+1)),IF(INDEX(ERP資料!$G:$G, (MATCH(969, 輔助計算!$G$2:$G$801, 0)+1))&lt;100, IF(INDEX(ERP資料!$G:$G, (MATCH(969, 輔助計算!$G$2:$G$801, 0)+1))&lt;=31,3,IF(INDEX(ERP資料!$G:$G, (MATCH(969, 輔助計算!$G$2:$G$801, 0)+1))&lt;=46.5,2,1)), IF(INDEX(ERP資料!$G:$G, (MATCH(969, 輔助計算!$G$2:$G$801, 0)+1))&lt;=790,3,IF(INDEX(ERP資料!$G:$G, (MATCH(969, 輔助計算!$G$2:$G$801, 0)+1))&lt;=1181,2,1))))=1,TEXT(INDEX(ERP資料!$G:$G, (MATCH(969, 輔助計算!$G$2:$G$801, 0)+1)),"0.##"),IF(MOD(INDEX(輔助計算!$D:$D, (MATCH(969, 輔助計算!$G$2:$G$801, 0)+1)),IF(INDEX(ERP資料!$G:$G, (MATCH(969, 輔助計算!$G$2:$G$801, 0)+1))&lt;100, IF(INDEX(ERP資料!$G:$G, (MATCH(969, 輔助計算!$G$2:$G$801, 0)+1))&lt;=31,3,IF(INDEX(ERP資料!$G:$G, (MATCH(969, 輔助計算!$G$2:$G$801, 0)+1))&lt;=46.5,2,1)), IF(INDEX(ERP資料!$G:$G, (MATCH(969, 輔助計算!$G$2:$G$801, 0)+1))&lt;=790,3,IF(INDEX(ERP資料!$G:$G, (MATCH(969, 輔助計算!$G$2:$G$801, 0)+1))&lt;=1181,2,1))))=2,TEXT(INDEX(ERP資料!$G:$G, (MATCH(969, 輔助計算!$G$2:$G$801, 0)+1)),"0.##")&amp;"+"&amp;TEXT(INDEX(ERP資料!$G:$G, (MATCH(969, 輔助計算!$G$2:$G$801, 0)+1)),"0.##"),TEXT(INDEX(ERP資料!$G:$G, (MATCH(969, 輔助計算!$G$2:$G$801, 0)+1)),"0.##")&amp;"+"&amp;TEXT(INDEX(ERP資料!$G:$G, (MATCH(969, 輔助計算!$G$2:$G$801, 0)+1)),"0.##")&amp;"+"&amp;TEXT(INDEX(ERP資料!$G:$G, (MATCH(969, 輔助計算!$G$2:$G$801, 0)+1)),"0.##"))))&amp;"-1")), ""), "")</f>
        <v/>
      </c>
      <c r="K970" s="16" t="n"/>
      <c r="L970" s="14">
        <f>IFERROR(IF(AND(IFERROR(INDEX(ERP資料!$A:$A, (MATCH(969, 輔助計算!$G$2:$G$801, 0)+1)), "")&lt;&gt;"", IFERROR(INDEX(ERP資料!$A:$A, (MATCH(969, 輔助計算!$G$2:$G$801, 0)+1)), "")&lt;&gt;IFERROR(INDEX(ERP資料!$A:$A, MATCH(968, 輔助計算!$G$2:$G$801, 0)+1), "")), INDEX(ERP資料!$B:$B, (MATCH(969, 輔助計算!$G$2:$G$801, 0)+1)), ""), "")</f>
        <v/>
      </c>
      <c r="M970" s="17" t="n"/>
    </row>
    <row r="971">
      <c r="A971" s="10">
        <f>IFERROR(IF(AND(IFERROR(INDEX(ERP資料!$A:$A, (MATCH(970, 輔助計算!$G$2:$G$801, 0)+1)), "")&lt;&gt;"", IFERROR(INDEX(ERP資料!$A:$A, (MATCH(970, 輔助計算!$G$2:$G$801, 0)+1)), "")&lt;&gt;IFERROR(INDEX(ERP資料!$A:$A, MATCH(969, 輔助計算!$G$2:$G$801, 0)+1), "")), IFERROR(INDEX(ERP資料!$A:$A, (MATCH(970, 輔助計算!$G$2:$G$801, 0)+1)), ""), ""), "")</f>
        <v/>
      </c>
      <c r="B971" s="10">
        <f>IFERROR(IF(AND(IFERROR(INDEX(ERP資料!$A:$A, (MATCH(970, 輔助計算!$G$2:$G$801, 0)+1)), "")&lt;&gt;"", IFERROR(INDEX(ERP資料!$A:$A, (MATCH(970, 輔助計算!$G$2:$G$801, 0)+1)), "")&lt;&gt;IFERROR(INDEX(ERP資料!$A:$A, MATCH(969, 輔助計算!$G$2:$G$801, 0)+1), "")), INDEX(ERP資料!$S:$S, (MATCH(970, 輔助計算!$G$2:$G$801, 0)+1)), ""), "")</f>
        <v/>
      </c>
      <c r="C971" s="19">
        <f>IFERROR(IF(AND(IFERROR(INDEX(ERP資料!$A:$A, (MATCH(970, 輔助計算!$G$2:$G$801, 0)+1)), "")&lt;&gt;"", IFERROR(INDEX(ERP資料!$A:$A, (MATCH(970, 輔助計算!$G$2:$G$801, 0)+1)), "")&lt;&gt;IFERROR(INDEX(ERP資料!$A:$A, MATCH(969, 輔助計算!$G$2:$G$801, 0)+1), "")), IFERROR(VLOOKUP(LEFT(INDEX(ERP資料!$S:$S, (MATCH(970, 輔助計算!$G$2:$G$801, 0)+1)), 4), 紙管對照表!$A:$C, 3, FALSE), ""), ""), "")</f>
        <v/>
      </c>
      <c r="D971" s="16" t="n"/>
      <c r="E971" s="10">
        <f>IFERROR(IF(INDEX(ERP資料!$H:$H, (MATCH(970, 輔助計算!$G$2:$G$801, 0)+1))="","",INDEX(ERP資料!$H:$H, (MATCH(970, 輔助計算!$G$2:$G$801, 0)+1))), "")</f>
        <v/>
      </c>
      <c r="F971" s="10">
        <f>IFERROR(IF(INDEX(ERP資料!$E:$E, (MATCH(970, 輔助計算!$G$2:$G$801, 0)+1))="","",TRIM(INDEX(ERP資料!$E:$E, (MATCH(970, 輔助計算!$G$2:$G$801, 0)+1)))), "")</f>
        <v/>
      </c>
      <c r="G971" s="10">
        <f>IFERROR(IF(INDEX(ERP資料!$F:$F, (MATCH(970, 輔助計算!$G$2:$G$801, 0)+1))="","",INDEX(ERP資料!$F:$F, (MATCH(970, 輔助計算!$G$2:$G$801, 0)+1))), "")</f>
        <v/>
      </c>
      <c r="H971" s="10">
        <f>IFERROR(IF(INDEX(ERP資料!$G:$G, (MATCH(970, 輔助計算!$G$2:$G$801, 0)+1))="","",INDEX(ERP資料!$G:$G, (MATCH(970, 輔助計算!$G$2:$G$801, 0)+1))), "")</f>
        <v/>
      </c>
      <c r="I971" s="15">
        <f>IFERROR(INDEX(輔助計算!$D:$D, (MATCH(970, 輔助計算!$G$2:$G$801, 0)+1)), "")</f>
        <v/>
      </c>
      <c r="J971" s="15">
        <f>IFERROR(IF(AND(INDEX(輔助計算!$D:$D, (MATCH(970, 輔助計算!$G$2:$G$801, 0)+1))&lt;&gt;"", INDEX(ERP資料!$G:$G, (MATCH(970, 輔助計算!$G$2:$G$801, 0)+1))&lt;&gt;""), TRIM(IF(INT(INDEX(輔助計算!$D:$D, (MATCH(970, 輔助計算!$G$2:$G$801, 0)+1))/IF(INDEX(ERP資料!$G:$G, (MATCH(970, 輔助計算!$G$2:$G$801, 0)+1))&lt;100, IF(INDEX(ERP資料!$G:$G, (MATCH(970, 輔助計算!$G$2:$G$801, 0)+1))&lt;=31,3,IF(INDEX(ERP資料!$G:$G, (MATCH(970, 輔助計算!$G$2:$G$801, 0)+1))&lt;=46.5,2,1)), IF(INDEX(ERP資料!$G:$G, (MATCH(970, 輔助計算!$G$2:$G$801, 0)+1))&lt;=790,3,IF(INDEX(ERP資料!$G:$G, (MATCH(970, 輔助計算!$G$2:$G$801, 0)+1))&lt;=1181,2,1))))&gt;0, IF(IF(INDEX(ERP資料!$G:$G, (MATCH(970, 輔助計算!$G$2:$G$801, 0)+1))&lt;100, IF(INDEX(ERP資料!$G:$G, (MATCH(970, 輔助計算!$G$2:$G$801, 0)+1))&lt;=31,3,IF(INDEX(ERP資料!$G:$G, (MATCH(970, 輔助計算!$G$2:$G$801, 0)+1))&lt;=46.5,2,1)), IF(INDEX(ERP資料!$G:$G, (MATCH(970, 輔助計算!$G$2:$G$801, 0)+1))&lt;=790,3,IF(INDEX(ERP資料!$G:$G, (MATCH(970, 輔助計算!$G$2:$G$801, 0)+1))&lt;=1181,2,1)))=1,TEXT(INDEX(ERP資料!$G:$G, (MATCH(970, 輔助計算!$G$2:$G$801, 0)+1)),"0.##"),IF(IF(INDEX(ERP資料!$G:$G, (MATCH(970, 輔助計算!$G$2:$G$801, 0)+1))&lt;100, IF(INDEX(ERP資料!$G:$G, (MATCH(970, 輔助計算!$G$2:$G$801, 0)+1))&lt;=31,3,IF(INDEX(ERP資料!$G:$G, (MATCH(970, 輔助計算!$G$2:$G$801, 0)+1))&lt;=46.5,2,1)), IF(INDEX(ERP資料!$G:$G, (MATCH(970, 輔助計算!$G$2:$G$801, 0)+1))&lt;=790,3,IF(INDEX(ERP資料!$G:$G, (MATCH(970, 輔助計算!$G$2:$G$801, 0)+1))&lt;=1181,2,1)))=2,TEXT(INDEX(ERP資料!$G:$G, (MATCH(970, 輔助計算!$G$2:$G$801, 0)+1)),"0.##")&amp;"+"&amp;TEXT(INDEX(ERP資料!$G:$G, (MATCH(970, 輔助計算!$G$2:$G$801, 0)+1)),"0.##"),TEXT(INDEX(ERP資料!$G:$G, (MATCH(970, 輔助計算!$G$2:$G$801, 0)+1)),"0.##")&amp;"+"&amp;TEXT(INDEX(ERP資料!$G:$G, (MATCH(970, 輔助計算!$G$2:$G$801, 0)+1)),"0.##")&amp;"+"&amp;TEXT(INDEX(ERP資料!$G:$G, (MATCH(970, 輔助計算!$G$2:$G$801, 0)+1)),"0.##")))&amp;"-"&amp;INT(INDEX(輔助計算!$D:$D, (MATCH(970, 輔助計算!$G$2:$G$801, 0)+1))/IF(INDEX(ERP資料!$G:$G, (MATCH(970, 輔助計算!$G$2:$G$801, 0)+1))&lt;100, IF(INDEX(ERP資料!$G:$G, (MATCH(970, 輔助計算!$G$2:$G$801, 0)+1))&lt;=31,3,IF(INDEX(ERP資料!$G:$G, (MATCH(970, 輔助計算!$G$2:$G$801, 0)+1))&lt;=46.5,2,1)), IF(INDEX(ERP資料!$G:$G, (MATCH(970, 輔助計算!$G$2:$G$801, 0)+1))&lt;=790,3,IF(INDEX(ERP資料!$G:$G, (MATCH(970, 輔助計算!$G$2:$G$801, 0)+1))&lt;=1181,2,1)))), "")&amp;IF(AND(IF(INT(INDEX(輔助計算!$D:$D, (MATCH(970, 輔助計算!$G$2:$G$801, 0)+1))/IF(INDEX(ERP資料!$G:$G, (MATCH(970, 輔助計算!$G$2:$G$801, 0)+1))&lt;100, IF(INDEX(ERP資料!$G:$G, (MATCH(970, 輔助計算!$G$2:$G$801, 0)+1))&lt;=31,3,IF(INDEX(ERP資料!$G:$G, (MATCH(970, 輔助計算!$G$2:$G$801, 0)+1))&lt;=46.5,2,1)), IF(INDEX(ERP資料!$G:$G, (MATCH(970, 輔助計算!$G$2:$G$801, 0)+1))&lt;=790,3,IF(INDEX(ERP資料!$G:$G, (MATCH(970, 輔助計算!$G$2:$G$801, 0)+1))&lt;=1181,2,1))))&gt;0, IF(IF(INDEX(ERP資料!$G:$G, (MATCH(970, 輔助計算!$G$2:$G$801, 0)+1))&lt;100, IF(INDEX(ERP資料!$G:$G, (MATCH(970, 輔助計算!$G$2:$G$801, 0)+1))&lt;=31,3,IF(INDEX(ERP資料!$G:$G, (MATCH(970, 輔助計算!$G$2:$G$801, 0)+1))&lt;=46.5,2,1)), IF(INDEX(ERP資料!$G:$G, (MATCH(970, 輔助計算!$G$2:$G$801, 0)+1))&lt;=790,3,IF(INDEX(ERP資料!$G:$G, (MATCH(970, 輔助計算!$G$2:$G$801, 0)+1))&lt;=1181,2,1)))=1,TEXT(INDEX(ERP資料!$G:$G, (MATCH(970, 輔助計算!$G$2:$G$801, 0)+1)),"0.##"),IF(IF(INDEX(ERP資料!$G:$G, (MATCH(970, 輔助計算!$G$2:$G$801, 0)+1))&lt;100, IF(INDEX(ERP資料!$G:$G, (MATCH(970, 輔助計算!$G$2:$G$801, 0)+1))&lt;=31,3,IF(INDEX(ERP資料!$G:$G, (MATCH(970, 輔助計算!$G$2:$G$801, 0)+1))&lt;=46.5,2,1)), IF(INDEX(ERP資料!$G:$G, (MATCH(970, 輔助計算!$G$2:$G$801, 0)+1))&lt;=790,3,IF(INDEX(ERP資料!$G:$G, (MATCH(970, 輔助計算!$G$2:$G$801, 0)+1))&lt;=1181,2,1)))=2,TEXT(INDEX(ERP資料!$G:$G, (MATCH(970, 輔助計算!$G$2:$G$801, 0)+1)),"0.##")&amp;"+"&amp;TEXT(INDEX(ERP資料!$G:$G, (MATCH(970, 輔助計算!$G$2:$G$801, 0)+1)),"0.##"),TEXT(INDEX(ERP資料!$G:$G, (MATCH(970, 輔助計算!$G$2:$G$801, 0)+1)),"0.##")&amp;"+"&amp;TEXT(INDEX(ERP資料!$G:$G, (MATCH(970, 輔助計算!$G$2:$G$801, 0)+1)),"0.##")&amp;"+"&amp;TEXT(INDEX(ERP資料!$G:$G, (MATCH(970, 輔助計算!$G$2:$G$801, 0)+1)),"0.##")))&amp;"-"&amp;INT(INDEX(輔助計算!$D:$D, (MATCH(970, 輔助計算!$G$2:$G$801, 0)+1))/IF(INDEX(ERP資料!$G:$G, (MATCH(970, 輔助計算!$G$2:$G$801, 0)+1))&lt;100, IF(INDEX(ERP資料!$G:$G, (MATCH(970, 輔助計算!$G$2:$G$801, 0)+1))&lt;=31,3,IF(INDEX(ERP資料!$G:$G, (MATCH(970, 輔助計算!$G$2:$G$801, 0)+1))&lt;=46.5,2,1)), IF(INDEX(ERP資料!$G:$G, (MATCH(970, 輔助計算!$G$2:$G$801, 0)+1))&lt;=790,3,IF(INDEX(ERP資料!$G:$G, (MATCH(970, 輔助計算!$G$2:$G$801, 0)+1))&lt;=1181,2,1)))), "")&lt;&gt;"",IF(MOD(INDEX(輔助計算!$D:$D, (MATCH(970, 輔助計算!$G$2:$G$801, 0)+1)),IF(INDEX(ERP資料!$G:$G, (MATCH(970, 輔助計算!$G$2:$G$801, 0)+1))&lt;100, IF(INDEX(ERP資料!$G:$G, (MATCH(970, 輔助計算!$G$2:$G$801, 0)+1))&lt;=31,3,IF(INDEX(ERP資料!$G:$G, (MATCH(970, 輔助計算!$G$2:$G$801, 0)+1))&lt;=46.5,2,1)), IF(INDEX(ERP資料!$G:$G, (MATCH(970, 輔助計算!$G$2:$G$801, 0)+1))&lt;=790,3,IF(INDEX(ERP資料!$G:$G, (MATCH(970, 輔助計算!$G$2:$G$801, 0)+1))&lt;=1181,2,1))))=0,"",IF(MOD(INDEX(輔助計算!$D:$D, (MATCH(970, 輔助計算!$G$2:$G$801, 0)+1)),IF(INDEX(ERP資料!$G:$G, (MATCH(970, 輔助計算!$G$2:$G$801, 0)+1))&lt;100, IF(INDEX(ERP資料!$G:$G, (MATCH(970, 輔助計算!$G$2:$G$801, 0)+1))&lt;=31,3,IF(INDEX(ERP資料!$G:$G, (MATCH(970, 輔助計算!$G$2:$G$801, 0)+1))&lt;=46.5,2,1)), IF(INDEX(ERP資料!$G:$G, (MATCH(970, 輔助計算!$G$2:$G$801, 0)+1))&lt;=790,3,IF(INDEX(ERP資料!$G:$G, (MATCH(970, 輔助計算!$G$2:$G$801, 0)+1))&lt;=1181,2,1))))=0,"",IF(MOD(INDEX(輔助計算!$D:$D, (MATCH(970, 輔助計算!$G$2:$G$801, 0)+1)),IF(INDEX(ERP資料!$G:$G, (MATCH(970, 輔助計算!$G$2:$G$801, 0)+1))&lt;100, IF(INDEX(ERP資料!$G:$G, (MATCH(970, 輔助計算!$G$2:$G$801, 0)+1))&lt;=31,3,IF(INDEX(ERP資料!$G:$G, (MATCH(970, 輔助計算!$G$2:$G$801, 0)+1))&lt;=46.5,2,1)), IF(INDEX(ERP資料!$G:$G, (MATCH(970, 輔助計算!$G$2:$G$801, 0)+1))&lt;=790,3,IF(INDEX(ERP資料!$G:$G, (MATCH(970, 輔助計算!$G$2:$G$801, 0)+1))&lt;=1181,2,1))))=1,TEXT(INDEX(ERP資料!$G:$G, (MATCH(970, 輔助計算!$G$2:$G$801, 0)+1)),"0.##"),IF(MOD(INDEX(輔助計算!$D:$D, (MATCH(970, 輔助計算!$G$2:$G$801, 0)+1)),IF(INDEX(ERP資料!$G:$G, (MATCH(970, 輔助計算!$G$2:$G$801, 0)+1))&lt;100, IF(INDEX(ERP資料!$G:$G, (MATCH(970, 輔助計算!$G$2:$G$801, 0)+1))&lt;=31,3,IF(INDEX(ERP資料!$G:$G, (MATCH(970, 輔助計算!$G$2:$G$801, 0)+1))&lt;=46.5,2,1)), IF(INDEX(ERP資料!$G:$G, (MATCH(970, 輔助計算!$G$2:$G$801, 0)+1))&lt;=790,3,IF(INDEX(ERP資料!$G:$G, (MATCH(970, 輔助計算!$G$2:$G$801, 0)+1))&lt;=1181,2,1))))=2,TEXT(INDEX(ERP資料!$G:$G, (MATCH(970, 輔助計算!$G$2:$G$801, 0)+1)),"0.##")&amp;"+"&amp;TEXT(INDEX(ERP資料!$G:$G, (MATCH(970, 輔助計算!$G$2:$G$801, 0)+1)),"0.##"),TEXT(INDEX(ERP資料!$G:$G, (MATCH(970, 輔助計算!$G$2:$G$801, 0)+1)),"0.##")&amp;"+"&amp;TEXT(INDEX(ERP資料!$G:$G, (MATCH(970, 輔助計算!$G$2:$G$801, 0)+1)),"0.##")&amp;"+"&amp;TEXT(INDEX(ERP資料!$G:$G, (MATCH(970, 輔助計算!$G$2:$G$801, 0)+1)),"0.##"))))&amp;"-1")&lt;&gt;""),"  ","")&amp;IF(MOD(INDEX(輔助計算!$D:$D, (MATCH(970, 輔助計算!$G$2:$G$801, 0)+1)),IF(INDEX(ERP資料!$G:$G, (MATCH(970, 輔助計算!$G$2:$G$801, 0)+1))&lt;100, IF(INDEX(ERP資料!$G:$G, (MATCH(970, 輔助計算!$G$2:$G$801, 0)+1))&lt;=31,3,IF(INDEX(ERP資料!$G:$G, (MATCH(970, 輔助計算!$G$2:$G$801, 0)+1))&lt;=46.5,2,1)), IF(INDEX(ERP資料!$G:$G, (MATCH(970, 輔助計算!$G$2:$G$801, 0)+1))&lt;=790,3,IF(INDEX(ERP資料!$G:$G, (MATCH(970, 輔助計算!$G$2:$G$801, 0)+1))&lt;=1181,2,1))))=0,"",IF(MOD(INDEX(輔助計算!$D:$D, (MATCH(970, 輔助計算!$G$2:$G$801, 0)+1)),IF(INDEX(ERP資料!$G:$G, (MATCH(970, 輔助計算!$G$2:$G$801, 0)+1))&lt;100, IF(INDEX(ERP資料!$G:$G, (MATCH(970, 輔助計算!$G$2:$G$801, 0)+1))&lt;=31,3,IF(INDEX(ERP資料!$G:$G, (MATCH(970, 輔助計算!$G$2:$G$801, 0)+1))&lt;=46.5,2,1)), IF(INDEX(ERP資料!$G:$G, (MATCH(970, 輔助計算!$G$2:$G$801, 0)+1))&lt;=790,3,IF(INDEX(ERP資料!$G:$G, (MATCH(970, 輔助計算!$G$2:$G$801, 0)+1))&lt;=1181,2,1))))=0,"",IF(MOD(INDEX(輔助計算!$D:$D, (MATCH(970, 輔助計算!$G$2:$G$801, 0)+1)),IF(INDEX(ERP資料!$G:$G, (MATCH(970, 輔助計算!$G$2:$G$801, 0)+1))&lt;100, IF(INDEX(ERP資料!$G:$G, (MATCH(970, 輔助計算!$G$2:$G$801, 0)+1))&lt;=31,3,IF(INDEX(ERP資料!$G:$G, (MATCH(970, 輔助計算!$G$2:$G$801, 0)+1))&lt;=46.5,2,1)), IF(INDEX(ERP資料!$G:$G, (MATCH(970, 輔助計算!$G$2:$G$801, 0)+1))&lt;=790,3,IF(INDEX(ERP資料!$G:$G, (MATCH(970, 輔助計算!$G$2:$G$801, 0)+1))&lt;=1181,2,1))))=1,TEXT(INDEX(ERP資料!$G:$G, (MATCH(970, 輔助計算!$G$2:$G$801, 0)+1)),"0.##"),IF(MOD(INDEX(輔助計算!$D:$D, (MATCH(970, 輔助計算!$G$2:$G$801, 0)+1)),IF(INDEX(ERP資料!$G:$G, (MATCH(970, 輔助計算!$G$2:$G$801, 0)+1))&lt;100, IF(INDEX(ERP資料!$G:$G, (MATCH(970, 輔助計算!$G$2:$G$801, 0)+1))&lt;=31,3,IF(INDEX(ERP資料!$G:$G, (MATCH(970, 輔助計算!$G$2:$G$801, 0)+1))&lt;=46.5,2,1)), IF(INDEX(ERP資料!$G:$G, (MATCH(970, 輔助計算!$G$2:$G$801, 0)+1))&lt;=790,3,IF(INDEX(ERP資料!$G:$G, (MATCH(970, 輔助計算!$G$2:$G$801, 0)+1))&lt;=1181,2,1))))=2,TEXT(INDEX(ERP資料!$G:$G, (MATCH(970, 輔助計算!$G$2:$G$801, 0)+1)),"0.##")&amp;"+"&amp;TEXT(INDEX(ERP資料!$G:$G, (MATCH(970, 輔助計算!$G$2:$G$801, 0)+1)),"0.##"),TEXT(INDEX(ERP資料!$G:$G, (MATCH(970, 輔助計算!$G$2:$G$801, 0)+1)),"0.##")&amp;"+"&amp;TEXT(INDEX(ERP資料!$G:$G, (MATCH(970, 輔助計算!$G$2:$G$801, 0)+1)),"0.##")&amp;"+"&amp;TEXT(INDEX(ERP資料!$G:$G, (MATCH(970, 輔助計算!$G$2:$G$801, 0)+1)),"0.##"))))&amp;"-1")), ""), "")</f>
        <v/>
      </c>
      <c r="K971" s="16" t="n"/>
      <c r="L971" s="14">
        <f>IFERROR(IF(AND(IFERROR(INDEX(ERP資料!$A:$A, (MATCH(970, 輔助計算!$G$2:$G$801, 0)+1)), "")&lt;&gt;"", IFERROR(INDEX(ERP資料!$A:$A, (MATCH(970, 輔助計算!$G$2:$G$801, 0)+1)), "")&lt;&gt;IFERROR(INDEX(ERP資料!$A:$A, MATCH(969, 輔助計算!$G$2:$G$801, 0)+1), "")), INDEX(ERP資料!$B:$B, (MATCH(970, 輔助計算!$G$2:$G$801, 0)+1)), ""), "")</f>
        <v/>
      </c>
      <c r="M971" s="17" t="n"/>
    </row>
    <row r="972">
      <c r="A972" s="10">
        <f>IFERROR(IF(AND(IFERROR(INDEX(ERP資料!$A:$A, (MATCH(971, 輔助計算!$G$2:$G$801, 0)+1)), "")&lt;&gt;"", IFERROR(INDEX(ERP資料!$A:$A, (MATCH(971, 輔助計算!$G$2:$G$801, 0)+1)), "")&lt;&gt;IFERROR(INDEX(ERP資料!$A:$A, MATCH(970, 輔助計算!$G$2:$G$801, 0)+1), "")), IFERROR(INDEX(ERP資料!$A:$A, (MATCH(971, 輔助計算!$G$2:$G$801, 0)+1)), ""), ""), "")</f>
        <v/>
      </c>
      <c r="B972" s="10">
        <f>IFERROR(IF(AND(IFERROR(INDEX(ERP資料!$A:$A, (MATCH(971, 輔助計算!$G$2:$G$801, 0)+1)), "")&lt;&gt;"", IFERROR(INDEX(ERP資料!$A:$A, (MATCH(971, 輔助計算!$G$2:$G$801, 0)+1)), "")&lt;&gt;IFERROR(INDEX(ERP資料!$A:$A, MATCH(970, 輔助計算!$G$2:$G$801, 0)+1), "")), INDEX(ERP資料!$S:$S, (MATCH(971, 輔助計算!$G$2:$G$801, 0)+1)), ""), "")</f>
        <v/>
      </c>
      <c r="C972" s="19">
        <f>IFERROR(IF(AND(IFERROR(INDEX(ERP資料!$A:$A, (MATCH(971, 輔助計算!$G$2:$G$801, 0)+1)), "")&lt;&gt;"", IFERROR(INDEX(ERP資料!$A:$A, (MATCH(971, 輔助計算!$G$2:$G$801, 0)+1)), "")&lt;&gt;IFERROR(INDEX(ERP資料!$A:$A, MATCH(970, 輔助計算!$G$2:$G$801, 0)+1), "")), IFERROR(VLOOKUP(LEFT(INDEX(ERP資料!$S:$S, (MATCH(971, 輔助計算!$G$2:$G$801, 0)+1)), 4), 紙管對照表!$A:$C, 3, FALSE), ""), ""), "")</f>
        <v/>
      </c>
      <c r="D972" s="16" t="n"/>
      <c r="E972" s="10">
        <f>IFERROR(IF(INDEX(ERP資料!$H:$H, (MATCH(971, 輔助計算!$G$2:$G$801, 0)+1))="","",INDEX(ERP資料!$H:$H, (MATCH(971, 輔助計算!$G$2:$G$801, 0)+1))), "")</f>
        <v/>
      </c>
      <c r="F972" s="10">
        <f>IFERROR(IF(INDEX(ERP資料!$E:$E, (MATCH(971, 輔助計算!$G$2:$G$801, 0)+1))="","",TRIM(INDEX(ERP資料!$E:$E, (MATCH(971, 輔助計算!$G$2:$G$801, 0)+1)))), "")</f>
        <v/>
      </c>
      <c r="G972" s="10">
        <f>IFERROR(IF(INDEX(ERP資料!$F:$F, (MATCH(971, 輔助計算!$G$2:$G$801, 0)+1))="","",INDEX(ERP資料!$F:$F, (MATCH(971, 輔助計算!$G$2:$G$801, 0)+1))), "")</f>
        <v/>
      </c>
      <c r="H972" s="10">
        <f>IFERROR(IF(INDEX(ERP資料!$G:$G, (MATCH(971, 輔助計算!$G$2:$G$801, 0)+1))="","",INDEX(ERP資料!$G:$G, (MATCH(971, 輔助計算!$G$2:$G$801, 0)+1))), "")</f>
        <v/>
      </c>
      <c r="I972" s="15">
        <f>IFERROR(INDEX(輔助計算!$D:$D, (MATCH(971, 輔助計算!$G$2:$G$801, 0)+1)), "")</f>
        <v/>
      </c>
      <c r="J972" s="15">
        <f>IFERROR(IF(AND(INDEX(輔助計算!$D:$D, (MATCH(971, 輔助計算!$G$2:$G$801, 0)+1))&lt;&gt;"", INDEX(ERP資料!$G:$G, (MATCH(971, 輔助計算!$G$2:$G$801, 0)+1))&lt;&gt;""), TRIM(IF(INT(INDEX(輔助計算!$D:$D, (MATCH(971, 輔助計算!$G$2:$G$801, 0)+1))/IF(INDEX(ERP資料!$G:$G, (MATCH(971, 輔助計算!$G$2:$G$801, 0)+1))&lt;100, IF(INDEX(ERP資料!$G:$G, (MATCH(971, 輔助計算!$G$2:$G$801, 0)+1))&lt;=31,3,IF(INDEX(ERP資料!$G:$G, (MATCH(971, 輔助計算!$G$2:$G$801, 0)+1))&lt;=46.5,2,1)), IF(INDEX(ERP資料!$G:$G, (MATCH(971, 輔助計算!$G$2:$G$801, 0)+1))&lt;=790,3,IF(INDEX(ERP資料!$G:$G, (MATCH(971, 輔助計算!$G$2:$G$801, 0)+1))&lt;=1181,2,1))))&gt;0, IF(IF(INDEX(ERP資料!$G:$G, (MATCH(971, 輔助計算!$G$2:$G$801, 0)+1))&lt;100, IF(INDEX(ERP資料!$G:$G, (MATCH(971, 輔助計算!$G$2:$G$801, 0)+1))&lt;=31,3,IF(INDEX(ERP資料!$G:$G, (MATCH(971, 輔助計算!$G$2:$G$801, 0)+1))&lt;=46.5,2,1)), IF(INDEX(ERP資料!$G:$G, (MATCH(971, 輔助計算!$G$2:$G$801, 0)+1))&lt;=790,3,IF(INDEX(ERP資料!$G:$G, (MATCH(971, 輔助計算!$G$2:$G$801, 0)+1))&lt;=1181,2,1)))=1,TEXT(INDEX(ERP資料!$G:$G, (MATCH(971, 輔助計算!$G$2:$G$801, 0)+1)),"0.##"),IF(IF(INDEX(ERP資料!$G:$G, (MATCH(971, 輔助計算!$G$2:$G$801, 0)+1))&lt;100, IF(INDEX(ERP資料!$G:$G, (MATCH(971, 輔助計算!$G$2:$G$801, 0)+1))&lt;=31,3,IF(INDEX(ERP資料!$G:$G, (MATCH(971, 輔助計算!$G$2:$G$801, 0)+1))&lt;=46.5,2,1)), IF(INDEX(ERP資料!$G:$G, (MATCH(971, 輔助計算!$G$2:$G$801, 0)+1))&lt;=790,3,IF(INDEX(ERP資料!$G:$G, (MATCH(971, 輔助計算!$G$2:$G$801, 0)+1))&lt;=1181,2,1)))=2,TEXT(INDEX(ERP資料!$G:$G, (MATCH(971, 輔助計算!$G$2:$G$801, 0)+1)),"0.##")&amp;"+"&amp;TEXT(INDEX(ERP資料!$G:$G, (MATCH(971, 輔助計算!$G$2:$G$801, 0)+1)),"0.##"),TEXT(INDEX(ERP資料!$G:$G, (MATCH(971, 輔助計算!$G$2:$G$801, 0)+1)),"0.##")&amp;"+"&amp;TEXT(INDEX(ERP資料!$G:$G, (MATCH(971, 輔助計算!$G$2:$G$801, 0)+1)),"0.##")&amp;"+"&amp;TEXT(INDEX(ERP資料!$G:$G, (MATCH(971, 輔助計算!$G$2:$G$801, 0)+1)),"0.##")))&amp;"-"&amp;INT(INDEX(輔助計算!$D:$D, (MATCH(971, 輔助計算!$G$2:$G$801, 0)+1))/IF(INDEX(ERP資料!$G:$G, (MATCH(971, 輔助計算!$G$2:$G$801, 0)+1))&lt;100, IF(INDEX(ERP資料!$G:$G, (MATCH(971, 輔助計算!$G$2:$G$801, 0)+1))&lt;=31,3,IF(INDEX(ERP資料!$G:$G, (MATCH(971, 輔助計算!$G$2:$G$801, 0)+1))&lt;=46.5,2,1)), IF(INDEX(ERP資料!$G:$G, (MATCH(971, 輔助計算!$G$2:$G$801, 0)+1))&lt;=790,3,IF(INDEX(ERP資料!$G:$G, (MATCH(971, 輔助計算!$G$2:$G$801, 0)+1))&lt;=1181,2,1)))), "")&amp;IF(AND(IF(INT(INDEX(輔助計算!$D:$D, (MATCH(971, 輔助計算!$G$2:$G$801, 0)+1))/IF(INDEX(ERP資料!$G:$G, (MATCH(971, 輔助計算!$G$2:$G$801, 0)+1))&lt;100, IF(INDEX(ERP資料!$G:$G, (MATCH(971, 輔助計算!$G$2:$G$801, 0)+1))&lt;=31,3,IF(INDEX(ERP資料!$G:$G, (MATCH(971, 輔助計算!$G$2:$G$801, 0)+1))&lt;=46.5,2,1)), IF(INDEX(ERP資料!$G:$G, (MATCH(971, 輔助計算!$G$2:$G$801, 0)+1))&lt;=790,3,IF(INDEX(ERP資料!$G:$G, (MATCH(971, 輔助計算!$G$2:$G$801, 0)+1))&lt;=1181,2,1))))&gt;0, IF(IF(INDEX(ERP資料!$G:$G, (MATCH(971, 輔助計算!$G$2:$G$801, 0)+1))&lt;100, IF(INDEX(ERP資料!$G:$G, (MATCH(971, 輔助計算!$G$2:$G$801, 0)+1))&lt;=31,3,IF(INDEX(ERP資料!$G:$G, (MATCH(971, 輔助計算!$G$2:$G$801, 0)+1))&lt;=46.5,2,1)), IF(INDEX(ERP資料!$G:$G, (MATCH(971, 輔助計算!$G$2:$G$801, 0)+1))&lt;=790,3,IF(INDEX(ERP資料!$G:$G, (MATCH(971, 輔助計算!$G$2:$G$801, 0)+1))&lt;=1181,2,1)))=1,TEXT(INDEX(ERP資料!$G:$G, (MATCH(971, 輔助計算!$G$2:$G$801, 0)+1)),"0.##"),IF(IF(INDEX(ERP資料!$G:$G, (MATCH(971, 輔助計算!$G$2:$G$801, 0)+1))&lt;100, IF(INDEX(ERP資料!$G:$G, (MATCH(971, 輔助計算!$G$2:$G$801, 0)+1))&lt;=31,3,IF(INDEX(ERP資料!$G:$G, (MATCH(971, 輔助計算!$G$2:$G$801, 0)+1))&lt;=46.5,2,1)), IF(INDEX(ERP資料!$G:$G, (MATCH(971, 輔助計算!$G$2:$G$801, 0)+1))&lt;=790,3,IF(INDEX(ERP資料!$G:$G, (MATCH(971, 輔助計算!$G$2:$G$801, 0)+1))&lt;=1181,2,1)))=2,TEXT(INDEX(ERP資料!$G:$G, (MATCH(971, 輔助計算!$G$2:$G$801, 0)+1)),"0.##")&amp;"+"&amp;TEXT(INDEX(ERP資料!$G:$G, (MATCH(971, 輔助計算!$G$2:$G$801, 0)+1)),"0.##"),TEXT(INDEX(ERP資料!$G:$G, (MATCH(971, 輔助計算!$G$2:$G$801, 0)+1)),"0.##")&amp;"+"&amp;TEXT(INDEX(ERP資料!$G:$G, (MATCH(971, 輔助計算!$G$2:$G$801, 0)+1)),"0.##")&amp;"+"&amp;TEXT(INDEX(ERP資料!$G:$G, (MATCH(971, 輔助計算!$G$2:$G$801, 0)+1)),"0.##")))&amp;"-"&amp;INT(INDEX(輔助計算!$D:$D, (MATCH(971, 輔助計算!$G$2:$G$801, 0)+1))/IF(INDEX(ERP資料!$G:$G, (MATCH(971, 輔助計算!$G$2:$G$801, 0)+1))&lt;100, IF(INDEX(ERP資料!$G:$G, (MATCH(971, 輔助計算!$G$2:$G$801, 0)+1))&lt;=31,3,IF(INDEX(ERP資料!$G:$G, (MATCH(971, 輔助計算!$G$2:$G$801, 0)+1))&lt;=46.5,2,1)), IF(INDEX(ERP資料!$G:$G, (MATCH(971, 輔助計算!$G$2:$G$801, 0)+1))&lt;=790,3,IF(INDEX(ERP資料!$G:$G, (MATCH(971, 輔助計算!$G$2:$G$801, 0)+1))&lt;=1181,2,1)))), "")&lt;&gt;"",IF(MOD(INDEX(輔助計算!$D:$D, (MATCH(971, 輔助計算!$G$2:$G$801, 0)+1)),IF(INDEX(ERP資料!$G:$G, (MATCH(971, 輔助計算!$G$2:$G$801, 0)+1))&lt;100, IF(INDEX(ERP資料!$G:$G, (MATCH(971, 輔助計算!$G$2:$G$801, 0)+1))&lt;=31,3,IF(INDEX(ERP資料!$G:$G, (MATCH(971, 輔助計算!$G$2:$G$801, 0)+1))&lt;=46.5,2,1)), IF(INDEX(ERP資料!$G:$G, (MATCH(971, 輔助計算!$G$2:$G$801, 0)+1))&lt;=790,3,IF(INDEX(ERP資料!$G:$G, (MATCH(971, 輔助計算!$G$2:$G$801, 0)+1))&lt;=1181,2,1))))=0,"",IF(MOD(INDEX(輔助計算!$D:$D, (MATCH(971, 輔助計算!$G$2:$G$801, 0)+1)),IF(INDEX(ERP資料!$G:$G, (MATCH(971, 輔助計算!$G$2:$G$801, 0)+1))&lt;100, IF(INDEX(ERP資料!$G:$G, (MATCH(971, 輔助計算!$G$2:$G$801, 0)+1))&lt;=31,3,IF(INDEX(ERP資料!$G:$G, (MATCH(971, 輔助計算!$G$2:$G$801, 0)+1))&lt;=46.5,2,1)), IF(INDEX(ERP資料!$G:$G, (MATCH(971, 輔助計算!$G$2:$G$801, 0)+1))&lt;=790,3,IF(INDEX(ERP資料!$G:$G, (MATCH(971, 輔助計算!$G$2:$G$801, 0)+1))&lt;=1181,2,1))))=0,"",IF(MOD(INDEX(輔助計算!$D:$D, (MATCH(971, 輔助計算!$G$2:$G$801, 0)+1)),IF(INDEX(ERP資料!$G:$G, (MATCH(971, 輔助計算!$G$2:$G$801, 0)+1))&lt;100, IF(INDEX(ERP資料!$G:$G, (MATCH(971, 輔助計算!$G$2:$G$801, 0)+1))&lt;=31,3,IF(INDEX(ERP資料!$G:$G, (MATCH(971, 輔助計算!$G$2:$G$801, 0)+1))&lt;=46.5,2,1)), IF(INDEX(ERP資料!$G:$G, (MATCH(971, 輔助計算!$G$2:$G$801, 0)+1))&lt;=790,3,IF(INDEX(ERP資料!$G:$G, (MATCH(971, 輔助計算!$G$2:$G$801, 0)+1))&lt;=1181,2,1))))=1,TEXT(INDEX(ERP資料!$G:$G, (MATCH(971, 輔助計算!$G$2:$G$801, 0)+1)),"0.##"),IF(MOD(INDEX(輔助計算!$D:$D, (MATCH(971, 輔助計算!$G$2:$G$801, 0)+1)),IF(INDEX(ERP資料!$G:$G, (MATCH(971, 輔助計算!$G$2:$G$801, 0)+1))&lt;100, IF(INDEX(ERP資料!$G:$G, (MATCH(971, 輔助計算!$G$2:$G$801, 0)+1))&lt;=31,3,IF(INDEX(ERP資料!$G:$G, (MATCH(971, 輔助計算!$G$2:$G$801, 0)+1))&lt;=46.5,2,1)), IF(INDEX(ERP資料!$G:$G, (MATCH(971, 輔助計算!$G$2:$G$801, 0)+1))&lt;=790,3,IF(INDEX(ERP資料!$G:$G, (MATCH(971, 輔助計算!$G$2:$G$801, 0)+1))&lt;=1181,2,1))))=2,TEXT(INDEX(ERP資料!$G:$G, (MATCH(971, 輔助計算!$G$2:$G$801, 0)+1)),"0.##")&amp;"+"&amp;TEXT(INDEX(ERP資料!$G:$G, (MATCH(971, 輔助計算!$G$2:$G$801, 0)+1)),"0.##"),TEXT(INDEX(ERP資料!$G:$G, (MATCH(971, 輔助計算!$G$2:$G$801, 0)+1)),"0.##")&amp;"+"&amp;TEXT(INDEX(ERP資料!$G:$G, (MATCH(971, 輔助計算!$G$2:$G$801, 0)+1)),"0.##")&amp;"+"&amp;TEXT(INDEX(ERP資料!$G:$G, (MATCH(971, 輔助計算!$G$2:$G$801, 0)+1)),"0.##"))))&amp;"-1")&lt;&gt;""),"  ","")&amp;IF(MOD(INDEX(輔助計算!$D:$D, (MATCH(971, 輔助計算!$G$2:$G$801, 0)+1)),IF(INDEX(ERP資料!$G:$G, (MATCH(971, 輔助計算!$G$2:$G$801, 0)+1))&lt;100, IF(INDEX(ERP資料!$G:$G, (MATCH(971, 輔助計算!$G$2:$G$801, 0)+1))&lt;=31,3,IF(INDEX(ERP資料!$G:$G, (MATCH(971, 輔助計算!$G$2:$G$801, 0)+1))&lt;=46.5,2,1)), IF(INDEX(ERP資料!$G:$G, (MATCH(971, 輔助計算!$G$2:$G$801, 0)+1))&lt;=790,3,IF(INDEX(ERP資料!$G:$G, (MATCH(971, 輔助計算!$G$2:$G$801, 0)+1))&lt;=1181,2,1))))=0,"",IF(MOD(INDEX(輔助計算!$D:$D, (MATCH(971, 輔助計算!$G$2:$G$801, 0)+1)),IF(INDEX(ERP資料!$G:$G, (MATCH(971, 輔助計算!$G$2:$G$801, 0)+1))&lt;100, IF(INDEX(ERP資料!$G:$G, (MATCH(971, 輔助計算!$G$2:$G$801, 0)+1))&lt;=31,3,IF(INDEX(ERP資料!$G:$G, (MATCH(971, 輔助計算!$G$2:$G$801, 0)+1))&lt;=46.5,2,1)), IF(INDEX(ERP資料!$G:$G, (MATCH(971, 輔助計算!$G$2:$G$801, 0)+1))&lt;=790,3,IF(INDEX(ERP資料!$G:$G, (MATCH(971, 輔助計算!$G$2:$G$801, 0)+1))&lt;=1181,2,1))))=0,"",IF(MOD(INDEX(輔助計算!$D:$D, (MATCH(971, 輔助計算!$G$2:$G$801, 0)+1)),IF(INDEX(ERP資料!$G:$G, (MATCH(971, 輔助計算!$G$2:$G$801, 0)+1))&lt;100, IF(INDEX(ERP資料!$G:$G, (MATCH(971, 輔助計算!$G$2:$G$801, 0)+1))&lt;=31,3,IF(INDEX(ERP資料!$G:$G, (MATCH(971, 輔助計算!$G$2:$G$801, 0)+1))&lt;=46.5,2,1)), IF(INDEX(ERP資料!$G:$G, (MATCH(971, 輔助計算!$G$2:$G$801, 0)+1))&lt;=790,3,IF(INDEX(ERP資料!$G:$G, (MATCH(971, 輔助計算!$G$2:$G$801, 0)+1))&lt;=1181,2,1))))=1,TEXT(INDEX(ERP資料!$G:$G, (MATCH(971, 輔助計算!$G$2:$G$801, 0)+1)),"0.##"),IF(MOD(INDEX(輔助計算!$D:$D, (MATCH(971, 輔助計算!$G$2:$G$801, 0)+1)),IF(INDEX(ERP資料!$G:$G, (MATCH(971, 輔助計算!$G$2:$G$801, 0)+1))&lt;100, IF(INDEX(ERP資料!$G:$G, (MATCH(971, 輔助計算!$G$2:$G$801, 0)+1))&lt;=31,3,IF(INDEX(ERP資料!$G:$G, (MATCH(971, 輔助計算!$G$2:$G$801, 0)+1))&lt;=46.5,2,1)), IF(INDEX(ERP資料!$G:$G, (MATCH(971, 輔助計算!$G$2:$G$801, 0)+1))&lt;=790,3,IF(INDEX(ERP資料!$G:$G, (MATCH(971, 輔助計算!$G$2:$G$801, 0)+1))&lt;=1181,2,1))))=2,TEXT(INDEX(ERP資料!$G:$G, (MATCH(971, 輔助計算!$G$2:$G$801, 0)+1)),"0.##")&amp;"+"&amp;TEXT(INDEX(ERP資料!$G:$G, (MATCH(971, 輔助計算!$G$2:$G$801, 0)+1)),"0.##"),TEXT(INDEX(ERP資料!$G:$G, (MATCH(971, 輔助計算!$G$2:$G$801, 0)+1)),"0.##")&amp;"+"&amp;TEXT(INDEX(ERP資料!$G:$G, (MATCH(971, 輔助計算!$G$2:$G$801, 0)+1)),"0.##")&amp;"+"&amp;TEXT(INDEX(ERP資料!$G:$G, (MATCH(971, 輔助計算!$G$2:$G$801, 0)+1)),"0.##"))))&amp;"-1")), ""), "")</f>
        <v/>
      </c>
      <c r="K972" s="16" t="n"/>
      <c r="L972" s="14">
        <f>IFERROR(IF(AND(IFERROR(INDEX(ERP資料!$A:$A, (MATCH(971, 輔助計算!$G$2:$G$801, 0)+1)), "")&lt;&gt;"", IFERROR(INDEX(ERP資料!$A:$A, (MATCH(971, 輔助計算!$G$2:$G$801, 0)+1)), "")&lt;&gt;IFERROR(INDEX(ERP資料!$A:$A, MATCH(970, 輔助計算!$G$2:$G$801, 0)+1), "")), INDEX(ERP資料!$B:$B, (MATCH(971, 輔助計算!$G$2:$G$801, 0)+1)), ""), "")</f>
        <v/>
      </c>
      <c r="M972" s="17" t="n"/>
    </row>
    <row r="973">
      <c r="A973" s="10">
        <f>IFERROR(IF(AND(IFERROR(INDEX(ERP資料!$A:$A, (MATCH(972, 輔助計算!$G$2:$G$801, 0)+1)), "")&lt;&gt;"", IFERROR(INDEX(ERP資料!$A:$A, (MATCH(972, 輔助計算!$G$2:$G$801, 0)+1)), "")&lt;&gt;IFERROR(INDEX(ERP資料!$A:$A, MATCH(971, 輔助計算!$G$2:$G$801, 0)+1), "")), IFERROR(INDEX(ERP資料!$A:$A, (MATCH(972, 輔助計算!$G$2:$G$801, 0)+1)), ""), ""), "")</f>
        <v/>
      </c>
      <c r="B973" s="10">
        <f>IFERROR(IF(AND(IFERROR(INDEX(ERP資料!$A:$A, (MATCH(972, 輔助計算!$G$2:$G$801, 0)+1)), "")&lt;&gt;"", IFERROR(INDEX(ERP資料!$A:$A, (MATCH(972, 輔助計算!$G$2:$G$801, 0)+1)), "")&lt;&gt;IFERROR(INDEX(ERP資料!$A:$A, MATCH(971, 輔助計算!$G$2:$G$801, 0)+1), "")), INDEX(ERP資料!$S:$S, (MATCH(972, 輔助計算!$G$2:$G$801, 0)+1)), ""), "")</f>
        <v/>
      </c>
      <c r="C973" s="19">
        <f>IFERROR(IF(AND(IFERROR(INDEX(ERP資料!$A:$A, (MATCH(972, 輔助計算!$G$2:$G$801, 0)+1)), "")&lt;&gt;"", IFERROR(INDEX(ERP資料!$A:$A, (MATCH(972, 輔助計算!$G$2:$G$801, 0)+1)), "")&lt;&gt;IFERROR(INDEX(ERP資料!$A:$A, MATCH(971, 輔助計算!$G$2:$G$801, 0)+1), "")), IFERROR(VLOOKUP(LEFT(INDEX(ERP資料!$S:$S, (MATCH(972, 輔助計算!$G$2:$G$801, 0)+1)), 4), 紙管對照表!$A:$C, 3, FALSE), ""), ""), "")</f>
        <v/>
      </c>
      <c r="D973" s="16" t="n"/>
      <c r="E973" s="10">
        <f>IFERROR(IF(INDEX(ERP資料!$H:$H, (MATCH(972, 輔助計算!$G$2:$G$801, 0)+1))="","",INDEX(ERP資料!$H:$H, (MATCH(972, 輔助計算!$G$2:$G$801, 0)+1))), "")</f>
        <v/>
      </c>
      <c r="F973" s="10">
        <f>IFERROR(IF(INDEX(ERP資料!$E:$E, (MATCH(972, 輔助計算!$G$2:$G$801, 0)+1))="","",TRIM(INDEX(ERP資料!$E:$E, (MATCH(972, 輔助計算!$G$2:$G$801, 0)+1)))), "")</f>
        <v/>
      </c>
      <c r="G973" s="10">
        <f>IFERROR(IF(INDEX(ERP資料!$F:$F, (MATCH(972, 輔助計算!$G$2:$G$801, 0)+1))="","",INDEX(ERP資料!$F:$F, (MATCH(972, 輔助計算!$G$2:$G$801, 0)+1))), "")</f>
        <v/>
      </c>
      <c r="H973" s="10">
        <f>IFERROR(IF(INDEX(ERP資料!$G:$G, (MATCH(972, 輔助計算!$G$2:$G$801, 0)+1))="","",INDEX(ERP資料!$G:$G, (MATCH(972, 輔助計算!$G$2:$G$801, 0)+1))), "")</f>
        <v/>
      </c>
      <c r="I973" s="15">
        <f>IFERROR(INDEX(輔助計算!$D:$D, (MATCH(972, 輔助計算!$G$2:$G$801, 0)+1)), "")</f>
        <v/>
      </c>
      <c r="J973" s="15">
        <f>IFERROR(IF(AND(INDEX(輔助計算!$D:$D, (MATCH(972, 輔助計算!$G$2:$G$801, 0)+1))&lt;&gt;"", INDEX(ERP資料!$G:$G, (MATCH(972, 輔助計算!$G$2:$G$801, 0)+1))&lt;&gt;""), TRIM(IF(INT(INDEX(輔助計算!$D:$D, (MATCH(972, 輔助計算!$G$2:$G$801, 0)+1))/IF(INDEX(ERP資料!$G:$G, (MATCH(972, 輔助計算!$G$2:$G$801, 0)+1))&lt;100, IF(INDEX(ERP資料!$G:$G, (MATCH(972, 輔助計算!$G$2:$G$801, 0)+1))&lt;=31,3,IF(INDEX(ERP資料!$G:$G, (MATCH(972, 輔助計算!$G$2:$G$801, 0)+1))&lt;=46.5,2,1)), IF(INDEX(ERP資料!$G:$G, (MATCH(972, 輔助計算!$G$2:$G$801, 0)+1))&lt;=790,3,IF(INDEX(ERP資料!$G:$G, (MATCH(972, 輔助計算!$G$2:$G$801, 0)+1))&lt;=1181,2,1))))&gt;0, IF(IF(INDEX(ERP資料!$G:$G, (MATCH(972, 輔助計算!$G$2:$G$801, 0)+1))&lt;100, IF(INDEX(ERP資料!$G:$G, (MATCH(972, 輔助計算!$G$2:$G$801, 0)+1))&lt;=31,3,IF(INDEX(ERP資料!$G:$G, (MATCH(972, 輔助計算!$G$2:$G$801, 0)+1))&lt;=46.5,2,1)), IF(INDEX(ERP資料!$G:$G, (MATCH(972, 輔助計算!$G$2:$G$801, 0)+1))&lt;=790,3,IF(INDEX(ERP資料!$G:$G, (MATCH(972, 輔助計算!$G$2:$G$801, 0)+1))&lt;=1181,2,1)))=1,TEXT(INDEX(ERP資料!$G:$G, (MATCH(972, 輔助計算!$G$2:$G$801, 0)+1)),"0.##"),IF(IF(INDEX(ERP資料!$G:$G, (MATCH(972, 輔助計算!$G$2:$G$801, 0)+1))&lt;100, IF(INDEX(ERP資料!$G:$G, (MATCH(972, 輔助計算!$G$2:$G$801, 0)+1))&lt;=31,3,IF(INDEX(ERP資料!$G:$G, (MATCH(972, 輔助計算!$G$2:$G$801, 0)+1))&lt;=46.5,2,1)), IF(INDEX(ERP資料!$G:$G, (MATCH(972, 輔助計算!$G$2:$G$801, 0)+1))&lt;=790,3,IF(INDEX(ERP資料!$G:$G, (MATCH(972, 輔助計算!$G$2:$G$801, 0)+1))&lt;=1181,2,1)))=2,TEXT(INDEX(ERP資料!$G:$G, (MATCH(972, 輔助計算!$G$2:$G$801, 0)+1)),"0.##")&amp;"+"&amp;TEXT(INDEX(ERP資料!$G:$G, (MATCH(972, 輔助計算!$G$2:$G$801, 0)+1)),"0.##"),TEXT(INDEX(ERP資料!$G:$G, (MATCH(972, 輔助計算!$G$2:$G$801, 0)+1)),"0.##")&amp;"+"&amp;TEXT(INDEX(ERP資料!$G:$G, (MATCH(972, 輔助計算!$G$2:$G$801, 0)+1)),"0.##")&amp;"+"&amp;TEXT(INDEX(ERP資料!$G:$G, (MATCH(972, 輔助計算!$G$2:$G$801, 0)+1)),"0.##")))&amp;"-"&amp;INT(INDEX(輔助計算!$D:$D, (MATCH(972, 輔助計算!$G$2:$G$801, 0)+1))/IF(INDEX(ERP資料!$G:$G, (MATCH(972, 輔助計算!$G$2:$G$801, 0)+1))&lt;100, IF(INDEX(ERP資料!$G:$G, (MATCH(972, 輔助計算!$G$2:$G$801, 0)+1))&lt;=31,3,IF(INDEX(ERP資料!$G:$G, (MATCH(972, 輔助計算!$G$2:$G$801, 0)+1))&lt;=46.5,2,1)), IF(INDEX(ERP資料!$G:$G, (MATCH(972, 輔助計算!$G$2:$G$801, 0)+1))&lt;=790,3,IF(INDEX(ERP資料!$G:$G, (MATCH(972, 輔助計算!$G$2:$G$801, 0)+1))&lt;=1181,2,1)))), "")&amp;IF(AND(IF(INT(INDEX(輔助計算!$D:$D, (MATCH(972, 輔助計算!$G$2:$G$801, 0)+1))/IF(INDEX(ERP資料!$G:$G, (MATCH(972, 輔助計算!$G$2:$G$801, 0)+1))&lt;100, IF(INDEX(ERP資料!$G:$G, (MATCH(972, 輔助計算!$G$2:$G$801, 0)+1))&lt;=31,3,IF(INDEX(ERP資料!$G:$G, (MATCH(972, 輔助計算!$G$2:$G$801, 0)+1))&lt;=46.5,2,1)), IF(INDEX(ERP資料!$G:$G, (MATCH(972, 輔助計算!$G$2:$G$801, 0)+1))&lt;=790,3,IF(INDEX(ERP資料!$G:$G, (MATCH(972, 輔助計算!$G$2:$G$801, 0)+1))&lt;=1181,2,1))))&gt;0, IF(IF(INDEX(ERP資料!$G:$G, (MATCH(972, 輔助計算!$G$2:$G$801, 0)+1))&lt;100, IF(INDEX(ERP資料!$G:$G, (MATCH(972, 輔助計算!$G$2:$G$801, 0)+1))&lt;=31,3,IF(INDEX(ERP資料!$G:$G, (MATCH(972, 輔助計算!$G$2:$G$801, 0)+1))&lt;=46.5,2,1)), IF(INDEX(ERP資料!$G:$G, (MATCH(972, 輔助計算!$G$2:$G$801, 0)+1))&lt;=790,3,IF(INDEX(ERP資料!$G:$G, (MATCH(972, 輔助計算!$G$2:$G$801, 0)+1))&lt;=1181,2,1)))=1,TEXT(INDEX(ERP資料!$G:$G, (MATCH(972, 輔助計算!$G$2:$G$801, 0)+1)),"0.##"),IF(IF(INDEX(ERP資料!$G:$G, (MATCH(972, 輔助計算!$G$2:$G$801, 0)+1))&lt;100, IF(INDEX(ERP資料!$G:$G, (MATCH(972, 輔助計算!$G$2:$G$801, 0)+1))&lt;=31,3,IF(INDEX(ERP資料!$G:$G, (MATCH(972, 輔助計算!$G$2:$G$801, 0)+1))&lt;=46.5,2,1)), IF(INDEX(ERP資料!$G:$G, (MATCH(972, 輔助計算!$G$2:$G$801, 0)+1))&lt;=790,3,IF(INDEX(ERP資料!$G:$G, (MATCH(972, 輔助計算!$G$2:$G$801, 0)+1))&lt;=1181,2,1)))=2,TEXT(INDEX(ERP資料!$G:$G, (MATCH(972, 輔助計算!$G$2:$G$801, 0)+1)),"0.##")&amp;"+"&amp;TEXT(INDEX(ERP資料!$G:$G, (MATCH(972, 輔助計算!$G$2:$G$801, 0)+1)),"0.##"),TEXT(INDEX(ERP資料!$G:$G, (MATCH(972, 輔助計算!$G$2:$G$801, 0)+1)),"0.##")&amp;"+"&amp;TEXT(INDEX(ERP資料!$G:$G, (MATCH(972, 輔助計算!$G$2:$G$801, 0)+1)),"0.##")&amp;"+"&amp;TEXT(INDEX(ERP資料!$G:$G, (MATCH(972, 輔助計算!$G$2:$G$801, 0)+1)),"0.##")))&amp;"-"&amp;INT(INDEX(輔助計算!$D:$D, (MATCH(972, 輔助計算!$G$2:$G$801, 0)+1))/IF(INDEX(ERP資料!$G:$G, (MATCH(972, 輔助計算!$G$2:$G$801, 0)+1))&lt;100, IF(INDEX(ERP資料!$G:$G, (MATCH(972, 輔助計算!$G$2:$G$801, 0)+1))&lt;=31,3,IF(INDEX(ERP資料!$G:$G, (MATCH(972, 輔助計算!$G$2:$G$801, 0)+1))&lt;=46.5,2,1)), IF(INDEX(ERP資料!$G:$G, (MATCH(972, 輔助計算!$G$2:$G$801, 0)+1))&lt;=790,3,IF(INDEX(ERP資料!$G:$G, (MATCH(972, 輔助計算!$G$2:$G$801, 0)+1))&lt;=1181,2,1)))), "")&lt;&gt;"",IF(MOD(INDEX(輔助計算!$D:$D, (MATCH(972, 輔助計算!$G$2:$G$801, 0)+1)),IF(INDEX(ERP資料!$G:$G, (MATCH(972, 輔助計算!$G$2:$G$801, 0)+1))&lt;100, IF(INDEX(ERP資料!$G:$G, (MATCH(972, 輔助計算!$G$2:$G$801, 0)+1))&lt;=31,3,IF(INDEX(ERP資料!$G:$G, (MATCH(972, 輔助計算!$G$2:$G$801, 0)+1))&lt;=46.5,2,1)), IF(INDEX(ERP資料!$G:$G, (MATCH(972, 輔助計算!$G$2:$G$801, 0)+1))&lt;=790,3,IF(INDEX(ERP資料!$G:$G, (MATCH(972, 輔助計算!$G$2:$G$801, 0)+1))&lt;=1181,2,1))))=0,"",IF(MOD(INDEX(輔助計算!$D:$D, (MATCH(972, 輔助計算!$G$2:$G$801, 0)+1)),IF(INDEX(ERP資料!$G:$G, (MATCH(972, 輔助計算!$G$2:$G$801, 0)+1))&lt;100, IF(INDEX(ERP資料!$G:$G, (MATCH(972, 輔助計算!$G$2:$G$801, 0)+1))&lt;=31,3,IF(INDEX(ERP資料!$G:$G, (MATCH(972, 輔助計算!$G$2:$G$801, 0)+1))&lt;=46.5,2,1)), IF(INDEX(ERP資料!$G:$G, (MATCH(972, 輔助計算!$G$2:$G$801, 0)+1))&lt;=790,3,IF(INDEX(ERP資料!$G:$G, (MATCH(972, 輔助計算!$G$2:$G$801, 0)+1))&lt;=1181,2,1))))=0,"",IF(MOD(INDEX(輔助計算!$D:$D, (MATCH(972, 輔助計算!$G$2:$G$801, 0)+1)),IF(INDEX(ERP資料!$G:$G, (MATCH(972, 輔助計算!$G$2:$G$801, 0)+1))&lt;100, IF(INDEX(ERP資料!$G:$G, (MATCH(972, 輔助計算!$G$2:$G$801, 0)+1))&lt;=31,3,IF(INDEX(ERP資料!$G:$G, (MATCH(972, 輔助計算!$G$2:$G$801, 0)+1))&lt;=46.5,2,1)), IF(INDEX(ERP資料!$G:$G, (MATCH(972, 輔助計算!$G$2:$G$801, 0)+1))&lt;=790,3,IF(INDEX(ERP資料!$G:$G, (MATCH(972, 輔助計算!$G$2:$G$801, 0)+1))&lt;=1181,2,1))))=1,TEXT(INDEX(ERP資料!$G:$G, (MATCH(972, 輔助計算!$G$2:$G$801, 0)+1)),"0.##"),IF(MOD(INDEX(輔助計算!$D:$D, (MATCH(972, 輔助計算!$G$2:$G$801, 0)+1)),IF(INDEX(ERP資料!$G:$G, (MATCH(972, 輔助計算!$G$2:$G$801, 0)+1))&lt;100, IF(INDEX(ERP資料!$G:$G, (MATCH(972, 輔助計算!$G$2:$G$801, 0)+1))&lt;=31,3,IF(INDEX(ERP資料!$G:$G, (MATCH(972, 輔助計算!$G$2:$G$801, 0)+1))&lt;=46.5,2,1)), IF(INDEX(ERP資料!$G:$G, (MATCH(972, 輔助計算!$G$2:$G$801, 0)+1))&lt;=790,3,IF(INDEX(ERP資料!$G:$G, (MATCH(972, 輔助計算!$G$2:$G$801, 0)+1))&lt;=1181,2,1))))=2,TEXT(INDEX(ERP資料!$G:$G, (MATCH(972, 輔助計算!$G$2:$G$801, 0)+1)),"0.##")&amp;"+"&amp;TEXT(INDEX(ERP資料!$G:$G, (MATCH(972, 輔助計算!$G$2:$G$801, 0)+1)),"0.##"),TEXT(INDEX(ERP資料!$G:$G, (MATCH(972, 輔助計算!$G$2:$G$801, 0)+1)),"0.##")&amp;"+"&amp;TEXT(INDEX(ERP資料!$G:$G, (MATCH(972, 輔助計算!$G$2:$G$801, 0)+1)),"0.##")&amp;"+"&amp;TEXT(INDEX(ERP資料!$G:$G, (MATCH(972, 輔助計算!$G$2:$G$801, 0)+1)),"0.##"))))&amp;"-1")&lt;&gt;""),"  ","")&amp;IF(MOD(INDEX(輔助計算!$D:$D, (MATCH(972, 輔助計算!$G$2:$G$801, 0)+1)),IF(INDEX(ERP資料!$G:$G, (MATCH(972, 輔助計算!$G$2:$G$801, 0)+1))&lt;100, IF(INDEX(ERP資料!$G:$G, (MATCH(972, 輔助計算!$G$2:$G$801, 0)+1))&lt;=31,3,IF(INDEX(ERP資料!$G:$G, (MATCH(972, 輔助計算!$G$2:$G$801, 0)+1))&lt;=46.5,2,1)), IF(INDEX(ERP資料!$G:$G, (MATCH(972, 輔助計算!$G$2:$G$801, 0)+1))&lt;=790,3,IF(INDEX(ERP資料!$G:$G, (MATCH(972, 輔助計算!$G$2:$G$801, 0)+1))&lt;=1181,2,1))))=0,"",IF(MOD(INDEX(輔助計算!$D:$D, (MATCH(972, 輔助計算!$G$2:$G$801, 0)+1)),IF(INDEX(ERP資料!$G:$G, (MATCH(972, 輔助計算!$G$2:$G$801, 0)+1))&lt;100, IF(INDEX(ERP資料!$G:$G, (MATCH(972, 輔助計算!$G$2:$G$801, 0)+1))&lt;=31,3,IF(INDEX(ERP資料!$G:$G, (MATCH(972, 輔助計算!$G$2:$G$801, 0)+1))&lt;=46.5,2,1)), IF(INDEX(ERP資料!$G:$G, (MATCH(972, 輔助計算!$G$2:$G$801, 0)+1))&lt;=790,3,IF(INDEX(ERP資料!$G:$G, (MATCH(972, 輔助計算!$G$2:$G$801, 0)+1))&lt;=1181,2,1))))=0,"",IF(MOD(INDEX(輔助計算!$D:$D, (MATCH(972, 輔助計算!$G$2:$G$801, 0)+1)),IF(INDEX(ERP資料!$G:$G, (MATCH(972, 輔助計算!$G$2:$G$801, 0)+1))&lt;100, IF(INDEX(ERP資料!$G:$G, (MATCH(972, 輔助計算!$G$2:$G$801, 0)+1))&lt;=31,3,IF(INDEX(ERP資料!$G:$G, (MATCH(972, 輔助計算!$G$2:$G$801, 0)+1))&lt;=46.5,2,1)), IF(INDEX(ERP資料!$G:$G, (MATCH(972, 輔助計算!$G$2:$G$801, 0)+1))&lt;=790,3,IF(INDEX(ERP資料!$G:$G, (MATCH(972, 輔助計算!$G$2:$G$801, 0)+1))&lt;=1181,2,1))))=1,TEXT(INDEX(ERP資料!$G:$G, (MATCH(972, 輔助計算!$G$2:$G$801, 0)+1)),"0.##"),IF(MOD(INDEX(輔助計算!$D:$D, (MATCH(972, 輔助計算!$G$2:$G$801, 0)+1)),IF(INDEX(ERP資料!$G:$G, (MATCH(972, 輔助計算!$G$2:$G$801, 0)+1))&lt;100, IF(INDEX(ERP資料!$G:$G, (MATCH(972, 輔助計算!$G$2:$G$801, 0)+1))&lt;=31,3,IF(INDEX(ERP資料!$G:$G, (MATCH(972, 輔助計算!$G$2:$G$801, 0)+1))&lt;=46.5,2,1)), IF(INDEX(ERP資料!$G:$G, (MATCH(972, 輔助計算!$G$2:$G$801, 0)+1))&lt;=790,3,IF(INDEX(ERP資料!$G:$G, (MATCH(972, 輔助計算!$G$2:$G$801, 0)+1))&lt;=1181,2,1))))=2,TEXT(INDEX(ERP資料!$G:$G, (MATCH(972, 輔助計算!$G$2:$G$801, 0)+1)),"0.##")&amp;"+"&amp;TEXT(INDEX(ERP資料!$G:$G, (MATCH(972, 輔助計算!$G$2:$G$801, 0)+1)),"0.##"),TEXT(INDEX(ERP資料!$G:$G, (MATCH(972, 輔助計算!$G$2:$G$801, 0)+1)),"0.##")&amp;"+"&amp;TEXT(INDEX(ERP資料!$G:$G, (MATCH(972, 輔助計算!$G$2:$G$801, 0)+1)),"0.##")&amp;"+"&amp;TEXT(INDEX(ERP資料!$G:$G, (MATCH(972, 輔助計算!$G$2:$G$801, 0)+1)),"0.##"))))&amp;"-1")), ""), "")</f>
        <v/>
      </c>
      <c r="K973" s="16" t="n"/>
      <c r="L973" s="14">
        <f>IFERROR(IF(AND(IFERROR(INDEX(ERP資料!$A:$A, (MATCH(972, 輔助計算!$G$2:$G$801, 0)+1)), "")&lt;&gt;"", IFERROR(INDEX(ERP資料!$A:$A, (MATCH(972, 輔助計算!$G$2:$G$801, 0)+1)), "")&lt;&gt;IFERROR(INDEX(ERP資料!$A:$A, MATCH(971, 輔助計算!$G$2:$G$801, 0)+1), "")), INDEX(ERP資料!$B:$B, (MATCH(972, 輔助計算!$G$2:$G$801, 0)+1)), ""), "")</f>
        <v/>
      </c>
      <c r="M973" s="17" t="n"/>
    </row>
    <row r="974">
      <c r="A974" s="10">
        <f>IFERROR(IF(AND(IFERROR(INDEX(ERP資料!$A:$A, (MATCH(973, 輔助計算!$G$2:$G$801, 0)+1)), "")&lt;&gt;"", IFERROR(INDEX(ERP資料!$A:$A, (MATCH(973, 輔助計算!$G$2:$G$801, 0)+1)), "")&lt;&gt;IFERROR(INDEX(ERP資料!$A:$A, MATCH(972, 輔助計算!$G$2:$G$801, 0)+1), "")), IFERROR(INDEX(ERP資料!$A:$A, (MATCH(973, 輔助計算!$G$2:$G$801, 0)+1)), ""), ""), "")</f>
        <v/>
      </c>
      <c r="B974" s="10">
        <f>IFERROR(IF(AND(IFERROR(INDEX(ERP資料!$A:$A, (MATCH(973, 輔助計算!$G$2:$G$801, 0)+1)), "")&lt;&gt;"", IFERROR(INDEX(ERP資料!$A:$A, (MATCH(973, 輔助計算!$G$2:$G$801, 0)+1)), "")&lt;&gt;IFERROR(INDEX(ERP資料!$A:$A, MATCH(972, 輔助計算!$G$2:$G$801, 0)+1), "")), INDEX(ERP資料!$S:$S, (MATCH(973, 輔助計算!$G$2:$G$801, 0)+1)), ""), "")</f>
        <v/>
      </c>
      <c r="C974" s="19">
        <f>IFERROR(IF(AND(IFERROR(INDEX(ERP資料!$A:$A, (MATCH(973, 輔助計算!$G$2:$G$801, 0)+1)), "")&lt;&gt;"", IFERROR(INDEX(ERP資料!$A:$A, (MATCH(973, 輔助計算!$G$2:$G$801, 0)+1)), "")&lt;&gt;IFERROR(INDEX(ERP資料!$A:$A, MATCH(972, 輔助計算!$G$2:$G$801, 0)+1), "")), IFERROR(VLOOKUP(LEFT(INDEX(ERP資料!$S:$S, (MATCH(973, 輔助計算!$G$2:$G$801, 0)+1)), 4), 紙管對照表!$A:$C, 3, FALSE), ""), ""), "")</f>
        <v/>
      </c>
      <c r="D974" s="16" t="n"/>
      <c r="E974" s="10">
        <f>IFERROR(IF(INDEX(ERP資料!$H:$H, (MATCH(973, 輔助計算!$G$2:$G$801, 0)+1))="","",INDEX(ERP資料!$H:$H, (MATCH(973, 輔助計算!$G$2:$G$801, 0)+1))), "")</f>
        <v/>
      </c>
      <c r="F974" s="10">
        <f>IFERROR(IF(INDEX(ERP資料!$E:$E, (MATCH(973, 輔助計算!$G$2:$G$801, 0)+1))="","",TRIM(INDEX(ERP資料!$E:$E, (MATCH(973, 輔助計算!$G$2:$G$801, 0)+1)))), "")</f>
        <v/>
      </c>
      <c r="G974" s="10">
        <f>IFERROR(IF(INDEX(ERP資料!$F:$F, (MATCH(973, 輔助計算!$G$2:$G$801, 0)+1))="","",INDEX(ERP資料!$F:$F, (MATCH(973, 輔助計算!$G$2:$G$801, 0)+1))), "")</f>
        <v/>
      </c>
      <c r="H974" s="10">
        <f>IFERROR(IF(INDEX(ERP資料!$G:$G, (MATCH(973, 輔助計算!$G$2:$G$801, 0)+1))="","",INDEX(ERP資料!$G:$G, (MATCH(973, 輔助計算!$G$2:$G$801, 0)+1))), "")</f>
        <v/>
      </c>
      <c r="I974" s="15">
        <f>IFERROR(INDEX(輔助計算!$D:$D, (MATCH(973, 輔助計算!$G$2:$G$801, 0)+1)), "")</f>
        <v/>
      </c>
      <c r="J974" s="15">
        <f>IFERROR(IF(AND(INDEX(輔助計算!$D:$D, (MATCH(973, 輔助計算!$G$2:$G$801, 0)+1))&lt;&gt;"", INDEX(ERP資料!$G:$G, (MATCH(973, 輔助計算!$G$2:$G$801, 0)+1))&lt;&gt;""), TRIM(IF(INT(INDEX(輔助計算!$D:$D, (MATCH(973, 輔助計算!$G$2:$G$801, 0)+1))/IF(INDEX(ERP資料!$G:$G, (MATCH(973, 輔助計算!$G$2:$G$801, 0)+1))&lt;100, IF(INDEX(ERP資料!$G:$G, (MATCH(973, 輔助計算!$G$2:$G$801, 0)+1))&lt;=31,3,IF(INDEX(ERP資料!$G:$G, (MATCH(973, 輔助計算!$G$2:$G$801, 0)+1))&lt;=46.5,2,1)), IF(INDEX(ERP資料!$G:$G, (MATCH(973, 輔助計算!$G$2:$G$801, 0)+1))&lt;=790,3,IF(INDEX(ERP資料!$G:$G, (MATCH(973, 輔助計算!$G$2:$G$801, 0)+1))&lt;=1181,2,1))))&gt;0, IF(IF(INDEX(ERP資料!$G:$G, (MATCH(973, 輔助計算!$G$2:$G$801, 0)+1))&lt;100, IF(INDEX(ERP資料!$G:$G, (MATCH(973, 輔助計算!$G$2:$G$801, 0)+1))&lt;=31,3,IF(INDEX(ERP資料!$G:$G, (MATCH(973, 輔助計算!$G$2:$G$801, 0)+1))&lt;=46.5,2,1)), IF(INDEX(ERP資料!$G:$G, (MATCH(973, 輔助計算!$G$2:$G$801, 0)+1))&lt;=790,3,IF(INDEX(ERP資料!$G:$G, (MATCH(973, 輔助計算!$G$2:$G$801, 0)+1))&lt;=1181,2,1)))=1,TEXT(INDEX(ERP資料!$G:$G, (MATCH(973, 輔助計算!$G$2:$G$801, 0)+1)),"0.##"),IF(IF(INDEX(ERP資料!$G:$G, (MATCH(973, 輔助計算!$G$2:$G$801, 0)+1))&lt;100, IF(INDEX(ERP資料!$G:$G, (MATCH(973, 輔助計算!$G$2:$G$801, 0)+1))&lt;=31,3,IF(INDEX(ERP資料!$G:$G, (MATCH(973, 輔助計算!$G$2:$G$801, 0)+1))&lt;=46.5,2,1)), IF(INDEX(ERP資料!$G:$G, (MATCH(973, 輔助計算!$G$2:$G$801, 0)+1))&lt;=790,3,IF(INDEX(ERP資料!$G:$G, (MATCH(973, 輔助計算!$G$2:$G$801, 0)+1))&lt;=1181,2,1)))=2,TEXT(INDEX(ERP資料!$G:$G, (MATCH(973, 輔助計算!$G$2:$G$801, 0)+1)),"0.##")&amp;"+"&amp;TEXT(INDEX(ERP資料!$G:$G, (MATCH(973, 輔助計算!$G$2:$G$801, 0)+1)),"0.##"),TEXT(INDEX(ERP資料!$G:$G, (MATCH(973, 輔助計算!$G$2:$G$801, 0)+1)),"0.##")&amp;"+"&amp;TEXT(INDEX(ERP資料!$G:$G, (MATCH(973, 輔助計算!$G$2:$G$801, 0)+1)),"0.##")&amp;"+"&amp;TEXT(INDEX(ERP資料!$G:$G, (MATCH(973, 輔助計算!$G$2:$G$801, 0)+1)),"0.##")))&amp;"-"&amp;INT(INDEX(輔助計算!$D:$D, (MATCH(973, 輔助計算!$G$2:$G$801, 0)+1))/IF(INDEX(ERP資料!$G:$G, (MATCH(973, 輔助計算!$G$2:$G$801, 0)+1))&lt;100, IF(INDEX(ERP資料!$G:$G, (MATCH(973, 輔助計算!$G$2:$G$801, 0)+1))&lt;=31,3,IF(INDEX(ERP資料!$G:$G, (MATCH(973, 輔助計算!$G$2:$G$801, 0)+1))&lt;=46.5,2,1)), IF(INDEX(ERP資料!$G:$G, (MATCH(973, 輔助計算!$G$2:$G$801, 0)+1))&lt;=790,3,IF(INDEX(ERP資料!$G:$G, (MATCH(973, 輔助計算!$G$2:$G$801, 0)+1))&lt;=1181,2,1)))), "")&amp;IF(AND(IF(INT(INDEX(輔助計算!$D:$D, (MATCH(973, 輔助計算!$G$2:$G$801, 0)+1))/IF(INDEX(ERP資料!$G:$G, (MATCH(973, 輔助計算!$G$2:$G$801, 0)+1))&lt;100, IF(INDEX(ERP資料!$G:$G, (MATCH(973, 輔助計算!$G$2:$G$801, 0)+1))&lt;=31,3,IF(INDEX(ERP資料!$G:$G, (MATCH(973, 輔助計算!$G$2:$G$801, 0)+1))&lt;=46.5,2,1)), IF(INDEX(ERP資料!$G:$G, (MATCH(973, 輔助計算!$G$2:$G$801, 0)+1))&lt;=790,3,IF(INDEX(ERP資料!$G:$G, (MATCH(973, 輔助計算!$G$2:$G$801, 0)+1))&lt;=1181,2,1))))&gt;0, IF(IF(INDEX(ERP資料!$G:$G, (MATCH(973, 輔助計算!$G$2:$G$801, 0)+1))&lt;100, IF(INDEX(ERP資料!$G:$G, (MATCH(973, 輔助計算!$G$2:$G$801, 0)+1))&lt;=31,3,IF(INDEX(ERP資料!$G:$G, (MATCH(973, 輔助計算!$G$2:$G$801, 0)+1))&lt;=46.5,2,1)), IF(INDEX(ERP資料!$G:$G, (MATCH(973, 輔助計算!$G$2:$G$801, 0)+1))&lt;=790,3,IF(INDEX(ERP資料!$G:$G, (MATCH(973, 輔助計算!$G$2:$G$801, 0)+1))&lt;=1181,2,1)))=1,TEXT(INDEX(ERP資料!$G:$G, (MATCH(973, 輔助計算!$G$2:$G$801, 0)+1)),"0.##"),IF(IF(INDEX(ERP資料!$G:$G, (MATCH(973, 輔助計算!$G$2:$G$801, 0)+1))&lt;100, IF(INDEX(ERP資料!$G:$G, (MATCH(973, 輔助計算!$G$2:$G$801, 0)+1))&lt;=31,3,IF(INDEX(ERP資料!$G:$G, (MATCH(973, 輔助計算!$G$2:$G$801, 0)+1))&lt;=46.5,2,1)), IF(INDEX(ERP資料!$G:$G, (MATCH(973, 輔助計算!$G$2:$G$801, 0)+1))&lt;=790,3,IF(INDEX(ERP資料!$G:$G, (MATCH(973, 輔助計算!$G$2:$G$801, 0)+1))&lt;=1181,2,1)))=2,TEXT(INDEX(ERP資料!$G:$G, (MATCH(973, 輔助計算!$G$2:$G$801, 0)+1)),"0.##")&amp;"+"&amp;TEXT(INDEX(ERP資料!$G:$G, (MATCH(973, 輔助計算!$G$2:$G$801, 0)+1)),"0.##"),TEXT(INDEX(ERP資料!$G:$G, (MATCH(973, 輔助計算!$G$2:$G$801, 0)+1)),"0.##")&amp;"+"&amp;TEXT(INDEX(ERP資料!$G:$G, (MATCH(973, 輔助計算!$G$2:$G$801, 0)+1)),"0.##")&amp;"+"&amp;TEXT(INDEX(ERP資料!$G:$G, (MATCH(973, 輔助計算!$G$2:$G$801, 0)+1)),"0.##")))&amp;"-"&amp;INT(INDEX(輔助計算!$D:$D, (MATCH(973, 輔助計算!$G$2:$G$801, 0)+1))/IF(INDEX(ERP資料!$G:$G, (MATCH(973, 輔助計算!$G$2:$G$801, 0)+1))&lt;100, IF(INDEX(ERP資料!$G:$G, (MATCH(973, 輔助計算!$G$2:$G$801, 0)+1))&lt;=31,3,IF(INDEX(ERP資料!$G:$G, (MATCH(973, 輔助計算!$G$2:$G$801, 0)+1))&lt;=46.5,2,1)), IF(INDEX(ERP資料!$G:$G, (MATCH(973, 輔助計算!$G$2:$G$801, 0)+1))&lt;=790,3,IF(INDEX(ERP資料!$G:$G, (MATCH(973, 輔助計算!$G$2:$G$801, 0)+1))&lt;=1181,2,1)))), "")&lt;&gt;"",IF(MOD(INDEX(輔助計算!$D:$D, (MATCH(973, 輔助計算!$G$2:$G$801, 0)+1)),IF(INDEX(ERP資料!$G:$G, (MATCH(973, 輔助計算!$G$2:$G$801, 0)+1))&lt;100, IF(INDEX(ERP資料!$G:$G, (MATCH(973, 輔助計算!$G$2:$G$801, 0)+1))&lt;=31,3,IF(INDEX(ERP資料!$G:$G, (MATCH(973, 輔助計算!$G$2:$G$801, 0)+1))&lt;=46.5,2,1)), IF(INDEX(ERP資料!$G:$G, (MATCH(973, 輔助計算!$G$2:$G$801, 0)+1))&lt;=790,3,IF(INDEX(ERP資料!$G:$G, (MATCH(973, 輔助計算!$G$2:$G$801, 0)+1))&lt;=1181,2,1))))=0,"",IF(MOD(INDEX(輔助計算!$D:$D, (MATCH(973, 輔助計算!$G$2:$G$801, 0)+1)),IF(INDEX(ERP資料!$G:$G, (MATCH(973, 輔助計算!$G$2:$G$801, 0)+1))&lt;100, IF(INDEX(ERP資料!$G:$G, (MATCH(973, 輔助計算!$G$2:$G$801, 0)+1))&lt;=31,3,IF(INDEX(ERP資料!$G:$G, (MATCH(973, 輔助計算!$G$2:$G$801, 0)+1))&lt;=46.5,2,1)), IF(INDEX(ERP資料!$G:$G, (MATCH(973, 輔助計算!$G$2:$G$801, 0)+1))&lt;=790,3,IF(INDEX(ERP資料!$G:$G, (MATCH(973, 輔助計算!$G$2:$G$801, 0)+1))&lt;=1181,2,1))))=0,"",IF(MOD(INDEX(輔助計算!$D:$D, (MATCH(973, 輔助計算!$G$2:$G$801, 0)+1)),IF(INDEX(ERP資料!$G:$G, (MATCH(973, 輔助計算!$G$2:$G$801, 0)+1))&lt;100, IF(INDEX(ERP資料!$G:$G, (MATCH(973, 輔助計算!$G$2:$G$801, 0)+1))&lt;=31,3,IF(INDEX(ERP資料!$G:$G, (MATCH(973, 輔助計算!$G$2:$G$801, 0)+1))&lt;=46.5,2,1)), IF(INDEX(ERP資料!$G:$G, (MATCH(973, 輔助計算!$G$2:$G$801, 0)+1))&lt;=790,3,IF(INDEX(ERP資料!$G:$G, (MATCH(973, 輔助計算!$G$2:$G$801, 0)+1))&lt;=1181,2,1))))=1,TEXT(INDEX(ERP資料!$G:$G, (MATCH(973, 輔助計算!$G$2:$G$801, 0)+1)),"0.##"),IF(MOD(INDEX(輔助計算!$D:$D, (MATCH(973, 輔助計算!$G$2:$G$801, 0)+1)),IF(INDEX(ERP資料!$G:$G, (MATCH(973, 輔助計算!$G$2:$G$801, 0)+1))&lt;100, IF(INDEX(ERP資料!$G:$G, (MATCH(973, 輔助計算!$G$2:$G$801, 0)+1))&lt;=31,3,IF(INDEX(ERP資料!$G:$G, (MATCH(973, 輔助計算!$G$2:$G$801, 0)+1))&lt;=46.5,2,1)), IF(INDEX(ERP資料!$G:$G, (MATCH(973, 輔助計算!$G$2:$G$801, 0)+1))&lt;=790,3,IF(INDEX(ERP資料!$G:$G, (MATCH(973, 輔助計算!$G$2:$G$801, 0)+1))&lt;=1181,2,1))))=2,TEXT(INDEX(ERP資料!$G:$G, (MATCH(973, 輔助計算!$G$2:$G$801, 0)+1)),"0.##")&amp;"+"&amp;TEXT(INDEX(ERP資料!$G:$G, (MATCH(973, 輔助計算!$G$2:$G$801, 0)+1)),"0.##"),TEXT(INDEX(ERP資料!$G:$G, (MATCH(973, 輔助計算!$G$2:$G$801, 0)+1)),"0.##")&amp;"+"&amp;TEXT(INDEX(ERP資料!$G:$G, (MATCH(973, 輔助計算!$G$2:$G$801, 0)+1)),"0.##")&amp;"+"&amp;TEXT(INDEX(ERP資料!$G:$G, (MATCH(973, 輔助計算!$G$2:$G$801, 0)+1)),"0.##"))))&amp;"-1")&lt;&gt;""),"  ","")&amp;IF(MOD(INDEX(輔助計算!$D:$D, (MATCH(973, 輔助計算!$G$2:$G$801, 0)+1)),IF(INDEX(ERP資料!$G:$G, (MATCH(973, 輔助計算!$G$2:$G$801, 0)+1))&lt;100, IF(INDEX(ERP資料!$G:$G, (MATCH(973, 輔助計算!$G$2:$G$801, 0)+1))&lt;=31,3,IF(INDEX(ERP資料!$G:$G, (MATCH(973, 輔助計算!$G$2:$G$801, 0)+1))&lt;=46.5,2,1)), IF(INDEX(ERP資料!$G:$G, (MATCH(973, 輔助計算!$G$2:$G$801, 0)+1))&lt;=790,3,IF(INDEX(ERP資料!$G:$G, (MATCH(973, 輔助計算!$G$2:$G$801, 0)+1))&lt;=1181,2,1))))=0,"",IF(MOD(INDEX(輔助計算!$D:$D, (MATCH(973, 輔助計算!$G$2:$G$801, 0)+1)),IF(INDEX(ERP資料!$G:$G, (MATCH(973, 輔助計算!$G$2:$G$801, 0)+1))&lt;100, IF(INDEX(ERP資料!$G:$G, (MATCH(973, 輔助計算!$G$2:$G$801, 0)+1))&lt;=31,3,IF(INDEX(ERP資料!$G:$G, (MATCH(973, 輔助計算!$G$2:$G$801, 0)+1))&lt;=46.5,2,1)), IF(INDEX(ERP資料!$G:$G, (MATCH(973, 輔助計算!$G$2:$G$801, 0)+1))&lt;=790,3,IF(INDEX(ERP資料!$G:$G, (MATCH(973, 輔助計算!$G$2:$G$801, 0)+1))&lt;=1181,2,1))))=0,"",IF(MOD(INDEX(輔助計算!$D:$D, (MATCH(973, 輔助計算!$G$2:$G$801, 0)+1)),IF(INDEX(ERP資料!$G:$G, (MATCH(973, 輔助計算!$G$2:$G$801, 0)+1))&lt;100, IF(INDEX(ERP資料!$G:$G, (MATCH(973, 輔助計算!$G$2:$G$801, 0)+1))&lt;=31,3,IF(INDEX(ERP資料!$G:$G, (MATCH(973, 輔助計算!$G$2:$G$801, 0)+1))&lt;=46.5,2,1)), IF(INDEX(ERP資料!$G:$G, (MATCH(973, 輔助計算!$G$2:$G$801, 0)+1))&lt;=790,3,IF(INDEX(ERP資料!$G:$G, (MATCH(973, 輔助計算!$G$2:$G$801, 0)+1))&lt;=1181,2,1))))=1,TEXT(INDEX(ERP資料!$G:$G, (MATCH(973, 輔助計算!$G$2:$G$801, 0)+1)),"0.##"),IF(MOD(INDEX(輔助計算!$D:$D, (MATCH(973, 輔助計算!$G$2:$G$801, 0)+1)),IF(INDEX(ERP資料!$G:$G, (MATCH(973, 輔助計算!$G$2:$G$801, 0)+1))&lt;100, IF(INDEX(ERP資料!$G:$G, (MATCH(973, 輔助計算!$G$2:$G$801, 0)+1))&lt;=31,3,IF(INDEX(ERP資料!$G:$G, (MATCH(973, 輔助計算!$G$2:$G$801, 0)+1))&lt;=46.5,2,1)), IF(INDEX(ERP資料!$G:$G, (MATCH(973, 輔助計算!$G$2:$G$801, 0)+1))&lt;=790,3,IF(INDEX(ERP資料!$G:$G, (MATCH(973, 輔助計算!$G$2:$G$801, 0)+1))&lt;=1181,2,1))))=2,TEXT(INDEX(ERP資料!$G:$G, (MATCH(973, 輔助計算!$G$2:$G$801, 0)+1)),"0.##")&amp;"+"&amp;TEXT(INDEX(ERP資料!$G:$G, (MATCH(973, 輔助計算!$G$2:$G$801, 0)+1)),"0.##"),TEXT(INDEX(ERP資料!$G:$G, (MATCH(973, 輔助計算!$G$2:$G$801, 0)+1)),"0.##")&amp;"+"&amp;TEXT(INDEX(ERP資料!$G:$G, (MATCH(973, 輔助計算!$G$2:$G$801, 0)+1)),"0.##")&amp;"+"&amp;TEXT(INDEX(ERP資料!$G:$G, (MATCH(973, 輔助計算!$G$2:$G$801, 0)+1)),"0.##"))))&amp;"-1")), ""), "")</f>
        <v/>
      </c>
      <c r="K974" s="16" t="n"/>
      <c r="L974" s="14">
        <f>IFERROR(IF(AND(IFERROR(INDEX(ERP資料!$A:$A, (MATCH(973, 輔助計算!$G$2:$G$801, 0)+1)), "")&lt;&gt;"", IFERROR(INDEX(ERP資料!$A:$A, (MATCH(973, 輔助計算!$G$2:$G$801, 0)+1)), "")&lt;&gt;IFERROR(INDEX(ERP資料!$A:$A, MATCH(972, 輔助計算!$G$2:$G$801, 0)+1), "")), INDEX(ERP資料!$B:$B, (MATCH(973, 輔助計算!$G$2:$G$801, 0)+1)), ""), "")</f>
        <v/>
      </c>
      <c r="M974" s="17" t="n"/>
    </row>
    <row r="975">
      <c r="A975" s="10">
        <f>IFERROR(IF(AND(IFERROR(INDEX(ERP資料!$A:$A, (MATCH(974, 輔助計算!$G$2:$G$801, 0)+1)), "")&lt;&gt;"", IFERROR(INDEX(ERP資料!$A:$A, (MATCH(974, 輔助計算!$G$2:$G$801, 0)+1)), "")&lt;&gt;IFERROR(INDEX(ERP資料!$A:$A, MATCH(973, 輔助計算!$G$2:$G$801, 0)+1), "")), IFERROR(INDEX(ERP資料!$A:$A, (MATCH(974, 輔助計算!$G$2:$G$801, 0)+1)), ""), ""), "")</f>
        <v/>
      </c>
      <c r="B975" s="10">
        <f>IFERROR(IF(AND(IFERROR(INDEX(ERP資料!$A:$A, (MATCH(974, 輔助計算!$G$2:$G$801, 0)+1)), "")&lt;&gt;"", IFERROR(INDEX(ERP資料!$A:$A, (MATCH(974, 輔助計算!$G$2:$G$801, 0)+1)), "")&lt;&gt;IFERROR(INDEX(ERP資料!$A:$A, MATCH(973, 輔助計算!$G$2:$G$801, 0)+1), "")), INDEX(ERP資料!$S:$S, (MATCH(974, 輔助計算!$G$2:$G$801, 0)+1)), ""), "")</f>
        <v/>
      </c>
      <c r="C975" s="19">
        <f>IFERROR(IF(AND(IFERROR(INDEX(ERP資料!$A:$A, (MATCH(974, 輔助計算!$G$2:$G$801, 0)+1)), "")&lt;&gt;"", IFERROR(INDEX(ERP資料!$A:$A, (MATCH(974, 輔助計算!$G$2:$G$801, 0)+1)), "")&lt;&gt;IFERROR(INDEX(ERP資料!$A:$A, MATCH(973, 輔助計算!$G$2:$G$801, 0)+1), "")), IFERROR(VLOOKUP(LEFT(INDEX(ERP資料!$S:$S, (MATCH(974, 輔助計算!$G$2:$G$801, 0)+1)), 4), 紙管對照表!$A:$C, 3, FALSE), ""), ""), "")</f>
        <v/>
      </c>
      <c r="D975" s="16" t="n"/>
      <c r="E975" s="10">
        <f>IFERROR(IF(INDEX(ERP資料!$H:$H, (MATCH(974, 輔助計算!$G$2:$G$801, 0)+1))="","",INDEX(ERP資料!$H:$H, (MATCH(974, 輔助計算!$G$2:$G$801, 0)+1))), "")</f>
        <v/>
      </c>
      <c r="F975" s="10">
        <f>IFERROR(IF(INDEX(ERP資料!$E:$E, (MATCH(974, 輔助計算!$G$2:$G$801, 0)+1))="","",TRIM(INDEX(ERP資料!$E:$E, (MATCH(974, 輔助計算!$G$2:$G$801, 0)+1)))), "")</f>
        <v/>
      </c>
      <c r="G975" s="10">
        <f>IFERROR(IF(INDEX(ERP資料!$F:$F, (MATCH(974, 輔助計算!$G$2:$G$801, 0)+1))="","",INDEX(ERP資料!$F:$F, (MATCH(974, 輔助計算!$G$2:$G$801, 0)+1))), "")</f>
        <v/>
      </c>
      <c r="H975" s="10">
        <f>IFERROR(IF(INDEX(ERP資料!$G:$G, (MATCH(974, 輔助計算!$G$2:$G$801, 0)+1))="","",INDEX(ERP資料!$G:$G, (MATCH(974, 輔助計算!$G$2:$G$801, 0)+1))), "")</f>
        <v/>
      </c>
      <c r="I975" s="15">
        <f>IFERROR(INDEX(輔助計算!$D:$D, (MATCH(974, 輔助計算!$G$2:$G$801, 0)+1)), "")</f>
        <v/>
      </c>
      <c r="J975" s="15">
        <f>IFERROR(IF(AND(INDEX(輔助計算!$D:$D, (MATCH(974, 輔助計算!$G$2:$G$801, 0)+1))&lt;&gt;"", INDEX(ERP資料!$G:$G, (MATCH(974, 輔助計算!$G$2:$G$801, 0)+1))&lt;&gt;""), TRIM(IF(INT(INDEX(輔助計算!$D:$D, (MATCH(974, 輔助計算!$G$2:$G$801, 0)+1))/IF(INDEX(ERP資料!$G:$G, (MATCH(974, 輔助計算!$G$2:$G$801, 0)+1))&lt;100, IF(INDEX(ERP資料!$G:$G, (MATCH(974, 輔助計算!$G$2:$G$801, 0)+1))&lt;=31,3,IF(INDEX(ERP資料!$G:$G, (MATCH(974, 輔助計算!$G$2:$G$801, 0)+1))&lt;=46.5,2,1)), IF(INDEX(ERP資料!$G:$G, (MATCH(974, 輔助計算!$G$2:$G$801, 0)+1))&lt;=790,3,IF(INDEX(ERP資料!$G:$G, (MATCH(974, 輔助計算!$G$2:$G$801, 0)+1))&lt;=1181,2,1))))&gt;0, IF(IF(INDEX(ERP資料!$G:$G, (MATCH(974, 輔助計算!$G$2:$G$801, 0)+1))&lt;100, IF(INDEX(ERP資料!$G:$G, (MATCH(974, 輔助計算!$G$2:$G$801, 0)+1))&lt;=31,3,IF(INDEX(ERP資料!$G:$G, (MATCH(974, 輔助計算!$G$2:$G$801, 0)+1))&lt;=46.5,2,1)), IF(INDEX(ERP資料!$G:$G, (MATCH(974, 輔助計算!$G$2:$G$801, 0)+1))&lt;=790,3,IF(INDEX(ERP資料!$G:$G, (MATCH(974, 輔助計算!$G$2:$G$801, 0)+1))&lt;=1181,2,1)))=1,TEXT(INDEX(ERP資料!$G:$G, (MATCH(974, 輔助計算!$G$2:$G$801, 0)+1)),"0.##"),IF(IF(INDEX(ERP資料!$G:$G, (MATCH(974, 輔助計算!$G$2:$G$801, 0)+1))&lt;100, IF(INDEX(ERP資料!$G:$G, (MATCH(974, 輔助計算!$G$2:$G$801, 0)+1))&lt;=31,3,IF(INDEX(ERP資料!$G:$G, (MATCH(974, 輔助計算!$G$2:$G$801, 0)+1))&lt;=46.5,2,1)), IF(INDEX(ERP資料!$G:$G, (MATCH(974, 輔助計算!$G$2:$G$801, 0)+1))&lt;=790,3,IF(INDEX(ERP資料!$G:$G, (MATCH(974, 輔助計算!$G$2:$G$801, 0)+1))&lt;=1181,2,1)))=2,TEXT(INDEX(ERP資料!$G:$G, (MATCH(974, 輔助計算!$G$2:$G$801, 0)+1)),"0.##")&amp;"+"&amp;TEXT(INDEX(ERP資料!$G:$G, (MATCH(974, 輔助計算!$G$2:$G$801, 0)+1)),"0.##"),TEXT(INDEX(ERP資料!$G:$G, (MATCH(974, 輔助計算!$G$2:$G$801, 0)+1)),"0.##")&amp;"+"&amp;TEXT(INDEX(ERP資料!$G:$G, (MATCH(974, 輔助計算!$G$2:$G$801, 0)+1)),"0.##")&amp;"+"&amp;TEXT(INDEX(ERP資料!$G:$G, (MATCH(974, 輔助計算!$G$2:$G$801, 0)+1)),"0.##")))&amp;"-"&amp;INT(INDEX(輔助計算!$D:$D, (MATCH(974, 輔助計算!$G$2:$G$801, 0)+1))/IF(INDEX(ERP資料!$G:$G, (MATCH(974, 輔助計算!$G$2:$G$801, 0)+1))&lt;100, IF(INDEX(ERP資料!$G:$G, (MATCH(974, 輔助計算!$G$2:$G$801, 0)+1))&lt;=31,3,IF(INDEX(ERP資料!$G:$G, (MATCH(974, 輔助計算!$G$2:$G$801, 0)+1))&lt;=46.5,2,1)), IF(INDEX(ERP資料!$G:$G, (MATCH(974, 輔助計算!$G$2:$G$801, 0)+1))&lt;=790,3,IF(INDEX(ERP資料!$G:$G, (MATCH(974, 輔助計算!$G$2:$G$801, 0)+1))&lt;=1181,2,1)))), "")&amp;IF(AND(IF(INT(INDEX(輔助計算!$D:$D, (MATCH(974, 輔助計算!$G$2:$G$801, 0)+1))/IF(INDEX(ERP資料!$G:$G, (MATCH(974, 輔助計算!$G$2:$G$801, 0)+1))&lt;100, IF(INDEX(ERP資料!$G:$G, (MATCH(974, 輔助計算!$G$2:$G$801, 0)+1))&lt;=31,3,IF(INDEX(ERP資料!$G:$G, (MATCH(974, 輔助計算!$G$2:$G$801, 0)+1))&lt;=46.5,2,1)), IF(INDEX(ERP資料!$G:$G, (MATCH(974, 輔助計算!$G$2:$G$801, 0)+1))&lt;=790,3,IF(INDEX(ERP資料!$G:$G, (MATCH(974, 輔助計算!$G$2:$G$801, 0)+1))&lt;=1181,2,1))))&gt;0, IF(IF(INDEX(ERP資料!$G:$G, (MATCH(974, 輔助計算!$G$2:$G$801, 0)+1))&lt;100, IF(INDEX(ERP資料!$G:$G, (MATCH(974, 輔助計算!$G$2:$G$801, 0)+1))&lt;=31,3,IF(INDEX(ERP資料!$G:$G, (MATCH(974, 輔助計算!$G$2:$G$801, 0)+1))&lt;=46.5,2,1)), IF(INDEX(ERP資料!$G:$G, (MATCH(974, 輔助計算!$G$2:$G$801, 0)+1))&lt;=790,3,IF(INDEX(ERP資料!$G:$G, (MATCH(974, 輔助計算!$G$2:$G$801, 0)+1))&lt;=1181,2,1)))=1,TEXT(INDEX(ERP資料!$G:$G, (MATCH(974, 輔助計算!$G$2:$G$801, 0)+1)),"0.##"),IF(IF(INDEX(ERP資料!$G:$G, (MATCH(974, 輔助計算!$G$2:$G$801, 0)+1))&lt;100, IF(INDEX(ERP資料!$G:$G, (MATCH(974, 輔助計算!$G$2:$G$801, 0)+1))&lt;=31,3,IF(INDEX(ERP資料!$G:$G, (MATCH(974, 輔助計算!$G$2:$G$801, 0)+1))&lt;=46.5,2,1)), IF(INDEX(ERP資料!$G:$G, (MATCH(974, 輔助計算!$G$2:$G$801, 0)+1))&lt;=790,3,IF(INDEX(ERP資料!$G:$G, (MATCH(974, 輔助計算!$G$2:$G$801, 0)+1))&lt;=1181,2,1)))=2,TEXT(INDEX(ERP資料!$G:$G, (MATCH(974, 輔助計算!$G$2:$G$801, 0)+1)),"0.##")&amp;"+"&amp;TEXT(INDEX(ERP資料!$G:$G, (MATCH(974, 輔助計算!$G$2:$G$801, 0)+1)),"0.##"),TEXT(INDEX(ERP資料!$G:$G, (MATCH(974, 輔助計算!$G$2:$G$801, 0)+1)),"0.##")&amp;"+"&amp;TEXT(INDEX(ERP資料!$G:$G, (MATCH(974, 輔助計算!$G$2:$G$801, 0)+1)),"0.##")&amp;"+"&amp;TEXT(INDEX(ERP資料!$G:$G, (MATCH(974, 輔助計算!$G$2:$G$801, 0)+1)),"0.##")))&amp;"-"&amp;INT(INDEX(輔助計算!$D:$D, (MATCH(974, 輔助計算!$G$2:$G$801, 0)+1))/IF(INDEX(ERP資料!$G:$G, (MATCH(974, 輔助計算!$G$2:$G$801, 0)+1))&lt;100, IF(INDEX(ERP資料!$G:$G, (MATCH(974, 輔助計算!$G$2:$G$801, 0)+1))&lt;=31,3,IF(INDEX(ERP資料!$G:$G, (MATCH(974, 輔助計算!$G$2:$G$801, 0)+1))&lt;=46.5,2,1)), IF(INDEX(ERP資料!$G:$G, (MATCH(974, 輔助計算!$G$2:$G$801, 0)+1))&lt;=790,3,IF(INDEX(ERP資料!$G:$G, (MATCH(974, 輔助計算!$G$2:$G$801, 0)+1))&lt;=1181,2,1)))), "")&lt;&gt;"",IF(MOD(INDEX(輔助計算!$D:$D, (MATCH(974, 輔助計算!$G$2:$G$801, 0)+1)),IF(INDEX(ERP資料!$G:$G, (MATCH(974, 輔助計算!$G$2:$G$801, 0)+1))&lt;100, IF(INDEX(ERP資料!$G:$G, (MATCH(974, 輔助計算!$G$2:$G$801, 0)+1))&lt;=31,3,IF(INDEX(ERP資料!$G:$G, (MATCH(974, 輔助計算!$G$2:$G$801, 0)+1))&lt;=46.5,2,1)), IF(INDEX(ERP資料!$G:$G, (MATCH(974, 輔助計算!$G$2:$G$801, 0)+1))&lt;=790,3,IF(INDEX(ERP資料!$G:$G, (MATCH(974, 輔助計算!$G$2:$G$801, 0)+1))&lt;=1181,2,1))))=0,"",IF(MOD(INDEX(輔助計算!$D:$D, (MATCH(974, 輔助計算!$G$2:$G$801, 0)+1)),IF(INDEX(ERP資料!$G:$G, (MATCH(974, 輔助計算!$G$2:$G$801, 0)+1))&lt;100, IF(INDEX(ERP資料!$G:$G, (MATCH(974, 輔助計算!$G$2:$G$801, 0)+1))&lt;=31,3,IF(INDEX(ERP資料!$G:$G, (MATCH(974, 輔助計算!$G$2:$G$801, 0)+1))&lt;=46.5,2,1)), IF(INDEX(ERP資料!$G:$G, (MATCH(974, 輔助計算!$G$2:$G$801, 0)+1))&lt;=790,3,IF(INDEX(ERP資料!$G:$G, (MATCH(974, 輔助計算!$G$2:$G$801, 0)+1))&lt;=1181,2,1))))=0,"",IF(MOD(INDEX(輔助計算!$D:$D, (MATCH(974, 輔助計算!$G$2:$G$801, 0)+1)),IF(INDEX(ERP資料!$G:$G, (MATCH(974, 輔助計算!$G$2:$G$801, 0)+1))&lt;100, IF(INDEX(ERP資料!$G:$G, (MATCH(974, 輔助計算!$G$2:$G$801, 0)+1))&lt;=31,3,IF(INDEX(ERP資料!$G:$G, (MATCH(974, 輔助計算!$G$2:$G$801, 0)+1))&lt;=46.5,2,1)), IF(INDEX(ERP資料!$G:$G, (MATCH(974, 輔助計算!$G$2:$G$801, 0)+1))&lt;=790,3,IF(INDEX(ERP資料!$G:$G, (MATCH(974, 輔助計算!$G$2:$G$801, 0)+1))&lt;=1181,2,1))))=1,TEXT(INDEX(ERP資料!$G:$G, (MATCH(974, 輔助計算!$G$2:$G$801, 0)+1)),"0.##"),IF(MOD(INDEX(輔助計算!$D:$D, (MATCH(974, 輔助計算!$G$2:$G$801, 0)+1)),IF(INDEX(ERP資料!$G:$G, (MATCH(974, 輔助計算!$G$2:$G$801, 0)+1))&lt;100, IF(INDEX(ERP資料!$G:$G, (MATCH(974, 輔助計算!$G$2:$G$801, 0)+1))&lt;=31,3,IF(INDEX(ERP資料!$G:$G, (MATCH(974, 輔助計算!$G$2:$G$801, 0)+1))&lt;=46.5,2,1)), IF(INDEX(ERP資料!$G:$G, (MATCH(974, 輔助計算!$G$2:$G$801, 0)+1))&lt;=790,3,IF(INDEX(ERP資料!$G:$G, (MATCH(974, 輔助計算!$G$2:$G$801, 0)+1))&lt;=1181,2,1))))=2,TEXT(INDEX(ERP資料!$G:$G, (MATCH(974, 輔助計算!$G$2:$G$801, 0)+1)),"0.##")&amp;"+"&amp;TEXT(INDEX(ERP資料!$G:$G, (MATCH(974, 輔助計算!$G$2:$G$801, 0)+1)),"0.##"),TEXT(INDEX(ERP資料!$G:$G, (MATCH(974, 輔助計算!$G$2:$G$801, 0)+1)),"0.##")&amp;"+"&amp;TEXT(INDEX(ERP資料!$G:$G, (MATCH(974, 輔助計算!$G$2:$G$801, 0)+1)),"0.##")&amp;"+"&amp;TEXT(INDEX(ERP資料!$G:$G, (MATCH(974, 輔助計算!$G$2:$G$801, 0)+1)),"0.##"))))&amp;"-1")&lt;&gt;""),"  ","")&amp;IF(MOD(INDEX(輔助計算!$D:$D, (MATCH(974, 輔助計算!$G$2:$G$801, 0)+1)),IF(INDEX(ERP資料!$G:$G, (MATCH(974, 輔助計算!$G$2:$G$801, 0)+1))&lt;100, IF(INDEX(ERP資料!$G:$G, (MATCH(974, 輔助計算!$G$2:$G$801, 0)+1))&lt;=31,3,IF(INDEX(ERP資料!$G:$G, (MATCH(974, 輔助計算!$G$2:$G$801, 0)+1))&lt;=46.5,2,1)), IF(INDEX(ERP資料!$G:$G, (MATCH(974, 輔助計算!$G$2:$G$801, 0)+1))&lt;=790,3,IF(INDEX(ERP資料!$G:$G, (MATCH(974, 輔助計算!$G$2:$G$801, 0)+1))&lt;=1181,2,1))))=0,"",IF(MOD(INDEX(輔助計算!$D:$D, (MATCH(974, 輔助計算!$G$2:$G$801, 0)+1)),IF(INDEX(ERP資料!$G:$G, (MATCH(974, 輔助計算!$G$2:$G$801, 0)+1))&lt;100, IF(INDEX(ERP資料!$G:$G, (MATCH(974, 輔助計算!$G$2:$G$801, 0)+1))&lt;=31,3,IF(INDEX(ERP資料!$G:$G, (MATCH(974, 輔助計算!$G$2:$G$801, 0)+1))&lt;=46.5,2,1)), IF(INDEX(ERP資料!$G:$G, (MATCH(974, 輔助計算!$G$2:$G$801, 0)+1))&lt;=790,3,IF(INDEX(ERP資料!$G:$G, (MATCH(974, 輔助計算!$G$2:$G$801, 0)+1))&lt;=1181,2,1))))=0,"",IF(MOD(INDEX(輔助計算!$D:$D, (MATCH(974, 輔助計算!$G$2:$G$801, 0)+1)),IF(INDEX(ERP資料!$G:$G, (MATCH(974, 輔助計算!$G$2:$G$801, 0)+1))&lt;100, IF(INDEX(ERP資料!$G:$G, (MATCH(974, 輔助計算!$G$2:$G$801, 0)+1))&lt;=31,3,IF(INDEX(ERP資料!$G:$G, (MATCH(974, 輔助計算!$G$2:$G$801, 0)+1))&lt;=46.5,2,1)), IF(INDEX(ERP資料!$G:$G, (MATCH(974, 輔助計算!$G$2:$G$801, 0)+1))&lt;=790,3,IF(INDEX(ERP資料!$G:$G, (MATCH(974, 輔助計算!$G$2:$G$801, 0)+1))&lt;=1181,2,1))))=1,TEXT(INDEX(ERP資料!$G:$G, (MATCH(974, 輔助計算!$G$2:$G$801, 0)+1)),"0.##"),IF(MOD(INDEX(輔助計算!$D:$D, (MATCH(974, 輔助計算!$G$2:$G$801, 0)+1)),IF(INDEX(ERP資料!$G:$G, (MATCH(974, 輔助計算!$G$2:$G$801, 0)+1))&lt;100, IF(INDEX(ERP資料!$G:$G, (MATCH(974, 輔助計算!$G$2:$G$801, 0)+1))&lt;=31,3,IF(INDEX(ERP資料!$G:$G, (MATCH(974, 輔助計算!$G$2:$G$801, 0)+1))&lt;=46.5,2,1)), IF(INDEX(ERP資料!$G:$G, (MATCH(974, 輔助計算!$G$2:$G$801, 0)+1))&lt;=790,3,IF(INDEX(ERP資料!$G:$G, (MATCH(974, 輔助計算!$G$2:$G$801, 0)+1))&lt;=1181,2,1))))=2,TEXT(INDEX(ERP資料!$G:$G, (MATCH(974, 輔助計算!$G$2:$G$801, 0)+1)),"0.##")&amp;"+"&amp;TEXT(INDEX(ERP資料!$G:$G, (MATCH(974, 輔助計算!$G$2:$G$801, 0)+1)),"0.##"),TEXT(INDEX(ERP資料!$G:$G, (MATCH(974, 輔助計算!$G$2:$G$801, 0)+1)),"0.##")&amp;"+"&amp;TEXT(INDEX(ERP資料!$G:$G, (MATCH(974, 輔助計算!$G$2:$G$801, 0)+1)),"0.##")&amp;"+"&amp;TEXT(INDEX(ERP資料!$G:$G, (MATCH(974, 輔助計算!$G$2:$G$801, 0)+1)),"0.##"))))&amp;"-1")), ""), "")</f>
        <v/>
      </c>
      <c r="K975" s="16" t="n"/>
      <c r="L975" s="14">
        <f>IFERROR(IF(AND(IFERROR(INDEX(ERP資料!$A:$A, (MATCH(974, 輔助計算!$G$2:$G$801, 0)+1)), "")&lt;&gt;"", IFERROR(INDEX(ERP資料!$A:$A, (MATCH(974, 輔助計算!$G$2:$G$801, 0)+1)), "")&lt;&gt;IFERROR(INDEX(ERP資料!$A:$A, MATCH(973, 輔助計算!$G$2:$G$801, 0)+1), "")), INDEX(ERP資料!$B:$B, (MATCH(974, 輔助計算!$G$2:$G$801, 0)+1)), ""), "")</f>
        <v/>
      </c>
      <c r="M975" s="17" t="n"/>
    </row>
    <row r="976">
      <c r="A976" s="10">
        <f>IFERROR(IF(AND(IFERROR(INDEX(ERP資料!$A:$A, (MATCH(975, 輔助計算!$G$2:$G$801, 0)+1)), "")&lt;&gt;"", IFERROR(INDEX(ERP資料!$A:$A, (MATCH(975, 輔助計算!$G$2:$G$801, 0)+1)), "")&lt;&gt;IFERROR(INDEX(ERP資料!$A:$A, MATCH(974, 輔助計算!$G$2:$G$801, 0)+1), "")), IFERROR(INDEX(ERP資料!$A:$A, (MATCH(975, 輔助計算!$G$2:$G$801, 0)+1)), ""), ""), "")</f>
        <v/>
      </c>
      <c r="B976" s="10">
        <f>IFERROR(IF(AND(IFERROR(INDEX(ERP資料!$A:$A, (MATCH(975, 輔助計算!$G$2:$G$801, 0)+1)), "")&lt;&gt;"", IFERROR(INDEX(ERP資料!$A:$A, (MATCH(975, 輔助計算!$G$2:$G$801, 0)+1)), "")&lt;&gt;IFERROR(INDEX(ERP資料!$A:$A, MATCH(974, 輔助計算!$G$2:$G$801, 0)+1), "")), INDEX(ERP資料!$S:$S, (MATCH(975, 輔助計算!$G$2:$G$801, 0)+1)), ""), "")</f>
        <v/>
      </c>
      <c r="C976" s="19">
        <f>IFERROR(IF(AND(IFERROR(INDEX(ERP資料!$A:$A, (MATCH(975, 輔助計算!$G$2:$G$801, 0)+1)), "")&lt;&gt;"", IFERROR(INDEX(ERP資料!$A:$A, (MATCH(975, 輔助計算!$G$2:$G$801, 0)+1)), "")&lt;&gt;IFERROR(INDEX(ERP資料!$A:$A, MATCH(974, 輔助計算!$G$2:$G$801, 0)+1), "")), IFERROR(VLOOKUP(LEFT(INDEX(ERP資料!$S:$S, (MATCH(975, 輔助計算!$G$2:$G$801, 0)+1)), 4), 紙管對照表!$A:$C, 3, FALSE), ""), ""), "")</f>
        <v/>
      </c>
      <c r="D976" s="16" t="n"/>
      <c r="E976" s="10">
        <f>IFERROR(IF(INDEX(ERP資料!$H:$H, (MATCH(975, 輔助計算!$G$2:$G$801, 0)+1))="","",INDEX(ERP資料!$H:$H, (MATCH(975, 輔助計算!$G$2:$G$801, 0)+1))), "")</f>
        <v/>
      </c>
      <c r="F976" s="10">
        <f>IFERROR(IF(INDEX(ERP資料!$E:$E, (MATCH(975, 輔助計算!$G$2:$G$801, 0)+1))="","",TRIM(INDEX(ERP資料!$E:$E, (MATCH(975, 輔助計算!$G$2:$G$801, 0)+1)))), "")</f>
        <v/>
      </c>
      <c r="G976" s="10">
        <f>IFERROR(IF(INDEX(ERP資料!$F:$F, (MATCH(975, 輔助計算!$G$2:$G$801, 0)+1))="","",INDEX(ERP資料!$F:$F, (MATCH(975, 輔助計算!$G$2:$G$801, 0)+1))), "")</f>
        <v/>
      </c>
      <c r="H976" s="10">
        <f>IFERROR(IF(INDEX(ERP資料!$G:$G, (MATCH(975, 輔助計算!$G$2:$G$801, 0)+1))="","",INDEX(ERP資料!$G:$G, (MATCH(975, 輔助計算!$G$2:$G$801, 0)+1))), "")</f>
        <v/>
      </c>
      <c r="I976" s="15">
        <f>IFERROR(INDEX(輔助計算!$D:$D, (MATCH(975, 輔助計算!$G$2:$G$801, 0)+1)), "")</f>
        <v/>
      </c>
      <c r="J976" s="15">
        <f>IFERROR(IF(AND(INDEX(輔助計算!$D:$D, (MATCH(975, 輔助計算!$G$2:$G$801, 0)+1))&lt;&gt;"", INDEX(ERP資料!$G:$G, (MATCH(975, 輔助計算!$G$2:$G$801, 0)+1))&lt;&gt;""), TRIM(IF(INT(INDEX(輔助計算!$D:$D, (MATCH(975, 輔助計算!$G$2:$G$801, 0)+1))/IF(INDEX(ERP資料!$G:$G, (MATCH(975, 輔助計算!$G$2:$G$801, 0)+1))&lt;100, IF(INDEX(ERP資料!$G:$G, (MATCH(975, 輔助計算!$G$2:$G$801, 0)+1))&lt;=31,3,IF(INDEX(ERP資料!$G:$G, (MATCH(975, 輔助計算!$G$2:$G$801, 0)+1))&lt;=46.5,2,1)), IF(INDEX(ERP資料!$G:$G, (MATCH(975, 輔助計算!$G$2:$G$801, 0)+1))&lt;=790,3,IF(INDEX(ERP資料!$G:$G, (MATCH(975, 輔助計算!$G$2:$G$801, 0)+1))&lt;=1181,2,1))))&gt;0, IF(IF(INDEX(ERP資料!$G:$G, (MATCH(975, 輔助計算!$G$2:$G$801, 0)+1))&lt;100, IF(INDEX(ERP資料!$G:$G, (MATCH(975, 輔助計算!$G$2:$G$801, 0)+1))&lt;=31,3,IF(INDEX(ERP資料!$G:$G, (MATCH(975, 輔助計算!$G$2:$G$801, 0)+1))&lt;=46.5,2,1)), IF(INDEX(ERP資料!$G:$G, (MATCH(975, 輔助計算!$G$2:$G$801, 0)+1))&lt;=790,3,IF(INDEX(ERP資料!$G:$G, (MATCH(975, 輔助計算!$G$2:$G$801, 0)+1))&lt;=1181,2,1)))=1,TEXT(INDEX(ERP資料!$G:$G, (MATCH(975, 輔助計算!$G$2:$G$801, 0)+1)),"0.##"),IF(IF(INDEX(ERP資料!$G:$G, (MATCH(975, 輔助計算!$G$2:$G$801, 0)+1))&lt;100, IF(INDEX(ERP資料!$G:$G, (MATCH(975, 輔助計算!$G$2:$G$801, 0)+1))&lt;=31,3,IF(INDEX(ERP資料!$G:$G, (MATCH(975, 輔助計算!$G$2:$G$801, 0)+1))&lt;=46.5,2,1)), IF(INDEX(ERP資料!$G:$G, (MATCH(975, 輔助計算!$G$2:$G$801, 0)+1))&lt;=790,3,IF(INDEX(ERP資料!$G:$G, (MATCH(975, 輔助計算!$G$2:$G$801, 0)+1))&lt;=1181,2,1)))=2,TEXT(INDEX(ERP資料!$G:$G, (MATCH(975, 輔助計算!$G$2:$G$801, 0)+1)),"0.##")&amp;"+"&amp;TEXT(INDEX(ERP資料!$G:$G, (MATCH(975, 輔助計算!$G$2:$G$801, 0)+1)),"0.##"),TEXT(INDEX(ERP資料!$G:$G, (MATCH(975, 輔助計算!$G$2:$G$801, 0)+1)),"0.##")&amp;"+"&amp;TEXT(INDEX(ERP資料!$G:$G, (MATCH(975, 輔助計算!$G$2:$G$801, 0)+1)),"0.##")&amp;"+"&amp;TEXT(INDEX(ERP資料!$G:$G, (MATCH(975, 輔助計算!$G$2:$G$801, 0)+1)),"0.##")))&amp;"-"&amp;INT(INDEX(輔助計算!$D:$D, (MATCH(975, 輔助計算!$G$2:$G$801, 0)+1))/IF(INDEX(ERP資料!$G:$G, (MATCH(975, 輔助計算!$G$2:$G$801, 0)+1))&lt;100, IF(INDEX(ERP資料!$G:$G, (MATCH(975, 輔助計算!$G$2:$G$801, 0)+1))&lt;=31,3,IF(INDEX(ERP資料!$G:$G, (MATCH(975, 輔助計算!$G$2:$G$801, 0)+1))&lt;=46.5,2,1)), IF(INDEX(ERP資料!$G:$G, (MATCH(975, 輔助計算!$G$2:$G$801, 0)+1))&lt;=790,3,IF(INDEX(ERP資料!$G:$G, (MATCH(975, 輔助計算!$G$2:$G$801, 0)+1))&lt;=1181,2,1)))), "")&amp;IF(AND(IF(INT(INDEX(輔助計算!$D:$D, (MATCH(975, 輔助計算!$G$2:$G$801, 0)+1))/IF(INDEX(ERP資料!$G:$G, (MATCH(975, 輔助計算!$G$2:$G$801, 0)+1))&lt;100, IF(INDEX(ERP資料!$G:$G, (MATCH(975, 輔助計算!$G$2:$G$801, 0)+1))&lt;=31,3,IF(INDEX(ERP資料!$G:$G, (MATCH(975, 輔助計算!$G$2:$G$801, 0)+1))&lt;=46.5,2,1)), IF(INDEX(ERP資料!$G:$G, (MATCH(975, 輔助計算!$G$2:$G$801, 0)+1))&lt;=790,3,IF(INDEX(ERP資料!$G:$G, (MATCH(975, 輔助計算!$G$2:$G$801, 0)+1))&lt;=1181,2,1))))&gt;0, IF(IF(INDEX(ERP資料!$G:$G, (MATCH(975, 輔助計算!$G$2:$G$801, 0)+1))&lt;100, IF(INDEX(ERP資料!$G:$G, (MATCH(975, 輔助計算!$G$2:$G$801, 0)+1))&lt;=31,3,IF(INDEX(ERP資料!$G:$G, (MATCH(975, 輔助計算!$G$2:$G$801, 0)+1))&lt;=46.5,2,1)), IF(INDEX(ERP資料!$G:$G, (MATCH(975, 輔助計算!$G$2:$G$801, 0)+1))&lt;=790,3,IF(INDEX(ERP資料!$G:$G, (MATCH(975, 輔助計算!$G$2:$G$801, 0)+1))&lt;=1181,2,1)))=1,TEXT(INDEX(ERP資料!$G:$G, (MATCH(975, 輔助計算!$G$2:$G$801, 0)+1)),"0.##"),IF(IF(INDEX(ERP資料!$G:$G, (MATCH(975, 輔助計算!$G$2:$G$801, 0)+1))&lt;100, IF(INDEX(ERP資料!$G:$G, (MATCH(975, 輔助計算!$G$2:$G$801, 0)+1))&lt;=31,3,IF(INDEX(ERP資料!$G:$G, (MATCH(975, 輔助計算!$G$2:$G$801, 0)+1))&lt;=46.5,2,1)), IF(INDEX(ERP資料!$G:$G, (MATCH(975, 輔助計算!$G$2:$G$801, 0)+1))&lt;=790,3,IF(INDEX(ERP資料!$G:$G, (MATCH(975, 輔助計算!$G$2:$G$801, 0)+1))&lt;=1181,2,1)))=2,TEXT(INDEX(ERP資料!$G:$G, (MATCH(975, 輔助計算!$G$2:$G$801, 0)+1)),"0.##")&amp;"+"&amp;TEXT(INDEX(ERP資料!$G:$G, (MATCH(975, 輔助計算!$G$2:$G$801, 0)+1)),"0.##"),TEXT(INDEX(ERP資料!$G:$G, (MATCH(975, 輔助計算!$G$2:$G$801, 0)+1)),"0.##")&amp;"+"&amp;TEXT(INDEX(ERP資料!$G:$G, (MATCH(975, 輔助計算!$G$2:$G$801, 0)+1)),"0.##")&amp;"+"&amp;TEXT(INDEX(ERP資料!$G:$G, (MATCH(975, 輔助計算!$G$2:$G$801, 0)+1)),"0.##")))&amp;"-"&amp;INT(INDEX(輔助計算!$D:$D, (MATCH(975, 輔助計算!$G$2:$G$801, 0)+1))/IF(INDEX(ERP資料!$G:$G, (MATCH(975, 輔助計算!$G$2:$G$801, 0)+1))&lt;100, IF(INDEX(ERP資料!$G:$G, (MATCH(975, 輔助計算!$G$2:$G$801, 0)+1))&lt;=31,3,IF(INDEX(ERP資料!$G:$G, (MATCH(975, 輔助計算!$G$2:$G$801, 0)+1))&lt;=46.5,2,1)), IF(INDEX(ERP資料!$G:$G, (MATCH(975, 輔助計算!$G$2:$G$801, 0)+1))&lt;=790,3,IF(INDEX(ERP資料!$G:$G, (MATCH(975, 輔助計算!$G$2:$G$801, 0)+1))&lt;=1181,2,1)))), "")&lt;&gt;"",IF(MOD(INDEX(輔助計算!$D:$D, (MATCH(975, 輔助計算!$G$2:$G$801, 0)+1)),IF(INDEX(ERP資料!$G:$G, (MATCH(975, 輔助計算!$G$2:$G$801, 0)+1))&lt;100, IF(INDEX(ERP資料!$G:$G, (MATCH(975, 輔助計算!$G$2:$G$801, 0)+1))&lt;=31,3,IF(INDEX(ERP資料!$G:$G, (MATCH(975, 輔助計算!$G$2:$G$801, 0)+1))&lt;=46.5,2,1)), IF(INDEX(ERP資料!$G:$G, (MATCH(975, 輔助計算!$G$2:$G$801, 0)+1))&lt;=790,3,IF(INDEX(ERP資料!$G:$G, (MATCH(975, 輔助計算!$G$2:$G$801, 0)+1))&lt;=1181,2,1))))=0,"",IF(MOD(INDEX(輔助計算!$D:$D, (MATCH(975, 輔助計算!$G$2:$G$801, 0)+1)),IF(INDEX(ERP資料!$G:$G, (MATCH(975, 輔助計算!$G$2:$G$801, 0)+1))&lt;100, IF(INDEX(ERP資料!$G:$G, (MATCH(975, 輔助計算!$G$2:$G$801, 0)+1))&lt;=31,3,IF(INDEX(ERP資料!$G:$G, (MATCH(975, 輔助計算!$G$2:$G$801, 0)+1))&lt;=46.5,2,1)), IF(INDEX(ERP資料!$G:$G, (MATCH(975, 輔助計算!$G$2:$G$801, 0)+1))&lt;=790,3,IF(INDEX(ERP資料!$G:$G, (MATCH(975, 輔助計算!$G$2:$G$801, 0)+1))&lt;=1181,2,1))))=0,"",IF(MOD(INDEX(輔助計算!$D:$D, (MATCH(975, 輔助計算!$G$2:$G$801, 0)+1)),IF(INDEX(ERP資料!$G:$G, (MATCH(975, 輔助計算!$G$2:$G$801, 0)+1))&lt;100, IF(INDEX(ERP資料!$G:$G, (MATCH(975, 輔助計算!$G$2:$G$801, 0)+1))&lt;=31,3,IF(INDEX(ERP資料!$G:$G, (MATCH(975, 輔助計算!$G$2:$G$801, 0)+1))&lt;=46.5,2,1)), IF(INDEX(ERP資料!$G:$G, (MATCH(975, 輔助計算!$G$2:$G$801, 0)+1))&lt;=790,3,IF(INDEX(ERP資料!$G:$G, (MATCH(975, 輔助計算!$G$2:$G$801, 0)+1))&lt;=1181,2,1))))=1,TEXT(INDEX(ERP資料!$G:$G, (MATCH(975, 輔助計算!$G$2:$G$801, 0)+1)),"0.##"),IF(MOD(INDEX(輔助計算!$D:$D, (MATCH(975, 輔助計算!$G$2:$G$801, 0)+1)),IF(INDEX(ERP資料!$G:$G, (MATCH(975, 輔助計算!$G$2:$G$801, 0)+1))&lt;100, IF(INDEX(ERP資料!$G:$G, (MATCH(975, 輔助計算!$G$2:$G$801, 0)+1))&lt;=31,3,IF(INDEX(ERP資料!$G:$G, (MATCH(975, 輔助計算!$G$2:$G$801, 0)+1))&lt;=46.5,2,1)), IF(INDEX(ERP資料!$G:$G, (MATCH(975, 輔助計算!$G$2:$G$801, 0)+1))&lt;=790,3,IF(INDEX(ERP資料!$G:$G, (MATCH(975, 輔助計算!$G$2:$G$801, 0)+1))&lt;=1181,2,1))))=2,TEXT(INDEX(ERP資料!$G:$G, (MATCH(975, 輔助計算!$G$2:$G$801, 0)+1)),"0.##")&amp;"+"&amp;TEXT(INDEX(ERP資料!$G:$G, (MATCH(975, 輔助計算!$G$2:$G$801, 0)+1)),"0.##"),TEXT(INDEX(ERP資料!$G:$G, (MATCH(975, 輔助計算!$G$2:$G$801, 0)+1)),"0.##")&amp;"+"&amp;TEXT(INDEX(ERP資料!$G:$G, (MATCH(975, 輔助計算!$G$2:$G$801, 0)+1)),"0.##")&amp;"+"&amp;TEXT(INDEX(ERP資料!$G:$G, (MATCH(975, 輔助計算!$G$2:$G$801, 0)+1)),"0.##"))))&amp;"-1")&lt;&gt;""),"  ","")&amp;IF(MOD(INDEX(輔助計算!$D:$D, (MATCH(975, 輔助計算!$G$2:$G$801, 0)+1)),IF(INDEX(ERP資料!$G:$G, (MATCH(975, 輔助計算!$G$2:$G$801, 0)+1))&lt;100, IF(INDEX(ERP資料!$G:$G, (MATCH(975, 輔助計算!$G$2:$G$801, 0)+1))&lt;=31,3,IF(INDEX(ERP資料!$G:$G, (MATCH(975, 輔助計算!$G$2:$G$801, 0)+1))&lt;=46.5,2,1)), IF(INDEX(ERP資料!$G:$G, (MATCH(975, 輔助計算!$G$2:$G$801, 0)+1))&lt;=790,3,IF(INDEX(ERP資料!$G:$G, (MATCH(975, 輔助計算!$G$2:$G$801, 0)+1))&lt;=1181,2,1))))=0,"",IF(MOD(INDEX(輔助計算!$D:$D, (MATCH(975, 輔助計算!$G$2:$G$801, 0)+1)),IF(INDEX(ERP資料!$G:$G, (MATCH(975, 輔助計算!$G$2:$G$801, 0)+1))&lt;100, IF(INDEX(ERP資料!$G:$G, (MATCH(975, 輔助計算!$G$2:$G$801, 0)+1))&lt;=31,3,IF(INDEX(ERP資料!$G:$G, (MATCH(975, 輔助計算!$G$2:$G$801, 0)+1))&lt;=46.5,2,1)), IF(INDEX(ERP資料!$G:$G, (MATCH(975, 輔助計算!$G$2:$G$801, 0)+1))&lt;=790,3,IF(INDEX(ERP資料!$G:$G, (MATCH(975, 輔助計算!$G$2:$G$801, 0)+1))&lt;=1181,2,1))))=0,"",IF(MOD(INDEX(輔助計算!$D:$D, (MATCH(975, 輔助計算!$G$2:$G$801, 0)+1)),IF(INDEX(ERP資料!$G:$G, (MATCH(975, 輔助計算!$G$2:$G$801, 0)+1))&lt;100, IF(INDEX(ERP資料!$G:$G, (MATCH(975, 輔助計算!$G$2:$G$801, 0)+1))&lt;=31,3,IF(INDEX(ERP資料!$G:$G, (MATCH(975, 輔助計算!$G$2:$G$801, 0)+1))&lt;=46.5,2,1)), IF(INDEX(ERP資料!$G:$G, (MATCH(975, 輔助計算!$G$2:$G$801, 0)+1))&lt;=790,3,IF(INDEX(ERP資料!$G:$G, (MATCH(975, 輔助計算!$G$2:$G$801, 0)+1))&lt;=1181,2,1))))=1,TEXT(INDEX(ERP資料!$G:$G, (MATCH(975, 輔助計算!$G$2:$G$801, 0)+1)),"0.##"),IF(MOD(INDEX(輔助計算!$D:$D, (MATCH(975, 輔助計算!$G$2:$G$801, 0)+1)),IF(INDEX(ERP資料!$G:$G, (MATCH(975, 輔助計算!$G$2:$G$801, 0)+1))&lt;100, IF(INDEX(ERP資料!$G:$G, (MATCH(975, 輔助計算!$G$2:$G$801, 0)+1))&lt;=31,3,IF(INDEX(ERP資料!$G:$G, (MATCH(975, 輔助計算!$G$2:$G$801, 0)+1))&lt;=46.5,2,1)), IF(INDEX(ERP資料!$G:$G, (MATCH(975, 輔助計算!$G$2:$G$801, 0)+1))&lt;=790,3,IF(INDEX(ERP資料!$G:$G, (MATCH(975, 輔助計算!$G$2:$G$801, 0)+1))&lt;=1181,2,1))))=2,TEXT(INDEX(ERP資料!$G:$G, (MATCH(975, 輔助計算!$G$2:$G$801, 0)+1)),"0.##")&amp;"+"&amp;TEXT(INDEX(ERP資料!$G:$G, (MATCH(975, 輔助計算!$G$2:$G$801, 0)+1)),"0.##"),TEXT(INDEX(ERP資料!$G:$G, (MATCH(975, 輔助計算!$G$2:$G$801, 0)+1)),"0.##")&amp;"+"&amp;TEXT(INDEX(ERP資料!$G:$G, (MATCH(975, 輔助計算!$G$2:$G$801, 0)+1)),"0.##")&amp;"+"&amp;TEXT(INDEX(ERP資料!$G:$G, (MATCH(975, 輔助計算!$G$2:$G$801, 0)+1)),"0.##"))))&amp;"-1")), ""), "")</f>
        <v/>
      </c>
      <c r="K976" s="16" t="n"/>
      <c r="L976" s="14">
        <f>IFERROR(IF(AND(IFERROR(INDEX(ERP資料!$A:$A, (MATCH(975, 輔助計算!$G$2:$G$801, 0)+1)), "")&lt;&gt;"", IFERROR(INDEX(ERP資料!$A:$A, (MATCH(975, 輔助計算!$G$2:$G$801, 0)+1)), "")&lt;&gt;IFERROR(INDEX(ERP資料!$A:$A, MATCH(974, 輔助計算!$G$2:$G$801, 0)+1), "")), INDEX(ERP資料!$B:$B, (MATCH(975, 輔助計算!$G$2:$G$801, 0)+1)), ""), "")</f>
        <v/>
      </c>
      <c r="M976" s="17" t="n"/>
    </row>
    <row r="977">
      <c r="A977" s="10">
        <f>IFERROR(IF(AND(IFERROR(INDEX(ERP資料!$A:$A, (MATCH(976, 輔助計算!$G$2:$G$801, 0)+1)), "")&lt;&gt;"", IFERROR(INDEX(ERP資料!$A:$A, (MATCH(976, 輔助計算!$G$2:$G$801, 0)+1)), "")&lt;&gt;IFERROR(INDEX(ERP資料!$A:$A, MATCH(975, 輔助計算!$G$2:$G$801, 0)+1), "")), IFERROR(INDEX(ERP資料!$A:$A, (MATCH(976, 輔助計算!$G$2:$G$801, 0)+1)), ""), ""), "")</f>
        <v/>
      </c>
      <c r="B977" s="10">
        <f>IFERROR(IF(AND(IFERROR(INDEX(ERP資料!$A:$A, (MATCH(976, 輔助計算!$G$2:$G$801, 0)+1)), "")&lt;&gt;"", IFERROR(INDEX(ERP資料!$A:$A, (MATCH(976, 輔助計算!$G$2:$G$801, 0)+1)), "")&lt;&gt;IFERROR(INDEX(ERP資料!$A:$A, MATCH(975, 輔助計算!$G$2:$G$801, 0)+1), "")), INDEX(ERP資料!$S:$S, (MATCH(976, 輔助計算!$G$2:$G$801, 0)+1)), ""), "")</f>
        <v/>
      </c>
      <c r="C977" s="19">
        <f>IFERROR(IF(AND(IFERROR(INDEX(ERP資料!$A:$A, (MATCH(976, 輔助計算!$G$2:$G$801, 0)+1)), "")&lt;&gt;"", IFERROR(INDEX(ERP資料!$A:$A, (MATCH(976, 輔助計算!$G$2:$G$801, 0)+1)), "")&lt;&gt;IFERROR(INDEX(ERP資料!$A:$A, MATCH(975, 輔助計算!$G$2:$G$801, 0)+1), "")), IFERROR(VLOOKUP(LEFT(INDEX(ERP資料!$S:$S, (MATCH(976, 輔助計算!$G$2:$G$801, 0)+1)), 4), 紙管對照表!$A:$C, 3, FALSE), ""), ""), "")</f>
        <v/>
      </c>
      <c r="D977" s="16" t="n"/>
      <c r="E977" s="10">
        <f>IFERROR(IF(INDEX(ERP資料!$H:$H, (MATCH(976, 輔助計算!$G$2:$G$801, 0)+1))="","",INDEX(ERP資料!$H:$H, (MATCH(976, 輔助計算!$G$2:$G$801, 0)+1))), "")</f>
        <v/>
      </c>
      <c r="F977" s="10">
        <f>IFERROR(IF(INDEX(ERP資料!$E:$E, (MATCH(976, 輔助計算!$G$2:$G$801, 0)+1))="","",TRIM(INDEX(ERP資料!$E:$E, (MATCH(976, 輔助計算!$G$2:$G$801, 0)+1)))), "")</f>
        <v/>
      </c>
      <c r="G977" s="10">
        <f>IFERROR(IF(INDEX(ERP資料!$F:$F, (MATCH(976, 輔助計算!$G$2:$G$801, 0)+1))="","",INDEX(ERP資料!$F:$F, (MATCH(976, 輔助計算!$G$2:$G$801, 0)+1))), "")</f>
        <v/>
      </c>
      <c r="H977" s="10">
        <f>IFERROR(IF(INDEX(ERP資料!$G:$G, (MATCH(976, 輔助計算!$G$2:$G$801, 0)+1))="","",INDEX(ERP資料!$G:$G, (MATCH(976, 輔助計算!$G$2:$G$801, 0)+1))), "")</f>
        <v/>
      </c>
      <c r="I977" s="15">
        <f>IFERROR(INDEX(輔助計算!$D:$D, (MATCH(976, 輔助計算!$G$2:$G$801, 0)+1)), "")</f>
        <v/>
      </c>
      <c r="J977" s="15">
        <f>IFERROR(IF(AND(INDEX(輔助計算!$D:$D, (MATCH(976, 輔助計算!$G$2:$G$801, 0)+1))&lt;&gt;"", INDEX(ERP資料!$G:$G, (MATCH(976, 輔助計算!$G$2:$G$801, 0)+1))&lt;&gt;""), TRIM(IF(INT(INDEX(輔助計算!$D:$D, (MATCH(976, 輔助計算!$G$2:$G$801, 0)+1))/IF(INDEX(ERP資料!$G:$G, (MATCH(976, 輔助計算!$G$2:$G$801, 0)+1))&lt;100, IF(INDEX(ERP資料!$G:$G, (MATCH(976, 輔助計算!$G$2:$G$801, 0)+1))&lt;=31,3,IF(INDEX(ERP資料!$G:$G, (MATCH(976, 輔助計算!$G$2:$G$801, 0)+1))&lt;=46.5,2,1)), IF(INDEX(ERP資料!$G:$G, (MATCH(976, 輔助計算!$G$2:$G$801, 0)+1))&lt;=790,3,IF(INDEX(ERP資料!$G:$G, (MATCH(976, 輔助計算!$G$2:$G$801, 0)+1))&lt;=1181,2,1))))&gt;0, IF(IF(INDEX(ERP資料!$G:$G, (MATCH(976, 輔助計算!$G$2:$G$801, 0)+1))&lt;100, IF(INDEX(ERP資料!$G:$G, (MATCH(976, 輔助計算!$G$2:$G$801, 0)+1))&lt;=31,3,IF(INDEX(ERP資料!$G:$G, (MATCH(976, 輔助計算!$G$2:$G$801, 0)+1))&lt;=46.5,2,1)), IF(INDEX(ERP資料!$G:$G, (MATCH(976, 輔助計算!$G$2:$G$801, 0)+1))&lt;=790,3,IF(INDEX(ERP資料!$G:$G, (MATCH(976, 輔助計算!$G$2:$G$801, 0)+1))&lt;=1181,2,1)))=1,TEXT(INDEX(ERP資料!$G:$G, (MATCH(976, 輔助計算!$G$2:$G$801, 0)+1)),"0.##"),IF(IF(INDEX(ERP資料!$G:$G, (MATCH(976, 輔助計算!$G$2:$G$801, 0)+1))&lt;100, IF(INDEX(ERP資料!$G:$G, (MATCH(976, 輔助計算!$G$2:$G$801, 0)+1))&lt;=31,3,IF(INDEX(ERP資料!$G:$G, (MATCH(976, 輔助計算!$G$2:$G$801, 0)+1))&lt;=46.5,2,1)), IF(INDEX(ERP資料!$G:$G, (MATCH(976, 輔助計算!$G$2:$G$801, 0)+1))&lt;=790,3,IF(INDEX(ERP資料!$G:$G, (MATCH(976, 輔助計算!$G$2:$G$801, 0)+1))&lt;=1181,2,1)))=2,TEXT(INDEX(ERP資料!$G:$G, (MATCH(976, 輔助計算!$G$2:$G$801, 0)+1)),"0.##")&amp;"+"&amp;TEXT(INDEX(ERP資料!$G:$G, (MATCH(976, 輔助計算!$G$2:$G$801, 0)+1)),"0.##"),TEXT(INDEX(ERP資料!$G:$G, (MATCH(976, 輔助計算!$G$2:$G$801, 0)+1)),"0.##")&amp;"+"&amp;TEXT(INDEX(ERP資料!$G:$G, (MATCH(976, 輔助計算!$G$2:$G$801, 0)+1)),"0.##")&amp;"+"&amp;TEXT(INDEX(ERP資料!$G:$G, (MATCH(976, 輔助計算!$G$2:$G$801, 0)+1)),"0.##")))&amp;"-"&amp;INT(INDEX(輔助計算!$D:$D, (MATCH(976, 輔助計算!$G$2:$G$801, 0)+1))/IF(INDEX(ERP資料!$G:$G, (MATCH(976, 輔助計算!$G$2:$G$801, 0)+1))&lt;100, IF(INDEX(ERP資料!$G:$G, (MATCH(976, 輔助計算!$G$2:$G$801, 0)+1))&lt;=31,3,IF(INDEX(ERP資料!$G:$G, (MATCH(976, 輔助計算!$G$2:$G$801, 0)+1))&lt;=46.5,2,1)), IF(INDEX(ERP資料!$G:$G, (MATCH(976, 輔助計算!$G$2:$G$801, 0)+1))&lt;=790,3,IF(INDEX(ERP資料!$G:$G, (MATCH(976, 輔助計算!$G$2:$G$801, 0)+1))&lt;=1181,2,1)))), "")&amp;IF(AND(IF(INT(INDEX(輔助計算!$D:$D, (MATCH(976, 輔助計算!$G$2:$G$801, 0)+1))/IF(INDEX(ERP資料!$G:$G, (MATCH(976, 輔助計算!$G$2:$G$801, 0)+1))&lt;100, IF(INDEX(ERP資料!$G:$G, (MATCH(976, 輔助計算!$G$2:$G$801, 0)+1))&lt;=31,3,IF(INDEX(ERP資料!$G:$G, (MATCH(976, 輔助計算!$G$2:$G$801, 0)+1))&lt;=46.5,2,1)), IF(INDEX(ERP資料!$G:$G, (MATCH(976, 輔助計算!$G$2:$G$801, 0)+1))&lt;=790,3,IF(INDEX(ERP資料!$G:$G, (MATCH(976, 輔助計算!$G$2:$G$801, 0)+1))&lt;=1181,2,1))))&gt;0, IF(IF(INDEX(ERP資料!$G:$G, (MATCH(976, 輔助計算!$G$2:$G$801, 0)+1))&lt;100, IF(INDEX(ERP資料!$G:$G, (MATCH(976, 輔助計算!$G$2:$G$801, 0)+1))&lt;=31,3,IF(INDEX(ERP資料!$G:$G, (MATCH(976, 輔助計算!$G$2:$G$801, 0)+1))&lt;=46.5,2,1)), IF(INDEX(ERP資料!$G:$G, (MATCH(976, 輔助計算!$G$2:$G$801, 0)+1))&lt;=790,3,IF(INDEX(ERP資料!$G:$G, (MATCH(976, 輔助計算!$G$2:$G$801, 0)+1))&lt;=1181,2,1)))=1,TEXT(INDEX(ERP資料!$G:$G, (MATCH(976, 輔助計算!$G$2:$G$801, 0)+1)),"0.##"),IF(IF(INDEX(ERP資料!$G:$G, (MATCH(976, 輔助計算!$G$2:$G$801, 0)+1))&lt;100, IF(INDEX(ERP資料!$G:$G, (MATCH(976, 輔助計算!$G$2:$G$801, 0)+1))&lt;=31,3,IF(INDEX(ERP資料!$G:$G, (MATCH(976, 輔助計算!$G$2:$G$801, 0)+1))&lt;=46.5,2,1)), IF(INDEX(ERP資料!$G:$G, (MATCH(976, 輔助計算!$G$2:$G$801, 0)+1))&lt;=790,3,IF(INDEX(ERP資料!$G:$G, (MATCH(976, 輔助計算!$G$2:$G$801, 0)+1))&lt;=1181,2,1)))=2,TEXT(INDEX(ERP資料!$G:$G, (MATCH(976, 輔助計算!$G$2:$G$801, 0)+1)),"0.##")&amp;"+"&amp;TEXT(INDEX(ERP資料!$G:$G, (MATCH(976, 輔助計算!$G$2:$G$801, 0)+1)),"0.##"),TEXT(INDEX(ERP資料!$G:$G, (MATCH(976, 輔助計算!$G$2:$G$801, 0)+1)),"0.##")&amp;"+"&amp;TEXT(INDEX(ERP資料!$G:$G, (MATCH(976, 輔助計算!$G$2:$G$801, 0)+1)),"0.##")&amp;"+"&amp;TEXT(INDEX(ERP資料!$G:$G, (MATCH(976, 輔助計算!$G$2:$G$801, 0)+1)),"0.##")))&amp;"-"&amp;INT(INDEX(輔助計算!$D:$D, (MATCH(976, 輔助計算!$G$2:$G$801, 0)+1))/IF(INDEX(ERP資料!$G:$G, (MATCH(976, 輔助計算!$G$2:$G$801, 0)+1))&lt;100, IF(INDEX(ERP資料!$G:$G, (MATCH(976, 輔助計算!$G$2:$G$801, 0)+1))&lt;=31,3,IF(INDEX(ERP資料!$G:$G, (MATCH(976, 輔助計算!$G$2:$G$801, 0)+1))&lt;=46.5,2,1)), IF(INDEX(ERP資料!$G:$G, (MATCH(976, 輔助計算!$G$2:$G$801, 0)+1))&lt;=790,3,IF(INDEX(ERP資料!$G:$G, (MATCH(976, 輔助計算!$G$2:$G$801, 0)+1))&lt;=1181,2,1)))), "")&lt;&gt;"",IF(MOD(INDEX(輔助計算!$D:$D, (MATCH(976, 輔助計算!$G$2:$G$801, 0)+1)),IF(INDEX(ERP資料!$G:$G, (MATCH(976, 輔助計算!$G$2:$G$801, 0)+1))&lt;100, IF(INDEX(ERP資料!$G:$G, (MATCH(976, 輔助計算!$G$2:$G$801, 0)+1))&lt;=31,3,IF(INDEX(ERP資料!$G:$G, (MATCH(976, 輔助計算!$G$2:$G$801, 0)+1))&lt;=46.5,2,1)), IF(INDEX(ERP資料!$G:$G, (MATCH(976, 輔助計算!$G$2:$G$801, 0)+1))&lt;=790,3,IF(INDEX(ERP資料!$G:$G, (MATCH(976, 輔助計算!$G$2:$G$801, 0)+1))&lt;=1181,2,1))))=0,"",IF(MOD(INDEX(輔助計算!$D:$D, (MATCH(976, 輔助計算!$G$2:$G$801, 0)+1)),IF(INDEX(ERP資料!$G:$G, (MATCH(976, 輔助計算!$G$2:$G$801, 0)+1))&lt;100, IF(INDEX(ERP資料!$G:$G, (MATCH(976, 輔助計算!$G$2:$G$801, 0)+1))&lt;=31,3,IF(INDEX(ERP資料!$G:$G, (MATCH(976, 輔助計算!$G$2:$G$801, 0)+1))&lt;=46.5,2,1)), IF(INDEX(ERP資料!$G:$G, (MATCH(976, 輔助計算!$G$2:$G$801, 0)+1))&lt;=790,3,IF(INDEX(ERP資料!$G:$G, (MATCH(976, 輔助計算!$G$2:$G$801, 0)+1))&lt;=1181,2,1))))=0,"",IF(MOD(INDEX(輔助計算!$D:$D, (MATCH(976, 輔助計算!$G$2:$G$801, 0)+1)),IF(INDEX(ERP資料!$G:$G, (MATCH(976, 輔助計算!$G$2:$G$801, 0)+1))&lt;100, IF(INDEX(ERP資料!$G:$G, (MATCH(976, 輔助計算!$G$2:$G$801, 0)+1))&lt;=31,3,IF(INDEX(ERP資料!$G:$G, (MATCH(976, 輔助計算!$G$2:$G$801, 0)+1))&lt;=46.5,2,1)), IF(INDEX(ERP資料!$G:$G, (MATCH(976, 輔助計算!$G$2:$G$801, 0)+1))&lt;=790,3,IF(INDEX(ERP資料!$G:$G, (MATCH(976, 輔助計算!$G$2:$G$801, 0)+1))&lt;=1181,2,1))))=1,TEXT(INDEX(ERP資料!$G:$G, (MATCH(976, 輔助計算!$G$2:$G$801, 0)+1)),"0.##"),IF(MOD(INDEX(輔助計算!$D:$D, (MATCH(976, 輔助計算!$G$2:$G$801, 0)+1)),IF(INDEX(ERP資料!$G:$G, (MATCH(976, 輔助計算!$G$2:$G$801, 0)+1))&lt;100, IF(INDEX(ERP資料!$G:$G, (MATCH(976, 輔助計算!$G$2:$G$801, 0)+1))&lt;=31,3,IF(INDEX(ERP資料!$G:$G, (MATCH(976, 輔助計算!$G$2:$G$801, 0)+1))&lt;=46.5,2,1)), IF(INDEX(ERP資料!$G:$G, (MATCH(976, 輔助計算!$G$2:$G$801, 0)+1))&lt;=790,3,IF(INDEX(ERP資料!$G:$G, (MATCH(976, 輔助計算!$G$2:$G$801, 0)+1))&lt;=1181,2,1))))=2,TEXT(INDEX(ERP資料!$G:$G, (MATCH(976, 輔助計算!$G$2:$G$801, 0)+1)),"0.##")&amp;"+"&amp;TEXT(INDEX(ERP資料!$G:$G, (MATCH(976, 輔助計算!$G$2:$G$801, 0)+1)),"0.##"),TEXT(INDEX(ERP資料!$G:$G, (MATCH(976, 輔助計算!$G$2:$G$801, 0)+1)),"0.##")&amp;"+"&amp;TEXT(INDEX(ERP資料!$G:$G, (MATCH(976, 輔助計算!$G$2:$G$801, 0)+1)),"0.##")&amp;"+"&amp;TEXT(INDEX(ERP資料!$G:$G, (MATCH(976, 輔助計算!$G$2:$G$801, 0)+1)),"0.##"))))&amp;"-1")&lt;&gt;""),"  ","")&amp;IF(MOD(INDEX(輔助計算!$D:$D, (MATCH(976, 輔助計算!$G$2:$G$801, 0)+1)),IF(INDEX(ERP資料!$G:$G, (MATCH(976, 輔助計算!$G$2:$G$801, 0)+1))&lt;100, IF(INDEX(ERP資料!$G:$G, (MATCH(976, 輔助計算!$G$2:$G$801, 0)+1))&lt;=31,3,IF(INDEX(ERP資料!$G:$G, (MATCH(976, 輔助計算!$G$2:$G$801, 0)+1))&lt;=46.5,2,1)), IF(INDEX(ERP資料!$G:$G, (MATCH(976, 輔助計算!$G$2:$G$801, 0)+1))&lt;=790,3,IF(INDEX(ERP資料!$G:$G, (MATCH(976, 輔助計算!$G$2:$G$801, 0)+1))&lt;=1181,2,1))))=0,"",IF(MOD(INDEX(輔助計算!$D:$D, (MATCH(976, 輔助計算!$G$2:$G$801, 0)+1)),IF(INDEX(ERP資料!$G:$G, (MATCH(976, 輔助計算!$G$2:$G$801, 0)+1))&lt;100, IF(INDEX(ERP資料!$G:$G, (MATCH(976, 輔助計算!$G$2:$G$801, 0)+1))&lt;=31,3,IF(INDEX(ERP資料!$G:$G, (MATCH(976, 輔助計算!$G$2:$G$801, 0)+1))&lt;=46.5,2,1)), IF(INDEX(ERP資料!$G:$G, (MATCH(976, 輔助計算!$G$2:$G$801, 0)+1))&lt;=790,3,IF(INDEX(ERP資料!$G:$G, (MATCH(976, 輔助計算!$G$2:$G$801, 0)+1))&lt;=1181,2,1))))=0,"",IF(MOD(INDEX(輔助計算!$D:$D, (MATCH(976, 輔助計算!$G$2:$G$801, 0)+1)),IF(INDEX(ERP資料!$G:$G, (MATCH(976, 輔助計算!$G$2:$G$801, 0)+1))&lt;100, IF(INDEX(ERP資料!$G:$G, (MATCH(976, 輔助計算!$G$2:$G$801, 0)+1))&lt;=31,3,IF(INDEX(ERP資料!$G:$G, (MATCH(976, 輔助計算!$G$2:$G$801, 0)+1))&lt;=46.5,2,1)), IF(INDEX(ERP資料!$G:$G, (MATCH(976, 輔助計算!$G$2:$G$801, 0)+1))&lt;=790,3,IF(INDEX(ERP資料!$G:$G, (MATCH(976, 輔助計算!$G$2:$G$801, 0)+1))&lt;=1181,2,1))))=1,TEXT(INDEX(ERP資料!$G:$G, (MATCH(976, 輔助計算!$G$2:$G$801, 0)+1)),"0.##"),IF(MOD(INDEX(輔助計算!$D:$D, (MATCH(976, 輔助計算!$G$2:$G$801, 0)+1)),IF(INDEX(ERP資料!$G:$G, (MATCH(976, 輔助計算!$G$2:$G$801, 0)+1))&lt;100, IF(INDEX(ERP資料!$G:$G, (MATCH(976, 輔助計算!$G$2:$G$801, 0)+1))&lt;=31,3,IF(INDEX(ERP資料!$G:$G, (MATCH(976, 輔助計算!$G$2:$G$801, 0)+1))&lt;=46.5,2,1)), IF(INDEX(ERP資料!$G:$G, (MATCH(976, 輔助計算!$G$2:$G$801, 0)+1))&lt;=790,3,IF(INDEX(ERP資料!$G:$G, (MATCH(976, 輔助計算!$G$2:$G$801, 0)+1))&lt;=1181,2,1))))=2,TEXT(INDEX(ERP資料!$G:$G, (MATCH(976, 輔助計算!$G$2:$G$801, 0)+1)),"0.##")&amp;"+"&amp;TEXT(INDEX(ERP資料!$G:$G, (MATCH(976, 輔助計算!$G$2:$G$801, 0)+1)),"0.##"),TEXT(INDEX(ERP資料!$G:$G, (MATCH(976, 輔助計算!$G$2:$G$801, 0)+1)),"0.##")&amp;"+"&amp;TEXT(INDEX(ERP資料!$G:$G, (MATCH(976, 輔助計算!$G$2:$G$801, 0)+1)),"0.##")&amp;"+"&amp;TEXT(INDEX(ERP資料!$G:$G, (MATCH(976, 輔助計算!$G$2:$G$801, 0)+1)),"0.##"))))&amp;"-1")), ""), "")</f>
        <v/>
      </c>
      <c r="K977" s="16" t="n"/>
      <c r="L977" s="14">
        <f>IFERROR(IF(AND(IFERROR(INDEX(ERP資料!$A:$A, (MATCH(976, 輔助計算!$G$2:$G$801, 0)+1)), "")&lt;&gt;"", IFERROR(INDEX(ERP資料!$A:$A, (MATCH(976, 輔助計算!$G$2:$G$801, 0)+1)), "")&lt;&gt;IFERROR(INDEX(ERP資料!$A:$A, MATCH(975, 輔助計算!$G$2:$G$801, 0)+1), "")), INDEX(ERP資料!$B:$B, (MATCH(976, 輔助計算!$G$2:$G$801, 0)+1)), ""), "")</f>
        <v/>
      </c>
      <c r="M977" s="17" t="n"/>
    </row>
    <row r="978">
      <c r="A978" s="10">
        <f>IFERROR(IF(AND(IFERROR(INDEX(ERP資料!$A:$A, (MATCH(977, 輔助計算!$G$2:$G$801, 0)+1)), "")&lt;&gt;"", IFERROR(INDEX(ERP資料!$A:$A, (MATCH(977, 輔助計算!$G$2:$G$801, 0)+1)), "")&lt;&gt;IFERROR(INDEX(ERP資料!$A:$A, MATCH(976, 輔助計算!$G$2:$G$801, 0)+1), "")), IFERROR(INDEX(ERP資料!$A:$A, (MATCH(977, 輔助計算!$G$2:$G$801, 0)+1)), ""), ""), "")</f>
        <v/>
      </c>
      <c r="B978" s="10">
        <f>IFERROR(IF(AND(IFERROR(INDEX(ERP資料!$A:$A, (MATCH(977, 輔助計算!$G$2:$G$801, 0)+1)), "")&lt;&gt;"", IFERROR(INDEX(ERP資料!$A:$A, (MATCH(977, 輔助計算!$G$2:$G$801, 0)+1)), "")&lt;&gt;IFERROR(INDEX(ERP資料!$A:$A, MATCH(976, 輔助計算!$G$2:$G$801, 0)+1), "")), INDEX(ERP資料!$S:$S, (MATCH(977, 輔助計算!$G$2:$G$801, 0)+1)), ""), "")</f>
        <v/>
      </c>
      <c r="C978" s="19">
        <f>IFERROR(IF(AND(IFERROR(INDEX(ERP資料!$A:$A, (MATCH(977, 輔助計算!$G$2:$G$801, 0)+1)), "")&lt;&gt;"", IFERROR(INDEX(ERP資料!$A:$A, (MATCH(977, 輔助計算!$G$2:$G$801, 0)+1)), "")&lt;&gt;IFERROR(INDEX(ERP資料!$A:$A, MATCH(976, 輔助計算!$G$2:$G$801, 0)+1), "")), IFERROR(VLOOKUP(LEFT(INDEX(ERP資料!$S:$S, (MATCH(977, 輔助計算!$G$2:$G$801, 0)+1)), 4), 紙管對照表!$A:$C, 3, FALSE), ""), ""), "")</f>
        <v/>
      </c>
      <c r="D978" s="16" t="n"/>
      <c r="E978" s="10">
        <f>IFERROR(IF(INDEX(ERP資料!$H:$H, (MATCH(977, 輔助計算!$G$2:$G$801, 0)+1))="","",INDEX(ERP資料!$H:$H, (MATCH(977, 輔助計算!$G$2:$G$801, 0)+1))), "")</f>
        <v/>
      </c>
      <c r="F978" s="10">
        <f>IFERROR(IF(INDEX(ERP資料!$E:$E, (MATCH(977, 輔助計算!$G$2:$G$801, 0)+1))="","",TRIM(INDEX(ERP資料!$E:$E, (MATCH(977, 輔助計算!$G$2:$G$801, 0)+1)))), "")</f>
        <v/>
      </c>
      <c r="G978" s="10">
        <f>IFERROR(IF(INDEX(ERP資料!$F:$F, (MATCH(977, 輔助計算!$G$2:$G$801, 0)+1))="","",INDEX(ERP資料!$F:$F, (MATCH(977, 輔助計算!$G$2:$G$801, 0)+1))), "")</f>
        <v/>
      </c>
      <c r="H978" s="10">
        <f>IFERROR(IF(INDEX(ERP資料!$G:$G, (MATCH(977, 輔助計算!$G$2:$G$801, 0)+1))="","",INDEX(ERP資料!$G:$G, (MATCH(977, 輔助計算!$G$2:$G$801, 0)+1))), "")</f>
        <v/>
      </c>
      <c r="I978" s="15">
        <f>IFERROR(INDEX(輔助計算!$D:$D, (MATCH(977, 輔助計算!$G$2:$G$801, 0)+1)), "")</f>
        <v/>
      </c>
      <c r="J978" s="15">
        <f>IFERROR(IF(AND(INDEX(輔助計算!$D:$D, (MATCH(977, 輔助計算!$G$2:$G$801, 0)+1))&lt;&gt;"", INDEX(ERP資料!$G:$G, (MATCH(977, 輔助計算!$G$2:$G$801, 0)+1))&lt;&gt;""), TRIM(IF(INT(INDEX(輔助計算!$D:$D, (MATCH(977, 輔助計算!$G$2:$G$801, 0)+1))/IF(INDEX(ERP資料!$G:$G, (MATCH(977, 輔助計算!$G$2:$G$801, 0)+1))&lt;100, IF(INDEX(ERP資料!$G:$G, (MATCH(977, 輔助計算!$G$2:$G$801, 0)+1))&lt;=31,3,IF(INDEX(ERP資料!$G:$G, (MATCH(977, 輔助計算!$G$2:$G$801, 0)+1))&lt;=46.5,2,1)), IF(INDEX(ERP資料!$G:$G, (MATCH(977, 輔助計算!$G$2:$G$801, 0)+1))&lt;=790,3,IF(INDEX(ERP資料!$G:$G, (MATCH(977, 輔助計算!$G$2:$G$801, 0)+1))&lt;=1181,2,1))))&gt;0, IF(IF(INDEX(ERP資料!$G:$G, (MATCH(977, 輔助計算!$G$2:$G$801, 0)+1))&lt;100, IF(INDEX(ERP資料!$G:$G, (MATCH(977, 輔助計算!$G$2:$G$801, 0)+1))&lt;=31,3,IF(INDEX(ERP資料!$G:$G, (MATCH(977, 輔助計算!$G$2:$G$801, 0)+1))&lt;=46.5,2,1)), IF(INDEX(ERP資料!$G:$G, (MATCH(977, 輔助計算!$G$2:$G$801, 0)+1))&lt;=790,3,IF(INDEX(ERP資料!$G:$G, (MATCH(977, 輔助計算!$G$2:$G$801, 0)+1))&lt;=1181,2,1)))=1,TEXT(INDEX(ERP資料!$G:$G, (MATCH(977, 輔助計算!$G$2:$G$801, 0)+1)),"0.##"),IF(IF(INDEX(ERP資料!$G:$G, (MATCH(977, 輔助計算!$G$2:$G$801, 0)+1))&lt;100, IF(INDEX(ERP資料!$G:$G, (MATCH(977, 輔助計算!$G$2:$G$801, 0)+1))&lt;=31,3,IF(INDEX(ERP資料!$G:$G, (MATCH(977, 輔助計算!$G$2:$G$801, 0)+1))&lt;=46.5,2,1)), IF(INDEX(ERP資料!$G:$G, (MATCH(977, 輔助計算!$G$2:$G$801, 0)+1))&lt;=790,3,IF(INDEX(ERP資料!$G:$G, (MATCH(977, 輔助計算!$G$2:$G$801, 0)+1))&lt;=1181,2,1)))=2,TEXT(INDEX(ERP資料!$G:$G, (MATCH(977, 輔助計算!$G$2:$G$801, 0)+1)),"0.##")&amp;"+"&amp;TEXT(INDEX(ERP資料!$G:$G, (MATCH(977, 輔助計算!$G$2:$G$801, 0)+1)),"0.##"),TEXT(INDEX(ERP資料!$G:$G, (MATCH(977, 輔助計算!$G$2:$G$801, 0)+1)),"0.##")&amp;"+"&amp;TEXT(INDEX(ERP資料!$G:$G, (MATCH(977, 輔助計算!$G$2:$G$801, 0)+1)),"0.##")&amp;"+"&amp;TEXT(INDEX(ERP資料!$G:$G, (MATCH(977, 輔助計算!$G$2:$G$801, 0)+1)),"0.##")))&amp;"-"&amp;INT(INDEX(輔助計算!$D:$D, (MATCH(977, 輔助計算!$G$2:$G$801, 0)+1))/IF(INDEX(ERP資料!$G:$G, (MATCH(977, 輔助計算!$G$2:$G$801, 0)+1))&lt;100, IF(INDEX(ERP資料!$G:$G, (MATCH(977, 輔助計算!$G$2:$G$801, 0)+1))&lt;=31,3,IF(INDEX(ERP資料!$G:$G, (MATCH(977, 輔助計算!$G$2:$G$801, 0)+1))&lt;=46.5,2,1)), IF(INDEX(ERP資料!$G:$G, (MATCH(977, 輔助計算!$G$2:$G$801, 0)+1))&lt;=790,3,IF(INDEX(ERP資料!$G:$G, (MATCH(977, 輔助計算!$G$2:$G$801, 0)+1))&lt;=1181,2,1)))), "")&amp;IF(AND(IF(INT(INDEX(輔助計算!$D:$D, (MATCH(977, 輔助計算!$G$2:$G$801, 0)+1))/IF(INDEX(ERP資料!$G:$G, (MATCH(977, 輔助計算!$G$2:$G$801, 0)+1))&lt;100, IF(INDEX(ERP資料!$G:$G, (MATCH(977, 輔助計算!$G$2:$G$801, 0)+1))&lt;=31,3,IF(INDEX(ERP資料!$G:$G, (MATCH(977, 輔助計算!$G$2:$G$801, 0)+1))&lt;=46.5,2,1)), IF(INDEX(ERP資料!$G:$G, (MATCH(977, 輔助計算!$G$2:$G$801, 0)+1))&lt;=790,3,IF(INDEX(ERP資料!$G:$G, (MATCH(977, 輔助計算!$G$2:$G$801, 0)+1))&lt;=1181,2,1))))&gt;0, IF(IF(INDEX(ERP資料!$G:$G, (MATCH(977, 輔助計算!$G$2:$G$801, 0)+1))&lt;100, IF(INDEX(ERP資料!$G:$G, (MATCH(977, 輔助計算!$G$2:$G$801, 0)+1))&lt;=31,3,IF(INDEX(ERP資料!$G:$G, (MATCH(977, 輔助計算!$G$2:$G$801, 0)+1))&lt;=46.5,2,1)), IF(INDEX(ERP資料!$G:$G, (MATCH(977, 輔助計算!$G$2:$G$801, 0)+1))&lt;=790,3,IF(INDEX(ERP資料!$G:$G, (MATCH(977, 輔助計算!$G$2:$G$801, 0)+1))&lt;=1181,2,1)))=1,TEXT(INDEX(ERP資料!$G:$G, (MATCH(977, 輔助計算!$G$2:$G$801, 0)+1)),"0.##"),IF(IF(INDEX(ERP資料!$G:$G, (MATCH(977, 輔助計算!$G$2:$G$801, 0)+1))&lt;100, IF(INDEX(ERP資料!$G:$G, (MATCH(977, 輔助計算!$G$2:$G$801, 0)+1))&lt;=31,3,IF(INDEX(ERP資料!$G:$G, (MATCH(977, 輔助計算!$G$2:$G$801, 0)+1))&lt;=46.5,2,1)), IF(INDEX(ERP資料!$G:$G, (MATCH(977, 輔助計算!$G$2:$G$801, 0)+1))&lt;=790,3,IF(INDEX(ERP資料!$G:$G, (MATCH(977, 輔助計算!$G$2:$G$801, 0)+1))&lt;=1181,2,1)))=2,TEXT(INDEX(ERP資料!$G:$G, (MATCH(977, 輔助計算!$G$2:$G$801, 0)+1)),"0.##")&amp;"+"&amp;TEXT(INDEX(ERP資料!$G:$G, (MATCH(977, 輔助計算!$G$2:$G$801, 0)+1)),"0.##"),TEXT(INDEX(ERP資料!$G:$G, (MATCH(977, 輔助計算!$G$2:$G$801, 0)+1)),"0.##")&amp;"+"&amp;TEXT(INDEX(ERP資料!$G:$G, (MATCH(977, 輔助計算!$G$2:$G$801, 0)+1)),"0.##")&amp;"+"&amp;TEXT(INDEX(ERP資料!$G:$G, (MATCH(977, 輔助計算!$G$2:$G$801, 0)+1)),"0.##")))&amp;"-"&amp;INT(INDEX(輔助計算!$D:$D, (MATCH(977, 輔助計算!$G$2:$G$801, 0)+1))/IF(INDEX(ERP資料!$G:$G, (MATCH(977, 輔助計算!$G$2:$G$801, 0)+1))&lt;100, IF(INDEX(ERP資料!$G:$G, (MATCH(977, 輔助計算!$G$2:$G$801, 0)+1))&lt;=31,3,IF(INDEX(ERP資料!$G:$G, (MATCH(977, 輔助計算!$G$2:$G$801, 0)+1))&lt;=46.5,2,1)), IF(INDEX(ERP資料!$G:$G, (MATCH(977, 輔助計算!$G$2:$G$801, 0)+1))&lt;=790,3,IF(INDEX(ERP資料!$G:$G, (MATCH(977, 輔助計算!$G$2:$G$801, 0)+1))&lt;=1181,2,1)))), "")&lt;&gt;"",IF(MOD(INDEX(輔助計算!$D:$D, (MATCH(977, 輔助計算!$G$2:$G$801, 0)+1)),IF(INDEX(ERP資料!$G:$G, (MATCH(977, 輔助計算!$G$2:$G$801, 0)+1))&lt;100, IF(INDEX(ERP資料!$G:$G, (MATCH(977, 輔助計算!$G$2:$G$801, 0)+1))&lt;=31,3,IF(INDEX(ERP資料!$G:$G, (MATCH(977, 輔助計算!$G$2:$G$801, 0)+1))&lt;=46.5,2,1)), IF(INDEX(ERP資料!$G:$G, (MATCH(977, 輔助計算!$G$2:$G$801, 0)+1))&lt;=790,3,IF(INDEX(ERP資料!$G:$G, (MATCH(977, 輔助計算!$G$2:$G$801, 0)+1))&lt;=1181,2,1))))=0,"",IF(MOD(INDEX(輔助計算!$D:$D, (MATCH(977, 輔助計算!$G$2:$G$801, 0)+1)),IF(INDEX(ERP資料!$G:$G, (MATCH(977, 輔助計算!$G$2:$G$801, 0)+1))&lt;100, IF(INDEX(ERP資料!$G:$G, (MATCH(977, 輔助計算!$G$2:$G$801, 0)+1))&lt;=31,3,IF(INDEX(ERP資料!$G:$G, (MATCH(977, 輔助計算!$G$2:$G$801, 0)+1))&lt;=46.5,2,1)), IF(INDEX(ERP資料!$G:$G, (MATCH(977, 輔助計算!$G$2:$G$801, 0)+1))&lt;=790,3,IF(INDEX(ERP資料!$G:$G, (MATCH(977, 輔助計算!$G$2:$G$801, 0)+1))&lt;=1181,2,1))))=0,"",IF(MOD(INDEX(輔助計算!$D:$D, (MATCH(977, 輔助計算!$G$2:$G$801, 0)+1)),IF(INDEX(ERP資料!$G:$G, (MATCH(977, 輔助計算!$G$2:$G$801, 0)+1))&lt;100, IF(INDEX(ERP資料!$G:$G, (MATCH(977, 輔助計算!$G$2:$G$801, 0)+1))&lt;=31,3,IF(INDEX(ERP資料!$G:$G, (MATCH(977, 輔助計算!$G$2:$G$801, 0)+1))&lt;=46.5,2,1)), IF(INDEX(ERP資料!$G:$G, (MATCH(977, 輔助計算!$G$2:$G$801, 0)+1))&lt;=790,3,IF(INDEX(ERP資料!$G:$G, (MATCH(977, 輔助計算!$G$2:$G$801, 0)+1))&lt;=1181,2,1))))=1,TEXT(INDEX(ERP資料!$G:$G, (MATCH(977, 輔助計算!$G$2:$G$801, 0)+1)),"0.##"),IF(MOD(INDEX(輔助計算!$D:$D, (MATCH(977, 輔助計算!$G$2:$G$801, 0)+1)),IF(INDEX(ERP資料!$G:$G, (MATCH(977, 輔助計算!$G$2:$G$801, 0)+1))&lt;100, IF(INDEX(ERP資料!$G:$G, (MATCH(977, 輔助計算!$G$2:$G$801, 0)+1))&lt;=31,3,IF(INDEX(ERP資料!$G:$G, (MATCH(977, 輔助計算!$G$2:$G$801, 0)+1))&lt;=46.5,2,1)), IF(INDEX(ERP資料!$G:$G, (MATCH(977, 輔助計算!$G$2:$G$801, 0)+1))&lt;=790,3,IF(INDEX(ERP資料!$G:$G, (MATCH(977, 輔助計算!$G$2:$G$801, 0)+1))&lt;=1181,2,1))))=2,TEXT(INDEX(ERP資料!$G:$G, (MATCH(977, 輔助計算!$G$2:$G$801, 0)+1)),"0.##")&amp;"+"&amp;TEXT(INDEX(ERP資料!$G:$G, (MATCH(977, 輔助計算!$G$2:$G$801, 0)+1)),"0.##"),TEXT(INDEX(ERP資料!$G:$G, (MATCH(977, 輔助計算!$G$2:$G$801, 0)+1)),"0.##")&amp;"+"&amp;TEXT(INDEX(ERP資料!$G:$G, (MATCH(977, 輔助計算!$G$2:$G$801, 0)+1)),"0.##")&amp;"+"&amp;TEXT(INDEX(ERP資料!$G:$G, (MATCH(977, 輔助計算!$G$2:$G$801, 0)+1)),"0.##"))))&amp;"-1")&lt;&gt;""),"  ","")&amp;IF(MOD(INDEX(輔助計算!$D:$D, (MATCH(977, 輔助計算!$G$2:$G$801, 0)+1)),IF(INDEX(ERP資料!$G:$G, (MATCH(977, 輔助計算!$G$2:$G$801, 0)+1))&lt;100, IF(INDEX(ERP資料!$G:$G, (MATCH(977, 輔助計算!$G$2:$G$801, 0)+1))&lt;=31,3,IF(INDEX(ERP資料!$G:$G, (MATCH(977, 輔助計算!$G$2:$G$801, 0)+1))&lt;=46.5,2,1)), IF(INDEX(ERP資料!$G:$G, (MATCH(977, 輔助計算!$G$2:$G$801, 0)+1))&lt;=790,3,IF(INDEX(ERP資料!$G:$G, (MATCH(977, 輔助計算!$G$2:$G$801, 0)+1))&lt;=1181,2,1))))=0,"",IF(MOD(INDEX(輔助計算!$D:$D, (MATCH(977, 輔助計算!$G$2:$G$801, 0)+1)),IF(INDEX(ERP資料!$G:$G, (MATCH(977, 輔助計算!$G$2:$G$801, 0)+1))&lt;100, IF(INDEX(ERP資料!$G:$G, (MATCH(977, 輔助計算!$G$2:$G$801, 0)+1))&lt;=31,3,IF(INDEX(ERP資料!$G:$G, (MATCH(977, 輔助計算!$G$2:$G$801, 0)+1))&lt;=46.5,2,1)), IF(INDEX(ERP資料!$G:$G, (MATCH(977, 輔助計算!$G$2:$G$801, 0)+1))&lt;=790,3,IF(INDEX(ERP資料!$G:$G, (MATCH(977, 輔助計算!$G$2:$G$801, 0)+1))&lt;=1181,2,1))))=0,"",IF(MOD(INDEX(輔助計算!$D:$D, (MATCH(977, 輔助計算!$G$2:$G$801, 0)+1)),IF(INDEX(ERP資料!$G:$G, (MATCH(977, 輔助計算!$G$2:$G$801, 0)+1))&lt;100, IF(INDEX(ERP資料!$G:$G, (MATCH(977, 輔助計算!$G$2:$G$801, 0)+1))&lt;=31,3,IF(INDEX(ERP資料!$G:$G, (MATCH(977, 輔助計算!$G$2:$G$801, 0)+1))&lt;=46.5,2,1)), IF(INDEX(ERP資料!$G:$G, (MATCH(977, 輔助計算!$G$2:$G$801, 0)+1))&lt;=790,3,IF(INDEX(ERP資料!$G:$G, (MATCH(977, 輔助計算!$G$2:$G$801, 0)+1))&lt;=1181,2,1))))=1,TEXT(INDEX(ERP資料!$G:$G, (MATCH(977, 輔助計算!$G$2:$G$801, 0)+1)),"0.##"),IF(MOD(INDEX(輔助計算!$D:$D, (MATCH(977, 輔助計算!$G$2:$G$801, 0)+1)),IF(INDEX(ERP資料!$G:$G, (MATCH(977, 輔助計算!$G$2:$G$801, 0)+1))&lt;100, IF(INDEX(ERP資料!$G:$G, (MATCH(977, 輔助計算!$G$2:$G$801, 0)+1))&lt;=31,3,IF(INDEX(ERP資料!$G:$G, (MATCH(977, 輔助計算!$G$2:$G$801, 0)+1))&lt;=46.5,2,1)), IF(INDEX(ERP資料!$G:$G, (MATCH(977, 輔助計算!$G$2:$G$801, 0)+1))&lt;=790,3,IF(INDEX(ERP資料!$G:$G, (MATCH(977, 輔助計算!$G$2:$G$801, 0)+1))&lt;=1181,2,1))))=2,TEXT(INDEX(ERP資料!$G:$G, (MATCH(977, 輔助計算!$G$2:$G$801, 0)+1)),"0.##")&amp;"+"&amp;TEXT(INDEX(ERP資料!$G:$G, (MATCH(977, 輔助計算!$G$2:$G$801, 0)+1)),"0.##"),TEXT(INDEX(ERP資料!$G:$G, (MATCH(977, 輔助計算!$G$2:$G$801, 0)+1)),"0.##")&amp;"+"&amp;TEXT(INDEX(ERP資料!$G:$G, (MATCH(977, 輔助計算!$G$2:$G$801, 0)+1)),"0.##")&amp;"+"&amp;TEXT(INDEX(ERP資料!$G:$G, (MATCH(977, 輔助計算!$G$2:$G$801, 0)+1)),"0.##"))))&amp;"-1")), ""), "")</f>
        <v/>
      </c>
      <c r="K978" s="16" t="n"/>
      <c r="L978" s="14">
        <f>IFERROR(IF(AND(IFERROR(INDEX(ERP資料!$A:$A, (MATCH(977, 輔助計算!$G$2:$G$801, 0)+1)), "")&lt;&gt;"", IFERROR(INDEX(ERP資料!$A:$A, (MATCH(977, 輔助計算!$G$2:$G$801, 0)+1)), "")&lt;&gt;IFERROR(INDEX(ERP資料!$A:$A, MATCH(976, 輔助計算!$G$2:$G$801, 0)+1), "")), INDEX(ERP資料!$B:$B, (MATCH(977, 輔助計算!$G$2:$G$801, 0)+1)), ""), "")</f>
        <v/>
      </c>
      <c r="M978" s="17" t="n"/>
    </row>
    <row r="979">
      <c r="A979" s="10">
        <f>IFERROR(IF(AND(IFERROR(INDEX(ERP資料!$A:$A, (MATCH(978, 輔助計算!$G$2:$G$801, 0)+1)), "")&lt;&gt;"", IFERROR(INDEX(ERP資料!$A:$A, (MATCH(978, 輔助計算!$G$2:$G$801, 0)+1)), "")&lt;&gt;IFERROR(INDEX(ERP資料!$A:$A, MATCH(977, 輔助計算!$G$2:$G$801, 0)+1), "")), IFERROR(INDEX(ERP資料!$A:$A, (MATCH(978, 輔助計算!$G$2:$G$801, 0)+1)), ""), ""), "")</f>
        <v/>
      </c>
      <c r="B979" s="10">
        <f>IFERROR(IF(AND(IFERROR(INDEX(ERP資料!$A:$A, (MATCH(978, 輔助計算!$G$2:$G$801, 0)+1)), "")&lt;&gt;"", IFERROR(INDEX(ERP資料!$A:$A, (MATCH(978, 輔助計算!$G$2:$G$801, 0)+1)), "")&lt;&gt;IFERROR(INDEX(ERP資料!$A:$A, MATCH(977, 輔助計算!$G$2:$G$801, 0)+1), "")), INDEX(ERP資料!$S:$S, (MATCH(978, 輔助計算!$G$2:$G$801, 0)+1)), ""), "")</f>
        <v/>
      </c>
      <c r="C979" s="19">
        <f>IFERROR(IF(AND(IFERROR(INDEX(ERP資料!$A:$A, (MATCH(978, 輔助計算!$G$2:$G$801, 0)+1)), "")&lt;&gt;"", IFERROR(INDEX(ERP資料!$A:$A, (MATCH(978, 輔助計算!$G$2:$G$801, 0)+1)), "")&lt;&gt;IFERROR(INDEX(ERP資料!$A:$A, MATCH(977, 輔助計算!$G$2:$G$801, 0)+1), "")), IFERROR(VLOOKUP(LEFT(INDEX(ERP資料!$S:$S, (MATCH(978, 輔助計算!$G$2:$G$801, 0)+1)), 4), 紙管對照表!$A:$C, 3, FALSE), ""), ""), "")</f>
        <v/>
      </c>
      <c r="D979" s="16" t="n"/>
      <c r="E979" s="10">
        <f>IFERROR(IF(INDEX(ERP資料!$H:$H, (MATCH(978, 輔助計算!$G$2:$G$801, 0)+1))="","",INDEX(ERP資料!$H:$H, (MATCH(978, 輔助計算!$G$2:$G$801, 0)+1))), "")</f>
        <v/>
      </c>
      <c r="F979" s="10">
        <f>IFERROR(IF(INDEX(ERP資料!$E:$E, (MATCH(978, 輔助計算!$G$2:$G$801, 0)+1))="","",TRIM(INDEX(ERP資料!$E:$E, (MATCH(978, 輔助計算!$G$2:$G$801, 0)+1)))), "")</f>
        <v/>
      </c>
      <c r="G979" s="10">
        <f>IFERROR(IF(INDEX(ERP資料!$F:$F, (MATCH(978, 輔助計算!$G$2:$G$801, 0)+1))="","",INDEX(ERP資料!$F:$F, (MATCH(978, 輔助計算!$G$2:$G$801, 0)+1))), "")</f>
        <v/>
      </c>
      <c r="H979" s="10">
        <f>IFERROR(IF(INDEX(ERP資料!$G:$G, (MATCH(978, 輔助計算!$G$2:$G$801, 0)+1))="","",INDEX(ERP資料!$G:$G, (MATCH(978, 輔助計算!$G$2:$G$801, 0)+1))), "")</f>
        <v/>
      </c>
      <c r="I979" s="15">
        <f>IFERROR(INDEX(輔助計算!$D:$D, (MATCH(978, 輔助計算!$G$2:$G$801, 0)+1)), "")</f>
        <v/>
      </c>
      <c r="J979" s="15">
        <f>IFERROR(IF(AND(INDEX(輔助計算!$D:$D, (MATCH(978, 輔助計算!$G$2:$G$801, 0)+1))&lt;&gt;"", INDEX(ERP資料!$G:$G, (MATCH(978, 輔助計算!$G$2:$G$801, 0)+1))&lt;&gt;""), TRIM(IF(INT(INDEX(輔助計算!$D:$D, (MATCH(978, 輔助計算!$G$2:$G$801, 0)+1))/IF(INDEX(ERP資料!$G:$G, (MATCH(978, 輔助計算!$G$2:$G$801, 0)+1))&lt;100, IF(INDEX(ERP資料!$G:$G, (MATCH(978, 輔助計算!$G$2:$G$801, 0)+1))&lt;=31,3,IF(INDEX(ERP資料!$G:$G, (MATCH(978, 輔助計算!$G$2:$G$801, 0)+1))&lt;=46.5,2,1)), IF(INDEX(ERP資料!$G:$G, (MATCH(978, 輔助計算!$G$2:$G$801, 0)+1))&lt;=790,3,IF(INDEX(ERP資料!$G:$G, (MATCH(978, 輔助計算!$G$2:$G$801, 0)+1))&lt;=1181,2,1))))&gt;0, IF(IF(INDEX(ERP資料!$G:$G, (MATCH(978, 輔助計算!$G$2:$G$801, 0)+1))&lt;100, IF(INDEX(ERP資料!$G:$G, (MATCH(978, 輔助計算!$G$2:$G$801, 0)+1))&lt;=31,3,IF(INDEX(ERP資料!$G:$G, (MATCH(978, 輔助計算!$G$2:$G$801, 0)+1))&lt;=46.5,2,1)), IF(INDEX(ERP資料!$G:$G, (MATCH(978, 輔助計算!$G$2:$G$801, 0)+1))&lt;=790,3,IF(INDEX(ERP資料!$G:$G, (MATCH(978, 輔助計算!$G$2:$G$801, 0)+1))&lt;=1181,2,1)))=1,TEXT(INDEX(ERP資料!$G:$G, (MATCH(978, 輔助計算!$G$2:$G$801, 0)+1)),"0.##"),IF(IF(INDEX(ERP資料!$G:$G, (MATCH(978, 輔助計算!$G$2:$G$801, 0)+1))&lt;100, IF(INDEX(ERP資料!$G:$G, (MATCH(978, 輔助計算!$G$2:$G$801, 0)+1))&lt;=31,3,IF(INDEX(ERP資料!$G:$G, (MATCH(978, 輔助計算!$G$2:$G$801, 0)+1))&lt;=46.5,2,1)), IF(INDEX(ERP資料!$G:$G, (MATCH(978, 輔助計算!$G$2:$G$801, 0)+1))&lt;=790,3,IF(INDEX(ERP資料!$G:$G, (MATCH(978, 輔助計算!$G$2:$G$801, 0)+1))&lt;=1181,2,1)))=2,TEXT(INDEX(ERP資料!$G:$G, (MATCH(978, 輔助計算!$G$2:$G$801, 0)+1)),"0.##")&amp;"+"&amp;TEXT(INDEX(ERP資料!$G:$G, (MATCH(978, 輔助計算!$G$2:$G$801, 0)+1)),"0.##"),TEXT(INDEX(ERP資料!$G:$G, (MATCH(978, 輔助計算!$G$2:$G$801, 0)+1)),"0.##")&amp;"+"&amp;TEXT(INDEX(ERP資料!$G:$G, (MATCH(978, 輔助計算!$G$2:$G$801, 0)+1)),"0.##")&amp;"+"&amp;TEXT(INDEX(ERP資料!$G:$G, (MATCH(978, 輔助計算!$G$2:$G$801, 0)+1)),"0.##")))&amp;"-"&amp;INT(INDEX(輔助計算!$D:$D, (MATCH(978, 輔助計算!$G$2:$G$801, 0)+1))/IF(INDEX(ERP資料!$G:$G, (MATCH(978, 輔助計算!$G$2:$G$801, 0)+1))&lt;100, IF(INDEX(ERP資料!$G:$G, (MATCH(978, 輔助計算!$G$2:$G$801, 0)+1))&lt;=31,3,IF(INDEX(ERP資料!$G:$G, (MATCH(978, 輔助計算!$G$2:$G$801, 0)+1))&lt;=46.5,2,1)), IF(INDEX(ERP資料!$G:$G, (MATCH(978, 輔助計算!$G$2:$G$801, 0)+1))&lt;=790,3,IF(INDEX(ERP資料!$G:$G, (MATCH(978, 輔助計算!$G$2:$G$801, 0)+1))&lt;=1181,2,1)))), "")&amp;IF(AND(IF(INT(INDEX(輔助計算!$D:$D, (MATCH(978, 輔助計算!$G$2:$G$801, 0)+1))/IF(INDEX(ERP資料!$G:$G, (MATCH(978, 輔助計算!$G$2:$G$801, 0)+1))&lt;100, IF(INDEX(ERP資料!$G:$G, (MATCH(978, 輔助計算!$G$2:$G$801, 0)+1))&lt;=31,3,IF(INDEX(ERP資料!$G:$G, (MATCH(978, 輔助計算!$G$2:$G$801, 0)+1))&lt;=46.5,2,1)), IF(INDEX(ERP資料!$G:$G, (MATCH(978, 輔助計算!$G$2:$G$801, 0)+1))&lt;=790,3,IF(INDEX(ERP資料!$G:$G, (MATCH(978, 輔助計算!$G$2:$G$801, 0)+1))&lt;=1181,2,1))))&gt;0, IF(IF(INDEX(ERP資料!$G:$G, (MATCH(978, 輔助計算!$G$2:$G$801, 0)+1))&lt;100, IF(INDEX(ERP資料!$G:$G, (MATCH(978, 輔助計算!$G$2:$G$801, 0)+1))&lt;=31,3,IF(INDEX(ERP資料!$G:$G, (MATCH(978, 輔助計算!$G$2:$G$801, 0)+1))&lt;=46.5,2,1)), IF(INDEX(ERP資料!$G:$G, (MATCH(978, 輔助計算!$G$2:$G$801, 0)+1))&lt;=790,3,IF(INDEX(ERP資料!$G:$G, (MATCH(978, 輔助計算!$G$2:$G$801, 0)+1))&lt;=1181,2,1)))=1,TEXT(INDEX(ERP資料!$G:$G, (MATCH(978, 輔助計算!$G$2:$G$801, 0)+1)),"0.##"),IF(IF(INDEX(ERP資料!$G:$G, (MATCH(978, 輔助計算!$G$2:$G$801, 0)+1))&lt;100, IF(INDEX(ERP資料!$G:$G, (MATCH(978, 輔助計算!$G$2:$G$801, 0)+1))&lt;=31,3,IF(INDEX(ERP資料!$G:$G, (MATCH(978, 輔助計算!$G$2:$G$801, 0)+1))&lt;=46.5,2,1)), IF(INDEX(ERP資料!$G:$G, (MATCH(978, 輔助計算!$G$2:$G$801, 0)+1))&lt;=790,3,IF(INDEX(ERP資料!$G:$G, (MATCH(978, 輔助計算!$G$2:$G$801, 0)+1))&lt;=1181,2,1)))=2,TEXT(INDEX(ERP資料!$G:$G, (MATCH(978, 輔助計算!$G$2:$G$801, 0)+1)),"0.##")&amp;"+"&amp;TEXT(INDEX(ERP資料!$G:$G, (MATCH(978, 輔助計算!$G$2:$G$801, 0)+1)),"0.##"),TEXT(INDEX(ERP資料!$G:$G, (MATCH(978, 輔助計算!$G$2:$G$801, 0)+1)),"0.##")&amp;"+"&amp;TEXT(INDEX(ERP資料!$G:$G, (MATCH(978, 輔助計算!$G$2:$G$801, 0)+1)),"0.##")&amp;"+"&amp;TEXT(INDEX(ERP資料!$G:$G, (MATCH(978, 輔助計算!$G$2:$G$801, 0)+1)),"0.##")))&amp;"-"&amp;INT(INDEX(輔助計算!$D:$D, (MATCH(978, 輔助計算!$G$2:$G$801, 0)+1))/IF(INDEX(ERP資料!$G:$G, (MATCH(978, 輔助計算!$G$2:$G$801, 0)+1))&lt;100, IF(INDEX(ERP資料!$G:$G, (MATCH(978, 輔助計算!$G$2:$G$801, 0)+1))&lt;=31,3,IF(INDEX(ERP資料!$G:$G, (MATCH(978, 輔助計算!$G$2:$G$801, 0)+1))&lt;=46.5,2,1)), IF(INDEX(ERP資料!$G:$G, (MATCH(978, 輔助計算!$G$2:$G$801, 0)+1))&lt;=790,3,IF(INDEX(ERP資料!$G:$G, (MATCH(978, 輔助計算!$G$2:$G$801, 0)+1))&lt;=1181,2,1)))), "")&lt;&gt;"",IF(MOD(INDEX(輔助計算!$D:$D, (MATCH(978, 輔助計算!$G$2:$G$801, 0)+1)),IF(INDEX(ERP資料!$G:$G, (MATCH(978, 輔助計算!$G$2:$G$801, 0)+1))&lt;100, IF(INDEX(ERP資料!$G:$G, (MATCH(978, 輔助計算!$G$2:$G$801, 0)+1))&lt;=31,3,IF(INDEX(ERP資料!$G:$G, (MATCH(978, 輔助計算!$G$2:$G$801, 0)+1))&lt;=46.5,2,1)), IF(INDEX(ERP資料!$G:$G, (MATCH(978, 輔助計算!$G$2:$G$801, 0)+1))&lt;=790,3,IF(INDEX(ERP資料!$G:$G, (MATCH(978, 輔助計算!$G$2:$G$801, 0)+1))&lt;=1181,2,1))))=0,"",IF(MOD(INDEX(輔助計算!$D:$D, (MATCH(978, 輔助計算!$G$2:$G$801, 0)+1)),IF(INDEX(ERP資料!$G:$G, (MATCH(978, 輔助計算!$G$2:$G$801, 0)+1))&lt;100, IF(INDEX(ERP資料!$G:$G, (MATCH(978, 輔助計算!$G$2:$G$801, 0)+1))&lt;=31,3,IF(INDEX(ERP資料!$G:$G, (MATCH(978, 輔助計算!$G$2:$G$801, 0)+1))&lt;=46.5,2,1)), IF(INDEX(ERP資料!$G:$G, (MATCH(978, 輔助計算!$G$2:$G$801, 0)+1))&lt;=790,3,IF(INDEX(ERP資料!$G:$G, (MATCH(978, 輔助計算!$G$2:$G$801, 0)+1))&lt;=1181,2,1))))=0,"",IF(MOD(INDEX(輔助計算!$D:$D, (MATCH(978, 輔助計算!$G$2:$G$801, 0)+1)),IF(INDEX(ERP資料!$G:$G, (MATCH(978, 輔助計算!$G$2:$G$801, 0)+1))&lt;100, IF(INDEX(ERP資料!$G:$G, (MATCH(978, 輔助計算!$G$2:$G$801, 0)+1))&lt;=31,3,IF(INDEX(ERP資料!$G:$G, (MATCH(978, 輔助計算!$G$2:$G$801, 0)+1))&lt;=46.5,2,1)), IF(INDEX(ERP資料!$G:$G, (MATCH(978, 輔助計算!$G$2:$G$801, 0)+1))&lt;=790,3,IF(INDEX(ERP資料!$G:$G, (MATCH(978, 輔助計算!$G$2:$G$801, 0)+1))&lt;=1181,2,1))))=1,TEXT(INDEX(ERP資料!$G:$G, (MATCH(978, 輔助計算!$G$2:$G$801, 0)+1)),"0.##"),IF(MOD(INDEX(輔助計算!$D:$D, (MATCH(978, 輔助計算!$G$2:$G$801, 0)+1)),IF(INDEX(ERP資料!$G:$G, (MATCH(978, 輔助計算!$G$2:$G$801, 0)+1))&lt;100, IF(INDEX(ERP資料!$G:$G, (MATCH(978, 輔助計算!$G$2:$G$801, 0)+1))&lt;=31,3,IF(INDEX(ERP資料!$G:$G, (MATCH(978, 輔助計算!$G$2:$G$801, 0)+1))&lt;=46.5,2,1)), IF(INDEX(ERP資料!$G:$G, (MATCH(978, 輔助計算!$G$2:$G$801, 0)+1))&lt;=790,3,IF(INDEX(ERP資料!$G:$G, (MATCH(978, 輔助計算!$G$2:$G$801, 0)+1))&lt;=1181,2,1))))=2,TEXT(INDEX(ERP資料!$G:$G, (MATCH(978, 輔助計算!$G$2:$G$801, 0)+1)),"0.##")&amp;"+"&amp;TEXT(INDEX(ERP資料!$G:$G, (MATCH(978, 輔助計算!$G$2:$G$801, 0)+1)),"0.##"),TEXT(INDEX(ERP資料!$G:$G, (MATCH(978, 輔助計算!$G$2:$G$801, 0)+1)),"0.##")&amp;"+"&amp;TEXT(INDEX(ERP資料!$G:$G, (MATCH(978, 輔助計算!$G$2:$G$801, 0)+1)),"0.##")&amp;"+"&amp;TEXT(INDEX(ERP資料!$G:$G, (MATCH(978, 輔助計算!$G$2:$G$801, 0)+1)),"0.##"))))&amp;"-1")&lt;&gt;""),"  ","")&amp;IF(MOD(INDEX(輔助計算!$D:$D, (MATCH(978, 輔助計算!$G$2:$G$801, 0)+1)),IF(INDEX(ERP資料!$G:$G, (MATCH(978, 輔助計算!$G$2:$G$801, 0)+1))&lt;100, IF(INDEX(ERP資料!$G:$G, (MATCH(978, 輔助計算!$G$2:$G$801, 0)+1))&lt;=31,3,IF(INDEX(ERP資料!$G:$G, (MATCH(978, 輔助計算!$G$2:$G$801, 0)+1))&lt;=46.5,2,1)), IF(INDEX(ERP資料!$G:$G, (MATCH(978, 輔助計算!$G$2:$G$801, 0)+1))&lt;=790,3,IF(INDEX(ERP資料!$G:$G, (MATCH(978, 輔助計算!$G$2:$G$801, 0)+1))&lt;=1181,2,1))))=0,"",IF(MOD(INDEX(輔助計算!$D:$D, (MATCH(978, 輔助計算!$G$2:$G$801, 0)+1)),IF(INDEX(ERP資料!$G:$G, (MATCH(978, 輔助計算!$G$2:$G$801, 0)+1))&lt;100, IF(INDEX(ERP資料!$G:$G, (MATCH(978, 輔助計算!$G$2:$G$801, 0)+1))&lt;=31,3,IF(INDEX(ERP資料!$G:$G, (MATCH(978, 輔助計算!$G$2:$G$801, 0)+1))&lt;=46.5,2,1)), IF(INDEX(ERP資料!$G:$G, (MATCH(978, 輔助計算!$G$2:$G$801, 0)+1))&lt;=790,3,IF(INDEX(ERP資料!$G:$G, (MATCH(978, 輔助計算!$G$2:$G$801, 0)+1))&lt;=1181,2,1))))=0,"",IF(MOD(INDEX(輔助計算!$D:$D, (MATCH(978, 輔助計算!$G$2:$G$801, 0)+1)),IF(INDEX(ERP資料!$G:$G, (MATCH(978, 輔助計算!$G$2:$G$801, 0)+1))&lt;100, IF(INDEX(ERP資料!$G:$G, (MATCH(978, 輔助計算!$G$2:$G$801, 0)+1))&lt;=31,3,IF(INDEX(ERP資料!$G:$G, (MATCH(978, 輔助計算!$G$2:$G$801, 0)+1))&lt;=46.5,2,1)), IF(INDEX(ERP資料!$G:$G, (MATCH(978, 輔助計算!$G$2:$G$801, 0)+1))&lt;=790,3,IF(INDEX(ERP資料!$G:$G, (MATCH(978, 輔助計算!$G$2:$G$801, 0)+1))&lt;=1181,2,1))))=1,TEXT(INDEX(ERP資料!$G:$G, (MATCH(978, 輔助計算!$G$2:$G$801, 0)+1)),"0.##"),IF(MOD(INDEX(輔助計算!$D:$D, (MATCH(978, 輔助計算!$G$2:$G$801, 0)+1)),IF(INDEX(ERP資料!$G:$G, (MATCH(978, 輔助計算!$G$2:$G$801, 0)+1))&lt;100, IF(INDEX(ERP資料!$G:$G, (MATCH(978, 輔助計算!$G$2:$G$801, 0)+1))&lt;=31,3,IF(INDEX(ERP資料!$G:$G, (MATCH(978, 輔助計算!$G$2:$G$801, 0)+1))&lt;=46.5,2,1)), IF(INDEX(ERP資料!$G:$G, (MATCH(978, 輔助計算!$G$2:$G$801, 0)+1))&lt;=790,3,IF(INDEX(ERP資料!$G:$G, (MATCH(978, 輔助計算!$G$2:$G$801, 0)+1))&lt;=1181,2,1))))=2,TEXT(INDEX(ERP資料!$G:$G, (MATCH(978, 輔助計算!$G$2:$G$801, 0)+1)),"0.##")&amp;"+"&amp;TEXT(INDEX(ERP資料!$G:$G, (MATCH(978, 輔助計算!$G$2:$G$801, 0)+1)),"0.##"),TEXT(INDEX(ERP資料!$G:$G, (MATCH(978, 輔助計算!$G$2:$G$801, 0)+1)),"0.##")&amp;"+"&amp;TEXT(INDEX(ERP資料!$G:$G, (MATCH(978, 輔助計算!$G$2:$G$801, 0)+1)),"0.##")&amp;"+"&amp;TEXT(INDEX(ERP資料!$G:$G, (MATCH(978, 輔助計算!$G$2:$G$801, 0)+1)),"0.##"))))&amp;"-1")), ""), "")</f>
        <v/>
      </c>
      <c r="K979" s="16" t="n"/>
      <c r="L979" s="14">
        <f>IFERROR(IF(AND(IFERROR(INDEX(ERP資料!$A:$A, (MATCH(978, 輔助計算!$G$2:$G$801, 0)+1)), "")&lt;&gt;"", IFERROR(INDEX(ERP資料!$A:$A, (MATCH(978, 輔助計算!$G$2:$G$801, 0)+1)), "")&lt;&gt;IFERROR(INDEX(ERP資料!$A:$A, MATCH(977, 輔助計算!$G$2:$G$801, 0)+1), "")), INDEX(ERP資料!$B:$B, (MATCH(978, 輔助計算!$G$2:$G$801, 0)+1)), ""), "")</f>
        <v/>
      </c>
      <c r="M979" s="17" t="n"/>
    </row>
    <row r="980">
      <c r="A980" s="10">
        <f>IFERROR(IF(AND(IFERROR(INDEX(ERP資料!$A:$A, (MATCH(979, 輔助計算!$G$2:$G$801, 0)+1)), "")&lt;&gt;"", IFERROR(INDEX(ERP資料!$A:$A, (MATCH(979, 輔助計算!$G$2:$G$801, 0)+1)), "")&lt;&gt;IFERROR(INDEX(ERP資料!$A:$A, MATCH(978, 輔助計算!$G$2:$G$801, 0)+1), "")), IFERROR(INDEX(ERP資料!$A:$A, (MATCH(979, 輔助計算!$G$2:$G$801, 0)+1)), ""), ""), "")</f>
        <v/>
      </c>
      <c r="B980" s="10">
        <f>IFERROR(IF(AND(IFERROR(INDEX(ERP資料!$A:$A, (MATCH(979, 輔助計算!$G$2:$G$801, 0)+1)), "")&lt;&gt;"", IFERROR(INDEX(ERP資料!$A:$A, (MATCH(979, 輔助計算!$G$2:$G$801, 0)+1)), "")&lt;&gt;IFERROR(INDEX(ERP資料!$A:$A, MATCH(978, 輔助計算!$G$2:$G$801, 0)+1), "")), INDEX(ERP資料!$S:$S, (MATCH(979, 輔助計算!$G$2:$G$801, 0)+1)), ""), "")</f>
        <v/>
      </c>
      <c r="C980" s="19">
        <f>IFERROR(IF(AND(IFERROR(INDEX(ERP資料!$A:$A, (MATCH(979, 輔助計算!$G$2:$G$801, 0)+1)), "")&lt;&gt;"", IFERROR(INDEX(ERP資料!$A:$A, (MATCH(979, 輔助計算!$G$2:$G$801, 0)+1)), "")&lt;&gt;IFERROR(INDEX(ERP資料!$A:$A, MATCH(978, 輔助計算!$G$2:$G$801, 0)+1), "")), IFERROR(VLOOKUP(LEFT(INDEX(ERP資料!$S:$S, (MATCH(979, 輔助計算!$G$2:$G$801, 0)+1)), 4), 紙管對照表!$A:$C, 3, FALSE), ""), ""), "")</f>
        <v/>
      </c>
      <c r="D980" s="16" t="n"/>
      <c r="E980" s="10">
        <f>IFERROR(IF(INDEX(ERP資料!$H:$H, (MATCH(979, 輔助計算!$G$2:$G$801, 0)+1))="","",INDEX(ERP資料!$H:$H, (MATCH(979, 輔助計算!$G$2:$G$801, 0)+1))), "")</f>
        <v/>
      </c>
      <c r="F980" s="10">
        <f>IFERROR(IF(INDEX(ERP資料!$E:$E, (MATCH(979, 輔助計算!$G$2:$G$801, 0)+1))="","",TRIM(INDEX(ERP資料!$E:$E, (MATCH(979, 輔助計算!$G$2:$G$801, 0)+1)))), "")</f>
        <v/>
      </c>
      <c r="G980" s="10">
        <f>IFERROR(IF(INDEX(ERP資料!$F:$F, (MATCH(979, 輔助計算!$G$2:$G$801, 0)+1))="","",INDEX(ERP資料!$F:$F, (MATCH(979, 輔助計算!$G$2:$G$801, 0)+1))), "")</f>
        <v/>
      </c>
      <c r="H980" s="10">
        <f>IFERROR(IF(INDEX(ERP資料!$G:$G, (MATCH(979, 輔助計算!$G$2:$G$801, 0)+1))="","",INDEX(ERP資料!$G:$G, (MATCH(979, 輔助計算!$G$2:$G$801, 0)+1))), "")</f>
        <v/>
      </c>
      <c r="I980" s="15">
        <f>IFERROR(INDEX(輔助計算!$D:$D, (MATCH(979, 輔助計算!$G$2:$G$801, 0)+1)), "")</f>
        <v/>
      </c>
      <c r="J980" s="15">
        <f>IFERROR(IF(AND(INDEX(輔助計算!$D:$D, (MATCH(979, 輔助計算!$G$2:$G$801, 0)+1))&lt;&gt;"", INDEX(ERP資料!$G:$G, (MATCH(979, 輔助計算!$G$2:$G$801, 0)+1))&lt;&gt;""), TRIM(IF(INT(INDEX(輔助計算!$D:$D, (MATCH(979, 輔助計算!$G$2:$G$801, 0)+1))/IF(INDEX(ERP資料!$G:$G, (MATCH(979, 輔助計算!$G$2:$G$801, 0)+1))&lt;100, IF(INDEX(ERP資料!$G:$G, (MATCH(979, 輔助計算!$G$2:$G$801, 0)+1))&lt;=31,3,IF(INDEX(ERP資料!$G:$G, (MATCH(979, 輔助計算!$G$2:$G$801, 0)+1))&lt;=46.5,2,1)), IF(INDEX(ERP資料!$G:$G, (MATCH(979, 輔助計算!$G$2:$G$801, 0)+1))&lt;=790,3,IF(INDEX(ERP資料!$G:$G, (MATCH(979, 輔助計算!$G$2:$G$801, 0)+1))&lt;=1181,2,1))))&gt;0, IF(IF(INDEX(ERP資料!$G:$G, (MATCH(979, 輔助計算!$G$2:$G$801, 0)+1))&lt;100, IF(INDEX(ERP資料!$G:$G, (MATCH(979, 輔助計算!$G$2:$G$801, 0)+1))&lt;=31,3,IF(INDEX(ERP資料!$G:$G, (MATCH(979, 輔助計算!$G$2:$G$801, 0)+1))&lt;=46.5,2,1)), IF(INDEX(ERP資料!$G:$G, (MATCH(979, 輔助計算!$G$2:$G$801, 0)+1))&lt;=790,3,IF(INDEX(ERP資料!$G:$G, (MATCH(979, 輔助計算!$G$2:$G$801, 0)+1))&lt;=1181,2,1)))=1,TEXT(INDEX(ERP資料!$G:$G, (MATCH(979, 輔助計算!$G$2:$G$801, 0)+1)),"0.##"),IF(IF(INDEX(ERP資料!$G:$G, (MATCH(979, 輔助計算!$G$2:$G$801, 0)+1))&lt;100, IF(INDEX(ERP資料!$G:$G, (MATCH(979, 輔助計算!$G$2:$G$801, 0)+1))&lt;=31,3,IF(INDEX(ERP資料!$G:$G, (MATCH(979, 輔助計算!$G$2:$G$801, 0)+1))&lt;=46.5,2,1)), IF(INDEX(ERP資料!$G:$G, (MATCH(979, 輔助計算!$G$2:$G$801, 0)+1))&lt;=790,3,IF(INDEX(ERP資料!$G:$G, (MATCH(979, 輔助計算!$G$2:$G$801, 0)+1))&lt;=1181,2,1)))=2,TEXT(INDEX(ERP資料!$G:$G, (MATCH(979, 輔助計算!$G$2:$G$801, 0)+1)),"0.##")&amp;"+"&amp;TEXT(INDEX(ERP資料!$G:$G, (MATCH(979, 輔助計算!$G$2:$G$801, 0)+1)),"0.##"),TEXT(INDEX(ERP資料!$G:$G, (MATCH(979, 輔助計算!$G$2:$G$801, 0)+1)),"0.##")&amp;"+"&amp;TEXT(INDEX(ERP資料!$G:$G, (MATCH(979, 輔助計算!$G$2:$G$801, 0)+1)),"0.##")&amp;"+"&amp;TEXT(INDEX(ERP資料!$G:$G, (MATCH(979, 輔助計算!$G$2:$G$801, 0)+1)),"0.##")))&amp;"-"&amp;INT(INDEX(輔助計算!$D:$D, (MATCH(979, 輔助計算!$G$2:$G$801, 0)+1))/IF(INDEX(ERP資料!$G:$G, (MATCH(979, 輔助計算!$G$2:$G$801, 0)+1))&lt;100, IF(INDEX(ERP資料!$G:$G, (MATCH(979, 輔助計算!$G$2:$G$801, 0)+1))&lt;=31,3,IF(INDEX(ERP資料!$G:$G, (MATCH(979, 輔助計算!$G$2:$G$801, 0)+1))&lt;=46.5,2,1)), IF(INDEX(ERP資料!$G:$G, (MATCH(979, 輔助計算!$G$2:$G$801, 0)+1))&lt;=790,3,IF(INDEX(ERP資料!$G:$G, (MATCH(979, 輔助計算!$G$2:$G$801, 0)+1))&lt;=1181,2,1)))), "")&amp;IF(AND(IF(INT(INDEX(輔助計算!$D:$D, (MATCH(979, 輔助計算!$G$2:$G$801, 0)+1))/IF(INDEX(ERP資料!$G:$G, (MATCH(979, 輔助計算!$G$2:$G$801, 0)+1))&lt;100, IF(INDEX(ERP資料!$G:$G, (MATCH(979, 輔助計算!$G$2:$G$801, 0)+1))&lt;=31,3,IF(INDEX(ERP資料!$G:$G, (MATCH(979, 輔助計算!$G$2:$G$801, 0)+1))&lt;=46.5,2,1)), IF(INDEX(ERP資料!$G:$G, (MATCH(979, 輔助計算!$G$2:$G$801, 0)+1))&lt;=790,3,IF(INDEX(ERP資料!$G:$G, (MATCH(979, 輔助計算!$G$2:$G$801, 0)+1))&lt;=1181,2,1))))&gt;0, IF(IF(INDEX(ERP資料!$G:$G, (MATCH(979, 輔助計算!$G$2:$G$801, 0)+1))&lt;100, IF(INDEX(ERP資料!$G:$G, (MATCH(979, 輔助計算!$G$2:$G$801, 0)+1))&lt;=31,3,IF(INDEX(ERP資料!$G:$G, (MATCH(979, 輔助計算!$G$2:$G$801, 0)+1))&lt;=46.5,2,1)), IF(INDEX(ERP資料!$G:$G, (MATCH(979, 輔助計算!$G$2:$G$801, 0)+1))&lt;=790,3,IF(INDEX(ERP資料!$G:$G, (MATCH(979, 輔助計算!$G$2:$G$801, 0)+1))&lt;=1181,2,1)))=1,TEXT(INDEX(ERP資料!$G:$G, (MATCH(979, 輔助計算!$G$2:$G$801, 0)+1)),"0.##"),IF(IF(INDEX(ERP資料!$G:$G, (MATCH(979, 輔助計算!$G$2:$G$801, 0)+1))&lt;100, IF(INDEX(ERP資料!$G:$G, (MATCH(979, 輔助計算!$G$2:$G$801, 0)+1))&lt;=31,3,IF(INDEX(ERP資料!$G:$G, (MATCH(979, 輔助計算!$G$2:$G$801, 0)+1))&lt;=46.5,2,1)), IF(INDEX(ERP資料!$G:$G, (MATCH(979, 輔助計算!$G$2:$G$801, 0)+1))&lt;=790,3,IF(INDEX(ERP資料!$G:$G, (MATCH(979, 輔助計算!$G$2:$G$801, 0)+1))&lt;=1181,2,1)))=2,TEXT(INDEX(ERP資料!$G:$G, (MATCH(979, 輔助計算!$G$2:$G$801, 0)+1)),"0.##")&amp;"+"&amp;TEXT(INDEX(ERP資料!$G:$G, (MATCH(979, 輔助計算!$G$2:$G$801, 0)+1)),"0.##"),TEXT(INDEX(ERP資料!$G:$G, (MATCH(979, 輔助計算!$G$2:$G$801, 0)+1)),"0.##")&amp;"+"&amp;TEXT(INDEX(ERP資料!$G:$G, (MATCH(979, 輔助計算!$G$2:$G$801, 0)+1)),"0.##")&amp;"+"&amp;TEXT(INDEX(ERP資料!$G:$G, (MATCH(979, 輔助計算!$G$2:$G$801, 0)+1)),"0.##")))&amp;"-"&amp;INT(INDEX(輔助計算!$D:$D, (MATCH(979, 輔助計算!$G$2:$G$801, 0)+1))/IF(INDEX(ERP資料!$G:$G, (MATCH(979, 輔助計算!$G$2:$G$801, 0)+1))&lt;100, IF(INDEX(ERP資料!$G:$G, (MATCH(979, 輔助計算!$G$2:$G$801, 0)+1))&lt;=31,3,IF(INDEX(ERP資料!$G:$G, (MATCH(979, 輔助計算!$G$2:$G$801, 0)+1))&lt;=46.5,2,1)), IF(INDEX(ERP資料!$G:$G, (MATCH(979, 輔助計算!$G$2:$G$801, 0)+1))&lt;=790,3,IF(INDEX(ERP資料!$G:$G, (MATCH(979, 輔助計算!$G$2:$G$801, 0)+1))&lt;=1181,2,1)))), "")&lt;&gt;"",IF(MOD(INDEX(輔助計算!$D:$D, (MATCH(979, 輔助計算!$G$2:$G$801, 0)+1)),IF(INDEX(ERP資料!$G:$G, (MATCH(979, 輔助計算!$G$2:$G$801, 0)+1))&lt;100, IF(INDEX(ERP資料!$G:$G, (MATCH(979, 輔助計算!$G$2:$G$801, 0)+1))&lt;=31,3,IF(INDEX(ERP資料!$G:$G, (MATCH(979, 輔助計算!$G$2:$G$801, 0)+1))&lt;=46.5,2,1)), IF(INDEX(ERP資料!$G:$G, (MATCH(979, 輔助計算!$G$2:$G$801, 0)+1))&lt;=790,3,IF(INDEX(ERP資料!$G:$G, (MATCH(979, 輔助計算!$G$2:$G$801, 0)+1))&lt;=1181,2,1))))=0,"",IF(MOD(INDEX(輔助計算!$D:$D, (MATCH(979, 輔助計算!$G$2:$G$801, 0)+1)),IF(INDEX(ERP資料!$G:$G, (MATCH(979, 輔助計算!$G$2:$G$801, 0)+1))&lt;100, IF(INDEX(ERP資料!$G:$G, (MATCH(979, 輔助計算!$G$2:$G$801, 0)+1))&lt;=31,3,IF(INDEX(ERP資料!$G:$G, (MATCH(979, 輔助計算!$G$2:$G$801, 0)+1))&lt;=46.5,2,1)), IF(INDEX(ERP資料!$G:$G, (MATCH(979, 輔助計算!$G$2:$G$801, 0)+1))&lt;=790,3,IF(INDEX(ERP資料!$G:$G, (MATCH(979, 輔助計算!$G$2:$G$801, 0)+1))&lt;=1181,2,1))))=0,"",IF(MOD(INDEX(輔助計算!$D:$D, (MATCH(979, 輔助計算!$G$2:$G$801, 0)+1)),IF(INDEX(ERP資料!$G:$G, (MATCH(979, 輔助計算!$G$2:$G$801, 0)+1))&lt;100, IF(INDEX(ERP資料!$G:$G, (MATCH(979, 輔助計算!$G$2:$G$801, 0)+1))&lt;=31,3,IF(INDEX(ERP資料!$G:$G, (MATCH(979, 輔助計算!$G$2:$G$801, 0)+1))&lt;=46.5,2,1)), IF(INDEX(ERP資料!$G:$G, (MATCH(979, 輔助計算!$G$2:$G$801, 0)+1))&lt;=790,3,IF(INDEX(ERP資料!$G:$G, (MATCH(979, 輔助計算!$G$2:$G$801, 0)+1))&lt;=1181,2,1))))=1,TEXT(INDEX(ERP資料!$G:$G, (MATCH(979, 輔助計算!$G$2:$G$801, 0)+1)),"0.##"),IF(MOD(INDEX(輔助計算!$D:$D, (MATCH(979, 輔助計算!$G$2:$G$801, 0)+1)),IF(INDEX(ERP資料!$G:$G, (MATCH(979, 輔助計算!$G$2:$G$801, 0)+1))&lt;100, IF(INDEX(ERP資料!$G:$G, (MATCH(979, 輔助計算!$G$2:$G$801, 0)+1))&lt;=31,3,IF(INDEX(ERP資料!$G:$G, (MATCH(979, 輔助計算!$G$2:$G$801, 0)+1))&lt;=46.5,2,1)), IF(INDEX(ERP資料!$G:$G, (MATCH(979, 輔助計算!$G$2:$G$801, 0)+1))&lt;=790,3,IF(INDEX(ERP資料!$G:$G, (MATCH(979, 輔助計算!$G$2:$G$801, 0)+1))&lt;=1181,2,1))))=2,TEXT(INDEX(ERP資料!$G:$G, (MATCH(979, 輔助計算!$G$2:$G$801, 0)+1)),"0.##")&amp;"+"&amp;TEXT(INDEX(ERP資料!$G:$G, (MATCH(979, 輔助計算!$G$2:$G$801, 0)+1)),"0.##"),TEXT(INDEX(ERP資料!$G:$G, (MATCH(979, 輔助計算!$G$2:$G$801, 0)+1)),"0.##")&amp;"+"&amp;TEXT(INDEX(ERP資料!$G:$G, (MATCH(979, 輔助計算!$G$2:$G$801, 0)+1)),"0.##")&amp;"+"&amp;TEXT(INDEX(ERP資料!$G:$G, (MATCH(979, 輔助計算!$G$2:$G$801, 0)+1)),"0.##"))))&amp;"-1")&lt;&gt;""),"  ","")&amp;IF(MOD(INDEX(輔助計算!$D:$D, (MATCH(979, 輔助計算!$G$2:$G$801, 0)+1)),IF(INDEX(ERP資料!$G:$G, (MATCH(979, 輔助計算!$G$2:$G$801, 0)+1))&lt;100, IF(INDEX(ERP資料!$G:$G, (MATCH(979, 輔助計算!$G$2:$G$801, 0)+1))&lt;=31,3,IF(INDEX(ERP資料!$G:$G, (MATCH(979, 輔助計算!$G$2:$G$801, 0)+1))&lt;=46.5,2,1)), IF(INDEX(ERP資料!$G:$G, (MATCH(979, 輔助計算!$G$2:$G$801, 0)+1))&lt;=790,3,IF(INDEX(ERP資料!$G:$G, (MATCH(979, 輔助計算!$G$2:$G$801, 0)+1))&lt;=1181,2,1))))=0,"",IF(MOD(INDEX(輔助計算!$D:$D, (MATCH(979, 輔助計算!$G$2:$G$801, 0)+1)),IF(INDEX(ERP資料!$G:$G, (MATCH(979, 輔助計算!$G$2:$G$801, 0)+1))&lt;100, IF(INDEX(ERP資料!$G:$G, (MATCH(979, 輔助計算!$G$2:$G$801, 0)+1))&lt;=31,3,IF(INDEX(ERP資料!$G:$G, (MATCH(979, 輔助計算!$G$2:$G$801, 0)+1))&lt;=46.5,2,1)), IF(INDEX(ERP資料!$G:$G, (MATCH(979, 輔助計算!$G$2:$G$801, 0)+1))&lt;=790,3,IF(INDEX(ERP資料!$G:$G, (MATCH(979, 輔助計算!$G$2:$G$801, 0)+1))&lt;=1181,2,1))))=0,"",IF(MOD(INDEX(輔助計算!$D:$D, (MATCH(979, 輔助計算!$G$2:$G$801, 0)+1)),IF(INDEX(ERP資料!$G:$G, (MATCH(979, 輔助計算!$G$2:$G$801, 0)+1))&lt;100, IF(INDEX(ERP資料!$G:$G, (MATCH(979, 輔助計算!$G$2:$G$801, 0)+1))&lt;=31,3,IF(INDEX(ERP資料!$G:$G, (MATCH(979, 輔助計算!$G$2:$G$801, 0)+1))&lt;=46.5,2,1)), IF(INDEX(ERP資料!$G:$G, (MATCH(979, 輔助計算!$G$2:$G$801, 0)+1))&lt;=790,3,IF(INDEX(ERP資料!$G:$G, (MATCH(979, 輔助計算!$G$2:$G$801, 0)+1))&lt;=1181,2,1))))=1,TEXT(INDEX(ERP資料!$G:$G, (MATCH(979, 輔助計算!$G$2:$G$801, 0)+1)),"0.##"),IF(MOD(INDEX(輔助計算!$D:$D, (MATCH(979, 輔助計算!$G$2:$G$801, 0)+1)),IF(INDEX(ERP資料!$G:$G, (MATCH(979, 輔助計算!$G$2:$G$801, 0)+1))&lt;100, IF(INDEX(ERP資料!$G:$G, (MATCH(979, 輔助計算!$G$2:$G$801, 0)+1))&lt;=31,3,IF(INDEX(ERP資料!$G:$G, (MATCH(979, 輔助計算!$G$2:$G$801, 0)+1))&lt;=46.5,2,1)), IF(INDEX(ERP資料!$G:$G, (MATCH(979, 輔助計算!$G$2:$G$801, 0)+1))&lt;=790,3,IF(INDEX(ERP資料!$G:$G, (MATCH(979, 輔助計算!$G$2:$G$801, 0)+1))&lt;=1181,2,1))))=2,TEXT(INDEX(ERP資料!$G:$G, (MATCH(979, 輔助計算!$G$2:$G$801, 0)+1)),"0.##")&amp;"+"&amp;TEXT(INDEX(ERP資料!$G:$G, (MATCH(979, 輔助計算!$G$2:$G$801, 0)+1)),"0.##"),TEXT(INDEX(ERP資料!$G:$G, (MATCH(979, 輔助計算!$G$2:$G$801, 0)+1)),"0.##")&amp;"+"&amp;TEXT(INDEX(ERP資料!$G:$G, (MATCH(979, 輔助計算!$G$2:$G$801, 0)+1)),"0.##")&amp;"+"&amp;TEXT(INDEX(ERP資料!$G:$G, (MATCH(979, 輔助計算!$G$2:$G$801, 0)+1)),"0.##"))))&amp;"-1")), ""), "")</f>
        <v/>
      </c>
      <c r="K980" s="16" t="n"/>
      <c r="L980" s="14">
        <f>IFERROR(IF(AND(IFERROR(INDEX(ERP資料!$A:$A, (MATCH(979, 輔助計算!$G$2:$G$801, 0)+1)), "")&lt;&gt;"", IFERROR(INDEX(ERP資料!$A:$A, (MATCH(979, 輔助計算!$G$2:$G$801, 0)+1)), "")&lt;&gt;IFERROR(INDEX(ERP資料!$A:$A, MATCH(978, 輔助計算!$G$2:$G$801, 0)+1), "")), INDEX(ERP資料!$B:$B, (MATCH(979, 輔助計算!$G$2:$G$801, 0)+1)), ""), "")</f>
        <v/>
      </c>
      <c r="M980" s="17" t="n"/>
    </row>
    <row r="981">
      <c r="A981" s="10">
        <f>IFERROR(IF(AND(IFERROR(INDEX(ERP資料!$A:$A, (MATCH(980, 輔助計算!$G$2:$G$801, 0)+1)), "")&lt;&gt;"", IFERROR(INDEX(ERP資料!$A:$A, (MATCH(980, 輔助計算!$G$2:$G$801, 0)+1)), "")&lt;&gt;IFERROR(INDEX(ERP資料!$A:$A, MATCH(979, 輔助計算!$G$2:$G$801, 0)+1), "")), IFERROR(INDEX(ERP資料!$A:$A, (MATCH(980, 輔助計算!$G$2:$G$801, 0)+1)), ""), ""), "")</f>
        <v/>
      </c>
      <c r="B981" s="10">
        <f>IFERROR(IF(AND(IFERROR(INDEX(ERP資料!$A:$A, (MATCH(980, 輔助計算!$G$2:$G$801, 0)+1)), "")&lt;&gt;"", IFERROR(INDEX(ERP資料!$A:$A, (MATCH(980, 輔助計算!$G$2:$G$801, 0)+1)), "")&lt;&gt;IFERROR(INDEX(ERP資料!$A:$A, MATCH(979, 輔助計算!$G$2:$G$801, 0)+1), "")), INDEX(ERP資料!$S:$S, (MATCH(980, 輔助計算!$G$2:$G$801, 0)+1)), ""), "")</f>
        <v/>
      </c>
      <c r="C981" s="19">
        <f>IFERROR(IF(AND(IFERROR(INDEX(ERP資料!$A:$A, (MATCH(980, 輔助計算!$G$2:$G$801, 0)+1)), "")&lt;&gt;"", IFERROR(INDEX(ERP資料!$A:$A, (MATCH(980, 輔助計算!$G$2:$G$801, 0)+1)), "")&lt;&gt;IFERROR(INDEX(ERP資料!$A:$A, MATCH(979, 輔助計算!$G$2:$G$801, 0)+1), "")), IFERROR(VLOOKUP(LEFT(INDEX(ERP資料!$S:$S, (MATCH(980, 輔助計算!$G$2:$G$801, 0)+1)), 4), 紙管對照表!$A:$C, 3, FALSE), ""), ""), "")</f>
        <v/>
      </c>
      <c r="D981" s="16" t="n"/>
      <c r="E981" s="10">
        <f>IFERROR(IF(INDEX(ERP資料!$H:$H, (MATCH(980, 輔助計算!$G$2:$G$801, 0)+1))="","",INDEX(ERP資料!$H:$H, (MATCH(980, 輔助計算!$G$2:$G$801, 0)+1))), "")</f>
        <v/>
      </c>
      <c r="F981" s="10">
        <f>IFERROR(IF(INDEX(ERP資料!$E:$E, (MATCH(980, 輔助計算!$G$2:$G$801, 0)+1))="","",TRIM(INDEX(ERP資料!$E:$E, (MATCH(980, 輔助計算!$G$2:$G$801, 0)+1)))), "")</f>
        <v/>
      </c>
      <c r="G981" s="10">
        <f>IFERROR(IF(INDEX(ERP資料!$F:$F, (MATCH(980, 輔助計算!$G$2:$G$801, 0)+1))="","",INDEX(ERP資料!$F:$F, (MATCH(980, 輔助計算!$G$2:$G$801, 0)+1))), "")</f>
        <v/>
      </c>
      <c r="H981" s="10">
        <f>IFERROR(IF(INDEX(ERP資料!$G:$G, (MATCH(980, 輔助計算!$G$2:$G$801, 0)+1))="","",INDEX(ERP資料!$G:$G, (MATCH(980, 輔助計算!$G$2:$G$801, 0)+1))), "")</f>
        <v/>
      </c>
      <c r="I981" s="15">
        <f>IFERROR(INDEX(輔助計算!$D:$D, (MATCH(980, 輔助計算!$G$2:$G$801, 0)+1)), "")</f>
        <v/>
      </c>
      <c r="J981" s="15">
        <f>IFERROR(IF(AND(INDEX(輔助計算!$D:$D, (MATCH(980, 輔助計算!$G$2:$G$801, 0)+1))&lt;&gt;"", INDEX(ERP資料!$G:$G, (MATCH(980, 輔助計算!$G$2:$G$801, 0)+1))&lt;&gt;""), TRIM(IF(INT(INDEX(輔助計算!$D:$D, (MATCH(980, 輔助計算!$G$2:$G$801, 0)+1))/IF(INDEX(ERP資料!$G:$G, (MATCH(980, 輔助計算!$G$2:$G$801, 0)+1))&lt;100, IF(INDEX(ERP資料!$G:$G, (MATCH(980, 輔助計算!$G$2:$G$801, 0)+1))&lt;=31,3,IF(INDEX(ERP資料!$G:$G, (MATCH(980, 輔助計算!$G$2:$G$801, 0)+1))&lt;=46.5,2,1)), IF(INDEX(ERP資料!$G:$G, (MATCH(980, 輔助計算!$G$2:$G$801, 0)+1))&lt;=790,3,IF(INDEX(ERP資料!$G:$G, (MATCH(980, 輔助計算!$G$2:$G$801, 0)+1))&lt;=1181,2,1))))&gt;0, IF(IF(INDEX(ERP資料!$G:$G, (MATCH(980, 輔助計算!$G$2:$G$801, 0)+1))&lt;100, IF(INDEX(ERP資料!$G:$G, (MATCH(980, 輔助計算!$G$2:$G$801, 0)+1))&lt;=31,3,IF(INDEX(ERP資料!$G:$G, (MATCH(980, 輔助計算!$G$2:$G$801, 0)+1))&lt;=46.5,2,1)), IF(INDEX(ERP資料!$G:$G, (MATCH(980, 輔助計算!$G$2:$G$801, 0)+1))&lt;=790,3,IF(INDEX(ERP資料!$G:$G, (MATCH(980, 輔助計算!$G$2:$G$801, 0)+1))&lt;=1181,2,1)))=1,TEXT(INDEX(ERP資料!$G:$G, (MATCH(980, 輔助計算!$G$2:$G$801, 0)+1)),"0.##"),IF(IF(INDEX(ERP資料!$G:$G, (MATCH(980, 輔助計算!$G$2:$G$801, 0)+1))&lt;100, IF(INDEX(ERP資料!$G:$G, (MATCH(980, 輔助計算!$G$2:$G$801, 0)+1))&lt;=31,3,IF(INDEX(ERP資料!$G:$G, (MATCH(980, 輔助計算!$G$2:$G$801, 0)+1))&lt;=46.5,2,1)), IF(INDEX(ERP資料!$G:$G, (MATCH(980, 輔助計算!$G$2:$G$801, 0)+1))&lt;=790,3,IF(INDEX(ERP資料!$G:$G, (MATCH(980, 輔助計算!$G$2:$G$801, 0)+1))&lt;=1181,2,1)))=2,TEXT(INDEX(ERP資料!$G:$G, (MATCH(980, 輔助計算!$G$2:$G$801, 0)+1)),"0.##")&amp;"+"&amp;TEXT(INDEX(ERP資料!$G:$G, (MATCH(980, 輔助計算!$G$2:$G$801, 0)+1)),"0.##"),TEXT(INDEX(ERP資料!$G:$G, (MATCH(980, 輔助計算!$G$2:$G$801, 0)+1)),"0.##")&amp;"+"&amp;TEXT(INDEX(ERP資料!$G:$G, (MATCH(980, 輔助計算!$G$2:$G$801, 0)+1)),"0.##")&amp;"+"&amp;TEXT(INDEX(ERP資料!$G:$G, (MATCH(980, 輔助計算!$G$2:$G$801, 0)+1)),"0.##")))&amp;"-"&amp;INT(INDEX(輔助計算!$D:$D, (MATCH(980, 輔助計算!$G$2:$G$801, 0)+1))/IF(INDEX(ERP資料!$G:$G, (MATCH(980, 輔助計算!$G$2:$G$801, 0)+1))&lt;100, IF(INDEX(ERP資料!$G:$G, (MATCH(980, 輔助計算!$G$2:$G$801, 0)+1))&lt;=31,3,IF(INDEX(ERP資料!$G:$G, (MATCH(980, 輔助計算!$G$2:$G$801, 0)+1))&lt;=46.5,2,1)), IF(INDEX(ERP資料!$G:$G, (MATCH(980, 輔助計算!$G$2:$G$801, 0)+1))&lt;=790,3,IF(INDEX(ERP資料!$G:$G, (MATCH(980, 輔助計算!$G$2:$G$801, 0)+1))&lt;=1181,2,1)))), "")&amp;IF(AND(IF(INT(INDEX(輔助計算!$D:$D, (MATCH(980, 輔助計算!$G$2:$G$801, 0)+1))/IF(INDEX(ERP資料!$G:$G, (MATCH(980, 輔助計算!$G$2:$G$801, 0)+1))&lt;100, IF(INDEX(ERP資料!$G:$G, (MATCH(980, 輔助計算!$G$2:$G$801, 0)+1))&lt;=31,3,IF(INDEX(ERP資料!$G:$G, (MATCH(980, 輔助計算!$G$2:$G$801, 0)+1))&lt;=46.5,2,1)), IF(INDEX(ERP資料!$G:$G, (MATCH(980, 輔助計算!$G$2:$G$801, 0)+1))&lt;=790,3,IF(INDEX(ERP資料!$G:$G, (MATCH(980, 輔助計算!$G$2:$G$801, 0)+1))&lt;=1181,2,1))))&gt;0, IF(IF(INDEX(ERP資料!$G:$G, (MATCH(980, 輔助計算!$G$2:$G$801, 0)+1))&lt;100, IF(INDEX(ERP資料!$G:$G, (MATCH(980, 輔助計算!$G$2:$G$801, 0)+1))&lt;=31,3,IF(INDEX(ERP資料!$G:$G, (MATCH(980, 輔助計算!$G$2:$G$801, 0)+1))&lt;=46.5,2,1)), IF(INDEX(ERP資料!$G:$G, (MATCH(980, 輔助計算!$G$2:$G$801, 0)+1))&lt;=790,3,IF(INDEX(ERP資料!$G:$G, (MATCH(980, 輔助計算!$G$2:$G$801, 0)+1))&lt;=1181,2,1)))=1,TEXT(INDEX(ERP資料!$G:$G, (MATCH(980, 輔助計算!$G$2:$G$801, 0)+1)),"0.##"),IF(IF(INDEX(ERP資料!$G:$G, (MATCH(980, 輔助計算!$G$2:$G$801, 0)+1))&lt;100, IF(INDEX(ERP資料!$G:$G, (MATCH(980, 輔助計算!$G$2:$G$801, 0)+1))&lt;=31,3,IF(INDEX(ERP資料!$G:$G, (MATCH(980, 輔助計算!$G$2:$G$801, 0)+1))&lt;=46.5,2,1)), IF(INDEX(ERP資料!$G:$G, (MATCH(980, 輔助計算!$G$2:$G$801, 0)+1))&lt;=790,3,IF(INDEX(ERP資料!$G:$G, (MATCH(980, 輔助計算!$G$2:$G$801, 0)+1))&lt;=1181,2,1)))=2,TEXT(INDEX(ERP資料!$G:$G, (MATCH(980, 輔助計算!$G$2:$G$801, 0)+1)),"0.##")&amp;"+"&amp;TEXT(INDEX(ERP資料!$G:$G, (MATCH(980, 輔助計算!$G$2:$G$801, 0)+1)),"0.##"),TEXT(INDEX(ERP資料!$G:$G, (MATCH(980, 輔助計算!$G$2:$G$801, 0)+1)),"0.##")&amp;"+"&amp;TEXT(INDEX(ERP資料!$G:$G, (MATCH(980, 輔助計算!$G$2:$G$801, 0)+1)),"0.##")&amp;"+"&amp;TEXT(INDEX(ERP資料!$G:$G, (MATCH(980, 輔助計算!$G$2:$G$801, 0)+1)),"0.##")))&amp;"-"&amp;INT(INDEX(輔助計算!$D:$D, (MATCH(980, 輔助計算!$G$2:$G$801, 0)+1))/IF(INDEX(ERP資料!$G:$G, (MATCH(980, 輔助計算!$G$2:$G$801, 0)+1))&lt;100, IF(INDEX(ERP資料!$G:$G, (MATCH(980, 輔助計算!$G$2:$G$801, 0)+1))&lt;=31,3,IF(INDEX(ERP資料!$G:$G, (MATCH(980, 輔助計算!$G$2:$G$801, 0)+1))&lt;=46.5,2,1)), IF(INDEX(ERP資料!$G:$G, (MATCH(980, 輔助計算!$G$2:$G$801, 0)+1))&lt;=790,3,IF(INDEX(ERP資料!$G:$G, (MATCH(980, 輔助計算!$G$2:$G$801, 0)+1))&lt;=1181,2,1)))), "")&lt;&gt;"",IF(MOD(INDEX(輔助計算!$D:$D, (MATCH(980, 輔助計算!$G$2:$G$801, 0)+1)),IF(INDEX(ERP資料!$G:$G, (MATCH(980, 輔助計算!$G$2:$G$801, 0)+1))&lt;100, IF(INDEX(ERP資料!$G:$G, (MATCH(980, 輔助計算!$G$2:$G$801, 0)+1))&lt;=31,3,IF(INDEX(ERP資料!$G:$G, (MATCH(980, 輔助計算!$G$2:$G$801, 0)+1))&lt;=46.5,2,1)), IF(INDEX(ERP資料!$G:$G, (MATCH(980, 輔助計算!$G$2:$G$801, 0)+1))&lt;=790,3,IF(INDEX(ERP資料!$G:$G, (MATCH(980, 輔助計算!$G$2:$G$801, 0)+1))&lt;=1181,2,1))))=0,"",IF(MOD(INDEX(輔助計算!$D:$D, (MATCH(980, 輔助計算!$G$2:$G$801, 0)+1)),IF(INDEX(ERP資料!$G:$G, (MATCH(980, 輔助計算!$G$2:$G$801, 0)+1))&lt;100, IF(INDEX(ERP資料!$G:$G, (MATCH(980, 輔助計算!$G$2:$G$801, 0)+1))&lt;=31,3,IF(INDEX(ERP資料!$G:$G, (MATCH(980, 輔助計算!$G$2:$G$801, 0)+1))&lt;=46.5,2,1)), IF(INDEX(ERP資料!$G:$G, (MATCH(980, 輔助計算!$G$2:$G$801, 0)+1))&lt;=790,3,IF(INDEX(ERP資料!$G:$G, (MATCH(980, 輔助計算!$G$2:$G$801, 0)+1))&lt;=1181,2,1))))=0,"",IF(MOD(INDEX(輔助計算!$D:$D, (MATCH(980, 輔助計算!$G$2:$G$801, 0)+1)),IF(INDEX(ERP資料!$G:$G, (MATCH(980, 輔助計算!$G$2:$G$801, 0)+1))&lt;100, IF(INDEX(ERP資料!$G:$G, (MATCH(980, 輔助計算!$G$2:$G$801, 0)+1))&lt;=31,3,IF(INDEX(ERP資料!$G:$G, (MATCH(980, 輔助計算!$G$2:$G$801, 0)+1))&lt;=46.5,2,1)), IF(INDEX(ERP資料!$G:$G, (MATCH(980, 輔助計算!$G$2:$G$801, 0)+1))&lt;=790,3,IF(INDEX(ERP資料!$G:$G, (MATCH(980, 輔助計算!$G$2:$G$801, 0)+1))&lt;=1181,2,1))))=1,TEXT(INDEX(ERP資料!$G:$G, (MATCH(980, 輔助計算!$G$2:$G$801, 0)+1)),"0.##"),IF(MOD(INDEX(輔助計算!$D:$D, (MATCH(980, 輔助計算!$G$2:$G$801, 0)+1)),IF(INDEX(ERP資料!$G:$G, (MATCH(980, 輔助計算!$G$2:$G$801, 0)+1))&lt;100, IF(INDEX(ERP資料!$G:$G, (MATCH(980, 輔助計算!$G$2:$G$801, 0)+1))&lt;=31,3,IF(INDEX(ERP資料!$G:$G, (MATCH(980, 輔助計算!$G$2:$G$801, 0)+1))&lt;=46.5,2,1)), IF(INDEX(ERP資料!$G:$G, (MATCH(980, 輔助計算!$G$2:$G$801, 0)+1))&lt;=790,3,IF(INDEX(ERP資料!$G:$G, (MATCH(980, 輔助計算!$G$2:$G$801, 0)+1))&lt;=1181,2,1))))=2,TEXT(INDEX(ERP資料!$G:$G, (MATCH(980, 輔助計算!$G$2:$G$801, 0)+1)),"0.##")&amp;"+"&amp;TEXT(INDEX(ERP資料!$G:$G, (MATCH(980, 輔助計算!$G$2:$G$801, 0)+1)),"0.##"),TEXT(INDEX(ERP資料!$G:$G, (MATCH(980, 輔助計算!$G$2:$G$801, 0)+1)),"0.##")&amp;"+"&amp;TEXT(INDEX(ERP資料!$G:$G, (MATCH(980, 輔助計算!$G$2:$G$801, 0)+1)),"0.##")&amp;"+"&amp;TEXT(INDEX(ERP資料!$G:$G, (MATCH(980, 輔助計算!$G$2:$G$801, 0)+1)),"0.##"))))&amp;"-1")&lt;&gt;""),"  ","")&amp;IF(MOD(INDEX(輔助計算!$D:$D, (MATCH(980, 輔助計算!$G$2:$G$801, 0)+1)),IF(INDEX(ERP資料!$G:$G, (MATCH(980, 輔助計算!$G$2:$G$801, 0)+1))&lt;100, IF(INDEX(ERP資料!$G:$G, (MATCH(980, 輔助計算!$G$2:$G$801, 0)+1))&lt;=31,3,IF(INDEX(ERP資料!$G:$G, (MATCH(980, 輔助計算!$G$2:$G$801, 0)+1))&lt;=46.5,2,1)), IF(INDEX(ERP資料!$G:$G, (MATCH(980, 輔助計算!$G$2:$G$801, 0)+1))&lt;=790,3,IF(INDEX(ERP資料!$G:$G, (MATCH(980, 輔助計算!$G$2:$G$801, 0)+1))&lt;=1181,2,1))))=0,"",IF(MOD(INDEX(輔助計算!$D:$D, (MATCH(980, 輔助計算!$G$2:$G$801, 0)+1)),IF(INDEX(ERP資料!$G:$G, (MATCH(980, 輔助計算!$G$2:$G$801, 0)+1))&lt;100, IF(INDEX(ERP資料!$G:$G, (MATCH(980, 輔助計算!$G$2:$G$801, 0)+1))&lt;=31,3,IF(INDEX(ERP資料!$G:$G, (MATCH(980, 輔助計算!$G$2:$G$801, 0)+1))&lt;=46.5,2,1)), IF(INDEX(ERP資料!$G:$G, (MATCH(980, 輔助計算!$G$2:$G$801, 0)+1))&lt;=790,3,IF(INDEX(ERP資料!$G:$G, (MATCH(980, 輔助計算!$G$2:$G$801, 0)+1))&lt;=1181,2,1))))=0,"",IF(MOD(INDEX(輔助計算!$D:$D, (MATCH(980, 輔助計算!$G$2:$G$801, 0)+1)),IF(INDEX(ERP資料!$G:$G, (MATCH(980, 輔助計算!$G$2:$G$801, 0)+1))&lt;100, IF(INDEX(ERP資料!$G:$G, (MATCH(980, 輔助計算!$G$2:$G$801, 0)+1))&lt;=31,3,IF(INDEX(ERP資料!$G:$G, (MATCH(980, 輔助計算!$G$2:$G$801, 0)+1))&lt;=46.5,2,1)), IF(INDEX(ERP資料!$G:$G, (MATCH(980, 輔助計算!$G$2:$G$801, 0)+1))&lt;=790,3,IF(INDEX(ERP資料!$G:$G, (MATCH(980, 輔助計算!$G$2:$G$801, 0)+1))&lt;=1181,2,1))))=1,TEXT(INDEX(ERP資料!$G:$G, (MATCH(980, 輔助計算!$G$2:$G$801, 0)+1)),"0.##"),IF(MOD(INDEX(輔助計算!$D:$D, (MATCH(980, 輔助計算!$G$2:$G$801, 0)+1)),IF(INDEX(ERP資料!$G:$G, (MATCH(980, 輔助計算!$G$2:$G$801, 0)+1))&lt;100, IF(INDEX(ERP資料!$G:$G, (MATCH(980, 輔助計算!$G$2:$G$801, 0)+1))&lt;=31,3,IF(INDEX(ERP資料!$G:$G, (MATCH(980, 輔助計算!$G$2:$G$801, 0)+1))&lt;=46.5,2,1)), IF(INDEX(ERP資料!$G:$G, (MATCH(980, 輔助計算!$G$2:$G$801, 0)+1))&lt;=790,3,IF(INDEX(ERP資料!$G:$G, (MATCH(980, 輔助計算!$G$2:$G$801, 0)+1))&lt;=1181,2,1))))=2,TEXT(INDEX(ERP資料!$G:$G, (MATCH(980, 輔助計算!$G$2:$G$801, 0)+1)),"0.##")&amp;"+"&amp;TEXT(INDEX(ERP資料!$G:$G, (MATCH(980, 輔助計算!$G$2:$G$801, 0)+1)),"0.##"),TEXT(INDEX(ERP資料!$G:$G, (MATCH(980, 輔助計算!$G$2:$G$801, 0)+1)),"0.##")&amp;"+"&amp;TEXT(INDEX(ERP資料!$G:$G, (MATCH(980, 輔助計算!$G$2:$G$801, 0)+1)),"0.##")&amp;"+"&amp;TEXT(INDEX(ERP資料!$G:$G, (MATCH(980, 輔助計算!$G$2:$G$801, 0)+1)),"0.##"))))&amp;"-1")), ""), "")</f>
        <v/>
      </c>
      <c r="K981" s="16" t="n"/>
      <c r="L981" s="14">
        <f>IFERROR(IF(AND(IFERROR(INDEX(ERP資料!$A:$A, (MATCH(980, 輔助計算!$G$2:$G$801, 0)+1)), "")&lt;&gt;"", IFERROR(INDEX(ERP資料!$A:$A, (MATCH(980, 輔助計算!$G$2:$G$801, 0)+1)), "")&lt;&gt;IFERROR(INDEX(ERP資料!$A:$A, MATCH(979, 輔助計算!$G$2:$G$801, 0)+1), "")), INDEX(ERP資料!$B:$B, (MATCH(980, 輔助計算!$G$2:$G$801, 0)+1)), ""), "")</f>
        <v/>
      </c>
      <c r="M981" s="17" t="n"/>
    </row>
    <row r="982">
      <c r="A982" s="10">
        <f>IFERROR(IF(AND(IFERROR(INDEX(ERP資料!$A:$A, (MATCH(981, 輔助計算!$G$2:$G$801, 0)+1)), "")&lt;&gt;"", IFERROR(INDEX(ERP資料!$A:$A, (MATCH(981, 輔助計算!$G$2:$G$801, 0)+1)), "")&lt;&gt;IFERROR(INDEX(ERP資料!$A:$A, MATCH(980, 輔助計算!$G$2:$G$801, 0)+1), "")), IFERROR(INDEX(ERP資料!$A:$A, (MATCH(981, 輔助計算!$G$2:$G$801, 0)+1)), ""), ""), "")</f>
        <v/>
      </c>
      <c r="B982" s="10">
        <f>IFERROR(IF(AND(IFERROR(INDEX(ERP資料!$A:$A, (MATCH(981, 輔助計算!$G$2:$G$801, 0)+1)), "")&lt;&gt;"", IFERROR(INDEX(ERP資料!$A:$A, (MATCH(981, 輔助計算!$G$2:$G$801, 0)+1)), "")&lt;&gt;IFERROR(INDEX(ERP資料!$A:$A, MATCH(980, 輔助計算!$G$2:$G$801, 0)+1), "")), INDEX(ERP資料!$S:$S, (MATCH(981, 輔助計算!$G$2:$G$801, 0)+1)), ""), "")</f>
        <v/>
      </c>
      <c r="C982" s="19">
        <f>IFERROR(IF(AND(IFERROR(INDEX(ERP資料!$A:$A, (MATCH(981, 輔助計算!$G$2:$G$801, 0)+1)), "")&lt;&gt;"", IFERROR(INDEX(ERP資料!$A:$A, (MATCH(981, 輔助計算!$G$2:$G$801, 0)+1)), "")&lt;&gt;IFERROR(INDEX(ERP資料!$A:$A, MATCH(980, 輔助計算!$G$2:$G$801, 0)+1), "")), IFERROR(VLOOKUP(LEFT(INDEX(ERP資料!$S:$S, (MATCH(981, 輔助計算!$G$2:$G$801, 0)+1)), 4), 紙管對照表!$A:$C, 3, FALSE), ""), ""), "")</f>
        <v/>
      </c>
      <c r="D982" s="16" t="n"/>
      <c r="E982" s="10">
        <f>IFERROR(IF(INDEX(ERP資料!$H:$H, (MATCH(981, 輔助計算!$G$2:$G$801, 0)+1))="","",INDEX(ERP資料!$H:$H, (MATCH(981, 輔助計算!$G$2:$G$801, 0)+1))), "")</f>
        <v/>
      </c>
      <c r="F982" s="10">
        <f>IFERROR(IF(INDEX(ERP資料!$E:$E, (MATCH(981, 輔助計算!$G$2:$G$801, 0)+1))="","",TRIM(INDEX(ERP資料!$E:$E, (MATCH(981, 輔助計算!$G$2:$G$801, 0)+1)))), "")</f>
        <v/>
      </c>
      <c r="G982" s="10">
        <f>IFERROR(IF(INDEX(ERP資料!$F:$F, (MATCH(981, 輔助計算!$G$2:$G$801, 0)+1))="","",INDEX(ERP資料!$F:$F, (MATCH(981, 輔助計算!$G$2:$G$801, 0)+1))), "")</f>
        <v/>
      </c>
      <c r="H982" s="10">
        <f>IFERROR(IF(INDEX(ERP資料!$G:$G, (MATCH(981, 輔助計算!$G$2:$G$801, 0)+1))="","",INDEX(ERP資料!$G:$G, (MATCH(981, 輔助計算!$G$2:$G$801, 0)+1))), "")</f>
        <v/>
      </c>
      <c r="I982" s="15">
        <f>IFERROR(INDEX(輔助計算!$D:$D, (MATCH(981, 輔助計算!$G$2:$G$801, 0)+1)), "")</f>
        <v/>
      </c>
      <c r="J982" s="15">
        <f>IFERROR(IF(AND(INDEX(輔助計算!$D:$D, (MATCH(981, 輔助計算!$G$2:$G$801, 0)+1))&lt;&gt;"", INDEX(ERP資料!$G:$G, (MATCH(981, 輔助計算!$G$2:$G$801, 0)+1))&lt;&gt;""), TRIM(IF(INT(INDEX(輔助計算!$D:$D, (MATCH(981, 輔助計算!$G$2:$G$801, 0)+1))/IF(INDEX(ERP資料!$G:$G, (MATCH(981, 輔助計算!$G$2:$G$801, 0)+1))&lt;100, IF(INDEX(ERP資料!$G:$G, (MATCH(981, 輔助計算!$G$2:$G$801, 0)+1))&lt;=31,3,IF(INDEX(ERP資料!$G:$G, (MATCH(981, 輔助計算!$G$2:$G$801, 0)+1))&lt;=46.5,2,1)), IF(INDEX(ERP資料!$G:$G, (MATCH(981, 輔助計算!$G$2:$G$801, 0)+1))&lt;=790,3,IF(INDEX(ERP資料!$G:$G, (MATCH(981, 輔助計算!$G$2:$G$801, 0)+1))&lt;=1181,2,1))))&gt;0, IF(IF(INDEX(ERP資料!$G:$G, (MATCH(981, 輔助計算!$G$2:$G$801, 0)+1))&lt;100, IF(INDEX(ERP資料!$G:$G, (MATCH(981, 輔助計算!$G$2:$G$801, 0)+1))&lt;=31,3,IF(INDEX(ERP資料!$G:$G, (MATCH(981, 輔助計算!$G$2:$G$801, 0)+1))&lt;=46.5,2,1)), IF(INDEX(ERP資料!$G:$G, (MATCH(981, 輔助計算!$G$2:$G$801, 0)+1))&lt;=790,3,IF(INDEX(ERP資料!$G:$G, (MATCH(981, 輔助計算!$G$2:$G$801, 0)+1))&lt;=1181,2,1)))=1,TEXT(INDEX(ERP資料!$G:$G, (MATCH(981, 輔助計算!$G$2:$G$801, 0)+1)),"0.##"),IF(IF(INDEX(ERP資料!$G:$G, (MATCH(981, 輔助計算!$G$2:$G$801, 0)+1))&lt;100, IF(INDEX(ERP資料!$G:$G, (MATCH(981, 輔助計算!$G$2:$G$801, 0)+1))&lt;=31,3,IF(INDEX(ERP資料!$G:$G, (MATCH(981, 輔助計算!$G$2:$G$801, 0)+1))&lt;=46.5,2,1)), IF(INDEX(ERP資料!$G:$G, (MATCH(981, 輔助計算!$G$2:$G$801, 0)+1))&lt;=790,3,IF(INDEX(ERP資料!$G:$G, (MATCH(981, 輔助計算!$G$2:$G$801, 0)+1))&lt;=1181,2,1)))=2,TEXT(INDEX(ERP資料!$G:$G, (MATCH(981, 輔助計算!$G$2:$G$801, 0)+1)),"0.##")&amp;"+"&amp;TEXT(INDEX(ERP資料!$G:$G, (MATCH(981, 輔助計算!$G$2:$G$801, 0)+1)),"0.##"),TEXT(INDEX(ERP資料!$G:$G, (MATCH(981, 輔助計算!$G$2:$G$801, 0)+1)),"0.##")&amp;"+"&amp;TEXT(INDEX(ERP資料!$G:$G, (MATCH(981, 輔助計算!$G$2:$G$801, 0)+1)),"0.##")&amp;"+"&amp;TEXT(INDEX(ERP資料!$G:$G, (MATCH(981, 輔助計算!$G$2:$G$801, 0)+1)),"0.##")))&amp;"-"&amp;INT(INDEX(輔助計算!$D:$D, (MATCH(981, 輔助計算!$G$2:$G$801, 0)+1))/IF(INDEX(ERP資料!$G:$G, (MATCH(981, 輔助計算!$G$2:$G$801, 0)+1))&lt;100, IF(INDEX(ERP資料!$G:$G, (MATCH(981, 輔助計算!$G$2:$G$801, 0)+1))&lt;=31,3,IF(INDEX(ERP資料!$G:$G, (MATCH(981, 輔助計算!$G$2:$G$801, 0)+1))&lt;=46.5,2,1)), IF(INDEX(ERP資料!$G:$G, (MATCH(981, 輔助計算!$G$2:$G$801, 0)+1))&lt;=790,3,IF(INDEX(ERP資料!$G:$G, (MATCH(981, 輔助計算!$G$2:$G$801, 0)+1))&lt;=1181,2,1)))), "")&amp;IF(AND(IF(INT(INDEX(輔助計算!$D:$D, (MATCH(981, 輔助計算!$G$2:$G$801, 0)+1))/IF(INDEX(ERP資料!$G:$G, (MATCH(981, 輔助計算!$G$2:$G$801, 0)+1))&lt;100, IF(INDEX(ERP資料!$G:$G, (MATCH(981, 輔助計算!$G$2:$G$801, 0)+1))&lt;=31,3,IF(INDEX(ERP資料!$G:$G, (MATCH(981, 輔助計算!$G$2:$G$801, 0)+1))&lt;=46.5,2,1)), IF(INDEX(ERP資料!$G:$G, (MATCH(981, 輔助計算!$G$2:$G$801, 0)+1))&lt;=790,3,IF(INDEX(ERP資料!$G:$G, (MATCH(981, 輔助計算!$G$2:$G$801, 0)+1))&lt;=1181,2,1))))&gt;0, IF(IF(INDEX(ERP資料!$G:$G, (MATCH(981, 輔助計算!$G$2:$G$801, 0)+1))&lt;100, IF(INDEX(ERP資料!$G:$G, (MATCH(981, 輔助計算!$G$2:$G$801, 0)+1))&lt;=31,3,IF(INDEX(ERP資料!$G:$G, (MATCH(981, 輔助計算!$G$2:$G$801, 0)+1))&lt;=46.5,2,1)), IF(INDEX(ERP資料!$G:$G, (MATCH(981, 輔助計算!$G$2:$G$801, 0)+1))&lt;=790,3,IF(INDEX(ERP資料!$G:$G, (MATCH(981, 輔助計算!$G$2:$G$801, 0)+1))&lt;=1181,2,1)))=1,TEXT(INDEX(ERP資料!$G:$G, (MATCH(981, 輔助計算!$G$2:$G$801, 0)+1)),"0.##"),IF(IF(INDEX(ERP資料!$G:$G, (MATCH(981, 輔助計算!$G$2:$G$801, 0)+1))&lt;100, IF(INDEX(ERP資料!$G:$G, (MATCH(981, 輔助計算!$G$2:$G$801, 0)+1))&lt;=31,3,IF(INDEX(ERP資料!$G:$G, (MATCH(981, 輔助計算!$G$2:$G$801, 0)+1))&lt;=46.5,2,1)), IF(INDEX(ERP資料!$G:$G, (MATCH(981, 輔助計算!$G$2:$G$801, 0)+1))&lt;=790,3,IF(INDEX(ERP資料!$G:$G, (MATCH(981, 輔助計算!$G$2:$G$801, 0)+1))&lt;=1181,2,1)))=2,TEXT(INDEX(ERP資料!$G:$G, (MATCH(981, 輔助計算!$G$2:$G$801, 0)+1)),"0.##")&amp;"+"&amp;TEXT(INDEX(ERP資料!$G:$G, (MATCH(981, 輔助計算!$G$2:$G$801, 0)+1)),"0.##"),TEXT(INDEX(ERP資料!$G:$G, (MATCH(981, 輔助計算!$G$2:$G$801, 0)+1)),"0.##")&amp;"+"&amp;TEXT(INDEX(ERP資料!$G:$G, (MATCH(981, 輔助計算!$G$2:$G$801, 0)+1)),"0.##")&amp;"+"&amp;TEXT(INDEX(ERP資料!$G:$G, (MATCH(981, 輔助計算!$G$2:$G$801, 0)+1)),"0.##")))&amp;"-"&amp;INT(INDEX(輔助計算!$D:$D, (MATCH(981, 輔助計算!$G$2:$G$801, 0)+1))/IF(INDEX(ERP資料!$G:$G, (MATCH(981, 輔助計算!$G$2:$G$801, 0)+1))&lt;100, IF(INDEX(ERP資料!$G:$G, (MATCH(981, 輔助計算!$G$2:$G$801, 0)+1))&lt;=31,3,IF(INDEX(ERP資料!$G:$G, (MATCH(981, 輔助計算!$G$2:$G$801, 0)+1))&lt;=46.5,2,1)), IF(INDEX(ERP資料!$G:$G, (MATCH(981, 輔助計算!$G$2:$G$801, 0)+1))&lt;=790,3,IF(INDEX(ERP資料!$G:$G, (MATCH(981, 輔助計算!$G$2:$G$801, 0)+1))&lt;=1181,2,1)))), "")&lt;&gt;"",IF(MOD(INDEX(輔助計算!$D:$D, (MATCH(981, 輔助計算!$G$2:$G$801, 0)+1)),IF(INDEX(ERP資料!$G:$G, (MATCH(981, 輔助計算!$G$2:$G$801, 0)+1))&lt;100, IF(INDEX(ERP資料!$G:$G, (MATCH(981, 輔助計算!$G$2:$G$801, 0)+1))&lt;=31,3,IF(INDEX(ERP資料!$G:$G, (MATCH(981, 輔助計算!$G$2:$G$801, 0)+1))&lt;=46.5,2,1)), IF(INDEX(ERP資料!$G:$G, (MATCH(981, 輔助計算!$G$2:$G$801, 0)+1))&lt;=790,3,IF(INDEX(ERP資料!$G:$G, (MATCH(981, 輔助計算!$G$2:$G$801, 0)+1))&lt;=1181,2,1))))=0,"",IF(MOD(INDEX(輔助計算!$D:$D, (MATCH(981, 輔助計算!$G$2:$G$801, 0)+1)),IF(INDEX(ERP資料!$G:$G, (MATCH(981, 輔助計算!$G$2:$G$801, 0)+1))&lt;100, IF(INDEX(ERP資料!$G:$G, (MATCH(981, 輔助計算!$G$2:$G$801, 0)+1))&lt;=31,3,IF(INDEX(ERP資料!$G:$G, (MATCH(981, 輔助計算!$G$2:$G$801, 0)+1))&lt;=46.5,2,1)), IF(INDEX(ERP資料!$G:$G, (MATCH(981, 輔助計算!$G$2:$G$801, 0)+1))&lt;=790,3,IF(INDEX(ERP資料!$G:$G, (MATCH(981, 輔助計算!$G$2:$G$801, 0)+1))&lt;=1181,2,1))))=0,"",IF(MOD(INDEX(輔助計算!$D:$D, (MATCH(981, 輔助計算!$G$2:$G$801, 0)+1)),IF(INDEX(ERP資料!$G:$G, (MATCH(981, 輔助計算!$G$2:$G$801, 0)+1))&lt;100, IF(INDEX(ERP資料!$G:$G, (MATCH(981, 輔助計算!$G$2:$G$801, 0)+1))&lt;=31,3,IF(INDEX(ERP資料!$G:$G, (MATCH(981, 輔助計算!$G$2:$G$801, 0)+1))&lt;=46.5,2,1)), IF(INDEX(ERP資料!$G:$G, (MATCH(981, 輔助計算!$G$2:$G$801, 0)+1))&lt;=790,3,IF(INDEX(ERP資料!$G:$G, (MATCH(981, 輔助計算!$G$2:$G$801, 0)+1))&lt;=1181,2,1))))=1,TEXT(INDEX(ERP資料!$G:$G, (MATCH(981, 輔助計算!$G$2:$G$801, 0)+1)),"0.##"),IF(MOD(INDEX(輔助計算!$D:$D, (MATCH(981, 輔助計算!$G$2:$G$801, 0)+1)),IF(INDEX(ERP資料!$G:$G, (MATCH(981, 輔助計算!$G$2:$G$801, 0)+1))&lt;100, IF(INDEX(ERP資料!$G:$G, (MATCH(981, 輔助計算!$G$2:$G$801, 0)+1))&lt;=31,3,IF(INDEX(ERP資料!$G:$G, (MATCH(981, 輔助計算!$G$2:$G$801, 0)+1))&lt;=46.5,2,1)), IF(INDEX(ERP資料!$G:$G, (MATCH(981, 輔助計算!$G$2:$G$801, 0)+1))&lt;=790,3,IF(INDEX(ERP資料!$G:$G, (MATCH(981, 輔助計算!$G$2:$G$801, 0)+1))&lt;=1181,2,1))))=2,TEXT(INDEX(ERP資料!$G:$G, (MATCH(981, 輔助計算!$G$2:$G$801, 0)+1)),"0.##")&amp;"+"&amp;TEXT(INDEX(ERP資料!$G:$G, (MATCH(981, 輔助計算!$G$2:$G$801, 0)+1)),"0.##"),TEXT(INDEX(ERP資料!$G:$G, (MATCH(981, 輔助計算!$G$2:$G$801, 0)+1)),"0.##")&amp;"+"&amp;TEXT(INDEX(ERP資料!$G:$G, (MATCH(981, 輔助計算!$G$2:$G$801, 0)+1)),"0.##")&amp;"+"&amp;TEXT(INDEX(ERP資料!$G:$G, (MATCH(981, 輔助計算!$G$2:$G$801, 0)+1)),"0.##"))))&amp;"-1")&lt;&gt;""),"  ","")&amp;IF(MOD(INDEX(輔助計算!$D:$D, (MATCH(981, 輔助計算!$G$2:$G$801, 0)+1)),IF(INDEX(ERP資料!$G:$G, (MATCH(981, 輔助計算!$G$2:$G$801, 0)+1))&lt;100, IF(INDEX(ERP資料!$G:$G, (MATCH(981, 輔助計算!$G$2:$G$801, 0)+1))&lt;=31,3,IF(INDEX(ERP資料!$G:$G, (MATCH(981, 輔助計算!$G$2:$G$801, 0)+1))&lt;=46.5,2,1)), IF(INDEX(ERP資料!$G:$G, (MATCH(981, 輔助計算!$G$2:$G$801, 0)+1))&lt;=790,3,IF(INDEX(ERP資料!$G:$G, (MATCH(981, 輔助計算!$G$2:$G$801, 0)+1))&lt;=1181,2,1))))=0,"",IF(MOD(INDEX(輔助計算!$D:$D, (MATCH(981, 輔助計算!$G$2:$G$801, 0)+1)),IF(INDEX(ERP資料!$G:$G, (MATCH(981, 輔助計算!$G$2:$G$801, 0)+1))&lt;100, IF(INDEX(ERP資料!$G:$G, (MATCH(981, 輔助計算!$G$2:$G$801, 0)+1))&lt;=31,3,IF(INDEX(ERP資料!$G:$G, (MATCH(981, 輔助計算!$G$2:$G$801, 0)+1))&lt;=46.5,2,1)), IF(INDEX(ERP資料!$G:$G, (MATCH(981, 輔助計算!$G$2:$G$801, 0)+1))&lt;=790,3,IF(INDEX(ERP資料!$G:$G, (MATCH(981, 輔助計算!$G$2:$G$801, 0)+1))&lt;=1181,2,1))))=0,"",IF(MOD(INDEX(輔助計算!$D:$D, (MATCH(981, 輔助計算!$G$2:$G$801, 0)+1)),IF(INDEX(ERP資料!$G:$G, (MATCH(981, 輔助計算!$G$2:$G$801, 0)+1))&lt;100, IF(INDEX(ERP資料!$G:$G, (MATCH(981, 輔助計算!$G$2:$G$801, 0)+1))&lt;=31,3,IF(INDEX(ERP資料!$G:$G, (MATCH(981, 輔助計算!$G$2:$G$801, 0)+1))&lt;=46.5,2,1)), IF(INDEX(ERP資料!$G:$G, (MATCH(981, 輔助計算!$G$2:$G$801, 0)+1))&lt;=790,3,IF(INDEX(ERP資料!$G:$G, (MATCH(981, 輔助計算!$G$2:$G$801, 0)+1))&lt;=1181,2,1))))=1,TEXT(INDEX(ERP資料!$G:$G, (MATCH(981, 輔助計算!$G$2:$G$801, 0)+1)),"0.##"),IF(MOD(INDEX(輔助計算!$D:$D, (MATCH(981, 輔助計算!$G$2:$G$801, 0)+1)),IF(INDEX(ERP資料!$G:$G, (MATCH(981, 輔助計算!$G$2:$G$801, 0)+1))&lt;100, IF(INDEX(ERP資料!$G:$G, (MATCH(981, 輔助計算!$G$2:$G$801, 0)+1))&lt;=31,3,IF(INDEX(ERP資料!$G:$G, (MATCH(981, 輔助計算!$G$2:$G$801, 0)+1))&lt;=46.5,2,1)), IF(INDEX(ERP資料!$G:$G, (MATCH(981, 輔助計算!$G$2:$G$801, 0)+1))&lt;=790,3,IF(INDEX(ERP資料!$G:$G, (MATCH(981, 輔助計算!$G$2:$G$801, 0)+1))&lt;=1181,2,1))))=2,TEXT(INDEX(ERP資料!$G:$G, (MATCH(981, 輔助計算!$G$2:$G$801, 0)+1)),"0.##")&amp;"+"&amp;TEXT(INDEX(ERP資料!$G:$G, (MATCH(981, 輔助計算!$G$2:$G$801, 0)+1)),"0.##"),TEXT(INDEX(ERP資料!$G:$G, (MATCH(981, 輔助計算!$G$2:$G$801, 0)+1)),"0.##")&amp;"+"&amp;TEXT(INDEX(ERP資料!$G:$G, (MATCH(981, 輔助計算!$G$2:$G$801, 0)+1)),"0.##")&amp;"+"&amp;TEXT(INDEX(ERP資料!$G:$G, (MATCH(981, 輔助計算!$G$2:$G$801, 0)+1)),"0.##"))))&amp;"-1")), ""), "")</f>
        <v/>
      </c>
      <c r="K982" s="16" t="n"/>
      <c r="L982" s="14">
        <f>IFERROR(IF(AND(IFERROR(INDEX(ERP資料!$A:$A, (MATCH(981, 輔助計算!$G$2:$G$801, 0)+1)), "")&lt;&gt;"", IFERROR(INDEX(ERP資料!$A:$A, (MATCH(981, 輔助計算!$G$2:$G$801, 0)+1)), "")&lt;&gt;IFERROR(INDEX(ERP資料!$A:$A, MATCH(980, 輔助計算!$G$2:$G$801, 0)+1), "")), INDEX(ERP資料!$B:$B, (MATCH(981, 輔助計算!$G$2:$G$801, 0)+1)), ""), "")</f>
        <v/>
      </c>
      <c r="M982" s="17" t="n"/>
    </row>
    <row r="983">
      <c r="A983" s="10">
        <f>IFERROR(IF(AND(IFERROR(INDEX(ERP資料!$A:$A, (MATCH(982, 輔助計算!$G$2:$G$801, 0)+1)), "")&lt;&gt;"", IFERROR(INDEX(ERP資料!$A:$A, (MATCH(982, 輔助計算!$G$2:$G$801, 0)+1)), "")&lt;&gt;IFERROR(INDEX(ERP資料!$A:$A, MATCH(981, 輔助計算!$G$2:$G$801, 0)+1), "")), IFERROR(INDEX(ERP資料!$A:$A, (MATCH(982, 輔助計算!$G$2:$G$801, 0)+1)), ""), ""), "")</f>
        <v/>
      </c>
      <c r="B983" s="10">
        <f>IFERROR(IF(AND(IFERROR(INDEX(ERP資料!$A:$A, (MATCH(982, 輔助計算!$G$2:$G$801, 0)+1)), "")&lt;&gt;"", IFERROR(INDEX(ERP資料!$A:$A, (MATCH(982, 輔助計算!$G$2:$G$801, 0)+1)), "")&lt;&gt;IFERROR(INDEX(ERP資料!$A:$A, MATCH(981, 輔助計算!$G$2:$G$801, 0)+1), "")), INDEX(ERP資料!$S:$S, (MATCH(982, 輔助計算!$G$2:$G$801, 0)+1)), ""), "")</f>
        <v/>
      </c>
      <c r="C983" s="19">
        <f>IFERROR(IF(AND(IFERROR(INDEX(ERP資料!$A:$A, (MATCH(982, 輔助計算!$G$2:$G$801, 0)+1)), "")&lt;&gt;"", IFERROR(INDEX(ERP資料!$A:$A, (MATCH(982, 輔助計算!$G$2:$G$801, 0)+1)), "")&lt;&gt;IFERROR(INDEX(ERP資料!$A:$A, MATCH(981, 輔助計算!$G$2:$G$801, 0)+1), "")), IFERROR(VLOOKUP(LEFT(INDEX(ERP資料!$S:$S, (MATCH(982, 輔助計算!$G$2:$G$801, 0)+1)), 4), 紙管對照表!$A:$C, 3, FALSE), ""), ""), "")</f>
        <v/>
      </c>
      <c r="D983" s="16" t="n"/>
      <c r="E983" s="10">
        <f>IFERROR(IF(INDEX(ERP資料!$H:$H, (MATCH(982, 輔助計算!$G$2:$G$801, 0)+1))="","",INDEX(ERP資料!$H:$H, (MATCH(982, 輔助計算!$G$2:$G$801, 0)+1))), "")</f>
        <v/>
      </c>
      <c r="F983" s="10">
        <f>IFERROR(IF(INDEX(ERP資料!$E:$E, (MATCH(982, 輔助計算!$G$2:$G$801, 0)+1))="","",TRIM(INDEX(ERP資料!$E:$E, (MATCH(982, 輔助計算!$G$2:$G$801, 0)+1)))), "")</f>
        <v/>
      </c>
      <c r="G983" s="10">
        <f>IFERROR(IF(INDEX(ERP資料!$F:$F, (MATCH(982, 輔助計算!$G$2:$G$801, 0)+1))="","",INDEX(ERP資料!$F:$F, (MATCH(982, 輔助計算!$G$2:$G$801, 0)+1))), "")</f>
        <v/>
      </c>
      <c r="H983" s="10">
        <f>IFERROR(IF(INDEX(ERP資料!$G:$G, (MATCH(982, 輔助計算!$G$2:$G$801, 0)+1))="","",INDEX(ERP資料!$G:$G, (MATCH(982, 輔助計算!$G$2:$G$801, 0)+1))), "")</f>
        <v/>
      </c>
      <c r="I983" s="15">
        <f>IFERROR(INDEX(輔助計算!$D:$D, (MATCH(982, 輔助計算!$G$2:$G$801, 0)+1)), "")</f>
        <v/>
      </c>
      <c r="J983" s="15">
        <f>IFERROR(IF(AND(INDEX(輔助計算!$D:$D, (MATCH(982, 輔助計算!$G$2:$G$801, 0)+1))&lt;&gt;"", INDEX(ERP資料!$G:$G, (MATCH(982, 輔助計算!$G$2:$G$801, 0)+1))&lt;&gt;""), TRIM(IF(INT(INDEX(輔助計算!$D:$D, (MATCH(982, 輔助計算!$G$2:$G$801, 0)+1))/IF(INDEX(ERP資料!$G:$G, (MATCH(982, 輔助計算!$G$2:$G$801, 0)+1))&lt;100, IF(INDEX(ERP資料!$G:$G, (MATCH(982, 輔助計算!$G$2:$G$801, 0)+1))&lt;=31,3,IF(INDEX(ERP資料!$G:$G, (MATCH(982, 輔助計算!$G$2:$G$801, 0)+1))&lt;=46.5,2,1)), IF(INDEX(ERP資料!$G:$G, (MATCH(982, 輔助計算!$G$2:$G$801, 0)+1))&lt;=790,3,IF(INDEX(ERP資料!$G:$G, (MATCH(982, 輔助計算!$G$2:$G$801, 0)+1))&lt;=1181,2,1))))&gt;0, IF(IF(INDEX(ERP資料!$G:$G, (MATCH(982, 輔助計算!$G$2:$G$801, 0)+1))&lt;100, IF(INDEX(ERP資料!$G:$G, (MATCH(982, 輔助計算!$G$2:$G$801, 0)+1))&lt;=31,3,IF(INDEX(ERP資料!$G:$G, (MATCH(982, 輔助計算!$G$2:$G$801, 0)+1))&lt;=46.5,2,1)), IF(INDEX(ERP資料!$G:$G, (MATCH(982, 輔助計算!$G$2:$G$801, 0)+1))&lt;=790,3,IF(INDEX(ERP資料!$G:$G, (MATCH(982, 輔助計算!$G$2:$G$801, 0)+1))&lt;=1181,2,1)))=1,TEXT(INDEX(ERP資料!$G:$G, (MATCH(982, 輔助計算!$G$2:$G$801, 0)+1)),"0.##"),IF(IF(INDEX(ERP資料!$G:$G, (MATCH(982, 輔助計算!$G$2:$G$801, 0)+1))&lt;100, IF(INDEX(ERP資料!$G:$G, (MATCH(982, 輔助計算!$G$2:$G$801, 0)+1))&lt;=31,3,IF(INDEX(ERP資料!$G:$G, (MATCH(982, 輔助計算!$G$2:$G$801, 0)+1))&lt;=46.5,2,1)), IF(INDEX(ERP資料!$G:$G, (MATCH(982, 輔助計算!$G$2:$G$801, 0)+1))&lt;=790,3,IF(INDEX(ERP資料!$G:$G, (MATCH(982, 輔助計算!$G$2:$G$801, 0)+1))&lt;=1181,2,1)))=2,TEXT(INDEX(ERP資料!$G:$G, (MATCH(982, 輔助計算!$G$2:$G$801, 0)+1)),"0.##")&amp;"+"&amp;TEXT(INDEX(ERP資料!$G:$G, (MATCH(982, 輔助計算!$G$2:$G$801, 0)+1)),"0.##"),TEXT(INDEX(ERP資料!$G:$G, (MATCH(982, 輔助計算!$G$2:$G$801, 0)+1)),"0.##")&amp;"+"&amp;TEXT(INDEX(ERP資料!$G:$G, (MATCH(982, 輔助計算!$G$2:$G$801, 0)+1)),"0.##")&amp;"+"&amp;TEXT(INDEX(ERP資料!$G:$G, (MATCH(982, 輔助計算!$G$2:$G$801, 0)+1)),"0.##")))&amp;"-"&amp;INT(INDEX(輔助計算!$D:$D, (MATCH(982, 輔助計算!$G$2:$G$801, 0)+1))/IF(INDEX(ERP資料!$G:$G, (MATCH(982, 輔助計算!$G$2:$G$801, 0)+1))&lt;100, IF(INDEX(ERP資料!$G:$G, (MATCH(982, 輔助計算!$G$2:$G$801, 0)+1))&lt;=31,3,IF(INDEX(ERP資料!$G:$G, (MATCH(982, 輔助計算!$G$2:$G$801, 0)+1))&lt;=46.5,2,1)), IF(INDEX(ERP資料!$G:$G, (MATCH(982, 輔助計算!$G$2:$G$801, 0)+1))&lt;=790,3,IF(INDEX(ERP資料!$G:$G, (MATCH(982, 輔助計算!$G$2:$G$801, 0)+1))&lt;=1181,2,1)))), "")&amp;IF(AND(IF(INT(INDEX(輔助計算!$D:$D, (MATCH(982, 輔助計算!$G$2:$G$801, 0)+1))/IF(INDEX(ERP資料!$G:$G, (MATCH(982, 輔助計算!$G$2:$G$801, 0)+1))&lt;100, IF(INDEX(ERP資料!$G:$G, (MATCH(982, 輔助計算!$G$2:$G$801, 0)+1))&lt;=31,3,IF(INDEX(ERP資料!$G:$G, (MATCH(982, 輔助計算!$G$2:$G$801, 0)+1))&lt;=46.5,2,1)), IF(INDEX(ERP資料!$G:$G, (MATCH(982, 輔助計算!$G$2:$G$801, 0)+1))&lt;=790,3,IF(INDEX(ERP資料!$G:$G, (MATCH(982, 輔助計算!$G$2:$G$801, 0)+1))&lt;=1181,2,1))))&gt;0, IF(IF(INDEX(ERP資料!$G:$G, (MATCH(982, 輔助計算!$G$2:$G$801, 0)+1))&lt;100, IF(INDEX(ERP資料!$G:$G, (MATCH(982, 輔助計算!$G$2:$G$801, 0)+1))&lt;=31,3,IF(INDEX(ERP資料!$G:$G, (MATCH(982, 輔助計算!$G$2:$G$801, 0)+1))&lt;=46.5,2,1)), IF(INDEX(ERP資料!$G:$G, (MATCH(982, 輔助計算!$G$2:$G$801, 0)+1))&lt;=790,3,IF(INDEX(ERP資料!$G:$G, (MATCH(982, 輔助計算!$G$2:$G$801, 0)+1))&lt;=1181,2,1)))=1,TEXT(INDEX(ERP資料!$G:$G, (MATCH(982, 輔助計算!$G$2:$G$801, 0)+1)),"0.##"),IF(IF(INDEX(ERP資料!$G:$G, (MATCH(982, 輔助計算!$G$2:$G$801, 0)+1))&lt;100, IF(INDEX(ERP資料!$G:$G, (MATCH(982, 輔助計算!$G$2:$G$801, 0)+1))&lt;=31,3,IF(INDEX(ERP資料!$G:$G, (MATCH(982, 輔助計算!$G$2:$G$801, 0)+1))&lt;=46.5,2,1)), IF(INDEX(ERP資料!$G:$G, (MATCH(982, 輔助計算!$G$2:$G$801, 0)+1))&lt;=790,3,IF(INDEX(ERP資料!$G:$G, (MATCH(982, 輔助計算!$G$2:$G$801, 0)+1))&lt;=1181,2,1)))=2,TEXT(INDEX(ERP資料!$G:$G, (MATCH(982, 輔助計算!$G$2:$G$801, 0)+1)),"0.##")&amp;"+"&amp;TEXT(INDEX(ERP資料!$G:$G, (MATCH(982, 輔助計算!$G$2:$G$801, 0)+1)),"0.##"),TEXT(INDEX(ERP資料!$G:$G, (MATCH(982, 輔助計算!$G$2:$G$801, 0)+1)),"0.##")&amp;"+"&amp;TEXT(INDEX(ERP資料!$G:$G, (MATCH(982, 輔助計算!$G$2:$G$801, 0)+1)),"0.##")&amp;"+"&amp;TEXT(INDEX(ERP資料!$G:$G, (MATCH(982, 輔助計算!$G$2:$G$801, 0)+1)),"0.##")))&amp;"-"&amp;INT(INDEX(輔助計算!$D:$D, (MATCH(982, 輔助計算!$G$2:$G$801, 0)+1))/IF(INDEX(ERP資料!$G:$G, (MATCH(982, 輔助計算!$G$2:$G$801, 0)+1))&lt;100, IF(INDEX(ERP資料!$G:$G, (MATCH(982, 輔助計算!$G$2:$G$801, 0)+1))&lt;=31,3,IF(INDEX(ERP資料!$G:$G, (MATCH(982, 輔助計算!$G$2:$G$801, 0)+1))&lt;=46.5,2,1)), IF(INDEX(ERP資料!$G:$G, (MATCH(982, 輔助計算!$G$2:$G$801, 0)+1))&lt;=790,3,IF(INDEX(ERP資料!$G:$G, (MATCH(982, 輔助計算!$G$2:$G$801, 0)+1))&lt;=1181,2,1)))), "")&lt;&gt;"",IF(MOD(INDEX(輔助計算!$D:$D, (MATCH(982, 輔助計算!$G$2:$G$801, 0)+1)),IF(INDEX(ERP資料!$G:$G, (MATCH(982, 輔助計算!$G$2:$G$801, 0)+1))&lt;100, IF(INDEX(ERP資料!$G:$G, (MATCH(982, 輔助計算!$G$2:$G$801, 0)+1))&lt;=31,3,IF(INDEX(ERP資料!$G:$G, (MATCH(982, 輔助計算!$G$2:$G$801, 0)+1))&lt;=46.5,2,1)), IF(INDEX(ERP資料!$G:$G, (MATCH(982, 輔助計算!$G$2:$G$801, 0)+1))&lt;=790,3,IF(INDEX(ERP資料!$G:$G, (MATCH(982, 輔助計算!$G$2:$G$801, 0)+1))&lt;=1181,2,1))))=0,"",IF(MOD(INDEX(輔助計算!$D:$D, (MATCH(982, 輔助計算!$G$2:$G$801, 0)+1)),IF(INDEX(ERP資料!$G:$G, (MATCH(982, 輔助計算!$G$2:$G$801, 0)+1))&lt;100, IF(INDEX(ERP資料!$G:$G, (MATCH(982, 輔助計算!$G$2:$G$801, 0)+1))&lt;=31,3,IF(INDEX(ERP資料!$G:$G, (MATCH(982, 輔助計算!$G$2:$G$801, 0)+1))&lt;=46.5,2,1)), IF(INDEX(ERP資料!$G:$G, (MATCH(982, 輔助計算!$G$2:$G$801, 0)+1))&lt;=790,3,IF(INDEX(ERP資料!$G:$G, (MATCH(982, 輔助計算!$G$2:$G$801, 0)+1))&lt;=1181,2,1))))=0,"",IF(MOD(INDEX(輔助計算!$D:$D, (MATCH(982, 輔助計算!$G$2:$G$801, 0)+1)),IF(INDEX(ERP資料!$G:$G, (MATCH(982, 輔助計算!$G$2:$G$801, 0)+1))&lt;100, IF(INDEX(ERP資料!$G:$G, (MATCH(982, 輔助計算!$G$2:$G$801, 0)+1))&lt;=31,3,IF(INDEX(ERP資料!$G:$G, (MATCH(982, 輔助計算!$G$2:$G$801, 0)+1))&lt;=46.5,2,1)), IF(INDEX(ERP資料!$G:$G, (MATCH(982, 輔助計算!$G$2:$G$801, 0)+1))&lt;=790,3,IF(INDEX(ERP資料!$G:$G, (MATCH(982, 輔助計算!$G$2:$G$801, 0)+1))&lt;=1181,2,1))))=1,TEXT(INDEX(ERP資料!$G:$G, (MATCH(982, 輔助計算!$G$2:$G$801, 0)+1)),"0.##"),IF(MOD(INDEX(輔助計算!$D:$D, (MATCH(982, 輔助計算!$G$2:$G$801, 0)+1)),IF(INDEX(ERP資料!$G:$G, (MATCH(982, 輔助計算!$G$2:$G$801, 0)+1))&lt;100, IF(INDEX(ERP資料!$G:$G, (MATCH(982, 輔助計算!$G$2:$G$801, 0)+1))&lt;=31,3,IF(INDEX(ERP資料!$G:$G, (MATCH(982, 輔助計算!$G$2:$G$801, 0)+1))&lt;=46.5,2,1)), IF(INDEX(ERP資料!$G:$G, (MATCH(982, 輔助計算!$G$2:$G$801, 0)+1))&lt;=790,3,IF(INDEX(ERP資料!$G:$G, (MATCH(982, 輔助計算!$G$2:$G$801, 0)+1))&lt;=1181,2,1))))=2,TEXT(INDEX(ERP資料!$G:$G, (MATCH(982, 輔助計算!$G$2:$G$801, 0)+1)),"0.##")&amp;"+"&amp;TEXT(INDEX(ERP資料!$G:$G, (MATCH(982, 輔助計算!$G$2:$G$801, 0)+1)),"0.##"),TEXT(INDEX(ERP資料!$G:$G, (MATCH(982, 輔助計算!$G$2:$G$801, 0)+1)),"0.##")&amp;"+"&amp;TEXT(INDEX(ERP資料!$G:$G, (MATCH(982, 輔助計算!$G$2:$G$801, 0)+1)),"0.##")&amp;"+"&amp;TEXT(INDEX(ERP資料!$G:$G, (MATCH(982, 輔助計算!$G$2:$G$801, 0)+1)),"0.##"))))&amp;"-1")&lt;&gt;""),"  ","")&amp;IF(MOD(INDEX(輔助計算!$D:$D, (MATCH(982, 輔助計算!$G$2:$G$801, 0)+1)),IF(INDEX(ERP資料!$G:$G, (MATCH(982, 輔助計算!$G$2:$G$801, 0)+1))&lt;100, IF(INDEX(ERP資料!$G:$G, (MATCH(982, 輔助計算!$G$2:$G$801, 0)+1))&lt;=31,3,IF(INDEX(ERP資料!$G:$G, (MATCH(982, 輔助計算!$G$2:$G$801, 0)+1))&lt;=46.5,2,1)), IF(INDEX(ERP資料!$G:$G, (MATCH(982, 輔助計算!$G$2:$G$801, 0)+1))&lt;=790,3,IF(INDEX(ERP資料!$G:$G, (MATCH(982, 輔助計算!$G$2:$G$801, 0)+1))&lt;=1181,2,1))))=0,"",IF(MOD(INDEX(輔助計算!$D:$D, (MATCH(982, 輔助計算!$G$2:$G$801, 0)+1)),IF(INDEX(ERP資料!$G:$G, (MATCH(982, 輔助計算!$G$2:$G$801, 0)+1))&lt;100, IF(INDEX(ERP資料!$G:$G, (MATCH(982, 輔助計算!$G$2:$G$801, 0)+1))&lt;=31,3,IF(INDEX(ERP資料!$G:$G, (MATCH(982, 輔助計算!$G$2:$G$801, 0)+1))&lt;=46.5,2,1)), IF(INDEX(ERP資料!$G:$G, (MATCH(982, 輔助計算!$G$2:$G$801, 0)+1))&lt;=790,3,IF(INDEX(ERP資料!$G:$G, (MATCH(982, 輔助計算!$G$2:$G$801, 0)+1))&lt;=1181,2,1))))=0,"",IF(MOD(INDEX(輔助計算!$D:$D, (MATCH(982, 輔助計算!$G$2:$G$801, 0)+1)),IF(INDEX(ERP資料!$G:$G, (MATCH(982, 輔助計算!$G$2:$G$801, 0)+1))&lt;100, IF(INDEX(ERP資料!$G:$G, (MATCH(982, 輔助計算!$G$2:$G$801, 0)+1))&lt;=31,3,IF(INDEX(ERP資料!$G:$G, (MATCH(982, 輔助計算!$G$2:$G$801, 0)+1))&lt;=46.5,2,1)), IF(INDEX(ERP資料!$G:$G, (MATCH(982, 輔助計算!$G$2:$G$801, 0)+1))&lt;=790,3,IF(INDEX(ERP資料!$G:$G, (MATCH(982, 輔助計算!$G$2:$G$801, 0)+1))&lt;=1181,2,1))))=1,TEXT(INDEX(ERP資料!$G:$G, (MATCH(982, 輔助計算!$G$2:$G$801, 0)+1)),"0.##"),IF(MOD(INDEX(輔助計算!$D:$D, (MATCH(982, 輔助計算!$G$2:$G$801, 0)+1)),IF(INDEX(ERP資料!$G:$G, (MATCH(982, 輔助計算!$G$2:$G$801, 0)+1))&lt;100, IF(INDEX(ERP資料!$G:$G, (MATCH(982, 輔助計算!$G$2:$G$801, 0)+1))&lt;=31,3,IF(INDEX(ERP資料!$G:$G, (MATCH(982, 輔助計算!$G$2:$G$801, 0)+1))&lt;=46.5,2,1)), IF(INDEX(ERP資料!$G:$G, (MATCH(982, 輔助計算!$G$2:$G$801, 0)+1))&lt;=790,3,IF(INDEX(ERP資料!$G:$G, (MATCH(982, 輔助計算!$G$2:$G$801, 0)+1))&lt;=1181,2,1))))=2,TEXT(INDEX(ERP資料!$G:$G, (MATCH(982, 輔助計算!$G$2:$G$801, 0)+1)),"0.##")&amp;"+"&amp;TEXT(INDEX(ERP資料!$G:$G, (MATCH(982, 輔助計算!$G$2:$G$801, 0)+1)),"0.##"),TEXT(INDEX(ERP資料!$G:$G, (MATCH(982, 輔助計算!$G$2:$G$801, 0)+1)),"0.##")&amp;"+"&amp;TEXT(INDEX(ERP資料!$G:$G, (MATCH(982, 輔助計算!$G$2:$G$801, 0)+1)),"0.##")&amp;"+"&amp;TEXT(INDEX(ERP資料!$G:$G, (MATCH(982, 輔助計算!$G$2:$G$801, 0)+1)),"0.##"))))&amp;"-1")), ""), "")</f>
        <v/>
      </c>
      <c r="K983" s="16" t="n"/>
      <c r="L983" s="14">
        <f>IFERROR(IF(AND(IFERROR(INDEX(ERP資料!$A:$A, (MATCH(982, 輔助計算!$G$2:$G$801, 0)+1)), "")&lt;&gt;"", IFERROR(INDEX(ERP資料!$A:$A, (MATCH(982, 輔助計算!$G$2:$G$801, 0)+1)), "")&lt;&gt;IFERROR(INDEX(ERP資料!$A:$A, MATCH(981, 輔助計算!$G$2:$G$801, 0)+1), "")), INDEX(ERP資料!$B:$B, (MATCH(982, 輔助計算!$G$2:$G$801, 0)+1)), ""), "")</f>
        <v/>
      </c>
      <c r="M983" s="17" t="n"/>
    </row>
    <row r="984">
      <c r="A984" s="10">
        <f>IFERROR(IF(AND(IFERROR(INDEX(ERP資料!$A:$A, (MATCH(983, 輔助計算!$G$2:$G$801, 0)+1)), "")&lt;&gt;"", IFERROR(INDEX(ERP資料!$A:$A, (MATCH(983, 輔助計算!$G$2:$G$801, 0)+1)), "")&lt;&gt;IFERROR(INDEX(ERP資料!$A:$A, MATCH(982, 輔助計算!$G$2:$G$801, 0)+1), "")), IFERROR(INDEX(ERP資料!$A:$A, (MATCH(983, 輔助計算!$G$2:$G$801, 0)+1)), ""), ""), "")</f>
        <v/>
      </c>
      <c r="B984" s="10">
        <f>IFERROR(IF(AND(IFERROR(INDEX(ERP資料!$A:$A, (MATCH(983, 輔助計算!$G$2:$G$801, 0)+1)), "")&lt;&gt;"", IFERROR(INDEX(ERP資料!$A:$A, (MATCH(983, 輔助計算!$G$2:$G$801, 0)+1)), "")&lt;&gt;IFERROR(INDEX(ERP資料!$A:$A, MATCH(982, 輔助計算!$G$2:$G$801, 0)+1), "")), INDEX(ERP資料!$S:$S, (MATCH(983, 輔助計算!$G$2:$G$801, 0)+1)), ""), "")</f>
        <v/>
      </c>
      <c r="C984" s="19">
        <f>IFERROR(IF(AND(IFERROR(INDEX(ERP資料!$A:$A, (MATCH(983, 輔助計算!$G$2:$G$801, 0)+1)), "")&lt;&gt;"", IFERROR(INDEX(ERP資料!$A:$A, (MATCH(983, 輔助計算!$G$2:$G$801, 0)+1)), "")&lt;&gt;IFERROR(INDEX(ERP資料!$A:$A, MATCH(982, 輔助計算!$G$2:$G$801, 0)+1), "")), IFERROR(VLOOKUP(LEFT(INDEX(ERP資料!$S:$S, (MATCH(983, 輔助計算!$G$2:$G$801, 0)+1)), 4), 紙管對照表!$A:$C, 3, FALSE), ""), ""), "")</f>
        <v/>
      </c>
      <c r="D984" s="16" t="n"/>
      <c r="E984" s="10">
        <f>IFERROR(IF(INDEX(ERP資料!$H:$H, (MATCH(983, 輔助計算!$G$2:$G$801, 0)+1))="","",INDEX(ERP資料!$H:$H, (MATCH(983, 輔助計算!$G$2:$G$801, 0)+1))), "")</f>
        <v/>
      </c>
      <c r="F984" s="10">
        <f>IFERROR(IF(INDEX(ERP資料!$E:$E, (MATCH(983, 輔助計算!$G$2:$G$801, 0)+1))="","",TRIM(INDEX(ERP資料!$E:$E, (MATCH(983, 輔助計算!$G$2:$G$801, 0)+1)))), "")</f>
        <v/>
      </c>
      <c r="G984" s="10">
        <f>IFERROR(IF(INDEX(ERP資料!$F:$F, (MATCH(983, 輔助計算!$G$2:$G$801, 0)+1))="","",INDEX(ERP資料!$F:$F, (MATCH(983, 輔助計算!$G$2:$G$801, 0)+1))), "")</f>
        <v/>
      </c>
      <c r="H984" s="10">
        <f>IFERROR(IF(INDEX(ERP資料!$G:$G, (MATCH(983, 輔助計算!$G$2:$G$801, 0)+1))="","",INDEX(ERP資料!$G:$G, (MATCH(983, 輔助計算!$G$2:$G$801, 0)+1))), "")</f>
        <v/>
      </c>
      <c r="I984" s="15">
        <f>IFERROR(INDEX(輔助計算!$D:$D, (MATCH(983, 輔助計算!$G$2:$G$801, 0)+1)), "")</f>
        <v/>
      </c>
      <c r="J984" s="15">
        <f>IFERROR(IF(AND(INDEX(輔助計算!$D:$D, (MATCH(983, 輔助計算!$G$2:$G$801, 0)+1))&lt;&gt;"", INDEX(ERP資料!$G:$G, (MATCH(983, 輔助計算!$G$2:$G$801, 0)+1))&lt;&gt;""), TRIM(IF(INT(INDEX(輔助計算!$D:$D, (MATCH(983, 輔助計算!$G$2:$G$801, 0)+1))/IF(INDEX(ERP資料!$G:$G, (MATCH(983, 輔助計算!$G$2:$G$801, 0)+1))&lt;100, IF(INDEX(ERP資料!$G:$G, (MATCH(983, 輔助計算!$G$2:$G$801, 0)+1))&lt;=31,3,IF(INDEX(ERP資料!$G:$G, (MATCH(983, 輔助計算!$G$2:$G$801, 0)+1))&lt;=46.5,2,1)), IF(INDEX(ERP資料!$G:$G, (MATCH(983, 輔助計算!$G$2:$G$801, 0)+1))&lt;=790,3,IF(INDEX(ERP資料!$G:$G, (MATCH(983, 輔助計算!$G$2:$G$801, 0)+1))&lt;=1181,2,1))))&gt;0, IF(IF(INDEX(ERP資料!$G:$G, (MATCH(983, 輔助計算!$G$2:$G$801, 0)+1))&lt;100, IF(INDEX(ERP資料!$G:$G, (MATCH(983, 輔助計算!$G$2:$G$801, 0)+1))&lt;=31,3,IF(INDEX(ERP資料!$G:$G, (MATCH(983, 輔助計算!$G$2:$G$801, 0)+1))&lt;=46.5,2,1)), IF(INDEX(ERP資料!$G:$G, (MATCH(983, 輔助計算!$G$2:$G$801, 0)+1))&lt;=790,3,IF(INDEX(ERP資料!$G:$G, (MATCH(983, 輔助計算!$G$2:$G$801, 0)+1))&lt;=1181,2,1)))=1,TEXT(INDEX(ERP資料!$G:$G, (MATCH(983, 輔助計算!$G$2:$G$801, 0)+1)),"0.##"),IF(IF(INDEX(ERP資料!$G:$G, (MATCH(983, 輔助計算!$G$2:$G$801, 0)+1))&lt;100, IF(INDEX(ERP資料!$G:$G, (MATCH(983, 輔助計算!$G$2:$G$801, 0)+1))&lt;=31,3,IF(INDEX(ERP資料!$G:$G, (MATCH(983, 輔助計算!$G$2:$G$801, 0)+1))&lt;=46.5,2,1)), IF(INDEX(ERP資料!$G:$G, (MATCH(983, 輔助計算!$G$2:$G$801, 0)+1))&lt;=790,3,IF(INDEX(ERP資料!$G:$G, (MATCH(983, 輔助計算!$G$2:$G$801, 0)+1))&lt;=1181,2,1)))=2,TEXT(INDEX(ERP資料!$G:$G, (MATCH(983, 輔助計算!$G$2:$G$801, 0)+1)),"0.##")&amp;"+"&amp;TEXT(INDEX(ERP資料!$G:$G, (MATCH(983, 輔助計算!$G$2:$G$801, 0)+1)),"0.##"),TEXT(INDEX(ERP資料!$G:$G, (MATCH(983, 輔助計算!$G$2:$G$801, 0)+1)),"0.##")&amp;"+"&amp;TEXT(INDEX(ERP資料!$G:$G, (MATCH(983, 輔助計算!$G$2:$G$801, 0)+1)),"0.##")&amp;"+"&amp;TEXT(INDEX(ERP資料!$G:$G, (MATCH(983, 輔助計算!$G$2:$G$801, 0)+1)),"0.##")))&amp;"-"&amp;INT(INDEX(輔助計算!$D:$D, (MATCH(983, 輔助計算!$G$2:$G$801, 0)+1))/IF(INDEX(ERP資料!$G:$G, (MATCH(983, 輔助計算!$G$2:$G$801, 0)+1))&lt;100, IF(INDEX(ERP資料!$G:$G, (MATCH(983, 輔助計算!$G$2:$G$801, 0)+1))&lt;=31,3,IF(INDEX(ERP資料!$G:$G, (MATCH(983, 輔助計算!$G$2:$G$801, 0)+1))&lt;=46.5,2,1)), IF(INDEX(ERP資料!$G:$G, (MATCH(983, 輔助計算!$G$2:$G$801, 0)+1))&lt;=790,3,IF(INDEX(ERP資料!$G:$G, (MATCH(983, 輔助計算!$G$2:$G$801, 0)+1))&lt;=1181,2,1)))), "")&amp;IF(AND(IF(INT(INDEX(輔助計算!$D:$D, (MATCH(983, 輔助計算!$G$2:$G$801, 0)+1))/IF(INDEX(ERP資料!$G:$G, (MATCH(983, 輔助計算!$G$2:$G$801, 0)+1))&lt;100, IF(INDEX(ERP資料!$G:$G, (MATCH(983, 輔助計算!$G$2:$G$801, 0)+1))&lt;=31,3,IF(INDEX(ERP資料!$G:$G, (MATCH(983, 輔助計算!$G$2:$G$801, 0)+1))&lt;=46.5,2,1)), IF(INDEX(ERP資料!$G:$G, (MATCH(983, 輔助計算!$G$2:$G$801, 0)+1))&lt;=790,3,IF(INDEX(ERP資料!$G:$G, (MATCH(983, 輔助計算!$G$2:$G$801, 0)+1))&lt;=1181,2,1))))&gt;0, IF(IF(INDEX(ERP資料!$G:$G, (MATCH(983, 輔助計算!$G$2:$G$801, 0)+1))&lt;100, IF(INDEX(ERP資料!$G:$G, (MATCH(983, 輔助計算!$G$2:$G$801, 0)+1))&lt;=31,3,IF(INDEX(ERP資料!$G:$G, (MATCH(983, 輔助計算!$G$2:$G$801, 0)+1))&lt;=46.5,2,1)), IF(INDEX(ERP資料!$G:$G, (MATCH(983, 輔助計算!$G$2:$G$801, 0)+1))&lt;=790,3,IF(INDEX(ERP資料!$G:$G, (MATCH(983, 輔助計算!$G$2:$G$801, 0)+1))&lt;=1181,2,1)))=1,TEXT(INDEX(ERP資料!$G:$G, (MATCH(983, 輔助計算!$G$2:$G$801, 0)+1)),"0.##"),IF(IF(INDEX(ERP資料!$G:$G, (MATCH(983, 輔助計算!$G$2:$G$801, 0)+1))&lt;100, IF(INDEX(ERP資料!$G:$G, (MATCH(983, 輔助計算!$G$2:$G$801, 0)+1))&lt;=31,3,IF(INDEX(ERP資料!$G:$G, (MATCH(983, 輔助計算!$G$2:$G$801, 0)+1))&lt;=46.5,2,1)), IF(INDEX(ERP資料!$G:$G, (MATCH(983, 輔助計算!$G$2:$G$801, 0)+1))&lt;=790,3,IF(INDEX(ERP資料!$G:$G, (MATCH(983, 輔助計算!$G$2:$G$801, 0)+1))&lt;=1181,2,1)))=2,TEXT(INDEX(ERP資料!$G:$G, (MATCH(983, 輔助計算!$G$2:$G$801, 0)+1)),"0.##")&amp;"+"&amp;TEXT(INDEX(ERP資料!$G:$G, (MATCH(983, 輔助計算!$G$2:$G$801, 0)+1)),"0.##"),TEXT(INDEX(ERP資料!$G:$G, (MATCH(983, 輔助計算!$G$2:$G$801, 0)+1)),"0.##")&amp;"+"&amp;TEXT(INDEX(ERP資料!$G:$G, (MATCH(983, 輔助計算!$G$2:$G$801, 0)+1)),"0.##")&amp;"+"&amp;TEXT(INDEX(ERP資料!$G:$G, (MATCH(983, 輔助計算!$G$2:$G$801, 0)+1)),"0.##")))&amp;"-"&amp;INT(INDEX(輔助計算!$D:$D, (MATCH(983, 輔助計算!$G$2:$G$801, 0)+1))/IF(INDEX(ERP資料!$G:$G, (MATCH(983, 輔助計算!$G$2:$G$801, 0)+1))&lt;100, IF(INDEX(ERP資料!$G:$G, (MATCH(983, 輔助計算!$G$2:$G$801, 0)+1))&lt;=31,3,IF(INDEX(ERP資料!$G:$G, (MATCH(983, 輔助計算!$G$2:$G$801, 0)+1))&lt;=46.5,2,1)), IF(INDEX(ERP資料!$G:$G, (MATCH(983, 輔助計算!$G$2:$G$801, 0)+1))&lt;=790,3,IF(INDEX(ERP資料!$G:$G, (MATCH(983, 輔助計算!$G$2:$G$801, 0)+1))&lt;=1181,2,1)))), "")&lt;&gt;"",IF(MOD(INDEX(輔助計算!$D:$D, (MATCH(983, 輔助計算!$G$2:$G$801, 0)+1)),IF(INDEX(ERP資料!$G:$G, (MATCH(983, 輔助計算!$G$2:$G$801, 0)+1))&lt;100, IF(INDEX(ERP資料!$G:$G, (MATCH(983, 輔助計算!$G$2:$G$801, 0)+1))&lt;=31,3,IF(INDEX(ERP資料!$G:$G, (MATCH(983, 輔助計算!$G$2:$G$801, 0)+1))&lt;=46.5,2,1)), IF(INDEX(ERP資料!$G:$G, (MATCH(983, 輔助計算!$G$2:$G$801, 0)+1))&lt;=790,3,IF(INDEX(ERP資料!$G:$G, (MATCH(983, 輔助計算!$G$2:$G$801, 0)+1))&lt;=1181,2,1))))=0,"",IF(MOD(INDEX(輔助計算!$D:$D, (MATCH(983, 輔助計算!$G$2:$G$801, 0)+1)),IF(INDEX(ERP資料!$G:$G, (MATCH(983, 輔助計算!$G$2:$G$801, 0)+1))&lt;100, IF(INDEX(ERP資料!$G:$G, (MATCH(983, 輔助計算!$G$2:$G$801, 0)+1))&lt;=31,3,IF(INDEX(ERP資料!$G:$G, (MATCH(983, 輔助計算!$G$2:$G$801, 0)+1))&lt;=46.5,2,1)), IF(INDEX(ERP資料!$G:$G, (MATCH(983, 輔助計算!$G$2:$G$801, 0)+1))&lt;=790,3,IF(INDEX(ERP資料!$G:$G, (MATCH(983, 輔助計算!$G$2:$G$801, 0)+1))&lt;=1181,2,1))))=0,"",IF(MOD(INDEX(輔助計算!$D:$D, (MATCH(983, 輔助計算!$G$2:$G$801, 0)+1)),IF(INDEX(ERP資料!$G:$G, (MATCH(983, 輔助計算!$G$2:$G$801, 0)+1))&lt;100, IF(INDEX(ERP資料!$G:$G, (MATCH(983, 輔助計算!$G$2:$G$801, 0)+1))&lt;=31,3,IF(INDEX(ERP資料!$G:$G, (MATCH(983, 輔助計算!$G$2:$G$801, 0)+1))&lt;=46.5,2,1)), IF(INDEX(ERP資料!$G:$G, (MATCH(983, 輔助計算!$G$2:$G$801, 0)+1))&lt;=790,3,IF(INDEX(ERP資料!$G:$G, (MATCH(983, 輔助計算!$G$2:$G$801, 0)+1))&lt;=1181,2,1))))=1,TEXT(INDEX(ERP資料!$G:$G, (MATCH(983, 輔助計算!$G$2:$G$801, 0)+1)),"0.##"),IF(MOD(INDEX(輔助計算!$D:$D, (MATCH(983, 輔助計算!$G$2:$G$801, 0)+1)),IF(INDEX(ERP資料!$G:$G, (MATCH(983, 輔助計算!$G$2:$G$801, 0)+1))&lt;100, IF(INDEX(ERP資料!$G:$G, (MATCH(983, 輔助計算!$G$2:$G$801, 0)+1))&lt;=31,3,IF(INDEX(ERP資料!$G:$G, (MATCH(983, 輔助計算!$G$2:$G$801, 0)+1))&lt;=46.5,2,1)), IF(INDEX(ERP資料!$G:$G, (MATCH(983, 輔助計算!$G$2:$G$801, 0)+1))&lt;=790,3,IF(INDEX(ERP資料!$G:$G, (MATCH(983, 輔助計算!$G$2:$G$801, 0)+1))&lt;=1181,2,1))))=2,TEXT(INDEX(ERP資料!$G:$G, (MATCH(983, 輔助計算!$G$2:$G$801, 0)+1)),"0.##")&amp;"+"&amp;TEXT(INDEX(ERP資料!$G:$G, (MATCH(983, 輔助計算!$G$2:$G$801, 0)+1)),"0.##"),TEXT(INDEX(ERP資料!$G:$G, (MATCH(983, 輔助計算!$G$2:$G$801, 0)+1)),"0.##")&amp;"+"&amp;TEXT(INDEX(ERP資料!$G:$G, (MATCH(983, 輔助計算!$G$2:$G$801, 0)+1)),"0.##")&amp;"+"&amp;TEXT(INDEX(ERP資料!$G:$G, (MATCH(983, 輔助計算!$G$2:$G$801, 0)+1)),"0.##"))))&amp;"-1")&lt;&gt;""),"  ","")&amp;IF(MOD(INDEX(輔助計算!$D:$D, (MATCH(983, 輔助計算!$G$2:$G$801, 0)+1)),IF(INDEX(ERP資料!$G:$G, (MATCH(983, 輔助計算!$G$2:$G$801, 0)+1))&lt;100, IF(INDEX(ERP資料!$G:$G, (MATCH(983, 輔助計算!$G$2:$G$801, 0)+1))&lt;=31,3,IF(INDEX(ERP資料!$G:$G, (MATCH(983, 輔助計算!$G$2:$G$801, 0)+1))&lt;=46.5,2,1)), IF(INDEX(ERP資料!$G:$G, (MATCH(983, 輔助計算!$G$2:$G$801, 0)+1))&lt;=790,3,IF(INDEX(ERP資料!$G:$G, (MATCH(983, 輔助計算!$G$2:$G$801, 0)+1))&lt;=1181,2,1))))=0,"",IF(MOD(INDEX(輔助計算!$D:$D, (MATCH(983, 輔助計算!$G$2:$G$801, 0)+1)),IF(INDEX(ERP資料!$G:$G, (MATCH(983, 輔助計算!$G$2:$G$801, 0)+1))&lt;100, IF(INDEX(ERP資料!$G:$G, (MATCH(983, 輔助計算!$G$2:$G$801, 0)+1))&lt;=31,3,IF(INDEX(ERP資料!$G:$G, (MATCH(983, 輔助計算!$G$2:$G$801, 0)+1))&lt;=46.5,2,1)), IF(INDEX(ERP資料!$G:$G, (MATCH(983, 輔助計算!$G$2:$G$801, 0)+1))&lt;=790,3,IF(INDEX(ERP資料!$G:$G, (MATCH(983, 輔助計算!$G$2:$G$801, 0)+1))&lt;=1181,2,1))))=0,"",IF(MOD(INDEX(輔助計算!$D:$D, (MATCH(983, 輔助計算!$G$2:$G$801, 0)+1)),IF(INDEX(ERP資料!$G:$G, (MATCH(983, 輔助計算!$G$2:$G$801, 0)+1))&lt;100, IF(INDEX(ERP資料!$G:$G, (MATCH(983, 輔助計算!$G$2:$G$801, 0)+1))&lt;=31,3,IF(INDEX(ERP資料!$G:$G, (MATCH(983, 輔助計算!$G$2:$G$801, 0)+1))&lt;=46.5,2,1)), IF(INDEX(ERP資料!$G:$G, (MATCH(983, 輔助計算!$G$2:$G$801, 0)+1))&lt;=790,3,IF(INDEX(ERP資料!$G:$G, (MATCH(983, 輔助計算!$G$2:$G$801, 0)+1))&lt;=1181,2,1))))=1,TEXT(INDEX(ERP資料!$G:$G, (MATCH(983, 輔助計算!$G$2:$G$801, 0)+1)),"0.##"),IF(MOD(INDEX(輔助計算!$D:$D, (MATCH(983, 輔助計算!$G$2:$G$801, 0)+1)),IF(INDEX(ERP資料!$G:$G, (MATCH(983, 輔助計算!$G$2:$G$801, 0)+1))&lt;100, IF(INDEX(ERP資料!$G:$G, (MATCH(983, 輔助計算!$G$2:$G$801, 0)+1))&lt;=31,3,IF(INDEX(ERP資料!$G:$G, (MATCH(983, 輔助計算!$G$2:$G$801, 0)+1))&lt;=46.5,2,1)), IF(INDEX(ERP資料!$G:$G, (MATCH(983, 輔助計算!$G$2:$G$801, 0)+1))&lt;=790,3,IF(INDEX(ERP資料!$G:$G, (MATCH(983, 輔助計算!$G$2:$G$801, 0)+1))&lt;=1181,2,1))))=2,TEXT(INDEX(ERP資料!$G:$G, (MATCH(983, 輔助計算!$G$2:$G$801, 0)+1)),"0.##")&amp;"+"&amp;TEXT(INDEX(ERP資料!$G:$G, (MATCH(983, 輔助計算!$G$2:$G$801, 0)+1)),"0.##"),TEXT(INDEX(ERP資料!$G:$G, (MATCH(983, 輔助計算!$G$2:$G$801, 0)+1)),"0.##")&amp;"+"&amp;TEXT(INDEX(ERP資料!$G:$G, (MATCH(983, 輔助計算!$G$2:$G$801, 0)+1)),"0.##")&amp;"+"&amp;TEXT(INDEX(ERP資料!$G:$G, (MATCH(983, 輔助計算!$G$2:$G$801, 0)+1)),"0.##"))))&amp;"-1")), ""), "")</f>
        <v/>
      </c>
      <c r="K984" s="16" t="n"/>
      <c r="L984" s="14">
        <f>IFERROR(IF(AND(IFERROR(INDEX(ERP資料!$A:$A, (MATCH(983, 輔助計算!$G$2:$G$801, 0)+1)), "")&lt;&gt;"", IFERROR(INDEX(ERP資料!$A:$A, (MATCH(983, 輔助計算!$G$2:$G$801, 0)+1)), "")&lt;&gt;IFERROR(INDEX(ERP資料!$A:$A, MATCH(982, 輔助計算!$G$2:$G$801, 0)+1), "")), INDEX(ERP資料!$B:$B, (MATCH(983, 輔助計算!$G$2:$G$801, 0)+1)), ""), "")</f>
        <v/>
      </c>
      <c r="M984" s="17" t="n"/>
    </row>
    <row r="985">
      <c r="A985" s="10">
        <f>IFERROR(IF(AND(IFERROR(INDEX(ERP資料!$A:$A, (MATCH(984, 輔助計算!$G$2:$G$801, 0)+1)), "")&lt;&gt;"", IFERROR(INDEX(ERP資料!$A:$A, (MATCH(984, 輔助計算!$G$2:$G$801, 0)+1)), "")&lt;&gt;IFERROR(INDEX(ERP資料!$A:$A, MATCH(983, 輔助計算!$G$2:$G$801, 0)+1), "")), IFERROR(INDEX(ERP資料!$A:$A, (MATCH(984, 輔助計算!$G$2:$G$801, 0)+1)), ""), ""), "")</f>
        <v/>
      </c>
      <c r="B985" s="10">
        <f>IFERROR(IF(AND(IFERROR(INDEX(ERP資料!$A:$A, (MATCH(984, 輔助計算!$G$2:$G$801, 0)+1)), "")&lt;&gt;"", IFERROR(INDEX(ERP資料!$A:$A, (MATCH(984, 輔助計算!$G$2:$G$801, 0)+1)), "")&lt;&gt;IFERROR(INDEX(ERP資料!$A:$A, MATCH(983, 輔助計算!$G$2:$G$801, 0)+1), "")), INDEX(ERP資料!$S:$S, (MATCH(984, 輔助計算!$G$2:$G$801, 0)+1)), ""), "")</f>
        <v/>
      </c>
      <c r="C985" s="19">
        <f>IFERROR(IF(AND(IFERROR(INDEX(ERP資料!$A:$A, (MATCH(984, 輔助計算!$G$2:$G$801, 0)+1)), "")&lt;&gt;"", IFERROR(INDEX(ERP資料!$A:$A, (MATCH(984, 輔助計算!$G$2:$G$801, 0)+1)), "")&lt;&gt;IFERROR(INDEX(ERP資料!$A:$A, MATCH(983, 輔助計算!$G$2:$G$801, 0)+1), "")), IFERROR(VLOOKUP(LEFT(INDEX(ERP資料!$S:$S, (MATCH(984, 輔助計算!$G$2:$G$801, 0)+1)), 4), 紙管對照表!$A:$C, 3, FALSE), ""), ""), "")</f>
        <v/>
      </c>
      <c r="D985" s="16" t="n"/>
      <c r="E985" s="10">
        <f>IFERROR(IF(INDEX(ERP資料!$H:$H, (MATCH(984, 輔助計算!$G$2:$G$801, 0)+1))="","",INDEX(ERP資料!$H:$H, (MATCH(984, 輔助計算!$G$2:$G$801, 0)+1))), "")</f>
        <v/>
      </c>
      <c r="F985" s="10">
        <f>IFERROR(IF(INDEX(ERP資料!$E:$E, (MATCH(984, 輔助計算!$G$2:$G$801, 0)+1))="","",TRIM(INDEX(ERP資料!$E:$E, (MATCH(984, 輔助計算!$G$2:$G$801, 0)+1)))), "")</f>
        <v/>
      </c>
      <c r="G985" s="10">
        <f>IFERROR(IF(INDEX(ERP資料!$F:$F, (MATCH(984, 輔助計算!$G$2:$G$801, 0)+1))="","",INDEX(ERP資料!$F:$F, (MATCH(984, 輔助計算!$G$2:$G$801, 0)+1))), "")</f>
        <v/>
      </c>
      <c r="H985" s="10">
        <f>IFERROR(IF(INDEX(ERP資料!$G:$G, (MATCH(984, 輔助計算!$G$2:$G$801, 0)+1))="","",INDEX(ERP資料!$G:$G, (MATCH(984, 輔助計算!$G$2:$G$801, 0)+1))), "")</f>
        <v/>
      </c>
      <c r="I985" s="15">
        <f>IFERROR(INDEX(輔助計算!$D:$D, (MATCH(984, 輔助計算!$G$2:$G$801, 0)+1)), "")</f>
        <v/>
      </c>
      <c r="J985" s="15">
        <f>IFERROR(IF(AND(INDEX(輔助計算!$D:$D, (MATCH(984, 輔助計算!$G$2:$G$801, 0)+1))&lt;&gt;"", INDEX(ERP資料!$G:$G, (MATCH(984, 輔助計算!$G$2:$G$801, 0)+1))&lt;&gt;""), TRIM(IF(INT(INDEX(輔助計算!$D:$D, (MATCH(984, 輔助計算!$G$2:$G$801, 0)+1))/IF(INDEX(ERP資料!$G:$G, (MATCH(984, 輔助計算!$G$2:$G$801, 0)+1))&lt;100, IF(INDEX(ERP資料!$G:$G, (MATCH(984, 輔助計算!$G$2:$G$801, 0)+1))&lt;=31,3,IF(INDEX(ERP資料!$G:$G, (MATCH(984, 輔助計算!$G$2:$G$801, 0)+1))&lt;=46.5,2,1)), IF(INDEX(ERP資料!$G:$G, (MATCH(984, 輔助計算!$G$2:$G$801, 0)+1))&lt;=790,3,IF(INDEX(ERP資料!$G:$G, (MATCH(984, 輔助計算!$G$2:$G$801, 0)+1))&lt;=1181,2,1))))&gt;0, IF(IF(INDEX(ERP資料!$G:$G, (MATCH(984, 輔助計算!$G$2:$G$801, 0)+1))&lt;100, IF(INDEX(ERP資料!$G:$G, (MATCH(984, 輔助計算!$G$2:$G$801, 0)+1))&lt;=31,3,IF(INDEX(ERP資料!$G:$G, (MATCH(984, 輔助計算!$G$2:$G$801, 0)+1))&lt;=46.5,2,1)), IF(INDEX(ERP資料!$G:$G, (MATCH(984, 輔助計算!$G$2:$G$801, 0)+1))&lt;=790,3,IF(INDEX(ERP資料!$G:$G, (MATCH(984, 輔助計算!$G$2:$G$801, 0)+1))&lt;=1181,2,1)))=1,TEXT(INDEX(ERP資料!$G:$G, (MATCH(984, 輔助計算!$G$2:$G$801, 0)+1)),"0.##"),IF(IF(INDEX(ERP資料!$G:$G, (MATCH(984, 輔助計算!$G$2:$G$801, 0)+1))&lt;100, IF(INDEX(ERP資料!$G:$G, (MATCH(984, 輔助計算!$G$2:$G$801, 0)+1))&lt;=31,3,IF(INDEX(ERP資料!$G:$G, (MATCH(984, 輔助計算!$G$2:$G$801, 0)+1))&lt;=46.5,2,1)), IF(INDEX(ERP資料!$G:$G, (MATCH(984, 輔助計算!$G$2:$G$801, 0)+1))&lt;=790,3,IF(INDEX(ERP資料!$G:$G, (MATCH(984, 輔助計算!$G$2:$G$801, 0)+1))&lt;=1181,2,1)))=2,TEXT(INDEX(ERP資料!$G:$G, (MATCH(984, 輔助計算!$G$2:$G$801, 0)+1)),"0.##")&amp;"+"&amp;TEXT(INDEX(ERP資料!$G:$G, (MATCH(984, 輔助計算!$G$2:$G$801, 0)+1)),"0.##"),TEXT(INDEX(ERP資料!$G:$G, (MATCH(984, 輔助計算!$G$2:$G$801, 0)+1)),"0.##")&amp;"+"&amp;TEXT(INDEX(ERP資料!$G:$G, (MATCH(984, 輔助計算!$G$2:$G$801, 0)+1)),"0.##")&amp;"+"&amp;TEXT(INDEX(ERP資料!$G:$G, (MATCH(984, 輔助計算!$G$2:$G$801, 0)+1)),"0.##")))&amp;"-"&amp;INT(INDEX(輔助計算!$D:$D, (MATCH(984, 輔助計算!$G$2:$G$801, 0)+1))/IF(INDEX(ERP資料!$G:$G, (MATCH(984, 輔助計算!$G$2:$G$801, 0)+1))&lt;100, IF(INDEX(ERP資料!$G:$G, (MATCH(984, 輔助計算!$G$2:$G$801, 0)+1))&lt;=31,3,IF(INDEX(ERP資料!$G:$G, (MATCH(984, 輔助計算!$G$2:$G$801, 0)+1))&lt;=46.5,2,1)), IF(INDEX(ERP資料!$G:$G, (MATCH(984, 輔助計算!$G$2:$G$801, 0)+1))&lt;=790,3,IF(INDEX(ERP資料!$G:$G, (MATCH(984, 輔助計算!$G$2:$G$801, 0)+1))&lt;=1181,2,1)))), "")&amp;IF(AND(IF(INT(INDEX(輔助計算!$D:$D, (MATCH(984, 輔助計算!$G$2:$G$801, 0)+1))/IF(INDEX(ERP資料!$G:$G, (MATCH(984, 輔助計算!$G$2:$G$801, 0)+1))&lt;100, IF(INDEX(ERP資料!$G:$G, (MATCH(984, 輔助計算!$G$2:$G$801, 0)+1))&lt;=31,3,IF(INDEX(ERP資料!$G:$G, (MATCH(984, 輔助計算!$G$2:$G$801, 0)+1))&lt;=46.5,2,1)), IF(INDEX(ERP資料!$G:$G, (MATCH(984, 輔助計算!$G$2:$G$801, 0)+1))&lt;=790,3,IF(INDEX(ERP資料!$G:$G, (MATCH(984, 輔助計算!$G$2:$G$801, 0)+1))&lt;=1181,2,1))))&gt;0, IF(IF(INDEX(ERP資料!$G:$G, (MATCH(984, 輔助計算!$G$2:$G$801, 0)+1))&lt;100, IF(INDEX(ERP資料!$G:$G, (MATCH(984, 輔助計算!$G$2:$G$801, 0)+1))&lt;=31,3,IF(INDEX(ERP資料!$G:$G, (MATCH(984, 輔助計算!$G$2:$G$801, 0)+1))&lt;=46.5,2,1)), IF(INDEX(ERP資料!$G:$G, (MATCH(984, 輔助計算!$G$2:$G$801, 0)+1))&lt;=790,3,IF(INDEX(ERP資料!$G:$G, (MATCH(984, 輔助計算!$G$2:$G$801, 0)+1))&lt;=1181,2,1)))=1,TEXT(INDEX(ERP資料!$G:$G, (MATCH(984, 輔助計算!$G$2:$G$801, 0)+1)),"0.##"),IF(IF(INDEX(ERP資料!$G:$G, (MATCH(984, 輔助計算!$G$2:$G$801, 0)+1))&lt;100, IF(INDEX(ERP資料!$G:$G, (MATCH(984, 輔助計算!$G$2:$G$801, 0)+1))&lt;=31,3,IF(INDEX(ERP資料!$G:$G, (MATCH(984, 輔助計算!$G$2:$G$801, 0)+1))&lt;=46.5,2,1)), IF(INDEX(ERP資料!$G:$G, (MATCH(984, 輔助計算!$G$2:$G$801, 0)+1))&lt;=790,3,IF(INDEX(ERP資料!$G:$G, (MATCH(984, 輔助計算!$G$2:$G$801, 0)+1))&lt;=1181,2,1)))=2,TEXT(INDEX(ERP資料!$G:$G, (MATCH(984, 輔助計算!$G$2:$G$801, 0)+1)),"0.##")&amp;"+"&amp;TEXT(INDEX(ERP資料!$G:$G, (MATCH(984, 輔助計算!$G$2:$G$801, 0)+1)),"0.##"),TEXT(INDEX(ERP資料!$G:$G, (MATCH(984, 輔助計算!$G$2:$G$801, 0)+1)),"0.##")&amp;"+"&amp;TEXT(INDEX(ERP資料!$G:$G, (MATCH(984, 輔助計算!$G$2:$G$801, 0)+1)),"0.##")&amp;"+"&amp;TEXT(INDEX(ERP資料!$G:$G, (MATCH(984, 輔助計算!$G$2:$G$801, 0)+1)),"0.##")))&amp;"-"&amp;INT(INDEX(輔助計算!$D:$D, (MATCH(984, 輔助計算!$G$2:$G$801, 0)+1))/IF(INDEX(ERP資料!$G:$G, (MATCH(984, 輔助計算!$G$2:$G$801, 0)+1))&lt;100, IF(INDEX(ERP資料!$G:$G, (MATCH(984, 輔助計算!$G$2:$G$801, 0)+1))&lt;=31,3,IF(INDEX(ERP資料!$G:$G, (MATCH(984, 輔助計算!$G$2:$G$801, 0)+1))&lt;=46.5,2,1)), IF(INDEX(ERP資料!$G:$G, (MATCH(984, 輔助計算!$G$2:$G$801, 0)+1))&lt;=790,3,IF(INDEX(ERP資料!$G:$G, (MATCH(984, 輔助計算!$G$2:$G$801, 0)+1))&lt;=1181,2,1)))), "")&lt;&gt;"",IF(MOD(INDEX(輔助計算!$D:$D, (MATCH(984, 輔助計算!$G$2:$G$801, 0)+1)),IF(INDEX(ERP資料!$G:$G, (MATCH(984, 輔助計算!$G$2:$G$801, 0)+1))&lt;100, IF(INDEX(ERP資料!$G:$G, (MATCH(984, 輔助計算!$G$2:$G$801, 0)+1))&lt;=31,3,IF(INDEX(ERP資料!$G:$G, (MATCH(984, 輔助計算!$G$2:$G$801, 0)+1))&lt;=46.5,2,1)), IF(INDEX(ERP資料!$G:$G, (MATCH(984, 輔助計算!$G$2:$G$801, 0)+1))&lt;=790,3,IF(INDEX(ERP資料!$G:$G, (MATCH(984, 輔助計算!$G$2:$G$801, 0)+1))&lt;=1181,2,1))))=0,"",IF(MOD(INDEX(輔助計算!$D:$D, (MATCH(984, 輔助計算!$G$2:$G$801, 0)+1)),IF(INDEX(ERP資料!$G:$G, (MATCH(984, 輔助計算!$G$2:$G$801, 0)+1))&lt;100, IF(INDEX(ERP資料!$G:$G, (MATCH(984, 輔助計算!$G$2:$G$801, 0)+1))&lt;=31,3,IF(INDEX(ERP資料!$G:$G, (MATCH(984, 輔助計算!$G$2:$G$801, 0)+1))&lt;=46.5,2,1)), IF(INDEX(ERP資料!$G:$G, (MATCH(984, 輔助計算!$G$2:$G$801, 0)+1))&lt;=790,3,IF(INDEX(ERP資料!$G:$G, (MATCH(984, 輔助計算!$G$2:$G$801, 0)+1))&lt;=1181,2,1))))=0,"",IF(MOD(INDEX(輔助計算!$D:$D, (MATCH(984, 輔助計算!$G$2:$G$801, 0)+1)),IF(INDEX(ERP資料!$G:$G, (MATCH(984, 輔助計算!$G$2:$G$801, 0)+1))&lt;100, IF(INDEX(ERP資料!$G:$G, (MATCH(984, 輔助計算!$G$2:$G$801, 0)+1))&lt;=31,3,IF(INDEX(ERP資料!$G:$G, (MATCH(984, 輔助計算!$G$2:$G$801, 0)+1))&lt;=46.5,2,1)), IF(INDEX(ERP資料!$G:$G, (MATCH(984, 輔助計算!$G$2:$G$801, 0)+1))&lt;=790,3,IF(INDEX(ERP資料!$G:$G, (MATCH(984, 輔助計算!$G$2:$G$801, 0)+1))&lt;=1181,2,1))))=1,TEXT(INDEX(ERP資料!$G:$G, (MATCH(984, 輔助計算!$G$2:$G$801, 0)+1)),"0.##"),IF(MOD(INDEX(輔助計算!$D:$D, (MATCH(984, 輔助計算!$G$2:$G$801, 0)+1)),IF(INDEX(ERP資料!$G:$G, (MATCH(984, 輔助計算!$G$2:$G$801, 0)+1))&lt;100, IF(INDEX(ERP資料!$G:$G, (MATCH(984, 輔助計算!$G$2:$G$801, 0)+1))&lt;=31,3,IF(INDEX(ERP資料!$G:$G, (MATCH(984, 輔助計算!$G$2:$G$801, 0)+1))&lt;=46.5,2,1)), IF(INDEX(ERP資料!$G:$G, (MATCH(984, 輔助計算!$G$2:$G$801, 0)+1))&lt;=790,3,IF(INDEX(ERP資料!$G:$G, (MATCH(984, 輔助計算!$G$2:$G$801, 0)+1))&lt;=1181,2,1))))=2,TEXT(INDEX(ERP資料!$G:$G, (MATCH(984, 輔助計算!$G$2:$G$801, 0)+1)),"0.##")&amp;"+"&amp;TEXT(INDEX(ERP資料!$G:$G, (MATCH(984, 輔助計算!$G$2:$G$801, 0)+1)),"0.##"),TEXT(INDEX(ERP資料!$G:$G, (MATCH(984, 輔助計算!$G$2:$G$801, 0)+1)),"0.##")&amp;"+"&amp;TEXT(INDEX(ERP資料!$G:$G, (MATCH(984, 輔助計算!$G$2:$G$801, 0)+1)),"0.##")&amp;"+"&amp;TEXT(INDEX(ERP資料!$G:$G, (MATCH(984, 輔助計算!$G$2:$G$801, 0)+1)),"0.##"))))&amp;"-1")&lt;&gt;""),"  ","")&amp;IF(MOD(INDEX(輔助計算!$D:$D, (MATCH(984, 輔助計算!$G$2:$G$801, 0)+1)),IF(INDEX(ERP資料!$G:$G, (MATCH(984, 輔助計算!$G$2:$G$801, 0)+1))&lt;100, IF(INDEX(ERP資料!$G:$G, (MATCH(984, 輔助計算!$G$2:$G$801, 0)+1))&lt;=31,3,IF(INDEX(ERP資料!$G:$G, (MATCH(984, 輔助計算!$G$2:$G$801, 0)+1))&lt;=46.5,2,1)), IF(INDEX(ERP資料!$G:$G, (MATCH(984, 輔助計算!$G$2:$G$801, 0)+1))&lt;=790,3,IF(INDEX(ERP資料!$G:$G, (MATCH(984, 輔助計算!$G$2:$G$801, 0)+1))&lt;=1181,2,1))))=0,"",IF(MOD(INDEX(輔助計算!$D:$D, (MATCH(984, 輔助計算!$G$2:$G$801, 0)+1)),IF(INDEX(ERP資料!$G:$G, (MATCH(984, 輔助計算!$G$2:$G$801, 0)+1))&lt;100, IF(INDEX(ERP資料!$G:$G, (MATCH(984, 輔助計算!$G$2:$G$801, 0)+1))&lt;=31,3,IF(INDEX(ERP資料!$G:$G, (MATCH(984, 輔助計算!$G$2:$G$801, 0)+1))&lt;=46.5,2,1)), IF(INDEX(ERP資料!$G:$G, (MATCH(984, 輔助計算!$G$2:$G$801, 0)+1))&lt;=790,3,IF(INDEX(ERP資料!$G:$G, (MATCH(984, 輔助計算!$G$2:$G$801, 0)+1))&lt;=1181,2,1))))=0,"",IF(MOD(INDEX(輔助計算!$D:$D, (MATCH(984, 輔助計算!$G$2:$G$801, 0)+1)),IF(INDEX(ERP資料!$G:$G, (MATCH(984, 輔助計算!$G$2:$G$801, 0)+1))&lt;100, IF(INDEX(ERP資料!$G:$G, (MATCH(984, 輔助計算!$G$2:$G$801, 0)+1))&lt;=31,3,IF(INDEX(ERP資料!$G:$G, (MATCH(984, 輔助計算!$G$2:$G$801, 0)+1))&lt;=46.5,2,1)), IF(INDEX(ERP資料!$G:$G, (MATCH(984, 輔助計算!$G$2:$G$801, 0)+1))&lt;=790,3,IF(INDEX(ERP資料!$G:$G, (MATCH(984, 輔助計算!$G$2:$G$801, 0)+1))&lt;=1181,2,1))))=1,TEXT(INDEX(ERP資料!$G:$G, (MATCH(984, 輔助計算!$G$2:$G$801, 0)+1)),"0.##"),IF(MOD(INDEX(輔助計算!$D:$D, (MATCH(984, 輔助計算!$G$2:$G$801, 0)+1)),IF(INDEX(ERP資料!$G:$G, (MATCH(984, 輔助計算!$G$2:$G$801, 0)+1))&lt;100, IF(INDEX(ERP資料!$G:$G, (MATCH(984, 輔助計算!$G$2:$G$801, 0)+1))&lt;=31,3,IF(INDEX(ERP資料!$G:$G, (MATCH(984, 輔助計算!$G$2:$G$801, 0)+1))&lt;=46.5,2,1)), IF(INDEX(ERP資料!$G:$G, (MATCH(984, 輔助計算!$G$2:$G$801, 0)+1))&lt;=790,3,IF(INDEX(ERP資料!$G:$G, (MATCH(984, 輔助計算!$G$2:$G$801, 0)+1))&lt;=1181,2,1))))=2,TEXT(INDEX(ERP資料!$G:$G, (MATCH(984, 輔助計算!$G$2:$G$801, 0)+1)),"0.##")&amp;"+"&amp;TEXT(INDEX(ERP資料!$G:$G, (MATCH(984, 輔助計算!$G$2:$G$801, 0)+1)),"0.##"),TEXT(INDEX(ERP資料!$G:$G, (MATCH(984, 輔助計算!$G$2:$G$801, 0)+1)),"0.##")&amp;"+"&amp;TEXT(INDEX(ERP資料!$G:$G, (MATCH(984, 輔助計算!$G$2:$G$801, 0)+1)),"0.##")&amp;"+"&amp;TEXT(INDEX(ERP資料!$G:$G, (MATCH(984, 輔助計算!$G$2:$G$801, 0)+1)),"0.##"))))&amp;"-1")), ""), "")</f>
        <v/>
      </c>
      <c r="K985" s="16" t="n"/>
      <c r="L985" s="14">
        <f>IFERROR(IF(AND(IFERROR(INDEX(ERP資料!$A:$A, (MATCH(984, 輔助計算!$G$2:$G$801, 0)+1)), "")&lt;&gt;"", IFERROR(INDEX(ERP資料!$A:$A, (MATCH(984, 輔助計算!$G$2:$G$801, 0)+1)), "")&lt;&gt;IFERROR(INDEX(ERP資料!$A:$A, MATCH(983, 輔助計算!$G$2:$G$801, 0)+1), "")), INDEX(ERP資料!$B:$B, (MATCH(984, 輔助計算!$G$2:$G$801, 0)+1)), ""), "")</f>
        <v/>
      </c>
      <c r="M985" s="17" t="n"/>
    </row>
    <row r="986">
      <c r="A986" s="10">
        <f>IFERROR(IF(AND(IFERROR(INDEX(ERP資料!$A:$A, (MATCH(985, 輔助計算!$G$2:$G$801, 0)+1)), "")&lt;&gt;"", IFERROR(INDEX(ERP資料!$A:$A, (MATCH(985, 輔助計算!$G$2:$G$801, 0)+1)), "")&lt;&gt;IFERROR(INDEX(ERP資料!$A:$A, MATCH(984, 輔助計算!$G$2:$G$801, 0)+1), "")), IFERROR(INDEX(ERP資料!$A:$A, (MATCH(985, 輔助計算!$G$2:$G$801, 0)+1)), ""), ""), "")</f>
        <v/>
      </c>
      <c r="B986" s="10">
        <f>IFERROR(IF(AND(IFERROR(INDEX(ERP資料!$A:$A, (MATCH(985, 輔助計算!$G$2:$G$801, 0)+1)), "")&lt;&gt;"", IFERROR(INDEX(ERP資料!$A:$A, (MATCH(985, 輔助計算!$G$2:$G$801, 0)+1)), "")&lt;&gt;IFERROR(INDEX(ERP資料!$A:$A, MATCH(984, 輔助計算!$G$2:$G$801, 0)+1), "")), INDEX(ERP資料!$S:$S, (MATCH(985, 輔助計算!$G$2:$G$801, 0)+1)), ""), "")</f>
        <v/>
      </c>
      <c r="C986" s="19">
        <f>IFERROR(IF(AND(IFERROR(INDEX(ERP資料!$A:$A, (MATCH(985, 輔助計算!$G$2:$G$801, 0)+1)), "")&lt;&gt;"", IFERROR(INDEX(ERP資料!$A:$A, (MATCH(985, 輔助計算!$G$2:$G$801, 0)+1)), "")&lt;&gt;IFERROR(INDEX(ERP資料!$A:$A, MATCH(984, 輔助計算!$G$2:$G$801, 0)+1), "")), IFERROR(VLOOKUP(LEFT(INDEX(ERP資料!$S:$S, (MATCH(985, 輔助計算!$G$2:$G$801, 0)+1)), 4), 紙管對照表!$A:$C, 3, FALSE), ""), ""), "")</f>
        <v/>
      </c>
      <c r="D986" s="16" t="n"/>
      <c r="E986" s="10">
        <f>IFERROR(IF(INDEX(ERP資料!$H:$H, (MATCH(985, 輔助計算!$G$2:$G$801, 0)+1))="","",INDEX(ERP資料!$H:$H, (MATCH(985, 輔助計算!$G$2:$G$801, 0)+1))), "")</f>
        <v/>
      </c>
      <c r="F986" s="10">
        <f>IFERROR(IF(INDEX(ERP資料!$E:$E, (MATCH(985, 輔助計算!$G$2:$G$801, 0)+1))="","",TRIM(INDEX(ERP資料!$E:$E, (MATCH(985, 輔助計算!$G$2:$G$801, 0)+1)))), "")</f>
        <v/>
      </c>
      <c r="G986" s="10">
        <f>IFERROR(IF(INDEX(ERP資料!$F:$F, (MATCH(985, 輔助計算!$G$2:$G$801, 0)+1))="","",INDEX(ERP資料!$F:$F, (MATCH(985, 輔助計算!$G$2:$G$801, 0)+1))), "")</f>
        <v/>
      </c>
      <c r="H986" s="10">
        <f>IFERROR(IF(INDEX(ERP資料!$G:$G, (MATCH(985, 輔助計算!$G$2:$G$801, 0)+1))="","",INDEX(ERP資料!$G:$G, (MATCH(985, 輔助計算!$G$2:$G$801, 0)+1))), "")</f>
        <v/>
      </c>
      <c r="I986" s="15">
        <f>IFERROR(INDEX(輔助計算!$D:$D, (MATCH(985, 輔助計算!$G$2:$G$801, 0)+1)), "")</f>
        <v/>
      </c>
      <c r="J986" s="15">
        <f>IFERROR(IF(AND(INDEX(輔助計算!$D:$D, (MATCH(985, 輔助計算!$G$2:$G$801, 0)+1))&lt;&gt;"", INDEX(ERP資料!$G:$G, (MATCH(985, 輔助計算!$G$2:$G$801, 0)+1))&lt;&gt;""), TRIM(IF(INT(INDEX(輔助計算!$D:$D, (MATCH(985, 輔助計算!$G$2:$G$801, 0)+1))/IF(INDEX(ERP資料!$G:$G, (MATCH(985, 輔助計算!$G$2:$G$801, 0)+1))&lt;100, IF(INDEX(ERP資料!$G:$G, (MATCH(985, 輔助計算!$G$2:$G$801, 0)+1))&lt;=31,3,IF(INDEX(ERP資料!$G:$G, (MATCH(985, 輔助計算!$G$2:$G$801, 0)+1))&lt;=46.5,2,1)), IF(INDEX(ERP資料!$G:$G, (MATCH(985, 輔助計算!$G$2:$G$801, 0)+1))&lt;=790,3,IF(INDEX(ERP資料!$G:$G, (MATCH(985, 輔助計算!$G$2:$G$801, 0)+1))&lt;=1181,2,1))))&gt;0, IF(IF(INDEX(ERP資料!$G:$G, (MATCH(985, 輔助計算!$G$2:$G$801, 0)+1))&lt;100, IF(INDEX(ERP資料!$G:$G, (MATCH(985, 輔助計算!$G$2:$G$801, 0)+1))&lt;=31,3,IF(INDEX(ERP資料!$G:$G, (MATCH(985, 輔助計算!$G$2:$G$801, 0)+1))&lt;=46.5,2,1)), IF(INDEX(ERP資料!$G:$G, (MATCH(985, 輔助計算!$G$2:$G$801, 0)+1))&lt;=790,3,IF(INDEX(ERP資料!$G:$G, (MATCH(985, 輔助計算!$G$2:$G$801, 0)+1))&lt;=1181,2,1)))=1,TEXT(INDEX(ERP資料!$G:$G, (MATCH(985, 輔助計算!$G$2:$G$801, 0)+1)),"0.##"),IF(IF(INDEX(ERP資料!$G:$G, (MATCH(985, 輔助計算!$G$2:$G$801, 0)+1))&lt;100, IF(INDEX(ERP資料!$G:$G, (MATCH(985, 輔助計算!$G$2:$G$801, 0)+1))&lt;=31,3,IF(INDEX(ERP資料!$G:$G, (MATCH(985, 輔助計算!$G$2:$G$801, 0)+1))&lt;=46.5,2,1)), IF(INDEX(ERP資料!$G:$G, (MATCH(985, 輔助計算!$G$2:$G$801, 0)+1))&lt;=790,3,IF(INDEX(ERP資料!$G:$G, (MATCH(985, 輔助計算!$G$2:$G$801, 0)+1))&lt;=1181,2,1)))=2,TEXT(INDEX(ERP資料!$G:$G, (MATCH(985, 輔助計算!$G$2:$G$801, 0)+1)),"0.##")&amp;"+"&amp;TEXT(INDEX(ERP資料!$G:$G, (MATCH(985, 輔助計算!$G$2:$G$801, 0)+1)),"0.##"),TEXT(INDEX(ERP資料!$G:$G, (MATCH(985, 輔助計算!$G$2:$G$801, 0)+1)),"0.##")&amp;"+"&amp;TEXT(INDEX(ERP資料!$G:$G, (MATCH(985, 輔助計算!$G$2:$G$801, 0)+1)),"0.##")&amp;"+"&amp;TEXT(INDEX(ERP資料!$G:$G, (MATCH(985, 輔助計算!$G$2:$G$801, 0)+1)),"0.##")))&amp;"-"&amp;INT(INDEX(輔助計算!$D:$D, (MATCH(985, 輔助計算!$G$2:$G$801, 0)+1))/IF(INDEX(ERP資料!$G:$G, (MATCH(985, 輔助計算!$G$2:$G$801, 0)+1))&lt;100, IF(INDEX(ERP資料!$G:$G, (MATCH(985, 輔助計算!$G$2:$G$801, 0)+1))&lt;=31,3,IF(INDEX(ERP資料!$G:$G, (MATCH(985, 輔助計算!$G$2:$G$801, 0)+1))&lt;=46.5,2,1)), IF(INDEX(ERP資料!$G:$G, (MATCH(985, 輔助計算!$G$2:$G$801, 0)+1))&lt;=790,3,IF(INDEX(ERP資料!$G:$G, (MATCH(985, 輔助計算!$G$2:$G$801, 0)+1))&lt;=1181,2,1)))), "")&amp;IF(AND(IF(INT(INDEX(輔助計算!$D:$D, (MATCH(985, 輔助計算!$G$2:$G$801, 0)+1))/IF(INDEX(ERP資料!$G:$G, (MATCH(985, 輔助計算!$G$2:$G$801, 0)+1))&lt;100, IF(INDEX(ERP資料!$G:$G, (MATCH(985, 輔助計算!$G$2:$G$801, 0)+1))&lt;=31,3,IF(INDEX(ERP資料!$G:$G, (MATCH(985, 輔助計算!$G$2:$G$801, 0)+1))&lt;=46.5,2,1)), IF(INDEX(ERP資料!$G:$G, (MATCH(985, 輔助計算!$G$2:$G$801, 0)+1))&lt;=790,3,IF(INDEX(ERP資料!$G:$G, (MATCH(985, 輔助計算!$G$2:$G$801, 0)+1))&lt;=1181,2,1))))&gt;0, IF(IF(INDEX(ERP資料!$G:$G, (MATCH(985, 輔助計算!$G$2:$G$801, 0)+1))&lt;100, IF(INDEX(ERP資料!$G:$G, (MATCH(985, 輔助計算!$G$2:$G$801, 0)+1))&lt;=31,3,IF(INDEX(ERP資料!$G:$G, (MATCH(985, 輔助計算!$G$2:$G$801, 0)+1))&lt;=46.5,2,1)), IF(INDEX(ERP資料!$G:$G, (MATCH(985, 輔助計算!$G$2:$G$801, 0)+1))&lt;=790,3,IF(INDEX(ERP資料!$G:$G, (MATCH(985, 輔助計算!$G$2:$G$801, 0)+1))&lt;=1181,2,1)))=1,TEXT(INDEX(ERP資料!$G:$G, (MATCH(985, 輔助計算!$G$2:$G$801, 0)+1)),"0.##"),IF(IF(INDEX(ERP資料!$G:$G, (MATCH(985, 輔助計算!$G$2:$G$801, 0)+1))&lt;100, IF(INDEX(ERP資料!$G:$G, (MATCH(985, 輔助計算!$G$2:$G$801, 0)+1))&lt;=31,3,IF(INDEX(ERP資料!$G:$G, (MATCH(985, 輔助計算!$G$2:$G$801, 0)+1))&lt;=46.5,2,1)), IF(INDEX(ERP資料!$G:$G, (MATCH(985, 輔助計算!$G$2:$G$801, 0)+1))&lt;=790,3,IF(INDEX(ERP資料!$G:$G, (MATCH(985, 輔助計算!$G$2:$G$801, 0)+1))&lt;=1181,2,1)))=2,TEXT(INDEX(ERP資料!$G:$G, (MATCH(985, 輔助計算!$G$2:$G$801, 0)+1)),"0.##")&amp;"+"&amp;TEXT(INDEX(ERP資料!$G:$G, (MATCH(985, 輔助計算!$G$2:$G$801, 0)+1)),"0.##"),TEXT(INDEX(ERP資料!$G:$G, (MATCH(985, 輔助計算!$G$2:$G$801, 0)+1)),"0.##")&amp;"+"&amp;TEXT(INDEX(ERP資料!$G:$G, (MATCH(985, 輔助計算!$G$2:$G$801, 0)+1)),"0.##")&amp;"+"&amp;TEXT(INDEX(ERP資料!$G:$G, (MATCH(985, 輔助計算!$G$2:$G$801, 0)+1)),"0.##")))&amp;"-"&amp;INT(INDEX(輔助計算!$D:$D, (MATCH(985, 輔助計算!$G$2:$G$801, 0)+1))/IF(INDEX(ERP資料!$G:$G, (MATCH(985, 輔助計算!$G$2:$G$801, 0)+1))&lt;100, IF(INDEX(ERP資料!$G:$G, (MATCH(985, 輔助計算!$G$2:$G$801, 0)+1))&lt;=31,3,IF(INDEX(ERP資料!$G:$G, (MATCH(985, 輔助計算!$G$2:$G$801, 0)+1))&lt;=46.5,2,1)), IF(INDEX(ERP資料!$G:$G, (MATCH(985, 輔助計算!$G$2:$G$801, 0)+1))&lt;=790,3,IF(INDEX(ERP資料!$G:$G, (MATCH(985, 輔助計算!$G$2:$G$801, 0)+1))&lt;=1181,2,1)))), "")&lt;&gt;"",IF(MOD(INDEX(輔助計算!$D:$D, (MATCH(985, 輔助計算!$G$2:$G$801, 0)+1)),IF(INDEX(ERP資料!$G:$G, (MATCH(985, 輔助計算!$G$2:$G$801, 0)+1))&lt;100, IF(INDEX(ERP資料!$G:$G, (MATCH(985, 輔助計算!$G$2:$G$801, 0)+1))&lt;=31,3,IF(INDEX(ERP資料!$G:$G, (MATCH(985, 輔助計算!$G$2:$G$801, 0)+1))&lt;=46.5,2,1)), IF(INDEX(ERP資料!$G:$G, (MATCH(985, 輔助計算!$G$2:$G$801, 0)+1))&lt;=790,3,IF(INDEX(ERP資料!$G:$G, (MATCH(985, 輔助計算!$G$2:$G$801, 0)+1))&lt;=1181,2,1))))=0,"",IF(MOD(INDEX(輔助計算!$D:$D, (MATCH(985, 輔助計算!$G$2:$G$801, 0)+1)),IF(INDEX(ERP資料!$G:$G, (MATCH(985, 輔助計算!$G$2:$G$801, 0)+1))&lt;100, IF(INDEX(ERP資料!$G:$G, (MATCH(985, 輔助計算!$G$2:$G$801, 0)+1))&lt;=31,3,IF(INDEX(ERP資料!$G:$G, (MATCH(985, 輔助計算!$G$2:$G$801, 0)+1))&lt;=46.5,2,1)), IF(INDEX(ERP資料!$G:$G, (MATCH(985, 輔助計算!$G$2:$G$801, 0)+1))&lt;=790,3,IF(INDEX(ERP資料!$G:$G, (MATCH(985, 輔助計算!$G$2:$G$801, 0)+1))&lt;=1181,2,1))))=0,"",IF(MOD(INDEX(輔助計算!$D:$D, (MATCH(985, 輔助計算!$G$2:$G$801, 0)+1)),IF(INDEX(ERP資料!$G:$G, (MATCH(985, 輔助計算!$G$2:$G$801, 0)+1))&lt;100, IF(INDEX(ERP資料!$G:$G, (MATCH(985, 輔助計算!$G$2:$G$801, 0)+1))&lt;=31,3,IF(INDEX(ERP資料!$G:$G, (MATCH(985, 輔助計算!$G$2:$G$801, 0)+1))&lt;=46.5,2,1)), IF(INDEX(ERP資料!$G:$G, (MATCH(985, 輔助計算!$G$2:$G$801, 0)+1))&lt;=790,3,IF(INDEX(ERP資料!$G:$G, (MATCH(985, 輔助計算!$G$2:$G$801, 0)+1))&lt;=1181,2,1))))=1,TEXT(INDEX(ERP資料!$G:$G, (MATCH(985, 輔助計算!$G$2:$G$801, 0)+1)),"0.##"),IF(MOD(INDEX(輔助計算!$D:$D, (MATCH(985, 輔助計算!$G$2:$G$801, 0)+1)),IF(INDEX(ERP資料!$G:$G, (MATCH(985, 輔助計算!$G$2:$G$801, 0)+1))&lt;100, IF(INDEX(ERP資料!$G:$G, (MATCH(985, 輔助計算!$G$2:$G$801, 0)+1))&lt;=31,3,IF(INDEX(ERP資料!$G:$G, (MATCH(985, 輔助計算!$G$2:$G$801, 0)+1))&lt;=46.5,2,1)), IF(INDEX(ERP資料!$G:$G, (MATCH(985, 輔助計算!$G$2:$G$801, 0)+1))&lt;=790,3,IF(INDEX(ERP資料!$G:$G, (MATCH(985, 輔助計算!$G$2:$G$801, 0)+1))&lt;=1181,2,1))))=2,TEXT(INDEX(ERP資料!$G:$G, (MATCH(985, 輔助計算!$G$2:$G$801, 0)+1)),"0.##")&amp;"+"&amp;TEXT(INDEX(ERP資料!$G:$G, (MATCH(985, 輔助計算!$G$2:$G$801, 0)+1)),"0.##"),TEXT(INDEX(ERP資料!$G:$G, (MATCH(985, 輔助計算!$G$2:$G$801, 0)+1)),"0.##")&amp;"+"&amp;TEXT(INDEX(ERP資料!$G:$G, (MATCH(985, 輔助計算!$G$2:$G$801, 0)+1)),"0.##")&amp;"+"&amp;TEXT(INDEX(ERP資料!$G:$G, (MATCH(985, 輔助計算!$G$2:$G$801, 0)+1)),"0.##"))))&amp;"-1")&lt;&gt;""),"  ","")&amp;IF(MOD(INDEX(輔助計算!$D:$D, (MATCH(985, 輔助計算!$G$2:$G$801, 0)+1)),IF(INDEX(ERP資料!$G:$G, (MATCH(985, 輔助計算!$G$2:$G$801, 0)+1))&lt;100, IF(INDEX(ERP資料!$G:$G, (MATCH(985, 輔助計算!$G$2:$G$801, 0)+1))&lt;=31,3,IF(INDEX(ERP資料!$G:$G, (MATCH(985, 輔助計算!$G$2:$G$801, 0)+1))&lt;=46.5,2,1)), IF(INDEX(ERP資料!$G:$G, (MATCH(985, 輔助計算!$G$2:$G$801, 0)+1))&lt;=790,3,IF(INDEX(ERP資料!$G:$G, (MATCH(985, 輔助計算!$G$2:$G$801, 0)+1))&lt;=1181,2,1))))=0,"",IF(MOD(INDEX(輔助計算!$D:$D, (MATCH(985, 輔助計算!$G$2:$G$801, 0)+1)),IF(INDEX(ERP資料!$G:$G, (MATCH(985, 輔助計算!$G$2:$G$801, 0)+1))&lt;100, IF(INDEX(ERP資料!$G:$G, (MATCH(985, 輔助計算!$G$2:$G$801, 0)+1))&lt;=31,3,IF(INDEX(ERP資料!$G:$G, (MATCH(985, 輔助計算!$G$2:$G$801, 0)+1))&lt;=46.5,2,1)), IF(INDEX(ERP資料!$G:$G, (MATCH(985, 輔助計算!$G$2:$G$801, 0)+1))&lt;=790,3,IF(INDEX(ERP資料!$G:$G, (MATCH(985, 輔助計算!$G$2:$G$801, 0)+1))&lt;=1181,2,1))))=0,"",IF(MOD(INDEX(輔助計算!$D:$D, (MATCH(985, 輔助計算!$G$2:$G$801, 0)+1)),IF(INDEX(ERP資料!$G:$G, (MATCH(985, 輔助計算!$G$2:$G$801, 0)+1))&lt;100, IF(INDEX(ERP資料!$G:$G, (MATCH(985, 輔助計算!$G$2:$G$801, 0)+1))&lt;=31,3,IF(INDEX(ERP資料!$G:$G, (MATCH(985, 輔助計算!$G$2:$G$801, 0)+1))&lt;=46.5,2,1)), IF(INDEX(ERP資料!$G:$G, (MATCH(985, 輔助計算!$G$2:$G$801, 0)+1))&lt;=790,3,IF(INDEX(ERP資料!$G:$G, (MATCH(985, 輔助計算!$G$2:$G$801, 0)+1))&lt;=1181,2,1))))=1,TEXT(INDEX(ERP資料!$G:$G, (MATCH(985, 輔助計算!$G$2:$G$801, 0)+1)),"0.##"),IF(MOD(INDEX(輔助計算!$D:$D, (MATCH(985, 輔助計算!$G$2:$G$801, 0)+1)),IF(INDEX(ERP資料!$G:$G, (MATCH(985, 輔助計算!$G$2:$G$801, 0)+1))&lt;100, IF(INDEX(ERP資料!$G:$G, (MATCH(985, 輔助計算!$G$2:$G$801, 0)+1))&lt;=31,3,IF(INDEX(ERP資料!$G:$G, (MATCH(985, 輔助計算!$G$2:$G$801, 0)+1))&lt;=46.5,2,1)), IF(INDEX(ERP資料!$G:$G, (MATCH(985, 輔助計算!$G$2:$G$801, 0)+1))&lt;=790,3,IF(INDEX(ERP資料!$G:$G, (MATCH(985, 輔助計算!$G$2:$G$801, 0)+1))&lt;=1181,2,1))))=2,TEXT(INDEX(ERP資料!$G:$G, (MATCH(985, 輔助計算!$G$2:$G$801, 0)+1)),"0.##")&amp;"+"&amp;TEXT(INDEX(ERP資料!$G:$G, (MATCH(985, 輔助計算!$G$2:$G$801, 0)+1)),"0.##"),TEXT(INDEX(ERP資料!$G:$G, (MATCH(985, 輔助計算!$G$2:$G$801, 0)+1)),"0.##")&amp;"+"&amp;TEXT(INDEX(ERP資料!$G:$G, (MATCH(985, 輔助計算!$G$2:$G$801, 0)+1)),"0.##")&amp;"+"&amp;TEXT(INDEX(ERP資料!$G:$G, (MATCH(985, 輔助計算!$G$2:$G$801, 0)+1)),"0.##"))))&amp;"-1")), ""), "")</f>
        <v/>
      </c>
      <c r="K986" s="16" t="n"/>
      <c r="L986" s="14">
        <f>IFERROR(IF(AND(IFERROR(INDEX(ERP資料!$A:$A, (MATCH(985, 輔助計算!$G$2:$G$801, 0)+1)), "")&lt;&gt;"", IFERROR(INDEX(ERP資料!$A:$A, (MATCH(985, 輔助計算!$G$2:$G$801, 0)+1)), "")&lt;&gt;IFERROR(INDEX(ERP資料!$A:$A, MATCH(984, 輔助計算!$G$2:$G$801, 0)+1), "")), INDEX(ERP資料!$B:$B, (MATCH(985, 輔助計算!$G$2:$G$801, 0)+1)), ""), "")</f>
        <v/>
      </c>
      <c r="M986" s="17" t="n"/>
    </row>
    <row r="987">
      <c r="A987" s="10">
        <f>IFERROR(IF(AND(IFERROR(INDEX(ERP資料!$A:$A, (MATCH(986, 輔助計算!$G$2:$G$801, 0)+1)), "")&lt;&gt;"", IFERROR(INDEX(ERP資料!$A:$A, (MATCH(986, 輔助計算!$G$2:$G$801, 0)+1)), "")&lt;&gt;IFERROR(INDEX(ERP資料!$A:$A, MATCH(985, 輔助計算!$G$2:$G$801, 0)+1), "")), IFERROR(INDEX(ERP資料!$A:$A, (MATCH(986, 輔助計算!$G$2:$G$801, 0)+1)), ""), ""), "")</f>
        <v/>
      </c>
      <c r="B987" s="10">
        <f>IFERROR(IF(AND(IFERROR(INDEX(ERP資料!$A:$A, (MATCH(986, 輔助計算!$G$2:$G$801, 0)+1)), "")&lt;&gt;"", IFERROR(INDEX(ERP資料!$A:$A, (MATCH(986, 輔助計算!$G$2:$G$801, 0)+1)), "")&lt;&gt;IFERROR(INDEX(ERP資料!$A:$A, MATCH(985, 輔助計算!$G$2:$G$801, 0)+1), "")), INDEX(ERP資料!$S:$S, (MATCH(986, 輔助計算!$G$2:$G$801, 0)+1)), ""), "")</f>
        <v/>
      </c>
      <c r="C987" s="19">
        <f>IFERROR(IF(AND(IFERROR(INDEX(ERP資料!$A:$A, (MATCH(986, 輔助計算!$G$2:$G$801, 0)+1)), "")&lt;&gt;"", IFERROR(INDEX(ERP資料!$A:$A, (MATCH(986, 輔助計算!$G$2:$G$801, 0)+1)), "")&lt;&gt;IFERROR(INDEX(ERP資料!$A:$A, MATCH(985, 輔助計算!$G$2:$G$801, 0)+1), "")), IFERROR(VLOOKUP(LEFT(INDEX(ERP資料!$S:$S, (MATCH(986, 輔助計算!$G$2:$G$801, 0)+1)), 4), 紙管對照表!$A:$C, 3, FALSE), ""), ""), "")</f>
        <v/>
      </c>
      <c r="D987" s="16" t="n"/>
      <c r="E987" s="10">
        <f>IFERROR(IF(INDEX(ERP資料!$H:$H, (MATCH(986, 輔助計算!$G$2:$G$801, 0)+1))="","",INDEX(ERP資料!$H:$H, (MATCH(986, 輔助計算!$G$2:$G$801, 0)+1))), "")</f>
        <v/>
      </c>
      <c r="F987" s="10">
        <f>IFERROR(IF(INDEX(ERP資料!$E:$E, (MATCH(986, 輔助計算!$G$2:$G$801, 0)+1))="","",TRIM(INDEX(ERP資料!$E:$E, (MATCH(986, 輔助計算!$G$2:$G$801, 0)+1)))), "")</f>
        <v/>
      </c>
      <c r="G987" s="10">
        <f>IFERROR(IF(INDEX(ERP資料!$F:$F, (MATCH(986, 輔助計算!$G$2:$G$801, 0)+1))="","",INDEX(ERP資料!$F:$F, (MATCH(986, 輔助計算!$G$2:$G$801, 0)+1))), "")</f>
        <v/>
      </c>
      <c r="H987" s="10">
        <f>IFERROR(IF(INDEX(ERP資料!$G:$G, (MATCH(986, 輔助計算!$G$2:$G$801, 0)+1))="","",INDEX(ERP資料!$G:$G, (MATCH(986, 輔助計算!$G$2:$G$801, 0)+1))), "")</f>
        <v/>
      </c>
      <c r="I987" s="15">
        <f>IFERROR(INDEX(輔助計算!$D:$D, (MATCH(986, 輔助計算!$G$2:$G$801, 0)+1)), "")</f>
        <v/>
      </c>
      <c r="J987" s="15">
        <f>IFERROR(IF(AND(INDEX(輔助計算!$D:$D, (MATCH(986, 輔助計算!$G$2:$G$801, 0)+1))&lt;&gt;"", INDEX(ERP資料!$G:$G, (MATCH(986, 輔助計算!$G$2:$G$801, 0)+1))&lt;&gt;""), TRIM(IF(INT(INDEX(輔助計算!$D:$D, (MATCH(986, 輔助計算!$G$2:$G$801, 0)+1))/IF(INDEX(ERP資料!$G:$G, (MATCH(986, 輔助計算!$G$2:$G$801, 0)+1))&lt;100, IF(INDEX(ERP資料!$G:$G, (MATCH(986, 輔助計算!$G$2:$G$801, 0)+1))&lt;=31,3,IF(INDEX(ERP資料!$G:$G, (MATCH(986, 輔助計算!$G$2:$G$801, 0)+1))&lt;=46.5,2,1)), IF(INDEX(ERP資料!$G:$G, (MATCH(986, 輔助計算!$G$2:$G$801, 0)+1))&lt;=790,3,IF(INDEX(ERP資料!$G:$G, (MATCH(986, 輔助計算!$G$2:$G$801, 0)+1))&lt;=1181,2,1))))&gt;0, IF(IF(INDEX(ERP資料!$G:$G, (MATCH(986, 輔助計算!$G$2:$G$801, 0)+1))&lt;100, IF(INDEX(ERP資料!$G:$G, (MATCH(986, 輔助計算!$G$2:$G$801, 0)+1))&lt;=31,3,IF(INDEX(ERP資料!$G:$G, (MATCH(986, 輔助計算!$G$2:$G$801, 0)+1))&lt;=46.5,2,1)), IF(INDEX(ERP資料!$G:$G, (MATCH(986, 輔助計算!$G$2:$G$801, 0)+1))&lt;=790,3,IF(INDEX(ERP資料!$G:$G, (MATCH(986, 輔助計算!$G$2:$G$801, 0)+1))&lt;=1181,2,1)))=1,TEXT(INDEX(ERP資料!$G:$G, (MATCH(986, 輔助計算!$G$2:$G$801, 0)+1)),"0.##"),IF(IF(INDEX(ERP資料!$G:$G, (MATCH(986, 輔助計算!$G$2:$G$801, 0)+1))&lt;100, IF(INDEX(ERP資料!$G:$G, (MATCH(986, 輔助計算!$G$2:$G$801, 0)+1))&lt;=31,3,IF(INDEX(ERP資料!$G:$G, (MATCH(986, 輔助計算!$G$2:$G$801, 0)+1))&lt;=46.5,2,1)), IF(INDEX(ERP資料!$G:$G, (MATCH(986, 輔助計算!$G$2:$G$801, 0)+1))&lt;=790,3,IF(INDEX(ERP資料!$G:$G, (MATCH(986, 輔助計算!$G$2:$G$801, 0)+1))&lt;=1181,2,1)))=2,TEXT(INDEX(ERP資料!$G:$G, (MATCH(986, 輔助計算!$G$2:$G$801, 0)+1)),"0.##")&amp;"+"&amp;TEXT(INDEX(ERP資料!$G:$G, (MATCH(986, 輔助計算!$G$2:$G$801, 0)+1)),"0.##"),TEXT(INDEX(ERP資料!$G:$G, (MATCH(986, 輔助計算!$G$2:$G$801, 0)+1)),"0.##")&amp;"+"&amp;TEXT(INDEX(ERP資料!$G:$G, (MATCH(986, 輔助計算!$G$2:$G$801, 0)+1)),"0.##")&amp;"+"&amp;TEXT(INDEX(ERP資料!$G:$G, (MATCH(986, 輔助計算!$G$2:$G$801, 0)+1)),"0.##")))&amp;"-"&amp;INT(INDEX(輔助計算!$D:$D, (MATCH(986, 輔助計算!$G$2:$G$801, 0)+1))/IF(INDEX(ERP資料!$G:$G, (MATCH(986, 輔助計算!$G$2:$G$801, 0)+1))&lt;100, IF(INDEX(ERP資料!$G:$G, (MATCH(986, 輔助計算!$G$2:$G$801, 0)+1))&lt;=31,3,IF(INDEX(ERP資料!$G:$G, (MATCH(986, 輔助計算!$G$2:$G$801, 0)+1))&lt;=46.5,2,1)), IF(INDEX(ERP資料!$G:$G, (MATCH(986, 輔助計算!$G$2:$G$801, 0)+1))&lt;=790,3,IF(INDEX(ERP資料!$G:$G, (MATCH(986, 輔助計算!$G$2:$G$801, 0)+1))&lt;=1181,2,1)))), "")&amp;IF(AND(IF(INT(INDEX(輔助計算!$D:$D, (MATCH(986, 輔助計算!$G$2:$G$801, 0)+1))/IF(INDEX(ERP資料!$G:$G, (MATCH(986, 輔助計算!$G$2:$G$801, 0)+1))&lt;100, IF(INDEX(ERP資料!$G:$G, (MATCH(986, 輔助計算!$G$2:$G$801, 0)+1))&lt;=31,3,IF(INDEX(ERP資料!$G:$G, (MATCH(986, 輔助計算!$G$2:$G$801, 0)+1))&lt;=46.5,2,1)), IF(INDEX(ERP資料!$G:$G, (MATCH(986, 輔助計算!$G$2:$G$801, 0)+1))&lt;=790,3,IF(INDEX(ERP資料!$G:$G, (MATCH(986, 輔助計算!$G$2:$G$801, 0)+1))&lt;=1181,2,1))))&gt;0, IF(IF(INDEX(ERP資料!$G:$G, (MATCH(986, 輔助計算!$G$2:$G$801, 0)+1))&lt;100, IF(INDEX(ERP資料!$G:$G, (MATCH(986, 輔助計算!$G$2:$G$801, 0)+1))&lt;=31,3,IF(INDEX(ERP資料!$G:$G, (MATCH(986, 輔助計算!$G$2:$G$801, 0)+1))&lt;=46.5,2,1)), IF(INDEX(ERP資料!$G:$G, (MATCH(986, 輔助計算!$G$2:$G$801, 0)+1))&lt;=790,3,IF(INDEX(ERP資料!$G:$G, (MATCH(986, 輔助計算!$G$2:$G$801, 0)+1))&lt;=1181,2,1)))=1,TEXT(INDEX(ERP資料!$G:$G, (MATCH(986, 輔助計算!$G$2:$G$801, 0)+1)),"0.##"),IF(IF(INDEX(ERP資料!$G:$G, (MATCH(986, 輔助計算!$G$2:$G$801, 0)+1))&lt;100, IF(INDEX(ERP資料!$G:$G, (MATCH(986, 輔助計算!$G$2:$G$801, 0)+1))&lt;=31,3,IF(INDEX(ERP資料!$G:$G, (MATCH(986, 輔助計算!$G$2:$G$801, 0)+1))&lt;=46.5,2,1)), IF(INDEX(ERP資料!$G:$G, (MATCH(986, 輔助計算!$G$2:$G$801, 0)+1))&lt;=790,3,IF(INDEX(ERP資料!$G:$G, (MATCH(986, 輔助計算!$G$2:$G$801, 0)+1))&lt;=1181,2,1)))=2,TEXT(INDEX(ERP資料!$G:$G, (MATCH(986, 輔助計算!$G$2:$G$801, 0)+1)),"0.##")&amp;"+"&amp;TEXT(INDEX(ERP資料!$G:$G, (MATCH(986, 輔助計算!$G$2:$G$801, 0)+1)),"0.##"),TEXT(INDEX(ERP資料!$G:$G, (MATCH(986, 輔助計算!$G$2:$G$801, 0)+1)),"0.##")&amp;"+"&amp;TEXT(INDEX(ERP資料!$G:$G, (MATCH(986, 輔助計算!$G$2:$G$801, 0)+1)),"0.##")&amp;"+"&amp;TEXT(INDEX(ERP資料!$G:$G, (MATCH(986, 輔助計算!$G$2:$G$801, 0)+1)),"0.##")))&amp;"-"&amp;INT(INDEX(輔助計算!$D:$D, (MATCH(986, 輔助計算!$G$2:$G$801, 0)+1))/IF(INDEX(ERP資料!$G:$G, (MATCH(986, 輔助計算!$G$2:$G$801, 0)+1))&lt;100, IF(INDEX(ERP資料!$G:$G, (MATCH(986, 輔助計算!$G$2:$G$801, 0)+1))&lt;=31,3,IF(INDEX(ERP資料!$G:$G, (MATCH(986, 輔助計算!$G$2:$G$801, 0)+1))&lt;=46.5,2,1)), IF(INDEX(ERP資料!$G:$G, (MATCH(986, 輔助計算!$G$2:$G$801, 0)+1))&lt;=790,3,IF(INDEX(ERP資料!$G:$G, (MATCH(986, 輔助計算!$G$2:$G$801, 0)+1))&lt;=1181,2,1)))), "")&lt;&gt;"",IF(MOD(INDEX(輔助計算!$D:$D, (MATCH(986, 輔助計算!$G$2:$G$801, 0)+1)),IF(INDEX(ERP資料!$G:$G, (MATCH(986, 輔助計算!$G$2:$G$801, 0)+1))&lt;100, IF(INDEX(ERP資料!$G:$G, (MATCH(986, 輔助計算!$G$2:$G$801, 0)+1))&lt;=31,3,IF(INDEX(ERP資料!$G:$G, (MATCH(986, 輔助計算!$G$2:$G$801, 0)+1))&lt;=46.5,2,1)), IF(INDEX(ERP資料!$G:$G, (MATCH(986, 輔助計算!$G$2:$G$801, 0)+1))&lt;=790,3,IF(INDEX(ERP資料!$G:$G, (MATCH(986, 輔助計算!$G$2:$G$801, 0)+1))&lt;=1181,2,1))))=0,"",IF(MOD(INDEX(輔助計算!$D:$D, (MATCH(986, 輔助計算!$G$2:$G$801, 0)+1)),IF(INDEX(ERP資料!$G:$G, (MATCH(986, 輔助計算!$G$2:$G$801, 0)+1))&lt;100, IF(INDEX(ERP資料!$G:$G, (MATCH(986, 輔助計算!$G$2:$G$801, 0)+1))&lt;=31,3,IF(INDEX(ERP資料!$G:$G, (MATCH(986, 輔助計算!$G$2:$G$801, 0)+1))&lt;=46.5,2,1)), IF(INDEX(ERP資料!$G:$G, (MATCH(986, 輔助計算!$G$2:$G$801, 0)+1))&lt;=790,3,IF(INDEX(ERP資料!$G:$G, (MATCH(986, 輔助計算!$G$2:$G$801, 0)+1))&lt;=1181,2,1))))=0,"",IF(MOD(INDEX(輔助計算!$D:$D, (MATCH(986, 輔助計算!$G$2:$G$801, 0)+1)),IF(INDEX(ERP資料!$G:$G, (MATCH(986, 輔助計算!$G$2:$G$801, 0)+1))&lt;100, IF(INDEX(ERP資料!$G:$G, (MATCH(986, 輔助計算!$G$2:$G$801, 0)+1))&lt;=31,3,IF(INDEX(ERP資料!$G:$G, (MATCH(986, 輔助計算!$G$2:$G$801, 0)+1))&lt;=46.5,2,1)), IF(INDEX(ERP資料!$G:$G, (MATCH(986, 輔助計算!$G$2:$G$801, 0)+1))&lt;=790,3,IF(INDEX(ERP資料!$G:$G, (MATCH(986, 輔助計算!$G$2:$G$801, 0)+1))&lt;=1181,2,1))))=1,TEXT(INDEX(ERP資料!$G:$G, (MATCH(986, 輔助計算!$G$2:$G$801, 0)+1)),"0.##"),IF(MOD(INDEX(輔助計算!$D:$D, (MATCH(986, 輔助計算!$G$2:$G$801, 0)+1)),IF(INDEX(ERP資料!$G:$G, (MATCH(986, 輔助計算!$G$2:$G$801, 0)+1))&lt;100, IF(INDEX(ERP資料!$G:$G, (MATCH(986, 輔助計算!$G$2:$G$801, 0)+1))&lt;=31,3,IF(INDEX(ERP資料!$G:$G, (MATCH(986, 輔助計算!$G$2:$G$801, 0)+1))&lt;=46.5,2,1)), IF(INDEX(ERP資料!$G:$G, (MATCH(986, 輔助計算!$G$2:$G$801, 0)+1))&lt;=790,3,IF(INDEX(ERP資料!$G:$G, (MATCH(986, 輔助計算!$G$2:$G$801, 0)+1))&lt;=1181,2,1))))=2,TEXT(INDEX(ERP資料!$G:$G, (MATCH(986, 輔助計算!$G$2:$G$801, 0)+1)),"0.##")&amp;"+"&amp;TEXT(INDEX(ERP資料!$G:$G, (MATCH(986, 輔助計算!$G$2:$G$801, 0)+1)),"0.##"),TEXT(INDEX(ERP資料!$G:$G, (MATCH(986, 輔助計算!$G$2:$G$801, 0)+1)),"0.##")&amp;"+"&amp;TEXT(INDEX(ERP資料!$G:$G, (MATCH(986, 輔助計算!$G$2:$G$801, 0)+1)),"0.##")&amp;"+"&amp;TEXT(INDEX(ERP資料!$G:$G, (MATCH(986, 輔助計算!$G$2:$G$801, 0)+1)),"0.##"))))&amp;"-1")&lt;&gt;""),"  ","")&amp;IF(MOD(INDEX(輔助計算!$D:$D, (MATCH(986, 輔助計算!$G$2:$G$801, 0)+1)),IF(INDEX(ERP資料!$G:$G, (MATCH(986, 輔助計算!$G$2:$G$801, 0)+1))&lt;100, IF(INDEX(ERP資料!$G:$G, (MATCH(986, 輔助計算!$G$2:$G$801, 0)+1))&lt;=31,3,IF(INDEX(ERP資料!$G:$G, (MATCH(986, 輔助計算!$G$2:$G$801, 0)+1))&lt;=46.5,2,1)), IF(INDEX(ERP資料!$G:$G, (MATCH(986, 輔助計算!$G$2:$G$801, 0)+1))&lt;=790,3,IF(INDEX(ERP資料!$G:$G, (MATCH(986, 輔助計算!$G$2:$G$801, 0)+1))&lt;=1181,2,1))))=0,"",IF(MOD(INDEX(輔助計算!$D:$D, (MATCH(986, 輔助計算!$G$2:$G$801, 0)+1)),IF(INDEX(ERP資料!$G:$G, (MATCH(986, 輔助計算!$G$2:$G$801, 0)+1))&lt;100, IF(INDEX(ERP資料!$G:$G, (MATCH(986, 輔助計算!$G$2:$G$801, 0)+1))&lt;=31,3,IF(INDEX(ERP資料!$G:$G, (MATCH(986, 輔助計算!$G$2:$G$801, 0)+1))&lt;=46.5,2,1)), IF(INDEX(ERP資料!$G:$G, (MATCH(986, 輔助計算!$G$2:$G$801, 0)+1))&lt;=790,3,IF(INDEX(ERP資料!$G:$G, (MATCH(986, 輔助計算!$G$2:$G$801, 0)+1))&lt;=1181,2,1))))=0,"",IF(MOD(INDEX(輔助計算!$D:$D, (MATCH(986, 輔助計算!$G$2:$G$801, 0)+1)),IF(INDEX(ERP資料!$G:$G, (MATCH(986, 輔助計算!$G$2:$G$801, 0)+1))&lt;100, IF(INDEX(ERP資料!$G:$G, (MATCH(986, 輔助計算!$G$2:$G$801, 0)+1))&lt;=31,3,IF(INDEX(ERP資料!$G:$G, (MATCH(986, 輔助計算!$G$2:$G$801, 0)+1))&lt;=46.5,2,1)), IF(INDEX(ERP資料!$G:$G, (MATCH(986, 輔助計算!$G$2:$G$801, 0)+1))&lt;=790,3,IF(INDEX(ERP資料!$G:$G, (MATCH(986, 輔助計算!$G$2:$G$801, 0)+1))&lt;=1181,2,1))))=1,TEXT(INDEX(ERP資料!$G:$G, (MATCH(986, 輔助計算!$G$2:$G$801, 0)+1)),"0.##"),IF(MOD(INDEX(輔助計算!$D:$D, (MATCH(986, 輔助計算!$G$2:$G$801, 0)+1)),IF(INDEX(ERP資料!$G:$G, (MATCH(986, 輔助計算!$G$2:$G$801, 0)+1))&lt;100, IF(INDEX(ERP資料!$G:$G, (MATCH(986, 輔助計算!$G$2:$G$801, 0)+1))&lt;=31,3,IF(INDEX(ERP資料!$G:$G, (MATCH(986, 輔助計算!$G$2:$G$801, 0)+1))&lt;=46.5,2,1)), IF(INDEX(ERP資料!$G:$G, (MATCH(986, 輔助計算!$G$2:$G$801, 0)+1))&lt;=790,3,IF(INDEX(ERP資料!$G:$G, (MATCH(986, 輔助計算!$G$2:$G$801, 0)+1))&lt;=1181,2,1))))=2,TEXT(INDEX(ERP資料!$G:$G, (MATCH(986, 輔助計算!$G$2:$G$801, 0)+1)),"0.##")&amp;"+"&amp;TEXT(INDEX(ERP資料!$G:$G, (MATCH(986, 輔助計算!$G$2:$G$801, 0)+1)),"0.##"),TEXT(INDEX(ERP資料!$G:$G, (MATCH(986, 輔助計算!$G$2:$G$801, 0)+1)),"0.##")&amp;"+"&amp;TEXT(INDEX(ERP資料!$G:$G, (MATCH(986, 輔助計算!$G$2:$G$801, 0)+1)),"0.##")&amp;"+"&amp;TEXT(INDEX(ERP資料!$G:$G, (MATCH(986, 輔助計算!$G$2:$G$801, 0)+1)),"0.##"))))&amp;"-1")), ""), "")</f>
        <v/>
      </c>
      <c r="K987" s="16" t="n"/>
      <c r="L987" s="14">
        <f>IFERROR(IF(AND(IFERROR(INDEX(ERP資料!$A:$A, (MATCH(986, 輔助計算!$G$2:$G$801, 0)+1)), "")&lt;&gt;"", IFERROR(INDEX(ERP資料!$A:$A, (MATCH(986, 輔助計算!$G$2:$G$801, 0)+1)), "")&lt;&gt;IFERROR(INDEX(ERP資料!$A:$A, MATCH(985, 輔助計算!$G$2:$G$801, 0)+1), "")), INDEX(ERP資料!$B:$B, (MATCH(986, 輔助計算!$G$2:$G$801, 0)+1)), ""), "")</f>
        <v/>
      </c>
      <c r="M987" s="17" t="n"/>
    </row>
    <row r="988">
      <c r="A988" s="10">
        <f>IFERROR(IF(AND(IFERROR(INDEX(ERP資料!$A:$A, (MATCH(987, 輔助計算!$G$2:$G$801, 0)+1)), "")&lt;&gt;"", IFERROR(INDEX(ERP資料!$A:$A, (MATCH(987, 輔助計算!$G$2:$G$801, 0)+1)), "")&lt;&gt;IFERROR(INDEX(ERP資料!$A:$A, MATCH(986, 輔助計算!$G$2:$G$801, 0)+1), "")), IFERROR(INDEX(ERP資料!$A:$A, (MATCH(987, 輔助計算!$G$2:$G$801, 0)+1)), ""), ""), "")</f>
        <v/>
      </c>
      <c r="B988" s="10">
        <f>IFERROR(IF(AND(IFERROR(INDEX(ERP資料!$A:$A, (MATCH(987, 輔助計算!$G$2:$G$801, 0)+1)), "")&lt;&gt;"", IFERROR(INDEX(ERP資料!$A:$A, (MATCH(987, 輔助計算!$G$2:$G$801, 0)+1)), "")&lt;&gt;IFERROR(INDEX(ERP資料!$A:$A, MATCH(986, 輔助計算!$G$2:$G$801, 0)+1), "")), INDEX(ERP資料!$S:$S, (MATCH(987, 輔助計算!$G$2:$G$801, 0)+1)), ""), "")</f>
        <v/>
      </c>
      <c r="C988" s="19">
        <f>IFERROR(IF(AND(IFERROR(INDEX(ERP資料!$A:$A, (MATCH(987, 輔助計算!$G$2:$G$801, 0)+1)), "")&lt;&gt;"", IFERROR(INDEX(ERP資料!$A:$A, (MATCH(987, 輔助計算!$G$2:$G$801, 0)+1)), "")&lt;&gt;IFERROR(INDEX(ERP資料!$A:$A, MATCH(986, 輔助計算!$G$2:$G$801, 0)+1), "")), IFERROR(VLOOKUP(LEFT(INDEX(ERP資料!$S:$S, (MATCH(987, 輔助計算!$G$2:$G$801, 0)+1)), 4), 紙管對照表!$A:$C, 3, FALSE), ""), ""), "")</f>
        <v/>
      </c>
      <c r="D988" s="16" t="n"/>
      <c r="E988" s="10">
        <f>IFERROR(IF(INDEX(ERP資料!$H:$H, (MATCH(987, 輔助計算!$G$2:$G$801, 0)+1))="","",INDEX(ERP資料!$H:$H, (MATCH(987, 輔助計算!$G$2:$G$801, 0)+1))), "")</f>
        <v/>
      </c>
      <c r="F988" s="10">
        <f>IFERROR(IF(INDEX(ERP資料!$E:$E, (MATCH(987, 輔助計算!$G$2:$G$801, 0)+1))="","",TRIM(INDEX(ERP資料!$E:$E, (MATCH(987, 輔助計算!$G$2:$G$801, 0)+1)))), "")</f>
        <v/>
      </c>
      <c r="G988" s="10">
        <f>IFERROR(IF(INDEX(ERP資料!$F:$F, (MATCH(987, 輔助計算!$G$2:$G$801, 0)+1))="","",INDEX(ERP資料!$F:$F, (MATCH(987, 輔助計算!$G$2:$G$801, 0)+1))), "")</f>
        <v/>
      </c>
      <c r="H988" s="10">
        <f>IFERROR(IF(INDEX(ERP資料!$G:$G, (MATCH(987, 輔助計算!$G$2:$G$801, 0)+1))="","",INDEX(ERP資料!$G:$G, (MATCH(987, 輔助計算!$G$2:$G$801, 0)+1))), "")</f>
        <v/>
      </c>
      <c r="I988" s="15">
        <f>IFERROR(INDEX(輔助計算!$D:$D, (MATCH(987, 輔助計算!$G$2:$G$801, 0)+1)), "")</f>
        <v/>
      </c>
      <c r="J988" s="15">
        <f>IFERROR(IF(AND(INDEX(輔助計算!$D:$D, (MATCH(987, 輔助計算!$G$2:$G$801, 0)+1))&lt;&gt;"", INDEX(ERP資料!$G:$G, (MATCH(987, 輔助計算!$G$2:$G$801, 0)+1))&lt;&gt;""), TRIM(IF(INT(INDEX(輔助計算!$D:$D, (MATCH(987, 輔助計算!$G$2:$G$801, 0)+1))/IF(INDEX(ERP資料!$G:$G, (MATCH(987, 輔助計算!$G$2:$G$801, 0)+1))&lt;100, IF(INDEX(ERP資料!$G:$G, (MATCH(987, 輔助計算!$G$2:$G$801, 0)+1))&lt;=31,3,IF(INDEX(ERP資料!$G:$G, (MATCH(987, 輔助計算!$G$2:$G$801, 0)+1))&lt;=46.5,2,1)), IF(INDEX(ERP資料!$G:$G, (MATCH(987, 輔助計算!$G$2:$G$801, 0)+1))&lt;=790,3,IF(INDEX(ERP資料!$G:$G, (MATCH(987, 輔助計算!$G$2:$G$801, 0)+1))&lt;=1181,2,1))))&gt;0, IF(IF(INDEX(ERP資料!$G:$G, (MATCH(987, 輔助計算!$G$2:$G$801, 0)+1))&lt;100, IF(INDEX(ERP資料!$G:$G, (MATCH(987, 輔助計算!$G$2:$G$801, 0)+1))&lt;=31,3,IF(INDEX(ERP資料!$G:$G, (MATCH(987, 輔助計算!$G$2:$G$801, 0)+1))&lt;=46.5,2,1)), IF(INDEX(ERP資料!$G:$G, (MATCH(987, 輔助計算!$G$2:$G$801, 0)+1))&lt;=790,3,IF(INDEX(ERP資料!$G:$G, (MATCH(987, 輔助計算!$G$2:$G$801, 0)+1))&lt;=1181,2,1)))=1,TEXT(INDEX(ERP資料!$G:$G, (MATCH(987, 輔助計算!$G$2:$G$801, 0)+1)),"0.##"),IF(IF(INDEX(ERP資料!$G:$G, (MATCH(987, 輔助計算!$G$2:$G$801, 0)+1))&lt;100, IF(INDEX(ERP資料!$G:$G, (MATCH(987, 輔助計算!$G$2:$G$801, 0)+1))&lt;=31,3,IF(INDEX(ERP資料!$G:$G, (MATCH(987, 輔助計算!$G$2:$G$801, 0)+1))&lt;=46.5,2,1)), IF(INDEX(ERP資料!$G:$G, (MATCH(987, 輔助計算!$G$2:$G$801, 0)+1))&lt;=790,3,IF(INDEX(ERP資料!$G:$G, (MATCH(987, 輔助計算!$G$2:$G$801, 0)+1))&lt;=1181,2,1)))=2,TEXT(INDEX(ERP資料!$G:$G, (MATCH(987, 輔助計算!$G$2:$G$801, 0)+1)),"0.##")&amp;"+"&amp;TEXT(INDEX(ERP資料!$G:$G, (MATCH(987, 輔助計算!$G$2:$G$801, 0)+1)),"0.##"),TEXT(INDEX(ERP資料!$G:$G, (MATCH(987, 輔助計算!$G$2:$G$801, 0)+1)),"0.##")&amp;"+"&amp;TEXT(INDEX(ERP資料!$G:$G, (MATCH(987, 輔助計算!$G$2:$G$801, 0)+1)),"0.##")&amp;"+"&amp;TEXT(INDEX(ERP資料!$G:$G, (MATCH(987, 輔助計算!$G$2:$G$801, 0)+1)),"0.##")))&amp;"-"&amp;INT(INDEX(輔助計算!$D:$D, (MATCH(987, 輔助計算!$G$2:$G$801, 0)+1))/IF(INDEX(ERP資料!$G:$G, (MATCH(987, 輔助計算!$G$2:$G$801, 0)+1))&lt;100, IF(INDEX(ERP資料!$G:$G, (MATCH(987, 輔助計算!$G$2:$G$801, 0)+1))&lt;=31,3,IF(INDEX(ERP資料!$G:$G, (MATCH(987, 輔助計算!$G$2:$G$801, 0)+1))&lt;=46.5,2,1)), IF(INDEX(ERP資料!$G:$G, (MATCH(987, 輔助計算!$G$2:$G$801, 0)+1))&lt;=790,3,IF(INDEX(ERP資料!$G:$G, (MATCH(987, 輔助計算!$G$2:$G$801, 0)+1))&lt;=1181,2,1)))), "")&amp;IF(AND(IF(INT(INDEX(輔助計算!$D:$D, (MATCH(987, 輔助計算!$G$2:$G$801, 0)+1))/IF(INDEX(ERP資料!$G:$G, (MATCH(987, 輔助計算!$G$2:$G$801, 0)+1))&lt;100, IF(INDEX(ERP資料!$G:$G, (MATCH(987, 輔助計算!$G$2:$G$801, 0)+1))&lt;=31,3,IF(INDEX(ERP資料!$G:$G, (MATCH(987, 輔助計算!$G$2:$G$801, 0)+1))&lt;=46.5,2,1)), IF(INDEX(ERP資料!$G:$G, (MATCH(987, 輔助計算!$G$2:$G$801, 0)+1))&lt;=790,3,IF(INDEX(ERP資料!$G:$G, (MATCH(987, 輔助計算!$G$2:$G$801, 0)+1))&lt;=1181,2,1))))&gt;0, IF(IF(INDEX(ERP資料!$G:$G, (MATCH(987, 輔助計算!$G$2:$G$801, 0)+1))&lt;100, IF(INDEX(ERP資料!$G:$G, (MATCH(987, 輔助計算!$G$2:$G$801, 0)+1))&lt;=31,3,IF(INDEX(ERP資料!$G:$G, (MATCH(987, 輔助計算!$G$2:$G$801, 0)+1))&lt;=46.5,2,1)), IF(INDEX(ERP資料!$G:$G, (MATCH(987, 輔助計算!$G$2:$G$801, 0)+1))&lt;=790,3,IF(INDEX(ERP資料!$G:$G, (MATCH(987, 輔助計算!$G$2:$G$801, 0)+1))&lt;=1181,2,1)))=1,TEXT(INDEX(ERP資料!$G:$G, (MATCH(987, 輔助計算!$G$2:$G$801, 0)+1)),"0.##"),IF(IF(INDEX(ERP資料!$G:$G, (MATCH(987, 輔助計算!$G$2:$G$801, 0)+1))&lt;100, IF(INDEX(ERP資料!$G:$G, (MATCH(987, 輔助計算!$G$2:$G$801, 0)+1))&lt;=31,3,IF(INDEX(ERP資料!$G:$G, (MATCH(987, 輔助計算!$G$2:$G$801, 0)+1))&lt;=46.5,2,1)), IF(INDEX(ERP資料!$G:$G, (MATCH(987, 輔助計算!$G$2:$G$801, 0)+1))&lt;=790,3,IF(INDEX(ERP資料!$G:$G, (MATCH(987, 輔助計算!$G$2:$G$801, 0)+1))&lt;=1181,2,1)))=2,TEXT(INDEX(ERP資料!$G:$G, (MATCH(987, 輔助計算!$G$2:$G$801, 0)+1)),"0.##")&amp;"+"&amp;TEXT(INDEX(ERP資料!$G:$G, (MATCH(987, 輔助計算!$G$2:$G$801, 0)+1)),"0.##"),TEXT(INDEX(ERP資料!$G:$G, (MATCH(987, 輔助計算!$G$2:$G$801, 0)+1)),"0.##")&amp;"+"&amp;TEXT(INDEX(ERP資料!$G:$G, (MATCH(987, 輔助計算!$G$2:$G$801, 0)+1)),"0.##")&amp;"+"&amp;TEXT(INDEX(ERP資料!$G:$G, (MATCH(987, 輔助計算!$G$2:$G$801, 0)+1)),"0.##")))&amp;"-"&amp;INT(INDEX(輔助計算!$D:$D, (MATCH(987, 輔助計算!$G$2:$G$801, 0)+1))/IF(INDEX(ERP資料!$G:$G, (MATCH(987, 輔助計算!$G$2:$G$801, 0)+1))&lt;100, IF(INDEX(ERP資料!$G:$G, (MATCH(987, 輔助計算!$G$2:$G$801, 0)+1))&lt;=31,3,IF(INDEX(ERP資料!$G:$G, (MATCH(987, 輔助計算!$G$2:$G$801, 0)+1))&lt;=46.5,2,1)), IF(INDEX(ERP資料!$G:$G, (MATCH(987, 輔助計算!$G$2:$G$801, 0)+1))&lt;=790,3,IF(INDEX(ERP資料!$G:$G, (MATCH(987, 輔助計算!$G$2:$G$801, 0)+1))&lt;=1181,2,1)))), "")&lt;&gt;"",IF(MOD(INDEX(輔助計算!$D:$D, (MATCH(987, 輔助計算!$G$2:$G$801, 0)+1)),IF(INDEX(ERP資料!$G:$G, (MATCH(987, 輔助計算!$G$2:$G$801, 0)+1))&lt;100, IF(INDEX(ERP資料!$G:$G, (MATCH(987, 輔助計算!$G$2:$G$801, 0)+1))&lt;=31,3,IF(INDEX(ERP資料!$G:$G, (MATCH(987, 輔助計算!$G$2:$G$801, 0)+1))&lt;=46.5,2,1)), IF(INDEX(ERP資料!$G:$G, (MATCH(987, 輔助計算!$G$2:$G$801, 0)+1))&lt;=790,3,IF(INDEX(ERP資料!$G:$G, (MATCH(987, 輔助計算!$G$2:$G$801, 0)+1))&lt;=1181,2,1))))=0,"",IF(MOD(INDEX(輔助計算!$D:$D, (MATCH(987, 輔助計算!$G$2:$G$801, 0)+1)),IF(INDEX(ERP資料!$G:$G, (MATCH(987, 輔助計算!$G$2:$G$801, 0)+1))&lt;100, IF(INDEX(ERP資料!$G:$G, (MATCH(987, 輔助計算!$G$2:$G$801, 0)+1))&lt;=31,3,IF(INDEX(ERP資料!$G:$G, (MATCH(987, 輔助計算!$G$2:$G$801, 0)+1))&lt;=46.5,2,1)), IF(INDEX(ERP資料!$G:$G, (MATCH(987, 輔助計算!$G$2:$G$801, 0)+1))&lt;=790,3,IF(INDEX(ERP資料!$G:$G, (MATCH(987, 輔助計算!$G$2:$G$801, 0)+1))&lt;=1181,2,1))))=0,"",IF(MOD(INDEX(輔助計算!$D:$D, (MATCH(987, 輔助計算!$G$2:$G$801, 0)+1)),IF(INDEX(ERP資料!$G:$G, (MATCH(987, 輔助計算!$G$2:$G$801, 0)+1))&lt;100, IF(INDEX(ERP資料!$G:$G, (MATCH(987, 輔助計算!$G$2:$G$801, 0)+1))&lt;=31,3,IF(INDEX(ERP資料!$G:$G, (MATCH(987, 輔助計算!$G$2:$G$801, 0)+1))&lt;=46.5,2,1)), IF(INDEX(ERP資料!$G:$G, (MATCH(987, 輔助計算!$G$2:$G$801, 0)+1))&lt;=790,3,IF(INDEX(ERP資料!$G:$G, (MATCH(987, 輔助計算!$G$2:$G$801, 0)+1))&lt;=1181,2,1))))=1,TEXT(INDEX(ERP資料!$G:$G, (MATCH(987, 輔助計算!$G$2:$G$801, 0)+1)),"0.##"),IF(MOD(INDEX(輔助計算!$D:$D, (MATCH(987, 輔助計算!$G$2:$G$801, 0)+1)),IF(INDEX(ERP資料!$G:$G, (MATCH(987, 輔助計算!$G$2:$G$801, 0)+1))&lt;100, IF(INDEX(ERP資料!$G:$G, (MATCH(987, 輔助計算!$G$2:$G$801, 0)+1))&lt;=31,3,IF(INDEX(ERP資料!$G:$G, (MATCH(987, 輔助計算!$G$2:$G$801, 0)+1))&lt;=46.5,2,1)), IF(INDEX(ERP資料!$G:$G, (MATCH(987, 輔助計算!$G$2:$G$801, 0)+1))&lt;=790,3,IF(INDEX(ERP資料!$G:$G, (MATCH(987, 輔助計算!$G$2:$G$801, 0)+1))&lt;=1181,2,1))))=2,TEXT(INDEX(ERP資料!$G:$G, (MATCH(987, 輔助計算!$G$2:$G$801, 0)+1)),"0.##")&amp;"+"&amp;TEXT(INDEX(ERP資料!$G:$G, (MATCH(987, 輔助計算!$G$2:$G$801, 0)+1)),"0.##"),TEXT(INDEX(ERP資料!$G:$G, (MATCH(987, 輔助計算!$G$2:$G$801, 0)+1)),"0.##")&amp;"+"&amp;TEXT(INDEX(ERP資料!$G:$G, (MATCH(987, 輔助計算!$G$2:$G$801, 0)+1)),"0.##")&amp;"+"&amp;TEXT(INDEX(ERP資料!$G:$G, (MATCH(987, 輔助計算!$G$2:$G$801, 0)+1)),"0.##"))))&amp;"-1")&lt;&gt;""),"  ","")&amp;IF(MOD(INDEX(輔助計算!$D:$D, (MATCH(987, 輔助計算!$G$2:$G$801, 0)+1)),IF(INDEX(ERP資料!$G:$G, (MATCH(987, 輔助計算!$G$2:$G$801, 0)+1))&lt;100, IF(INDEX(ERP資料!$G:$G, (MATCH(987, 輔助計算!$G$2:$G$801, 0)+1))&lt;=31,3,IF(INDEX(ERP資料!$G:$G, (MATCH(987, 輔助計算!$G$2:$G$801, 0)+1))&lt;=46.5,2,1)), IF(INDEX(ERP資料!$G:$G, (MATCH(987, 輔助計算!$G$2:$G$801, 0)+1))&lt;=790,3,IF(INDEX(ERP資料!$G:$G, (MATCH(987, 輔助計算!$G$2:$G$801, 0)+1))&lt;=1181,2,1))))=0,"",IF(MOD(INDEX(輔助計算!$D:$D, (MATCH(987, 輔助計算!$G$2:$G$801, 0)+1)),IF(INDEX(ERP資料!$G:$G, (MATCH(987, 輔助計算!$G$2:$G$801, 0)+1))&lt;100, IF(INDEX(ERP資料!$G:$G, (MATCH(987, 輔助計算!$G$2:$G$801, 0)+1))&lt;=31,3,IF(INDEX(ERP資料!$G:$G, (MATCH(987, 輔助計算!$G$2:$G$801, 0)+1))&lt;=46.5,2,1)), IF(INDEX(ERP資料!$G:$G, (MATCH(987, 輔助計算!$G$2:$G$801, 0)+1))&lt;=790,3,IF(INDEX(ERP資料!$G:$G, (MATCH(987, 輔助計算!$G$2:$G$801, 0)+1))&lt;=1181,2,1))))=0,"",IF(MOD(INDEX(輔助計算!$D:$D, (MATCH(987, 輔助計算!$G$2:$G$801, 0)+1)),IF(INDEX(ERP資料!$G:$G, (MATCH(987, 輔助計算!$G$2:$G$801, 0)+1))&lt;100, IF(INDEX(ERP資料!$G:$G, (MATCH(987, 輔助計算!$G$2:$G$801, 0)+1))&lt;=31,3,IF(INDEX(ERP資料!$G:$G, (MATCH(987, 輔助計算!$G$2:$G$801, 0)+1))&lt;=46.5,2,1)), IF(INDEX(ERP資料!$G:$G, (MATCH(987, 輔助計算!$G$2:$G$801, 0)+1))&lt;=790,3,IF(INDEX(ERP資料!$G:$G, (MATCH(987, 輔助計算!$G$2:$G$801, 0)+1))&lt;=1181,2,1))))=1,TEXT(INDEX(ERP資料!$G:$G, (MATCH(987, 輔助計算!$G$2:$G$801, 0)+1)),"0.##"),IF(MOD(INDEX(輔助計算!$D:$D, (MATCH(987, 輔助計算!$G$2:$G$801, 0)+1)),IF(INDEX(ERP資料!$G:$G, (MATCH(987, 輔助計算!$G$2:$G$801, 0)+1))&lt;100, IF(INDEX(ERP資料!$G:$G, (MATCH(987, 輔助計算!$G$2:$G$801, 0)+1))&lt;=31,3,IF(INDEX(ERP資料!$G:$G, (MATCH(987, 輔助計算!$G$2:$G$801, 0)+1))&lt;=46.5,2,1)), IF(INDEX(ERP資料!$G:$G, (MATCH(987, 輔助計算!$G$2:$G$801, 0)+1))&lt;=790,3,IF(INDEX(ERP資料!$G:$G, (MATCH(987, 輔助計算!$G$2:$G$801, 0)+1))&lt;=1181,2,1))))=2,TEXT(INDEX(ERP資料!$G:$G, (MATCH(987, 輔助計算!$G$2:$G$801, 0)+1)),"0.##")&amp;"+"&amp;TEXT(INDEX(ERP資料!$G:$G, (MATCH(987, 輔助計算!$G$2:$G$801, 0)+1)),"0.##"),TEXT(INDEX(ERP資料!$G:$G, (MATCH(987, 輔助計算!$G$2:$G$801, 0)+1)),"0.##")&amp;"+"&amp;TEXT(INDEX(ERP資料!$G:$G, (MATCH(987, 輔助計算!$G$2:$G$801, 0)+1)),"0.##")&amp;"+"&amp;TEXT(INDEX(ERP資料!$G:$G, (MATCH(987, 輔助計算!$G$2:$G$801, 0)+1)),"0.##"))))&amp;"-1")), ""), "")</f>
        <v/>
      </c>
      <c r="K988" s="16" t="n"/>
      <c r="L988" s="14">
        <f>IFERROR(IF(AND(IFERROR(INDEX(ERP資料!$A:$A, (MATCH(987, 輔助計算!$G$2:$G$801, 0)+1)), "")&lt;&gt;"", IFERROR(INDEX(ERP資料!$A:$A, (MATCH(987, 輔助計算!$G$2:$G$801, 0)+1)), "")&lt;&gt;IFERROR(INDEX(ERP資料!$A:$A, MATCH(986, 輔助計算!$G$2:$G$801, 0)+1), "")), INDEX(ERP資料!$B:$B, (MATCH(987, 輔助計算!$G$2:$G$801, 0)+1)), ""), "")</f>
        <v/>
      </c>
      <c r="M988" s="17" t="n"/>
    </row>
    <row r="989">
      <c r="A989" s="10">
        <f>IFERROR(IF(AND(IFERROR(INDEX(ERP資料!$A:$A, (MATCH(988, 輔助計算!$G$2:$G$801, 0)+1)), "")&lt;&gt;"", IFERROR(INDEX(ERP資料!$A:$A, (MATCH(988, 輔助計算!$G$2:$G$801, 0)+1)), "")&lt;&gt;IFERROR(INDEX(ERP資料!$A:$A, MATCH(987, 輔助計算!$G$2:$G$801, 0)+1), "")), IFERROR(INDEX(ERP資料!$A:$A, (MATCH(988, 輔助計算!$G$2:$G$801, 0)+1)), ""), ""), "")</f>
        <v/>
      </c>
      <c r="B989" s="10">
        <f>IFERROR(IF(AND(IFERROR(INDEX(ERP資料!$A:$A, (MATCH(988, 輔助計算!$G$2:$G$801, 0)+1)), "")&lt;&gt;"", IFERROR(INDEX(ERP資料!$A:$A, (MATCH(988, 輔助計算!$G$2:$G$801, 0)+1)), "")&lt;&gt;IFERROR(INDEX(ERP資料!$A:$A, MATCH(987, 輔助計算!$G$2:$G$801, 0)+1), "")), INDEX(ERP資料!$S:$S, (MATCH(988, 輔助計算!$G$2:$G$801, 0)+1)), ""), "")</f>
        <v/>
      </c>
      <c r="C989" s="19">
        <f>IFERROR(IF(AND(IFERROR(INDEX(ERP資料!$A:$A, (MATCH(988, 輔助計算!$G$2:$G$801, 0)+1)), "")&lt;&gt;"", IFERROR(INDEX(ERP資料!$A:$A, (MATCH(988, 輔助計算!$G$2:$G$801, 0)+1)), "")&lt;&gt;IFERROR(INDEX(ERP資料!$A:$A, MATCH(987, 輔助計算!$G$2:$G$801, 0)+1), "")), IFERROR(VLOOKUP(LEFT(INDEX(ERP資料!$S:$S, (MATCH(988, 輔助計算!$G$2:$G$801, 0)+1)), 4), 紙管對照表!$A:$C, 3, FALSE), ""), ""), "")</f>
        <v/>
      </c>
      <c r="D989" s="16" t="n"/>
      <c r="E989" s="10">
        <f>IFERROR(IF(INDEX(ERP資料!$H:$H, (MATCH(988, 輔助計算!$G$2:$G$801, 0)+1))="","",INDEX(ERP資料!$H:$H, (MATCH(988, 輔助計算!$G$2:$G$801, 0)+1))), "")</f>
        <v/>
      </c>
      <c r="F989" s="10">
        <f>IFERROR(IF(INDEX(ERP資料!$E:$E, (MATCH(988, 輔助計算!$G$2:$G$801, 0)+1))="","",TRIM(INDEX(ERP資料!$E:$E, (MATCH(988, 輔助計算!$G$2:$G$801, 0)+1)))), "")</f>
        <v/>
      </c>
      <c r="G989" s="10">
        <f>IFERROR(IF(INDEX(ERP資料!$F:$F, (MATCH(988, 輔助計算!$G$2:$G$801, 0)+1))="","",INDEX(ERP資料!$F:$F, (MATCH(988, 輔助計算!$G$2:$G$801, 0)+1))), "")</f>
        <v/>
      </c>
      <c r="H989" s="10">
        <f>IFERROR(IF(INDEX(ERP資料!$G:$G, (MATCH(988, 輔助計算!$G$2:$G$801, 0)+1))="","",INDEX(ERP資料!$G:$G, (MATCH(988, 輔助計算!$G$2:$G$801, 0)+1))), "")</f>
        <v/>
      </c>
      <c r="I989" s="15">
        <f>IFERROR(INDEX(輔助計算!$D:$D, (MATCH(988, 輔助計算!$G$2:$G$801, 0)+1)), "")</f>
        <v/>
      </c>
      <c r="J989" s="15">
        <f>IFERROR(IF(AND(INDEX(輔助計算!$D:$D, (MATCH(988, 輔助計算!$G$2:$G$801, 0)+1))&lt;&gt;"", INDEX(ERP資料!$G:$G, (MATCH(988, 輔助計算!$G$2:$G$801, 0)+1))&lt;&gt;""), TRIM(IF(INT(INDEX(輔助計算!$D:$D, (MATCH(988, 輔助計算!$G$2:$G$801, 0)+1))/IF(INDEX(ERP資料!$G:$G, (MATCH(988, 輔助計算!$G$2:$G$801, 0)+1))&lt;100, IF(INDEX(ERP資料!$G:$G, (MATCH(988, 輔助計算!$G$2:$G$801, 0)+1))&lt;=31,3,IF(INDEX(ERP資料!$G:$G, (MATCH(988, 輔助計算!$G$2:$G$801, 0)+1))&lt;=46.5,2,1)), IF(INDEX(ERP資料!$G:$G, (MATCH(988, 輔助計算!$G$2:$G$801, 0)+1))&lt;=790,3,IF(INDEX(ERP資料!$G:$G, (MATCH(988, 輔助計算!$G$2:$G$801, 0)+1))&lt;=1181,2,1))))&gt;0, IF(IF(INDEX(ERP資料!$G:$G, (MATCH(988, 輔助計算!$G$2:$G$801, 0)+1))&lt;100, IF(INDEX(ERP資料!$G:$G, (MATCH(988, 輔助計算!$G$2:$G$801, 0)+1))&lt;=31,3,IF(INDEX(ERP資料!$G:$G, (MATCH(988, 輔助計算!$G$2:$G$801, 0)+1))&lt;=46.5,2,1)), IF(INDEX(ERP資料!$G:$G, (MATCH(988, 輔助計算!$G$2:$G$801, 0)+1))&lt;=790,3,IF(INDEX(ERP資料!$G:$G, (MATCH(988, 輔助計算!$G$2:$G$801, 0)+1))&lt;=1181,2,1)))=1,TEXT(INDEX(ERP資料!$G:$G, (MATCH(988, 輔助計算!$G$2:$G$801, 0)+1)),"0.##"),IF(IF(INDEX(ERP資料!$G:$G, (MATCH(988, 輔助計算!$G$2:$G$801, 0)+1))&lt;100, IF(INDEX(ERP資料!$G:$G, (MATCH(988, 輔助計算!$G$2:$G$801, 0)+1))&lt;=31,3,IF(INDEX(ERP資料!$G:$G, (MATCH(988, 輔助計算!$G$2:$G$801, 0)+1))&lt;=46.5,2,1)), IF(INDEX(ERP資料!$G:$G, (MATCH(988, 輔助計算!$G$2:$G$801, 0)+1))&lt;=790,3,IF(INDEX(ERP資料!$G:$G, (MATCH(988, 輔助計算!$G$2:$G$801, 0)+1))&lt;=1181,2,1)))=2,TEXT(INDEX(ERP資料!$G:$G, (MATCH(988, 輔助計算!$G$2:$G$801, 0)+1)),"0.##")&amp;"+"&amp;TEXT(INDEX(ERP資料!$G:$G, (MATCH(988, 輔助計算!$G$2:$G$801, 0)+1)),"0.##"),TEXT(INDEX(ERP資料!$G:$G, (MATCH(988, 輔助計算!$G$2:$G$801, 0)+1)),"0.##")&amp;"+"&amp;TEXT(INDEX(ERP資料!$G:$G, (MATCH(988, 輔助計算!$G$2:$G$801, 0)+1)),"0.##")&amp;"+"&amp;TEXT(INDEX(ERP資料!$G:$G, (MATCH(988, 輔助計算!$G$2:$G$801, 0)+1)),"0.##")))&amp;"-"&amp;INT(INDEX(輔助計算!$D:$D, (MATCH(988, 輔助計算!$G$2:$G$801, 0)+1))/IF(INDEX(ERP資料!$G:$G, (MATCH(988, 輔助計算!$G$2:$G$801, 0)+1))&lt;100, IF(INDEX(ERP資料!$G:$G, (MATCH(988, 輔助計算!$G$2:$G$801, 0)+1))&lt;=31,3,IF(INDEX(ERP資料!$G:$G, (MATCH(988, 輔助計算!$G$2:$G$801, 0)+1))&lt;=46.5,2,1)), IF(INDEX(ERP資料!$G:$G, (MATCH(988, 輔助計算!$G$2:$G$801, 0)+1))&lt;=790,3,IF(INDEX(ERP資料!$G:$G, (MATCH(988, 輔助計算!$G$2:$G$801, 0)+1))&lt;=1181,2,1)))), "")&amp;IF(AND(IF(INT(INDEX(輔助計算!$D:$D, (MATCH(988, 輔助計算!$G$2:$G$801, 0)+1))/IF(INDEX(ERP資料!$G:$G, (MATCH(988, 輔助計算!$G$2:$G$801, 0)+1))&lt;100, IF(INDEX(ERP資料!$G:$G, (MATCH(988, 輔助計算!$G$2:$G$801, 0)+1))&lt;=31,3,IF(INDEX(ERP資料!$G:$G, (MATCH(988, 輔助計算!$G$2:$G$801, 0)+1))&lt;=46.5,2,1)), IF(INDEX(ERP資料!$G:$G, (MATCH(988, 輔助計算!$G$2:$G$801, 0)+1))&lt;=790,3,IF(INDEX(ERP資料!$G:$G, (MATCH(988, 輔助計算!$G$2:$G$801, 0)+1))&lt;=1181,2,1))))&gt;0, IF(IF(INDEX(ERP資料!$G:$G, (MATCH(988, 輔助計算!$G$2:$G$801, 0)+1))&lt;100, IF(INDEX(ERP資料!$G:$G, (MATCH(988, 輔助計算!$G$2:$G$801, 0)+1))&lt;=31,3,IF(INDEX(ERP資料!$G:$G, (MATCH(988, 輔助計算!$G$2:$G$801, 0)+1))&lt;=46.5,2,1)), IF(INDEX(ERP資料!$G:$G, (MATCH(988, 輔助計算!$G$2:$G$801, 0)+1))&lt;=790,3,IF(INDEX(ERP資料!$G:$G, (MATCH(988, 輔助計算!$G$2:$G$801, 0)+1))&lt;=1181,2,1)))=1,TEXT(INDEX(ERP資料!$G:$G, (MATCH(988, 輔助計算!$G$2:$G$801, 0)+1)),"0.##"),IF(IF(INDEX(ERP資料!$G:$G, (MATCH(988, 輔助計算!$G$2:$G$801, 0)+1))&lt;100, IF(INDEX(ERP資料!$G:$G, (MATCH(988, 輔助計算!$G$2:$G$801, 0)+1))&lt;=31,3,IF(INDEX(ERP資料!$G:$G, (MATCH(988, 輔助計算!$G$2:$G$801, 0)+1))&lt;=46.5,2,1)), IF(INDEX(ERP資料!$G:$G, (MATCH(988, 輔助計算!$G$2:$G$801, 0)+1))&lt;=790,3,IF(INDEX(ERP資料!$G:$G, (MATCH(988, 輔助計算!$G$2:$G$801, 0)+1))&lt;=1181,2,1)))=2,TEXT(INDEX(ERP資料!$G:$G, (MATCH(988, 輔助計算!$G$2:$G$801, 0)+1)),"0.##")&amp;"+"&amp;TEXT(INDEX(ERP資料!$G:$G, (MATCH(988, 輔助計算!$G$2:$G$801, 0)+1)),"0.##"),TEXT(INDEX(ERP資料!$G:$G, (MATCH(988, 輔助計算!$G$2:$G$801, 0)+1)),"0.##")&amp;"+"&amp;TEXT(INDEX(ERP資料!$G:$G, (MATCH(988, 輔助計算!$G$2:$G$801, 0)+1)),"0.##")&amp;"+"&amp;TEXT(INDEX(ERP資料!$G:$G, (MATCH(988, 輔助計算!$G$2:$G$801, 0)+1)),"0.##")))&amp;"-"&amp;INT(INDEX(輔助計算!$D:$D, (MATCH(988, 輔助計算!$G$2:$G$801, 0)+1))/IF(INDEX(ERP資料!$G:$G, (MATCH(988, 輔助計算!$G$2:$G$801, 0)+1))&lt;100, IF(INDEX(ERP資料!$G:$G, (MATCH(988, 輔助計算!$G$2:$G$801, 0)+1))&lt;=31,3,IF(INDEX(ERP資料!$G:$G, (MATCH(988, 輔助計算!$G$2:$G$801, 0)+1))&lt;=46.5,2,1)), IF(INDEX(ERP資料!$G:$G, (MATCH(988, 輔助計算!$G$2:$G$801, 0)+1))&lt;=790,3,IF(INDEX(ERP資料!$G:$G, (MATCH(988, 輔助計算!$G$2:$G$801, 0)+1))&lt;=1181,2,1)))), "")&lt;&gt;"",IF(MOD(INDEX(輔助計算!$D:$D, (MATCH(988, 輔助計算!$G$2:$G$801, 0)+1)),IF(INDEX(ERP資料!$G:$G, (MATCH(988, 輔助計算!$G$2:$G$801, 0)+1))&lt;100, IF(INDEX(ERP資料!$G:$G, (MATCH(988, 輔助計算!$G$2:$G$801, 0)+1))&lt;=31,3,IF(INDEX(ERP資料!$G:$G, (MATCH(988, 輔助計算!$G$2:$G$801, 0)+1))&lt;=46.5,2,1)), IF(INDEX(ERP資料!$G:$G, (MATCH(988, 輔助計算!$G$2:$G$801, 0)+1))&lt;=790,3,IF(INDEX(ERP資料!$G:$G, (MATCH(988, 輔助計算!$G$2:$G$801, 0)+1))&lt;=1181,2,1))))=0,"",IF(MOD(INDEX(輔助計算!$D:$D, (MATCH(988, 輔助計算!$G$2:$G$801, 0)+1)),IF(INDEX(ERP資料!$G:$G, (MATCH(988, 輔助計算!$G$2:$G$801, 0)+1))&lt;100, IF(INDEX(ERP資料!$G:$G, (MATCH(988, 輔助計算!$G$2:$G$801, 0)+1))&lt;=31,3,IF(INDEX(ERP資料!$G:$G, (MATCH(988, 輔助計算!$G$2:$G$801, 0)+1))&lt;=46.5,2,1)), IF(INDEX(ERP資料!$G:$G, (MATCH(988, 輔助計算!$G$2:$G$801, 0)+1))&lt;=790,3,IF(INDEX(ERP資料!$G:$G, (MATCH(988, 輔助計算!$G$2:$G$801, 0)+1))&lt;=1181,2,1))))=0,"",IF(MOD(INDEX(輔助計算!$D:$D, (MATCH(988, 輔助計算!$G$2:$G$801, 0)+1)),IF(INDEX(ERP資料!$G:$G, (MATCH(988, 輔助計算!$G$2:$G$801, 0)+1))&lt;100, IF(INDEX(ERP資料!$G:$G, (MATCH(988, 輔助計算!$G$2:$G$801, 0)+1))&lt;=31,3,IF(INDEX(ERP資料!$G:$G, (MATCH(988, 輔助計算!$G$2:$G$801, 0)+1))&lt;=46.5,2,1)), IF(INDEX(ERP資料!$G:$G, (MATCH(988, 輔助計算!$G$2:$G$801, 0)+1))&lt;=790,3,IF(INDEX(ERP資料!$G:$G, (MATCH(988, 輔助計算!$G$2:$G$801, 0)+1))&lt;=1181,2,1))))=1,TEXT(INDEX(ERP資料!$G:$G, (MATCH(988, 輔助計算!$G$2:$G$801, 0)+1)),"0.##"),IF(MOD(INDEX(輔助計算!$D:$D, (MATCH(988, 輔助計算!$G$2:$G$801, 0)+1)),IF(INDEX(ERP資料!$G:$G, (MATCH(988, 輔助計算!$G$2:$G$801, 0)+1))&lt;100, IF(INDEX(ERP資料!$G:$G, (MATCH(988, 輔助計算!$G$2:$G$801, 0)+1))&lt;=31,3,IF(INDEX(ERP資料!$G:$G, (MATCH(988, 輔助計算!$G$2:$G$801, 0)+1))&lt;=46.5,2,1)), IF(INDEX(ERP資料!$G:$G, (MATCH(988, 輔助計算!$G$2:$G$801, 0)+1))&lt;=790,3,IF(INDEX(ERP資料!$G:$G, (MATCH(988, 輔助計算!$G$2:$G$801, 0)+1))&lt;=1181,2,1))))=2,TEXT(INDEX(ERP資料!$G:$G, (MATCH(988, 輔助計算!$G$2:$G$801, 0)+1)),"0.##")&amp;"+"&amp;TEXT(INDEX(ERP資料!$G:$G, (MATCH(988, 輔助計算!$G$2:$G$801, 0)+1)),"0.##"),TEXT(INDEX(ERP資料!$G:$G, (MATCH(988, 輔助計算!$G$2:$G$801, 0)+1)),"0.##")&amp;"+"&amp;TEXT(INDEX(ERP資料!$G:$G, (MATCH(988, 輔助計算!$G$2:$G$801, 0)+1)),"0.##")&amp;"+"&amp;TEXT(INDEX(ERP資料!$G:$G, (MATCH(988, 輔助計算!$G$2:$G$801, 0)+1)),"0.##"))))&amp;"-1")&lt;&gt;""),"  ","")&amp;IF(MOD(INDEX(輔助計算!$D:$D, (MATCH(988, 輔助計算!$G$2:$G$801, 0)+1)),IF(INDEX(ERP資料!$G:$G, (MATCH(988, 輔助計算!$G$2:$G$801, 0)+1))&lt;100, IF(INDEX(ERP資料!$G:$G, (MATCH(988, 輔助計算!$G$2:$G$801, 0)+1))&lt;=31,3,IF(INDEX(ERP資料!$G:$G, (MATCH(988, 輔助計算!$G$2:$G$801, 0)+1))&lt;=46.5,2,1)), IF(INDEX(ERP資料!$G:$G, (MATCH(988, 輔助計算!$G$2:$G$801, 0)+1))&lt;=790,3,IF(INDEX(ERP資料!$G:$G, (MATCH(988, 輔助計算!$G$2:$G$801, 0)+1))&lt;=1181,2,1))))=0,"",IF(MOD(INDEX(輔助計算!$D:$D, (MATCH(988, 輔助計算!$G$2:$G$801, 0)+1)),IF(INDEX(ERP資料!$G:$G, (MATCH(988, 輔助計算!$G$2:$G$801, 0)+1))&lt;100, IF(INDEX(ERP資料!$G:$G, (MATCH(988, 輔助計算!$G$2:$G$801, 0)+1))&lt;=31,3,IF(INDEX(ERP資料!$G:$G, (MATCH(988, 輔助計算!$G$2:$G$801, 0)+1))&lt;=46.5,2,1)), IF(INDEX(ERP資料!$G:$G, (MATCH(988, 輔助計算!$G$2:$G$801, 0)+1))&lt;=790,3,IF(INDEX(ERP資料!$G:$G, (MATCH(988, 輔助計算!$G$2:$G$801, 0)+1))&lt;=1181,2,1))))=0,"",IF(MOD(INDEX(輔助計算!$D:$D, (MATCH(988, 輔助計算!$G$2:$G$801, 0)+1)),IF(INDEX(ERP資料!$G:$G, (MATCH(988, 輔助計算!$G$2:$G$801, 0)+1))&lt;100, IF(INDEX(ERP資料!$G:$G, (MATCH(988, 輔助計算!$G$2:$G$801, 0)+1))&lt;=31,3,IF(INDEX(ERP資料!$G:$G, (MATCH(988, 輔助計算!$G$2:$G$801, 0)+1))&lt;=46.5,2,1)), IF(INDEX(ERP資料!$G:$G, (MATCH(988, 輔助計算!$G$2:$G$801, 0)+1))&lt;=790,3,IF(INDEX(ERP資料!$G:$G, (MATCH(988, 輔助計算!$G$2:$G$801, 0)+1))&lt;=1181,2,1))))=1,TEXT(INDEX(ERP資料!$G:$G, (MATCH(988, 輔助計算!$G$2:$G$801, 0)+1)),"0.##"),IF(MOD(INDEX(輔助計算!$D:$D, (MATCH(988, 輔助計算!$G$2:$G$801, 0)+1)),IF(INDEX(ERP資料!$G:$G, (MATCH(988, 輔助計算!$G$2:$G$801, 0)+1))&lt;100, IF(INDEX(ERP資料!$G:$G, (MATCH(988, 輔助計算!$G$2:$G$801, 0)+1))&lt;=31,3,IF(INDEX(ERP資料!$G:$G, (MATCH(988, 輔助計算!$G$2:$G$801, 0)+1))&lt;=46.5,2,1)), IF(INDEX(ERP資料!$G:$G, (MATCH(988, 輔助計算!$G$2:$G$801, 0)+1))&lt;=790,3,IF(INDEX(ERP資料!$G:$G, (MATCH(988, 輔助計算!$G$2:$G$801, 0)+1))&lt;=1181,2,1))))=2,TEXT(INDEX(ERP資料!$G:$G, (MATCH(988, 輔助計算!$G$2:$G$801, 0)+1)),"0.##")&amp;"+"&amp;TEXT(INDEX(ERP資料!$G:$G, (MATCH(988, 輔助計算!$G$2:$G$801, 0)+1)),"0.##"),TEXT(INDEX(ERP資料!$G:$G, (MATCH(988, 輔助計算!$G$2:$G$801, 0)+1)),"0.##")&amp;"+"&amp;TEXT(INDEX(ERP資料!$G:$G, (MATCH(988, 輔助計算!$G$2:$G$801, 0)+1)),"0.##")&amp;"+"&amp;TEXT(INDEX(ERP資料!$G:$G, (MATCH(988, 輔助計算!$G$2:$G$801, 0)+1)),"0.##"))))&amp;"-1")), ""), "")</f>
        <v/>
      </c>
      <c r="K989" s="16" t="n"/>
      <c r="L989" s="14">
        <f>IFERROR(IF(AND(IFERROR(INDEX(ERP資料!$A:$A, (MATCH(988, 輔助計算!$G$2:$G$801, 0)+1)), "")&lt;&gt;"", IFERROR(INDEX(ERP資料!$A:$A, (MATCH(988, 輔助計算!$G$2:$G$801, 0)+1)), "")&lt;&gt;IFERROR(INDEX(ERP資料!$A:$A, MATCH(987, 輔助計算!$G$2:$G$801, 0)+1), "")), INDEX(ERP資料!$B:$B, (MATCH(988, 輔助計算!$G$2:$G$801, 0)+1)), ""), "")</f>
        <v/>
      </c>
      <c r="M989" s="17" t="n"/>
    </row>
    <row r="990">
      <c r="A990" s="10">
        <f>IFERROR(IF(AND(IFERROR(INDEX(ERP資料!$A:$A, (MATCH(989, 輔助計算!$G$2:$G$801, 0)+1)), "")&lt;&gt;"", IFERROR(INDEX(ERP資料!$A:$A, (MATCH(989, 輔助計算!$G$2:$G$801, 0)+1)), "")&lt;&gt;IFERROR(INDEX(ERP資料!$A:$A, MATCH(988, 輔助計算!$G$2:$G$801, 0)+1), "")), IFERROR(INDEX(ERP資料!$A:$A, (MATCH(989, 輔助計算!$G$2:$G$801, 0)+1)), ""), ""), "")</f>
        <v/>
      </c>
      <c r="B990" s="10">
        <f>IFERROR(IF(AND(IFERROR(INDEX(ERP資料!$A:$A, (MATCH(989, 輔助計算!$G$2:$G$801, 0)+1)), "")&lt;&gt;"", IFERROR(INDEX(ERP資料!$A:$A, (MATCH(989, 輔助計算!$G$2:$G$801, 0)+1)), "")&lt;&gt;IFERROR(INDEX(ERP資料!$A:$A, MATCH(988, 輔助計算!$G$2:$G$801, 0)+1), "")), INDEX(ERP資料!$S:$S, (MATCH(989, 輔助計算!$G$2:$G$801, 0)+1)), ""), "")</f>
        <v/>
      </c>
      <c r="C990" s="19">
        <f>IFERROR(IF(AND(IFERROR(INDEX(ERP資料!$A:$A, (MATCH(989, 輔助計算!$G$2:$G$801, 0)+1)), "")&lt;&gt;"", IFERROR(INDEX(ERP資料!$A:$A, (MATCH(989, 輔助計算!$G$2:$G$801, 0)+1)), "")&lt;&gt;IFERROR(INDEX(ERP資料!$A:$A, MATCH(988, 輔助計算!$G$2:$G$801, 0)+1), "")), IFERROR(VLOOKUP(LEFT(INDEX(ERP資料!$S:$S, (MATCH(989, 輔助計算!$G$2:$G$801, 0)+1)), 4), 紙管對照表!$A:$C, 3, FALSE), ""), ""), "")</f>
        <v/>
      </c>
      <c r="D990" s="16" t="n"/>
      <c r="E990" s="10">
        <f>IFERROR(IF(INDEX(ERP資料!$H:$H, (MATCH(989, 輔助計算!$G$2:$G$801, 0)+1))="","",INDEX(ERP資料!$H:$H, (MATCH(989, 輔助計算!$G$2:$G$801, 0)+1))), "")</f>
        <v/>
      </c>
      <c r="F990" s="10">
        <f>IFERROR(IF(INDEX(ERP資料!$E:$E, (MATCH(989, 輔助計算!$G$2:$G$801, 0)+1))="","",TRIM(INDEX(ERP資料!$E:$E, (MATCH(989, 輔助計算!$G$2:$G$801, 0)+1)))), "")</f>
        <v/>
      </c>
      <c r="G990" s="10">
        <f>IFERROR(IF(INDEX(ERP資料!$F:$F, (MATCH(989, 輔助計算!$G$2:$G$801, 0)+1))="","",INDEX(ERP資料!$F:$F, (MATCH(989, 輔助計算!$G$2:$G$801, 0)+1))), "")</f>
        <v/>
      </c>
      <c r="H990" s="10">
        <f>IFERROR(IF(INDEX(ERP資料!$G:$G, (MATCH(989, 輔助計算!$G$2:$G$801, 0)+1))="","",INDEX(ERP資料!$G:$G, (MATCH(989, 輔助計算!$G$2:$G$801, 0)+1))), "")</f>
        <v/>
      </c>
      <c r="I990" s="15">
        <f>IFERROR(INDEX(輔助計算!$D:$D, (MATCH(989, 輔助計算!$G$2:$G$801, 0)+1)), "")</f>
        <v/>
      </c>
      <c r="J990" s="15">
        <f>IFERROR(IF(AND(INDEX(輔助計算!$D:$D, (MATCH(989, 輔助計算!$G$2:$G$801, 0)+1))&lt;&gt;"", INDEX(ERP資料!$G:$G, (MATCH(989, 輔助計算!$G$2:$G$801, 0)+1))&lt;&gt;""), TRIM(IF(INT(INDEX(輔助計算!$D:$D, (MATCH(989, 輔助計算!$G$2:$G$801, 0)+1))/IF(INDEX(ERP資料!$G:$G, (MATCH(989, 輔助計算!$G$2:$G$801, 0)+1))&lt;100, IF(INDEX(ERP資料!$G:$G, (MATCH(989, 輔助計算!$G$2:$G$801, 0)+1))&lt;=31,3,IF(INDEX(ERP資料!$G:$G, (MATCH(989, 輔助計算!$G$2:$G$801, 0)+1))&lt;=46.5,2,1)), IF(INDEX(ERP資料!$G:$G, (MATCH(989, 輔助計算!$G$2:$G$801, 0)+1))&lt;=790,3,IF(INDEX(ERP資料!$G:$G, (MATCH(989, 輔助計算!$G$2:$G$801, 0)+1))&lt;=1181,2,1))))&gt;0, IF(IF(INDEX(ERP資料!$G:$G, (MATCH(989, 輔助計算!$G$2:$G$801, 0)+1))&lt;100, IF(INDEX(ERP資料!$G:$G, (MATCH(989, 輔助計算!$G$2:$G$801, 0)+1))&lt;=31,3,IF(INDEX(ERP資料!$G:$G, (MATCH(989, 輔助計算!$G$2:$G$801, 0)+1))&lt;=46.5,2,1)), IF(INDEX(ERP資料!$G:$G, (MATCH(989, 輔助計算!$G$2:$G$801, 0)+1))&lt;=790,3,IF(INDEX(ERP資料!$G:$G, (MATCH(989, 輔助計算!$G$2:$G$801, 0)+1))&lt;=1181,2,1)))=1,TEXT(INDEX(ERP資料!$G:$G, (MATCH(989, 輔助計算!$G$2:$G$801, 0)+1)),"0.##"),IF(IF(INDEX(ERP資料!$G:$G, (MATCH(989, 輔助計算!$G$2:$G$801, 0)+1))&lt;100, IF(INDEX(ERP資料!$G:$G, (MATCH(989, 輔助計算!$G$2:$G$801, 0)+1))&lt;=31,3,IF(INDEX(ERP資料!$G:$G, (MATCH(989, 輔助計算!$G$2:$G$801, 0)+1))&lt;=46.5,2,1)), IF(INDEX(ERP資料!$G:$G, (MATCH(989, 輔助計算!$G$2:$G$801, 0)+1))&lt;=790,3,IF(INDEX(ERP資料!$G:$G, (MATCH(989, 輔助計算!$G$2:$G$801, 0)+1))&lt;=1181,2,1)))=2,TEXT(INDEX(ERP資料!$G:$G, (MATCH(989, 輔助計算!$G$2:$G$801, 0)+1)),"0.##")&amp;"+"&amp;TEXT(INDEX(ERP資料!$G:$G, (MATCH(989, 輔助計算!$G$2:$G$801, 0)+1)),"0.##"),TEXT(INDEX(ERP資料!$G:$G, (MATCH(989, 輔助計算!$G$2:$G$801, 0)+1)),"0.##")&amp;"+"&amp;TEXT(INDEX(ERP資料!$G:$G, (MATCH(989, 輔助計算!$G$2:$G$801, 0)+1)),"0.##")&amp;"+"&amp;TEXT(INDEX(ERP資料!$G:$G, (MATCH(989, 輔助計算!$G$2:$G$801, 0)+1)),"0.##")))&amp;"-"&amp;INT(INDEX(輔助計算!$D:$D, (MATCH(989, 輔助計算!$G$2:$G$801, 0)+1))/IF(INDEX(ERP資料!$G:$G, (MATCH(989, 輔助計算!$G$2:$G$801, 0)+1))&lt;100, IF(INDEX(ERP資料!$G:$G, (MATCH(989, 輔助計算!$G$2:$G$801, 0)+1))&lt;=31,3,IF(INDEX(ERP資料!$G:$G, (MATCH(989, 輔助計算!$G$2:$G$801, 0)+1))&lt;=46.5,2,1)), IF(INDEX(ERP資料!$G:$G, (MATCH(989, 輔助計算!$G$2:$G$801, 0)+1))&lt;=790,3,IF(INDEX(ERP資料!$G:$G, (MATCH(989, 輔助計算!$G$2:$G$801, 0)+1))&lt;=1181,2,1)))), "")&amp;IF(AND(IF(INT(INDEX(輔助計算!$D:$D, (MATCH(989, 輔助計算!$G$2:$G$801, 0)+1))/IF(INDEX(ERP資料!$G:$G, (MATCH(989, 輔助計算!$G$2:$G$801, 0)+1))&lt;100, IF(INDEX(ERP資料!$G:$G, (MATCH(989, 輔助計算!$G$2:$G$801, 0)+1))&lt;=31,3,IF(INDEX(ERP資料!$G:$G, (MATCH(989, 輔助計算!$G$2:$G$801, 0)+1))&lt;=46.5,2,1)), IF(INDEX(ERP資料!$G:$G, (MATCH(989, 輔助計算!$G$2:$G$801, 0)+1))&lt;=790,3,IF(INDEX(ERP資料!$G:$G, (MATCH(989, 輔助計算!$G$2:$G$801, 0)+1))&lt;=1181,2,1))))&gt;0, IF(IF(INDEX(ERP資料!$G:$G, (MATCH(989, 輔助計算!$G$2:$G$801, 0)+1))&lt;100, IF(INDEX(ERP資料!$G:$G, (MATCH(989, 輔助計算!$G$2:$G$801, 0)+1))&lt;=31,3,IF(INDEX(ERP資料!$G:$G, (MATCH(989, 輔助計算!$G$2:$G$801, 0)+1))&lt;=46.5,2,1)), IF(INDEX(ERP資料!$G:$G, (MATCH(989, 輔助計算!$G$2:$G$801, 0)+1))&lt;=790,3,IF(INDEX(ERP資料!$G:$G, (MATCH(989, 輔助計算!$G$2:$G$801, 0)+1))&lt;=1181,2,1)))=1,TEXT(INDEX(ERP資料!$G:$G, (MATCH(989, 輔助計算!$G$2:$G$801, 0)+1)),"0.##"),IF(IF(INDEX(ERP資料!$G:$G, (MATCH(989, 輔助計算!$G$2:$G$801, 0)+1))&lt;100, IF(INDEX(ERP資料!$G:$G, (MATCH(989, 輔助計算!$G$2:$G$801, 0)+1))&lt;=31,3,IF(INDEX(ERP資料!$G:$G, (MATCH(989, 輔助計算!$G$2:$G$801, 0)+1))&lt;=46.5,2,1)), IF(INDEX(ERP資料!$G:$G, (MATCH(989, 輔助計算!$G$2:$G$801, 0)+1))&lt;=790,3,IF(INDEX(ERP資料!$G:$G, (MATCH(989, 輔助計算!$G$2:$G$801, 0)+1))&lt;=1181,2,1)))=2,TEXT(INDEX(ERP資料!$G:$G, (MATCH(989, 輔助計算!$G$2:$G$801, 0)+1)),"0.##")&amp;"+"&amp;TEXT(INDEX(ERP資料!$G:$G, (MATCH(989, 輔助計算!$G$2:$G$801, 0)+1)),"0.##"),TEXT(INDEX(ERP資料!$G:$G, (MATCH(989, 輔助計算!$G$2:$G$801, 0)+1)),"0.##")&amp;"+"&amp;TEXT(INDEX(ERP資料!$G:$G, (MATCH(989, 輔助計算!$G$2:$G$801, 0)+1)),"0.##")&amp;"+"&amp;TEXT(INDEX(ERP資料!$G:$G, (MATCH(989, 輔助計算!$G$2:$G$801, 0)+1)),"0.##")))&amp;"-"&amp;INT(INDEX(輔助計算!$D:$D, (MATCH(989, 輔助計算!$G$2:$G$801, 0)+1))/IF(INDEX(ERP資料!$G:$G, (MATCH(989, 輔助計算!$G$2:$G$801, 0)+1))&lt;100, IF(INDEX(ERP資料!$G:$G, (MATCH(989, 輔助計算!$G$2:$G$801, 0)+1))&lt;=31,3,IF(INDEX(ERP資料!$G:$G, (MATCH(989, 輔助計算!$G$2:$G$801, 0)+1))&lt;=46.5,2,1)), IF(INDEX(ERP資料!$G:$G, (MATCH(989, 輔助計算!$G$2:$G$801, 0)+1))&lt;=790,3,IF(INDEX(ERP資料!$G:$G, (MATCH(989, 輔助計算!$G$2:$G$801, 0)+1))&lt;=1181,2,1)))), "")&lt;&gt;"",IF(MOD(INDEX(輔助計算!$D:$D, (MATCH(989, 輔助計算!$G$2:$G$801, 0)+1)),IF(INDEX(ERP資料!$G:$G, (MATCH(989, 輔助計算!$G$2:$G$801, 0)+1))&lt;100, IF(INDEX(ERP資料!$G:$G, (MATCH(989, 輔助計算!$G$2:$G$801, 0)+1))&lt;=31,3,IF(INDEX(ERP資料!$G:$G, (MATCH(989, 輔助計算!$G$2:$G$801, 0)+1))&lt;=46.5,2,1)), IF(INDEX(ERP資料!$G:$G, (MATCH(989, 輔助計算!$G$2:$G$801, 0)+1))&lt;=790,3,IF(INDEX(ERP資料!$G:$G, (MATCH(989, 輔助計算!$G$2:$G$801, 0)+1))&lt;=1181,2,1))))=0,"",IF(MOD(INDEX(輔助計算!$D:$D, (MATCH(989, 輔助計算!$G$2:$G$801, 0)+1)),IF(INDEX(ERP資料!$G:$G, (MATCH(989, 輔助計算!$G$2:$G$801, 0)+1))&lt;100, IF(INDEX(ERP資料!$G:$G, (MATCH(989, 輔助計算!$G$2:$G$801, 0)+1))&lt;=31,3,IF(INDEX(ERP資料!$G:$G, (MATCH(989, 輔助計算!$G$2:$G$801, 0)+1))&lt;=46.5,2,1)), IF(INDEX(ERP資料!$G:$G, (MATCH(989, 輔助計算!$G$2:$G$801, 0)+1))&lt;=790,3,IF(INDEX(ERP資料!$G:$G, (MATCH(989, 輔助計算!$G$2:$G$801, 0)+1))&lt;=1181,2,1))))=0,"",IF(MOD(INDEX(輔助計算!$D:$D, (MATCH(989, 輔助計算!$G$2:$G$801, 0)+1)),IF(INDEX(ERP資料!$G:$G, (MATCH(989, 輔助計算!$G$2:$G$801, 0)+1))&lt;100, IF(INDEX(ERP資料!$G:$G, (MATCH(989, 輔助計算!$G$2:$G$801, 0)+1))&lt;=31,3,IF(INDEX(ERP資料!$G:$G, (MATCH(989, 輔助計算!$G$2:$G$801, 0)+1))&lt;=46.5,2,1)), IF(INDEX(ERP資料!$G:$G, (MATCH(989, 輔助計算!$G$2:$G$801, 0)+1))&lt;=790,3,IF(INDEX(ERP資料!$G:$G, (MATCH(989, 輔助計算!$G$2:$G$801, 0)+1))&lt;=1181,2,1))))=1,TEXT(INDEX(ERP資料!$G:$G, (MATCH(989, 輔助計算!$G$2:$G$801, 0)+1)),"0.##"),IF(MOD(INDEX(輔助計算!$D:$D, (MATCH(989, 輔助計算!$G$2:$G$801, 0)+1)),IF(INDEX(ERP資料!$G:$G, (MATCH(989, 輔助計算!$G$2:$G$801, 0)+1))&lt;100, IF(INDEX(ERP資料!$G:$G, (MATCH(989, 輔助計算!$G$2:$G$801, 0)+1))&lt;=31,3,IF(INDEX(ERP資料!$G:$G, (MATCH(989, 輔助計算!$G$2:$G$801, 0)+1))&lt;=46.5,2,1)), IF(INDEX(ERP資料!$G:$G, (MATCH(989, 輔助計算!$G$2:$G$801, 0)+1))&lt;=790,3,IF(INDEX(ERP資料!$G:$G, (MATCH(989, 輔助計算!$G$2:$G$801, 0)+1))&lt;=1181,2,1))))=2,TEXT(INDEX(ERP資料!$G:$G, (MATCH(989, 輔助計算!$G$2:$G$801, 0)+1)),"0.##")&amp;"+"&amp;TEXT(INDEX(ERP資料!$G:$G, (MATCH(989, 輔助計算!$G$2:$G$801, 0)+1)),"0.##"),TEXT(INDEX(ERP資料!$G:$G, (MATCH(989, 輔助計算!$G$2:$G$801, 0)+1)),"0.##")&amp;"+"&amp;TEXT(INDEX(ERP資料!$G:$G, (MATCH(989, 輔助計算!$G$2:$G$801, 0)+1)),"0.##")&amp;"+"&amp;TEXT(INDEX(ERP資料!$G:$G, (MATCH(989, 輔助計算!$G$2:$G$801, 0)+1)),"0.##"))))&amp;"-1")&lt;&gt;""),"  ","")&amp;IF(MOD(INDEX(輔助計算!$D:$D, (MATCH(989, 輔助計算!$G$2:$G$801, 0)+1)),IF(INDEX(ERP資料!$G:$G, (MATCH(989, 輔助計算!$G$2:$G$801, 0)+1))&lt;100, IF(INDEX(ERP資料!$G:$G, (MATCH(989, 輔助計算!$G$2:$G$801, 0)+1))&lt;=31,3,IF(INDEX(ERP資料!$G:$G, (MATCH(989, 輔助計算!$G$2:$G$801, 0)+1))&lt;=46.5,2,1)), IF(INDEX(ERP資料!$G:$G, (MATCH(989, 輔助計算!$G$2:$G$801, 0)+1))&lt;=790,3,IF(INDEX(ERP資料!$G:$G, (MATCH(989, 輔助計算!$G$2:$G$801, 0)+1))&lt;=1181,2,1))))=0,"",IF(MOD(INDEX(輔助計算!$D:$D, (MATCH(989, 輔助計算!$G$2:$G$801, 0)+1)),IF(INDEX(ERP資料!$G:$G, (MATCH(989, 輔助計算!$G$2:$G$801, 0)+1))&lt;100, IF(INDEX(ERP資料!$G:$G, (MATCH(989, 輔助計算!$G$2:$G$801, 0)+1))&lt;=31,3,IF(INDEX(ERP資料!$G:$G, (MATCH(989, 輔助計算!$G$2:$G$801, 0)+1))&lt;=46.5,2,1)), IF(INDEX(ERP資料!$G:$G, (MATCH(989, 輔助計算!$G$2:$G$801, 0)+1))&lt;=790,3,IF(INDEX(ERP資料!$G:$G, (MATCH(989, 輔助計算!$G$2:$G$801, 0)+1))&lt;=1181,2,1))))=0,"",IF(MOD(INDEX(輔助計算!$D:$D, (MATCH(989, 輔助計算!$G$2:$G$801, 0)+1)),IF(INDEX(ERP資料!$G:$G, (MATCH(989, 輔助計算!$G$2:$G$801, 0)+1))&lt;100, IF(INDEX(ERP資料!$G:$G, (MATCH(989, 輔助計算!$G$2:$G$801, 0)+1))&lt;=31,3,IF(INDEX(ERP資料!$G:$G, (MATCH(989, 輔助計算!$G$2:$G$801, 0)+1))&lt;=46.5,2,1)), IF(INDEX(ERP資料!$G:$G, (MATCH(989, 輔助計算!$G$2:$G$801, 0)+1))&lt;=790,3,IF(INDEX(ERP資料!$G:$G, (MATCH(989, 輔助計算!$G$2:$G$801, 0)+1))&lt;=1181,2,1))))=1,TEXT(INDEX(ERP資料!$G:$G, (MATCH(989, 輔助計算!$G$2:$G$801, 0)+1)),"0.##"),IF(MOD(INDEX(輔助計算!$D:$D, (MATCH(989, 輔助計算!$G$2:$G$801, 0)+1)),IF(INDEX(ERP資料!$G:$G, (MATCH(989, 輔助計算!$G$2:$G$801, 0)+1))&lt;100, IF(INDEX(ERP資料!$G:$G, (MATCH(989, 輔助計算!$G$2:$G$801, 0)+1))&lt;=31,3,IF(INDEX(ERP資料!$G:$G, (MATCH(989, 輔助計算!$G$2:$G$801, 0)+1))&lt;=46.5,2,1)), IF(INDEX(ERP資料!$G:$G, (MATCH(989, 輔助計算!$G$2:$G$801, 0)+1))&lt;=790,3,IF(INDEX(ERP資料!$G:$G, (MATCH(989, 輔助計算!$G$2:$G$801, 0)+1))&lt;=1181,2,1))))=2,TEXT(INDEX(ERP資料!$G:$G, (MATCH(989, 輔助計算!$G$2:$G$801, 0)+1)),"0.##")&amp;"+"&amp;TEXT(INDEX(ERP資料!$G:$G, (MATCH(989, 輔助計算!$G$2:$G$801, 0)+1)),"0.##"),TEXT(INDEX(ERP資料!$G:$G, (MATCH(989, 輔助計算!$G$2:$G$801, 0)+1)),"0.##")&amp;"+"&amp;TEXT(INDEX(ERP資料!$G:$G, (MATCH(989, 輔助計算!$G$2:$G$801, 0)+1)),"0.##")&amp;"+"&amp;TEXT(INDEX(ERP資料!$G:$G, (MATCH(989, 輔助計算!$G$2:$G$801, 0)+1)),"0.##"))))&amp;"-1")), ""), "")</f>
        <v/>
      </c>
      <c r="K990" s="16" t="n"/>
      <c r="L990" s="14">
        <f>IFERROR(IF(AND(IFERROR(INDEX(ERP資料!$A:$A, (MATCH(989, 輔助計算!$G$2:$G$801, 0)+1)), "")&lt;&gt;"", IFERROR(INDEX(ERP資料!$A:$A, (MATCH(989, 輔助計算!$G$2:$G$801, 0)+1)), "")&lt;&gt;IFERROR(INDEX(ERP資料!$A:$A, MATCH(988, 輔助計算!$G$2:$G$801, 0)+1), "")), INDEX(ERP資料!$B:$B, (MATCH(989, 輔助計算!$G$2:$G$801, 0)+1)), ""), "")</f>
        <v/>
      </c>
      <c r="M990" s="17" t="n"/>
    </row>
    <row r="991">
      <c r="A991" s="10">
        <f>IFERROR(IF(AND(IFERROR(INDEX(ERP資料!$A:$A, (MATCH(990, 輔助計算!$G$2:$G$801, 0)+1)), "")&lt;&gt;"", IFERROR(INDEX(ERP資料!$A:$A, (MATCH(990, 輔助計算!$G$2:$G$801, 0)+1)), "")&lt;&gt;IFERROR(INDEX(ERP資料!$A:$A, MATCH(989, 輔助計算!$G$2:$G$801, 0)+1), "")), IFERROR(INDEX(ERP資料!$A:$A, (MATCH(990, 輔助計算!$G$2:$G$801, 0)+1)), ""), ""), "")</f>
        <v/>
      </c>
      <c r="B991" s="10">
        <f>IFERROR(IF(AND(IFERROR(INDEX(ERP資料!$A:$A, (MATCH(990, 輔助計算!$G$2:$G$801, 0)+1)), "")&lt;&gt;"", IFERROR(INDEX(ERP資料!$A:$A, (MATCH(990, 輔助計算!$G$2:$G$801, 0)+1)), "")&lt;&gt;IFERROR(INDEX(ERP資料!$A:$A, MATCH(989, 輔助計算!$G$2:$G$801, 0)+1), "")), INDEX(ERP資料!$S:$S, (MATCH(990, 輔助計算!$G$2:$G$801, 0)+1)), ""), "")</f>
        <v/>
      </c>
      <c r="C991" s="19">
        <f>IFERROR(IF(AND(IFERROR(INDEX(ERP資料!$A:$A, (MATCH(990, 輔助計算!$G$2:$G$801, 0)+1)), "")&lt;&gt;"", IFERROR(INDEX(ERP資料!$A:$A, (MATCH(990, 輔助計算!$G$2:$G$801, 0)+1)), "")&lt;&gt;IFERROR(INDEX(ERP資料!$A:$A, MATCH(989, 輔助計算!$G$2:$G$801, 0)+1), "")), IFERROR(VLOOKUP(LEFT(INDEX(ERP資料!$S:$S, (MATCH(990, 輔助計算!$G$2:$G$801, 0)+1)), 4), 紙管對照表!$A:$C, 3, FALSE), ""), ""), "")</f>
        <v/>
      </c>
      <c r="D991" s="16" t="n"/>
      <c r="E991" s="10">
        <f>IFERROR(IF(INDEX(ERP資料!$H:$H, (MATCH(990, 輔助計算!$G$2:$G$801, 0)+1))="","",INDEX(ERP資料!$H:$H, (MATCH(990, 輔助計算!$G$2:$G$801, 0)+1))), "")</f>
        <v/>
      </c>
      <c r="F991" s="10">
        <f>IFERROR(IF(INDEX(ERP資料!$E:$E, (MATCH(990, 輔助計算!$G$2:$G$801, 0)+1))="","",TRIM(INDEX(ERP資料!$E:$E, (MATCH(990, 輔助計算!$G$2:$G$801, 0)+1)))), "")</f>
        <v/>
      </c>
      <c r="G991" s="10">
        <f>IFERROR(IF(INDEX(ERP資料!$F:$F, (MATCH(990, 輔助計算!$G$2:$G$801, 0)+1))="","",INDEX(ERP資料!$F:$F, (MATCH(990, 輔助計算!$G$2:$G$801, 0)+1))), "")</f>
        <v/>
      </c>
      <c r="H991" s="10">
        <f>IFERROR(IF(INDEX(ERP資料!$G:$G, (MATCH(990, 輔助計算!$G$2:$G$801, 0)+1))="","",INDEX(ERP資料!$G:$G, (MATCH(990, 輔助計算!$G$2:$G$801, 0)+1))), "")</f>
        <v/>
      </c>
      <c r="I991" s="15">
        <f>IFERROR(INDEX(輔助計算!$D:$D, (MATCH(990, 輔助計算!$G$2:$G$801, 0)+1)), "")</f>
        <v/>
      </c>
      <c r="J991" s="15">
        <f>IFERROR(IF(AND(INDEX(輔助計算!$D:$D, (MATCH(990, 輔助計算!$G$2:$G$801, 0)+1))&lt;&gt;"", INDEX(ERP資料!$G:$G, (MATCH(990, 輔助計算!$G$2:$G$801, 0)+1))&lt;&gt;""), TRIM(IF(INT(INDEX(輔助計算!$D:$D, (MATCH(990, 輔助計算!$G$2:$G$801, 0)+1))/IF(INDEX(ERP資料!$G:$G, (MATCH(990, 輔助計算!$G$2:$G$801, 0)+1))&lt;100, IF(INDEX(ERP資料!$G:$G, (MATCH(990, 輔助計算!$G$2:$G$801, 0)+1))&lt;=31,3,IF(INDEX(ERP資料!$G:$G, (MATCH(990, 輔助計算!$G$2:$G$801, 0)+1))&lt;=46.5,2,1)), IF(INDEX(ERP資料!$G:$G, (MATCH(990, 輔助計算!$G$2:$G$801, 0)+1))&lt;=790,3,IF(INDEX(ERP資料!$G:$G, (MATCH(990, 輔助計算!$G$2:$G$801, 0)+1))&lt;=1181,2,1))))&gt;0, IF(IF(INDEX(ERP資料!$G:$G, (MATCH(990, 輔助計算!$G$2:$G$801, 0)+1))&lt;100, IF(INDEX(ERP資料!$G:$G, (MATCH(990, 輔助計算!$G$2:$G$801, 0)+1))&lt;=31,3,IF(INDEX(ERP資料!$G:$G, (MATCH(990, 輔助計算!$G$2:$G$801, 0)+1))&lt;=46.5,2,1)), IF(INDEX(ERP資料!$G:$G, (MATCH(990, 輔助計算!$G$2:$G$801, 0)+1))&lt;=790,3,IF(INDEX(ERP資料!$G:$G, (MATCH(990, 輔助計算!$G$2:$G$801, 0)+1))&lt;=1181,2,1)))=1,TEXT(INDEX(ERP資料!$G:$G, (MATCH(990, 輔助計算!$G$2:$G$801, 0)+1)),"0.##"),IF(IF(INDEX(ERP資料!$G:$G, (MATCH(990, 輔助計算!$G$2:$G$801, 0)+1))&lt;100, IF(INDEX(ERP資料!$G:$G, (MATCH(990, 輔助計算!$G$2:$G$801, 0)+1))&lt;=31,3,IF(INDEX(ERP資料!$G:$G, (MATCH(990, 輔助計算!$G$2:$G$801, 0)+1))&lt;=46.5,2,1)), IF(INDEX(ERP資料!$G:$G, (MATCH(990, 輔助計算!$G$2:$G$801, 0)+1))&lt;=790,3,IF(INDEX(ERP資料!$G:$G, (MATCH(990, 輔助計算!$G$2:$G$801, 0)+1))&lt;=1181,2,1)))=2,TEXT(INDEX(ERP資料!$G:$G, (MATCH(990, 輔助計算!$G$2:$G$801, 0)+1)),"0.##")&amp;"+"&amp;TEXT(INDEX(ERP資料!$G:$G, (MATCH(990, 輔助計算!$G$2:$G$801, 0)+1)),"0.##"),TEXT(INDEX(ERP資料!$G:$G, (MATCH(990, 輔助計算!$G$2:$G$801, 0)+1)),"0.##")&amp;"+"&amp;TEXT(INDEX(ERP資料!$G:$G, (MATCH(990, 輔助計算!$G$2:$G$801, 0)+1)),"0.##")&amp;"+"&amp;TEXT(INDEX(ERP資料!$G:$G, (MATCH(990, 輔助計算!$G$2:$G$801, 0)+1)),"0.##")))&amp;"-"&amp;INT(INDEX(輔助計算!$D:$D, (MATCH(990, 輔助計算!$G$2:$G$801, 0)+1))/IF(INDEX(ERP資料!$G:$G, (MATCH(990, 輔助計算!$G$2:$G$801, 0)+1))&lt;100, IF(INDEX(ERP資料!$G:$G, (MATCH(990, 輔助計算!$G$2:$G$801, 0)+1))&lt;=31,3,IF(INDEX(ERP資料!$G:$G, (MATCH(990, 輔助計算!$G$2:$G$801, 0)+1))&lt;=46.5,2,1)), IF(INDEX(ERP資料!$G:$G, (MATCH(990, 輔助計算!$G$2:$G$801, 0)+1))&lt;=790,3,IF(INDEX(ERP資料!$G:$G, (MATCH(990, 輔助計算!$G$2:$G$801, 0)+1))&lt;=1181,2,1)))), "")&amp;IF(AND(IF(INT(INDEX(輔助計算!$D:$D, (MATCH(990, 輔助計算!$G$2:$G$801, 0)+1))/IF(INDEX(ERP資料!$G:$G, (MATCH(990, 輔助計算!$G$2:$G$801, 0)+1))&lt;100, IF(INDEX(ERP資料!$G:$G, (MATCH(990, 輔助計算!$G$2:$G$801, 0)+1))&lt;=31,3,IF(INDEX(ERP資料!$G:$G, (MATCH(990, 輔助計算!$G$2:$G$801, 0)+1))&lt;=46.5,2,1)), IF(INDEX(ERP資料!$G:$G, (MATCH(990, 輔助計算!$G$2:$G$801, 0)+1))&lt;=790,3,IF(INDEX(ERP資料!$G:$G, (MATCH(990, 輔助計算!$G$2:$G$801, 0)+1))&lt;=1181,2,1))))&gt;0, IF(IF(INDEX(ERP資料!$G:$G, (MATCH(990, 輔助計算!$G$2:$G$801, 0)+1))&lt;100, IF(INDEX(ERP資料!$G:$G, (MATCH(990, 輔助計算!$G$2:$G$801, 0)+1))&lt;=31,3,IF(INDEX(ERP資料!$G:$G, (MATCH(990, 輔助計算!$G$2:$G$801, 0)+1))&lt;=46.5,2,1)), IF(INDEX(ERP資料!$G:$G, (MATCH(990, 輔助計算!$G$2:$G$801, 0)+1))&lt;=790,3,IF(INDEX(ERP資料!$G:$G, (MATCH(990, 輔助計算!$G$2:$G$801, 0)+1))&lt;=1181,2,1)))=1,TEXT(INDEX(ERP資料!$G:$G, (MATCH(990, 輔助計算!$G$2:$G$801, 0)+1)),"0.##"),IF(IF(INDEX(ERP資料!$G:$G, (MATCH(990, 輔助計算!$G$2:$G$801, 0)+1))&lt;100, IF(INDEX(ERP資料!$G:$G, (MATCH(990, 輔助計算!$G$2:$G$801, 0)+1))&lt;=31,3,IF(INDEX(ERP資料!$G:$G, (MATCH(990, 輔助計算!$G$2:$G$801, 0)+1))&lt;=46.5,2,1)), IF(INDEX(ERP資料!$G:$G, (MATCH(990, 輔助計算!$G$2:$G$801, 0)+1))&lt;=790,3,IF(INDEX(ERP資料!$G:$G, (MATCH(990, 輔助計算!$G$2:$G$801, 0)+1))&lt;=1181,2,1)))=2,TEXT(INDEX(ERP資料!$G:$G, (MATCH(990, 輔助計算!$G$2:$G$801, 0)+1)),"0.##")&amp;"+"&amp;TEXT(INDEX(ERP資料!$G:$G, (MATCH(990, 輔助計算!$G$2:$G$801, 0)+1)),"0.##"),TEXT(INDEX(ERP資料!$G:$G, (MATCH(990, 輔助計算!$G$2:$G$801, 0)+1)),"0.##")&amp;"+"&amp;TEXT(INDEX(ERP資料!$G:$G, (MATCH(990, 輔助計算!$G$2:$G$801, 0)+1)),"0.##")&amp;"+"&amp;TEXT(INDEX(ERP資料!$G:$G, (MATCH(990, 輔助計算!$G$2:$G$801, 0)+1)),"0.##")))&amp;"-"&amp;INT(INDEX(輔助計算!$D:$D, (MATCH(990, 輔助計算!$G$2:$G$801, 0)+1))/IF(INDEX(ERP資料!$G:$G, (MATCH(990, 輔助計算!$G$2:$G$801, 0)+1))&lt;100, IF(INDEX(ERP資料!$G:$G, (MATCH(990, 輔助計算!$G$2:$G$801, 0)+1))&lt;=31,3,IF(INDEX(ERP資料!$G:$G, (MATCH(990, 輔助計算!$G$2:$G$801, 0)+1))&lt;=46.5,2,1)), IF(INDEX(ERP資料!$G:$G, (MATCH(990, 輔助計算!$G$2:$G$801, 0)+1))&lt;=790,3,IF(INDEX(ERP資料!$G:$G, (MATCH(990, 輔助計算!$G$2:$G$801, 0)+1))&lt;=1181,2,1)))), "")&lt;&gt;"",IF(MOD(INDEX(輔助計算!$D:$D, (MATCH(990, 輔助計算!$G$2:$G$801, 0)+1)),IF(INDEX(ERP資料!$G:$G, (MATCH(990, 輔助計算!$G$2:$G$801, 0)+1))&lt;100, IF(INDEX(ERP資料!$G:$G, (MATCH(990, 輔助計算!$G$2:$G$801, 0)+1))&lt;=31,3,IF(INDEX(ERP資料!$G:$G, (MATCH(990, 輔助計算!$G$2:$G$801, 0)+1))&lt;=46.5,2,1)), IF(INDEX(ERP資料!$G:$G, (MATCH(990, 輔助計算!$G$2:$G$801, 0)+1))&lt;=790,3,IF(INDEX(ERP資料!$G:$G, (MATCH(990, 輔助計算!$G$2:$G$801, 0)+1))&lt;=1181,2,1))))=0,"",IF(MOD(INDEX(輔助計算!$D:$D, (MATCH(990, 輔助計算!$G$2:$G$801, 0)+1)),IF(INDEX(ERP資料!$G:$G, (MATCH(990, 輔助計算!$G$2:$G$801, 0)+1))&lt;100, IF(INDEX(ERP資料!$G:$G, (MATCH(990, 輔助計算!$G$2:$G$801, 0)+1))&lt;=31,3,IF(INDEX(ERP資料!$G:$G, (MATCH(990, 輔助計算!$G$2:$G$801, 0)+1))&lt;=46.5,2,1)), IF(INDEX(ERP資料!$G:$G, (MATCH(990, 輔助計算!$G$2:$G$801, 0)+1))&lt;=790,3,IF(INDEX(ERP資料!$G:$G, (MATCH(990, 輔助計算!$G$2:$G$801, 0)+1))&lt;=1181,2,1))))=0,"",IF(MOD(INDEX(輔助計算!$D:$D, (MATCH(990, 輔助計算!$G$2:$G$801, 0)+1)),IF(INDEX(ERP資料!$G:$G, (MATCH(990, 輔助計算!$G$2:$G$801, 0)+1))&lt;100, IF(INDEX(ERP資料!$G:$G, (MATCH(990, 輔助計算!$G$2:$G$801, 0)+1))&lt;=31,3,IF(INDEX(ERP資料!$G:$G, (MATCH(990, 輔助計算!$G$2:$G$801, 0)+1))&lt;=46.5,2,1)), IF(INDEX(ERP資料!$G:$G, (MATCH(990, 輔助計算!$G$2:$G$801, 0)+1))&lt;=790,3,IF(INDEX(ERP資料!$G:$G, (MATCH(990, 輔助計算!$G$2:$G$801, 0)+1))&lt;=1181,2,1))))=1,TEXT(INDEX(ERP資料!$G:$G, (MATCH(990, 輔助計算!$G$2:$G$801, 0)+1)),"0.##"),IF(MOD(INDEX(輔助計算!$D:$D, (MATCH(990, 輔助計算!$G$2:$G$801, 0)+1)),IF(INDEX(ERP資料!$G:$G, (MATCH(990, 輔助計算!$G$2:$G$801, 0)+1))&lt;100, IF(INDEX(ERP資料!$G:$G, (MATCH(990, 輔助計算!$G$2:$G$801, 0)+1))&lt;=31,3,IF(INDEX(ERP資料!$G:$G, (MATCH(990, 輔助計算!$G$2:$G$801, 0)+1))&lt;=46.5,2,1)), IF(INDEX(ERP資料!$G:$G, (MATCH(990, 輔助計算!$G$2:$G$801, 0)+1))&lt;=790,3,IF(INDEX(ERP資料!$G:$G, (MATCH(990, 輔助計算!$G$2:$G$801, 0)+1))&lt;=1181,2,1))))=2,TEXT(INDEX(ERP資料!$G:$G, (MATCH(990, 輔助計算!$G$2:$G$801, 0)+1)),"0.##")&amp;"+"&amp;TEXT(INDEX(ERP資料!$G:$G, (MATCH(990, 輔助計算!$G$2:$G$801, 0)+1)),"0.##"),TEXT(INDEX(ERP資料!$G:$G, (MATCH(990, 輔助計算!$G$2:$G$801, 0)+1)),"0.##")&amp;"+"&amp;TEXT(INDEX(ERP資料!$G:$G, (MATCH(990, 輔助計算!$G$2:$G$801, 0)+1)),"0.##")&amp;"+"&amp;TEXT(INDEX(ERP資料!$G:$G, (MATCH(990, 輔助計算!$G$2:$G$801, 0)+1)),"0.##"))))&amp;"-1")&lt;&gt;""),"  ","")&amp;IF(MOD(INDEX(輔助計算!$D:$D, (MATCH(990, 輔助計算!$G$2:$G$801, 0)+1)),IF(INDEX(ERP資料!$G:$G, (MATCH(990, 輔助計算!$G$2:$G$801, 0)+1))&lt;100, IF(INDEX(ERP資料!$G:$G, (MATCH(990, 輔助計算!$G$2:$G$801, 0)+1))&lt;=31,3,IF(INDEX(ERP資料!$G:$G, (MATCH(990, 輔助計算!$G$2:$G$801, 0)+1))&lt;=46.5,2,1)), IF(INDEX(ERP資料!$G:$G, (MATCH(990, 輔助計算!$G$2:$G$801, 0)+1))&lt;=790,3,IF(INDEX(ERP資料!$G:$G, (MATCH(990, 輔助計算!$G$2:$G$801, 0)+1))&lt;=1181,2,1))))=0,"",IF(MOD(INDEX(輔助計算!$D:$D, (MATCH(990, 輔助計算!$G$2:$G$801, 0)+1)),IF(INDEX(ERP資料!$G:$G, (MATCH(990, 輔助計算!$G$2:$G$801, 0)+1))&lt;100, IF(INDEX(ERP資料!$G:$G, (MATCH(990, 輔助計算!$G$2:$G$801, 0)+1))&lt;=31,3,IF(INDEX(ERP資料!$G:$G, (MATCH(990, 輔助計算!$G$2:$G$801, 0)+1))&lt;=46.5,2,1)), IF(INDEX(ERP資料!$G:$G, (MATCH(990, 輔助計算!$G$2:$G$801, 0)+1))&lt;=790,3,IF(INDEX(ERP資料!$G:$G, (MATCH(990, 輔助計算!$G$2:$G$801, 0)+1))&lt;=1181,2,1))))=0,"",IF(MOD(INDEX(輔助計算!$D:$D, (MATCH(990, 輔助計算!$G$2:$G$801, 0)+1)),IF(INDEX(ERP資料!$G:$G, (MATCH(990, 輔助計算!$G$2:$G$801, 0)+1))&lt;100, IF(INDEX(ERP資料!$G:$G, (MATCH(990, 輔助計算!$G$2:$G$801, 0)+1))&lt;=31,3,IF(INDEX(ERP資料!$G:$G, (MATCH(990, 輔助計算!$G$2:$G$801, 0)+1))&lt;=46.5,2,1)), IF(INDEX(ERP資料!$G:$G, (MATCH(990, 輔助計算!$G$2:$G$801, 0)+1))&lt;=790,3,IF(INDEX(ERP資料!$G:$G, (MATCH(990, 輔助計算!$G$2:$G$801, 0)+1))&lt;=1181,2,1))))=1,TEXT(INDEX(ERP資料!$G:$G, (MATCH(990, 輔助計算!$G$2:$G$801, 0)+1)),"0.##"),IF(MOD(INDEX(輔助計算!$D:$D, (MATCH(990, 輔助計算!$G$2:$G$801, 0)+1)),IF(INDEX(ERP資料!$G:$G, (MATCH(990, 輔助計算!$G$2:$G$801, 0)+1))&lt;100, IF(INDEX(ERP資料!$G:$G, (MATCH(990, 輔助計算!$G$2:$G$801, 0)+1))&lt;=31,3,IF(INDEX(ERP資料!$G:$G, (MATCH(990, 輔助計算!$G$2:$G$801, 0)+1))&lt;=46.5,2,1)), IF(INDEX(ERP資料!$G:$G, (MATCH(990, 輔助計算!$G$2:$G$801, 0)+1))&lt;=790,3,IF(INDEX(ERP資料!$G:$G, (MATCH(990, 輔助計算!$G$2:$G$801, 0)+1))&lt;=1181,2,1))))=2,TEXT(INDEX(ERP資料!$G:$G, (MATCH(990, 輔助計算!$G$2:$G$801, 0)+1)),"0.##")&amp;"+"&amp;TEXT(INDEX(ERP資料!$G:$G, (MATCH(990, 輔助計算!$G$2:$G$801, 0)+1)),"0.##"),TEXT(INDEX(ERP資料!$G:$G, (MATCH(990, 輔助計算!$G$2:$G$801, 0)+1)),"0.##")&amp;"+"&amp;TEXT(INDEX(ERP資料!$G:$G, (MATCH(990, 輔助計算!$G$2:$G$801, 0)+1)),"0.##")&amp;"+"&amp;TEXT(INDEX(ERP資料!$G:$G, (MATCH(990, 輔助計算!$G$2:$G$801, 0)+1)),"0.##"))))&amp;"-1")), ""), "")</f>
        <v/>
      </c>
      <c r="K991" s="16" t="n"/>
      <c r="L991" s="14">
        <f>IFERROR(IF(AND(IFERROR(INDEX(ERP資料!$A:$A, (MATCH(990, 輔助計算!$G$2:$G$801, 0)+1)), "")&lt;&gt;"", IFERROR(INDEX(ERP資料!$A:$A, (MATCH(990, 輔助計算!$G$2:$G$801, 0)+1)), "")&lt;&gt;IFERROR(INDEX(ERP資料!$A:$A, MATCH(989, 輔助計算!$G$2:$G$801, 0)+1), "")), INDEX(ERP資料!$B:$B, (MATCH(990, 輔助計算!$G$2:$G$801, 0)+1)), ""), "")</f>
        <v/>
      </c>
      <c r="M991" s="17" t="n"/>
    </row>
    <row r="992">
      <c r="A992" s="10">
        <f>IFERROR(IF(AND(IFERROR(INDEX(ERP資料!$A:$A, (MATCH(991, 輔助計算!$G$2:$G$801, 0)+1)), "")&lt;&gt;"", IFERROR(INDEX(ERP資料!$A:$A, (MATCH(991, 輔助計算!$G$2:$G$801, 0)+1)), "")&lt;&gt;IFERROR(INDEX(ERP資料!$A:$A, MATCH(990, 輔助計算!$G$2:$G$801, 0)+1), "")), IFERROR(INDEX(ERP資料!$A:$A, (MATCH(991, 輔助計算!$G$2:$G$801, 0)+1)), ""), ""), "")</f>
        <v/>
      </c>
      <c r="B992" s="10">
        <f>IFERROR(IF(AND(IFERROR(INDEX(ERP資料!$A:$A, (MATCH(991, 輔助計算!$G$2:$G$801, 0)+1)), "")&lt;&gt;"", IFERROR(INDEX(ERP資料!$A:$A, (MATCH(991, 輔助計算!$G$2:$G$801, 0)+1)), "")&lt;&gt;IFERROR(INDEX(ERP資料!$A:$A, MATCH(990, 輔助計算!$G$2:$G$801, 0)+1), "")), INDEX(ERP資料!$S:$S, (MATCH(991, 輔助計算!$G$2:$G$801, 0)+1)), ""), "")</f>
        <v/>
      </c>
      <c r="C992" s="19">
        <f>IFERROR(IF(AND(IFERROR(INDEX(ERP資料!$A:$A, (MATCH(991, 輔助計算!$G$2:$G$801, 0)+1)), "")&lt;&gt;"", IFERROR(INDEX(ERP資料!$A:$A, (MATCH(991, 輔助計算!$G$2:$G$801, 0)+1)), "")&lt;&gt;IFERROR(INDEX(ERP資料!$A:$A, MATCH(990, 輔助計算!$G$2:$G$801, 0)+1), "")), IFERROR(VLOOKUP(LEFT(INDEX(ERP資料!$S:$S, (MATCH(991, 輔助計算!$G$2:$G$801, 0)+1)), 4), 紙管對照表!$A:$C, 3, FALSE), ""), ""), "")</f>
        <v/>
      </c>
      <c r="D992" s="16" t="n"/>
      <c r="E992" s="10">
        <f>IFERROR(IF(INDEX(ERP資料!$H:$H, (MATCH(991, 輔助計算!$G$2:$G$801, 0)+1))="","",INDEX(ERP資料!$H:$H, (MATCH(991, 輔助計算!$G$2:$G$801, 0)+1))), "")</f>
        <v/>
      </c>
      <c r="F992" s="10">
        <f>IFERROR(IF(INDEX(ERP資料!$E:$E, (MATCH(991, 輔助計算!$G$2:$G$801, 0)+1))="","",TRIM(INDEX(ERP資料!$E:$E, (MATCH(991, 輔助計算!$G$2:$G$801, 0)+1)))), "")</f>
        <v/>
      </c>
      <c r="G992" s="10">
        <f>IFERROR(IF(INDEX(ERP資料!$F:$F, (MATCH(991, 輔助計算!$G$2:$G$801, 0)+1))="","",INDEX(ERP資料!$F:$F, (MATCH(991, 輔助計算!$G$2:$G$801, 0)+1))), "")</f>
        <v/>
      </c>
      <c r="H992" s="10">
        <f>IFERROR(IF(INDEX(ERP資料!$G:$G, (MATCH(991, 輔助計算!$G$2:$G$801, 0)+1))="","",INDEX(ERP資料!$G:$G, (MATCH(991, 輔助計算!$G$2:$G$801, 0)+1))), "")</f>
        <v/>
      </c>
      <c r="I992" s="15">
        <f>IFERROR(INDEX(輔助計算!$D:$D, (MATCH(991, 輔助計算!$G$2:$G$801, 0)+1)), "")</f>
        <v/>
      </c>
      <c r="J992" s="15">
        <f>IFERROR(IF(AND(INDEX(輔助計算!$D:$D, (MATCH(991, 輔助計算!$G$2:$G$801, 0)+1))&lt;&gt;"", INDEX(ERP資料!$G:$G, (MATCH(991, 輔助計算!$G$2:$G$801, 0)+1))&lt;&gt;""), TRIM(IF(INT(INDEX(輔助計算!$D:$D, (MATCH(991, 輔助計算!$G$2:$G$801, 0)+1))/IF(INDEX(ERP資料!$G:$G, (MATCH(991, 輔助計算!$G$2:$G$801, 0)+1))&lt;100, IF(INDEX(ERP資料!$G:$G, (MATCH(991, 輔助計算!$G$2:$G$801, 0)+1))&lt;=31,3,IF(INDEX(ERP資料!$G:$G, (MATCH(991, 輔助計算!$G$2:$G$801, 0)+1))&lt;=46.5,2,1)), IF(INDEX(ERP資料!$G:$G, (MATCH(991, 輔助計算!$G$2:$G$801, 0)+1))&lt;=790,3,IF(INDEX(ERP資料!$G:$G, (MATCH(991, 輔助計算!$G$2:$G$801, 0)+1))&lt;=1181,2,1))))&gt;0, IF(IF(INDEX(ERP資料!$G:$G, (MATCH(991, 輔助計算!$G$2:$G$801, 0)+1))&lt;100, IF(INDEX(ERP資料!$G:$G, (MATCH(991, 輔助計算!$G$2:$G$801, 0)+1))&lt;=31,3,IF(INDEX(ERP資料!$G:$G, (MATCH(991, 輔助計算!$G$2:$G$801, 0)+1))&lt;=46.5,2,1)), IF(INDEX(ERP資料!$G:$G, (MATCH(991, 輔助計算!$G$2:$G$801, 0)+1))&lt;=790,3,IF(INDEX(ERP資料!$G:$G, (MATCH(991, 輔助計算!$G$2:$G$801, 0)+1))&lt;=1181,2,1)))=1,TEXT(INDEX(ERP資料!$G:$G, (MATCH(991, 輔助計算!$G$2:$G$801, 0)+1)),"0.##"),IF(IF(INDEX(ERP資料!$G:$G, (MATCH(991, 輔助計算!$G$2:$G$801, 0)+1))&lt;100, IF(INDEX(ERP資料!$G:$G, (MATCH(991, 輔助計算!$G$2:$G$801, 0)+1))&lt;=31,3,IF(INDEX(ERP資料!$G:$G, (MATCH(991, 輔助計算!$G$2:$G$801, 0)+1))&lt;=46.5,2,1)), IF(INDEX(ERP資料!$G:$G, (MATCH(991, 輔助計算!$G$2:$G$801, 0)+1))&lt;=790,3,IF(INDEX(ERP資料!$G:$G, (MATCH(991, 輔助計算!$G$2:$G$801, 0)+1))&lt;=1181,2,1)))=2,TEXT(INDEX(ERP資料!$G:$G, (MATCH(991, 輔助計算!$G$2:$G$801, 0)+1)),"0.##")&amp;"+"&amp;TEXT(INDEX(ERP資料!$G:$G, (MATCH(991, 輔助計算!$G$2:$G$801, 0)+1)),"0.##"),TEXT(INDEX(ERP資料!$G:$G, (MATCH(991, 輔助計算!$G$2:$G$801, 0)+1)),"0.##")&amp;"+"&amp;TEXT(INDEX(ERP資料!$G:$G, (MATCH(991, 輔助計算!$G$2:$G$801, 0)+1)),"0.##")&amp;"+"&amp;TEXT(INDEX(ERP資料!$G:$G, (MATCH(991, 輔助計算!$G$2:$G$801, 0)+1)),"0.##")))&amp;"-"&amp;INT(INDEX(輔助計算!$D:$D, (MATCH(991, 輔助計算!$G$2:$G$801, 0)+1))/IF(INDEX(ERP資料!$G:$G, (MATCH(991, 輔助計算!$G$2:$G$801, 0)+1))&lt;100, IF(INDEX(ERP資料!$G:$G, (MATCH(991, 輔助計算!$G$2:$G$801, 0)+1))&lt;=31,3,IF(INDEX(ERP資料!$G:$G, (MATCH(991, 輔助計算!$G$2:$G$801, 0)+1))&lt;=46.5,2,1)), IF(INDEX(ERP資料!$G:$G, (MATCH(991, 輔助計算!$G$2:$G$801, 0)+1))&lt;=790,3,IF(INDEX(ERP資料!$G:$G, (MATCH(991, 輔助計算!$G$2:$G$801, 0)+1))&lt;=1181,2,1)))), "")&amp;IF(AND(IF(INT(INDEX(輔助計算!$D:$D, (MATCH(991, 輔助計算!$G$2:$G$801, 0)+1))/IF(INDEX(ERP資料!$G:$G, (MATCH(991, 輔助計算!$G$2:$G$801, 0)+1))&lt;100, IF(INDEX(ERP資料!$G:$G, (MATCH(991, 輔助計算!$G$2:$G$801, 0)+1))&lt;=31,3,IF(INDEX(ERP資料!$G:$G, (MATCH(991, 輔助計算!$G$2:$G$801, 0)+1))&lt;=46.5,2,1)), IF(INDEX(ERP資料!$G:$G, (MATCH(991, 輔助計算!$G$2:$G$801, 0)+1))&lt;=790,3,IF(INDEX(ERP資料!$G:$G, (MATCH(991, 輔助計算!$G$2:$G$801, 0)+1))&lt;=1181,2,1))))&gt;0, IF(IF(INDEX(ERP資料!$G:$G, (MATCH(991, 輔助計算!$G$2:$G$801, 0)+1))&lt;100, IF(INDEX(ERP資料!$G:$G, (MATCH(991, 輔助計算!$G$2:$G$801, 0)+1))&lt;=31,3,IF(INDEX(ERP資料!$G:$G, (MATCH(991, 輔助計算!$G$2:$G$801, 0)+1))&lt;=46.5,2,1)), IF(INDEX(ERP資料!$G:$G, (MATCH(991, 輔助計算!$G$2:$G$801, 0)+1))&lt;=790,3,IF(INDEX(ERP資料!$G:$G, (MATCH(991, 輔助計算!$G$2:$G$801, 0)+1))&lt;=1181,2,1)))=1,TEXT(INDEX(ERP資料!$G:$G, (MATCH(991, 輔助計算!$G$2:$G$801, 0)+1)),"0.##"),IF(IF(INDEX(ERP資料!$G:$G, (MATCH(991, 輔助計算!$G$2:$G$801, 0)+1))&lt;100, IF(INDEX(ERP資料!$G:$G, (MATCH(991, 輔助計算!$G$2:$G$801, 0)+1))&lt;=31,3,IF(INDEX(ERP資料!$G:$G, (MATCH(991, 輔助計算!$G$2:$G$801, 0)+1))&lt;=46.5,2,1)), IF(INDEX(ERP資料!$G:$G, (MATCH(991, 輔助計算!$G$2:$G$801, 0)+1))&lt;=790,3,IF(INDEX(ERP資料!$G:$G, (MATCH(991, 輔助計算!$G$2:$G$801, 0)+1))&lt;=1181,2,1)))=2,TEXT(INDEX(ERP資料!$G:$G, (MATCH(991, 輔助計算!$G$2:$G$801, 0)+1)),"0.##")&amp;"+"&amp;TEXT(INDEX(ERP資料!$G:$G, (MATCH(991, 輔助計算!$G$2:$G$801, 0)+1)),"0.##"),TEXT(INDEX(ERP資料!$G:$G, (MATCH(991, 輔助計算!$G$2:$G$801, 0)+1)),"0.##")&amp;"+"&amp;TEXT(INDEX(ERP資料!$G:$G, (MATCH(991, 輔助計算!$G$2:$G$801, 0)+1)),"0.##")&amp;"+"&amp;TEXT(INDEX(ERP資料!$G:$G, (MATCH(991, 輔助計算!$G$2:$G$801, 0)+1)),"0.##")))&amp;"-"&amp;INT(INDEX(輔助計算!$D:$D, (MATCH(991, 輔助計算!$G$2:$G$801, 0)+1))/IF(INDEX(ERP資料!$G:$G, (MATCH(991, 輔助計算!$G$2:$G$801, 0)+1))&lt;100, IF(INDEX(ERP資料!$G:$G, (MATCH(991, 輔助計算!$G$2:$G$801, 0)+1))&lt;=31,3,IF(INDEX(ERP資料!$G:$G, (MATCH(991, 輔助計算!$G$2:$G$801, 0)+1))&lt;=46.5,2,1)), IF(INDEX(ERP資料!$G:$G, (MATCH(991, 輔助計算!$G$2:$G$801, 0)+1))&lt;=790,3,IF(INDEX(ERP資料!$G:$G, (MATCH(991, 輔助計算!$G$2:$G$801, 0)+1))&lt;=1181,2,1)))), "")&lt;&gt;"",IF(MOD(INDEX(輔助計算!$D:$D, (MATCH(991, 輔助計算!$G$2:$G$801, 0)+1)),IF(INDEX(ERP資料!$G:$G, (MATCH(991, 輔助計算!$G$2:$G$801, 0)+1))&lt;100, IF(INDEX(ERP資料!$G:$G, (MATCH(991, 輔助計算!$G$2:$G$801, 0)+1))&lt;=31,3,IF(INDEX(ERP資料!$G:$G, (MATCH(991, 輔助計算!$G$2:$G$801, 0)+1))&lt;=46.5,2,1)), IF(INDEX(ERP資料!$G:$G, (MATCH(991, 輔助計算!$G$2:$G$801, 0)+1))&lt;=790,3,IF(INDEX(ERP資料!$G:$G, (MATCH(991, 輔助計算!$G$2:$G$801, 0)+1))&lt;=1181,2,1))))=0,"",IF(MOD(INDEX(輔助計算!$D:$D, (MATCH(991, 輔助計算!$G$2:$G$801, 0)+1)),IF(INDEX(ERP資料!$G:$G, (MATCH(991, 輔助計算!$G$2:$G$801, 0)+1))&lt;100, IF(INDEX(ERP資料!$G:$G, (MATCH(991, 輔助計算!$G$2:$G$801, 0)+1))&lt;=31,3,IF(INDEX(ERP資料!$G:$G, (MATCH(991, 輔助計算!$G$2:$G$801, 0)+1))&lt;=46.5,2,1)), IF(INDEX(ERP資料!$G:$G, (MATCH(991, 輔助計算!$G$2:$G$801, 0)+1))&lt;=790,3,IF(INDEX(ERP資料!$G:$G, (MATCH(991, 輔助計算!$G$2:$G$801, 0)+1))&lt;=1181,2,1))))=0,"",IF(MOD(INDEX(輔助計算!$D:$D, (MATCH(991, 輔助計算!$G$2:$G$801, 0)+1)),IF(INDEX(ERP資料!$G:$G, (MATCH(991, 輔助計算!$G$2:$G$801, 0)+1))&lt;100, IF(INDEX(ERP資料!$G:$G, (MATCH(991, 輔助計算!$G$2:$G$801, 0)+1))&lt;=31,3,IF(INDEX(ERP資料!$G:$G, (MATCH(991, 輔助計算!$G$2:$G$801, 0)+1))&lt;=46.5,2,1)), IF(INDEX(ERP資料!$G:$G, (MATCH(991, 輔助計算!$G$2:$G$801, 0)+1))&lt;=790,3,IF(INDEX(ERP資料!$G:$G, (MATCH(991, 輔助計算!$G$2:$G$801, 0)+1))&lt;=1181,2,1))))=1,TEXT(INDEX(ERP資料!$G:$G, (MATCH(991, 輔助計算!$G$2:$G$801, 0)+1)),"0.##"),IF(MOD(INDEX(輔助計算!$D:$D, (MATCH(991, 輔助計算!$G$2:$G$801, 0)+1)),IF(INDEX(ERP資料!$G:$G, (MATCH(991, 輔助計算!$G$2:$G$801, 0)+1))&lt;100, IF(INDEX(ERP資料!$G:$G, (MATCH(991, 輔助計算!$G$2:$G$801, 0)+1))&lt;=31,3,IF(INDEX(ERP資料!$G:$G, (MATCH(991, 輔助計算!$G$2:$G$801, 0)+1))&lt;=46.5,2,1)), IF(INDEX(ERP資料!$G:$G, (MATCH(991, 輔助計算!$G$2:$G$801, 0)+1))&lt;=790,3,IF(INDEX(ERP資料!$G:$G, (MATCH(991, 輔助計算!$G$2:$G$801, 0)+1))&lt;=1181,2,1))))=2,TEXT(INDEX(ERP資料!$G:$G, (MATCH(991, 輔助計算!$G$2:$G$801, 0)+1)),"0.##")&amp;"+"&amp;TEXT(INDEX(ERP資料!$G:$G, (MATCH(991, 輔助計算!$G$2:$G$801, 0)+1)),"0.##"),TEXT(INDEX(ERP資料!$G:$G, (MATCH(991, 輔助計算!$G$2:$G$801, 0)+1)),"0.##")&amp;"+"&amp;TEXT(INDEX(ERP資料!$G:$G, (MATCH(991, 輔助計算!$G$2:$G$801, 0)+1)),"0.##")&amp;"+"&amp;TEXT(INDEX(ERP資料!$G:$G, (MATCH(991, 輔助計算!$G$2:$G$801, 0)+1)),"0.##"))))&amp;"-1")&lt;&gt;""),"  ","")&amp;IF(MOD(INDEX(輔助計算!$D:$D, (MATCH(991, 輔助計算!$G$2:$G$801, 0)+1)),IF(INDEX(ERP資料!$G:$G, (MATCH(991, 輔助計算!$G$2:$G$801, 0)+1))&lt;100, IF(INDEX(ERP資料!$G:$G, (MATCH(991, 輔助計算!$G$2:$G$801, 0)+1))&lt;=31,3,IF(INDEX(ERP資料!$G:$G, (MATCH(991, 輔助計算!$G$2:$G$801, 0)+1))&lt;=46.5,2,1)), IF(INDEX(ERP資料!$G:$G, (MATCH(991, 輔助計算!$G$2:$G$801, 0)+1))&lt;=790,3,IF(INDEX(ERP資料!$G:$G, (MATCH(991, 輔助計算!$G$2:$G$801, 0)+1))&lt;=1181,2,1))))=0,"",IF(MOD(INDEX(輔助計算!$D:$D, (MATCH(991, 輔助計算!$G$2:$G$801, 0)+1)),IF(INDEX(ERP資料!$G:$G, (MATCH(991, 輔助計算!$G$2:$G$801, 0)+1))&lt;100, IF(INDEX(ERP資料!$G:$G, (MATCH(991, 輔助計算!$G$2:$G$801, 0)+1))&lt;=31,3,IF(INDEX(ERP資料!$G:$G, (MATCH(991, 輔助計算!$G$2:$G$801, 0)+1))&lt;=46.5,2,1)), IF(INDEX(ERP資料!$G:$G, (MATCH(991, 輔助計算!$G$2:$G$801, 0)+1))&lt;=790,3,IF(INDEX(ERP資料!$G:$G, (MATCH(991, 輔助計算!$G$2:$G$801, 0)+1))&lt;=1181,2,1))))=0,"",IF(MOD(INDEX(輔助計算!$D:$D, (MATCH(991, 輔助計算!$G$2:$G$801, 0)+1)),IF(INDEX(ERP資料!$G:$G, (MATCH(991, 輔助計算!$G$2:$G$801, 0)+1))&lt;100, IF(INDEX(ERP資料!$G:$G, (MATCH(991, 輔助計算!$G$2:$G$801, 0)+1))&lt;=31,3,IF(INDEX(ERP資料!$G:$G, (MATCH(991, 輔助計算!$G$2:$G$801, 0)+1))&lt;=46.5,2,1)), IF(INDEX(ERP資料!$G:$G, (MATCH(991, 輔助計算!$G$2:$G$801, 0)+1))&lt;=790,3,IF(INDEX(ERP資料!$G:$G, (MATCH(991, 輔助計算!$G$2:$G$801, 0)+1))&lt;=1181,2,1))))=1,TEXT(INDEX(ERP資料!$G:$G, (MATCH(991, 輔助計算!$G$2:$G$801, 0)+1)),"0.##"),IF(MOD(INDEX(輔助計算!$D:$D, (MATCH(991, 輔助計算!$G$2:$G$801, 0)+1)),IF(INDEX(ERP資料!$G:$G, (MATCH(991, 輔助計算!$G$2:$G$801, 0)+1))&lt;100, IF(INDEX(ERP資料!$G:$G, (MATCH(991, 輔助計算!$G$2:$G$801, 0)+1))&lt;=31,3,IF(INDEX(ERP資料!$G:$G, (MATCH(991, 輔助計算!$G$2:$G$801, 0)+1))&lt;=46.5,2,1)), IF(INDEX(ERP資料!$G:$G, (MATCH(991, 輔助計算!$G$2:$G$801, 0)+1))&lt;=790,3,IF(INDEX(ERP資料!$G:$G, (MATCH(991, 輔助計算!$G$2:$G$801, 0)+1))&lt;=1181,2,1))))=2,TEXT(INDEX(ERP資料!$G:$G, (MATCH(991, 輔助計算!$G$2:$G$801, 0)+1)),"0.##")&amp;"+"&amp;TEXT(INDEX(ERP資料!$G:$G, (MATCH(991, 輔助計算!$G$2:$G$801, 0)+1)),"0.##"),TEXT(INDEX(ERP資料!$G:$G, (MATCH(991, 輔助計算!$G$2:$G$801, 0)+1)),"0.##")&amp;"+"&amp;TEXT(INDEX(ERP資料!$G:$G, (MATCH(991, 輔助計算!$G$2:$G$801, 0)+1)),"0.##")&amp;"+"&amp;TEXT(INDEX(ERP資料!$G:$G, (MATCH(991, 輔助計算!$G$2:$G$801, 0)+1)),"0.##"))))&amp;"-1")), ""), "")</f>
        <v/>
      </c>
      <c r="K992" s="16" t="n"/>
      <c r="L992" s="14">
        <f>IFERROR(IF(AND(IFERROR(INDEX(ERP資料!$A:$A, (MATCH(991, 輔助計算!$G$2:$G$801, 0)+1)), "")&lt;&gt;"", IFERROR(INDEX(ERP資料!$A:$A, (MATCH(991, 輔助計算!$G$2:$G$801, 0)+1)), "")&lt;&gt;IFERROR(INDEX(ERP資料!$A:$A, MATCH(990, 輔助計算!$G$2:$G$801, 0)+1), "")), INDEX(ERP資料!$B:$B, (MATCH(991, 輔助計算!$G$2:$G$801, 0)+1)), ""), "")</f>
        <v/>
      </c>
      <c r="M992" s="17" t="n"/>
    </row>
    <row r="993">
      <c r="A993" s="10">
        <f>IFERROR(IF(AND(IFERROR(INDEX(ERP資料!$A:$A, (MATCH(992, 輔助計算!$G$2:$G$801, 0)+1)), "")&lt;&gt;"", IFERROR(INDEX(ERP資料!$A:$A, (MATCH(992, 輔助計算!$G$2:$G$801, 0)+1)), "")&lt;&gt;IFERROR(INDEX(ERP資料!$A:$A, MATCH(991, 輔助計算!$G$2:$G$801, 0)+1), "")), IFERROR(INDEX(ERP資料!$A:$A, (MATCH(992, 輔助計算!$G$2:$G$801, 0)+1)), ""), ""), "")</f>
        <v/>
      </c>
      <c r="B993" s="10">
        <f>IFERROR(IF(AND(IFERROR(INDEX(ERP資料!$A:$A, (MATCH(992, 輔助計算!$G$2:$G$801, 0)+1)), "")&lt;&gt;"", IFERROR(INDEX(ERP資料!$A:$A, (MATCH(992, 輔助計算!$G$2:$G$801, 0)+1)), "")&lt;&gt;IFERROR(INDEX(ERP資料!$A:$A, MATCH(991, 輔助計算!$G$2:$G$801, 0)+1), "")), INDEX(ERP資料!$S:$S, (MATCH(992, 輔助計算!$G$2:$G$801, 0)+1)), ""), "")</f>
        <v/>
      </c>
      <c r="C993" s="19">
        <f>IFERROR(IF(AND(IFERROR(INDEX(ERP資料!$A:$A, (MATCH(992, 輔助計算!$G$2:$G$801, 0)+1)), "")&lt;&gt;"", IFERROR(INDEX(ERP資料!$A:$A, (MATCH(992, 輔助計算!$G$2:$G$801, 0)+1)), "")&lt;&gt;IFERROR(INDEX(ERP資料!$A:$A, MATCH(991, 輔助計算!$G$2:$G$801, 0)+1), "")), IFERROR(VLOOKUP(LEFT(INDEX(ERP資料!$S:$S, (MATCH(992, 輔助計算!$G$2:$G$801, 0)+1)), 4), 紙管對照表!$A:$C, 3, FALSE), ""), ""), "")</f>
        <v/>
      </c>
      <c r="D993" s="16" t="n"/>
      <c r="E993" s="10">
        <f>IFERROR(IF(INDEX(ERP資料!$H:$H, (MATCH(992, 輔助計算!$G$2:$G$801, 0)+1))="","",INDEX(ERP資料!$H:$H, (MATCH(992, 輔助計算!$G$2:$G$801, 0)+1))), "")</f>
        <v/>
      </c>
      <c r="F993" s="10">
        <f>IFERROR(IF(INDEX(ERP資料!$E:$E, (MATCH(992, 輔助計算!$G$2:$G$801, 0)+1))="","",TRIM(INDEX(ERP資料!$E:$E, (MATCH(992, 輔助計算!$G$2:$G$801, 0)+1)))), "")</f>
        <v/>
      </c>
      <c r="G993" s="10">
        <f>IFERROR(IF(INDEX(ERP資料!$F:$F, (MATCH(992, 輔助計算!$G$2:$G$801, 0)+1))="","",INDEX(ERP資料!$F:$F, (MATCH(992, 輔助計算!$G$2:$G$801, 0)+1))), "")</f>
        <v/>
      </c>
      <c r="H993" s="10">
        <f>IFERROR(IF(INDEX(ERP資料!$G:$G, (MATCH(992, 輔助計算!$G$2:$G$801, 0)+1))="","",INDEX(ERP資料!$G:$G, (MATCH(992, 輔助計算!$G$2:$G$801, 0)+1))), "")</f>
        <v/>
      </c>
      <c r="I993" s="15">
        <f>IFERROR(INDEX(輔助計算!$D:$D, (MATCH(992, 輔助計算!$G$2:$G$801, 0)+1)), "")</f>
        <v/>
      </c>
      <c r="J993" s="15">
        <f>IFERROR(IF(AND(INDEX(輔助計算!$D:$D, (MATCH(992, 輔助計算!$G$2:$G$801, 0)+1))&lt;&gt;"", INDEX(ERP資料!$G:$G, (MATCH(992, 輔助計算!$G$2:$G$801, 0)+1))&lt;&gt;""), TRIM(IF(INT(INDEX(輔助計算!$D:$D, (MATCH(992, 輔助計算!$G$2:$G$801, 0)+1))/IF(INDEX(ERP資料!$G:$G, (MATCH(992, 輔助計算!$G$2:$G$801, 0)+1))&lt;100, IF(INDEX(ERP資料!$G:$G, (MATCH(992, 輔助計算!$G$2:$G$801, 0)+1))&lt;=31,3,IF(INDEX(ERP資料!$G:$G, (MATCH(992, 輔助計算!$G$2:$G$801, 0)+1))&lt;=46.5,2,1)), IF(INDEX(ERP資料!$G:$G, (MATCH(992, 輔助計算!$G$2:$G$801, 0)+1))&lt;=790,3,IF(INDEX(ERP資料!$G:$G, (MATCH(992, 輔助計算!$G$2:$G$801, 0)+1))&lt;=1181,2,1))))&gt;0, IF(IF(INDEX(ERP資料!$G:$G, (MATCH(992, 輔助計算!$G$2:$G$801, 0)+1))&lt;100, IF(INDEX(ERP資料!$G:$G, (MATCH(992, 輔助計算!$G$2:$G$801, 0)+1))&lt;=31,3,IF(INDEX(ERP資料!$G:$G, (MATCH(992, 輔助計算!$G$2:$G$801, 0)+1))&lt;=46.5,2,1)), IF(INDEX(ERP資料!$G:$G, (MATCH(992, 輔助計算!$G$2:$G$801, 0)+1))&lt;=790,3,IF(INDEX(ERP資料!$G:$G, (MATCH(992, 輔助計算!$G$2:$G$801, 0)+1))&lt;=1181,2,1)))=1,TEXT(INDEX(ERP資料!$G:$G, (MATCH(992, 輔助計算!$G$2:$G$801, 0)+1)),"0.##"),IF(IF(INDEX(ERP資料!$G:$G, (MATCH(992, 輔助計算!$G$2:$G$801, 0)+1))&lt;100, IF(INDEX(ERP資料!$G:$G, (MATCH(992, 輔助計算!$G$2:$G$801, 0)+1))&lt;=31,3,IF(INDEX(ERP資料!$G:$G, (MATCH(992, 輔助計算!$G$2:$G$801, 0)+1))&lt;=46.5,2,1)), IF(INDEX(ERP資料!$G:$G, (MATCH(992, 輔助計算!$G$2:$G$801, 0)+1))&lt;=790,3,IF(INDEX(ERP資料!$G:$G, (MATCH(992, 輔助計算!$G$2:$G$801, 0)+1))&lt;=1181,2,1)))=2,TEXT(INDEX(ERP資料!$G:$G, (MATCH(992, 輔助計算!$G$2:$G$801, 0)+1)),"0.##")&amp;"+"&amp;TEXT(INDEX(ERP資料!$G:$G, (MATCH(992, 輔助計算!$G$2:$G$801, 0)+1)),"0.##"),TEXT(INDEX(ERP資料!$G:$G, (MATCH(992, 輔助計算!$G$2:$G$801, 0)+1)),"0.##")&amp;"+"&amp;TEXT(INDEX(ERP資料!$G:$G, (MATCH(992, 輔助計算!$G$2:$G$801, 0)+1)),"0.##")&amp;"+"&amp;TEXT(INDEX(ERP資料!$G:$G, (MATCH(992, 輔助計算!$G$2:$G$801, 0)+1)),"0.##")))&amp;"-"&amp;INT(INDEX(輔助計算!$D:$D, (MATCH(992, 輔助計算!$G$2:$G$801, 0)+1))/IF(INDEX(ERP資料!$G:$G, (MATCH(992, 輔助計算!$G$2:$G$801, 0)+1))&lt;100, IF(INDEX(ERP資料!$G:$G, (MATCH(992, 輔助計算!$G$2:$G$801, 0)+1))&lt;=31,3,IF(INDEX(ERP資料!$G:$G, (MATCH(992, 輔助計算!$G$2:$G$801, 0)+1))&lt;=46.5,2,1)), IF(INDEX(ERP資料!$G:$G, (MATCH(992, 輔助計算!$G$2:$G$801, 0)+1))&lt;=790,3,IF(INDEX(ERP資料!$G:$G, (MATCH(992, 輔助計算!$G$2:$G$801, 0)+1))&lt;=1181,2,1)))), "")&amp;IF(AND(IF(INT(INDEX(輔助計算!$D:$D, (MATCH(992, 輔助計算!$G$2:$G$801, 0)+1))/IF(INDEX(ERP資料!$G:$G, (MATCH(992, 輔助計算!$G$2:$G$801, 0)+1))&lt;100, IF(INDEX(ERP資料!$G:$G, (MATCH(992, 輔助計算!$G$2:$G$801, 0)+1))&lt;=31,3,IF(INDEX(ERP資料!$G:$G, (MATCH(992, 輔助計算!$G$2:$G$801, 0)+1))&lt;=46.5,2,1)), IF(INDEX(ERP資料!$G:$G, (MATCH(992, 輔助計算!$G$2:$G$801, 0)+1))&lt;=790,3,IF(INDEX(ERP資料!$G:$G, (MATCH(992, 輔助計算!$G$2:$G$801, 0)+1))&lt;=1181,2,1))))&gt;0, IF(IF(INDEX(ERP資料!$G:$G, (MATCH(992, 輔助計算!$G$2:$G$801, 0)+1))&lt;100, IF(INDEX(ERP資料!$G:$G, (MATCH(992, 輔助計算!$G$2:$G$801, 0)+1))&lt;=31,3,IF(INDEX(ERP資料!$G:$G, (MATCH(992, 輔助計算!$G$2:$G$801, 0)+1))&lt;=46.5,2,1)), IF(INDEX(ERP資料!$G:$G, (MATCH(992, 輔助計算!$G$2:$G$801, 0)+1))&lt;=790,3,IF(INDEX(ERP資料!$G:$G, (MATCH(992, 輔助計算!$G$2:$G$801, 0)+1))&lt;=1181,2,1)))=1,TEXT(INDEX(ERP資料!$G:$G, (MATCH(992, 輔助計算!$G$2:$G$801, 0)+1)),"0.##"),IF(IF(INDEX(ERP資料!$G:$G, (MATCH(992, 輔助計算!$G$2:$G$801, 0)+1))&lt;100, IF(INDEX(ERP資料!$G:$G, (MATCH(992, 輔助計算!$G$2:$G$801, 0)+1))&lt;=31,3,IF(INDEX(ERP資料!$G:$G, (MATCH(992, 輔助計算!$G$2:$G$801, 0)+1))&lt;=46.5,2,1)), IF(INDEX(ERP資料!$G:$G, (MATCH(992, 輔助計算!$G$2:$G$801, 0)+1))&lt;=790,3,IF(INDEX(ERP資料!$G:$G, (MATCH(992, 輔助計算!$G$2:$G$801, 0)+1))&lt;=1181,2,1)))=2,TEXT(INDEX(ERP資料!$G:$G, (MATCH(992, 輔助計算!$G$2:$G$801, 0)+1)),"0.##")&amp;"+"&amp;TEXT(INDEX(ERP資料!$G:$G, (MATCH(992, 輔助計算!$G$2:$G$801, 0)+1)),"0.##"),TEXT(INDEX(ERP資料!$G:$G, (MATCH(992, 輔助計算!$G$2:$G$801, 0)+1)),"0.##")&amp;"+"&amp;TEXT(INDEX(ERP資料!$G:$G, (MATCH(992, 輔助計算!$G$2:$G$801, 0)+1)),"0.##")&amp;"+"&amp;TEXT(INDEX(ERP資料!$G:$G, (MATCH(992, 輔助計算!$G$2:$G$801, 0)+1)),"0.##")))&amp;"-"&amp;INT(INDEX(輔助計算!$D:$D, (MATCH(992, 輔助計算!$G$2:$G$801, 0)+1))/IF(INDEX(ERP資料!$G:$G, (MATCH(992, 輔助計算!$G$2:$G$801, 0)+1))&lt;100, IF(INDEX(ERP資料!$G:$G, (MATCH(992, 輔助計算!$G$2:$G$801, 0)+1))&lt;=31,3,IF(INDEX(ERP資料!$G:$G, (MATCH(992, 輔助計算!$G$2:$G$801, 0)+1))&lt;=46.5,2,1)), IF(INDEX(ERP資料!$G:$G, (MATCH(992, 輔助計算!$G$2:$G$801, 0)+1))&lt;=790,3,IF(INDEX(ERP資料!$G:$G, (MATCH(992, 輔助計算!$G$2:$G$801, 0)+1))&lt;=1181,2,1)))), "")&lt;&gt;"",IF(MOD(INDEX(輔助計算!$D:$D, (MATCH(992, 輔助計算!$G$2:$G$801, 0)+1)),IF(INDEX(ERP資料!$G:$G, (MATCH(992, 輔助計算!$G$2:$G$801, 0)+1))&lt;100, IF(INDEX(ERP資料!$G:$G, (MATCH(992, 輔助計算!$G$2:$G$801, 0)+1))&lt;=31,3,IF(INDEX(ERP資料!$G:$G, (MATCH(992, 輔助計算!$G$2:$G$801, 0)+1))&lt;=46.5,2,1)), IF(INDEX(ERP資料!$G:$G, (MATCH(992, 輔助計算!$G$2:$G$801, 0)+1))&lt;=790,3,IF(INDEX(ERP資料!$G:$G, (MATCH(992, 輔助計算!$G$2:$G$801, 0)+1))&lt;=1181,2,1))))=0,"",IF(MOD(INDEX(輔助計算!$D:$D, (MATCH(992, 輔助計算!$G$2:$G$801, 0)+1)),IF(INDEX(ERP資料!$G:$G, (MATCH(992, 輔助計算!$G$2:$G$801, 0)+1))&lt;100, IF(INDEX(ERP資料!$G:$G, (MATCH(992, 輔助計算!$G$2:$G$801, 0)+1))&lt;=31,3,IF(INDEX(ERP資料!$G:$G, (MATCH(992, 輔助計算!$G$2:$G$801, 0)+1))&lt;=46.5,2,1)), IF(INDEX(ERP資料!$G:$G, (MATCH(992, 輔助計算!$G$2:$G$801, 0)+1))&lt;=790,3,IF(INDEX(ERP資料!$G:$G, (MATCH(992, 輔助計算!$G$2:$G$801, 0)+1))&lt;=1181,2,1))))=0,"",IF(MOD(INDEX(輔助計算!$D:$D, (MATCH(992, 輔助計算!$G$2:$G$801, 0)+1)),IF(INDEX(ERP資料!$G:$G, (MATCH(992, 輔助計算!$G$2:$G$801, 0)+1))&lt;100, IF(INDEX(ERP資料!$G:$G, (MATCH(992, 輔助計算!$G$2:$G$801, 0)+1))&lt;=31,3,IF(INDEX(ERP資料!$G:$G, (MATCH(992, 輔助計算!$G$2:$G$801, 0)+1))&lt;=46.5,2,1)), IF(INDEX(ERP資料!$G:$G, (MATCH(992, 輔助計算!$G$2:$G$801, 0)+1))&lt;=790,3,IF(INDEX(ERP資料!$G:$G, (MATCH(992, 輔助計算!$G$2:$G$801, 0)+1))&lt;=1181,2,1))))=1,TEXT(INDEX(ERP資料!$G:$G, (MATCH(992, 輔助計算!$G$2:$G$801, 0)+1)),"0.##"),IF(MOD(INDEX(輔助計算!$D:$D, (MATCH(992, 輔助計算!$G$2:$G$801, 0)+1)),IF(INDEX(ERP資料!$G:$G, (MATCH(992, 輔助計算!$G$2:$G$801, 0)+1))&lt;100, IF(INDEX(ERP資料!$G:$G, (MATCH(992, 輔助計算!$G$2:$G$801, 0)+1))&lt;=31,3,IF(INDEX(ERP資料!$G:$G, (MATCH(992, 輔助計算!$G$2:$G$801, 0)+1))&lt;=46.5,2,1)), IF(INDEX(ERP資料!$G:$G, (MATCH(992, 輔助計算!$G$2:$G$801, 0)+1))&lt;=790,3,IF(INDEX(ERP資料!$G:$G, (MATCH(992, 輔助計算!$G$2:$G$801, 0)+1))&lt;=1181,2,1))))=2,TEXT(INDEX(ERP資料!$G:$G, (MATCH(992, 輔助計算!$G$2:$G$801, 0)+1)),"0.##")&amp;"+"&amp;TEXT(INDEX(ERP資料!$G:$G, (MATCH(992, 輔助計算!$G$2:$G$801, 0)+1)),"0.##"),TEXT(INDEX(ERP資料!$G:$G, (MATCH(992, 輔助計算!$G$2:$G$801, 0)+1)),"0.##")&amp;"+"&amp;TEXT(INDEX(ERP資料!$G:$G, (MATCH(992, 輔助計算!$G$2:$G$801, 0)+1)),"0.##")&amp;"+"&amp;TEXT(INDEX(ERP資料!$G:$G, (MATCH(992, 輔助計算!$G$2:$G$801, 0)+1)),"0.##"))))&amp;"-1")&lt;&gt;""),"  ","")&amp;IF(MOD(INDEX(輔助計算!$D:$D, (MATCH(992, 輔助計算!$G$2:$G$801, 0)+1)),IF(INDEX(ERP資料!$G:$G, (MATCH(992, 輔助計算!$G$2:$G$801, 0)+1))&lt;100, IF(INDEX(ERP資料!$G:$G, (MATCH(992, 輔助計算!$G$2:$G$801, 0)+1))&lt;=31,3,IF(INDEX(ERP資料!$G:$G, (MATCH(992, 輔助計算!$G$2:$G$801, 0)+1))&lt;=46.5,2,1)), IF(INDEX(ERP資料!$G:$G, (MATCH(992, 輔助計算!$G$2:$G$801, 0)+1))&lt;=790,3,IF(INDEX(ERP資料!$G:$G, (MATCH(992, 輔助計算!$G$2:$G$801, 0)+1))&lt;=1181,2,1))))=0,"",IF(MOD(INDEX(輔助計算!$D:$D, (MATCH(992, 輔助計算!$G$2:$G$801, 0)+1)),IF(INDEX(ERP資料!$G:$G, (MATCH(992, 輔助計算!$G$2:$G$801, 0)+1))&lt;100, IF(INDEX(ERP資料!$G:$G, (MATCH(992, 輔助計算!$G$2:$G$801, 0)+1))&lt;=31,3,IF(INDEX(ERP資料!$G:$G, (MATCH(992, 輔助計算!$G$2:$G$801, 0)+1))&lt;=46.5,2,1)), IF(INDEX(ERP資料!$G:$G, (MATCH(992, 輔助計算!$G$2:$G$801, 0)+1))&lt;=790,3,IF(INDEX(ERP資料!$G:$G, (MATCH(992, 輔助計算!$G$2:$G$801, 0)+1))&lt;=1181,2,1))))=0,"",IF(MOD(INDEX(輔助計算!$D:$D, (MATCH(992, 輔助計算!$G$2:$G$801, 0)+1)),IF(INDEX(ERP資料!$G:$G, (MATCH(992, 輔助計算!$G$2:$G$801, 0)+1))&lt;100, IF(INDEX(ERP資料!$G:$G, (MATCH(992, 輔助計算!$G$2:$G$801, 0)+1))&lt;=31,3,IF(INDEX(ERP資料!$G:$G, (MATCH(992, 輔助計算!$G$2:$G$801, 0)+1))&lt;=46.5,2,1)), IF(INDEX(ERP資料!$G:$G, (MATCH(992, 輔助計算!$G$2:$G$801, 0)+1))&lt;=790,3,IF(INDEX(ERP資料!$G:$G, (MATCH(992, 輔助計算!$G$2:$G$801, 0)+1))&lt;=1181,2,1))))=1,TEXT(INDEX(ERP資料!$G:$G, (MATCH(992, 輔助計算!$G$2:$G$801, 0)+1)),"0.##"),IF(MOD(INDEX(輔助計算!$D:$D, (MATCH(992, 輔助計算!$G$2:$G$801, 0)+1)),IF(INDEX(ERP資料!$G:$G, (MATCH(992, 輔助計算!$G$2:$G$801, 0)+1))&lt;100, IF(INDEX(ERP資料!$G:$G, (MATCH(992, 輔助計算!$G$2:$G$801, 0)+1))&lt;=31,3,IF(INDEX(ERP資料!$G:$G, (MATCH(992, 輔助計算!$G$2:$G$801, 0)+1))&lt;=46.5,2,1)), IF(INDEX(ERP資料!$G:$G, (MATCH(992, 輔助計算!$G$2:$G$801, 0)+1))&lt;=790,3,IF(INDEX(ERP資料!$G:$G, (MATCH(992, 輔助計算!$G$2:$G$801, 0)+1))&lt;=1181,2,1))))=2,TEXT(INDEX(ERP資料!$G:$G, (MATCH(992, 輔助計算!$G$2:$G$801, 0)+1)),"0.##")&amp;"+"&amp;TEXT(INDEX(ERP資料!$G:$G, (MATCH(992, 輔助計算!$G$2:$G$801, 0)+1)),"0.##"),TEXT(INDEX(ERP資料!$G:$G, (MATCH(992, 輔助計算!$G$2:$G$801, 0)+1)),"0.##")&amp;"+"&amp;TEXT(INDEX(ERP資料!$G:$G, (MATCH(992, 輔助計算!$G$2:$G$801, 0)+1)),"0.##")&amp;"+"&amp;TEXT(INDEX(ERP資料!$G:$G, (MATCH(992, 輔助計算!$G$2:$G$801, 0)+1)),"0.##"))))&amp;"-1")), ""), "")</f>
        <v/>
      </c>
      <c r="K993" s="16" t="n"/>
      <c r="L993" s="14">
        <f>IFERROR(IF(AND(IFERROR(INDEX(ERP資料!$A:$A, (MATCH(992, 輔助計算!$G$2:$G$801, 0)+1)), "")&lt;&gt;"", IFERROR(INDEX(ERP資料!$A:$A, (MATCH(992, 輔助計算!$G$2:$G$801, 0)+1)), "")&lt;&gt;IFERROR(INDEX(ERP資料!$A:$A, MATCH(991, 輔助計算!$G$2:$G$801, 0)+1), "")), INDEX(ERP資料!$B:$B, (MATCH(992, 輔助計算!$G$2:$G$801, 0)+1)), ""), "")</f>
        <v/>
      </c>
      <c r="M993" s="17" t="n"/>
    </row>
    <row r="994">
      <c r="A994" s="10">
        <f>IFERROR(IF(AND(IFERROR(INDEX(ERP資料!$A:$A, (MATCH(993, 輔助計算!$G$2:$G$801, 0)+1)), "")&lt;&gt;"", IFERROR(INDEX(ERP資料!$A:$A, (MATCH(993, 輔助計算!$G$2:$G$801, 0)+1)), "")&lt;&gt;IFERROR(INDEX(ERP資料!$A:$A, MATCH(992, 輔助計算!$G$2:$G$801, 0)+1), "")), IFERROR(INDEX(ERP資料!$A:$A, (MATCH(993, 輔助計算!$G$2:$G$801, 0)+1)), ""), ""), "")</f>
        <v/>
      </c>
      <c r="B994" s="10">
        <f>IFERROR(IF(AND(IFERROR(INDEX(ERP資料!$A:$A, (MATCH(993, 輔助計算!$G$2:$G$801, 0)+1)), "")&lt;&gt;"", IFERROR(INDEX(ERP資料!$A:$A, (MATCH(993, 輔助計算!$G$2:$G$801, 0)+1)), "")&lt;&gt;IFERROR(INDEX(ERP資料!$A:$A, MATCH(992, 輔助計算!$G$2:$G$801, 0)+1), "")), INDEX(ERP資料!$S:$S, (MATCH(993, 輔助計算!$G$2:$G$801, 0)+1)), ""), "")</f>
        <v/>
      </c>
      <c r="C994" s="19">
        <f>IFERROR(IF(AND(IFERROR(INDEX(ERP資料!$A:$A, (MATCH(993, 輔助計算!$G$2:$G$801, 0)+1)), "")&lt;&gt;"", IFERROR(INDEX(ERP資料!$A:$A, (MATCH(993, 輔助計算!$G$2:$G$801, 0)+1)), "")&lt;&gt;IFERROR(INDEX(ERP資料!$A:$A, MATCH(992, 輔助計算!$G$2:$G$801, 0)+1), "")), IFERROR(VLOOKUP(LEFT(INDEX(ERP資料!$S:$S, (MATCH(993, 輔助計算!$G$2:$G$801, 0)+1)), 4), 紙管對照表!$A:$C, 3, FALSE), ""), ""), "")</f>
        <v/>
      </c>
      <c r="D994" s="16" t="n"/>
      <c r="E994" s="10">
        <f>IFERROR(IF(INDEX(ERP資料!$H:$H, (MATCH(993, 輔助計算!$G$2:$G$801, 0)+1))="","",INDEX(ERP資料!$H:$H, (MATCH(993, 輔助計算!$G$2:$G$801, 0)+1))), "")</f>
        <v/>
      </c>
      <c r="F994" s="10">
        <f>IFERROR(IF(INDEX(ERP資料!$E:$E, (MATCH(993, 輔助計算!$G$2:$G$801, 0)+1))="","",TRIM(INDEX(ERP資料!$E:$E, (MATCH(993, 輔助計算!$G$2:$G$801, 0)+1)))), "")</f>
        <v/>
      </c>
      <c r="G994" s="10">
        <f>IFERROR(IF(INDEX(ERP資料!$F:$F, (MATCH(993, 輔助計算!$G$2:$G$801, 0)+1))="","",INDEX(ERP資料!$F:$F, (MATCH(993, 輔助計算!$G$2:$G$801, 0)+1))), "")</f>
        <v/>
      </c>
      <c r="H994" s="10">
        <f>IFERROR(IF(INDEX(ERP資料!$G:$G, (MATCH(993, 輔助計算!$G$2:$G$801, 0)+1))="","",INDEX(ERP資料!$G:$G, (MATCH(993, 輔助計算!$G$2:$G$801, 0)+1))), "")</f>
        <v/>
      </c>
      <c r="I994" s="15">
        <f>IFERROR(INDEX(輔助計算!$D:$D, (MATCH(993, 輔助計算!$G$2:$G$801, 0)+1)), "")</f>
        <v/>
      </c>
      <c r="J994" s="15">
        <f>IFERROR(IF(AND(INDEX(輔助計算!$D:$D, (MATCH(993, 輔助計算!$G$2:$G$801, 0)+1))&lt;&gt;"", INDEX(ERP資料!$G:$G, (MATCH(993, 輔助計算!$G$2:$G$801, 0)+1))&lt;&gt;""), TRIM(IF(INT(INDEX(輔助計算!$D:$D, (MATCH(993, 輔助計算!$G$2:$G$801, 0)+1))/IF(INDEX(ERP資料!$G:$G, (MATCH(993, 輔助計算!$G$2:$G$801, 0)+1))&lt;100, IF(INDEX(ERP資料!$G:$G, (MATCH(993, 輔助計算!$G$2:$G$801, 0)+1))&lt;=31,3,IF(INDEX(ERP資料!$G:$G, (MATCH(993, 輔助計算!$G$2:$G$801, 0)+1))&lt;=46.5,2,1)), IF(INDEX(ERP資料!$G:$G, (MATCH(993, 輔助計算!$G$2:$G$801, 0)+1))&lt;=790,3,IF(INDEX(ERP資料!$G:$G, (MATCH(993, 輔助計算!$G$2:$G$801, 0)+1))&lt;=1181,2,1))))&gt;0, IF(IF(INDEX(ERP資料!$G:$G, (MATCH(993, 輔助計算!$G$2:$G$801, 0)+1))&lt;100, IF(INDEX(ERP資料!$G:$G, (MATCH(993, 輔助計算!$G$2:$G$801, 0)+1))&lt;=31,3,IF(INDEX(ERP資料!$G:$G, (MATCH(993, 輔助計算!$G$2:$G$801, 0)+1))&lt;=46.5,2,1)), IF(INDEX(ERP資料!$G:$G, (MATCH(993, 輔助計算!$G$2:$G$801, 0)+1))&lt;=790,3,IF(INDEX(ERP資料!$G:$G, (MATCH(993, 輔助計算!$G$2:$G$801, 0)+1))&lt;=1181,2,1)))=1,TEXT(INDEX(ERP資料!$G:$G, (MATCH(993, 輔助計算!$G$2:$G$801, 0)+1)),"0.##"),IF(IF(INDEX(ERP資料!$G:$G, (MATCH(993, 輔助計算!$G$2:$G$801, 0)+1))&lt;100, IF(INDEX(ERP資料!$G:$G, (MATCH(993, 輔助計算!$G$2:$G$801, 0)+1))&lt;=31,3,IF(INDEX(ERP資料!$G:$G, (MATCH(993, 輔助計算!$G$2:$G$801, 0)+1))&lt;=46.5,2,1)), IF(INDEX(ERP資料!$G:$G, (MATCH(993, 輔助計算!$G$2:$G$801, 0)+1))&lt;=790,3,IF(INDEX(ERP資料!$G:$G, (MATCH(993, 輔助計算!$G$2:$G$801, 0)+1))&lt;=1181,2,1)))=2,TEXT(INDEX(ERP資料!$G:$G, (MATCH(993, 輔助計算!$G$2:$G$801, 0)+1)),"0.##")&amp;"+"&amp;TEXT(INDEX(ERP資料!$G:$G, (MATCH(993, 輔助計算!$G$2:$G$801, 0)+1)),"0.##"),TEXT(INDEX(ERP資料!$G:$G, (MATCH(993, 輔助計算!$G$2:$G$801, 0)+1)),"0.##")&amp;"+"&amp;TEXT(INDEX(ERP資料!$G:$G, (MATCH(993, 輔助計算!$G$2:$G$801, 0)+1)),"0.##")&amp;"+"&amp;TEXT(INDEX(ERP資料!$G:$G, (MATCH(993, 輔助計算!$G$2:$G$801, 0)+1)),"0.##")))&amp;"-"&amp;INT(INDEX(輔助計算!$D:$D, (MATCH(993, 輔助計算!$G$2:$G$801, 0)+1))/IF(INDEX(ERP資料!$G:$G, (MATCH(993, 輔助計算!$G$2:$G$801, 0)+1))&lt;100, IF(INDEX(ERP資料!$G:$G, (MATCH(993, 輔助計算!$G$2:$G$801, 0)+1))&lt;=31,3,IF(INDEX(ERP資料!$G:$G, (MATCH(993, 輔助計算!$G$2:$G$801, 0)+1))&lt;=46.5,2,1)), IF(INDEX(ERP資料!$G:$G, (MATCH(993, 輔助計算!$G$2:$G$801, 0)+1))&lt;=790,3,IF(INDEX(ERP資料!$G:$G, (MATCH(993, 輔助計算!$G$2:$G$801, 0)+1))&lt;=1181,2,1)))), "")&amp;IF(AND(IF(INT(INDEX(輔助計算!$D:$D, (MATCH(993, 輔助計算!$G$2:$G$801, 0)+1))/IF(INDEX(ERP資料!$G:$G, (MATCH(993, 輔助計算!$G$2:$G$801, 0)+1))&lt;100, IF(INDEX(ERP資料!$G:$G, (MATCH(993, 輔助計算!$G$2:$G$801, 0)+1))&lt;=31,3,IF(INDEX(ERP資料!$G:$G, (MATCH(993, 輔助計算!$G$2:$G$801, 0)+1))&lt;=46.5,2,1)), IF(INDEX(ERP資料!$G:$G, (MATCH(993, 輔助計算!$G$2:$G$801, 0)+1))&lt;=790,3,IF(INDEX(ERP資料!$G:$G, (MATCH(993, 輔助計算!$G$2:$G$801, 0)+1))&lt;=1181,2,1))))&gt;0, IF(IF(INDEX(ERP資料!$G:$G, (MATCH(993, 輔助計算!$G$2:$G$801, 0)+1))&lt;100, IF(INDEX(ERP資料!$G:$G, (MATCH(993, 輔助計算!$G$2:$G$801, 0)+1))&lt;=31,3,IF(INDEX(ERP資料!$G:$G, (MATCH(993, 輔助計算!$G$2:$G$801, 0)+1))&lt;=46.5,2,1)), IF(INDEX(ERP資料!$G:$G, (MATCH(993, 輔助計算!$G$2:$G$801, 0)+1))&lt;=790,3,IF(INDEX(ERP資料!$G:$G, (MATCH(993, 輔助計算!$G$2:$G$801, 0)+1))&lt;=1181,2,1)))=1,TEXT(INDEX(ERP資料!$G:$G, (MATCH(993, 輔助計算!$G$2:$G$801, 0)+1)),"0.##"),IF(IF(INDEX(ERP資料!$G:$G, (MATCH(993, 輔助計算!$G$2:$G$801, 0)+1))&lt;100, IF(INDEX(ERP資料!$G:$G, (MATCH(993, 輔助計算!$G$2:$G$801, 0)+1))&lt;=31,3,IF(INDEX(ERP資料!$G:$G, (MATCH(993, 輔助計算!$G$2:$G$801, 0)+1))&lt;=46.5,2,1)), IF(INDEX(ERP資料!$G:$G, (MATCH(993, 輔助計算!$G$2:$G$801, 0)+1))&lt;=790,3,IF(INDEX(ERP資料!$G:$G, (MATCH(993, 輔助計算!$G$2:$G$801, 0)+1))&lt;=1181,2,1)))=2,TEXT(INDEX(ERP資料!$G:$G, (MATCH(993, 輔助計算!$G$2:$G$801, 0)+1)),"0.##")&amp;"+"&amp;TEXT(INDEX(ERP資料!$G:$G, (MATCH(993, 輔助計算!$G$2:$G$801, 0)+1)),"0.##"),TEXT(INDEX(ERP資料!$G:$G, (MATCH(993, 輔助計算!$G$2:$G$801, 0)+1)),"0.##")&amp;"+"&amp;TEXT(INDEX(ERP資料!$G:$G, (MATCH(993, 輔助計算!$G$2:$G$801, 0)+1)),"0.##")&amp;"+"&amp;TEXT(INDEX(ERP資料!$G:$G, (MATCH(993, 輔助計算!$G$2:$G$801, 0)+1)),"0.##")))&amp;"-"&amp;INT(INDEX(輔助計算!$D:$D, (MATCH(993, 輔助計算!$G$2:$G$801, 0)+1))/IF(INDEX(ERP資料!$G:$G, (MATCH(993, 輔助計算!$G$2:$G$801, 0)+1))&lt;100, IF(INDEX(ERP資料!$G:$G, (MATCH(993, 輔助計算!$G$2:$G$801, 0)+1))&lt;=31,3,IF(INDEX(ERP資料!$G:$G, (MATCH(993, 輔助計算!$G$2:$G$801, 0)+1))&lt;=46.5,2,1)), IF(INDEX(ERP資料!$G:$G, (MATCH(993, 輔助計算!$G$2:$G$801, 0)+1))&lt;=790,3,IF(INDEX(ERP資料!$G:$G, (MATCH(993, 輔助計算!$G$2:$G$801, 0)+1))&lt;=1181,2,1)))), "")&lt;&gt;"",IF(MOD(INDEX(輔助計算!$D:$D, (MATCH(993, 輔助計算!$G$2:$G$801, 0)+1)),IF(INDEX(ERP資料!$G:$G, (MATCH(993, 輔助計算!$G$2:$G$801, 0)+1))&lt;100, IF(INDEX(ERP資料!$G:$G, (MATCH(993, 輔助計算!$G$2:$G$801, 0)+1))&lt;=31,3,IF(INDEX(ERP資料!$G:$G, (MATCH(993, 輔助計算!$G$2:$G$801, 0)+1))&lt;=46.5,2,1)), IF(INDEX(ERP資料!$G:$G, (MATCH(993, 輔助計算!$G$2:$G$801, 0)+1))&lt;=790,3,IF(INDEX(ERP資料!$G:$G, (MATCH(993, 輔助計算!$G$2:$G$801, 0)+1))&lt;=1181,2,1))))=0,"",IF(MOD(INDEX(輔助計算!$D:$D, (MATCH(993, 輔助計算!$G$2:$G$801, 0)+1)),IF(INDEX(ERP資料!$G:$G, (MATCH(993, 輔助計算!$G$2:$G$801, 0)+1))&lt;100, IF(INDEX(ERP資料!$G:$G, (MATCH(993, 輔助計算!$G$2:$G$801, 0)+1))&lt;=31,3,IF(INDEX(ERP資料!$G:$G, (MATCH(993, 輔助計算!$G$2:$G$801, 0)+1))&lt;=46.5,2,1)), IF(INDEX(ERP資料!$G:$G, (MATCH(993, 輔助計算!$G$2:$G$801, 0)+1))&lt;=790,3,IF(INDEX(ERP資料!$G:$G, (MATCH(993, 輔助計算!$G$2:$G$801, 0)+1))&lt;=1181,2,1))))=0,"",IF(MOD(INDEX(輔助計算!$D:$D, (MATCH(993, 輔助計算!$G$2:$G$801, 0)+1)),IF(INDEX(ERP資料!$G:$G, (MATCH(993, 輔助計算!$G$2:$G$801, 0)+1))&lt;100, IF(INDEX(ERP資料!$G:$G, (MATCH(993, 輔助計算!$G$2:$G$801, 0)+1))&lt;=31,3,IF(INDEX(ERP資料!$G:$G, (MATCH(993, 輔助計算!$G$2:$G$801, 0)+1))&lt;=46.5,2,1)), IF(INDEX(ERP資料!$G:$G, (MATCH(993, 輔助計算!$G$2:$G$801, 0)+1))&lt;=790,3,IF(INDEX(ERP資料!$G:$G, (MATCH(993, 輔助計算!$G$2:$G$801, 0)+1))&lt;=1181,2,1))))=1,TEXT(INDEX(ERP資料!$G:$G, (MATCH(993, 輔助計算!$G$2:$G$801, 0)+1)),"0.##"),IF(MOD(INDEX(輔助計算!$D:$D, (MATCH(993, 輔助計算!$G$2:$G$801, 0)+1)),IF(INDEX(ERP資料!$G:$G, (MATCH(993, 輔助計算!$G$2:$G$801, 0)+1))&lt;100, IF(INDEX(ERP資料!$G:$G, (MATCH(993, 輔助計算!$G$2:$G$801, 0)+1))&lt;=31,3,IF(INDEX(ERP資料!$G:$G, (MATCH(993, 輔助計算!$G$2:$G$801, 0)+1))&lt;=46.5,2,1)), IF(INDEX(ERP資料!$G:$G, (MATCH(993, 輔助計算!$G$2:$G$801, 0)+1))&lt;=790,3,IF(INDEX(ERP資料!$G:$G, (MATCH(993, 輔助計算!$G$2:$G$801, 0)+1))&lt;=1181,2,1))))=2,TEXT(INDEX(ERP資料!$G:$G, (MATCH(993, 輔助計算!$G$2:$G$801, 0)+1)),"0.##")&amp;"+"&amp;TEXT(INDEX(ERP資料!$G:$G, (MATCH(993, 輔助計算!$G$2:$G$801, 0)+1)),"0.##"),TEXT(INDEX(ERP資料!$G:$G, (MATCH(993, 輔助計算!$G$2:$G$801, 0)+1)),"0.##")&amp;"+"&amp;TEXT(INDEX(ERP資料!$G:$G, (MATCH(993, 輔助計算!$G$2:$G$801, 0)+1)),"0.##")&amp;"+"&amp;TEXT(INDEX(ERP資料!$G:$G, (MATCH(993, 輔助計算!$G$2:$G$801, 0)+1)),"0.##"))))&amp;"-1")&lt;&gt;""),"  ","")&amp;IF(MOD(INDEX(輔助計算!$D:$D, (MATCH(993, 輔助計算!$G$2:$G$801, 0)+1)),IF(INDEX(ERP資料!$G:$G, (MATCH(993, 輔助計算!$G$2:$G$801, 0)+1))&lt;100, IF(INDEX(ERP資料!$G:$G, (MATCH(993, 輔助計算!$G$2:$G$801, 0)+1))&lt;=31,3,IF(INDEX(ERP資料!$G:$G, (MATCH(993, 輔助計算!$G$2:$G$801, 0)+1))&lt;=46.5,2,1)), IF(INDEX(ERP資料!$G:$G, (MATCH(993, 輔助計算!$G$2:$G$801, 0)+1))&lt;=790,3,IF(INDEX(ERP資料!$G:$G, (MATCH(993, 輔助計算!$G$2:$G$801, 0)+1))&lt;=1181,2,1))))=0,"",IF(MOD(INDEX(輔助計算!$D:$D, (MATCH(993, 輔助計算!$G$2:$G$801, 0)+1)),IF(INDEX(ERP資料!$G:$G, (MATCH(993, 輔助計算!$G$2:$G$801, 0)+1))&lt;100, IF(INDEX(ERP資料!$G:$G, (MATCH(993, 輔助計算!$G$2:$G$801, 0)+1))&lt;=31,3,IF(INDEX(ERP資料!$G:$G, (MATCH(993, 輔助計算!$G$2:$G$801, 0)+1))&lt;=46.5,2,1)), IF(INDEX(ERP資料!$G:$G, (MATCH(993, 輔助計算!$G$2:$G$801, 0)+1))&lt;=790,3,IF(INDEX(ERP資料!$G:$G, (MATCH(993, 輔助計算!$G$2:$G$801, 0)+1))&lt;=1181,2,1))))=0,"",IF(MOD(INDEX(輔助計算!$D:$D, (MATCH(993, 輔助計算!$G$2:$G$801, 0)+1)),IF(INDEX(ERP資料!$G:$G, (MATCH(993, 輔助計算!$G$2:$G$801, 0)+1))&lt;100, IF(INDEX(ERP資料!$G:$G, (MATCH(993, 輔助計算!$G$2:$G$801, 0)+1))&lt;=31,3,IF(INDEX(ERP資料!$G:$G, (MATCH(993, 輔助計算!$G$2:$G$801, 0)+1))&lt;=46.5,2,1)), IF(INDEX(ERP資料!$G:$G, (MATCH(993, 輔助計算!$G$2:$G$801, 0)+1))&lt;=790,3,IF(INDEX(ERP資料!$G:$G, (MATCH(993, 輔助計算!$G$2:$G$801, 0)+1))&lt;=1181,2,1))))=1,TEXT(INDEX(ERP資料!$G:$G, (MATCH(993, 輔助計算!$G$2:$G$801, 0)+1)),"0.##"),IF(MOD(INDEX(輔助計算!$D:$D, (MATCH(993, 輔助計算!$G$2:$G$801, 0)+1)),IF(INDEX(ERP資料!$G:$G, (MATCH(993, 輔助計算!$G$2:$G$801, 0)+1))&lt;100, IF(INDEX(ERP資料!$G:$G, (MATCH(993, 輔助計算!$G$2:$G$801, 0)+1))&lt;=31,3,IF(INDEX(ERP資料!$G:$G, (MATCH(993, 輔助計算!$G$2:$G$801, 0)+1))&lt;=46.5,2,1)), IF(INDEX(ERP資料!$G:$G, (MATCH(993, 輔助計算!$G$2:$G$801, 0)+1))&lt;=790,3,IF(INDEX(ERP資料!$G:$G, (MATCH(993, 輔助計算!$G$2:$G$801, 0)+1))&lt;=1181,2,1))))=2,TEXT(INDEX(ERP資料!$G:$G, (MATCH(993, 輔助計算!$G$2:$G$801, 0)+1)),"0.##")&amp;"+"&amp;TEXT(INDEX(ERP資料!$G:$G, (MATCH(993, 輔助計算!$G$2:$G$801, 0)+1)),"0.##"),TEXT(INDEX(ERP資料!$G:$G, (MATCH(993, 輔助計算!$G$2:$G$801, 0)+1)),"0.##")&amp;"+"&amp;TEXT(INDEX(ERP資料!$G:$G, (MATCH(993, 輔助計算!$G$2:$G$801, 0)+1)),"0.##")&amp;"+"&amp;TEXT(INDEX(ERP資料!$G:$G, (MATCH(993, 輔助計算!$G$2:$G$801, 0)+1)),"0.##"))))&amp;"-1")), ""), "")</f>
        <v/>
      </c>
      <c r="K994" s="16" t="n"/>
      <c r="L994" s="14">
        <f>IFERROR(IF(AND(IFERROR(INDEX(ERP資料!$A:$A, (MATCH(993, 輔助計算!$G$2:$G$801, 0)+1)), "")&lt;&gt;"", IFERROR(INDEX(ERP資料!$A:$A, (MATCH(993, 輔助計算!$G$2:$G$801, 0)+1)), "")&lt;&gt;IFERROR(INDEX(ERP資料!$A:$A, MATCH(992, 輔助計算!$G$2:$G$801, 0)+1), "")), INDEX(ERP資料!$B:$B, (MATCH(993, 輔助計算!$G$2:$G$801, 0)+1)), ""), "")</f>
        <v/>
      </c>
      <c r="M994" s="17" t="n"/>
    </row>
    <row r="995">
      <c r="A995" s="10">
        <f>IFERROR(IF(AND(IFERROR(INDEX(ERP資料!$A:$A, (MATCH(994, 輔助計算!$G$2:$G$801, 0)+1)), "")&lt;&gt;"", IFERROR(INDEX(ERP資料!$A:$A, (MATCH(994, 輔助計算!$G$2:$G$801, 0)+1)), "")&lt;&gt;IFERROR(INDEX(ERP資料!$A:$A, MATCH(993, 輔助計算!$G$2:$G$801, 0)+1), "")), IFERROR(INDEX(ERP資料!$A:$A, (MATCH(994, 輔助計算!$G$2:$G$801, 0)+1)), ""), ""), "")</f>
        <v/>
      </c>
      <c r="B995" s="10">
        <f>IFERROR(IF(AND(IFERROR(INDEX(ERP資料!$A:$A, (MATCH(994, 輔助計算!$G$2:$G$801, 0)+1)), "")&lt;&gt;"", IFERROR(INDEX(ERP資料!$A:$A, (MATCH(994, 輔助計算!$G$2:$G$801, 0)+1)), "")&lt;&gt;IFERROR(INDEX(ERP資料!$A:$A, MATCH(993, 輔助計算!$G$2:$G$801, 0)+1), "")), INDEX(ERP資料!$S:$S, (MATCH(994, 輔助計算!$G$2:$G$801, 0)+1)), ""), "")</f>
        <v/>
      </c>
      <c r="C995" s="19">
        <f>IFERROR(IF(AND(IFERROR(INDEX(ERP資料!$A:$A, (MATCH(994, 輔助計算!$G$2:$G$801, 0)+1)), "")&lt;&gt;"", IFERROR(INDEX(ERP資料!$A:$A, (MATCH(994, 輔助計算!$G$2:$G$801, 0)+1)), "")&lt;&gt;IFERROR(INDEX(ERP資料!$A:$A, MATCH(993, 輔助計算!$G$2:$G$801, 0)+1), "")), IFERROR(VLOOKUP(LEFT(INDEX(ERP資料!$S:$S, (MATCH(994, 輔助計算!$G$2:$G$801, 0)+1)), 4), 紙管對照表!$A:$C, 3, FALSE), ""), ""), "")</f>
        <v/>
      </c>
      <c r="D995" s="16" t="n"/>
      <c r="E995" s="10">
        <f>IFERROR(IF(INDEX(ERP資料!$H:$H, (MATCH(994, 輔助計算!$G$2:$G$801, 0)+1))="","",INDEX(ERP資料!$H:$H, (MATCH(994, 輔助計算!$G$2:$G$801, 0)+1))), "")</f>
        <v/>
      </c>
      <c r="F995" s="10">
        <f>IFERROR(IF(INDEX(ERP資料!$E:$E, (MATCH(994, 輔助計算!$G$2:$G$801, 0)+1))="","",TRIM(INDEX(ERP資料!$E:$E, (MATCH(994, 輔助計算!$G$2:$G$801, 0)+1)))), "")</f>
        <v/>
      </c>
      <c r="G995" s="10">
        <f>IFERROR(IF(INDEX(ERP資料!$F:$F, (MATCH(994, 輔助計算!$G$2:$G$801, 0)+1))="","",INDEX(ERP資料!$F:$F, (MATCH(994, 輔助計算!$G$2:$G$801, 0)+1))), "")</f>
        <v/>
      </c>
      <c r="H995" s="10">
        <f>IFERROR(IF(INDEX(ERP資料!$G:$G, (MATCH(994, 輔助計算!$G$2:$G$801, 0)+1))="","",INDEX(ERP資料!$G:$G, (MATCH(994, 輔助計算!$G$2:$G$801, 0)+1))), "")</f>
        <v/>
      </c>
      <c r="I995" s="15">
        <f>IFERROR(INDEX(輔助計算!$D:$D, (MATCH(994, 輔助計算!$G$2:$G$801, 0)+1)), "")</f>
        <v/>
      </c>
      <c r="J995" s="15">
        <f>IFERROR(IF(AND(INDEX(輔助計算!$D:$D, (MATCH(994, 輔助計算!$G$2:$G$801, 0)+1))&lt;&gt;"", INDEX(ERP資料!$G:$G, (MATCH(994, 輔助計算!$G$2:$G$801, 0)+1))&lt;&gt;""), TRIM(IF(INT(INDEX(輔助計算!$D:$D, (MATCH(994, 輔助計算!$G$2:$G$801, 0)+1))/IF(INDEX(ERP資料!$G:$G, (MATCH(994, 輔助計算!$G$2:$G$801, 0)+1))&lt;100, IF(INDEX(ERP資料!$G:$G, (MATCH(994, 輔助計算!$G$2:$G$801, 0)+1))&lt;=31,3,IF(INDEX(ERP資料!$G:$G, (MATCH(994, 輔助計算!$G$2:$G$801, 0)+1))&lt;=46.5,2,1)), IF(INDEX(ERP資料!$G:$G, (MATCH(994, 輔助計算!$G$2:$G$801, 0)+1))&lt;=790,3,IF(INDEX(ERP資料!$G:$G, (MATCH(994, 輔助計算!$G$2:$G$801, 0)+1))&lt;=1181,2,1))))&gt;0, IF(IF(INDEX(ERP資料!$G:$G, (MATCH(994, 輔助計算!$G$2:$G$801, 0)+1))&lt;100, IF(INDEX(ERP資料!$G:$G, (MATCH(994, 輔助計算!$G$2:$G$801, 0)+1))&lt;=31,3,IF(INDEX(ERP資料!$G:$G, (MATCH(994, 輔助計算!$G$2:$G$801, 0)+1))&lt;=46.5,2,1)), IF(INDEX(ERP資料!$G:$G, (MATCH(994, 輔助計算!$G$2:$G$801, 0)+1))&lt;=790,3,IF(INDEX(ERP資料!$G:$G, (MATCH(994, 輔助計算!$G$2:$G$801, 0)+1))&lt;=1181,2,1)))=1,TEXT(INDEX(ERP資料!$G:$G, (MATCH(994, 輔助計算!$G$2:$G$801, 0)+1)),"0.##"),IF(IF(INDEX(ERP資料!$G:$G, (MATCH(994, 輔助計算!$G$2:$G$801, 0)+1))&lt;100, IF(INDEX(ERP資料!$G:$G, (MATCH(994, 輔助計算!$G$2:$G$801, 0)+1))&lt;=31,3,IF(INDEX(ERP資料!$G:$G, (MATCH(994, 輔助計算!$G$2:$G$801, 0)+1))&lt;=46.5,2,1)), IF(INDEX(ERP資料!$G:$G, (MATCH(994, 輔助計算!$G$2:$G$801, 0)+1))&lt;=790,3,IF(INDEX(ERP資料!$G:$G, (MATCH(994, 輔助計算!$G$2:$G$801, 0)+1))&lt;=1181,2,1)))=2,TEXT(INDEX(ERP資料!$G:$G, (MATCH(994, 輔助計算!$G$2:$G$801, 0)+1)),"0.##")&amp;"+"&amp;TEXT(INDEX(ERP資料!$G:$G, (MATCH(994, 輔助計算!$G$2:$G$801, 0)+1)),"0.##"),TEXT(INDEX(ERP資料!$G:$G, (MATCH(994, 輔助計算!$G$2:$G$801, 0)+1)),"0.##")&amp;"+"&amp;TEXT(INDEX(ERP資料!$G:$G, (MATCH(994, 輔助計算!$G$2:$G$801, 0)+1)),"0.##")&amp;"+"&amp;TEXT(INDEX(ERP資料!$G:$G, (MATCH(994, 輔助計算!$G$2:$G$801, 0)+1)),"0.##")))&amp;"-"&amp;INT(INDEX(輔助計算!$D:$D, (MATCH(994, 輔助計算!$G$2:$G$801, 0)+1))/IF(INDEX(ERP資料!$G:$G, (MATCH(994, 輔助計算!$G$2:$G$801, 0)+1))&lt;100, IF(INDEX(ERP資料!$G:$G, (MATCH(994, 輔助計算!$G$2:$G$801, 0)+1))&lt;=31,3,IF(INDEX(ERP資料!$G:$G, (MATCH(994, 輔助計算!$G$2:$G$801, 0)+1))&lt;=46.5,2,1)), IF(INDEX(ERP資料!$G:$G, (MATCH(994, 輔助計算!$G$2:$G$801, 0)+1))&lt;=790,3,IF(INDEX(ERP資料!$G:$G, (MATCH(994, 輔助計算!$G$2:$G$801, 0)+1))&lt;=1181,2,1)))), "")&amp;IF(AND(IF(INT(INDEX(輔助計算!$D:$D, (MATCH(994, 輔助計算!$G$2:$G$801, 0)+1))/IF(INDEX(ERP資料!$G:$G, (MATCH(994, 輔助計算!$G$2:$G$801, 0)+1))&lt;100, IF(INDEX(ERP資料!$G:$G, (MATCH(994, 輔助計算!$G$2:$G$801, 0)+1))&lt;=31,3,IF(INDEX(ERP資料!$G:$G, (MATCH(994, 輔助計算!$G$2:$G$801, 0)+1))&lt;=46.5,2,1)), IF(INDEX(ERP資料!$G:$G, (MATCH(994, 輔助計算!$G$2:$G$801, 0)+1))&lt;=790,3,IF(INDEX(ERP資料!$G:$G, (MATCH(994, 輔助計算!$G$2:$G$801, 0)+1))&lt;=1181,2,1))))&gt;0, IF(IF(INDEX(ERP資料!$G:$G, (MATCH(994, 輔助計算!$G$2:$G$801, 0)+1))&lt;100, IF(INDEX(ERP資料!$G:$G, (MATCH(994, 輔助計算!$G$2:$G$801, 0)+1))&lt;=31,3,IF(INDEX(ERP資料!$G:$G, (MATCH(994, 輔助計算!$G$2:$G$801, 0)+1))&lt;=46.5,2,1)), IF(INDEX(ERP資料!$G:$G, (MATCH(994, 輔助計算!$G$2:$G$801, 0)+1))&lt;=790,3,IF(INDEX(ERP資料!$G:$G, (MATCH(994, 輔助計算!$G$2:$G$801, 0)+1))&lt;=1181,2,1)))=1,TEXT(INDEX(ERP資料!$G:$G, (MATCH(994, 輔助計算!$G$2:$G$801, 0)+1)),"0.##"),IF(IF(INDEX(ERP資料!$G:$G, (MATCH(994, 輔助計算!$G$2:$G$801, 0)+1))&lt;100, IF(INDEX(ERP資料!$G:$G, (MATCH(994, 輔助計算!$G$2:$G$801, 0)+1))&lt;=31,3,IF(INDEX(ERP資料!$G:$G, (MATCH(994, 輔助計算!$G$2:$G$801, 0)+1))&lt;=46.5,2,1)), IF(INDEX(ERP資料!$G:$G, (MATCH(994, 輔助計算!$G$2:$G$801, 0)+1))&lt;=790,3,IF(INDEX(ERP資料!$G:$G, (MATCH(994, 輔助計算!$G$2:$G$801, 0)+1))&lt;=1181,2,1)))=2,TEXT(INDEX(ERP資料!$G:$G, (MATCH(994, 輔助計算!$G$2:$G$801, 0)+1)),"0.##")&amp;"+"&amp;TEXT(INDEX(ERP資料!$G:$G, (MATCH(994, 輔助計算!$G$2:$G$801, 0)+1)),"0.##"),TEXT(INDEX(ERP資料!$G:$G, (MATCH(994, 輔助計算!$G$2:$G$801, 0)+1)),"0.##")&amp;"+"&amp;TEXT(INDEX(ERP資料!$G:$G, (MATCH(994, 輔助計算!$G$2:$G$801, 0)+1)),"0.##")&amp;"+"&amp;TEXT(INDEX(ERP資料!$G:$G, (MATCH(994, 輔助計算!$G$2:$G$801, 0)+1)),"0.##")))&amp;"-"&amp;INT(INDEX(輔助計算!$D:$D, (MATCH(994, 輔助計算!$G$2:$G$801, 0)+1))/IF(INDEX(ERP資料!$G:$G, (MATCH(994, 輔助計算!$G$2:$G$801, 0)+1))&lt;100, IF(INDEX(ERP資料!$G:$G, (MATCH(994, 輔助計算!$G$2:$G$801, 0)+1))&lt;=31,3,IF(INDEX(ERP資料!$G:$G, (MATCH(994, 輔助計算!$G$2:$G$801, 0)+1))&lt;=46.5,2,1)), IF(INDEX(ERP資料!$G:$G, (MATCH(994, 輔助計算!$G$2:$G$801, 0)+1))&lt;=790,3,IF(INDEX(ERP資料!$G:$G, (MATCH(994, 輔助計算!$G$2:$G$801, 0)+1))&lt;=1181,2,1)))), "")&lt;&gt;"",IF(MOD(INDEX(輔助計算!$D:$D, (MATCH(994, 輔助計算!$G$2:$G$801, 0)+1)),IF(INDEX(ERP資料!$G:$G, (MATCH(994, 輔助計算!$G$2:$G$801, 0)+1))&lt;100, IF(INDEX(ERP資料!$G:$G, (MATCH(994, 輔助計算!$G$2:$G$801, 0)+1))&lt;=31,3,IF(INDEX(ERP資料!$G:$G, (MATCH(994, 輔助計算!$G$2:$G$801, 0)+1))&lt;=46.5,2,1)), IF(INDEX(ERP資料!$G:$G, (MATCH(994, 輔助計算!$G$2:$G$801, 0)+1))&lt;=790,3,IF(INDEX(ERP資料!$G:$G, (MATCH(994, 輔助計算!$G$2:$G$801, 0)+1))&lt;=1181,2,1))))=0,"",IF(MOD(INDEX(輔助計算!$D:$D, (MATCH(994, 輔助計算!$G$2:$G$801, 0)+1)),IF(INDEX(ERP資料!$G:$G, (MATCH(994, 輔助計算!$G$2:$G$801, 0)+1))&lt;100, IF(INDEX(ERP資料!$G:$G, (MATCH(994, 輔助計算!$G$2:$G$801, 0)+1))&lt;=31,3,IF(INDEX(ERP資料!$G:$G, (MATCH(994, 輔助計算!$G$2:$G$801, 0)+1))&lt;=46.5,2,1)), IF(INDEX(ERP資料!$G:$G, (MATCH(994, 輔助計算!$G$2:$G$801, 0)+1))&lt;=790,3,IF(INDEX(ERP資料!$G:$G, (MATCH(994, 輔助計算!$G$2:$G$801, 0)+1))&lt;=1181,2,1))))=0,"",IF(MOD(INDEX(輔助計算!$D:$D, (MATCH(994, 輔助計算!$G$2:$G$801, 0)+1)),IF(INDEX(ERP資料!$G:$G, (MATCH(994, 輔助計算!$G$2:$G$801, 0)+1))&lt;100, IF(INDEX(ERP資料!$G:$G, (MATCH(994, 輔助計算!$G$2:$G$801, 0)+1))&lt;=31,3,IF(INDEX(ERP資料!$G:$G, (MATCH(994, 輔助計算!$G$2:$G$801, 0)+1))&lt;=46.5,2,1)), IF(INDEX(ERP資料!$G:$G, (MATCH(994, 輔助計算!$G$2:$G$801, 0)+1))&lt;=790,3,IF(INDEX(ERP資料!$G:$G, (MATCH(994, 輔助計算!$G$2:$G$801, 0)+1))&lt;=1181,2,1))))=1,TEXT(INDEX(ERP資料!$G:$G, (MATCH(994, 輔助計算!$G$2:$G$801, 0)+1)),"0.##"),IF(MOD(INDEX(輔助計算!$D:$D, (MATCH(994, 輔助計算!$G$2:$G$801, 0)+1)),IF(INDEX(ERP資料!$G:$G, (MATCH(994, 輔助計算!$G$2:$G$801, 0)+1))&lt;100, IF(INDEX(ERP資料!$G:$G, (MATCH(994, 輔助計算!$G$2:$G$801, 0)+1))&lt;=31,3,IF(INDEX(ERP資料!$G:$G, (MATCH(994, 輔助計算!$G$2:$G$801, 0)+1))&lt;=46.5,2,1)), IF(INDEX(ERP資料!$G:$G, (MATCH(994, 輔助計算!$G$2:$G$801, 0)+1))&lt;=790,3,IF(INDEX(ERP資料!$G:$G, (MATCH(994, 輔助計算!$G$2:$G$801, 0)+1))&lt;=1181,2,1))))=2,TEXT(INDEX(ERP資料!$G:$G, (MATCH(994, 輔助計算!$G$2:$G$801, 0)+1)),"0.##")&amp;"+"&amp;TEXT(INDEX(ERP資料!$G:$G, (MATCH(994, 輔助計算!$G$2:$G$801, 0)+1)),"0.##"),TEXT(INDEX(ERP資料!$G:$G, (MATCH(994, 輔助計算!$G$2:$G$801, 0)+1)),"0.##")&amp;"+"&amp;TEXT(INDEX(ERP資料!$G:$G, (MATCH(994, 輔助計算!$G$2:$G$801, 0)+1)),"0.##")&amp;"+"&amp;TEXT(INDEX(ERP資料!$G:$G, (MATCH(994, 輔助計算!$G$2:$G$801, 0)+1)),"0.##"))))&amp;"-1")&lt;&gt;""),"  ","")&amp;IF(MOD(INDEX(輔助計算!$D:$D, (MATCH(994, 輔助計算!$G$2:$G$801, 0)+1)),IF(INDEX(ERP資料!$G:$G, (MATCH(994, 輔助計算!$G$2:$G$801, 0)+1))&lt;100, IF(INDEX(ERP資料!$G:$G, (MATCH(994, 輔助計算!$G$2:$G$801, 0)+1))&lt;=31,3,IF(INDEX(ERP資料!$G:$G, (MATCH(994, 輔助計算!$G$2:$G$801, 0)+1))&lt;=46.5,2,1)), IF(INDEX(ERP資料!$G:$G, (MATCH(994, 輔助計算!$G$2:$G$801, 0)+1))&lt;=790,3,IF(INDEX(ERP資料!$G:$G, (MATCH(994, 輔助計算!$G$2:$G$801, 0)+1))&lt;=1181,2,1))))=0,"",IF(MOD(INDEX(輔助計算!$D:$D, (MATCH(994, 輔助計算!$G$2:$G$801, 0)+1)),IF(INDEX(ERP資料!$G:$G, (MATCH(994, 輔助計算!$G$2:$G$801, 0)+1))&lt;100, IF(INDEX(ERP資料!$G:$G, (MATCH(994, 輔助計算!$G$2:$G$801, 0)+1))&lt;=31,3,IF(INDEX(ERP資料!$G:$G, (MATCH(994, 輔助計算!$G$2:$G$801, 0)+1))&lt;=46.5,2,1)), IF(INDEX(ERP資料!$G:$G, (MATCH(994, 輔助計算!$G$2:$G$801, 0)+1))&lt;=790,3,IF(INDEX(ERP資料!$G:$G, (MATCH(994, 輔助計算!$G$2:$G$801, 0)+1))&lt;=1181,2,1))))=0,"",IF(MOD(INDEX(輔助計算!$D:$D, (MATCH(994, 輔助計算!$G$2:$G$801, 0)+1)),IF(INDEX(ERP資料!$G:$G, (MATCH(994, 輔助計算!$G$2:$G$801, 0)+1))&lt;100, IF(INDEX(ERP資料!$G:$G, (MATCH(994, 輔助計算!$G$2:$G$801, 0)+1))&lt;=31,3,IF(INDEX(ERP資料!$G:$G, (MATCH(994, 輔助計算!$G$2:$G$801, 0)+1))&lt;=46.5,2,1)), IF(INDEX(ERP資料!$G:$G, (MATCH(994, 輔助計算!$G$2:$G$801, 0)+1))&lt;=790,3,IF(INDEX(ERP資料!$G:$G, (MATCH(994, 輔助計算!$G$2:$G$801, 0)+1))&lt;=1181,2,1))))=1,TEXT(INDEX(ERP資料!$G:$G, (MATCH(994, 輔助計算!$G$2:$G$801, 0)+1)),"0.##"),IF(MOD(INDEX(輔助計算!$D:$D, (MATCH(994, 輔助計算!$G$2:$G$801, 0)+1)),IF(INDEX(ERP資料!$G:$G, (MATCH(994, 輔助計算!$G$2:$G$801, 0)+1))&lt;100, IF(INDEX(ERP資料!$G:$G, (MATCH(994, 輔助計算!$G$2:$G$801, 0)+1))&lt;=31,3,IF(INDEX(ERP資料!$G:$G, (MATCH(994, 輔助計算!$G$2:$G$801, 0)+1))&lt;=46.5,2,1)), IF(INDEX(ERP資料!$G:$G, (MATCH(994, 輔助計算!$G$2:$G$801, 0)+1))&lt;=790,3,IF(INDEX(ERP資料!$G:$G, (MATCH(994, 輔助計算!$G$2:$G$801, 0)+1))&lt;=1181,2,1))))=2,TEXT(INDEX(ERP資料!$G:$G, (MATCH(994, 輔助計算!$G$2:$G$801, 0)+1)),"0.##")&amp;"+"&amp;TEXT(INDEX(ERP資料!$G:$G, (MATCH(994, 輔助計算!$G$2:$G$801, 0)+1)),"0.##"),TEXT(INDEX(ERP資料!$G:$G, (MATCH(994, 輔助計算!$G$2:$G$801, 0)+1)),"0.##")&amp;"+"&amp;TEXT(INDEX(ERP資料!$G:$G, (MATCH(994, 輔助計算!$G$2:$G$801, 0)+1)),"0.##")&amp;"+"&amp;TEXT(INDEX(ERP資料!$G:$G, (MATCH(994, 輔助計算!$G$2:$G$801, 0)+1)),"0.##"))))&amp;"-1")), ""), "")</f>
        <v/>
      </c>
      <c r="K995" s="16" t="n"/>
      <c r="L995" s="14">
        <f>IFERROR(IF(AND(IFERROR(INDEX(ERP資料!$A:$A, (MATCH(994, 輔助計算!$G$2:$G$801, 0)+1)), "")&lt;&gt;"", IFERROR(INDEX(ERP資料!$A:$A, (MATCH(994, 輔助計算!$G$2:$G$801, 0)+1)), "")&lt;&gt;IFERROR(INDEX(ERP資料!$A:$A, MATCH(993, 輔助計算!$G$2:$G$801, 0)+1), "")), INDEX(ERP資料!$B:$B, (MATCH(994, 輔助計算!$G$2:$G$801, 0)+1)), ""), "")</f>
        <v/>
      </c>
      <c r="M995" s="17" t="n"/>
    </row>
    <row r="996">
      <c r="A996" s="10">
        <f>IFERROR(IF(AND(IFERROR(INDEX(ERP資料!$A:$A, (MATCH(995, 輔助計算!$G$2:$G$801, 0)+1)), "")&lt;&gt;"", IFERROR(INDEX(ERP資料!$A:$A, (MATCH(995, 輔助計算!$G$2:$G$801, 0)+1)), "")&lt;&gt;IFERROR(INDEX(ERP資料!$A:$A, MATCH(994, 輔助計算!$G$2:$G$801, 0)+1), "")), IFERROR(INDEX(ERP資料!$A:$A, (MATCH(995, 輔助計算!$G$2:$G$801, 0)+1)), ""), ""), "")</f>
        <v/>
      </c>
      <c r="B996" s="10">
        <f>IFERROR(IF(AND(IFERROR(INDEX(ERP資料!$A:$A, (MATCH(995, 輔助計算!$G$2:$G$801, 0)+1)), "")&lt;&gt;"", IFERROR(INDEX(ERP資料!$A:$A, (MATCH(995, 輔助計算!$G$2:$G$801, 0)+1)), "")&lt;&gt;IFERROR(INDEX(ERP資料!$A:$A, MATCH(994, 輔助計算!$G$2:$G$801, 0)+1), "")), INDEX(ERP資料!$S:$S, (MATCH(995, 輔助計算!$G$2:$G$801, 0)+1)), ""), "")</f>
        <v/>
      </c>
      <c r="C996" s="19">
        <f>IFERROR(IF(AND(IFERROR(INDEX(ERP資料!$A:$A, (MATCH(995, 輔助計算!$G$2:$G$801, 0)+1)), "")&lt;&gt;"", IFERROR(INDEX(ERP資料!$A:$A, (MATCH(995, 輔助計算!$G$2:$G$801, 0)+1)), "")&lt;&gt;IFERROR(INDEX(ERP資料!$A:$A, MATCH(994, 輔助計算!$G$2:$G$801, 0)+1), "")), IFERROR(VLOOKUP(LEFT(INDEX(ERP資料!$S:$S, (MATCH(995, 輔助計算!$G$2:$G$801, 0)+1)), 4), 紙管對照表!$A:$C, 3, FALSE), ""), ""), "")</f>
        <v/>
      </c>
      <c r="D996" s="16" t="n"/>
      <c r="E996" s="10">
        <f>IFERROR(IF(INDEX(ERP資料!$H:$H, (MATCH(995, 輔助計算!$G$2:$G$801, 0)+1))="","",INDEX(ERP資料!$H:$H, (MATCH(995, 輔助計算!$G$2:$G$801, 0)+1))), "")</f>
        <v/>
      </c>
      <c r="F996" s="10">
        <f>IFERROR(IF(INDEX(ERP資料!$E:$E, (MATCH(995, 輔助計算!$G$2:$G$801, 0)+1))="","",TRIM(INDEX(ERP資料!$E:$E, (MATCH(995, 輔助計算!$G$2:$G$801, 0)+1)))), "")</f>
        <v/>
      </c>
      <c r="G996" s="10">
        <f>IFERROR(IF(INDEX(ERP資料!$F:$F, (MATCH(995, 輔助計算!$G$2:$G$801, 0)+1))="","",INDEX(ERP資料!$F:$F, (MATCH(995, 輔助計算!$G$2:$G$801, 0)+1))), "")</f>
        <v/>
      </c>
      <c r="H996" s="10">
        <f>IFERROR(IF(INDEX(ERP資料!$G:$G, (MATCH(995, 輔助計算!$G$2:$G$801, 0)+1))="","",INDEX(ERP資料!$G:$G, (MATCH(995, 輔助計算!$G$2:$G$801, 0)+1))), "")</f>
        <v/>
      </c>
      <c r="I996" s="15">
        <f>IFERROR(INDEX(輔助計算!$D:$D, (MATCH(995, 輔助計算!$G$2:$G$801, 0)+1)), "")</f>
        <v/>
      </c>
      <c r="J996" s="15">
        <f>IFERROR(IF(AND(INDEX(輔助計算!$D:$D, (MATCH(995, 輔助計算!$G$2:$G$801, 0)+1))&lt;&gt;"", INDEX(ERP資料!$G:$G, (MATCH(995, 輔助計算!$G$2:$G$801, 0)+1))&lt;&gt;""), TRIM(IF(INT(INDEX(輔助計算!$D:$D, (MATCH(995, 輔助計算!$G$2:$G$801, 0)+1))/IF(INDEX(ERP資料!$G:$G, (MATCH(995, 輔助計算!$G$2:$G$801, 0)+1))&lt;100, IF(INDEX(ERP資料!$G:$G, (MATCH(995, 輔助計算!$G$2:$G$801, 0)+1))&lt;=31,3,IF(INDEX(ERP資料!$G:$G, (MATCH(995, 輔助計算!$G$2:$G$801, 0)+1))&lt;=46.5,2,1)), IF(INDEX(ERP資料!$G:$G, (MATCH(995, 輔助計算!$G$2:$G$801, 0)+1))&lt;=790,3,IF(INDEX(ERP資料!$G:$G, (MATCH(995, 輔助計算!$G$2:$G$801, 0)+1))&lt;=1181,2,1))))&gt;0, IF(IF(INDEX(ERP資料!$G:$G, (MATCH(995, 輔助計算!$G$2:$G$801, 0)+1))&lt;100, IF(INDEX(ERP資料!$G:$G, (MATCH(995, 輔助計算!$G$2:$G$801, 0)+1))&lt;=31,3,IF(INDEX(ERP資料!$G:$G, (MATCH(995, 輔助計算!$G$2:$G$801, 0)+1))&lt;=46.5,2,1)), IF(INDEX(ERP資料!$G:$G, (MATCH(995, 輔助計算!$G$2:$G$801, 0)+1))&lt;=790,3,IF(INDEX(ERP資料!$G:$G, (MATCH(995, 輔助計算!$G$2:$G$801, 0)+1))&lt;=1181,2,1)))=1,TEXT(INDEX(ERP資料!$G:$G, (MATCH(995, 輔助計算!$G$2:$G$801, 0)+1)),"0.##"),IF(IF(INDEX(ERP資料!$G:$G, (MATCH(995, 輔助計算!$G$2:$G$801, 0)+1))&lt;100, IF(INDEX(ERP資料!$G:$G, (MATCH(995, 輔助計算!$G$2:$G$801, 0)+1))&lt;=31,3,IF(INDEX(ERP資料!$G:$G, (MATCH(995, 輔助計算!$G$2:$G$801, 0)+1))&lt;=46.5,2,1)), IF(INDEX(ERP資料!$G:$G, (MATCH(995, 輔助計算!$G$2:$G$801, 0)+1))&lt;=790,3,IF(INDEX(ERP資料!$G:$G, (MATCH(995, 輔助計算!$G$2:$G$801, 0)+1))&lt;=1181,2,1)))=2,TEXT(INDEX(ERP資料!$G:$G, (MATCH(995, 輔助計算!$G$2:$G$801, 0)+1)),"0.##")&amp;"+"&amp;TEXT(INDEX(ERP資料!$G:$G, (MATCH(995, 輔助計算!$G$2:$G$801, 0)+1)),"0.##"),TEXT(INDEX(ERP資料!$G:$G, (MATCH(995, 輔助計算!$G$2:$G$801, 0)+1)),"0.##")&amp;"+"&amp;TEXT(INDEX(ERP資料!$G:$G, (MATCH(995, 輔助計算!$G$2:$G$801, 0)+1)),"0.##")&amp;"+"&amp;TEXT(INDEX(ERP資料!$G:$G, (MATCH(995, 輔助計算!$G$2:$G$801, 0)+1)),"0.##")))&amp;"-"&amp;INT(INDEX(輔助計算!$D:$D, (MATCH(995, 輔助計算!$G$2:$G$801, 0)+1))/IF(INDEX(ERP資料!$G:$G, (MATCH(995, 輔助計算!$G$2:$G$801, 0)+1))&lt;100, IF(INDEX(ERP資料!$G:$G, (MATCH(995, 輔助計算!$G$2:$G$801, 0)+1))&lt;=31,3,IF(INDEX(ERP資料!$G:$G, (MATCH(995, 輔助計算!$G$2:$G$801, 0)+1))&lt;=46.5,2,1)), IF(INDEX(ERP資料!$G:$G, (MATCH(995, 輔助計算!$G$2:$G$801, 0)+1))&lt;=790,3,IF(INDEX(ERP資料!$G:$G, (MATCH(995, 輔助計算!$G$2:$G$801, 0)+1))&lt;=1181,2,1)))), "")&amp;IF(AND(IF(INT(INDEX(輔助計算!$D:$D, (MATCH(995, 輔助計算!$G$2:$G$801, 0)+1))/IF(INDEX(ERP資料!$G:$G, (MATCH(995, 輔助計算!$G$2:$G$801, 0)+1))&lt;100, IF(INDEX(ERP資料!$G:$G, (MATCH(995, 輔助計算!$G$2:$G$801, 0)+1))&lt;=31,3,IF(INDEX(ERP資料!$G:$G, (MATCH(995, 輔助計算!$G$2:$G$801, 0)+1))&lt;=46.5,2,1)), IF(INDEX(ERP資料!$G:$G, (MATCH(995, 輔助計算!$G$2:$G$801, 0)+1))&lt;=790,3,IF(INDEX(ERP資料!$G:$G, (MATCH(995, 輔助計算!$G$2:$G$801, 0)+1))&lt;=1181,2,1))))&gt;0, IF(IF(INDEX(ERP資料!$G:$G, (MATCH(995, 輔助計算!$G$2:$G$801, 0)+1))&lt;100, IF(INDEX(ERP資料!$G:$G, (MATCH(995, 輔助計算!$G$2:$G$801, 0)+1))&lt;=31,3,IF(INDEX(ERP資料!$G:$G, (MATCH(995, 輔助計算!$G$2:$G$801, 0)+1))&lt;=46.5,2,1)), IF(INDEX(ERP資料!$G:$G, (MATCH(995, 輔助計算!$G$2:$G$801, 0)+1))&lt;=790,3,IF(INDEX(ERP資料!$G:$G, (MATCH(995, 輔助計算!$G$2:$G$801, 0)+1))&lt;=1181,2,1)))=1,TEXT(INDEX(ERP資料!$G:$G, (MATCH(995, 輔助計算!$G$2:$G$801, 0)+1)),"0.##"),IF(IF(INDEX(ERP資料!$G:$G, (MATCH(995, 輔助計算!$G$2:$G$801, 0)+1))&lt;100, IF(INDEX(ERP資料!$G:$G, (MATCH(995, 輔助計算!$G$2:$G$801, 0)+1))&lt;=31,3,IF(INDEX(ERP資料!$G:$G, (MATCH(995, 輔助計算!$G$2:$G$801, 0)+1))&lt;=46.5,2,1)), IF(INDEX(ERP資料!$G:$G, (MATCH(995, 輔助計算!$G$2:$G$801, 0)+1))&lt;=790,3,IF(INDEX(ERP資料!$G:$G, (MATCH(995, 輔助計算!$G$2:$G$801, 0)+1))&lt;=1181,2,1)))=2,TEXT(INDEX(ERP資料!$G:$G, (MATCH(995, 輔助計算!$G$2:$G$801, 0)+1)),"0.##")&amp;"+"&amp;TEXT(INDEX(ERP資料!$G:$G, (MATCH(995, 輔助計算!$G$2:$G$801, 0)+1)),"0.##"),TEXT(INDEX(ERP資料!$G:$G, (MATCH(995, 輔助計算!$G$2:$G$801, 0)+1)),"0.##")&amp;"+"&amp;TEXT(INDEX(ERP資料!$G:$G, (MATCH(995, 輔助計算!$G$2:$G$801, 0)+1)),"0.##")&amp;"+"&amp;TEXT(INDEX(ERP資料!$G:$G, (MATCH(995, 輔助計算!$G$2:$G$801, 0)+1)),"0.##")))&amp;"-"&amp;INT(INDEX(輔助計算!$D:$D, (MATCH(995, 輔助計算!$G$2:$G$801, 0)+1))/IF(INDEX(ERP資料!$G:$G, (MATCH(995, 輔助計算!$G$2:$G$801, 0)+1))&lt;100, IF(INDEX(ERP資料!$G:$G, (MATCH(995, 輔助計算!$G$2:$G$801, 0)+1))&lt;=31,3,IF(INDEX(ERP資料!$G:$G, (MATCH(995, 輔助計算!$G$2:$G$801, 0)+1))&lt;=46.5,2,1)), IF(INDEX(ERP資料!$G:$G, (MATCH(995, 輔助計算!$G$2:$G$801, 0)+1))&lt;=790,3,IF(INDEX(ERP資料!$G:$G, (MATCH(995, 輔助計算!$G$2:$G$801, 0)+1))&lt;=1181,2,1)))), "")&lt;&gt;"",IF(MOD(INDEX(輔助計算!$D:$D, (MATCH(995, 輔助計算!$G$2:$G$801, 0)+1)),IF(INDEX(ERP資料!$G:$G, (MATCH(995, 輔助計算!$G$2:$G$801, 0)+1))&lt;100, IF(INDEX(ERP資料!$G:$G, (MATCH(995, 輔助計算!$G$2:$G$801, 0)+1))&lt;=31,3,IF(INDEX(ERP資料!$G:$G, (MATCH(995, 輔助計算!$G$2:$G$801, 0)+1))&lt;=46.5,2,1)), IF(INDEX(ERP資料!$G:$G, (MATCH(995, 輔助計算!$G$2:$G$801, 0)+1))&lt;=790,3,IF(INDEX(ERP資料!$G:$G, (MATCH(995, 輔助計算!$G$2:$G$801, 0)+1))&lt;=1181,2,1))))=0,"",IF(MOD(INDEX(輔助計算!$D:$D, (MATCH(995, 輔助計算!$G$2:$G$801, 0)+1)),IF(INDEX(ERP資料!$G:$G, (MATCH(995, 輔助計算!$G$2:$G$801, 0)+1))&lt;100, IF(INDEX(ERP資料!$G:$G, (MATCH(995, 輔助計算!$G$2:$G$801, 0)+1))&lt;=31,3,IF(INDEX(ERP資料!$G:$G, (MATCH(995, 輔助計算!$G$2:$G$801, 0)+1))&lt;=46.5,2,1)), IF(INDEX(ERP資料!$G:$G, (MATCH(995, 輔助計算!$G$2:$G$801, 0)+1))&lt;=790,3,IF(INDEX(ERP資料!$G:$G, (MATCH(995, 輔助計算!$G$2:$G$801, 0)+1))&lt;=1181,2,1))))=0,"",IF(MOD(INDEX(輔助計算!$D:$D, (MATCH(995, 輔助計算!$G$2:$G$801, 0)+1)),IF(INDEX(ERP資料!$G:$G, (MATCH(995, 輔助計算!$G$2:$G$801, 0)+1))&lt;100, IF(INDEX(ERP資料!$G:$G, (MATCH(995, 輔助計算!$G$2:$G$801, 0)+1))&lt;=31,3,IF(INDEX(ERP資料!$G:$G, (MATCH(995, 輔助計算!$G$2:$G$801, 0)+1))&lt;=46.5,2,1)), IF(INDEX(ERP資料!$G:$G, (MATCH(995, 輔助計算!$G$2:$G$801, 0)+1))&lt;=790,3,IF(INDEX(ERP資料!$G:$G, (MATCH(995, 輔助計算!$G$2:$G$801, 0)+1))&lt;=1181,2,1))))=1,TEXT(INDEX(ERP資料!$G:$G, (MATCH(995, 輔助計算!$G$2:$G$801, 0)+1)),"0.##"),IF(MOD(INDEX(輔助計算!$D:$D, (MATCH(995, 輔助計算!$G$2:$G$801, 0)+1)),IF(INDEX(ERP資料!$G:$G, (MATCH(995, 輔助計算!$G$2:$G$801, 0)+1))&lt;100, IF(INDEX(ERP資料!$G:$G, (MATCH(995, 輔助計算!$G$2:$G$801, 0)+1))&lt;=31,3,IF(INDEX(ERP資料!$G:$G, (MATCH(995, 輔助計算!$G$2:$G$801, 0)+1))&lt;=46.5,2,1)), IF(INDEX(ERP資料!$G:$G, (MATCH(995, 輔助計算!$G$2:$G$801, 0)+1))&lt;=790,3,IF(INDEX(ERP資料!$G:$G, (MATCH(995, 輔助計算!$G$2:$G$801, 0)+1))&lt;=1181,2,1))))=2,TEXT(INDEX(ERP資料!$G:$G, (MATCH(995, 輔助計算!$G$2:$G$801, 0)+1)),"0.##")&amp;"+"&amp;TEXT(INDEX(ERP資料!$G:$G, (MATCH(995, 輔助計算!$G$2:$G$801, 0)+1)),"0.##"),TEXT(INDEX(ERP資料!$G:$G, (MATCH(995, 輔助計算!$G$2:$G$801, 0)+1)),"0.##")&amp;"+"&amp;TEXT(INDEX(ERP資料!$G:$G, (MATCH(995, 輔助計算!$G$2:$G$801, 0)+1)),"0.##")&amp;"+"&amp;TEXT(INDEX(ERP資料!$G:$G, (MATCH(995, 輔助計算!$G$2:$G$801, 0)+1)),"0.##"))))&amp;"-1")&lt;&gt;""),"  ","")&amp;IF(MOD(INDEX(輔助計算!$D:$D, (MATCH(995, 輔助計算!$G$2:$G$801, 0)+1)),IF(INDEX(ERP資料!$G:$G, (MATCH(995, 輔助計算!$G$2:$G$801, 0)+1))&lt;100, IF(INDEX(ERP資料!$G:$G, (MATCH(995, 輔助計算!$G$2:$G$801, 0)+1))&lt;=31,3,IF(INDEX(ERP資料!$G:$G, (MATCH(995, 輔助計算!$G$2:$G$801, 0)+1))&lt;=46.5,2,1)), IF(INDEX(ERP資料!$G:$G, (MATCH(995, 輔助計算!$G$2:$G$801, 0)+1))&lt;=790,3,IF(INDEX(ERP資料!$G:$G, (MATCH(995, 輔助計算!$G$2:$G$801, 0)+1))&lt;=1181,2,1))))=0,"",IF(MOD(INDEX(輔助計算!$D:$D, (MATCH(995, 輔助計算!$G$2:$G$801, 0)+1)),IF(INDEX(ERP資料!$G:$G, (MATCH(995, 輔助計算!$G$2:$G$801, 0)+1))&lt;100, IF(INDEX(ERP資料!$G:$G, (MATCH(995, 輔助計算!$G$2:$G$801, 0)+1))&lt;=31,3,IF(INDEX(ERP資料!$G:$G, (MATCH(995, 輔助計算!$G$2:$G$801, 0)+1))&lt;=46.5,2,1)), IF(INDEX(ERP資料!$G:$G, (MATCH(995, 輔助計算!$G$2:$G$801, 0)+1))&lt;=790,3,IF(INDEX(ERP資料!$G:$G, (MATCH(995, 輔助計算!$G$2:$G$801, 0)+1))&lt;=1181,2,1))))=0,"",IF(MOD(INDEX(輔助計算!$D:$D, (MATCH(995, 輔助計算!$G$2:$G$801, 0)+1)),IF(INDEX(ERP資料!$G:$G, (MATCH(995, 輔助計算!$G$2:$G$801, 0)+1))&lt;100, IF(INDEX(ERP資料!$G:$G, (MATCH(995, 輔助計算!$G$2:$G$801, 0)+1))&lt;=31,3,IF(INDEX(ERP資料!$G:$G, (MATCH(995, 輔助計算!$G$2:$G$801, 0)+1))&lt;=46.5,2,1)), IF(INDEX(ERP資料!$G:$G, (MATCH(995, 輔助計算!$G$2:$G$801, 0)+1))&lt;=790,3,IF(INDEX(ERP資料!$G:$G, (MATCH(995, 輔助計算!$G$2:$G$801, 0)+1))&lt;=1181,2,1))))=1,TEXT(INDEX(ERP資料!$G:$G, (MATCH(995, 輔助計算!$G$2:$G$801, 0)+1)),"0.##"),IF(MOD(INDEX(輔助計算!$D:$D, (MATCH(995, 輔助計算!$G$2:$G$801, 0)+1)),IF(INDEX(ERP資料!$G:$G, (MATCH(995, 輔助計算!$G$2:$G$801, 0)+1))&lt;100, IF(INDEX(ERP資料!$G:$G, (MATCH(995, 輔助計算!$G$2:$G$801, 0)+1))&lt;=31,3,IF(INDEX(ERP資料!$G:$G, (MATCH(995, 輔助計算!$G$2:$G$801, 0)+1))&lt;=46.5,2,1)), IF(INDEX(ERP資料!$G:$G, (MATCH(995, 輔助計算!$G$2:$G$801, 0)+1))&lt;=790,3,IF(INDEX(ERP資料!$G:$G, (MATCH(995, 輔助計算!$G$2:$G$801, 0)+1))&lt;=1181,2,1))))=2,TEXT(INDEX(ERP資料!$G:$G, (MATCH(995, 輔助計算!$G$2:$G$801, 0)+1)),"0.##")&amp;"+"&amp;TEXT(INDEX(ERP資料!$G:$G, (MATCH(995, 輔助計算!$G$2:$G$801, 0)+1)),"0.##"),TEXT(INDEX(ERP資料!$G:$G, (MATCH(995, 輔助計算!$G$2:$G$801, 0)+1)),"0.##")&amp;"+"&amp;TEXT(INDEX(ERP資料!$G:$G, (MATCH(995, 輔助計算!$G$2:$G$801, 0)+1)),"0.##")&amp;"+"&amp;TEXT(INDEX(ERP資料!$G:$G, (MATCH(995, 輔助計算!$G$2:$G$801, 0)+1)),"0.##"))))&amp;"-1")), ""), "")</f>
        <v/>
      </c>
      <c r="K996" s="16" t="n"/>
      <c r="L996" s="14">
        <f>IFERROR(IF(AND(IFERROR(INDEX(ERP資料!$A:$A, (MATCH(995, 輔助計算!$G$2:$G$801, 0)+1)), "")&lt;&gt;"", IFERROR(INDEX(ERP資料!$A:$A, (MATCH(995, 輔助計算!$G$2:$G$801, 0)+1)), "")&lt;&gt;IFERROR(INDEX(ERP資料!$A:$A, MATCH(994, 輔助計算!$G$2:$G$801, 0)+1), "")), INDEX(ERP資料!$B:$B, (MATCH(995, 輔助計算!$G$2:$G$801, 0)+1)), ""), "")</f>
        <v/>
      </c>
      <c r="M996" s="17" t="n"/>
    </row>
    <row r="997">
      <c r="A997" s="10">
        <f>IFERROR(IF(AND(IFERROR(INDEX(ERP資料!$A:$A, (MATCH(996, 輔助計算!$G$2:$G$801, 0)+1)), "")&lt;&gt;"", IFERROR(INDEX(ERP資料!$A:$A, (MATCH(996, 輔助計算!$G$2:$G$801, 0)+1)), "")&lt;&gt;IFERROR(INDEX(ERP資料!$A:$A, MATCH(995, 輔助計算!$G$2:$G$801, 0)+1), "")), IFERROR(INDEX(ERP資料!$A:$A, (MATCH(996, 輔助計算!$G$2:$G$801, 0)+1)), ""), ""), "")</f>
        <v/>
      </c>
      <c r="B997" s="10">
        <f>IFERROR(IF(AND(IFERROR(INDEX(ERP資料!$A:$A, (MATCH(996, 輔助計算!$G$2:$G$801, 0)+1)), "")&lt;&gt;"", IFERROR(INDEX(ERP資料!$A:$A, (MATCH(996, 輔助計算!$G$2:$G$801, 0)+1)), "")&lt;&gt;IFERROR(INDEX(ERP資料!$A:$A, MATCH(995, 輔助計算!$G$2:$G$801, 0)+1), "")), INDEX(ERP資料!$S:$S, (MATCH(996, 輔助計算!$G$2:$G$801, 0)+1)), ""), "")</f>
        <v/>
      </c>
      <c r="C997" s="19">
        <f>IFERROR(IF(AND(IFERROR(INDEX(ERP資料!$A:$A, (MATCH(996, 輔助計算!$G$2:$G$801, 0)+1)), "")&lt;&gt;"", IFERROR(INDEX(ERP資料!$A:$A, (MATCH(996, 輔助計算!$G$2:$G$801, 0)+1)), "")&lt;&gt;IFERROR(INDEX(ERP資料!$A:$A, MATCH(995, 輔助計算!$G$2:$G$801, 0)+1), "")), IFERROR(VLOOKUP(LEFT(INDEX(ERP資料!$S:$S, (MATCH(996, 輔助計算!$G$2:$G$801, 0)+1)), 4), 紙管對照表!$A:$C, 3, FALSE), ""), ""), "")</f>
        <v/>
      </c>
      <c r="D997" s="16" t="n"/>
      <c r="E997" s="10">
        <f>IFERROR(IF(INDEX(ERP資料!$H:$H, (MATCH(996, 輔助計算!$G$2:$G$801, 0)+1))="","",INDEX(ERP資料!$H:$H, (MATCH(996, 輔助計算!$G$2:$G$801, 0)+1))), "")</f>
        <v/>
      </c>
      <c r="F997" s="10">
        <f>IFERROR(IF(INDEX(ERP資料!$E:$E, (MATCH(996, 輔助計算!$G$2:$G$801, 0)+1))="","",TRIM(INDEX(ERP資料!$E:$E, (MATCH(996, 輔助計算!$G$2:$G$801, 0)+1)))), "")</f>
        <v/>
      </c>
      <c r="G997" s="10">
        <f>IFERROR(IF(INDEX(ERP資料!$F:$F, (MATCH(996, 輔助計算!$G$2:$G$801, 0)+1))="","",INDEX(ERP資料!$F:$F, (MATCH(996, 輔助計算!$G$2:$G$801, 0)+1))), "")</f>
        <v/>
      </c>
      <c r="H997" s="10">
        <f>IFERROR(IF(INDEX(ERP資料!$G:$G, (MATCH(996, 輔助計算!$G$2:$G$801, 0)+1))="","",INDEX(ERP資料!$G:$G, (MATCH(996, 輔助計算!$G$2:$G$801, 0)+1))), "")</f>
        <v/>
      </c>
      <c r="I997" s="15">
        <f>IFERROR(INDEX(輔助計算!$D:$D, (MATCH(996, 輔助計算!$G$2:$G$801, 0)+1)), "")</f>
        <v/>
      </c>
      <c r="J997" s="15">
        <f>IFERROR(IF(AND(INDEX(輔助計算!$D:$D, (MATCH(996, 輔助計算!$G$2:$G$801, 0)+1))&lt;&gt;"", INDEX(ERP資料!$G:$G, (MATCH(996, 輔助計算!$G$2:$G$801, 0)+1))&lt;&gt;""), TRIM(IF(INT(INDEX(輔助計算!$D:$D, (MATCH(996, 輔助計算!$G$2:$G$801, 0)+1))/IF(INDEX(ERP資料!$G:$G, (MATCH(996, 輔助計算!$G$2:$G$801, 0)+1))&lt;100, IF(INDEX(ERP資料!$G:$G, (MATCH(996, 輔助計算!$G$2:$G$801, 0)+1))&lt;=31,3,IF(INDEX(ERP資料!$G:$G, (MATCH(996, 輔助計算!$G$2:$G$801, 0)+1))&lt;=46.5,2,1)), IF(INDEX(ERP資料!$G:$G, (MATCH(996, 輔助計算!$G$2:$G$801, 0)+1))&lt;=790,3,IF(INDEX(ERP資料!$G:$G, (MATCH(996, 輔助計算!$G$2:$G$801, 0)+1))&lt;=1181,2,1))))&gt;0, IF(IF(INDEX(ERP資料!$G:$G, (MATCH(996, 輔助計算!$G$2:$G$801, 0)+1))&lt;100, IF(INDEX(ERP資料!$G:$G, (MATCH(996, 輔助計算!$G$2:$G$801, 0)+1))&lt;=31,3,IF(INDEX(ERP資料!$G:$G, (MATCH(996, 輔助計算!$G$2:$G$801, 0)+1))&lt;=46.5,2,1)), IF(INDEX(ERP資料!$G:$G, (MATCH(996, 輔助計算!$G$2:$G$801, 0)+1))&lt;=790,3,IF(INDEX(ERP資料!$G:$G, (MATCH(996, 輔助計算!$G$2:$G$801, 0)+1))&lt;=1181,2,1)))=1,TEXT(INDEX(ERP資料!$G:$G, (MATCH(996, 輔助計算!$G$2:$G$801, 0)+1)),"0.##"),IF(IF(INDEX(ERP資料!$G:$G, (MATCH(996, 輔助計算!$G$2:$G$801, 0)+1))&lt;100, IF(INDEX(ERP資料!$G:$G, (MATCH(996, 輔助計算!$G$2:$G$801, 0)+1))&lt;=31,3,IF(INDEX(ERP資料!$G:$G, (MATCH(996, 輔助計算!$G$2:$G$801, 0)+1))&lt;=46.5,2,1)), IF(INDEX(ERP資料!$G:$G, (MATCH(996, 輔助計算!$G$2:$G$801, 0)+1))&lt;=790,3,IF(INDEX(ERP資料!$G:$G, (MATCH(996, 輔助計算!$G$2:$G$801, 0)+1))&lt;=1181,2,1)))=2,TEXT(INDEX(ERP資料!$G:$G, (MATCH(996, 輔助計算!$G$2:$G$801, 0)+1)),"0.##")&amp;"+"&amp;TEXT(INDEX(ERP資料!$G:$G, (MATCH(996, 輔助計算!$G$2:$G$801, 0)+1)),"0.##"),TEXT(INDEX(ERP資料!$G:$G, (MATCH(996, 輔助計算!$G$2:$G$801, 0)+1)),"0.##")&amp;"+"&amp;TEXT(INDEX(ERP資料!$G:$G, (MATCH(996, 輔助計算!$G$2:$G$801, 0)+1)),"0.##")&amp;"+"&amp;TEXT(INDEX(ERP資料!$G:$G, (MATCH(996, 輔助計算!$G$2:$G$801, 0)+1)),"0.##")))&amp;"-"&amp;INT(INDEX(輔助計算!$D:$D, (MATCH(996, 輔助計算!$G$2:$G$801, 0)+1))/IF(INDEX(ERP資料!$G:$G, (MATCH(996, 輔助計算!$G$2:$G$801, 0)+1))&lt;100, IF(INDEX(ERP資料!$G:$G, (MATCH(996, 輔助計算!$G$2:$G$801, 0)+1))&lt;=31,3,IF(INDEX(ERP資料!$G:$G, (MATCH(996, 輔助計算!$G$2:$G$801, 0)+1))&lt;=46.5,2,1)), IF(INDEX(ERP資料!$G:$G, (MATCH(996, 輔助計算!$G$2:$G$801, 0)+1))&lt;=790,3,IF(INDEX(ERP資料!$G:$G, (MATCH(996, 輔助計算!$G$2:$G$801, 0)+1))&lt;=1181,2,1)))), "")&amp;IF(AND(IF(INT(INDEX(輔助計算!$D:$D, (MATCH(996, 輔助計算!$G$2:$G$801, 0)+1))/IF(INDEX(ERP資料!$G:$G, (MATCH(996, 輔助計算!$G$2:$G$801, 0)+1))&lt;100, IF(INDEX(ERP資料!$G:$G, (MATCH(996, 輔助計算!$G$2:$G$801, 0)+1))&lt;=31,3,IF(INDEX(ERP資料!$G:$G, (MATCH(996, 輔助計算!$G$2:$G$801, 0)+1))&lt;=46.5,2,1)), IF(INDEX(ERP資料!$G:$G, (MATCH(996, 輔助計算!$G$2:$G$801, 0)+1))&lt;=790,3,IF(INDEX(ERP資料!$G:$G, (MATCH(996, 輔助計算!$G$2:$G$801, 0)+1))&lt;=1181,2,1))))&gt;0, IF(IF(INDEX(ERP資料!$G:$G, (MATCH(996, 輔助計算!$G$2:$G$801, 0)+1))&lt;100, IF(INDEX(ERP資料!$G:$G, (MATCH(996, 輔助計算!$G$2:$G$801, 0)+1))&lt;=31,3,IF(INDEX(ERP資料!$G:$G, (MATCH(996, 輔助計算!$G$2:$G$801, 0)+1))&lt;=46.5,2,1)), IF(INDEX(ERP資料!$G:$G, (MATCH(996, 輔助計算!$G$2:$G$801, 0)+1))&lt;=790,3,IF(INDEX(ERP資料!$G:$G, (MATCH(996, 輔助計算!$G$2:$G$801, 0)+1))&lt;=1181,2,1)))=1,TEXT(INDEX(ERP資料!$G:$G, (MATCH(996, 輔助計算!$G$2:$G$801, 0)+1)),"0.##"),IF(IF(INDEX(ERP資料!$G:$G, (MATCH(996, 輔助計算!$G$2:$G$801, 0)+1))&lt;100, IF(INDEX(ERP資料!$G:$G, (MATCH(996, 輔助計算!$G$2:$G$801, 0)+1))&lt;=31,3,IF(INDEX(ERP資料!$G:$G, (MATCH(996, 輔助計算!$G$2:$G$801, 0)+1))&lt;=46.5,2,1)), IF(INDEX(ERP資料!$G:$G, (MATCH(996, 輔助計算!$G$2:$G$801, 0)+1))&lt;=790,3,IF(INDEX(ERP資料!$G:$G, (MATCH(996, 輔助計算!$G$2:$G$801, 0)+1))&lt;=1181,2,1)))=2,TEXT(INDEX(ERP資料!$G:$G, (MATCH(996, 輔助計算!$G$2:$G$801, 0)+1)),"0.##")&amp;"+"&amp;TEXT(INDEX(ERP資料!$G:$G, (MATCH(996, 輔助計算!$G$2:$G$801, 0)+1)),"0.##"),TEXT(INDEX(ERP資料!$G:$G, (MATCH(996, 輔助計算!$G$2:$G$801, 0)+1)),"0.##")&amp;"+"&amp;TEXT(INDEX(ERP資料!$G:$G, (MATCH(996, 輔助計算!$G$2:$G$801, 0)+1)),"0.##")&amp;"+"&amp;TEXT(INDEX(ERP資料!$G:$G, (MATCH(996, 輔助計算!$G$2:$G$801, 0)+1)),"0.##")))&amp;"-"&amp;INT(INDEX(輔助計算!$D:$D, (MATCH(996, 輔助計算!$G$2:$G$801, 0)+1))/IF(INDEX(ERP資料!$G:$G, (MATCH(996, 輔助計算!$G$2:$G$801, 0)+1))&lt;100, IF(INDEX(ERP資料!$G:$G, (MATCH(996, 輔助計算!$G$2:$G$801, 0)+1))&lt;=31,3,IF(INDEX(ERP資料!$G:$G, (MATCH(996, 輔助計算!$G$2:$G$801, 0)+1))&lt;=46.5,2,1)), IF(INDEX(ERP資料!$G:$G, (MATCH(996, 輔助計算!$G$2:$G$801, 0)+1))&lt;=790,3,IF(INDEX(ERP資料!$G:$G, (MATCH(996, 輔助計算!$G$2:$G$801, 0)+1))&lt;=1181,2,1)))), "")&lt;&gt;"",IF(MOD(INDEX(輔助計算!$D:$D, (MATCH(996, 輔助計算!$G$2:$G$801, 0)+1)),IF(INDEX(ERP資料!$G:$G, (MATCH(996, 輔助計算!$G$2:$G$801, 0)+1))&lt;100, IF(INDEX(ERP資料!$G:$G, (MATCH(996, 輔助計算!$G$2:$G$801, 0)+1))&lt;=31,3,IF(INDEX(ERP資料!$G:$G, (MATCH(996, 輔助計算!$G$2:$G$801, 0)+1))&lt;=46.5,2,1)), IF(INDEX(ERP資料!$G:$G, (MATCH(996, 輔助計算!$G$2:$G$801, 0)+1))&lt;=790,3,IF(INDEX(ERP資料!$G:$G, (MATCH(996, 輔助計算!$G$2:$G$801, 0)+1))&lt;=1181,2,1))))=0,"",IF(MOD(INDEX(輔助計算!$D:$D, (MATCH(996, 輔助計算!$G$2:$G$801, 0)+1)),IF(INDEX(ERP資料!$G:$G, (MATCH(996, 輔助計算!$G$2:$G$801, 0)+1))&lt;100, IF(INDEX(ERP資料!$G:$G, (MATCH(996, 輔助計算!$G$2:$G$801, 0)+1))&lt;=31,3,IF(INDEX(ERP資料!$G:$G, (MATCH(996, 輔助計算!$G$2:$G$801, 0)+1))&lt;=46.5,2,1)), IF(INDEX(ERP資料!$G:$G, (MATCH(996, 輔助計算!$G$2:$G$801, 0)+1))&lt;=790,3,IF(INDEX(ERP資料!$G:$G, (MATCH(996, 輔助計算!$G$2:$G$801, 0)+1))&lt;=1181,2,1))))=0,"",IF(MOD(INDEX(輔助計算!$D:$D, (MATCH(996, 輔助計算!$G$2:$G$801, 0)+1)),IF(INDEX(ERP資料!$G:$G, (MATCH(996, 輔助計算!$G$2:$G$801, 0)+1))&lt;100, IF(INDEX(ERP資料!$G:$G, (MATCH(996, 輔助計算!$G$2:$G$801, 0)+1))&lt;=31,3,IF(INDEX(ERP資料!$G:$G, (MATCH(996, 輔助計算!$G$2:$G$801, 0)+1))&lt;=46.5,2,1)), IF(INDEX(ERP資料!$G:$G, (MATCH(996, 輔助計算!$G$2:$G$801, 0)+1))&lt;=790,3,IF(INDEX(ERP資料!$G:$G, (MATCH(996, 輔助計算!$G$2:$G$801, 0)+1))&lt;=1181,2,1))))=1,TEXT(INDEX(ERP資料!$G:$G, (MATCH(996, 輔助計算!$G$2:$G$801, 0)+1)),"0.##"),IF(MOD(INDEX(輔助計算!$D:$D, (MATCH(996, 輔助計算!$G$2:$G$801, 0)+1)),IF(INDEX(ERP資料!$G:$G, (MATCH(996, 輔助計算!$G$2:$G$801, 0)+1))&lt;100, IF(INDEX(ERP資料!$G:$G, (MATCH(996, 輔助計算!$G$2:$G$801, 0)+1))&lt;=31,3,IF(INDEX(ERP資料!$G:$G, (MATCH(996, 輔助計算!$G$2:$G$801, 0)+1))&lt;=46.5,2,1)), IF(INDEX(ERP資料!$G:$G, (MATCH(996, 輔助計算!$G$2:$G$801, 0)+1))&lt;=790,3,IF(INDEX(ERP資料!$G:$G, (MATCH(996, 輔助計算!$G$2:$G$801, 0)+1))&lt;=1181,2,1))))=2,TEXT(INDEX(ERP資料!$G:$G, (MATCH(996, 輔助計算!$G$2:$G$801, 0)+1)),"0.##")&amp;"+"&amp;TEXT(INDEX(ERP資料!$G:$G, (MATCH(996, 輔助計算!$G$2:$G$801, 0)+1)),"0.##"),TEXT(INDEX(ERP資料!$G:$G, (MATCH(996, 輔助計算!$G$2:$G$801, 0)+1)),"0.##")&amp;"+"&amp;TEXT(INDEX(ERP資料!$G:$G, (MATCH(996, 輔助計算!$G$2:$G$801, 0)+1)),"0.##")&amp;"+"&amp;TEXT(INDEX(ERP資料!$G:$G, (MATCH(996, 輔助計算!$G$2:$G$801, 0)+1)),"0.##"))))&amp;"-1")&lt;&gt;""),"  ","")&amp;IF(MOD(INDEX(輔助計算!$D:$D, (MATCH(996, 輔助計算!$G$2:$G$801, 0)+1)),IF(INDEX(ERP資料!$G:$G, (MATCH(996, 輔助計算!$G$2:$G$801, 0)+1))&lt;100, IF(INDEX(ERP資料!$G:$G, (MATCH(996, 輔助計算!$G$2:$G$801, 0)+1))&lt;=31,3,IF(INDEX(ERP資料!$G:$G, (MATCH(996, 輔助計算!$G$2:$G$801, 0)+1))&lt;=46.5,2,1)), IF(INDEX(ERP資料!$G:$G, (MATCH(996, 輔助計算!$G$2:$G$801, 0)+1))&lt;=790,3,IF(INDEX(ERP資料!$G:$G, (MATCH(996, 輔助計算!$G$2:$G$801, 0)+1))&lt;=1181,2,1))))=0,"",IF(MOD(INDEX(輔助計算!$D:$D, (MATCH(996, 輔助計算!$G$2:$G$801, 0)+1)),IF(INDEX(ERP資料!$G:$G, (MATCH(996, 輔助計算!$G$2:$G$801, 0)+1))&lt;100, IF(INDEX(ERP資料!$G:$G, (MATCH(996, 輔助計算!$G$2:$G$801, 0)+1))&lt;=31,3,IF(INDEX(ERP資料!$G:$G, (MATCH(996, 輔助計算!$G$2:$G$801, 0)+1))&lt;=46.5,2,1)), IF(INDEX(ERP資料!$G:$G, (MATCH(996, 輔助計算!$G$2:$G$801, 0)+1))&lt;=790,3,IF(INDEX(ERP資料!$G:$G, (MATCH(996, 輔助計算!$G$2:$G$801, 0)+1))&lt;=1181,2,1))))=0,"",IF(MOD(INDEX(輔助計算!$D:$D, (MATCH(996, 輔助計算!$G$2:$G$801, 0)+1)),IF(INDEX(ERP資料!$G:$G, (MATCH(996, 輔助計算!$G$2:$G$801, 0)+1))&lt;100, IF(INDEX(ERP資料!$G:$G, (MATCH(996, 輔助計算!$G$2:$G$801, 0)+1))&lt;=31,3,IF(INDEX(ERP資料!$G:$G, (MATCH(996, 輔助計算!$G$2:$G$801, 0)+1))&lt;=46.5,2,1)), IF(INDEX(ERP資料!$G:$G, (MATCH(996, 輔助計算!$G$2:$G$801, 0)+1))&lt;=790,3,IF(INDEX(ERP資料!$G:$G, (MATCH(996, 輔助計算!$G$2:$G$801, 0)+1))&lt;=1181,2,1))))=1,TEXT(INDEX(ERP資料!$G:$G, (MATCH(996, 輔助計算!$G$2:$G$801, 0)+1)),"0.##"),IF(MOD(INDEX(輔助計算!$D:$D, (MATCH(996, 輔助計算!$G$2:$G$801, 0)+1)),IF(INDEX(ERP資料!$G:$G, (MATCH(996, 輔助計算!$G$2:$G$801, 0)+1))&lt;100, IF(INDEX(ERP資料!$G:$G, (MATCH(996, 輔助計算!$G$2:$G$801, 0)+1))&lt;=31,3,IF(INDEX(ERP資料!$G:$G, (MATCH(996, 輔助計算!$G$2:$G$801, 0)+1))&lt;=46.5,2,1)), IF(INDEX(ERP資料!$G:$G, (MATCH(996, 輔助計算!$G$2:$G$801, 0)+1))&lt;=790,3,IF(INDEX(ERP資料!$G:$G, (MATCH(996, 輔助計算!$G$2:$G$801, 0)+1))&lt;=1181,2,1))))=2,TEXT(INDEX(ERP資料!$G:$G, (MATCH(996, 輔助計算!$G$2:$G$801, 0)+1)),"0.##")&amp;"+"&amp;TEXT(INDEX(ERP資料!$G:$G, (MATCH(996, 輔助計算!$G$2:$G$801, 0)+1)),"0.##"),TEXT(INDEX(ERP資料!$G:$G, (MATCH(996, 輔助計算!$G$2:$G$801, 0)+1)),"0.##")&amp;"+"&amp;TEXT(INDEX(ERP資料!$G:$G, (MATCH(996, 輔助計算!$G$2:$G$801, 0)+1)),"0.##")&amp;"+"&amp;TEXT(INDEX(ERP資料!$G:$G, (MATCH(996, 輔助計算!$G$2:$G$801, 0)+1)),"0.##"))))&amp;"-1")), ""), "")</f>
        <v/>
      </c>
      <c r="K997" s="16" t="n"/>
      <c r="L997" s="14">
        <f>IFERROR(IF(AND(IFERROR(INDEX(ERP資料!$A:$A, (MATCH(996, 輔助計算!$G$2:$G$801, 0)+1)), "")&lt;&gt;"", IFERROR(INDEX(ERP資料!$A:$A, (MATCH(996, 輔助計算!$G$2:$G$801, 0)+1)), "")&lt;&gt;IFERROR(INDEX(ERP資料!$A:$A, MATCH(995, 輔助計算!$G$2:$G$801, 0)+1), "")), INDEX(ERP資料!$B:$B, (MATCH(996, 輔助計算!$G$2:$G$801, 0)+1)), ""), "")</f>
        <v/>
      </c>
      <c r="M997" s="17" t="n"/>
    </row>
    <row r="998">
      <c r="A998" s="10">
        <f>IFERROR(IF(AND(IFERROR(INDEX(ERP資料!$A:$A, (MATCH(997, 輔助計算!$G$2:$G$801, 0)+1)), "")&lt;&gt;"", IFERROR(INDEX(ERP資料!$A:$A, (MATCH(997, 輔助計算!$G$2:$G$801, 0)+1)), "")&lt;&gt;IFERROR(INDEX(ERP資料!$A:$A, MATCH(996, 輔助計算!$G$2:$G$801, 0)+1), "")), IFERROR(INDEX(ERP資料!$A:$A, (MATCH(997, 輔助計算!$G$2:$G$801, 0)+1)), ""), ""), "")</f>
        <v/>
      </c>
      <c r="B998" s="10">
        <f>IFERROR(IF(AND(IFERROR(INDEX(ERP資料!$A:$A, (MATCH(997, 輔助計算!$G$2:$G$801, 0)+1)), "")&lt;&gt;"", IFERROR(INDEX(ERP資料!$A:$A, (MATCH(997, 輔助計算!$G$2:$G$801, 0)+1)), "")&lt;&gt;IFERROR(INDEX(ERP資料!$A:$A, MATCH(996, 輔助計算!$G$2:$G$801, 0)+1), "")), INDEX(ERP資料!$S:$S, (MATCH(997, 輔助計算!$G$2:$G$801, 0)+1)), ""), "")</f>
        <v/>
      </c>
      <c r="C998" s="19">
        <f>IFERROR(IF(AND(IFERROR(INDEX(ERP資料!$A:$A, (MATCH(997, 輔助計算!$G$2:$G$801, 0)+1)), "")&lt;&gt;"", IFERROR(INDEX(ERP資料!$A:$A, (MATCH(997, 輔助計算!$G$2:$G$801, 0)+1)), "")&lt;&gt;IFERROR(INDEX(ERP資料!$A:$A, MATCH(996, 輔助計算!$G$2:$G$801, 0)+1), "")), IFERROR(VLOOKUP(LEFT(INDEX(ERP資料!$S:$S, (MATCH(997, 輔助計算!$G$2:$G$801, 0)+1)), 4), 紙管對照表!$A:$C, 3, FALSE), ""), ""), "")</f>
        <v/>
      </c>
      <c r="D998" s="16" t="n"/>
      <c r="E998" s="10">
        <f>IFERROR(IF(INDEX(ERP資料!$H:$H, (MATCH(997, 輔助計算!$G$2:$G$801, 0)+1))="","",INDEX(ERP資料!$H:$H, (MATCH(997, 輔助計算!$G$2:$G$801, 0)+1))), "")</f>
        <v/>
      </c>
      <c r="F998" s="10">
        <f>IFERROR(IF(INDEX(ERP資料!$E:$E, (MATCH(997, 輔助計算!$G$2:$G$801, 0)+1))="","",TRIM(INDEX(ERP資料!$E:$E, (MATCH(997, 輔助計算!$G$2:$G$801, 0)+1)))), "")</f>
        <v/>
      </c>
      <c r="G998" s="10">
        <f>IFERROR(IF(INDEX(ERP資料!$F:$F, (MATCH(997, 輔助計算!$G$2:$G$801, 0)+1))="","",INDEX(ERP資料!$F:$F, (MATCH(997, 輔助計算!$G$2:$G$801, 0)+1))), "")</f>
        <v/>
      </c>
      <c r="H998" s="10">
        <f>IFERROR(IF(INDEX(ERP資料!$G:$G, (MATCH(997, 輔助計算!$G$2:$G$801, 0)+1))="","",INDEX(ERP資料!$G:$G, (MATCH(997, 輔助計算!$G$2:$G$801, 0)+1))), "")</f>
        <v/>
      </c>
      <c r="I998" s="15">
        <f>IFERROR(INDEX(輔助計算!$D:$D, (MATCH(997, 輔助計算!$G$2:$G$801, 0)+1)), "")</f>
        <v/>
      </c>
      <c r="J998" s="15">
        <f>IFERROR(IF(AND(INDEX(輔助計算!$D:$D, (MATCH(997, 輔助計算!$G$2:$G$801, 0)+1))&lt;&gt;"", INDEX(ERP資料!$G:$G, (MATCH(997, 輔助計算!$G$2:$G$801, 0)+1))&lt;&gt;""), TRIM(IF(INT(INDEX(輔助計算!$D:$D, (MATCH(997, 輔助計算!$G$2:$G$801, 0)+1))/IF(INDEX(ERP資料!$G:$G, (MATCH(997, 輔助計算!$G$2:$G$801, 0)+1))&lt;100, IF(INDEX(ERP資料!$G:$G, (MATCH(997, 輔助計算!$G$2:$G$801, 0)+1))&lt;=31,3,IF(INDEX(ERP資料!$G:$G, (MATCH(997, 輔助計算!$G$2:$G$801, 0)+1))&lt;=46.5,2,1)), IF(INDEX(ERP資料!$G:$G, (MATCH(997, 輔助計算!$G$2:$G$801, 0)+1))&lt;=790,3,IF(INDEX(ERP資料!$G:$G, (MATCH(997, 輔助計算!$G$2:$G$801, 0)+1))&lt;=1181,2,1))))&gt;0, IF(IF(INDEX(ERP資料!$G:$G, (MATCH(997, 輔助計算!$G$2:$G$801, 0)+1))&lt;100, IF(INDEX(ERP資料!$G:$G, (MATCH(997, 輔助計算!$G$2:$G$801, 0)+1))&lt;=31,3,IF(INDEX(ERP資料!$G:$G, (MATCH(997, 輔助計算!$G$2:$G$801, 0)+1))&lt;=46.5,2,1)), IF(INDEX(ERP資料!$G:$G, (MATCH(997, 輔助計算!$G$2:$G$801, 0)+1))&lt;=790,3,IF(INDEX(ERP資料!$G:$G, (MATCH(997, 輔助計算!$G$2:$G$801, 0)+1))&lt;=1181,2,1)))=1,TEXT(INDEX(ERP資料!$G:$G, (MATCH(997, 輔助計算!$G$2:$G$801, 0)+1)),"0.##"),IF(IF(INDEX(ERP資料!$G:$G, (MATCH(997, 輔助計算!$G$2:$G$801, 0)+1))&lt;100, IF(INDEX(ERP資料!$G:$G, (MATCH(997, 輔助計算!$G$2:$G$801, 0)+1))&lt;=31,3,IF(INDEX(ERP資料!$G:$G, (MATCH(997, 輔助計算!$G$2:$G$801, 0)+1))&lt;=46.5,2,1)), IF(INDEX(ERP資料!$G:$G, (MATCH(997, 輔助計算!$G$2:$G$801, 0)+1))&lt;=790,3,IF(INDEX(ERP資料!$G:$G, (MATCH(997, 輔助計算!$G$2:$G$801, 0)+1))&lt;=1181,2,1)))=2,TEXT(INDEX(ERP資料!$G:$G, (MATCH(997, 輔助計算!$G$2:$G$801, 0)+1)),"0.##")&amp;"+"&amp;TEXT(INDEX(ERP資料!$G:$G, (MATCH(997, 輔助計算!$G$2:$G$801, 0)+1)),"0.##"),TEXT(INDEX(ERP資料!$G:$G, (MATCH(997, 輔助計算!$G$2:$G$801, 0)+1)),"0.##")&amp;"+"&amp;TEXT(INDEX(ERP資料!$G:$G, (MATCH(997, 輔助計算!$G$2:$G$801, 0)+1)),"0.##")&amp;"+"&amp;TEXT(INDEX(ERP資料!$G:$G, (MATCH(997, 輔助計算!$G$2:$G$801, 0)+1)),"0.##")))&amp;"-"&amp;INT(INDEX(輔助計算!$D:$D, (MATCH(997, 輔助計算!$G$2:$G$801, 0)+1))/IF(INDEX(ERP資料!$G:$G, (MATCH(997, 輔助計算!$G$2:$G$801, 0)+1))&lt;100, IF(INDEX(ERP資料!$G:$G, (MATCH(997, 輔助計算!$G$2:$G$801, 0)+1))&lt;=31,3,IF(INDEX(ERP資料!$G:$G, (MATCH(997, 輔助計算!$G$2:$G$801, 0)+1))&lt;=46.5,2,1)), IF(INDEX(ERP資料!$G:$G, (MATCH(997, 輔助計算!$G$2:$G$801, 0)+1))&lt;=790,3,IF(INDEX(ERP資料!$G:$G, (MATCH(997, 輔助計算!$G$2:$G$801, 0)+1))&lt;=1181,2,1)))), "")&amp;IF(AND(IF(INT(INDEX(輔助計算!$D:$D, (MATCH(997, 輔助計算!$G$2:$G$801, 0)+1))/IF(INDEX(ERP資料!$G:$G, (MATCH(997, 輔助計算!$G$2:$G$801, 0)+1))&lt;100, IF(INDEX(ERP資料!$G:$G, (MATCH(997, 輔助計算!$G$2:$G$801, 0)+1))&lt;=31,3,IF(INDEX(ERP資料!$G:$G, (MATCH(997, 輔助計算!$G$2:$G$801, 0)+1))&lt;=46.5,2,1)), IF(INDEX(ERP資料!$G:$G, (MATCH(997, 輔助計算!$G$2:$G$801, 0)+1))&lt;=790,3,IF(INDEX(ERP資料!$G:$G, (MATCH(997, 輔助計算!$G$2:$G$801, 0)+1))&lt;=1181,2,1))))&gt;0, IF(IF(INDEX(ERP資料!$G:$G, (MATCH(997, 輔助計算!$G$2:$G$801, 0)+1))&lt;100, IF(INDEX(ERP資料!$G:$G, (MATCH(997, 輔助計算!$G$2:$G$801, 0)+1))&lt;=31,3,IF(INDEX(ERP資料!$G:$G, (MATCH(997, 輔助計算!$G$2:$G$801, 0)+1))&lt;=46.5,2,1)), IF(INDEX(ERP資料!$G:$G, (MATCH(997, 輔助計算!$G$2:$G$801, 0)+1))&lt;=790,3,IF(INDEX(ERP資料!$G:$G, (MATCH(997, 輔助計算!$G$2:$G$801, 0)+1))&lt;=1181,2,1)))=1,TEXT(INDEX(ERP資料!$G:$G, (MATCH(997, 輔助計算!$G$2:$G$801, 0)+1)),"0.##"),IF(IF(INDEX(ERP資料!$G:$G, (MATCH(997, 輔助計算!$G$2:$G$801, 0)+1))&lt;100, IF(INDEX(ERP資料!$G:$G, (MATCH(997, 輔助計算!$G$2:$G$801, 0)+1))&lt;=31,3,IF(INDEX(ERP資料!$G:$G, (MATCH(997, 輔助計算!$G$2:$G$801, 0)+1))&lt;=46.5,2,1)), IF(INDEX(ERP資料!$G:$G, (MATCH(997, 輔助計算!$G$2:$G$801, 0)+1))&lt;=790,3,IF(INDEX(ERP資料!$G:$G, (MATCH(997, 輔助計算!$G$2:$G$801, 0)+1))&lt;=1181,2,1)))=2,TEXT(INDEX(ERP資料!$G:$G, (MATCH(997, 輔助計算!$G$2:$G$801, 0)+1)),"0.##")&amp;"+"&amp;TEXT(INDEX(ERP資料!$G:$G, (MATCH(997, 輔助計算!$G$2:$G$801, 0)+1)),"0.##"),TEXT(INDEX(ERP資料!$G:$G, (MATCH(997, 輔助計算!$G$2:$G$801, 0)+1)),"0.##")&amp;"+"&amp;TEXT(INDEX(ERP資料!$G:$G, (MATCH(997, 輔助計算!$G$2:$G$801, 0)+1)),"0.##")&amp;"+"&amp;TEXT(INDEX(ERP資料!$G:$G, (MATCH(997, 輔助計算!$G$2:$G$801, 0)+1)),"0.##")))&amp;"-"&amp;INT(INDEX(輔助計算!$D:$D, (MATCH(997, 輔助計算!$G$2:$G$801, 0)+1))/IF(INDEX(ERP資料!$G:$G, (MATCH(997, 輔助計算!$G$2:$G$801, 0)+1))&lt;100, IF(INDEX(ERP資料!$G:$G, (MATCH(997, 輔助計算!$G$2:$G$801, 0)+1))&lt;=31,3,IF(INDEX(ERP資料!$G:$G, (MATCH(997, 輔助計算!$G$2:$G$801, 0)+1))&lt;=46.5,2,1)), IF(INDEX(ERP資料!$G:$G, (MATCH(997, 輔助計算!$G$2:$G$801, 0)+1))&lt;=790,3,IF(INDEX(ERP資料!$G:$G, (MATCH(997, 輔助計算!$G$2:$G$801, 0)+1))&lt;=1181,2,1)))), "")&lt;&gt;"",IF(MOD(INDEX(輔助計算!$D:$D, (MATCH(997, 輔助計算!$G$2:$G$801, 0)+1)),IF(INDEX(ERP資料!$G:$G, (MATCH(997, 輔助計算!$G$2:$G$801, 0)+1))&lt;100, IF(INDEX(ERP資料!$G:$G, (MATCH(997, 輔助計算!$G$2:$G$801, 0)+1))&lt;=31,3,IF(INDEX(ERP資料!$G:$G, (MATCH(997, 輔助計算!$G$2:$G$801, 0)+1))&lt;=46.5,2,1)), IF(INDEX(ERP資料!$G:$G, (MATCH(997, 輔助計算!$G$2:$G$801, 0)+1))&lt;=790,3,IF(INDEX(ERP資料!$G:$G, (MATCH(997, 輔助計算!$G$2:$G$801, 0)+1))&lt;=1181,2,1))))=0,"",IF(MOD(INDEX(輔助計算!$D:$D, (MATCH(997, 輔助計算!$G$2:$G$801, 0)+1)),IF(INDEX(ERP資料!$G:$G, (MATCH(997, 輔助計算!$G$2:$G$801, 0)+1))&lt;100, IF(INDEX(ERP資料!$G:$G, (MATCH(997, 輔助計算!$G$2:$G$801, 0)+1))&lt;=31,3,IF(INDEX(ERP資料!$G:$G, (MATCH(997, 輔助計算!$G$2:$G$801, 0)+1))&lt;=46.5,2,1)), IF(INDEX(ERP資料!$G:$G, (MATCH(997, 輔助計算!$G$2:$G$801, 0)+1))&lt;=790,3,IF(INDEX(ERP資料!$G:$G, (MATCH(997, 輔助計算!$G$2:$G$801, 0)+1))&lt;=1181,2,1))))=0,"",IF(MOD(INDEX(輔助計算!$D:$D, (MATCH(997, 輔助計算!$G$2:$G$801, 0)+1)),IF(INDEX(ERP資料!$G:$G, (MATCH(997, 輔助計算!$G$2:$G$801, 0)+1))&lt;100, IF(INDEX(ERP資料!$G:$G, (MATCH(997, 輔助計算!$G$2:$G$801, 0)+1))&lt;=31,3,IF(INDEX(ERP資料!$G:$G, (MATCH(997, 輔助計算!$G$2:$G$801, 0)+1))&lt;=46.5,2,1)), IF(INDEX(ERP資料!$G:$G, (MATCH(997, 輔助計算!$G$2:$G$801, 0)+1))&lt;=790,3,IF(INDEX(ERP資料!$G:$G, (MATCH(997, 輔助計算!$G$2:$G$801, 0)+1))&lt;=1181,2,1))))=1,TEXT(INDEX(ERP資料!$G:$G, (MATCH(997, 輔助計算!$G$2:$G$801, 0)+1)),"0.##"),IF(MOD(INDEX(輔助計算!$D:$D, (MATCH(997, 輔助計算!$G$2:$G$801, 0)+1)),IF(INDEX(ERP資料!$G:$G, (MATCH(997, 輔助計算!$G$2:$G$801, 0)+1))&lt;100, IF(INDEX(ERP資料!$G:$G, (MATCH(997, 輔助計算!$G$2:$G$801, 0)+1))&lt;=31,3,IF(INDEX(ERP資料!$G:$G, (MATCH(997, 輔助計算!$G$2:$G$801, 0)+1))&lt;=46.5,2,1)), IF(INDEX(ERP資料!$G:$G, (MATCH(997, 輔助計算!$G$2:$G$801, 0)+1))&lt;=790,3,IF(INDEX(ERP資料!$G:$G, (MATCH(997, 輔助計算!$G$2:$G$801, 0)+1))&lt;=1181,2,1))))=2,TEXT(INDEX(ERP資料!$G:$G, (MATCH(997, 輔助計算!$G$2:$G$801, 0)+1)),"0.##")&amp;"+"&amp;TEXT(INDEX(ERP資料!$G:$G, (MATCH(997, 輔助計算!$G$2:$G$801, 0)+1)),"0.##"),TEXT(INDEX(ERP資料!$G:$G, (MATCH(997, 輔助計算!$G$2:$G$801, 0)+1)),"0.##")&amp;"+"&amp;TEXT(INDEX(ERP資料!$G:$G, (MATCH(997, 輔助計算!$G$2:$G$801, 0)+1)),"0.##")&amp;"+"&amp;TEXT(INDEX(ERP資料!$G:$G, (MATCH(997, 輔助計算!$G$2:$G$801, 0)+1)),"0.##"))))&amp;"-1")&lt;&gt;""),"  ","")&amp;IF(MOD(INDEX(輔助計算!$D:$D, (MATCH(997, 輔助計算!$G$2:$G$801, 0)+1)),IF(INDEX(ERP資料!$G:$G, (MATCH(997, 輔助計算!$G$2:$G$801, 0)+1))&lt;100, IF(INDEX(ERP資料!$G:$G, (MATCH(997, 輔助計算!$G$2:$G$801, 0)+1))&lt;=31,3,IF(INDEX(ERP資料!$G:$G, (MATCH(997, 輔助計算!$G$2:$G$801, 0)+1))&lt;=46.5,2,1)), IF(INDEX(ERP資料!$G:$G, (MATCH(997, 輔助計算!$G$2:$G$801, 0)+1))&lt;=790,3,IF(INDEX(ERP資料!$G:$G, (MATCH(997, 輔助計算!$G$2:$G$801, 0)+1))&lt;=1181,2,1))))=0,"",IF(MOD(INDEX(輔助計算!$D:$D, (MATCH(997, 輔助計算!$G$2:$G$801, 0)+1)),IF(INDEX(ERP資料!$G:$G, (MATCH(997, 輔助計算!$G$2:$G$801, 0)+1))&lt;100, IF(INDEX(ERP資料!$G:$G, (MATCH(997, 輔助計算!$G$2:$G$801, 0)+1))&lt;=31,3,IF(INDEX(ERP資料!$G:$G, (MATCH(997, 輔助計算!$G$2:$G$801, 0)+1))&lt;=46.5,2,1)), IF(INDEX(ERP資料!$G:$G, (MATCH(997, 輔助計算!$G$2:$G$801, 0)+1))&lt;=790,3,IF(INDEX(ERP資料!$G:$G, (MATCH(997, 輔助計算!$G$2:$G$801, 0)+1))&lt;=1181,2,1))))=0,"",IF(MOD(INDEX(輔助計算!$D:$D, (MATCH(997, 輔助計算!$G$2:$G$801, 0)+1)),IF(INDEX(ERP資料!$G:$G, (MATCH(997, 輔助計算!$G$2:$G$801, 0)+1))&lt;100, IF(INDEX(ERP資料!$G:$G, (MATCH(997, 輔助計算!$G$2:$G$801, 0)+1))&lt;=31,3,IF(INDEX(ERP資料!$G:$G, (MATCH(997, 輔助計算!$G$2:$G$801, 0)+1))&lt;=46.5,2,1)), IF(INDEX(ERP資料!$G:$G, (MATCH(997, 輔助計算!$G$2:$G$801, 0)+1))&lt;=790,3,IF(INDEX(ERP資料!$G:$G, (MATCH(997, 輔助計算!$G$2:$G$801, 0)+1))&lt;=1181,2,1))))=1,TEXT(INDEX(ERP資料!$G:$G, (MATCH(997, 輔助計算!$G$2:$G$801, 0)+1)),"0.##"),IF(MOD(INDEX(輔助計算!$D:$D, (MATCH(997, 輔助計算!$G$2:$G$801, 0)+1)),IF(INDEX(ERP資料!$G:$G, (MATCH(997, 輔助計算!$G$2:$G$801, 0)+1))&lt;100, IF(INDEX(ERP資料!$G:$G, (MATCH(997, 輔助計算!$G$2:$G$801, 0)+1))&lt;=31,3,IF(INDEX(ERP資料!$G:$G, (MATCH(997, 輔助計算!$G$2:$G$801, 0)+1))&lt;=46.5,2,1)), IF(INDEX(ERP資料!$G:$G, (MATCH(997, 輔助計算!$G$2:$G$801, 0)+1))&lt;=790,3,IF(INDEX(ERP資料!$G:$G, (MATCH(997, 輔助計算!$G$2:$G$801, 0)+1))&lt;=1181,2,1))))=2,TEXT(INDEX(ERP資料!$G:$G, (MATCH(997, 輔助計算!$G$2:$G$801, 0)+1)),"0.##")&amp;"+"&amp;TEXT(INDEX(ERP資料!$G:$G, (MATCH(997, 輔助計算!$G$2:$G$801, 0)+1)),"0.##"),TEXT(INDEX(ERP資料!$G:$G, (MATCH(997, 輔助計算!$G$2:$G$801, 0)+1)),"0.##")&amp;"+"&amp;TEXT(INDEX(ERP資料!$G:$G, (MATCH(997, 輔助計算!$G$2:$G$801, 0)+1)),"0.##")&amp;"+"&amp;TEXT(INDEX(ERP資料!$G:$G, (MATCH(997, 輔助計算!$G$2:$G$801, 0)+1)),"0.##"))))&amp;"-1")), ""), "")</f>
        <v/>
      </c>
      <c r="K998" s="16" t="n"/>
      <c r="L998" s="14">
        <f>IFERROR(IF(AND(IFERROR(INDEX(ERP資料!$A:$A, (MATCH(997, 輔助計算!$G$2:$G$801, 0)+1)), "")&lt;&gt;"", IFERROR(INDEX(ERP資料!$A:$A, (MATCH(997, 輔助計算!$G$2:$G$801, 0)+1)), "")&lt;&gt;IFERROR(INDEX(ERP資料!$A:$A, MATCH(996, 輔助計算!$G$2:$G$801, 0)+1), "")), INDEX(ERP資料!$B:$B, (MATCH(997, 輔助計算!$G$2:$G$801, 0)+1)), ""), "")</f>
        <v/>
      </c>
      <c r="M998" s="17" t="n"/>
    </row>
    <row r="999">
      <c r="A999" s="10">
        <f>IFERROR(IF(AND(IFERROR(INDEX(ERP資料!$A:$A, (MATCH(998, 輔助計算!$G$2:$G$801, 0)+1)), "")&lt;&gt;"", IFERROR(INDEX(ERP資料!$A:$A, (MATCH(998, 輔助計算!$G$2:$G$801, 0)+1)), "")&lt;&gt;IFERROR(INDEX(ERP資料!$A:$A, MATCH(997, 輔助計算!$G$2:$G$801, 0)+1), "")), IFERROR(INDEX(ERP資料!$A:$A, (MATCH(998, 輔助計算!$G$2:$G$801, 0)+1)), ""), ""), "")</f>
        <v/>
      </c>
      <c r="B999" s="10">
        <f>IFERROR(IF(AND(IFERROR(INDEX(ERP資料!$A:$A, (MATCH(998, 輔助計算!$G$2:$G$801, 0)+1)), "")&lt;&gt;"", IFERROR(INDEX(ERP資料!$A:$A, (MATCH(998, 輔助計算!$G$2:$G$801, 0)+1)), "")&lt;&gt;IFERROR(INDEX(ERP資料!$A:$A, MATCH(997, 輔助計算!$G$2:$G$801, 0)+1), "")), INDEX(ERP資料!$S:$S, (MATCH(998, 輔助計算!$G$2:$G$801, 0)+1)), ""), "")</f>
        <v/>
      </c>
      <c r="C999" s="19">
        <f>IFERROR(IF(AND(IFERROR(INDEX(ERP資料!$A:$A, (MATCH(998, 輔助計算!$G$2:$G$801, 0)+1)), "")&lt;&gt;"", IFERROR(INDEX(ERP資料!$A:$A, (MATCH(998, 輔助計算!$G$2:$G$801, 0)+1)), "")&lt;&gt;IFERROR(INDEX(ERP資料!$A:$A, MATCH(997, 輔助計算!$G$2:$G$801, 0)+1), "")), IFERROR(VLOOKUP(LEFT(INDEX(ERP資料!$S:$S, (MATCH(998, 輔助計算!$G$2:$G$801, 0)+1)), 4), 紙管對照表!$A:$C, 3, FALSE), ""), ""), "")</f>
        <v/>
      </c>
      <c r="D999" s="16" t="n"/>
      <c r="E999" s="10">
        <f>IFERROR(IF(INDEX(ERP資料!$H:$H, (MATCH(998, 輔助計算!$G$2:$G$801, 0)+1))="","",INDEX(ERP資料!$H:$H, (MATCH(998, 輔助計算!$G$2:$G$801, 0)+1))), "")</f>
        <v/>
      </c>
      <c r="F999" s="10">
        <f>IFERROR(IF(INDEX(ERP資料!$E:$E, (MATCH(998, 輔助計算!$G$2:$G$801, 0)+1))="","",TRIM(INDEX(ERP資料!$E:$E, (MATCH(998, 輔助計算!$G$2:$G$801, 0)+1)))), "")</f>
        <v/>
      </c>
      <c r="G999" s="10">
        <f>IFERROR(IF(INDEX(ERP資料!$F:$F, (MATCH(998, 輔助計算!$G$2:$G$801, 0)+1))="","",INDEX(ERP資料!$F:$F, (MATCH(998, 輔助計算!$G$2:$G$801, 0)+1))), "")</f>
        <v/>
      </c>
      <c r="H999" s="10">
        <f>IFERROR(IF(INDEX(ERP資料!$G:$G, (MATCH(998, 輔助計算!$G$2:$G$801, 0)+1))="","",INDEX(ERP資料!$G:$G, (MATCH(998, 輔助計算!$G$2:$G$801, 0)+1))), "")</f>
        <v/>
      </c>
      <c r="I999" s="15">
        <f>IFERROR(INDEX(輔助計算!$D:$D, (MATCH(998, 輔助計算!$G$2:$G$801, 0)+1)), "")</f>
        <v/>
      </c>
      <c r="J999" s="15">
        <f>IFERROR(IF(AND(INDEX(輔助計算!$D:$D, (MATCH(998, 輔助計算!$G$2:$G$801, 0)+1))&lt;&gt;"", INDEX(ERP資料!$G:$G, (MATCH(998, 輔助計算!$G$2:$G$801, 0)+1))&lt;&gt;""), TRIM(IF(INT(INDEX(輔助計算!$D:$D, (MATCH(998, 輔助計算!$G$2:$G$801, 0)+1))/IF(INDEX(ERP資料!$G:$G, (MATCH(998, 輔助計算!$G$2:$G$801, 0)+1))&lt;100, IF(INDEX(ERP資料!$G:$G, (MATCH(998, 輔助計算!$G$2:$G$801, 0)+1))&lt;=31,3,IF(INDEX(ERP資料!$G:$G, (MATCH(998, 輔助計算!$G$2:$G$801, 0)+1))&lt;=46.5,2,1)), IF(INDEX(ERP資料!$G:$G, (MATCH(998, 輔助計算!$G$2:$G$801, 0)+1))&lt;=790,3,IF(INDEX(ERP資料!$G:$G, (MATCH(998, 輔助計算!$G$2:$G$801, 0)+1))&lt;=1181,2,1))))&gt;0, IF(IF(INDEX(ERP資料!$G:$G, (MATCH(998, 輔助計算!$G$2:$G$801, 0)+1))&lt;100, IF(INDEX(ERP資料!$G:$G, (MATCH(998, 輔助計算!$G$2:$G$801, 0)+1))&lt;=31,3,IF(INDEX(ERP資料!$G:$G, (MATCH(998, 輔助計算!$G$2:$G$801, 0)+1))&lt;=46.5,2,1)), IF(INDEX(ERP資料!$G:$G, (MATCH(998, 輔助計算!$G$2:$G$801, 0)+1))&lt;=790,3,IF(INDEX(ERP資料!$G:$G, (MATCH(998, 輔助計算!$G$2:$G$801, 0)+1))&lt;=1181,2,1)))=1,TEXT(INDEX(ERP資料!$G:$G, (MATCH(998, 輔助計算!$G$2:$G$801, 0)+1)),"0.##"),IF(IF(INDEX(ERP資料!$G:$G, (MATCH(998, 輔助計算!$G$2:$G$801, 0)+1))&lt;100, IF(INDEX(ERP資料!$G:$G, (MATCH(998, 輔助計算!$G$2:$G$801, 0)+1))&lt;=31,3,IF(INDEX(ERP資料!$G:$G, (MATCH(998, 輔助計算!$G$2:$G$801, 0)+1))&lt;=46.5,2,1)), IF(INDEX(ERP資料!$G:$G, (MATCH(998, 輔助計算!$G$2:$G$801, 0)+1))&lt;=790,3,IF(INDEX(ERP資料!$G:$G, (MATCH(998, 輔助計算!$G$2:$G$801, 0)+1))&lt;=1181,2,1)))=2,TEXT(INDEX(ERP資料!$G:$G, (MATCH(998, 輔助計算!$G$2:$G$801, 0)+1)),"0.##")&amp;"+"&amp;TEXT(INDEX(ERP資料!$G:$G, (MATCH(998, 輔助計算!$G$2:$G$801, 0)+1)),"0.##"),TEXT(INDEX(ERP資料!$G:$G, (MATCH(998, 輔助計算!$G$2:$G$801, 0)+1)),"0.##")&amp;"+"&amp;TEXT(INDEX(ERP資料!$G:$G, (MATCH(998, 輔助計算!$G$2:$G$801, 0)+1)),"0.##")&amp;"+"&amp;TEXT(INDEX(ERP資料!$G:$G, (MATCH(998, 輔助計算!$G$2:$G$801, 0)+1)),"0.##")))&amp;"-"&amp;INT(INDEX(輔助計算!$D:$D, (MATCH(998, 輔助計算!$G$2:$G$801, 0)+1))/IF(INDEX(ERP資料!$G:$G, (MATCH(998, 輔助計算!$G$2:$G$801, 0)+1))&lt;100, IF(INDEX(ERP資料!$G:$G, (MATCH(998, 輔助計算!$G$2:$G$801, 0)+1))&lt;=31,3,IF(INDEX(ERP資料!$G:$G, (MATCH(998, 輔助計算!$G$2:$G$801, 0)+1))&lt;=46.5,2,1)), IF(INDEX(ERP資料!$G:$G, (MATCH(998, 輔助計算!$G$2:$G$801, 0)+1))&lt;=790,3,IF(INDEX(ERP資料!$G:$G, (MATCH(998, 輔助計算!$G$2:$G$801, 0)+1))&lt;=1181,2,1)))), "")&amp;IF(AND(IF(INT(INDEX(輔助計算!$D:$D, (MATCH(998, 輔助計算!$G$2:$G$801, 0)+1))/IF(INDEX(ERP資料!$G:$G, (MATCH(998, 輔助計算!$G$2:$G$801, 0)+1))&lt;100, IF(INDEX(ERP資料!$G:$G, (MATCH(998, 輔助計算!$G$2:$G$801, 0)+1))&lt;=31,3,IF(INDEX(ERP資料!$G:$G, (MATCH(998, 輔助計算!$G$2:$G$801, 0)+1))&lt;=46.5,2,1)), IF(INDEX(ERP資料!$G:$G, (MATCH(998, 輔助計算!$G$2:$G$801, 0)+1))&lt;=790,3,IF(INDEX(ERP資料!$G:$G, (MATCH(998, 輔助計算!$G$2:$G$801, 0)+1))&lt;=1181,2,1))))&gt;0, IF(IF(INDEX(ERP資料!$G:$G, (MATCH(998, 輔助計算!$G$2:$G$801, 0)+1))&lt;100, IF(INDEX(ERP資料!$G:$G, (MATCH(998, 輔助計算!$G$2:$G$801, 0)+1))&lt;=31,3,IF(INDEX(ERP資料!$G:$G, (MATCH(998, 輔助計算!$G$2:$G$801, 0)+1))&lt;=46.5,2,1)), IF(INDEX(ERP資料!$G:$G, (MATCH(998, 輔助計算!$G$2:$G$801, 0)+1))&lt;=790,3,IF(INDEX(ERP資料!$G:$G, (MATCH(998, 輔助計算!$G$2:$G$801, 0)+1))&lt;=1181,2,1)))=1,TEXT(INDEX(ERP資料!$G:$G, (MATCH(998, 輔助計算!$G$2:$G$801, 0)+1)),"0.##"),IF(IF(INDEX(ERP資料!$G:$G, (MATCH(998, 輔助計算!$G$2:$G$801, 0)+1))&lt;100, IF(INDEX(ERP資料!$G:$G, (MATCH(998, 輔助計算!$G$2:$G$801, 0)+1))&lt;=31,3,IF(INDEX(ERP資料!$G:$G, (MATCH(998, 輔助計算!$G$2:$G$801, 0)+1))&lt;=46.5,2,1)), IF(INDEX(ERP資料!$G:$G, (MATCH(998, 輔助計算!$G$2:$G$801, 0)+1))&lt;=790,3,IF(INDEX(ERP資料!$G:$G, (MATCH(998, 輔助計算!$G$2:$G$801, 0)+1))&lt;=1181,2,1)))=2,TEXT(INDEX(ERP資料!$G:$G, (MATCH(998, 輔助計算!$G$2:$G$801, 0)+1)),"0.##")&amp;"+"&amp;TEXT(INDEX(ERP資料!$G:$G, (MATCH(998, 輔助計算!$G$2:$G$801, 0)+1)),"0.##"),TEXT(INDEX(ERP資料!$G:$G, (MATCH(998, 輔助計算!$G$2:$G$801, 0)+1)),"0.##")&amp;"+"&amp;TEXT(INDEX(ERP資料!$G:$G, (MATCH(998, 輔助計算!$G$2:$G$801, 0)+1)),"0.##")&amp;"+"&amp;TEXT(INDEX(ERP資料!$G:$G, (MATCH(998, 輔助計算!$G$2:$G$801, 0)+1)),"0.##")))&amp;"-"&amp;INT(INDEX(輔助計算!$D:$D, (MATCH(998, 輔助計算!$G$2:$G$801, 0)+1))/IF(INDEX(ERP資料!$G:$G, (MATCH(998, 輔助計算!$G$2:$G$801, 0)+1))&lt;100, IF(INDEX(ERP資料!$G:$G, (MATCH(998, 輔助計算!$G$2:$G$801, 0)+1))&lt;=31,3,IF(INDEX(ERP資料!$G:$G, (MATCH(998, 輔助計算!$G$2:$G$801, 0)+1))&lt;=46.5,2,1)), IF(INDEX(ERP資料!$G:$G, (MATCH(998, 輔助計算!$G$2:$G$801, 0)+1))&lt;=790,3,IF(INDEX(ERP資料!$G:$G, (MATCH(998, 輔助計算!$G$2:$G$801, 0)+1))&lt;=1181,2,1)))), "")&lt;&gt;"",IF(MOD(INDEX(輔助計算!$D:$D, (MATCH(998, 輔助計算!$G$2:$G$801, 0)+1)),IF(INDEX(ERP資料!$G:$G, (MATCH(998, 輔助計算!$G$2:$G$801, 0)+1))&lt;100, IF(INDEX(ERP資料!$G:$G, (MATCH(998, 輔助計算!$G$2:$G$801, 0)+1))&lt;=31,3,IF(INDEX(ERP資料!$G:$G, (MATCH(998, 輔助計算!$G$2:$G$801, 0)+1))&lt;=46.5,2,1)), IF(INDEX(ERP資料!$G:$G, (MATCH(998, 輔助計算!$G$2:$G$801, 0)+1))&lt;=790,3,IF(INDEX(ERP資料!$G:$G, (MATCH(998, 輔助計算!$G$2:$G$801, 0)+1))&lt;=1181,2,1))))=0,"",IF(MOD(INDEX(輔助計算!$D:$D, (MATCH(998, 輔助計算!$G$2:$G$801, 0)+1)),IF(INDEX(ERP資料!$G:$G, (MATCH(998, 輔助計算!$G$2:$G$801, 0)+1))&lt;100, IF(INDEX(ERP資料!$G:$G, (MATCH(998, 輔助計算!$G$2:$G$801, 0)+1))&lt;=31,3,IF(INDEX(ERP資料!$G:$G, (MATCH(998, 輔助計算!$G$2:$G$801, 0)+1))&lt;=46.5,2,1)), IF(INDEX(ERP資料!$G:$G, (MATCH(998, 輔助計算!$G$2:$G$801, 0)+1))&lt;=790,3,IF(INDEX(ERP資料!$G:$G, (MATCH(998, 輔助計算!$G$2:$G$801, 0)+1))&lt;=1181,2,1))))=0,"",IF(MOD(INDEX(輔助計算!$D:$D, (MATCH(998, 輔助計算!$G$2:$G$801, 0)+1)),IF(INDEX(ERP資料!$G:$G, (MATCH(998, 輔助計算!$G$2:$G$801, 0)+1))&lt;100, IF(INDEX(ERP資料!$G:$G, (MATCH(998, 輔助計算!$G$2:$G$801, 0)+1))&lt;=31,3,IF(INDEX(ERP資料!$G:$G, (MATCH(998, 輔助計算!$G$2:$G$801, 0)+1))&lt;=46.5,2,1)), IF(INDEX(ERP資料!$G:$G, (MATCH(998, 輔助計算!$G$2:$G$801, 0)+1))&lt;=790,3,IF(INDEX(ERP資料!$G:$G, (MATCH(998, 輔助計算!$G$2:$G$801, 0)+1))&lt;=1181,2,1))))=1,TEXT(INDEX(ERP資料!$G:$G, (MATCH(998, 輔助計算!$G$2:$G$801, 0)+1)),"0.##"),IF(MOD(INDEX(輔助計算!$D:$D, (MATCH(998, 輔助計算!$G$2:$G$801, 0)+1)),IF(INDEX(ERP資料!$G:$G, (MATCH(998, 輔助計算!$G$2:$G$801, 0)+1))&lt;100, IF(INDEX(ERP資料!$G:$G, (MATCH(998, 輔助計算!$G$2:$G$801, 0)+1))&lt;=31,3,IF(INDEX(ERP資料!$G:$G, (MATCH(998, 輔助計算!$G$2:$G$801, 0)+1))&lt;=46.5,2,1)), IF(INDEX(ERP資料!$G:$G, (MATCH(998, 輔助計算!$G$2:$G$801, 0)+1))&lt;=790,3,IF(INDEX(ERP資料!$G:$G, (MATCH(998, 輔助計算!$G$2:$G$801, 0)+1))&lt;=1181,2,1))))=2,TEXT(INDEX(ERP資料!$G:$G, (MATCH(998, 輔助計算!$G$2:$G$801, 0)+1)),"0.##")&amp;"+"&amp;TEXT(INDEX(ERP資料!$G:$G, (MATCH(998, 輔助計算!$G$2:$G$801, 0)+1)),"0.##"),TEXT(INDEX(ERP資料!$G:$G, (MATCH(998, 輔助計算!$G$2:$G$801, 0)+1)),"0.##")&amp;"+"&amp;TEXT(INDEX(ERP資料!$G:$G, (MATCH(998, 輔助計算!$G$2:$G$801, 0)+1)),"0.##")&amp;"+"&amp;TEXT(INDEX(ERP資料!$G:$G, (MATCH(998, 輔助計算!$G$2:$G$801, 0)+1)),"0.##"))))&amp;"-1")&lt;&gt;""),"  ","")&amp;IF(MOD(INDEX(輔助計算!$D:$D, (MATCH(998, 輔助計算!$G$2:$G$801, 0)+1)),IF(INDEX(ERP資料!$G:$G, (MATCH(998, 輔助計算!$G$2:$G$801, 0)+1))&lt;100, IF(INDEX(ERP資料!$G:$G, (MATCH(998, 輔助計算!$G$2:$G$801, 0)+1))&lt;=31,3,IF(INDEX(ERP資料!$G:$G, (MATCH(998, 輔助計算!$G$2:$G$801, 0)+1))&lt;=46.5,2,1)), IF(INDEX(ERP資料!$G:$G, (MATCH(998, 輔助計算!$G$2:$G$801, 0)+1))&lt;=790,3,IF(INDEX(ERP資料!$G:$G, (MATCH(998, 輔助計算!$G$2:$G$801, 0)+1))&lt;=1181,2,1))))=0,"",IF(MOD(INDEX(輔助計算!$D:$D, (MATCH(998, 輔助計算!$G$2:$G$801, 0)+1)),IF(INDEX(ERP資料!$G:$G, (MATCH(998, 輔助計算!$G$2:$G$801, 0)+1))&lt;100, IF(INDEX(ERP資料!$G:$G, (MATCH(998, 輔助計算!$G$2:$G$801, 0)+1))&lt;=31,3,IF(INDEX(ERP資料!$G:$G, (MATCH(998, 輔助計算!$G$2:$G$801, 0)+1))&lt;=46.5,2,1)), IF(INDEX(ERP資料!$G:$G, (MATCH(998, 輔助計算!$G$2:$G$801, 0)+1))&lt;=790,3,IF(INDEX(ERP資料!$G:$G, (MATCH(998, 輔助計算!$G$2:$G$801, 0)+1))&lt;=1181,2,1))))=0,"",IF(MOD(INDEX(輔助計算!$D:$D, (MATCH(998, 輔助計算!$G$2:$G$801, 0)+1)),IF(INDEX(ERP資料!$G:$G, (MATCH(998, 輔助計算!$G$2:$G$801, 0)+1))&lt;100, IF(INDEX(ERP資料!$G:$G, (MATCH(998, 輔助計算!$G$2:$G$801, 0)+1))&lt;=31,3,IF(INDEX(ERP資料!$G:$G, (MATCH(998, 輔助計算!$G$2:$G$801, 0)+1))&lt;=46.5,2,1)), IF(INDEX(ERP資料!$G:$G, (MATCH(998, 輔助計算!$G$2:$G$801, 0)+1))&lt;=790,3,IF(INDEX(ERP資料!$G:$G, (MATCH(998, 輔助計算!$G$2:$G$801, 0)+1))&lt;=1181,2,1))))=1,TEXT(INDEX(ERP資料!$G:$G, (MATCH(998, 輔助計算!$G$2:$G$801, 0)+1)),"0.##"),IF(MOD(INDEX(輔助計算!$D:$D, (MATCH(998, 輔助計算!$G$2:$G$801, 0)+1)),IF(INDEX(ERP資料!$G:$G, (MATCH(998, 輔助計算!$G$2:$G$801, 0)+1))&lt;100, IF(INDEX(ERP資料!$G:$G, (MATCH(998, 輔助計算!$G$2:$G$801, 0)+1))&lt;=31,3,IF(INDEX(ERP資料!$G:$G, (MATCH(998, 輔助計算!$G$2:$G$801, 0)+1))&lt;=46.5,2,1)), IF(INDEX(ERP資料!$G:$G, (MATCH(998, 輔助計算!$G$2:$G$801, 0)+1))&lt;=790,3,IF(INDEX(ERP資料!$G:$G, (MATCH(998, 輔助計算!$G$2:$G$801, 0)+1))&lt;=1181,2,1))))=2,TEXT(INDEX(ERP資料!$G:$G, (MATCH(998, 輔助計算!$G$2:$G$801, 0)+1)),"0.##")&amp;"+"&amp;TEXT(INDEX(ERP資料!$G:$G, (MATCH(998, 輔助計算!$G$2:$G$801, 0)+1)),"0.##"),TEXT(INDEX(ERP資料!$G:$G, (MATCH(998, 輔助計算!$G$2:$G$801, 0)+1)),"0.##")&amp;"+"&amp;TEXT(INDEX(ERP資料!$G:$G, (MATCH(998, 輔助計算!$G$2:$G$801, 0)+1)),"0.##")&amp;"+"&amp;TEXT(INDEX(ERP資料!$G:$G, (MATCH(998, 輔助計算!$G$2:$G$801, 0)+1)),"0.##"))))&amp;"-1")), ""), "")</f>
        <v/>
      </c>
      <c r="K999" s="16" t="n"/>
      <c r="L999" s="14">
        <f>IFERROR(IF(AND(IFERROR(INDEX(ERP資料!$A:$A, (MATCH(998, 輔助計算!$G$2:$G$801, 0)+1)), "")&lt;&gt;"", IFERROR(INDEX(ERP資料!$A:$A, (MATCH(998, 輔助計算!$G$2:$G$801, 0)+1)), "")&lt;&gt;IFERROR(INDEX(ERP資料!$A:$A, MATCH(997, 輔助計算!$G$2:$G$801, 0)+1), "")), INDEX(ERP資料!$B:$B, (MATCH(998, 輔助計算!$G$2:$G$801, 0)+1)), ""), "")</f>
        <v/>
      </c>
      <c r="M999" s="17" t="n"/>
    </row>
    <row r="1000">
      <c r="A1000" s="10">
        <f>IFERROR(IF(AND(IFERROR(INDEX(ERP資料!$A:$A, (MATCH(999, 輔助計算!$G$2:$G$801, 0)+1)), "")&lt;&gt;"", IFERROR(INDEX(ERP資料!$A:$A, (MATCH(999, 輔助計算!$G$2:$G$801, 0)+1)), "")&lt;&gt;IFERROR(INDEX(ERP資料!$A:$A, MATCH(998, 輔助計算!$G$2:$G$801, 0)+1), "")), IFERROR(INDEX(ERP資料!$A:$A, (MATCH(999, 輔助計算!$G$2:$G$801, 0)+1)), ""), ""), "")</f>
        <v/>
      </c>
      <c r="B1000" s="10">
        <f>IFERROR(IF(AND(IFERROR(INDEX(ERP資料!$A:$A, (MATCH(999, 輔助計算!$G$2:$G$801, 0)+1)), "")&lt;&gt;"", IFERROR(INDEX(ERP資料!$A:$A, (MATCH(999, 輔助計算!$G$2:$G$801, 0)+1)), "")&lt;&gt;IFERROR(INDEX(ERP資料!$A:$A, MATCH(998, 輔助計算!$G$2:$G$801, 0)+1), "")), INDEX(ERP資料!$S:$S, (MATCH(999, 輔助計算!$G$2:$G$801, 0)+1)), ""), "")</f>
        <v/>
      </c>
      <c r="C1000" s="19">
        <f>IFERROR(IF(AND(IFERROR(INDEX(ERP資料!$A:$A, (MATCH(999, 輔助計算!$G$2:$G$801, 0)+1)), "")&lt;&gt;"", IFERROR(INDEX(ERP資料!$A:$A, (MATCH(999, 輔助計算!$G$2:$G$801, 0)+1)), "")&lt;&gt;IFERROR(INDEX(ERP資料!$A:$A, MATCH(998, 輔助計算!$G$2:$G$801, 0)+1), "")), IFERROR(VLOOKUP(LEFT(INDEX(ERP資料!$S:$S, (MATCH(999, 輔助計算!$G$2:$G$801, 0)+1)), 4), 紙管對照表!$A:$C, 3, FALSE), ""), ""), "")</f>
        <v/>
      </c>
      <c r="D1000" s="16" t="n"/>
      <c r="E1000" s="10">
        <f>IFERROR(IF(INDEX(ERP資料!$H:$H, (MATCH(999, 輔助計算!$G$2:$G$801, 0)+1))="","",INDEX(ERP資料!$H:$H, (MATCH(999, 輔助計算!$G$2:$G$801, 0)+1))), "")</f>
        <v/>
      </c>
      <c r="F1000" s="10">
        <f>IFERROR(IF(INDEX(ERP資料!$E:$E, (MATCH(999, 輔助計算!$G$2:$G$801, 0)+1))="","",TRIM(INDEX(ERP資料!$E:$E, (MATCH(999, 輔助計算!$G$2:$G$801, 0)+1)))), "")</f>
        <v/>
      </c>
      <c r="G1000" s="10">
        <f>IFERROR(IF(INDEX(ERP資料!$F:$F, (MATCH(999, 輔助計算!$G$2:$G$801, 0)+1))="","",INDEX(ERP資料!$F:$F, (MATCH(999, 輔助計算!$G$2:$G$801, 0)+1))), "")</f>
        <v/>
      </c>
      <c r="H1000" s="10">
        <f>IFERROR(IF(INDEX(ERP資料!$G:$G, (MATCH(999, 輔助計算!$G$2:$G$801, 0)+1))="","",INDEX(ERP資料!$G:$G, (MATCH(999, 輔助計算!$G$2:$G$801, 0)+1))), "")</f>
        <v/>
      </c>
      <c r="I1000" s="15">
        <f>IFERROR(INDEX(輔助計算!$D:$D, (MATCH(999, 輔助計算!$G$2:$G$801, 0)+1)), "")</f>
        <v/>
      </c>
      <c r="J1000" s="15">
        <f>IFERROR(IF(AND(INDEX(輔助計算!$D:$D, (MATCH(999, 輔助計算!$G$2:$G$801, 0)+1))&lt;&gt;"", INDEX(ERP資料!$G:$G, (MATCH(999, 輔助計算!$G$2:$G$801, 0)+1))&lt;&gt;""), TRIM(IF(INT(INDEX(輔助計算!$D:$D, (MATCH(999, 輔助計算!$G$2:$G$801, 0)+1))/IF(INDEX(ERP資料!$G:$G, (MATCH(999, 輔助計算!$G$2:$G$801, 0)+1))&lt;100, IF(INDEX(ERP資料!$G:$G, (MATCH(999, 輔助計算!$G$2:$G$801, 0)+1))&lt;=31,3,IF(INDEX(ERP資料!$G:$G, (MATCH(999, 輔助計算!$G$2:$G$801, 0)+1))&lt;=46.5,2,1)), IF(INDEX(ERP資料!$G:$G, (MATCH(999, 輔助計算!$G$2:$G$801, 0)+1))&lt;=790,3,IF(INDEX(ERP資料!$G:$G, (MATCH(999, 輔助計算!$G$2:$G$801, 0)+1))&lt;=1181,2,1))))&gt;0, IF(IF(INDEX(ERP資料!$G:$G, (MATCH(999, 輔助計算!$G$2:$G$801, 0)+1))&lt;100, IF(INDEX(ERP資料!$G:$G, (MATCH(999, 輔助計算!$G$2:$G$801, 0)+1))&lt;=31,3,IF(INDEX(ERP資料!$G:$G, (MATCH(999, 輔助計算!$G$2:$G$801, 0)+1))&lt;=46.5,2,1)), IF(INDEX(ERP資料!$G:$G, (MATCH(999, 輔助計算!$G$2:$G$801, 0)+1))&lt;=790,3,IF(INDEX(ERP資料!$G:$G, (MATCH(999, 輔助計算!$G$2:$G$801, 0)+1))&lt;=1181,2,1)))=1,TEXT(INDEX(ERP資料!$G:$G, (MATCH(999, 輔助計算!$G$2:$G$801, 0)+1)),"0.##"),IF(IF(INDEX(ERP資料!$G:$G, (MATCH(999, 輔助計算!$G$2:$G$801, 0)+1))&lt;100, IF(INDEX(ERP資料!$G:$G, (MATCH(999, 輔助計算!$G$2:$G$801, 0)+1))&lt;=31,3,IF(INDEX(ERP資料!$G:$G, (MATCH(999, 輔助計算!$G$2:$G$801, 0)+1))&lt;=46.5,2,1)), IF(INDEX(ERP資料!$G:$G, (MATCH(999, 輔助計算!$G$2:$G$801, 0)+1))&lt;=790,3,IF(INDEX(ERP資料!$G:$G, (MATCH(999, 輔助計算!$G$2:$G$801, 0)+1))&lt;=1181,2,1)))=2,TEXT(INDEX(ERP資料!$G:$G, (MATCH(999, 輔助計算!$G$2:$G$801, 0)+1)),"0.##")&amp;"+"&amp;TEXT(INDEX(ERP資料!$G:$G, (MATCH(999, 輔助計算!$G$2:$G$801, 0)+1)),"0.##"),TEXT(INDEX(ERP資料!$G:$G, (MATCH(999, 輔助計算!$G$2:$G$801, 0)+1)),"0.##")&amp;"+"&amp;TEXT(INDEX(ERP資料!$G:$G, (MATCH(999, 輔助計算!$G$2:$G$801, 0)+1)),"0.##")&amp;"+"&amp;TEXT(INDEX(ERP資料!$G:$G, (MATCH(999, 輔助計算!$G$2:$G$801, 0)+1)),"0.##")))&amp;"-"&amp;INT(INDEX(輔助計算!$D:$D, (MATCH(999, 輔助計算!$G$2:$G$801, 0)+1))/IF(INDEX(ERP資料!$G:$G, (MATCH(999, 輔助計算!$G$2:$G$801, 0)+1))&lt;100, IF(INDEX(ERP資料!$G:$G, (MATCH(999, 輔助計算!$G$2:$G$801, 0)+1))&lt;=31,3,IF(INDEX(ERP資料!$G:$G, (MATCH(999, 輔助計算!$G$2:$G$801, 0)+1))&lt;=46.5,2,1)), IF(INDEX(ERP資料!$G:$G, (MATCH(999, 輔助計算!$G$2:$G$801, 0)+1))&lt;=790,3,IF(INDEX(ERP資料!$G:$G, (MATCH(999, 輔助計算!$G$2:$G$801, 0)+1))&lt;=1181,2,1)))), "")&amp;IF(AND(IF(INT(INDEX(輔助計算!$D:$D, (MATCH(999, 輔助計算!$G$2:$G$801, 0)+1))/IF(INDEX(ERP資料!$G:$G, (MATCH(999, 輔助計算!$G$2:$G$801, 0)+1))&lt;100, IF(INDEX(ERP資料!$G:$G, (MATCH(999, 輔助計算!$G$2:$G$801, 0)+1))&lt;=31,3,IF(INDEX(ERP資料!$G:$G, (MATCH(999, 輔助計算!$G$2:$G$801, 0)+1))&lt;=46.5,2,1)), IF(INDEX(ERP資料!$G:$G, (MATCH(999, 輔助計算!$G$2:$G$801, 0)+1))&lt;=790,3,IF(INDEX(ERP資料!$G:$G, (MATCH(999, 輔助計算!$G$2:$G$801, 0)+1))&lt;=1181,2,1))))&gt;0, IF(IF(INDEX(ERP資料!$G:$G, (MATCH(999, 輔助計算!$G$2:$G$801, 0)+1))&lt;100, IF(INDEX(ERP資料!$G:$G, (MATCH(999, 輔助計算!$G$2:$G$801, 0)+1))&lt;=31,3,IF(INDEX(ERP資料!$G:$G, (MATCH(999, 輔助計算!$G$2:$G$801, 0)+1))&lt;=46.5,2,1)), IF(INDEX(ERP資料!$G:$G, (MATCH(999, 輔助計算!$G$2:$G$801, 0)+1))&lt;=790,3,IF(INDEX(ERP資料!$G:$G, (MATCH(999, 輔助計算!$G$2:$G$801, 0)+1))&lt;=1181,2,1)))=1,TEXT(INDEX(ERP資料!$G:$G, (MATCH(999, 輔助計算!$G$2:$G$801, 0)+1)),"0.##"),IF(IF(INDEX(ERP資料!$G:$G, (MATCH(999, 輔助計算!$G$2:$G$801, 0)+1))&lt;100, IF(INDEX(ERP資料!$G:$G, (MATCH(999, 輔助計算!$G$2:$G$801, 0)+1))&lt;=31,3,IF(INDEX(ERP資料!$G:$G, (MATCH(999, 輔助計算!$G$2:$G$801, 0)+1))&lt;=46.5,2,1)), IF(INDEX(ERP資料!$G:$G, (MATCH(999, 輔助計算!$G$2:$G$801, 0)+1))&lt;=790,3,IF(INDEX(ERP資料!$G:$G, (MATCH(999, 輔助計算!$G$2:$G$801, 0)+1))&lt;=1181,2,1)))=2,TEXT(INDEX(ERP資料!$G:$G, (MATCH(999, 輔助計算!$G$2:$G$801, 0)+1)),"0.##")&amp;"+"&amp;TEXT(INDEX(ERP資料!$G:$G, (MATCH(999, 輔助計算!$G$2:$G$801, 0)+1)),"0.##"),TEXT(INDEX(ERP資料!$G:$G, (MATCH(999, 輔助計算!$G$2:$G$801, 0)+1)),"0.##")&amp;"+"&amp;TEXT(INDEX(ERP資料!$G:$G, (MATCH(999, 輔助計算!$G$2:$G$801, 0)+1)),"0.##")&amp;"+"&amp;TEXT(INDEX(ERP資料!$G:$G, (MATCH(999, 輔助計算!$G$2:$G$801, 0)+1)),"0.##")))&amp;"-"&amp;INT(INDEX(輔助計算!$D:$D, (MATCH(999, 輔助計算!$G$2:$G$801, 0)+1))/IF(INDEX(ERP資料!$G:$G, (MATCH(999, 輔助計算!$G$2:$G$801, 0)+1))&lt;100, IF(INDEX(ERP資料!$G:$G, (MATCH(999, 輔助計算!$G$2:$G$801, 0)+1))&lt;=31,3,IF(INDEX(ERP資料!$G:$G, (MATCH(999, 輔助計算!$G$2:$G$801, 0)+1))&lt;=46.5,2,1)), IF(INDEX(ERP資料!$G:$G, (MATCH(999, 輔助計算!$G$2:$G$801, 0)+1))&lt;=790,3,IF(INDEX(ERP資料!$G:$G, (MATCH(999, 輔助計算!$G$2:$G$801, 0)+1))&lt;=1181,2,1)))), "")&lt;&gt;"",IF(MOD(INDEX(輔助計算!$D:$D, (MATCH(999, 輔助計算!$G$2:$G$801, 0)+1)),IF(INDEX(ERP資料!$G:$G, (MATCH(999, 輔助計算!$G$2:$G$801, 0)+1))&lt;100, IF(INDEX(ERP資料!$G:$G, (MATCH(999, 輔助計算!$G$2:$G$801, 0)+1))&lt;=31,3,IF(INDEX(ERP資料!$G:$G, (MATCH(999, 輔助計算!$G$2:$G$801, 0)+1))&lt;=46.5,2,1)), IF(INDEX(ERP資料!$G:$G, (MATCH(999, 輔助計算!$G$2:$G$801, 0)+1))&lt;=790,3,IF(INDEX(ERP資料!$G:$G, (MATCH(999, 輔助計算!$G$2:$G$801, 0)+1))&lt;=1181,2,1))))=0,"",IF(MOD(INDEX(輔助計算!$D:$D, (MATCH(999, 輔助計算!$G$2:$G$801, 0)+1)),IF(INDEX(ERP資料!$G:$G, (MATCH(999, 輔助計算!$G$2:$G$801, 0)+1))&lt;100, IF(INDEX(ERP資料!$G:$G, (MATCH(999, 輔助計算!$G$2:$G$801, 0)+1))&lt;=31,3,IF(INDEX(ERP資料!$G:$G, (MATCH(999, 輔助計算!$G$2:$G$801, 0)+1))&lt;=46.5,2,1)), IF(INDEX(ERP資料!$G:$G, (MATCH(999, 輔助計算!$G$2:$G$801, 0)+1))&lt;=790,3,IF(INDEX(ERP資料!$G:$G, (MATCH(999, 輔助計算!$G$2:$G$801, 0)+1))&lt;=1181,2,1))))=0,"",IF(MOD(INDEX(輔助計算!$D:$D, (MATCH(999, 輔助計算!$G$2:$G$801, 0)+1)),IF(INDEX(ERP資料!$G:$G, (MATCH(999, 輔助計算!$G$2:$G$801, 0)+1))&lt;100, IF(INDEX(ERP資料!$G:$G, (MATCH(999, 輔助計算!$G$2:$G$801, 0)+1))&lt;=31,3,IF(INDEX(ERP資料!$G:$G, (MATCH(999, 輔助計算!$G$2:$G$801, 0)+1))&lt;=46.5,2,1)), IF(INDEX(ERP資料!$G:$G, (MATCH(999, 輔助計算!$G$2:$G$801, 0)+1))&lt;=790,3,IF(INDEX(ERP資料!$G:$G, (MATCH(999, 輔助計算!$G$2:$G$801, 0)+1))&lt;=1181,2,1))))=1,TEXT(INDEX(ERP資料!$G:$G, (MATCH(999, 輔助計算!$G$2:$G$801, 0)+1)),"0.##"),IF(MOD(INDEX(輔助計算!$D:$D, (MATCH(999, 輔助計算!$G$2:$G$801, 0)+1)),IF(INDEX(ERP資料!$G:$G, (MATCH(999, 輔助計算!$G$2:$G$801, 0)+1))&lt;100, IF(INDEX(ERP資料!$G:$G, (MATCH(999, 輔助計算!$G$2:$G$801, 0)+1))&lt;=31,3,IF(INDEX(ERP資料!$G:$G, (MATCH(999, 輔助計算!$G$2:$G$801, 0)+1))&lt;=46.5,2,1)), IF(INDEX(ERP資料!$G:$G, (MATCH(999, 輔助計算!$G$2:$G$801, 0)+1))&lt;=790,3,IF(INDEX(ERP資料!$G:$G, (MATCH(999, 輔助計算!$G$2:$G$801, 0)+1))&lt;=1181,2,1))))=2,TEXT(INDEX(ERP資料!$G:$G, (MATCH(999, 輔助計算!$G$2:$G$801, 0)+1)),"0.##")&amp;"+"&amp;TEXT(INDEX(ERP資料!$G:$G, (MATCH(999, 輔助計算!$G$2:$G$801, 0)+1)),"0.##"),TEXT(INDEX(ERP資料!$G:$G, (MATCH(999, 輔助計算!$G$2:$G$801, 0)+1)),"0.##")&amp;"+"&amp;TEXT(INDEX(ERP資料!$G:$G, (MATCH(999, 輔助計算!$G$2:$G$801, 0)+1)),"0.##")&amp;"+"&amp;TEXT(INDEX(ERP資料!$G:$G, (MATCH(999, 輔助計算!$G$2:$G$801, 0)+1)),"0.##"))))&amp;"-1")&lt;&gt;""),"  ","")&amp;IF(MOD(INDEX(輔助計算!$D:$D, (MATCH(999, 輔助計算!$G$2:$G$801, 0)+1)),IF(INDEX(ERP資料!$G:$G, (MATCH(999, 輔助計算!$G$2:$G$801, 0)+1))&lt;100, IF(INDEX(ERP資料!$G:$G, (MATCH(999, 輔助計算!$G$2:$G$801, 0)+1))&lt;=31,3,IF(INDEX(ERP資料!$G:$G, (MATCH(999, 輔助計算!$G$2:$G$801, 0)+1))&lt;=46.5,2,1)), IF(INDEX(ERP資料!$G:$G, (MATCH(999, 輔助計算!$G$2:$G$801, 0)+1))&lt;=790,3,IF(INDEX(ERP資料!$G:$G, (MATCH(999, 輔助計算!$G$2:$G$801, 0)+1))&lt;=1181,2,1))))=0,"",IF(MOD(INDEX(輔助計算!$D:$D, (MATCH(999, 輔助計算!$G$2:$G$801, 0)+1)),IF(INDEX(ERP資料!$G:$G, (MATCH(999, 輔助計算!$G$2:$G$801, 0)+1))&lt;100, IF(INDEX(ERP資料!$G:$G, (MATCH(999, 輔助計算!$G$2:$G$801, 0)+1))&lt;=31,3,IF(INDEX(ERP資料!$G:$G, (MATCH(999, 輔助計算!$G$2:$G$801, 0)+1))&lt;=46.5,2,1)), IF(INDEX(ERP資料!$G:$G, (MATCH(999, 輔助計算!$G$2:$G$801, 0)+1))&lt;=790,3,IF(INDEX(ERP資料!$G:$G, (MATCH(999, 輔助計算!$G$2:$G$801, 0)+1))&lt;=1181,2,1))))=0,"",IF(MOD(INDEX(輔助計算!$D:$D, (MATCH(999, 輔助計算!$G$2:$G$801, 0)+1)),IF(INDEX(ERP資料!$G:$G, (MATCH(999, 輔助計算!$G$2:$G$801, 0)+1))&lt;100, IF(INDEX(ERP資料!$G:$G, (MATCH(999, 輔助計算!$G$2:$G$801, 0)+1))&lt;=31,3,IF(INDEX(ERP資料!$G:$G, (MATCH(999, 輔助計算!$G$2:$G$801, 0)+1))&lt;=46.5,2,1)), IF(INDEX(ERP資料!$G:$G, (MATCH(999, 輔助計算!$G$2:$G$801, 0)+1))&lt;=790,3,IF(INDEX(ERP資料!$G:$G, (MATCH(999, 輔助計算!$G$2:$G$801, 0)+1))&lt;=1181,2,1))))=1,TEXT(INDEX(ERP資料!$G:$G, (MATCH(999, 輔助計算!$G$2:$G$801, 0)+1)),"0.##"),IF(MOD(INDEX(輔助計算!$D:$D, (MATCH(999, 輔助計算!$G$2:$G$801, 0)+1)),IF(INDEX(ERP資料!$G:$G, (MATCH(999, 輔助計算!$G$2:$G$801, 0)+1))&lt;100, IF(INDEX(ERP資料!$G:$G, (MATCH(999, 輔助計算!$G$2:$G$801, 0)+1))&lt;=31,3,IF(INDEX(ERP資料!$G:$G, (MATCH(999, 輔助計算!$G$2:$G$801, 0)+1))&lt;=46.5,2,1)), IF(INDEX(ERP資料!$G:$G, (MATCH(999, 輔助計算!$G$2:$G$801, 0)+1))&lt;=790,3,IF(INDEX(ERP資料!$G:$G, (MATCH(999, 輔助計算!$G$2:$G$801, 0)+1))&lt;=1181,2,1))))=2,TEXT(INDEX(ERP資料!$G:$G, (MATCH(999, 輔助計算!$G$2:$G$801, 0)+1)),"0.##")&amp;"+"&amp;TEXT(INDEX(ERP資料!$G:$G, (MATCH(999, 輔助計算!$G$2:$G$801, 0)+1)),"0.##"),TEXT(INDEX(ERP資料!$G:$G, (MATCH(999, 輔助計算!$G$2:$G$801, 0)+1)),"0.##")&amp;"+"&amp;TEXT(INDEX(ERP資料!$G:$G, (MATCH(999, 輔助計算!$G$2:$G$801, 0)+1)),"0.##")&amp;"+"&amp;TEXT(INDEX(ERP資料!$G:$G, (MATCH(999, 輔助計算!$G$2:$G$801, 0)+1)),"0.##"))))&amp;"-1")), ""), "")</f>
        <v/>
      </c>
      <c r="K1000" s="16" t="n"/>
      <c r="L1000" s="14">
        <f>IFERROR(IF(AND(IFERROR(INDEX(ERP資料!$A:$A, (MATCH(999, 輔助計算!$G$2:$G$801, 0)+1)), "")&lt;&gt;"", IFERROR(INDEX(ERP資料!$A:$A, (MATCH(999, 輔助計算!$G$2:$G$801, 0)+1)), "")&lt;&gt;IFERROR(INDEX(ERP資料!$A:$A, MATCH(998, 輔助計算!$G$2:$G$801, 0)+1), "")), INDEX(ERP資料!$B:$B, (MATCH(999, 輔助計算!$G$2:$G$801, 0)+1)), ""), "")</f>
        <v/>
      </c>
      <c r="M1000" s="17" t="n"/>
    </row>
    <row r="1001">
      <c r="A1001" s="10">
        <f>IFERROR(IF(AND(IFERROR(INDEX(ERP資料!$A:$A, (MATCH(1000, 輔助計算!$G$2:$G$801, 0)+1)), "")&lt;&gt;"", IFERROR(INDEX(ERP資料!$A:$A, (MATCH(1000, 輔助計算!$G$2:$G$801, 0)+1)), "")&lt;&gt;IFERROR(INDEX(ERP資料!$A:$A, MATCH(999, 輔助計算!$G$2:$G$801, 0)+1), "")), IFERROR(INDEX(ERP資料!$A:$A, (MATCH(1000, 輔助計算!$G$2:$G$801, 0)+1)), ""), ""), "")</f>
        <v/>
      </c>
      <c r="B1001" s="10">
        <f>IFERROR(IF(AND(IFERROR(INDEX(ERP資料!$A:$A, (MATCH(1000, 輔助計算!$G$2:$G$801, 0)+1)), "")&lt;&gt;"", IFERROR(INDEX(ERP資料!$A:$A, (MATCH(1000, 輔助計算!$G$2:$G$801, 0)+1)), "")&lt;&gt;IFERROR(INDEX(ERP資料!$A:$A, MATCH(999, 輔助計算!$G$2:$G$801, 0)+1), "")), INDEX(ERP資料!$S:$S, (MATCH(1000, 輔助計算!$G$2:$G$801, 0)+1)), ""), "")</f>
        <v/>
      </c>
      <c r="C1001" s="19">
        <f>IFERROR(IF(AND(IFERROR(INDEX(ERP資料!$A:$A, (MATCH(1000, 輔助計算!$G$2:$G$801, 0)+1)), "")&lt;&gt;"", IFERROR(INDEX(ERP資料!$A:$A, (MATCH(1000, 輔助計算!$G$2:$G$801, 0)+1)), "")&lt;&gt;IFERROR(INDEX(ERP資料!$A:$A, MATCH(999, 輔助計算!$G$2:$G$801, 0)+1), "")), IFERROR(VLOOKUP(LEFT(INDEX(ERP資料!$S:$S, (MATCH(1000, 輔助計算!$G$2:$G$801, 0)+1)), 4), 紙管對照表!$A:$C, 3, FALSE), ""), ""), "")</f>
        <v/>
      </c>
      <c r="D1001" s="16" t="n"/>
      <c r="E1001" s="10">
        <f>IFERROR(IF(INDEX(ERP資料!$H:$H, (MATCH(1000, 輔助計算!$G$2:$G$801, 0)+1))="","",INDEX(ERP資料!$H:$H, (MATCH(1000, 輔助計算!$G$2:$G$801, 0)+1))), "")</f>
        <v/>
      </c>
      <c r="F1001" s="10">
        <f>IFERROR(IF(INDEX(ERP資料!$E:$E, (MATCH(1000, 輔助計算!$G$2:$G$801, 0)+1))="","",TRIM(INDEX(ERP資料!$E:$E, (MATCH(1000, 輔助計算!$G$2:$G$801, 0)+1)))), "")</f>
        <v/>
      </c>
      <c r="G1001" s="10">
        <f>IFERROR(IF(INDEX(ERP資料!$F:$F, (MATCH(1000, 輔助計算!$G$2:$G$801, 0)+1))="","",INDEX(ERP資料!$F:$F, (MATCH(1000, 輔助計算!$G$2:$G$801, 0)+1))), "")</f>
        <v/>
      </c>
      <c r="H1001" s="10">
        <f>IFERROR(IF(INDEX(ERP資料!$G:$G, (MATCH(1000, 輔助計算!$G$2:$G$801, 0)+1))="","",INDEX(ERP資料!$G:$G, (MATCH(1000, 輔助計算!$G$2:$G$801, 0)+1))), "")</f>
        <v/>
      </c>
      <c r="I1001" s="15">
        <f>IFERROR(INDEX(輔助計算!$D:$D, (MATCH(1000, 輔助計算!$G$2:$G$801, 0)+1)), "")</f>
        <v/>
      </c>
      <c r="J1001" s="15">
        <f>IFERROR(IF(AND(INDEX(輔助計算!$D:$D, (MATCH(1000, 輔助計算!$G$2:$G$801, 0)+1))&lt;&gt;"", INDEX(ERP資料!$G:$G, (MATCH(1000, 輔助計算!$G$2:$G$801, 0)+1))&lt;&gt;""), TRIM(IF(INT(INDEX(輔助計算!$D:$D, (MATCH(1000, 輔助計算!$G$2:$G$801, 0)+1))/IF(INDEX(ERP資料!$G:$G, (MATCH(1000, 輔助計算!$G$2:$G$801, 0)+1))&lt;100, IF(INDEX(ERP資料!$G:$G, (MATCH(1000, 輔助計算!$G$2:$G$801, 0)+1))&lt;=31,3,IF(INDEX(ERP資料!$G:$G, (MATCH(1000, 輔助計算!$G$2:$G$801, 0)+1))&lt;=46.5,2,1)), IF(INDEX(ERP資料!$G:$G, (MATCH(1000, 輔助計算!$G$2:$G$801, 0)+1))&lt;=790,3,IF(INDEX(ERP資料!$G:$G, (MATCH(1000, 輔助計算!$G$2:$G$801, 0)+1))&lt;=1181,2,1))))&gt;0, IF(IF(INDEX(ERP資料!$G:$G, (MATCH(1000, 輔助計算!$G$2:$G$801, 0)+1))&lt;100, IF(INDEX(ERP資料!$G:$G, (MATCH(1000, 輔助計算!$G$2:$G$801, 0)+1))&lt;=31,3,IF(INDEX(ERP資料!$G:$G, (MATCH(1000, 輔助計算!$G$2:$G$801, 0)+1))&lt;=46.5,2,1)), IF(INDEX(ERP資料!$G:$G, (MATCH(1000, 輔助計算!$G$2:$G$801, 0)+1))&lt;=790,3,IF(INDEX(ERP資料!$G:$G, (MATCH(1000, 輔助計算!$G$2:$G$801, 0)+1))&lt;=1181,2,1)))=1,TEXT(INDEX(ERP資料!$G:$G, (MATCH(1000, 輔助計算!$G$2:$G$801, 0)+1)),"0.##"),IF(IF(INDEX(ERP資料!$G:$G, (MATCH(1000, 輔助計算!$G$2:$G$801, 0)+1))&lt;100, IF(INDEX(ERP資料!$G:$G, (MATCH(1000, 輔助計算!$G$2:$G$801, 0)+1))&lt;=31,3,IF(INDEX(ERP資料!$G:$G, (MATCH(1000, 輔助計算!$G$2:$G$801, 0)+1))&lt;=46.5,2,1)), IF(INDEX(ERP資料!$G:$G, (MATCH(1000, 輔助計算!$G$2:$G$801, 0)+1))&lt;=790,3,IF(INDEX(ERP資料!$G:$G, (MATCH(1000, 輔助計算!$G$2:$G$801, 0)+1))&lt;=1181,2,1)))=2,TEXT(INDEX(ERP資料!$G:$G, (MATCH(1000, 輔助計算!$G$2:$G$801, 0)+1)),"0.##")&amp;"+"&amp;TEXT(INDEX(ERP資料!$G:$G, (MATCH(1000, 輔助計算!$G$2:$G$801, 0)+1)),"0.##"),TEXT(INDEX(ERP資料!$G:$G, (MATCH(1000, 輔助計算!$G$2:$G$801, 0)+1)),"0.##")&amp;"+"&amp;TEXT(INDEX(ERP資料!$G:$G, (MATCH(1000, 輔助計算!$G$2:$G$801, 0)+1)),"0.##")&amp;"+"&amp;TEXT(INDEX(ERP資料!$G:$G, (MATCH(1000, 輔助計算!$G$2:$G$801, 0)+1)),"0.##")))&amp;"-"&amp;INT(INDEX(輔助計算!$D:$D, (MATCH(1000, 輔助計算!$G$2:$G$801, 0)+1))/IF(INDEX(ERP資料!$G:$G, (MATCH(1000, 輔助計算!$G$2:$G$801, 0)+1))&lt;100, IF(INDEX(ERP資料!$G:$G, (MATCH(1000, 輔助計算!$G$2:$G$801, 0)+1))&lt;=31,3,IF(INDEX(ERP資料!$G:$G, (MATCH(1000, 輔助計算!$G$2:$G$801, 0)+1))&lt;=46.5,2,1)), IF(INDEX(ERP資料!$G:$G, (MATCH(1000, 輔助計算!$G$2:$G$801, 0)+1))&lt;=790,3,IF(INDEX(ERP資料!$G:$G, (MATCH(1000, 輔助計算!$G$2:$G$801, 0)+1))&lt;=1181,2,1)))), "")&amp;IF(AND(IF(INT(INDEX(輔助計算!$D:$D, (MATCH(1000, 輔助計算!$G$2:$G$801, 0)+1))/IF(INDEX(ERP資料!$G:$G, (MATCH(1000, 輔助計算!$G$2:$G$801, 0)+1))&lt;100, IF(INDEX(ERP資料!$G:$G, (MATCH(1000, 輔助計算!$G$2:$G$801, 0)+1))&lt;=31,3,IF(INDEX(ERP資料!$G:$G, (MATCH(1000, 輔助計算!$G$2:$G$801, 0)+1))&lt;=46.5,2,1)), IF(INDEX(ERP資料!$G:$G, (MATCH(1000, 輔助計算!$G$2:$G$801, 0)+1))&lt;=790,3,IF(INDEX(ERP資料!$G:$G, (MATCH(1000, 輔助計算!$G$2:$G$801, 0)+1))&lt;=1181,2,1))))&gt;0, IF(IF(INDEX(ERP資料!$G:$G, (MATCH(1000, 輔助計算!$G$2:$G$801, 0)+1))&lt;100, IF(INDEX(ERP資料!$G:$G, (MATCH(1000, 輔助計算!$G$2:$G$801, 0)+1))&lt;=31,3,IF(INDEX(ERP資料!$G:$G, (MATCH(1000, 輔助計算!$G$2:$G$801, 0)+1))&lt;=46.5,2,1)), IF(INDEX(ERP資料!$G:$G, (MATCH(1000, 輔助計算!$G$2:$G$801, 0)+1))&lt;=790,3,IF(INDEX(ERP資料!$G:$G, (MATCH(1000, 輔助計算!$G$2:$G$801, 0)+1))&lt;=1181,2,1)))=1,TEXT(INDEX(ERP資料!$G:$G, (MATCH(1000, 輔助計算!$G$2:$G$801, 0)+1)),"0.##"),IF(IF(INDEX(ERP資料!$G:$G, (MATCH(1000, 輔助計算!$G$2:$G$801, 0)+1))&lt;100, IF(INDEX(ERP資料!$G:$G, (MATCH(1000, 輔助計算!$G$2:$G$801, 0)+1))&lt;=31,3,IF(INDEX(ERP資料!$G:$G, (MATCH(1000, 輔助計算!$G$2:$G$801, 0)+1))&lt;=46.5,2,1)), IF(INDEX(ERP資料!$G:$G, (MATCH(1000, 輔助計算!$G$2:$G$801, 0)+1))&lt;=790,3,IF(INDEX(ERP資料!$G:$G, (MATCH(1000, 輔助計算!$G$2:$G$801, 0)+1))&lt;=1181,2,1)))=2,TEXT(INDEX(ERP資料!$G:$G, (MATCH(1000, 輔助計算!$G$2:$G$801, 0)+1)),"0.##")&amp;"+"&amp;TEXT(INDEX(ERP資料!$G:$G, (MATCH(1000, 輔助計算!$G$2:$G$801, 0)+1)),"0.##"),TEXT(INDEX(ERP資料!$G:$G, (MATCH(1000, 輔助計算!$G$2:$G$801, 0)+1)),"0.##")&amp;"+"&amp;TEXT(INDEX(ERP資料!$G:$G, (MATCH(1000, 輔助計算!$G$2:$G$801, 0)+1)),"0.##")&amp;"+"&amp;TEXT(INDEX(ERP資料!$G:$G, (MATCH(1000, 輔助計算!$G$2:$G$801, 0)+1)),"0.##")))&amp;"-"&amp;INT(INDEX(輔助計算!$D:$D, (MATCH(1000, 輔助計算!$G$2:$G$801, 0)+1))/IF(INDEX(ERP資料!$G:$G, (MATCH(1000, 輔助計算!$G$2:$G$801, 0)+1))&lt;100, IF(INDEX(ERP資料!$G:$G, (MATCH(1000, 輔助計算!$G$2:$G$801, 0)+1))&lt;=31,3,IF(INDEX(ERP資料!$G:$G, (MATCH(1000, 輔助計算!$G$2:$G$801, 0)+1))&lt;=46.5,2,1)), IF(INDEX(ERP資料!$G:$G, (MATCH(1000, 輔助計算!$G$2:$G$801, 0)+1))&lt;=790,3,IF(INDEX(ERP資料!$G:$G, (MATCH(1000, 輔助計算!$G$2:$G$801, 0)+1))&lt;=1181,2,1)))), "")&lt;&gt;"",IF(MOD(INDEX(輔助計算!$D:$D, (MATCH(1000, 輔助計算!$G$2:$G$801, 0)+1)),IF(INDEX(ERP資料!$G:$G, (MATCH(1000, 輔助計算!$G$2:$G$801, 0)+1))&lt;100, IF(INDEX(ERP資料!$G:$G, (MATCH(1000, 輔助計算!$G$2:$G$801, 0)+1))&lt;=31,3,IF(INDEX(ERP資料!$G:$G, (MATCH(1000, 輔助計算!$G$2:$G$801, 0)+1))&lt;=46.5,2,1)), IF(INDEX(ERP資料!$G:$G, (MATCH(1000, 輔助計算!$G$2:$G$801, 0)+1))&lt;=790,3,IF(INDEX(ERP資料!$G:$G, (MATCH(1000, 輔助計算!$G$2:$G$801, 0)+1))&lt;=1181,2,1))))=0,"",IF(MOD(INDEX(輔助計算!$D:$D, (MATCH(1000, 輔助計算!$G$2:$G$801, 0)+1)),IF(INDEX(ERP資料!$G:$G, (MATCH(1000, 輔助計算!$G$2:$G$801, 0)+1))&lt;100, IF(INDEX(ERP資料!$G:$G, (MATCH(1000, 輔助計算!$G$2:$G$801, 0)+1))&lt;=31,3,IF(INDEX(ERP資料!$G:$G, (MATCH(1000, 輔助計算!$G$2:$G$801, 0)+1))&lt;=46.5,2,1)), IF(INDEX(ERP資料!$G:$G, (MATCH(1000, 輔助計算!$G$2:$G$801, 0)+1))&lt;=790,3,IF(INDEX(ERP資料!$G:$G, (MATCH(1000, 輔助計算!$G$2:$G$801, 0)+1))&lt;=1181,2,1))))=0,"",IF(MOD(INDEX(輔助計算!$D:$D, (MATCH(1000, 輔助計算!$G$2:$G$801, 0)+1)),IF(INDEX(ERP資料!$G:$G, (MATCH(1000, 輔助計算!$G$2:$G$801, 0)+1))&lt;100, IF(INDEX(ERP資料!$G:$G, (MATCH(1000, 輔助計算!$G$2:$G$801, 0)+1))&lt;=31,3,IF(INDEX(ERP資料!$G:$G, (MATCH(1000, 輔助計算!$G$2:$G$801, 0)+1))&lt;=46.5,2,1)), IF(INDEX(ERP資料!$G:$G, (MATCH(1000, 輔助計算!$G$2:$G$801, 0)+1))&lt;=790,3,IF(INDEX(ERP資料!$G:$G, (MATCH(1000, 輔助計算!$G$2:$G$801, 0)+1))&lt;=1181,2,1))))=1,TEXT(INDEX(ERP資料!$G:$G, (MATCH(1000, 輔助計算!$G$2:$G$801, 0)+1)),"0.##"),IF(MOD(INDEX(輔助計算!$D:$D, (MATCH(1000, 輔助計算!$G$2:$G$801, 0)+1)),IF(INDEX(ERP資料!$G:$G, (MATCH(1000, 輔助計算!$G$2:$G$801, 0)+1))&lt;100, IF(INDEX(ERP資料!$G:$G, (MATCH(1000, 輔助計算!$G$2:$G$801, 0)+1))&lt;=31,3,IF(INDEX(ERP資料!$G:$G, (MATCH(1000, 輔助計算!$G$2:$G$801, 0)+1))&lt;=46.5,2,1)), IF(INDEX(ERP資料!$G:$G, (MATCH(1000, 輔助計算!$G$2:$G$801, 0)+1))&lt;=790,3,IF(INDEX(ERP資料!$G:$G, (MATCH(1000, 輔助計算!$G$2:$G$801, 0)+1))&lt;=1181,2,1))))=2,TEXT(INDEX(ERP資料!$G:$G, (MATCH(1000, 輔助計算!$G$2:$G$801, 0)+1)),"0.##")&amp;"+"&amp;TEXT(INDEX(ERP資料!$G:$G, (MATCH(1000, 輔助計算!$G$2:$G$801, 0)+1)),"0.##"),TEXT(INDEX(ERP資料!$G:$G, (MATCH(1000, 輔助計算!$G$2:$G$801, 0)+1)),"0.##")&amp;"+"&amp;TEXT(INDEX(ERP資料!$G:$G, (MATCH(1000, 輔助計算!$G$2:$G$801, 0)+1)),"0.##")&amp;"+"&amp;TEXT(INDEX(ERP資料!$G:$G, (MATCH(1000, 輔助計算!$G$2:$G$801, 0)+1)),"0.##"))))&amp;"-1")&lt;&gt;""),"  ","")&amp;IF(MOD(INDEX(輔助計算!$D:$D, (MATCH(1000, 輔助計算!$G$2:$G$801, 0)+1)),IF(INDEX(ERP資料!$G:$G, (MATCH(1000, 輔助計算!$G$2:$G$801, 0)+1))&lt;100, IF(INDEX(ERP資料!$G:$G, (MATCH(1000, 輔助計算!$G$2:$G$801, 0)+1))&lt;=31,3,IF(INDEX(ERP資料!$G:$G, (MATCH(1000, 輔助計算!$G$2:$G$801, 0)+1))&lt;=46.5,2,1)), IF(INDEX(ERP資料!$G:$G, (MATCH(1000, 輔助計算!$G$2:$G$801, 0)+1))&lt;=790,3,IF(INDEX(ERP資料!$G:$G, (MATCH(1000, 輔助計算!$G$2:$G$801, 0)+1))&lt;=1181,2,1))))=0,"",IF(MOD(INDEX(輔助計算!$D:$D, (MATCH(1000, 輔助計算!$G$2:$G$801, 0)+1)),IF(INDEX(ERP資料!$G:$G, (MATCH(1000, 輔助計算!$G$2:$G$801, 0)+1))&lt;100, IF(INDEX(ERP資料!$G:$G, (MATCH(1000, 輔助計算!$G$2:$G$801, 0)+1))&lt;=31,3,IF(INDEX(ERP資料!$G:$G, (MATCH(1000, 輔助計算!$G$2:$G$801, 0)+1))&lt;=46.5,2,1)), IF(INDEX(ERP資料!$G:$G, (MATCH(1000, 輔助計算!$G$2:$G$801, 0)+1))&lt;=790,3,IF(INDEX(ERP資料!$G:$G, (MATCH(1000, 輔助計算!$G$2:$G$801, 0)+1))&lt;=1181,2,1))))=0,"",IF(MOD(INDEX(輔助計算!$D:$D, (MATCH(1000, 輔助計算!$G$2:$G$801, 0)+1)),IF(INDEX(ERP資料!$G:$G, (MATCH(1000, 輔助計算!$G$2:$G$801, 0)+1))&lt;100, IF(INDEX(ERP資料!$G:$G, (MATCH(1000, 輔助計算!$G$2:$G$801, 0)+1))&lt;=31,3,IF(INDEX(ERP資料!$G:$G, (MATCH(1000, 輔助計算!$G$2:$G$801, 0)+1))&lt;=46.5,2,1)), IF(INDEX(ERP資料!$G:$G, (MATCH(1000, 輔助計算!$G$2:$G$801, 0)+1))&lt;=790,3,IF(INDEX(ERP資料!$G:$G, (MATCH(1000, 輔助計算!$G$2:$G$801, 0)+1))&lt;=1181,2,1))))=1,TEXT(INDEX(ERP資料!$G:$G, (MATCH(1000, 輔助計算!$G$2:$G$801, 0)+1)),"0.##"),IF(MOD(INDEX(輔助計算!$D:$D, (MATCH(1000, 輔助計算!$G$2:$G$801, 0)+1)),IF(INDEX(ERP資料!$G:$G, (MATCH(1000, 輔助計算!$G$2:$G$801, 0)+1))&lt;100, IF(INDEX(ERP資料!$G:$G, (MATCH(1000, 輔助計算!$G$2:$G$801, 0)+1))&lt;=31,3,IF(INDEX(ERP資料!$G:$G, (MATCH(1000, 輔助計算!$G$2:$G$801, 0)+1))&lt;=46.5,2,1)), IF(INDEX(ERP資料!$G:$G, (MATCH(1000, 輔助計算!$G$2:$G$801, 0)+1))&lt;=790,3,IF(INDEX(ERP資料!$G:$G, (MATCH(1000, 輔助計算!$G$2:$G$801, 0)+1))&lt;=1181,2,1))))=2,TEXT(INDEX(ERP資料!$G:$G, (MATCH(1000, 輔助計算!$G$2:$G$801, 0)+1)),"0.##")&amp;"+"&amp;TEXT(INDEX(ERP資料!$G:$G, (MATCH(1000, 輔助計算!$G$2:$G$801, 0)+1)),"0.##"),TEXT(INDEX(ERP資料!$G:$G, (MATCH(1000, 輔助計算!$G$2:$G$801, 0)+1)),"0.##")&amp;"+"&amp;TEXT(INDEX(ERP資料!$G:$G, (MATCH(1000, 輔助計算!$G$2:$G$801, 0)+1)),"0.##")&amp;"+"&amp;TEXT(INDEX(ERP資料!$G:$G, (MATCH(1000, 輔助計算!$G$2:$G$801, 0)+1)),"0.##"))))&amp;"-1")), ""), "")</f>
        <v/>
      </c>
      <c r="K1001" s="16" t="n"/>
      <c r="L1001" s="14">
        <f>IFERROR(IF(AND(IFERROR(INDEX(ERP資料!$A:$A, (MATCH(1000, 輔助計算!$G$2:$G$801, 0)+1)), "")&lt;&gt;"", IFERROR(INDEX(ERP資料!$A:$A, (MATCH(1000, 輔助計算!$G$2:$G$801, 0)+1)), "")&lt;&gt;IFERROR(INDEX(ERP資料!$A:$A, MATCH(999, 輔助計算!$G$2:$G$801, 0)+1), "")), INDEX(ERP資料!$B:$B, (MATCH(1000, 輔助計算!$G$2:$G$801, 0)+1)), ""), "")</f>
        <v/>
      </c>
      <c r="M1001" s="17" t="n"/>
    </row>
    <row r="1002">
      <c r="A1002" s="10">
        <f>IFERROR(IF(AND(IFERROR(INDEX(ERP資料!$A:$A, (MATCH(1001, 輔助計算!$G$2:$G$801, 0)+1)), "")&lt;&gt;"", IFERROR(INDEX(ERP資料!$A:$A, (MATCH(1001, 輔助計算!$G$2:$G$801, 0)+1)), "")&lt;&gt;IFERROR(INDEX(ERP資料!$A:$A, MATCH(1000, 輔助計算!$G$2:$G$801, 0)+1), "")), IFERROR(INDEX(ERP資料!$A:$A, (MATCH(1001, 輔助計算!$G$2:$G$801, 0)+1)), ""), ""), "")</f>
        <v/>
      </c>
      <c r="B1002" s="10">
        <f>IFERROR(IF(AND(IFERROR(INDEX(ERP資料!$A:$A, (MATCH(1001, 輔助計算!$G$2:$G$801, 0)+1)), "")&lt;&gt;"", IFERROR(INDEX(ERP資料!$A:$A, (MATCH(1001, 輔助計算!$G$2:$G$801, 0)+1)), "")&lt;&gt;IFERROR(INDEX(ERP資料!$A:$A, MATCH(1000, 輔助計算!$G$2:$G$801, 0)+1), "")), INDEX(ERP資料!$S:$S, (MATCH(1001, 輔助計算!$G$2:$G$801, 0)+1)), ""), "")</f>
        <v/>
      </c>
      <c r="C1002" s="19">
        <f>IFERROR(IF(AND(IFERROR(INDEX(ERP資料!$A:$A, (MATCH(1001, 輔助計算!$G$2:$G$801, 0)+1)), "")&lt;&gt;"", IFERROR(INDEX(ERP資料!$A:$A, (MATCH(1001, 輔助計算!$G$2:$G$801, 0)+1)), "")&lt;&gt;IFERROR(INDEX(ERP資料!$A:$A, MATCH(1000, 輔助計算!$G$2:$G$801, 0)+1), "")), IFERROR(VLOOKUP(LEFT(INDEX(ERP資料!$S:$S, (MATCH(1001, 輔助計算!$G$2:$G$801, 0)+1)), 4), 紙管對照表!$A:$C, 3, FALSE), ""), ""), "")</f>
        <v/>
      </c>
      <c r="D1002" s="16" t="n"/>
      <c r="E1002" s="10">
        <f>IFERROR(IF(INDEX(ERP資料!$H:$H, (MATCH(1001, 輔助計算!$G$2:$G$801, 0)+1))="","",INDEX(ERP資料!$H:$H, (MATCH(1001, 輔助計算!$G$2:$G$801, 0)+1))), "")</f>
        <v/>
      </c>
      <c r="F1002" s="10">
        <f>IFERROR(IF(INDEX(ERP資料!$E:$E, (MATCH(1001, 輔助計算!$G$2:$G$801, 0)+1))="","",TRIM(INDEX(ERP資料!$E:$E, (MATCH(1001, 輔助計算!$G$2:$G$801, 0)+1)))), "")</f>
        <v/>
      </c>
      <c r="G1002" s="10">
        <f>IFERROR(IF(INDEX(ERP資料!$F:$F, (MATCH(1001, 輔助計算!$G$2:$G$801, 0)+1))="","",INDEX(ERP資料!$F:$F, (MATCH(1001, 輔助計算!$G$2:$G$801, 0)+1))), "")</f>
        <v/>
      </c>
      <c r="H1002" s="10">
        <f>IFERROR(IF(INDEX(ERP資料!$G:$G, (MATCH(1001, 輔助計算!$G$2:$G$801, 0)+1))="","",INDEX(ERP資料!$G:$G, (MATCH(1001, 輔助計算!$G$2:$G$801, 0)+1))), "")</f>
        <v/>
      </c>
      <c r="I1002" s="15">
        <f>IFERROR(INDEX(輔助計算!$D:$D, (MATCH(1001, 輔助計算!$G$2:$G$801, 0)+1)), "")</f>
        <v/>
      </c>
      <c r="J1002" s="15">
        <f>IFERROR(IF(AND(INDEX(輔助計算!$D:$D, (MATCH(1001, 輔助計算!$G$2:$G$801, 0)+1))&lt;&gt;"", INDEX(ERP資料!$G:$G, (MATCH(1001, 輔助計算!$G$2:$G$801, 0)+1))&lt;&gt;""), TRIM(IF(INT(INDEX(輔助計算!$D:$D, (MATCH(1001, 輔助計算!$G$2:$G$801, 0)+1))/IF(INDEX(ERP資料!$G:$G, (MATCH(1001, 輔助計算!$G$2:$G$801, 0)+1))&lt;100, IF(INDEX(ERP資料!$G:$G, (MATCH(1001, 輔助計算!$G$2:$G$801, 0)+1))&lt;=31,3,IF(INDEX(ERP資料!$G:$G, (MATCH(1001, 輔助計算!$G$2:$G$801, 0)+1))&lt;=46.5,2,1)), IF(INDEX(ERP資料!$G:$G, (MATCH(1001, 輔助計算!$G$2:$G$801, 0)+1))&lt;=790,3,IF(INDEX(ERP資料!$G:$G, (MATCH(1001, 輔助計算!$G$2:$G$801, 0)+1))&lt;=1181,2,1))))&gt;0, IF(IF(INDEX(ERP資料!$G:$G, (MATCH(1001, 輔助計算!$G$2:$G$801, 0)+1))&lt;100, IF(INDEX(ERP資料!$G:$G, (MATCH(1001, 輔助計算!$G$2:$G$801, 0)+1))&lt;=31,3,IF(INDEX(ERP資料!$G:$G, (MATCH(1001, 輔助計算!$G$2:$G$801, 0)+1))&lt;=46.5,2,1)), IF(INDEX(ERP資料!$G:$G, (MATCH(1001, 輔助計算!$G$2:$G$801, 0)+1))&lt;=790,3,IF(INDEX(ERP資料!$G:$G, (MATCH(1001, 輔助計算!$G$2:$G$801, 0)+1))&lt;=1181,2,1)))=1,TEXT(INDEX(ERP資料!$G:$G, (MATCH(1001, 輔助計算!$G$2:$G$801, 0)+1)),"0.##"),IF(IF(INDEX(ERP資料!$G:$G, (MATCH(1001, 輔助計算!$G$2:$G$801, 0)+1))&lt;100, IF(INDEX(ERP資料!$G:$G, (MATCH(1001, 輔助計算!$G$2:$G$801, 0)+1))&lt;=31,3,IF(INDEX(ERP資料!$G:$G, (MATCH(1001, 輔助計算!$G$2:$G$801, 0)+1))&lt;=46.5,2,1)), IF(INDEX(ERP資料!$G:$G, (MATCH(1001, 輔助計算!$G$2:$G$801, 0)+1))&lt;=790,3,IF(INDEX(ERP資料!$G:$G, (MATCH(1001, 輔助計算!$G$2:$G$801, 0)+1))&lt;=1181,2,1)))=2,TEXT(INDEX(ERP資料!$G:$G, (MATCH(1001, 輔助計算!$G$2:$G$801, 0)+1)),"0.##")&amp;"+"&amp;TEXT(INDEX(ERP資料!$G:$G, (MATCH(1001, 輔助計算!$G$2:$G$801, 0)+1)),"0.##"),TEXT(INDEX(ERP資料!$G:$G, (MATCH(1001, 輔助計算!$G$2:$G$801, 0)+1)),"0.##")&amp;"+"&amp;TEXT(INDEX(ERP資料!$G:$G, (MATCH(1001, 輔助計算!$G$2:$G$801, 0)+1)),"0.##")&amp;"+"&amp;TEXT(INDEX(ERP資料!$G:$G, (MATCH(1001, 輔助計算!$G$2:$G$801, 0)+1)),"0.##")))&amp;"-"&amp;INT(INDEX(輔助計算!$D:$D, (MATCH(1001, 輔助計算!$G$2:$G$801, 0)+1))/IF(INDEX(ERP資料!$G:$G, (MATCH(1001, 輔助計算!$G$2:$G$801, 0)+1))&lt;100, IF(INDEX(ERP資料!$G:$G, (MATCH(1001, 輔助計算!$G$2:$G$801, 0)+1))&lt;=31,3,IF(INDEX(ERP資料!$G:$G, (MATCH(1001, 輔助計算!$G$2:$G$801, 0)+1))&lt;=46.5,2,1)), IF(INDEX(ERP資料!$G:$G, (MATCH(1001, 輔助計算!$G$2:$G$801, 0)+1))&lt;=790,3,IF(INDEX(ERP資料!$G:$G, (MATCH(1001, 輔助計算!$G$2:$G$801, 0)+1))&lt;=1181,2,1)))), "")&amp;IF(AND(IF(INT(INDEX(輔助計算!$D:$D, (MATCH(1001, 輔助計算!$G$2:$G$801, 0)+1))/IF(INDEX(ERP資料!$G:$G, (MATCH(1001, 輔助計算!$G$2:$G$801, 0)+1))&lt;100, IF(INDEX(ERP資料!$G:$G, (MATCH(1001, 輔助計算!$G$2:$G$801, 0)+1))&lt;=31,3,IF(INDEX(ERP資料!$G:$G, (MATCH(1001, 輔助計算!$G$2:$G$801, 0)+1))&lt;=46.5,2,1)), IF(INDEX(ERP資料!$G:$G, (MATCH(1001, 輔助計算!$G$2:$G$801, 0)+1))&lt;=790,3,IF(INDEX(ERP資料!$G:$G, (MATCH(1001, 輔助計算!$G$2:$G$801, 0)+1))&lt;=1181,2,1))))&gt;0, IF(IF(INDEX(ERP資料!$G:$G, (MATCH(1001, 輔助計算!$G$2:$G$801, 0)+1))&lt;100, IF(INDEX(ERP資料!$G:$G, (MATCH(1001, 輔助計算!$G$2:$G$801, 0)+1))&lt;=31,3,IF(INDEX(ERP資料!$G:$G, (MATCH(1001, 輔助計算!$G$2:$G$801, 0)+1))&lt;=46.5,2,1)), IF(INDEX(ERP資料!$G:$G, (MATCH(1001, 輔助計算!$G$2:$G$801, 0)+1))&lt;=790,3,IF(INDEX(ERP資料!$G:$G, (MATCH(1001, 輔助計算!$G$2:$G$801, 0)+1))&lt;=1181,2,1)))=1,TEXT(INDEX(ERP資料!$G:$G, (MATCH(1001, 輔助計算!$G$2:$G$801, 0)+1)),"0.##"),IF(IF(INDEX(ERP資料!$G:$G, (MATCH(1001, 輔助計算!$G$2:$G$801, 0)+1))&lt;100, IF(INDEX(ERP資料!$G:$G, (MATCH(1001, 輔助計算!$G$2:$G$801, 0)+1))&lt;=31,3,IF(INDEX(ERP資料!$G:$G, (MATCH(1001, 輔助計算!$G$2:$G$801, 0)+1))&lt;=46.5,2,1)), IF(INDEX(ERP資料!$G:$G, (MATCH(1001, 輔助計算!$G$2:$G$801, 0)+1))&lt;=790,3,IF(INDEX(ERP資料!$G:$G, (MATCH(1001, 輔助計算!$G$2:$G$801, 0)+1))&lt;=1181,2,1)))=2,TEXT(INDEX(ERP資料!$G:$G, (MATCH(1001, 輔助計算!$G$2:$G$801, 0)+1)),"0.##")&amp;"+"&amp;TEXT(INDEX(ERP資料!$G:$G, (MATCH(1001, 輔助計算!$G$2:$G$801, 0)+1)),"0.##"),TEXT(INDEX(ERP資料!$G:$G, (MATCH(1001, 輔助計算!$G$2:$G$801, 0)+1)),"0.##")&amp;"+"&amp;TEXT(INDEX(ERP資料!$G:$G, (MATCH(1001, 輔助計算!$G$2:$G$801, 0)+1)),"0.##")&amp;"+"&amp;TEXT(INDEX(ERP資料!$G:$G, (MATCH(1001, 輔助計算!$G$2:$G$801, 0)+1)),"0.##")))&amp;"-"&amp;INT(INDEX(輔助計算!$D:$D, (MATCH(1001, 輔助計算!$G$2:$G$801, 0)+1))/IF(INDEX(ERP資料!$G:$G, (MATCH(1001, 輔助計算!$G$2:$G$801, 0)+1))&lt;100, IF(INDEX(ERP資料!$G:$G, (MATCH(1001, 輔助計算!$G$2:$G$801, 0)+1))&lt;=31,3,IF(INDEX(ERP資料!$G:$G, (MATCH(1001, 輔助計算!$G$2:$G$801, 0)+1))&lt;=46.5,2,1)), IF(INDEX(ERP資料!$G:$G, (MATCH(1001, 輔助計算!$G$2:$G$801, 0)+1))&lt;=790,3,IF(INDEX(ERP資料!$G:$G, (MATCH(1001, 輔助計算!$G$2:$G$801, 0)+1))&lt;=1181,2,1)))), "")&lt;&gt;"",IF(MOD(INDEX(輔助計算!$D:$D, (MATCH(1001, 輔助計算!$G$2:$G$801, 0)+1)),IF(INDEX(ERP資料!$G:$G, (MATCH(1001, 輔助計算!$G$2:$G$801, 0)+1))&lt;100, IF(INDEX(ERP資料!$G:$G, (MATCH(1001, 輔助計算!$G$2:$G$801, 0)+1))&lt;=31,3,IF(INDEX(ERP資料!$G:$G, (MATCH(1001, 輔助計算!$G$2:$G$801, 0)+1))&lt;=46.5,2,1)), IF(INDEX(ERP資料!$G:$G, (MATCH(1001, 輔助計算!$G$2:$G$801, 0)+1))&lt;=790,3,IF(INDEX(ERP資料!$G:$G, (MATCH(1001, 輔助計算!$G$2:$G$801, 0)+1))&lt;=1181,2,1))))=0,"",IF(MOD(INDEX(輔助計算!$D:$D, (MATCH(1001, 輔助計算!$G$2:$G$801, 0)+1)),IF(INDEX(ERP資料!$G:$G, (MATCH(1001, 輔助計算!$G$2:$G$801, 0)+1))&lt;100, IF(INDEX(ERP資料!$G:$G, (MATCH(1001, 輔助計算!$G$2:$G$801, 0)+1))&lt;=31,3,IF(INDEX(ERP資料!$G:$G, (MATCH(1001, 輔助計算!$G$2:$G$801, 0)+1))&lt;=46.5,2,1)), IF(INDEX(ERP資料!$G:$G, (MATCH(1001, 輔助計算!$G$2:$G$801, 0)+1))&lt;=790,3,IF(INDEX(ERP資料!$G:$G, (MATCH(1001, 輔助計算!$G$2:$G$801, 0)+1))&lt;=1181,2,1))))=0,"",IF(MOD(INDEX(輔助計算!$D:$D, (MATCH(1001, 輔助計算!$G$2:$G$801, 0)+1)),IF(INDEX(ERP資料!$G:$G, (MATCH(1001, 輔助計算!$G$2:$G$801, 0)+1))&lt;100, IF(INDEX(ERP資料!$G:$G, (MATCH(1001, 輔助計算!$G$2:$G$801, 0)+1))&lt;=31,3,IF(INDEX(ERP資料!$G:$G, (MATCH(1001, 輔助計算!$G$2:$G$801, 0)+1))&lt;=46.5,2,1)), IF(INDEX(ERP資料!$G:$G, (MATCH(1001, 輔助計算!$G$2:$G$801, 0)+1))&lt;=790,3,IF(INDEX(ERP資料!$G:$G, (MATCH(1001, 輔助計算!$G$2:$G$801, 0)+1))&lt;=1181,2,1))))=1,TEXT(INDEX(ERP資料!$G:$G, (MATCH(1001, 輔助計算!$G$2:$G$801, 0)+1)),"0.##"),IF(MOD(INDEX(輔助計算!$D:$D, (MATCH(1001, 輔助計算!$G$2:$G$801, 0)+1)),IF(INDEX(ERP資料!$G:$G, (MATCH(1001, 輔助計算!$G$2:$G$801, 0)+1))&lt;100, IF(INDEX(ERP資料!$G:$G, (MATCH(1001, 輔助計算!$G$2:$G$801, 0)+1))&lt;=31,3,IF(INDEX(ERP資料!$G:$G, (MATCH(1001, 輔助計算!$G$2:$G$801, 0)+1))&lt;=46.5,2,1)), IF(INDEX(ERP資料!$G:$G, (MATCH(1001, 輔助計算!$G$2:$G$801, 0)+1))&lt;=790,3,IF(INDEX(ERP資料!$G:$G, (MATCH(1001, 輔助計算!$G$2:$G$801, 0)+1))&lt;=1181,2,1))))=2,TEXT(INDEX(ERP資料!$G:$G, (MATCH(1001, 輔助計算!$G$2:$G$801, 0)+1)),"0.##")&amp;"+"&amp;TEXT(INDEX(ERP資料!$G:$G, (MATCH(1001, 輔助計算!$G$2:$G$801, 0)+1)),"0.##"),TEXT(INDEX(ERP資料!$G:$G, (MATCH(1001, 輔助計算!$G$2:$G$801, 0)+1)),"0.##")&amp;"+"&amp;TEXT(INDEX(ERP資料!$G:$G, (MATCH(1001, 輔助計算!$G$2:$G$801, 0)+1)),"0.##")&amp;"+"&amp;TEXT(INDEX(ERP資料!$G:$G, (MATCH(1001, 輔助計算!$G$2:$G$801, 0)+1)),"0.##"))))&amp;"-1")&lt;&gt;""),"  ","")&amp;IF(MOD(INDEX(輔助計算!$D:$D, (MATCH(1001, 輔助計算!$G$2:$G$801, 0)+1)),IF(INDEX(ERP資料!$G:$G, (MATCH(1001, 輔助計算!$G$2:$G$801, 0)+1))&lt;100, IF(INDEX(ERP資料!$G:$G, (MATCH(1001, 輔助計算!$G$2:$G$801, 0)+1))&lt;=31,3,IF(INDEX(ERP資料!$G:$G, (MATCH(1001, 輔助計算!$G$2:$G$801, 0)+1))&lt;=46.5,2,1)), IF(INDEX(ERP資料!$G:$G, (MATCH(1001, 輔助計算!$G$2:$G$801, 0)+1))&lt;=790,3,IF(INDEX(ERP資料!$G:$G, (MATCH(1001, 輔助計算!$G$2:$G$801, 0)+1))&lt;=1181,2,1))))=0,"",IF(MOD(INDEX(輔助計算!$D:$D, (MATCH(1001, 輔助計算!$G$2:$G$801, 0)+1)),IF(INDEX(ERP資料!$G:$G, (MATCH(1001, 輔助計算!$G$2:$G$801, 0)+1))&lt;100, IF(INDEX(ERP資料!$G:$G, (MATCH(1001, 輔助計算!$G$2:$G$801, 0)+1))&lt;=31,3,IF(INDEX(ERP資料!$G:$G, (MATCH(1001, 輔助計算!$G$2:$G$801, 0)+1))&lt;=46.5,2,1)), IF(INDEX(ERP資料!$G:$G, (MATCH(1001, 輔助計算!$G$2:$G$801, 0)+1))&lt;=790,3,IF(INDEX(ERP資料!$G:$G, (MATCH(1001, 輔助計算!$G$2:$G$801, 0)+1))&lt;=1181,2,1))))=0,"",IF(MOD(INDEX(輔助計算!$D:$D, (MATCH(1001, 輔助計算!$G$2:$G$801, 0)+1)),IF(INDEX(ERP資料!$G:$G, (MATCH(1001, 輔助計算!$G$2:$G$801, 0)+1))&lt;100, IF(INDEX(ERP資料!$G:$G, (MATCH(1001, 輔助計算!$G$2:$G$801, 0)+1))&lt;=31,3,IF(INDEX(ERP資料!$G:$G, (MATCH(1001, 輔助計算!$G$2:$G$801, 0)+1))&lt;=46.5,2,1)), IF(INDEX(ERP資料!$G:$G, (MATCH(1001, 輔助計算!$G$2:$G$801, 0)+1))&lt;=790,3,IF(INDEX(ERP資料!$G:$G, (MATCH(1001, 輔助計算!$G$2:$G$801, 0)+1))&lt;=1181,2,1))))=1,TEXT(INDEX(ERP資料!$G:$G, (MATCH(1001, 輔助計算!$G$2:$G$801, 0)+1)),"0.##"),IF(MOD(INDEX(輔助計算!$D:$D, (MATCH(1001, 輔助計算!$G$2:$G$801, 0)+1)),IF(INDEX(ERP資料!$G:$G, (MATCH(1001, 輔助計算!$G$2:$G$801, 0)+1))&lt;100, IF(INDEX(ERP資料!$G:$G, (MATCH(1001, 輔助計算!$G$2:$G$801, 0)+1))&lt;=31,3,IF(INDEX(ERP資料!$G:$G, (MATCH(1001, 輔助計算!$G$2:$G$801, 0)+1))&lt;=46.5,2,1)), IF(INDEX(ERP資料!$G:$G, (MATCH(1001, 輔助計算!$G$2:$G$801, 0)+1))&lt;=790,3,IF(INDEX(ERP資料!$G:$G, (MATCH(1001, 輔助計算!$G$2:$G$801, 0)+1))&lt;=1181,2,1))))=2,TEXT(INDEX(ERP資料!$G:$G, (MATCH(1001, 輔助計算!$G$2:$G$801, 0)+1)),"0.##")&amp;"+"&amp;TEXT(INDEX(ERP資料!$G:$G, (MATCH(1001, 輔助計算!$G$2:$G$801, 0)+1)),"0.##"),TEXT(INDEX(ERP資料!$G:$G, (MATCH(1001, 輔助計算!$G$2:$G$801, 0)+1)),"0.##")&amp;"+"&amp;TEXT(INDEX(ERP資料!$G:$G, (MATCH(1001, 輔助計算!$G$2:$G$801, 0)+1)),"0.##")&amp;"+"&amp;TEXT(INDEX(ERP資料!$G:$G, (MATCH(1001, 輔助計算!$G$2:$G$801, 0)+1)),"0.##"))))&amp;"-1")), ""), "")</f>
        <v/>
      </c>
      <c r="K1002" s="16" t="n"/>
      <c r="L1002" s="14">
        <f>IFERROR(IF(AND(IFERROR(INDEX(ERP資料!$A:$A, (MATCH(1001, 輔助計算!$G$2:$G$801, 0)+1)), "")&lt;&gt;"", IFERROR(INDEX(ERP資料!$A:$A, (MATCH(1001, 輔助計算!$G$2:$G$801, 0)+1)), "")&lt;&gt;IFERROR(INDEX(ERP資料!$A:$A, MATCH(1000, 輔助計算!$G$2:$G$801, 0)+1), "")), INDEX(ERP資料!$B:$B, (MATCH(1001, 輔助計算!$G$2:$G$801, 0)+1)), ""), "")</f>
        <v/>
      </c>
      <c r="M1002" s="17" t="n"/>
    </row>
    <row r="1003">
      <c r="A1003" s="10">
        <f>IFERROR(IF(AND(IFERROR(INDEX(ERP資料!$A:$A, (MATCH(1002, 輔助計算!$G$2:$G$801, 0)+1)), "")&lt;&gt;"", IFERROR(INDEX(ERP資料!$A:$A, (MATCH(1002, 輔助計算!$G$2:$G$801, 0)+1)), "")&lt;&gt;IFERROR(INDEX(ERP資料!$A:$A, MATCH(1001, 輔助計算!$G$2:$G$801, 0)+1), "")), IFERROR(INDEX(ERP資料!$A:$A, (MATCH(1002, 輔助計算!$G$2:$G$801, 0)+1)), ""), ""), "")</f>
        <v/>
      </c>
      <c r="B1003" s="10">
        <f>IFERROR(IF(AND(IFERROR(INDEX(ERP資料!$A:$A, (MATCH(1002, 輔助計算!$G$2:$G$801, 0)+1)), "")&lt;&gt;"", IFERROR(INDEX(ERP資料!$A:$A, (MATCH(1002, 輔助計算!$G$2:$G$801, 0)+1)), "")&lt;&gt;IFERROR(INDEX(ERP資料!$A:$A, MATCH(1001, 輔助計算!$G$2:$G$801, 0)+1), "")), INDEX(ERP資料!$S:$S, (MATCH(1002, 輔助計算!$G$2:$G$801, 0)+1)), ""), "")</f>
        <v/>
      </c>
      <c r="C1003" s="19">
        <f>IFERROR(IF(AND(IFERROR(INDEX(ERP資料!$A:$A, (MATCH(1002, 輔助計算!$G$2:$G$801, 0)+1)), "")&lt;&gt;"", IFERROR(INDEX(ERP資料!$A:$A, (MATCH(1002, 輔助計算!$G$2:$G$801, 0)+1)), "")&lt;&gt;IFERROR(INDEX(ERP資料!$A:$A, MATCH(1001, 輔助計算!$G$2:$G$801, 0)+1), "")), IFERROR(VLOOKUP(LEFT(INDEX(ERP資料!$S:$S, (MATCH(1002, 輔助計算!$G$2:$G$801, 0)+1)), 4), 紙管對照表!$A:$C, 3, FALSE), ""), ""), "")</f>
        <v/>
      </c>
      <c r="D1003" s="16" t="n"/>
      <c r="E1003" s="10">
        <f>IFERROR(IF(INDEX(ERP資料!$H:$H, (MATCH(1002, 輔助計算!$G$2:$G$801, 0)+1))="","",INDEX(ERP資料!$H:$H, (MATCH(1002, 輔助計算!$G$2:$G$801, 0)+1))), "")</f>
        <v/>
      </c>
      <c r="F1003" s="10">
        <f>IFERROR(IF(INDEX(ERP資料!$E:$E, (MATCH(1002, 輔助計算!$G$2:$G$801, 0)+1))="","",TRIM(INDEX(ERP資料!$E:$E, (MATCH(1002, 輔助計算!$G$2:$G$801, 0)+1)))), "")</f>
        <v/>
      </c>
      <c r="G1003" s="10">
        <f>IFERROR(IF(INDEX(ERP資料!$F:$F, (MATCH(1002, 輔助計算!$G$2:$G$801, 0)+1))="","",INDEX(ERP資料!$F:$F, (MATCH(1002, 輔助計算!$G$2:$G$801, 0)+1))), "")</f>
        <v/>
      </c>
      <c r="H1003" s="10">
        <f>IFERROR(IF(INDEX(ERP資料!$G:$G, (MATCH(1002, 輔助計算!$G$2:$G$801, 0)+1))="","",INDEX(ERP資料!$G:$G, (MATCH(1002, 輔助計算!$G$2:$G$801, 0)+1))), "")</f>
        <v/>
      </c>
      <c r="I1003" s="15">
        <f>IFERROR(INDEX(輔助計算!$D:$D, (MATCH(1002, 輔助計算!$G$2:$G$801, 0)+1)), "")</f>
        <v/>
      </c>
      <c r="J1003" s="15">
        <f>IFERROR(IF(AND(INDEX(輔助計算!$D:$D, (MATCH(1002, 輔助計算!$G$2:$G$801, 0)+1))&lt;&gt;"", INDEX(ERP資料!$G:$G, (MATCH(1002, 輔助計算!$G$2:$G$801, 0)+1))&lt;&gt;""), TRIM(IF(INT(INDEX(輔助計算!$D:$D, (MATCH(1002, 輔助計算!$G$2:$G$801, 0)+1))/IF(INDEX(ERP資料!$G:$G, (MATCH(1002, 輔助計算!$G$2:$G$801, 0)+1))&lt;100, IF(INDEX(ERP資料!$G:$G, (MATCH(1002, 輔助計算!$G$2:$G$801, 0)+1))&lt;=31,3,IF(INDEX(ERP資料!$G:$G, (MATCH(1002, 輔助計算!$G$2:$G$801, 0)+1))&lt;=46.5,2,1)), IF(INDEX(ERP資料!$G:$G, (MATCH(1002, 輔助計算!$G$2:$G$801, 0)+1))&lt;=790,3,IF(INDEX(ERP資料!$G:$G, (MATCH(1002, 輔助計算!$G$2:$G$801, 0)+1))&lt;=1181,2,1))))&gt;0, IF(IF(INDEX(ERP資料!$G:$G, (MATCH(1002, 輔助計算!$G$2:$G$801, 0)+1))&lt;100, IF(INDEX(ERP資料!$G:$G, (MATCH(1002, 輔助計算!$G$2:$G$801, 0)+1))&lt;=31,3,IF(INDEX(ERP資料!$G:$G, (MATCH(1002, 輔助計算!$G$2:$G$801, 0)+1))&lt;=46.5,2,1)), IF(INDEX(ERP資料!$G:$G, (MATCH(1002, 輔助計算!$G$2:$G$801, 0)+1))&lt;=790,3,IF(INDEX(ERP資料!$G:$G, (MATCH(1002, 輔助計算!$G$2:$G$801, 0)+1))&lt;=1181,2,1)))=1,TEXT(INDEX(ERP資料!$G:$G, (MATCH(1002, 輔助計算!$G$2:$G$801, 0)+1)),"0.##"),IF(IF(INDEX(ERP資料!$G:$G, (MATCH(1002, 輔助計算!$G$2:$G$801, 0)+1))&lt;100, IF(INDEX(ERP資料!$G:$G, (MATCH(1002, 輔助計算!$G$2:$G$801, 0)+1))&lt;=31,3,IF(INDEX(ERP資料!$G:$G, (MATCH(1002, 輔助計算!$G$2:$G$801, 0)+1))&lt;=46.5,2,1)), IF(INDEX(ERP資料!$G:$G, (MATCH(1002, 輔助計算!$G$2:$G$801, 0)+1))&lt;=790,3,IF(INDEX(ERP資料!$G:$G, (MATCH(1002, 輔助計算!$G$2:$G$801, 0)+1))&lt;=1181,2,1)))=2,TEXT(INDEX(ERP資料!$G:$G, (MATCH(1002, 輔助計算!$G$2:$G$801, 0)+1)),"0.##")&amp;"+"&amp;TEXT(INDEX(ERP資料!$G:$G, (MATCH(1002, 輔助計算!$G$2:$G$801, 0)+1)),"0.##"),TEXT(INDEX(ERP資料!$G:$G, (MATCH(1002, 輔助計算!$G$2:$G$801, 0)+1)),"0.##")&amp;"+"&amp;TEXT(INDEX(ERP資料!$G:$G, (MATCH(1002, 輔助計算!$G$2:$G$801, 0)+1)),"0.##")&amp;"+"&amp;TEXT(INDEX(ERP資料!$G:$G, (MATCH(1002, 輔助計算!$G$2:$G$801, 0)+1)),"0.##")))&amp;"-"&amp;INT(INDEX(輔助計算!$D:$D, (MATCH(1002, 輔助計算!$G$2:$G$801, 0)+1))/IF(INDEX(ERP資料!$G:$G, (MATCH(1002, 輔助計算!$G$2:$G$801, 0)+1))&lt;100, IF(INDEX(ERP資料!$G:$G, (MATCH(1002, 輔助計算!$G$2:$G$801, 0)+1))&lt;=31,3,IF(INDEX(ERP資料!$G:$G, (MATCH(1002, 輔助計算!$G$2:$G$801, 0)+1))&lt;=46.5,2,1)), IF(INDEX(ERP資料!$G:$G, (MATCH(1002, 輔助計算!$G$2:$G$801, 0)+1))&lt;=790,3,IF(INDEX(ERP資料!$G:$G, (MATCH(1002, 輔助計算!$G$2:$G$801, 0)+1))&lt;=1181,2,1)))), "")&amp;IF(AND(IF(INT(INDEX(輔助計算!$D:$D, (MATCH(1002, 輔助計算!$G$2:$G$801, 0)+1))/IF(INDEX(ERP資料!$G:$G, (MATCH(1002, 輔助計算!$G$2:$G$801, 0)+1))&lt;100, IF(INDEX(ERP資料!$G:$G, (MATCH(1002, 輔助計算!$G$2:$G$801, 0)+1))&lt;=31,3,IF(INDEX(ERP資料!$G:$G, (MATCH(1002, 輔助計算!$G$2:$G$801, 0)+1))&lt;=46.5,2,1)), IF(INDEX(ERP資料!$G:$G, (MATCH(1002, 輔助計算!$G$2:$G$801, 0)+1))&lt;=790,3,IF(INDEX(ERP資料!$G:$G, (MATCH(1002, 輔助計算!$G$2:$G$801, 0)+1))&lt;=1181,2,1))))&gt;0, IF(IF(INDEX(ERP資料!$G:$G, (MATCH(1002, 輔助計算!$G$2:$G$801, 0)+1))&lt;100, IF(INDEX(ERP資料!$G:$G, (MATCH(1002, 輔助計算!$G$2:$G$801, 0)+1))&lt;=31,3,IF(INDEX(ERP資料!$G:$G, (MATCH(1002, 輔助計算!$G$2:$G$801, 0)+1))&lt;=46.5,2,1)), IF(INDEX(ERP資料!$G:$G, (MATCH(1002, 輔助計算!$G$2:$G$801, 0)+1))&lt;=790,3,IF(INDEX(ERP資料!$G:$G, (MATCH(1002, 輔助計算!$G$2:$G$801, 0)+1))&lt;=1181,2,1)))=1,TEXT(INDEX(ERP資料!$G:$G, (MATCH(1002, 輔助計算!$G$2:$G$801, 0)+1)),"0.##"),IF(IF(INDEX(ERP資料!$G:$G, (MATCH(1002, 輔助計算!$G$2:$G$801, 0)+1))&lt;100, IF(INDEX(ERP資料!$G:$G, (MATCH(1002, 輔助計算!$G$2:$G$801, 0)+1))&lt;=31,3,IF(INDEX(ERP資料!$G:$G, (MATCH(1002, 輔助計算!$G$2:$G$801, 0)+1))&lt;=46.5,2,1)), IF(INDEX(ERP資料!$G:$G, (MATCH(1002, 輔助計算!$G$2:$G$801, 0)+1))&lt;=790,3,IF(INDEX(ERP資料!$G:$G, (MATCH(1002, 輔助計算!$G$2:$G$801, 0)+1))&lt;=1181,2,1)))=2,TEXT(INDEX(ERP資料!$G:$G, (MATCH(1002, 輔助計算!$G$2:$G$801, 0)+1)),"0.##")&amp;"+"&amp;TEXT(INDEX(ERP資料!$G:$G, (MATCH(1002, 輔助計算!$G$2:$G$801, 0)+1)),"0.##"),TEXT(INDEX(ERP資料!$G:$G, (MATCH(1002, 輔助計算!$G$2:$G$801, 0)+1)),"0.##")&amp;"+"&amp;TEXT(INDEX(ERP資料!$G:$G, (MATCH(1002, 輔助計算!$G$2:$G$801, 0)+1)),"0.##")&amp;"+"&amp;TEXT(INDEX(ERP資料!$G:$G, (MATCH(1002, 輔助計算!$G$2:$G$801, 0)+1)),"0.##")))&amp;"-"&amp;INT(INDEX(輔助計算!$D:$D, (MATCH(1002, 輔助計算!$G$2:$G$801, 0)+1))/IF(INDEX(ERP資料!$G:$G, (MATCH(1002, 輔助計算!$G$2:$G$801, 0)+1))&lt;100, IF(INDEX(ERP資料!$G:$G, (MATCH(1002, 輔助計算!$G$2:$G$801, 0)+1))&lt;=31,3,IF(INDEX(ERP資料!$G:$G, (MATCH(1002, 輔助計算!$G$2:$G$801, 0)+1))&lt;=46.5,2,1)), IF(INDEX(ERP資料!$G:$G, (MATCH(1002, 輔助計算!$G$2:$G$801, 0)+1))&lt;=790,3,IF(INDEX(ERP資料!$G:$G, (MATCH(1002, 輔助計算!$G$2:$G$801, 0)+1))&lt;=1181,2,1)))), "")&lt;&gt;"",IF(MOD(INDEX(輔助計算!$D:$D, (MATCH(1002, 輔助計算!$G$2:$G$801, 0)+1)),IF(INDEX(ERP資料!$G:$G, (MATCH(1002, 輔助計算!$G$2:$G$801, 0)+1))&lt;100, IF(INDEX(ERP資料!$G:$G, (MATCH(1002, 輔助計算!$G$2:$G$801, 0)+1))&lt;=31,3,IF(INDEX(ERP資料!$G:$G, (MATCH(1002, 輔助計算!$G$2:$G$801, 0)+1))&lt;=46.5,2,1)), IF(INDEX(ERP資料!$G:$G, (MATCH(1002, 輔助計算!$G$2:$G$801, 0)+1))&lt;=790,3,IF(INDEX(ERP資料!$G:$G, (MATCH(1002, 輔助計算!$G$2:$G$801, 0)+1))&lt;=1181,2,1))))=0,"",IF(MOD(INDEX(輔助計算!$D:$D, (MATCH(1002, 輔助計算!$G$2:$G$801, 0)+1)),IF(INDEX(ERP資料!$G:$G, (MATCH(1002, 輔助計算!$G$2:$G$801, 0)+1))&lt;100, IF(INDEX(ERP資料!$G:$G, (MATCH(1002, 輔助計算!$G$2:$G$801, 0)+1))&lt;=31,3,IF(INDEX(ERP資料!$G:$G, (MATCH(1002, 輔助計算!$G$2:$G$801, 0)+1))&lt;=46.5,2,1)), IF(INDEX(ERP資料!$G:$G, (MATCH(1002, 輔助計算!$G$2:$G$801, 0)+1))&lt;=790,3,IF(INDEX(ERP資料!$G:$G, (MATCH(1002, 輔助計算!$G$2:$G$801, 0)+1))&lt;=1181,2,1))))=0,"",IF(MOD(INDEX(輔助計算!$D:$D, (MATCH(1002, 輔助計算!$G$2:$G$801, 0)+1)),IF(INDEX(ERP資料!$G:$G, (MATCH(1002, 輔助計算!$G$2:$G$801, 0)+1))&lt;100, IF(INDEX(ERP資料!$G:$G, (MATCH(1002, 輔助計算!$G$2:$G$801, 0)+1))&lt;=31,3,IF(INDEX(ERP資料!$G:$G, (MATCH(1002, 輔助計算!$G$2:$G$801, 0)+1))&lt;=46.5,2,1)), IF(INDEX(ERP資料!$G:$G, (MATCH(1002, 輔助計算!$G$2:$G$801, 0)+1))&lt;=790,3,IF(INDEX(ERP資料!$G:$G, (MATCH(1002, 輔助計算!$G$2:$G$801, 0)+1))&lt;=1181,2,1))))=1,TEXT(INDEX(ERP資料!$G:$G, (MATCH(1002, 輔助計算!$G$2:$G$801, 0)+1)),"0.##"),IF(MOD(INDEX(輔助計算!$D:$D, (MATCH(1002, 輔助計算!$G$2:$G$801, 0)+1)),IF(INDEX(ERP資料!$G:$G, (MATCH(1002, 輔助計算!$G$2:$G$801, 0)+1))&lt;100, IF(INDEX(ERP資料!$G:$G, (MATCH(1002, 輔助計算!$G$2:$G$801, 0)+1))&lt;=31,3,IF(INDEX(ERP資料!$G:$G, (MATCH(1002, 輔助計算!$G$2:$G$801, 0)+1))&lt;=46.5,2,1)), IF(INDEX(ERP資料!$G:$G, (MATCH(1002, 輔助計算!$G$2:$G$801, 0)+1))&lt;=790,3,IF(INDEX(ERP資料!$G:$G, (MATCH(1002, 輔助計算!$G$2:$G$801, 0)+1))&lt;=1181,2,1))))=2,TEXT(INDEX(ERP資料!$G:$G, (MATCH(1002, 輔助計算!$G$2:$G$801, 0)+1)),"0.##")&amp;"+"&amp;TEXT(INDEX(ERP資料!$G:$G, (MATCH(1002, 輔助計算!$G$2:$G$801, 0)+1)),"0.##"),TEXT(INDEX(ERP資料!$G:$G, (MATCH(1002, 輔助計算!$G$2:$G$801, 0)+1)),"0.##")&amp;"+"&amp;TEXT(INDEX(ERP資料!$G:$G, (MATCH(1002, 輔助計算!$G$2:$G$801, 0)+1)),"0.##")&amp;"+"&amp;TEXT(INDEX(ERP資料!$G:$G, (MATCH(1002, 輔助計算!$G$2:$G$801, 0)+1)),"0.##"))))&amp;"-1")&lt;&gt;""),"  ","")&amp;IF(MOD(INDEX(輔助計算!$D:$D, (MATCH(1002, 輔助計算!$G$2:$G$801, 0)+1)),IF(INDEX(ERP資料!$G:$G, (MATCH(1002, 輔助計算!$G$2:$G$801, 0)+1))&lt;100, IF(INDEX(ERP資料!$G:$G, (MATCH(1002, 輔助計算!$G$2:$G$801, 0)+1))&lt;=31,3,IF(INDEX(ERP資料!$G:$G, (MATCH(1002, 輔助計算!$G$2:$G$801, 0)+1))&lt;=46.5,2,1)), IF(INDEX(ERP資料!$G:$G, (MATCH(1002, 輔助計算!$G$2:$G$801, 0)+1))&lt;=790,3,IF(INDEX(ERP資料!$G:$G, (MATCH(1002, 輔助計算!$G$2:$G$801, 0)+1))&lt;=1181,2,1))))=0,"",IF(MOD(INDEX(輔助計算!$D:$D, (MATCH(1002, 輔助計算!$G$2:$G$801, 0)+1)),IF(INDEX(ERP資料!$G:$G, (MATCH(1002, 輔助計算!$G$2:$G$801, 0)+1))&lt;100, IF(INDEX(ERP資料!$G:$G, (MATCH(1002, 輔助計算!$G$2:$G$801, 0)+1))&lt;=31,3,IF(INDEX(ERP資料!$G:$G, (MATCH(1002, 輔助計算!$G$2:$G$801, 0)+1))&lt;=46.5,2,1)), IF(INDEX(ERP資料!$G:$G, (MATCH(1002, 輔助計算!$G$2:$G$801, 0)+1))&lt;=790,3,IF(INDEX(ERP資料!$G:$G, (MATCH(1002, 輔助計算!$G$2:$G$801, 0)+1))&lt;=1181,2,1))))=0,"",IF(MOD(INDEX(輔助計算!$D:$D, (MATCH(1002, 輔助計算!$G$2:$G$801, 0)+1)),IF(INDEX(ERP資料!$G:$G, (MATCH(1002, 輔助計算!$G$2:$G$801, 0)+1))&lt;100, IF(INDEX(ERP資料!$G:$G, (MATCH(1002, 輔助計算!$G$2:$G$801, 0)+1))&lt;=31,3,IF(INDEX(ERP資料!$G:$G, (MATCH(1002, 輔助計算!$G$2:$G$801, 0)+1))&lt;=46.5,2,1)), IF(INDEX(ERP資料!$G:$G, (MATCH(1002, 輔助計算!$G$2:$G$801, 0)+1))&lt;=790,3,IF(INDEX(ERP資料!$G:$G, (MATCH(1002, 輔助計算!$G$2:$G$801, 0)+1))&lt;=1181,2,1))))=1,TEXT(INDEX(ERP資料!$G:$G, (MATCH(1002, 輔助計算!$G$2:$G$801, 0)+1)),"0.##"),IF(MOD(INDEX(輔助計算!$D:$D, (MATCH(1002, 輔助計算!$G$2:$G$801, 0)+1)),IF(INDEX(ERP資料!$G:$G, (MATCH(1002, 輔助計算!$G$2:$G$801, 0)+1))&lt;100, IF(INDEX(ERP資料!$G:$G, (MATCH(1002, 輔助計算!$G$2:$G$801, 0)+1))&lt;=31,3,IF(INDEX(ERP資料!$G:$G, (MATCH(1002, 輔助計算!$G$2:$G$801, 0)+1))&lt;=46.5,2,1)), IF(INDEX(ERP資料!$G:$G, (MATCH(1002, 輔助計算!$G$2:$G$801, 0)+1))&lt;=790,3,IF(INDEX(ERP資料!$G:$G, (MATCH(1002, 輔助計算!$G$2:$G$801, 0)+1))&lt;=1181,2,1))))=2,TEXT(INDEX(ERP資料!$G:$G, (MATCH(1002, 輔助計算!$G$2:$G$801, 0)+1)),"0.##")&amp;"+"&amp;TEXT(INDEX(ERP資料!$G:$G, (MATCH(1002, 輔助計算!$G$2:$G$801, 0)+1)),"0.##"),TEXT(INDEX(ERP資料!$G:$G, (MATCH(1002, 輔助計算!$G$2:$G$801, 0)+1)),"0.##")&amp;"+"&amp;TEXT(INDEX(ERP資料!$G:$G, (MATCH(1002, 輔助計算!$G$2:$G$801, 0)+1)),"0.##")&amp;"+"&amp;TEXT(INDEX(ERP資料!$G:$G, (MATCH(1002, 輔助計算!$G$2:$G$801, 0)+1)),"0.##"))))&amp;"-1")), ""), "")</f>
        <v/>
      </c>
      <c r="K1003" s="16" t="n"/>
      <c r="L1003" s="14">
        <f>IFERROR(IF(AND(IFERROR(INDEX(ERP資料!$A:$A, (MATCH(1002, 輔助計算!$G$2:$G$801, 0)+1)), "")&lt;&gt;"", IFERROR(INDEX(ERP資料!$A:$A, (MATCH(1002, 輔助計算!$G$2:$G$801, 0)+1)), "")&lt;&gt;IFERROR(INDEX(ERP資料!$A:$A, MATCH(1001, 輔助計算!$G$2:$G$801, 0)+1), "")), INDEX(ERP資料!$B:$B, (MATCH(1002, 輔助計算!$G$2:$G$801, 0)+1)), ""), "")</f>
        <v/>
      </c>
      <c r="M1003" s="17" t="n"/>
    </row>
    <row r="1004">
      <c r="A1004" s="10">
        <f>IFERROR(IF(AND(IFERROR(INDEX(ERP資料!$A:$A, (MATCH(1003, 輔助計算!$G$2:$G$801, 0)+1)), "")&lt;&gt;"", IFERROR(INDEX(ERP資料!$A:$A, (MATCH(1003, 輔助計算!$G$2:$G$801, 0)+1)), "")&lt;&gt;IFERROR(INDEX(ERP資料!$A:$A, MATCH(1002, 輔助計算!$G$2:$G$801, 0)+1), "")), IFERROR(INDEX(ERP資料!$A:$A, (MATCH(1003, 輔助計算!$G$2:$G$801, 0)+1)), ""), ""), "")</f>
        <v/>
      </c>
      <c r="B1004" s="10">
        <f>IFERROR(IF(AND(IFERROR(INDEX(ERP資料!$A:$A, (MATCH(1003, 輔助計算!$G$2:$G$801, 0)+1)), "")&lt;&gt;"", IFERROR(INDEX(ERP資料!$A:$A, (MATCH(1003, 輔助計算!$G$2:$G$801, 0)+1)), "")&lt;&gt;IFERROR(INDEX(ERP資料!$A:$A, MATCH(1002, 輔助計算!$G$2:$G$801, 0)+1), "")), INDEX(ERP資料!$S:$S, (MATCH(1003, 輔助計算!$G$2:$G$801, 0)+1)), ""), "")</f>
        <v/>
      </c>
      <c r="C1004" s="19">
        <f>IFERROR(IF(AND(IFERROR(INDEX(ERP資料!$A:$A, (MATCH(1003, 輔助計算!$G$2:$G$801, 0)+1)), "")&lt;&gt;"", IFERROR(INDEX(ERP資料!$A:$A, (MATCH(1003, 輔助計算!$G$2:$G$801, 0)+1)), "")&lt;&gt;IFERROR(INDEX(ERP資料!$A:$A, MATCH(1002, 輔助計算!$G$2:$G$801, 0)+1), "")), IFERROR(VLOOKUP(LEFT(INDEX(ERP資料!$S:$S, (MATCH(1003, 輔助計算!$G$2:$G$801, 0)+1)), 4), 紙管對照表!$A:$C, 3, FALSE), ""), ""), "")</f>
        <v/>
      </c>
      <c r="D1004" s="16" t="n"/>
      <c r="E1004" s="10">
        <f>IFERROR(IF(INDEX(ERP資料!$H:$H, (MATCH(1003, 輔助計算!$G$2:$G$801, 0)+1))="","",INDEX(ERP資料!$H:$H, (MATCH(1003, 輔助計算!$G$2:$G$801, 0)+1))), "")</f>
        <v/>
      </c>
      <c r="F1004" s="10">
        <f>IFERROR(IF(INDEX(ERP資料!$E:$E, (MATCH(1003, 輔助計算!$G$2:$G$801, 0)+1))="","",TRIM(INDEX(ERP資料!$E:$E, (MATCH(1003, 輔助計算!$G$2:$G$801, 0)+1)))), "")</f>
        <v/>
      </c>
      <c r="G1004" s="10">
        <f>IFERROR(IF(INDEX(ERP資料!$F:$F, (MATCH(1003, 輔助計算!$G$2:$G$801, 0)+1))="","",INDEX(ERP資料!$F:$F, (MATCH(1003, 輔助計算!$G$2:$G$801, 0)+1))), "")</f>
        <v/>
      </c>
      <c r="H1004" s="10">
        <f>IFERROR(IF(INDEX(ERP資料!$G:$G, (MATCH(1003, 輔助計算!$G$2:$G$801, 0)+1))="","",INDEX(ERP資料!$G:$G, (MATCH(1003, 輔助計算!$G$2:$G$801, 0)+1))), "")</f>
        <v/>
      </c>
      <c r="I1004" s="15">
        <f>IFERROR(INDEX(輔助計算!$D:$D, (MATCH(1003, 輔助計算!$G$2:$G$801, 0)+1)), "")</f>
        <v/>
      </c>
      <c r="J1004" s="15">
        <f>IFERROR(IF(AND(INDEX(輔助計算!$D:$D, (MATCH(1003, 輔助計算!$G$2:$G$801, 0)+1))&lt;&gt;"", INDEX(ERP資料!$G:$G, (MATCH(1003, 輔助計算!$G$2:$G$801, 0)+1))&lt;&gt;""), TRIM(IF(INT(INDEX(輔助計算!$D:$D, (MATCH(1003, 輔助計算!$G$2:$G$801, 0)+1))/IF(INDEX(ERP資料!$G:$G, (MATCH(1003, 輔助計算!$G$2:$G$801, 0)+1))&lt;100, IF(INDEX(ERP資料!$G:$G, (MATCH(1003, 輔助計算!$G$2:$G$801, 0)+1))&lt;=31,3,IF(INDEX(ERP資料!$G:$G, (MATCH(1003, 輔助計算!$G$2:$G$801, 0)+1))&lt;=46.5,2,1)), IF(INDEX(ERP資料!$G:$G, (MATCH(1003, 輔助計算!$G$2:$G$801, 0)+1))&lt;=790,3,IF(INDEX(ERP資料!$G:$G, (MATCH(1003, 輔助計算!$G$2:$G$801, 0)+1))&lt;=1181,2,1))))&gt;0, IF(IF(INDEX(ERP資料!$G:$G, (MATCH(1003, 輔助計算!$G$2:$G$801, 0)+1))&lt;100, IF(INDEX(ERP資料!$G:$G, (MATCH(1003, 輔助計算!$G$2:$G$801, 0)+1))&lt;=31,3,IF(INDEX(ERP資料!$G:$G, (MATCH(1003, 輔助計算!$G$2:$G$801, 0)+1))&lt;=46.5,2,1)), IF(INDEX(ERP資料!$G:$G, (MATCH(1003, 輔助計算!$G$2:$G$801, 0)+1))&lt;=790,3,IF(INDEX(ERP資料!$G:$G, (MATCH(1003, 輔助計算!$G$2:$G$801, 0)+1))&lt;=1181,2,1)))=1,TEXT(INDEX(ERP資料!$G:$G, (MATCH(1003, 輔助計算!$G$2:$G$801, 0)+1)),"0.##"),IF(IF(INDEX(ERP資料!$G:$G, (MATCH(1003, 輔助計算!$G$2:$G$801, 0)+1))&lt;100, IF(INDEX(ERP資料!$G:$G, (MATCH(1003, 輔助計算!$G$2:$G$801, 0)+1))&lt;=31,3,IF(INDEX(ERP資料!$G:$G, (MATCH(1003, 輔助計算!$G$2:$G$801, 0)+1))&lt;=46.5,2,1)), IF(INDEX(ERP資料!$G:$G, (MATCH(1003, 輔助計算!$G$2:$G$801, 0)+1))&lt;=790,3,IF(INDEX(ERP資料!$G:$G, (MATCH(1003, 輔助計算!$G$2:$G$801, 0)+1))&lt;=1181,2,1)))=2,TEXT(INDEX(ERP資料!$G:$G, (MATCH(1003, 輔助計算!$G$2:$G$801, 0)+1)),"0.##")&amp;"+"&amp;TEXT(INDEX(ERP資料!$G:$G, (MATCH(1003, 輔助計算!$G$2:$G$801, 0)+1)),"0.##"),TEXT(INDEX(ERP資料!$G:$G, (MATCH(1003, 輔助計算!$G$2:$G$801, 0)+1)),"0.##")&amp;"+"&amp;TEXT(INDEX(ERP資料!$G:$G, (MATCH(1003, 輔助計算!$G$2:$G$801, 0)+1)),"0.##")&amp;"+"&amp;TEXT(INDEX(ERP資料!$G:$G, (MATCH(1003, 輔助計算!$G$2:$G$801, 0)+1)),"0.##")))&amp;"-"&amp;INT(INDEX(輔助計算!$D:$D, (MATCH(1003, 輔助計算!$G$2:$G$801, 0)+1))/IF(INDEX(ERP資料!$G:$G, (MATCH(1003, 輔助計算!$G$2:$G$801, 0)+1))&lt;100, IF(INDEX(ERP資料!$G:$G, (MATCH(1003, 輔助計算!$G$2:$G$801, 0)+1))&lt;=31,3,IF(INDEX(ERP資料!$G:$G, (MATCH(1003, 輔助計算!$G$2:$G$801, 0)+1))&lt;=46.5,2,1)), IF(INDEX(ERP資料!$G:$G, (MATCH(1003, 輔助計算!$G$2:$G$801, 0)+1))&lt;=790,3,IF(INDEX(ERP資料!$G:$G, (MATCH(1003, 輔助計算!$G$2:$G$801, 0)+1))&lt;=1181,2,1)))), "")&amp;IF(AND(IF(INT(INDEX(輔助計算!$D:$D, (MATCH(1003, 輔助計算!$G$2:$G$801, 0)+1))/IF(INDEX(ERP資料!$G:$G, (MATCH(1003, 輔助計算!$G$2:$G$801, 0)+1))&lt;100, IF(INDEX(ERP資料!$G:$G, (MATCH(1003, 輔助計算!$G$2:$G$801, 0)+1))&lt;=31,3,IF(INDEX(ERP資料!$G:$G, (MATCH(1003, 輔助計算!$G$2:$G$801, 0)+1))&lt;=46.5,2,1)), IF(INDEX(ERP資料!$G:$G, (MATCH(1003, 輔助計算!$G$2:$G$801, 0)+1))&lt;=790,3,IF(INDEX(ERP資料!$G:$G, (MATCH(1003, 輔助計算!$G$2:$G$801, 0)+1))&lt;=1181,2,1))))&gt;0, IF(IF(INDEX(ERP資料!$G:$G, (MATCH(1003, 輔助計算!$G$2:$G$801, 0)+1))&lt;100, IF(INDEX(ERP資料!$G:$G, (MATCH(1003, 輔助計算!$G$2:$G$801, 0)+1))&lt;=31,3,IF(INDEX(ERP資料!$G:$G, (MATCH(1003, 輔助計算!$G$2:$G$801, 0)+1))&lt;=46.5,2,1)), IF(INDEX(ERP資料!$G:$G, (MATCH(1003, 輔助計算!$G$2:$G$801, 0)+1))&lt;=790,3,IF(INDEX(ERP資料!$G:$G, (MATCH(1003, 輔助計算!$G$2:$G$801, 0)+1))&lt;=1181,2,1)))=1,TEXT(INDEX(ERP資料!$G:$G, (MATCH(1003, 輔助計算!$G$2:$G$801, 0)+1)),"0.##"),IF(IF(INDEX(ERP資料!$G:$G, (MATCH(1003, 輔助計算!$G$2:$G$801, 0)+1))&lt;100, IF(INDEX(ERP資料!$G:$G, (MATCH(1003, 輔助計算!$G$2:$G$801, 0)+1))&lt;=31,3,IF(INDEX(ERP資料!$G:$G, (MATCH(1003, 輔助計算!$G$2:$G$801, 0)+1))&lt;=46.5,2,1)), IF(INDEX(ERP資料!$G:$G, (MATCH(1003, 輔助計算!$G$2:$G$801, 0)+1))&lt;=790,3,IF(INDEX(ERP資料!$G:$G, (MATCH(1003, 輔助計算!$G$2:$G$801, 0)+1))&lt;=1181,2,1)))=2,TEXT(INDEX(ERP資料!$G:$G, (MATCH(1003, 輔助計算!$G$2:$G$801, 0)+1)),"0.##")&amp;"+"&amp;TEXT(INDEX(ERP資料!$G:$G, (MATCH(1003, 輔助計算!$G$2:$G$801, 0)+1)),"0.##"),TEXT(INDEX(ERP資料!$G:$G, (MATCH(1003, 輔助計算!$G$2:$G$801, 0)+1)),"0.##")&amp;"+"&amp;TEXT(INDEX(ERP資料!$G:$G, (MATCH(1003, 輔助計算!$G$2:$G$801, 0)+1)),"0.##")&amp;"+"&amp;TEXT(INDEX(ERP資料!$G:$G, (MATCH(1003, 輔助計算!$G$2:$G$801, 0)+1)),"0.##")))&amp;"-"&amp;INT(INDEX(輔助計算!$D:$D, (MATCH(1003, 輔助計算!$G$2:$G$801, 0)+1))/IF(INDEX(ERP資料!$G:$G, (MATCH(1003, 輔助計算!$G$2:$G$801, 0)+1))&lt;100, IF(INDEX(ERP資料!$G:$G, (MATCH(1003, 輔助計算!$G$2:$G$801, 0)+1))&lt;=31,3,IF(INDEX(ERP資料!$G:$G, (MATCH(1003, 輔助計算!$G$2:$G$801, 0)+1))&lt;=46.5,2,1)), IF(INDEX(ERP資料!$G:$G, (MATCH(1003, 輔助計算!$G$2:$G$801, 0)+1))&lt;=790,3,IF(INDEX(ERP資料!$G:$G, (MATCH(1003, 輔助計算!$G$2:$G$801, 0)+1))&lt;=1181,2,1)))), "")&lt;&gt;"",IF(MOD(INDEX(輔助計算!$D:$D, (MATCH(1003, 輔助計算!$G$2:$G$801, 0)+1)),IF(INDEX(ERP資料!$G:$G, (MATCH(1003, 輔助計算!$G$2:$G$801, 0)+1))&lt;100, IF(INDEX(ERP資料!$G:$G, (MATCH(1003, 輔助計算!$G$2:$G$801, 0)+1))&lt;=31,3,IF(INDEX(ERP資料!$G:$G, (MATCH(1003, 輔助計算!$G$2:$G$801, 0)+1))&lt;=46.5,2,1)), IF(INDEX(ERP資料!$G:$G, (MATCH(1003, 輔助計算!$G$2:$G$801, 0)+1))&lt;=790,3,IF(INDEX(ERP資料!$G:$G, (MATCH(1003, 輔助計算!$G$2:$G$801, 0)+1))&lt;=1181,2,1))))=0,"",IF(MOD(INDEX(輔助計算!$D:$D, (MATCH(1003, 輔助計算!$G$2:$G$801, 0)+1)),IF(INDEX(ERP資料!$G:$G, (MATCH(1003, 輔助計算!$G$2:$G$801, 0)+1))&lt;100, IF(INDEX(ERP資料!$G:$G, (MATCH(1003, 輔助計算!$G$2:$G$801, 0)+1))&lt;=31,3,IF(INDEX(ERP資料!$G:$G, (MATCH(1003, 輔助計算!$G$2:$G$801, 0)+1))&lt;=46.5,2,1)), IF(INDEX(ERP資料!$G:$G, (MATCH(1003, 輔助計算!$G$2:$G$801, 0)+1))&lt;=790,3,IF(INDEX(ERP資料!$G:$G, (MATCH(1003, 輔助計算!$G$2:$G$801, 0)+1))&lt;=1181,2,1))))=0,"",IF(MOD(INDEX(輔助計算!$D:$D, (MATCH(1003, 輔助計算!$G$2:$G$801, 0)+1)),IF(INDEX(ERP資料!$G:$G, (MATCH(1003, 輔助計算!$G$2:$G$801, 0)+1))&lt;100, IF(INDEX(ERP資料!$G:$G, (MATCH(1003, 輔助計算!$G$2:$G$801, 0)+1))&lt;=31,3,IF(INDEX(ERP資料!$G:$G, (MATCH(1003, 輔助計算!$G$2:$G$801, 0)+1))&lt;=46.5,2,1)), IF(INDEX(ERP資料!$G:$G, (MATCH(1003, 輔助計算!$G$2:$G$801, 0)+1))&lt;=790,3,IF(INDEX(ERP資料!$G:$G, (MATCH(1003, 輔助計算!$G$2:$G$801, 0)+1))&lt;=1181,2,1))))=1,TEXT(INDEX(ERP資料!$G:$G, (MATCH(1003, 輔助計算!$G$2:$G$801, 0)+1)),"0.##"),IF(MOD(INDEX(輔助計算!$D:$D, (MATCH(1003, 輔助計算!$G$2:$G$801, 0)+1)),IF(INDEX(ERP資料!$G:$G, (MATCH(1003, 輔助計算!$G$2:$G$801, 0)+1))&lt;100, IF(INDEX(ERP資料!$G:$G, (MATCH(1003, 輔助計算!$G$2:$G$801, 0)+1))&lt;=31,3,IF(INDEX(ERP資料!$G:$G, (MATCH(1003, 輔助計算!$G$2:$G$801, 0)+1))&lt;=46.5,2,1)), IF(INDEX(ERP資料!$G:$G, (MATCH(1003, 輔助計算!$G$2:$G$801, 0)+1))&lt;=790,3,IF(INDEX(ERP資料!$G:$G, (MATCH(1003, 輔助計算!$G$2:$G$801, 0)+1))&lt;=1181,2,1))))=2,TEXT(INDEX(ERP資料!$G:$G, (MATCH(1003, 輔助計算!$G$2:$G$801, 0)+1)),"0.##")&amp;"+"&amp;TEXT(INDEX(ERP資料!$G:$G, (MATCH(1003, 輔助計算!$G$2:$G$801, 0)+1)),"0.##"),TEXT(INDEX(ERP資料!$G:$G, (MATCH(1003, 輔助計算!$G$2:$G$801, 0)+1)),"0.##")&amp;"+"&amp;TEXT(INDEX(ERP資料!$G:$G, (MATCH(1003, 輔助計算!$G$2:$G$801, 0)+1)),"0.##")&amp;"+"&amp;TEXT(INDEX(ERP資料!$G:$G, (MATCH(1003, 輔助計算!$G$2:$G$801, 0)+1)),"0.##"))))&amp;"-1")&lt;&gt;""),"  ","")&amp;IF(MOD(INDEX(輔助計算!$D:$D, (MATCH(1003, 輔助計算!$G$2:$G$801, 0)+1)),IF(INDEX(ERP資料!$G:$G, (MATCH(1003, 輔助計算!$G$2:$G$801, 0)+1))&lt;100, IF(INDEX(ERP資料!$G:$G, (MATCH(1003, 輔助計算!$G$2:$G$801, 0)+1))&lt;=31,3,IF(INDEX(ERP資料!$G:$G, (MATCH(1003, 輔助計算!$G$2:$G$801, 0)+1))&lt;=46.5,2,1)), IF(INDEX(ERP資料!$G:$G, (MATCH(1003, 輔助計算!$G$2:$G$801, 0)+1))&lt;=790,3,IF(INDEX(ERP資料!$G:$G, (MATCH(1003, 輔助計算!$G$2:$G$801, 0)+1))&lt;=1181,2,1))))=0,"",IF(MOD(INDEX(輔助計算!$D:$D, (MATCH(1003, 輔助計算!$G$2:$G$801, 0)+1)),IF(INDEX(ERP資料!$G:$G, (MATCH(1003, 輔助計算!$G$2:$G$801, 0)+1))&lt;100, IF(INDEX(ERP資料!$G:$G, (MATCH(1003, 輔助計算!$G$2:$G$801, 0)+1))&lt;=31,3,IF(INDEX(ERP資料!$G:$G, (MATCH(1003, 輔助計算!$G$2:$G$801, 0)+1))&lt;=46.5,2,1)), IF(INDEX(ERP資料!$G:$G, (MATCH(1003, 輔助計算!$G$2:$G$801, 0)+1))&lt;=790,3,IF(INDEX(ERP資料!$G:$G, (MATCH(1003, 輔助計算!$G$2:$G$801, 0)+1))&lt;=1181,2,1))))=0,"",IF(MOD(INDEX(輔助計算!$D:$D, (MATCH(1003, 輔助計算!$G$2:$G$801, 0)+1)),IF(INDEX(ERP資料!$G:$G, (MATCH(1003, 輔助計算!$G$2:$G$801, 0)+1))&lt;100, IF(INDEX(ERP資料!$G:$G, (MATCH(1003, 輔助計算!$G$2:$G$801, 0)+1))&lt;=31,3,IF(INDEX(ERP資料!$G:$G, (MATCH(1003, 輔助計算!$G$2:$G$801, 0)+1))&lt;=46.5,2,1)), IF(INDEX(ERP資料!$G:$G, (MATCH(1003, 輔助計算!$G$2:$G$801, 0)+1))&lt;=790,3,IF(INDEX(ERP資料!$G:$G, (MATCH(1003, 輔助計算!$G$2:$G$801, 0)+1))&lt;=1181,2,1))))=1,TEXT(INDEX(ERP資料!$G:$G, (MATCH(1003, 輔助計算!$G$2:$G$801, 0)+1)),"0.##"),IF(MOD(INDEX(輔助計算!$D:$D, (MATCH(1003, 輔助計算!$G$2:$G$801, 0)+1)),IF(INDEX(ERP資料!$G:$G, (MATCH(1003, 輔助計算!$G$2:$G$801, 0)+1))&lt;100, IF(INDEX(ERP資料!$G:$G, (MATCH(1003, 輔助計算!$G$2:$G$801, 0)+1))&lt;=31,3,IF(INDEX(ERP資料!$G:$G, (MATCH(1003, 輔助計算!$G$2:$G$801, 0)+1))&lt;=46.5,2,1)), IF(INDEX(ERP資料!$G:$G, (MATCH(1003, 輔助計算!$G$2:$G$801, 0)+1))&lt;=790,3,IF(INDEX(ERP資料!$G:$G, (MATCH(1003, 輔助計算!$G$2:$G$801, 0)+1))&lt;=1181,2,1))))=2,TEXT(INDEX(ERP資料!$G:$G, (MATCH(1003, 輔助計算!$G$2:$G$801, 0)+1)),"0.##")&amp;"+"&amp;TEXT(INDEX(ERP資料!$G:$G, (MATCH(1003, 輔助計算!$G$2:$G$801, 0)+1)),"0.##"),TEXT(INDEX(ERP資料!$G:$G, (MATCH(1003, 輔助計算!$G$2:$G$801, 0)+1)),"0.##")&amp;"+"&amp;TEXT(INDEX(ERP資料!$G:$G, (MATCH(1003, 輔助計算!$G$2:$G$801, 0)+1)),"0.##")&amp;"+"&amp;TEXT(INDEX(ERP資料!$G:$G, (MATCH(1003, 輔助計算!$G$2:$G$801, 0)+1)),"0.##"))))&amp;"-1")), ""), "")</f>
        <v/>
      </c>
      <c r="K1004" s="16" t="n"/>
      <c r="L1004" s="14">
        <f>IFERROR(IF(AND(IFERROR(INDEX(ERP資料!$A:$A, (MATCH(1003, 輔助計算!$G$2:$G$801, 0)+1)), "")&lt;&gt;"", IFERROR(INDEX(ERP資料!$A:$A, (MATCH(1003, 輔助計算!$G$2:$G$801, 0)+1)), "")&lt;&gt;IFERROR(INDEX(ERP資料!$A:$A, MATCH(1002, 輔助計算!$G$2:$G$801, 0)+1), "")), INDEX(ERP資料!$B:$B, (MATCH(1003, 輔助計算!$G$2:$G$801, 0)+1)), ""), "")</f>
        <v/>
      </c>
      <c r="M1004" s="17" t="n"/>
    </row>
    <row r="1005">
      <c r="A1005" s="10">
        <f>IFERROR(IF(AND(IFERROR(INDEX(ERP資料!$A:$A, (MATCH(1004, 輔助計算!$G$2:$G$801, 0)+1)), "")&lt;&gt;"", IFERROR(INDEX(ERP資料!$A:$A, (MATCH(1004, 輔助計算!$G$2:$G$801, 0)+1)), "")&lt;&gt;IFERROR(INDEX(ERP資料!$A:$A, MATCH(1003, 輔助計算!$G$2:$G$801, 0)+1), "")), IFERROR(INDEX(ERP資料!$A:$A, (MATCH(1004, 輔助計算!$G$2:$G$801, 0)+1)), ""), ""), "")</f>
        <v/>
      </c>
      <c r="B1005" s="10">
        <f>IFERROR(IF(AND(IFERROR(INDEX(ERP資料!$A:$A, (MATCH(1004, 輔助計算!$G$2:$G$801, 0)+1)), "")&lt;&gt;"", IFERROR(INDEX(ERP資料!$A:$A, (MATCH(1004, 輔助計算!$G$2:$G$801, 0)+1)), "")&lt;&gt;IFERROR(INDEX(ERP資料!$A:$A, MATCH(1003, 輔助計算!$G$2:$G$801, 0)+1), "")), INDEX(ERP資料!$S:$S, (MATCH(1004, 輔助計算!$G$2:$G$801, 0)+1)), ""), "")</f>
        <v/>
      </c>
      <c r="C1005" s="19">
        <f>IFERROR(IF(AND(IFERROR(INDEX(ERP資料!$A:$A, (MATCH(1004, 輔助計算!$G$2:$G$801, 0)+1)), "")&lt;&gt;"", IFERROR(INDEX(ERP資料!$A:$A, (MATCH(1004, 輔助計算!$G$2:$G$801, 0)+1)), "")&lt;&gt;IFERROR(INDEX(ERP資料!$A:$A, MATCH(1003, 輔助計算!$G$2:$G$801, 0)+1), "")), IFERROR(VLOOKUP(LEFT(INDEX(ERP資料!$S:$S, (MATCH(1004, 輔助計算!$G$2:$G$801, 0)+1)), 4), 紙管對照表!$A:$C, 3, FALSE), ""), ""), "")</f>
        <v/>
      </c>
      <c r="D1005" s="16" t="n"/>
      <c r="E1005" s="10">
        <f>IFERROR(IF(INDEX(ERP資料!$H:$H, (MATCH(1004, 輔助計算!$G$2:$G$801, 0)+1))="","",INDEX(ERP資料!$H:$H, (MATCH(1004, 輔助計算!$G$2:$G$801, 0)+1))), "")</f>
        <v/>
      </c>
      <c r="F1005" s="10">
        <f>IFERROR(IF(INDEX(ERP資料!$E:$E, (MATCH(1004, 輔助計算!$G$2:$G$801, 0)+1))="","",TRIM(INDEX(ERP資料!$E:$E, (MATCH(1004, 輔助計算!$G$2:$G$801, 0)+1)))), "")</f>
        <v/>
      </c>
      <c r="G1005" s="10">
        <f>IFERROR(IF(INDEX(ERP資料!$F:$F, (MATCH(1004, 輔助計算!$G$2:$G$801, 0)+1))="","",INDEX(ERP資料!$F:$F, (MATCH(1004, 輔助計算!$G$2:$G$801, 0)+1))), "")</f>
        <v/>
      </c>
      <c r="H1005" s="10">
        <f>IFERROR(IF(INDEX(ERP資料!$G:$G, (MATCH(1004, 輔助計算!$G$2:$G$801, 0)+1))="","",INDEX(ERP資料!$G:$G, (MATCH(1004, 輔助計算!$G$2:$G$801, 0)+1))), "")</f>
        <v/>
      </c>
      <c r="I1005" s="15">
        <f>IFERROR(INDEX(輔助計算!$D:$D, (MATCH(1004, 輔助計算!$G$2:$G$801, 0)+1)), "")</f>
        <v/>
      </c>
      <c r="J1005" s="15">
        <f>IFERROR(IF(AND(INDEX(輔助計算!$D:$D, (MATCH(1004, 輔助計算!$G$2:$G$801, 0)+1))&lt;&gt;"", INDEX(ERP資料!$G:$G, (MATCH(1004, 輔助計算!$G$2:$G$801, 0)+1))&lt;&gt;""), TRIM(IF(INT(INDEX(輔助計算!$D:$D, (MATCH(1004, 輔助計算!$G$2:$G$801, 0)+1))/IF(INDEX(ERP資料!$G:$G, (MATCH(1004, 輔助計算!$G$2:$G$801, 0)+1))&lt;100, IF(INDEX(ERP資料!$G:$G, (MATCH(1004, 輔助計算!$G$2:$G$801, 0)+1))&lt;=31,3,IF(INDEX(ERP資料!$G:$G, (MATCH(1004, 輔助計算!$G$2:$G$801, 0)+1))&lt;=46.5,2,1)), IF(INDEX(ERP資料!$G:$G, (MATCH(1004, 輔助計算!$G$2:$G$801, 0)+1))&lt;=790,3,IF(INDEX(ERP資料!$G:$G, (MATCH(1004, 輔助計算!$G$2:$G$801, 0)+1))&lt;=1181,2,1))))&gt;0, IF(IF(INDEX(ERP資料!$G:$G, (MATCH(1004, 輔助計算!$G$2:$G$801, 0)+1))&lt;100, IF(INDEX(ERP資料!$G:$G, (MATCH(1004, 輔助計算!$G$2:$G$801, 0)+1))&lt;=31,3,IF(INDEX(ERP資料!$G:$G, (MATCH(1004, 輔助計算!$G$2:$G$801, 0)+1))&lt;=46.5,2,1)), IF(INDEX(ERP資料!$G:$G, (MATCH(1004, 輔助計算!$G$2:$G$801, 0)+1))&lt;=790,3,IF(INDEX(ERP資料!$G:$G, (MATCH(1004, 輔助計算!$G$2:$G$801, 0)+1))&lt;=1181,2,1)))=1,TEXT(INDEX(ERP資料!$G:$G, (MATCH(1004, 輔助計算!$G$2:$G$801, 0)+1)),"0.##"),IF(IF(INDEX(ERP資料!$G:$G, (MATCH(1004, 輔助計算!$G$2:$G$801, 0)+1))&lt;100, IF(INDEX(ERP資料!$G:$G, (MATCH(1004, 輔助計算!$G$2:$G$801, 0)+1))&lt;=31,3,IF(INDEX(ERP資料!$G:$G, (MATCH(1004, 輔助計算!$G$2:$G$801, 0)+1))&lt;=46.5,2,1)), IF(INDEX(ERP資料!$G:$G, (MATCH(1004, 輔助計算!$G$2:$G$801, 0)+1))&lt;=790,3,IF(INDEX(ERP資料!$G:$G, (MATCH(1004, 輔助計算!$G$2:$G$801, 0)+1))&lt;=1181,2,1)))=2,TEXT(INDEX(ERP資料!$G:$G, (MATCH(1004, 輔助計算!$G$2:$G$801, 0)+1)),"0.##")&amp;"+"&amp;TEXT(INDEX(ERP資料!$G:$G, (MATCH(1004, 輔助計算!$G$2:$G$801, 0)+1)),"0.##"),TEXT(INDEX(ERP資料!$G:$G, (MATCH(1004, 輔助計算!$G$2:$G$801, 0)+1)),"0.##")&amp;"+"&amp;TEXT(INDEX(ERP資料!$G:$G, (MATCH(1004, 輔助計算!$G$2:$G$801, 0)+1)),"0.##")&amp;"+"&amp;TEXT(INDEX(ERP資料!$G:$G, (MATCH(1004, 輔助計算!$G$2:$G$801, 0)+1)),"0.##")))&amp;"-"&amp;INT(INDEX(輔助計算!$D:$D, (MATCH(1004, 輔助計算!$G$2:$G$801, 0)+1))/IF(INDEX(ERP資料!$G:$G, (MATCH(1004, 輔助計算!$G$2:$G$801, 0)+1))&lt;100, IF(INDEX(ERP資料!$G:$G, (MATCH(1004, 輔助計算!$G$2:$G$801, 0)+1))&lt;=31,3,IF(INDEX(ERP資料!$G:$G, (MATCH(1004, 輔助計算!$G$2:$G$801, 0)+1))&lt;=46.5,2,1)), IF(INDEX(ERP資料!$G:$G, (MATCH(1004, 輔助計算!$G$2:$G$801, 0)+1))&lt;=790,3,IF(INDEX(ERP資料!$G:$G, (MATCH(1004, 輔助計算!$G$2:$G$801, 0)+1))&lt;=1181,2,1)))), "")&amp;IF(AND(IF(INT(INDEX(輔助計算!$D:$D, (MATCH(1004, 輔助計算!$G$2:$G$801, 0)+1))/IF(INDEX(ERP資料!$G:$G, (MATCH(1004, 輔助計算!$G$2:$G$801, 0)+1))&lt;100, IF(INDEX(ERP資料!$G:$G, (MATCH(1004, 輔助計算!$G$2:$G$801, 0)+1))&lt;=31,3,IF(INDEX(ERP資料!$G:$G, (MATCH(1004, 輔助計算!$G$2:$G$801, 0)+1))&lt;=46.5,2,1)), IF(INDEX(ERP資料!$G:$G, (MATCH(1004, 輔助計算!$G$2:$G$801, 0)+1))&lt;=790,3,IF(INDEX(ERP資料!$G:$G, (MATCH(1004, 輔助計算!$G$2:$G$801, 0)+1))&lt;=1181,2,1))))&gt;0, IF(IF(INDEX(ERP資料!$G:$G, (MATCH(1004, 輔助計算!$G$2:$G$801, 0)+1))&lt;100, IF(INDEX(ERP資料!$G:$G, (MATCH(1004, 輔助計算!$G$2:$G$801, 0)+1))&lt;=31,3,IF(INDEX(ERP資料!$G:$G, (MATCH(1004, 輔助計算!$G$2:$G$801, 0)+1))&lt;=46.5,2,1)), IF(INDEX(ERP資料!$G:$G, (MATCH(1004, 輔助計算!$G$2:$G$801, 0)+1))&lt;=790,3,IF(INDEX(ERP資料!$G:$G, (MATCH(1004, 輔助計算!$G$2:$G$801, 0)+1))&lt;=1181,2,1)))=1,TEXT(INDEX(ERP資料!$G:$G, (MATCH(1004, 輔助計算!$G$2:$G$801, 0)+1)),"0.##"),IF(IF(INDEX(ERP資料!$G:$G, (MATCH(1004, 輔助計算!$G$2:$G$801, 0)+1))&lt;100, IF(INDEX(ERP資料!$G:$G, (MATCH(1004, 輔助計算!$G$2:$G$801, 0)+1))&lt;=31,3,IF(INDEX(ERP資料!$G:$G, (MATCH(1004, 輔助計算!$G$2:$G$801, 0)+1))&lt;=46.5,2,1)), IF(INDEX(ERP資料!$G:$G, (MATCH(1004, 輔助計算!$G$2:$G$801, 0)+1))&lt;=790,3,IF(INDEX(ERP資料!$G:$G, (MATCH(1004, 輔助計算!$G$2:$G$801, 0)+1))&lt;=1181,2,1)))=2,TEXT(INDEX(ERP資料!$G:$G, (MATCH(1004, 輔助計算!$G$2:$G$801, 0)+1)),"0.##")&amp;"+"&amp;TEXT(INDEX(ERP資料!$G:$G, (MATCH(1004, 輔助計算!$G$2:$G$801, 0)+1)),"0.##"),TEXT(INDEX(ERP資料!$G:$G, (MATCH(1004, 輔助計算!$G$2:$G$801, 0)+1)),"0.##")&amp;"+"&amp;TEXT(INDEX(ERP資料!$G:$G, (MATCH(1004, 輔助計算!$G$2:$G$801, 0)+1)),"0.##")&amp;"+"&amp;TEXT(INDEX(ERP資料!$G:$G, (MATCH(1004, 輔助計算!$G$2:$G$801, 0)+1)),"0.##")))&amp;"-"&amp;INT(INDEX(輔助計算!$D:$D, (MATCH(1004, 輔助計算!$G$2:$G$801, 0)+1))/IF(INDEX(ERP資料!$G:$G, (MATCH(1004, 輔助計算!$G$2:$G$801, 0)+1))&lt;100, IF(INDEX(ERP資料!$G:$G, (MATCH(1004, 輔助計算!$G$2:$G$801, 0)+1))&lt;=31,3,IF(INDEX(ERP資料!$G:$G, (MATCH(1004, 輔助計算!$G$2:$G$801, 0)+1))&lt;=46.5,2,1)), IF(INDEX(ERP資料!$G:$G, (MATCH(1004, 輔助計算!$G$2:$G$801, 0)+1))&lt;=790,3,IF(INDEX(ERP資料!$G:$G, (MATCH(1004, 輔助計算!$G$2:$G$801, 0)+1))&lt;=1181,2,1)))), "")&lt;&gt;"",IF(MOD(INDEX(輔助計算!$D:$D, (MATCH(1004, 輔助計算!$G$2:$G$801, 0)+1)),IF(INDEX(ERP資料!$G:$G, (MATCH(1004, 輔助計算!$G$2:$G$801, 0)+1))&lt;100, IF(INDEX(ERP資料!$G:$G, (MATCH(1004, 輔助計算!$G$2:$G$801, 0)+1))&lt;=31,3,IF(INDEX(ERP資料!$G:$G, (MATCH(1004, 輔助計算!$G$2:$G$801, 0)+1))&lt;=46.5,2,1)), IF(INDEX(ERP資料!$G:$G, (MATCH(1004, 輔助計算!$G$2:$G$801, 0)+1))&lt;=790,3,IF(INDEX(ERP資料!$G:$G, (MATCH(1004, 輔助計算!$G$2:$G$801, 0)+1))&lt;=1181,2,1))))=0,"",IF(MOD(INDEX(輔助計算!$D:$D, (MATCH(1004, 輔助計算!$G$2:$G$801, 0)+1)),IF(INDEX(ERP資料!$G:$G, (MATCH(1004, 輔助計算!$G$2:$G$801, 0)+1))&lt;100, IF(INDEX(ERP資料!$G:$G, (MATCH(1004, 輔助計算!$G$2:$G$801, 0)+1))&lt;=31,3,IF(INDEX(ERP資料!$G:$G, (MATCH(1004, 輔助計算!$G$2:$G$801, 0)+1))&lt;=46.5,2,1)), IF(INDEX(ERP資料!$G:$G, (MATCH(1004, 輔助計算!$G$2:$G$801, 0)+1))&lt;=790,3,IF(INDEX(ERP資料!$G:$G, (MATCH(1004, 輔助計算!$G$2:$G$801, 0)+1))&lt;=1181,2,1))))=0,"",IF(MOD(INDEX(輔助計算!$D:$D, (MATCH(1004, 輔助計算!$G$2:$G$801, 0)+1)),IF(INDEX(ERP資料!$G:$G, (MATCH(1004, 輔助計算!$G$2:$G$801, 0)+1))&lt;100, IF(INDEX(ERP資料!$G:$G, (MATCH(1004, 輔助計算!$G$2:$G$801, 0)+1))&lt;=31,3,IF(INDEX(ERP資料!$G:$G, (MATCH(1004, 輔助計算!$G$2:$G$801, 0)+1))&lt;=46.5,2,1)), IF(INDEX(ERP資料!$G:$G, (MATCH(1004, 輔助計算!$G$2:$G$801, 0)+1))&lt;=790,3,IF(INDEX(ERP資料!$G:$G, (MATCH(1004, 輔助計算!$G$2:$G$801, 0)+1))&lt;=1181,2,1))))=1,TEXT(INDEX(ERP資料!$G:$G, (MATCH(1004, 輔助計算!$G$2:$G$801, 0)+1)),"0.##"),IF(MOD(INDEX(輔助計算!$D:$D, (MATCH(1004, 輔助計算!$G$2:$G$801, 0)+1)),IF(INDEX(ERP資料!$G:$G, (MATCH(1004, 輔助計算!$G$2:$G$801, 0)+1))&lt;100, IF(INDEX(ERP資料!$G:$G, (MATCH(1004, 輔助計算!$G$2:$G$801, 0)+1))&lt;=31,3,IF(INDEX(ERP資料!$G:$G, (MATCH(1004, 輔助計算!$G$2:$G$801, 0)+1))&lt;=46.5,2,1)), IF(INDEX(ERP資料!$G:$G, (MATCH(1004, 輔助計算!$G$2:$G$801, 0)+1))&lt;=790,3,IF(INDEX(ERP資料!$G:$G, (MATCH(1004, 輔助計算!$G$2:$G$801, 0)+1))&lt;=1181,2,1))))=2,TEXT(INDEX(ERP資料!$G:$G, (MATCH(1004, 輔助計算!$G$2:$G$801, 0)+1)),"0.##")&amp;"+"&amp;TEXT(INDEX(ERP資料!$G:$G, (MATCH(1004, 輔助計算!$G$2:$G$801, 0)+1)),"0.##"),TEXT(INDEX(ERP資料!$G:$G, (MATCH(1004, 輔助計算!$G$2:$G$801, 0)+1)),"0.##")&amp;"+"&amp;TEXT(INDEX(ERP資料!$G:$G, (MATCH(1004, 輔助計算!$G$2:$G$801, 0)+1)),"0.##")&amp;"+"&amp;TEXT(INDEX(ERP資料!$G:$G, (MATCH(1004, 輔助計算!$G$2:$G$801, 0)+1)),"0.##"))))&amp;"-1")&lt;&gt;""),"  ","")&amp;IF(MOD(INDEX(輔助計算!$D:$D, (MATCH(1004, 輔助計算!$G$2:$G$801, 0)+1)),IF(INDEX(ERP資料!$G:$G, (MATCH(1004, 輔助計算!$G$2:$G$801, 0)+1))&lt;100, IF(INDEX(ERP資料!$G:$G, (MATCH(1004, 輔助計算!$G$2:$G$801, 0)+1))&lt;=31,3,IF(INDEX(ERP資料!$G:$G, (MATCH(1004, 輔助計算!$G$2:$G$801, 0)+1))&lt;=46.5,2,1)), IF(INDEX(ERP資料!$G:$G, (MATCH(1004, 輔助計算!$G$2:$G$801, 0)+1))&lt;=790,3,IF(INDEX(ERP資料!$G:$G, (MATCH(1004, 輔助計算!$G$2:$G$801, 0)+1))&lt;=1181,2,1))))=0,"",IF(MOD(INDEX(輔助計算!$D:$D, (MATCH(1004, 輔助計算!$G$2:$G$801, 0)+1)),IF(INDEX(ERP資料!$G:$G, (MATCH(1004, 輔助計算!$G$2:$G$801, 0)+1))&lt;100, IF(INDEX(ERP資料!$G:$G, (MATCH(1004, 輔助計算!$G$2:$G$801, 0)+1))&lt;=31,3,IF(INDEX(ERP資料!$G:$G, (MATCH(1004, 輔助計算!$G$2:$G$801, 0)+1))&lt;=46.5,2,1)), IF(INDEX(ERP資料!$G:$G, (MATCH(1004, 輔助計算!$G$2:$G$801, 0)+1))&lt;=790,3,IF(INDEX(ERP資料!$G:$G, (MATCH(1004, 輔助計算!$G$2:$G$801, 0)+1))&lt;=1181,2,1))))=0,"",IF(MOD(INDEX(輔助計算!$D:$D, (MATCH(1004, 輔助計算!$G$2:$G$801, 0)+1)),IF(INDEX(ERP資料!$G:$G, (MATCH(1004, 輔助計算!$G$2:$G$801, 0)+1))&lt;100, IF(INDEX(ERP資料!$G:$G, (MATCH(1004, 輔助計算!$G$2:$G$801, 0)+1))&lt;=31,3,IF(INDEX(ERP資料!$G:$G, (MATCH(1004, 輔助計算!$G$2:$G$801, 0)+1))&lt;=46.5,2,1)), IF(INDEX(ERP資料!$G:$G, (MATCH(1004, 輔助計算!$G$2:$G$801, 0)+1))&lt;=790,3,IF(INDEX(ERP資料!$G:$G, (MATCH(1004, 輔助計算!$G$2:$G$801, 0)+1))&lt;=1181,2,1))))=1,TEXT(INDEX(ERP資料!$G:$G, (MATCH(1004, 輔助計算!$G$2:$G$801, 0)+1)),"0.##"),IF(MOD(INDEX(輔助計算!$D:$D, (MATCH(1004, 輔助計算!$G$2:$G$801, 0)+1)),IF(INDEX(ERP資料!$G:$G, (MATCH(1004, 輔助計算!$G$2:$G$801, 0)+1))&lt;100, IF(INDEX(ERP資料!$G:$G, (MATCH(1004, 輔助計算!$G$2:$G$801, 0)+1))&lt;=31,3,IF(INDEX(ERP資料!$G:$G, (MATCH(1004, 輔助計算!$G$2:$G$801, 0)+1))&lt;=46.5,2,1)), IF(INDEX(ERP資料!$G:$G, (MATCH(1004, 輔助計算!$G$2:$G$801, 0)+1))&lt;=790,3,IF(INDEX(ERP資料!$G:$G, (MATCH(1004, 輔助計算!$G$2:$G$801, 0)+1))&lt;=1181,2,1))))=2,TEXT(INDEX(ERP資料!$G:$G, (MATCH(1004, 輔助計算!$G$2:$G$801, 0)+1)),"0.##")&amp;"+"&amp;TEXT(INDEX(ERP資料!$G:$G, (MATCH(1004, 輔助計算!$G$2:$G$801, 0)+1)),"0.##"),TEXT(INDEX(ERP資料!$G:$G, (MATCH(1004, 輔助計算!$G$2:$G$801, 0)+1)),"0.##")&amp;"+"&amp;TEXT(INDEX(ERP資料!$G:$G, (MATCH(1004, 輔助計算!$G$2:$G$801, 0)+1)),"0.##")&amp;"+"&amp;TEXT(INDEX(ERP資料!$G:$G, (MATCH(1004, 輔助計算!$G$2:$G$801, 0)+1)),"0.##"))))&amp;"-1")), ""), "")</f>
        <v/>
      </c>
      <c r="K1005" s="16" t="n"/>
      <c r="L1005" s="14">
        <f>IFERROR(IF(AND(IFERROR(INDEX(ERP資料!$A:$A, (MATCH(1004, 輔助計算!$G$2:$G$801, 0)+1)), "")&lt;&gt;"", IFERROR(INDEX(ERP資料!$A:$A, (MATCH(1004, 輔助計算!$G$2:$G$801, 0)+1)), "")&lt;&gt;IFERROR(INDEX(ERP資料!$A:$A, MATCH(1003, 輔助計算!$G$2:$G$801, 0)+1), "")), INDEX(ERP資料!$B:$B, (MATCH(1004, 輔助計算!$G$2:$G$801, 0)+1)), ""), "")</f>
        <v/>
      </c>
      <c r="M1005" s="17" t="n"/>
    </row>
    <row r="1006">
      <c r="A1006" s="10">
        <f>IFERROR(IF(AND(IFERROR(INDEX(ERP資料!$A:$A, (MATCH(1005, 輔助計算!$G$2:$G$801, 0)+1)), "")&lt;&gt;"", IFERROR(INDEX(ERP資料!$A:$A, (MATCH(1005, 輔助計算!$G$2:$G$801, 0)+1)), "")&lt;&gt;IFERROR(INDEX(ERP資料!$A:$A, MATCH(1004, 輔助計算!$G$2:$G$801, 0)+1), "")), IFERROR(INDEX(ERP資料!$A:$A, (MATCH(1005, 輔助計算!$G$2:$G$801, 0)+1)), ""), ""), "")</f>
        <v/>
      </c>
      <c r="B1006" s="10">
        <f>IFERROR(IF(AND(IFERROR(INDEX(ERP資料!$A:$A, (MATCH(1005, 輔助計算!$G$2:$G$801, 0)+1)), "")&lt;&gt;"", IFERROR(INDEX(ERP資料!$A:$A, (MATCH(1005, 輔助計算!$G$2:$G$801, 0)+1)), "")&lt;&gt;IFERROR(INDEX(ERP資料!$A:$A, MATCH(1004, 輔助計算!$G$2:$G$801, 0)+1), "")), INDEX(ERP資料!$S:$S, (MATCH(1005, 輔助計算!$G$2:$G$801, 0)+1)), ""), "")</f>
        <v/>
      </c>
      <c r="C1006" s="19">
        <f>IFERROR(IF(AND(IFERROR(INDEX(ERP資料!$A:$A, (MATCH(1005, 輔助計算!$G$2:$G$801, 0)+1)), "")&lt;&gt;"", IFERROR(INDEX(ERP資料!$A:$A, (MATCH(1005, 輔助計算!$G$2:$G$801, 0)+1)), "")&lt;&gt;IFERROR(INDEX(ERP資料!$A:$A, MATCH(1004, 輔助計算!$G$2:$G$801, 0)+1), "")), IFERROR(VLOOKUP(LEFT(INDEX(ERP資料!$S:$S, (MATCH(1005, 輔助計算!$G$2:$G$801, 0)+1)), 4), 紙管對照表!$A:$C, 3, FALSE), ""), ""), "")</f>
        <v/>
      </c>
      <c r="D1006" s="16" t="n"/>
      <c r="E1006" s="10">
        <f>IFERROR(IF(INDEX(ERP資料!$H:$H, (MATCH(1005, 輔助計算!$G$2:$G$801, 0)+1))="","",INDEX(ERP資料!$H:$H, (MATCH(1005, 輔助計算!$G$2:$G$801, 0)+1))), "")</f>
        <v/>
      </c>
      <c r="F1006" s="10">
        <f>IFERROR(IF(INDEX(ERP資料!$E:$E, (MATCH(1005, 輔助計算!$G$2:$G$801, 0)+1))="","",TRIM(INDEX(ERP資料!$E:$E, (MATCH(1005, 輔助計算!$G$2:$G$801, 0)+1)))), "")</f>
        <v/>
      </c>
      <c r="G1006" s="10">
        <f>IFERROR(IF(INDEX(ERP資料!$F:$F, (MATCH(1005, 輔助計算!$G$2:$G$801, 0)+1))="","",INDEX(ERP資料!$F:$F, (MATCH(1005, 輔助計算!$G$2:$G$801, 0)+1))), "")</f>
        <v/>
      </c>
      <c r="H1006" s="10">
        <f>IFERROR(IF(INDEX(ERP資料!$G:$G, (MATCH(1005, 輔助計算!$G$2:$G$801, 0)+1))="","",INDEX(ERP資料!$G:$G, (MATCH(1005, 輔助計算!$G$2:$G$801, 0)+1))), "")</f>
        <v/>
      </c>
      <c r="I1006" s="15">
        <f>IFERROR(INDEX(輔助計算!$D:$D, (MATCH(1005, 輔助計算!$G$2:$G$801, 0)+1)), "")</f>
        <v/>
      </c>
      <c r="J1006" s="15">
        <f>IFERROR(IF(AND(INDEX(輔助計算!$D:$D, (MATCH(1005, 輔助計算!$G$2:$G$801, 0)+1))&lt;&gt;"", INDEX(ERP資料!$G:$G, (MATCH(1005, 輔助計算!$G$2:$G$801, 0)+1))&lt;&gt;""), TRIM(IF(INT(INDEX(輔助計算!$D:$D, (MATCH(1005, 輔助計算!$G$2:$G$801, 0)+1))/IF(INDEX(ERP資料!$G:$G, (MATCH(1005, 輔助計算!$G$2:$G$801, 0)+1))&lt;100, IF(INDEX(ERP資料!$G:$G, (MATCH(1005, 輔助計算!$G$2:$G$801, 0)+1))&lt;=31,3,IF(INDEX(ERP資料!$G:$G, (MATCH(1005, 輔助計算!$G$2:$G$801, 0)+1))&lt;=46.5,2,1)), IF(INDEX(ERP資料!$G:$G, (MATCH(1005, 輔助計算!$G$2:$G$801, 0)+1))&lt;=790,3,IF(INDEX(ERP資料!$G:$G, (MATCH(1005, 輔助計算!$G$2:$G$801, 0)+1))&lt;=1181,2,1))))&gt;0, IF(IF(INDEX(ERP資料!$G:$G, (MATCH(1005, 輔助計算!$G$2:$G$801, 0)+1))&lt;100, IF(INDEX(ERP資料!$G:$G, (MATCH(1005, 輔助計算!$G$2:$G$801, 0)+1))&lt;=31,3,IF(INDEX(ERP資料!$G:$G, (MATCH(1005, 輔助計算!$G$2:$G$801, 0)+1))&lt;=46.5,2,1)), IF(INDEX(ERP資料!$G:$G, (MATCH(1005, 輔助計算!$G$2:$G$801, 0)+1))&lt;=790,3,IF(INDEX(ERP資料!$G:$G, (MATCH(1005, 輔助計算!$G$2:$G$801, 0)+1))&lt;=1181,2,1)))=1,TEXT(INDEX(ERP資料!$G:$G, (MATCH(1005, 輔助計算!$G$2:$G$801, 0)+1)),"0.##"),IF(IF(INDEX(ERP資料!$G:$G, (MATCH(1005, 輔助計算!$G$2:$G$801, 0)+1))&lt;100, IF(INDEX(ERP資料!$G:$G, (MATCH(1005, 輔助計算!$G$2:$G$801, 0)+1))&lt;=31,3,IF(INDEX(ERP資料!$G:$G, (MATCH(1005, 輔助計算!$G$2:$G$801, 0)+1))&lt;=46.5,2,1)), IF(INDEX(ERP資料!$G:$G, (MATCH(1005, 輔助計算!$G$2:$G$801, 0)+1))&lt;=790,3,IF(INDEX(ERP資料!$G:$G, (MATCH(1005, 輔助計算!$G$2:$G$801, 0)+1))&lt;=1181,2,1)))=2,TEXT(INDEX(ERP資料!$G:$G, (MATCH(1005, 輔助計算!$G$2:$G$801, 0)+1)),"0.##")&amp;"+"&amp;TEXT(INDEX(ERP資料!$G:$G, (MATCH(1005, 輔助計算!$G$2:$G$801, 0)+1)),"0.##"),TEXT(INDEX(ERP資料!$G:$G, (MATCH(1005, 輔助計算!$G$2:$G$801, 0)+1)),"0.##")&amp;"+"&amp;TEXT(INDEX(ERP資料!$G:$G, (MATCH(1005, 輔助計算!$G$2:$G$801, 0)+1)),"0.##")&amp;"+"&amp;TEXT(INDEX(ERP資料!$G:$G, (MATCH(1005, 輔助計算!$G$2:$G$801, 0)+1)),"0.##")))&amp;"-"&amp;INT(INDEX(輔助計算!$D:$D, (MATCH(1005, 輔助計算!$G$2:$G$801, 0)+1))/IF(INDEX(ERP資料!$G:$G, (MATCH(1005, 輔助計算!$G$2:$G$801, 0)+1))&lt;100, IF(INDEX(ERP資料!$G:$G, (MATCH(1005, 輔助計算!$G$2:$G$801, 0)+1))&lt;=31,3,IF(INDEX(ERP資料!$G:$G, (MATCH(1005, 輔助計算!$G$2:$G$801, 0)+1))&lt;=46.5,2,1)), IF(INDEX(ERP資料!$G:$G, (MATCH(1005, 輔助計算!$G$2:$G$801, 0)+1))&lt;=790,3,IF(INDEX(ERP資料!$G:$G, (MATCH(1005, 輔助計算!$G$2:$G$801, 0)+1))&lt;=1181,2,1)))), "")&amp;IF(AND(IF(INT(INDEX(輔助計算!$D:$D, (MATCH(1005, 輔助計算!$G$2:$G$801, 0)+1))/IF(INDEX(ERP資料!$G:$G, (MATCH(1005, 輔助計算!$G$2:$G$801, 0)+1))&lt;100, IF(INDEX(ERP資料!$G:$G, (MATCH(1005, 輔助計算!$G$2:$G$801, 0)+1))&lt;=31,3,IF(INDEX(ERP資料!$G:$G, (MATCH(1005, 輔助計算!$G$2:$G$801, 0)+1))&lt;=46.5,2,1)), IF(INDEX(ERP資料!$G:$G, (MATCH(1005, 輔助計算!$G$2:$G$801, 0)+1))&lt;=790,3,IF(INDEX(ERP資料!$G:$G, (MATCH(1005, 輔助計算!$G$2:$G$801, 0)+1))&lt;=1181,2,1))))&gt;0, IF(IF(INDEX(ERP資料!$G:$G, (MATCH(1005, 輔助計算!$G$2:$G$801, 0)+1))&lt;100, IF(INDEX(ERP資料!$G:$G, (MATCH(1005, 輔助計算!$G$2:$G$801, 0)+1))&lt;=31,3,IF(INDEX(ERP資料!$G:$G, (MATCH(1005, 輔助計算!$G$2:$G$801, 0)+1))&lt;=46.5,2,1)), IF(INDEX(ERP資料!$G:$G, (MATCH(1005, 輔助計算!$G$2:$G$801, 0)+1))&lt;=790,3,IF(INDEX(ERP資料!$G:$G, (MATCH(1005, 輔助計算!$G$2:$G$801, 0)+1))&lt;=1181,2,1)))=1,TEXT(INDEX(ERP資料!$G:$G, (MATCH(1005, 輔助計算!$G$2:$G$801, 0)+1)),"0.##"),IF(IF(INDEX(ERP資料!$G:$G, (MATCH(1005, 輔助計算!$G$2:$G$801, 0)+1))&lt;100, IF(INDEX(ERP資料!$G:$G, (MATCH(1005, 輔助計算!$G$2:$G$801, 0)+1))&lt;=31,3,IF(INDEX(ERP資料!$G:$G, (MATCH(1005, 輔助計算!$G$2:$G$801, 0)+1))&lt;=46.5,2,1)), IF(INDEX(ERP資料!$G:$G, (MATCH(1005, 輔助計算!$G$2:$G$801, 0)+1))&lt;=790,3,IF(INDEX(ERP資料!$G:$G, (MATCH(1005, 輔助計算!$G$2:$G$801, 0)+1))&lt;=1181,2,1)))=2,TEXT(INDEX(ERP資料!$G:$G, (MATCH(1005, 輔助計算!$G$2:$G$801, 0)+1)),"0.##")&amp;"+"&amp;TEXT(INDEX(ERP資料!$G:$G, (MATCH(1005, 輔助計算!$G$2:$G$801, 0)+1)),"0.##"),TEXT(INDEX(ERP資料!$G:$G, (MATCH(1005, 輔助計算!$G$2:$G$801, 0)+1)),"0.##")&amp;"+"&amp;TEXT(INDEX(ERP資料!$G:$G, (MATCH(1005, 輔助計算!$G$2:$G$801, 0)+1)),"0.##")&amp;"+"&amp;TEXT(INDEX(ERP資料!$G:$G, (MATCH(1005, 輔助計算!$G$2:$G$801, 0)+1)),"0.##")))&amp;"-"&amp;INT(INDEX(輔助計算!$D:$D, (MATCH(1005, 輔助計算!$G$2:$G$801, 0)+1))/IF(INDEX(ERP資料!$G:$G, (MATCH(1005, 輔助計算!$G$2:$G$801, 0)+1))&lt;100, IF(INDEX(ERP資料!$G:$G, (MATCH(1005, 輔助計算!$G$2:$G$801, 0)+1))&lt;=31,3,IF(INDEX(ERP資料!$G:$G, (MATCH(1005, 輔助計算!$G$2:$G$801, 0)+1))&lt;=46.5,2,1)), IF(INDEX(ERP資料!$G:$G, (MATCH(1005, 輔助計算!$G$2:$G$801, 0)+1))&lt;=790,3,IF(INDEX(ERP資料!$G:$G, (MATCH(1005, 輔助計算!$G$2:$G$801, 0)+1))&lt;=1181,2,1)))), "")&lt;&gt;"",IF(MOD(INDEX(輔助計算!$D:$D, (MATCH(1005, 輔助計算!$G$2:$G$801, 0)+1)),IF(INDEX(ERP資料!$G:$G, (MATCH(1005, 輔助計算!$G$2:$G$801, 0)+1))&lt;100, IF(INDEX(ERP資料!$G:$G, (MATCH(1005, 輔助計算!$G$2:$G$801, 0)+1))&lt;=31,3,IF(INDEX(ERP資料!$G:$G, (MATCH(1005, 輔助計算!$G$2:$G$801, 0)+1))&lt;=46.5,2,1)), IF(INDEX(ERP資料!$G:$G, (MATCH(1005, 輔助計算!$G$2:$G$801, 0)+1))&lt;=790,3,IF(INDEX(ERP資料!$G:$G, (MATCH(1005, 輔助計算!$G$2:$G$801, 0)+1))&lt;=1181,2,1))))=0,"",IF(MOD(INDEX(輔助計算!$D:$D, (MATCH(1005, 輔助計算!$G$2:$G$801, 0)+1)),IF(INDEX(ERP資料!$G:$G, (MATCH(1005, 輔助計算!$G$2:$G$801, 0)+1))&lt;100, IF(INDEX(ERP資料!$G:$G, (MATCH(1005, 輔助計算!$G$2:$G$801, 0)+1))&lt;=31,3,IF(INDEX(ERP資料!$G:$G, (MATCH(1005, 輔助計算!$G$2:$G$801, 0)+1))&lt;=46.5,2,1)), IF(INDEX(ERP資料!$G:$G, (MATCH(1005, 輔助計算!$G$2:$G$801, 0)+1))&lt;=790,3,IF(INDEX(ERP資料!$G:$G, (MATCH(1005, 輔助計算!$G$2:$G$801, 0)+1))&lt;=1181,2,1))))=0,"",IF(MOD(INDEX(輔助計算!$D:$D, (MATCH(1005, 輔助計算!$G$2:$G$801, 0)+1)),IF(INDEX(ERP資料!$G:$G, (MATCH(1005, 輔助計算!$G$2:$G$801, 0)+1))&lt;100, IF(INDEX(ERP資料!$G:$G, (MATCH(1005, 輔助計算!$G$2:$G$801, 0)+1))&lt;=31,3,IF(INDEX(ERP資料!$G:$G, (MATCH(1005, 輔助計算!$G$2:$G$801, 0)+1))&lt;=46.5,2,1)), IF(INDEX(ERP資料!$G:$G, (MATCH(1005, 輔助計算!$G$2:$G$801, 0)+1))&lt;=790,3,IF(INDEX(ERP資料!$G:$G, (MATCH(1005, 輔助計算!$G$2:$G$801, 0)+1))&lt;=1181,2,1))))=1,TEXT(INDEX(ERP資料!$G:$G, (MATCH(1005, 輔助計算!$G$2:$G$801, 0)+1)),"0.##"),IF(MOD(INDEX(輔助計算!$D:$D, (MATCH(1005, 輔助計算!$G$2:$G$801, 0)+1)),IF(INDEX(ERP資料!$G:$G, (MATCH(1005, 輔助計算!$G$2:$G$801, 0)+1))&lt;100, IF(INDEX(ERP資料!$G:$G, (MATCH(1005, 輔助計算!$G$2:$G$801, 0)+1))&lt;=31,3,IF(INDEX(ERP資料!$G:$G, (MATCH(1005, 輔助計算!$G$2:$G$801, 0)+1))&lt;=46.5,2,1)), IF(INDEX(ERP資料!$G:$G, (MATCH(1005, 輔助計算!$G$2:$G$801, 0)+1))&lt;=790,3,IF(INDEX(ERP資料!$G:$G, (MATCH(1005, 輔助計算!$G$2:$G$801, 0)+1))&lt;=1181,2,1))))=2,TEXT(INDEX(ERP資料!$G:$G, (MATCH(1005, 輔助計算!$G$2:$G$801, 0)+1)),"0.##")&amp;"+"&amp;TEXT(INDEX(ERP資料!$G:$G, (MATCH(1005, 輔助計算!$G$2:$G$801, 0)+1)),"0.##"),TEXT(INDEX(ERP資料!$G:$G, (MATCH(1005, 輔助計算!$G$2:$G$801, 0)+1)),"0.##")&amp;"+"&amp;TEXT(INDEX(ERP資料!$G:$G, (MATCH(1005, 輔助計算!$G$2:$G$801, 0)+1)),"0.##")&amp;"+"&amp;TEXT(INDEX(ERP資料!$G:$G, (MATCH(1005, 輔助計算!$G$2:$G$801, 0)+1)),"0.##"))))&amp;"-1")&lt;&gt;""),"  ","")&amp;IF(MOD(INDEX(輔助計算!$D:$D, (MATCH(1005, 輔助計算!$G$2:$G$801, 0)+1)),IF(INDEX(ERP資料!$G:$G, (MATCH(1005, 輔助計算!$G$2:$G$801, 0)+1))&lt;100, IF(INDEX(ERP資料!$G:$G, (MATCH(1005, 輔助計算!$G$2:$G$801, 0)+1))&lt;=31,3,IF(INDEX(ERP資料!$G:$G, (MATCH(1005, 輔助計算!$G$2:$G$801, 0)+1))&lt;=46.5,2,1)), IF(INDEX(ERP資料!$G:$G, (MATCH(1005, 輔助計算!$G$2:$G$801, 0)+1))&lt;=790,3,IF(INDEX(ERP資料!$G:$G, (MATCH(1005, 輔助計算!$G$2:$G$801, 0)+1))&lt;=1181,2,1))))=0,"",IF(MOD(INDEX(輔助計算!$D:$D, (MATCH(1005, 輔助計算!$G$2:$G$801, 0)+1)),IF(INDEX(ERP資料!$G:$G, (MATCH(1005, 輔助計算!$G$2:$G$801, 0)+1))&lt;100, IF(INDEX(ERP資料!$G:$G, (MATCH(1005, 輔助計算!$G$2:$G$801, 0)+1))&lt;=31,3,IF(INDEX(ERP資料!$G:$G, (MATCH(1005, 輔助計算!$G$2:$G$801, 0)+1))&lt;=46.5,2,1)), IF(INDEX(ERP資料!$G:$G, (MATCH(1005, 輔助計算!$G$2:$G$801, 0)+1))&lt;=790,3,IF(INDEX(ERP資料!$G:$G, (MATCH(1005, 輔助計算!$G$2:$G$801, 0)+1))&lt;=1181,2,1))))=0,"",IF(MOD(INDEX(輔助計算!$D:$D, (MATCH(1005, 輔助計算!$G$2:$G$801, 0)+1)),IF(INDEX(ERP資料!$G:$G, (MATCH(1005, 輔助計算!$G$2:$G$801, 0)+1))&lt;100, IF(INDEX(ERP資料!$G:$G, (MATCH(1005, 輔助計算!$G$2:$G$801, 0)+1))&lt;=31,3,IF(INDEX(ERP資料!$G:$G, (MATCH(1005, 輔助計算!$G$2:$G$801, 0)+1))&lt;=46.5,2,1)), IF(INDEX(ERP資料!$G:$G, (MATCH(1005, 輔助計算!$G$2:$G$801, 0)+1))&lt;=790,3,IF(INDEX(ERP資料!$G:$G, (MATCH(1005, 輔助計算!$G$2:$G$801, 0)+1))&lt;=1181,2,1))))=1,TEXT(INDEX(ERP資料!$G:$G, (MATCH(1005, 輔助計算!$G$2:$G$801, 0)+1)),"0.##"),IF(MOD(INDEX(輔助計算!$D:$D, (MATCH(1005, 輔助計算!$G$2:$G$801, 0)+1)),IF(INDEX(ERP資料!$G:$G, (MATCH(1005, 輔助計算!$G$2:$G$801, 0)+1))&lt;100, IF(INDEX(ERP資料!$G:$G, (MATCH(1005, 輔助計算!$G$2:$G$801, 0)+1))&lt;=31,3,IF(INDEX(ERP資料!$G:$G, (MATCH(1005, 輔助計算!$G$2:$G$801, 0)+1))&lt;=46.5,2,1)), IF(INDEX(ERP資料!$G:$G, (MATCH(1005, 輔助計算!$G$2:$G$801, 0)+1))&lt;=790,3,IF(INDEX(ERP資料!$G:$G, (MATCH(1005, 輔助計算!$G$2:$G$801, 0)+1))&lt;=1181,2,1))))=2,TEXT(INDEX(ERP資料!$G:$G, (MATCH(1005, 輔助計算!$G$2:$G$801, 0)+1)),"0.##")&amp;"+"&amp;TEXT(INDEX(ERP資料!$G:$G, (MATCH(1005, 輔助計算!$G$2:$G$801, 0)+1)),"0.##"),TEXT(INDEX(ERP資料!$G:$G, (MATCH(1005, 輔助計算!$G$2:$G$801, 0)+1)),"0.##")&amp;"+"&amp;TEXT(INDEX(ERP資料!$G:$G, (MATCH(1005, 輔助計算!$G$2:$G$801, 0)+1)),"0.##")&amp;"+"&amp;TEXT(INDEX(ERP資料!$G:$G, (MATCH(1005, 輔助計算!$G$2:$G$801, 0)+1)),"0.##"))))&amp;"-1")), ""), "")</f>
        <v/>
      </c>
      <c r="K1006" s="16" t="n"/>
      <c r="L1006" s="14">
        <f>IFERROR(IF(AND(IFERROR(INDEX(ERP資料!$A:$A, (MATCH(1005, 輔助計算!$G$2:$G$801, 0)+1)), "")&lt;&gt;"", IFERROR(INDEX(ERP資料!$A:$A, (MATCH(1005, 輔助計算!$G$2:$G$801, 0)+1)), "")&lt;&gt;IFERROR(INDEX(ERP資料!$A:$A, MATCH(1004, 輔助計算!$G$2:$G$801, 0)+1), "")), INDEX(ERP資料!$B:$B, (MATCH(1005, 輔助計算!$G$2:$G$801, 0)+1)), ""), "")</f>
        <v/>
      </c>
      <c r="M1006" s="17" t="n"/>
    </row>
    <row r="1007">
      <c r="A1007" s="10">
        <f>IFERROR(IF(AND(IFERROR(INDEX(ERP資料!$A:$A, (MATCH(1006, 輔助計算!$G$2:$G$801, 0)+1)), "")&lt;&gt;"", IFERROR(INDEX(ERP資料!$A:$A, (MATCH(1006, 輔助計算!$G$2:$G$801, 0)+1)), "")&lt;&gt;IFERROR(INDEX(ERP資料!$A:$A, MATCH(1005, 輔助計算!$G$2:$G$801, 0)+1), "")), IFERROR(INDEX(ERP資料!$A:$A, (MATCH(1006, 輔助計算!$G$2:$G$801, 0)+1)), ""), ""), "")</f>
        <v/>
      </c>
      <c r="B1007" s="10">
        <f>IFERROR(IF(AND(IFERROR(INDEX(ERP資料!$A:$A, (MATCH(1006, 輔助計算!$G$2:$G$801, 0)+1)), "")&lt;&gt;"", IFERROR(INDEX(ERP資料!$A:$A, (MATCH(1006, 輔助計算!$G$2:$G$801, 0)+1)), "")&lt;&gt;IFERROR(INDEX(ERP資料!$A:$A, MATCH(1005, 輔助計算!$G$2:$G$801, 0)+1), "")), INDEX(ERP資料!$S:$S, (MATCH(1006, 輔助計算!$G$2:$G$801, 0)+1)), ""), "")</f>
        <v/>
      </c>
      <c r="C1007" s="19">
        <f>IFERROR(IF(AND(IFERROR(INDEX(ERP資料!$A:$A, (MATCH(1006, 輔助計算!$G$2:$G$801, 0)+1)), "")&lt;&gt;"", IFERROR(INDEX(ERP資料!$A:$A, (MATCH(1006, 輔助計算!$G$2:$G$801, 0)+1)), "")&lt;&gt;IFERROR(INDEX(ERP資料!$A:$A, MATCH(1005, 輔助計算!$G$2:$G$801, 0)+1), "")), IFERROR(VLOOKUP(LEFT(INDEX(ERP資料!$S:$S, (MATCH(1006, 輔助計算!$G$2:$G$801, 0)+1)), 4), 紙管對照表!$A:$C, 3, FALSE), ""), ""), "")</f>
        <v/>
      </c>
      <c r="D1007" s="16" t="n"/>
      <c r="E1007" s="10">
        <f>IFERROR(IF(INDEX(ERP資料!$H:$H, (MATCH(1006, 輔助計算!$G$2:$G$801, 0)+1))="","",INDEX(ERP資料!$H:$H, (MATCH(1006, 輔助計算!$G$2:$G$801, 0)+1))), "")</f>
        <v/>
      </c>
      <c r="F1007" s="10">
        <f>IFERROR(IF(INDEX(ERP資料!$E:$E, (MATCH(1006, 輔助計算!$G$2:$G$801, 0)+1))="","",TRIM(INDEX(ERP資料!$E:$E, (MATCH(1006, 輔助計算!$G$2:$G$801, 0)+1)))), "")</f>
        <v/>
      </c>
      <c r="G1007" s="10">
        <f>IFERROR(IF(INDEX(ERP資料!$F:$F, (MATCH(1006, 輔助計算!$G$2:$G$801, 0)+1))="","",INDEX(ERP資料!$F:$F, (MATCH(1006, 輔助計算!$G$2:$G$801, 0)+1))), "")</f>
        <v/>
      </c>
      <c r="H1007" s="10">
        <f>IFERROR(IF(INDEX(ERP資料!$G:$G, (MATCH(1006, 輔助計算!$G$2:$G$801, 0)+1))="","",INDEX(ERP資料!$G:$G, (MATCH(1006, 輔助計算!$G$2:$G$801, 0)+1))), "")</f>
        <v/>
      </c>
      <c r="I1007" s="15">
        <f>IFERROR(INDEX(輔助計算!$D:$D, (MATCH(1006, 輔助計算!$G$2:$G$801, 0)+1)), "")</f>
        <v/>
      </c>
      <c r="J1007" s="15">
        <f>IFERROR(IF(AND(INDEX(輔助計算!$D:$D, (MATCH(1006, 輔助計算!$G$2:$G$801, 0)+1))&lt;&gt;"", INDEX(ERP資料!$G:$G, (MATCH(1006, 輔助計算!$G$2:$G$801, 0)+1))&lt;&gt;""), TRIM(IF(INT(INDEX(輔助計算!$D:$D, (MATCH(1006, 輔助計算!$G$2:$G$801, 0)+1))/IF(INDEX(ERP資料!$G:$G, (MATCH(1006, 輔助計算!$G$2:$G$801, 0)+1))&lt;100, IF(INDEX(ERP資料!$G:$G, (MATCH(1006, 輔助計算!$G$2:$G$801, 0)+1))&lt;=31,3,IF(INDEX(ERP資料!$G:$G, (MATCH(1006, 輔助計算!$G$2:$G$801, 0)+1))&lt;=46.5,2,1)), IF(INDEX(ERP資料!$G:$G, (MATCH(1006, 輔助計算!$G$2:$G$801, 0)+1))&lt;=790,3,IF(INDEX(ERP資料!$G:$G, (MATCH(1006, 輔助計算!$G$2:$G$801, 0)+1))&lt;=1181,2,1))))&gt;0, IF(IF(INDEX(ERP資料!$G:$G, (MATCH(1006, 輔助計算!$G$2:$G$801, 0)+1))&lt;100, IF(INDEX(ERP資料!$G:$G, (MATCH(1006, 輔助計算!$G$2:$G$801, 0)+1))&lt;=31,3,IF(INDEX(ERP資料!$G:$G, (MATCH(1006, 輔助計算!$G$2:$G$801, 0)+1))&lt;=46.5,2,1)), IF(INDEX(ERP資料!$G:$G, (MATCH(1006, 輔助計算!$G$2:$G$801, 0)+1))&lt;=790,3,IF(INDEX(ERP資料!$G:$G, (MATCH(1006, 輔助計算!$G$2:$G$801, 0)+1))&lt;=1181,2,1)))=1,TEXT(INDEX(ERP資料!$G:$G, (MATCH(1006, 輔助計算!$G$2:$G$801, 0)+1)),"0.##"),IF(IF(INDEX(ERP資料!$G:$G, (MATCH(1006, 輔助計算!$G$2:$G$801, 0)+1))&lt;100, IF(INDEX(ERP資料!$G:$G, (MATCH(1006, 輔助計算!$G$2:$G$801, 0)+1))&lt;=31,3,IF(INDEX(ERP資料!$G:$G, (MATCH(1006, 輔助計算!$G$2:$G$801, 0)+1))&lt;=46.5,2,1)), IF(INDEX(ERP資料!$G:$G, (MATCH(1006, 輔助計算!$G$2:$G$801, 0)+1))&lt;=790,3,IF(INDEX(ERP資料!$G:$G, (MATCH(1006, 輔助計算!$G$2:$G$801, 0)+1))&lt;=1181,2,1)))=2,TEXT(INDEX(ERP資料!$G:$G, (MATCH(1006, 輔助計算!$G$2:$G$801, 0)+1)),"0.##")&amp;"+"&amp;TEXT(INDEX(ERP資料!$G:$G, (MATCH(1006, 輔助計算!$G$2:$G$801, 0)+1)),"0.##"),TEXT(INDEX(ERP資料!$G:$G, (MATCH(1006, 輔助計算!$G$2:$G$801, 0)+1)),"0.##")&amp;"+"&amp;TEXT(INDEX(ERP資料!$G:$G, (MATCH(1006, 輔助計算!$G$2:$G$801, 0)+1)),"0.##")&amp;"+"&amp;TEXT(INDEX(ERP資料!$G:$G, (MATCH(1006, 輔助計算!$G$2:$G$801, 0)+1)),"0.##")))&amp;"-"&amp;INT(INDEX(輔助計算!$D:$D, (MATCH(1006, 輔助計算!$G$2:$G$801, 0)+1))/IF(INDEX(ERP資料!$G:$G, (MATCH(1006, 輔助計算!$G$2:$G$801, 0)+1))&lt;100, IF(INDEX(ERP資料!$G:$G, (MATCH(1006, 輔助計算!$G$2:$G$801, 0)+1))&lt;=31,3,IF(INDEX(ERP資料!$G:$G, (MATCH(1006, 輔助計算!$G$2:$G$801, 0)+1))&lt;=46.5,2,1)), IF(INDEX(ERP資料!$G:$G, (MATCH(1006, 輔助計算!$G$2:$G$801, 0)+1))&lt;=790,3,IF(INDEX(ERP資料!$G:$G, (MATCH(1006, 輔助計算!$G$2:$G$801, 0)+1))&lt;=1181,2,1)))), "")&amp;IF(AND(IF(INT(INDEX(輔助計算!$D:$D, (MATCH(1006, 輔助計算!$G$2:$G$801, 0)+1))/IF(INDEX(ERP資料!$G:$G, (MATCH(1006, 輔助計算!$G$2:$G$801, 0)+1))&lt;100, IF(INDEX(ERP資料!$G:$G, (MATCH(1006, 輔助計算!$G$2:$G$801, 0)+1))&lt;=31,3,IF(INDEX(ERP資料!$G:$G, (MATCH(1006, 輔助計算!$G$2:$G$801, 0)+1))&lt;=46.5,2,1)), IF(INDEX(ERP資料!$G:$G, (MATCH(1006, 輔助計算!$G$2:$G$801, 0)+1))&lt;=790,3,IF(INDEX(ERP資料!$G:$G, (MATCH(1006, 輔助計算!$G$2:$G$801, 0)+1))&lt;=1181,2,1))))&gt;0, IF(IF(INDEX(ERP資料!$G:$G, (MATCH(1006, 輔助計算!$G$2:$G$801, 0)+1))&lt;100, IF(INDEX(ERP資料!$G:$G, (MATCH(1006, 輔助計算!$G$2:$G$801, 0)+1))&lt;=31,3,IF(INDEX(ERP資料!$G:$G, (MATCH(1006, 輔助計算!$G$2:$G$801, 0)+1))&lt;=46.5,2,1)), IF(INDEX(ERP資料!$G:$G, (MATCH(1006, 輔助計算!$G$2:$G$801, 0)+1))&lt;=790,3,IF(INDEX(ERP資料!$G:$G, (MATCH(1006, 輔助計算!$G$2:$G$801, 0)+1))&lt;=1181,2,1)))=1,TEXT(INDEX(ERP資料!$G:$G, (MATCH(1006, 輔助計算!$G$2:$G$801, 0)+1)),"0.##"),IF(IF(INDEX(ERP資料!$G:$G, (MATCH(1006, 輔助計算!$G$2:$G$801, 0)+1))&lt;100, IF(INDEX(ERP資料!$G:$G, (MATCH(1006, 輔助計算!$G$2:$G$801, 0)+1))&lt;=31,3,IF(INDEX(ERP資料!$G:$G, (MATCH(1006, 輔助計算!$G$2:$G$801, 0)+1))&lt;=46.5,2,1)), IF(INDEX(ERP資料!$G:$G, (MATCH(1006, 輔助計算!$G$2:$G$801, 0)+1))&lt;=790,3,IF(INDEX(ERP資料!$G:$G, (MATCH(1006, 輔助計算!$G$2:$G$801, 0)+1))&lt;=1181,2,1)))=2,TEXT(INDEX(ERP資料!$G:$G, (MATCH(1006, 輔助計算!$G$2:$G$801, 0)+1)),"0.##")&amp;"+"&amp;TEXT(INDEX(ERP資料!$G:$G, (MATCH(1006, 輔助計算!$G$2:$G$801, 0)+1)),"0.##"),TEXT(INDEX(ERP資料!$G:$G, (MATCH(1006, 輔助計算!$G$2:$G$801, 0)+1)),"0.##")&amp;"+"&amp;TEXT(INDEX(ERP資料!$G:$G, (MATCH(1006, 輔助計算!$G$2:$G$801, 0)+1)),"0.##")&amp;"+"&amp;TEXT(INDEX(ERP資料!$G:$G, (MATCH(1006, 輔助計算!$G$2:$G$801, 0)+1)),"0.##")))&amp;"-"&amp;INT(INDEX(輔助計算!$D:$D, (MATCH(1006, 輔助計算!$G$2:$G$801, 0)+1))/IF(INDEX(ERP資料!$G:$G, (MATCH(1006, 輔助計算!$G$2:$G$801, 0)+1))&lt;100, IF(INDEX(ERP資料!$G:$G, (MATCH(1006, 輔助計算!$G$2:$G$801, 0)+1))&lt;=31,3,IF(INDEX(ERP資料!$G:$G, (MATCH(1006, 輔助計算!$G$2:$G$801, 0)+1))&lt;=46.5,2,1)), IF(INDEX(ERP資料!$G:$G, (MATCH(1006, 輔助計算!$G$2:$G$801, 0)+1))&lt;=790,3,IF(INDEX(ERP資料!$G:$G, (MATCH(1006, 輔助計算!$G$2:$G$801, 0)+1))&lt;=1181,2,1)))), "")&lt;&gt;"",IF(MOD(INDEX(輔助計算!$D:$D, (MATCH(1006, 輔助計算!$G$2:$G$801, 0)+1)),IF(INDEX(ERP資料!$G:$G, (MATCH(1006, 輔助計算!$G$2:$G$801, 0)+1))&lt;100, IF(INDEX(ERP資料!$G:$G, (MATCH(1006, 輔助計算!$G$2:$G$801, 0)+1))&lt;=31,3,IF(INDEX(ERP資料!$G:$G, (MATCH(1006, 輔助計算!$G$2:$G$801, 0)+1))&lt;=46.5,2,1)), IF(INDEX(ERP資料!$G:$G, (MATCH(1006, 輔助計算!$G$2:$G$801, 0)+1))&lt;=790,3,IF(INDEX(ERP資料!$G:$G, (MATCH(1006, 輔助計算!$G$2:$G$801, 0)+1))&lt;=1181,2,1))))=0,"",IF(MOD(INDEX(輔助計算!$D:$D, (MATCH(1006, 輔助計算!$G$2:$G$801, 0)+1)),IF(INDEX(ERP資料!$G:$G, (MATCH(1006, 輔助計算!$G$2:$G$801, 0)+1))&lt;100, IF(INDEX(ERP資料!$G:$G, (MATCH(1006, 輔助計算!$G$2:$G$801, 0)+1))&lt;=31,3,IF(INDEX(ERP資料!$G:$G, (MATCH(1006, 輔助計算!$G$2:$G$801, 0)+1))&lt;=46.5,2,1)), IF(INDEX(ERP資料!$G:$G, (MATCH(1006, 輔助計算!$G$2:$G$801, 0)+1))&lt;=790,3,IF(INDEX(ERP資料!$G:$G, (MATCH(1006, 輔助計算!$G$2:$G$801, 0)+1))&lt;=1181,2,1))))=0,"",IF(MOD(INDEX(輔助計算!$D:$D, (MATCH(1006, 輔助計算!$G$2:$G$801, 0)+1)),IF(INDEX(ERP資料!$G:$G, (MATCH(1006, 輔助計算!$G$2:$G$801, 0)+1))&lt;100, IF(INDEX(ERP資料!$G:$G, (MATCH(1006, 輔助計算!$G$2:$G$801, 0)+1))&lt;=31,3,IF(INDEX(ERP資料!$G:$G, (MATCH(1006, 輔助計算!$G$2:$G$801, 0)+1))&lt;=46.5,2,1)), IF(INDEX(ERP資料!$G:$G, (MATCH(1006, 輔助計算!$G$2:$G$801, 0)+1))&lt;=790,3,IF(INDEX(ERP資料!$G:$G, (MATCH(1006, 輔助計算!$G$2:$G$801, 0)+1))&lt;=1181,2,1))))=1,TEXT(INDEX(ERP資料!$G:$G, (MATCH(1006, 輔助計算!$G$2:$G$801, 0)+1)),"0.##"),IF(MOD(INDEX(輔助計算!$D:$D, (MATCH(1006, 輔助計算!$G$2:$G$801, 0)+1)),IF(INDEX(ERP資料!$G:$G, (MATCH(1006, 輔助計算!$G$2:$G$801, 0)+1))&lt;100, IF(INDEX(ERP資料!$G:$G, (MATCH(1006, 輔助計算!$G$2:$G$801, 0)+1))&lt;=31,3,IF(INDEX(ERP資料!$G:$G, (MATCH(1006, 輔助計算!$G$2:$G$801, 0)+1))&lt;=46.5,2,1)), IF(INDEX(ERP資料!$G:$G, (MATCH(1006, 輔助計算!$G$2:$G$801, 0)+1))&lt;=790,3,IF(INDEX(ERP資料!$G:$G, (MATCH(1006, 輔助計算!$G$2:$G$801, 0)+1))&lt;=1181,2,1))))=2,TEXT(INDEX(ERP資料!$G:$G, (MATCH(1006, 輔助計算!$G$2:$G$801, 0)+1)),"0.##")&amp;"+"&amp;TEXT(INDEX(ERP資料!$G:$G, (MATCH(1006, 輔助計算!$G$2:$G$801, 0)+1)),"0.##"),TEXT(INDEX(ERP資料!$G:$G, (MATCH(1006, 輔助計算!$G$2:$G$801, 0)+1)),"0.##")&amp;"+"&amp;TEXT(INDEX(ERP資料!$G:$G, (MATCH(1006, 輔助計算!$G$2:$G$801, 0)+1)),"0.##")&amp;"+"&amp;TEXT(INDEX(ERP資料!$G:$G, (MATCH(1006, 輔助計算!$G$2:$G$801, 0)+1)),"0.##"))))&amp;"-1")&lt;&gt;""),"  ","")&amp;IF(MOD(INDEX(輔助計算!$D:$D, (MATCH(1006, 輔助計算!$G$2:$G$801, 0)+1)),IF(INDEX(ERP資料!$G:$G, (MATCH(1006, 輔助計算!$G$2:$G$801, 0)+1))&lt;100, IF(INDEX(ERP資料!$G:$G, (MATCH(1006, 輔助計算!$G$2:$G$801, 0)+1))&lt;=31,3,IF(INDEX(ERP資料!$G:$G, (MATCH(1006, 輔助計算!$G$2:$G$801, 0)+1))&lt;=46.5,2,1)), IF(INDEX(ERP資料!$G:$G, (MATCH(1006, 輔助計算!$G$2:$G$801, 0)+1))&lt;=790,3,IF(INDEX(ERP資料!$G:$G, (MATCH(1006, 輔助計算!$G$2:$G$801, 0)+1))&lt;=1181,2,1))))=0,"",IF(MOD(INDEX(輔助計算!$D:$D, (MATCH(1006, 輔助計算!$G$2:$G$801, 0)+1)),IF(INDEX(ERP資料!$G:$G, (MATCH(1006, 輔助計算!$G$2:$G$801, 0)+1))&lt;100, IF(INDEX(ERP資料!$G:$G, (MATCH(1006, 輔助計算!$G$2:$G$801, 0)+1))&lt;=31,3,IF(INDEX(ERP資料!$G:$G, (MATCH(1006, 輔助計算!$G$2:$G$801, 0)+1))&lt;=46.5,2,1)), IF(INDEX(ERP資料!$G:$G, (MATCH(1006, 輔助計算!$G$2:$G$801, 0)+1))&lt;=790,3,IF(INDEX(ERP資料!$G:$G, (MATCH(1006, 輔助計算!$G$2:$G$801, 0)+1))&lt;=1181,2,1))))=0,"",IF(MOD(INDEX(輔助計算!$D:$D, (MATCH(1006, 輔助計算!$G$2:$G$801, 0)+1)),IF(INDEX(ERP資料!$G:$G, (MATCH(1006, 輔助計算!$G$2:$G$801, 0)+1))&lt;100, IF(INDEX(ERP資料!$G:$G, (MATCH(1006, 輔助計算!$G$2:$G$801, 0)+1))&lt;=31,3,IF(INDEX(ERP資料!$G:$G, (MATCH(1006, 輔助計算!$G$2:$G$801, 0)+1))&lt;=46.5,2,1)), IF(INDEX(ERP資料!$G:$G, (MATCH(1006, 輔助計算!$G$2:$G$801, 0)+1))&lt;=790,3,IF(INDEX(ERP資料!$G:$G, (MATCH(1006, 輔助計算!$G$2:$G$801, 0)+1))&lt;=1181,2,1))))=1,TEXT(INDEX(ERP資料!$G:$G, (MATCH(1006, 輔助計算!$G$2:$G$801, 0)+1)),"0.##"),IF(MOD(INDEX(輔助計算!$D:$D, (MATCH(1006, 輔助計算!$G$2:$G$801, 0)+1)),IF(INDEX(ERP資料!$G:$G, (MATCH(1006, 輔助計算!$G$2:$G$801, 0)+1))&lt;100, IF(INDEX(ERP資料!$G:$G, (MATCH(1006, 輔助計算!$G$2:$G$801, 0)+1))&lt;=31,3,IF(INDEX(ERP資料!$G:$G, (MATCH(1006, 輔助計算!$G$2:$G$801, 0)+1))&lt;=46.5,2,1)), IF(INDEX(ERP資料!$G:$G, (MATCH(1006, 輔助計算!$G$2:$G$801, 0)+1))&lt;=790,3,IF(INDEX(ERP資料!$G:$G, (MATCH(1006, 輔助計算!$G$2:$G$801, 0)+1))&lt;=1181,2,1))))=2,TEXT(INDEX(ERP資料!$G:$G, (MATCH(1006, 輔助計算!$G$2:$G$801, 0)+1)),"0.##")&amp;"+"&amp;TEXT(INDEX(ERP資料!$G:$G, (MATCH(1006, 輔助計算!$G$2:$G$801, 0)+1)),"0.##"),TEXT(INDEX(ERP資料!$G:$G, (MATCH(1006, 輔助計算!$G$2:$G$801, 0)+1)),"0.##")&amp;"+"&amp;TEXT(INDEX(ERP資料!$G:$G, (MATCH(1006, 輔助計算!$G$2:$G$801, 0)+1)),"0.##")&amp;"+"&amp;TEXT(INDEX(ERP資料!$G:$G, (MATCH(1006, 輔助計算!$G$2:$G$801, 0)+1)),"0.##"))))&amp;"-1")), ""), "")</f>
        <v/>
      </c>
      <c r="K1007" s="16" t="n"/>
      <c r="L1007" s="14">
        <f>IFERROR(IF(AND(IFERROR(INDEX(ERP資料!$A:$A, (MATCH(1006, 輔助計算!$G$2:$G$801, 0)+1)), "")&lt;&gt;"", IFERROR(INDEX(ERP資料!$A:$A, (MATCH(1006, 輔助計算!$G$2:$G$801, 0)+1)), "")&lt;&gt;IFERROR(INDEX(ERP資料!$A:$A, MATCH(1005, 輔助計算!$G$2:$G$801, 0)+1), "")), INDEX(ERP資料!$B:$B, (MATCH(1006, 輔助計算!$G$2:$G$801, 0)+1)), ""), "")</f>
        <v/>
      </c>
      <c r="M1007" s="17" t="n"/>
    </row>
    <row r="1008">
      <c r="A1008" s="10">
        <f>IFERROR(IF(AND(IFERROR(INDEX(ERP資料!$A:$A, (MATCH(1007, 輔助計算!$G$2:$G$801, 0)+1)), "")&lt;&gt;"", IFERROR(INDEX(ERP資料!$A:$A, (MATCH(1007, 輔助計算!$G$2:$G$801, 0)+1)), "")&lt;&gt;IFERROR(INDEX(ERP資料!$A:$A, MATCH(1006, 輔助計算!$G$2:$G$801, 0)+1), "")), IFERROR(INDEX(ERP資料!$A:$A, (MATCH(1007, 輔助計算!$G$2:$G$801, 0)+1)), ""), ""), "")</f>
        <v/>
      </c>
      <c r="B1008" s="10">
        <f>IFERROR(IF(AND(IFERROR(INDEX(ERP資料!$A:$A, (MATCH(1007, 輔助計算!$G$2:$G$801, 0)+1)), "")&lt;&gt;"", IFERROR(INDEX(ERP資料!$A:$A, (MATCH(1007, 輔助計算!$G$2:$G$801, 0)+1)), "")&lt;&gt;IFERROR(INDEX(ERP資料!$A:$A, MATCH(1006, 輔助計算!$G$2:$G$801, 0)+1), "")), INDEX(ERP資料!$S:$S, (MATCH(1007, 輔助計算!$G$2:$G$801, 0)+1)), ""), "")</f>
        <v/>
      </c>
      <c r="C1008" s="19">
        <f>IFERROR(IF(AND(IFERROR(INDEX(ERP資料!$A:$A, (MATCH(1007, 輔助計算!$G$2:$G$801, 0)+1)), "")&lt;&gt;"", IFERROR(INDEX(ERP資料!$A:$A, (MATCH(1007, 輔助計算!$G$2:$G$801, 0)+1)), "")&lt;&gt;IFERROR(INDEX(ERP資料!$A:$A, MATCH(1006, 輔助計算!$G$2:$G$801, 0)+1), "")), IFERROR(VLOOKUP(LEFT(INDEX(ERP資料!$S:$S, (MATCH(1007, 輔助計算!$G$2:$G$801, 0)+1)), 4), 紙管對照表!$A:$C, 3, FALSE), ""), ""), "")</f>
        <v/>
      </c>
      <c r="D1008" s="16" t="n"/>
      <c r="E1008" s="10">
        <f>IFERROR(IF(INDEX(ERP資料!$H:$H, (MATCH(1007, 輔助計算!$G$2:$G$801, 0)+1))="","",INDEX(ERP資料!$H:$H, (MATCH(1007, 輔助計算!$G$2:$G$801, 0)+1))), "")</f>
        <v/>
      </c>
      <c r="F1008" s="10">
        <f>IFERROR(IF(INDEX(ERP資料!$E:$E, (MATCH(1007, 輔助計算!$G$2:$G$801, 0)+1))="","",TRIM(INDEX(ERP資料!$E:$E, (MATCH(1007, 輔助計算!$G$2:$G$801, 0)+1)))), "")</f>
        <v/>
      </c>
      <c r="G1008" s="10">
        <f>IFERROR(IF(INDEX(ERP資料!$F:$F, (MATCH(1007, 輔助計算!$G$2:$G$801, 0)+1))="","",INDEX(ERP資料!$F:$F, (MATCH(1007, 輔助計算!$G$2:$G$801, 0)+1))), "")</f>
        <v/>
      </c>
      <c r="H1008" s="10">
        <f>IFERROR(IF(INDEX(ERP資料!$G:$G, (MATCH(1007, 輔助計算!$G$2:$G$801, 0)+1))="","",INDEX(ERP資料!$G:$G, (MATCH(1007, 輔助計算!$G$2:$G$801, 0)+1))), "")</f>
        <v/>
      </c>
      <c r="I1008" s="15">
        <f>IFERROR(INDEX(輔助計算!$D:$D, (MATCH(1007, 輔助計算!$G$2:$G$801, 0)+1)), "")</f>
        <v/>
      </c>
      <c r="J1008" s="15">
        <f>IFERROR(IF(AND(INDEX(輔助計算!$D:$D, (MATCH(1007, 輔助計算!$G$2:$G$801, 0)+1))&lt;&gt;"", INDEX(ERP資料!$G:$G, (MATCH(1007, 輔助計算!$G$2:$G$801, 0)+1))&lt;&gt;""), TRIM(IF(INT(INDEX(輔助計算!$D:$D, (MATCH(1007, 輔助計算!$G$2:$G$801, 0)+1))/IF(INDEX(ERP資料!$G:$G, (MATCH(1007, 輔助計算!$G$2:$G$801, 0)+1))&lt;100, IF(INDEX(ERP資料!$G:$G, (MATCH(1007, 輔助計算!$G$2:$G$801, 0)+1))&lt;=31,3,IF(INDEX(ERP資料!$G:$G, (MATCH(1007, 輔助計算!$G$2:$G$801, 0)+1))&lt;=46.5,2,1)), IF(INDEX(ERP資料!$G:$G, (MATCH(1007, 輔助計算!$G$2:$G$801, 0)+1))&lt;=790,3,IF(INDEX(ERP資料!$G:$G, (MATCH(1007, 輔助計算!$G$2:$G$801, 0)+1))&lt;=1181,2,1))))&gt;0, IF(IF(INDEX(ERP資料!$G:$G, (MATCH(1007, 輔助計算!$G$2:$G$801, 0)+1))&lt;100, IF(INDEX(ERP資料!$G:$G, (MATCH(1007, 輔助計算!$G$2:$G$801, 0)+1))&lt;=31,3,IF(INDEX(ERP資料!$G:$G, (MATCH(1007, 輔助計算!$G$2:$G$801, 0)+1))&lt;=46.5,2,1)), IF(INDEX(ERP資料!$G:$G, (MATCH(1007, 輔助計算!$G$2:$G$801, 0)+1))&lt;=790,3,IF(INDEX(ERP資料!$G:$G, (MATCH(1007, 輔助計算!$G$2:$G$801, 0)+1))&lt;=1181,2,1)))=1,TEXT(INDEX(ERP資料!$G:$G, (MATCH(1007, 輔助計算!$G$2:$G$801, 0)+1)),"0.##"),IF(IF(INDEX(ERP資料!$G:$G, (MATCH(1007, 輔助計算!$G$2:$G$801, 0)+1))&lt;100, IF(INDEX(ERP資料!$G:$G, (MATCH(1007, 輔助計算!$G$2:$G$801, 0)+1))&lt;=31,3,IF(INDEX(ERP資料!$G:$G, (MATCH(1007, 輔助計算!$G$2:$G$801, 0)+1))&lt;=46.5,2,1)), IF(INDEX(ERP資料!$G:$G, (MATCH(1007, 輔助計算!$G$2:$G$801, 0)+1))&lt;=790,3,IF(INDEX(ERP資料!$G:$G, (MATCH(1007, 輔助計算!$G$2:$G$801, 0)+1))&lt;=1181,2,1)))=2,TEXT(INDEX(ERP資料!$G:$G, (MATCH(1007, 輔助計算!$G$2:$G$801, 0)+1)),"0.##")&amp;"+"&amp;TEXT(INDEX(ERP資料!$G:$G, (MATCH(1007, 輔助計算!$G$2:$G$801, 0)+1)),"0.##"),TEXT(INDEX(ERP資料!$G:$G, (MATCH(1007, 輔助計算!$G$2:$G$801, 0)+1)),"0.##")&amp;"+"&amp;TEXT(INDEX(ERP資料!$G:$G, (MATCH(1007, 輔助計算!$G$2:$G$801, 0)+1)),"0.##")&amp;"+"&amp;TEXT(INDEX(ERP資料!$G:$G, (MATCH(1007, 輔助計算!$G$2:$G$801, 0)+1)),"0.##")))&amp;"-"&amp;INT(INDEX(輔助計算!$D:$D, (MATCH(1007, 輔助計算!$G$2:$G$801, 0)+1))/IF(INDEX(ERP資料!$G:$G, (MATCH(1007, 輔助計算!$G$2:$G$801, 0)+1))&lt;100, IF(INDEX(ERP資料!$G:$G, (MATCH(1007, 輔助計算!$G$2:$G$801, 0)+1))&lt;=31,3,IF(INDEX(ERP資料!$G:$G, (MATCH(1007, 輔助計算!$G$2:$G$801, 0)+1))&lt;=46.5,2,1)), IF(INDEX(ERP資料!$G:$G, (MATCH(1007, 輔助計算!$G$2:$G$801, 0)+1))&lt;=790,3,IF(INDEX(ERP資料!$G:$G, (MATCH(1007, 輔助計算!$G$2:$G$801, 0)+1))&lt;=1181,2,1)))), "")&amp;IF(AND(IF(INT(INDEX(輔助計算!$D:$D, (MATCH(1007, 輔助計算!$G$2:$G$801, 0)+1))/IF(INDEX(ERP資料!$G:$G, (MATCH(1007, 輔助計算!$G$2:$G$801, 0)+1))&lt;100, IF(INDEX(ERP資料!$G:$G, (MATCH(1007, 輔助計算!$G$2:$G$801, 0)+1))&lt;=31,3,IF(INDEX(ERP資料!$G:$G, (MATCH(1007, 輔助計算!$G$2:$G$801, 0)+1))&lt;=46.5,2,1)), IF(INDEX(ERP資料!$G:$G, (MATCH(1007, 輔助計算!$G$2:$G$801, 0)+1))&lt;=790,3,IF(INDEX(ERP資料!$G:$G, (MATCH(1007, 輔助計算!$G$2:$G$801, 0)+1))&lt;=1181,2,1))))&gt;0, IF(IF(INDEX(ERP資料!$G:$G, (MATCH(1007, 輔助計算!$G$2:$G$801, 0)+1))&lt;100, IF(INDEX(ERP資料!$G:$G, (MATCH(1007, 輔助計算!$G$2:$G$801, 0)+1))&lt;=31,3,IF(INDEX(ERP資料!$G:$G, (MATCH(1007, 輔助計算!$G$2:$G$801, 0)+1))&lt;=46.5,2,1)), IF(INDEX(ERP資料!$G:$G, (MATCH(1007, 輔助計算!$G$2:$G$801, 0)+1))&lt;=790,3,IF(INDEX(ERP資料!$G:$G, (MATCH(1007, 輔助計算!$G$2:$G$801, 0)+1))&lt;=1181,2,1)))=1,TEXT(INDEX(ERP資料!$G:$G, (MATCH(1007, 輔助計算!$G$2:$G$801, 0)+1)),"0.##"),IF(IF(INDEX(ERP資料!$G:$G, (MATCH(1007, 輔助計算!$G$2:$G$801, 0)+1))&lt;100, IF(INDEX(ERP資料!$G:$G, (MATCH(1007, 輔助計算!$G$2:$G$801, 0)+1))&lt;=31,3,IF(INDEX(ERP資料!$G:$G, (MATCH(1007, 輔助計算!$G$2:$G$801, 0)+1))&lt;=46.5,2,1)), IF(INDEX(ERP資料!$G:$G, (MATCH(1007, 輔助計算!$G$2:$G$801, 0)+1))&lt;=790,3,IF(INDEX(ERP資料!$G:$G, (MATCH(1007, 輔助計算!$G$2:$G$801, 0)+1))&lt;=1181,2,1)))=2,TEXT(INDEX(ERP資料!$G:$G, (MATCH(1007, 輔助計算!$G$2:$G$801, 0)+1)),"0.##")&amp;"+"&amp;TEXT(INDEX(ERP資料!$G:$G, (MATCH(1007, 輔助計算!$G$2:$G$801, 0)+1)),"0.##"),TEXT(INDEX(ERP資料!$G:$G, (MATCH(1007, 輔助計算!$G$2:$G$801, 0)+1)),"0.##")&amp;"+"&amp;TEXT(INDEX(ERP資料!$G:$G, (MATCH(1007, 輔助計算!$G$2:$G$801, 0)+1)),"0.##")&amp;"+"&amp;TEXT(INDEX(ERP資料!$G:$G, (MATCH(1007, 輔助計算!$G$2:$G$801, 0)+1)),"0.##")))&amp;"-"&amp;INT(INDEX(輔助計算!$D:$D, (MATCH(1007, 輔助計算!$G$2:$G$801, 0)+1))/IF(INDEX(ERP資料!$G:$G, (MATCH(1007, 輔助計算!$G$2:$G$801, 0)+1))&lt;100, IF(INDEX(ERP資料!$G:$G, (MATCH(1007, 輔助計算!$G$2:$G$801, 0)+1))&lt;=31,3,IF(INDEX(ERP資料!$G:$G, (MATCH(1007, 輔助計算!$G$2:$G$801, 0)+1))&lt;=46.5,2,1)), IF(INDEX(ERP資料!$G:$G, (MATCH(1007, 輔助計算!$G$2:$G$801, 0)+1))&lt;=790,3,IF(INDEX(ERP資料!$G:$G, (MATCH(1007, 輔助計算!$G$2:$G$801, 0)+1))&lt;=1181,2,1)))), "")&lt;&gt;"",IF(MOD(INDEX(輔助計算!$D:$D, (MATCH(1007, 輔助計算!$G$2:$G$801, 0)+1)),IF(INDEX(ERP資料!$G:$G, (MATCH(1007, 輔助計算!$G$2:$G$801, 0)+1))&lt;100, IF(INDEX(ERP資料!$G:$G, (MATCH(1007, 輔助計算!$G$2:$G$801, 0)+1))&lt;=31,3,IF(INDEX(ERP資料!$G:$G, (MATCH(1007, 輔助計算!$G$2:$G$801, 0)+1))&lt;=46.5,2,1)), IF(INDEX(ERP資料!$G:$G, (MATCH(1007, 輔助計算!$G$2:$G$801, 0)+1))&lt;=790,3,IF(INDEX(ERP資料!$G:$G, (MATCH(1007, 輔助計算!$G$2:$G$801, 0)+1))&lt;=1181,2,1))))=0,"",IF(MOD(INDEX(輔助計算!$D:$D, (MATCH(1007, 輔助計算!$G$2:$G$801, 0)+1)),IF(INDEX(ERP資料!$G:$G, (MATCH(1007, 輔助計算!$G$2:$G$801, 0)+1))&lt;100, IF(INDEX(ERP資料!$G:$G, (MATCH(1007, 輔助計算!$G$2:$G$801, 0)+1))&lt;=31,3,IF(INDEX(ERP資料!$G:$G, (MATCH(1007, 輔助計算!$G$2:$G$801, 0)+1))&lt;=46.5,2,1)), IF(INDEX(ERP資料!$G:$G, (MATCH(1007, 輔助計算!$G$2:$G$801, 0)+1))&lt;=790,3,IF(INDEX(ERP資料!$G:$G, (MATCH(1007, 輔助計算!$G$2:$G$801, 0)+1))&lt;=1181,2,1))))=0,"",IF(MOD(INDEX(輔助計算!$D:$D, (MATCH(1007, 輔助計算!$G$2:$G$801, 0)+1)),IF(INDEX(ERP資料!$G:$G, (MATCH(1007, 輔助計算!$G$2:$G$801, 0)+1))&lt;100, IF(INDEX(ERP資料!$G:$G, (MATCH(1007, 輔助計算!$G$2:$G$801, 0)+1))&lt;=31,3,IF(INDEX(ERP資料!$G:$G, (MATCH(1007, 輔助計算!$G$2:$G$801, 0)+1))&lt;=46.5,2,1)), IF(INDEX(ERP資料!$G:$G, (MATCH(1007, 輔助計算!$G$2:$G$801, 0)+1))&lt;=790,3,IF(INDEX(ERP資料!$G:$G, (MATCH(1007, 輔助計算!$G$2:$G$801, 0)+1))&lt;=1181,2,1))))=1,TEXT(INDEX(ERP資料!$G:$G, (MATCH(1007, 輔助計算!$G$2:$G$801, 0)+1)),"0.##"),IF(MOD(INDEX(輔助計算!$D:$D, (MATCH(1007, 輔助計算!$G$2:$G$801, 0)+1)),IF(INDEX(ERP資料!$G:$G, (MATCH(1007, 輔助計算!$G$2:$G$801, 0)+1))&lt;100, IF(INDEX(ERP資料!$G:$G, (MATCH(1007, 輔助計算!$G$2:$G$801, 0)+1))&lt;=31,3,IF(INDEX(ERP資料!$G:$G, (MATCH(1007, 輔助計算!$G$2:$G$801, 0)+1))&lt;=46.5,2,1)), IF(INDEX(ERP資料!$G:$G, (MATCH(1007, 輔助計算!$G$2:$G$801, 0)+1))&lt;=790,3,IF(INDEX(ERP資料!$G:$G, (MATCH(1007, 輔助計算!$G$2:$G$801, 0)+1))&lt;=1181,2,1))))=2,TEXT(INDEX(ERP資料!$G:$G, (MATCH(1007, 輔助計算!$G$2:$G$801, 0)+1)),"0.##")&amp;"+"&amp;TEXT(INDEX(ERP資料!$G:$G, (MATCH(1007, 輔助計算!$G$2:$G$801, 0)+1)),"0.##"),TEXT(INDEX(ERP資料!$G:$G, (MATCH(1007, 輔助計算!$G$2:$G$801, 0)+1)),"0.##")&amp;"+"&amp;TEXT(INDEX(ERP資料!$G:$G, (MATCH(1007, 輔助計算!$G$2:$G$801, 0)+1)),"0.##")&amp;"+"&amp;TEXT(INDEX(ERP資料!$G:$G, (MATCH(1007, 輔助計算!$G$2:$G$801, 0)+1)),"0.##"))))&amp;"-1")&lt;&gt;""),"  ","")&amp;IF(MOD(INDEX(輔助計算!$D:$D, (MATCH(1007, 輔助計算!$G$2:$G$801, 0)+1)),IF(INDEX(ERP資料!$G:$G, (MATCH(1007, 輔助計算!$G$2:$G$801, 0)+1))&lt;100, IF(INDEX(ERP資料!$G:$G, (MATCH(1007, 輔助計算!$G$2:$G$801, 0)+1))&lt;=31,3,IF(INDEX(ERP資料!$G:$G, (MATCH(1007, 輔助計算!$G$2:$G$801, 0)+1))&lt;=46.5,2,1)), IF(INDEX(ERP資料!$G:$G, (MATCH(1007, 輔助計算!$G$2:$G$801, 0)+1))&lt;=790,3,IF(INDEX(ERP資料!$G:$G, (MATCH(1007, 輔助計算!$G$2:$G$801, 0)+1))&lt;=1181,2,1))))=0,"",IF(MOD(INDEX(輔助計算!$D:$D, (MATCH(1007, 輔助計算!$G$2:$G$801, 0)+1)),IF(INDEX(ERP資料!$G:$G, (MATCH(1007, 輔助計算!$G$2:$G$801, 0)+1))&lt;100, IF(INDEX(ERP資料!$G:$G, (MATCH(1007, 輔助計算!$G$2:$G$801, 0)+1))&lt;=31,3,IF(INDEX(ERP資料!$G:$G, (MATCH(1007, 輔助計算!$G$2:$G$801, 0)+1))&lt;=46.5,2,1)), IF(INDEX(ERP資料!$G:$G, (MATCH(1007, 輔助計算!$G$2:$G$801, 0)+1))&lt;=790,3,IF(INDEX(ERP資料!$G:$G, (MATCH(1007, 輔助計算!$G$2:$G$801, 0)+1))&lt;=1181,2,1))))=0,"",IF(MOD(INDEX(輔助計算!$D:$D, (MATCH(1007, 輔助計算!$G$2:$G$801, 0)+1)),IF(INDEX(ERP資料!$G:$G, (MATCH(1007, 輔助計算!$G$2:$G$801, 0)+1))&lt;100, IF(INDEX(ERP資料!$G:$G, (MATCH(1007, 輔助計算!$G$2:$G$801, 0)+1))&lt;=31,3,IF(INDEX(ERP資料!$G:$G, (MATCH(1007, 輔助計算!$G$2:$G$801, 0)+1))&lt;=46.5,2,1)), IF(INDEX(ERP資料!$G:$G, (MATCH(1007, 輔助計算!$G$2:$G$801, 0)+1))&lt;=790,3,IF(INDEX(ERP資料!$G:$G, (MATCH(1007, 輔助計算!$G$2:$G$801, 0)+1))&lt;=1181,2,1))))=1,TEXT(INDEX(ERP資料!$G:$G, (MATCH(1007, 輔助計算!$G$2:$G$801, 0)+1)),"0.##"),IF(MOD(INDEX(輔助計算!$D:$D, (MATCH(1007, 輔助計算!$G$2:$G$801, 0)+1)),IF(INDEX(ERP資料!$G:$G, (MATCH(1007, 輔助計算!$G$2:$G$801, 0)+1))&lt;100, IF(INDEX(ERP資料!$G:$G, (MATCH(1007, 輔助計算!$G$2:$G$801, 0)+1))&lt;=31,3,IF(INDEX(ERP資料!$G:$G, (MATCH(1007, 輔助計算!$G$2:$G$801, 0)+1))&lt;=46.5,2,1)), IF(INDEX(ERP資料!$G:$G, (MATCH(1007, 輔助計算!$G$2:$G$801, 0)+1))&lt;=790,3,IF(INDEX(ERP資料!$G:$G, (MATCH(1007, 輔助計算!$G$2:$G$801, 0)+1))&lt;=1181,2,1))))=2,TEXT(INDEX(ERP資料!$G:$G, (MATCH(1007, 輔助計算!$G$2:$G$801, 0)+1)),"0.##")&amp;"+"&amp;TEXT(INDEX(ERP資料!$G:$G, (MATCH(1007, 輔助計算!$G$2:$G$801, 0)+1)),"0.##"),TEXT(INDEX(ERP資料!$G:$G, (MATCH(1007, 輔助計算!$G$2:$G$801, 0)+1)),"0.##")&amp;"+"&amp;TEXT(INDEX(ERP資料!$G:$G, (MATCH(1007, 輔助計算!$G$2:$G$801, 0)+1)),"0.##")&amp;"+"&amp;TEXT(INDEX(ERP資料!$G:$G, (MATCH(1007, 輔助計算!$G$2:$G$801, 0)+1)),"0.##"))))&amp;"-1")), ""), "")</f>
        <v/>
      </c>
      <c r="K1008" s="16" t="n"/>
      <c r="L1008" s="14">
        <f>IFERROR(IF(AND(IFERROR(INDEX(ERP資料!$A:$A, (MATCH(1007, 輔助計算!$G$2:$G$801, 0)+1)), "")&lt;&gt;"", IFERROR(INDEX(ERP資料!$A:$A, (MATCH(1007, 輔助計算!$G$2:$G$801, 0)+1)), "")&lt;&gt;IFERROR(INDEX(ERP資料!$A:$A, MATCH(1006, 輔助計算!$G$2:$G$801, 0)+1), "")), INDEX(ERP資料!$B:$B, (MATCH(1007, 輔助計算!$G$2:$G$801, 0)+1)), ""), "")</f>
        <v/>
      </c>
      <c r="M1008" s="17" t="n"/>
    </row>
    <row r="1009">
      <c r="A1009" s="10">
        <f>IFERROR(IF(AND(IFERROR(INDEX(ERP資料!$A:$A, (MATCH(1008, 輔助計算!$G$2:$G$801, 0)+1)), "")&lt;&gt;"", IFERROR(INDEX(ERP資料!$A:$A, (MATCH(1008, 輔助計算!$G$2:$G$801, 0)+1)), "")&lt;&gt;IFERROR(INDEX(ERP資料!$A:$A, MATCH(1007, 輔助計算!$G$2:$G$801, 0)+1), "")), IFERROR(INDEX(ERP資料!$A:$A, (MATCH(1008, 輔助計算!$G$2:$G$801, 0)+1)), ""), ""), "")</f>
        <v/>
      </c>
      <c r="B1009" s="10">
        <f>IFERROR(IF(AND(IFERROR(INDEX(ERP資料!$A:$A, (MATCH(1008, 輔助計算!$G$2:$G$801, 0)+1)), "")&lt;&gt;"", IFERROR(INDEX(ERP資料!$A:$A, (MATCH(1008, 輔助計算!$G$2:$G$801, 0)+1)), "")&lt;&gt;IFERROR(INDEX(ERP資料!$A:$A, MATCH(1007, 輔助計算!$G$2:$G$801, 0)+1), "")), INDEX(ERP資料!$S:$S, (MATCH(1008, 輔助計算!$G$2:$G$801, 0)+1)), ""), "")</f>
        <v/>
      </c>
      <c r="C1009" s="19">
        <f>IFERROR(IF(AND(IFERROR(INDEX(ERP資料!$A:$A, (MATCH(1008, 輔助計算!$G$2:$G$801, 0)+1)), "")&lt;&gt;"", IFERROR(INDEX(ERP資料!$A:$A, (MATCH(1008, 輔助計算!$G$2:$G$801, 0)+1)), "")&lt;&gt;IFERROR(INDEX(ERP資料!$A:$A, MATCH(1007, 輔助計算!$G$2:$G$801, 0)+1), "")), IFERROR(VLOOKUP(LEFT(INDEX(ERP資料!$S:$S, (MATCH(1008, 輔助計算!$G$2:$G$801, 0)+1)), 4), 紙管對照表!$A:$C, 3, FALSE), ""), ""), "")</f>
        <v/>
      </c>
      <c r="D1009" s="16" t="n"/>
      <c r="E1009" s="10">
        <f>IFERROR(IF(INDEX(ERP資料!$H:$H, (MATCH(1008, 輔助計算!$G$2:$G$801, 0)+1))="","",INDEX(ERP資料!$H:$H, (MATCH(1008, 輔助計算!$G$2:$G$801, 0)+1))), "")</f>
        <v/>
      </c>
      <c r="F1009" s="10">
        <f>IFERROR(IF(INDEX(ERP資料!$E:$E, (MATCH(1008, 輔助計算!$G$2:$G$801, 0)+1))="","",TRIM(INDEX(ERP資料!$E:$E, (MATCH(1008, 輔助計算!$G$2:$G$801, 0)+1)))), "")</f>
        <v/>
      </c>
      <c r="G1009" s="10">
        <f>IFERROR(IF(INDEX(ERP資料!$F:$F, (MATCH(1008, 輔助計算!$G$2:$G$801, 0)+1))="","",INDEX(ERP資料!$F:$F, (MATCH(1008, 輔助計算!$G$2:$G$801, 0)+1))), "")</f>
        <v/>
      </c>
      <c r="H1009" s="10">
        <f>IFERROR(IF(INDEX(ERP資料!$G:$G, (MATCH(1008, 輔助計算!$G$2:$G$801, 0)+1))="","",INDEX(ERP資料!$G:$G, (MATCH(1008, 輔助計算!$G$2:$G$801, 0)+1))), "")</f>
        <v/>
      </c>
      <c r="I1009" s="15">
        <f>IFERROR(INDEX(輔助計算!$D:$D, (MATCH(1008, 輔助計算!$G$2:$G$801, 0)+1)), "")</f>
        <v/>
      </c>
      <c r="J1009" s="15">
        <f>IFERROR(IF(AND(INDEX(輔助計算!$D:$D, (MATCH(1008, 輔助計算!$G$2:$G$801, 0)+1))&lt;&gt;"", INDEX(ERP資料!$G:$G, (MATCH(1008, 輔助計算!$G$2:$G$801, 0)+1))&lt;&gt;""), TRIM(IF(INT(INDEX(輔助計算!$D:$D, (MATCH(1008, 輔助計算!$G$2:$G$801, 0)+1))/IF(INDEX(ERP資料!$G:$G, (MATCH(1008, 輔助計算!$G$2:$G$801, 0)+1))&lt;100, IF(INDEX(ERP資料!$G:$G, (MATCH(1008, 輔助計算!$G$2:$G$801, 0)+1))&lt;=31,3,IF(INDEX(ERP資料!$G:$G, (MATCH(1008, 輔助計算!$G$2:$G$801, 0)+1))&lt;=46.5,2,1)), IF(INDEX(ERP資料!$G:$G, (MATCH(1008, 輔助計算!$G$2:$G$801, 0)+1))&lt;=790,3,IF(INDEX(ERP資料!$G:$G, (MATCH(1008, 輔助計算!$G$2:$G$801, 0)+1))&lt;=1181,2,1))))&gt;0, IF(IF(INDEX(ERP資料!$G:$G, (MATCH(1008, 輔助計算!$G$2:$G$801, 0)+1))&lt;100, IF(INDEX(ERP資料!$G:$G, (MATCH(1008, 輔助計算!$G$2:$G$801, 0)+1))&lt;=31,3,IF(INDEX(ERP資料!$G:$G, (MATCH(1008, 輔助計算!$G$2:$G$801, 0)+1))&lt;=46.5,2,1)), IF(INDEX(ERP資料!$G:$G, (MATCH(1008, 輔助計算!$G$2:$G$801, 0)+1))&lt;=790,3,IF(INDEX(ERP資料!$G:$G, (MATCH(1008, 輔助計算!$G$2:$G$801, 0)+1))&lt;=1181,2,1)))=1,TEXT(INDEX(ERP資料!$G:$G, (MATCH(1008, 輔助計算!$G$2:$G$801, 0)+1)),"0.##"),IF(IF(INDEX(ERP資料!$G:$G, (MATCH(1008, 輔助計算!$G$2:$G$801, 0)+1))&lt;100, IF(INDEX(ERP資料!$G:$G, (MATCH(1008, 輔助計算!$G$2:$G$801, 0)+1))&lt;=31,3,IF(INDEX(ERP資料!$G:$G, (MATCH(1008, 輔助計算!$G$2:$G$801, 0)+1))&lt;=46.5,2,1)), IF(INDEX(ERP資料!$G:$G, (MATCH(1008, 輔助計算!$G$2:$G$801, 0)+1))&lt;=790,3,IF(INDEX(ERP資料!$G:$G, (MATCH(1008, 輔助計算!$G$2:$G$801, 0)+1))&lt;=1181,2,1)))=2,TEXT(INDEX(ERP資料!$G:$G, (MATCH(1008, 輔助計算!$G$2:$G$801, 0)+1)),"0.##")&amp;"+"&amp;TEXT(INDEX(ERP資料!$G:$G, (MATCH(1008, 輔助計算!$G$2:$G$801, 0)+1)),"0.##"),TEXT(INDEX(ERP資料!$G:$G, (MATCH(1008, 輔助計算!$G$2:$G$801, 0)+1)),"0.##")&amp;"+"&amp;TEXT(INDEX(ERP資料!$G:$G, (MATCH(1008, 輔助計算!$G$2:$G$801, 0)+1)),"0.##")&amp;"+"&amp;TEXT(INDEX(ERP資料!$G:$G, (MATCH(1008, 輔助計算!$G$2:$G$801, 0)+1)),"0.##")))&amp;"-"&amp;INT(INDEX(輔助計算!$D:$D, (MATCH(1008, 輔助計算!$G$2:$G$801, 0)+1))/IF(INDEX(ERP資料!$G:$G, (MATCH(1008, 輔助計算!$G$2:$G$801, 0)+1))&lt;100, IF(INDEX(ERP資料!$G:$G, (MATCH(1008, 輔助計算!$G$2:$G$801, 0)+1))&lt;=31,3,IF(INDEX(ERP資料!$G:$G, (MATCH(1008, 輔助計算!$G$2:$G$801, 0)+1))&lt;=46.5,2,1)), IF(INDEX(ERP資料!$G:$G, (MATCH(1008, 輔助計算!$G$2:$G$801, 0)+1))&lt;=790,3,IF(INDEX(ERP資料!$G:$G, (MATCH(1008, 輔助計算!$G$2:$G$801, 0)+1))&lt;=1181,2,1)))), "")&amp;IF(AND(IF(INT(INDEX(輔助計算!$D:$D, (MATCH(1008, 輔助計算!$G$2:$G$801, 0)+1))/IF(INDEX(ERP資料!$G:$G, (MATCH(1008, 輔助計算!$G$2:$G$801, 0)+1))&lt;100, IF(INDEX(ERP資料!$G:$G, (MATCH(1008, 輔助計算!$G$2:$G$801, 0)+1))&lt;=31,3,IF(INDEX(ERP資料!$G:$G, (MATCH(1008, 輔助計算!$G$2:$G$801, 0)+1))&lt;=46.5,2,1)), IF(INDEX(ERP資料!$G:$G, (MATCH(1008, 輔助計算!$G$2:$G$801, 0)+1))&lt;=790,3,IF(INDEX(ERP資料!$G:$G, (MATCH(1008, 輔助計算!$G$2:$G$801, 0)+1))&lt;=1181,2,1))))&gt;0, IF(IF(INDEX(ERP資料!$G:$G, (MATCH(1008, 輔助計算!$G$2:$G$801, 0)+1))&lt;100, IF(INDEX(ERP資料!$G:$G, (MATCH(1008, 輔助計算!$G$2:$G$801, 0)+1))&lt;=31,3,IF(INDEX(ERP資料!$G:$G, (MATCH(1008, 輔助計算!$G$2:$G$801, 0)+1))&lt;=46.5,2,1)), IF(INDEX(ERP資料!$G:$G, (MATCH(1008, 輔助計算!$G$2:$G$801, 0)+1))&lt;=790,3,IF(INDEX(ERP資料!$G:$G, (MATCH(1008, 輔助計算!$G$2:$G$801, 0)+1))&lt;=1181,2,1)))=1,TEXT(INDEX(ERP資料!$G:$G, (MATCH(1008, 輔助計算!$G$2:$G$801, 0)+1)),"0.##"),IF(IF(INDEX(ERP資料!$G:$G, (MATCH(1008, 輔助計算!$G$2:$G$801, 0)+1))&lt;100, IF(INDEX(ERP資料!$G:$G, (MATCH(1008, 輔助計算!$G$2:$G$801, 0)+1))&lt;=31,3,IF(INDEX(ERP資料!$G:$G, (MATCH(1008, 輔助計算!$G$2:$G$801, 0)+1))&lt;=46.5,2,1)), IF(INDEX(ERP資料!$G:$G, (MATCH(1008, 輔助計算!$G$2:$G$801, 0)+1))&lt;=790,3,IF(INDEX(ERP資料!$G:$G, (MATCH(1008, 輔助計算!$G$2:$G$801, 0)+1))&lt;=1181,2,1)))=2,TEXT(INDEX(ERP資料!$G:$G, (MATCH(1008, 輔助計算!$G$2:$G$801, 0)+1)),"0.##")&amp;"+"&amp;TEXT(INDEX(ERP資料!$G:$G, (MATCH(1008, 輔助計算!$G$2:$G$801, 0)+1)),"0.##"),TEXT(INDEX(ERP資料!$G:$G, (MATCH(1008, 輔助計算!$G$2:$G$801, 0)+1)),"0.##")&amp;"+"&amp;TEXT(INDEX(ERP資料!$G:$G, (MATCH(1008, 輔助計算!$G$2:$G$801, 0)+1)),"0.##")&amp;"+"&amp;TEXT(INDEX(ERP資料!$G:$G, (MATCH(1008, 輔助計算!$G$2:$G$801, 0)+1)),"0.##")))&amp;"-"&amp;INT(INDEX(輔助計算!$D:$D, (MATCH(1008, 輔助計算!$G$2:$G$801, 0)+1))/IF(INDEX(ERP資料!$G:$G, (MATCH(1008, 輔助計算!$G$2:$G$801, 0)+1))&lt;100, IF(INDEX(ERP資料!$G:$G, (MATCH(1008, 輔助計算!$G$2:$G$801, 0)+1))&lt;=31,3,IF(INDEX(ERP資料!$G:$G, (MATCH(1008, 輔助計算!$G$2:$G$801, 0)+1))&lt;=46.5,2,1)), IF(INDEX(ERP資料!$G:$G, (MATCH(1008, 輔助計算!$G$2:$G$801, 0)+1))&lt;=790,3,IF(INDEX(ERP資料!$G:$G, (MATCH(1008, 輔助計算!$G$2:$G$801, 0)+1))&lt;=1181,2,1)))), "")&lt;&gt;"",IF(MOD(INDEX(輔助計算!$D:$D, (MATCH(1008, 輔助計算!$G$2:$G$801, 0)+1)),IF(INDEX(ERP資料!$G:$G, (MATCH(1008, 輔助計算!$G$2:$G$801, 0)+1))&lt;100, IF(INDEX(ERP資料!$G:$G, (MATCH(1008, 輔助計算!$G$2:$G$801, 0)+1))&lt;=31,3,IF(INDEX(ERP資料!$G:$G, (MATCH(1008, 輔助計算!$G$2:$G$801, 0)+1))&lt;=46.5,2,1)), IF(INDEX(ERP資料!$G:$G, (MATCH(1008, 輔助計算!$G$2:$G$801, 0)+1))&lt;=790,3,IF(INDEX(ERP資料!$G:$G, (MATCH(1008, 輔助計算!$G$2:$G$801, 0)+1))&lt;=1181,2,1))))=0,"",IF(MOD(INDEX(輔助計算!$D:$D, (MATCH(1008, 輔助計算!$G$2:$G$801, 0)+1)),IF(INDEX(ERP資料!$G:$G, (MATCH(1008, 輔助計算!$G$2:$G$801, 0)+1))&lt;100, IF(INDEX(ERP資料!$G:$G, (MATCH(1008, 輔助計算!$G$2:$G$801, 0)+1))&lt;=31,3,IF(INDEX(ERP資料!$G:$G, (MATCH(1008, 輔助計算!$G$2:$G$801, 0)+1))&lt;=46.5,2,1)), IF(INDEX(ERP資料!$G:$G, (MATCH(1008, 輔助計算!$G$2:$G$801, 0)+1))&lt;=790,3,IF(INDEX(ERP資料!$G:$G, (MATCH(1008, 輔助計算!$G$2:$G$801, 0)+1))&lt;=1181,2,1))))=0,"",IF(MOD(INDEX(輔助計算!$D:$D, (MATCH(1008, 輔助計算!$G$2:$G$801, 0)+1)),IF(INDEX(ERP資料!$G:$G, (MATCH(1008, 輔助計算!$G$2:$G$801, 0)+1))&lt;100, IF(INDEX(ERP資料!$G:$G, (MATCH(1008, 輔助計算!$G$2:$G$801, 0)+1))&lt;=31,3,IF(INDEX(ERP資料!$G:$G, (MATCH(1008, 輔助計算!$G$2:$G$801, 0)+1))&lt;=46.5,2,1)), IF(INDEX(ERP資料!$G:$G, (MATCH(1008, 輔助計算!$G$2:$G$801, 0)+1))&lt;=790,3,IF(INDEX(ERP資料!$G:$G, (MATCH(1008, 輔助計算!$G$2:$G$801, 0)+1))&lt;=1181,2,1))))=1,TEXT(INDEX(ERP資料!$G:$G, (MATCH(1008, 輔助計算!$G$2:$G$801, 0)+1)),"0.##"),IF(MOD(INDEX(輔助計算!$D:$D, (MATCH(1008, 輔助計算!$G$2:$G$801, 0)+1)),IF(INDEX(ERP資料!$G:$G, (MATCH(1008, 輔助計算!$G$2:$G$801, 0)+1))&lt;100, IF(INDEX(ERP資料!$G:$G, (MATCH(1008, 輔助計算!$G$2:$G$801, 0)+1))&lt;=31,3,IF(INDEX(ERP資料!$G:$G, (MATCH(1008, 輔助計算!$G$2:$G$801, 0)+1))&lt;=46.5,2,1)), IF(INDEX(ERP資料!$G:$G, (MATCH(1008, 輔助計算!$G$2:$G$801, 0)+1))&lt;=790,3,IF(INDEX(ERP資料!$G:$G, (MATCH(1008, 輔助計算!$G$2:$G$801, 0)+1))&lt;=1181,2,1))))=2,TEXT(INDEX(ERP資料!$G:$G, (MATCH(1008, 輔助計算!$G$2:$G$801, 0)+1)),"0.##")&amp;"+"&amp;TEXT(INDEX(ERP資料!$G:$G, (MATCH(1008, 輔助計算!$G$2:$G$801, 0)+1)),"0.##"),TEXT(INDEX(ERP資料!$G:$G, (MATCH(1008, 輔助計算!$G$2:$G$801, 0)+1)),"0.##")&amp;"+"&amp;TEXT(INDEX(ERP資料!$G:$G, (MATCH(1008, 輔助計算!$G$2:$G$801, 0)+1)),"0.##")&amp;"+"&amp;TEXT(INDEX(ERP資料!$G:$G, (MATCH(1008, 輔助計算!$G$2:$G$801, 0)+1)),"0.##"))))&amp;"-1")&lt;&gt;""),"  ","")&amp;IF(MOD(INDEX(輔助計算!$D:$D, (MATCH(1008, 輔助計算!$G$2:$G$801, 0)+1)),IF(INDEX(ERP資料!$G:$G, (MATCH(1008, 輔助計算!$G$2:$G$801, 0)+1))&lt;100, IF(INDEX(ERP資料!$G:$G, (MATCH(1008, 輔助計算!$G$2:$G$801, 0)+1))&lt;=31,3,IF(INDEX(ERP資料!$G:$G, (MATCH(1008, 輔助計算!$G$2:$G$801, 0)+1))&lt;=46.5,2,1)), IF(INDEX(ERP資料!$G:$G, (MATCH(1008, 輔助計算!$G$2:$G$801, 0)+1))&lt;=790,3,IF(INDEX(ERP資料!$G:$G, (MATCH(1008, 輔助計算!$G$2:$G$801, 0)+1))&lt;=1181,2,1))))=0,"",IF(MOD(INDEX(輔助計算!$D:$D, (MATCH(1008, 輔助計算!$G$2:$G$801, 0)+1)),IF(INDEX(ERP資料!$G:$G, (MATCH(1008, 輔助計算!$G$2:$G$801, 0)+1))&lt;100, IF(INDEX(ERP資料!$G:$G, (MATCH(1008, 輔助計算!$G$2:$G$801, 0)+1))&lt;=31,3,IF(INDEX(ERP資料!$G:$G, (MATCH(1008, 輔助計算!$G$2:$G$801, 0)+1))&lt;=46.5,2,1)), IF(INDEX(ERP資料!$G:$G, (MATCH(1008, 輔助計算!$G$2:$G$801, 0)+1))&lt;=790,3,IF(INDEX(ERP資料!$G:$G, (MATCH(1008, 輔助計算!$G$2:$G$801, 0)+1))&lt;=1181,2,1))))=0,"",IF(MOD(INDEX(輔助計算!$D:$D, (MATCH(1008, 輔助計算!$G$2:$G$801, 0)+1)),IF(INDEX(ERP資料!$G:$G, (MATCH(1008, 輔助計算!$G$2:$G$801, 0)+1))&lt;100, IF(INDEX(ERP資料!$G:$G, (MATCH(1008, 輔助計算!$G$2:$G$801, 0)+1))&lt;=31,3,IF(INDEX(ERP資料!$G:$G, (MATCH(1008, 輔助計算!$G$2:$G$801, 0)+1))&lt;=46.5,2,1)), IF(INDEX(ERP資料!$G:$G, (MATCH(1008, 輔助計算!$G$2:$G$801, 0)+1))&lt;=790,3,IF(INDEX(ERP資料!$G:$G, (MATCH(1008, 輔助計算!$G$2:$G$801, 0)+1))&lt;=1181,2,1))))=1,TEXT(INDEX(ERP資料!$G:$G, (MATCH(1008, 輔助計算!$G$2:$G$801, 0)+1)),"0.##"),IF(MOD(INDEX(輔助計算!$D:$D, (MATCH(1008, 輔助計算!$G$2:$G$801, 0)+1)),IF(INDEX(ERP資料!$G:$G, (MATCH(1008, 輔助計算!$G$2:$G$801, 0)+1))&lt;100, IF(INDEX(ERP資料!$G:$G, (MATCH(1008, 輔助計算!$G$2:$G$801, 0)+1))&lt;=31,3,IF(INDEX(ERP資料!$G:$G, (MATCH(1008, 輔助計算!$G$2:$G$801, 0)+1))&lt;=46.5,2,1)), IF(INDEX(ERP資料!$G:$G, (MATCH(1008, 輔助計算!$G$2:$G$801, 0)+1))&lt;=790,3,IF(INDEX(ERP資料!$G:$G, (MATCH(1008, 輔助計算!$G$2:$G$801, 0)+1))&lt;=1181,2,1))))=2,TEXT(INDEX(ERP資料!$G:$G, (MATCH(1008, 輔助計算!$G$2:$G$801, 0)+1)),"0.##")&amp;"+"&amp;TEXT(INDEX(ERP資料!$G:$G, (MATCH(1008, 輔助計算!$G$2:$G$801, 0)+1)),"0.##"),TEXT(INDEX(ERP資料!$G:$G, (MATCH(1008, 輔助計算!$G$2:$G$801, 0)+1)),"0.##")&amp;"+"&amp;TEXT(INDEX(ERP資料!$G:$G, (MATCH(1008, 輔助計算!$G$2:$G$801, 0)+1)),"0.##")&amp;"+"&amp;TEXT(INDEX(ERP資料!$G:$G, (MATCH(1008, 輔助計算!$G$2:$G$801, 0)+1)),"0.##"))))&amp;"-1")), ""), "")</f>
        <v/>
      </c>
      <c r="K1009" s="16" t="n"/>
      <c r="L1009" s="14">
        <f>IFERROR(IF(AND(IFERROR(INDEX(ERP資料!$A:$A, (MATCH(1008, 輔助計算!$G$2:$G$801, 0)+1)), "")&lt;&gt;"", IFERROR(INDEX(ERP資料!$A:$A, (MATCH(1008, 輔助計算!$G$2:$G$801, 0)+1)), "")&lt;&gt;IFERROR(INDEX(ERP資料!$A:$A, MATCH(1007, 輔助計算!$G$2:$G$801, 0)+1), "")), INDEX(ERP資料!$B:$B, (MATCH(1008, 輔助計算!$G$2:$G$801, 0)+1)), ""), "")</f>
        <v/>
      </c>
      <c r="M1009" s="17" t="n"/>
    </row>
    <row r="1010">
      <c r="A1010" s="10">
        <f>IFERROR(IF(AND(IFERROR(INDEX(ERP資料!$A:$A, (MATCH(1009, 輔助計算!$G$2:$G$801, 0)+1)), "")&lt;&gt;"", IFERROR(INDEX(ERP資料!$A:$A, (MATCH(1009, 輔助計算!$G$2:$G$801, 0)+1)), "")&lt;&gt;IFERROR(INDEX(ERP資料!$A:$A, MATCH(1008, 輔助計算!$G$2:$G$801, 0)+1), "")), IFERROR(INDEX(ERP資料!$A:$A, (MATCH(1009, 輔助計算!$G$2:$G$801, 0)+1)), ""), ""), "")</f>
        <v/>
      </c>
      <c r="B1010" s="10">
        <f>IFERROR(IF(AND(IFERROR(INDEX(ERP資料!$A:$A, (MATCH(1009, 輔助計算!$G$2:$G$801, 0)+1)), "")&lt;&gt;"", IFERROR(INDEX(ERP資料!$A:$A, (MATCH(1009, 輔助計算!$G$2:$G$801, 0)+1)), "")&lt;&gt;IFERROR(INDEX(ERP資料!$A:$A, MATCH(1008, 輔助計算!$G$2:$G$801, 0)+1), "")), INDEX(ERP資料!$S:$S, (MATCH(1009, 輔助計算!$G$2:$G$801, 0)+1)), ""), "")</f>
        <v/>
      </c>
      <c r="C1010" s="19">
        <f>IFERROR(IF(AND(IFERROR(INDEX(ERP資料!$A:$A, (MATCH(1009, 輔助計算!$G$2:$G$801, 0)+1)), "")&lt;&gt;"", IFERROR(INDEX(ERP資料!$A:$A, (MATCH(1009, 輔助計算!$G$2:$G$801, 0)+1)), "")&lt;&gt;IFERROR(INDEX(ERP資料!$A:$A, MATCH(1008, 輔助計算!$G$2:$G$801, 0)+1), "")), IFERROR(VLOOKUP(LEFT(INDEX(ERP資料!$S:$S, (MATCH(1009, 輔助計算!$G$2:$G$801, 0)+1)), 4), 紙管對照表!$A:$C, 3, FALSE), ""), ""), "")</f>
        <v/>
      </c>
      <c r="D1010" s="16" t="n"/>
      <c r="E1010" s="10">
        <f>IFERROR(IF(INDEX(ERP資料!$H:$H, (MATCH(1009, 輔助計算!$G$2:$G$801, 0)+1))="","",INDEX(ERP資料!$H:$H, (MATCH(1009, 輔助計算!$G$2:$G$801, 0)+1))), "")</f>
        <v/>
      </c>
      <c r="F1010" s="10">
        <f>IFERROR(IF(INDEX(ERP資料!$E:$E, (MATCH(1009, 輔助計算!$G$2:$G$801, 0)+1))="","",TRIM(INDEX(ERP資料!$E:$E, (MATCH(1009, 輔助計算!$G$2:$G$801, 0)+1)))), "")</f>
        <v/>
      </c>
      <c r="G1010" s="10">
        <f>IFERROR(IF(INDEX(ERP資料!$F:$F, (MATCH(1009, 輔助計算!$G$2:$G$801, 0)+1))="","",INDEX(ERP資料!$F:$F, (MATCH(1009, 輔助計算!$G$2:$G$801, 0)+1))), "")</f>
        <v/>
      </c>
      <c r="H1010" s="10">
        <f>IFERROR(IF(INDEX(ERP資料!$G:$G, (MATCH(1009, 輔助計算!$G$2:$G$801, 0)+1))="","",INDEX(ERP資料!$G:$G, (MATCH(1009, 輔助計算!$G$2:$G$801, 0)+1))), "")</f>
        <v/>
      </c>
      <c r="I1010" s="15">
        <f>IFERROR(INDEX(輔助計算!$D:$D, (MATCH(1009, 輔助計算!$G$2:$G$801, 0)+1)), "")</f>
        <v/>
      </c>
      <c r="J1010" s="15">
        <f>IFERROR(IF(AND(INDEX(輔助計算!$D:$D, (MATCH(1009, 輔助計算!$G$2:$G$801, 0)+1))&lt;&gt;"", INDEX(ERP資料!$G:$G, (MATCH(1009, 輔助計算!$G$2:$G$801, 0)+1))&lt;&gt;""), TRIM(IF(INT(INDEX(輔助計算!$D:$D, (MATCH(1009, 輔助計算!$G$2:$G$801, 0)+1))/IF(INDEX(ERP資料!$G:$G, (MATCH(1009, 輔助計算!$G$2:$G$801, 0)+1))&lt;100, IF(INDEX(ERP資料!$G:$G, (MATCH(1009, 輔助計算!$G$2:$G$801, 0)+1))&lt;=31,3,IF(INDEX(ERP資料!$G:$G, (MATCH(1009, 輔助計算!$G$2:$G$801, 0)+1))&lt;=46.5,2,1)), IF(INDEX(ERP資料!$G:$G, (MATCH(1009, 輔助計算!$G$2:$G$801, 0)+1))&lt;=790,3,IF(INDEX(ERP資料!$G:$G, (MATCH(1009, 輔助計算!$G$2:$G$801, 0)+1))&lt;=1181,2,1))))&gt;0, IF(IF(INDEX(ERP資料!$G:$G, (MATCH(1009, 輔助計算!$G$2:$G$801, 0)+1))&lt;100, IF(INDEX(ERP資料!$G:$G, (MATCH(1009, 輔助計算!$G$2:$G$801, 0)+1))&lt;=31,3,IF(INDEX(ERP資料!$G:$G, (MATCH(1009, 輔助計算!$G$2:$G$801, 0)+1))&lt;=46.5,2,1)), IF(INDEX(ERP資料!$G:$G, (MATCH(1009, 輔助計算!$G$2:$G$801, 0)+1))&lt;=790,3,IF(INDEX(ERP資料!$G:$G, (MATCH(1009, 輔助計算!$G$2:$G$801, 0)+1))&lt;=1181,2,1)))=1,TEXT(INDEX(ERP資料!$G:$G, (MATCH(1009, 輔助計算!$G$2:$G$801, 0)+1)),"0.##"),IF(IF(INDEX(ERP資料!$G:$G, (MATCH(1009, 輔助計算!$G$2:$G$801, 0)+1))&lt;100, IF(INDEX(ERP資料!$G:$G, (MATCH(1009, 輔助計算!$G$2:$G$801, 0)+1))&lt;=31,3,IF(INDEX(ERP資料!$G:$G, (MATCH(1009, 輔助計算!$G$2:$G$801, 0)+1))&lt;=46.5,2,1)), IF(INDEX(ERP資料!$G:$G, (MATCH(1009, 輔助計算!$G$2:$G$801, 0)+1))&lt;=790,3,IF(INDEX(ERP資料!$G:$G, (MATCH(1009, 輔助計算!$G$2:$G$801, 0)+1))&lt;=1181,2,1)))=2,TEXT(INDEX(ERP資料!$G:$G, (MATCH(1009, 輔助計算!$G$2:$G$801, 0)+1)),"0.##")&amp;"+"&amp;TEXT(INDEX(ERP資料!$G:$G, (MATCH(1009, 輔助計算!$G$2:$G$801, 0)+1)),"0.##"),TEXT(INDEX(ERP資料!$G:$G, (MATCH(1009, 輔助計算!$G$2:$G$801, 0)+1)),"0.##")&amp;"+"&amp;TEXT(INDEX(ERP資料!$G:$G, (MATCH(1009, 輔助計算!$G$2:$G$801, 0)+1)),"0.##")&amp;"+"&amp;TEXT(INDEX(ERP資料!$G:$G, (MATCH(1009, 輔助計算!$G$2:$G$801, 0)+1)),"0.##")))&amp;"-"&amp;INT(INDEX(輔助計算!$D:$D, (MATCH(1009, 輔助計算!$G$2:$G$801, 0)+1))/IF(INDEX(ERP資料!$G:$G, (MATCH(1009, 輔助計算!$G$2:$G$801, 0)+1))&lt;100, IF(INDEX(ERP資料!$G:$G, (MATCH(1009, 輔助計算!$G$2:$G$801, 0)+1))&lt;=31,3,IF(INDEX(ERP資料!$G:$G, (MATCH(1009, 輔助計算!$G$2:$G$801, 0)+1))&lt;=46.5,2,1)), IF(INDEX(ERP資料!$G:$G, (MATCH(1009, 輔助計算!$G$2:$G$801, 0)+1))&lt;=790,3,IF(INDEX(ERP資料!$G:$G, (MATCH(1009, 輔助計算!$G$2:$G$801, 0)+1))&lt;=1181,2,1)))), "")&amp;IF(AND(IF(INT(INDEX(輔助計算!$D:$D, (MATCH(1009, 輔助計算!$G$2:$G$801, 0)+1))/IF(INDEX(ERP資料!$G:$G, (MATCH(1009, 輔助計算!$G$2:$G$801, 0)+1))&lt;100, IF(INDEX(ERP資料!$G:$G, (MATCH(1009, 輔助計算!$G$2:$G$801, 0)+1))&lt;=31,3,IF(INDEX(ERP資料!$G:$G, (MATCH(1009, 輔助計算!$G$2:$G$801, 0)+1))&lt;=46.5,2,1)), IF(INDEX(ERP資料!$G:$G, (MATCH(1009, 輔助計算!$G$2:$G$801, 0)+1))&lt;=790,3,IF(INDEX(ERP資料!$G:$G, (MATCH(1009, 輔助計算!$G$2:$G$801, 0)+1))&lt;=1181,2,1))))&gt;0, IF(IF(INDEX(ERP資料!$G:$G, (MATCH(1009, 輔助計算!$G$2:$G$801, 0)+1))&lt;100, IF(INDEX(ERP資料!$G:$G, (MATCH(1009, 輔助計算!$G$2:$G$801, 0)+1))&lt;=31,3,IF(INDEX(ERP資料!$G:$G, (MATCH(1009, 輔助計算!$G$2:$G$801, 0)+1))&lt;=46.5,2,1)), IF(INDEX(ERP資料!$G:$G, (MATCH(1009, 輔助計算!$G$2:$G$801, 0)+1))&lt;=790,3,IF(INDEX(ERP資料!$G:$G, (MATCH(1009, 輔助計算!$G$2:$G$801, 0)+1))&lt;=1181,2,1)))=1,TEXT(INDEX(ERP資料!$G:$G, (MATCH(1009, 輔助計算!$G$2:$G$801, 0)+1)),"0.##"),IF(IF(INDEX(ERP資料!$G:$G, (MATCH(1009, 輔助計算!$G$2:$G$801, 0)+1))&lt;100, IF(INDEX(ERP資料!$G:$G, (MATCH(1009, 輔助計算!$G$2:$G$801, 0)+1))&lt;=31,3,IF(INDEX(ERP資料!$G:$G, (MATCH(1009, 輔助計算!$G$2:$G$801, 0)+1))&lt;=46.5,2,1)), IF(INDEX(ERP資料!$G:$G, (MATCH(1009, 輔助計算!$G$2:$G$801, 0)+1))&lt;=790,3,IF(INDEX(ERP資料!$G:$G, (MATCH(1009, 輔助計算!$G$2:$G$801, 0)+1))&lt;=1181,2,1)))=2,TEXT(INDEX(ERP資料!$G:$G, (MATCH(1009, 輔助計算!$G$2:$G$801, 0)+1)),"0.##")&amp;"+"&amp;TEXT(INDEX(ERP資料!$G:$G, (MATCH(1009, 輔助計算!$G$2:$G$801, 0)+1)),"0.##"),TEXT(INDEX(ERP資料!$G:$G, (MATCH(1009, 輔助計算!$G$2:$G$801, 0)+1)),"0.##")&amp;"+"&amp;TEXT(INDEX(ERP資料!$G:$G, (MATCH(1009, 輔助計算!$G$2:$G$801, 0)+1)),"0.##")&amp;"+"&amp;TEXT(INDEX(ERP資料!$G:$G, (MATCH(1009, 輔助計算!$G$2:$G$801, 0)+1)),"0.##")))&amp;"-"&amp;INT(INDEX(輔助計算!$D:$D, (MATCH(1009, 輔助計算!$G$2:$G$801, 0)+1))/IF(INDEX(ERP資料!$G:$G, (MATCH(1009, 輔助計算!$G$2:$G$801, 0)+1))&lt;100, IF(INDEX(ERP資料!$G:$G, (MATCH(1009, 輔助計算!$G$2:$G$801, 0)+1))&lt;=31,3,IF(INDEX(ERP資料!$G:$G, (MATCH(1009, 輔助計算!$G$2:$G$801, 0)+1))&lt;=46.5,2,1)), IF(INDEX(ERP資料!$G:$G, (MATCH(1009, 輔助計算!$G$2:$G$801, 0)+1))&lt;=790,3,IF(INDEX(ERP資料!$G:$G, (MATCH(1009, 輔助計算!$G$2:$G$801, 0)+1))&lt;=1181,2,1)))), "")&lt;&gt;"",IF(MOD(INDEX(輔助計算!$D:$D, (MATCH(1009, 輔助計算!$G$2:$G$801, 0)+1)),IF(INDEX(ERP資料!$G:$G, (MATCH(1009, 輔助計算!$G$2:$G$801, 0)+1))&lt;100, IF(INDEX(ERP資料!$G:$G, (MATCH(1009, 輔助計算!$G$2:$G$801, 0)+1))&lt;=31,3,IF(INDEX(ERP資料!$G:$G, (MATCH(1009, 輔助計算!$G$2:$G$801, 0)+1))&lt;=46.5,2,1)), IF(INDEX(ERP資料!$G:$G, (MATCH(1009, 輔助計算!$G$2:$G$801, 0)+1))&lt;=790,3,IF(INDEX(ERP資料!$G:$G, (MATCH(1009, 輔助計算!$G$2:$G$801, 0)+1))&lt;=1181,2,1))))=0,"",IF(MOD(INDEX(輔助計算!$D:$D, (MATCH(1009, 輔助計算!$G$2:$G$801, 0)+1)),IF(INDEX(ERP資料!$G:$G, (MATCH(1009, 輔助計算!$G$2:$G$801, 0)+1))&lt;100, IF(INDEX(ERP資料!$G:$G, (MATCH(1009, 輔助計算!$G$2:$G$801, 0)+1))&lt;=31,3,IF(INDEX(ERP資料!$G:$G, (MATCH(1009, 輔助計算!$G$2:$G$801, 0)+1))&lt;=46.5,2,1)), IF(INDEX(ERP資料!$G:$G, (MATCH(1009, 輔助計算!$G$2:$G$801, 0)+1))&lt;=790,3,IF(INDEX(ERP資料!$G:$G, (MATCH(1009, 輔助計算!$G$2:$G$801, 0)+1))&lt;=1181,2,1))))=0,"",IF(MOD(INDEX(輔助計算!$D:$D, (MATCH(1009, 輔助計算!$G$2:$G$801, 0)+1)),IF(INDEX(ERP資料!$G:$G, (MATCH(1009, 輔助計算!$G$2:$G$801, 0)+1))&lt;100, IF(INDEX(ERP資料!$G:$G, (MATCH(1009, 輔助計算!$G$2:$G$801, 0)+1))&lt;=31,3,IF(INDEX(ERP資料!$G:$G, (MATCH(1009, 輔助計算!$G$2:$G$801, 0)+1))&lt;=46.5,2,1)), IF(INDEX(ERP資料!$G:$G, (MATCH(1009, 輔助計算!$G$2:$G$801, 0)+1))&lt;=790,3,IF(INDEX(ERP資料!$G:$G, (MATCH(1009, 輔助計算!$G$2:$G$801, 0)+1))&lt;=1181,2,1))))=1,TEXT(INDEX(ERP資料!$G:$G, (MATCH(1009, 輔助計算!$G$2:$G$801, 0)+1)),"0.##"),IF(MOD(INDEX(輔助計算!$D:$D, (MATCH(1009, 輔助計算!$G$2:$G$801, 0)+1)),IF(INDEX(ERP資料!$G:$G, (MATCH(1009, 輔助計算!$G$2:$G$801, 0)+1))&lt;100, IF(INDEX(ERP資料!$G:$G, (MATCH(1009, 輔助計算!$G$2:$G$801, 0)+1))&lt;=31,3,IF(INDEX(ERP資料!$G:$G, (MATCH(1009, 輔助計算!$G$2:$G$801, 0)+1))&lt;=46.5,2,1)), IF(INDEX(ERP資料!$G:$G, (MATCH(1009, 輔助計算!$G$2:$G$801, 0)+1))&lt;=790,3,IF(INDEX(ERP資料!$G:$G, (MATCH(1009, 輔助計算!$G$2:$G$801, 0)+1))&lt;=1181,2,1))))=2,TEXT(INDEX(ERP資料!$G:$G, (MATCH(1009, 輔助計算!$G$2:$G$801, 0)+1)),"0.##")&amp;"+"&amp;TEXT(INDEX(ERP資料!$G:$G, (MATCH(1009, 輔助計算!$G$2:$G$801, 0)+1)),"0.##"),TEXT(INDEX(ERP資料!$G:$G, (MATCH(1009, 輔助計算!$G$2:$G$801, 0)+1)),"0.##")&amp;"+"&amp;TEXT(INDEX(ERP資料!$G:$G, (MATCH(1009, 輔助計算!$G$2:$G$801, 0)+1)),"0.##")&amp;"+"&amp;TEXT(INDEX(ERP資料!$G:$G, (MATCH(1009, 輔助計算!$G$2:$G$801, 0)+1)),"0.##"))))&amp;"-1")&lt;&gt;""),"  ","")&amp;IF(MOD(INDEX(輔助計算!$D:$D, (MATCH(1009, 輔助計算!$G$2:$G$801, 0)+1)),IF(INDEX(ERP資料!$G:$G, (MATCH(1009, 輔助計算!$G$2:$G$801, 0)+1))&lt;100, IF(INDEX(ERP資料!$G:$G, (MATCH(1009, 輔助計算!$G$2:$G$801, 0)+1))&lt;=31,3,IF(INDEX(ERP資料!$G:$G, (MATCH(1009, 輔助計算!$G$2:$G$801, 0)+1))&lt;=46.5,2,1)), IF(INDEX(ERP資料!$G:$G, (MATCH(1009, 輔助計算!$G$2:$G$801, 0)+1))&lt;=790,3,IF(INDEX(ERP資料!$G:$G, (MATCH(1009, 輔助計算!$G$2:$G$801, 0)+1))&lt;=1181,2,1))))=0,"",IF(MOD(INDEX(輔助計算!$D:$D, (MATCH(1009, 輔助計算!$G$2:$G$801, 0)+1)),IF(INDEX(ERP資料!$G:$G, (MATCH(1009, 輔助計算!$G$2:$G$801, 0)+1))&lt;100, IF(INDEX(ERP資料!$G:$G, (MATCH(1009, 輔助計算!$G$2:$G$801, 0)+1))&lt;=31,3,IF(INDEX(ERP資料!$G:$G, (MATCH(1009, 輔助計算!$G$2:$G$801, 0)+1))&lt;=46.5,2,1)), IF(INDEX(ERP資料!$G:$G, (MATCH(1009, 輔助計算!$G$2:$G$801, 0)+1))&lt;=790,3,IF(INDEX(ERP資料!$G:$G, (MATCH(1009, 輔助計算!$G$2:$G$801, 0)+1))&lt;=1181,2,1))))=0,"",IF(MOD(INDEX(輔助計算!$D:$D, (MATCH(1009, 輔助計算!$G$2:$G$801, 0)+1)),IF(INDEX(ERP資料!$G:$G, (MATCH(1009, 輔助計算!$G$2:$G$801, 0)+1))&lt;100, IF(INDEX(ERP資料!$G:$G, (MATCH(1009, 輔助計算!$G$2:$G$801, 0)+1))&lt;=31,3,IF(INDEX(ERP資料!$G:$G, (MATCH(1009, 輔助計算!$G$2:$G$801, 0)+1))&lt;=46.5,2,1)), IF(INDEX(ERP資料!$G:$G, (MATCH(1009, 輔助計算!$G$2:$G$801, 0)+1))&lt;=790,3,IF(INDEX(ERP資料!$G:$G, (MATCH(1009, 輔助計算!$G$2:$G$801, 0)+1))&lt;=1181,2,1))))=1,TEXT(INDEX(ERP資料!$G:$G, (MATCH(1009, 輔助計算!$G$2:$G$801, 0)+1)),"0.##"),IF(MOD(INDEX(輔助計算!$D:$D, (MATCH(1009, 輔助計算!$G$2:$G$801, 0)+1)),IF(INDEX(ERP資料!$G:$G, (MATCH(1009, 輔助計算!$G$2:$G$801, 0)+1))&lt;100, IF(INDEX(ERP資料!$G:$G, (MATCH(1009, 輔助計算!$G$2:$G$801, 0)+1))&lt;=31,3,IF(INDEX(ERP資料!$G:$G, (MATCH(1009, 輔助計算!$G$2:$G$801, 0)+1))&lt;=46.5,2,1)), IF(INDEX(ERP資料!$G:$G, (MATCH(1009, 輔助計算!$G$2:$G$801, 0)+1))&lt;=790,3,IF(INDEX(ERP資料!$G:$G, (MATCH(1009, 輔助計算!$G$2:$G$801, 0)+1))&lt;=1181,2,1))))=2,TEXT(INDEX(ERP資料!$G:$G, (MATCH(1009, 輔助計算!$G$2:$G$801, 0)+1)),"0.##")&amp;"+"&amp;TEXT(INDEX(ERP資料!$G:$G, (MATCH(1009, 輔助計算!$G$2:$G$801, 0)+1)),"0.##"),TEXT(INDEX(ERP資料!$G:$G, (MATCH(1009, 輔助計算!$G$2:$G$801, 0)+1)),"0.##")&amp;"+"&amp;TEXT(INDEX(ERP資料!$G:$G, (MATCH(1009, 輔助計算!$G$2:$G$801, 0)+1)),"0.##")&amp;"+"&amp;TEXT(INDEX(ERP資料!$G:$G, (MATCH(1009, 輔助計算!$G$2:$G$801, 0)+1)),"0.##"))))&amp;"-1")), ""), "")</f>
        <v/>
      </c>
      <c r="K1010" s="16" t="n"/>
      <c r="L1010" s="14">
        <f>IFERROR(IF(AND(IFERROR(INDEX(ERP資料!$A:$A, (MATCH(1009, 輔助計算!$G$2:$G$801, 0)+1)), "")&lt;&gt;"", IFERROR(INDEX(ERP資料!$A:$A, (MATCH(1009, 輔助計算!$G$2:$G$801, 0)+1)), "")&lt;&gt;IFERROR(INDEX(ERP資料!$A:$A, MATCH(1008, 輔助計算!$G$2:$G$801, 0)+1), "")), INDEX(ERP資料!$B:$B, (MATCH(1009, 輔助計算!$G$2:$G$801, 0)+1)), ""), "")</f>
        <v/>
      </c>
      <c r="M1010" s="17" t="n"/>
    </row>
    <row r="1011">
      <c r="A1011" s="10">
        <f>IFERROR(IF(AND(IFERROR(INDEX(ERP資料!$A:$A, (MATCH(1010, 輔助計算!$G$2:$G$801, 0)+1)), "")&lt;&gt;"", IFERROR(INDEX(ERP資料!$A:$A, (MATCH(1010, 輔助計算!$G$2:$G$801, 0)+1)), "")&lt;&gt;IFERROR(INDEX(ERP資料!$A:$A, MATCH(1009, 輔助計算!$G$2:$G$801, 0)+1), "")), IFERROR(INDEX(ERP資料!$A:$A, (MATCH(1010, 輔助計算!$G$2:$G$801, 0)+1)), ""), ""), "")</f>
        <v/>
      </c>
      <c r="B1011" s="10">
        <f>IFERROR(IF(AND(IFERROR(INDEX(ERP資料!$A:$A, (MATCH(1010, 輔助計算!$G$2:$G$801, 0)+1)), "")&lt;&gt;"", IFERROR(INDEX(ERP資料!$A:$A, (MATCH(1010, 輔助計算!$G$2:$G$801, 0)+1)), "")&lt;&gt;IFERROR(INDEX(ERP資料!$A:$A, MATCH(1009, 輔助計算!$G$2:$G$801, 0)+1), "")), INDEX(ERP資料!$S:$S, (MATCH(1010, 輔助計算!$G$2:$G$801, 0)+1)), ""), "")</f>
        <v/>
      </c>
      <c r="C1011" s="19">
        <f>IFERROR(IF(AND(IFERROR(INDEX(ERP資料!$A:$A, (MATCH(1010, 輔助計算!$G$2:$G$801, 0)+1)), "")&lt;&gt;"", IFERROR(INDEX(ERP資料!$A:$A, (MATCH(1010, 輔助計算!$G$2:$G$801, 0)+1)), "")&lt;&gt;IFERROR(INDEX(ERP資料!$A:$A, MATCH(1009, 輔助計算!$G$2:$G$801, 0)+1), "")), IFERROR(VLOOKUP(LEFT(INDEX(ERP資料!$S:$S, (MATCH(1010, 輔助計算!$G$2:$G$801, 0)+1)), 4), 紙管對照表!$A:$C, 3, FALSE), ""), ""), "")</f>
        <v/>
      </c>
      <c r="D1011" s="16" t="n"/>
      <c r="E1011" s="10">
        <f>IFERROR(IF(INDEX(ERP資料!$H:$H, (MATCH(1010, 輔助計算!$G$2:$G$801, 0)+1))="","",INDEX(ERP資料!$H:$H, (MATCH(1010, 輔助計算!$G$2:$G$801, 0)+1))), "")</f>
        <v/>
      </c>
      <c r="F1011" s="10">
        <f>IFERROR(IF(INDEX(ERP資料!$E:$E, (MATCH(1010, 輔助計算!$G$2:$G$801, 0)+1))="","",TRIM(INDEX(ERP資料!$E:$E, (MATCH(1010, 輔助計算!$G$2:$G$801, 0)+1)))), "")</f>
        <v/>
      </c>
      <c r="G1011" s="10">
        <f>IFERROR(IF(INDEX(ERP資料!$F:$F, (MATCH(1010, 輔助計算!$G$2:$G$801, 0)+1))="","",INDEX(ERP資料!$F:$F, (MATCH(1010, 輔助計算!$G$2:$G$801, 0)+1))), "")</f>
        <v/>
      </c>
      <c r="H1011" s="10">
        <f>IFERROR(IF(INDEX(ERP資料!$G:$G, (MATCH(1010, 輔助計算!$G$2:$G$801, 0)+1))="","",INDEX(ERP資料!$G:$G, (MATCH(1010, 輔助計算!$G$2:$G$801, 0)+1))), "")</f>
        <v/>
      </c>
      <c r="I1011" s="15">
        <f>IFERROR(INDEX(輔助計算!$D:$D, (MATCH(1010, 輔助計算!$G$2:$G$801, 0)+1)), "")</f>
        <v/>
      </c>
      <c r="J1011" s="15">
        <f>IFERROR(IF(AND(INDEX(輔助計算!$D:$D, (MATCH(1010, 輔助計算!$G$2:$G$801, 0)+1))&lt;&gt;"", INDEX(ERP資料!$G:$G, (MATCH(1010, 輔助計算!$G$2:$G$801, 0)+1))&lt;&gt;""), TRIM(IF(INT(INDEX(輔助計算!$D:$D, (MATCH(1010, 輔助計算!$G$2:$G$801, 0)+1))/IF(INDEX(ERP資料!$G:$G, (MATCH(1010, 輔助計算!$G$2:$G$801, 0)+1))&lt;100, IF(INDEX(ERP資料!$G:$G, (MATCH(1010, 輔助計算!$G$2:$G$801, 0)+1))&lt;=31,3,IF(INDEX(ERP資料!$G:$G, (MATCH(1010, 輔助計算!$G$2:$G$801, 0)+1))&lt;=46.5,2,1)), IF(INDEX(ERP資料!$G:$G, (MATCH(1010, 輔助計算!$G$2:$G$801, 0)+1))&lt;=790,3,IF(INDEX(ERP資料!$G:$G, (MATCH(1010, 輔助計算!$G$2:$G$801, 0)+1))&lt;=1181,2,1))))&gt;0, IF(IF(INDEX(ERP資料!$G:$G, (MATCH(1010, 輔助計算!$G$2:$G$801, 0)+1))&lt;100, IF(INDEX(ERP資料!$G:$G, (MATCH(1010, 輔助計算!$G$2:$G$801, 0)+1))&lt;=31,3,IF(INDEX(ERP資料!$G:$G, (MATCH(1010, 輔助計算!$G$2:$G$801, 0)+1))&lt;=46.5,2,1)), IF(INDEX(ERP資料!$G:$G, (MATCH(1010, 輔助計算!$G$2:$G$801, 0)+1))&lt;=790,3,IF(INDEX(ERP資料!$G:$G, (MATCH(1010, 輔助計算!$G$2:$G$801, 0)+1))&lt;=1181,2,1)))=1,TEXT(INDEX(ERP資料!$G:$G, (MATCH(1010, 輔助計算!$G$2:$G$801, 0)+1)),"0.##"),IF(IF(INDEX(ERP資料!$G:$G, (MATCH(1010, 輔助計算!$G$2:$G$801, 0)+1))&lt;100, IF(INDEX(ERP資料!$G:$G, (MATCH(1010, 輔助計算!$G$2:$G$801, 0)+1))&lt;=31,3,IF(INDEX(ERP資料!$G:$G, (MATCH(1010, 輔助計算!$G$2:$G$801, 0)+1))&lt;=46.5,2,1)), IF(INDEX(ERP資料!$G:$G, (MATCH(1010, 輔助計算!$G$2:$G$801, 0)+1))&lt;=790,3,IF(INDEX(ERP資料!$G:$G, (MATCH(1010, 輔助計算!$G$2:$G$801, 0)+1))&lt;=1181,2,1)))=2,TEXT(INDEX(ERP資料!$G:$G, (MATCH(1010, 輔助計算!$G$2:$G$801, 0)+1)),"0.##")&amp;"+"&amp;TEXT(INDEX(ERP資料!$G:$G, (MATCH(1010, 輔助計算!$G$2:$G$801, 0)+1)),"0.##"),TEXT(INDEX(ERP資料!$G:$G, (MATCH(1010, 輔助計算!$G$2:$G$801, 0)+1)),"0.##")&amp;"+"&amp;TEXT(INDEX(ERP資料!$G:$G, (MATCH(1010, 輔助計算!$G$2:$G$801, 0)+1)),"0.##")&amp;"+"&amp;TEXT(INDEX(ERP資料!$G:$G, (MATCH(1010, 輔助計算!$G$2:$G$801, 0)+1)),"0.##")))&amp;"-"&amp;INT(INDEX(輔助計算!$D:$D, (MATCH(1010, 輔助計算!$G$2:$G$801, 0)+1))/IF(INDEX(ERP資料!$G:$G, (MATCH(1010, 輔助計算!$G$2:$G$801, 0)+1))&lt;100, IF(INDEX(ERP資料!$G:$G, (MATCH(1010, 輔助計算!$G$2:$G$801, 0)+1))&lt;=31,3,IF(INDEX(ERP資料!$G:$G, (MATCH(1010, 輔助計算!$G$2:$G$801, 0)+1))&lt;=46.5,2,1)), IF(INDEX(ERP資料!$G:$G, (MATCH(1010, 輔助計算!$G$2:$G$801, 0)+1))&lt;=790,3,IF(INDEX(ERP資料!$G:$G, (MATCH(1010, 輔助計算!$G$2:$G$801, 0)+1))&lt;=1181,2,1)))), "")&amp;IF(AND(IF(INT(INDEX(輔助計算!$D:$D, (MATCH(1010, 輔助計算!$G$2:$G$801, 0)+1))/IF(INDEX(ERP資料!$G:$G, (MATCH(1010, 輔助計算!$G$2:$G$801, 0)+1))&lt;100, IF(INDEX(ERP資料!$G:$G, (MATCH(1010, 輔助計算!$G$2:$G$801, 0)+1))&lt;=31,3,IF(INDEX(ERP資料!$G:$G, (MATCH(1010, 輔助計算!$G$2:$G$801, 0)+1))&lt;=46.5,2,1)), IF(INDEX(ERP資料!$G:$G, (MATCH(1010, 輔助計算!$G$2:$G$801, 0)+1))&lt;=790,3,IF(INDEX(ERP資料!$G:$G, (MATCH(1010, 輔助計算!$G$2:$G$801, 0)+1))&lt;=1181,2,1))))&gt;0, IF(IF(INDEX(ERP資料!$G:$G, (MATCH(1010, 輔助計算!$G$2:$G$801, 0)+1))&lt;100, IF(INDEX(ERP資料!$G:$G, (MATCH(1010, 輔助計算!$G$2:$G$801, 0)+1))&lt;=31,3,IF(INDEX(ERP資料!$G:$G, (MATCH(1010, 輔助計算!$G$2:$G$801, 0)+1))&lt;=46.5,2,1)), IF(INDEX(ERP資料!$G:$G, (MATCH(1010, 輔助計算!$G$2:$G$801, 0)+1))&lt;=790,3,IF(INDEX(ERP資料!$G:$G, (MATCH(1010, 輔助計算!$G$2:$G$801, 0)+1))&lt;=1181,2,1)))=1,TEXT(INDEX(ERP資料!$G:$G, (MATCH(1010, 輔助計算!$G$2:$G$801, 0)+1)),"0.##"),IF(IF(INDEX(ERP資料!$G:$G, (MATCH(1010, 輔助計算!$G$2:$G$801, 0)+1))&lt;100, IF(INDEX(ERP資料!$G:$G, (MATCH(1010, 輔助計算!$G$2:$G$801, 0)+1))&lt;=31,3,IF(INDEX(ERP資料!$G:$G, (MATCH(1010, 輔助計算!$G$2:$G$801, 0)+1))&lt;=46.5,2,1)), IF(INDEX(ERP資料!$G:$G, (MATCH(1010, 輔助計算!$G$2:$G$801, 0)+1))&lt;=790,3,IF(INDEX(ERP資料!$G:$G, (MATCH(1010, 輔助計算!$G$2:$G$801, 0)+1))&lt;=1181,2,1)))=2,TEXT(INDEX(ERP資料!$G:$G, (MATCH(1010, 輔助計算!$G$2:$G$801, 0)+1)),"0.##")&amp;"+"&amp;TEXT(INDEX(ERP資料!$G:$G, (MATCH(1010, 輔助計算!$G$2:$G$801, 0)+1)),"0.##"),TEXT(INDEX(ERP資料!$G:$G, (MATCH(1010, 輔助計算!$G$2:$G$801, 0)+1)),"0.##")&amp;"+"&amp;TEXT(INDEX(ERP資料!$G:$G, (MATCH(1010, 輔助計算!$G$2:$G$801, 0)+1)),"0.##")&amp;"+"&amp;TEXT(INDEX(ERP資料!$G:$G, (MATCH(1010, 輔助計算!$G$2:$G$801, 0)+1)),"0.##")))&amp;"-"&amp;INT(INDEX(輔助計算!$D:$D, (MATCH(1010, 輔助計算!$G$2:$G$801, 0)+1))/IF(INDEX(ERP資料!$G:$G, (MATCH(1010, 輔助計算!$G$2:$G$801, 0)+1))&lt;100, IF(INDEX(ERP資料!$G:$G, (MATCH(1010, 輔助計算!$G$2:$G$801, 0)+1))&lt;=31,3,IF(INDEX(ERP資料!$G:$G, (MATCH(1010, 輔助計算!$G$2:$G$801, 0)+1))&lt;=46.5,2,1)), IF(INDEX(ERP資料!$G:$G, (MATCH(1010, 輔助計算!$G$2:$G$801, 0)+1))&lt;=790,3,IF(INDEX(ERP資料!$G:$G, (MATCH(1010, 輔助計算!$G$2:$G$801, 0)+1))&lt;=1181,2,1)))), "")&lt;&gt;"",IF(MOD(INDEX(輔助計算!$D:$D, (MATCH(1010, 輔助計算!$G$2:$G$801, 0)+1)),IF(INDEX(ERP資料!$G:$G, (MATCH(1010, 輔助計算!$G$2:$G$801, 0)+1))&lt;100, IF(INDEX(ERP資料!$G:$G, (MATCH(1010, 輔助計算!$G$2:$G$801, 0)+1))&lt;=31,3,IF(INDEX(ERP資料!$G:$G, (MATCH(1010, 輔助計算!$G$2:$G$801, 0)+1))&lt;=46.5,2,1)), IF(INDEX(ERP資料!$G:$G, (MATCH(1010, 輔助計算!$G$2:$G$801, 0)+1))&lt;=790,3,IF(INDEX(ERP資料!$G:$G, (MATCH(1010, 輔助計算!$G$2:$G$801, 0)+1))&lt;=1181,2,1))))=0,"",IF(MOD(INDEX(輔助計算!$D:$D, (MATCH(1010, 輔助計算!$G$2:$G$801, 0)+1)),IF(INDEX(ERP資料!$G:$G, (MATCH(1010, 輔助計算!$G$2:$G$801, 0)+1))&lt;100, IF(INDEX(ERP資料!$G:$G, (MATCH(1010, 輔助計算!$G$2:$G$801, 0)+1))&lt;=31,3,IF(INDEX(ERP資料!$G:$G, (MATCH(1010, 輔助計算!$G$2:$G$801, 0)+1))&lt;=46.5,2,1)), IF(INDEX(ERP資料!$G:$G, (MATCH(1010, 輔助計算!$G$2:$G$801, 0)+1))&lt;=790,3,IF(INDEX(ERP資料!$G:$G, (MATCH(1010, 輔助計算!$G$2:$G$801, 0)+1))&lt;=1181,2,1))))=0,"",IF(MOD(INDEX(輔助計算!$D:$D, (MATCH(1010, 輔助計算!$G$2:$G$801, 0)+1)),IF(INDEX(ERP資料!$G:$G, (MATCH(1010, 輔助計算!$G$2:$G$801, 0)+1))&lt;100, IF(INDEX(ERP資料!$G:$G, (MATCH(1010, 輔助計算!$G$2:$G$801, 0)+1))&lt;=31,3,IF(INDEX(ERP資料!$G:$G, (MATCH(1010, 輔助計算!$G$2:$G$801, 0)+1))&lt;=46.5,2,1)), IF(INDEX(ERP資料!$G:$G, (MATCH(1010, 輔助計算!$G$2:$G$801, 0)+1))&lt;=790,3,IF(INDEX(ERP資料!$G:$G, (MATCH(1010, 輔助計算!$G$2:$G$801, 0)+1))&lt;=1181,2,1))))=1,TEXT(INDEX(ERP資料!$G:$G, (MATCH(1010, 輔助計算!$G$2:$G$801, 0)+1)),"0.##"),IF(MOD(INDEX(輔助計算!$D:$D, (MATCH(1010, 輔助計算!$G$2:$G$801, 0)+1)),IF(INDEX(ERP資料!$G:$G, (MATCH(1010, 輔助計算!$G$2:$G$801, 0)+1))&lt;100, IF(INDEX(ERP資料!$G:$G, (MATCH(1010, 輔助計算!$G$2:$G$801, 0)+1))&lt;=31,3,IF(INDEX(ERP資料!$G:$G, (MATCH(1010, 輔助計算!$G$2:$G$801, 0)+1))&lt;=46.5,2,1)), IF(INDEX(ERP資料!$G:$G, (MATCH(1010, 輔助計算!$G$2:$G$801, 0)+1))&lt;=790,3,IF(INDEX(ERP資料!$G:$G, (MATCH(1010, 輔助計算!$G$2:$G$801, 0)+1))&lt;=1181,2,1))))=2,TEXT(INDEX(ERP資料!$G:$G, (MATCH(1010, 輔助計算!$G$2:$G$801, 0)+1)),"0.##")&amp;"+"&amp;TEXT(INDEX(ERP資料!$G:$G, (MATCH(1010, 輔助計算!$G$2:$G$801, 0)+1)),"0.##"),TEXT(INDEX(ERP資料!$G:$G, (MATCH(1010, 輔助計算!$G$2:$G$801, 0)+1)),"0.##")&amp;"+"&amp;TEXT(INDEX(ERP資料!$G:$G, (MATCH(1010, 輔助計算!$G$2:$G$801, 0)+1)),"0.##")&amp;"+"&amp;TEXT(INDEX(ERP資料!$G:$G, (MATCH(1010, 輔助計算!$G$2:$G$801, 0)+1)),"0.##"))))&amp;"-1")&lt;&gt;""),"  ","")&amp;IF(MOD(INDEX(輔助計算!$D:$D, (MATCH(1010, 輔助計算!$G$2:$G$801, 0)+1)),IF(INDEX(ERP資料!$G:$G, (MATCH(1010, 輔助計算!$G$2:$G$801, 0)+1))&lt;100, IF(INDEX(ERP資料!$G:$G, (MATCH(1010, 輔助計算!$G$2:$G$801, 0)+1))&lt;=31,3,IF(INDEX(ERP資料!$G:$G, (MATCH(1010, 輔助計算!$G$2:$G$801, 0)+1))&lt;=46.5,2,1)), IF(INDEX(ERP資料!$G:$G, (MATCH(1010, 輔助計算!$G$2:$G$801, 0)+1))&lt;=790,3,IF(INDEX(ERP資料!$G:$G, (MATCH(1010, 輔助計算!$G$2:$G$801, 0)+1))&lt;=1181,2,1))))=0,"",IF(MOD(INDEX(輔助計算!$D:$D, (MATCH(1010, 輔助計算!$G$2:$G$801, 0)+1)),IF(INDEX(ERP資料!$G:$G, (MATCH(1010, 輔助計算!$G$2:$G$801, 0)+1))&lt;100, IF(INDEX(ERP資料!$G:$G, (MATCH(1010, 輔助計算!$G$2:$G$801, 0)+1))&lt;=31,3,IF(INDEX(ERP資料!$G:$G, (MATCH(1010, 輔助計算!$G$2:$G$801, 0)+1))&lt;=46.5,2,1)), IF(INDEX(ERP資料!$G:$G, (MATCH(1010, 輔助計算!$G$2:$G$801, 0)+1))&lt;=790,3,IF(INDEX(ERP資料!$G:$G, (MATCH(1010, 輔助計算!$G$2:$G$801, 0)+1))&lt;=1181,2,1))))=0,"",IF(MOD(INDEX(輔助計算!$D:$D, (MATCH(1010, 輔助計算!$G$2:$G$801, 0)+1)),IF(INDEX(ERP資料!$G:$G, (MATCH(1010, 輔助計算!$G$2:$G$801, 0)+1))&lt;100, IF(INDEX(ERP資料!$G:$G, (MATCH(1010, 輔助計算!$G$2:$G$801, 0)+1))&lt;=31,3,IF(INDEX(ERP資料!$G:$G, (MATCH(1010, 輔助計算!$G$2:$G$801, 0)+1))&lt;=46.5,2,1)), IF(INDEX(ERP資料!$G:$G, (MATCH(1010, 輔助計算!$G$2:$G$801, 0)+1))&lt;=790,3,IF(INDEX(ERP資料!$G:$G, (MATCH(1010, 輔助計算!$G$2:$G$801, 0)+1))&lt;=1181,2,1))))=1,TEXT(INDEX(ERP資料!$G:$G, (MATCH(1010, 輔助計算!$G$2:$G$801, 0)+1)),"0.##"),IF(MOD(INDEX(輔助計算!$D:$D, (MATCH(1010, 輔助計算!$G$2:$G$801, 0)+1)),IF(INDEX(ERP資料!$G:$G, (MATCH(1010, 輔助計算!$G$2:$G$801, 0)+1))&lt;100, IF(INDEX(ERP資料!$G:$G, (MATCH(1010, 輔助計算!$G$2:$G$801, 0)+1))&lt;=31,3,IF(INDEX(ERP資料!$G:$G, (MATCH(1010, 輔助計算!$G$2:$G$801, 0)+1))&lt;=46.5,2,1)), IF(INDEX(ERP資料!$G:$G, (MATCH(1010, 輔助計算!$G$2:$G$801, 0)+1))&lt;=790,3,IF(INDEX(ERP資料!$G:$G, (MATCH(1010, 輔助計算!$G$2:$G$801, 0)+1))&lt;=1181,2,1))))=2,TEXT(INDEX(ERP資料!$G:$G, (MATCH(1010, 輔助計算!$G$2:$G$801, 0)+1)),"0.##")&amp;"+"&amp;TEXT(INDEX(ERP資料!$G:$G, (MATCH(1010, 輔助計算!$G$2:$G$801, 0)+1)),"0.##"),TEXT(INDEX(ERP資料!$G:$G, (MATCH(1010, 輔助計算!$G$2:$G$801, 0)+1)),"0.##")&amp;"+"&amp;TEXT(INDEX(ERP資料!$G:$G, (MATCH(1010, 輔助計算!$G$2:$G$801, 0)+1)),"0.##")&amp;"+"&amp;TEXT(INDEX(ERP資料!$G:$G, (MATCH(1010, 輔助計算!$G$2:$G$801, 0)+1)),"0.##"))))&amp;"-1")), ""), "")</f>
        <v/>
      </c>
      <c r="K1011" s="16" t="n"/>
      <c r="L1011" s="14">
        <f>IFERROR(IF(AND(IFERROR(INDEX(ERP資料!$A:$A, (MATCH(1010, 輔助計算!$G$2:$G$801, 0)+1)), "")&lt;&gt;"", IFERROR(INDEX(ERP資料!$A:$A, (MATCH(1010, 輔助計算!$G$2:$G$801, 0)+1)), "")&lt;&gt;IFERROR(INDEX(ERP資料!$A:$A, MATCH(1009, 輔助計算!$G$2:$G$801, 0)+1), "")), INDEX(ERP資料!$B:$B, (MATCH(1010, 輔助計算!$G$2:$G$801, 0)+1)), ""), "")</f>
        <v/>
      </c>
      <c r="M1011" s="17" t="n"/>
    </row>
    <row r="1012">
      <c r="A1012" s="10">
        <f>IFERROR(IF(AND(IFERROR(INDEX(ERP資料!$A:$A, (MATCH(1011, 輔助計算!$G$2:$G$801, 0)+1)), "")&lt;&gt;"", IFERROR(INDEX(ERP資料!$A:$A, (MATCH(1011, 輔助計算!$G$2:$G$801, 0)+1)), "")&lt;&gt;IFERROR(INDEX(ERP資料!$A:$A, MATCH(1010, 輔助計算!$G$2:$G$801, 0)+1), "")), IFERROR(INDEX(ERP資料!$A:$A, (MATCH(1011, 輔助計算!$G$2:$G$801, 0)+1)), ""), ""), "")</f>
        <v/>
      </c>
      <c r="B1012" s="10">
        <f>IFERROR(IF(AND(IFERROR(INDEX(ERP資料!$A:$A, (MATCH(1011, 輔助計算!$G$2:$G$801, 0)+1)), "")&lt;&gt;"", IFERROR(INDEX(ERP資料!$A:$A, (MATCH(1011, 輔助計算!$G$2:$G$801, 0)+1)), "")&lt;&gt;IFERROR(INDEX(ERP資料!$A:$A, MATCH(1010, 輔助計算!$G$2:$G$801, 0)+1), "")), INDEX(ERP資料!$S:$S, (MATCH(1011, 輔助計算!$G$2:$G$801, 0)+1)), ""), "")</f>
        <v/>
      </c>
      <c r="C1012" s="19">
        <f>IFERROR(IF(AND(IFERROR(INDEX(ERP資料!$A:$A, (MATCH(1011, 輔助計算!$G$2:$G$801, 0)+1)), "")&lt;&gt;"", IFERROR(INDEX(ERP資料!$A:$A, (MATCH(1011, 輔助計算!$G$2:$G$801, 0)+1)), "")&lt;&gt;IFERROR(INDEX(ERP資料!$A:$A, MATCH(1010, 輔助計算!$G$2:$G$801, 0)+1), "")), IFERROR(VLOOKUP(LEFT(INDEX(ERP資料!$S:$S, (MATCH(1011, 輔助計算!$G$2:$G$801, 0)+1)), 4), 紙管對照表!$A:$C, 3, FALSE), ""), ""), "")</f>
        <v/>
      </c>
      <c r="D1012" s="16" t="n"/>
      <c r="E1012" s="10">
        <f>IFERROR(IF(INDEX(ERP資料!$H:$H, (MATCH(1011, 輔助計算!$G$2:$G$801, 0)+1))="","",INDEX(ERP資料!$H:$H, (MATCH(1011, 輔助計算!$G$2:$G$801, 0)+1))), "")</f>
        <v/>
      </c>
      <c r="F1012" s="10">
        <f>IFERROR(IF(INDEX(ERP資料!$E:$E, (MATCH(1011, 輔助計算!$G$2:$G$801, 0)+1))="","",TRIM(INDEX(ERP資料!$E:$E, (MATCH(1011, 輔助計算!$G$2:$G$801, 0)+1)))), "")</f>
        <v/>
      </c>
      <c r="G1012" s="10">
        <f>IFERROR(IF(INDEX(ERP資料!$F:$F, (MATCH(1011, 輔助計算!$G$2:$G$801, 0)+1))="","",INDEX(ERP資料!$F:$F, (MATCH(1011, 輔助計算!$G$2:$G$801, 0)+1))), "")</f>
        <v/>
      </c>
      <c r="H1012" s="10">
        <f>IFERROR(IF(INDEX(ERP資料!$G:$G, (MATCH(1011, 輔助計算!$G$2:$G$801, 0)+1))="","",INDEX(ERP資料!$G:$G, (MATCH(1011, 輔助計算!$G$2:$G$801, 0)+1))), "")</f>
        <v/>
      </c>
      <c r="I1012" s="15">
        <f>IFERROR(INDEX(輔助計算!$D:$D, (MATCH(1011, 輔助計算!$G$2:$G$801, 0)+1)), "")</f>
        <v/>
      </c>
      <c r="J1012" s="15">
        <f>IFERROR(IF(AND(INDEX(輔助計算!$D:$D, (MATCH(1011, 輔助計算!$G$2:$G$801, 0)+1))&lt;&gt;"", INDEX(ERP資料!$G:$G, (MATCH(1011, 輔助計算!$G$2:$G$801, 0)+1))&lt;&gt;""), TRIM(IF(INT(INDEX(輔助計算!$D:$D, (MATCH(1011, 輔助計算!$G$2:$G$801, 0)+1))/IF(INDEX(ERP資料!$G:$G, (MATCH(1011, 輔助計算!$G$2:$G$801, 0)+1))&lt;100, IF(INDEX(ERP資料!$G:$G, (MATCH(1011, 輔助計算!$G$2:$G$801, 0)+1))&lt;=31,3,IF(INDEX(ERP資料!$G:$G, (MATCH(1011, 輔助計算!$G$2:$G$801, 0)+1))&lt;=46.5,2,1)), IF(INDEX(ERP資料!$G:$G, (MATCH(1011, 輔助計算!$G$2:$G$801, 0)+1))&lt;=790,3,IF(INDEX(ERP資料!$G:$G, (MATCH(1011, 輔助計算!$G$2:$G$801, 0)+1))&lt;=1181,2,1))))&gt;0, IF(IF(INDEX(ERP資料!$G:$G, (MATCH(1011, 輔助計算!$G$2:$G$801, 0)+1))&lt;100, IF(INDEX(ERP資料!$G:$G, (MATCH(1011, 輔助計算!$G$2:$G$801, 0)+1))&lt;=31,3,IF(INDEX(ERP資料!$G:$G, (MATCH(1011, 輔助計算!$G$2:$G$801, 0)+1))&lt;=46.5,2,1)), IF(INDEX(ERP資料!$G:$G, (MATCH(1011, 輔助計算!$G$2:$G$801, 0)+1))&lt;=790,3,IF(INDEX(ERP資料!$G:$G, (MATCH(1011, 輔助計算!$G$2:$G$801, 0)+1))&lt;=1181,2,1)))=1,TEXT(INDEX(ERP資料!$G:$G, (MATCH(1011, 輔助計算!$G$2:$G$801, 0)+1)),"0.##"),IF(IF(INDEX(ERP資料!$G:$G, (MATCH(1011, 輔助計算!$G$2:$G$801, 0)+1))&lt;100, IF(INDEX(ERP資料!$G:$G, (MATCH(1011, 輔助計算!$G$2:$G$801, 0)+1))&lt;=31,3,IF(INDEX(ERP資料!$G:$G, (MATCH(1011, 輔助計算!$G$2:$G$801, 0)+1))&lt;=46.5,2,1)), IF(INDEX(ERP資料!$G:$G, (MATCH(1011, 輔助計算!$G$2:$G$801, 0)+1))&lt;=790,3,IF(INDEX(ERP資料!$G:$G, (MATCH(1011, 輔助計算!$G$2:$G$801, 0)+1))&lt;=1181,2,1)))=2,TEXT(INDEX(ERP資料!$G:$G, (MATCH(1011, 輔助計算!$G$2:$G$801, 0)+1)),"0.##")&amp;"+"&amp;TEXT(INDEX(ERP資料!$G:$G, (MATCH(1011, 輔助計算!$G$2:$G$801, 0)+1)),"0.##"),TEXT(INDEX(ERP資料!$G:$G, (MATCH(1011, 輔助計算!$G$2:$G$801, 0)+1)),"0.##")&amp;"+"&amp;TEXT(INDEX(ERP資料!$G:$G, (MATCH(1011, 輔助計算!$G$2:$G$801, 0)+1)),"0.##")&amp;"+"&amp;TEXT(INDEX(ERP資料!$G:$G, (MATCH(1011, 輔助計算!$G$2:$G$801, 0)+1)),"0.##")))&amp;"-"&amp;INT(INDEX(輔助計算!$D:$D, (MATCH(1011, 輔助計算!$G$2:$G$801, 0)+1))/IF(INDEX(ERP資料!$G:$G, (MATCH(1011, 輔助計算!$G$2:$G$801, 0)+1))&lt;100, IF(INDEX(ERP資料!$G:$G, (MATCH(1011, 輔助計算!$G$2:$G$801, 0)+1))&lt;=31,3,IF(INDEX(ERP資料!$G:$G, (MATCH(1011, 輔助計算!$G$2:$G$801, 0)+1))&lt;=46.5,2,1)), IF(INDEX(ERP資料!$G:$G, (MATCH(1011, 輔助計算!$G$2:$G$801, 0)+1))&lt;=790,3,IF(INDEX(ERP資料!$G:$G, (MATCH(1011, 輔助計算!$G$2:$G$801, 0)+1))&lt;=1181,2,1)))), "")&amp;IF(AND(IF(INT(INDEX(輔助計算!$D:$D, (MATCH(1011, 輔助計算!$G$2:$G$801, 0)+1))/IF(INDEX(ERP資料!$G:$G, (MATCH(1011, 輔助計算!$G$2:$G$801, 0)+1))&lt;100, IF(INDEX(ERP資料!$G:$G, (MATCH(1011, 輔助計算!$G$2:$G$801, 0)+1))&lt;=31,3,IF(INDEX(ERP資料!$G:$G, (MATCH(1011, 輔助計算!$G$2:$G$801, 0)+1))&lt;=46.5,2,1)), IF(INDEX(ERP資料!$G:$G, (MATCH(1011, 輔助計算!$G$2:$G$801, 0)+1))&lt;=790,3,IF(INDEX(ERP資料!$G:$G, (MATCH(1011, 輔助計算!$G$2:$G$801, 0)+1))&lt;=1181,2,1))))&gt;0, IF(IF(INDEX(ERP資料!$G:$G, (MATCH(1011, 輔助計算!$G$2:$G$801, 0)+1))&lt;100, IF(INDEX(ERP資料!$G:$G, (MATCH(1011, 輔助計算!$G$2:$G$801, 0)+1))&lt;=31,3,IF(INDEX(ERP資料!$G:$G, (MATCH(1011, 輔助計算!$G$2:$G$801, 0)+1))&lt;=46.5,2,1)), IF(INDEX(ERP資料!$G:$G, (MATCH(1011, 輔助計算!$G$2:$G$801, 0)+1))&lt;=790,3,IF(INDEX(ERP資料!$G:$G, (MATCH(1011, 輔助計算!$G$2:$G$801, 0)+1))&lt;=1181,2,1)))=1,TEXT(INDEX(ERP資料!$G:$G, (MATCH(1011, 輔助計算!$G$2:$G$801, 0)+1)),"0.##"),IF(IF(INDEX(ERP資料!$G:$G, (MATCH(1011, 輔助計算!$G$2:$G$801, 0)+1))&lt;100, IF(INDEX(ERP資料!$G:$G, (MATCH(1011, 輔助計算!$G$2:$G$801, 0)+1))&lt;=31,3,IF(INDEX(ERP資料!$G:$G, (MATCH(1011, 輔助計算!$G$2:$G$801, 0)+1))&lt;=46.5,2,1)), IF(INDEX(ERP資料!$G:$G, (MATCH(1011, 輔助計算!$G$2:$G$801, 0)+1))&lt;=790,3,IF(INDEX(ERP資料!$G:$G, (MATCH(1011, 輔助計算!$G$2:$G$801, 0)+1))&lt;=1181,2,1)))=2,TEXT(INDEX(ERP資料!$G:$G, (MATCH(1011, 輔助計算!$G$2:$G$801, 0)+1)),"0.##")&amp;"+"&amp;TEXT(INDEX(ERP資料!$G:$G, (MATCH(1011, 輔助計算!$G$2:$G$801, 0)+1)),"0.##"),TEXT(INDEX(ERP資料!$G:$G, (MATCH(1011, 輔助計算!$G$2:$G$801, 0)+1)),"0.##")&amp;"+"&amp;TEXT(INDEX(ERP資料!$G:$G, (MATCH(1011, 輔助計算!$G$2:$G$801, 0)+1)),"0.##")&amp;"+"&amp;TEXT(INDEX(ERP資料!$G:$G, (MATCH(1011, 輔助計算!$G$2:$G$801, 0)+1)),"0.##")))&amp;"-"&amp;INT(INDEX(輔助計算!$D:$D, (MATCH(1011, 輔助計算!$G$2:$G$801, 0)+1))/IF(INDEX(ERP資料!$G:$G, (MATCH(1011, 輔助計算!$G$2:$G$801, 0)+1))&lt;100, IF(INDEX(ERP資料!$G:$G, (MATCH(1011, 輔助計算!$G$2:$G$801, 0)+1))&lt;=31,3,IF(INDEX(ERP資料!$G:$G, (MATCH(1011, 輔助計算!$G$2:$G$801, 0)+1))&lt;=46.5,2,1)), IF(INDEX(ERP資料!$G:$G, (MATCH(1011, 輔助計算!$G$2:$G$801, 0)+1))&lt;=790,3,IF(INDEX(ERP資料!$G:$G, (MATCH(1011, 輔助計算!$G$2:$G$801, 0)+1))&lt;=1181,2,1)))), "")&lt;&gt;"",IF(MOD(INDEX(輔助計算!$D:$D, (MATCH(1011, 輔助計算!$G$2:$G$801, 0)+1)),IF(INDEX(ERP資料!$G:$G, (MATCH(1011, 輔助計算!$G$2:$G$801, 0)+1))&lt;100, IF(INDEX(ERP資料!$G:$G, (MATCH(1011, 輔助計算!$G$2:$G$801, 0)+1))&lt;=31,3,IF(INDEX(ERP資料!$G:$G, (MATCH(1011, 輔助計算!$G$2:$G$801, 0)+1))&lt;=46.5,2,1)), IF(INDEX(ERP資料!$G:$G, (MATCH(1011, 輔助計算!$G$2:$G$801, 0)+1))&lt;=790,3,IF(INDEX(ERP資料!$G:$G, (MATCH(1011, 輔助計算!$G$2:$G$801, 0)+1))&lt;=1181,2,1))))=0,"",IF(MOD(INDEX(輔助計算!$D:$D, (MATCH(1011, 輔助計算!$G$2:$G$801, 0)+1)),IF(INDEX(ERP資料!$G:$G, (MATCH(1011, 輔助計算!$G$2:$G$801, 0)+1))&lt;100, IF(INDEX(ERP資料!$G:$G, (MATCH(1011, 輔助計算!$G$2:$G$801, 0)+1))&lt;=31,3,IF(INDEX(ERP資料!$G:$G, (MATCH(1011, 輔助計算!$G$2:$G$801, 0)+1))&lt;=46.5,2,1)), IF(INDEX(ERP資料!$G:$G, (MATCH(1011, 輔助計算!$G$2:$G$801, 0)+1))&lt;=790,3,IF(INDEX(ERP資料!$G:$G, (MATCH(1011, 輔助計算!$G$2:$G$801, 0)+1))&lt;=1181,2,1))))=0,"",IF(MOD(INDEX(輔助計算!$D:$D, (MATCH(1011, 輔助計算!$G$2:$G$801, 0)+1)),IF(INDEX(ERP資料!$G:$G, (MATCH(1011, 輔助計算!$G$2:$G$801, 0)+1))&lt;100, IF(INDEX(ERP資料!$G:$G, (MATCH(1011, 輔助計算!$G$2:$G$801, 0)+1))&lt;=31,3,IF(INDEX(ERP資料!$G:$G, (MATCH(1011, 輔助計算!$G$2:$G$801, 0)+1))&lt;=46.5,2,1)), IF(INDEX(ERP資料!$G:$G, (MATCH(1011, 輔助計算!$G$2:$G$801, 0)+1))&lt;=790,3,IF(INDEX(ERP資料!$G:$G, (MATCH(1011, 輔助計算!$G$2:$G$801, 0)+1))&lt;=1181,2,1))))=1,TEXT(INDEX(ERP資料!$G:$G, (MATCH(1011, 輔助計算!$G$2:$G$801, 0)+1)),"0.##"),IF(MOD(INDEX(輔助計算!$D:$D, (MATCH(1011, 輔助計算!$G$2:$G$801, 0)+1)),IF(INDEX(ERP資料!$G:$G, (MATCH(1011, 輔助計算!$G$2:$G$801, 0)+1))&lt;100, IF(INDEX(ERP資料!$G:$G, (MATCH(1011, 輔助計算!$G$2:$G$801, 0)+1))&lt;=31,3,IF(INDEX(ERP資料!$G:$G, (MATCH(1011, 輔助計算!$G$2:$G$801, 0)+1))&lt;=46.5,2,1)), IF(INDEX(ERP資料!$G:$G, (MATCH(1011, 輔助計算!$G$2:$G$801, 0)+1))&lt;=790,3,IF(INDEX(ERP資料!$G:$G, (MATCH(1011, 輔助計算!$G$2:$G$801, 0)+1))&lt;=1181,2,1))))=2,TEXT(INDEX(ERP資料!$G:$G, (MATCH(1011, 輔助計算!$G$2:$G$801, 0)+1)),"0.##")&amp;"+"&amp;TEXT(INDEX(ERP資料!$G:$G, (MATCH(1011, 輔助計算!$G$2:$G$801, 0)+1)),"0.##"),TEXT(INDEX(ERP資料!$G:$G, (MATCH(1011, 輔助計算!$G$2:$G$801, 0)+1)),"0.##")&amp;"+"&amp;TEXT(INDEX(ERP資料!$G:$G, (MATCH(1011, 輔助計算!$G$2:$G$801, 0)+1)),"0.##")&amp;"+"&amp;TEXT(INDEX(ERP資料!$G:$G, (MATCH(1011, 輔助計算!$G$2:$G$801, 0)+1)),"0.##"))))&amp;"-1")&lt;&gt;""),"  ","")&amp;IF(MOD(INDEX(輔助計算!$D:$D, (MATCH(1011, 輔助計算!$G$2:$G$801, 0)+1)),IF(INDEX(ERP資料!$G:$G, (MATCH(1011, 輔助計算!$G$2:$G$801, 0)+1))&lt;100, IF(INDEX(ERP資料!$G:$G, (MATCH(1011, 輔助計算!$G$2:$G$801, 0)+1))&lt;=31,3,IF(INDEX(ERP資料!$G:$G, (MATCH(1011, 輔助計算!$G$2:$G$801, 0)+1))&lt;=46.5,2,1)), IF(INDEX(ERP資料!$G:$G, (MATCH(1011, 輔助計算!$G$2:$G$801, 0)+1))&lt;=790,3,IF(INDEX(ERP資料!$G:$G, (MATCH(1011, 輔助計算!$G$2:$G$801, 0)+1))&lt;=1181,2,1))))=0,"",IF(MOD(INDEX(輔助計算!$D:$D, (MATCH(1011, 輔助計算!$G$2:$G$801, 0)+1)),IF(INDEX(ERP資料!$G:$G, (MATCH(1011, 輔助計算!$G$2:$G$801, 0)+1))&lt;100, IF(INDEX(ERP資料!$G:$G, (MATCH(1011, 輔助計算!$G$2:$G$801, 0)+1))&lt;=31,3,IF(INDEX(ERP資料!$G:$G, (MATCH(1011, 輔助計算!$G$2:$G$801, 0)+1))&lt;=46.5,2,1)), IF(INDEX(ERP資料!$G:$G, (MATCH(1011, 輔助計算!$G$2:$G$801, 0)+1))&lt;=790,3,IF(INDEX(ERP資料!$G:$G, (MATCH(1011, 輔助計算!$G$2:$G$801, 0)+1))&lt;=1181,2,1))))=0,"",IF(MOD(INDEX(輔助計算!$D:$D, (MATCH(1011, 輔助計算!$G$2:$G$801, 0)+1)),IF(INDEX(ERP資料!$G:$G, (MATCH(1011, 輔助計算!$G$2:$G$801, 0)+1))&lt;100, IF(INDEX(ERP資料!$G:$G, (MATCH(1011, 輔助計算!$G$2:$G$801, 0)+1))&lt;=31,3,IF(INDEX(ERP資料!$G:$G, (MATCH(1011, 輔助計算!$G$2:$G$801, 0)+1))&lt;=46.5,2,1)), IF(INDEX(ERP資料!$G:$G, (MATCH(1011, 輔助計算!$G$2:$G$801, 0)+1))&lt;=790,3,IF(INDEX(ERP資料!$G:$G, (MATCH(1011, 輔助計算!$G$2:$G$801, 0)+1))&lt;=1181,2,1))))=1,TEXT(INDEX(ERP資料!$G:$G, (MATCH(1011, 輔助計算!$G$2:$G$801, 0)+1)),"0.##"),IF(MOD(INDEX(輔助計算!$D:$D, (MATCH(1011, 輔助計算!$G$2:$G$801, 0)+1)),IF(INDEX(ERP資料!$G:$G, (MATCH(1011, 輔助計算!$G$2:$G$801, 0)+1))&lt;100, IF(INDEX(ERP資料!$G:$G, (MATCH(1011, 輔助計算!$G$2:$G$801, 0)+1))&lt;=31,3,IF(INDEX(ERP資料!$G:$G, (MATCH(1011, 輔助計算!$G$2:$G$801, 0)+1))&lt;=46.5,2,1)), IF(INDEX(ERP資料!$G:$G, (MATCH(1011, 輔助計算!$G$2:$G$801, 0)+1))&lt;=790,3,IF(INDEX(ERP資料!$G:$G, (MATCH(1011, 輔助計算!$G$2:$G$801, 0)+1))&lt;=1181,2,1))))=2,TEXT(INDEX(ERP資料!$G:$G, (MATCH(1011, 輔助計算!$G$2:$G$801, 0)+1)),"0.##")&amp;"+"&amp;TEXT(INDEX(ERP資料!$G:$G, (MATCH(1011, 輔助計算!$G$2:$G$801, 0)+1)),"0.##"),TEXT(INDEX(ERP資料!$G:$G, (MATCH(1011, 輔助計算!$G$2:$G$801, 0)+1)),"0.##")&amp;"+"&amp;TEXT(INDEX(ERP資料!$G:$G, (MATCH(1011, 輔助計算!$G$2:$G$801, 0)+1)),"0.##")&amp;"+"&amp;TEXT(INDEX(ERP資料!$G:$G, (MATCH(1011, 輔助計算!$G$2:$G$801, 0)+1)),"0.##"))))&amp;"-1")), ""), "")</f>
        <v/>
      </c>
      <c r="K1012" s="16" t="n"/>
      <c r="L1012" s="14">
        <f>IFERROR(IF(AND(IFERROR(INDEX(ERP資料!$A:$A, (MATCH(1011, 輔助計算!$G$2:$G$801, 0)+1)), "")&lt;&gt;"", IFERROR(INDEX(ERP資料!$A:$A, (MATCH(1011, 輔助計算!$G$2:$G$801, 0)+1)), "")&lt;&gt;IFERROR(INDEX(ERP資料!$A:$A, MATCH(1010, 輔助計算!$G$2:$G$801, 0)+1), "")), INDEX(ERP資料!$B:$B, (MATCH(1011, 輔助計算!$G$2:$G$801, 0)+1)), ""), "")</f>
        <v/>
      </c>
      <c r="M1012" s="17" t="n"/>
    </row>
    <row r="1013">
      <c r="A1013" s="10">
        <f>IFERROR(IF(AND(IFERROR(INDEX(ERP資料!$A:$A, (MATCH(1012, 輔助計算!$G$2:$G$801, 0)+1)), "")&lt;&gt;"", IFERROR(INDEX(ERP資料!$A:$A, (MATCH(1012, 輔助計算!$G$2:$G$801, 0)+1)), "")&lt;&gt;IFERROR(INDEX(ERP資料!$A:$A, MATCH(1011, 輔助計算!$G$2:$G$801, 0)+1), "")), IFERROR(INDEX(ERP資料!$A:$A, (MATCH(1012, 輔助計算!$G$2:$G$801, 0)+1)), ""), ""), "")</f>
        <v/>
      </c>
      <c r="B1013" s="10">
        <f>IFERROR(IF(AND(IFERROR(INDEX(ERP資料!$A:$A, (MATCH(1012, 輔助計算!$G$2:$G$801, 0)+1)), "")&lt;&gt;"", IFERROR(INDEX(ERP資料!$A:$A, (MATCH(1012, 輔助計算!$G$2:$G$801, 0)+1)), "")&lt;&gt;IFERROR(INDEX(ERP資料!$A:$A, MATCH(1011, 輔助計算!$G$2:$G$801, 0)+1), "")), INDEX(ERP資料!$S:$S, (MATCH(1012, 輔助計算!$G$2:$G$801, 0)+1)), ""), "")</f>
        <v/>
      </c>
      <c r="C1013" s="19">
        <f>IFERROR(IF(AND(IFERROR(INDEX(ERP資料!$A:$A, (MATCH(1012, 輔助計算!$G$2:$G$801, 0)+1)), "")&lt;&gt;"", IFERROR(INDEX(ERP資料!$A:$A, (MATCH(1012, 輔助計算!$G$2:$G$801, 0)+1)), "")&lt;&gt;IFERROR(INDEX(ERP資料!$A:$A, MATCH(1011, 輔助計算!$G$2:$G$801, 0)+1), "")), IFERROR(VLOOKUP(LEFT(INDEX(ERP資料!$S:$S, (MATCH(1012, 輔助計算!$G$2:$G$801, 0)+1)), 4), 紙管對照表!$A:$C, 3, FALSE), ""), ""), "")</f>
        <v/>
      </c>
      <c r="D1013" s="16" t="n"/>
      <c r="E1013" s="10">
        <f>IFERROR(IF(INDEX(ERP資料!$H:$H, (MATCH(1012, 輔助計算!$G$2:$G$801, 0)+1))="","",INDEX(ERP資料!$H:$H, (MATCH(1012, 輔助計算!$G$2:$G$801, 0)+1))), "")</f>
        <v/>
      </c>
      <c r="F1013" s="10">
        <f>IFERROR(IF(INDEX(ERP資料!$E:$E, (MATCH(1012, 輔助計算!$G$2:$G$801, 0)+1))="","",TRIM(INDEX(ERP資料!$E:$E, (MATCH(1012, 輔助計算!$G$2:$G$801, 0)+1)))), "")</f>
        <v/>
      </c>
      <c r="G1013" s="10">
        <f>IFERROR(IF(INDEX(ERP資料!$F:$F, (MATCH(1012, 輔助計算!$G$2:$G$801, 0)+1))="","",INDEX(ERP資料!$F:$F, (MATCH(1012, 輔助計算!$G$2:$G$801, 0)+1))), "")</f>
        <v/>
      </c>
      <c r="H1013" s="10">
        <f>IFERROR(IF(INDEX(ERP資料!$G:$G, (MATCH(1012, 輔助計算!$G$2:$G$801, 0)+1))="","",INDEX(ERP資料!$G:$G, (MATCH(1012, 輔助計算!$G$2:$G$801, 0)+1))), "")</f>
        <v/>
      </c>
      <c r="I1013" s="15">
        <f>IFERROR(INDEX(輔助計算!$D:$D, (MATCH(1012, 輔助計算!$G$2:$G$801, 0)+1)), "")</f>
        <v/>
      </c>
      <c r="J1013" s="15">
        <f>IFERROR(IF(AND(INDEX(輔助計算!$D:$D, (MATCH(1012, 輔助計算!$G$2:$G$801, 0)+1))&lt;&gt;"", INDEX(ERP資料!$G:$G, (MATCH(1012, 輔助計算!$G$2:$G$801, 0)+1))&lt;&gt;""), TRIM(IF(INT(INDEX(輔助計算!$D:$D, (MATCH(1012, 輔助計算!$G$2:$G$801, 0)+1))/IF(INDEX(ERP資料!$G:$G, (MATCH(1012, 輔助計算!$G$2:$G$801, 0)+1))&lt;100, IF(INDEX(ERP資料!$G:$G, (MATCH(1012, 輔助計算!$G$2:$G$801, 0)+1))&lt;=31,3,IF(INDEX(ERP資料!$G:$G, (MATCH(1012, 輔助計算!$G$2:$G$801, 0)+1))&lt;=46.5,2,1)), IF(INDEX(ERP資料!$G:$G, (MATCH(1012, 輔助計算!$G$2:$G$801, 0)+1))&lt;=790,3,IF(INDEX(ERP資料!$G:$G, (MATCH(1012, 輔助計算!$G$2:$G$801, 0)+1))&lt;=1181,2,1))))&gt;0, IF(IF(INDEX(ERP資料!$G:$G, (MATCH(1012, 輔助計算!$G$2:$G$801, 0)+1))&lt;100, IF(INDEX(ERP資料!$G:$G, (MATCH(1012, 輔助計算!$G$2:$G$801, 0)+1))&lt;=31,3,IF(INDEX(ERP資料!$G:$G, (MATCH(1012, 輔助計算!$G$2:$G$801, 0)+1))&lt;=46.5,2,1)), IF(INDEX(ERP資料!$G:$G, (MATCH(1012, 輔助計算!$G$2:$G$801, 0)+1))&lt;=790,3,IF(INDEX(ERP資料!$G:$G, (MATCH(1012, 輔助計算!$G$2:$G$801, 0)+1))&lt;=1181,2,1)))=1,TEXT(INDEX(ERP資料!$G:$G, (MATCH(1012, 輔助計算!$G$2:$G$801, 0)+1)),"0.##"),IF(IF(INDEX(ERP資料!$G:$G, (MATCH(1012, 輔助計算!$G$2:$G$801, 0)+1))&lt;100, IF(INDEX(ERP資料!$G:$G, (MATCH(1012, 輔助計算!$G$2:$G$801, 0)+1))&lt;=31,3,IF(INDEX(ERP資料!$G:$G, (MATCH(1012, 輔助計算!$G$2:$G$801, 0)+1))&lt;=46.5,2,1)), IF(INDEX(ERP資料!$G:$G, (MATCH(1012, 輔助計算!$G$2:$G$801, 0)+1))&lt;=790,3,IF(INDEX(ERP資料!$G:$G, (MATCH(1012, 輔助計算!$G$2:$G$801, 0)+1))&lt;=1181,2,1)))=2,TEXT(INDEX(ERP資料!$G:$G, (MATCH(1012, 輔助計算!$G$2:$G$801, 0)+1)),"0.##")&amp;"+"&amp;TEXT(INDEX(ERP資料!$G:$G, (MATCH(1012, 輔助計算!$G$2:$G$801, 0)+1)),"0.##"),TEXT(INDEX(ERP資料!$G:$G, (MATCH(1012, 輔助計算!$G$2:$G$801, 0)+1)),"0.##")&amp;"+"&amp;TEXT(INDEX(ERP資料!$G:$G, (MATCH(1012, 輔助計算!$G$2:$G$801, 0)+1)),"0.##")&amp;"+"&amp;TEXT(INDEX(ERP資料!$G:$G, (MATCH(1012, 輔助計算!$G$2:$G$801, 0)+1)),"0.##")))&amp;"-"&amp;INT(INDEX(輔助計算!$D:$D, (MATCH(1012, 輔助計算!$G$2:$G$801, 0)+1))/IF(INDEX(ERP資料!$G:$G, (MATCH(1012, 輔助計算!$G$2:$G$801, 0)+1))&lt;100, IF(INDEX(ERP資料!$G:$G, (MATCH(1012, 輔助計算!$G$2:$G$801, 0)+1))&lt;=31,3,IF(INDEX(ERP資料!$G:$G, (MATCH(1012, 輔助計算!$G$2:$G$801, 0)+1))&lt;=46.5,2,1)), IF(INDEX(ERP資料!$G:$G, (MATCH(1012, 輔助計算!$G$2:$G$801, 0)+1))&lt;=790,3,IF(INDEX(ERP資料!$G:$G, (MATCH(1012, 輔助計算!$G$2:$G$801, 0)+1))&lt;=1181,2,1)))), "")&amp;IF(AND(IF(INT(INDEX(輔助計算!$D:$D, (MATCH(1012, 輔助計算!$G$2:$G$801, 0)+1))/IF(INDEX(ERP資料!$G:$G, (MATCH(1012, 輔助計算!$G$2:$G$801, 0)+1))&lt;100, IF(INDEX(ERP資料!$G:$G, (MATCH(1012, 輔助計算!$G$2:$G$801, 0)+1))&lt;=31,3,IF(INDEX(ERP資料!$G:$G, (MATCH(1012, 輔助計算!$G$2:$G$801, 0)+1))&lt;=46.5,2,1)), IF(INDEX(ERP資料!$G:$G, (MATCH(1012, 輔助計算!$G$2:$G$801, 0)+1))&lt;=790,3,IF(INDEX(ERP資料!$G:$G, (MATCH(1012, 輔助計算!$G$2:$G$801, 0)+1))&lt;=1181,2,1))))&gt;0, IF(IF(INDEX(ERP資料!$G:$G, (MATCH(1012, 輔助計算!$G$2:$G$801, 0)+1))&lt;100, IF(INDEX(ERP資料!$G:$G, (MATCH(1012, 輔助計算!$G$2:$G$801, 0)+1))&lt;=31,3,IF(INDEX(ERP資料!$G:$G, (MATCH(1012, 輔助計算!$G$2:$G$801, 0)+1))&lt;=46.5,2,1)), IF(INDEX(ERP資料!$G:$G, (MATCH(1012, 輔助計算!$G$2:$G$801, 0)+1))&lt;=790,3,IF(INDEX(ERP資料!$G:$G, (MATCH(1012, 輔助計算!$G$2:$G$801, 0)+1))&lt;=1181,2,1)))=1,TEXT(INDEX(ERP資料!$G:$G, (MATCH(1012, 輔助計算!$G$2:$G$801, 0)+1)),"0.##"),IF(IF(INDEX(ERP資料!$G:$G, (MATCH(1012, 輔助計算!$G$2:$G$801, 0)+1))&lt;100, IF(INDEX(ERP資料!$G:$G, (MATCH(1012, 輔助計算!$G$2:$G$801, 0)+1))&lt;=31,3,IF(INDEX(ERP資料!$G:$G, (MATCH(1012, 輔助計算!$G$2:$G$801, 0)+1))&lt;=46.5,2,1)), IF(INDEX(ERP資料!$G:$G, (MATCH(1012, 輔助計算!$G$2:$G$801, 0)+1))&lt;=790,3,IF(INDEX(ERP資料!$G:$G, (MATCH(1012, 輔助計算!$G$2:$G$801, 0)+1))&lt;=1181,2,1)))=2,TEXT(INDEX(ERP資料!$G:$G, (MATCH(1012, 輔助計算!$G$2:$G$801, 0)+1)),"0.##")&amp;"+"&amp;TEXT(INDEX(ERP資料!$G:$G, (MATCH(1012, 輔助計算!$G$2:$G$801, 0)+1)),"0.##"),TEXT(INDEX(ERP資料!$G:$G, (MATCH(1012, 輔助計算!$G$2:$G$801, 0)+1)),"0.##")&amp;"+"&amp;TEXT(INDEX(ERP資料!$G:$G, (MATCH(1012, 輔助計算!$G$2:$G$801, 0)+1)),"0.##")&amp;"+"&amp;TEXT(INDEX(ERP資料!$G:$G, (MATCH(1012, 輔助計算!$G$2:$G$801, 0)+1)),"0.##")))&amp;"-"&amp;INT(INDEX(輔助計算!$D:$D, (MATCH(1012, 輔助計算!$G$2:$G$801, 0)+1))/IF(INDEX(ERP資料!$G:$G, (MATCH(1012, 輔助計算!$G$2:$G$801, 0)+1))&lt;100, IF(INDEX(ERP資料!$G:$G, (MATCH(1012, 輔助計算!$G$2:$G$801, 0)+1))&lt;=31,3,IF(INDEX(ERP資料!$G:$G, (MATCH(1012, 輔助計算!$G$2:$G$801, 0)+1))&lt;=46.5,2,1)), IF(INDEX(ERP資料!$G:$G, (MATCH(1012, 輔助計算!$G$2:$G$801, 0)+1))&lt;=790,3,IF(INDEX(ERP資料!$G:$G, (MATCH(1012, 輔助計算!$G$2:$G$801, 0)+1))&lt;=1181,2,1)))), "")&lt;&gt;"",IF(MOD(INDEX(輔助計算!$D:$D, (MATCH(1012, 輔助計算!$G$2:$G$801, 0)+1)),IF(INDEX(ERP資料!$G:$G, (MATCH(1012, 輔助計算!$G$2:$G$801, 0)+1))&lt;100, IF(INDEX(ERP資料!$G:$G, (MATCH(1012, 輔助計算!$G$2:$G$801, 0)+1))&lt;=31,3,IF(INDEX(ERP資料!$G:$G, (MATCH(1012, 輔助計算!$G$2:$G$801, 0)+1))&lt;=46.5,2,1)), IF(INDEX(ERP資料!$G:$G, (MATCH(1012, 輔助計算!$G$2:$G$801, 0)+1))&lt;=790,3,IF(INDEX(ERP資料!$G:$G, (MATCH(1012, 輔助計算!$G$2:$G$801, 0)+1))&lt;=1181,2,1))))=0,"",IF(MOD(INDEX(輔助計算!$D:$D, (MATCH(1012, 輔助計算!$G$2:$G$801, 0)+1)),IF(INDEX(ERP資料!$G:$G, (MATCH(1012, 輔助計算!$G$2:$G$801, 0)+1))&lt;100, IF(INDEX(ERP資料!$G:$G, (MATCH(1012, 輔助計算!$G$2:$G$801, 0)+1))&lt;=31,3,IF(INDEX(ERP資料!$G:$G, (MATCH(1012, 輔助計算!$G$2:$G$801, 0)+1))&lt;=46.5,2,1)), IF(INDEX(ERP資料!$G:$G, (MATCH(1012, 輔助計算!$G$2:$G$801, 0)+1))&lt;=790,3,IF(INDEX(ERP資料!$G:$G, (MATCH(1012, 輔助計算!$G$2:$G$801, 0)+1))&lt;=1181,2,1))))=0,"",IF(MOD(INDEX(輔助計算!$D:$D, (MATCH(1012, 輔助計算!$G$2:$G$801, 0)+1)),IF(INDEX(ERP資料!$G:$G, (MATCH(1012, 輔助計算!$G$2:$G$801, 0)+1))&lt;100, IF(INDEX(ERP資料!$G:$G, (MATCH(1012, 輔助計算!$G$2:$G$801, 0)+1))&lt;=31,3,IF(INDEX(ERP資料!$G:$G, (MATCH(1012, 輔助計算!$G$2:$G$801, 0)+1))&lt;=46.5,2,1)), IF(INDEX(ERP資料!$G:$G, (MATCH(1012, 輔助計算!$G$2:$G$801, 0)+1))&lt;=790,3,IF(INDEX(ERP資料!$G:$G, (MATCH(1012, 輔助計算!$G$2:$G$801, 0)+1))&lt;=1181,2,1))))=1,TEXT(INDEX(ERP資料!$G:$G, (MATCH(1012, 輔助計算!$G$2:$G$801, 0)+1)),"0.##"),IF(MOD(INDEX(輔助計算!$D:$D, (MATCH(1012, 輔助計算!$G$2:$G$801, 0)+1)),IF(INDEX(ERP資料!$G:$G, (MATCH(1012, 輔助計算!$G$2:$G$801, 0)+1))&lt;100, IF(INDEX(ERP資料!$G:$G, (MATCH(1012, 輔助計算!$G$2:$G$801, 0)+1))&lt;=31,3,IF(INDEX(ERP資料!$G:$G, (MATCH(1012, 輔助計算!$G$2:$G$801, 0)+1))&lt;=46.5,2,1)), IF(INDEX(ERP資料!$G:$G, (MATCH(1012, 輔助計算!$G$2:$G$801, 0)+1))&lt;=790,3,IF(INDEX(ERP資料!$G:$G, (MATCH(1012, 輔助計算!$G$2:$G$801, 0)+1))&lt;=1181,2,1))))=2,TEXT(INDEX(ERP資料!$G:$G, (MATCH(1012, 輔助計算!$G$2:$G$801, 0)+1)),"0.##")&amp;"+"&amp;TEXT(INDEX(ERP資料!$G:$G, (MATCH(1012, 輔助計算!$G$2:$G$801, 0)+1)),"0.##"),TEXT(INDEX(ERP資料!$G:$G, (MATCH(1012, 輔助計算!$G$2:$G$801, 0)+1)),"0.##")&amp;"+"&amp;TEXT(INDEX(ERP資料!$G:$G, (MATCH(1012, 輔助計算!$G$2:$G$801, 0)+1)),"0.##")&amp;"+"&amp;TEXT(INDEX(ERP資料!$G:$G, (MATCH(1012, 輔助計算!$G$2:$G$801, 0)+1)),"0.##"))))&amp;"-1")&lt;&gt;""),"  ","")&amp;IF(MOD(INDEX(輔助計算!$D:$D, (MATCH(1012, 輔助計算!$G$2:$G$801, 0)+1)),IF(INDEX(ERP資料!$G:$G, (MATCH(1012, 輔助計算!$G$2:$G$801, 0)+1))&lt;100, IF(INDEX(ERP資料!$G:$G, (MATCH(1012, 輔助計算!$G$2:$G$801, 0)+1))&lt;=31,3,IF(INDEX(ERP資料!$G:$G, (MATCH(1012, 輔助計算!$G$2:$G$801, 0)+1))&lt;=46.5,2,1)), IF(INDEX(ERP資料!$G:$G, (MATCH(1012, 輔助計算!$G$2:$G$801, 0)+1))&lt;=790,3,IF(INDEX(ERP資料!$G:$G, (MATCH(1012, 輔助計算!$G$2:$G$801, 0)+1))&lt;=1181,2,1))))=0,"",IF(MOD(INDEX(輔助計算!$D:$D, (MATCH(1012, 輔助計算!$G$2:$G$801, 0)+1)),IF(INDEX(ERP資料!$G:$G, (MATCH(1012, 輔助計算!$G$2:$G$801, 0)+1))&lt;100, IF(INDEX(ERP資料!$G:$G, (MATCH(1012, 輔助計算!$G$2:$G$801, 0)+1))&lt;=31,3,IF(INDEX(ERP資料!$G:$G, (MATCH(1012, 輔助計算!$G$2:$G$801, 0)+1))&lt;=46.5,2,1)), IF(INDEX(ERP資料!$G:$G, (MATCH(1012, 輔助計算!$G$2:$G$801, 0)+1))&lt;=790,3,IF(INDEX(ERP資料!$G:$G, (MATCH(1012, 輔助計算!$G$2:$G$801, 0)+1))&lt;=1181,2,1))))=0,"",IF(MOD(INDEX(輔助計算!$D:$D, (MATCH(1012, 輔助計算!$G$2:$G$801, 0)+1)),IF(INDEX(ERP資料!$G:$G, (MATCH(1012, 輔助計算!$G$2:$G$801, 0)+1))&lt;100, IF(INDEX(ERP資料!$G:$G, (MATCH(1012, 輔助計算!$G$2:$G$801, 0)+1))&lt;=31,3,IF(INDEX(ERP資料!$G:$G, (MATCH(1012, 輔助計算!$G$2:$G$801, 0)+1))&lt;=46.5,2,1)), IF(INDEX(ERP資料!$G:$G, (MATCH(1012, 輔助計算!$G$2:$G$801, 0)+1))&lt;=790,3,IF(INDEX(ERP資料!$G:$G, (MATCH(1012, 輔助計算!$G$2:$G$801, 0)+1))&lt;=1181,2,1))))=1,TEXT(INDEX(ERP資料!$G:$G, (MATCH(1012, 輔助計算!$G$2:$G$801, 0)+1)),"0.##"),IF(MOD(INDEX(輔助計算!$D:$D, (MATCH(1012, 輔助計算!$G$2:$G$801, 0)+1)),IF(INDEX(ERP資料!$G:$G, (MATCH(1012, 輔助計算!$G$2:$G$801, 0)+1))&lt;100, IF(INDEX(ERP資料!$G:$G, (MATCH(1012, 輔助計算!$G$2:$G$801, 0)+1))&lt;=31,3,IF(INDEX(ERP資料!$G:$G, (MATCH(1012, 輔助計算!$G$2:$G$801, 0)+1))&lt;=46.5,2,1)), IF(INDEX(ERP資料!$G:$G, (MATCH(1012, 輔助計算!$G$2:$G$801, 0)+1))&lt;=790,3,IF(INDEX(ERP資料!$G:$G, (MATCH(1012, 輔助計算!$G$2:$G$801, 0)+1))&lt;=1181,2,1))))=2,TEXT(INDEX(ERP資料!$G:$G, (MATCH(1012, 輔助計算!$G$2:$G$801, 0)+1)),"0.##")&amp;"+"&amp;TEXT(INDEX(ERP資料!$G:$G, (MATCH(1012, 輔助計算!$G$2:$G$801, 0)+1)),"0.##"),TEXT(INDEX(ERP資料!$G:$G, (MATCH(1012, 輔助計算!$G$2:$G$801, 0)+1)),"0.##")&amp;"+"&amp;TEXT(INDEX(ERP資料!$G:$G, (MATCH(1012, 輔助計算!$G$2:$G$801, 0)+1)),"0.##")&amp;"+"&amp;TEXT(INDEX(ERP資料!$G:$G, (MATCH(1012, 輔助計算!$G$2:$G$801, 0)+1)),"0.##"))))&amp;"-1")), ""), "")</f>
        <v/>
      </c>
      <c r="K1013" s="16" t="n"/>
      <c r="L1013" s="14">
        <f>IFERROR(IF(AND(IFERROR(INDEX(ERP資料!$A:$A, (MATCH(1012, 輔助計算!$G$2:$G$801, 0)+1)), "")&lt;&gt;"", IFERROR(INDEX(ERP資料!$A:$A, (MATCH(1012, 輔助計算!$G$2:$G$801, 0)+1)), "")&lt;&gt;IFERROR(INDEX(ERP資料!$A:$A, MATCH(1011, 輔助計算!$G$2:$G$801, 0)+1), "")), INDEX(ERP資料!$B:$B, (MATCH(1012, 輔助計算!$G$2:$G$801, 0)+1)), ""), "")</f>
        <v/>
      </c>
      <c r="M1013" s="17" t="n"/>
    </row>
    <row r="1014">
      <c r="A1014" s="10">
        <f>IFERROR(IF(AND(IFERROR(INDEX(ERP資料!$A:$A, (MATCH(1013, 輔助計算!$G$2:$G$801, 0)+1)), "")&lt;&gt;"", IFERROR(INDEX(ERP資料!$A:$A, (MATCH(1013, 輔助計算!$G$2:$G$801, 0)+1)), "")&lt;&gt;IFERROR(INDEX(ERP資料!$A:$A, MATCH(1012, 輔助計算!$G$2:$G$801, 0)+1), "")), IFERROR(INDEX(ERP資料!$A:$A, (MATCH(1013, 輔助計算!$G$2:$G$801, 0)+1)), ""), ""), "")</f>
        <v/>
      </c>
      <c r="B1014" s="10">
        <f>IFERROR(IF(AND(IFERROR(INDEX(ERP資料!$A:$A, (MATCH(1013, 輔助計算!$G$2:$G$801, 0)+1)), "")&lt;&gt;"", IFERROR(INDEX(ERP資料!$A:$A, (MATCH(1013, 輔助計算!$G$2:$G$801, 0)+1)), "")&lt;&gt;IFERROR(INDEX(ERP資料!$A:$A, MATCH(1012, 輔助計算!$G$2:$G$801, 0)+1), "")), INDEX(ERP資料!$S:$S, (MATCH(1013, 輔助計算!$G$2:$G$801, 0)+1)), ""), "")</f>
        <v/>
      </c>
      <c r="C1014" s="19">
        <f>IFERROR(IF(AND(IFERROR(INDEX(ERP資料!$A:$A, (MATCH(1013, 輔助計算!$G$2:$G$801, 0)+1)), "")&lt;&gt;"", IFERROR(INDEX(ERP資料!$A:$A, (MATCH(1013, 輔助計算!$G$2:$G$801, 0)+1)), "")&lt;&gt;IFERROR(INDEX(ERP資料!$A:$A, MATCH(1012, 輔助計算!$G$2:$G$801, 0)+1), "")), IFERROR(VLOOKUP(LEFT(INDEX(ERP資料!$S:$S, (MATCH(1013, 輔助計算!$G$2:$G$801, 0)+1)), 4), 紙管對照表!$A:$C, 3, FALSE), ""), ""), "")</f>
        <v/>
      </c>
      <c r="D1014" s="16" t="n"/>
      <c r="E1014" s="10">
        <f>IFERROR(IF(INDEX(ERP資料!$H:$H, (MATCH(1013, 輔助計算!$G$2:$G$801, 0)+1))="","",INDEX(ERP資料!$H:$H, (MATCH(1013, 輔助計算!$G$2:$G$801, 0)+1))), "")</f>
        <v/>
      </c>
      <c r="F1014" s="10">
        <f>IFERROR(IF(INDEX(ERP資料!$E:$E, (MATCH(1013, 輔助計算!$G$2:$G$801, 0)+1))="","",TRIM(INDEX(ERP資料!$E:$E, (MATCH(1013, 輔助計算!$G$2:$G$801, 0)+1)))), "")</f>
        <v/>
      </c>
      <c r="G1014" s="10">
        <f>IFERROR(IF(INDEX(ERP資料!$F:$F, (MATCH(1013, 輔助計算!$G$2:$G$801, 0)+1))="","",INDEX(ERP資料!$F:$F, (MATCH(1013, 輔助計算!$G$2:$G$801, 0)+1))), "")</f>
        <v/>
      </c>
      <c r="H1014" s="10">
        <f>IFERROR(IF(INDEX(ERP資料!$G:$G, (MATCH(1013, 輔助計算!$G$2:$G$801, 0)+1))="","",INDEX(ERP資料!$G:$G, (MATCH(1013, 輔助計算!$G$2:$G$801, 0)+1))), "")</f>
        <v/>
      </c>
      <c r="I1014" s="15">
        <f>IFERROR(INDEX(輔助計算!$D:$D, (MATCH(1013, 輔助計算!$G$2:$G$801, 0)+1)), "")</f>
        <v/>
      </c>
      <c r="J1014" s="15">
        <f>IFERROR(IF(AND(INDEX(輔助計算!$D:$D, (MATCH(1013, 輔助計算!$G$2:$G$801, 0)+1))&lt;&gt;"", INDEX(ERP資料!$G:$G, (MATCH(1013, 輔助計算!$G$2:$G$801, 0)+1))&lt;&gt;""), TRIM(IF(INT(INDEX(輔助計算!$D:$D, (MATCH(1013, 輔助計算!$G$2:$G$801, 0)+1))/IF(INDEX(ERP資料!$G:$G, (MATCH(1013, 輔助計算!$G$2:$G$801, 0)+1))&lt;100, IF(INDEX(ERP資料!$G:$G, (MATCH(1013, 輔助計算!$G$2:$G$801, 0)+1))&lt;=31,3,IF(INDEX(ERP資料!$G:$G, (MATCH(1013, 輔助計算!$G$2:$G$801, 0)+1))&lt;=46.5,2,1)), IF(INDEX(ERP資料!$G:$G, (MATCH(1013, 輔助計算!$G$2:$G$801, 0)+1))&lt;=790,3,IF(INDEX(ERP資料!$G:$G, (MATCH(1013, 輔助計算!$G$2:$G$801, 0)+1))&lt;=1181,2,1))))&gt;0, IF(IF(INDEX(ERP資料!$G:$G, (MATCH(1013, 輔助計算!$G$2:$G$801, 0)+1))&lt;100, IF(INDEX(ERP資料!$G:$G, (MATCH(1013, 輔助計算!$G$2:$G$801, 0)+1))&lt;=31,3,IF(INDEX(ERP資料!$G:$G, (MATCH(1013, 輔助計算!$G$2:$G$801, 0)+1))&lt;=46.5,2,1)), IF(INDEX(ERP資料!$G:$G, (MATCH(1013, 輔助計算!$G$2:$G$801, 0)+1))&lt;=790,3,IF(INDEX(ERP資料!$G:$G, (MATCH(1013, 輔助計算!$G$2:$G$801, 0)+1))&lt;=1181,2,1)))=1,TEXT(INDEX(ERP資料!$G:$G, (MATCH(1013, 輔助計算!$G$2:$G$801, 0)+1)),"0.##"),IF(IF(INDEX(ERP資料!$G:$G, (MATCH(1013, 輔助計算!$G$2:$G$801, 0)+1))&lt;100, IF(INDEX(ERP資料!$G:$G, (MATCH(1013, 輔助計算!$G$2:$G$801, 0)+1))&lt;=31,3,IF(INDEX(ERP資料!$G:$G, (MATCH(1013, 輔助計算!$G$2:$G$801, 0)+1))&lt;=46.5,2,1)), IF(INDEX(ERP資料!$G:$G, (MATCH(1013, 輔助計算!$G$2:$G$801, 0)+1))&lt;=790,3,IF(INDEX(ERP資料!$G:$G, (MATCH(1013, 輔助計算!$G$2:$G$801, 0)+1))&lt;=1181,2,1)))=2,TEXT(INDEX(ERP資料!$G:$G, (MATCH(1013, 輔助計算!$G$2:$G$801, 0)+1)),"0.##")&amp;"+"&amp;TEXT(INDEX(ERP資料!$G:$G, (MATCH(1013, 輔助計算!$G$2:$G$801, 0)+1)),"0.##"),TEXT(INDEX(ERP資料!$G:$G, (MATCH(1013, 輔助計算!$G$2:$G$801, 0)+1)),"0.##")&amp;"+"&amp;TEXT(INDEX(ERP資料!$G:$G, (MATCH(1013, 輔助計算!$G$2:$G$801, 0)+1)),"0.##")&amp;"+"&amp;TEXT(INDEX(ERP資料!$G:$G, (MATCH(1013, 輔助計算!$G$2:$G$801, 0)+1)),"0.##")))&amp;"-"&amp;INT(INDEX(輔助計算!$D:$D, (MATCH(1013, 輔助計算!$G$2:$G$801, 0)+1))/IF(INDEX(ERP資料!$G:$G, (MATCH(1013, 輔助計算!$G$2:$G$801, 0)+1))&lt;100, IF(INDEX(ERP資料!$G:$G, (MATCH(1013, 輔助計算!$G$2:$G$801, 0)+1))&lt;=31,3,IF(INDEX(ERP資料!$G:$G, (MATCH(1013, 輔助計算!$G$2:$G$801, 0)+1))&lt;=46.5,2,1)), IF(INDEX(ERP資料!$G:$G, (MATCH(1013, 輔助計算!$G$2:$G$801, 0)+1))&lt;=790,3,IF(INDEX(ERP資料!$G:$G, (MATCH(1013, 輔助計算!$G$2:$G$801, 0)+1))&lt;=1181,2,1)))), "")&amp;IF(AND(IF(INT(INDEX(輔助計算!$D:$D, (MATCH(1013, 輔助計算!$G$2:$G$801, 0)+1))/IF(INDEX(ERP資料!$G:$G, (MATCH(1013, 輔助計算!$G$2:$G$801, 0)+1))&lt;100, IF(INDEX(ERP資料!$G:$G, (MATCH(1013, 輔助計算!$G$2:$G$801, 0)+1))&lt;=31,3,IF(INDEX(ERP資料!$G:$G, (MATCH(1013, 輔助計算!$G$2:$G$801, 0)+1))&lt;=46.5,2,1)), IF(INDEX(ERP資料!$G:$G, (MATCH(1013, 輔助計算!$G$2:$G$801, 0)+1))&lt;=790,3,IF(INDEX(ERP資料!$G:$G, (MATCH(1013, 輔助計算!$G$2:$G$801, 0)+1))&lt;=1181,2,1))))&gt;0, IF(IF(INDEX(ERP資料!$G:$G, (MATCH(1013, 輔助計算!$G$2:$G$801, 0)+1))&lt;100, IF(INDEX(ERP資料!$G:$G, (MATCH(1013, 輔助計算!$G$2:$G$801, 0)+1))&lt;=31,3,IF(INDEX(ERP資料!$G:$G, (MATCH(1013, 輔助計算!$G$2:$G$801, 0)+1))&lt;=46.5,2,1)), IF(INDEX(ERP資料!$G:$G, (MATCH(1013, 輔助計算!$G$2:$G$801, 0)+1))&lt;=790,3,IF(INDEX(ERP資料!$G:$G, (MATCH(1013, 輔助計算!$G$2:$G$801, 0)+1))&lt;=1181,2,1)))=1,TEXT(INDEX(ERP資料!$G:$G, (MATCH(1013, 輔助計算!$G$2:$G$801, 0)+1)),"0.##"),IF(IF(INDEX(ERP資料!$G:$G, (MATCH(1013, 輔助計算!$G$2:$G$801, 0)+1))&lt;100, IF(INDEX(ERP資料!$G:$G, (MATCH(1013, 輔助計算!$G$2:$G$801, 0)+1))&lt;=31,3,IF(INDEX(ERP資料!$G:$G, (MATCH(1013, 輔助計算!$G$2:$G$801, 0)+1))&lt;=46.5,2,1)), IF(INDEX(ERP資料!$G:$G, (MATCH(1013, 輔助計算!$G$2:$G$801, 0)+1))&lt;=790,3,IF(INDEX(ERP資料!$G:$G, (MATCH(1013, 輔助計算!$G$2:$G$801, 0)+1))&lt;=1181,2,1)))=2,TEXT(INDEX(ERP資料!$G:$G, (MATCH(1013, 輔助計算!$G$2:$G$801, 0)+1)),"0.##")&amp;"+"&amp;TEXT(INDEX(ERP資料!$G:$G, (MATCH(1013, 輔助計算!$G$2:$G$801, 0)+1)),"0.##"),TEXT(INDEX(ERP資料!$G:$G, (MATCH(1013, 輔助計算!$G$2:$G$801, 0)+1)),"0.##")&amp;"+"&amp;TEXT(INDEX(ERP資料!$G:$G, (MATCH(1013, 輔助計算!$G$2:$G$801, 0)+1)),"0.##")&amp;"+"&amp;TEXT(INDEX(ERP資料!$G:$G, (MATCH(1013, 輔助計算!$G$2:$G$801, 0)+1)),"0.##")))&amp;"-"&amp;INT(INDEX(輔助計算!$D:$D, (MATCH(1013, 輔助計算!$G$2:$G$801, 0)+1))/IF(INDEX(ERP資料!$G:$G, (MATCH(1013, 輔助計算!$G$2:$G$801, 0)+1))&lt;100, IF(INDEX(ERP資料!$G:$G, (MATCH(1013, 輔助計算!$G$2:$G$801, 0)+1))&lt;=31,3,IF(INDEX(ERP資料!$G:$G, (MATCH(1013, 輔助計算!$G$2:$G$801, 0)+1))&lt;=46.5,2,1)), IF(INDEX(ERP資料!$G:$G, (MATCH(1013, 輔助計算!$G$2:$G$801, 0)+1))&lt;=790,3,IF(INDEX(ERP資料!$G:$G, (MATCH(1013, 輔助計算!$G$2:$G$801, 0)+1))&lt;=1181,2,1)))), "")&lt;&gt;"",IF(MOD(INDEX(輔助計算!$D:$D, (MATCH(1013, 輔助計算!$G$2:$G$801, 0)+1)),IF(INDEX(ERP資料!$G:$G, (MATCH(1013, 輔助計算!$G$2:$G$801, 0)+1))&lt;100, IF(INDEX(ERP資料!$G:$G, (MATCH(1013, 輔助計算!$G$2:$G$801, 0)+1))&lt;=31,3,IF(INDEX(ERP資料!$G:$G, (MATCH(1013, 輔助計算!$G$2:$G$801, 0)+1))&lt;=46.5,2,1)), IF(INDEX(ERP資料!$G:$G, (MATCH(1013, 輔助計算!$G$2:$G$801, 0)+1))&lt;=790,3,IF(INDEX(ERP資料!$G:$G, (MATCH(1013, 輔助計算!$G$2:$G$801, 0)+1))&lt;=1181,2,1))))=0,"",IF(MOD(INDEX(輔助計算!$D:$D, (MATCH(1013, 輔助計算!$G$2:$G$801, 0)+1)),IF(INDEX(ERP資料!$G:$G, (MATCH(1013, 輔助計算!$G$2:$G$801, 0)+1))&lt;100, IF(INDEX(ERP資料!$G:$G, (MATCH(1013, 輔助計算!$G$2:$G$801, 0)+1))&lt;=31,3,IF(INDEX(ERP資料!$G:$G, (MATCH(1013, 輔助計算!$G$2:$G$801, 0)+1))&lt;=46.5,2,1)), IF(INDEX(ERP資料!$G:$G, (MATCH(1013, 輔助計算!$G$2:$G$801, 0)+1))&lt;=790,3,IF(INDEX(ERP資料!$G:$G, (MATCH(1013, 輔助計算!$G$2:$G$801, 0)+1))&lt;=1181,2,1))))=0,"",IF(MOD(INDEX(輔助計算!$D:$D, (MATCH(1013, 輔助計算!$G$2:$G$801, 0)+1)),IF(INDEX(ERP資料!$G:$G, (MATCH(1013, 輔助計算!$G$2:$G$801, 0)+1))&lt;100, IF(INDEX(ERP資料!$G:$G, (MATCH(1013, 輔助計算!$G$2:$G$801, 0)+1))&lt;=31,3,IF(INDEX(ERP資料!$G:$G, (MATCH(1013, 輔助計算!$G$2:$G$801, 0)+1))&lt;=46.5,2,1)), IF(INDEX(ERP資料!$G:$G, (MATCH(1013, 輔助計算!$G$2:$G$801, 0)+1))&lt;=790,3,IF(INDEX(ERP資料!$G:$G, (MATCH(1013, 輔助計算!$G$2:$G$801, 0)+1))&lt;=1181,2,1))))=1,TEXT(INDEX(ERP資料!$G:$G, (MATCH(1013, 輔助計算!$G$2:$G$801, 0)+1)),"0.##"),IF(MOD(INDEX(輔助計算!$D:$D, (MATCH(1013, 輔助計算!$G$2:$G$801, 0)+1)),IF(INDEX(ERP資料!$G:$G, (MATCH(1013, 輔助計算!$G$2:$G$801, 0)+1))&lt;100, IF(INDEX(ERP資料!$G:$G, (MATCH(1013, 輔助計算!$G$2:$G$801, 0)+1))&lt;=31,3,IF(INDEX(ERP資料!$G:$G, (MATCH(1013, 輔助計算!$G$2:$G$801, 0)+1))&lt;=46.5,2,1)), IF(INDEX(ERP資料!$G:$G, (MATCH(1013, 輔助計算!$G$2:$G$801, 0)+1))&lt;=790,3,IF(INDEX(ERP資料!$G:$G, (MATCH(1013, 輔助計算!$G$2:$G$801, 0)+1))&lt;=1181,2,1))))=2,TEXT(INDEX(ERP資料!$G:$G, (MATCH(1013, 輔助計算!$G$2:$G$801, 0)+1)),"0.##")&amp;"+"&amp;TEXT(INDEX(ERP資料!$G:$G, (MATCH(1013, 輔助計算!$G$2:$G$801, 0)+1)),"0.##"),TEXT(INDEX(ERP資料!$G:$G, (MATCH(1013, 輔助計算!$G$2:$G$801, 0)+1)),"0.##")&amp;"+"&amp;TEXT(INDEX(ERP資料!$G:$G, (MATCH(1013, 輔助計算!$G$2:$G$801, 0)+1)),"0.##")&amp;"+"&amp;TEXT(INDEX(ERP資料!$G:$G, (MATCH(1013, 輔助計算!$G$2:$G$801, 0)+1)),"0.##"))))&amp;"-1")&lt;&gt;""),"  ","")&amp;IF(MOD(INDEX(輔助計算!$D:$D, (MATCH(1013, 輔助計算!$G$2:$G$801, 0)+1)),IF(INDEX(ERP資料!$G:$G, (MATCH(1013, 輔助計算!$G$2:$G$801, 0)+1))&lt;100, IF(INDEX(ERP資料!$G:$G, (MATCH(1013, 輔助計算!$G$2:$G$801, 0)+1))&lt;=31,3,IF(INDEX(ERP資料!$G:$G, (MATCH(1013, 輔助計算!$G$2:$G$801, 0)+1))&lt;=46.5,2,1)), IF(INDEX(ERP資料!$G:$G, (MATCH(1013, 輔助計算!$G$2:$G$801, 0)+1))&lt;=790,3,IF(INDEX(ERP資料!$G:$G, (MATCH(1013, 輔助計算!$G$2:$G$801, 0)+1))&lt;=1181,2,1))))=0,"",IF(MOD(INDEX(輔助計算!$D:$D, (MATCH(1013, 輔助計算!$G$2:$G$801, 0)+1)),IF(INDEX(ERP資料!$G:$G, (MATCH(1013, 輔助計算!$G$2:$G$801, 0)+1))&lt;100, IF(INDEX(ERP資料!$G:$G, (MATCH(1013, 輔助計算!$G$2:$G$801, 0)+1))&lt;=31,3,IF(INDEX(ERP資料!$G:$G, (MATCH(1013, 輔助計算!$G$2:$G$801, 0)+1))&lt;=46.5,2,1)), IF(INDEX(ERP資料!$G:$G, (MATCH(1013, 輔助計算!$G$2:$G$801, 0)+1))&lt;=790,3,IF(INDEX(ERP資料!$G:$G, (MATCH(1013, 輔助計算!$G$2:$G$801, 0)+1))&lt;=1181,2,1))))=0,"",IF(MOD(INDEX(輔助計算!$D:$D, (MATCH(1013, 輔助計算!$G$2:$G$801, 0)+1)),IF(INDEX(ERP資料!$G:$G, (MATCH(1013, 輔助計算!$G$2:$G$801, 0)+1))&lt;100, IF(INDEX(ERP資料!$G:$G, (MATCH(1013, 輔助計算!$G$2:$G$801, 0)+1))&lt;=31,3,IF(INDEX(ERP資料!$G:$G, (MATCH(1013, 輔助計算!$G$2:$G$801, 0)+1))&lt;=46.5,2,1)), IF(INDEX(ERP資料!$G:$G, (MATCH(1013, 輔助計算!$G$2:$G$801, 0)+1))&lt;=790,3,IF(INDEX(ERP資料!$G:$G, (MATCH(1013, 輔助計算!$G$2:$G$801, 0)+1))&lt;=1181,2,1))))=1,TEXT(INDEX(ERP資料!$G:$G, (MATCH(1013, 輔助計算!$G$2:$G$801, 0)+1)),"0.##"),IF(MOD(INDEX(輔助計算!$D:$D, (MATCH(1013, 輔助計算!$G$2:$G$801, 0)+1)),IF(INDEX(ERP資料!$G:$G, (MATCH(1013, 輔助計算!$G$2:$G$801, 0)+1))&lt;100, IF(INDEX(ERP資料!$G:$G, (MATCH(1013, 輔助計算!$G$2:$G$801, 0)+1))&lt;=31,3,IF(INDEX(ERP資料!$G:$G, (MATCH(1013, 輔助計算!$G$2:$G$801, 0)+1))&lt;=46.5,2,1)), IF(INDEX(ERP資料!$G:$G, (MATCH(1013, 輔助計算!$G$2:$G$801, 0)+1))&lt;=790,3,IF(INDEX(ERP資料!$G:$G, (MATCH(1013, 輔助計算!$G$2:$G$801, 0)+1))&lt;=1181,2,1))))=2,TEXT(INDEX(ERP資料!$G:$G, (MATCH(1013, 輔助計算!$G$2:$G$801, 0)+1)),"0.##")&amp;"+"&amp;TEXT(INDEX(ERP資料!$G:$G, (MATCH(1013, 輔助計算!$G$2:$G$801, 0)+1)),"0.##"),TEXT(INDEX(ERP資料!$G:$G, (MATCH(1013, 輔助計算!$G$2:$G$801, 0)+1)),"0.##")&amp;"+"&amp;TEXT(INDEX(ERP資料!$G:$G, (MATCH(1013, 輔助計算!$G$2:$G$801, 0)+1)),"0.##")&amp;"+"&amp;TEXT(INDEX(ERP資料!$G:$G, (MATCH(1013, 輔助計算!$G$2:$G$801, 0)+1)),"0.##"))))&amp;"-1")), ""), "")</f>
        <v/>
      </c>
      <c r="K1014" s="16" t="n"/>
      <c r="L1014" s="14">
        <f>IFERROR(IF(AND(IFERROR(INDEX(ERP資料!$A:$A, (MATCH(1013, 輔助計算!$G$2:$G$801, 0)+1)), "")&lt;&gt;"", IFERROR(INDEX(ERP資料!$A:$A, (MATCH(1013, 輔助計算!$G$2:$G$801, 0)+1)), "")&lt;&gt;IFERROR(INDEX(ERP資料!$A:$A, MATCH(1012, 輔助計算!$G$2:$G$801, 0)+1), "")), INDEX(ERP資料!$B:$B, (MATCH(1013, 輔助計算!$G$2:$G$801, 0)+1)), ""), "")</f>
        <v/>
      </c>
      <c r="M1014" s="17" t="n"/>
    </row>
    <row r="1015">
      <c r="A1015" s="10">
        <f>IFERROR(IF(AND(IFERROR(INDEX(ERP資料!$A:$A, (MATCH(1014, 輔助計算!$G$2:$G$801, 0)+1)), "")&lt;&gt;"", IFERROR(INDEX(ERP資料!$A:$A, (MATCH(1014, 輔助計算!$G$2:$G$801, 0)+1)), "")&lt;&gt;IFERROR(INDEX(ERP資料!$A:$A, MATCH(1013, 輔助計算!$G$2:$G$801, 0)+1), "")), IFERROR(INDEX(ERP資料!$A:$A, (MATCH(1014, 輔助計算!$G$2:$G$801, 0)+1)), ""), ""), "")</f>
        <v/>
      </c>
      <c r="B1015" s="10">
        <f>IFERROR(IF(AND(IFERROR(INDEX(ERP資料!$A:$A, (MATCH(1014, 輔助計算!$G$2:$G$801, 0)+1)), "")&lt;&gt;"", IFERROR(INDEX(ERP資料!$A:$A, (MATCH(1014, 輔助計算!$G$2:$G$801, 0)+1)), "")&lt;&gt;IFERROR(INDEX(ERP資料!$A:$A, MATCH(1013, 輔助計算!$G$2:$G$801, 0)+1), "")), INDEX(ERP資料!$S:$S, (MATCH(1014, 輔助計算!$G$2:$G$801, 0)+1)), ""), "")</f>
        <v/>
      </c>
      <c r="C1015" s="19">
        <f>IFERROR(IF(AND(IFERROR(INDEX(ERP資料!$A:$A, (MATCH(1014, 輔助計算!$G$2:$G$801, 0)+1)), "")&lt;&gt;"", IFERROR(INDEX(ERP資料!$A:$A, (MATCH(1014, 輔助計算!$G$2:$G$801, 0)+1)), "")&lt;&gt;IFERROR(INDEX(ERP資料!$A:$A, MATCH(1013, 輔助計算!$G$2:$G$801, 0)+1), "")), IFERROR(VLOOKUP(LEFT(INDEX(ERP資料!$S:$S, (MATCH(1014, 輔助計算!$G$2:$G$801, 0)+1)), 4), 紙管對照表!$A:$C, 3, FALSE), ""), ""), "")</f>
        <v/>
      </c>
      <c r="D1015" s="16" t="n"/>
      <c r="E1015" s="10">
        <f>IFERROR(IF(INDEX(ERP資料!$H:$H, (MATCH(1014, 輔助計算!$G$2:$G$801, 0)+1))="","",INDEX(ERP資料!$H:$H, (MATCH(1014, 輔助計算!$G$2:$G$801, 0)+1))), "")</f>
        <v/>
      </c>
      <c r="F1015" s="10">
        <f>IFERROR(IF(INDEX(ERP資料!$E:$E, (MATCH(1014, 輔助計算!$G$2:$G$801, 0)+1))="","",TRIM(INDEX(ERP資料!$E:$E, (MATCH(1014, 輔助計算!$G$2:$G$801, 0)+1)))), "")</f>
        <v/>
      </c>
      <c r="G1015" s="10">
        <f>IFERROR(IF(INDEX(ERP資料!$F:$F, (MATCH(1014, 輔助計算!$G$2:$G$801, 0)+1))="","",INDEX(ERP資料!$F:$F, (MATCH(1014, 輔助計算!$G$2:$G$801, 0)+1))), "")</f>
        <v/>
      </c>
      <c r="H1015" s="10">
        <f>IFERROR(IF(INDEX(ERP資料!$G:$G, (MATCH(1014, 輔助計算!$G$2:$G$801, 0)+1))="","",INDEX(ERP資料!$G:$G, (MATCH(1014, 輔助計算!$G$2:$G$801, 0)+1))), "")</f>
        <v/>
      </c>
      <c r="I1015" s="15">
        <f>IFERROR(INDEX(輔助計算!$D:$D, (MATCH(1014, 輔助計算!$G$2:$G$801, 0)+1)), "")</f>
        <v/>
      </c>
      <c r="J1015" s="15">
        <f>IFERROR(IF(AND(INDEX(輔助計算!$D:$D, (MATCH(1014, 輔助計算!$G$2:$G$801, 0)+1))&lt;&gt;"", INDEX(ERP資料!$G:$G, (MATCH(1014, 輔助計算!$G$2:$G$801, 0)+1))&lt;&gt;""), TRIM(IF(INT(INDEX(輔助計算!$D:$D, (MATCH(1014, 輔助計算!$G$2:$G$801, 0)+1))/IF(INDEX(ERP資料!$G:$G, (MATCH(1014, 輔助計算!$G$2:$G$801, 0)+1))&lt;100, IF(INDEX(ERP資料!$G:$G, (MATCH(1014, 輔助計算!$G$2:$G$801, 0)+1))&lt;=31,3,IF(INDEX(ERP資料!$G:$G, (MATCH(1014, 輔助計算!$G$2:$G$801, 0)+1))&lt;=46.5,2,1)), IF(INDEX(ERP資料!$G:$G, (MATCH(1014, 輔助計算!$G$2:$G$801, 0)+1))&lt;=790,3,IF(INDEX(ERP資料!$G:$G, (MATCH(1014, 輔助計算!$G$2:$G$801, 0)+1))&lt;=1181,2,1))))&gt;0, IF(IF(INDEX(ERP資料!$G:$G, (MATCH(1014, 輔助計算!$G$2:$G$801, 0)+1))&lt;100, IF(INDEX(ERP資料!$G:$G, (MATCH(1014, 輔助計算!$G$2:$G$801, 0)+1))&lt;=31,3,IF(INDEX(ERP資料!$G:$G, (MATCH(1014, 輔助計算!$G$2:$G$801, 0)+1))&lt;=46.5,2,1)), IF(INDEX(ERP資料!$G:$G, (MATCH(1014, 輔助計算!$G$2:$G$801, 0)+1))&lt;=790,3,IF(INDEX(ERP資料!$G:$G, (MATCH(1014, 輔助計算!$G$2:$G$801, 0)+1))&lt;=1181,2,1)))=1,TEXT(INDEX(ERP資料!$G:$G, (MATCH(1014, 輔助計算!$G$2:$G$801, 0)+1)),"0.##"),IF(IF(INDEX(ERP資料!$G:$G, (MATCH(1014, 輔助計算!$G$2:$G$801, 0)+1))&lt;100, IF(INDEX(ERP資料!$G:$G, (MATCH(1014, 輔助計算!$G$2:$G$801, 0)+1))&lt;=31,3,IF(INDEX(ERP資料!$G:$G, (MATCH(1014, 輔助計算!$G$2:$G$801, 0)+1))&lt;=46.5,2,1)), IF(INDEX(ERP資料!$G:$G, (MATCH(1014, 輔助計算!$G$2:$G$801, 0)+1))&lt;=790,3,IF(INDEX(ERP資料!$G:$G, (MATCH(1014, 輔助計算!$G$2:$G$801, 0)+1))&lt;=1181,2,1)))=2,TEXT(INDEX(ERP資料!$G:$G, (MATCH(1014, 輔助計算!$G$2:$G$801, 0)+1)),"0.##")&amp;"+"&amp;TEXT(INDEX(ERP資料!$G:$G, (MATCH(1014, 輔助計算!$G$2:$G$801, 0)+1)),"0.##"),TEXT(INDEX(ERP資料!$G:$G, (MATCH(1014, 輔助計算!$G$2:$G$801, 0)+1)),"0.##")&amp;"+"&amp;TEXT(INDEX(ERP資料!$G:$G, (MATCH(1014, 輔助計算!$G$2:$G$801, 0)+1)),"0.##")&amp;"+"&amp;TEXT(INDEX(ERP資料!$G:$G, (MATCH(1014, 輔助計算!$G$2:$G$801, 0)+1)),"0.##")))&amp;"-"&amp;INT(INDEX(輔助計算!$D:$D, (MATCH(1014, 輔助計算!$G$2:$G$801, 0)+1))/IF(INDEX(ERP資料!$G:$G, (MATCH(1014, 輔助計算!$G$2:$G$801, 0)+1))&lt;100, IF(INDEX(ERP資料!$G:$G, (MATCH(1014, 輔助計算!$G$2:$G$801, 0)+1))&lt;=31,3,IF(INDEX(ERP資料!$G:$G, (MATCH(1014, 輔助計算!$G$2:$G$801, 0)+1))&lt;=46.5,2,1)), IF(INDEX(ERP資料!$G:$G, (MATCH(1014, 輔助計算!$G$2:$G$801, 0)+1))&lt;=790,3,IF(INDEX(ERP資料!$G:$G, (MATCH(1014, 輔助計算!$G$2:$G$801, 0)+1))&lt;=1181,2,1)))), "")&amp;IF(AND(IF(INT(INDEX(輔助計算!$D:$D, (MATCH(1014, 輔助計算!$G$2:$G$801, 0)+1))/IF(INDEX(ERP資料!$G:$G, (MATCH(1014, 輔助計算!$G$2:$G$801, 0)+1))&lt;100, IF(INDEX(ERP資料!$G:$G, (MATCH(1014, 輔助計算!$G$2:$G$801, 0)+1))&lt;=31,3,IF(INDEX(ERP資料!$G:$G, (MATCH(1014, 輔助計算!$G$2:$G$801, 0)+1))&lt;=46.5,2,1)), IF(INDEX(ERP資料!$G:$G, (MATCH(1014, 輔助計算!$G$2:$G$801, 0)+1))&lt;=790,3,IF(INDEX(ERP資料!$G:$G, (MATCH(1014, 輔助計算!$G$2:$G$801, 0)+1))&lt;=1181,2,1))))&gt;0, IF(IF(INDEX(ERP資料!$G:$G, (MATCH(1014, 輔助計算!$G$2:$G$801, 0)+1))&lt;100, IF(INDEX(ERP資料!$G:$G, (MATCH(1014, 輔助計算!$G$2:$G$801, 0)+1))&lt;=31,3,IF(INDEX(ERP資料!$G:$G, (MATCH(1014, 輔助計算!$G$2:$G$801, 0)+1))&lt;=46.5,2,1)), IF(INDEX(ERP資料!$G:$G, (MATCH(1014, 輔助計算!$G$2:$G$801, 0)+1))&lt;=790,3,IF(INDEX(ERP資料!$G:$G, (MATCH(1014, 輔助計算!$G$2:$G$801, 0)+1))&lt;=1181,2,1)))=1,TEXT(INDEX(ERP資料!$G:$G, (MATCH(1014, 輔助計算!$G$2:$G$801, 0)+1)),"0.##"),IF(IF(INDEX(ERP資料!$G:$G, (MATCH(1014, 輔助計算!$G$2:$G$801, 0)+1))&lt;100, IF(INDEX(ERP資料!$G:$G, (MATCH(1014, 輔助計算!$G$2:$G$801, 0)+1))&lt;=31,3,IF(INDEX(ERP資料!$G:$G, (MATCH(1014, 輔助計算!$G$2:$G$801, 0)+1))&lt;=46.5,2,1)), IF(INDEX(ERP資料!$G:$G, (MATCH(1014, 輔助計算!$G$2:$G$801, 0)+1))&lt;=790,3,IF(INDEX(ERP資料!$G:$G, (MATCH(1014, 輔助計算!$G$2:$G$801, 0)+1))&lt;=1181,2,1)))=2,TEXT(INDEX(ERP資料!$G:$G, (MATCH(1014, 輔助計算!$G$2:$G$801, 0)+1)),"0.##")&amp;"+"&amp;TEXT(INDEX(ERP資料!$G:$G, (MATCH(1014, 輔助計算!$G$2:$G$801, 0)+1)),"0.##"),TEXT(INDEX(ERP資料!$G:$G, (MATCH(1014, 輔助計算!$G$2:$G$801, 0)+1)),"0.##")&amp;"+"&amp;TEXT(INDEX(ERP資料!$G:$G, (MATCH(1014, 輔助計算!$G$2:$G$801, 0)+1)),"0.##")&amp;"+"&amp;TEXT(INDEX(ERP資料!$G:$G, (MATCH(1014, 輔助計算!$G$2:$G$801, 0)+1)),"0.##")))&amp;"-"&amp;INT(INDEX(輔助計算!$D:$D, (MATCH(1014, 輔助計算!$G$2:$G$801, 0)+1))/IF(INDEX(ERP資料!$G:$G, (MATCH(1014, 輔助計算!$G$2:$G$801, 0)+1))&lt;100, IF(INDEX(ERP資料!$G:$G, (MATCH(1014, 輔助計算!$G$2:$G$801, 0)+1))&lt;=31,3,IF(INDEX(ERP資料!$G:$G, (MATCH(1014, 輔助計算!$G$2:$G$801, 0)+1))&lt;=46.5,2,1)), IF(INDEX(ERP資料!$G:$G, (MATCH(1014, 輔助計算!$G$2:$G$801, 0)+1))&lt;=790,3,IF(INDEX(ERP資料!$G:$G, (MATCH(1014, 輔助計算!$G$2:$G$801, 0)+1))&lt;=1181,2,1)))), "")&lt;&gt;"",IF(MOD(INDEX(輔助計算!$D:$D, (MATCH(1014, 輔助計算!$G$2:$G$801, 0)+1)),IF(INDEX(ERP資料!$G:$G, (MATCH(1014, 輔助計算!$G$2:$G$801, 0)+1))&lt;100, IF(INDEX(ERP資料!$G:$G, (MATCH(1014, 輔助計算!$G$2:$G$801, 0)+1))&lt;=31,3,IF(INDEX(ERP資料!$G:$G, (MATCH(1014, 輔助計算!$G$2:$G$801, 0)+1))&lt;=46.5,2,1)), IF(INDEX(ERP資料!$G:$G, (MATCH(1014, 輔助計算!$G$2:$G$801, 0)+1))&lt;=790,3,IF(INDEX(ERP資料!$G:$G, (MATCH(1014, 輔助計算!$G$2:$G$801, 0)+1))&lt;=1181,2,1))))=0,"",IF(MOD(INDEX(輔助計算!$D:$D, (MATCH(1014, 輔助計算!$G$2:$G$801, 0)+1)),IF(INDEX(ERP資料!$G:$G, (MATCH(1014, 輔助計算!$G$2:$G$801, 0)+1))&lt;100, IF(INDEX(ERP資料!$G:$G, (MATCH(1014, 輔助計算!$G$2:$G$801, 0)+1))&lt;=31,3,IF(INDEX(ERP資料!$G:$G, (MATCH(1014, 輔助計算!$G$2:$G$801, 0)+1))&lt;=46.5,2,1)), IF(INDEX(ERP資料!$G:$G, (MATCH(1014, 輔助計算!$G$2:$G$801, 0)+1))&lt;=790,3,IF(INDEX(ERP資料!$G:$G, (MATCH(1014, 輔助計算!$G$2:$G$801, 0)+1))&lt;=1181,2,1))))=0,"",IF(MOD(INDEX(輔助計算!$D:$D, (MATCH(1014, 輔助計算!$G$2:$G$801, 0)+1)),IF(INDEX(ERP資料!$G:$G, (MATCH(1014, 輔助計算!$G$2:$G$801, 0)+1))&lt;100, IF(INDEX(ERP資料!$G:$G, (MATCH(1014, 輔助計算!$G$2:$G$801, 0)+1))&lt;=31,3,IF(INDEX(ERP資料!$G:$G, (MATCH(1014, 輔助計算!$G$2:$G$801, 0)+1))&lt;=46.5,2,1)), IF(INDEX(ERP資料!$G:$G, (MATCH(1014, 輔助計算!$G$2:$G$801, 0)+1))&lt;=790,3,IF(INDEX(ERP資料!$G:$G, (MATCH(1014, 輔助計算!$G$2:$G$801, 0)+1))&lt;=1181,2,1))))=1,TEXT(INDEX(ERP資料!$G:$G, (MATCH(1014, 輔助計算!$G$2:$G$801, 0)+1)),"0.##"),IF(MOD(INDEX(輔助計算!$D:$D, (MATCH(1014, 輔助計算!$G$2:$G$801, 0)+1)),IF(INDEX(ERP資料!$G:$G, (MATCH(1014, 輔助計算!$G$2:$G$801, 0)+1))&lt;100, IF(INDEX(ERP資料!$G:$G, (MATCH(1014, 輔助計算!$G$2:$G$801, 0)+1))&lt;=31,3,IF(INDEX(ERP資料!$G:$G, (MATCH(1014, 輔助計算!$G$2:$G$801, 0)+1))&lt;=46.5,2,1)), IF(INDEX(ERP資料!$G:$G, (MATCH(1014, 輔助計算!$G$2:$G$801, 0)+1))&lt;=790,3,IF(INDEX(ERP資料!$G:$G, (MATCH(1014, 輔助計算!$G$2:$G$801, 0)+1))&lt;=1181,2,1))))=2,TEXT(INDEX(ERP資料!$G:$G, (MATCH(1014, 輔助計算!$G$2:$G$801, 0)+1)),"0.##")&amp;"+"&amp;TEXT(INDEX(ERP資料!$G:$G, (MATCH(1014, 輔助計算!$G$2:$G$801, 0)+1)),"0.##"),TEXT(INDEX(ERP資料!$G:$G, (MATCH(1014, 輔助計算!$G$2:$G$801, 0)+1)),"0.##")&amp;"+"&amp;TEXT(INDEX(ERP資料!$G:$G, (MATCH(1014, 輔助計算!$G$2:$G$801, 0)+1)),"0.##")&amp;"+"&amp;TEXT(INDEX(ERP資料!$G:$G, (MATCH(1014, 輔助計算!$G$2:$G$801, 0)+1)),"0.##"))))&amp;"-1")&lt;&gt;""),"  ","")&amp;IF(MOD(INDEX(輔助計算!$D:$D, (MATCH(1014, 輔助計算!$G$2:$G$801, 0)+1)),IF(INDEX(ERP資料!$G:$G, (MATCH(1014, 輔助計算!$G$2:$G$801, 0)+1))&lt;100, IF(INDEX(ERP資料!$G:$G, (MATCH(1014, 輔助計算!$G$2:$G$801, 0)+1))&lt;=31,3,IF(INDEX(ERP資料!$G:$G, (MATCH(1014, 輔助計算!$G$2:$G$801, 0)+1))&lt;=46.5,2,1)), IF(INDEX(ERP資料!$G:$G, (MATCH(1014, 輔助計算!$G$2:$G$801, 0)+1))&lt;=790,3,IF(INDEX(ERP資料!$G:$G, (MATCH(1014, 輔助計算!$G$2:$G$801, 0)+1))&lt;=1181,2,1))))=0,"",IF(MOD(INDEX(輔助計算!$D:$D, (MATCH(1014, 輔助計算!$G$2:$G$801, 0)+1)),IF(INDEX(ERP資料!$G:$G, (MATCH(1014, 輔助計算!$G$2:$G$801, 0)+1))&lt;100, IF(INDEX(ERP資料!$G:$G, (MATCH(1014, 輔助計算!$G$2:$G$801, 0)+1))&lt;=31,3,IF(INDEX(ERP資料!$G:$G, (MATCH(1014, 輔助計算!$G$2:$G$801, 0)+1))&lt;=46.5,2,1)), IF(INDEX(ERP資料!$G:$G, (MATCH(1014, 輔助計算!$G$2:$G$801, 0)+1))&lt;=790,3,IF(INDEX(ERP資料!$G:$G, (MATCH(1014, 輔助計算!$G$2:$G$801, 0)+1))&lt;=1181,2,1))))=0,"",IF(MOD(INDEX(輔助計算!$D:$D, (MATCH(1014, 輔助計算!$G$2:$G$801, 0)+1)),IF(INDEX(ERP資料!$G:$G, (MATCH(1014, 輔助計算!$G$2:$G$801, 0)+1))&lt;100, IF(INDEX(ERP資料!$G:$G, (MATCH(1014, 輔助計算!$G$2:$G$801, 0)+1))&lt;=31,3,IF(INDEX(ERP資料!$G:$G, (MATCH(1014, 輔助計算!$G$2:$G$801, 0)+1))&lt;=46.5,2,1)), IF(INDEX(ERP資料!$G:$G, (MATCH(1014, 輔助計算!$G$2:$G$801, 0)+1))&lt;=790,3,IF(INDEX(ERP資料!$G:$G, (MATCH(1014, 輔助計算!$G$2:$G$801, 0)+1))&lt;=1181,2,1))))=1,TEXT(INDEX(ERP資料!$G:$G, (MATCH(1014, 輔助計算!$G$2:$G$801, 0)+1)),"0.##"),IF(MOD(INDEX(輔助計算!$D:$D, (MATCH(1014, 輔助計算!$G$2:$G$801, 0)+1)),IF(INDEX(ERP資料!$G:$G, (MATCH(1014, 輔助計算!$G$2:$G$801, 0)+1))&lt;100, IF(INDEX(ERP資料!$G:$G, (MATCH(1014, 輔助計算!$G$2:$G$801, 0)+1))&lt;=31,3,IF(INDEX(ERP資料!$G:$G, (MATCH(1014, 輔助計算!$G$2:$G$801, 0)+1))&lt;=46.5,2,1)), IF(INDEX(ERP資料!$G:$G, (MATCH(1014, 輔助計算!$G$2:$G$801, 0)+1))&lt;=790,3,IF(INDEX(ERP資料!$G:$G, (MATCH(1014, 輔助計算!$G$2:$G$801, 0)+1))&lt;=1181,2,1))))=2,TEXT(INDEX(ERP資料!$G:$G, (MATCH(1014, 輔助計算!$G$2:$G$801, 0)+1)),"0.##")&amp;"+"&amp;TEXT(INDEX(ERP資料!$G:$G, (MATCH(1014, 輔助計算!$G$2:$G$801, 0)+1)),"0.##"),TEXT(INDEX(ERP資料!$G:$G, (MATCH(1014, 輔助計算!$G$2:$G$801, 0)+1)),"0.##")&amp;"+"&amp;TEXT(INDEX(ERP資料!$G:$G, (MATCH(1014, 輔助計算!$G$2:$G$801, 0)+1)),"0.##")&amp;"+"&amp;TEXT(INDEX(ERP資料!$G:$G, (MATCH(1014, 輔助計算!$G$2:$G$801, 0)+1)),"0.##"))))&amp;"-1")), ""), "")</f>
        <v/>
      </c>
      <c r="K1015" s="16" t="n"/>
      <c r="L1015" s="14">
        <f>IFERROR(IF(AND(IFERROR(INDEX(ERP資料!$A:$A, (MATCH(1014, 輔助計算!$G$2:$G$801, 0)+1)), "")&lt;&gt;"", IFERROR(INDEX(ERP資料!$A:$A, (MATCH(1014, 輔助計算!$G$2:$G$801, 0)+1)), "")&lt;&gt;IFERROR(INDEX(ERP資料!$A:$A, MATCH(1013, 輔助計算!$G$2:$G$801, 0)+1), "")), INDEX(ERP資料!$B:$B, (MATCH(1014, 輔助計算!$G$2:$G$801, 0)+1)), ""), "")</f>
        <v/>
      </c>
      <c r="M1015" s="17" t="n"/>
    </row>
    <row r="1016">
      <c r="A1016" s="10">
        <f>IFERROR(IF(AND(IFERROR(INDEX(ERP資料!$A:$A, (MATCH(1015, 輔助計算!$G$2:$G$801, 0)+1)), "")&lt;&gt;"", IFERROR(INDEX(ERP資料!$A:$A, (MATCH(1015, 輔助計算!$G$2:$G$801, 0)+1)), "")&lt;&gt;IFERROR(INDEX(ERP資料!$A:$A, MATCH(1014, 輔助計算!$G$2:$G$801, 0)+1), "")), IFERROR(INDEX(ERP資料!$A:$A, (MATCH(1015, 輔助計算!$G$2:$G$801, 0)+1)), ""), ""), "")</f>
        <v/>
      </c>
      <c r="B1016" s="10">
        <f>IFERROR(IF(AND(IFERROR(INDEX(ERP資料!$A:$A, (MATCH(1015, 輔助計算!$G$2:$G$801, 0)+1)), "")&lt;&gt;"", IFERROR(INDEX(ERP資料!$A:$A, (MATCH(1015, 輔助計算!$G$2:$G$801, 0)+1)), "")&lt;&gt;IFERROR(INDEX(ERP資料!$A:$A, MATCH(1014, 輔助計算!$G$2:$G$801, 0)+1), "")), INDEX(ERP資料!$S:$S, (MATCH(1015, 輔助計算!$G$2:$G$801, 0)+1)), ""), "")</f>
        <v/>
      </c>
      <c r="C1016" s="19">
        <f>IFERROR(IF(AND(IFERROR(INDEX(ERP資料!$A:$A, (MATCH(1015, 輔助計算!$G$2:$G$801, 0)+1)), "")&lt;&gt;"", IFERROR(INDEX(ERP資料!$A:$A, (MATCH(1015, 輔助計算!$G$2:$G$801, 0)+1)), "")&lt;&gt;IFERROR(INDEX(ERP資料!$A:$A, MATCH(1014, 輔助計算!$G$2:$G$801, 0)+1), "")), IFERROR(VLOOKUP(LEFT(INDEX(ERP資料!$S:$S, (MATCH(1015, 輔助計算!$G$2:$G$801, 0)+1)), 4), 紙管對照表!$A:$C, 3, FALSE), ""), ""), "")</f>
        <v/>
      </c>
      <c r="D1016" s="16" t="n"/>
      <c r="E1016" s="10">
        <f>IFERROR(IF(INDEX(ERP資料!$H:$H, (MATCH(1015, 輔助計算!$G$2:$G$801, 0)+1))="","",INDEX(ERP資料!$H:$H, (MATCH(1015, 輔助計算!$G$2:$G$801, 0)+1))), "")</f>
        <v/>
      </c>
      <c r="F1016" s="10">
        <f>IFERROR(IF(INDEX(ERP資料!$E:$E, (MATCH(1015, 輔助計算!$G$2:$G$801, 0)+1))="","",TRIM(INDEX(ERP資料!$E:$E, (MATCH(1015, 輔助計算!$G$2:$G$801, 0)+1)))), "")</f>
        <v/>
      </c>
      <c r="G1016" s="10">
        <f>IFERROR(IF(INDEX(ERP資料!$F:$F, (MATCH(1015, 輔助計算!$G$2:$G$801, 0)+1))="","",INDEX(ERP資料!$F:$F, (MATCH(1015, 輔助計算!$G$2:$G$801, 0)+1))), "")</f>
        <v/>
      </c>
      <c r="H1016" s="10">
        <f>IFERROR(IF(INDEX(ERP資料!$G:$G, (MATCH(1015, 輔助計算!$G$2:$G$801, 0)+1))="","",INDEX(ERP資料!$G:$G, (MATCH(1015, 輔助計算!$G$2:$G$801, 0)+1))), "")</f>
        <v/>
      </c>
      <c r="I1016" s="15">
        <f>IFERROR(INDEX(輔助計算!$D:$D, (MATCH(1015, 輔助計算!$G$2:$G$801, 0)+1)), "")</f>
        <v/>
      </c>
      <c r="J1016" s="15">
        <f>IFERROR(IF(AND(INDEX(輔助計算!$D:$D, (MATCH(1015, 輔助計算!$G$2:$G$801, 0)+1))&lt;&gt;"", INDEX(ERP資料!$G:$G, (MATCH(1015, 輔助計算!$G$2:$G$801, 0)+1))&lt;&gt;""), TRIM(IF(INT(INDEX(輔助計算!$D:$D, (MATCH(1015, 輔助計算!$G$2:$G$801, 0)+1))/IF(INDEX(ERP資料!$G:$G, (MATCH(1015, 輔助計算!$G$2:$G$801, 0)+1))&lt;100, IF(INDEX(ERP資料!$G:$G, (MATCH(1015, 輔助計算!$G$2:$G$801, 0)+1))&lt;=31,3,IF(INDEX(ERP資料!$G:$G, (MATCH(1015, 輔助計算!$G$2:$G$801, 0)+1))&lt;=46.5,2,1)), IF(INDEX(ERP資料!$G:$G, (MATCH(1015, 輔助計算!$G$2:$G$801, 0)+1))&lt;=790,3,IF(INDEX(ERP資料!$G:$G, (MATCH(1015, 輔助計算!$G$2:$G$801, 0)+1))&lt;=1181,2,1))))&gt;0, IF(IF(INDEX(ERP資料!$G:$G, (MATCH(1015, 輔助計算!$G$2:$G$801, 0)+1))&lt;100, IF(INDEX(ERP資料!$G:$G, (MATCH(1015, 輔助計算!$G$2:$G$801, 0)+1))&lt;=31,3,IF(INDEX(ERP資料!$G:$G, (MATCH(1015, 輔助計算!$G$2:$G$801, 0)+1))&lt;=46.5,2,1)), IF(INDEX(ERP資料!$G:$G, (MATCH(1015, 輔助計算!$G$2:$G$801, 0)+1))&lt;=790,3,IF(INDEX(ERP資料!$G:$G, (MATCH(1015, 輔助計算!$G$2:$G$801, 0)+1))&lt;=1181,2,1)))=1,TEXT(INDEX(ERP資料!$G:$G, (MATCH(1015, 輔助計算!$G$2:$G$801, 0)+1)),"0.##"),IF(IF(INDEX(ERP資料!$G:$G, (MATCH(1015, 輔助計算!$G$2:$G$801, 0)+1))&lt;100, IF(INDEX(ERP資料!$G:$G, (MATCH(1015, 輔助計算!$G$2:$G$801, 0)+1))&lt;=31,3,IF(INDEX(ERP資料!$G:$G, (MATCH(1015, 輔助計算!$G$2:$G$801, 0)+1))&lt;=46.5,2,1)), IF(INDEX(ERP資料!$G:$G, (MATCH(1015, 輔助計算!$G$2:$G$801, 0)+1))&lt;=790,3,IF(INDEX(ERP資料!$G:$G, (MATCH(1015, 輔助計算!$G$2:$G$801, 0)+1))&lt;=1181,2,1)))=2,TEXT(INDEX(ERP資料!$G:$G, (MATCH(1015, 輔助計算!$G$2:$G$801, 0)+1)),"0.##")&amp;"+"&amp;TEXT(INDEX(ERP資料!$G:$G, (MATCH(1015, 輔助計算!$G$2:$G$801, 0)+1)),"0.##"),TEXT(INDEX(ERP資料!$G:$G, (MATCH(1015, 輔助計算!$G$2:$G$801, 0)+1)),"0.##")&amp;"+"&amp;TEXT(INDEX(ERP資料!$G:$G, (MATCH(1015, 輔助計算!$G$2:$G$801, 0)+1)),"0.##")&amp;"+"&amp;TEXT(INDEX(ERP資料!$G:$G, (MATCH(1015, 輔助計算!$G$2:$G$801, 0)+1)),"0.##")))&amp;"-"&amp;INT(INDEX(輔助計算!$D:$D, (MATCH(1015, 輔助計算!$G$2:$G$801, 0)+1))/IF(INDEX(ERP資料!$G:$G, (MATCH(1015, 輔助計算!$G$2:$G$801, 0)+1))&lt;100, IF(INDEX(ERP資料!$G:$G, (MATCH(1015, 輔助計算!$G$2:$G$801, 0)+1))&lt;=31,3,IF(INDEX(ERP資料!$G:$G, (MATCH(1015, 輔助計算!$G$2:$G$801, 0)+1))&lt;=46.5,2,1)), IF(INDEX(ERP資料!$G:$G, (MATCH(1015, 輔助計算!$G$2:$G$801, 0)+1))&lt;=790,3,IF(INDEX(ERP資料!$G:$G, (MATCH(1015, 輔助計算!$G$2:$G$801, 0)+1))&lt;=1181,2,1)))), "")&amp;IF(AND(IF(INT(INDEX(輔助計算!$D:$D, (MATCH(1015, 輔助計算!$G$2:$G$801, 0)+1))/IF(INDEX(ERP資料!$G:$G, (MATCH(1015, 輔助計算!$G$2:$G$801, 0)+1))&lt;100, IF(INDEX(ERP資料!$G:$G, (MATCH(1015, 輔助計算!$G$2:$G$801, 0)+1))&lt;=31,3,IF(INDEX(ERP資料!$G:$G, (MATCH(1015, 輔助計算!$G$2:$G$801, 0)+1))&lt;=46.5,2,1)), IF(INDEX(ERP資料!$G:$G, (MATCH(1015, 輔助計算!$G$2:$G$801, 0)+1))&lt;=790,3,IF(INDEX(ERP資料!$G:$G, (MATCH(1015, 輔助計算!$G$2:$G$801, 0)+1))&lt;=1181,2,1))))&gt;0, IF(IF(INDEX(ERP資料!$G:$G, (MATCH(1015, 輔助計算!$G$2:$G$801, 0)+1))&lt;100, IF(INDEX(ERP資料!$G:$G, (MATCH(1015, 輔助計算!$G$2:$G$801, 0)+1))&lt;=31,3,IF(INDEX(ERP資料!$G:$G, (MATCH(1015, 輔助計算!$G$2:$G$801, 0)+1))&lt;=46.5,2,1)), IF(INDEX(ERP資料!$G:$G, (MATCH(1015, 輔助計算!$G$2:$G$801, 0)+1))&lt;=790,3,IF(INDEX(ERP資料!$G:$G, (MATCH(1015, 輔助計算!$G$2:$G$801, 0)+1))&lt;=1181,2,1)))=1,TEXT(INDEX(ERP資料!$G:$G, (MATCH(1015, 輔助計算!$G$2:$G$801, 0)+1)),"0.##"),IF(IF(INDEX(ERP資料!$G:$G, (MATCH(1015, 輔助計算!$G$2:$G$801, 0)+1))&lt;100, IF(INDEX(ERP資料!$G:$G, (MATCH(1015, 輔助計算!$G$2:$G$801, 0)+1))&lt;=31,3,IF(INDEX(ERP資料!$G:$G, (MATCH(1015, 輔助計算!$G$2:$G$801, 0)+1))&lt;=46.5,2,1)), IF(INDEX(ERP資料!$G:$G, (MATCH(1015, 輔助計算!$G$2:$G$801, 0)+1))&lt;=790,3,IF(INDEX(ERP資料!$G:$G, (MATCH(1015, 輔助計算!$G$2:$G$801, 0)+1))&lt;=1181,2,1)))=2,TEXT(INDEX(ERP資料!$G:$G, (MATCH(1015, 輔助計算!$G$2:$G$801, 0)+1)),"0.##")&amp;"+"&amp;TEXT(INDEX(ERP資料!$G:$G, (MATCH(1015, 輔助計算!$G$2:$G$801, 0)+1)),"0.##"),TEXT(INDEX(ERP資料!$G:$G, (MATCH(1015, 輔助計算!$G$2:$G$801, 0)+1)),"0.##")&amp;"+"&amp;TEXT(INDEX(ERP資料!$G:$G, (MATCH(1015, 輔助計算!$G$2:$G$801, 0)+1)),"0.##")&amp;"+"&amp;TEXT(INDEX(ERP資料!$G:$G, (MATCH(1015, 輔助計算!$G$2:$G$801, 0)+1)),"0.##")))&amp;"-"&amp;INT(INDEX(輔助計算!$D:$D, (MATCH(1015, 輔助計算!$G$2:$G$801, 0)+1))/IF(INDEX(ERP資料!$G:$G, (MATCH(1015, 輔助計算!$G$2:$G$801, 0)+1))&lt;100, IF(INDEX(ERP資料!$G:$G, (MATCH(1015, 輔助計算!$G$2:$G$801, 0)+1))&lt;=31,3,IF(INDEX(ERP資料!$G:$G, (MATCH(1015, 輔助計算!$G$2:$G$801, 0)+1))&lt;=46.5,2,1)), IF(INDEX(ERP資料!$G:$G, (MATCH(1015, 輔助計算!$G$2:$G$801, 0)+1))&lt;=790,3,IF(INDEX(ERP資料!$G:$G, (MATCH(1015, 輔助計算!$G$2:$G$801, 0)+1))&lt;=1181,2,1)))), "")&lt;&gt;"",IF(MOD(INDEX(輔助計算!$D:$D, (MATCH(1015, 輔助計算!$G$2:$G$801, 0)+1)),IF(INDEX(ERP資料!$G:$G, (MATCH(1015, 輔助計算!$G$2:$G$801, 0)+1))&lt;100, IF(INDEX(ERP資料!$G:$G, (MATCH(1015, 輔助計算!$G$2:$G$801, 0)+1))&lt;=31,3,IF(INDEX(ERP資料!$G:$G, (MATCH(1015, 輔助計算!$G$2:$G$801, 0)+1))&lt;=46.5,2,1)), IF(INDEX(ERP資料!$G:$G, (MATCH(1015, 輔助計算!$G$2:$G$801, 0)+1))&lt;=790,3,IF(INDEX(ERP資料!$G:$G, (MATCH(1015, 輔助計算!$G$2:$G$801, 0)+1))&lt;=1181,2,1))))=0,"",IF(MOD(INDEX(輔助計算!$D:$D, (MATCH(1015, 輔助計算!$G$2:$G$801, 0)+1)),IF(INDEX(ERP資料!$G:$G, (MATCH(1015, 輔助計算!$G$2:$G$801, 0)+1))&lt;100, IF(INDEX(ERP資料!$G:$G, (MATCH(1015, 輔助計算!$G$2:$G$801, 0)+1))&lt;=31,3,IF(INDEX(ERP資料!$G:$G, (MATCH(1015, 輔助計算!$G$2:$G$801, 0)+1))&lt;=46.5,2,1)), IF(INDEX(ERP資料!$G:$G, (MATCH(1015, 輔助計算!$G$2:$G$801, 0)+1))&lt;=790,3,IF(INDEX(ERP資料!$G:$G, (MATCH(1015, 輔助計算!$G$2:$G$801, 0)+1))&lt;=1181,2,1))))=0,"",IF(MOD(INDEX(輔助計算!$D:$D, (MATCH(1015, 輔助計算!$G$2:$G$801, 0)+1)),IF(INDEX(ERP資料!$G:$G, (MATCH(1015, 輔助計算!$G$2:$G$801, 0)+1))&lt;100, IF(INDEX(ERP資料!$G:$G, (MATCH(1015, 輔助計算!$G$2:$G$801, 0)+1))&lt;=31,3,IF(INDEX(ERP資料!$G:$G, (MATCH(1015, 輔助計算!$G$2:$G$801, 0)+1))&lt;=46.5,2,1)), IF(INDEX(ERP資料!$G:$G, (MATCH(1015, 輔助計算!$G$2:$G$801, 0)+1))&lt;=790,3,IF(INDEX(ERP資料!$G:$G, (MATCH(1015, 輔助計算!$G$2:$G$801, 0)+1))&lt;=1181,2,1))))=1,TEXT(INDEX(ERP資料!$G:$G, (MATCH(1015, 輔助計算!$G$2:$G$801, 0)+1)),"0.##"),IF(MOD(INDEX(輔助計算!$D:$D, (MATCH(1015, 輔助計算!$G$2:$G$801, 0)+1)),IF(INDEX(ERP資料!$G:$G, (MATCH(1015, 輔助計算!$G$2:$G$801, 0)+1))&lt;100, IF(INDEX(ERP資料!$G:$G, (MATCH(1015, 輔助計算!$G$2:$G$801, 0)+1))&lt;=31,3,IF(INDEX(ERP資料!$G:$G, (MATCH(1015, 輔助計算!$G$2:$G$801, 0)+1))&lt;=46.5,2,1)), IF(INDEX(ERP資料!$G:$G, (MATCH(1015, 輔助計算!$G$2:$G$801, 0)+1))&lt;=790,3,IF(INDEX(ERP資料!$G:$G, (MATCH(1015, 輔助計算!$G$2:$G$801, 0)+1))&lt;=1181,2,1))))=2,TEXT(INDEX(ERP資料!$G:$G, (MATCH(1015, 輔助計算!$G$2:$G$801, 0)+1)),"0.##")&amp;"+"&amp;TEXT(INDEX(ERP資料!$G:$G, (MATCH(1015, 輔助計算!$G$2:$G$801, 0)+1)),"0.##"),TEXT(INDEX(ERP資料!$G:$G, (MATCH(1015, 輔助計算!$G$2:$G$801, 0)+1)),"0.##")&amp;"+"&amp;TEXT(INDEX(ERP資料!$G:$G, (MATCH(1015, 輔助計算!$G$2:$G$801, 0)+1)),"0.##")&amp;"+"&amp;TEXT(INDEX(ERP資料!$G:$G, (MATCH(1015, 輔助計算!$G$2:$G$801, 0)+1)),"0.##"))))&amp;"-1")&lt;&gt;""),"  ","")&amp;IF(MOD(INDEX(輔助計算!$D:$D, (MATCH(1015, 輔助計算!$G$2:$G$801, 0)+1)),IF(INDEX(ERP資料!$G:$G, (MATCH(1015, 輔助計算!$G$2:$G$801, 0)+1))&lt;100, IF(INDEX(ERP資料!$G:$G, (MATCH(1015, 輔助計算!$G$2:$G$801, 0)+1))&lt;=31,3,IF(INDEX(ERP資料!$G:$G, (MATCH(1015, 輔助計算!$G$2:$G$801, 0)+1))&lt;=46.5,2,1)), IF(INDEX(ERP資料!$G:$G, (MATCH(1015, 輔助計算!$G$2:$G$801, 0)+1))&lt;=790,3,IF(INDEX(ERP資料!$G:$G, (MATCH(1015, 輔助計算!$G$2:$G$801, 0)+1))&lt;=1181,2,1))))=0,"",IF(MOD(INDEX(輔助計算!$D:$D, (MATCH(1015, 輔助計算!$G$2:$G$801, 0)+1)),IF(INDEX(ERP資料!$G:$G, (MATCH(1015, 輔助計算!$G$2:$G$801, 0)+1))&lt;100, IF(INDEX(ERP資料!$G:$G, (MATCH(1015, 輔助計算!$G$2:$G$801, 0)+1))&lt;=31,3,IF(INDEX(ERP資料!$G:$G, (MATCH(1015, 輔助計算!$G$2:$G$801, 0)+1))&lt;=46.5,2,1)), IF(INDEX(ERP資料!$G:$G, (MATCH(1015, 輔助計算!$G$2:$G$801, 0)+1))&lt;=790,3,IF(INDEX(ERP資料!$G:$G, (MATCH(1015, 輔助計算!$G$2:$G$801, 0)+1))&lt;=1181,2,1))))=0,"",IF(MOD(INDEX(輔助計算!$D:$D, (MATCH(1015, 輔助計算!$G$2:$G$801, 0)+1)),IF(INDEX(ERP資料!$G:$G, (MATCH(1015, 輔助計算!$G$2:$G$801, 0)+1))&lt;100, IF(INDEX(ERP資料!$G:$G, (MATCH(1015, 輔助計算!$G$2:$G$801, 0)+1))&lt;=31,3,IF(INDEX(ERP資料!$G:$G, (MATCH(1015, 輔助計算!$G$2:$G$801, 0)+1))&lt;=46.5,2,1)), IF(INDEX(ERP資料!$G:$G, (MATCH(1015, 輔助計算!$G$2:$G$801, 0)+1))&lt;=790,3,IF(INDEX(ERP資料!$G:$G, (MATCH(1015, 輔助計算!$G$2:$G$801, 0)+1))&lt;=1181,2,1))))=1,TEXT(INDEX(ERP資料!$G:$G, (MATCH(1015, 輔助計算!$G$2:$G$801, 0)+1)),"0.##"),IF(MOD(INDEX(輔助計算!$D:$D, (MATCH(1015, 輔助計算!$G$2:$G$801, 0)+1)),IF(INDEX(ERP資料!$G:$G, (MATCH(1015, 輔助計算!$G$2:$G$801, 0)+1))&lt;100, IF(INDEX(ERP資料!$G:$G, (MATCH(1015, 輔助計算!$G$2:$G$801, 0)+1))&lt;=31,3,IF(INDEX(ERP資料!$G:$G, (MATCH(1015, 輔助計算!$G$2:$G$801, 0)+1))&lt;=46.5,2,1)), IF(INDEX(ERP資料!$G:$G, (MATCH(1015, 輔助計算!$G$2:$G$801, 0)+1))&lt;=790,3,IF(INDEX(ERP資料!$G:$G, (MATCH(1015, 輔助計算!$G$2:$G$801, 0)+1))&lt;=1181,2,1))))=2,TEXT(INDEX(ERP資料!$G:$G, (MATCH(1015, 輔助計算!$G$2:$G$801, 0)+1)),"0.##")&amp;"+"&amp;TEXT(INDEX(ERP資料!$G:$G, (MATCH(1015, 輔助計算!$G$2:$G$801, 0)+1)),"0.##"),TEXT(INDEX(ERP資料!$G:$G, (MATCH(1015, 輔助計算!$G$2:$G$801, 0)+1)),"0.##")&amp;"+"&amp;TEXT(INDEX(ERP資料!$G:$G, (MATCH(1015, 輔助計算!$G$2:$G$801, 0)+1)),"0.##")&amp;"+"&amp;TEXT(INDEX(ERP資料!$G:$G, (MATCH(1015, 輔助計算!$G$2:$G$801, 0)+1)),"0.##"))))&amp;"-1")), ""), "")</f>
        <v/>
      </c>
      <c r="K1016" s="16" t="n"/>
      <c r="L1016" s="14">
        <f>IFERROR(IF(AND(IFERROR(INDEX(ERP資料!$A:$A, (MATCH(1015, 輔助計算!$G$2:$G$801, 0)+1)), "")&lt;&gt;"", IFERROR(INDEX(ERP資料!$A:$A, (MATCH(1015, 輔助計算!$G$2:$G$801, 0)+1)), "")&lt;&gt;IFERROR(INDEX(ERP資料!$A:$A, MATCH(1014, 輔助計算!$G$2:$G$801, 0)+1), "")), INDEX(ERP資料!$B:$B, (MATCH(1015, 輔助計算!$G$2:$G$801, 0)+1)), ""), "")</f>
        <v/>
      </c>
      <c r="M1016" s="17" t="n"/>
    </row>
    <row r="1017">
      <c r="A1017" s="10">
        <f>IFERROR(IF(AND(IFERROR(INDEX(ERP資料!$A:$A, (MATCH(1016, 輔助計算!$G$2:$G$801, 0)+1)), "")&lt;&gt;"", IFERROR(INDEX(ERP資料!$A:$A, (MATCH(1016, 輔助計算!$G$2:$G$801, 0)+1)), "")&lt;&gt;IFERROR(INDEX(ERP資料!$A:$A, MATCH(1015, 輔助計算!$G$2:$G$801, 0)+1), "")), IFERROR(INDEX(ERP資料!$A:$A, (MATCH(1016, 輔助計算!$G$2:$G$801, 0)+1)), ""), ""), "")</f>
        <v/>
      </c>
      <c r="B1017" s="10">
        <f>IFERROR(IF(AND(IFERROR(INDEX(ERP資料!$A:$A, (MATCH(1016, 輔助計算!$G$2:$G$801, 0)+1)), "")&lt;&gt;"", IFERROR(INDEX(ERP資料!$A:$A, (MATCH(1016, 輔助計算!$G$2:$G$801, 0)+1)), "")&lt;&gt;IFERROR(INDEX(ERP資料!$A:$A, MATCH(1015, 輔助計算!$G$2:$G$801, 0)+1), "")), INDEX(ERP資料!$S:$S, (MATCH(1016, 輔助計算!$G$2:$G$801, 0)+1)), ""), "")</f>
        <v/>
      </c>
      <c r="C1017" s="19">
        <f>IFERROR(IF(AND(IFERROR(INDEX(ERP資料!$A:$A, (MATCH(1016, 輔助計算!$G$2:$G$801, 0)+1)), "")&lt;&gt;"", IFERROR(INDEX(ERP資料!$A:$A, (MATCH(1016, 輔助計算!$G$2:$G$801, 0)+1)), "")&lt;&gt;IFERROR(INDEX(ERP資料!$A:$A, MATCH(1015, 輔助計算!$G$2:$G$801, 0)+1), "")), IFERROR(VLOOKUP(LEFT(INDEX(ERP資料!$S:$S, (MATCH(1016, 輔助計算!$G$2:$G$801, 0)+1)), 4), 紙管對照表!$A:$C, 3, FALSE), ""), ""), "")</f>
        <v/>
      </c>
      <c r="D1017" s="16" t="n"/>
      <c r="E1017" s="10">
        <f>IFERROR(IF(INDEX(ERP資料!$H:$H, (MATCH(1016, 輔助計算!$G$2:$G$801, 0)+1))="","",INDEX(ERP資料!$H:$H, (MATCH(1016, 輔助計算!$G$2:$G$801, 0)+1))), "")</f>
        <v/>
      </c>
      <c r="F1017" s="10">
        <f>IFERROR(IF(INDEX(ERP資料!$E:$E, (MATCH(1016, 輔助計算!$G$2:$G$801, 0)+1))="","",TRIM(INDEX(ERP資料!$E:$E, (MATCH(1016, 輔助計算!$G$2:$G$801, 0)+1)))), "")</f>
        <v/>
      </c>
      <c r="G1017" s="10">
        <f>IFERROR(IF(INDEX(ERP資料!$F:$F, (MATCH(1016, 輔助計算!$G$2:$G$801, 0)+1))="","",INDEX(ERP資料!$F:$F, (MATCH(1016, 輔助計算!$G$2:$G$801, 0)+1))), "")</f>
        <v/>
      </c>
      <c r="H1017" s="10">
        <f>IFERROR(IF(INDEX(ERP資料!$G:$G, (MATCH(1016, 輔助計算!$G$2:$G$801, 0)+1))="","",INDEX(ERP資料!$G:$G, (MATCH(1016, 輔助計算!$G$2:$G$801, 0)+1))), "")</f>
        <v/>
      </c>
      <c r="I1017" s="15">
        <f>IFERROR(INDEX(輔助計算!$D:$D, (MATCH(1016, 輔助計算!$G$2:$G$801, 0)+1)), "")</f>
        <v/>
      </c>
      <c r="J1017" s="15">
        <f>IFERROR(IF(AND(INDEX(輔助計算!$D:$D, (MATCH(1016, 輔助計算!$G$2:$G$801, 0)+1))&lt;&gt;"", INDEX(ERP資料!$G:$G, (MATCH(1016, 輔助計算!$G$2:$G$801, 0)+1))&lt;&gt;""), TRIM(IF(INT(INDEX(輔助計算!$D:$D, (MATCH(1016, 輔助計算!$G$2:$G$801, 0)+1))/IF(INDEX(ERP資料!$G:$G, (MATCH(1016, 輔助計算!$G$2:$G$801, 0)+1))&lt;100, IF(INDEX(ERP資料!$G:$G, (MATCH(1016, 輔助計算!$G$2:$G$801, 0)+1))&lt;=31,3,IF(INDEX(ERP資料!$G:$G, (MATCH(1016, 輔助計算!$G$2:$G$801, 0)+1))&lt;=46.5,2,1)), IF(INDEX(ERP資料!$G:$G, (MATCH(1016, 輔助計算!$G$2:$G$801, 0)+1))&lt;=790,3,IF(INDEX(ERP資料!$G:$G, (MATCH(1016, 輔助計算!$G$2:$G$801, 0)+1))&lt;=1181,2,1))))&gt;0, IF(IF(INDEX(ERP資料!$G:$G, (MATCH(1016, 輔助計算!$G$2:$G$801, 0)+1))&lt;100, IF(INDEX(ERP資料!$G:$G, (MATCH(1016, 輔助計算!$G$2:$G$801, 0)+1))&lt;=31,3,IF(INDEX(ERP資料!$G:$G, (MATCH(1016, 輔助計算!$G$2:$G$801, 0)+1))&lt;=46.5,2,1)), IF(INDEX(ERP資料!$G:$G, (MATCH(1016, 輔助計算!$G$2:$G$801, 0)+1))&lt;=790,3,IF(INDEX(ERP資料!$G:$G, (MATCH(1016, 輔助計算!$G$2:$G$801, 0)+1))&lt;=1181,2,1)))=1,TEXT(INDEX(ERP資料!$G:$G, (MATCH(1016, 輔助計算!$G$2:$G$801, 0)+1)),"0.##"),IF(IF(INDEX(ERP資料!$G:$G, (MATCH(1016, 輔助計算!$G$2:$G$801, 0)+1))&lt;100, IF(INDEX(ERP資料!$G:$G, (MATCH(1016, 輔助計算!$G$2:$G$801, 0)+1))&lt;=31,3,IF(INDEX(ERP資料!$G:$G, (MATCH(1016, 輔助計算!$G$2:$G$801, 0)+1))&lt;=46.5,2,1)), IF(INDEX(ERP資料!$G:$G, (MATCH(1016, 輔助計算!$G$2:$G$801, 0)+1))&lt;=790,3,IF(INDEX(ERP資料!$G:$G, (MATCH(1016, 輔助計算!$G$2:$G$801, 0)+1))&lt;=1181,2,1)))=2,TEXT(INDEX(ERP資料!$G:$G, (MATCH(1016, 輔助計算!$G$2:$G$801, 0)+1)),"0.##")&amp;"+"&amp;TEXT(INDEX(ERP資料!$G:$G, (MATCH(1016, 輔助計算!$G$2:$G$801, 0)+1)),"0.##"),TEXT(INDEX(ERP資料!$G:$G, (MATCH(1016, 輔助計算!$G$2:$G$801, 0)+1)),"0.##")&amp;"+"&amp;TEXT(INDEX(ERP資料!$G:$G, (MATCH(1016, 輔助計算!$G$2:$G$801, 0)+1)),"0.##")&amp;"+"&amp;TEXT(INDEX(ERP資料!$G:$G, (MATCH(1016, 輔助計算!$G$2:$G$801, 0)+1)),"0.##")))&amp;"-"&amp;INT(INDEX(輔助計算!$D:$D, (MATCH(1016, 輔助計算!$G$2:$G$801, 0)+1))/IF(INDEX(ERP資料!$G:$G, (MATCH(1016, 輔助計算!$G$2:$G$801, 0)+1))&lt;100, IF(INDEX(ERP資料!$G:$G, (MATCH(1016, 輔助計算!$G$2:$G$801, 0)+1))&lt;=31,3,IF(INDEX(ERP資料!$G:$G, (MATCH(1016, 輔助計算!$G$2:$G$801, 0)+1))&lt;=46.5,2,1)), IF(INDEX(ERP資料!$G:$G, (MATCH(1016, 輔助計算!$G$2:$G$801, 0)+1))&lt;=790,3,IF(INDEX(ERP資料!$G:$G, (MATCH(1016, 輔助計算!$G$2:$G$801, 0)+1))&lt;=1181,2,1)))), "")&amp;IF(AND(IF(INT(INDEX(輔助計算!$D:$D, (MATCH(1016, 輔助計算!$G$2:$G$801, 0)+1))/IF(INDEX(ERP資料!$G:$G, (MATCH(1016, 輔助計算!$G$2:$G$801, 0)+1))&lt;100, IF(INDEX(ERP資料!$G:$G, (MATCH(1016, 輔助計算!$G$2:$G$801, 0)+1))&lt;=31,3,IF(INDEX(ERP資料!$G:$G, (MATCH(1016, 輔助計算!$G$2:$G$801, 0)+1))&lt;=46.5,2,1)), IF(INDEX(ERP資料!$G:$G, (MATCH(1016, 輔助計算!$G$2:$G$801, 0)+1))&lt;=790,3,IF(INDEX(ERP資料!$G:$G, (MATCH(1016, 輔助計算!$G$2:$G$801, 0)+1))&lt;=1181,2,1))))&gt;0, IF(IF(INDEX(ERP資料!$G:$G, (MATCH(1016, 輔助計算!$G$2:$G$801, 0)+1))&lt;100, IF(INDEX(ERP資料!$G:$G, (MATCH(1016, 輔助計算!$G$2:$G$801, 0)+1))&lt;=31,3,IF(INDEX(ERP資料!$G:$G, (MATCH(1016, 輔助計算!$G$2:$G$801, 0)+1))&lt;=46.5,2,1)), IF(INDEX(ERP資料!$G:$G, (MATCH(1016, 輔助計算!$G$2:$G$801, 0)+1))&lt;=790,3,IF(INDEX(ERP資料!$G:$G, (MATCH(1016, 輔助計算!$G$2:$G$801, 0)+1))&lt;=1181,2,1)))=1,TEXT(INDEX(ERP資料!$G:$G, (MATCH(1016, 輔助計算!$G$2:$G$801, 0)+1)),"0.##"),IF(IF(INDEX(ERP資料!$G:$G, (MATCH(1016, 輔助計算!$G$2:$G$801, 0)+1))&lt;100, IF(INDEX(ERP資料!$G:$G, (MATCH(1016, 輔助計算!$G$2:$G$801, 0)+1))&lt;=31,3,IF(INDEX(ERP資料!$G:$G, (MATCH(1016, 輔助計算!$G$2:$G$801, 0)+1))&lt;=46.5,2,1)), IF(INDEX(ERP資料!$G:$G, (MATCH(1016, 輔助計算!$G$2:$G$801, 0)+1))&lt;=790,3,IF(INDEX(ERP資料!$G:$G, (MATCH(1016, 輔助計算!$G$2:$G$801, 0)+1))&lt;=1181,2,1)))=2,TEXT(INDEX(ERP資料!$G:$G, (MATCH(1016, 輔助計算!$G$2:$G$801, 0)+1)),"0.##")&amp;"+"&amp;TEXT(INDEX(ERP資料!$G:$G, (MATCH(1016, 輔助計算!$G$2:$G$801, 0)+1)),"0.##"),TEXT(INDEX(ERP資料!$G:$G, (MATCH(1016, 輔助計算!$G$2:$G$801, 0)+1)),"0.##")&amp;"+"&amp;TEXT(INDEX(ERP資料!$G:$G, (MATCH(1016, 輔助計算!$G$2:$G$801, 0)+1)),"0.##")&amp;"+"&amp;TEXT(INDEX(ERP資料!$G:$G, (MATCH(1016, 輔助計算!$G$2:$G$801, 0)+1)),"0.##")))&amp;"-"&amp;INT(INDEX(輔助計算!$D:$D, (MATCH(1016, 輔助計算!$G$2:$G$801, 0)+1))/IF(INDEX(ERP資料!$G:$G, (MATCH(1016, 輔助計算!$G$2:$G$801, 0)+1))&lt;100, IF(INDEX(ERP資料!$G:$G, (MATCH(1016, 輔助計算!$G$2:$G$801, 0)+1))&lt;=31,3,IF(INDEX(ERP資料!$G:$G, (MATCH(1016, 輔助計算!$G$2:$G$801, 0)+1))&lt;=46.5,2,1)), IF(INDEX(ERP資料!$G:$G, (MATCH(1016, 輔助計算!$G$2:$G$801, 0)+1))&lt;=790,3,IF(INDEX(ERP資料!$G:$G, (MATCH(1016, 輔助計算!$G$2:$G$801, 0)+1))&lt;=1181,2,1)))), "")&lt;&gt;"",IF(MOD(INDEX(輔助計算!$D:$D, (MATCH(1016, 輔助計算!$G$2:$G$801, 0)+1)),IF(INDEX(ERP資料!$G:$G, (MATCH(1016, 輔助計算!$G$2:$G$801, 0)+1))&lt;100, IF(INDEX(ERP資料!$G:$G, (MATCH(1016, 輔助計算!$G$2:$G$801, 0)+1))&lt;=31,3,IF(INDEX(ERP資料!$G:$G, (MATCH(1016, 輔助計算!$G$2:$G$801, 0)+1))&lt;=46.5,2,1)), IF(INDEX(ERP資料!$G:$G, (MATCH(1016, 輔助計算!$G$2:$G$801, 0)+1))&lt;=790,3,IF(INDEX(ERP資料!$G:$G, (MATCH(1016, 輔助計算!$G$2:$G$801, 0)+1))&lt;=1181,2,1))))=0,"",IF(MOD(INDEX(輔助計算!$D:$D, (MATCH(1016, 輔助計算!$G$2:$G$801, 0)+1)),IF(INDEX(ERP資料!$G:$G, (MATCH(1016, 輔助計算!$G$2:$G$801, 0)+1))&lt;100, IF(INDEX(ERP資料!$G:$G, (MATCH(1016, 輔助計算!$G$2:$G$801, 0)+1))&lt;=31,3,IF(INDEX(ERP資料!$G:$G, (MATCH(1016, 輔助計算!$G$2:$G$801, 0)+1))&lt;=46.5,2,1)), IF(INDEX(ERP資料!$G:$G, (MATCH(1016, 輔助計算!$G$2:$G$801, 0)+1))&lt;=790,3,IF(INDEX(ERP資料!$G:$G, (MATCH(1016, 輔助計算!$G$2:$G$801, 0)+1))&lt;=1181,2,1))))=0,"",IF(MOD(INDEX(輔助計算!$D:$D, (MATCH(1016, 輔助計算!$G$2:$G$801, 0)+1)),IF(INDEX(ERP資料!$G:$G, (MATCH(1016, 輔助計算!$G$2:$G$801, 0)+1))&lt;100, IF(INDEX(ERP資料!$G:$G, (MATCH(1016, 輔助計算!$G$2:$G$801, 0)+1))&lt;=31,3,IF(INDEX(ERP資料!$G:$G, (MATCH(1016, 輔助計算!$G$2:$G$801, 0)+1))&lt;=46.5,2,1)), IF(INDEX(ERP資料!$G:$G, (MATCH(1016, 輔助計算!$G$2:$G$801, 0)+1))&lt;=790,3,IF(INDEX(ERP資料!$G:$G, (MATCH(1016, 輔助計算!$G$2:$G$801, 0)+1))&lt;=1181,2,1))))=1,TEXT(INDEX(ERP資料!$G:$G, (MATCH(1016, 輔助計算!$G$2:$G$801, 0)+1)),"0.##"),IF(MOD(INDEX(輔助計算!$D:$D, (MATCH(1016, 輔助計算!$G$2:$G$801, 0)+1)),IF(INDEX(ERP資料!$G:$G, (MATCH(1016, 輔助計算!$G$2:$G$801, 0)+1))&lt;100, IF(INDEX(ERP資料!$G:$G, (MATCH(1016, 輔助計算!$G$2:$G$801, 0)+1))&lt;=31,3,IF(INDEX(ERP資料!$G:$G, (MATCH(1016, 輔助計算!$G$2:$G$801, 0)+1))&lt;=46.5,2,1)), IF(INDEX(ERP資料!$G:$G, (MATCH(1016, 輔助計算!$G$2:$G$801, 0)+1))&lt;=790,3,IF(INDEX(ERP資料!$G:$G, (MATCH(1016, 輔助計算!$G$2:$G$801, 0)+1))&lt;=1181,2,1))))=2,TEXT(INDEX(ERP資料!$G:$G, (MATCH(1016, 輔助計算!$G$2:$G$801, 0)+1)),"0.##")&amp;"+"&amp;TEXT(INDEX(ERP資料!$G:$G, (MATCH(1016, 輔助計算!$G$2:$G$801, 0)+1)),"0.##"),TEXT(INDEX(ERP資料!$G:$G, (MATCH(1016, 輔助計算!$G$2:$G$801, 0)+1)),"0.##")&amp;"+"&amp;TEXT(INDEX(ERP資料!$G:$G, (MATCH(1016, 輔助計算!$G$2:$G$801, 0)+1)),"0.##")&amp;"+"&amp;TEXT(INDEX(ERP資料!$G:$G, (MATCH(1016, 輔助計算!$G$2:$G$801, 0)+1)),"0.##"))))&amp;"-1")&lt;&gt;""),"  ","")&amp;IF(MOD(INDEX(輔助計算!$D:$D, (MATCH(1016, 輔助計算!$G$2:$G$801, 0)+1)),IF(INDEX(ERP資料!$G:$G, (MATCH(1016, 輔助計算!$G$2:$G$801, 0)+1))&lt;100, IF(INDEX(ERP資料!$G:$G, (MATCH(1016, 輔助計算!$G$2:$G$801, 0)+1))&lt;=31,3,IF(INDEX(ERP資料!$G:$G, (MATCH(1016, 輔助計算!$G$2:$G$801, 0)+1))&lt;=46.5,2,1)), IF(INDEX(ERP資料!$G:$G, (MATCH(1016, 輔助計算!$G$2:$G$801, 0)+1))&lt;=790,3,IF(INDEX(ERP資料!$G:$G, (MATCH(1016, 輔助計算!$G$2:$G$801, 0)+1))&lt;=1181,2,1))))=0,"",IF(MOD(INDEX(輔助計算!$D:$D, (MATCH(1016, 輔助計算!$G$2:$G$801, 0)+1)),IF(INDEX(ERP資料!$G:$G, (MATCH(1016, 輔助計算!$G$2:$G$801, 0)+1))&lt;100, IF(INDEX(ERP資料!$G:$G, (MATCH(1016, 輔助計算!$G$2:$G$801, 0)+1))&lt;=31,3,IF(INDEX(ERP資料!$G:$G, (MATCH(1016, 輔助計算!$G$2:$G$801, 0)+1))&lt;=46.5,2,1)), IF(INDEX(ERP資料!$G:$G, (MATCH(1016, 輔助計算!$G$2:$G$801, 0)+1))&lt;=790,3,IF(INDEX(ERP資料!$G:$G, (MATCH(1016, 輔助計算!$G$2:$G$801, 0)+1))&lt;=1181,2,1))))=0,"",IF(MOD(INDEX(輔助計算!$D:$D, (MATCH(1016, 輔助計算!$G$2:$G$801, 0)+1)),IF(INDEX(ERP資料!$G:$G, (MATCH(1016, 輔助計算!$G$2:$G$801, 0)+1))&lt;100, IF(INDEX(ERP資料!$G:$G, (MATCH(1016, 輔助計算!$G$2:$G$801, 0)+1))&lt;=31,3,IF(INDEX(ERP資料!$G:$G, (MATCH(1016, 輔助計算!$G$2:$G$801, 0)+1))&lt;=46.5,2,1)), IF(INDEX(ERP資料!$G:$G, (MATCH(1016, 輔助計算!$G$2:$G$801, 0)+1))&lt;=790,3,IF(INDEX(ERP資料!$G:$G, (MATCH(1016, 輔助計算!$G$2:$G$801, 0)+1))&lt;=1181,2,1))))=1,TEXT(INDEX(ERP資料!$G:$G, (MATCH(1016, 輔助計算!$G$2:$G$801, 0)+1)),"0.##"),IF(MOD(INDEX(輔助計算!$D:$D, (MATCH(1016, 輔助計算!$G$2:$G$801, 0)+1)),IF(INDEX(ERP資料!$G:$G, (MATCH(1016, 輔助計算!$G$2:$G$801, 0)+1))&lt;100, IF(INDEX(ERP資料!$G:$G, (MATCH(1016, 輔助計算!$G$2:$G$801, 0)+1))&lt;=31,3,IF(INDEX(ERP資料!$G:$G, (MATCH(1016, 輔助計算!$G$2:$G$801, 0)+1))&lt;=46.5,2,1)), IF(INDEX(ERP資料!$G:$G, (MATCH(1016, 輔助計算!$G$2:$G$801, 0)+1))&lt;=790,3,IF(INDEX(ERP資料!$G:$G, (MATCH(1016, 輔助計算!$G$2:$G$801, 0)+1))&lt;=1181,2,1))))=2,TEXT(INDEX(ERP資料!$G:$G, (MATCH(1016, 輔助計算!$G$2:$G$801, 0)+1)),"0.##")&amp;"+"&amp;TEXT(INDEX(ERP資料!$G:$G, (MATCH(1016, 輔助計算!$G$2:$G$801, 0)+1)),"0.##"),TEXT(INDEX(ERP資料!$G:$G, (MATCH(1016, 輔助計算!$G$2:$G$801, 0)+1)),"0.##")&amp;"+"&amp;TEXT(INDEX(ERP資料!$G:$G, (MATCH(1016, 輔助計算!$G$2:$G$801, 0)+1)),"0.##")&amp;"+"&amp;TEXT(INDEX(ERP資料!$G:$G, (MATCH(1016, 輔助計算!$G$2:$G$801, 0)+1)),"0.##"))))&amp;"-1")), ""), "")</f>
        <v/>
      </c>
      <c r="K1017" s="16" t="n"/>
      <c r="L1017" s="14">
        <f>IFERROR(IF(AND(IFERROR(INDEX(ERP資料!$A:$A, (MATCH(1016, 輔助計算!$G$2:$G$801, 0)+1)), "")&lt;&gt;"", IFERROR(INDEX(ERP資料!$A:$A, (MATCH(1016, 輔助計算!$G$2:$G$801, 0)+1)), "")&lt;&gt;IFERROR(INDEX(ERP資料!$A:$A, MATCH(1015, 輔助計算!$G$2:$G$801, 0)+1), "")), INDEX(ERP資料!$B:$B, (MATCH(1016, 輔助計算!$G$2:$G$801, 0)+1)), ""), "")</f>
        <v/>
      </c>
      <c r="M1017" s="17" t="n"/>
    </row>
    <row r="1018">
      <c r="A1018" s="10">
        <f>IFERROR(IF(AND(IFERROR(INDEX(ERP資料!$A:$A, (MATCH(1017, 輔助計算!$G$2:$G$801, 0)+1)), "")&lt;&gt;"", IFERROR(INDEX(ERP資料!$A:$A, (MATCH(1017, 輔助計算!$G$2:$G$801, 0)+1)), "")&lt;&gt;IFERROR(INDEX(ERP資料!$A:$A, MATCH(1016, 輔助計算!$G$2:$G$801, 0)+1), "")), IFERROR(INDEX(ERP資料!$A:$A, (MATCH(1017, 輔助計算!$G$2:$G$801, 0)+1)), ""), ""), "")</f>
        <v/>
      </c>
      <c r="B1018" s="10">
        <f>IFERROR(IF(AND(IFERROR(INDEX(ERP資料!$A:$A, (MATCH(1017, 輔助計算!$G$2:$G$801, 0)+1)), "")&lt;&gt;"", IFERROR(INDEX(ERP資料!$A:$A, (MATCH(1017, 輔助計算!$G$2:$G$801, 0)+1)), "")&lt;&gt;IFERROR(INDEX(ERP資料!$A:$A, MATCH(1016, 輔助計算!$G$2:$G$801, 0)+1), "")), INDEX(ERP資料!$S:$S, (MATCH(1017, 輔助計算!$G$2:$G$801, 0)+1)), ""), "")</f>
        <v/>
      </c>
      <c r="C1018" s="19">
        <f>IFERROR(IF(AND(IFERROR(INDEX(ERP資料!$A:$A, (MATCH(1017, 輔助計算!$G$2:$G$801, 0)+1)), "")&lt;&gt;"", IFERROR(INDEX(ERP資料!$A:$A, (MATCH(1017, 輔助計算!$G$2:$G$801, 0)+1)), "")&lt;&gt;IFERROR(INDEX(ERP資料!$A:$A, MATCH(1016, 輔助計算!$G$2:$G$801, 0)+1), "")), IFERROR(VLOOKUP(LEFT(INDEX(ERP資料!$S:$S, (MATCH(1017, 輔助計算!$G$2:$G$801, 0)+1)), 4), 紙管對照表!$A:$C, 3, FALSE), ""), ""), "")</f>
        <v/>
      </c>
      <c r="D1018" s="16" t="n"/>
      <c r="E1018" s="10">
        <f>IFERROR(IF(INDEX(ERP資料!$H:$H, (MATCH(1017, 輔助計算!$G$2:$G$801, 0)+1))="","",INDEX(ERP資料!$H:$H, (MATCH(1017, 輔助計算!$G$2:$G$801, 0)+1))), "")</f>
        <v/>
      </c>
      <c r="F1018" s="10">
        <f>IFERROR(IF(INDEX(ERP資料!$E:$E, (MATCH(1017, 輔助計算!$G$2:$G$801, 0)+1))="","",TRIM(INDEX(ERP資料!$E:$E, (MATCH(1017, 輔助計算!$G$2:$G$801, 0)+1)))), "")</f>
        <v/>
      </c>
      <c r="G1018" s="10">
        <f>IFERROR(IF(INDEX(ERP資料!$F:$F, (MATCH(1017, 輔助計算!$G$2:$G$801, 0)+1))="","",INDEX(ERP資料!$F:$F, (MATCH(1017, 輔助計算!$G$2:$G$801, 0)+1))), "")</f>
        <v/>
      </c>
      <c r="H1018" s="10">
        <f>IFERROR(IF(INDEX(ERP資料!$G:$G, (MATCH(1017, 輔助計算!$G$2:$G$801, 0)+1))="","",INDEX(ERP資料!$G:$G, (MATCH(1017, 輔助計算!$G$2:$G$801, 0)+1))), "")</f>
        <v/>
      </c>
      <c r="I1018" s="15">
        <f>IFERROR(INDEX(輔助計算!$D:$D, (MATCH(1017, 輔助計算!$G$2:$G$801, 0)+1)), "")</f>
        <v/>
      </c>
      <c r="J1018" s="15">
        <f>IFERROR(IF(AND(INDEX(輔助計算!$D:$D, (MATCH(1017, 輔助計算!$G$2:$G$801, 0)+1))&lt;&gt;"", INDEX(ERP資料!$G:$G, (MATCH(1017, 輔助計算!$G$2:$G$801, 0)+1))&lt;&gt;""), TRIM(IF(INT(INDEX(輔助計算!$D:$D, (MATCH(1017, 輔助計算!$G$2:$G$801, 0)+1))/IF(INDEX(ERP資料!$G:$G, (MATCH(1017, 輔助計算!$G$2:$G$801, 0)+1))&lt;100, IF(INDEX(ERP資料!$G:$G, (MATCH(1017, 輔助計算!$G$2:$G$801, 0)+1))&lt;=31,3,IF(INDEX(ERP資料!$G:$G, (MATCH(1017, 輔助計算!$G$2:$G$801, 0)+1))&lt;=46.5,2,1)), IF(INDEX(ERP資料!$G:$G, (MATCH(1017, 輔助計算!$G$2:$G$801, 0)+1))&lt;=790,3,IF(INDEX(ERP資料!$G:$G, (MATCH(1017, 輔助計算!$G$2:$G$801, 0)+1))&lt;=1181,2,1))))&gt;0, IF(IF(INDEX(ERP資料!$G:$G, (MATCH(1017, 輔助計算!$G$2:$G$801, 0)+1))&lt;100, IF(INDEX(ERP資料!$G:$G, (MATCH(1017, 輔助計算!$G$2:$G$801, 0)+1))&lt;=31,3,IF(INDEX(ERP資料!$G:$G, (MATCH(1017, 輔助計算!$G$2:$G$801, 0)+1))&lt;=46.5,2,1)), IF(INDEX(ERP資料!$G:$G, (MATCH(1017, 輔助計算!$G$2:$G$801, 0)+1))&lt;=790,3,IF(INDEX(ERP資料!$G:$G, (MATCH(1017, 輔助計算!$G$2:$G$801, 0)+1))&lt;=1181,2,1)))=1,TEXT(INDEX(ERP資料!$G:$G, (MATCH(1017, 輔助計算!$G$2:$G$801, 0)+1)),"0.##"),IF(IF(INDEX(ERP資料!$G:$G, (MATCH(1017, 輔助計算!$G$2:$G$801, 0)+1))&lt;100, IF(INDEX(ERP資料!$G:$G, (MATCH(1017, 輔助計算!$G$2:$G$801, 0)+1))&lt;=31,3,IF(INDEX(ERP資料!$G:$G, (MATCH(1017, 輔助計算!$G$2:$G$801, 0)+1))&lt;=46.5,2,1)), IF(INDEX(ERP資料!$G:$G, (MATCH(1017, 輔助計算!$G$2:$G$801, 0)+1))&lt;=790,3,IF(INDEX(ERP資料!$G:$G, (MATCH(1017, 輔助計算!$G$2:$G$801, 0)+1))&lt;=1181,2,1)))=2,TEXT(INDEX(ERP資料!$G:$G, (MATCH(1017, 輔助計算!$G$2:$G$801, 0)+1)),"0.##")&amp;"+"&amp;TEXT(INDEX(ERP資料!$G:$G, (MATCH(1017, 輔助計算!$G$2:$G$801, 0)+1)),"0.##"),TEXT(INDEX(ERP資料!$G:$G, (MATCH(1017, 輔助計算!$G$2:$G$801, 0)+1)),"0.##")&amp;"+"&amp;TEXT(INDEX(ERP資料!$G:$G, (MATCH(1017, 輔助計算!$G$2:$G$801, 0)+1)),"0.##")&amp;"+"&amp;TEXT(INDEX(ERP資料!$G:$G, (MATCH(1017, 輔助計算!$G$2:$G$801, 0)+1)),"0.##")))&amp;"-"&amp;INT(INDEX(輔助計算!$D:$D, (MATCH(1017, 輔助計算!$G$2:$G$801, 0)+1))/IF(INDEX(ERP資料!$G:$G, (MATCH(1017, 輔助計算!$G$2:$G$801, 0)+1))&lt;100, IF(INDEX(ERP資料!$G:$G, (MATCH(1017, 輔助計算!$G$2:$G$801, 0)+1))&lt;=31,3,IF(INDEX(ERP資料!$G:$G, (MATCH(1017, 輔助計算!$G$2:$G$801, 0)+1))&lt;=46.5,2,1)), IF(INDEX(ERP資料!$G:$G, (MATCH(1017, 輔助計算!$G$2:$G$801, 0)+1))&lt;=790,3,IF(INDEX(ERP資料!$G:$G, (MATCH(1017, 輔助計算!$G$2:$G$801, 0)+1))&lt;=1181,2,1)))), "")&amp;IF(AND(IF(INT(INDEX(輔助計算!$D:$D, (MATCH(1017, 輔助計算!$G$2:$G$801, 0)+1))/IF(INDEX(ERP資料!$G:$G, (MATCH(1017, 輔助計算!$G$2:$G$801, 0)+1))&lt;100, IF(INDEX(ERP資料!$G:$G, (MATCH(1017, 輔助計算!$G$2:$G$801, 0)+1))&lt;=31,3,IF(INDEX(ERP資料!$G:$G, (MATCH(1017, 輔助計算!$G$2:$G$801, 0)+1))&lt;=46.5,2,1)), IF(INDEX(ERP資料!$G:$G, (MATCH(1017, 輔助計算!$G$2:$G$801, 0)+1))&lt;=790,3,IF(INDEX(ERP資料!$G:$G, (MATCH(1017, 輔助計算!$G$2:$G$801, 0)+1))&lt;=1181,2,1))))&gt;0, IF(IF(INDEX(ERP資料!$G:$G, (MATCH(1017, 輔助計算!$G$2:$G$801, 0)+1))&lt;100, IF(INDEX(ERP資料!$G:$G, (MATCH(1017, 輔助計算!$G$2:$G$801, 0)+1))&lt;=31,3,IF(INDEX(ERP資料!$G:$G, (MATCH(1017, 輔助計算!$G$2:$G$801, 0)+1))&lt;=46.5,2,1)), IF(INDEX(ERP資料!$G:$G, (MATCH(1017, 輔助計算!$G$2:$G$801, 0)+1))&lt;=790,3,IF(INDEX(ERP資料!$G:$G, (MATCH(1017, 輔助計算!$G$2:$G$801, 0)+1))&lt;=1181,2,1)))=1,TEXT(INDEX(ERP資料!$G:$G, (MATCH(1017, 輔助計算!$G$2:$G$801, 0)+1)),"0.##"),IF(IF(INDEX(ERP資料!$G:$G, (MATCH(1017, 輔助計算!$G$2:$G$801, 0)+1))&lt;100, IF(INDEX(ERP資料!$G:$G, (MATCH(1017, 輔助計算!$G$2:$G$801, 0)+1))&lt;=31,3,IF(INDEX(ERP資料!$G:$G, (MATCH(1017, 輔助計算!$G$2:$G$801, 0)+1))&lt;=46.5,2,1)), IF(INDEX(ERP資料!$G:$G, (MATCH(1017, 輔助計算!$G$2:$G$801, 0)+1))&lt;=790,3,IF(INDEX(ERP資料!$G:$G, (MATCH(1017, 輔助計算!$G$2:$G$801, 0)+1))&lt;=1181,2,1)))=2,TEXT(INDEX(ERP資料!$G:$G, (MATCH(1017, 輔助計算!$G$2:$G$801, 0)+1)),"0.##")&amp;"+"&amp;TEXT(INDEX(ERP資料!$G:$G, (MATCH(1017, 輔助計算!$G$2:$G$801, 0)+1)),"0.##"),TEXT(INDEX(ERP資料!$G:$G, (MATCH(1017, 輔助計算!$G$2:$G$801, 0)+1)),"0.##")&amp;"+"&amp;TEXT(INDEX(ERP資料!$G:$G, (MATCH(1017, 輔助計算!$G$2:$G$801, 0)+1)),"0.##")&amp;"+"&amp;TEXT(INDEX(ERP資料!$G:$G, (MATCH(1017, 輔助計算!$G$2:$G$801, 0)+1)),"0.##")))&amp;"-"&amp;INT(INDEX(輔助計算!$D:$D, (MATCH(1017, 輔助計算!$G$2:$G$801, 0)+1))/IF(INDEX(ERP資料!$G:$G, (MATCH(1017, 輔助計算!$G$2:$G$801, 0)+1))&lt;100, IF(INDEX(ERP資料!$G:$G, (MATCH(1017, 輔助計算!$G$2:$G$801, 0)+1))&lt;=31,3,IF(INDEX(ERP資料!$G:$G, (MATCH(1017, 輔助計算!$G$2:$G$801, 0)+1))&lt;=46.5,2,1)), IF(INDEX(ERP資料!$G:$G, (MATCH(1017, 輔助計算!$G$2:$G$801, 0)+1))&lt;=790,3,IF(INDEX(ERP資料!$G:$G, (MATCH(1017, 輔助計算!$G$2:$G$801, 0)+1))&lt;=1181,2,1)))), "")&lt;&gt;"",IF(MOD(INDEX(輔助計算!$D:$D, (MATCH(1017, 輔助計算!$G$2:$G$801, 0)+1)),IF(INDEX(ERP資料!$G:$G, (MATCH(1017, 輔助計算!$G$2:$G$801, 0)+1))&lt;100, IF(INDEX(ERP資料!$G:$G, (MATCH(1017, 輔助計算!$G$2:$G$801, 0)+1))&lt;=31,3,IF(INDEX(ERP資料!$G:$G, (MATCH(1017, 輔助計算!$G$2:$G$801, 0)+1))&lt;=46.5,2,1)), IF(INDEX(ERP資料!$G:$G, (MATCH(1017, 輔助計算!$G$2:$G$801, 0)+1))&lt;=790,3,IF(INDEX(ERP資料!$G:$G, (MATCH(1017, 輔助計算!$G$2:$G$801, 0)+1))&lt;=1181,2,1))))=0,"",IF(MOD(INDEX(輔助計算!$D:$D, (MATCH(1017, 輔助計算!$G$2:$G$801, 0)+1)),IF(INDEX(ERP資料!$G:$G, (MATCH(1017, 輔助計算!$G$2:$G$801, 0)+1))&lt;100, IF(INDEX(ERP資料!$G:$G, (MATCH(1017, 輔助計算!$G$2:$G$801, 0)+1))&lt;=31,3,IF(INDEX(ERP資料!$G:$G, (MATCH(1017, 輔助計算!$G$2:$G$801, 0)+1))&lt;=46.5,2,1)), IF(INDEX(ERP資料!$G:$G, (MATCH(1017, 輔助計算!$G$2:$G$801, 0)+1))&lt;=790,3,IF(INDEX(ERP資料!$G:$G, (MATCH(1017, 輔助計算!$G$2:$G$801, 0)+1))&lt;=1181,2,1))))=0,"",IF(MOD(INDEX(輔助計算!$D:$D, (MATCH(1017, 輔助計算!$G$2:$G$801, 0)+1)),IF(INDEX(ERP資料!$G:$G, (MATCH(1017, 輔助計算!$G$2:$G$801, 0)+1))&lt;100, IF(INDEX(ERP資料!$G:$G, (MATCH(1017, 輔助計算!$G$2:$G$801, 0)+1))&lt;=31,3,IF(INDEX(ERP資料!$G:$G, (MATCH(1017, 輔助計算!$G$2:$G$801, 0)+1))&lt;=46.5,2,1)), IF(INDEX(ERP資料!$G:$G, (MATCH(1017, 輔助計算!$G$2:$G$801, 0)+1))&lt;=790,3,IF(INDEX(ERP資料!$G:$G, (MATCH(1017, 輔助計算!$G$2:$G$801, 0)+1))&lt;=1181,2,1))))=1,TEXT(INDEX(ERP資料!$G:$G, (MATCH(1017, 輔助計算!$G$2:$G$801, 0)+1)),"0.##"),IF(MOD(INDEX(輔助計算!$D:$D, (MATCH(1017, 輔助計算!$G$2:$G$801, 0)+1)),IF(INDEX(ERP資料!$G:$G, (MATCH(1017, 輔助計算!$G$2:$G$801, 0)+1))&lt;100, IF(INDEX(ERP資料!$G:$G, (MATCH(1017, 輔助計算!$G$2:$G$801, 0)+1))&lt;=31,3,IF(INDEX(ERP資料!$G:$G, (MATCH(1017, 輔助計算!$G$2:$G$801, 0)+1))&lt;=46.5,2,1)), IF(INDEX(ERP資料!$G:$G, (MATCH(1017, 輔助計算!$G$2:$G$801, 0)+1))&lt;=790,3,IF(INDEX(ERP資料!$G:$G, (MATCH(1017, 輔助計算!$G$2:$G$801, 0)+1))&lt;=1181,2,1))))=2,TEXT(INDEX(ERP資料!$G:$G, (MATCH(1017, 輔助計算!$G$2:$G$801, 0)+1)),"0.##")&amp;"+"&amp;TEXT(INDEX(ERP資料!$G:$G, (MATCH(1017, 輔助計算!$G$2:$G$801, 0)+1)),"0.##"),TEXT(INDEX(ERP資料!$G:$G, (MATCH(1017, 輔助計算!$G$2:$G$801, 0)+1)),"0.##")&amp;"+"&amp;TEXT(INDEX(ERP資料!$G:$G, (MATCH(1017, 輔助計算!$G$2:$G$801, 0)+1)),"0.##")&amp;"+"&amp;TEXT(INDEX(ERP資料!$G:$G, (MATCH(1017, 輔助計算!$G$2:$G$801, 0)+1)),"0.##"))))&amp;"-1")&lt;&gt;""),"  ","")&amp;IF(MOD(INDEX(輔助計算!$D:$D, (MATCH(1017, 輔助計算!$G$2:$G$801, 0)+1)),IF(INDEX(ERP資料!$G:$G, (MATCH(1017, 輔助計算!$G$2:$G$801, 0)+1))&lt;100, IF(INDEX(ERP資料!$G:$G, (MATCH(1017, 輔助計算!$G$2:$G$801, 0)+1))&lt;=31,3,IF(INDEX(ERP資料!$G:$G, (MATCH(1017, 輔助計算!$G$2:$G$801, 0)+1))&lt;=46.5,2,1)), IF(INDEX(ERP資料!$G:$G, (MATCH(1017, 輔助計算!$G$2:$G$801, 0)+1))&lt;=790,3,IF(INDEX(ERP資料!$G:$G, (MATCH(1017, 輔助計算!$G$2:$G$801, 0)+1))&lt;=1181,2,1))))=0,"",IF(MOD(INDEX(輔助計算!$D:$D, (MATCH(1017, 輔助計算!$G$2:$G$801, 0)+1)),IF(INDEX(ERP資料!$G:$G, (MATCH(1017, 輔助計算!$G$2:$G$801, 0)+1))&lt;100, IF(INDEX(ERP資料!$G:$G, (MATCH(1017, 輔助計算!$G$2:$G$801, 0)+1))&lt;=31,3,IF(INDEX(ERP資料!$G:$G, (MATCH(1017, 輔助計算!$G$2:$G$801, 0)+1))&lt;=46.5,2,1)), IF(INDEX(ERP資料!$G:$G, (MATCH(1017, 輔助計算!$G$2:$G$801, 0)+1))&lt;=790,3,IF(INDEX(ERP資料!$G:$G, (MATCH(1017, 輔助計算!$G$2:$G$801, 0)+1))&lt;=1181,2,1))))=0,"",IF(MOD(INDEX(輔助計算!$D:$D, (MATCH(1017, 輔助計算!$G$2:$G$801, 0)+1)),IF(INDEX(ERP資料!$G:$G, (MATCH(1017, 輔助計算!$G$2:$G$801, 0)+1))&lt;100, IF(INDEX(ERP資料!$G:$G, (MATCH(1017, 輔助計算!$G$2:$G$801, 0)+1))&lt;=31,3,IF(INDEX(ERP資料!$G:$G, (MATCH(1017, 輔助計算!$G$2:$G$801, 0)+1))&lt;=46.5,2,1)), IF(INDEX(ERP資料!$G:$G, (MATCH(1017, 輔助計算!$G$2:$G$801, 0)+1))&lt;=790,3,IF(INDEX(ERP資料!$G:$G, (MATCH(1017, 輔助計算!$G$2:$G$801, 0)+1))&lt;=1181,2,1))))=1,TEXT(INDEX(ERP資料!$G:$G, (MATCH(1017, 輔助計算!$G$2:$G$801, 0)+1)),"0.##"),IF(MOD(INDEX(輔助計算!$D:$D, (MATCH(1017, 輔助計算!$G$2:$G$801, 0)+1)),IF(INDEX(ERP資料!$G:$G, (MATCH(1017, 輔助計算!$G$2:$G$801, 0)+1))&lt;100, IF(INDEX(ERP資料!$G:$G, (MATCH(1017, 輔助計算!$G$2:$G$801, 0)+1))&lt;=31,3,IF(INDEX(ERP資料!$G:$G, (MATCH(1017, 輔助計算!$G$2:$G$801, 0)+1))&lt;=46.5,2,1)), IF(INDEX(ERP資料!$G:$G, (MATCH(1017, 輔助計算!$G$2:$G$801, 0)+1))&lt;=790,3,IF(INDEX(ERP資料!$G:$G, (MATCH(1017, 輔助計算!$G$2:$G$801, 0)+1))&lt;=1181,2,1))))=2,TEXT(INDEX(ERP資料!$G:$G, (MATCH(1017, 輔助計算!$G$2:$G$801, 0)+1)),"0.##")&amp;"+"&amp;TEXT(INDEX(ERP資料!$G:$G, (MATCH(1017, 輔助計算!$G$2:$G$801, 0)+1)),"0.##"),TEXT(INDEX(ERP資料!$G:$G, (MATCH(1017, 輔助計算!$G$2:$G$801, 0)+1)),"0.##")&amp;"+"&amp;TEXT(INDEX(ERP資料!$G:$G, (MATCH(1017, 輔助計算!$G$2:$G$801, 0)+1)),"0.##")&amp;"+"&amp;TEXT(INDEX(ERP資料!$G:$G, (MATCH(1017, 輔助計算!$G$2:$G$801, 0)+1)),"0.##"))))&amp;"-1")), ""), "")</f>
        <v/>
      </c>
      <c r="K1018" s="16" t="n"/>
      <c r="L1018" s="14">
        <f>IFERROR(IF(AND(IFERROR(INDEX(ERP資料!$A:$A, (MATCH(1017, 輔助計算!$G$2:$G$801, 0)+1)), "")&lt;&gt;"", IFERROR(INDEX(ERP資料!$A:$A, (MATCH(1017, 輔助計算!$G$2:$G$801, 0)+1)), "")&lt;&gt;IFERROR(INDEX(ERP資料!$A:$A, MATCH(1016, 輔助計算!$G$2:$G$801, 0)+1), "")), INDEX(ERP資料!$B:$B, (MATCH(1017, 輔助計算!$G$2:$G$801, 0)+1)), ""), "")</f>
        <v/>
      </c>
      <c r="M1018" s="17" t="n"/>
    </row>
    <row r="1019">
      <c r="A1019" s="10">
        <f>IFERROR(IF(AND(IFERROR(INDEX(ERP資料!$A:$A, (MATCH(1018, 輔助計算!$G$2:$G$801, 0)+1)), "")&lt;&gt;"", IFERROR(INDEX(ERP資料!$A:$A, (MATCH(1018, 輔助計算!$G$2:$G$801, 0)+1)), "")&lt;&gt;IFERROR(INDEX(ERP資料!$A:$A, MATCH(1017, 輔助計算!$G$2:$G$801, 0)+1), "")), IFERROR(INDEX(ERP資料!$A:$A, (MATCH(1018, 輔助計算!$G$2:$G$801, 0)+1)), ""), ""), "")</f>
        <v/>
      </c>
      <c r="B1019" s="10">
        <f>IFERROR(IF(AND(IFERROR(INDEX(ERP資料!$A:$A, (MATCH(1018, 輔助計算!$G$2:$G$801, 0)+1)), "")&lt;&gt;"", IFERROR(INDEX(ERP資料!$A:$A, (MATCH(1018, 輔助計算!$G$2:$G$801, 0)+1)), "")&lt;&gt;IFERROR(INDEX(ERP資料!$A:$A, MATCH(1017, 輔助計算!$G$2:$G$801, 0)+1), "")), INDEX(ERP資料!$S:$S, (MATCH(1018, 輔助計算!$G$2:$G$801, 0)+1)), ""), "")</f>
        <v/>
      </c>
      <c r="C1019" s="19">
        <f>IFERROR(IF(AND(IFERROR(INDEX(ERP資料!$A:$A, (MATCH(1018, 輔助計算!$G$2:$G$801, 0)+1)), "")&lt;&gt;"", IFERROR(INDEX(ERP資料!$A:$A, (MATCH(1018, 輔助計算!$G$2:$G$801, 0)+1)), "")&lt;&gt;IFERROR(INDEX(ERP資料!$A:$A, MATCH(1017, 輔助計算!$G$2:$G$801, 0)+1), "")), IFERROR(VLOOKUP(LEFT(INDEX(ERP資料!$S:$S, (MATCH(1018, 輔助計算!$G$2:$G$801, 0)+1)), 4), 紙管對照表!$A:$C, 3, FALSE), ""), ""), "")</f>
        <v/>
      </c>
      <c r="D1019" s="16" t="n"/>
      <c r="E1019" s="10">
        <f>IFERROR(IF(INDEX(ERP資料!$H:$H, (MATCH(1018, 輔助計算!$G$2:$G$801, 0)+1))="","",INDEX(ERP資料!$H:$H, (MATCH(1018, 輔助計算!$G$2:$G$801, 0)+1))), "")</f>
        <v/>
      </c>
      <c r="F1019" s="10">
        <f>IFERROR(IF(INDEX(ERP資料!$E:$E, (MATCH(1018, 輔助計算!$G$2:$G$801, 0)+1))="","",TRIM(INDEX(ERP資料!$E:$E, (MATCH(1018, 輔助計算!$G$2:$G$801, 0)+1)))), "")</f>
        <v/>
      </c>
      <c r="G1019" s="10">
        <f>IFERROR(IF(INDEX(ERP資料!$F:$F, (MATCH(1018, 輔助計算!$G$2:$G$801, 0)+1))="","",INDEX(ERP資料!$F:$F, (MATCH(1018, 輔助計算!$G$2:$G$801, 0)+1))), "")</f>
        <v/>
      </c>
      <c r="H1019" s="10">
        <f>IFERROR(IF(INDEX(ERP資料!$G:$G, (MATCH(1018, 輔助計算!$G$2:$G$801, 0)+1))="","",INDEX(ERP資料!$G:$G, (MATCH(1018, 輔助計算!$G$2:$G$801, 0)+1))), "")</f>
        <v/>
      </c>
      <c r="I1019" s="15">
        <f>IFERROR(INDEX(輔助計算!$D:$D, (MATCH(1018, 輔助計算!$G$2:$G$801, 0)+1)), "")</f>
        <v/>
      </c>
      <c r="J1019" s="15">
        <f>IFERROR(IF(AND(INDEX(輔助計算!$D:$D, (MATCH(1018, 輔助計算!$G$2:$G$801, 0)+1))&lt;&gt;"", INDEX(ERP資料!$G:$G, (MATCH(1018, 輔助計算!$G$2:$G$801, 0)+1))&lt;&gt;""), TRIM(IF(INT(INDEX(輔助計算!$D:$D, (MATCH(1018, 輔助計算!$G$2:$G$801, 0)+1))/IF(INDEX(ERP資料!$G:$G, (MATCH(1018, 輔助計算!$G$2:$G$801, 0)+1))&lt;100, IF(INDEX(ERP資料!$G:$G, (MATCH(1018, 輔助計算!$G$2:$G$801, 0)+1))&lt;=31,3,IF(INDEX(ERP資料!$G:$G, (MATCH(1018, 輔助計算!$G$2:$G$801, 0)+1))&lt;=46.5,2,1)), IF(INDEX(ERP資料!$G:$G, (MATCH(1018, 輔助計算!$G$2:$G$801, 0)+1))&lt;=790,3,IF(INDEX(ERP資料!$G:$G, (MATCH(1018, 輔助計算!$G$2:$G$801, 0)+1))&lt;=1181,2,1))))&gt;0, IF(IF(INDEX(ERP資料!$G:$G, (MATCH(1018, 輔助計算!$G$2:$G$801, 0)+1))&lt;100, IF(INDEX(ERP資料!$G:$G, (MATCH(1018, 輔助計算!$G$2:$G$801, 0)+1))&lt;=31,3,IF(INDEX(ERP資料!$G:$G, (MATCH(1018, 輔助計算!$G$2:$G$801, 0)+1))&lt;=46.5,2,1)), IF(INDEX(ERP資料!$G:$G, (MATCH(1018, 輔助計算!$G$2:$G$801, 0)+1))&lt;=790,3,IF(INDEX(ERP資料!$G:$G, (MATCH(1018, 輔助計算!$G$2:$G$801, 0)+1))&lt;=1181,2,1)))=1,TEXT(INDEX(ERP資料!$G:$G, (MATCH(1018, 輔助計算!$G$2:$G$801, 0)+1)),"0.##"),IF(IF(INDEX(ERP資料!$G:$G, (MATCH(1018, 輔助計算!$G$2:$G$801, 0)+1))&lt;100, IF(INDEX(ERP資料!$G:$G, (MATCH(1018, 輔助計算!$G$2:$G$801, 0)+1))&lt;=31,3,IF(INDEX(ERP資料!$G:$G, (MATCH(1018, 輔助計算!$G$2:$G$801, 0)+1))&lt;=46.5,2,1)), IF(INDEX(ERP資料!$G:$G, (MATCH(1018, 輔助計算!$G$2:$G$801, 0)+1))&lt;=790,3,IF(INDEX(ERP資料!$G:$G, (MATCH(1018, 輔助計算!$G$2:$G$801, 0)+1))&lt;=1181,2,1)))=2,TEXT(INDEX(ERP資料!$G:$G, (MATCH(1018, 輔助計算!$G$2:$G$801, 0)+1)),"0.##")&amp;"+"&amp;TEXT(INDEX(ERP資料!$G:$G, (MATCH(1018, 輔助計算!$G$2:$G$801, 0)+1)),"0.##"),TEXT(INDEX(ERP資料!$G:$G, (MATCH(1018, 輔助計算!$G$2:$G$801, 0)+1)),"0.##")&amp;"+"&amp;TEXT(INDEX(ERP資料!$G:$G, (MATCH(1018, 輔助計算!$G$2:$G$801, 0)+1)),"0.##")&amp;"+"&amp;TEXT(INDEX(ERP資料!$G:$G, (MATCH(1018, 輔助計算!$G$2:$G$801, 0)+1)),"0.##")))&amp;"-"&amp;INT(INDEX(輔助計算!$D:$D, (MATCH(1018, 輔助計算!$G$2:$G$801, 0)+1))/IF(INDEX(ERP資料!$G:$G, (MATCH(1018, 輔助計算!$G$2:$G$801, 0)+1))&lt;100, IF(INDEX(ERP資料!$G:$G, (MATCH(1018, 輔助計算!$G$2:$G$801, 0)+1))&lt;=31,3,IF(INDEX(ERP資料!$G:$G, (MATCH(1018, 輔助計算!$G$2:$G$801, 0)+1))&lt;=46.5,2,1)), IF(INDEX(ERP資料!$G:$G, (MATCH(1018, 輔助計算!$G$2:$G$801, 0)+1))&lt;=790,3,IF(INDEX(ERP資料!$G:$G, (MATCH(1018, 輔助計算!$G$2:$G$801, 0)+1))&lt;=1181,2,1)))), "")&amp;IF(AND(IF(INT(INDEX(輔助計算!$D:$D, (MATCH(1018, 輔助計算!$G$2:$G$801, 0)+1))/IF(INDEX(ERP資料!$G:$G, (MATCH(1018, 輔助計算!$G$2:$G$801, 0)+1))&lt;100, IF(INDEX(ERP資料!$G:$G, (MATCH(1018, 輔助計算!$G$2:$G$801, 0)+1))&lt;=31,3,IF(INDEX(ERP資料!$G:$G, (MATCH(1018, 輔助計算!$G$2:$G$801, 0)+1))&lt;=46.5,2,1)), IF(INDEX(ERP資料!$G:$G, (MATCH(1018, 輔助計算!$G$2:$G$801, 0)+1))&lt;=790,3,IF(INDEX(ERP資料!$G:$G, (MATCH(1018, 輔助計算!$G$2:$G$801, 0)+1))&lt;=1181,2,1))))&gt;0, IF(IF(INDEX(ERP資料!$G:$G, (MATCH(1018, 輔助計算!$G$2:$G$801, 0)+1))&lt;100, IF(INDEX(ERP資料!$G:$G, (MATCH(1018, 輔助計算!$G$2:$G$801, 0)+1))&lt;=31,3,IF(INDEX(ERP資料!$G:$G, (MATCH(1018, 輔助計算!$G$2:$G$801, 0)+1))&lt;=46.5,2,1)), IF(INDEX(ERP資料!$G:$G, (MATCH(1018, 輔助計算!$G$2:$G$801, 0)+1))&lt;=790,3,IF(INDEX(ERP資料!$G:$G, (MATCH(1018, 輔助計算!$G$2:$G$801, 0)+1))&lt;=1181,2,1)))=1,TEXT(INDEX(ERP資料!$G:$G, (MATCH(1018, 輔助計算!$G$2:$G$801, 0)+1)),"0.##"),IF(IF(INDEX(ERP資料!$G:$G, (MATCH(1018, 輔助計算!$G$2:$G$801, 0)+1))&lt;100, IF(INDEX(ERP資料!$G:$G, (MATCH(1018, 輔助計算!$G$2:$G$801, 0)+1))&lt;=31,3,IF(INDEX(ERP資料!$G:$G, (MATCH(1018, 輔助計算!$G$2:$G$801, 0)+1))&lt;=46.5,2,1)), IF(INDEX(ERP資料!$G:$G, (MATCH(1018, 輔助計算!$G$2:$G$801, 0)+1))&lt;=790,3,IF(INDEX(ERP資料!$G:$G, (MATCH(1018, 輔助計算!$G$2:$G$801, 0)+1))&lt;=1181,2,1)))=2,TEXT(INDEX(ERP資料!$G:$G, (MATCH(1018, 輔助計算!$G$2:$G$801, 0)+1)),"0.##")&amp;"+"&amp;TEXT(INDEX(ERP資料!$G:$G, (MATCH(1018, 輔助計算!$G$2:$G$801, 0)+1)),"0.##"),TEXT(INDEX(ERP資料!$G:$G, (MATCH(1018, 輔助計算!$G$2:$G$801, 0)+1)),"0.##")&amp;"+"&amp;TEXT(INDEX(ERP資料!$G:$G, (MATCH(1018, 輔助計算!$G$2:$G$801, 0)+1)),"0.##")&amp;"+"&amp;TEXT(INDEX(ERP資料!$G:$G, (MATCH(1018, 輔助計算!$G$2:$G$801, 0)+1)),"0.##")))&amp;"-"&amp;INT(INDEX(輔助計算!$D:$D, (MATCH(1018, 輔助計算!$G$2:$G$801, 0)+1))/IF(INDEX(ERP資料!$G:$G, (MATCH(1018, 輔助計算!$G$2:$G$801, 0)+1))&lt;100, IF(INDEX(ERP資料!$G:$G, (MATCH(1018, 輔助計算!$G$2:$G$801, 0)+1))&lt;=31,3,IF(INDEX(ERP資料!$G:$G, (MATCH(1018, 輔助計算!$G$2:$G$801, 0)+1))&lt;=46.5,2,1)), IF(INDEX(ERP資料!$G:$G, (MATCH(1018, 輔助計算!$G$2:$G$801, 0)+1))&lt;=790,3,IF(INDEX(ERP資料!$G:$G, (MATCH(1018, 輔助計算!$G$2:$G$801, 0)+1))&lt;=1181,2,1)))), "")&lt;&gt;"",IF(MOD(INDEX(輔助計算!$D:$D, (MATCH(1018, 輔助計算!$G$2:$G$801, 0)+1)),IF(INDEX(ERP資料!$G:$G, (MATCH(1018, 輔助計算!$G$2:$G$801, 0)+1))&lt;100, IF(INDEX(ERP資料!$G:$G, (MATCH(1018, 輔助計算!$G$2:$G$801, 0)+1))&lt;=31,3,IF(INDEX(ERP資料!$G:$G, (MATCH(1018, 輔助計算!$G$2:$G$801, 0)+1))&lt;=46.5,2,1)), IF(INDEX(ERP資料!$G:$G, (MATCH(1018, 輔助計算!$G$2:$G$801, 0)+1))&lt;=790,3,IF(INDEX(ERP資料!$G:$G, (MATCH(1018, 輔助計算!$G$2:$G$801, 0)+1))&lt;=1181,2,1))))=0,"",IF(MOD(INDEX(輔助計算!$D:$D, (MATCH(1018, 輔助計算!$G$2:$G$801, 0)+1)),IF(INDEX(ERP資料!$G:$G, (MATCH(1018, 輔助計算!$G$2:$G$801, 0)+1))&lt;100, IF(INDEX(ERP資料!$G:$G, (MATCH(1018, 輔助計算!$G$2:$G$801, 0)+1))&lt;=31,3,IF(INDEX(ERP資料!$G:$G, (MATCH(1018, 輔助計算!$G$2:$G$801, 0)+1))&lt;=46.5,2,1)), IF(INDEX(ERP資料!$G:$G, (MATCH(1018, 輔助計算!$G$2:$G$801, 0)+1))&lt;=790,3,IF(INDEX(ERP資料!$G:$G, (MATCH(1018, 輔助計算!$G$2:$G$801, 0)+1))&lt;=1181,2,1))))=0,"",IF(MOD(INDEX(輔助計算!$D:$D, (MATCH(1018, 輔助計算!$G$2:$G$801, 0)+1)),IF(INDEX(ERP資料!$G:$G, (MATCH(1018, 輔助計算!$G$2:$G$801, 0)+1))&lt;100, IF(INDEX(ERP資料!$G:$G, (MATCH(1018, 輔助計算!$G$2:$G$801, 0)+1))&lt;=31,3,IF(INDEX(ERP資料!$G:$G, (MATCH(1018, 輔助計算!$G$2:$G$801, 0)+1))&lt;=46.5,2,1)), IF(INDEX(ERP資料!$G:$G, (MATCH(1018, 輔助計算!$G$2:$G$801, 0)+1))&lt;=790,3,IF(INDEX(ERP資料!$G:$G, (MATCH(1018, 輔助計算!$G$2:$G$801, 0)+1))&lt;=1181,2,1))))=1,TEXT(INDEX(ERP資料!$G:$G, (MATCH(1018, 輔助計算!$G$2:$G$801, 0)+1)),"0.##"),IF(MOD(INDEX(輔助計算!$D:$D, (MATCH(1018, 輔助計算!$G$2:$G$801, 0)+1)),IF(INDEX(ERP資料!$G:$G, (MATCH(1018, 輔助計算!$G$2:$G$801, 0)+1))&lt;100, IF(INDEX(ERP資料!$G:$G, (MATCH(1018, 輔助計算!$G$2:$G$801, 0)+1))&lt;=31,3,IF(INDEX(ERP資料!$G:$G, (MATCH(1018, 輔助計算!$G$2:$G$801, 0)+1))&lt;=46.5,2,1)), IF(INDEX(ERP資料!$G:$G, (MATCH(1018, 輔助計算!$G$2:$G$801, 0)+1))&lt;=790,3,IF(INDEX(ERP資料!$G:$G, (MATCH(1018, 輔助計算!$G$2:$G$801, 0)+1))&lt;=1181,2,1))))=2,TEXT(INDEX(ERP資料!$G:$G, (MATCH(1018, 輔助計算!$G$2:$G$801, 0)+1)),"0.##")&amp;"+"&amp;TEXT(INDEX(ERP資料!$G:$G, (MATCH(1018, 輔助計算!$G$2:$G$801, 0)+1)),"0.##"),TEXT(INDEX(ERP資料!$G:$G, (MATCH(1018, 輔助計算!$G$2:$G$801, 0)+1)),"0.##")&amp;"+"&amp;TEXT(INDEX(ERP資料!$G:$G, (MATCH(1018, 輔助計算!$G$2:$G$801, 0)+1)),"0.##")&amp;"+"&amp;TEXT(INDEX(ERP資料!$G:$G, (MATCH(1018, 輔助計算!$G$2:$G$801, 0)+1)),"0.##"))))&amp;"-1")&lt;&gt;""),"  ","")&amp;IF(MOD(INDEX(輔助計算!$D:$D, (MATCH(1018, 輔助計算!$G$2:$G$801, 0)+1)),IF(INDEX(ERP資料!$G:$G, (MATCH(1018, 輔助計算!$G$2:$G$801, 0)+1))&lt;100, IF(INDEX(ERP資料!$G:$G, (MATCH(1018, 輔助計算!$G$2:$G$801, 0)+1))&lt;=31,3,IF(INDEX(ERP資料!$G:$G, (MATCH(1018, 輔助計算!$G$2:$G$801, 0)+1))&lt;=46.5,2,1)), IF(INDEX(ERP資料!$G:$G, (MATCH(1018, 輔助計算!$G$2:$G$801, 0)+1))&lt;=790,3,IF(INDEX(ERP資料!$G:$G, (MATCH(1018, 輔助計算!$G$2:$G$801, 0)+1))&lt;=1181,2,1))))=0,"",IF(MOD(INDEX(輔助計算!$D:$D, (MATCH(1018, 輔助計算!$G$2:$G$801, 0)+1)),IF(INDEX(ERP資料!$G:$G, (MATCH(1018, 輔助計算!$G$2:$G$801, 0)+1))&lt;100, IF(INDEX(ERP資料!$G:$G, (MATCH(1018, 輔助計算!$G$2:$G$801, 0)+1))&lt;=31,3,IF(INDEX(ERP資料!$G:$G, (MATCH(1018, 輔助計算!$G$2:$G$801, 0)+1))&lt;=46.5,2,1)), IF(INDEX(ERP資料!$G:$G, (MATCH(1018, 輔助計算!$G$2:$G$801, 0)+1))&lt;=790,3,IF(INDEX(ERP資料!$G:$G, (MATCH(1018, 輔助計算!$G$2:$G$801, 0)+1))&lt;=1181,2,1))))=0,"",IF(MOD(INDEX(輔助計算!$D:$D, (MATCH(1018, 輔助計算!$G$2:$G$801, 0)+1)),IF(INDEX(ERP資料!$G:$G, (MATCH(1018, 輔助計算!$G$2:$G$801, 0)+1))&lt;100, IF(INDEX(ERP資料!$G:$G, (MATCH(1018, 輔助計算!$G$2:$G$801, 0)+1))&lt;=31,3,IF(INDEX(ERP資料!$G:$G, (MATCH(1018, 輔助計算!$G$2:$G$801, 0)+1))&lt;=46.5,2,1)), IF(INDEX(ERP資料!$G:$G, (MATCH(1018, 輔助計算!$G$2:$G$801, 0)+1))&lt;=790,3,IF(INDEX(ERP資料!$G:$G, (MATCH(1018, 輔助計算!$G$2:$G$801, 0)+1))&lt;=1181,2,1))))=1,TEXT(INDEX(ERP資料!$G:$G, (MATCH(1018, 輔助計算!$G$2:$G$801, 0)+1)),"0.##"),IF(MOD(INDEX(輔助計算!$D:$D, (MATCH(1018, 輔助計算!$G$2:$G$801, 0)+1)),IF(INDEX(ERP資料!$G:$G, (MATCH(1018, 輔助計算!$G$2:$G$801, 0)+1))&lt;100, IF(INDEX(ERP資料!$G:$G, (MATCH(1018, 輔助計算!$G$2:$G$801, 0)+1))&lt;=31,3,IF(INDEX(ERP資料!$G:$G, (MATCH(1018, 輔助計算!$G$2:$G$801, 0)+1))&lt;=46.5,2,1)), IF(INDEX(ERP資料!$G:$G, (MATCH(1018, 輔助計算!$G$2:$G$801, 0)+1))&lt;=790,3,IF(INDEX(ERP資料!$G:$G, (MATCH(1018, 輔助計算!$G$2:$G$801, 0)+1))&lt;=1181,2,1))))=2,TEXT(INDEX(ERP資料!$G:$G, (MATCH(1018, 輔助計算!$G$2:$G$801, 0)+1)),"0.##")&amp;"+"&amp;TEXT(INDEX(ERP資料!$G:$G, (MATCH(1018, 輔助計算!$G$2:$G$801, 0)+1)),"0.##"),TEXT(INDEX(ERP資料!$G:$G, (MATCH(1018, 輔助計算!$G$2:$G$801, 0)+1)),"0.##")&amp;"+"&amp;TEXT(INDEX(ERP資料!$G:$G, (MATCH(1018, 輔助計算!$G$2:$G$801, 0)+1)),"0.##")&amp;"+"&amp;TEXT(INDEX(ERP資料!$G:$G, (MATCH(1018, 輔助計算!$G$2:$G$801, 0)+1)),"0.##"))))&amp;"-1")), ""), "")</f>
        <v/>
      </c>
      <c r="K1019" s="16" t="n"/>
      <c r="L1019" s="14">
        <f>IFERROR(IF(AND(IFERROR(INDEX(ERP資料!$A:$A, (MATCH(1018, 輔助計算!$G$2:$G$801, 0)+1)), "")&lt;&gt;"", IFERROR(INDEX(ERP資料!$A:$A, (MATCH(1018, 輔助計算!$G$2:$G$801, 0)+1)), "")&lt;&gt;IFERROR(INDEX(ERP資料!$A:$A, MATCH(1017, 輔助計算!$G$2:$G$801, 0)+1), "")), INDEX(ERP資料!$B:$B, (MATCH(1018, 輔助計算!$G$2:$G$801, 0)+1)), ""), "")</f>
        <v/>
      </c>
      <c r="M1019" s="17" t="n"/>
    </row>
    <row r="1020">
      <c r="A1020" s="10">
        <f>IFERROR(IF(AND(IFERROR(INDEX(ERP資料!$A:$A, (MATCH(1019, 輔助計算!$G$2:$G$801, 0)+1)), "")&lt;&gt;"", IFERROR(INDEX(ERP資料!$A:$A, (MATCH(1019, 輔助計算!$G$2:$G$801, 0)+1)), "")&lt;&gt;IFERROR(INDEX(ERP資料!$A:$A, MATCH(1018, 輔助計算!$G$2:$G$801, 0)+1), "")), IFERROR(INDEX(ERP資料!$A:$A, (MATCH(1019, 輔助計算!$G$2:$G$801, 0)+1)), ""), ""), "")</f>
        <v/>
      </c>
      <c r="B1020" s="10">
        <f>IFERROR(IF(AND(IFERROR(INDEX(ERP資料!$A:$A, (MATCH(1019, 輔助計算!$G$2:$G$801, 0)+1)), "")&lt;&gt;"", IFERROR(INDEX(ERP資料!$A:$A, (MATCH(1019, 輔助計算!$G$2:$G$801, 0)+1)), "")&lt;&gt;IFERROR(INDEX(ERP資料!$A:$A, MATCH(1018, 輔助計算!$G$2:$G$801, 0)+1), "")), INDEX(ERP資料!$S:$S, (MATCH(1019, 輔助計算!$G$2:$G$801, 0)+1)), ""), "")</f>
        <v/>
      </c>
      <c r="C1020" s="19">
        <f>IFERROR(IF(AND(IFERROR(INDEX(ERP資料!$A:$A, (MATCH(1019, 輔助計算!$G$2:$G$801, 0)+1)), "")&lt;&gt;"", IFERROR(INDEX(ERP資料!$A:$A, (MATCH(1019, 輔助計算!$G$2:$G$801, 0)+1)), "")&lt;&gt;IFERROR(INDEX(ERP資料!$A:$A, MATCH(1018, 輔助計算!$G$2:$G$801, 0)+1), "")), IFERROR(VLOOKUP(LEFT(INDEX(ERP資料!$S:$S, (MATCH(1019, 輔助計算!$G$2:$G$801, 0)+1)), 4), 紙管對照表!$A:$C, 3, FALSE), ""), ""), "")</f>
        <v/>
      </c>
      <c r="D1020" s="16" t="n"/>
      <c r="E1020" s="10">
        <f>IFERROR(IF(INDEX(ERP資料!$H:$H, (MATCH(1019, 輔助計算!$G$2:$G$801, 0)+1))="","",INDEX(ERP資料!$H:$H, (MATCH(1019, 輔助計算!$G$2:$G$801, 0)+1))), "")</f>
        <v/>
      </c>
      <c r="F1020" s="10">
        <f>IFERROR(IF(INDEX(ERP資料!$E:$E, (MATCH(1019, 輔助計算!$G$2:$G$801, 0)+1))="","",TRIM(INDEX(ERP資料!$E:$E, (MATCH(1019, 輔助計算!$G$2:$G$801, 0)+1)))), "")</f>
        <v/>
      </c>
      <c r="G1020" s="10">
        <f>IFERROR(IF(INDEX(ERP資料!$F:$F, (MATCH(1019, 輔助計算!$G$2:$G$801, 0)+1))="","",INDEX(ERP資料!$F:$F, (MATCH(1019, 輔助計算!$G$2:$G$801, 0)+1))), "")</f>
        <v/>
      </c>
      <c r="H1020" s="10">
        <f>IFERROR(IF(INDEX(ERP資料!$G:$G, (MATCH(1019, 輔助計算!$G$2:$G$801, 0)+1))="","",INDEX(ERP資料!$G:$G, (MATCH(1019, 輔助計算!$G$2:$G$801, 0)+1))), "")</f>
        <v/>
      </c>
      <c r="I1020" s="15">
        <f>IFERROR(INDEX(輔助計算!$D:$D, (MATCH(1019, 輔助計算!$G$2:$G$801, 0)+1)), "")</f>
        <v/>
      </c>
      <c r="J1020" s="15">
        <f>IFERROR(IF(AND(INDEX(輔助計算!$D:$D, (MATCH(1019, 輔助計算!$G$2:$G$801, 0)+1))&lt;&gt;"", INDEX(ERP資料!$G:$G, (MATCH(1019, 輔助計算!$G$2:$G$801, 0)+1))&lt;&gt;""), TRIM(IF(INT(INDEX(輔助計算!$D:$D, (MATCH(1019, 輔助計算!$G$2:$G$801, 0)+1))/IF(INDEX(ERP資料!$G:$G, (MATCH(1019, 輔助計算!$G$2:$G$801, 0)+1))&lt;100, IF(INDEX(ERP資料!$G:$G, (MATCH(1019, 輔助計算!$G$2:$G$801, 0)+1))&lt;=31,3,IF(INDEX(ERP資料!$G:$G, (MATCH(1019, 輔助計算!$G$2:$G$801, 0)+1))&lt;=46.5,2,1)), IF(INDEX(ERP資料!$G:$G, (MATCH(1019, 輔助計算!$G$2:$G$801, 0)+1))&lt;=790,3,IF(INDEX(ERP資料!$G:$G, (MATCH(1019, 輔助計算!$G$2:$G$801, 0)+1))&lt;=1181,2,1))))&gt;0, IF(IF(INDEX(ERP資料!$G:$G, (MATCH(1019, 輔助計算!$G$2:$G$801, 0)+1))&lt;100, IF(INDEX(ERP資料!$G:$G, (MATCH(1019, 輔助計算!$G$2:$G$801, 0)+1))&lt;=31,3,IF(INDEX(ERP資料!$G:$G, (MATCH(1019, 輔助計算!$G$2:$G$801, 0)+1))&lt;=46.5,2,1)), IF(INDEX(ERP資料!$G:$G, (MATCH(1019, 輔助計算!$G$2:$G$801, 0)+1))&lt;=790,3,IF(INDEX(ERP資料!$G:$G, (MATCH(1019, 輔助計算!$G$2:$G$801, 0)+1))&lt;=1181,2,1)))=1,TEXT(INDEX(ERP資料!$G:$G, (MATCH(1019, 輔助計算!$G$2:$G$801, 0)+1)),"0.##"),IF(IF(INDEX(ERP資料!$G:$G, (MATCH(1019, 輔助計算!$G$2:$G$801, 0)+1))&lt;100, IF(INDEX(ERP資料!$G:$G, (MATCH(1019, 輔助計算!$G$2:$G$801, 0)+1))&lt;=31,3,IF(INDEX(ERP資料!$G:$G, (MATCH(1019, 輔助計算!$G$2:$G$801, 0)+1))&lt;=46.5,2,1)), IF(INDEX(ERP資料!$G:$G, (MATCH(1019, 輔助計算!$G$2:$G$801, 0)+1))&lt;=790,3,IF(INDEX(ERP資料!$G:$G, (MATCH(1019, 輔助計算!$G$2:$G$801, 0)+1))&lt;=1181,2,1)))=2,TEXT(INDEX(ERP資料!$G:$G, (MATCH(1019, 輔助計算!$G$2:$G$801, 0)+1)),"0.##")&amp;"+"&amp;TEXT(INDEX(ERP資料!$G:$G, (MATCH(1019, 輔助計算!$G$2:$G$801, 0)+1)),"0.##"),TEXT(INDEX(ERP資料!$G:$G, (MATCH(1019, 輔助計算!$G$2:$G$801, 0)+1)),"0.##")&amp;"+"&amp;TEXT(INDEX(ERP資料!$G:$G, (MATCH(1019, 輔助計算!$G$2:$G$801, 0)+1)),"0.##")&amp;"+"&amp;TEXT(INDEX(ERP資料!$G:$G, (MATCH(1019, 輔助計算!$G$2:$G$801, 0)+1)),"0.##")))&amp;"-"&amp;INT(INDEX(輔助計算!$D:$D, (MATCH(1019, 輔助計算!$G$2:$G$801, 0)+1))/IF(INDEX(ERP資料!$G:$G, (MATCH(1019, 輔助計算!$G$2:$G$801, 0)+1))&lt;100, IF(INDEX(ERP資料!$G:$G, (MATCH(1019, 輔助計算!$G$2:$G$801, 0)+1))&lt;=31,3,IF(INDEX(ERP資料!$G:$G, (MATCH(1019, 輔助計算!$G$2:$G$801, 0)+1))&lt;=46.5,2,1)), IF(INDEX(ERP資料!$G:$G, (MATCH(1019, 輔助計算!$G$2:$G$801, 0)+1))&lt;=790,3,IF(INDEX(ERP資料!$G:$G, (MATCH(1019, 輔助計算!$G$2:$G$801, 0)+1))&lt;=1181,2,1)))), "")&amp;IF(AND(IF(INT(INDEX(輔助計算!$D:$D, (MATCH(1019, 輔助計算!$G$2:$G$801, 0)+1))/IF(INDEX(ERP資料!$G:$G, (MATCH(1019, 輔助計算!$G$2:$G$801, 0)+1))&lt;100, IF(INDEX(ERP資料!$G:$G, (MATCH(1019, 輔助計算!$G$2:$G$801, 0)+1))&lt;=31,3,IF(INDEX(ERP資料!$G:$G, (MATCH(1019, 輔助計算!$G$2:$G$801, 0)+1))&lt;=46.5,2,1)), IF(INDEX(ERP資料!$G:$G, (MATCH(1019, 輔助計算!$G$2:$G$801, 0)+1))&lt;=790,3,IF(INDEX(ERP資料!$G:$G, (MATCH(1019, 輔助計算!$G$2:$G$801, 0)+1))&lt;=1181,2,1))))&gt;0, IF(IF(INDEX(ERP資料!$G:$G, (MATCH(1019, 輔助計算!$G$2:$G$801, 0)+1))&lt;100, IF(INDEX(ERP資料!$G:$G, (MATCH(1019, 輔助計算!$G$2:$G$801, 0)+1))&lt;=31,3,IF(INDEX(ERP資料!$G:$G, (MATCH(1019, 輔助計算!$G$2:$G$801, 0)+1))&lt;=46.5,2,1)), IF(INDEX(ERP資料!$G:$G, (MATCH(1019, 輔助計算!$G$2:$G$801, 0)+1))&lt;=790,3,IF(INDEX(ERP資料!$G:$G, (MATCH(1019, 輔助計算!$G$2:$G$801, 0)+1))&lt;=1181,2,1)))=1,TEXT(INDEX(ERP資料!$G:$G, (MATCH(1019, 輔助計算!$G$2:$G$801, 0)+1)),"0.##"),IF(IF(INDEX(ERP資料!$G:$G, (MATCH(1019, 輔助計算!$G$2:$G$801, 0)+1))&lt;100, IF(INDEX(ERP資料!$G:$G, (MATCH(1019, 輔助計算!$G$2:$G$801, 0)+1))&lt;=31,3,IF(INDEX(ERP資料!$G:$G, (MATCH(1019, 輔助計算!$G$2:$G$801, 0)+1))&lt;=46.5,2,1)), IF(INDEX(ERP資料!$G:$G, (MATCH(1019, 輔助計算!$G$2:$G$801, 0)+1))&lt;=790,3,IF(INDEX(ERP資料!$G:$G, (MATCH(1019, 輔助計算!$G$2:$G$801, 0)+1))&lt;=1181,2,1)))=2,TEXT(INDEX(ERP資料!$G:$G, (MATCH(1019, 輔助計算!$G$2:$G$801, 0)+1)),"0.##")&amp;"+"&amp;TEXT(INDEX(ERP資料!$G:$G, (MATCH(1019, 輔助計算!$G$2:$G$801, 0)+1)),"0.##"),TEXT(INDEX(ERP資料!$G:$G, (MATCH(1019, 輔助計算!$G$2:$G$801, 0)+1)),"0.##")&amp;"+"&amp;TEXT(INDEX(ERP資料!$G:$G, (MATCH(1019, 輔助計算!$G$2:$G$801, 0)+1)),"0.##")&amp;"+"&amp;TEXT(INDEX(ERP資料!$G:$G, (MATCH(1019, 輔助計算!$G$2:$G$801, 0)+1)),"0.##")))&amp;"-"&amp;INT(INDEX(輔助計算!$D:$D, (MATCH(1019, 輔助計算!$G$2:$G$801, 0)+1))/IF(INDEX(ERP資料!$G:$G, (MATCH(1019, 輔助計算!$G$2:$G$801, 0)+1))&lt;100, IF(INDEX(ERP資料!$G:$G, (MATCH(1019, 輔助計算!$G$2:$G$801, 0)+1))&lt;=31,3,IF(INDEX(ERP資料!$G:$G, (MATCH(1019, 輔助計算!$G$2:$G$801, 0)+1))&lt;=46.5,2,1)), IF(INDEX(ERP資料!$G:$G, (MATCH(1019, 輔助計算!$G$2:$G$801, 0)+1))&lt;=790,3,IF(INDEX(ERP資料!$G:$G, (MATCH(1019, 輔助計算!$G$2:$G$801, 0)+1))&lt;=1181,2,1)))), "")&lt;&gt;"",IF(MOD(INDEX(輔助計算!$D:$D, (MATCH(1019, 輔助計算!$G$2:$G$801, 0)+1)),IF(INDEX(ERP資料!$G:$G, (MATCH(1019, 輔助計算!$G$2:$G$801, 0)+1))&lt;100, IF(INDEX(ERP資料!$G:$G, (MATCH(1019, 輔助計算!$G$2:$G$801, 0)+1))&lt;=31,3,IF(INDEX(ERP資料!$G:$G, (MATCH(1019, 輔助計算!$G$2:$G$801, 0)+1))&lt;=46.5,2,1)), IF(INDEX(ERP資料!$G:$G, (MATCH(1019, 輔助計算!$G$2:$G$801, 0)+1))&lt;=790,3,IF(INDEX(ERP資料!$G:$G, (MATCH(1019, 輔助計算!$G$2:$G$801, 0)+1))&lt;=1181,2,1))))=0,"",IF(MOD(INDEX(輔助計算!$D:$D, (MATCH(1019, 輔助計算!$G$2:$G$801, 0)+1)),IF(INDEX(ERP資料!$G:$G, (MATCH(1019, 輔助計算!$G$2:$G$801, 0)+1))&lt;100, IF(INDEX(ERP資料!$G:$G, (MATCH(1019, 輔助計算!$G$2:$G$801, 0)+1))&lt;=31,3,IF(INDEX(ERP資料!$G:$G, (MATCH(1019, 輔助計算!$G$2:$G$801, 0)+1))&lt;=46.5,2,1)), IF(INDEX(ERP資料!$G:$G, (MATCH(1019, 輔助計算!$G$2:$G$801, 0)+1))&lt;=790,3,IF(INDEX(ERP資料!$G:$G, (MATCH(1019, 輔助計算!$G$2:$G$801, 0)+1))&lt;=1181,2,1))))=0,"",IF(MOD(INDEX(輔助計算!$D:$D, (MATCH(1019, 輔助計算!$G$2:$G$801, 0)+1)),IF(INDEX(ERP資料!$G:$G, (MATCH(1019, 輔助計算!$G$2:$G$801, 0)+1))&lt;100, IF(INDEX(ERP資料!$G:$G, (MATCH(1019, 輔助計算!$G$2:$G$801, 0)+1))&lt;=31,3,IF(INDEX(ERP資料!$G:$G, (MATCH(1019, 輔助計算!$G$2:$G$801, 0)+1))&lt;=46.5,2,1)), IF(INDEX(ERP資料!$G:$G, (MATCH(1019, 輔助計算!$G$2:$G$801, 0)+1))&lt;=790,3,IF(INDEX(ERP資料!$G:$G, (MATCH(1019, 輔助計算!$G$2:$G$801, 0)+1))&lt;=1181,2,1))))=1,TEXT(INDEX(ERP資料!$G:$G, (MATCH(1019, 輔助計算!$G$2:$G$801, 0)+1)),"0.##"),IF(MOD(INDEX(輔助計算!$D:$D, (MATCH(1019, 輔助計算!$G$2:$G$801, 0)+1)),IF(INDEX(ERP資料!$G:$G, (MATCH(1019, 輔助計算!$G$2:$G$801, 0)+1))&lt;100, IF(INDEX(ERP資料!$G:$G, (MATCH(1019, 輔助計算!$G$2:$G$801, 0)+1))&lt;=31,3,IF(INDEX(ERP資料!$G:$G, (MATCH(1019, 輔助計算!$G$2:$G$801, 0)+1))&lt;=46.5,2,1)), IF(INDEX(ERP資料!$G:$G, (MATCH(1019, 輔助計算!$G$2:$G$801, 0)+1))&lt;=790,3,IF(INDEX(ERP資料!$G:$G, (MATCH(1019, 輔助計算!$G$2:$G$801, 0)+1))&lt;=1181,2,1))))=2,TEXT(INDEX(ERP資料!$G:$G, (MATCH(1019, 輔助計算!$G$2:$G$801, 0)+1)),"0.##")&amp;"+"&amp;TEXT(INDEX(ERP資料!$G:$G, (MATCH(1019, 輔助計算!$G$2:$G$801, 0)+1)),"0.##"),TEXT(INDEX(ERP資料!$G:$G, (MATCH(1019, 輔助計算!$G$2:$G$801, 0)+1)),"0.##")&amp;"+"&amp;TEXT(INDEX(ERP資料!$G:$G, (MATCH(1019, 輔助計算!$G$2:$G$801, 0)+1)),"0.##")&amp;"+"&amp;TEXT(INDEX(ERP資料!$G:$G, (MATCH(1019, 輔助計算!$G$2:$G$801, 0)+1)),"0.##"))))&amp;"-1")&lt;&gt;""),"  ","")&amp;IF(MOD(INDEX(輔助計算!$D:$D, (MATCH(1019, 輔助計算!$G$2:$G$801, 0)+1)),IF(INDEX(ERP資料!$G:$G, (MATCH(1019, 輔助計算!$G$2:$G$801, 0)+1))&lt;100, IF(INDEX(ERP資料!$G:$G, (MATCH(1019, 輔助計算!$G$2:$G$801, 0)+1))&lt;=31,3,IF(INDEX(ERP資料!$G:$G, (MATCH(1019, 輔助計算!$G$2:$G$801, 0)+1))&lt;=46.5,2,1)), IF(INDEX(ERP資料!$G:$G, (MATCH(1019, 輔助計算!$G$2:$G$801, 0)+1))&lt;=790,3,IF(INDEX(ERP資料!$G:$G, (MATCH(1019, 輔助計算!$G$2:$G$801, 0)+1))&lt;=1181,2,1))))=0,"",IF(MOD(INDEX(輔助計算!$D:$D, (MATCH(1019, 輔助計算!$G$2:$G$801, 0)+1)),IF(INDEX(ERP資料!$G:$G, (MATCH(1019, 輔助計算!$G$2:$G$801, 0)+1))&lt;100, IF(INDEX(ERP資料!$G:$G, (MATCH(1019, 輔助計算!$G$2:$G$801, 0)+1))&lt;=31,3,IF(INDEX(ERP資料!$G:$G, (MATCH(1019, 輔助計算!$G$2:$G$801, 0)+1))&lt;=46.5,2,1)), IF(INDEX(ERP資料!$G:$G, (MATCH(1019, 輔助計算!$G$2:$G$801, 0)+1))&lt;=790,3,IF(INDEX(ERP資料!$G:$G, (MATCH(1019, 輔助計算!$G$2:$G$801, 0)+1))&lt;=1181,2,1))))=0,"",IF(MOD(INDEX(輔助計算!$D:$D, (MATCH(1019, 輔助計算!$G$2:$G$801, 0)+1)),IF(INDEX(ERP資料!$G:$G, (MATCH(1019, 輔助計算!$G$2:$G$801, 0)+1))&lt;100, IF(INDEX(ERP資料!$G:$G, (MATCH(1019, 輔助計算!$G$2:$G$801, 0)+1))&lt;=31,3,IF(INDEX(ERP資料!$G:$G, (MATCH(1019, 輔助計算!$G$2:$G$801, 0)+1))&lt;=46.5,2,1)), IF(INDEX(ERP資料!$G:$G, (MATCH(1019, 輔助計算!$G$2:$G$801, 0)+1))&lt;=790,3,IF(INDEX(ERP資料!$G:$G, (MATCH(1019, 輔助計算!$G$2:$G$801, 0)+1))&lt;=1181,2,1))))=1,TEXT(INDEX(ERP資料!$G:$G, (MATCH(1019, 輔助計算!$G$2:$G$801, 0)+1)),"0.##"),IF(MOD(INDEX(輔助計算!$D:$D, (MATCH(1019, 輔助計算!$G$2:$G$801, 0)+1)),IF(INDEX(ERP資料!$G:$G, (MATCH(1019, 輔助計算!$G$2:$G$801, 0)+1))&lt;100, IF(INDEX(ERP資料!$G:$G, (MATCH(1019, 輔助計算!$G$2:$G$801, 0)+1))&lt;=31,3,IF(INDEX(ERP資料!$G:$G, (MATCH(1019, 輔助計算!$G$2:$G$801, 0)+1))&lt;=46.5,2,1)), IF(INDEX(ERP資料!$G:$G, (MATCH(1019, 輔助計算!$G$2:$G$801, 0)+1))&lt;=790,3,IF(INDEX(ERP資料!$G:$G, (MATCH(1019, 輔助計算!$G$2:$G$801, 0)+1))&lt;=1181,2,1))))=2,TEXT(INDEX(ERP資料!$G:$G, (MATCH(1019, 輔助計算!$G$2:$G$801, 0)+1)),"0.##")&amp;"+"&amp;TEXT(INDEX(ERP資料!$G:$G, (MATCH(1019, 輔助計算!$G$2:$G$801, 0)+1)),"0.##"),TEXT(INDEX(ERP資料!$G:$G, (MATCH(1019, 輔助計算!$G$2:$G$801, 0)+1)),"0.##")&amp;"+"&amp;TEXT(INDEX(ERP資料!$G:$G, (MATCH(1019, 輔助計算!$G$2:$G$801, 0)+1)),"0.##")&amp;"+"&amp;TEXT(INDEX(ERP資料!$G:$G, (MATCH(1019, 輔助計算!$G$2:$G$801, 0)+1)),"0.##"))))&amp;"-1")), ""), "")</f>
        <v/>
      </c>
      <c r="K1020" s="16" t="n"/>
      <c r="L1020" s="14">
        <f>IFERROR(IF(AND(IFERROR(INDEX(ERP資料!$A:$A, (MATCH(1019, 輔助計算!$G$2:$G$801, 0)+1)), "")&lt;&gt;"", IFERROR(INDEX(ERP資料!$A:$A, (MATCH(1019, 輔助計算!$G$2:$G$801, 0)+1)), "")&lt;&gt;IFERROR(INDEX(ERP資料!$A:$A, MATCH(1018, 輔助計算!$G$2:$G$801, 0)+1), "")), INDEX(ERP資料!$B:$B, (MATCH(1019, 輔助計算!$G$2:$G$801, 0)+1)), ""), "")</f>
        <v/>
      </c>
      <c r="M1020" s="17" t="n"/>
    </row>
    <row r="1021">
      <c r="A1021" s="10">
        <f>IFERROR(IF(AND(IFERROR(INDEX(ERP資料!$A:$A, (MATCH(1020, 輔助計算!$G$2:$G$801, 0)+1)), "")&lt;&gt;"", IFERROR(INDEX(ERP資料!$A:$A, (MATCH(1020, 輔助計算!$G$2:$G$801, 0)+1)), "")&lt;&gt;IFERROR(INDEX(ERP資料!$A:$A, MATCH(1019, 輔助計算!$G$2:$G$801, 0)+1), "")), IFERROR(INDEX(ERP資料!$A:$A, (MATCH(1020, 輔助計算!$G$2:$G$801, 0)+1)), ""), ""), "")</f>
        <v/>
      </c>
      <c r="B1021" s="10">
        <f>IFERROR(IF(AND(IFERROR(INDEX(ERP資料!$A:$A, (MATCH(1020, 輔助計算!$G$2:$G$801, 0)+1)), "")&lt;&gt;"", IFERROR(INDEX(ERP資料!$A:$A, (MATCH(1020, 輔助計算!$G$2:$G$801, 0)+1)), "")&lt;&gt;IFERROR(INDEX(ERP資料!$A:$A, MATCH(1019, 輔助計算!$G$2:$G$801, 0)+1), "")), INDEX(ERP資料!$S:$S, (MATCH(1020, 輔助計算!$G$2:$G$801, 0)+1)), ""), "")</f>
        <v/>
      </c>
      <c r="C1021" s="19">
        <f>IFERROR(IF(AND(IFERROR(INDEX(ERP資料!$A:$A, (MATCH(1020, 輔助計算!$G$2:$G$801, 0)+1)), "")&lt;&gt;"", IFERROR(INDEX(ERP資料!$A:$A, (MATCH(1020, 輔助計算!$G$2:$G$801, 0)+1)), "")&lt;&gt;IFERROR(INDEX(ERP資料!$A:$A, MATCH(1019, 輔助計算!$G$2:$G$801, 0)+1), "")), IFERROR(VLOOKUP(LEFT(INDEX(ERP資料!$S:$S, (MATCH(1020, 輔助計算!$G$2:$G$801, 0)+1)), 4), 紙管對照表!$A:$C, 3, FALSE), ""), ""), "")</f>
        <v/>
      </c>
      <c r="D1021" s="16" t="n"/>
      <c r="E1021" s="10">
        <f>IFERROR(IF(INDEX(ERP資料!$H:$H, (MATCH(1020, 輔助計算!$G$2:$G$801, 0)+1))="","",INDEX(ERP資料!$H:$H, (MATCH(1020, 輔助計算!$G$2:$G$801, 0)+1))), "")</f>
        <v/>
      </c>
      <c r="F1021" s="10">
        <f>IFERROR(IF(INDEX(ERP資料!$E:$E, (MATCH(1020, 輔助計算!$G$2:$G$801, 0)+1))="","",TRIM(INDEX(ERP資料!$E:$E, (MATCH(1020, 輔助計算!$G$2:$G$801, 0)+1)))), "")</f>
        <v/>
      </c>
      <c r="G1021" s="10">
        <f>IFERROR(IF(INDEX(ERP資料!$F:$F, (MATCH(1020, 輔助計算!$G$2:$G$801, 0)+1))="","",INDEX(ERP資料!$F:$F, (MATCH(1020, 輔助計算!$G$2:$G$801, 0)+1))), "")</f>
        <v/>
      </c>
      <c r="H1021" s="10">
        <f>IFERROR(IF(INDEX(ERP資料!$G:$G, (MATCH(1020, 輔助計算!$G$2:$G$801, 0)+1))="","",INDEX(ERP資料!$G:$G, (MATCH(1020, 輔助計算!$G$2:$G$801, 0)+1))), "")</f>
        <v/>
      </c>
      <c r="I1021" s="15">
        <f>IFERROR(INDEX(輔助計算!$D:$D, (MATCH(1020, 輔助計算!$G$2:$G$801, 0)+1)), "")</f>
        <v/>
      </c>
      <c r="J1021" s="15">
        <f>IFERROR(IF(AND(INDEX(輔助計算!$D:$D, (MATCH(1020, 輔助計算!$G$2:$G$801, 0)+1))&lt;&gt;"", INDEX(ERP資料!$G:$G, (MATCH(1020, 輔助計算!$G$2:$G$801, 0)+1))&lt;&gt;""), TRIM(IF(INT(INDEX(輔助計算!$D:$D, (MATCH(1020, 輔助計算!$G$2:$G$801, 0)+1))/IF(INDEX(ERP資料!$G:$G, (MATCH(1020, 輔助計算!$G$2:$G$801, 0)+1))&lt;100, IF(INDEX(ERP資料!$G:$G, (MATCH(1020, 輔助計算!$G$2:$G$801, 0)+1))&lt;=31,3,IF(INDEX(ERP資料!$G:$G, (MATCH(1020, 輔助計算!$G$2:$G$801, 0)+1))&lt;=46.5,2,1)), IF(INDEX(ERP資料!$G:$G, (MATCH(1020, 輔助計算!$G$2:$G$801, 0)+1))&lt;=790,3,IF(INDEX(ERP資料!$G:$G, (MATCH(1020, 輔助計算!$G$2:$G$801, 0)+1))&lt;=1181,2,1))))&gt;0, IF(IF(INDEX(ERP資料!$G:$G, (MATCH(1020, 輔助計算!$G$2:$G$801, 0)+1))&lt;100, IF(INDEX(ERP資料!$G:$G, (MATCH(1020, 輔助計算!$G$2:$G$801, 0)+1))&lt;=31,3,IF(INDEX(ERP資料!$G:$G, (MATCH(1020, 輔助計算!$G$2:$G$801, 0)+1))&lt;=46.5,2,1)), IF(INDEX(ERP資料!$G:$G, (MATCH(1020, 輔助計算!$G$2:$G$801, 0)+1))&lt;=790,3,IF(INDEX(ERP資料!$G:$G, (MATCH(1020, 輔助計算!$G$2:$G$801, 0)+1))&lt;=1181,2,1)))=1,TEXT(INDEX(ERP資料!$G:$G, (MATCH(1020, 輔助計算!$G$2:$G$801, 0)+1)),"0.##"),IF(IF(INDEX(ERP資料!$G:$G, (MATCH(1020, 輔助計算!$G$2:$G$801, 0)+1))&lt;100, IF(INDEX(ERP資料!$G:$G, (MATCH(1020, 輔助計算!$G$2:$G$801, 0)+1))&lt;=31,3,IF(INDEX(ERP資料!$G:$G, (MATCH(1020, 輔助計算!$G$2:$G$801, 0)+1))&lt;=46.5,2,1)), IF(INDEX(ERP資料!$G:$G, (MATCH(1020, 輔助計算!$G$2:$G$801, 0)+1))&lt;=790,3,IF(INDEX(ERP資料!$G:$G, (MATCH(1020, 輔助計算!$G$2:$G$801, 0)+1))&lt;=1181,2,1)))=2,TEXT(INDEX(ERP資料!$G:$G, (MATCH(1020, 輔助計算!$G$2:$G$801, 0)+1)),"0.##")&amp;"+"&amp;TEXT(INDEX(ERP資料!$G:$G, (MATCH(1020, 輔助計算!$G$2:$G$801, 0)+1)),"0.##"),TEXT(INDEX(ERP資料!$G:$G, (MATCH(1020, 輔助計算!$G$2:$G$801, 0)+1)),"0.##")&amp;"+"&amp;TEXT(INDEX(ERP資料!$G:$G, (MATCH(1020, 輔助計算!$G$2:$G$801, 0)+1)),"0.##")&amp;"+"&amp;TEXT(INDEX(ERP資料!$G:$G, (MATCH(1020, 輔助計算!$G$2:$G$801, 0)+1)),"0.##")))&amp;"-"&amp;INT(INDEX(輔助計算!$D:$D, (MATCH(1020, 輔助計算!$G$2:$G$801, 0)+1))/IF(INDEX(ERP資料!$G:$G, (MATCH(1020, 輔助計算!$G$2:$G$801, 0)+1))&lt;100, IF(INDEX(ERP資料!$G:$G, (MATCH(1020, 輔助計算!$G$2:$G$801, 0)+1))&lt;=31,3,IF(INDEX(ERP資料!$G:$G, (MATCH(1020, 輔助計算!$G$2:$G$801, 0)+1))&lt;=46.5,2,1)), IF(INDEX(ERP資料!$G:$G, (MATCH(1020, 輔助計算!$G$2:$G$801, 0)+1))&lt;=790,3,IF(INDEX(ERP資料!$G:$G, (MATCH(1020, 輔助計算!$G$2:$G$801, 0)+1))&lt;=1181,2,1)))), "")&amp;IF(AND(IF(INT(INDEX(輔助計算!$D:$D, (MATCH(1020, 輔助計算!$G$2:$G$801, 0)+1))/IF(INDEX(ERP資料!$G:$G, (MATCH(1020, 輔助計算!$G$2:$G$801, 0)+1))&lt;100, IF(INDEX(ERP資料!$G:$G, (MATCH(1020, 輔助計算!$G$2:$G$801, 0)+1))&lt;=31,3,IF(INDEX(ERP資料!$G:$G, (MATCH(1020, 輔助計算!$G$2:$G$801, 0)+1))&lt;=46.5,2,1)), IF(INDEX(ERP資料!$G:$G, (MATCH(1020, 輔助計算!$G$2:$G$801, 0)+1))&lt;=790,3,IF(INDEX(ERP資料!$G:$G, (MATCH(1020, 輔助計算!$G$2:$G$801, 0)+1))&lt;=1181,2,1))))&gt;0, IF(IF(INDEX(ERP資料!$G:$G, (MATCH(1020, 輔助計算!$G$2:$G$801, 0)+1))&lt;100, IF(INDEX(ERP資料!$G:$G, (MATCH(1020, 輔助計算!$G$2:$G$801, 0)+1))&lt;=31,3,IF(INDEX(ERP資料!$G:$G, (MATCH(1020, 輔助計算!$G$2:$G$801, 0)+1))&lt;=46.5,2,1)), IF(INDEX(ERP資料!$G:$G, (MATCH(1020, 輔助計算!$G$2:$G$801, 0)+1))&lt;=790,3,IF(INDEX(ERP資料!$G:$G, (MATCH(1020, 輔助計算!$G$2:$G$801, 0)+1))&lt;=1181,2,1)))=1,TEXT(INDEX(ERP資料!$G:$G, (MATCH(1020, 輔助計算!$G$2:$G$801, 0)+1)),"0.##"),IF(IF(INDEX(ERP資料!$G:$G, (MATCH(1020, 輔助計算!$G$2:$G$801, 0)+1))&lt;100, IF(INDEX(ERP資料!$G:$G, (MATCH(1020, 輔助計算!$G$2:$G$801, 0)+1))&lt;=31,3,IF(INDEX(ERP資料!$G:$G, (MATCH(1020, 輔助計算!$G$2:$G$801, 0)+1))&lt;=46.5,2,1)), IF(INDEX(ERP資料!$G:$G, (MATCH(1020, 輔助計算!$G$2:$G$801, 0)+1))&lt;=790,3,IF(INDEX(ERP資料!$G:$G, (MATCH(1020, 輔助計算!$G$2:$G$801, 0)+1))&lt;=1181,2,1)))=2,TEXT(INDEX(ERP資料!$G:$G, (MATCH(1020, 輔助計算!$G$2:$G$801, 0)+1)),"0.##")&amp;"+"&amp;TEXT(INDEX(ERP資料!$G:$G, (MATCH(1020, 輔助計算!$G$2:$G$801, 0)+1)),"0.##"),TEXT(INDEX(ERP資料!$G:$G, (MATCH(1020, 輔助計算!$G$2:$G$801, 0)+1)),"0.##")&amp;"+"&amp;TEXT(INDEX(ERP資料!$G:$G, (MATCH(1020, 輔助計算!$G$2:$G$801, 0)+1)),"0.##")&amp;"+"&amp;TEXT(INDEX(ERP資料!$G:$G, (MATCH(1020, 輔助計算!$G$2:$G$801, 0)+1)),"0.##")))&amp;"-"&amp;INT(INDEX(輔助計算!$D:$D, (MATCH(1020, 輔助計算!$G$2:$G$801, 0)+1))/IF(INDEX(ERP資料!$G:$G, (MATCH(1020, 輔助計算!$G$2:$G$801, 0)+1))&lt;100, IF(INDEX(ERP資料!$G:$G, (MATCH(1020, 輔助計算!$G$2:$G$801, 0)+1))&lt;=31,3,IF(INDEX(ERP資料!$G:$G, (MATCH(1020, 輔助計算!$G$2:$G$801, 0)+1))&lt;=46.5,2,1)), IF(INDEX(ERP資料!$G:$G, (MATCH(1020, 輔助計算!$G$2:$G$801, 0)+1))&lt;=790,3,IF(INDEX(ERP資料!$G:$G, (MATCH(1020, 輔助計算!$G$2:$G$801, 0)+1))&lt;=1181,2,1)))), "")&lt;&gt;"",IF(MOD(INDEX(輔助計算!$D:$D, (MATCH(1020, 輔助計算!$G$2:$G$801, 0)+1)),IF(INDEX(ERP資料!$G:$G, (MATCH(1020, 輔助計算!$G$2:$G$801, 0)+1))&lt;100, IF(INDEX(ERP資料!$G:$G, (MATCH(1020, 輔助計算!$G$2:$G$801, 0)+1))&lt;=31,3,IF(INDEX(ERP資料!$G:$G, (MATCH(1020, 輔助計算!$G$2:$G$801, 0)+1))&lt;=46.5,2,1)), IF(INDEX(ERP資料!$G:$G, (MATCH(1020, 輔助計算!$G$2:$G$801, 0)+1))&lt;=790,3,IF(INDEX(ERP資料!$G:$G, (MATCH(1020, 輔助計算!$G$2:$G$801, 0)+1))&lt;=1181,2,1))))=0,"",IF(MOD(INDEX(輔助計算!$D:$D, (MATCH(1020, 輔助計算!$G$2:$G$801, 0)+1)),IF(INDEX(ERP資料!$G:$G, (MATCH(1020, 輔助計算!$G$2:$G$801, 0)+1))&lt;100, IF(INDEX(ERP資料!$G:$G, (MATCH(1020, 輔助計算!$G$2:$G$801, 0)+1))&lt;=31,3,IF(INDEX(ERP資料!$G:$G, (MATCH(1020, 輔助計算!$G$2:$G$801, 0)+1))&lt;=46.5,2,1)), IF(INDEX(ERP資料!$G:$G, (MATCH(1020, 輔助計算!$G$2:$G$801, 0)+1))&lt;=790,3,IF(INDEX(ERP資料!$G:$G, (MATCH(1020, 輔助計算!$G$2:$G$801, 0)+1))&lt;=1181,2,1))))=0,"",IF(MOD(INDEX(輔助計算!$D:$D, (MATCH(1020, 輔助計算!$G$2:$G$801, 0)+1)),IF(INDEX(ERP資料!$G:$G, (MATCH(1020, 輔助計算!$G$2:$G$801, 0)+1))&lt;100, IF(INDEX(ERP資料!$G:$G, (MATCH(1020, 輔助計算!$G$2:$G$801, 0)+1))&lt;=31,3,IF(INDEX(ERP資料!$G:$G, (MATCH(1020, 輔助計算!$G$2:$G$801, 0)+1))&lt;=46.5,2,1)), IF(INDEX(ERP資料!$G:$G, (MATCH(1020, 輔助計算!$G$2:$G$801, 0)+1))&lt;=790,3,IF(INDEX(ERP資料!$G:$G, (MATCH(1020, 輔助計算!$G$2:$G$801, 0)+1))&lt;=1181,2,1))))=1,TEXT(INDEX(ERP資料!$G:$G, (MATCH(1020, 輔助計算!$G$2:$G$801, 0)+1)),"0.##"),IF(MOD(INDEX(輔助計算!$D:$D, (MATCH(1020, 輔助計算!$G$2:$G$801, 0)+1)),IF(INDEX(ERP資料!$G:$G, (MATCH(1020, 輔助計算!$G$2:$G$801, 0)+1))&lt;100, IF(INDEX(ERP資料!$G:$G, (MATCH(1020, 輔助計算!$G$2:$G$801, 0)+1))&lt;=31,3,IF(INDEX(ERP資料!$G:$G, (MATCH(1020, 輔助計算!$G$2:$G$801, 0)+1))&lt;=46.5,2,1)), IF(INDEX(ERP資料!$G:$G, (MATCH(1020, 輔助計算!$G$2:$G$801, 0)+1))&lt;=790,3,IF(INDEX(ERP資料!$G:$G, (MATCH(1020, 輔助計算!$G$2:$G$801, 0)+1))&lt;=1181,2,1))))=2,TEXT(INDEX(ERP資料!$G:$G, (MATCH(1020, 輔助計算!$G$2:$G$801, 0)+1)),"0.##")&amp;"+"&amp;TEXT(INDEX(ERP資料!$G:$G, (MATCH(1020, 輔助計算!$G$2:$G$801, 0)+1)),"0.##"),TEXT(INDEX(ERP資料!$G:$G, (MATCH(1020, 輔助計算!$G$2:$G$801, 0)+1)),"0.##")&amp;"+"&amp;TEXT(INDEX(ERP資料!$G:$G, (MATCH(1020, 輔助計算!$G$2:$G$801, 0)+1)),"0.##")&amp;"+"&amp;TEXT(INDEX(ERP資料!$G:$G, (MATCH(1020, 輔助計算!$G$2:$G$801, 0)+1)),"0.##"))))&amp;"-1")&lt;&gt;""),"  ","")&amp;IF(MOD(INDEX(輔助計算!$D:$D, (MATCH(1020, 輔助計算!$G$2:$G$801, 0)+1)),IF(INDEX(ERP資料!$G:$G, (MATCH(1020, 輔助計算!$G$2:$G$801, 0)+1))&lt;100, IF(INDEX(ERP資料!$G:$G, (MATCH(1020, 輔助計算!$G$2:$G$801, 0)+1))&lt;=31,3,IF(INDEX(ERP資料!$G:$G, (MATCH(1020, 輔助計算!$G$2:$G$801, 0)+1))&lt;=46.5,2,1)), IF(INDEX(ERP資料!$G:$G, (MATCH(1020, 輔助計算!$G$2:$G$801, 0)+1))&lt;=790,3,IF(INDEX(ERP資料!$G:$G, (MATCH(1020, 輔助計算!$G$2:$G$801, 0)+1))&lt;=1181,2,1))))=0,"",IF(MOD(INDEX(輔助計算!$D:$D, (MATCH(1020, 輔助計算!$G$2:$G$801, 0)+1)),IF(INDEX(ERP資料!$G:$G, (MATCH(1020, 輔助計算!$G$2:$G$801, 0)+1))&lt;100, IF(INDEX(ERP資料!$G:$G, (MATCH(1020, 輔助計算!$G$2:$G$801, 0)+1))&lt;=31,3,IF(INDEX(ERP資料!$G:$G, (MATCH(1020, 輔助計算!$G$2:$G$801, 0)+1))&lt;=46.5,2,1)), IF(INDEX(ERP資料!$G:$G, (MATCH(1020, 輔助計算!$G$2:$G$801, 0)+1))&lt;=790,3,IF(INDEX(ERP資料!$G:$G, (MATCH(1020, 輔助計算!$G$2:$G$801, 0)+1))&lt;=1181,2,1))))=0,"",IF(MOD(INDEX(輔助計算!$D:$D, (MATCH(1020, 輔助計算!$G$2:$G$801, 0)+1)),IF(INDEX(ERP資料!$G:$G, (MATCH(1020, 輔助計算!$G$2:$G$801, 0)+1))&lt;100, IF(INDEX(ERP資料!$G:$G, (MATCH(1020, 輔助計算!$G$2:$G$801, 0)+1))&lt;=31,3,IF(INDEX(ERP資料!$G:$G, (MATCH(1020, 輔助計算!$G$2:$G$801, 0)+1))&lt;=46.5,2,1)), IF(INDEX(ERP資料!$G:$G, (MATCH(1020, 輔助計算!$G$2:$G$801, 0)+1))&lt;=790,3,IF(INDEX(ERP資料!$G:$G, (MATCH(1020, 輔助計算!$G$2:$G$801, 0)+1))&lt;=1181,2,1))))=1,TEXT(INDEX(ERP資料!$G:$G, (MATCH(1020, 輔助計算!$G$2:$G$801, 0)+1)),"0.##"),IF(MOD(INDEX(輔助計算!$D:$D, (MATCH(1020, 輔助計算!$G$2:$G$801, 0)+1)),IF(INDEX(ERP資料!$G:$G, (MATCH(1020, 輔助計算!$G$2:$G$801, 0)+1))&lt;100, IF(INDEX(ERP資料!$G:$G, (MATCH(1020, 輔助計算!$G$2:$G$801, 0)+1))&lt;=31,3,IF(INDEX(ERP資料!$G:$G, (MATCH(1020, 輔助計算!$G$2:$G$801, 0)+1))&lt;=46.5,2,1)), IF(INDEX(ERP資料!$G:$G, (MATCH(1020, 輔助計算!$G$2:$G$801, 0)+1))&lt;=790,3,IF(INDEX(ERP資料!$G:$G, (MATCH(1020, 輔助計算!$G$2:$G$801, 0)+1))&lt;=1181,2,1))))=2,TEXT(INDEX(ERP資料!$G:$G, (MATCH(1020, 輔助計算!$G$2:$G$801, 0)+1)),"0.##")&amp;"+"&amp;TEXT(INDEX(ERP資料!$G:$G, (MATCH(1020, 輔助計算!$G$2:$G$801, 0)+1)),"0.##"),TEXT(INDEX(ERP資料!$G:$G, (MATCH(1020, 輔助計算!$G$2:$G$801, 0)+1)),"0.##")&amp;"+"&amp;TEXT(INDEX(ERP資料!$G:$G, (MATCH(1020, 輔助計算!$G$2:$G$801, 0)+1)),"0.##")&amp;"+"&amp;TEXT(INDEX(ERP資料!$G:$G, (MATCH(1020, 輔助計算!$G$2:$G$801, 0)+1)),"0.##"))))&amp;"-1")), ""), "")</f>
        <v/>
      </c>
      <c r="K1021" s="16" t="n"/>
      <c r="L1021" s="14">
        <f>IFERROR(IF(AND(IFERROR(INDEX(ERP資料!$A:$A, (MATCH(1020, 輔助計算!$G$2:$G$801, 0)+1)), "")&lt;&gt;"", IFERROR(INDEX(ERP資料!$A:$A, (MATCH(1020, 輔助計算!$G$2:$G$801, 0)+1)), "")&lt;&gt;IFERROR(INDEX(ERP資料!$A:$A, MATCH(1019, 輔助計算!$G$2:$G$801, 0)+1), "")), INDEX(ERP資料!$B:$B, (MATCH(1020, 輔助計算!$G$2:$G$801, 0)+1)), ""), "")</f>
        <v/>
      </c>
      <c r="M1021" s="17" t="n"/>
    </row>
    <row r="1022">
      <c r="A1022" s="10">
        <f>IFERROR(IF(AND(IFERROR(INDEX(ERP資料!$A:$A, (MATCH(1021, 輔助計算!$G$2:$G$801, 0)+1)), "")&lt;&gt;"", IFERROR(INDEX(ERP資料!$A:$A, (MATCH(1021, 輔助計算!$G$2:$G$801, 0)+1)), "")&lt;&gt;IFERROR(INDEX(ERP資料!$A:$A, MATCH(1020, 輔助計算!$G$2:$G$801, 0)+1), "")), IFERROR(INDEX(ERP資料!$A:$A, (MATCH(1021, 輔助計算!$G$2:$G$801, 0)+1)), ""), ""), "")</f>
        <v/>
      </c>
      <c r="B1022" s="10">
        <f>IFERROR(IF(AND(IFERROR(INDEX(ERP資料!$A:$A, (MATCH(1021, 輔助計算!$G$2:$G$801, 0)+1)), "")&lt;&gt;"", IFERROR(INDEX(ERP資料!$A:$A, (MATCH(1021, 輔助計算!$G$2:$G$801, 0)+1)), "")&lt;&gt;IFERROR(INDEX(ERP資料!$A:$A, MATCH(1020, 輔助計算!$G$2:$G$801, 0)+1), "")), INDEX(ERP資料!$S:$S, (MATCH(1021, 輔助計算!$G$2:$G$801, 0)+1)), ""), "")</f>
        <v/>
      </c>
      <c r="C1022" s="19">
        <f>IFERROR(IF(AND(IFERROR(INDEX(ERP資料!$A:$A, (MATCH(1021, 輔助計算!$G$2:$G$801, 0)+1)), "")&lt;&gt;"", IFERROR(INDEX(ERP資料!$A:$A, (MATCH(1021, 輔助計算!$G$2:$G$801, 0)+1)), "")&lt;&gt;IFERROR(INDEX(ERP資料!$A:$A, MATCH(1020, 輔助計算!$G$2:$G$801, 0)+1), "")), IFERROR(VLOOKUP(LEFT(INDEX(ERP資料!$S:$S, (MATCH(1021, 輔助計算!$G$2:$G$801, 0)+1)), 4), 紙管對照表!$A:$C, 3, FALSE), ""), ""), "")</f>
        <v/>
      </c>
      <c r="D1022" s="16" t="n"/>
      <c r="E1022" s="10">
        <f>IFERROR(IF(INDEX(ERP資料!$H:$H, (MATCH(1021, 輔助計算!$G$2:$G$801, 0)+1))="","",INDEX(ERP資料!$H:$H, (MATCH(1021, 輔助計算!$G$2:$G$801, 0)+1))), "")</f>
        <v/>
      </c>
      <c r="F1022" s="10">
        <f>IFERROR(IF(INDEX(ERP資料!$E:$E, (MATCH(1021, 輔助計算!$G$2:$G$801, 0)+1))="","",TRIM(INDEX(ERP資料!$E:$E, (MATCH(1021, 輔助計算!$G$2:$G$801, 0)+1)))), "")</f>
        <v/>
      </c>
      <c r="G1022" s="10">
        <f>IFERROR(IF(INDEX(ERP資料!$F:$F, (MATCH(1021, 輔助計算!$G$2:$G$801, 0)+1))="","",INDEX(ERP資料!$F:$F, (MATCH(1021, 輔助計算!$G$2:$G$801, 0)+1))), "")</f>
        <v/>
      </c>
      <c r="H1022" s="10">
        <f>IFERROR(IF(INDEX(ERP資料!$G:$G, (MATCH(1021, 輔助計算!$G$2:$G$801, 0)+1))="","",INDEX(ERP資料!$G:$G, (MATCH(1021, 輔助計算!$G$2:$G$801, 0)+1))), "")</f>
        <v/>
      </c>
      <c r="I1022" s="15">
        <f>IFERROR(INDEX(輔助計算!$D:$D, (MATCH(1021, 輔助計算!$G$2:$G$801, 0)+1)), "")</f>
        <v/>
      </c>
      <c r="J1022" s="15">
        <f>IFERROR(IF(AND(INDEX(輔助計算!$D:$D, (MATCH(1021, 輔助計算!$G$2:$G$801, 0)+1))&lt;&gt;"", INDEX(ERP資料!$G:$G, (MATCH(1021, 輔助計算!$G$2:$G$801, 0)+1))&lt;&gt;""), TRIM(IF(INT(INDEX(輔助計算!$D:$D, (MATCH(1021, 輔助計算!$G$2:$G$801, 0)+1))/IF(INDEX(ERP資料!$G:$G, (MATCH(1021, 輔助計算!$G$2:$G$801, 0)+1))&lt;100, IF(INDEX(ERP資料!$G:$G, (MATCH(1021, 輔助計算!$G$2:$G$801, 0)+1))&lt;=31,3,IF(INDEX(ERP資料!$G:$G, (MATCH(1021, 輔助計算!$G$2:$G$801, 0)+1))&lt;=46.5,2,1)), IF(INDEX(ERP資料!$G:$G, (MATCH(1021, 輔助計算!$G$2:$G$801, 0)+1))&lt;=790,3,IF(INDEX(ERP資料!$G:$G, (MATCH(1021, 輔助計算!$G$2:$G$801, 0)+1))&lt;=1181,2,1))))&gt;0, IF(IF(INDEX(ERP資料!$G:$G, (MATCH(1021, 輔助計算!$G$2:$G$801, 0)+1))&lt;100, IF(INDEX(ERP資料!$G:$G, (MATCH(1021, 輔助計算!$G$2:$G$801, 0)+1))&lt;=31,3,IF(INDEX(ERP資料!$G:$G, (MATCH(1021, 輔助計算!$G$2:$G$801, 0)+1))&lt;=46.5,2,1)), IF(INDEX(ERP資料!$G:$G, (MATCH(1021, 輔助計算!$G$2:$G$801, 0)+1))&lt;=790,3,IF(INDEX(ERP資料!$G:$G, (MATCH(1021, 輔助計算!$G$2:$G$801, 0)+1))&lt;=1181,2,1)))=1,TEXT(INDEX(ERP資料!$G:$G, (MATCH(1021, 輔助計算!$G$2:$G$801, 0)+1)),"0.##"),IF(IF(INDEX(ERP資料!$G:$G, (MATCH(1021, 輔助計算!$G$2:$G$801, 0)+1))&lt;100, IF(INDEX(ERP資料!$G:$G, (MATCH(1021, 輔助計算!$G$2:$G$801, 0)+1))&lt;=31,3,IF(INDEX(ERP資料!$G:$G, (MATCH(1021, 輔助計算!$G$2:$G$801, 0)+1))&lt;=46.5,2,1)), IF(INDEX(ERP資料!$G:$G, (MATCH(1021, 輔助計算!$G$2:$G$801, 0)+1))&lt;=790,3,IF(INDEX(ERP資料!$G:$G, (MATCH(1021, 輔助計算!$G$2:$G$801, 0)+1))&lt;=1181,2,1)))=2,TEXT(INDEX(ERP資料!$G:$G, (MATCH(1021, 輔助計算!$G$2:$G$801, 0)+1)),"0.##")&amp;"+"&amp;TEXT(INDEX(ERP資料!$G:$G, (MATCH(1021, 輔助計算!$G$2:$G$801, 0)+1)),"0.##"),TEXT(INDEX(ERP資料!$G:$G, (MATCH(1021, 輔助計算!$G$2:$G$801, 0)+1)),"0.##")&amp;"+"&amp;TEXT(INDEX(ERP資料!$G:$G, (MATCH(1021, 輔助計算!$G$2:$G$801, 0)+1)),"0.##")&amp;"+"&amp;TEXT(INDEX(ERP資料!$G:$G, (MATCH(1021, 輔助計算!$G$2:$G$801, 0)+1)),"0.##")))&amp;"-"&amp;INT(INDEX(輔助計算!$D:$D, (MATCH(1021, 輔助計算!$G$2:$G$801, 0)+1))/IF(INDEX(ERP資料!$G:$G, (MATCH(1021, 輔助計算!$G$2:$G$801, 0)+1))&lt;100, IF(INDEX(ERP資料!$G:$G, (MATCH(1021, 輔助計算!$G$2:$G$801, 0)+1))&lt;=31,3,IF(INDEX(ERP資料!$G:$G, (MATCH(1021, 輔助計算!$G$2:$G$801, 0)+1))&lt;=46.5,2,1)), IF(INDEX(ERP資料!$G:$G, (MATCH(1021, 輔助計算!$G$2:$G$801, 0)+1))&lt;=790,3,IF(INDEX(ERP資料!$G:$G, (MATCH(1021, 輔助計算!$G$2:$G$801, 0)+1))&lt;=1181,2,1)))), "")&amp;IF(AND(IF(INT(INDEX(輔助計算!$D:$D, (MATCH(1021, 輔助計算!$G$2:$G$801, 0)+1))/IF(INDEX(ERP資料!$G:$G, (MATCH(1021, 輔助計算!$G$2:$G$801, 0)+1))&lt;100, IF(INDEX(ERP資料!$G:$G, (MATCH(1021, 輔助計算!$G$2:$G$801, 0)+1))&lt;=31,3,IF(INDEX(ERP資料!$G:$G, (MATCH(1021, 輔助計算!$G$2:$G$801, 0)+1))&lt;=46.5,2,1)), IF(INDEX(ERP資料!$G:$G, (MATCH(1021, 輔助計算!$G$2:$G$801, 0)+1))&lt;=790,3,IF(INDEX(ERP資料!$G:$G, (MATCH(1021, 輔助計算!$G$2:$G$801, 0)+1))&lt;=1181,2,1))))&gt;0, IF(IF(INDEX(ERP資料!$G:$G, (MATCH(1021, 輔助計算!$G$2:$G$801, 0)+1))&lt;100, IF(INDEX(ERP資料!$G:$G, (MATCH(1021, 輔助計算!$G$2:$G$801, 0)+1))&lt;=31,3,IF(INDEX(ERP資料!$G:$G, (MATCH(1021, 輔助計算!$G$2:$G$801, 0)+1))&lt;=46.5,2,1)), IF(INDEX(ERP資料!$G:$G, (MATCH(1021, 輔助計算!$G$2:$G$801, 0)+1))&lt;=790,3,IF(INDEX(ERP資料!$G:$G, (MATCH(1021, 輔助計算!$G$2:$G$801, 0)+1))&lt;=1181,2,1)))=1,TEXT(INDEX(ERP資料!$G:$G, (MATCH(1021, 輔助計算!$G$2:$G$801, 0)+1)),"0.##"),IF(IF(INDEX(ERP資料!$G:$G, (MATCH(1021, 輔助計算!$G$2:$G$801, 0)+1))&lt;100, IF(INDEX(ERP資料!$G:$G, (MATCH(1021, 輔助計算!$G$2:$G$801, 0)+1))&lt;=31,3,IF(INDEX(ERP資料!$G:$G, (MATCH(1021, 輔助計算!$G$2:$G$801, 0)+1))&lt;=46.5,2,1)), IF(INDEX(ERP資料!$G:$G, (MATCH(1021, 輔助計算!$G$2:$G$801, 0)+1))&lt;=790,3,IF(INDEX(ERP資料!$G:$G, (MATCH(1021, 輔助計算!$G$2:$G$801, 0)+1))&lt;=1181,2,1)))=2,TEXT(INDEX(ERP資料!$G:$G, (MATCH(1021, 輔助計算!$G$2:$G$801, 0)+1)),"0.##")&amp;"+"&amp;TEXT(INDEX(ERP資料!$G:$G, (MATCH(1021, 輔助計算!$G$2:$G$801, 0)+1)),"0.##"),TEXT(INDEX(ERP資料!$G:$G, (MATCH(1021, 輔助計算!$G$2:$G$801, 0)+1)),"0.##")&amp;"+"&amp;TEXT(INDEX(ERP資料!$G:$G, (MATCH(1021, 輔助計算!$G$2:$G$801, 0)+1)),"0.##")&amp;"+"&amp;TEXT(INDEX(ERP資料!$G:$G, (MATCH(1021, 輔助計算!$G$2:$G$801, 0)+1)),"0.##")))&amp;"-"&amp;INT(INDEX(輔助計算!$D:$D, (MATCH(1021, 輔助計算!$G$2:$G$801, 0)+1))/IF(INDEX(ERP資料!$G:$G, (MATCH(1021, 輔助計算!$G$2:$G$801, 0)+1))&lt;100, IF(INDEX(ERP資料!$G:$G, (MATCH(1021, 輔助計算!$G$2:$G$801, 0)+1))&lt;=31,3,IF(INDEX(ERP資料!$G:$G, (MATCH(1021, 輔助計算!$G$2:$G$801, 0)+1))&lt;=46.5,2,1)), IF(INDEX(ERP資料!$G:$G, (MATCH(1021, 輔助計算!$G$2:$G$801, 0)+1))&lt;=790,3,IF(INDEX(ERP資料!$G:$G, (MATCH(1021, 輔助計算!$G$2:$G$801, 0)+1))&lt;=1181,2,1)))), "")&lt;&gt;"",IF(MOD(INDEX(輔助計算!$D:$D, (MATCH(1021, 輔助計算!$G$2:$G$801, 0)+1)),IF(INDEX(ERP資料!$G:$G, (MATCH(1021, 輔助計算!$G$2:$G$801, 0)+1))&lt;100, IF(INDEX(ERP資料!$G:$G, (MATCH(1021, 輔助計算!$G$2:$G$801, 0)+1))&lt;=31,3,IF(INDEX(ERP資料!$G:$G, (MATCH(1021, 輔助計算!$G$2:$G$801, 0)+1))&lt;=46.5,2,1)), IF(INDEX(ERP資料!$G:$G, (MATCH(1021, 輔助計算!$G$2:$G$801, 0)+1))&lt;=790,3,IF(INDEX(ERP資料!$G:$G, (MATCH(1021, 輔助計算!$G$2:$G$801, 0)+1))&lt;=1181,2,1))))=0,"",IF(MOD(INDEX(輔助計算!$D:$D, (MATCH(1021, 輔助計算!$G$2:$G$801, 0)+1)),IF(INDEX(ERP資料!$G:$G, (MATCH(1021, 輔助計算!$G$2:$G$801, 0)+1))&lt;100, IF(INDEX(ERP資料!$G:$G, (MATCH(1021, 輔助計算!$G$2:$G$801, 0)+1))&lt;=31,3,IF(INDEX(ERP資料!$G:$G, (MATCH(1021, 輔助計算!$G$2:$G$801, 0)+1))&lt;=46.5,2,1)), IF(INDEX(ERP資料!$G:$G, (MATCH(1021, 輔助計算!$G$2:$G$801, 0)+1))&lt;=790,3,IF(INDEX(ERP資料!$G:$G, (MATCH(1021, 輔助計算!$G$2:$G$801, 0)+1))&lt;=1181,2,1))))=0,"",IF(MOD(INDEX(輔助計算!$D:$D, (MATCH(1021, 輔助計算!$G$2:$G$801, 0)+1)),IF(INDEX(ERP資料!$G:$G, (MATCH(1021, 輔助計算!$G$2:$G$801, 0)+1))&lt;100, IF(INDEX(ERP資料!$G:$G, (MATCH(1021, 輔助計算!$G$2:$G$801, 0)+1))&lt;=31,3,IF(INDEX(ERP資料!$G:$G, (MATCH(1021, 輔助計算!$G$2:$G$801, 0)+1))&lt;=46.5,2,1)), IF(INDEX(ERP資料!$G:$G, (MATCH(1021, 輔助計算!$G$2:$G$801, 0)+1))&lt;=790,3,IF(INDEX(ERP資料!$G:$G, (MATCH(1021, 輔助計算!$G$2:$G$801, 0)+1))&lt;=1181,2,1))))=1,TEXT(INDEX(ERP資料!$G:$G, (MATCH(1021, 輔助計算!$G$2:$G$801, 0)+1)),"0.##"),IF(MOD(INDEX(輔助計算!$D:$D, (MATCH(1021, 輔助計算!$G$2:$G$801, 0)+1)),IF(INDEX(ERP資料!$G:$G, (MATCH(1021, 輔助計算!$G$2:$G$801, 0)+1))&lt;100, IF(INDEX(ERP資料!$G:$G, (MATCH(1021, 輔助計算!$G$2:$G$801, 0)+1))&lt;=31,3,IF(INDEX(ERP資料!$G:$G, (MATCH(1021, 輔助計算!$G$2:$G$801, 0)+1))&lt;=46.5,2,1)), IF(INDEX(ERP資料!$G:$G, (MATCH(1021, 輔助計算!$G$2:$G$801, 0)+1))&lt;=790,3,IF(INDEX(ERP資料!$G:$G, (MATCH(1021, 輔助計算!$G$2:$G$801, 0)+1))&lt;=1181,2,1))))=2,TEXT(INDEX(ERP資料!$G:$G, (MATCH(1021, 輔助計算!$G$2:$G$801, 0)+1)),"0.##")&amp;"+"&amp;TEXT(INDEX(ERP資料!$G:$G, (MATCH(1021, 輔助計算!$G$2:$G$801, 0)+1)),"0.##"),TEXT(INDEX(ERP資料!$G:$G, (MATCH(1021, 輔助計算!$G$2:$G$801, 0)+1)),"0.##")&amp;"+"&amp;TEXT(INDEX(ERP資料!$G:$G, (MATCH(1021, 輔助計算!$G$2:$G$801, 0)+1)),"0.##")&amp;"+"&amp;TEXT(INDEX(ERP資料!$G:$G, (MATCH(1021, 輔助計算!$G$2:$G$801, 0)+1)),"0.##"))))&amp;"-1")&lt;&gt;""),"  ","")&amp;IF(MOD(INDEX(輔助計算!$D:$D, (MATCH(1021, 輔助計算!$G$2:$G$801, 0)+1)),IF(INDEX(ERP資料!$G:$G, (MATCH(1021, 輔助計算!$G$2:$G$801, 0)+1))&lt;100, IF(INDEX(ERP資料!$G:$G, (MATCH(1021, 輔助計算!$G$2:$G$801, 0)+1))&lt;=31,3,IF(INDEX(ERP資料!$G:$G, (MATCH(1021, 輔助計算!$G$2:$G$801, 0)+1))&lt;=46.5,2,1)), IF(INDEX(ERP資料!$G:$G, (MATCH(1021, 輔助計算!$G$2:$G$801, 0)+1))&lt;=790,3,IF(INDEX(ERP資料!$G:$G, (MATCH(1021, 輔助計算!$G$2:$G$801, 0)+1))&lt;=1181,2,1))))=0,"",IF(MOD(INDEX(輔助計算!$D:$D, (MATCH(1021, 輔助計算!$G$2:$G$801, 0)+1)),IF(INDEX(ERP資料!$G:$G, (MATCH(1021, 輔助計算!$G$2:$G$801, 0)+1))&lt;100, IF(INDEX(ERP資料!$G:$G, (MATCH(1021, 輔助計算!$G$2:$G$801, 0)+1))&lt;=31,3,IF(INDEX(ERP資料!$G:$G, (MATCH(1021, 輔助計算!$G$2:$G$801, 0)+1))&lt;=46.5,2,1)), IF(INDEX(ERP資料!$G:$G, (MATCH(1021, 輔助計算!$G$2:$G$801, 0)+1))&lt;=790,3,IF(INDEX(ERP資料!$G:$G, (MATCH(1021, 輔助計算!$G$2:$G$801, 0)+1))&lt;=1181,2,1))))=0,"",IF(MOD(INDEX(輔助計算!$D:$D, (MATCH(1021, 輔助計算!$G$2:$G$801, 0)+1)),IF(INDEX(ERP資料!$G:$G, (MATCH(1021, 輔助計算!$G$2:$G$801, 0)+1))&lt;100, IF(INDEX(ERP資料!$G:$G, (MATCH(1021, 輔助計算!$G$2:$G$801, 0)+1))&lt;=31,3,IF(INDEX(ERP資料!$G:$G, (MATCH(1021, 輔助計算!$G$2:$G$801, 0)+1))&lt;=46.5,2,1)), IF(INDEX(ERP資料!$G:$G, (MATCH(1021, 輔助計算!$G$2:$G$801, 0)+1))&lt;=790,3,IF(INDEX(ERP資料!$G:$G, (MATCH(1021, 輔助計算!$G$2:$G$801, 0)+1))&lt;=1181,2,1))))=1,TEXT(INDEX(ERP資料!$G:$G, (MATCH(1021, 輔助計算!$G$2:$G$801, 0)+1)),"0.##"),IF(MOD(INDEX(輔助計算!$D:$D, (MATCH(1021, 輔助計算!$G$2:$G$801, 0)+1)),IF(INDEX(ERP資料!$G:$G, (MATCH(1021, 輔助計算!$G$2:$G$801, 0)+1))&lt;100, IF(INDEX(ERP資料!$G:$G, (MATCH(1021, 輔助計算!$G$2:$G$801, 0)+1))&lt;=31,3,IF(INDEX(ERP資料!$G:$G, (MATCH(1021, 輔助計算!$G$2:$G$801, 0)+1))&lt;=46.5,2,1)), IF(INDEX(ERP資料!$G:$G, (MATCH(1021, 輔助計算!$G$2:$G$801, 0)+1))&lt;=790,3,IF(INDEX(ERP資料!$G:$G, (MATCH(1021, 輔助計算!$G$2:$G$801, 0)+1))&lt;=1181,2,1))))=2,TEXT(INDEX(ERP資料!$G:$G, (MATCH(1021, 輔助計算!$G$2:$G$801, 0)+1)),"0.##")&amp;"+"&amp;TEXT(INDEX(ERP資料!$G:$G, (MATCH(1021, 輔助計算!$G$2:$G$801, 0)+1)),"0.##"),TEXT(INDEX(ERP資料!$G:$G, (MATCH(1021, 輔助計算!$G$2:$G$801, 0)+1)),"0.##")&amp;"+"&amp;TEXT(INDEX(ERP資料!$G:$G, (MATCH(1021, 輔助計算!$G$2:$G$801, 0)+1)),"0.##")&amp;"+"&amp;TEXT(INDEX(ERP資料!$G:$G, (MATCH(1021, 輔助計算!$G$2:$G$801, 0)+1)),"0.##"))))&amp;"-1")), ""), "")</f>
        <v/>
      </c>
      <c r="K1022" s="16" t="n"/>
      <c r="L1022" s="14">
        <f>IFERROR(IF(AND(IFERROR(INDEX(ERP資料!$A:$A, (MATCH(1021, 輔助計算!$G$2:$G$801, 0)+1)), "")&lt;&gt;"", IFERROR(INDEX(ERP資料!$A:$A, (MATCH(1021, 輔助計算!$G$2:$G$801, 0)+1)), "")&lt;&gt;IFERROR(INDEX(ERP資料!$A:$A, MATCH(1020, 輔助計算!$G$2:$G$801, 0)+1), "")), INDEX(ERP資料!$B:$B, (MATCH(1021, 輔助計算!$G$2:$G$801, 0)+1)), ""), "")</f>
        <v/>
      </c>
      <c r="M1022" s="17" t="n"/>
    </row>
    <row r="1023">
      <c r="A1023" s="10">
        <f>IFERROR(IF(AND(IFERROR(INDEX(ERP資料!$A:$A, (MATCH(1022, 輔助計算!$G$2:$G$801, 0)+1)), "")&lt;&gt;"", IFERROR(INDEX(ERP資料!$A:$A, (MATCH(1022, 輔助計算!$G$2:$G$801, 0)+1)), "")&lt;&gt;IFERROR(INDEX(ERP資料!$A:$A, MATCH(1021, 輔助計算!$G$2:$G$801, 0)+1), "")), IFERROR(INDEX(ERP資料!$A:$A, (MATCH(1022, 輔助計算!$G$2:$G$801, 0)+1)), ""), ""), "")</f>
        <v/>
      </c>
      <c r="B1023" s="10">
        <f>IFERROR(IF(AND(IFERROR(INDEX(ERP資料!$A:$A, (MATCH(1022, 輔助計算!$G$2:$G$801, 0)+1)), "")&lt;&gt;"", IFERROR(INDEX(ERP資料!$A:$A, (MATCH(1022, 輔助計算!$G$2:$G$801, 0)+1)), "")&lt;&gt;IFERROR(INDEX(ERP資料!$A:$A, MATCH(1021, 輔助計算!$G$2:$G$801, 0)+1), "")), INDEX(ERP資料!$S:$S, (MATCH(1022, 輔助計算!$G$2:$G$801, 0)+1)), ""), "")</f>
        <v/>
      </c>
      <c r="C1023" s="19">
        <f>IFERROR(IF(AND(IFERROR(INDEX(ERP資料!$A:$A, (MATCH(1022, 輔助計算!$G$2:$G$801, 0)+1)), "")&lt;&gt;"", IFERROR(INDEX(ERP資料!$A:$A, (MATCH(1022, 輔助計算!$G$2:$G$801, 0)+1)), "")&lt;&gt;IFERROR(INDEX(ERP資料!$A:$A, MATCH(1021, 輔助計算!$G$2:$G$801, 0)+1), "")), IFERROR(VLOOKUP(LEFT(INDEX(ERP資料!$S:$S, (MATCH(1022, 輔助計算!$G$2:$G$801, 0)+1)), 4), 紙管對照表!$A:$C, 3, FALSE), ""), ""), "")</f>
        <v/>
      </c>
      <c r="D1023" s="16" t="n"/>
      <c r="E1023" s="10">
        <f>IFERROR(IF(INDEX(ERP資料!$H:$H, (MATCH(1022, 輔助計算!$G$2:$G$801, 0)+1))="","",INDEX(ERP資料!$H:$H, (MATCH(1022, 輔助計算!$G$2:$G$801, 0)+1))), "")</f>
        <v/>
      </c>
      <c r="F1023" s="10">
        <f>IFERROR(IF(INDEX(ERP資料!$E:$E, (MATCH(1022, 輔助計算!$G$2:$G$801, 0)+1))="","",TRIM(INDEX(ERP資料!$E:$E, (MATCH(1022, 輔助計算!$G$2:$G$801, 0)+1)))), "")</f>
        <v/>
      </c>
      <c r="G1023" s="10">
        <f>IFERROR(IF(INDEX(ERP資料!$F:$F, (MATCH(1022, 輔助計算!$G$2:$G$801, 0)+1))="","",INDEX(ERP資料!$F:$F, (MATCH(1022, 輔助計算!$G$2:$G$801, 0)+1))), "")</f>
        <v/>
      </c>
      <c r="H1023" s="10">
        <f>IFERROR(IF(INDEX(ERP資料!$G:$G, (MATCH(1022, 輔助計算!$G$2:$G$801, 0)+1))="","",INDEX(ERP資料!$G:$G, (MATCH(1022, 輔助計算!$G$2:$G$801, 0)+1))), "")</f>
        <v/>
      </c>
      <c r="I1023" s="15">
        <f>IFERROR(INDEX(輔助計算!$D:$D, (MATCH(1022, 輔助計算!$G$2:$G$801, 0)+1)), "")</f>
        <v/>
      </c>
      <c r="J1023" s="15">
        <f>IFERROR(IF(AND(INDEX(輔助計算!$D:$D, (MATCH(1022, 輔助計算!$G$2:$G$801, 0)+1))&lt;&gt;"", INDEX(ERP資料!$G:$G, (MATCH(1022, 輔助計算!$G$2:$G$801, 0)+1))&lt;&gt;""), TRIM(IF(INT(INDEX(輔助計算!$D:$D, (MATCH(1022, 輔助計算!$G$2:$G$801, 0)+1))/IF(INDEX(ERP資料!$G:$G, (MATCH(1022, 輔助計算!$G$2:$G$801, 0)+1))&lt;100, IF(INDEX(ERP資料!$G:$G, (MATCH(1022, 輔助計算!$G$2:$G$801, 0)+1))&lt;=31,3,IF(INDEX(ERP資料!$G:$G, (MATCH(1022, 輔助計算!$G$2:$G$801, 0)+1))&lt;=46.5,2,1)), IF(INDEX(ERP資料!$G:$G, (MATCH(1022, 輔助計算!$G$2:$G$801, 0)+1))&lt;=790,3,IF(INDEX(ERP資料!$G:$G, (MATCH(1022, 輔助計算!$G$2:$G$801, 0)+1))&lt;=1181,2,1))))&gt;0, IF(IF(INDEX(ERP資料!$G:$G, (MATCH(1022, 輔助計算!$G$2:$G$801, 0)+1))&lt;100, IF(INDEX(ERP資料!$G:$G, (MATCH(1022, 輔助計算!$G$2:$G$801, 0)+1))&lt;=31,3,IF(INDEX(ERP資料!$G:$G, (MATCH(1022, 輔助計算!$G$2:$G$801, 0)+1))&lt;=46.5,2,1)), IF(INDEX(ERP資料!$G:$G, (MATCH(1022, 輔助計算!$G$2:$G$801, 0)+1))&lt;=790,3,IF(INDEX(ERP資料!$G:$G, (MATCH(1022, 輔助計算!$G$2:$G$801, 0)+1))&lt;=1181,2,1)))=1,TEXT(INDEX(ERP資料!$G:$G, (MATCH(1022, 輔助計算!$G$2:$G$801, 0)+1)),"0.##"),IF(IF(INDEX(ERP資料!$G:$G, (MATCH(1022, 輔助計算!$G$2:$G$801, 0)+1))&lt;100, IF(INDEX(ERP資料!$G:$G, (MATCH(1022, 輔助計算!$G$2:$G$801, 0)+1))&lt;=31,3,IF(INDEX(ERP資料!$G:$G, (MATCH(1022, 輔助計算!$G$2:$G$801, 0)+1))&lt;=46.5,2,1)), IF(INDEX(ERP資料!$G:$G, (MATCH(1022, 輔助計算!$G$2:$G$801, 0)+1))&lt;=790,3,IF(INDEX(ERP資料!$G:$G, (MATCH(1022, 輔助計算!$G$2:$G$801, 0)+1))&lt;=1181,2,1)))=2,TEXT(INDEX(ERP資料!$G:$G, (MATCH(1022, 輔助計算!$G$2:$G$801, 0)+1)),"0.##")&amp;"+"&amp;TEXT(INDEX(ERP資料!$G:$G, (MATCH(1022, 輔助計算!$G$2:$G$801, 0)+1)),"0.##"),TEXT(INDEX(ERP資料!$G:$G, (MATCH(1022, 輔助計算!$G$2:$G$801, 0)+1)),"0.##")&amp;"+"&amp;TEXT(INDEX(ERP資料!$G:$G, (MATCH(1022, 輔助計算!$G$2:$G$801, 0)+1)),"0.##")&amp;"+"&amp;TEXT(INDEX(ERP資料!$G:$G, (MATCH(1022, 輔助計算!$G$2:$G$801, 0)+1)),"0.##")))&amp;"-"&amp;INT(INDEX(輔助計算!$D:$D, (MATCH(1022, 輔助計算!$G$2:$G$801, 0)+1))/IF(INDEX(ERP資料!$G:$G, (MATCH(1022, 輔助計算!$G$2:$G$801, 0)+1))&lt;100, IF(INDEX(ERP資料!$G:$G, (MATCH(1022, 輔助計算!$G$2:$G$801, 0)+1))&lt;=31,3,IF(INDEX(ERP資料!$G:$G, (MATCH(1022, 輔助計算!$G$2:$G$801, 0)+1))&lt;=46.5,2,1)), IF(INDEX(ERP資料!$G:$G, (MATCH(1022, 輔助計算!$G$2:$G$801, 0)+1))&lt;=790,3,IF(INDEX(ERP資料!$G:$G, (MATCH(1022, 輔助計算!$G$2:$G$801, 0)+1))&lt;=1181,2,1)))), "")&amp;IF(AND(IF(INT(INDEX(輔助計算!$D:$D, (MATCH(1022, 輔助計算!$G$2:$G$801, 0)+1))/IF(INDEX(ERP資料!$G:$G, (MATCH(1022, 輔助計算!$G$2:$G$801, 0)+1))&lt;100, IF(INDEX(ERP資料!$G:$G, (MATCH(1022, 輔助計算!$G$2:$G$801, 0)+1))&lt;=31,3,IF(INDEX(ERP資料!$G:$G, (MATCH(1022, 輔助計算!$G$2:$G$801, 0)+1))&lt;=46.5,2,1)), IF(INDEX(ERP資料!$G:$G, (MATCH(1022, 輔助計算!$G$2:$G$801, 0)+1))&lt;=790,3,IF(INDEX(ERP資料!$G:$G, (MATCH(1022, 輔助計算!$G$2:$G$801, 0)+1))&lt;=1181,2,1))))&gt;0, IF(IF(INDEX(ERP資料!$G:$G, (MATCH(1022, 輔助計算!$G$2:$G$801, 0)+1))&lt;100, IF(INDEX(ERP資料!$G:$G, (MATCH(1022, 輔助計算!$G$2:$G$801, 0)+1))&lt;=31,3,IF(INDEX(ERP資料!$G:$G, (MATCH(1022, 輔助計算!$G$2:$G$801, 0)+1))&lt;=46.5,2,1)), IF(INDEX(ERP資料!$G:$G, (MATCH(1022, 輔助計算!$G$2:$G$801, 0)+1))&lt;=790,3,IF(INDEX(ERP資料!$G:$G, (MATCH(1022, 輔助計算!$G$2:$G$801, 0)+1))&lt;=1181,2,1)))=1,TEXT(INDEX(ERP資料!$G:$G, (MATCH(1022, 輔助計算!$G$2:$G$801, 0)+1)),"0.##"),IF(IF(INDEX(ERP資料!$G:$G, (MATCH(1022, 輔助計算!$G$2:$G$801, 0)+1))&lt;100, IF(INDEX(ERP資料!$G:$G, (MATCH(1022, 輔助計算!$G$2:$G$801, 0)+1))&lt;=31,3,IF(INDEX(ERP資料!$G:$G, (MATCH(1022, 輔助計算!$G$2:$G$801, 0)+1))&lt;=46.5,2,1)), IF(INDEX(ERP資料!$G:$G, (MATCH(1022, 輔助計算!$G$2:$G$801, 0)+1))&lt;=790,3,IF(INDEX(ERP資料!$G:$G, (MATCH(1022, 輔助計算!$G$2:$G$801, 0)+1))&lt;=1181,2,1)))=2,TEXT(INDEX(ERP資料!$G:$G, (MATCH(1022, 輔助計算!$G$2:$G$801, 0)+1)),"0.##")&amp;"+"&amp;TEXT(INDEX(ERP資料!$G:$G, (MATCH(1022, 輔助計算!$G$2:$G$801, 0)+1)),"0.##"),TEXT(INDEX(ERP資料!$G:$G, (MATCH(1022, 輔助計算!$G$2:$G$801, 0)+1)),"0.##")&amp;"+"&amp;TEXT(INDEX(ERP資料!$G:$G, (MATCH(1022, 輔助計算!$G$2:$G$801, 0)+1)),"0.##")&amp;"+"&amp;TEXT(INDEX(ERP資料!$G:$G, (MATCH(1022, 輔助計算!$G$2:$G$801, 0)+1)),"0.##")))&amp;"-"&amp;INT(INDEX(輔助計算!$D:$D, (MATCH(1022, 輔助計算!$G$2:$G$801, 0)+1))/IF(INDEX(ERP資料!$G:$G, (MATCH(1022, 輔助計算!$G$2:$G$801, 0)+1))&lt;100, IF(INDEX(ERP資料!$G:$G, (MATCH(1022, 輔助計算!$G$2:$G$801, 0)+1))&lt;=31,3,IF(INDEX(ERP資料!$G:$G, (MATCH(1022, 輔助計算!$G$2:$G$801, 0)+1))&lt;=46.5,2,1)), IF(INDEX(ERP資料!$G:$G, (MATCH(1022, 輔助計算!$G$2:$G$801, 0)+1))&lt;=790,3,IF(INDEX(ERP資料!$G:$G, (MATCH(1022, 輔助計算!$G$2:$G$801, 0)+1))&lt;=1181,2,1)))), "")&lt;&gt;"",IF(MOD(INDEX(輔助計算!$D:$D, (MATCH(1022, 輔助計算!$G$2:$G$801, 0)+1)),IF(INDEX(ERP資料!$G:$G, (MATCH(1022, 輔助計算!$G$2:$G$801, 0)+1))&lt;100, IF(INDEX(ERP資料!$G:$G, (MATCH(1022, 輔助計算!$G$2:$G$801, 0)+1))&lt;=31,3,IF(INDEX(ERP資料!$G:$G, (MATCH(1022, 輔助計算!$G$2:$G$801, 0)+1))&lt;=46.5,2,1)), IF(INDEX(ERP資料!$G:$G, (MATCH(1022, 輔助計算!$G$2:$G$801, 0)+1))&lt;=790,3,IF(INDEX(ERP資料!$G:$G, (MATCH(1022, 輔助計算!$G$2:$G$801, 0)+1))&lt;=1181,2,1))))=0,"",IF(MOD(INDEX(輔助計算!$D:$D, (MATCH(1022, 輔助計算!$G$2:$G$801, 0)+1)),IF(INDEX(ERP資料!$G:$G, (MATCH(1022, 輔助計算!$G$2:$G$801, 0)+1))&lt;100, IF(INDEX(ERP資料!$G:$G, (MATCH(1022, 輔助計算!$G$2:$G$801, 0)+1))&lt;=31,3,IF(INDEX(ERP資料!$G:$G, (MATCH(1022, 輔助計算!$G$2:$G$801, 0)+1))&lt;=46.5,2,1)), IF(INDEX(ERP資料!$G:$G, (MATCH(1022, 輔助計算!$G$2:$G$801, 0)+1))&lt;=790,3,IF(INDEX(ERP資料!$G:$G, (MATCH(1022, 輔助計算!$G$2:$G$801, 0)+1))&lt;=1181,2,1))))=0,"",IF(MOD(INDEX(輔助計算!$D:$D, (MATCH(1022, 輔助計算!$G$2:$G$801, 0)+1)),IF(INDEX(ERP資料!$G:$G, (MATCH(1022, 輔助計算!$G$2:$G$801, 0)+1))&lt;100, IF(INDEX(ERP資料!$G:$G, (MATCH(1022, 輔助計算!$G$2:$G$801, 0)+1))&lt;=31,3,IF(INDEX(ERP資料!$G:$G, (MATCH(1022, 輔助計算!$G$2:$G$801, 0)+1))&lt;=46.5,2,1)), IF(INDEX(ERP資料!$G:$G, (MATCH(1022, 輔助計算!$G$2:$G$801, 0)+1))&lt;=790,3,IF(INDEX(ERP資料!$G:$G, (MATCH(1022, 輔助計算!$G$2:$G$801, 0)+1))&lt;=1181,2,1))))=1,TEXT(INDEX(ERP資料!$G:$G, (MATCH(1022, 輔助計算!$G$2:$G$801, 0)+1)),"0.##"),IF(MOD(INDEX(輔助計算!$D:$D, (MATCH(1022, 輔助計算!$G$2:$G$801, 0)+1)),IF(INDEX(ERP資料!$G:$G, (MATCH(1022, 輔助計算!$G$2:$G$801, 0)+1))&lt;100, IF(INDEX(ERP資料!$G:$G, (MATCH(1022, 輔助計算!$G$2:$G$801, 0)+1))&lt;=31,3,IF(INDEX(ERP資料!$G:$G, (MATCH(1022, 輔助計算!$G$2:$G$801, 0)+1))&lt;=46.5,2,1)), IF(INDEX(ERP資料!$G:$G, (MATCH(1022, 輔助計算!$G$2:$G$801, 0)+1))&lt;=790,3,IF(INDEX(ERP資料!$G:$G, (MATCH(1022, 輔助計算!$G$2:$G$801, 0)+1))&lt;=1181,2,1))))=2,TEXT(INDEX(ERP資料!$G:$G, (MATCH(1022, 輔助計算!$G$2:$G$801, 0)+1)),"0.##")&amp;"+"&amp;TEXT(INDEX(ERP資料!$G:$G, (MATCH(1022, 輔助計算!$G$2:$G$801, 0)+1)),"0.##"),TEXT(INDEX(ERP資料!$G:$G, (MATCH(1022, 輔助計算!$G$2:$G$801, 0)+1)),"0.##")&amp;"+"&amp;TEXT(INDEX(ERP資料!$G:$G, (MATCH(1022, 輔助計算!$G$2:$G$801, 0)+1)),"0.##")&amp;"+"&amp;TEXT(INDEX(ERP資料!$G:$G, (MATCH(1022, 輔助計算!$G$2:$G$801, 0)+1)),"0.##"))))&amp;"-1")&lt;&gt;""),"  ","")&amp;IF(MOD(INDEX(輔助計算!$D:$D, (MATCH(1022, 輔助計算!$G$2:$G$801, 0)+1)),IF(INDEX(ERP資料!$G:$G, (MATCH(1022, 輔助計算!$G$2:$G$801, 0)+1))&lt;100, IF(INDEX(ERP資料!$G:$G, (MATCH(1022, 輔助計算!$G$2:$G$801, 0)+1))&lt;=31,3,IF(INDEX(ERP資料!$G:$G, (MATCH(1022, 輔助計算!$G$2:$G$801, 0)+1))&lt;=46.5,2,1)), IF(INDEX(ERP資料!$G:$G, (MATCH(1022, 輔助計算!$G$2:$G$801, 0)+1))&lt;=790,3,IF(INDEX(ERP資料!$G:$G, (MATCH(1022, 輔助計算!$G$2:$G$801, 0)+1))&lt;=1181,2,1))))=0,"",IF(MOD(INDEX(輔助計算!$D:$D, (MATCH(1022, 輔助計算!$G$2:$G$801, 0)+1)),IF(INDEX(ERP資料!$G:$G, (MATCH(1022, 輔助計算!$G$2:$G$801, 0)+1))&lt;100, IF(INDEX(ERP資料!$G:$G, (MATCH(1022, 輔助計算!$G$2:$G$801, 0)+1))&lt;=31,3,IF(INDEX(ERP資料!$G:$G, (MATCH(1022, 輔助計算!$G$2:$G$801, 0)+1))&lt;=46.5,2,1)), IF(INDEX(ERP資料!$G:$G, (MATCH(1022, 輔助計算!$G$2:$G$801, 0)+1))&lt;=790,3,IF(INDEX(ERP資料!$G:$G, (MATCH(1022, 輔助計算!$G$2:$G$801, 0)+1))&lt;=1181,2,1))))=0,"",IF(MOD(INDEX(輔助計算!$D:$D, (MATCH(1022, 輔助計算!$G$2:$G$801, 0)+1)),IF(INDEX(ERP資料!$G:$G, (MATCH(1022, 輔助計算!$G$2:$G$801, 0)+1))&lt;100, IF(INDEX(ERP資料!$G:$G, (MATCH(1022, 輔助計算!$G$2:$G$801, 0)+1))&lt;=31,3,IF(INDEX(ERP資料!$G:$G, (MATCH(1022, 輔助計算!$G$2:$G$801, 0)+1))&lt;=46.5,2,1)), IF(INDEX(ERP資料!$G:$G, (MATCH(1022, 輔助計算!$G$2:$G$801, 0)+1))&lt;=790,3,IF(INDEX(ERP資料!$G:$G, (MATCH(1022, 輔助計算!$G$2:$G$801, 0)+1))&lt;=1181,2,1))))=1,TEXT(INDEX(ERP資料!$G:$G, (MATCH(1022, 輔助計算!$G$2:$G$801, 0)+1)),"0.##"),IF(MOD(INDEX(輔助計算!$D:$D, (MATCH(1022, 輔助計算!$G$2:$G$801, 0)+1)),IF(INDEX(ERP資料!$G:$G, (MATCH(1022, 輔助計算!$G$2:$G$801, 0)+1))&lt;100, IF(INDEX(ERP資料!$G:$G, (MATCH(1022, 輔助計算!$G$2:$G$801, 0)+1))&lt;=31,3,IF(INDEX(ERP資料!$G:$G, (MATCH(1022, 輔助計算!$G$2:$G$801, 0)+1))&lt;=46.5,2,1)), IF(INDEX(ERP資料!$G:$G, (MATCH(1022, 輔助計算!$G$2:$G$801, 0)+1))&lt;=790,3,IF(INDEX(ERP資料!$G:$G, (MATCH(1022, 輔助計算!$G$2:$G$801, 0)+1))&lt;=1181,2,1))))=2,TEXT(INDEX(ERP資料!$G:$G, (MATCH(1022, 輔助計算!$G$2:$G$801, 0)+1)),"0.##")&amp;"+"&amp;TEXT(INDEX(ERP資料!$G:$G, (MATCH(1022, 輔助計算!$G$2:$G$801, 0)+1)),"0.##"),TEXT(INDEX(ERP資料!$G:$G, (MATCH(1022, 輔助計算!$G$2:$G$801, 0)+1)),"0.##")&amp;"+"&amp;TEXT(INDEX(ERP資料!$G:$G, (MATCH(1022, 輔助計算!$G$2:$G$801, 0)+1)),"0.##")&amp;"+"&amp;TEXT(INDEX(ERP資料!$G:$G, (MATCH(1022, 輔助計算!$G$2:$G$801, 0)+1)),"0.##"))))&amp;"-1")), ""), "")</f>
        <v/>
      </c>
      <c r="K1023" s="16" t="n"/>
      <c r="L1023" s="14">
        <f>IFERROR(IF(AND(IFERROR(INDEX(ERP資料!$A:$A, (MATCH(1022, 輔助計算!$G$2:$G$801, 0)+1)), "")&lt;&gt;"", IFERROR(INDEX(ERP資料!$A:$A, (MATCH(1022, 輔助計算!$G$2:$G$801, 0)+1)), "")&lt;&gt;IFERROR(INDEX(ERP資料!$A:$A, MATCH(1021, 輔助計算!$G$2:$G$801, 0)+1), "")), INDEX(ERP資料!$B:$B, (MATCH(1022, 輔助計算!$G$2:$G$801, 0)+1)), ""), "")</f>
        <v/>
      </c>
      <c r="M1023" s="17" t="n"/>
    </row>
    <row r="1024">
      <c r="A1024" s="10">
        <f>IFERROR(IF(AND(IFERROR(INDEX(ERP資料!$A:$A, (MATCH(1023, 輔助計算!$G$2:$G$801, 0)+1)), "")&lt;&gt;"", IFERROR(INDEX(ERP資料!$A:$A, (MATCH(1023, 輔助計算!$G$2:$G$801, 0)+1)), "")&lt;&gt;IFERROR(INDEX(ERP資料!$A:$A, MATCH(1022, 輔助計算!$G$2:$G$801, 0)+1), "")), IFERROR(INDEX(ERP資料!$A:$A, (MATCH(1023, 輔助計算!$G$2:$G$801, 0)+1)), ""), ""), "")</f>
        <v/>
      </c>
      <c r="B1024" s="10">
        <f>IFERROR(IF(AND(IFERROR(INDEX(ERP資料!$A:$A, (MATCH(1023, 輔助計算!$G$2:$G$801, 0)+1)), "")&lt;&gt;"", IFERROR(INDEX(ERP資料!$A:$A, (MATCH(1023, 輔助計算!$G$2:$G$801, 0)+1)), "")&lt;&gt;IFERROR(INDEX(ERP資料!$A:$A, MATCH(1022, 輔助計算!$G$2:$G$801, 0)+1), "")), INDEX(ERP資料!$S:$S, (MATCH(1023, 輔助計算!$G$2:$G$801, 0)+1)), ""), "")</f>
        <v/>
      </c>
      <c r="C1024" s="19">
        <f>IFERROR(IF(AND(IFERROR(INDEX(ERP資料!$A:$A, (MATCH(1023, 輔助計算!$G$2:$G$801, 0)+1)), "")&lt;&gt;"", IFERROR(INDEX(ERP資料!$A:$A, (MATCH(1023, 輔助計算!$G$2:$G$801, 0)+1)), "")&lt;&gt;IFERROR(INDEX(ERP資料!$A:$A, MATCH(1022, 輔助計算!$G$2:$G$801, 0)+1), "")), IFERROR(VLOOKUP(LEFT(INDEX(ERP資料!$S:$S, (MATCH(1023, 輔助計算!$G$2:$G$801, 0)+1)), 4), 紙管對照表!$A:$C, 3, FALSE), ""), ""), "")</f>
        <v/>
      </c>
      <c r="D1024" s="16" t="n"/>
      <c r="E1024" s="10">
        <f>IFERROR(IF(INDEX(ERP資料!$H:$H, (MATCH(1023, 輔助計算!$G$2:$G$801, 0)+1))="","",INDEX(ERP資料!$H:$H, (MATCH(1023, 輔助計算!$G$2:$G$801, 0)+1))), "")</f>
        <v/>
      </c>
      <c r="F1024" s="10">
        <f>IFERROR(IF(INDEX(ERP資料!$E:$E, (MATCH(1023, 輔助計算!$G$2:$G$801, 0)+1))="","",TRIM(INDEX(ERP資料!$E:$E, (MATCH(1023, 輔助計算!$G$2:$G$801, 0)+1)))), "")</f>
        <v/>
      </c>
      <c r="G1024" s="10">
        <f>IFERROR(IF(INDEX(ERP資料!$F:$F, (MATCH(1023, 輔助計算!$G$2:$G$801, 0)+1))="","",INDEX(ERP資料!$F:$F, (MATCH(1023, 輔助計算!$G$2:$G$801, 0)+1))), "")</f>
        <v/>
      </c>
      <c r="H1024" s="10">
        <f>IFERROR(IF(INDEX(ERP資料!$G:$G, (MATCH(1023, 輔助計算!$G$2:$G$801, 0)+1))="","",INDEX(ERP資料!$G:$G, (MATCH(1023, 輔助計算!$G$2:$G$801, 0)+1))), "")</f>
        <v/>
      </c>
      <c r="I1024" s="15">
        <f>IFERROR(INDEX(輔助計算!$D:$D, (MATCH(1023, 輔助計算!$G$2:$G$801, 0)+1)), "")</f>
        <v/>
      </c>
      <c r="J1024" s="15">
        <f>IFERROR(IF(AND(INDEX(輔助計算!$D:$D, (MATCH(1023, 輔助計算!$G$2:$G$801, 0)+1))&lt;&gt;"", INDEX(ERP資料!$G:$G, (MATCH(1023, 輔助計算!$G$2:$G$801, 0)+1))&lt;&gt;""), TRIM(IF(INT(INDEX(輔助計算!$D:$D, (MATCH(1023, 輔助計算!$G$2:$G$801, 0)+1))/IF(INDEX(ERP資料!$G:$G, (MATCH(1023, 輔助計算!$G$2:$G$801, 0)+1))&lt;100, IF(INDEX(ERP資料!$G:$G, (MATCH(1023, 輔助計算!$G$2:$G$801, 0)+1))&lt;=31,3,IF(INDEX(ERP資料!$G:$G, (MATCH(1023, 輔助計算!$G$2:$G$801, 0)+1))&lt;=46.5,2,1)), IF(INDEX(ERP資料!$G:$G, (MATCH(1023, 輔助計算!$G$2:$G$801, 0)+1))&lt;=790,3,IF(INDEX(ERP資料!$G:$G, (MATCH(1023, 輔助計算!$G$2:$G$801, 0)+1))&lt;=1181,2,1))))&gt;0, IF(IF(INDEX(ERP資料!$G:$G, (MATCH(1023, 輔助計算!$G$2:$G$801, 0)+1))&lt;100, IF(INDEX(ERP資料!$G:$G, (MATCH(1023, 輔助計算!$G$2:$G$801, 0)+1))&lt;=31,3,IF(INDEX(ERP資料!$G:$G, (MATCH(1023, 輔助計算!$G$2:$G$801, 0)+1))&lt;=46.5,2,1)), IF(INDEX(ERP資料!$G:$G, (MATCH(1023, 輔助計算!$G$2:$G$801, 0)+1))&lt;=790,3,IF(INDEX(ERP資料!$G:$G, (MATCH(1023, 輔助計算!$G$2:$G$801, 0)+1))&lt;=1181,2,1)))=1,TEXT(INDEX(ERP資料!$G:$G, (MATCH(1023, 輔助計算!$G$2:$G$801, 0)+1)),"0.##"),IF(IF(INDEX(ERP資料!$G:$G, (MATCH(1023, 輔助計算!$G$2:$G$801, 0)+1))&lt;100, IF(INDEX(ERP資料!$G:$G, (MATCH(1023, 輔助計算!$G$2:$G$801, 0)+1))&lt;=31,3,IF(INDEX(ERP資料!$G:$G, (MATCH(1023, 輔助計算!$G$2:$G$801, 0)+1))&lt;=46.5,2,1)), IF(INDEX(ERP資料!$G:$G, (MATCH(1023, 輔助計算!$G$2:$G$801, 0)+1))&lt;=790,3,IF(INDEX(ERP資料!$G:$G, (MATCH(1023, 輔助計算!$G$2:$G$801, 0)+1))&lt;=1181,2,1)))=2,TEXT(INDEX(ERP資料!$G:$G, (MATCH(1023, 輔助計算!$G$2:$G$801, 0)+1)),"0.##")&amp;"+"&amp;TEXT(INDEX(ERP資料!$G:$G, (MATCH(1023, 輔助計算!$G$2:$G$801, 0)+1)),"0.##"),TEXT(INDEX(ERP資料!$G:$G, (MATCH(1023, 輔助計算!$G$2:$G$801, 0)+1)),"0.##")&amp;"+"&amp;TEXT(INDEX(ERP資料!$G:$G, (MATCH(1023, 輔助計算!$G$2:$G$801, 0)+1)),"0.##")&amp;"+"&amp;TEXT(INDEX(ERP資料!$G:$G, (MATCH(1023, 輔助計算!$G$2:$G$801, 0)+1)),"0.##")))&amp;"-"&amp;INT(INDEX(輔助計算!$D:$D, (MATCH(1023, 輔助計算!$G$2:$G$801, 0)+1))/IF(INDEX(ERP資料!$G:$G, (MATCH(1023, 輔助計算!$G$2:$G$801, 0)+1))&lt;100, IF(INDEX(ERP資料!$G:$G, (MATCH(1023, 輔助計算!$G$2:$G$801, 0)+1))&lt;=31,3,IF(INDEX(ERP資料!$G:$G, (MATCH(1023, 輔助計算!$G$2:$G$801, 0)+1))&lt;=46.5,2,1)), IF(INDEX(ERP資料!$G:$G, (MATCH(1023, 輔助計算!$G$2:$G$801, 0)+1))&lt;=790,3,IF(INDEX(ERP資料!$G:$G, (MATCH(1023, 輔助計算!$G$2:$G$801, 0)+1))&lt;=1181,2,1)))), "")&amp;IF(AND(IF(INT(INDEX(輔助計算!$D:$D, (MATCH(1023, 輔助計算!$G$2:$G$801, 0)+1))/IF(INDEX(ERP資料!$G:$G, (MATCH(1023, 輔助計算!$G$2:$G$801, 0)+1))&lt;100, IF(INDEX(ERP資料!$G:$G, (MATCH(1023, 輔助計算!$G$2:$G$801, 0)+1))&lt;=31,3,IF(INDEX(ERP資料!$G:$G, (MATCH(1023, 輔助計算!$G$2:$G$801, 0)+1))&lt;=46.5,2,1)), IF(INDEX(ERP資料!$G:$G, (MATCH(1023, 輔助計算!$G$2:$G$801, 0)+1))&lt;=790,3,IF(INDEX(ERP資料!$G:$G, (MATCH(1023, 輔助計算!$G$2:$G$801, 0)+1))&lt;=1181,2,1))))&gt;0, IF(IF(INDEX(ERP資料!$G:$G, (MATCH(1023, 輔助計算!$G$2:$G$801, 0)+1))&lt;100, IF(INDEX(ERP資料!$G:$G, (MATCH(1023, 輔助計算!$G$2:$G$801, 0)+1))&lt;=31,3,IF(INDEX(ERP資料!$G:$G, (MATCH(1023, 輔助計算!$G$2:$G$801, 0)+1))&lt;=46.5,2,1)), IF(INDEX(ERP資料!$G:$G, (MATCH(1023, 輔助計算!$G$2:$G$801, 0)+1))&lt;=790,3,IF(INDEX(ERP資料!$G:$G, (MATCH(1023, 輔助計算!$G$2:$G$801, 0)+1))&lt;=1181,2,1)))=1,TEXT(INDEX(ERP資料!$G:$G, (MATCH(1023, 輔助計算!$G$2:$G$801, 0)+1)),"0.##"),IF(IF(INDEX(ERP資料!$G:$G, (MATCH(1023, 輔助計算!$G$2:$G$801, 0)+1))&lt;100, IF(INDEX(ERP資料!$G:$G, (MATCH(1023, 輔助計算!$G$2:$G$801, 0)+1))&lt;=31,3,IF(INDEX(ERP資料!$G:$G, (MATCH(1023, 輔助計算!$G$2:$G$801, 0)+1))&lt;=46.5,2,1)), IF(INDEX(ERP資料!$G:$G, (MATCH(1023, 輔助計算!$G$2:$G$801, 0)+1))&lt;=790,3,IF(INDEX(ERP資料!$G:$G, (MATCH(1023, 輔助計算!$G$2:$G$801, 0)+1))&lt;=1181,2,1)))=2,TEXT(INDEX(ERP資料!$G:$G, (MATCH(1023, 輔助計算!$G$2:$G$801, 0)+1)),"0.##")&amp;"+"&amp;TEXT(INDEX(ERP資料!$G:$G, (MATCH(1023, 輔助計算!$G$2:$G$801, 0)+1)),"0.##"),TEXT(INDEX(ERP資料!$G:$G, (MATCH(1023, 輔助計算!$G$2:$G$801, 0)+1)),"0.##")&amp;"+"&amp;TEXT(INDEX(ERP資料!$G:$G, (MATCH(1023, 輔助計算!$G$2:$G$801, 0)+1)),"0.##")&amp;"+"&amp;TEXT(INDEX(ERP資料!$G:$G, (MATCH(1023, 輔助計算!$G$2:$G$801, 0)+1)),"0.##")))&amp;"-"&amp;INT(INDEX(輔助計算!$D:$D, (MATCH(1023, 輔助計算!$G$2:$G$801, 0)+1))/IF(INDEX(ERP資料!$G:$G, (MATCH(1023, 輔助計算!$G$2:$G$801, 0)+1))&lt;100, IF(INDEX(ERP資料!$G:$G, (MATCH(1023, 輔助計算!$G$2:$G$801, 0)+1))&lt;=31,3,IF(INDEX(ERP資料!$G:$G, (MATCH(1023, 輔助計算!$G$2:$G$801, 0)+1))&lt;=46.5,2,1)), IF(INDEX(ERP資料!$G:$G, (MATCH(1023, 輔助計算!$G$2:$G$801, 0)+1))&lt;=790,3,IF(INDEX(ERP資料!$G:$G, (MATCH(1023, 輔助計算!$G$2:$G$801, 0)+1))&lt;=1181,2,1)))), "")&lt;&gt;"",IF(MOD(INDEX(輔助計算!$D:$D, (MATCH(1023, 輔助計算!$G$2:$G$801, 0)+1)),IF(INDEX(ERP資料!$G:$G, (MATCH(1023, 輔助計算!$G$2:$G$801, 0)+1))&lt;100, IF(INDEX(ERP資料!$G:$G, (MATCH(1023, 輔助計算!$G$2:$G$801, 0)+1))&lt;=31,3,IF(INDEX(ERP資料!$G:$G, (MATCH(1023, 輔助計算!$G$2:$G$801, 0)+1))&lt;=46.5,2,1)), IF(INDEX(ERP資料!$G:$G, (MATCH(1023, 輔助計算!$G$2:$G$801, 0)+1))&lt;=790,3,IF(INDEX(ERP資料!$G:$G, (MATCH(1023, 輔助計算!$G$2:$G$801, 0)+1))&lt;=1181,2,1))))=0,"",IF(MOD(INDEX(輔助計算!$D:$D, (MATCH(1023, 輔助計算!$G$2:$G$801, 0)+1)),IF(INDEX(ERP資料!$G:$G, (MATCH(1023, 輔助計算!$G$2:$G$801, 0)+1))&lt;100, IF(INDEX(ERP資料!$G:$G, (MATCH(1023, 輔助計算!$G$2:$G$801, 0)+1))&lt;=31,3,IF(INDEX(ERP資料!$G:$G, (MATCH(1023, 輔助計算!$G$2:$G$801, 0)+1))&lt;=46.5,2,1)), IF(INDEX(ERP資料!$G:$G, (MATCH(1023, 輔助計算!$G$2:$G$801, 0)+1))&lt;=790,3,IF(INDEX(ERP資料!$G:$G, (MATCH(1023, 輔助計算!$G$2:$G$801, 0)+1))&lt;=1181,2,1))))=0,"",IF(MOD(INDEX(輔助計算!$D:$D, (MATCH(1023, 輔助計算!$G$2:$G$801, 0)+1)),IF(INDEX(ERP資料!$G:$G, (MATCH(1023, 輔助計算!$G$2:$G$801, 0)+1))&lt;100, IF(INDEX(ERP資料!$G:$G, (MATCH(1023, 輔助計算!$G$2:$G$801, 0)+1))&lt;=31,3,IF(INDEX(ERP資料!$G:$G, (MATCH(1023, 輔助計算!$G$2:$G$801, 0)+1))&lt;=46.5,2,1)), IF(INDEX(ERP資料!$G:$G, (MATCH(1023, 輔助計算!$G$2:$G$801, 0)+1))&lt;=790,3,IF(INDEX(ERP資料!$G:$G, (MATCH(1023, 輔助計算!$G$2:$G$801, 0)+1))&lt;=1181,2,1))))=1,TEXT(INDEX(ERP資料!$G:$G, (MATCH(1023, 輔助計算!$G$2:$G$801, 0)+1)),"0.##"),IF(MOD(INDEX(輔助計算!$D:$D, (MATCH(1023, 輔助計算!$G$2:$G$801, 0)+1)),IF(INDEX(ERP資料!$G:$G, (MATCH(1023, 輔助計算!$G$2:$G$801, 0)+1))&lt;100, IF(INDEX(ERP資料!$G:$G, (MATCH(1023, 輔助計算!$G$2:$G$801, 0)+1))&lt;=31,3,IF(INDEX(ERP資料!$G:$G, (MATCH(1023, 輔助計算!$G$2:$G$801, 0)+1))&lt;=46.5,2,1)), IF(INDEX(ERP資料!$G:$G, (MATCH(1023, 輔助計算!$G$2:$G$801, 0)+1))&lt;=790,3,IF(INDEX(ERP資料!$G:$G, (MATCH(1023, 輔助計算!$G$2:$G$801, 0)+1))&lt;=1181,2,1))))=2,TEXT(INDEX(ERP資料!$G:$G, (MATCH(1023, 輔助計算!$G$2:$G$801, 0)+1)),"0.##")&amp;"+"&amp;TEXT(INDEX(ERP資料!$G:$G, (MATCH(1023, 輔助計算!$G$2:$G$801, 0)+1)),"0.##"),TEXT(INDEX(ERP資料!$G:$G, (MATCH(1023, 輔助計算!$G$2:$G$801, 0)+1)),"0.##")&amp;"+"&amp;TEXT(INDEX(ERP資料!$G:$G, (MATCH(1023, 輔助計算!$G$2:$G$801, 0)+1)),"0.##")&amp;"+"&amp;TEXT(INDEX(ERP資料!$G:$G, (MATCH(1023, 輔助計算!$G$2:$G$801, 0)+1)),"0.##"))))&amp;"-1")&lt;&gt;""),"  ","")&amp;IF(MOD(INDEX(輔助計算!$D:$D, (MATCH(1023, 輔助計算!$G$2:$G$801, 0)+1)),IF(INDEX(ERP資料!$G:$G, (MATCH(1023, 輔助計算!$G$2:$G$801, 0)+1))&lt;100, IF(INDEX(ERP資料!$G:$G, (MATCH(1023, 輔助計算!$G$2:$G$801, 0)+1))&lt;=31,3,IF(INDEX(ERP資料!$G:$G, (MATCH(1023, 輔助計算!$G$2:$G$801, 0)+1))&lt;=46.5,2,1)), IF(INDEX(ERP資料!$G:$G, (MATCH(1023, 輔助計算!$G$2:$G$801, 0)+1))&lt;=790,3,IF(INDEX(ERP資料!$G:$G, (MATCH(1023, 輔助計算!$G$2:$G$801, 0)+1))&lt;=1181,2,1))))=0,"",IF(MOD(INDEX(輔助計算!$D:$D, (MATCH(1023, 輔助計算!$G$2:$G$801, 0)+1)),IF(INDEX(ERP資料!$G:$G, (MATCH(1023, 輔助計算!$G$2:$G$801, 0)+1))&lt;100, IF(INDEX(ERP資料!$G:$G, (MATCH(1023, 輔助計算!$G$2:$G$801, 0)+1))&lt;=31,3,IF(INDEX(ERP資料!$G:$G, (MATCH(1023, 輔助計算!$G$2:$G$801, 0)+1))&lt;=46.5,2,1)), IF(INDEX(ERP資料!$G:$G, (MATCH(1023, 輔助計算!$G$2:$G$801, 0)+1))&lt;=790,3,IF(INDEX(ERP資料!$G:$G, (MATCH(1023, 輔助計算!$G$2:$G$801, 0)+1))&lt;=1181,2,1))))=0,"",IF(MOD(INDEX(輔助計算!$D:$D, (MATCH(1023, 輔助計算!$G$2:$G$801, 0)+1)),IF(INDEX(ERP資料!$G:$G, (MATCH(1023, 輔助計算!$G$2:$G$801, 0)+1))&lt;100, IF(INDEX(ERP資料!$G:$G, (MATCH(1023, 輔助計算!$G$2:$G$801, 0)+1))&lt;=31,3,IF(INDEX(ERP資料!$G:$G, (MATCH(1023, 輔助計算!$G$2:$G$801, 0)+1))&lt;=46.5,2,1)), IF(INDEX(ERP資料!$G:$G, (MATCH(1023, 輔助計算!$G$2:$G$801, 0)+1))&lt;=790,3,IF(INDEX(ERP資料!$G:$G, (MATCH(1023, 輔助計算!$G$2:$G$801, 0)+1))&lt;=1181,2,1))))=1,TEXT(INDEX(ERP資料!$G:$G, (MATCH(1023, 輔助計算!$G$2:$G$801, 0)+1)),"0.##"),IF(MOD(INDEX(輔助計算!$D:$D, (MATCH(1023, 輔助計算!$G$2:$G$801, 0)+1)),IF(INDEX(ERP資料!$G:$G, (MATCH(1023, 輔助計算!$G$2:$G$801, 0)+1))&lt;100, IF(INDEX(ERP資料!$G:$G, (MATCH(1023, 輔助計算!$G$2:$G$801, 0)+1))&lt;=31,3,IF(INDEX(ERP資料!$G:$G, (MATCH(1023, 輔助計算!$G$2:$G$801, 0)+1))&lt;=46.5,2,1)), IF(INDEX(ERP資料!$G:$G, (MATCH(1023, 輔助計算!$G$2:$G$801, 0)+1))&lt;=790,3,IF(INDEX(ERP資料!$G:$G, (MATCH(1023, 輔助計算!$G$2:$G$801, 0)+1))&lt;=1181,2,1))))=2,TEXT(INDEX(ERP資料!$G:$G, (MATCH(1023, 輔助計算!$G$2:$G$801, 0)+1)),"0.##")&amp;"+"&amp;TEXT(INDEX(ERP資料!$G:$G, (MATCH(1023, 輔助計算!$G$2:$G$801, 0)+1)),"0.##"),TEXT(INDEX(ERP資料!$G:$G, (MATCH(1023, 輔助計算!$G$2:$G$801, 0)+1)),"0.##")&amp;"+"&amp;TEXT(INDEX(ERP資料!$G:$G, (MATCH(1023, 輔助計算!$G$2:$G$801, 0)+1)),"0.##")&amp;"+"&amp;TEXT(INDEX(ERP資料!$G:$G, (MATCH(1023, 輔助計算!$G$2:$G$801, 0)+1)),"0.##"))))&amp;"-1")), ""), "")</f>
        <v/>
      </c>
      <c r="K1024" s="16" t="n"/>
      <c r="L1024" s="14">
        <f>IFERROR(IF(AND(IFERROR(INDEX(ERP資料!$A:$A, (MATCH(1023, 輔助計算!$G$2:$G$801, 0)+1)), "")&lt;&gt;"", IFERROR(INDEX(ERP資料!$A:$A, (MATCH(1023, 輔助計算!$G$2:$G$801, 0)+1)), "")&lt;&gt;IFERROR(INDEX(ERP資料!$A:$A, MATCH(1022, 輔助計算!$G$2:$G$801, 0)+1), "")), INDEX(ERP資料!$B:$B, (MATCH(1023, 輔助計算!$G$2:$G$801, 0)+1)), ""), "")</f>
        <v/>
      </c>
      <c r="M1024" s="17" t="n"/>
    </row>
    <row r="1025">
      <c r="A1025" s="10">
        <f>IFERROR(IF(AND(IFERROR(INDEX(ERP資料!$A:$A, (MATCH(1024, 輔助計算!$G$2:$G$801, 0)+1)), "")&lt;&gt;"", IFERROR(INDEX(ERP資料!$A:$A, (MATCH(1024, 輔助計算!$G$2:$G$801, 0)+1)), "")&lt;&gt;IFERROR(INDEX(ERP資料!$A:$A, MATCH(1023, 輔助計算!$G$2:$G$801, 0)+1), "")), IFERROR(INDEX(ERP資料!$A:$A, (MATCH(1024, 輔助計算!$G$2:$G$801, 0)+1)), ""), ""), "")</f>
        <v/>
      </c>
      <c r="B1025" s="10">
        <f>IFERROR(IF(AND(IFERROR(INDEX(ERP資料!$A:$A, (MATCH(1024, 輔助計算!$G$2:$G$801, 0)+1)), "")&lt;&gt;"", IFERROR(INDEX(ERP資料!$A:$A, (MATCH(1024, 輔助計算!$G$2:$G$801, 0)+1)), "")&lt;&gt;IFERROR(INDEX(ERP資料!$A:$A, MATCH(1023, 輔助計算!$G$2:$G$801, 0)+1), "")), INDEX(ERP資料!$S:$S, (MATCH(1024, 輔助計算!$G$2:$G$801, 0)+1)), ""), "")</f>
        <v/>
      </c>
      <c r="C1025" s="19">
        <f>IFERROR(IF(AND(IFERROR(INDEX(ERP資料!$A:$A, (MATCH(1024, 輔助計算!$G$2:$G$801, 0)+1)), "")&lt;&gt;"", IFERROR(INDEX(ERP資料!$A:$A, (MATCH(1024, 輔助計算!$G$2:$G$801, 0)+1)), "")&lt;&gt;IFERROR(INDEX(ERP資料!$A:$A, MATCH(1023, 輔助計算!$G$2:$G$801, 0)+1), "")), IFERROR(VLOOKUP(LEFT(INDEX(ERP資料!$S:$S, (MATCH(1024, 輔助計算!$G$2:$G$801, 0)+1)), 4), 紙管對照表!$A:$C, 3, FALSE), ""), ""), "")</f>
        <v/>
      </c>
      <c r="D1025" s="16" t="n"/>
      <c r="E1025" s="10">
        <f>IFERROR(IF(INDEX(ERP資料!$H:$H, (MATCH(1024, 輔助計算!$G$2:$G$801, 0)+1))="","",INDEX(ERP資料!$H:$H, (MATCH(1024, 輔助計算!$G$2:$G$801, 0)+1))), "")</f>
        <v/>
      </c>
      <c r="F1025" s="10">
        <f>IFERROR(IF(INDEX(ERP資料!$E:$E, (MATCH(1024, 輔助計算!$G$2:$G$801, 0)+1))="","",TRIM(INDEX(ERP資料!$E:$E, (MATCH(1024, 輔助計算!$G$2:$G$801, 0)+1)))), "")</f>
        <v/>
      </c>
      <c r="G1025" s="10">
        <f>IFERROR(IF(INDEX(ERP資料!$F:$F, (MATCH(1024, 輔助計算!$G$2:$G$801, 0)+1))="","",INDEX(ERP資料!$F:$F, (MATCH(1024, 輔助計算!$G$2:$G$801, 0)+1))), "")</f>
        <v/>
      </c>
      <c r="H1025" s="10">
        <f>IFERROR(IF(INDEX(ERP資料!$G:$G, (MATCH(1024, 輔助計算!$G$2:$G$801, 0)+1))="","",INDEX(ERP資料!$G:$G, (MATCH(1024, 輔助計算!$G$2:$G$801, 0)+1))), "")</f>
        <v/>
      </c>
      <c r="I1025" s="15">
        <f>IFERROR(INDEX(輔助計算!$D:$D, (MATCH(1024, 輔助計算!$G$2:$G$801, 0)+1)), "")</f>
        <v/>
      </c>
      <c r="J1025" s="15">
        <f>IFERROR(IF(AND(INDEX(輔助計算!$D:$D, (MATCH(1024, 輔助計算!$G$2:$G$801, 0)+1))&lt;&gt;"", INDEX(ERP資料!$G:$G, (MATCH(1024, 輔助計算!$G$2:$G$801, 0)+1))&lt;&gt;""), TRIM(IF(INT(INDEX(輔助計算!$D:$D, (MATCH(1024, 輔助計算!$G$2:$G$801, 0)+1))/IF(INDEX(ERP資料!$G:$G, (MATCH(1024, 輔助計算!$G$2:$G$801, 0)+1))&lt;100, IF(INDEX(ERP資料!$G:$G, (MATCH(1024, 輔助計算!$G$2:$G$801, 0)+1))&lt;=31,3,IF(INDEX(ERP資料!$G:$G, (MATCH(1024, 輔助計算!$G$2:$G$801, 0)+1))&lt;=46.5,2,1)), IF(INDEX(ERP資料!$G:$G, (MATCH(1024, 輔助計算!$G$2:$G$801, 0)+1))&lt;=790,3,IF(INDEX(ERP資料!$G:$G, (MATCH(1024, 輔助計算!$G$2:$G$801, 0)+1))&lt;=1181,2,1))))&gt;0, IF(IF(INDEX(ERP資料!$G:$G, (MATCH(1024, 輔助計算!$G$2:$G$801, 0)+1))&lt;100, IF(INDEX(ERP資料!$G:$G, (MATCH(1024, 輔助計算!$G$2:$G$801, 0)+1))&lt;=31,3,IF(INDEX(ERP資料!$G:$G, (MATCH(1024, 輔助計算!$G$2:$G$801, 0)+1))&lt;=46.5,2,1)), IF(INDEX(ERP資料!$G:$G, (MATCH(1024, 輔助計算!$G$2:$G$801, 0)+1))&lt;=790,3,IF(INDEX(ERP資料!$G:$G, (MATCH(1024, 輔助計算!$G$2:$G$801, 0)+1))&lt;=1181,2,1)))=1,TEXT(INDEX(ERP資料!$G:$G, (MATCH(1024, 輔助計算!$G$2:$G$801, 0)+1)),"0.##"),IF(IF(INDEX(ERP資料!$G:$G, (MATCH(1024, 輔助計算!$G$2:$G$801, 0)+1))&lt;100, IF(INDEX(ERP資料!$G:$G, (MATCH(1024, 輔助計算!$G$2:$G$801, 0)+1))&lt;=31,3,IF(INDEX(ERP資料!$G:$G, (MATCH(1024, 輔助計算!$G$2:$G$801, 0)+1))&lt;=46.5,2,1)), IF(INDEX(ERP資料!$G:$G, (MATCH(1024, 輔助計算!$G$2:$G$801, 0)+1))&lt;=790,3,IF(INDEX(ERP資料!$G:$G, (MATCH(1024, 輔助計算!$G$2:$G$801, 0)+1))&lt;=1181,2,1)))=2,TEXT(INDEX(ERP資料!$G:$G, (MATCH(1024, 輔助計算!$G$2:$G$801, 0)+1)),"0.##")&amp;"+"&amp;TEXT(INDEX(ERP資料!$G:$G, (MATCH(1024, 輔助計算!$G$2:$G$801, 0)+1)),"0.##"),TEXT(INDEX(ERP資料!$G:$G, (MATCH(1024, 輔助計算!$G$2:$G$801, 0)+1)),"0.##")&amp;"+"&amp;TEXT(INDEX(ERP資料!$G:$G, (MATCH(1024, 輔助計算!$G$2:$G$801, 0)+1)),"0.##")&amp;"+"&amp;TEXT(INDEX(ERP資料!$G:$G, (MATCH(1024, 輔助計算!$G$2:$G$801, 0)+1)),"0.##")))&amp;"-"&amp;INT(INDEX(輔助計算!$D:$D, (MATCH(1024, 輔助計算!$G$2:$G$801, 0)+1))/IF(INDEX(ERP資料!$G:$G, (MATCH(1024, 輔助計算!$G$2:$G$801, 0)+1))&lt;100, IF(INDEX(ERP資料!$G:$G, (MATCH(1024, 輔助計算!$G$2:$G$801, 0)+1))&lt;=31,3,IF(INDEX(ERP資料!$G:$G, (MATCH(1024, 輔助計算!$G$2:$G$801, 0)+1))&lt;=46.5,2,1)), IF(INDEX(ERP資料!$G:$G, (MATCH(1024, 輔助計算!$G$2:$G$801, 0)+1))&lt;=790,3,IF(INDEX(ERP資料!$G:$G, (MATCH(1024, 輔助計算!$G$2:$G$801, 0)+1))&lt;=1181,2,1)))), "")&amp;IF(AND(IF(INT(INDEX(輔助計算!$D:$D, (MATCH(1024, 輔助計算!$G$2:$G$801, 0)+1))/IF(INDEX(ERP資料!$G:$G, (MATCH(1024, 輔助計算!$G$2:$G$801, 0)+1))&lt;100, IF(INDEX(ERP資料!$G:$G, (MATCH(1024, 輔助計算!$G$2:$G$801, 0)+1))&lt;=31,3,IF(INDEX(ERP資料!$G:$G, (MATCH(1024, 輔助計算!$G$2:$G$801, 0)+1))&lt;=46.5,2,1)), IF(INDEX(ERP資料!$G:$G, (MATCH(1024, 輔助計算!$G$2:$G$801, 0)+1))&lt;=790,3,IF(INDEX(ERP資料!$G:$G, (MATCH(1024, 輔助計算!$G$2:$G$801, 0)+1))&lt;=1181,2,1))))&gt;0, IF(IF(INDEX(ERP資料!$G:$G, (MATCH(1024, 輔助計算!$G$2:$G$801, 0)+1))&lt;100, IF(INDEX(ERP資料!$G:$G, (MATCH(1024, 輔助計算!$G$2:$G$801, 0)+1))&lt;=31,3,IF(INDEX(ERP資料!$G:$G, (MATCH(1024, 輔助計算!$G$2:$G$801, 0)+1))&lt;=46.5,2,1)), IF(INDEX(ERP資料!$G:$G, (MATCH(1024, 輔助計算!$G$2:$G$801, 0)+1))&lt;=790,3,IF(INDEX(ERP資料!$G:$G, (MATCH(1024, 輔助計算!$G$2:$G$801, 0)+1))&lt;=1181,2,1)))=1,TEXT(INDEX(ERP資料!$G:$G, (MATCH(1024, 輔助計算!$G$2:$G$801, 0)+1)),"0.##"),IF(IF(INDEX(ERP資料!$G:$G, (MATCH(1024, 輔助計算!$G$2:$G$801, 0)+1))&lt;100, IF(INDEX(ERP資料!$G:$G, (MATCH(1024, 輔助計算!$G$2:$G$801, 0)+1))&lt;=31,3,IF(INDEX(ERP資料!$G:$G, (MATCH(1024, 輔助計算!$G$2:$G$801, 0)+1))&lt;=46.5,2,1)), IF(INDEX(ERP資料!$G:$G, (MATCH(1024, 輔助計算!$G$2:$G$801, 0)+1))&lt;=790,3,IF(INDEX(ERP資料!$G:$G, (MATCH(1024, 輔助計算!$G$2:$G$801, 0)+1))&lt;=1181,2,1)))=2,TEXT(INDEX(ERP資料!$G:$G, (MATCH(1024, 輔助計算!$G$2:$G$801, 0)+1)),"0.##")&amp;"+"&amp;TEXT(INDEX(ERP資料!$G:$G, (MATCH(1024, 輔助計算!$G$2:$G$801, 0)+1)),"0.##"),TEXT(INDEX(ERP資料!$G:$G, (MATCH(1024, 輔助計算!$G$2:$G$801, 0)+1)),"0.##")&amp;"+"&amp;TEXT(INDEX(ERP資料!$G:$G, (MATCH(1024, 輔助計算!$G$2:$G$801, 0)+1)),"0.##")&amp;"+"&amp;TEXT(INDEX(ERP資料!$G:$G, (MATCH(1024, 輔助計算!$G$2:$G$801, 0)+1)),"0.##")))&amp;"-"&amp;INT(INDEX(輔助計算!$D:$D, (MATCH(1024, 輔助計算!$G$2:$G$801, 0)+1))/IF(INDEX(ERP資料!$G:$G, (MATCH(1024, 輔助計算!$G$2:$G$801, 0)+1))&lt;100, IF(INDEX(ERP資料!$G:$G, (MATCH(1024, 輔助計算!$G$2:$G$801, 0)+1))&lt;=31,3,IF(INDEX(ERP資料!$G:$G, (MATCH(1024, 輔助計算!$G$2:$G$801, 0)+1))&lt;=46.5,2,1)), IF(INDEX(ERP資料!$G:$G, (MATCH(1024, 輔助計算!$G$2:$G$801, 0)+1))&lt;=790,3,IF(INDEX(ERP資料!$G:$G, (MATCH(1024, 輔助計算!$G$2:$G$801, 0)+1))&lt;=1181,2,1)))), "")&lt;&gt;"",IF(MOD(INDEX(輔助計算!$D:$D, (MATCH(1024, 輔助計算!$G$2:$G$801, 0)+1)),IF(INDEX(ERP資料!$G:$G, (MATCH(1024, 輔助計算!$G$2:$G$801, 0)+1))&lt;100, IF(INDEX(ERP資料!$G:$G, (MATCH(1024, 輔助計算!$G$2:$G$801, 0)+1))&lt;=31,3,IF(INDEX(ERP資料!$G:$G, (MATCH(1024, 輔助計算!$G$2:$G$801, 0)+1))&lt;=46.5,2,1)), IF(INDEX(ERP資料!$G:$G, (MATCH(1024, 輔助計算!$G$2:$G$801, 0)+1))&lt;=790,3,IF(INDEX(ERP資料!$G:$G, (MATCH(1024, 輔助計算!$G$2:$G$801, 0)+1))&lt;=1181,2,1))))=0,"",IF(MOD(INDEX(輔助計算!$D:$D, (MATCH(1024, 輔助計算!$G$2:$G$801, 0)+1)),IF(INDEX(ERP資料!$G:$G, (MATCH(1024, 輔助計算!$G$2:$G$801, 0)+1))&lt;100, IF(INDEX(ERP資料!$G:$G, (MATCH(1024, 輔助計算!$G$2:$G$801, 0)+1))&lt;=31,3,IF(INDEX(ERP資料!$G:$G, (MATCH(1024, 輔助計算!$G$2:$G$801, 0)+1))&lt;=46.5,2,1)), IF(INDEX(ERP資料!$G:$G, (MATCH(1024, 輔助計算!$G$2:$G$801, 0)+1))&lt;=790,3,IF(INDEX(ERP資料!$G:$G, (MATCH(1024, 輔助計算!$G$2:$G$801, 0)+1))&lt;=1181,2,1))))=0,"",IF(MOD(INDEX(輔助計算!$D:$D, (MATCH(1024, 輔助計算!$G$2:$G$801, 0)+1)),IF(INDEX(ERP資料!$G:$G, (MATCH(1024, 輔助計算!$G$2:$G$801, 0)+1))&lt;100, IF(INDEX(ERP資料!$G:$G, (MATCH(1024, 輔助計算!$G$2:$G$801, 0)+1))&lt;=31,3,IF(INDEX(ERP資料!$G:$G, (MATCH(1024, 輔助計算!$G$2:$G$801, 0)+1))&lt;=46.5,2,1)), IF(INDEX(ERP資料!$G:$G, (MATCH(1024, 輔助計算!$G$2:$G$801, 0)+1))&lt;=790,3,IF(INDEX(ERP資料!$G:$G, (MATCH(1024, 輔助計算!$G$2:$G$801, 0)+1))&lt;=1181,2,1))))=1,TEXT(INDEX(ERP資料!$G:$G, (MATCH(1024, 輔助計算!$G$2:$G$801, 0)+1)),"0.##"),IF(MOD(INDEX(輔助計算!$D:$D, (MATCH(1024, 輔助計算!$G$2:$G$801, 0)+1)),IF(INDEX(ERP資料!$G:$G, (MATCH(1024, 輔助計算!$G$2:$G$801, 0)+1))&lt;100, IF(INDEX(ERP資料!$G:$G, (MATCH(1024, 輔助計算!$G$2:$G$801, 0)+1))&lt;=31,3,IF(INDEX(ERP資料!$G:$G, (MATCH(1024, 輔助計算!$G$2:$G$801, 0)+1))&lt;=46.5,2,1)), IF(INDEX(ERP資料!$G:$G, (MATCH(1024, 輔助計算!$G$2:$G$801, 0)+1))&lt;=790,3,IF(INDEX(ERP資料!$G:$G, (MATCH(1024, 輔助計算!$G$2:$G$801, 0)+1))&lt;=1181,2,1))))=2,TEXT(INDEX(ERP資料!$G:$G, (MATCH(1024, 輔助計算!$G$2:$G$801, 0)+1)),"0.##")&amp;"+"&amp;TEXT(INDEX(ERP資料!$G:$G, (MATCH(1024, 輔助計算!$G$2:$G$801, 0)+1)),"0.##"),TEXT(INDEX(ERP資料!$G:$G, (MATCH(1024, 輔助計算!$G$2:$G$801, 0)+1)),"0.##")&amp;"+"&amp;TEXT(INDEX(ERP資料!$G:$G, (MATCH(1024, 輔助計算!$G$2:$G$801, 0)+1)),"0.##")&amp;"+"&amp;TEXT(INDEX(ERP資料!$G:$G, (MATCH(1024, 輔助計算!$G$2:$G$801, 0)+1)),"0.##"))))&amp;"-1")&lt;&gt;""),"  ","")&amp;IF(MOD(INDEX(輔助計算!$D:$D, (MATCH(1024, 輔助計算!$G$2:$G$801, 0)+1)),IF(INDEX(ERP資料!$G:$G, (MATCH(1024, 輔助計算!$G$2:$G$801, 0)+1))&lt;100, IF(INDEX(ERP資料!$G:$G, (MATCH(1024, 輔助計算!$G$2:$G$801, 0)+1))&lt;=31,3,IF(INDEX(ERP資料!$G:$G, (MATCH(1024, 輔助計算!$G$2:$G$801, 0)+1))&lt;=46.5,2,1)), IF(INDEX(ERP資料!$G:$G, (MATCH(1024, 輔助計算!$G$2:$G$801, 0)+1))&lt;=790,3,IF(INDEX(ERP資料!$G:$G, (MATCH(1024, 輔助計算!$G$2:$G$801, 0)+1))&lt;=1181,2,1))))=0,"",IF(MOD(INDEX(輔助計算!$D:$D, (MATCH(1024, 輔助計算!$G$2:$G$801, 0)+1)),IF(INDEX(ERP資料!$G:$G, (MATCH(1024, 輔助計算!$G$2:$G$801, 0)+1))&lt;100, IF(INDEX(ERP資料!$G:$G, (MATCH(1024, 輔助計算!$G$2:$G$801, 0)+1))&lt;=31,3,IF(INDEX(ERP資料!$G:$G, (MATCH(1024, 輔助計算!$G$2:$G$801, 0)+1))&lt;=46.5,2,1)), IF(INDEX(ERP資料!$G:$G, (MATCH(1024, 輔助計算!$G$2:$G$801, 0)+1))&lt;=790,3,IF(INDEX(ERP資料!$G:$G, (MATCH(1024, 輔助計算!$G$2:$G$801, 0)+1))&lt;=1181,2,1))))=0,"",IF(MOD(INDEX(輔助計算!$D:$D, (MATCH(1024, 輔助計算!$G$2:$G$801, 0)+1)),IF(INDEX(ERP資料!$G:$G, (MATCH(1024, 輔助計算!$G$2:$G$801, 0)+1))&lt;100, IF(INDEX(ERP資料!$G:$G, (MATCH(1024, 輔助計算!$G$2:$G$801, 0)+1))&lt;=31,3,IF(INDEX(ERP資料!$G:$G, (MATCH(1024, 輔助計算!$G$2:$G$801, 0)+1))&lt;=46.5,2,1)), IF(INDEX(ERP資料!$G:$G, (MATCH(1024, 輔助計算!$G$2:$G$801, 0)+1))&lt;=790,3,IF(INDEX(ERP資料!$G:$G, (MATCH(1024, 輔助計算!$G$2:$G$801, 0)+1))&lt;=1181,2,1))))=1,TEXT(INDEX(ERP資料!$G:$G, (MATCH(1024, 輔助計算!$G$2:$G$801, 0)+1)),"0.##"),IF(MOD(INDEX(輔助計算!$D:$D, (MATCH(1024, 輔助計算!$G$2:$G$801, 0)+1)),IF(INDEX(ERP資料!$G:$G, (MATCH(1024, 輔助計算!$G$2:$G$801, 0)+1))&lt;100, IF(INDEX(ERP資料!$G:$G, (MATCH(1024, 輔助計算!$G$2:$G$801, 0)+1))&lt;=31,3,IF(INDEX(ERP資料!$G:$G, (MATCH(1024, 輔助計算!$G$2:$G$801, 0)+1))&lt;=46.5,2,1)), IF(INDEX(ERP資料!$G:$G, (MATCH(1024, 輔助計算!$G$2:$G$801, 0)+1))&lt;=790,3,IF(INDEX(ERP資料!$G:$G, (MATCH(1024, 輔助計算!$G$2:$G$801, 0)+1))&lt;=1181,2,1))))=2,TEXT(INDEX(ERP資料!$G:$G, (MATCH(1024, 輔助計算!$G$2:$G$801, 0)+1)),"0.##")&amp;"+"&amp;TEXT(INDEX(ERP資料!$G:$G, (MATCH(1024, 輔助計算!$G$2:$G$801, 0)+1)),"0.##"),TEXT(INDEX(ERP資料!$G:$G, (MATCH(1024, 輔助計算!$G$2:$G$801, 0)+1)),"0.##")&amp;"+"&amp;TEXT(INDEX(ERP資料!$G:$G, (MATCH(1024, 輔助計算!$G$2:$G$801, 0)+1)),"0.##")&amp;"+"&amp;TEXT(INDEX(ERP資料!$G:$G, (MATCH(1024, 輔助計算!$G$2:$G$801, 0)+1)),"0.##"))))&amp;"-1")), ""), "")</f>
        <v/>
      </c>
      <c r="K1025" s="16" t="n"/>
      <c r="L1025" s="14">
        <f>IFERROR(IF(AND(IFERROR(INDEX(ERP資料!$A:$A, (MATCH(1024, 輔助計算!$G$2:$G$801, 0)+1)), "")&lt;&gt;"", IFERROR(INDEX(ERP資料!$A:$A, (MATCH(1024, 輔助計算!$G$2:$G$801, 0)+1)), "")&lt;&gt;IFERROR(INDEX(ERP資料!$A:$A, MATCH(1023, 輔助計算!$G$2:$G$801, 0)+1), "")), INDEX(ERP資料!$B:$B, (MATCH(1024, 輔助計算!$G$2:$G$801, 0)+1)), ""), "")</f>
        <v/>
      </c>
      <c r="M1025" s="17" t="n"/>
    </row>
    <row r="1026">
      <c r="A1026" s="10">
        <f>IFERROR(IF(AND(IFERROR(INDEX(ERP資料!$A:$A, (MATCH(1025, 輔助計算!$G$2:$G$801, 0)+1)), "")&lt;&gt;"", IFERROR(INDEX(ERP資料!$A:$A, (MATCH(1025, 輔助計算!$G$2:$G$801, 0)+1)), "")&lt;&gt;IFERROR(INDEX(ERP資料!$A:$A, MATCH(1024, 輔助計算!$G$2:$G$801, 0)+1), "")), IFERROR(INDEX(ERP資料!$A:$A, (MATCH(1025, 輔助計算!$G$2:$G$801, 0)+1)), ""), ""), "")</f>
        <v/>
      </c>
      <c r="B1026" s="10">
        <f>IFERROR(IF(AND(IFERROR(INDEX(ERP資料!$A:$A, (MATCH(1025, 輔助計算!$G$2:$G$801, 0)+1)), "")&lt;&gt;"", IFERROR(INDEX(ERP資料!$A:$A, (MATCH(1025, 輔助計算!$G$2:$G$801, 0)+1)), "")&lt;&gt;IFERROR(INDEX(ERP資料!$A:$A, MATCH(1024, 輔助計算!$G$2:$G$801, 0)+1), "")), INDEX(ERP資料!$S:$S, (MATCH(1025, 輔助計算!$G$2:$G$801, 0)+1)), ""), "")</f>
        <v/>
      </c>
      <c r="C1026" s="19">
        <f>IFERROR(IF(AND(IFERROR(INDEX(ERP資料!$A:$A, (MATCH(1025, 輔助計算!$G$2:$G$801, 0)+1)), "")&lt;&gt;"", IFERROR(INDEX(ERP資料!$A:$A, (MATCH(1025, 輔助計算!$G$2:$G$801, 0)+1)), "")&lt;&gt;IFERROR(INDEX(ERP資料!$A:$A, MATCH(1024, 輔助計算!$G$2:$G$801, 0)+1), "")), IFERROR(VLOOKUP(LEFT(INDEX(ERP資料!$S:$S, (MATCH(1025, 輔助計算!$G$2:$G$801, 0)+1)), 4), 紙管對照表!$A:$C, 3, FALSE), ""), ""), "")</f>
        <v/>
      </c>
      <c r="D1026" s="16" t="n"/>
      <c r="E1026" s="10">
        <f>IFERROR(IF(INDEX(ERP資料!$H:$H, (MATCH(1025, 輔助計算!$G$2:$G$801, 0)+1))="","",INDEX(ERP資料!$H:$H, (MATCH(1025, 輔助計算!$G$2:$G$801, 0)+1))), "")</f>
        <v/>
      </c>
      <c r="F1026" s="10">
        <f>IFERROR(IF(INDEX(ERP資料!$E:$E, (MATCH(1025, 輔助計算!$G$2:$G$801, 0)+1))="","",TRIM(INDEX(ERP資料!$E:$E, (MATCH(1025, 輔助計算!$G$2:$G$801, 0)+1)))), "")</f>
        <v/>
      </c>
      <c r="G1026" s="10">
        <f>IFERROR(IF(INDEX(ERP資料!$F:$F, (MATCH(1025, 輔助計算!$G$2:$G$801, 0)+1))="","",INDEX(ERP資料!$F:$F, (MATCH(1025, 輔助計算!$G$2:$G$801, 0)+1))), "")</f>
        <v/>
      </c>
      <c r="H1026" s="10">
        <f>IFERROR(IF(INDEX(ERP資料!$G:$G, (MATCH(1025, 輔助計算!$G$2:$G$801, 0)+1))="","",INDEX(ERP資料!$G:$G, (MATCH(1025, 輔助計算!$G$2:$G$801, 0)+1))), "")</f>
        <v/>
      </c>
      <c r="I1026" s="15">
        <f>IFERROR(INDEX(輔助計算!$D:$D, (MATCH(1025, 輔助計算!$G$2:$G$801, 0)+1)), "")</f>
        <v/>
      </c>
      <c r="J1026" s="15">
        <f>IFERROR(IF(AND(INDEX(輔助計算!$D:$D, (MATCH(1025, 輔助計算!$G$2:$G$801, 0)+1))&lt;&gt;"", INDEX(ERP資料!$G:$G, (MATCH(1025, 輔助計算!$G$2:$G$801, 0)+1))&lt;&gt;""), TRIM(IF(INT(INDEX(輔助計算!$D:$D, (MATCH(1025, 輔助計算!$G$2:$G$801, 0)+1))/IF(INDEX(ERP資料!$G:$G, (MATCH(1025, 輔助計算!$G$2:$G$801, 0)+1))&lt;100, IF(INDEX(ERP資料!$G:$G, (MATCH(1025, 輔助計算!$G$2:$G$801, 0)+1))&lt;=31,3,IF(INDEX(ERP資料!$G:$G, (MATCH(1025, 輔助計算!$G$2:$G$801, 0)+1))&lt;=46.5,2,1)), IF(INDEX(ERP資料!$G:$G, (MATCH(1025, 輔助計算!$G$2:$G$801, 0)+1))&lt;=790,3,IF(INDEX(ERP資料!$G:$G, (MATCH(1025, 輔助計算!$G$2:$G$801, 0)+1))&lt;=1181,2,1))))&gt;0, IF(IF(INDEX(ERP資料!$G:$G, (MATCH(1025, 輔助計算!$G$2:$G$801, 0)+1))&lt;100, IF(INDEX(ERP資料!$G:$G, (MATCH(1025, 輔助計算!$G$2:$G$801, 0)+1))&lt;=31,3,IF(INDEX(ERP資料!$G:$G, (MATCH(1025, 輔助計算!$G$2:$G$801, 0)+1))&lt;=46.5,2,1)), IF(INDEX(ERP資料!$G:$G, (MATCH(1025, 輔助計算!$G$2:$G$801, 0)+1))&lt;=790,3,IF(INDEX(ERP資料!$G:$G, (MATCH(1025, 輔助計算!$G$2:$G$801, 0)+1))&lt;=1181,2,1)))=1,TEXT(INDEX(ERP資料!$G:$G, (MATCH(1025, 輔助計算!$G$2:$G$801, 0)+1)),"0.##"),IF(IF(INDEX(ERP資料!$G:$G, (MATCH(1025, 輔助計算!$G$2:$G$801, 0)+1))&lt;100, IF(INDEX(ERP資料!$G:$G, (MATCH(1025, 輔助計算!$G$2:$G$801, 0)+1))&lt;=31,3,IF(INDEX(ERP資料!$G:$G, (MATCH(1025, 輔助計算!$G$2:$G$801, 0)+1))&lt;=46.5,2,1)), IF(INDEX(ERP資料!$G:$G, (MATCH(1025, 輔助計算!$G$2:$G$801, 0)+1))&lt;=790,3,IF(INDEX(ERP資料!$G:$G, (MATCH(1025, 輔助計算!$G$2:$G$801, 0)+1))&lt;=1181,2,1)))=2,TEXT(INDEX(ERP資料!$G:$G, (MATCH(1025, 輔助計算!$G$2:$G$801, 0)+1)),"0.##")&amp;"+"&amp;TEXT(INDEX(ERP資料!$G:$G, (MATCH(1025, 輔助計算!$G$2:$G$801, 0)+1)),"0.##"),TEXT(INDEX(ERP資料!$G:$G, (MATCH(1025, 輔助計算!$G$2:$G$801, 0)+1)),"0.##")&amp;"+"&amp;TEXT(INDEX(ERP資料!$G:$G, (MATCH(1025, 輔助計算!$G$2:$G$801, 0)+1)),"0.##")&amp;"+"&amp;TEXT(INDEX(ERP資料!$G:$G, (MATCH(1025, 輔助計算!$G$2:$G$801, 0)+1)),"0.##")))&amp;"-"&amp;INT(INDEX(輔助計算!$D:$D, (MATCH(1025, 輔助計算!$G$2:$G$801, 0)+1))/IF(INDEX(ERP資料!$G:$G, (MATCH(1025, 輔助計算!$G$2:$G$801, 0)+1))&lt;100, IF(INDEX(ERP資料!$G:$G, (MATCH(1025, 輔助計算!$G$2:$G$801, 0)+1))&lt;=31,3,IF(INDEX(ERP資料!$G:$G, (MATCH(1025, 輔助計算!$G$2:$G$801, 0)+1))&lt;=46.5,2,1)), IF(INDEX(ERP資料!$G:$G, (MATCH(1025, 輔助計算!$G$2:$G$801, 0)+1))&lt;=790,3,IF(INDEX(ERP資料!$G:$G, (MATCH(1025, 輔助計算!$G$2:$G$801, 0)+1))&lt;=1181,2,1)))), "")&amp;IF(AND(IF(INT(INDEX(輔助計算!$D:$D, (MATCH(1025, 輔助計算!$G$2:$G$801, 0)+1))/IF(INDEX(ERP資料!$G:$G, (MATCH(1025, 輔助計算!$G$2:$G$801, 0)+1))&lt;100, IF(INDEX(ERP資料!$G:$G, (MATCH(1025, 輔助計算!$G$2:$G$801, 0)+1))&lt;=31,3,IF(INDEX(ERP資料!$G:$G, (MATCH(1025, 輔助計算!$G$2:$G$801, 0)+1))&lt;=46.5,2,1)), IF(INDEX(ERP資料!$G:$G, (MATCH(1025, 輔助計算!$G$2:$G$801, 0)+1))&lt;=790,3,IF(INDEX(ERP資料!$G:$G, (MATCH(1025, 輔助計算!$G$2:$G$801, 0)+1))&lt;=1181,2,1))))&gt;0, IF(IF(INDEX(ERP資料!$G:$G, (MATCH(1025, 輔助計算!$G$2:$G$801, 0)+1))&lt;100, IF(INDEX(ERP資料!$G:$G, (MATCH(1025, 輔助計算!$G$2:$G$801, 0)+1))&lt;=31,3,IF(INDEX(ERP資料!$G:$G, (MATCH(1025, 輔助計算!$G$2:$G$801, 0)+1))&lt;=46.5,2,1)), IF(INDEX(ERP資料!$G:$G, (MATCH(1025, 輔助計算!$G$2:$G$801, 0)+1))&lt;=790,3,IF(INDEX(ERP資料!$G:$G, (MATCH(1025, 輔助計算!$G$2:$G$801, 0)+1))&lt;=1181,2,1)))=1,TEXT(INDEX(ERP資料!$G:$G, (MATCH(1025, 輔助計算!$G$2:$G$801, 0)+1)),"0.##"),IF(IF(INDEX(ERP資料!$G:$G, (MATCH(1025, 輔助計算!$G$2:$G$801, 0)+1))&lt;100, IF(INDEX(ERP資料!$G:$G, (MATCH(1025, 輔助計算!$G$2:$G$801, 0)+1))&lt;=31,3,IF(INDEX(ERP資料!$G:$G, (MATCH(1025, 輔助計算!$G$2:$G$801, 0)+1))&lt;=46.5,2,1)), IF(INDEX(ERP資料!$G:$G, (MATCH(1025, 輔助計算!$G$2:$G$801, 0)+1))&lt;=790,3,IF(INDEX(ERP資料!$G:$G, (MATCH(1025, 輔助計算!$G$2:$G$801, 0)+1))&lt;=1181,2,1)))=2,TEXT(INDEX(ERP資料!$G:$G, (MATCH(1025, 輔助計算!$G$2:$G$801, 0)+1)),"0.##")&amp;"+"&amp;TEXT(INDEX(ERP資料!$G:$G, (MATCH(1025, 輔助計算!$G$2:$G$801, 0)+1)),"0.##"),TEXT(INDEX(ERP資料!$G:$G, (MATCH(1025, 輔助計算!$G$2:$G$801, 0)+1)),"0.##")&amp;"+"&amp;TEXT(INDEX(ERP資料!$G:$G, (MATCH(1025, 輔助計算!$G$2:$G$801, 0)+1)),"0.##")&amp;"+"&amp;TEXT(INDEX(ERP資料!$G:$G, (MATCH(1025, 輔助計算!$G$2:$G$801, 0)+1)),"0.##")))&amp;"-"&amp;INT(INDEX(輔助計算!$D:$D, (MATCH(1025, 輔助計算!$G$2:$G$801, 0)+1))/IF(INDEX(ERP資料!$G:$G, (MATCH(1025, 輔助計算!$G$2:$G$801, 0)+1))&lt;100, IF(INDEX(ERP資料!$G:$G, (MATCH(1025, 輔助計算!$G$2:$G$801, 0)+1))&lt;=31,3,IF(INDEX(ERP資料!$G:$G, (MATCH(1025, 輔助計算!$G$2:$G$801, 0)+1))&lt;=46.5,2,1)), IF(INDEX(ERP資料!$G:$G, (MATCH(1025, 輔助計算!$G$2:$G$801, 0)+1))&lt;=790,3,IF(INDEX(ERP資料!$G:$G, (MATCH(1025, 輔助計算!$G$2:$G$801, 0)+1))&lt;=1181,2,1)))), "")&lt;&gt;"",IF(MOD(INDEX(輔助計算!$D:$D, (MATCH(1025, 輔助計算!$G$2:$G$801, 0)+1)),IF(INDEX(ERP資料!$G:$G, (MATCH(1025, 輔助計算!$G$2:$G$801, 0)+1))&lt;100, IF(INDEX(ERP資料!$G:$G, (MATCH(1025, 輔助計算!$G$2:$G$801, 0)+1))&lt;=31,3,IF(INDEX(ERP資料!$G:$G, (MATCH(1025, 輔助計算!$G$2:$G$801, 0)+1))&lt;=46.5,2,1)), IF(INDEX(ERP資料!$G:$G, (MATCH(1025, 輔助計算!$G$2:$G$801, 0)+1))&lt;=790,3,IF(INDEX(ERP資料!$G:$G, (MATCH(1025, 輔助計算!$G$2:$G$801, 0)+1))&lt;=1181,2,1))))=0,"",IF(MOD(INDEX(輔助計算!$D:$D, (MATCH(1025, 輔助計算!$G$2:$G$801, 0)+1)),IF(INDEX(ERP資料!$G:$G, (MATCH(1025, 輔助計算!$G$2:$G$801, 0)+1))&lt;100, IF(INDEX(ERP資料!$G:$G, (MATCH(1025, 輔助計算!$G$2:$G$801, 0)+1))&lt;=31,3,IF(INDEX(ERP資料!$G:$G, (MATCH(1025, 輔助計算!$G$2:$G$801, 0)+1))&lt;=46.5,2,1)), IF(INDEX(ERP資料!$G:$G, (MATCH(1025, 輔助計算!$G$2:$G$801, 0)+1))&lt;=790,3,IF(INDEX(ERP資料!$G:$G, (MATCH(1025, 輔助計算!$G$2:$G$801, 0)+1))&lt;=1181,2,1))))=0,"",IF(MOD(INDEX(輔助計算!$D:$D, (MATCH(1025, 輔助計算!$G$2:$G$801, 0)+1)),IF(INDEX(ERP資料!$G:$G, (MATCH(1025, 輔助計算!$G$2:$G$801, 0)+1))&lt;100, IF(INDEX(ERP資料!$G:$G, (MATCH(1025, 輔助計算!$G$2:$G$801, 0)+1))&lt;=31,3,IF(INDEX(ERP資料!$G:$G, (MATCH(1025, 輔助計算!$G$2:$G$801, 0)+1))&lt;=46.5,2,1)), IF(INDEX(ERP資料!$G:$G, (MATCH(1025, 輔助計算!$G$2:$G$801, 0)+1))&lt;=790,3,IF(INDEX(ERP資料!$G:$G, (MATCH(1025, 輔助計算!$G$2:$G$801, 0)+1))&lt;=1181,2,1))))=1,TEXT(INDEX(ERP資料!$G:$G, (MATCH(1025, 輔助計算!$G$2:$G$801, 0)+1)),"0.##"),IF(MOD(INDEX(輔助計算!$D:$D, (MATCH(1025, 輔助計算!$G$2:$G$801, 0)+1)),IF(INDEX(ERP資料!$G:$G, (MATCH(1025, 輔助計算!$G$2:$G$801, 0)+1))&lt;100, IF(INDEX(ERP資料!$G:$G, (MATCH(1025, 輔助計算!$G$2:$G$801, 0)+1))&lt;=31,3,IF(INDEX(ERP資料!$G:$G, (MATCH(1025, 輔助計算!$G$2:$G$801, 0)+1))&lt;=46.5,2,1)), IF(INDEX(ERP資料!$G:$G, (MATCH(1025, 輔助計算!$G$2:$G$801, 0)+1))&lt;=790,3,IF(INDEX(ERP資料!$G:$G, (MATCH(1025, 輔助計算!$G$2:$G$801, 0)+1))&lt;=1181,2,1))))=2,TEXT(INDEX(ERP資料!$G:$G, (MATCH(1025, 輔助計算!$G$2:$G$801, 0)+1)),"0.##")&amp;"+"&amp;TEXT(INDEX(ERP資料!$G:$G, (MATCH(1025, 輔助計算!$G$2:$G$801, 0)+1)),"0.##"),TEXT(INDEX(ERP資料!$G:$G, (MATCH(1025, 輔助計算!$G$2:$G$801, 0)+1)),"0.##")&amp;"+"&amp;TEXT(INDEX(ERP資料!$G:$G, (MATCH(1025, 輔助計算!$G$2:$G$801, 0)+1)),"0.##")&amp;"+"&amp;TEXT(INDEX(ERP資料!$G:$G, (MATCH(1025, 輔助計算!$G$2:$G$801, 0)+1)),"0.##"))))&amp;"-1")&lt;&gt;""),"  ","")&amp;IF(MOD(INDEX(輔助計算!$D:$D, (MATCH(1025, 輔助計算!$G$2:$G$801, 0)+1)),IF(INDEX(ERP資料!$G:$G, (MATCH(1025, 輔助計算!$G$2:$G$801, 0)+1))&lt;100, IF(INDEX(ERP資料!$G:$G, (MATCH(1025, 輔助計算!$G$2:$G$801, 0)+1))&lt;=31,3,IF(INDEX(ERP資料!$G:$G, (MATCH(1025, 輔助計算!$G$2:$G$801, 0)+1))&lt;=46.5,2,1)), IF(INDEX(ERP資料!$G:$G, (MATCH(1025, 輔助計算!$G$2:$G$801, 0)+1))&lt;=790,3,IF(INDEX(ERP資料!$G:$G, (MATCH(1025, 輔助計算!$G$2:$G$801, 0)+1))&lt;=1181,2,1))))=0,"",IF(MOD(INDEX(輔助計算!$D:$D, (MATCH(1025, 輔助計算!$G$2:$G$801, 0)+1)),IF(INDEX(ERP資料!$G:$G, (MATCH(1025, 輔助計算!$G$2:$G$801, 0)+1))&lt;100, IF(INDEX(ERP資料!$G:$G, (MATCH(1025, 輔助計算!$G$2:$G$801, 0)+1))&lt;=31,3,IF(INDEX(ERP資料!$G:$G, (MATCH(1025, 輔助計算!$G$2:$G$801, 0)+1))&lt;=46.5,2,1)), IF(INDEX(ERP資料!$G:$G, (MATCH(1025, 輔助計算!$G$2:$G$801, 0)+1))&lt;=790,3,IF(INDEX(ERP資料!$G:$G, (MATCH(1025, 輔助計算!$G$2:$G$801, 0)+1))&lt;=1181,2,1))))=0,"",IF(MOD(INDEX(輔助計算!$D:$D, (MATCH(1025, 輔助計算!$G$2:$G$801, 0)+1)),IF(INDEX(ERP資料!$G:$G, (MATCH(1025, 輔助計算!$G$2:$G$801, 0)+1))&lt;100, IF(INDEX(ERP資料!$G:$G, (MATCH(1025, 輔助計算!$G$2:$G$801, 0)+1))&lt;=31,3,IF(INDEX(ERP資料!$G:$G, (MATCH(1025, 輔助計算!$G$2:$G$801, 0)+1))&lt;=46.5,2,1)), IF(INDEX(ERP資料!$G:$G, (MATCH(1025, 輔助計算!$G$2:$G$801, 0)+1))&lt;=790,3,IF(INDEX(ERP資料!$G:$G, (MATCH(1025, 輔助計算!$G$2:$G$801, 0)+1))&lt;=1181,2,1))))=1,TEXT(INDEX(ERP資料!$G:$G, (MATCH(1025, 輔助計算!$G$2:$G$801, 0)+1)),"0.##"),IF(MOD(INDEX(輔助計算!$D:$D, (MATCH(1025, 輔助計算!$G$2:$G$801, 0)+1)),IF(INDEX(ERP資料!$G:$G, (MATCH(1025, 輔助計算!$G$2:$G$801, 0)+1))&lt;100, IF(INDEX(ERP資料!$G:$G, (MATCH(1025, 輔助計算!$G$2:$G$801, 0)+1))&lt;=31,3,IF(INDEX(ERP資料!$G:$G, (MATCH(1025, 輔助計算!$G$2:$G$801, 0)+1))&lt;=46.5,2,1)), IF(INDEX(ERP資料!$G:$G, (MATCH(1025, 輔助計算!$G$2:$G$801, 0)+1))&lt;=790,3,IF(INDEX(ERP資料!$G:$G, (MATCH(1025, 輔助計算!$G$2:$G$801, 0)+1))&lt;=1181,2,1))))=2,TEXT(INDEX(ERP資料!$G:$G, (MATCH(1025, 輔助計算!$G$2:$G$801, 0)+1)),"0.##")&amp;"+"&amp;TEXT(INDEX(ERP資料!$G:$G, (MATCH(1025, 輔助計算!$G$2:$G$801, 0)+1)),"0.##"),TEXT(INDEX(ERP資料!$G:$G, (MATCH(1025, 輔助計算!$G$2:$G$801, 0)+1)),"0.##")&amp;"+"&amp;TEXT(INDEX(ERP資料!$G:$G, (MATCH(1025, 輔助計算!$G$2:$G$801, 0)+1)),"0.##")&amp;"+"&amp;TEXT(INDEX(ERP資料!$G:$G, (MATCH(1025, 輔助計算!$G$2:$G$801, 0)+1)),"0.##"))))&amp;"-1")), ""), "")</f>
        <v/>
      </c>
      <c r="K1026" s="16" t="n"/>
      <c r="L1026" s="14">
        <f>IFERROR(IF(AND(IFERROR(INDEX(ERP資料!$A:$A, (MATCH(1025, 輔助計算!$G$2:$G$801, 0)+1)), "")&lt;&gt;"", IFERROR(INDEX(ERP資料!$A:$A, (MATCH(1025, 輔助計算!$G$2:$G$801, 0)+1)), "")&lt;&gt;IFERROR(INDEX(ERP資料!$A:$A, MATCH(1024, 輔助計算!$G$2:$G$801, 0)+1), "")), INDEX(ERP資料!$B:$B, (MATCH(1025, 輔助計算!$G$2:$G$801, 0)+1)), ""), "")</f>
        <v/>
      </c>
      <c r="M1026" s="17" t="n"/>
    </row>
    <row r="1027">
      <c r="A1027" s="10">
        <f>IFERROR(IF(AND(IFERROR(INDEX(ERP資料!$A:$A, (MATCH(1026, 輔助計算!$G$2:$G$801, 0)+1)), "")&lt;&gt;"", IFERROR(INDEX(ERP資料!$A:$A, (MATCH(1026, 輔助計算!$G$2:$G$801, 0)+1)), "")&lt;&gt;IFERROR(INDEX(ERP資料!$A:$A, MATCH(1025, 輔助計算!$G$2:$G$801, 0)+1), "")), IFERROR(INDEX(ERP資料!$A:$A, (MATCH(1026, 輔助計算!$G$2:$G$801, 0)+1)), ""), ""), "")</f>
        <v/>
      </c>
      <c r="B1027" s="10">
        <f>IFERROR(IF(AND(IFERROR(INDEX(ERP資料!$A:$A, (MATCH(1026, 輔助計算!$G$2:$G$801, 0)+1)), "")&lt;&gt;"", IFERROR(INDEX(ERP資料!$A:$A, (MATCH(1026, 輔助計算!$G$2:$G$801, 0)+1)), "")&lt;&gt;IFERROR(INDEX(ERP資料!$A:$A, MATCH(1025, 輔助計算!$G$2:$G$801, 0)+1), "")), INDEX(ERP資料!$S:$S, (MATCH(1026, 輔助計算!$G$2:$G$801, 0)+1)), ""), "")</f>
        <v/>
      </c>
      <c r="C1027" s="19">
        <f>IFERROR(IF(AND(IFERROR(INDEX(ERP資料!$A:$A, (MATCH(1026, 輔助計算!$G$2:$G$801, 0)+1)), "")&lt;&gt;"", IFERROR(INDEX(ERP資料!$A:$A, (MATCH(1026, 輔助計算!$G$2:$G$801, 0)+1)), "")&lt;&gt;IFERROR(INDEX(ERP資料!$A:$A, MATCH(1025, 輔助計算!$G$2:$G$801, 0)+1), "")), IFERROR(VLOOKUP(LEFT(INDEX(ERP資料!$S:$S, (MATCH(1026, 輔助計算!$G$2:$G$801, 0)+1)), 4), 紙管對照表!$A:$C, 3, FALSE), ""), ""), "")</f>
        <v/>
      </c>
      <c r="D1027" s="16" t="n"/>
      <c r="E1027" s="10">
        <f>IFERROR(IF(INDEX(ERP資料!$H:$H, (MATCH(1026, 輔助計算!$G$2:$G$801, 0)+1))="","",INDEX(ERP資料!$H:$H, (MATCH(1026, 輔助計算!$G$2:$G$801, 0)+1))), "")</f>
        <v/>
      </c>
      <c r="F1027" s="10">
        <f>IFERROR(IF(INDEX(ERP資料!$E:$E, (MATCH(1026, 輔助計算!$G$2:$G$801, 0)+1))="","",TRIM(INDEX(ERP資料!$E:$E, (MATCH(1026, 輔助計算!$G$2:$G$801, 0)+1)))), "")</f>
        <v/>
      </c>
      <c r="G1027" s="10">
        <f>IFERROR(IF(INDEX(ERP資料!$F:$F, (MATCH(1026, 輔助計算!$G$2:$G$801, 0)+1))="","",INDEX(ERP資料!$F:$F, (MATCH(1026, 輔助計算!$G$2:$G$801, 0)+1))), "")</f>
        <v/>
      </c>
      <c r="H1027" s="10">
        <f>IFERROR(IF(INDEX(ERP資料!$G:$G, (MATCH(1026, 輔助計算!$G$2:$G$801, 0)+1))="","",INDEX(ERP資料!$G:$G, (MATCH(1026, 輔助計算!$G$2:$G$801, 0)+1))), "")</f>
        <v/>
      </c>
      <c r="I1027" s="15">
        <f>IFERROR(INDEX(輔助計算!$D:$D, (MATCH(1026, 輔助計算!$G$2:$G$801, 0)+1)), "")</f>
        <v/>
      </c>
      <c r="J1027" s="15">
        <f>IFERROR(IF(AND(INDEX(輔助計算!$D:$D, (MATCH(1026, 輔助計算!$G$2:$G$801, 0)+1))&lt;&gt;"", INDEX(ERP資料!$G:$G, (MATCH(1026, 輔助計算!$G$2:$G$801, 0)+1))&lt;&gt;""), TRIM(IF(INT(INDEX(輔助計算!$D:$D, (MATCH(1026, 輔助計算!$G$2:$G$801, 0)+1))/IF(INDEX(ERP資料!$G:$G, (MATCH(1026, 輔助計算!$G$2:$G$801, 0)+1))&lt;100, IF(INDEX(ERP資料!$G:$G, (MATCH(1026, 輔助計算!$G$2:$G$801, 0)+1))&lt;=31,3,IF(INDEX(ERP資料!$G:$G, (MATCH(1026, 輔助計算!$G$2:$G$801, 0)+1))&lt;=46.5,2,1)), IF(INDEX(ERP資料!$G:$G, (MATCH(1026, 輔助計算!$G$2:$G$801, 0)+1))&lt;=790,3,IF(INDEX(ERP資料!$G:$G, (MATCH(1026, 輔助計算!$G$2:$G$801, 0)+1))&lt;=1181,2,1))))&gt;0, IF(IF(INDEX(ERP資料!$G:$G, (MATCH(1026, 輔助計算!$G$2:$G$801, 0)+1))&lt;100, IF(INDEX(ERP資料!$G:$G, (MATCH(1026, 輔助計算!$G$2:$G$801, 0)+1))&lt;=31,3,IF(INDEX(ERP資料!$G:$G, (MATCH(1026, 輔助計算!$G$2:$G$801, 0)+1))&lt;=46.5,2,1)), IF(INDEX(ERP資料!$G:$G, (MATCH(1026, 輔助計算!$G$2:$G$801, 0)+1))&lt;=790,3,IF(INDEX(ERP資料!$G:$G, (MATCH(1026, 輔助計算!$G$2:$G$801, 0)+1))&lt;=1181,2,1)))=1,TEXT(INDEX(ERP資料!$G:$G, (MATCH(1026, 輔助計算!$G$2:$G$801, 0)+1)),"0.##"),IF(IF(INDEX(ERP資料!$G:$G, (MATCH(1026, 輔助計算!$G$2:$G$801, 0)+1))&lt;100, IF(INDEX(ERP資料!$G:$G, (MATCH(1026, 輔助計算!$G$2:$G$801, 0)+1))&lt;=31,3,IF(INDEX(ERP資料!$G:$G, (MATCH(1026, 輔助計算!$G$2:$G$801, 0)+1))&lt;=46.5,2,1)), IF(INDEX(ERP資料!$G:$G, (MATCH(1026, 輔助計算!$G$2:$G$801, 0)+1))&lt;=790,3,IF(INDEX(ERP資料!$G:$G, (MATCH(1026, 輔助計算!$G$2:$G$801, 0)+1))&lt;=1181,2,1)))=2,TEXT(INDEX(ERP資料!$G:$G, (MATCH(1026, 輔助計算!$G$2:$G$801, 0)+1)),"0.##")&amp;"+"&amp;TEXT(INDEX(ERP資料!$G:$G, (MATCH(1026, 輔助計算!$G$2:$G$801, 0)+1)),"0.##"),TEXT(INDEX(ERP資料!$G:$G, (MATCH(1026, 輔助計算!$G$2:$G$801, 0)+1)),"0.##")&amp;"+"&amp;TEXT(INDEX(ERP資料!$G:$G, (MATCH(1026, 輔助計算!$G$2:$G$801, 0)+1)),"0.##")&amp;"+"&amp;TEXT(INDEX(ERP資料!$G:$G, (MATCH(1026, 輔助計算!$G$2:$G$801, 0)+1)),"0.##")))&amp;"-"&amp;INT(INDEX(輔助計算!$D:$D, (MATCH(1026, 輔助計算!$G$2:$G$801, 0)+1))/IF(INDEX(ERP資料!$G:$G, (MATCH(1026, 輔助計算!$G$2:$G$801, 0)+1))&lt;100, IF(INDEX(ERP資料!$G:$G, (MATCH(1026, 輔助計算!$G$2:$G$801, 0)+1))&lt;=31,3,IF(INDEX(ERP資料!$G:$G, (MATCH(1026, 輔助計算!$G$2:$G$801, 0)+1))&lt;=46.5,2,1)), IF(INDEX(ERP資料!$G:$G, (MATCH(1026, 輔助計算!$G$2:$G$801, 0)+1))&lt;=790,3,IF(INDEX(ERP資料!$G:$G, (MATCH(1026, 輔助計算!$G$2:$G$801, 0)+1))&lt;=1181,2,1)))), "")&amp;IF(AND(IF(INT(INDEX(輔助計算!$D:$D, (MATCH(1026, 輔助計算!$G$2:$G$801, 0)+1))/IF(INDEX(ERP資料!$G:$G, (MATCH(1026, 輔助計算!$G$2:$G$801, 0)+1))&lt;100, IF(INDEX(ERP資料!$G:$G, (MATCH(1026, 輔助計算!$G$2:$G$801, 0)+1))&lt;=31,3,IF(INDEX(ERP資料!$G:$G, (MATCH(1026, 輔助計算!$G$2:$G$801, 0)+1))&lt;=46.5,2,1)), IF(INDEX(ERP資料!$G:$G, (MATCH(1026, 輔助計算!$G$2:$G$801, 0)+1))&lt;=790,3,IF(INDEX(ERP資料!$G:$G, (MATCH(1026, 輔助計算!$G$2:$G$801, 0)+1))&lt;=1181,2,1))))&gt;0, IF(IF(INDEX(ERP資料!$G:$G, (MATCH(1026, 輔助計算!$G$2:$G$801, 0)+1))&lt;100, IF(INDEX(ERP資料!$G:$G, (MATCH(1026, 輔助計算!$G$2:$G$801, 0)+1))&lt;=31,3,IF(INDEX(ERP資料!$G:$G, (MATCH(1026, 輔助計算!$G$2:$G$801, 0)+1))&lt;=46.5,2,1)), IF(INDEX(ERP資料!$G:$G, (MATCH(1026, 輔助計算!$G$2:$G$801, 0)+1))&lt;=790,3,IF(INDEX(ERP資料!$G:$G, (MATCH(1026, 輔助計算!$G$2:$G$801, 0)+1))&lt;=1181,2,1)))=1,TEXT(INDEX(ERP資料!$G:$G, (MATCH(1026, 輔助計算!$G$2:$G$801, 0)+1)),"0.##"),IF(IF(INDEX(ERP資料!$G:$G, (MATCH(1026, 輔助計算!$G$2:$G$801, 0)+1))&lt;100, IF(INDEX(ERP資料!$G:$G, (MATCH(1026, 輔助計算!$G$2:$G$801, 0)+1))&lt;=31,3,IF(INDEX(ERP資料!$G:$G, (MATCH(1026, 輔助計算!$G$2:$G$801, 0)+1))&lt;=46.5,2,1)), IF(INDEX(ERP資料!$G:$G, (MATCH(1026, 輔助計算!$G$2:$G$801, 0)+1))&lt;=790,3,IF(INDEX(ERP資料!$G:$G, (MATCH(1026, 輔助計算!$G$2:$G$801, 0)+1))&lt;=1181,2,1)))=2,TEXT(INDEX(ERP資料!$G:$G, (MATCH(1026, 輔助計算!$G$2:$G$801, 0)+1)),"0.##")&amp;"+"&amp;TEXT(INDEX(ERP資料!$G:$G, (MATCH(1026, 輔助計算!$G$2:$G$801, 0)+1)),"0.##"),TEXT(INDEX(ERP資料!$G:$G, (MATCH(1026, 輔助計算!$G$2:$G$801, 0)+1)),"0.##")&amp;"+"&amp;TEXT(INDEX(ERP資料!$G:$G, (MATCH(1026, 輔助計算!$G$2:$G$801, 0)+1)),"0.##")&amp;"+"&amp;TEXT(INDEX(ERP資料!$G:$G, (MATCH(1026, 輔助計算!$G$2:$G$801, 0)+1)),"0.##")))&amp;"-"&amp;INT(INDEX(輔助計算!$D:$D, (MATCH(1026, 輔助計算!$G$2:$G$801, 0)+1))/IF(INDEX(ERP資料!$G:$G, (MATCH(1026, 輔助計算!$G$2:$G$801, 0)+1))&lt;100, IF(INDEX(ERP資料!$G:$G, (MATCH(1026, 輔助計算!$G$2:$G$801, 0)+1))&lt;=31,3,IF(INDEX(ERP資料!$G:$G, (MATCH(1026, 輔助計算!$G$2:$G$801, 0)+1))&lt;=46.5,2,1)), IF(INDEX(ERP資料!$G:$G, (MATCH(1026, 輔助計算!$G$2:$G$801, 0)+1))&lt;=790,3,IF(INDEX(ERP資料!$G:$G, (MATCH(1026, 輔助計算!$G$2:$G$801, 0)+1))&lt;=1181,2,1)))), "")&lt;&gt;"",IF(MOD(INDEX(輔助計算!$D:$D, (MATCH(1026, 輔助計算!$G$2:$G$801, 0)+1)),IF(INDEX(ERP資料!$G:$G, (MATCH(1026, 輔助計算!$G$2:$G$801, 0)+1))&lt;100, IF(INDEX(ERP資料!$G:$G, (MATCH(1026, 輔助計算!$G$2:$G$801, 0)+1))&lt;=31,3,IF(INDEX(ERP資料!$G:$G, (MATCH(1026, 輔助計算!$G$2:$G$801, 0)+1))&lt;=46.5,2,1)), IF(INDEX(ERP資料!$G:$G, (MATCH(1026, 輔助計算!$G$2:$G$801, 0)+1))&lt;=790,3,IF(INDEX(ERP資料!$G:$G, (MATCH(1026, 輔助計算!$G$2:$G$801, 0)+1))&lt;=1181,2,1))))=0,"",IF(MOD(INDEX(輔助計算!$D:$D, (MATCH(1026, 輔助計算!$G$2:$G$801, 0)+1)),IF(INDEX(ERP資料!$G:$G, (MATCH(1026, 輔助計算!$G$2:$G$801, 0)+1))&lt;100, IF(INDEX(ERP資料!$G:$G, (MATCH(1026, 輔助計算!$G$2:$G$801, 0)+1))&lt;=31,3,IF(INDEX(ERP資料!$G:$G, (MATCH(1026, 輔助計算!$G$2:$G$801, 0)+1))&lt;=46.5,2,1)), IF(INDEX(ERP資料!$G:$G, (MATCH(1026, 輔助計算!$G$2:$G$801, 0)+1))&lt;=790,3,IF(INDEX(ERP資料!$G:$G, (MATCH(1026, 輔助計算!$G$2:$G$801, 0)+1))&lt;=1181,2,1))))=0,"",IF(MOD(INDEX(輔助計算!$D:$D, (MATCH(1026, 輔助計算!$G$2:$G$801, 0)+1)),IF(INDEX(ERP資料!$G:$G, (MATCH(1026, 輔助計算!$G$2:$G$801, 0)+1))&lt;100, IF(INDEX(ERP資料!$G:$G, (MATCH(1026, 輔助計算!$G$2:$G$801, 0)+1))&lt;=31,3,IF(INDEX(ERP資料!$G:$G, (MATCH(1026, 輔助計算!$G$2:$G$801, 0)+1))&lt;=46.5,2,1)), IF(INDEX(ERP資料!$G:$G, (MATCH(1026, 輔助計算!$G$2:$G$801, 0)+1))&lt;=790,3,IF(INDEX(ERP資料!$G:$G, (MATCH(1026, 輔助計算!$G$2:$G$801, 0)+1))&lt;=1181,2,1))))=1,TEXT(INDEX(ERP資料!$G:$G, (MATCH(1026, 輔助計算!$G$2:$G$801, 0)+1)),"0.##"),IF(MOD(INDEX(輔助計算!$D:$D, (MATCH(1026, 輔助計算!$G$2:$G$801, 0)+1)),IF(INDEX(ERP資料!$G:$G, (MATCH(1026, 輔助計算!$G$2:$G$801, 0)+1))&lt;100, IF(INDEX(ERP資料!$G:$G, (MATCH(1026, 輔助計算!$G$2:$G$801, 0)+1))&lt;=31,3,IF(INDEX(ERP資料!$G:$G, (MATCH(1026, 輔助計算!$G$2:$G$801, 0)+1))&lt;=46.5,2,1)), IF(INDEX(ERP資料!$G:$G, (MATCH(1026, 輔助計算!$G$2:$G$801, 0)+1))&lt;=790,3,IF(INDEX(ERP資料!$G:$G, (MATCH(1026, 輔助計算!$G$2:$G$801, 0)+1))&lt;=1181,2,1))))=2,TEXT(INDEX(ERP資料!$G:$G, (MATCH(1026, 輔助計算!$G$2:$G$801, 0)+1)),"0.##")&amp;"+"&amp;TEXT(INDEX(ERP資料!$G:$G, (MATCH(1026, 輔助計算!$G$2:$G$801, 0)+1)),"0.##"),TEXT(INDEX(ERP資料!$G:$G, (MATCH(1026, 輔助計算!$G$2:$G$801, 0)+1)),"0.##")&amp;"+"&amp;TEXT(INDEX(ERP資料!$G:$G, (MATCH(1026, 輔助計算!$G$2:$G$801, 0)+1)),"0.##")&amp;"+"&amp;TEXT(INDEX(ERP資料!$G:$G, (MATCH(1026, 輔助計算!$G$2:$G$801, 0)+1)),"0.##"))))&amp;"-1")&lt;&gt;""),"  ","")&amp;IF(MOD(INDEX(輔助計算!$D:$D, (MATCH(1026, 輔助計算!$G$2:$G$801, 0)+1)),IF(INDEX(ERP資料!$G:$G, (MATCH(1026, 輔助計算!$G$2:$G$801, 0)+1))&lt;100, IF(INDEX(ERP資料!$G:$G, (MATCH(1026, 輔助計算!$G$2:$G$801, 0)+1))&lt;=31,3,IF(INDEX(ERP資料!$G:$G, (MATCH(1026, 輔助計算!$G$2:$G$801, 0)+1))&lt;=46.5,2,1)), IF(INDEX(ERP資料!$G:$G, (MATCH(1026, 輔助計算!$G$2:$G$801, 0)+1))&lt;=790,3,IF(INDEX(ERP資料!$G:$G, (MATCH(1026, 輔助計算!$G$2:$G$801, 0)+1))&lt;=1181,2,1))))=0,"",IF(MOD(INDEX(輔助計算!$D:$D, (MATCH(1026, 輔助計算!$G$2:$G$801, 0)+1)),IF(INDEX(ERP資料!$G:$G, (MATCH(1026, 輔助計算!$G$2:$G$801, 0)+1))&lt;100, IF(INDEX(ERP資料!$G:$G, (MATCH(1026, 輔助計算!$G$2:$G$801, 0)+1))&lt;=31,3,IF(INDEX(ERP資料!$G:$G, (MATCH(1026, 輔助計算!$G$2:$G$801, 0)+1))&lt;=46.5,2,1)), IF(INDEX(ERP資料!$G:$G, (MATCH(1026, 輔助計算!$G$2:$G$801, 0)+1))&lt;=790,3,IF(INDEX(ERP資料!$G:$G, (MATCH(1026, 輔助計算!$G$2:$G$801, 0)+1))&lt;=1181,2,1))))=0,"",IF(MOD(INDEX(輔助計算!$D:$D, (MATCH(1026, 輔助計算!$G$2:$G$801, 0)+1)),IF(INDEX(ERP資料!$G:$G, (MATCH(1026, 輔助計算!$G$2:$G$801, 0)+1))&lt;100, IF(INDEX(ERP資料!$G:$G, (MATCH(1026, 輔助計算!$G$2:$G$801, 0)+1))&lt;=31,3,IF(INDEX(ERP資料!$G:$G, (MATCH(1026, 輔助計算!$G$2:$G$801, 0)+1))&lt;=46.5,2,1)), IF(INDEX(ERP資料!$G:$G, (MATCH(1026, 輔助計算!$G$2:$G$801, 0)+1))&lt;=790,3,IF(INDEX(ERP資料!$G:$G, (MATCH(1026, 輔助計算!$G$2:$G$801, 0)+1))&lt;=1181,2,1))))=1,TEXT(INDEX(ERP資料!$G:$G, (MATCH(1026, 輔助計算!$G$2:$G$801, 0)+1)),"0.##"),IF(MOD(INDEX(輔助計算!$D:$D, (MATCH(1026, 輔助計算!$G$2:$G$801, 0)+1)),IF(INDEX(ERP資料!$G:$G, (MATCH(1026, 輔助計算!$G$2:$G$801, 0)+1))&lt;100, IF(INDEX(ERP資料!$G:$G, (MATCH(1026, 輔助計算!$G$2:$G$801, 0)+1))&lt;=31,3,IF(INDEX(ERP資料!$G:$G, (MATCH(1026, 輔助計算!$G$2:$G$801, 0)+1))&lt;=46.5,2,1)), IF(INDEX(ERP資料!$G:$G, (MATCH(1026, 輔助計算!$G$2:$G$801, 0)+1))&lt;=790,3,IF(INDEX(ERP資料!$G:$G, (MATCH(1026, 輔助計算!$G$2:$G$801, 0)+1))&lt;=1181,2,1))))=2,TEXT(INDEX(ERP資料!$G:$G, (MATCH(1026, 輔助計算!$G$2:$G$801, 0)+1)),"0.##")&amp;"+"&amp;TEXT(INDEX(ERP資料!$G:$G, (MATCH(1026, 輔助計算!$G$2:$G$801, 0)+1)),"0.##"),TEXT(INDEX(ERP資料!$G:$G, (MATCH(1026, 輔助計算!$G$2:$G$801, 0)+1)),"0.##")&amp;"+"&amp;TEXT(INDEX(ERP資料!$G:$G, (MATCH(1026, 輔助計算!$G$2:$G$801, 0)+1)),"0.##")&amp;"+"&amp;TEXT(INDEX(ERP資料!$G:$G, (MATCH(1026, 輔助計算!$G$2:$G$801, 0)+1)),"0.##"))))&amp;"-1")), ""), "")</f>
        <v/>
      </c>
      <c r="K1027" s="16" t="n"/>
      <c r="L1027" s="14">
        <f>IFERROR(IF(AND(IFERROR(INDEX(ERP資料!$A:$A, (MATCH(1026, 輔助計算!$G$2:$G$801, 0)+1)), "")&lt;&gt;"", IFERROR(INDEX(ERP資料!$A:$A, (MATCH(1026, 輔助計算!$G$2:$G$801, 0)+1)), "")&lt;&gt;IFERROR(INDEX(ERP資料!$A:$A, MATCH(1025, 輔助計算!$G$2:$G$801, 0)+1), "")), INDEX(ERP資料!$B:$B, (MATCH(1026, 輔助計算!$G$2:$G$801, 0)+1)), ""), "")</f>
        <v/>
      </c>
      <c r="M1027" s="17" t="n"/>
    </row>
    <row r="1028">
      <c r="A1028" s="10">
        <f>IFERROR(IF(AND(IFERROR(INDEX(ERP資料!$A:$A, (MATCH(1027, 輔助計算!$G$2:$G$801, 0)+1)), "")&lt;&gt;"", IFERROR(INDEX(ERP資料!$A:$A, (MATCH(1027, 輔助計算!$G$2:$G$801, 0)+1)), "")&lt;&gt;IFERROR(INDEX(ERP資料!$A:$A, MATCH(1026, 輔助計算!$G$2:$G$801, 0)+1), "")), IFERROR(INDEX(ERP資料!$A:$A, (MATCH(1027, 輔助計算!$G$2:$G$801, 0)+1)), ""), ""), "")</f>
        <v/>
      </c>
      <c r="B1028" s="10">
        <f>IFERROR(IF(AND(IFERROR(INDEX(ERP資料!$A:$A, (MATCH(1027, 輔助計算!$G$2:$G$801, 0)+1)), "")&lt;&gt;"", IFERROR(INDEX(ERP資料!$A:$A, (MATCH(1027, 輔助計算!$G$2:$G$801, 0)+1)), "")&lt;&gt;IFERROR(INDEX(ERP資料!$A:$A, MATCH(1026, 輔助計算!$G$2:$G$801, 0)+1), "")), INDEX(ERP資料!$S:$S, (MATCH(1027, 輔助計算!$G$2:$G$801, 0)+1)), ""), "")</f>
        <v/>
      </c>
      <c r="C1028" s="19">
        <f>IFERROR(IF(AND(IFERROR(INDEX(ERP資料!$A:$A, (MATCH(1027, 輔助計算!$G$2:$G$801, 0)+1)), "")&lt;&gt;"", IFERROR(INDEX(ERP資料!$A:$A, (MATCH(1027, 輔助計算!$G$2:$G$801, 0)+1)), "")&lt;&gt;IFERROR(INDEX(ERP資料!$A:$A, MATCH(1026, 輔助計算!$G$2:$G$801, 0)+1), "")), IFERROR(VLOOKUP(LEFT(INDEX(ERP資料!$S:$S, (MATCH(1027, 輔助計算!$G$2:$G$801, 0)+1)), 4), 紙管對照表!$A:$C, 3, FALSE), ""), ""), "")</f>
        <v/>
      </c>
      <c r="D1028" s="16" t="n"/>
      <c r="E1028" s="10">
        <f>IFERROR(IF(INDEX(ERP資料!$H:$H, (MATCH(1027, 輔助計算!$G$2:$G$801, 0)+1))="","",INDEX(ERP資料!$H:$H, (MATCH(1027, 輔助計算!$G$2:$G$801, 0)+1))), "")</f>
        <v/>
      </c>
      <c r="F1028" s="10">
        <f>IFERROR(IF(INDEX(ERP資料!$E:$E, (MATCH(1027, 輔助計算!$G$2:$G$801, 0)+1))="","",TRIM(INDEX(ERP資料!$E:$E, (MATCH(1027, 輔助計算!$G$2:$G$801, 0)+1)))), "")</f>
        <v/>
      </c>
      <c r="G1028" s="10">
        <f>IFERROR(IF(INDEX(ERP資料!$F:$F, (MATCH(1027, 輔助計算!$G$2:$G$801, 0)+1))="","",INDEX(ERP資料!$F:$F, (MATCH(1027, 輔助計算!$G$2:$G$801, 0)+1))), "")</f>
        <v/>
      </c>
      <c r="H1028" s="10">
        <f>IFERROR(IF(INDEX(ERP資料!$G:$G, (MATCH(1027, 輔助計算!$G$2:$G$801, 0)+1))="","",INDEX(ERP資料!$G:$G, (MATCH(1027, 輔助計算!$G$2:$G$801, 0)+1))), "")</f>
        <v/>
      </c>
      <c r="I1028" s="15">
        <f>IFERROR(INDEX(輔助計算!$D:$D, (MATCH(1027, 輔助計算!$G$2:$G$801, 0)+1)), "")</f>
        <v/>
      </c>
      <c r="J1028" s="15">
        <f>IFERROR(IF(AND(INDEX(輔助計算!$D:$D, (MATCH(1027, 輔助計算!$G$2:$G$801, 0)+1))&lt;&gt;"", INDEX(ERP資料!$G:$G, (MATCH(1027, 輔助計算!$G$2:$G$801, 0)+1))&lt;&gt;""), TRIM(IF(INT(INDEX(輔助計算!$D:$D, (MATCH(1027, 輔助計算!$G$2:$G$801, 0)+1))/IF(INDEX(ERP資料!$G:$G, (MATCH(1027, 輔助計算!$G$2:$G$801, 0)+1))&lt;100, IF(INDEX(ERP資料!$G:$G, (MATCH(1027, 輔助計算!$G$2:$G$801, 0)+1))&lt;=31,3,IF(INDEX(ERP資料!$G:$G, (MATCH(1027, 輔助計算!$G$2:$G$801, 0)+1))&lt;=46.5,2,1)), IF(INDEX(ERP資料!$G:$G, (MATCH(1027, 輔助計算!$G$2:$G$801, 0)+1))&lt;=790,3,IF(INDEX(ERP資料!$G:$G, (MATCH(1027, 輔助計算!$G$2:$G$801, 0)+1))&lt;=1181,2,1))))&gt;0, IF(IF(INDEX(ERP資料!$G:$G, (MATCH(1027, 輔助計算!$G$2:$G$801, 0)+1))&lt;100, IF(INDEX(ERP資料!$G:$G, (MATCH(1027, 輔助計算!$G$2:$G$801, 0)+1))&lt;=31,3,IF(INDEX(ERP資料!$G:$G, (MATCH(1027, 輔助計算!$G$2:$G$801, 0)+1))&lt;=46.5,2,1)), IF(INDEX(ERP資料!$G:$G, (MATCH(1027, 輔助計算!$G$2:$G$801, 0)+1))&lt;=790,3,IF(INDEX(ERP資料!$G:$G, (MATCH(1027, 輔助計算!$G$2:$G$801, 0)+1))&lt;=1181,2,1)))=1,TEXT(INDEX(ERP資料!$G:$G, (MATCH(1027, 輔助計算!$G$2:$G$801, 0)+1)),"0.##"),IF(IF(INDEX(ERP資料!$G:$G, (MATCH(1027, 輔助計算!$G$2:$G$801, 0)+1))&lt;100, IF(INDEX(ERP資料!$G:$G, (MATCH(1027, 輔助計算!$G$2:$G$801, 0)+1))&lt;=31,3,IF(INDEX(ERP資料!$G:$G, (MATCH(1027, 輔助計算!$G$2:$G$801, 0)+1))&lt;=46.5,2,1)), IF(INDEX(ERP資料!$G:$G, (MATCH(1027, 輔助計算!$G$2:$G$801, 0)+1))&lt;=790,3,IF(INDEX(ERP資料!$G:$G, (MATCH(1027, 輔助計算!$G$2:$G$801, 0)+1))&lt;=1181,2,1)))=2,TEXT(INDEX(ERP資料!$G:$G, (MATCH(1027, 輔助計算!$G$2:$G$801, 0)+1)),"0.##")&amp;"+"&amp;TEXT(INDEX(ERP資料!$G:$G, (MATCH(1027, 輔助計算!$G$2:$G$801, 0)+1)),"0.##"),TEXT(INDEX(ERP資料!$G:$G, (MATCH(1027, 輔助計算!$G$2:$G$801, 0)+1)),"0.##")&amp;"+"&amp;TEXT(INDEX(ERP資料!$G:$G, (MATCH(1027, 輔助計算!$G$2:$G$801, 0)+1)),"0.##")&amp;"+"&amp;TEXT(INDEX(ERP資料!$G:$G, (MATCH(1027, 輔助計算!$G$2:$G$801, 0)+1)),"0.##")))&amp;"-"&amp;INT(INDEX(輔助計算!$D:$D, (MATCH(1027, 輔助計算!$G$2:$G$801, 0)+1))/IF(INDEX(ERP資料!$G:$G, (MATCH(1027, 輔助計算!$G$2:$G$801, 0)+1))&lt;100, IF(INDEX(ERP資料!$G:$G, (MATCH(1027, 輔助計算!$G$2:$G$801, 0)+1))&lt;=31,3,IF(INDEX(ERP資料!$G:$G, (MATCH(1027, 輔助計算!$G$2:$G$801, 0)+1))&lt;=46.5,2,1)), IF(INDEX(ERP資料!$G:$G, (MATCH(1027, 輔助計算!$G$2:$G$801, 0)+1))&lt;=790,3,IF(INDEX(ERP資料!$G:$G, (MATCH(1027, 輔助計算!$G$2:$G$801, 0)+1))&lt;=1181,2,1)))), "")&amp;IF(AND(IF(INT(INDEX(輔助計算!$D:$D, (MATCH(1027, 輔助計算!$G$2:$G$801, 0)+1))/IF(INDEX(ERP資料!$G:$G, (MATCH(1027, 輔助計算!$G$2:$G$801, 0)+1))&lt;100, IF(INDEX(ERP資料!$G:$G, (MATCH(1027, 輔助計算!$G$2:$G$801, 0)+1))&lt;=31,3,IF(INDEX(ERP資料!$G:$G, (MATCH(1027, 輔助計算!$G$2:$G$801, 0)+1))&lt;=46.5,2,1)), IF(INDEX(ERP資料!$G:$G, (MATCH(1027, 輔助計算!$G$2:$G$801, 0)+1))&lt;=790,3,IF(INDEX(ERP資料!$G:$G, (MATCH(1027, 輔助計算!$G$2:$G$801, 0)+1))&lt;=1181,2,1))))&gt;0, IF(IF(INDEX(ERP資料!$G:$G, (MATCH(1027, 輔助計算!$G$2:$G$801, 0)+1))&lt;100, IF(INDEX(ERP資料!$G:$G, (MATCH(1027, 輔助計算!$G$2:$G$801, 0)+1))&lt;=31,3,IF(INDEX(ERP資料!$G:$G, (MATCH(1027, 輔助計算!$G$2:$G$801, 0)+1))&lt;=46.5,2,1)), IF(INDEX(ERP資料!$G:$G, (MATCH(1027, 輔助計算!$G$2:$G$801, 0)+1))&lt;=790,3,IF(INDEX(ERP資料!$G:$G, (MATCH(1027, 輔助計算!$G$2:$G$801, 0)+1))&lt;=1181,2,1)))=1,TEXT(INDEX(ERP資料!$G:$G, (MATCH(1027, 輔助計算!$G$2:$G$801, 0)+1)),"0.##"),IF(IF(INDEX(ERP資料!$G:$G, (MATCH(1027, 輔助計算!$G$2:$G$801, 0)+1))&lt;100, IF(INDEX(ERP資料!$G:$G, (MATCH(1027, 輔助計算!$G$2:$G$801, 0)+1))&lt;=31,3,IF(INDEX(ERP資料!$G:$G, (MATCH(1027, 輔助計算!$G$2:$G$801, 0)+1))&lt;=46.5,2,1)), IF(INDEX(ERP資料!$G:$G, (MATCH(1027, 輔助計算!$G$2:$G$801, 0)+1))&lt;=790,3,IF(INDEX(ERP資料!$G:$G, (MATCH(1027, 輔助計算!$G$2:$G$801, 0)+1))&lt;=1181,2,1)))=2,TEXT(INDEX(ERP資料!$G:$G, (MATCH(1027, 輔助計算!$G$2:$G$801, 0)+1)),"0.##")&amp;"+"&amp;TEXT(INDEX(ERP資料!$G:$G, (MATCH(1027, 輔助計算!$G$2:$G$801, 0)+1)),"0.##"),TEXT(INDEX(ERP資料!$G:$G, (MATCH(1027, 輔助計算!$G$2:$G$801, 0)+1)),"0.##")&amp;"+"&amp;TEXT(INDEX(ERP資料!$G:$G, (MATCH(1027, 輔助計算!$G$2:$G$801, 0)+1)),"0.##")&amp;"+"&amp;TEXT(INDEX(ERP資料!$G:$G, (MATCH(1027, 輔助計算!$G$2:$G$801, 0)+1)),"0.##")))&amp;"-"&amp;INT(INDEX(輔助計算!$D:$D, (MATCH(1027, 輔助計算!$G$2:$G$801, 0)+1))/IF(INDEX(ERP資料!$G:$G, (MATCH(1027, 輔助計算!$G$2:$G$801, 0)+1))&lt;100, IF(INDEX(ERP資料!$G:$G, (MATCH(1027, 輔助計算!$G$2:$G$801, 0)+1))&lt;=31,3,IF(INDEX(ERP資料!$G:$G, (MATCH(1027, 輔助計算!$G$2:$G$801, 0)+1))&lt;=46.5,2,1)), IF(INDEX(ERP資料!$G:$G, (MATCH(1027, 輔助計算!$G$2:$G$801, 0)+1))&lt;=790,3,IF(INDEX(ERP資料!$G:$G, (MATCH(1027, 輔助計算!$G$2:$G$801, 0)+1))&lt;=1181,2,1)))), "")&lt;&gt;"",IF(MOD(INDEX(輔助計算!$D:$D, (MATCH(1027, 輔助計算!$G$2:$G$801, 0)+1)),IF(INDEX(ERP資料!$G:$G, (MATCH(1027, 輔助計算!$G$2:$G$801, 0)+1))&lt;100, IF(INDEX(ERP資料!$G:$G, (MATCH(1027, 輔助計算!$G$2:$G$801, 0)+1))&lt;=31,3,IF(INDEX(ERP資料!$G:$G, (MATCH(1027, 輔助計算!$G$2:$G$801, 0)+1))&lt;=46.5,2,1)), IF(INDEX(ERP資料!$G:$G, (MATCH(1027, 輔助計算!$G$2:$G$801, 0)+1))&lt;=790,3,IF(INDEX(ERP資料!$G:$G, (MATCH(1027, 輔助計算!$G$2:$G$801, 0)+1))&lt;=1181,2,1))))=0,"",IF(MOD(INDEX(輔助計算!$D:$D, (MATCH(1027, 輔助計算!$G$2:$G$801, 0)+1)),IF(INDEX(ERP資料!$G:$G, (MATCH(1027, 輔助計算!$G$2:$G$801, 0)+1))&lt;100, IF(INDEX(ERP資料!$G:$G, (MATCH(1027, 輔助計算!$G$2:$G$801, 0)+1))&lt;=31,3,IF(INDEX(ERP資料!$G:$G, (MATCH(1027, 輔助計算!$G$2:$G$801, 0)+1))&lt;=46.5,2,1)), IF(INDEX(ERP資料!$G:$G, (MATCH(1027, 輔助計算!$G$2:$G$801, 0)+1))&lt;=790,3,IF(INDEX(ERP資料!$G:$G, (MATCH(1027, 輔助計算!$G$2:$G$801, 0)+1))&lt;=1181,2,1))))=0,"",IF(MOD(INDEX(輔助計算!$D:$D, (MATCH(1027, 輔助計算!$G$2:$G$801, 0)+1)),IF(INDEX(ERP資料!$G:$G, (MATCH(1027, 輔助計算!$G$2:$G$801, 0)+1))&lt;100, IF(INDEX(ERP資料!$G:$G, (MATCH(1027, 輔助計算!$G$2:$G$801, 0)+1))&lt;=31,3,IF(INDEX(ERP資料!$G:$G, (MATCH(1027, 輔助計算!$G$2:$G$801, 0)+1))&lt;=46.5,2,1)), IF(INDEX(ERP資料!$G:$G, (MATCH(1027, 輔助計算!$G$2:$G$801, 0)+1))&lt;=790,3,IF(INDEX(ERP資料!$G:$G, (MATCH(1027, 輔助計算!$G$2:$G$801, 0)+1))&lt;=1181,2,1))))=1,TEXT(INDEX(ERP資料!$G:$G, (MATCH(1027, 輔助計算!$G$2:$G$801, 0)+1)),"0.##"),IF(MOD(INDEX(輔助計算!$D:$D, (MATCH(1027, 輔助計算!$G$2:$G$801, 0)+1)),IF(INDEX(ERP資料!$G:$G, (MATCH(1027, 輔助計算!$G$2:$G$801, 0)+1))&lt;100, IF(INDEX(ERP資料!$G:$G, (MATCH(1027, 輔助計算!$G$2:$G$801, 0)+1))&lt;=31,3,IF(INDEX(ERP資料!$G:$G, (MATCH(1027, 輔助計算!$G$2:$G$801, 0)+1))&lt;=46.5,2,1)), IF(INDEX(ERP資料!$G:$G, (MATCH(1027, 輔助計算!$G$2:$G$801, 0)+1))&lt;=790,3,IF(INDEX(ERP資料!$G:$G, (MATCH(1027, 輔助計算!$G$2:$G$801, 0)+1))&lt;=1181,2,1))))=2,TEXT(INDEX(ERP資料!$G:$G, (MATCH(1027, 輔助計算!$G$2:$G$801, 0)+1)),"0.##")&amp;"+"&amp;TEXT(INDEX(ERP資料!$G:$G, (MATCH(1027, 輔助計算!$G$2:$G$801, 0)+1)),"0.##"),TEXT(INDEX(ERP資料!$G:$G, (MATCH(1027, 輔助計算!$G$2:$G$801, 0)+1)),"0.##")&amp;"+"&amp;TEXT(INDEX(ERP資料!$G:$G, (MATCH(1027, 輔助計算!$G$2:$G$801, 0)+1)),"0.##")&amp;"+"&amp;TEXT(INDEX(ERP資料!$G:$G, (MATCH(1027, 輔助計算!$G$2:$G$801, 0)+1)),"0.##"))))&amp;"-1")&lt;&gt;""),"  ","")&amp;IF(MOD(INDEX(輔助計算!$D:$D, (MATCH(1027, 輔助計算!$G$2:$G$801, 0)+1)),IF(INDEX(ERP資料!$G:$G, (MATCH(1027, 輔助計算!$G$2:$G$801, 0)+1))&lt;100, IF(INDEX(ERP資料!$G:$G, (MATCH(1027, 輔助計算!$G$2:$G$801, 0)+1))&lt;=31,3,IF(INDEX(ERP資料!$G:$G, (MATCH(1027, 輔助計算!$G$2:$G$801, 0)+1))&lt;=46.5,2,1)), IF(INDEX(ERP資料!$G:$G, (MATCH(1027, 輔助計算!$G$2:$G$801, 0)+1))&lt;=790,3,IF(INDEX(ERP資料!$G:$G, (MATCH(1027, 輔助計算!$G$2:$G$801, 0)+1))&lt;=1181,2,1))))=0,"",IF(MOD(INDEX(輔助計算!$D:$D, (MATCH(1027, 輔助計算!$G$2:$G$801, 0)+1)),IF(INDEX(ERP資料!$G:$G, (MATCH(1027, 輔助計算!$G$2:$G$801, 0)+1))&lt;100, IF(INDEX(ERP資料!$G:$G, (MATCH(1027, 輔助計算!$G$2:$G$801, 0)+1))&lt;=31,3,IF(INDEX(ERP資料!$G:$G, (MATCH(1027, 輔助計算!$G$2:$G$801, 0)+1))&lt;=46.5,2,1)), IF(INDEX(ERP資料!$G:$G, (MATCH(1027, 輔助計算!$G$2:$G$801, 0)+1))&lt;=790,3,IF(INDEX(ERP資料!$G:$G, (MATCH(1027, 輔助計算!$G$2:$G$801, 0)+1))&lt;=1181,2,1))))=0,"",IF(MOD(INDEX(輔助計算!$D:$D, (MATCH(1027, 輔助計算!$G$2:$G$801, 0)+1)),IF(INDEX(ERP資料!$G:$G, (MATCH(1027, 輔助計算!$G$2:$G$801, 0)+1))&lt;100, IF(INDEX(ERP資料!$G:$G, (MATCH(1027, 輔助計算!$G$2:$G$801, 0)+1))&lt;=31,3,IF(INDEX(ERP資料!$G:$G, (MATCH(1027, 輔助計算!$G$2:$G$801, 0)+1))&lt;=46.5,2,1)), IF(INDEX(ERP資料!$G:$G, (MATCH(1027, 輔助計算!$G$2:$G$801, 0)+1))&lt;=790,3,IF(INDEX(ERP資料!$G:$G, (MATCH(1027, 輔助計算!$G$2:$G$801, 0)+1))&lt;=1181,2,1))))=1,TEXT(INDEX(ERP資料!$G:$G, (MATCH(1027, 輔助計算!$G$2:$G$801, 0)+1)),"0.##"),IF(MOD(INDEX(輔助計算!$D:$D, (MATCH(1027, 輔助計算!$G$2:$G$801, 0)+1)),IF(INDEX(ERP資料!$G:$G, (MATCH(1027, 輔助計算!$G$2:$G$801, 0)+1))&lt;100, IF(INDEX(ERP資料!$G:$G, (MATCH(1027, 輔助計算!$G$2:$G$801, 0)+1))&lt;=31,3,IF(INDEX(ERP資料!$G:$G, (MATCH(1027, 輔助計算!$G$2:$G$801, 0)+1))&lt;=46.5,2,1)), IF(INDEX(ERP資料!$G:$G, (MATCH(1027, 輔助計算!$G$2:$G$801, 0)+1))&lt;=790,3,IF(INDEX(ERP資料!$G:$G, (MATCH(1027, 輔助計算!$G$2:$G$801, 0)+1))&lt;=1181,2,1))))=2,TEXT(INDEX(ERP資料!$G:$G, (MATCH(1027, 輔助計算!$G$2:$G$801, 0)+1)),"0.##")&amp;"+"&amp;TEXT(INDEX(ERP資料!$G:$G, (MATCH(1027, 輔助計算!$G$2:$G$801, 0)+1)),"0.##"),TEXT(INDEX(ERP資料!$G:$G, (MATCH(1027, 輔助計算!$G$2:$G$801, 0)+1)),"0.##")&amp;"+"&amp;TEXT(INDEX(ERP資料!$G:$G, (MATCH(1027, 輔助計算!$G$2:$G$801, 0)+1)),"0.##")&amp;"+"&amp;TEXT(INDEX(ERP資料!$G:$G, (MATCH(1027, 輔助計算!$G$2:$G$801, 0)+1)),"0.##"))))&amp;"-1")), ""), "")</f>
        <v/>
      </c>
      <c r="K1028" s="16" t="n"/>
      <c r="L1028" s="14">
        <f>IFERROR(IF(AND(IFERROR(INDEX(ERP資料!$A:$A, (MATCH(1027, 輔助計算!$G$2:$G$801, 0)+1)), "")&lt;&gt;"", IFERROR(INDEX(ERP資料!$A:$A, (MATCH(1027, 輔助計算!$G$2:$G$801, 0)+1)), "")&lt;&gt;IFERROR(INDEX(ERP資料!$A:$A, MATCH(1026, 輔助計算!$G$2:$G$801, 0)+1), "")), INDEX(ERP資料!$B:$B, (MATCH(1027, 輔助計算!$G$2:$G$801, 0)+1)), ""), "")</f>
        <v/>
      </c>
      <c r="M1028" s="17" t="n"/>
    </row>
    <row r="1029">
      <c r="A1029" s="10">
        <f>IFERROR(IF(AND(IFERROR(INDEX(ERP資料!$A:$A, (MATCH(1028, 輔助計算!$G$2:$G$801, 0)+1)), "")&lt;&gt;"", IFERROR(INDEX(ERP資料!$A:$A, (MATCH(1028, 輔助計算!$G$2:$G$801, 0)+1)), "")&lt;&gt;IFERROR(INDEX(ERP資料!$A:$A, MATCH(1027, 輔助計算!$G$2:$G$801, 0)+1), "")), IFERROR(INDEX(ERP資料!$A:$A, (MATCH(1028, 輔助計算!$G$2:$G$801, 0)+1)), ""), ""), "")</f>
        <v/>
      </c>
      <c r="B1029" s="10">
        <f>IFERROR(IF(AND(IFERROR(INDEX(ERP資料!$A:$A, (MATCH(1028, 輔助計算!$G$2:$G$801, 0)+1)), "")&lt;&gt;"", IFERROR(INDEX(ERP資料!$A:$A, (MATCH(1028, 輔助計算!$G$2:$G$801, 0)+1)), "")&lt;&gt;IFERROR(INDEX(ERP資料!$A:$A, MATCH(1027, 輔助計算!$G$2:$G$801, 0)+1), "")), INDEX(ERP資料!$S:$S, (MATCH(1028, 輔助計算!$G$2:$G$801, 0)+1)), ""), "")</f>
        <v/>
      </c>
      <c r="C1029" s="19">
        <f>IFERROR(IF(AND(IFERROR(INDEX(ERP資料!$A:$A, (MATCH(1028, 輔助計算!$G$2:$G$801, 0)+1)), "")&lt;&gt;"", IFERROR(INDEX(ERP資料!$A:$A, (MATCH(1028, 輔助計算!$G$2:$G$801, 0)+1)), "")&lt;&gt;IFERROR(INDEX(ERP資料!$A:$A, MATCH(1027, 輔助計算!$G$2:$G$801, 0)+1), "")), IFERROR(VLOOKUP(LEFT(INDEX(ERP資料!$S:$S, (MATCH(1028, 輔助計算!$G$2:$G$801, 0)+1)), 4), 紙管對照表!$A:$C, 3, FALSE), ""), ""), "")</f>
        <v/>
      </c>
      <c r="D1029" s="16" t="n"/>
      <c r="E1029" s="10">
        <f>IFERROR(IF(INDEX(ERP資料!$H:$H, (MATCH(1028, 輔助計算!$G$2:$G$801, 0)+1))="","",INDEX(ERP資料!$H:$H, (MATCH(1028, 輔助計算!$G$2:$G$801, 0)+1))), "")</f>
        <v/>
      </c>
      <c r="F1029" s="10">
        <f>IFERROR(IF(INDEX(ERP資料!$E:$E, (MATCH(1028, 輔助計算!$G$2:$G$801, 0)+1))="","",TRIM(INDEX(ERP資料!$E:$E, (MATCH(1028, 輔助計算!$G$2:$G$801, 0)+1)))), "")</f>
        <v/>
      </c>
      <c r="G1029" s="10">
        <f>IFERROR(IF(INDEX(ERP資料!$F:$F, (MATCH(1028, 輔助計算!$G$2:$G$801, 0)+1))="","",INDEX(ERP資料!$F:$F, (MATCH(1028, 輔助計算!$G$2:$G$801, 0)+1))), "")</f>
        <v/>
      </c>
      <c r="H1029" s="10">
        <f>IFERROR(IF(INDEX(ERP資料!$G:$G, (MATCH(1028, 輔助計算!$G$2:$G$801, 0)+1))="","",INDEX(ERP資料!$G:$G, (MATCH(1028, 輔助計算!$G$2:$G$801, 0)+1))), "")</f>
        <v/>
      </c>
      <c r="I1029" s="15">
        <f>IFERROR(INDEX(輔助計算!$D:$D, (MATCH(1028, 輔助計算!$G$2:$G$801, 0)+1)), "")</f>
        <v/>
      </c>
      <c r="J1029" s="15">
        <f>IFERROR(IF(AND(INDEX(輔助計算!$D:$D, (MATCH(1028, 輔助計算!$G$2:$G$801, 0)+1))&lt;&gt;"", INDEX(ERP資料!$G:$G, (MATCH(1028, 輔助計算!$G$2:$G$801, 0)+1))&lt;&gt;""), TRIM(IF(INT(INDEX(輔助計算!$D:$D, (MATCH(1028, 輔助計算!$G$2:$G$801, 0)+1))/IF(INDEX(ERP資料!$G:$G, (MATCH(1028, 輔助計算!$G$2:$G$801, 0)+1))&lt;100, IF(INDEX(ERP資料!$G:$G, (MATCH(1028, 輔助計算!$G$2:$G$801, 0)+1))&lt;=31,3,IF(INDEX(ERP資料!$G:$G, (MATCH(1028, 輔助計算!$G$2:$G$801, 0)+1))&lt;=46.5,2,1)), IF(INDEX(ERP資料!$G:$G, (MATCH(1028, 輔助計算!$G$2:$G$801, 0)+1))&lt;=790,3,IF(INDEX(ERP資料!$G:$G, (MATCH(1028, 輔助計算!$G$2:$G$801, 0)+1))&lt;=1181,2,1))))&gt;0, IF(IF(INDEX(ERP資料!$G:$G, (MATCH(1028, 輔助計算!$G$2:$G$801, 0)+1))&lt;100, IF(INDEX(ERP資料!$G:$G, (MATCH(1028, 輔助計算!$G$2:$G$801, 0)+1))&lt;=31,3,IF(INDEX(ERP資料!$G:$G, (MATCH(1028, 輔助計算!$G$2:$G$801, 0)+1))&lt;=46.5,2,1)), IF(INDEX(ERP資料!$G:$G, (MATCH(1028, 輔助計算!$G$2:$G$801, 0)+1))&lt;=790,3,IF(INDEX(ERP資料!$G:$G, (MATCH(1028, 輔助計算!$G$2:$G$801, 0)+1))&lt;=1181,2,1)))=1,TEXT(INDEX(ERP資料!$G:$G, (MATCH(1028, 輔助計算!$G$2:$G$801, 0)+1)),"0.##"),IF(IF(INDEX(ERP資料!$G:$G, (MATCH(1028, 輔助計算!$G$2:$G$801, 0)+1))&lt;100, IF(INDEX(ERP資料!$G:$G, (MATCH(1028, 輔助計算!$G$2:$G$801, 0)+1))&lt;=31,3,IF(INDEX(ERP資料!$G:$G, (MATCH(1028, 輔助計算!$G$2:$G$801, 0)+1))&lt;=46.5,2,1)), IF(INDEX(ERP資料!$G:$G, (MATCH(1028, 輔助計算!$G$2:$G$801, 0)+1))&lt;=790,3,IF(INDEX(ERP資料!$G:$G, (MATCH(1028, 輔助計算!$G$2:$G$801, 0)+1))&lt;=1181,2,1)))=2,TEXT(INDEX(ERP資料!$G:$G, (MATCH(1028, 輔助計算!$G$2:$G$801, 0)+1)),"0.##")&amp;"+"&amp;TEXT(INDEX(ERP資料!$G:$G, (MATCH(1028, 輔助計算!$G$2:$G$801, 0)+1)),"0.##"),TEXT(INDEX(ERP資料!$G:$G, (MATCH(1028, 輔助計算!$G$2:$G$801, 0)+1)),"0.##")&amp;"+"&amp;TEXT(INDEX(ERP資料!$G:$G, (MATCH(1028, 輔助計算!$G$2:$G$801, 0)+1)),"0.##")&amp;"+"&amp;TEXT(INDEX(ERP資料!$G:$G, (MATCH(1028, 輔助計算!$G$2:$G$801, 0)+1)),"0.##")))&amp;"-"&amp;INT(INDEX(輔助計算!$D:$D, (MATCH(1028, 輔助計算!$G$2:$G$801, 0)+1))/IF(INDEX(ERP資料!$G:$G, (MATCH(1028, 輔助計算!$G$2:$G$801, 0)+1))&lt;100, IF(INDEX(ERP資料!$G:$G, (MATCH(1028, 輔助計算!$G$2:$G$801, 0)+1))&lt;=31,3,IF(INDEX(ERP資料!$G:$G, (MATCH(1028, 輔助計算!$G$2:$G$801, 0)+1))&lt;=46.5,2,1)), IF(INDEX(ERP資料!$G:$G, (MATCH(1028, 輔助計算!$G$2:$G$801, 0)+1))&lt;=790,3,IF(INDEX(ERP資料!$G:$G, (MATCH(1028, 輔助計算!$G$2:$G$801, 0)+1))&lt;=1181,2,1)))), "")&amp;IF(AND(IF(INT(INDEX(輔助計算!$D:$D, (MATCH(1028, 輔助計算!$G$2:$G$801, 0)+1))/IF(INDEX(ERP資料!$G:$G, (MATCH(1028, 輔助計算!$G$2:$G$801, 0)+1))&lt;100, IF(INDEX(ERP資料!$G:$G, (MATCH(1028, 輔助計算!$G$2:$G$801, 0)+1))&lt;=31,3,IF(INDEX(ERP資料!$G:$G, (MATCH(1028, 輔助計算!$G$2:$G$801, 0)+1))&lt;=46.5,2,1)), IF(INDEX(ERP資料!$G:$G, (MATCH(1028, 輔助計算!$G$2:$G$801, 0)+1))&lt;=790,3,IF(INDEX(ERP資料!$G:$G, (MATCH(1028, 輔助計算!$G$2:$G$801, 0)+1))&lt;=1181,2,1))))&gt;0, IF(IF(INDEX(ERP資料!$G:$G, (MATCH(1028, 輔助計算!$G$2:$G$801, 0)+1))&lt;100, IF(INDEX(ERP資料!$G:$G, (MATCH(1028, 輔助計算!$G$2:$G$801, 0)+1))&lt;=31,3,IF(INDEX(ERP資料!$G:$G, (MATCH(1028, 輔助計算!$G$2:$G$801, 0)+1))&lt;=46.5,2,1)), IF(INDEX(ERP資料!$G:$G, (MATCH(1028, 輔助計算!$G$2:$G$801, 0)+1))&lt;=790,3,IF(INDEX(ERP資料!$G:$G, (MATCH(1028, 輔助計算!$G$2:$G$801, 0)+1))&lt;=1181,2,1)))=1,TEXT(INDEX(ERP資料!$G:$G, (MATCH(1028, 輔助計算!$G$2:$G$801, 0)+1)),"0.##"),IF(IF(INDEX(ERP資料!$G:$G, (MATCH(1028, 輔助計算!$G$2:$G$801, 0)+1))&lt;100, IF(INDEX(ERP資料!$G:$G, (MATCH(1028, 輔助計算!$G$2:$G$801, 0)+1))&lt;=31,3,IF(INDEX(ERP資料!$G:$G, (MATCH(1028, 輔助計算!$G$2:$G$801, 0)+1))&lt;=46.5,2,1)), IF(INDEX(ERP資料!$G:$G, (MATCH(1028, 輔助計算!$G$2:$G$801, 0)+1))&lt;=790,3,IF(INDEX(ERP資料!$G:$G, (MATCH(1028, 輔助計算!$G$2:$G$801, 0)+1))&lt;=1181,2,1)))=2,TEXT(INDEX(ERP資料!$G:$G, (MATCH(1028, 輔助計算!$G$2:$G$801, 0)+1)),"0.##")&amp;"+"&amp;TEXT(INDEX(ERP資料!$G:$G, (MATCH(1028, 輔助計算!$G$2:$G$801, 0)+1)),"0.##"),TEXT(INDEX(ERP資料!$G:$G, (MATCH(1028, 輔助計算!$G$2:$G$801, 0)+1)),"0.##")&amp;"+"&amp;TEXT(INDEX(ERP資料!$G:$G, (MATCH(1028, 輔助計算!$G$2:$G$801, 0)+1)),"0.##")&amp;"+"&amp;TEXT(INDEX(ERP資料!$G:$G, (MATCH(1028, 輔助計算!$G$2:$G$801, 0)+1)),"0.##")))&amp;"-"&amp;INT(INDEX(輔助計算!$D:$D, (MATCH(1028, 輔助計算!$G$2:$G$801, 0)+1))/IF(INDEX(ERP資料!$G:$G, (MATCH(1028, 輔助計算!$G$2:$G$801, 0)+1))&lt;100, IF(INDEX(ERP資料!$G:$G, (MATCH(1028, 輔助計算!$G$2:$G$801, 0)+1))&lt;=31,3,IF(INDEX(ERP資料!$G:$G, (MATCH(1028, 輔助計算!$G$2:$G$801, 0)+1))&lt;=46.5,2,1)), IF(INDEX(ERP資料!$G:$G, (MATCH(1028, 輔助計算!$G$2:$G$801, 0)+1))&lt;=790,3,IF(INDEX(ERP資料!$G:$G, (MATCH(1028, 輔助計算!$G$2:$G$801, 0)+1))&lt;=1181,2,1)))), "")&lt;&gt;"",IF(MOD(INDEX(輔助計算!$D:$D, (MATCH(1028, 輔助計算!$G$2:$G$801, 0)+1)),IF(INDEX(ERP資料!$G:$G, (MATCH(1028, 輔助計算!$G$2:$G$801, 0)+1))&lt;100, IF(INDEX(ERP資料!$G:$G, (MATCH(1028, 輔助計算!$G$2:$G$801, 0)+1))&lt;=31,3,IF(INDEX(ERP資料!$G:$G, (MATCH(1028, 輔助計算!$G$2:$G$801, 0)+1))&lt;=46.5,2,1)), IF(INDEX(ERP資料!$G:$G, (MATCH(1028, 輔助計算!$G$2:$G$801, 0)+1))&lt;=790,3,IF(INDEX(ERP資料!$G:$G, (MATCH(1028, 輔助計算!$G$2:$G$801, 0)+1))&lt;=1181,2,1))))=0,"",IF(MOD(INDEX(輔助計算!$D:$D, (MATCH(1028, 輔助計算!$G$2:$G$801, 0)+1)),IF(INDEX(ERP資料!$G:$G, (MATCH(1028, 輔助計算!$G$2:$G$801, 0)+1))&lt;100, IF(INDEX(ERP資料!$G:$G, (MATCH(1028, 輔助計算!$G$2:$G$801, 0)+1))&lt;=31,3,IF(INDEX(ERP資料!$G:$G, (MATCH(1028, 輔助計算!$G$2:$G$801, 0)+1))&lt;=46.5,2,1)), IF(INDEX(ERP資料!$G:$G, (MATCH(1028, 輔助計算!$G$2:$G$801, 0)+1))&lt;=790,3,IF(INDEX(ERP資料!$G:$G, (MATCH(1028, 輔助計算!$G$2:$G$801, 0)+1))&lt;=1181,2,1))))=0,"",IF(MOD(INDEX(輔助計算!$D:$D, (MATCH(1028, 輔助計算!$G$2:$G$801, 0)+1)),IF(INDEX(ERP資料!$G:$G, (MATCH(1028, 輔助計算!$G$2:$G$801, 0)+1))&lt;100, IF(INDEX(ERP資料!$G:$G, (MATCH(1028, 輔助計算!$G$2:$G$801, 0)+1))&lt;=31,3,IF(INDEX(ERP資料!$G:$G, (MATCH(1028, 輔助計算!$G$2:$G$801, 0)+1))&lt;=46.5,2,1)), IF(INDEX(ERP資料!$G:$G, (MATCH(1028, 輔助計算!$G$2:$G$801, 0)+1))&lt;=790,3,IF(INDEX(ERP資料!$G:$G, (MATCH(1028, 輔助計算!$G$2:$G$801, 0)+1))&lt;=1181,2,1))))=1,TEXT(INDEX(ERP資料!$G:$G, (MATCH(1028, 輔助計算!$G$2:$G$801, 0)+1)),"0.##"),IF(MOD(INDEX(輔助計算!$D:$D, (MATCH(1028, 輔助計算!$G$2:$G$801, 0)+1)),IF(INDEX(ERP資料!$G:$G, (MATCH(1028, 輔助計算!$G$2:$G$801, 0)+1))&lt;100, IF(INDEX(ERP資料!$G:$G, (MATCH(1028, 輔助計算!$G$2:$G$801, 0)+1))&lt;=31,3,IF(INDEX(ERP資料!$G:$G, (MATCH(1028, 輔助計算!$G$2:$G$801, 0)+1))&lt;=46.5,2,1)), IF(INDEX(ERP資料!$G:$G, (MATCH(1028, 輔助計算!$G$2:$G$801, 0)+1))&lt;=790,3,IF(INDEX(ERP資料!$G:$G, (MATCH(1028, 輔助計算!$G$2:$G$801, 0)+1))&lt;=1181,2,1))))=2,TEXT(INDEX(ERP資料!$G:$G, (MATCH(1028, 輔助計算!$G$2:$G$801, 0)+1)),"0.##")&amp;"+"&amp;TEXT(INDEX(ERP資料!$G:$G, (MATCH(1028, 輔助計算!$G$2:$G$801, 0)+1)),"0.##"),TEXT(INDEX(ERP資料!$G:$G, (MATCH(1028, 輔助計算!$G$2:$G$801, 0)+1)),"0.##")&amp;"+"&amp;TEXT(INDEX(ERP資料!$G:$G, (MATCH(1028, 輔助計算!$G$2:$G$801, 0)+1)),"0.##")&amp;"+"&amp;TEXT(INDEX(ERP資料!$G:$G, (MATCH(1028, 輔助計算!$G$2:$G$801, 0)+1)),"0.##"))))&amp;"-1")&lt;&gt;""),"  ","")&amp;IF(MOD(INDEX(輔助計算!$D:$D, (MATCH(1028, 輔助計算!$G$2:$G$801, 0)+1)),IF(INDEX(ERP資料!$G:$G, (MATCH(1028, 輔助計算!$G$2:$G$801, 0)+1))&lt;100, IF(INDEX(ERP資料!$G:$G, (MATCH(1028, 輔助計算!$G$2:$G$801, 0)+1))&lt;=31,3,IF(INDEX(ERP資料!$G:$G, (MATCH(1028, 輔助計算!$G$2:$G$801, 0)+1))&lt;=46.5,2,1)), IF(INDEX(ERP資料!$G:$G, (MATCH(1028, 輔助計算!$G$2:$G$801, 0)+1))&lt;=790,3,IF(INDEX(ERP資料!$G:$G, (MATCH(1028, 輔助計算!$G$2:$G$801, 0)+1))&lt;=1181,2,1))))=0,"",IF(MOD(INDEX(輔助計算!$D:$D, (MATCH(1028, 輔助計算!$G$2:$G$801, 0)+1)),IF(INDEX(ERP資料!$G:$G, (MATCH(1028, 輔助計算!$G$2:$G$801, 0)+1))&lt;100, IF(INDEX(ERP資料!$G:$G, (MATCH(1028, 輔助計算!$G$2:$G$801, 0)+1))&lt;=31,3,IF(INDEX(ERP資料!$G:$G, (MATCH(1028, 輔助計算!$G$2:$G$801, 0)+1))&lt;=46.5,2,1)), IF(INDEX(ERP資料!$G:$G, (MATCH(1028, 輔助計算!$G$2:$G$801, 0)+1))&lt;=790,3,IF(INDEX(ERP資料!$G:$G, (MATCH(1028, 輔助計算!$G$2:$G$801, 0)+1))&lt;=1181,2,1))))=0,"",IF(MOD(INDEX(輔助計算!$D:$D, (MATCH(1028, 輔助計算!$G$2:$G$801, 0)+1)),IF(INDEX(ERP資料!$G:$G, (MATCH(1028, 輔助計算!$G$2:$G$801, 0)+1))&lt;100, IF(INDEX(ERP資料!$G:$G, (MATCH(1028, 輔助計算!$G$2:$G$801, 0)+1))&lt;=31,3,IF(INDEX(ERP資料!$G:$G, (MATCH(1028, 輔助計算!$G$2:$G$801, 0)+1))&lt;=46.5,2,1)), IF(INDEX(ERP資料!$G:$G, (MATCH(1028, 輔助計算!$G$2:$G$801, 0)+1))&lt;=790,3,IF(INDEX(ERP資料!$G:$G, (MATCH(1028, 輔助計算!$G$2:$G$801, 0)+1))&lt;=1181,2,1))))=1,TEXT(INDEX(ERP資料!$G:$G, (MATCH(1028, 輔助計算!$G$2:$G$801, 0)+1)),"0.##"),IF(MOD(INDEX(輔助計算!$D:$D, (MATCH(1028, 輔助計算!$G$2:$G$801, 0)+1)),IF(INDEX(ERP資料!$G:$G, (MATCH(1028, 輔助計算!$G$2:$G$801, 0)+1))&lt;100, IF(INDEX(ERP資料!$G:$G, (MATCH(1028, 輔助計算!$G$2:$G$801, 0)+1))&lt;=31,3,IF(INDEX(ERP資料!$G:$G, (MATCH(1028, 輔助計算!$G$2:$G$801, 0)+1))&lt;=46.5,2,1)), IF(INDEX(ERP資料!$G:$G, (MATCH(1028, 輔助計算!$G$2:$G$801, 0)+1))&lt;=790,3,IF(INDEX(ERP資料!$G:$G, (MATCH(1028, 輔助計算!$G$2:$G$801, 0)+1))&lt;=1181,2,1))))=2,TEXT(INDEX(ERP資料!$G:$G, (MATCH(1028, 輔助計算!$G$2:$G$801, 0)+1)),"0.##")&amp;"+"&amp;TEXT(INDEX(ERP資料!$G:$G, (MATCH(1028, 輔助計算!$G$2:$G$801, 0)+1)),"0.##"),TEXT(INDEX(ERP資料!$G:$G, (MATCH(1028, 輔助計算!$G$2:$G$801, 0)+1)),"0.##")&amp;"+"&amp;TEXT(INDEX(ERP資料!$G:$G, (MATCH(1028, 輔助計算!$G$2:$G$801, 0)+1)),"0.##")&amp;"+"&amp;TEXT(INDEX(ERP資料!$G:$G, (MATCH(1028, 輔助計算!$G$2:$G$801, 0)+1)),"0.##"))))&amp;"-1")), ""), "")</f>
        <v/>
      </c>
      <c r="K1029" s="16" t="n"/>
      <c r="L1029" s="14">
        <f>IFERROR(IF(AND(IFERROR(INDEX(ERP資料!$A:$A, (MATCH(1028, 輔助計算!$G$2:$G$801, 0)+1)), "")&lt;&gt;"", IFERROR(INDEX(ERP資料!$A:$A, (MATCH(1028, 輔助計算!$G$2:$G$801, 0)+1)), "")&lt;&gt;IFERROR(INDEX(ERP資料!$A:$A, MATCH(1027, 輔助計算!$G$2:$G$801, 0)+1), "")), INDEX(ERP資料!$B:$B, (MATCH(1028, 輔助計算!$G$2:$G$801, 0)+1)), ""), "")</f>
        <v/>
      </c>
      <c r="M1029" s="17" t="n"/>
    </row>
    <row r="1030">
      <c r="A1030" s="10">
        <f>IFERROR(IF(AND(IFERROR(INDEX(ERP資料!$A:$A, (MATCH(1029, 輔助計算!$G$2:$G$801, 0)+1)), "")&lt;&gt;"", IFERROR(INDEX(ERP資料!$A:$A, (MATCH(1029, 輔助計算!$G$2:$G$801, 0)+1)), "")&lt;&gt;IFERROR(INDEX(ERP資料!$A:$A, MATCH(1028, 輔助計算!$G$2:$G$801, 0)+1), "")), IFERROR(INDEX(ERP資料!$A:$A, (MATCH(1029, 輔助計算!$G$2:$G$801, 0)+1)), ""), ""), "")</f>
        <v/>
      </c>
      <c r="B1030" s="10">
        <f>IFERROR(IF(AND(IFERROR(INDEX(ERP資料!$A:$A, (MATCH(1029, 輔助計算!$G$2:$G$801, 0)+1)), "")&lt;&gt;"", IFERROR(INDEX(ERP資料!$A:$A, (MATCH(1029, 輔助計算!$G$2:$G$801, 0)+1)), "")&lt;&gt;IFERROR(INDEX(ERP資料!$A:$A, MATCH(1028, 輔助計算!$G$2:$G$801, 0)+1), "")), INDEX(ERP資料!$S:$S, (MATCH(1029, 輔助計算!$G$2:$G$801, 0)+1)), ""), "")</f>
        <v/>
      </c>
      <c r="C1030" s="19">
        <f>IFERROR(IF(AND(IFERROR(INDEX(ERP資料!$A:$A, (MATCH(1029, 輔助計算!$G$2:$G$801, 0)+1)), "")&lt;&gt;"", IFERROR(INDEX(ERP資料!$A:$A, (MATCH(1029, 輔助計算!$G$2:$G$801, 0)+1)), "")&lt;&gt;IFERROR(INDEX(ERP資料!$A:$A, MATCH(1028, 輔助計算!$G$2:$G$801, 0)+1), "")), IFERROR(VLOOKUP(LEFT(INDEX(ERP資料!$S:$S, (MATCH(1029, 輔助計算!$G$2:$G$801, 0)+1)), 4), 紙管對照表!$A:$C, 3, FALSE), ""), ""), "")</f>
        <v/>
      </c>
      <c r="D1030" s="16" t="n"/>
      <c r="E1030" s="10">
        <f>IFERROR(IF(INDEX(ERP資料!$H:$H, (MATCH(1029, 輔助計算!$G$2:$G$801, 0)+1))="","",INDEX(ERP資料!$H:$H, (MATCH(1029, 輔助計算!$G$2:$G$801, 0)+1))), "")</f>
        <v/>
      </c>
      <c r="F1030" s="10">
        <f>IFERROR(IF(INDEX(ERP資料!$E:$E, (MATCH(1029, 輔助計算!$G$2:$G$801, 0)+1))="","",TRIM(INDEX(ERP資料!$E:$E, (MATCH(1029, 輔助計算!$G$2:$G$801, 0)+1)))), "")</f>
        <v/>
      </c>
      <c r="G1030" s="10">
        <f>IFERROR(IF(INDEX(ERP資料!$F:$F, (MATCH(1029, 輔助計算!$G$2:$G$801, 0)+1))="","",INDEX(ERP資料!$F:$F, (MATCH(1029, 輔助計算!$G$2:$G$801, 0)+1))), "")</f>
        <v/>
      </c>
      <c r="H1030" s="10">
        <f>IFERROR(IF(INDEX(ERP資料!$G:$G, (MATCH(1029, 輔助計算!$G$2:$G$801, 0)+1))="","",INDEX(ERP資料!$G:$G, (MATCH(1029, 輔助計算!$G$2:$G$801, 0)+1))), "")</f>
        <v/>
      </c>
      <c r="I1030" s="15">
        <f>IFERROR(INDEX(輔助計算!$D:$D, (MATCH(1029, 輔助計算!$G$2:$G$801, 0)+1)), "")</f>
        <v/>
      </c>
      <c r="J1030" s="15">
        <f>IFERROR(IF(AND(INDEX(輔助計算!$D:$D, (MATCH(1029, 輔助計算!$G$2:$G$801, 0)+1))&lt;&gt;"", INDEX(ERP資料!$G:$G, (MATCH(1029, 輔助計算!$G$2:$G$801, 0)+1))&lt;&gt;""), TRIM(IF(INT(INDEX(輔助計算!$D:$D, (MATCH(1029, 輔助計算!$G$2:$G$801, 0)+1))/IF(INDEX(ERP資料!$G:$G, (MATCH(1029, 輔助計算!$G$2:$G$801, 0)+1))&lt;100, IF(INDEX(ERP資料!$G:$G, (MATCH(1029, 輔助計算!$G$2:$G$801, 0)+1))&lt;=31,3,IF(INDEX(ERP資料!$G:$G, (MATCH(1029, 輔助計算!$G$2:$G$801, 0)+1))&lt;=46.5,2,1)), IF(INDEX(ERP資料!$G:$G, (MATCH(1029, 輔助計算!$G$2:$G$801, 0)+1))&lt;=790,3,IF(INDEX(ERP資料!$G:$G, (MATCH(1029, 輔助計算!$G$2:$G$801, 0)+1))&lt;=1181,2,1))))&gt;0, IF(IF(INDEX(ERP資料!$G:$G, (MATCH(1029, 輔助計算!$G$2:$G$801, 0)+1))&lt;100, IF(INDEX(ERP資料!$G:$G, (MATCH(1029, 輔助計算!$G$2:$G$801, 0)+1))&lt;=31,3,IF(INDEX(ERP資料!$G:$G, (MATCH(1029, 輔助計算!$G$2:$G$801, 0)+1))&lt;=46.5,2,1)), IF(INDEX(ERP資料!$G:$G, (MATCH(1029, 輔助計算!$G$2:$G$801, 0)+1))&lt;=790,3,IF(INDEX(ERP資料!$G:$G, (MATCH(1029, 輔助計算!$G$2:$G$801, 0)+1))&lt;=1181,2,1)))=1,TEXT(INDEX(ERP資料!$G:$G, (MATCH(1029, 輔助計算!$G$2:$G$801, 0)+1)),"0.##"),IF(IF(INDEX(ERP資料!$G:$G, (MATCH(1029, 輔助計算!$G$2:$G$801, 0)+1))&lt;100, IF(INDEX(ERP資料!$G:$G, (MATCH(1029, 輔助計算!$G$2:$G$801, 0)+1))&lt;=31,3,IF(INDEX(ERP資料!$G:$G, (MATCH(1029, 輔助計算!$G$2:$G$801, 0)+1))&lt;=46.5,2,1)), IF(INDEX(ERP資料!$G:$G, (MATCH(1029, 輔助計算!$G$2:$G$801, 0)+1))&lt;=790,3,IF(INDEX(ERP資料!$G:$G, (MATCH(1029, 輔助計算!$G$2:$G$801, 0)+1))&lt;=1181,2,1)))=2,TEXT(INDEX(ERP資料!$G:$G, (MATCH(1029, 輔助計算!$G$2:$G$801, 0)+1)),"0.##")&amp;"+"&amp;TEXT(INDEX(ERP資料!$G:$G, (MATCH(1029, 輔助計算!$G$2:$G$801, 0)+1)),"0.##"),TEXT(INDEX(ERP資料!$G:$G, (MATCH(1029, 輔助計算!$G$2:$G$801, 0)+1)),"0.##")&amp;"+"&amp;TEXT(INDEX(ERP資料!$G:$G, (MATCH(1029, 輔助計算!$G$2:$G$801, 0)+1)),"0.##")&amp;"+"&amp;TEXT(INDEX(ERP資料!$G:$G, (MATCH(1029, 輔助計算!$G$2:$G$801, 0)+1)),"0.##")))&amp;"-"&amp;INT(INDEX(輔助計算!$D:$D, (MATCH(1029, 輔助計算!$G$2:$G$801, 0)+1))/IF(INDEX(ERP資料!$G:$G, (MATCH(1029, 輔助計算!$G$2:$G$801, 0)+1))&lt;100, IF(INDEX(ERP資料!$G:$G, (MATCH(1029, 輔助計算!$G$2:$G$801, 0)+1))&lt;=31,3,IF(INDEX(ERP資料!$G:$G, (MATCH(1029, 輔助計算!$G$2:$G$801, 0)+1))&lt;=46.5,2,1)), IF(INDEX(ERP資料!$G:$G, (MATCH(1029, 輔助計算!$G$2:$G$801, 0)+1))&lt;=790,3,IF(INDEX(ERP資料!$G:$G, (MATCH(1029, 輔助計算!$G$2:$G$801, 0)+1))&lt;=1181,2,1)))), "")&amp;IF(AND(IF(INT(INDEX(輔助計算!$D:$D, (MATCH(1029, 輔助計算!$G$2:$G$801, 0)+1))/IF(INDEX(ERP資料!$G:$G, (MATCH(1029, 輔助計算!$G$2:$G$801, 0)+1))&lt;100, IF(INDEX(ERP資料!$G:$G, (MATCH(1029, 輔助計算!$G$2:$G$801, 0)+1))&lt;=31,3,IF(INDEX(ERP資料!$G:$G, (MATCH(1029, 輔助計算!$G$2:$G$801, 0)+1))&lt;=46.5,2,1)), IF(INDEX(ERP資料!$G:$G, (MATCH(1029, 輔助計算!$G$2:$G$801, 0)+1))&lt;=790,3,IF(INDEX(ERP資料!$G:$G, (MATCH(1029, 輔助計算!$G$2:$G$801, 0)+1))&lt;=1181,2,1))))&gt;0, IF(IF(INDEX(ERP資料!$G:$G, (MATCH(1029, 輔助計算!$G$2:$G$801, 0)+1))&lt;100, IF(INDEX(ERP資料!$G:$G, (MATCH(1029, 輔助計算!$G$2:$G$801, 0)+1))&lt;=31,3,IF(INDEX(ERP資料!$G:$G, (MATCH(1029, 輔助計算!$G$2:$G$801, 0)+1))&lt;=46.5,2,1)), IF(INDEX(ERP資料!$G:$G, (MATCH(1029, 輔助計算!$G$2:$G$801, 0)+1))&lt;=790,3,IF(INDEX(ERP資料!$G:$G, (MATCH(1029, 輔助計算!$G$2:$G$801, 0)+1))&lt;=1181,2,1)))=1,TEXT(INDEX(ERP資料!$G:$G, (MATCH(1029, 輔助計算!$G$2:$G$801, 0)+1)),"0.##"),IF(IF(INDEX(ERP資料!$G:$G, (MATCH(1029, 輔助計算!$G$2:$G$801, 0)+1))&lt;100, IF(INDEX(ERP資料!$G:$G, (MATCH(1029, 輔助計算!$G$2:$G$801, 0)+1))&lt;=31,3,IF(INDEX(ERP資料!$G:$G, (MATCH(1029, 輔助計算!$G$2:$G$801, 0)+1))&lt;=46.5,2,1)), IF(INDEX(ERP資料!$G:$G, (MATCH(1029, 輔助計算!$G$2:$G$801, 0)+1))&lt;=790,3,IF(INDEX(ERP資料!$G:$G, (MATCH(1029, 輔助計算!$G$2:$G$801, 0)+1))&lt;=1181,2,1)))=2,TEXT(INDEX(ERP資料!$G:$G, (MATCH(1029, 輔助計算!$G$2:$G$801, 0)+1)),"0.##")&amp;"+"&amp;TEXT(INDEX(ERP資料!$G:$G, (MATCH(1029, 輔助計算!$G$2:$G$801, 0)+1)),"0.##"),TEXT(INDEX(ERP資料!$G:$G, (MATCH(1029, 輔助計算!$G$2:$G$801, 0)+1)),"0.##")&amp;"+"&amp;TEXT(INDEX(ERP資料!$G:$G, (MATCH(1029, 輔助計算!$G$2:$G$801, 0)+1)),"0.##")&amp;"+"&amp;TEXT(INDEX(ERP資料!$G:$G, (MATCH(1029, 輔助計算!$G$2:$G$801, 0)+1)),"0.##")))&amp;"-"&amp;INT(INDEX(輔助計算!$D:$D, (MATCH(1029, 輔助計算!$G$2:$G$801, 0)+1))/IF(INDEX(ERP資料!$G:$G, (MATCH(1029, 輔助計算!$G$2:$G$801, 0)+1))&lt;100, IF(INDEX(ERP資料!$G:$G, (MATCH(1029, 輔助計算!$G$2:$G$801, 0)+1))&lt;=31,3,IF(INDEX(ERP資料!$G:$G, (MATCH(1029, 輔助計算!$G$2:$G$801, 0)+1))&lt;=46.5,2,1)), IF(INDEX(ERP資料!$G:$G, (MATCH(1029, 輔助計算!$G$2:$G$801, 0)+1))&lt;=790,3,IF(INDEX(ERP資料!$G:$G, (MATCH(1029, 輔助計算!$G$2:$G$801, 0)+1))&lt;=1181,2,1)))), "")&lt;&gt;"",IF(MOD(INDEX(輔助計算!$D:$D, (MATCH(1029, 輔助計算!$G$2:$G$801, 0)+1)),IF(INDEX(ERP資料!$G:$G, (MATCH(1029, 輔助計算!$G$2:$G$801, 0)+1))&lt;100, IF(INDEX(ERP資料!$G:$G, (MATCH(1029, 輔助計算!$G$2:$G$801, 0)+1))&lt;=31,3,IF(INDEX(ERP資料!$G:$G, (MATCH(1029, 輔助計算!$G$2:$G$801, 0)+1))&lt;=46.5,2,1)), IF(INDEX(ERP資料!$G:$G, (MATCH(1029, 輔助計算!$G$2:$G$801, 0)+1))&lt;=790,3,IF(INDEX(ERP資料!$G:$G, (MATCH(1029, 輔助計算!$G$2:$G$801, 0)+1))&lt;=1181,2,1))))=0,"",IF(MOD(INDEX(輔助計算!$D:$D, (MATCH(1029, 輔助計算!$G$2:$G$801, 0)+1)),IF(INDEX(ERP資料!$G:$G, (MATCH(1029, 輔助計算!$G$2:$G$801, 0)+1))&lt;100, IF(INDEX(ERP資料!$G:$G, (MATCH(1029, 輔助計算!$G$2:$G$801, 0)+1))&lt;=31,3,IF(INDEX(ERP資料!$G:$G, (MATCH(1029, 輔助計算!$G$2:$G$801, 0)+1))&lt;=46.5,2,1)), IF(INDEX(ERP資料!$G:$G, (MATCH(1029, 輔助計算!$G$2:$G$801, 0)+1))&lt;=790,3,IF(INDEX(ERP資料!$G:$G, (MATCH(1029, 輔助計算!$G$2:$G$801, 0)+1))&lt;=1181,2,1))))=0,"",IF(MOD(INDEX(輔助計算!$D:$D, (MATCH(1029, 輔助計算!$G$2:$G$801, 0)+1)),IF(INDEX(ERP資料!$G:$G, (MATCH(1029, 輔助計算!$G$2:$G$801, 0)+1))&lt;100, IF(INDEX(ERP資料!$G:$G, (MATCH(1029, 輔助計算!$G$2:$G$801, 0)+1))&lt;=31,3,IF(INDEX(ERP資料!$G:$G, (MATCH(1029, 輔助計算!$G$2:$G$801, 0)+1))&lt;=46.5,2,1)), IF(INDEX(ERP資料!$G:$G, (MATCH(1029, 輔助計算!$G$2:$G$801, 0)+1))&lt;=790,3,IF(INDEX(ERP資料!$G:$G, (MATCH(1029, 輔助計算!$G$2:$G$801, 0)+1))&lt;=1181,2,1))))=1,TEXT(INDEX(ERP資料!$G:$G, (MATCH(1029, 輔助計算!$G$2:$G$801, 0)+1)),"0.##"),IF(MOD(INDEX(輔助計算!$D:$D, (MATCH(1029, 輔助計算!$G$2:$G$801, 0)+1)),IF(INDEX(ERP資料!$G:$G, (MATCH(1029, 輔助計算!$G$2:$G$801, 0)+1))&lt;100, IF(INDEX(ERP資料!$G:$G, (MATCH(1029, 輔助計算!$G$2:$G$801, 0)+1))&lt;=31,3,IF(INDEX(ERP資料!$G:$G, (MATCH(1029, 輔助計算!$G$2:$G$801, 0)+1))&lt;=46.5,2,1)), IF(INDEX(ERP資料!$G:$G, (MATCH(1029, 輔助計算!$G$2:$G$801, 0)+1))&lt;=790,3,IF(INDEX(ERP資料!$G:$G, (MATCH(1029, 輔助計算!$G$2:$G$801, 0)+1))&lt;=1181,2,1))))=2,TEXT(INDEX(ERP資料!$G:$G, (MATCH(1029, 輔助計算!$G$2:$G$801, 0)+1)),"0.##")&amp;"+"&amp;TEXT(INDEX(ERP資料!$G:$G, (MATCH(1029, 輔助計算!$G$2:$G$801, 0)+1)),"0.##"),TEXT(INDEX(ERP資料!$G:$G, (MATCH(1029, 輔助計算!$G$2:$G$801, 0)+1)),"0.##")&amp;"+"&amp;TEXT(INDEX(ERP資料!$G:$G, (MATCH(1029, 輔助計算!$G$2:$G$801, 0)+1)),"0.##")&amp;"+"&amp;TEXT(INDEX(ERP資料!$G:$G, (MATCH(1029, 輔助計算!$G$2:$G$801, 0)+1)),"0.##"))))&amp;"-1")&lt;&gt;""),"  ","")&amp;IF(MOD(INDEX(輔助計算!$D:$D, (MATCH(1029, 輔助計算!$G$2:$G$801, 0)+1)),IF(INDEX(ERP資料!$G:$G, (MATCH(1029, 輔助計算!$G$2:$G$801, 0)+1))&lt;100, IF(INDEX(ERP資料!$G:$G, (MATCH(1029, 輔助計算!$G$2:$G$801, 0)+1))&lt;=31,3,IF(INDEX(ERP資料!$G:$G, (MATCH(1029, 輔助計算!$G$2:$G$801, 0)+1))&lt;=46.5,2,1)), IF(INDEX(ERP資料!$G:$G, (MATCH(1029, 輔助計算!$G$2:$G$801, 0)+1))&lt;=790,3,IF(INDEX(ERP資料!$G:$G, (MATCH(1029, 輔助計算!$G$2:$G$801, 0)+1))&lt;=1181,2,1))))=0,"",IF(MOD(INDEX(輔助計算!$D:$D, (MATCH(1029, 輔助計算!$G$2:$G$801, 0)+1)),IF(INDEX(ERP資料!$G:$G, (MATCH(1029, 輔助計算!$G$2:$G$801, 0)+1))&lt;100, IF(INDEX(ERP資料!$G:$G, (MATCH(1029, 輔助計算!$G$2:$G$801, 0)+1))&lt;=31,3,IF(INDEX(ERP資料!$G:$G, (MATCH(1029, 輔助計算!$G$2:$G$801, 0)+1))&lt;=46.5,2,1)), IF(INDEX(ERP資料!$G:$G, (MATCH(1029, 輔助計算!$G$2:$G$801, 0)+1))&lt;=790,3,IF(INDEX(ERP資料!$G:$G, (MATCH(1029, 輔助計算!$G$2:$G$801, 0)+1))&lt;=1181,2,1))))=0,"",IF(MOD(INDEX(輔助計算!$D:$D, (MATCH(1029, 輔助計算!$G$2:$G$801, 0)+1)),IF(INDEX(ERP資料!$G:$G, (MATCH(1029, 輔助計算!$G$2:$G$801, 0)+1))&lt;100, IF(INDEX(ERP資料!$G:$G, (MATCH(1029, 輔助計算!$G$2:$G$801, 0)+1))&lt;=31,3,IF(INDEX(ERP資料!$G:$G, (MATCH(1029, 輔助計算!$G$2:$G$801, 0)+1))&lt;=46.5,2,1)), IF(INDEX(ERP資料!$G:$G, (MATCH(1029, 輔助計算!$G$2:$G$801, 0)+1))&lt;=790,3,IF(INDEX(ERP資料!$G:$G, (MATCH(1029, 輔助計算!$G$2:$G$801, 0)+1))&lt;=1181,2,1))))=1,TEXT(INDEX(ERP資料!$G:$G, (MATCH(1029, 輔助計算!$G$2:$G$801, 0)+1)),"0.##"),IF(MOD(INDEX(輔助計算!$D:$D, (MATCH(1029, 輔助計算!$G$2:$G$801, 0)+1)),IF(INDEX(ERP資料!$G:$G, (MATCH(1029, 輔助計算!$G$2:$G$801, 0)+1))&lt;100, IF(INDEX(ERP資料!$G:$G, (MATCH(1029, 輔助計算!$G$2:$G$801, 0)+1))&lt;=31,3,IF(INDEX(ERP資料!$G:$G, (MATCH(1029, 輔助計算!$G$2:$G$801, 0)+1))&lt;=46.5,2,1)), IF(INDEX(ERP資料!$G:$G, (MATCH(1029, 輔助計算!$G$2:$G$801, 0)+1))&lt;=790,3,IF(INDEX(ERP資料!$G:$G, (MATCH(1029, 輔助計算!$G$2:$G$801, 0)+1))&lt;=1181,2,1))))=2,TEXT(INDEX(ERP資料!$G:$G, (MATCH(1029, 輔助計算!$G$2:$G$801, 0)+1)),"0.##")&amp;"+"&amp;TEXT(INDEX(ERP資料!$G:$G, (MATCH(1029, 輔助計算!$G$2:$G$801, 0)+1)),"0.##"),TEXT(INDEX(ERP資料!$G:$G, (MATCH(1029, 輔助計算!$G$2:$G$801, 0)+1)),"0.##")&amp;"+"&amp;TEXT(INDEX(ERP資料!$G:$G, (MATCH(1029, 輔助計算!$G$2:$G$801, 0)+1)),"0.##")&amp;"+"&amp;TEXT(INDEX(ERP資料!$G:$G, (MATCH(1029, 輔助計算!$G$2:$G$801, 0)+1)),"0.##"))))&amp;"-1")), ""), "")</f>
        <v/>
      </c>
      <c r="K1030" s="16" t="n"/>
      <c r="L1030" s="14">
        <f>IFERROR(IF(AND(IFERROR(INDEX(ERP資料!$A:$A, (MATCH(1029, 輔助計算!$G$2:$G$801, 0)+1)), "")&lt;&gt;"", IFERROR(INDEX(ERP資料!$A:$A, (MATCH(1029, 輔助計算!$G$2:$G$801, 0)+1)), "")&lt;&gt;IFERROR(INDEX(ERP資料!$A:$A, MATCH(1028, 輔助計算!$G$2:$G$801, 0)+1), "")), INDEX(ERP資料!$B:$B, (MATCH(1029, 輔助計算!$G$2:$G$801, 0)+1)), ""), "")</f>
        <v/>
      </c>
      <c r="M1030" s="17" t="n"/>
    </row>
    <row r="1031">
      <c r="A1031" s="10">
        <f>IFERROR(IF(AND(IFERROR(INDEX(ERP資料!$A:$A, (MATCH(1030, 輔助計算!$G$2:$G$801, 0)+1)), "")&lt;&gt;"", IFERROR(INDEX(ERP資料!$A:$A, (MATCH(1030, 輔助計算!$G$2:$G$801, 0)+1)), "")&lt;&gt;IFERROR(INDEX(ERP資料!$A:$A, MATCH(1029, 輔助計算!$G$2:$G$801, 0)+1), "")), IFERROR(INDEX(ERP資料!$A:$A, (MATCH(1030, 輔助計算!$G$2:$G$801, 0)+1)), ""), ""), "")</f>
        <v/>
      </c>
      <c r="B1031" s="10">
        <f>IFERROR(IF(AND(IFERROR(INDEX(ERP資料!$A:$A, (MATCH(1030, 輔助計算!$G$2:$G$801, 0)+1)), "")&lt;&gt;"", IFERROR(INDEX(ERP資料!$A:$A, (MATCH(1030, 輔助計算!$G$2:$G$801, 0)+1)), "")&lt;&gt;IFERROR(INDEX(ERP資料!$A:$A, MATCH(1029, 輔助計算!$G$2:$G$801, 0)+1), "")), INDEX(ERP資料!$S:$S, (MATCH(1030, 輔助計算!$G$2:$G$801, 0)+1)), ""), "")</f>
        <v/>
      </c>
      <c r="C1031" s="19">
        <f>IFERROR(IF(AND(IFERROR(INDEX(ERP資料!$A:$A, (MATCH(1030, 輔助計算!$G$2:$G$801, 0)+1)), "")&lt;&gt;"", IFERROR(INDEX(ERP資料!$A:$A, (MATCH(1030, 輔助計算!$G$2:$G$801, 0)+1)), "")&lt;&gt;IFERROR(INDEX(ERP資料!$A:$A, MATCH(1029, 輔助計算!$G$2:$G$801, 0)+1), "")), IFERROR(VLOOKUP(LEFT(INDEX(ERP資料!$S:$S, (MATCH(1030, 輔助計算!$G$2:$G$801, 0)+1)), 4), 紙管對照表!$A:$C, 3, FALSE), ""), ""), "")</f>
        <v/>
      </c>
      <c r="D1031" s="16" t="n"/>
      <c r="E1031" s="10">
        <f>IFERROR(IF(INDEX(ERP資料!$H:$H, (MATCH(1030, 輔助計算!$G$2:$G$801, 0)+1))="","",INDEX(ERP資料!$H:$H, (MATCH(1030, 輔助計算!$G$2:$G$801, 0)+1))), "")</f>
        <v/>
      </c>
      <c r="F1031" s="10">
        <f>IFERROR(IF(INDEX(ERP資料!$E:$E, (MATCH(1030, 輔助計算!$G$2:$G$801, 0)+1))="","",TRIM(INDEX(ERP資料!$E:$E, (MATCH(1030, 輔助計算!$G$2:$G$801, 0)+1)))), "")</f>
        <v/>
      </c>
      <c r="G1031" s="10">
        <f>IFERROR(IF(INDEX(ERP資料!$F:$F, (MATCH(1030, 輔助計算!$G$2:$G$801, 0)+1))="","",INDEX(ERP資料!$F:$F, (MATCH(1030, 輔助計算!$G$2:$G$801, 0)+1))), "")</f>
        <v/>
      </c>
      <c r="H1031" s="10">
        <f>IFERROR(IF(INDEX(ERP資料!$G:$G, (MATCH(1030, 輔助計算!$G$2:$G$801, 0)+1))="","",INDEX(ERP資料!$G:$G, (MATCH(1030, 輔助計算!$G$2:$G$801, 0)+1))), "")</f>
        <v/>
      </c>
      <c r="I1031" s="15">
        <f>IFERROR(INDEX(輔助計算!$D:$D, (MATCH(1030, 輔助計算!$G$2:$G$801, 0)+1)), "")</f>
        <v/>
      </c>
      <c r="J1031" s="15">
        <f>IFERROR(IF(AND(INDEX(輔助計算!$D:$D, (MATCH(1030, 輔助計算!$G$2:$G$801, 0)+1))&lt;&gt;"", INDEX(ERP資料!$G:$G, (MATCH(1030, 輔助計算!$G$2:$G$801, 0)+1))&lt;&gt;""), TRIM(IF(INT(INDEX(輔助計算!$D:$D, (MATCH(1030, 輔助計算!$G$2:$G$801, 0)+1))/IF(INDEX(ERP資料!$G:$G, (MATCH(1030, 輔助計算!$G$2:$G$801, 0)+1))&lt;100, IF(INDEX(ERP資料!$G:$G, (MATCH(1030, 輔助計算!$G$2:$G$801, 0)+1))&lt;=31,3,IF(INDEX(ERP資料!$G:$G, (MATCH(1030, 輔助計算!$G$2:$G$801, 0)+1))&lt;=46.5,2,1)), IF(INDEX(ERP資料!$G:$G, (MATCH(1030, 輔助計算!$G$2:$G$801, 0)+1))&lt;=790,3,IF(INDEX(ERP資料!$G:$G, (MATCH(1030, 輔助計算!$G$2:$G$801, 0)+1))&lt;=1181,2,1))))&gt;0, IF(IF(INDEX(ERP資料!$G:$G, (MATCH(1030, 輔助計算!$G$2:$G$801, 0)+1))&lt;100, IF(INDEX(ERP資料!$G:$G, (MATCH(1030, 輔助計算!$G$2:$G$801, 0)+1))&lt;=31,3,IF(INDEX(ERP資料!$G:$G, (MATCH(1030, 輔助計算!$G$2:$G$801, 0)+1))&lt;=46.5,2,1)), IF(INDEX(ERP資料!$G:$G, (MATCH(1030, 輔助計算!$G$2:$G$801, 0)+1))&lt;=790,3,IF(INDEX(ERP資料!$G:$G, (MATCH(1030, 輔助計算!$G$2:$G$801, 0)+1))&lt;=1181,2,1)))=1,TEXT(INDEX(ERP資料!$G:$G, (MATCH(1030, 輔助計算!$G$2:$G$801, 0)+1)),"0.##"),IF(IF(INDEX(ERP資料!$G:$G, (MATCH(1030, 輔助計算!$G$2:$G$801, 0)+1))&lt;100, IF(INDEX(ERP資料!$G:$G, (MATCH(1030, 輔助計算!$G$2:$G$801, 0)+1))&lt;=31,3,IF(INDEX(ERP資料!$G:$G, (MATCH(1030, 輔助計算!$G$2:$G$801, 0)+1))&lt;=46.5,2,1)), IF(INDEX(ERP資料!$G:$G, (MATCH(1030, 輔助計算!$G$2:$G$801, 0)+1))&lt;=790,3,IF(INDEX(ERP資料!$G:$G, (MATCH(1030, 輔助計算!$G$2:$G$801, 0)+1))&lt;=1181,2,1)))=2,TEXT(INDEX(ERP資料!$G:$G, (MATCH(1030, 輔助計算!$G$2:$G$801, 0)+1)),"0.##")&amp;"+"&amp;TEXT(INDEX(ERP資料!$G:$G, (MATCH(1030, 輔助計算!$G$2:$G$801, 0)+1)),"0.##"),TEXT(INDEX(ERP資料!$G:$G, (MATCH(1030, 輔助計算!$G$2:$G$801, 0)+1)),"0.##")&amp;"+"&amp;TEXT(INDEX(ERP資料!$G:$G, (MATCH(1030, 輔助計算!$G$2:$G$801, 0)+1)),"0.##")&amp;"+"&amp;TEXT(INDEX(ERP資料!$G:$G, (MATCH(1030, 輔助計算!$G$2:$G$801, 0)+1)),"0.##")))&amp;"-"&amp;INT(INDEX(輔助計算!$D:$D, (MATCH(1030, 輔助計算!$G$2:$G$801, 0)+1))/IF(INDEX(ERP資料!$G:$G, (MATCH(1030, 輔助計算!$G$2:$G$801, 0)+1))&lt;100, IF(INDEX(ERP資料!$G:$G, (MATCH(1030, 輔助計算!$G$2:$G$801, 0)+1))&lt;=31,3,IF(INDEX(ERP資料!$G:$G, (MATCH(1030, 輔助計算!$G$2:$G$801, 0)+1))&lt;=46.5,2,1)), IF(INDEX(ERP資料!$G:$G, (MATCH(1030, 輔助計算!$G$2:$G$801, 0)+1))&lt;=790,3,IF(INDEX(ERP資料!$G:$G, (MATCH(1030, 輔助計算!$G$2:$G$801, 0)+1))&lt;=1181,2,1)))), "")&amp;IF(AND(IF(INT(INDEX(輔助計算!$D:$D, (MATCH(1030, 輔助計算!$G$2:$G$801, 0)+1))/IF(INDEX(ERP資料!$G:$G, (MATCH(1030, 輔助計算!$G$2:$G$801, 0)+1))&lt;100, IF(INDEX(ERP資料!$G:$G, (MATCH(1030, 輔助計算!$G$2:$G$801, 0)+1))&lt;=31,3,IF(INDEX(ERP資料!$G:$G, (MATCH(1030, 輔助計算!$G$2:$G$801, 0)+1))&lt;=46.5,2,1)), IF(INDEX(ERP資料!$G:$G, (MATCH(1030, 輔助計算!$G$2:$G$801, 0)+1))&lt;=790,3,IF(INDEX(ERP資料!$G:$G, (MATCH(1030, 輔助計算!$G$2:$G$801, 0)+1))&lt;=1181,2,1))))&gt;0, IF(IF(INDEX(ERP資料!$G:$G, (MATCH(1030, 輔助計算!$G$2:$G$801, 0)+1))&lt;100, IF(INDEX(ERP資料!$G:$G, (MATCH(1030, 輔助計算!$G$2:$G$801, 0)+1))&lt;=31,3,IF(INDEX(ERP資料!$G:$G, (MATCH(1030, 輔助計算!$G$2:$G$801, 0)+1))&lt;=46.5,2,1)), IF(INDEX(ERP資料!$G:$G, (MATCH(1030, 輔助計算!$G$2:$G$801, 0)+1))&lt;=790,3,IF(INDEX(ERP資料!$G:$G, (MATCH(1030, 輔助計算!$G$2:$G$801, 0)+1))&lt;=1181,2,1)))=1,TEXT(INDEX(ERP資料!$G:$G, (MATCH(1030, 輔助計算!$G$2:$G$801, 0)+1)),"0.##"),IF(IF(INDEX(ERP資料!$G:$G, (MATCH(1030, 輔助計算!$G$2:$G$801, 0)+1))&lt;100, IF(INDEX(ERP資料!$G:$G, (MATCH(1030, 輔助計算!$G$2:$G$801, 0)+1))&lt;=31,3,IF(INDEX(ERP資料!$G:$G, (MATCH(1030, 輔助計算!$G$2:$G$801, 0)+1))&lt;=46.5,2,1)), IF(INDEX(ERP資料!$G:$G, (MATCH(1030, 輔助計算!$G$2:$G$801, 0)+1))&lt;=790,3,IF(INDEX(ERP資料!$G:$G, (MATCH(1030, 輔助計算!$G$2:$G$801, 0)+1))&lt;=1181,2,1)))=2,TEXT(INDEX(ERP資料!$G:$G, (MATCH(1030, 輔助計算!$G$2:$G$801, 0)+1)),"0.##")&amp;"+"&amp;TEXT(INDEX(ERP資料!$G:$G, (MATCH(1030, 輔助計算!$G$2:$G$801, 0)+1)),"0.##"),TEXT(INDEX(ERP資料!$G:$G, (MATCH(1030, 輔助計算!$G$2:$G$801, 0)+1)),"0.##")&amp;"+"&amp;TEXT(INDEX(ERP資料!$G:$G, (MATCH(1030, 輔助計算!$G$2:$G$801, 0)+1)),"0.##")&amp;"+"&amp;TEXT(INDEX(ERP資料!$G:$G, (MATCH(1030, 輔助計算!$G$2:$G$801, 0)+1)),"0.##")))&amp;"-"&amp;INT(INDEX(輔助計算!$D:$D, (MATCH(1030, 輔助計算!$G$2:$G$801, 0)+1))/IF(INDEX(ERP資料!$G:$G, (MATCH(1030, 輔助計算!$G$2:$G$801, 0)+1))&lt;100, IF(INDEX(ERP資料!$G:$G, (MATCH(1030, 輔助計算!$G$2:$G$801, 0)+1))&lt;=31,3,IF(INDEX(ERP資料!$G:$G, (MATCH(1030, 輔助計算!$G$2:$G$801, 0)+1))&lt;=46.5,2,1)), IF(INDEX(ERP資料!$G:$G, (MATCH(1030, 輔助計算!$G$2:$G$801, 0)+1))&lt;=790,3,IF(INDEX(ERP資料!$G:$G, (MATCH(1030, 輔助計算!$G$2:$G$801, 0)+1))&lt;=1181,2,1)))), "")&lt;&gt;"",IF(MOD(INDEX(輔助計算!$D:$D, (MATCH(1030, 輔助計算!$G$2:$G$801, 0)+1)),IF(INDEX(ERP資料!$G:$G, (MATCH(1030, 輔助計算!$G$2:$G$801, 0)+1))&lt;100, IF(INDEX(ERP資料!$G:$G, (MATCH(1030, 輔助計算!$G$2:$G$801, 0)+1))&lt;=31,3,IF(INDEX(ERP資料!$G:$G, (MATCH(1030, 輔助計算!$G$2:$G$801, 0)+1))&lt;=46.5,2,1)), IF(INDEX(ERP資料!$G:$G, (MATCH(1030, 輔助計算!$G$2:$G$801, 0)+1))&lt;=790,3,IF(INDEX(ERP資料!$G:$G, (MATCH(1030, 輔助計算!$G$2:$G$801, 0)+1))&lt;=1181,2,1))))=0,"",IF(MOD(INDEX(輔助計算!$D:$D, (MATCH(1030, 輔助計算!$G$2:$G$801, 0)+1)),IF(INDEX(ERP資料!$G:$G, (MATCH(1030, 輔助計算!$G$2:$G$801, 0)+1))&lt;100, IF(INDEX(ERP資料!$G:$G, (MATCH(1030, 輔助計算!$G$2:$G$801, 0)+1))&lt;=31,3,IF(INDEX(ERP資料!$G:$G, (MATCH(1030, 輔助計算!$G$2:$G$801, 0)+1))&lt;=46.5,2,1)), IF(INDEX(ERP資料!$G:$G, (MATCH(1030, 輔助計算!$G$2:$G$801, 0)+1))&lt;=790,3,IF(INDEX(ERP資料!$G:$G, (MATCH(1030, 輔助計算!$G$2:$G$801, 0)+1))&lt;=1181,2,1))))=0,"",IF(MOD(INDEX(輔助計算!$D:$D, (MATCH(1030, 輔助計算!$G$2:$G$801, 0)+1)),IF(INDEX(ERP資料!$G:$G, (MATCH(1030, 輔助計算!$G$2:$G$801, 0)+1))&lt;100, IF(INDEX(ERP資料!$G:$G, (MATCH(1030, 輔助計算!$G$2:$G$801, 0)+1))&lt;=31,3,IF(INDEX(ERP資料!$G:$G, (MATCH(1030, 輔助計算!$G$2:$G$801, 0)+1))&lt;=46.5,2,1)), IF(INDEX(ERP資料!$G:$G, (MATCH(1030, 輔助計算!$G$2:$G$801, 0)+1))&lt;=790,3,IF(INDEX(ERP資料!$G:$G, (MATCH(1030, 輔助計算!$G$2:$G$801, 0)+1))&lt;=1181,2,1))))=1,TEXT(INDEX(ERP資料!$G:$G, (MATCH(1030, 輔助計算!$G$2:$G$801, 0)+1)),"0.##"),IF(MOD(INDEX(輔助計算!$D:$D, (MATCH(1030, 輔助計算!$G$2:$G$801, 0)+1)),IF(INDEX(ERP資料!$G:$G, (MATCH(1030, 輔助計算!$G$2:$G$801, 0)+1))&lt;100, IF(INDEX(ERP資料!$G:$G, (MATCH(1030, 輔助計算!$G$2:$G$801, 0)+1))&lt;=31,3,IF(INDEX(ERP資料!$G:$G, (MATCH(1030, 輔助計算!$G$2:$G$801, 0)+1))&lt;=46.5,2,1)), IF(INDEX(ERP資料!$G:$G, (MATCH(1030, 輔助計算!$G$2:$G$801, 0)+1))&lt;=790,3,IF(INDEX(ERP資料!$G:$G, (MATCH(1030, 輔助計算!$G$2:$G$801, 0)+1))&lt;=1181,2,1))))=2,TEXT(INDEX(ERP資料!$G:$G, (MATCH(1030, 輔助計算!$G$2:$G$801, 0)+1)),"0.##")&amp;"+"&amp;TEXT(INDEX(ERP資料!$G:$G, (MATCH(1030, 輔助計算!$G$2:$G$801, 0)+1)),"0.##"),TEXT(INDEX(ERP資料!$G:$G, (MATCH(1030, 輔助計算!$G$2:$G$801, 0)+1)),"0.##")&amp;"+"&amp;TEXT(INDEX(ERP資料!$G:$G, (MATCH(1030, 輔助計算!$G$2:$G$801, 0)+1)),"0.##")&amp;"+"&amp;TEXT(INDEX(ERP資料!$G:$G, (MATCH(1030, 輔助計算!$G$2:$G$801, 0)+1)),"0.##"))))&amp;"-1")&lt;&gt;""),"  ","")&amp;IF(MOD(INDEX(輔助計算!$D:$D, (MATCH(1030, 輔助計算!$G$2:$G$801, 0)+1)),IF(INDEX(ERP資料!$G:$G, (MATCH(1030, 輔助計算!$G$2:$G$801, 0)+1))&lt;100, IF(INDEX(ERP資料!$G:$G, (MATCH(1030, 輔助計算!$G$2:$G$801, 0)+1))&lt;=31,3,IF(INDEX(ERP資料!$G:$G, (MATCH(1030, 輔助計算!$G$2:$G$801, 0)+1))&lt;=46.5,2,1)), IF(INDEX(ERP資料!$G:$G, (MATCH(1030, 輔助計算!$G$2:$G$801, 0)+1))&lt;=790,3,IF(INDEX(ERP資料!$G:$G, (MATCH(1030, 輔助計算!$G$2:$G$801, 0)+1))&lt;=1181,2,1))))=0,"",IF(MOD(INDEX(輔助計算!$D:$D, (MATCH(1030, 輔助計算!$G$2:$G$801, 0)+1)),IF(INDEX(ERP資料!$G:$G, (MATCH(1030, 輔助計算!$G$2:$G$801, 0)+1))&lt;100, IF(INDEX(ERP資料!$G:$G, (MATCH(1030, 輔助計算!$G$2:$G$801, 0)+1))&lt;=31,3,IF(INDEX(ERP資料!$G:$G, (MATCH(1030, 輔助計算!$G$2:$G$801, 0)+1))&lt;=46.5,2,1)), IF(INDEX(ERP資料!$G:$G, (MATCH(1030, 輔助計算!$G$2:$G$801, 0)+1))&lt;=790,3,IF(INDEX(ERP資料!$G:$G, (MATCH(1030, 輔助計算!$G$2:$G$801, 0)+1))&lt;=1181,2,1))))=0,"",IF(MOD(INDEX(輔助計算!$D:$D, (MATCH(1030, 輔助計算!$G$2:$G$801, 0)+1)),IF(INDEX(ERP資料!$G:$G, (MATCH(1030, 輔助計算!$G$2:$G$801, 0)+1))&lt;100, IF(INDEX(ERP資料!$G:$G, (MATCH(1030, 輔助計算!$G$2:$G$801, 0)+1))&lt;=31,3,IF(INDEX(ERP資料!$G:$G, (MATCH(1030, 輔助計算!$G$2:$G$801, 0)+1))&lt;=46.5,2,1)), IF(INDEX(ERP資料!$G:$G, (MATCH(1030, 輔助計算!$G$2:$G$801, 0)+1))&lt;=790,3,IF(INDEX(ERP資料!$G:$G, (MATCH(1030, 輔助計算!$G$2:$G$801, 0)+1))&lt;=1181,2,1))))=1,TEXT(INDEX(ERP資料!$G:$G, (MATCH(1030, 輔助計算!$G$2:$G$801, 0)+1)),"0.##"),IF(MOD(INDEX(輔助計算!$D:$D, (MATCH(1030, 輔助計算!$G$2:$G$801, 0)+1)),IF(INDEX(ERP資料!$G:$G, (MATCH(1030, 輔助計算!$G$2:$G$801, 0)+1))&lt;100, IF(INDEX(ERP資料!$G:$G, (MATCH(1030, 輔助計算!$G$2:$G$801, 0)+1))&lt;=31,3,IF(INDEX(ERP資料!$G:$G, (MATCH(1030, 輔助計算!$G$2:$G$801, 0)+1))&lt;=46.5,2,1)), IF(INDEX(ERP資料!$G:$G, (MATCH(1030, 輔助計算!$G$2:$G$801, 0)+1))&lt;=790,3,IF(INDEX(ERP資料!$G:$G, (MATCH(1030, 輔助計算!$G$2:$G$801, 0)+1))&lt;=1181,2,1))))=2,TEXT(INDEX(ERP資料!$G:$G, (MATCH(1030, 輔助計算!$G$2:$G$801, 0)+1)),"0.##")&amp;"+"&amp;TEXT(INDEX(ERP資料!$G:$G, (MATCH(1030, 輔助計算!$G$2:$G$801, 0)+1)),"0.##"),TEXT(INDEX(ERP資料!$G:$G, (MATCH(1030, 輔助計算!$G$2:$G$801, 0)+1)),"0.##")&amp;"+"&amp;TEXT(INDEX(ERP資料!$G:$G, (MATCH(1030, 輔助計算!$G$2:$G$801, 0)+1)),"0.##")&amp;"+"&amp;TEXT(INDEX(ERP資料!$G:$G, (MATCH(1030, 輔助計算!$G$2:$G$801, 0)+1)),"0.##"))))&amp;"-1")), ""), "")</f>
        <v/>
      </c>
      <c r="K1031" s="16" t="n"/>
      <c r="L1031" s="14">
        <f>IFERROR(IF(AND(IFERROR(INDEX(ERP資料!$A:$A, (MATCH(1030, 輔助計算!$G$2:$G$801, 0)+1)), "")&lt;&gt;"", IFERROR(INDEX(ERP資料!$A:$A, (MATCH(1030, 輔助計算!$G$2:$G$801, 0)+1)), "")&lt;&gt;IFERROR(INDEX(ERP資料!$A:$A, MATCH(1029, 輔助計算!$G$2:$G$801, 0)+1), "")), INDEX(ERP資料!$B:$B, (MATCH(1030, 輔助計算!$G$2:$G$801, 0)+1)), ""), "")</f>
        <v/>
      </c>
      <c r="M1031" s="17" t="n"/>
    </row>
    <row r="1032">
      <c r="A1032" s="10">
        <f>IFERROR(IF(AND(IFERROR(INDEX(ERP資料!$A:$A, (MATCH(1031, 輔助計算!$G$2:$G$801, 0)+1)), "")&lt;&gt;"", IFERROR(INDEX(ERP資料!$A:$A, (MATCH(1031, 輔助計算!$G$2:$G$801, 0)+1)), "")&lt;&gt;IFERROR(INDEX(ERP資料!$A:$A, MATCH(1030, 輔助計算!$G$2:$G$801, 0)+1), "")), IFERROR(INDEX(ERP資料!$A:$A, (MATCH(1031, 輔助計算!$G$2:$G$801, 0)+1)), ""), ""), "")</f>
        <v/>
      </c>
      <c r="B1032" s="10">
        <f>IFERROR(IF(AND(IFERROR(INDEX(ERP資料!$A:$A, (MATCH(1031, 輔助計算!$G$2:$G$801, 0)+1)), "")&lt;&gt;"", IFERROR(INDEX(ERP資料!$A:$A, (MATCH(1031, 輔助計算!$G$2:$G$801, 0)+1)), "")&lt;&gt;IFERROR(INDEX(ERP資料!$A:$A, MATCH(1030, 輔助計算!$G$2:$G$801, 0)+1), "")), INDEX(ERP資料!$S:$S, (MATCH(1031, 輔助計算!$G$2:$G$801, 0)+1)), ""), "")</f>
        <v/>
      </c>
      <c r="C1032" s="19">
        <f>IFERROR(IF(AND(IFERROR(INDEX(ERP資料!$A:$A, (MATCH(1031, 輔助計算!$G$2:$G$801, 0)+1)), "")&lt;&gt;"", IFERROR(INDEX(ERP資料!$A:$A, (MATCH(1031, 輔助計算!$G$2:$G$801, 0)+1)), "")&lt;&gt;IFERROR(INDEX(ERP資料!$A:$A, MATCH(1030, 輔助計算!$G$2:$G$801, 0)+1), "")), IFERROR(VLOOKUP(LEFT(INDEX(ERP資料!$S:$S, (MATCH(1031, 輔助計算!$G$2:$G$801, 0)+1)), 4), 紙管對照表!$A:$C, 3, FALSE), ""), ""), "")</f>
        <v/>
      </c>
      <c r="D1032" s="16" t="n"/>
      <c r="E1032" s="10">
        <f>IFERROR(IF(INDEX(ERP資料!$H:$H, (MATCH(1031, 輔助計算!$G$2:$G$801, 0)+1))="","",INDEX(ERP資料!$H:$H, (MATCH(1031, 輔助計算!$G$2:$G$801, 0)+1))), "")</f>
        <v/>
      </c>
      <c r="F1032" s="10">
        <f>IFERROR(IF(INDEX(ERP資料!$E:$E, (MATCH(1031, 輔助計算!$G$2:$G$801, 0)+1))="","",TRIM(INDEX(ERP資料!$E:$E, (MATCH(1031, 輔助計算!$G$2:$G$801, 0)+1)))), "")</f>
        <v/>
      </c>
      <c r="G1032" s="10">
        <f>IFERROR(IF(INDEX(ERP資料!$F:$F, (MATCH(1031, 輔助計算!$G$2:$G$801, 0)+1))="","",INDEX(ERP資料!$F:$F, (MATCH(1031, 輔助計算!$G$2:$G$801, 0)+1))), "")</f>
        <v/>
      </c>
      <c r="H1032" s="10">
        <f>IFERROR(IF(INDEX(ERP資料!$G:$G, (MATCH(1031, 輔助計算!$G$2:$G$801, 0)+1))="","",INDEX(ERP資料!$G:$G, (MATCH(1031, 輔助計算!$G$2:$G$801, 0)+1))), "")</f>
        <v/>
      </c>
      <c r="I1032" s="15">
        <f>IFERROR(INDEX(輔助計算!$D:$D, (MATCH(1031, 輔助計算!$G$2:$G$801, 0)+1)), "")</f>
        <v/>
      </c>
      <c r="J1032" s="15">
        <f>IFERROR(IF(AND(INDEX(輔助計算!$D:$D, (MATCH(1031, 輔助計算!$G$2:$G$801, 0)+1))&lt;&gt;"", INDEX(ERP資料!$G:$G, (MATCH(1031, 輔助計算!$G$2:$G$801, 0)+1))&lt;&gt;""), TRIM(IF(INT(INDEX(輔助計算!$D:$D, (MATCH(1031, 輔助計算!$G$2:$G$801, 0)+1))/IF(INDEX(ERP資料!$G:$G, (MATCH(1031, 輔助計算!$G$2:$G$801, 0)+1))&lt;100, IF(INDEX(ERP資料!$G:$G, (MATCH(1031, 輔助計算!$G$2:$G$801, 0)+1))&lt;=31,3,IF(INDEX(ERP資料!$G:$G, (MATCH(1031, 輔助計算!$G$2:$G$801, 0)+1))&lt;=46.5,2,1)), IF(INDEX(ERP資料!$G:$G, (MATCH(1031, 輔助計算!$G$2:$G$801, 0)+1))&lt;=790,3,IF(INDEX(ERP資料!$G:$G, (MATCH(1031, 輔助計算!$G$2:$G$801, 0)+1))&lt;=1181,2,1))))&gt;0, IF(IF(INDEX(ERP資料!$G:$G, (MATCH(1031, 輔助計算!$G$2:$G$801, 0)+1))&lt;100, IF(INDEX(ERP資料!$G:$G, (MATCH(1031, 輔助計算!$G$2:$G$801, 0)+1))&lt;=31,3,IF(INDEX(ERP資料!$G:$G, (MATCH(1031, 輔助計算!$G$2:$G$801, 0)+1))&lt;=46.5,2,1)), IF(INDEX(ERP資料!$G:$G, (MATCH(1031, 輔助計算!$G$2:$G$801, 0)+1))&lt;=790,3,IF(INDEX(ERP資料!$G:$G, (MATCH(1031, 輔助計算!$G$2:$G$801, 0)+1))&lt;=1181,2,1)))=1,TEXT(INDEX(ERP資料!$G:$G, (MATCH(1031, 輔助計算!$G$2:$G$801, 0)+1)),"0.##"),IF(IF(INDEX(ERP資料!$G:$G, (MATCH(1031, 輔助計算!$G$2:$G$801, 0)+1))&lt;100, IF(INDEX(ERP資料!$G:$G, (MATCH(1031, 輔助計算!$G$2:$G$801, 0)+1))&lt;=31,3,IF(INDEX(ERP資料!$G:$G, (MATCH(1031, 輔助計算!$G$2:$G$801, 0)+1))&lt;=46.5,2,1)), IF(INDEX(ERP資料!$G:$G, (MATCH(1031, 輔助計算!$G$2:$G$801, 0)+1))&lt;=790,3,IF(INDEX(ERP資料!$G:$G, (MATCH(1031, 輔助計算!$G$2:$G$801, 0)+1))&lt;=1181,2,1)))=2,TEXT(INDEX(ERP資料!$G:$G, (MATCH(1031, 輔助計算!$G$2:$G$801, 0)+1)),"0.##")&amp;"+"&amp;TEXT(INDEX(ERP資料!$G:$G, (MATCH(1031, 輔助計算!$G$2:$G$801, 0)+1)),"0.##"),TEXT(INDEX(ERP資料!$G:$G, (MATCH(1031, 輔助計算!$G$2:$G$801, 0)+1)),"0.##")&amp;"+"&amp;TEXT(INDEX(ERP資料!$G:$G, (MATCH(1031, 輔助計算!$G$2:$G$801, 0)+1)),"0.##")&amp;"+"&amp;TEXT(INDEX(ERP資料!$G:$G, (MATCH(1031, 輔助計算!$G$2:$G$801, 0)+1)),"0.##")))&amp;"-"&amp;INT(INDEX(輔助計算!$D:$D, (MATCH(1031, 輔助計算!$G$2:$G$801, 0)+1))/IF(INDEX(ERP資料!$G:$G, (MATCH(1031, 輔助計算!$G$2:$G$801, 0)+1))&lt;100, IF(INDEX(ERP資料!$G:$G, (MATCH(1031, 輔助計算!$G$2:$G$801, 0)+1))&lt;=31,3,IF(INDEX(ERP資料!$G:$G, (MATCH(1031, 輔助計算!$G$2:$G$801, 0)+1))&lt;=46.5,2,1)), IF(INDEX(ERP資料!$G:$G, (MATCH(1031, 輔助計算!$G$2:$G$801, 0)+1))&lt;=790,3,IF(INDEX(ERP資料!$G:$G, (MATCH(1031, 輔助計算!$G$2:$G$801, 0)+1))&lt;=1181,2,1)))), "")&amp;IF(AND(IF(INT(INDEX(輔助計算!$D:$D, (MATCH(1031, 輔助計算!$G$2:$G$801, 0)+1))/IF(INDEX(ERP資料!$G:$G, (MATCH(1031, 輔助計算!$G$2:$G$801, 0)+1))&lt;100, IF(INDEX(ERP資料!$G:$G, (MATCH(1031, 輔助計算!$G$2:$G$801, 0)+1))&lt;=31,3,IF(INDEX(ERP資料!$G:$G, (MATCH(1031, 輔助計算!$G$2:$G$801, 0)+1))&lt;=46.5,2,1)), IF(INDEX(ERP資料!$G:$G, (MATCH(1031, 輔助計算!$G$2:$G$801, 0)+1))&lt;=790,3,IF(INDEX(ERP資料!$G:$G, (MATCH(1031, 輔助計算!$G$2:$G$801, 0)+1))&lt;=1181,2,1))))&gt;0, IF(IF(INDEX(ERP資料!$G:$G, (MATCH(1031, 輔助計算!$G$2:$G$801, 0)+1))&lt;100, IF(INDEX(ERP資料!$G:$G, (MATCH(1031, 輔助計算!$G$2:$G$801, 0)+1))&lt;=31,3,IF(INDEX(ERP資料!$G:$G, (MATCH(1031, 輔助計算!$G$2:$G$801, 0)+1))&lt;=46.5,2,1)), IF(INDEX(ERP資料!$G:$G, (MATCH(1031, 輔助計算!$G$2:$G$801, 0)+1))&lt;=790,3,IF(INDEX(ERP資料!$G:$G, (MATCH(1031, 輔助計算!$G$2:$G$801, 0)+1))&lt;=1181,2,1)))=1,TEXT(INDEX(ERP資料!$G:$G, (MATCH(1031, 輔助計算!$G$2:$G$801, 0)+1)),"0.##"),IF(IF(INDEX(ERP資料!$G:$G, (MATCH(1031, 輔助計算!$G$2:$G$801, 0)+1))&lt;100, IF(INDEX(ERP資料!$G:$G, (MATCH(1031, 輔助計算!$G$2:$G$801, 0)+1))&lt;=31,3,IF(INDEX(ERP資料!$G:$G, (MATCH(1031, 輔助計算!$G$2:$G$801, 0)+1))&lt;=46.5,2,1)), IF(INDEX(ERP資料!$G:$G, (MATCH(1031, 輔助計算!$G$2:$G$801, 0)+1))&lt;=790,3,IF(INDEX(ERP資料!$G:$G, (MATCH(1031, 輔助計算!$G$2:$G$801, 0)+1))&lt;=1181,2,1)))=2,TEXT(INDEX(ERP資料!$G:$G, (MATCH(1031, 輔助計算!$G$2:$G$801, 0)+1)),"0.##")&amp;"+"&amp;TEXT(INDEX(ERP資料!$G:$G, (MATCH(1031, 輔助計算!$G$2:$G$801, 0)+1)),"0.##"),TEXT(INDEX(ERP資料!$G:$G, (MATCH(1031, 輔助計算!$G$2:$G$801, 0)+1)),"0.##")&amp;"+"&amp;TEXT(INDEX(ERP資料!$G:$G, (MATCH(1031, 輔助計算!$G$2:$G$801, 0)+1)),"0.##")&amp;"+"&amp;TEXT(INDEX(ERP資料!$G:$G, (MATCH(1031, 輔助計算!$G$2:$G$801, 0)+1)),"0.##")))&amp;"-"&amp;INT(INDEX(輔助計算!$D:$D, (MATCH(1031, 輔助計算!$G$2:$G$801, 0)+1))/IF(INDEX(ERP資料!$G:$G, (MATCH(1031, 輔助計算!$G$2:$G$801, 0)+1))&lt;100, IF(INDEX(ERP資料!$G:$G, (MATCH(1031, 輔助計算!$G$2:$G$801, 0)+1))&lt;=31,3,IF(INDEX(ERP資料!$G:$G, (MATCH(1031, 輔助計算!$G$2:$G$801, 0)+1))&lt;=46.5,2,1)), IF(INDEX(ERP資料!$G:$G, (MATCH(1031, 輔助計算!$G$2:$G$801, 0)+1))&lt;=790,3,IF(INDEX(ERP資料!$G:$G, (MATCH(1031, 輔助計算!$G$2:$G$801, 0)+1))&lt;=1181,2,1)))), "")&lt;&gt;"",IF(MOD(INDEX(輔助計算!$D:$D, (MATCH(1031, 輔助計算!$G$2:$G$801, 0)+1)),IF(INDEX(ERP資料!$G:$G, (MATCH(1031, 輔助計算!$G$2:$G$801, 0)+1))&lt;100, IF(INDEX(ERP資料!$G:$G, (MATCH(1031, 輔助計算!$G$2:$G$801, 0)+1))&lt;=31,3,IF(INDEX(ERP資料!$G:$G, (MATCH(1031, 輔助計算!$G$2:$G$801, 0)+1))&lt;=46.5,2,1)), IF(INDEX(ERP資料!$G:$G, (MATCH(1031, 輔助計算!$G$2:$G$801, 0)+1))&lt;=790,3,IF(INDEX(ERP資料!$G:$G, (MATCH(1031, 輔助計算!$G$2:$G$801, 0)+1))&lt;=1181,2,1))))=0,"",IF(MOD(INDEX(輔助計算!$D:$D, (MATCH(1031, 輔助計算!$G$2:$G$801, 0)+1)),IF(INDEX(ERP資料!$G:$G, (MATCH(1031, 輔助計算!$G$2:$G$801, 0)+1))&lt;100, IF(INDEX(ERP資料!$G:$G, (MATCH(1031, 輔助計算!$G$2:$G$801, 0)+1))&lt;=31,3,IF(INDEX(ERP資料!$G:$G, (MATCH(1031, 輔助計算!$G$2:$G$801, 0)+1))&lt;=46.5,2,1)), IF(INDEX(ERP資料!$G:$G, (MATCH(1031, 輔助計算!$G$2:$G$801, 0)+1))&lt;=790,3,IF(INDEX(ERP資料!$G:$G, (MATCH(1031, 輔助計算!$G$2:$G$801, 0)+1))&lt;=1181,2,1))))=0,"",IF(MOD(INDEX(輔助計算!$D:$D, (MATCH(1031, 輔助計算!$G$2:$G$801, 0)+1)),IF(INDEX(ERP資料!$G:$G, (MATCH(1031, 輔助計算!$G$2:$G$801, 0)+1))&lt;100, IF(INDEX(ERP資料!$G:$G, (MATCH(1031, 輔助計算!$G$2:$G$801, 0)+1))&lt;=31,3,IF(INDEX(ERP資料!$G:$G, (MATCH(1031, 輔助計算!$G$2:$G$801, 0)+1))&lt;=46.5,2,1)), IF(INDEX(ERP資料!$G:$G, (MATCH(1031, 輔助計算!$G$2:$G$801, 0)+1))&lt;=790,3,IF(INDEX(ERP資料!$G:$G, (MATCH(1031, 輔助計算!$G$2:$G$801, 0)+1))&lt;=1181,2,1))))=1,TEXT(INDEX(ERP資料!$G:$G, (MATCH(1031, 輔助計算!$G$2:$G$801, 0)+1)),"0.##"),IF(MOD(INDEX(輔助計算!$D:$D, (MATCH(1031, 輔助計算!$G$2:$G$801, 0)+1)),IF(INDEX(ERP資料!$G:$G, (MATCH(1031, 輔助計算!$G$2:$G$801, 0)+1))&lt;100, IF(INDEX(ERP資料!$G:$G, (MATCH(1031, 輔助計算!$G$2:$G$801, 0)+1))&lt;=31,3,IF(INDEX(ERP資料!$G:$G, (MATCH(1031, 輔助計算!$G$2:$G$801, 0)+1))&lt;=46.5,2,1)), IF(INDEX(ERP資料!$G:$G, (MATCH(1031, 輔助計算!$G$2:$G$801, 0)+1))&lt;=790,3,IF(INDEX(ERP資料!$G:$G, (MATCH(1031, 輔助計算!$G$2:$G$801, 0)+1))&lt;=1181,2,1))))=2,TEXT(INDEX(ERP資料!$G:$G, (MATCH(1031, 輔助計算!$G$2:$G$801, 0)+1)),"0.##")&amp;"+"&amp;TEXT(INDEX(ERP資料!$G:$G, (MATCH(1031, 輔助計算!$G$2:$G$801, 0)+1)),"0.##"),TEXT(INDEX(ERP資料!$G:$G, (MATCH(1031, 輔助計算!$G$2:$G$801, 0)+1)),"0.##")&amp;"+"&amp;TEXT(INDEX(ERP資料!$G:$G, (MATCH(1031, 輔助計算!$G$2:$G$801, 0)+1)),"0.##")&amp;"+"&amp;TEXT(INDEX(ERP資料!$G:$G, (MATCH(1031, 輔助計算!$G$2:$G$801, 0)+1)),"0.##"))))&amp;"-1")&lt;&gt;""),"  ","")&amp;IF(MOD(INDEX(輔助計算!$D:$D, (MATCH(1031, 輔助計算!$G$2:$G$801, 0)+1)),IF(INDEX(ERP資料!$G:$G, (MATCH(1031, 輔助計算!$G$2:$G$801, 0)+1))&lt;100, IF(INDEX(ERP資料!$G:$G, (MATCH(1031, 輔助計算!$G$2:$G$801, 0)+1))&lt;=31,3,IF(INDEX(ERP資料!$G:$G, (MATCH(1031, 輔助計算!$G$2:$G$801, 0)+1))&lt;=46.5,2,1)), IF(INDEX(ERP資料!$G:$G, (MATCH(1031, 輔助計算!$G$2:$G$801, 0)+1))&lt;=790,3,IF(INDEX(ERP資料!$G:$G, (MATCH(1031, 輔助計算!$G$2:$G$801, 0)+1))&lt;=1181,2,1))))=0,"",IF(MOD(INDEX(輔助計算!$D:$D, (MATCH(1031, 輔助計算!$G$2:$G$801, 0)+1)),IF(INDEX(ERP資料!$G:$G, (MATCH(1031, 輔助計算!$G$2:$G$801, 0)+1))&lt;100, IF(INDEX(ERP資料!$G:$G, (MATCH(1031, 輔助計算!$G$2:$G$801, 0)+1))&lt;=31,3,IF(INDEX(ERP資料!$G:$G, (MATCH(1031, 輔助計算!$G$2:$G$801, 0)+1))&lt;=46.5,2,1)), IF(INDEX(ERP資料!$G:$G, (MATCH(1031, 輔助計算!$G$2:$G$801, 0)+1))&lt;=790,3,IF(INDEX(ERP資料!$G:$G, (MATCH(1031, 輔助計算!$G$2:$G$801, 0)+1))&lt;=1181,2,1))))=0,"",IF(MOD(INDEX(輔助計算!$D:$D, (MATCH(1031, 輔助計算!$G$2:$G$801, 0)+1)),IF(INDEX(ERP資料!$G:$G, (MATCH(1031, 輔助計算!$G$2:$G$801, 0)+1))&lt;100, IF(INDEX(ERP資料!$G:$G, (MATCH(1031, 輔助計算!$G$2:$G$801, 0)+1))&lt;=31,3,IF(INDEX(ERP資料!$G:$G, (MATCH(1031, 輔助計算!$G$2:$G$801, 0)+1))&lt;=46.5,2,1)), IF(INDEX(ERP資料!$G:$G, (MATCH(1031, 輔助計算!$G$2:$G$801, 0)+1))&lt;=790,3,IF(INDEX(ERP資料!$G:$G, (MATCH(1031, 輔助計算!$G$2:$G$801, 0)+1))&lt;=1181,2,1))))=1,TEXT(INDEX(ERP資料!$G:$G, (MATCH(1031, 輔助計算!$G$2:$G$801, 0)+1)),"0.##"),IF(MOD(INDEX(輔助計算!$D:$D, (MATCH(1031, 輔助計算!$G$2:$G$801, 0)+1)),IF(INDEX(ERP資料!$G:$G, (MATCH(1031, 輔助計算!$G$2:$G$801, 0)+1))&lt;100, IF(INDEX(ERP資料!$G:$G, (MATCH(1031, 輔助計算!$G$2:$G$801, 0)+1))&lt;=31,3,IF(INDEX(ERP資料!$G:$G, (MATCH(1031, 輔助計算!$G$2:$G$801, 0)+1))&lt;=46.5,2,1)), IF(INDEX(ERP資料!$G:$G, (MATCH(1031, 輔助計算!$G$2:$G$801, 0)+1))&lt;=790,3,IF(INDEX(ERP資料!$G:$G, (MATCH(1031, 輔助計算!$G$2:$G$801, 0)+1))&lt;=1181,2,1))))=2,TEXT(INDEX(ERP資料!$G:$G, (MATCH(1031, 輔助計算!$G$2:$G$801, 0)+1)),"0.##")&amp;"+"&amp;TEXT(INDEX(ERP資料!$G:$G, (MATCH(1031, 輔助計算!$G$2:$G$801, 0)+1)),"0.##"),TEXT(INDEX(ERP資料!$G:$G, (MATCH(1031, 輔助計算!$G$2:$G$801, 0)+1)),"0.##")&amp;"+"&amp;TEXT(INDEX(ERP資料!$G:$G, (MATCH(1031, 輔助計算!$G$2:$G$801, 0)+1)),"0.##")&amp;"+"&amp;TEXT(INDEX(ERP資料!$G:$G, (MATCH(1031, 輔助計算!$G$2:$G$801, 0)+1)),"0.##"))))&amp;"-1")), ""), "")</f>
        <v/>
      </c>
      <c r="K1032" s="16" t="n"/>
      <c r="L1032" s="14">
        <f>IFERROR(IF(AND(IFERROR(INDEX(ERP資料!$A:$A, (MATCH(1031, 輔助計算!$G$2:$G$801, 0)+1)), "")&lt;&gt;"", IFERROR(INDEX(ERP資料!$A:$A, (MATCH(1031, 輔助計算!$G$2:$G$801, 0)+1)), "")&lt;&gt;IFERROR(INDEX(ERP資料!$A:$A, MATCH(1030, 輔助計算!$G$2:$G$801, 0)+1), "")), INDEX(ERP資料!$B:$B, (MATCH(1031, 輔助計算!$G$2:$G$801, 0)+1)), ""), "")</f>
        <v/>
      </c>
      <c r="M1032" s="17" t="n"/>
    </row>
    <row r="1033">
      <c r="A1033" s="10">
        <f>IFERROR(IF(AND(IFERROR(INDEX(ERP資料!$A:$A, (MATCH(1032, 輔助計算!$G$2:$G$801, 0)+1)), "")&lt;&gt;"", IFERROR(INDEX(ERP資料!$A:$A, (MATCH(1032, 輔助計算!$G$2:$G$801, 0)+1)), "")&lt;&gt;IFERROR(INDEX(ERP資料!$A:$A, MATCH(1031, 輔助計算!$G$2:$G$801, 0)+1), "")), IFERROR(INDEX(ERP資料!$A:$A, (MATCH(1032, 輔助計算!$G$2:$G$801, 0)+1)), ""), ""), "")</f>
        <v/>
      </c>
      <c r="B1033" s="10">
        <f>IFERROR(IF(AND(IFERROR(INDEX(ERP資料!$A:$A, (MATCH(1032, 輔助計算!$G$2:$G$801, 0)+1)), "")&lt;&gt;"", IFERROR(INDEX(ERP資料!$A:$A, (MATCH(1032, 輔助計算!$G$2:$G$801, 0)+1)), "")&lt;&gt;IFERROR(INDEX(ERP資料!$A:$A, MATCH(1031, 輔助計算!$G$2:$G$801, 0)+1), "")), INDEX(ERP資料!$S:$S, (MATCH(1032, 輔助計算!$G$2:$G$801, 0)+1)), ""), "")</f>
        <v/>
      </c>
      <c r="C1033" s="19">
        <f>IFERROR(IF(AND(IFERROR(INDEX(ERP資料!$A:$A, (MATCH(1032, 輔助計算!$G$2:$G$801, 0)+1)), "")&lt;&gt;"", IFERROR(INDEX(ERP資料!$A:$A, (MATCH(1032, 輔助計算!$G$2:$G$801, 0)+1)), "")&lt;&gt;IFERROR(INDEX(ERP資料!$A:$A, MATCH(1031, 輔助計算!$G$2:$G$801, 0)+1), "")), IFERROR(VLOOKUP(LEFT(INDEX(ERP資料!$S:$S, (MATCH(1032, 輔助計算!$G$2:$G$801, 0)+1)), 4), 紙管對照表!$A:$C, 3, FALSE), ""), ""), "")</f>
        <v/>
      </c>
      <c r="D1033" s="16" t="n"/>
      <c r="E1033" s="10">
        <f>IFERROR(IF(INDEX(ERP資料!$H:$H, (MATCH(1032, 輔助計算!$G$2:$G$801, 0)+1))="","",INDEX(ERP資料!$H:$H, (MATCH(1032, 輔助計算!$G$2:$G$801, 0)+1))), "")</f>
        <v/>
      </c>
      <c r="F1033" s="10">
        <f>IFERROR(IF(INDEX(ERP資料!$E:$E, (MATCH(1032, 輔助計算!$G$2:$G$801, 0)+1))="","",TRIM(INDEX(ERP資料!$E:$E, (MATCH(1032, 輔助計算!$G$2:$G$801, 0)+1)))), "")</f>
        <v/>
      </c>
      <c r="G1033" s="10">
        <f>IFERROR(IF(INDEX(ERP資料!$F:$F, (MATCH(1032, 輔助計算!$G$2:$G$801, 0)+1))="","",INDEX(ERP資料!$F:$F, (MATCH(1032, 輔助計算!$G$2:$G$801, 0)+1))), "")</f>
        <v/>
      </c>
      <c r="H1033" s="10">
        <f>IFERROR(IF(INDEX(ERP資料!$G:$G, (MATCH(1032, 輔助計算!$G$2:$G$801, 0)+1))="","",INDEX(ERP資料!$G:$G, (MATCH(1032, 輔助計算!$G$2:$G$801, 0)+1))), "")</f>
        <v/>
      </c>
      <c r="I1033" s="15">
        <f>IFERROR(INDEX(輔助計算!$D:$D, (MATCH(1032, 輔助計算!$G$2:$G$801, 0)+1)), "")</f>
        <v/>
      </c>
      <c r="J1033" s="15">
        <f>IFERROR(IF(AND(INDEX(輔助計算!$D:$D, (MATCH(1032, 輔助計算!$G$2:$G$801, 0)+1))&lt;&gt;"", INDEX(ERP資料!$G:$G, (MATCH(1032, 輔助計算!$G$2:$G$801, 0)+1))&lt;&gt;""), TRIM(IF(INT(INDEX(輔助計算!$D:$D, (MATCH(1032, 輔助計算!$G$2:$G$801, 0)+1))/IF(INDEX(ERP資料!$G:$G, (MATCH(1032, 輔助計算!$G$2:$G$801, 0)+1))&lt;100, IF(INDEX(ERP資料!$G:$G, (MATCH(1032, 輔助計算!$G$2:$G$801, 0)+1))&lt;=31,3,IF(INDEX(ERP資料!$G:$G, (MATCH(1032, 輔助計算!$G$2:$G$801, 0)+1))&lt;=46.5,2,1)), IF(INDEX(ERP資料!$G:$G, (MATCH(1032, 輔助計算!$G$2:$G$801, 0)+1))&lt;=790,3,IF(INDEX(ERP資料!$G:$G, (MATCH(1032, 輔助計算!$G$2:$G$801, 0)+1))&lt;=1181,2,1))))&gt;0, IF(IF(INDEX(ERP資料!$G:$G, (MATCH(1032, 輔助計算!$G$2:$G$801, 0)+1))&lt;100, IF(INDEX(ERP資料!$G:$G, (MATCH(1032, 輔助計算!$G$2:$G$801, 0)+1))&lt;=31,3,IF(INDEX(ERP資料!$G:$G, (MATCH(1032, 輔助計算!$G$2:$G$801, 0)+1))&lt;=46.5,2,1)), IF(INDEX(ERP資料!$G:$G, (MATCH(1032, 輔助計算!$G$2:$G$801, 0)+1))&lt;=790,3,IF(INDEX(ERP資料!$G:$G, (MATCH(1032, 輔助計算!$G$2:$G$801, 0)+1))&lt;=1181,2,1)))=1,TEXT(INDEX(ERP資料!$G:$G, (MATCH(1032, 輔助計算!$G$2:$G$801, 0)+1)),"0.##"),IF(IF(INDEX(ERP資料!$G:$G, (MATCH(1032, 輔助計算!$G$2:$G$801, 0)+1))&lt;100, IF(INDEX(ERP資料!$G:$G, (MATCH(1032, 輔助計算!$G$2:$G$801, 0)+1))&lt;=31,3,IF(INDEX(ERP資料!$G:$G, (MATCH(1032, 輔助計算!$G$2:$G$801, 0)+1))&lt;=46.5,2,1)), IF(INDEX(ERP資料!$G:$G, (MATCH(1032, 輔助計算!$G$2:$G$801, 0)+1))&lt;=790,3,IF(INDEX(ERP資料!$G:$G, (MATCH(1032, 輔助計算!$G$2:$G$801, 0)+1))&lt;=1181,2,1)))=2,TEXT(INDEX(ERP資料!$G:$G, (MATCH(1032, 輔助計算!$G$2:$G$801, 0)+1)),"0.##")&amp;"+"&amp;TEXT(INDEX(ERP資料!$G:$G, (MATCH(1032, 輔助計算!$G$2:$G$801, 0)+1)),"0.##"),TEXT(INDEX(ERP資料!$G:$G, (MATCH(1032, 輔助計算!$G$2:$G$801, 0)+1)),"0.##")&amp;"+"&amp;TEXT(INDEX(ERP資料!$G:$G, (MATCH(1032, 輔助計算!$G$2:$G$801, 0)+1)),"0.##")&amp;"+"&amp;TEXT(INDEX(ERP資料!$G:$G, (MATCH(1032, 輔助計算!$G$2:$G$801, 0)+1)),"0.##")))&amp;"-"&amp;INT(INDEX(輔助計算!$D:$D, (MATCH(1032, 輔助計算!$G$2:$G$801, 0)+1))/IF(INDEX(ERP資料!$G:$G, (MATCH(1032, 輔助計算!$G$2:$G$801, 0)+1))&lt;100, IF(INDEX(ERP資料!$G:$G, (MATCH(1032, 輔助計算!$G$2:$G$801, 0)+1))&lt;=31,3,IF(INDEX(ERP資料!$G:$G, (MATCH(1032, 輔助計算!$G$2:$G$801, 0)+1))&lt;=46.5,2,1)), IF(INDEX(ERP資料!$G:$G, (MATCH(1032, 輔助計算!$G$2:$G$801, 0)+1))&lt;=790,3,IF(INDEX(ERP資料!$G:$G, (MATCH(1032, 輔助計算!$G$2:$G$801, 0)+1))&lt;=1181,2,1)))), "")&amp;IF(AND(IF(INT(INDEX(輔助計算!$D:$D, (MATCH(1032, 輔助計算!$G$2:$G$801, 0)+1))/IF(INDEX(ERP資料!$G:$G, (MATCH(1032, 輔助計算!$G$2:$G$801, 0)+1))&lt;100, IF(INDEX(ERP資料!$G:$G, (MATCH(1032, 輔助計算!$G$2:$G$801, 0)+1))&lt;=31,3,IF(INDEX(ERP資料!$G:$G, (MATCH(1032, 輔助計算!$G$2:$G$801, 0)+1))&lt;=46.5,2,1)), IF(INDEX(ERP資料!$G:$G, (MATCH(1032, 輔助計算!$G$2:$G$801, 0)+1))&lt;=790,3,IF(INDEX(ERP資料!$G:$G, (MATCH(1032, 輔助計算!$G$2:$G$801, 0)+1))&lt;=1181,2,1))))&gt;0, IF(IF(INDEX(ERP資料!$G:$G, (MATCH(1032, 輔助計算!$G$2:$G$801, 0)+1))&lt;100, IF(INDEX(ERP資料!$G:$G, (MATCH(1032, 輔助計算!$G$2:$G$801, 0)+1))&lt;=31,3,IF(INDEX(ERP資料!$G:$G, (MATCH(1032, 輔助計算!$G$2:$G$801, 0)+1))&lt;=46.5,2,1)), IF(INDEX(ERP資料!$G:$G, (MATCH(1032, 輔助計算!$G$2:$G$801, 0)+1))&lt;=790,3,IF(INDEX(ERP資料!$G:$G, (MATCH(1032, 輔助計算!$G$2:$G$801, 0)+1))&lt;=1181,2,1)))=1,TEXT(INDEX(ERP資料!$G:$G, (MATCH(1032, 輔助計算!$G$2:$G$801, 0)+1)),"0.##"),IF(IF(INDEX(ERP資料!$G:$G, (MATCH(1032, 輔助計算!$G$2:$G$801, 0)+1))&lt;100, IF(INDEX(ERP資料!$G:$G, (MATCH(1032, 輔助計算!$G$2:$G$801, 0)+1))&lt;=31,3,IF(INDEX(ERP資料!$G:$G, (MATCH(1032, 輔助計算!$G$2:$G$801, 0)+1))&lt;=46.5,2,1)), IF(INDEX(ERP資料!$G:$G, (MATCH(1032, 輔助計算!$G$2:$G$801, 0)+1))&lt;=790,3,IF(INDEX(ERP資料!$G:$G, (MATCH(1032, 輔助計算!$G$2:$G$801, 0)+1))&lt;=1181,2,1)))=2,TEXT(INDEX(ERP資料!$G:$G, (MATCH(1032, 輔助計算!$G$2:$G$801, 0)+1)),"0.##")&amp;"+"&amp;TEXT(INDEX(ERP資料!$G:$G, (MATCH(1032, 輔助計算!$G$2:$G$801, 0)+1)),"0.##"),TEXT(INDEX(ERP資料!$G:$G, (MATCH(1032, 輔助計算!$G$2:$G$801, 0)+1)),"0.##")&amp;"+"&amp;TEXT(INDEX(ERP資料!$G:$G, (MATCH(1032, 輔助計算!$G$2:$G$801, 0)+1)),"0.##")&amp;"+"&amp;TEXT(INDEX(ERP資料!$G:$G, (MATCH(1032, 輔助計算!$G$2:$G$801, 0)+1)),"0.##")))&amp;"-"&amp;INT(INDEX(輔助計算!$D:$D, (MATCH(1032, 輔助計算!$G$2:$G$801, 0)+1))/IF(INDEX(ERP資料!$G:$G, (MATCH(1032, 輔助計算!$G$2:$G$801, 0)+1))&lt;100, IF(INDEX(ERP資料!$G:$G, (MATCH(1032, 輔助計算!$G$2:$G$801, 0)+1))&lt;=31,3,IF(INDEX(ERP資料!$G:$G, (MATCH(1032, 輔助計算!$G$2:$G$801, 0)+1))&lt;=46.5,2,1)), IF(INDEX(ERP資料!$G:$G, (MATCH(1032, 輔助計算!$G$2:$G$801, 0)+1))&lt;=790,3,IF(INDEX(ERP資料!$G:$G, (MATCH(1032, 輔助計算!$G$2:$G$801, 0)+1))&lt;=1181,2,1)))), "")&lt;&gt;"",IF(MOD(INDEX(輔助計算!$D:$D, (MATCH(1032, 輔助計算!$G$2:$G$801, 0)+1)),IF(INDEX(ERP資料!$G:$G, (MATCH(1032, 輔助計算!$G$2:$G$801, 0)+1))&lt;100, IF(INDEX(ERP資料!$G:$G, (MATCH(1032, 輔助計算!$G$2:$G$801, 0)+1))&lt;=31,3,IF(INDEX(ERP資料!$G:$G, (MATCH(1032, 輔助計算!$G$2:$G$801, 0)+1))&lt;=46.5,2,1)), IF(INDEX(ERP資料!$G:$G, (MATCH(1032, 輔助計算!$G$2:$G$801, 0)+1))&lt;=790,3,IF(INDEX(ERP資料!$G:$G, (MATCH(1032, 輔助計算!$G$2:$G$801, 0)+1))&lt;=1181,2,1))))=0,"",IF(MOD(INDEX(輔助計算!$D:$D, (MATCH(1032, 輔助計算!$G$2:$G$801, 0)+1)),IF(INDEX(ERP資料!$G:$G, (MATCH(1032, 輔助計算!$G$2:$G$801, 0)+1))&lt;100, IF(INDEX(ERP資料!$G:$G, (MATCH(1032, 輔助計算!$G$2:$G$801, 0)+1))&lt;=31,3,IF(INDEX(ERP資料!$G:$G, (MATCH(1032, 輔助計算!$G$2:$G$801, 0)+1))&lt;=46.5,2,1)), IF(INDEX(ERP資料!$G:$G, (MATCH(1032, 輔助計算!$G$2:$G$801, 0)+1))&lt;=790,3,IF(INDEX(ERP資料!$G:$G, (MATCH(1032, 輔助計算!$G$2:$G$801, 0)+1))&lt;=1181,2,1))))=0,"",IF(MOD(INDEX(輔助計算!$D:$D, (MATCH(1032, 輔助計算!$G$2:$G$801, 0)+1)),IF(INDEX(ERP資料!$G:$G, (MATCH(1032, 輔助計算!$G$2:$G$801, 0)+1))&lt;100, IF(INDEX(ERP資料!$G:$G, (MATCH(1032, 輔助計算!$G$2:$G$801, 0)+1))&lt;=31,3,IF(INDEX(ERP資料!$G:$G, (MATCH(1032, 輔助計算!$G$2:$G$801, 0)+1))&lt;=46.5,2,1)), IF(INDEX(ERP資料!$G:$G, (MATCH(1032, 輔助計算!$G$2:$G$801, 0)+1))&lt;=790,3,IF(INDEX(ERP資料!$G:$G, (MATCH(1032, 輔助計算!$G$2:$G$801, 0)+1))&lt;=1181,2,1))))=1,TEXT(INDEX(ERP資料!$G:$G, (MATCH(1032, 輔助計算!$G$2:$G$801, 0)+1)),"0.##"),IF(MOD(INDEX(輔助計算!$D:$D, (MATCH(1032, 輔助計算!$G$2:$G$801, 0)+1)),IF(INDEX(ERP資料!$G:$G, (MATCH(1032, 輔助計算!$G$2:$G$801, 0)+1))&lt;100, IF(INDEX(ERP資料!$G:$G, (MATCH(1032, 輔助計算!$G$2:$G$801, 0)+1))&lt;=31,3,IF(INDEX(ERP資料!$G:$G, (MATCH(1032, 輔助計算!$G$2:$G$801, 0)+1))&lt;=46.5,2,1)), IF(INDEX(ERP資料!$G:$G, (MATCH(1032, 輔助計算!$G$2:$G$801, 0)+1))&lt;=790,3,IF(INDEX(ERP資料!$G:$G, (MATCH(1032, 輔助計算!$G$2:$G$801, 0)+1))&lt;=1181,2,1))))=2,TEXT(INDEX(ERP資料!$G:$G, (MATCH(1032, 輔助計算!$G$2:$G$801, 0)+1)),"0.##")&amp;"+"&amp;TEXT(INDEX(ERP資料!$G:$G, (MATCH(1032, 輔助計算!$G$2:$G$801, 0)+1)),"0.##"),TEXT(INDEX(ERP資料!$G:$G, (MATCH(1032, 輔助計算!$G$2:$G$801, 0)+1)),"0.##")&amp;"+"&amp;TEXT(INDEX(ERP資料!$G:$G, (MATCH(1032, 輔助計算!$G$2:$G$801, 0)+1)),"0.##")&amp;"+"&amp;TEXT(INDEX(ERP資料!$G:$G, (MATCH(1032, 輔助計算!$G$2:$G$801, 0)+1)),"0.##"))))&amp;"-1")&lt;&gt;""),"  ","")&amp;IF(MOD(INDEX(輔助計算!$D:$D, (MATCH(1032, 輔助計算!$G$2:$G$801, 0)+1)),IF(INDEX(ERP資料!$G:$G, (MATCH(1032, 輔助計算!$G$2:$G$801, 0)+1))&lt;100, IF(INDEX(ERP資料!$G:$G, (MATCH(1032, 輔助計算!$G$2:$G$801, 0)+1))&lt;=31,3,IF(INDEX(ERP資料!$G:$G, (MATCH(1032, 輔助計算!$G$2:$G$801, 0)+1))&lt;=46.5,2,1)), IF(INDEX(ERP資料!$G:$G, (MATCH(1032, 輔助計算!$G$2:$G$801, 0)+1))&lt;=790,3,IF(INDEX(ERP資料!$G:$G, (MATCH(1032, 輔助計算!$G$2:$G$801, 0)+1))&lt;=1181,2,1))))=0,"",IF(MOD(INDEX(輔助計算!$D:$D, (MATCH(1032, 輔助計算!$G$2:$G$801, 0)+1)),IF(INDEX(ERP資料!$G:$G, (MATCH(1032, 輔助計算!$G$2:$G$801, 0)+1))&lt;100, IF(INDEX(ERP資料!$G:$G, (MATCH(1032, 輔助計算!$G$2:$G$801, 0)+1))&lt;=31,3,IF(INDEX(ERP資料!$G:$G, (MATCH(1032, 輔助計算!$G$2:$G$801, 0)+1))&lt;=46.5,2,1)), IF(INDEX(ERP資料!$G:$G, (MATCH(1032, 輔助計算!$G$2:$G$801, 0)+1))&lt;=790,3,IF(INDEX(ERP資料!$G:$G, (MATCH(1032, 輔助計算!$G$2:$G$801, 0)+1))&lt;=1181,2,1))))=0,"",IF(MOD(INDEX(輔助計算!$D:$D, (MATCH(1032, 輔助計算!$G$2:$G$801, 0)+1)),IF(INDEX(ERP資料!$G:$G, (MATCH(1032, 輔助計算!$G$2:$G$801, 0)+1))&lt;100, IF(INDEX(ERP資料!$G:$G, (MATCH(1032, 輔助計算!$G$2:$G$801, 0)+1))&lt;=31,3,IF(INDEX(ERP資料!$G:$G, (MATCH(1032, 輔助計算!$G$2:$G$801, 0)+1))&lt;=46.5,2,1)), IF(INDEX(ERP資料!$G:$G, (MATCH(1032, 輔助計算!$G$2:$G$801, 0)+1))&lt;=790,3,IF(INDEX(ERP資料!$G:$G, (MATCH(1032, 輔助計算!$G$2:$G$801, 0)+1))&lt;=1181,2,1))))=1,TEXT(INDEX(ERP資料!$G:$G, (MATCH(1032, 輔助計算!$G$2:$G$801, 0)+1)),"0.##"),IF(MOD(INDEX(輔助計算!$D:$D, (MATCH(1032, 輔助計算!$G$2:$G$801, 0)+1)),IF(INDEX(ERP資料!$G:$G, (MATCH(1032, 輔助計算!$G$2:$G$801, 0)+1))&lt;100, IF(INDEX(ERP資料!$G:$G, (MATCH(1032, 輔助計算!$G$2:$G$801, 0)+1))&lt;=31,3,IF(INDEX(ERP資料!$G:$G, (MATCH(1032, 輔助計算!$G$2:$G$801, 0)+1))&lt;=46.5,2,1)), IF(INDEX(ERP資料!$G:$G, (MATCH(1032, 輔助計算!$G$2:$G$801, 0)+1))&lt;=790,3,IF(INDEX(ERP資料!$G:$G, (MATCH(1032, 輔助計算!$G$2:$G$801, 0)+1))&lt;=1181,2,1))))=2,TEXT(INDEX(ERP資料!$G:$G, (MATCH(1032, 輔助計算!$G$2:$G$801, 0)+1)),"0.##")&amp;"+"&amp;TEXT(INDEX(ERP資料!$G:$G, (MATCH(1032, 輔助計算!$G$2:$G$801, 0)+1)),"0.##"),TEXT(INDEX(ERP資料!$G:$G, (MATCH(1032, 輔助計算!$G$2:$G$801, 0)+1)),"0.##")&amp;"+"&amp;TEXT(INDEX(ERP資料!$G:$G, (MATCH(1032, 輔助計算!$G$2:$G$801, 0)+1)),"0.##")&amp;"+"&amp;TEXT(INDEX(ERP資料!$G:$G, (MATCH(1032, 輔助計算!$G$2:$G$801, 0)+1)),"0.##"))))&amp;"-1")), ""), "")</f>
        <v/>
      </c>
      <c r="K1033" s="16" t="n"/>
      <c r="L1033" s="14">
        <f>IFERROR(IF(AND(IFERROR(INDEX(ERP資料!$A:$A, (MATCH(1032, 輔助計算!$G$2:$G$801, 0)+1)), "")&lt;&gt;"", IFERROR(INDEX(ERP資料!$A:$A, (MATCH(1032, 輔助計算!$G$2:$G$801, 0)+1)), "")&lt;&gt;IFERROR(INDEX(ERP資料!$A:$A, MATCH(1031, 輔助計算!$G$2:$G$801, 0)+1), "")), INDEX(ERP資料!$B:$B, (MATCH(1032, 輔助計算!$G$2:$G$801, 0)+1)), ""), "")</f>
        <v/>
      </c>
      <c r="M1033" s="17" t="n"/>
    </row>
    <row r="1034">
      <c r="A1034" s="10">
        <f>IFERROR(IF(AND(IFERROR(INDEX(ERP資料!$A:$A, (MATCH(1033, 輔助計算!$G$2:$G$801, 0)+1)), "")&lt;&gt;"", IFERROR(INDEX(ERP資料!$A:$A, (MATCH(1033, 輔助計算!$G$2:$G$801, 0)+1)), "")&lt;&gt;IFERROR(INDEX(ERP資料!$A:$A, MATCH(1032, 輔助計算!$G$2:$G$801, 0)+1), "")), IFERROR(INDEX(ERP資料!$A:$A, (MATCH(1033, 輔助計算!$G$2:$G$801, 0)+1)), ""), ""), "")</f>
        <v/>
      </c>
      <c r="B1034" s="10">
        <f>IFERROR(IF(AND(IFERROR(INDEX(ERP資料!$A:$A, (MATCH(1033, 輔助計算!$G$2:$G$801, 0)+1)), "")&lt;&gt;"", IFERROR(INDEX(ERP資料!$A:$A, (MATCH(1033, 輔助計算!$G$2:$G$801, 0)+1)), "")&lt;&gt;IFERROR(INDEX(ERP資料!$A:$A, MATCH(1032, 輔助計算!$G$2:$G$801, 0)+1), "")), INDEX(ERP資料!$S:$S, (MATCH(1033, 輔助計算!$G$2:$G$801, 0)+1)), ""), "")</f>
        <v/>
      </c>
      <c r="C1034" s="19">
        <f>IFERROR(IF(AND(IFERROR(INDEX(ERP資料!$A:$A, (MATCH(1033, 輔助計算!$G$2:$G$801, 0)+1)), "")&lt;&gt;"", IFERROR(INDEX(ERP資料!$A:$A, (MATCH(1033, 輔助計算!$G$2:$G$801, 0)+1)), "")&lt;&gt;IFERROR(INDEX(ERP資料!$A:$A, MATCH(1032, 輔助計算!$G$2:$G$801, 0)+1), "")), IFERROR(VLOOKUP(LEFT(INDEX(ERP資料!$S:$S, (MATCH(1033, 輔助計算!$G$2:$G$801, 0)+1)), 4), 紙管對照表!$A:$C, 3, FALSE), ""), ""), "")</f>
        <v/>
      </c>
      <c r="D1034" s="16" t="n"/>
      <c r="E1034" s="10">
        <f>IFERROR(IF(INDEX(ERP資料!$H:$H, (MATCH(1033, 輔助計算!$G$2:$G$801, 0)+1))="","",INDEX(ERP資料!$H:$H, (MATCH(1033, 輔助計算!$G$2:$G$801, 0)+1))), "")</f>
        <v/>
      </c>
      <c r="F1034" s="10">
        <f>IFERROR(IF(INDEX(ERP資料!$E:$E, (MATCH(1033, 輔助計算!$G$2:$G$801, 0)+1))="","",TRIM(INDEX(ERP資料!$E:$E, (MATCH(1033, 輔助計算!$G$2:$G$801, 0)+1)))), "")</f>
        <v/>
      </c>
      <c r="G1034" s="10">
        <f>IFERROR(IF(INDEX(ERP資料!$F:$F, (MATCH(1033, 輔助計算!$G$2:$G$801, 0)+1))="","",INDEX(ERP資料!$F:$F, (MATCH(1033, 輔助計算!$G$2:$G$801, 0)+1))), "")</f>
        <v/>
      </c>
      <c r="H1034" s="10">
        <f>IFERROR(IF(INDEX(ERP資料!$G:$G, (MATCH(1033, 輔助計算!$G$2:$G$801, 0)+1))="","",INDEX(ERP資料!$G:$G, (MATCH(1033, 輔助計算!$G$2:$G$801, 0)+1))), "")</f>
        <v/>
      </c>
      <c r="I1034" s="15">
        <f>IFERROR(INDEX(輔助計算!$D:$D, (MATCH(1033, 輔助計算!$G$2:$G$801, 0)+1)), "")</f>
        <v/>
      </c>
      <c r="J1034" s="15">
        <f>IFERROR(IF(AND(INDEX(輔助計算!$D:$D, (MATCH(1033, 輔助計算!$G$2:$G$801, 0)+1))&lt;&gt;"", INDEX(ERP資料!$G:$G, (MATCH(1033, 輔助計算!$G$2:$G$801, 0)+1))&lt;&gt;""), TRIM(IF(INT(INDEX(輔助計算!$D:$D, (MATCH(1033, 輔助計算!$G$2:$G$801, 0)+1))/IF(INDEX(ERP資料!$G:$G, (MATCH(1033, 輔助計算!$G$2:$G$801, 0)+1))&lt;100, IF(INDEX(ERP資料!$G:$G, (MATCH(1033, 輔助計算!$G$2:$G$801, 0)+1))&lt;=31,3,IF(INDEX(ERP資料!$G:$G, (MATCH(1033, 輔助計算!$G$2:$G$801, 0)+1))&lt;=46.5,2,1)), IF(INDEX(ERP資料!$G:$G, (MATCH(1033, 輔助計算!$G$2:$G$801, 0)+1))&lt;=790,3,IF(INDEX(ERP資料!$G:$G, (MATCH(1033, 輔助計算!$G$2:$G$801, 0)+1))&lt;=1181,2,1))))&gt;0, IF(IF(INDEX(ERP資料!$G:$G, (MATCH(1033, 輔助計算!$G$2:$G$801, 0)+1))&lt;100, IF(INDEX(ERP資料!$G:$G, (MATCH(1033, 輔助計算!$G$2:$G$801, 0)+1))&lt;=31,3,IF(INDEX(ERP資料!$G:$G, (MATCH(1033, 輔助計算!$G$2:$G$801, 0)+1))&lt;=46.5,2,1)), IF(INDEX(ERP資料!$G:$G, (MATCH(1033, 輔助計算!$G$2:$G$801, 0)+1))&lt;=790,3,IF(INDEX(ERP資料!$G:$G, (MATCH(1033, 輔助計算!$G$2:$G$801, 0)+1))&lt;=1181,2,1)))=1,TEXT(INDEX(ERP資料!$G:$G, (MATCH(1033, 輔助計算!$G$2:$G$801, 0)+1)),"0.##"),IF(IF(INDEX(ERP資料!$G:$G, (MATCH(1033, 輔助計算!$G$2:$G$801, 0)+1))&lt;100, IF(INDEX(ERP資料!$G:$G, (MATCH(1033, 輔助計算!$G$2:$G$801, 0)+1))&lt;=31,3,IF(INDEX(ERP資料!$G:$G, (MATCH(1033, 輔助計算!$G$2:$G$801, 0)+1))&lt;=46.5,2,1)), IF(INDEX(ERP資料!$G:$G, (MATCH(1033, 輔助計算!$G$2:$G$801, 0)+1))&lt;=790,3,IF(INDEX(ERP資料!$G:$G, (MATCH(1033, 輔助計算!$G$2:$G$801, 0)+1))&lt;=1181,2,1)))=2,TEXT(INDEX(ERP資料!$G:$G, (MATCH(1033, 輔助計算!$G$2:$G$801, 0)+1)),"0.##")&amp;"+"&amp;TEXT(INDEX(ERP資料!$G:$G, (MATCH(1033, 輔助計算!$G$2:$G$801, 0)+1)),"0.##"),TEXT(INDEX(ERP資料!$G:$G, (MATCH(1033, 輔助計算!$G$2:$G$801, 0)+1)),"0.##")&amp;"+"&amp;TEXT(INDEX(ERP資料!$G:$G, (MATCH(1033, 輔助計算!$G$2:$G$801, 0)+1)),"0.##")&amp;"+"&amp;TEXT(INDEX(ERP資料!$G:$G, (MATCH(1033, 輔助計算!$G$2:$G$801, 0)+1)),"0.##")))&amp;"-"&amp;INT(INDEX(輔助計算!$D:$D, (MATCH(1033, 輔助計算!$G$2:$G$801, 0)+1))/IF(INDEX(ERP資料!$G:$G, (MATCH(1033, 輔助計算!$G$2:$G$801, 0)+1))&lt;100, IF(INDEX(ERP資料!$G:$G, (MATCH(1033, 輔助計算!$G$2:$G$801, 0)+1))&lt;=31,3,IF(INDEX(ERP資料!$G:$G, (MATCH(1033, 輔助計算!$G$2:$G$801, 0)+1))&lt;=46.5,2,1)), IF(INDEX(ERP資料!$G:$G, (MATCH(1033, 輔助計算!$G$2:$G$801, 0)+1))&lt;=790,3,IF(INDEX(ERP資料!$G:$G, (MATCH(1033, 輔助計算!$G$2:$G$801, 0)+1))&lt;=1181,2,1)))), "")&amp;IF(AND(IF(INT(INDEX(輔助計算!$D:$D, (MATCH(1033, 輔助計算!$G$2:$G$801, 0)+1))/IF(INDEX(ERP資料!$G:$G, (MATCH(1033, 輔助計算!$G$2:$G$801, 0)+1))&lt;100, IF(INDEX(ERP資料!$G:$G, (MATCH(1033, 輔助計算!$G$2:$G$801, 0)+1))&lt;=31,3,IF(INDEX(ERP資料!$G:$G, (MATCH(1033, 輔助計算!$G$2:$G$801, 0)+1))&lt;=46.5,2,1)), IF(INDEX(ERP資料!$G:$G, (MATCH(1033, 輔助計算!$G$2:$G$801, 0)+1))&lt;=790,3,IF(INDEX(ERP資料!$G:$G, (MATCH(1033, 輔助計算!$G$2:$G$801, 0)+1))&lt;=1181,2,1))))&gt;0, IF(IF(INDEX(ERP資料!$G:$G, (MATCH(1033, 輔助計算!$G$2:$G$801, 0)+1))&lt;100, IF(INDEX(ERP資料!$G:$G, (MATCH(1033, 輔助計算!$G$2:$G$801, 0)+1))&lt;=31,3,IF(INDEX(ERP資料!$G:$G, (MATCH(1033, 輔助計算!$G$2:$G$801, 0)+1))&lt;=46.5,2,1)), IF(INDEX(ERP資料!$G:$G, (MATCH(1033, 輔助計算!$G$2:$G$801, 0)+1))&lt;=790,3,IF(INDEX(ERP資料!$G:$G, (MATCH(1033, 輔助計算!$G$2:$G$801, 0)+1))&lt;=1181,2,1)))=1,TEXT(INDEX(ERP資料!$G:$G, (MATCH(1033, 輔助計算!$G$2:$G$801, 0)+1)),"0.##"),IF(IF(INDEX(ERP資料!$G:$G, (MATCH(1033, 輔助計算!$G$2:$G$801, 0)+1))&lt;100, IF(INDEX(ERP資料!$G:$G, (MATCH(1033, 輔助計算!$G$2:$G$801, 0)+1))&lt;=31,3,IF(INDEX(ERP資料!$G:$G, (MATCH(1033, 輔助計算!$G$2:$G$801, 0)+1))&lt;=46.5,2,1)), IF(INDEX(ERP資料!$G:$G, (MATCH(1033, 輔助計算!$G$2:$G$801, 0)+1))&lt;=790,3,IF(INDEX(ERP資料!$G:$G, (MATCH(1033, 輔助計算!$G$2:$G$801, 0)+1))&lt;=1181,2,1)))=2,TEXT(INDEX(ERP資料!$G:$G, (MATCH(1033, 輔助計算!$G$2:$G$801, 0)+1)),"0.##")&amp;"+"&amp;TEXT(INDEX(ERP資料!$G:$G, (MATCH(1033, 輔助計算!$G$2:$G$801, 0)+1)),"0.##"),TEXT(INDEX(ERP資料!$G:$G, (MATCH(1033, 輔助計算!$G$2:$G$801, 0)+1)),"0.##")&amp;"+"&amp;TEXT(INDEX(ERP資料!$G:$G, (MATCH(1033, 輔助計算!$G$2:$G$801, 0)+1)),"0.##")&amp;"+"&amp;TEXT(INDEX(ERP資料!$G:$G, (MATCH(1033, 輔助計算!$G$2:$G$801, 0)+1)),"0.##")))&amp;"-"&amp;INT(INDEX(輔助計算!$D:$D, (MATCH(1033, 輔助計算!$G$2:$G$801, 0)+1))/IF(INDEX(ERP資料!$G:$G, (MATCH(1033, 輔助計算!$G$2:$G$801, 0)+1))&lt;100, IF(INDEX(ERP資料!$G:$G, (MATCH(1033, 輔助計算!$G$2:$G$801, 0)+1))&lt;=31,3,IF(INDEX(ERP資料!$G:$G, (MATCH(1033, 輔助計算!$G$2:$G$801, 0)+1))&lt;=46.5,2,1)), IF(INDEX(ERP資料!$G:$G, (MATCH(1033, 輔助計算!$G$2:$G$801, 0)+1))&lt;=790,3,IF(INDEX(ERP資料!$G:$G, (MATCH(1033, 輔助計算!$G$2:$G$801, 0)+1))&lt;=1181,2,1)))), "")&lt;&gt;"",IF(MOD(INDEX(輔助計算!$D:$D, (MATCH(1033, 輔助計算!$G$2:$G$801, 0)+1)),IF(INDEX(ERP資料!$G:$G, (MATCH(1033, 輔助計算!$G$2:$G$801, 0)+1))&lt;100, IF(INDEX(ERP資料!$G:$G, (MATCH(1033, 輔助計算!$G$2:$G$801, 0)+1))&lt;=31,3,IF(INDEX(ERP資料!$G:$G, (MATCH(1033, 輔助計算!$G$2:$G$801, 0)+1))&lt;=46.5,2,1)), IF(INDEX(ERP資料!$G:$G, (MATCH(1033, 輔助計算!$G$2:$G$801, 0)+1))&lt;=790,3,IF(INDEX(ERP資料!$G:$G, (MATCH(1033, 輔助計算!$G$2:$G$801, 0)+1))&lt;=1181,2,1))))=0,"",IF(MOD(INDEX(輔助計算!$D:$D, (MATCH(1033, 輔助計算!$G$2:$G$801, 0)+1)),IF(INDEX(ERP資料!$G:$G, (MATCH(1033, 輔助計算!$G$2:$G$801, 0)+1))&lt;100, IF(INDEX(ERP資料!$G:$G, (MATCH(1033, 輔助計算!$G$2:$G$801, 0)+1))&lt;=31,3,IF(INDEX(ERP資料!$G:$G, (MATCH(1033, 輔助計算!$G$2:$G$801, 0)+1))&lt;=46.5,2,1)), IF(INDEX(ERP資料!$G:$G, (MATCH(1033, 輔助計算!$G$2:$G$801, 0)+1))&lt;=790,3,IF(INDEX(ERP資料!$G:$G, (MATCH(1033, 輔助計算!$G$2:$G$801, 0)+1))&lt;=1181,2,1))))=0,"",IF(MOD(INDEX(輔助計算!$D:$D, (MATCH(1033, 輔助計算!$G$2:$G$801, 0)+1)),IF(INDEX(ERP資料!$G:$G, (MATCH(1033, 輔助計算!$G$2:$G$801, 0)+1))&lt;100, IF(INDEX(ERP資料!$G:$G, (MATCH(1033, 輔助計算!$G$2:$G$801, 0)+1))&lt;=31,3,IF(INDEX(ERP資料!$G:$G, (MATCH(1033, 輔助計算!$G$2:$G$801, 0)+1))&lt;=46.5,2,1)), IF(INDEX(ERP資料!$G:$G, (MATCH(1033, 輔助計算!$G$2:$G$801, 0)+1))&lt;=790,3,IF(INDEX(ERP資料!$G:$G, (MATCH(1033, 輔助計算!$G$2:$G$801, 0)+1))&lt;=1181,2,1))))=1,TEXT(INDEX(ERP資料!$G:$G, (MATCH(1033, 輔助計算!$G$2:$G$801, 0)+1)),"0.##"),IF(MOD(INDEX(輔助計算!$D:$D, (MATCH(1033, 輔助計算!$G$2:$G$801, 0)+1)),IF(INDEX(ERP資料!$G:$G, (MATCH(1033, 輔助計算!$G$2:$G$801, 0)+1))&lt;100, IF(INDEX(ERP資料!$G:$G, (MATCH(1033, 輔助計算!$G$2:$G$801, 0)+1))&lt;=31,3,IF(INDEX(ERP資料!$G:$G, (MATCH(1033, 輔助計算!$G$2:$G$801, 0)+1))&lt;=46.5,2,1)), IF(INDEX(ERP資料!$G:$G, (MATCH(1033, 輔助計算!$G$2:$G$801, 0)+1))&lt;=790,3,IF(INDEX(ERP資料!$G:$G, (MATCH(1033, 輔助計算!$G$2:$G$801, 0)+1))&lt;=1181,2,1))))=2,TEXT(INDEX(ERP資料!$G:$G, (MATCH(1033, 輔助計算!$G$2:$G$801, 0)+1)),"0.##")&amp;"+"&amp;TEXT(INDEX(ERP資料!$G:$G, (MATCH(1033, 輔助計算!$G$2:$G$801, 0)+1)),"0.##"),TEXT(INDEX(ERP資料!$G:$G, (MATCH(1033, 輔助計算!$G$2:$G$801, 0)+1)),"0.##")&amp;"+"&amp;TEXT(INDEX(ERP資料!$G:$G, (MATCH(1033, 輔助計算!$G$2:$G$801, 0)+1)),"0.##")&amp;"+"&amp;TEXT(INDEX(ERP資料!$G:$G, (MATCH(1033, 輔助計算!$G$2:$G$801, 0)+1)),"0.##"))))&amp;"-1")&lt;&gt;""),"  ","")&amp;IF(MOD(INDEX(輔助計算!$D:$D, (MATCH(1033, 輔助計算!$G$2:$G$801, 0)+1)),IF(INDEX(ERP資料!$G:$G, (MATCH(1033, 輔助計算!$G$2:$G$801, 0)+1))&lt;100, IF(INDEX(ERP資料!$G:$G, (MATCH(1033, 輔助計算!$G$2:$G$801, 0)+1))&lt;=31,3,IF(INDEX(ERP資料!$G:$G, (MATCH(1033, 輔助計算!$G$2:$G$801, 0)+1))&lt;=46.5,2,1)), IF(INDEX(ERP資料!$G:$G, (MATCH(1033, 輔助計算!$G$2:$G$801, 0)+1))&lt;=790,3,IF(INDEX(ERP資料!$G:$G, (MATCH(1033, 輔助計算!$G$2:$G$801, 0)+1))&lt;=1181,2,1))))=0,"",IF(MOD(INDEX(輔助計算!$D:$D, (MATCH(1033, 輔助計算!$G$2:$G$801, 0)+1)),IF(INDEX(ERP資料!$G:$G, (MATCH(1033, 輔助計算!$G$2:$G$801, 0)+1))&lt;100, IF(INDEX(ERP資料!$G:$G, (MATCH(1033, 輔助計算!$G$2:$G$801, 0)+1))&lt;=31,3,IF(INDEX(ERP資料!$G:$G, (MATCH(1033, 輔助計算!$G$2:$G$801, 0)+1))&lt;=46.5,2,1)), IF(INDEX(ERP資料!$G:$G, (MATCH(1033, 輔助計算!$G$2:$G$801, 0)+1))&lt;=790,3,IF(INDEX(ERP資料!$G:$G, (MATCH(1033, 輔助計算!$G$2:$G$801, 0)+1))&lt;=1181,2,1))))=0,"",IF(MOD(INDEX(輔助計算!$D:$D, (MATCH(1033, 輔助計算!$G$2:$G$801, 0)+1)),IF(INDEX(ERP資料!$G:$G, (MATCH(1033, 輔助計算!$G$2:$G$801, 0)+1))&lt;100, IF(INDEX(ERP資料!$G:$G, (MATCH(1033, 輔助計算!$G$2:$G$801, 0)+1))&lt;=31,3,IF(INDEX(ERP資料!$G:$G, (MATCH(1033, 輔助計算!$G$2:$G$801, 0)+1))&lt;=46.5,2,1)), IF(INDEX(ERP資料!$G:$G, (MATCH(1033, 輔助計算!$G$2:$G$801, 0)+1))&lt;=790,3,IF(INDEX(ERP資料!$G:$G, (MATCH(1033, 輔助計算!$G$2:$G$801, 0)+1))&lt;=1181,2,1))))=1,TEXT(INDEX(ERP資料!$G:$G, (MATCH(1033, 輔助計算!$G$2:$G$801, 0)+1)),"0.##"),IF(MOD(INDEX(輔助計算!$D:$D, (MATCH(1033, 輔助計算!$G$2:$G$801, 0)+1)),IF(INDEX(ERP資料!$G:$G, (MATCH(1033, 輔助計算!$G$2:$G$801, 0)+1))&lt;100, IF(INDEX(ERP資料!$G:$G, (MATCH(1033, 輔助計算!$G$2:$G$801, 0)+1))&lt;=31,3,IF(INDEX(ERP資料!$G:$G, (MATCH(1033, 輔助計算!$G$2:$G$801, 0)+1))&lt;=46.5,2,1)), IF(INDEX(ERP資料!$G:$G, (MATCH(1033, 輔助計算!$G$2:$G$801, 0)+1))&lt;=790,3,IF(INDEX(ERP資料!$G:$G, (MATCH(1033, 輔助計算!$G$2:$G$801, 0)+1))&lt;=1181,2,1))))=2,TEXT(INDEX(ERP資料!$G:$G, (MATCH(1033, 輔助計算!$G$2:$G$801, 0)+1)),"0.##")&amp;"+"&amp;TEXT(INDEX(ERP資料!$G:$G, (MATCH(1033, 輔助計算!$G$2:$G$801, 0)+1)),"0.##"),TEXT(INDEX(ERP資料!$G:$G, (MATCH(1033, 輔助計算!$G$2:$G$801, 0)+1)),"0.##")&amp;"+"&amp;TEXT(INDEX(ERP資料!$G:$G, (MATCH(1033, 輔助計算!$G$2:$G$801, 0)+1)),"0.##")&amp;"+"&amp;TEXT(INDEX(ERP資料!$G:$G, (MATCH(1033, 輔助計算!$G$2:$G$801, 0)+1)),"0.##"))))&amp;"-1")), ""), "")</f>
        <v/>
      </c>
      <c r="K1034" s="16" t="n"/>
      <c r="L1034" s="14">
        <f>IFERROR(IF(AND(IFERROR(INDEX(ERP資料!$A:$A, (MATCH(1033, 輔助計算!$G$2:$G$801, 0)+1)), "")&lt;&gt;"", IFERROR(INDEX(ERP資料!$A:$A, (MATCH(1033, 輔助計算!$G$2:$G$801, 0)+1)), "")&lt;&gt;IFERROR(INDEX(ERP資料!$A:$A, MATCH(1032, 輔助計算!$G$2:$G$801, 0)+1), "")), INDEX(ERP資料!$B:$B, (MATCH(1033, 輔助計算!$G$2:$G$801, 0)+1)), ""), "")</f>
        <v/>
      </c>
      <c r="M1034" s="17" t="n"/>
    </row>
    <row r="1035">
      <c r="A1035" s="10">
        <f>IFERROR(IF(AND(IFERROR(INDEX(ERP資料!$A:$A, (MATCH(1034, 輔助計算!$G$2:$G$801, 0)+1)), "")&lt;&gt;"", IFERROR(INDEX(ERP資料!$A:$A, (MATCH(1034, 輔助計算!$G$2:$G$801, 0)+1)), "")&lt;&gt;IFERROR(INDEX(ERP資料!$A:$A, MATCH(1033, 輔助計算!$G$2:$G$801, 0)+1), "")), IFERROR(INDEX(ERP資料!$A:$A, (MATCH(1034, 輔助計算!$G$2:$G$801, 0)+1)), ""), ""), "")</f>
        <v/>
      </c>
      <c r="B1035" s="10">
        <f>IFERROR(IF(AND(IFERROR(INDEX(ERP資料!$A:$A, (MATCH(1034, 輔助計算!$G$2:$G$801, 0)+1)), "")&lt;&gt;"", IFERROR(INDEX(ERP資料!$A:$A, (MATCH(1034, 輔助計算!$G$2:$G$801, 0)+1)), "")&lt;&gt;IFERROR(INDEX(ERP資料!$A:$A, MATCH(1033, 輔助計算!$G$2:$G$801, 0)+1), "")), INDEX(ERP資料!$S:$S, (MATCH(1034, 輔助計算!$G$2:$G$801, 0)+1)), ""), "")</f>
        <v/>
      </c>
      <c r="C1035" s="19">
        <f>IFERROR(IF(AND(IFERROR(INDEX(ERP資料!$A:$A, (MATCH(1034, 輔助計算!$G$2:$G$801, 0)+1)), "")&lt;&gt;"", IFERROR(INDEX(ERP資料!$A:$A, (MATCH(1034, 輔助計算!$G$2:$G$801, 0)+1)), "")&lt;&gt;IFERROR(INDEX(ERP資料!$A:$A, MATCH(1033, 輔助計算!$G$2:$G$801, 0)+1), "")), IFERROR(VLOOKUP(LEFT(INDEX(ERP資料!$S:$S, (MATCH(1034, 輔助計算!$G$2:$G$801, 0)+1)), 4), 紙管對照表!$A:$C, 3, FALSE), ""), ""), "")</f>
        <v/>
      </c>
      <c r="D1035" s="16" t="n"/>
      <c r="E1035" s="10">
        <f>IFERROR(IF(INDEX(ERP資料!$H:$H, (MATCH(1034, 輔助計算!$G$2:$G$801, 0)+1))="","",INDEX(ERP資料!$H:$H, (MATCH(1034, 輔助計算!$G$2:$G$801, 0)+1))), "")</f>
        <v/>
      </c>
      <c r="F1035" s="10">
        <f>IFERROR(IF(INDEX(ERP資料!$E:$E, (MATCH(1034, 輔助計算!$G$2:$G$801, 0)+1))="","",TRIM(INDEX(ERP資料!$E:$E, (MATCH(1034, 輔助計算!$G$2:$G$801, 0)+1)))), "")</f>
        <v/>
      </c>
      <c r="G1035" s="10">
        <f>IFERROR(IF(INDEX(ERP資料!$F:$F, (MATCH(1034, 輔助計算!$G$2:$G$801, 0)+1))="","",INDEX(ERP資料!$F:$F, (MATCH(1034, 輔助計算!$G$2:$G$801, 0)+1))), "")</f>
        <v/>
      </c>
      <c r="H1035" s="10">
        <f>IFERROR(IF(INDEX(ERP資料!$G:$G, (MATCH(1034, 輔助計算!$G$2:$G$801, 0)+1))="","",INDEX(ERP資料!$G:$G, (MATCH(1034, 輔助計算!$G$2:$G$801, 0)+1))), "")</f>
        <v/>
      </c>
      <c r="I1035" s="15">
        <f>IFERROR(INDEX(輔助計算!$D:$D, (MATCH(1034, 輔助計算!$G$2:$G$801, 0)+1)), "")</f>
        <v/>
      </c>
      <c r="J1035" s="15">
        <f>IFERROR(IF(AND(INDEX(輔助計算!$D:$D, (MATCH(1034, 輔助計算!$G$2:$G$801, 0)+1))&lt;&gt;"", INDEX(ERP資料!$G:$G, (MATCH(1034, 輔助計算!$G$2:$G$801, 0)+1))&lt;&gt;""), TRIM(IF(INT(INDEX(輔助計算!$D:$D, (MATCH(1034, 輔助計算!$G$2:$G$801, 0)+1))/IF(INDEX(ERP資料!$G:$G, (MATCH(1034, 輔助計算!$G$2:$G$801, 0)+1))&lt;100, IF(INDEX(ERP資料!$G:$G, (MATCH(1034, 輔助計算!$G$2:$G$801, 0)+1))&lt;=31,3,IF(INDEX(ERP資料!$G:$G, (MATCH(1034, 輔助計算!$G$2:$G$801, 0)+1))&lt;=46.5,2,1)), IF(INDEX(ERP資料!$G:$G, (MATCH(1034, 輔助計算!$G$2:$G$801, 0)+1))&lt;=790,3,IF(INDEX(ERP資料!$G:$G, (MATCH(1034, 輔助計算!$G$2:$G$801, 0)+1))&lt;=1181,2,1))))&gt;0, IF(IF(INDEX(ERP資料!$G:$G, (MATCH(1034, 輔助計算!$G$2:$G$801, 0)+1))&lt;100, IF(INDEX(ERP資料!$G:$G, (MATCH(1034, 輔助計算!$G$2:$G$801, 0)+1))&lt;=31,3,IF(INDEX(ERP資料!$G:$G, (MATCH(1034, 輔助計算!$G$2:$G$801, 0)+1))&lt;=46.5,2,1)), IF(INDEX(ERP資料!$G:$G, (MATCH(1034, 輔助計算!$G$2:$G$801, 0)+1))&lt;=790,3,IF(INDEX(ERP資料!$G:$G, (MATCH(1034, 輔助計算!$G$2:$G$801, 0)+1))&lt;=1181,2,1)))=1,TEXT(INDEX(ERP資料!$G:$G, (MATCH(1034, 輔助計算!$G$2:$G$801, 0)+1)),"0.##"),IF(IF(INDEX(ERP資料!$G:$G, (MATCH(1034, 輔助計算!$G$2:$G$801, 0)+1))&lt;100, IF(INDEX(ERP資料!$G:$G, (MATCH(1034, 輔助計算!$G$2:$G$801, 0)+1))&lt;=31,3,IF(INDEX(ERP資料!$G:$G, (MATCH(1034, 輔助計算!$G$2:$G$801, 0)+1))&lt;=46.5,2,1)), IF(INDEX(ERP資料!$G:$G, (MATCH(1034, 輔助計算!$G$2:$G$801, 0)+1))&lt;=790,3,IF(INDEX(ERP資料!$G:$G, (MATCH(1034, 輔助計算!$G$2:$G$801, 0)+1))&lt;=1181,2,1)))=2,TEXT(INDEX(ERP資料!$G:$G, (MATCH(1034, 輔助計算!$G$2:$G$801, 0)+1)),"0.##")&amp;"+"&amp;TEXT(INDEX(ERP資料!$G:$G, (MATCH(1034, 輔助計算!$G$2:$G$801, 0)+1)),"0.##"),TEXT(INDEX(ERP資料!$G:$G, (MATCH(1034, 輔助計算!$G$2:$G$801, 0)+1)),"0.##")&amp;"+"&amp;TEXT(INDEX(ERP資料!$G:$G, (MATCH(1034, 輔助計算!$G$2:$G$801, 0)+1)),"0.##")&amp;"+"&amp;TEXT(INDEX(ERP資料!$G:$G, (MATCH(1034, 輔助計算!$G$2:$G$801, 0)+1)),"0.##")))&amp;"-"&amp;INT(INDEX(輔助計算!$D:$D, (MATCH(1034, 輔助計算!$G$2:$G$801, 0)+1))/IF(INDEX(ERP資料!$G:$G, (MATCH(1034, 輔助計算!$G$2:$G$801, 0)+1))&lt;100, IF(INDEX(ERP資料!$G:$G, (MATCH(1034, 輔助計算!$G$2:$G$801, 0)+1))&lt;=31,3,IF(INDEX(ERP資料!$G:$G, (MATCH(1034, 輔助計算!$G$2:$G$801, 0)+1))&lt;=46.5,2,1)), IF(INDEX(ERP資料!$G:$G, (MATCH(1034, 輔助計算!$G$2:$G$801, 0)+1))&lt;=790,3,IF(INDEX(ERP資料!$G:$G, (MATCH(1034, 輔助計算!$G$2:$G$801, 0)+1))&lt;=1181,2,1)))), "")&amp;IF(AND(IF(INT(INDEX(輔助計算!$D:$D, (MATCH(1034, 輔助計算!$G$2:$G$801, 0)+1))/IF(INDEX(ERP資料!$G:$G, (MATCH(1034, 輔助計算!$G$2:$G$801, 0)+1))&lt;100, IF(INDEX(ERP資料!$G:$G, (MATCH(1034, 輔助計算!$G$2:$G$801, 0)+1))&lt;=31,3,IF(INDEX(ERP資料!$G:$G, (MATCH(1034, 輔助計算!$G$2:$G$801, 0)+1))&lt;=46.5,2,1)), IF(INDEX(ERP資料!$G:$G, (MATCH(1034, 輔助計算!$G$2:$G$801, 0)+1))&lt;=790,3,IF(INDEX(ERP資料!$G:$G, (MATCH(1034, 輔助計算!$G$2:$G$801, 0)+1))&lt;=1181,2,1))))&gt;0, IF(IF(INDEX(ERP資料!$G:$G, (MATCH(1034, 輔助計算!$G$2:$G$801, 0)+1))&lt;100, IF(INDEX(ERP資料!$G:$G, (MATCH(1034, 輔助計算!$G$2:$G$801, 0)+1))&lt;=31,3,IF(INDEX(ERP資料!$G:$G, (MATCH(1034, 輔助計算!$G$2:$G$801, 0)+1))&lt;=46.5,2,1)), IF(INDEX(ERP資料!$G:$G, (MATCH(1034, 輔助計算!$G$2:$G$801, 0)+1))&lt;=790,3,IF(INDEX(ERP資料!$G:$G, (MATCH(1034, 輔助計算!$G$2:$G$801, 0)+1))&lt;=1181,2,1)))=1,TEXT(INDEX(ERP資料!$G:$G, (MATCH(1034, 輔助計算!$G$2:$G$801, 0)+1)),"0.##"),IF(IF(INDEX(ERP資料!$G:$G, (MATCH(1034, 輔助計算!$G$2:$G$801, 0)+1))&lt;100, IF(INDEX(ERP資料!$G:$G, (MATCH(1034, 輔助計算!$G$2:$G$801, 0)+1))&lt;=31,3,IF(INDEX(ERP資料!$G:$G, (MATCH(1034, 輔助計算!$G$2:$G$801, 0)+1))&lt;=46.5,2,1)), IF(INDEX(ERP資料!$G:$G, (MATCH(1034, 輔助計算!$G$2:$G$801, 0)+1))&lt;=790,3,IF(INDEX(ERP資料!$G:$G, (MATCH(1034, 輔助計算!$G$2:$G$801, 0)+1))&lt;=1181,2,1)))=2,TEXT(INDEX(ERP資料!$G:$G, (MATCH(1034, 輔助計算!$G$2:$G$801, 0)+1)),"0.##")&amp;"+"&amp;TEXT(INDEX(ERP資料!$G:$G, (MATCH(1034, 輔助計算!$G$2:$G$801, 0)+1)),"0.##"),TEXT(INDEX(ERP資料!$G:$G, (MATCH(1034, 輔助計算!$G$2:$G$801, 0)+1)),"0.##")&amp;"+"&amp;TEXT(INDEX(ERP資料!$G:$G, (MATCH(1034, 輔助計算!$G$2:$G$801, 0)+1)),"0.##")&amp;"+"&amp;TEXT(INDEX(ERP資料!$G:$G, (MATCH(1034, 輔助計算!$G$2:$G$801, 0)+1)),"0.##")))&amp;"-"&amp;INT(INDEX(輔助計算!$D:$D, (MATCH(1034, 輔助計算!$G$2:$G$801, 0)+1))/IF(INDEX(ERP資料!$G:$G, (MATCH(1034, 輔助計算!$G$2:$G$801, 0)+1))&lt;100, IF(INDEX(ERP資料!$G:$G, (MATCH(1034, 輔助計算!$G$2:$G$801, 0)+1))&lt;=31,3,IF(INDEX(ERP資料!$G:$G, (MATCH(1034, 輔助計算!$G$2:$G$801, 0)+1))&lt;=46.5,2,1)), IF(INDEX(ERP資料!$G:$G, (MATCH(1034, 輔助計算!$G$2:$G$801, 0)+1))&lt;=790,3,IF(INDEX(ERP資料!$G:$G, (MATCH(1034, 輔助計算!$G$2:$G$801, 0)+1))&lt;=1181,2,1)))), "")&lt;&gt;"",IF(MOD(INDEX(輔助計算!$D:$D, (MATCH(1034, 輔助計算!$G$2:$G$801, 0)+1)),IF(INDEX(ERP資料!$G:$G, (MATCH(1034, 輔助計算!$G$2:$G$801, 0)+1))&lt;100, IF(INDEX(ERP資料!$G:$G, (MATCH(1034, 輔助計算!$G$2:$G$801, 0)+1))&lt;=31,3,IF(INDEX(ERP資料!$G:$G, (MATCH(1034, 輔助計算!$G$2:$G$801, 0)+1))&lt;=46.5,2,1)), IF(INDEX(ERP資料!$G:$G, (MATCH(1034, 輔助計算!$G$2:$G$801, 0)+1))&lt;=790,3,IF(INDEX(ERP資料!$G:$G, (MATCH(1034, 輔助計算!$G$2:$G$801, 0)+1))&lt;=1181,2,1))))=0,"",IF(MOD(INDEX(輔助計算!$D:$D, (MATCH(1034, 輔助計算!$G$2:$G$801, 0)+1)),IF(INDEX(ERP資料!$G:$G, (MATCH(1034, 輔助計算!$G$2:$G$801, 0)+1))&lt;100, IF(INDEX(ERP資料!$G:$G, (MATCH(1034, 輔助計算!$G$2:$G$801, 0)+1))&lt;=31,3,IF(INDEX(ERP資料!$G:$G, (MATCH(1034, 輔助計算!$G$2:$G$801, 0)+1))&lt;=46.5,2,1)), IF(INDEX(ERP資料!$G:$G, (MATCH(1034, 輔助計算!$G$2:$G$801, 0)+1))&lt;=790,3,IF(INDEX(ERP資料!$G:$G, (MATCH(1034, 輔助計算!$G$2:$G$801, 0)+1))&lt;=1181,2,1))))=0,"",IF(MOD(INDEX(輔助計算!$D:$D, (MATCH(1034, 輔助計算!$G$2:$G$801, 0)+1)),IF(INDEX(ERP資料!$G:$G, (MATCH(1034, 輔助計算!$G$2:$G$801, 0)+1))&lt;100, IF(INDEX(ERP資料!$G:$G, (MATCH(1034, 輔助計算!$G$2:$G$801, 0)+1))&lt;=31,3,IF(INDEX(ERP資料!$G:$G, (MATCH(1034, 輔助計算!$G$2:$G$801, 0)+1))&lt;=46.5,2,1)), IF(INDEX(ERP資料!$G:$G, (MATCH(1034, 輔助計算!$G$2:$G$801, 0)+1))&lt;=790,3,IF(INDEX(ERP資料!$G:$G, (MATCH(1034, 輔助計算!$G$2:$G$801, 0)+1))&lt;=1181,2,1))))=1,TEXT(INDEX(ERP資料!$G:$G, (MATCH(1034, 輔助計算!$G$2:$G$801, 0)+1)),"0.##"),IF(MOD(INDEX(輔助計算!$D:$D, (MATCH(1034, 輔助計算!$G$2:$G$801, 0)+1)),IF(INDEX(ERP資料!$G:$G, (MATCH(1034, 輔助計算!$G$2:$G$801, 0)+1))&lt;100, IF(INDEX(ERP資料!$G:$G, (MATCH(1034, 輔助計算!$G$2:$G$801, 0)+1))&lt;=31,3,IF(INDEX(ERP資料!$G:$G, (MATCH(1034, 輔助計算!$G$2:$G$801, 0)+1))&lt;=46.5,2,1)), IF(INDEX(ERP資料!$G:$G, (MATCH(1034, 輔助計算!$G$2:$G$801, 0)+1))&lt;=790,3,IF(INDEX(ERP資料!$G:$G, (MATCH(1034, 輔助計算!$G$2:$G$801, 0)+1))&lt;=1181,2,1))))=2,TEXT(INDEX(ERP資料!$G:$G, (MATCH(1034, 輔助計算!$G$2:$G$801, 0)+1)),"0.##")&amp;"+"&amp;TEXT(INDEX(ERP資料!$G:$G, (MATCH(1034, 輔助計算!$G$2:$G$801, 0)+1)),"0.##"),TEXT(INDEX(ERP資料!$G:$G, (MATCH(1034, 輔助計算!$G$2:$G$801, 0)+1)),"0.##")&amp;"+"&amp;TEXT(INDEX(ERP資料!$G:$G, (MATCH(1034, 輔助計算!$G$2:$G$801, 0)+1)),"0.##")&amp;"+"&amp;TEXT(INDEX(ERP資料!$G:$G, (MATCH(1034, 輔助計算!$G$2:$G$801, 0)+1)),"0.##"))))&amp;"-1")&lt;&gt;""),"  ","")&amp;IF(MOD(INDEX(輔助計算!$D:$D, (MATCH(1034, 輔助計算!$G$2:$G$801, 0)+1)),IF(INDEX(ERP資料!$G:$G, (MATCH(1034, 輔助計算!$G$2:$G$801, 0)+1))&lt;100, IF(INDEX(ERP資料!$G:$G, (MATCH(1034, 輔助計算!$G$2:$G$801, 0)+1))&lt;=31,3,IF(INDEX(ERP資料!$G:$G, (MATCH(1034, 輔助計算!$G$2:$G$801, 0)+1))&lt;=46.5,2,1)), IF(INDEX(ERP資料!$G:$G, (MATCH(1034, 輔助計算!$G$2:$G$801, 0)+1))&lt;=790,3,IF(INDEX(ERP資料!$G:$G, (MATCH(1034, 輔助計算!$G$2:$G$801, 0)+1))&lt;=1181,2,1))))=0,"",IF(MOD(INDEX(輔助計算!$D:$D, (MATCH(1034, 輔助計算!$G$2:$G$801, 0)+1)),IF(INDEX(ERP資料!$G:$G, (MATCH(1034, 輔助計算!$G$2:$G$801, 0)+1))&lt;100, IF(INDEX(ERP資料!$G:$G, (MATCH(1034, 輔助計算!$G$2:$G$801, 0)+1))&lt;=31,3,IF(INDEX(ERP資料!$G:$G, (MATCH(1034, 輔助計算!$G$2:$G$801, 0)+1))&lt;=46.5,2,1)), IF(INDEX(ERP資料!$G:$G, (MATCH(1034, 輔助計算!$G$2:$G$801, 0)+1))&lt;=790,3,IF(INDEX(ERP資料!$G:$G, (MATCH(1034, 輔助計算!$G$2:$G$801, 0)+1))&lt;=1181,2,1))))=0,"",IF(MOD(INDEX(輔助計算!$D:$D, (MATCH(1034, 輔助計算!$G$2:$G$801, 0)+1)),IF(INDEX(ERP資料!$G:$G, (MATCH(1034, 輔助計算!$G$2:$G$801, 0)+1))&lt;100, IF(INDEX(ERP資料!$G:$G, (MATCH(1034, 輔助計算!$G$2:$G$801, 0)+1))&lt;=31,3,IF(INDEX(ERP資料!$G:$G, (MATCH(1034, 輔助計算!$G$2:$G$801, 0)+1))&lt;=46.5,2,1)), IF(INDEX(ERP資料!$G:$G, (MATCH(1034, 輔助計算!$G$2:$G$801, 0)+1))&lt;=790,3,IF(INDEX(ERP資料!$G:$G, (MATCH(1034, 輔助計算!$G$2:$G$801, 0)+1))&lt;=1181,2,1))))=1,TEXT(INDEX(ERP資料!$G:$G, (MATCH(1034, 輔助計算!$G$2:$G$801, 0)+1)),"0.##"),IF(MOD(INDEX(輔助計算!$D:$D, (MATCH(1034, 輔助計算!$G$2:$G$801, 0)+1)),IF(INDEX(ERP資料!$G:$G, (MATCH(1034, 輔助計算!$G$2:$G$801, 0)+1))&lt;100, IF(INDEX(ERP資料!$G:$G, (MATCH(1034, 輔助計算!$G$2:$G$801, 0)+1))&lt;=31,3,IF(INDEX(ERP資料!$G:$G, (MATCH(1034, 輔助計算!$G$2:$G$801, 0)+1))&lt;=46.5,2,1)), IF(INDEX(ERP資料!$G:$G, (MATCH(1034, 輔助計算!$G$2:$G$801, 0)+1))&lt;=790,3,IF(INDEX(ERP資料!$G:$G, (MATCH(1034, 輔助計算!$G$2:$G$801, 0)+1))&lt;=1181,2,1))))=2,TEXT(INDEX(ERP資料!$G:$G, (MATCH(1034, 輔助計算!$G$2:$G$801, 0)+1)),"0.##")&amp;"+"&amp;TEXT(INDEX(ERP資料!$G:$G, (MATCH(1034, 輔助計算!$G$2:$G$801, 0)+1)),"0.##"),TEXT(INDEX(ERP資料!$G:$G, (MATCH(1034, 輔助計算!$G$2:$G$801, 0)+1)),"0.##")&amp;"+"&amp;TEXT(INDEX(ERP資料!$G:$G, (MATCH(1034, 輔助計算!$G$2:$G$801, 0)+1)),"0.##")&amp;"+"&amp;TEXT(INDEX(ERP資料!$G:$G, (MATCH(1034, 輔助計算!$G$2:$G$801, 0)+1)),"0.##"))))&amp;"-1")), ""), "")</f>
        <v/>
      </c>
      <c r="K1035" s="16" t="n"/>
      <c r="L1035" s="14">
        <f>IFERROR(IF(AND(IFERROR(INDEX(ERP資料!$A:$A, (MATCH(1034, 輔助計算!$G$2:$G$801, 0)+1)), "")&lt;&gt;"", IFERROR(INDEX(ERP資料!$A:$A, (MATCH(1034, 輔助計算!$G$2:$G$801, 0)+1)), "")&lt;&gt;IFERROR(INDEX(ERP資料!$A:$A, MATCH(1033, 輔助計算!$G$2:$G$801, 0)+1), "")), INDEX(ERP資料!$B:$B, (MATCH(1034, 輔助計算!$G$2:$G$801, 0)+1)), ""), "")</f>
        <v/>
      </c>
      <c r="M1035" s="17" t="n"/>
    </row>
    <row r="1036">
      <c r="A1036" s="10">
        <f>IFERROR(IF(AND(IFERROR(INDEX(ERP資料!$A:$A, (MATCH(1035, 輔助計算!$G$2:$G$801, 0)+1)), "")&lt;&gt;"", IFERROR(INDEX(ERP資料!$A:$A, (MATCH(1035, 輔助計算!$G$2:$G$801, 0)+1)), "")&lt;&gt;IFERROR(INDEX(ERP資料!$A:$A, MATCH(1034, 輔助計算!$G$2:$G$801, 0)+1), "")), IFERROR(INDEX(ERP資料!$A:$A, (MATCH(1035, 輔助計算!$G$2:$G$801, 0)+1)), ""), ""), "")</f>
        <v/>
      </c>
      <c r="B1036" s="10">
        <f>IFERROR(IF(AND(IFERROR(INDEX(ERP資料!$A:$A, (MATCH(1035, 輔助計算!$G$2:$G$801, 0)+1)), "")&lt;&gt;"", IFERROR(INDEX(ERP資料!$A:$A, (MATCH(1035, 輔助計算!$G$2:$G$801, 0)+1)), "")&lt;&gt;IFERROR(INDEX(ERP資料!$A:$A, MATCH(1034, 輔助計算!$G$2:$G$801, 0)+1), "")), INDEX(ERP資料!$S:$S, (MATCH(1035, 輔助計算!$G$2:$G$801, 0)+1)), ""), "")</f>
        <v/>
      </c>
      <c r="C1036" s="19">
        <f>IFERROR(IF(AND(IFERROR(INDEX(ERP資料!$A:$A, (MATCH(1035, 輔助計算!$G$2:$G$801, 0)+1)), "")&lt;&gt;"", IFERROR(INDEX(ERP資料!$A:$A, (MATCH(1035, 輔助計算!$G$2:$G$801, 0)+1)), "")&lt;&gt;IFERROR(INDEX(ERP資料!$A:$A, MATCH(1034, 輔助計算!$G$2:$G$801, 0)+1), "")), IFERROR(VLOOKUP(LEFT(INDEX(ERP資料!$S:$S, (MATCH(1035, 輔助計算!$G$2:$G$801, 0)+1)), 4), 紙管對照表!$A:$C, 3, FALSE), ""), ""), "")</f>
        <v/>
      </c>
      <c r="D1036" s="16" t="n"/>
      <c r="E1036" s="10">
        <f>IFERROR(IF(INDEX(ERP資料!$H:$H, (MATCH(1035, 輔助計算!$G$2:$G$801, 0)+1))="","",INDEX(ERP資料!$H:$H, (MATCH(1035, 輔助計算!$G$2:$G$801, 0)+1))), "")</f>
        <v/>
      </c>
      <c r="F1036" s="10">
        <f>IFERROR(IF(INDEX(ERP資料!$E:$E, (MATCH(1035, 輔助計算!$G$2:$G$801, 0)+1))="","",TRIM(INDEX(ERP資料!$E:$E, (MATCH(1035, 輔助計算!$G$2:$G$801, 0)+1)))), "")</f>
        <v/>
      </c>
      <c r="G1036" s="10">
        <f>IFERROR(IF(INDEX(ERP資料!$F:$F, (MATCH(1035, 輔助計算!$G$2:$G$801, 0)+1))="","",INDEX(ERP資料!$F:$F, (MATCH(1035, 輔助計算!$G$2:$G$801, 0)+1))), "")</f>
        <v/>
      </c>
      <c r="H1036" s="10">
        <f>IFERROR(IF(INDEX(ERP資料!$G:$G, (MATCH(1035, 輔助計算!$G$2:$G$801, 0)+1))="","",INDEX(ERP資料!$G:$G, (MATCH(1035, 輔助計算!$G$2:$G$801, 0)+1))), "")</f>
        <v/>
      </c>
      <c r="I1036" s="15">
        <f>IFERROR(INDEX(輔助計算!$D:$D, (MATCH(1035, 輔助計算!$G$2:$G$801, 0)+1)), "")</f>
        <v/>
      </c>
      <c r="J1036" s="15">
        <f>IFERROR(IF(AND(INDEX(輔助計算!$D:$D, (MATCH(1035, 輔助計算!$G$2:$G$801, 0)+1))&lt;&gt;"", INDEX(ERP資料!$G:$G, (MATCH(1035, 輔助計算!$G$2:$G$801, 0)+1))&lt;&gt;""), TRIM(IF(INT(INDEX(輔助計算!$D:$D, (MATCH(1035, 輔助計算!$G$2:$G$801, 0)+1))/IF(INDEX(ERP資料!$G:$G, (MATCH(1035, 輔助計算!$G$2:$G$801, 0)+1))&lt;100, IF(INDEX(ERP資料!$G:$G, (MATCH(1035, 輔助計算!$G$2:$G$801, 0)+1))&lt;=31,3,IF(INDEX(ERP資料!$G:$G, (MATCH(1035, 輔助計算!$G$2:$G$801, 0)+1))&lt;=46.5,2,1)), IF(INDEX(ERP資料!$G:$G, (MATCH(1035, 輔助計算!$G$2:$G$801, 0)+1))&lt;=790,3,IF(INDEX(ERP資料!$G:$G, (MATCH(1035, 輔助計算!$G$2:$G$801, 0)+1))&lt;=1181,2,1))))&gt;0, IF(IF(INDEX(ERP資料!$G:$G, (MATCH(1035, 輔助計算!$G$2:$G$801, 0)+1))&lt;100, IF(INDEX(ERP資料!$G:$G, (MATCH(1035, 輔助計算!$G$2:$G$801, 0)+1))&lt;=31,3,IF(INDEX(ERP資料!$G:$G, (MATCH(1035, 輔助計算!$G$2:$G$801, 0)+1))&lt;=46.5,2,1)), IF(INDEX(ERP資料!$G:$G, (MATCH(1035, 輔助計算!$G$2:$G$801, 0)+1))&lt;=790,3,IF(INDEX(ERP資料!$G:$G, (MATCH(1035, 輔助計算!$G$2:$G$801, 0)+1))&lt;=1181,2,1)))=1,TEXT(INDEX(ERP資料!$G:$G, (MATCH(1035, 輔助計算!$G$2:$G$801, 0)+1)),"0.##"),IF(IF(INDEX(ERP資料!$G:$G, (MATCH(1035, 輔助計算!$G$2:$G$801, 0)+1))&lt;100, IF(INDEX(ERP資料!$G:$G, (MATCH(1035, 輔助計算!$G$2:$G$801, 0)+1))&lt;=31,3,IF(INDEX(ERP資料!$G:$G, (MATCH(1035, 輔助計算!$G$2:$G$801, 0)+1))&lt;=46.5,2,1)), IF(INDEX(ERP資料!$G:$G, (MATCH(1035, 輔助計算!$G$2:$G$801, 0)+1))&lt;=790,3,IF(INDEX(ERP資料!$G:$G, (MATCH(1035, 輔助計算!$G$2:$G$801, 0)+1))&lt;=1181,2,1)))=2,TEXT(INDEX(ERP資料!$G:$G, (MATCH(1035, 輔助計算!$G$2:$G$801, 0)+1)),"0.##")&amp;"+"&amp;TEXT(INDEX(ERP資料!$G:$G, (MATCH(1035, 輔助計算!$G$2:$G$801, 0)+1)),"0.##"),TEXT(INDEX(ERP資料!$G:$G, (MATCH(1035, 輔助計算!$G$2:$G$801, 0)+1)),"0.##")&amp;"+"&amp;TEXT(INDEX(ERP資料!$G:$G, (MATCH(1035, 輔助計算!$G$2:$G$801, 0)+1)),"0.##")&amp;"+"&amp;TEXT(INDEX(ERP資料!$G:$G, (MATCH(1035, 輔助計算!$G$2:$G$801, 0)+1)),"0.##")))&amp;"-"&amp;INT(INDEX(輔助計算!$D:$D, (MATCH(1035, 輔助計算!$G$2:$G$801, 0)+1))/IF(INDEX(ERP資料!$G:$G, (MATCH(1035, 輔助計算!$G$2:$G$801, 0)+1))&lt;100, IF(INDEX(ERP資料!$G:$G, (MATCH(1035, 輔助計算!$G$2:$G$801, 0)+1))&lt;=31,3,IF(INDEX(ERP資料!$G:$G, (MATCH(1035, 輔助計算!$G$2:$G$801, 0)+1))&lt;=46.5,2,1)), IF(INDEX(ERP資料!$G:$G, (MATCH(1035, 輔助計算!$G$2:$G$801, 0)+1))&lt;=790,3,IF(INDEX(ERP資料!$G:$G, (MATCH(1035, 輔助計算!$G$2:$G$801, 0)+1))&lt;=1181,2,1)))), "")&amp;IF(AND(IF(INT(INDEX(輔助計算!$D:$D, (MATCH(1035, 輔助計算!$G$2:$G$801, 0)+1))/IF(INDEX(ERP資料!$G:$G, (MATCH(1035, 輔助計算!$G$2:$G$801, 0)+1))&lt;100, IF(INDEX(ERP資料!$G:$G, (MATCH(1035, 輔助計算!$G$2:$G$801, 0)+1))&lt;=31,3,IF(INDEX(ERP資料!$G:$G, (MATCH(1035, 輔助計算!$G$2:$G$801, 0)+1))&lt;=46.5,2,1)), IF(INDEX(ERP資料!$G:$G, (MATCH(1035, 輔助計算!$G$2:$G$801, 0)+1))&lt;=790,3,IF(INDEX(ERP資料!$G:$G, (MATCH(1035, 輔助計算!$G$2:$G$801, 0)+1))&lt;=1181,2,1))))&gt;0, IF(IF(INDEX(ERP資料!$G:$G, (MATCH(1035, 輔助計算!$G$2:$G$801, 0)+1))&lt;100, IF(INDEX(ERP資料!$G:$G, (MATCH(1035, 輔助計算!$G$2:$G$801, 0)+1))&lt;=31,3,IF(INDEX(ERP資料!$G:$G, (MATCH(1035, 輔助計算!$G$2:$G$801, 0)+1))&lt;=46.5,2,1)), IF(INDEX(ERP資料!$G:$G, (MATCH(1035, 輔助計算!$G$2:$G$801, 0)+1))&lt;=790,3,IF(INDEX(ERP資料!$G:$G, (MATCH(1035, 輔助計算!$G$2:$G$801, 0)+1))&lt;=1181,2,1)))=1,TEXT(INDEX(ERP資料!$G:$G, (MATCH(1035, 輔助計算!$G$2:$G$801, 0)+1)),"0.##"),IF(IF(INDEX(ERP資料!$G:$G, (MATCH(1035, 輔助計算!$G$2:$G$801, 0)+1))&lt;100, IF(INDEX(ERP資料!$G:$G, (MATCH(1035, 輔助計算!$G$2:$G$801, 0)+1))&lt;=31,3,IF(INDEX(ERP資料!$G:$G, (MATCH(1035, 輔助計算!$G$2:$G$801, 0)+1))&lt;=46.5,2,1)), IF(INDEX(ERP資料!$G:$G, (MATCH(1035, 輔助計算!$G$2:$G$801, 0)+1))&lt;=790,3,IF(INDEX(ERP資料!$G:$G, (MATCH(1035, 輔助計算!$G$2:$G$801, 0)+1))&lt;=1181,2,1)))=2,TEXT(INDEX(ERP資料!$G:$G, (MATCH(1035, 輔助計算!$G$2:$G$801, 0)+1)),"0.##")&amp;"+"&amp;TEXT(INDEX(ERP資料!$G:$G, (MATCH(1035, 輔助計算!$G$2:$G$801, 0)+1)),"0.##"),TEXT(INDEX(ERP資料!$G:$G, (MATCH(1035, 輔助計算!$G$2:$G$801, 0)+1)),"0.##")&amp;"+"&amp;TEXT(INDEX(ERP資料!$G:$G, (MATCH(1035, 輔助計算!$G$2:$G$801, 0)+1)),"0.##")&amp;"+"&amp;TEXT(INDEX(ERP資料!$G:$G, (MATCH(1035, 輔助計算!$G$2:$G$801, 0)+1)),"0.##")))&amp;"-"&amp;INT(INDEX(輔助計算!$D:$D, (MATCH(1035, 輔助計算!$G$2:$G$801, 0)+1))/IF(INDEX(ERP資料!$G:$G, (MATCH(1035, 輔助計算!$G$2:$G$801, 0)+1))&lt;100, IF(INDEX(ERP資料!$G:$G, (MATCH(1035, 輔助計算!$G$2:$G$801, 0)+1))&lt;=31,3,IF(INDEX(ERP資料!$G:$G, (MATCH(1035, 輔助計算!$G$2:$G$801, 0)+1))&lt;=46.5,2,1)), IF(INDEX(ERP資料!$G:$G, (MATCH(1035, 輔助計算!$G$2:$G$801, 0)+1))&lt;=790,3,IF(INDEX(ERP資料!$G:$G, (MATCH(1035, 輔助計算!$G$2:$G$801, 0)+1))&lt;=1181,2,1)))), "")&lt;&gt;"",IF(MOD(INDEX(輔助計算!$D:$D, (MATCH(1035, 輔助計算!$G$2:$G$801, 0)+1)),IF(INDEX(ERP資料!$G:$G, (MATCH(1035, 輔助計算!$G$2:$G$801, 0)+1))&lt;100, IF(INDEX(ERP資料!$G:$G, (MATCH(1035, 輔助計算!$G$2:$G$801, 0)+1))&lt;=31,3,IF(INDEX(ERP資料!$G:$G, (MATCH(1035, 輔助計算!$G$2:$G$801, 0)+1))&lt;=46.5,2,1)), IF(INDEX(ERP資料!$G:$G, (MATCH(1035, 輔助計算!$G$2:$G$801, 0)+1))&lt;=790,3,IF(INDEX(ERP資料!$G:$G, (MATCH(1035, 輔助計算!$G$2:$G$801, 0)+1))&lt;=1181,2,1))))=0,"",IF(MOD(INDEX(輔助計算!$D:$D, (MATCH(1035, 輔助計算!$G$2:$G$801, 0)+1)),IF(INDEX(ERP資料!$G:$G, (MATCH(1035, 輔助計算!$G$2:$G$801, 0)+1))&lt;100, IF(INDEX(ERP資料!$G:$G, (MATCH(1035, 輔助計算!$G$2:$G$801, 0)+1))&lt;=31,3,IF(INDEX(ERP資料!$G:$G, (MATCH(1035, 輔助計算!$G$2:$G$801, 0)+1))&lt;=46.5,2,1)), IF(INDEX(ERP資料!$G:$G, (MATCH(1035, 輔助計算!$G$2:$G$801, 0)+1))&lt;=790,3,IF(INDEX(ERP資料!$G:$G, (MATCH(1035, 輔助計算!$G$2:$G$801, 0)+1))&lt;=1181,2,1))))=0,"",IF(MOD(INDEX(輔助計算!$D:$D, (MATCH(1035, 輔助計算!$G$2:$G$801, 0)+1)),IF(INDEX(ERP資料!$G:$G, (MATCH(1035, 輔助計算!$G$2:$G$801, 0)+1))&lt;100, IF(INDEX(ERP資料!$G:$G, (MATCH(1035, 輔助計算!$G$2:$G$801, 0)+1))&lt;=31,3,IF(INDEX(ERP資料!$G:$G, (MATCH(1035, 輔助計算!$G$2:$G$801, 0)+1))&lt;=46.5,2,1)), IF(INDEX(ERP資料!$G:$G, (MATCH(1035, 輔助計算!$G$2:$G$801, 0)+1))&lt;=790,3,IF(INDEX(ERP資料!$G:$G, (MATCH(1035, 輔助計算!$G$2:$G$801, 0)+1))&lt;=1181,2,1))))=1,TEXT(INDEX(ERP資料!$G:$G, (MATCH(1035, 輔助計算!$G$2:$G$801, 0)+1)),"0.##"),IF(MOD(INDEX(輔助計算!$D:$D, (MATCH(1035, 輔助計算!$G$2:$G$801, 0)+1)),IF(INDEX(ERP資料!$G:$G, (MATCH(1035, 輔助計算!$G$2:$G$801, 0)+1))&lt;100, IF(INDEX(ERP資料!$G:$G, (MATCH(1035, 輔助計算!$G$2:$G$801, 0)+1))&lt;=31,3,IF(INDEX(ERP資料!$G:$G, (MATCH(1035, 輔助計算!$G$2:$G$801, 0)+1))&lt;=46.5,2,1)), IF(INDEX(ERP資料!$G:$G, (MATCH(1035, 輔助計算!$G$2:$G$801, 0)+1))&lt;=790,3,IF(INDEX(ERP資料!$G:$G, (MATCH(1035, 輔助計算!$G$2:$G$801, 0)+1))&lt;=1181,2,1))))=2,TEXT(INDEX(ERP資料!$G:$G, (MATCH(1035, 輔助計算!$G$2:$G$801, 0)+1)),"0.##")&amp;"+"&amp;TEXT(INDEX(ERP資料!$G:$G, (MATCH(1035, 輔助計算!$G$2:$G$801, 0)+1)),"0.##"),TEXT(INDEX(ERP資料!$G:$G, (MATCH(1035, 輔助計算!$G$2:$G$801, 0)+1)),"0.##")&amp;"+"&amp;TEXT(INDEX(ERP資料!$G:$G, (MATCH(1035, 輔助計算!$G$2:$G$801, 0)+1)),"0.##")&amp;"+"&amp;TEXT(INDEX(ERP資料!$G:$G, (MATCH(1035, 輔助計算!$G$2:$G$801, 0)+1)),"0.##"))))&amp;"-1")&lt;&gt;""),"  ","")&amp;IF(MOD(INDEX(輔助計算!$D:$D, (MATCH(1035, 輔助計算!$G$2:$G$801, 0)+1)),IF(INDEX(ERP資料!$G:$G, (MATCH(1035, 輔助計算!$G$2:$G$801, 0)+1))&lt;100, IF(INDEX(ERP資料!$G:$G, (MATCH(1035, 輔助計算!$G$2:$G$801, 0)+1))&lt;=31,3,IF(INDEX(ERP資料!$G:$G, (MATCH(1035, 輔助計算!$G$2:$G$801, 0)+1))&lt;=46.5,2,1)), IF(INDEX(ERP資料!$G:$G, (MATCH(1035, 輔助計算!$G$2:$G$801, 0)+1))&lt;=790,3,IF(INDEX(ERP資料!$G:$G, (MATCH(1035, 輔助計算!$G$2:$G$801, 0)+1))&lt;=1181,2,1))))=0,"",IF(MOD(INDEX(輔助計算!$D:$D, (MATCH(1035, 輔助計算!$G$2:$G$801, 0)+1)),IF(INDEX(ERP資料!$G:$G, (MATCH(1035, 輔助計算!$G$2:$G$801, 0)+1))&lt;100, IF(INDEX(ERP資料!$G:$G, (MATCH(1035, 輔助計算!$G$2:$G$801, 0)+1))&lt;=31,3,IF(INDEX(ERP資料!$G:$G, (MATCH(1035, 輔助計算!$G$2:$G$801, 0)+1))&lt;=46.5,2,1)), IF(INDEX(ERP資料!$G:$G, (MATCH(1035, 輔助計算!$G$2:$G$801, 0)+1))&lt;=790,3,IF(INDEX(ERP資料!$G:$G, (MATCH(1035, 輔助計算!$G$2:$G$801, 0)+1))&lt;=1181,2,1))))=0,"",IF(MOD(INDEX(輔助計算!$D:$D, (MATCH(1035, 輔助計算!$G$2:$G$801, 0)+1)),IF(INDEX(ERP資料!$G:$G, (MATCH(1035, 輔助計算!$G$2:$G$801, 0)+1))&lt;100, IF(INDEX(ERP資料!$G:$G, (MATCH(1035, 輔助計算!$G$2:$G$801, 0)+1))&lt;=31,3,IF(INDEX(ERP資料!$G:$G, (MATCH(1035, 輔助計算!$G$2:$G$801, 0)+1))&lt;=46.5,2,1)), IF(INDEX(ERP資料!$G:$G, (MATCH(1035, 輔助計算!$G$2:$G$801, 0)+1))&lt;=790,3,IF(INDEX(ERP資料!$G:$G, (MATCH(1035, 輔助計算!$G$2:$G$801, 0)+1))&lt;=1181,2,1))))=1,TEXT(INDEX(ERP資料!$G:$G, (MATCH(1035, 輔助計算!$G$2:$G$801, 0)+1)),"0.##"),IF(MOD(INDEX(輔助計算!$D:$D, (MATCH(1035, 輔助計算!$G$2:$G$801, 0)+1)),IF(INDEX(ERP資料!$G:$G, (MATCH(1035, 輔助計算!$G$2:$G$801, 0)+1))&lt;100, IF(INDEX(ERP資料!$G:$G, (MATCH(1035, 輔助計算!$G$2:$G$801, 0)+1))&lt;=31,3,IF(INDEX(ERP資料!$G:$G, (MATCH(1035, 輔助計算!$G$2:$G$801, 0)+1))&lt;=46.5,2,1)), IF(INDEX(ERP資料!$G:$G, (MATCH(1035, 輔助計算!$G$2:$G$801, 0)+1))&lt;=790,3,IF(INDEX(ERP資料!$G:$G, (MATCH(1035, 輔助計算!$G$2:$G$801, 0)+1))&lt;=1181,2,1))))=2,TEXT(INDEX(ERP資料!$G:$G, (MATCH(1035, 輔助計算!$G$2:$G$801, 0)+1)),"0.##")&amp;"+"&amp;TEXT(INDEX(ERP資料!$G:$G, (MATCH(1035, 輔助計算!$G$2:$G$801, 0)+1)),"0.##"),TEXT(INDEX(ERP資料!$G:$G, (MATCH(1035, 輔助計算!$G$2:$G$801, 0)+1)),"0.##")&amp;"+"&amp;TEXT(INDEX(ERP資料!$G:$G, (MATCH(1035, 輔助計算!$G$2:$G$801, 0)+1)),"0.##")&amp;"+"&amp;TEXT(INDEX(ERP資料!$G:$G, (MATCH(1035, 輔助計算!$G$2:$G$801, 0)+1)),"0.##"))))&amp;"-1")), ""), "")</f>
        <v/>
      </c>
      <c r="K1036" s="16" t="n"/>
      <c r="L1036" s="14">
        <f>IFERROR(IF(AND(IFERROR(INDEX(ERP資料!$A:$A, (MATCH(1035, 輔助計算!$G$2:$G$801, 0)+1)), "")&lt;&gt;"", IFERROR(INDEX(ERP資料!$A:$A, (MATCH(1035, 輔助計算!$G$2:$G$801, 0)+1)), "")&lt;&gt;IFERROR(INDEX(ERP資料!$A:$A, MATCH(1034, 輔助計算!$G$2:$G$801, 0)+1), "")), INDEX(ERP資料!$B:$B, (MATCH(1035, 輔助計算!$G$2:$G$801, 0)+1)), ""), "")</f>
        <v/>
      </c>
      <c r="M1036" s="17" t="n"/>
    </row>
    <row r="1037">
      <c r="A1037" s="10">
        <f>IFERROR(IF(AND(IFERROR(INDEX(ERP資料!$A:$A, (MATCH(1036, 輔助計算!$G$2:$G$801, 0)+1)), "")&lt;&gt;"", IFERROR(INDEX(ERP資料!$A:$A, (MATCH(1036, 輔助計算!$G$2:$G$801, 0)+1)), "")&lt;&gt;IFERROR(INDEX(ERP資料!$A:$A, MATCH(1035, 輔助計算!$G$2:$G$801, 0)+1), "")), IFERROR(INDEX(ERP資料!$A:$A, (MATCH(1036, 輔助計算!$G$2:$G$801, 0)+1)), ""), ""), "")</f>
        <v/>
      </c>
      <c r="B1037" s="10">
        <f>IFERROR(IF(AND(IFERROR(INDEX(ERP資料!$A:$A, (MATCH(1036, 輔助計算!$G$2:$G$801, 0)+1)), "")&lt;&gt;"", IFERROR(INDEX(ERP資料!$A:$A, (MATCH(1036, 輔助計算!$G$2:$G$801, 0)+1)), "")&lt;&gt;IFERROR(INDEX(ERP資料!$A:$A, MATCH(1035, 輔助計算!$G$2:$G$801, 0)+1), "")), INDEX(ERP資料!$S:$S, (MATCH(1036, 輔助計算!$G$2:$G$801, 0)+1)), ""), "")</f>
        <v/>
      </c>
      <c r="C1037" s="19">
        <f>IFERROR(IF(AND(IFERROR(INDEX(ERP資料!$A:$A, (MATCH(1036, 輔助計算!$G$2:$G$801, 0)+1)), "")&lt;&gt;"", IFERROR(INDEX(ERP資料!$A:$A, (MATCH(1036, 輔助計算!$G$2:$G$801, 0)+1)), "")&lt;&gt;IFERROR(INDEX(ERP資料!$A:$A, MATCH(1035, 輔助計算!$G$2:$G$801, 0)+1), "")), IFERROR(VLOOKUP(LEFT(INDEX(ERP資料!$S:$S, (MATCH(1036, 輔助計算!$G$2:$G$801, 0)+1)), 4), 紙管對照表!$A:$C, 3, FALSE), ""), ""), "")</f>
        <v/>
      </c>
      <c r="D1037" s="16" t="n"/>
      <c r="E1037" s="10">
        <f>IFERROR(IF(INDEX(ERP資料!$H:$H, (MATCH(1036, 輔助計算!$G$2:$G$801, 0)+1))="","",INDEX(ERP資料!$H:$H, (MATCH(1036, 輔助計算!$G$2:$G$801, 0)+1))), "")</f>
        <v/>
      </c>
      <c r="F1037" s="10">
        <f>IFERROR(IF(INDEX(ERP資料!$E:$E, (MATCH(1036, 輔助計算!$G$2:$G$801, 0)+1))="","",TRIM(INDEX(ERP資料!$E:$E, (MATCH(1036, 輔助計算!$G$2:$G$801, 0)+1)))), "")</f>
        <v/>
      </c>
      <c r="G1037" s="10">
        <f>IFERROR(IF(INDEX(ERP資料!$F:$F, (MATCH(1036, 輔助計算!$G$2:$G$801, 0)+1))="","",INDEX(ERP資料!$F:$F, (MATCH(1036, 輔助計算!$G$2:$G$801, 0)+1))), "")</f>
        <v/>
      </c>
      <c r="H1037" s="10">
        <f>IFERROR(IF(INDEX(ERP資料!$G:$G, (MATCH(1036, 輔助計算!$G$2:$G$801, 0)+1))="","",INDEX(ERP資料!$G:$G, (MATCH(1036, 輔助計算!$G$2:$G$801, 0)+1))), "")</f>
        <v/>
      </c>
      <c r="I1037" s="15">
        <f>IFERROR(INDEX(輔助計算!$D:$D, (MATCH(1036, 輔助計算!$G$2:$G$801, 0)+1)), "")</f>
        <v/>
      </c>
      <c r="J1037" s="15">
        <f>IFERROR(IF(AND(INDEX(輔助計算!$D:$D, (MATCH(1036, 輔助計算!$G$2:$G$801, 0)+1))&lt;&gt;"", INDEX(ERP資料!$G:$G, (MATCH(1036, 輔助計算!$G$2:$G$801, 0)+1))&lt;&gt;""), TRIM(IF(INT(INDEX(輔助計算!$D:$D, (MATCH(1036, 輔助計算!$G$2:$G$801, 0)+1))/IF(INDEX(ERP資料!$G:$G, (MATCH(1036, 輔助計算!$G$2:$G$801, 0)+1))&lt;100, IF(INDEX(ERP資料!$G:$G, (MATCH(1036, 輔助計算!$G$2:$G$801, 0)+1))&lt;=31,3,IF(INDEX(ERP資料!$G:$G, (MATCH(1036, 輔助計算!$G$2:$G$801, 0)+1))&lt;=46.5,2,1)), IF(INDEX(ERP資料!$G:$G, (MATCH(1036, 輔助計算!$G$2:$G$801, 0)+1))&lt;=790,3,IF(INDEX(ERP資料!$G:$G, (MATCH(1036, 輔助計算!$G$2:$G$801, 0)+1))&lt;=1181,2,1))))&gt;0, IF(IF(INDEX(ERP資料!$G:$G, (MATCH(1036, 輔助計算!$G$2:$G$801, 0)+1))&lt;100, IF(INDEX(ERP資料!$G:$G, (MATCH(1036, 輔助計算!$G$2:$G$801, 0)+1))&lt;=31,3,IF(INDEX(ERP資料!$G:$G, (MATCH(1036, 輔助計算!$G$2:$G$801, 0)+1))&lt;=46.5,2,1)), IF(INDEX(ERP資料!$G:$G, (MATCH(1036, 輔助計算!$G$2:$G$801, 0)+1))&lt;=790,3,IF(INDEX(ERP資料!$G:$G, (MATCH(1036, 輔助計算!$G$2:$G$801, 0)+1))&lt;=1181,2,1)))=1,TEXT(INDEX(ERP資料!$G:$G, (MATCH(1036, 輔助計算!$G$2:$G$801, 0)+1)),"0.##"),IF(IF(INDEX(ERP資料!$G:$G, (MATCH(1036, 輔助計算!$G$2:$G$801, 0)+1))&lt;100, IF(INDEX(ERP資料!$G:$G, (MATCH(1036, 輔助計算!$G$2:$G$801, 0)+1))&lt;=31,3,IF(INDEX(ERP資料!$G:$G, (MATCH(1036, 輔助計算!$G$2:$G$801, 0)+1))&lt;=46.5,2,1)), IF(INDEX(ERP資料!$G:$G, (MATCH(1036, 輔助計算!$G$2:$G$801, 0)+1))&lt;=790,3,IF(INDEX(ERP資料!$G:$G, (MATCH(1036, 輔助計算!$G$2:$G$801, 0)+1))&lt;=1181,2,1)))=2,TEXT(INDEX(ERP資料!$G:$G, (MATCH(1036, 輔助計算!$G$2:$G$801, 0)+1)),"0.##")&amp;"+"&amp;TEXT(INDEX(ERP資料!$G:$G, (MATCH(1036, 輔助計算!$G$2:$G$801, 0)+1)),"0.##"),TEXT(INDEX(ERP資料!$G:$G, (MATCH(1036, 輔助計算!$G$2:$G$801, 0)+1)),"0.##")&amp;"+"&amp;TEXT(INDEX(ERP資料!$G:$G, (MATCH(1036, 輔助計算!$G$2:$G$801, 0)+1)),"0.##")&amp;"+"&amp;TEXT(INDEX(ERP資料!$G:$G, (MATCH(1036, 輔助計算!$G$2:$G$801, 0)+1)),"0.##")))&amp;"-"&amp;INT(INDEX(輔助計算!$D:$D, (MATCH(1036, 輔助計算!$G$2:$G$801, 0)+1))/IF(INDEX(ERP資料!$G:$G, (MATCH(1036, 輔助計算!$G$2:$G$801, 0)+1))&lt;100, IF(INDEX(ERP資料!$G:$G, (MATCH(1036, 輔助計算!$G$2:$G$801, 0)+1))&lt;=31,3,IF(INDEX(ERP資料!$G:$G, (MATCH(1036, 輔助計算!$G$2:$G$801, 0)+1))&lt;=46.5,2,1)), IF(INDEX(ERP資料!$G:$G, (MATCH(1036, 輔助計算!$G$2:$G$801, 0)+1))&lt;=790,3,IF(INDEX(ERP資料!$G:$G, (MATCH(1036, 輔助計算!$G$2:$G$801, 0)+1))&lt;=1181,2,1)))), "")&amp;IF(AND(IF(INT(INDEX(輔助計算!$D:$D, (MATCH(1036, 輔助計算!$G$2:$G$801, 0)+1))/IF(INDEX(ERP資料!$G:$G, (MATCH(1036, 輔助計算!$G$2:$G$801, 0)+1))&lt;100, IF(INDEX(ERP資料!$G:$G, (MATCH(1036, 輔助計算!$G$2:$G$801, 0)+1))&lt;=31,3,IF(INDEX(ERP資料!$G:$G, (MATCH(1036, 輔助計算!$G$2:$G$801, 0)+1))&lt;=46.5,2,1)), IF(INDEX(ERP資料!$G:$G, (MATCH(1036, 輔助計算!$G$2:$G$801, 0)+1))&lt;=790,3,IF(INDEX(ERP資料!$G:$G, (MATCH(1036, 輔助計算!$G$2:$G$801, 0)+1))&lt;=1181,2,1))))&gt;0, IF(IF(INDEX(ERP資料!$G:$G, (MATCH(1036, 輔助計算!$G$2:$G$801, 0)+1))&lt;100, IF(INDEX(ERP資料!$G:$G, (MATCH(1036, 輔助計算!$G$2:$G$801, 0)+1))&lt;=31,3,IF(INDEX(ERP資料!$G:$G, (MATCH(1036, 輔助計算!$G$2:$G$801, 0)+1))&lt;=46.5,2,1)), IF(INDEX(ERP資料!$G:$G, (MATCH(1036, 輔助計算!$G$2:$G$801, 0)+1))&lt;=790,3,IF(INDEX(ERP資料!$G:$G, (MATCH(1036, 輔助計算!$G$2:$G$801, 0)+1))&lt;=1181,2,1)))=1,TEXT(INDEX(ERP資料!$G:$G, (MATCH(1036, 輔助計算!$G$2:$G$801, 0)+1)),"0.##"),IF(IF(INDEX(ERP資料!$G:$G, (MATCH(1036, 輔助計算!$G$2:$G$801, 0)+1))&lt;100, IF(INDEX(ERP資料!$G:$G, (MATCH(1036, 輔助計算!$G$2:$G$801, 0)+1))&lt;=31,3,IF(INDEX(ERP資料!$G:$G, (MATCH(1036, 輔助計算!$G$2:$G$801, 0)+1))&lt;=46.5,2,1)), IF(INDEX(ERP資料!$G:$G, (MATCH(1036, 輔助計算!$G$2:$G$801, 0)+1))&lt;=790,3,IF(INDEX(ERP資料!$G:$G, (MATCH(1036, 輔助計算!$G$2:$G$801, 0)+1))&lt;=1181,2,1)))=2,TEXT(INDEX(ERP資料!$G:$G, (MATCH(1036, 輔助計算!$G$2:$G$801, 0)+1)),"0.##")&amp;"+"&amp;TEXT(INDEX(ERP資料!$G:$G, (MATCH(1036, 輔助計算!$G$2:$G$801, 0)+1)),"0.##"),TEXT(INDEX(ERP資料!$G:$G, (MATCH(1036, 輔助計算!$G$2:$G$801, 0)+1)),"0.##")&amp;"+"&amp;TEXT(INDEX(ERP資料!$G:$G, (MATCH(1036, 輔助計算!$G$2:$G$801, 0)+1)),"0.##")&amp;"+"&amp;TEXT(INDEX(ERP資料!$G:$G, (MATCH(1036, 輔助計算!$G$2:$G$801, 0)+1)),"0.##")))&amp;"-"&amp;INT(INDEX(輔助計算!$D:$D, (MATCH(1036, 輔助計算!$G$2:$G$801, 0)+1))/IF(INDEX(ERP資料!$G:$G, (MATCH(1036, 輔助計算!$G$2:$G$801, 0)+1))&lt;100, IF(INDEX(ERP資料!$G:$G, (MATCH(1036, 輔助計算!$G$2:$G$801, 0)+1))&lt;=31,3,IF(INDEX(ERP資料!$G:$G, (MATCH(1036, 輔助計算!$G$2:$G$801, 0)+1))&lt;=46.5,2,1)), IF(INDEX(ERP資料!$G:$G, (MATCH(1036, 輔助計算!$G$2:$G$801, 0)+1))&lt;=790,3,IF(INDEX(ERP資料!$G:$G, (MATCH(1036, 輔助計算!$G$2:$G$801, 0)+1))&lt;=1181,2,1)))), "")&lt;&gt;"",IF(MOD(INDEX(輔助計算!$D:$D, (MATCH(1036, 輔助計算!$G$2:$G$801, 0)+1)),IF(INDEX(ERP資料!$G:$G, (MATCH(1036, 輔助計算!$G$2:$G$801, 0)+1))&lt;100, IF(INDEX(ERP資料!$G:$G, (MATCH(1036, 輔助計算!$G$2:$G$801, 0)+1))&lt;=31,3,IF(INDEX(ERP資料!$G:$G, (MATCH(1036, 輔助計算!$G$2:$G$801, 0)+1))&lt;=46.5,2,1)), IF(INDEX(ERP資料!$G:$G, (MATCH(1036, 輔助計算!$G$2:$G$801, 0)+1))&lt;=790,3,IF(INDEX(ERP資料!$G:$G, (MATCH(1036, 輔助計算!$G$2:$G$801, 0)+1))&lt;=1181,2,1))))=0,"",IF(MOD(INDEX(輔助計算!$D:$D, (MATCH(1036, 輔助計算!$G$2:$G$801, 0)+1)),IF(INDEX(ERP資料!$G:$G, (MATCH(1036, 輔助計算!$G$2:$G$801, 0)+1))&lt;100, IF(INDEX(ERP資料!$G:$G, (MATCH(1036, 輔助計算!$G$2:$G$801, 0)+1))&lt;=31,3,IF(INDEX(ERP資料!$G:$G, (MATCH(1036, 輔助計算!$G$2:$G$801, 0)+1))&lt;=46.5,2,1)), IF(INDEX(ERP資料!$G:$G, (MATCH(1036, 輔助計算!$G$2:$G$801, 0)+1))&lt;=790,3,IF(INDEX(ERP資料!$G:$G, (MATCH(1036, 輔助計算!$G$2:$G$801, 0)+1))&lt;=1181,2,1))))=0,"",IF(MOD(INDEX(輔助計算!$D:$D, (MATCH(1036, 輔助計算!$G$2:$G$801, 0)+1)),IF(INDEX(ERP資料!$G:$G, (MATCH(1036, 輔助計算!$G$2:$G$801, 0)+1))&lt;100, IF(INDEX(ERP資料!$G:$G, (MATCH(1036, 輔助計算!$G$2:$G$801, 0)+1))&lt;=31,3,IF(INDEX(ERP資料!$G:$G, (MATCH(1036, 輔助計算!$G$2:$G$801, 0)+1))&lt;=46.5,2,1)), IF(INDEX(ERP資料!$G:$G, (MATCH(1036, 輔助計算!$G$2:$G$801, 0)+1))&lt;=790,3,IF(INDEX(ERP資料!$G:$G, (MATCH(1036, 輔助計算!$G$2:$G$801, 0)+1))&lt;=1181,2,1))))=1,TEXT(INDEX(ERP資料!$G:$G, (MATCH(1036, 輔助計算!$G$2:$G$801, 0)+1)),"0.##"),IF(MOD(INDEX(輔助計算!$D:$D, (MATCH(1036, 輔助計算!$G$2:$G$801, 0)+1)),IF(INDEX(ERP資料!$G:$G, (MATCH(1036, 輔助計算!$G$2:$G$801, 0)+1))&lt;100, IF(INDEX(ERP資料!$G:$G, (MATCH(1036, 輔助計算!$G$2:$G$801, 0)+1))&lt;=31,3,IF(INDEX(ERP資料!$G:$G, (MATCH(1036, 輔助計算!$G$2:$G$801, 0)+1))&lt;=46.5,2,1)), IF(INDEX(ERP資料!$G:$G, (MATCH(1036, 輔助計算!$G$2:$G$801, 0)+1))&lt;=790,3,IF(INDEX(ERP資料!$G:$G, (MATCH(1036, 輔助計算!$G$2:$G$801, 0)+1))&lt;=1181,2,1))))=2,TEXT(INDEX(ERP資料!$G:$G, (MATCH(1036, 輔助計算!$G$2:$G$801, 0)+1)),"0.##")&amp;"+"&amp;TEXT(INDEX(ERP資料!$G:$G, (MATCH(1036, 輔助計算!$G$2:$G$801, 0)+1)),"0.##"),TEXT(INDEX(ERP資料!$G:$G, (MATCH(1036, 輔助計算!$G$2:$G$801, 0)+1)),"0.##")&amp;"+"&amp;TEXT(INDEX(ERP資料!$G:$G, (MATCH(1036, 輔助計算!$G$2:$G$801, 0)+1)),"0.##")&amp;"+"&amp;TEXT(INDEX(ERP資料!$G:$G, (MATCH(1036, 輔助計算!$G$2:$G$801, 0)+1)),"0.##"))))&amp;"-1")&lt;&gt;""),"  ","")&amp;IF(MOD(INDEX(輔助計算!$D:$D, (MATCH(1036, 輔助計算!$G$2:$G$801, 0)+1)),IF(INDEX(ERP資料!$G:$G, (MATCH(1036, 輔助計算!$G$2:$G$801, 0)+1))&lt;100, IF(INDEX(ERP資料!$G:$G, (MATCH(1036, 輔助計算!$G$2:$G$801, 0)+1))&lt;=31,3,IF(INDEX(ERP資料!$G:$G, (MATCH(1036, 輔助計算!$G$2:$G$801, 0)+1))&lt;=46.5,2,1)), IF(INDEX(ERP資料!$G:$G, (MATCH(1036, 輔助計算!$G$2:$G$801, 0)+1))&lt;=790,3,IF(INDEX(ERP資料!$G:$G, (MATCH(1036, 輔助計算!$G$2:$G$801, 0)+1))&lt;=1181,2,1))))=0,"",IF(MOD(INDEX(輔助計算!$D:$D, (MATCH(1036, 輔助計算!$G$2:$G$801, 0)+1)),IF(INDEX(ERP資料!$G:$G, (MATCH(1036, 輔助計算!$G$2:$G$801, 0)+1))&lt;100, IF(INDEX(ERP資料!$G:$G, (MATCH(1036, 輔助計算!$G$2:$G$801, 0)+1))&lt;=31,3,IF(INDEX(ERP資料!$G:$G, (MATCH(1036, 輔助計算!$G$2:$G$801, 0)+1))&lt;=46.5,2,1)), IF(INDEX(ERP資料!$G:$G, (MATCH(1036, 輔助計算!$G$2:$G$801, 0)+1))&lt;=790,3,IF(INDEX(ERP資料!$G:$G, (MATCH(1036, 輔助計算!$G$2:$G$801, 0)+1))&lt;=1181,2,1))))=0,"",IF(MOD(INDEX(輔助計算!$D:$D, (MATCH(1036, 輔助計算!$G$2:$G$801, 0)+1)),IF(INDEX(ERP資料!$G:$G, (MATCH(1036, 輔助計算!$G$2:$G$801, 0)+1))&lt;100, IF(INDEX(ERP資料!$G:$G, (MATCH(1036, 輔助計算!$G$2:$G$801, 0)+1))&lt;=31,3,IF(INDEX(ERP資料!$G:$G, (MATCH(1036, 輔助計算!$G$2:$G$801, 0)+1))&lt;=46.5,2,1)), IF(INDEX(ERP資料!$G:$G, (MATCH(1036, 輔助計算!$G$2:$G$801, 0)+1))&lt;=790,3,IF(INDEX(ERP資料!$G:$G, (MATCH(1036, 輔助計算!$G$2:$G$801, 0)+1))&lt;=1181,2,1))))=1,TEXT(INDEX(ERP資料!$G:$G, (MATCH(1036, 輔助計算!$G$2:$G$801, 0)+1)),"0.##"),IF(MOD(INDEX(輔助計算!$D:$D, (MATCH(1036, 輔助計算!$G$2:$G$801, 0)+1)),IF(INDEX(ERP資料!$G:$G, (MATCH(1036, 輔助計算!$G$2:$G$801, 0)+1))&lt;100, IF(INDEX(ERP資料!$G:$G, (MATCH(1036, 輔助計算!$G$2:$G$801, 0)+1))&lt;=31,3,IF(INDEX(ERP資料!$G:$G, (MATCH(1036, 輔助計算!$G$2:$G$801, 0)+1))&lt;=46.5,2,1)), IF(INDEX(ERP資料!$G:$G, (MATCH(1036, 輔助計算!$G$2:$G$801, 0)+1))&lt;=790,3,IF(INDEX(ERP資料!$G:$G, (MATCH(1036, 輔助計算!$G$2:$G$801, 0)+1))&lt;=1181,2,1))))=2,TEXT(INDEX(ERP資料!$G:$G, (MATCH(1036, 輔助計算!$G$2:$G$801, 0)+1)),"0.##")&amp;"+"&amp;TEXT(INDEX(ERP資料!$G:$G, (MATCH(1036, 輔助計算!$G$2:$G$801, 0)+1)),"0.##"),TEXT(INDEX(ERP資料!$G:$G, (MATCH(1036, 輔助計算!$G$2:$G$801, 0)+1)),"0.##")&amp;"+"&amp;TEXT(INDEX(ERP資料!$G:$G, (MATCH(1036, 輔助計算!$G$2:$G$801, 0)+1)),"0.##")&amp;"+"&amp;TEXT(INDEX(ERP資料!$G:$G, (MATCH(1036, 輔助計算!$G$2:$G$801, 0)+1)),"0.##"))))&amp;"-1")), ""), "")</f>
        <v/>
      </c>
      <c r="K1037" s="16" t="n"/>
      <c r="L1037" s="14">
        <f>IFERROR(IF(AND(IFERROR(INDEX(ERP資料!$A:$A, (MATCH(1036, 輔助計算!$G$2:$G$801, 0)+1)), "")&lt;&gt;"", IFERROR(INDEX(ERP資料!$A:$A, (MATCH(1036, 輔助計算!$G$2:$G$801, 0)+1)), "")&lt;&gt;IFERROR(INDEX(ERP資料!$A:$A, MATCH(1035, 輔助計算!$G$2:$G$801, 0)+1), "")), INDEX(ERP資料!$B:$B, (MATCH(1036, 輔助計算!$G$2:$G$801, 0)+1)), ""), "")</f>
        <v/>
      </c>
      <c r="M1037" s="17" t="n"/>
    </row>
    <row r="1038">
      <c r="A1038" s="10">
        <f>IFERROR(IF(AND(IFERROR(INDEX(ERP資料!$A:$A, (MATCH(1037, 輔助計算!$G$2:$G$801, 0)+1)), "")&lt;&gt;"", IFERROR(INDEX(ERP資料!$A:$A, (MATCH(1037, 輔助計算!$G$2:$G$801, 0)+1)), "")&lt;&gt;IFERROR(INDEX(ERP資料!$A:$A, MATCH(1036, 輔助計算!$G$2:$G$801, 0)+1), "")), IFERROR(INDEX(ERP資料!$A:$A, (MATCH(1037, 輔助計算!$G$2:$G$801, 0)+1)), ""), ""), "")</f>
        <v/>
      </c>
      <c r="B1038" s="10">
        <f>IFERROR(IF(AND(IFERROR(INDEX(ERP資料!$A:$A, (MATCH(1037, 輔助計算!$G$2:$G$801, 0)+1)), "")&lt;&gt;"", IFERROR(INDEX(ERP資料!$A:$A, (MATCH(1037, 輔助計算!$G$2:$G$801, 0)+1)), "")&lt;&gt;IFERROR(INDEX(ERP資料!$A:$A, MATCH(1036, 輔助計算!$G$2:$G$801, 0)+1), "")), INDEX(ERP資料!$S:$S, (MATCH(1037, 輔助計算!$G$2:$G$801, 0)+1)), ""), "")</f>
        <v/>
      </c>
      <c r="C1038" s="19">
        <f>IFERROR(IF(AND(IFERROR(INDEX(ERP資料!$A:$A, (MATCH(1037, 輔助計算!$G$2:$G$801, 0)+1)), "")&lt;&gt;"", IFERROR(INDEX(ERP資料!$A:$A, (MATCH(1037, 輔助計算!$G$2:$G$801, 0)+1)), "")&lt;&gt;IFERROR(INDEX(ERP資料!$A:$A, MATCH(1036, 輔助計算!$G$2:$G$801, 0)+1), "")), IFERROR(VLOOKUP(LEFT(INDEX(ERP資料!$S:$S, (MATCH(1037, 輔助計算!$G$2:$G$801, 0)+1)), 4), 紙管對照表!$A:$C, 3, FALSE), ""), ""), "")</f>
        <v/>
      </c>
      <c r="D1038" s="16" t="n"/>
      <c r="E1038" s="10">
        <f>IFERROR(IF(INDEX(ERP資料!$H:$H, (MATCH(1037, 輔助計算!$G$2:$G$801, 0)+1))="","",INDEX(ERP資料!$H:$H, (MATCH(1037, 輔助計算!$G$2:$G$801, 0)+1))), "")</f>
        <v/>
      </c>
      <c r="F1038" s="10">
        <f>IFERROR(IF(INDEX(ERP資料!$E:$E, (MATCH(1037, 輔助計算!$G$2:$G$801, 0)+1))="","",TRIM(INDEX(ERP資料!$E:$E, (MATCH(1037, 輔助計算!$G$2:$G$801, 0)+1)))), "")</f>
        <v/>
      </c>
      <c r="G1038" s="10">
        <f>IFERROR(IF(INDEX(ERP資料!$F:$F, (MATCH(1037, 輔助計算!$G$2:$G$801, 0)+1))="","",INDEX(ERP資料!$F:$F, (MATCH(1037, 輔助計算!$G$2:$G$801, 0)+1))), "")</f>
        <v/>
      </c>
      <c r="H1038" s="10">
        <f>IFERROR(IF(INDEX(ERP資料!$G:$G, (MATCH(1037, 輔助計算!$G$2:$G$801, 0)+1))="","",INDEX(ERP資料!$G:$G, (MATCH(1037, 輔助計算!$G$2:$G$801, 0)+1))), "")</f>
        <v/>
      </c>
      <c r="I1038" s="15">
        <f>IFERROR(INDEX(輔助計算!$D:$D, (MATCH(1037, 輔助計算!$G$2:$G$801, 0)+1)), "")</f>
        <v/>
      </c>
      <c r="J1038" s="15">
        <f>IFERROR(IF(AND(INDEX(輔助計算!$D:$D, (MATCH(1037, 輔助計算!$G$2:$G$801, 0)+1))&lt;&gt;"", INDEX(ERP資料!$G:$G, (MATCH(1037, 輔助計算!$G$2:$G$801, 0)+1))&lt;&gt;""), TRIM(IF(INT(INDEX(輔助計算!$D:$D, (MATCH(1037, 輔助計算!$G$2:$G$801, 0)+1))/IF(INDEX(ERP資料!$G:$G, (MATCH(1037, 輔助計算!$G$2:$G$801, 0)+1))&lt;100, IF(INDEX(ERP資料!$G:$G, (MATCH(1037, 輔助計算!$G$2:$G$801, 0)+1))&lt;=31,3,IF(INDEX(ERP資料!$G:$G, (MATCH(1037, 輔助計算!$G$2:$G$801, 0)+1))&lt;=46.5,2,1)), IF(INDEX(ERP資料!$G:$G, (MATCH(1037, 輔助計算!$G$2:$G$801, 0)+1))&lt;=790,3,IF(INDEX(ERP資料!$G:$G, (MATCH(1037, 輔助計算!$G$2:$G$801, 0)+1))&lt;=1181,2,1))))&gt;0, IF(IF(INDEX(ERP資料!$G:$G, (MATCH(1037, 輔助計算!$G$2:$G$801, 0)+1))&lt;100, IF(INDEX(ERP資料!$G:$G, (MATCH(1037, 輔助計算!$G$2:$G$801, 0)+1))&lt;=31,3,IF(INDEX(ERP資料!$G:$G, (MATCH(1037, 輔助計算!$G$2:$G$801, 0)+1))&lt;=46.5,2,1)), IF(INDEX(ERP資料!$G:$G, (MATCH(1037, 輔助計算!$G$2:$G$801, 0)+1))&lt;=790,3,IF(INDEX(ERP資料!$G:$G, (MATCH(1037, 輔助計算!$G$2:$G$801, 0)+1))&lt;=1181,2,1)))=1,TEXT(INDEX(ERP資料!$G:$G, (MATCH(1037, 輔助計算!$G$2:$G$801, 0)+1)),"0.##"),IF(IF(INDEX(ERP資料!$G:$G, (MATCH(1037, 輔助計算!$G$2:$G$801, 0)+1))&lt;100, IF(INDEX(ERP資料!$G:$G, (MATCH(1037, 輔助計算!$G$2:$G$801, 0)+1))&lt;=31,3,IF(INDEX(ERP資料!$G:$G, (MATCH(1037, 輔助計算!$G$2:$G$801, 0)+1))&lt;=46.5,2,1)), IF(INDEX(ERP資料!$G:$G, (MATCH(1037, 輔助計算!$G$2:$G$801, 0)+1))&lt;=790,3,IF(INDEX(ERP資料!$G:$G, (MATCH(1037, 輔助計算!$G$2:$G$801, 0)+1))&lt;=1181,2,1)))=2,TEXT(INDEX(ERP資料!$G:$G, (MATCH(1037, 輔助計算!$G$2:$G$801, 0)+1)),"0.##")&amp;"+"&amp;TEXT(INDEX(ERP資料!$G:$G, (MATCH(1037, 輔助計算!$G$2:$G$801, 0)+1)),"0.##"),TEXT(INDEX(ERP資料!$G:$G, (MATCH(1037, 輔助計算!$G$2:$G$801, 0)+1)),"0.##")&amp;"+"&amp;TEXT(INDEX(ERP資料!$G:$G, (MATCH(1037, 輔助計算!$G$2:$G$801, 0)+1)),"0.##")&amp;"+"&amp;TEXT(INDEX(ERP資料!$G:$G, (MATCH(1037, 輔助計算!$G$2:$G$801, 0)+1)),"0.##")))&amp;"-"&amp;INT(INDEX(輔助計算!$D:$D, (MATCH(1037, 輔助計算!$G$2:$G$801, 0)+1))/IF(INDEX(ERP資料!$G:$G, (MATCH(1037, 輔助計算!$G$2:$G$801, 0)+1))&lt;100, IF(INDEX(ERP資料!$G:$G, (MATCH(1037, 輔助計算!$G$2:$G$801, 0)+1))&lt;=31,3,IF(INDEX(ERP資料!$G:$G, (MATCH(1037, 輔助計算!$G$2:$G$801, 0)+1))&lt;=46.5,2,1)), IF(INDEX(ERP資料!$G:$G, (MATCH(1037, 輔助計算!$G$2:$G$801, 0)+1))&lt;=790,3,IF(INDEX(ERP資料!$G:$G, (MATCH(1037, 輔助計算!$G$2:$G$801, 0)+1))&lt;=1181,2,1)))), "")&amp;IF(AND(IF(INT(INDEX(輔助計算!$D:$D, (MATCH(1037, 輔助計算!$G$2:$G$801, 0)+1))/IF(INDEX(ERP資料!$G:$G, (MATCH(1037, 輔助計算!$G$2:$G$801, 0)+1))&lt;100, IF(INDEX(ERP資料!$G:$G, (MATCH(1037, 輔助計算!$G$2:$G$801, 0)+1))&lt;=31,3,IF(INDEX(ERP資料!$G:$G, (MATCH(1037, 輔助計算!$G$2:$G$801, 0)+1))&lt;=46.5,2,1)), IF(INDEX(ERP資料!$G:$G, (MATCH(1037, 輔助計算!$G$2:$G$801, 0)+1))&lt;=790,3,IF(INDEX(ERP資料!$G:$G, (MATCH(1037, 輔助計算!$G$2:$G$801, 0)+1))&lt;=1181,2,1))))&gt;0, IF(IF(INDEX(ERP資料!$G:$G, (MATCH(1037, 輔助計算!$G$2:$G$801, 0)+1))&lt;100, IF(INDEX(ERP資料!$G:$G, (MATCH(1037, 輔助計算!$G$2:$G$801, 0)+1))&lt;=31,3,IF(INDEX(ERP資料!$G:$G, (MATCH(1037, 輔助計算!$G$2:$G$801, 0)+1))&lt;=46.5,2,1)), IF(INDEX(ERP資料!$G:$G, (MATCH(1037, 輔助計算!$G$2:$G$801, 0)+1))&lt;=790,3,IF(INDEX(ERP資料!$G:$G, (MATCH(1037, 輔助計算!$G$2:$G$801, 0)+1))&lt;=1181,2,1)))=1,TEXT(INDEX(ERP資料!$G:$G, (MATCH(1037, 輔助計算!$G$2:$G$801, 0)+1)),"0.##"),IF(IF(INDEX(ERP資料!$G:$G, (MATCH(1037, 輔助計算!$G$2:$G$801, 0)+1))&lt;100, IF(INDEX(ERP資料!$G:$G, (MATCH(1037, 輔助計算!$G$2:$G$801, 0)+1))&lt;=31,3,IF(INDEX(ERP資料!$G:$G, (MATCH(1037, 輔助計算!$G$2:$G$801, 0)+1))&lt;=46.5,2,1)), IF(INDEX(ERP資料!$G:$G, (MATCH(1037, 輔助計算!$G$2:$G$801, 0)+1))&lt;=790,3,IF(INDEX(ERP資料!$G:$G, (MATCH(1037, 輔助計算!$G$2:$G$801, 0)+1))&lt;=1181,2,1)))=2,TEXT(INDEX(ERP資料!$G:$G, (MATCH(1037, 輔助計算!$G$2:$G$801, 0)+1)),"0.##")&amp;"+"&amp;TEXT(INDEX(ERP資料!$G:$G, (MATCH(1037, 輔助計算!$G$2:$G$801, 0)+1)),"0.##"),TEXT(INDEX(ERP資料!$G:$G, (MATCH(1037, 輔助計算!$G$2:$G$801, 0)+1)),"0.##")&amp;"+"&amp;TEXT(INDEX(ERP資料!$G:$G, (MATCH(1037, 輔助計算!$G$2:$G$801, 0)+1)),"0.##")&amp;"+"&amp;TEXT(INDEX(ERP資料!$G:$G, (MATCH(1037, 輔助計算!$G$2:$G$801, 0)+1)),"0.##")))&amp;"-"&amp;INT(INDEX(輔助計算!$D:$D, (MATCH(1037, 輔助計算!$G$2:$G$801, 0)+1))/IF(INDEX(ERP資料!$G:$G, (MATCH(1037, 輔助計算!$G$2:$G$801, 0)+1))&lt;100, IF(INDEX(ERP資料!$G:$G, (MATCH(1037, 輔助計算!$G$2:$G$801, 0)+1))&lt;=31,3,IF(INDEX(ERP資料!$G:$G, (MATCH(1037, 輔助計算!$G$2:$G$801, 0)+1))&lt;=46.5,2,1)), IF(INDEX(ERP資料!$G:$G, (MATCH(1037, 輔助計算!$G$2:$G$801, 0)+1))&lt;=790,3,IF(INDEX(ERP資料!$G:$G, (MATCH(1037, 輔助計算!$G$2:$G$801, 0)+1))&lt;=1181,2,1)))), "")&lt;&gt;"",IF(MOD(INDEX(輔助計算!$D:$D, (MATCH(1037, 輔助計算!$G$2:$G$801, 0)+1)),IF(INDEX(ERP資料!$G:$G, (MATCH(1037, 輔助計算!$G$2:$G$801, 0)+1))&lt;100, IF(INDEX(ERP資料!$G:$G, (MATCH(1037, 輔助計算!$G$2:$G$801, 0)+1))&lt;=31,3,IF(INDEX(ERP資料!$G:$G, (MATCH(1037, 輔助計算!$G$2:$G$801, 0)+1))&lt;=46.5,2,1)), IF(INDEX(ERP資料!$G:$G, (MATCH(1037, 輔助計算!$G$2:$G$801, 0)+1))&lt;=790,3,IF(INDEX(ERP資料!$G:$G, (MATCH(1037, 輔助計算!$G$2:$G$801, 0)+1))&lt;=1181,2,1))))=0,"",IF(MOD(INDEX(輔助計算!$D:$D, (MATCH(1037, 輔助計算!$G$2:$G$801, 0)+1)),IF(INDEX(ERP資料!$G:$G, (MATCH(1037, 輔助計算!$G$2:$G$801, 0)+1))&lt;100, IF(INDEX(ERP資料!$G:$G, (MATCH(1037, 輔助計算!$G$2:$G$801, 0)+1))&lt;=31,3,IF(INDEX(ERP資料!$G:$G, (MATCH(1037, 輔助計算!$G$2:$G$801, 0)+1))&lt;=46.5,2,1)), IF(INDEX(ERP資料!$G:$G, (MATCH(1037, 輔助計算!$G$2:$G$801, 0)+1))&lt;=790,3,IF(INDEX(ERP資料!$G:$G, (MATCH(1037, 輔助計算!$G$2:$G$801, 0)+1))&lt;=1181,2,1))))=0,"",IF(MOD(INDEX(輔助計算!$D:$D, (MATCH(1037, 輔助計算!$G$2:$G$801, 0)+1)),IF(INDEX(ERP資料!$G:$G, (MATCH(1037, 輔助計算!$G$2:$G$801, 0)+1))&lt;100, IF(INDEX(ERP資料!$G:$G, (MATCH(1037, 輔助計算!$G$2:$G$801, 0)+1))&lt;=31,3,IF(INDEX(ERP資料!$G:$G, (MATCH(1037, 輔助計算!$G$2:$G$801, 0)+1))&lt;=46.5,2,1)), IF(INDEX(ERP資料!$G:$G, (MATCH(1037, 輔助計算!$G$2:$G$801, 0)+1))&lt;=790,3,IF(INDEX(ERP資料!$G:$G, (MATCH(1037, 輔助計算!$G$2:$G$801, 0)+1))&lt;=1181,2,1))))=1,TEXT(INDEX(ERP資料!$G:$G, (MATCH(1037, 輔助計算!$G$2:$G$801, 0)+1)),"0.##"),IF(MOD(INDEX(輔助計算!$D:$D, (MATCH(1037, 輔助計算!$G$2:$G$801, 0)+1)),IF(INDEX(ERP資料!$G:$G, (MATCH(1037, 輔助計算!$G$2:$G$801, 0)+1))&lt;100, IF(INDEX(ERP資料!$G:$G, (MATCH(1037, 輔助計算!$G$2:$G$801, 0)+1))&lt;=31,3,IF(INDEX(ERP資料!$G:$G, (MATCH(1037, 輔助計算!$G$2:$G$801, 0)+1))&lt;=46.5,2,1)), IF(INDEX(ERP資料!$G:$G, (MATCH(1037, 輔助計算!$G$2:$G$801, 0)+1))&lt;=790,3,IF(INDEX(ERP資料!$G:$G, (MATCH(1037, 輔助計算!$G$2:$G$801, 0)+1))&lt;=1181,2,1))))=2,TEXT(INDEX(ERP資料!$G:$G, (MATCH(1037, 輔助計算!$G$2:$G$801, 0)+1)),"0.##")&amp;"+"&amp;TEXT(INDEX(ERP資料!$G:$G, (MATCH(1037, 輔助計算!$G$2:$G$801, 0)+1)),"0.##"),TEXT(INDEX(ERP資料!$G:$G, (MATCH(1037, 輔助計算!$G$2:$G$801, 0)+1)),"0.##")&amp;"+"&amp;TEXT(INDEX(ERP資料!$G:$G, (MATCH(1037, 輔助計算!$G$2:$G$801, 0)+1)),"0.##")&amp;"+"&amp;TEXT(INDEX(ERP資料!$G:$G, (MATCH(1037, 輔助計算!$G$2:$G$801, 0)+1)),"0.##"))))&amp;"-1")&lt;&gt;""),"  ","")&amp;IF(MOD(INDEX(輔助計算!$D:$D, (MATCH(1037, 輔助計算!$G$2:$G$801, 0)+1)),IF(INDEX(ERP資料!$G:$G, (MATCH(1037, 輔助計算!$G$2:$G$801, 0)+1))&lt;100, IF(INDEX(ERP資料!$G:$G, (MATCH(1037, 輔助計算!$G$2:$G$801, 0)+1))&lt;=31,3,IF(INDEX(ERP資料!$G:$G, (MATCH(1037, 輔助計算!$G$2:$G$801, 0)+1))&lt;=46.5,2,1)), IF(INDEX(ERP資料!$G:$G, (MATCH(1037, 輔助計算!$G$2:$G$801, 0)+1))&lt;=790,3,IF(INDEX(ERP資料!$G:$G, (MATCH(1037, 輔助計算!$G$2:$G$801, 0)+1))&lt;=1181,2,1))))=0,"",IF(MOD(INDEX(輔助計算!$D:$D, (MATCH(1037, 輔助計算!$G$2:$G$801, 0)+1)),IF(INDEX(ERP資料!$G:$G, (MATCH(1037, 輔助計算!$G$2:$G$801, 0)+1))&lt;100, IF(INDEX(ERP資料!$G:$G, (MATCH(1037, 輔助計算!$G$2:$G$801, 0)+1))&lt;=31,3,IF(INDEX(ERP資料!$G:$G, (MATCH(1037, 輔助計算!$G$2:$G$801, 0)+1))&lt;=46.5,2,1)), IF(INDEX(ERP資料!$G:$G, (MATCH(1037, 輔助計算!$G$2:$G$801, 0)+1))&lt;=790,3,IF(INDEX(ERP資料!$G:$G, (MATCH(1037, 輔助計算!$G$2:$G$801, 0)+1))&lt;=1181,2,1))))=0,"",IF(MOD(INDEX(輔助計算!$D:$D, (MATCH(1037, 輔助計算!$G$2:$G$801, 0)+1)),IF(INDEX(ERP資料!$G:$G, (MATCH(1037, 輔助計算!$G$2:$G$801, 0)+1))&lt;100, IF(INDEX(ERP資料!$G:$G, (MATCH(1037, 輔助計算!$G$2:$G$801, 0)+1))&lt;=31,3,IF(INDEX(ERP資料!$G:$G, (MATCH(1037, 輔助計算!$G$2:$G$801, 0)+1))&lt;=46.5,2,1)), IF(INDEX(ERP資料!$G:$G, (MATCH(1037, 輔助計算!$G$2:$G$801, 0)+1))&lt;=790,3,IF(INDEX(ERP資料!$G:$G, (MATCH(1037, 輔助計算!$G$2:$G$801, 0)+1))&lt;=1181,2,1))))=1,TEXT(INDEX(ERP資料!$G:$G, (MATCH(1037, 輔助計算!$G$2:$G$801, 0)+1)),"0.##"),IF(MOD(INDEX(輔助計算!$D:$D, (MATCH(1037, 輔助計算!$G$2:$G$801, 0)+1)),IF(INDEX(ERP資料!$G:$G, (MATCH(1037, 輔助計算!$G$2:$G$801, 0)+1))&lt;100, IF(INDEX(ERP資料!$G:$G, (MATCH(1037, 輔助計算!$G$2:$G$801, 0)+1))&lt;=31,3,IF(INDEX(ERP資料!$G:$G, (MATCH(1037, 輔助計算!$G$2:$G$801, 0)+1))&lt;=46.5,2,1)), IF(INDEX(ERP資料!$G:$G, (MATCH(1037, 輔助計算!$G$2:$G$801, 0)+1))&lt;=790,3,IF(INDEX(ERP資料!$G:$G, (MATCH(1037, 輔助計算!$G$2:$G$801, 0)+1))&lt;=1181,2,1))))=2,TEXT(INDEX(ERP資料!$G:$G, (MATCH(1037, 輔助計算!$G$2:$G$801, 0)+1)),"0.##")&amp;"+"&amp;TEXT(INDEX(ERP資料!$G:$G, (MATCH(1037, 輔助計算!$G$2:$G$801, 0)+1)),"0.##"),TEXT(INDEX(ERP資料!$G:$G, (MATCH(1037, 輔助計算!$G$2:$G$801, 0)+1)),"0.##")&amp;"+"&amp;TEXT(INDEX(ERP資料!$G:$G, (MATCH(1037, 輔助計算!$G$2:$G$801, 0)+1)),"0.##")&amp;"+"&amp;TEXT(INDEX(ERP資料!$G:$G, (MATCH(1037, 輔助計算!$G$2:$G$801, 0)+1)),"0.##"))))&amp;"-1")), ""), "")</f>
        <v/>
      </c>
      <c r="K1038" s="16" t="n"/>
      <c r="L1038" s="14">
        <f>IFERROR(IF(AND(IFERROR(INDEX(ERP資料!$A:$A, (MATCH(1037, 輔助計算!$G$2:$G$801, 0)+1)), "")&lt;&gt;"", IFERROR(INDEX(ERP資料!$A:$A, (MATCH(1037, 輔助計算!$G$2:$G$801, 0)+1)), "")&lt;&gt;IFERROR(INDEX(ERP資料!$A:$A, MATCH(1036, 輔助計算!$G$2:$G$801, 0)+1), "")), INDEX(ERP資料!$B:$B, (MATCH(1037, 輔助計算!$G$2:$G$801, 0)+1)), ""), "")</f>
        <v/>
      </c>
      <c r="M1038" s="17" t="n"/>
    </row>
    <row r="1039">
      <c r="A1039" s="10">
        <f>IFERROR(IF(AND(IFERROR(INDEX(ERP資料!$A:$A, (MATCH(1038, 輔助計算!$G$2:$G$801, 0)+1)), "")&lt;&gt;"", IFERROR(INDEX(ERP資料!$A:$A, (MATCH(1038, 輔助計算!$G$2:$G$801, 0)+1)), "")&lt;&gt;IFERROR(INDEX(ERP資料!$A:$A, MATCH(1037, 輔助計算!$G$2:$G$801, 0)+1), "")), IFERROR(INDEX(ERP資料!$A:$A, (MATCH(1038, 輔助計算!$G$2:$G$801, 0)+1)), ""), ""), "")</f>
        <v/>
      </c>
      <c r="B1039" s="10">
        <f>IFERROR(IF(AND(IFERROR(INDEX(ERP資料!$A:$A, (MATCH(1038, 輔助計算!$G$2:$G$801, 0)+1)), "")&lt;&gt;"", IFERROR(INDEX(ERP資料!$A:$A, (MATCH(1038, 輔助計算!$G$2:$G$801, 0)+1)), "")&lt;&gt;IFERROR(INDEX(ERP資料!$A:$A, MATCH(1037, 輔助計算!$G$2:$G$801, 0)+1), "")), INDEX(ERP資料!$S:$S, (MATCH(1038, 輔助計算!$G$2:$G$801, 0)+1)), ""), "")</f>
        <v/>
      </c>
      <c r="C1039" s="19">
        <f>IFERROR(IF(AND(IFERROR(INDEX(ERP資料!$A:$A, (MATCH(1038, 輔助計算!$G$2:$G$801, 0)+1)), "")&lt;&gt;"", IFERROR(INDEX(ERP資料!$A:$A, (MATCH(1038, 輔助計算!$G$2:$G$801, 0)+1)), "")&lt;&gt;IFERROR(INDEX(ERP資料!$A:$A, MATCH(1037, 輔助計算!$G$2:$G$801, 0)+1), "")), IFERROR(VLOOKUP(LEFT(INDEX(ERP資料!$S:$S, (MATCH(1038, 輔助計算!$G$2:$G$801, 0)+1)), 4), 紙管對照表!$A:$C, 3, FALSE), ""), ""), "")</f>
        <v/>
      </c>
      <c r="D1039" s="16" t="n"/>
      <c r="E1039" s="10">
        <f>IFERROR(IF(INDEX(ERP資料!$H:$H, (MATCH(1038, 輔助計算!$G$2:$G$801, 0)+1))="","",INDEX(ERP資料!$H:$H, (MATCH(1038, 輔助計算!$G$2:$G$801, 0)+1))), "")</f>
        <v/>
      </c>
      <c r="F1039" s="10">
        <f>IFERROR(IF(INDEX(ERP資料!$E:$E, (MATCH(1038, 輔助計算!$G$2:$G$801, 0)+1))="","",TRIM(INDEX(ERP資料!$E:$E, (MATCH(1038, 輔助計算!$G$2:$G$801, 0)+1)))), "")</f>
        <v/>
      </c>
      <c r="G1039" s="10">
        <f>IFERROR(IF(INDEX(ERP資料!$F:$F, (MATCH(1038, 輔助計算!$G$2:$G$801, 0)+1))="","",INDEX(ERP資料!$F:$F, (MATCH(1038, 輔助計算!$G$2:$G$801, 0)+1))), "")</f>
        <v/>
      </c>
      <c r="H1039" s="10">
        <f>IFERROR(IF(INDEX(ERP資料!$G:$G, (MATCH(1038, 輔助計算!$G$2:$G$801, 0)+1))="","",INDEX(ERP資料!$G:$G, (MATCH(1038, 輔助計算!$G$2:$G$801, 0)+1))), "")</f>
        <v/>
      </c>
      <c r="I1039" s="15">
        <f>IFERROR(INDEX(輔助計算!$D:$D, (MATCH(1038, 輔助計算!$G$2:$G$801, 0)+1)), "")</f>
        <v/>
      </c>
      <c r="J1039" s="15">
        <f>IFERROR(IF(AND(INDEX(輔助計算!$D:$D, (MATCH(1038, 輔助計算!$G$2:$G$801, 0)+1))&lt;&gt;"", INDEX(ERP資料!$G:$G, (MATCH(1038, 輔助計算!$G$2:$G$801, 0)+1))&lt;&gt;""), TRIM(IF(INT(INDEX(輔助計算!$D:$D, (MATCH(1038, 輔助計算!$G$2:$G$801, 0)+1))/IF(INDEX(ERP資料!$G:$G, (MATCH(1038, 輔助計算!$G$2:$G$801, 0)+1))&lt;100, IF(INDEX(ERP資料!$G:$G, (MATCH(1038, 輔助計算!$G$2:$G$801, 0)+1))&lt;=31,3,IF(INDEX(ERP資料!$G:$G, (MATCH(1038, 輔助計算!$G$2:$G$801, 0)+1))&lt;=46.5,2,1)), IF(INDEX(ERP資料!$G:$G, (MATCH(1038, 輔助計算!$G$2:$G$801, 0)+1))&lt;=790,3,IF(INDEX(ERP資料!$G:$G, (MATCH(1038, 輔助計算!$G$2:$G$801, 0)+1))&lt;=1181,2,1))))&gt;0, IF(IF(INDEX(ERP資料!$G:$G, (MATCH(1038, 輔助計算!$G$2:$G$801, 0)+1))&lt;100, IF(INDEX(ERP資料!$G:$G, (MATCH(1038, 輔助計算!$G$2:$G$801, 0)+1))&lt;=31,3,IF(INDEX(ERP資料!$G:$G, (MATCH(1038, 輔助計算!$G$2:$G$801, 0)+1))&lt;=46.5,2,1)), IF(INDEX(ERP資料!$G:$G, (MATCH(1038, 輔助計算!$G$2:$G$801, 0)+1))&lt;=790,3,IF(INDEX(ERP資料!$G:$G, (MATCH(1038, 輔助計算!$G$2:$G$801, 0)+1))&lt;=1181,2,1)))=1,TEXT(INDEX(ERP資料!$G:$G, (MATCH(1038, 輔助計算!$G$2:$G$801, 0)+1)),"0.##"),IF(IF(INDEX(ERP資料!$G:$G, (MATCH(1038, 輔助計算!$G$2:$G$801, 0)+1))&lt;100, IF(INDEX(ERP資料!$G:$G, (MATCH(1038, 輔助計算!$G$2:$G$801, 0)+1))&lt;=31,3,IF(INDEX(ERP資料!$G:$G, (MATCH(1038, 輔助計算!$G$2:$G$801, 0)+1))&lt;=46.5,2,1)), IF(INDEX(ERP資料!$G:$G, (MATCH(1038, 輔助計算!$G$2:$G$801, 0)+1))&lt;=790,3,IF(INDEX(ERP資料!$G:$G, (MATCH(1038, 輔助計算!$G$2:$G$801, 0)+1))&lt;=1181,2,1)))=2,TEXT(INDEX(ERP資料!$G:$G, (MATCH(1038, 輔助計算!$G$2:$G$801, 0)+1)),"0.##")&amp;"+"&amp;TEXT(INDEX(ERP資料!$G:$G, (MATCH(1038, 輔助計算!$G$2:$G$801, 0)+1)),"0.##"),TEXT(INDEX(ERP資料!$G:$G, (MATCH(1038, 輔助計算!$G$2:$G$801, 0)+1)),"0.##")&amp;"+"&amp;TEXT(INDEX(ERP資料!$G:$G, (MATCH(1038, 輔助計算!$G$2:$G$801, 0)+1)),"0.##")&amp;"+"&amp;TEXT(INDEX(ERP資料!$G:$G, (MATCH(1038, 輔助計算!$G$2:$G$801, 0)+1)),"0.##")))&amp;"-"&amp;INT(INDEX(輔助計算!$D:$D, (MATCH(1038, 輔助計算!$G$2:$G$801, 0)+1))/IF(INDEX(ERP資料!$G:$G, (MATCH(1038, 輔助計算!$G$2:$G$801, 0)+1))&lt;100, IF(INDEX(ERP資料!$G:$G, (MATCH(1038, 輔助計算!$G$2:$G$801, 0)+1))&lt;=31,3,IF(INDEX(ERP資料!$G:$G, (MATCH(1038, 輔助計算!$G$2:$G$801, 0)+1))&lt;=46.5,2,1)), IF(INDEX(ERP資料!$G:$G, (MATCH(1038, 輔助計算!$G$2:$G$801, 0)+1))&lt;=790,3,IF(INDEX(ERP資料!$G:$G, (MATCH(1038, 輔助計算!$G$2:$G$801, 0)+1))&lt;=1181,2,1)))), "")&amp;IF(AND(IF(INT(INDEX(輔助計算!$D:$D, (MATCH(1038, 輔助計算!$G$2:$G$801, 0)+1))/IF(INDEX(ERP資料!$G:$G, (MATCH(1038, 輔助計算!$G$2:$G$801, 0)+1))&lt;100, IF(INDEX(ERP資料!$G:$G, (MATCH(1038, 輔助計算!$G$2:$G$801, 0)+1))&lt;=31,3,IF(INDEX(ERP資料!$G:$G, (MATCH(1038, 輔助計算!$G$2:$G$801, 0)+1))&lt;=46.5,2,1)), IF(INDEX(ERP資料!$G:$G, (MATCH(1038, 輔助計算!$G$2:$G$801, 0)+1))&lt;=790,3,IF(INDEX(ERP資料!$G:$G, (MATCH(1038, 輔助計算!$G$2:$G$801, 0)+1))&lt;=1181,2,1))))&gt;0, IF(IF(INDEX(ERP資料!$G:$G, (MATCH(1038, 輔助計算!$G$2:$G$801, 0)+1))&lt;100, IF(INDEX(ERP資料!$G:$G, (MATCH(1038, 輔助計算!$G$2:$G$801, 0)+1))&lt;=31,3,IF(INDEX(ERP資料!$G:$G, (MATCH(1038, 輔助計算!$G$2:$G$801, 0)+1))&lt;=46.5,2,1)), IF(INDEX(ERP資料!$G:$G, (MATCH(1038, 輔助計算!$G$2:$G$801, 0)+1))&lt;=790,3,IF(INDEX(ERP資料!$G:$G, (MATCH(1038, 輔助計算!$G$2:$G$801, 0)+1))&lt;=1181,2,1)))=1,TEXT(INDEX(ERP資料!$G:$G, (MATCH(1038, 輔助計算!$G$2:$G$801, 0)+1)),"0.##"),IF(IF(INDEX(ERP資料!$G:$G, (MATCH(1038, 輔助計算!$G$2:$G$801, 0)+1))&lt;100, IF(INDEX(ERP資料!$G:$G, (MATCH(1038, 輔助計算!$G$2:$G$801, 0)+1))&lt;=31,3,IF(INDEX(ERP資料!$G:$G, (MATCH(1038, 輔助計算!$G$2:$G$801, 0)+1))&lt;=46.5,2,1)), IF(INDEX(ERP資料!$G:$G, (MATCH(1038, 輔助計算!$G$2:$G$801, 0)+1))&lt;=790,3,IF(INDEX(ERP資料!$G:$G, (MATCH(1038, 輔助計算!$G$2:$G$801, 0)+1))&lt;=1181,2,1)))=2,TEXT(INDEX(ERP資料!$G:$G, (MATCH(1038, 輔助計算!$G$2:$G$801, 0)+1)),"0.##")&amp;"+"&amp;TEXT(INDEX(ERP資料!$G:$G, (MATCH(1038, 輔助計算!$G$2:$G$801, 0)+1)),"0.##"),TEXT(INDEX(ERP資料!$G:$G, (MATCH(1038, 輔助計算!$G$2:$G$801, 0)+1)),"0.##")&amp;"+"&amp;TEXT(INDEX(ERP資料!$G:$G, (MATCH(1038, 輔助計算!$G$2:$G$801, 0)+1)),"0.##")&amp;"+"&amp;TEXT(INDEX(ERP資料!$G:$G, (MATCH(1038, 輔助計算!$G$2:$G$801, 0)+1)),"0.##")))&amp;"-"&amp;INT(INDEX(輔助計算!$D:$D, (MATCH(1038, 輔助計算!$G$2:$G$801, 0)+1))/IF(INDEX(ERP資料!$G:$G, (MATCH(1038, 輔助計算!$G$2:$G$801, 0)+1))&lt;100, IF(INDEX(ERP資料!$G:$G, (MATCH(1038, 輔助計算!$G$2:$G$801, 0)+1))&lt;=31,3,IF(INDEX(ERP資料!$G:$G, (MATCH(1038, 輔助計算!$G$2:$G$801, 0)+1))&lt;=46.5,2,1)), IF(INDEX(ERP資料!$G:$G, (MATCH(1038, 輔助計算!$G$2:$G$801, 0)+1))&lt;=790,3,IF(INDEX(ERP資料!$G:$G, (MATCH(1038, 輔助計算!$G$2:$G$801, 0)+1))&lt;=1181,2,1)))), "")&lt;&gt;"",IF(MOD(INDEX(輔助計算!$D:$D, (MATCH(1038, 輔助計算!$G$2:$G$801, 0)+1)),IF(INDEX(ERP資料!$G:$G, (MATCH(1038, 輔助計算!$G$2:$G$801, 0)+1))&lt;100, IF(INDEX(ERP資料!$G:$G, (MATCH(1038, 輔助計算!$G$2:$G$801, 0)+1))&lt;=31,3,IF(INDEX(ERP資料!$G:$G, (MATCH(1038, 輔助計算!$G$2:$G$801, 0)+1))&lt;=46.5,2,1)), IF(INDEX(ERP資料!$G:$G, (MATCH(1038, 輔助計算!$G$2:$G$801, 0)+1))&lt;=790,3,IF(INDEX(ERP資料!$G:$G, (MATCH(1038, 輔助計算!$G$2:$G$801, 0)+1))&lt;=1181,2,1))))=0,"",IF(MOD(INDEX(輔助計算!$D:$D, (MATCH(1038, 輔助計算!$G$2:$G$801, 0)+1)),IF(INDEX(ERP資料!$G:$G, (MATCH(1038, 輔助計算!$G$2:$G$801, 0)+1))&lt;100, IF(INDEX(ERP資料!$G:$G, (MATCH(1038, 輔助計算!$G$2:$G$801, 0)+1))&lt;=31,3,IF(INDEX(ERP資料!$G:$G, (MATCH(1038, 輔助計算!$G$2:$G$801, 0)+1))&lt;=46.5,2,1)), IF(INDEX(ERP資料!$G:$G, (MATCH(1038, 輔助計算!$G$2:$G$801, 0)+1))&lt;=790,3,IF(INDEX(ERP資料!$G:$G, (MATCH(1038, 輔助計算!$G$2:$G$801, 0)+1))&lt;=1181,2,1))))=0,"",IF(MOD(INDEX(輔助計算!$D:$D, (MATCH(1038, 輔助計算!$G$2:$G$801, 0)+1)),IF(INDEX(ERP資料!$G:$G, (MATCH(1038, 輔助計算!$G$2:$G$801, 0)+1))&lt;100, IF(INDEX(ERP資料!$G:$G, (MATCH(1038, 輔助計算!$G$2:$G$801, 0)+1))&lt;=31,3,IF(INDEX(ERP資料!$G:$G, (MATCH(1038, 輔助計算!$G$2:$G$801, 0)+1))&lt;=46.5,2,1)), IF(INDEX(ERP資料!$G:$G, (MATCH(1038, 輔助計算!$G$2:$G$801, 0)+1))&lt;=790,3,IF(INDEX(ERP資料!$G:$G, (MATCH(1038, 輔助計算!$G$2:$G$801, 0)+1))&lt;=1181,2,1))))=1,TEXT(INDEX(ERP資料!$G:$G, (MATCH(1038, 輔助計算!$G$2:$G$801, 0)+1)),"0.##"),IF(MOD(INDEX(輔助計算!$D:$D, (MATCH(1038, 輔助計算!$G$2:$G$801, 0)+1)),IF(INDEX(ERP資料!$G:$G, (MATCH(1038, 輔助計算!$G$2:$G$801, 0)+1))&lt;100, IF(INDEX(ERP資料!$G:$G, (MATCH(1038, 輔助計算!$G$2:$G$801, 0)+1))&lt;=31,3,IF(INDEX(ERP資料!$G:$G, (MATCH(1038, 輔助計算!$G$2:$G$801, 0)+1))&lt;=46.5,2,1)), IF(INDEX(ERP資料!$G:$G, (MATCH(1038, 輔助計算!$G$2:$G$801, 0)+1))&lt;=790,3,IF(INDEX(ERP資料!$G:$G, (MATCH(1038, 輔助計算!$G$2:$G$801, 0)+1))&lt;=1181,2,1))))=2,TEXT(INDEX(ERP資料!$G:$G, (MATCH(1038, 輔助計算!$G$2:$G$801, 0)+1)),"0.##")&amp;"+"&amp;TEXT(INDEX(ERP資料!$G:$G, (MATCH(1038, 輔助計算!$G$2:$G$801, 0)+1)),"0.##"),TEXT(INDEX(ERP資料!$G:$G, (MATCH(1038, 輔助計算!$G$2:$G$801, 0)+1)),"0.##")&amp;"+"&amp;TEXT(INDEX(ERP資料!$G:$G, (MATCH(1038, 輔助計算!$G$2:$G$801, 0)+1)),"0.##")&amp;"+"&amp;TEXT(INDEX(ERP資料!$G:$G, (MATCH(1038, 輔助計算!$G$2:$G$801, 0)+1)),"0.##"))))&amp;"-1")&lt;&gt;""),"  ","")&amp;IF(MOD(INDEX(輔助計算!$D:$D, (MATCH(1038, 輔助計算!$G$2:$G$801, 0)+1)),IF(INDEX(ERP資料!$G:$G, (MATCH(1038, 輔助計算!$G$2:$G$801, 0)+1))&lt;100, IF(INDEX(ERP資料!$G:$G, (MATCH(1038, 輔助計算!$G$2:$G$801, 0)+1))&lt;=31,3,IF(INDEX(ERP資料!$G:$G, (MATCH(1038, 輔助計算!$G$2:$G$801, 0)+1))&lt;=46.5,2,1)), IF(INDEX(ERP資料!$G:$G, (MATCH(1038, 輔助計算!$G$2:$G$801, 0)+1))&lt;=790,3,IF(INDEX(ERP資料!$G:$G, (MATCH(1038, 輔助計算!$G$2:$G$801, 0)+1))&lt;=1181,2,1))))=0,"",IF(MOD(INDEX(輔助計算!$D:$D, (MATCH(1038, 輔助計算!$G$2:$G$801, 0)+1)),IF(INDEX(ERP資料!$G:$G, (MATCH(1038, 輔助計算!$G$2:$G$801, 0)+1))&lt;100, IF(INDEX(ERP資料!$G:$G, (MATCH(1038, 輔助計算!$G$2:$G$801, 0)+1))&lt;=31,3,IF(INDEX(ERP資料!$G:$G, (MATCH(1038, 輔助計算!$G$2:$G$801, 0)+1))&lt;=46.5,2,1)), IF(INDEX(ERP資料!$G:$G, (MATCH(1038, 輔助計算!$G$2:$G$801, 0)+1))&lt;=790,3,IF(INDEX(ERP資料!$G:$G, (MATCH(1038, 輔助計算!$G$2:$G$801, 0)+1))&lt;=1181,2,1))))=0,"",IF(MOD(INDEX(輔助計算!$D:$D, (MATCH(1038, 輔助計算!$G$2:$G$801, 0)+1)),IF(INDEX(ERP資料!$G:$G, (MATCH(1038, 輔助計算!$G$2:$G$801, 0)+1))&lt;100, IF(INDEX(ERP資料!$G:$G, (MATCH(1038, 輔助計算!$G$2:$G$801, 0)+1))&lt;=31,3,IF(INDEX(ERP資料!$G:$G, (MATCH(1038, 輔助計算!$G$2:$G$801, 0)+1))&lt;=46.5,2,1)), IF(INDEX(ERP資料!$G:$G, (MATCH(1038, 輔助計算!$G$2:$G$801, 0)+1))&lt;=790,3,IF(INDEX(ERP資料!$G:$G, (MATCH(1038, 輔助計算!$G$2:$G$801, 0)+1))&lt;=1181,2,1))))=1,TEXT(INDEX(ERP資料!$G:$G, (MATCH(1038, 輔助計算!$G$2:$G$801, 0)+1)),"0.##"),IF(MOD(INDEX(輔助計算!$D:$D, (MATCH(1038, 輔助計算!$G$2:$G$801, 0)+1)),IF(INDEX(ERP資料!$G:$G, (MATCH(1038, 輔助計算!$G$2:$G$801, 0)+1))&lt;100, IF(INDEX(ERP資料!$G:$G, (MATCH(1038, 輔助計算!$G$2:$G$801, 0)+1))&lt;=31,3,IF(INDEX(ERP資料!$G:$G, (MATCH(1038, 輔助計算!$G$2:$G$801, 0)+1))&lt;=46.5,2,1)), IF(INDEX(ERP資料!$G:$G, (MATCH(1038, 輔助計算!$G$2:$G$801, 0)+1))&lt;=790,3,IF(INDEX(ERP資料!$G:$G, (MATCH(1038, 輔助計算!$G$2:$G$801, 0)+1))&lt;=1181,2,1))))=2,TEXT(INDEX(ERP資料!$G:$G, (MATCH(1038, 輔助計算!$G$2:$G$801, 0)+1)),"0.##")&amp;"+"&amp;TEXT(INDEX(ERP資料!$G:$G, (MATCH(1038, 輔助計算!$G$2:$G$801, 0)+1)),"0.##"),TEXT(INDEX(ERP資料!$G:$G, (MATCH(1038, 輔助計算!$G$2:$G$801, 0)+1)),"0.##")&amp;"+"&amp;TEXT(INDEX(ERP資料!$G:$G, (MATCH(1038, 輔助計算!$G$2:$G$801, 0)+1)),"0.##")&amp;"+"&amp;TEXT(INDEX(ERP資料!$G:$G, (MATCH(1038, 輔助計算!$G$2:$G$801, 0)+1)),"0.##"))))&amp;"-1")), ""), "")</f>
        <v/>
      </c>
      <c r="K1039" s="16" t="n"/>
      <c r="L1039" s="14">
        <f>IFERROR(IF(AND(IFERROR(INDEX(ERP資料!$A:$A, (MATCH(1038, 輔助計算!$G$2:$G$801, 0)+1)), "")&lt;&gt;"", IFERROR(INDEX(ERP資料!$A:$A, (MATCH(1038, 輔助計算!$G$2:$G$801, 0)+1)), "")&lt;&gt;IFERROR(INDEX(ERP資料!$A:$A, MATCH(1037, 輔助計算!$G$2:$G$801, 0)+1), "")), INDEX(ERP資料!$B:$B, (MATCH(1038, 輔助計算!$G$2:$G$801, 0)+1)), ""), "")</f>
        <v/>
      </c>
      <c r="M1039" s="17" t="n"/>
    </row>
    <row r="1040">
      <c r="A1040" s="10">
        <f>IFERROR(IF(AND(IFERROR(INDEX(ERP資料!$A:$A, (MATCH(1039, 輔助計算!$G$2:$G$801, 0)+1)), "")&lt;&gt;"", IFERROR(INDEX(ERP資料!$A:$A, (MATCH(1039, 輔助計算!$G$2:$G$801, 0)+1)), "")&lt;&gt;IFERROR(INDEX(ERP資料!$A:$A, MATCH(1038, 輔助計算!$G$2:$G$801, 0)+1), "")), IFERROR(INDEX(ERP資料!$A:$A, (MATCH(1039, 輔助計算!$G$2:$G$801, 0)+1)), ""), ""), "")</f>
        <v/>
      </c>
      <c r="B1040" s="10">
        <f>IFERROR(IF(AND(IFERROR(INDEX(ERP資料!$A:$A, (MATCH(1039, 輔助計算!$G$2:$G$801, 0)+1)), "")&lt;&gt;"", IFERROR(INDEX(ERP資料!$A:$A, (MATCH(1039, 輔助計算!$G$2:$G$801, 0)+1)), "")&lt;&gt;IFERROR(INDEX(ERP資料!$A:$A, MATCH(1038, 輔助計算!$G$2:$G$801, 0)+1), "")), INDEX(ERP資料!$S:$S, (MATCH(1039, 輔助計算!$G$2:$G$801, 0)+1)), ""), "")</f>
        <v/>
      </c>
      <c r="C1040" s="19">
        <f>IFERROR(IF(AND(IFERROR(INDEX(ERP資料!$A:$A, (MATCH(1039, 輔助計算!$G$2:$G$801, 0)+1)), "")&lt;&gt;"", IFERROR(INDEX(ERP資料!$A:$A, (MATCH(1039, 輔助計算!$G$2:$G$801, 0)+1)), "")&lt;&gt;IFERROR(INDEX(ERP資料!$A:$A, MATCH(1038, 輔助計算!$G$2:$G$801, 0)+1), "")), IFERROR(VLOOKUP(LEFT(INDEX(ERP資料!$S:$S, (MATCH(1039, 輔助計算!$G$2:$G$801, 0)+1)), 4), 紙管對照表!$A:$C, 3, FALSE), ""), ""), "")</f>
        <v/>
      </c>
      <c r="D1040" s="16" t="n"/>
      <c r="E1040" s="10">
        <f>IFERROR(IF(INDEX(ERP資料!$H:$H, (MATCH(1039, 輔助計算!$G$2:$G$801, 0)+1))="","",INDEX(ERP資料!$H:$H, (MATCH(1039, 輔助計算!$G$2:$G$801, 0)+1))), "")</f>
        <v/>
      </c>
      <c r="F1040" s="10">
        <f>IFERROR(IF(INDEX(ERP資料!$E:$E, (MATCH(1039, 輔助計算!$G$2:$G$801, 0)+1))="","",TRIM(INDEX(ERP資料!$E:$E, (MATCH(1039, 輔助計算!$G$2:$G$801, 0)+1)))), "")</f>
        <v/>
      </c>
      <c r="G1040" s="10">
        <f>IFERROR(IF(INDEX(ERP資料!$F:$F, (MATCH(1039, 輔助計算!$G$2:$G$801, 0)+1))="","",INDEX(ERP資料!$F:$F, (MATCH(1039, 輔助計算!$G$2:$G$801, 0)+1))), "")</f>
        <v/>
      </c>
      <c r="H1040" s="10">
        <f>IFERROR(IF(INDEX(ERP資料!$G:$G, (MATCH(1039, 輔助計算!$G$2:$G$801, 0)+1))="","",INDEX(ERP資料!$G:$G, (MATCH(1039, 輔助計算!$G$2:$G$801, 0)+1))), "")</f>
        <v/>
      </c>
      <c r="I1040" s="15">
        <f>IFERROR(INDEX(輔助計算!$D:$D, (MATCH(1039, 輔助計算!$G$2:$G$801, 0)+1)), "")</f>
        <v/>
      </c>
      <c r="J1040" s="15">
        <f>IFERROR(IF(AND(INDEX(輔助計算!$D:$D, (MATCH(1039, 輔助計算!$G$2:$G$801, 0)+1))&lt;&gt;"", INDEX(ERP資料!$G:$G, (MATCH(1039, 輔助計算!$G$2:$G$801, 0)+1))&lt;&gt;""), TRIM(IF(INT(INDEX(輔助計算!$D:$D, (MATCH(1039, 輔助計算!$G$2:$G$801, 0)+1))/IF(INDEX(ERP資料!$G:$G, (MATCH(1039, 輔助計算!$G$2:$G$801, 0)+1))&lt;100, IF(INDEX(ERP資料!$G:$G, (MATCH(1039, 輔助計算!$G$2:$G$801, 0)+1))&lt;=31,3,IF(INDEX(ERP資料!$G:$G, (MATCH(1039, 輔助計算!$G$2:$G$801, 0)+1))&lt;=46.5,2,1)), IF(INDEX(ERP資料!$G:$G, (MATCH(1039, 輔助計算!$G$2:$G$801, 0)+1))&lt;=790,3,IF(INDEX(ERP資料!$G:$G, (MATCH(1039, 輔助計算!$G$2:$G$801, 0)+1))&lt;=1181,2,1))))&gt;0, IF(IF(INDEX(ERP資料!$G:$G, (MATCH(1039, 輔助計算!$G$2:$G$801, 0)+1))&lt;100, IF(INDEX(ERP資料!$G:$G, (MATCH(1039, 輔助計算!$G$2:$G$801, 0)+1))&lt;=31,3,IF(INDEX(ERP資料!$G:$G, (MATCH(1039, 輔助計算!$G$2:$G$801, 0)+1))&lt;=46.5,2,1)), IF(INDEX(ERP資料!$G:$G, (MATCH(1039, 輔助計算!$G$2:$G$801, 0)+1))&lt;=790,3,IF(INDEX(ERP資料!$G:$G, (MATCH(1039, 輔助計算!$G$2:$G$801, 0)+1))&lt;=1181,2,1)))=1,TEXT(INDEX(ERP資料!$G:$G, (MATCH(1039, 輔助計算!$G$2:$G$801, 0)+1)),"0.##"),IF(IF(INDEX(ERP資料!$G:$G, (MATCH(1039, 輔助計算!$G$2:$G$801, 0)+1))&lt;100, IF(INDEX(ERP資料!$G:$G, (MATCH(1039, 輔助計算!$G$2:$G$801, 0)+1))&lt;=31,3,IF(INDEX(ERP資料!$G:$G, (MATCH(1039, 輔助計算!$G$2:$G$801, 0)+1))&lt;=46.5,2,1)), IF(INDEX(ERP資料!$G:$G, (MATCH(1039, 輔助計算!$G$2:$G$801, 0)+1))&lt;=790,3,IF(INDEX(ERP資料!$G:$G, (MATCH(1039, 輔助計算!$G$2:$G$801, 0)+1))&lt;=1181,2,1)))=2,TEXT(INDEX(ERP資料!$G:$G, (MATCH(1039, 輔助計算!$G$2:$G$801, 0)+1)),"0.##")&amp;"+"&amp;TEXT(INDEX(ERP資料!$G:$G, (MATCH(1039, 輔助計算!$G$2:$G$801, 0)+1)),"0.##"),TEXT(INDEX(ERP資料!$G:$G, (MATCH(1039, 輔助計算!$G$2:$G$801, 0)+1)),"0.##")&amp;"+"&amp;TEXT(INDEX(ERP資料!$G:$G, (MATCH(1039, 輔助計算!$G$2:$G$801, 0)+1)),"0.##")&amp;"+"&amp;TEXT(INDEX(ERP資料!$G:$G, (MATCH(1039, 輔助計算!$G$2:$G$801, 0)+1)),"0.##")))&amp;"-"&amp;INT(INDEX(輔助計算!$D:$D, (MATCH(1039, 輔助計算!$G$2:$G$801, 0)+1))/IF(INDEX(ERP資料!$G:$G, (MATCH(1039, 輔助計算!$G$2:$G$801, 0)+1))&lt;100, IF(INDEX(ERP資料!$G:$G, (MATCH(1039, 輔助計算!$G$2:$G$801, 0)+1))&lt;=31,3,IF(INDEX(ERP資料!$G:$G, (MATCH(1039, 輔助計算!$G$2:$G$801, 0)+1))&lt;=46.5,2,1)), IF(INDEX(ERP資料!$G:$G, (MATCH(1039, 輔助計算!$G$2:$G$801, 0)+1))&lt;=790,3,IF(INDEX(ERP資料!$G:$G, (MATCH(1039, 輔助計算!$G$2:$G$801, 0)+1))&lt;=1181,2,1)))), "")&amp;IF(AND(IF(INT(INDEX(輔助計算!$D:$D, (MATCH(1039, 輔助計算!$G$2:$G$801, 0)+1))/IF(INDEX(ERP資料!$G:$G, (MATCH(1039, 輔助計算!$G$2:$G$801, 0)+1))&lt;100, IF(INDEX(ERP資料!$G:$G, (MATCH(1039, 輔助計算!$G$2:$G$801, 0)+1))&lt;=31,3,IF(INDEX(ERP資料!$G:$G, (MATCH(1039, 輔助計算!$G$2:$G$801, 0)+1))&lt;=46.5,2,1)), IF(INDEX(ERP資料!$G:$G, (MATCH(1039, 輔助計算!$G$2:$G$801, 0)+1))&lt;=790,3,IF(INDEX(ERP資料!$G:$G, (MATCH(1039, 輔助計算!$G$2:$G$801, 0)+1))&lt;=1181,2,1))))&gt;0, IF(IF(INDEX(ERP資料!$G:$G, (MATCH(1039, 輔助計算!$G$2:$G$801, 0)+1))&lt;100, IF(INDEX(ERP資料!$G:$G, (MATCH(1039, 輔助計算!$G$2:$G$801, 0)+1))&lt;=31,3,IF(INDEX(ERP資料!$G:$G, (MATCH(1039, 輔助計算!$G$2:$G$801, 0)+1))&lt;=46.5,2,1)), IF(INDEX(ERP資料!$G:$G, (MATCH(1039, 輔助計算!$G$2:$G$801, 0)+1))&lt;=790,3,IF(INDEX(ERP資料!$G:$G, (MATCH(1039, 輔助計算!$G$2:$G$801, 0)+1))&lt;=1181,2,1)))=1,TEXT(INDEX(ERP資料!$G:$G, (MATCH(1039, 輔助計算!$G$2:$G$801, 0)+1)),"0.##"),IF(IF(INDEX(ERP資料!$G:$G, (MATCH(1039, 輔助計算!$G$2:$G$801, 0)+1))&lt;100, IF(INDEX(ERP資料!$G:$G, (MATCH(1039, 輔助計算!$G$2:$G$801, 0)+1))&lt;=31,3,IF(INDEX(ERP資料!$G:$G, (MATCH(1039, 輔助計算!$G$2:$G$801, 0)+1))&lt;=46.5,2,1)), IF(INDEX(ERP資料!$G:$G, (MATCH(1039, 輔助計算!$G$2:$G$801, 0)+1))&lt;=790,3,IF(INDEX(ERP資料!$G:$G, (MATCH(1039, 輔助計算!$G$2:$G$801, 0)+1))&lt;=1181,2,1)))=2,TEXT(INDEX(ERP資料!$G:$G, (MATCH(1039, 輔助計算!$G$2:$G$801, 0)+1)),"0.##")&amp;"+"&amp;TEXT(INDEX(ERP資料!$G:$G, (MATCH(1039, 輔助計算!$G$2:$G$801, 0)+1)),"0.##"),TEXT(INDEX(ERP資料!$G:$G, (MATCH(1039, 輔助計算!$G$2:$G$801, 0)+1)),"0.##")&amp;"+"&amp;TEXT(INDEX(ERP資料!$G:$G, (MATCH(1039, 輔助計算!$G$2:$G$801, 0)+1)),"0.##")&amp;"+"&amp;TEXT(INDEX(ERP資料!$G:$G, (MATCH(1039, 輔助計算!$G$2:$G$801, 0)+1)),"0.##")))&amp;"-"&amp;INT(INDEX(輔助計算!$D:$D, (MATCH(1039, 輔助計算!$G$2:$G$801, 0)+1))/IF(INDEX(ERP資料!$G:$G, (MATCH(1039, 輔助計算!$G$2:$G$801, 0)+1))&lt;100, IF(INDEX(ERP資料!$G:$G, (MATCH(1039, 輔助計算!$G$2:$G$801, 0)+1))&lt;=31,3,IF(INDEX(ERP資料!$G:$G, (MATCH(1039, 輔助計算!$G$2:$G$801, 0)+1))&lt;=46.5,2,1)), IF(INDEX(ERP資料!$G:$G, (MATCH(1039, 輔助計算!$G$2:$G$801, 0)+1))&lt;=790,3,IF(INDEX(ERP資料!$G:$G, (MATCH(1039, 輔助計算!$G$2:$G$801, 0)+1))&lt;=1181,2,1)))), "")&lt;&gt;"",IF(MOD(INDEX(輔助計算!$D:$D, (MATCH(1039, 輔助計算!$G$2:$G$801, 0)+1)),IF(INDEX(ERP資料!$G:$G, (MATCH(1039, 輔助計算!$G$2:$G$801, 0)+1))&lt;100, IF(INDEX(ERP資料!$G:$G, (MATCH(1039, 輔助計算!$G$2:$G$801, 0)+1))&lt;=31,3,IF(INDEX(ERP資料!$G:$G, (MATCH(1039, 輔助計算!$G$2:$G$801, 0)+1))&lt;=46.5,2,1)), IF(INDEX(ERP資料!$G:$G, (MATCH(1039, 輔助計算!$G$2:$G$801, 0)+1))&lt;=790,3,IF(INDEX(ERP資料!$G:$G, (MATCH(1039, 輔助計算!$G$2:$G$801, 0)+1))&lt;=1181,2,1))))=0,"",IF(MOD(INDEX(輔助計算!$D:$D, (MATCH(1039, 輔助計算!$G$2:$G$801, 0)+1)),IF(INDEX(ERP資料!$G:$G, (MATCH(1039, 輔助計算!$G$2:$G$801, 0)+1))&lt;100, IF(INDEX(ERP資料!$G:$G, (MATCH(1039, 輔助計算!$G$2:$G$801, 0)+1))&lt;=31,3,IF(INDEX(ERP資料!$G:$G, (MATCH(1039, 輔助計算!$G$2:$G$801, 0)+1))&lt;=46.5,2,1)), IF(INDEX(ERP資料!$G:$G, (MATCH(1039, 輔助計算!$G$2:$G$801, 0)+1))&lt;=790,3,IF(INDEX(ERP資料!$G:$G, (MATCH(1039, 輔助計算!$G$2:$G$801, 0)+1))&lt;=1181,2,1))))=0,"",IF(MOD(INDEX(輔助計算!$D:$D, (MATCH(1039, 輔助計算!$G$2:$G$801, 0)+1)),IF(INDEX(ERP資料!$G:$G, (MATCH(1039, 輔助計算!$G$2:$G$801, 0)+1))&lt;100, IF(INDEX(ERP資料!$G:$G, (MATCH(1039, 輔助計算!$G$2:$G$801, 0)+1))&lt;=31,3,IF(INDEX(ERP資料!$G:$G, (MATCH(1039, 輔助計算!$G$2:$G$801, 0)+1))&lt;=46.5,2,1)), IF(INDEX(ERP資料!$G:$G, (MATCH(1039, 輔助計算!$G$2:$G$801, 0)+1))&lt;=790,3,IF(INDEX(ERP資料!$G:$G, (MATCH(1039, 輔助計算!$G$2:$G$801, 0)+1))&lt;=1181,2,1))))=1,TEXT(INDEX(ERP資料!$G:$G, (MATCH(1039, 輔助計算!$G$2:$G$801, 0)+1)),"0.##"),IF(MOD(INDEX(輔助計算!$D:$D, (MATCH(1039, 輔助計算!$G$2:$G$801, 0)+1)),IF(INDEX(ERP資料!$G:$G, (MATCH(1039, 輔助計算!$G$2:$G$801, 0)+1))&lt;100, IF(INDEX(ERP資料!$G:$G, (MATCH(1039, 輔助計算!$G$2:$G$801, 0)+1))&lt;=31,3,IF(INDEX(ERP資料!$G:$G, (MATCH(1039, 輔助計算!$G$2:$G$801, 0)+1))&lt;=46.5,2,1)), IF(INDEX(ERP資料!$G:$G, (MATCH(1039, 輔助計算!$G$2:$G$801, 0)+1))&lt;=790,3,IF(INDEX(ERP資料!$G:$G, (MATCH(1039, 輔助計算!$G$2:$G$801, 0)+1))&lt;=1181,2,1))))=2,TEXT(INDEX(ERP資料!$G:$G, (MATCH(1039, 輔助計算!$G$2:$G$801, 0)+1)),"0.##")&amp;"+"&amp;TEXT(INDEX(ERP資料!$G:$G, (MATCH(1039, 輔助計算!$G$2:$G$801, 0)+1)),"0.##"),TEXT(INDEX(ERP資料!$G:$G, (MATCH(1039, 輔助計算!$G$2:$G$801, 0)+1)),"0.##")&amp;"+"&amp;TEXT(INDEX(ERP資料!$G:$G, (MATCH(1039, 輔助計算!$G$2:$G$801, 0)+1)),"0.##")&amp;"+"&amp;TEXT(INDEX(ERP資料!$G:$G, (MATCH(1039, 輔助計算!$G$2:$G$801, 0)+1)),"0.##"))))&amp;"-1")&lt;&gt;""),"  ","")&amp;IF(MOD(INDEX(輔助計算!$D:$D, (MATCH(1039, 輔助計算!$G$2:$G$801, 0)+1)),IF(INDEX(ERP資料!$G:$G, (MATCH(1039, 輔助計算!$G$2:$G$801, 0)+1))&lt;100, IF(INDEX(ERP資料!$G:$G, (MATCH(1039, 輔助計算!$G$2:$G$801, 0)+1))&lt;=31,3,IF(INDEX(ERP資料!$G:$G, (MATCH(1039, 輔助計算!$G$2:$G$801, 0)+1))&lt;=46.5,2,1)), IF(INDEX(ERP資料!$G:$G, (MATCH(1039, 輔助計算!$G$2:$G$801, 0)+1))&lt;=790,3,IF(INDEX(ERP資料!$G:$G, (MATCH(1039, 輔助計算!$G$2:$G$801, 0)+1))&lt;=1181,2,1))))=0,"",IF(MOD(INDEX(輔助計算!$D:$D, (MATCH(1039, 輔助計算!$G$2:$G$801, 0)+1)),IF(INDEX(ERP資料!$G:$G, (MATCH(1039, 輔助計算!$G$2:$G$801, 0)+1))&lt;100, IF(INDEX(ERP資料!$G:$G, (MATCH(1039, 輔助計算!$G$2:$G$801, 0)+1))&lt;=31,3,IF(INDEX(ERP資料!$G:$G, (MATCH(1039, 輔助計算!$G$2:$G$801, 0)+1))&lt;=46.5,2,1)), IF(INDEX(ERP資料!$G:$G, (MATCH(1039, 輔助計算!$G$2:$G$801, 0)+1))&lt;=790,3,IF(INDEX(ERP資料!$G:$G, (MATCH(1039, 輔助計算!$G$2:$G$801, 0)+1))&lt;=1181,2,1))))=0,"",IF(MOD(INDEX(輔助計算!$D:$D, (MATCH(1039, 輔助計算!$G$2:$G$801, 0)+1)),IF(INDEX(ERP資料!$G:$G, (MATCH(1039, 輔助計算!$G$2:$G$801, 0)+1))&lt;100, IF(INDEX(ERP資料!$G:$G, (MATCH(1039, 輔助計算!$G$2:$G$801, 0)+1))&lt;=31,3,IF(INDEX(ERP資料!$G:$G, (MATCH(1039, 輔助計算!$G$2:$G$801, 0)+1))&lt;=46.5,2,1)), IF(INDEX(ERP資料!$G:$G, (MATCH(1039, 輔助計算!$G$2:$G$801, 0)+1))&lt;=790,3,IF(INDEX(ERP資料!$G:$G, (MATCH(1039, 輔助計算!$G$2:$G$801, 0)+1))&lt;=1181,2,1))))=1,TEXT(INDEX(ERP資料!$G:$G, (MATCH(1039, 輔助計算!$G$2:$G$801, 0)+1)),"0.##"),IF(MOD(INDEX(輔助計算!$D:$D, (MATCH(1039, 輔助計算!$G$2:$G$801, 0)+1)),IF(INDEX(ERP資料!$G:$G, (MATCH(1039, 輔助計算!$G$2:$G$801, 0)+1))&lt;100, IF(INDEX(ERP資料!$G:$G, (MATCH(1039, 輔助計算!$G$2:$G$801, 0)+1))&lt;=31,3,IF(INDEX(ERP資料!$G:$G, (MATCH(1039, 輔助計算!$G$2:$G$801, 0)+1))&lt;=46.5,2,1)), IF(INDEX(ERP資料!$G:$G, (MATCH(1039, 輔助計算!$G$2:$G$801, 0)+1))&lt;=790,3,IF(INDEX(ERP資料!$G:$G, (MATCH(1039, 輔助計算!$G$2:$G$801, 0)+1))&lt;=1181,2,1))))=2,TEXT(INDEX(ERP資料!$G:$G, (MATCH(1039, 輔助計算!$G$2:$G$801, 0)+1)),"0.##")&amp;"+"&amp;TEXT(INDEX(ERP資料!$G:$G, (MATCH(1039, 輔助計算!$G$2:$G$801, 0)+1)),"0.##"),TEXT(INDEX(ERP資料!$G:$G, (MATCH(1039, 輔助計算!$G$2:$G$801, 0)+1)),"0.##")&amp;"+"&amp;TEXT(INDEX(ERP資料!$G:$G, (MATCH(1039, 輔助計算!$G$2:$G$801, 0)+1)),"0.##")&amp;"+"&amp;TEXT(INDEX(ERP資料!$G:$G, (MATCH(1039, 輔助計算!$G$2:$G$801, 0)+1)),"0.##"))))&amp;"-1")), ""), "")</f>
        <v/>
      </c>
      <c r="K1040" s="16" t="n"/>
      <c r="L1040" s="14">
        <f>IFERROR(IF(AND(IFERROR(INDEX(ERP資料!$A:$A, (MATCH(1039, 輔助計算!$G$2:$G$801, 0)+1)), "")&lt;&gt;"", IFERROR(INDEX(ERP資料!$A:$A, (MATCH(1039, 輔助計算!$G$2:$G$801, 0)+1)), "")&lt;&gt;IFERROR(INDEX(ERP資料!$A:$A, MATCH(1038, 輔助計算!$G$2:$G$801, 0)+1), "")), INDEX(ERP資料!$B:$B, (MATCH(1039, 輔助計算!$G$2:$G$801, 0)+1)), ""), "")</f>
        <v/>
      </c>
      <c r="M1040" s="17" t="n"/>
    </row>
    <row r="1041">
      <c r="A1041" s="10">
        <f>IFERROR(IF(AND(IFERROR(INDEX(ERP資料!$A:$A, (MATCH(1040, 輔助計算!$G$2:$G$801, 0)+1)), "")&lt;&gt;"", IFERROR(INDEX(ERP資料!$A:$A, (MATCH(1040, 輔助計算!$G$2:$G$801, 0)+1)), "")&lt;&gt;IFERROR(INDEX(ERP資料!$A:$A, MATCH(1039, 輔助計算!$G$2:$G$801, 0)+1), "")), IFERROR(INDEX(ERP資料!$A:$A, (MATCH(1040, 輔助計算!$G$2:$G$801, 0)+1)), ""), ""), "")</f>
        <v/>
      </c>
      <c r="B1041" s="10">
        <f>IFERROR(IF(AND(IFERROR(INDEX(ERP資料!$A:$A, (MATCH(1040, 輔助計算!$G$2:$G$801, 0)+1)), "")&lt;&gt;"", IFERROR(INDEX(ERP資料!$A:$A, (MATCH(1040, 輔助計算!$G$2:$G$801, 0)+1)), "")&lt;&gt;IFERROR(INDEX(ERP資料!$A:$A, MATCH(1039, 輔助計算!$G$2:$G$801, 0)+1), "")), INDEX(ERP資料!$S:$S, (MATCH(1040, 輔助計算!$G$2:$G$801, 0)+1)), ""), "")</f>
        <v/>
      </c>
      <c r="C1041" s="19">
        <f>IFERROR(IF(AND(IFERROR(INDEX(ERP資料!$A:$A, (MATCH(1040, 輔助計算!$G$2:$G$801, 0)+1)), "")&lt;&gt;"", IFERROR(INDEX(ERP資料!$A:$A, (MATCH(1040, 輔助計算!$G$2:$G$801, 0)+1)), "")&lt;&gt;IFERROR(INDEX(ERP資料!$A:$A, MATCH(1039, 輔助計算!$G$2:$G$801, 0)+1), "")), IFERROR(VLOOKUP(LEFT(INDEX(ERP資料!$S:$S, (MATCH(1040, 輔助計算!$G$2:$G$801, 0)+1)), 4), 紙管對照表!$A:$C, 3, FALSE), ""), ""), "")</f>
        <v/>
      </c>
      <c r="D1041" s="16" t="n"/>
      <c r="E1041" s="10">
        <f>IFERROR(IF(INDEX(ERP資料!$H:$H, (MATCH(1040, 輔助計算!$G$2:$G$801, 0)+1))="","",INDEX(ERP資料!$H:$H, (MATCH(1040, 輔助計算!$G$2:$G$801, 0)+1))), "")</f>
        <v/>
      </c>
      <c r="F1041" s="10">
        <f>IFERROR(IF(INDEX(ERP資料!$E:$E, (MATCH(1040, 輔助計算!$G$2:$G$801, 0)+1))="","",TRIM(INDEX(ERP資料!$E:$E, (MATCH(1040, 輔助計算!$G$2:$G$801, 0)+1)))), "")</f>
        <v/>
      </c>
      <c r="G1041" s="10">
        <f>IFERROR(IF(INDEX(ERP資料!$F:$F, (MATCH(1040, 輔助計算!$G$2:$G$801, 0)+1))="","",INDEX(ERP資料!$F:$F, (MATCH(1040, 輔助計算!$G$2:$G$801, 0)+1))), "")</f>
        <v/>
      </c>
      <c r="H1041" s="10">
        <f>IFERROR(IF(INDEX(ERP資料!$G:$G, (MATCH(1040, 輔助計算!$G$2:$G$801, 0)+1))="","",INDEX(ERP資料!$G:$G, (MATCH(1040, 輔助計算!$G$2:$G$801, 0)+1))), "")</f>
        <v/>
      </c>
      <c r="I1041" s="15">
        <f>IFERROR(INDEX(輔助計算!$D:$D, (MATCH(1040, 輔助計算!$G$2:$G$801, 0)+1)), "")</f>
        <v/>
      </c>
      <c r="J1041" s="15">
        <f>IFERROR(IF(AND(INDEX(輔助計算!$D:$D, (MATCH(1040, 輔助計算!$G$2:$G$801, 0)+1))&lt;&gt;"", INDEX(ERP資料!$G:$G, (MATCH(1040, 輔助計算!$G$2:$G$801, 0)+1))&lt;&gt;""), TRIM(IF(INT(INDEX(輔助計算!$D:$D, (MATCH(1040, 輔助計算!$G$2:$G$801, 0)+1))/IF(INDEX(ERP資料!$G:$G, (MATCH(1040, 輔助計算!$G$2:$G$801, 0)+1))&lt;100, IF(INDEX(ERP資料!$G:$G, (MATCH(1040, 輔助計算!$G$2:$G$801, 0)+1))&lt;=31,3,IF(INDEX(ERP資料!$G:$G, (MATCH(1040, 輔助計算!$G$2:$G$801, 0)+1))&lt;=46.5,2,1)), IF(INDEX(ERP資料!$G:$G, (MATCH(1040, 輔助計算!$G$2:$G$801, 0)+1))&lt;=790,3,IF(INDEX(ERP資料!$G:$G, (MATCH(1040, 輔助計算!$G$2:$G$801, 0)+1))&lt;=1181,2,1))))&gt;0, IF(IF(INDEX(ERP資料!$G:$G, (MATCH(1040, 輔助計算!$G$2:$G$801, 0)+1))&lt;100, IF(INDEX(ERP資料!$G:$G, (MATCH(1040, 輔助計算!$G$2:$G$801, 0)+1))&lt;=31,3,IF(INDEX(ERP資料!$G:$G, (MATCH(1040, 輔助計算!$G$2:$G$801, 0)+1))&lt;=46.5,2,1)), IF(INDEX(ERP資料!$G:$G, (MATCH(1040, 輔助計算!$G$2:$G$801, 0)+1))&lt;=790,3,IF(INDEX(ERP資料!$G:$G, (MATCH(1040, 輔助計算!$G$2:$G$801, 0)+1))&lt;=1181,2,1)))=1,TEXT(INDEX(ERP資料!$G:$G, (MATCH(1040, 輔助計算!$G$2:$G$801, 0)+1)),"0.##"),IF(IF(INDEX(ERP資料!$G:$G, (MATCH(1040, 輔助計算!$G$2:$G$801, 0)+1))&lt;100, IF(INDEX(ERP資料!$G:$G, (MATCH(1040, 輔助計算!$G$2:$G$801, 0)+1))&lt;=31,3,IF(INDEX(ERP資料!$G:$G, (MATCH(1040, 輔助計算!$G$2:$G$801, 0)+1))&lt;=46.5,2,1)), IF(INDEX(ERP資料!$G:$G, (MATCH(1040, 輔助計算!$G$2:$G$801, 0)+1))&lt;=790,3,IF(INDEX(ERP資料!$G:$G, (MATCH(1040, 輔助計算!$G$2:$G$801, 0)+1))&lt;=1181,2,1)))=2,TEXT(INDEX(ERP資料!$G:$G, (MATCH(1040, 輔助計算!$G$2:$G$801, 0)+1)),"0.##")&amp;"+"&amp;TEXT(INDEX(ERP資料!$G:$G, (MATCH(1040, 輔助計算!$G$2:$G$801, 0)+1)),"0.##"),TEXT(INDEX(ERP資料!$G:$G, (MATCH(1040, 輔助計算!$G$2:$G$801, 0)+1)),"0.##")&amp;"+"&amp;TEXT(INDEX(ERP資料!$G:$G, (MATCH(1040, 輔助計算!$G$2:$G$801, 0)+1)),"0.##")&amp;"+"&amp;TEXT(INDEX(ERP資料!$G:$G, (MATCH(1040, 輔助計算!$G$2:$G$801, 0)+1)),"0.##")))&amp;"-"&amp;INT(INDEX(輔助計算!$D:$D, (MATCH(1040, 輔助計算!$G$2:$G$801, 0)+1))/IF(INDEX(ERP資料!$G:$G, (MATCH(1040, 輔助計算!$G$2:$G$801, 0)+1))&lt;100, IF(INDEX(ERP資料!$G:$G, (MATCH(1040, 輔助計算!$G$2:$G$801, 0)+1))&lt;=31,3,IF(INDEX(ERP資料!$G:$G, (MATCH(1040, 輔助計算!$G$2:$G$801, 0)+1))&lt;=46.5,2,1)), IF(INDEX(ERP資料!$G:$G, (MATCH(1040, 輔助計算!$G$2:$G$801, 0)+1))&lt;=790,3,IF(INDEX(ERP資料!$G:$G, (MATCH(1040, 輔助計算!$G$2:$G$801, 0)+1))&lt;=1181,2,1)))), "")&amp;IF(AND(IF(INT(INDEX(輔助計算!$D:$D, (MATCH(1040, 輔助計算!$G$2:$G$801, 0)+1))/IF(INDEX(ERP資料!$G:$G, (MATCH(1040, 輔助計算!$G$2:$G$801, 0)+1))&lt;100, IF(INDEX(ERP資料!$G:$G, (MATCH(1040, 輔助計算!$G$2:$G$801, 0)+1))&lt;=31,3,IF(INDEX(ERP資料!$G:$G, (MATCH(1040, 輔助計算!$G$2:$G$801, 0)+1))&lt;=46.5,2,1)), IF(INDEX(ERP資料!$G:$G, (MATCH(1040, 輔助計算!$G$2:$G$801, 0)+1))&lt;=790,3,IF(INDEX(ERP資料!$G:$G, (MATCH(1040, 輔助計算!$G$2:$G$801, 0)+1))&lt;=1181,2,1))))&gt;0, IF(IF(INDEX(ERP資料!$G:$G, (MATCH(1040, 輔助計算!$G$2:$G$801, 0)+1))&lt;100, IF(INDEX(ERP資料!$G:$G, (MATCH(1040, 輔助計算!$G$2:$G$801, 0)+1))&lt;=31,3,IF(INDEX(ERP資料!$G:$G, (MATCH(1040, 輔助計算!$G$2:$G$801, 0)+1))&lt;=46.5,2,1)), IF(INDEX(ERP資料!$G:$G, (MATCH(1040, 輔助計算!$G$2:$G$801, 0)+1))&lt;=790,3,IF(INDEX(ERP資料!$G:$G, (MATCH(1040, 輔助計算!$G$2:$G$801, 0)+1))&lt;=1181,2,1)))=1,TEXT(INDEX(ERP資料!$G:$G, (MATCH(1040, 輔助計算!$G$2:$G$801, 0)+1)),"0.##"),IF(IF(INDEX(ERP資料!$G:$G, (MATCH(1040, 輔助計算!$G$2:$G$801, 0)+1))&lt;100, IF(INDEX(ERP資料!$G:$G, (MATCH(1040, 輔助計算!$G$2:$G$801, 0)+1))&lt;=31,3,IF(INDEX(ERP資料!$G:$G, (MATCH(1040, 輔助計算!$G$2:$G$801, 0)+1))&lt;=46.5,2,1)), IF(INDEX(ERP資料!$G:$G, (MATCH(1040, 輔助計算!$G$2:$G$801, 0)+1))&lt;=790,3,IF(INDEX(ERP資料!$G:$G, (MATCH(1040, 輔助計算!$G$2:$G$801, 0)+1))&lt;=1181,2,1)))=2,TEXT(INDEX(ERP資料!$G:$G, (MATCH(1040, 輔助計算!$G$2:$G$801, 0)+1)),"0.##")&amp;"+"&amp;TEXT(INDEX(ERP資料!$G:$G, (MATCH(1040, 輔助計算!$G$2:$G$801, 0)+1)),"0.##"),TEXT(INDEX(ERP資料!$G:$G, (MATCH(1040, 輔助計算!$G$2:$G$801, 0)+1)),"0.##")&amp;"+"&amp;TEXT(INDEX(ERP資料!$G:$G, (MATCH(1040, 輔助計算!$G$2:$G$801, 0)+1)),"0.##")&amp;"+"&amp;TEXT(INDEX(ERP資料!$G:$G, (MATCH(1040, 輔助計算!$G$2:$G$801, 0)+1)),"0.##")))&amp;"-"&amp;INT(INDEX(輔助計算!$D:$D, (MATCH(1040, 輔助計算!$G$2:$G$801, 0)+1))/IF(INDEX(ERP資料!$G:$G, (MATCH(1040, 輔助計算!$G$2:$G$801, 0)+1))&lt;100, IF(INDEX(ERP資料!$G:$G, (MATCH(1040, 輔助計算!$G$2:$G$801, 0)+1))&lt;=31,3,IF(INDEX(ERP資料!$G:$G, (MATCH(1040, 輔助計算!$G$2:$G$801, 0)+1))&lt;=46.5,2,1)), IF(INDEX(ERP資料!$G:$G, (MATCH(1040, 輔助計算!$G$2:$G$801, 0)+1))&lt;=790,3,IF(INDEX(ERP資料!$G:$G, (MATCH(1040, 輔助計算!$G$2:$G$801, 0)+1))&lt;=1181,2,1)))), "")&lt;&gt;"",IF(MOD(INDEX(輔助計算!$D:$D, (MATCH(1040, 輔助計算!$G$2:$G$801, 0)+1)),IF(INDEX(ERP資料!$G:$G, (MATCH(1040, 輔助計算!$G$2:$G$801, 0)+1))&lt;100, IF(INDEX(ERP資料!$G:$G, (MATCH(1040, 輔助計算!$G$2:$G$801, 0)+1))&lt;=31,3,IF(INDEX(ERP資料!$G:$G, (MATCH(1040, 輔助計算!$G$2:$G$801, 0)+1))&lt;=46.5,2,1)), IF(INDEX(ERP資料!$G:$G, (MATCH(1040, 輔助計算!$G$2:$G$801, 0)+1))&lt;=790,3,IF(INDEX(ERP資料!$G:$G, (MATCH(1040, 輔助計算!$G$2:$G$801, 0)+1))&lt;=1181,2,1))))=0,"",IF(MOD(INDEX(輔助計算!$D:$D, (MATCH(1040, 輔助計算!$G$2:$G$801, 0)+1)),IF(INDEX(ERP資料!$G:$G, (MATCH(1040, 輔助計算!$G$2:$G$801, 0)+1))&lt;100, IF(INDEX(ERP資料!$G:$G, (MATCH(1040, 輔助計算!$G$2:$G$801, 0)+1))&lt;=31,3,IF(INDEX(ERP資料!$G:$G, (MATCH(1040, 輔助計算!$G$2:$G$801, 0)+1))&lt;=46.5,2,1)), IF(INDEX(ERP資料!$G:$G, (MATCH(1040, 輔助計算!$G$2:$G$801, 0)+1))&lt;=790,3,IF(INDEX(ERP資料!$G:$G, (MATCH(1040, 輔助計算!$G$2:$G$801, 0)+1))&lt;=1181,2,1))))=0,"",IF(MOD(INDEX(輔助計算!$D:$D, (MATCH(1040, 輔助計算!$G$2:$G$801, 0)+1)),IF(INDEX(ERP資料!$G:$G, (MATCH(1040, 輔助計算!$G$2:$G$801, 0)+1))&lt;100, IF(INDEX(ERP資料!$G:$G, (MATCH(1040, 輔助計算!$G$2:$G$801, 0)+1))&lt;=31,3,IF(INDEX(ERP資料!$G:$G, (MATCH(1040, 輔助計算!$G$2:$G$801, 0)+1))&lt;=46.5,2,1)), IF(INDEX(ERP資料!$G:$G, (MATCH(1040, 輔助計算!$G$2:$G$801, 0)+1))&lt;=790,3,IF(INDEX(ERP資料!$G:$G, (MATCH(1040, 輔助計算!$G$2:$G$801, 0)+1))&lt;=1181,2,1))))=1,TEXT(INDEX(ERP資料!$G:$G, (MATCH(1040, 輔助計算!$G$2:$G$801, 0)+1)),"0.##"),IF(MOD(INDEX(輔助計算!$D:$D, (MATCH(1040, 輔助計算!$G$2:$G$801, 0)+1)),IF(INDEX(ERP資料!$G:$G, (MATCH(1040, 輔助計算!$G$2:$G$801, 0)+1))&lt;100, IF(INDEX(ERP資料!$G:$G, (MATCH(1040, 輔助計算!$G$2:$G$801, 0)+1))&lt;=31,3,IF(INDEX(ERP資料!$G:$G, (MATCH(1040, 輔助計算!$G$2:$G$801, 0)+1))&lt;=46.5,2,1)), IF(INDEX(ERP資料!$G:$G, (MATCH(1040, 輔助計算!$G$2:$G$801, 0)+1))&lt;=790,3,IF(INDEX(ERP資料!$G:$G, (MATCH(1040, 輔助計算!$G$2:$G$801, 0)+1))&lt;=1181,2,1))))=2,TEXT(INDEX(ERP資料!$G:$G, (MATCH(1040, 輔助計算!$G$2:$G$801, 0)+1)),"0.##")&amp;"+"&amp;TEXT(INDEX(ERP資料!$G:$G, (MATCH(1040, 輔助計算!$G$2:$G$801, 0)+1)),"0.##"),TEXT(INDEX(ERP資料!$G:$G, (MATCH(1040, 輔助計算!$G$2:$G$801, 0)+1)),"0.##")&amp;"+"&amp;TEXT(INDEX(ERP資料!$G:$G, (MATCH(1040, 輔助計算!$G$2:$G$801, 0)+1)),"0.##")&amp;"+"&amp;TEXT(INDEX(ERP資料!$G:$G, (MATCH(1040, 輔助計算!$G$2:$G$801, 0)+1)),"0.##"))))&amp;"-1")&lt;&gt;""),"  ","")&amp;IF(MOD(INDEX(輔助計算!$D:$D, (MATCH(1040, 輔助計算!$G$2:$G$801, 0)+1)),IF(INDEX(ERP資料!$G:$G, (MATCH(1040, 輔助計算!$G$2:$G$801, 0)+1))&lt;100, IF(INDEX(ERP資料!$G:$G, (MATCH(1040, 輔助計算!$G$2:$G$801, 0)+1))&lt;=31,3,IF(INDEX(ERP資料!$G:$G, (MATCH(1040, 輔助計算!$G$2:$G$801, 0)+1))&lt;=46.5,2,1)), IF(INDEX(ERP資料!$G:$G, (MATCH(1040, 輔助計算!$G$2:$G$801, 0)+1))&lt;=790,3,IF(INDEX(ERP資料!$G:$G, (MATCH(1040, 輔助計算!$G$2:$G$801, 0)+1))&lt;=1181,2,1))))=0,"",IF(MOD(INDEX(輔助計算!$D:$D, (MATCH(1040, 輔助計算!$G$2:$G$801, 0)+1)),IF(INDEX(ERP資料!$G:$G, (MATCH(1040, 輔助計算!$G$2:$G$801, 0)+1))&lt;100, IF(INDEX(ERP資料!$G:$G, (MATCH(1040, 輔助計算!$G$2:$G$801, 0)+1))&lt;=31,3,IF(INDEX(ERP資料!$G:$G, (MATCH(1040, 輔助計算!$G$2:$G$801, 0)+1))&lt;=46.5,2,1)), IF(INDEX(ERP資料!$G:$G, (MATCH(1040, 輔助計算!$G$2:$G$801, 0)+1))&lt;=790,3,IF(INDEX(ERP資料!$G:$G, (MATCH(1040, 輔助計算!$G$2:$G$801, 0)+1))&lt;=1181,2,1))))=0,"",IF(MOD(INDEX(輔助計算!$D:$D, (MATCH(1040, 輔助計算!$G$2:$G$801, 0)+1)),IF(INDEX(ERP資料!$G:$G, (MATCH(1040, 輔助計算!$G$2:$G$801, 0)+1))&lt;100, IF(INDEX(ERP資料!$G:$G, (MATCH(1040, 輔助計算!$G$2:$G$801, 0)+1))&lt;=31,3,IF(INDEX(ERP資料!$G:$G, (MATCH(1040, 輔助計算!$G$2:$G$801, 0)+1))&lt;=46.5,2,1)), IF(INDEX(ERP資料!$G:$G, (MATCH(1040, 輔助計算!$G$2:$G$801, 0)+1))&lt;=790,3,IF(INDEX(ERP資料!$G:$G, (MATCH(1040, 輔助計算!$G$2:$G$801, 0)+1))&lt;=1181,2,1))))=1,TEXT(INDEX(ERP資料!$G:$G, (MATCH(1040, 輔助計算!$G$2:$G$801, 0)+1)),"0.##"),IF(MOD(INDEX(輔助計算!$D:$D, (MATCH(1040, 輔助計算!$G$2:$G$801, 0)+1)),IF(INDEX(ERP資料!$G:$G, (MATCH(1040, 輔助計算!$G$2:$G$801, 0)+1))&lt;100, IF(INDEX(ERP資料!$G:$G, (MATCH(1040, 輔助計算!$G$2:$G$801, 0)+1))&lt;=31,3,IF(INDEX(ERP資料!$G:$G, (MATCH(1040, 輔助計算!$G$2:$G$801, 0)+1))&lt;=46.5,2,1)), IF(INDEX(ERP資料!$G:$G, (MATCH(1040, 輔助計算!$G$2:$G$801, 0)+1))&lt;=790,3,IF(INDEX(ERP資料!$G:$G, (MATCH(1040, 輔助計算!$G$2:$G$801, 0)+1))&lt;=1181,2,1))))=2,TEXT(INDEX(ERP資料!$G:$G, (MATCH(1040, 輔助計算!$G$2:$G$801, 0)+1)),"0.##")&amp;"+"&amp;TEXT(INDEX(ERP資料!$G:$G, (MATCH(1040, 輔助計算!$G$2:$G$801, 0)+1)),"0.##"),TEXT(INDEX(ERP資料!$G:$G, (MATCH(1040, 輔助計算!$G$2:$G$801, 0)+1)),"0.##")&amp;"+"&amp;TEXT(INDEX(ERP資料!$G:$G, (MATCH(1040, 輔助計算!$G$2:$G$801, 0)+1)),"0.##")&amp;"+"&amp;TEXT(INDEX(ERP資料!$G:$G, (MATCH(1040, 輔助計算!$G$2:$G$801, 0)+1)),"0.##"))))&amp;"-1")), ""), "")</f>
        <v/>
      </c>
      <c r="K1041" s="16" t="n"/>
      <c r="L1041" s="14">
        <f>IFERROR(IF(AND(IFERROR(INDEX(ERP資料!$A:$A, (MATCH(1040, 輔助計算!$G$2:$G$801, 0)+1)), "")&lt;&gt;"", IFERROR(INDEX(ERP資料!$A:$A, (MATCH(1040, 輔助計算!$G$2:$G$801, 0)+1)), "")&lt;&gt;IFERROR(INDEX(ERP資料!$A:$A, MATCH(1039, 輔助計算!$G$2:$G$801, 0)+1), "")), INDEX(ERP資料!$B:$B, (MATCH(1040, 輔助計算!$G$2:$G$801, 0)+1)), ""), "")</f>
        <v/>
      </c>
      <c r="M1041" s="17" t="n"/>
    </row>
  </sheetData>
  <conditionalFormatting sqref="A2:D1041">
    <cfRule type="expression" priority="1" dxfId="1">
      <formula>$A2&lt;&gt;""</formula>
    </cfRule>
  </conditionalFormatting>
  <conditionalFormatting sqref="L2:L1041">
    <cfRule type="expression" priority="1" dxfId="1">
      <formula>$A2&lt;&gt;""</formula>
    </cfRule>
  </conditionalFormatting>
  <conditionalFormatting sqref="A2:M1041">
    <cfRule type="expression" priority="3" dxfId="2">
      <formula>$A2&lt;&gt;""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2026-04-18T06:26:59Z</dcterms:created>
  <dcterms:modified xmlns:dcterms="http://purl.org/dc/terms/" xmlns:xsi="http://www.w3.org/2001/XMLSchema-instance" xsi:type="dcterms:W3CDTF">2026-04-18T06:27:00Z</dcterms:modified>
</cp:coreProperties>
</file>